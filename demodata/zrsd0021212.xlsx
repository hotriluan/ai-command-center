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19200" windowHeight="6900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Sheet1!$A$1:$BM$851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851" i="1" l="1"/>
  <c r="BL851" i="1"/>
  <c r="BK851" i="1"/>
  <c r="BJ851" i="1"/>
  <c r="BI851" i="1"/>
  <c r="BG851" i="1"/>
  <c r="BH851" i="1" s="1"/>
  <c r="BM850" i="1"/>
  <c r="BL850" i="1"/>
  <c r="BK850" i="1"/>
  <c r="BJ850" i="1"/>
  <c r="BI850" i="1"/>
  <c r="BG850" i="1"/>
  <c r="BH850" i="1" s="1"/>
  <c r="BM849" i="1"/>
  <c r="BL849" i="1"/>
  <c r="BK849" i="1"/>
  <c r="BJ849" i="1"/>
  <c r="BI849" i="1"/>
  <c r="BG849" i="1"/>
  <c r="BH849" i="1" s="1"/>
  <c r="BM848" i="1"/>
  <c r="BL848" i="1"/>
  <c r="BK848" i="1"/>
  <c r="BJ848" i="1"/>
  <c r="BI848" i="1"/>
  <c r="BG848" i="1"/>
  <c r="BH848" i="1" s="1"/>
  <c r="BM847" i="1"/>
  <c r="BL847" i="1"/>
  <c r="BK847" i="1"/>
  <c r="BJ847" i="1"/>
  <c r="BI847" i="1"/>
  <c r="BG847" i="1"/>
  <c r="BH847" i="1" s="1"/>
  <c r="BM846" i="1"/>
  <c r="BL846" i="1"/>
  <c r="BK846" i="1"/>
  <c r="BJ846" i="1"/>
  <c r="BI846" i="1"/>
  <c r="BG846" i="1"/>
  <c r="BH846" i="1" s="1"/>
  <c r="BM845" i="1"/>
  <c r="BL845" i="1"/>
  <c r="BK845" i="1"/>
  <c r="BJ845" i="1"/>
  <c r="BI845" i="1"/>
  <c r="BG845" i="1"/>
  <c r="BH845" i="1" s="1"/>
  <c r="BM844" i="1"/>
  <c r="BL844" i="1"/>
  <c r="BK844" i="1"/>
  <c r="BJ844" i="1"/>
  <c r="BI844" i="1"/>
  <c r="BG844" i="1"/>
  <c r="BH844" i="1" s="1"/>
  <c r="BM843" i="1"/>
  <c r="BL843" i="1"/>
  <c r="BK843" i="1"/>
  <c r="BJ843" i="1"/>
  <c r="BI843" i="1"/>
  <c r="BG843" i="1"/>
  <c r="BH843" i="1" s="1"/>
  <c r="BM842" i="1"/>
  <c r="BL842" i="1"/>
  <c r="BK842" i="1"/>
  <c r="BJ842" i="1"/>
  <c r="BI842" i="1"/>
  <c r="BG842" i="1"/>
  <c r="BH842" i="1" s="1"/>
  <c r="BM841" i="1"/>
  <c r="BL841" i="1"/>
  <c r="BK841" i="1"/>
  <c r="BJ841" i="1"/>
  <c r="BI841" i="1"/>
  <c r="BG841" i="1"/>
  <c r="BH841" i="1" s="1"/>
  <c r="BM840" i="1"/>
  <c r="BL840" i="1"/>
  <c r="BK840" i="1"/>
  <c r="BJ840" i="1"/>
  <c r="BI840" i="1"/>
  <c r="BG840" i="1"/>
  <c r="BH840" i="1" s="1"/>
  <c r="BM839" i="1"/>
  <c r="BL839" i="1"/>
  <c r="BK839" i="1"/>
  <c r="BJ839" i="1"/>
  <c r="BI839" i="1"/>
  <c r="BG839" i="1"/>
  <c r="BH839" i="1" s="1"/>
  <c r="BM838" i="1"/>
  <c r="BL838" i="1"/>
  <c r="BK838" i="1"/>
  <c r="BJ838" i="1"/>
  <c r="BI838" i="1"/>
  <c r="BG838" i="1"/>
  <c r="BH838" i="1" s="1"/>
  <c r="BM837" i="1"/>
  <c r="BL837" i="1"/>
  <c r="BK837" i="1"/>
  <c r="BJ837" i="1"/>
  <c r="BI837" i="1"/>
  <c r="BG837" i="1"/>
  <c r="BH837" i="1" s="1"/>
  <c r="BM836" i="1"/>
  <c r="BL836" i="1"/>
  <c r="BK836" i="1"/>
  <c r="BJ836" i="1"/>
  <c r="BI836" i="1"/>
  <c r="BG836" i="1"/>
  <c r="BH836" i="1" s="1"/>
  <c r="BM835" i="1"/>
  <c r="BL835" i="1"/>
  <c r="BK835" i="1"/>
  <c r="BJ835" i="1"/>
  <c r="BI835" i="1"/>
  <c r="BG835" i="1"/>
  <c r="BH835" i="1" s="1"/>
  <c r="BM834" i="1"/>
  <c r="BL834" i="1"/>
  <c r="BK834" i="1"/>
  <c r="BJ834" i="1"/>
  <c r="BI834" i="1"/>
  <c r="BG834" i="1"/>
  <c r="BH834" i="1" s="1"/>
  <c r="BM833" i="1"/>
  <c r="BL833" i="1"/>
  <c r="BK833" i="1"/>
  <c r="BJ833" i="1"/>
  <c r="BI833" i="1"/>
  <c r="BG833" i="1"/>
  <c r="BH833" i="1" s="1"/>
  <c r="BM832" i="1"/>
  <c r="BL832" i="1"/>
  <c r="BK832" i="1"/>
  <c r="BJ832" i="1"/>
  <c r="BI832" i="1"/>
  <c r="BG832" i="1"/>
  <c r="BH832" i="1" s="1"/>
  <c r="BM831" i="1"/>
  <c r="BL831" i="1"/>
  <c r="BK831" i="1"/>
  <c r="BJ831" i="1"/>
  <c r="BI831" i="1"/>
  <c r="BG831" i="1"/>
  <c r="BH831" i="1" s="1"/>
  <c r="BM830" i="1"/>
  <c r="BL830" i="1"/>
  <c r="BK830" i="1"/>
  <c r="BJ830" i="1"/>
  <c r="BI830" i="1"/>
  <c r="BG830" i="1"/>
  <c r="BH830" i="1" s="1"/>
  <c r="BM829" i="1"/>
  <c r="BL829" i="1"/>
  <c r="BK829" i="1"/>
  <c r="BJ829" i="1"/>
  <c r="BI829" i="1"/>
  <c r="BG829" i="1"/>
  <c r="BH829" i="1" s="1"/>
  <c r="BM828" i="1"/>
  <c r="BL828" i="1"/>
  <c r="BK828" i="1"/>
  <c r="BJ828" i="1"/>
  <c r="BI828" i="1"/>
  <c r="BG828" i="1"/>
  <c r="BH828" i="1" s="1"/>
  <c r="BM827" i="1"/>
  <c r="BL827" i="1"/>
  <c r="BK827" i="1"/>
  <c r="BJ827" i="1"/>
  <c r="BI827" i="1"/>
  <c r="BG827" i="1"/>
  <c r="BH827" i="1" s="1"/>
  <c r="BM826" i="1"/>
  <c r="BL826" i="1"/>
  <c r="BK826" i="1"/>
  <c r="BJ826" i="1"/>
  <c r="BI826" i="1"/>
  <c r="BG826" i="1"/>
  <c r="BH826" i="1" s="1"/>
  <c r="BM825" i="1"/>
  <c r="BL825" i="1"/>
  <c r="BK825" i="1"/>
  <c r="BJ825" i="1"/>
  <c r="BI825" i="1"/>
  <c r="BG825" i="1"/>
  <c r="BH825" i="1" s="1"/>
  <c r="BM824" i="1"/>
  <c r="BL824" i="1"/>
  <c r="BK824" i="1"/>
  <c r="BJ824" i="1"/>
  <c r="BI824" i="1"/>
  <c r="BG824" i="1"/>
  <c r="BH824" i="1" s="1"/>
  <c r="BM823" i="1"/>
  <c r="BL823" i="1"/>
  <c r="BK823" i="1"/>
  <c r="BJ823" i="1"/>
  <c r="BI823" i="1"/>
  <c r="BG823" i="1"/>
  <c r="BH823" i="1" s="1"/>
  <c r="BM822" i="1"/>
  <c r="BL822" i="1"/>
  <c r="BK822" i="1"/>
  <c r="BJ822" i="1"/>
  <c r="BI822" i="1"/>
  <c r="BG822" i="1"/>
  <c r="BH822" i="1" s="1"/>
  <c r="BM821" i="1"/>
  <c r="BL821" i="1"/>
  <c r="BK821" i="1"/>
  <c r="BJ821" i="1"/>
  <c r="BI821" i="1"/>
  <c r="BG821" i="1"/>
  <c r="BH821" i="1" s="1"/>
  <c r="BM820" i="1"/>
  <c r="BL820" i="1"/>
  <c r="BK820" i="1"/>
  <c r="BJ820" i="1"/>
  <c r="BI820" i="1"/>
  <c r="BG820" i="1"/>
  <c r="BH820" i="1" s="1"/>
  <c r="BM819" i="1"/>
  <c r="BL819" i="1"/>
  <c r="BK819" i="1"/>
  <c r="BJ819" i="1"/>
  <c r="BI819" i="1"/>
  <c r="BG819" i="1"/>
  <c r="BH819" i="1" s="1"/>
  <c r="BM818" i="1"/>
  <c r="BL818" i="1"/>
  <c r="BK818" i="1"/>
  <c r="BJ818" i="1"/>
  <c r="BI818" i="1"/>
  <c r="BG818" i="1"/>
  <c r="BH818" i="1" s="1"/>
  <c r="BM817" i="1"/>
  <c r="BL817" i="1"/>
  <c r="BK817" i="1"/>
  <c r="BJ817" i="1"/>
  <c r="BI817" i="1"/>
  <c r="BG817" i="1"/>
  <c r="BH817" i="1" s="1"/>
  <c r="BM816" i="1"/>
  <c r="BL816" i="1"/>
  <c r="BK816" i="1"/>
  <c r="BJ816" i="1"/>
  <c r="BI816" i="1"/>
  <c r="BG816" i="1"/>
  <c r="BH816" i="1" s="1"/>
  <c r="BM815" i="1"/>
  <c r="BL815" i="1"/>
  <c r="BK815" i="1"/>
  <c r="BJ815" i="1"/>
  <c r="BI815" i="1"/>
  <c r="BG815" i="1"/>
  <c r="BH815" i="1" s="1"/>
  <c r="BM814" i="1"/>
  <c r="BL814" i="1"/>
  <c r="BK814" i="1"/>
  <c r="BJ814" i="1"/>
  <c r="BI814" i="1"/>
  <c r="BG814" i="1"/>
  <c r="BH814" i="1" s="1"/>
  <c r="BM813" i="1"/>
  <c r="BL813" i="1"/>
  <c r="BK813" i="1"/>
  <c r="BJ813" i="1"/>
  <c r="BI813" i="1"/>
  <c r="BG813" i="1"/>
  <c r="BH813" i="1" s="1"/>
  <c r="BM812" i="1"/>
  <c r="BL812" i="1"/>
  <c r="BK812" i="1"/>
  <c r="BJ812" i="1"/>
  <c r="BI812" i="1"/>
  <c r="BG812" i="1"/>
  <c r="BH812" i="1" s="1"/>
  <c r="BM811" i="1"/>
  <c r="BL811" i="1"/>
  <c r="BK811" i="1"/>
  <c r="BJ811" i="1"/>
  <c r="BI811" i="1"/>
  <c r="BG811" i="1"/>
  <c r="BH811" i="1" s="1"/>
  <c r="BM810" i="1"/>
  <c r="BL810" i="1"/>
  <c r="BK810" i="1"/>
  <c r="BJ810" i="1"/>
  <c r="BI810" i="1"/>
  <c r="BG810" i="1"/>
  <c r="BH810" i="1" s="1"/>
  <c r="BM809" i="1"/>
  <c r="BL809" i="1"/>
  <c r="BK809" i="1"/>
  <c r="BJ809" i="1"/>
  <c r="BI809" i="1"/>
  <c r="BG809" i="1"/>
  <c r="BH809" i="1" s="1"/>
  <c r="BM808" i="1"/>
  <c r="BL808" i="1"/>
  <c r="BK808" i="1"/>
  <c r="BJ808" i="1"/>
  <c r="BI808" i="1"/>
  <c r="BG808" i="1"/>
  <c r="BH808" i="1" s="1"/>
  <c r="BM807" i="1"/>
  <c r="BL807" i="1"/>
  <c r="BK807" i="1"/>
  <c r="BJ807" i="1"/>
  <c r="BI807" i="1"/>
  <c r="BG807" i="1"/>
  <c r="BH807" i="1" s="1"/>
  <c r="BM806" i="1"/>
  <c r="BL806" i="1"/>
  <c r="BK806" i="1"/>
  <c r="BJ806" i="1"/>
  <c r="BI806" i="1"/>
  <c r="BG806" i="1"/>
  <c r="BH806" i="1" s="1"/>
  <c r="BM805" i="1"/>
  <c r="BL805" i="1"/>
  <c r="BK805" i="1"/>
  <c r="BJ805" i="1"/>
  <c r="BI805" i="1"/>
  <c r="BG805" i="1"/>
  <c r="BH805" i="1" s="1"/>
  <c r="BM804" i="1"/>
  <c r="BL804" i="1"/>
  <c r="BK804" i="1"/>
  <c r="BJ804" i="1"/>
  <c r="BI804" i="1"/>
  <c r="BG804" i="1"/>
  <c r="BH804" i="1" s="1"/>
  <c r="BM803" i="1"/>
  <c r="BL803" i="1"/>
  <c r="BK803" i="1"/>
  <c r="BJ803" i="1"/>
  <c r="BI803" i="1"/>
  <c r="BG803" i="1"/>
  <c r="BH803" i="1" s="1"/>
  <c r="BM802" i="1"/>
  <c r="BJ802" i="1"/>
  <c r="BI802" i="1"/>
  <c r="BG802" i="1"/>
  <c r="BH802" i="1" s="1"/>
  <c r="BM801" i="1"/>
  <c r="BL801" i="1"/>
  <c r="BK801" i="1"/>
  <c r="BJ801" i="1"/>
  <c r="BI801" i="1"/>
  <c r="BG801" i="1"/>
  <c r="BH801" i="1" s="1"/>
  <c r="BM800" i="1"/>
  <c r="BL800" i="1"/>
  <c r="BK800" i="1"/>
  <c r="BJ800" i="1"/>
  <c r="BI800" i="1"/>
  <c r="BG800" i="1"/>
  <c r="BH800" i="1" s="1"/>
  <c r="BM799" i="1"/>
  <c r="BL799" i="1"/>
  <c r="BK799" i="1"/>
  <c r="BJ799" i="1"/>
  <c r="BI799" i="1"/>
  <c r="BG799" i="1"/>
  <c r="BH799" i="1" s="1"/>
  <c r="BM798" i="1"/>
  <c r="BL798" i="1"/>
  <c r="BK798" i="1"/>
  <c r="BJ798" i="1"/>
  <c r="BI798" i="1"/>
  <c r="BG798" i="1"/>
  <c r="BH798" i="1" s="1"/>
  <c r="BM797" i="1"/>
  <c r="BL797" i="1"/>
  <c r="BK797" i="1"/>
  <c r="BJ797" i="1"/>
  <c r="BI797" i="1"/>
  <c r="BG797" i="1"/>
  <c r="BH797" i="1" s="1"/>
  <c r="BM796" i="1"/>
  <c r="BL796" i="1"/>
  <c r="BK796" i="1"/>
  <c r="BJ796" i="1"/>
  <c r="BI796" i="1"/>
  <c r="BG796" i="1"/>
  <c r="BH796" i="1" s="1"/>
  <c r="BM795" i="1"/>
  <c r="BL795" i="1"/>
  <c r="BK795" i="1"/>
  <c r="BJ795" i="1"/>
  <c r="BI795" i="1"/>
  <c r="BG795" i="1"/>
  <c r="BH795" i="1" s="1"/>
  <c r="BM794" i="1"/>
  <c r="BL794" i="1"/>
  <c r="BK794" i="1"/>
  <c r="BJ794" i="1"/>
  <c r="BI794" i="1"/>
  <c r="BG794" i="1"/>
  <c r="BH794" i="1" s="1"/>
  <c r="BM793" i="1"/>
  <c r="BL793" i="1"/>
  <c r="BK793" i="1"/>
  <c r="BJ793" i="1"/>
  <c r="BI793" i="1"/>
  <c r="BG793" i="1"/>
  <c r="BH793" i="1" s="1"/>
  <c r="BM792" i="1"/>
  <c r="BL792" i="1"/>
  <c r="BK792" i="1"/>
  <c r="BJ792" i="1"/>
  <c r="BI792" i="1"/>
  <c r="BG792" i="1"/>
  <c r="BH792" i="1" s="1"/>
  <c r="BM791" i="1"/>
  <c r="BL791" i="1"/>
  <c r="BK791" i="1"/>
  <c r="BJ791" i="1"/>
  <c r="BI791" i="1"/>
  <c r="BG791" i="1"/>
  <c r="BH791" i="1" s="1"/>
  <c r="BM790" i="1"/>
  <c r="BL790" i="1"/>
  <c r="BK790" i="1"/>
  <c r="BJ790" i="1"/>
  <c r="BI790" i="1"/>
  <c r="BG790" i="1"/>
  <c r="BH790" i="1" s="1"/>
  <c r="BM789" i="1"/>
  <c r="BL789" i="1"/>
  <c r="BK789" i="1"/>
  <c r="BJ789" i="1"/>
  <c r="BI789" i="1"/>
  <c r="BG789" i="1"/>
  <c r="BH789" i="1" s="1"/>
  <c r="BM788" i="1"/>
  <c r="BL788" i="1"/>
  <c r="BK788" i="1"/>
  <c r="BJ788" i="1"/>
  <c r="BI788" i="1"/>
  <c r="BG788" i="1"/>
  <c r="BH788" i="1" s="1"/>
  <c r="BM787" i="1"/>
  <c r="BL787" i="1"/>
  <c r="BK787" i="1"/>
  <c r="BJ787" i="1"/>
  <c r="BI787" i="1"/>
  <c r="BG787" i="1"/>
  <c r="BH787" i="1" s="1"/>
  <c r="BM786" i="1"/>
  <c r="BL786" i="1"/>
  <c r="BK786" i="1"/>
  <c r="BJ786" i="1"/>
  <c r="BI786" i="1"/>
  <c r="BG786" i="1"/>
  <c r="BH786" i="1" s="1"/>
  <c r="BM785" i="1"/>
  <c r="BL785" i="1"/>
  <c r="BK785" i="1"/>
  <c r="BJ785" i="1"/>
  <c r="BI785" i="1"/>
  <c r="BG785" i="1"/>
  <c r="BH785" i="1" s="1"/>
  <c r="BM784" i="1"/>
  <c r="BL784" i="1"/>
  <c r="BK784" i="1"/>
  <c r="BJ784" i="1"/>
  <c r="BI784" i="1"/>
  <c r="BG784" i="1"/>
  <c r="BH784" i="1" s="1"/>
  <c r="BM783" i="1"/>
  <c r="BL783" i="1"/>
  <c r="BK783" i="1"/>
  <c r="BJ783" i="1"/>
  <c r="BI783" i="1"/>
  <c r="BG783" i="1"/>
  <c r="BH783" i="1" s="1"/>
  <c r="BM782" i="1"/>
  <c r="BL782" i="1"/>
  <c r="BK782" i="1"/>
  <c r="BJ782" i="1"/>
  <c r="BI782" i="1"/>
  <c r="BG782" i="1"/>
  <c r="BH782" i="1" s="1"/>
  <c r="BM781" i="1"/>
  <c r="BL781" i="1"/>
  <c r="BK781" i="1"/>
  <c r="BJ781" i="1"/>
  <c r="BI781" i="1"/>
  <c r="BG781" i="1"/>
  <c r="BH781" i="1" s="1"/>
  <c r="BM780" i="1"/>
  <c r="BL780" i="1"/>
  <c r="BK780" i="1"/>
  <c r="BJ780" i="1"/>
  <c r="BI780" i="1"/>
  <c r="BG780" i="1"/>
  <c r="BH780" i="1" s="1"/>
  <c r="BM779" i="1"/>
  <c r="BL779" i="1"/>
  <c r="BK779" i="1"/>
  <c r="BJ779" i="1"/>
  <c r="BI779" i="1"/>
  <c r="BG779" i="1"/>
  <c r="BH779" i="1" s="1"/>
  <c r="BM778" i="1"/>
  <c r="BL778" i="1"/>
  <c r="BK778" i="1"/>
  <c r="BJ778" i="1"/>
  <c r="BI778" i="1"/>
  <c r="BG778" i="1"/>
  <c r="BH778" i="1" s="1"/>
  <c r="BM777" i="1"/>
  <c r="BL777" i="1"/>
  <c r="BK777" i="1"/>
  <c r="BJ777" i="1"/>
  <c r="BI777" i="1"/>
  <c r="BG777" i="1"/>
  <c r="BH777" i="1" s="1"/>
  <c r="BM776" i="1"/>
  <c r="BL776" i="1"/>
  <c r="BK776" i="1"/>
  <c r="BJ776" i="1"/>
  <c r="BI776" i="1"/>
  <c r="BG776" i="1"/>
  <c r="BH776" i="1" s="1"/>
  <c r="BM775" i="1"/>
  <c r="BL775" i="1"/>
  <c r="BK775" i="1"/>
  <c r="BJ775" i="1"/>
  <c r="BI775" i="1"/>
  <c r="BG775" i="1"/>
  <c r="BH775" i="1" s="1"/>
  <c r="BM774" i="1"/>
  <c r="BL774" i="1"/>
  <c r="BK774" i="1"/>
  <c r="BJ774" i="1"/>
  <c r="BI774" i="1"/>
  <c r="BG774" i="1"/>
  <c r="BH774" i="1" s="1"/>
  <c r="BM773" i="1"/>
  <c r="BL773" i="1"/>
  <c r="BK773" i="1"/>
  <c r="BJ773" i="1"/>
  <c r="BI773" i="1"/>
  <c r="BG773" i="1"/>
  <c r="BH773" i="1" s="1"/>
  <c r="BM772" i="1"/>
  <c r="BL772" i="1"/>
  <c r="BK772" i="1"/>
  <c r="BJ772" i="1"/>
  <c r="BI772" i="1"/>
  <c r="BG772" i="1"/>
  <c r="BH772" i="1" s="1"/>
  <c r="BM771" i="1"/>
  <c r="BL771" i="1"/>
  <c r="BK771" i="1"/>
  <c r="BJ771" i="1"/>
  <c r="BI771" i="1"/>
  <c r="BG771" i="1"/>
  <c r="BH771" i="1" s="1"/>
  <c r="BM770" i="1"/>
  <c r="BL770" i="1"/>
  <c r="BK770" i="1"/>
  <c r="BJ770" i="1"/>
  <c r="BI770" i="1"/>
  <c r="BG770" i="1"/>
  <c r="BH770" i="1" s="1"/>
  <c r="BM769" i="1"/>
  <c r="BL769" i="1"/>
  <c r="BK769" i="1"/>
  <c r="BJ769" i="1"/>
  <c r="BI769" i="1"/>
  <c r="BG769" i="1"/>
  <c r="BH769" i="1" s="1"/>
  <c r="BM768" i="1"/>
  <c r="BL768" i="1"/>
  <c r="BK768" i="1"/>
  <c r="BJ768" i="1"/>
  <c r="BI768" i="1"/>
  <c r="BG768" i="1"/>
  <c r="BH768" i="1" s="1"/>
  <c r="BM767" i="1"/>
  <c r="BL767" i="1"/>
  <c r="BK767" i="1"/>
  <c r="BJ767" i="1"/>
  <c r="BI767" i="1"/>
  <c r="BG767" i="1"/>
  <c r="BH767" i="1" s="1"/>
  <c r="BM766" i="1"/>
  <c r="BL766" i="1"/>
  <c r="BK766" i="1"/>
  <c r="BJ766" i="1"/>
  <c r="BI766" i="1"/>
  <c r="BG766" i="1"/>
  <c r="BH766" i="1" s="1"/>
  <c r="BM765" i="1"/>
  <c r="BL765" i="1"/>
  <c r="BK765" i="1"/>
  <c r="BJ765" i="1"/>
  <c r="BI765" i="1"/>
  <c r="BG765" i="1"/>
  <c r="BH765" i="1" s="1"/>
  <c r="BM764" i="1"/>
  <c r="BJ764" i="1"/>
  <c r="BI764" i="1"/>
  <c r="BG764" i="1"/>
  <c r="BH764" i="1" s="1"/>
  <c r="BM763" i="1"/>
  <c r="BL763" i="1"/>
  <c r="BK763" i="1"/>
  <c r="BJ763" i="1"/>
  <c r="BI763" i="1"/>
  <c r="BG763" i="1"/>
  <c r="BH763" i="1" s="1"/>
  <c r="BM762" i="1"/>
  <c r="BL762" i="1"/>
  <c r="BK762" i="1"/>
  <c r="BJ762" i="1"/>
  <c r="BI762" i="1"/>
  <c r="BG762" i="1"/>
  <c r="BH762" i="1" s="1"/>
  <c r="BM761" i="1"/>
  <c r="BL761" i="1"/>
  <c r="BK761" i="1"/>
  <c r="BJ761" i="1"/>
  <c r="BI761" i="1"/>
  <c r="BG761" i="1"/>
  <c r="BH761" i="1" s="1"/>
  <c r="BM760" i="1"/>
  <c r="BL760" i="1"/>
  <c r="BK760" i="1"/>
  <c r="BJ760" i="1"/>
  <c r="BI760" i="1"/>
  <c r="BG760" i="1"/>
  <c r="BH760" i="1" s="1"/>
  <c r="BM759" i="1"/>
  <c r="BL759" i="1"/>
  <c r="BK759" i="1"/>
  <c r="BJ759" i="1"/>
  <c r="BI759" i="1"/>
  <c r="BG759" i="1"/>
  <c r="BH759" i="1" s="1"/>
  <c r="BM758" i="1"/>
  <c r="BL758" i="1"/>
  <c r="BK758" i="1"/>
  <c r="BJ758" i="1"/>
  <c r="BI758" i="1"/>
  <c r="BG758" i="1"/>
  <c r="BH758" i="1" s="1"/>
  <c r="BM757" i="1"/>
  <c r="BL757" i="1"/>
  <c r="BK757" i="1"/>
  <c r="BJ757" i="1"/>
  <c r="BI757" i="1"/>
  <c r="BG757" i="1"/>
  <c r="BH757" i="1" s="1"/>
  <c r="BM756" i="1"/>
  <c r="BL756" i="1"/>
  <c r="BK756" i="1"/>
  <c r="BJ756" i="1"/>
  <c r="BI756" i="1"/>
  <c r="BG756" i="1"/>
  <c r="BH756" i="1" s="1"/>
  <c r="BM755" i="1"/>
  <c r="BL755" i="1"/>
  <c r="BK755" i="1"/>
  <c r="BJ755" i="1"/>
  <c r="BI755" i="1"/>
  <c r="BG755" i="1"/>
  <c r="BH755" i="1" s="1"/>
  <c r="BM754" i="1"/>
  <c r="BL754" i="1"/>
  <c r="BK754" i="1"/>
  <c r="BJ754" i="1"/>
  <c r="BI754" i="1"/>
  <c r="BG754" i="1"/>
  <c r="BH754" i="1" s="1"/>
  <c r="BM753" i="1"/>
  <c r="BL753" i="1"/>
  <c r="BK753" i="1"/>
  <c r="BJ753" i="1"/>
  <c r="BI753" i="1"/>
  <c r="BG753" i="1"/>
  <c r="BH753" i="1" s="1"/>
  <c r="BM752" i="1"/>
  <c r="BL752" i="1"/>
  <c r="BK752" i="1"/>
  <c r="BJ752" i="1"/>
  <c r="BI752" i="1"/>
  <c r="BG752" i="1"/>
  <c r="BH752" i="1" s="1"/>
  <c r="BM751" i="1"/>
  <c r="BL751" i="1"/>
  <c r="BK751" i="1"/>
  <c r="BJ751" i="1"/>
  <c r="BI751" i="1"/>
  <c r="BG751" i="1"/>
  <c r="BH751" i="1" s="1"/>
  <c r="BM750" i="1"/>
  <c r="BL750" i="1"/>
  <c r="BK750" i="1"/>
  <c r="BJ750" i="1"/>
  <c r="BI750" i="1"/>
  <c r="BG750" i="1"/>
  <c r="BH750" i="1" s="1"/>
  <c r="BM749" i="1"/>
  <c r="BL749" i="1"/>
  <c r="BK749" i="1"/>
  <c r="BJ749" i="1"/>
  <c r="BI749" i="1"/>
  <c r="BG749" i="1"/>
  <c r="BH749" i="1" s="1"/>
  <c r="BM748" i="1"/>
  <c r="BL748" i="1"/>
  <c r="BK748" i="1"/>
  <c r="BJ748" i="1"/>
  <c r="BI748" i="1"/>
  <c r="BG748" i="1"/>
  <c r="BH748" i="1" s="1"/>
  <c r="BM747" i="1"/>
  <c r="BL747" i="1"/>
  <c r="BK747" i="1"/>
  <c r="BJ747" i="1"/>
  <c r="BI747" i="1"/>
  <c r="BG747" i="1"/>
  <c r="BH747" i="1" s="1"/>
  <c r="BM746" i="1"/>
  <c r="BL746" i="1"/>
  <c r="BK746" i="1"/>
  <c r="BJ746" i="1"/>
  <c r="BI746" i="1"/>
  <c r="BG746" i="1"/>
  <c r="BH746" i="1" s="1"/>
  <c r="BM745" i="1"/>
  <c r="BL745" i="1"/>
  <c r="BK745" i="1"/>
  <c r="BJ745" i="1"/>
  <c r="BI745" i="1"/>
  <c r="BG745" i="1"/>
  <c r="BH745" i="1" s="1"/>
  <c r="BM744" i="1"/>
  <c r="BL744" i="1"/>
  <c r="BK744" i="1"/>
  <c r="BJ744" i="1"/>
  <c r="BI744" i="1"/>
  <c r="BG744" i="1"/>
  <c r="BH744" i="1" s="1"/>
  <c r="BM743" i="1"/>
  <c r="BL743" i="1"/>
  <c r="BK743" i="1"/>
  <c r="BJ743" i="1"/>
  <c r="BI743" i="1"/>
  <c r="BG743" i="1"/>
  <c r="BH743" i="1" s="1"/>
  <c r="BM742" i="1"/>
  <c r="BL742" i="1"/>
  <c r="BK742" i="1"/>
  <c r="BJ742" i="1"/>
  <c r="BI742" i="1"/>
  <c r="BG742" i="1"/>
  <c r="BH742" i="1" s="1"/>
  <c r="BM741" i="1"/>
  <c r="BL741" i="1"/>
  <c r="BK741" i="1"/>
  <c r="BJ741" i="1"/>
  <c r="BI741" i="1"/>
  <c r="BG741" i="1"/>
  <c r="BH741" i="1" s="1"/>
  <c r="BM740" i="1"/>
  <c r="BL740" i="1"/>
  <c r="BK740" i="1"/>
  <c r="BJ740" i="1"/>
  <c r="BI740" i="1"/>
  <c r="BG740" i="1"/>
  <c r="BH740" i="1" s="1"/>
  <c r="BM739" i="1"/>
  <c r="BL739" i="1"/>
  <c r="BK739" i="1"/>
  <c r="BJ739" i="1"/>
  <c r="BI739" i="1"/>
  <c r="BG739" i="1"/>
  <c r="BH739" i="1" s="1"/>
  <c r="BM738" i="1"/>
  <c r="BL738" i="1"/>
  <c r="BK738" i="1"/>
  <c r="BJ738" i="1"/>
  <c r="BI738" i="1"/>
  <c r="BG738" i="1"/>
  <c r="BH738" i="1" s="1"/>
  <c r="BM737" i="1"/>
  <c r="BL737" i="1"/>
  <c r="BK737" i="1"/>
  <c r="BJ737" i="1"/>
  <c r="BI737" i="1"/>
  <c r="BG737" i="1"/>
  <c r="BH737" i="1" s="1"/>
  <c r="BM736" i="1"/>
  <c r="BL736" i="1"/>
  <c r="BK736" i="1"/>
  <c r="BJ736" i="1"/>
  <c r="BI736" i="1"/>
  <c r="BG736" i="1"/>
  <c r="BH736" i="1" s="1"/>
  <c r="BM735" i="1"/>
  <c r="BL735" i="1"/>
  <c r="BK735" i="1"/>
  <c r="BJ735" i="1"/>
  <c r="BI735" i="1"/>
  <c r="BG735" i="1"/>
  <c r="BH735" i="1" s="1"/>
  <c r="BM734" i="1"/>
  <c r="BL734" i="1"/>
  <c r="BK734" i="1"/>
  <c r="BJ734" i="1"/>
  <c r="BI734" i="1"/>
  <c r="BG734" i="1"/>
  <c r="BH734" i="1" s="1"/>
  <c r="BM733" i="1"/>
  <c r="BL733" i="1"/>
  <c r="BK733" i="1"/>
  <c r="BJ733" i="1"/>
  <c r="BI733" i="1"/>
  <c r="BG733" i="1"/>
  <c r="BH733" i="1" s="1"/>
  <c r="BM732" i="1"/>
  <c r="BL732" i="1"/>
  <c r="BK732" i="1"/>
  <c r="BJ732" i="1"/>
  <c r="BI732" i="1"/>
  <c r="BG732" i="1"/>
  <c r="BH732" i="1" s="1"/>
  <c r="BM731" i="1"/>
  <c r="BL731" i="1"/>
  <c r="BK731" i="1"/>
  <c r="BJ731" i="1"/>
  <c r="BI731" i="1"/>
  <c r="BG731" i="1"/>
  <c r="BH731" i="1" s="1"/>
  <c r="BM730" i="1"/>
  <c r="BL730" i="1"/>
  <c r="BK730" i="1"/>
  <c r="BJ730" i="1"/>
  <c r="BI730" i="1"/>
  <c r="BG730" i="1"/>
  <c r="BH730" i="1" s="1"/>
  <c r="BM729" i="1"/>
  <c r="BL729" i="1"/>
  <c r="BK729" i="1"/>
  <c r="BJ729" i="1"/>
  <c r="BI729" i="1"/>
  <c r="BG729" i="1"/>
  <c r="BH729" i="1" s="1"/>
  <c r="BM728" i="1"/>
  <c r="BL728" i="1"/>
  <c r="BK728" i="1"/>
  <c r="BJ728" i="1"/>
  <c r="BI728" i="1"/>
  <c r="BG728" i="1"/>
  <c r="BH728" i="1" s="1"/>
  <c r="BM727" i="1"/>
  <c r="BL727" i="1"/>
  <c r="BK727" i="1"/>
  <c r="BJ727" i="1"/>
  <c r="BI727" i="1"/>
  <c r="BG727" i="1"/>
  <c r="BH727" i="1" s="1"/>
  <c r="BM726" i="1"/>
  <c r="BL726" i="1"/>
  <c r="BK726" i="1"/>
  <c r="BJ726" i="1"/>
  <c r="BI726" i="1"/>
  <c r="BG726" i="1"/>
  <c r="BH726" i="1" s="1"/>
  <c r="BM725" i="1"/>
  <c r="BL725" i="1"/>
  <c r="BK725" i="1"/>
  <c r="BJ725" i="1"/>
  <c r="BI725" i="1"/>
  <c r="BG725" i="1"/>
  <c r="BH725" i="1" s="1"/>
  <c r="BM724" i="1"/>
  <c r="BL724" i="1"/>
  <c r="BK724" i="1"/>
  <c r="BJ724" i="1"/>
  <c r="BI724" i="1"/>
  <c r="BG724" i="1"/>
  <c r="BH724" i="1" s="1"/>
  <c r="BM723" i="1"/>
  <c r="BL723" i="1"/>
  <c r="BK723" i="1"/>
  <c r="BJ723" i="1"/>
  <c r="BI723" i="1"/>
  <c r="BG723" i="1"/>
  <c r="BH723" i="1" s="1"/>
  <c r="BM722" i="1"/>
  <c r="BL722" i="1"/>
  <c r="BK722" i="1"/>
  <c r="BJ722" i="1"/>
  <c r="BI722" i="1"/>
  <c r="BG722" i="1"/>
  <c r="BH722" i="1" s="1"/>
  <c r="BM721" i="1"/>
  <c r="BL721" i="1"/>
  <c r="BK721" i="1"/>
  <c r="BJ721" i="1"/>
  <c r="BI721" i="1"/>
  <c r="BG721" i="1"/>
  <c r="BH721" i="1" s="1"/>
  <c r="BM720" i="1"/>
  <c r="BL720" i="1"/>
  <c r="BK720" i="1"/>
  <c r="BJ720" i="1"/>
  <c r="BI720" i="1"/>
  <c r="BG720" i="1"/>
  <c r="BH720" i="1" s="1"/>
  <c r="BM719" i="1"/>
  <c r="BL719" i="1"/>
  <c r="BK719" i="1"/>
  <c r="BJ719" i="1"/>
  <c r="BI719" i="1"/>
  <c r="BG719" i="1"/>
  <c r="BH719" i="1" s="1"/>
  <c r="BM718" i="1"/>
  <c r="BL718" i="1"/>
  <c r="BK718" i="1"/>
  <c r="BJ718" i="1"/>
  <c r="BI718" i="1"/>
  <c r="BG718" i="1"/>
  <c r="BH718" i="1" s="1"/>
  <c r="BM717" i="1"/>
  <c r="BL717" i="1"/>
  <c r="BK717" i="1"/>
  <c r="BJ717" i="1"/>
  <c r="BI717" i="1"/>
  <c r="BG717" i="1"/>
  <c r="BH717" i="1" s="1"/>
  <c r="BM716" i="1"/>
  <c r="BL716" i="1"/>
  <c r="BK716" i="1"/>
  <c r="BJ716" i="1"/>
  <c r="BI716" i="1"/>
  <c r="BG716" i="1"/>
  <c r="BH716" i="1" s="1"/>
  <c r="BM715" i="1"/>
  <c r="BL715" i="1"/>
  <c r="BK715" i="1"/>
  <c r="BJ715" i="1"/>
  <c r="BI715" i="1"/>
  <c r="BG715" i="1"/>
  <c r="BH715" i="1" s="1"/>
  <c r="BM714" i="1"/>
  <c r="BL714" i="1"/>
  <c r="BK714" i="1"/>
  <c r="BJ714" i="1"/>
  <c r="BI714" i="1"/>
  <c r="BG714" i="1"/>
  <c r="BH714" i="1" s="1"/>
  <c r="BM713" i="1"/>
  <c r="BL713" i="1"/>
  <c r="BK713" i="1"/>
  <c r="BJ713" i="1"/>
  <c r="BI713" i="1"/>
  <c r="BG713" i="1"/>
  <c r="BH713" i="1" s="1"/>
  <c r="BM712" i="1"/>
  <c r="BL712" i="1"/>
  <c r="BK712" i="1"/>
  <c r="BJ712" i="1"/>
  <c r="BI712" i="1"/>
  <c r="BG712" i="1"/>
  <c r="BH712" i="1" s="1"/>
  <c r="BM711" i="1"/>
  <c r="BL711" i="1"/>
  <c r="BK711" i="1"/>
  <c r="BJ711" i="1"/>
  <c r="BI711" i="1"/>
  <c r="BG711" i="1"/>
  <c r="BH711" i="1" s="1"/>
  <c r="BM710" i="1"/>
  <c r="BL710" i="1"/>
  <c r="BK710" i="1"/>
  <c r="BJ710" i="1"/>
  <c r="BI710" i="1"/>
  <c r="BG710" i="1"/>
  <c r="BH710" i="1" s="1"/>
  <c r="BM709" i="1"/>
  <c r="BL709" i="1"/>
  <c r="BK709" i="1"/>
  <c r="BJ709" i="1"/>
  <c r="BI709" i="1"/>
  <c r="BG709" i="1"/>
  <c r="BH709" i="1" s="1"/>
  <c r="BM708" i="1"/>
  <c r="BL708" i="1"/>
  <c r="BK708" i="1"/>
  <c r="BJ708" i="1"/>
  <c r="BI708" i="1"/>
  <c r="BG708" i="1"/>
  <c r="BH708" i="1" s="1"/>
  <c r="BM707" i="1"/>
  <c r="BL707" i="1"/>
  <c r="BK707" i="1"/>
  <c r="BJ707" i="1"/>
  <c r="BI707" i="1"/>
  <c r="BG707" i="1"/>
  <c r="BH707" i="1" s="1"/>
  <c r="BM706" i="1"/>
  <c r="BL706" i="1"/>
  <c r="BK706" i="1"/>
  <c r="BJ706" i="1"/>
  <c r="BI706" i="1"/>
  <c r="BG706" i="1"/>
  <c r="BH706" i="1" s="1"/>
  <c r="BM705" i="1"/>
  <c r="BL705" i="1"/>
  <c r="BK705" i="1"/>
  <c r="BJ705" i="1"/>
  <c r="BI705" i="1"/>
  <c r="BG705" i="1"/>
  <c r="BH705" i="1" s="1"/>
  <c r="BM704" i="1"/>
  <c r="BL704" i="1"/>
  <c r="BK704" i="1"/>
  <c r="BJ704" i="1"/>
  <c r="BI704" i="1"/>
  <c r="BG704" i="1"/>
  <c r="BH704" i="1" s="1"/>
  <c r="BM703" i="1"/>
  <c r="BL703" i="1"/>
  <c r="BK703" i="1"/>
  <c r="BJ703" i="1"/>
  <c r="BI703" i="1"/>
  <c r="BG703" i="1"/>
  <c r="BH703" i="1" s="1"/>
  <c r="BM702" i="1"/>
  <c r="BL702" i="1"/>
  <c r="BK702" i="1"/>
  <c r="BJ702" i="1"/>
  <c r="BI702" i="1"/>
  <c r="BG702" i="1"/>
  <c r="BH702" i="1" s="1"/>
  <c r="BM701" i="1"/>
  <c r="BL701" i="1"/>
  <c r="BK701" i="1"/>
  <c r="BJ701" i="1"/>
  <c r="BI701" i="1"/>
  <c r="BG701" i="1"/>
  <c r="BH701" i="1" s="1"/>
  <c r="BM700" i="1"/>
  <c r="BL700" i="1"/>
  <c r="BK700" i="1"/>
  <c r="BJ700" i="1"/>
  <c r="BI700" i="1"/>
  <c r="BG700" i="1"/>
  <c r="BH700" i="1" s="1"/>
  <c r="BM699" i="1"/>
  <c r="BL699" i="1"/>
  <c r="BK699" i="1"/>
  <c r="BJ699" i="1"/>
  <c r="BI699" i="1"/>
  <c r="BG699" i="1"/>
  <c r="BH699" i="1" s="1"/>
  <c r="BM698" i="1"/>
  <c r="BL698" i="1"/>
  <c r="BK698" i="1"/>
  <c r="BJ698" i="1"/>
  <c r="BI698" i="1"/>
  <c r="BG698" i="1"/>
  <c r="BH698" i="1" s="1"/>
  <c r="BM697" i="1"/>
  <c r="BL697" i="1"/>
  <c r="BK697" i="1"/>
  <c r="BJ697" i="1"/>
  <c r="BI697" i="1"/>
  <c r="BG697" i="1"/>
  <c r="BH697" i="1" s="1"/>
  <c r="BM696" i="1"/>
  <c r="BL696" i="1"/>
  <c r="BK696" i="1"/>
  <c r="BJ696" i="1"/>
  <c r="BI696" i="1"/>
  <c r="BG696" i="1"/>
  <c r="BH696" i="1" s="1"/>
  <c r="BM695" i="1"/>
  <c r="BL695" i="1"/>
  <c r="BK695" i="1"/>
  <c r="BJ695" i="1"/>
  <c r="BI695" i="1"/>
  <c r="BG695" i="1"/>
  <c r="BH695" i="1" s="1"/>
  <c r="BM694" i="1"/>
  <c r="BL694" i="1"/>
  <c r="BK694" i="1"/>
  <c r="BJ694" i="1"/>
  <c r="BI694" i="1"/>
  <c r="BG694" i="1"/>
  <c r="BH694" i="1" s="1"/>
  <c r="BM693" i="1"/>
  <c r="BL693" i="1"/>
  <c r="BK693" i="1"/>
  <c r="BJ693" i="1"/>
  <c r="BI693" i="1"/>
  <c r="BG693" i="1"/>
  <c r="BH693" i="1" s="1"/>
  <c r="BM692" i="1"/>
  <c r="BL692" i="1"/>
  <c r="BK692" i="1"/>
  <c r="BJ692" i="1"/>
  <c r="BI692" i="1"/>
  <c r="BG692" i="1"/>
  <c r="BH692" i="1" s="1"/>
  <c r="BM691" i="1"/>
  <c r="BL691" i="1"/>
  <c r="BK691" i="1"/>
  <c r="BJ691" i="1"/>
  <c r="BI691" i="1"/>
  <c r="BG691" i="1"/>
  <c r="BH691" i="1" s="1"/>
  <c r="BM690" i="1"/>
  <c r="BL690" i="1"/>
  <c r="BK690" i="1"/>
  <c r="BJ690" i="1"/>
  <c r="BI690" i="1"/>
  <c r="BG690" i="1"/>
  <c r="BH690" i="1" s="1"/>
  <c r="BM689" i="1"/>
  <c r="BL689" i="1"/>
  <c r="BK689" i="1"/>
  <c r="BJ689" i="1"/>
  <c r="BI689" i="1"/>
  <c r="BG689" i="1"/>
  <c r="BH689" i="1" s="1"/>
  <c r="BM688" i="1"/>
  <c r="BL688" i="1"/>
  <c r="BK688" i="1"/>
  <c r="BJ688" i="1"/>
  <c r="BI688" i="1"/>
  <c r="BG688" i="1"/>
  <c r="BH688" i="1" s="1"/>
  <c r="BM687" i="1"/>
  <c r="BL687" i="1"/>
  <c r="BK687" i="1"/>
  <c r="BJ687" i="1"/>
  <c r="BI687" i="1"/>
  <c r="BG687" i="1"/>
  <c r="BH687" i="1" s="1"/>
  <c r="BM686" i="1"/>
  <c r="BL686" i="1"/>
  <c r="BK686" i="1"/>
  <c r="BJ686" i="1"/>
  <c r="BI686" i="1"/>
  <c r="BG686" i="1"/>
  <c r="BH686" i="1" s="1"/>
  <c r="BM685" i="1"/>
  <c r="BL685" i="1"/>
  <c r="BK685" i="1"/>
  <c r="BJ685" i="1"/>
  <c r="BI685" i="1"/>
  <c r="BG685" i="1"/>
  <c r="BH685" i="1" s="1"/>
  <c r="BM684" i="1"/>
  <c r="BL684" i="1"/>
  <c r="BK684" i="1"/>
  <c r="BJ684" i="1"/>
  <c r="BI684" i="1"/>
  <c r="BG684" i="1"/>
  <c r="BH684" i="1" s="1"/>
  <c r="BM683" i="1"/>
  <c r="BL683" i="1"/>
  <c r="BK683" i="1"/>
  <c r="BJ683" i="1"/>
  <c r="BI683" i="1"/>
  <c r="BG683" i="1"/>
  <c r="BH683" i="1" s="1"/>
  <c r="BM682" i="1"/>
  <c r="BL682" i="1"/>
  <c r="BK682" i="1"/>
  <c r="BJ682" i="1"/>
  <c r="BI682" i="1"/>
  <c r="BG682" i="1"/>
  <c r="BH682" i="1" s="1"/>
  <c r="BM681" i="1"/>
  <c r="BL681" i="1"/>
  <c r="BK681" i="1"/>
  <c r="BJ681" i="1"/>
  <c r="BI681" i="1"/>
  <c r="BG681" i="1"/>
  <c r="BH681" i="1" s="1"/>
  <c r="BM680" i="1"/>
  <c r="BL680" i="1"/>
  <c r="BK680" i="1"/>
  <c r="BJ680" i="1"/>
  <c r="BI680" i="1"/>
  <c r="BG680" i="1"/>
  <c r="BH680" i="1" s="1"/>
  <c r="BM679" i="1"/>
  <c r="BL679" i="1"/>
  <c r="BK679" i="1"/>
  <c r="BJ679" i="1"/>
  <c r="BI679" i="1"/>
  <c r="BG679" i="1"/>
  <c r="BH679" i="1" s="1"/>
  <c r="BM678" i="1"/>
  <c r="BL678" i="1"/>
  <c r="BK678" i="1"/>
  <c r="BJ678" i="1"/>
  <c r="BI678" i="1"/>
  <c r="BG678" i="1"/>
  <c r="BH678" i="1" s="1"/>
  <c r="BM677" i="1"/>
  <c r="BL677" i="1"/>
  <c r="BK677" i="1"/>
  <c r="BJ677" i="1"/>
  <c r="BI677" i="1"/>
  <c r="BG677" i="1"/>
  <c r="BH677" i="1" s="1"/>
  <c r="BM676" i="1"/>
  <c r="BL676" i="1"/>
  <c r="BK676" i="1"/>
  <c r="BJ676" i="1"/>
  <c r="BI676" i="1"/>
  <c r="BG676" i="1"/>
  <c r="BH676" i="1" s="1"/>
  <c r="BM675" i="1"/>
  <c r="BL675" i="1"/>
  <c r="BK675" i="1"/>
  <c r="BJ675" i="1"/>
  <c r="BI675" i="1"/>
  <c r="BG675" i="1"/>
  <c r="BH675" i="1" s="1"/>
  <c r="BM674" i="1"/>
  <c r="BL674" i="1"/>
  <c r="BK674" i="1"/>
  <c r="BJ674" i="1"/>
  <c r="BI674" i="1"/>
  <c r="BG674" i="1"/>
  <c r="BH674" i="1" s="1"/>
  <c r="BM673" i="1"/>
  <c r="BL673" i="1"/>
  <c r="BK673" i="1"/>
  <c r="BJ673" i="1"/>
  <c r="BI673" i="1"/>
  <c r="BG673" i="1"/>
  <c r="BH673" i="1" s="1"/>
  <c r="BM672" i="1"/>
  <c r="BL672" i="1"/>
  <c r="BK672" i="1"/>
  <c r="BJ672" i="1"/>
  <c r="BI672" i="1"/>
  <c r="BG672" i="1"/>
  <c r="BH672" i="1" s="1"/>
  <c r="BM671" i="1"/>
  <c r="BL671" i="1"/>
  <c r="BK671" i="1"/>
  <c r="BJ671" i="1"/>
  <c r="BI671" i="1"/>
  <c r="BG671" i="1"/>
  <c r="BH671" i="1" s="1"/>
  <c r="BM670" i="1"/>
  <c r="BL670" i="1"/>
  <c r="BK670" i="1"/>
  <c r="BJ670" i="1"/>
  <c r="BI670" i="1"/>
  <c r="BG670" i="1"/>
  <c r="BH670" i="1" s="1"/>
  <c r="BM669" i="1"/>
  <c r="BL669" i="1"/>
  <c r="BK669" i="1"/>
  <c r="BJ669" i="1"/>
  <c r="BI669" i="1"/>
  <c r="BG669" i="1"/>
  <c r="BH669" i="1" s="1"/>
  <c r="BM668" i="1"/>
  <c r="BL668" i="1"/>
  <c r="BK668" i="1"/>
  <c r="BJ668" i="1"/>
  <c r="BI668" i="1"/>
  <c r="BG668" i="1"/>
  <c r="BH668" i="1" s="1"/>
  <c r="BM667" i="1"/>
  <c r="BL667" i="1"/>
  <c r="BK667" i="1"/>
  <c r="BJ667" i="1"/>
  <c r="BI667" i="1"/>
  <c r="BG667" i="1"/>
  <c r="BH667" i="1" s="1"/>
  <c r="BM666" i="1"/>
  <c r="BL666" i="1"/>
  <c r="BK666" i="1"/>
  <c r="BJ666" i="1"/>
  <c r="BI666" i="1"/>
  <c r="BG666" i="1"/>
  <c r="BH666" i="1" s="1"/>
  <c r="BM665" i="1"/>
  <c r="BL665" i="1"/>
  <c r="BK665" i="1"/>
  <c r="BJ665" i="1"/>
  <c r="BI665" i="1"/>
  <c r="BG665" i="1"/>
  <c r="BH665" i="1" s="1"/>
  <c r="BM664" i="1"/>
  <c r="BL664" i="1"/>
  <c r="BK664" i="1"/>
  <c r="BJ664" i="1"/>
  <c r="BI664" i="1"/>
  <c r="BG664" i="1"/>
  <c r="BH664" i="1" s="1"/>
  <c r="BM663" i="1"/>
  <c r="BL663" i="1"/>
  <c r="BK663" i="1"/>
  <c r="BJ663" i="1"/>
  <c r="BI663" i="1"/>
  <c r="BG663" i="1"/>
  <c r="BH663" i="1" s="1"/>
  <c r="BM662" i="1"/>
  <c r="BL662" i="1"/>
  <c r="BK662" i="1"/>
  <c r="BJ662" i="1"/>
  <c r="BI662" i="1"/>
  <c r="BG662" i="1"/>
  <c r="BH662" i="1" s="1"/>
  <c r="BM661" i="1"/>
  <c r="BL661" i="1"/>
  <c r="BK661" i="1"/>
  <c r="BJ661" i="1"/>
  <c r="BI661" i="1"/>
  <c r="BG661" i="1"/>
  <c r="BH661" i="1" s="1"/>
  <c r="BM660" i="1"/>
  <c r="BL660" i="1"/>
  <c r="BK660" i="1"/>
  <c r="BJ660" i="1"/>
  <c r="BI660" i="1"/>
  <c r="BG660" i="1"/>
  <c r="BH660" i="1" s="1"/>
  <c r="BM659" i="1"/>
  <c r="BL659" i="1"/>
  <c r="BK659" i="1"/>
  <c r="BJ659" i="1"/>
  <c r="BI659" i="1"/>
  <c r="BG659" i="1"/>
  <c r="BH659" i="1" s="1"/>
  <c r="BM658" i="1"/>
  <c r="BL658" i="1"/>
  <c r="BK658" i="1"/>
  <c r="BJ658" i="1"/>
  <c r="BI658" i="1"/>
  <c r="BG658" i="1"/>
  <c r="BH658" i="1" s="1"/>
  <c r="BM657" i="1"/>
  <c r="BL657" i="1"/>
  <c r="BK657" i="1"/>
  <c r="BJ657" i="1"/>
  <c r="BI657" i="1"/>
  <c r="BG657" i="1"/>
  <c r="BH657" i="1" s="1"/>
  <c r="BM656" i="1"/>
  <c r="BL656" i="1"/>
  <c r="BK656" i="1"/>
  <c r="BJ656" i="1"/>
  <c r="BI656" i="1"/>
  <c r="BG656" i="1"/>
  <c r="BH656" i="1" s="1"/>
  <c r="BM655" i="1"/>
  <c r="BL655" i="1"/>
  <c r="BK655" i="1"/>
  <c r="BJ655" i="1"/>
  <c r="BI655" i="1"/>
  <c r="BG655" i="1"/>
  <c r="BH655" i="1" s="1"/>
  <c r="BM654" i="1"/>
  <c r="BL654" i="1"/>
  <c r="BK654" i="1"/>
  <c r="BJ654" i="1"/>
  <c r="BI654" i="1"/>
  <c r="BG654" i="1"/>
  <c r="BH654" i="1" s="1"/>
  <c r="BM653" i="1"/>
  <c r="BL653" i="1"/>
  <c r="BK653" i="1"/>
  <c r="BJ653" i="1"/>
  <c r="BI653" i="1"/>
  <c r="BG653" i="1"/>
  <c r="BH653" i="1" s="1"/>
  <c r="BM652" i="1"/>
  <c r="BL652" i="1"/>
  <c r="BK652" i="1"/>
  <c r="BJ652" i="1"/>
  <c r="BI652" i="1"/>
  <c r="BG652" i="1"/>
  <c r="BH652" i="1" s="1"/>
  <c r="BM651" i="1"/>
  <c r="BL651" i="1"/>
  <c r="BK651" i="1"/>
  <c r="BJ651" i="1"/>
  <c r="BI651" i="1"/>
  <c r="BG651" i="1"/>
  <c r="BH651" i="1" s="1"/>
  <c r="BM650" i="1"/>
  <c r="BL650" i="1"/>
  <c r="BK650" i="1"/>
  <c r="BJ650" i="1"/>
  <c r="BI650" i="1"/>
  <c r="BG650" i="1"/>
  <c r="BH650" i="1" s="1"/>
  <c r="BM649" i="1"/>
  <c r="BL649" i="1"/>
  <c r="BK649" i="1"/>
  <c r="BJ649" i="1"/>
  <c r="BI649" i="1"/>
  <c r="BG649" i="1"/>
  <c r="BH649" i="1" s="1"/>
  <c r="BM648" i="1"/>
  <c r="BL648" i="1"/>
  <c r="BK648" i="1"/>
  <c r="BJ648" i="1"/>
  <c r="BI648" i="1"/>
  <c r="BG648" i="1"/>
  <c r="BH648" i="1" s="1"/>
  <c r="BM647" i="1"/>
  <c r="BL647" i="1"/>
  <c r="BK647" i="1"/>
  <c r="BJ647" i="1"/>
  <c r="BI647" i="1"/>
  <c r="BG647" i="1"/>
  <c r="BH647" i="1" s="1"/>
  <c r="BM646" i="1"/>
  <c r="BL646" i="1"/>
  <c r="BK646" i="1"/>
  <c r="BJ646" i="1"/>
  <c r="BI646" i="1"/>
  <c r="BG646" i="1"/>
  <c r="BH646" i="1" s="1"/>
  <c r="BM645" i="1"/>
  <c r="BL645" i="1"/>
  <c r="BK645" i="1"/>
  <c r="BJ645" i="1"/>
  <c r="BI645" i="1"/>
  <c r="BG645" i="1"/>
  <c r="BH645" i="1" s="1"/>
  <c r="BM644" i="1"/>
  <c r="BL644" i="1"/>
  <c r="BK644" i="1"/>
  <c r="BJ644" i="1"/>
  <c r="BI644" i="1"/>
  <c r="BG644" i="1"/>
  <c r="BH644" i="1" s="1"/>
  <c r="BM643" i="1"/>
  <c r="BL643" i="1"/>
  <c r="BK643" i="1"/>
  <c r="BJ643" i="1"/>
  <c r="BI643" i="1"/>
  <c r="BG643" i="1"/>
  <c r="BH643" i="1" s="1"/>
  <c r="BM642" i="1"/>
  <c r="BL642" i="1"/>
  <c r="BK642" i="1"/>
  <c r="BJ642" i="1"/>
  <c r="BI642" i="1"/>
  <c r="BG642" i="1"/>
  <c r="BH642" i="1" s="1"/>
  <c r="BM641" i="1"/>
  <c r="BL641" i="1"/>
  <c r="BK641" i="1"/>
  <c r="BJ641" i="1"/>
  <c r="BI641" i="1"/>
  <c r="BG641" i="1"/>
  <c r="BH641" i="1" s="1"/>
  <c r="BM640" i="1"/>
  <c r="BL640" i="1"/>
  <c r="BK640" i="1"/>
  <c r="BJ640" i="1"/>
  <c r="BI640" i="1"/>
  <c r="BG640" i="1"/>
  <c r="BH640" i="1" s="1"/>
  <c r="BM639" i="1"/>
  <c r="BL639" i="1"/>
  <c r="BK639" i="1"/>
  <c r="BJ639" i="1"/>
  <c r="BI639" i="1"/>
  <c r="BG639" i="1"/>
  <c r="BH639" i="1" s="1"/>
  <c r="BM638" i="1"/>
  <c r="BL638" i="1"/>
  <c r="BK638" i="1"/>
  <c r="BJ638" i="1"/>
  <c r="BI638" i="1"/>
  <c r="BG638" i="1"/>
  <c r="BH638" i="1" s="1"/>
  <c r="BM637" i="1"/>
  <c r="BL637" i="1"/>
  <c r="BK637" i="1"/>
  <c r="BJ637" i="1"/>
  <c r="BI637" i="1"/>
  <c r="BG637" i="1"/>
  <c r="BH637" i="1" s="1"/>
  <c r="BM636" i="1"/>
  <c r="BL636" i="1"/>
  <c r="BK636" i="1"/>
  <c r="BJ636" i="1"/>
  <c r="BI636" i="1"/>
  <c r="BG636" i="1"/>
  <c r="BH636" i="1" s="1"/>
  <c r="BM635" i="1"/>
  <c r="BL635" i="1"/>
  <c r="BK635" i="1"/>
  <c r="BJ635" i="1"/>
  <c r="BI635" i="1"/>
  <c r="BG635" i="1"/>
  <c r="BH635" i="1" s="1"/>
  <c r="BM634" i="1"/>
  <c r="BL634" i="1"/>
  <c r="BK634" i="1"/>
  <c r="BJ634" i="1"/>
  <c r="BI634" i="1"/>
  <c r="BG634" i="1"/>
  <c r="BH634" i="1" s="1"/>
  <c r="BM633" i="1"/>
  <c r="BL633" i="1"/>
  <c r="BK633" i="1"/>
  <c r="BJ633" i="1"/>
  <c r="BI633" i="1"/>
  <c r="BG633" i="1"/>
  <c r="BH633" i="1" s="1"/>
  <c r="BM632" i="1"/>
  <c r="BL632" i="1"/>
  <c r="BK632" i="1"/>
  <c r="BJ632" i="1"/>
  <c r="BI632" i="1"/>
  <c r="BG632" i="1"/>
  <c r="BH632" i="1" s="1"/>
  <c r="BM631" i="1"/>
  <c r="BL631" i="1"/>
  <c r="BK631" i="1"/>
  <c r="BJ631" i="1"/>
  <c r="BI631" i="1"/>
  <c r="BG631" i="1"/>
  <c r="BH631" i="1" s="1"/>
  <c r="BM630" i="1"/>
  <c r="BL630" i="1"/>
  <c r="BK630" i="1"/>
  <c r="BJ630" i="1"/>
  <c r="BI630" i="1"/>
  <c r="BG630" i="1"/>
  <c r="BH630" i="1" s="1"/>
  <c r="BM629" i="1"/>
  <c r="BL629" i="1"/>
  <c r="BK629" i="1"/>
  <c r="BJ629" i="1"/>
  <c r="BI629" i="1"/>
  <c r="BG629" i="1"/>
  <c r="BH629" i="1" s="1"/>
  <c r="BM628" i="1"/>
  <c r="BL628" i="1"/>
  <c r="BK628" i="1"/>
  <c r="BJ628" i="1"/>
  <c r="BI628" i="1"/>
  <c r="BG628" i="1"/>
  <c r="BH628" i="1" s="1"/>
  <c r="BM627" i="1"/>
  <c r="BL627" i="1"/>
  <c r="BK627" i="1"/>
  <c r="BJ627" i="1"/>
  <c r="BI627" i="1"/>
  <c r="BG627" i="1"/>
  <c r="BH627" i="1" s="1"/>
  <c r="BM626" i="1"/>
  <c r="BL626" i="1"/>
  <c r="BK626" i="1"/>
  <c r="BJ626" i="1"/>
  <c r="BI626" i="1"/>
  <c r="BG626" i="1"/>
  <c r="BH626" i="1" s="1"/>
  <c r="BM625" i="1"/>
  <c r="BL625" i="1"/>
  <c r="BK625" i="1"/>
  <c r="BJ625" i="1"/>
  <c r="BI625" i="1"/>
  <c r="BG625" i="1"/>
  <c r="BH625" i="1" s="1"/>
  <c r="BM624" i="1"/>
  <c r="BL624" i="1"/>
  <c r="BK624" i="1"/>
  <c r="BJ624" i="1"/>
  <c r="BI624" i="1"/>
  <c r="BG624" i="1"/>
  <c r="BH624" i="1" s="1"/>
  <c r="BM623" i="1"/>
  <c r="BL623" i="1"/>
  <c r="BK623" i="1"/>
  <c r="BJ623" i="1"/>
  <c r="BI623" i="1"/>
  <c r="BG623" i="1"/>
  <c r="BH623" i="1" s="1"/>
  <c r="BM622" i="1"/>
  <c r="BL622" i="1"/>
  <c r="BK622" i="1"/>
  <c r="BJ622" i="1"/>
  <c r="BI622" i="1"/>
  <c r="BG622" i="1"/>
  <c r="BH622" i="1" s="1"/>
  <c r="BM621" i="1"/>
  <c r="BL621" i="1"/>
  <c r="BK621" i="1"/>
  <c r="BJ621" i="1"/>
  <c r="BI621" i="1"/>
  <c r="BG621" i="1"/>
  <c r="BH621" i="1" s="1"/>
  <c r="BM620" i="1"/>
  <c r="BL620" i="1"/>
  <c r="BK620" i="1"/>
  <c r="BJ620" i="1"/>
  <c r="BI620" i="1"/>
  <c r="BG620" i="1"/>
  <c r="BH620" i="1" s="1"/>
  <c r="BM619" i="1"/>
  <c r="BL619" i="1"/>
  <c r="BK619" i="1"/>
  <c r="BJ619" i="1"/>
  <c r="BI619" i="1"/>
  <c r="BG619" i="1"/>
  <c r="BH619" i="1" s="1"/>
  <c r="BM618" i="1"/>
  <c r="BL618" i="1"/>
  <c r="BK618" i="1"/>
  <c r="BJ618" i="1"/>
  <c r="BI618" i="1"/>
  <c r="BG618" i="1"/>
  <c r="BH618" i="1" s="1"/>
  <c r="BM617" i="1"/>
  <c r="BL617" i="1"/>
  <c r="BK617" i="1"/>
  <c r="BJ617" i="1"/>
  <c r="BI617" i="1"/>
  <c r="BG617" i="1"/>
  <c r="BH617" i="1" s="1"/>
  <c r="BM616" i="1"/>
  <c r="BL616" i="1"/>
  <c r="BK616" i="1"/>
  <c r="BJ616" i="1"/>
  <c r="BI616" i="1"/>
  <c r="BG616" i="1"/>
  <c r="BH616" i="1" s="1"/>
  <c r="BM615" i="1"/>
  <c r="BL615" i="1"/>
  <c r="BK615" i="1"/>
  <c r="BJ615" i="1"/>
  <c r="BI615" i="1"/>
  <c r="BG615" i="1"/>
  <c r="BH615" i="1" s="1"/>
  <c r="BM614" i="1"/>
  <c r="BL614" i="1"/>
  <c r="BK614" i="1"/>
  <c r="BJ614" i="1"/>
  <c r="BI614" i="1"/>
  <c r="BG614" i="1"/>
  <c r="BH614" i="1" s="1"/>
  <c r="BM613" i="1"/>
  <c r="BL613" i="1"/>
  <c r="BK613" i="1"/>
  <c r="BJ613" i="1"/>
  <c r="BI613" i="1"/>
  <c r="BG613" i="1"/>
  <c r="BH613" i="1" s="1"/>
  <c r="BM612" i="1"/>
  <c r="BL612" i="1"/>
  <c r="BK612" i="1"/>
  <c r="BJ612" i="1"/>
  <c r="BI612" i="1"/>
  <c r="BG612" i="1"/>
  <c r="BH612" i="1" s="1"/>
  <c r="BM611" i="1"/>
  <c r="BL611" i="1"/>
  <c r="BK611" i="1"/>
  <c r="BJ611" i="1"/>
  <c r="BI611" i="1"/>
  <c r="BG611" i="1"/>
  <c r="BH611" i="1" s="1"/>
  <c r="BM610" i="1"/>
  <c r="BL610" i="1"/>
  <c r="BK610" i="1"/>
  <c r="BJ610" i="1"/>
  <c r="BI610" i="1"/>
  <c r="BG610" i="1"/>
  <c r="BH610" i="1" s="1"/>
  <c r="BM609" i="1"/>
  <c r="BL609" i="1"/>
  <c r="BK609" i="1"/>
  <c r="BJ609" i="1"/>
  <c r="BI609" i="1"/>
  <c r="BG609" i="1"/>
  <c r="BH609" i="1" s="1"/>
  <c r="BM608" i="1"/>
  <c r="BL608" i="1"/>
  <c r="BK608" i="1"/>
  <c r="BJ608" i="1"/>
  <c r="BI608" i="1"/>
  <c r="BG608" i="1"/>
  <c r="BH608" i="1" s="1"/>
  <c r="BM607" i="1"/>
  <c r="BL607" i="1"/>
  <c r="BK607" i="1"/>
  <c r="BJ607" i="1"/>
  <c r="BI607" i="1"/>
  <c r="BG607" i="1"/>
  <c r="BH607" i="1" s="1"/>
  <c r="BM606" i="1"/>
  <c r="BL606" i="1"/>
  <c r="BK606" i="1"/>
  <c r="BJ606" i="1"/>
  <c r="BI606" i="1"/>
  <c r="BG606" i="1"/>
  <c r="BH606" i="1" s="1"/>
  <c r="BM605" i="1"/>
  <c r="BL605" i="1"/>
  <c r="BK605" i="1"/>
  <c r="BJ605" i="1"/>
  <c r="BI605" i="1"/>
  <c r="BG605" i="1"/>
  <c r="BH605" i="1" s="1"/>
  <c r="BM604" i="1"/>
  <c r="BL604" i="1"/>
  <c r="BK604" i="1"/>
  <c r="BJ604" i="1"/>
  <c r="BI604" i="1"/>
  <c r="BG604" i="1"/>
  <c r="BH604" i="1" s="1"/>
  <c r="BM603" i="1"/>
  <c r="BL603" i="1"/>
  <c r="BK603" i="1"/>
  <c r="BJ603" i="1"/>
  <c r="BI603" i="1"/>
  <c r="BG603" i="1"/>
  <c r="BH603" i="1" s="1"/>
  <c r="BM602" i="1"/>
  <c r="BL602" i="1"/>
  <c r="BK602" i="1"/>
  <c r="BJ602" i="1"/>
  <c r="BI602" i="1"/>
  <c r="BG602" i="1"/>
  <c r="BH602" i="1" s="1"/>
  <c r="BM601" i="1"/>
  <c r="BL601" i="1"/>
  <c r="BK601" i="1"/>
  <c r="BJ601" i="1"/>
  <c r="BI601" i="1"/>
  <c r="BG601" i="1"/>
  <c r="BH601" i="1" s="1"/>
  <c r="BM600" i="1"/>
  <c r="BL600" i="1"/>
  <c r="BK600" i="1"/>
  <c r="BJ600" i="1"/>
  <c r="BI600" i="1"/>
  <c r="BG600" i="1"/>
  <c r="BH600" i="1" s="1"/>
  <c r="BM599" i="1"/>
  <c r="BL599" i="1"/>
  <c r="BK599" i="1"/>
  <c r="BJ599" i="1"/>
  <c r="BI599" i="1"/>
  <c r="BG599" i="1"/>
  <c r="BH599" i="1" s="1"/>
  <c r="BM598" i="1"/>
  <c r="BL598" i="1"/>
  <c r="BK598" i="1"/>
  <c r="BJ598" i="1"/>
  <c r="BI598" i="1"/>
  <c r="BG598" i="1"/>
  <c r="BH598" i="1" s="1"/>
  <c r="BM597" i="1"/>
  <c r="BL597" i="1"/>
  <c r="BK597" i="1"/>
  <c r="BJ597" i="1"/>
  <c r="BI597" i="1"/>
  <c r="BG597" i="1"/>
  <c r="BH597" i="1" s="1"/>
  <c r="BM596" i="1"/>
  <c r="BL596" i="1"/>
  <c r="BK596" i="1"/>
  <c r="BJ596" i="1"/>
  <c r="BI596" i="1"/>
  <c r="BG596" i="1"/>
  <c r="BH596" i="1" s="1"/>
  <c r="BM595" i="1"/>
  <c r="BL595" i="1"/>
  <c r="BK595" i="1"/>
  <c r="BJ595" i="1"/>
  <c r="BI595" i="1"/>
  <c r="BG595" i="1"/>
  <c r="BH595" i="1" s="1"/>
  <c r="BM594" i="1"/>
  <c r="BL594" i="1"/>
  <c r="BK594" i="1"/>
  <c r="BJ594" i="1"/>
  <c r="BI594" i="1"/>
  <c r="BG594" i="1"/>
  <c r="BH594" i="1" s="1"/>
  <c r="BM593" i="1"/>
  <c r="BL593" i="1"/>
  <c r="BK593" i="1"/>
  <c r="BJ593" i="1"/>
  <c r="BI593" i="1"/>
  <c r="BG593" i="1"/>
  <c r="BH593" i="1" s="1"/>
  <c r="BM592" i="1"/>
  <c r="BL592" i="1"/>
  <c r="BK592" i="1"/>
  <c r="BJ592" i="1"/>
  <c r="BI592" i="1"/>
  <c r="BG592" i="1"/>
  <c r="BH592" i="1" s="1"/>
  <c r="BM591" i="1"/>
  <c r="BL591" i="1"/>
  <c r="BK591" i="1"/>
  <c r="BJ591" i="1"/>
  <c r="BI591" i="1"/>
  <c r="BG591" i="1"/>
  <c r="BH591" i="1" s="1"/>
  <c r="BM590" i="1"/>
  <c r="BL590" i="1"/>
  <c r="BK590" i="1"/>
  <c r="BJ590" i="1"/>
  <c r="BI590" i="1"/>
  <c r="BG590" i="1"/>
  <c r="BH590" i="1" s="1"/>
  <c r="BM589" i="1"/>
  <c r="BL589" i="1"/>
  <c r="BK589" i="1"/>
  <c r="BJ589" i="1"/>
  <c r="BI589" i="1"/>
  <c r="BG589" i="1"/>
  <c r="BH589" i="1" s="1"/>
  <c r="BM588" i="1"/>
  <c r="BL588" i="1"/>
  <c r="BK588" i="1"/>
  <c r="BJ588" i="1"/>
  <c r="BI588" i="1"/>
  <c r="BG588" i="1"/>
  <c r="BH588" i="1" s="1"/>
  <c r="BM587" i="1"/>
  <c r="BL587" i="1"/>
  <c r="BK587" i="1"/>
  <c r="BJ587" i="1"/>
  <c r="BI587" i="1"/>
  <c r="BG587" i="1"/>
  <c r="BH587" i="1" s="1"/>
  <c r="BM586" i="1"/>
  <c r="BL586" i="1"/>
  <c r="BK586" i="1"/>
  <c r="BJ586" i="1"/>
  <c r="BI586" i="1"/>
  <c r="BG586" i="1"/>
  <c r="BH586" i="1" s="1"/>
  <c r="BM585" i="1"/>
  <c r="BL585" i="1"/>
  <c r="BK585" i="1"/>
  <c r="BJ585" i="1"/>
  <c r="BI585" i="1"/>
  <c r="BG585" i="1"/>
  <c r="BH585" i="1" s="1"/>
  <c r="BM584" i="1"/>
  <c r="BL584" i="1"/>
  <c r="BK584" i="1"/>
  <c r="BJ584" i="1"/>
  <c r="BI584" i="1"/>
  <c r="BG584" i="1"/>
  <c r="BH584" i="1" s="1"/>
  <c r="BM583" i="1"/>
  <c r="BL583" i="1"/>
  <c r="BK583" i="1"/>
  <c r="BJ583" i="1"/>
  <c r="BI583" i="1"/>
  <c r="BG583" i="1"/>
  <c r="BH583" i="1" s="1"/>
  <c r="BM582" i="1"/>
  <c r="BL582" i="1"/>
  <c r="BK582" i="1"/>
  <c r="BJ582" i="1"/>
  <c r="BI582" i="1"/>
  <c r="BG582" i="1"/>
  <c r="BH582" i="1" s="1"/>
  <c r="BM581" i="1"/>
  <c r="BL581" i="1"/>
  <c r="BK581" i="1"/>
  <c r="BJ581" i="1"/>
  <c r="BI581" i="1"/>
  <c r="BG581" i="1"/>
  <c r="BH581" i="1" s="1"/>
  <c r="BM580" i="1"/>
  <c r="BL580" i="1"/>
  <c r="BK580" i="1"/>
  <c r="BJ580" i="1"/>
  <c r="BI580" i="1"/>
  <c r="BG580" i="1"/>
  <c r="BH580" i="1" s="1"/>
  <c r="BM579" i="1"/>
  <c r="BL579" i="1"/>
  <c r="BK579" i="1"/>
  <c r="BJ579" i="1"/>
  <c r="BI579" i="1"/>
  <c r="BG579" i="1"/>
  <c r="BH579" i="1" s="1"/>
  <c r="BM578" i="1"/>
  <c r="BL578" i="1"/>
  <c r="BK578" i="1"/>
  <c r="BJ578" i="1"/>
  <c r="BI578" i="1"/>
  <c r="BG578" i="1"/>
  <c r="BH578" i="1" s="1"/>
  <c r="BM577" i="1"/>
  <c r="BL577" i="1"/>
  <c r="BK577" i="1"/>
  <c r="BJ577" i="1"/>
  <c r="BI577" i="1"/>
  <c r="BG577" i="1"/>
  <c r="BH577" i="1" s="1"/>
  <c r="BM576" i="1"/>
  <c r="BL576" i="1"/>
  <c r="BK576" i="1"/>
  <c r="BJ576" i="1"/>
  <c r="BI576" i="1"/>
  <c r="BG576" i="1"/>
  <c r="BH576" i="1" s="1"/>
  <c r="BM575" i="1"/>
  <c r="BL575" i="1"/>
  <c r="BK575" i="1"/>
  <c r="BJ575" i="1"/>
  <c r="BI575" i="1"/>
  <c r="BG575" i="1"/>
  <c r="BH575" i="1" s="1"/>
  <c r="BM574" i="1"/>
  <c r="BL574" i="1"/>
  <c r="BK574" i="1"/>
  <c r="BJ574" i="1"/>
  <c r="BI574" i="1"/>
  <c r="BG574" i="1"/>
  <c r="BH574" i="1" s="1"/>
  <c r="BM573" i="1"/>
  <c r="BL573" i="1"/>
  <c r="BK573" i="1"/>
  <c r="BJ573" i="1"/>
  <c r="BI573" i="1"/>
  <c r="BG573" i="1"/>
  <c r="BH573" i="1" s="1"/>
  <c r="BM572" i="1"/>
  <c r="BL572" i="1"/>
  <c r="BK572" i="1"/>
  <c r="BJ572" i="1"/>
  <c r="BI572" i="1"/>
  <c r="BG572" i="1"/>
  <c r="BH572" i="1" s="1"/>
  <c r="BM571" i="1"/>
  <c r="BL571" i="1"/>
  <c r="BK571" i="1"/>
  <c r="BJ571" i="1"/>
  <c r="BI571" i="1"/>
  <c r="BG571" i="1"/>
  <c r="BH571" i="1" s="1"/>
  <c r="BM570" i="1"/>
  <c r="BL570" i="1"/>
  <c r="BK570" i="1"/>
  <c r="BJ570" i="1"/>
  <c r="BI570" i="1"/>
  <c r="BG570" i="1"/>
  <c r="BH570" i="1" s="1"/>
  <c r="BM569" i="1"/>
  <c r="BL569" i="1"/>
  <c r="BK569" i="1"/>
  <c r="BJ569" i="1"/>
  <c r="BI569" i="1"/>
  <c r="BG569" i="1"/>
  <c r="BH569" i="1" s="1"/>
  <c r="BM568" i="1"/>
  <c r="BL568" i="1"/>
  <c r="BK568" i="1"/>
  <c r="BJ568" i="1"/>
  <c r="BI568" i="1"/>
  <c r="BG568" i="1"/>
  <c r="BH568" i="1" s="1"/>
  <c r="BM567" i="1"/>
  <c r="BL567" i="1"/>
  <c r="BK567" i="1"/>
  <c r="BJ567" i="1"/>
  <c r="BI567" i="1"/>
  <c r="BG567" i="1"/>
  <c r="BH567" i="1" s="1"/>
  <c r="BM566" i="1"/>
  <c r="BL566" i="1"/>
  <c r="BK566" i="1"/>
  <c r="BJ566" i="1"/>
  <c r="BI566" i="1"/>
  <c r="BG566" i="1"/>
  <c r="BH566" i="1" s="1"/>
  <c r="BM565" i="1"/>
  <c r="BL565" i="1"/>
  <c r="BK565" i="1"/>
  <c r="BJ565" i="1"/>
  <c r="BI565" i="1"/>
  <c r="BG565" i="1"/>
  <c r="BH565" i="1" s="1"/>
  <c r="BM564" i="1"/>
  <c r="BL564" i="1"/>
  <c r="BK564" i="1"/>
  <c r="BJ564" i="1"/>
  <c r="BI564" i="1"/>
  <c r="BG564" i="1"/>
  <c r="BH564" i="1" s="1"/>
  <c r="BM563" i="1"/>
  <c r="BL563" i="1"/>
  <c r="BK563" i="1"/>
  <c r="BJ563" i="1"/>
  <c r="BI563" i="1"/>
  <c r="BG563" i="1"/>
  <c r="BH563" i="1" s="1"/>
  <c r="BM562" i="1"/>
  <c r="BL562" i="1"/>
  <c r="BK562" i="1"/>
  <c r="BJ562" i="1"/>
  <c r="BI562" i="1"/>
  <c r="BG562" i="1"/>
  <c r="BH562" i="1" s="1"/>
  <c r="BM561" i="1"/>
  <c r="BL561" i="1"/>
  <c r="BK561" i="1"/>
  <c r="BJ561" i="1"/>
  <c r="BI561" i="1"/>
  <c r="BG561" i="1"/>
  <c r="BH561" i="1" s="1"/>
  <c r="BM560" i="1"/>
  <c r="BL560" i="1"/>
  <c r="BK560" i="1"/>
  <c r="BJ560" i="1"/>
  <c r="BI560" i="1"/>
  <c r="BG560" i="1"/>
  <c r="BH560" i="1" s="1"/>
  <c r="BM559" i="1"/>
  <c r="BL559" i="1"/>
  <c r="BK559" i="1"/>
  <c r="BJ559" i="1"/>
  <c r="BI559" i="1"/>
  <c r="BG559" i="1"/>
  <c r="BH559" i="1" s="1"/>
  <c r="BM558" i="1"/>
  <c r="BL558" i="1"/>
  <c r="BK558" i="1"/>
  <c r="BJ558" i="1"/>
  <c r="BI558" i="1"/>
  <c r="BG558" i="1"/>
  <c r="BH558" i="1" s="1"/>
  <c r="BM557" i="1"/>
  <c r="BL557" i="1"/>
  <c r="BK557" i="1"/>
  <c r="BJ557" i="1"/>
  <c r="BI557" i="1"/>
  <c r="BG557" i="1"/>
  <c r="BH557" i="1" s="1"/>
  <c r="BM556" i="1"/>
  <c r="BL556" i="1"/>
  <c r="BK556" i="1"/>
  <c r="BJ556" i="1"/>
  <c r="BI556" i="1"/>
  <c r="BG556" i="1"/>
  <c r="BH556" i="1" s="1"/>
  <c r="BM555" i="1"/>
  <c r="BL555" i="1"/>
  <c r="BK555" i="1"/>
  <c r="BJ555" i="1"/>
  <c r="BI555" i="1"/>
  <c r="BG555" i="1"/>
  <c r="BH555" i="1" s="1"/>
  <c r="BM554" i="1"/>
  <c r="BL554" i="1"/>
  <c r="BK554" i="1"/>
  <c r="BJ554" i="1"/>
  <c r="BI554" i="1"/>
  <c r="BG554" i="1"/>
  <c r="BH554" i="1" s="1"/>
  <c r="BM553" i="1"/>
  <c r="BL553" i="1"/>
  <c r="BK553" i="1"/>
  <c r="BJ553" i="1"/>
  <c r="BI553" i="1"/>
  <c r="BG553" i="1"/>
  <c r="BH553" i="1" s="1"/>
  <c r="BM552" i="1"/>
  <c r="BL552" i="1"/>
  <c r="BK552" i="1"/>
  <c r="BJ552" i="1"/>
  <c r="BI552" i="1"/>
  <c r="BG552" i="1"/>
  <c r="BH552" i="1" s="1"/>
  <c r="BM551" i="1"/>
  <c r="BL551" i="1"/>
  <c r="BK551" i="1"/>
  <c r="BJ551" i="1"/>
  <c r="BI551" i="1"/>
  <c r="BG551" i="1"/>
  <c r="BH551" i="1" s="1"/>
  <c r="BM550" i="1"/>
  <c r="BL550" i="1"/>
  <c r="BK550" i="1"/>
  <c r="BJ550" i="1"/>
  <c r="BI550" i="1"/>
  <c r="BG550" i="1"/>
  <c r="BH550" i="1" s="1"/>
  <c r="BM549" i="1"/>
  <c r="BL549" i="1"/>
  <c r="BK549" i="1"/>
  <c r="BJ549" i="1"/>
  <c r="BI549" i="1"/>
  <c r="BG549" i="1"/>
  <c r="BH549" i="1" s="1"/>
  <c r="BM548" i="1"/>
  <c r="BL548" i="1"/>
  <c r="BK548" i="1"/>
  <c r="BJ548" i="1"/>
  <c r="BI548" i="1"/>
  <c r="BG548" i="1"/>
  <c r="BH548" i="1" s="1"/>
  <c r="BM547" i="1"/>
  <c r="BL547" i="1"/>
  <c r="BK547" i="1"/>
  <c r="BJ547" i="1"/>
  <c r="BI547" i="1"/>
  <c r="BG547" i="1"/>
  <c r="BH547" i="1" s="1"/>
  <c r="BM546" i="1"/>
  <c r="BL546" i="1"/>
  <c r="BK546" i="1"/>
  <c r="BJ546" i="1"/>
  <c r="BI546" i="1"/>
  <c r="BG546" i="1"/>
  <c r="BH546" i="1" s="1"/>
  <c r="BM545" i="1"/>
  <c r="BL545" i="1"/>
  <c r="BK545" i="1"/>
  <c r="BJ545" i="1"/>
  <c r="BI545" i="1"/>
  <c r="BG545" i="1"/>
  <c r="BH545" i="1" s="1"/>
  <c r="BM544" i="1"/>
  <c r="BL544" i="1"/>
  <c r="BK544" i="1"/>
  <c r="BJ544" i="1"/>
  <c r="BI544" i="1"/>
  <c r="BG544" i="1"/>
  <c r="BH544" i="1" s="1"/>
  <c r="BM543" i="1"/>
  <c r="BL543" i="1"/>
  <c r="BK543" i="1"/>
  <c r="BJ543" i="1"/>
  <c r="BI543" i="1"/>
  <c r="BG543" i="1"/>
  <c r="BH543" i="1" s="1"/>
  <c r="BM542" i="1"/>
  <c r="BL542" i="1"/>
  <c r="BK542" i="1"/>
  <c r="BJ542" i="1"/>
  <c r="BI542" i="1"/>
  <c r="BG542" i="1"/>
  <c r="BH542" i="1" s="1"/>
  <c r="BM541" i="1"/>
  <c r="BL541" i="1"/>
  <c r="BK541" i="1"/>
  <c r="BJ541" i="1"/>
  <c r="BI541" i="1"/>
  <c r="BG541" i="1"/>
  <c r="BH541" i="1" s="1"/>
  <c r="BM540" i="1"/>
  <c r="BL540" i="1"/>
  <c r="BK540" i="1"/>
  <c r="BJ540" i="1"/>
  <c r="BI540" i="1"/>
  <c r="BG540" i="1"/>
  <c r="BH540" i="1" s="1"/>
  <c r="BM539" i="1"/>
  <c r="BL539" i="1"/>
  <c r="BK539" i="1"/>
  <c r="BJ539" i="1"/>
  <c r="BI539" i="1"/>
  <c r="BG539" i="1"/>
  <c r="BH539" i="1" s="1"/>
  <c r="BM538" i="1"/>
  <c r="BL538" i="1"/>
  <c r="BK538" i="1"/>
  <c r="BJ538" i="1"/>
  <c r="BI538" i="1"/>
  <c r="BG538" i="1"/>
  <c r="BH538" i="1" s="1"/>
  <c r="BM537" i="1"/>
  <c r="BL537" i="1"/>
  <c r="BK537" i="1"/>
  <c r="BJ537" i="1"/>
  <c r="BI537" i="1"/>
  <c r="BG537" i="1"/>
  <c r="BH537" i="1" s="1"/>
  <c r="BM536" i="1"/>
  <c r="BL536" i="1"/>
  <c r="BK536" i="1"/>
  <c r="BJ536" i="1"/>
  <c r="BI536" i="1"/>
  <c r="BG536" i="1"/>
  <c r="BH536" i="1" s="1"/>
  <c r="BM535" i="1"/>
  <c r="BL535" i="1"/>
  <c r="BK535" i="1"/>
  <c r="BJ535" i="1"/>
  <c r="BI535" i="1"/>
  <c r="BG535" i="1"/>
  <c r="BH535" i="1" s="1"/>
  <c r="BM534" i="1"/>
  <c r="BL534" i="1"/>
  <c r="BK534" i="1"/>
  <c r="BJ534" i="1"/>
  <c r="BI534" i="1"/>
  <c r="BG534" i="1"/>
  <c r="BH534" i="1" s="1"/>
  <c r="BM533" i="1"/>
  <c r="BL533" i="1"/>
  <c r="BK533" i="1"/>
  <c r="BJ533" i="1"/>
  <c r="BI533" i="1"/>
  <c r="BG533" i="1"/>
  <c r="BH533" i="1" s="1"/>
  <c r="BM532" i="1"/>
  <c r="BL532" i="1"/>
  <c r="BK532" i="1"/>
  <c r="BJ532" i="1"/>
  <c r="BI532" i="1"/>
  <c r="BG532" i="1"/>
  <c r="BH532" i="1" s="1"/>
  <c r="BM531" i="1"/>
  <c r="BL531" i="1"/>
  <c r="BK531" i="1"/>
  <c r="BJ531" i="1"/>
  <c r="BI531" i="1"/>
  <c r="BG531" i="1"/>
  <c r="BH531" i="1" s="1"/>
  <c r="BM530" i="1"/>
  <c r="BL530" i="1"/>
  <c r="BK530" i="1"/>
  <c r="BJ530" i="1"/>
  <c r="BI530" i="1"/>
  <c r="BG530" i="1"/>
  <c r="BH530" i="1" s="1"/>
  <c r="BM529" i="1"/>
  <c r="BL529" i="1"/>
  <c r="BK529" i="1"/>
  <c r="BJ529" i="1"/>
  <c r="BI529" i="1"/>
  <c r="BG529" i="1"/>
  <c r="BH529" i="1" s="1"/>
  <c r="BM528" i="1"/>
  <c r="BL528" i="1"/>
  <c r="BK528" i="1"/>
  <c r="BJ528" i="1"/>
  <c r="BI528" i="1"/>
  <c r="BG528" i="1"/>
  <c r="BH528" i="1" s="1"/>
  <c r="BM527" i="1"/>
  <c r="BL527" i="1"/>
  <c r="BK527" i="1"/>
  <c r="BJ527" i="1"/>
  <c r="BI527" i="1"/>
  <c r="BG527" i="1"/>
  <c r="BH527" i="1" s="1"/>
  <c r="BM526" i="1"/>
  <c r="BL526" i="1"/>
  <c r="BK526" i="1"/>
  <c r="BJ526" i="1"/>
  <c r="BI526" i="1"/>
  <c r="BG526" i="1"/>
  <c r="BH526" i="1" s="1"/>
  <c r="BM525" i="1"/>
  <c r="BL525" i="1"/>
  <c r="BK525" i="1"/>
  <c r="BJ525" i="1"/>
  <c r="BI525" i="1"/>
  <c r="BG525" i="1"/>
  <c r="BH525" i="1" s="1"/>
  <c r="BM524" i="1"/>
  <c r="BL524" i="1"/>
  <c r="BK524" i="1"/>
  <c r="BJ524" i="1"/>
  <c r="BI524" i="1"/>
  <c r="BG524" i="1"/>
  <c r="BH524" i="1" s="1"/>
  <c r="BM523" i="1"/>
  <c r="BL523" i="1"/>
  <c r="BK523" i="1"/>
  <c r="BJ523" i="1"/>
  <c r="BI523" i="1"/>
  <c r="BG523" i="1"/>
  <c r="BH523" i="1" s="1"/>
  <c r="BM522" i="1"/>
  <c r="BL522" i="1"/>
  <c r="BK522" i="1"/>
  <c r="BJ522" i="1"/>
  <c r="BI522" i="1"/>
  <c r="BG522" i="1"/>
  <c r="BH522" i="1" s="1"/>
  <c r="BM521" i="1"/>
  <c r="BL521" i="1"/>
  <c r="BK521" i="1"/>
  <c r="BJ521" i="1"/>
  <c r="BI521" i="1"/>
  <c r="BG521" i="1"/>
  <c r="BH521" i="1" s="1"/>
  <c r="BM520" i="1"/>
  <c r="BL520" i="1"/>
  <c r="BK520" i="1"/>
  <c r="BJ520" i="1"/>
  <c r="BI520" i="1"/>
  <c r="BG520" i="1"/>
  <c r="BH520" i="1" s="1"/>
  <c r="BM519" i="1"/>
  <c r="BL519" i="1"/>
  <c r="BK519" i="1"/>
  <c r="BJ519" i="1"/>
  <c r="BI519" i="1"/>
  <c r="BG519" i="1"/>
  <c r="BH519" i="1" s="1"/>
  <c r="BM518" i="1"/>
  <c r="BL518" i="1"/>
  <c r="BK518" i="1"/>
  <c r="BJ518" i="1"/>
  <c r="BI518" i="1"/>
  <c r="BG518" i="1"/>
  <c r="BH518" i="1" s="1"/>
  <c r="BM517" i="1"/>
  <c r="BL517" i="1"/>
  <c r="BK517" i="1"/>
  <c r="BJ517" i="1"/>
  <c r="BI517" i="1"/>
  <c r="BG517" i="1"/>
  <c r="BH517" i="1" s="1"/>
  <c r="BM516" i="1"/>
  <c r="BL516" i="1"/>
  <c r="BK516" i="1"/>
  <c r="BJ516" i="1"/>
  <c r="BI516" i="1"/>
  <c r="BG516" i="1"/>
  <c r="BH516" i="1" s="1"/>
  <c r="BM515" i="1"/>
  <c r="BL515" i="1"/>
  <c r="BK515" i="1"/>
  <c r="BJ515" i="1"/>
  <c r="BI515" i="1"/>
  <c r="BG515" i="1"/>
  <c r="BH515" i="1" s="1"/>
  <c r="BM514" i="1"/>
  <c r="BL514" i="1"/>
  <c r="BK514" i="1"/>
  <c r="BJ514" i="1"/>
  <c r="BI514" i="1"/>
  <c r="BG514" i="1"/>
  <c r="BH514" i="1" s="1"/>
  <c r="BM513" i="1"/>
  <c r="BL513" i="1"/>
  <c r="BK513" i="1"/>
  <c r="BJ513" i="1"/>
  <c r="BI513" i="1"/>
  <c r="BG513" i="1"/>
  <c r="BH513" i="1" s="1"/>
  <c r="BM512" i="1"/>
  <c r="BL512" i="1"/>
  <c r="BK512" i="1"/>
  <c r="BJ512" i="1"/>
  <c r="BI512" i="1"/>
  <c r="BG512" i="1"/>
  <c r="BH512" i="1" s="1"/>
  <c r="BM511" i="1"/>
  <c r="BL511" i="1"/>
  <c r="BK511" i="1"/>
  <c r="BJ511" i="1"/>
  <c r="BI511" i="1"/>
  <c r="BG511" i="1"/>
  <c r="BH511" i="1" s="1"/>
  <c r="BM510" i="1"/>
  <c r="BL510" i="1"/>
  <c r="BK510" i="1"/>
  <c r="BJ510" i="1"/>
  <c r="BI510" i="1"/>
  <c r="BG510" i="1"/>
  <c r="BH510" i="1" s="1"/>
  <c r="BM509" i="1"/>
  <c r="BL509" i="1"/>
  <c r="BK509" i="1"/>
  <c r="BJ509" i="1"/>
  <c r="BI509" i="1"/>
  <c r="BG509" i="1"/>
  <c r="BH509" i="1" s="1"/>
  <c r="BM508" i="1"/>
  <c r="BL508" i="1"/>
  <c r="BK508" i="1"/>
  <c r="BJ508" i="1"/>
  <c r="BI508" i="1"/>
  <c r="BG508" i="1"/>
  <c r="BH508" i="1" s="1"/>
  <c r="BM507" i="1"/>
  <c r="BL507" i="1"/>
  <c r="BK507" i="1"/>
  <c r="BJ507" i="1"/>
  <c r="BI507" i="1"/>
  <c r="BG507" i="1"/>
  <c r="BH507" i="1" s="1"/>
  <c r="BM506" i="1"/>
  <c r="BL506" i="1"/>
  <c r="BK506" i="1"/>
  <c r="BJ506" i="1"/>
  <c r="BI506" i="1"/>
  <c r="BG506" i="1"/>
  <c r="BH506" i="1" s="1"/>
  <c r="BM505" i="1"/>
  <c r="BL505" i="1"/>
  <c r="BK505" i="1"/>
  <c r="BJ505" i="1"/>
  <c r="BI505" i="1"/>
  <c r="BG505" i="1"/>
  <c r="BH505" i="1" s="1"/>
  <c r="BM504" i="1"/>
  <c r="BL504" i="1"/>
  <c r="BK504" i="1"/>
  <c r="BJ504" i="1"/>
  <c r="BI504" i="1"/>
  <c r="BG504" i="1"/>
  <c r="BH504" i="1" s="1"/>
  <c r="BM503" i="1"/>
  <c r="BL503" i="1"/>
  <c r="BK503" i="1"/>
  <c r="BJ503" i="1"/>
  <c r="BI503" i="1"/>
  <c r="BG503" i="1"/>
  <c r="BH503" i="1" s="1"/>
  <c r="BM502" i="1"/>
  <c r="BL502" i="1"/>
  <c r="BK502" i="1"/>
  <c r="BJ502" i="1"/>
  <c r="BI502" i="1"/>
  <c r="BG502" i="1"/>
  <c r="BH502" i="1" s="1"/>
  <c r="BM501" i="1"/>
  <c r="BL501" i="1"/>
  <c r="BK501" i="1"/>
  <c r="BJ501" i="1"/>
  <c r="BI501" i="1"/>
  <c r="BG501" i="1"/>
  <c r="BH501" i="1" s="1"/>
  <c r="BM500" i="1"/>
  <c r="BL500" i="1"/>
  <c r="BK500" i="1"/>
  <c r="BJ500" i="1"/>
  <c r="BI500" i="1"/>
  <c r="BG500" i="1"/>
  <c r="BH500" i="1" s="1"/>
  <c r="BM499" i="1"/>
  <c r="BL499" i="1"/>
  <c r="BK499" i="1"/>
  <c r="BJ499" i="1"/>
  <c r="BI499" i="1"/>
  <c r="BG499" i="1"/>
  <c r="BH499" i="1" s="1"/>
  <c r="BM498" i="1"/>
  <c r="BL498" i="1"/>
  <c r="BK498" i="1"/>
  <c r="BJ498" i="1"/>
  <c r="BI498" i="1"/>
  <c r="BG498" i="1"/>
  <c r="BH498" i="1" s="1"/>
  <c r="BM497" i="1"/>
  <c r="BL497" i="1"/>
  <c r="BK497" i="1"/>
  <c r="BJ497" i="1"/>
  <c r="BI497" i="1"/>
  <c r="BG497" i="1"/>
  <c r="BH497" i="1" s="1"/>
  <c r="BM496" i="1"/>
  <c r="BL496" i="1"/>
  <c r="BK496" i="1"/>
  <c r="BJ496" i="1"/>
  <c r="BI496" i="1"/>
  <c r="BG496" i="1"/>
  <c r="BH496" i="1" s="1"/>
  <c r="BM495" i="1"/>
  <c r="BL495" i="1"/>
  <c r="BK495" i="1"/>
  <c r="BJ495" i="1"/>
  <c r="BI495" i="1"/>
  <c r="BG495" i="1"/>
  <c r="BH495" i="1" s="1"/>
  <c r="BM494" i="1"/>
  <c r="BL494" i="1"/>
  <c r="BK494" i="1"/>
  <c r="BJ494" i="1"/>
  <c r="BI494" i="1"/>
  <c r="BG494" i="1"/>
  <c r="BH494" i="1" s="1"/>
  <c r="BM493" i="1"/>
  <c r="BL493" i="1"/>
  <c r="BK493" i="1"/>
  <c r="BJ493" i="1"/>
  <c r="BI493" i="1"/>
  <c r="BG493" i="1"/>
  <c r="BH493" i="1" s="1"/>
  <c r="BM492" i="1"/>
  <c r="BL492" i="1"/>
  <c r="BK492" i="1"/>
  <c r="BJ492" i="1"/>
  <c r="BI492" i="1"/>
  <c r="BG492" i="1"/>
  <c r="BH492" i="1" s="1"/>
  <c r="BM491" i="1"/>
  <c r="BL491" i="1"/>
  <c r="BK491" i="1"/>
  <c r="BJ491" i="1"/>
  <c r="BI491" i="1"/>
  <c r="BG491" i="1"/>
  <c r="BH491" i="1" s="1"/>
  <c r="BM490" i="1"/>
  <c r="BL490" i="1"/>
  <c r="BK490" i="1"/>
  <c r="BJ490" i="1"/>
  <c r="BI490" i="1"/>
  <c r="BG490" i="1"/>
  <c r="BH490" i="1" s="1"/>
  <c r="BM489" i="1"/>
  <c r="BL489" i="1"/>
  <c r="BK489" i="1"/>
  <c r="BJ489" i="1"/>
  <c r="BI489" i="1"/>
  <c r="BG489" i="1"/>
  <c r="BH489" i="1" s="1"/>
  <c r="BM488" i="1"/>
  <c r="BL488" i="1"/>
  <c r="BK488" i="1"/>
  <c r="BJ488" i="1"/>
  <c r="BI488" i="1"/>
  <c r="BG488" i="1"/>
  <c r="BH488" i="1" s="1"/>
  <c r="BM487" i="1"/>
  <c r="BL487" i="1"/>
  <c r="BK487" i="1"/>
  <c r="BJ487" i="1"/>
  <c r="BI487" i="1"/>
  <c r="BG487" i="1"/>
  <c r="BH487" i="1" s="1"/>
  <c r="BM486" i="1"/>
  <c r="BL486" i="1"/>
  <c r="BK486" i="1"/>
  <c r="BJ486" i="1"/>
  <c r="BI486" i="1"/>
  <c r="BG486" i="1"/>
  <c r="BH486" i="1" s="1"/>
  <c r="BM485" i="1"/>
  <c r="BL485" i="1"/>
  <c r="BK485" i="1"/>
  <c r="BJ485" i="1"/>
  <c r="BI485" i="1"/>
  <c r="BG485" i="1"/>
  <c r="BH485" i="1" s="1"/>
  <c r="BM484" i="1"/>
  <c r="BL484" i="1"/>
  <c r="BK484" i="1"/>
  <c r="BJ484" i="1"/>
  <c r="BI484" i="1"/>
  <c r="BG484" i="1"/>
  <c r="BH484" i="1" s="1"/>
  <c r="BM483" i="1"/>
  <c r="BL483" i="1"/>
  <c r="BK483" i="1"/>
  <c r="BJ483" i="1"/>
  <c r="BI483" i="1"/>
  <c r="BG483" i="1"/>
  <c r="BH483" i="1" s="1"/>
  <c r="BM482" i="1"/>
  <c r="BL482" i="1"/>
  <c r="BK482" i="1"/>
  <c r="BJ482" i="1"/>
  <c r="BI482" i="1"/>
  <c r="BG482" i="1"/>
  <c r="BH482" i="1" s="1"/>
  <c r="BM481" i="1"/>
  <c r="BL481" i="1"/>
  <c r="BK481" i="1"/>
  <c r="BJ481" i="1"/>
  <c r="BI481" i="1"/>
  <c r="BG481" i="1"/>
  <c r="BH481" i="1" s="1"/>
  <c r="BM480" i="1"/>
  <c r="BL480" i="1"/>
  <c r="BK480" i="1"/>
  <c r="BJ480" i="1"/>
  <c r="BI480" i="1"/>
  <c r="BG480" i="1"/>
  <c r="BH480" i="1" s="1"/>
  <c r="BM479" i="1"/>
  <c r="BL479" i="1"/>
  <c r="BK479" i="1"/>
  <c r="BJ479" i="1"/>
  <c r="BI479" i="1"/>
  <c r="BG479" i="1"/>
  <c r="BH479" i="1" s="1"/>
  <c r="BM478" i="1"/>
  <c r="BL478" i="1"/>
  <c r="BK478" i="1"/>
  <c r="BJ478" i="1"/>
  <c r="BI478" i="1"/>
  <c r="BG478" i="1"/>
  <c r="BH478" i="1" s="1"/>
  <c r="BM477" i="1"/>
  <c r="BL477" i="1"/>
  <c r="BK477" i="1"/>
  <c r="BJ477" i="1"/>
  <c r="BI477" i="1"/>
  <c r="BG477" i="1"/>
  <c r="BH477" i="1" s="1"/>
  <c r="BM476" i="1"/>
  <c r="BL476" i="1"/>
  <c r="BK476" i="1"/>
  <c r="BJ476" i="1"/>
  <c r="BI476" i="1"/>
  <c r="BG476" i="1"/>
  <c r="BH476" i="1" s="1"/>
  <c r="BM475" i="1"/>
  <c r="BL475" i="1"/>
  <c r="BK475" i="1"/>
  <c r="BJ475" i="1"/>
  <c r="BI475" i="1"/>
  <c r="BG475" i="1"/>
  <c r="BH475" i="1" s="1"/>
  <c r="BM474" i="1"/>
  <c r="BL474" i="1"/>
  <c r="BK474" i="1"/>
  <c r="BJ474" i="1"/>
  <c r="BI474" i="1"/>
  <c r="BG474" i="1"/>
  <c r="BH474" i="1" s="1"/>
  <c r="BM473" i="1"/>
  <c r="BL473" i="1"/>
  <c r="BK473" i="1"/>
  <c r="BJ473" i="1"/>
  <c r="BI473" i="1"/>
  <c r="BG473" i="1"/>
  <c r="BH473" i="1" s="1"/>
  <c r="BM472" i="1"/>
  <c r="BL472" i="1"/>
  <c r="BK472" i="1"/>
  <c r="BJ472" i="1"/>
  <c r="BI472" i="1"/>
  <c r="BG472" i="1"/>
  <c r="BH472" i="1" s="1"/>
  <c r="BM471" i="1"/>
  <c r="BL471" i="1"/>
  <c r="BK471" i="1"/>
  <c r="BJ471" i="1"/>
  <c r="BI471" i="1"/>
  <c r="BG471" i="1"/>
  <c r="BH471" i="1" s="1"/>
  <c r="BM470" i="1"/>
  <c r="BL470" i="1"/>
  <c r="BK470" i="1"/>
  <c r="BJ470" i="1"/>
  <c r="BI470" i="1"/>
  <c r="BG470" i="1"/>
  <c r="BH470" i="1" s="1"/>
  <c r="BM469" i="1"/>
  <c r="BL469" i="1"/>
  <c r="BK469" i="1"/>
  <c r="BJ469" i="1"/>
  <c r="BI469" i="1"/>
  <c r="BG469" i="1"/>
  <c r="BH469" i="1" s="1"/>
  <c r="BM468" i="1"/>
  <c r="BL468" i="1"/>
  <c r="BK468" i="1"/>
  <c r="BJ468" i="1"/>
  <c r="BI468" i="1"/>
  <c r="BG468" i="1"/>
  <c r="BH468" i="1" s="1"/>
  <c r="BM467" i="1"/>
  <c r="BL467" i="1"/>
  <c r="BK467" i="1"/>
  <c r="BJ467" i="1"/>
  <c r="BI467" i="1"/>
  <c r="BG467" i="1"/>
  <c r="BH467" i="1" s="1"/>
  <c r="BM466" i="1"/>
  <c r="BL466" i="1"/>
  <c r="BK466" i="1"/>
  <c r="BJ466" i="1"/>
  <c r="BI466" i="1"/>
  <c r="BG466" i="1"/>
  <c r="BH466" i="1" s="1"/>
  <c r="BM465" i="1"/>
  <c r="BL465" i="1"/>
  <c r="BK465" i="1"/>
  <c r="BJ465" i="1"/>
  <c r="BI465" i="1"/>
  <c r="BG465" i="1"/>
  <c r="BH465" i="1" s="1"/>
  <c r="BM464" i="1"/>
  <c r="BL464" i="1"/>
  <c r="BK464" i="1"/>
  <c r="BJ464" i="1"/>
  <c r="BI464" i="1"/>
  <c r="BG464" i="1"/>
  <c r="BH464" i="1" s="1"/>
  <c r="BM463" i="1"/>
  <c r="BL463" i="1"/>
  <c r="BK463" i="1"/>
  <c r="BJ463" i="1"/>
  <c r="BI463" i="1"/>
  <c r="BG463" i="1"/>
  <c r="BH463" i="1" s="1"/>
  <c r="BM462" i="1"/>
  <c r="BL462" i="1"/>
  <c r="BK462" i="1"/>
  <c r="BJ462" i="1"/>
  <c r="BI462" i="1"/>
  <c r="BG462" i="1"/>
  <c r="BH462" i="1" s="1"/>
  <c r="BM461" i="1"/>
  <c r="BL461" i="1"/>
  <c r="BK461" i="1"/>
  <c r="BJ461" i="1"/>
  <c r="BI461" i="1"/>
  <c r="BG461" i="1"/>
  <c r="BH461" i="1" s="1"/>
  <c r="BM460" i="1"/>
  <c r="BL460" i="1"/>
  <c r="BK460" i="1"/>
  <c r="BJ460" i="1"/>
  <c r="BI460" i="1"/>
  <c r="BG460" i="1"/>
  <c r="BH460" i="1" s="1"/>
  <c r="BM459" i="1"/>
  <c r="BL459" i="1"/>
  <c r="BK459" i="1"/>
  <c r="BJ459" i="1"/>
  <c r="BI459" i="1"/>
  <c r="BG459" i="1"/>
  <c r="BH459" i="1" s="1"/>
  <c r="BM458" i="1"/>
  <c r="BL458" i="1"/>
  <c r="BK458" i="1"/>
  <c r="BJ458" i="1"/>
  <c r="BI458" i="1"/>
  <c r="BG458" i="1"/>
  <c r="BH458" i="1" s="1"/>
  <c r="BM457" i="1"/>
  <c r="BL457" i="1"/>
  <c r="BK457" i="1"/>
  <c r="BJ457" i="1"/>
  <c r="BI457" i="1"/>
  <c r="BG457" i="1"/>
  <c r="BH457" i="1" s="1"/>
  <c r="BM456" i="1"/>
  <c r="BL456" i="1"/>
  <c r="BK456" i="1"/>
  <c r="BJ456" i="1"/>
  <c r="BI456" i="1"/>
  <c r="BG456" i="1"/>
  <c r="BH456" i="1" s="1"/>
  <c r="BM455" i="1"/>
  <c r="BL455" i="1"/>
  <c r="BK455" i="1"/>
  <c r="BJ455" i="1"/>
  <c r="BI455" i="1"/>
  <c r="BG455" i="1"/>
  <c r="BH455" i="1" s="1"/>
  <c r="BM454" i="1"/>
  <c r="BL454" i="1"/>
  <c r="BK454" i="1"/>
  <c r="BJ454" i="1"/>
  <c r="BI454" i="1"/>
  <c r="BG454" i="1"/>
  <c r="BH454" i="1" s="1"/>
  <c r="BM453" i="1"/>
  <c r="BL453" i="1"/>
  <c r="BK453" i="1"/>
  <c r="BJ453" i="1"/>
  <c r="BI453" i="1"/>
  <c r="BG453" i="1"/>
  <c r="BH453" i="1" s="1"/>
  <c r="BM452" i="1"/>
  <c r="BL452" i="1"/>
  <c r="BK452" i="1"/>
  <c r="BJ452" i="1"/>
  <c r="BI452" i="1"/>
  <c r="BG452" i="1"/>
  <c r="BH452" i="1" s="1"/>
  <c r="BM451" i="1"/>
  <c r="BL451" i="1"/>
  <c r="BK451" i="1"/>
  <c r="BJ451" i="1"/>
  <c r="BI451" i="1"/>
  <c r="BG451" i="1"/>
  <c r="BH451" i="1" s="1"/>
  <c r="BM450" i="1"/>
  <c r="BL450" i="1"/>
  <c r="BK450" i="1"/>
  <c r="BJ450" i="1"/>
  <c r="BI450" i="1"/>
  <c r="BG450" i="1"/>
  <c r="BH450" i="1" s="1"/>
  <c r="BM449" i="1"/>
  <c r="BL449" i="1"/>
  <c r="BK449" i="1"/>
  <c r="BJ449" i="1"/>
  <c r="BI449" i="1"/>
  <c r="BG449" i="1"/>
  <c r="BH449" i="1" s="1"/>
  <c r="BM448" i="1"/>
  <c r="BL448" i="1"/>
  <c r="BK448" i="1"/>
  <c r="BJ448" i="1"/>
  <c r="BI448" i="1"/>
  <c r="BG448" i="1"/>
  <c r="BH448" i="1" s="1"/>
  <c r="BM447" i="1"/>
  <c r="BL447" i="1"/>
  <c r="BK447" i="1"/>
  <c r="BJ447" i="1"/>
  <c r="BI447" i="1"/>
  <c r="BG447" i="1"/>
  <c r="BH447" i="1" s="1"/>
  <c r="BM446" i="1"/>
  <c r="BL446" i="1"/>
  <c r="BK446" i="1"/>
  <c r="BJ446" i="1"/>
  <c r="BI446" i="1"/>
  <c r="BG446" i="1"/>
  <c r="BH446" i="1" s="1"/>
  <c r="BM445" i="1"/>
  <c r="BL445" i="1"/>
  <c r="BK445" i="1"/>
  <c r="BJ445" i="1"/>
  <c r="BI445" i="1"/>
  <c r="BG445" i="1"/>
  <c r="BH445" i="1" s="1"/>
  <c r="BM444" i="1"/>
  <c r="BL444" i="1"/>
  <c r="BK444" i="1"/>
  <c r="BJ444" i="1"/>
  <c r="BI444" i="1"/>
  <c r="BG444" i="1"/>
  <c r="BH444" i="1" s="1"/>
  <c r="BM443" i="1"/>
  <c r="BL443" i="1"/>
  <c r="BK443" i="1"/>
  <c r="BJ443" i="1"/>
  <c r="BI443" i="1"/>
  <c r="BG443" i="1"/>
  <c r="BH443" i="1" s="1"/>
  <c r="BM442" i="1"/>
  <c r="BL442" i="1"/>
  <c r="BK442" i="1"/>
  <c r="BJ442" i="1"/>
  <c r="BI442" i="1"/>
  <c r="BG442" i="1"/>
  <c r="BH442" i="1" s="1"/>
  <c r="BM441" i="1"/>
  <c r="BL441" i="1"/>
  <c r="BK441" i="1"/>
  <c r="BJ441" i="1"/>
  <c r="BI441" i="1"/>
  <c r="BG441" i="1"/>
  <c r="BH441" i="1" s="1"/>
  <c r="BM440" i="1"/>
  <c r="BL440" i="1"/>
  <c r="BK440" i="1"/>
  <c r="BJ440" i="1"/>
  <c r="BI440" i="1"/>
  <c r="BG440" i="1"/>
  <c r="BH440" i="1" s="1"/>
  <c r="BM439" i="1"/>
  <c r="BL439" i="1"/>
  <c r="BK439" i="1"/>
  <c r="BJ439" i="1"/>
  <c r="BI439" i="1"/>
  <c r="BG439" i="1"/>
  <c r="BH439" i="1" s="1"/>
  <c r="BM438" i="1"/>
  <c r="BL438" i="1"/>
  <c r="BK438" i="1"/>
  <c r="BJ438" i="1"/>
  <c r="BI438" i="1"/>
  <c r="BG438" i="1"/>
  <c r="BH438" i="1" s="1"/>
  <c r="BM437" i="1"/>
  <c r="BL437" i="1"/>
  <c r="BK437" i="1"/>
  <c r="BJ437" i="1"/>
  <c r="BI437" i="1"/>
  <c r="BG437" i="1"/>
  <c r="BH437" i="1" s="1"/>
  <c r="BM436" i="1"/>
  <c r="BL436" i="1"/>
  <c r="BK436" i="1"/>
  <c r="BJ436" i="1"/>
  <c r="BI436" i="1"/>
  <c r="BG436" i="1"/>
  <c r="BH436" i="1" s="1"/>
  <c r="BM435" i="1"/>
  <c r="BL435" i="1"/>
  <c r="BK435" i="1"/>
  <c r="BJ435" i="1"/>
  <c r="BI435" i="1"/>
  <c r="BG435" i="1"/>
  <c r="BH435" i="1" s="1"/>
  <c r="BM434" i="1"/>
  <c r="BL434" i="1"/>
  <c r="BK434" i="1"/>
  <c r="BJ434" i="1"/>
  <c r="BI434" i="1"/>
  <c r="BG434" i="1"/>
  <c r="BH434" i="1" s="1"/>
  <c r="BM433" i="1"/>
  <c r="BL433" i="1"/>
  <c r="BK433" i="1"/>
  <c r="BJ433" i="1"/>
  <c r="BI433" i="1"/>
  <c r="BG433" i="1"/>
  <c r="BH433" i="1" s="1"/>
  <c r="BM432" i="1"/>
  <c r="BL432" i="1"/>
  <c r="BK432" i="1"/>
  <c r="BJ432" i="1"/>
  <c r="BI432" i="1"/>
  <c r="BG432" i="1"/>
  <c r="BH432" i="1" s="1"/>
  <c r="BM431" i="1"/>
  <c r="BL431" i="1"/>
  <c r="BK431" i="1"/>
  <c r="BJ431" i="1"/>
  <c r="BI431" i="1"/>
  <c r="BG431" i="1"/>
  <c r="BH431" i="1" s="1"/>
  <c r="BM430" i="1"/>
  <c r="BL430" i="1"/>
  <c r="BK430" i="1"/>
  <c r="BJ430" i="1"/>
  <c r="BI430" i="1"/>
  <c r="BG430" i="1"/>
  <c r="BH430" i="1" s="1"/>
  <c r="BM429" i="1"/>
  <c r="BL429" i="1"/>
  <c r="BK429" i="1"/>
  <c r="BJ429" i="1"/>
  <c r="BI429" i="1"/>
  <c r="BG429" i="1"/>
  <c r="BH429" i="1" s="1"/>
  <c r="BM428" i="1"/>
  <c r="BL428" i="1"/>
  <c r="BK428" i="1"/>
  <c r="BJ428" i="1"/>
  <c r="BI428" i="1"/>
  <c r="BG428" i="1"/>
  <c r="BH428" i="1" s="1"/>
  <c r="BM427" i="1"/>
  <c r="BL427" i="1"/>
  <c r="BK427" i="1"/>
  <c r="BJ427" i="1"/>
  <c r="BI427" i="1"/>
  <c r="BG427" i="1"/>
  <c r="BH427" i="1" s="1"/>
  <c r="BM426" i="1"/>
  <c r="BL426" i="1"/>
  <c r="BK426" i="1"/>
  <c r="BJ426" i="1"/>
  <c r="BI426" i="1"/>
  <c r="BG426" i="1"/>
  <c r="BH426" i="1" s="1"/>
  <c r="BM425" i="1"/>
  <c r="BL425" i="1"/>
  <c r="BK425" i="1"/>
  <c r="BJ425" i="1"/>
  <c r="BI425" i="1"/>
  <c r="BG425" i="1"/>
  <c r="BH425" i="1" s="1"/>
  <c r="BM424" i="1"/>
  <c r="BL424" i="1"/>
  <c r="BK424" i="1"/>
  <c r="BJ424" i="1"/>
  <c r="BI424" i="1"/>
  <c r="BG424" i="1"/>
  <c r="BH424" i="1" s="1"/>
  <c r="BM423" i="1"/>
  <c r="BL423" i="1"/>
  <c r="BK423" i="1"/>
  <c r="BJ423" i="1"/>
  <c r="BI423" i="1"/>
  <c r="BG423" i="1"/>
  <c r="BH423" i="1" s="1"/>
  <c r="BM422" i="1"/>
  <c r="BL422" i="1"/>
  <c r="BK422" i="1"/>
  <c r="BJ422" i="1"/>
  <c r="BI422" i="1"/>
  <c r="BG422" i="1"/>
  <c r="BH422" i="1" s="1"/>
  <c r="BM421" i="1"/>
  <c r="BL421" i="1"/>
  <c r="BK421" i="1"/>
  <c r="BJ421" i="1"/>
  <c r="BI421" i="1"/>
  <c r="BG421" i="1"/>
  <c r="BH421" i="1" s="1"/>
  <c r="BM420" i="1"/>
  <c r="BL420" i="1"/>
  <c r="BK420" i="1"/>
  <c r="BJ420" i="1"/>
  <c r="BI420" i="1"/>
  <c r="BG420" i="1"/>
  <c r="BH420" i="1" s="1"/>
  <c r="BM419" i="1"/>
  <c r="BL419" i="1"/>
  <c r="BK419" i="1"/>
  <c r="BJ419" i="1"/>
  <c r="BI419" i="1"/>
  <c r="BG419" i="1"/>
  <c r="BH419" i="1" s="1"/>
  <c r="BM418" i="1"/>
  <c r="BL418" i="1"/>
  <c r="BK418" i="1"/>
  <c r="BJ418" i="1"/>
  <c r="BI418" i="1"/>
  <c r="BG418" i="1"/>
  <c r="BH418" i="1" s="1"/>
  <c r="BM417" i="1"/>
  <c r="BL417" i="1"/>
  <c r="BK417" i="1"/>
  <c r="BJ417" i="1"/>
  <c r="BI417" i="1"/>
  <c r="BG417" i="1"/>
  <c r="BH417" i="1" s="1"/>
  <c r="BM416" i="1"/>
  <c r="BL416" i="1"/>
  <c r="BK416" i="1"/>
  <c r="BJ416" i="1"/>
  <c r="BI416" i="1"/>
  <c r="BG416" i="1"/>
  <c r="BH416" i="1" s="1"/>
  <c r="BM415" i="1"/>
  <c r="BL415" i="1"/>
  <c r="BK415" i="1"/>
  <c r="BJ415" i="1"/>
  <c r="BI415" i="1"/>
  <c r="BG415" i="1"/>
  <c r="BH415" i="1" s="1"/>
  <c r="BM414" i="1"/>
  <c r="BL414" i="1"/>
  <c r="BK414" i="1"/>
  <c r="BJ414" i="1"/>
  <c r="BI414" i="1"/>
  <c r="BG414" i="1"/>
  <c r="BH414" i="1" s="1"/>
  <c r="BM413" i="1"/>
  <c r="BL413" i="1"/>
  <c r="BK413" i="1"/>
  <c r="BJ413" i="1"/>
  <c r="BI413" i="1"/>
  <c r="BG413" i="1"/>
  <c r="BH413" i="1" s="1"/>
  <c r="BM412" i="1"/>
  <c r="BL412" i="1"/>
  <c r="BK412" i="1"/>
  <c r="BJ412" i="1"/>
  <c r="BI412" i="1"/>
  <c r="BG412" i="1"/>
  <c r="BH412" i="1" s="1"/>
  <c r="BM411" i="1"/>
  <c r="BL411" i="1"/>
  <c r="BK411" i="1"/>
  <c r="BJ411" i="1"/>
  <c r="BI411" i="1"/>
  <c r="BG411" i="1"/>
  <c r="BH411" i="1" s="1"/>
  <c r="BM410" i="1"/>
  <c r="BL410" i="1"/>
  <c r="BK410" i="1"/>
  <c r="BJ410" i="1"/>
  <c r="BI410" i="1"/>
  <c r="BG410" i="1"/>
  <c r="BH410" i="1" s="1"/>
  <c r="BM409" i="1"/>
  <c r="BL409" i="1"/>
  <c r="BK409" i="1"/>
  <c r="BJ409" i="1"/>
  <c r="BI409" i="1"/>
  <c r="BG409" i="1"/>
  <c r="BH409" i="1" s="1"/>
  <c r="BM408" i="1"/>
  <c r="BL408" i="1"/>
  <c r="BK408" i="1"/>
  <c r="BJ408" i="1"/>
  <c r="BI408" i="1"/>
  <c r="BG408" i="1"/>
  <c r="BH408" i="1" s="1"/>
  <c r="BM407" i="1"/>
  <c r="BL407" i="1"/>
  <c r="BK407" i="1"/>
  <c r="BJ407" i="1"/>
  <c r="BI407" i="1"/>
  <c r="BG407" i="1"/>
  <c r="BH407" i="1" s="1"/>
  <c r="BM406" i="1"/>
  <c r="BL406" i="1"/>
  <c r="BK406" i="1"/>
  <c r="BJ406" i="1"/>
  <c r="BI406" i="1"/>
  <c r="BG406" i="1"/>
  <c r="BH406" i="1" s="1"/>
  <c r="BM405" i="1"/>
  <c r="BL405" i="1"/>
  <c r="BK405" i="1"/>
  <c r="BJ405" i="1"/>
  <c r="BI405" i="1"/>
  <c r="BG405" i="1"/>
  <c r="BH405" i="1" s="1"/>
  <c r="BM404" i="1"/>
  <c r="BL404" i="1"/>
  <c r="BK404" i="1"/>
  <c r="BJ404" i="1"/>
  <c r="BI404" i="1"/>
  <c r="BG404" i="1"/>
  <c r="BH404" i="1" s="1"/>
  <c r="BM403" i="1"/>
  <c r="BL403" i="1"/>
  <c r="BK403" i="1"/>
  <c r="BJ403" i="1"/>
  <c r="BI403" i="1"/>
  <c r="BG403" i="1"/>
  <c r="BH403" i="1" s="1"/>
  <c r="BM402" i="1"/>
  <c r="BL402" i="1"/>
  <c r="BK402" i="1"/>
  <c r="BJ402" i="1"/>
  <c r="BI402" i="1"/>
  <c r="BG402" i="1"/>
  <c r="BH402" i="1" s="1"/>
  <c r="BM401" i="1"/>
  <c r="BL401" i="1"/>
  <c r="BK401" i="1"/>
  <c r="BJ401" i="1"/>
  <c r="BI401" i="1"/>
  <c r="BG401" i="1"/>
  <c r="BH401" i="1" s="1"/>
  <c r="BM400" i="1"/>
  <c r="BL400" i="1"/>
  <c r="BK400" i="1"/>
  <c r="BJ400" i="1"/>
  <c r="BI400" i="1"/>
  <c r="BG400" i="1"/>
  <c r="BH400" i="1" s="1"/>
  <c r="BM399" i="1"/>
  <c r="BL399" i="1"/>
  <c r="BK399" i="1"/>
  <c r="BJ399" i="1"/>
  <c r="BI399" i="1"/>
  <c r="BG399" i="1"/>
  <c r="BH399" i="1" s="1"/>
  <c r="BM398" i="1"/>
  <c r="BL398" i="1"/>
  <c r="BK398" i="1"/>
  <c r="BJ398" i="1"/>
  <c r="BI398" i="1"/>
  <c r="BG398" i="1"/>
  <c r="BH398" i="1" s="1"/>
  <c r="BM397" i="1"/>
  <c r="BL397" i="1"/>
  <c r="BK397" i="1"/>
  <c r="BJ397" i="1"/>
  <c r="BI397" i="1"/>
  <c r="BG397" i="1"/>
  <c r="BH397" i="1" s="1"/>
  <c r="BM396" i="1"/>
  <c r="BL396" i="1"/>
  <c r="BK396" i="1"/>
  <c r="BJ396" i="1"/>
  <c r="BI396" i="1"/>
  <c r="BG396" i="1"/>
  <c r="BH396" i="1" s="1"/>
  <c r="BM395" i="1"/>
  <c r="BL395" i="1"/>
  <c r="BK395" i="1"/>
  <c r="BJ395" i="1"/>
  <c r="BI395" i="1"/>
  <c r="BG395" i="1"/>
  <c r="BH395" i="1" s="1"/>
  <c r="BM394" i="1"/>
  <c r="BL394" i="1"/>
  <c r="BK394" i="1"/>
  <c r="BJ394" i="1"/>
  <c r="BI394" i="1"/>
  <c r="BG394" i="1"/>
  <c r="BH394" i="1" s="1"/>
  <c r="BM393" i="1"/>
  <c r="BL393" i="1"/>
  <c r="BK393" i="1"/>
  <c r="BJ393" i="1"/>
  <c r="BI393" i="1"/>
  <c r="BG393" i="1"/>
  <c r="BH393" i="1" s="1"/>
  <c r="BM392" i="1"/>
  <c r="BL392" i="1"/>
  <c r="BK392" i="1"/>
  <c r="BJ392" i="1"/>
  <c r="BI392" i="1"/>
  <c r="BG392" i="1"/>
  <c r="BH392" i="1" s="1"/>
  <c r="BM391" i="1"/>
  <c r="BL391" i="1"/>
  <c r="BK391" i="1"/>
  <c r="BJ391" i="1"/>
  <c r="BI391" i="1"/>
  <c r="BG391" i="1"/>
  <c r="BH391" i="1" s="1"/>
  <c r="BM390" i="1"/>
  <c r="BL390" i="1"/>
  <c r="BK390" i="1"/>
  <c r="BJ390" i="1"/>
  <c r="BI390" i="1"/>
  <c r="BG390" i="1"/>
  <c r="BH390" i="1" s="1"/>
  <c r="BM389" i="1"/>
  <c r="BL389" i="1"/>
  <c r="BK389" i="1"/>
  <c r="BJ389" i="1"/>
  <c r="BI389" i="1"/>
  <c r="BG389" i="1"/>
  <c r="BH389" i="1" s="1"/>
  <c r="BM388" i="1"/>
  <c r="BL388" i="1"/>
  <c r="BK388" i="1"/>
  <c r="BJ388" i="1"/>
  <c r="BI388" i="1"/>
  <c r="BG388" i="1"/>
  <c r="BH388" i="1" s="1"/>
  <c r="BM387" i="1"/>
  <c r="BL387" i="1"/>
  <c r="BK387" i="1"/>
  <c r="BJ387" i="1"/>
  <c r="BI387" i="1"/>
  <c r="BG387" i="1"/>
  <c r="BH387" i="1" s="1"/>
  <c r="BM386" i="1"/>
  <c r="BL386" i="1"/>
  <c r="BK386" i="1"/>
  <c r="BJ386" i="1"/>
  <c r="BI386" i="1"/>
  <c r="BG386" i="1"/>
  <c r="BH386" i="1" s="1"/>
  <c r="BM385" i="1"/>
  <c r="BL385" i="1"/>
  <c r="BK385" i="1"/>
  <c r="BJ385" i="1"/>
  <c r="BI385" i="1"/>
  <c r="BG385" i="1"/>
  <c r="BH385" i="1" s="1"/>
  <c r="BM384" i="1"/>
  <c r="BL384" i="1"/>
  <c r="BK384" i="1"/>
  <c r="BJ384" i="1"/>
  <c r="BI384" i="1"/>
  <c r="BG384" i="1"/>
  <c r="BH384" i="1" s="1"/>
  <c r="BM383" i="1"/>
  <c r="BL383" i="1"/>
  <c r="BK383" i="1"/>
  <c r="BJ383" i="1"/>
  <c r="BI383" i="1"/>
  <c r="BG383" i="1"/>
  <c r="BH383" i="1" s="1"/>
  <c r="BM382" i="1"/>
  <c r="BL382" i="1"/>
  <c r="BK382" i="1"/>
  <c r="BJ382" i="1"/>
  <c r="BI382" i="1"/>
  <c r="BG382" i="1"/>
  <c r="BH382" i="1" s="1"/>
  <c r="BM381" i="1"/>
  <c r="BL381" i="1"/>
  <c r="BK381" i="1"/>
  <c r="BJ381" i="1"/>
  <c r="BI381" i="1"/>
  <c r="BG381" i="1"/>
  <c r="BH381" i="1" s="1"/>
  <c r="BM380" i="1"/>
  <c r="BL380" i="1"/>
  <c r="BK380" i="1"/>
  <c r="BJ380" i="1"/>
  <c r="BI380" i="1"/>
  <c r="BG380" i="1"/>
  <c r="BH380" i="1" s="1"/>
  <c r="BM379" i="1"/>
  <c r="BL379" i="1"/>
  <c r="BK379" i="1"/>
  <c r="BJ379" i="1"/>
  <c r="BI379" i="1"/>
  <c r="BG379" i="1"/>
  <c r="BH379" i="1" s="1"/>
  <c r="BM378" i="1"/>
  <c r="BL378" i="1"/>
  <c r="BK378" i="1"/>
  <c r="BJ378" i="1"/>
  <c r="BI378" i="1"/>
  <c r="BG378" i="1"/>
  <c r="BH378" i="1" s="1"/>
  <c r="BM377" i="1"/>
  <c r="BL377" i="1"/>
  <c r="BK377" i="1"/>
  <c r="BJ377" i="1"/>
  <c r="BI377" i="1"/>
  <c r="BG377" i="1"/>
  <c r="BH377" i="1" s="1"/>
  <c r="BM376" i="1"/>
  <c r="BL376" i="1"/>
  <c r="BK376" i="1"/>
  <c r="BJ376" i="1"/>
  <c r="BI376" i="1"/>
  <c r="BG376" i="1"/>
  <c r="BH376" i="1" s="1"/>
  <c r="BM375" i="1"/>
  <c r="BL375" i="1"/>
  <c r="BK375" i="1"/>
  <c r="BJ375" i="1"/>
  <c r="BI375" i="1"/>
  <c r="BG375" i="1"/>
  <c r="BH375" i="1" s="1"/>
  <c r="BM374" i="1"/>
  <c r="BL374" i="1"/>
  <c r="BK374" i="1"/>
  <c r="BJ374" i="1"/>
  <c r="BI374" i="1"/>
  <c r="BG374" i="1"/>
  <c r="BH374" i="1" s="1"/>
  <c r="BM373" i="1"/>
  <c r="BL373" i="1"/>
  <c r="BK373" i="1"/>
  <c r="BJ373" i="1"/>
  <c r="BI373" i="1"/>
  <c r="BG373" i="1"/>
  <c r="BH373" i="1" s="1"/>
  <c r="BM372" i="1"/>
  <c r="BL372" i="1"/>
  <c r="BK372" i="1"/>
  <c r="BJ372" i="1"/>
  <c r="BI372" i="1"/>
  <c r="BG372" i="1"/>
  <c r="BH372" i="1" s="1"/>
  <c r="BM371" i="1"/>
  <c r="BL371" i="1"/>
  <c r="BK371" i="1"/>
  <c r="BJ371" i="1"/>
  <c r="BI371" i="1"/>
  <c r="BG371" i="1"/>
  <c r="BH371" i="1" s="1"/>
  <c r="BM370" i="1"/>
  <c r="BL370" i="1"/>
  <c r="BK370" i="1"/>
  <c r="BJ370" i="1"/>
  <c r="BI370" i="1"/>
  <c r="BG370" i="1"/>
  <c r="BH370" i="1" s="1"/>
  <c r="BM369" i="1"/>
  <c r="BL369" i="1"/>
  <c r="BK369" i="1"/>
  <c r="BJ369" i="1"/>
  <c r="BI369" i="1"/>
  <c r="BG369" i="1"/>
  <c r="BH369" i="1" s="1"/>
  <c r="BM368" i="1"/>
  <c r="BL368" i="1"/>
  <c r="BK368" i="1"/>
  <c r="BJ368" i="1"/>
  <c r="BI368" i="1"/>
  <c r="BG368" i="1"/>
  <c r="BH368" i="1" s="1"/>
  <c r="BM367" i="1"/>
  <c r="BL367" i="1"/>
  <c r="BK367" i="1"/>
  <c r="BJ367" i="1"/>
  <c r="BI367" i="1"/>
  <c r="BG367" i="1"/>
  <c r="BH367" i="1" s="1"/>
  <c r="BM366" i="1"/>
  <c r="BL366" i="1"/>
  <c r="BK366" i="1"/>
  <c r="BJ366" i="1"/>
  <c r="BI366" i="1"/>
  <c r="BG366" i="1"/>
  <c r="BH366" i="1" s="1"/>
  <c r="BM365" i="1"/>
  <c r="BL365" i="1"/>
  <c r="BK365" i="1"/>
  <c r="BJ365" i="1"/>
  <c r="BI365" i="1"/>
  <c r="BG365" i="1"/>
  <c r="BH365" i="1" s="1"/>
  <c r="BM364" i="1"/>
  <c r="BL364" i="1"/>
  <c r="BK364" i="1"/>
  <c r="BJ364" i="1"/>
  <c r="BI364" i="1"/>
  <c r="BG364" i="1"/>
  <c r="BH364" i="1" s="1"/>
  <c r="BM363" i="1"/>
  <c r="BL363" i="1"/>
  <c r="BK363" i="1"/>
  <c r="BJ363" i="1"/>
  <c r="BI363" i="1"/>
  <c r="BG363" i="1"/>
  <c r="BH363" i="1" s="1"/>
  <c r="BM362" i="1"/>
  <c r="BL362" i="1"/>
  <c r="BK362" i="1"/>
  <c r="BJ362" i="1"/>
  <c r="BI362" i="1"/>
  <c r="BG362" i="1"/>
  <c r="BH362" i="1" s="1"/>
  <c r="BM361" i="1"/>
  <c r="BL361" i="1"/>
  <c r="BK361" i="1"/>
  <c r="BJ361" i="1"/>
  <c r="BI361" i="1"/>
  <c r="BG361" i="1"/>
  <c r="BH361" i="1" s="1"/>
  <c r="BM360" i="1"/>
  <c r="BL360" i="1"/>
  <c r="BK360" i="1"/>
  <c r="BJ360" i="1"/>
  <c r="BI360" i="1"/>
  <c r="BG360" i="1"/>
  <c r="BH360" i="1" s="1"/>
  <c r="BM359" i="1"/>
  <c r="BL359" i="1"/>
  <c r="BK359" i="1"/>
  <c r="BJ359" i="1"/>
  <c r="BI359" i="1"/>
  <c r="BG359" i="1"/>
  <c r="BH359" i="1" s="1"/>
  <c r="BM358" i="1"/>
  <c r="BL358" i="1"/>
  <c r="BK358" i="1"/>
  <c r="BJ358" i="1"/>
  <c r="BI358" i="1"/>
  <c r="BG358" i="1"/>
  <c r="BH358" i="1" s="1"/>
  <c r="BM357" i="1"/>
  <c r="BL357" i="1"/>
  <c r="BK357" i="1"/>
  <c r="BJ357" i="1"/>
  <c r="BI357" i="1"/>
  <c r="BG357" i="1"/>
  <c r="BH357" i="1" s="1"/>
  <c r="BM356" i="1"/>
  <c r="BL356" i="1"/>
  <c r="BK356" i="1"/>
  <c r="BJ356" i="1"/>
  <c r="BI356" i="1"/>
  <c r="BG356" i="1"/>
  <c r="BH356" i="1" s="1"/>
  <c r="BM355" i="1"/>
  <c r="BL355" i="1"/>
  <c r="BK355" i="1"/>
  <c r="BJ355" i="1"/>
  <c r="BI355" i="1"/>
  <c r="BG355" i="1"/>
  <c r="BH355" i="1" s="1"/>
  <c r="BM354" i="1"/>
  <c r="BL354" i="1"/>
  <c r="BK354" i="1"/>
  <c r="BJ354" i="1"/>
  <c r="BI354" i="1"/>
  <c r="BG354" i="1"/>
  <c r="BH354" i="1" s="1"/>
  <c r="BM353" i="1"/>
  <c r="BL353" i="1"/>
  <c r="BK353" i="1"/>
  <c r="BJ353" i="1"/>
  <c r="BI353" i="1"/>
  <c r="BG353" i="1"/>
  <c r="BH353" i="1" s="1"/>
  <c r="BM352" i="1"/>
  <c r="BL352" i="1"/>
  <c r="BK352" i="1"/>
  <c r="BJ352" i="1"/>
  <c r="BI352" i="1"/>
  <c r="BG352" i="1"/>
  <c r="BH352" i="1" s="1"/>
  <c r="BM351" i="1"/>
  <c r="BL351" i="1"/>
  <c r="BK351" i="1"/>
  <c r="BJ351" i="1"/>
  <c r="BI351" i="1"/>
  <c r="BG351" i="1"/>
  <c r="BH351" i="1" s="1"/>
  <c r="BM350" i="1"/>
  <c r="BL350" i="1"/>
  <c r="BK350" i="1"/>
  <c r="BJ350" i="1"/>
  <c r="BI350" i="1"/>
  <c r="BG350" i="1"/>
  <c r="BH350" i="1" s="1"/>
  <c r="BM349" i="1"/>
  <c r="BL349" i="1"/>
  <c r="BK349" i="1"/>
  <c r="BJ349" i="1"/>
  <c r="BI349" i="1"/>
  <c r="BG349" i="1"/>
  <c r="BH349" i="1" s="1"/>
  <c r="BM348" i="1"/>
  <c r="BL348" i="1"/>
  <c r="BK348" i="1"/>
  <c r="BJ348" i="1"/>
  <c r="BI348" i="1"/>
  <c r="BG348" i="1"/>
  <c r="BH348" i="1" s="1"/>
  <c r="BM347" i="1"/>
  <c r="BL347" i="1"/>
  <c r="BK347" i="1"/>
  <c r="BJ347" i="1"/>
  <c r="BI347" i="1"/>
  <c r="BG347" i="1"/>
  <c r="BH347" i="1" s="1"/>
  <c r="BM346" i="1"/>
  <c r="BL346" i="1"/>
  <c r="BK346" i="1"/>
  <c r="BJ346" i="1"/>
  <c r="BI346" i="1"/>
  <c r="BG346" i="1"/>
  <c r="BH346" i="1" s="1"/>
  <c r="BM345" i="1"/>
  <c r="BL345" i="1"/>
  <c r="BK345" i="1"/>
  <c r="BJ345" i="1"/>
  <c r="BI345" i="1"/>
  <c r="BG345" i="1"/>
  <c r="BH345" i="1" s="1"/>
  <c r="BM344" i="1"/>
  <c r="BL344" i="1"/>
  <c r="BK344" i="1"/>
  <c r="BJ344" i="1"/>
  <c r="BI344" i="1"/>
  <c r="BG344" i="1"/>
  <c r="BH344" i="1" s="1"/>
  <c r="BM343" i="1"/>
  <c r="BL343" i="1"/>
  <c r="BK343" i="1"/>
  <c r="BJ343" i="1"/>
  <c r="BI343" i="1"/>
  <c r="BG343" i="1"/>
  <c r="BH343" i="1" s="1"/>
  <c r="BM342" i="1"/>
  <c r="BL342" i="1"/>
  <c r="BK342" i="1"/>
  <c r="BJ342" i="1"/>
  <c r="BI342" i="1"/>
  <c r="BG342" i="1"/>
  <c r="BH342" i="1" s="1"/>
  <c r="BM341" i="1"/>
  <c r="BL341" i="1"/>
  <c r="BK341" i="1"/>
  <c r="BJ341" i="1"/>
  <c r="BI341" i="1"/>
  <c r="BG341" i="1"/>
  <c r="BH341" i="1" s="1"/>
  <c r="BM340" i="1"/>
  <c r="BL340" i="1"/>
  <c r="BK340" i="1"/>
  <c r="BJ340" i="1"/>
  <c r="BI340" i="1"/>
  <c r="BG340" i="1"/>
  <c r="BH340" i="1" s="1"/>
  <c r="BM339" i="1"/>
  <c r="BL339" i="1"/>
  <c r="BK339" i="1"/>
  <c r="BJ339" i="1"/>
  <c r="BI339" i="1"/>
  <c r="BG339" i="1"/>
  <c r="BH339" i="1" s="1"/>
  <c r="BM338" i="1"/>
  <c r="BL338" i="1"/>
  <c r="BK338" i="1"/>
  <c r="BJ338" i="1"/>
  <c r="BI338" i="1"/>
  <c r="BG338" i="1"/>
  <c r="BH338" i="1" s="1"/>
  <c r="BM337" i="1"/>
  <c r="BL337" i="1"/>
  <c r="BK337" i="1"/>
  <c r="BJ337" i="1"/>
  <c r="BI337" i="1"/>
  <c r="BG337" i="1"/>
  <c r="BH337" i="1" s="1"/>
  <c r="BM336" i="1"/>
  <c r="BL336" i="1"/>
  <c r="BK336" i="1"/>
  <c r="BJ336" i="1"/>
  <c r="BI336" i="1"/>
  <c r="BG336" i="1"/>
  <c r="BH336" i="1" s="1"/>
  <c r="BM335" i="1"/>
  <c r="BL335" i="1"/>
  <c r="BK335" i="1"/>
  <c r="BJ335" i="1"/>
  <c r="BI335" i="1"/>
  <c r="BG335" i="1"/>
  <c r="BH335" i="1" s="1"/>
  <c r="BM334" i="1"/>
  <c r="BL334" i="1"/>
  <c r="BK334" i="1"/>
  <c r="BJ334" i="1"/>
  <c r="BI334" i="1"/>
  <c r="BG334" i="1"/>
  <c r="BH334" i="1" s="1"/>
  <c r="BM333" i="1"/>
  <c r="BL333" i="1"/>
  <c r="BK333" i="1"/>
  <c r="BJ333" i="1"/>
  <c r="BI333" i="1"/>
  <c r="BG333" i="1"/>
  <c r="BH333" i="1" s="1"/>
  <c r="BM332" i="1"/>
  <c r="BL332" i="1"/>
  <c r="BK332" i="1"/>
  <c r="BJ332" i="1"/>
  <c r="BI332" i="1"/>
  <c r="BG332" i="1"/>
  <c r="BH332" i="1" s="1"/>
  <c r="BM331" i="1"/>
  <c r="BL331" i="1"/>
  <c r="BK331" i="1"/>
  <c r="BJ331" i="1"/>
  <c r="BI331" i="1"/>
  <c r="BG331" i="1"/>
  <c r="BH331" i="1" s="1"/>
  <c r="BM330" i="1"/>
  <c r="BL330" i="1"/>
  <c r="BK330" i="1"/>
  <c r="BJ330" i="1"/>
  <c r="BI330" i="1"/>
  <c r="BG330" i="1"/>
  <c r="BH330" i="1" s="1"/>
  <c r="BM329" i="1"/>
  <c r="BL329" i="1"/>
  <c r="BK329" i="1"/>
  <c r="BJ329" i="1"/>
  <c r="BI329" i="1"/>
  <c r="BG329" i="1"/>
  <c r="BH329" i="1" s="1"/>
  <c r="BM328" i="1"/>
  <c r="BL328" i="1"/>
  <c r="BK328" i="1"/>
  <c r="BJ328" i="1"/>
  <c r="BI328" i="1"/>
  <c r="BG328" i="1"/>
  <c r="BH328" i="1" s="1"/>
  <c r="BM327" i="1"/>
  <c r="BL327" i="1"/>
  <c r="BK327" i="1"/>
  <c r="BJ327" i="1"/>
  <c r="BI327" i="1"/>
  <c r="BG327" i="1"/>
  <c r="BH327" i="1" s="1"/>
  <c r="BM326" i="1"/>
  <c r="BL326" i="1"/>
  <c r="BK326" i="1"/>
  <c r="BJ326" i="1"/>
  <c r="BI326" i="1"/>
  <c r="BG326" i="1"/>
  <c r="BH326" i="1" s="1"/>
  <c r="BM325" i="1"/>
  <c r="BL325" i="1"/>
  <c r="BK325" i="1"/>
  <c r="BJ325" i="1"/>
  <c r="BI325" i="1"/>
  <c r="BG325" i="1"/>
  <c r="BH325" i="1" s="1"/>
  <c r="BM324" i="1"/>
  <c r="BL324" i="1"/>
  <c r="BK324" i="1"/>
  <c r="BJ324" i="1"/>
  <c r="BI324" i="1"/>
  <c r="BG324" i="1"/>
  <c r="BH324" i="1" s="1"/>
  <c r="BM323" i="1"/>
  <c r="BL323" i="1"/>
  <c r="BK323" i="1"/>
  <c r="BJ323" i="1"/>
  <c r="BI323" i="1"/>
  <c r="BG323" i="1"/>
  <c r="BH323" i="1" s="1"/>
  <c r="BM322" i="1"/>
  <c r="BL322" i="1"/>
  <c r="BK322" i="1"/>
  <c r="BJ322" i="1"/>
  <c r="BI322" i="1"/>
  <c r="BG322" i="1"/>
  <c r="BH322" i="1" s="1"/>
  <c r="BM321" i="1"/>
  <c r="BL321" i="1"/>
  <c r="BK321" i="1"/>
  <c r="BJ321" i="1"/>
  <c r="BI321" i="1"/>
  <c r="BG321" i="1"/>
  <c r="BH321" i="1" s="1"/>
  <c r="BM320" i="1"/>
  <c r="BL320" i="1"/>
  <c r="BK320" i="1"/>
  <c r="BJ320" i="1"/>
  <c r="BI320" i="1"/>
  <c r="BG320" i="1"/>
  <c r="BH320" i="1" s="1"/>
  <c r="BM319" i="1"/>
  <c r="BL319" i="1"/>
  <c r="BK319" i="1"/>
  <c r="BJ319" i="1"/>
  <c r="BI319" i="1"/>
  <c r="BG319" i="1"/>
  <c r="BH319" i="1" s="1"/>
  <c r="BM318" i="1"/>
  <c r="BL318" i="1"/>
  <c r="BK318" i="1"/>
  <c r="BJ318" i="1"/>
  <c r="BI318" i="1"/>
  <c r="BG318" i="1"/>
  <c r="BH318" i="1" s="1"/>
  <c r="BM317" i="1"/>
  <c r="BL317" i="1"/>
  <c r="BK317" i="1"/>
  <c r="BJ317" i="1"/>
  <c r="BI317" i="1"/>
  <c r="BG317" i="1"/>
  <c r="BH317" i="1" s="1"/>
  <c r="BM316" i="1"/>
  <c r="BL316" i="1"/>
  <c r="BK316" i="1"/>
  <c r="BJ316" i="1"/>
  <c r="BI316" i="1"/>
  <c r="BG316" i="1"/>
  <c r="BH316" i="1" s="1"/>
  <c r="BM315" i="1"/>
  <c r="BL315" i="1"/>
  <c r="BK315" i="1"/>
  <c r="BJ315" i="1"/>
  <c r="BI315" i="1"/>
  <c r="BG315" i="1"/>
  <c r="BH315" i="1" s="1"/>
  <c r="BM314" i="1"/>
  <c r="BL314" i="1"/>
  <c r="BK314" i="1"/>
  <c r="BJ314" i="1"/>
  <c r="BI314" i="1"/>
  <c r="BG314" i="1"/>
  <c r="BH314" i="1" s="1"/>
  <c r="BM313" i="1"/>
  <c r="BL313" i="1"/>
  <c r="BK313" i="1"/>
  <c r="BJ313" i="1"/>
  <c r="BI313" i="1"/>
  <c r="BG313" i="1"/>
  <c r="BH313" i="1" s="1"/>
  <c r="BM312" i="1"/>
  <c r="BL312" i="1"/>
  <c r="BK312" i="1"/>
  <c r="BJ312" i="1"/>
  <c r="BI312" i="1"/>
  <c r="BG312" i="1"/>
  <c r="BH312" i="1" s="1"/>
  <c r="BM311" i="1"/>
  <c r="BL311" i="1"/>
  <c r="BK311" i="1"/>
  <c r="BJ311" i="1"/>
  <c r="BI311" i="1"/>
  <c r="BG311" i="1"/>
  <c r="BH311" i="1" s="1"/>
  <c r="BM310" i="1"/>
  <c r="BL310" i="1"/>
  <c r="BK310" i="1"/>
  <c r="BJ310" i="1"/>
  <c r="BI310" i="1"/>
  <c r="BG310" i="1"/>
  <c r="BH310" i="1" s="1"/>
  <c r="BM309" i="1"/>
  <c r="BL309" i="1"/>
  <c r="BK309" i="1"/>
  <c r="BJ309" i="1"/>
  <c r="BI309" i="1"/>
  <c r="BG309" i="1"/>
  <c r="BH309" i="1" s="1"/>
  <c r="BM308" i="1"/>
  <c r="BL308" i="1"/>
  <c r="BK308" i="1"/>
  <c r="BJ308" i="1"/>
  <c r="BI308" i="1"/>
  <c r="BG308" i="1"/>
  <c r="BH308" i="1" s="1"/>
  <c r="BM307" i="1"/>
  <c r="BL307" i="1"/>
  <c r="BK307" i="1"/>
  <c r="BJ307" i="1"/>
  <c r="BI307" i="1"/>
  <c r="BG307" i="1"/>
  <c r="BH307" i="1" s="1"/>
  <c r="BM306" i="1"/>
  <c r="BL306" i="1"/>
  <c r="BK306" i="1"/>
  <c r="BJ306" i="1"/>
  <c r="BI306" i="1"/>
  <c r="BG306" i="1"/>
  <c r="BH306" i="1" s="1"/>
  <c r="BM305" i="1"/>
  <c r="BL305" i="1"/>
  <c r="BK305" i="1"/>
  <c r="BJ305" i="1"/>
  <c r="BI305" i="1"/>
  <c r="BG305" i="1"/>
  <c r="BH305" i="1" s="1"/>
  <c r="BM304" i="1"/>
  <c r="BL304" i="1"/>
  <c r="BK304" i="1"/>
  <c r="BJ304" i="1"/>
  <c r="BI304" i="1"/>
  <c r="BG304" i="1"/>
  <c r="BH304" i="1" s="1"/>
  <c r="BM303" i="1"/>
  <c r="BL303" i="1"/>
  <c r="BK303" i="1"/>
  <c r="BJ303" i="1"/>
  <c r="BI303" i="1"/>
  <c r="BG303" i="1"/>
  <c r="BH303" i="1" s="1"/>
  <c r="BM302" i="1"/>
  <c r="BL302" i="1"/>
  <c r="BK302" i="1"/>
  <c r="BJ302" i="1"/>
  <c r="BI302" i="1"/>
  <c r="BG302" i="1"/>
  <c r="BH302" i="1" s="1"/>
  <c r="BM301" i="1"/>
  <c r="BL301" i="1"/>
  <c r="BK301" i="1"/>
  <c r="BJ301" i="1"/>
  <c r="BI301" i="1"/>
  <c r="BG301" i="1"/>
  <c r="BH301" i="1" s="1"/>
  <c r="BM300" i="1"/>
  <c r="BL300" i="1"/>
  <c r="BK300" i="1"/>
  <c r="BJ300" i="1"/>
  <c r="BI300" i="1"/>
  <c r="BG300" i="1"/>
  <c r="BH300" i="1" s="1"/>
  <c r="BM299" i="1"/>
  <c r="BL299" i="1"/>
  <c r="BK299" i="1"/>
  <c r="BJ299" i="1"/>
  <c r="BI299" i="1"/>
  <c r="BG299" i="1"/>
  <c r="BH299" i="1" s="1"/>
  <c r="BM298" i="1"/>
  <c r="BL298" i="1"/>
  <c r="BK298" i="1"/>
  <c r="BJ298" i="1"/>
  <c r="BI298" i="1"/>
  <c r="BG298" i="1"/>
  <c r="BH298" i="1" s="1"/>
  <c r="BM297" i="1"/>
  <c r="BL297" i="1"/>
  <c r="BK297" i="1"/>
  <c r="BJ297" i="1"/>
  <c r="BI297" i="1"/>
  <c r="BG297" i="1"/>
  <c r="BH297" i="1" s="1"/>
  <c r="BM296" i="1"/>
  <c r="BL296" i="1"/>
  <c r="BK296" i="1"/>
  <c r="BJ296" i="1"/>
  <c r="BI296" i="1"/>
  <c r="BG296" i="1"/>
  <c r="BH296" i="1" s="1"/>
  <c r="BM295" i="1"/>
  <c r="BL295" i="1"/>
  <c r="BK295" i="1"/>
  <c r="BJ295" i="1"/>
  <c r="BI295" i="1"/>
  <c r="BG295" i="1"/>
  <c r="BH295" i="1" s="1"/>
  <c r="BM294" i="1"/>
  <c r="BL294" i="1"/>
  <c r="BK294" i="1"/>
  <c r="BJ294" i="1"/>
  <c r="BI294" i="1"/>
  <c r="BG294" i="1"/>
  <c r="BH294" i="1" s="1"/>
  <c r="BM293" i="1"/>
  <c r="BL293" i="1"/>
  <c r="BK293" i="1"/>
  <c r="BJ293" i="1"/>
  <c r="BI293" i="1"/>
  <c r="BG293" i="1"/>
  <c r="BH293" i="1" s="1"/>
  <c r="BM292" i="1"/>
  <c r="BL292" i="1"/>
  <c r="BK292" i="1"/>
  <c r="BJ292" i="1"/>
  <c r="BI292" i="1"/>
  <c r="BG292" i="1"/>
  <c r="BH292" i="1" s="1"/>
  <c r="BM291" i="1"/>
  <c r="BL291" i="1"/>
  <c r="BK291" i="1"/>
  <c r="BJ291" i="1"/>
  <c r="BI291" i="1"/>
  <c r="BG291" i="1"/>
  <c r="BH291" i="1" s="1"/>
  <c r="BM290" i="1"/>
  <c r="BL290" i="1"/>
  <c r="BK290" i="1"/>
  <c r="BJ290" i="1"/>
  <c r="BI290" i="1"/>
  <c r="BG290" i="1"/>
  <c r="BH290" i="1" s="1"/>
  <c r="BM289" i="1"/>
  <c r="BL289" i="1"/>
  <c r="BK289" i="1"/>
  <c r="BJ289" i="1"/>
  <c r="BI289" i="1"/>
  <c r="BG289" i="1"/>
  <c r="BH289" i="1" s="1"/>
  <c r="BM288" i="1"/>
  <c r="BL288" i="1"/>
  <c r="BK288" i="1"/>
  <c r="BJ288" i="1"/>
  <c r="BI288" i="1"/>
  <c r="BG288" i="1"/>
  <c r="BH288" i="1" s="1"/>
  <c r="BM287" i="1"/>
  <c r="BL287" i="1"/>
  <c r="BK287" i="1"/>
  <c r="BJ287" i="1"/>
  <c r="BI287" i="1"/>
  <c r="BG287" i="1"/>
  <c r="BH287" i="1" s="1"/>
  <c r="BM286" i="1"/>
  <c r="BL286" i="1"/>
  <c r="BK286" i="1"/>
  <c r="BJ286" i="1"/>
  <c r="BI286" i="1"/>
  <c r="BG286" i="1"/>
  <c r="BH286" i="1" s="1"/>
  <c r="BM285" i="1"/>
  <c r="BL285" i="1"/>
  <c r="BK285" i="1"/>
  <c r="BJ285" i="1"/>
  <c r="BI285" i="1"/>
  <c r="BG285" i="1"/>
  <c r="BH285" i="1" s="1"/>
  <c r="BM284" i="1"/>
  <c r="BL284" i="1"/>
  <c r="BK284" i="1"/>
  <c r="BJ284" i="1"/>
  <c r="BI284" i="1"/>
  <c r="BG284" i="1"/>
  <c r="BH284" i="1" s="1"/>
  <c r="BM283" i="1"/>
  <c r="BL283" i="1"/>
  <c r="BK283" i="1"/>
  <c r="BJ283" i="1"/>
  <c r="BI283" i="1"/>
  <c r="BG283" i="1"/>
  <c r="BH283" i="1" s="1"/>
  <c r="BM282" i="1"/>
  <c r="BL282" i="1"/>
  <c r="BK282" i="1"/>
  <c r="BJ282" i="1"/>
  <c r="BI282" i="1"/>
  <c r="BG282" i="1"/>
  <c r="BH282" i="1" s="1"/>
  <c r="BM281" i="1"/>
  <c r="BL281" i="1"/>
  <c r="BK281" i="1"/>
  <c r="BJ281" i="1"/>
  <c r="BI281" i="1"/>
  <c r="BG281" i="1"/>
  <c r="BH281" i="1" s="1"/>
  <c r="BM280" i="1"/>
  <c r="BL280" i="1"/>
  <c r="BK280" i="1"/>
  <c r="BJ280" i="1"/>
  <c r="BI280" i="1"/>
  <c r="BG280" i="1"/>
  <c r="BH280" i="1" s="1"/>
  <c r="BM279" i="1"/>
  <c r="BL279" i="1"/>
  <c r="BK279" i="1"/>
  <c r="BJ279" i="1"/>
  <c r="BI279" i="1"/>
  <c r="BG279" i="1"/>
  <c r="BH279" i="1" s="1"/>
  <c r="BM278" i="1"/>
  <c r="BL278" i="1"/>
  <c r="BK278" i="1"/>
  <c r="BJ278" i="1"/>
  <c r="BI278" i="1"/>
  <c r="BG278" i="1"/>
  <c r="BH278" i="1" s="1"/>
  <c r="BM277" i="1"/>
  <c r="BL277" i="1"/>
  <c r="BK277" i="1"/>
  <c r="BJ277" i="1"/>
  <c r="BI277" i="1"/>
  <c r="BG277" i="1"/>
  <c r="BH277" i="1" s="1"/>
  <c r="BM276" i="1"/>
  <c r="BL276" i="1"/>
  <c r="BK276" i="1"/>
  <c r="BJ276" i="1"/>
  <c r="BI276" i="1"/>
  <c r="BG276" i="1"/>
  <c r="BH276" i="1" s="1"/>
  <c r="BM275" i="1"/>
  <c r="BL275" i="1"/>
  <c r="BK275" i="1"/>
  <c r="BJ275" i="1"/>
  <c r="BI275" i="1"/>
  <c r="BG275" i="1"/>
  <c r="BH275" i="1" s="1"/>
  <c r="BM274" i="1"/>
  <c r="BL274" i="1"/>
  <c r="BK274" i="1"/>
  <c r="BJ274" i="1"/>
  <c r="BI274" i="1"/>
  <c r="BG274" i="1"/>
  <c r="BH274" i="1" s="1"/>
  <c r="BM273" i="1"/>
  <c r="BL273" i="1"/>
  <c r="BK273" i="1"/>
  <c r="BJ273" i="1"/>
  <c r="BI273" i="1"/>
  <c r="BG273" i="1"/>
  <c r="BH273" i="1" s="1"/>
  <c r="BM272" i="1"/>
  <c r="BL272" i="1"/>
  <c r="BK272" i="1"/>
  <c r="BJ272" i="1"/>
  <c r="BI272" i="1"/>
  <c r="BG272" i="1"/>
  <c r="BH272" i="1" s="1"/>
  <c r="BM271" i="1"/>
  <c r="BL271" i="1"/>
  <c r="BK271" i="1"/>
  <c r="BJ271" i="1"/>
  <c r="BI271" i="1"/>
  <c r="BG271" i="1"/>
  <c r="BH271" i="1" s="1"/>
  <c r="BM270" i="1"/>
  <c r="BL270" i="1"/>
  <c r="BK270" i="1"/>
  <c r="BJ270" i="1"/>
  <c r="BI270" i="1"/>
  <c r="BG270" i="1"/>
  <c r="BH270" i="1" s="1"/>
  <c r="BM269" i="1"/>
  <c r="BL269" i="1"/>
  <c r="BK269" i="1"/>
  <c r="BJ269" i="1"/>
  <c r="BI269" i="1"/>
  <c r="BG269" i="1"/>
  <c r="BH269" i="1" s="1"/>
  <c r="BM268" i="1"/>
  <c r="BL268" i="1"/>
  <c r="BK268" i="1"/>
  <c r="BJ268" i="1"/>
  <c r="BI268" i="1"/>
  <c r="BG268" i="1"/>
  <c r="BH268" i="1" s="1"/>
  <c r="BM267" i="1"/>
  <c r="BL267" i="1"/>
  <c r="BK267" i="1"/>
  <c r="BJ267" i="1"/>
  <c r="BI267" i="1"/>
  <c r="BG267" i="1"/>
  <c r="BH267" i="1" s="1"/>
  <c r="BM266" i="1"/>
  <c r="BL266" i="1"/>
  <c r="BK266" i="1"/>
  <c r="BJ266" i="1"/>
  <c r="BI266" i="1"/>
  <c r="BG266" i="1"/>
  <c r="BH266" i="1" s="1"/>
  <c r="BM265" i="1"/>
  <c r="BL265" i="1"/>
  <c r="BK265" i="1"/>
  <c r="BJ265" i="1"/>
  <c r="BI265" i="1"/>
  <c r="BG265" i="1"/>
  <c r="BH265" i="1" s="1"/>
  <c r="BM264" i="1"/>
  <c r="BL264" i="1"/>
  <c r="BK264" i="1"/>
  <c r="BJ264" i="1"/>
  <c r="BI264" i="1"/>
  <c r="BG264" i="1"/>
  <c r="BH264" i="1" s="1"/>
  <c r="BM263" i="1"/>
  <c r="BL263" i="1"/>
  <c r="BK263" i="1"/>
  <c r="BJ263" i="1"/>
  <c r="BI263" i="1"/>
  <c r="BG263" i="1"/>
  <c r="BH263" i="1" s="1"/>
  <c r="BM262" i="1"/>
  <c r="BL262" i="1"/>
  <c r="BK262" i="1"/>
  <c r="BJ262" i="1"/>
  <c r="BI262" i="1"/>
  <c r="BG262" i="1"/>
  <c r="BH262" i="1" s="1"/>
  <c r="BM261" i="1"/>
  <c r="BL261" i="1"/>
  <c r="BK261" i="1"/>
  <c r="BJ261" i="1"/>
  <c r="BI261" i="1"/>
  <c r="BG261" i="1"/>
  <c r="BH261" i="1" s="1"/>
  <c r="BM260" i="1"/>
  <c r="BL260" i="1"/>
  <c r="BK260" i="1"/>
  <c r="BJ260" i="1"/>
  <c r="BI260" i="1"/>
  <c r="BG260" i="1"/>
  <c r="BH260" i="1" s="1"/>
  <c r="BM259" i="1"/>
  <c r="BL259" i="1"/>
  <c r="BK259" i="1"/>
  <c r="BJ259" i="1"/>
  <c r="BI259" i="1"/>
  <c r="BG259" i="1"/>
  <c r="BH259" i="1" s="1"/>
  <c r="BM258" i="1"/>
  <c r="BL258" i="1"/>
  <c r="BK258" i="1"/>
  <c r="BJ258" i="1"/>
  <c r="BI258" i="1"/>
  <c r="BG258" i="1"/>
  <c r="BH258" i="1" s="1"/>
  <c r="BM257" i="1"/>
  <c r="BL257" i="1"/>
  <c r="BK257" i="1"/>
  <c r="BJ257" i="1"/>
  <c r="BI257" i="1"/>
  <c r="BG257" i="1"/>
  <c r="BH257" i="1" s="1"/>
  <c r="BM256" i="1"/>
  <c r="BL256" i="1"/>
  <c r="BK256" i="1"/>
  <c r="BJ256" i="1"/>
  <c r="BI256" i="1"/>
  <c r="BG256" i="1"/>
  <c r="BH256" i="1" s="1"/>
  <c r="BM255" i="1"/>
  <c r="BL255" i="1"/>
  <c r="BK255" i="1"/>
  <c r="BJ255" i="1"/>
  <c r="BI255" i="1"/>
  <c r="BG255" i="1"/>
  <c r="BH255" i="1" s="1"/>
  <c r="BM254" i="1"/>
  <c r="BL254" i="1"/>
  <c r="BK254" i="1"/>
  <c r="BJ254" i="1"/>
  <c r="BI254" i="1"/>
  <c r="BG254" i="1"/>
  <c r="BH254" i="1" s="1"/>
  <c r="BM253" i="1"/>
  <c r="BL253" i="1"/>
  <c r="BK253" i="1"/>
  <c r="BJ253" i="1"/>
  <c r="BI253" i="1"/>
  <c r="BG253" i="1"/>
  <c r="BH253" i="1" s="1"/>
  <c r="BM252" i="1"/>
  <c r="BL252" i="1"/>
  <c r="BK252" i="1"/>
  <c r="BJ252" i="1"/>
  <c r="BI252" i="1"/>
  <c r="BG252" i="1"/>
  <c r="BH252" i="1" s="1"/>
  <c r="BM251" i="1"/>
  <c r="BL251" i="1"/>
  <c r="BK251" i="1"/>
  <c r="BJ251" i="1"/>
  <c r="BI251" i="1"/>
  <c r="BG251" i="1"/>
  <c r="BH251" i="1" s="1"/>
  <c r="BM250" i="1"/>
  <c r="BL250" i="1"/>
  <c r="BK250" i="1"/>
  <c r="BJ250" i="1"/>
  <c r="BI250" i="1"/>
  <c r="BG250" i="1"/>
  <c r="BH250" i="1" s="1"/>
  <c r="BM249" i="1"/>
  <c r="BL249" i="1"/>
  <c r="BK249" i="1"/>
  <c r="BJ249" i="1"/>
  <c r="BI249" i="1"/>
  <c r="BG249" i="1"/>
  <c r="BH249" i="1" s="1"/>
  <c r="BM248" i="1"/>
  <c r="BL248" i="1"/>
  <c r="BK248" i="1"/>
  <c r="BJ248" i="1"/>
  <c r="BI248" i="1"/>
  <c r="BG248" i="1"/>
  <c r="BH248" i="1" s="1"/>
  <c r="BM247" i="1"/>
  <c r="BL247" i="1"/>
  <c r="BK247" i="1"/>
  <c r="BJ247" i="1"/>
  <c r="BI247" i="1"/>
  <c r="BG247" i="1"/>
  <c r="BH247" i="1" s="1"/>
  <c r="BM246" i="1"/>
  <c r="BL246" i="1"/>
  <c r="BK246" i="1"/>
  <c r="BJ246" i="1"/>
  <c r="BI246" i="1"/>
  <c r="BG246" i="1"/>
  <c r="BH246" i="1" s="1"/>
  <c r="BM245" i="1"/>
  <c r="BL245" i="1"/>
  <c r="BK245" i="1"/>
  <c r="BJ245" i="1"/>
  <c r="BI245" i="1"/>
  <c r="BG245" i="1"/>
  <c r="BH245" i="1" s="1"/>
  <c r="BM244" i="1"/>
  <c r="BL244" i="1"/>
  <c r="BK244" i="1"/>
  <c r="BJ244" i="1"/>
  <c r="BI244" i="1"/>
  <c r="BG244" i="1"/>
  <c r="BH244" i="1" s="1"/>
  <c r="BM243" i="1"/>
  <c r="BL243" i="1"/>
  <c r="BK243" i="1"/>
  <c r="BJ243" i="1"/>
  <c r="BI243" i="1"/>
  <c r="BG243" i="1"/>
  <c r="BH243" i="1" s="1"/>
  <c r="BM242" i="1"/>
  <c r="BL242" i="1"/>
  <c r="BK242" i="1"/>
  <c r="BJ242" i="1"/>
  <c r="BI242" i="1"/>
  <c r="BG242" i="1"/>
  <c r="BH242" i="1" s="1"/>
  <c r="BM241" i="1"/>
  <c r="BL241" i="1"/>
  <c r="BK241" i="1"/>
  <c r="BJ241" i="1"/>
  <c r="BI241" i="1"/>
  <c r="BG241" i="1"/>
  <c r="BH241" i="1" s="1"/>
  <c r="BM240" i="1"/>
  <c r="BL240" i="1"/>
  <c r="BK240" i="1"/>
  <c r="BJ240" i="1"/>
  <c r="BI240" i="1"/>
  <c r="BG240" i="1"/>
  <c r="BH240" i="1" s="1"/>
  <c r="BM239" i="1"/>
  <c r="BL239" i="1"/>
  <c r="BK239" i="1"/>
  <c r="BJ239" i="1"/>
  <c r="BI239" i="1"/>
  <c r="BG239" i="1"/>
  <c r="BH239" i="1" s="1"/>
  <c r="BM238" i="1"/>
  <c r="BL238" i="1"/>
  <c r="BK238" i="1"/>
  <c r="BJ238" i="1"/>
  <c r="BI238" i="1"/>
  <c r="BG238" i="1"/>
  <c r="BH238" i="1" s="1"/>
  <c r="BM237" i="1"/>
  <c r="BL237" i="1"/>
  <c r="BK237" i="1"/>
  <c r="BJ237" i="1"/>
  <c r="BI237" i="1"/>
  <c r="BG237" i="1"/>
  <c r="BH237" i="1" s="1"/>
  <c r="BM236" i="1"/>
  <c r="BL236" i="1"/>
  <c r="BK236" i="1"/>
  <c r="BJ236" i="1"/>
  <c r="BI236" i="1"/>
  <c r="BG236" i="1"/>
  <c r="BH236" i="1" s="1"/>
  <c r="BM235" i="1"/>
  <c r="BL235" i="1"/>
  <c r="BK235" i="1"/>
  <c r="BJ235" i="1"/>
  <c r="BI235" i="1"/>
  <c r="BG235" i="1"/>
  <c r="BH235" i="1" s="1"/>
  <c r="BM234" i="1"/>
  <c r="BL234" i="1"/>
  <c r="BK234" i="1"/>
  <c r="BJ234" i="1"/>
  <c r="BI234" i="1"/>
  <c r="BG234" i="1"/>
  <c r="BH234" i="1" s="1"/>
  <c r="BM233" i="1"/>
  <c r="BL233" i="1"/>
  <c r="BK233" i="1"/>
  <c r="BJ233" i="1"/>
  <c r="BI233" i="1"/>
  <c r="BG233" i="1"/>
  <c r="BH233" i="1" s="1"/>
  <c r="BM232" i="1"/>
  <c r="BL232" i="1"/>
  <c r="BK232" i="1"/>
  <c r="BJ232" i="1"/>
  <c r="BI232" i="1"/>
  <c r="BG232" i="1"/>
  <c r="BH232" i="1" s="1"/>
  <c r="BM231" i="1"/>
  <c r="BL231" i="1"/>
  <c r="BK231" i="1"/>
  <c r="BJ231" i="1"/>
  <c r="BI231" i="1"/>
  <c r="BG231" i="1"/>
  <c r="BH231" i="1" s="1"/>
  <c r="BM230" i="1"/>
  <c r="BL230" i="1"/>
  <c r="BK230" i="1"/>
  <c r="BJ230" i="1"/>
  <c r="BI230" i="1"/>
  <c r="BG230" i="1"/>
  <c r="BH230" i="1" s="1"/>
  <c r="BM229" i="1"/>
  <c r="BL229" i="1"/>
  <c r="BK229" i="1"/>
  <c r="BJ229" i="1"/>
  <c r="BI229" i="1"/>
  <c r="BG229" i="1"/>
  <c r="BH229" i="1" s="1"/>
  <c r="BM228" i="1"/>
  <c r="BL228" i="1"/>
  <c r="BK228" i="1"/>
  <c r="BJ228" i="1"/>
  <c r="BI228" i="1"/>
  <c r="BG228" i="1"/>
  <c r="BH228" i="1" s="1"/>
  <c r="BM227" i="1"/>
  <c r="BL227" i="1"/>
  <c r="BK227" i="1"/>
  <c r="BJ227" i="1"/>
  <c r="BI227" i="1"/>
  <c r="BG227" i="1"/>
  <c r="BH227" i="1" s="1"/>
  <c r="BM226" i="1"/>
  <c r="BL226" i="1"/>
  <c r="BK226" i="1"/>
  <c r="BJ226" i="1"/>
  <c r="BI226" i="1"/>
  <c r="BG226" i="1"/>
  <c r="BH226" i="1" s="1"/>
  <c r="BM225" i="1"/>
  <c r="BL225" i="1"/>
  <c r="BK225" i="1"/>
  <c r="BJ225" i="1"/>
  <c r="BI225" i="1"/>
  <c r="BG225" i="1"/>
  <c r="BH225" i="1" s="1"/>
  <c r="BM224" i="1"/>
  <c r="BL224" i="1"/>
  <c r="BK224" i="1"/>
  <c r="BJ224" i="1"/>
  <c r="BI224" i="1"/>
  <c r="BG224" i="1"/>
  <c r="BH224" i="1" s="1"/>
  <c r="BM223" i="1"/>
  <c r="BL223" i="1"/>
  <c r="BK223" i="1"/>
  <c r="BJ223" i="1"/>
  <c r="BI223" i="1"/>
  <c r="BG223" i="1"/>
  <c r="BH223" i="1" s="1"/>
  <c r="BM222" i="1"/>
  <c r="BL222" i="1"/>
  <c r="BK222" i="1"/>
  <c r="BJ222" i="1"/>
  <c r="BI222" i="1"/>
  <c r="BG222" i="1"/>
  <c r="BH222" i="1" s="1"/>
  <c r="BM221" i="1"/>
  <c r="BL221" i="1"/>
  <c r="BK221" i="1"/>
  <c r="BJ221" i="1"/>
  <c r="BI221" i="1"/>
  <c r="BG221" i="1"/>
  <c r="BH221" i="1" s="1"/>
  <c r="BM220" i="1"/>
  <c r="BL220" i="1"/>
  <c r="BK220" i="1"/>
  <c r="BJ220" i="1"/>
  <c r="BI220" i="1"/>
  <c r="BG220" i="1"/>
  <c r="BH220" i="1" s="1"/>
  <c r="BM219" i="1"/>
  <c r="BL219" i="1"/>
  <c r="BK219" i="1"/>
  <c r="BJ219" i="1"/>
  <c r="BI219" i="1"/>
  <c r="BG219" i="1"/>
  <c r="BH219" i="1" s="1"/>
  <c r="BM218" i="1"/>
  <c r="BL218" i="1"/>
  <c r="BK218" i="1"/>
  <c r="BJ218" i="1"/>
  <c r="BI218" i="1"/>
  <c r="BG218" i="1"/>
  <c r="BH218" i="1" s="1"/>
  <c r="BM217" i="1"/>
  <c r="BL217" i="1"/>
  <c r="BK217" i="1"/>
  <c r="BJ217" i="1"/>
  <c r="BI217" i="1"/>
  <c r="BG217" i="1"/>
  <c r="BH217" i="1" s="1"/>
  <c r="BM216" i="1"/>
  <c r="BL216" i="1"/>
  <c r="BK216" i="1"/>
  <c r="BJ216" i="1"/>
  <c r="BI216" i="1"/>
  <c r="BG216" i="1"/>
  <c r="BH216" i="1" s="1"/>
  <c r="BM215" i="1"/>
  <c r="BL215" i="1"/>
  <c r="BK215" i="1"/>
  <c r="BJ215" i="1"/>
  <c r="BI215" i="1"/>
  <c r="BG215" i="1"/>
  <c r="BH215" i="1" s="1"/>
  <c r="BM214" i="1"/>
  <c r="BL214" i="1"/>
  <c r="BK214" i="1"/>
  <c r="BJ214" i="1"/>
  <c r="BI214" i="1"/>
  <c r="BG214" i="1"/>
  <c r="BH214" i="1" s="1"/>
  <c r="BM213" i="1"/>
  <c r="BL213" i="1"/>
  <c r="BK213" i="1"/>
  <c r="BJ213" i="1"/>
  <c r="BI213" i="1"/>
  <c r="BG213" i="1"/>
  <c r="BH213" i="1" s="1"/>
  <c r="BM212" i="1"/>
  <c r="BL212" i="1"/>
  <c r="BK212" i="1"/>
  <c r="BJ212" i="1"/>
  <c r="BI212" i="1"/>
  <c r="BG212" i="1"/>
  <c r="BH212" i="1" s="1"/>
  <c r="BM211" i="1"/>
  <c r="BL211" i="1"/>
  <c r="BK211" i="1"/>
  <c r="BJ211" i="1"/>
  <c r="BI211" i="1"/>
  <c r="BG211" i="1"/>
  <c r="BH211" i="1" s="1"/>
  <c r="BM210" i="1"/>
  <c r="BL210" i="1"/>
  <c r="BK210" i="1"/>
  <c r="BJ210" i="1"/>
  <c r="BI210" i="1"/>
  <c r="BG210" i="1"/>
  <c r="BH210" i="1" s="1"/>
  <c r="BM209" i="1"/>
  <c r="BL209" i="1"/>
  <c r="BK209" i="1"/>
  <c r="BJ209" i="1"/>
  <c r="BI209" i="1"/>
  <c r="BG209" i="1"/>
  <c r="BH209" i="1" s="1"/>
  <c r="BM208" i="1"/>
  <c r="BL208" i="1"/>
  <c r="BK208" i="1"/>
  <c r="BJ208" i="1"/>
  <c r="BI208" i="1"/>
  <c r="BG208" i="1"/>
  <c r="BH208" i="1" s="1"/>
  <c r="BM207" i="1"/>
  <c r="BL207" i="1"/>
  <c r="BK207" i="1"/>
  <c r="BJ207" i="1"/>
  <c r="BI207" i="1"/>
  <c r="BG207" i="1"/>
  <c r="BH207" i="1" s="1"/>
  <c r="BM206" i="1"/>
  <c r="BL206" i="1"/>
  <c r="BK206" i="1"/>
  <c r="BJ206" i="1"/>
  <c r="BI206" i="1"/>
  <c r="BG206" i="1"/>
  <c r="BH206" i="1" s="1"/>
  <c r="BM205" i="1"/>
  <c r="BL205" i="1"/>
  <c r="BK205" i="1"/>
  <c r="BJ205" i="1"/>
  <c r="BI205" i="1"/>
  <c r="BG205" i="1"/>
  <c r="BH205" i="1" s="1"/>
  <c r="BM204" i="1"/>
  <c r="BL204" i="1"/>
  <c r="BK204" i="1"/>
  <c r="BJ204" i="1"/>
  <c r="BI204" i="1"/>
  <c r="BG204" i="1"/>
  <c r="BH204" i="1" s="1"/>
  <c r="BM203" i="1"/>
  <c r="BL203" i="1"/>
  <c r="BK203" i="1"/>
  <c r="BJ203" i="1"/>
  <c r="BI203" i="1"/>
  <c r="BG203" i="1"/>
  <c r="BH203" i="1" s="1"/>
  <c r="BM202" i="1"/>
  <c r="BL202" i="1"/>
  <c r="BK202" i="1"/>
  <c r="BJ202" i="1"/>
  <c r="BI202" i="1"/>
  <c r="BG202" i="1"/>
  <c r="BH202" i="1" s="1"/>
  <c r="BM201" i="1"/>
  <c r="BL201" i="1"/>
  <c r="BK201" i="1"/>
  <c r="BJ201" i="1"/>
  <c r="BI201" i="1"/>
  <c r="BG201" i="1"/>
  <c r="BH201" i="1" s="1"/>
  <c r="BM200" i="1"/>
  <c r="BL200" i="1"/>
  <c r="BK200" i="1"/>
  <c r="BJ200" i="1"/>
  <c r="BI200" i="1"/>
  <c r="BG200" i="1"/>
  <c r="BH200" i="1" s="1"/>
  <c r="BM199" i="1"/>
  <c r="BL199" i="1"/>
  <c r="BK199" i="1"/>
  <c r="BJ199" i="1"/>
  <c r="BI199" i="1"/>
  <c r="BG199" i="1"/>
  <c r="BH199" i="1" s="1"/>
  <c r="BM198" i="1"/>
  <c r="BL198" i="1"/>
  <c r="BK198" i="1"/>
  <c r="BJ198" i="1"/>
  <c r="BI198" i="1"/>
  <c r="BG198" i="1"/>
  <c r="BH198" i="1" s="1"/>
  <c r="BM197" i="1"/>
  <c r="BL197" i="1"/>
  <c r="BK197" i="1"/>
  <c r="BJ197" i="1"/>
  <c r="BI197" i="1"/>
  <c r="BG197" i="1"/>
  <c r="BH197" i="1" s="1"/>
  <c r="BM196" i="1"/>
  <c r="BL196" i="1"/>
  <c r="BK196" i="1"/>
  <c r="BJ196" i="1"/>
  <c r="BI196" i="1"/>
  <c r="BG196" i="1"/>
  <c r="BH196" i="1" s="1"/>
  <c r="BM195" i="1"/>
  <c r="BL195" i="1"/>
  <c r="BK195" i="1"/>
  <c r="BJ195" i="1"/>
  <c r="BI195" i="1"/>
  <c r="BG195" i="1"/>
  <c r="BH195" i="1" s="1"/>
  <c r="BM194" i="1"/>
  <c r="BL194" i="1"/>
  <c r="BK194" i="1"/>
  <c r="BJ194" i="1"/>
  <c r="BI194" i="1"/>
  <c r="BG194" i="1"/>
  <c r="BH194" i="1" s="1"/>
  <c r="BM193" i="1"/>
  <c r="BL193" i="1"/>
  <c r="BK193" i="1"/>
  <c r="BJ193" i="1"/>
  <c r="BI193" i="1"/>
  <c r="BG193" i="1"/>
  <c r="BH193" i="1" s="1"/>
  <c r="BM192" i="1"/>
  <c r="BL192" i="1"/>
  <c r="BK192" i="1"/>
  <c r="BJ192" i="1"/>
  <c r="BI192" i="1"/>
  <c r="BG192" i="1"/>
  <c r="BH192" i="1" s="1"/>
  <c r="BM191" i="1"/>
  <c r="BL191" i="1"/>
  <c r="BK191" i="1"/>
  <c r="BJ191" i="1"/>
  <c r="BI191" i="1"/>
  <c r="BG191" i="1"/>
  <c r="BH191" i="1" s="1"/>
  <c r="BM190" i="1"/>
  <c r="BL190" i="1"/>
  <c r="BK190" i="1"/>
  <c r="BJ190" i="1"/>
  <c r="BI190" i="1"/>
  <c r="BG190" i="1"/>
  <c r="BH190" i="1" s="1"/>
  <c r="BM189" i="1"/>
  <c r="BL189" i="1"/>
  <c r="BK189" i="1"/>
  <c r="BJ189" i="1"/>
  <c r="BI189" i="1"/>
  <c r="BG189" i="1"/>
  <c r="BH189" i="1" s="1"/>
  <c r="BM188" i="1"/>
  <c r="BL188" i="1"/>
  <c r="BK188" i="1"/>
  <c r="BJ188" i="1"/>
  <c r="BI188" i="1"/>
  <c r="BG188" i="1"/>
  <c r="BH188" i="1" s="1"/>
  <c r="BM187" i="1"/>
  <c r="BL187" i="1"/>
  <c r="BK187" i="1"/>
  <c r="BJ187" i="1"/>
  <c r="BI187" i="1"/>
  <c r="BG187" i="1"/>
  <c r="BH187" i="1" s="1"/>
  <c r="BM186" i="1"/>
  <c r="BL186" i="1"/>
  <c r="BK186" i="1"/>
  <c r="BJ186" i="1"/>
  <c r="BI186" i="1"/>
  <c r="BG186" i="1"/>
  <c r="BH186" i="1" s="1"/>
  <c r="BM185" i="1"/>
  <c r="BL185" i="1"/>
  <c r="BK185" i="1"/>
  <c r="BJ185" i="1"/>
  <c r="BI185" i="1"/>
  <c r="BG185" i="1"/>
  <c r="BH185" i="1" s="1"/>
  <c r="BM184" i="1"/>
  <c r="BL184" i="1"/>
  <c r="BK184" i="1"/>
  <c r="BJ184" i="1"/>
  <c r="BI184" i="1"/>
  <c r="BG184" i="1"/>
  <c r="BH184" i="1" s="1"/>
  <c r="BM183" i="1"/>
  <c r="BL183" i="1"/>
  <c r="BK183" i="1"/>
  <c r="BJ183" i="1"/>
  <c r="BI183" i="1"/>
  <c r="BG183" i="1"/>
  <c r="BH183" i="1" s="1"/>
  <c r="BM182" i="1"/>
  <c r="BL182" i="1"/>
  <c r="BK182" i="1"/>
  <c r="BJ182" i="1"/>
  <c r="BI182" i="1"/>
  <c r="BG182" i="1"/>
  <c r="BH182" i="1" s="1"/>
  <c r="BM181" i="1"/>
  <c r="BL181" i="1"/>
  <c r="BK181" i="1"/>
  <c r="BJ181" i="1"/>
  <c r="BI181" i="1"/>
  <c r="BG181" i="1"/>
  <c r="BH181" i="1" s="1"/>
  <c r="BM180" i="1"/>
  <c r="BL180" i="1"/>
  <c r="BK180" i="1"/>
  <c r="BJ180" i="1"/>
  <c r="BI180" i="1"/>
  <c r="BG180" i="1"/>
  <c r="BH180" i="1" s="1"/>
  <c r="BM179" i="1"/>
  <c r="BL179" i="1"/>
  <c r="BK179" i="1"/>
  <c r="BJ179" i="1"/>
  <c r="BI179" i="1"/>
  <c r="BG179" i="1"/>
  <c r="BH179" i="1" s="1"/>
  <c r="BM178" i="1"/>
  <c r="BL178" i="1"/>
  <c r="BK178" i="1"/>
  <c r="BJ178" i="1"/>
  <c r="BI178" i="1"/>
  <c r="BG178" i="1"/>
  <c r="BH178" i="1" s="1"/>
  <c r="BM177" i="1"/>
  <c r="BL177" i="1"/>
  <c r="BK177" i="1"/>
  <c r="BJ177" i="1"/>
  <c r="BI177" i="1"/>
  <c r="BG177" i="1"/>
  <c r="BH177" i="1" s="1"/>
  <c r="BM176" i="1"/>
  <c r="BL176" i="1"/>
  <c r="BK176" i="1"/>
  <c r="BJ176" i="1"/>
  <c r="BI176" i="1"/>
  <c r="BG176" i="1"/>
  <c r="BH176" i="1" s="1"/>
  <c r="BM175" i="1"/>
  <c r="BL175" i="1"/>
  <c r="BK175" i="1"/>
  <c r="BJ175" i="1"/>
  <c r="BI175" i="1"/>
  <c r="BG175" i="1"/>
  <c r="BH175" i="1" s="1"/>
  <c r="BM174" i="1"/>
  <c r="BL174" i="1"/>
  <c r="BK174" i="1"/>
  <c r="BJ174" i="1"/>
  <c r="BI174" i="1"/>
  <c r="BG174" i="1"/>
  <c r="BH174" i="1" s="1"/>
  <c r="BM173" i="1"/>
  <c r="BL173" i="1"/>
  <c r="BK173" i="1"/>
  <c r="BJ173" i="1"/>
  <c r="BI173" i="1"/>
  <c r="BG173" i="1"/>
  <c r="BH173" i="1" s="1"/>
  <c r="BM172" i="1"/>
  <c r="BL172" i="1"/>
  <c r="BK172" i="1"/>
  <c r="BJ172" i="1"/>
  <c r="BI172" i="1"/>
  <c r="BG172" i="1"/>
  <c r="BH172" i="1" s="1"/>
  <c r="BM171" i="1"/>
  <c r="BL171" i="1"/>
  <c r="BK171" i="1"/>
  <c r="BJ171" i="1"/>
  <c r="BI171" i="1"/>
  <c r="BG171" i="1"/>
  <c r="BH171" i="1" s="1"/>
  <c r="BM170" i="1"/>
  <c r="BL170" i="1"/>
  <c r="BK170" i="1"/>
  <c r="BJ170" i="1"/>
  <c r="BI170" i="1"/>
  <c r="BG170" i="1"/>
  <c r="BH170" i="1" s="1"/>
  <c r="BM169" i="1"/>
  <c r="BL169" i="1"/>
  <c r="BK169" i="1"/>
  <c r="BJ169" i="1"/>
  <c r="BI169" i="1"/>
  <c r="BG169" i="1"/>
  <c r="BH169" i="1" s="1"/>
  <c r="BM168" i="1"/>
  <c r="BL168" i="1"/>
  <c r="BK168" i="1"/>
  <c r="BJ168" i="1"/>
  <c r="BI168" i="1"/>
  <c r="BG168" i="1"/>
  <c r="BH168" i="1" s="1"/>
  <c r="BM167" i="1"/>
  <c r="BL167" i="1"/>
  <c r="BK167" i="1"/>
  <c r="BJ167" i="1"/>
  <c r="BI167" i="1"/>
  <c r="BG167" i="1"/>
  <c r="BH167" i="1" s="1"/>
  <c r="BM166" i="1"/>
  <c r="BL166" i="1"/>
  <c r="BK166" i="1"/>
  <c r="BJ166" i="1"/>
  <c r="BI166" i="1"/>
  <c r="BG166" i="1"/>
  <c r="BH166" i="1" s="1"/>
  <c r="BM165" i="1"/>
  <c r="BL165" i="1"/>
  <c r="BK165" i="1"/>
  <c r="BJ165" i="1"/>
  <c r="BI165" i="1"/>
  <c r="BG165" i="1"/>
  <c r="BH165" i="1" s="1"/>
  <c r="BM164" i="1"/>
  <c r="BL164" i="1"/>
  <c r="BK164" i="1"/>
  <c r="BJ164" i="1"/>
  <c r="BI164" i="1"/>
  <c r="BG164" i="1"/>
  <c r="BH164" i="1" s="1"/>
  <c r="BM163" i="1"/>
  <c r="BL163" i="1"/>
  <c r="BK163" i="1"/>
  <c r="BJ163" i="1"/>
  <c r="BI163" i="1"/>
  <c r="BG163" i="1"/>
  <c r="BH163" i="1" s="1"/>
  <c r="BM162" i="1"/>
  <c r="BL162" i="1"/>
  <c r="BK162" i="1"/>
  <c r="BJ162" i="1"/>
  <c r="BI162" i="1"/>
  <c r="BG162" i="1"/>
  <c r="BH162" i="1" s="1"/>
  <c r="BM161" i="1"/>
  <c r="BL161" i="1"/>
  <c r="BK161" i="1"/>
  <c r="BJ161" i="1"/>
  <c r="BI161" i="1"/>
  <c r="BG161" i="1"/>
  <c r="BH161" i="1" s="1"/>
  <c r="BM160" i="1"/>
  <c r="BL160" i="1"/>
  <c r="BK160" i="1"/>
  <c r="BJ160" i="1"/>
  <c r="BI160" i="1"/>
  <c r="BG160" i="1"/>
  <c r="BH160" i="1" s="1"/>
  <c r="BM159" i="1"/>
  <c r="BL159" i="1"/>
  <c r="BK159" i="1"/>
  <c r="BJ159" i="1"/>
  <c r="BI159" i="1"/>
  <c r="BG159" i="1"/>
  <c r="BH159" i="1" s="1"/>
  <c r="BM158" i="1"/>
  <c r="BL158" i="1"/>
  <c r="BK158" i="1"/>
  <c r="BJ158" i="1"/>
  <c r="BI158" i="1"/>
  <c r="BG158" i="1"/>
  <c r="BH158" i="1" s="1"/>
  <c r="BM157" i="1"/>
  <c r="BL157" i="1"/>
  <c r="BK157" i="1"/>
  <c r="BJ157" i="1"/>
  <c r="BI157" i="1"/>
  <c r="BG157" i="1"/>
  <c r="BH157" i="1" s="1"/>
  <c r="BM156" i="1"/>
  <c r="BL156" i="1"/>
  <c r="BK156" i="1"/>
  <c r="BJ156" i="1"/>
  <c r="BI156" i="1"/>
  <c r="BG156" i="1"/>
  <c r="BH156" i="1" s="1"/>
  <c r="BM155" i="1"/>
  <c r="BL155" i="1"/>
  <c r="BK155" i="1"/>
  <c r="BJ155" i="1"/>
  <c r="BI155" i="1"/>
  <c r="BG155" i="1"/>
  <c r="BH155" i="1" s="1"/>
  <c r="BM154" i="1"/>
  <c r="BL154" i="1"/>
  <c r="BK154" i="1"/>
  <c r="BJ154" i="1"/>
  <c r="BI154" i="1"/>
  <c r="BG154" i="1"/>
  <c r="BH154" i="1" s="1"/>
  <c r="BM153" i="1"/>
  <c r="BL153" i="1"/>
  <c r="BK153" i="1"/>
  <c r="BJ153" i="1"/>
  <c r="BI153" i="1"/>
  <c r="BG153" i="1"/>
  <c r="BH153" i="1" s="1"/>
  <c r="BM152" i="1"/>
  <c r="BL152" i="1"/>
  <c r="BK152" i="1"/>
  <c r="BJ152" i="1"/>
  <c r="BI152" i="1"/>
  <c r="BG152" i="1"/>
  <c r="BH152" i="1" s="1"/>
  <c r="BM151" i="1"/>
  <c r="BL151" i="1"/>
  <c r="BK151" i="1"/>
  <c r="BJ151" i="1"/>
  <c r="BI151" i="1"/>
  <c r="BG151" i="1"/>
  <c r="BH151" i="1" s="1"/>
  <c r="BM150" i="1"/>
  <c r="BL150" i="1"/>
  <c r="BK150" i="1"/>
  <c r="BJ150" i="1"/>
  <c r="BI150" i="1"/>
  <c r="BG150" i="1"/>
  <c r="BH150" i="1" s="1"/>
  <c r="BM149" i="1"/>
  <c r="BL149" i="1"/>
  <c r="BK149" i="1"/>
  <c r="BJ149" i="1"/>
  <c r="BI149" i="1"/>
  <c r="BG149" i="1"/>
  <c r="BH149" i="1" s="1"/>
  <c r="BM148" i="1"/>
  <c r="BL148" i="1"/>
  <c r="BK148" i="1"/>
  <c r="BJ148" i="1"/>
  <c r="BI148" i="1"/>
  <c r="BG148" i="1"/>
  <c r="BH148" i="1" s="1"/>
  <c r="BM147" i="1"/>
  <c r="BL147" i="1"/>
  <c r="BK147" i="1"/>
  <c r="BJ147" i="1"/>
  <c r="BI147" i="1"/>
  <c r="BG147" i="1"/>
  <c r="BH147" i="1" s="1"/>
  <c r="BM146" i="1"/>
  <c r="BL146" i="1"/>
  <c r="BK146" i="1"/>
  <c r="BJ146" i="1"/>
  <c r="BI146" i="1"/>
  <c r="BG146" i="1"/>
  <c r="BH146" i="1" s="1"/>
  <c r="BM145" i="1"/>
  <c r="BL145" i="1"/>
  <c r="BK145" i="1"/>
  <c r="BJ145" i="1"/>
  <c r="BI145" i="1"/>
  <c r="BG145" i="1"/>
  <c r="BH145" i="1" s="1"/>
  <c r="BM144" i="1"/>
  <c r="BL144" i="1"/>
  <c r="BK144" i="1"/>
  <c r="BJ144" i="1"/>
  <c r="BI144" i="1"/>
  <c r="BG144" i="1"/>
  <c r="BH144" i="1" s="1"/>
  <c r="BM143" i="1"/>
  <c r="BL143" i="1"/>
  <c r="BK143" i="1"/>
  <c r="BJ143" i="1"/>
  <c r="BI143" i="1"/>
  <c r="BG143" i="1"/>
  <c r="BH143" i="1" s="1"/>
  <c r="BM142" i="1"/>
  <c r="BL142" i="1"/>
  <c r="BK142" i="1"/>
  <c r="BJ142" i="1"/>
  <c r="BI142" i="1"/>
  <c r="BG142" i="1"/>
  <c r="BH142" i="1" s="1"/>
  <c r="BM141" i="1"/>
  <c r="BL141" i="1"/>
  <c r="BK141" i="1"/>
  <c r="BJ141" i="1"/>
  <c r="BI141" i="1"/>
  <c r="BG141" i="1"/>
  <c r="BH141" i="1" s="1"/>
  <c r="BM140" i="1"/>
  <c r="BL140" i="1"/>
  <c r="BK140" i="1"/>
  <c r="BJ140" i="1"/>
  <c r="BI140" i="1"/>
  <c r="BG140" i="1"/>
  <c r="BH140" i="1" s="1"/>
  <c r="BM139" i="1"/>
  <c r="BL139" i="1"/>
  <c r="BK139" i="1"/>
  <c r="BJ139" i="1"/>
  <c r="BI139" i="1"/>
  <c r="BG139" i="1"/>
  <c r="BH139" i="1" s="1"/>
  <c r="BM138" i="1"/>
  <c r="BL138" i="1"/>
  <c r="BK138" i="1"/>
  <c r="BJ138" i="1"/>
  <c r="BI138" i="1"/>
  <c r="BG138" i="1"/>
  <c r="BH138" i="1" s="1"/>
  <c r="BM137" i="1"/>
  <c r="BL137" i="1"/>
  <c r="BK137" i="1"/>
  <c r="BJ137" i="1"/>
  <c r="BI137" i="1"/>
  <c r="BG137" i="1"/>
  <c r="BH137" i="1" s="1"/>
  <c r="BM136" i="1"/>
  <c r="BL136" i="1"/>
  <c r="BK136" i="1"/>
  <c r="BJ136" i="1"/>
  <c r="BI136" i="1"/>
  <c r="BG136" i="1"/>
  <c r="BH136" i="1" s="1"/>
  <c r="BM135" i="1"/>
  <c r="BL135" i="1"/>
  <c r="BK135" i="1"/>
  <c r="BJ135" i="1"/>
  <c r="BI135" i="1"/>
  <c r="BG135" i="1"/>
  <c r="BH135" i="1" s="1"/>
  <c r="BM134" i="1"/>
  <c r="BL134" i="1"/>
  <c r="BK134" i="1"/>
  <c r="BJ134" i="1"/>
  <c r="BI134" i="1"/>
  <c r="BG134" i="1"/>
  <c r="BH134" i="1" s="1"/>
  <c r="BM133" i="1"/>
  <c r="BL133" i="1"/>
  <c r="BK133" i="1"/>
  <c r="BJ133" i="1"/>
  <c r="BI133" i="1"/>
  <c r="BG133" i="1"/>
  <c r="BH133" i="1" s="1"/>
  <c r="BM132" i="1"/>
  <c r="BL132" i="1"/>
  <c r="BK132" i="1"/>
  <c r="BJ132" i="1"/>
  <c r="BI132" i="1"/>
  <c r="BG132" i="1"/>
  <c r="BH132" i="1" s="1"/>
  <c r="BM131" i="1"/>
  <c r="BL131" i="1"/>
  <c r="BK131" i="1"/>
  <c r="BJ131" i="1"/>
  <c r="BI131" i="1"/>
  <c r="BG131" i="1"/>
  <c r="BH131" i="1" s="1"/>
  <c r="BM130" i="1"/>
  <c r="BL130" i="1"/>
  <c r="BK130" i="1"/>
  <c r="BJ130" i="1"/>
  <c r="BI130" i="1"/>
  <c r="BG130" i="1"/>
  <c r="BH130" i="1" s="1"/>
  <c r="BM129" i="1"/>
  <c r="BL129" i="1"/>
  <c r="BK129" i="1"/>
  <c r="BJ129" i="1"/>
  <c r="BI129" i="1"/>
  <c r="BG129" i="1"/>
  <c r="BH129" i="1" s="1"/>
  <c r="BM128" i="1"/>
  <c r="BL128" i="1"/>
  <c r="BK128" i="1"/>
  <c r="BJ128" i="1"/>
  <c r="BI128" i="1"/>
  <c r="BG128" i="1"/>
  <c r="BH128" i="1" s="1"/>
  <c r="BM127" i="1"/>
  <c r="BL127" i="1"/>
  <c r="BK127" i="1"/>
  <c r="BJ127" i="1"/>
  <c r="BI127" i="1"/>
  <c r="BG127" i="1"/>
  <c r="BH127" i="1" s="1"/>
  <c r="BM126" i="1"/>
  <c r="BL126" i="1"/>
  <c r="BK126" i="1"/>
  <c r="BJ126" i="1"/>
  <c r="BI126" i="1"/>
  <c r="BG126" i="1"/>
  <c r="BH126" i="1" s="1"/>
  <c r="BM125" i="1"/>
  <c r="BL125" i="1"/>
  <c r="BK125" i="1"/>
  <c r="BJ125" i="1"/>
  <c r="BI125" i="1"/>
  <c r="BG125" i="1"/>
  <c r="BH125" i="1" s="1"/>
  <c r="BM124" i="1"/>
  <c r="BL124" i="1"/>
  <c r="BK124" i="1"/>
  <c r="BJ124" i="1"/>
  <c r="BI124" i="1"/>
  <c r="BG124" i="1"/>
  <c r="BH124" i="1" s="1"/>
  <c r="BM123" i="1"/>
  <c r="BL123" i="1"/>
  <c r="BK123" i="1"/>
  <c r="BJ123" i="1"/>
  <c r="BI123" i="1"/>
  <c r="BG123" i="1"/>
  <c r="BH123" i="1" s="1"/>
  <c r="BM122" i="1"/>
  <c r="BL122" i="1"/>
  <c r="BK122" i="1"/>
  <c r="BJ122" i="1"/>
  <c r="BI122" i="1"/>
  <c r="BG122" i="1"/>
  <c r="BH122" i="1" s="1"/>
  <c r="BM121" i="1"/>
  <c r="BL121" i="1"/>
  <c r="BK121" i="1"/>
  <c r="BJ121" i="1"/>
  <c r="BI121" i="1"/>
  <c r="BG121" i="1"/>
  <c r="BH121" i="1" s="1"/>
  <c r="BM120" i="1"/>
  <c r="BL120" i="1"/>
  <c r="BK120" i="1"/>
  <c r="BJ120" i="1"/>
  <c r="BI120" i="1"/>
  <c r="BG120" i="1"/>
  <c r="BH120" i="1" s="1"/>
  <c r="BM119" i="1"/>
  <c r="BL119" i="1"/>
  <c r="BK119" i="1"/>
  <c r="BJ119" i="1"/>
  <c r="BI119" i="1"/>
  <c r="BG119" i="1"/>
  <c r="BH119" i="1" s="1"/>
  <c r="BM118" i="1"/>
  <c r="BL118" i="1"/>
  <c r="BK118" i="1"/>
  <c r="BJ118" i="1"/>
  <c r="BI118" i="1"/>
  <c r="BG118" i="1"/>
  <c r="BH118" i="1" s="1"/>
  <c r="BM117" i="1"/>
  <c r="BL117" i="1"/>
  <c r="BK117" i="1"/>
  <c r="BJ117" i="1"/>
  <c r="BI117" i="1"/>
  <c r="BG117" i="1"/>
  <c r="BH117" i="1" s="1"/>
  <c r="BM116" i="1"/>
  <c r="BL116" i="1"/>
  <c r="BK116" i="1"/>
  <c r="BJ116" i="1"/>
  <c r="BI116" i="1"/>
  <c r="BG116" i="1"/>
  <c r="BH116" i="1" s="1"/>
  <c r="BM115" i="1"/>
  <c r="BL115" i="1"/>
  <c r="BK115" i="1"/>
  <c r="BJ115" i="1"/>
  <c r="BI115" i="1"/>
  <c r="BG115" i="1"/>
  <c r="BH115" i="1" s="1"/>
  <c r="BM114" i="1"/>
  <c r="BL114" i="1"/>
  <c r="BK114" i="1"/>
  <c r="BJ114" i="1"/>
  <c r="BI114" i="1"/>
  <c r="BG114" i="1"/>
  <c r="BH114" i="1" s="1"/>
  <c r="BM113" i="1"/>
  <c r="BL113" i="1"/>
  <c r="BK113" i="1"/>
  <c r="BJ113" i="1"/>
  <c r="BI113" i="1"/>
  <c r="BG113" i="1"/>
  <c r="BH113" i="1" s="1"/>
  <c r="BM112" i="1"/>
  <c r="BL112" i="1"/>
  <c r="BK112" i="1"/>
  <c r="BJ112" i="1"/>
  <c r="BI112" i="1"/>
  <c r="BG112" i="1"/>
  <c r="BH112" i="1" s="1"/>
  <c r="BM111" i="1"/>
  <c r="BL111" i="1"/>
  <c r="BK111" i="1"/>
  <c r="BJ111" i="1"/>
  <c r="BI111" i="1"/>
  <c r="BG111" i="1"/>
  <c r="BH111" i="1" s="1"/>
  <c r="BM110" i="1"/>
  <c r="BL110" i="1"/>
  <c r="BK110" i="1"/>
  <c r="BJ110" i="1"/>
  <c r="BI110" i="1"/>
  <c r="BG110" i="1"/>
  <c r="BH110" i="1" s="1"/>
  <c r="BM109" i="1"/>
  <c r="BL109" i="1"/>
  <c r="BK109" i="1"/>
  <c r="BJ109" i="1"/>
  <c r="BI109" i="1"/>
  <c r="BG109" i="1"/>
  <c r="BH109" i="1" s="1"/>
  <c r="BM108" i="1"/>
  <c r="BL108" i="1"/>
  <c r="BK108" i="1"/>
  <c r="BJ108" i="1"/>
  <c r="BI108" i="1"/>
  <c r="BG108" i="1"/>
  <c r="BH108" i="1" s="1"/>
  <c r="BM107" i="1"/>
  <c r="BL107" i="1"/>
  <c r="BK107" i="1"/>
  <c r="BJ107" i="1"/>
  <c r="BI107" i="1"/>
  <c r="BG107" i="1"/>
  <c r="BH107" i="1" s="1"/>
  <c r="BM106" i="1"/>
  <c r="BL106" i="1"/>
  <c r="BK106" i="1"/>
  <c r="BJ106" i="1"/>
  <c r="BI106" i="1"/>
  <c r="BG106" i="1"/>
  <c r="BH106" i="1" s="1"/>
  <c r="BM105" i="1"/>
  <c r="BL105" i="1"/>
  <c r="BK105" i="1"/>
  <c r="BJ105" i="1"/>
  <c r="BI105" i="1"/>
  <c r="BG105" i="1"/>
  <c r="BH105" i="1" s="1"/>
  <c r="BM104" i="1"/>
  <c r="BL104" i="1"/>
  <c r="BK104" i="1"/>
  <c r="BJ104" i="1"/>
  <c r="BI104" i="1"/>
  <c r="BG104" i="1"/>
  <c r="BH104" i="1" s="1"/>
  <c r="BM103" i="1"/>
  <c r="BL103" i="1"/>
  <c r="BK103" i="1"/>
  <c r="BJ103" i="1"/>
  <c r="BI103" i="1"/>
  <c r="BG103" i="1"/>
  <c r="BH103" i="1" s="1"/>
  <c r="BM102" i="1"/>
  <c r="BL102" i="1"/>
  <c r="BK102" i="1"/>
  <c r="BJ102" i="1"/>
  <c r="BI102" i="1"/>
  <c r="BG102" i="1"/>
  <c r="BH102" i="1" s="1"/>
  <c r="BM101" i="1"/>
  <c r="BL101" i="1"/>
  <c r="BK101" i="1"/>
  <c r="BJ101" i="1"/>
  <c r="BI101" i="1"/>
  <c r="BG101" i="1"/>
  <c r="BH101" i="1" s="1"/>
  <c r="BM100" i="1"/>
  <c r="BL100" i="1"/>
  <c r="BK100" i="1"/>
  <c r="BJ100" i="1"/>
  <c r="BI100" i="1"/>
  <c r="BG100" i="1"/>
  <c r="BH100" i="1" s="1"/>
  <c r="BM99" i="1"/>
  <c r="BL99" i="1"/>
  <c r="BK99" i="1"/>
  <c r="BJ99" i="1"/>
  <c r="BI99" i="1"/>
  <c r="BG99" i="1"/>
  <c r="BH99" i="1" s="1"/>
  <c r="BM98" i="1"/>
  <c r="BL98" i="1"/>
  <c r="BK98" i="1"/>
  <c r="BJ98" i="1"/>
  <c r="BI98" i="1"/>
  <c r="BG98" i="1"/>
  <c r="BH98" i="1" s="1"/>
  <c r="BM97" i="1"/>
  <c r="BL97" i="1"/>
  <c r="BK97" i="1"/>
  <c r="BJ97" i="1"/>
  <c r="BI97" i="1"/>
  <c r="BG97" i="1"/>
  <c r="BH97" i="1" s="1"/>
  <c r="BM96" i="1"/>
  <c r="BL96" i="1"/>
  <c r="BK96" i="1"/>
  <c r="BJ96" i="1"/>
  <c r="BI96" i="1"/>
  <c r="BG96" i="1"/>
  <c r="BH96" i="1" s="1"/>
  <c r="BM95" i="1"/>
  <c r="BL95" i="1"/>
  <c r="BK95" i="1"/>
  <c r="BJ95" i="1"/>
  <c r="BI95" i="1"/>
  <c r="BG95" i="1"/>
  <c r="BH95" i="1" s="1"/>
  <c r="BM94" i="1"/>
  <c r="BL94" i="1"/>
  <c r="BK94" i="1"/>
  <c r="BJ94" i="1"/>
  <c r="BI94" i="1"/>
  <c r="BG94" i="1"/>
  <c r="BH94" i="1" s="1"/>
  <c r="BM93" i="1"/>
  <c r="BL93" i="1"/>
  <c r="BK93" i="1"/>
  <c r="BJ93" i="1"/>
  <c r="BI93" i="1"/>
  <c r="BG93" i="1"/>
  <c r="BH93" i="1" s="1"/>
  <c r="BM92" i="1"/>
  <c r="BL92" i="1"/>
  <c r="BK92" i="1"/>
  <c r="BJ92" i="1"/>
  <c r="BI92" i="1"/>
  <c r="BG92" i="1"/>
  <c r="BH92" i="1" s="1"/>
  <c r="BM91" i="1"/>
  <c r="BL91" i="1"/>
  <c r="BK91" i="1"/>
  <c r="BJ91" i="1"/>
  <c r="BI91" i="1"/>
  <c r="BG91" i="1"/>
  <c r="BH91" i="1" s="1"/>
  <c r="BM90" i="1"/>
  <c r="BL90" i="1"/>
  <c r="BK90" i="1"/>
  <c r="BJ90" i="1"/>
  <c r="BI90" i="1"/>
  <c r="BG90" i="1"/>
  <c r="BH90" i="1" s="1"/>
  <c r="BM89" i="1"/>
  <c r="BL89" i="1"/>
  <c r="BK89" i="1"/>
  <c r="BJ89" i="1"/>
  <c r="BI89" i="1"/>
  <c r="BG89" i="1"/>
  <c r="BH89" i="1" s="1"/>
  <c r="BM88" i="1"/>
  <c r="BL88" i="1"/>
  <c r="BK88" i="1"/>
  <c r="BJ88" i="1"/>
  <c r="BI88" i="1"/>
  <c r="BG88" i="1"/>
  <c r="BH88" i="1" s="1"/>
  <c r="BM87" i="1"/>
  <c r="BL87" i="1"/>
  <c r="BK87" i="1"/>
  <c r="BJ87" i="1"/>
  <c r="BI87" i="1"/>
  <c r="BG87" i="1"/>
  <c r="BH87" i="1" s="1"/>
  <c r="BM86" i="1"/>
  <c r="BL86" i="1"/>
  <c r="BK86" i="1"/>
  <c r="BJ86" i="1"/>
  <c r="BI86" i="1"/>
  <c r="BG86" i="1"/>
  <c r="BH86" i="1" s="1"/>
  <c r="BM85" i="1"/>
  <c r="BL85" i="1"/>
  <c r="BK85" i="1"/>
  <c r="BJ85" i="1"/>
  <c r="BI85" i="1"/>
  <c r="BG85" i="1"/>
  <c r="BH85" i="1" s="1"/>
  <c r="BM84" i="1"/>
  <c r="BL84" i="1"/>
  <c r="BK84" i="1"/>
  <c r="BJ84" i="1"/>
  <c r="BI84" i="1"/>
  <c r="BG84" i="1"/>
  <c r="BH84" i="1" s="1"/>
  <c r="BM83" i="1"/>
  <c r="BL83" i="1"/>
  <c r="BK83" i="1"/>
  <c r="BJ83" i="1"/>
  <c r="BI83" i="1"/>
  <c r="BG83" i="1"/>
  <c r="BH83" i="1" s="1"/>
  <c r="BM82" i="1"/>
  <c r="BL82" i="1"/>
  <c r="BK82" i="1"/>
  <c r="BJ82" i="1"/>
  <c r="BI82" i="1"/>
  <c r="BG82" i="1"/>
  <c r="BH82" i="1" s="1"/>
  <c r="BM81" i="1"/>
  <c r="BL81" i="1"/>
  <c r="BK81" i="1"/>
  <c r="BJ81" i="1"/>
  <c r="BI81" i="1"/>
  <c r="BG81" i="1"/>
  <c r="BH81" i="1" s="1"/>
  <c r="BM80" i="1"/>
  <c r="BL80" i="1"/>
  <c r="BK80" i="1"/>
  <c r="BJ80" i="1"/>
  <c r="BI80" i="1"/>
  <c r="BG80" i="1"/>
  <c r="BH80" i="1" s="1"/>
  <c r="BM79" i="1"/>
  <c r="BL79" i="1"/>
  <c r="BK79" i="1"/>
  <c r="BJ79" i="1"/>
  <c r="BI79" i="1"/>
  <c r="BG79" i="1"/>
  <c r="BH79" i="1" s="1"/>
  <c r="BM78" i="1"/>
  <c r="BL78" i="1"/>
  <c r="BK78" i="1"/>
  <c r="BJ78" i="1"/>
  <c r="BI78" i="1"/>
  <c r="BG78" i="1"/>
  <c r="BH78" i="1" s="1"/>
  <c r="BM77" i="1"/>
  <c r="BL77" i="1"/>
  <c r="BK77" i="1"/>
  <c r="BJ77" i="1"/>
  <c r="BI77" i="1"/>
  <c r="BG77" i="1"/>
  <c r="BH77" i="1" s="1"/>
  <c r="BM76" i="1"/>
  <c r="BL76" i="1"/>
  <c r="BK76" i="1"/>
  <c r="BJ76" i="1"/>
  <c r="BI76" i="1"/>
  <c r="BG76" i="1"/>
  <c r="BH76" i="1" s="1"/>
  <c r="BM75" i="1"/>
  <c r="BL75" i="1"/>
  <c r="BK75" i="1"/>
  <c r="BJ75" i="1"/>
  <c r="BI75" i="1"/>
  <c r="BG75" i="1"/>
  <c r="BH75" i="1" s="1"/>
  <c r="BM74" i="1"/>
  <c r="BL74" i="1"/>
  <c r="BK74" i="1"/>
  <c r="BJ74" i="1"/>
  <c r="BI74" i="1"/>
  <c r="BG74" i="1"/>
  <c r="BH74" i="1" s="1"/>
  <c r="BM73" i="1"/>
  <c r="BL73" i="1"/>
  <c r="BK73" i="1"/>
  <c r="BJ73" i="1"/>
  <c r="BI73" i="1"/>
  <c r="BG73" i="1"/>
  <c r="BH73" i="1" s="1"/>
  <c r="BM72" i="1"/>
  <c r="BL72" i="1"/>
  <c r="BK72" i="1"/>
  <c r="BJ72" i="1"/>
  <c r="BI72" i="1"/>
  <c r="BG72" i="1"/>
  <c r="BH72" i="1" s="1"/>
  <c r="BM71" i="1"/>
  <c r="BL71" i="1"/>
  <c r="BK71" i="1"/>
  <c r="BJ71" i="1"/>
  <c r="BI71" i="1"/>
  <c r="BG71" i="1"/>
  <c r="BH71" i="1" s="1"/>
  <c r="BM70" i="1"/>
  <c r="BL70" i="1"/>
  <c r="BK70" i="1"/>
  <c r="BJ70" i="1"/>
  <c r="BI70" i="1"/>
  <c r="BG70" i="1"/>
  <c r="BH70" i="1" s="1"/>
  <c r="BM69" i="1"/>
  <c r="BL69" i="1"/>
  <c r="BK69" i="1"/>
  <c r="BJ69" i="1"/>
  <c r="BI69" i="1"/>
  <c r="BG69" i="1"/>
  <c r="BH69" i="1" s="1"/>
  <c r="BM68" i="1"/>
  <c r="BL68" i="1"/>
  <c r="BK68" i="1"/>
  <c r="BJ68" i="1"/>
  <c r="BI68" i="1"/>
  <c r="BG68" i="1"/>
  <c r="BH68" i="1" s="1"/>
  <c r="BM67" i="1"/>
  <c r="BL67" i="1"/>
  <c r="BK67" i="1"/>
  <c r="BJ67" i="1"/>
  <c r="BI67" i="1"/>
  <c r="BG67" i="1"/>
  <c r="BH67" i="1" s="1"/>
  <c r="BM66" i="1"/>
  <c r="BL66" i="1"/>
  <c r="BK66" i="1"/>
  <c r="BJ66" i="1"/>
  <c r="BI66" i="1"/>
  <c r="BG66" i="1"/>
  <c r="BH66" i="1" s="1"/>
  <c r="BM65" i="1"/>
  <c r="BL65" i="1"/>
  <c r="BK65" i="1"/>
  <c r="BJ65" i="1"/>
  <c r="BI65" i="1"/>
  <c r="BG65" i="1"/>
  <c r="BH65" i="1" s="1"/>
  <c r="BM64" i="1"/>
  <c r="BL64" i="1"/>
  <c r="BK64" i="1"/>
  <c r="BJ64" i="1"/>
  <c r="BI64" i="1"/>
  <c r="BG64" i="1"/>
  <c r="BH64" i="1" s="1"/>
  <c r="BM63" i="1"/>
  <c r="BL63" i="1"/>
  <c r="BK63" i="1"/>
  <c r="BJ63" i="1"/>
  <c r="BI63" i="1"/>
  <c r="BG63" i="1"/>
  <c r="BH63" i="1" s="1"/>
  <c r="BM62" i="1"/>
  <c r="BL62" i="1"/>
  <c r="BK62" i="1"/>
  <c r="BJ62" i="1"/>
  <c r="BI62" i="1"/>
  <c r="BG62" i="1"/>
  <c r="BH62" i="1" s="1"/>
  <c r="BM61" i="1"/>
  <c r="BL61" i="1"/>
  <c r="BK61" i="1"/>
  <c r="BJ61" i="1"/>
  <c r="BI61" i="1"/>
  <c r="BG61" i="1"/>
  <c r="BH61" i="1" s="1"/>
  <c r="BM60" i="1"/>
  <c r="BL60" i="1"/>
  <c r="BK60" i="1"/>
  <c r="BJ60" i="1"/>
  <c r="BI60" i="1"/>
  <c r="BG60" i="1"/>
  <c r="BH60" i="1" s="1"/>
  <c r="BM59" i="1"/>
  <c r="BL59" i="1"/>
  <c r="BK59" i="1"/>
  <c r="BJ59" i="1"/>
  <c r="BI59" i="1"/>
  <c r="BG59" i="1"/>
  <c r="BH59" i="1" s="1"/>
  <c r="BM58" i="1"/>
  <c r="BL58" i="1"/>
  <c r="BK58" i="1"/>
  <c r="BJ58" i="1"/>
  <c r="BI58" i="1"/>
  <c r="BG58" i="1"/>
  <c r="BH58" i="1" s="1"/>
  <c r="BM57" i="1"/>
  <c r="BL57" i="1"/>
  <c r="BK57" i="1"/>
  <c r="BJ57" i="1"/>
  <c r="BI57" i="1"/>
  <c r="BG57" i="1"/>
  <c r="BH57" i="1" s="1"/>
  <c r="BM56" i="1"/>
  <c r="BL56" i="1"/>
  <c r="BK56" i="1"/>
  <c r="BJ56" i="1"/>
  <c r="BI56" i="1"/>
  <c r="BG56" i="1"/>
  <c r="BH56" i="1" s="1"/>
  <c r="BM55" i="1"/>
  <c r="BL55" i="1"/>
  <c r="BK55" i="1"/>
  <c r="BJ55" i="1"/>
  <c r="BI55" i="1"/>
  <c r="BG55" i="1"/>
  <c r="BH55" i="1" s="1"/>
  <c r="BM54" i="1"/>
  <c r="BL54" i="1"/>
  <c r="BK54" i="1"/>
  <c r="BJ54" i="1"/>
  <c r="BI54" i="1"/>
  <c r="BG54" i="1"/>
  <c r="BH54" i="1" s="1"/>
  <c r="BM53" i="1"/>
  <c r="BL53" i="1"/>
  <c r="BK53" i="1"/>
  <c r="BJ53" i="1"/>
  <c r="BI53" i="1"/>
  <c r="BG53" i="1"/>
  <c r="BH53" i="1" s="1"/>
  <c r="BM52" i="1"/>
  <c r="BL52" i="1"/>
  <c r="BK52" i="1"/>
  <c r="BJ52" i="1"/>
  <c r="BI52" i="1"/>
  <c r="BG52" i="1"/>
  <c r="BH52" i="1" s="1"/>
  <c r="BM51" i="1"/>
  <c r="BL51" i="1"/>
  <c r="BK51" i="1"/>
  <c r="BJ51" i="1"/>
  <c r="BI51" i="1"/>
  <c r="BG51" i="1"/>
  <c r="BH51" i="1" s="1"/>
  <c r="BM50" i="1"/>
  <c r="BL50" i="1"/>
  <c r="BK50" i="1"/>
  <c r="BJ50" i="1"/>
  <c r="BI50" i="1"/>
  <c r="BG50" i="1"/>
  <c r="BH50" i="1" s="1"/>
  <c r="BM49" i="1"/>
  <c r="BL49" i="1"/>
  <c r="BK49" i="1"/>
  <c r="BJ49" i="1"/>
  <c r="BI49" i="1"/>
  <c r="BG49" i="1"/>
  <c r="BH49" i="1" s="1"/>
  <c r="BM48" i="1"/>
  <c r="BL48" i="1"/>
  <c r="BK48" i="1"/>
  <c r="BJ48" i="1"/>
  <c r="BI48" i="1"/>
  <c r="BG48" i="1"/>
  <c r="BH48" i="1" s="1"/>
  <c r="BM47" i="1"/>
  <c r="BL47" i="1"/>
  <c r="BK47" i="1"/>
  <c r="BJ47" i="1"/>
  <c r="BI47" i="1"/>
  <c r="BG47" i="1"/>
  <c r="BH47" i="1" s="1"/>
  <c r="BM46" i="1"/>
  <c r="BL46" i="1"/>
  <c r="BK46" i="1"/>
  <c r="BJ46" i="1"/>
  <c r="BI46" i="1"/>
  <c r="BG46" i="1"/>
  <c r="BH46" i="1" s="1"/>
  <c r="BM45" i="1"/>
  <c r="BL45" i="1"/>
  <c r="BK45" i="1"/>
  <c r="BJ45" i="1"/>
  <c r="BI45" i="1"/>
  <c r="BG45" i="1"/>
  <c r="BH45" i="1" s="1"/>
  <c r="BM44" i="1"/>
  <c r="BL44" i="1"/>
  <c r="BK44" i="1"/>
  <c r="BJ44" i="1"/>
  <c r="BI44" i="1"/>
  <c r="BG44" i="1"/>
  <c r="BH44" i="1" s="1"/>
  <c r="BM43" i="1"/>
  <c r="BL43" i="1"/>
  <c r="BK43" i="1"/>
  <c r="BJ43" i="1"/>
  <c r="BI43" i="1"/>
  <c r="BG43" i="1"/>
  <c r="BH43" i="1" s="1"/>
  <c r="BM42" i="1"/>
  <c r="BL42" i="1"/>
  <c r="BK42" i="1"/>
  <c r="BJ42" i="1"/>
  <c r="BI42" i="1"/>
  <c r="BG42" i="1"/>
  <c r="BH42" i="1" s="1"/>
  <c r="BM41" i="1"/>
  <c r="BL41" i="1"/>
  <c r="BK41" i="1"/>
  <c r="BJ41" i="1"/>
  <c r="BI41" i="1"/>
  <c r="BG41" i="1"/>
  <c r="BH41" i="1" s="1"/>
  <c r="BM40" i="1"/>
  <c r="BL40" i="1"/>
  <c r="BK40" i="1"/>
  <c r="BJ40" i="1"/>
  <c r="BI40" i="1"/>
  <c r="BG40" i="1"/>
  <c r="BH40" i="1" s="1"/>
  <c r="BM39" i="1"/>
  <c r="BL39" i="1"/>
  <c r="BK39" i="1"/>
  <c r="BJ39" i="1"/>
  <c r="BI39" i="1"/>
  <c r="BG39" i="1"/>
  <c r="BH39" i="1" s="1"/>
  <c r="BM38" i="1"/>
  <c r="BL38" i="1"/>
  <c r="BK38" i="1"/>
  <c r="BJ38" i="1"/>
  <c r="BI38" i="1"/>
  <c r="BG38" i="1"/>
  <c r="BH38" i="1" s="1"/>
  <c r="BM37" i="1"/>
  <c r="BL37" i="1"/>
  <c r="BK37" i="1"/>
  <c r="BJ37" i="1"/>
  <c r="BI37" i="1"/>
  <c r="BG37" i="1"/>
  <c r="BH37" i="1" s="1"/>
  <c r="BM36" i="1"/>
  <c r="BL36" i="1"/>
  <c r="BK36" i="1"/>
  <c r="BJ36" i="1"/>
  <c r="BI36" i="1"/>
  <c r="BG36" i="1"/>
  <c r="BH36" i="1" s="1"/>
  <c r="BM35" i="1"/>
  <c r="BL35" i="1"/>
  <c r="BK35" i="1"/>
  <c r="BJ35" i="1"/>
  <c r="BI35" i="1"/>
  <c r="BG35" i="1"/>
  <c r="BH35" i="1" s="1"/>
  <c r="BM34" i="1"/>
  <c r="BL34" i="1"/>
  <c r="BK34" i="1"/>
  <c r="BJ34" i="1"/>
  <c r="BI34" i="1"/>
  <c r="BG34" i="1"/>
  <c r="BH34" i="1" s="1"/>
  <c r="BM33" i="1"/>
  <c r="BL33" i="1"/>
  <c r="BK33" i="1"/>
  <c r="BJ33" i="1"/>
  <c r="BI33" i="1"/>
  <c r="BG33" i="1"/>
  <c r="BH33" i="1" s="1"/>
  <c r="BM32" i="1"/>
  <c r="BL32" i="1"/>
  <c r="BK32" i="1"/>
  <c r="BJ32" i="1"/>
  <c r="BI32" i="1"/>
  <c r="BG32" i="1"/>
  <c r="BH32" i="1" s="1"/>
  <c r="BM31" i="1"/>
  <c r="BL31" i="1"/>
  <c r="BK31" i="1"/>
  <c r="BJ31" i="1"/>
  <c r="BI31" i="1"/>
  <c r="BG31" i="1"/>
  <c r="BH31" i="1" s="1"/>
  <c r="BM30" i="1"/>
  <c r="BL30" i="1"/>
  <c r="BK30" i="1"/>
  <c r="BJ30" i="1"/>
  <c r="BI30" i="1"/>
  <c r="BG30" i="1"/>
  <c r="BH30" i="1" s="1"/>
  <c r="BM29" i="1"/>
  <c r="BL29" i="1"/>
  <c r="BK29" i="1"/>
  <c r="BJ29" i="1"/>
  <c r="BI29" i="1"/>
  <c r="BG29" i="1"/>
  <c r="BH29" i="1" s="1"/>
  <c r="BM28" i="1"/>
  <c r="BL28" i="1"/>
  <c r="BK28" i="1"/>
  <c r="BJ28" i="1"/>
  <c r="BI28" i="1"/>
  <c r="BG28" i="1"/>
  <c r="BH28" i="1" s="1"/>
  <c r="BM27" i="1"/>
  <c r="BL27" i="1"/>
  <c r="BK27" i="1"/>
  <c r="BJ27" i="1"/>
  <c r="BI27" i="1"/>
  <c r="BG27" i="1"/>
  <c r="BH27" i="1" s="1"/>
  <c r="BM26" i="1"/>
  <c r="BL26" i="1"/>
  <c r="BK26" i="1"/>
  <c r="BJ26" i="1"/>
  <c r="BI26" i="1"/>
  <c r="BG26" i="1"/>
  <c r="BH26" i="1" s="1"/>
  <c r="BM25" i="1"/>
  <c r="BL25" i="1"/>
  <c r="BK25" i="1"/>
  <c r="BJ25" i="1"/>
  <c r="BI25" i="1"/>
  <c r="BG25" i="1"/>
  <c r="BH25" i="1" s="1"/>
  <c r="BM24" i="1"/>
  <c r="BL24" i="1"/>
  <c r="BK24" i="1"/>
  <c r="BJ24" i="1"/>
  <c r="BI24" i="1"/>
  <c r="BG24" i="1"/>
  <c r="BH24" i="1" s="1"/>
  <c r="BM23" i="1"/>
  <c r="BL23" i="1"/>
  <c r="BK23" i="1"/>
  <c r="BJ23" i="1"/>
  <c r="BI23" i="1"/>
  <c r="BG23" i="1"/>
  <c r="BH23" i="1" s="1"/>
  <c r="BM22" i="1"/>
  <c r="BL22" i="1"/>
  <c r="BK22" i="1"/>
  <c r="BJ22" i="1"/>
  <c r="BI22" i="1"/>
  <c r="BG22" i="1"/>
  <c r="BH22" i="1" s="1"/>
  <c r="BM21" i="1"/>
  <c r="BL21" i="1"/>
  <c r="BK21" i="1"/>
  <c r="BJ21" i="1"/>
  <c r="BI21" i="1"/>
  <c r="BG21" i="1"/>
  <c r="BH21" i="1" s="1"/>
  <c r="BM20" i="1"/>
  <c r="BL20" i="1"/>
  <c r="BK20" i="1"/>
  <c r="BJ20" i="1"/>
  <c r="BI20" i="1"/>
  <c r="BG20" i="1"/>
  <c r="BH20" i="1" s="1"/>
  <c r="BM19" i="1"/>
  <c r="BL19" i="1"/>
  <c r="BK19" i="1"/>
  <c r="BJ19" i="1"/>
  <c r="BI19" i="1"/>
  <c r="BG19" i="1"/>
  <c r="BH19" i="1" s="1"/>
  <c r="BM18" i="1"/>
  <c r="BL18" i="1"/>
  <c r="BK18" i="1"/>
  <c r="BJ18" i="1"/>
  <c r="BI18" i="1"/>
  <c r="BG18" i="1"/>
  <c r="BH18" i="1" s="1"/>
  <c r="BM17" i="1"/>
  <c r="BL17" i="1"/>
  <c r="BK17" i="1"/>
  <c r="BJ17" i="1"/>
  <c r="BI17" i="1"/>
  <c r="BG17" i="1"/>
  <c r="BH17" i="1" s="1"/>
  <c r="BM16" i="1"/>
  <c r="BL16" i="1"/>
  <c r="BK16" i="1"/>
  <c r="BJ16" i="1"/>
  <c r="BI16" i="1"/>
  <c r="BG16" i="1"/>
  <c r="BH16" i="1" s="1"/>
  <c r="BM15" i="1"/>
  <c r="BL15" i="1"/>
  <c r="BK15" i="1"/>
  <c r="BJ15" i="1"/>
  <c r="BI15" i="1"/>
  <c r="BG15" i="1"/>
  <c r="BH15" i="1" s="1"/>
  <c r="BM14" i="1"/>
  <c r="BL14" i="1"/>
  <c r="BK14" i="1"/>
  <c r="BJ14" i="1"/>
  <c r="BI14" i="1"/>
  <c r="BG14" i="1"/>
  <c r="BH14" i="1" s="1"/>
  <c r="BM13" i="1"/>
  <c r="BL13" i="1"/>
  <c r="BK13" i="1"/>
  <c r="BJ13" i="1"/>
  <c r="BI13" i="1"/>
  <c r="BG13" i="1"/>
  <c r="BH13" i="1" s="1"/>
  <c r="BM12" i="1"/>
  <c r="BL12" i="1"/>
  <c r="BK12" i="1"/>
  <c r="BJ12" i="1"/>
  <c r="BI12" i="1"/>
  <c r="BG12" i="1"/>
  <c r="BH12" i="1" s="1"/>
  <c r="BM11" i="1"/>
  <c r="BL11" i="1"/>
  <c r="BK11" i="1"/>
  <c r="BJ11" i="1"/>
  <c r="BI11" i="1"/>
  <c r="BG11" i="1"/>
  <c r="BH11" i="1" s="1"/>
  <c r="BM10" i="1"/>
  <c r="BL10" i="1"/>
  <c r="BK10" i="1"/>
  <c r="BJ10" i="1"/>
  <c r="BI10" i="1"/>
  <c r="BG10" i="1"/>
  <c r="BH10" i="1" s="1"/>
  <c r="BM9" i="1"/>
  <c r="BL9" i="1"/>
  <c r="BK9" i="1"/>
  <c r="BJ9" i="1"/>
  <c r="BI9" i="1"/>
  <c r="BG9" i="1"/>
  <c r="BH9" i="1" s="1"/>
  <c r="BM8" i="1"/>
  <c r="BL8" i="1"/>
  <c r="BK8" i="1"/>
  <c r="BJ8" i="1"/>
  <c r="BI8" i="1"/>
  <c r="BG8" i="1"/>
  <c r="BH8" i="1" s="1"/>
  <c r="BM7" i="1"/>
  <c r="BL7" i="1"/>
  <c r="BK7" i="1"/>
  <c r="BJ7" i="1"/>
  <c r="BI7" i="1"/>
  <c r="BG7" i="1"/>
  <c r="BH7" i="1" s="1"/>
  <c r="BM6" i="1"/>
  <c r="BL6" i="1"/>
  <c r="BK6" i="1"/>
  <c r="BJ6" i="1"/>
  <c r="BI6" i="1"/>
  <c r="BG6" i="1"/>
  <c r="BH6" i="1" s="1"/>
  <c r="BM5" i="1"/>
  <c r="BL5" i="1"/>
  <c r="BK5" i="1"/>
  <c r="BJ5" i="1"/>
  <c r="BI5" i="1"/>
  <c r="BG5" i="1"/>
  <c r="BH5" i="1" s="1"/>
  <c r="BM4" i="1"/>
  <c r="BL4" i="1"/>
  <c r="BK4" i="1"/>
  <c r="BJ4" i="1"/>
  <c r="BI4" i="1"/>
  <c r="BG4" i="1"/>
  <c r="BH4" i="1" s="1"/>
  <c r="BM3" i="1"/>
  <c r="BL3" i="1"/>
  <c r="BK3" i="1"/>
  <c r="BJ3" i="1"/>
  <c r="BI3" i="1"/>
  <c r="BG3" i="1"/>
  <c r="BH3" i="1" s="1"/>
  <c r="BL2" i="1" l="1"/>
  <c r="BK2" i="1"/>
  <c r="BM2" i="1"/>
  <c r="BJ2" i="1"/>
  <c r="BI2" i="1" l="1"/>
  <c r="BG2" i="1"/>
  <c r="BH2" i="1" s="1"/>
</calcChain>
</file>

<file path=xl/sharedStrings.xml><?xml version="1.0" encoding="utf-8"?>
<sst xmlns="http://schemas.openxmlformats.org/spreadsheetml/2006/main" count="33219" uniqueCount="2010">
  <si>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</si>
  <si>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</si>
  <si>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</si>
  <si>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</si>
  <si>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</si>
  <si>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</si>
  <si>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</si>
  <si>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</si>
  <si>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</si>
  <si>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</si>
  <si>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</si>
  <si>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</si>
  <si>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</si>
  <si>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</si>
  <si>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</si>
  <si>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</si>
  <si>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</si>
  <si>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</si>
  <si>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</si>
  <si>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</si>
  <si>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</si>
  <si>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</si>
  <si>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</si>
  <si>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</si>
  <si>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</si>
  <si>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</si>
  <si>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</si>
  <si>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</si>
  <si>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</si>
  <si>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</si>
  <si>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</si>
  <si>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</si>
  <si>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</si>
  <si>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</si>
  <si>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</si>
  <si>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</si>
  <si>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</si>
  <si>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</si>
  <si>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</si>
  <si>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</si>
  <si>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</si>
  <si>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</si>
  <si>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</si>
  <si>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</si>
  <si>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</si>
  <si>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</si>
  <si>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</si>
  <si>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</si>
  <si>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</si>
  <si>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</si>
  <si>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</si>
  <si>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</si>
  <si>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</si>
  <si>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</si>
  <si>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</si>
  <si>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</si>
  <si>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</si>
  <si>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</si>
  <si>
    <t>Month number</t>
  </si>
  <si>
    <t>Month</t>
  </si>
  <si>
    <t>Year</t>
  </si>
  <si>
    <t>Dist</t>
  </si>
  <si>
    <t>PH3</t>
  </si>
  <si>
    <t>PH4</t>
  </si>
  <si>
    <t>0101</t>
  </si>
  <si>
    <t>1000</t>
  </si>
  <si>
    <t>1401</t>
  </si>
  <si>
    <t/>
  </si>
  <si>
    <t>ZFGD</t>
  </si>
  <si>
    <t>14120501111</t>
  </si>
  <si>
    <t>PC</t>
  </si>
  <si>
    <t>VND</t>
  </si>
  <si>
    <t>KG</t>
  </si>
  <si>
    <t>LT</t>
  </si>
  <si>
    <t>LT/KG</t>
  </si>
  <si>
    <t>C</t>
  </si>
  <si>
    <t>ZTRD</t>
  </si>
  <si>
    <t>100000872</t>
  </si>
  <si>
    <t>THGZ-72200 VN-20LJ</t>
  </si>
  <si>
    <t>14120401101</t>
  </si>
  <si>
    <t>100000638</t>
  </si>
  <si>
    <t>SST-11100 C10 YELLOW-4K</t>
  </si>
  <si>
    <t>11090304201</t>
  </si>
  <si>
    <t>100000637</t>
  </si>
  <si>
    <t>SST-11100 C10 RED-4K</t>
  </si>
  <si>
    <t>100000634</t>
  </si>
  <si>
    <t>SST-11100 C10 BLACK-4K</t>
  </si>
  <si>
    <t>100000636</t>
  </si>
  <si>
    <t>SST-11100 C10 ORANGE-4K</t>
  </si>
  <si>
    <t>100000210</t>
  </si>
  <si>
    <t>PCA-31100 BLACK PASTE VN-4K</t>
  </si>
  <si>
    <t>11180701101</t>
  </si>
  <si>
    <t>1</t>
  </si>
  <si>
    <t>ZBA1</t>
  </si>
  <si>
    <t>1200000613</t>
  </si>
  <si>
    <t>CÔNG TY TNHH SẢN XUẤT THƯƠNG MẠI VẠN CHÍNH</t>
  </si>
  <si>
    <t>TP THỦ DẦU MỘT</t>
  </si>
  <si>
    <t>01</t>
  </si>
  <si>
    <t>OTHERS</t>
  </si>
  <si>
    <t>10444671</t>
  </si>
  <si>
    <t>TRẦN TẤN HÙNG</t>
  </si>
  <si>
    <t>100003772</t>
  </si>
  <si>
    <t>PUSS-51241 VC VN-20KP</t>
  </si>
  <si>
    <t>11032301113</t>
  </si>
  <si>
    <t>AL1701B</t>
  </si>
  <si>
    <t>100004513</t>
  </si>
  <si>
    <t>PUH-56141 VN-20KP</t>
  </si>
  <si>
    <t>110320011A4</t>
  </si>
  <si>
    <t>100004613</t>
  </si>
  <si>
    <t>PUL-51333 CLEAR 60 VN-20KP</t>
  </si>
  <si>
    <t>11032101128</t>
  </si>
  <si>
    <t>100004612</t>
  </si>
  <si>
    <t>PUL-51333 CLEAR 40 VN-20KP</t>
  </si>
  <si>
    <t>100002434</t>
  </si>
  <si>
    <t>PUH-56133 S VN-20KP</t>
  </si>
  <si>
    <t>11032001199</t>
  </si>
  <si>
    <t>100004965</t>
  </si>
  <si>
    <t>SST-11100 04 VC III VN-180KK</t>
  </si>
  <si>
    <t>100000883</t>
  </si>
  <si>
    <t>THPU-71306 ST VN-200LK</t>
  </si>
  <si>
    <t>14110101104</t>
  </si>
  <si>
    <t>10777747</t>
  </si>
  <si>
    <t>TẠ KHẢI MINH</t>
  </si>
  <si>
    <t>100000494</t>
  </si>
  <si>
    <t>PUH-56306 LY VN-20LP</t>
  </si>
  <si>
    <t>11032001156</t>
  </si>
  <si>
    <t>100000325</t>
  </si>
  <si>
    <t>PCL-31300 YELLOW OG 16 PASTE-4K</t>
  </si>
  <si>
    <t>1200000074</t>
  </si>
  <si>
    <t>Công Ty TNHH ISSEIKI FURNITURE (Việt Nam)</t>
  </si>
  <si>
    <t>10222015</t>
  </si>
  <si>
    <t>NGUYỄN VĂN THÂM</t>
  </si>
  <si>
    <t>1200000127</t>
  </si>
  <si>
    <t>Công Ty TNHH Kỹ Nghệ Gỗ Hoa Nét</t>
  </si>
  <si>
    <t>11090105203</t>
  </si>
  <si>
    <t>11040301101</t>
  </si>
  <si>
    <t>100000199</t>
  </si>
  <si>
    <t>11040302104</t>
  </si>
  <si>
    <t>100000863</t>
  </si>
  <si>
    <t>14120301101</t>
  </si>
  <si>
    <t>100000869</t>
  </si>
  <si>
    <t>100000875</t>
  </si>
  <si>
    <t>11040403103</t>
  </si>
  <si>
    <t>11030201101</t>
  </si>
  <si>
    <t>100004609</t>
  </si>
  <si>
    <t>SST-11100 03 VC VN-200LK</t>
  </si>
  <si>
    <t>10200767</t>
  </si>
  <si>
    <t>PHAN MINH TUẤN</t>
  </si>
  <si>
    <t>100000877</t>
  </si>
  <si>
    <t>THNC-71100 SD VN-200LK</t>
  </si>
  <si>
    <t>30</t>
  </si>
  <si>
    <t>10810584</t>
  </si>
  <si>
    <t>TRẦN THỊ TUYẾT VÂN</t>
  </si>
  <si>
    <t>100004625</t>
  </si>
  <si>
    <t>2K ACRYLIC XÁM XINGFA MỜ VN-5KS</t>
  </si>
  <si>
    <t>22160101201</t>
  </si>
  <si>
    <t>SET</t>
  </si>
  <si>
    <t>|Discount Regular (15.00 %) |Discount Promo 2 (3.00 %)</t>
  </si>
  <si>
    <t>59040201202</t>
  </si>
  <si>
    <t>100001725</t>
  </si>
  <si>
    <t>THINNER PU-047 VT VN-20LJ</t>
  </si>
  <si>
    <t>22030301104</t>
  </si>
  <si>
    <t>1200000042</t>
  </si>
  <si>
    <t>CÔNG TY TNHH CHẾ BIẾN LÂM SẢN VÀ THƯƠNG MẠI HIỂU ĐỨC</t>
  </si>
  <si>
    <t>100003111</t>
  </si>
  <si>
    <t>82-2027 UE AF URT SANDING A-16KP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</si>
  <si>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</si>
  <si>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</si>
  <si>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</si>
  <si>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</si>
  <si>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</si>
  <si>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</si>
  <si>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</si>
  <si>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100003121</t>
  </si>
  <si>
    <t>11-260-1 AF PU THINNER-200LK</t>
  </si>
  <si>
    <t>14110201120</t>
  </si>
  <si>
    <t>100002269</t>
  </si>
  <si>
    <t>AL-089 VN-4K</t>
  </si>
  <si>
    <t>11032501128</t>
  </si>
  <si>
    <t>100001955</t>
  </si>
  <si>
    <t>THPU-71300 SB VN-200LK</t>
  </si>
  <si>
    <t>14110101101</t>
  </si>
  <si>
    <t>14110201110</t>
  </si>
  <si>
    <t>100000851</t>
  </si>
  <si>
    <t>THC-73100-1103 KD VN-200LK</t>
  </si>
  <si>
    <t>100002619</t>
  </si>
  <si>
    <t>PUP-52122 PUTTY VN-4K</t>
  </si>
  <si>
    <t>11032201111</t>
  </si>
  <si>
    <t>11010104308</t>
  </si>
  <si>
    <t>100000903</t>
  </si>
  <si>
    <t>TOL-76301 N CLEAR BASE VN-20LJ</t>
  </si>
  <si>
    <t>11040502221</t>
  </si>
  <si>
    <t>1200000095</t>
  </si>
  <si>
    <t>Công Ty TNHH Mộc Lục</t>
  </si>
  <si>
    <t>10666305</t>
  </si>
  <si>
    <t>ĐỖ PHƯỚC THÀNH</t>
  </si>
  <si>
    <t>100000557</t>
  </si>
  <si>
    <t>PUSS-51241 VN-20KP</t>
  </si>
  <si>
    <t>100000504</t>
  </si>
  <si>
    <t>PUL-51341 CLEAR 10 VN-18KP</t>
  </si>
  <si>
    <t>11032101111</t>
  </si>
  <si>
    <t>100000853</t>
  </si>
  <si>
    <t>THC-73100-1103 VN-200LK</t>
  </si>
  <si>
    <t>100002533</t>
  </si>
  <si>
    <t>RD-74106 VN-20LJ</t>
  </si>
  <si>
    <t>11180901104</t>
  </si>
  <si>
    <t>100000497</t>
  </si>
  <si>
    <t>PUL-51339 CLEAR 10 VN-20LP</t>
  </si>
  <si>
    <t>11032101110</t>
  </si>
  <si>
    <t>100002620</t>
  </si>
  <si>
    <t>GZPU-21500 BLACK VN-4K</t>
  </si>
  <si>
    <t>100000849</t>
  </si>
  <si>
    <t>THC-73100-007 VN-20LJ</t>
  </si>
  <si>
    <t>100000884</t>
  </si>
  <si>
    <t>THPU-71306 ST VN-20LJ</t>
  </si>
  <si>
    <t>100000376</t>
  </si>
  <si>
    <t>PUC-54205 AC WHITE 90 VN-20KP</t>
  </si>
  <si>
    <t>11031901120</t>
  </si>
  <si>
    <t>100000532</t>
  </si>
  <si>
    <t>PUP-52141 WHITE 01 VN-20KP</t>
  </si>
  <si>
    <t>11032201114</t>
  </si>
  <si>
    <t>10111063</t>
  </si>
  <si>
    <t>NGUYỄN HỮU TUỆ</t>
  </si>
  <si>
    <t>100002039</t>
  </si>
  <si>
    <t>MEPH-12003 PS VN-2K</t>
  </si>
  <si>
    <t>100000124</t>
  </si>
  <si>
    <t>MEP-12003 GREY VN-18KP</t>
  </si>
  <si>
    <t>1200000649</t>
  </si>
  <si>
    <t>CÔNG TY CP XÂY DỰNG KIẾN TRÚC AA TÂY NINH</t>
  </si>
  <si>
    <t>11032101129</t>
  </si>
  <si>
    <t>16010111403</t>
  </si>
  <si>
    <t>16010102403</t>
  </si>
  <si>
    <t>100000067</t>
  </si>
  <si>
    <t>64-56 MICRO FILLER VN-20KP</t>
  </si>
  <si>
    <t>11030502102</t>
  </si>
  <si>
    <t>100003334</t>
  </si>
  <si>
    <t>PCL-31300 YELLOW 170 HR PASTE-4K</t>
  </si>
  <si>
    <t>11180701401</t>
  </si>
  <si>
    <t>100000323</t>
  </si>
  <si>
    <t>PCL-31300 WHITE PASTE-4K</t>
  </si>
  <si>
    <t>100000288</t>
  </si>
  <si>
    <t>PCL-31300 BLACK PASTE-4K</t>
  </si>
  <si>
    <t>100000443</t>
  </si>
  <si>
    <t>PUC-54205 AC WHITE 10 VN-20KP</t>
  </si>
  <si>
    <t>100002450</t>
  </si>
  <si>
    <t>PUL-51335 CLEAR 10 VN-20KP</t>
  </si>
  <si>
    <t>100000519</t>
  </si>
  <si>
    <t>PUL-53306 AC EX CLEAR 90 VN-20LP</t>
  </si>
  <si>
    <t>11032101116</t>
  </si>
  <si>
    <t>100002526</t>
  </si>
  <si>
    <t>PUSS-51235 VN-200KB</t>
  </si>
  <si>
    <t>11032301133</t>
  </si>
  <si>
    <t>100002498</t>
  </si>
  <si>
    <t>PUP-52135 WHITE VN-200KB</t>
  </si>
  <si>
    <t>11032201135</t>
  </si>
  <si>
    <t>100000857</t>
  </si>
  <si>
    <t>THC-73100-201 VN-20LJ</t>
  </si>
  <si>
    <t>100002436</t>
  </si>
  <si>
    <t>PUH-56135 S VN-20KP</t>
  </si>
  <si>
    <t>110320011A1</t>
  </si>
  <si>
    <t>100004650</t>
  </si>
  <si>
    <t>1200000842</t>
  </si>
  <si>
    <t>DOANH NGHIỆP TƯ NHÂN THANH SƯƠNG</t>
  </si>
  <si>
    <t>2D010101101</t>
  </si>
  <si>
    <t>1200000852</t>
  </si>
  <si>
    <t>CÔNG TY TNHH THƯƠNG MẠI - XÂY DỰNG THIÊN HÀ PHÁT</t>
  </si>
  <si>
    <t>10810746</t>
  </si>
  <si>
    <t>LÊ VĂN TẤN</t>
  </si>
  <si>
    <t>100001787</t>
  </si>
  <si>
    <t>V-09 REDDISH CLAY 2004 VN-0.8L</t>
  </si>
  <si>
    <t>24131101102</t>
  </si>
  <si>
    <t>|Discount Regular (15.00 %) |Discount Promo 2 (4.00 %)</t>
  </si>
  <si>
    <t>110320011A3</t>
  </si>
  <si>
    <t>100002336</t>
  </si>
  <si>
    <t>NCL-1113-29 LC 10 AK-20LP</t>
  </si>
  <si>
    <t>1200000041</t>
  </si>
  <si>
    <t>Công Ty Cổ Phần Sáng Tạo Bình Dương</t>
  </si>
  <si>
    <t>100004677</t>
  </si>
  <si>
    <t>11-256 AF PU THINNER-30LJ</t>
  </si>
  <si>
    <t>14110201107</t>
  </si>
  <si>
    <t>100002030</t>
  </si>
  <si>
    <t>26-4020 URT WHITE A-16KP</t>
  </si>
  <si>
    <t>11031201258</t>
  </si>
  <si>
    <t>100002259</t>
  </si>
  <si>
    <t>16-2005 URT SANDING A VN-200KB</t>
  </si>
  <si>
    <t>11030801215</t>
  </si>
  <si>
    <t>100004483</t>
  </si>
  <si>
    <t>THPU-71324-1 EST YJ VN-200LK</t>
  </si>
  <si>
    <t>14110101112</t>
  </si>
  <si>
    <t>1200000103</t>
  </si>
  <si>
    <t>Công Ty Cổ Phần Thành Thắng Thăng Long- Chi Nhánh Bình Dương 2</t>
  </si>
  <si>
    <t>100000560</t>
  </si>
  <si>
    <t>PUSS-53206 AC EX VN-20KP</t>
  </si>
  <si>
    <t>11032301119</t>
  </si>
  <si>
    <t>100000512</t>
  </si>
  <si>
    <t>PUL-53306 AC EX CLEAR 10 VN-20LP</t>
  </si>
  <si>
    <t>1200000769</t>
  </si>
  <si>
    <t>CÔNG TY CỔ PHẦN KIM MỘC</t>
  </si>
  <si>
    <t>100002329</t>
  </si>
  <si>
    <t>DP-12123 LC WHITE 01 VN-20KP</t>
  </si>
  <si>
    <t>11040503224</t>
  </si>
  <si>
    <t>Q. Bảy</t>
  </si>
  <si>
    <t>31</t>
  </si>
  <si>
    <t>100004001</t>
  </si>
  <si>
    <t>DECORLOTUS DI-400 BASE A VN-18LP</t>
  </si>
  <si>
    <t>25022101101</t>
  </si>
  <si>
    <t>100004336</t>
  </si>
  <si>
    <t>PUSF-781 2K LÓT TRẮNG VN-5KS</t>
  </si>
  <si>
    <t>22160101218</t>
  </si>
  <si>
    <t>1200000843</t>
  </si>
  <si>
    <t>CÔNG TY TNHH MỘT THÀNH VIÊN CÔNG HẬU</t>
  </si>
  <si>
    <t>10811384</t>
  </si>
  <si>
    <t>VÕ THANH TUẤN</t>
  </si>
  <si>
    <t>22120101101</t>
  </si>
  <si>
    <t>|Discount Regular (15.00 %) |Discount Promo 2 (5.00 %)</t>
  </si>
  <si>
    <t>100001728</t>
  </si>
  <si>
    <t>HARDENER PUH-74 SD VN-4K</t>
  </si>
  <si>
    <t>100001736</t>
  </si>
  <si>
    <t>HARDENER PUH-75 NY VN-4K</t>
  </si>
  <si>
    <t>22160101101</t>
  </si>
  <si>
    <t>22160101206</t>
  </si>
  <si>
    <t>22120101201</t>
  </si>
  <si>
    <t>100004292</t>
  </si>
  <si>
    <t>PUL-745 2K MỜ 50% VN-16KP</t>
  </si>
  <si>
    <t>100004301</t>
  </si>
  <si>
    <t>PUL-765 2K BÓNG 100% VN-1KS</t>
  </si>
  <si>
    <t>22160101212</t>
  </si>
  <si>
    <t>100004303</t>
  </si>
  <si>
    <t>PUL-765 2K MỜ 70% VN-1KS</t>
  </si>
  <si>
    <t>1200000849</t>
  </si>
  <si>
    <t>CÔNG TY TNHH XÂY DỰNG THƯƠNG MẠI HOÀNG NGỌC THANH</t>
  </si>
  <si>
    <t>|Discount Regular (15.00 %)</t>
  </si>
  <si>
    <t>1200000851</t>
  </si>
  <si>
    <t>CÔNG TY TNHH SẢN XUẤT THƯƠNG MẠI DỊCH VỤ PHẠM GIA TUẤN</t>
  </si>
  <si>
    <t>100001785</t>
  </si>
  <si>
    <t>V-09 LIGHT TEAK 3002 VN-0.8L</t>
  </si>
  <si>
    <t>100001786</t>
  </si>
  <si>
    <t>V-09 LIGHT YELLOW 1001 VN-0.8L</t>
  </si>
  <si>
    <t>100001789</t>
  </si>
  <si>
    <t>V-09 MANGGIS 8303 VN-0.8L</t>
  </si>
  <si>
    <t>100001788</t>
  </si>
  <si>
    <t>V-09 TOBACCO 8206 VN-0.8L</t>
  </si>
  <si>
    <t>100002797</t>
  </si>
  <si>
    <t>EDP-551 ZINC PHOSPHATE (XÁM) VN-1KS</t>
  </si>
  <si>
    <t>100001808</t>
  </si>
  <si>
    <t>EL-501 WALNUT 9013 VN-1L</t>
  </si>
  <si>
    <t>24130401105</t>
  </si>
  <si>
    <t>1200000075</t>
  </si>
  <si>
    <t>Công Ty TNHH KODA SAIGON</t>
  </si>
  <si>
    <t>100000887</t>
  </si>
  <si>
    <t>THPU-71306-200LK</t>
  </si>
  <si>
    <t>100002532</t>
  </si>
  <si>
    <t>RD-74106 VN-200LK</t>
  </si>
  <si>
    <t>100000558</t>
  </si>
  <si>
    <t>PUSS-51241 VN-200KB</t>
  </si>
  <si>
    <t>100002359</t>
  </si>
  <si>
    <t>NCSS-1112-29 LC AK-200LB</t>
  </si>
  <si>
    <t>11040502320</t>
  </si>
  <si>
    <t>100002339</t>
  </si>
  <si>
    <t>NCL-1113-29 LC 25 AK-20LP</t>
  </si>
  <si>
    <t>100004317</t>
  </si>
  <si>
    <t>PUSS-760 2K LÓT TRONG VN-1KS</t>
  </si>
  <si>
    <t>22160101219</t>
  </si>
  <si>
    <t>100000273</t>
  </si>
  <si>
    <t>PCA-31100 WHITE PASTE VN-4K</t>
  </si>
  <si>
    <t>100002367</t>
  </si>
  <si>
    <t>NCSS-11229 LC VN-20LP</t>
  </si>
  <si>
    <t>11040503225</t>
  </si>
  <si>
    <t>100000514</t>
  </si>
  <si>
    <t>PUL-53306 AC EX CLEAR 20 VN-20LP</t>
  </si>
  <si>
    <t>100003432</t>
  </si>
  <si>
    <t>11-261 AF PU THINNER-20LJ</t>
  </si>
  <si>
    <t>11032501127</t>
  </si>
  <si>
    <t>11090302101</t>
  </si>
  <si>
    <t>100003168</t>
  </si>
  <si>
    <t>PCA-31100 BROWN 645 PASTE AF VN-4K</t>
  </si>
  <si>
    <t>100000002</t>
  </si>
  <si>
    <t>11-260 AF PU THINNER-200LK</t>
  </si>
  <si>
    <t>05</t>
  </si>
  <si>
    <t>1200000194</t>
  </si>
  <si>
    <t>CÔNG TY TNHH HOÀNG MỘC THIÊN</t>
  </si>
  <si>
    <t>25020901101</t>
  </si>
  <si>
    <t>25020301101</t>
  </si>
  <si>
    <t>2F040401101</t>
  </si>
  <si>
    <t>62</t>
  </si>
  <si>
    <t>Housing</t>
  </si>
  <si>
    <t>10999765</t>
  </si>
  <si>
    <t>TRẦN HOÀI BẢO</t>
  </si>
  <si>
    <t>|Discount Regular (12.00 %)</t>
  </si>
  <si>
    <t>24130401104</t>
  </si>
  <si>
    <t>100001825</t>
  </si>
  <si>
    <t>EL-501 LS CANDY BROWN 1002 VN-4L</t>
  </si>
  <si>
    <t>24130401106</t>
  </si>
  <si>
    <t>100001823</t>
  </si>
  <si>
    <t>EL-501 LS BLACK 9001 VN-4L</t>
  </si>
  <si>
    <t>Q. Ba</t>
  </si>
  <si>
    <t>100000867</t>
  </si>
  <si>
    <t>THC-73100-552 VN-18KJ</t>
  </si>
  <si>
    <t>100002261</t>
  </si>
  <si>
    <t>26-1005 URT FLAT A VN-16KP</t>
  </si>
  <si>
    <t>11031201289</t>
  </si>
  <si>
    <t>100000005</t>
  </si>
  <si>
    <t>16-1015 URT FLAT A ST 01-16KP</t>
  </si>
  <si>
    <t>110312012A9</t>
  </si>
  <si>
    <t>100000355</t>
  </si>
  <si>
    <t>PG-13900 WHITE 01 VN-20KP</t>
  </si>
  <si>
    <t>11090103103</t>
  </si>
  <si>
    <t>100000338</t>
  </si>
  <si>
    <t>PCWB-31601 BLACK OB PASTE-4K</t>
  </si>
  <si>
    <t>11180701703</t>
  </si>
  <si>
    <t>60</t>
  </si>
  <si>
    <t>1200000560</t>
  </si>
  <si>
    <t>CÔNG TY TNHH SX TM DV VĨNH TIẾN NGUYÊN</t>
  </si>
  <si>
    <t>100004071</t>
  </si>
  <si>
    <t>PC 8W1-1L</t>
  </si>
  <si>
    <t>|Discount Regular (10.00 %)</t>
  </si>
  <si>
    <t>100003989</t>
  </si>
  <si>
    <t>UPR-960 BASE B VN-6K</t>
  </si>
  <si>
    <t>100003990</t>
  </si>
  <si>
    <t>UPR-960 BASE D VN-6K</t>
  </si>
  <si>
    <t>DP-4010 BASE-18LP</t>
  </si>
  <si>
    <t>100003969</t>
  </si>
  <si>
    <t>UPR-960 BASE D VN-1K</t>
  </si>
  <si>
    <t>100001784</t>
  </si>
  <si>
    <t>V-09 CLEAR GLOSS 0007 VN-0.8L</t>
  </si>
  <si>
    <t>1200000161</t>
  </si>
  <si>
    <t>Công Ty TNHH ScanCom Việt Nam</t>
  </si>
  <si>
    <t>11060401210</t>
  </si>
  <si>
    <t>100002372</t>
  </si>
  <si>
    <t>PSV-76000 SB HC MY VN-20LJ</t>
  </si>
  <si>
    <t>11010106106</t>
  </si>
  <si>
    <t>100001820</t>
  </si>
  <si>
    <t>EL-501 NATURAL SATIN 0016 VN-1L</t>
  </si>
  <si>
    <t>100001629</t>
  </si>
  <si>
    <t>EDP-551 ZINC PHOSPHATE (XÁM) VN-5KS</t>
  </si>
  <si>
    <t>100002499</t>
  </si>
  <si>
    <t>PUP-52135 WHITE VN-20KP</t>
  </si>
  <si>
    <t>100000169</t>
  </si>
  <si>
    <t>1200000548</t>
  </si>
  <si>
    <t>CÔNG TY TNHH DAIGAKU (VIỆT NAM)</t>
  </si>
  <si>
    <t>100000276</t>
  </si>
  <si>
    <t>PCA-31100 YELLOW OG 16 PASTE VN-4K</t>
  </si>
  <si>
    <t>TP BUÔN MA THUỘT</t>
  </si>
  <si>
    <t>32</t>
  </si>
  <si>
    <t>24130701101</t>
  </si>
  <si>
    <t>100001779</t>
  </si>
  <si>
    <t>P-01 SOLAR RED 2006 VN-1L</t>
  </si>
  <si>
    <t>TP BIÊN HÒA</t>
  </si>
  <si>
    <t>100004302</t>
  </si>
  <si>
    <t>PUL-765 2K MỜ 50% VN-1KS</t>
  </si>
  <si>
    <t>100003167</t>
  </si>
  <si>
    <t>PCA-31100 BLACK OB PASTE AF VN-4K</t>
  </si>
  <si>
    <t>100003169</t>
  </si>
  <si>
    <t>PCA-31100 RED OB 35 PASTE AF VN-4K</t>
  </si>
  <si>
    <t>100003172</t>
  </si>
  <si>
    <t>PCA-31100 YELLOW HR PASTE AF VN-4K</t>
  </si>
  <si>
    <t>100003171</t>
  </si>
  <si>
    <t>PCA-31100 WHITE PASTE AF VN-4K</t>
  </si>
  <si>
    <t>100002438</t>
  </si>
  <si>
    <t>PUH-56139 VN-20KP</t>
  </si>
  <si>
    <t>100001801</t>
  </si>
  <si>
    <t>EL-501 CARAMEL 8001 VN-4L</t>
  </si>
  <si>
    <t>100001793</t>
  </si>
  <si>
    <t>EL-501 CHOCOLATE 8303 VN-4L</t>
  </si>
  <si>
    <t>100001827</t>
  </si>
  <si>
    <t>EL-501 LS COCOA BROWN 2003 VN-4L</t>
  </si>
  <si>
    <t>100001815</t>
  </si>
  <si>
    <t>EL-501 NATURAL GLOSS 0015 VN-4L</t>
  </si>
  <si>
    <t>100001821</t>
  </si>
  <si>
    <t>EL-501 NATURAL SATIN 0016 VN-4L</t>
  </si>
  <si>
    <t>100002253</t>
  </si>
  <si>
    <t>AZP-481 ZINC PHOSPHATE VN-1K</t>
  </si>
  <si>
    <t>29010101211</t>
  </si>
  <si>
    <t>100002254</t>
  </si>
  <si>
    <t>AZP-481 ZINC PHOSPHATE VN-4K</t>
  </si>
  <si>
    <t>100001727</t>
  </si>
  <si>
    <t>HARDENER PUH-74 SD VN-1K</t>
  </si>
  <si>
    <t>100004304</t>
  </si>
  <si>
    <t>PUL-765 2K MỜ 90% VN-1KS</t>
  </si>
  <si>
    <t>100002223</t>
  </si>
  <si>
    <t>2K ACRYLIC WHITE GLOSS VN-1KS</t>
  </si>
  <si>
    <t>100004376</t>
  </si>
  <si>
    <t>2K ACRYLIC TRẮNG MỜ VN-1KS</t>
  </si>
  <si>
    <t>100004623</t>
  </si>
  <si>
    <t>2K ACRYLIC XÁM XINGFA MỜ VN-1KS</t>
  </si>
  <si>
    <t>170001301</t>
  </si>
  <si>
    <t>UFM-930 LIGHT GREY-20KP</t>
  </si>
  <si>
    <t>X8010801101</t>
  </si>
  <si>
    <t>100000846</t>
  </si>
  <si>
    <t>THC-73100 402 VN-20LJ</t>
  </si>
  <si>
    <t>100001826</t>
  </si>
  <si>
    <t>EL-501 LS COCOA BROWN 2003 VN-1L</t>
  </si>
  <si>
    <t>100001830</t>
  </si>
  <si>
    <t>EL-501 LS RED MAHONY 3005 VN-1L</t>
  </si>
  <si>
    <t>100001817</t>
  </si>
  <si>
    <t>EL-501 NATURAL DOF 0014 VN-4L</t>
  </si>
  <si>
    <t>100001839</t>
  </si>
  <si>
    <t>EDL-601 CARAMEL 8001 VN-4L</t>
  </si>
  <si>
    <t>100002241</t>
  </si>
  <si>
    <t>2K ACRYLIC GREY GLOSS VN-1KS</t>
  </si>
  <si>
    <t>100002522</t>
  </si>
  <si>
    <t>PUP-54111 AC WHITE VN-20KP</t>
  </si>
  <si>
    <t>100000866</t>
  </si>
  <si>
    <t>THC-73100-452 VN-20LJ</t>
  </si>
  <si>
    <t>100002264</t>
  </si>
  <si>
    <t>82-1189 UE AF URT FLAT A 5% VN-16KP</t>
  </si>
  <si>
    <t>11031201287</t>
  </si>
  <si>
    <t>100002527</t>
  </si>
  <si>
    <t>PUSS-51235 VN-20KP</t>
  </si>
  <si>
    <t>11032201139</t>
  </si>
  <si>
    <t>100000235</t>
  </si>
  <si>
    <t>PCA-31100 OXIDE RED PASTE VN-4K</t>
  </si>
  <si>
    <t>100000277</t>
  </si>
  <si>
    <t>PCA-31100 YELLOW OKER PASTE VN-4K</t>
  </si>
  <si>
    <t>100000858</t>
  </si>
  <si>
    <t>100000871</t>
  </si>
  <si>
    <t>THGZ-72200 VN-200LK</t>
  </si>
  <si>
    <t>100002622</t>
  </si>
  <si>
    <t>GZ-12700 N BLACK VN-4K</t>
  </si>
  <si>
    <t>100001310</t>
  </si>
  <si>
    <t>56030101202</t>
  </si>
  <si>
    <t>100000246</t>
  </si>
  <si>
    <t>PCA-31100 RX C50 BLACK VN-18KP</t>
  </si>
  <si>
    <t>1200000020</t>
  </si>
  <si>
    <t>Công Ty TNHH Canpac Việt Nam</t>
  </si>
  <si>
    <t>PRCC-20312 POL VARNISH CANPAC-200KK</t>
  </si>
  <si>
    <t>100003197</t>
  </si>
  <si>
    <t>82-1047 UE AF URT FLAT A-16KP</t>
  </si>
  <si>
    <t>11031201297</t>
  </si>
  <si>
    <t>100000202</t>
  </si>
  <si>
    <t>NCSS-30800 LY MOD VN-18KP</t>
  </si>
  <si>
    <t>100000194</t>
  </si>
  <si>
    <t>NCL-40800 LY CLEAR 10 VN-18LP</t>
  </si>
  <si>
    <t>1200000159</t>
  </si>
  <si>
    <t>Công Ty TNHH RIVERBANK VIETNAM</t>
  </si>
  <si>
    <t>10400021</t>
  </si>
  <si>
    <t>ALI SUMANTO</t>
  </si>
  <si>
    <t>120000832</t>
  </si>
  <si>
    <t>ZSFG</t>
  </si>
  <si>
    <t>THC-73100 602 RB VN</t>
  </si>
  <si>
    <t>170001492</t>
  </si>
  <si>
    <t>UFM-930 LIGHT GREY-4K</t>
  </si>
  <si>
    <t>100000146</t>
  </si>
  <si>
    <t>100004457</t>
  </si>
  <si>
    <t>UPR-960 WHITE 9101 VN-6K</t>
  </si>
  <si>
    <t>100003974</t>
  </si>
  <si>
    <t>DECOR PRIMER AR-300 VN-5L</t>
  </si>
  <si>
    <t>11040502204</t>
  </si>
  <si>
    <t>100002631</t>
  </si>
  <si>
    <t>SST-11100 C10 BLUE-16KJ</t>
  </si>
  <si>
    <t>100000303</t>
  </si>
  <si>
    <t>PCL-31300 OXIDE RED PASTE-4K</t>
  </si>
  <si>
    <t>100000845</t>
  </si>
  <si>
    <t>THC-73100 402 VN-200LK</t>
  </si>
  <si>
    <t>100000844</t>
  </si>
  <si>
    <t>THC-73100 202 VN-20LJ</t>
  </si>
  <si>
    <t>100002624</t>
  </si>
  <si>
    <t>GZ-12700 N YELLOW-4K</t>
  </si>
  <si>
    <t>100002043</t>
  </si>
  <si>
    <t>SPE-9110 CRACKING VN-4L</t>
  </si>
  <si>
    <t>11180303102</t>
  </si>
  <si>
    <t>11180701702</t>
  </si>
  <si>
    <t>100002355</t>
  </si>
  <si>
    <t>NCL-11329 LC CLEAR 20 VN-20LP</t>
  </si>
  <si>
    <t>100000326</t>
  </si>
  <si>
    <t>PCL-31300 YELLOW OKER PASTE-4K</t>
  </si>
  <si>
    <t>100000295</t>
  </si>
  <si>
    <t>PCL-31300 BROWN PASTE VN-4K</t>
  </si>
  <si>
    <t>100002042</t>
  </si>
  <si>
    <t>MPULH-13700 PS VN-4K</t>
  </si>
  <si>
    <t>16010104301</t>
  </si>
  <si>
    <t>1200000795</t>
  </si>
  <si>
    <t>CÔNG TY TNHH MILLENNIUM FURNITURE</t>
  </si>
  <si>
    <t>THC-2731-402-AK-170KK</t>
  </si>
  <si>
    <t>100004063</t>
  </si>
  <si>
    <t>PC 8K2-1L</t>
  </si>
  <si>
    <t>100004065</t>
  </si>
  <si>
    <t>PC 8R2-1L</t>
  </si>
  <si>
    <t>100004069</t>
  </si>
  <si>
    <t>PC 8Y3-1L</t>
  </si>
  <si>
    <t>100004074</t>
  </si>
  <si>
    <t>PC 8B2-1L</t>
  </si>
  <si>
    <t>100004075</t>
  </si>
  <si>
    <t>PC 8G1-1L</t>
  </si>
  <si>
    <t>100004011</t>
  </si>
  <si>
    <t>UPR-960 BASE D VN-20KP</t>
  </si>
  <si>
    <t>H. Tân Uyên</t>
  </si>
  <si>
    <t>100000373</t>
  </si>
  <si>
    <t>PST-12100 C20 WHITE-4K</t>
  </si>
  <si>
    <t>100005012</t>
  </si>
  <si>
    <t>LOL-1762-01-AK-180KK</t>
  </si>
  <si>
    <t>11010104201</t>
  </si>
  <si>
    <t>10810655</t>
  </si>
  <si>
    <t>PHẠM BÍCH THỦY</t>
  </si>
  <si>
    <t>100004656</t>
  </si>
  <si>
    <t>WBMG-97100-1 VN-4K</t>
  </si>
  <si>
    <t>11180202101</t>
  </si>
  <si>
    <t>THGZ-2722-AK-150KK</t>
  </si>
  <si>
    <t>|Discount Regular (25.00 %)</t>
  </si>
  <si>
    <t>100003182</t>
  </si>
  <si>
    <t>PCA-31100 BLACK PASTE AF VN-4K</t>
  </si>
  <si>
    <t>63</t>
  </si>
  <si>
    <t>100001003</t>
  </si>
  <si>
    <t>PFP-241 VN-20KSP</t>
  </si>
  <si>
    <t>56020201401</t>
  </si>
  <si>
    <t>100004165</t>
  </si>
  <si>
    <t>PUSS-53206 AC EX STB VN-20KP</t>
  </si>
  <si>
    <t>100000214</t>
  </si>
  <si>
    <t>PCA-31100 BROWN 645 PASTE VN-4K</t>
  </si>
  <si>
    <t>100000832</t>
  </si>
  <si>
    <t>100001780</t>
  </si>
  <si>
    <t>P-01 SOLAR YELLOW 1007 VN-1L</t>
  </si>
  <si>
    <t>|Discount Regular (10.00 %) |Discount Promo 2 (5.00 %)</t>
  </si>
  <si>
    <t>100000322</t>
  </si>
  <si>
    <t>PCL-31300 VIOLET PASTE-4K</t>
  </si>
  <si>
    <t>|Discount Regular (15.00 %) |Discount Promo 2 (2.00 %)</t>
  </si>
  <si>
    <t>1200000054</t>
  </si>
  <si>
    <t>Công Ty TNHH Xây Dựng Ngô Gia</t>
  </si>
  <si>
    <t>100001835</t>
  </si>
  <si>
    <t>EDL-601 TWILIGHT TEAK 8303 VN-4L</t>
  </si>
  <si>
    <t>100002356</t>
  </si>
  <si>
    <t>NCL-11329 LC CLEAR 30 VN-20LP</t>
  </si>
  <si>
    <t>100002027</t>
  </si>
  <si>
    <t>MPUC-13600 TEXTURE BROWN KI VN-16KP</t>
  </si>
  <si>
    <t>16010114301</t>
  </si>
  <si>
    <t>NCL-9408-20-AK-180KB</t>
  </si>
  <si>
    <t>THNC-2711-SD-AK-160KK</t>
  </si>
  <si>
    <t>NBC-9345-802-AK-200KB</t>
  </si>
  <si>
    <t>100003991</t>
  </si>
  <si>
    <t>DECORSHIELD DW-500 WHITE VN-18LP</t>
  </si>
  <si>
    <t>100000331</t>
  </si>
  <si>
    <t>PCWB-31600 OXIDE YELLOW PASTE-4K</t>
  </si>
  <si>
    <t>100001837</t>
  </si>
  <si>
    <t>EDL-601 SUNSET YELLOW 3002 VN-4L</t>
  </si>
  <si>
    <t>100003992</t>
  </si>
  <si>
    <t>DECORSHIELD DW-500 BASE A VN-18LP</t>
  </si>
  <si>
    <t>NCSS-9308-LC-AK-180KB</t>
  </si>
  <si>
    <t>11190208402</t>
  </si>
  <si>
    <t>1200000250</t>
  </si>
  <si>
    <t>Công Ty TNHH Giải Pháp Sàn Công Nghiệp</t>
  </si>
  <si>
    <t>100004636</t>
  </si>
  <si>
    <t>UVP-60503 EC LTAP SC VN-20KP</t>
  </si>
  <si>
    <t>SST-2111-YEL-AK-4K</t>
  </si>
  <si>
    <t>|Discount Regular (12.00 %) |Discount Promo 2 (5.00 %)</t>
  </si>
  <si>
    <t>100001734</t>
  </si>
  <si>
    <t>HARDENER PUH-75 NY VN-0.2K</t>
  </si>
  <si>
    <t>1200000903</t>
  </si>
  <si>
    <t>CÔNG TY TNHH CÔNG NGHIỆP NHÀ XANH</t>
  </si>
  <si>
    <t>11190206202</t>
  </si>
  <si>
    <t>11190206302</t>
  </si>
  <si>
    <t>11060601108</t>
  </si>
  <si>
    <t>100005135</t>
  </si>
  <si>
    <t>UVL-50508 LY CLEAR 08 VN-20KP</t>
  </si>
  <si>
    <t>11060701155</t>
  </si>
  <si>
    <t>THC-2731-201-AK-160KK</t>
  </si>
  <si>
    <t>1200000820</t>
  </si>
  <si>
    <t>CÔNG TY TNHH SẢN XUẤT NỘI THẤT TRẦN TIẾN</t>
  </si>
  <si>
    <t>100005192</t>
  </si>
  <si>
    <t>WFPU-51000 VN-20KP</t>
  </si>
  <si>
    <t>11031301102</t>
  </si>
  <si>
    <t>11060401221</t>
  </si>
  <si>
    <t>100004869</t>
  </si>
  <si>
    <t>PFT-215 LIGHT GREY VN-21KSP</t>
  </si>
  <si>
    <t>56020701601</t>
  </si>
  <si>
    <t>H. Củ Chi</t>
  </si>
  <si>
    <t>100005127</t>
  </si>
  <si>
    <t>12010101404</t>
  </si>
  <si>
    <t>1200000935</t>
  </si>
  <si>
    <t>CÔNG TY CỔ PHẦN HỆ THỐNG SIÊU THỊ SƠN</t>
  </si>
  <si>
    <t>100000142</t>
  </si>
  <si>
    <t>NBC-9345-706-AK-200KB</t>
  </si>
  <si>
    <t>12010104102</t>
  </si>
  <si>
    <t>1500000217</t>
  </si>
  <si>
    <t>1200000861</t>
  </si>
  <si>
    <t>CÔNG TY TNHH XÂY DỰNG VÀ THƯƠNG MẠI AN PHỤNG</t>
  </si>
  <si>
    <t>1200000470</t>
  </si>
  <si>
    <t>Công Ty TNHH MTV MIRAMAR</t>
  </si>
  <si>
    <t>1200000949</t>
  </si>
  <si>
    <t>CÔNG TY CỔ PHẦN BAO BÌ IN KIM LOẠI THẾ KỶ</t>
  </si>
  <si>
    <t>H. Đức Hoà</t>
  </si>
  <si>
    <t>100002955</t>
  </si>
  <si>
    <t>PCL-31300 RED 31701 PASTE-4K</t>
  </si>
  <si>
    <t>100003493</t>
  </si>
  <si>
    <t>WPWB-81201 W MQ VN-20KP</t>
  </si>
  <si>
    <t>1200000971</t>
  </si>
  <si>
    <t>CÔNG TY TNHH THƯƠNG MẠI VÀ DỊCH VỤ SƠN ANH TÚ</t>
  </si>
  <si>
    <t>100005330</t>
  </si>
  <si>
    <t>UVP-60508 BLK 01 SC VN-20KP</t>
  </si>
  <si>
    <t>100004681</t>
  </si>
  <si>
    <t>280101</t>
  </si>
  <si>
    <t>1200000974</t>
  </si>
  <si>
    <t>CÔNG TY TNHH CAO VÕ</t>
  </si>
  <si>
    <t>X2160101212</t>
  </si>
  <si>
    <t>|Discount Regular (15.00 %) |Discount Promo 2 (7.00 %)</t>
  </si>
  <si>
    <t>170000838</t>
  </si>
  <si>
    <t>PUL-765-2K GLOSS BASE D-5LS</t>
  </si>
  <si>
    <t>1200000983</t>
  </si>
  <si>
    <t>CÔNG TY TNHH SAO MAI TT</t>
  </si>
  <si>
    <t>04</t>
  </si>
  <si>
    <t>170001199</t>
  </si>
  <si>
    <t>SUPER GOLD SG-07 WB GOLD-1230-0.9L</t>
  </si>
  <si>
    <t>X6090101101</t>
  </si>
  <si>
    <t>170000471</t>
  </si>
  <si>
    <t>A-1000 BASE A-0.9L</t>
  </si>
  <si>
    <t>X9090201101</t>
  </si>
  <si>
    <t>170000472</t>
  </si>
  <si>
    <t>A-1000 BASE A-2.5L</t>
  </si>
  <si>
    <t>170001675</t>
  </si>
  <si>
    <t>A-1000 DOF BASE B-0.9L</t>
  </si>
  <si>
    <t>H. Chơn Thành</t>
  </si>
  <si>
    <t>1200001041</t>
  </si>
  <si>
    <t>CÔNG TY TNHH THƯƠNG MẠI XÂY DỰNG THIÊN PHÚ DECOR</t>
  </si>
  <si>
    <t>716/1/18 TRƯỜNG SA, PHƯỜNG 14, QUẬN 3, THÀNH PHỐ HỒ CHÍ MINH, VIỆT NAM</t>
  </si>
  <si>
    <t>1200000019</t>
  </si>
  <si>
    <t>Công Ty Cổ Phần An Phát Cường</t>
  </si>
  <si>
    <t>1500000220</t>
  </si>
  <si>
    <t>VC 5 Thửa đất 418,49,745 , Tờ Bản Đồ 38 P Khánh Bình Tân Uyên , Bình Dương</t>
  </si>
  <si>
    <t>1500000218</t>
  </si>
  <si>
    <t>VC3- Khu phố Bình Long Khánh Bình Tân Uyên ,Bình Dương</t>
  </si>
  <si>
    <t>1500000219</t>
  </si>
  <si>
    <t>VC 2 Thửa đất 1056, ờ Bản Đồ 38 P Khánh Bình Tân Uyên, Bình Dương</t>
  </si>
  <si>
    <t>100005569</t>
  </si>
  <si>
    <t>THPU-71306 01 KD VN-200LK</t>
  </si>
  <si>
    <t>PUL-53306 AC EX CLEAR 10 AA VN-20LP</t>
  </si>
  <si>
    <t>H. Tân Phước</t>
  </si>
  <si>
    <t>1500000222</t>
  </si>
  <si>
    <t>100005441</t>
  </si>
  <si>
    <t>UVS-20602 WTEA 01 SC VN-5K</t>
  </si>
  <si>
    <t>100005442</t>
  </si>
  <si>
    <t>UVS-20602 WTEA 02 SC VN-5K</t>
  </si>
  <si>
    <t>100005443</t>
  </si>
  <si>
    <t>UVS-20602 WTEA 03 SC VN-5K</t>
  </si>
  <si>
    <t>100005498</t>
  </si>
  <si>
    <t>UVP-60508 WTEA SC VN-20KP</t>
  </si>
  <si>
    <t>1200001011</t>
  </si>
  <si>
    <t>100005806</t>
  </si>
  <si>
    <t>PRCC-40102 HV CLEAR LACQUER CL VN-200KK</t>
  </si>
  <si>
    <t>1500000223</t>
  </si>
  <si>
    <t>100005824</t>
  </si>
  <si>
    <t>WBP-1621-35W-AK-20KP</t>
  </si>
  <si>
    <t>100005826</t>
  </si>
  <si>
    <t>WBP-1621-BL-AK-20KP</t>
  </si>
  <si>
    <t>100005827</t>
  </si>
  <si>
    <t>WBC-1622-BL10AK-20KP</t>
  </si>
  <si>
    <t>100005821</t>
  </si>
  <si>
    <t>WBP-1621-BR-AK-20KP</t>
  </si>
  <si>
    <t>1200001038</t>
  </si>
  <si>
    <t>CÔNG TY TNHH PHÚ MỸ THĂNG</t>
  </si>
  <si>
    <t>H. Vĩnh Cửu</t>
  </si>
  <si>
    <t>1200001042</t>
  </si>
  <si>
    <t>CÔNG TY TNHH KIẾN TRÚC GỖ BỌC ĐÔ</t>
  </si>
  <si>
    <t>1200000414</t>
  </si>
  <si>
    <t>Công Ty TNHH SKS Furniture</t>
  </si>
  <si>
    <t>100000189</t>
  </si>
  <si>
    <t>NCL-40800 LC MOD CLEAR 20 VN-18KP</t>
  </si>
  <si>
    <t>100000200</t>
  </si>
  <si>
    <t>NCSS-30800 LC MOD VN-20LP</t>
  </si>
  <si>
    <t>1200001062</t>
  </si>
  <si>
    <t>1500000228</t>
  </si>
  <si>
    <t>100000848</t>
  </si>
  <si>
    <t>THC-73100-007 VN-200LK</t>
  </si>
  <si>
    <t>10110766</t>
  </si>
  <si>
    <t>PHẠM MINH SĨ</t>
  </si>
  <si>
    <t>170001034</t>
  </si>
  <si>
    <t>WBS-224-1K WB-20KJ</t>
  </si>
  <si>
    <t>Y6020101201</t>
  </si>
  <si>
    <t>1200001072</t>
  </si>
  <si>
    <t>CÔNG TY TNHH MỘT THÀNH VIÊN KIM CHI</t>
  </si>
  <si>
    <t>Y7060201101</t>
  </si>
  <si>
    <t>170001730</t>
  </si>
  <si>
    <t>UFM-930 BASE D-1K</t>
  </si>
  <si>
    <t>100006026</t>
  </si>
  <si>
    <t>GZPU-21500 HV 04 VC III VN-18KP</t>
  </si>
  <si>
    <t>CÔNG TY CỔ PHẦN ĐÔNG NGÔ MANUFACTURER</t>
  </si>
  <si>
    <t>1500000229</t>
  </si>
  <si>
    <t>70 Đường số 9, ấp Tân Tiến, xã Tân Thông Hội, Củ Chi. Số điện thoại kho: 0355628301 - chị Phượng</t>
  </si>
  <si>
    <t>1500000232</t>
  </si>
  <si>
    <t>Kho Safi 28 Đào Trí , Q 7 , TP HCM Nhận Hàng Mr. Thu: 0903925598, Mrs. Ngân: 0708378067</t>
  </si>
  <si>
    <t>170000999</t>
  </si>
  <si>
    <t>UFM-930 WHITE-20KP</t>
  </si>
  <si>
    <t>1500000230</t>
  </si>
  <si>
    <t>111/10, Khu Phố Cầu Hang, Đường Nguyễn Văn Lung, Phường Hóa An, TP Biên Hòa, Đồng Nai</t>
  </si>
  <si>
    <t>100006121</t>
  </si>
  <si>
    <t>NBC-9345-787-AK-20KP</t>
  </si>
  <si>
    <t>|Discount Regular (22.00 %)</t>
  </si>
  <si>
    <t>100004277</t>
  </si>
  <si>
    <t>PUC-756 NY TRẮNG BÓNG 100% VN-0.8K</t>
  </si>
  <si>
    <t>1200001084</t>
  </si>
  <si>
    <t>CÔNG TY TNHH SX TM DV SƠN MIỀN TÂY</t>
  </si>
  <si>
    <t>H. Cai Lậy</t>
  </si>
  <si>
    <t>1200001092</t>
  </si>
  <si>
    <t>HỘ KINH DOANH HỒNG LUÂN 3</t>
  </si>
  <si>
    <t>1200001098</t>
  </si>
  <si>
    <t>CÔNG TY CỔ PHẦN PYRAMID DECOR</t>
  </si>
  <si>
    <t>Q. Mười</t>
  </si>
  <si>
    <t>THỬA ĐẤT 1488, TỜ BẢN ĐỒ 16, KHU PHỐ 6, PHƯỜNG THỚI HÒA, THÀNH PHỐ HỒ CHÍ MINH, VIỆT NAM.</t>
  </si>
  <si>
    <t>LÔ K-1-CN, KCN MỸ PHƯỚC 2 - PHƯỜNG BẾN CÁT - THÀNH PHỐ HỒ CHÍ MINH VIỆT NAM</t>
  </si>
  <si>
    <t>THỬA ĐẤT SỐ 140, TỜ BẢN ĐỒ SỐ 11, ĐƯỜNG ĐH 423, KHU PHỐ BÀ TRI, PHƯỜNG TÂN HIỆP, THÀNH PHỐ HỒ CHÍ MINH</t>
  </si>
  <si>
    <t>08 DŨNG SỸ THANH KHÊ, PHƯỜNG THANH KHÊ, THÀNH PHỐ ĐÀ NẴNG, VIỆT NAM</t>
  </si>
  <si>
    <t>4/13 TÂN THỚI NHẤT 1, PHƯỜNG ĐÔNG HƯNG THUẬN, THÀNH PHỐ HỒ CHÍ MINH, VIỆT NAM</t>
  </si>
  <si>
    <t>THỬA ĐẤT SỐ 09, TỜ BẢN ĐỒ SỐ 25, ẤP 3, XÃ TRỪ VĂN THỐ, THÀNH PHỐ HỒ CHÍ MINH, VIỆT NAM</t>
  </si>
  <si>
    <t>SỐ 17, PHAN BỘI CHÂU, KHU 6, PHƯỜNG THỦ DẦU MỘT, THÀNH PHỐ HỒ CHÍ MINH, VIỆT NAM</t>
  </si>
  <si>
    <t>263 NÚI THÀNH, PHƯỜNG HÒA CƯỜNG, THÀNH PHỐ ĐÀ NẴNG, VIỆT NAM</t>
  </si>
  <si>
    <t>30/7 TRƯƠNG VĂN VĨNH, KHU PHỐ TÂN HIỆP, PHƯỜNG TÂN ĐÔNG HIỆP, THÀNH PHỐ HỒ CHÍ MINH</t>
  </si>
  <si>
    <t>SỐ 09 ĐƯỜNG SỐ 15 VSIP II-A, KHU CÔNG NGHIỆP VIỆT NAM - SINGAPORE II-A, PHƯỜNG VĨNH TÂN, THÀNH PHỐ HỒ CHÍ MINH, VIỆT NAM.</t>
  </si>
  <si>
    <t>LÔ B23, ĐƯỜNG SỐ 2, KHU CÔNG NGHIỆP HẢI SƠN (GĐ 3+4), XÃ ĐỨC HÒA, TỈNH TÂY NINH, VIỆT NAM</t>
  </si>
  <si>
    <t>SỐ 38, QUỐC LỘ 13, PHƯỜNG CHƠN THÀNH, TỈNH ĐỒNG NAI, VIỆT NAM</t>
  </si>
  <si>
    <t>SỐ 73/3, KHU PHỐ TÂN THẮNG, PHƯỜNG TÂN ĐÔNG HIỆP, THÀNH PHỐ HỒ CHÍ MINH</t>
  </si>
  <si>
    <t>MX-94 VC TRAFFIC YELLOW VN-20KSP</t>
  </si>
  <si>
    <t>170001733</t>
  </si>
  <si>
    <t>SUPER GOLD SG-07 WB GOLD-1230-0.5L</t>
  </si>
  <si>
    <t>1200001109</t>
  </si>
  <si>
    <t>CÔNG TY TNHH SẢN XUẤT THƯƠNG MẠI DỊCH VỤ XÂY DỰNG THIÊN ĐỊNH</t>
  </si>
  <si>
    <t>Q. Bình Thuỷ</t>
  </si>
  <si>
    <t>316, TỔ 6, KP 5, PHƯỜNG TÂN HÒA, THÀNH PHỐ BIÊN HÒA, TỈNH ĐỒNG NAI, VIỆT NAM</t>
  </si>
  <si>
    <t>100006309</t>
  </si>
  <si>
    <t>DP-12129 LC BROWN 458B KD VN-18KP</t>
  </si>
  <si>
    <t>TỔ 1, ẤP BÙNG BINH, XÃ HƯNG THUẬN, TỈNH TÂY NINH, VIỆT NAM.</t>
  </si>
  <si>
    <t>LÔ A4 VÀ A5, KHU CÔNG NGHIỆP THUẬN ĐẠO, XÃ BẾN LỨC, TỈNH TÂY NINH, VIỆT NAM</t>
  </si>
  <si>
    <t>TỔ 10, THÔN THANH LY 1, XÃ THĂNG BÌNH, TP ĐÀ NẴNG, VIỆT NAM</t>
  </si>
  <si>
    <t>THỬA ĐẤT SỐ 101, TỜ BẢN ĐỒ SỐ 18, KHU PHỐ ÔNG ĐÔNG, PHƯỜNG TÂN HIỆP, THÀNH PHỐ HỒ CHÍ MINH. VIỆT NAM</t>
  </si>
  <si>
    <t>VĂN PHÒNG 01, TẦNG 09, TÒA NHÀ PEARL PLAZA, 561A ĐIỆN BIÊN PHỦ, PHƯỜNG THẠNH MỸ TÂY, THÀNH PHỐ HỒ CHÍ MINH.</t>
  </si>
  <si>
    <t>SỐ 101/216/40 ĐƯỜNG ĐÔNG THẠNH 7, ẤP 4, XÃ ĐÔNG THẠNH, TP HỒ CHÍ MINH, VIỆT NAM</t>
  </si>
  <si>
    <t>Lô F3 &amp; F18, Đường N4-N5, Khu công nghiệp Nam Tân Uyên mở rộng, Phường Bình Cơ, Thành phố Hồ Chí Minh, Việt Nam.</t>
  </si>
  <si>
    <t>SỐ 136E2/14, KV BÌNH NHỰT, PHƯỜNG LONG TUYỀN, THÀNH PHỐ CẦN THƠ, VIỆT NAM</t>
  </si>
  <si>
    <t>THỬA ĐẤT SỐ 55,894,895, TỜ BẢN ĐỒ SỐ 17, KHU PHỐ 6, PHƯỜNG THỚI HÒA, THÀNH PHỐ HỒ CHÍ MINH, VIỆT NAM</t>
  </si>
  <si>
    <t>799A LẠC LONG QUÂN, PHƯỜNG BẢY HIỀN, THÀNH PHỐ HỒ CHÍ MINH, VIỆT NAM</t>
  </si>
  <si>
    <t>Số 11, Đường số 6, KCN VSIP II, Phường Bình Dương, Thành phố Hồ Chí Minh Việt Nam.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</si>
  <si>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</si>
  <si>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</si>
  <si>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</si>
  <si>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</si>
  <si>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10811780</t>
  </si>
  <si>
    <t>TẠ DUY HÀ</t>
  </si>
  <si>
    <t>KHU CÔNG NGHIỆP MỸ XUÂN A, PHƯỜNG PHÚ MỸ, THÀNH PHỐ HỒ CHÍ MINH, VIỆT NAM</t>
  </si>
  <si>
    <t>LÔ C7+D1, CCN THẠNH PHÚ-THIỆN TÂN, PHƯỜNG TRẢNG DÀI, TỈNH ĐỒNG NAI, VIỆT NAM.</t>
  </si>
  <si>
    <t>SỐ 280 ĐƯỜNG 3/2, KHU PHỐ 2, PHƯỜNG MỸ PHƯỚC TÂY, TỈNH ĐỒNG THÁP, VIỆT NAM</t>
  </si>
  <si>
    <t>LÔ D-4X-CN, KHU CÔNG NGHIỆP MỸ PHƯỚC 3, PHƯỜNG THỚI HÒA, THÀNH PHỐ HỒ CHÍ MINH, VIỆT NAM.</t>
  </si>
  <si>
    <t>1200001114</t>
  </si>
  <si>
    <t>CÔNG TY TNHH SẢN XUẤT THƯƠNG MẠI TUÝP NHÔM THUẬN QUÂN</t>
  </si>
  <si>
    <t>TP TÂY NINH</t>
  </si>
  <si>
    <t>LÔ 12, ĐƯỜNG SỐ 9, KCN TÂN ĐỨC, XÃ ĐỨC HÒA, TỈNH TÂY NINH, VIỆT NAM.</t>
  </si>
  <si>
    <t>THÔN UNG CHIẾM, PHƯỜNG HÀM THẮNG, TỈNH LÂM ĐỒNG, VIỆT NAM</t>
  </si>
  <si>
    <t>100006365</t>
  </si>
  <si>
    <t>NCL-1113-SR10AK-18KP</t>
  </si>
  <si>
    <t>SỐ 229 ĐƯỜNG NGÔ GIA TỰ, PHƯỜNG PHAN RANG, TỈNH KHÁNH HÒA, VIỆT NAM</t>
  </si>
  <si>
    <t>1200001118</t>
  </si>
  <si>
    <t>170001738</t>
  </si>
  <si>
    <t>U-PROOF U-93 BASE A-20KP</t>
  </si>
  <si>
    <t>XD020101101</t>
  </si>
  <si>
    <t>170001740</t>
  </si>
  <si>
    <t>U-PROOF U-93 BASE C-20KP</t>
  </si>
  <si>
    <t>XD020101103</t>
  </si>
  <si>
    <t>1200001119</t>
  </si>
  <si>
    <t>VŨ ĐÌNH DŨNG</t>
  </si>
  <si>
    <t>BUÔN ĐUNG, CƯ EEBUR, BUÔN MA THUỘT, ĐẮK LẮK</t>
  </si>
  <si>
    <t>34/13 ĐƯỜNG SỐ 6, PHƯỜNG TĂNG NHƠN PHÚ, THÀNH PHỐ HỒ CHÍ MINH, VIỆT NAM</t>
  </si>
  <si>
    <t>210032519</t>
  </si>
  <si>
    <t>100006386</t>
  </si>
  <si>
    <t>AL-088 VN-16KP</t>
  </si>
  <si>
    <t>100006387</t>
  </si>
  <si>
    <t>AL-089 VN-16KP</t>
  </si>
  <si>
    <t>100006436</t>
  </si>
  <si>
    <t>NCL-1113-SR05AK-18KP</t>
  </si>
  <si>
    <t>238/11 THỐNG NHẤT, PHƯỜNG GÒ VẤP, THÀNH PHỐ HỒ CHÍ MINH, VIỆT NAM</t>
  </si>
  <si>
    <t>SỐ 1, ĐƯỜNG SỐ 1, KHU CÔNG NGHIỆP VIỆT NAM - SINGAPORE, XÃ THỌ PHONG, TỈNH QUẢNG NGÃI, VIỆT NAM</t>
  </si>
  <si>
    <t>Xã Bến Lức</t>
  </si>
  <si>
    <t>Phường Thới Hòa</t>
  </si>
  <si>
    <t>Phường Tân Hiệp</t>
  </si>
  <si>
    <t>Phường Thanh Khê</t>
  </si>
  <si>
    <t>Xã Thăng Bình</t>
  </si>
  <si>
    <t>Phường Đông Hòa</t>
  </si>
  <si>
    <t>Xã Hưng Thuận</t>
  </si>
  <si>
    <t>Phường Bến Cát</t>
  </si>
  <si>
    <t>Lô số 29 Đường số 6, KCN Tân Đức, Đức Hòa , Tây Ninh Contact: Mr.Duy 0332 506 504 Ms Phúc : 0949 761 231</t>
  </si>
  <si>
    <t>Phường Phan Rang</t>
  </si>
  <si>
    <t>Xã Trừ Văn Thố</t>
  </si>
  <si>
    <t>Phường Tân Đông Hiệp</t>
  </si>
  <si>
    <t>Phường Hòa Cường</t>
  </si>
  <si>
    <t>Phường Bảy Hiền</t>
  </si>
  <si>
    <t>Xã Đông Thạnh</t>
  </si>
  <si>
    <t>Phường Đông Hưng Thuận</t>
  </si>
  <si>
    <t>Phường Thủ Dầu Một</t>
  </si>
  <si>
    <t>Phường Thạnh Mỹ Tây</t>
  </si>
  <si>
    <t>Xã Thọ Phong</t>
  </si>
  <si>
    <t>Phường Gò Vấp</t>
  </si>
  <si>
    <t>100006426</t>
  </si>
  <si>
    <t>PRCC-10361 WBC POL HV TQ VN-20KP</t>
  </si>
  <si>
    <t>12010102320</t>
  </si>
  <si>
    <t>210032961</t>
  </si>
  <si>
    <t>Đặc khu Phú Quốc</t>
  </si>
  <si>
    <t>Phường Phú Mỹ</t>
  </si>
  <si>
    <t>Phường Bãi Cháy</t>
  </si>
  <si>
    <t>SỐ NHÀ 986, TỔ 11, KHU 9, PHƯỜNG BÃI CHÁY, TỈNH QUẢNG NINH, VIỆT NAM</t>
  </si>
  <si>
    <t>100006454</t>
  </si>
  <si>
    <t>PUC-54205 AC KEM3234P 08 HPT VN-20KP</t>
  </si>
  <si>
    <t>210033035</t>
  </si>
  <si>
    <t>100006211</t>
  </si>
  <si>
    <t>PFP-251-2K SF VN-15KSP</t>
  </si>
  <si>
    <t>56020201501</t>
  </si>
  <si>
    <t>1500000253</t>
  </si>
  <si>
    <t>Khu phố Khánh Vân, Phường Tân Hiệp Thành phố HCM 0368104300 ( Hoàng Dự)</t>
  </si>
  <si>
    <t>Phường Tăng Nhơn Phú</t>
  </si>
  <si>
    <t>Phường Vĩnh Tân</t>
  </si>
  <si>
    <t>CÔNG TY CỔ PHẦN BOHO CORPORATION</t>
  </si>
  <si>
    <t>Phường Hàm Thắng</t>
  </si>
  <si>
    <t>Phường Lái Thiêu</t>
  </si>
  <si>
    <t>210033181</t>
  </si>
  <si>
    <t>170000973</t>
  </si>
  <si>
    <t>TENNOKOTE 1000 WA BASE D-25KSP</t>
  </si>
  <si>
    <t>X7010201101</t>
  </si>
  <si>
    <t>170000975</t>
  </si>
  <si>
    <t>TENNOKOTE 1000 WA BASE D-5KS</t>
  </si>
  <si>
    <t>Lô số 87A , 88, 89, 90B Khu Công Nghiệp Long Giang, Xã Tân Phước 3, Tỉnh Đồng Tháp</t>
  </si>
  <si>
    <t>210033236</t>
  </si>
  <si>
    <t>Xã Đức Hòa</t>
  </si>
  <si>
    <t>57010701101</t>
  </si>
  <si>
    <t>100006497</t>
  </si>
  <si>
    <t>UFM-930 LIGHT GREY VN-6K</t>
  </si>
  <si>
    <t>1200001128</t>
  </si>
  <si>
    <t>CÔNG TY TRÁCH NHIỆM HỮU HẠN MỘT THÀNH VIÊN SẢN XUẤT THƯƠNG MẠI NỘI THẤT TIẾN DŨNG PHÁT</t>
  </si>
  <si>
    <t>SỐ 56/5, KHU PHỐ ĐÔNG A, PHƯỜNG ĐÔNG HÒA, THÀNH PHỐ HỒ CHÍ MINH, VIỆT NAM</t>
  </si>
  <si>
    <t>210033379</t>
  </si>
  <si>
    <t>170000969</t>
  </si>
  <si>
    <t>TENNOKOTE 1000 WA BASE A-25KSP</t>
  </si>
  <si>
    <t>210033404</t>
  </si>
  <si>
    <t>210033399</t>
  </si>
  <si>
    <t>1500000255</t>
  </si>
  <si>
    <t>526 KHU PHỐ NGUYỄN TRÃI, PHƯỜNG LÁI THIÊU, THÀNH PHỐ HỒ CHÍ MINH</t>
  </si>
  <si>
    <t>210033469</t>
  </si>
  <si>
    <t>BÃI XẾP, KHU PHỐ ÔNG LANG CỬA DƯƠNG, ĐẶC KHU PHÚ QUỐC, TỈNH AN GIANG, VIỆT NAM</t>
  </si>
  <si>
    <t>Phường Tân Tạo</t>
  </si>
  <si>
    <t>210033508</t>
  </si>
  <si>
    <t>|Discount Regular (15.00 %) |Discount Promo 2 (13.64 %)</t>
  </si>
  <si>
    <t>210033570</t>
  </si>
  <si>
    <t>210033617</t>
  </si>
  <si>
    <t>Phường Tân Khánh</t>
  </si>
  <si>
    <t>210033598</t>
  </si>
  <si>
    <t>210033642</t>
  </si>
  <si>
    <t>210033672</t>
  </si>
  <si>
    <t>210033618</t>
  </si>
  <si>
    <t>210033664</t>
  </si>
  <si>
    <t>210033638</t>
  </si>
  <si>
    <t>210033698</t>
  </si>
  <si>
    <t>THỬA ĐẤT SỐ 718, TỜ BẢN ĐỒ SỐ 13, KHU PHỐ KHÁNH HỘI, PHƯỜNG TÂN KHÁNH, THÀNH PHỐ HỒ CHÍ MINH, VIỆT NAM</t>
  </si>
  <si>
    <t>210033718</t>
  </si>
  <si>
    <t>210033726</t>
  </si>
  <si>
    <t>100006137</t>
  </si>
  <si>
    <t>UFM-930 LIGHT GREY VN-20KP</t>
  </si>
  <si>
    <t>210033720</t>
  </si>
  <si>
    <t>210033765</t>
  </si>
  <si>
    <t>210033766</t>
  </si>
  <si>
    <t>210033767</t>
  </si>
  <si>
    <t>210033785</t>
  </si>
  <si>
    <t>210033783</t>
  </si>
  <si>
    <t>210033745</t>
  </si>
  <si>
    <t>210033801</t>
  </si>
  <si>
    <t>210033807</t>
  </si>
  <si>
    <t>210033803</t>
  </si>
  <si>
    <t>1930051831</t>
  </si>
  <si>
    <t>1910052621</t>
  </si>
  <si>
    <t>1930051832</t>
  </si>
  <si>
    <t>1910052622</t>
  </si>
  <si>
    <t>1930051833</t>
  </si>
  <si>
    <t>1910052623</t>
  </si>
  <si>
    <t>1930051834</t>
  </si>
  <si>
    <t>1910052625</t>
  </si>
  <si>
    <t>1930051835</t>
  </si>
  <si>
    <t>1910052626</t>
  </si>
  <si>
    <t>1930051836</t>
  </si>
  <si>
    <t>1910052628</t>
  </si>
  <si>
    <t>1930051837</t>
  </si>
  <si>
    <t>1910052631</t>
  </si>
  <si>
    <t>1930051838</t>
  </si>
  <si>
    <t>1910052632</t>
  </si>
  <si>
    <t>1930051839</t>
  </si>
  <si>
    <t>1910052642</t>
  </si>
  <si>
    <t>1930051840</t>
  </si>
  <si>
    <t>210033794</t>
  </si>
  <si>
    <t>1910052636</t>
  </si>
  <si>
    <t>1930051841</t>
  </si>
  <si>
    <t>210033814</t>
  </si>
  <si>
    <t>1910052635</t>
  </si>
  <si>
    <t>1930051842</t>
  </si>
  <si>
    <t>210033804</t>
  </si>
  <si>
    <t>1910052624</t>
  </si>
  <si>
    <t>1930051843</t>
  </si>
  <si>
    <t>210033832</t>
  </si>
  <si>
    <t>1910052661</t>
  </si>
  <si>
    <t>1930051844</t>
  </si>
  <si>
    <t>210033798</t>
  </si>
  <si>
    <t>1910052619</t>
  </si>
  <si>
    <t>1930051845</t>
  </si>
  <si>
    <t>210033753</t>
  </si>
  <si>
    <t>1910052620</t>
  </si>
  <si>
    <t>1930051846</t>
  </si>
  <si>
    <t>210033811</t>
  </si>
  <si>
    <t>1910052645</t>
  </si>
  <si>
    <t>1930051847</t>
  </si>
  <si>
    <t>1910052646</t>
  </si>
  <si>
    <t>1930051848</t>
  </si>
  <si>
    <t>210033829</t>
  </si>
  <si>
    <t>1910052640</t>
  </si>
  <si>
    <t>1930051849</t>
  </si>
  <si>
    <t>1910052643</t>
  </si>
  <si>
    <t>1930051850</t>
  </si>
  <si>
    <t>1910052644</t>
  </si>
  <si>
    <t>1930051851</t>
  </si>
  <si>
    <t>1910052648</t>
  </si>
  <si>
    <t>1930051852</t>
  </si>
  <si>
    <t>1910052649</t>
  </si>
  <si>
    <t>1930051853</t>
  </si>
  <si>
    <t>210033837</t>
  </si>
  <si>
    <t>1910052647</t>
  </si>
  <si>
    <t>1930051854</t>
  </si>
  <si>
    <t>210033825</t>
  </si>
  <si>
    <t>1910052637</t>
  </si>
  <si>
    <t>1930051855</t>
  </si>
  <si>
    <t>210033827</t>
  </si>
  <si>
    <t>1910052638</t>
  </si>
  <si>
    <t>1930051856</t>
  </si>
  <si>
    <t>210033828</t>
  </si>
  <si>
    <t>1910052639</t>
  </si>
  <si>
    <t>1930051857</t>
  </si>
  <si>
    <t>1910052627</t>
  </si>
  <si>
    <t>1930051858</t>
  </si>
  <si>
    <t>1910052629</t>
  </si>
  <si>
    <t>1930051859</t>
  </si>
  <si>
    <t>210033815</t>
  </si>
  <si>
    <t>1910052630</t>
  </si>
  <si>
    <t>1930051860</t>
  </si>
  <si>
    <t>210033822</t>
  </si>
  <si>
    <t>1910052633</t>
  </si>
  <si>
    <t>1930051861</t>
  </si>
  <si>
    <t>210033823</t>
  </si>
  <si>
    <t>1910052634</t>
  </si>
  <si>
    <t>1930051862</t>
  </si>
  <si>
    <t>210033821</t>
  </si>
  <si>
    <t>1910052641</t>
  </si>
  <si>
    <t>1930051863</t>
  </si>
  <si>
    <t>210033844</t>
  </si>
  <si>
    <t>1910052651</t>
  </si>
  <si>
    <t>1930051864</t>
  </si>
  <si>
    <t>210033845</t>
  </si>
  <si>
    <t>1910052665</t>
  </si>
  <si>
    <t>1930051865</t>
  </si>
  <si>
    <t>210033839</t>
  </si>
  <si>
    <t>1910052650</t>
  </si>
  <si>
    <t>1930051866</t>
  </si>
  <si>
    <t>1910052668</t>
  </si>
  <si>
    <t>1930051867</t>
  </si>
  <si>
    <t>210033840</t>
  </si>
  <si>
    <t>1910052672</t>
  </si>
  <si>
    <t>1930051868</t>
  </si>
  <si>
    <t>210033750</t>
  </si>
  <si>
    <t>1910052673</t>
  </si>
  <si>
    <t>1930051869</t>
  </si>
  <si>
    <t>1910052666</t>
  </si>
  <si>
    <t>1930051870</t>
  </si>
  <si>
    <t>1910052667</t>
  </si>
  <si>
    <t>1930051871</t>
  </si>
  <si>
    <t>1910052652</t>
  </si>
  <si>
    <t>1930051872</t>
  </si>
  <si>
    <t>1910052653</t>
  </si>
  <si>
    <t>1930051873</t>
  </si>
  <si>
    <t>1910052654</t>
  </si>
  <si>
    <t>1930051874</t>
  </si>
  <si>
    <t>1910052655</t>
  </si>
  <si>
    <t>1930051875</t>
  </si>
  <si>
    <t>1910052656</t>
  </si>
  <si>
    <t>1930051876</t>
  </si>
  <si>
    <t>1910052657</t>
  </si>
  <si>
    <t>1930051877</t>
  </si>
  <si>
    <t>210033762</t>
  </si>
  <si>
    <t>1910052658</t>
  </si>
  <si>
    <t>1930051878</t>
  </si>
  <si>
    <t>210033836</t>
  </si>
  <si>
    <t>1910052662</t>
  </si>
  <si>
    <t>1930051879</t>
  </si>
  <si>
    <t>210033841</t>
  </si>
  <si>
    <t>1910052663</t>
  </si>
  <si>
    <t>1930051880</t>
  </si>
  <si>
    <t>1910052664</t>
  </si>
  <si>
    <t>1930051881</t>
  </si>
  <si>
    <t>1910052683</t>
  </si>
  <si>
    <t>1930051882</t>
  </si>
  <si>
    <t>1910052684</t>
  </si>
  <si>
    <t>1930051883</t>
  </si>
  <si>
    <t>210033833</t>
  </si>
  <si>
    <t>1910052659</t>
  </si>
  <si>
    <t>1930051884</t>
  </si>
  <si>
    <t>210033838</t>
  </si>
  <si>
    <t>1910052669</t>
  </si>
  <si>
    <t>1930051885</t>
  </si>
  <si>
    <t>210033858</t>
  </si>
  <si>
    <t>1910052688</t>
  </si>
  <si>
    <t>1930051886</t>
  </si>
  <si>
    <t>210033835</t>
  </si>
  <si>
    <t>1910052660</t>
  </si>
  <si>
    <t>1930051887</t>
  </si>
  <si>
    <t>210033792</t>
  </si>
  <si>
    <t>1910052670</t>
  </si>
  <si>
    <t>1930051888</t>
  </si>
  <si>
    <t>210033848</t>
  </si>
  <si>
    <t>1910052671</t>
  </si>
  <si>
    <t>1930051889</t>
  </si>
  <si>
    <t>210033854</t>
  </si>
  <si>
    <t>1910052678</t>
  </si>
  <si>
    <t>1930051890</t>
  </si>
  <si>
    <t>210033731</t>
  </si>
  <si>
    <t>1910052679</t>
  </si>
  <si>
    <t>1930051891</t>
  </si>
  <si>
    <t>210033830</t>
  </si>
  <si>
    <t>1910052680</t>
  </si>
  <si>
    <t>1930051892</t>
  </si>
  <si>
    <t>210033850</t>
  </si>
  <si>
    <t>1910052687</t>
  </si>
  <si>
    <t>1930051893</t>
  </si>
  <si>
    <t>210033847</t>
  </si>
  <si>
    <t>1910052677</t>
  </si>
  <si>
    <t>1930051894</t>
  </si>
  <si>
    <t>210033851</t>
  </si>
  <si>
    <t>1910052682</t>
  </si>
  <si>
    <t>1930051895</t>
  </si>
  <si>
    <t>1910052691</t>
  </si>
  <si>
    <t>1930051896</t>
  </si>
  <si>
    <t>210033831</t>
  </si>
  <si>
    <t>1910052689</t>
  </si>
  <si>
    <t>1930051897</t>
  </si>
  <si>
    <t>210033791</t>
  </si>
  <si>
    <t>1910052681</t>
  </si>
  <si>
    <t>1930051898</t>
  </si>
  <si>
    <t>521/48G CÁCH MẠNG THÁNG 8, PHƯỜNG HÒA HƯNG, TP HỒ CHÍ MINH, VIỆT NAM</t>
  </si>
  <si>
    <t>210033862</t>
  </si>
  <si>
    <t>1910052690</t>
  </si>
  <si>
    <t>1930051899</t>
  </si>
  <si>
    <t>210033797</t>
  </si>
  <si>
    <t>1910052674</t>
  </si>
  <si>
    <t>1930051900</t>
  </si>
  <si>
    <t>210033843</t>
  </si>
  <si>
    <t>1910052675</t>
  </si>
  <si>
    <t>1930051901</t>
  </si>
  <si>
    <t>1910052676</t>
  </si>
  <si>
    <t>1930051902</t>
  </si>
  <si>
    <t>210033770</t>
  </si>
  <si>
    <t>1910052694</t>
  </si>
  <si>
    <t>1930051903</t>
  </si>
  <si>
    <t>1910052695</t>
  </si>
  <si>
    <t>1930051904</t>
  </si>
  <si>
    <t>1910052685</t>
  </si>
  <si>
    <t>1930051905</t>
  </si>
  <si>
    <t>1910052686</t>
  </si>
  <si>
    <t>1930051906</t>
  </si>
  <si>
    <t>1910052700</t>
  </si>
  <si>
    <t>1930051907</t>
  </si>
  <si>
    <t>1910052701</t>
  </si>
  <si>
    <t>1930051908</t>
  </si>
  <si>
    <t>1910052702</t>
  </si>
  <si>
    <t>1930051909</t>
  </si>
  <si>
    <t>1910052703</t>
  </si>
  <si>
    <t>1930051910</t>
  </si>
  <si>
    <t>210033861</t>
  </si>
  <si>
    <t>1910052720</t>
  </si>
  <si>
    <t>1930051911</t>
  </si>
  <si>
    <t>210033857</t>
  </si>
  <si>
    <t>1910052719</t>
  </si>
  <si>
    <t>1930051912</t>
  </si>
  <si>
    <t>210033813</t>
  </si>
  <si>
    <t>1910052725</t>
  </si>
  <si>
    <t>1930051913</t>
  </si>
  <si>
    <t>210033873</t>
  </si>
  <si>
    <t>1910052730</t>
  </si>
  <si>
    <t>1930051914</t>
  </si>
  <si>
    <t>1910052692</t>
  </si>
  <si>
    <t>1930051915</t>
  </si>
  <si>
    <t>1910052696</t>
  </si>
  <si>
    <t>1930051916</t>
  </si>
  <si>
    <t>1910052697</t>
  </si>
  <si>
    <t>1930051917</t>
  </si>
  <si>
    <t>1910052698</t>
  </si>
  <si>
    <t>1930051918</t>
  </si>
  <si>
    <t>210033842</t>
  </si>
  <si>
    <t>1910052699</t>
  </si>
  <si>
    <t>1930051919</t>
  </si>
  <si>
    <t>210033808</t>
  </si>
  <si>
    <t>1910052693</t>
  </si>
  <si>
    <t>1930051920</t>
  </si>
  <si>
    <t>210033880</t>
  </si>
  <si>
    <t>1910052723</t>
  </si>
  <si>
    <t>1930051921</t>
  </si>
  <si>
    <t>210033876</t>
  </si>
  <si>
    <t>1910052716</t>
  </si>
  <si>
    <t>1930051922</t>
  </si>
  <si>
    <t>210033875</t>
  </si>
  <si>
    <t>1910052717</t>
  </si>
  <si>
    <t>1930051923</t>
  </si>
  <si>
    <t>210033870</t>
  </si>
  <si>
    <t>1910052715</t>
  </si>
  <si>
    <t>1930051924</t>
  </si>
  <si>
    <t>210033874</t>
  </si>
  <si>
    <t>1910052718</t>
  </si>
  <si>
    <t>1930051925</t>
  </si>
  <si>
    <t>1910052727</t>
  </si>
  <si>
    <t>1930051926</t>
  </si>
  <si>
    <t>210033866</t>
  </si>
  <si>
    <t>1910052705</t>
  </si>
  <si>
    <t>1930051927</t>
  </si>
  <si>
    <t>1910052706</t>
  </si>
  <si>
    <t>1930051928</t>
  </si>
  <si>
    <t>1910052712</t>
  </si>
  <si>
    <t>1930051929</t>
  </si>
  <si>
    <t>1910052714</t>
  </si>
  <si>
    <t>1930051930</t>
  </si>
  <si>
    <t>210033755</t>
  </si>
  <si>
    <t>1910052726</t>
  </si>
  <si>
    <t>1930051931</t>
  </si>
  <si>
    <t>1910052724</t>
  </si>
  <si>
    <t>1930051932</t>
  </si>
  <si>
    <t>1910052711</t>
  </si>
  <si>
    <t>1930051933</t>
  </si>
  <si>
    <t>1910052710</t>
  </si>
  <si>
    <t>1930051934</t>
  </si>
  <si>
    <t>210033867</t>
  </si>
  <si>
    <t>1910052704</t>
  </si>
  <si>
    <t>1930051935</t>
  </si>
  <si>
    <t>210033863</t>
  </si>
  <si>
    <t>1910052707</t>
  </si>
  <si>
    <t>1930051936</t>
  </si>
  <si>
    <t>210033864</t>
  </si>
  <si>
    <t>1910052708</t>
  </si>
  <si>
    <t>1930051937</t>
  </si>
  <si>
    <t>210033865</t>
  </si>
  <si>
    <t>1910052709</t>
  </si>
  <si>
    <t>1930051938</t>
  </si>
  <si>
    <t>210033883</t>
  </si>
  <si>
    <t>1910052731</t>
  </si>
  <si>
    <t>Branch</t>
  </si>
  <si>
    <t>1930051939</t>
  </si>
  <si>
    <t>210033884</t>
  </si>
  <si>
    <t>1910052742</t>
  </si>
  <si>
    <t>1930051940</t>
  </si>
  <si>
    <t>210033879</t>
  </si>
  <si>
    <t>1910052729</t>
  </si>
  <si>
    <t>1930051941</t>
  </si>
  <si>
    <t>1910052733</t>
  </si>
  <si>
    <t>1930051942</t>
  </si>
  <si>
    <t>1910052734</t>
  </si>
  <si>
    <t>1930051943</t>
  </si>
  <si>
    <t>1910052735</t>
  </si>
  <si>
    <t>1930051944</t>
  </si>
  <si>
    <t>1910052736</t>
  </si>
  <si>
    <t>1930051945</t>
  </si>
  <si>
    <t>210033893</t>
  </si>
  <si>
    <t>1910052773</t>
  </si>
  <si>
    <t>1930051946</t>
  </si>
  <si>
    <t>1910052746</t>
  </si>
  <si>
    <t>1930051947</t>
  </si>
  <si>
    <t>210033868</t>
  </si>
  <si>
    <t>1910052747</t>
  </si>
  <si>
    <t>1930051948</t>
  </si>
  <si>
    <t>210033859</t>
  </si>
  <si>
    <t>1910052752</t>
  </si>
  <si>
    <t>1930051949</t>
  </si>
  <si>
    <t>1910052755</t>
  </si>
  <si>
    <t>1930051950</t>
  </si>
  <si>
    <t>1910052741</t>
  </si>
  <si>
    <t>1930051951</t>
  </si>
  <si>
    <t>210033895</t>
  </si>
  <si>
    <t>1910052754</t>
  </si>
  <si>
    <t>1930051952</t>
  </si>
  <si>
    <t>210033892</t>
  </si>
  <si>
    <t>1910052751</t>
  </si>
  <si>
    <t>1930051953</t>
  </si>
  <si>
    <t>210033887</t>
  </si>
  <si>
    <t>1910052739</t>
  </si>
  <si>
    <t>1930051954</t>
  </si>
  <si>
    <t>210033852</t>
  </si>
  <si>
    <t>1910052713</t>
  </si>
  <si>
    <t>1930051955</t>
  </si>
  <si>
    <t>1910052721</t>
  </si>
  <si>
    <t>1930051956</t>
  </si>
  <si>
    <t>210033878</t>
  </si>
  <si>
    <t>1910052722</t>
  </si>
  <si>
    <t>1930051957</t>
  </si>
  <si>
    <t>100006572</t>
  </si>
  <si>
    <t>PRCC-40102 HV GOLD T350 CT VN-200KK</t>
  </si>
  <si>
    <t>210033871</t>
  </si>
  <si>
    <t>1910052744</t>
  </si>
  <si>
    <t>1930051958</t>
  </si>
  <si>
    <t>210033849</t>
  </si>
  <si>
    <t>1910052745</t>
  </si>
  <si>
    <t>1930051959</t>
  </si>
  <si>
    <t>210033888</t>
  </si>
  <si>
    <t>1910052743</t>
  </si>
  <si>
    <t>1930051960</t>
  </si>
  <si>
    <t>1910052737</t>
  </si>
  <si>
    <t>1930051961</t>
  </si>
  <si>
    <t>100006566</t>
  </si>
  <si>
    <t>PCL-31300 BLUE OR 50 PASTE VN-4K</t>
  </si>
  <si>
    <t>1910052738</t>
  </si>
  <si>
    <t>1930051962</t>
  </si>
  <si>
    <t>210033886</t>
  </si>
  <si>
    <t>1910052740</t>
  </si>
  <si>
    <t>1930051963</t>
  </si>
  <si>
    <t>210033889</t>
  </si>
  <si>
    <t>1910052748</t>
  </si>
  <si>
    <t>1930051964</t>
  </si>
  <si>
    <t>210033890</t>
  </si>
  <si>
    <t>1910052749</t>
  </si>
  <si>
    <t>1930051965</t>
  </si>
  <si>
    <t>210033891</t>
  </si>
  <si>
    <t>1910052750</t>
  </si>
  <si>
    <t>1930051966</t>
  </si>
  <si>
    <t>1910052753</t>
  </si>
  <si>
    <t>1930051967</t>
  </si>
  <si>
    <t>210033816</t>
  </si>
  <si>
    <t>1910052732</t>
  </si>
  <si>
    <t>1930051968</t>
  </si>
  <si>
    <t>100006573</t>
  </si>
  <si>
    <t>DI-400 019-1 BELIZE BREEZE-18LP</t>
  </si>
  <si>
    <t>210033882</t>
  </si>
  <si>
    <t>1910052756</t>
  </si>
  <si>
    <t>1930051969</t>
  </si>
  <si>
    <t>1910052774</t>
  </si>
  <si>
    <t>1930051970</t>
  </si>
  <si>
    <t>210033771</t>
  </si>
  <si>
    <t>1910052775</t>
  </si>
  <si>
    <t>1930051971</t>
  </si>
  <si>
    <t>210033772</t>
  </si>
  <si>
    <t>1910052778</t>
  </si>
  <si>
    <t>1930051972</t>
  </si>
  <si>
    <t>1910052785</t>
  </si>
  <si>
    <t>1930051973</t>
  </si>
  <si>
    <t>210033877</t>
  </si>
  <si>
    <t>1910052797</t>
  </si>
  <si>
    <t>1930051974</t>
  </si>
  <si>
    <t>100002629</t>
  </si>
  <si>
    <t>SST-11100 C10 RED-16KJ</t>
  </si>
  <si>
    <t>210033290</t>
  </si>
  <si>
    <t>1910052779</t>
  </si>
  <si>
    <t>100004658</t>
  </si>
  <si>
    <t>SST-11100 YELLOW KD VN-16KJ</t>
  </si>
  <si>
    <t>1930051975</t>
  </si>
  <si>
    <t>1910052780</t>
  </si>
  <si>
    <t>1930051976</t>
  </si>
  <si>
    <t>100002342</t>
  </si>
  <si>
    <t>NCL-1113-29 LC 5 AK-20LP</t>
  </si>
  <si>
    <t>1910052781</t>
  </si>
  <si>
    <t>1930051977</t>
  </si>
  <si>
    <t>1910052782</t>
  </si>
  <si>
    <t>1930051978</t>
  </si>
  <si>
    <t>1910052783</t>
  </si>
  <si>
    <t>1930051979</t>
  </si>
  <si>
    <t>1200000087</t>
  </si>
  <si>
    <t>Công Ty TNHH Vạn Lộc Hà Nội</t>
  </si>
  <si>
    <t>QUẬN HOÀN KIẾM</t>
  </si>
  <si>
    <t>1500000231</t>
  </si>
  <si>
    <t>Số 44 Phố Sài Đồng - Q Long Biên - Hà Nội ( Trong Cty Thiết Bị Xăng dầU Petrolimex - ĐT 0966473668 - Anh Chủ)</t>
  </si>
  <si>
    <t>100002463</t>
  </si>
  <si>
    <t>PUL-51337 CLEAR 50 VN-18KP</t>
  </si>
  <si>
    <t>11032101130</t>
  </si>
  <si>
    <t>210033717</t>
  </si>
  <si>
    <t>1910052728</t>
  </si>
  <si>
    <t>100002437</t>
  </si>
  <si>
    <t>PUH-56135 S VN-4K</t>
  </si>
  <si>
    <t>100002418</t>
  </si>
  <si>
    <t>PUC-52239 WHITE 10 VN-20KP</t>
  </si>
  <si>
    <t>11031901132</t>
  </si>
  <si>
    <t>1930051980</t>
  </si>
  <si>
    <t>Phường Tương Mai</t>
  </si>
  <si>
    <t>NHÀ VƯỜN 29 KHU NHÀ Ở VĨNH HOÀNG, PHƯỜNG TƯƠNG MAI, THÀNH PHỐ HÀ NỘI, VIỆT NAM</t>
  </si>
  <si>
    <t>210033853</t>
  </si>
  <si>
    <t>1910052766</t>
  </si>
  <si>
    <t>1930051981</t>
  </si>
  <si>
    <t>1200001027</t>
  </si>
  <si>
    <t>CÔNG TY TNHH TTK FURNITURE</t>
  </si>
  <si>
    <t>H. Dĩ An</t>
  </si>
  <si>
    <t>SỐ 192/7 ĐƯỜNG D2, KHU SẢN XUẤT BÌNH CHUẨN, KHU PHỐ BÌNH PHÚ, PHƯỜNG THUẬN GIAO, TP HỒ CHÍ MINH, VIỆT NAM.</t>
  </si>
  <si>
    <t>210033856</t>
  </si>
  <si>
    <t>1910052796</t>
  </si>
  <si>
    <t>1930051982</t>
  </si>
  <si>
    <t>210033903</t>
  </si>
  <si>
    <t>1910052800</t>
  </si>
  <si>
    <t>100000122</t>
  </si>
  <si>
    <t>MEP-12003 BROWN KI VN-18KP</t>
  </si>
  <si>
    <t>100002486</t>
  </si>
  <si>
    <t>PUP-52135 BLACK VN-20KP</t>
  </si>
  <si>
    <t>100002354</t>
  </si>
  <si>
    <t>NCL-11329 LC CLEAR 10 VN-20LP</t>
  </si>
  <si>
    <t>100000870</t>
  </si>
  <si>
    <t>THGZ-72200 PU VN-20LJ</t>
  </si>
  <si>
    <t>1930051983</t>
  </si>
  <si>
    <t>100000289</t>
  </si>
  <si>
    <t>PCL-31300 BLACK PASTE VN-4K</t>
  </si>
  <si>
    <t>1910052793</t>
  </si>
  <si>
    <t>1930051984</t>
  </si>
  <si>
    <t>1200000052</t>
  </si>
  <si>
    <t>Công Ty TNHH Một Thành Viên GER Việt Nam</t>
  </si>
  <si>
    <t>Phường Bình Dương</t>
  </si>
  <si>
    <t>LÔ CN 14, ĐƯỜNG D1, KCN SÓNG THẦN 3, PHƯỜNG BÌNH DƯƠNG, TP. HỒ CHÍ MINH</t>
  </si>
  <si>
    <t>100004093</t>
  </si>
  <si>
    <t>MPUL-13700 90 VN-16KP</t>
  </si>
  <si>
    <t>16010115401</t>
  </si>
  <si>
    <t>210033786</t>
  </si>
  <si>
    <t>1910052758</t>
  </si>
  <si>
    <t>1930051985</t>
  </si>
  <si>
    <t>210033793</t>
  </si>
  <si>
    <t>1910052760</t>
  </si>
  <si>
    <t>100000516</t>
  </si>
  <si>
    <t>PUL-53306 AC EX CLEAR 40 VN-20LP</t>
  </si>
  <si>
    <t>100000886</t>
  </si>
  <si>
    <t>THPU-71306 VN-20LJ</t>
  </si>
  <si>
    <t>1930051986</t>
  </si>
  <si>
    <t>100000852</t>
  </si>
  <si>
    <t>THC-73100-1103 KD VN-20LJ</t>
  </si>
  <si>
    <t>210033846</t>
  </si>
  <si>
    <t>1910052761</t>
  </si>
  <si>
    <t>1930051987</t>
  </si>
  <si>
    <t>1200000067</t>
  </si>
  <si>
    <t>Công Ty Cổ Phần Forimex Thịnh Hoàng</t>
  </si>
  <si>
    <t>Phường Tân Hải</t>
  </si>
  <si>
    <t>KHU PHỐ PHƯỚC THÀNH, PHƯỜNG TÂN HẢI, THÀNH PHỐ HỒ CHÍ MINH, VIỆT NAM</t>
  </si>
  <si>
    <t>100005939</t>
  </si>
  <si>
    <t>WBL-63220 BLACK 2C01 F1 VN-18KP</t>
  </si>
  <si>
    <t>11190101209</t>
  </si>
  <si>
    <t>210033243</t>
  </si>
  <si>
    <t>1910052767</t>
  </si>
  <si>
    <t>100005935</t>
  </si>
  <si>
    <t>WBL-63220 BROWN 2C01 N F1 VN-18KP</t>
  </si>
  <si>
    <t>1930051988</t>
  </si>
  <si>
    <t>210033626</t>
  </si>
  <si>
    <t>1910052768</t>
  </si>
  <si>
    <t>1930051989</t>
  </si>
  <si>
    <t>210033637</t>
  </si>
  <si>
    <t>1910052769</t>
  </si>
  <si>
    <t>1930051990</t>
  </si>
  <si>
    <t>100005390</t>
  </si>
  <si>
    <t>TOL-76301 N 2C-03  F1 VN-16KJ</t>
  </si>
  <si>
    <t>210033169</t>
  </si>
  <si>
    <t>1910052770</t>
  </si>
  <si>
    <t>1930051991</t>
  </si>
  <si>
    <t>100006018</t>
  </si>
  <si>
    <t>PCWB-31600 BROWN 645 PASTE VN-4K</t>
  </si>
  <si>
    <t>210033686</t>
  </si>
  <si>
    <t>1910052771</t>
  </si>
  <si>
    <t>100006574</t>
  </si>
  <si>
    <t>PST-12100 C10 RED VN-4K</t>
  </si>
  <si>
    <t>1930051992</t>
  </si>
  <si>
    <t>100004589</t>
  </si>
  <si>
    <t>DP-12129 LC BLACK VN-20KP</t>
  </si>
  <si>
    <t>210033818</t>
  </si>
  <si>
    <t>1910052772</t>
  </si>
  <si>
    <t>100006072</t>
  </si>
  <si>
    <t>DC-12229 LC BLACK 10 VN-18KP</t>
  </si>
  <si>
    <t>11040503124</t>
  </si>
  <si>
    <t>1930051993</t>
  </si>
  <si>
    <t>100002267</t>
  </si>
  <si>
    <t>AL-088 VN-4L</t>
  </si>
  <si>
    <t>210032516</t>
  </si>
  <si>
    <t>1910052789</t>
  </si>
  <si>
    <t>1930051994</t>
  </si>
  <si>
    <t>100002031</t>
  </si>
  <si>
    <t>82-4020 UE AF URT WHITE A-16KP</t>
  </si>
  <si>
    <t>11031201275</t>
  </si>
  <si>
    <t>1910052790</t>
  </si>
  <si>
    <t>1930051995</t>
  </si>
  <si>
    <t>1910052791</t>
  </si>
  <si>
    <t>100003123</t>
  </si>
  <si>
    <t>82-5001 UE AF URT SFC WHITE A-16KP</t>
  </si>
  <si>
    <t>11031201265</t>
  </si>
  <si>
    <t>1930051996</t>
  </si>
  <si>
    <t>1200000082</t>
  </si>
  <si>
    <t>Công Ty TNHH Một Thành Viên TM SX Mỹ Khang</t>
  </si>
  <si>
    <t>1500000234</t>
  </si>
  <si>
    <t>Lô 02-03 đường số 5, kcn Tân Đông Hiệp B, phường Tân Đông Hiệp, Tp Hồ Chí Minh</t>
  </si>
  <si>
    <t>210033894</t>
  </si>
  <si>
    <t>1910052757</t>
  </si>
  <si>
    <t>1930051997</t>
  </si>
  <si>
    <t>100002422</t>
  </si>
  <si>
    <t>PUC-52239 WHITE 30 VN-20KP</t>
  </si>
  <si>
    <t>210033855</t>
  </si>
  <si>
    <t>1910052798</t>
  </si>
  <si>
    <t>1930051998</t>
  </si>
  <si>
    <t>1910052799</t>
  </si>
  <si>
    <t>1930051999</t>
  </si>
  <si>
    <t>Phường Dĩ An</t>
  </si>
  <si>
    <t>LÔ 10, ĐƯỜNG SỐ 8, KHU CÔNG NGHIỆP SÓNG THẦN 1, PHƯỜNG DĨ AN, THÀNH PHỐ HỒ CHÍ MINH, VIỆT NAM.</t>
  </si>
  <si>
    <t>100005929</t>
  </si>
  <si>
    <t>PST-12202 MUB SC VN-200LK</t>
  </si>
  <si>
    <t>11010201103</t>
  </si>
  <si>
    <t>210033524</t>
  </si>
  <si>
    <t>1910052784</t>
  </si>
  <si>
    <t>1930052000</t>
  </si>
  <si>
    <t>100002358</t>
  </si>
  <si>
    <t>NCL-11329 LC CLEAR 50 VN-20LP</t>
  </si>
  <si>
    <t>1910052776</t>
  </si>
  <si>
    <t>1930052001</t>
  </si>
  <si>
    <t>1910052763</t>
  </si>
  <si>
    <t>1930052002</t>
  </si>
  <si>
    <t>1910052764</t>
  </si>
  <si>
    <t>1930052003</t>
  </si>
  <si>
    <t>1910052765</t>
  </si>
  <si>
    <t>1930052004</t>
  </si>
  <si>
    <t>1910052794</t>
  </si>
  <si>
    <t>1930052005</t>
  </si>
  <si>
    <t>210033898</t>
  </si>
  <si>
    <t>1910052795</t>
  </si>
  <si>
    <t>1930052006</t>
  </si>
  <si>
    <t>1910052804</t>
  </si>
  <si>
    <t>1930052007</t>
  </si>
  <si>
    <t>100002447</t>
  </si>
  <si>
    <t>PUL-51333 CLEAR 20 VN-20KP</t>
  </si>
  <si>
    <t>210033906</t>
  </si>
  <si>
    <t>1910052807</t>
  </si>
  <si>
    <t>1930052008</t>
  </si>
  <si>
    <t>210033900</t>
  </si>
  <si>
    <t>1910052777</t>
  </si>
  <si>
    <t>1930052009</t>
  </si>
  <si>
    <t>1910052788</t>
  </si>
  <si>
    <t>1930052010</t>
  </si>
  <si>
    <t>1200000841</t>
  </si>
  <si>
    <t>CÔNG TY TNHH TM KHANG</t>
  </si>
  <si>
    <t>Phường Buôn Ma Thuột</t>
  </si>
  <si>
    <t>SỐ 87 PHAN CHU TRINH, PHƯỜNG BUÔN MA THUỘT, TỈNH ĐẮK LẮK, VIỆT NAM</t>
  </si>
  <si>
    <t>210033905</t>
  </si>
  <si>
    <t>1910052802</t>
  </si>
  <si>
    <t>100001647</t>
  </si>
  <si>
    <t>EDP-551 WHITE (TRẮNG) VN-5KS</t>
  </si>
  <si>
    <t>1930052011</t>
  </si>
  <si>
    <t>100001738</t>
  </si>
  <si>
    <t>PUSS-740-2K VT VN-1K</t>
  </si>
  <si>
    <t>22120101202</t>
  </si>
  <si>
    <t>210033897</t>
  </si>
  <si>
    <t>1910052762</t>
  </si>
  <si>
    <t>1930052012</t>
  </si>
  <si>
    <t>210033902</t>
  </si>
  <si>
    <t>1910052786</t>
  </si>
  <si>
    <t>1930052013</t>
  </si>
  <si>
    <t>100004233</t>
  </si>
  <si>
    <t>PUL-745 2K MỜ 70% VN-4K</t>
  </si>
  <si>
    <t>210033901</t>
  </si>
  <si>
    <t>1910052787</t>
  </si>
  <si>
    <t>1930052014</t>
  </si>
  <si>
    <t>1910052792</t>
  </si>
  <si>
    <t>1930052015</t>
  </si>
  <si>
    <t>1910052805</t>
  </si>
  <si>
    <t>1930052016</t>
  </si>
  <si>
    <t>170001700</t>
  </si>
  <si>
    <t>UFM-930 LIGHT GREY-1K</t>
  </si>
  <si>
    <t>210033911</t>
  </si>
  <si>
    <t>1910052806</t>
  </si>
  <si>
    <t>1930052017</t>
  </si>
  <si>
    <t>1910052801</t>
  </si>
  <si>
    <t>1930052018</t>
  </si>
  <si>
    <t>210033691</t>
  </si>
  <si>
    <t>1910052759</t>
  </si>
  <si>
    <t>1930052019</t>
  </si>
  <si>
    <t>1200001137</t>
  </si>
  <si>
    <t>CÔNG TY TNHH SẢN XUẤT &amp; DỊCH VỤ BEST GOODS</t>
  </si>
  <si>
    <t>Phường Thuận Giao</t>
  </si>
  <si>
    <t>1500000258</t>
  </si>
  <si>
    <t>15/8 ĐƯỜNG THUẬN GIAO 02, KHU PHỐ BÌNH THUẬN 2, PHƯỜNG THUẬN GIAO, TP HỒ CHÍ MINH, VIỆT NAM</t>
  </si>
  <si>
    <t>10999776</t>
  </si>
  <si>
    <t>ĐẶNG VĂN CHỈ</t>
  </si>
  <si>
    <t>100000123</t>
  </si>
  <si>
    <t>MEP-12003 CLEAR BASE VN-18KP</t>
  </si>
  <si>
    <t>210033910</t>
  </si>
  <si>
    <t>1910052803</t>
  </si>
  <si>
    <t>1930052020</t>
  </si>
  <si>
    <t>1910052811</t>
  </si>
  <si>
    <t>1930052021</t>
  </si>
  <si>
    <t>1200000142</t>
  </si>
  <si>
    <t>CTY TNHH MỘT THÀNH VIÊN HAPPYLAND FURNITURE</t>
  </si>
  <si>
    <t>Phường Sài Gòn</t>
  </si>
  <si>
    <t>14-16-18 CHU MẠNH TRINH, PHƯỜNG SÀI GÒN, THÀNH PHỐ HỒ CHÍ MINH, VIỆT NAM</t>
  </si>
  <si>
    <t>210033924</t>
  </si>
  <si>
    <t>1910052816</t>
  </si>
  <si>
    <t>1930052022</t>
  </si>
  <si>
    <t>1910052817</t>
  </si>
  <si>
    <t>1930052023</t>
  </si>
  <si>
    <t>100001631</t>
  </si>
  <si>
    <t>EDP-551 ZINC PHOSPHATE (XÁM) VN-20KSP</t>
  </si>
  <si>
    <t>210033919</t>
  </si>
  <si>
    <t>1910052814</t>
  </si>
  <si>
    <t>1930052024</t>
  </si>
  <si>
    <t>170000479</t>
  </si>
  <si>
    <t>A-1000 BASE D-20LP</t>
  </si>
  <si>
    <t>210033921</t>
  </si>
  <si>
    <t>1910052815</t>
  </si>
  <si>
    <t>Nguyễn Bá Thắng</t>
  </si>
  <si>
    <t>10/33 ngõ 125 phố Thuỵ khuê, Phường Tây Hồ, Thành phố Hà Nội, Việt Nam</t>
  </si>
  <si>
    <t>1930052025</t>
  </si>
  <si>
    <t>1910052825</t>
  </si>
  <si>
    <t>100005487</t>
  </si>
  <si>
    <t>SST-11100 10 VC III VN-160KK</t>
  </si>
  <si>
    <t>1930052026</t>
  </si>
  <si>
    <t>210033923</t>
  </si>
  <si>
    <t>1910052826</t>
  </si>
  <si>
    <t>100004908</t>
  </si>
  <si>
    <t>SST-11100 BROWN AA VN-4K</t>
  </si>
  <si>
    <t>100000635</t>
  </si>
  <si>
    <t>SST-11100 C10 BLUE-4K</t>
  </si>
  <si>
    <t>1930052027</t>
  </si>
  <si>
    <t>210033872</t>
  </si>
  <si>
    <t>1910052809</t>
  </si>
  <si>
    <t>1930052028</t>
  </si>
  <si>
    <t>1910052819</t>
  </si>
  <si>
    <t>100002630</t>
  </si>
  <si>
    <t>SST-11100 C10 BLACK-16KJ</t>
  </si>
  <si>
    <t>1930052029</t>
  </si>
  <si>
    <t>210033834</t>
  </si>
  <si>
    <t>1910052820</t>
  </si>
  <si>
    <t>1930052030</t>
  </si>
  <si>
    <t>1910052821</t>
  </si>
  <si>
    <t>1930052031</t>
  </si>
  <si>
    <t>1910052822</t>
  </si>
  <si>
    <t>1930052032</t>
  </si>
  <si>
    <t>100000885</t>
  </si>
  <si>
    <t>THPU-71306 VN-200LK</t>
  </si>
  <si>
    <t>210033913</t>
  </si>
  <si>
    <t>1910052824</t>
  </si>
  <si>
    <t>1930052033</t>
  </si>
  <si>
    <t>100002790</t>
  </si>
  <si>
    <t>GZ-9127-N-BL-AK-4K</t>
  </si>
  <si>
    <t>210033904</t>
  </si>
  <si>
    <t>1910052818</t>
  </si>
  <si>
    <t>100002864</t>
  </si>
  <si>
    <t>GZ-9127-N-RE-AK-4K</t>
  </si>
  <si>
    <t>100000621</t>
  </si>
  <si>
    <t>SST-2111-BL-AK-4K</t>
  </si>
  <si>
    <t>100005015</t>
  </si>
  <si>
    <t>PUP-1521-697-AK-20KP</t>
  </si>
  <si>
    <t>11032201101</t>
  </si>
  <si>
    <t>1930052034</t>
  </si>
  <si>
    <t>1910052823</t>
  </si>
  <si>
    <t>1930052035</t>
  </si>
  <si>
    <t>100001807</t>
  </si>
  <si>
    <t>EL-501 TROPICAL TEAK 8012 VN-4L</t>
  </si>
  <si>
    <t>210033826</t>
  </si>
  <si>
    <t>1910052827</t>
  </si>
  <si>
    <t>1930052036</t>
  </si>
  <si>
    <t>1910052828</t>
  </si>
  <si>
    <t>1930052037</t>
  </si>
  <si>
    <t>100004320</t>
  </si>
  <si>
    <t>PUL-765 2K MỜ 50% VN-5KS</t>
  </si>
  <si>
    <t>210033925</t>
  </si>
  <si>
    <t>1910052829</t>
  </si>
  <si>
    <t>100002222</t>
  </si>
  <si>
    <t>PUP-752-2K WHITE VN-16KP</t>
  </si>
  <si>
    <t>22160101216</t>
  </si>
  <si>
    <t>1930052038</t>
  </si>
  <si>
    <t>1910052830</t>
  </si>
  <si>
    <t>1930052039</t>
  </si>
  <si>
    <t>1910052810</t>
  </si>
  <si>
    <t>1930052040</t>
  </si>
  <si>
    <t>100004033</t>
  </si>
  <si>
    <t>EDP-551 DARK GREY (XÁM XINGFA) VN-1KS</t>
  </si>
  <si>
    <t>210033915</t>
  </si>
  <si>
    <t>1910052834</t>
  </si>
  <si>
    <t>1930052041</t>
  </si>
  <si>
    <t>210033907</t>
  </si>
  <si>
    <t>1910052808</t>
  </si>
  <si>
    <t>1930052042</t>
  </si>
  <si>
    <t>1200001070</t>
  </si>
  <si>
    <t>HỘ KINH DOANH QUÂN THÚY</t>
  </si>
  <si>
    <t>H. Giồng Riềng</t>
  </si>
  <si>
    <t>SỐ 224/A TỔ 13 KHU PHỐ 6, XÃ GIỒNG RIỀNG, AN GIANG</t>
  </si>
  <si>
    <t>210033916</t>
  </si>
  <si>
    <t>1910052812</t>
  </si>
  <si>
    <t>1930052043</t>
  </si>
  <si>
    <t>210033928</t>
  </si>
  <si>
    <t>1910052833</t>
  </si>
  <si>
    <t>100001653</t>
  </si>
  <si>
    <t>EDP-551 BLACK (ĐEN) VN-5KS</t>
  </si>
  <si>
    <t>1930052044</t>
  </si>
  <si>
    <t>1200001060</t>
  </si>
  <si>
    <t>CÔNG TY TNHH XÂY DỰNG - NỘI THẤT TRUNG ĐÔ</t>
  </si>
  <si>
    <t>Q. Bình Tân</t>
  </si>
  <si>
    <t>61/14 ĐƯỜNG MIẾU BÌNH ĐÔNG, PHƯỜNG BÌNH HƯNG HÒA A, QUẬN BÌNH TÂN, THÀNH PHỐ HỒ CHÍ MINH, VIỆT NAM</t>
  </si>
  <si>
    <t>210033931</t>
  </si>
  <si>
    <t>1910052843</t>
  </si>
  <si>
    <t>1930052045</t>
  </si>
  <si>
    <t>210033938</t>
  </si>
  <si>
    <t>1910052844</t>
  </si>
  <si>
    <t>1930052046</t>
  </si>
  <si>
    <t>210033933</t>
  </si>
  <si>
    <t>1910052836</t>
  </si>
  <si>
    <t>100005393</t>
  </si>
  <si>
    <t>SST-11100 13 VC VN-160KK</t>
  </si>
  <si>
    <t>1930052047</t>
  </si>
  <si>
    <t>1910052846</t>
  </si>
  <si>
    <t>100005624</t>
  </si>
  <si>
    <t>SST-11100 CAM 14 VC III VN-160KK</t>
  </si>
  <si>
    <t>1930052048</t>
  </si>
  <si>
    <t>1910052838</t>
  </si>
  <si>
    <t>1930052049</t>
  </si>
  <si>
    <t>1910052839</t>
  </si>
  <si>
    <t>1930052050</t>
  </si>
  <si>
    <t>1910052840</t>
  </si>
  <si>
    <t>1930052051</t>
  </si>
  <si>
    <t>1910052841</t>
  </si>
  <si>
    <t>1930052052</t>
  </si>
  <si>
    <t>1910052842</t>
  </si>
  <si>
    <t>1930052053</t>
  </si>
  <si>
    <t>100000293</t>
  </si>
  <si>
    <t>PCL-31300 BLUE OR PASTE-4K</t>
  </si>
  <si>
    <t>210033896</t>
  </si>
  <si>
    <t>1910052859</t>
  </si>
  <si>
    <t>1930052054</t>
  </si>
  <si>
    <t>210033948</t>
  </si>
  <si>
    <t>1910052858</t>
  </si>
  <si>
    <t>1930052055</t>
  </si>
  <si>
    <t>100003617</t>
  </si>
  <si>
    <t>PUC-54205 AC WHITEGREY 05 MK VN-20KP</t>
  </si>
  <si>
    <t>1910052850</t>
  </si>
  <si>
    <t>1930052056</t>
  </si>
  <si>
    <t>210033929</t>
  </si>
  <si>
    <t>1910052837</t>
  </si>
  <si>
    <t>1930052057</t>
  </si>
  <si>
    <t>210033930</t>
  </si>
  <si>
    <t>1910052835</t>
  </si>
  <si>
    <t>1930052058</t>
  </si>
  <si>
    <t>210033937</t>
  </si>
  <si>
    <t>1910052849</t>
  </si>
  <si>
    <t>100000211</t>
  </si>
  <si>
    <t>PCA-31100 BLUE OG PASTE VN-4K</t>
  </si>
  <si>
    <t>1930052059</t>
  </si>
  <si>
    <t>210033939</t>
  </si>
  <si>
    <t>1910052845</t>
  </si>
  <si>
    <t>1930052060</t>
  </si>
  <si>
    <t>170001658</t>
  </si>
  <si>
    <t>A-1000 SUPER WHITE-9102-0.9L</t>
  </si>
  <si>
    <t>X9090101101</t>
  </si>
  <si>
    <t>1910052860</t>
  </si>
  <si>
    <t>1930052061</t>
  </si>
  <si>
    <t>1200000857</t>
  </si>
  <si>
    <t>CÔNG TY TNHH THƯƠNG MẠI VÀ DỊCH VỤ DANH PHÁT</t>
  </si>
  <si>
    <t>Phường Nam Nha Trang</t>
  </si>
  <si>
    <t>LÔ 20, Ô 20 KHU ĐÔ THỊ HÀ QUANG 2, PHƯỜNG NAM NHA TRANG, TỈNH KHÁNH HÒA, VIỆT NAM</t>
  </si>
  <si>
    <t>210033922</t>
  </si>
  <si>
    <t>1910052813</t>
  </si>
  <si>
    <t>100002801</t>
  </si>
  <si>
    <t>EDP-551 BLACK (ĐEN) VN-1KS</t>
  </si>
  <si>
    <t>1930052062</t>
  </si>
  <si>
    <t>210033927</t>
  </si>
  <si>
    <t>1910052831</t>
  </si>
  <si>
    <t>1930052063</t>
  </si>
  <si>
    <t>1200001125</t>
  </si>
  <si>
    <t>HỘ KINH DOANH TRẦN QUÝ</t>
  </si>
  <si>
    <t>Xã Phú Hồ</t>
  </si>
  <si>
    <t>THÔN QUẢNG XUYÊN, XÃ PHÚ HỒ, THÀNH PHỐ HUẾ, VIỆT NAM</t>
  </si>
  <si>
    <t>170000478</t>
  </si>
  <si>
    <t>A-1000 BASE D-2.5L</t>
  </si>
  <si>
    <t>210033940</t>
  </si>
  <si>
    <t>1910052848</t>
  </si>
  <si>
    <t>170000475</t>
  </si>
  <si>
    <t>A-1000 BASE B-2.5L</t>
  </si>
  <si>
    <t>1930052064</t>
  </si>
  <si>
    <t>210033773</t>
  </si>
  <si>
    <t>1910052866</t>
  </si>
  <si>
    <t>1930052065</t>
  </si>
  <si>
    <t>100003433</t>
  </si>
  <si>
    <t>11-261 AF PU THINNER-200LK</t>
  </si>
  <si>
    <t>210033781</t>
  </si>
  <si>
    <t>1910052867</t>
  </si>
  <si>
    <t>1930052066</t>
  </si>
  <si>
    <t>210033452</t>
  </si>
  <si>
    <t>1910052853</t>
  </si>
  <si>
    <t>1930052067</t>
  </si>
  <si>
    <t>1910052854</t>
  </si>
  <si>
    <t>1930052068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</si>
  <si>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</si>
  <si>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</si>
  <si>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</si>
  <si>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</si>
  <si>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210033945</t>
  </si>
  <si>
    <t>1910052861</t>
  </si>
  <si>
    <t>1930052069</t>
  </si>
  <si>
    <t>210033946</t>
  </si>
  <si>
    <t>1910052862</t>
  </si>
  <si>
    <t>1930052070</t>
  </si>
  <si>
    <t>100002791</t>
  </si>
  <si>
    <t>GZ-9127-N-YE-AK-4K</t>
  </si>
  <si>
    <t>1910052851</t>
  </si>
  <si>
    <t>100002431</t>
  </si>
  <si>
    <t>PUH-1561-33-AK-20KP</t>
  </si>
  <si>
    <t>100000525</t>
  </si>
  <si>
    <t>PUP-1521-570-AK-200KB</t>
  </si>
  <si>
    <t>1930052071</t>
  </si>
  <si>
    <t>1910052883</t>
  </si>
  <si>
    <t>1930052072</t>
  </si>
  <si>
    <t>1200000959</t>
  </si>
  <si>
    <t>CÔNG TY TNHH SẢN XUẤT THƯƠNG MẠI DỊCH VỤ GỖ HOÀNG PHÁT</t>
  </si>
  <si>
    <t>LÔ B2-59-60, ĐƯỜNG SỐ 2, KCN TÂN ĐÔNG HIỆP B, PHƯỜNG TÂN ĐÔNG HIỆP, THÀNH PHỐ HỒ CHÍ MINH, VIỆT NAM.</t>
  </si>
  <si>
    <t>100000878</t>
  </si>
  <si>
    <t>THNC-71100 SD VN-20LJ</t>
  </si>
  <si>
    <t>210033908</t>
  </si>
  <si>
    <t>1910052876</t>
  </si>
  <si>
    <t>100002353</t>
  </si>
  <si>
    <t>NCL-11329 LC CLEAR 05 VN-20LP</t>
  </si>
  <si>
    <t>1930052073</t>
  </si>
  <si>
    <t>1200001138</t>
  </si>
  <si>
    <t>CÔNG TY CỔ PHẦN I-STAR ANIMATRONIC</t>
  </si>
  <si>
    <t>1500000259</t>
  </si>
  <si>
    <t>THỬA ĐẤT SỐ 603, TỜ BẢN ĐỒ SỐ 09, KP. KHÁNH HỘI, P TÂN KHÁNH, TP HỒ CHÍ MINH, LIÊN HỆ: LAN THI</t>
  </si>
  <si>
    <t>100006575</t>
  </si>
  <si>
    <t>DW-500 NT 740 DELICIOUS -18LP</t>
  </si>
  <si>
    <t>210033935</t>
  </si>
  <si>
    <t>1910052892</t>
  </si>
  <si>
    <t>1930052074</t>
  </si>
  <si>
    <t>1910052880</t>
  </si>
  <si>
    <t>1930052075</t>
  </si>
  <si>
    <t>210033885</t>
  </si>
  <si>
    <t>1910052873</t>
  </si>
  <si>
    <t>1930052076</t>
  </si>
  <si>
    <t>100003491</t>
  </si>
  <si>
    <t>82-4169 UE AF URT WHITE A VN-16KP</t>
  </si>
  <si>
    <t>110312012A7</t>
  </si>
  <si>
    <t>210032230</t>
  </si>
  <si>
    <t>1910052855</t>
  </si>
  <si>
    <t>1930052077</t>
  </si>
  <si>
    <t>1910052856</t>
  </si>
  <si>
    <t>1930052078</t>
  </si>
  <si>
    <t>1910052857</t>
  </si>
  <si>
    <t>1930052079</t>
  </si>
  <si>
    <t>210033947</t>
  </si>
  <si>
    <t>1910052863</t>
  </si>
  <si>
    <t>100002648</t>
  </si>
  <si>
    <t>PUH-56303 NY VN-20KP</t>
  </si>
  <si>
    <t>11032001155</t>
  </si>
  <si>
    <t>1930052080</t>
  </si>
  <si>
    <t>100005137</t>
  </si>
  <si>
    <t>UVF-10501 LY VN-20KP</t>
  </si>
  <si>
    <t>11060301124</t>
  </si>
  <si>
    <t>210033724</t>
  </si>
  <si>
    <t>1910052868</t>
  </si>
  <si>
    <t>100005136</t>
  </si>
  <si>
    <t>UVSS-40502 LY VN-20KP</t>
  </si>
  <si>
    <t>11060502146</t>
  </si>
  <si>
    <t>1930052081</t>
  </si>
  <si>
    <t>210033917</t>
  </si>
  <si>
    <t>1910052882</t>
  </si>
  <si>
    <t>100001068</t>
  </si>
  <si>
    <t>PFT-253 AVOCADO VN-20KSP</t>
  </si>
  <si>
    <t>56020201E02</t>
  </si>
  <si>
    <t>100006581</t>
  </si>
  <si>
    <t>PFT-253 QUARTZ GREY RAL 7039 VN-20KSP</t>
  </si>
  <si>
    <t>1930052082</t>
  </si>
  <si>
    <t>210033956</t>
  </si>
  <si>
    <t>1910052879</t>
  </si>
  <si>
    <t>1930052083</t>
  </si>
  <si>
    <t>210033949</t>
  </si>
  <si>
    <t>1910052864</t>
  </si>
  <si>
    <t>1930052084</t>
  </si>
  <si>
    <t>100004010</t>
  </si>
  <si>
    <t>UPR-960 BASE B VN-20KP</t>
  </si>
  <si>
    <t>210033951</t>
  </si>
  <si>
    <t>1910052865</t>
  </si>
  <si>
    <t>1930052085</t>
  </si>
  <si>
    <t>210033950</t>
  </si>
  <si>
    <t>1910052870</t>
  </si>
  <si>
    <t>100001816</t>
  </si>
  <si>
    <t>EL-501 NATURAL DOF 0014 VN-1L</t>
  </si>
  <si>
    <t>100001796</t>
  </si>
  <si>
    <t>EL-501 SUNSET YELLOW 2011 VN-1L</t>
  </si>
  <si>
    <t>100004284</t>
  </si>
  <si>
    <t>PUC-756 NY TRẮNG MỜ 100% VN-16KP</t>
  </si>
  <si>
    <t>100004291</t>
  </si>
  <si>
    <t>PUL-745 2K MỜ 100% VN-16KP</t>
  </si>
  <si>
    <t>100004290</t>
  </si>
  <si>
    <t>PUL-745 2K MỜ 70% VN-16KP</t>
  </si>
  <si>
    <t>1930052086</t>
  </si>
  <si>
    <t>210033953</t>
  </si>
  <si>
    <t>1910052874</t>
  </si>
  <si>
    <t>170000833</t>
  </si>
  <si>
    <t>PUL-765-2K DOF BASE D-5LS</t>
  </si>
  <si>
    <t>100001790</t>
  </si>
  <si>
    <t>EL-501 CLASSIC TEAK 8305 VN-1L</t>
  </si>
  <si>
    <t>1930052087</t>
  </si>
  <si>
    <t>1910052871</t>
  </si>
  <si>
    <t>1930052088</t>
  </si>
  <si>
    <t>1910052875</t>
  </si>
  <si>
    <t>1930052089</t>
  </si>
  <si>
    <t>1910052885</t>
  </si>
  <si>
    <t>1930052090</t>
  </si>
  <si>
    <t>100003970</t>
  </si>
  <si>
    <t>DECORSHIELD DW-500 WHITE VN-5L</t>
  </si>
  <si>
    <t>|Discount Regular (15.00 %) |Discount Promo 2 (6.00 %)</t>
  </si>
  <si>
    <t>210033962</t>
  </si>
  <si>
    <t>1910052886</t>
  </si>
  <si>
    <t>1930052091</t>
  </si>
  <si>
    <t>210033954</t>
  </si>
  <si>
    <t>1910052877</t>
  </si>
  <si>
    <t>1930052092</t>
  </si>
  <si>
    <t>210033955</t>
  </si>
  <si>
    <t>1910052878</t>
  </si>
  <si>
    <t>1930052093</t>
  </si>
  <si>
    <t>210033881</t>
  </si>
  <si>
    <t>1910052852</t>
  </si>
  <si>
    <t>1930052094</t>
  </si>
  <si>
    <t>1910052881</t>
  </si>
  <si>
    <t>170000971</t>
  </si>
  <si>
    <t>TENNOKOTE 1000 WA BASE A-5KS</t>
  </si>
  <si>
    <t>1930052095</t>
  </si>
  <si>
    <t>1200001139</t>
  </si>
  <si>
    <t>CÔNG TY TNHH WONDER STEEL</t>
  </si>
  <si>
    <t>VĂN PHÒNG 02, TẦNG 08, TÒA NHÀ PEARL PLAZA, 561A ĐIỆN BIÊN PHỦ, PHƯỜNG THẠNH MỸ TÂY, TP. HỒ CHÍ MINH</t>
  </si>
  <si>
    <t>100004034</t>
  </si>
  <si>
    <t>EDP-551 DARK GREY (XÁM XINGFA) VN-5KS</t>
  </si>
  <si>
    <t>210033961</t>
  </si>
  <si>
    <t>1910052884</t>
  </si>
  <si>
    <t>100004379</t>
  </si>
  <si>
    <t>2K ACRYLIC ĐEN MỜ VN-5KS</t>
  </si>
  <si>
    <t>1930052096</t>
  </si>
  <si>
    <t>1200000920</t>
  </si>
  <si>
    <t>CÔNG TY TNHH DIỆP MỘC HOME</t>
  </si>
  <si>
    <t>SỐ 121 LÊ THIỆT, KHU PHỐ 18, PHƯỜNG PHÚ THỌ HÒA, THÀNH PHỐ HỒ CHÍ MINH, VIỆT NAM</t>
  </si>
  <si>
    <t>170001648</t>
  </si>
  <si>
    <t>PROPAN HWO-558-1L</t>
  </si>
  <si>
    <t>X4140101101</t>
  </si>
  <si>
    <t>210033936</t>
  </si>
  <si>
    <t>1910052872</t>
  </si>
  <si>
    <t>1930052097</t>
  </si>
  <si>
    <t>100006352</t>
  </si>
  <si>
    <t>GZ-12700 N STRATON KD VN-18KP</t>
  </si>
  <si>
    <t>210033371</t>
  </si>
  <si>
    <t>1910052894</t>
  </si>
  <si>
    <t>1930052098</t>
  </si>
  <si>
    <t>1910052895</t>
  </si>
  <si>
    <t>1930052099</t>
  </si>
  <si>
    <t>1910052896</t>
  </si>
  <si>
    <t>1930052100</t>
  </si>
  <si>
    <t>1910052897</t>
  </si>
  <si>
    <t>1930052101</t>
  </si>
  <si>
    <t>1910052898</t>
  </si>
  <si>
    <t>1930052102</t>
  </si>
  <si>
    <t>210033918</t>
  </si>
  <si>
    <t>1910052899</t>
  </si>
  <si>
    <t>1930052103</t>
  </si>
  <si>
    <t>210033964</t>
  </si>
  <si>
    <t>1910052893</t>
  </si>
  <si>
    <t>1930052104</t>
  </si>
  <si>
    <t>3</t>
  </si>
  <si>
    <t>1200001051</t>
  </si>
  <si>
    <t>CÔNG TY TNHH VINAWOOD</t>
  </si>
  <si>
    <t>Q. Thủ Đức</t>
  </si>
  <si>
    <t>LÔ 38,39,40,41,42,43, ĐƯỜNG SỐ 2, KCX LINH TRUNG II, PHƯỜNG TAM BÌNH, THÀNH PHỐ HỒ CHÍ MINH</t>
  </si>
  <si>
    <t>100005860</t>
  </si>
  <si>
    <t>UVL-50101 CLEAR 60 VN-20KP</t>
  </si>
  <si>
    <t>11060701101</t>
  </si>
  <si>
    <t>210033860</t>
  </si>
  <si>
    <t>1910052890</t>
  </si>
  <si>
    <t>100001973</t>
  </si>
  <si>
    <t>UVL-50101 CLEAR 90 VN-20KP</t>
  </si>
  <si>
    <t>100005989</t>
  </si>
  <si>
    <t>UVL-50101 SR CLEAR 10 VN-20KP</t>
  </si>
  <si>
    <t>100006007</t>
  </si>
  <si>
    <t>UVL-50101 SR CLEAR 20 VN-20KP</t>
  </si>
  <si>
    <t>1930052105</t>
  </si>
  <si>
    <t>100005221</t>
  </si>
  <si>
    <t>PRCC-10351 WBC POLYESTER TOA-250KK</t>
  </si>
  <si>
    <t>12010102312</t>
  </si>
  <si>
    <t>210033926</t>
  </si>
  <si>
    <t>1910052900</t>
  </si>
  <si>
    <t>1930052106</t>
  </si>
  <si>
    <t>1910052901</t>
  </si>
  <si>
    <t>1930052107</t>
  </si>
  <si>
    <t>210033774</t>
  </si>
  <si>
    <t>1910052932</t>
  </si>
  <si>
    <t>1930052108</t>
  </si>
  <si>
    <t>210033968</t>
  </si>
  <si>
    <t>1910052913</t>
  </si>
  <si>
    <t>1930052109</t>
  </si>
  <si>
    <t>100001739</t>
  </si>
  <si>
    <t>PUSS-740-2K VT VN-4K</t>
  </si>
  <si>
    <t>210033746</t>
  </si>
  <si>
    <t>1910052887</t>
  </si>
  <si>
    <t>1930052110</t>
  </si>
  <si>
    <t>1910052888</t>
  </si>
  <si>
    <t>1930052111</t>
  </si>
  <si>
    <t>1910052904</t>
  </si>
  <si>
    <t>1930052112</t>
  </si>
  <si>
    <t>210033965</t>
  </si>
  <si>
    <t>1910052902</t>
  </si>
  <si>
    <t>100001800</t>
  </si>
  <si>
    <t>EL-501 CARAMEL 8001 VN-1L</t>
  </si>
  <si>
    <t>1930052113</t>
  </si>
  <si>
    <t>1200000882</t>
  </si>
  <si>
    <t>CÔNG TY TNHH THƯƠNG MẠI DỊCH VỤ XÂY DỰNG VÀ CÔNG NGHỆ SÀN SƠN PHÁT</t>
  </si>
  <si>
    <t>Phường An Khánh</t>
  </si>
  <si>
    <t>SỐ 8 ĐƯỜNG 66, PHƯỜNG AN KHÁNH, THÀNH PHỐ HỒ CHÍ MINH, VIỆT NAM</t>
  </si>
  <si>
    <t>210033943</t>
  </si>
  <si>
    <t>1910052914</t>
  </si>
  <si>
    <t>1930052114</t>
  </si>
  <si>
    <t>1910052891</t>
  </si>
  <si>
    <t>1930052115</t>
  </si>
  <si>
    <t>1200001059</t>
  </si>
  <si>
    <t>CÔNG TY CỔ PHẦN XÂY DỰNG - THƯƠNG MẠI - NỘI THẤT HH</t>
  </si>
  <si>
    <t>1500000227</t>
  </si>
  <si>
    <t>206/12 Đ. TAM BÌNH, TAM PHÚ, THỦ ĐỨC, TP HỒ CHÍ MINH</t>
  </si>
  <si>
    <t>210033972</t>
  </si>
  <si>
    <t>1910052915</t>
  </si>
  <si>
    <t>100000236</t>
  </si>
  <si>
    <t>PCA-31100 RED OB 35 PASTE VN-4K</t>
  </si>
  <si>
    <t>100000275</t>
  </si>
  <si>
    <t>PCA-31100 YELLOW HR PASTE VN-4K</t>
  </si>
  <si>
    <t>POLYFLOOR</t>
  </si>
  <si>
    <t>POLYFLOOR EPOXY</t>
  </si>
  <si>
    <t>PU MULTIPURPOSE</t>
  </si>
  <si>
    <t>PROPAN MP PU ACR RMX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</si>
</sst>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* #,##0\ _₫_-;\-* #,##0\ _₫_-;_-* &quot;-&quot;??\ _₫_-;_-@_-"/>
    <numFmt numFmtId="165" formatCode="_-* #,##0.000000\ _₫_-;\-* #,##0.000000\ _₫_-;_-* &quot;-&quot;??\ _₫_-;_-@_-"/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1" applyNumberFormat="1" applyFont="1" applyFill="1" applyBorder="1" applyAlignment="1">
      <alignment vertical="top" wrapText="1"/>
    </xf>
    <xf numFmtId="164" fontId="0" fillId="2" borderId="1" xfId="1" applyNumberFormat="1" applyFont="1" applyFill="1" applyBorder="1" applyAlignment="1">
      <alignment vertical="top"/>
    </xf>
    <xf numFmtId="165" fontId="0" fillId="2" borderId="1" xfId="1" applyNumberFormat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1" fontId="0" fillId="3" borderId="1" xfId="0" applyNumberFormat="1" applyFill="1" applyBorder="1" applyAlignment="1">
      <alignment vertical="top"/>
    </xf>
    <xf numFmtId="0" fontId="0" fillId="3" borderId="0" xfId="0" applyFill="1"/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4" fontId="0" fillId="2" borderId="1" xfId="0" applyNumberFormat="1" applyFill="1" applyBorder="1" applyAlignment="1">
      <alignment vertical="top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ranch_di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"/>
      <sheetName val="month"/>
      <sheetName val="Dist"/>
    </sheetNames>
    <sheetDataSet>
      <sheetData sheetId="0">
        <row r="1">
          <cell r="A1" t="str">
            <v>Salesman Name</v>
          </cell>
          <cell r="B1" t="str">
            <v>Branch</v>
          </cell>
        </row>
        <row r="2">
          <cell r="A2" t="str">
            <v>ALI SUMANTO</v>
          </cell>
          <cell r="B2" t="str">
            <v>INDUSTRY</v>
          </cell>
        </row>
        <row r="3">
          <cell r="A3" t="str">
            <v>ĐẶNG VĂN CHỈ</v>
          </cell>
          <cell r="B3" t="str">
            <v>INDUSTRY</v>
          </cell>
        </row>
        <row r="4">
          <cell r="A4" t="str">
            <v>DIỆP HOÀI ĐỨC</v>
          </cell>
          <cell r="B4" t="str">
            <v>HO CHI MINH</v>
          </cell>
        </row>
        <row r="5">
          <cell r="A5" t="str">
            <v>ĐỖ PHƯỚC THÀNH</v>
          </cell>
          <cell r="B5" t="str">
            <v>INDUSTRY</v>
          </cell>
        </row>
        <row r="6">
          <cell r="A6" t="str">
            <v>LÊ VĂN TẤN</v>
          </cell>
          <cell r="B6" t="str">
            <v>HO CHI MINH</v>
          </cell>
        </row>
        <row r="7">
          <cell r="A7" t="str">
            <v>LIONG YAM CHYUAN</v>
          </cell>
          <cell r="B7" t="str">
            <v>INDUSTRY</v>
          </cell>
        </row>
        <row r="8">
          <cell r="A8" t="str">
            <v>NGUYỄN HỮU TUỆ</v>
          </cell>
          <cell r="B8" t="str">
            <v>INDUSTRY</v>
          </cell>
        </row>
        <row r="9">
          <cell r="A9" t="str">
            <v>NGUYỄN VĂN THÂM</v>
          </cell>
          <cell r="B9" t="str">
            <v>INDUSTRY</v>
          </cell>
        </row>
        <row r="10">
          <cell r="A10" t="str">
            <v>PHẠM BÍCH THỦY</v>
          </cell>
          <cell r="B10" t="str">
            <v>HO CHI MINH</v>
          </cell>
        </row>
        <row r="11">
          <cell r="A11" t="str">
            <v>PHẠM MINH SĨ</v>
          </cell>
          <cell r="B11" t="str">
            <v>HO CHI MINH</v>
          </cell>
        </row>
        <row r="12">
          <cell r="A12" t="str">
            <v>PHAN MINH TUẤN</v>
          </cell>
          <cell r="B12" t="str">
            <v>INDUSTRY</v>
          </cell>
        </row>
        <row r="13">
          <cell r="A13" t="str">
            <v>TẠ DUY HÀ</v>
          </cell>
          <cell r="B13" t="str">
            <v>HO CHI MINH</v>
          </cell>
        </row>
        <row r="14">
          <cell r="A14" t="str">
            <v>TẠ KHẢI MINH</v>
          </cell>
          <cell r="B14" t="str">
            <v>INDUSTRY</v>
          </cell>
        </row>
        <row r="15">
          <cell r="A15" t="str">
            <v>TRẦN HOÀI BẢO</v>
          </cell>
          <cell r="B15" t="str">
            <v>PROJECT</v>
          </cell>
        </row>
        <row r="16">
          <cell r="A16" t="str">
            <v>TRẦN TẤN HÙNG</v>
          </cell>
          <cell r="B16" t="str">
            <v>INDUSTRY</v>
          </cell>
        </row>
        <row r="17">
          <cell r="A17" t="str">
            <v>TRẦN THỊ TUYẾT VÂN</v>
          </cell>
          <cell r="B17" t="str">
            <v>HO CHI MINH</v>
          </cell>
        </row>
        <row r="18">
          <cell r="A18" t="str">
            <v>VÕ THANH TUẤN</v>
          </cell>
          <cell r="B18" t="str">
            <v>DANANG</v>
          </cell>
        </row>
        <row r="19">
          <cell r="A19" t="str">
            <v>VŨ ANH HAI</v>
          </cell>
          <cell r="B19" t="str">
            <v>BD DN NORTHERN</v>
          </cell>
        </row>
        <row r="20">
          <cell r="A20" t="str">
            <v>SHIEW CHEE HENG</v>
          </cell>
          <cell r="B20" t="str">
            <v>INDUSTRY</v>
          </cell>
        </row>
      </sheetData>
      <sheetData sheetId="1">
        <row r="1">
          <cell r="A1">
            <v>1</v>
          </cell>
          <cell r="B1" t="str">
            <v>Januari</v>
          </cell>
        </row>
        <row r="2">
          <cell r="A2">
            <v>2</v>
          </cell>
          <cell r="B2" t="str">
            <v>Februari</v>
          </cell>
        </row>
        <row r="3">
          <cell r="A3">
            <v>3</v>
          </cell>
          <cell r="B3" t="str">
            <v>Maret</v>
          </cell>
        </row>
        <row r="4">
          <cell r="A4">
            <v>4</v>
          </cell>
          <cell r="B4" t="str">
            <v>April</v>
          </cell>
        </row>
        <row r="5">
          <cell r="A5">
            <v>5</v>
          </cell>
          <cell r="B5" t="str">
            <v>Mei</v>
          </cell>
        </row>
        <row r="6">
          <cell r="A6">
            <v>6</v>
          </cell>
          <cell r="B6" t="str">
            <v>Juni</v>
          </cell>
        </row>
        <row r="7">
          <cell r="A7">
            <v>7</v>
          </cell>
          <cell r="B7" t="str">
            <v>Juli</v>
          </cell>
        </row>
        <row r="8">
          <cell r="A8">
            <v>8</v>
          </cell>
          <cell r="B8" t="str">
            <v>Agustus</v>
          </cell>
        </row>
        <row r="9">
          <cell r="A9">
            <v>9</v>
          </cell>
          <cell r="B9" t="str">
            <v>September</v>
          </cell>
        </row>
        <row r="10">
          <cell r="A10">
            <v>10</v>
          </cell>
          <cell r="B10" t="str">
            <v>Oktober</v>
          </cell>
        </row>
        <row r="11">
          <cell r="A11">
            <v>11</v>
          </cell>
          <cell r="B11" t="str">
            <v>November</v>
          </cell>
        </row>
        <row r="12">
          <cell r="A12">
            <v>12</v>
          </cell>
          <cell r="B12" t="str">
            <v>Desember</v>
          </cell>
        </row>
      </sheetData>
      <sheetData sheetId="2">
        <row r="1">
          <cell r="A1">
            <v>11</v>
          </cell>
          <cell r="B1" t="str">
            <v>Industry</v>
          </cell>
        </row>
        <row r="2">
          <cell r="A2">
            <v>13</v>
          </cell>
          <cell r="B2" t="str">
            <v>Retail</v>
          </cell>
        </row>
        <row r="3">
          <cell r="A3">
            <v>15</v>
          </cell>
          <cell r="B3" t="str">
            <v>Project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Material Code</v>
          </cell>
          <cell r="D1" t="str">
            <v>Mat. Description</v>
          </cell>
          <cell r="E1" t="str">
            <v>Mat. Type</v>
          </cell>
          <cell r="F1" t="str">
            <v>UOM</v>
          </cell>
          <cell r="G1" t="str">
            <v>PH 1</v>
          </cell>
          <cell r="H1" t="str">
            <v>Division</v>
          </cell>
          <cell r="I1" t="str">
            <v>PH 2</v>
          </cell>
          <cell r="J1" t="str">
            <v>Business</v>
          </cell>
          <cell r="K1" t="str">
            <v>PH 3</v>
          </cell>
          <cell r="L1" t="str">
            <v>Sub Business</v>
          </cell>
          <cell r="M1" t="str">
            <v>PH 4</v>
          </cell>
          <cell r="N1" t="str">
            <v>Product Group</v>
          </cell>
        </row>
        <row r="2">
          <cell r="C2" t="str">
            <v>100000000</v>
          </cell>
          <cell r="D2" t="str">
            <v>11-26 WIPPING THINNER LC VN-200LK</v>
          </cell>
          <cell r="E2" t="str">
            <v>ZFGD</v>
          </cell>
          <cell r="F2" t="str">
            <v>PC</v>
          </cell>
          <cell r="G2" t="str">
            <v>1</v>
          </cell>
          <cell r="H2" t="str">
            <v>INDUSTRY</v>
          </cell>
          <cell r="I2" t="str">
            <v>14</v>
          </cell>
          <cell r="J2" t="str">
            <v>THINNER</v>
          </cell>
          <cell r="K2" t="str">
            <v>1411</v>
          </cell>
          <cell r="L2" t="str">
            <v>THINNER PU</v>
          </cell>
          <cell r="M2" t="str">
            <v>141102</v>
          </cell>
          <cell r="N2" t="str">
            <v>UNION THINNER</v>
          </cell>
        </row>
        <row r="3">
          <cell r="C3" t="str">
            <v>100000001</v>
          </cell>
          <cell r="D3" t="str">
            <v>11-26 WIPPING THINNER LC VN-20LJ</v>
          </cell>
          <cell r="E3" t="str">
            <v>ZFGD</v>
          </cell>
          <cell r="F3" t="str">
            <v>PC</v>
          </cell>
          <cell r="G3" t="str">
            <v>1</v>
          </cell>
          <cell r="H3" t="str">
            <v>INDUSTRY</v>
          </cell>
          <cell r="I3" t="str">
            <v>14</v>
          </cell>
          <cell r="J3" t="str">
            <v>THINNER</v>
          </cell>
          <cell r="K3" t="str">
            <v>1411</v>
          </cell>
          <cell r="L3" t="str">
            <v>THINNER PU</v>
          </cell>
          <cell r="M3" t="str">
            <v>141102</v>
          </cell>
          <cell r="N3" t="str">
            <v>UNION THINNER</v>
          </cell>
        </row>
        <row r="4">
          <cell r="C4" t="str">
            <v>100000002</v>
          </cell>
          <cell r="D4" t="str">
            <v>11-260 AF PU THINNER-200LK</v>
          </cell>
          <cell r="E4" t="str">
            <v>ZFGD</v>
          </cell>
          <cell r="F4" t="str">
            <v>PC</v>
          </cell>
          <cell r="G4" t="str">
            <v>1</v>
          </cell>
          <cell r="H4" t="str">
            <v>INDUSTRY</v>
          </cell>
          <cell r="I4" t="str">
            <v>14</v>
          </cell>
          <cell r="J4" t="str">
            <v>THINNER</v>
          </cell>
          <cell r="K4" t="str">
            <v>1411</v>
          </cell>
          <cell r="L4" t="str">
            <v>THINNER PU</v>
          </cell>
          <cell r="M4" t="str">
            <v>141102</v>
          </cell>
          <cell r="N4" t="str">
            <v>UNION THINNER</v>
          </cell>
        </row>
        <row r="5">
          <cell r="C5" t="str">
            <v>100000003</v>
          </cell>
          <cell r="D5" t="str">
            <v>11-260 AF PU THINNER-20LJ</v>
          </cell>
          <cell r="E5" t="str">
            <v>ZFGD</v>
          </cell>
          <cell r="F5" t="str">
            <v>PC</v>
          </cell>
          <cell r="G5" t="str">
            <v>1</v>
          </cell>
          <cell r="H5" t="str">
            <v>INDUSTRY</v>
          </cell>
          <cell r="I5" t="str">
            <v>14</v>
          </cell>
          <cell r="J5" t="str">
            <v>THINNER</v>
          </cell>
          <cell r="K5" t="str">
            <v>1411</v>
          </cell>
          <cell r="L5" t="str">
            <v>THINNER PU</v>
          </cell>
          <cell r="M5" t="str">
            <v>141102</v>
          </cell>
          <cell r="N5" t="str">
            <v>UNION THINNER</v>
          </cell>
        </row>
        <row r="6">
          <cell r="C6" t="str">
            <v>100000004</v>
          </cell>
          <cell r="D6" t="str">
            <v>11-260 AF PU THINNER HD-20LJ</v>
          </cell>
          <cell r="E6" t="str">
            <v>ZFGD</v>
          </cell>
          <cell r="F6" t="str">
            <v>PC</v>
          </cell>
          <cell r="G6" t="str">
            <v>1</v>
          </cell>
          <cell r="H6" t="str">
            <v>INDUSTRY</v>
          </cell>
          <cell r="I6" t="str">
            <v>14</v>
          </cell>
          <cell r="J6" t="str">
            <v>THINNER</v>
          </cell>
          <cell r="K6" t="str">
            <v>1411</v>
          </cell>
          <cell r="L6" t="str">
            <v>THINNER PU</v>
          </cell>
          <cell r="M6" t="str">
            <v>141102</v>
          </cell>
          <cell r="N6" t="str">
            <v>UNION THINNER</v>
          </cell>
        </row>
        <row r="7">
          <cell r="C7" t="str">
            <v>100000005</v>
          </cell>
          <cell r="D7" t="str">
            <v>16-1015 URT FLAT A ST 01-16KP</v>
          </cell>
          <cell r="E7" t="str">
            <v>ZFGD</v>
          </cell>
          <cell r="F7" t="str">
            <v>PC</v>
          </cell>
          <cell r="G7" t="str">
            <v>1</v>
          </cell>
          <cell r="H7" t="str">
            <v>INDUSTRY</v>
          </cell>
          <cell r="I7" t="str">
            <v>11</v>
          </cell>
          <cell r="J7" t="str">
            <v>WOOD COATINGS</v>
          </cell>
          <cell r="K7" t="str">
            <v>1103</v>
          </cell>
          <cell r="L7" t="str">
            <v>PU</v>
          </cell>
          <cell r="M7" t="str">
            <v>110312</v>
          </cell>
          <cell r="N7" t="str">
            <v>UNION TOP COAT</v>
          </cell>
        </row>
        <row r="8">
          <cell r="C8" t="str">
            <v>100000006</v>
          </cell>
          <cell r="D8" t="str">
            <v>16-1017 URT FLAT A ST 01-16KP</v>
          </cell>
          <cell r="E8" t="str">
            <v>ZFGD</v>
          </cell>
          <cell r="F8" t="str">
            <v>PC</v>
          </cell>
          <cell r="G8" t="str">
            <v>1</v>
          </cell>
          <cell r="H8" t="str">
            <v>INDUSTRY</v>
          </cell>
          <cell r="I8" t="str">
            <v>11</v>
          </cell>
          <cell r="J8" t="str">
            <v>WOOD COATINGS</v>
          </cell>
          <cell r="K8" t="str">
            <v>1103</v>
          </cell>
          <cell r="L8" t="str">
            <v>PU</v>
          </cell>
          <cell r="M8" t="str">
            <v>110312</v>
          </cell>
          <cell r="N8" t="str">
            <v>UNION TOP COAT</v>
          </cell>
        </row>
        <row r="9">
          <cell r="C9" t="str">
            <v>100000007</v>
          </cell>
          <cell r="D9" t="str">
            <v>16-1019 URT FLAT A 5% ST-16KP</v>
          </cell>
          <cell r="E9" t="str">
            <v>ZFGD</v>
          </cell>
          <cell r="F9" t="str">
            <v>PC</v>
          </cell>
          <cell r="G9" t="str">
            <v>1</v>
          </cell>
          <cell r="H9" t="str">
            <v>INDUSTRY</v>
          </cell>
          <cell r="I9" t="str">
            <v>11</v>
          </cell>
          <cell r="J9" t="str">
            <v>WOOD COATINGS</v>
          </cell>
          <cell r="K9" t="str">
            <v>1103</v>
          </cell>
          <cell r="L9" t="str">
            <v>PU</v>
          </cell>
          <cell r="M9" t="str">
            <v>110312</v>
          </cell>
          <cell r="N9" t="str">
            <v>UNION TOP COAT</v>
          </cell>
        </row>
        <row r="10">
          <cell r="C10" t="str">
            <v>100000008</v>
          </cell>
          <cell r="D10" t="str">
            <v>64-56 MICRO FILLER 12270 TT VN-20KP</v>
          </cell>
          <cell r="E10" t="str">
            <v>ZFGD</v>
          </cell>
          <cell r="F10" t="str">
            <v>PC</v>
          </cell>
          <cell r="G10" t="str">
            <v>1</v>
          </cell>
          <cell r="H10" t="str">
            <v>INDUSTRY</v>
          </cell>
          <cell r="I10" t="str">
            <v>11</v>
          </cell>
          <cell r="J10" t="str">
            <v>WOOD COATINGS</v>
          </cell>
          <cell r="K10" t="str">
            <v>1103</v>
          </cell>
          <cell r="L10" t="str">
            <v>PU</v>
          </cell>
          <cell r="M10" t="str">
            <v>110305</v>
          </cell>
          <cell r="N10" t="str">
            <v>UNION FILLER</v>
          </cell>
        </row>
        <row r="11">
          <cell r="C11" t="str">
            <v>100000009</v>
          </cell>
          <cell r="D11" t="str">
            <v>64-56 MICRO FILLER DH PF VN-20KP</v>
          </cell>
          <cell r="E11" t="str">
            <v>ZFGD</v>
          </cell>
          <cell r="F11" t="str">
            <v>PC</v>
          </cell>
          <cell r="G11" t="str">
            <v>1</v>
          </cell>
          <cell r="H11" t="str">
            <v>INDUSTRY</v>
          </cell>
          <cell r="I11" t="str">
            <v>11</v>
          </cell>
          <cell r="J11" t="str">
            <v>WOOD COATINGS</v>
          </cell>
          <cell r="K11" t="str">
            <v>1103</v>
          </cell>
          <cell r="L11" t="str">
            <v>PU</v>
          </cell>
          <cell r="M11" t="str">
            <v>110305</v>
          </cell>
          <cell r="N11" t="str">
            <v>UNION FILLER</v>
          </cell>
        </row>
        <row r="12">
          <cell r="C12" t="str">
            <v>100000010</v>
          </cell>
          <cell r="D12" t="str">
            <v>64-56 MICRO FILLER OLIVER 108 TT VN-20KP</v>
          </cell>
          <cell r="E12" t="str">
            <v>ZFGD</v>
          </cell>
          <cell r="F12" t="str">
            <v>PC</v>
          </cell>
          <cell r="G12" t="str">
            <v>1</v>
          </cell>
          <cell r="H12" t="str">
            <v>INDUSTRY</v>
          </cell>
          <cell r="I12" t="str">
            <v>11</v>
          </cell>
          <cell r="J12" t="str">
            <v>WOOD COATINGS</v>
          </cell>
          <cell r="K12" t="str">
            <v>1103</v>
          </cell>
          <cell r="L12" t="str">
            <v>PU</v>
          </cell>
          <cell r="M12" t="str">
            <v>110305</v>
          </cell>
          <cell r="N12" t="str">
            <v>UNION FILLER</v>
          </cell>
        </row>
        <row r="13">
          <cell r="C13" t="str">
            <v>100000011</v>
          </cell>
          <cell r="D13" t="str">
            <v>64-56 MICRO FILLER OLIVER 506 TT VN-20KP</v>
          </cell>
          <cell r="E13" t="str">
            <v>ZFGD</v>
          </cell>
          <cell r="F13" t="str">
            <v>PC</v>
          </cell>
          <cell r="G13" t="str">
            <v>1</v>
          </cell>
          <cell r="H13" t="str">
            <v>INDUSTRY</v>
          </cell>
          <cell r="I13" t="str">
            <v>11</v>
          </cell>
          <cell r="J13" t="str">
            <v>WOOD COATINGS</v>
          </cell>
          <cell r="K13" t="str">
            <v>1103</v>
          </cell>
          <cell r="L13" t="str">
            <v>PU</v>
          </cell>
          <cell r="M13" t="str">
            <v>110305</v>
          </cell>
          <cell r="N13" t="str">
            <v>UNION FILLER</v>
          </cell>
        </row>
        <row r="14">
          <cell r="C14" t="str">
            <v>100000012</v>
          </cell>
          <cell r="D14" t="str">
            <v>64-56 MICRO FILLER 01 VI VN-20KP</v>
          </cell>
          <cell r="E14" t="str">
            <v>ZFGD</v>
          </cell>
          <cell r="F14" t="str">
            <v>PC</v>
          </cell>
          <cell r="G14" t="str">
            <v>1</v>
          </cell>
          <cell r="H14" t="str">
            <v>INDUSTRY</v>
          </cell>
          <cell r="I14" t="str">
            <v>11</v>
          </cell>
          <cell r="J14" t="str">
            <v>WOOD COATINGS</v>
          </cell>
          <cell r="K14" t="str">
            <v>1103</v>
          </cell>
          <cell r="L14" t="str">
            <v>PU</v>
          </cell>
          <cell r="M14" t="str">
            <v>110305</v>
          </cell>
          <cell r="N14" t="str">
            <v>UNION FILLER</v>
          </cell>
        </row>
        <row r="15">
          <cell r="C15" t="str">
            <v>100000013</v>
          </cell>
          <cell r="D15" t="str">
            <v>64-56 MICRO FILLER 16 ST VN-20KP</v>
          </cell>
          <cell r="E15" t="str">
            <v>ZFGD</v>
          </cell>
          <cell r="F15" t="str">
            <v>PC</v>
          </cell>
          <cell r="G15" t="str">
            <v>1</v>
          </cell>
          <cell r="H15" t="str">
            <v>INDUSTRY</v>
          </cell>
          <cell r="I15" t="str">
            <v>11</v>
          </cell>
          <cell r="J15" t="str">
            <v>WOOD COATINGS</v>
          </cell>
          <cell r="K15" t="str">
            <v>1103</v>
          </cell>
          <cell r="L15" t="str">
            <v>PU</v>
          </cell>
          <cell r="M15" t="str">
            <v>110305</v>
          </cell>
          <cell r="N15" t="str">
            <v>UNION FILLER</v>
          </cell>
        </row>
        <row r="16">
          <cell r="C16" t="str">
            <v>100000014</v>
          </cell>
          <cell r="D16" t="str">
            <v>64-56 MICRO FILLER 28 F1 VN-20KP</v>
          </cell>
          <cell r="E16" t="str">
            <v>ZFGD</v>
          </cell>
          <cell r="F16" t="str">
            <v>PC</v>
          </cell>
          <cell r="G16" t="str">
            <v>1</v>
          </cell>
          <cell r="H16" t="str">
            <v>INDUSTRY</v>
          </cell>
          <cell r="I16" t="str">
            <v>11</v>
          </cell>
          <cell r="J16" t="str">
            <v>WOOD COATINGS</v>
          </cell>
          <cell r="K16" t="str">
            <v>1103</v>
          </cell>
          <cell r="L16" t="str">
            <v>PU</v>
          </cell>
          <cell r="M16" t="str">
            <v>110305</v>
          </cell>
          <cell r="N16" t="str">
            <v>UNION FILLER</v>
          </cell>
        </row>
        <row r="17">
          <cell r="C17" t="str">
            <v>100000015</v>
          </cell>
          <cell r="D17" t="str">
            <v>64-56 MICRO FILLER 38 F1 VN-20KP</v>
          </cell>
          <cell r="E17" t="str">
            <v>ZFGD</v>
          </cell>
          <cell r="F17" t="str">
            <v>PC</v>
          </cell>
          <cell r="G17" t="str">
            <v>1</v>
          </cell>
          <cell r="H17" t="str">
            <v>INDUSTRY</v>
          </cell>
          <cell r="I17" t="str">
            <v>11</v>
          </cell>
          <cell r="J17" t="str">
            <v>WOOD COATINGS</v>
          </cell>
          <cell r="K17" t="str">
            <v>1103</v>
          </cell>
          <cell r="L17" t="str">
            <v>PU</v>
          </cell>
          <cell r="M17" t="str">
            <v>110305</v>
          </cell>
          <cell r="N17" t="str">
            <v>UNION FILLER</v>
          </cell>
        </row>
        <row r="18">
          <cell r="C18" t="str">
            <v>100000016</v>
          </cell>
          <cell r="D18" t="str">
            <v>64-56 MICRO FILLER 39 VN-4K</v>
          </cell>
          <cell r="E18" t="str">
            <v>ZFGD</v>
          </cell>
          <cell r="F18" t="str">
            <v>PC</v>
          </cell>
          <cell r="G18" t="str">
            <v>1</v>
          </cell>
          <cell r="H18" t="str">
            <v>INDUSTRY</v>
          </cell>
          <cell r="I18" t="str">
            <v>11</v>
          </cell>
          <cell r="J18" t="str">
            <v>WOOD COATINGS</v>
          </cell>
          <cell r="K18" t="str">
            <v>1103</v>
          </cell>
          <cell r="L18" t="str">
            <v>PU</v>
          </cell>
          <cell r="M18" t="str">
            <v>110305</v>
          </cell>
          <cell r="N18" t="str">
            <v>UNION FILLER</v>
          </cell>
        </row>
        <row r="19">
          <cell r="C19" t="str">
            <v>100000017</v>
          </cell>
          <cell r="D19" t="str">
            <v>64-56 MICRO FILLER 39 VN-20KP</v>
          </cell>
          <cell r="E19" t="str">
            <v>ZFGD</v>
          </cell>
          <cell r="F19" t="str">
            <v>PC</v>
          </cell>
          <cell r="G19" t="str">
            <v>1</v>
          </cell>
          <cell r="H19" t="str">
            <v>INDUSTRY</v>
          </cell>
          <cell r="I19" t="str">
            <v>11</v>
          </cell>
          <cell r="J19" t="str">
            <v>WOOD COATINGS</v>
          </cell>
          <cell r="K19" t="str">
            <v>1103</v>
          </cell>
          <cell r="L19" t="str">
            <v>PU</v>
          </cell>
          <cell r="M19" t="str">
            <v>110305</v>
          </cell>
          <cell r="N19" t="str">
            <v>UNION FILLER</v>
          </cell>
        </row>
        <row r="20">
          <cell r="C20" t="str">
            <v>100000018</v>
          </cell>
          <cell r="D20" t="str">
            <v>64-56 MICRO FILLER AH 10 VN-20KP</v>
          </cell>
          <cell r="E20" t="str">
            <v>ZFGD</v>
          </cell>
          <cell r="F20" t="str">
            <v>PC</v>
          </cell>
          <cell r="G20" t="str">
            <v>1</v>
          </cell>
          <cell r="H20" t="str">
            <v>INDUSTRY</v>
          </cell>
          <cell r="I20" t="str">
            <v>11</v>
          </cell>
          <cell r="J20" t="str">
            <v>WOOD COATINGS</v>
          </cell>
          <cell r="K20" t="str">
            <v>1103</v>
          </cell>
          <cell r="L20" t="str">
            <v>PU</v>
          </cell>
          <cell r="M20" t="str">
            <v>110305</v>
          </cell>
          <cell r="N20" t="str">
            <v>UNION FILLER</v>
          </cell>
        </row>
        <row r="21">
          <cell r="C21" t="str">
            <v>100000019</v>
          </cell>
          <cell r="D21" t="str">
            <v>64-56 MICRO FILLER AH 25 VN-20KP</v>
          </cell>
          <cell r="E21" t="str">
            <v>ZFGD</v>
          </cell>
          <cell r="F21" t="str">
            <v>PC</v>
          </cell>
          <cell r="G21" t="str">
            <v>1</v>
          </cell>
          <cell r="H21" t="str">
            <v>INDUSTRY</v>
          </cell>
          <cell r="I21" t="str">
            <v>11</v>
          </cell>
          <cell r="J21" t="str">
            <v>WOOD COATINGS</v>
          </cell>
          <cell r="K21" t="str">
            <v>1103</v>
          </cell>
          <cell r="L21" t="str">
            <v>PU</v>
          </cell>
          <cell r="M21" t="str">
            <v>110305</v>
          </cell>
          <cell r="N21" t="str">
            <v>UNION FILLER</v>
          </cell>
        </row>
        <row r="22">
          <cell r="C22" t="str">
            <v>100000020</v>
          </cell>
          <cell r="D22" t="str">
            <v>64-56 MICRO FILLER ARMCHAIR TT VN-20KP</v>
          </cell>
          <cell r="E22" t="str">
            <v>ZFGD</v>
          </cell>
          <cell r="F22" t="str">
            <v>PC</v>
          </cell>
          <cell r="G22" t="str">
            <v>1</v>
          </cell>
          <cell r="H22" t="str">
            <v>INDUSTRY</v>
          </cell>
          <cell r="I22" t="str">
            <v>11</v>
          </cell>
          <cell r="J22" t="str">
            <v>WOOD COATINGS</v>
          </cell>
          <cell r="K22" t="str">
            <v>1103</v>
          </cell>
          <cell r="L22" t="str">
            <v>PU</v>
          </cell>
          <cell r="M22" t="str">
            <v>110305</v>
          </cell>
          <cell r="N22" t="str">
            <v>UNION FILLER</v>
          </cell>
        </row>
        <row r="23">
          <cell r="C23" t="str">
            <v>100000021</v>
          </cell>
          <cell r="D23" t="str">
            <v>64-56 MICRO FILLER BEEKMAN GE VN-20KP</v>
          </cell>
          <cell r="E23" t="str">
            <v>ZFGD</v>
          </cell>
          <cell r="F23" t="str">
            <v>PC</v>
          </cell>
          <cell r="G23" t="str">
            <v>1</v>
          </cell>
          <cell r="H23" t="str">
            <v>INDUSTRY</v>
          </cell>
          <cell r="I23" t="str">
            <v>11</v>
          </cell>
          <cell r="J23" t="str">
            <v>WOOD COATINGS</v>
          </cell>
          <cell r="K23" t="str">
            <v>1103</v>
          </cell>
          <cell r="L23" t="str">
            <v>PU</v>
          </cell>
          <cell r="M23" t="str">
            <v>110305</v>
          </cell>
          <cell r="N23" t="str">
            <v>UNION FILLER</v>
          </cell>
        </row>
        <row r="24">
          <cell r="C24" t="str">
            <v>100000022</v>
          </cell>
          <cell r="D24" t="str">
            <v>64-56 MICRO FILLER BIL TD VN-20KP</v>
          </cell>
          <cell r="E24" t="str">
            <v>ZFGD</v>
          </cell>
          <cell r="F24" t="str">
            <v>PC</v>
          </cell>
          <cell r="G24" t="str">
            <v>1</v>
          </cell>
          <cell r="H24" t="str">
            <v>INDUSTRY</v>
          </cell>
          <cell r="I24" t="str">
            <v>11</v>
          </cell>
          <cell r="J24" t="str">
            <v>WOOD COATINGS</v>
          </cell>
          <cell r="K24" t="str">
            <v>1103</v>
          </cell>
          <cell r="L24" t="str">
            <v>PU</v>
          </cell>
          <cell r="M24" t="str">
            <v>110305</v>
          </cell>
          <cell r="N24" t="str">
            <v>UNION FILLER</v>
          </cell>
        </row>
        <row r="25">
          <cell r="C25" t="str">
            <v>100000023</v>
          </cell>
          <cell r="D25" t="str">
            <v>64-56 MICRO FILLER BROWN DS VN-20KP</v>
          </cell>
          <cell r="E25" t="str">
            <v>ZFGD</v>
          </cell>
          <cell r="F25" t="str">
            <v>PC</v>
          </cell>
          <cell r="G25" t="str">
            <v>1</v>
          </cell>
          <cell r="H25" t="str">
            <v>INDUSTRY</v>
          </cell>
          <cell r="I25" t="str">
            <v>11</v>
          </cell>
          <cell r="J25" t="str">
            <v>WOOD COATINGS</v>
          </cell>
          <cell r="K25" t="str">
            <v>1103</v>
          </cell>
          <cell r="L25" t="str">
            <v>PU</v>
          </cell>
          <cell r="M25" t="str">
            <v>110305</v>
          </cell>
          <cell r="N25" t="str">
            <v>UNION FILLER</v>
          </cell>
        </row>
        <row r="26">
          <cell r="C26" t="str">
            <v>100000024</v>
          </cell>
          <cell r="D26" t="str">
            <v>64-56 MICRO FILLER BROWN MH VN-20KP</v>
          </cell>
          <cell r="E26" t="str">
            <v>ZFGD</v>
          </cell>
          <cell r="F26" t="str">
            <v>PC</v>
          </cell>
          <cell r="G26" t="str">
            <v>1</v>
          </cell>
          <cell r="H26" t="str">
            <v>INDUSTRY</v>
          </cell>
          <cell r="I26" t="str">
            <v>11</v>
          </cell>
          <cell r="J26" t="str">
            <v>WOOD COATINGS</v>
          </cell>
          <cell r="K26" t="str">
            <v>1103</v>
          </cell>
          <cell r="L26" t="str">
            <v>PU</v>
          </cell>
          <cell r="M26" t="str">
            <v>110305</v>
          </cell>
          <cell r="N26" t="str">
            <v>UNION FILLER</v>
          </cell>
        </row>
        <row r="27">
          <cell r="C27" t="str">
            <v>100000025</v>
          </cell>
          <cell r="D27" t="str">
            <v>64-56 MICRO FILLER CANH DAN VL VN-4K</v>
          </cell>
          <cell r="E27" t="str">
            <v>ZFGD</v>
          </cell>
          <cell r="F27" t="str">
            <v>PC</v>
          </cell>
          <cell r="G27" t="str">
            <v>1</v>
          </cell>
          <cell r="H27" t="str">
            <v>INDUSTRY</v>
          </cell>
          <cell r="I27" t="str">
            <v>11</v>
          </cell>
          <cell r="J27" t="str">
            <v>WOOD COATINGS</v>
          </cell>
          <cell r="K27" t="str">
            <v>1103</v>
          </cell>
          <cell r="L27" t="str">
            <v>PU</v>
          </cell>
          <cell r="M27" t="str">
            <v>110305</v>
          </cell>
          <cell r="N27" t="str">
            <v>UNION FILLER</v>
          </cell>
        </row>
        <row r="28">
          <cell r="C28" t="str">
            <v>100000026</v>
          </cell>
          <cell r="D28" t="str">
            <v>64-56 MICRO FILLER CHERRY TL VN-20KP</v>
          </cell>
          <cell r="E28" t="str">
            <v>ZFGD</v>
          </cell>
          <cell r="F28" t="str">
            <v>PC</v>
          </cell>
          <cell r="G28" t="str">
            <v>1</v>
          </cell>
          <cell r="H28" t="str">
            <v>INDUSTRY</v>
          </cell>
          <cell r="I28" t="str">
            <v>11</v>
          </cell>
          <cell r="J28" t="str">
            <v>WOOD COATINGS</v>
          </cell>
          <cell r="K28" t="str">
            <v>1103</v>
          </cell>
          <cell r="L28" t="str">
            <v>PU</v>
          </cell>
          <cell r="M28" t="str">
            <v>110305</v>
          </cell>
          <cell r="N28" t="str">
            <v>UNION FILLER</v>
          </cell>
        </row>
        <row r="29">
          <cell r="C29" t="str">
            <v>100000027</v>
          </cell>
          <cell r="D29" t="str">
            <v>64-56 MICRO FILLER CHESTNUT TL VN-20KP</v>
          </cell>
          <cell r="E29" t="str">
            <v>ZFGD</v>
          </cell>
          <cell r="F29" t="str">
            <v>PC</v>
          </cell>
          <cell r="G29" t="str">
            <v>1</v>
          </cell>
          <cell r="H29" t="str">
            <v>INDUSTRY</v>
          </cell>
          <cell r="I29" t="str">
            <v>11</v>
          </cell>
          <cell r="J29" t="str">
            <v>WOOD COATINGS</v>
          </cell>
          <cell r="K29" t="str">
            <v>1103</v>
          </cell>
          <cell r="L29" t="str">
            <v>PU</v>
          </cell>
          <cell r="M29" t="str">
            <v>110305</v>
          </cell>
          <cell r="N29" t="str">
            <v>UNION FILLER</v>
          </cell>
        </row>
        <row r="30">
          <cell r="C30" t="str">
            <v>100000028</v>
          </cell>
          <cell r="D30" t="str">
            <v>64-56 MICRO FILLER GBR TT VN-20KP</v>
          </cell>
          <cell r="E30" t="str">
            <v>ZFGD</v>
          </cell>
          <cell r="F30" t="str">
            <v>PC</v>
          </cell>
          <cell r="G30" t="str">
            <v>1</v>
          </cell>
          <cell r="H30" t="str">
            <v>INDUSTRY</v>
          </cell>
          <cell r="I30" t="str">
            <v>11</v>
          </cell>
          <cell r="J30" t="str">
            <v>WOOD COATINGS</v>
          </cell>
          <cell r="K30" t="str">
            <v>1103</v>
          </cell>
          <cell r="L30" t="str">
            <v>PU</v>
          </cell>
          <cell r="M30" t="str">
            <v>110305</v>
          </cell>
          <cell r="N30" t="str">
            <v>UNION FILLER</v>
          </cell>
        </row>
        <row r="31">
          <cell r="C31" t="str">
            <v>100000029</v>
          </cell>
          <cell r="D31" t="str">
            <v>64-56 MICRO FILLER HAT DE VL VN-4K</v>
          </cell>
          <cell r="E31" t="str">
            <v>ZFGD</v>
          </cell>
          <cell r="F31" t="str">
            <v>PC</v>
          </cell>
          <cell r="G31" t="str">
            <v>1</v>
          </cell>
          <cell r="H31" t="str">
            <v>INDUSTRY</v>
          </cell>
          <cell r="I31" t="str">
            <v>11</v>
          </cell>
          <cell r="J31" t="str">
            <v>WOOD COATINGS</v>
          </cell>
          <cell r="K31" t="str">
            <v>1103</v>
          </cell>
          <cell r="L31" t="str">
            <v>PU</v>
          </cell>
          <cell r="M31" t="str">
            <v>110305</v>
          </cell>
          <cell r="N31" t="str">
            <v>UNION FILLER</v>
          </cell>
        </row>
        <row r="32">
          <cell r="C32" t="str">
            <v>100000030</v>
          </cell>
          <cell r="D32" t="str">
            <v>64-56 MICRO FILLER KOBA 032 TT VN-20KP</v>
          </cell>
          <cell r="E32" t="str">
            <v>ZFGD</v>
          </cell>
          <cell r="F32" t="str">
            <v>PC</v>
          </cell>
          <cell r="G32" t="str">
            <v>1</v>
          </cell>
          <cell r="H32" t="str">
            <v>INDUSTRY</v>
          </cell>
          <cell r="I32" t="str">
            <v>11</v>
          </cell>
          <cell r="J32" t="str">
            <v>WOOD COATINGS</v>
          </cell>
          <cell r="K32" t="str">
            <v>1103</v>
          </cell>
          <cell r="L32" t="str">
            <v>PU</v>
          </cell>
          <cell r="M32" t="str">
            <v>110305</v>
          </cell>
          <cell r="N32" t="str">
            <v>UNION FILLER</v>
          </cell>
        </row>
        <row r="33">
          <cell r="C33" t="str">
            <v>100000031</v>
          </cell>
          <cell r="D33" t="str">
            <v>64-56 MICRO FILLER KOBA DR TT VN-20KP</v>
          </cell>
          <cell r="E33" t="str">
            <v>ZFGD</v>
          </cell>
          <cell r="F33" t="str">
            <v>PC</v>
          </cell>
          <cell r="G33" t="str">
            <v>1</v>
          </cell>
          <cell r="H33" t="str">
            <v>INDUSTRY</v>
          </cell>
          <cell r="I33" t="str">
            <v>11</v>
          </cell>
          <cell r="J33" t="str">
            <v>WOOD COATINGS</v>
          </cell>
          <cell r="K33" t="str">
            <v>1103</v>
          </cell>
          <cell r="L33" t="str">
            <v>PU</v>
          </cell>
          <cell r="M33" t="str">
            <v>110305</v>
          </cell>
          <cell r="N33" t="str">
            <v>UNION FILLER</v>
          </cell>
        </row>
        <row r="34">
          <cell r="C34" t="str">
            <v>100000032</v>
          </cell>
          <cell r="D34" t="str">
            <v>64-56 MICRO FILLER MARUNI TT VN-20KP</v>
          </cell>
          <cell r="E34" t="str">
            <v>ZFGD</v>
          </cell>
          <cell r="F34" t="str">
            <v>PC</v>
          </cell>
          <cell r="G34" t="str">
            <v>1</v>
          </cell>
          <cell r="H34" t="str">
            <v>INDUSTRY</v>
          </cell>
          <cell r="I34" t="str">
            <v>11</v>
          </cell>
          <cell r="J34" t="str">
            <v>WOOD COATINGS</v>
          </cell>
          <cell r="K34" t="str">
            <v>1103</v>
          </cell>
          <cell r="L34" t="str">
            <v>PU</v>
          </cell>
          <cell r="M34" t="str">
            <v>110305</v>
          </cell>
          <cell r="N34" t="str">
            <v>UNION FILLER</v>
          </cell>
        </row>
        <row r="35">
          <cell r="C35" t="str">
            <v>100000033</v>
          </cell>
          <cell r="D35" t="str">
            <v>64-56 MICRO FILLER MCH TB VN-20KP</v>
          </cell>
          <cell r="E35" t="str">
            <v>ZFGD</v>
          </cell>
          <cell r="F35" t="str">
            <v>PC</v>
          </cell>
          <cell r="G35" t="str">
            <v>1</v>
          </cell>
          <cell r="H35" t="str">
            <v>INDUSTRY</v>
          </cell>
          <cell r="I35" t="str">
            <v>11</v>
          </cell>
          <cell r="J35" t="str">
            <v>WOOD COATINGS</v>
          </cell>
          <cell r="K35" t="str">
            <v>1103</v>
          </cell>
          <cell r="L35" t="str">
            <v>PU</v>
          </cell>
          <cell r="M35" t="str">
            <v>110305</v>
          </cell>
          <cell r="N35" t="str">
            <v>UNION FILLER</v>
          </cell>
        </row>
        <row r="36">
          <cell r="C36" t="str">
            <v>100000034</v>
          </cell>
          <cell r="D36" t="str">
            <v>64-56 MICRO FILLER MEMOLY TT VN-20KP</v>
          </cell>
          <cell r="E36" t="str">
            <v>ZFGD</v>
          </cell>
          <cell r="F36" t="str">
            <v>PC</v>
          </cell>
          <cell r="G36" t="str">
            <v>1</v>
          </cell>
          <cell r="H36" t="str">
            <v>INDUSTRY</v>
          </cell>
          <cell r="I36" t="str">
            <v>11</v>
          </cell>
          <cell r="J36" t="str">
            <v>WOOD COATINGS</v>
          </cell>
          <cell r="K36" t="str">
            <v>1103</v>
          </cell>
          <cell r="L36" t="str">
            <v>PU</v>
          </cell>
          <cell r="M36" t="str">
            <v>110305</v>
          </cell>
          <cell r="N36" t="str">
            <v>UNION FILLER</v>
          </cell>
        </row>
        <row r="37">
          <cell r="C37" t="str">
            <v>100000035</v>
          </cell>
          <cell r="D37" t="str">
            <v>64-56 MICRO FILLER MP WHITE TT VN-20KP</v>
          </cell>
          <cell r="E37" t="str">
            <v>ZFGD</v>
          </cell>
          <cell r="F37" t="str">
            <v>PC</v>
          </cell>
          <cell r="G37" t="str">
            <v>1</v>
          </cell>
          <cell r="H37" t="str">
            <v>INDUSTRY</v>
          </cell>
          <cell r="I37" t="str">
            <v>11</v>
          </cell>
          <cell r="J37" t="str">
            <v>WOOD COATINGS</v>
          </cell>
          <cell r="K37" t="str">
            <v>1103</v>
          </cell>
          <cell r="L37" t="str">
            <v>PU</v>
          </cell>
          <cell r="M37" t="str">
            <v>110305</v>
          </cell>
          <cell r="N37" t="str">
            <v>UNION FILLER</v>
          </cell>
        </row>
        <row r="38">
          <cell r="C38" t="str">
            <v>100000036</v>
          </cell>
          <cell r="D38" t="str">
            <v>64-56 MICRO FILLER MR WA TT VN-20KP</v>
          </cell>
          <cell r="E38" t="str">
            <v>ZFGD</v>
          </cell>
          <cell r="F38" t="str">
            <v>PC</v>
          </cell>
          <cell r="G38" t="str">
            <v>1</v>
          </cell>
          <cell r="H38" t="str">
            <v>INDUSTRY</v>
          </cell>
          <cell r="I38" t="str">
            <v>11</v>
          </cell>
          <cell r="J38" t="str">
            <v>WOOD COATINGS</v>
          </cell>
          <cell r="K38" t="str">
            <v>1103</v>
          </cell>
          <cell r="L38" t="str">
            <v>PU</v>
          </cell>
          <cell r="M38" t="str">
            <v>110305</v>
          </cell>
          <cell r="N38" t="str">
            <v>UNION FILLER</v>
          </cell>
        </row>
        <row r="39">
          <cell r="C39" t="str">
            <v>100000037</v>
          </cell>
          <cell r="D39" t="str">
            <v>64-56 MICRO FILLER MR PA 04 TT VN-20KP</v>
          </cell>
          <cell r="E39" t="str">
            <v>ZFGD</v>
          </cell>
          <cell r="F39" t="str">
            <v>PC</v>
          </cell>
          <cell r="G39" t="str">
            <v>1</v>
          </cell>
          <cell r="H39" t="str">
            <v>INDUSTRY</v>
          </cell>
          <cell r="I39" t="str">
            <v>11</v>
          </cell>
          <cell r="J39" t="str">
            <v>WOOD COATINGS</v>
          </cell>
          <cell r="K39" t="str">
            <v>1103</v>
          </cell>
          <cell r="L39" t="str">
            <v>PU</v>
          </cell>
          <cell r="M39" t="str">
            <v>110305</v>
          </cell>
          <cell r="N39" t="str">
            <v>UNION FILLER</v>
          </cell>
        </row>
        <row r="40">
          <cell r="C40" t="str">
            <v>100000038</v>
          </cell>
          <cell r="D40" t="str">
            <v>64-56 MICRO FILLER OAK 02 DM VN-20KP</v>
          </cell>
          <cell r="E40" t="str">
            <v>ZFGD</v>
          </cell>
          <cell r="F40" t="str">
            <v>PC</v>
          </cell>
          <cell r="G40" t="str">
            <v>1</v>
          </cell>
          <cell r="H40" t="str">
            <v>INDUSTRY</v>
          </cell>
          <cell r="I40" t="str">
            <v>11</v>
          </cell>
          <cell r="J40" t="str">
            <v>WOOD COATINGS</v>
          </cell>
          <cell r="K40" t="str">
            <v>1103</v>
          </cell>
          <cell r="L40" t="str">
            <v>PU</v>
          </cell>
          <cell r="M40" t="str">
            <v>110305</v>
          </cell>
          <cell r="N40" t="str">
            <v>UNION FILLER</v>
          </cell>
        </row>
        <row r="41">
          <cell r="C41" t="str">
            <v>100000039</v>
          </cell>
          <cell r="D41" t="str">
            <v>64-56 MICRO FILLER PEO TL VN-20KP</v>
          </cell>
          <cell r="E41" t="str">
            <v>ZFGD</v>
          </cell>
          <cell r="F41" t="str">
            <v>PC</v>
          </cell>
          <cell r="G41" t="str">
            <v>1</v>
          </cell>
          <cell r="H41" t="str">
            <v>INDUSTRY</v>
          </cell>
          <cell r="I41" t="str">
            <v>11</v>
          </cell>
          <cell r="J41" t="str">
            <v>WOOD COATINGS</v>
          </cell>
          <cell r="K41" t="str">
            <v>1103</v>
          </cell>
          <cell r="L41" t="str">
            <v>PU</v>
          </cell>
          <cell r="M41" t="str">
            <v>110305</v>
          </cell>
          <cell r="N41" t="str">
            <v>UNION FILLER</v>
          </cell>
        </row>
        <row r="42">
          <cell r="C42" t="str">
            <v>100000040</v>
          </cell>
          <cell r="D42" t="str">
            <v>64-56 MICRO FILLER POPLAR IF VN-20KP</v>
          </cell>
          <cell r="E42" t="str">
            <v>ZFGD</v>
          </cell>
          <cell r="F42" t="str">
            <v>PC</v>
          </cell>
          <cell r="G42" t="str">
            <v>1</v>
          </cell>
          <cell r="H42" t="str">
            <v>INDUSTRY</v>
          </cell>
          <cell r="I42" t="str">
            <v>11</v>
          </cell>
          <cell r="J42" t="str">
            <v>WOOD COATINGS</v>
          </cell>
          <cell r="K42" t="str">
            <v>1103</v>
          </cell>
          <cell r="L42" t="str">
            <v>PU</v>
          </cell>
          <cell r="M42" t="str">
            <v>110305</v>
          </cell>
          <cell r="N42" t="str">
            <v>UNION FILLER</v>
          </cell>
        </row>
        <row r="43">
          <cell r="C43" t="str">
            <v>100000041</v>
          </cell>
          <cell r="D43" t="str">
            <v>64-56 MICRO FILLER QNC IF VN-20KP</v>
          </cell>
          <cell r="E43" t="str">
            <v>ZFGD</v>
          </cell>
          <cell r="F43" t="str">
            <v>PC</v>
          </cell>
          <cell r="G43" t="str">
            <v>1</v>
          </cell>
          <cell r="H43" t="str">
            <v>INDUSTRY</v>
          </cell>
          <cell r="I43" t="str">
            <v>11</v>
          </cell>
          <cell r="J43" t="str">
            <v>WOOD COATINGS</v>
          </cell>
          <cell r="K43" t="str">
            <v>1103</v>
          </cell>
          <cell r="L43" t="str">
            <v>PU</v>
          </cell>
          <cell r="M43" t="str">
            <v>110305</v>
          </cell>
          <cell r="N43" t="str">
            <v>UNION FILLER</v>
          </cell>
        </row>
        <row r="44">
          <cell r="C44" t="str">
            <v>100000042</v>
          </cell>
          <cell r="D44" t="str">
            <v>64-56 MICRO FILLER QNV IF VN-20KP</v>
          </cell>
          <cell r="E44" t="str">
            <v>ZFGD</v>
          </cell>
          <cell r="F44" t="str">
            <v>PC</v>
          </cell>
          <cell r="G44" t="str">
            <v>1</v>
          </cell>
          <cell r="H44" t="str">
            <v>INDUSTRY</v>
          </cell>
          <cell r="I44" t="str">
            <v>11</v>
          </cell>
          <cell r="J44" t="str">
            <v>WOOD COATINGS</v>
          </cell>
          <cell r="K44" t="str">
            <v>1103</v>
          </cell>
          <cell r="L44" t="str">
            <v>PU</v>
          </cell>
          <cell r="M44" t="str">
            <v>110305</v>
          </cell>
          <cell r="N44" t="str">
            <v>UNION FILLER</v>
          </cell>
        </row>
        <row r="45">
          <cell r="C45" t="str">
            <v>100000043</v>
          </cell>
          <cell r="D45" t="str">
            <v>64-56 MICRO FILLER RED TL VN-20KP</v>
          </cell>
          <cell r="E45" t="str">
            <v>ZFGD</v>
          </cell>
          <cell r="F45" t="str">
            <v>PC</v>
          </cell>
          <cell r="G45" t="str">
            <v>1</v>
          </cell>
          <cell r="H45" t="str">
            <v>INDUSTRY</v>
          </cell>
          <cell r="I45" t="str">
            <v>11</v>
          </cell>
          <cell r="J45" t="str">
            <v>WOOD COATINGS</v>
          </cell>
          <cell r="K45" t="str">
            <v>1103</v>
          </cell>
          <cell r="L45" t="str">
            <v>PU</v>
          </cell>
          <cell r="M45" t="str">
            <v>110305</v>
          </cell>
          <cell r="N45" t="str">
            <v>UNION FILLER</v>
          </cell>
        </row>
        <row r="46">
          <cell r="C46" t="str">
            <v>100000044</v>
          </cell>
          <cell r="D46" t="str">
            <v>64-56 MICRO FILLER RUBBER IF VN-20KP</v>
          </cell>
          <cell r="E46" t="str">
            <v>ZFGD</v>
          </cell>
          <cell r="F46" t="str">
            <v>PC</v>
          </cell>
          <cell r="G46" t="str">
            <v>1</v>
          </cell>
          <cell r="H46" t="str">
            <v>INDUSTRY</v>
          </cell>
          <cell r="I46" t="str">
            <v>11</v>
          </cell>
          <cell r="J46" t="str">
            <v>WOOD COATINGS</v>
          </cell>
          <cell r="K46" t="str">
            <v>1103</v>
          </cell>
          <cell r="L46" t="str">
            <v>PU</v>
          </cell>
          <cell r="M46" t="str">
            <v>110305</v>
          </cell>
          <cell r="N46" t="str">
            <v>UNION FILLER</v>
          </cell>
        </row>
        <row r="47">
          <cell r="C47" t="str">
            <v>100000045</v>
          </cell>
          <cell r="D47" t="str">
            <v>64-56 MICRO FILLER SG PEARL LE VN-20KP</v>
          </cell>
          <cell r="E47" t="str">
            <v>ZFGD</v>
          </cell>
          <cell r="F47" t="str">
            <v>PC</v>
          </cell>
          <cell r="G47" t="str">
            <v>1</v>
          </cell>
          <cell r="H47" t="str">
            <v>INDUSTRY</v>
          </cell>
          <cell r="I47" t="str">
            <v>11</v>
          </cell>
          <cell r="J47" t="str">
            <v>WOOD COATINGS</v>
          </cell>
          <cell r="K47" t="str">
            <v>1103</v>
          </cell>
          <cell r="L47" t="str">
            <v>PU</v>
          </cell>
          <cell r="M47" t="str">
            <v>110305</v>
          </cell>
          <cell r="N47" t="str">
            <v>UNION FILLER</v>
          </cell>
        </row>
        <row r="48">
          <cell r="C48" t="str">
            <v>100000046</v>
          </cell>
          <cell r="D48" t="str">
            <v>64-56 MICRO FILLER SHI BR TT VN-20KP</v>
          </cell>
          <cell r="E48" t="str">
            <v>ZFGD</v>
          </cell>
          <cell r="F48" t="str">
            <v>PC</v>
          </cell>
          <cell r="G48" t="str">
            <v>1</v>
          </cell>
          <cell r="H48" t="str">
            <v>INDUSTRY</v>
          </cell>
          <cell r="I48" t="str">
            <v>11</v>
          </cell>
          <cell r="J48" t="str">
            <v>WOOD COATINGS</v>
          </cell>
          <cell r="K48" t="str">
            <v>1103</v>
          </cell>
          <cell r="L48" t="str">
            <v>PU</v>
          </cell>
          <cell r="M48" t="str">
            <v>110305</v>
          </cell>
          <cell r="N48" t="str">
            <v>UNION FILLER</v>
          </cell>
        </row>
        <row r="49">
          <cell r="C49" t="str">
            <v>100000047</v>
          </cell>
          <cell r="D49" t="str">
            <v>64-56 MICRO FILLER SI BR TT VN-20KP</v>
          </cell>
          <cell r="E49" t="str">
            <v>ZFGD</v>
          </cell>
          <cell r="F49" t="str">
            <v>PC</v>
          </cell>
          <cell r="G49" t="str">
            <v>1</v>
          </cell>
          <cell r="H49" t="str">
            <v>INDUSTRY</v>
          </cell>
          <cell r="I49" t="str">
            <v>11</v>
          </cell>
          <cell r="J49" t="str">
            <v>WOOD COATINGS</v>
          </cell>
          <cell r="K49" t="str">
            <v>1103</v>
          </cell>
          <cell r="L49" t="str">
            <v>PU</v>
          </cell>
          <cell r="M49" t="str">
            <v>110305</v>
          </cell>
          <cell r="N49" t="str">
            <v>UNION FILLER</v>
          </cell>
        </row>
        <row r="50">
          <cell r="C50" t="str">
            <v>100000048</v>
          </cell>
          <cell r="D50" t="str">
            <v>64-56 MICRO FILLER SI LBR TT VN-20KP</v>
          </cell>
          <cell r="E50" t="str">
            <v>ZFGD</v>
          </cell>
          <cell r="F50" t="str">
            <v>PC</v>
          </cell>
          <cell r="G50" t="str">
            <v>1</v>
          </cell>
          <cell r="H50" t="str">
            <v>INDUSTRY</v>
          </cell>
          <cell r="I50" t="str">
            <v>11</v>
          </cell>
          <cell r="J50" t="str">
            <v>WOOD COATINGS</v>
          </cell>
          <cell r="K50" t="str">
            <v>1103</v>
          </cell>
          <cell r="L50" t="str">
            <v>PU</v>
          </cell>
          <cell r="M50" t="str">
            <v>110305</v>
          </cell>
          <cell r="N50" t="str">
            <v>UNION FILLER</v>
          </cell>
        </row>
        <row r="51">
          <cell r="C51" t="str">
            <v>100000049</v>
          </cell>
          <cell r="D51" t="str">
            <v>64-56 MICRO FILLER SI W TT VN-20KP</v>
          </cell>
          <cell r="E51" t="str">
            <v>ZFGD</v>
          </cell>
          <cell r="F51" t="str">
            <v>PC</v>
          </cell>
          <cell r="G51" t="str">
            <v>1</v>
          </cell>
          <cell r="H51" t="str">
            <v>INDUSTRY</v>
          </cell>
          <cell r="I51" t="str">
            <v>11</v>
          </cell>
          <cell r="J51" t="str">
            <v>WOOD COATINGS</v>
          </cell>
          <cell r="K51" t="str">
            <v>1103</v>
          </cell>
          <cell r="L51" t="str">
            <v>PU</v>
          </cell>
          <cell r="M51" t="str">
            <v>110305</v>
          </cell>
          <cell r="N51" t="str">
            <v>UNION FILLER</v>
          </cell>
        </row>
        <row r="52">
          <cell r="C52" t="str">
            <v>100000050</v>
          </cell>
          <cell r="D52" t="str">
            <v>64-56 MICRO FILLER SS IF VN-20KP</v>
          </cell>
          <cell r="E52" t="str">
            <v>ZFGD</v>
          </cell>
          <cell r="F52" t="str">
            <v>PC</v>
          </cell>
          <cell r="G52" t="str">
            <v>1</v>
          </cell>
          <cell r="H52" t="str">
            <v>INDUSTRY</v>
          </cell>
          <cell r="I52" t="str">
            <v>11</v>
          </cell>
          <cell r="J52" t="str">
            <v>WOOD COATINGS</v>
          </cell>
          <cell r="K52" t="str">
            <v>1103</v>
          </cell>
          <cell r="L52" t="str">
            <v>PU</v>
          </cell>
          <cell r="M52" t="str">
            <v>110305</v>
          </cell>
          <cell r="N52" t="str">
            <v>UNION FILLER</v>
          </cell>
        </row>
        <row r="53">
          <cell r="C53" t="str">
            <v>100000051</v>
          </cell>
          <cell r="D53" t="str">
            <v>64-56 MICRO FILLER ST VN-20KP</v>
          </cell>
          <cell r="E53" t="str">
            <v>ZFGD</v>
          </cell>
          <cell r="F53" t="str">
            <v>PC</v>
          </cell>
          <cell r="G53" t="str">
            <v>1</v>
          </cell>
          <cell r="H53" t="str">
            <v>INDUSTRY</v>
          </cell>
          <cell r="I53" t="str">
            <v>11</v>
          </cell>
          <cell r="J53" t="str">
            <v>WOOD COATINGS</v>
          </cell>
          <cell r="K53" t="str">
            <v>1103</v>
          </cell>
          <cell r="L53" t="str">
            <v>PU</v>
          </cell>
          <cell r="M53" t="str">
            <v>110305</v>
          </cell>
          <cell r="N53" t="str">
            <v>UNION FILLER</v>
          </cell>
        </row>
        <row r="54">
          <cell r="C54" t="str">
            <v>100000052</v>
          </cell>
          <cell r="D54" t="str">
            <v>64-56 MICRO FILLER SURUGA TT VN-20KP</v>
          </cell>
          <cell r="E54" t="str">
            <v>ZFGD</v>
          </cell>
          <cell r="F54" t="str">
            <v>PC</v>
          </cell>
          <cell r="G54" t="str">
            <v>1</v>
          </cell>
          <cell r="H54" t="str">
            <v>INDUSTRY</v>
          </cell>
          <cell r="I54" t="str">
            <v>11</v>
          </cell>
          <cell r="J54" t="str">
            <v>WOOD COATINGS</v>
          </cell>
          <cell r="K54" t="str">
            <v>1103</v>
          </cell>
          <cell r="L54" t="str">
            <v>PU</v>
          </cell>
          <cell r="M54" t="str">
            <v>110305</v>
          </cell>
          <cell r="N54" t="str">
            <v>UNION FILLER</v>
          </cell>
        </row>
        <row r="55">
          <cell r="C55" t="str">
            <v>100000053</v>
          </cell>
          <cell r="D55" t="str">
            <v>64-56 MICRO FILLER TJ2021 TT VN-20KP</v>
          </cell>
          <cell r="E55" t="str">
            <v>ZFGD</v>
          </cell>
          <cell r="F55" t="str">
            <v>PC</v>
          </cell>
          <cell r="G55" t="str">
            <v>1</v>
          </cell>
          <cell r="H55" t="str">
            <v>INDUSTRY</v>
          </cell>
          <cell r="I55" t="str">
            <v>11</v>
          </cell>
          <cell r="J55" t="str">
            <v>WOOD COATINGS</v>
          </cell>
          <cell r="K55" t="str">
            <v>1103</v>
          </cell>
          <cell r="L55" t="str">
            <v>PU</v>
          </cell>
          <cell r="M55" t="str">
            <v>110305</v>
          </cell>
          <cell r="N55" t="str">
            <v>UNION FILLER</v>
          </cell>
        </row>
        <row r="56">
          <cell r="C56" t="str">
            <v>100000054</v>
          </cell>
          <cell r="D56" t="str">
            <v>64-56 MICRO FILLER TT K 05 TT VN-20KP</v>
          </cell>
          <cell r="E56" t="str">
            <v>ZFGD</v>
          </cell>
          <cell r="F56" t="str">
            <v>PC</v>
          </cell>
          <cell r="G56" t="str">
            <v>1</v>
          </cell>
          <cell r="H56" t="str">
            <v>INDUSTRY</v>
          </cell>
          <cell r="I56" t="str">
            <v>11</v>
          </cell>
          <cell r="J56" t="str">
            <v>WOOD COATINGS</v>
          </cell>
          <cell r="K56" t="str">
            <v>1103</v>
          </cell>
          <cell r="L56" t="str">
            <v>PU</v>
          </cell>
          <cell r="M56" t="str">
            <v>110305</v>
          </cell>
          <cell r="N56" t="str">
            <v>UNION FILLER</v>
          </cell>
        </row>
        <row r="57">
          <cell r="C57" t="str">
            <v>100000055</v>
          </cell>
          <cell r="D57" t="str">
            <v>64-56 MICRO FILLER TT K 06 TT VN-20KP</v>
          </cell>
          <cell r="E57" t="str">
            <v>ZFGD</v>
          </cell>
          <cell r="F57" t="str">
            <v>PC</v>
          </cell>
          <cell r="G57" t="str">
            <v>1</v>
          </cell>
          <cell r="H57" t="str">
            <v>INDUSTRY</v>
          </cell>
          <cell r="I57" t="str">
            <v>11</v>
          </cell>
          <cell r="J57" t="str">
            <v>WOOD COATINGS</v>
          </cell>
          <cell r="K57" t="str">
            <v>1103</v>
          </cell>
          <cell r="L57" t="str">
            <v>PU</v>
          </cell>
          <cell r="M57" t="str">
            <v>110305</v>
          </cell>
          <cell r="N57" t="str">
            <v>UNION FILLER</v>
          </cell>
        </row>
        <row r="58">
          <cell r="C58" t="str">
            <v>100000056</v>
          </cell>
          <cell r="D58" t="str">
            <v>64-56 MICRO FILLER TT K 01 TT VN-20KP</v>
          </cell>
          <cell r="E58" t="str">
            <v>ZFGD</v>
          </cell>
          <cell r="F58" t="str">
            <v>PC</v>
          </cell>
          <cell r="G58" t="str">
            <v>1</v>
          </cell>
          <cell r="H58" t="str">
            <v>INDUSTRY</v>
          </cell>
          <cell r="I58" t="str">
            <v>11</v>
          </cell>
          <cell r="J58" t="str">
            <v>WOOD COATINGS</v>
          </cell>
          <cell r="K58" t="str">
            <v>1103</v>
          </cell>
          <cell r="L58" t="str">
            <v>PU</v>
          </cell>
          <cell r="M58" t="str">
            <v>110305</v>
          </cell>
          <cell r="N58" t="str">
            <v>UNION FILLER</v>
          </cell>
        </row>
        <row r="59">
          <cell r="C59" t="str">
            <v>100000057</v>
          </cell>
          <cell r="D59" t="str">
            <v>64-56 MICRO FILLER VHT 19 DM VN-20KP</v>
          </cell>
          <cell r="E59" t="str">
            <v>ZFGD</v>
          </cell>
          <cell r="F59" t="str">
            <v>PC</v>
          </cell>
          <cell r="G59" t="str">
            <v>1</v>
          </cell>
          <cell r="H59" t="str">
            <v>INDUSTRY</v>
          </cell>
          <cell r="I59" t="str">
            <v>11</v>
          </cell>
          <cell r="J59" t="str">
            <v>WOOD COATINGS</v>
          </cell>
          <cell r="K59" t="str">
            <v>1103</v>
          </cell>
          <cell r="L59" t="str">
            <v>PU</v>
          </cell>
          <cell r="M59" t="str">
            <v>110305</v>
          </cell>
          <cell r="N59" t="str">
            <v>UNION FILLER</v>
          </cell>
        </row>
        <row r="60">
          <cell r="C60" t="str">
            <v>100000058</v>
          </cell>
          <cell r="D60" t="str">
            <v>64-56 MICRO FILLER VHT 19 IF VN-20KP</v>
          </cell>
          <cell r="E60" t="str">
            <v>ZFGD</v>
          </cell>
          <cell r="F60" t="str">
            <v>PC</v>
          </cell>
          <cell r="G60" t="str">
            <v>1</v>
          </cell>
          <cell r="H60" t="str">
            <v>INDUSTRY</v>
          </cell>
          <cell r="I60" t="str">
            <v>11</v>
          </cell>
          <cell r="J60" t="str">
            <v>WOOD COATINGS</v>
          </cell>
          <cell r="K60" t="str">
            <v>1103</v>
          </cell>
          <cell r="L60" t="str">
            <v>PU</v>
          </cell>
          <cell r="M60" t="str">
            <v>110305</v>
          </cell>
          <cell r="N60" t="str">
            <v>UNION FILLER</v>
          </cell>
        </row>
        <row r="61">
          <cell r="C61" t="str">
            <v>100000059</v>
          </cell>
          <cell r="D61" t="str">
            <v>64-56 MICRO FILLER WA BEECH TT VN-20KP</v>
          </cell>
          <cell r="E61" t="str">
            <v>ZFGD</v>
          </cell>
          <cell r="F61" t="str">
            <v>PC</v>
          </cell>
          <cell r="G61" t="str">
            <v>1</v>
          </cell>
          <cell r="H61" t="str">
            <v>INDUSTRY</v>
          </cell>
          <cell r="I61" t="str">
            <v>11</v>
          </cell>
          <cell r="J61" t="str">
            <v>WOOD COATINGS</v>
          </cell>
          <cell r="K61" t="str">
            <v>1103</v>
          </cell>
          <cell r="L61" t="str">
            <v>PU</v>
          </cell>
          <cell r="M61" t="str">
            <v>110305</v>
          </cell>
          <cell r="N61" t="str">
            <v>UNION FILLER</v>
          </cell>
        </row>
        <row r="62">
          <cell r="C62" t="str">
            <v>100000060</v>
          </cell>
          <cell r="D62" t="str">
            <v>64-56 MICRO FILLER WALNUT IF VN-20KP</v>
          </cell>
          <cell r="E62" t="str">
            <v>ZFGD</v>
          </cell>
          <cell r="F62" t="str">
            <v>PC</v>
          </cell>
          <cell r="G62" t="str">
            <v>1</v>
          </cell>
          <cell r="H62" t="str">
            <v>INDUSTRY</v>
          </cell>
          <cell r="I62" t="str">
            <v>11</v>
          </cell>
          <cell r="J62" t="str">
            <v>WOOD COATINGS</v>
          </cell>
          <cell r="K62" t="str">
            <v>1103</v>
          </cell>
          <cell r="L62" t="str">
            <v>PU</v>
          </cell>
          <cell r="M62" t="str">
            <v>110305</v>
          </cell>
          <cell r="N62" t="str">
            <v>UNION FILLER</v>
          </cell>
        </row>
        <row r="63">
          <cell r="C63" t="str">
            <v>100000061</v>
          </cell>
          <cell r="D63" t="str">
            <v>64-56 MICRO FILLER WD2 IF VN-20KP</v>
          </cell>
          <cell r="E63" t="str">
            <v>ZFGD</v>
          </cell>
          <cell r="F63" t="str">
            <v>PC</v>
          </cell>
          <cell r="G63" t="str">
            <v>1</v>
          </cell>
          <cell r="H63" t="str">
            <v>INDUSTRY</v>
          </cell>
          <cell r="I63" t="str">
            <v>11</v>
          </cell>
          <cell r="J63" t="str">
            <v>WOOD COATINGS</v>
          </cell>
          <cell r="K63" t="str">
            <v>1103</v>
          </cell>
          <cell r="L63" t="str">
            <v>PU</v>
          </cell>
          <cell r="M63" t="str">
            <v>110305</v>
          </cell>
          <cell r="N63" t="str">
            <v>UNION FILLER</v>
          </cell>
        </row>
        <row r="64">
          <cell r="C64" t="str">
            <v>100000062</v>
          </cell>
          <cell r="D64" t="str">
            <v>64-56 MICRO FILLER WD8 IF VN-20KP</v>
          </cell>
          <cell r="E64" t="str">
            <v>ZFGD</v>
          </cell>
          <cell r="F64" t="str">
            <v>PC</v>
          </cell>
          <cell r="G64" t="str">
            <v>1</v>
          </cell>
          <cell r="H64" t="str">
            <v>INDUSTRY</v>
          </cell>
          <cell r="I64" t="str">
            <v>11</v>
          </cell>
          <cell r="J64" t="str">
            <v>WOOD COATINGS</v>
          </cell>
          <cell r="K64" t="str">
            <v>1103</v>
          </cell>
          <cell r="L64" t="str">
            <v>PU</v>
          </cell>
          <cell r="M64" t="str">
            <v>110305</v>
          </cell>
          <cell r="N64" t="str">
            <v>UNION FILLER</v>
          </cell>
        </row>
        <row r="65">
          <cell r="C65" t="str">
            <v>100000063</v>
          </cell>
          <cell r="D65" t="str">
            <v>64-56 MICRO FILLER WV 11 AH VN-20KP</v>
          </cell>
          <cell r="E65" t="str">
            <v>ZFGD</v>
          </cell>
          <cell r="F65" t="str">
            <v>PC</v>
          </cell>
          <cell r="G65" t="str">
            <v>1</v>
          </cell>
          <cell r="H65" t="str">
            <v>INDUSTRY</v>
          </cell>
          <cell r="I65" t="str">
            <v>11</v>
          </cell>
          <cell r="J65" t="str">
            <v>WOOD COATINGS</v>
          </cell>
          <cell r="K65" t="str">
            <v>1103</v>
          </cell>
          <cell r="L65" t="str">
            <v>PU</v>
          </cell>
          <cell r="M65" t="str">
            <v>110305</v>
          </cell>
          <cell r="N65" t="str">
            <v>UNION FILLER</v>
          </cell>
        </row>
        <row r="66">
          <cell r="C66" t="str">
            <v>100000064</v>
          </cell>
          <cell r="D66" t="str">
            <v>64-56 MICRO FILLER WV 31 AH VN-20KP</v>
          </cell>
          <cell r="E66" t="str">
            <v>ZFGD</v>
          </cell>
          <cell r="F66" t="str">
            <v>PC</v>
          </cell>
          <cell r="G66" t="str">
            <v>1</v>
          </cell>
          <cell r="H66" t="str">
            <v>INDUSTRY</v>
          </cell>
          <cell r="I66" t="str">
            <v>11</v>
          </cell>
          <cell r="J66" t="str">
            <v>WOOD COATINGS</v>
          </cell>
          <cell r="K66" t="str">
            <v>1103</v>
          </cell>
          <cell r="L66" t="str">
            <v>PU</v>
          </cell>
          <cell r="M66" t="str">
            <v>110305</v>
          </cell>
          <cell r="N66" t="str">
            <v>UNION FILLER</v>
          </cell>
        </row>
        <row r="67">
          <cell r="C67" t="str">
            <v>100000065</v>
          </cell>
          <cell r="D67" t="str">
            <v>64-56 MICRO FILLER YELLOW TL VN-20KP</v>
          </cell>
          <cell r="E67" t="str">
            <v>ZFGD</v>
          </cell>
          <cell r="F67" t="str">
            <v>PC</v>
          </cell>
          <cell r="G67" t="str">
            <v>1</v>
          </cell>
          <cell r="H67" t="str">
            <v>INDUSTRY</v>
          </cell>
          <cell r="I67" t="str">
            <v>11</v>
          </cell>
          <cell r="J67" t="str">
            <v>WOOD COATINGS</v>
          </cell>
          <cell r="K67" t="str">
            <v>1103</v>
          </cell>
          <cell r="L67" t="str">
            <v>PU</v>
          </cell>
          <cell r="M67" t="str">
            <v>110305</v>
          </cell>
          <cell r="N67" t="str">
            <v>UNION FILLER</v>
          </cell>
        </row>
        <row r="68">
          <cell r="C68" t="str">
            <v>100000066</v>
          </cell>
          <cell r="D68" t="str">
            <v>64-56 MICRO FILLER ZP NS VN-20KP</v>
          </cell>
          <cell r="E68" t="str">
            <v>ZFGD</v>
          </cell>
          <cell r="F68" t="str">
            <v>PC</v>
          </cell>
          <cell r="G68" t="str">
            <v>1</v>
          </cell>
          <cell r="H68" t="str">
            <v>INDUSTRY</v>
          </cell>
          <cell r="I68" t="str">
            <v>11</v>
          </cell>
          <cell r="J68" t="str">
            <v>WOOD COATINGS</v>
          </cell>
          <cell r="K68" t="str">
            <v>1103</v>
          </cell>
          <cell r="L68" t="str">
            <v>PU</v>
          </cell>
          <cell r="M68" t="str">
            <v>110305</v>
          </cell>
          <cell r="N68" t="str">
            <v>UNION FILLER</v>
          </cell>
        </row>
        <row r="69">
          <cell r="C69" t="str">
            <v>100000067</v>
          </cell>
          <cell r="D69" t="str">
            <v>64-56 MICRO FILLER VN-20KP</v>
          </cell>
          <cell r="E69" t="str">
            <v>ZFGD</v>
          </cell>
          <cell r="F69" t="str">
            <v>PC</v>
          </cell>
          <cell r="G69" t="str">
            <v>1</v>
          </cell>
          <cell r="H69" t="str">
            <v>INDUSTRY</v>
          </cell>
          <cell r="I69" t="str">
            <v>11</v>
          </cell>
          <cell r="J69" t="str">
            <v>WOOD COATINGS</v>
          </cell>
          <cell r="K69" t="str">
            <v>1103</v>
          </cell>
          <cell r="L69" t="str">
            <v>PU</v>
          </cell>
          <cell r="M69" t="str">
            <v>110305</v>
          </cell>
          <cell r="N69" t="str">
            <v>UNION FILLER</v>
          </cell>
        </row>
        <row r="70">
          <cell r="C70" t="str">
            <v>100000068</v>
          </cell>
          <cell r="D70" t="str">
            <v>64-56 MICRO FILLER 78 SV VN-20KP</v>
          </cell>
          <cell r="E70" t="str">
            <v>ZFGD</v>
          </cell>
          <cell r="F70" t="str">
            <v>PC</v>
          </cell>
          <cell r="G70" t="str">
            <v>1</v>
          </cell>
          <cell r="H70" t="str">
            <v>INDUSTRY</v>
          </cell>
          <cell r="I70" t="str">
            <v>11</v>
          </cell>
          <cell r="J70" t="str">
            <v>WOOD COATINGS</v>
          </cell>
          <cell r="K70" t="str">
            <v>1103</v>
          </cell>
          <cell r="L70" t="str">
            <v>PU</v>
          </cell>
          <cell r="M70" t="str">
            <v>110305</v>
          </cell>
          <cell r="N70" t="str">
            <v>UNION FILLER</v>
          </cell>
        </row>
        <row r="71">
          <cell r="C71" t="str">
            <v>100000069</v>
          </cell>
          <cell r="D71" t="str">
            <v>82-3008 UE AF URT SEALER A-20LP</v>
          </cell>
          <cell r="E71" t="str">
            <v>ZFGD</v>
          </cell>
          <cell r="F71" t="str">
            <v>PC</v>
          </cell>
          <cell r="G71" t="str">
            <v>1</v>
          </cell>
          <cell r="H71" t="str">
            <v>INDUSTRY</v>
          </cell>
          <cell r="I71" t="str">
            <v>11</v>
          </cell>
          <cell r="J71" t="str">
            <v>WOOD COATINGS</v>
          </cell>
          <cell r="K71" t="str">
            <v>1103</v>
          </cell>
          <cell r="L71" t="str">
            <v>PU</v>
          </cell>
          <cell r="M71" t="str">
            <v>110308</v>
          </cell>
          <cell r="N71" t="str">
            <v>UNION SANDING SEALER</v>
          </cell>
        </row>
        <row r="72">
          <cell r="C72" t="str">
            <v>100000070</v>
          </cell>
          <cell r="D72" t="str">
            <v>APC-93100 BLUE DL VN-20KP</v>
          </cell>
          <cell r="E72" t="str">
            <v>ZFGD</v>
          </cell>
          <cell r="F72" t="str">
            <v>PC</v>
          </cell>
          <cell r="G72" t="str">
            <v>1</v>
          </cell>
          <cell r="H72" t="str">
            <v>INDUSTRY</v>
          </cell>
          <cell r="I72" t="str">
            <v>16</v>
          </cell>
          <cell r="J72" t="str">
            <v>METAL COATINGS</v>
          </cell>
          <cell r="K72" t="str">
            <v>1601</v>
          </cell>
          <cell r="L72" t="str">
            <v>METAL COATINGS</v>
          </cell>
          <cell r="M72" t="str">
            <v>160101</v>
          </cell>
          <cell r="N72" t="str">
            <v>METAL COATINGS</v>
          </cell>
        </row>
        <row r="73">
          <cell r="C73" t="str">
            <v>100000071</v>
          </cell>
          <cell r="D73" t="str">
            <v>DC-12207 CREAM 50 GH VN-20KP</v>
          </cell>
          <cell r="E73" t="str">
            <v>ZFGD</v>
          </cell>
          <cell r="F73" t="str">
            <v>PC</v>
          </cell>
          <cell r="G73" t="str">
            <v>1</v>
          </cell>
          <cell r="H73" t="str">
            <v>INDUSTRY</v>
          </cell>
          <cell r="I73" t="str">
            <v>11</v>
          </cell>
          <cell r="J73" t="str">
            <v>WOOD COATINGS</v>
          </cell>
          <cell r="K73" t="str">
            <v>1104</v>
          </cell>
          <cell r="L73" t="str">
            <v>NC</v>
          </cell>
          <cell r="M73" t="str">
            <v>110405</v>
          </cell>
          <cell r="N73" t="str">
            <v>NC SYSTEM</v>
          </cell>
        </row>
        <row r="74">
          <cell r="C74" t="str">
            <v>100000072</v>
          </cell>
          <cell r="D74" t="str">
            <v>DC-12207 GREY 50 GH VN-20KP</v>
          </cell>
          <cell r="E74" t="str">
            <v>ZFGD</v>
          </cell>
          <cell r="F74" t="str">
            <v>PC</v>
          </cell>
          <cell r="G74" t="str">
            <v>1</v>
          </cell>
          <cell r="H74" t="str">
            <v>INDUSTRY</v>
          </cell>
          <cell r="I74" t="str">
            <v>11</v>
          </cell>
          <cell r="J74" t="str">
            <v>WOOD COATINGS</v>
          </cell>
          <cell r="K74" t="str">
            <v>1104</v>
          </cell>
          <cell r="L74" t="str">
            <v>NC</v>
          </cell>
          <cell r="M74" t="str">
            <v>110405</v>
          </cell>
          <cell r="N74" t="str">
            <v>NC SYSTEM</v>
          </cell>
        </row>
        <row r="75">
          <cell r="C75" t="str">
            <v>100000073</v>
          </cell>
          <cell r="D75" t="str">
            <v>DC-12207 WHITE 20 YJ VN-20KP</v>
          </cell>
          <cell r="E75" t="str">
            <v>ZFGD</v>
          </cell>
          <cell r="F75" t="str">
            <v>PC</v>
          </cell>
          <cell r="G75" t="str">
            <v>1</v>
          </cell>
          <cell r="H75" t="str">
            <v>INDUSTRY</v>
          </cell>
          <cell r="I75" t="str">
            <v>11</v>
          </cell>
          <cell r="J75" t="str">
            <v>WOOD COATINGS</v>
          </cell>
          <cell r="K75" t="str">
            <v>1104</v>
          </cell>
          <cell r="L75" t="str">
            <v>NC</v>
          </cell>
          <cell r="M75" t="str">
            <v>110405</v>
          </cell>
          <cell r="N75" t="str">
            <v>NC SYSTEM</v>
          </cell>
        </row>
        <row r="76">
          <cell r="C76" t="str">
            <v>100000074</v>
          </cell>
          <cell r="D76" t="str">
            <v>DC-12207 WHITE 50 VN-20KP</v>
          </cell>
          <cell r="E76" t="str">
            <v>ZFGD</v>
          </cell>
          <cell r="F76" t="str">
            <v>PC</v>
          </cell>
          <cell r="G76" t="str">
            <v>1</v>
          </cell>
          <cell r="H76" t="str">
            <v>INDUSTRY</v>
          </cell>
          <cell r="I76" t="str">
            <v>11</v>
          </cell>
          <cell r="J76" t="str">
            <v>WOOD COATINGS</v>
          </cell>
          <cell r="K76" t="str">
            <v>1104</v>
          </cell>
          <cell r="L76" t="str">
            <v>NC</v>
          </cell>
          <cell r="M76" t="str">
            <v>110405</v>
          </cell>
          <cell r="N76" t="str">
            <v>NC SYSTEM</v>
          </cell>
        </row>
        <row r="77">
          <cell r="C77" t="str">
            <v>100000075</v>
          </cell>
          <cell r="D77" t="str">
            <v>DC-12220 LC BLACK 30 SM VN-20LP</v>
          </cell>
          <cell r="E77" t="str">
            <v>ZFGD</v>
          </cell>
          <cell r="F77" t="str">
            <v>PC</v>
          </cell>
          <cell r="G77" t="str">
            <v>1</v>
          </cell>
          <cell r="H77" t="str">
            <v>INDUSTRY</v>
          </cell>
          <cell r="I77" t="str">
            <v>11</v>
          </cell>
          <cell r="J77" t="str">
            <v>WOOD COATINGS</v>
          </cell>
          <cell r="K77" t="str">
            <v>1104</v>
          </cell>
          <cell r="L77" t="str">
            <v>NC</v>
          </cell>
          <cell r="M77" t="str">
            <v>110405</v>
          </cell>
          <cell r="N77" t="str">
            <v>NC SYSTEM</v>
          </cell>
        </row>
        <row r="78">
          <cell r="C78" t="str">
            <v>100000076</v>
          </cell>
          <cell r="D78" t="str">
            <v>FLX-66300 WB VN-20KP</v>
          </cell>
          <cell r="E78" t="str">
            <v>ZFGD</v>
          </cell>
          <cell r="F78" t="str">
            <v>PC</v>
          </cell>
          <cell r="G78" t="str">
            <v>1</v>
          </cell>
          <cell r="H78" t="str">
            <v>INDUSTRY</v>
          </cell>
          <cell r="I78" t="str">
            <v>11</v>
          </cell>
          <cell r="J78" t="str">
            <v>WOOD COATINGS</v>
          </cell>
          <cell r="K78" t="str">
            <v>1119</v>
          </cell>
          <cell r="L78" t="str">
            <v>WATERBASED</v>
          </cell>
          <cell r="M78" t="str">
            <v>111902</v>
          </cell>
          <cell r="N78" t="str">
            <v>WATERBASED SYSTEM INTERIOR</v>
          </cell>
        </row>
        <row r="79">
          <cell r="C79" t="str">
            <v>100000077</v>
          </cell>
          <cell r="D79" t="str">
            <v>FLX-66300 WB CLEAR VN-20KP</v>
          </cell>
          <cell r="E79" t="str">
            <v>ZFGD</v>
          </cell>
          <cell r="F79" t="str">
            <v>PC</v>
          </cell>
          <cell r="G79" t="str">
            <v>1</v>
          </cell>
          <cell r="H79" t="str">
            <v>INDUSTRY</v>
          </cell>
          <cell r="I79" t="str">
            <v>11</v>
          </cell>
          <cell r="J79" t="str">
            <v>WOOD COATINGS</v>
          </cell>
          <cell r="K79" t="str">
            <v>1119</v>
          </cell>
          <cell r="L79" t="str">
            <v>WATERBASED</v>
          </cell>
          <cell r="M79" t="str">
            <v>111902</v>
          </cell>
          <cell r="N79" t="str">
            <v>WATERBASED SYSTEM INTERIOR</v>
          </cell>
        </row>
        <row r="80">
          <cell r="C80" t="str">
            <v>100000078</v>
          </cell>
          <cell r="D80" t="str">
            <v>GZ-12700 VDB PASTE 20 NEW A3 VN-18KP</v>
          </cell>
          <cell r="E80" t="str">
            <v>ZFGD</v>
          </cell>
          <cell r="F80" t="str">
            <v>PC</v>
          </cell>
          <cell r="G80" t="str">
            <v>1</v>
          </cell>
          <cell r="H80" t="str">
            <v>INDUSTRY</v>
          </cell>
          <cell r="I80" t="str">
            <v>11</v>
          </cell>
          <cell r="J80" t="str">
            <v>WOOD COATINGS</v>
          </cell>
          <cell r="K80" t="str">
            <v>1109</v>
          </cell>
          <cell r="L80" t="str">
            <v>STAIN &amp; GLAZE INTERIOR</v>
          </cell>
          <cell r="M80" t="str">
            <v>110901</v>
          </cell>
          <cell r="N80" t="str">
            <v>ASOF : STAIN &amp; GLAZE</v>
          </cell>
        </row>
        <row r="81">
          <cell r="C81" t="str">
            <v>100000079</v>
          </cell>
          <cell r="D81" t="str">
            <v>GZ-12700 N 065 A F1 VN-18KP</v>
          </cell>
          <cell r="E81" t="str">
            <v>ZFGD</v>
          </cell>
          <cell r="F81" t="str">
            <v>PC</v>
          </cell>
          <cell r="G81" t="str">
            <v>1</v>
          </cell>
          <cell r="H81" t="str">
            <v>INDUSTRY</v>
          </cell>
          <cell r="I81" t="str">
            <v>11</v>
          </cell>
          <cell r="J81" t="str">
            <v>WOOD COATINGS</v>
          </cell>
          <cell r="K81" t="str">
            <v>1109</v>
          </cell>
          <cell r="L81" t="str">
            <v>STAIN &amp; GLAZE INTERIOR</v>
          </cell>
          <cell r="M81" t="str">
            <v>110901</v>
          </cell>
          <cell r="N81" t="str">
            <v>ASOF : STAIN &amp; GLAZE</v>
          </cell>
        </row>
        <row r="82">
          <cell r="C82" t="str">
            <v>100000080</v>
          </cell>
          <cell r="D82" t="str">
            <v>GZ-12700 N 065 B F1 VN-18KP</v>
          </cell>
          <cell r="E82" t="str">
            <v>ZFGD</v>
          </cell>
          <cell r="F82" t="str">
            <v>PC</v>
          </cell>
          <cell r="G82" t="str">
            <v>1</v>
          </cell>
          <cell r="H82" t="str">
            <v>INDUSTRY</v>
          </cell>
          <cell r="I82" t="str">
            <v>11</v>
          </cell>
          <cell r="J82" t="str">
            <v>WOOD COATINGS</v>
          </cell>
          <cell r="K82" t="str">
            <v>1109</v>
          </cell>
          <cell r="L82" t="str">
            <v>STAIN &amp; GLAZE INTERIOR</v>
          </cell>
          <cell r="M82" t="str">
            <v>110901</v>
          </cell>
          <cell r="N82" t="str">
            <v>ASOF : STAIN &amp; GLAZE</v>
          </cell>
        </row>
        <row r="83">
          <cell r="C83" t="str">
            <v>100000081</v>
          </cell>
          <cell r="D83" t="str">
            <v>GZ-9127 N 499 AK-18KP</v>
          </cell>
          <cell r="E83" t="str">
            <v>ZFGD</v>
          </cell>
          <cell r="F83" t="str">
            <v>PC</v>
          </cell>
          <cell r="G83" t="str">
            <v>1</v>
          </cell>
          <cell r="H83" t="str">
            <v>INDUSTRY</v>
          </cell>
          <cell r="I83" t="str">
            <v>11</v>
          </cell>
          <cell r="J83" t="str">
            <v>WOOD COATINGS</v>
          </cell>
          <cell r="K83" t="str">
            <v>1109</v>
          </cell>
          <cell r="L83" t="str">
            <v>STAIN &amp; GLAZE INTERIOR</v>
          </cell>
          <cell r="M83" t="str">
            <v>110901</v>
          </cell>
          <cell r="N83" t="str">
            <v>ASOF : STAIN &amp; GLAZE</v>
          </cell>
        </row>
        <row r="84">
          <cell r="C84" t="str">
            <v>100000082</v>
          </cell>
          <cell r="D84" t="str">
            <v>GZ-9127 N 554 AK-18KP</v>
          </cell>
          <cell r="E84" t="str">
            <v>ZFGD</v>
          </cell>
          <cell r="F84" t="str">
            <v>PC</v>
          </cell>
          <cell r="G84" t="str">
            <v>1</v>
          </cell>
          <cell r="H84" t="str">
            <v>INDUSTRY</v>
          </cell>
          <cell r="I84" t="str">
            <v>11</v>
          </cell>
          <cell r="J84" t="str">
            <v>WOOD COATINGS</v>
          </cell>
          <cell r="K84" t="str">
            <v>1109</v>
          </cell>
          <cell r="L84" t="str">
            <v>STAIN &amp; GLAZE INTERIOR</v>
          </cell>
          <cell r="M84" t="str">
            <v>110901</v>
          </cell>
          <cell r="N84" t="str">
            <v>ASOF : STAIN &amp; GLAZE</v>
          </cell>
        </row>
        <row r="85">
          <cell r="C85" t="str">
            <v>100000083</v>
          </cell>
          <cell r="D85" t="str">
            <v>GZ-9127-N570-AK-18KP</v>
          </cell>
          <cell r="E85" t="str">
            <v>ZFGD</v>
          </cell>
          <cell r="F85" t="str">
            <v>PC</v>
          </cell>
          <cell r="G85" t="str">
            <v>1</v>
          </cell>
          <cell r="H85" t="str">
            <v>INDUSTRY</v>
          </cell>
          <cell r="I85" t="str">
            <v>11</v>
          </cell>
          <cell r="J85" t="str">
            <v>WOOD COATINGS</v>
          </cell>
          <cell r="K85" t="str">
            <v>1109</v>
          </cell>
          <cell r="L85" t="str">
            <v>STAIN &amp; GLAZE INTERIOR</v>
          </cell>
          <cell r="M85" t="str">
            <v>110901</v>
          </cell>
          <cell r="N85" t="str">
            <v>ASOF : STAIN &amp; GLAZE</v>
          </cell>
        </row>
        <row r="86">
          <cell r="C86" t="str">
            <v>100000084</v>
          </cell>
          <cell r="D86" t="str">
            <v>GZ-9127 N 602 AK-18KP</v>
          </cell>
          <cell r="E86" t="str">
            <v>ZFGD</v>
          </cell>
          <cell r="F86" t="str">
            <v>PC</v>
          </cell>
          <cell r="G86" t="str">
            <v>1</v>
          </cell>
          <cell r="H86" t="str">
            <v>INDUSTRY</v>
          </cell>
          <cell r="I86" t="str">
            <v>11</v>
          </cell>
          <cell r="J86" t="str">
            <v>WOOD COATINGS</v>
          </cell>
          <cell r="K86" t="str">
            <v>1109</v>
          </cell>
          <cell r="L86" t="str">
            <v>STAIN &amp; GLAZE INTERIOR</v>
          </cell>
          <cell r="M86" t="str">
            <v>110901</v>
          </cell>
          <cell r="N86" t="str">
            <v>ASOF : STAIN &amp; GLAZE</v>
          </cell>
        </row>
        <row r="87">
          <cell r="C87" t="str">
            <v>100000085</v>
          </cell>
          <cell r="D87" t="str">
            <v>GZ-12700 N 6797 HS VN-20LP</v>
          </cell>
          <cell r="E87" t="str">
            <v>ZFGD</v>
          </cell>
          <cell r="F87" t="str">
            <v>PC</v>
          </cell>
          <cell r="G87" t="str">
            <v>1</v>
          </cell>
          <cell r="H87" t="str">
            <v>INDUSTRY</v>
          </cell>
          <cell r="I87" t="str">
            <v>11</v>
          </cell>
          <cell r="J87" t="str">
            <v>WOOD COATINGS</v>
          </cell>
          <cell r="K87" t="str">
            <v>1109</v>
          </cell>
          <cell r="L87" t="str">
            <v>STAIN &amp; GLAZE INTERIOR</v>
          </cell>
          <cell r="M87" t="str">
            <v>110901</v>
          </cell>
          <cell r="N87" t="str">
            <v>ASOF : STAIN &amp; GLAZE</v>
          </cell>
        </row>
        <row r="88">
          <cell r="C88" t="str">
            <v>100000086</v>
          </cell>
          <cell r="D88" t="str">
            <v>GZ-9127-N-880-AK-4K</v>
          </cell>
          <cell r="E88" t="str">
            <v>ZFGD</v>
          </cell>
          <cell r="F88" t="str">
            <v>PC</v>
          </cell>
          <cell r="G88" t="str">
            <v>1</v>
          </cell>
          <cell r="H88" t="str">
            <v>INDUSTRY</v>
          </cell>
          <cell r="I88" t="str">
            <v>11</v>
          </cell>
          <cell r="J88" t="str">
            <v>WOOD COATINGS</v>
          </cell>
          <cell r="K88" t="str">
            <v>1109</v>
          </cell>
          <cell r="L88" t="str">
            <v>STAIN &amp; GLAZE INTERIOR</v>
          </cell>
          <cell r="M88" t="str">
            <v>110901</v>
          </cell>
          <cell r="N88" t="str">
            <v>ASOF : STAIN &amp; GLAZE</v>
          </cell>
        </row>
        <row r="89">
          <cell r="C89" t="str">
            <v>100000087</v>
          </cell>
          <cell r="D89" t="str">
            <v>GZ-9127-N880-AK-18KP</v>
          </cell>
          <cell r="E89" t="str">
            <v>ZFGD</v>
          </cell>
          <cell r="F89" t="str">
            <v>PC</v>
          </cell>
          <cell r="G89" t="str">
            <v>1</v>
          </cell>
          <cell r="H89" t="str">
            <v>INDUSTRY</v>
          </cell>
          <cell r="I89" t="str">
            <v>11</v>
          </cell>
          <cell r="J89" t="str">
            <v>WOOD COATINGS</v>
          </cell>
          <cell r="K89" t="str">
            <v>1109</v>
          </cell>
          <cell r="L89" t="str">
            <v>STAIN &amp; GLAZE INTERIOR</v>
          </cell>
          <cell r="M89" t="str">
            <v>110901</v>
          </cell>
          <cell r="N89" t="str">
            <v>ASOF : STAIN &amp; GLAZE</v>
          </cell>
        </row>
        <row r="90">
          <cell r="C90" t="str">
            <v>100000088</v>
          </cell>
          <cell r="D90" t="str">
            <v>GZ-12700 N BMC TT VN-18KP</v>
          </cell>
          <cell r="E90" t="str">
            <v>ZFGD</v>
          </cell>
          <cell r="F90" t="str">
            <v>PC</v>
          </cell>
          <cell r="G90" t="str">
            <v>1</v>
          </cell>
          <cell r="H90" t="str">
            <v>INDUSTRY</v>
          </cell>
          <cell r="I90" t="str">
            <v>11</v>
          </cell>
          <cell r="J90" t="str">
            <v>WOOD COATINGS</v>
          </cell>
          <cell r="K90" t="str">
            <v>1109</v>
          </cell>
          <cell r="L90" t="str">
            <v>STAIN &amp; GLAZE INTERIOR</v>
          </cell>
          <cell r="M90" t="str">
            <v>110901</v>
          </cell>
          <cell r="N90" t="str">
            <v>ASOF : STAIN &amp; GLAZE</v>
          </cell>
        </row>
        <row r="91">
          <cell r="C91" t="str">
            <v>100000089</v>
          </cell>
          <cell r="D91" t="str">
            <v>GZ-12700 N BROWN TG 1030 DT VN-18KP</v>
          </cell>
          <cell r="E91" t="str">
            <v>ZFGD</v>
          </cell>
          <cell r="F91" t="str">
            <v>PC</v>
          </cell>
          <cell r="G91" t="str">
            <v>1</v>
          </cell>
          <cell r="H91" t="str">
            <v>INDUSTRY</v>
          </cell>
          <cell r="I91" t="str">
            <v>11</v>
          </cell>
          <cell r="J91" t="str">
            <v>WOOD COATINGS</v>
          </cell>
          <cell r="K91" t="str">
            <v>1109</v>
          </cell>
          <cell r="L91" t="str">
            <v>STAIN &amp; GLAZE INTERIOR</v>
          </cell>
          <cell r="M91" t="str">
            <v>110901</v>
          </cell>
          <cell r="N91" t="str">
            <v>ASOF : STAIN &amp; GLAZE</v>
          </cell>
        </row>
        <row r="92">
          <cell r="C92" t="str">
            <v>100000090</v>
          </cell>
          <cell r="D92" t="str">
            <v>GZ-12700 N FC 2083 TL VN-18KP</v>
          </cell>
          <cell r="E92" t="str">
            <v>ZFGD</v>
          </cell>
          <cell r="F92" t="str">
            <v>PC</v>
          </cell>
          <cell r="G92" t="str">
            <v>1</v>
          </cell>
          <cell r="H92" t="str">
            <v>INDUSTRY</v>
          </cell>
          <cell r="I92" t="str">
            <v>11</v>
          </cell>
          <cell r="J92" t="str">
            <v>WOOD COATINGS</v>
          </cell>
          <cell r="K92" t="str">
            <v>1109</v>
          </cell>
          <cell r="L92" t="str">
            <v>STAIN &amp; GLAZE INTERIOR</v>
          </cell>
          <cell r="M92" t="str">
            <v>110901</v>
          </cell>
          <cell r="N92" t="str">
            <v>ASOF : STAIN &amp; GLAZE</v>
          </cell>
        </row>
        <row r="93">
          <cell r="C93" t="str">
            <v>100000091</v>
          </cell>
          <cell r="D93" t="str">
            <v>GZ-12700 N NEW TEAK F1 VN-18KP</v>
          </cell>
          <cell r="E93" t="str">
            <v>ZFGD</v>
          </cell>
          <cell r="F93" t="str">
            <v>PC</v>
          </cell>
          <cell r="G93" t="str">
            <v>1</v>
          </cell>
          <cell r="H93" t="str">
            <v>INDUSTRY</v>
          </cell>
          <cell r="I93" t="str">
            <v>11</v>
          </cell>
          <cell r="J93" t="str">
            <v>WOOD COATINGS</v>
          </cell>
          <cell r="K93" t="str">
            <v>1109</v>
          </cell>
          <cell r="L93" t="str">
            <v>STAIN &amp; GLAZE INTERIOR</v>
          </cell>
          <cell r="M93" t="str">
            <v>110901</v>
          </cell>
          <cell r="N93" t="str">
            <v>ASOF : STAIN &amp; GLAZE</v>
          </cell>
        </row>
        <row r="94">
          <cell r="C94" t="str">
            <v>100000092</v>
          </cell>
          <cell r="D94" t="str">
            <v>GZ-12700 N RUBI TRUONG VW VN-20LP</v>
          </cell>
          <cell r="E94" t="str">
            <v>ZFGD</v>
          </cell>
          <cell r="F94" t="str">
            <v>PC</v>
          </cell>
          <cell r="G94" t="str">
            <v>1</v>
          </cell>
          <cell r="H94" t="str">
            <v>INDUSTRY</v>
          </cell>
          <cell r="I94" t="str">
            <v>11</v>
          </cell>
          <cell r="J94" t="str">
            <v>WOOD COATINGS</v>
          </cell>
          <cell r="K94" t="str">
            <v>1109</v>
          </cell>
          <cell r="L94" t="str">
            <v>STAIN &amp; GLAZE INTERIOR</v>
          </cell>
          <cell r="M94" t="str">
            <v>110901</v>
          </cell>
          <cell r="N94" t="str">
            <v>ASOF : STAIN &amp; GLAZE</v>
          </cell>
        </row>
        <row r="95">
          <cell r="C95" t="str">
            <v>100000093</v>
          </cell>
          <cell r="D95" t="str">
            <v>GZ-12700 N STRATON KD VN-20KP</v>
          </cell>
          <cell r="E95" t="str">
            <v>ZFGD</v>
          </cell>
          <cell r="F95" t="str">
            <v>PC</v>
          </cell>
          <cell r="G95" t="str">
            <v>1</v>
          </cell>
          <cell r="H95" t="str">
            <v>INDUSTRY</v>
          </cell>
          <cell r="I95" t="str">
            <v>11</v>
          </cell>
          <cell r="J95" t="str">
            <v>WOOD COATINGS</v>
          </cell>
          <cell r="K95" t="str">
            <v>1109</v>
          </cell>
          <cell r="L95" t="str">
            <v>STAIN &amp; GLAZE INTERIOR</v>
          </cell>
          <cell r="M95" t="str">
            <v>110901</v>
          </cell>
          <cell r="N95" t="str">
            <v>ASOF : STAIN &amp; GLAZE</v>
          </cell>
        </row>
        <row r="96">
          <cell r="C96" t="str">
            <v>100000094</v>
          </cell>
          <cell r="D96" t="str">
            <v>GZ-12700 N TERROIR DB VN-20LP</v>
          </cell>
          <cell r="E96" t="str">
            <v>ZFGD</v>
          </cell>
          <cell r="F96" t="str">
            <v>PC</v>
          </cell>
          <cell r="G96" t="str">
            <v>1</v>
          </cell>
          <cell r="H96" t="str">
            <v>INDUSTRY</v>
          </cell>
          <cell r="I96" t="str">
            <v>11</v>
          </cell>
          <cell r="J96" t="str">
            <v>WOOD COATINGS</v>
          </cell>
          <cell r="K96" t="str">
            <v>1109</v>
          </cell>
          <cell r="L96" t="str">
            <v>STAIN &amp; GLAZE INTERIOR</v>
          </cell>
          <cell r="M96" t="str">
            <v>110901</v>
          </cell>
          <cell r="N96" t="str">
            <v>ASOF : STAIN &amp; GLAZE</v>
          </cell>
        </row>
        <row r="97">
          <cell r="C97" t="str">
            <v>100000095</v>
          </cell>
          <cell r="D97" t="str">
            <v>GZ-9127-WS-AK-18KP</v>
          </cell>
          <cell r="E97" t="str">
            <v>ZFGD</v>
          </cell>
          <cell r="F97" t="str">
            <v>PC</v>
          </cell>
          <cell r="G97" t="str">
            <v>1</v>
          </cell>
          <cell r="H97" t="str">
            <v>INDUSTRY</v>
          </cell>
          <cell r="I97" t="str">
            <v>11</v>
          </cell>
          <cell r="J97" t="str">
            <v>WOOD COATINGS</v>
          </cell>
          <cell r="K97" t="str">
            <v>1109</v>
          </cell>
          <cell r="L97" t="str">
            <v>STAIN &amp; GLAZE INTERIOR</v>
          </cell>
          <cell r="M97" t="str">
            <v>110901</v>
          </cell>
          <cell r="N97" t="str">
            <v>ASOF : STAIN &amp; GLAZE</v>
          </cell>
        </row>
        <row r="98">
          <cell r="C98" t="str">
            <v>100000096</v>
          </cell>
          <cell r="D98" t="str">
            <v>GZ-12200 01 VI VN-20LP</v>
          </cell>
          <cell r="E98" t="str">
            <v>ZFGD</v>
          </cell>
          <cell r="F98" t="str">
            <v>PC</v>
          </cell>
          <cell r="G98" t="str">
            <v>1</v>
          </cell>
          <cell r="H98" t="str">
            <v>INDUSTRY</v>
          </cell>
          <cell r="I98" t="str">
            <v>11</v>
          </cell>
          <cell r="J98" t="str">
            <v>WOOD COATINGS</v>
          </cell>
          <cell r="K98" t="str">
            <v>1109</v>
          </cell>
          <cell r="L98" t="str">
            <v>STAIN &amp; GLAZE INTERIOR</v>
          </cell>
          <cell r="M98" t="str">
            <v>110901</v>
          </cell>
          <cell r="N98" t="str">
            <v>ASOF : STAIN &amp; GLAZE</v>
          </cell>
        </row>
        <row r="99">
          <cell r="C99" t="str">
            <v>100000097</v>
          </cell>
          <cell r="D99" t="str">
            <v>GZ-12200 RE TR VN-20KP</v>
          </cell>
          <cell r="E99" t="str">
            <v>ZFGD</v>
          </cell>
          <cell r="F99" t="str">
            <v>PC</v>
          </cell>
          <cell r="G99" t="str">
            <v>1</v>
          </cell>
          <cell r="H99" t="str">
            <v>INDUSTRY</v>
          </cell>
          <cell r="I99" t="str">
            <v>11</v>
          </cell>
          <cell r="J99" t="str">
            <v>WOOD COATINGS</v>
          </cell>
          <cell r="K99" t="str">
            <v>1109</v>
          </cell>
          <cell r="L99" t="str">
            <v>STAIN &amp; GLAZE INTERIOR</v>
          </cell>
          <cell r="M99" t="str">
            <v>110901</v>
          </cell>
          <cell r="N99" t="str">
            <v>ASOF : STAIN &amp; GLAZE</v>
          </cell>
        </row>
        <row r="100">
          <cell r="C100" t="str">
            <v>100000098</v>
          </cell>
          <cell r="D100" t="str">
            <v>GZPU-21500 39 02 MT VN-20LP</v>
          </cell>
          <cell r="E100" t="str">
            <v>ZFGD</v>
          </cell>
          <cell r="F100" t="str">
            <v>PC</v>
          </cell>
          <cell r="G100" t="str">
            <v>1</v>
          </cell>
          <cell r="H100" t="str">
            <v>INDUSTRY</v>
          </cell>
          <cell r="I100" t="str">
            <v>11</v>
          </cell>
          <cell r="J100" t="str">
            <v>WOOD COATINGS</v>
          </cell>
          <cell r="K100" t="str">
            <v>1103</v>
          </cell>
          <cell r="L100" t="str">
            <v>PU</v>
          </cell>
          <cell r="M100" t="str">
            <v>110302</v>
          </cell>
          <cell r="N100" t="str">
            <v>GLAZE PU</v>
          </cell>
        </row>
        <row r="101">
          <cell r="C101" t="str">
            <v>100000099</v>
          </cell>
          <cell r="D101" t="str">
            <v>GZPU-21500  25 AH VN-18KP</v>
          </cell>
          <cell r="E101" t="str">
            <v>ZFGD</v>
          </cell>
          <cell r="F101" t="str">
            <v>PC</v>
          </cell>
          <cell r="G101" t="str">
            <v>1</v>
          </cell>
          <cell r="H101" t="str">
            <v>INDUSTRY</v>
          </cell>
          <cell r="I101" t="str">
            <v>11</v>
          </cell>
          <cell r="J101" t="str">
            <v>WOOD COATINGS</v>
          </cell>
          <cell r="K101" t="str">
            <v>1103</v>
          </cell>
          <cell r="L101" t="str">
            <v>PU</v>
          </cell>
          <cell r="M101" t="str">
            <v>110302</v>
          </cell>
          <cell r="N101" t="str">
            <v>GLAZE PU</v>
          </cell>
        </row>
        <row r="102">
          <cell r="C102" t="str">
            <v>100000100</v>
          </cell>
          <cell r="D102" t="str">
            <v>GZPU-21500 BLACK VN-18KP</v>
          </cell>
          <cell r="E102" t="str">
            <v>ZFGD</v>
          </cell>
          <cell r="F102" t="str">
            <v>PC</v>
          </cell>
          <cell r="G102" t="str">
            <v>1</v>
          </cell>
          <cell r="H102" t="str">
            <v>INDUSTRY</v>
          </cell>
          <cell r="I102" t="str">
            <v>11</v>
          </cell>
          <cell r="J102" t="str">
            <v>WOOD COATINGS</v>
          </cell>
          <cell r="K102" t="str">
            <v>1103</v>
          </cell>
          <cell r="L102" t="str">
            <v>PU</v>
          </cell>
          <cell r="M102" t="str">
            <v>110302</v>
          </cell>
          <cell r="N102" t="str">
            <v>GLAZE PU</v>
          </cell>
        </row>
        <row r="103">
          <cell r="C103" t="str">
            <v>100000101</v>
          </cell>
          <cell r="D103" t="str">
            <v>GZPU-21500 BROWN 16 DB VN-18KP</v>
          </cell>
          <cell r="E103" t="str">
            <v>ZFGD</v>
          </cell>
          <cell r="F103" t="str">
            <v>PC</v>
          </cell>
          <cell r="G103" t="str">
            <v>1</v>
          </cell>
          <cell r="H103" t="str">
            <v>INDUSTRY</v>
          </cell>
          <cell r="I103" t="str">
            <v>11</v>
          </cell>
          <cell r="J103" t="str">
            <v>WOOD COATINGS</v>
          </cell>
          <cell r="K103" t="str">
            <v>1103</v>
          </cell>
          <cell r="L103" t="str">
            <v>PU</v>
          </cell>
          <cell r="M103" t="str">
            <v>110302</v>
          </cell>
          <cell r="N103" t="str">
            <v>GLAZE PU</v>
          </cell>
        </row>
        <row r="104">
          <cell r="C104" t="str">
            <v>100000102</v>
          </cell>
          <cell r="D104" t="str">
            <v>GZPU-21500 CHESTNUT TL VN-18KP</v>
          </cell>
          <cell r="E104" t="str">
            <v>ZFGD</v>
          </cell>
          <cell r="F104" t="str">
            <v>PC</v>
          </cell>
          <cell r="G104" t="str">
            <v>1</v>
          </cell>
          <cell r="H104" t="str">
            <v>INDUSTRY</v>
          </cell>
          <cell r="I104" t="str">
            <v>11</v>
          </cell>
          <cell r="J104" t="str">
            <v>WOOD COATINGS</v>
          </cell>
          <cell r="K104" t="str">
            <v>1103</v>
          </cell>
          <cell r="L104" t="str">
            <v>PU</v>
          </cell>
          <cell r="M104" t="str">
            <v>110302</v>
          </cell>
          <cell r="N104" t="str">
            <v>GLAZE PU</v>
          </cell>
        </row>
        <row r="105">
          <cell r="C105" t="str">
            <v>100000103</v>
          </cell>
          <cell r="D105" t="str">
            <v>GZPU-21500 CR CG 9 TL VN-18KP</v>
          </cell>
          <cell r="E105" t="str">
            <v>ZFGD</v>
          </cell>
          <cell r="F105" t="str">
            <v>PC</v>
          </cell>
          <cell r="G105" t="str">
            <v>1</v>
          </cell>
          <cell r="H105" t="str">
            <v>INDUSTRY</v>
          </cell>
          <cell r="I105" t="str">
            <v>11</v>
          </cell>
          <cell r="J105" t="str">
            <v>WOOD COATINGS</v>
          </cell>
          <cell r="K105" t="str">
            <v>1103</v>
          </cell>
          <cell r="L105" t="str">
            <v>PU</v>
          </cell>
          <cell r="M105" t="str">
            <v>110302</v>
          </cell>
          <cell r="N105" t="str">
            <v>GLAZE PU</v>
          </cell>
        </row>
        <row r="106">
          <cell r="C106" t="str">
            <v>100000104</v>
          </cell>
          <cell r="D106" t="str">
            <v>GZPU-21500 11 DN VN-18KP</v>
          </cell>
          <cell r="E106" t="str">
            <v>ZFGD</v>
          </cell>
          <cell r="F106" t="str">
            <v>PC</v>
          </cell>
          <cell r="G106" t="str">
            <v>1</v>
          </cell>
          <cell r="H106" t="str">
            <v>INDUSTRY</v>
          </cell>
          <cell r="I106" t="str">
            <v>11</v>
          </cell>
          <cell r="J106" t="str">
            <v>WOOD COATINGS</v>
          </cell>
          <cell r="K106" t="str">
            <v>1103</v>
          </cell>
          <cell r="L106" t="str">
            <v>PU</v>
          </cell>
          <cell r="M106" t="str">
            <v>110302</v>
          </cell>
          <cell r="N106" t="str">
            <v>GLAZE PU</v>
          </cell>
        </row>
        <row r="107">
          <cell r="C107" t="str">
            <v>100000105</v>
          </cell>
          <cell r="D107" t="str">
            <v>GZPU-21500 16 MT VN-18KP</v>
          </cell>
          <cell r="E107" t="str">
            <v>ZFGD</v>
          </cell>
          <cell r="F107" t="str">
            <v>PC</v>
          </cell>
          <cell r="G107" t="str">
            <v>1</v>
          </cell>
          <cell r="H107" t="str">
            <v>INDUSTRY</v>
          </cell>
          <cell r="I107" t="str">
            <v>11</v>
          </cell>
          <cell r="J107" t="str">
            <v>WOOD COATINGS</v>
          </cell>
          <cell r="K107" t="str">
            <v>1103</v>
          </cell>
          <cell r="L107" t="str">
            <v>PU</v>
          </cell>
          <cell r="M107" t="str">
            <v>110302</v>
          </cell>
          <cell r="N107" t="str">
            <v>GLAZE PU</v>
          </cell>
        </row>
        <row r="108">
          <cell r="C108" t="str">
            <v>100000106</v>
          </cell>
          <cell r="D108" t="str">
            <v>GZPU-21500 RED TL VN-18KP</v>
          </cell>
          <cell r="E108" t="str">
            <v>ZFGD</v>
          </cell>
          <cell r="F108" t="str">
            <v>PC</v>
          </cell>
          <cell r="G108" t="str">
            <v>1</v>
          </cell>
          <cell r="H108" t="str">
            <v>INDUSTRY</v>
          </cell>
          <cell r="I108" t="str">
            <v>11</v>
          </cell>
          <cell r="J108" t="str">
            <v>WOOD COATINGS</v>
          </cell>
          <cell r="K108" t="str">
            <v>1103</v>
          </cell>
          <cell r="L108" t="str">
            <v>PU</v>
          </cell>
          <cell r="M108" t="str">
            <v>110302</v>
          </cell>
          <cell r="N108" t="str">
            <v>GLAZE PU</v>
          </cell>
        </row>
        <row r="109">
          <cell r="C109" t="str">
            <v>100000107</v>
          </cell>
          <cell r="D109" t="str">
            <v>GZPU-21500 RED VN-18KP</v>
          </cell>
          <cell r="E109" t="str">
            <v>ZFGD</v>
          </cell>
          <cell r="F109" t="str">
            <v>PC</v>
          </cell>
          <cell r="G109" t="str">
            <v>1</v>
          </cell>
          <cell r="H109" t="str">
            <v>INDUSTRY</v>
          </cell>
          <cell r="I109" t="str">
            <v>11</v>
          </cell>
          <cell r="J109" t="str">
            <v>WOOD COATINGS</v>
          </cell>
          <cell r="K109" t="str">
            <v>1103</v>
          </cell>
          <cell r="L109" t="str">
            <v>PU</v>
          </cell>
          <cell r="M109" t="str">
            <v>110302</v>
          </cell>
          <cell r="N109" t="str">
            <v>GLAZE PU</v>
          </cell>
        </row>
        <row r="110">
          <cell r="C110" t="str">
            <v>100000108</v>
          </cell>
          <cell r="D110" t="str">
            <v>GZPU-21500 RU 3975 TN MT VN-18KP</v>
          </cell>
          <cell r="E110" t="str">
            <v>ZFGD</v>
          </cell>
          <cell r="F110" t="str">
            <v>PC</v>
          </cell>
          <cell r="G110" t="str">
            <v>1</v>
          </cell>
          <cell r="H110" t="str">
            <v>INDUSTRY</v>
          </cell>
          <cell r="I110" t="str">
            <v>11</v>
          </cell>
          <cell r="J110" t="str">
            <v>WOOD COATINGS</v>
          </cell>
          <cell r="K110" t="str">
            <v>1103</v>
          </cell>
          <cell r="L110" t="str">
            <v>PU</v>
          </cell>
          <cell r="M110" t="str">
            <v>110302</v>
          </cell>
          <cell r="N110" t="str">
            <v>GLAZE PU</v>
          </cell>
        </row>
        <row r="111">
          <cell r="C111" t="str">
            <v>100000109</v>
          </cell>
          <cell r="D111" t="str">
            <v>GZPU-21500 RU BASE VN-18KP</v>
          </cell>
          <cell r="E111" t="str">
            <v>ZFGD</v>
          </cell>
          <cell r="F111" t="str">
            <v>PC</v>
          </cell>
          <cell r="G111" t="str">
            <v>1</v>
          </cell>
          <cell r="H111" t="str">
            <v>INDUSTRY</v>
          </cell>
          <cell r="I111" t="str">
            <v>11</v>
          </cell>
          <cell r="J111" t="str">
            <v>WOOD COATINGS</v>
          </cell>
          <cell r="K111" t="str">
            <v>1103</v>
          </cell>
          <cell r="L111" t="str">
            <v>PU</v>
          </cell>
          <cell r="M111" t="str">
            <v>110302</v>
          </cell>
          <cell r="N111" t="str">
            <v>GLAZE PU</v>
          </cell>
        </row>
        <row r="112">
          <cell r="C112" t="str">
            <v>100000110</v>
          </cell>
          <cell r="D112" t="str">
            <v>GZPU-21500 RU BLACK VN-4K</v>
          </cell>
          <cell r="E112" t="str">
            <v>ZFGD</v>
          </cell>
          <cell r="F112" t="str">
            <v>PC</v>
          </cell>
          <cell r="G112" t="str">
            <v>1</v>
          </cell>
          <cell r="H112" t="str">
            <v>INDUSTRY</v>
          </cell>
          <cell r="I112" t="str">
            <v>11</v>
          </cell>
          <cell r="J112" t="str">
            <v>WOOD COATINGS</v>
          </cell>
          <cell r="K112" t="str">
            <v>1103</v>
          </cell>
          <cell r="L112" t="str">
            <v>PU</v>
          </cell>
          <cell r="M112" t="str">
            <v>110302</v>
          </cell>
          <cell r="N112" t="str">
            <v>GLAZE PU</v>
          </cell>
        </row>
        <row r="113">
          <cell r="C113" t="str">
            <v>100000111</v>
          </cell>
          <cell r="D113" t="str">
            <v>GZPU-21500 RU BLACK VN-18KP</v>
          </cell>
          <cell r="E113" t="str">
            <v>ZFGD</v>
          </cell>
          <cell r="F113" t="str">
            <v>PC</v>
          </cell>
          <cell r="G113" t="str">
            <v>1</v>
          </cell>
          <cell r="H113" t="str">
            <v>INDUSTRY</v>
          </cell>
          <cell r="I113" t="str">
            <v>11</v>
          </cell>
          <cell r="J113" t="str">
            <v>WOOD COATINGS</v>
          </cell>
          <cell r="K113" t="str">
            <v>1103</v>
          </cell>
          <cell r="L113" t="str">
            <v>PU</v>
          </cell>
          <cell r="M113" t="str">
            <v>110302</v>
          </cell>
          <cell r="N113" t="str">
            <v>GLAZE PU</v>
          </cell>
        </row>
        <row r="114">
          <cell r="C114" t="str">
            <v>100000112</v>
          </cell>
          <cell r="D114" t="str">
            <v>GZPU-21500 RU BURNT U HCP VN-4K</v>
          </cell>
          <cell r="E114" t="str">
            <v>ZFGD</v>
          </cell>
          <cell r="F114" t="str">
            <v>PC</v>
          </cell>
          <cell r="G114" t="str">
            <v>1</v>
          </cell>
          <cell r="H114" t="str">
            <v>INDUSTRY</v>
          </cell>
          <cell r="I114" t="str">
            <v>11</v>
          </cell>
          <cell r="J114" t="str">
            <v>WOOD COATINGS</v>
          </cell>
          <cell r="K114" t="str">
            <v>1103</v>
          </cell>
          <cell r="L114" t="str">
            <v>PU</v>
          </cell>
          <cell r="M114" t="str">
            <v>110302</v>
          </cell>
          <cell r="N114" t="str">
            <v>GLAZE PU</v>
          </cell>
        </row>
        <row r="115">
          <cell r="C115" t="str">
            <v>100000113</v>
          </cell>
          <cell r="D115" t="str">
            <v>GZPU-21500 RU HYA 105 ASH IF VN-18KP</v>
          </cell>
          <cell r="E115" t="str">
            <v>ZFGD</v>
          </cell>
          <cell r="F115" t="str">
            <v>PC</v>
          </cell>
          <cell r="G115" t="str">
            <v>1</v>
          </cell>
          <cell r="H115" t="str">
            <v>INDUSTRY</v>
          </cell>
          <cell r="I115" t="str">
            <v>11</v>
          </cell>
          <cell r="J115" t="str">
            <v>WOOD COATINGS</v>
          </cell>
          <cell r="K115" t="str">
            <v>1103</v>
          </cell>
          <cell r="L115" t="str">
            <v>PU</v>
          </cell>
          <cell r="M115" t="str">
            <v>110302</v>
          </cell>
          <cell r="N115" t="str">
            <v>GLAZE PU</v>
          </cell>
        </row>
        <row r="116">
          <cell r="C116" t="str">
            <v>100000114</v>
          </cell>
          <cell r="D116" t="str">
            <v>GZPU-21500 RU VDB HCP VN-18KP</v>
          </cell>
          <cell r="E116" t="str">
            <v>ZFGD</v>
          </cell>
          <cell r="F116" t="str">
            <v>PC</v>
          </cell>
          <cell r="G116" t="str">
            <v>1</v>
          </cell>
          <cell r="H116" t="str">
            <v>INDUSTRY</v>
          </cell>
          <cell r="I116" t="str">
            <v>11</v>
          </cell>
          <cell r="J116" t="str">
            <v>WOOD COATINGS</v>
          </cell>
          <cell r="K116" t="str">
            <v>1103</v>
          </cell>
          <cell r="L116" t="str">
            <v>PU</v>
          </cell>
          <cell r="M116" t="str">
            <v>110302</v>
          </cell>
          <cell r="N116" t="str">
            <v>GLAZE PU</v>
          </cell>
        </row>
        <row r="117">
          <cell r="C117" t="str">
            <v>100000115</v>
          </cell>
          <cell r="D117" t="str">
            <v>GZPU-21500 WD 4 IF VN-18KP</v>
          </cell>
          <cell r="E117" t="str">
            <v>ZFGD</v>
          </cell>
          <cell r="F117" t="str">
            <v>PC</v>
          </cell>
          <cell r="G117" t="str">
            <v>1</v>
          </cell>
          <cell r="H117" t="str">
            <v>INDUSTRY</v>
          </cell>
          <cell r="I117" t="str">
            <v>11</v>
          </cell>
          <cell r="J117" t="str">
            <v>WOOD COATINGS</v>
          </cell>
          <cell r="K117" t="str">
            <v>1103</v>
          </cell>
          <cell r="L117" t="str">
            <v>PU</v>
          </cell>
          <cell r="M117" t="str">
            <v>110302</v>
          </cell>
          <cell r="N117" t="str">
            <v>GLAZE PU</v>
          </cell>
        </row>
        <row r="118">
          <cell r="C118" t="str">
            <v>100000116</v>
          </cell>
          <cell r="D118" t="str">
            <v>GZPU-21500 YELLOW VN-18KP</v>
          </cell>
          <cell r="E118" t="str">
            <v>ZFGD</v>
          </cell>
          <cell r="F118" t="str">
            <v>PC</v>
          </cell>
          <cell r="G118" t="str">
            <v>1</v>
          </cell>
          <cell r="H118" t="str">
            <v>INDUSTRY</v>
          </cell>
          <cell r="I118" t="str">
            <v>11</v>
          </cell>
          <cell r="J118" t="str">
            <v>WOOD COATINGS</v>
          </cell>
          <cell r="K118" t="str">
            <v>1103</v>
          </cell>
          <cell r="L118" t="str">
            <v>PU</v>
          </cell>
          <cell r="M118" t="str">
            <v>110302</v>
          </cell>
          <cell r="N118" t="str">
            <v>GLAZE PU</v>
          </cell>
        </row>
        <row r="119">
          <cell r="C119" t="str">
            <v>100000117</v>
          </cell>
          <cell r="D119" t="str">
            <v>GZWB-21407 WALNUT 06 GM VN-20KP</v>
          </cell>
          <cell r="E119" t="str">
            <v>ZFGD</v>
          </cell>
          <cell r="F119" t="str">
            <v>PC</v>
          </cell>
          <cell r="G119" t="str">
            <v>1</v>
          </cell>
          <cell r="H119" t="str">
            <v>INDUSTRY</v>
          </cell>
          <cell r="I119" t="str">
            <v>11</v>
          </cell>
          <cell r="J119" t="str">
            <v>WOOD COATINGS</v>
          </cell>
          <cell r="K119" t="str">
            <v>1119</v>
          </cell>
          <cell r="L119" t="str">
            <v>WATERBASED</v>
          </cell>
          <cell r="M119" t="str">
            <v>111902</v>
          </cell>
          <cell r="N119" t="str">
            <v>WATERBASED SYSTEM INTERIOR</v>
          </cell>
        </row>
        <row r="120">
          <cell r="C120" t="str">
            <v>100000118</v>
          </cell>
          <cell r="D120" t="str">
            <v>PUH-56200 15 LY VN-16KP</v>
          </cell>
          <cell r="E120" t="str">
            <v>ZFGD</v>
          </cell>
          <cell r="F120" t="str">
            <v>PC</v>
          </cell>
          <cell r="G120" t="str">
            <v>1</v>
          </cell>
          <cell r="H120" t="str">
            <v>INDUSTRY</v>
          </cell>
          <cell r="I120" t="str">
            <v>11</v>
          </cell>
          <cell r="J120" t="str">
            <v>WOOD COATINGS</v>
          </cell>
          <cell r="K120" t="str">
            <v>1103</v>
          </cell>
          <cell r="L120" t="str">
            <v>PU</v>
          </cell>
          <cell r="M120" t="str">
            <v>110320</v>
          </cell>
          <cell r="N120" t="str">
            <v>PU HARDENER</v>
          </cell>
        </row>
        <row r="121">
          <cell r="C121" t="str">
            <v>100000119</v>
          </cell>
          <cell r="D121" t="str">
            <v>LOL-1762-AK-180KK</v>
          </cell>
          <cell r="E121" t="str">
            <v>ZFGD</v>
          </cell>
          <cell r="F121" t="str">
            <v>PC</v>
          </cell>
          <cell r="G121" t="str">
            <v>1</v>
          </cell>
          <cell r="H121" t="str">
            <v>INDUSTRY</v>
          </cell>
          <cell r="I121" t="str">
            <v>11</v>
          </cell>
          <cell r="J121" t="str">
            <v>WOOD COATINGS</v>
          </cell>
          <cell r="K121" t="str">
            <v>1101</v>
          </cell>
          <cell r="L121" t="str">
            <v>ALKYD OIL</v>
          </cell>
          <cell r="M121" t="str">
            <v>110101</v>
          </cell>
          <cell r="N121" t="str">
            <v>ALKYD &amp; OIL SYSTEM</v>
          </cell>
        </row>
        <row r="122">
          <cell r="C122" t="str">
            <v>100000120</v>
          </cell>
          <cell r="D122" t="str">
            <v>MEP-12003 BLACK PT VN-20KP</v>
          </cell>
          <cell r="E122" t="str">
            <v>ZFGD</v>
          </cell>
          <cell r="F122" t="str">
            <v>PC</v>
          </cell>
          <cell r="G122" t="str">
            <v>1</v>
          </cell>
          <cell r="H122" t="str">
            <v>INDUSTRY</v>
          </cell>
          <cell r="I122" t="str">
            <v>16</v>
          </cell>
          <cell r="J122" t="str">
            <v>METAL COATINGS</v>
          </cell>
          <cell r="K122" t="str">
            <v>1601</v>
          </cell>
          <cell r="L122" t="str">
            <v>METAL COATINGS</v>
          </cell>
          <cell r="M122" t="str">
            <v>160101</v>
          </cell>
          <cell r="N122" t="str">
            <v>METAL COATINGS</v>
          </cell>
        </row>
        <row r="123">
          <cell r="C123" t="str">
            <v>100000121</v>
          </cell>
          <cell r="D123" t="str">
            <v>MEP-12003 BROWN DB VN-20KP</v>
          </cell>
          <cell r="E123" t="str">
            <v>ZFGD</v>
          </cell>
          <cell r="F123" t="str">
            <v>PC</v>
          </cell>
          <cell r="G123" t="str">
            <v>1</v>
          </cell>
          <cell r="H123" t="str">
            <v>INDUSTRY</v>
          </cell>
          <cell r="I123" t="str">
            <v>16</v>
          </cell>
          <cell r="J123" t="str">
            <v>METAL COATINGS</v>
          </cell>
          <cell r="K123" t="str">
            <v>1601</v>
          </cell>
          <cell r="L123" t="str">
            <v>METAL COATINGS</v>
          </cell>
          <cell r="M123" t="str">
            <v>160101</v>
          </cell>
          <cell r="N123" t="str">
            <v>METAL COATINGS</v>
          </cell>
        </row>
        <row r="124">
          <cell r="C124" t="str">
            <v>100000122</v>
          </cell>
          <cell r="D124" t="str">
            <v>MEP-12003 BROWN KI VN-18KP</v>
          </cell>
          <cell r="E124" t="str">
            <v>ZFGD</v>
          </cell>
          <cell r="F124" t="str">
            <v>PC</v>
          </cell>
          <cell r="G124" t="str">
            <v>1</v>
          </cell>
          <cell r="H124" t="str">
            <v>INDUSTRY</v>
          </cell>
          <cell r="I124" t="str">
            <v>16</v>
          </cell>
          <cell r="J124" t="str">
            <v>METAL COATINGS</v>
          </cell>
          <cell r="K124" t="str">
            <v>1601</v>
          </cell>
          <cell r="L124" t="str">
            <v>METAL COATINGS</v>
          </cell>
          <cell r="M124" t="str">
            <v>160101</v>
          </cell>
          <cell r="N124" t="str">
            <v>METAL COATINGS</v>
          </cell>
        </row>
        <row r="125">
          <cell r="C125" t="str">
            <v>100000123</v>
          </cell>
          <cell r="D125" t="str">
            <v>MEP-12003 CLEAR BASE VN-18KP</v>
          </cell>
          <cell r="E125" t="str">
            <v>ZFGD</v>
          </cell>
          <cell r="F125" t="str">
            <v>PC</v>
          </cell>
          <cell r="G125" t="str">
            <v>1</v>
          </cell>
          <cell r="H125" t="str">
            <v>INDUSTRY</v>
          </cell>
          <cell r="I125" t="str">
            <v>16</v>
          </cell>
          <cell r="J125" t="str">
            <v>METAL COATINGS</v>
          </cell>
          <cell r="K125" t="str">
            <v>1601</v>
          </cell>
          <cell r="L125" t="str">
            <v>METAL COATINGS</v>
          </cell>
          <cell r="M125" t="str">
            <v>160101</v>
          </cell>
          <cell r="N125" t="str">
            <v>METAL COATINGS</v>
          </cell>
        </row>
        <row r="126">
          <cell r="C126" t="str">
            <v>100000124</v>
          </cell>
          <cell r="D126" t="str">
            <v>MEP-12003 GREY VN-18KP</v>
          </cell>
          <cell r="E126" t="str">
            <v>ZFGD</v>
          </cell>
          <cell r="F126" t="str">
            <v>PC</v>
          </cell>
          <cell r="G126" t="str">
            <v>1</v>
          </cell>
          <cell r="H126" t="str">
            <v>INDUSTRY</v>
          </cell>
          <cell r="I126" t="str">
            <v>16</v>
          </cell>
          <cell r="J126" t="str">
            <v>METAL COATINGS</v>
          </cell>
          <cell r="K126" t="str">
            <v>1601</v>
          </cell>
          <cell r="L126" t="str">
            <v>METAL COATINGS</v>
          </cell>
          <cell r="M126" t="str">
            <v>160101</v>
          </cell>
          <cell r="N126" t="str">
            <v>METAL COATINGS</v>
          </cell>
        </row>
        <row r="127">
          <cell r="C127" t="str">
            <v>100000125</v>
          </cell>
          <cell r="D127" t="str">
            <v>MEP-12003 MMT 40 GE VN-20KP</v>
          </cell>
          <cell r="E127" t="str">
            <v>ZFGD</v>
          </cell>
          <cell r="F127" t="str">
            <v>PC</v>
          </cell>
          <cell r="G127" t="str">
            <v>1</v>
          </cell>
          <cell r="H127" t="str">
            <v>INDUSTRY</v>
          </cell>
          <cell r="I127" t="str">
            <v>16</v>
          </cell>
          <cell r="J127" t="str">
            <v>METAL COATINGS</v>
          </cell>
          <cell r="K127" t="str">
            <v>1601</v>
          </cell>
          <cell r="L127" t="str">
            <v>METAL COATINGS</v>
          </cell>
          <cell r="M127" t="str">
            <v>160101</v>
          </cell>
          <cell r="N127" t="str">
            <v>METAL COATINGS</v>
          </cell>
        </row>
        <row r="128">
          <cell r="C128" t="str">
            <v>100000126</v>
          </cell>
          <cell r="D128" t="str">
            <v>MEP-12003 WHITE VN-18KP</v>
          </cell>
          <cell r="E128" t="str">
            <v>ZFGD</v>
          </cell>
          <cell r="F128" t="str">
            <v>PC</v>
          </cell>
          <cell r="G128" t="str">
            <v>1</v>
          </cell>
          <cell r="H128" t="str">
            <v>INDUSTRY</v>
          </cell>
          <cell r="I128" t="str">
            <v>16</v>
          </cell>
          <cell r="J128" t="str">
            <v>METAL COATINGS</v>
          </cell>
          <cell r="K128" t="str">
            <v>1601</v>
          </cell>
          <cell r="L128" t="str">
            <v>METAL COATINGS</v>
          </cell>
          <cell r="M128" t="str">
            <v>160101</v>
          </cell>
          <cell r="N128" t="str">
            <v>METAL COATINGS</v>
          </cell>
        </row>
        <row r="129">
          <cell r="C129" t="str">
            <v>100000127</v>
          </cell>
          <cell r="D129" t="str">
            <v>NBC-9345 499 AK-200KB</v>
          </cell>
          <cell r="E129" t="str">
            <v>ZFGD</v>
          </cell>
          <cell r="F129" t="str">
            <v>PC</v>
          </cell>
          <cell r="G129" t="str">
            <v>1</v>
          </cell>
          <cell r="H129" t="str">
            <v>INDUSTRY</v>
          </cell>
          <cell r="I129" t="str">
            <v>11</v>
          </cell>
          <cell r="J129" t="str">
            <v>WOOD COATINGS</v>
          </cell>
          <cell r="K129" t="str">
            <v>1104</v>
          </cell>
          <cell r="L129" t="str">
            <v>NC</v>
          </cell>
          <cell r="M129" t="str">
            <v>110403</v>
          </cell>
          <cell r="N129" t="str">
            <v>ASOF : NC BASE COAT</v>
          </cell>
        </row>
        <row r="130">
          <cell r="C130" t="str">
            <v>100000128</v>
          </cell>
          <cell r="D130" t="str">
            <v>NBC-9345-518-AK-20KP</v>
          </cell>
          <cell r="E130" t="str">
            <v>ZFGD</v>
          </cell>
          <cell r="F130" t="str">
            <v>PC</v>
          </cell>
          <cell r="G130" t="str">
            <v>1</v>
          </cell>
          <cell r="H130" t="str">
            <v>INDUSTRY</v>
          </cell>
          <cell r="I130" t="str">
            <v>11</v>
          </cell>
          <cell r="J130" t="str">
            <v>WOOD COATINGS</v>
          </cell>
          <cell r="K130" t="str">
            <v>1104</v>
          </cell>
          <cell r="L130" t="str">
            <v>NC</v>
          </cell>
          <cell r="M130" t="str">
            <v>110403</v>
          </cell>
          <cell r="N130" t="str">
            <v>ASOF : NC BASE COAT</v>
          </cell>
        </row>
        <row r="131">
          <cell r="C131" t="str">
            <v>100000129</v>
          </cell>
          <cell r="D131" t="str">
            <v>NBC-9345-518-AK-200KB</v>
          </cell>
          <cell r="E131" t="str">
            <v>ZFGD</v>
          </cell>
          <cell r="F131" t="str">
            <v>PC</v>
          </cell>
          <cell r="G131" t="str">
            <v>1</v>
          </cell>
          <cell r="H131" t="str">
            <v>INDUSTRY</v>
          </cell>
          <cell r="I131" t="str">
            <v>11</v>
          </cell>
          <cell r="J131" t="str">
            <v>WOOD COATINGS</v>
          </cell>
          <cell r="K131" t="str">
            <v>1104</v>
          </cell>
          <cell r="L131" t="str">
            <v>NC</v>
          </cell>
          <cell r="M131" t="str">
            <v>110403</v>
          </cell>
          <cell r="N131" t="str">
            <v>ASOF : NC BASE COAT</v>
          </cell>
        </row>
        <row r="132">
          <cell r="C132" t="str">
            <v>100000130</v>
          </cell>
          <cell r="D132" t="str">
            <v>NBC-9345-526-AK-20KP</v>
          </cell>
          <cell r="E132" t="str">
            <v>ZFGD</v>
          </cell>
          <cell r="F132" t="str">
            <v>PC</v>
          </cell>
          <cell r="G132" t="str">
            <v>1</v>
          </cell>
          <cell r="H132" t="str">
            <v>INDUSTRY</v>
          </cell>
          <cell r="I132" t="str">
            <v>11</v>
          </cell>
          <cell r="J132" t="str">
            <v>WOOD COATINGS</v>
          </cell>
          <cell r="K132" t="str">
            <v>1104</v>
          </cell>
          <cell r="L132" t="str">
            <v>NC</v>
          </cell>
          <cell r="M132" t="str">
            <v>110403</v>
          </cell>
          <cell r="N132" t="str">
            <v>ASOF : NC BASE COAT</v>
          </cell>
        </row>
        <row r="133">
          <cell r="C133" t="str">
            <v>100000131</v>
          </cell>
          <cell r="D133" t="str">
            <v>NBC-9345-526-AK-200KB</v>
          </cell>
          <cell r="E133" t="str">
            <v>ZFGD</v>
          </cell>
          <cell r="F133" t="str">
            <v>PC</v>
          </cell>
          <cell r="G133" t="str">
            <v>1</v>
          </cell>
          <cell r="H133" t="str">
            <v>INDUSTRY</v>
          </cell>
          <cell r="I133" t="str">
            <v>11</v>
          </cell>
          <cell r="J133" t="str">
            <v>WOOD COATINGS</v>
          </cell>
          <cell r="K133" t="str">
            <v>1104</v>
          </cell>
          <cell r="L133" t="str">
            <v>NC</v>
          </cell>
          <cell r="M133" t="str">
            <v>110403</v>
          </cell>
          <cell r="N133" t="str">
            <v>ASOF : NC BASE COAT</v>
          </cell>
        </row>
        <row r="134">
          <cell r="C134" t="str">
            <v>100000132</v>
          </cell>
          <cell r="D134" t="str">
            <v>NBC-9345-553-AK-200KB</v>
          </cell>
          <cell r="E134" t="str">
            <v>ZFGD</v>
          </cell>
          <cell r="F134" t="str">
            <v>PC</v>
          </cell>
          <cell r="G134" t="str">
            <v>1</v>
          </cell>
          <cell r="H134" t="str">
            <v>INDUSTRY</v>
          </cell>
          <cell r="I134" t="str">
            <v>11</v>
          </cell>
          <cell r="J134" t="str">
            <v>WOOD COATINGS</v>
          </cell>
          <cell r="K134" t="str">
            <v>1104</v>
          </cell>
          <cell r="L134" t="str">
            <v>NC</v>
          </cell>
          <cell r="M134" t="str">
            <v>110403</v>
          </cell>
          <cell r="N134" t="str">
            <v>ASOF : NC BASE COAT</v>
          </cell>
        </row>
        <row r="135">
          <cell r="C135" t="str">
            <v>100000133</v>
          </cell>
          <cell r="D135" t="str">
            <v>NBC-9345-570-AK-200KB</v>
          </cell>
          <cell r="E135" t="str">
            <v>ZFGD</v>
          </cell>
          <cell r="F135" t="str">
            <v>PC</v>
          </cell>
          <cell r="G135" t="str">
            <v>1</v>
          </cell>
          <cell r="H135" t="str">
            <v>INDUSTRY</v>
          </cell>
          <cell r="I135" t="str">
            <v>11</v>
          </cell>
          <cell r="J135" t="str">
            <v>WOOD COATINGS</v>
          </cell>
          <cell r="K135" t="str">
            <v>1104</v>
          </cell>
          <cell r="L135" t="str">
            <v>NC</v>
          </cell>
          <cell r="M135" t="str">
            <v>110403</v>
          </cell>
          <cell r="N135" t="str">
            <v>ASOF : NC BASE COAT</v>
          </cell>
        </row>
        <row r="136">
          <cell r="C136" t="str">
            <v>100000134</v>
          </cell>
          <cell r="D136" t="str">
            <v>NBC-9345-572-AK-20KP</v>
          </cell>
          <cell r="E136" t="str">
            <v>ZFGD</v>
          </cell>
          <cell r="F136" t="str">
            <v>PC</v>
          </cell>
          <cell r="G136" t="str">
            <v>1</v>
          </cell>
          <cell r="H136" t="str">
            <v>INDUSTRY</v>
          </cell>
          <cell r="I136" t="str">
            <v>11</v>
          </cell>
          <cell r="J136" t="str">
            <v>WOOD COATINGS</v>
          </cell>
          <cell r="K136" t="str">
            <v>1104</v>
          </cell>
          <cell r="L136" t="str">
            <v>NC</v>
          </cell>
          <cell r="M136" t="str">
            <v>110403</v>
          </cell>
          <cell r="N136" t="str">
            <v>ASOF : NC BASE COAT</v>
          </cell>
        </row>
        <row r="137">
          <cell r="C137" t="str">
            <v>100000135</v>
          </cell>
          <cell r="D137" t="str">
            <v>NBC-9345-572-AK-200KB</v>
          </cell>
          <cell r="E137" t="str">
            <v>ZFGD</v>
          </cell>
          <cell r="F137" t="str">
            <v>PC</v>
          </cell>
          <cell r="G137" t="str">
            <v>1</v>
          </cell>
          <cell r="H137" t="str">
            <v>INDUSTRY</v>
          </cell>
          <cell r="I137" t="str">
            <v>11</v>
          </cell>
          <cell r="J137" t="str">
            <v>WOOD COATINGS</v>
          </cell>
          <cell r="K137" t="str">
            <v>1104</v>
          </cell>
          <cell r="L137" t="str">
            <v>NC</v>
          </cell>
          <cell r="M137" t="str">
            <v>110403</v>
          </cell>
          <cell r="N137" t="str">
            <v>ASOF : NC BASE COAT</v>
          </cell>
        </row>
        <row r="138">
          <cell r="C138" t="str">
            <v>100000136</v>
          </cell>
          <cell r="D138" t="str">
            <v>NBC-9345 602 AK-200KB</v>
          </cell>
          <cell r="E138" t="str">
            <v>ZFGD</v>
          </cell>
          <cell r="F138" t="str">
            <v>PC</v>
          </cell>
          <cell r="G138" t="str">
            <v>1</v>
          </cell>
          <cell r="H138" t="str">
            <v>INDUSTRY</v>
          </cell>
          <cell r="I138" t="str">
            <v>11</v>
          </cell>
          <cell r="J138" t="str">
            <v>WOOD COATINGS</v>
          </cell>
          <cell r="K138" t="str">
            <v>1104</v>
          </cell>
          <cell r="L138" t="str">
            <v>NC</v>
          </cell>
          <cell r="M138" t="str">
            <v>110403</v>
          </cell>
          <cell r="N138" t="str">
            <v>ASOF : NC BASE COAT</v>
          </cell>
        </row>
        <row r="139">
          <cell r="C139" t="str">
            <v>100000137</v>
          </cell>
          <cell r="D139" t="str">
            <v>NBC-9345-657-AK-20KP</v>
          </cell>
          <cell r="E139" t="str">
            <v>ZFGD</v>
          </cell>
          <cell r="F139" t="str">
            <v>PC</v>
          </cell>
          <cell r="G139" t="str">
            <v>1</v>
          </cell>
          <cell r="H139" t="str">
            <v>INDUSTRY</v>
          </cell>
          <cell r="I139" t="str">
            <v>11</v>
          </cell>
          <cell r="J139" t="str">
            <v>WOOD COATINGS</v>
          </cell>
          <cell r="K139" t="str">
            <v>1104</v>
          </cell>
          <cell r="L139" t="str">
            <v>NC</v>
          </cell>
          <cell r="M139" t="str">
            <v>110403</v>
          </cell>
          <cell r="N139" t="str">
            <v>ASOF : NC BASE COAT</v>
          </cell>
        </row>
        <row r="140">
          <cell r="C140" t="str">
            <v>100000138</v>
          </cell>
          <cell r="D140" t="str">
            <v>NBC-9345-657-AK-200KB</v>
          </cell>
          <cell r="E140" t="str">
            <v>ZFGD</v>
          </cell>
          <cell r="F140" t="str">
            <v>PC</v>
          </cell>
          <cell r="G140" t="str">
            <v>1</v>
          </cell>
          <cell r="H140" t="str">
            <v>INDUSTRY</v>
          </cell>
          <cell r="I140" t="str">
            <v>11</v>
          </cell>
          <cell r="J140" t="str">
            <v>WOOD COATINGS</v>
          </cell>
          <cell r="K140" t="str">
            <v>1104</v>
          </cell>
          <cell r="L140" t="str">
            <v>NC</v>
          </cell>
          <cell r="M140" t="str">
            <v>110403</v>
          </cell>
          <cell r="N140" t="str">
            <v>ASOF : NC BASE COAT</v>
          </cell>
        </row>
        <row r="141">
          <cell r="C141" t="str">
            <v>100000139</v>
          </cell>
          <cell r="D141" t="str">
            <v>NBC-9345 694 AK-200KB</v>
          </cell>
          <cell r="E141" t="str">
            <v>ZFGD</v>
          </cell>
          <cell r="F141" t="str">
            <v>PC</v>
          </cell>
          <cell r="G141" t="str">
            <v>1</v>
          </cell>
          <cell r="H141" t="str">
            <v>INDUSTRY</v>
          </cell>
          <cell r="I141" t="str">
            <v>11</v>
          </cell>
          <cell r="J141" t="str">
            <v>WOOD COATINGS</v>
          </cell>
          <cell r="K141" t="str">
            <v>1104</v>
          </cell>
          <cell r="L141" t="str">
            <v>NC</v>
          </cell>
          <cell r="M141" t="str">
            <v>110403</v>
          </cell>
          <cell r="N141" t="str">
            <v>ASOF : NC BASE COAT</v>
          </cell>
        </row>
        <row r="142">
          <cell r="C142" t="str">
            <v>100000140</v>
          </cell>
          <cell r="D142" t="str">
            <v>NBC-9345-697-AK-20KP</v>
          </cell>
          <cell r="E142" t="str">
            <v>ZFGD</v>
          </cell>
          <cell r="F142" t="str">
            <v>PC</v>
          </cell>
          <cell r="G142" t="str">
            <v>1</v>
          </cell>
          <cell r="H142" t="str">
            <v>INDUSTRY</v>
          </cell>
          <cell r="I142" t="str">
            <v>11</v>
          </cell>
          <cell r="J142" t="str">
            <v>WOOD COATINGS</v>
          </cell>
          <cell r="K142" t="str">
            <v>1104</v>
          </cell>
          <cell r="L142" t="str">
            <v>NC</v>
          </cell>
          <cell r="M142" t="str">
            <v>110403</v>
          </cell>
          <cell r="N142" t="str">
            <v>ASOF : NC BASE COAT</v>
          </cell>
        </row>
        <row r="143">
          <cell r="C143" t="str">
            <v>100000141</v>
          </cell>
          <cell r="D143" t="str">
            <v>NBC-9345-697-AK-200KB</v>
          </cell>
          <cell r="E143" t="str">
            <v>ZFGD</v>
          </cell>
          <cell r="F143" t="str">
            <v>PC</v>
          </cell>
          <cell r="G143" t="str">
            <v>1</v>
          </cell>
          <cell r="H143" t="str">
            <v>INDUSTRY</v>
          </cell>
          <cell r="I143" t="str">
            <v>11</v>
          </cell>
          <cell r="J143" t="str">
            <v>WOOD COATINGS</v>
          </cell>
          <cell r="K143" t="str">
            <v>1104</v>
          </cell>
          <cell r="L143" t="str">
            <v>NC</v>
          </cell>
          <cell r="M143" t="str">
            <v>110403</v>
          </cell>
          <cell r="N143" t="str">
            <v>ASOF : NC BASE COAT</v>
          </cell>
        </row>
        <row r="144">
          <cell r="C144" t="str">
            <v>100000142</v>
          </cell>
          <cell r="D144" t="str">
            <v>NBC-9345-706-AK-200KB</v>
          </cell>
          <cell r="E144" t="str">
            <v>ZFGD</v>
          </cell>
          <cell r="F144" t="str">
            <v>PC</v>
          </cell>
          <cell r="G144" t="str">
            <v>1</v>
          </cell>
          <cell r="H144" t="str">
            <v>INDUSTRY</v>
          </cell>
          <cell r="I144" t="str">
            <v>11</v>
          </cell>
          <cell r="J144" t="str">
            <v>WOOD COATINGS</v>
          </cell>
          <cell r="K144" t="str">
            <v>1104</v>
          </cell>
          <cell r="L144" t="str">
            <v>NC</v>
          </cell>
          <cell r="M144" t="str">
            <v>110403</v>
          </cell>
          <cell r="N144" t="str">
            <v>ASOF : NC BASE COAT</v>
          </cell>
        </row>
        <row r="145">
          <cell r="C145" t="str">
            <v>100000143</v>
          </cell>
          <cell r="D145" t="str">
            <v>NBC-9345-747-AK-200KB</v>
          </cell>
          <cell r="E145" t="str">
            <v>ZFGD</v>
          </cell>
          <cell r="F145" t="str">
            <v>PC</v>
          </cell>
          <cell r="G145" t="str">
            <v>1</v>
          </cell>
          <cell r="H145" t="str">
            <v>INDUSTRY</v>
          </cell>
          <cell r="I145" t="str">
            <v>11</v>
          </cell>
          <cell r="J145" t="str">
            <v>WOOD COATINGS</v>
          </cell>
          <cell r="K145" t="str">
            <v>1104</v>
          </cell>
          <cell r="L145" t="str">
            <v>NC</v>
          </cell>
          <cell r="M145" t="str">
            <v>110403</v>
          </cell>
          <cell r="N145" t="str">
            <v>ASOF : NC BASE COAT</v>
          </cell>
        </row>
        <row r="146">
          <cell r="C146" t="str">
            <v>100000144</v>
          </cell>
          <cell r="D146" t="str">
            <v>NBC-9345-771-AK-200KB</v>
          </cell>
          <cell r="E146" t="str">
            <v>ZFGD</v>
          </cell>
          <cell r="F146" t="str">
            <v>PC</v>
          </cell>
          <cell r="G146" t="str">
            <v>1</v>
          </cell>
          <cell r="H146" t="str">
            <v>INDUSTRY</v>
          </cell>
          <cell r="I146" t="str">
            <v>11</v>
          </cell>
          <cell r="J146" t="str">
            <v>WOOD COATINGS</v>
          </cell>
          <cell r="K146" t="str">
            <v>1104</v>
          </cell>
          <cell r="L146" t="str">
            <v>NC</v>
          </cell>
          <cell r="M146" t="str">
            <v>110403</v>
          </cell>
          <cell r="N146" t="str">
            <v>ASOF : NC BASE COAT</v>
          </cell>
        </row>
        <row r="147">
          <cell r="C147" t="str">
            <v>100000145</v>
          </cell>
          <cell r="D147" t="str">
            <v>NBC-9345-802-AK-20KP</v>
          </cell>
          <cell r="E147" t="str">
            <v>ZFGD</v>
          </cell>
          <cell r="F147" t="str">
            <v>PC</v>
          </cell>
          <cell r="G147" t="str">
            <v>1</v>
          </cell>
          <cell r="H147" t="str">
            <v>INDUSTRY</v>
          </cell>
          <cell r="I147" t="str">
            <v>11</v>
          </cell>
          <cell r="J147" t="str">
            <v>WOOD COATINGS</v>
          </cell>
          <cell r="K147" t="str">
            <v>1104</v>
          </cell>
          <cell r="L147" t="str">
            <v>NC</v>
          </cell>
          <cell r="M147" t="str">
            <v>110403</v>
          </cell>
          <cell r="N147" t="str">
            <v>ASOF : NC BASE COAT</v>
          </cell>
        </row>
        <row r="148">
          <cell r="C148" t="str">
            <v>100000146</v>
          </cell>
          <cell r="D148" t="str">
            <v>NBC-9345-802-AK-200KB</v>
          </cell>
          <cell r="E148" t="str">
            <v>ZFGD</v>
          </cell>
          <cell r="F148" t="str">
            <v>PC</v>
          </cell>
          <cell r="G148" t="str">
            <v>1</v>
          </cell>
          <cell r="H148" t="str">
            <v>INDUSTRY</v>
          </cell>
          <cell r="I148" t="str">
            <v>11</v>
          </cell>
          <cell r="J148" t="str">
            <v>WOOD COATINGS</v>
          </cell>
          <cell r="K148" t="str">
            <v>1104</v>
          </cell>
          <cell r="L148" t="str">
            <v>NC</v>
          </cell>
          <cell r="M148" t="str">
            <v>110403</v>
          </cell>
          <cell r="N148" t="str">
            <v>ASOF : NC BASE COAT</v>
          </cell>
        </row>
        <row r="149">
          <cell r="C149" t="str">
            <v>100000147</v>
          </cell>
          <cell r="D149" t="str">
            <v>NBC-9345 81 AK-20KP</v>
          </cell>
          <cell r="E149" t="str">
            <v>ZFGD</v>
          </cell>
          <cell r="F149" t="str">
            <v>PC</v>
          </cell>
          <cell r="G149" t="str">
            <v>1</v>
          </cell>
          <cell r="H149" t="str">
            <v>INDUSTRY</v>
          </cell>
          <cell r="I149" t="str">
            <v>11</v>
          </cell>
          <cell r="J149" t="str">
            <v>WOOD COATINGS</v>
          </cell>
          <cell r="K149" t="str">
            <v>1104</v>
          </cell>
          <cell r="L149" t="str">
            <v>NC</v>
          </cell>
          <cell r="M149" t="str">
            <v>110403</v>
          </cell>
          <cell r="N149" t="str">
            <v>ASOF : NC BASE COAT</v>
          </cell>
        </row>
        <row r="150">
          <cell r="C150" t="str">
            <v>100000148</v>
          </cell>
          <cell r="D150" t="str">
            <v>NBC-9345 81 AK-200KB</v>
          </cell>
          <cell r="E150" t="str">
            <v>ZFGD</v>
          </cell>
          <cell r="F150" t="str">
            <v>PC</v>
          </cell>
          <cell r="G150" t="str">
            <v>1</v>
          </cell>
          <cell r="H150" t="str">
            <v>INDUSTRY</v>
          </cell>
          <cell r="I150" t="str">
            <v>11</v>
          </cell>
          <cell r="J150" t="str">
            <v>WOOD COATINGS</v>
          </cell>
          <cell r="K150" t="str">
            <v>1104</v>
          </cell>
          <cell r="L150" t="str">
            <v>NC</v>
          </cell>
          <cell r="M150" t="str">
            <v>110403</v>
          </cell>
          <cell r="N150" t="str">
            <v>ASOF : NC BASE COAT</v>
          </cell>
        </row>
        <row r="151">
          <cell r="C151" t="str">
            <v>100000149</v>
          </cell>
          <cell r="D151" t="str">
            <v>NBC-9345-880-AK-200KB</v>
          </cell>
          <cell r="E151" t="str">
            <v>ZFGD</v>
          </cell>
          <cell r="F151" t="str">
            <v>PC</v>
          </cell>
          <cell r="G151" t="str">
            <v>1</v>
          </cell>
          <cell r="H151" t="str">
            <v>INDUSTRY</v>
          </cell>
          <cell r="I151" t="str">
            <v>11</v>
          </cell>
          <cell r="J151" t="str">
            <v>WOOD COATINGS</v>
          </cell>
          <cell r="K151" t="str">
            <v>1104</v>
          </cell>
          <cell r="L151" t="str">
            <v>NC</v>
          </cell>
          <cell r="M151" t="str">
            <v>110403</v>
          </cell>
          <cell r="N151" t="str">
            <v>ASOF : NC BASE COAT</v>
          </cell>
        </row>
        <row r="152">
          <cell r="C152" t="str">
            <v>100000150</v>
          </cell>
          <cell r="D152" t="str">
            <v>NBC-9345-881-AK-200KB</v>
          </cell>
          <cell r="E152" t="str">
            <v>ZFGD</v>
          </cell>
          <cell r="F152" t="str">
            <v>PC</v>
          </cell>
          <cell r="G152" t="str">
            <v>1</v>
          </cell>
          <cell r="H152" t="str">
            <v>INDUSTRY</v>
          </cell>
          <cell r="I152" t="str">
            <v>11</v>
          </cell>
          <cell r="J152" t="str">
            <v>WOOD COATINGS</v>
          </cell>
          <cell r="K152" t="str">
            <v>1104</v>
          </cell>
          <cell r="L152" t="str">
            <v>NC</v>
          </cell>
          <cell r="M152" t="str">
            <v>110403</v>
          </cell>
          <cell r="N152" t="str">
            <v>ASOF : NC BASE COAT</v>
          </cell>
        </row>
        <row r="153">
          <cell r="C153" t="str">
            <v>100000151</v>
          </cell>
          <cell r="D153" t="str">
            <v>NBC-9345-982-AK-200KB</v>
          </cell>
          <cell r="E153" t="str">
            <v>ZFGD</v>
          </cell>
          <cell r="F153" t="str">
            <v>PC</v>
          </cell>
          <cell r="G153" t="str">
            <v>1</v>
          </cell>
          <cell r="H153" t="str">
            <v>INDUSTRY</v>
          </cell>
          <cell r="I153" t="str">
            <v>11</v>
          </cell>
          <cell r="J153" t="str">
            <v>WOOD COATINGS</v>
          </cell>
          <cell r="K153" t="str">
            <v>1104</v>
          </cell>
          <cell r="L153" t="str">
            <v>NC</v>
          </cell>
          <cell r="M153" t="str">
            <v>110403</v>
          </cell>
          <cell r="N153" t="str">
            <v>ASOF : NC BASE COAT</v>
          </cell>
        </row>
        <row r="154">
          <cell r="C154" t="str">
            <v>100000152</v>
          </cell>
          <cell r="D154" t="str">
            <v>NBC-9345-B655AK-20KP</v>
          </cell>
          <cell r="E154" t="str">
            <v>ZFGD</v>
          </cell>
          <cell r="F154" t="str">
            <v>PC</v>
          </cell>
          <cell r="G154" t="str">
            <v>1</v>
          </cell>
          <cell r="H154" t="str">
            <v>INDUSTRY</v>
          </cell>
          <cell r="I154" t="str">
            <v>11</v>
          </cell>
          <cell r="J154" t="str">
            <v>WOOD COATINGS</v>
          </cell>
          <cell r="K154" t="str">
            <v>1104</v>
          </cell>
          <cell r="L154" t="str">
            <v>NC</v>
          </cell>
          <cell r="M154" t="str">
            <v>110403</v>
          </cell>
          <cell r="N154" t="str">
            <v>ASOF : NC BASE COAT</v>
          </cell>
        </row>
        <row r="155">
          <cell r="C155" t="str">
            <v>100000153</v>
          </cell>
          <cell r="D155" t="str">
            <v>NBC-9345-B655AK-200KB</v>
          </cell>
          <cell r="E155" t="str">
            <v>ZFGD</v>
          </cell>
          <cell r="F155" t="str">
            <v>PC</v>
          </cell>
          <cell r="G155" t="str">
            <v>1</v>
          </cell>
          <cell r="H155" t="str">
            <v>INDUSTRY</v>
          </cell>
          <cell r="I155" t="str">
            <v>11</v>
          </cell>
          <cell r="J155" t="str">
            <v>WOOD COATINGS</v>
          </cell>
          <cell r="K155" t="str">
            <v>1104</v>
          </cell>
          <cell r="L155" t="str">
            <v>NC</v>
          </cell>
          <cell r="M155" t="str">
            <v>110403</v>
          </cell>
          <cell r="N155" t="str">
            <v>ASOF : NC BASE COAT</v>
          </cell>
        </row>
        <row r="156">
          <cell r="C156" t="str">
            <v>100000154</v>
          </cell>
          <cell r="D156" t="str">
            <v>NBC-9345-B13-AK-20KP</v>
          </cell>
          <cell r="E156" t="str">
            <v>ZFGD</v>
          </cell>
          <cell r="F156" t="str">
            <v>PC</v>
          </cell>
          <cell r="G156" t="str">
            <v>1</v>
          </cell>
          <cell r="H156" t="str">
            <v>INDUSTRY</v>
          </cell>
          <cell r="I156" t="str">
            <v>11</v>
          </cell>
          <cell r="J156" t="str">
            <v>WOOD COATINGS</v>
          </cell>
          <cell r="K156" t="str">
            <v>1104</v>
          </cell>
          <cell r="L156" t="str">
            <v>NC</v>
          </cell>
          <cell r="M156" t="str">
            <v>110403</v>
          </cell>
          <cell r="N156" t="str">
            <v>ASOF : NC BASE COAT</v>
          </cell>
        </row>
        <row r="157">
          <cell r="C157" t="str">
            <v>100000155</v>
          </cell>
          <cell r="D157" t="str">
            <v>NBC-9345-B13-AK-200KB</v>
          </cell>
          <cell r="E157" t="str">
            <v>ZFGD</v>
          </cell>
          <cell r="F157" t="str">
            <v>PC</v>
          </cell>
          <cell r="G157" t="str">
            <v>1</v>
          </cell>
          <cell r="H157" t="str">
            <v>INDUSTRY</v>
          </cell>
          <cell r="I157" t="str">
            <v>11</v>
          </cell>
          <cell r="J157" t="str">
            <v>WOOD COATINGS</v>
          </cell>
          <cell r="K157" t="str">
            <v>1104</v>
          </cell>
          <cell r="L157" t="str">
            <v>NC</v>
          </cell>
          <cell r="M157" t="str">
            <v>110403</v>
          </cell>
          <cell r="N157" t="str">
            <v>ASOF : NC BASE COAT</v>
          </cell>
        </row>
        <row r="158">
          <cell r="C158" t="str">
            <v>100000156</v>
          </cell>
          <cell r="D158" t="str">
            <v>NBC-9345 B52 AK-20KP</v>
          </cell>
          <cell r="E158" t="str">
            <v>ZFGD</v>
          </cell>
          <cell r="F158" t="str">
            <v>PC</v>
          </cell>
          <cell r="G158" t="str">
            <v>1</v>
          </cell>
          <cell r="H158" t="str">
            <v>INDUSTRY</v>
          </cell>
          <cell r="I158" t="str">
            <v>11</v>
          </cell>
          <cell r="J158" t="str">
            <v>WOOD COATINGS</v>
          </cell>
          <cell r="K158" t="str">
            <v>1104</v>
          </cell>
          <cell r="L158" t="str">
            <v>NC</v>
          </cell>
          <cell r="M158" t="str">
            <v>110403</v>
          </cell>
          <cell r="N158" t="str">
            <v>ASOF : NC BASE COAT</v>
          </cell>
        </row>
        <row r="159">
          <cell r="C159" t="str">
            <v>100000157</v>
          </cell>
          <cell r="D159" t="str">
            <v>NBC-9345 B52 AK-200KB</v>
          </cell>
          <cell r="E159" t="str">
            <v>ZFGD</v>
          </cell>
          <cell r="F159" t="str">
            <v>PC</v>
          </cell>
          <cell r="G159" t="str">
            <v>1</v>
          </cell>
          <cell r="H159" t="str">
            <v>INDUSTRY</v>
          </cell>
          <cell r="I159" t="str">
            <v>11</v>
          </cell>
          <cell r="J159" t="str">
            <v>WOOD COATINGS</v>
          </cell>
          <cell r="K159" t="str">
            <v>1104</v>
          </cell>
          <cell r="L159" t="str">
            <v>NC</v>
          </cell>
          <cell r="M159" t="str">
            <v>110403</v>
          </cell>
          <cell r="N159" t="str">
            <v>ASOF : NC BASE COAT</v>
          </cell>
        </row>
        <row r="160">
          <cell r="C160" t="str">
            <v>100000158</v>
          </cell>
          <cell r="D160" t="str">
            <v>NBC-34500 CREAM 01 PT VN-20KP</v>
          </cell>
          <cell r="E160" t="str">
            <v>ZFGD</v>
          </cell>
          <cell r="F160" t="str">
            <v>PC</v>
          </cell>
          <cell r="G160" t="str">
            <v>1</v>
          </cell>
          <cell r="H160" t="str">
            <v>INDUSTRY</v>
          </cell>
          <cell r="I160" t="str">
            <v>11</v>
          </cell>
          <cell r="J160" t="str">
            <v>WOOD COATINGS</v>
          </cell>
          <cell r="K160" t="str">
            <v>1104</v>
          </cell>
          <cell r="L160" t="str">
            <v>NC</v>
          </cell>
          <cell r="M160" t="str">
            <v>110403</v>
          </cell>
          <cell r="N160" t="str">
            <v>ASOF : NC BASE COAT</v>
          </cell>
        </row>
        <row r="161">
          <cell r="C161" t="str">
            <v>100000159</v>
          </cell>
          <cell r="D161" t="str">
            <v>NBC-34500 LC BMC PINK TT VN-20KP</v>
          </cell>
          <cell r="E161" t="str">
            <v>ZFGD</v>
          </cell>
          <cell r="F161" t="str">
            <v>PC</v>
          </cell>
          <cell r="G161" t="str">
            <v>1</v>
          </cell>
          <cell r="H161" t="str">
            <v>INDUSTRY</v>
          </cell>
          <cell r="I161" t="str">
            <v>11</v>
          </cell>
          <cell r="J161" t="str">
            <v>WOOD COATINGS</v>
          </cell>
          <cell r="K161" t="str">
            <v>1104</v>
          </cell>
          <cell r="L161" t="str">
            <v>NC</v>
          </cell>
          <cell r="M161" t="str">
            <v>110403</v>
          </cell>
          <cell r="N161" t="str">
            <v>ASOF : NC BASE COAT</v>
          </cell>
        </row>
        <row r="162">
          <cell r="C162" t="str">
            <v>100000160</v>
          </cell>
          <cell r="D162" t="str">
            <v>NBC-9345-T-781-AK-20KP</v>
          </cell>
          <cell r="E162" t="str">
            <v>ZFGD</v>
          </cell>
          <cell r="F162" t="str">
            <v>PC</v>
          </cell>
          <cell r="G162" t="str">
            <v>1</v>
          </cell>
          <cell r="H162" t="str">
            <v>INDUSTRY</v>
          </cell>
          <cell r="I162" t="str">
            <v>11</v>
          </cell>
          <cell r="J162" t="str">
            <v>WOOD COATINGS</v>
          </cell>
          <cell r="K162" t="str">
            <v>1104</v>
          </cell>
          <cell r="L162" t="str">
            <v>NC</v>
          </cell>
          <cell r="M162" t="str">
            <v>110403</v>
          </cell>
          <cell r="N162" t="str">
            <v>ASOF : NC BASE COAT</v>
          </cell>
        </row>
        <row r="163">
          <cell r="C163" t="str">
            <v>100000161</v>
          </cell>
          <cell r="D163" t="str">
            <v>NBC-9345-T781AK-200KB</v>
          </cell>
          <cell r="E163" t="str">
            <v>ZFGD</v>
          </cell>
          <cell r="F163" t="str">
            <v>PC</v>
          </cell>
          <cell r="G163" t="str">
            <v>1</v>
          </cell>
          <cell r="H163" t="str">
            <v>INDUSTRY</v>
          </cell>
          <cell r="I163" t="str">
            <v>11</v>
          </cell>
          <cell r="J163" t="str">
            <v>WOOD COATINGS</v>
          </cell>
          <cell r="K163" t="str">
            <v>1104</v>
          </cell>
          <cell r="L163" t="str">
            <v>NC</v>
          </cell>
          <cell r="M163" t="str">
            <v>110403</v>
          </cell>
          <cell r="N163" t="str">
            <v>ASOF : NC BASE COAT</v>
          </cell>
        </row>
        <row r="164">
          <cell r="C164" t="str">
            <v>100000162</v>
          </cell>
          <cell r="D164" t="str">
            <v>NCE-45000 BLACK 20 YJ VN-20KP</v>
          </cell>
          <cell r="E164" t="str">
            <v>ZFGD</v>
          </cell>
          <cell r="F164" t="str">
            <v>PC</v>
          </cell>
          <cell r="G164" t="str">
            <v>1</v>
          </cell>
          <cell r="H164" t="str">
            <v>INDUSTRY</v>
          </cell>
          <cell r="I164" t="str">
            <v>11</v>
          </cell>
          <cell r="J164" t="str">
            <v>WOOD COATINGS</v>
          </cell>
          <cell r="K164" t="str">
            <v>1104</v>
          </cell>
          <cell r="L164" t="str">
            <v>NC</v>
          </cell>
          <cell r="M164" t="str">
            <v>110404</v>
          </cell>
          <cell r="N164" t="str">
            <v>ASOF : NC TOP COAT</v>
          </cell>
        </row>
        <row r="165">
          <cell r="C165" t="str">
            <v>100000163</v>
          </cell>
          <cell r="D165" t="str">
            <v>NCL-11320 LC 30 SM VN-20LP</v>
          </cell>
          <cell r="E165" t="str">
            <v>ZFGD</v>
          </cell>
          <cell r="F165" t="str">
            <v>PC</v>
          </cell>
          <cell r="G165" t="str">
            <v>1</v>
          </cell>
          <cell r="H165" t="str">
            <v>INDUSTRY</v>
          </cell>
          <cell r="I165" t="str">
            <v>11</v>
          </cell>
          <cell r="J165" t="str">
            <v>WOOD COATINGS</v>
          </cell>
          <cell r="K165" t="str">
            <v>1104</v>
          </cell>
          <cell r="L165" t="str">
            <v>NC</v>
          </cell>
          <cell r="M165" t="str">
            <v>110405</v>
          </cell>
          <cell r="N165" t="str">
            <v>NC SYSTEM</v>
          </cell>
        </row>
        <row r="166">
          <cell r="C166" t="str">
            <v>100000164</v>
          </cell>
          <cell r="D166" t="str">
            <v>NCL-40700 CLEAR 10 VN-20LP</v>
          </cell>
          <cell r="E166" t="str">
            <v>ZFGD</v>
          </cell>
          <cell r="F166" t="str">
            <v>PC</v>
          </cell>
          <cell r="G166" t="str">
            <v>1</v>
          </cell>
          <cell r="H166" t="str">
            <v>INDUSTRY</v>
          </cell>
          <cell r="I166" t="str">
            <v>11</v>
          </cell>
          <cell r="J166" t="str">
            <v>WOOD COATINGS</v>
          </cell>
          <cell r="K166" t="str">
            <v>1104</v>
          </cell>
          <cell r="L166" t="str">
            <v>NC</v>
          </cell>
          <cell r="M166" t="str">
            <v>110404</v>
          </cell>
          <cell r="N166" t="str">
            <v>ASOF : NC TOP COAT</v>
          </cell>
        </row>
        <row r="167">
          <cell r="C167" t="str">
            <v>100000165</v>
          </cell>
          <cell r="D167" t="str">
            <v>NCL-40700 CLEAR 90 VN-20LP</v>
          </cell>
          <cell r="E167" t="str">
            <v>ZFGD</v>
          </cell>
          <cell r="F167" t="str">
            <v>PC</v>
          </cell>
          <cell r="G167" t="str">
            <v>1</v>
          </cell>
          <cell r="H167" t="str">
            <v>INDUSTRY</v>
          </cell>
          <cell r="I167" t="str">
            <v>11</v>
          </cell>
          <cell r="J167" t="str">
            <v>WOOD COATINGS</v>
          </cell>
          <cell r="K167" t="str">
            <v>1104</v>
          </cell>
          <cell r="L167" t="str">
            <v>NC</v>
          </cell>
          <cell r="M167" t="str">
            <v>110404</v>
          </cell>
          <cell r="N167" t="str">
            <v>ASOF : NC TOP COAT</v>
          </cell>
        </row>
        <row r="168">
          <cell r="C168" t="str">
            <v>100000166</v>
          </cell>
          <cell r="D168" t="str">
            <v>NCL-9408-10-AK-18KP</v>
          </cell>
          <cell r="E168" t="str">
            <v>ZFGD</v>
          </cell>
          <cell r="F168" t="str">
            <v>PC</v>
          </cell>
          <cell r="G168" t="str">
            <v>1</v>
          </cell>
          <cell r="H168" t="str">
            <v>INDUSTRY</v>
          </cell>
          <cell r="I168" t="str">
            <v>11</v>
          </cell>
          <cell r="J168" t="str">
            <v>WOOD COATINGS</v>
          </cell>
          <cell r="K168" t="str">
            <v>1104</v>
          </cell>
          <cell r="L168" t="str">
            <v>NC</v>
          </cell>
          <cell r="M168" t="str">
            <v>110404</v>
          </cell>
          <cell r="N168" t="str">
            <v>ASOF : NC TOP COAT</v>
          </cell>
        </row>
        <row r="169">
          <cell r="C169" t="str">
            <v>100000167</v>
          </cell>
          <cell r="D169" t="str">
            <v>NCL-9408-10-AK-180KB</v>
          </cell>
          <cell r="E169" t="str">
            <v>ZFGD</v>
          </cell>
          <cell r="F169" t="str">
            <v>PC</v>
          </cell>
          <cell r="G169" t="str">
            <v>1</v>
          </cell>
          <cell r="H169" t="str">
            <v>INDUSTRY</v>
          </cell>
          <cell r="I169" t="str">
            <v>11</v>
          </cell>
          <cell r="J169" t="str">
            <v>WOOD COATINGS</v>
          </cell>
          <cell r="K169" t="str">
            <v>1104</v>
          </cell>
          <cell r="L169" t="str">
            <v>NC</v>
          </cell>
          <cell r="M169" t="str">
            <v>110404</v>
          </cell>
          <cell r="N169" t="str">
            <v>ASOF : NC TOP COAT</v>
          </cell>
        </row>
        <row r="170">
          <cell r="C170" t="str">
            <v>100000168</v>
          </cell>
          <cell r="D170" t="str">
            <v>NCL-9408-20-AK-18KP</v>
          </cell>
          <cell r="E170" t="str">
            <v>ZFGD</v>
          </cell>
          <cell r="F170" t="str">
            <v>PC</v>
          </cell>
          <cell r="G170" t="str">
            <v>1</v>
          </cell>
          <cell r="H170" t="str">
            <v>INDUSTRY</v>
          </cell>
          <cell r="I170" t="str">
            <v>11</v>
          </cell>
          <cell r="J170" t="str">
            <v>WOOD COATINGS</v>
          </cell>
          <cell r="K170" t="str">
            <v>1104</v>
          </cell>
          <cell r="L170" t="str">
            <v>NC</v>
          </cell>
          <cell r="M170" t="str">
            <v>110404</v>
          </cell>
          <cell r="N170" t="str">
            <v>ASOF : NC TOP COAT</v>
          </cell>
        </row>
        <row r="171">
          <cell r="C171" t="str">
            <v>100000169</v>
          </cell>
          <cell r="D171" t="str">
            <v>NCL-9408-20-AK-180KB</v>
          </cell>
          <cell r="E171" t="str">
            <v>ZFGD</v>
          </cell>
          <cell r="F171" t="str">
            <v>PC</v>
          </cell>
          <cell r="G171" t="str">
            <v>1</v>
          </cell>
          <cell r="H171" t="str">
            <v>INDUSTRY</v>
          </cell>
          <cell r="I171" t="str">
            <v>11</v>
          </cell>
          <cell r="J171" t="str">
            <v>WOOD COATINGS</v>
          </cell>
          <cell r="K171" t="str">
            <v>1104</v>
          </cell>
          <cell r="L171" t="str">
            <v>NC</v>
          </cell>
          <cell r="M171" t="str">
            <v>110404</v>
          </cell>
          <cell r="N171" t="str">
            <v>ASOF : NC TOP COAT</v>
          </cell>
        </row>
        <row r="172">
          <cell r="C172" t="str">
            <v>100000170</v>
          </cell>
          <cell r="D172" t="str">
            <v>NCL-9408-30-AK-18KP</v>
          </cell>
          <cell r="E172" t="str">
            <v>ZFGD</v>
          </cell>
          <cell r="F172" t="str">
            <v>PC</v>
          </cell>
          <cell r="G172" t="str">
            <v>1</v>
          </cell>
          <cell r="H172" t="str">
            <v>INDUSTRY</v>
          </cell>
          <cell r="I172" t="str">
            <v>11</v>
          </cell>
          <cell r="J172" t="str">
            <v>WOOD COATINGS</v>
          </cell>
          <cell r="K172" t="str">
            <v>1104</v>
          </cell>
          <cell r="L172" t="str">
            <v>NC</v>
          </cell>
          <cell r="M172" t="str">
            <v>110404</v>
          </cell>
          <cell r="N172" t="str">
            <v>ASOF : NC TOP COAT</v>
          </cell>
        </row>
        <row r="173">
          <cell r="C173" t="str">
            <v>100000171</v>
          </cell>
          <cell r="D173" t="str">
            <v>NCL-9408-30-AK-180KB</v>
          </cell>
          <cell r="E173" t="str">
            <v>ZFGD</v>
          </cell>
          <cell r="F173" t="str">
            <v>PC</v>
          </cell>
          <cell r="G173" t="str">
            <v>1</v>
          </cell>
          <cell r="H173" t="str">
            <v>INDUSTRY</v>
          </cell>
          <cell r="I173" t="str">
            <v>11</v>
          </cell>
          <cell r="J173" t="str">
            <v>WOOD COATINGS</v>
          </cell>
          <cell r="K173" t="str">
            <v>1104</v>
          </cell>
          <cell r="L173" t="str">
            <v>NC</v>
          </cell>
          <cell r="M173" t="str">
            <v>110404</v>
          </cell>
          <cell r="N173" t="str">
            <v>ASOF : NC TOP COAT</v>
          </cell>
        </row>
        <row r="174">
          <cell r="C174" t="str">
            <v>100000172</v>
          </cell>
          <cell r="D174" t="str">
            <v>NCL-9408 35 AK-180KB</v>
          </cell>
          <cell r="E174" t="str">
            <v>ZFGD</v>
          </cell>
          <cell r="F174" t="str">
            <v>PC</v>
          </cell>
          <cell r="G174" t="str">
            <v>1</v>
          </cell>
          <cell r="H174" t="str">
            <v>INDUSTRY</v>
          </cell>
          <cell r="I174" t="str">
            <v>11</v>
          </cell>
          <cell r="J174" t="str">
            <v>WOOD COATINGS</v>
          </cell>
          <cell r="K174" t="str">
            <v>1104</v>
          </cell>
          <cell r="L174" t="str">
            <v>NC</v>
          </cell>
          <cell r="M174" t="str">
            <v>110404</v>
          </cell>
          <cell r="N174" t="str">
            <v>ASOF : NC TOP COAT</v>
          </cell>
        </row>
        <row r="175">
          <cell r="C175" t="str">
            <v>100000173</v>
          </cell>
          <cell r="D175" t="str">
            <v>NCL-9408-40-AK-18KP</v>
          </cell>
          <cell r="E175" t="str">
            <v>ZFGD</v>
          </cell>
          <cell r="F175" t="str">
            <v>PC</v>
          </cell>
          <cell r="G175" t="str">
            <v>1</v>
          </cell>
          <cell r="H175" t="str">
            <v>INDUSTRY</v>
          </cell>
          <cell r="I175" t="str">
            <v>11</v>
          </cell>
          <cell r="J175" t="str">
            <v>WOOD COATINGS</v>
          </cell>
          <cell r="K175" t="str">
            <v>1104</v>
          </cell>
          <cell r="L175" t="str">
            <v>NC</v>
          </cell>
          <cell r="M175" t="str">
            <v>110404</v>
          </cell>
          <cell r="N175" t="str">
            <v>ASOF : NC TOP COAT</v>
          </cell>
        </row>
        <row r="176">
          <cell r="C176" t="str">
            <v>100000174</v>
          </cell>
          <cell r="D176" t="str">
            <v>NCL-9408-40-AK-180KB</v>
          </cell>
          <cell r="E176" t="str">
            <v>ZFGD</v>
          </cell>
          <cell r="F176" t="str">
            <v>PC</v>
          </cell>
          <cell r="G176" t="str">
            <v>1</v>
          </cell>
          <cell r="H176" t="str">
            <v>INDUSTRY</v>
          </cell>
          <cell r="I176" t="str">
            <v>11</v>
          </cell>
          <cell r="J176" t="str">
            <v>WOOD COATINGS</v>
          </cell>
          <cell r="K176" t="str">
            <v>1104</v>
          </cell>
          <cell r="L176" t="str">
            <v>NC</v>
          </cell>
          <cell r="M176" t="str">
            <v>110404</v>
          </cell>
          <cell r="N176" t="str">
            <v>ASOF : NC TOP COAT</v>
          </cell>
        </row>
        <row r="177">
          <cell r="C177" t="str">
            <v>100000175</v>
          </cell>
          <cell r="D177" t="str">
            <v>NCL-9408-5-AK-18KP</v>
          </cell>
          <cell r="E177" t="str">
            <v>ZFGD</v>
          </cell>
          <cell r="F177" t="str">
            <v>PC</v>
          </cell>
          <cell r="G177" t="str">
            <v>1</v>
          </cell>
          <cell r="H177" t="str">
            <v>INDUSTRY</v>
          </cell>
          <cell r="I177" t="str">
            <v>11</v>
          </cell>
          <cell r="J177" t="str">
            <v>WOOD COATINGS</v>
          </cell>
          <cell r="K177" t="str">
            <v>1104</v>
          </cell>
          <cell r="L177" t="str">
            <v>NC</v>
          </cell>
          <cell r="M177" t="str">
            <v>110404</v>
          </cell>
          <cell r="N177" t="str">
            <v>ASOF : NC TOP COAT</v>
          </cell>
        </row>
        <row r="178">
          <cell r="C178" t="str">
            <v>100000176</v>
          </cell>
          <cell r="D178" t="str">
            <v>NCL-9408-5-AK-180KB</v>
          </cell>
          <cell r="E178" t="str">
            <v>ZFGD</v>
          </cell>
          <cell r="F178" t="str">
            <v>PC</v>
          </cell>
          <cell r="G178" t="str">
            <v>1</v>
          </cell>
          <cell r="H178" t="str">
            <v>INDUSTRY</v>
          </cell>
          <cell r="I178" t="str">
            <v>11</v>
          </cell>
          <cell r="J178" t="str">
            <v>WOOD COATINGS</v>
          </cell>
          <cell r="K178" t="str">
            <v>1104</v>
          </cell>
          <cell r="L178" t="str">
            <v>NC</v>
          </cell>
          <cell r="M178" t="str">
            <v>110404</v>
          </cell>
          <cell r="N178" t="str">
            <v>ASOF : NC TOP COAT</v>
          </cell>
        </row>
        <row r="179">
          <cell r="C179" t="str">
            <v>100000177</v>
          </cell>
          <cell r="D179" t="str">
            <v>NCL-9408-50-AK-18KP</v>
          </cell>
          <cell r="E179" t="str">
            <v>ZFGD</v>
          </cell>
          <cell r="F179" t="str">
            <v>PC</v>
          </cell>
          <cell r="G179" t="str">
            <v>1</v>
          </cell>
          <cell r="H179" t="str">
            <v>INDUSTRY</v>
          </cell>
          <cell r="I179" t="str">
            <v>11</v>
          </cell>
          <cell r="J179" t="str">
            <v>WOOD COATINGS</v>
          </cell>
          <cell r="K179" t="str">
            <v>1104</v>
          </cell>
          <cell r="L179" t="str">
            <v>NC</v>
          </cell>
          <cell r="M179" t="str">
            <v>110404</v>
          </cell>
          <cell r="N179" t="str">
            <v>ASOF : NC TOP COAT</v>
          </cell>
        </row>
        <row r="180">
          <cell r="C180" t="str">
            <v>100000178</v>
          </cell>
          <cell r="D180" t="str">
            <v>NCL-9408-50-AK-180KB</v>
          </cell>
          <cell r="E180" t="str">
            <v>ZFGD</v>
          </cell>
          <cell r="F180" t="str">
            <v>PC</v>
          </cell>
          <cell r="G180" t="str">
            <v>1</v>
          </cell>
          <cell r="H180" t="str">
            <v>INDUSTRY</v>
          </cell>
          <cell r="I180" t="str">
            <v>11</v>
          </cell>
          <cell r="J180" t="str">
            <v>WOOD COATINGS</v>
          </cell>
          <cell r="K180" t="str">
            <v>1104</v>
          </cell>
          <cell r="L180" t="str">
            <v>NC</v>
          </cell>
          <cell r="M180" t="str">
            <v>110404</v>
          </cell>
          <cell r="N180" t="str">
            <v>ASOF : NC TOP COAT</v>
          </cell>
        </row>
        <row r="181">
          <cell r="C181" t="str">
            <v>100000179</v>
          </cell>
          <cell r="D181" t="str">
            <v>NCL-9408 90 AK-18KP</v>
          </cell>
          <cell r="E181" t="str">
            <v>ZFGD</v>
          </cell>
          <cell r="F181" t="str">
            <v>PC</v>
          </cell>
          <cell r="G181" t="str">
            <v>1</v>
          </cell>
          <cell r="H181" t="str">
            <v>INDUSTRY</v>
          </cell>
          <cell r="I181" t="str">
            <v>11</v>
          </cell>
          <cell r="J181" t="str">
            <v>WOOD COATINGS</v>
          </cell>
          <cell r="K181" t="str">
            <v>1104</v>
          </cell>
          <cell r="L181" t="str">
            <v>NC</v>
          </cell>
          <cell r="M181" t="str">
            <v>110404</v>
          </cell>
          <cell r="N181" t="str">
            <v>ASOF : NC TOP COAT</v>
          </cell>
        </row>
        <row r="182">
          <cell r="C182" t="str">
            <v>100000180</v>
          </cell>
          <cell r="D182" t="str">
            <v>NCL-40800 LC CLEAR 05 VN-20LP</v>
          </cell>
          <cell r="E182" t="str">
            <v>ZFGD</v>
          </cell>
          <cell r="F182" t="str">
            <v>PC</v>
          </cell>
          <cell r="G182" t="str">
            <v>1</v>
          </cell>
          <cell r="H182" t="str">
            <v>INDUSTRY</v>
          </cell>
          <cell r="I182" t="str">
            <v>11</v>
          </cell>
          <cell r="J182" t="str">
            <v>WOOD COATINGS</v>
          </cell>
          <cell r="K182" t="str">
            <v>1104</v>
          </cell>
          <cell r="L182" t="str">
            <v>NC</v>
          </cell>
          <cell r="M182" t="str">
            <v>110404</v>
          </cell>
          <cell r="N182" t="str">
            <v>ASOF : NC TOP COAT</v>
          </cell>
        </row>
        <row r="183">
          <cell r="C183" t="str">
            <v>100000181</v>
          </cell>
          <cell r="D183" t="str">
            <v>NCL-40800 LC CLEAR 10 VN-20LP</v>
          </cell>
          <cell r="E183" t="str">
            <v>ZFGD</v>
          </cell>
          <cell r="F183" t="str">
            <v>PC</v>
          </cell>
          <cell r="G183" t="str">
            <v>1</v>
          </cell>
          <cell r="H183" t="str">
            <v>INDUSTRY</v>
          </cell>
          <cell r="I183" t="str">
            <v>11</v>
          </cell>
          <cell r="J183" t="str">
            <v>WOOD COATINGS</v>
          </cell>
          <cell r="K183" t="str">
            <v>1104</v>
          </cell>
          <cell r="L183" t="str">
            <v>NC</v>
          </cell>
          <cell r="M183" t="str">
            <v>110404</v>
          </cell>
          <cell r="N183" t="str">
            <v>ASOF : NC TOP COAT</v>
          </cell>
        </row>
        <row r="184">
          <cell r="C184" t="str">
            <v>100000182</v>
          </cell>
          <cell r="D184" t="str">
            <v>NCL-40800 LC CLEAR 30 VN-20LP</v>
          </cell>
          <cell r="E184" t="str">
            <v>ZFGD</v>
          </cell>
          <cell r="F184" t="str">
            <v>PC</v>
          </cell>
          <cell r="G184" t="str">
            <v>1</v>
          </cell>
          <cell r="H184" t="str">
            <v>INDUSTRY</v>
          </cell>
          <cell r="I184" t="str">
            <v>11</v>
          </cell>
          <cell r="J184" t="str">
            <v>WOOD COATINGS</v>
          </cell>
          <cell r="K184" t="str">
            <v>1104</v>
          </cell>
          <cell r="L184" t="str">
            <v>NC</v>
          </cell>
          <cell r="M184" t="str">
            <v>110404</v>
          </cell>
          <cell r="N184" t="str">
            <v>ASOF : NC TOP COAT</v>
          </cell>
        </row>
        <row r="185">
          <cell r="C185" t="str">
            <v>100000183</v>
          </cell>
          <cell r="D185" t="str">
            <v>NCL-40800 LC CLEAR 35 VN-20LP</v>
          </cell>
          <cell r="E185" t="str">
            <v>ZFGD</v>
          </cell>
          <cell r="F185" t="str">
            <v>PC</v>
          </cell>
          <cell r="G185" t="str">
            <v>1</v>
          </cell>
          <cell r="H185" t="str">
            <v>INDUSTRY</v>
          </cell>
          <cell r="I185" t="str">
            <v>11</v>
          </cell>
          <cell r="J185" t="str">
            <v>WOOD COATINGS</v>
          </cell>
          <cell r="K185" t="str">
            <v>1104</v>
          </cell>
          <cell r="L185" t="str">
            <v>NC</v>
          </cell>
          <cell r="M185" t="str">
            <v>110404</v>
          </cell>
          <cell r="N185" t="str">
            <v>ASOF : NC TOP COAT</v>
          </cell>
        </row>
        <row r="186">
          <cell r="C186" t="str">
            <v>100000184</v>
          </cell>
          <cell r="D186" t="str">
            <v>NCL-40800 LC CLEAR 40 VN-20LP</v>
          </cell>
          <cell r="E186" t="str">
            <v>ZFGD</v>
          </cell>
          <cell r="F186" t="str">
            <v>PC</v>
          </cell>
          <cell r="G186" t="str">
            <v>1</v>
          </cell>
          <cell r="H186" t="str">
            <v>INDUSTRY</v>
          </cell>
          <cell r="I186" t="str">
            <v>11</v>
          </cell>
          <cell r="J186" t="str">
            <v>WOOD COATINGS</v>
          </cell>
          <cell r="K186" t="str">
            <v>1104</v>
          </cell>
          <cell r="L186" t="str">
            <v>NC</v>
          </cell>
          <cell r="M186" t="str">
            <v>110404</v>
          </cell>
          <cell r="N186" t="str">
            <v>ASOF : NC TOP COAT</v>
          </cell>
        </row>
        <row r="187">
          <cell r="C187" t="str">
            <v>100000185</v>
          </cell>
          <cell r="D187" t="str">
            <v>NCL-40800 LC CLEAR 50 VN-20LP</v>
          </cell>
          <cell r="E187" t="str">
            <v>ZFGD</v>
          </cell>
          <cell r="F187" t="str">
            <v>PC</v>
          </cell>
          <cell r="G187" t="str">
            <v>1</v>
          </cell>
          <cell r="H187" t="str">
            <v>INDUSTRY</v>
          </cell>
          <cell r="I187" t="str">
            <v>11</v>
          </cell>
          <cell r="J187" t="str">
            <v>WOOD COATINGS</v>
          </cell>
          <cell r="K187" t="str">
            <v>1104</v>
          </cell>
          <cell r="L187" t="str">
            <v>NC</v>
          </cell>
          <cell r="M187" t="str">
            <v>110404</v>
          </cell>
          <cell r="N187" t="str">
            <v>ASOF : NC TOP COAT</v>
          </cell>
        </row>
        <row r="188">
          <cell r="C188" t="str">
            <v>100000186</v>
          </cell>
          <cell r="D188" t="str">
            <v>NCL-40800 LC CLEAR 90 VN-20LP</v>
          </cell>
          <cell r="E188" t="str">
            <v>ZFGD</v>
          </cell>
          <cell r="F188" t="str">
            <v>PC</v>
          </cell>
          <cell r="G188" t="str">
            <v>1</v>
          </cell>
          <cell r="H188" t="str">
            <v>INDUSTRY</v>
          </cell>
          <cell r="I188" t="str">
            <v>11</v>
          </cell>
          <cell r="J188" t="str">
            <v>WOOD COATINGS</v>
          </cell>
          <cell r="K188" t="str">
            <v>1104</v>
          </cell>
          <cell r="L188" t="str">
            <v>NC</v>
          </cell>
          <cell r="M188" t="str">
            <v>110404</v>
          </cell>
          <cell r="N188" t="str">
            <v>ASOF : NC TOP COAT</v>
          </cell>
        </row>
        <row r="189">
          <cell r="C189" t="str">
            <v>100000187</v>
          </cell>
          <cell r="D189" t="str">
            <v>NCL-40800 LC MOD CLEAR 05 VN-18KP</v>
          </cell>
          <cell r="E189" t="str">
            <v>ZFGD</v>
          </cell>
          <cell r="F189" t="str">
            <v>PC</v>
          </cell>
          <cell r="G189" t="str">
            <v>1</v>
          </cell>
          <cell r="H189" t="str">
            <v>INDUSTRY</v>
          </cell>
          <cell r="I189" t="str">
            <v>11</v>
          </cell>
          <cell r="J189" t="str">
            <v>WOOD COATINGS</v>
          </cell>
          <cell r="K189" t="str">
            <v>1104</v>
          </cell>
          <cell r="L189" t="str">
            <v>NC</v>
          </cell>
          <cell r="M189" t="str">
            <v>110404</v>
          </cell>
          <cell r="N189" t="str">
            <v>ASOF : NC TOP COAT</v>
          </cell>
        </row>
        <row r="190">
          <cell r="C190" t="str">
            <v>100000188</v>
          </cell>
          <cell r="D190" t="str">
            <v>NCL-40800 LC MOD CLEAR 10 VN-18KP</v>
          </cell>
          <cell r="E190" t="str">
            <v>ZFGD</v>
          </cell>
          <cell r="F190" t="str">
            <v>PC</v>
          </cell>
          <cell r="G190" t="str">
            <v>1</v>
          </cell>
          <cell r="H190" t="str">
            <v>INDUSTRY</v>
          </cell>
          <cell r="I190" t="str">
            <v>11</v>
          </cell>
          <cell r="J190" t="str">
            <v>WOOD COATINGS</v>
          </cell>
          <cell r="K190" t="str">
            <v>1104</v>
          </cell>
          <cell r="L190" t="str">
            <v>NC</v>
          </cell>
          <cell r="M190" t="str">
            <v>110404</v>
          </cell>
          <cell r="N190" t="str">
            <v>ASOF : NC TOP COAT</v>
          </cell>
        </row>
        <row r="191">
          <cell r="C191" t="str">
            <v>100000189</v>
          </cell>
          <cell r="D191" t="str">
            <v>NCL-40800 LC MOD CLEAR 20 VN-18KP</v>
          </cell>
          <cell r="E191" t="str">
            <v>ZFGD</v>
          </cell>
          <cell r="F191" t="str">
            <v>PC</v>
          </cell>
          <cell r="G191" t="str">
            <v>1</v>
          </cell>
          <cell r="H191" t="str">
            <v>INDUSTRY</v>
          </cell>
          <cell r="I191" t="str">
            <v>11</v>
          </cell>
          <cell r="J191" t="str">
            <v>WOOD COATINGS</v>
          </cell>
          <cell r="K191" t="str">
            <v>1104</v>
          </cell>
          <cell r="L191" t="str">
            <v>NC</v>
          </cell>
          <cell r="M191" t="str">
            <v>110404</v>
          </cell>
          <cell r="N191" t="str">
            <v>ASOF : NC TOP COAT</v>
          </cell>
        </row>
        <row r="192">
          <cell r="C192" t="str">
            <v>100000190</v>
          </cell>
          <cell r="D192" t="str">
            <v>NCL-40800 LC MOD CLEAR 30 VN-18KP</v>
          </cell>
          <cell r="E192" t="str">
            <v>ZFGD</v>
          </cell>
          <cell r="F192" t="str">
            <v>PC</v>
          </cell>
          <cell r="G192" t="str">
            <v>1</v>
          </cell>
          <cell r="H192" t="str">
            <v>INDUSTRY</v>
          </cell>
          <cell r="I192" t="str">
            <v>11</v>
          </cell>
          <cell r="J192" t="str">
            <v>WOOD COATINGS</v>
          </cell>
          <cell r="K192" t="str">
            <v>1104</v>
          </cell>
          <cell r="L192" t="str">
            <v>NC</v>
          </cell>
          <cell r="M192" t="str">
            <v>110404</v>
          </cell>
          <cell r="N192" t="str">
            <v>ASOF : NC TOP COAT</v>
          </cell>
        </row>
        <row r="193">
          <cell r="C193" t="str">
            <v>100000191</v>
          </cell>
          <cell r="D193" t="str">
            <v>NCL-40800 LC MOD CLEAR 50 VN-20LP</v>
          </cell>
          <cell r="E193" t="str">
            <v>ZFGD</v>
          </cell>
          <cell r="F193" t="str">
            <v>PC</v>
          </cell>
          <cell r="G193" t="str">
            <v>1</v>
          </cell>
          <cell r="H193" t="str">
            <v>INDUSTRY</v>
          </cell>
          <cell r="I193" t="str">
            <v>11</v>
          </cell>
          <cell r="J193" t="str">
            <v>WOOD COATINGS</v>
          </cell>
          <cell r="K193" t="str">
            <v>1104</v>
          </cell>
          <cell r="L193" t="str">
            <v>NC</v>
          </cell>
          <cell r="M193" t="str">
            <v>110404</v>
          </cell>
          <cell r="N193" t="str">
            <v>ASOF : NC TOP COAT</v>
          </cell>
        </row>
        <row r="194">
          <cell r="C194" t="str">
            <v>100000192</v>
          </cell>
          <cell r="D194" t="str">
            <v>NCL-40800 LC MOD CLEAR 80 VN-18KP</v>
          </cell>
          <cell r="E194" t="str">
            <v>ZFGD</v>
          </cell>
          <cell r="F194" t="str">
            <v>PC</v>
          </cell>
          <cell r="G194" t="str">
            <v>1</v>
          </cell>
          <cell r="H194" t="str">
            <v>INDUSTRY</v>
          </cell>
          <cell r="I194" t="str">
            <v>11</v>
          </cell>
          <cell r="J194" t="str">
            <v>WOOD COATINGS</v>
          </cell>
          <cell r="K194" t="str">
            <v>1104</v>
          </cell>
          <cell r="L194" t="str">
            <v>NC</v>
          </cell>
          <cell r="M194" t="str">
            <v>110404</v>
          </cell>
          <cell r="N194" t="str">
            <v>ASOF : NC TOP COAT</v>
          </cell>
        </row>
        <row r="195">
          <cell r="C195" t="str">
            <v>100000193</v>
          </cell>
          <cell r="D195" t="str">
            <v>NCL-40800 LY CLEAR 05 VN-18LP</v>
          </cell>
          <cell r="E195" t="str">
            <v>ZFGD</v>
          </cell>
          <cell r="F195" t="str">
            <v>PC</v>
          </cell>
          <cell r="G195" t="str">
            <v>1</v>
          </cell>
          <cell r="H195" t="str">
            <v>INDUSTRY</v>
          </cell>
          <cell r="I195" t="str">
            <v>11</v>
          </cell>
          <cell r="J195" t="str">
            <v>WOOD COATINGS</v>
          </cell>
          <cell r="K195" t="str">
            <v>1104</v>
          </cell>
          <cell r="L195" t="str">
            <v>NC</v>
          </cell>
          <cell r="M195" t="str">
            <v>110404</v>
          </cell>
          <cell r="N195" t="str">
            <v>ASOF : NC TOP COAT</v>
          </cell>
        </row>
        <row r="196">
          <cell r="C196" t="str">
            <v>100000194</v>
          </cell>
          <cell r="D196" t="str">
            <v>NCL-40800 LY CLEAR 10 VN-18LP</v>
          </cell>
          <cell r="E196" t="str">
            <v>ZFGD</v>
          </cell>
          <cell r="F196" t="str">
            <v>PC</v>
          </cell>
          <cell r="G196" t="str">
            <v>1</v>
          </cell>
          <cell r="H196" t="str">
            <v>INDUSTRY</v>
          </cell>
          <cell r="I196" t="str">
            <v>11</v>
          </cell>
          <cell r="J196" t="str">
            <v>WOOD COATINGS</v>
          </cell>
          <cell r="K196" t="str">
            <v>1104</v>
          </cell>
          <cell r="L196" t="str">
            <v>NC</v>
          </cell>
          <cell r="M196" t="str">
            <v>110404</v>
          </cell>
          <cell r="N196" t="str">
            <v>ASOF : NC TOP COAT</v>
          </cell>
        </row>
        <row r="197">
          <cell r="C197" t="str">
            <v>100000195</v>
          </cell>
          <cell r="D197" t="str">
            <v>NCL-40800 LY CLEAR 90 VN-20LP</v>
          </cell>
          <cell r="E197" t="str">
            <v>ZFGD</v>
          </cell>
          <cell r="F197" t="str">
            <v>PC</v>
          </cell>
          <cell r="G197" t="str">
            <v>1</v>
          </cell>
          <cell r="H197" t="str">
            <v>INDUSTRY</v>
          </cell>
          <cell r="I197" t="str">
            <v>11</v>
          </cell>
          <cell r="J197" t="str">
            <v>WOOD COATINGS</v>
          </cell>
          <cell r="K197" t="str">
            <v>1104</v>
          </cell>
          <cell r="L197" t="str">
            <v>NC</v>
          </cell>
          <cell r="M197" t="str">
            <v>110404</v>
          </cell>
          <cell r="N197" t="str">
            <v>ASOF : NC TOP COAT</v>
          </cell>
        </row>
        <row r="198">
          <cell r="C198" t="str">
            <v>100000196</v>
          </cell>
          <cell r="D198" t="str">
            <v>NCSS-30700 VN-200LB</v>
          </cell>
          <cell r="E198" t="str">
            <v>ZFGD</v>
          </cell>
          <cell r="F198" t="str">
            <v>PC</v>
          </cell>
          <cell r="G198" t="str">
            <v>1</v>
          </cell>
          <cell r="H198" t="str">
            <v>INDUSTRY</v>
          </cell>
          <cell r="I198" t="str">
            <v>11</v>
          </cell>
          <cell r="J198" t="str">
            <v>WOOD COATINGS</v>
          </cell>
          <cell r="K198" t="str">
            <v>1104</v>
          </cell>
          <cell r="L198" t="str">
            <v>NC</v>
          </cell>
          <cell r="M198" t="str">
            <v>110403</v>
          </cell>
          <cell r="N198" t="str">
            <v>ASOF : NC BASE COAT</v>
          </cell>
        </row>
        <row r="199">
          <cell r="C199" t="str">
            <v>100000197</v>
          </cell>
          <cell r="D199" t="str">
            <v>NCSS-30800 LC VN-200LB</v>
          </cell>
          <cell r="E199" t="str">
            <v>ZFGD</v>
          </cell>
          <cell r="F199" t="str">
            <v>PC</v>
          </cell>
          <cell r="G199" t="str">
            <v>1</v>
          </cell>
          <cell r="H199" t="str">
            <v>INDUSTRY</v>
          </cell>
          <cell r="I199" t="str">
            <v>11</v>
          </cell>
          <cell r="J199" t="str">
            <v>WOOD COATINGS</v>
          </cell>
          <cell r="K199" t="str">
            <v>1104</v>
          </cell>
          <cell r="L199" t="str">
            <v>NC</v>
          </cell>
          <cell r="M199" t="str">
            <v>110403</v>
          </cell>
          <cell r="N199" t="str">
            <v>ASOF : NC BASE COAT</v>
          </cell>
        </row>
        <row r="200">
          <cell r="C200" t="str">
            <v>100000198</v>
          </cell>
          <cell r="D200" t="str">
            <v>NCSS-9308 LC AK-18KP</v>
          </cell>
          <cell r="E200" t="str">
            <v>ZFGD</v>
          </cell>
          <cell r="F200" t="str">
            <v>PC</v>
          </cell>
          <cell r="G200" t="str">
            <v>1</v>
          </cell>
          <cell r="H200" t="str">
            <v>INDUSTRY</v>
          </cell>
          <cell r="I200" t="str">
            <v>11</v>
          </cell>
          <cell r="J200" t="str">
            <v>WOOD COATINGS</v>
          </cell>
          <cell r="K200" t="str">
            <v>1104</v>
          </cell>
          <cell r="L200" t="str">
            <v>NC</v>
          </cell>
          <cell r="M200" t="str">
            <v>110403</v>
          </cell>
          <cell r="N200" t="str">
            <v>ASOF : NC BASE COAT</v>
          </cell>
        </row>
        <row r="201">
          <cell r="C201" t="str">
            <v>100000199</v>
          </cell>
          <cell r="D201" t="str">
            <v>NCSS-9308-LC-AK-180KB</v>
          </cell>
          <cell r="E201" t="str">
            <v>ZFGD</v>
          </cell>
          <cell r="F201" t="str">
            <v>PC</v>
          </cell>
          <cell r="G201" t="str">
            <v>1</v>
          </cell>
          <cell r="H201" t="str">
            <v>INDUSTRY</v>
          </cell>
          <cell r="I201" t="str">
            <v>11</v>
          </cell>
          <cell r="J201" t="str">
            <v>WOOD COATINGS</v>
          </cell>
          <cell r="K201" t="str">
            <v>1104</v>
          </cell>
          <cell r="L201" t="str">
            <v>NC</v>
          </cell>
          <cell r="M201" t="str">
            <v>110403</v>
          </cell>
          <cell r="N201" t="str">
            <v>ASOF : NC BASE COAT</v>
          </cell>
        </row>
        <row r="202">
          <cell r="C202" t="str">
            <v>100000200</v>
          </cell>
          <cell r="D202" t="str">
            <v>NCSS-30800 LC MOD VN-20LP</v>
          </cell>
          <cell r="E202" t="str">
            <v>ZFGD</v>
          </cell>
          <cell r="F202" t="str">
            <v>PC</v>
          </cell>
          <cell r="G202" t="str">
            <v>1</v>
          </cell>
          <cell r="H202" t="str">
            <v>INDUSTRY</v>
          </cell>
          <cell r="I202" t="str">
            <v>11</v>
          </cell>
          <cell r="J202" t="str">
            <v>WOOD COATINGS</v>
          </cell>
          <cell r="K202" t="str">
            <v>1104</v>
          </cell>
          <cell r="L202" t="str">
            <v>NC</v>
          </cell>
          <cell r="M202" t="str">
            <v>110403</v>
          </cell>
          <cell r="N202" t="str">
            <v>ASOF : NC BASE COAT</v>
          </cell>
        </row>
        <row r="203">
          <cell r="C203" t="str">
            <v>100000201</v>
          </cell>
          <cell r="D203" t="str">
            <v>NCSS-30800 LC MOD VN-200LB</v>
          </cell>
          <cell r="E203" t="str">
            <v>ZFGD</v>
          </cell>
          <cell r="F203" t="str">
            <v>PC</v>
          </cell>
          <cell r="G203" t="str">
            <v>1</v>
          </cell>
          <cell r="H203" t="str">
            <v>INDUSTRY</v>
          </cell>
          <cell r="I203" t="str">
            <v>11</v>
          </cell>
          <cell r="J203" t="str">
            <v>WOOD COATINGS</v>
          </cell>
          <cell r="K203" t="str">
            <v>1104</v>
          </cell>
          <cell r="L203" t="str">
            <v>NC</v>
          </cell>
          <cell r="M203" t="str">
            <v>110403</v>
          </cell>
          <cell r="N203" t="str">
            <v>ASOF : NC BASE COAT</v>
          </cell>
        </row>
        <row r="204">
          <cell r="C204" t="str">
            <v>100000202</v>
          </cell>
          <cell r="D204" t="str">
            <v>NCSS-30800 LY MOD VN-18KP</v>
          </cell>
          <cell r="E204" t="str">
            <v>ZFGD</v>
          </cell>
          <cell r="F204" t="str">
            <v>PC</v>
          </cell>
          <cell r="G204" t="str">
            <v>1</v>
          </cell>
          <cell r="H204" t="str">
            <v>INDUSTRY</v>
          </cell>
          <cell r="I204" t="str">
            <v>11</v>
          </cell>
          <cell r="J204" t="str">
            <v>WOOD COATINGS</v>
          </cell>
          <cell r="K204" t="str">
            <v>1104</v>
          </cell>
          <cell r="L204" t="str">
            <v>NC</v>
          </cell>
          <cell r="M204" t="str">
            <v>110403</v>
          </cell>
          <cell r="N204" t="str">
            <v>ASOF : NC BASE COAT</v>
          </cell>
        </row>
        <row r="205">
          <cell r="C205" t="str">
            <v>100000203</v>
          </cell>
          <cell r="D205" t="str">
            <v>NCSS-30800 LC VN-20LP</v>
          </cell>
          <cell r="E205" t="str">
            <v>ZFGD</v>
          </cell>
          <cell r="F205" t="str">
            <v>PC</v>
          </cell>
          <cell r="G205" t="str">
            <v>1</v>
          </cell>
          <cell r="H205" t="str">
            <v>INDUSTRY</v>
          </cell>
          <cell r="I205" t="str">
            <v>11</v>
          </cell>
          <cell r="J205" t="str">
            <v>WOOD COATINGS</v>
          </cell>
          <cell r="K205" t="str">
            <v>1104</v>
          </cell>
          <cell r="L205" t="str">
            <v>NC</v>
          </cell>
          <cell r="M205" t="str">
            <v>110403</v>
          </cell>
          <cell r="N205" t="str">
            <v>ASOF : NC BASE COAT</v>
          </cell>
        </row>
        <row r="206">
          <cell r="C206" t="str">
            <v>100000204</v>
          </cell>
          <cell r="D206" t="str">
            <v>PCA-31100 11 AH VN-20LJ</v>
          </cell>
          <cell r="E206" t="str">
            <v>ZFGD</v>
          </cell>
          <cell r="F206" t="str">
            <v>PC</v>
          </cell>
          <cell r="G206" t="str">
            <v>1</v>
          </cell>
          <cell r="H206" t="str">
            <v>INDUSTRY</v>
          </cell>
          <cell r="I206" t="str">
            <v>11</v>
          </cell>
          <cell r="J206" t="str">
            <v>WOOD COATINGS</v>
          </cell>
          <cell r="K206" t="str">
            <v>1118</v>
          </cell>
          <cell r="L206" t="str">
            <v>COMPLEMENTARY</v>
          </cell>
          <cell r="M206" t="str">
            <v>111807</v>
          </cell>
          <cell r="N206" t="str">
            <v>PASTA</v>
          </cell>
        </row>
        <row r="207">
          <cell r="C207" t="str">
            <v>100000205</v>
          </cell>
          <cell r="D207" t="str">
            <v>PCA-31100 41 A AH VN-20LJ</v>
          </cell>
          <cell r="E207" t="str">
            <v>ZFGD</v>
          </cell>
          <cell r="F207" t="str">
            <v>PC</v>
          </cell>
          <cell r="G207" t="str">
            <v>1</v>
          </cell>
          <cell r="H207" t="str">
            <v>INDUSTRY</v>
          </cell>
          <cell r="I207" t="str">
            <v>11</v>
          </cell>
          <cell r="J207" t="str">
            <v>WOOD COATINGS</v>
          </cell>
          <cell r="K207" t="str">
            <v>1118</v>
          </cell>
          <cell r="L207" t="str">
            <v>COMPLEMENTARY</v>
          </cell>
          <cell r="M207" t="str">
            <v>111807</v>
          </cell>
          <cell r="N207" t="str">
            <v>PASTA</v>
          </cell>
        </row>
        <row r="208">
          <cell r="C208" t="str">
            <v>100000206</v>
          </cell>
          <cell r="D208" t="str">
            <v>PCA-31100 41 B AH VN-20LJ</v>
          </cell>
          <cell r="E208" t="str">
            <v>ZFGD</v>
          </cell>
          <cell r="F208" t="str">
            <v>PC</v>
          </cell>
          <cell r="G208" t="str">
            <v>1</v>
          </cell>
          <cell r="H208" t="str">
            <v>INDUSTRY</v>
          </cell>
          <cell r="I208" t="str">
            <v>11</v>
          </cell>
          <cell r="J208" t="str">
            <v>WOOD COATINGS</v>
          </cell>
          <cell r="K208" t="str">
            <v>1118</v>
          </cell>
          <cell r="L208" t="str">
            <v>COMPLEMENTARY</v>
          </cell>
          <cell r="M208" t="str">
            <v>111807</v>
          </cell>
          <cell r="N208" t="str">
            <v>PASTA</v>
          </cell>
        </row>
        <row r="209">
          <cell r="C209" t="str">
            <v>100000207</v>
          </cell>
          <cell r="D209" t="str">
            <v>PCA-31100 BEEKMAN 05 GE VN-20LJ</v>
          </cell>
          <cell r="E209" t="str">
            <v>ZFGD</v>
          </cell>
          <cell r="F209" t="str">
            <v>PC</v>
          </cell>
          <cell r="G209" t="str">
            <v>1</v>
          </cell>
          <cell r="H209" t="str">
            <v>INDUSTRY</v>
          </cell>
          <cell r="I209" t="str">
            <v>11</v>
          </cell>
          <cell r="J209" t="str">
            <v>WOOD COATINGS</v>
          </cell>
          <cell r="K209" t="str">
            <v>1118</v>
          </cell>
          <cell r="L209" t="str">
            <v>COMPLEMENTARY</v>
          </cell>
          <cell r="M209" t="str">
            <v>111807</v>
          </cell>
          <cell r="N209" t="str">
            <v>PASTA</v>
          </cell>
        </row>
        <row r="210">
          <cell r="C210" t="str">
            <v>100000208</v>
          </cell>
          <cell r="D210" t="str">
            <v>PCA-2311-BL-AK-4K</v>
          </cell>
          <cell r="E210" t="str">
            <v>ZFGD</v>
          </cell>
          <cell r="F210" t="str">
            <v>PC</v>
          </cell>
          <cell r="G210" t="str">
            <v>1</v>
          </cell>
          <cell r="H210" t="str">
            <v>INDUSTRY</v>
          </cell>
          <cell r="I210" t="str">
            <v>11</v>
          </cell>
          <cell r="J210" t="str">
            <v>WOOD COATINGS</v>
          </cell>
          <cell r="K210" t="str">
            <v>1118</v>
          </cell>
          <cell r="L210" t="str">
            <v>COMPLEMENTARY</v>
          </cell>
          <cell r="M210" t="str">
            <v>111807</v>
          </cell>
          <cell r="N210" t="str">
            <v>PASTA</v>
          </cell>
        </row>
        <row r="211">
          <cell r="C211" t="str">
            <v>100000209</v>
          </cell>
          <cell r="D211" t="str">
            <v>PCA-31100 BLACK MOS VN-20LJ</v>
          </cell>
          <cell r="E211" t="str">
            <v>ZFGD</v>
          </cell>
          <cell r="F211" t="str">
            <v>PC</v>
          </cell>
          <cell r="G211" t="str">
            <v>1</v>
          </cell>
          <cell r="H211" t="str">
            <v>INDUSTRY</v>
          </cell>
          <cell r="I211" t="str">
            <v>11</v>
          </cell>
          <cell r="J211" t="str">
            <v>WOOD COATINGS</v>
          </cell>
          <cell r="K211" t="str">
            <v>1118</v>
          </cell>
          <cell r="L211" t="str">
            <v>COMPLEMENTARY</v>
          </cell>
          <cell r="M211" t="str">
            <v>111807</v>
          </cell>
          <cell r="N211" t="str">
            <v>PASTA</v>
          </cell>
        </row>
        <row r="212">
          <cell r="C212" t="str">
            <v>100000210</v>
          </cell>
          <cell r="D212" t="str">
            <v>PCA-31100 BLACK PASTE VN-4K</v>
          </cell>
          <cell r="E212" t="str">
            <v>ZFGD</v>
          </cell>
          <cell r="F212" t="str">
            <v>PC</v>
          </cell>
          <cell r="G212" t="str">
            <v>1</v>
          </cell>
          <cell r="H212" t="str">
            <v>INDUSTRY</v>
          </cell>
          <cell r="I212" t="str">
            <v>11</v>
          </cell>
          <cell r="J212" t="str">
            <v>WOOD COATINGS</v>
          </cell>
          <cell r="K212" t="str">
            <v>1118</v>
          </cell>
          <cell r="L212" t="str">
            <v>COMPLEMENTARY</v>
          </cell>
          <cell r="M212" t="str">
            <v>111807</v>
          </cell>
          <cell r="N212" t="str">
            <v>PASTA</v>
          </cell>
        </row>
        <row r="213">
          <cell r="C213" t="str">
            <v>100000211</v>
          </cell>
          <cell r="D213" t="str">
            <v>PCA-31100 BLUE OG PASTE VN-4K</v>
          </cell>
          <cell r="E213" t="str">
            <v>ZFGD</v>
          </cell>
          <cell r="F213" t="str">
            <v>PC</v>
          </cell>
          <cell r="G213" t="str">
            <v>1</v>
          </cell>
          <cell r="H213" t="str">
            <v>INDUSTRY</v>
          </cell>
          <cell r="I213" t="str">
            <v>11</v>
          </cell>
          <cell r="J213" t="str">
            <v>WOOD COATINGS</v>
          </cell>
          <cell r="K213" t="str">
            <v>1118</v>
          </cell>
          <cell r="L213" t="str">
            <v>COMPLEMENTARY</v>
          </cell>
          <cell r="M213" t="str">
            <v>111807</v>
          </cell>
          <cell r="N213" t="str">
            <v>PASTA</v>
          </cell>
        </row>
        <row r="214">
          <cell r="C214" t="str">
            <v>100000212</v>
          </cell>
          <cell r="D214" t="str">
            <v>PCA-31100 BLUE OR 50 PASTE VN-4K</v>
          </cell>
          <cell r="E214" t="str">
            <v>ZFGD</v>
          </cell>
          <cell r="F214" t="str">
            <v>PC</v>
          </cell>
          <cell r="G214" t="str">
            <v>1</v>
          </cell>
          <cell r="H214" t="str">
            <v>INDUSTRY</v>
          </cell>
          <cell r="I214" t="str">
            <v>11</v>
          </cell>
          <cell r="J214" t="str">
            <v>WOOD COATINGS</v>
          </cell>
          <cell r="K214" t="str">
            <v>1118</v>
          </cell>
          <cell r="L214" t="str">
            <v>COMPLEMENTARY</v>
          </cell>
          <cell r="M214" t="str">
            <v>111807</v>
          </cell>
          <cell r="N214" t="str">
            <v>PASTA</v>
          </cell>
        </row>
        <row r="215">
          <cell r="C215" t="str">
            <v>100000213</v>
          </cell>
          <cell r="D215" t="str">
            <v>PCA-31100 BLUE OR PASTE VN-4K</v>
          </cell>
          <cell r="E215" t="str">
            <v>ZFGD</v>
          </cell>
          <cell r="F215" t="str">
            <v>PC</v>
          </cell>
          <cell r="G215" t="str">
            <v>1</v>
          </cell>
          <cell r="H215" t="str">
            <v>INDUSTRY</v>
          </cell>
          <cell r="I215" t="str">
            <v>11</v>
          </cell>
          <cell r="J215" t="str">
            <v>WOOD COATINGS</v>
          </cell>
          <cell r="K215" t="str">
            <v>1118</v>
          </cell>
          <cell r="L215" t="str">
            <v>COMPLEMENTARY</v>
          </cell>
          <cell r="M215" t="str">
            <v>111807</v>
          </cell>
          <cell r="N215" t="str">
            <v>PASTA</v>
          </cell>
        </row>
        <row r="216">
          <cell r="C216" t="str">
            <v>100000214</v>
          </cell>
          <cell r="D216" t="str">
            <v>PCA-31100 BROWN 645 PASTE VN-4K</v>
          </cell>
          <cell r="E216" t="str">
            <v>ZFGD</v>
          </cell>
          <cell r="F216" t="str">
            <v>PC</v>
          </cell>
          <cell r="G216" t="str">
            <v>1</v>
          </cell>
          <cell r="H216" t="str">
            <v>INDUSTRY</v>
          </cell>
          <cell r="I216" t="str">
            <v>11</v>
          </cell>
          <cell r="J216" t="str">
            <v>WOOD COATINGS</v>
          </cell>
          <cell r="K216" t="str">
            <v>1118</v>
          </cell>
          <cell r="L216" t="str">
            <v>COMPLEMENTARY</v>
          </cell>
          <cell r="M216" t="str">
            <v>111807</v>
          </cell>
          <cell r="N216" t="str">
            <v>PASTA</v>
          </cell>
        </row>
        <row r="217">
          <cell r="C217" t="str">
            <v>100000215</v>
          </cell>
          <cell r="D217" t="str">
            <v>PCA-31100 BROWN PASTE VN-4K</v>
          </cell>
          <cell r="E217" t="str">
            <v>ZFGD</v>
          </cell>
          <cell r="F217" t="str">
            <v>PC</v>
          </cell>
          <cell r="G217" t="str">
            <v>1</v>
          </cell>
          <cell r="H217" t="str">
            <v>INDUSTRY</v>
          </cell>
          <cell r="I217" t="str">
            <v>11</v>
          </cell>
          <cell r="J217" t="str">
            <v>WOOD COATINGS</v>
          </cell>
          <cell r="K217" t="str">
            <v>1118</v>
          </cell>
          <cell r="L217" t="str">
            <v>COMPLEMENTARY</v>
          </cell>
          <cell r="M217" t="str">
            <v>111807</v>
          </cell>
          <cell r="N217" t="str">
            <v>PASTA</v>
          </cell>
        </row>
        <row r="218">
          <cell r="C218" t="str">
            <v>100000216</v>
          </cell>
          <cell r="D218" t="str">
            <v>PCA-31100 CHERRY B TL VN-20LJ</v>
          </cell>
          <cell r="E218" t="str">
            <v>ZFGD</v>
          </cell>
          <cell r="F218" t="str">
            <v>PC</v>
          </cell>
          <cell r="G218" t="str">
            <v>1</v>
          </cell>
          <cell r="H218" t="str">
            <v>INDUSTRY</v>
          </cell>
          <cell r="I218" t="str">
            <v>11</v>
          </cell>
          <cell r="J218" t="str">
            <v>WOOD COATINGS</v>
          </cell>
          <cell r="K218" t="str">
            <v>1118</v>
          </cell>
          <cell r="L218" t="str">
            <v>COMPLEMENTARY</v>
          </cell>
          <cell r="M218" t="str">
            <v>111807</v>
          </cell>
          <cell r="N218" t="str">
            <v>PASTA</v>
          </cell>
        </row>
        <row r="219">
          <cell r="C219" t="str">
            <v>100000217</v>
          </cell>
          <cell r="D219" t="str">
            <v>PCA-31100 CLR ND GE VN-20LJ</v>
          </cell>
          <cell r="E219" t="str">
            <v>ZFGD</v>
          </cell>
          <cell r="F219" t="str">
            <v>PC</v>
          </cell>
          <cell r="G219" t="str">
            <v>1</v>
          </cell>
          <cell r="H219" t="str">
            <v>INDUSTRY</v>
          </cell>
          <cell r="I219" t="str">
            <v>11</v>
          </cell>
          <cell r="J219" t="str">
            <v>WOOD COATINGS</v>
          </cell>
          <cell r="K219" t="str">
            <v>1118</v>
          </cell>
          <cell r="L219" t="str">
            <v>COMPLEMENTARY</v>
          </cell>
          <cell r="M219" t="str">
            <v>111807</v>
          </cell>
          <cell r="N219" t="str">
            <v>PASTA</v>
          </cell>
        </row>
        <row r="220">
          <cell r="C220" t="str">
            <v>100000218</v>
          </cell>
          <cell r="D220" t="str">
            <v>PCA-31100 CR CG 9 TL VN-20LJ</v>
          </cell>
          <cell r="E220" t="str">
            <v>ZFGD</v>
          </cell>
          <cell r="F220" t="str">
            <v>PC</v>
          </cell>
          <cell r="G220" t="str">
            <v>1</v>
          </cell>
          <cell r="H220" t="str">
            <v>INDUSTRY</v>
          </cell>
          <cell r="I220" t="str">
            <v>11</v>
          </cell>
          <cell r="J220" t="str">
            <v>WOOD COATINGS</v>
          </cell>
          <cell r="K220" t="str">
            <v>1118</v>
          </cell>
          <cell r="L220" t="str">
            <v>COMPLEMENTARY</v>
          </cell>
          <cell r="M220" t="str">
            <v>111807</v>
          </cell>
          <cell r="N220" t="str">
            <v>PASTA</v>
          </cell>
        </row>
        <row r="221">
          <cell r="C221" t="str">
            <v>100000219</v>
          </cell>
          <cell r="D221" t="str">
            <v>PCA-31100 DUK 03 A MT VN-20LJ</v>
          </cell>
          <cell r="E221" t="str">
            <v>ZFGD</v>
          </cell>
          <cell r="F221" t="str">
            <v>PC</v>
          </cell>
          <cell r="G221" t="str">
            <v>1</v>
          </cell>
          <cell r="H221" t="str">
            <v>INDUSTRY</v>
          </cell>
          <cell r="I221" t="str">
            <v>11</v>
          </cell>
          <cell r="J221" t="str">
            <v>WOOD COATINGS</v>
          </cell>
          <cell r="K221" t="str">
            <v>1118</v>
          </cell>
          <cell r="L221" t="str">
            <v>COMPLEMENTARY</v>
          </cell>
          <cell r="M221" t="str">
            <v>111807</v>
          </cell>
          <cell r="N221" t="str">
            <v>PASTA</v>
          </cell>
        </row>
        <row r="222">
          <cell r="C222" t="str">
            <v>100000220</v>
          </cell>
          <cell r="D222" t="str">
            <v>PCA-31100 DUK 03 B MT VN-20LJ</v>
          </cell>
          <cell r="E222" t="str">
            <v>ZFGD</v>
          </cell>
          <cell r="F222" t="str">
            <v>PC</v>
          </cell>
          <cell r="G222" t="str">
            <v>1</v>
          </cell>
          <cell r="H222" t="str">
            <v>INDUSTRY</v>
          </cell>
          <cell r="I222" t="str">
            <v>11</v>
          </cell>
          <cell r="J222" t="str">
            <v>WOOD COATINGS</v>
          </cell>
          <cell r="K222" t="str">
            <v>1118</v>
          </cell>
          <cell r="L222" t="str">
            <v>COMPLEMENTARY</v>
          </cell>
          <cell r="M222" t="str">
            <v>111807</v>
          </cell>
          <cell r="N222" t="str">
            <v>PASTA</v>
          </cell>
        </row>
        <row r="223">
          <cell r="C223" t="str">
            <v>100000221</v>
          </cell>
          <cell r="D223" t="str">
            <v>PCA-31100 DUK 03 MT VN-20LJ</v>
          </cell>
          <cell r="E223" t="str">
            <v>ZFGD</v>
          </cell>
          <cell r="F223" t="str">
            <v>PC</v>
          </cell>
          <cell r="G223" t="str">
            <v>1</v>
          </cell>
          <cell r="H223" t="str">
            <v>INDUSTRY</v>
          </cell>
          <cell r="I223" t="str">
            <v>11</v>
          </cell>
          <cell r="J223" t="str">
            <v>WOOD COATINGS</v>
          </cell>
          <cell r="K223" t="str">
            <v>1118</v>
          </cell>
          <cell r="L223" t="str">
            <v>COMPLEMENTARY</v>
          </cell>
          <cell r="M223" t="str">
            <v>111807</v>
          </cell>
          <cell r="N223" t="str">
            <v>PASTA</v>
          </cell>
        </row>
        <row r="224">
          <cell r="C224" t="str">
            <v>100000222</v>
          </cell>
          <cell r="D224" t="str">
            <v>PCA-31100 GREEN KI THUAT AH VN-20LJ</v>
          </cell>
          <cell r="E224" t="str">
            <v>ZFGD</v>
          </cell>
          <cell r="F224" t="str">
            <v>PC</v>
          </cell>
          <cell r="G224" t="str">
            <v>1</v>
          </cell>
          <cell r="H224" t="str">
            <v>INDUSTRY</v>
          </cell>
          <cell r="I224" t="str">
            <v>11</v>
          </cell>
          <cell r="J224" t="str">
            <v>WOOD COATINGS</v>
          </cell>
          <cell r="K224" t="str">
            <v>1118</v>
          </cell>
          <cell r="L224" t="str">
            <v>COMPLEMENTARY</v>
          </cell>
          <cell r="M224" t="str">
            <v>111807</v>
          </cell>
          <cell r="N224" t="str">
            <v>PASTA</v>
          </cell>
        </row>
        <row r="225">
          <cell r="C225" t="str">
            <v>100000223</v>
          </cell>
          <cell r="D225" t="str">
            <v>PCA-31100 GREEN OB PASTE VN-4K</v>
          </cell>
          <cell r="E225" t="str">
            <v>ZFGD</v>
          </cell>
          <cell r="F225" t="str">
            <v>PC</v>
          </cell>
          <cell r="G225" t="str">
            <v>1</v>
          </cell>
          <cell r="H225" t="str">
            <v>INDUSTRY</v>
          </cell>
          <cell r="I225" t="str">
            <v>11</v>
          </cell>
          <cell r="J225" t="str">
            <v>WOOD COATINGS</v>
          </cell>
          <cell r="K225" t="str">
            <v>1118</v>
          </cell>
          <cell r="L225" t="str">
            <v>COMPLEMENTARY</v>
          </cell>
          <cell r="M225" t="str">
            <v>111807</v>
          </cell>
          <cell r="N225" t="str">
            <v>PASTA</v>
          </cell>
        </row>
        <row r="226">
          <cell r="C226" t="str">
            <v>100000224</v>
          </cell>
          <cell r="D226" t="str">
            <v>PCA-31100 MAHO SS VN-20LJ</v>
          </cell>
          <cell r="E226" t="str">
            <v>ZFGD</v>
          </cell>
          <cell r="F226" t="str">
            <v>PC</v>
          </cell>
          <cell r="G226" t="str">
            <v>1</v>
          </cell>
          <cell r="H226" t="str">
            <v>INDUSTRY</v>
          </cell>
          <cell r="I226" t="str">
            <v>11</v>
          </cell>
          <cell r="J226" t="str">
            <v>WOOD COATINGS</v>
          </cell>
          <cell r="K226" t="str">
            <v>1118</v>
          </cell>
          <cell r="L226" t="str">
            <v>COMPLEMENTARY</v>
          </cell>
          <cell r="M226" t="str">
            <v>111807</v>
          </cell>
          <cell r="N226" t="str">
            <v>PASTA</v>
          </cell>
        </row>
        <row r="227">
          <cell r="C227" t="str">
            <v>100000225</v>
          </cell>
          <cell r="D227" t="str">
            <v>PCA-31100 ND GE VN-20LJ</v>
          </cell>
          <cell r="E227" t="str">
            <v>ZFGD</v>
          </cell>
          <cell r="F227" t="str">
            <v>PC</v>
          </cell>
          <cell r="G227" t="str">
            <v>1</v>
          </cell>
          <cell r="H227" t="str">
            <v>INDUSTRY</v>
          </cell>
          <cell r="I227" t="str">
            <v>11</v>
          </cell>
          <cell r="J227" t="str">
            <v>WOOD COATINGS</v>
          </cell>
          <cell r="K227" t="str">
            <v>1118</v>
          </cell>
          <cell r="L227" t="str">
            <v>COMPLEMENTARY</v>
          </cell>
          <cell r="M227" t="str">
            <v>111807</v>
          </cell>
          <cell r="N227" t="str">
            <v>PASTA</v>
          </cell>
        </row>
        <row r="228">
          <cell r="C228" t="str">
            <v>100000226</v>
          </cell>
          <cell r="D228" t="str">
            <v>PCA-31100 NO 16 ST VN-4K</v>
          </cell>
          <cell r="E228" t="str">
            <v>ZFGD</v>
          </cell>
          <cell r="F228" t="str">
            <v>PC</v>
          </cell>
          <cell r="G228" t="str">
            <v>1</v>
          </cell>
          <cell r="H228" t="str">
            <v>INDUSTRY</v>
          </cell>
          <cell r="I228" t="str">
            <v>11</v>
          </cell>
          <cell r="J228" t="str">
            <v>WOOD COATINGS</v>
          </cell>
          <cell r="K228" t="str">
            <v>1118</v>
          </cell>
          <cell r="L228" t="str">
            <v>COMPLEMENTARY</v>
          </cell>
          <cell r="M228" t="str">
            <v>111807</v>
          </cell>
          <cell r="N228" t="str">
            <v>PASTA</v>
          </cell>
        </row>
        <row r="229">
          <cell r="C229" t="str">
            <v>100000227</v>
          </cell>
          <cell r="D229" t="str">
            <v>PCA-31100 NO 24 ST VN-4K</v>
          </cell>
          <cell r="E229" t="str">
            <v>ZFGD</v>
          </cell>
          <cell r="F229" t="str">
            <v>PC</v>
          </cell>
          <cell r="G229" t="str">
            <v>1</v>
          </cell>
          <cell r="H229" t="str">
            <v>INDUSTRY</v>
          </cell>
          <cell r="I229" t="str">
            <v>11</v>
          </cell>
          <cell r="J229" t="str">
            <v>WOOD COATINGS</v>
          </cell>
          <cell r="K229" t="str">
            <v>1118</v>
          </cell>
          <cell r="L229" t="str">
            <v>COMPLEMENTARY</v>
          </cell>
          <cell r="M229" t="str">
            <v>111807</v>
          </cell>
          <cell r="N229" t="str">
            <v>PASTA</v>
          </cell>
        </row>
        <row r="230">
          <cell r="C230" t="str">
            <v>100000228</v>
          </cell>
          <cell r="D230" t="str">
            <v>PCA-31100 NO 47 ST VN-4K</v>
          </cell>
          <cell r="E230" t="str">
            <v>ZFGD</v>
          </cell>
          <cell r="F230" t="str">
            <v>PC</v>
          </cell>
          <cell r="G230" t="str">
            <v>1</v>
          </cell>
          <cell r="H230" t="str">
            <v>INDUSTRY</v>
          </cell>
          <cell r="I230" t="str">
            <v>11</v>
          </cell>
          <cell r="J230" t="str">
            <v>WOOD COATINGS</v>
          </cell>
          <cell r="K230" t="str">
            <v>1118</v>
          </cell>
          <cell r="L230" t="str">
            <v>COMPLEMENTARY</v>
          </cell>
          <cell r="M230" t="str">
            <v>111807</v>
          </cell>
          <cell r="N230" t="str">
            <v>PASTA</v>
          </cell>
        </row>
        <row r="231">
          <cell r="C231" t="str">
            <v>100000229</v>
          </cell>
          <cell r="D231" t="str">
            <v>PCA-31100 NO 74 ST VN-4K</v>
          </cell>
          <cell r="E231" t="str">
            <v>ZFGD</v>
          </cell>
          <cell r="F231" t="str">
            <v>PC</v>
          </cell>
          <cell r="G231" t="str">
            <v>1</v>
          </cell>
          <cell r="H231" t="str">
            <v>INDUSTRY</v>
          </cell>
          <cell r="I231" t="str">
            <v>11</v>
          </cell>
          <cell r="J231" t="str">
            <v>WOOD COATINGS</v>
          </cell>
          <cell r="K231" t="str">
            <v>1118</v>
          </cell>
          <cell r="L231" t="str">
            <v>COMPLEMENTARY</v>
          </cell>
          <cell r="M231" t="str">
            <v>111807</v>
          </cell>
          <cell r="N231" t="str">
            <v>PASTA</v>
          </cell>
        </row>
        <row r="232">
          <cell r="C232" t="str">
            <v>100000230</v>
          </cell>
          <cell r="D232" t="str">
            <v>PCA-31100 NO 75 ST VN-4K</v>
          </cell>
          <cell r="E232" t="str">
            <v>ZFGD</v>
          </cell>
          <cell r="F232" t="str">
            <v>PC</v>
          </cell>
          <cell r="G232" t="str">
            <v>1</v>
          </cell>
          <cell r="H232" t="str">
            <v>INDUSTRY</v>
          </cell>
          <cell r="I232" t="str">
            <v>11</v>
          </cell>
          <cell r="J232" t="str">
            <v>WOOD COATINGS</v>
          </cell>
          <cell r="K232" t="str">
            <v>1118</v>
          </cell>
          <cell r="L232" t="str">
            <v>COMPLEMENTARY</v>
          </cell>
          <cell r="M232" t="str">
            <v>111807</v>
          </cell>
          <cell r="N232" t="str">
            <v>PASTA</v>
          </cell>
        </row>
        <row r="233">
          <cell r="C233" t="str">
            <v>100000231</v>
          </cell>
          <cell r="D233" t="str">
            <v>PCA-31100 NO 76 ST VN-4K</v>
          </cell>
          <cell r="E233" t="str">
            <v>ZFGD</v>
          </cell>
          <cell r="F233" t="str">
            <v>PC</v>
          </cell>
          <cell r="G233" t="str">
            <v>1</v>
          </cell>
          <cell r="H233" t="str">
            <v>INDUSTRY</v>
          </cell>
          <cell r="I233" t="str">
            <v>11</v>
          </cell>
          <cell r="J233" t="str">
            <v>WOOD COATINGS</v>
          </cell>
          <cell r="K233" t="str">
            <v>1118</v>
          </cell>
          <cell r="L233" t="str">
            <v>COMPLEMENTARY</v>
          </cell>
          <cell r="M233" t="str">
            <v>111807</v>
          </cell>
          <cell r="N233" t="str">
            <v>PASTA</v>
          </cell>
        </row>
        <row r="234">
          <cell r="C234" t="str">
            <v>100000232</v>
          </cell>
          <cell r="D234" t="str">
            <v>PCA-31100 NO 77 ST VN-4K</v>
          </cell>
          <cell r="E234" t="str">
            <v>ZFGD</v>
          </cell>
          <cell r="F234" t="str">
            <v>PC</v>
          </cell>
          <cell r="G234" t="str">
            <v>1</v>
          </cell>
          <cell r="H234" t="str">
            <v>INDUSTRY</v>
          </cell>
          <cell r="I234" t="str">
            <v>11</v>
          </cell>
          <cell r="J234" t="str">
            <v>WOOD COATINGS</v>
          </cell>
          <cell r="K234" t="str">
            <v>1118</v>
          </cell>
          <cell r="L234" t="str">
            <v>COMPLEMENTARY</v>
          </cell>
          <cell r="M234" t="str">
            <v>111807</v>
          </cell>
          <cell r="N234" t="str">
            <v>PASTA</v>
          </cell>
        </row>
        <row r="235">
          <cell r="C235" t="str">
            <v>100000233</v>
          </cell>
          <cell r="D235" t="str">
            <v>PCA-31100 ORANGE PASTE VN-4K</v>
          </cell>
          <cell r="E235" t="str">
            <v>ZFGD</v>
          </cell>
          <cell r="F235" t="str">
            <v>PC</v>
          </cell>
          <cell r="G235" t="str">
            <v>1</v>
          </cell>
          <cell r="H235" t="str">
            <v>INDUSTRY</v>
          </cell>
          <cell r="I235" t="str">
            <v>11</v>
          </cell>
          <cell r="J235" t="str">
            <v>WOOD COATINGS</v>
          </cell>
          <cell r="K235" t="str">
            <v>1118</v>
          </cell>
          <cell r="L235" t="str">
            <v>COMPLEMENTARY</v>
          </cell>
          <cell r="M235" t="str">
            <v>111807</v>
          </cell>
          <cell r="N235" t="str">
            <v>PASTA</v>
          </cell>
        </row>
        <row r="236">
          <cell r="C236" t="str">
            <v>100000234</v>
          </cell>
          <cell r="D236" t="str">
            <v>PCA-31100 ORANGE SI VN-20LJ</v>
          </cell>
          <cell r="E236" t="str">
            <v>ZFGD</v>
          </cell>
          <cell r="F236" t="str">
            <v>PC</v>
          </cell>
          <cell r="G236" t="str">
            <v>1</v>
          </cell>
          <cell r="H236" t="str">
            <v>INDUSTRY</v>
          </cell>
          <cell r="I236" t="str">
            <v>11</v>
          </cell>
          <cell r="J236" t="str">
            <v>WOOD COATINGS</v>
          </cell>
          <cell r="K236" t="str">
            <v>1118</v>
          </cell>
          <cell r="L236" t="str">
            <v>COMPLEMENTARY</v>
          </cell>
          <cell r="M236" t="str">
            <v>111807</v>
          </cell>
          <cell r="N236" t="str">
            <v>PASTA</v>
          </cell>
        </row>
        <row r="237">
          <cell r="C237" t="str">
            <v>100000235</v>
          </cell>
          <cell r="D237" t="str">
            <v>PCA-31100 OXIDE RED PASTE VN-4K</v>
          </cell>
          <cell r="E237" t="str">
            <v>ZFGD</v>
          </cell>
          <cell r="F237" t="str">
            <v>PC</v>
          </cell>
          <cell r="G237" t="str">
            <v>1</v>
          </cell>
          <cell r="H237" t="str">
            <v>INDUSTRY</v>
          </cell>
          <cell r="I237" t="str">
            <v>11</v>
          </cell>
          <cell r="J237" t="str">
            <v>WOOD COATINGS</v>
          </cell>
          <cell r="K237" t="str">
            <v>1118</v>
          </cell>
          <cell r="L237" t="str">
            <v>COMPLEMENTARY</v>
          </cell>
          <cell r="M237" t="str">
            <v>111807</v>
          </cell>
          <cell r="N237" t="str">
            <v>PASTA</v>
          </cell>
        </row>
        <row r="238">
          <cell r="C238" t="str">
            <v>100000236</v>
          </cell>
          <cell r="D238" t="str">
            <v>PCA-31100 RED OB 35 PASTE VN-4K</v>
          </cell>
          <cell r="E238" t="str">
            <v>ZFGD</v>
          </cell>
          <cell r="F238" t="str">
            <v>PC</v>
          </cell>
          <cell r="G238" t="str">
            <v>1</v>
          </cell>
          <cell r="H238" t="str">
            <v>INDUSTRY</v>
          </cell>
          <cell r="I238" t="str">
            <v>11</v>
          </cell>
          <cell r="J238" t="str">
            <v>WOOD COATINGS</v>
          </cell>
          <cell r="K238" t="str">
            <v>1118</v>
          </cell>
          <cell r="L238" t="str">
            <v>COMPLEMENTARY</v>
          </cell>
          <cell r="M238" t="str">
            <v>111807</v>
          </cell>
          <cell r="N238" t="str">
            <v>PASTA</v>
          </cell>
        </row>
        <row r="239">
          <cell r="C239" t="str">
            <v>100000237</v>
          </cell>
          <cell r="D239" t="str">
            <v>PCA-31100 RX 074 RA PR VN-20LJ</v>
          </cell>
          <cell r="E239" t="str">
            <v>ZFGD</v>
          </cell>
          <cell r="F239" t="str">
            <v>PC</v>
          </cell>
          <cell r="G239" t="str">
            <v>1</v>
          </cell>
          <cell r="H239" t="str">
            <v>INDUSTRY</v>
          </cell>
          <cell r="I239" t="str">
            <v>11</v>
          </cell>
          <cell r="J239" t="str">
            <v>WOOD COATINGS</v>
          </cell>
          <cell r="K239" t="str">
            <v>1118</v>
          </cell>
          <cell r="L239" t="str">
            <v>COMPLEMENTARY</v>
          </cell>
          <cell r="M239" t="str">
            <v>111807</v>
          </cell>
          <cell r="N239" t="str">
            <v>PASTA</v>
          </cell>
        </row>
        <row r="240">
          <cell r="C240" t="str">
            <v>100000238</v>
          </cell>
          <cell r="D240" t="str">
            <v>PCA-31100 RX 075 F1 VN-20LJ</v>
          </cell>
          <cell r="E240" t="str">
            <v>ZFGD</v>
          </cell>
          <cell r="F240" t="str">
            <v>PC</v>
          </cell>
          <cell r="G240" t="str">
            <v>1</v>
          </cell>
          <cell r="H240" t="str">
            <v>INDUSTRY</v>
          </cell>
          <cell r="I240" t="str">
            <v>11</v>
          </cell>
          <cell r="J240" t="str">
            <v>WOOD COATINGS</v>
          </cell>
          <cell r="K240" t="str">
            <v>1118</v>
          </cell>
          <cell r="L240" t="str">
            <v>COMPLEMENTARY</v>
          </cell>
          <cell r="M240" t="str">
            <v>111807</v>
          </cell>
          <cell r="N240" t="str">
            <v>PASTA</v>
          </cell>
        </row>
        <row r="241">
          <cell r="C241" t="str">
            <v>100000239</v>
          </cell>
          <cell r="D241" t="str">
            <v>PCA-31100 RX 087 DM VN-20LJ</v>
          </cell>
          <cell r="E241" t="str">
            <v>ZFGD</v>
          </cell>
          <cell r="F241" t="str">
            <v>PC</v>
          </cell>
          <cell r="G241" t="str">
            <v>1</v>
          </cell>
          <cell r="H241" t="str">
            <v>INDUSTRY</v>
          </cell>
          <cell r="I241" t="str">
            <v>11</v>
          </cell>
          <cell r="J241" t="str">
            <v>WOOD COATINGS</v>
          </cell>
          <cell r="K241" t="str">
            <v>1118</v>
          </cell>
          <cell r="L241" t="str">
            <v>COMPLEMENTARY</v>
          </cell>
          <cell r="M241" t="str">
            <v>111807</v>
          </cell>
          <cell r="N241" t="str">
            <v>PASTA</v>
          </cell>
        </row>
        <row r="242">
          <cell r="C242" t="str">
            <v>100000240</v>
          </cell>
          <cell r="D242" t="str">
            <v>PCA-31100 RX 105A F1 VN-20LJ</v>
          </cell>
          <cell r="E242" t="str">
            <v>ZFGD</v>
          </cell>
          <cell r="F242" t="str">
            <v>PC</v>
          </cell>
          <cell r="G242" t="str">
            <v>1</v>
          </cell>
          <cell r="H242" t="str">
            <v>INDUSTRY</v>
          </cell>
          <cell r="I242" t="str">
            <v>11</v>
          </cell>
          <cell r="J242" t="str">
            <v>WOOD COATINGS</v>
          </cell>
          <cell r="K242" t="str">
            <v>1118</v>
          </cell>
          <cell r="L242" t="str">
            <v>COMPLEMENTARY</v>
          </cell>
          <cell r="M242" t="str">
            <v>111807</v>
          </cell>
          <cell r="N242" t="str">
            <v>PASTA</v>
          </cell>
        </row>
        <row r="243">
          <cell r="C243" t="str">
            <v>100000241</v>
          </cell>
          <cell r="D243" t="str">
            <v>PCA-31100 RX AH 01 VN-20KJ</v>
          </cell>
          <cell r="E243" t="str">
            <v>ZFGD</v>
          </cell>
          <cell r="F243" t="str">
            <v>PC</v>
          </cell>
          <cell r="G243" t="str">
            <v>1</v>
          </cell>
          <cell r="H243" t="str">
            <v>INDUSTRY</v>
          </cell>
          <cell r="I243" t="str">
            <v>11</v>
          </cell>
          <cell r="J243" t="str">
            <v>WOOD COATINGS</v>
          </cell>
          <cell r="K243" t="str">
            <v>1118</v>
          </cell>
          <cell r="L243" t="str">
            <v>COMPLEMENTARY</v>
          </cell>
          <cell r="M243" t="str">
            <v>111807</v>
          </cell>
          <cell r="N243" t="str">
            <v>PASTA</v>
          </cell>
        </row>
        <row r="244">
          <cell r="C244" t="str">
            <v>100000242</v>
          </cell>
          <cell r="D244" t="str">
            <v>PCA-31100 RX 01 AH VN-20LJ</v>
          </cell>
          <cell r="E244" t="str">
            <v>ZFGD</v>
          </cell>
          <cell r="F244" t="str">
            <v>PC</v>
          </cell>
          <cell r="G244" t="str">
            <v>1</v>
          </cell>
          <cell r="H244" t="str">
            <v>INDUSTRY</v>
          </cell>
          <cell r="I244" t="str">
            <v>11</v>
          </cell>
          <cell r="J244" t="str">
            <v>WOOD COATINGS</v>
          </cell>
          <cell r="K244" t="str">
            <v>1118</v>
          </cell>
          <cell r="L244" t="str">
            <v>COMPLEMENTARY</v>
          </cell>
          <cell r="M244" t="str">
            <v>111807</v>
          </cell>
          <cell r="N244" t="str">
            <v>PASTA</v>
          </cell>
        </row>
        <row r="245">
          <cell r="C245" t="str">
            <v>100000243</v>
          </cell>
          <cell r="D245" t="str">
            <v>PCA-31100 RX BLACK 7004 AA VN-4K</v>
          </cell>
          <cell r="E245" t="str">
            <v>ZFGD</v>
          </cell>
          <cell r="F245" t="str">
            <v>PC</v>
          </cell>
          <cell r="G245" t="str">
            <v>1</v>
          </cell>
          <cell r="H245" t="str">
            <v>INDUSTRY</v>
          </cell>
          <cell r="I245" t="str">
            <v>11</v>
          </cell>
          <cell r="J245" t="str">
            <v>WOOD COATINGS</v>
          </cell>
          <cell r="K245" t="str">
            <v>1118</v>
          </cell>
          <cell r="L245" t="str">
            <v>COMPLEMENTARY</v>
          </cell>
          <cell r="M245" t="str">
            <v>111807</v>
          </cell>
          <cell r="N245" t="str">
            <v>PASTA</v>
          </cell>
        </row>
        <row r="246">
          <cell r="C246" t="str">
            <v>100000244</v>
          </cell>
          <cell r="D246" t="str">
            <v>PCA-31100 RX BLACK NA AH VN-20LJ</v>
          </cell>
          <cell r="E246" t="str">
            <v>ZFGD</v>
          </cell>
          <cell r="F246" t="str">
            <v>PC</v>
          </cell>
          <cell r="G246" t="str">
            <v>1</v>
          </cell>
          <cell r="H246" t="str">
            <v>INDUSTRY</v>
          </cell>
          <cell r="I246" t="str">
            <v>11</v>
          </cell>
          <cell r="J246" t="str">
            <v>WOOD COATINGS</v>
          </cell>
          <cell r="K246" t="str">
            <v>1118</v>
          </cell>
          <cell r="L246" t="str">
            <v>COMPLEMENTARY</v>
          </cell>
          <cell r="M246" t="str">
            <v>111807</v>
          </cell>
          <cell r="N246" t="str">
            <v>PASTA</v>
          </cell>
        </row>
        <row r="247">
          <cell r="C247" t="str">
            <v>100000245</v>
          </cell>
          <cell r="D247" t="str">
            <v>PCA-31100 RX C50 BLACK VN-4K</v>
          </cell>
          <cell r="E247" t="str">
            <v>ZFGD</v>
          </cell>
          <cell r="F247" t="str">
            <v>PC</v>
          </cell>
          <cell r="G247" t="str">
            <v>1</v>
          </cell>
          <cell r="H247" t="str">
            <v>INDUSTRY</v>
          </cell>
          <cell r="I247" t="str">
            <v>11</v>
          </cell>
          <cell r="J247" t="str">
            <v>WOOD COATINGS</v>
          </cell>
          <cell r="K247" t="str">
            <v>1118</v>
          </cell>
          <cell r="L247" t="str">
            <v>COMPLEMENTARY</v>
          </cell>
          <cell r="M247" t="str">
            <v>111807</v>
          </cell>
          <cell r="N247" t="str">
            <v>PASTA</v>
          </cell>
        </row>
        <row r="248">
          <cell r="C248" t="str">
            <v>100000246</v>
          </cell>
          <cell r="D248" t="str">
            <v>PCA-31100 RX C50 BLACK VN-18KP</v>
          </cell>
          <cell r="E248" t="str">
            <v>ZFGD</v>
          </cell>
          <cell r="F248" t="str">
            <v>PC</v>
          </cell>
          <cell r="G248" t="str">
            <v>1</v>
          </cell>
          <cell r="H248" t="str">
            <v>INDUSTRY</v>
          </cell>
          <cell r="I248" t="str">
            <v>11</v>
          </cell>
          <cell r="J248" t="str">
            <v>WOOD COATINGS</v>
          </cell>
          <cell r="K248" t="str">
            <v>1118</v>
          </cell>
          <cell r="L248" t="str">
            <v>COMPLEMENTARY</v>
          </cell>
          <cell r="M248" t="str">
            <v>111807</v>
          </cell>
          <cell r="N248" t="str">
            <v>PASTA</v>
          </cell>
        </row>
        <row r="249">
          <cell r="C249" t="str">
            <v>100000247</v>
          </cell>
          <cell r="D249" t="str">
            <v>PCA-31100 RX CLR 075 F1 VN-20LJ</v>
          </cell>
          <cell r="E249" t="str">
            <v>ZFGD</v>
          </cell>
          <cell r="F249" t="str">
            <v>PC</v>
          </cell>
          <cell r="G249" t="str">
            <v>1</v>
          </cell>
          <cell r="H249" t="str">
            <v>INDUSTRY</v>
          </cell>
          <cell r="I249" t="str">
            <v>11</v>
          </cell>
          <cell r="J249" t="str">
            <v>WOOD COATINGS</v>
          </cell>
          <cell r="K249" t="str">
            <v>1118</v>
          </cell>
          <cell r="L249" t="str">
            <v>COMPLEMENTARY</v>
          </cell>
          <cell r="M249" t="str">
            <v>111807</v>
          </cell>
          <cell r="N249" t="str">
            <v>PASTA</v>
          </cell>
        </row>
        <row r="250">
          <cell r="C250" t="str">
            <v>100000248</v>
          </cell>
          <cell r="D250" t="str">
            <v>PCA-31100 RX CLR 01 AH VN-20LJ</v>
          </cell>
          <cell r="E250" t="str">
            <v>ZFGD</v>
          </cell>
          <cell r="F250" t="str">
            <v>PC</v>
          </cell>
          <cell r="G250" t="str">
            <v>1</v>
          </cell>
          <cell r="H250" t="str">
            <v>INDUSTRY</v>
          </cell>
          <cell r="I250" t="str">
            <v>11</v>
          </cell>
          <cell r="J250" t="str">
            <v>WOOD COATINGS</v>
          </cell>
          <cell r="K250" t="str">
            <v>1118</v>
          </cell>
          <cell r="L250" t="str">
            <v>COMPLEMENTARY</v>
          </cell>
          <cell r="M250" t="str">
            <v>111807</v>
          </cell>
          <cell r="N250" t="str">
            <v>PASTA</v>
          </cell>
        </row>
        <row r="251">
          <cell r="C251" t="str">
            <v>100000249</v>
          </cell>
          <cell r="D251" t="str">
            <v>PCA-31100 RX CLR FC 02 F1 VN-20LJ</v>
          </cell>
          <cell r="E251" t="str">
            <v>ZFGD</v>
          </cell>
          <cell r="F251" t="str">
            <v>PC</v>
          </cell>
          <cell r="G251" t="str">
            <v>1</v>
          </cell>
          <cell r="H251" t="str">
            <v>INDUSTRY</v>
          </cell>
          <cell r="I251" t="str">
            <v>11</v>
          </cell>
          <cell r="J251" t="str">
            <v>WOOD COATINGS</v>
          </cell>
          <cell r="K251" t="str">
            <v>1118</v>
          </cell>
          <cell r="L251" t="str">
            <v>COMPLEMENTARY</v>
          </cell>
          <cell r="M251" t="str">
            <v>111807</v>
          </cell>
          <cell r="N251" t="str">
            <v>PASTA</v>
          </cell>
        </row>
        <row r="252">
          <cell r="C252" t="str">
            <v>100000250</v>
          </cell>
          <cell r="D252" t="str">
            <v>PCA-31100 RX CLR 01 TR VN-20LJ</v>
          </cell>
          <cell r="E252" t="str">
            <v>ZFGD</v>
          </cell>
          <cell r="F252" t="str">
            <v>PC</v>
          </cell>
          <cell r="G252" t="str">
            <v>1</v>
          </cell>
          <cell r="H252" t="str">
            <v>INDUSTRY</v>
          </cell>
          <cell r="I252" t="str">
            <v>11</v>
          </cell>
          <cell r="J252" t="str">
            <v>WOOD COATINGS</v>
          </cell>
          <cell r="K252" t="str">
            <v>1118</v>
          </cell>
          <cell r="L252" t="str">
            <v>COMPLEMENTARY</v>
          </cell>
          <cell r="M252" t="str">
            <v>111807</v>
          </cell>
          <cell r="N252" t="str">
            <v>PASTA</v>
          </cell>
        </row>
        <row r="253">
          <cell r="C253" t="str">
            <v>100000251</v>
          </cell>
          <cell r="D253" t="str">
            <v>PCA-31100 RX FC 02 F1 VN-20LJ</v>
          </cell>
          <cell r="E253" t="str">
            <v>ZFGD</v>
          </cell>
          <cell r="F253" t="str">
            <v>PC</v>
          </cell>
          <cell r="G253" t="str">
            <v>1</v>
          </cell>
          <cell r="H253" t="str">
            <v>INDUSTRY</v>
          </cell>
          <cell r="I253" t="str">
            <v>11</v>
          </cell>
          <cell r="J253" t="str">
            <v>WOOD COATINGS</v>
          </cell>
          <cell r="K253" t="str">
            <v>1118</v>
          </cell>
          <cell r="L253" t="str">
            <v>COMPLEMENTARY</v>
          </cell>
          <cell r="M253" t="str">
            <v>111807</v>
          </cell>
          <cell r="N253" t="str">
            <v>PASTA</v>
          </cell>
        </row>
        <row r="254">
          <cell r="C254" t="str">
            <v>100000252</v>
          </cell>
          <cell r="D254" t="str">
            <v>PCA-31100 RX GREEN INT AH VN-20LJ</v>
          </cell>
          <cell r="E254" t="str">
            <v>ZFGD</v>
          </cell>
          <cell r="F254" t="str">
            <v>PC</v>
          </cell>
          <cell r="G254" t="str">
            <v>1</v>
          </cell>
          <cell r="H254" t="str">
            <v>INDUSTRY</v>
          </cell>
          <cell r="I254" t="str">
            <v>11</v>
          </cell>
          <cell r="J254" t="str">
            <v>WOOD COATINGS</v>
          </cell>
          <cell r="K254" t="str">
            <v>1118</v>
          </cell>
          <cell r="L254" t="str">
            <v>COMPLEMENTARY</v>
          </cell>
          <cell r="M254" t="str">
            <v>111807</v>
          </cell>
          <cell r="N254" t="str">
            <v>PASTA</v>
          </cell>
        </row>
        <row r="255">
          <cell r="C255" t="str">
            <v>100000253</v>
          </cell>
          <cell r="D255" t="str">
            <v>PCA-31100 RX OAK GE VN-20LJ</v>
          </cell>
          <cell r="E255" t="str">
            <v>ZFGD</v>
          </cell>
          <cell r="F255" t="str">
            <v>PC</v>
          </cell>
          <cell r="G255" t="str">
            <v>1</v>
          </cell>
          <cell r="H255" t="str">
            <v>INDUSTRY</v>
          </cell>
          <cell r="I255" t="str">
            <v>11</v>
          </cell>
          <cell r="J255" t="str">
            <v>WOOD COATINGS</v>
          </cell>
          <cell r="K255" t="str">
            <v>1118</v>
          </cell>
          <cell r="L255" t="str">
            <v>COMPLEMENTARY</v>
          </cell>
          <cell r="M255" t="str">
            <v>111807</v>
          </cell>
          <cell r="N255" t="str">
            <v>PASTA</v>
          </cell>
        </row>
        <row r="256">
          <cell r="C256" t="str">
            <v>100000254</v>
          </cell>
          <cell r="D256" t="str">
            <v>PCA-31100 RX OLIVER N4 I TT VN-20LJ</v>
          </cell>
          <cell r="E256" t="str">
            <v>ZFGD</v>
          </cell>
          <cell r="F256" t="str">
            <v>PC</v>
          </cell>
          <cell r="G256" t="str">
            <v>1</v>
          </cell>
          <cell r="H256" t="str">
            <v>INDUSTRY</v>
          </cell>
          <cell r="I256" t="str">
            <v>11</v>
          </cell>
          <cell r="J256" t="str">
            <v>WOOD COATINGS</v>
          </cell>
          <cell r="K256" t="str">
            <v>1118</v>
          </cell>
          <cell r="L256" t="str">
            <v>COMPLEMENTARY</v>
          </cell>
          <cell r="M256" t="str">
            <v>111807</v>
          </cell>
          <cell r="N256" t="str">
            <v>PASTA</v>
          </cell>
        </row>
        <row r="257">
          <cell r="C257" t="str">
            <v>100000255</v>
          </cell>
          <cell r="D257" t="str">
            <v>PCA-31100 RX OLIVER N4 II TT VN-20LJ</v>
          </cell>
          <cell r="E257" t="str">
            <v>ZFGD</v>
          </cell>
          <cell r="F257" t="str">
            <v>PC</v>
          </cell>
          <cell r="G257" t="str">
            <v>1</v>
          </cell>
          <cell r="H257" t="str">
            <v>INDUSTRY</v>
          </cell>
          <cell r="I257" t="str">
            <v>11</v>
          </cell>
          <cell r="J257" t="str">
            <v>WOOD COATINGS</v>
          </cell>
          <cell r="K257" t="str">
            <v>1118</v>
          </cell>
          <cell r="L257" t="str">
            <v>COMPLEMENTARY</v>
          </cell>
          <cell r="M257" t="str">
            <v>111807</v>
          </cell>
          <cell r="N257" t="str">
            <v>PASTA</v>
          </cell>
        </row>
        <row r="258">
          <cell r="C258" t="str">
            <v>100000256</v>
          </cell>
          <cell r="D258" t="str">
            <v>PCA-31100 RX OLIVER W 0001 TT VN-20LJ</v>
          </cell>
          <cell r="E258" t="str">
            <v>ZFGD</v>
          </cell>
          <cell r="F258" t="str">
            <v>PC</v>
          </cell>
          <cell r="G258" t="str">
            <v>1</v>
          </cell>
          <cell r="H258" t="str">
            <v>INDUSTRY</v>
          </cell>
          <cell r="I258" t="str">
            <v>11</v>
          </cell>
          <cell r="J258" t="str">
            <v>WOOD COATINGS</v>
          </cell>
          <cell r="K258" t="str">
            <v>1118</v>
          </cell>
          <cell r="L258" t="str">
            <v>COMPLEMENTARY</v>
          </cell>
          <cell r="M258" t="str">
            <v>111807</v>
          </cell>
          <cell r="N258" t="str">
            <v>PASTA</v>
          </cell>
        </row>
        <row r="259">
          <cell r="C259" t="str">
            <v>100000257</v>
          </cell>
          <cell r="D259" t="str">
            <v>PCA-31100 RX OR OAK IF VN-20LJ</v>
          </cell>
          <cell r="E259" t="str">
            <v>ZFGD</v>
          </cell>
          <cell r="F259" t="str">
            <v>PC</v>
          </cell>
          <cell r="G259" t="str">
            <v>1</v>
          </cell>
          <cell r="H259" t="str">
            <v>INDUSTRY</v>
          </cell>
          <cell r="I259" t="str">
            <v>11</v>
          </cell>
          <cell r="J259" t="str">
            <v>WOOD COATINGS</v>
          </cell>
          <cell r="K259" t="str">
            <v>1118</v>
          </cell>
          <cell r="L259" t="str">
            <v>COMPLEMENTARY</v>
          </cell>
          <cell r="M259" t="str">
            <v>111807</v>
          </cell>
          <cell r="N259" t="str">
            <v>PASTA</v>
          </cell>
        </row>
        <row r="260">
          <cell r="C260" t="str">
            <v>100000258</v>
          </cell>
          <cell r="D260" t="str">
            <v>PCA-31100 RX QNC IF VN-20LJ</v>
          </cell>
          <cell r="E260" t="str">
            <v>ZFGD</v>
          </cell>
          <cell r="F260" t="str">
            <v>PC</v>
          </cell>
          <cell r="G260" t="str">
            <v>1</v>
          </cell>
          <cell r="H260" t="str">
            <v>INDUSTRY</v>
          </cell>
          <cell r="I260" t="str">
            <v>11</v>
          </cell>
          <cell r="J260" t="str">
            <v>WOOD COATINGS</v>
          </cell>
          <cell r="K260" t="str">
            <v>1118</v>
          </cell>
          <cell r="L260" t="str">
            <v>COMPLEMENTARY</v>
          </cell>
          <cell r="M260" t="str">
            <v>111807</v>
          </cell>
          <cell r="N260" t="str">
            <v>PASTA</v>
          </cell>
        </row>
        <row r="261">
          <cell r="C261" t="str">
            <v>100000259</v>
          </cell>
          <cell r="D261" t="str">
            <v>PCA-31100 RX QNV IF VN-20LJ</v>
          </cell>
          <cell r="E261" t="str">
            <v>ZFGD</v>
          </cell>
          <cell r="F261" t="str">
            <v>PC</v>
          </cell>
          <cell r="G261" t="str">
            <v>1</v>
          </cell>
          <cell r="H261" t="str">
            <v>INDUSTRY</v>
          </cell>
          <cell r="I261" t="str">
            <v>11</v>
          </cell>
          <cell r="J261" t="str">
            <v>WOOD COATINGS</v>
          </cell>
          <cell r="K261" t="str">
            <v>1118</v>
          </cell>
          <cell r="L261" t="str">
            <v>COMPLEMENTARY</v>
          </cell>
          <cell r="M261" t="str">
            <v>111807</v>
          </cell>
          <cell r="N261" t="str">
            <v>PASTA</v>
          </cell>
        </row>
        <row r="262">
          <cell r="C262" t="str">
            <v>100000260</v>
          </cell>
          <cell r="D262" t="str">
            <v>PCA-31100 RX RUBBER IF VN-20LJ</v>
          </cell>
          <cell r="E262" t="str">
            <v>ZFGD</v>
          </cell>
          <cell r="F262" t="str">
            <v>PC</v>
          </cell>
          <cell r="G262" t="str">
            <v>1</v>
          </cell>
          <cell r="H262" t="str">
            <v>INDUSTRY</v>
          </cell>
          <cell r="I262" t="str">
            <v>11</v>
          </cell>
          <cell r="J262" t="str">
            <v>WOOD COATINGS</v>
          </cell>
          <cell r="K262" t="str">
            <v>1118</v>
          </cell>
          <cell r="L262" t="str">
            <v>COMPLEMENTARY</v>
          </cell>
          <cell r="M262" t="str">
            <v>111807</v>
          </cell>
          <cell r="N262" t="str">
            <v>PASTA</v>
          </cell>
        </row>
        <row r="263">
          <cell r="C263" t="str">
            <v>100000261</v>
          </cell>
          <cell r="D263" t="str">
            <v>PCA-31100 RX SAM SON 01 DM VN-20LJ</v>
          </cell>
          <cell r="E263" t="str">
            <v>ZFGD</v>
          </cell>
          <cell r="F263" t="str">
            <v>PC</v>
          </cell>
          <cell r="G263" t="str">
            <v>1</v>
          </cell>
          <cell r="H263" t="str">
            <v>INDUSTRY</v>
          </cell>
          <cell r="I263" t="str">
            <v>11</v>
          </cell>
          <cell r="J263" t="str">
            <v>WOOD COATINGS</v>
          </cell>
          <cell r="K263" t="str">
            <v>1118</v>
          </cell>
          <cell r="L263" t="str">
            <v>COMPLEMENTARY</v>
          </cell>
          <cell r="M263" t="str">
            <v>111807</v>
          </cell>
          <cell r="N263" t="str">
            <v>PASTA</v>
          </cell>
        </row>
        <row r="264">
          <cell r="C264" t="str">
            <v>100000262</v>
          </cell>
          <cell r="D264" t="str">
            <v>PCA-31100 RX SAM SON 02 DM VN-20LJ</v>
          </cell>
          <cell r="E264" t="str">
            <v>ZFGD</v>
          </cell>
          <cell r="F264" t="str">
            <v>PC</v>
          </cell>
          <cell r="G264" t="str">
            <v>1</v>
          </cell>
          <cell r="H264" t="str">
            <v>INDUSTRY</v>
          </cell>
          <cell r="I264" t="str">
            <v>11</v>
          </cell>
          <cell r="J264" t="str">
            <v>WOOD COATINGS</v>
          </cell>
          <cell r="K264" t="str">
            <v>1118</v>
          </cell>
          <cell r="L264" t="str">
            <v>COMPLEMENTARY</v>
          </cell>
          <cell r="M264" t="str">
            <v>111807</v>
          </cell>
          <cell r="N264" t="str">
            <v>PASTA</v>
          </cell>
        </row>
        <row r="265">
          <cell r="C265" t="str">
            <v>100000263</v>
          </cell>
          <cell r="D265" t="str">
            <v>PCA-31100 RX STONE F1 VN-20LJ</v>
          </cell>
          <cell r="E265" t="str">
            <v>ZFGD</v>
          </cell>
          <cell r="F265" t="str">
            <v>PC</v>
          </cell>
          <cell r="G265" t="str">
            <v>1</v>
          </cell>
          <cell r="H265" t="str">
            <v>INDUSTRY</v>
          </cell>
          <cell r="I265" t="str">
            <v>11</v>
          </cell>
          <cell r="J265" t="str">
            <v>WOOD COATINGS</v>
          </cell>
          <cell r="K265" t="str">
            <v>1118</v>
          </cell>
          <cell r="L265" t="str">
            <v>COMPLEMENTARY</v>
          </cell>
          <cell r="M265" t="str">
            <v>111807</v>
          </cell>
          <cell r="N265" t="str">
            <v>PASTA</v>
          </cell>
        </row>
        <row r="266">
          <cell r="C266" t="str">
            <v>100000264</v>
          </cell>
          <cell r="D266" t="str">
            <v>PCA-31100 RX 01 TR VN-20KJ</v>
          </cell>
          <cell r="E266" t="str">
            <v>ZFGD</v>
          </cell>
          <cell r="F266" t="str">
            <v>PC</v>
          </cell>
          <cell r="G266" t="str">
            <v>1</v>
          </cell>
          <cell r="H266" t="str">
            <v>INDUSTRY</v>
          </cell>
          <cell r="I266" t="str">
            <v>11</v>
          </cell>
          <cell r="J266" t="str">
            <v>WOOD COATINGS</v>
          </cell>
          <cell r="K266" t="str">
            <v>1118</v>
          </cell>
          <cell r="L266" t="str">
            <v>COMPLEMENTARY</v>
          </cell>
          <cell r="M266" t="str">
            <v>111807</v>
          </cell>
          <cell r="N266" t="str">
            <v>PASTA</v>
          </cell>
        </row>
        <row r="267">
          <cell r="C267" t="str">
            <v>100000265</v>
          </cell>
          <cell r="D267" t="str">
            <v>PCA-31100 RX VTB 01 F1 VN-20LJ</v>
          </cell>
          <cell r="E267" t="str">
            <v>ZFGD</v>
          </cell>
          <cell r="F267" t="str">
            <v>PC</v>
          </cell>
          <cell r="G267" t="str">
            <v>1</v>
          </cell>
          <cell r="H267" t="str">
            <v>INDUSTRY</v>
          </cell>
          <cell r="I267" t="str">
            <v>11</v>
          </cell>
          <cell r="J267" t="str">
            <v>WOOD COATINGS</v>
          </cell>
          <cell r="K267" t="str">
            <v>1118</v>
          </cell>
          <cell r="L267" t="str">
            <v>COMPLEMENTARY</v>
          </cell>
          <cell r="M267" t="str">
            <v>111807</v>
          </cell>
          <cell r="N267" t="str">
            <v>PASTA</v>
          </cell>
        </row>
        <row r="268">
          <cell r="C268" t="str">
            <v>100000266</v>
          </cell>
          <cell r="D268" t="str">
            <v>PCA-31100 RX VTB 02 F1 VN-20LJ</v>
          </cell>
          <cell r="E268" t="str">
            <v>ZFGD</v>
          </cell>
          <cell r="F268" t="str">
            <v>PC</v>
          </cell>
          <cell r="G268" t="str">
            <v>1</v>
          </cell>
          <cell r="H268" t="str">
            <v>INDUSTRY</v>
          </cell>
          <cell r="I268" t="str">
            <v>11</v>
          </cell>
          <cell r="J268" t="str">
            <v>WOOD COATINGS</v>
          </cell>
          <cell r="K268" t="str">
            <v>1118</v>
          </cell>
          <cell r="L268" t="str">
            <v>COMPLEMENTARY</v>
          </cell>
          <cell r="M268" t="str">
            <v>111807</v>
          </cell>
          <cell r="N268" t="str">
            <v>PASTA</v>
          </cell>
        </row>
        <row r="269">
          <cell r="C269" t="str">
            <v>100000267</v>
          </cell>
          <cell r="D269" t="str">
            <v>PCA-31100 RX WALNUT 01 MT VN-20LJ</v>
          </cell>
          <cell r="E269" t="str">
            <v>ZFGD</v>
          </cell>
          <cell r="F269" t="str">
            <v>PC</v>
          </cell>
          <cell r="G269" t="str">
            <v>1</v>
          </cell>
          <cell r="H269" t="str">
            <v>INDUSTRY</v>
          </cell>
          <cell r="I269" t="str">
            <v>11</v>
          </cell>
          <cell r="J269" t="str">
            <v>WOOD COATINGS</v>
          </cell>
          <cell r="K269" t="str">
            <v>1118</v>
          </cell>
          <cell r="L269" t="str">
            <v>COMPLEMENTARY</v>
          </cell>
          <cell r="M269" t="str">
            <v>111807</v>
          </cell>
          <cell r="N269" t="str">
            <v>PASTA</v>
          </cell>
        </row>
        <row r="270">
          <cell r="C270" t="str">
            <v>100000268</v>
          </cell>
          <cell r="D270" t="str">
            <v>PCA-31100 RX WALNUT OR IF VN-20LJ</v>
          </cell>
          <cell r="E270" t="str">
            <v>ZFGD</v>
          </cell>
          <cell r="F270" t="str">
            <v>PC</v>
          </cell>
          <cell r="G270" t="str">
            <v>1</v>
          </cell>
          <cell r="H270" t="str">
            <v>INDUSTRY</v>
          </cell>
          <cell r="I270" t="str">
            <v>11</v>
          </cell>
          <cell r="J270" t="str">
            <v>WOOD COATINGS</v>
          </cell>
          <cell r="K270" t="str">
            <v>1118</v>
          </cell>
          <cell r="L270" t="str">
            <v>COMPLEMENTARY</v>
          </cell>
          <cell r="M270" t="str">
            <v>111807</v>
          </cell>
          <cell r="N270" t="str">
            <v>PASTA</v>
          </cell>
        </row>
        <row r="271">
          <cell r="C271" t="str">
            <v>100000269</v>
          </cell>
          <cell r="D271" t="str">
            <v>PCA-31100 RX WD5 IF VN-20LJ</v>
          </cell>
          <cell r="E271" t="str">
            <v>ZFGD</v>
          </cell>
          <cell r="F271" t="str">
            <v>PC</v>
          </cell>
          <cell r="G271" t="str">
            <v>1</v>
          </cell>
          <cell r="H271" t="str">
            <v>INDUSTRY</v>
          </cell>
          <cell r="I271" t="str">
            <v>11</v>
          </cell>
          <cell r="J271" t="str">
            <v>WOOD COATINGS</v>
          </cell>
          <cell r="K271" t="str">
            <v>1118</v>
          </cell>
          <cell r="L271" t="str">
            <v>COMPLEMENTARY</v>
          </cell>
          <cell r="M271" t="str">
            <v>111807</v>
          </cell>
          <cell r="N271" t="str">
            <v>PASTA</v>
          </cell>
        </row>
        <row r="272">
          <cell r="C272" t="str">
            <v>100000270</v>
          </cell>
          <cell r="D272" t="str">
            <v>PCA-31100 RX WILTON BLACK IF VN-20LJ</v>
          </cell>
          <cell r="E272" t="str">
            <v>ZFGD</v>
          </cell>
          <cell r="F272" t="str">
            <v>PC</v>
          </cell>
          <cell r="G272" t="str">
            <v>1</v>
          </cell>
          <cell r="H272" t="str">
            <v>INDUSTRY</v>
          </cell>
          <cell r="I272" t="str">
            <v>11</v>
          </cell>
          <cell r="J272" t="str">
            <v>WOOD COATINGS</v>
          </cell>
          <cell r="K272" t="str">
            <v>1118</v>
          </cell>
          <cell r="L272" t="str">
            <v>COMPLEMENTARY</v>
          </cell>
          <cell r="M272" t="str">
            <v>111807</v>
          </cell>
          <cell r="N272" t="str">
            <v>PASTA</v>
          </cell>
        </row>
        <row r="273">
          <cell r="C273" t="str">
            <v>100000271</v>
          </cell>
          <cell r="D273" t="str">
            <v>PCA-31100 VIOLET OB PASTE VN-4K</v>
          </cell>
          <cell r="E273" t="str">
            <v>ZFGD</v>
          </cell>
          <cell r="F273" t="str">
            <v>PC</v>
          </cell>
          <cell r="G273" t="str">
            <v>1</v>
          </cell>
          <cell r="H273" t="str">
            <v>INDUSTRY</v>
          </cell>
          <cell r="I273" t="str">
            <v>11</v>
          </cell>
          <cell r="J273" t="str">
            <v>WOOD COATINGS</v>
          </cell>
          <cell r="K273" t="str">
            <v>1118</v>
          </cell>
          <cell r="L273" t="str">
            <v>COMPLEMENTARY</v>
          </cell>
          <cell r="M273" t="str">
            <v>111807</v>
          </cell>
          <cell r="N273" t="str">
            <v>PASTA</v>
          </cell>
        </row>
        <row r="274">
          <cell r="C274" t="str">
            <v>100000272</v>
          </cell>
          <cell r="D274" t="str">
            <v>PCA-31100 WD8 BEECH IF VN-20LJ</v>
          </cell>
          <cell r="E274" t="str">
            <v>ZFGD</v>
          </cell>
          <cell r="F274" t="str">
            <v>PC</v>
          </cell>
          <cell r="G274" t="str">
            <v>1</v>
          </cell>
          <cell r="H274" t="str">
            <v>INDUSTRY</v>
          </cell>
          <cell r="I274" t="str">
            <v>11</v>
          </cell>
          <cell r="J274" t="str">
            <v>WOOD COATINGS</v>
          </cell>
          <cell r="K274" t="str">
            <v>1118</v>
          </cell>
          <cell r="L274" t="str">
            <v>COMPLEMENTARY</v>
          </cell>
          <cell r="M274" t="str">
            <v>111807</v>
          </cell>
          <cell r="N274" t="str">
            <v>PASTA</v>
          </cell>
        </row>
        <row r="275">
          <cell r="C275" t="str">
            <v>100000273</v>
          </cell>
          <cell r="D275" t="str">
            <v>PCA-31100 WHITE PASTE VN-4K</v>
          </cell>
          <cell r="E275" t="str">
            <v>ZFGD</v>
          </cell>
          <cell r="F275" t="str">
            <v>PC</v>
          </cell>
          <cell r="G275" t="str">
            <v>1</v>
          </cell>
          <cell r="H275" t="str">
            <v>INDUSTRY</v>
          </cell>
          <cell r="I275" t="str">
            <v>11</v>
          </cell>
          <cell r="J275" t="str">
            <v>WOOD COATINGS</v>
          </cell>
          <cell r="K275" t="str">
            <v>1118</v>
          </cell>
          <cell r="L275" t="str">
            <v>COMPLEMENTARY</v>
          </cell>
          <cell r="M275" t="str">
            <v>111807</v>
          </cell>
          <cell r="N275" t="str">
            <v>PASTA</v>
          </cell>
        </row>
        <row r="276">
          <cell r="C276" t="str">
            <v>100000274</v>
          </cell>
          <cell r="D276" t="str">
            <v>PCA-31100 XLG 19 DM VN-20LJ</v>
          </cell>
          <cell r="E276" t="str">
            <v>ZFGD</v>
          </cell>
          <cell r="F276" t="str">
            <v>PC</v>
          </cell>
          <cell r="G276" t="str">
            <v>1</v>
          </cell>
          <cell r="H276" t="str">
            <v>INDUSTRY</v>
          </cell>
          <cell r="I276" t="str">
            <v>11</v>
          </cell>
          <cell r="J276" t="str">
            <v>WOOD COATINGS</v>
          </cell>
          <cell r="K276" t="str">
            <v>1118</v>
          </cell>
          <cell r="L276" t="str">
            <v>COMPLEMENTARY</v>
          </cell>
          <cell r="M276" t="str">
            <v>111807</v>
          </cell>
          <cell r="N276" t="str">
            <v>PASTA</v>
          </cell>
        </row>
        <row r="277">
          <cell r="C277" t="str">
            <v>100000275</v>
          </cell>
          <cell r="D277" t="str">
            <v>PCA-31100 YELLOW HR PASTE VN-4K</v>
          </cell>
          <cell r="E277" t="str">
            <v>ZFGD</v>
          </cell>
          <cell r="F277" t="str">
            <v>PC</v>
          </cell>
          <cell r="G277" t="str">
            <v>1</v>
          </cell>
          <cell r="H277" t="str">
            <v>INDUSTRY</v>
          </cell>
          <cell r="I277" t="str">
            <v>11</v>
          </cell>
          <cell r="J277" t="str">
            <v>WOOD COATINGS</v>
          </cell>
          <cell r="K277" t="str">
            <v>1118</v>
          </cell>
          <cell r="L277" t="str">
            <v>COMPLEMENTARY</v>
          </cell>
          <cell r="M277" t="str">
            <v>111807</v>
          </cell>
          <cell r="N277" t="str">
            <v>PASTA</v>
          </cell>
        </row>
        <row r="278">
          <cell r="C278" t="str">
            <v>100000276</v>
          </cell>
          <cell r="D278" t="str">
            <v>PCA-31100 YELLOW OG 16 PASTE VN-4K</v>
          </cell>
          <cell r="E278" t="str">
            <v>ZFGD</v>
          </cell>
          <cell r="F278" t="str">
            <v>PC</v>
          </cell>
          <cell r="G278" t="str">
            <v>1</v>
          </cell>
          <cell r="H278" t="str">
            <v>INDUSTRY</v>
          </cell>
          <cell r="I278" t="str">
            <v>11</v>
          </cell>
          <cell r="J278" t="str">
            <v>WOOD COATINGS</v>
          </cell>
          <cell r="K278" t="str">
            <v>1118</v>
          </cell>
          <cell r="L278" t="str">
            <v>COMPLEMENTARY</v>
          </cell>
          <cell r="M278" t="str">
            <v>111807</v>
          </cell>
          <cell r="N278" t="str">
            <v>PASTA</v>
          </cell>
        </row>
        <row r="279">
          <cell r="C279" t="str">
            <v>100000277</v>
          </cell>
          <cell r="D279" t="str">
            <v>PCA-31100 YELLOW OKER PASTE VN-4K</v>
          </cell>
          <cell r="E279" t="str">
            <v>ZFGD</v>
          </cell>
          <cell r="F279" t="str">
            <v>PC</v>
          </cell>
          <cell r="G279" t="str">
            <v>1</v>
          </cell>
          <cell r="H279" t="str">
            <v>INDUSTRY</v>
          </cell>
          <cell r="I279" t="str">
            <v>11</v>
          </cell>
          <cell r="J279" t="str">
            <v>WOOD COATINGS</v>
          </cell>
          <cell r="K279" t="str">
            <v>1118</v>
          </cell>
          <cell r="L279" t="str">
            <v>COMPLEMENTARY</v>
          </cell>
          <cell r="M279" t="str">
            <v>111807</v>
          </cell>
          <cell r="N279" t="str">
            <v>PASTA</v>
          </cell>
        </row>
        <row r="280">
          <cell r="C280" t="str">
            <v>100000278</v>
          </cell>
          <cell r="D280" t="str">
            <v>PCA-2311-YHR-AK-4K</v>
          </cell>
          <cell r="E280" t="str">
            <v>ZFGD</v>
          </cell>
          <cell r="F280" t="str">
            <v>PC</v>
          </cell>
          <cell r="G280" t="str">
            <v>1</v>
          </cell>
          <cell r="H280" t="str">
            <v>INDUSTRY</v>
          </cell>
          <cell r="I280" t="str">
            <v>11</v>
          </cell>
          <cell r="J280" t="str">
            <v>WOOD COATINGS</v>
          </cell>
          <cell r="K280" t="str">
            <v>1118</v>
          </cell>
          <cell r="L280" t="str">
            <v>COMPLEMENTARY</v>
          </cell>
          <cell r="M280" t="str">
            <v>111807</v>
          </cell>
          <cell r="N280" t="str">
            <v>PASTA</v>
          </cell>
        </row>
        <row r="281">
          <cell r="C281" t="str">
            <v>100000279</v>
          </cell>
          <cell r="D281" t="str">
            <v>PCA-31102 BLACK OB PASTE-4K</v>
          </cell>
          <cell r="E281" t="str">
            <v>ZFGD</v>
          </cell>
          <cell r="F281" t="str">
            <v>PC</v>
          </cell>
          <cell r="G281" t="str">
            <v>1</v>
          </cell>
          <cell r="H281" t="str">
            <v>INDUSTRY</v>
          </cell>
          <cell r="I281" t="str">
            <v>11</v>
          </cell>
          <cell r="J281" t="str">
            <v>WOOD COATINGS</v>
          </cell>
          <cell r="K281" t="str">
            <v>1118</v>
          </cell>
          <cell r="L281" t="str">
            <v>COMPLEMENTARY</v>
          </cell>
          <cell r="M281" t="str">
            <v>111807</v>
          </cell>
          <cell r="N281" t="str">
            <v>PASTA</v>
          </cell>
        </row>
        <row r="282">
          <cell r="C282" t="str">
            <v>100000280</v>
          </cell>
          <cell r="D282" t="str">
            <v>PCA-31102 OXIDE RED 45 PASTE-4K</v>
          </cell>
          <cell r="E282" t="str">
            <v>ZFGD</v>
          </cell>
          <cell r="F282" t="str">
            <v>PC</v>
          </cell>
          <cell r="G282" t="str">
            <v>1</v>
          </cell>
          <cell r="H282" t="str">
            <v>INDUSTRY</v>
          </cell>
          <cell r="I282" t="str">
            <v>11</v>
          </cell>
          <cell r="J282" t="str">
            <v>WOOD COATINGS</v>
          </cell>
          <cell r="K282" t="str">
            <v>1118</v>
          </cell>
          <cell r="L282" t="str">
            <v>COMPLEMENTARY</v>
          </cell>
          <cell r="M282" t="str">
            <v>111807</v>
          </cell>
          <cell r="N282" t="str">
            <v>PASTA</v>
          </cell>
        </row>
        <row r="283">
          <cell r="C283" t="str">
            <v>100000281</v>
          </cell>
          <cell r="D283" t="str">
            <v>PCA-31102 RED OY PASTE-4K</v>
          </cell>
          <cell r="E283" t="str">
            <v>ZFGD</v>
          </cell>
          <cell r="F283" t="str">
            <v>PC</v>
          </cell>
          <cell r="G283" t="str">
            <v>1</v>
          </cell>
          <cell r="H283" t="str">
            <v>INDUSTRY</v>
          </cell>
          <cell r="I283" t="str">
            <v>11</v>
          </cell>
          <cell r="J283" t="str">
            <v>WOOD COATINGS</v>
          </cell>
          <cell r="K283" t="str">
            <v>1118</v>
          </cell>
          <cell r="L283" t="str">
            <v>COMPLEMENTARY</v>
          </cell>
          <cell r="M283" t="str">
            <v>111807</v>
          </cell>
          <cell r="N283" t="str">
            <v>PASTA</v>
          </cell>
        </row>
        <row r="284">
          <cell r="C284" t="str">
            <v>100000282</v>
          </cell>
          <cell r="D284" t="str">
            <v>PCA-31102 YELLOW OKER 13 PASTE-4K</v>
          </cell>
          <cell r="E284" t="str">
            <v>ZFGD</v>
          </cell>
          <cell r="F284" t="str">
            <v>PC</v>
          </cell>
          <cell r="G284" t="str">
            <v>1</v>
          </cell>
          <cell r="H284" t="str">
            <v>INDUSTRY</v>
          </cell>
          <cell r="I284" t="str">
            <v>11</v>
          </cell>
          <cell r="J284" t="str">
            <v>WOOD COATINGS</v>
          </cell>
          <cell r="K284" t="str">
            <v>1118</v>
          </cell>
          <cell r="L284" t="str">
            <v>COMPLEMENTARY</v>
          </cell>
          <cell r="M284" t="str">
            <v>111807</v>
          </cell>
          <cell r="N284" t="str">
            <v>PASTA</v>
          </cell>
        </row>
        <row r="285">
          <cell r="C285" t="str">
            <v>100000283</v>
          </cell>
          <cell r="D285" t="str">
            <v>PCA-31102 YELLOW OR 10 PASTE-4K</v>
          </cell>
          <cell r="E285" t="str">
            <v>ZFGD</v>
          </cell>
          <cell r="F285" t="str">
            <v>PC</v>
          </cell>
          <cell r="G285" t="str">
            <v>1</v>
          </cell>
          <cell r="H285" t="str">
            <v>INDUSTRY</v>
          </cell>
          <cell r="I285" t="str">
            <v>11</v>
          </cell>
          <cell r="J285" t="str">
            <v>WOOD COATINGS</v>
          </cell>
          <cell r="K285" t="str">
            <v>1118</v>
          </cell>
          <cell r="L285" t="str">
            <v>COMPLEMENTARY</v>
          </cell>
          <cell r="M285" t="str">
            <v>111807</v>
          </cell>
          <cell r="N285" t="str">
            <v>PASTA</v>
          </cell>
        </row>
        <row r="286">
          <cell r="C286" t="str">
            <v>100000284</v>
          </cell>
          <cell r="D286" t="str">
            <v>PCL-31300 063 F1 VN-18KJ</v>
          </cell>
          <cell r="E286" t="str">
            <v>ZFGD</v>
          </cell>
          <cell r="F286" t="str">
            <v>PC</v>
          </cell>
          <cell r="G286" t="str">
            <v>1</v>
          </cell>
          <cell r="H286" t="str">
            <v>INDUSTRY</v>
          </cell>
          <cell r="I286" t="str">
            <v>11</v>
          </cell>
          <cell r="J286" t="str">
            <v>WOOD COATINGS</v>
          </cell>
          <cell r="K286" t="str">
            <v>1118</v>
          </cell>
          <cell r="L286" t="str">
            <v>COMPLEMENTARY</v>
          </cell>
          <cell r="M286" t="str">
            <v>111807</v>
          </cell>
          <cell r="N286" t="str">
            <v>PASTA</v>
          </cell>
        </row>
        <row r="287">
          <cell r="C287" t="str">
            <v>100000285</v>
          </cell>
          <cell r="D287" t="str">
            <v>PCL-31300 09 A AH VN-18KJ</v>
          </cell>
          <cell r="E287" t="str">
            <v>ZFGD</v>
          </cell>
          <cell r="F287" t="str">
            <v>PC</v>
          </cell>
          <cell r="G287" t="str">
            <v>1</v>
          </cell>
          <cell r="H287" t="str">
            <v>INDUSTRY</v>
          </cell>
          <cell r="I287" t="str">
            <v>11</v>
          </cell>
          <cell r="J287" t="str">
            <v>WOOD COATINGS</v>
          </cell>
          <cell r="K287" t="str">
            <v>1118</v>
          </cell>
          <cell r="L287" t="str">
            <v>COMPLEMENTARY</v>
          </cell>
          <cell r="M287" t="str">
            <v>111807</v>
          </cell>
          <cell r="N287" t="str">
            <v>PASTA</v>
          </cell>
        </row>
        <row r="288">
          <cell r="C288" t="str">
            <v>100000286</v>
          </cell>
          <cell r="D288" t="str">
            <v>PCL-31300 09 B AH VN-18KJ</v>
          </cell>
          <cell r="E288" t="str">
            <v>ZFGD</v>
          </cell>
          <cell r="F288" t="str">
            <v>PC</v>
          </cell>
          <cell r="G288" t="str">
            <v>1</v>
          </cell>
          <cell r="H288" t="str">
            <v>INDUSTRY</v>
          </cell>
          <cell r="I288" t="str">
            <v>11</v>
          </cell>
          <cell r="J288" t="str">
            <v>WOOD COATINGS</v>
          </cell>
          <cell r="K288" t="str">
            <v>1118</v>
          </cell>
          <cell r="L288" t="str">
            <v>COMPLEMENTARY</v>
          </cell>
          <cell r="M288" t="str">
            <v>111807</v>
          </cell>
          <cell r="N288" t="str">
            <v>PASTA</v>
          </cell>
        </row>
        <row r="289">
          <cell r="C289" t="str">
            <v>100000287</v>
          </cell>
          <cell r="D289" t="str">
            <v>PCL-31300 38 C AH VN-18KJ</v>
          </cell>
          <cell r="E289" t="str">
            <v>ZFGD</v>
          </cell>
          <cell r="F289" t="str">
            <v>PC</v>
          </cell>
          <cell r="G289" t="str">
            <v>1</v>
          </cell>
          <cell r="H289" t="str">
            <v>INDUSTRY</v>
          </cell>
          <cell r="I289" t="str">
            <v>11</v>
          </cell>
          <cell r="J289" t="str">
            <v>WOOD COATINGS</v>
          </cell>
          <cell r="K289" t="str">
            <v>1118</v>
          </cell>
          <cell r="L289" t="str">
            <v>COMPLEMENTARY</v>
          </cell>
          <cell r="M289" t="str">
            <v>111807</v>
          </cell>
          <cell r="N289" t="str">
            <v>PASTA</v>
          </cell>
        </row>
        <row r="290">
          <cell r="C290" t="str">
            <v>100000288</v>
          </cell>
          <cell r="D290" t="str">
            <v>PCL-31300 BLACK PASTE-4K</v>
          </cell>
          <cell r="E290" t="str">
            <v>ZFGD</v>
          </cell>
          <cell r="F290" t="str">
            <v>PC</v>
          </cell>
          <cell r="G290" t="str">
            <v>1</v>
          </cell>
          <cell r="H290" t="str">
            <v>INDUSTRY</v>
          </cell>
          <cell r="I290" t="str">
            <v>11</v>
          </cell>
          <cell r="J290" t="str">
            <v>WOOD COATINGS</v>
          </cell>
          <cell r="K290" t="str">
            <v>1118</v>
          </cell>
          <cell r="L290" t="str">
            <v>COMPLEMENTARY</v>
          </cell>
          <cell r="M290" t="str">
            <v>111807</v>
          </cell>
          <cell r="N290" t="str">
            <v>PASTA</v>
          </cell>
        </row>
        <row r="291">
          <cell r="C291" t="str">
            <v>100000289</v>
          </cell>
          <cell r="D291" t="str">
            <v>PCL-31300 BLACK PASTE VN-4K</v>
          </cell>
          <cell r="E291" t="str">
            <v>ZFGD</v>
          </cell>
          <cell r="F291" t="str">
            <v>PC</v>
          </cell>
          <cell r="G291" t="str">
            <v>1</v>
          </cell>
          <cell r="H291" t="str">
            <v>INDUSTRY</v>
          </cell>
          <cell r="I291" t="str">
            <v>11</v>
          </cell>
          <cell r="J291" t="str">
            <v>WOOD COATINGS</v>
          </cell>
          <cell r="K291" t="str">
            <v>1118</v>
          </cell>
          <cell r="L291" t="str">
            <v>COMPLEMENTARY</v>
          </cell>
          <cell r="M291" t="str">
            <v>111807</v>
          </cell>
          <cell r="N291" t="str">
            <v>PASTA</v>
          </cell>
        </row>
        <row r="292">
          <cell r="C292" t="str">
            <v>100000290</v>
          </cell>
          <cell r="D292" t="str">
            <v>PCL-31300 BLUE OG PASTE-4K</v>
          </cell>
          <cell r="E292" t="str">
            <v>ZFGD</v>
          </cell>
          <cell r="F292" t="str">
            <v>PC</v>
          </cell>
          <cell r="G292" t="str">
            <v>1</v>
          </cell>
          <cell r="H292" t="str">
            <v>INDUSTRY</v>
          </cell>
          <cell r="I292" t="str">
            <v>11</v>
          </cell>
          <cell r="J292" t="str">
            <v>WOOD COATINGS</v>
          </cell>
          <cell r="K292" t="str">
            <v>1118</v>
          </cell>
          <cell r="L292" t="str">
            <v>COMPLEMENTARY</v>
          </cell>
          <cell r="M292" t="str">
            <v>111807</v>
          </cell>
          <cell r="N292" t="str">
            <v>PASTA</v>
          </cell>
        </row>
        <row r="293">
          <cell r="C293" t="str">
            <v>100000291</v>
          </cell>
          <cell r="D293" t="str">
            <v>PCL-31300 BLUE OG PASTE VN-4K</v>
          </cell>
          <cell r="E293" t="str">
            <v>ZFGD</v>
          </cell>
          <cell r="F293" t="str">
            <v>PC</v>
          </cell>
          <cell r="G293" t="str">
            <v>1</v>
          </cell>
          <cell r="H293" t="str">
            <v>INDUSTRY</v>
          </cell>
          <cell r="I293" t="str">
            <v>11</v>
          </cell>
          <cell r="J293" t="str">
            <v>WOOD COATINGS</v>
          </cell>
          <cell r="K293" t="str">
            <v>1118</v>
          </cell>
          <cell r="L293" t="str">
            <v>COMPLEMENTARY</v>
          </cell>
          <cell r="M293" t="str">
            <v>111807</v>
          </cell>
          <cell r="N293" t="str">
            <v>PASTA</v>
          </cell>
        </row>
        <row r="294">
          <cell r="C294" t="str">
            <v>100000292</v>
          </cell>
          <cell r="D294" t="str">
            <v>PCL-31300 BLUE OR 50 PASTE-4K</v>
          </cell>
          <cell r="E294" t="str">
            <v>ZFGD</v>
          </cell>
          <cell r="F294" t="str">
            <v>PC</v>
          </cell>
          <cell r="G294" t="str">
            <v>1</v>
          </cell>
          <cell r="H294" t="str">
            <v>INDUSTRY</v>
          </cell>
          <cell r="I294" t="str">
            <v>11</v>
          </cell>
          <cell r="J294" t="str">
            <v>WOOD COATINGS</v>
          </cell>
          <cell r="K294" t="str">
            <v>1118</v>
          </cell>
          <cell r="L294" t="str">
            <v>COMPLEMENTARY</v>
          </cell>
          <cell r="M294" t="str">
            <v>111807</v>
          </cell>
          <cell r="N294" t="str">
            <v>PASTA</v>
          </cell>
        </row>
        <row r="295">
          <cell r="C295" t="str">
            <v>100000293</v>
          </cell>
          <cell r="D295" t="str">
            <v>PCL-31300 BLUE OR PASTE-4K</v>
          </cell>
          <cell r="E295" t="str">
            <v>ZFGD</v>
          </cell>
          <cell r="F295" t="str">
            <v>PC</v>
          </cell>
          <cell r="G295" t="str">
            <v>1</v>
          </cell>
          <cell r="H295" t="str">
            <v>INDUSTRY</v>
          </cell>
          <cell r="I295" t="str">
            <v>11</v>
          </cell>
          <cell r="J295" t="str">
            <v>WOOD COATINGS</v>
          </cell>
          <cell r="K295" t="str">
            <v>1118</v>
          </cell>
          <cell r="L295" t="str">
            <v>COMPLEMENTARY</v>
          </cell>
          <cell r="M295" t="str">
            <v>111807</v>
          </cell>
          <cell r="N295" t="str">
            <v>PASTA</v>
          </cell>
        </row>
        <row r="296">
          <cell r="C296" t="str">
            <v>100000294</v>
          </cell>
          <cell r="D296" t="str">
            <v>PCL-31300 BROWN DB VN-18KJ</v>
          </cell>
          <cell r="E296" t="str">
            <v>ZFGD</v>
          </cell>
          <cell r="F296" t="str">
            <v>PC</v>
          </cell>
          <cell r="G296" t="str">
            <v>1</v>
          </cell>
          <cell r="H296" t="str">
            <v>INDUSTRY</v>
          </cell>
          <cell r="I296" t="str">
            <v>11</v>
          </cell>
          <cell r="J296" t="str">
            <v>WOOD COATINGS</v>
          </cell>
          <cell r="K296" t="str">
            <v>1118</v>
          </cell>
          <cell r="L296" t="str">
            <v>COMPLEMENTARY</v>
          </cell>
          <cell r="M296" t="str">
            <v>111807</v>
          </cell>
          <cell r="N296" t="str">
            <v>PASTA</v>
          </cell>
        </row>
        <row r="297">
          <cell r="C297" t="str">
            <v>100000295</v>
          </cell>
          <cell r="D297" t="str">
            <v>PCL-31300 BROWN PASTE VN-4K</v>
          </cell>
          <cell r="E297" t="str">
            <v>ZFGD</v>
          </cell>
          <cell r="F297" t="str">
            <v>PC</v>
          </cell>
          <cell r="G297" t="str">
            <v>1</v>
          </cell>
          <cell r="H297" t="str">
            <v>INDUSTRY</v>
          </cell>
          <cell r="I297" t="str">
            <v>11</v>
          </cell>
          <cell r="J297" t="str">
            <v>WOOD COATINGS</v>
          </cell>
          <cell r="K297" t="str">
            <v>1118</v>
          </cell>
          <cell r="L297" t="str">
            <v>COMPLEMENTARY</v>
          </cell>
          <cell r="M297" t="str">
            <v>111807</v>
          </cell>
          <cell r="N297" t="str">
            <v>PASTA</v>
          </cell>
        </row>
        <row r="298">
          <cell r="C298" t="str">
            <v>100000296</v>
          </cell>
          <cell r="D298" t="str">
            <v>PCL-31300 BROWN RG KI VN-18KJ</v>
          </cell>
          <cell r="E298" t="str">
            <v>ZFGD</v>
          </cell>
          <cell r="F298" t="str">
            <v>PC</v>
          </cell>
          <cell r="G298" t="str">
            <v>1</v>
          </cell>
          <cell r="H298" t="str">
            <v>INDUSTRY</v>
          </cell>
          <cell r="I298" t="str">
            <v>11</v>
          </cell>
          <cell r="J298" t="str">
            <v>WOOD COATINGS</v>
          </cell>
          <cell r="K298" t="str">
            <v>1118</v>
          </cell>
          <cell r="L298" t="str">
            <v>COMPLEMENTARY</v>
          </cell>
          <cell r="M298" t="str">
            <v>111807</v>
          </cell>
          <cell r="N298" t="str">
            <v>PASTA</v>
          </cell>
        </row>
        <row r="299">
          <cell r="C299" t="str">
            <v>100000297</v>
          </cell>
          <cell r="D299" t="str">
            <v>PCL-31300 CHESTNUT F1 VN-18KJ</v>
          </cell>
          <cell r="E299" t="str">
            <v>ZFGD</v>
          </cell>
          <cell r="F299" t="str">
            <v>PC</v>
          </cell>
          <cell r="G299" t="str">
            <v>1</v>
          </cell>
          <cell r="H299" t="str">
            <v>INDUSTRY</v>
          </cell>
          <cell r="I299" t="str">
            <v>11</v>
          </cell>
          <cell r="J299" t="str">
            <v>WOOD COATINGS</v>
          </cell>
          <cell r="K299" t="str">
            <v>1118</v>
          </cell>
          <cell r="L299" t="str">
            <v>COMPLEMENTARY</v>
          </cell>
          <cell r="M299" t="str">
            <v>111807</v>
          </cell>
          <cell r="N299" t="str">
            <v>PASTA</v>
          </cell>
        </row>
        <row r="300">
          <cell r="C300" t="str">
            <v>100000298</v>
          </cell>
          <cell r="D300" t="str">
            <v>PCL-31300 CLR 063 F1 VN-18KJ</v>
          </cell>
          <cell r="E300" t="str">
            <v>ZFGD</v>
          </cell>
          <cell r="F300" t="str">
            <v>PC</v>
          </cell>
          <cell r="G300" t="str">
            <v>1</v>
          </cell>
          <cell r="H300" t="str">
            <v>INDUSTRY</v>
          </cell>
          <cell r="I300" t="str">
            <v>11</v>
          </cell>
          <cell r="J300" t="str">
            <v>WOOD COATINGS</v>
          </cell>
          <cell r="K300" t="str">
            <v>1118</v>
          </cell>
          <cell r="L300" t="str">
            <v>COMPLEMENTARY</v>
          </cell>
          <cell r="M300" t="str">
            <v>111807</v>
          </cell>
          <cell r="N300" t="str">
            <v>PASTA</v>
          </cell>
        </row>
        <row r="301">
          <cell r="C301" t="str">
            <v>100000299</v>
          </cell>
          <cell r="D301" t="str">
            <v>PCL-31300 CLR CHESTNUT F1 VN-18KJ</v>
          </cell>
          <cell r="E301" t="str">
            <v>ZFGD</v>
          </cell>
          <cell r="F301" t="str">
            <v>PC</v>
          </cell>
          <cell r="G301" t="str">
            <v>1</v>
          </cell>
          <cell r="H301" t="str">
            <v>INDUSTRY</v>
          </cell>
          <cell r="I301" t="str">
            <v>11</v>
          </cell>
          <cell r="J301" t="str">
            <v>WOOD COATINGS</v>
          </cell>
          <cell r="K301" t="str">
            <v>1118</v>
          </cell>
          <cell r="L301" t="str">
            <v>COMPLEMENTARY</v>
          </cell>
          <cell r="M301" t="str">
            <v>111807</v>
          </cell>
          <cell r="N301" t="str">
            <v>PASTA</v>
          </cell>
        </row>
        <row r="302">
          <cell r="C302" t="str">
            <v>100000300</v>
          </cell>
          <cell r="D302" t="str">
            <v>PCL-31300 GREEN OB PASTE-4K</v>
          </cell>
          <cell r="E302" t="str">
            <v>ZFGD</v>
          </cell>
          <cell r="F302" t="str">
            <v>PC</v>
          </cell>
          <cell r="G302" t="str">
            <v>1</v>
          </cell>
          <cell r="H302" t="str">
            <v>INDUSTRY</v>
          </cell>
          <cell r="I302" t="str">
            <v>11</v>
          </cell>
          <cell r="J302" t="str">
            <v>WOOD COATINGS</v>
          </cell>
          <cell r="K302" t="str">
            <v>1118</v>
          </cell>
          <cell r="L302" t="str">
            <v>COMPLEMENTARY</v>
          </cell>
          <cell r="M302" t="str">
            <v>111807</v>
          </cell>
          <cell r="N302" t="str">
            <v>PASTA</v>
          </cell>
        </row>
        <row r="303">
          <cell r="C303" t="str">
            <v>100000301</v>
          </cell>
          <cell r="D303" t="str">
            <v>PCL-31300 NO 21A ST VN-4K</v>
          </cell>
          <cell r="E303" t="str">
            <v>ZFGD</v>
          </cell>
          <cell r="F303" t="str">
            <v>PC</v>
          </cell>
          <cell r="G303" t="str">
            <v>1</v>
          </cell>
          <cell r="H303" t="str">
            <v>INDUSTRY</v>
          </cell>
          <cell r="I303" t="str">
            <v>11</v>
          </cell>
          <cell r="J303" t="str">
            <v>WOOD COATINGS</v>
          </cell>
          <cell r="K303" t="str">
            <v>1118</v>
          </cell>
          <cell r="L303" t="str">
            <v>COMPLEMENTARY</v>
          </cell>
          <cell r="M303" t="str">
            <v>111807</v>
          </cell>
          <cell r="N303" t="str">
            <v>PASTA</v>
          </cell>
        </row>
        <row r="304">
          <cell r="C304" t="str">
            <v>100000302</v>
          </cell>
          <cell r="D304" t="str">
            <v>PCL-31300 ORANGE PASTE-4K</v>
          </cell>
          <cell r="E304" t="str">
            <v>ZFGD</v>
          </cell>
          <cell r="F304" t="str">
            <v>PC</v>
          </cell>
          <cell r="G304" t="str">
            <v>1</v>
          </cell>
          <cell r="H304" t="str">
            <v>INDUSTRY</v>
          </cell>
          <cell r="I304" t="str">
            <v>11</v>
          </cell>
          <cell r="J304" t="str">
            <v>WOOD COATINGS</v>
          </cell>
          <cell r="K304" t="str">
            <v>1118</v>
          </cell>
          <cell r="L304" t="str">
            <v>COMPLEMENTARY</v>
          </cell>
          <cell r="M304" t="str">
            <v>111807</v>
          </cell>
          <cell r="N304" t="str">
            <v>PASTA</v>
          </cell>
        </row>
        <row r="305">
          <cell r="C305" t="str">
            <v>100000303</v>
          </cell>
          <cell r="D305" t="str">
            <v>PCL-31300 OXIDE RED PASTE-4K</v>
          </cell>
          <cell r="E305" t="str">
            <v>ZFGD</v>
          </cell>
          <cell r="F305" t="str">
            <v>PC</v>
          </cell>
          <cell r="G305" t="str">
            <v>1</v>
          </cell>
          <cell r="H305" t="str">
            <v>INDUSTRY</v>
          </cell>
          <cell r="I305" t="str">
            <v>11</v>
          </cell>
          <cell r="J305" t="str">
            <v>WOOD COATINGS</v>
          </cell>
          <cell r="K305" t="str">
            <v>1118</v>
          </cell>
          <cell r="L305" t="str">
            <v>COMPLEMENTARY</v>
          </cell>
          <cell r="M305" t="str">
            <v>111807</v>
          </cell>
          <cell r="N305" t="str">
            <v>PASTA</v>
          </cell>
        </row>
        <row r="306">
          <cell r="C306" t="str">
            <v>100000304</v>
          </cell>
          <cell r="D306" t="str">
            <v>PCL-31300 RAL KI VN-18KJ</v>
          </cell>
          <cell r="E306" t="str">
            <v>ZFGD</v>
          </cell>
          <cell r="F306" t="str">
            <v>PC</v>
          </cell>
          <cell r="G306" t="str">
            <v>1</v>
          </cell>
          <cell r="H306" t="str">
            <v>INDUSTRY</v>
          </cell>
          <cell r="I306" t="str">
            <v>11</v>
          </cell>
          <cell r="J306" t="str">
            <v>WOOD COATINGS</v>
          </cell>
          <cell r="K306" t="str">
            <v>1118</v>
          </cell>
          <cell r="L306" t="str">
            <v>COMPLEMENTARY</v>
          </cell>
          <cell r="M306" t="str">
            <v>111807</v>
          </cell>
          <cell r="N306" t="str">
            <v>PASTA</v>
          </cell>
        </row>
        <row r="307">
          <cell r="C307" t="str">
            <v>100000305</v>
          </cell>
          <cell r="D307" t="str">
            <v>PCL-31300 RED OB 35 PASTE-4K</v>
          </cell>
          <cell r="E307" t="str">
            <v>ZFGD</v>
          </cell>
          <cell r="F307" t="str">
            <v>PC</v>
          </cell>
          <cell r="G307" t="str">
            <v>1</v>
          </cell>
          <cell r="H307" t="str">
            <v>INDUSTRY</v>
          </cell>
          <cell r="I307" t="str">
            <v>11</v>
          </cell>
          <cell r="J307" t="str">
            <v>WOOD COATINGS</v>
          </cell>
          <cell r="K307" t="str">
            <v>1118</v>
          </cell>
          <cell r="L307" t="str">
            <v>COMPLEMENTARY</v>
          </cell>
          <cell r="M307" t="str">
            <v>111807</v>
          </cell>
          <cell r="N307" t="str">
            <v>PASTA</v>
          </cell>
        </row>
        <row r="308">
          <cell r="C308" t="str">
            <v>100000306</v>
          </cell>
          <cell r="D308" t="str">
            <v>PCL-31300 RED OB 35 PASTE VN-4K</v>
          </cell>
          <cell r="E308" t="str">
            <v>ZFGD</v>
          </cell>
          <cell r="F308" t="str">
            <v>PC</v>
          </cell>
          <cell r="G308" t="str">
            <v>1</v>
          </cell>
          <cell r="H308" t="str">
            <v>INDUSTRY</v>
          </cell>
          <cell r="I308" t="str">
            <v>11</v>
          </cell>
          <cell r="J308" t="str">
            <v>WOOD COATINGS</v>
          </cell>
          <cell r="K308" t="str">
            <v>1118</v>
          </cell>
          <cell r="L308" t="str">
            <v>COMPLEMENTARY</v>
          </cell>
          <cell r="M308" t="str">
            <v>111807</v>
          </cell>
          <cell r="N308" t="str">
            <v>PASTA</v>
          </cell>
        </row>
        <row r="309">
          <cell r="C309" t="str">
            <v>100000307</v>
          </cell>
          <cell r="D309" t="str">
            <v>PCL-31300 RED OY 31 PASTE-4K</v>
          </cell>
          <cell r="E309" t="str">
            <v>ZFGD</v>
          </cell>
          <cell r="F309" t="str">
            <v>PC</v>
          </cell>
          <cell r="G309" t="str">
            <v>1</v>
          </cell>
          <cell r="H309" t="str">
            <v>INDUSTRY</v>
          </cell>
          <cell r="I309" t="str">
            <v>11</v>
          </cell>
          <cell r="J309" t="str">
            <v>WOOD COATINGS</v>
          </cell>
          <cell r="K309" t="str">
            <v>1118</v>
          </cell>
          <cell r="L309" t="str">
            <v>COMPLEMENTARY</v>
          </cell>
          <cell r="M309" t="str">
            <v>111807</v>
          </cell>
          <cell r="N309" t="str">
            <v>PASTA</v>
          </cell>
        </row>
        <row r="310">
          <cell r="C310" t="str">
            <v>100000308</v>
          </cell>
          <cell r="D310" t="str">
            <v>PCL-31300 RED PINK PASTE-4K</v>
          </cell>
          <cell r="E310" t="str">
            <v>ZFGD</v>
          </cell>
          <cell r="F310" t="str">
            <v>PC</v>
          </cell>
          <cell r="G310" t="str">
            <v>1</v>
          </cell>
          <cell r="H310" t="str">
            <v>INDUSTRY</v>
          </cell>
          <cell r="I310" t="str">
            <v>11</v>
          </cell>
          <cell r="J310" t="str">
            <v>WOOD COATINGS</v>
          </cell>
          <cell r="K310" t="str">
            <v>1118</v>
          </cell>
          <cell r="L310" t="str">
            <v>COMPLEMENTARY</v>
          </cell>
          <cell r="M310" t="str">
            <v>111807</v>
          </cell>
          <cell r="N310" t="str">
            <v>PASTA</v>
          </cell>
        </row>
        <row r="311">
          <cell r="C311" t="str">
            <v>100000309</v>
          </cell>
          <cell r="D311" t="str">
            <v>PCL-31300 RX DN IF VN-18KJ</v>
          </cell>
          <cell r="E311" t="str">
            <v>ZFGD</v>
          </cell>
          <cell r="F311" t="str">
            <v>PC</v>
          </cell>
          <cell r="G311" t="str">
            <v>1</v>
          </cell>
          <cell r="H311" t="str">
            <v>INDUSTRY</v>
          </cell>
          <cell r="I311" t="str">
            <v>11</v>
          </cell>
          <cell r="J311" t="str">
            <v>WOOD COATINGS</v>
          </cell>
          <cell r="K311" t="str">
            <v>1118</v>
          </cell>
          <cell r="L311" t="str">
            <v>COMPLEMENTARY</v>
          </cell>
          <cell r="M311" t="str">
            <v>111807</v>
          </cell>
          <cell r="N311" t="str">
            <v>PASTA</v>
          </cell>
        </row>
        <row r="312">
          <cell r="C312" t="str">
            <v>100000310</v>
          </cell>
          <cell r="D312" t="str">
            <v>PCL-31300 RX GIA DA 109-1 LM VN-18KJ</v>
          </cell>
          <cell r="E312" t="str">
            <v>ZFGD</v>
          </cell>
          <cell r="F312" t="str">
            <v>PC</v>
          </cell>
          <cell r="G312" t="str">
            <v>1</v>
          </cell>
          <cell r="H312" t="str">
            <v>INDUSTRY</v>
          </cell>
          <cell r="I312" t="str">
            <v>11</v>
          </cell>
          <cell r="J312" t="str">
            <v>WOOD COATINGS</v>
          </cell>
          <cell r="K312" t="str">
            <v>1118</v>
          </cell>
          <cell r="L312" t="str">
            <v>COMPLEMENTARY</v>
          </cell>
          <cell r="M312" t="str">
            <v>111807</v>
          </cell>
          <cell r="N312" t="str">
            <v>PASTA</v>
          </cell>
        </row>
        <row r="313">
          <cell r="C313" t="str">
            <v>100000311</v>
          </cell>
          <cell r="D313" t="str">
            <v>PCL-31300 RX GIA DA LM VN-18KJ</v>
          </cell>
          <cell r="E313" t="str">
            <v>ZFGD</v>
          </cell>
          <cell r="F313" t="str">
            <v>PC</v>
          </cell>
          <cell r="G313" t="str">
            <v>1</v>
          </cell>
          <cell r="H313" t="str">
            <v>INDUSTRY</v>
          </cell>
          <cell r="I313" t="str">
            <v>11</v>
          </cell>
          <cell r="J313" t="str">
            <v>WOOD COATINGS</v>
          </cell>
          <cell r="K313" t="str">
            <v>1118</v>
          </cell>
          <cell r="L313" t="str">
            <v>COMPLEMENTARY</v>
          </cell>
          <cell r="M313" t="str">
            <v>111807</v>
          </cell>
          <cell r="N313" t="str">
            <v>PASTA</v>
          </cell>
        </row>
        <row r="314">
          <cell r="C314" t="str">
            <v>100000312</v>
          </cell>
          <cell r="D314" t="str">
            <v>PCL-31300 RX GREEN EXT AH VN-18KJ</v>
          </cell>
          <cell r="E314" t="str">
            <v>ZFGD</v>
          </cell>
          <cell r="F314" t="str">
            <v>PC</v>
          </cell>
          <cell r="G314" t="str">
            <v>1</v>
          </cell>
          <cell r="H314" t="str">
            <v>INDUSTRY</v>
          </cell>
          <cell r="I314" t="str">
            <v>11</v>
          </cell>
          <cell r="J314" t="str">
            <v>WOOD COATINGS</v>
          </cell>
          <cell r="K314" t="str">
            <v>1118</v>
          </cell>
          <cell r="L314" t="str">
            <v>COMPLEMENTARY</v>
          </cell>
          <cell r="M314" t="str">
            <v>111807</v>
          </cell>
          <cell r="N314" t="str">
            <v>PASTA</v>
          </cell>
        </row>
        <row r="315">
          <cell r="C315" t="str">
            <v>100000313</v>
          </cell>
          <cell r="D315" t="str">
            <v>PCL-31300 RX HOUSE GE VN-18KJ</v>
          </cell>
          <cell r="E315" t="str">
            <v>ZFGD</v>
          </cell>
          <cell r="F315" t="str">
            <v>PC</v>
          </cell>
          <cell r="G315" t="str">
            <v>1</v>
          </cell>
          <cell r="H315" t="str">
            <v>INDUSTRY</v>
          </cell>
          <cell r="I315" t="str">
            <v>11</v>
          </cell>
          <cell r="J315" t="str">
            <v>WOOD COATINGS</v>
          </cell>
          <cell r="K315" t="str">
            <v>1118</v>
          </cell>
          <cell r="L315" t="str">
            <v>COMPLEMENTARY</v>
          </cell>
          <cell r="M315" t="str">
            <v>111807</v>
          </cell>
          <cell r="N315" t="str">
            <v>PASTA</v>
          </cell>
        </row>
        <row r="316">
          <cell r="C316" t="str">
            <v>100000314</v>
          </cell>
          <cell r="D316" t="str">
            <v>PCL-31300 RX MMT 40 GE VN-18KJ</v>
          </cell>
          <cell r="E316" t="str">
            <v>ZFGD</v>
          </cell>
          <cell r="F316" t="str">
            <v>PC</v>
          </cell>
          <cell r="G316" t="str">
            <v>1</v>
          </cell>
          <cell r="H316" t="str">
            <v>INDUSTRY</v>
          </cell>
          <cell r="I316" t="str">
            <v>11</v>
          </cell>
          <cell r="J316" t="str">
            <v>WOOD COATINGS</v>
          </cell>
          <cell r="K316" t="str">
            <v>1118</v>
          </cell>
          <cell r="L316" t="str">
            <v>COMPLEMENTARY</v>
          </cell>
          <cell r="M316" t="str">
            <v>111807</v>
          </cell>
          <cell r="N316" t="str">
            <v>PASTA</v>
          </cell>
        </row>
        <row r="317">
          <cell r="C317" t="str">
            <v>100000315</v>
          </cell>
          <cell r="D317" t="str">
            <v>PCL-31300 RX MT04 GE VN-18KJ</v>
          </cell>
          <cell r="E317" t="str">
            <v>ZFGD</v>
          </cell>
          <cell r="F317" t="str">
            <v>PC</v>
          </cell>
          <cell r="G317" t="str">
            <v>1</v>
          </cell>
          <cell r="H317" t="str">
            <v>INDUSTRY</v>
          </cell>
          <cell r="I317" t="str">
            <v>11</v>
          </cell>
          <cell r="J317" t="str">
            <v>WOOD COATINGS</v>
          </cell>
          <cell r="K317" t="str">
            <v>1118</v>
          </cell>
          <cell r="L317" t="str">
            <v>COMPLEMENTARY</v>
          </cell>
          <cell r="M317" t="str">
            <v>111807</v>
          </cell>
          <cell r="N317" t="str">
            <v>PASTA</v>
          </cell>
        </row>
        <row r="318">
          <cell r="C318" t="str">
            <v>100000316</v>
          </cell>
          <cell r="D318" t="str">
            <v>PCL-31300 RX OR OAK IF VN-18KJ</v>
          </cell>
          <cell r="E318" t="str">
            <v>ZFGD</v>
          </cell>
          <cell r="F318" t="str">
            <v>PC</v>
          </cell>
          <cell r="G318" t="str">
            <v>1</v>
          </cell>
          <cell r="H318" t="str">
            <v>INDUSTRY</v>
          </cell>
          <cell r="I318" t="str">
            <v>11</v>
          </cell>
          <cell r="J318" t="str">
            <v>WOOD COATINGS</v>
          </cell>
          <cell r="K318" t="str">
            <v>1118</v>
          </cell>
          <cell r="L318" t="str">
            <v>COMPLEMENTARY</v>
          </cell>
          <cell r="M318" t="str">
            <v>111807</v>
          </cell>
          <cell r="N318" t="str">
            <v>PASTA</v>
          </cell>
        </row>
        <row r="319">
          <cell r="C319" t="str">
            <v>100000317</v>
          </cell>
          <cell r="D319" t="str">
            <v>PCL-31300 RX WALNUT OR IF VN-18KJ</v>
          </cell>
          <cell r="E319" t="str">
            <v>ZFGD</v>
          </cell>
          <cell r="F319" t="str">
            <v>PC</v>
          </cell>
          <cell r="G319" t="str">
            <v>1</v>
          </cell>
          <cell r="H319" t="str">
            <v>INDUSTRY</v>
          </cell>
          <cell r="I319" t="str">
            <v>11</v>
          </cell>
          <cell r="J319" t="str">
            <v>WOOD COATINGS</v>
          </cell>
          <cell r="K319" t="str">
            <v>1118</v>
          </cell>
          <cell r="L319" t="str">
            <v>COMPLEMENTARY</v>
          </cell>
          <cell r="M319" t="str">
            <v>111807</v>
          </cell>
          <cell r="N319" t="str">
            <v>PASTA</v>
          </cell>
        </row>
        <row r="320">
          <cell r="C320" t="str">
            <v>100000318</v>
          </cell>
          <cell r="D320" t="str">
            <v>PCL-31300 RX WD 2 IF VN-18KJ</v>
          </cell>
          <cell r="E320" t="str">
            <v>ZFGD</v>
          </cell>
          <cell r="F320" t="str">
            <v>PC</v>
          </cell>
          <cell r="G320" t="str">
            <v>1</v>
          </cell>
          <cell r="H320" t="str">
            <v>INDUSTRY</v>
          </cell>
          <cell r="I320" t="str">
            <v>11</v>
          </cell>
          <cell r="J320" t="str">
            <v>WOOD COATINGS</v>
          </cell>
          <cell r="K320" t="str">
            <v>1118</v>
          </cell>
          <cell r="L320" t="str">
            <v>COMPLEMENTARY</v>
          </cell>
          <cell r="M320" t="str">
            <v>111807</v>
          </cell>
          <cell r="N320" t="str">
            <v>PASTA</v>
          </cell>
        </row>
        <row r="321">
          <cell r="C321" t="str">
            <v>100000319</v>
          </cell>
          <cell r="D321" t="str">
            <v>PCL-31300 RX WD5 IF VN-18KJ</v>
          </cell>
          <cell r="E321" t="str">
            <v>ZFGD</v>
          </cell>
          <cell r="F321" t="str">
            <v>PC</v>
          </cell>
          <cell r="G321" t="str">
            <v>1</v>
          </cell>
          <cell r="H321" t="str">
            <v>INDUSTRY</v>
          </cell>
          <cell r="I321" t="str">
            <v>11</v>
          </cell>
          <cell r="J321" t="str">
            <v>WOOD COATINGS</v>
          </cell>
          <cell r="K321" t="str">
            <v>1118</v>
          </cell>
          <cell r="L321" t="str">
            <v>COMPLEMENTARY</v>
          </cell>
          <cell r="M321" t="str">
            <v>111807</v>
          </cell>
          <cell r="N321" t="str">
            <v>PASTA</v>
          </cell>
        </row>
        <row r="322">
          <cell r="C322" t="str">
            <v>100000320</v>
          </cell>
          <cell r="D322" t="str">
            <v>PCL-31300 RX WHITE OR IF VN-18KJ</v>
          </cell>
          <cell r="E322" t="str">
            <v>ZFGD</v>
          </cell>
          <cell r="F322" t="str">
            <v>PC</v>
          </cell>
          <cell r="G322" t="str">
            <v>1</v>
          </cell>
          <cell r="H322" t="str">
            <v>INDUSTRY</v>
          </cell>
          <cell r="I322" t="str">
            <v>11</v>
          </cell>
          <cell r="J322" t="str">
            <v>WOOD COATINGS</v>
          </cell>
          <cell r="K322" t="str">
            <v>1118</v>
          </cell>
          <cell r="L322" t="str">
            <v>COMPLEMENTARY</v>
          </cell>
          <cell r="M322" t="str">
            <v>111807</v>
          </cell>
          <cell r="N322" t="str">
            <v>PASTA</v>
          </cell>
        </row>
        <row r="323">
          <cell r="C323" t="str">
            <v>100000321</v>
          </cell>
          <cell r="D323" t="str">
            <v>PCL-31300 RX WILTON BLACK IF VN-18KJ</v>
          </cell>
          <cell r="E323" t="str">
            <v>ZFGD</v>
          </cell>
          <cell r="F323" t="str">
            <v>PC</v>
          </cell>
          <cell r="G323" t="str">
            <v>1</v>
          </cell>
          <cell r="H323" t="str">
            <v>INDUSTRY</v>
          </cell>
          <cell r="I323" t="str">
            <v>11</v>
          </cell>
          <cell r="J323" t="str">
            <v>WOOD COATINGS</v>
          </cell>
          <cell r="K323" t="str">
            <v>1118</v>
          </cell>
          <cell r="L323" t="str">
            <v>COMPLEMENTARY</v>
          </cell>
          <cell r="M323" t="str">
            <v>111807</v>
          </cell>
          <cell r="N323" t="str">
            <v>PASTA</v>
          </cell>
        </row>
        <row r="324">
          <cell r="C324" t="str">
            <v>100000322</v>
          </cell>
          <cell r="D324" t="str">
            <v>PCL-31300 VIOLET PASTE-4K</v>
          </cell>
          <cell r="E324" t="str">
            <v>ZFGD</v>
          </cell>
          <cell r="F324" t="str">
            <v>PC</v>
          </cell>
          <cell r="G324" t="str">
            <v>1</v>
          </cell>
          <cell r="H324" t="str">
            <v>INDUSTRY</v>
          </cell>
          <cell r="I324" t="str">
            <v>11</v>
          </cell>
          <cell r="J324" t="str">
            <v>WOOD COATINGS</v>
          </cell>
          <cell r="K324" t="str">
            <v>1118</v>
          </cell>
          <cell r="L324" t="str">
            <v>COMPLEMENTARY</v>
          </cell>
          <cell r="M324" t="str">
            <v>111807</v>
          </cell>
          <cell r="N324" t="str">
            <v>PASTA</v>
          </cell>
        </row>
        <row r="325">
          <cell r="C325" t="str">
            <v>100000323</v>
          </cell>
          <cell r="D325" t="str">
            <v>PCL-31300 WHITE PASTE-4K</v>
          </cell>
          <cell r="E325" t="str">
            <v>ZFGD</v>
          </cell>
          <cell r="F325" t="str">
            <v>PC</v>
          </cell>
          <cell r="G325" t="str">
            <v>1</v>
          </cell>
          <cell r="H325" t="str">
            <v>INDUSTRY</v>
          </cell>
          <cell r="I325" t="str">
            <v>11</v>
          </cell>
          <cell r="J325" t="str">
            <v>WOOD COATINGS</v>
          </cell>
          <cell r="K325" t="str">
            <v>1118</v>
          </cell>
          <cell r="L325" t="str">
            <v>COMPLEMENTARY</v>
          </cell>
          <cell r="M325" t="str">
            <v>111807</v>
          </cell>
          <cell r="N325" t="str">
            <v>PASTA</v>
          </cell>
        </row>
        <row r="326">
          <cell r="C326" t="str">
            <v>100000324</v>
          </cell>
          <cell r="D326" t="str">
            <v>PCL-31300 YELLOW AR PASTE-4K</v>
          </cell>
          <cell r="E326" t="str">
            <v>ZFGD</v>
          </cell>
          <cell r="F326" t="str">
            <v>PC</v>
          </cell>
          <cell r="G326" t="str">
            <v>1</v>
          </cell>
          <cell r="H326" t="str">
            <v>INDUSTRY</v>
          </cell>
          <cell r="I326" t="str">
            <v>11</v>
          </cell>
          <cell r="J326" t="str">
            <v>WOOD COATINGS</v>
          </cell>
          <cell r="K326" t="str">
            <v>1118</v>
          </cell>
          <cell r="L326" t="str">
            <v>COMPLEMENTARY</v>
          </cell>
          <cell r="M326" t="str">
            <v>111807</v>
          </cell>
          <cell r="N326" t="str">
            <v>PASTA</v>
          </cell>
        </row>
        <row r="327">
          <cell r="C327" t="str">
            <v>100000325</v>
          </cell>
          <cell r="D327" t="str">
            <v>PCL-31300 YELLOW OG 16 PASTE-4K</v>
          </cell>
          <cell r="E327" t="str">
            <v>ZFGD</v>
          </cell>
          <cell r="F327" t="str">
            <v>PC</v>
          </cell>
          <cell r="G327" t="str">
            <v>1</v>
          </cell>
          <cell r="H327" t="str">
            <v>INDUSTRY</v>
          </cell>
          <cell r="I327" t="str">
            <v>11</v>
          </cell>
          <cell r="J327" t="str">
            <v>WOOD COATINGS</v>
          </cell>
          <cell r="K327" t="str">
            <v>1118</v>
          </cell>
          <cell r="L327" t="str">
            <v>COMPLEMENTARY</v>
          </cell>
          <cell r="M327" t="str">
            <v>111807</v>
          </cell>
          <cell r="N327" t="str">
            <v>PASTA</v>
          </cell>
        </row>
        <row r="328">
          <cell r="C328" t="str">
            <v>100000326</v>
          </cell>
          <cell r="D328" t="str">
            <v>PCL-31300 YELLOW OKER PASTE-4K</v>
          </cell>
          <cell r="E328" t="str">
            <v>ZFGD</v>
          </cell>
          <cell r="F328" t="str">
            <v>PC</v>
          </cell>
          <cell r="G328" t="str">
            <v>1</v>
          </cell>
          <cell r="H328" t="str">
            <v>INDUSTRY</v>
          </cell>
          <cell r="I328" t="str">
            <v>11</v>
          </cell>
          <cell r="J328" t="str">
            <v>WOOD COATINGS</v>
          </cell>
          <cell r="K328" t="str">
            <v>1118</v>
          </cell>
          <cell r="L328" t="str">
            <v>COMPLEMENTARY</v>
          </cell>
          <cell r="M328" t="str">
            <v>111807</v>
          </cell>
          <cell r="N328" t="str">
            <v>PASTA</v>
          </cell>
        </row>
        <row r="329">
          <cell r="C329" t="str">
            <v>100000327</v>
          </cell>
          <cell r="D329" t="str">
            <v>PCU-31400 WHITE PASTE-4K</v>
          </cell>
          <cell r="E329" t="str">
            <v>ZFGD</v>
          </cell>
          <cell r="F329" t="str">
            <v>PC</v>
          </cell>
          <cell r="G329" t="str">
            <v>1</v>
          </cell>
          <cell r="H329" t="str">
            <v>INDUSTRY</v>
          </cell>
          <cell r="I329" t="str">
            <v>11</v>
          </cell>
          <cell r="J329" t="str">
            <v>WOOD COATINGS</v>
          </cell>
          <cell r="K329" t="str">
            <v>1118</v>
          </cell>
          <cell r="L329" t="str">
            <v>COMPLEMENTARY</v>
          </cell>
          <cell r="M329" t="str">
            <v>111807</v>
          </cell>
          <cell r="N329" t="str">
            <v>PASTA</v>
          </cell>
        </row>
        <row r="330">
          <cell r="C330" t="str">
            <v>100000328</v>
          </cell>
          <cell r="D330" t="str">
            <v>PCWB-31600 BLACK AY PASTE-4K</v>
          </cell>
          <cell r="E330" t="str">
            <v>ZFGD</v>
          </cell>
          <cell r="F330" t="str">
            <v>PC</v>
          </cell>
          <cell r="G330" t="str">
            <v>1</v>
          </cell>
          <cell r="H330" t="str">
            <v>INDUSTRY</v>
          </cell>
          <cell r="I330" t="str">
            <v>11</v>
          </cell>
          <cell r="J330" t="str">
            <v>WOOD COATINGS</v>
          </cell>
          <cell r="K330" t="str">
            <v>1118</v>
          </cell>
          <cell r="L330" t="str">
            <v>COMPLEMENTARY</v>
          </cell>
          <cell r="M330" t="str">
            <v>111807</v>
          </cell>
          <cell r="N330" t="str">
            <v>PASTA</v>
          </cell>
        </row>
        <row r="331">
          <cell r="C331" t="str">
            <v>100000329</v>
          </cell>
          <cell r="D331" t="str">
            <v>PCWB-31600 BLACK AY PASTE-20KP</v>
          </cell>
          <cell r="E331" t="str">
            <v>ZFGD</v>
          </cell>
          <cell r="F331" t="str">
            <v>PC</v>
          </cell>
          <cell r="G331" t="str">
            <v>1</v>
          </cell>
          <cell r="H331" t="str">
            <v>INDUSTRY</v>
          </cell>
          <cell r="I331" t="str">
            <v>11</v>
          </cell>
          <cell r="J331" t="str">
            <v>WOOD COATINGS</v>
          </cell>
          <cell r="K331" t="str">
            <v>1118</v>
          </cell>
          <cell r="L331" t="str">
            <v>COMPLEMENTARY</v>
          </cell>
          <cell r="M331" t="str">
            <v>111807</v>
          </cell>
          <cell r="N331" t="str">
            <v>PASTA</v>
          </cell>
        </row>
        <row r="332">
          <cell r="C332" t="str">
            <v>100000330</v>
          </cell>
          <cell r="D332" t="str">
            <v>PCWB-31600 OXIDE RED PASTE-4K</v>
          </cell>
          <cell r="E332" t="str">
            <v>ZFGD</v>
          </cell>
          <cell r="F332" t="str">
            <v>PC</v>
          </cell>
          <cell r="G332" t="str">
            <v>1</v>
          </cell>
          <cell r="H332" t="str">
            <v>INDUSTRY</v>
          </cell>
          <cell r="I332" t="str">
            <v>11</v>
          </cell>
          <cell r="J332" t="str">
            <v>WOOD COATINGS</v>
          </cell>
          <cell r="K332" t="str">
            <v>1118</v>
          </cell>
          <cell r="L332" t="str">
            <v>COMPLEMENTARY</v>
          </cell>
          <cell r="M332" t="str">
            <v>111807</v>
          </cell>
          <cell r="N332" t="str">
            <v>PASTA</v>
          </cell>
        </row>
        <row r="333">
          <cell r="C333" t="str">
            <v>100000331</v>
          </cell>
          <cell r="D333" t="str">
            <v>PCWB-31600 OXIDE YELLOW PASTE-4K</v>
          </cell>
          <cell r="E333" t="str">
            <v>ZFGD</v>
          </cell>
          <cell r="F333" t="str">
            <v>PC</v>
          </cell>
          <cell r="G333" t="str">
            <v>1</v>
          </cell>
          <cell r="H333" t="str">
            <v>INDUSTRY</v>
          </cell>
          <cell r="I333" t="str">
            <v>11</v>
          </cell>
          <cell r="J333" t="str">
            <v>WOOD COATINGS</v>
          </cell>
          <cell r="K333" t="str">
            <v>1118</v>
          </cell>
          <cell r="L333" t="str">
            <v>COMPLEMENTARY</v>
          </cell>
          <cell r="M333" t="str">
            <v>111807</v>
          </cell>
          <cell r="N333" t="str">
            <v>PASTA</v>
          </cell>
        </row>
        <row r="334">
          <cell r="C334" t="str">
            <v>100000332</v>
          </cell>
          <cell r="D334" t="str">
            <v>PCWB-31600 RED AB PASTE-4K</v>
          </cell>
          <cell r="E334" t="str">
            <v>ZFGD</v>
          </cell>
          <cell r="F334" t="str">
            <v>PC</v>
          </cell>
          <cell r="G334" t="str">
            <v>1</v>
          </cell>
          <cell r="H334" t="str">
            <v>INDUSTRY</v>
          </cell>
          <cell r="I334" t="str">
            <v>11</v>
          </cell>
          <cell r="J334" t="str">
            <v>WOOD COATINGS</v>
          </cell>
          <cell r="K334" t="str">
            <v>1118</v>
          </cell>
          <cell r="L334" t="str">
            <v>COMPLEMENTARY</v>
          </cell>
          <cell r="M334" t="str">
            <v>111807</v>
          </cell>
          <cell r="N334" t="str">
            <v>PASTA</v>
          </cell>
        </row>
        <row r="335">
          <cell r="C335" t="str">
            <v>100000333</v>
          </cell>
          <cell r="D335" t="str">
            <v>PCWB-31600 RED OB 35 PASTE-4K</v>
          </cell>
          <cell r="E335" t="str">
            <v>ZFGD</v>
          </cell>
          <cell r="F335" t="str">
            <v>PC</v>
          </cell>
          <cell r="G335" t="str">
            <v>1</v>
          </cell>
          <cell r="H335" t="str">
            <v>INDUSTRY</v>
          </cell>
          <cell r="I335" t="str">
            <v>11</v>
          </cell>
          <cell r="J335" t="str">
            <v>WOOD COATINGS</v>
          </cell>
          <cell r="K335" t="str">
            <v>1118</v>
          </cell>
          <cell r="L335" t="str">
            <v>COMPLEMENTARY</v>
          </cell>
          <cell r="M335" t="str">
            <v>111807</v>
          </cell>
          <cell r="N335" t="str">
            <v>PASTA</v>
          </cell>
        </row>
        <row r="336">
          <cell r="C336" t="str">
            <v>100000334</v>
          </cell>
          <cell r="D336" t="str">
            <v>PCWB-31600 TRANSPARANT YELLOW PASTE-4K</v>
          </cell>
          <cell r="E336" t="str">
            <v>ZFGD</v>
          </cell>
          <cell r="F336" t="str">
            <v>PC</v>
          </cell>
          <cell r="G336" t="str">
            <v>1</v>
          </cell>
          <cell r="H336" t="str">
            <v>INDUSTRY</v>
          </cell>
          <cell r="I336" t="str">
            <v>11</v>
          </cell>
          <cell r="J336" t="str">
            <v>WOOD COATINGS</v>
          </cell>
          <cell r="K336" t="str">
            <v>1118</v>
          </cell>
          <cell r="L336" t="str">
            <v>COMPLEMENTARY</v>
          </cell>
          <cell r="M336" t="str">
            <v>111807</v>
          </cell>
          <cell r="N336" t="str">
            <v>PASTA</v>
          </cell>
        </row>
        <row r="337">
          <cell r="C337" t="str">
            <v>100000335</v>
          </cell>
          <cell r="D337" t="str">
            <v>PCWB-31600 WHITE PASTE-4K</v>
          </cell>
          <cell r="E337" t="str">
            <v>ZFGD</v>
          </cell>
          <cell r="F337" t="str">
            <v>PC</v>
          </cell>
          <cell r="G337" t="str">
            <v>1</v>
          </cell>
          <cell r="H337" t="str">
            <v>INDUSTRY</v>
          </cell>
          <cell r="I337" t="str">
            <v>11</v>
          </cell>
          <cell r="J337" t="str">
            <v>WOOD COATINGS</v>
          </cell>
          <cell r="K337" t="str">
            <v>1118</v>
          </cell>
          <cell r="L337" t="str">
            <v>COMPLEMENTARY</v>
          </cell>
          <cell r="M337" t="str">
            <v>111807</v>
          </cell>
          <cell r="N337" t="str">
            <v>PASTA</v>
          </cell>
        </row>
        <row r="338">
          <cell r="C338" t="str">
            <v>100000336</v>
          </cell>
          <cell r="D338" t="str">
            <v>PCWB-31600 WHITE PASTE-25KP</v>
          </cell>
          <cell r="E338" t="str">
            <v>ZFGD</v>
          </cell>
          <cell r="F338" t="str">
            <v>PC</v>
          </cell>
          <cell r="G338" t="str">
            <v>1</v>
          </cell>
          <cell r="H338" t="str">
            <v>INDUSTRY</v>
          </cell>
          <cell r="I338" t="str">
            <v>11</v>
          </cell>
          <cell r="J338" t="str">
            <v>WOOD COATINGS</v>
          </cell>
          <cell r="K338" t="str">
            <v>1118</v>
          </cell>
          <cell r="L338" t="str">
            <v>COMPLEMENTARY</v>
          </cell>
          <cell r="M338" t="str">
            <v>111807</v>
          </cell>
          <cell r="N338" t="str">
            <v>PASTA</v>
          </cell>
        </row>
        <row r="339">
          <cell r="C339" t="str">
            <v>100000337</v>
          </cell>
          <cell r="D339" t="str">
            <v>PCWB-31600 YELLOW AR PASTE-4K</v>
          </cell>
          <cell r="E339" t="str">
            <v>ZFGD</v>
          </cell>
          <cell r="F339" t="str">
            <v>PC</v>
          </cell>
          <cell r="G339" t="str">
            <v>1</v>
          </cell>
          <cell r="H339" t="str">
            <v>INDUSTRY</v>
          </cell>
          <cell r="I339" t="str">
            <v>11</v>
          </cell>
          <cell r="J339" t="str">
            <v>WOOD COATINGS</v>
          </cell>
          <cell r="K339" t="str">
            <v>1118</v>
          </cell>
          <cell r="L339" t="str">
            <v>COMPLEMENTARY</v>
          </cell>
          <cell r="M339" t="str">
            <v>111807</v>
          </cell>
          <cell r="N339" t="str">
            <v>PASTA</v>
          </cell>
        </row>
        <row r="340">
          <cell r="C340" t="str">
            <v>100000338</v>
          </cell>
          <cell r="D340" t="str">
            <v>PCWB-31601 BLACK OB PASTE-4K</v>
          </cell>
          <cell r="E340" t="str">
            <v>ZFGD</v>
          </cell>
          <cell r="F340" t="str">
            <v>PC</v>
          </cell>
          <cell r="G340" t="str">
            <v>1</v>
          </cell>
          <cell r="H340" t="str">
            <v>INDUSTRY</v>
          </cell>
          <cell r="I340" t="str">
            <v>11</v>
          </cell>
          <cell r="J340" t="str">
            <v>WOOD COATINGS</v>
          </cell>
          <cell r="K340" t="str">
            <v>1118</v>
          </cell>
          <cell r="L340" t="str">
            <v>COMPLEMENTARY</v>
          </cell>
          <cell r="M340" t="str">
            <v>111807</v>
          </cell>
          <cell r="N340" t="str">
            <v>PASTA</v>
          </cell>
        </row>
        <row r="341">
          <cell r="C341" t="str">
            <v>100000339</v>
          </cell>
          <cell r="D341" t="str">
            <v>PCWB-31601 RED OB EB PASTE-4K</v>
          </cell>
          <cell r="E341" t="str">
            <v>ZFGD</v>
          </cell>
          <cell r="F341" t="str">
            <v>PC</v>
          </cell>
          <cell r="G341" t="str">
            <v>1</v>
          </cell>
          <cell r="H341" t="str">
            <v>INDUSTRY</v>
          </cell>
          <cell r="I341" t="str">
            <v>11</v>
          </cell>
          <cell r="J341" t="str">
            <v>WOOD COATINGS</v>
          </cell>
          <cell r="K341" t="str">
            <v>1118</v>
          </cell>
          <cell r="L341" t="str">
            <v>COMPLEMENTARY</v>
          </cell>
          <cell r="M341" t="str">
            <v>111807</v>
          </cell>
          <cell r="N341" t="str">
            <v>PASTA</v>
          </cell>
        </row>
        <row r="342">
          <cell r="C342" t="str">
            <v>100000340</v>
          </cell>
          <cell r="D342" t="str">
            <v>PCWB-31601 TRANS OXIDE RED PASTE-4K</v>
          </cell>
          <cell r="E342" t="str">
            <v>ZFGD</v>
          </cell>
          <cell r="F342" t="str">
            <v>PC</v>
          </cell>
          <cell r="G342" t="str">
            <v>1</v>
          </cell>
          <cell r="H342" t="str">
            <v>INDUSTRY</v>
          </cell>
          <cell r="I342" t="str">
            <v>11</v>
          </cell>
          <cell r="J342" t="str">
            <v>WOOD COATINGS</v>
          </cell>
          <cell r="K342" t="str">
            <v>1118</v>
          </cell>
          <cell r="L342" t="str">
            <v>COMPLEMENTARY</v>
          </cell>
          <cell r="M342" t="str">
            <v>111807</v>
          </cell>
          <cell r="N342" t="str">
            <v>PASTA</v>
          </cell>
        </row>
        <row r="343">
          <cell r="C343" t="str">
            <v>100000341</v>
          </cell>
          <cell r="D343" t="str">
            <v>PCWB-31601 YELLOW 100 OR PASTE-4K</v>
          </cell>
          <cell r="E343" t="str">
            <v>ZFGD</v>
          </cell>
          <cell r="F343" t="str">
            <v>PC</v>
          </cell>
          <cell r="G343" t="str">
            <v>1</v>
          </cell>
          <cell r="H343" t="str">
            <v>INDUSTRY</v>
          </cell>
          <cell r="I343" t="str">
            <v>11</v>
          </cell>
          <cell r="J343" t="str">
            <v>WOOD COATINGS</v>
          </cell>
          <cell r="K343" t="str">
            <v>1118</v>
          </cell>
          <cell r="L343" t="str">
            <v>COMPLEMENTARY</v>
          </cell>
          <cell r="M343" t="str">
            <v>111807</v>
          </cell>
          <cell r="N343" t="str">
            <v>PASTA</v>
          </cell>
        </row>
        <row r="344">
          <cell r="C344" t="str">
            <v>100000342</v>
          </cell>
          <cell r="D344" t="str">
            <v>PG-13900 058 F1 VN-20KP</v>
          </cell>
          <cell r="E344" t="str">
            <v>ZFGD</v>
          </cell>
          <cell r="F344" t="str">
            <v>PC</v>
          </cell>
          <cell r="G344" t="str">
            <v>1</v>
          </cell>
          <cell r="H344" t="str">
            <v>INDUSTRY</v>
          </cell>
          <cell r="I344" t="str">
            <v>11</v>
          </cell>
          <cell r="J344" t="str">
            <v>WOOD COATINGS</v>
          </cell>
          <cell r="K344" t="str">
            <v>1109</v>
          </cell>
          <cell r="L344" t="str">
            <v>STAIN &amp; GLAZE INTERIOR</v>
          </cell>
          <cell r="M344" t="str">
            <v>110901</v>
          </cell>
          <cell r="N344" t="str">
            <v>ASOF : STAIN &amp; GLAZE</v>
          </cell>
        </row>
        <row r="345">
          <cell r="C345" t="str">
            <v>100000343</v>
          </cell>
          <cell r="D345" t="str">
            <v>PG-13900 063 F1 VN-20KP</v>
          </cell>
          <cell r="E345" t="str">
            <v>ZFGD</v>
          </cell>
          <cell r="F345" t="str">
            <v>PC</v>
          </cell>
          <cell r="G345" t="str">
            <v>1</v>
          </cell>
          <cell r="H345" t="str">
            <v>INDUSTRY</v>
          </cell>
          <cell r="I345" t="str">
            <v>11</v>
          </cell>
          <cell r="J345" t="str">
            <v>WOOD COATINGS</v>
          </cell>
          <cell r="K345" t="str">
            <v>1109</v>
          </cell>
          <cell r="L345" t="str">
            <v>STAIN &amp; GLAZE INTERIOR</v>
          </cell>
          <cell r="M345" t="str">
            <v>110901</v>
          </cell>
          <cell r="N345" t="str">
            <v>ASOF : STAIN &amp; GLAZE</v>
          </cell>
        </row>
        <row r="346">
          <cell r="C346" t="str">
            <v>100000344</v>
          </cell>
          <cell r="D346" t="str">
            <v>PG-13900 105A F1 VN-20KP</v>
          </cell>
          <cell r="E346" t="str">
            <v>ZFGD</v>
          </cell>
          <cell r="F346" t="str">
            <v>PC</v>
          </cell>
          <cell r="G346" t="str">
            <v>1</v>
          </cell>
          <cell r="H346" t="str">
            <v>INDUSTRY</v>
          </cell>
          <cell r="I346" t="str">
            <v>11</v>
          </cell>
          <cell r="J346" t="str">
            <v>WOOD COATINGS</v>
          </cell>
          <cell r="K346" t="str">
            <v>1109</v>
          </cell>
          <cell r="L346" t="str">
            <v>STAIN &amp; GLAZE INTERIOR</v>
          </cell>
          <cell r="M346" t="str">
            <v>110901</v>
          </cell>
          <cell r="N346" t="str">
            <v>ASOF : STAIN &amp; GLAZE</v>
          </cell>
        </row>
        <row r="347">
          <cell r="C347" t="str">
            <v>100000345</v>
          </cell>
          <cell r="D347" t="str">
            <v>PG-13900 156 NEW F1 VN-20KP</v>
          </cell>
          <cell r="E347" t="str">
            <v>ZFGD</v>
          </cell>
          <cell r="F347" t="str">
            <v>PC</v>
          </cell>
          <cell r="G347" t="str">
            <v>1</v>
          </cell>
          <cell r="H347" t="str">
            <v>INDUSTRY</v>
          </cell>
          <cell r="I347" t="str">
            <v>11</v>
          </cell>
          <cell r="J347" t="str">
            <v>WOOD COATINGS</v>
          </cell>
          <cell r="K347" t="str">
            <v>1109</v>
          </cell>
          <cell r="L347" t="str">
            <v>STAIN &amp; GLAZE INTERIOR</v>
          </cell>
          <cell r="M347" t="str">
            <v>110901</v>
          </cell>
          <cell r="N347" t="str">
            <v>ASOF : STAIN &amp; GLAZE</v>
          </cell>
        </row>
        <row r="348">
          <cell r="C348" t="str">
            <v>100000346</v>
          </cell>
          <cell r="D348" t="str">
            <v>PG-13900 42 A F1 VN-20KP</v>
          </cell>
          <cell r="E348" t="str">
            <v>ZFGD</v>
          </cell>
          <cell r="F348" t="str">
            <v>PC</v>
          </cell>
          <cell r="G348" t="str">
            <v>1</v>
          </cell>
          <cell r="H348" t="str">
            <v>INDUSTRY</v>
          </cell>
          <cell r="I348" t="str">
            <v>11</v>
          </cell>
          <cell r="J348" t="str">
            <v>WOOD COATINGS</v>
          </cell>
          <cell r="K348" t="str">
            <v>1109</v>
          </cell>
          <cell r="L348" t="str">
            <v>STAIN &amp; GLAZE INTERIOR</v>
          </cell>
          <cell r="M348" t="str">
            <v>110901</v>
          </cell>
          <cell r="N348" t="str">
            <v>ASOF : STAIN &amp; GLAZE</v>
          </cell>
        </row>
        <row r="349">
          <cell r="C349" t="str">
            <v>100000347</v>
          </cell>
          <cell r="D349" t="str">
            <v>PG-13900 11 AH VN-20KP</v>
          </cell>
          <cell r="E349" t="str">
            <v>ZFGD</v>
          </cell>
          <cell r="F349" t="str">
            <v>PC</v>
          </cell>
          <cell r="G349" t="str">
            <v>1</v>
          </cell>
          <cell r="H349" t="str">
            <v>INDUSTRY</v>
          </cell>
          <cell r="I349" t="str">
            <v>11</v>
          </cell>
          <cell r="J349" t="str">
            <v>WOOD COATINGS</v>
          </cell>
          <cell r="K349" t="str">
            <v>1109</v>
          </cell>
          <cell r="L349" t="str">
            <v>STAIN &amp; GLAZE INTERIOR</v>
          </cell>
          <cell r="M349" t="str">
            <v>110901</v>
          </cell>
          <cell r="N349" t="str">
            <v>ASOF : STAIN &amp; GLAZE</v>
          </cell>
        </row>
        <row r="350">
          <cell r="C350" t="str">
            <v>100000348</v>
          </cell>
          <cell r="D350" t="str">
            <v>PG-13900 BDF4 BROWN HS VN-20KP</v>
          </cell>
          <cell r="E350" t="str">
            <v>ZFGD</v>
          </cell>
          <cell r="F350" t="str">
            <v>PC</v>
          </cell>
          <cell r="G350" t="str">
            <v>1</v>
          </cell>
          <cell r="H350" t="str">
            <v>INDUSTRY</v>
          </cell>
          <cell r="I350" t="str">
            <v>11</v>
          </cell>
          <cell r="J350" t="str">
            <v>WOOD COATINGS</v>
          </cell>
          <cell r="K350" t="str">
            <v>1109</v>
          </cell>
          <cell r="L350" t="str">
            <v>STAIN &amp; GLAZE INTERIOR</v>
          </cell>
          <cell r="M350" t="str">
            <v>110901</v>
          </cell>
          <cell r="N350" t="str">
            <v>ASOF : STAIN &amp; GLAZE</v>
          </cell>
        </row>
        <row r="351">
          <cell r="C351" t="str">
            <v>100000349</v>
          </cell>
          <cell r="D351" t="str">
            <v>PG-13900 CC DN VN-20KP</v>
          </cell>
          <cell r="E351" t="str">
            <v>ZFGD</v>
          </cell>
          <cell r="F351" t="str">
            <v>PC</v>
          </cell>
          <cell r="G351" t="str">
            <v>1</v>
          </cell>
          <cell r="H351" t="str">
            <v>INDUSTRY</v>
          </cell>
          <cell r="I351" t="str">
            <v>11</v>
          </cell>
          <cell r="J351" t="str">
            <v>WOOD COATINGS</v>
          </cell>
          <cell r="K351" t="str">
            <v>1109</v>
          </cell>
          <cell r="L351" t="str">
            <v>STAIN &amp; GLAZE INTERIOR</v>
          </cell>
          <cell r="M351" t="str">
            <v>110901</v>
          </cell>
          <cell r="N351" t="str">
            <v>ASOF : STAIN &amp; GLAZE</v>
          </cell>
        </row>
        <row r="352">
          <cell r="C352" t="str">
            <v>100000350</v>
          </cell>
          <cell r="D352" t="str">
            <v>PG-13900 DS 04 B VN-20KP</v>
          </cell>
          <cell r="E352" t="str">
            <v>ZFGD</v>
          </cell>
          <cell r="F352" t="str">
            <v>PC</v>
          </cell>
          <cell r="G352" t="str">
            <v>1</v>
          </cell>
          <cell r="H352" t="str">
            <v>INDUSTRY</v>
          </cell>
          <cell r="I352" t="str">
            <v>11</v>
          </cell>
          <cell r="J352" t="str">
            <v>WOOD COATINGS</v>
          </cell>
          <cell r="K352" t="str">
            <v>1109</v>
          </cell>
          <cell r="L352" t="str">
            <v>STAIN &amp; GLAZE INTERIOR</v>
          </cell>
          <cell r="M352" t="str">
            <v>110901</v>
          </cell>
          <cell r="N352" t="str">
            <v>ASOF : STAIN &amp; GLAZE</v>
          </cell>
        </row>
        <row r="353">
          <cell r="C353" t="str">
            <v>100000351</v>
          </cell>
          <cell r="D353" t="str">
            <v>PG-13900 HAMBER F1 VN-20KP</v>
          </cell>
          <cell r="E353" t="str">
            <v>ZFGD</v>
          </cell>
          <cell r="F353" t="str">
            <v>PC</v>
          </cell>
          <cell r="G353" t="str">
            <v>1</v>
          </cell>
          <cell r="H353" t="str">
            <v>INDUSTRY</v>
          </cell>
          <cell r="I353" t="str">
            <v>11</v>
          </cell>
          <cell r="J353" t="str">
            <v>WOOD COATINGS</v>
          </cell>
          <cell r="K353" t="str">
            <v>1109</v>
          </cell>
          <cell r="L353" t="str">
            <v>STAIN &amp; GLAZE INTERIOR</v>
          </cell>
          <cell r="M353" t="str">
            <v>110901</v>
          </cell>
          <cell r="N353" t="str">
            <v>ASOF : STAIN &amp; GLAZE</v>
          </cell>
        </row>
        <row r="354">
          <cell r="C354" t="str">
            <v>100000352</v>
          </cell>
          <cell r="D354" t="str">
            <v>PG-13900 VTB 01 F1 VN-20KP</v>
          </cell>
          <cell r="E354" t="str">
            <v>ZFGD</v>
          </cell>
          <cell r="F354" t="str">
            <v>PC</v>
          </cell>
          <cell r="G354" t="str">
            <v>1</v>
          </cell>
          <cell r="H354" t="str">
            <v>INDUSTRY</v>
          </cell>
          <cell r="I354" t="str">
            <v>11</v>
          </cell>
          <cell r="J354" t="str">
            <v>WOOD COATINGS</v>
          </cell>
          <cell r="K354" t="str">
            <v>1109</v>
          </cell>
          <cell r="L354" t="str">
            <v>STAIN &amp; GLAZE INTERIOR</v>
          </cell>
          <cell r="M354" t="str">
            <v>110901</v>
          </cell>
          <cell r="N354" t="str">
            <v>ASOF : STAIN &amp; GLAZE</v>
          </cell>
        </row>
        <row r="355">
          <cell r="C355" t="str">
            <v>100000353</v>
          </cell>
          <cell r="D355" t="str">
            <v>PG-13900 VTB 02 F1 VN-20KP</v>
          </cell>
          <cell r="E355" t="str">
            <v>ZFGD</v>
          </cell>
          <cell r="F355" t="str">
            <v>PC</v>
          </cell>
          <cell r="G355" t="str">
            <v>1</v>
          </cell>
          <cell r="H355" t="str">
            <v>INDUSTRY</v>
          </cell>
          <cell r="I355" t="str">
            <v>11</v>
          </cell>
          <cell r="J355" t="str">
            <v>WOOD COATINGS</v>
          </cell>
          <cell r="K355" t="str">
            <v>1109</v>
          </cell>
          <cell r="L355" t="str">
            <v>STAIN &amp; GLAZE INTERIOR</v>
          </cell>
          <cell r="M355" t="str">
            <v>110901</v>
          </cell>
          <cell r="N355" t="str">
            <v>ASOF : STAIN &amp; GLAZE</v>
          </cell>
        </row>
        <row r="356">
          <cell r="C356" t="str">
            <v>100000354</v>
          </cell>
          <cell r="D356" t="str">
            <v>PG-13900 WD3 IF VN-20KP</v>
          </cell>
          <cell r="E356" t="str">
            <v>ZFGD</v>
          </cell>
          <cell r="F356" t="str">
            <v>PC</v>
          </cell>
          <cell r="G356" t="str">
            <v>1</v>
          </cell>
          <cell r="H356" t="str">
            <v>INDUSTRY</v>
          </cell>
          <cell r="I356" t="str">
            <v>11</v>
          </cell>
          <cell r="J356" t="str">
            <v>WOOD COATINGS</v>
          </cell>
          <cell r="K356" t="str">
            <v>1109</v>
          </cell>
          <cell r="L356" t="str">
            <v>STAIN &amp; GLAZE INTERIOR</v>
          </cell>
          <cell r="M356" t="str">
            <v>110901</v>
          </cell>
          <cell r="N356" t="str">
            <v>ASOF : STAIN &amp; GLAZE</v>
          </cell>
        </row>
        <row r="357">
          <cell r="C357" t="str">
            <v>100000355</v>
          </cell>
          <cell r="D357" t="str">
            <v>PG-13900 WHITE 01 VN-20KP</v>
          </cell>
          <cell r="E357" t="str">
            <v>ZFGD</v>
          </cell>
          <cell r="F357" t="str">
            <v>PC</v>
          </cell>
          <cell r="G357" t="str">
            <v>1</v>
          </cell>
          <cell r="H357" t="str">
            <v>INDUSTRY</v>
          </cell>
          <cell r="I357" t="str">
            <v>11</v>
          </cell>
          <cell r="J357" t="str">
            <v>WOOD COATINGS</v>
          </cell>
          <cell r="K357" t="str">
            <v>1109</v>
          </cell>
          <cell r="L357" t="str">
            <v>STAIN &amp; GLAZE INTERIOR</v>
          </cell>
          <cell r="M357" t="str">
            <v>110901</v>
          </cell>
          <cell r="N357" t="str">
            <v>ASOF : STAIN &amp; GLAZE</v>
          </cell>
        </row>
        <row r="358">
          <cell r="C358" t="str">
            <v>100000356</v>
          </cell>
          <cell r="D358" t="str">
            <v>PG-13900 WHITE VN-20KP</v>
          </cell>
          <cell r="E358" t="str">
            <v>ZFGD</v>
          </cell>
          <cell r="F358" t="str">
            <v>PC</v>
          </cell>
          <cell r="G358" t="str">
            <v>1</v>
          </cell>
          <cell r="H358" t="str">
            <v>INDUSTRY</v>
          </cell>
          <cell r="I358" t="str">
            <v>11</v>
          </cell>
          <cell r="J358" t="str">
            <v>WOOD COATINGS</v>
          </cell>
          <cell r="K358" t="str">
            <v>1109</v>
          </cell>
          <cell r="L358" t="str">
            <v>STAIN &amp; GLAZE INTERIOR</v>
          </cell>
          <cell r="M358" t="str">
            <v>110901</v>
          </cell>
          <cell r="N358" t="str">
            <v>ASOF : STAIN &amp; GLAZE</v>
          </cell>
        </row>
        <row r="359">
          <cell r="C359" t="str">
            <v>100000357</v>
          </cell>
          <cell r="D359" t="str">
            <v>PLC-12100 BLACK SPE VN-4K</v>
          </cell>
          <cell r="E359" t="str">
            <v>ZFGD</v>
          </cell>
          <cell r="F359" t="str">
            <v>PC</v>
          </cell>
          <cell r="G359" t="str">
            <v>1</v>
          </cell>
          <cell r="H359" t="str">
            <v>INDUSTRY</v>
          </cell>
          <cell r="I359" t="str">
            <v>13</v>
          </cell>
          <cell r="J359" t="str">
            <v>PLASTIC COATINGS</v>
          </cell>
          <cell r="K359" t="str">
            <v>1301</v>
          </cell>
          <cell r="L359" t="str">
            <v>PLASTIC COATINGS</v>
          </cell>
          <cell r="M359" t="str">
            <v>130101</v>
          </cell>
          <cell r="N359" t="str">
            <v>PLASTIC COATINGS</v>
          </cell>
        </row>
        <row r="360">
          <cell r="C360" t="str">
            <v>100000358</v>
          </cell>
          <cell r="D360" t="str">
            <v>PLC-12106 SUPER SI T1 MA 001 VN-18KP</v>
          </cell>
          <cell r="E360" t="str">
            <v>ZFGD</v>
          </cell>
          <cell r="F360" t="str">
            <v>PC</v>
          </cell>
          <cell r="G360" t="str">
            <v>1</v>
          </cell>
          <cell r="H360" t="str">
            <v>INDUSTRY</v>
          </cell>
          <cell r="I360" t="str">
            <v>13</v>
          </cell>
          <cell r="J360" t="str">
            <v>PLASTIC COATINGS</v>
          </cell>
          <cell r="K360" t="str">
            <v>1301</v>
          </cell>
          <cell r="L360" t="str">
            <v>PLASTIC COATINGS</v>
          </cell>
          <cell r="M360" t="str">
            <v>130101</v>
          </cell>
          <cell r="N360" t="str">
            <v>PLASTIC COATINGS</v>
          </cell>
        </row>
        <row r="361">
          <cell r="C361" t="str">
            <v>100000359</v>
          </cell>
          <cell r="D361" t="str">
            <v>PRDC-21401 BLUE DL VN-20KP</v>
          </cell>
          <cell r="E361" t="str">
            <v>ZFGD</v>
          </cell>
          <cell r="F361" t="str">
            <v>PC</v>
          </cell>
          <cell r="G361" t="str">
            <v>1</v>
          </cell>
          <cell r="H361" t="str">
            <v>INDUSTRY</v>
          </cell>
          <cell r="I361" t="str">
            <v>16</v>
          </cell>
          <cell r="J361" t="str">
            <v>METAL COATINGS</v>
          </cell>
          <cell r="K361" t="str">
            <v>1601</v>
          </cell>
          <cell r="L361" t="str">
            <v>METAL COATINGS</v>
          </cell>
          <cell r="M361" t="str">
            <v>160102</v>
          </cell>
          <cell r="N361" t="str">
            <v>DRUM COATINGS</v>
          </cell>
        </row>
        <row r="362">
          <cell r="C362" t="str">
            <v>100000360</v>
          </cell>
          <cell r="D362" t="str">
            <v>PS-10300 RED OX-4K</v>
          </cell>
          <cell r="E362" t="str">
            <v>ZFGD</v>
          </cell>
          <cell r="F362" t="str">
            <v>PC</v>
          </cell>
          <cell r="G362" t="str">
            <v>1</v>
          </cell>
          <cell r="H362" t="str">
            <v>INDUSTRY</v>
          </cell>
          <cell r="I362" t="str">
            <v>11</v>
          </cell>
          <cell r="J362" t="str">
            <v>WOOD COATINGS</v>
          </cell>
          <cell r="K362" t="str">
            <v>1109</v>
          </cell>
          <cell r="L362" t="str">
            <v>STAIN &amp; GLAZE INTERIOR</v>
          </cell>
          <cell r="M362" t="str">
            <v>110901</v>
          </cell>
          <cell r="N362" t="str">
            <v>ASOF : STAIN &amp; GLAZE</v>
          </cell>
        </row>
        <row r="363">
          <cell r="C363" t="str">
            <v>100000361</v>
          </cell>
          <cell r="D363" t="str">
            <v>PS-15100 DASUNG TT VN-20LJ</v>
          </cell>
          <cell r="E363" t="str">
            <v>ZFGD</v>
          </cell>
          <cell r="F363" t="str">
            <v>PC</v>
          </cell>
          <cell r="G363" t="str">
            <v>1</v>
          </cell>
          <cell r="H363" t="str">
            <v>INDUSTRY</v>
          </cell>
          <cell r="I363" t="str">
            <v>11</v>
          </cell>
          <cell r="J363" t="str">
            <v>WOOD COATINGS</v>
          </cell>
          <cell r="K363" t="str">
            <v>1109</v>
          </cell>
          <cell r="L363" t="str">
            <v>STAIN &amp; GLAZE INTERIOR</v>
          </cell>
          <cell r="M363" t="str">
            <v>110901</v>
          </cell>
          <cell r="N363" t="str">
            <v>ASOF : STAIN &amp; GLAZE</v>
          </cell>
        </row>
        <row r="364">
          <cell r="C364" t="str">
            <v>100000362</v>
          </cell>
          <cell r="D364" t="str">
            <v>PST-12200 1K BASE VN-20LJ</v>
          </cell>
          <cell r="E364" t="str">
            <v>ZFGD</v>
          </cell>
          <cell r="F364" t="str">
            <v>PC</v>
          </cell>
          <cell r="G364" t="str">
            <v>1</v>
          </cell>
          <cell r="H364" t="str">
            <v>INDUSTRY</v>
          </cell>
          <cell r="I364" t="str">
            <v>11</v>
          </cell>
          <cell r="J364" t="str">
            <v>WOOD COATINGS</v>
          </cell>
          <cell r="K364" t="str">
            <v>1101</v>
          </cell>
          <cell r="L364" t="str">
            <v>ALKYD OIL</v>
          </cell>
          <cell r="M364" t="str">
            <v>110102</v>
          </cell>
          <cell r="N364" t="str">
            <v>STAIN EXTERIOR</v>
          </cell>
        </row>
        <row r="365">
          <cell r="C365" t="str">
            <v>100000363</v>
          </cell>
          <cell r="D365" t="str">
            <v>PST-12200 1K BROWN 01 SC VN-200LK</v>
          </cell>
          <cell r="E365" t="str">
            <v>ZFGD</v>
          </cell>
          <cell r="F365" t="str">
            <v>PC</v>
          </cell>
          <cell r="G365" t="str">
            <v>1</v>
          </cell>
          <cell r="H365" t="str">
            <v>INDUSTRY</v>
          </cell>
          <cell r="I365" t="str">
            <v>11</v>
          </cell>
          <cell r="J365" t="str">
            <v>WOOD COATINGS</v>
          </cell>
          <cell r="K365" t="str">
            <v>1101</v>
          </cell>
          <cell r="L365" t="str">
            <v>ALKYD OIL</v>
          </cell>
          <cell r="M365" t="str">
            <v>110102</v>
          </cell>
          <cell r="N365" t="str">
            <v>STAIN EXTERIOR</v>
          </cell>
        </row>
        <row r="366">
          <cell r="C366" t="str">
            <v>100000364</v>
          </cell>
          <cell r="D366" t="str">
            <v>PST-12200 1K YEL BALAU SC VN-200LK</v>
          </cell>
          <cell r="E366" t="str">
            <v>ZFGD</v>
          </cell>
          <cell r="F366" t="str">
            <v>PC</v>
          </cell>
          <cell r="G366" t="str">
            <v>1</v>
          </cell>
          <cell r="H366" t="str">
            <v>INDUSTRY</v>
          </cell>
          <cell r="I366" t="str">
            <v>11</v>
          </cell>
          <cell r="J366" t="str">
            <v>WOOD COATINGS</v>
          </cell>
          <cell r="K366" t="str">
            <v>1101</v>
          </cell>
          <cell r="L366" t="str">
            <v>ALKYD OIL</v>
          </cell>
          <cell r="M366" t="str">
            <v>110102</v>
          </cell>
          <cell r="N366" t="str">
            <v>STAIN EXTERIOR</v>
          </cell>
        </row>
        <row r="367">
          <cell r="C367" t="str">
            <v>100000365</v>
          </cell>
          <cell r="D367" t="str">
            <v>PST-12200 1K TEAK LOOK A F1 VN-20LJ</v>
          </cell>
          <cell r="E367" t="str">
            <v>ZFGD</v>
          </cell>
          <cell r="F367" t="str">
            <v>PC</v>
          </cell>
          <cell r="G367" t="str">
            <v>1</v>
          </cell>
          <cell r="H367" t="str">
            <v>INDUSTRY</v>
          </cell>
          <cell r="I367" t="str">
            <v>11</v>
          </cell>
          <cell r="J367" t="str">
            <v>WOOD COATINGS</v>
          </cell>
          <cell r="K367" t="str">
            <v>1101</v>
          </cell>
          <cell r="L367" t="str">
            <v>ALKYD OIL</v>
          </cell>
          <cell r="M367" t="str">
            <v>110102</v>
          </cell>
          <cell r="N367" t="str">
            <v>STAIN EXTERIOR</v>
          </cell>
        </row>
        <row r="368">
          <cell r="C368" t="str">
            <v>100000366</v>
          </cell>
          <cell r="D368" t="str">
            <v>PST-12200 1K TEAK LOOK F2 VN-20LJ</v>
          </cell>
          <cell r="E368" t="str">
            <v>ZFGD</v>
          </cell>
          <cell r="F368" t="str">
            <v>PC</v>
          </cell>
          <cell r="G368" t="str">
            <v>1</v>
          </cell>
          <cell r="H368" t="str">
            <v>INDUSTRY</v>
          </cell>
          <cell r="I368" t="str">
            <v>11</v>
          </cell>
          <cell r="J368" t="str">
            <v>WOOD COATINGS</v>
          </cell>
          <cell r="K368" t="str">
            <v>1101</v>
          </cell>
          <cell r="L368" t="str">
            <v>ALKYD OIL</v>
          </cell>
          <cell r="M368" t="str">
            <v>110102</v>
          </cell>
          <cell r="N368" t="str">
            <v>STAIN EXTERIOR</v>
          </cell>
        </row>
        <row r="369">
          <cell r="C369" t="str">
            <v>100000367</v>
          </cell>
          <cell r="D369" t="str">
            <v>PST-12200 1K TEG 15 F1 VN-20LJ</v>
          </cell>
          <cell r="E369" t="str">
            <v>ZFGD</v>
          </cell>
          <cell r="F369" t="str">
            <v>PC</v>
          </cell>
          <cell r="G369" t="str">
            <v>1</v>
          </cell>
          <cell r="H369" t="str">
            <v>INDUSTRY</v>
          </cell>
          <cell r="I369" t="str">
            <v>11</v>
          </cell>
          <cell r="J369" t="str">
            <v>WOOD COATINGS</v>
          </cell>
          <cell r="K369" t="str">
            <v>1101</v>
          </cell>
          <cell r="L369" t="str">
            <v>ALKYD OIL</v>
          </cell>
          <cell r="M369" t="str">
            <v>110102</v>
          </cell>
          <cell r="N369" t="str">
            <v>STAIN EXTERIOR</v>
          </cell>
        </row>
        <row r="370">
          <cell r="C370" t="str">
            <v>100000368</v>
          </cell>
          <cell r="D370" t="str">
            <v>PST-12200 2K TEAK SC VN-20LJ</v>
          </cell>
          <cell r="E370" t="str">
            <v>ZFGD</v>
          </cell>
          <cell r="F370" t="str">
            <v>PC</v>
          </cell>
          <cell r="G370" t="str">
            <v>1</v>
          </cell>
          <cell r="H370" t="str">
            <v>INDUSTRY</v>
          </cell>
          <cell r="I370" t="str">
            <v>11</v>
          </cell>
          <cell r="J370" t="str">
            <v>WOOD COATINGS</v>
          </cell>
          <cell r="K370" t="str">
            <v>1101</v>
          </cell>
          <cell r="L370" t="str">
            <v>ALKYD OIL</v>
          </cell>
          <cell r="M370" t="str">
            <v>110102</v>
          </cell>
          <cell r="N370" t="str">
            <v>STAIN EXTERIOR</v>
          </cell>
        </row>
        <row r="371">
          <cell r="C371" t="str">
            <v>100000369</v>
          </cell>
          <cell r="D371" t="str">
            <v>PST-12100 C10 BLUE-4K</v>
          </cell>
          <cell r="E371" t="str">
            <v>ZFGD</v>
          </cell>
          <cell r="F371" t="str">
            <v>PC</v>
          </cell>
          <cell r="G371" t="str">
            <v>1</v>
          </cell>
          <cell r="H371" t="str">
            <v>INDUSTRY</v>
          </cell>
          <cell r="I371" t="str">
            <v>11</v>
          </cell>
          <cell r="J371" t="str">
            <v>WOOD COATINGS</v>
          </cell>
          <cell r="K371" t="str">
            <v>1109</v>
          </cell>
          <cell r="L371" t="str">
            <v>STAIN &amp; GLAZE INTERIOR</v>
          </cell>
          <cell r="M371" t="str">
            <v>110903</v>
          </cell>
          <cell r="N371" t="str">
            <v>STAIN INTERIOR</v>
          </cell>
        </row>
        <row r="372">
          <cell r="C372" t="str">
            <v>100000370</v>
          </cell>
          <cell r="D372" t="str">
            <v>PST-12100 C10 RED-4K</v>
          </cell>
          <cell r="E372" t="str">
            <v>ZFGD</v>
          </cell>
          <cell r="F372" t="str">
            <v>PC</v>
          </cell>
          <cell r="G372" t="str">
            <v>1</v>
          </cell>
          <cell r="H372" t="str">
            <v>INDUSTRY</v>
          </cell>
          <cell r="I372" t="str">
            <v>11</v>
          </cell>
          <cell r="J372" t="str">
            <v>WOOD COATINGS</v>
          </cell>
          <cell r="K372" t="str">
            <v>1109</v>
          </cell>
          <cell r="L372" t="str">
            <v>STAIN &amp; GLAZE INTERIOR</v>
          </cell>
          <cell r="M372" t="str">
            <v>110903</v>
          </cell>
          <cell r="N372" t="str">
            <v>STAIN INTERIOR</v>
          </cell>
        </row>
        <row r="373">
          <cell r="C373" t="str">
            <v>100000371</v>
          </cell>
          <cell r="D373" t="str">
            <v>PST-12100 C10 YELLOW-4K</v>
          </cell>
          <cell r="E373" t="str">
            <v>ZFGD</v>
          </cell>
          <cell r="F373" t="str">
            <v>PC</v>
          </cell>
          <cell r="G373" t="str">
            <v>1</v>
          </cell>
          <cell r="H373" t="str">
            <v>INDUSTRY</v>
          </cell>
          <cell r="I373" t="str">
            <v>11</v>
          </cell>
          <cell r="J373" t="str">
            <v>WOOD COATINGS</v>
          </cell>
          <cell r="K373" t="str">
            <v>1109</v>
          </cell>
          <cell r="L373" t="str">
            <v>STAIN &amp; GLAZE INTERIOR</v>
          </cell>
          <cell r="M373" t="str">
            <v>110903</v>
          </cell>
          <cell r="N373" t="str">
            <v>STAIN INTERIOR</v>
          </cell>
        </row>
        <row r="374">
          <cell r="C374" t="str">
            <v>100000372</v>
          </cell>
          <cell r="D374" t="str">
            <v>PST-12100 C15 BLACK-4K</v>
          </cell>
          <cell r="E374" t="str">
            <v>ZFGD</v>
          </cell>
          <cell r="F374" t="str">
            <v>PC</v>
          </cell>
          <cell r="G374" t="str">
            <v>1</v>
          </cell>
          <cell r="H374" t="str">
            <v>INDUSTRY</v>
          </cell>
          <cell r="I374" t="str">
            <v>11</v>
          </cell>
          <cell r="J374" t="str">
            <v>WOOD COATINGS</v>
          </cell>
          <cell r="K374" t="str">
            <v>1109</v>
          </cell>
          <cell r="L374" t="str">
            <v>STAIN &amp; GLAZE INTERIOR</v>
          </cell>
          <cell r="M374" t="str">
            <v>110903</v>
          </cell>
          <cell r="N374" t="str">
            <v>STAIN INTERIOR</v>
          </cell>
        </row>
        <row r="375">
          <cell r="C375" t="str">
            <v>100000373</v>
          </cell>
          <cell r="D375" t="str">
            <v>PST-12100 C20 WHITE-4K</v>
          </cell>
          <cell r="E375" t="str">
            <v>ZFGD</v>
          </cell>
          <cell r="F375" t="str">
            <v>PC</v>
          </cell>
          <cell r="G375" t="str">
            <v>1</v>
          </cell>
          <cell r="H375" t="str">
            <v>INDUSTRY</v>
          </cell>
          <cell r="I375" t="str">
            <v>11</v>
          </cell>
          <cell r="J375" t="str">
            <v>WOOD COATINGS</v>
          </cell>
          <cell r="K375" t="str">
            <v>1109</v>
          </cell>
          <cell r="L375" t="str">
            <v>STAIN &amp; GLAZE INTERIOR</v>
          </cell>
          <cell r="M375" t="str">
            <v>110903</v>
          </cell>
          <cell r="N375" t="str">
            <v>STAIN INTERIOR</v>
          </cell>
        </row>
        <row r="376">
          <cell r="C376" t="str">
            <v>100000374</v>
          </cell>
          <cell r="D376" t="str">
            <v>PUC-52241 BLACK VT 05 TL VN-20KP</v>
          </cell>
          <cell r="E376" t="str">
            <v>ZFGD</v>
          </cell>
          <cell r="F376" t="str">
            <v>PC</v>
          </cell>
          <cell r="G376" t="str">
            <v>1</v>
          </cell>
          <cell r="H376" t="str">
            <v>INDUSTRY</v>
          </cell>
          <cell r="I376" t="str">
            <v>11</v>
          </cell>
          <cell r="J376" t="str">
            <v>WOOD COATINGS</v>
          </cell>
          <cell r="K376" t="str">
            <v>1103</v>
          </cell>
          <cell r="L376" t="str">
            <v>PU</v>
          </cell>
          <cell r="M376" t="str">
            <v>110319</v>
          </cell>
          <cell r="N376" t="str">
            <v>PU COLOR</v>
          </cell>
        </row>
        <row r="377">
          <cell r="C377" t="str">
            <v>100000375</v>
          </cell>
          <cell r="D377" t="str">
            <v>PUC-54205 AC WHITE 15 VN-20KP</v>
          </cell>
          <cell r="E377" t="str">
            <v>ZFGD</v>
          </cell>
          <cell r="F377" t="str">
            <v>PC</v>
          </cell>
          <cell r="G377" t="str">
            <v>1</v>
          </cell>
          <cell r="H377" t="str">
            <v>INDUSTRY</v>
          </cell>
          <cell r="I377" t="str">
            <v>11</v>
          </cell>
          <cell r="J377" t="str">
            <v>WOOD COATINGS</v>
          </cell>
          <cell r="K377" t="str">
            <v>1103</v>
          </cell>
          <cell r="L377" t="str">
            <v>PU</v>
          </cell>
          <cell r="M377" t="str">
            <v>110319</v>
          </cell>
          <cell r="N377" t="str">
            <v>PU COLOR</v>
          </cell>
        </row>
        <row r="378">
          <cell r="C378" t="str">
            <v>100000376</v>
          </cell>
          <cell r="D378" t="str">
            <v>PUC-54205 AC WHITE 90 VN-20KP</v>
          </cell>
          <cell r="E378" t="str">
            <v>ZFGD</v>
          </cell>
          <cell r="F378" t="str">
            <v>PC</v>
          </cell>
          <cell r="G378" t="str">
            <v>1</v>
          </cell>
          <cell r="H378" t="str">
            <v>INDUSTRY</v>
          </cell>
          <cell r="I378" t="str">
            <v>11</v>
          </cell>
          <cell r="J378" t="str">
            <v>WOOD COATINGS</v>
          </cell>
          <cell r="K378" t="str">
            <v>1103</v>
          </cell>
          <cell r="L378" t="str">
            <v>PU</v>
          </cell>
          <cell r="M378" t="str">
            <v>110319</v>
          </cell>
          <cell r="N378" t="str">
            <v>PU COLOR</v>
          </cell>
        </row>
        <row r="379">
          <cell r="C379" t="str">
            <v>100000377</v>
          </cell>
          <cell r="D379" t="str">
            <v>PUC-54205 AC 117 10 ML VN-20KP</v>
          </cell>
          <cell r="E379" t="str">
            <v>ZFGD</v>
          </cell>
          <cell r="F379" t="str">
            <v>PC</v>
          </cell>
          <cell r="G379" t="str">
            <v>1</v>
          </cell>
          <cell r="H379" t="str">
            <v>INDUSTRY</v>
          </cell>
          <cell r="I379" t="str">
            <v>11</v>
          </cell>
          <cell r="J379" t="str">
            <v>WOOD COATINGS</v>
          </cell>
          <cell r="K379" t="str">
            <v>1103</v>
          </cell>
          <cell r="L379" t="str">
            <v>PU</v>
          </cell>
          <cell r="M379" t="str">
            <v>110319</v>
          </cell>
          <cell r="N379" t="str">
            <v>PU COLOR</v>
          </cell>
        </row>
        <row r="380">
          <cell r="C380" t="str">
            <v>100000378</v>
          </cell>
          <cell r="D380" t="str">
            <v>PUC-54205 AC 127 10 ML VN-20KP</v>
          </cell>
          <cell r="E380" t="str">
            <v>ZFGD</v>
          </cell>
          <cell r="F380" t="str">
            <v>PC</v>
          </cell>
          <cell r="G380" t="str">
            <v>1</v>
          </cell>
          <cell r="H380" t="str">
            <v>INDUSTRY</v>
          </cell>
          <cell r="I380" t="str">
            <v>11</v>
          </cell>
          <cell r="J380" t="str">
            <v>WOOD COATINGS</v>
          </cell>
          <cell r="K380" t="str">
            <v>1103</v>
          </cell>
          <cell r="L380" t="str">
            <v>PU</v>
          </cell>
          <cell r="M380" t="str">
            <v>110319</v>
          </cell>
          <cell r="N380" t="str">
            <v>PU COLOR</v>
          </cell>
        </row>
        <row r="381">
          <cell r="C381" t="str">
            <v>100000379</v>
          </cell>
          <cell r="D381" t="str">
            <v>PUC-54205 AC 869 10 GE VN-20KP</v>
          </cell>
          <cell r="E381" t="str">
            <v>ZFGD</v>
          </cell>
          <cell r="F381" t="str">
            <v>PC</v>
          </cell>
          <cell r="G381" t="str">
            <v>1</v>
          </cell>
          <cell r="H381" t="str">
            <v>INDUSTRY</v>
          </cell>
          <cell r="I381" t="str">
            <v>11</v>
          </cell>
          <cell r="J381" t="str">
            <v>WOOD COATINGS</v>
          </cell>
          <cell r="K381" t="str">
            <v>1103</v>
          </cell>
          <cell r="L381" t="str">
            <v>PU</v>
          </cell>
          <cell r="M381" t="str">
            <v>110319</v>
          </cell>
          <cell r="N381" t="str">
            <v>PU COLOR</v>
          </cell>
        </row>
        <row r="382">
          <cell r="C382" t="str">
            <v>100000380</v>
          </cell>
          <cell r="D382" t="str">
            <v>PUC-54205 AC 32 50 AH VN-20KP</v>
          </cell>
          <cell r="E382" t="str">
            <v>ZFGD</v>
          </cell>
          <cell r="F382" t="str">
            <v>PC</v>
          </cell>
          <cell r="G382" t="str">
            <v>1</v>
          </cell>
          <cell r="H382" t="str">
            <v>INDUSTRY</v>
          </cell>
          <cell r="I382" t="str">
            <v>11</v>
          </cell>
          <cell r="J382" t="str">
            <v>WOOD COATINGS</v>
          </cell>
          <cell r="K382" t="str">
            <v>1103</v>
          </cell>
          <cell r="L382" t="str">
            <v>PU</v>
          </cell>
          <cell r="M382" t="str">
            <v>110319</v>
          </cell>
          <cell r="N382" t="str">
            <v>PU COLOR</v>
          </cell>
        </row>
        <row r="383">
          <cell r="C383" t="str">
            <v>100000381</v>
          </cell>
          <cell r="D383" t="str">
            <v>PUC-54205 AC B QUY NHON 50 IF VN-20KP</v>
          </cell>
          <cell r="E383" t="str">
            <v>ZFGD</v>
          </cell>
          <cell r="F383" t="str">
            <v>PC</v>
          </cell>
          <cell r="G383" t="str">
            <v>1</v>
          </cell>
          <cell r="H383" t="str">
            <v>INDUSTRY</v>
          </cell>
          <cell r="I383" t="str">
            <v>11</v>
          </cell>
          <cell r="J383" t="str">
            <v>WOOD COATINGS</v>
          </cell>
          <cell r="K383" t="str">
            <v>1103</v>
          </cell>
          <cell r="L383" t="str">
            <v>PU</v>
          </cell>
          <cell r="M383" t="str">
            <v>110319</v>
          </cell>
          <cell r="N383" t="str">
            <v>PU COLOR</v>
          </cell>
        </row>
        <row r="384">
          <cell r="C384" t="str">
            <v>100000382</v>
          </cell>
          <cell r="D384" t="str">
            <v>PUC-54205 AC BLUE 50 SA VN-20KP</v>
          </cell>
          <cell r="E384" t="str">
            <v>ZFGD</v>
          </cell>
          <cell r="F384" t="str">
            <v>PC</v>
          </cell>
          <cell r="G384" t="str">
            <v>1</v>
          </cell>
          <cell r="H384" t="str">
            <v>INDUSTRY</v>
          </cell>
          <cell r="I384" t="str">
            <v>11</v>
          </cell>
          <cell r="J384" t="str">
            <v>WOOD COATINGS</v>
          </cell>
          <cell r="K384" t="str">
            <v>1103</v>
          </cell>
          <cell r="L384" t="str">
            <v>PU</v>
          </cell>
          <cell r="M384" t="str">
            <v>110319</v>
          </cell>
          <cell r="N384" t="str">
            <v>PU COLOR</v>
          </cell>
        </row>
        <row r="385">
          <cell r="C385" t="str">
            <v>100000383</v>
          </cell>
          <cell r="D385" t="str">
            <v>PUC-54205 AC BLUE 05 MK VN-20KP</v>
          </cell>
          <cell r="E385" t="str">
            <v>ZFGD</v>
          </cell>
          <cell r="F385" t="str">
            <v>PC</v>
          </cell>
          <cell r="G385" t="str">
            <v>1</v>
          </cell>
          <cell r="H385" t="str">
            <v>INDUSTRY</v>
          </cell>
          <cell r="I385" t="str">
            <v>11</v>
          </cell>
          <cell r="J385" t="str">
            <v>WOOD COATINGS</v>
          </cell>
          <cell r="K385" t="str">
            <v>1103</v>
          </cell>
          <cell r="L385" t="str">
            <v>PU</v>
          </cell>
          <cell r="M385" t="str">
            <v>110319</v>
          </cell>
          <cell r="N385" t="str">
            <v>PU COLOR</v>
          </cell>
        </row>
        <row r="386">
          <cell r="C386" t="str">
            <v>100000384</v>
          </cell>
          <cell r="D386" t="str">
            <v>PUC-54205 AC BOWERY 40 GE VN-20KP</v>
          </cell>
          <cell r="E386" t="str">
            <v>ZFGD</v>
          </cell>
          <cell r="F386" t="str">
            <v>PC</v>
          </cell>
          <cell r="G386" t="str">
            <v>1</v>
          </cell>
          <cell r="H386" t="str">
            <v>INDUSTRY</v>
          </cell>
          <cell r="I386" t="str">
            <v>11</v>
          </cell>
          <cell r="J386" t="str">
            <v>WOOD COATINGS</v>
          </cell>
          <cell r="K386" t="str">
            <v>1103</v>
          </cell>
          <cell r="L386" t="str">
            <v>PU</v>
          </cell>
          <cell r="M386" t="str">
            <v>110319</v>
          </cell>
          <cell r="N386" t="str">
            <v>PU COLOR</v>
          </cell>
        </row>
        <row r="387">
          <cell r="C387" t="str">
            <v>100000385</v>
          </cell>
          <cell r="D387" t="str">
            <v>PUC-54205 AC BRIGHT WHI 25 KD VN-20KP</v>
          </cell>
          <cell r="E387" t="str">
            <v>ZFGD</v>
          </cell>
          <cell r="F387" t="str">
            <v>PC</v>
          </cell>
          <cell r="G387" t="str">
            <v>1</v>
          </cell>
          <cell r="H387" t="str">
            <v>INDUSTRY</v>
          </cell>
          <cell r="I387" t="str">
            <v>11</v>
          </cell>
          <cell r="J387" t="str">
            <v>WOOD COATINGS</v>
          </cell>
          <cell r="K387" t="str">
            <v>1103</v>
          </cell>
          <cell r="L387" t="str">
            <v>PU</v>
          </cell>
          <cell r="M387" t="str">
            <v>110319</v>
          </cell>
          <cell r="N387" t="str">
            <v>PU COLOR</v>
          </cell>
        </row>
        <row r="388">
          <cell r="C388" t="str">
            <v>100000386</v>
          </cell>
          <cell r="D388" t="str">
            <v>PUC-54205 AC CHALK 05 MK VN-20KP</v>
          </cell>
          <cell r="E388" t="str">
            <v>ZFGD</v>
          </cell>
          <cell r="F388" t="str">
            <v>PC</v>
          </cell>
          <cell r="G388" t="str">
            <v>1</v>
          </cell>
          <cell r="H388" t="str">
            <v>INDUSTRY</v>
          </cell>
          <cell r="I388" t="str">
            <v>11</v>
          </cell>
          <cell r="J388" t="str">
            <v>WOOD COATINGS</v>
          </cell>
          <cell r="K388" t="str">
            <v>1103</v>
          </cell>
          <cell r="L388" t="str">
            <v>PU</v>
          </cell>
          <cell r="M388" t="str">
            <v>110319</v>
          </cell>
          <cell r="N388" t="str">
            <v>PU COLOR</v>
          </cell>
        </row>
        <row r="389">
          <cell r="C389" t="str">
            <v>100000387</v>
          </cell>
          <cell r="D389" t="str">
            <v>PUC-54205 AC COLORODO 50 TD VN-20KP</v>
          </cell>
          <cell r="E389" t="str">
            <v>ZFGD</v>
          </cell>
          <cell r="F389" t="str">
            <v>PC</v>
          </cell>
          <cell r="G389" t="str">
            <v>1</v>
          </cell>
          <cell r="H389" t="str">
            <v>INDUSTRY</v>
          </cell>
          <cell r="I389" t="str">
            <v>11</v>
          </cell>
          <cell r="J389" t="str">
            <v>WOOD COATINGS</v>
          </cell>
          <cell r="K389" t="str">
            <v>1103</v>
          </cell>
          <cell r="L389" t="str">
            <v>PU</v>
          </cell>
          <cell r="M389" t="str">
            <v>110319</v>
          </cell>
          <cell r="N389" t="str">
            <v>PU COLOR</v>
          </cell>
        </row>
        <row r="390">
          <cell r="C390" t="str">
            <v>100000388</v>
          </cell>
          <cell r="D390" t="str">
            <v>PUC-54205 AC COMPACT 10 TT VN-20KP</v>
          </cell>
          <cell r="E390" t="str">
            <v>ZFGD</v>
          </cell>
          <cell r="F390" t="str">
            <v>PC</v>
          </cell>
          <cell r="G390" t="str">
            <v>1</v>
          </cell>
          <cell r="H390" t="str">
            <v>INDUSTRY</v>
          </cell>
          <cell r="I390" t="str">
            <v>11</v>
          </cell>
          <cell r="J390" t="str">
            <v>WOOD COATINGS</v>
          </cell>
          <cell r="K390" t="str">
            <v>1103</v>
          </cell>
          <cell r="L390" t="str">
            <v>PU</v>
          </cell>
          <cell r="M390" t="str">
            <v>110319</v>
          </cell>
          <cell r="N390" t="str">
            <v>PU COLOR</v>
          </cell>
        </row>
        <row r="391">
          <cell r="C391" t="str">
            <v>100000389</v>
          </cell>
          <cell r="D391" t="str">
            <v>PUC-54205 AC CREAM 01 05 MK VN-20KP</v>
          </cell>
          <cell r="E391" t="str">
            <v>ZFGD</v>
          </cell>
          <cell r="F391" t="str">
            <v>PC</v>
          </cell>
          <cell r="G391" t="str">
            <v>1</v>
          </cell>
          <cell r="H391" t="str">
            <v>INDUSTRY</v>
          </cell>
          <cell r="I391" t="str">
            <v>11</v>
          </cell>
          <cell r="J391" t="str">
            <v>WOOD COATINGS</v>
          </cell>
          <cell r="K391" t="str">
            <v>1103</v>
          </cell>
          <cell r="L391" t="str">
            <v>PU</v>
          </cell>
          <cell r="M391" t="str">
            <v>110319</v>
          </cell>
          <cell r="N391" t="str">
            <v>PU COLOR</v>
          </cell>
        </row>
        <row r="392">
          <cell r="C392" t="str">
            <v>100000390</v>
          </cell>
          <cell r="D392" t="str">
            <v>PUC-54205 AC CREAM 01 50 AH VN-20KP</v>
          </cell>
          <cell r="E392" t="str">
            <v>ZFGD</v>
          </cell>
          <cell r="F392" t="str">
            <v>PC</v>
          </cell>
          <cell r="G392" t="str">
            <v>1</v>
          </cell>
          <cell r="H392" t="str">
            <v>INDUSTRY</v>
          </cell>
          <cell r="I392" t="str">
            <v>11</v>
          </cell>
          <cell r="J392" t="str">
            <v>WOOD COATINGS</v>
          </cell>
          <cell r="K392" t="str">
            <v>1103</v>
          </cell>
          <cell r="L392" t="str">
            <v>PU</v>
          </cell>
          <cell r="M392" t="str">
            <v>110319</v>
          </cell>
          <cell r="N392" t="str">
            <v>PU COLOR</v>
          </cell>
        </row>
        <row r="393">
          <cell r="C393" t="str">
            <v>100000391</v>
          </cell>
          <cell r="D393" t="str">
            <v>PUC-54205 AC CREAM 03 50 AH VN-20KP</v>
          </cell>
          <cell r="E393" t="str">
            <v>ZFGD</v>
          </cell>
          <cell r="F393" t="str">
            <v>PC</v>
          </cell>
          <cell r="G393" t="str">
            <v>1</v>
          </cell>
          <cell r="H393" t="str">
            <v>INDUSTRY</v>
          </cell>
          <cell r="I393" t="str">
            <v>11</v>
          </cell>
          <cell r="J393" t="str">
            <v>WOOD COATINGS</v>
          </cell>
          <cell r="K393" t="str">
            <v>1103</v>
          </cell>
          <cell r="L393" t="str">
            <v>PU</v>
          </cell>
          <cell r="M393" t="str">
            <v>110319</v>
          </cell>
          <cell r="N393" t="str">
            <v>PU COLOR</v>
          </cell>
        </row>
        <row r="394">
          <cell r="C394" t="str">
            <v>100000392</v>
          </cell>
          <cell r="D394" t="str">
            <v>PUC-54205 AC CREAM 04 50 AH VN-20KP</v>
          </cell>
          <cell r="E394" t="str">
            <v>ZFGD</v>
          </cell>
          <cell r="F394" t="str">
            <v>PC</v>
          </cell>
          <cell r="G394" t="str">
            <v>1</v>
          </cell>
          <cell r="H394" t="str">
            <v>INDUSTRY</v>
          </cell>
          <cell r="I394" t="str">
            <v>11</v>
          </cell>
          <cell r="J394" t="str">
            <v>WOOD COATINGS</v>
          </cell>
          <cell r="K394" t="str">
            <v>1103</v>
          </cell>
          <cell r="L394" t="str">
            <v>PU</v>
          </cell>
          <cell r="M394" t="str">
            <v>110319</v>
          </cell>
          <cell r="N394" t="str">
            <v>PU COLOR</v>
          </cell>
        </row>
        <row r="395">
          <cell r="C395" t="str">
            <v>100000393</v>
          </cell>
          <cell r="D395" t="str">
            <v>PUC-54205 AC CREAM 20 LE VN-20KP</v>
          </cell>
          <cell r="E395" t="str">
            <v>ZFGD</v>
          </cell>
          <cell r="F395" t="str">
            <v>PC</v>
          </cell>
          <cell r="G395" t="str">
            <v>1</v>
          </cell>
          <cell r="H395" t="str">
            <v>INDUSTRY</v>
          </cell>
          <cell r="I395" t="str">
            <v>11</v>
          </cell>
          <cell r="J395" t="str">
            <v>WOOD COATINGS</v>
          </cell>
          <cell r="K395" t="str">
            <v>1103</v>
          </cell>
          <cell r="L395" t="str">
            <v>PU</v>
          </cell>
          <cell r="M395" t="str">
            <v>110319</v>
          </cell>
          <cell r="N395" t="str">
            <v>PU COLOR</v>
          </cell>
        </row>
        <row r="396">
          <cell r="C396" t="str">
            <v>100000394</v>
          </cell>
          <cell r="D396" t="str">
            <v>PUC-54205 AC CREAM P6 50 AH VN-20KP</v>
          </cell>
          <cell r="E396" t="str">
            <v>ZFGD</v>
          </cell>
          <cell r="F396" t="str">
            <v>PC</v>
          </cell>
          <cell r="G396" t="str">
            <v>1</v>
          </cell>
          <cell r="H396" t="str">
            <v>INDUSTRY</v>
          </cell>
          <cell r="I396" t="str">
            <v>11</v>
          </cell>
          <cell r="J396" t="str">
            <v>WOOD COATINGS</v>
          </cell>
          <cell r="K396" t="str">
            <v>1103</v>
          </cell>
          <cell r="L396" t="str">
            <v>PU</v>
          </cell>
          <cell r="M396" t="str">
            <v>110319</v>
          </cell>
          <cell r="N396" t="str">
            <v>PU COLOR</v>
          </cell>
        </row>
        <row r="397">
          <cell r="C397" t="str">
            <v>100000395</v>
          </cell>
          <cell r="D397" t="str">
            <v>PUC-54205 AC DONAMO 10 IF VN-20KP</v>
          </cell>
          <cell r="E397" t="str">
            <v>ZFGD</v>
          </cell>
          <cell r="F397" t="str">
            <v>PC</v>
          </cell>
          <cell r="G397" t="str">
            <v>1</v>
          </cell>
          <cell r="H397" t="str">
            <v>INDUSTRY</v>
          </cell>
          <cell r="I397" t="str">
            <v>11</v>
          </cell>
          <cell r="J397" t="str">
            <v>WOOD COATINGS</v>
          </cell>
          <cell r="K397" t="str">
            <v>1103</v>
          </cell>
          <cell r="L397" t="str">
            <v>PU</v>
          </cell>
          <cell r="M397" t="str">
            <v>110319</v>
          </cell>
          <cell r="N397" t="str">
            <v>PU COLOR</v>
          </cell>
        </row>
        <row r="398">
          <cell r="C398" t="str">
            <v>100000396</v>
          </cell>
          <cell r="D398" t="str">
            <v>PUC-54205 AC DS85 20 LM VN-20KP</v>
          </cell>
          <cell r="E398" t="str">
            <v>ZFGD</v>
          </cell>
          <cell r="F398" t="str">
            <v>PC</v>
          </cell>
          <cell r="G398" t="str">
            <v>1</v>
          </cell>
          <cell r="H398" t="str">
            <v>INDUSTRY</v>
          </cell>
          <cell r="I398" t="str">
            <v>11</v>
          </cell>
          <cell r="J398" t="str">
            <v>WOOD COATINGS</v>
          </cell>
          <cell r="K398" t="str">
            <v>1103</v>
          </cell>
          <cell r="L398" t="str">
            <v>PU</v>
          </cell>
          <cell r="M398" t="str">
            <v>110319</v>
          </cell>
          <cell r="N398" t="str">
            <v>PU COLOR</v>
          </cell>
        </row>
        <row r="399">
          <cell r="C399" t="str">
            <v>100000397</v>
          </cell>
          <cell r="D399" t="str">
            <v>PUC-54205 AC DS86 20 LM VN-20KP</v>
          </cell>
          <cell r="E399" t="str">
            <v>ZFGD</v>
          </cell>
          <cell r="F399" t="str">
            <v>PC</v>
          </cell>
          <cell r="G399" t="str">
            <v>1</v>
          </cell>
          <cell r="H399" t="str">
            <v>INDUSTRY</v>
          </cell>
          <cell r="I399" t="str">
            <v>11</v>
          </cell>
          <cell r="J399" t="str">
            <v>WOOD COATINGS</v>
          </cell>
          <cell r="K399" t="str">
            <v>1103</v>
          </cell>
          <cell r="L399" t="str">
            <v>PU</v>
          </cell>
          <cell r="M399" t="str">
            <v>110319</v>
          </cell>
          <cell r="N399" t="str">
            <v>PU COLOR</v>
          </cell>
        </row>
        <row r="400">
          <cell r="C400" t="str">
            <v>100000398</v>
          </cell>
          <cell r="D400" t="str">
            <v>PUC-54205 AC DUK 02 90 HS VN-20KP</v>
          </cell>
          <cell r="E400" t="str">
            <v>ZFGD</v>
          </cell>
          <cell r="F400" t="str">
            <v>PC</v>
          </cell>
          <cell r="G400" t="str">
            <v>1</v>
          </cell>
          <cell r="H400" t="str">
            <v>INDUSTRY</v>
          </cell>
          <cell r="I400" t="str">
            <v>11</v>
          </cell>
          <cell r="J400" t="str">
            <v>WOOD COATINGS</v>
          </cell>
          <cell r="K400" t="str">
            <v>1103</v>
          </cell>
          <cell r="L400" t="str">
            <v>PU</v>
          </cell>
          <cell r="M400" t="str">
            <v>110319</v>
          </cell>
          <cell r="N400" t="str">
            <v>PU COLOR</v>
          </cell>
        </row>
        <row r="401">
          <cell r="C401" t="str">
            <v>100000399</v>
          </cell>
          <cell r="D401" t="str">
            <v>PUC-54205 AC E101 A 20 LM VN-20KP</v>
          </cell>
          <cell r="E401" t="str">
            <v>ZFGD</v>
          </cell>
          <cell r="F401" t="str">
            <v>PC</v>
          </cell>
          <cell r="G401" t="str">
            <v>1</v>
          </cell>
          <cell r="H401" t="str">
            <v>INDUSTRY</v>
          </cell>
          <cell r="I401" t="str">
            <v>11</v>
          </cell>
          <cell r="J401" t="str">
            <v>WOOD COATINGS</v>
          </cell>
          <cell r="K401" t="str">
            <v>1103</v>
          </cell>
          <cell r="L401" t="str">
            <v>PU</v>
          </cell>
          <cell r="M401" t="str">
            <v>110319</v>
          </cell>
          <cell r="N401" t="str">
            <v>PU COLOR</v>
          </cell>
        </row>
        <row r="402">
          <cell r="C402" t="str">
            <v>100000400</v>
          </cell>
          <cell r="D402" t="str">
            <v>PUC-54205 AC E120 20 LM VN-20KP</v>
          </cell>
          <cell r="E402" t="str">
            <v>ZFGD</v>
          </cell>
          <cell r="F402" t="str">
            <v>PC</v>
          </cell>
          <cell r="G402" t="str">
            <v>1</v>
          </cell>
          <cell r="H402" t="str">
            <v>INDUSTRY</v>
          </cell>
          <cell r="I402" t="str">
            <v>11</v>
          </cell>
          <cell r="J402" t="str">
            <v>WOOD COATINGS</v>
          </cell>
          <cell r="K402" t="str">
            <v>1103</v>
          </cell>
          <cell r="L402" t="str">
            <v>PU</v>
          </cell>
          <cell r="M402" t="str">
            <v>110319</v>
          </cell>
          <cell r="N402" t="str">
            <v>PU COLOR</v>
          </cell>
        </row>
        <row r="403">
          <cell r="C403" t="str">
            <v>100000401</v>
          </cell>
          <cell r="D403" t="str">
            <v>PUC-54205 AC E125 20 LM VN-20KP</v>
          </cell>
          <cell r="E403" t="str">
            <v>ZFGD</v>
          </cell>
          <cell r="F403" t="str">
            <v>PC</v>
          </cell>
          <cell r="G403" t="str">
            <v>1</v>
          </cell>
          <cell r="H403" t="str">
            <v>INDUSTRY</v>
          </cell>
          <cell r="I403" t="str">
            <v>11</v>
          </cell>
          <cell r="J403" t="str">
            <v>WOOD COATINGS</v>
          </cell>
          <cell r="K403" t="str">
            <v>1103</v>
          </cell>
          <cell r="L403" t="str">
            <v>PU</v>
          </cell>
          <cell r="M403" t="str">
            <v>110319</v>
          </cell>
          <cell r="N403" t="str">
            <v>PU COLOR</v>
          </cell>
        </row>
        <row r="404">
          <cell r="C404" t="str">
            <v>100000402</v>
          </cell>
          <cell r="D404" t="str">
            <v>PUC-54205 AC E145 20LMVN-20KP</v>
          </cell>
          <cell r="E404" t="str">
            <v>ZFGD</v>
          </cell>
          <cell r="F404" t="str">
            <v>PC</v>
          </cell>
          <cell r="G404" t="str">
            <v>1</v>
          </cell>
          <cell r="H404" t="str">
            <v>INDUSTRY</v>
          </cell>
          <cell r="I404" t="str">
            <v>11</v>
          </cell>
          <cell r="J404" t="str">
            <v>WOOD COATINGS</v>
          </cell>
          <cell r="K404" t="str">
            <v>1103</v>
          </cell>
          <cell r="L404" t="str">
            <v>PU</v>
          </cell>
          <cell r="M404" t="str">
            <v>110319</v>
          </cell>
          <cell r="N404" t="str">
            <v>PU COLOR</v>
          </cell>
        </row>
        <row r="405">
          <cell r="C405" t="str">
            <v>100000403</v>
          </cell>
          <cell r="D405" t="str">
            <v>PUC-54205 AC EAGLE ROCK 60 KD VN-20KP</v>
          </cell>
          <cell r="E405" t="str">
            <v>ZFGD</v>
          </cell>
          <cell r="F405" t="str">
            <v>PC</v>
          </cell>
          <cell r="G405" t="str">
            <v>1</v>
          </cell>
          <cell r="H405" t="str">
            <v>INDUSTRY</v>
          </cell>
          <cell r="I405" t="str">
            <v>11</v>
          </cell>
          <cell r="J405" t="str">
            <v>WOOD COATINGS</v>
          </cell>
          <cell r="K405" t="str">
            <v>1103</v>
          </cell>
          <cell r="L405" t="str">
            <v>PU</v>
          </cell>
          <cell r="M405" t="str">
            <v>110319</v>
          </cell>
          <cell r="N405" t="str">
            <v>PU COLOR</v>
          </cell>
        </row>
        <row r="406">
          <cell r="C406" t="str">
            <v>100000404</v>
          </cell>
          <cell r="D406" t="str">
            <v>PUC-54205 AC ECRU 05 TT VN-20KP</v>
          </cell>
          <cell r="E406" t="str">
            <v>ZFGD</v>
          </cell>
          <cell r="F406" t="str">
            <v>PC</v>
          </cell>
          <cell r="G406" t="str">
            <v>1</v>
          </cell>
          <cell r="H406" t="str">
            <v>INDUSTRY</v>
          </cell>
          <cell r="I406" t="str">
            <v>11</v>
          </cell>
          <cell r="J406" t="str">
            <v>WOOD COATINGS</v>
          </cell>
          <cell r="K406" t="str">
            <v>1103</v>
          </cell>
          <cell r="L406" t="str">
            <v>PU</v>
          </cell>
          <cell r="M406" t="str">
            <v>110319</v>
          </cell>
          <cell r="N406" t="str">
            <v>PU COLOR</v>
          </cell>
        </row>
        <row r="407">
          <cell r="C407" t="str">
            <v>100000405</v>
          </cell>
          <cell r="D407" t="str">
            <v>PUC-54205 AC GREY 01 05 MK VN-20KP</v>
          </cell>
          <cell r="E407" t="str">
            <v>ZFGD</v>
          </cell>
          <cell r="F407" t="str">
            <v>PC</v>
          </cell>
          <cell r="G407" t="str">
            <v>1</v>
          </cell>
          <cell r="H407" t="str">
            <v>INDUSTRY</v>
          </cell>
          <cell r="I407" t="str">
            <v>11</v>
          </cell>
          <cell r="J407" t="str">
            <v>WOOD COATINGS</v>
          </cell>
          <cell r="K407" t="str">
            <v>1103</v>
          </cell>
          <cell r="L407" t="str">
            <v>PU</v>
          </cell>
          <cell r="M407" t="str">
            <v>110319</v>
          </cell>
          <cell r="N407" t="str">
            <v>PU COLOR</v>
          </cell>
        </row>
        <row r="408">
          <cell r="C408" t="str">
            <v>100000406</v>
          </cell>
          <cell r="D408" t="str">
            <v>PUC-54205 AC GREY 01 90 KD VN-20KP</v>
          </cell>
          <cell r="E408" t="str">
            <v>ZFGD</v>
          </cell>
          <cell r="F408" t="str">
            <v>PC</v>
          </cell>
          <cell r="G408" t="str">
            <v>1</v>
          </cell>
          <cell r="H408" t="str">
            <v>INDUSTRY</v>
          </cell>
          <cell r="I408" t="str">
            <v>11</v>
          </cell>
          <cell r="J408" t="str">
            <v>WOOD COATINGS</v>
          </cell>
          <cell r="K408" t="str">
            <v>1103</v>
          </cell>
          <cell r="L408" t="str">
            <v>PU</v>
          </cell>
          <cell r="M408" t="str">
            <v>110319</v>
          </cell>
          <cell r="N408" t="str">
            <v>PU COLOR</v>
          </cell>
        </row>
        <row r="409">
          <cell r="C409" t="str">
            <v>100000407</v>
          </cell>
          <cell r="D409" t="str">
            <v>PUC-54205 AC GREY 01 90 SI VN-20KP</v>
          </cell>
          <cell r="E409" t="str">
            <v>ZFGD</v>
          </cell>
          <cell r="F409" t="str">
            <v>PC</v>
          </cell>
          <cell r="G409" t="str">
            <v>1</v>
          </cell>
          <cell r="H409" t="str">
            <v>INDUSTRY</v>
          </cell>
          <cell r="I409" t="str">
            <v>11</v>
          </cell>
          <cell r="J409" t="str">
            <v>WOOD COATINGS</v>
          </cell>
          <cell r="K409" t="str">
            <v>1103</v>
          </cell>
          <cell r="L409" t="str">
            <v>PU</v>
          </cell>
          <cell r="M409" t="str">
            <v>110319</v>
          </cell>
          <cell r="N409" t="str">
            <v>PU COLOR</v>
          </cell>
        </row>
        <row r="410">
          <cell r="C410" t="str">
            <v>100000408</v>
          </cell>
          <cell r="D410" t="str">
            <v>PUC-54205 AC GREY 20 SR VN-20KP</v>
          </cell>
          <cell r="E410" t="str">
            <v>ZFGD</v>
          </cell>
          <cell r="F410" t="str">
            <v>PC</v>
          </cell>
          <cell r="G410" t="str">
            <v>1</v>
          </cell>
          <cell r="H410" t="str">
            <v>INDUSTRY</v>
          </cell>
          <cell r="I410" t="str">
            <v>11</v>
          </cell>
          <cell r="J410" t="str">
            <v>WOOD COATINGS</v>
          </cell>
          <cell r="K410" t="str">
            <v>1103</v>
          </cell>
          <cell r="L410" t="str">
            <v>PU</v>
          </cell>
          <cell r="M410" t="str">
            <v>110319</v>
          </cell>
          <cell r="N410" t="str">
            <v>PU COLOR</v>
          </cell>
        </row>
        <row r="411">
          <cell r="C411" t="str">
            <v>100000409</v>
          </cell>
          <cell r="D411" t="str">
            <v>PUC-54205 AC GREY 50 SR VN-20KP</v>
          </cell>
          <cell r="E411" t="str">
            <v>ZFGD</v>
          </cell>
          <cell r="F411" t="str">
            <v>PC</v>
          </cell>
          <cell r="G411" t="str">
            <v>1</v>
          </cell>
          <cell r="H411" t="str">
            <v>INDUSTRY</v>
          </cell>
          <cell r="I411" t="str">
            <v>11</v>
          </cell>
          <cell r="J411" t="str">
            <v>WOOD COATINGS</v>
          </cell>
          <cell r="K411" t="str">
            <v>1103</v>
          </cell>
          <cell r="L411" t="str">
            <v>PU</v>
          </cell>
          <cell r="M411" t="str">
            <v>110319</v>
          </cell>
          <cell r="N411" t="str">
            <v>PU COLOR</v>
          </cell>
        </row>
        <row r="412">
          <cell r="C412" t="str">
            <v>100000410</v>
          </cell>
          <cell r="D412" t="str">
            <v>PUC-54205 AC GREY 90 KD VN-20KP</v>
          </cell>
          <cell r="E412" t="str">
            <v>ZFGD</v>
          </cell>
          <cell r="F412" t="str">
            <v>PC</v>
          </cell>
          <cell r="G412" t="str">
            <v>1</v>
          </cell>
          <cell r="H412" t="str">
            <v>INDUSTRY</v>
          </cell>
          <cell r="I412" t="str">
            <v>11</v>
          </cell>
          <cell r="J412" t="str">
            <v>WOOD COATINGS</v>
          </cell>
          <cell r="K412" t="str">
            <v>1103</v>
          </cell>
          <cell r="L412" t="str">
            <v>PU</v>
          </cell>
          <cell r="M412" t="str">
            <v>110319</v>
          </cell>
          <cell r="N412" t="str">
            <v>PU COLOR</v>
          </cell>
        </row>
        <row r="413">
          <cell r="C413" t="str">
            <v>100000411</v>
          </cell>
          <cell r="D413" t="str">
            <v>PUC-54205 AC GREY 90 SR VN-20KP</v>
          </cell>
          <cell r="E413" t="str">
            <v>ZFGD</v>
          </cell>
          <cell r="F413" t="str">
            <v>PC</v>
          </cell>
          <cell r="G413" t="str">
            <v>1</v>
          </cell>
          <cell r="H413" t="str">
            <v>INDUSTRY</v>
          </cell>
          <cell r="I413" t="str">
            <v>11</v>
          </cell>
          <cell r="J413" t="str">
            <v>WOOD COATINGS</v>
          </cell>
          <cell r="K413" t="str">
            <v>1103</v>
          </cell>
          <cell r="L413" t="str">
            <v>PU</v>
          </cell>
          <cell r="M413" t="str">
            <v>110319</v>
          </cell>
          <cell r="N413" t="str">
            <v>PU COLOR</v>
          </cell>
        </row>
        <row r="414">
          <cell r="C414" t="str">
            <v>100000412</v>
          </cell>
          <cell r="D414" t="str">
            <v>PUC-54205 AC GREY KEBO 10 LM VN-20KP</v>
          </cell>
          <cell r="E414" t="str">
            <v>ZFGD</v>
          </cell>
          <cell r="F414" t="str">
            <v>PC</v>
          </cell>
          <cell r="G414" t="str">
            <v>1</v>
          </cell>
          <cell r="H414" t="str">
            <v>INDUSTRY</v>
          </cell>
          <cell r="I414" t="str">
            <v>11</v>
          </cell>
          <cell r="J414" t="str">
            <v>WOOD COATINGS</v>
          </cell>
          <cell r="K414" t="str">
            <v>1103</v>
          </cell>
          <cell r="L414" t="str">
            <v>PU</v>
          </cell>
          <cell r="M414" t="str">
            <v>110319</v>
          </cell>
          <cell r="N414" t="str">
            <v>PU COLOR</v>
          </cell>
        </row>
        <row r="415">
          <cell r="C415" t="str">
            <v>100000413</v>
          </cell>
          <cell r="D415" t="str">
            <v>PUC-54205 AC K 031 20 AA VN-20KP</v>
          </cell>
          <cell r="E415" t="str">
            <v>ZFGD</v>
          </cell>
          <cell r="F415" t="str">
            <v>PC</v>
          </cell>
          <cell r="G415" t="str">
            <v>1</v>
          </cell>
          <cell r="H415" t="str">
            <v>INDUSTRY</v>
          </cell>
          <cell r="I415" t="str">
            <v>11</v>
          </cell>
          <cell r="J415" t="str">
            <v>WOOD COATINGS</v>
          </cell>
          <cell r="K415" t="str">
            <v>1103</v>
          </cell>
          <cell r="L415" t="str">
            <v>PU</v>
          </cell>
          <cell r="M415" t="str">
            <v>110319</v>
          </cell>
          <cell r="N415" t="str">
            <v>PU COLOR</v>
          </cell>
        </row>
        <row r="416">
          <cell r="C416" t="str">
            <v>100000414</v>
          </cell>
          <cell r="D416" t="str">
            <v>PUC-54205 AC 01 70 LL VN-20KP</v>
          </cell>
          <cell r="E416" t="str">
            <v>ZFGD</v>
          </cell>
          <cell r="F416" t="str">
            <v>PC</v>
          </cell>
          <cell r="G416" t="str">
            <v>1</v>
          </cell>
          <cell r="H416" t="str">
            <v>INDUSTRY</v>
          </cell>
          <cell r="I416" t="str">
            <v>11</v>
          </cell>
          <cell r="J416" t="str">
            <v>WOOD COATINGS</v>
          </cell>
          <cell r="K416" t="str">
            <v>1103</v>
          </cell>
          <cell r="L416" t="str">
            <v>PU</v>
          </cell>
          <cell r="M416" t="str">
            <v>110319</v>
          </cell>
          <cell r="N416" t="str">
            <v>PU COLOR</v>
          </cell>
        </row>
        <row r="417">
          <cell r="C417" t="str">
            <v>100000415</v>
          </cell>
          <cell r="D417" t="str">
            <v>PUC-54205 AC 02 70 LL VN-20KP</v>
          </cell>
          <cell r="E417" t="str">
            <v>ZFGD</v>
          </cell>
          <cell r="F417" t="str">
            <v>PC</v>
          </cell>
          <cell r="G417" t="str">
            <v>1</v>
          </cell>
          <cell r="H417" t="str">
            <v>INDUSTRY</v>
          </cell>
          <cell r="I417" t="str">
            <v>11</v>
          </cell>
          <cell r="J417" t="str">
            <v>WOOD COATINGS</v>
          </cell>
          <cell r="K417" t="str">
            <v>1103</v>
          </cell>
          <cell r="L417" t="str">
            <v>PU</v>
          </cell>
          <cell r="M417" t="str">
            <v>110319</v>
          </cell>
          <cell r="N417" t="str">
            <v>PU COLOR</v>
          </cell>
        </row>
        <row r="418">
          <cell r="C418" t="str">
            <v>100000416</v>
          </cell>
          <cell r="D418" t="str">
            <v>PUC-54205 AC 03 70 LL VN-20KP</v>
          </cell>
          <cell r="E418" t="str">
            <v>ZFGD</v>
          </cell>
          <cell r="F418" t="str">
            <v>PC</v>
          </cell>
          <cell r="G418" t="str">
            <v>1</v>
          </cell>
          <cell r="H418" t="str">
            <v>INDUSTRY</v>
          </cell>
          <cell r="I418" t="str">
            <v>11</v>
          </cell>
          <cell r="J418" t="str">
            <v>WOOD COATINGS</v>
          </cell>
          <cell r="K418" t="str">
            <v>1103</v>
          </cell>
          <cell r="L418" t="str">
            <v>PU</v>
          </cell>
          <cell r="M418" t="str">
            <v>110319</v>
          </cell>
          <cell r="N418" t="str">
            <v>PU COLOR</v>
          </cell>
        </row>
        <row r="419">
          <cell r="C419" t="str">
            <v>100000417</v>
          </cell>
          <cell r="D419" t="str">
            <v>PUC-54205 AC MC 03 30 TB VN-20KP</v>
          </cell>
          <cell r="E419" t="str">
            <v>ZFGD</v>
          </cell>
          <cell r="F419" t="str">
            <v>PC</v>
          </cell>
          <cell r="G419" t="str">
            <v>1</v>
          </cell>
          <cell r="H419" t="str">
            <v>INDUSTRY</v>
          </cell>
          <cell r="I419" t="str">
            <v>11</v>
          </cell>
          <cell r="J419" t="str">
            <v>WOOD COATINGS</v>
          </cell>
          <cell r="K419" t="str">
            <v>1103</v>
          </cell>
          <cell r="L419" t="str">
            <v>PU</v>
          </cell>
          <cell r="M419" t="str">
            <v>110319</v>
          </cell>
          <cell r="N419" t="str">
            <v>PU COLOR</v>
          </cell>
        </row>
        <row r="420">
          <cell r="C420" t="str">
            <v>100000418</v>
          </cell>
          <cell r="D420" t="str">
            <v>PUC-54205 AC MP GREEN 10 TT VN-20KP</v>
          </cell>
          <cell r="E420" t="str">
            <v>ZFGD</v>
          </cell>
          <cell r="F420" t="str">
            <v>PC</v>
          </cell>
          <cell r="G420" t="str">
            <v>1</v>
          </cell>
          <cell r="H420" t="str">
            <v>INDUSTRY</v>
          </cell>
          <cell r="I420" t="str">
            <v>11</v>
          </cell>
          <cell r="J420" t="str">
            <v>WOOD COATINGS</v>
          </cell>
          <cell r="K420" t="str">
            <v>1103</v>
          </cell>
          <cell r="L420" t="str">
            <v>PU</v>
          </cell>
          <cell r="M420" t="str">
            <v>110319</v>
          </cell>
          <cell r="N420" t="str">
            <v>PU COLOR</v>
          </cell>
        </row>
        <row r="421">
          <cell r="C421" t="str">
            <v>100000419</v>
          </cell>
          <cell r="D421" t="str">
            <v>PUC-54205 AC MR PHUC CR 50 TT VN-20KP</v>
          </cell>
          <cell r="E421" t="str">
            <v>ZFGD</v>
          </cell>
          <cell r="F421" t="str">
            <v>PC</v>
          </cell>
          <cell r="G421" t="str">
            <v>1</v>
          </cell>
          <cell r="H421" t="str">
            <v>INDUSTRY</v>
          </cell>
          <cell r="I421" t="str">
            <v>11</v>
          </cell>
          <cell r="J421" t="str">
            <v>WOOD COATINGS</v>
          </cell>
          <cell r="K421" t="str">
            <v>1103</v>
          </cell>
          <cell r="L421" t="str">
            <v>PU</v>
          </cell>
          <cell r="M421" t="str">
            <v>110319</v>
          </cell>
          <cell r="N421" t="str">
            <v>PU COLOR</v>
          </cell>
        </row>
        <row r="422">
          <cell r="C422" t="str">
            <v>100000420</v>
          </cell>
          <cell r="D422" t="str">
            <v>PUC-54205 AC MT 05 90 MT VN-20KP</v>
          </cell>
          <cell r="E422" t="str">
            <v>ZFGD</v>
          </cell>
          <cell r="F422" t="str">
            <v>PC</v>
          </cell>
          <cell r="G422" t="str">
            <v>1</v>
          </cell>
          <cell r="H422" t="str">
            <v>INDUSTRY</v>
          </cell>
          <cell r="I422" t="str">
            <v>11</v>
          </cell>
          <cell r="J422" t="str">
            <v>WOOD COATINGS</v>
          </cell>
          <cell r="K422" t="str">
            <v>1103</v>
          </cell>
          <cell r="L422" t="str">
            <v>PU</v>
          </cell>
          <cell r="M422" t="str">
            <v>110319</v>
          </cell>
          <cell r="N422" t="str">
            <v>PU COLOR</v>
          </cell>
        </row>
        <row r="423">
          <cell r="C423" t="str">
            <v>100000421</v>
          </cell>
          <cell r="D423" t="str">
            <v>PUC-54205 AC MT 22 30 VN-20KP</v>
          </cell>
          <cell r="E423" t="str">
            <v>ZFGD</v>
          </cell>
          <cell r="F423" t="str">
            <v>PC</v>
          </cell>
          <cell r="G423" t="str">
            <v>1</v>
          </cell>
          <cell r="H423" t="str">
            <v>INDUSTRY</v>
          </cell>
          <cell r="I423" t="str">
            <v>11</v>
          </cell>
          <cell r="J423" t="str">
            <v>WOOD COATINGS</v>
          </cell>
          <cell r="K423" t="str">
            <v>1103</v>
          </cell>
          <cell r="L423" t="str">
            <v>PU</v>
          </cell>
          <cell r="M423" t="str">
            <v>110319</v>
          </cell>
          <cell r="N423" t="str">
            <v>PU COLOR</v>
          </cell>
        </row>
        <row r="424">
          <cell r="C424" t="str">
            <v>100000422</v>
          </cell>
          <cell r="D424" t="str">
            <v>PUC-54205 AC NOI DIA 05 TT VN-20KP</v>
          </cell>
          <cell r="E424" t="str">
            <v>ZFGD</v>
          </cell>
          <cell r="F424" t="str">
            <v>PC</v>
          </cell>
          <cell r="G424" t="str">
            <v>1</v>
          </cell>
          <cell r="H424" t="str">
            <v>INDUSTRY</v>
          </cell>
          <cell r="I424" t="str">
            <v>11</v>
          </cell>
          <cell r="J424" t="str">
            <v>WOOD COATINGS</v>
          </cell>
          <cell r="K424" t="str">
            <v>1103</v>
          </cell>
          <cell r="L424" t="str">
            <v>PU</v>
          </cell>
          <cell r="M424" t="str">
            <v>110319</v>
          </cell>
          <cell r="N424" t="str">
            <v>PU COLOR</v>
          </cell>
        </row>
        <row r="425">
          <cell r="C425" t="str">
            <v>100000423</v>
          </cell>
          <cell r="D425" t="str">
            <v>PUC-54205 AC PARSON WH 2 90 KD VN-20KP</v>
          </cell>
          <cell r="E425" t="str">
            <v>ZFGD</v>
          </cell>
          <cell r="F425" t="str">
            <v>PC</v>
          </cell>
          <cell r="G425" t="str">
            <v>1</v>
          </cell>
          <cell r="H425" t="str">
            <v>INDUSTRY</v>
          </cell>
          <cell r="I425" t="str">
            <v>11</v>
          </cell>
          <cell r="J425" t="str">
            <v>WOOD COATINGS</v>
          </cell>
          <cell r="K425" t="str">
            <v>1103</v>
          </cell>
          <cell r="L425" t="str">
            <v>PU</v>
          </cell>
          <cell r="M425" t="str">
            <v>110319</v>
          </cell>
          <cell r="N425" t="str">
            <v>PU COLOR</v>
          </cell>
        </row>
        <row r="426">
          <cell r="C426" t="str">
            <v>100000424</v>
          </cell>
          <cell r="D426" t="str">
            <v>PUC-54205 AC 06 30 PF VN-20KP</v>
          </cell>
          <cell r="E426" t="str">
            <v>ZFGD</v>
          </cell>
          <cell r="F426" t="str">
            <v>PC</v>
          </cell>
          <cell r="G426" t="str">
            <v>1</v>
          </cell>
          <cell r="H426" t="str">
            <v>INDUSTRY</v>
          </cell>
          <cell r="I426" t="str">
            <v>11</v>
          </cell>
          <cell r="J426" t="str">
            <v>WOOD COATINGS</v>
          </cell>
          <cell r="K426" t="str">
            <v>1103</v>
          </cell>
          <cell r="L426" t="str">
            <v>PU</v>
          </cell>
          <cell r="M426" t="str">
            <v>110319</v>
          </cell>
          <cell r="N426" t="str">
            <v>PU COLOR</v>
          </cell>
        </row>
        <row r="427">
          <cell r="C427" t="str">
            <v>100000425</v>
          </cell>
          <cell r="D427" t="str">
            <v>PUC-54205 AC 14 30VN-20KP</v>
          </cell>
          <cell r="E427" t="str">
            <v>ZFGD</v>
          </cell>
          <cell r="F427" t="str">
            <v>PC</v>
          </cell>
          <cell r="G427" t="str">
            <v>1</v>
          </cell>
          <cell r="H427" t="str">
            <v>INDUSTRY</v>
          </cell>
          <cell r="I427" t="str">
            <v>11</v>
          </cell>
          <cell r="J427" t="str">
            <v>WOOD COATINGS</v>
          </cell>
          <cell r="K427" t="str">
            <v>1103</v>
          </cell>
          <cell r="L427" t="str">
            <v>PU</v>
          </cell>
          <cell r="M427" t="str">
            <v>110319</v>
          </cell>
          <cell r="N427" t="str">
            <v>PU COLOR</v>
          </cell>
        </row>
        <row r="428">
          <cell r="C428" t="str">
            <v>100000426</v>
          </cell>
          <cell r="D428" t="str">
            <v>PUC-54205 AC PINK 10 SA VN-20KP</v>
          </cell>
          <cell r="E428" t="str">
            <v>ZFGD</v>
          </cell>
          <cell r="F428" t="str">
            <v>PC</v>
          </cell>
          <cell r="G428" t="str">
            <v>1</v>
          </cell>
          <cell r="H428" t="str">
            <v>INDUSTRY</v>
          </cell>
          <cell r="I428" t="str">
            <v>11</v>
          </cell>
          <cell r="J428" t="str">
            <v>WOOD COATINGS</v>
          </cell>
          <cell r="K428" t="str">
            <v>1103</v>
          </cell>
          <cell r="L428" t="str">
            <v>PU</v>
          </cell>
          <cell r="M428" t="str">
            <v>110319</v>
          </cell>
          <cell r="N428" t="str">
            <v>PU COLOR</v>
          </cell>
        </row>
        <row r="429">
          <cell r="C429" t="str">
            <v>100000427</v>
          </cell>
          <cell r="D429" t="str">
            <v>PUC-54205 AC PURE WHITE 25 KDVN-20KP</v>
          </cell>
          <cell r="E429" t="str">
            <v>ZFGD</v>
          </cell>
          <cell r="F429" t="str">
            <v>PC</v>
          </cell>
          <cell r="G429" t="str">
            <v>1</v>
          </cell>
          <cell r="H429" t="str">
            <v>INDUSTRY</v>
          </cell>
          <cell r="I429" t="str">
            <v>11</v>
          </cell>
          <cell r="J429" t="str">
            <v>WOOD COATINGS</v>
          </cell>
          <cell r="K429" t="str">
            <v>1103</v>
          </cell>
          <cell r="L429" t="str">
            <v>PU</v>
          </cell>
          <cell r="M429" t="str">
            <v>110319</v>
          </cell>
          <cell r="N429" t="str">
            <v>PU COLOR</v>
          </cell>
        </row>
        <row r="430">
          <cell r="C430" t="str">
            <v>100000428</v>
          </cell>
          <cell r="D430" t="str">
            <v>PUC-54205 AC PUTTY 05 MK VN-20KP</v>
          </cell>
          <cell r="E430" t="str">
            <v>ZFGD</v>
          </cell>
          <cell r="F430" t="str">
            <v>PC</v>
          </cell>
          <cell r="G430" t="str">
            <v>1</v>
          </cell>
          <cell r="H430" t="str">
            <v>INDUSTRY</v>
          </cell>
          <cell r="I430" t="str">
            <v>11</v>
          </cell>
          <cell r="J430" t="str">
            <v>WOOD COATINGS</v>
          </cell>
          <cell r="K430" t="str">
            <v>1103</v>
          </cell>
          <cell r="L430" t="str">
            <v>PU</v>
          </cell>
          <cell r="M430" t="str">
            <v>110319</v>
          </cell>
          <cell r="N430" t="str">
            <v>PU COLOR</v>
          </cell>
        </row>
        <row r="431">
          <cell r="C431" t="str">
            <v>100000429</v>
          </cell>
          <cell r="D431" t="str">
            <v>PUC-54205 AC S 2010 50 IF VN-20KP</v>
          </cell>
          <cell r="E431" t="str">
            <v>ZFGD</v>
          </cell>
          <cell r="F431" t="str">
            <v>PC</v>
          </cell>
          <cell r="G431" t="str">
            <v>1</v>
          </cell>
          <cell r="H431" t="str">
            <v>INDUSTRY</v>
          </cell>
          <cell r="I431" t="str">
            <v>11</v>
          </cell>
          <cell r="J431" t="str">
            <v>WOOD COATINGS</v>
          </cell>
          <cell r="K431" t="str">
            <v>1103</v>
          </cell>
          <cell r="L431" t="str">
            <v>PU</v>
          </cell>
          <cell r="M431" t="str">
            <v>110319</v>
          </cell>
          <cell r="N431" t="str">
            <v>PU COLOR</v>
          </cell>
        </row>
        <row r="432">
          <cell r="C432" t="str">
            <v>100000430</v>
          </cell>
          <cell r="D432" t="str">
            <v>PUC-54205 AC S 2020 50 IF VN-20KP</v>
          </cell>
          <cell r="E432" t="str">
            <v>ZFGD</v>
          </cell>
          <cell r="F432" t="str">
            <v>PC</v>
          </cell>
          <cell r="G432" t="str">
            <v>1</v>
          </cell>
          <cell r="H432" t="str">
            <v>INDUSTRY</v>
          </cell>
          <cell r="I432" t="str">
            <v>11</v>
          </cell>
          <cell r="J432" t="str">
            <v>WOOD COATINGS</v>
          </cell>
          <cell r="K432" t="str">
            <v>1103</v>
          </cell>
          <cell r="L432" t="str">
            <v>PU</v>
          </cell>
          <cell r="M432" t="str">
            <v>110319</v>
          </cell>
          <cell r="N432" t="str">
            <v>PU COLOR</v>
          </cell>
        </row>
        <row r="433">
          <cell r="C433" t="str">
            <v>100000431</v>
          </cell>
          <cell r="D433" t="str">
            <v>PUC-54205 AC S 3010 50 IF VN-20KP</v>
          </cell>
          <cell r="E433" t="str">
            <v>ZFGD</v>
          </cell>
          <cell r="F433" t="str">
            <v>PC</v>
          </cell>
          <cell r="G433" t="str">
            <v>1</v>
          </cell>
          <cell r="H433" t="str">
            <v>INDUSTRY</v>
          </cell>
          <cell r="I433" t="str">
            <v>11</v>
          </cell>
          <cell r="J433" t="str">
            <v>WOOD COATINGS</v>
          </cell>
          <cell r="K433" t="str">
            <v>1103</v>
          </cell>
          <cell r="L433" t="str">
            <v>PU</v>
          </cell>
          <cell r="M433" t="str">
            <v>110319</v>
          </cell>
          <cell r="N433" t="str">
            <v>PU COLOR</v>
          </cell>
        </row>
        <row r="434">
          <cell r="C434" t="str">
            <v>100000432</v>
          </cell>
          <cell r="D434" t="str">
            <v>PUC-54205 AC S 3010 Y 05 MK VN-20KP</v>
          </cell>
          <cell r="E434" t="str">
            <v>ZFGD</v>
          </cell>
          <cell r="F434" t="str">
            <v>PC</v>
          </cell>
          <cell r="G434" t="str">
            <v>1</v>
          </cell>
          <cell r="H434" t="str">
            <v>INDUSTRY</v>
          </cell>
          <cell r="I434" t="str">
            <v>11</v>
          </cell>
          <cell r="J434" t="str">
            <v>WOOD COATINGS</v>
          </cell>
          <cell r="K434" t="str">
            <v>1103</v>
          </cell>
          <cell r="L434" t="str">
            <v>PU</v>
          </cell>
          <cell r="M434" t="str">
            <v>110319</v>
          </cell>
          <cell r="N434" t="str">
            <v>PU COLOR</v>
          </cell>
        </row>
        <row r="435">
          <cell r="C435" t="str">
            <v>100000433</v>
          </cell>
          <cell r="D435" t="str">
            <v>PUC-54205 AC SAIL CLOTH 90 TD VN-20KP</v>
          </cell>
          <cell r="E435" t="str">
            <v>ZFGD</v>
          </cell>
          <cell r="F435" t="str">
            <v>PC</v>
          </cell>
          <cell r="G435" t="str">
            <v>1</v>
          </cell>
          <cell r="H435" t="str">
            <v>INDUSTRY</v>
          </cell>
          <cell r="I435" t="str">
            <v>11</v>
          </cell>
          <cell r="J435" t="str">
            <v>WOOD COATINGS</v>
          </cell>
          <cell r="K435" t="str">
            <v>1103</v>
          </cell>
          <cell r="L435" t="str">
            <v>PU</v>
          </cell>
          <cell r="M435" t="str">
            <v>110319</v>
          </cell>
          <cell r="N435" t="str">
            <v>PU COLOR</v>
          </cell>
        </row>
        <row r="436">
          <cell r="C436" t="str">
            <v>100000434</v>
          </cell>
          <cell r="D436" t="str">
            <v>PUC-54205 AC SMI 01 90 TD VN-20KP</v>
          </cell>
          <cell r="E436" t="str">
            <v>ZFGD</v>
          </cell>
          <cell r="F436" t="str">
            <v>PC</v>
          </cell>
          <cell r="G436" t="str">
            <v>1</v>
          </cell>
          <cell r="H436" t="str">
            <v>INDUSTRY</v>
          </cell>
          <cell r="I436" t="str">
            <v>11</v>
          </cell>
          <cell r="J436" t="str">
            <v>WOOD COATINGS</v>
          </cell>
          <cell r="K436" t="str">
            <v>1103</v>
          </cell>
          <cell r="L436" t="str">
            <v>PU</v>
          </cell>
          <cell r="M436" t="str">
            <v>110319</v>
          </cell>
          <cell r="N436" t="str">
            <v>PU COLOR</v>
          </cell>
        </row>
        <row r="437">
          <cell r="C437" t="str">
            <v>100000435</v>
          </cell>
          <cell r="D437" t="str">
            <v>PUC-54205 AC SMOKE EMBER 60 KD VN-20KP</v>
          </cell>
          <cell r="E437" t="str">
            <v>ZFGD</v>
          </cell>
          <cell r="F437" t="str">
            <v>PC</v>
          </cell>
          <cell r="G437" t="str">
            <v>1</v>
          </cell>
          <cell r="H437" t="str">
            <v>INDUSTRY</v>
          </cell>
          <cell r="I437" t="str">
            <v>11</v>
          </cell>
          <cell r="J437" t="str">
            <v>WOOD COATINGS</v>
          </cell>
          <cell r="K437" t="str">
            <v>1103</v>
          </cell>
          <cell r="L437" t="str">
            <v>PU</v>
          </cell>
          <cell r="M437" t="str">
            <v>110319</v>
          </cell>
          <cell r="N437" t="str">
            <v>PU COLOR</v>
          </cell>
        </row>
        <row r="438">
          <cell r="C438" t="str">
            <v>100000436</v>
          </cell>
          <cell r="D438" t="str">
            <v>PUC-54205 AC W FAI 20 90 IF VN-20KP</v>
          </cell>
          <cell r="E438" t="str">
            <v>ZFGD</v>
          </cell>
          <cell r="F438" t="str">
            <v>PC</v>
          </cell>
          <cell r="G438" t="str">
            <v>1</v>
          </cell>
          <cell r="H438" t="str">
            <v>INDUSTRY</v>
          </cell>
          <cell r="I438" t="str">
            <v>11</v>
          </cell>
          <cell r="J438" t="str">
            <v>WOOD COATINGS</v>
          </cell>
          <cell r="K438" t="str">
            <v>1103</v>
          </cell>
          <cell r="L438" t="str">
            <v>PU</v>
          </cell>
          <cell r="M438" t="str">
            <v>110319</v>
          </cell>
          <cell r="N438" t="str">
            <v>PU COLOR</v>
          </cell>
        </row>
        <row r="439">
          <cell r="C439" t="str">
            <v>100000437</v>
          </cell>
          <cell r="D439" t="str">
            <v>PUC-54205 AC WARM GREY 5C 30 GM VN-20KP</v>
          </cell>
          <cell r="E439" t="str">
            <v>ZFGD</v>
          </cell>
          <cell r="F439" t="str">
            <v>PC</v>
          </cell>
          <cell r="G439" t="str">
            <v>1</v>
          </cell>
          <cell r="H439" t="str">
            <v>INDUSTRY</v>
          </cell>
          <cell r="I439" t="str">
            <v>11</v>
          </cell>
          <cell r="J439" t="str">
            <v>WOOD COATINGS</v>
          </cell>
          <cell r="K439" t="str">
            <v>1103</v>
          </cell>
          <cell r="L439" t="str">
            <v>PU</v>
          </cell>
          <cell r="M439" t="str">
            <v>110319</v>
          </cell>
          <cell r="N439" t="str">
            <v>PU COLOR</v>
          </cell>
        </row>
        <row r="440">
          <cell r="C440" t="str">
            <v>100000438</v>
          </cell>
          <cell r="D440" t="str">
            <v>PUC-54205 AC WH LACQUER 90 TD VN-20KP</v>
          </cell>
          <cell r="E440" t="str">
            <v>ZFGD</v>
          </cell>
          <cell r="F440" t="str">
            <v>PC</v>
          </cell>
          <cell r="G440" t="str">
            <v>1</v>
          </cell>
          <cell r="H440" t="str">
            <v>INDUSTRY</v>
          </cell>
          <cell r="I440" t="str">
            <v>11</v>
          </cell>
          <cell r="J440" t="str">
            <v>WOOD COATINGS</v>
          </cell>
          <cell r="K440" t="str">
            <v>1103</v>
          </cell>
          <cell r="L440" t="str">
            <v>PU</v>
          </cell>
          <cell r="M440" t="str">
            <v>110319</v>
          </cell>
          <cell r="N440" t="str">
            <v>PU COLOR</v>
          </cell>
        </row>
        <row r="441">
          <cell r="C441" t="str">
            <v>100000439</v>
          </cell>
          <cell r="D441" t="str">
            <v>PUC-54205 AC WHITE 02 90 GE VN-20KP</v>
          </cell>
          <cell r="E441" t="str">
            <v>ZFGD</v>
          </cell>
          <cell r="F441" t="str">
            <v>PC</v>
          </cell>
          <cell r="G441" t="str">
            <v>1</v>
          </cell>
          <cell r="H441" t="str">
            <v>INDUSTRY</v>
          </cell>
          <cell r="I441" t="str">
            <v>11</v>
          </cell>
          <cell r="J441" t="str">
            <v>WOOD COATINGS</v>
          </cell>
          <cell r="K441" t="str">
            <v>1103</v>
          </cell>
          <cell r="L441" t="str">
            <v>PU</v>
          </cell>
          <cell r="M441" t="str">
            <v>110319</v>
          </cell>
          <cell r="N441" t="str">
            <v>PU COLOR</v>
          </cell>
        </row>
        <row r="442">
          <cell r="C442" t="str">
            <v>100000440</v>
          </cell>
          <cell r="D442" t="str">
            <v>PUC-54205 AC WHITE 03 10 SI VN-20KP</v>
          </cell>
          <cell r="E442" t="str">
            <v>ZFGD</v>
          </cell>
          <cell r="F442" t="str">
            <v>PC</v>
          </cell>
          <cell r="G442" t="str">
            <v>1</v>
          </cell>
          <cell r="H442" t="str">
            <v>INDUSTRY</v>
          </cell>
          <cell r="I442" t="str">
            <v>11</v>
          </cell>
          <cell r="J442" t="str">
            <v>WOOD COATINGS</v>
          </cell>
          <cell r="K442" t="str">
            <v>1103</v>
          </cell>
          <cell r="L442" t="str">
            <v>PU</v>
          </cell>
          <cell r="M442" t="str">
            <v>110319</v>
          </cell>
          <cell r="N442" t="str">
            <v>PU COLOR</v>
          </cell>
        </row>
        <row r="443">
          <cell r="C443" t="str">
            <v>100000441</v>
          </cell>
          <cell r="D443" t="str">
            <v>PUC-54205 AC WHITE 05 MK VN-20KP</v>
          </cell>
          <cell r="E443" t="str">
            <v>ZFGD</v>
          </cell>
          <cell r="F443" t="str">
            <v>PC</v>
          </cell>
          <cell r="G443" t="str">
            <v>1</v>
          </cell>
          <cell r="H443" t="str">
            <v>INDUSTRY</v>
          </cell>
          <cell r="I443" t="str">
            <v>11</v>
          </cell>
          <cell r="J443" t="str">
            <v>WOOD COATINGS</v>
          </cell>
          <cell r="K443" t="str">
            <v>1103</v>
          </cell>
          <cell r="L443" t="str">
            <v>PU</v>
          </cell>
          <cell r="M443" t="str">
            <v>110319</v>
          </cell>
          <cell r="N443" t="str">
            <v>PU COLOR</v>
          </cell>
        </row>
        <row r="444">
          <cell r="C444" t="str">
            <v>100000442</v>
          </cell>
          <cell r="D444" t="str">
            <v>PUC-54205 AC WHITE 08 AA VN-20KP</v>
          </cell>
          <cell r="E444" t="str">
            <v>ZFGD</v>
          </cell>
          <cell r="F444" t="str">
            <v>PC</v>
          </cell>
          <cell r="G444" t="str">
            <v>1</v>
          </cell>
          <cell r="H444" t="str">
            <v>INDUSTRY</v>
          </cell>
          <cell r="I444" t="str">
            <v>11</v>
          </cell>
          <cell r="J444" t="str">
            <v>WOOD COATINGS</v>
          </cell>
          <cell r="K444" t="str">
            <v>1103</v>
          </cell>
          <cell r="L444" t="str">
            <v>PU</v>
          </cell>
          <cell r="M444" t="str">
            <v>110319</v>
          </cell>
          <cell r="N444" t="str">
            <v>PU COLOR</v>
          </cell>
        </row>
        <row r="445">
          <cell r="C445" t="str">
            <v>100000443</v>
          </cell>
          <cell r="D445" t="str">
            <v>PUC-54205 AC WHITE 10 VN-20KP</v>
          </cell>
          <cell r="E445" t="str">
            <v>ZFGD</v>
          </cell>
          <cell r="F445" t="str">
            <v>PC</v>
          </cell>
          <cell r="G445" t="str">
            <v>1</v>
          </cell>
          <cell r="H445" t="str">
            <v>INDUSTRY</v>
          </cell>
          <cell r="I445" t="str">
            <v>11</v>
          </cell>
          <cell r="J445" t="str">
            <v>WOOD COATINGS</v>
          </cell>
          <cell r="K445" t="str">
            <v>1103</v>
          </cell>
          <cell r="L445" t="str">
            <v>PU</v>
          </cell>
          <cell r="M445" t="str">
            <v>110319</v>
          </cell>
          <cell r="N445" t="str">
            <v>PU COLOR</v>
          </cell>
        </row>
        <row r="446">
          <cell r="C446" t="str">
            <v>100000444</v>
          </cell>
          <cell r="D446" t="str">
            <v>PUC-54205 AC WHITE 20 VN-20KP</v>
          </cell>
          <cell r="E446" t="str">
            <v>ZFGD</v>
          </cell>
          <cell r="F446" t="str">
            <v>PC</v>
          </cell>
          <cell r="G446" t="str">
            <v>1</v>
          </cell>
          <cell r="H446" t="str">
            <v>INDUSTRY</v>
          </cell>
          <cell r="I446" t="str">
            <v>11</v>
          </cell>
          <cell r="J446" t="str">
            <v>WOOD COATINGS</v>
          </cell>
          <cell r="K446" t="str">
            <v>1103</v>
          </cell>
          <cell r="L446" t="str">
            <v>PU</v>
          </cell>
          <cell r="M446" t="str">
            <v>110319</v>
          </cell>
          <cell r="N446" t="str">
            <v>PU COLOR</v>
          </cell>
        </row>
        <row r="447">
          <cell r="C447" t="str">
            <v>100000445</v>
          </cell>
          <cell r="D447" t="str">
            <v>PUC-54205 AC WHITE 20 VN-200KB</v>
          </cell>
          <cell r="E447" t="str">
            <v>ZFGD</v>
          </cell>
          <cell r="F447" t="str">
            <v>PC</v>
          </cell>
          <cell r="G447" t="str">
            <v>1</v>
          </cell>
          <cell r="H447" t="str">
            <v>INDUSTRY</v>
          </cell>
          <cell r="I447" t="str">
            <v>11</v>
          </cell>
          <cell r="J447" t="str">
            <v>WOOD COATINGS</v>
          </cell>
          <cell r="K447" t="str">
            <v>1103</v>
          </cell>
          <cell r="L447" t="str">
            <v>PU</v>
          </cell>
          <cell r="M447" t="str">
            <v>110319</v>
          </cell>
          <cell r="N447" t="str">
            <v>PU COLOR</v>
          </cell>
        </row>
        <row r="448">
          <cell r="C448" t="str">
            <v>100000446</v>
          </cell>
          <cell r="D448" t="str">
            <v>PUC-54205 AC WHITE 20 TT VN-20KP</v>
          </cell>
          <cell r="E448" t="str">
            <v>ZFGD</v>
          </cell>
          <cell r="F448" t="str">
            <v>PC</v>
          </cell>
          <cell r="G448" t="str">
            <v>1</v>
          </cell>
          <cell r="H448" t="str">
            <v>INDUSTRY</v>
          </cell>
          <cell r="I448" t="str">
            <v>11</v>
          </cell>
          <cell r="J448" t="str">
            <v>WOOD COATINGS</v>
          </cell>
          <cell r="K448" t="str">
            <v>1103</v>
          </cell>
          <cell r="L448" t="str">
            <v>PU</v>
          </cell>
          <cell r="M448" t="str">
            <v>110319</v>
          </cell>
          <cell r="N448" t="str">
            <v>PU COLOR</v>
          </cell>
        </row>
        <row r="449">
          <cell r="C449" t="str">
            <v>100000447</v>
          </cell>
          <cell r="D449" t="str">
            <v>PUC-54205 AC WHITE 30 VN-20KP</v>
          </cell>
          <cell r="E449" t="str">
            <v>ZFGD</v>
          </cell>
          <cell r="F449" t="str">
            <v>PC</v>
          </cell>
          <cell r="G449" t="str">
            <v>1</v>
          </cell>
          <cell r="H449" t="str">
            <v>INDUSTRY</v>
          </cell>
          <cell r="I449" t="str">
            <v>11</v>
          </cell>
          <cell r="J449" t="str">
            <v>WOOD COATINGS</v>
          </cell>
          <cell r="K449" t="str">
            <v>1103</v>
          </cell>
          <cell r="L449" t="str">
            <v>PU</v>
          </cell>
          <cell r="M449" t="str">
            <v>110319</v>
          </cell>
          <cell r="N449" t="str">
            <v>PU COLOR</v>
          </cell>
        </row>
        <row r="450">
          <cell r="C450" t="str">
            <v>100000448</v>
          </cell>
          <cell r="D450" t="str">
            <v>PUC-54205 AC WHITE 50 VN-20KP</v>
          </cell>
          <cell r="E450" t="str">
            <v>ZFGD</v>
          </cell>
          <cell r="F450" t="str">
            <v>PC</v>
          </cell>
          <cell r="G450" t="str">
            <v>1</v>
          </cell>
          <cell r="H450" t="str">
            <v>INDUSTRY</v>
          </cell>
          <cell r="I450" t="str">
            <v>11</v>
          </cell>
          <cell r="J450" t="str">
            <v>WOOD COATINGS</v>
          </cell>
          <cell r="K450" t="str">
            <v>1103</v>
          </cell>
          <cell r="L450" t="str">
            <v>PU</v>
          </cell>
          <cell r="M450" t="str">
            <v>110319</v>
          </cell>
          <cell r="N450" t="str">
            <v>PU COLOR</v>
          </cell>
        </row>
        <row r="451">
          <cell r="C451" t="str">
            <v>100000449</v>
          </cell>
          <cell r="D451" t="str">
            <v>PUC-54205 AC WHITE 70 VN-20KP</v>
          </cell>
          <cell r="E451" t="str">
            <v>ZFGD</v>
          </cell>
          <cell r="F451" t="str">
            <v>PC</v>
          </cell>
          <cell r="G451" t="str">
            <v>1</v>
          </cell>
          <cell r="H451" t="str">
            <v>INDUSTRY</v>
          </cell>
          <cell r="I451" t="str">
            <v>11</v>
          </cell>
          <cell r="J451" t="str">
            <v>WOOD COATINGS</v>
          </cell>
          <cell r="K451" t="str">
            <v>1103</v>
          </cell>
          <cell r="L451" t="str">
            <v>PU</v>
          </cell>
          <cell r="M451" t="str">
            <v>110319</v>
          </cell>
          <cell r="N451" t="str">
            <v>PU COLOR</v>
          </cell>
        </row>
        <row r="452">
          <cell r="C452" t="str">
            <v>100000450</v>
          </cell>
          <cell r="D452" t="str">
            <v>#NUPUC-54205 AC WHITE 90 VN-20KP</v>
          </cell>
          <cell r="E452" t="str">
            <v>ZFGD</v>
          </cell>
          <cell r="F452" t="str">
            <v>PC</v>
          </cell>
          <cell r="G452" t="str">
            <v>1</v>
          </cell>
          <cell r="H452" t="str">
            <v>INDUSTRY</v>
          </cell>
          <cell r="I452" t="str">
            <v>11</v>
          </cell>
          <cell r="J452" t="str">
            <v>WOOD COATINGS</v>
          </cell>
          <cell r="K452" t="str">
            <v>1103</v>
          </cell>
          <cell r="L452" t="str">
            <v>PU</v>
          </cell>
          <cell r="M452" t="str">
            <v>110304</v>
          </cell>
          <cell r="N452" t="str">
            <v>PU SYSTEM</v>
          </cell>
        </row>
        <row r="453">
          <cell r="C453" t="str">
            <v>100000451</v>
          </cell>
          <cell r="D453" t="str">
            <v>PUC-54205 AC WHITE GLASS 10 VN-20KP</v>
          </cell>
          <cell r="E453" t="str">
            <v>ZFGD</v>
          </cell>
          <cell r="F453" t="str">
            <v>PC</v>
          </cell>
          <cell r="G453" t="str">
            <v>1</v>
          </cell>
          <cell r="H453" t="str">
            <v>INDUSTRY</v>
          </cell>
          <cell r="I453" t="str">
            <v>11</v>
          </cell>
          <cell r="J453" t="str">
            <v>WOOD COATINGS</v>
          </cell>
          <cell r="K453" t="str">
            <v>1103</v>
          </cell>
          <cell r="L453" t="str">
            <v>PU</v>
          </cell>
          <cell r="M453" t="str">
            <v>110319</v>
          </cell>
          <cell r="N453" t="str">
            <v>PU COLOR</v>
          </cell>
        </row>
        <row r="454">
          <cell r="C454" t="str">
            <v>100000452</v>
          </cell>
          <cell r="D454" t="str">
            <v>PUC-54205 AC WHITE HG 60 KD VN-20KP</v>
          </cell>
          <cell r="E454" t="str">
            <v>ZFGD</v>
          </cell>
          <cell r="F454" t="str">
            <v>PC</v>
          </cell>
          <cell r="G454" t="str">
            <v>1</v>
          </cell>
          <cell r="H454" t="str">
            <v>INDUSTRY</v>
          </cell>
          <cell r="I454" t="str">
            <v>11</v>
          </cell>
          <cell r="J454" t="str">
            <v>WOOD COATINGS</v>
          </cell>
          <cell r="K454" t="str">
            <v>1103</v>
          </cell>
          <cell r="L454" t="str">
            <v>PU</v>
          </cell>
          <cell r="M454" t="str">
            <v>110319</v>
          </cell>
          <cell r="N454" t="str">
            <v>PU COLOR</v>
          </cell>
        </row>
        <row r="455">
          <cell r="C455" t="str">
            <v>100000453</v>
          </cell>
          <cell r="D455" t="str">
            <v>PUC-54205 AC WILLOW RICH 60 KD VN-20KP</v>
          </cell>
          <cell r="E455" t="str">
            <v>ZFGD</v>
          </cell>
          <cell r="F455" t="str">
            <v>PC</v>
          </cell>
          <cell r="G455" t="str">
            <v>1</v>
          </cell>
          <cell r="H455" t="str">
            <v>INDUSTRY</v>
          </cell>
          <cell r="I455" t="str">
            <v>11</v>
          </cell>
          <cell r="J455" t="str">
            <v>WOOD COATINGS</v>
          </cell>
          <cell r="K455" t="str">
            <v>1103</v>
          </cell>
          <cell r="L455" t="str">
            <v>PU</v>
          </cell>
          <cell r="M455" t="str">
            <v>110319</v>
          </cell>
          <cell r="N455" t="str">
            <v>PU COLOR</v>
          </cell>
        </row>
        <row r="456">
          <cell r="C456" t="str">
            <v>100000454</v>
          </cell>
          <cell r="D456" t="str">
            <v>PUC-54206 AC EX 09040 50 TT VN-20KP</v>
          </cell>
          <cell r="E456" t="str">
            <v>ZFGD</v>
          </cell>
          <cell r="F456" t="str">
            <v>PC</v>
          </cell>
          <cell r="G456" t="str">
            <v>1</v>
          </cell>
          <cell r="H456" t="str">
            <v>INDUSTRY</v>
          </cell>
          <cell r="I456" t="str">
            <v>11</v>
          </cell>
          <cell r="J456" t="str">
            <v>WOOD COATINGS</v>
          </cell>
          <cell r="K456" t="str">
            <v>1103</v>
          </cell>
          <cell r="L456" t="str">
            <v>PU</v>
          </cell>
          <cell r="M456" t="str">
            <v>110319</v>
          </cell>
          <cell r="N456" t="str">
            <v>PU COLOR</v>
          </cell>
        </row>
        <row r="457">
          <cell r="C457" t="str">
            <v>100000455</v>
          </cell>
          <cell r="D457" t="str">
            <v>PUC-54206 AC EX 137 10 ML VN-20KP</v>
          </cell>
          <cell r="E457" t="str">
            <v>ZFGD</v>
          </cell>
          <cell r="F457" t="str">
            <v>PC</v>
          </cell>
          <cell r="G457" t="str">
            <v>1</v>
          </cell>
          <cell r="H457" t="str">
            <v>INDUSTRY</v>
          </cell>
          <cell r="I457" t="str">
            <v>11</v>
          </cell>
          <cell r="J457" t="str">
            <v>WOOD COATINGS</v>
          </cell>
          <cell r="K457" t="str">
            <v>1103</v>
          </cell>
          <cell r="L457" t="str">
            <v>PU</v>
          </cell>
          <cell r="M457" t="str">
            <v>110319</v>
          </cell>
          <cell r="N457" t="str">
            <v>PU COLOR</v>
          </cell>
        </row>
        <row r="458">
          <cell r="C458" t="str">
            <v>100000456</v>
          </cell>
          <cell r="D458" t="str">
            <v>PUC-54206 AC EX 35 30 AH VN-20KP</v>
          </cell>
          <cell r="E458" t="str">
            <v>ZFGD</v>
          </cell>
          <cell r="F458" t="str">
            <v>PC</v>
          </cell>
          <cell r="G458" t="str">
            <v>1</v>
          </cell>
          <cell r="H458" t="str">
            <v>INDUSTRY</v>
          </cell>
          <cell r="I458" t="str">
            <v>11</v>
          </cell>
          <cell r="J458" t="str">
            <v>WOOD COATINGS</v>
          </cell>
          <cell r="K458" t="str">
            <v>1103</v>
          </cell>
          <cell r="L458" t="str">
            <v>PU</v>
          </cell>
          <cell r="M458" t="str">
            <v>110319</v>
          </cell>
          <cell r="N458" t="str">
            <v>PU COLOR</v>
          </cell>
        </row>
        <row r="459">
          <cell r="C459" t="str">
            <v>100000457</v>
          </cell>
          <cell r="D459" t="str">
            <v>PUC-54206 AC EX 37 30 AH VN-20KP</v>
          </cell>
          <cell r="E459" t="str">
            <v>ZFGD</v>
          </cell>
          <cell r="F459" t="str">
            <v>PC</v>
          </cell>
          <cell r="G459" t="str">
            <v>1</v>
          </cell>
          <cell r="H459" t="str">
            <v>INDUSTRY</v>
          </cell>
          <cell r="I459" t="str">
            <v>11</v>
          </cell>
          <cell r="J459" t="str">
            <v>WOOD COATINGS</v>
          </cell>
          <cell r="K459" t="str">
            <v>1103</v>
          </cell>
          <cell r="L459" t="str">
            <v>PU</v>
          </cell>
          <cell r="M459" t="str">
            <v>110319</v>
          </cell>
          <cell r="N459" t="str">
            <v>PU COLOR</v>
          </cell>
        </row>
        <row r="460">
          <cell r="C460" t="str">
            <v>100000458</v>
          </cell>
          <cell r="D460" t="str">
            <v>PUC-54206 AC EX 47 40 AH VN-20KP</v>
          </cell>
          <cell r="E460" t="str">
            <v>ZFGD</v>
          </cell>
          <cell r="F460" t="str">
            <v>PC</v>
          </cell>
          <cell r="G460" t="str">
            <v>1</v>
          </cell>
          <cell r="H460" t="str">
            <v>INDUSTRY</v>
          </cell>
          <cell r="I460" t="str">
            <v>11</v>
          </cell>
          <cell r="J460" t="str">
            <v>WOOD COATINGS</v>
          </cell>
          <cell r="K460" t="str">
            <v>1103</v>
          </cell>
          <cell r="L460" t="str">
            <v>PU</v>
          </cell>
          <cell r="M460" t="str">
            <v>110319</v>
          </cell>
          <cell r="N460" t="str">
            <v>PU COLOR</v>
          </cell>
        </row>
        <row r="461">
          <cell r="C461" t="str">
            <v>100000459</v>
          </cell>
          <cell r="D461" t="str">
            <v>PUC-54206 AC EX ARUBA BU 90 TD VN-20KP</v>
          </cell>
          <cell r="E461" t="str">
            <v>ZFGD</v>
          </cell>
          <cell r="F461" t="str">
            <v>PC</v>
          </cell>
          <cell r="G461" t="str">
            <v>1</v>
          </cell>
          <cell r="H461" t="str">
            <v>INDUSTRY</v>
          </cell>
          <cell r="I461" t="str">
            <v>11</v>
          </cell>
          <cell r="J461" t="str">
            <v>WOOD COATINGS</v>
          </cell>
          <cell r="K461" t="str">
            <v>1103</v>
          </cell>
          <cell r="L461" t="str">
            <v>PU</v>
          </cell>
          <cell r="M461" t="str">
            <v>110319</v>
          </cell>
          <cell r="N461" t="str">
            <v>PU COLOR</v>
          </cell>
        </row>
        <row r="462">
          <cell r="C462" t="str">
            <v>100000460</v>
          </cell>
          <cell r="D462" t="str">
            <v>PUC-54206 AC EX BLACK 10 VN-20LP</v>
          </cell>
          <cell r="E462" t="str">
            <v>ZFGD</v>
          </cell>
          <cell r="F462" t="str">
            <v>PC</v>
          </cell>
          <cell r="G462" t="str">
            <v>1</v>
          </cell>
          <cell r="H462" t="str">
            <v>INDUSTRY</v>
          </cell>
          <cell r="I462" t="str">
            <v>11</v>
          </cell>
          <cell r="J462" t="str">
            <v>WOOD COATINGS</v>
          </cell>
          <cell r="K462" t="str">
            <v>1103</v>
          </cell>
          <cell r="L462" t="str">
            <v>PU</v>
          </cell>
          <cell r="M462" t="str">
            <v>110319</v>
          </cell>
          <cell r="N462" t="str">
            <v>PU COLOR</v>
          </cell>
        </row>
        <row r="463">
          <cell r="C463" t="str">
            <v>100000461</v>
          </cell>
          <cell r="D463" t="str">
            <v>PUC-54206 AC EX BLACK 10 SM VN-20LP</v>
          </cell>
          <cell r="E463" t="str">
            <v>ZFGD</v>
          </cell>
          <cell r="F463" t="str">
            <v>PC</v>
          </cell>
          <cell r="G463" t="str">
            <v>1</v>
          </cell>
          <cell r="H463" t="str">
            <v>INDUSTRY</v>
          </cell>
          <cell r="I463" t="str">
            <v>11</v>
          </cell>
          <cell r="J463" t="str">
            <v>WOOD COATINGS</v>
          </cell>
          <cell r="K463" t="str">
            <v>1103</v>
          </cell>
          <cell r="L463" t="str">
            <v>PU</v>
          </cell>
          <cell r="M463" t="str">
            <v>110319</v>
          </cell>
          <cell r="N463" t="str">
            <v>PU COLOR</v>
          </cell>
        </row>
        <row r="464">
          <cell r="C464" t="str">
            <v>100000462</v>
          </cell>
          <cell r="D464" t="str">
            <v>PUC-54206 AC EX BLACK 40 LM VN-20LP</v>
          </cell>
          <cell r="E464" t="str">
            <v>ZFGD</v>
          </cell>
          <cell r="F464" t="str">
            <v>PC</v>
          </cell>
          <cell r="G464" t="str">
            <v>1</v>
          </cell>
          <cell r="H464" t="str">
            <v>INDUSTRY</v>
          </cell>
          <cell r="I464" t="str">
            <v>11</v>
          </cell>
          <cell r="J464" t="str">
            <v>WOOD COATINGS</v>
          </cell>
          <cell r="K464" t="str">
            <v>1103</v>
          </cell>
          <cell r="L464" t="str">
            <v>PU</v>
          </cell>
          <cell r="M464" t="str">
            <v>110319</v>
          </cell>
          <cell r="N464" t="str">
            <v>PU COLOR</v>
          </cell>
        </row>
        <row r="465">
          <cell r="C465" t="str">
            <v>100000463</v>
          </cell>
          <cell r="D465" t="str">
            <v>PUC-54206 AC EX BLACK 70 VN-18KP</v>
          </cell>
          <cell r="E465" t="str">
            <v>ZFGD</v>
          </cell>
          <cell r="F465" t="str">
            <v>PC</v>
          </cell>
          <cell r="G465" t="str">
            <v>1</v>
          </cell>
          <cell r="H465" t="str">
            <v>INDUSTRY</v>
          </cell>
          <cell r="I465" t="str">
            <v>11</v>
          </cell>
          <cell r="J465" t="str">
            <v>WOOD COATINGS</v>
          </cell>
          <cell r="K465" t="str">
            <v>1103</v>
          </cell>
          <cell r="L465" t="str">
            <v>PU</v>
          </cell>
          <cell r="M465" t="str">
            <v>110319</v>
          </cell>
          <cell r="N465" t="str">
            <v>PU COLOR</v>
          </cell>
        </row>
        <row r="466">
          <cell r="C466" t="str">
            <v>100000464</v>
          </cell>
          <cell r="D466" t="str">
            <v>PUC-54206 AC EX BLACK 90 VN-18KP</v>
          </cell>
          <cell r="E466" t="str">
            <v>ZFGD</v>
          </cell>
          <cell r="F466" t="str">
            <v>PC</v>
          </cell>
          <cell r="G466" t="str">
            <v>1</v>
          </cell>
          <cell r="H466" t="str">
            <v>INDUSTRY</v>
          </cell>
          <cell r="I466" t="str">
            <v>11</v>
          </cell>
          <cell r="J466" t="str">
            <v>WOOD COATINGS</v>
          </cell>
          <cell r="K466" t="str">
            <v>1103</v>
          </cell>
          <cell r="L466" t="str">
            <v>PU</v>
          </cell>
          <cell r="M466" t="str">
            <v>110319</v>
          </cell>
          <cell r="N466" t="str">
            <v>PU COLOR</v>
          </cell>
        </row>
        <row r="467">
          <cell r="C467" t="str">
            <v>100000465</v>
          </cell>
          <cell r="D467" t="str">
            <v>PUC-54206 AC EX BLUE 10 SA VN-20KP</v>
          </cell>
          <cell r="E467" t="str">
            <v>ZFGD</v>
          </cell>
          <cell r="F467" t="str">
            <v>PC</v>
          </cell>
          <cell r="G467" t="str">
            <v>1</v>
          </cell>
          <cell r="H467" t="str">
            <v>INDUSTRY</v>
          </cell>
          <cell r="I467" t="str">
            <v>11</v>
          </cell>
          <cell r="J467" t="str">
            <v>WOOD COATINGS</v>
          </cell>
          <cell r="K467" t="str">
            <v>1103</v>
          </cell>
          <cell r="L467" t="str">
            <v>PU</v>
          </cell>
          <cell r="M467" t="str">
            <v>110319</v>
          </cell>
          <cell r="N467" t="str">
            <v>PU COLOR</v>
          </cell>
        </row>
        <row r="468">
          <cell r="C468" t="str">
            <v>100000466</v>
          </cell>
          <cell r="D468" t="str">
            <v>PUC-54206 AC EX BU LEAF 30 TT VN-18KP</v>
          </cell>
          <cell r="E468" t="str">
            <v>ZFGD</v>
          </cell>
          <cell r="F468" t="str">
            <v>PC</v>
          </cell>
          <cell r="G468" t="str">
            <v>1</v>
          </cell>
          <cell r="H468" t="str">
            <v>INDUSTRY</v>
          </cell>
          <cell r="I468" t="str">
            <v>11</v>
          </cell>
          <cell r="J468" t="str">
            <v>WOOD COATINGS</v>
          </cell>
          <cell r="K468" t="str">
            <v>1103</v>
          </cell>
          <cell r="L468" t="str">
            <v>PU</v>
          </cell>
          <cell r="M468" t="str">
            <v>110319</v>
          </cell>
          <cell r="N468" t="str">
            <v>PU COLOR</v>
          </cell>
        </row>
        <row r="469">
          <cell r="C469" t="str">
            <v>100000467</v>
          </cell>
          <cell r="D469" t="str">
            <v>PUC-54206 AC EX BV2023 20 TT VN-20KP</v>
          </cell>
          <cell r="E469" t="str">
            <v>ZFGD</v>
          </cell>
          <cell r="F469" t="str">
            <v>PC</v>
          </cell>
          <cell r="G469" t="str">
            <v>1</v>
          </cell>
          <cell r="H469" t="str">
            <v>INDUSTRY</v>
          </cell>
          <cell r="I469" t="str">
            <v>11</v>
          </cell>
          <cell r="J469" t="str">
            <v>WOOD COATINGS</v>
          </cell>
          <cell r="K469" t="str">
            <v>1103</v>
          </cell>
          <cell r="L469" t="str">
            <v>PU</v>
          </cell>
          <cell r="M469" t="str">
            <v>110319</v>
          </cell>
          <cell r="N469" t="str">
            <v>PU COLOR</v>
          </cell>
        </row>
        <row r="470">
          <cell r="C470" t="str">
            <v>100000468</v>
          </cell>
          <cell r="D470" t="str">
            <v>PUC-54206 AC EX DN 20 IF VN-18KP</v>
          </cell>
          <cell r="E470" t="str">
            <v>ZFGD</v>
          </cell>
          <cell r="F470" t="str">
            <v>PC</v>
          </cell>
          <cell r="G470" t="str">
            <v>1</v>
          </cell>
          <cell r="H470" t="str">
            <v>INDUSTRY</v>
          </cell>
          <cell r="I470" t="str">
            <v>11</v>
          </cell>
          <cell r="J470" t="str">
            <v>WOOD COATINGS</v>
          </cell>
          <cell r="K470" t="str">
            <v>1103</v>
          </cell>
          <cell r="L470" t="str">
            <v>PU</v>
          </cell>
          <cell r="M470" t="str">
            <v>110319</v>
          </cell>
          <cell r="N470" t="str">
            <v>PU COLOR</v>
          </cell>
        </row>
        <row r="471">
          <cell r="C471" t="str">
            <v>100000469</v>
          </cell>
          <cell r="D471" t="str">
            <v>PUC-54206 AC EX DS84 10 LM VN-20KP</v>
          </cell>
          <cell r="E471" t="str">
            <v>ZFGD</v>
          </cell>
          <cell r="F471" t="str">
            <v>PC</v>
          </cell>
          <cell r="G471" t="str">
            <v>1</v>
          </cell>
          <cell r="H471" t="str">
            <v>INDUSTRY</v>
          </cell>
          <cell r="I471" t="str">
            <v>11</v>
          </cell>
          <cell r="J471" t="str">
            <v>WOOD COATINGS</v>
          </cell>
          <cell r="K471" t="str">
            <v>1103</v>
          </cell>
          <cell r="L471" t="str">
            <v>PU</v>
          </cell>
          <cell r="M471" t="str">
            <v>110319</v>
          </cell>
          <cell r="N471" t="str">
            <v>PU COLOR</v>
          </cell>
        </row>
        <row r="472">
          <cell r="C472" t="str">
            <v>100000470</v>
          </cell>
          <cell r="D472" t="str">
            <v>PUC-54206 AC EX GREEN BL 50 TD VN-18KP</v>
          </cell>
          <cell r="E472" t="str">
            <v>ZFGD</v>
          </cell>
          <cell r="F472" t="str">
            <v>PC</v>
          </cell>
          <cell r="G472" t="str">
            <v>1</v>
          </cell>
          <cell r="H472" t="str">
            <v>INDUSTRY</v>
          </cell>
          <cell r="I472" t="str">
            <v>11</v>
          </cell>
          <cell r="J472" t="str">
            <v>WOOD COATINGS</v>
          </cell>
          <cell r="K472" t="str">
            <v>1103</v>
          </cell>
          <cell r="L472" t="str">
            <v>PU</v>
          </cell>
          <cell r="M472" t="str">
            <v>110319</v>
          </cell>
          <cell r="N472" t="str">
            <v>PU COLOR</v>
          </cell>
        </row>
        <row r="473">
          <cell r="C473" t="str">
            <v>100000471</v>
          </cell>
          <cell r="D473" t="str">
            <v>PUC-54206 AC EX GREY 03 20 SI VN-20KP</v>
          </cell>
          <cell r="E473" t="str">
            <v>ZFGD</v>
          </cell>
          <cell r="F473" t="str">
            <v>PC</v>
          </cell>
          <cell r="G473" t="str">
            <v>1</v>
          </cell>
          <cell r="H473" t="str">
            <v>INDUSTRY</v>
          </cell>
          <cell r="I473" t="str">
            <v>11</v>
          </cell>
          <cell r="J473" t="str">
            <v>WOOD COATINGS</v>
          </cell>
          <cell r="K473" t="str">
            <v>1103</v>
          </cell>
          <cell r="L473" t="str">
            <v>PU</v>
          </cell>
          <cell r="M473" t="str">
            <v>110319</v>
          </cell>
          <cell r="N473" t="str">
            <v>PU COLOR</v>
          </cell>
        </row>
        <row r="474">
          <cell r="C474" t="str">
            <v>100000472</v>
          </cell>
          <cell r="D474" t="str">
            <v>PUC-54206 AC EX HEYCHAIR 10 TT VN-18KP</v>
          </cell>
          <cell r="E474" t="str">
            <v>ZFGD</v>
          </cell>
          <cell r="F474" t="str">
            <v>PC</v>
          </cell>
          <cell r="G474" t="str">
            <v>1</v>
          </cell>
          <cell r="H474" t="str">
            <v>INDUSTRY</v>
          </cell>
          <cell r="I474" t="str">
            <v>11</v>
          </cell>
          <cell r="J474" t="str">
            <v>WOOD COATINGS</v>
          </cell>
          <cell r="K474" t="str">
            <v>1103</v>
          </cell>
          <cell r="L474" t="str">
            <v>PU</v>
          </cell>
          <cell r="M474" t="str">
            <v>110319</v>
          </cell>
          <cell r="N474" t="str">
            <v>PU COLOR</v>
          </cell>
        </row>
        <row r="475">
          <cell r="C475" t="str">
            <v>100000473</v>
          </cell>
          <cell r="D475" t="str">
            <v>PUC-54206 AC EX 04 70 LL VN-20KP</v>
          </cell>
          <cell r="E475" t="str">
            <v>ZFGD</v>
          </cell>
          <cell r="F475" t="str">
            <v>PC</v>
          </cell>
          <cell r="G475" t="str">
            <v>1</v>
          </cell>
          <cell r="H475" t="str">
            <v>INDUSTRY</v>
          </cell>
          <cell r="I475" t="str">
            <v>11</v>
          </cell>
          <cell r="J475" t="str">
            <v>WOOD COATINGS</v>
          </cell>
          <cell r="K475" t="str">
            <v>1103</v>
          </cell>
          <cell r="L475" t="str">
            <v>PU</v>
          </cell>
          <cell r="M475" t="str">
            <v>110319</v>
          </cell>
          <cell r="N475" t="str">
            <v>PU COLOR</v>
          </cell>
        </row>
        <row r="476">
          <cell r="C476" t="str">
            <v>100000474</v>
          </cell>
          <cell r="D476" t="str">
            <v>PUC-54206 AC EX MINK 05 MK VN-20KP</v>
          </cell>
          <cell r="E476" t="str">
            <v>ZFGD</v>
          </cell>
          <cell r="F476" t="str">
            <v>PC</v>
          </cell>
          <cell r="G476" t="str">
            <v>1</v>
          </cell>
          <cell r="H476" t="str">
            <v>INDUSTRY</v>
          </cell>
          <cell r="I476" t="str">
            <v>11</v>
          </cell>
          <cell r="J476" t="str">
            <v>WOOD COATINGS</v>
          </cell>
          <cell r="K476" t="str">
            <v>1103</v>
          </cell>
          <cell r="L476" t="str">
            <v>PU</v>
          </cell>
          <cell r="M476" t="str">
            <v>110319</v>
          </cell>
          <cell r="N476" t="str">
            <v>PU COLOR</v>
          </cell>
        </row>
        <row r="477">
          <cell r="C477" t="str">
            <v>100000475</v>
          </cell>
          <cell r="D477" t="str">
            <v>PUC-54206 AC EX MP BLUE 05 TT VN-20KP</v>
          </cell>
          <cell r="E477" t="str">
            <v>ZFGD</v>
          </cell>
          <cell r="F477" t="str">
            <v>PC</v>
          </cell>
          <cell r="G477" t="str">
            <v>1</v>
          </cell>
          <cell r="H477" t="str">
            <v>INDUSTRY</v>
          </cell>
          <cell r="I477" t="str">
            <v>11</v>
          </cell>
          <cell r="J477" t="str">
            <v>WOOD COATINGS</v>
          </cell>
          <cell r="K477" t="str">
            <v>1103</v>
          </cell>
          <cell r="L477" t="str">
            <v>PU</v>
          </cell>
          <cell r="M477" t="str">
            <v>110319</v>
          </cell>
          <cell r="N477" t="str">
            <v>PU COLOR</v>
          </cell>
        </row>
        <row r="478">
          <cell r="C478" t="str">
            <v>100000476</v>
          </cell>
          <cell r="D478" t="str">
            <v>PUC-54206 AC EX MP BLUE 10 TT VN-20KP</v>
          </cell>
          <cell r="E478" t="str">
            <v>ZFGD</v>
          </cell>
          <cell r="F478" t="str">
            <v>PC</v>
          </cell>
          <cell r="G478" t="str">
            <v>1</v>
          </cell>
          <cell r="H478" t="str">
            <v>INDUSTRY</v>
          </cell>
          <cell r="I478" t="str">
            <v>11</v>
          </cell>
          <cell r="J478" t="str">
            <v>WOOD COATINGS</v>
          </cell>
          <cell r="K478" t="str">
            <v>1103</v>
          </cell>
          <cell r="L478" t="str">
            <v>PU</v>
          </cell>
          <cell r="M478" t="str">
            <v>110319</v>
          </cell>
          <cell r="N478" t="str">
            <v>PU COLOR</v>
          </cell>
        </row>
        <row r="479">
          <cell r="C479" t="str">
            <v>100000477</v>
          </cell>
          <cell r="D479" t="str">
            <v>PUC-54206 AC EX MP GR 05 TT VN-20KP</v>
          </cell>
          <cell r="E479" t="str">
            <v>ZFGD</v>
          </cell>
          <cell r="F479" t="str">
            <v>PC</v>
          </cell>
          <cell r="G479" t="str">
            <v>1</v>
          </cell>
          <cell r="H479" t="str">
            <v>INDUSTRY</v>
          </cell>
          <cell r="I479" t="str">
            <v>11</v>
          </cell>
          <cell r="J479" t="str">
            <v>WOOD COATINGS</v>
          </cell>
          <cell r="K479" t="str">
            <v>1103</v>
          </cell>
          <cell r="L479" t="str">
            <v>PU</v>
          </cell>
          <cell r="M479" t="str">
            <v>110319</v>
          </cell>
          <cell r="N479" t="str">
            <v>PU COLOR</v>
          </cell>
        </row>
        <row r="480">
          <cell r="C480" t="str">
            <v>100000478</v>
          </cell>
          <cell r="D480" t="str">
            <v>PUC-54206 AC EX MP RED 05 TT VN-18KP</v>
          </cell>
          <cell r="E480" t="str">
            <v>ZFGD</v>
          </cell>
          <cell r="F480" t="str">
            <v>PC</v>
          </cell>
          <cell r="G480" t="str">
            <v>1</v>
          </cell>
          <cell r="H480" t="str">
            <v>INDUSTRY</v>
          </cell>
          <cell r="I480" t="str">
            <v>11</v>
          </cell>
          <cell r="J480" t="str">
            <v>WOOD COATINGS</v>
          </cell>
          <cell r="K480" t="str">
            <v>1103</v>
          </cell>
          <cell r="L480" t="str">
            <v>PU</v>
          </cell>
          <cell r="M480" t="str">
            <v>110319</v>
          </cell>
          <cell r="N480" t="str">
            <v>PU COLOR</v>
          </cell>
        </row>
        <row r="481">
          <cell r="C481" t="str">
            <v>100000479</v>
          </cell>
          <cell r="D481" t="str">
            <v>PUC-54206 AC EX MP WHI 05 TT VN-20LP</v>
          </cell>
          <cell r="E481" t="str">
            <v>ZFGD</v>
          </cell>
          <cell r="F481" t="str">
            <v>PC</v>
          </cell>
          <cell r="G481" t="str">
            <v>1</v>
          </cell>
          <cell r="H481" t="str">
            <v>INDUSTRY</v>
          </cell>
          <cell r="I481" t="str">
            <v>11</v>
          </cell>
          <cell r="J481" t="str">
            <v>WOOD COATINGS</v>
          </cell>
          <cell r="K481" t="str">
            <v>1103</v>
          </cell>
          <cell r="L481" t="str">
            <v>PU</v>
          </cell>
          <cell r="M481" t="str">
            <v>110319</v>
          </cell>
          <cell r="N481" t="str">
            <v>PU COLOR</v>
          </cell>
        </row>
        <row r="482">
          <cell r="C482" t="str">
            <v>100000480</v>
          </cell>
          <cell r="D482" t="str">
            <v>PUC-54206 AC EX ORANGE 10 SI VN-20KP</v>
          </cell>
          <cell r="E482" t="str">
            <v>ZFGD</v>
          </cell>
          <cell r="F482" t="str">
            <v>PC</v>
          </cell>
          <cell r="G482" t="str">
            <v>1</v>
          </cell>
          <cell r="H482" t="str">
            <v>INDUSTRY</v>
          </cell>
          <cell r="I482" t="str">
            <v>11</v>
          </cell>
          <cell r="J482" t="str">
            <v>WOOD COATINGS</v>
          </cell>
          <cell r="K482" t="str">
            <v>1103</v>
          </cell>
          <cell r="L482" t="str">
            <v>PU</v>
          </cell>
          <cell r="M482" t="str">
            <v>110319</v>
          </cell>
          <cell r="N482" t="str">
            <v>PU COLOR</v>
          </cell>
        </row>
        <row r="483">
          <cell r="C483" t="str">
            <v>100000481</v>
          </cell>
          <cell r="D483" t="str">
            <v>PUC-54206 AC EX ORANGE 90 LE VN-20KP</v>
          </cell>
          <cell r="E483" t="str">
            <v>ZFGD</v>
          </cell>
          <cell r="F483" t="str">
            <v>PC</v>
          </cell>
          <cell r="G483" t="str">
            <v>1</v>
          </cell>
          <cell r="H483" t="str">
            <v>INDUSTRY</v>
          </cell>
          <cell r="I483" t="str">
            <v>11</v>
          </cell>
          <cell r="J483" t="str">
            <v>WOOD COATINGS</v>
          </cell>
          <cell r="K483" t="str">
            <v>1103</v>
          </cell>
          <cell r="L483" t="str">
            <v>PU</v>
          </cell>
          <cell r="M483" t="str">
            <v>110319</v>
          </cell>
          <cell r="N483" t="str">
            <v>PU COLOR</v>
          </cell>
        </row>
        <row r="484">
          <cell r="C484" t="str">
            <v>100000482</v>
          </cell>
          <cell r="D484" t="str">
            <v>PUC-54206 AC EX PARCHMENT 70 KD VN-18KP</v>
          </cell>
          <cell r="E484" t="str">
            <v>ZFGD</v>
          </cell>
          <cell r="F484" t="str">
            <v>PC</v>
          </cell>
          <cell r="G484" t="str">
            <v>1</v>
          </cell>
          <cell r="H484" t="str">
            <v>INDUSTRY</v>
          </cell>
          <cell r="I484" t="str">
            <v>11</v>
          </cell>
          <cell r="J484" t="str">
            <v>WOOD COATINGS</v>
          </cell>
          <cell r="K484" t="str">
            <v>1103</v>
          </cell>
          <cell r="L484" t="str">
            <v>PU</v>
          </cell>
          <cell r="M484" t="str">
            <v>110319</v>
          </cell>
          <cell r="N484" t="str">
            <v>PU COLOR</v>
          </cell>
        </row>
        <row r="485">
          <cell r="C485" t="str">
            <v>100000483</v>
          </cell>
          <cell r="D485" t="str">
            <v>PUC-54206 AC EX RED 30 SI VN-20KP</v>
          </cell>
          <cell r="E485" t="str">
            <v>ZFGD</v>
          </cell>
          <cell r="F485" t="str">
            <v>PC</v>
          </cell>
          <cell r="G485" t="str">
            <v>1</v>
          </cell>
          <cell r="H485" t="str">
            <v>INDUSTRY</v>
          </cell>
          <cell r="I485" t="str">
            <v>11</v>
          </cell>
          <cell r="J485" t="str">
            <v>WOOD COATINGS</v>
          </cell>
          <cell r="K485" t="str">
            <v>1103</v>
          </cell>
          <cell r="L485" t="str">
            <v>PU</v>
          </cell>
          <cell r="M485" t="str">
            <v>110319</v>
          </cell>
          <cell r="N485" t="str">
            <v>PU COLOR</v>
          </cell>
        </row>
        <row r="486">
          <cell r="C486" t="str">
            <v>100000484</v>
          </cell>
          <cell r="D486" t="str">
            <v>PUC-54206 AC EX RED HV 67 90 LE VN-18KP</v>
          </cell>
          <cell r="E486" t="str">
            <v>ZFGD</v>
          </cell>
          <cell r="F486" t="str">
            <v>PC</v>
          </cell>
          <cell r="G486" t="str">
            <v>1</v>
          </cell>
          <cell r="H486" t="str">
            <v>INDUSTRY</v>
          </cell>
          <cell r="I486" t="str">
            <v>11</v>
          </cell>
          <cell r="J486" t="str">
            <v>WOOD COATINGS</v>
          </cell>
          <cell r="K486" t="str">
            <v>1103</v>
          </cell>
          <cell r="L486" t="str">
            <v>PU</v>
          </cell>
          <cell r="M486" t="str">
            <v>110319</v>
          </cell>
          <cell r="N486" t="str">
            <v>PU COLOR</v>
          </cell>
        </row>
        <row r="487">
          <cell r="C487" t="str">
            <v>100000485</v>
          </cell>
          <cell r="D487" t="str">
            <v>PUC-54206 AC EX SI W 10 TT VN-18KP</v>
          </cell>
          <cell r="E487" t="str">
            <v>ZFGD</v>
          </cell>
          <cell r="F487" t="str">
            <v>PC</v>
          </cell>
          <cell r="G487" t="str">
            <v>1</v>
          </cell>
          <cell r="H487" t="str">
            <v>INDUSTRY</v>
          </cell>
          <cell r="I487" t="str">
            <v>11</v>
          </cell>
          <cell r="J487" t="str">
            <v>WOOD COATINGS</v>
          </cell>
          <cell r="K487" t="str">
            <v>1103</v>
          </cell>
          <cell r="L487" t="str">
            <v>PU</v>
          </cell>
          <cell r="M487" t="str">
            <v>110319</v>
          </cell>
          <cell r="N487" t="str">
            <v>PU COLOR</v>
          </cell>
        </row>
        <row r="488">
          <cell r="C488" t="str">
            <v>100000486</v>
          </cell>
          <cell r="D488" t="str">
            <v>PUC-54206 AC EX SS 20 IF VN-18KP</v>
          </cell>
          <cell r="E488" t="str">
            <v>ZFGD</v>
          </cell>
          <cell r="F488" t="str">
            <v>PC</v>
          </cell>
          <cell r="G488" t="str">
            <v>1</v>
          </cell>
          <cell r="H488" t="str">
            <v>INDUSTRY</v>
          </cell>
          <cell r="I488" t="str">
            <v>11</v>
          </cell>
          <cell r="J488" t="str">
            <v>WOOD COATINGS</v>
          </cell>
          <cell r="K488" t="str">
            <v>1103</v>
          </cell>
          <cell r="L488" t="str">
            <v>PU</v>
          </cell>
          <cell r="M488" t="str">
            <v>110319</v>
          </cell>
          <cell r="N488" t="str">
            <v>PU COLOR</v>
          </cell>
        </row>
        <row r="489">
          <cell r="C489" t="str">
            <v>100000487</v>
          </cell>
          <cell r="D489" t="str">
            <v>PUC-54206 AC EX VHT 19 20 IF VN-20KP</v>
          </cell>
          <cell r="E489" t="str">
            <v>ZFGD</v>
          </cell>
          <cell r="F489" t="str">
            <v>PC</v>
          </cell>
          <cell r="G489" t="str">
            <v>1</v>
          </cell>
          <cell r="H489" t="str">
            <v>INDUSTRY</v>
          </cell>
          <cell r="I489" t="str">
            <v>11</v>
          </cell>
          <cell r="J489" t="str">
            <v>WOOD COATINGS</v>
          </cell>
          <cell r="K489" t="str">
            <v>1103</v>
          </cell>
          <cell r="L489" t="str">
            <v>PU</v>
          </cell>
          <cell r="M489" t="str">
            <v>110319</v>
          </cell>
          <cell r="N489" t="str">
            <v>PU COLOR</v>
          </cell>
        </row>
        <row r="490">
          <cell r="C490" t="str">
            <v>100000488</v>
          </cell>
          <cell r="D490" t="str">
            <v>PUC-54206 AC EX WIL BU 2 0IF VN-18KP</v>
          </cell>
          <cell r="E490" t="str">
            <v>ZFGD</v>
          </cell>
          <cell r="F490" t="str">
            <v>PC</v>
          </cell>
          <cell r="G490" t="str">
            <v>1</v>
          </cell>
          <cell r="H490" t="str">
            <v>INDUSTRY</v>
          </cell>
          <cell r="I490" t="str">
            <v>11</v>
          </cell>
          <cell r="J490" t="str">
            <v>WOOD COATINGS</v>
          </cell>
          <cell r="K490" t="str">
            <v>1103</v>
          </cell>
          <cell r="L490" t="str">
            <v>PU</v>
          </cell>
          <cell r="M490" t="str">
            <v>110319</v>
          </cell>
          <cell r="N490" t="str">
            <v>PU COLOR</v>
          </cell>
        </row>
        <row r="491">
          <cell r="C491" t="str">
            <v>100000489</v>
          </cell>
          <cell r="D491" t="str">
            <v>PUC-54206 AC EX YEL 546 90 LE VN-20KP</v>
          </cell>
          <cell r="E491" t="str">
            <v>ZFGD</v>
          </cell>
          <cell r="F491" t="str">
            <v>PC</v>
          </cell>
          <cell r="G491" t="str">
            <v>1</v>
          </cell>
          <cell r="H491" t="str">
            <v>INDUSTRY</v>
          </cell>
          <cell r="I491" t="str">
            <v>11</v>
          </cell>
          <cell r="J491" t="str">
            <v>WOOD COATINGS</v>
          </cell>
          <cell r="K491" t="str">
            <v>1103</v>
          </cell>
          <cell r="L491" t="str">
            <v>PU</v>
          </cell>
          <cell r="M491" t="str">
            <v>110319</v>
          </cell>
          <cell r="N491" t="str">
            <v>PU COLOR</v>
          </cell>
        </row>
        <row r="492">
          <cell r="C492" t="str">
            <v>100000490</v>
          </cell>
          <cell r="D492" t="str">
            <v>PUC-54206 AC EX YEL 90 SI VN-20KP</v>
          </cell>
          <cell r="E492" t="str">
            <v>ZFGD</v>
          </cell>
          <cell r="F492" t="str">
            <v>PC</v>
          </cell>
          <cell r="G492" t="str">
            <v>1</v>
          </cell>
          <cell r="H492" t="str">
            <v>INDUSTRY</v>
          </cell>
          <cell r="I492" t="str">
            <v>11</v>
          </cell>
          <cell r="J492" t="str">
            <v>WOOD COATINGS</v>
          </cell>
          <cell r="K492" t="str">
            <v>1103</v>
          </cell>
          <cell r="L492" t="str">
            <v>PU</v>
          </cell>
          <cell r="M492" t="str">
            <v>110319</v>
          </cell>
          <cell r="N492" t="str">
            <v>PU COLOR</v>
          </cell>
        </row>
        <row r="493">
          <cell r="C493" t="str">
            <v>100000491</v>
          </cell>
          <cell r="D493" t="str">
            <v>PUH-51205 PS VN-20KP</v>
          </cell>
          <cell r="E493" t="str">
            <v>ZFGD</v>
          </cell>
          <cell r="F493" t="str">
            <v>PC</v>
          </cell>
          <cell r="G493" t="str">
            <v>1</v>
          </cell>
          <cell r="H493" t="str">
            <v>INDUSTRY</v>
          </cell>
          <cell r="I493" t="str">
            <v>11</v>
          </cell>
          <cell r="J493" t="str">
            <v>WOOD COATINGS</v>
          </cell>
          <cell r="K493" t="str">
            <v>1103</v>
          </cell>
          <cell r="L493" t="str">
            <v>PU</v>
          </cell>
          <cell r="M493" t="str">
            <v>110320</v>
          </cell>
          <cell r="N493" t="str">
            <v>PU HARDENER</v>
          </cell>
        </row>
        <row r="494">
          <cell r="C494" t="str">
            <v>100000492</v>
          </cell>
          <cell r="D494" t="str">
            <v>PUH-56104 S VN-4K</v>
          </cell>
          <cell r="E494" t="str">
            <v>ZFGD</v>
          </cell>
          <cell r="F494" t="str">
            <v>PC</v>
          </cell>
          <cell r="G494" t="str">
            <v>1</v>
          </cell>
          <cell r="H494" t="str">
            <v>INDUSTRY</v>
          </cell>
          <cell r="I494" t="str">
            <v>11</v>
          </cell>
          <cell r="J494" t="str">
            <v>WOOD COATINGS</v>
          </cell>
          <cell r="K494" t="str">
            <v>1103</v>
          </cell>
          <cell r="L494" t="str">
            <v>PU</v>
          </cell>
          <cell r="M494" t="str">
            <v>110320</v>
          </cell>
          <cell r="N494" t="str">
            <v>PU HARDENER</v>
          </cell>
        </row>
        <row r="495">
          <cell r="C495" t="str">
            <v>100000493</v>
          </cell>
          <cell r="D495" t="str">
            <v>PUH-56306 LY VN-4L</v>
          </cell>
          <cell r="E495" t="str">
            <v>ZFGD</v>
          </cell>
          <cell r="F495" t="str">
            <v>PC</v>
          </cell>
          <cell r="G495" t="str">
            <v>1</v>
          </cell>
          <cell r="H495" t="str">
            <v>INDUSTRY</v>
          </cell>
          <cell r="I495" t="str">
            <v>11</v>
          </cell>
          <cell r="J495" t="str">
            <v>WOOD COATINGS</v>
          </cell>
          <cell r="K495" t="str">
            <v>1103</v>
          </cell>
          <cell r="L495" t="str">
            <v>PU</v>
          </cell>
          <cell r="M495" t="str">
            <v>110320</v>
          </cell>
          <cell r="N495" t="str">
            <v>PU HARDENER</v>
          </cell>
        </row>
        <row r="496">
          <cell r="C496" t="str">
            <v>100000494</v>
          </cell>
          <cell r="D496" t="str">
            <v>PUH-56306 LY VN-20LP</v>
          </cell>
          <cell r="E496" t="str">
            <v>ZFGD</v>
          </cell>
          <cell r="F496" t="str">
            <v>PC</v>
          </cell>
          <cell r="G496" t="str">
            <v>1</v>
          </cell>
          <cell r="H496" t="str">
            <v>INDUSTRY</v>
          </cell>
          <cell r="I496" t="str">
            <v>11</v>
          </cell>
          <cell r="J496" t="str">
            <v>WOOD COATINGS</v>
          </cell>
          <cell r="K496" t="str">
            <v>1103</v>
          </cell>
          <cell r="L496" t="str">
            <v>PU</v>
          </cell>
          <cell r="M496" t="str">
            <v>110320</v>
          </cell>
          <cell r="N496" t="str">
            <v>PU HARDENER</v>
          </cell>
        </row>
        <row r="497">
          <cell r="C497" t="str">
            <v>100000495</v>
          </cell>
          <cell r="D497" t="str">
            <v>PUH-56306 LY FCC VN-4K</v>
          </cell>
          <cell r="E497" t="str">
            <v>ZFGD</v>
          </cell>
          <cell r="F497" t="str">
            <v>PC</v>
          </cell>
          <cell r="G497" t="str">
            <v>1</v>
          </cell>
          <cell r="H497" t="str">
            <v>INDUSTRY</v>
          </cell>
          <cell r="I497" t="str">
            <v>11</v>
          </cell>
          <cell r="J497" t="str">
            <v>WOOD COATINGS</v>
          </cell>
          <cell r="K497" t="str">
            <v>1103</v>
          </cell>
          <cell r="L497" t="str">
            <v>PU</v>
          </cell>
          <cell r="M497" t="str">
            <v>110320</v>
          </cell>
          <cell r="N497" t="str">
            <v>PU HARDENER</v>
          </cell>
        </row>
        <row r="498">
          <cell r="C498" t="str">
            <v>100000496</v>
          </cell>
          <cell r="D498" t="str">
            <v>PUH-56306 LY FCC VN-18KP</v>
          </cell>
          <cell r="E498" t="str">
            <v>ZFGD</v>
          </cell>
          <cell r="F498" t="str">
            <v>PC</v>
          </cell>
          <cell r="G498" t="str">
            <v>1</v>
          </cell>
          <cell r="H498" t="str">
            <v>INDUSTRY</v>
          </cell>
          <cell r="I498" t="str">
            <v>11</v>
          </cell>
          <cell r="J498" t="str">
            <v>WOOD COATINGS</v>
          </cell>
          <cell r="K498" t="str">
            <v>1103</v>
          </cell>
          <cell r="L498" t="str">
            <v>PU</v>
          </cell>
          <cell r="M498" t="str">
            <v>110320</v>
          </cell>
          <cell r="N498" t="str">
            <v>PU HARDENER</v>
          </cell>
        </row>
        <row r="499">
          <cell r="C499" t="str">
            <v>100000497</v>
          </cell>
          <cell r="D499" t="str">
            <v>PUL-51339 CLEAR 10 VN-20LP</v>
          </cell>
          <cell r="E499" t="str">
            <v>ZFGD</v>
          </cell>
          <cell r="F499" t="str">
            <v>PC</v>
          </cell>
          <cell r="G499" t="str">
            <v>1</v>
          </cell>
          <cell r="H499" t="str">
            <v>INDUSTRY</v>
          </cell>
          <cell r="I499" t="str">
            <v>11</v>
          </cell>
          <cell r="J499" t="str">
            <v>WOOD COATINGS</v>
          </cell>
          <cell r="K499" t="str">
            <v>1103</v>
          </cell>
          <cell r="L499" t="str">
            <v>PU</v>
          </cell>
          <cell r="M499" t="str">
            <v>110321</v>
          </cell>
          <cell r="N499" t="str">
            <v>PU LACQUER</v>
          </cell>
        </row>
        <row r="500">
          <cell r="C500" t="str">
            <v>100000498</v>
          </cell>
          <cell r="D500" t="str">
            <v>PUL-51339 CLEAR 20 VN-20LP</v>
          </cell>
          <cell r="E500" t="str">
            <v>ZFGD</v>
          </cell>
          <cell r="F500" t="str">
            <v>PC</v>
          </cell>
          <cell r="G500" t="str">
            <v>1</v>
          </cell>
          <cell r="H500" t="str">
            <v>INDUSTRY</v>
          </cell>
          <cell r="I500" t="str">
            <v>11</v>
          </cell>
          <cell r="J500" t="str">
            <v>WOOD COATINGS</v>
          </cell>
          <cell r="K500" t="str">
            <v>1103</v>
          </cell>
          <cell r="L500" t="str">
            <v>PU</v>
          </cell>
          <cell r="M500" t="str">
            <v>110321</v>
          </cell>
          <cell r="N500" t="str">
            <v>PU LACQUER</v>
          </cell>
        </row>
        <row r="501">
          <cell r="C501" t="str">
            <v>100000499</v>
          </cell>
          <cell r="D501" t="str">
            <v>PUL-51339 CLEAR 30 VN-20LP</v>
          </cell>
          <cell r="E501" t="str">
            <v>ZFGD</v>
          </cell>
          <cell r="F501" t="str">
            <v>PC</v>
          </cell>
          <cell r="G501" t="str">
            <v>1</v>
          </cell>
          <cell r="H501" t="str">
            <v>INDUSTRY</v>
          </cell>
          <cell r="I501" t="str">
            <v>11</v>
          </cell>
          <cell r="J501" t="str">
            <v>WOOD COATINGS</v>
          </cell>
          <cell r="K501" t="str">
            <v>1103</v>
          </cell>
          <cell r="L501" t="str">
            <v>PU</v>
          </cell>
          <cell r="M501" t="str">
            <v>110321</v>
          </cell>
          <cell r="N501" t="str">
            <v>PU LACQUER</v>
          </cell>
        </row>
        <row r="502">
          <cell r="C502" t="str">
            <v>100000500</v>
          </cell>
          <cell r="D502" t="str">
            <v>PUL-51339 CLEAR 05 VN-20LP</v>
          </cell>
          <cell r="E502" t="str">
            <v>ZFGD</v>
          </cell>
          <cell r="F502" t="str">
            <v>PC</v>
          </cell>
          <cell r="G502" t="str">
            <v>1</v>
          </cell>
          <cell r="H502" t="str">
            <v>INDUSTRY</v>
          </cell>
          <cell r="I502" t="str">
            <v>11</v>
          </cell>
          <cell r="J502" t="str">
            <v>WOOD COATINGS</v>
          </cell>
          <cell r="K502" t="str">
            <v>1103</v>
          </cell>
          <cell r="L502" t="str">
            <v>PU</v>
          </cell>
          <cell r="M502" t="str">
            <v>110321</v>
          </cell>
          <cell r="N502" t="str">
            <v>PU LACQUER</v>
          </cell>
        </row>
        <row r="503">
          <cell r="C503" t="str">
            <v>100000501</v>
          </cell>
          <cell r="D503" t="str">
            <v>PUL-51339 CLEAR 50 VN-20LP</v>
          </cell>
          <cell r="E503" t="str">
            <v>ZFGD</v>
          </cell>
          <cell r="F503" t="str">
            <v>PC</v>
          </cell>
          <cell r="G503" t="str">
            <v>1</v>
          </cell>
          <cell r="H503" t="str">
            <v>INDUSTRY</v>
          </cell>
          <cell r="I503" t="str">
            <v>11</v>
          </cell>
          <cell r="J503" t="str">
            <v>WOOD COATINGS</v>
          </cell>
          <cell r="K503" t="str">
            <v>1103</v>
          </cell>
          <cell r="L503" t="str">
            <v>PU</v>
          </cell>
          <cell r="M503" t="str">
            <v>110321</v>
          </cell>
          <cell r="N503" t="str">
            <v>PU LACQUER</v>
          </cell>
        </row>
        <row r="504">
          <cell r="C504" t="str">
            <v>100000502</v>
          </cell>
          <cell r="D504" t="str">
            <v>PUL-51339 CLEAR 08 KDVN-18KP</v>
          </cell>
          <cell r="E504" t="str">
            <v>ZFGD</v>
          </cell>
          <cell r="F504" t="str">
            <v>PC</v>
          </cell>
          <cell r="G504" t="str">
            <v>1</v>
          </cell>
          <cell r="H504" t="str">
            <v>INDUSTRY</v>
          </cell>
          <cell r="I504" t="str">
            <v>11</v>
          </cell>
          <cell r="J504" t="str">
            <v>WOOD COATINGS</v>
          </cell>
          <cell r="K504" t="str">
            <v>1103</v>
          </cell>
          <cell r="L504" t="str">
            <v>PU</v>
          </cell>
          <cell r="M504" t="str">
            <v>110321</v>
          </cell>
          <cell r="N504" t="str">
            <v>PU LACQUER</v>
          </cell>
        </row>
        <row r="505">
          <cell r="C505" t="str">
            <v>100000503</v>
          </cell>
          <cell r="D505" t="str">
            <v>PUL-51341 CLEAR 05 VN-18KP</v>
          </cell>
          <cell r="E505" t="str">
            <v>ZFGD</v>
          </cell>
          <cell r="F505" t="str">
            <v>PC</v>
          </cell>
          <cell r="G505" t="str">
            <v>1</v>
          </cell>
          <cell r="H505" t="str">
            <v>INDUSTRY</v>
          </cell>
          <cell r="I505" t="str">
            <v>11</v>
          </cell>
          <cell r="J505" t="str">
            <v>WOOD COATINGS</v>
          </cell>
          <cell r="K505" t="str">
            <v>1103</v>
          </cell>
          <cell r="L505" t="str">
            <v>PU</v>
          </cell>
          <cell r="M505" t="str">
            <v>110321</v>
          </cell>
          <cell r="N505" t="str">
            <v>PU LACQUER</v>
          </cell>
        </row>
        <row r="506">
          <cell r="C506" t="str">
            <v>100000504</v>
          </cell>
          <cell r="D506" t="str">
            <v>PUL-51341 CLEAR 10 VN-18KP</v>
          </cell>
          <cell r="E506" t="str">
            <v>ZFGD</v>
          </cell>
          <cell r="F506" t="str">
            <v>PC</v>
          </cell>
          <cell r="G506" t="str">
            <v>1</v>
          </cell>
          <cell r="H506" t="str">
            <v>INDUSTRY</v>
          </cell>
          <cell r="I506" t="str">
            <v>11</v>
          </cell>
          <cell r="J506" t="str">
            <v>WOOD COATINGS</v>
          </cell>
          <cell r="K506" t="str">
            <v>1103</v>
          </cell>
          <cell r="L506" t="str">
            <v>PU</v>
          </cell>
          <cell r="M506" t="str">
            <v>110321</v>
          </cell>
          <cell r="N506" t="str">
            <v>PU LACQUER</v>
          </cell>
        </row>
        <row r="507">
          <cell r="C507" t="str">
            <v>100000505</v>
          </cell>
          <cell r="D507" t="str">
            <v>PUL-51341 CLEAR 20 VN-18KP</v>
          </cell>
          <cell r="E507" t="str">
            <v>ZFGD</v>
          </cell>
          <cell r="F507" t="str">
            <v>PC</v>
          </cell>
          <cell r="G507" t="str">
            <v>1</v>
          </cell>
          <cell r="H507" t="str">
            <v>INDUSTRY</v>
          </cell>
          <cell r="I507" t="str">
            <v>11</v>
          </cell>
          <cell r="J507" t="str">
            <v>WOOD COATINGS</v>
          </cell>
          <cell r="K507" t="str">
            <v>1103</v>
          </cell>
          <cell r="L507" t="str">
            <v>PU</v>
          </cell>
          <cell r="M507" t="str">
            <v>110321</v>
          </cell>
          <cell r="N507" t="str">
            <v>PU LACQUER</v>
          </cell>
        </row>
        <row r="508">
          <cell r="C508" t="str">
            <v>100000506</v>
          </cell>
          <cell r="D508" t="str">
            <v>PUL-51341 CLEAR 25 VN-18KP</v>
          </cell>
          <cell r="E508" t="str">
            <v>ZFGD</v>
          </cell>
          <cell r="F508" t="str">
            <v>PC</v>
          </cell>
          <cell r="G508" t="str">
            <v>1</v>
          </cell>
          <cell r="H508" t="str">
            <v>INDUSTRY</v>
          </cell>
          <cell r="I508" t="str">
            <v>11</v>
          </cell>
          <cell r="J508" t="str">
            <v>WOOD COATINGS</v>
          </cell>
          <cell r="K508" t="str">
            <v>1103</v>
          </cell>
          <cell r="L508" t="str">
            <v>PU</v>
          </cell>
          <cell r="M508" t="str">
            <v>110321</v>
          </cell>
          <cell r="N508" t="str">
            <v>PU LACQUER</v>
          </cell>
        </row>
        <row r="509">
          <cell r="C509" t="str">
            <v>100000507</v>
          </cell>
          <cell r="D509" t="str">
            <v>PUL-51341 CLEAR 30 VN-18KP</v>
          </cell>
          <cell r="E509" t="str">
            <v>ZFGD</v>
          </cell>
          <cell r="F509" t="str">
            <v>PC</v>
          </cell>
          <cell r="G509" t="str">
            <v>1</v>
          </cell>
          <cell r="H509" t="str">
            <v>INDUSTRY</v>
          </cell>
          <cell r="I509" t="str">
            <v>11</v>
          </cell>
          <cell r="J509" t="str">
            <v>WOOD COATINGS</v>
          </cell>
          <cell r="K509" t="str">
            <v>1103</v>
          </cell>
          <cell r="L509" t="str">
            <v>PU</v>
          </cell>
          <cell r="M509" t="str">
            <v>110321</v>
          </cell>
          <cell r="N509" t="str">
            <v>PU LACQUER</v>
          </cell>
        </row>
        <row r="510">
          <cell r="C510" t="str">
            <v>100000508</v>
          </cell>
          <cell r="D510" t="str">
            <v>PUL-51341 CLEAR 40 VN-18KP</v>
          </cell>
          <cell r="E510" t="str">
            <v>ZFGD</v>
          </cell>
          <cell r="F510" t="str">
            <v>PC</v>
          </cell>
          <cell r="G510" t="str">
            <v>1</v>
          </cell>
          <cell r="H510" t="str">
            <v>INDUSTRY</v>
          </cell>
          <cell r="I510" t="str">
            <v>11</v>
          </cell>
          <cell r="J510" t="str">
            <v>WOOD COATINGS</v>
          </cell>
          <cell r="K510" t="str">
            <v>1103</v>
          </cell>
          <cell r="L510" t="str">
            <v>PU</v>
          </cell>
          <cell r="M510" t="str">
            <v>110321</v>
          </cell>
          <cell r="N510" t="str">
            <v>PU LACQUER</v>
          </cell>
        </row>
        <row r="511">
          <cell r="C511" t="str">
            <v>100000509</v>
          </cell>
          <cell r="D511" t="str">
            <v>PUL-53306 AC EX CLEAR 08-20LP</v>
          </cell>
          <cell r="E511" t="str">
            <v>ZFGD</v>
          </cell>
          <cell r="F511" t="str">
            <v>PC</v>
          </cell>
          <cell r="G511" t="str">
            <v>1</v>
          </cell>
          <cell r="H511" t="str">
            <v>INDUSTRY</v>
          </cell>
          <cell r="I511" t="str">
            <v>11</v>
          </cell>
          <cell r="J511" t="str">
            <v>WOOD COATINGS</v>
          </cell>
          <cell r="K511" t="str">
            <v>1103</v>
          </cell>
          <cell r="L511" t="str">
            <v>PU</v>
          </cell>
          <cell r="M511" t="str">
            <v>110321</v>
          </cell>
          <cell r="N511" t="str">
            <v>PU LACQUER</v>
          </cell>
        </row>
        <row r="512">
          <cell r="C512" t="str">
            <v>100000510</v>
          </cell>
          <cell r="D512" t="str">
            <v>PUL-53306 AC EX CLEAR 90-20LP</v>
          </cell>
          <cell r="E512" t="str">
            <v>ZFGD</v>
          </cell>
          <cell r="F512" t="str">
            <v>PC</v>
          </cell>
          <cell r="G512" t="str">
            <v>1</v>
          </cell>
          <cell r="H512" t="str">
            <v>INDUSTRY</v>
          </cell>
          <cell r="I512" t="str">
            <v>11</v>
          </cell>
          <cell r="J512" t="str">
            <v>WOOD COATINGS</v>
          </cell>
          <cell r="K512" t="str">
            <v>1103</v>
          </cell>
          <cell r="L512" t="str">
            <v>PU</v>
          </cell>
          <cell r="M512" t="str">
            <v>110321</v>
          </cell>
          <cell r="N512" t="str">
            <v>PU LACQUER</v>
          </cell>
        </row>
        <row r="513">
          <cell r="C513" t="str">
            <v>100000511</v>
          </cell>
          <cell r="D513" t="str">
            <v>PUL-53306 AC EX CLEAR 05 VN-20LP</v>
          </cell>
          <cell r="E513" t="str">
            <v>ZFGD</v>
          </cell>
          <cell r="F513" t="str">
            <v>PC</v>
          </cell>
          <cell r="G513" t="str">
            <v>1</v>
          </cell>
          <cell r="H513" t="str">
            <v>INDUSTRY</v>
          </cell>
          <cell r="I513" t="str">
            <v>11</v>
          </cell>
          <cell r="J513" t="str">
            <v>WOOD COATINGS</v>
          </cell>
          <cell r="K513" t="str">
            <v>1103</v>
          </cell>
          <cell r="L513" t="str">
            <v>PU</v>
          </cell>
          <cell r="M513" t="str">
            <v>110321</v>
          </cell>
          <cell r="N513" t="str">
            <v>PU LACQUER</v>
          </cell>
        </row>
        <row r="514">
          <cell r="C514" t="str">
            <v>100000512</v>
          </cell>
          <cell r="D514" t="str">
            <v>PUL-53306 AC EX CLEAR 10 VN-20LP</v>
          </cell>
          <cell r="E514" t="str">
            <v>ZFGD</v>
          </cell>
          <cell r="F514" t="str">
            <v>PC</v>
          </cell>
          <cell r="G514" t="str">
            <v>1</v>
          </cell>
          <cell r="H514" t="str">
            <v>INDUSTRY</v>
          </cell>
          <cell r="I514" t="str">
            <v>11</v>
          </cell>
          <cell r="J514" t="str">
            <v>WOOD COATINGS</v>
          </cell>
          <cell r="K514" t="str">
            <v>1103</v>
          </cell>
          <cell r="L514" t="str">
            <v>PU</v>
          </cell>
          <cell r="M514" t="str">
            <v>110321</v>
          </cell>
          <cell r="N514" t="str">
            <v>PU LACQUER</v>
          </cell>
        </row>
        <row r="515">
          <cell r="C515" t="str">
            <v>100000513</v>
          </cell>
          <cell r="D515" t="str">
            <v>#NUPUL-53306 AC EX CLEAR 15 VN-20LJ</v>
          </cell>
          <cell r="E515" t="str">
            <v>ZFGD</v>
          </cell>
          <cell r="F515" t="str">
            <v>PC</v>
          </cell>
          <cell r="G515" t="str">
            <v>1</v>
          </cell>
          <cell r="H515" t="str">
            <v>INDUSTRY</v>
          </cell>
          <cell r="I515" t="str">
            <v>11</v>
          </cell>
          <cell r="J515" t="str">
            <v>WOOD COATINGS</v>
          </cell>
          <cell r="K515" t="str">
            <v>1103</v>
          </cell>
          <cell r="L515" t="str">
            <v>PU</v>
          </cell>
          <cell r="M515" t="str">
            <v>110304</v>
          </cell>
          <cell r="N515" t="str">
            <v>PU SYSTEM</v>
          </cell>
        </row>
        <row r="516">
          <cell r="C516" t="str">
            <v>100000514</v>
          </cell>
          <cell r="D516" t="str">
            <v>PUL-53306 AC EX CLEAR 20 VN-20LP</v>
          </cell>
          <cell r="E516" t="str">
            <v>ZFGD</v>
          </cell>
          <cell r="F516" t="str">
            <v>PC</v>
          </cell>
          <cell r="G516" t="str">
            <v>1</v>
          </cell>
          <cell r="H516" t="str">
            <v>INDUSTRY</v>
          </cell>
          <cell r="I516" t="str">
            <v>11</v>
          </cell>
          <cell r="J516" t="str">
            <v>WOOD COATINGS</v>
          </cell>
          <cell r="K516" t="str">
            <v>1103</v>
          </cell>
          <cell r="L516" t="str">
            <v>PU</v>
          </cell>
          <cell r="M516" t="str">
            <v>110321</v>
          </cell>
          <cell r="N516" t="str">
            <v>PU LACQUER</v>
          </cell>
        </row>
        <row r="517">
          <cell r="C517" t="str">
            <v>100000515</v>
          </cell>
          <cell r="D517" t="str">
            <v>PUL-53306 AC EX CLEAR 30 VN-20LP</v>
          </cell>
          <cell r="E517" t="str">
            <v>ZFGD</v>
          </cell>
          <cell r="F517" t="str">
            <v>PC</v>
          </cell>
          <cell r="G517" t="str">
            <v>1</v>
          </cell>
          <cell r="H517" t="str">
            <v>INDUSTRY</v>
          </cell>
          <cell r="I517" t="str">
            <v>11</v>
          </cell>
          <cell r="J517" t="str">
            <v>WOOD COATINGS</v>
          </cell>
          <cell r="K517" t="str">
            <v>1103</v>
          </cell>
          <cell r="L517" t="str">
            <v>PU</v>
          </cell>
          <cell r="M517" t="str">
            <v>110321</v>
          </cell>
          <cell r="N517" t="str">
            <v>PU LACQUER</v>
          </cell>
        </row>
        <row r="518">
          <cell r="C518" t="str">
            <v>100000516</v>
          </cell>
          <cell r="D518" t="str">
            <v>PUL-53306 AC EX CLEAR 40 VN-20LP</v>
          </cell>
          <cell r="E518" t="str">
            <v>ZFGD</v>
          </cell>
          <cell r="F518" t="str">
            <v>PC</v>
          </cell>
          <cell r="G518" t="str">
            <v>1</v>
          </cell>
          <cell r="H518" t="str">
            <v>INDUSTRY</v>
          </cell>
          <cell r="I518" t="str">
            <v>11</v>
          </cell>
          <cell r="J518" t="str">
            <v>WOOD COATINGS</v>
          </cell>
          <cell r="K518" t="str">
            <v>1103</v>
          </cell>
          <cell r="L518" t="str">
            <v>PU</v>
          </cell>
          <cell r="M518" t="str">
            <v>110321</v>
          </cell>
          <cell r="N518" t="str">
            <v>PU LACQUER</v>
          </cell>
        </row>
        <row r="519">
          <cell r="C519" t="str">
            <v>100000517</v>
          </cell>
          <cell r="D519" t="str">
            <v>PUL-53306 AC EX CLEAR 50 VN-20LP</v>
          </cell>
          <cell r="E519" t="str">
            <v>ZFGD</v>
          </cell>
          <cell r="F519" t="str">
            <v>PC</v>
          </cell>
          <cell r="G519" t="str">
            <v>1</v>
          </cell>
          <cell r="H519" t="str">
            <v>INDUSTRY</v>
          </cell>
          <cell r="I519" t="str">
            <v>11</v>
          </cell>
          <cell r="J519" t="str">
            <v>WOOD COATINGS</v>
          </cell>
          <cell r="K519" t="str">
            <v>1103</v>
          </cell>
          <cell r="L519" t="str">
            <v>PU</v>
          </cell>
          <cell r="M519" t="str">
            <v>110321</v>
          </cell>
          <cell r="N519" t="str">
            <v>PU LACQUER</v>
          </cell>
        </row>
        <row r="520">
          <cell r="C520" t="str">
            <v>100000518</v>
          </cell>
          <cell r="D520" t="str">
            <v>PUL-53306 AC EX CLEAR 80 VN-20LP</v>
          </cell>
          <cell r="E520" t="str">
            <v>ZFGD</v>
          </cell>
          <cell r="F520" t="str">
            <v>PC</v>
          </cell>
          <cell r="G520" t="str">
            <v>1</v>
          </cell>
          <cell r="H520" t="str">
            <v>INDUSTRY</v>
          </cell>
          <cell r="I520" t="str">
            <v>11</v>
          </cell>
          <cell r="J520" t="str">
            <v>WOOD COATINGS</v>
          </cell>
          <cell r="K520" t="str">
            <v>1103</v>
          </cell>
          <cell r="L520" t="str">
            <v>PU</v>
          </cell>
          <cell r="M520" t="str">
            <v>110321</v>
          </cell>
          <cell r="N520" t="str">
            <v>PU LACQUER</v>
          </cell>
        </row>
        <row r="521">
          <cell r="C521" t="str">
            <v>100000519</v>
          </cell>
          <cell r="D521" t="str">
            <v>PUL-53306 AC EX CLEAR 90 VN-20LP</v>
          </cell>
          <cell r="E521" t="str">
            <v>ZFGD</v>
          </cell>
          <cell r="F521" t="str">
            <v>PC</v>
          </cell>
          <cell r="G521" t="str">
            <v>1</v>
          </cell>
          <cell r="H521" t="str">
            <v>INDUSTRY</v>
          </cell>
          <cell r="I521" t="str">
            <v>11</v>
          </cell>
          <cell r="J521" t="str">
            <v>WOOD COATINGS</v>
          </cell>
          <cell r="K521" t="str">
            <v>1103</v>
          </cell>
          <cell r="L521" t="str">
            <v>PU</v>
          </cell>
          <cell r="M521" t="str">
            <v>110321</v>
          </cell>
          <cell r="N521" t="str">
            <v>PU LACQUER</v>
          </cell>
        </row>
        <row r="522">
          <cell r="C522" t="str">
            <v>100000520</v>
          </cell>
          <cell r="D522" t="str">
            <v>PUL-53306 AC EX FCC CLEAR 10 VN-18KP</v>
          </cell>
          <cell r="E522" t="str">
            <v>ZFGD</v>
          </cell>
          <cell r="F522" t="str">
            <v>PC</v>
          </cell>
          <cell r="G522" t="str">
            <v>1</v>
          </cell>
          <cell r="H522" t="str">
            <v>INDUSTRY</v>
          </cell>
          <cell r="I522" t="str">
            <v>11</v>
          </cell>
          <cell r="J522" t="str">
            <v>WOOD COATINGS</v>
          </cell>
          <cell r="K522" t="str">
            <v>1103</v>
          </cell>
          <cell r="L522" t="str">
            <v>PU</v>
          </cell>
          <cell r="M522" t="str">
            <v>110321</v>
          </cell>
          <cell r="N522" t="str">
            <v>PU LACQUER</v>
          </cell>
        </row>
        <row r="523">
          <cell r="C523" t="str">
            <v>100000521</v>
          </cell>
          <cell r="D523" t="str">
            <v>PUL-53308 AC CLEAR 10 VN-18KP</v>
          </cell>
          <cell r="E523" t="str">
            <v>ZFGD</v>
          </cell>
          <cell r="F523" t="str">
            <v>PC</v>
          </cell>
          <cell r="G523" t="str">
            <v>1</v>
          </cell>
          <cell r="H523" t="str">
            <v>INDUSTRY</v>
          </cell>
          <cell r="I523" t="str">
            <v>11</v>
          </cell>
          <cell r="J523" t="str">
            <v>WOOD COATINGS</v>
          </cell>
          <cell r="K523" t="str">
            <v>1103</v>
          </cell>
          <cell r="L523" t="str">
            <v>PU</v>
          </cell>
          <cell r="M523" t="str">
            <v>110321</v>
          </cell>
          <cell r="N523" t="str">
            <v>PU LACQUER</v>
          </cell>
        </row>
        <row r="524">
          <cell r="C524" t="str">
            <v>100000522</v>
          </cell>
          <cell r="D524" t="str">
            <v>PUL-53308 AC CLEAR 20 VN-18KP</v>
          </cell>
          <cell r="E524" t="str">
            <v>ZFGD</v>
          </cell>
          <cell r="F524" t="str">
            <v>PC</v>
          </cell>
          <cell r="G524" t="str">
            <v>1</v>
          </cell>
          <cell r="H524" t="str">
            <v>INDUSTRY</v>
          </cell>
          <cell r="I524" t="str">
            <v>11</v>
          </cell>
          <cell r="J524" t="str">
            <v>WOOD COATINGS</v>
          </cell>
          <cell r="K524" t="str">
            <v>1103</v>
          </cell>
          <cell r="L524" t="str">
            <v>PU</v>
          </cell>
          <cell r="M524" t="str">
            <v>110321</v>
          </cell>
          <cell r="N524" t="str">
            <v>PU LACQUER</v>
          </cell>
        </row>
        <row r="525">
          <cell r="C525" t="str">
            <v>100000523</v>
          </cell>
          <cell r="D525" t="str">
            <v>PUL-53310 AC CLEAR 05 VN-18KP</v>
          </cell>
          <cell r="E525" t="str">
            <v>ZFGD</v>
          </cell>
          <cell r="F525" t="str">
            <v>PC</v>
          </cell>
          <cell r="G525" t="str">
            <v>1</v>
          </cell>
          <cell r="H525" t="str">
            <v>INDUSTRY</v>
          </cell>
          <cell r="I525" t="str">
            <v>11</v>
          </cell>
          <cell r="J525" t="str">
            <v>WOOD COATINGS</v>
          </cell>
          <cell r="K525" t="str">
            <v>1103</v>
          </cell>
          <cell r="L525" t="str">
            <v>PU</v>
          </cell>
          <cell r="M525" t="str">
            <v>110321</v>
          </cell>
          <cell r="N525" t="str">
            <v>PU LACQUER</v>
          </cell>
        </row>
        <row r="526">
          <cell r="C526" t="str">
            <v>100000524</v>
          </cell>
          <cell r="D526" t="str">
            <v>PUL-53315 AC CLEAR 90 VN-20LP</v>
          </cell>
          <cell r="E526" t="str">
            <v>ZFGD</v>
          </cell>
          <cell r="F526" t="str">
            <v>PC</v>
          </cell>
          <cell r="G526" t="str">
            <v>1</v>
          </cell>
          <cell r="H526" t="str">
            <v>INDUSTRY</v>
          </cell>
          <cell r="I526" t="str">
            <v>11</v>
          </cell>
          <cell r="J526" t="str">
            <v>WOOD COATINGS</v>
          </cell>
          <cell r="K526" t="str">
            <v>1103</v>
          </cell>
          <cell r="L526" t="str">
            <v>PU</v>
          </cell>
          <cell r="M526" t="str">
            <v>110321</v>
          </cell>
          <cell r="N526" t="str">
            <v>PU LACQUER</v>
          </cell>
        </row>
        <row r="527">
          <cell r="C527" t="str">
            <v>100000525</v>
          </cell>
          <cell r="D527" t="str">
            <v>PUP-1521-570-AK-200KB</v>
          </cell>
          <cell r="E527" t="str">
            <v>ZFGD</v>
          </cell>
          <cell r="F527" t="str">
            <v>PC</v>
          </cell>
          <cell r="G527" t="str">
            <v>1</v>
          </cell>
          <cell r="H527" t="str">
            <v>INDUSTRY</v>
          </cell>
          <cell r="I527" t="str">
            <v>11</v>
          </cell>
          <cell r="J527" t="str">
            <v>WOOD COATINGS</v>
          </cell>
          <cell r="K527" t="str">
            <v>1103</v>
          </cell>
          <cell r="L527" t="str">
            <v>PU</v>
          </cell>
          <cell r="M527" t="str">
            <v>110322</v>
          </cell>
          <cell r="N527" t="str">
            <v>PU PRIMER</v>
          </cell>
        </row>
        <row r="528">
          <cell r="C528" t="str">
            <v>100000526</v>
          </cell>
          <cell r="D528" t="str">
            <v>PUP-52122 PUTTY 01 VN-20KP</v>
          </cell>
          <cell r="E528" t="str">
            <v>ZFGD</v>
          </cell>
          <cell r="F528" t="str">
            <v>PC</v>
          </cell>
          <cell r="G528" t="str">
            <v>1</v>
          </cell>
          <cell r="H528" t="str">
            <v>INDUSTRY</v>
          </cell>
          <cell r="I528" t="str">
            <v>11</v>
          </cell>
          <cell r="J528" t="str">
            <v>WOOD COATINGS</v>
          </cell>
          <cell r="K528" t="str">
            <v>1103</v>
          </cell>
          <cell r="L528" t="str">
            <v>PU</v>
          </cell>
          <cell r="M528" t="str">
            <v>110322</v>
          </cell>
          <cell r="N528" t="str">
            <v>PU PRIMER</v>
          </cell>
        </row>
        <row r="529">
          <cell r="C529" t="str">
            <v>100000527</v>
          </cell>
          <cell r="D529" t="str">
            <v>PUP-52122 PUTTY VN-20KP</v>
          </cell>
          <cell r="E529" t="str">
            <v>ZFGD</v>
          </cell>
          <cell r="F529" t="str">
            <v>PC</v>
          </cell>
          <cell r="G529" t="str">
            <v>1</v>
          </cell>
          <cell r="H529" t="str">
            <v>INDUSTRY</v>
          </cell>
          <cell r="I529" t="str">
            <v>11</v>
          </cell>
          <cell r="J529" t="str">
            <v>WOOD COATINGS</v>
          </cell>
          <cell r="K529" t="str">
            <v>1103</v>
          </cell>
          <cell r="L529" t="str">
            <v>PU</v>
          </cell>
          <cell r="M529" t="str">
            <v>110322</v>
          </cell>
          <cell r="N529" t="str">
            <v>PU PRIMER</v>
          </cell>
        </row>
        <row r="530">
          <cell r="C530" t="str">
            <v>100000528</v>
          </cell>
          <cell r="D530" t="str">
            <v>PUP-52141 BLACK 01 VN-20KP</v>
          </cell>
          <cell r="E530" t="str">
            <v>ZFGD</v>
          </cell>
          <cell r="F530" t="str">
            <v>PC</v>
          </cell>
          <cell r="G530" t="str">
            <v>1</v>
          </cell>
          <cell r="H530" t="str">
            <v>INDUSTRY</v>
          </cell>
          <cell r="I530" t="str">
            <v>11</v>
          </cell>
          <cell r="J530" t="str">
            <v>WOOD COATINGS</v>
          </cell>
          <cell r="K530" t="str">
            <v>1103</v>
          </cell>
          <cell r="L530" t="str">
            <v>PU</v>
          </cell>
          <cell r="M530" t="str">
            <v>110322</v>
          </cell>
          <cell r="N530" t="str">
            <v>PU PRIMER</v>
          </cell>
        </row>
        <row r="531">
          <cell r="C531" t="str">
            <v>100000529</v>
          </cell>
          <cell r="D531" t="str">
            <v>PUP-52141 BLACK YJ VN-20KP</v>
          </cell>
          <cell r="E531" t="str">
            <v>ZFGD</v>
          </cell>
          <cell r="F531" t="str">
            <v>PC</v>
          </cell>
          <cell r="G531" t="str">
            <v>1</v>
          </cell>
          <cell r="H531" t="str">
            <v>INDUSTRY</v>
          </cell>
          <cell r="I531" t="str">
            <v>11</v>
          </cell>
          <cell r="J531" t="str">
            <v>WOOD COATINGS</v>
          </cell>
          <cell r="K531" t="str">
            <v>1103</v>
          </cell>
          <cell r="L531" t="str">
            <v>PU</v>
          </cell>
          <cell r="M531" t="str">
            <v>110322</v>
          </cell>
          <cell r="N531" t="str">
            <v>PU PRIMER</v>
          </cell>
        </row>
        <row r="532">
          <cell r="C532" t="str">
            <v>100000530</v>
          </cell>
          <cell r="D532" t="str">
            <v>PUP-52141 VTB 01 F1 VN-20KP</v>
          </cell>
          <cell r="E532" t="str">
            <v>ZFGD</v>
          </cell>
          <cell r="F532" t="str">
            <v>PC</v>
          </cell>
          <cell r="G532" t="str">
            <v>1</v>
          </cell>
          <cell r="H532" t="str">
            <v>INDUSTRY</v>
          </cell>
          <cell r="I532" t="str">
            <v>11</v>
          </cell>
          <cell r="J532" t="str">
            <v>WOOD COATINGS</v>
          </cell>
          <cell r="K532" t="str">
            <v>1103</v>
          </cell>
          <cell r="L532" t="str">
            <v>PU</v>
          </cell>
          <cell r="M532" t="str">
            <v>110322</v>
          </cell>
          <cell r="N532" t="str">
            <v>PU PRIMER</v>
          </cell>
        </row>
        <row r="533">
          <cell r="C533" t="str">
            <v>100000531</v>
          </cell>
          <cell r="D533" t="str">
            <v>PUP-52141 VTB 02 F1 VN-20KP</v>
          </cell>
          <cell r="E533" t="str">
            <v>ZFGD</v>
          </cell>
          <cell r="F533" t="str">
            <v>PC</v>
          </cell>
          <cell r="G533" t="str">
            <v>1</v>
          </cell>
          <cell r="H533" t="str">
            <v>INDUSTRY</v>
          </cell>
          <cell r="I533" t="str">
            <v>11</v>
          </cell>
          <cell r="J533" t="str">
            <v>WOOD COATINGS</v>
          </cell>
          <cell r="K533" t="str">
            <v>1103</v>
          </cell>
          <cell r="L533" t="str">
            <v>PU</v>
          </cell>
          <cell r="M533" t="str">
            <v>110322</v>
          </cell>
          <cell r="N533" t="str">
            <v>PU PRIMER</v>
          </cell>
        </row>
        <row r="534">
          <cell r="C534" t="str">
            <v>100000532</v>
          </cell>
          <cell r="D534" t="str">
            <v>PUP-52141 WHITE 01 VN-20KP</v>
          </cell>
          <cell r="E534" t="str">
            <v>ZFGD</v>
          </cell>
          <cell r="F534" t="str">
            <v>PC</v>
          </cell>
          <cell r="G534" t="str">
            <v>1</v>
          </cell>
          <cell r="H534" t="str">
            <v>INDUSTRY</v>
          </cell>
          <cell r="I534" t="str">
            <v>11</v>
          </cell>
          <cell r="J534" t="str">
            <v>WOOD COATINGS</v>
          </cell>
          <cell r="K534" t="str">
            <v>1103</v>
          </cell>
          <cell r="L534" t="str">
            <v>PU</v>
          </cell>
          <cell r="M534" t="str">
            <v>110322</v>
          </cell>
          <cell r="N534" t="str">
            <v>PU PRIMER</v>
          </cell>
        </row>
        <row r="535">
          <cell r="C535" t="str">
            <v>100000533</v>
          </cell>
          <cell r="D535" t="str">
            <v>PUP-52141 WHITE 01 VN-200KB</v>
          </cell>
          <cell r="E535" t="str">
            <v>ZFGD</v>
          </cell>
          <cell r="F535" t="str">
            <v>PC</v>
          </cell>
          <cell r="G535" t="str">
            <v>1</v>
          </cell>
          <cell r="H535" t="str">
            <v>INDUSTRY</v>
          </cell>
          <cell r="I535" t="str">
            <v>11</v>
          </cell>
          <cell r="J535" t="str">
            <v>WOOD COATINGS</v>
          </cell>
          <cell r="K535" t="str">
            <v>1103</v>
          </cell>
          <cell r="L535" t="str">
            <v>PU</v>
          </cell>
          <cell r="M535" t="str">
            <v>110322</v>
          </cell>
          <cell r="N535" t="str">
            <v>PU PRIMER</v>
          </cell>
        </row>
        <row r="536">
          <cell r="C536" t="str">
            <v>100000534</v>
          </cell>
          <cell r="D536" t="str">
            <v>PUP-52141 WHITE YJ VN-20KP</v>
          </cell>
          <cell r="E536" t="str">
            <v>ZFGD</v>
          </cell>
          <cell r="F536" t="str">
            <v>PC</v>
          </cell>
          <cell r="G536" t="str">
            <v>1</v>
          </cell>
          <cell r="H536" t="str">
            <v>INDUSTRY</v>
          </cell>
          <cell r="I536" t="str">
            <v>11</v>
          </cell>
          <cell r="J536" t="str">
            <v>WOOD COATINGS</v>
          </cell>
          <cell r="K536" t="str">
            <v>1103</v>
          </cell>
          <cell r="L536" t="str">
            <v>PU</v>
          </cell>
          <cell r="M536" t="str">
            <v>110322</v>
          </cell>
          <cell r="N536" t="str">
            <v>PU PRIMER</v>
          </cell>
        </row>
        <row r="537">
          <cell r="C537" t="str">
            <v>100000535</v>
          </cell>
          <cell r="D537" t="str">
            <v>PUP-54106 AC EX BLACK 002 KI VN-20KP</v>
          </cell>
          <cell r="E537" t="str">
            <v>ZFGD</v>
          </cell>
          <cell r="F537" t="str">
            <v>PC</v>
          </cell>
          <cell r="G537" t="str">
            <v>1</v>
          </cell>
          <cell r="H537" t="str">
            <v>INDUSTRY</v>
          </cell>
          <cell r="I537" t="str">
            <v>11</v>
          </cell>
          <cell r="J537" t="str">
            <v>WOOD COATINGS</v>
          </cell>
          <cell r="K537" t="str">
            <v>1103</v>
          </cell>
          <cell r="L537" t="str">
            <v>PU</v>
          </cell>
          <cell r="M537" t="str">
            <v>110322</v>
          </cell>
          <cell r="N537" t="str">
            <v>PU PRIMER</v>
          </cell>
        </row>
        <row r="538">
          <cell r="C538" t="str">
            <v>100000536</v>
          </cell>
          <cell r="D538" t="str">
            <v>PUP-54106 AC EX BLACK DB VN-20KP</v>
          </cell>
          <cell r="E538" t="str">
            <v>ZFGD</v>
          </cell>
          <cell r="F538" t="str">
            <v>PC</v>
          </cell>
          <cell r="G538" t="str">
            <v>1</v>
          </cell>
          <cell r="H538" t="str">
            <v>INDUSTRY</v>
          </cell>
          <cell r="I538" t="str">
            <v>11</v>
          </cell>
          <cell r="J538" t="str">
            <v>WOOD COATINGS</v>
          </cell>
          <cell r="K538" t="str">
            <v>1103</v>
          </cell>
          <cell r="L538" t="str">
            <v>PU</v>
          </cell>
          <cell r="M538" t="str">
            <v>110322</v>
          </cell>
          <cell r="N538" t="str">
            <v>PU PRIMER</v>
          </cell>
        </row>
        <row r="539">
          <cell r="C539" t="str">
            <v>100000537</v>
          </cell>
          <cell r="D539" t="str">
            <v>PUP-54106 AC EX BROWN DB VN-20KP</v>
          </cell>
          <cell r="E539" t="str">
            <v>ZFGD</v>
          </cell>
          <cell r="F539" t="str">
            <v>PC</v>
          </cell>
          <cell r="G539" t="str">
            <v>1</v>
          </cell>
          <cell r="H539" t="str">
            <v>INDUSTRY</v>
          </cell>
          <cell r="I539" t="str">
            <v>11</v>
          </cell>
          <cell r="J539" t="str">
            <v>WOOD COATINGS</v>
          </cell>
          <cell r="K539" t="str">
            <v>1103</v>
          </cell>
          <cell r="L539" t="str">
            <v>PU</v>
          </cell>
          <cell r="M539" t="str">
            <v>110322</v>
          </cell>
          <cell r="N539" t="str">
            <v>PU PRIMER</v>
          </cell>
        </row>
        <row r="540">
          <cell r="C540" t="str">
            <v>100000538</v>
          </cell>
          <cell r="D540" t="str">
            <v>PUP-54106 AC EX BROWN RG KI VN-20KP</v>
          </cell>
          <cell r="E540" t="str">
            <v>ZFGD</v>
          </cell>
          <cell r="F540" t="str">
            <v>PC</v>
          </cell>
          <cell r="G540" t="str">
            <v>1</v>
          </cell>
          <cell r="H540" t="str">
            <v>INDUSTRY</v>
          </cell>
          <cell r="I540" t="str">
            <v>11</v>
          </cell>
          <cell r="J540" t="str">
            <v>WOOD COATINGS</v>
          </cell>
          <cell r="K540" t="str">
            <v>1103</v>
          </cell>
          <cell r="L540" t="str">
            <v>PU</v>
          </cell>
          <cell r="M540" t="str">
            <v>110322</v>
          </cell>
          <cell r="N540" t="str">
            <v>PU PRIMER</v>
          </cell>
        </row>
        <row r="541">
          <cell r="C541" t="str">
            <v>100000539</v>
          </cell>
          <cell r="D541" t="str">
            <v>PUP-54106 AC EX E108 LM VN-20KP</v>
          </cell>
          <cell r="E541" t="str">
            <v>ZFGD</v>
          </cell>
          <cell r="F541" t="str">
            <v>PC</v>
          </cell>
          <cell r="G541" t="str">
            <v>1</v>
          </cell>
          <cell r="H541" t="str">
            <v>INDUSTRY</v>
          </cell>
          <cell r="I541" t="str">
            <v>11</v>
          </cell>
          <cell r="J541" t="str">
            <v>WOOD COATINGS</v>
          </cell>
          <cell r="K541" t="str">
            <v>1103</v>
          </cell>
          <cell r="L541" t="str">
            <v>PU</v>
          </cell>
          <cell r="M541" t="str">
            <v>110322</v>
          </cell>
          <cell r="N541" t="str">
            <v>PU PRIMER</v>
          </cell>
        </row>
        <row r="542">
          <cell r="C542" t="str">
            <v>100000540</v>
          </cell>
          <cell r="D542" t="str">
            <v>PUP-54106 AC EX E108 LM VN-200KB</v>
          </cell>
          <cell r="E542" t="str">
            <v>ZFGD</v>
          </cell>
          <cell r="F542" t="str">
            <v>PC</v>
          </cell>
          <cell r="G542" t="str">
            <v>1</v>
          </cell>
          <cell r="H542" t="str">
            <v>INDUSTRY</v>
          </cell>
          <cell r="I542" t="str">
            <v>11</v>
          </cell>
          <cell r="J542" t="str">
            <v>WOOD COATINGS</v>
          </cell>
          <cell r="K542" t="str">
            <v>1103</v>
          </cell>
          <cell r="L542" t="str">
            <v>PU</v>
          </cell>
          <cell r="M542" t="str">
            <v>110322</v>
          </cell>
          <cell r="N542" t="str">
            <v>PU PRIMER</v>
          </cell>
        </row>
        <row r="543">
          <cell r="C543" t="str">
            <v>100000541</v>
          </cell>
          <cell r="D543" t="str">
            <v>PUP-54106 AC EX GREY SOFA LM VN-20KP</v>
          </cell>
          <cell r="E543" t="str">
            <v>ZFGD</v>
          </cell>
          <cell r="F543" t="str">
            <v>PC</v>
          </cell>
          <cell r="G543" t="str">
            <v>1</v>
          </cell>
          <cell r="H543" t="str">
            <v>INDUSTRY</v>
          </cell>
          <cell r="I543" t="str">
            <v>11</v>
          </cell>
          <cell r="J543" t="str">
            <v>WOOD COATINGS</v>
          </cell>
          <cell r="K543" t="str">
            <v>1103</v>
          </cell>
          <cell r="L543" t="str">
            <v>PU</v>
          </cell>
          <cell r="M543" t="str">
            <v>110322</v>
          </cell>
          <cell r="N543" t="str">
            <v>PU PRIMER</v>
          </cell>
        </row>
        <row r="544">
          <cell r="C544" t="str">
            <v>100000542</v>
          </cell>
          <cell r="D544" t="str">
            <v>PUP-54106 AC EX GREEN EXT AH VN-20KP</v>
          </cell>
          <cell r="E544" t="str">
            <v>ZFGD</v>
          </cell>
          <cell r="F544" t="str">
            <v>PC</v>
          </cell>
          <cell r="G544" t="str">
            <v>1</v>
          </cell>
          <cell r="H544" t="str">
            <v>INDUSTRY</v>
          </cell>
          <cell r="I544" t="str">
            <v>11</v>
          </cell>
          <cell r="J544" t="str">
            <v>WOOD COATINGS</v>
          </cell>
          <cell r="K544" t="str">
            <v>1103</v>
          </cell>
          <cell r="L544" t="str">
            <v>PU</v>
          </cell>
          <cell r="M544" t="str">
            <v>110322</v>
          </cell>
          <cell r="N544" t="str">
            <v>PU PRIMER</v>
          </cell>
        </row>
        <row r="545">
          <cell r="C545" t="str">
            <v>100000543</v>
          </cell>
          <cell r="D545" t="str">
            <v>PUP-54106 AC EX L13 DB VN-20KP</v>
          </cell>
          <cell r="E545" t="str">
            <v>ZFGD</v>
          </cell>
          <cell r="F545" t="str">
            <v>PC</v>
          </cell>
          <cell r="G545" t="str">
            <v>1</v>
          </cell>
          <cell r="H545" t="str">
            <v>INDUSTRY</v>
          </cell>
          <cell r="I545" t="str">
            <v>11</v>
          </cell>
          <cell r="J545" t="str">
            <v>WOOD COATINGS</v>
          </cell>
          <cell r="K545" t="str">
            <v>1103</v>
          </cell>
          <cell r="L545" t="str">
            <v>PU</v>
          </cell>
          <cell r="M545" t="str">
            <v>110322</v>
          </cell>
          <cell r="N545" t="str">
            <v>PU PRIMER</v>
          </cell>
        </row>
        <row r="546">
          <cell r="C546" t="str">
            <v>100000544</v>
          </cell>
          <cell r="D546" t="str">
            <v>PUP-54106 AC EX L15 DB VN-20KP</v>
          </cell>
          <cell r="E546" t="str">
            <v>ZFGD</v>
          </cell>
          <cell r="F546" t="str">
            <v>PC</v>
          </cell>
          <cell r="G546" t="str">
            <v>1</v>
          </cell>
          <cell r="H546" t="str">
            <v>INDUSTRY</v>
          </cell>
          <cell r="I546" t="str">
            <v>11</v>
          </cell>
          <cell r="J546" t="str">
            <v>WOOD COATINGS</v>
          </cell>
          <cell r="K546" t="str">
            <v>1103</v>
          </cell>
          <cell r="L546" t="str">
            <v>PU</v>
          </cell>
          <cell r="M546" t="str">
            <v>110322</v>
          </cell>
          <cell r="N546" t="str">
            <v>PU PRIMER</v>
          </cell>
        </row>
        <row r="547">
          <cell r="C547" t="str">
            <v>100000545</v>
          </cell>
          <cell r="D547" t="str">
            <v>PUP-54106 AC EX L16 DB VN-20KP</v>
          </cell>
          <cell r="E547" t="str">
            <v>ZFGD</v>
          </cell>
          <cell r="F547" t="str">
            <v>PC</v>
          </cell>
          <cell r="G547" t="str">
            <v>1</v>
          </cell>
          <cell r="H547" t="str">
            <v>INDUSTRY</v>
          </cell>
          <cell r="I547" t="str">
            <v>11</v>
          </cell>
          <cell r="J547" t="str">
            <v>WOOD COATINGS</v>
          </cell>
          <cell r="K547" t="str">
            <v>1103</v>
          </cell>
          <cell r="L547" t="str">
            <v>PU</v>
          </cell>
          <cell r="M547" t="str">
            <v>110322</v>
          </cell>
          <cell r="N547" t="str">
            <v>PU PRIMER</v>
          </cell>
        </row>
        <row r="548">
          <cell r="C548" t="str">
            <v>100000546</v>
          </cell>
          <cell r="D548" t="str">
            <v>PUP-54106 AC EX L17 DB VN-20KP</v>
          </cell>
          <cell r="E548" t="str">
            <v>ZFGD</v>
          </cell>
          <cell r="F548" t="str">
            <v>PC</v>
          </cell>
          <cell r="G548" t="str">
            <v>1</v>
          </cell>
          <cell r="H548" t="str">
            <v>INDUSTRY</v>
          </cell>
          <cell r="I548" t="str">
            <v>11</v>
          </cell>
          <cell r="J548" t="str">
            <v>WOOD COATINGS</v>
          </cell>
          <cell r="K548" t="str">
            <v>1103</v>
          </cell>
          <cell r="L548" t="str">
            <v>PU</v>
          </cell>
          <cell r="M548" t="str">
            <v>110322</v>
          </cell>
          <cell r="N548" t="str">
            <v>PU PRIMER</v>
          </cell>
        </row>
        <row r="549">
          <cell r="C549" t="str">
            <v>100000547</v>
          </cell>
          <cell r="D549" t="str">
            <v>PUP-54106 AC EX L19 DB VN-20KP</v>
          </cell>
          <cell r="E549" t="str">
            <v>ZFGD</v>
          </cell>
          <cell r="F549" t="str">
            <v>PC</v>
          </cell>
          <cell r="G549" t="str">
            <v>1</v>
          </cell>
          <cell r="H549" t="str">
            <v>INDUSTRY</v>
          </cell>
          <cell r="I549" t="str">
            <v>11</v>
          </cell>
          <cell r="J549" t="str">
            <v>WOOD COATINGS</v>
          </cell>
          <cell r="K549" t="str">
            <v>1103</v>
          </cell>
          <cell r="L549" t="str">
            <v>PU</v>
          </cell>
          <cell r="M549" t="str">
            <v>110322</v>
          </cell>
          <cell r="N549" t="str">
            <v>PU PRIMER</v>
          </cell>
        </row>
        <row r="550">
          <cell r="C550" t="str">
            <v>100000548</v>
          </cell>
          <cell r="D550" t="str">
            <v>PUP-54106 AC EX L24 DB VN-20KP</v>
          </cell>
          <cell r="E550" t="str">
            <v>ZFGD</v>
          </cell>
          <cell r="F550" t="str">
            <v>PC</v>
          </cell>
          <cell r="G550" t="str">
            <v>1</v>
          </cell>
          <cell r="H550" t="str">
            <v>INDUSTRY</v>
          </cell>
          <cell r="I550" t="str">
            <v>11</v>
          </cell>
          <cell r="J550" t="str">
            <v>WOOD COATINGS</v>
          </cell>
          <cell r="K550" t="str">
            <v>1103</v>
          </cell>
          <cell r="L550" t="str">
            <v>PU</v>
          </cell>
          <cell r="M550" t="str">
            <v>110322</v>
          </cell>
          <cell r="N550" t="str">
            <v>PU PRIMER</v>
          </cell>
        </row>
        <row r="551">
          <cell r="C551" t="str">
            <v>100000549</v>
          </cell>
          <cell r="D551" t="str">
            <v>PUP-54106 AC EX L29 DB VN-20KP</v>
          </cell>
          <cell r="E551" t="str">
            <v>ZFGD</v>
          </cell>
          <cell r="F551" t="str">
            <v>PC</v>
          </cell>
          <cell r="G551" t="str">
            <v>1</v>
          </cell>
          <cell r="H551" t="str">
            <v>INDUSTRY</v>
          </cell>
          <cell r="I551" t="str">
            <v>11</v>
          </cell>
          <cell r="J551" t="str">
            <v>WOOD COATINGS</v>
          </cell>
          <cell r="K551" t="str">
            <v>1103</v>
          </cell>
          <cell r="L551" t="str">
            <v>PU</v>
          </cell>
          <cell r="M551" t="str">
            <v>110322</v>
          </cell>
          <cell r="N551" t="str">
            <v>PU PRIMER</v>
          </cell>
        </row>
        <row r="552">
          <cell r="C552" t="str">
            <v>100000550</v>
          </cell>
          <cell r="D552" t="str">
            <v>PUP-54106 AC EX L30 DB VN-20KP</v>
          </cell>
          <cell r="E552" t="str">
            <v>ZFGD</v>
          </cell>
          <cell r="F552" t="str">
            <v>PC</v>
          </cell>
          <cell r="G552" t="str">
            <v>1</v>
          </cell>
          <cell r="H552" t="str">
            <v>INDUSTRY</v>
          </cell>
          <cell r="I552" t="str">
            <v>11</v>
          </cell>
          <cell r="J552" t="str">
            <v>WOOD COATINGS</v>
          </cell>
          <cell r="K552" t="str">
            <v>1103</v>
          </cell>
          <cell r="L552" t="str">
            <v>PU</v>
          </cell>
          <cell r="M552" t="str">
            <v>110322</v>
          </cell>
          <cell r="N552" t="str">
            <v>PU PRIMER</v>
          </cell>
        </row>
        <row r="553">
          <cell r="C553" t="str">
            <v>100000551</v>
          </cell>
          <cell r="D553" t="str">
            <v>PUP-54106 AC EX MMT 40 GE VN-20KP</v>
          </cell>
          <cell r="E553" t="str">
            <v>ZFGD</v>
          </cell>
          <cell r="F553" t="str">
            <v>PC</v>
          </cell>
          <cell r="G553" t="str">
            <v>1</v>
          </cell>
          <cell r="H553" t="str">
            <v>INDUSTRY</v>
          </cell>
          <cell r="I553" t="str">
            <v>11</v>
          </cell>
          <cell r="J553" t="str">
            <v>WOOD COATINGS</v>
          </cell>
          <cell r="K553" t="str">
            <v>1103</v>
          </cell>
          <cell r="L553" t="str">
            <v>PU</v>
          </cell>
          <cell r="M553" t="str">
            <v>110322</v>
          </cell>
          <cell r="N553" t="str">
            <v>PU PRIMER</v>
          </cell>
        </row>
        <row r="554">
          <cell r="C554" t="str">
            <v>100000552</v>
          </cell>
          <cell r="D554" t="str">
            <v>PUP-54106 AC EX ORANGE 2 LM VN-200KB</v>
          </cell>
          <cell r="E554" t="str">
            <v>ZFGD</v>
          </cell>
          <cell r="F554" t="str">
            <v>PC</v>
          </cell>
          <cell r="G554" t="str">
            <v>1</v>
          </cell>
          <cell r="H554" t="str">
            <v>INDUSTRY</v>
          </cell>
          <cell r="I554" t="str">
            <v>11</v>
          </cell>
          <cell r="J554" t="str">
            <v>WOOD COATINGS</v>
          </cell>
          <cell r="K554" t="str">
            <v>1103</v>
          </cell>
          <cell r="L554" t="str">
            <v>PU</v>
          </cell>
          <cell r="M554" t="str">
            <v>110322</v>
          </cell>
          <cell r="N554" t="str">
            <v>PU PRIMER</v>
          </cell>
        </row>
        <row r="555">
          <cell r="C555" t="str">
            <v>100000553</v>
          </cell>
          <cell r="D555" t="str">
            <v>PUP-54106 AC EX TN GM VN-20KP</v>
          </cell>
          <cell r="E555" t="str">
            <v>ZFGD</v>
          </cell>
          <cell r="F555" t="str">
            <v>PC</v>
          </cell>
          <cell r="G555" t="str">
            <v>1</v>
          </cell>
          <cell r="H555" t="str">
            <v>INDUSTRY</v>
          </cell>
          <cell r="I555" t="str">
            <v>11</v>
          </cell>
          <cell r="J555" t="str">
            <v>WOOD COATINGS</v>
          </cell>
          <cell r="K555" t="str">
            <v>1103</v>
          </cell>
          <cell r="L555" t="str">
            <v>PU</v>
          </cell>
          <cell r="M555" t="str">
            <v>110322</v>
          </cell>
          <cell r="N555" t="str">
            <v>PU PRIMER</v>
          </cell>
        </row>
        <row r="556">
          <cell r="C556" t="str">
            <v>100000554</v>
          </cell>
          <cell r="D556" t="str">
            <v>PUP-54106 AC EX WHITE VN-20KP</v>
          </cell>
          <cell r="E556" t="str">
            <v>ZFGD</v>
          </cell>
          <cell r="F556" t="str">
            <v>PC</v>
          </cell>
          <cell r="G556" t="str">
            <v>1</v>
          </cell>
          <cell r="H556" t="str">
            <v>INDUSTRY</v>
          </cell>
          <cell r="I556" t="str">
            <v>11</v>
          </cell>
          <cell r="J556" t="str">
            <v>WOOD COATINGS</v>
          </cell>
          <cell r="K556" t="str">
            <v>1103</v>
          </cell>
          <cell r="L556" t="str">
            <v>PU</v>
          </cell>
          <cell r="M556" t="str">
            <v>110322</v>
          </cell>
          <cell r="N556" t="str">
            <v>PU PRIMER</v>
          </cell>
        </row>
        <row r="557">
          <cell r="C557" t="str">
            <v>100000555</v>
          </cell>
          <cell r="D557" t="str">
            <v>PUP-54106 AC EX WHITE VN-200KB</v>
          </cell>
          <cell r="E557" t="str">
            <v>ZFGD</v>
          </cell>
          <cell r="F557" t="str">
            <v>PC</v>
          </cell>
          <cell r="G557" t="str">
            <v>1</v>
          </cell>
          <cell r="H557" t="str">
            <v>INDUSTRY</v>
          </cell>
          <cell r="I557" t="str">
            <v>11</v>
          </cell>
          <cell r="J557" t="str">
            <v>WOOD COATINGS</v>
          </cell>
          <cell r="K557" t="str">
            <v>1103</v>
          </cell>
          <cell r="L557" t="str">
            <v>PU</v>
          </cell>
          <cell r="M557" t="str">
            <v>110322</v>
          </cell>
          <cell r="N557" t="str">
            <v>PU PRIMER</v>
          </cell>
        </row>
        <row r="558">
          <cell r="C558" t="str">
            <v>100000556</v>
          </cell>
          <cell r="D558" t="str">
            <v>PUSS-51210 SV VN-200KB</v>
          </cell>
          <cell r="E558" t="str">
            <v>ZFGD</v>
          </cell>
          <cell r="F558" t="str">
            <v>PC</v>
          </cell>
          <cell r="G558" t="str">
            <v>1</v>
          </cell>
          <cell r="H558" t="str">
            <v>INDUSTRY</v>
          </cell>
          <cell r="I558" t="str">
            <v>11</v>
          </cell>
          <cell r="J558" t="str">
            <v>WOOD COATINGS</v>
          </cell>
          <cell r="K558" t="str">
            <v>1103</v>
          </cell>
          <cell r="L558" t="str">
            <v>PU</v>
          </cell>
          <cell r="M558" t="str">
            <v>110323</v>
          </cell>
          <cell r="N558" t="str">
            <v>PU SANDING SEALER</v>
          </cell>
        </row>
        <row r="559">
          <cell r="C559" t="str">
            <v>100000557</v>
          </cell>
          <cell r="D559" t="str">
            <v>PUSS-51241 VN-20KP</v>
          </cell>
          <cell r="E559" t="str">
            <v>ZFGD</v>
          </cell>
          <cell r="F559" t="str">
            <v>PC</v>
          </cell>
          <cell r="G559" t="str">
            <v>1</v>
          </cell>
          <cell r="H559" t="str">
            <v>INDUSTRY</v>
          </cell>
          <cell r="I559" t="str">
            <v>11</v>
          </cell>
          <cell r="J559" t="str">
            <v>WOOD COATINGS</v>
          </cell>
          <cell r="K559" t="str">
            <v>1103</v>
          </cell>
          <cell r="L559" t="str">
            <v>PU</v>
          </cell>
          <cell r="M559" t="str">
            <v>110323</v>
          </cell>
          <cell r="N559" t="str">
            <v>PU SANDING SEALER</v>
          </cell>
        </row>
        <row r="560">
          <cell r="C560" t="str">
            <v>100000558</v>
          </cell>
          <cell r="D560" t="str">
            <v>PUSS-51241 VN-200KB</v>
          </cell>
          <cell r="E560" t="str">
            <v>ZFGD</v>
          </cell>
          <cell r="F560" t="str">
            <v>PC</v>
          </cell>
          <cell r="G560" t="str">
            <v>1</v>
          </cell>
          <cell r="H560" t="str">
            <v>INDUSTRY</v>
          </cell>
          <cell r="I560" t="str">
            <v>11</v>
          </cell>
          <cell r="J560" t="str">
            <v>WOOD COATINGS</v>
          </cell>
          <cell r="K560" t="str">
            <v>1103</v>
          </cell>
          <cell r="L560" t="str">
            <v>PU</v>
          </cell>
          <cell r="M560" t="str">
            <v>110323</v>
          </cell>
          <cell r="N560" t="str">
            <v>PU SANDING SEALER</v>
          </cell>
        </row>
        <row r="561">
          <cell r="C561" t="str">
            <v>100000559</v>
          </cell>
          <cell r="D561" t="str">
            <v>PUSS-51241 YJ VN-20KP</v>
          </cell>
          <cell r="E561" t="str">
            <v>ZFGD</v>
          </cell>
          <cell r="F561" t="str">
            <v>PC</v>
          </cell>
          <cell r="G561" t="str">
            <v>1</v>
          </cell>
          <cell r="H561" t="str">
            <v>INDUSTRY</v>
          </cell>
          <cell r="I561" t="str">
            <v>11</v>
          </cell>
          <cell r="J561" t="str">
            <v>WOOD COATINGS</v>
          </cell>
          <cell r="K561" t="str">
            <v>1103</v>
          </cell>
          <cell r="L561" t="str">
            <v>PU</v>
          </cell>
          <cell r="M561" t="str">
            <v>110323</v>
          </cell>
          <cell r="N561" t="str">
            <v>PU SANDING SEALER</v>
          </cell>
        </row>
        <row r="562">
          <cell r="C562" t="str">
            <v>100000560</v>
          </cell>
          <cell r="D562" t="str">
            <v>PUSS-53206 AC EX VN-20KP</v>
          </cell>
          <cell r="E562" t="str">
            <v>ZFGD</v>
          </cell>
          <cell r="F562" t="str">
            <v>PC</v>
          </cell>
          <cell r="G562" t="str">
            <v>1</v>
          </cell>
          <cell r="H562" t="str">
            <v>INDUSTRY</v>
          </cell>
          <cell r="I562" t="str">
            <v>11</v>
          </cell>
          <cell r="J562" t="str">
            <v>WOOD COATINGS</v>
          </cell>
          <cell r="K562" t="str">
            <v>1103</v>
          </cell>
          <cell r="L562" t="str">
            <v>PU</v>
          </cell>
          <cell r="M562" t="str">
            <v>110323</v>
          </cell>
          <cell r="N562" t="str">
            <v>PU SANDING SEALER</v>
          </cell>
        </row>
        <row r="563">
          <cell r="C563" t="str">
            <v>100000561</v>
          </cell>
          <cell r="D563" t="str">
            <v>PUSS-53206 AC EX VN-200KB</v>
          </cell>
          <cell r="E563" t="str">
            <v>ZFGD</v>
          </cell>
          <cell r="F563" t="str">
            <v>PC</v>
          </cell>
          <cell r="G563" t="str">
            <v>1</v>
          </cell>
          <cell r="H563" t="str">
            <v>INDUSTRY</v>
          </cell>
          <cell r="I563" t="str">
            <v>11</v>
          </cell>
          <cell r="J563" t="str">
            <v>WOOD COATINGS</v>
          </cell>
          <cell r="K563" t="str">
            <v>1103</v>
          </cell>
          <cell r="L563" t="str">
            <v>PU</v>
          </cell>
          <cell r="M563" t="str">
            <v>110323</v>
          </cell>
          <cell r="N563" t="str">
            <v>PU SANDING SEALER</v>
          </cell>
        </row>
        <row r="564">
          <cell r="C564" t="str">
            <v>100000562</v>
          </cell>
          <cell r="D564" t="str">
            <v>RD-2741-03-AK-180KK</v>
          </cell>
          <cell r="E564" t="str">
            <v>ZFGD</v>
          </cell>
          <cell r="F564" t="str">
            <v>PC</v>
          </cell>
          <cell r="G564" t="str">
            <v>1</v>
          </cell>
          <cell r="H564" t="str">
            <v>INDUSTRY</v>
          </cell>
          <cell r="I564" t="str">
            <v>11</v>
          </cell>
          <cell r="J564" t="str">
            <v>WOOD COATINGS</v>
          </cell>
          <cell r="K564" t="str">
            <v>1118</v>
          </cell>
          <cell r="L564" t="str">
            <v>COMPLEMENTARY</v>
          </cell>
          <cell r="M564" t="str">
            <v>111809</v>
          </cell>
          <cell r="N564" t="str">
            <v>RETARDER</v>
          </cell>
        </row>
        <row r="565">
          <cell r="C565" t="str">
            <v>100000563</v>
          </cell>
          <cell r="D565" t="str">
            <v>RD-74103 VN-200LK</v>
          </cell>
          <cell r="E565" t="str">
            <v>ZFGD</v>
          </cell>
          <cell r="F565" t="str">
            <v>PC</v>
          </cell>
          <cell r="G565" t="str">
            <v>1</v>
          </cell>
          <cell r="H565" t="str">
            <v>INDUSTRY</v>
          </cell>
          <cell r="I565" t="str">
            <v>11</v>
          </cell>
          <cell r="J565" t="str">
            <v>WOOD COATINGS</v>
          </cell>
          <cell r="K565" t="str">
            <v>1118</v>
          </cell>
          <cell r="L565" t="str">
            <v>COMPLEMENTARY</v>
          </cell>
          <cell r="M565" t="str">
            <v>111809</v>
          </cell>
          <cell r="N565" t="str">
            <v>RETARDER</v>
          </cell>
        </row>
        <row r="566">
          <cell r="C566" t="str">
            <v>100000564</v>
          </cell>
          <cell r="D566" t="str">
            <v>RD-74103 VN-20LJ</v>
          </cell>
          <cell r="E566" t="str">
            <v>ZFGD</v>
          </cell>
          <cell r="F566" t="str">
            <v>PC</v>
          </cell>
          <cell r="G566" t="str">
            <v>1</v>
          </cell>
          <cell r="H566" t="str">
            <v>INDUSTRY</v>
          </cell>
          <cell r="I566" t="str">
            <v>11</v>
          </cell>
          <cell r="J566" t="str">
            <v>WOOD COATINGS</v>
          </cell>
          <cell r="K566" t="str">
            <v>1118</v>
          </cell>
          <cell r="L566" t="str">
            <v>COMPLEMENTARY</v>
          </cell>
          <cell r="M566" t="str">
            <v>111809</v>
          </cell>
          <cell r="N566" t="str">
            <v>RETARDER</v>
          </cell>
        </row>
        <row r="567">
          <cell r="C567" t="str">
            <v>100000565</v>
          </cell>
          <cell r="D567" t="str">
            <v>SST-11100 01 CK VN-20LJ</v>
          </cell>
          <cell r="E567" t="str">
            <v>ZFGD</v>
          </cell>
          <cell r="F567" t="str">
            <v>PC</v>
          </cell>
          <cell r="G567" t="str">
            <v>1</v>
          </cell>
          <cell r="H567" t="str">
            <v>INDUSTRY</v>
          </cell>
          <cell r="I567" t="str">
            <v>11</v>
          </cell>
          <cell r="J567" t="str">
            <v>WOOD COATINGS</v>
          </cell>
          <cell r="K567" t="str">
            <v>1109</v>
          </cell>
          <cell r="L567" t="str">
            <v>STAIN &amp; GLAZE INTERIOR</v>
          </cell>
          <cell r="M567" t="str">
            <v>110903</v>
          </cell>
          <cell r="N567" t="str">
            <v>STAIN INTERIOR</v>
          </cell>
        </row>
        <row r="568">
          <cell r="C568" t="str">
            <v>100000566</v>
          </cell>
          <cell r="D568" t="str">
            <v>SST-11100 01 VI VN-20LJ</v>
          </cell>
          <cell r="E568" t="str">
            <v>ZFGD</v>
          </cell>
          <cell r="F568" t="str">
            <v>PC</v>
          </cell>
          <cell r="G568" t="str">
            <v>1</v>
          </cell>
          <cell r="H568" t="str">
            <v>INDUSTRY</v>
          </cell>
          <cell r="I568" t="str">
            <v>11</v>
          </cell>
          <cell r="J568" t="str">
            <v>WOOD COATINGS</v>
          </cell>
          <cell r="K568" t="str">
            <v>1109</v>
          </cell>
          <cell r="L568" t="str">
            <v>STAIN &amp; GLAZE INTERIOR</v>
          </cell>
          <cell r="M568" t="str">
            <v>110903</v>
          </cell>
          <cell r="N568" t="str">
            <v>STAIN INTERIOR</v>
          </cell>
        </row>
        <row r="569">
          <cell r="C569" t="str">
            <v>100000567</v>
          </cell>
          <cell r="D569" t="str">
            <v>SST-11100 02 BR TT VN-20LJ</v>
          </cell>
          <cell r="E569" t="str">
            <v>ZFGD</v>
          </cell>
          <cell r="F569" t="str">
            <v>PC</v>
          </cell>
          <cell r="G569" t="str">
            <v>1</v>
          </cell>
          <cell r="H569" t="str">
            <v>INDUSTRY</v>
          </cell>
          <cell r="I569" t="str">
            <v>11</v>
          </cell>
          <cell r="J569" t="str">
            <v>WOOD COATINGS</v>
          </cell>
          <cell r="K569" t="str">
            <v>1109</v>
          </cell>
          <cell r="L569" t="str">
            <v>STAIN &amp; GLAZE INTERIOR</v>
          </cell>
          <cell r="M569" t="str">
            <v>110903</v>
          </cell>
          <cell r="N569" t="str">
            <v>STAIN INTERIOR</v>
          </cell>
        </row>
        <row r="570">
          <cell r="C570" t="str">
            <v>100000568</v>
          </cell>
          <cell r="D570" t="str">
            <v>SST-11100 03 RBR TT VN-20LJ</v>
          </cell>
          <cell r="E570" t="str">
            <v>ZFGD</v>
          </cell>
          <cell r="F570" t="str">
            <v>PC</v>
          </cell>
          <cell r="G570" t="str">
            <v>1</v>
          </cell>
          <cell r="H570" t="str">
            <v>INDUSTRY</v>
          </cell>
          <cell r="I570" t="str">
            <v>11</v>
          </cell>
          <cell r="J570" t="str">
            <v>WOOD COATINGS</v>
          </cell>
          <cell r="K570" t="str">
            <v>1109</v>
          </cell>
          <cell r="L570" t="str">
            <v>STAIN &amp; GLAZE INTERIOR</v>
          </cell>
          <cell r="M570" t="str">
            <v>110903</v>
          </cell>
          <cell r="N570" t="str">
            <v>STAIN INTERIOR</v>
          </cell>
        </row>
        <row r="571">
          <cell r="C571" t="str">
            <v>100000569</v>
          </cell>
          <cell r="D571" t="str">
            <v>SST-11100 04 VI VN-20LJ</v>
          </cell>
          <cell r="E571" t="str">
            <v>ZFGD</v>
          </cell>
          <cell r="F571" t="str">
            <v>PC</v>
          </cell>
          <cell r="G571" t="str">
            <v>1</v>
          </cell>
          <cell r="H571" t="str">
            <v>INDUSTRY</v>
          </cell>
          <cell r="I571" t="str">
            <v>11</v>
          </cell>
          <cell r="J571" t="str">
            <v>WOOD COATINGS</v>
          </cell>
          <cell r="K571" t="str">
            <v>1109</v>
          </cell>
          <cell r="L571" t="str">
            <v>STAIN &amp; GLAZE INTERIOR</v>
          </cell>
          <cell r="M571" t="str">
            <v>110903</v>
          </cell>
          <cell r="N571" t="str">
            <v>STAIN INTERIOR</v>
          </cell>
        </row>
        <row r="572">
          <cell r="C572" t="str">
            <v>100000570</v>
          </cell>
          <cell r="D572" t="str">
            <v>SST-11100 058 F1 VN-20LJ</v>
          </cell>
          <cell r="E572" t="str">
            <v>ZFGD</v>
          </cell>
          <cell r="F572" t="str">
            <v>PC</v>
          </cell>
          <cell r="G572" t="str">
            <v>1</v>
          </cell>
          <cell r="H572" t="str">
            <v>INDUSTRY</v>
          </cell>
          <cell r="I572" t="str">
            <v>11</v>
          </cell>
          <cell r="J572" t="str">
            <v>WOOD COATINGS</v>
          </cell>
          <cell r="K572" t="str">
            <v>1109</v>
          </cell>
          <cell r="L572" t="str">
            <v>STAIN &amp; GLAZE INTERIOR</v>
          </cell>
          <cell r="M572" t="str">
            <v>110903</v>
          </cell>
          <cell r="N572" t="str">
            <v>STAIN INTERIOR</v>
          </cell>
        </row>
        <row r="573">
          <cell r="C573" t="str">
            <v>100000571</v>
          </cell>
          <cell r="D573" t="str">
            <v>SST-11100 061 F1 VN-20LJ</v>
          </cell>
          <cell r="E573" t="str">
            <v>ZFGD</v>
          </cell>
          <cell r="F573" t="str">
            <v>PC</v>
          </cell>
          <cell r="G573" t="str">
            <v>1</v>
          </cell>
          <cell r="H573" t="str">
            <v>INDUSTRY</v>
          </cell>
          <cell r="I573" t="str">
            <v>11</v>
          </cell>
          <cell r="J573" t="str">
            <v>WOOD COATINGS</v>
          </cell>
          <cell r="K573" t="str">
            <v>1109</v>
          </cell>
          <cell r="L573" t="str">
            <v>STAIN &amp; GLAZE INTERIOR</v>
          </cell>
          <cell r="M573" t="str">
            <v>110903</v>
          </cell>
          <cell r="N573" t="str">
            <v>STAIN INTERIOR</v>
          </cell>
        </row>
        <row r="574">
          <cell r="C574" t="str">
            <v>100000572</v>
          </cell>
          <cell r="D574" t="str">
            <v>SST-11100 066 F1 VN-20LJ</v>
          </cell>
          <cell r="E574" t="str">
            <v>ZFGD</v>
          </cell>
          <cell r="F574" t="str">
            <v>PC</v>
          </cell>
          <cell r="G574" t="str">
            <v>1</v>
          </cell>
          <cell r="H574" t="str">
            <v>INDUSTRY</v>
          </cell>
          <cell r="I574" t="str">
            <v>11</v>
          </cell>
          <cell r="J574" t="str">
            <v>WOOD COATINGS</v>
          </cell>
          <cell r="K574" t="str">
            <v>1109</v>
          </cell>
          <cell r="L574" t="str">
            <v>STAIN &amp; GLAZE INTERIOR</v>
          </cell>
          <cell r="M574" t="str">
            <v>110903</v>
          </cell>
          <cell r="N574" t="str">
            <v>STAIN INTERIOR</v>
          </cell>
        </row>
        <row r="575">
          <cell r="C575" t="str">
            <v>100000573</v>
          </cell>
          <cell r="D575" t="str">
            <v>SST-11100 087 DM VN-20LJ</v>
          </cell>
          <cell r="E575" t="str">
            <v>ZFGD</v>
          </cell>
          <cell r="F575" t="str">
            <v>PC</v>
          </cell>
          <cell r="G575" t="str">
            <v>1</v>
          </cell>
          <cell r="H575" t="str">
            <v>INDUSTRY</v>
          </cell>
          <cell r="I575" t="str">
            <v>11</v>
          </cell>
          <cell r="J575" t="str">
            <v>WOOD COATINGS</v>
          </cell>
          <cell r="K575" t="str">
            <v>1109</v>
          </cell>
          <cell r="L575" t="str">
            <v>STAIN &amp; GLAZE INTERIOR</v>
          </cell>
          <cell r="M575" t="str">
            <v>110903</v>
          </cell>
          <cell r="N575" t="str">
            <v>STAIN INTERIOR</v>
          </cell>
        </row>
        <row r="576">
          <cell r="C576" t="str">
            <v>100000574</v>
          </cell>
          <cell r="D576" t="str">
            <v>SST-11100 156 NEW F1 VN-20LJ</v>
          </cell>
          <cell r="E576" t="str">
            <v>ZFGD</v>
          </cell>
          <cell r="F576" t="str">
            <v>PC</v>
          </cell>
          <cell r="G576" t="str">
            <v>1</v>
          </cell>
          <cell r="H576" t="str">
            <v>INDUSTRY</v>
          </cell>
          <cell r="I576" t="str">
            <v>11</v>
          </cell>
          <cell r="J576" t="str">
            <v>WOOD COATINGS</v>
          </cell>
          <cell r="K576" t="str">
            <v>1109</v>
          </cell>
          <cell r="L576" t="str">
            <v>STAIN &amp; GLAZE INTERIOR</v>
          </cell>
          <cell r="M576" t="str">
            <v>110903</v>
          </cell>
          <cell r="N576" t="str">
            <v>STAIN INTERIOR</v>
          </cell>
        </row>
        <row r="577">
          <cell r="C577" t="str">
            <v>100000575</v>
          </cell>
          <cell r="D577" t="str">
            <v>SST-11100 162 F1 VN-20LJ</v>
          </cell>
          <cell r="E577" t="str">
            <v>ZFGD</v>
          </cell>
          <cell r="F577" t="str">
            <v>PC</v>
          </cell>
          <cell r="G577" t="str">
            <v>1</v>
          </cell>
          <cell r="H577" t="str">
            <v>INDUSTRY</v>
          </cell>
          <cell r="I577" t="str">
            <v>11</v>
          </cell>
          <cell r="J577" t="str">
            <v>WOOD COATINGS</v>
          </cell>
          <cell r="K577" t="str">
            <v>1109</v>
          </cell>
          <cell r="L577" t="str">
            <v>STAIN &amp; GLAZE INTERIOR</v>
          </cell>
          <cell r="M577" t="str">
            <v>110903</v>
          </cell>
          <cell r="N577" t="str">
            <v>STAIN INTERIOR</v>
          </cell>
        </row>
        <row r="578">
          <cell r="C578" t="str">
            <v>100000576</v>
          </cell>
          <cell r="D578" t="str">
            <v>SST-11100 181 F1 VN-20LJ</v>
          </cell>
          <cell r="E578" t="str">
            <v>ZFGD</v>
          </cell>
          <cell r="F578" t="str">
            <v>PC</v>
          </cell>
          <cell r="G578" t="str">
            <v>1</v>
          </cell>
          <cell r="H578" t="str">
            <v>INDUSTRY</v>
          </cell>
          <cell r="I578" t="str">
            <v>11</v>
          </cell>
          <cell r="J578" t="str">
            <v>WOOD COATINGS</v>
          </cell>
          <cell r="K578" t="str">
            <v>1109</v>
          </cell>
          <cell r="L578" t="str">
            <v>STAIN &amp; GLAZE INTERIOR</v>
          </cell>
          <cell r="M578" t="str">
            <v>110903</v>
          </cell>
          <cell r="N578" t="str">
            <v>STAIN INTERIOR</v>
          </cell>
        </row>
        <row r="579">
          <cell r="C579" t="str">
            <v>100000577</v>
          </cell>
          <cell r="D579" t="str">
            <v>SST-11100 182 F1 VN-20LJ</v>
          </cell>
          <cell r="E579" t="str">
            <v>ZFGD</v>
          </cell>
          <cell r="F579" t="str">
            <v>PC</v>
          </cell>
          <cell r="G579" t="str">
            <v>1</v>
          </cell>
          <cell r="H579" t="str">
            <v>INDUSTRY</v>
          </cell>
          <cell r="I579" t="str">
            <v>11</v>
          </cell>
          <cell r="J579" t="str">
            <v>WOOD COATINGS</v>
          </cell>
          <cell r="K579" t="str">
            <v>1109</v>
          </cell>
          <cell r="L579" t="str">
            <v>STAIN &amp; GLAZE INTERIOR</v>
          </cell>
          <cell r="M579" t="str">
            <v>110903</v>
          </cell>
          <cell r="N579" t="str">
            <v>STAIN INTERIOR</v>
          </cell>
        </row>
        <row r="580">
          <cell r="C580" t="str">
            <v>100000578</v>
          </cell>
          <cell r="D580" t="str">
            <v>SST-11100 28 F1 VN-20LJ</v>
          </cell>
          <cell r="E580" t="str">
            <v>ZFGD</v>
          </cell>
          <cell r="F580" t="str">
            <v>PC</v>
          </cell>
          <cell r="G580" t="str">
            <v>1</v>
          </cell>
          <cell r="H580" t="str">
            <v>INDUSTRY</v>
          </cell>
          <cell r="I580" t="str">
            <v>11</v>
          </cell>
          <cell r="J580" t="str">
            <v>WOOD COATINGS</v>
          </cell>
          <cell r="K580" t="str">
            <v>1109</v>
          </cell>
          <cell r="L580" t="str">
            <v>STAIN &amp; GLAZE INTERIOR</v>
          </cell>
          <cell r="M580" t="str">
            <v>110903</v>
          </cell>
          <cell r="N580" t="str">
            <v>STAIN INTERIOR</v>
          </cell>
        </row>
        <row r="581">
          <cell r="C581" t="str">
            <v>100000579</v>
          </cell>
          <cell r="D581" t="str">
            <v>SST-11100 30 F1 VN-20LJ</v>
          </cell>
          <cell r="E581" t="str">
            <v>ZFGD</v>
          </cell>
          <cell r="F581" t="str">
            <v>PC</v>
          </cell>
          <cell r="G581" t="str">
            <v>1</v>
          </cell>
          <cell r="H581" t="str">
            <v>INDUSTRY</v>
          </cell>
          <cell r="I581" t="str">
            <v>11</v>
          </cell>
          <cell r="J581" t="str">
            <v>WOOD COATINGS</v>
          </cell>
          <cell r="K581" t="str">
            <v>1109</v>
          </cell>
          <cell r="L581" t="str">
            <v>STAIN &amp; GLAZE INTERIOR</v>
          </cell>
          <cell r="M581" t="str">
            <v>110903</v>
          </cell>
          <cell r="N581" t="str">
            <v>STAIN INTERIOR</v>
          </cell>
        </row>
        <row r="582">
          <cell r="C582" t="str">
            <v>100000580</v>
          </cell>
          <cell r="D582" t="str">
            <v>SST-11100 38 F1 VN-20LJ</v>
          </cell>
          <cell r="E582" t="str">
            <v>ZFGD</v>
          </cell>
          <cell r="F582" t="str">
            <v>PC</v>
          </cell>
          <cell r="G582" t="str">
            <v>1</v>
          </cell>
          <cell r="H582" t="str">
            <v>INDUSTRY</v>
          </cell>
          <cell r="I582" t="str">
            <v>11</v>
          </cell>
          <cell r="J582" t="str">
            <v>WOOD COATINGS</v>
          </cell>
          <cell r="K582" t="str">
            <v>1109</v>
          </cell>
          <cell r="L582" t="str">
            <v>STAIN &amp; GLAZE INTERIOR</v>
          </cell>
          <cell r="M582" t="str">
            <v>110903</v>
          </cell>
          <cell r="N582" t="str">
            <v>STAIN INTERIOR</v>
          </cell>
        </row>
        <row r="583">
          <cell r="C583" t="str">
            <v>100000581</v>
          </cell>
          <cell r="D583" t="str">
            <v>SST-11100 39 01 A MT VN-20LJ</v>
          </cell>
          <cell r="E583" t="str">
            <v>ZFGD</v>
          </cell>
          <cell r="F583" t="str">
            <v>PC</v>
          </cell>
          <cell r="G583" t="str">
            <v>1</v>
          </cell>
          <cell r="H583" t="str">
            <v>INDUSTRY</v>
          </cell>
          <cell r="I583" t="str">
            <v>11</v>
          </cell>
          <cell r="J583" t="str">
            <v>WOOD COATINGS</v>
          </cell>
          <cell r="K583" t="str">
            <v>1109</v>
          </cell>
          <cell r="L583" t="str">
            <v>STAIN &amp; GLAZE INTERIOR</v>
          </cell>
          <cell r="M583" t="str">
            <v>110903</v>
          </cell>
          <cell r="N583" t="str">
            <v>STAIN INTERIOR</v>
          </cell>
        </row>
        <row r="584">
          <cell r="C584" t="str">
            <v>100000582</v>
          </cell>
          <cell r="D584" t="str">
            <v>SST-11100 39 01 B MT VN-20LJ</v>
          </cell>
          <cell r="E584" t="str">
            <v>ZFGD</v>
          </cell>
          <cell r="F584" t="str">
            <v>PC</v>
          </cell>
          <cell r="G584" t="str">
            <v>1</v>
          </cell>
          <cell r="H584" t="str">
            <v>INDUSTRY</v>
          </cell>
          <cell r="I584" t="str">
            <v>11</v>
          </cell>
          <cell r="J584" t="str">
            <v>WOOD COATINGS</v>
          </cell>
          <cell r="K584" t="str">
            <v>1109</v>
          </cell>
          <cell r="L584" t="str">
            <v>STAIN &amp; GLAZE INTERIOR</v>
          </cell>
          <cell r="M584" t="str">
            <v>110903</v>
          </cell>
          <cell r="N584" t="str">
            <v>STAIN INTERIOR</v>
          </cell>
        </row>
        <row r="585">
          <cell r="C585" t="str">
            <v>100000583</v>
          </cell>
          <cell r="D585" t="str">
            <v>SST-11100 39 01 C MT VN-20LJ</v>
          </cell>
          <cell r="E585" t="str">
            <v>ZFGD</v>
          </cell>
          <cell r="F585" t="str">
            <v>PC</v>
          </cell>
          <cell r="G585" t="str">
            <v>1</v>
          </cell>
          <cell r="H585" t="str">
            <v>INDUSTRY</v>
          </cell>
          <cell r="I585" t="str">
            <v>11</v>
          </cell>
          <cell r="J585" t="str">
            <v>WOOD COATINGS</v>
          </cell>
          <cell r="K585" t="str">
            <v>1109</v>
          </cell>
          <cell r="L585" t="str">
            <v>STAIN &amp; GLAZE INTERIOR</v>
          </cell>
          <cell r="M585" t="str">
            <v>110903</v>
          </cell>
          <cell r="N585" t="str">
            <v>STAIN INTERIOR</v>
          </cell>
        </row>
        <row r="586">
          <cell r="C586" t="str">
            <v>100000584</v>
          </cell>
          <cell r="D586" t="str">
            <v>SST-11100 39 02 A MT VN-20LJ</v>
          </cell>
          <cell r="E586" t="str">
            <v>ZFGD</v>
          </cell>
          <cell r="F586" t="str">
            <v>PC</v>
          </cell>
          <cell r="G586" t="str">
            <v>1</v>
          </cell>
          <cell r="H586" t="str">
            <v>INDUSTRY</v>
          </cell>
          <cell r="I586" t="str">
            <v>11</v>
          </cell>
          <cell r="J586" t="str">
            <v>WOOD COATINGS</v>
          </cell>
          <cell r="K586" t="str">
            <v>1109</v>
          </cell>
          <cell r="L586" t="str">
            <v>STAIN &amp; GLAZE INTERIOR</v>
          </cell>
          <cell r="M586" t="str">
            <v>110903</v>
          </cell>
          <cell r="N586" t="str">
            <v>STAIN INTERIOR</v>
          </cell>
        </row>
        <row r="587">
          <cell r="C587" t="str">
            <v>100000585</v>
          </cell>
          <cell r="D587" t="str">
            <v>SST-11100 39 02 B MT VN-20LJ</v>
          </cell>
          <cell r="E587" t="str">
            <v>ZFGD</v>
          </cell>
          <cell r="F587" t="str">
            <v>PC</v>
          </cell>
          <cell r="G587" t="str">
            <v>1</v>
          </cell>
          <cell r="H587" t="str">
            <v>INDUSTRY</v>
          </cell>
          <cell r="I587" t="str">
            <v>11</v>
          </cell>
          <cell r="J587" t="str">
            <v>WOOD COATINGS</v>
          </cell>
          <cell r="K587" t="str">
            <v>1109</v>
          </cell>
          <cell r="L587" t="str">
            <v>STAIN &amp; GLAZE INTERIOR</v>
          </cell>
          <cell r="M587" t="str">
            <v>110903</v>
          </cell>
          <cell r="N587" t="str">
            <v>STAIN INTERIOR</v>
          </cell>
        </row>
        <row r="588">
          <cell r="C588" t="str">
            <v>100000586</v>
          </cell>
          <cell r="D588" t="str">
            <v>SST-11100 39 02 C MT VN-20LJ</v>
          </cell>
          <cell r="E588" t="str">
            <v>ZFGD</v>
          </cell>
          <cell r="F588" t="str">
            <v>PC</v>
          </cell>
          <cell r="G588" t="str">
            <v>1</v>
          </cell>
          <cell r="H588" t="str">
            <v>INDUSTRY</v>
          </cell>
          <cell r="I588" t="str">
            <v>11</v>
          </cell>
          <cell r="J588" t="str">
            <v>WOOD COATINGS</v>
          </cell>
          <cell r="K588" t="str">
            <v>1109</v>
          </cell>
          <cell r="L588" t="str">
            <v>STAIN &amp; GLAZE INTERIOR</v>
          </cell>
          <cell r="M588" t="str">
            <v>110903</v>
          </cell>
          <cell r="N588" t="str">
            <v>STAIN INTERIOR</v>
          </cell>
        </row>
        <row r="589">
          <cell r="C589" t="str">
            <v>100000587</v>
          </cell>
          <cell r="D589" t="str">
            <v>SST-11100 39 F1 VN-20LJ</v>
          </cell>
          <cell r="E589" t="str">
            <v>ZFGD</v>
          </cell>
          <cell r="F589" t="str">
            <v>PC</v>
          </cell>
          <cell r="G589" t="str">
            <v>1</v>
          </cell>
          <cell r="H589" t="str">
            <v>INDUSTRY</v>
          </cell>
          <cell r="I589" t="str">
            <v>11</v>
          </cell>
          <cell r="J589" t="str">
            <v>WOOD COATINGS</v>
          </cell>
          <cell r="K589" t="str">
            <v>1109</v>
          </cell>
          <cell r="L589" t="str">
            <v>STAIN &amp; GLAZE INTERIOR</v>
          </cell>
          <cell r="M589" t="str">
            <v>110903</v>
          </cell>
          <cell r="N589" t="str">
            <v>STAIN INTERIOR</v>
          </cell>
        </row>
        <row r="590">
          <cell r="C590" t="str">
            <v>100000588</v>
          </cell>
          <cell r="D590" t="str">
            <v>SST-11100 3975 MT VN-20LJ</v>
          </cell>
          <cell r="E590" t="str">
            <v>ZFGD</v>
          </cell>
          <cell r="F590" t="str">
            <v>PC</v>
          </cell>
          <cell r="G590" t="str">
            <v>1</v>
          </cell>
          <cell r="H590" t="str">
            <v>INDUSTRY</v>
          </cell>
          <cell r="I590" t="str">
            <v>11</v>
          </cell>
          <cell r="J590" t="str">
            <v>WOOD COATINGS</v>
          </cell>
          <cell r="K590" t="str">
            <v>1109</v>
          </cell>
          <cell r="L590" t="str">
            <v>STAIN &amp; GLAZE INTERIOR</v>
          </cell>
          <cell r="M590" t="str">
            <v>110903</v>
          </cell>
          <cell r="N590" t="str">
            <v>STAIN INTERIOR</v>
          </cell>
        </row>
        <row r="591">
          <cell r="C591" t="str">
            <v>100000589</v>
          </cell>
          <cell r="D591" t="str">
            <v>SST-11100 3975 TN A MT VN-20LJ</v>
          </cell>
          <cell r="E591" t="str">
            <v>ZFGD</v>
          </cell>
          <cell r="F591" t="str">
            <v>PC</v>
          </cell>
          <cell r="G591" t="str">
            <v>1</v>
          </cell>
          <cell r="H591" t="str">
            <v>INDUSTRY</v>
          </cell>
          <cell r="I591" t="str">
            <v>11</v>
          </cell>
          <cell r="J591" t="str">
            <v>WOOD COATINGS</v>
          </cell>
          <cell r="K591" t="str">
            <v>1109</v>
          </cell>
          <cell r="L591" t="str">
            <v>STAIN &amp; GLAZE INTERIOR</v>
          </cell>
          <cell r="M591" t="str">
            <v>110903</v>
          </cell>
          <cell r="N591" t="str">
            <v>STAIN INTERIOR</v>
          </cell>
        </row>
        <row r="592">
          <cell r="C592" t="str">
            <v>100000590</v>
          </cell>
          <cell r="D592" t="str">
            <v>SST-11100 3975 TN B MT VN-20LJ</v>
          </cell>
          <cell r="E592" t="str">
            <v>ZFGD</v>
          </cell>
          <cell r="F592" t="str">
            <v>PC</v>
          </cell>
          <cell r="G592" t="str">
            <v>1</v>
          </cell>
          <cell r="H592" t="str">
            <v>INDUSTRY</v>
          </cell>
          <cell r="I592" t="str">
            <v>11</v>
          </cell>
          <cell r="J592" t="str">
            <v>WOOD COATINGS</v>
          </cell>
          <cell r="K592" t="str">
            <v>1109</v>
          </cell>
          <cell r="L592" t="str">
            <v>STAIN &amp; GLAZE INTERIOR</v>
          </cell>
          <cell r="M592" t="str">
            <v>110903</v>
          </cell>
          <cell r="N592" t="str">
            <v>STAIN INTERIOR</v>
          </cell>
        </row>
        <row r="593">
          <cell r="C593" t="str">
            <v>100000591</v>
          </cell>
          <cell r="D593" t="str">
            <v>SST-11100 43 F1 VN-20LJ</v>
          </cell>
          <cell r="E593" t="str">
            <v>ZFGD</v>
          </cell>
          <cell r="F593" t="str">
            <v>PC</v>
          </cell>
          <cell r="G593" t="str">
            <v>1</v>
          </cell>
          <cell r="H593" t="str">
            <v>INDUSTRY</v>
          </cell>
          <cell r="I593" t="str">
            <v>11</v>
          </cell>
          <cell r="J593" t="str">
            <v>WOOD COATINGS</v>
          </cell>
          <cell r="K593" t="str">
            <v>1109</v>
          </cell>
          <cell r="L593" t="str">
            <v>STAIN &amp; GLAZE INTERIOR</v>
          </cell>
          <cell r="M593" t="str">
            <v>110903</v>
          </cell>
          <cell r="N593" t="str">
            <v>STAIN INTERIOR</v>
          </cell>
        </row>
        <row r="594">
          <cell r="C594" t="str">
            <v>100000592</v>
          </cell>
          <cell r="D594" t="str">
            <v>SST-11100 506 MOI TT VN-20LJ</v>
          </cell>
          <cell r="E594" t="str">
            <v>ZFGD</v>
          </cell>
          <cell r="F594" t="str">
            <v>PC</v>
          </cell>
          <cell r="G594" t="str">
            <v>1</v>
          </cell>
          <cell r="H594" t="str">
            <v>INDUSTRY</v>
          </cell>
          <cell r="I594" t="str">
            <v>11</v>
          </cell>
          <cell r="J594" t="str">
            <v>WOOD COATINGS</v>
          </cell>
          <cell r="K594" t="str">
            <v>1109</v>
          </cell>
          <cell r="L594" t="str">
            <v>STAIN &amp; GLAZE INTERIOR</v>
          </cell>
          <cell r="M594" t="str">
            <v>110903</v>
          </cell>
          <cell r="N594" t="str">
            <v>STAIN INTERIOR</v>
          </cell>
        </row>
        <row r="595">
          <cell r="C595" t="str">
            <v>100000593</v>
          </cell>
          <cell r="D595" t="str">
            <v>SST-11100 51 F1 VN-20LJ</v>
          </cell>
          <cell r="E595" t="str">
            <v>ZFGD</v>
          </cell>
          <cell r="F595" t="str">
            <v>PC</v>
          </cell>
          <cell r="G595" t="str">
            <v>1</v>
          </cell>
          <cell r="H595" t="str">
            <v>INDUSTRY</v>
          </cell>
          <cell r="I595" t="str">
            <v>11</v>
          </cell>
          <cell r="J595" t="str">
            <v>WOOD COATINGS</v>
          </cell>
          <cell r="K595" t="str">
            <v>1109</v>
          </cell>
          <cell r="L595" t="str">
            <v>STAIN &amp; GLAZE INTERIOR</v>
          </cell>
          <cell r="M595" t="str">
            <v>110903</v>
          </cell>
          <cell r="N595" t="str">
            <v>STAIN INTERIOR</v>
          </cell>
        </row>
        <row r="596">
          <cell r="C596" t="str">
            <v>100000594</v>
          </cell>
          <cell r="D596" t="str">
            <v>SST-11100 54 F1 VN-20LJ</v>
          </cell>
          <cell r="E596" t="str">
            <v>ZFGD</v>
          </cell>
          <cell r="F596" t="str">
            <v>PC</v>
          </cell>
          <cell r="G596" t="str">
            <v>1</v>
          </cell>
          <cell r="H596" t="str">
            <v>INDUSTRY</v>
          </cell>
          <cell r="I596" t="str">
            <v>11</v>
          </cell>
          <cell r="J596" t="str">
            <v>WOOD COATINGS</v>
          </cell>
          <cell r="K596" t="str">
            <v>1109</v>
          </cell>
          <cell r="L596" t="str">
            <v>STAIN &amp; GLAZE INTERIOR</v>
          </cell>
          <cell r="M596" t="str">
            <v>110903</v>
          </cell>
          <cell r="N596" t="str">
            <v>STAIN INTERIOR</v>
          </cell>
        </row>
        <row r="597">
          <cell r="C597" t="str">
            <v>100000595</v>
          </cell>
          <cell r="D597" t="str">
            <v>SST-11100 57 F1 VN-20LJ</v>
          </cell>
          <cell r="E597" t="str">
            <v>ZFGD</v>
          </cell>
          <cell r="F597" t="str">
            <v>PC</v>
          </cell>
          <cell r="G597" t="str">
            <v>1</v>
          </cell>
          <cell r="H597" t="str">
            <v>INDUSTRY</v>
          </cell>
          <cell r="I597" t="str">
            <v>11</v>
          </cell>
          <cell r="J597" t="str">
            <v>WOOD COATINGS</v>
          </cell>
          <cell r="K597" t="str">
            <v>1109</v>
          </cell>
          <cell r="L597" t="str">
            <v>STAIN &amp; GLAZE INTERIOR</v>
          </cell>
          <cell r="M597" t="str">
            <v>110903</v>
          </cell>
          <cell r="N597" t="str">
            <v>STAIN INTERIOR</v>
          </cell>
        </row>
        <row r="598">
          <cell r="C598" t="str">
            <v>100000596</v>
          </cell>
          <cell r="D598" t="str">
            <v>SST-11100 64 HM VN-20LJ</v>
          </cell>
          <cell r="E598" t="str">
            <v>ZFGD</v>
          </cell>
          <cell r="F598" t="str">
            <v>PC</v>
          </cell>
          <cell r="G598" t="str">
            <v>1</v>
          </cell>
          <cell r="H598" t="str">
            <v>INDUSTRY</v>
          </cell>
          <cell r="I598" t="str">
            <v>11</v>
          </cell>
          <cell r="J598" t="str">
            <v>WOOD COATINGS</v>
          </cell>
          <cell r="K598" t="str">
            <v>1109</v>
          </cell>
          <cell r="L598" t="str">
            <v>STAIN &amp; GLAZE INTERIOR</v>
          </cell>
          <cell r="M598" t="str">
            <v>110903</v>
          </cell>
          <cell r="N598" t="str">
            <v>STAIN INTERIOR</v>
          </cell>
        </row>
        <row r="599">
          <cell r="C599" t="str">
            <v>100000597</v>
          </cell>
          <cell r="D599" t="str">
            <v>SST-11100 71 SMITH STREET MT VN-20LJ</v>
          </cell>
          <cell r="E599" t="str">
            <v>ZFGD</v>
          </cell>
          <cell r="F599" t="str">
            <v>PC</v>
          </cell>
          <cell r="G599" t="str">
            <v>1</v>
          </cell>
          <cell r="H599" t="str">
            <v>INDUSTRY</v>
          </cell>
          <cell r="I599" t="str">
            <v>11</v>
          </cell>
          <cell r="J599" t="str">
            <v>WOOD COATINGS</v>
          </cell>
          <cell r="K599" t="str">
            <v>1109</v>
          </cell>
          <cell r="L599" t="str">
            <v>STAIN &amp; GLAZE INTERIOR</v>
          </cell>
          <cell r="M599" t="str">
            <v>110903</v>
          </cell>
          <cell r="N599" t="str">
            <v>STAIN INTERIOR</v>
          </cell>
        </row>
        <row r="600">
          <cell r="C600" t="str">
            <v>100000598</v>
          </cell>
          <cell r="D600" t="str">
            <v>SST-11100 982 PF VN-20LJ</v>
          </cell>
          <cell r="E600" t="str">
            <v>ZFGD</v>
          </cell>
          <cell r="F600" t="str">
            <v>PC</v>
          </cell>
          <cell r="G600" t="str">
            <v>1</v>
          </cell>
          <cell r="H600" t="str">
            <v>INDUSTRY</v>
          </cell>
          <cell r="I600" t="str">
            <v>11</v>
          </cell>
          <cell r="J600" t="str">
            <v>WOOD COATINGS</v>
          </cell>
          <cell r="K600" t="str">
            <v>1109</v>
          </cell>
          <cell r="L600" t="str">
            <v>STAIN &amp; GLAZE INTERIOR</v>
          </cell>
          <cell r="M600" t="str">
            <v>110903</v>
          </cell>
          <cell r="N600" t="str">
            <v>STAIN INTERIOR</v>
          </cell>
        </row>
        <row r="601">
          <cell r="C601" t="str">
            <v>100000599</v>
          </cell>
          <cell r="D601" t="str">
            <v>SST-11100 03 A AH VN-20LJ</v>
          </cell>
          <cell r="E601" t="str">
            <v>ZFGD</v>
          </cell>
          <cell r="F601" t="str">
            <v>PC</v>
          </cell>
          <cell r="G601" t="str">
            <v>1</v>
          </cell>
          <cell r="H601" t="str">
            <v>INDUSTRY</v>
          </cell>
          <cell r="I601" t="str">
            <v>11</v>
          </cell>
          <cell r="J601" t="str">
            <v>WOOD COATINGS</v>
          </cell>
          <cell r="K601" t="str">
            <v>1109</v>
          </cell>
          <cell r="L601" t="str">
            <v>STAIN &amp; GLAZE INTERIOR</v>
          </cell>
          <cell r="M601" t="str">
            <v>110903</v>
          </cell>
          <cell r="N601" t="str">
            <v>STAIN INTERIOR</v>
          </cell>
        </row>
        <row r="602">
          <cell r="C602" t="str">
            <v>100000600</v>
          </cell>
          <cell r="D602" t="str">
            <v>SST-11100 03 B AH VN-20LJ</v>
          </cell>
          <cell r="E602" t="str">
            <v>ZFGD</v>
          </cell>
          <cell r="F602" t="str">
            <v>PC</v>
          </cell>
          <cell r="G602" t="str">
            <v>1</v>
          </cell>
          <cell r="H602" t="str">
            <v>INDUSTRY</v>
          </cell>
          <cell r="I602" t="str">
            <v>11</v>
          </cell>
          <cell r="J602" t="str">
            <v>WOOD COATINGS</v>
          </cell>
          <cell r="K602" t="str">
            <v>1109</v>
          </cell>
          <cell r="L602" t="str">
            <v>STAIN &amp; GLAZE INTERIOR</v>
          </cell>
          <cell r="M602" t="str">
            <v>110903</v>
          </cell>
          <cell r="N602" t="str">
            <v>STAIN INTERIOR</v>
          </cell>
        </row>
        <row r="603">
          <cell r="C603" t="str">
            <v>100000601</v>
          </cell>
          <cell r="D603" t="str">
            <v>SST-11100 10 A AH VN-20LJ</v>
          </cell>
          <cell r="E603" t="str">
            <v>ZFGD</v>
          </cell>
          <cell r="F603" t="str">
            <v>PC</v>
          </cell>
          <cell r="G603" t="str">
            <v>1</v>
          </cell>
          <cell r="H603" t="str">
            <v>INDUSTRY</v>
          </cell>
          <cell r="I603" t="str">
            <v>11</v>
          </cell>
          <cell r="J603" t="str">
            <v>WOOD COATINGS</v>
          </cell>
          <cell r="K603" t="str">
            <v>1109</v>
          </cell>
          <cell r="L603" t="str">
            <v>STAIN &amp; GLAZE INTERIOR</v>
          </cell>
          <cell r="M603" t="str">
            <v>110903</v>
          </cell>
          <cell r="N603" t="str">
            <v>STAIN INTERIOR</v>
          </cell>
        </row>
        <row r="604">
          <cell r="C604" t="str">
            <v>100000602</v>
          </cell>
          <cell r="D604" t="str">
            <v>SST-11100 10 B AH VN-20LJ</v>
          </cell>
          <cell r="E604" t="str">
            <v>ZFGD</v>
          </cell>
          <cell r="F604" t="str">
            <v>PC</v>
          </cell>
          <cell r="G604" t="str">
            <v>1</v>
          </cell>
          <cell r="H604" t="str">
            <v>INDUSTRY</v>
          </cell>
          <cell r="I604" t="str">
            <v>11</v>
          </cell>
          <cell r="J604" t="str">
            <v>WOOD COATINGS</v>
          </cell>
          <cell r="K604" t="str">
            <v>1109</v>
          </cell>
          <cell r="L604" t="str">
            <v>STAIN &amp; GLAZE INTERIOR</v>
          </cell>
          <cell r="M604" t="str">
            <v>110903</v>
          </cell>
          <cell r="N604" t="str">
            <v>STAIN INTERIOR</v>
          </cell>
        </row>
        <row r="605">
          <cell r="C605" t="str">
            <v>100000603</v>
          </cell>
          <cell r="D605" t="str">
            <v>SST-11100 25 A AH VN-20LJ</v>
          </cell>
          <cell r="E605" t="str">
            <v>ZFGD</v>
          </cell>
          <cell r="F605" t="str">
            <v>PC</v>
          </cell>
          <cell r="G605" t="str">
            <v>1</v>
          </cell>
          <cell r="H605" t="str">
            <v>INDUSTRY</v>
          </cell>
          <cell r="I605" t="str">
            <v>11</v>
          </cell>
          <cell r="J605" t="str">
            <v>WOOD COATINGS</v>
          </cell>
          <cell r="K605" t="str">
            <v>1109</v>
          </cell>
          <cell r="L605" t="str">
            <v>STAIN &amp; GLAZE INTERIOR</v>
          </cell>
          <cell r="M605" t="str">
            <v>110903</v>
          </cell>
          <cell r="N605" t="str">
            <v>STAIN INTERIOR</v>
          </cell>
        </row>
        <row r="606">
          <cell r="C606" t="str">
            <v>100000604</v>
          </cell>
          <cell r="D606" t="str">
            <v>SST-11100 25 B AH VN-20LJ</v>
          </cell>
          <cell r="E606" t="str">
            <v>ZFGD</v>
          </cell>
          <cell r="F606" t="str">
            <v>PC</v>
          </cell>
          <cell r="G606" t="str">
            <v>1</v>
          </cell>
          <cell r="H606" t="str">
            <v>INDUSTRY</v>
          </cell>
          <cell r="I606" t="str">
            <v>11</v>
          </cell>
          <cell r="J606" t="str">
            <v>WOOD COATINGS</v>
          </cell>
          <cell r="K606" t="str">
            <v>1109</v>
          </cell>
          <cell r="L606" t="str">
            <v>STAIN &amp; GLAZE INTERIOR</v>
          </cell>
          <cell r="M606" t="str">
            <v>110903</v>
          </cell>
          <cell r="N606" t="str">
            <v>STAIN INTERIOR</v>
          </cell>
        </row>
        <row r="607">
          <cell r="C607" t="str">
            <v>100000605</v>
          </cell>
          <cell r="D607" t="str">
            <v>SST-11100 28 AH VN-20LJ</v>
          </cell>
          <cell r="E607" t="str">
            <v>ZFGD</v>
          </cell>
          <cell r="F607" t="str">
            <v>PC</v>
          </cell>
          <cell r="G607" t="str">
            <v>1</v>
          </cell>
          <cell r="H607" t="str">
            <v>INDUSTRY</v>
          </cell>
          <cell r="I607" t="str">
            <v>11</v>
          </cell>
          <cell r="J607" t="str">
            <v>WOOD COATINGS</v>
          </cell>
          <cell r="K607" t="str">
            <v>1109</v>
          </cell>
          <cell r="L607" t="str">
            <v>STAIN &amp; GLAZE INTERIOR</v>
          </cell>
          <cell r="M607" t="str">
            <v>110903</v>
          </cell>
          <cell r="N607" t="str">
            <v>STAIN INTERIOR</v>
          </cell>
        </row>
        <row r="608">
          <cell r="C608" t="str">
            <v>100000606</v>
          </cell>
          <cell r="D608" t="str">
            <v>SST-11100 41 A AH VN-20LJ</v>
          </cell>
          <cell r="E608" t="str">
            <v>ZFGD</v>
          </cell>
          <cell r="F608" t="str">
            <v>PC</v>
          </cell>
          <cell r="G608" t="str">
            <v>1</v>
          </cell>
          <cell r="H608" t="str">
            <v>INDUSTRY</v>
          </cell>
          <cell r="I608" t="str">
            <v>11</v>
          </cell>
          <cell r="J608" t="str">
            <v>WOOD COATINGS</v>
          </cell>
          <cell r="K608" t="str">
            <v>1109</v>
          </cell>
          <cell r="L608" t="str">
            <v>STAIN &amp; GLAZE INTERIOR</v>
          </cell>
          <cell r="M608" t="str">
            <v>110903</v>
          </cell>
          <cell r="N608" t="str">
            <v>STAIN INTERIOR</v>
          </cell>
        </row>
        <row r="609">
          <cell r="C609" t="str">
            <v>100000607</v>
          </cell>
          <cell r="D609" t="str">
            <v>SST-11100 41 B AH VN-20LJ</v>
          </cell>
          <cell r="E609" t="str">
            <v>ZFGD</v>
          </cell>
          <cell r="F609" t="str">
            <v>PC</v>
          </cell>
          <cell r="G609" t="str">
            <v>1</v>
          </cell>
          <cell r="H609" t="str">
            <v>INDUSTRY</v>
          </cell>
          <cell r="I609" t="str">
            <v>11</v>
          </cell>
          <cell r="J609" t="str">
            <v>WOOD COATINGS</v>
          </cell>
          <cell r="K609" t="str">
            <v>1109</v>
          </cell>
          <cell r="L609" t="str">
            <v>STAIN &amp; GLAZE INTERIOR</v>
          </cell>
          <cell r="M609" t="str">
            <v>110903</v>
          </cell>
          <cell r="N609" t="str">
            <v>STAIN INTERIOR</v>
          </cell>
        </row>
        <row r="610">
          <cell r="C610" t="str">
            <v>100000608</v>
          </cell>
          <cell r="D610" t="str">
            <v>SST-11100 ALD TT VN-20LJ</v>
          </cell>
          <cell r="E610" t="str">
            <v>ZFGD</v>
          </cell>
          <cell r="F610" t="str">
            <v>PC</v>
          </cell>
          <cell r="G610" t="str">
            <v>1</v>
          </cell>
          <cell r="H610" t="str">
            <v>INDUSTRY</v>
          </cell>
          <cell r="I610" t="str">
            <v>11</v>
          </cell>
          <cell r="J610" t="str">
            <v>WOOD COATINGS</v>
          </cell>
          <cell r="K610" t="str">
            <v>1109</v>
          </cell>
          <cell r="L610" t="str">
            <v>STAIN &amp; GLAZE INTERIOR</v>
          </cell>
          <cell r="M610" t="str">
            <v>110903</v>
          </cell>
          <cell r="N610" t="str">
            <v>STAIN INTERIOR</v>
          </cell>
        </row>
        <row r="611">
          <cell r="C611" t="str">
            <v>100000609</v>
          </cell>
          <cell r="D611" t="str">
            <v>SST-11100 ARMCHAIR TT VN-20LJ</v>
          </cell>
          <cell r="E611" t="str">
            <v>ZFGD</v>
          </cell>
          <cell r="F611" t="str">
            <v>PC</v>
          </cell>
          <cell r="G611" t="str">
            <v>1</v>
          </cell>
          <cell r="H611" t="str">
            <v>INDUSTRY</v>
          </cell>
          <cell r="I611" t="str">
            <v>11</v>
          </cell>
          <cell r="J611" t="str">
            <v>WOOD COATINGS</v>
          </cell>
          <cell r="K611" t="str">
            <v>1109</v>
          </cell>
          <cell r="L611" t="str">
            <v>STAIN &amp; GLAZE INTERIOR</v>
          </cell>
          <cell r="M611" t="str">
            <v>110903</v>
          </cell>
          <cell r="N611" t="str">
            <v>STAIN INTERIOR</v>
          </cell>
        </row>
        <row r="612">
          <cell r="C612" t="str">
            <v>100000610</v>
          </cell>
          <cell r="D612" t="str">
            <v>SST-11100 B 111 TT VN-20LJ</v>
          </cell>
          <cell r="E612" t="str">
            <v>ZFGD</v>
          </cell>
          <cell r="F612" t="str">
            <v>PC</v>
          </cell>
          <cell r="G612" t="str">
            <v>1</v>
          </cell>
          <cell r="H612" t="str">
            <v>INDUSTRY</v>
          </cell>
          <cell r="I612" t="str">
            <v>11</v>
          </cell>
          <cell r="J612" t="str">
            <v>WOOD COATINGS</v>
          </cell>
          <cell r="K612" t="str">
            <v>1109</v>
          </cell>
          <cell r="L612" t="str">
            <v>STAIN &amp; GLAZE INTERIOR</v>
          </cell>
          <cell r="M612" t="str">
            <v>110903</v>
          </cell>
          <cell r="N612" t="str">
            <v>STAIN INTERIOR</v>
          </cell>
        </row>
        <row r="613">
          <cell r="C613" t="str">
            <v>100000611</v>
          </cell>
          <cell r="D613" t="str">
            <v>SST-11100 B BROWN 001 SV VN-20LJ</v>
          </cell>
          <cell r="E613" t="str">
            <v>ZFGD</v>
          </cell>
          <cell r="F613" t="str">
            <v>PC</v>
          </cell>
          <cell r="G613" t="str">
            <v>1</v>
          </cell>
          <cell r="H613" t="str">
            <v>INDUSTRY</v>
          </cell>
          <cell r="I613" t="str">
            <v>11</v>
          </cell>
          <cell r="J613" t="str">
            <v>WOOD COATINGS</v>
          </cell>
          <cell r="K613" t="str">
            <v>1109</v>
          </cell>
          <cell r="L613" t="str">
            <v>STAIN &amp; GLAZE INTERIOR</v>
          </cell>
          <cell r="M613" t="str">
            <v>110903</v>
          </cell>
          <cell r="N613" t="str">
            <v>STAIN INTERIOR</v>
          </cell>
        </row>
        <row r="614">
          <cell r="C614" t="str">
            <v>100000612</v>
          </cell>
          <cell r="D614" t="str">
            <v>SST-11100 B LIGHT BROWN TR VN-20LJ</v>
          </cell>
          <cell r="E614" t="str">
            <v>ZFGD</v>
          </cell>
          <cell r="F614" t="str">
            <v>PC</v>
          </cell>
          <cell r="G614" t="str">
            <v>1</v>
          </cell>
          <cell r="H614" t="str">
            <v>INDUSTRY</v>
          </cell>
          <cell r="I614" t="str">
            <v>11</v>
          </cell>
          <cell r="J614" t="str">
            <v>WOOD COATINGS</v>
          </cell>
          <cell r="K614" t="str">
            <v>1109</v>
          </cell>
          <cell r="L614" t="str">
            <v>STAIN &amp; GLAZE INTERIOR</v>
          </cell>
          <cell r="M614" t="str">
            <v>110903</v>
          </cell>
          <cell r="N614" t="str">
            <v>STAIN INTERIOR</v>
          </cell>
        </row>
        <row r="615">
          <cell r="C615" t="str">
            <v>100000613</v>
          </cell>
          <cell r="D615" t="str">
            <v>SST-11100 B SA 78 SV VN-20LJ</v>
          </cell>
          <cell r="E615" t="str">
            <v>ZFGD</v>
          </cell>
          <cell r="F615" t="str">
            <v>PC</v>
          </cell>
          <cell r="G615" t="str">
            <v>1</v>
          </cell>
          <cell r="H615" t="str">
            <v>INDUSTRY</v>
          </cell>
          <cell r="I615" t="str">
            <v>11</v>
          </cell>
          <cell r="J615" t="str">
            <v>WOOD COATINGS</v>
          </cell>
          <cell r="K615" t="str">
            <v>1109</v>
          </cell>
          <cell r="L615" t="str">
            <v>STAIN &amp; GLAZE INTERIOR</v>
          </cell>
          <cell r="M615" t="str">
            <v>110903</v>
          </cell>
          <cell r="N615" t="str">
            <v>STAIN INTERIOR</v>
          </cell>
        </row>
        <row r="616">
          <cell r="C616" t="str">
            <v>100000614</v>
          </cell>
          <cell r="D616" t="str">
            <v>SST-11100 B TT K 01 TT VN-20LJ</v>
          </cell>
          <cell r="E616" t="str">
            <v>ZFGD</v>
          </cell>
          <cell r="F616" t="str">
            <v>PC</v>
          </cell>
          <cell r="G616" t="str">
            <v>1</v>
          </cell>
          <cell r="H616" t="str">
            <v>INDUSTRY</v>
          </cell>
          <cell r="I616" t="str">
            <v>11</v>
          </cell>
          <cell r="J616" t="str">
            <v>WOOD COATINGS</v>
          </cell>
          <cell r="K616" t="str">
            <v>1109</v>
          </cell>
          <cell r="L616" t="str">
            <v>STAIN &amp; GLAZE INTERIOR</v>
          </cell>
          <cell r="M616" t="str">
            <v>110903</v>
          </cell>
          <cell r="N616" t="str">
            <v>STAIN INTERIOR</v>
          </cell>
        </row>
        <row r="617">
          <cell r="C617" t="str">
            <v>100000615</v>
          </cell>
          <cell r="D617" t="str">
            <v>SST-11100 B YELLOW TR VN-20LJ</v>
          </cell>
          <cell r="E617" t="str">
            <v>ZFGD</v>
          </cell>
          <cell r="F617" t="str">
            <v>PC</v>
          </cell>
          <cell r="G617" t="str">
            <v>1</v>
          </cell>
          <cell r="H617" t="str">
            <v>INDUSTRY</v>
          </cell>
          <cell r="I617" t="str">
            <v>11</v>
          </cell>
          <cell r="J617" t="str">
            <v>WOOD COATINGS</v>
          </cell>
          <cell r="K617" t="str">
            <v>1109</v>
          </cell>
          <cell r="L617" t="str">
            <v>STAIN &amp; GLAZE INTERIOR</v>
          </cell>
          <cell r="M617" t="str">
            <v>110903</v>
          </cell>
          <cell r="N617" t="str">
            <v>STAIN INTERIOR</v>
          </cell>
        </row>
        <row r="618">
          <cell r="C618" t="str">
            <v>100000616</v>
          </cell>
          <cell r="D618" t="str">
            <v>SST-11100 BEEKMAN 03 GE VN-20LJ</v>
          </cell>
          <cell r="E618" t="str">
            <v>ZFGD</v>
          </cell>
          <cell r="F618" t="str">
            <v>PC</v>
          </cell>
          <cell r="G618" t="str">
            <v>1</v>
          </cell>
          <cell r="H618" t="str">
            <v>INDUSTRY</v>
          </cell>
          <cell r="I618" t="str">
            <v>11</v>
          </cell>
          <cell r="J618" t="str">
            <v>WOOD COATINGS</v>
          </cell>
          <cell r="K618" t="str">
            <v>1109</v>
          </cell>
          <cell r="L618" t="str">
            <v>STAIN &amp; GLAZE INTERIOR</v>
          </cell>
          <cell r="M618" t="str">
            <v>110903</v>
          </cell>
          <cell r="N618" t="str">
            <v>STAIN INTERIOR</v>
          </cell>
        </row>
        <row r="619">
          <cell r="C619" t="str">
            <v>100000617</v>
          </cell>
          <cell r="D619" t="str">
            <v>SST-11100 BEEKMAN 05 GE VN-20LJ</v>
          </cell>
          <cell r="E619" t="str">
            <v>ZFGD</v>
          </cell>
          <cell r="F619" t="str">
            <v>PC</v>
          </cell>
          <cell r="G619" t="str">
            <v>1</v>
          </cell>
          <cell r="H619" t="str">
            <v>INDUSTRY</v>
          </cell>
          <cell r="I619" t="str">
            <v>11</v>
          </cell>
          <cell r="J619" t="str">
            <v>WOOD COATINGS</v>
          </cell>
          <cell r="K619" t="str">
            <v>1109</v>
          </cell>
          <cell r="L619" t="str">
            <v>STAIN &amp; GLAZE INTERIOR</v>
          </cell>
          <cell r="M619" t="str">
            <v>110903</v>
          </cell>
          <cell r="N619" t="str">
            <v>STAIN INTERIOR</v>
          </cell>
        </row>
        <row r="620">
          <cell r="C620" t="str">
            <v>100000618</v>
          </cell>
          <cell r="D620" t="str">
            <v>SST-11100 BEEKMAN A GE VN-20LJ</v>
          </cell>
          <cell r="E620" t="str">
            <v>ZFGD</v>
          </cell>
          <cell r="F620" t="str">
            <v>PC</v>
          </cell>
          <cell r="G620" t="str">
            <v>1</v>
          </cell>
          <cell r="H620" t="str">
            <v>INDUSTRY</v>
          </cell>
          <cell r="I620" t="str">
            <v>11</v>
          </cell>
          <cell r="J620" t="str">
            <v>WOOD COATINGS</v>
          </cell>
          <cell r="K620" t="str">
            <v>1109</v>
          </cell>
          <cell r="L620" t="str">
            <v>STAIN &amp; GLAZE INTERIOR</v>
          </cell>
          <cell r="M620" t="str">
            <v>110903</v>
          </cell>
          <cell r="N620" t="str">
            <v>STAIN INTERIOR</v>
          </cell>
        </row>
        <row r="621">
          <cell r="C621" t="str">
            <v>100000619</v>
          </cell>
          <cell r="D621" t="str">
            <v>SST-11100 BEEKMAN B GE VN-20LJ</v>
          </cell>
          <cell r="E621" t="str">
            <v>ZFGD</v>
          </cell>
          <cell r="F621" t="str">
            <v>PC</v>
          </cell>
          <cell r="G621" t="str">
            <v>1</v>
          </cell>
          <cell r="H621" t="str">
            <v>INDUSTRY</v>
          </cell>
          <cell r="I621" t="str">
            <v>11</v>
          </cell>
          <cell r="J621" t="str">
            <v>WOOD COATINGS</v>
          </cell>
          <cell r="K621" t="str">
            <v>1109</v>
          </cell>
          <cell r="L621" t="str">
            <v>STAIN &amp; GLAZE INTERIOR</v>
          </cell>
          <cell r="M621" t="str">
            <v>110903</v>
          </cell>
          <cell r="N621" t="str">
            <v>STAIN INTERIOR</v>
          </cell>
        </row>
        <row r="622">
          <cell r="C622" t="str">
            <v>100000620</v>
          </cell>
          <cell r="D622" t="str">
            <v>SST-11100 BIL TD VN-20LJ</v>
          </cell>
          <cell r="E622" t="str">
            <v>ZFGD</v>
          </cell>
          <cell r="F622" t="str">
            <v>PC</v>
          </cell>
          <cell r="G622" t="str">
            <v>1</v>
          </cell>
          <cell r="H622" t="str">
            <v>INDUSTRY</v>
          </cell>
          <cell r="I622" t="str">
            <v>11</v>
          </cell>
          <cell r="J622" t="str">
            <v>WOOD COATINGS</v>
          </cell>
          <cell r="K622" t="str">
            <v>1109</v>
          </cell>
          <cell r="L622" t="str">
            <v>STAIN &amp; GLAZE INTERIOR</v>
          </cell>
          <cell r="M622" t="str">
            <v>110903</v>
          </cell>
          <cell r="N622" t="str">
            <v>STAIN INTERIOR</v>
          </cell>
        </row>
        <row r="623">
          <cell r="C623" t="str">
            <v>100000621</v>
          </cell>
          <cell r="D623" t="str">
            <v>SST-2111-BL-AK-4K</v>
          </cell>
          <cell r="E623" t="str">
            <v>ZFGD</v>
          </cell>
          <cell r="F623" t="str">
            <v>PC</v>
          </cell>
          <cell r="G623" t="str">
            <v>1</v>
          </cell>
          <cell r="H623" t="str">
            <v>INDUSTRY</v>
          </cell>
          <cell r="I623" t="str">
            <v>11</v>
          </cell>
          <cell r="J623" t="str">
            <v>WOOD COATINGS</v>
          </cell>
          <cell r="K623" t="str">
            <v>1109</v>
          </cell>
          <cell r="L623" t="str">
            <v>STAIN &amp; GLAZE INTERIOR</v>
          </cell>
          <cell r="M623" t="str">
            <v>110903</v>
          </cell>
          <cell r="N623" t="str">
            <v>STAIN INTERIOR</v>
          </cell>
        </row>
        <row r="624">
          <cell r="C624" t="str">
            <v>100000622</v>
          </cell>
          <cell r="D624" t="str">
            <v>SST-11100 BLACK KI VN-20LJ</v>
          </cell>
          <cell r="E624" t="str">
            <v>ZFGD</v>
          </cell>
          <cell r="F624" t="str">
            <v>PC</v>
          </cell>
          <cell r="G624" t="str">
            <v>1</v>
          </cell>
          <cell r="H624" t="str">
            <v>INDUSTRY</v>
          </cell>
          <cell r="I624" t="str">
            <v>11</v>
          </cell>
          <cell r="J624" t="str">
            <v>WOOD COATINGS</v>
          </cell>
          <cell r="K624" t="str">
            <v>1109</v>
          </cell>
          <cell r="L624" t="str">
            <v>STAIN &amp; GLAZE INTERIOR</v>
          </cell>
          <cell r="M624" t="str">
            <v>110903</v>
          </cell>
          <cell r="N624" t="str">
            <v>STAIN INTERIOR</v>
          </cell>
        </row>
        <row r="625">
          <cell r="C625" t="str">
            <v>100000623</v>
          </cell>
          <cell r="D625" t="str">
            <v>SST-11100 BLUE TG 1030 DT VN-20LJ</v>
          </cell>
          <cell r="E625" t="str">
            <v>ZFGD</v>
          </cell>
          <cell r="F625" t="str">
            <v>PC</v>
          </cell>
          <cell r="G625" t="str">
            <v>1</v>
          </cell>
          <cell r="H625" t="str">
            <v>INDUSTRY</v>
          </cell>
          <cell r="I625" t="str">
            <v>11</v>
          </cell>
          <cell r="J625" t="str">
            <v>WOOD COATINGS</v>
          </cell>
          <cell r="K625" t="str">
            <v>1109</v>
          </cell>
          <cell r="L625" t="str">
            <v>STAIN &amp; GLAZE INTERIOR</v>
          </cell>
          <cell r="M625" t="str">
            <v>110903</v>
          </cell>
          <cell r="N625" t="str">
            <v>STAIN INTERIOR</v>
          </cell>
        </row>
        <row r="626">
          <cell r="C626" t="str">
            <v>100000624</v>
          </cell>
          <cell r="D626" t="str">
            <v>SST-11100 BMC BR 01 TT VN-20LJ</v>
          </cell>
          <cell r="E626" t="str">
            <v>ZFGD</v>
          </cell>
          <cell r="F626" t="str">
            <v>PC</v>
          </cell>
          <cell r="G626" t="str">
            <v>1</v>
          </cell>
          <cell r="H626" t="str">
            <v>INDUSTRY</v>
          </cell>
          <cell r="I626" t="str">
            <v>11</v>
          </cell>
          <cell r="J626" t="str">
            <v>WOOD COATINGS</v>
          </cell>
          <cell r="K626" t="str">
            <v>1109</v>
          </cell>
          <cell r="L626" t="str">
            <v>STAIN &amp; GLAZE INTERIOR</v>
          </cell>
          <cell r="M626" t="str">
            <v>110903</v>
          </cell>
          <cell r="N626" t="str">
            <v>STAIN INTERIOR</v>
          </cell>
        </row>
        <row r="627">
          <cell r="C627" t="str">
            <v>100000625</v>
          </cell>
          <cell r="D627" t="str">
            <v>SST-11100 BMC BR 02 TT VN-20LJ</v>
          </cell>
          <cell r="E627" t="str">
            <v>ZFGD</v>
          </cell>
          <cell r="F627" t="str">
            <v>PC</v>
          </cell>
          <cell r="G627" t="str">
            <v>1</v>
          </cell>
          <cell r="H627" t="str">
            <v>INDUSTRY</v>
          </cell>
          <cell r="I627" t="str">
            <v>11</v>
          </cell>
          <cell r="J627" t="str">
            <v>WOOD COATINGS</v>
          </cell>
          <cell r="K627" t="str">
            <v>1109</v>
          </cell>
          <cell r="L627" t="str">
            <v>STAIN &amp; GLAZE INTERIOR</v>
          </cell>
          <cell r="M627" t="str">
            <v>110903</v>
          </cell>
          <cell r="N627" t="str">
            <v>STAIN INTERIOR</v>
          </cell>
        </row>
        <row r="628">
          <cell r="C628" t="str">
            <v>100000626</v>
          </cell>
          <cell r="D628" t="str">
            <v>SST-11100 BMC I TT VN-20LJ</v>
          </cell>
          <cell r="E628" t="str">
            <v>ZFGD</v>
          </cell>
          <cell r="F628" t="str">
            <v>PC</v>
          </cell>
          <cell r="G628" t="str">
            <v>1</v>
          </cell>
          <cell r="H628" t="str">
            <v>INDUSTRY</v>
          </cell>
          <cell r="I628" t="str">
            <v>11</v>
          </cell>
          <cell r="J628" t="str">
            <v>WOOD COATINGS</v>
          </cell>
          <cell r="K628" t="str">
            <v>1109</v>
          </cell>
          <cell r="L628" t="str">
            <v>STAIN &amp; GLAZE INTERIOR</v>
          </cell>
          <cell r="M628" t="str">
            <v>110903</v>
          </cell>
          <cell r="N628" t="str">
            <v>STAIN INTERIOR</v>
          </cell>
        </row>
        <row r="629">
          <cell r="C629" t="str">
            <v>100000627</v>
          </cell>
          <cell r="D629" t="str">
            <v>SST-11100 BMC II TT VN-20LJ</v>
          </cell>
          <cell r="E629" t="str">
            <v>ZFGD</v>
          </cell>
          <cell r="F629" t="str">
            <v>PC</v>
          </cell>
          <cell r="G629" t="str">
            <v>1</v>
          </cell>
          <cell r="H629" t="str">
            <v>INDUSTRY</v>
          </cell>
          <cell r="I629" t="str">
            <v>11</v>
          </cell>
          <cell r="J629" t="str">
            <v>WOOD COATINGS</v>
          </cell>
          <cell r="K629" t="str">
            <v>1109</v>
          </cell>
          <cell r="L629" t="str">
            <v>STAIN &amp; GLAZE INTERIOR</v>
          </cell>
          <cell r="M629" t="str">
            <v>110903</v>
          </cell>
          <cell r="N629" t="str">
            <v>STAIN INTERIOR</v>
          </cell>
        </row>
        <row r="630">
          <cell r="C630" t="str">
            <v>100000628</v>
          </cell>
          <cell r="D630" t="str">
            <v>SST-11100 BROWN A DS VN-20LJ</v>
          </cell>
          <cell r="E630" t="str">
            <v>ZFGD</v>
          </cell>
          <cell r="F630" t="str">
            <v>PC</v>
          </cell>
          <cell r="G630" t="str">
            <v>1</v>
          </cell>
          <cell r="H630" t="str">
            <v>INDUSTRY</v>
          </cell>
          <cell r="I630" t="str">
            <v>11</v>
          </cell>
          <cell r="J630" t="str">
            <v>WOOD COATINGS</v>
          </cell>
          <cell r="K630" t="str">
            <v>1109</v>
          </cell>
          <cell r="L630" t="str">
            <v>STAIN &amp; GLAZE INTERIOR</v>
          </cell>
          <cell r="M630" t="str">
            <v>110903</v>
          </cell>
          <cell r="N630" t="str">
            <v>STAIN INTERIOR</v>
          </cell>
        </row>
        <row r="631">
          <cell r="C631" t="str">
            <v>100000629</v>
          </cell>
          <cell r="D631" t="str">
            <v>SST-11100 BROWN B DS VN-20LJ</v>
          </cell>
          <cell r="E631" t="str">
            <v>ZFGD</v>
          </cell>
          <cell r="F631" t="str">
            <v>PC</v>
          </cell>
          <cell r="G631" t="str">
            <v>1</v>
          </cell>
          <cell r="H631" t="str">
            <v>INDUSTRY</v>
          </cell>
          <cell r="I631" t="str">
            <v>11</v>
          </cell>
          <cell r="J631" t="str">
            <v>WOOD COATINGS</v>
          </cell>
          <cell r="K631" t="str">
            <v>1109</v>
          </cell>
          <cell r="L631" t="str">
            <v>STAIN &amp; GLAZE INTERIOR</v>
          </cell>
          <cell r="M631" t="str">
            <v>110903</v>
          </cell>
          <cell r="N631" t="str">
            <v>STAIN INTERIOR</v>
          </cell>
        </row>
        <row r="632">
          <cell r="C632" t="str">
            <v>100000630</v>
          </cell>
          <cell r="D632" t="str">
            <v>SST-11100 BROWN DM VN-20LJ</v>
          </cell>
          <cell r="E632" t="str">
            <v>ZFGD</v>
          </cell>
          <cell r="F632" t="str">
            <v>PC</v>
          </cell>
          <cell r="G632" t="str">
            <v>1</v>
          </cell>
          <cell r="H632" t="str">
            <v>INDUSTRY</v>
          </cell>
          <cell r="I632" t="str">
            <v>11</v>
          </cell>
          <cell r="J632" t="str">
            <v>WOOD COATINGS</v>
          </cell>
          <cell r="K632" t="str">
            <v>1109</v>
          </cell>
          <cell r="L632" t="str">
            <v>STAIN &amp; GLAZE INTERIOR</v>
          </cell>
          <cell r="M632" t="str">
            <v>110903</v>
          </cell>
          <cell r="N632" t="str">
            <v>STAIN INTERIOR</v>
          </cell>
        </row>
        <row r="633">
          <cell r="C633" t="str">
            <v>100000631</v>
          </cell>
          <cell r="D633" t="str">
            <v>SST-11100 BROWN MH VN-20LJ</v>
          </cell>
          <cell r="E633" t="str">
            <v>ZFGD</v>
          </cell>
          <cell r="F633" t="str">
            <v>PC</v>
          </cell>
          <cell r="G633" t="str">
            <v>1</v>
          </cell>
          <cell r="H633" t="str">
            <v>INDUSTRY</v>
          </cell>
          <cell r="I633" t="str">
            <v>11</v>
          </cell>
          <cell r="J633" t="str">
            <v>WOOD COATINGS</v>
          </cell>
          <cell r="K633" t="str">
            <v>1109</v>
          </cell>
          <cell r="L633" t="str">
            <v>STAIN &amp; GLAZE INTERIOR</v>
          </cell>
          <cell r="M633" t="str">
            <v>110903</v>
          </cell>
          <cell r="N633" t="str">
            <v>STAIN INTERIOR</v>
          </cell>
        </row>
        <row r="634">
          <cell r="C634" t="str">
            <v>100000632</v>
          </cell>
          <cell r="D634" t="str">
            <v>SST-11100 BROWN TG 1030 DT VN-20LJ</v>
          </cell>
          <cell r="E634" t="str">
            <v>ZFGD</v>
          </cell>
          <cell r="F634" t="str">
            <v>PC</v>
          </cell>
          <cell r="G634" t="str">
            <v>1</v>
          </cell>
          <cell r="H634" t="str">
            <v>INDUSTRY</v>
          </cell>
          <cell r="I634" t="str">
            <v>11</v>
          </cell>
          <cell r="J634" t="str">
            <v>WOOD COATINGS</v>
          </cell>
          <cell r="K634" t="str">
            <v>1109</v>
          </cell>
          <cell r="L634" t="str">
            <v>STAIN &amp; GLAZE INTERIOR</v>
          </cell>
          <cell r="M634" t="str">
            <v>110903</v>
          </cell>
          <cell r="N634" t="str">
            <v>STAIN INTERIOR</v>
          </cell>
        </row>
        <row r="635">
          <cell r="C635" t="str">
            <v>100000633</v>
          </cell>
          <cell r="D635" t="str">
            <v>SST-2111-BU-AK-4K</v>
          </cell>
          <cell r="E635" t="str">
            <v>ZFGD</v>
          </cell>
          <cell r="F635" t="str">
            <v>PC</v>
          </cell>
          <cell r="G635" t="str">
            <v>1</v>
          </cell>
          <cell r="H635" t="str">
            <v>INDUSTRY</v>
          </cell>
          <cell r="I635" t="str">
            <v>11</v>
          </cell>
          <cell r="J635" t="str">
            <v>WOOD COATINGS</v>
          </cell>
          <cell r="K635" t="str">
            <v>1109</v>
          </cell>
          <cell r="L635" t="str">
            <v>STAIN &amp; GLAZE INTERIOR</v>
          </cell>
          <cell r="M635" t="str">
            <v>110903</v>
          </cell>
          <cell r="N635" t="str">
            <v>STAIN INTERIOR</v>
          </cell>
        </row>
        <row r="636">
          <cell r="C636" t="str">
            <v>100000634</v>
          </cell>
          <cell r="D636" t="str">
            <v>SST-11100 C10 BLACK-4K</v>
          </cell>
          <cell r="E636" t="str">
            <v>ZFGD</v>
          </cell>
          <cell r="F636" t="str">
            <v>PC</v>
          </cell>
          <cell r="G636" t="str">
            <v>1</v>
          </cell>
          <cell r="H636" t="str">
            <v>INDUSTRY</v>
          </cell>
          <cell r="I636" t="str">
            <v>11</v>
          </cell>
          <cell r="J636" t="str">
            <v>WOOD COATINGS</v>
          </cell>
          <cell r="K636" t="str">
            <v>1109</v>
          </cell>
          <cell r="L636" t="str">
            <v>STAIN &amp; GLAZE INTERIOR</v>
          </cell>
          <cell r="M636" t="str">
            <v>110903</v>
          </cell>
          <cell r="N636" t="str">
            <v>STAIN INTERIOR</v>
          </cell>
        </row>
        <row r="637">
          <cell r="C637" t="str">
            <v>100000635</v>
          </cell>
          <cell r="D637" t="str">
            <v>SST-11100 C10 BLUE-4K</v>
          </cell>
          <cell r="E637" t="str">
            <v>ZFGD</v>
          </cell>
          <cell r="F637" t="str">
            <v>PC</v>
          </cell>
          <cell r="G637" t="str">
            <v>1</v>
          </cell>
          <cell r="H637" t="str">
            <v>INDUSTRY</v>
          </cell>
          <cell r="I637" t="str">
            <v>11</v>
          </cell>
          <cell r="J637" t="str">
            <v>WOOD COATINGS</v>
          </cell>
          <cell r="K637" t="str">
            <v>1109</v>
          </cell>
          <cell r="L637" t="str">
            <v>STAIN &amp; GLAZE INTERIOR</v>
          </cell>
          <cell r="M637" t="str">
            <v>110903</v>
          </cell>
          <cell r="N637" t="str">
            <v>STAIN INTERIOR</v>
          </cell>
        </row>
        <row r="638">
          <cell r="C638" t="str">
            <v>100000636</v>
          </cell>
          <cell r="D638" t="str">
            <v>SST-11100 C10 ORANGE-4K</v>
          </cell>
          <cell r="E638" t="str">
            <v>ZFGD</v>
          </cell>
          <cell r="F638" t="str">
            <v>PC</v>
          </cell>
          <cell r="G638" t="str">
            <v>1</v>
          </cell>
          <cell r="H638" t="str">
            <v>INDUSTRY</v>
          </cell>
          <cell r="I638" t="str">
            <v>11</v>
          </cell>
          <cell r="J638" t="str">
            <v>WOOD COATINGS</v>
          </cell>
          <cell r="K638" t="str">
            <v>1109</v>
          </cell>
          <cell r="L638" t="str">
            <v>STAIN &amp; GLAZE INTERIOR</v>
          </cell>
          <cell r="M638" t="str">
            <v>110903</v>
          </cell>
          <cell r="N638" t="str">
            <v>STAIN INTERIOR</v>
          </cell>
        </row>
        <row r="639">
          <cell r="C639" t="str">
            <v>100000637</v>
          </cell>
          <cell r="D639" t="str">
            <v>SST-11100 C10 RED-4K</v>
          </cell>
          <cell r="E639" t="str">
            <v>ZFGD</v>
          </cell>
          <cell r="F639" t="str">
            <v>PC</v>
          </cell>
          <cell r="G639" t="str">
            <v>1</v>
          </cell>
          <cell r="H639" t="str">
            <v>INDUSTRY</v>
          </cell>
          <cell r="I639" t="str">
            <v>11</v>
          </cell>
          <cell r="J639" t="str">
            <v>WOOD COATINGS</v>
          </cell>
          <cell r="K639" t="str">
            <v>1109</v>
          </cell>
          <cell r="L639" t="str">
            <v>STAIN &amp; GLAZE INTERIOR</v>
          </cell>
          <cell r="M639" t="str">
            <v>110903</v>
          </cell>
          <cell r="N639" t="str">
            <v>STAIN INTERIOR</v>
          </cell>
        </row>
        <row r="640">
          <cell r="C640" t="str">
            <v>100000638</v>
          </cell>
          <cell r="D640" t="str">
            <v>SST-11100 C10 YELLOW-4K</v>
          </cell>
          <cell r="E640" t="str">
            <v>ZFGD</v>
          </cell>
          <cell r="F640" t="str">
            <v>PC</v>
          </cell>
          <cell r="G640" t="str">
            <v>1</v>
          </cell>
          <cell r="H640" t="str">
            <v>INDUSTRY</v>
          </cell>
          <cell r="I640" t="str">
            <v>11</v>
          </cell>
          <cell r="J640" t="str">
            <v>WOOD COATINGS</v>
          </cell>
          <cell r="K640" t="str">
            <v>1109</v>
          </cell>
          <cell r="L640" t="str">
            <v>STAIN &amp; GLAZE INTERIOR</v>
          </cell>
          <cell r="M640" t="str">
            <v>110903</v>
          </cell>
          <cell r="N640" t="str">
            <v>STAIN INTERIOR</v>
          </cell>
        </row>
        <row r="641">
          <cell r="C641" t="str">
            <v>100000639</v>
          </cell>
          <cell r="D641" t="str">
            <v>SST-11100 CAFE AD VN-20LJ</v>
          </cell>
          <cell r="E641" t="str">
            <v>ZFGD</v>
          </cell>
          <cell r="F641" t="str">
            <v>PC</v>
          </cell>
          <cell r="G641" t="str">
            <v>1</v>
          </cell>
          <cell r="H641" t="str">
            <v>INDUSTRY</v>
          </cell>
          <cell r="I641" t="str">
            <v>11</v>
          </cell>
          <cell r="J641" t="str">
            <v>WOOD COATINGS</v>
          </cell>
          <cell r="K641" t="str">
            <v>1109</v>
          </cell>
          <cell r="L641" t="str">
            <v>STAIN &amp; GLAZE INTERIOR</v>
          </cell>
          <cell r="M641" t="str">
            <v>110903</v>
          </cell>
          <cell r="N641" t="str">
            <v>STAIN INTERIOR</v>
          </cell>
        </row>
        <row r="642">
          <cell r="C642" t="str">
            <v>100000640</v>
          </cell>
          <cell r="D642" t="str">
            <v>SST-11100 CAM AH VN-20LJ</v>
          </cell>
          <cell r="E642" t="str">
            <v>ZFGD</v>
          </cell>
          <cell r="F642" t="str">
            <v>PC</v>
          </cell>
          <cell r="G642" t="str">
            <v>1</v>
          </cell>
          <cell r="H642" t="str">
            <v>INDUSTRY</v>
          </cell>
          <cell r="I642" t="str">
            <v>11</v>
          </cell>
          <cell r="J642" t="str">
            <v>WOOD COATINGS</v>
          </cell>
          <cell r="K642" t="str">
            <v>1109</v>
          </cell>
          <cell r="L642" t="str">
            <v>STAIN &amp; GLAZE INTERIOR</v>
          </cell>
          <cell r="M642" t="str">
            <v>110903</v>
          </cell>
          <cell r="N642" t="str">
            <v>STAIN INTERIOR</v>
          </cell>
        </row>
        <row r="643">
          <cell r="C643" t="str">
            <v>100000641</v>
          </cell>
          <cell r="D643" t="str">
            <v>SST-11100 CC DN VN-20LJ</v>
          </cell>
          <cell r="E643" t="str">
            <v>ZFGD</v>
          </cell>
          <cell r="F643" t="str">
            <v>PC</v>
          </cell>
          <cell r="G643" t="str">
            <v>1</v>
          </cell>
          <cell r="H643" t="str">
            <v>INDUSTRY</v>
          </cell>
          <cell r="I643" t="str">
            <v>11</v>
          </cell>
          <cell r="J643" t="str">
            <v>WOOD COATINGS</v>
          </cell>
          <cell r="K643" t="str">
            <v>1109</v>
          </cell>
          <cell r="L643" t="str">
            <v>STAIN &amp; GLAZE INTERIOR</v>
          </cell>
          <cell r="M643" t="str">
            <v>110903</v>
          </cell>
          <cell r="N643" t="str">
            <v>STAIN INTERIOR</v>
          </cell>
        </row>
        <row r="644">
          <cell r="C644" t="str">
            <v>100000642</v>
          </cell>
          <cell r="D644" t="str">
            <v>SST-11100 CHERRY A TL VN-20LJ</v>
          </cell>
          <cell r="E644" t="str">
            <v>ZFGD</v>
          </cell>
          <cell r="F644" t="str">
            <v>PC</v>
          </cell>
          <cell r="G644" t="str">
            <v>1</v>
          </cell>
          <cell r="H644" t="str">
            <v>INDUSTRY</v>
          </cell>
          <cell r="I644" t="str">
            <v>11</v>
          </cell>
          <cell r="J644" t="str">
            <v>WOOD COATINGS</v>
          </cell>
          <cell r="K644" t="str">
            <v>1109</v>
          </cell>
          <cell r="L644" t="str">
            <v>STAIN &amp; GLAZE INTERIOR</v>
          </cell>
          <cell r="M644" t="str">
            <v>110903</v>
          </cell>
          <cell r="N644" t="str">
            <v>STAIN INTERIOR</v>
          </cell>
        </row>
        <row r="645">
          <cell r="C645" t="str">
            <v>100000643</v>
          </cell>
          <cell r="D645" t="str">
            <v>SST-11100 CHERRY B TL VN-20LJ</v>
          </cell>
          <cell r="E645" t="str">
            <v>ZFGD</v>
          </cell>
          <cell r="F645" t="str">
            <v>PC</v>
          </cell>
          <cell r="G645" t="str">
            <v>1</v>
          </cell>
          <cell r="H645" t="str">
            <v>INDUSTRY</v>
          </cell>
          <cell r="I645" t="str">
            <v>11</v>
          </cell>
          <cell r="J645" t="str">
            <v>WOOD COATINGS</v>
          </cell>
          <cell r="K645" t="str">
            <v>1109</v>
          </cell>
          <cell r="L645" t="str">
            <v>STAIN &amp; GLAZE INTERIOR</v>
          </cell>
          <cell r="M645" t="str">
            <v>110903</v>
          </cell>
          <cell r="N645" t="str">
            <v>STAIN INTERIOR</v>
          </cell>
        </row>
        <row r="646">
          <cell r="C646" t="str">
            <v>100000644</v>
          </cell>
          <cell r="D646" t="str">
            <v>SST-11100 CHESTNUT TL VN-20LJ</v>
          </cell>
          <cell r="E646" t="str">
            <v>ZFGD</v>
          </cell>
          <cell r="F646" t="str">
            <v>PC</v>
          </cell>
          <cell r="G646" t="str">
            <v>1</v>
          </cell>
          <cell r="H646" t="str">
            <v>INDUSTRY</v>
          </cell>
          <cell r="I646" t="str">
            <v>11</v>
          </cell>
          <cell r="J646" t="str">
            <v>WOOD COATINGS</v>
          </cell>
          <cell r="K646" t="str">
            <v>1109</v>
          </cell>
          <cell r="L646" t="str">
            <v>STAIN &amp; GLAZE INTERIOR</v>
          </cell>
          <cell r="M646" t="str">
            <v>110903</v>
          </cell>
          <cell r="N646" t="str">
            <v>STAIN INTERIOR</v>
          </cell>
        </row>
        <row r="647">
          <cell r="C647" t="str">
            <v>100000645</v>
          </cell>
          <cell r="D647" t="str">
            <v>SST-11100 CLR 04 VI VN-20LJ</v>
          </cell>
          <cell r="E647" t="str">
            <v>ZFGD</v>
          </cell>
          <cell r="F647" t="str">
            <v>PC</v>
          </cell>
          <cell r="G647" t="str">
            <v>1</v>
          </cell>
          <cell r="H647" t="str">
            <v>INDUSTRY</v>
          </cell>
          <cell r="I647" t="str">
            <v>11</v>
          </cell>
          <cell r="J647" t="str">
            <v>WOOD COATINGS</v>
          </cell>
          <cell r="K647" t="str">
            <v>1109</v>
          </cell>
          <cell r="L647" t="str">
            <v>STAIN &amp; GLAZE INTERIOR</v>
          </cell>
          <cell r="M647" t="str">
            <v>110903</v>
          </cell>
          <cell r="N647" t="str">
            <v>STAIN INTERIOR</v>
          </cell>
        </row>
        <row r="648">
          <cell r="C648" t="str">
            <v>100000646</v>
          </cell>
          <cell r="D648" t="str">
            <v>SST-11100 CLR 058 F1 VN-20LJ</v>
          </cell>
          <cell r="E648" t="str">
            <v>ZFGD</v>
          </cell>
          <cell r="F648" t="str">
            <v>PC</v>
          </cell>
          <cell r="G648" t="str">
            <v>1</v>
          </cell>
          <cell r="H648" t="str">
            <v>INDUSTRY</v>
          </cell>
          <cell r="I648" t="str">
            <v>11</v>
          </cell>
          <cell r="J648" t="str">
            <v>WOOD COATINGS</v>
          </cell>
          <cell r="K648" t="str">
            <v>1109</v>
          </cell>
          <cell r="L648" t="str">
            <v>STAIN &amp; GLAZE INTERIOR</v>
          </cell>
          <cell r="M648" t="str">
            <v>110903</v>
          </cell>
          <cell r="N648" t="str">
            <v>STAIN INTERIOR</v>
          </cell>
        </row>
        <row r="649">
          <cell r="C649" t="str">
            <v>100000647</v>
          </cell>
          <cell r="D649" t="str">
            <v>SST-11100 CLR 061 F1 VN-20LJ</v>
          </cell>
          <cell r="E649" t="str">
            <v>ZFGD</v>
          </cell>
          <cell r="F649" t="str">
            <v>PC</v>
          </cell>
          <cell r="G649" t="str">
            <v>1</v>
          </cell>
          <cell r="H649" t="str">
            <v>INDUSTRY</v>
          </cell>
          <cell r="I649" t="str">
            <v>11</v>
          </cell>
          <cell r="J649" t="str">
            <v>WOOD COATINGS</v>
          </cell>
          <cell r="K649" t="str">
            <v>1109</v>
          </cell>
          <cell r="L649" t="str">
            <v>STAIN &amp; GLAZE INTERIOR</v>
          </cell>
          <cell r="M649" t="str">
            <v>110903</v>
          </cell>
          <cell r="N649" t="str">
            <v>STAIN INTERIOR</v>
          </cell>
        </row>
        <row r="650">
          <cell r="C650" t="str">
            <v>100000648</v>
          </cell>
          <cell r="D650" t="str">
            <v>SST-11100 CLR 065 F1 VN-20LJ</v>
          </cell>
          <cell r="E650" t="str">
            <v>ZFGD</v>
          </cell>
          <cell r="F650" t="str">
            <v>PC</v>
          </cell>
          <cell r="G650" t="str">
            <v>1</v>
          </cell>
          <cell r="H650" t="str">
            <v>INDUSTRY</v>
          </cell>
          <cell r="I650" t="str">
            <v>11</v>
          </cell>
          <cell r="J650" t="str">
            <v>WOOD COATINGS</v>
          </cell>
          <cell r="K650" t="str">
            <v>1109</v>
          </cell>
          <cell r="L650" t="str">
            <v>STAIN &amp; GLAZE INTERIOR</v>
          </cell>
          <cell r="M650" t="str">
            <v>110903</v>
          </cell>
          <cell r="N650" t="str">
            <v>STAIN INTERIOR</v>
          </cell>
        </row>
        <row r="651">
          <cell r="C651" t="str">
            <v>100000649</v>
          </cell>
          <cell r="D651" t="str">
            <v>SST-11100 CLR 066 F1 VN-20LJ</v>
          </cell>
          <cell r="E651" t="str">
            <v>ZFGD</v>
          </cell>
          <cell r="F651" t="str">
            <v>PC</v>
          </cell>
          <cell r="G651" t="str">
            <v>1</v>
          </cell>
          <cell r="H651" t="str">
            <v>INDUSTRY</v>
          </cell>
          <cell r="I651" t="str">
            <v>11</v>
          </cell>
          <cell r="J651" t="str">
            <v>WOOD COATINGS</v>
          </cell>
          <cell r="K651" t="str">
            <v>1109</v>
          </cell>
          <cell r="L651" t="str">
            <v>STAIN &amp; GLAZE INTERIOR</v>
          </cell>
          <cell r="M651" t="str">
            <v>110903</v>
          </cell>
          <cell r="N651" t="str">
            <v>STAIN INTERIOR</v>
          </cell>
        </row>
        <row r="652">
          <cell r="C652" t="str">
            <v>100000650</v>
          </cell>
          <cell r="D652" t="str">
            <v>SST-11100 CLR 156 NEW F1 VN-20LJ</v>
          </cell>
          <cell r="E652" t="str">
            <v>ZFGD</v>
          </cell>
          <cell r="F652" t="str">
            <v>PC</v>
          </cell>
          <cell r="G652" t="str">
            <v>1</v>
          </cell>
          <cell r="H652" t="str">
            <v>INDUSTRY</v>
          </cell>
          <cell r="I652" t="str">
            <v>11</v>
          </cell>
          <cell r="J652" t="str">
            <v>WOOD COATINGS</v>
          </cell>
          <cell r="K652" t="str">
            <v>1109</v>
          </cell>
          <cell r="L652" t="str">
            <v>STAIN &amp; GLAZE INTERIOR</v>
          </cell>
          <cell r="M652" t="str">
            <v>110903</v>
          </cell>
          <cell r="N652" t="str">
            <v>STAIN INTERIOR</v>
          </cell>
        </row>
        <row r="653">
          <cell r="C653" t="str">
            <v>100000651</v>
          </cell>
          <cell r="D653" t="str">
            <v>SST-11100 CLR 181 F1 VN-20LJ</v>
          </cell>
          <cell r="E653" t="str">
            <v>ZFGD</v>
          </cell>
          <cell r="F653" t="str">
            <v>PC</v>
          </cell>
          <cell r="G653" t="str">
            <v>1</v>
          </cell>
          <cell r="H653" t="str">
            <v>INDUSTRY</v>
          </cell>
          <cell r="I653" t="str">
            <v>11</v>
          </cell>
          <cell r="J653" t="str">
            <v>WOOD COATINGS</v>
          </cell>
          <cell r="K653" t="str">
            <v>1109</v>
          </cell>
          <cell r="L653" t="str">
            <v>STAIN &amp; GLAZE INTERIOR</v>
          </cell>
          <cell r="M653" t="str">
            <v>110903</v>
          </cell>
          <cell r="N653" t="str">
            <v>STAIN INTERIOR</v>
          </cell>
        </row>
        <row r="654">
          <cell r="C654" t="str">
            <v>100000652</v>
          </cell>
          <cell r="D654" t="str">
            <v>SST-11100 CLR 182 F1 VN-20LJ</v>
          </cell>
          <cell r="E654" t="str">
            <v>ZFGD</v>
          </cell>
          <cell r="F654" t="str">
            <v>PC</v>
          </cell>
          <cell r="G654" t="str">
            <v>1</v>
          </cell>
          <cell r="H654" t="str">
            <v>INDUSTRY</v>
          </cell>
          <cell r="I654" t="str">
            <v>11</v>
          </cell>
          <cell r="J654" t="str">
            <v>WOOD COATINGS</v>
          </cell>
          <cell r="K654" t="str">
            <v>1109</v>
          </cell>
          <cell r="L654" t="str">
            <v>STAIN &amp; GLAZE INTERIOR</v>
          </cell>
          <cell r="M654" t="str">
            <v>110903</v>
          </cell>
          <cell r="N654" t="str">
            <v>STAIN INTERIOR</v>
          </cell>
        </row>
        <row r="655">
          <cell r="C655" t="str">
            <v>100000653</v>
          </cell>
          <cell r="D655" t="str">
            <v>SST-11100 CLR 182 LIGHT F1 VN-20LJ</v>
          </cell>
          <cell r="E655" t="str">
            <v>ZFGD</v>
          </cell>
          <cell r="F655" t="str">
            <v>PC</v>
          </cell>
          <cell r="G655" t="str">
            <v>1</v>
          </cell>
          <cell r="H655" t="str">
            <v>INDUSTRY</v>
          </cell>
          <cell r="I655" t="str">
            <v>11</v>
          </cell>
          <cell r="J655" t="str">
            <v>WOOD COATINGS</v>
          </cell>
          <cell r="K655" t="str">
            <v>1109</v>
          </cell>
          <cell r="L655" t="str">
            <v>STAIN &amp; GLAZE INTERIOR</v>
          </cell>
          <cell r="M655" t="str">
            <v>110903</v>
          </cell>
          <cell r="N655" t="str">
            <v>STAIN INTERIOR</v>
          </cell>
        </row>
        <row r="656">
          <cell r="C656" t="str">
            <v>100000654</v>
          </cell>
          <cell r="D656" t="str">
            <v>SST-11100 CLR 30 F1 VN-20LJ</v>
          </cell>
          <cell r="E656" t="str">
            <v>ZFGD</v>
          </cell>
          <cell r="F656" t="str">
            <v>PC</v>
          </cell>
          <cell r="G656" t="str">
            <v>1</v>
          </cell>
          <cell r="H656" t="str">
            <v>INDUSTRY</v>
          </cell>
          <cell r="I656" t="str">
            <v>11</v>
          </cell>
          <cell r="J656" t="str">
            <v>WOOD COATINGS</v>
          </cell>
          <cell r="K656" t="str">
            <v>1109</v>
          </cell>
          <cell r="L656" t="str">
            <v>STAIN &amp; GLAZE INTERIOR</v>
          </cell>
          <cell r="M656" t="str">
            <v>110903</v>
          </cell>
          <cell r="N656" t="str">
            <v>STAIN INTERIOR</v>
          </cell>
        </row>
        <row r="657">
          <cell r="C657" t="str">
            <v>100000655</v>
          </cell>
          <cell r="D657" t="str">
            <v>SST-11100 CLR 3975 MT VN-20LJ</v>
          </cell>
          <cell r="E657" t="str">
            <v>ZFGD</v>
          </cell>
          <cell r="F657" t="str">
            <v>PC</v>
          </cell>
          <cell r="G657" t="str">
            <v>1</v>
          </cell>
          <cell r="H657" t="str">
            <v>INDUSTRY</v>
          </cell>
          <cell r="I657" t="str">
            <v>11</v>
          </cell>
          <cell r="J657" t="str">
            <v>WOOD COATINGS</v>
          </cell>
          <cell r="K657" t="str">
            <v>1109</v>
          </cell>
          <cell r="L657" t="str">
            <v>STAIN &amp; GLAZE INTERIOR</v>
          </cell>
          <cell r="M657" t="str">
            <v>110903</v>
          </cell>
          <cell r="N657" t="str">
            <v>STAIN INTERIOR</v>
          </cell>
        </row>
        <row r="658">
          <cell r="C658" t="str">
            <v>100000656</v>
          </cell>
          <cell r="D658" t="str">
            <v>SST-11100 CLR 57 F1 VN-20LJ</v>
          </cell>
          <cell r="E658" t="str">
            <v>ZFGD</v>
          </cell>
          <cell r="F658" t="str">
            <v>PC</v>
          </cell>
          <cell r="G658" t="str">
            <v>1</v>
          </cell>
          <cell r="H658" t="str">
            <v>INDUSTRY</v>
          </cell>
          <cell r="I658" t="str">
            <v>11</v>
          </cell>
          <cell r="J658" t="str">
            <v>WOOD COATINGS</v>
          </cell>
          <cell r="K658" t="str">
            <v>1109</v>
          </cell>
          <cell r="L658" t="str">
            <v>STAIN &amp; GLAZE INTERIOR</v>
          </cell>
          <cell r="M658" t="str">
            <v>110903</v>
          </cell>
          <cell r="N658" t="str">
            <v>STAIN INTERIOR</v>
          </cell>
        </row>
        <row r="659">
          <cell r="C659" t="str">
            <v>100000657</v>
          </cell>
          <cell r="D659" t="str">
            <v>SST-11100 CLR BEEKMAN 03 GE VN-20LJ</v>
          </cell>
          <cell r="E659" t="str">
            <v>ZFGD</v>
          </cell>
          <cell r="F659" t="str">
            <v>PC</v>
          </cell>
          <cell r="G659" t="str">
            <v>1</v>
          </cell>
          <cell r="H659" t="str">
            <v>INDUSTRY</v>
          </cell>
          <cell r="I659" t="str">
            <v>11</v>
          </cell>
          <cell r="J659" t="str">
            <v>WOOD COATINGS</v>
          </cell>
          <cell r="K659" t="str">
            <v>1109</v>
          </cell>
          <cell r="L659" t="str">
            <v>STAIN &amp; GLAZE INTERIOR</v>
          </cell>
          <cell r="M659" t="str">
            <v>110903</v>
          </cell>
          <cell r="N659" t="str">
            <v>STAIN INTERIOR</v>
          </cell>
        </row>
        <row r="660">
          <cell r="C660" t="str">
            <v>100000658</v>
          </cell>
          <cell r="D660" t="str">
            <v>SST-11100 CLR BIL 1 TD VN-20LJ</v>
          </cell>
          <cell r="E660" t="str">
            <v>ZFGD</v>
          </cell>
          <cell r="F660" t="str">
            <v>PC</v>
          </cell>
          <cell r="G660" t="str">
            <v>1</v>
          </cell>
          <cell r="H660" t="str">
            <v>INDUSTRY</v>
          </cell>
          <cell r="I660" t="str">
            <v>11</v>
          </cell>
          <cell r="J660" t="str">
            <v>WOOD COATINGS</v>
          </cell>
          <cell r="K660" t="str">
            <v>1109</v>
          </cell>
          <cell r="L660" t="str">
            <v>STAIN &amp; GLAZE INTERIOR</v>
          </cell>
          <cell r="M660" t="str">
            <v>110903</v>
          </cell>
          <cell r="N660" t="str">
            <v>STAIN INTERIOR</v>
          </cell>
        </row>
        <row r="661">
          <cell r="C661" t="str">
            <v>100000659</v>
          </cell>
          <cell r="D661" t="str">
            <v>SST-11100 CLR BIL 2 TD VN-20LJ</v>
          </cell>
          <cell r="E661" t="str">
            <v>ZFGD</v>
          </cell>
          <cell r="F661" t="str">
            <v>PC</v>
          </cell>
          <cell r="G661" t="str">
            <v>1</v>
          </cell>
          <cell r="H661" t="str">
            <v>INDUSTRY</v>
          </cell>
          <cell r="I661" t="str">
            <v>11</v>
          </cell>
          <cell r="J661" t="str">
            <v>WOOD COATINGS</v>
          </cell>
          <cell r="K661" t="str">
            <v>1109</v>
          </cell>
          <cell r="L661" t="str">
            <v>STAIN &amp; GLAZE INTERIOR</v>
          </cell>
          <cell r="M661" t="str">
            <v>110903</v>
          </cell>
          <cell r="N661" t="str">
            <v>STAIN INTERIOR</v>
          </cell>
        </row>
        <row r="662">
          <cell r="C662" t="str">
            <v>100000660</v>
          </cell>
          <cell r="D662" t="str">
            <v>SST-11100 CLR CC 02 DN VN-20LJ</v>
          </cell>
          <cell r="E662" t="str">
            <v>ZFGD</v>
          </cell>
          <cell r="F662" t="str">
            <v>PC</v>
          </cell>
          <cell r="G662" t="str">
            <v>1</v>
          </cell>
          <cell r="H662" t="str">
            <v>INDUSTRY</v>
          </cell>
          <cell r="I662" t="str">
            <v>11</v>
          </cell>
          <cell r="J662" t="str">
            <v>WOOD COATINGS</v>
          </cell>
          <cell r="K662" t="str">
            <v>1109</v>
          </cell>
          <cell r="L662" t="str">
            <v>STAIN &amp; GLAZE INTERIOR</v>
          </cell>
          <cell r="M662" t="str">
            <v>110903</v>
          </cell>
          <cell r="N662" t="str">
            <v>STAIN INTERIOR</v>
          </cell>
        </row>
        <row r="663">
          <cell r="C663" t="str">
            <v>100000661</v>
          </cell>
          <cell r="D663" t="str">
            <v>SST-11100 CLR CC DN VN-20LJ</v>
          </cell>
          <cell r="E663" t="str">
            <v>ZFGD</v>
          </cell>
          <cell r="F663" t="str">
            <v>PC</v>
          </cell>
          <cell r="G663" t="str">
            <v>1</v>
          </cell>
          <cell r="H663" t="str">
            <v>INDUSTRY</v>
          </cell>
          <cell r="I663" t="str">
            <v>11</v>
          </cell>
          <cell r="J663" t="str">
            <v>WOOD COATINGS</v>
          </cell>
          <cell r="K663" t="str">
            <v>1109</v>
          </cell>
          <cell r="L663" t="str">
            <v>STAIN &amp; GLAZE INTERIOR</v>
          </cell>
          <cell r="M663" t="str">
            <v>110903</v>
          </cell>
          <cell r="N663" t="str">
            <v>STAIN INTERIOR</v>
          </cell>
        </row>
        <row r="664">
          <cell r="C664" t="str">
            <v>100000662</v>
          </cell>
          <cell r="D664" t="str">
            <v>SST-11100 CLR CHESTNUT TL VN-20LJ</v>
          </cell>
          <cell r="E664" t="str">
            <v>ZFGD</v>
          </cell>
          <cell r="F664" t="str">
            <v>PC</v>
          </cell>
          <cell r="G664" t="str">
            <v>1</v>
          </cell>
          <cell r="H664" t="str">
            <v>INDUSTRY</v>
          </cell>
          <cell r="I664" t="str">
            <v>11</v>
          </cell>
          <cell r="J664" t="str">
            <v>WOOD COATINGS</v>
          </cell>
          <cell r="K664" t="str">
            <v>1109</v>
          </cell>
          <cell r="L664" t="str">
            <v>STAIN &amp; GLAZE INTERIOR</v>
          </cell>
          <cell r="M664" t="str">
            <v>110903</v>
          </cell>
          <cell r="N664" t="str">
            <v>STAIN INTERIOR</v>
          </cell>
        </row>
        <row r="665">
          <cell r="C665" t="str">
            <v>100000663</v>
          </cell>
          <cell r="D665" t="str">
            <v>SST-11100 CLR FM 002 F1 VN-20LJ</v>
          </cell>
          <cell r="E665" t="str">
            <v>ZFGD</v>
          </cell>
          <cell r="F665" t="str">
            <v>PC</v>
          </cell>
          <cell r="G665" t="str">
            <v>1</v>
          </cell>
          <cell r="H665" t="str">
            <v>INDUSTRY</v>
          </cell>
          <cell r="I665" t="str">
            <v>11</v>
          </cell>
          <cell r="J665" t="str">
            <v>WOOD COATINGS</v>
          </cell>
          <cell r="K665" t="str">
            <v>1109</v>
          </cell>
          <cell r="L665" t="str">
            <v>STAIN &amp; GLAZE INTERIOR</v>
          </cell>
          <cell r="M665" t="str">
            <v>110903</v>
          </cell>
          <cell r="N665" t="str">
            <v>STAIN INTERIOR</v>
          </cell>
        </row>
        <row r="666">
          <cell r="C666" t="str">
            <v>100000664</v>
          </cell>
          <cell r="D666" t="str">
            <v>SST-11100 CLR FORENCIA F1 VN-20LJ</v>
          </cell>
          <cell r="E666" t="str">
            <v>ZFGD</v>
          </cell>
          <cell r="F666" t="str">
            <v>PC</v>
          </cell>
          <cell r="G666" t="str">
            <v>1</v>
          </cell>
          <cell r="H666" t="str">
            <v>INDUSTRY</v>
          </cell>
          <cell r="I666" t="str">
            <v>11</v>
          </cell>
          <cell r="J666" t="str">
            <v>WOOD COATINGS</v>
          </cell>
          <cell r="K666" t="str">
            <v>1109</v>
          </cell>
          <cell r="L666" t="str">
            <v>STAIN &amp; GLAZE INTERIOR</v>
          </cell>
          <cell r="M666" t="str">
            <v>110903</v>
          </cell>
          <cell r="N666" t="str">
            <v>STAIN INTERIOR</v>
          </cell>
        </row>
        <row r="667">
          <cell r="C667" t="str">
            <v>100000665</v>
          </cell>
          <cell r="D667" t="str">
            <v>SST-11100 CLR HAMBE 003 F1 VN-20LJ</v>
          </cell>
          <cell r="E667" t="str">
            <v>ZFGD</v>
          </cell>
          <cell r="F667" t="str">
            <v>PC</v>
          </cell>
          <cell r="G667" t="str">
            <v>1</v>
          </cell>
          <cell r="H667" t="str">
            <v>INDUSTRY</v>
          </cell>
          <cell r="I667" t="str">
            <v>11</v>
          </cell>
          <cell r="J667" t="str">
            <v>WOOD COATINGS</v>
          </cell>
          <cell r="K667" t="str">
            <v>1109</v>
          </cell>
          <cell r="L667" t="str">
            <v>STAIN &amp; GLAZE INTERIOR</v>
          </cell>
          <cell r="M667" t="str">
            <v>110903</v>
          </cell>
          <cell r="N667" t="str">
            <v>STAIN INTERIOR</v>
          </cell>
        </row>
        <row r="668">
          <cell r="C668" t="str">
            <v>100000666</v>
          </cell>
          <cell r="D668" t="str">
            <v>SST-11100 CLR HAMBER F1 VN-20LJ</v>
          </cell>
          <cell r="E668" t="str">
            <v>ZFGD</v>
          </cell>
          <cell r="F668" t="str">
            <v>PC</v>
          </cell>
          <cell r="G668" t="str">
            <v>1</v>
          </cell>
          <cell r="H668" t="str">
            <v>INDUSTRY</v>
          </cell>
          <cell r="I668" t="str">
            <v>11</v>
          </cell>
          <cell r="J668" t="str">
            <v>WOOD COATINGS</v>
          </cell>
          <cell r="K668" t="str">
            <v>1109</v>
          </cell>
          <cell r="L668" t="str">
            <v>STAIN &amp; GLAZE INTERIOR</v>
          </cell>
          <cell r="M668" t="str">
            <v>110903</v>
          </cell>
          <cell r="N668" t="str">
            <v>STAIN INTERIOR</v>
          </cell>
        </row>
        <row r="669">
          <cell r="C669" t="str">
            <v>100000667</v>
          </cell>
          <cell r="D669" t="str">
            <v>SST-11100 CLR LANGHAM GE VN-20LJ</v>
          </cell>
          <cell r="E669" t="str">
            <v>ZFGD</v>
          </cell>
          <cell r="F669" t="str">
            <v>PC</v>
          </cell>
          <cell r="G669" t="str">
            <v>1</v>
          </cell>
          <cell r="H669" t="str">
            <v>INDUSTRY</v>
          </cell>
          <cell r="I669" t="str">
            <v>11</v>
          </cell>
          <cell r="J669" t="str">
            <v>WOOD COATINGS</v>
          </cell>
          <cell r="K669" t="str">
            <v>1109</v>
          </cell>
          <cell r="L669" t="str">
            <v>STAIN &amp; GLAZE INTERIOR</v>
          </cell>
          <cell r="M669" t="str">
            <v>110903</v>
          </cell>
          <cell r="N669" t="str">
            <v>STAIN INTERIOR</v>
          </cell>
        </row>
        <row r="670">
          <cell r="C670" t="str">
            <v>100000668</v>
          </cell>
          <cell r="D670" t="str">
            <v>SST-11100 CLR LODGE 01 F1 VN-20LJ</v>
          </cell>
          <cell r="E670" t="str">
            <v>ZFGD</v>
          </cell>
          <cell r="F670" t="str">
            <v>PC</v>
          </cell>
          <cell r="G670" t="str">
            <v>1</v>
          </cell>
          <cell r="H670" t="str">
            <v>INDUSTRY</v>
          </cell>
          <cell r="I670" t="str">
            <v>11</v>
          </cell>
          <cell r="J670" t="str">
            <v>WOOD COATINGS</v>
          </cell>
          <cell r="K670" t="str">
            <v>1109</v>
          </cell>
          <cell r="L670" t="str">
            <v>STAIN &amp; GLAZE INTERIOR</v>
          </cell>
          <cell r="M670" t="str">
            <v>110903</v>
          </cell>
          <cell r="N670" t="str">
            <v>STAIN INTERIOR</v>
          </cell>
        </row>
        <row r="671">
          <cell r="C671" t="str">
            <v>100000669</v>
          </cell>
          <cell r="D671" t="str">
            <v>SST-11100 CLR NATURAL TL VN-20LJ</v>
          </cell>
          <cell r="E671" t="str">
            <v>ZFGD</v>
          </cell>
          <cell r="F671" t="str">
            <v>PC</v>
          </cell>
          <cell r="G671" t="str">
            <v>1</v>
          </cell>
          <cell r="H671" t="str">
            <v>INDUSTRY</v>
          </cell>
          <cell r="I671" t="str">
            <v>11</v>
          </cell>
          <cell r="J671" t="str">
            <v>WOOD COATINGS</v>
          </cell>
          <cell r="K671" t="str">
            <v>1109</v>
          </cell>
          <cell r="L671" t="str">
            <v>STAIN &amp; GLAZE INTERIOR</v>
          </cell>
          <cell r="M671" t="str">
            <v>110903</v>
          </cell>
          <cell r="N671" t="str">
            <v>STAIN INTERIOR</v>
          </cell>
        </row>
        <row r="672">
          <cell r="C672" t="str">
            <v>100000670</v>
          </cell>
          <cell r="D672" t="str">
            <v>SST-11100 CLR NEW TEAK F1 VN-20LJ</v>
          </cell>
          <cell r="E672" t="str">
            <v>ZFGD</v>
          </cell>
          <cell r="F672" t="str">
            <v>PC</v>
          </cell>
          <cell r="G672" t="str">
            <v>1</v>
          </cell>
          <cell r="H672" t="str">
            <v>INDUSTRY</v>
          </cell>
          <cell r="I672" t="str">
            <v>11</v>
          </cell>
          <cell r="J672" t="str">
            <v>WOOD COATINGS</v>
          </cell>
          <cell r="K672" t="str">
            <v>1109</v>
          </cell>
          <cell r="L672" t="str">
            <v>STAIN &amp; GLAZE INTERIOR</v>
          </cell>
          <cell r="M672" t="str">
            <v>110903</v>
          </cell>
          <cell r="N672" t="str">
            <v>STAIN INTERIOR</v>
          </cell>
        </row>
        <row r="673">
          <cell r="C673" t="str">
            <v>100000671</v>
          </cell>
          <cell r="D673" t="str">
            <v>SST-11100 CLR OAK A TD VN-20LJ</v>
          </cell>
          <cell r="E673" t="str">
            <v>ZFGD</v>
          </cell>
          <cell r="F673" t="str">
            <v>PC</v>
          </cell>
          <cell r="G673" t="str">
            <v>1</v>
          </cell>
          <cell r="H673" t="str">
            <v>INDUSTRY</v>
          </cell>
          <cell r="I673" t="str">
            <v>11</v>
          </cell>
          <cell r="J673" t="str">
            <v>WOOD COATINGS</v>
          </cell>
          <cell r="K673" t="str">
            <v>1109</v>
          </cell>
          <cell r="L673" t="str">
            <v>STAIN &amp; GLAZE INTERIOR</v>
          </cell>
          <cell r="M673" t="str">
            <v>110903</v>
          </cell>
          <cell r="N673" t="str">
            <v>STAIN INTERIOR</v>
          </cell>
        </row>
        <row r="674">
          <cell r="C674" t="str">
            <v>100000672</v>
          </cell>
          <cell r="D674" t="str">
            <v>SST-11100 CLR OAK B TD VN-20LJ</v>
          </cell>
          <cell r="E674" t="str">
            <v>ZFGD</v>
          </cell>
          <cell r="F674" t="str">
            <v>PC</v>
          </cell>
          <cell r="G674" t="str">
            <v>1</v>
          </cell>
          <cell r="H674" t="str">
            <v>INDUSTRY</v>
          </cell>
          <cell r="I674" t="str">
            <v>11</v>
          </cell>
          <cell r="J674" t="str">
            <v>WOOD COATINGS</v>
          </cell>
          <cell r="K674" t="str">
            <v>1109</v>
          </cell>
          <cell r="L674" t="str">
            <v>STAIN &amp; GLAZE INTERIOR</v>
          </cell>
          <cell r="M674" t="str">
            <v>110903</v>
          </cell>
          <cell r="N674" t="str">
            <v>STAIN INTERIOR</v>
          </cell>
        </row>
        <row r="675">
          <cell r="C675" t="str">
            <v>100000673</v>
          </cell>
          <cell r="D675" t="str">
            <v>SST-11100 CLR OAK NA TT VN-20LJ</v>
          </cell>
          <cell r="E675" t="str">
            <v>ZFGD</v>
          </cell>
          <cell r="F675" t="str">
            <v>PC</v>
          </cell>
          <cell r="G675" t="str">
            <v>1</v>
          </cell>
          <cell r="H675" t="str">
            <v>INDUSTRY</v>
          </cell>
          <cell r="I675" t="str">
            <v>11</v>
          </cell>
          <cell r="J675" t="str">
            <v>WOOD COATINGS</v>
          </cell>
          <cell r="K675" t="str">
            <v>1109</v>
          </cell>
          <cell r="L675" t="str">
            <v>STAIN &amp; GLAZE INTERIOR</v>
          </cell>
          <cell r="M675" t="str">
            <v>110903</v>
          </cell>
          <cell r="N675" t="str">
            <v>STAIN INTERIOR</v>
          </cell>
        </row>
        <row r="676">
          <cell r="C676" t="str">
            <v>100000674</v>
          </cell>
          <cell r="D676" t="str">
            <v>SST-11100 CLR OAK TD VN-20LJ</v>
          </cell>
          <cell r="E676" t="str">
            <v>ZFGD</v>
          </cell>
          <cell r="F676" t="str">
            <v>PC</v>
          </cell>
          <cell r="G676" t="str">
            <v>1</v>
          </cell>
          <cell r="H676" t="str">
            <v>INDUSTRY</v>
          </cell>
          <cell r="I676" t="str">
            <v>11</v>
          </cell>
          <cell r="J676" t="str">
            <v>WOOD COATINGS</v>
          </cell>
          <cell r="K676" t="str">
            <v>1109</v>
          </cell>
          <cell r="L676" t="str">
            <v>STAIN &amp; GLAZE INTERIOR</v>
          </cell>
          <cell r="M676" t="str">
            <v>110903</v>
          </cell>
          <cell r="N676" t="str">
            <v>STAIN INTERIOR</v>
          </cell>
        </row>
        <row r="677">
          <cell r="C677" t="str">
            <v>100000675</v>
          </cell>
          <cell r="D677" t="str">
            <v>SST-11100 CLR PEOTHOCSE TL VN-20LJ</v>
          </cell>
          <cell r="E677" t="str">
            <v>ZFGD</v>
          </cell>
          <cell r="F677" t="str">
            <v>PC</v>
          </cell>
          <cell r="G677" t="str">
            <v>1</v>
          </cell>
          <cell r="H677" t="str">
            <v>INDUSTRY</v>
          </cell>
          <cell r="I677" t="str">
            <v>11</v>
          </cell>
          <cell r="J677" t="str">
            <v>WOOD COATINGS</v>
          </cell>
          <cell r="K677" t="str">
            <v>1109</v>
          </cell>
          <cell r="L677" t="str">
            <v>STAIN &amp; GLAZE INTERIOR</v>
          </cell>
          <cell r="M677" t="str">
            <v>110903</v>
          </cell>
          <cell r="N677" t="str">
            <v>STAIN INTERIOR</v>
          </cell>
        </row>
        <row r="678">
          <cell r="C678" t="str">
            <v>100000676</v>
          </cell>
          <cell r="D678" t="str">
            <v>SST-11100 CLR SAPA AH VN-20LJ</v>
          </cell>
          <cell r="E678" t="str">
            <v>ZFGD</v>
          </cell>
          <cell r="F678" t="str">
            <v>PC</v>
          </cell>
          <cell r="G678" t="str">
            <v>1</v>
          </cell>
          <cell r="H678" t="str">
            <v>INDUSTRY</v>
          </cell>
          <cell r="I678" t="str">
            <v>11</v>
          </cell>
          <cell r="J678" t="str">
            <v>WOOD COATINGS</v>
          </cell>
          <cell r="K678" t="str">
            <v>1109</v>
          </cell>
          <cell r="L678" t="str">
            <v>STAIN &amp; GLAZE INTERIOR</v>
          </cell>
          <cell r="M678" t="str">
            <v>110903</v>
          </cell>
          <cell r="N678" t="str">
            <v>STAIN INTERIOR</v>
          </cell>
        </row>
        <row r="679">
          <cell r="C679" t="str">
            <v>100000677</v>
          </cell>
          <cell r="D679" t="str">
            <v>SST-11100 CLR SSS IF VN-20LJ</v>
          </cell>
          <cell r="E679" t="str">
            <v>ZFGD</v>
          </cell>
          <cell r="F679" t="str">
            <v>PC</v>
          </cell>
          <cell r="G679" t="str">
            <v>1</v>
          </cell>
          <cell r="H679" t="str">
            <v>INDUSTRY</v>
          </cell>
          <cell r="I679" t="str">
            <v>11</v>
          </cell>
          <cell r="J679" t="str">
            <v>WOOD COATINGS</v>
          </cell>
          <cell r="K679" t="str">
            <v>1109</v>
          </cell>
          <cell r="L679" t="str">
            <v>STAIN &amp; GLAZE INTERIOR</v>
          </cell>
          <cell r="M679" t="str">
            <v>110903</v>
          </cell>
          <cell r="N679" t="str">
            <v>STAIN INTERIOR</v>
          </cell>
        </row>
        <row r="680">
          <cell r="C680" t="str">
            <v>100000678</v>
          </cell>
          <cell r="D680" t="str">
            <v>SST-11100 CLR WALNUT DM VN-20LJ</v>
          </cell>
          <cell r="E680" t="str">
            <v>ZFGD</v>
          </cell>
          <cell r="F680" t="str">
            <v>PC</v>
          </cell>
          <cell r="G680" t="str">
            <v>1</v>
          </cell>
          <cell r="H680" t="str">
            <v>INDUSTRY</v>
          </cell>
          <cell r="I680" t="str">
            <v>11</v>
          </cell>
          <cell r="J680" t="str">
            <v>WOOD COATINGS</v>
          </cell>
          <cell r="K680" t="str">
            <v>1109</v>
          </cell>
          <cell r="L680" t="str">
            <v>STAIN &amp; GLAZE INTERIOR</v>
          </cell>
          <cell r="M680" t="str">
            <v>110903</v>
          </cell>
          <cell r="N680" t="str">
            <v>STAIN INTERIOR</v>
          </cell>
        </row>
        <row r="681">
          <cell r="C681" t="str">
            <v>100000679</v>
          </cell>
          <cell r="D681" t="str">
            <v>SST-11100 CLR WD3 IF VN-20LJ</v>
          </cell>
          <cell r="E681" t="str">
            <v>ZFGD</v>
          </cell>
          <cell r="F681" t="str">
            <v>PC</v>
          </cell>
          <cell r="G681" t="str">
            <v>1</v>
          </cell>
          <cell r="H681" t="str">
            <v>INDUSTRY</v>
          </cell>
          <cell r="I681" t="str">
            <v>11</v>
          </cell>
          <cell r="J681" t="str">
            <v>WOOD COATINGS</v>
          </cell>
          <cell r="K681" t="str">
            <v>1109</v>
          </cell>
          <cell r="L681" t="str">
            <v>STAIN &amp; GLAZE INTERIOR</v>
          </cell>
          <cell r="M681" t="str">
            <v>110903</v>
          </cell>
          <cell r="N681" t="str">
            <v>STAIN INTERIOR</v>
          </cell>
        </row>
        <row r="682">
          <cell r="C682" t="str">
            <v>100000680</v>
          </cell>
          <cell r="D682" t="str">
            <v>SST-11100 CLR WD8 IF VN-20LJ</v>
          </cell>
          <cell r="E682" t="str">
            <v>ZFGD</v>
          </cell>
          <cell r="F682" t="str">
            <v>PC</v>
          </cell>
          <cell r="G682" t="str">
            <v>1</v>
          </cell>
          <cell r="H682" t="str">
            <v>INDUSTRY</v>
          </cell>
          <cell r="I682" t="str">
            <v>11</v>
          </cell>
          <cell r="J682" t="str">
            <v>WOOD COATINGS</v>
          </cell>
          <cell r="K682" t="str">
            <v>1109</v>
          </cell>
          <cell r="L682" t="str">
            <v>STAIN &amp; GLAZE INTERIOR</v>
          </cell>
          <cell r="M682" t="str">
            <v>110903</v>
          </cell>
          <cell r="N682" t="str">
            <v>STAIN INTERIOR</v>
          </cell>
        </row>
        <row r="683">
          <cell r="C683" t="str">
            <v>100000681</v>
          </cell>
          <cell r="D683" t="str">
            <v>SST-11100 COOPER 5825 I TT VN-20LJ</v>
          </cell>
          <cell r="E683" t="str">
            <v>ZFGD</v>
          </cell>
          <cell r="F683" t="str">
            <v>PC</v>
          </cell>
          <cell r="G683" t="str">
            <v>1</v>
          </cell>
          <cell r="H683" t="str">
            <v>INDUSTRY</v>
          </cell>
          <cell r="I683" t="str">
            <v>11</v>
          </cell>
          <cell r="J683" t="str">
            <v>WOOD COATINGS</v>
          </cell>
          <cell r="K683" t="str">
            <v>1109</v>
          </cell>
          <cell r="L683" t="str">
            <v>STAIN &amp; GLAZE INTERIOR</v>
          </cell>
          <cell r="M683" t="str">
            <v>110903</v>
          </cell>
          <cell r="N683" t="str">
            <v>STAIN INTERIOR</v>
          </cell>
        </row>
        <row r="684">
          <cell r="C684" t="str">
            <v>100000682</v>
          </cell>
          <cell r="D684" t="str">
            <v>SST-11100 COOPER 5825 II TT VN-20LJ</v>
          </cell>
          <cell r="E684" t="str">
            <v>ZFGD</v>
          </cell>
          <cell r="F684" t="str">
            <v>PC</v>
          </cell>
          <cell r="G684" t="str">
            <v>1</v>
          </cell>
          <cell r="H684" t="str">
            <v>INDUSTRY</v>
          </cell>
          <cell r="I684" t="str">
            <v>11</v>
          </cell>
          <cell r="J684" t="str">
            <v>WOOD COATINGS</v>
          </cell>
          <cell r="K684" t="str">
            <v>1109</v>
          </cell>
          <cell r="L684" t="str">
            <v>STAIN &amp; GLAZE INTERIOR</v>
          </cell>
          <cell r="M684" t="str">
            <v>110903</v>
          </cell>
          <cell r="N684" t="str">
            <v>STAIN INTERIOR</v>
          </cell>
        </row>
        <row r="685">
          <cell r="C685" t="str">
            <v>100000683</v>
          </cell>
          <cell r="D685" t="str">
            <v>SST-11100 CR CG 9 TL VN-20LJ</v>
          </cell>
          <cell r="E685" t="str">
            <v>ZFGD</v>
          </cell>
          <cell r="F685" t="str">
            <v>PC</v>
          </cell>
          <cell r="G685" t="str">
            <v>1</v>
          </cell>
          <cell r="H685" t="str">
            <v>INDUSTRY</v>
          </cell>
          <cell r="I685" t="str">
            <v>11</v>
          </cell>
          <cell r="J685" t="str">
            <v>WOOD COATINGS</v>
          </cell>
          <cell r="K685" t="str">
            <v>1109</v>
          </cell>
          <cell r="L685" t="str">
            <v>STAIN &amp; GLAZE INTERIOR</v>
          </cell>
          <cell r="M685" t="str">
            <v>110903</v>
          </cell>
          <cell r="N685" t="str">
            <v>STAIN INTERIOR</v>
          </cell>
        </row>
        <row r="686">
          <cell r="C686" t="str">
            <v>100000684</v>
          </cell>
          <cell r="D686" t="str">
            <v>SST-11100 D2 MOI TT VN-20LJ</v>
          </cell>
          <cell r="E686" t="str">
            <v>ZFGD</v>
          </cell>
          <cell r="F686" t="str">
            <v>PC</v>
          </cell>
          <cell r="G686" t="str">
            <v>1</v>
          </cell>
          <cell r="H686" t="str">
            <v>INDUSTRY</v>
          </cell>
          <cell r="I686" t="str">
            <v>11</v>
          </cell>
          <cell r="J686" t="str">
            <v>WOOD COATINGS</v>
          </cell>
          <cell r="K686" t="str">
            <v>1109</v>
          </cell>
          <cell r="L686" t="str">
            <v>STAIN &amp; GLAZE INTERIOR</v>
          </cell>
          <cell r="M686" t="str">
            <v>110903</v>
          </cell>
          <cell r="N686" t="str">
            <v>STAIN INTERIOR</v>
          </cell>
        </row>
        <row r="687">
          <cell r="C687" t="str">
            <v>100000685</v>
          </cell>
          <cell r="D687" t="str">
            <v>SST-11100 DASUNG NA TT VN-20LJ</v>
          </cell>
          <cell r="E687" t="str">
            <v>ZFGD</v>
          </cell>
          <cell r="F687" t="str">
            <v>PC</v>
          </cell>
          <cell r="G687" t="str">
            <v>1</v>
          </cell>
          <cell r="H687" t="str">
            <v>INDUSTRY</v>
          </cell>
          <cell r="I687" t="str">
            <v>11</v>
          </cell>
          <cell r="J687" t="str">
            <v>WOOD COATINGS</v>
          </cell>
          <cell r="K687" t="str">
            <v>1109</v>
          </cell>
          <cell r="L687" t="str">
            <v>STAIN &amp; GLAZE INTERIOR</v>
          </cell>
          <cell r="M687" t="str">
            <v>110903</v>
          </cell>
          <cell r="N687" t="str">
            <v>STAIN INTERIOR</v>
          </cell>
        </row>
        <row r="688">
          <cell r="C688" t="str">
            <v>100000686</v>
          </cell>
          <cell r="D688" t="str">
            <v>SST-11100 DBR MOI TT VN-20LJ</v>
          </cell>
          <cell r="E688" t="str">
            <v>ZFGD</v>
          </cell>
          <cell r="F688" t="str">
            <v>PC</v>
          </cell>
          <cell r="G688" t="str">
            <v>1</v>
          </cell>
          <cell r="H688" t="str">
            <v>INDUSTRY</v>
          </cell>
          <cell r="I688" t="str">
            <v>11</v>
          </cell>
          <cell r="J688" t="str">
            <v>WOOD COATINGS</v>
          </cell>
          <cell r="K688" t="str">
            <v>1109</v>
          </cell>
          <cell r="L688" t="str">
            <v>STAIN &amp; GLAZE INTERIOR</v>
          </cell>
          <cell r="M688" t="str">
            <v>110903</v>
          </cell>
          <cell r="N688" t="str">
            <v>STAIN INTERIOR</v>
          </cell>
        </row>
        <row r="689">
          <cell r="C689" t="str">
            <v>100000687</v>
          </cell>
          <cell r="D689" t="str">
            <v>SST-11100 DM VN-20LJ</v>
          </cell>
          <cell r="E689" t="str">
            <v>ZFGD</v>
          </cell>
          <cell r="F689" t="str">
            <v>PC</v>
          </cell>
          <cell r="G689" t="str">
            <v>1</v>
          </cell>
          <cell r="H689" t="str">
            <v>INDUSTRY</v>
          </cell>
          <cell r="I689" t="str">
            <v>11</v>
          </cell>
          <cell r="J689" t="str">
            <v>WOOD COATINGS</v>
          </cell>
          <cell r="K689" t="str">
            <v>1109</v>
          </cell>
          <cell r="L689" t="str">
            <v>STAIN &amp; GLAZE INTERIOR</v>
          </cell>
          <cell r="M689" t="str">
            <v>110903</v>
          </cell>
          <cell r="N689" t="str">
            <v>STAIN INTERIOR</v>
          </cell>
        </row>
        <row r="690">
          <cell r="C690" t="str">
            <v>100000688</v>
          </cell>
          <cell r="D690" t="str">
            <v>SST-11100 11 A DN VN-20LJ</v>
          </cell>
          <cell r="E690" t="str">
            <v>ZFGD</v>
          </cell>
          <cell r="F690" t="str">
            <v>PC</v>
          </cell>
          <cell r="G690" t="str">
            <v>1</v>
          </cell>
          <cell r="H690" t="str">
            <v>INDUSTRY</v>
          </cell>
          <cell r="I690" t="str">
            <v>11</v>
          </cell>
          <cell r="J690" t="str">
            <v>WOOD COATINGS</v>
          </cell>
          <cell r="K690" t="str">
            <v>1109</v>
          </cell>
          <cell r="L690" t="str">
            <v>STAIN &amp; GLAZE INTERIOR</v>
          </cell>
          <cell r="M690" t="str">
            <v>110903</v>
          </cell>
          <cell r="N690" t="str">
            <v>STAIN INTERIOR</v>
          </cell>
        </row>
        <row r="691">
          <cell r="C691" t="str">
            <v>100000689</v>
          </cell>
          <cell r="D691" t="str">
            <v>SST-11100 11 B DN VN-20LJ</v>
          </cell>
          <cell r="E691" t="str">
            <v>ZFGD</v>
          </cell>
          <cell r="F691" t="str">
            <v>PC</v>
          </cell>
          <cell r="G691" t="str">
            <v>1</v>
          </cell>
          <cell r="H691" t="str">
            <v>INDUSTRY</v>
          </cell>
          <cell r="I691" t="str">
            <v>11</v>
          </cell>
          <cell r="J691" t="str">
            <v>WOOD COATINGS</v>
          </cell>
          <cell r="K691" t="str">
            <v>1109</v>
          </cell>
          <cell r="L691" t="str">
            <v>STAIN &amp; GLAZE INTERIOR</v>
          </cell>
          <cell r="M691" t="str">
            <v>110903</v>
          </cell>
          <cell r="N691" t="str">
            <v>STAIN INTERIOR</v>
          </cell>
        </row>
        <row r="692">
          <cell r="C692" t="str">
            <v>100000690</v>
          </cell>
          <cell r="D692" t="str">
            <v>SST-11100 DR VN-20LJ</v>
          </cell>
          <cell r="E692" t="str">
            <v>ZFGD</v>
          </cell>
          <cell r="F692" t="str">
            <v>PC</v>
          </cell>
          <cell r="G692" t="str">
            <v>1</v>
          </cell>
          <cell r="H692" t="str">
            <v>INDUSTRY</v>
          </cell>
          <cell r="I692" t="str">
            <v>11</v>
          </cell>
          <cell r="J692" t="str">
            <v>WOOD COATINGS</v>
          </cell>
          <cell r="K692" t="str">
            <v>1109</v>
          </cell>
          <cell r="L692" t="str">
            <v>STAIN &amp; GLAZE INTERIOR</v>
          </cell>
          <cell r="M692" t="str">
            <v>110903</v>
          </cell>
          <cell r="N692" t="str">
            <v>STAIN INTERIOR</v>
          </cell>
        </row>
        <row r="693">
          <cell r="C693" t="str">
            <v>100000691</v>
          </cell>
          <cell r="D693" t="str">
            <v>SST-11100 04 A DS VN-20LJ</v>
          </cell>
          <cell r="E693" t="str">
            <v>ZFGD</v>
          </cell>
          <cell r="F693" t="str">
            <v>PC</v>
          </cell>
          <cell r="G693" t="str">
            <v>1</v>
          </cell>
          <cell r="H693" t="str">
            <v>INDUSTRY</v>
          </cell>
          <cell r="I693" t="str">
            <v>11</v>
          </cell>
          <cell r="J693" t="str">
            <v>WOOD COATINGS</v>
          </cell>
          <cell r="K693" t="str">
            <v>1109</v>
          </cell>
          <cell r="L693" t="str">
            <v>STAIN &amp; GLAZE INTERIOR</v>
          </cell>
          <cell r="M693" t="str">
            <v>110903</v>
          </cell>
          <cell r="N693" t="str">
            <v>STAIN INTERIOR</v>
          </cell>
        </row>
        <row r="694">
          <cell r="C694" t="str">
            <v>100000692</v>
          </cell>
          <cell r="D694" t="str">
            <v>SST-11100 04 C DS VN-20LJ</v>
          </cell>
          <cell r="E694" t="str">
            <v>ZFGD</v>
          </cell>
          <cell r="F694" t="str">
            <v>PC</v>
          </cell>
          <cell r="G694" t="str">
            <v>1</v>
          </cell>
          <cell r="H694" t="str">
            <v>INDUSTRY</v>
          </cell>
          <cell r="I694" t="str">
            <v>11</v>
          </cell>
          <cell r="J694" t="str">
            <v>WOOD COATINGS</v>
          </cell>
          <cell r="K694" t="str">
            <v>1109</v>
          </cell>
          <cell r="L694" t="str">
            <v>STAIN &amp; GLAZE INTERIOR</v>
          </cell>
          <cell r="M694" t="str">
            <v>110903</v>
          </cell>
          <cell r="N694" t="str">
            <v>STAIN INTERIOR</v>
          </cell>
        </row>
        <row r="695">
          <cell r="C695" t="str">
            <v>100000693</v>
          </cell>
          <cell r="D695" t="str">
            <v>SST-11100 04 D DS  VN-20LJ</v>
          </cell>
          <cell r="E695" t="str">
            <v>ZFGD</v>
          </cell>
          <cell r="F695" t="str">
            <v>PC</v>
          </cell>
          <cell r="G695" t="str">
            <v>1</v>
          </cell>
          <cell r="H695" t="str">
            <v>INDUSTRY</v>
          </cell>
          <cell r="I695" t="str">
            <v>11</v>
          </cell>
          <cell r="J695" t="str">
            <v>WOOD COATINGS</v>
          </cell>
          <cell r="K695" t="str">
            <v>1109</v>
          </cell>
          <cell r="L695" t="str">
            <v>STAIN &amp; GLAZE INTERIOR</v>
          </cell>
          <cell r="M695" t="str">
            <v>110903</v>
          </cell>
          <cell r="N695" t="str">
            <v>STAIN INTERIOR</v>
          </cell>
        </row>
        <row r="696">
          <cell r="C696" t="str">
            <v>100000694</v>
          </cell>
          <cell r="D696" t="str">
            <v>SST-11100 EMCH 12270 TT VN-20LJ</v>
          </cell>
          <cell r="E696" t="str">
            <v>ZFGD</v>
          </cell>
          <cell r="F696" t="str">
            <v>PC</v>
          </cell>
          <cell r="G696" t="str">
            <v>1</v>
          </cell>
          <cell r="H696" t="str">
            <v>INDUSTRY</v>
          </cell>
          <cell r="I696" t="str">
            <v>11</v>
          </cell>
          <cell r="J696" t="str">
            <v>WOOD COATINGS</v>
          </cell>
          <cell r="K696" t="str">
            <v>1109</v>
          </cell>
          <cell r="L696" t="str">
            <v>STAIN &amp; GLAZE INTERIOR</v>
          </cell>
          <cell r="M696" t="str">
            <v>110903</v>
          </cell>
          <cell r="N696" t="str">
            <v>STAIN INTERIOR</v>
          </cell>
        </row>
        <row r="697">
          <cell r="C697" t="str">
            <v>100000695</v>
          </cell>
          <cell r="D697" t="str">
            <v>SST-11100 ENAMOROO TT VN-20LJ</v>
          </cell>
          <cell r="E697" t="str">
            <v>ZFGD</v>
          </cell>
          <cell r="F697" t="str">
            <v>PC</v>
          </cell>
          <cell r="G697" t="str">
            <v>1</v>
          </cell>
          <cell r="H697" t="str">
            <v>INDUSTRY</v>
          </cell>
          <cell r="I697" t="str">
            <v>11</v>
          </cell>
          <cell r="J697" t="str">
            <v>WOOD COATINGS</v>
          </cell>
          <cell r="K697" t="str">
            <v>1109</v>
          </cell>
          <cell r="L697" t="str">
            <v>STAIN &amp; GLAZE INTERIOR</v>
          </cell>
          <cell r="M697" t="str">
            <v>110903</v>
          </cell>
          <cell r="N697" t="str">
            <v>STAIN INTERIOR</v>
          </cell>
        </row>
        <row r="698">
          <cell r="C698" t="str">
            <v>100000696</v>
          </cell>
          <cell r="D698" t="str">
            <v>SST-11100 EQ NATURAL TL VN-20LJ</v>
          </cell>
          <cell r="E698" t="str">
            <v>ZFGD</v>
          </cell>
          <cell r="F698" t="str">
            <v>PC</v>
          </cell>
          <cell r="G698" t="str">
            <v>1</v>
          </cell>
          <cell r="H698" t="str">
            <v>INDUSTRY</v>
          </cell>
          <cell r="I698" t="str">
            <v>11</v>
          </cell>
          <cell r="J698" t="str">
            <v>WOOD COATINGS</v>
          </cell>
          <cell r="K698" t="str">
            <v>1109</v>
          </cell>
          <cell r="L698" t="str">
            <v>STAIN &amp; GLAZE INTERIOR</v>
          </cell>
          <cell r="M698" t="str">
            <v>110903</v>
          </cell>
          <cell r="N698" t="str">
            <v>STAIN INTERIOR</v>
          </cell>
        </row>
        <row r="699">
          <cell r="C699" t="str">
            <v>100000697</v>
          </cell>
          <cell r="D699" t="str">
            <v>SST-11100 FC 2083 A TL VN-20LJ</v>
          </cell>
          <cell r="E699" t="str">
            <v>ZFGD</v>
          </cell>
          <cell r="F699" t="str">
            <v>PC</v>
          </cell>
          <cell r="G699" t="str">
            <v>1</v>
          </cell>
          <cell r="H699" t="str">
            <v>INDUSTRY</v>
          </cell>
          <cell r="I699" t="str">
            <v>11</v>
          </cell>
          <cell r="J699" t="str">
            <v>WOOD COATINGS</v>
          </cell>
          <cell r="K699" t="str">
            <v>1109</v>
          </cell>
          <cell r="L699" t="str">
            <v>STAIN &amp; GLAZE INTERIOR</v>
          </cell>
          <cell r="M699" t="str">
            <v>110903</v>
          </cell>
          <cell r="N699" t="str">
            <v>STAIN INTERIOR</v>
          </cell>
        </row>
        <row r="700">
          <cell r="C700" t="str">
            <v>100000698</v>
          </cell>
          <cell r="D700" t="str">
            <v>SST-11100 FC 2083 B TL VN-20LJ</v>
          </cell>
          <cell r="E700" t="str">
            <v>ZFGD</v>
          </cell>
          <cell r="F700" t="str">
            <v>PC</v>
          </cell>
          <cell r="G700" t="str">
            <v>1</v>
          </cell>
          <cell r="H700" t="str">
            <v>INDUSTRY</v>
          </cell>
          <cell r="I700" t="str">
            <v>11</v>
          </cell>
          <cell r="J700" t="str">
            <v>WOOD COATINGS</v>
          </cell>
          <cell r="K700" t="str">
            <v>1109</v>
          </cell>
          <cell r="L700" t="str">
            <v>STAIN &amp; GLAZE INTERIOR</v>
          </cell>
          <cell r="M700" t="str">
            <v>110903</v>
          </cell>
          <cell r="N700" t="str">
            <v>STAIN INTERIOR</v>
          </cell>
        </row>
        <row r="701">
          <cell r="C701" t="str">
            <v>100000699</v>
          </cell>
          <cell r="D701" t="str">
            <v>SST-11100 FC 266 A TL VN-20LJ</v>
          </cell>
          <cell r="E701" t="str">
            <v>ZFGD</v>
          </cell>
          <cell r="F701" t="str">
            <v>PC</v>
          </cell>
          <cell r="G701" t="str">
            <v>1</v>
          </cell>
          <cell r="H701" t="str">
            <v>INDUSTRY</v>
          </cell>
          <cell r="I701" t="str">
            <v>11</v>
          </cell>
          <cell r="J701" t="str">
            <v>WOOD COATINGS</v>
          </cell>
          <cell r="K701" t="str">
            <v>1109</v>
          </cell>
          <cell r="L701" t="str">
            <v>STAIN &amp; GLAZE INTERIOR</v>
          </cell>
          <cell r="M701" t="str">
            <v>110903</v>
          </cell>
          <cell r="N701" t="str">
            <v>STAIN INTERIOR</v>
          </cell>
        </row>
        <row r="702">
          <cell r="C702" t="str">
            <v>100000700</v>
          </cell>
          <cell r="D702" t="str">
            <v>SST-11100 FC 266 B TL VN-20LJ</v>
          </cell>
          <cell r="E702" t="str">
            <v>ZFGD</v>
          </cell>
          <cell r="F702" t="str">
            <v>PC</v>
          </cell>
          <cell r="G702" t="str">
            <v>1</v>
          </cell>
          <cell r="H702" t="str">
            <v>INDUSTRY</v>
          </cell>
          <cell r="I702" t="str">
            <v>11</v>
          </cell>
          <cell r="J702" t="str">
            <v>WOOD COATINGS</v>
          </cell>
          <cell r="K702" t="str">
            <v>1109</v>
          </cell>
          <cell r="L702" t="str">
            <v>STAIN &amp; GLAZE INTERIOR</v>
          </cell>
          <cell r="M702" t="str">
            <v>110903</v>
          </cell>
          <cell r="N702" t="str">
            <v>STAIN INTERIOR</v>
          </cell>
        </row>
        <row r="703">
          <cell r="C703" t="str">
            <v>100000701</v>
          </cell>
          <cell r="D703" t="str">
            <v>SST-11100 FM 002 F1 VN-20LJ</v>
          </cell>
          <cell r="E703" t="str">
            <v>ZFGD</v>
          </cell>
          <cell r="F703" t="str">
            <v>PC</v>
          </cell>
          <cell r="G703" t="str">
            <v>1</v>
          </cell>
          <cell r="H703" t="str">
            <v>INDUSTRY</v>
          </cell>
          <cell r="I703" t="str">
            <v>11</v>
          </cell>
          <cell r="J703" t="str">
            <v>WOOD COATINGS</v>
          </cell>
          <cell r="K703" t="str">
            <v>1109</v>
          </cell>
          <cell r="L703" t="str">
            <v>STAIN &amp; GLAZE INTERIOR</v>
          </cell>
          <cell r="M703" t="str">
            <v>110903</v>
          </cell>
          <cell r="N703" t="str">
            <v>STAIN INTERIOR</v>
          </cell>
        </row>
        <row r="704">
          <cell r="C704" t="str">
            <v>100000702</v>
          </cell>
          <cell r="D704" t="str">
            <v>SST-11100 FORENCIA F1 VN-20LJ</v>
          </cell>
          <cell r="E704" t="str">
            <v>ZFGD</v>
          </cell>
          <cell r="F704" t="str">
            <v>PC</v>
          </cell>
          <cell r="G704" t="str">
            <v>1</v>
          </cell>
          <cell r="H704" t="str">
            <v>INDUSTRY</v>
          </cell>
          <cell r="I704" t="str">
            <v>11</v>
          </cell>
          <cell r="J704" t="str">
            <v>WOOD COATINGS</v>
          </cell>
          <cell r="K704" t="str">
            <v>1109</v>
          </cell>
          <cell r="L704" t="str">
            <v>STAIN &amp; GLAZE INTERIOR</v>
          </cell>
          <cell r="M704" t="str">
            <v>110903</v>
          </cell>
          <cell r="N704" t="str">
            <v>STAIN INTERIOR</v>
          </cell>
        </row>
        <row r="705">
          <cell r="C705" t="str">
            <v>100000703</v>
          </cell>
          <cell r="D705" t="str">
            <v>SST-11100 FW A TL VN-20LJ</v>
          </cell>
          <cell r="E705" t="str">
            <v>ZFGD</v>
          </cell>
          <cell r="F705" t="str">
            <v>PC</v>
          </cell>
          <cell r="G705" t="str">
            <v>1</v>
          </cell>
          <cell r="H705" t="str">
            <v>INDUSTRY</v>
          </cell>
          <cell r="I705" t="str">
            <v>11</v>
          </cell>
          <cell r="J705" t="str">
            <v>WOOD COATINGS</v>
          </cell>
          <cell r="K705" t="str">
            <v>1109</v>
          </cell>
          <cell r="L705" t="str">
            <v>STAIN &amp; GLAZE INTERIOR</v>
          </cell>
          <cell r="M705" t="str">
            <v>110903</v>
          </cell>
          <cell r="N705" t="str">
            <v>STAIN INTERIOR</v>
          </cell>
        </row>
        <row r="706">
          <cell r="C706" t="str">
            <v>100000704</v>
          </cell>
          <cell r="D706" t="str">
            <v>SST-11100 FW B TL VN-20LJ</v>
          </cell>
          <cell r="E706" t="str">
            <v>ZFGD</v>
          </cell>
          <cell r="F706" t="str">
            <v>PC</v>
          </cell>
          <cell r="G706" t="str">
            <v>1</v>
          </cell>
          <cell r="H706" t="str">
            <v>INDUSTRY</v>
          </cell>
          <cell r="I706" t="str">
            <v>11</v>
          </cell>
          <cell r="J706" t="str">
            <v>WOOD COATINGS</v>
          </cell>
          <cell r="K706" t="str">
            <v>1109</v>
          </cell>
          <cell r="L706" t="str">
            <v>STAIN &amp; GLAZE INTERIOR</v>
          </cell>
          <cell r="M706" t="str">
            <v>110903</v>
          </cell>
          <cell r="N706" t="str">
            <v>STAIN INTERIOR</v>
          </cell>
        </row>
        <row r="707">
          <cell r="C707" t="str">
            <v>100000705</v>
          </cell>
          <cell r="D707" t="str">
            <v>SST-11100 GBR TT VN-20LJ</v>
          </cell>
          <cell r="E707" t="str">
            <v>ZFGD</v>
          </cell>
          <cell r="F707" t="str">
            <v>PC</v>
          </cell>
          <cell r="G707" t="str">
            <v>1</v>
          </cell>
          <cell r="H707" t="str">
            <v>INDUSTRY</v>
          </cell>
          <cell r="I707" t="str">
            <v>11</v>
          </cell>
          <cell r="J707" t="str">
            <v>WOOD COATINGS</v>
          </cell>
          <cell r="K707" t="str">
            <v>1109</v>
          </cell>
          <cell r="L707" t="str">
            <v>STAIN &amp; GLAZE INTERIOR</v>
          </cell>
          <cell r="M707" t="str">
            <v>110903</v>
          </cell>
          <cell r="N707" t="str">
            <v>STAIN INTERIOR</v>
          </cell>
        </row>
        <row r="708">
          <cell r="C708" t="str">
            <v>100000706</v>
          </cell>
          <cell r="D708" t="str">
            <v>SST-11100 GDO DM VN-20LJ</v>
          </cell>
          <cell r="E708" t="str">
            <v>ZFGD</v>
          </cell>
          <cell r="F708" t="str">
            <v>PC</v>
          </cell>
          <cell r="G708" t="str">
            <v>1</v>
          </cell>
          <cell r="H708" t="str">
            <v>INDUSTRY</v>
          </cell>
          <cell r="I708" t="str">
            <v>11</v>
          </cell>
          <cell r="J708" t="str">
            <v>WOOD COATINGS</v>
          </cell>
          <cell r="K708" t="str">
            <v>1109</v>
          </cell>
          <cell r="L708" t="str">
            <v>STAIN &amp; GLAZE INTERIOR</v>
          </cell>
          <cell r="M708" t="str">
            <v>110903</v>
          </cell>
          <cell r="N708" t="str">
            <v>STAIN INTERIOR</v>
          </cell>
        </row>
        <row r="709">
          <cell r="C709" t="str">
            <v>100000707</v>
          </cell>
          <cell r="D709" t="str">
            <v>SST-11100 GLO BROWN F1 VN-20LJ</v>
          </cell>
          <cell r="E709" t="str">
            <v>ZFGD</v>
          </cell>
          <cell r="F709" t="str">
            <v>PC</v>
          </cell>
          <cell r="G709" t="str">
            <v>1</v>
          </cell>
          <cell r="H709" t="str">
            <v>INDUSTRY</v>
          </cell>
          <cell r="I709" t="str">
            <v>11</v>
          </cell>
          <cell r="J709" t="str">
            <v>WOOD COATINGS</v>
          </cell>
          <cell r="K709" t="str">
            <v>1109</v>
          </cell>
          <cell r="L709" t="str">
            <v>STAIN &amp; GLAZE INTERIOR</v>
          </cell>
          <cell r="M709" t="str">
            <v>110903</v>
          </cell>
          <cell r="N709" t="str">
            <v>STAIN INTERIOR</v>
          </cell>
        </row>
        <row r="710">
          <cell r="C710" t="str">
            <v>100000708</v>
          </cell>
          <cell r="D710" t="str">
            <v>SST-11100 GOL 20 F1 VN-20LJ</v>
          </cell>
          <cell r="E710" t="str">
            <v>ZFGD</v>
          </cell>
          <cell r="F710" t="str">
            <v>PC</v>
          </cell>
          <cell r="G710" t="str">
            <v>1</v>
          </cell>
          <cell r="H710" t="str">
            <v>INDUSTRY</v>
          </cell>
          <cell r="I710" t="str">
            <v>11</v>
          </cell>
          <cell r="J710" t="str">
            <v>WOOD COATINGS</v>
          </cell>
          <cell r="K710" t="str">
            <v>1109</v>
          </cell>
          <cell r="L710" t="str">
            <v>STAIN &amp; GLAZE INTERIOR</v>
          </cell>
          <cell r="M710" t="str">
            <v>110903</v>
          </cell>
          <cell r="N710" t="str">
            <v>STAIN INTERIOR</v>
          </cell>
        </row>
        <row r="711">
          <cell r="C711" t="str">
            <v>100000709</v>
          </cell>
          <cell r="D711" t="str">
            <v>SST-11100 GRIDW D LE VN-20LJ</v>
          </cell>
          <cell r="E711" t="str">
            <v>ZFGD</v>
          </cell>
          <cell r="F711" t="str">
            <v>PC</v>
          </cell>
          <cell r="G711" t="str">
            <v>1</v>
          </cell>
          <cell r="H711" t="str">
            <v>INDUSTRY</v>
          </cell>
          <cell r="I711" t="str">
            <v>11</v>
          </cell>
          <cell r="J711" t="str">
            <v>WOOD COATINGS</v>
          </cell>
          <cell r="K711" t="str">
            <v>1109</v>
          </cell>
          <cell r="L711" t="str">
            <v>STAIN &amp; GLAZE INTERIOR</v>
          </cell>
          <cell r="M711" t="str">
            <v>110903</v>
          </cell>
          <cell r="N711" t="str">
            <v>STAIN INTERIOR</v>
          </cell>
        </row>
        <row r="712">
          <cell r="C712" t="str">
            <v>100000710</v>
          </cell>
          <cell r="D712" t="str">
            <v>SST-11100 GROOVE SV VN-20LJ</v>
          </cell>
          <cell r="E712" t="str">
            <v>ZFGD</v>
          </cell>
          <cell r="F712" t="str">
            <v>PC</v>
          </cell>
          <cell r="G712" t="str">
            <v>1</v>
          </cell>
          <cell r="H712" t="str">
            <v>INDUSTRY</v>
          </cell>
          <cell r="I712" t="str">
            <v>11</v>
          </cell>
          <cell r="J712" t="str">
            <v>WOOD COATINGS</v>
          </cell>
          <cell r="K712" t="str">
            <v>1109</v>
          </cell>
          <cell r="L712" t="str">
            <v>STAIN &amp; GLAZE INTERIOR</v>
          </cell>
          <cell r="M712" t="str">
            <v>110903</v>
          </cell>
          <cell r="N712" t="str">
            <v>STAIN INTERIOR</v>
          </cell>
        </row>
        <row r="713">
          <cell r="C713" t="str">
            <v>100000711</v>
          </cell>
          <cell r="D713" t="str">
            <v>SST-11100 HAMBE 003 F1 VN-20LJ</v>
          </cell>
          <cell r="E713" t="str">
            <v>ZFGD</v>
          </cell>
          <cell r="F713" t="str">
            <v>PC</v>
          </cell>
          <cell r="G713" t="str">
            <v>1</v>
          </cell>
          <cell r="H713" t="str">
            <v>INDUSTRY</v>
          </cell>
          <cell r="I713" t="str">
            <v>11</v>
          </cell>
          <cell r="J713" t="str">
            <v>WOOD COATINGS</v>
          </cell>
          <cell r="K713" t="str">
            <v>1109</v>
          </cell>
          <cell r="L713" t="str">
            <v>STAIN &amp; GLAZE INTERIOR</v>
          </cell>
          <cell r="M713" t="str">
            <v>110903</v>
          </cell>
          <cell r="N713" t="str">
            <v>STAIN INTERIOR</v>
          </cell>
        </row>
        <row r="714">
          <cell r="C714" t="str">
            <v>100000712</v>
          </cell>
          <cell r="D714" t="str">
            <v>SST-11100 HAMBER F1 VN-20LJ</v>
          </cell>
          <cell r="E714" t="str">
            <v>ZFGD</v>
          </cell>
          <cell r="F714" t="str">
            <v>PC</v>
          </cell>
          <cell r="G714" t="str">
            <v>1</v>
          </cell>
          <cell r="H714" t="str">
            <v>INDUSTRY</v>
          </cell>
          <cell r="I714" t="str">
            <v>11</v>
          </cell>
          <cell r="J714" t="str">
            <v>WOOD COATINGS</v>
          </cell>
          <cell r="K714" t="str">
            <v>1109</v>
          </cell>
          <cell r="L714" t="str">
            <v>STAIN &amp; GLAZE INTERIOR</v>
          </cell>
          <cell r="M714" t="str">
            <v>110903</v>
          </cell>
          <cell r="N714" t="str">
            <v>STAIN INTERIOR</v>
          </cell>
        </row>
        <row r="715">
          <cell r="C715" t="str">
            <v>100000713</v>
          </cell>
          <cell r="D715" t="str">
            <v>SST-11100 HANSEM TT VN-20LJ</v>
          </cell>
          <cell r="E715" t="str">
            <v>ZFGD</v>
          </cell>
          <cell r="F715" t="str">
            <v>PC</v>
          </cell>
          <cell r="G715" t="str">
            <v>1</v>
          </cell>
          <cell r="H715" t="str">
            <v>INDUSTRY</v>
          </cell>
          <cell r="I715" t="str">
            <v>11</v>
          </cell>
          <cell r="J715" t="str">
            <v>WOOD COATINGS</v>
          </cell>
          <cell r="K715" t="str">
            <v>1109</v>
          </cell>
          <cell r="L715" t="str">
            <v>STAIN &amp; GLAZE INTERIOR</v>
          </cell>
          <cell r="M715" t="str">
            <v>110903</v>
          </cell>
          <cell r="N715" t="str">
            <v>STAIN INTERIOR</v>
          </cell>
        </row>
        <row r="716">
          <cell r="C716" t="str">
            <v>100000714</v>
          </cell>
          <cell r="D716" t="str">
            <v>SST-11100 HAZEL F1 VN-20LJ</v>
          </cell>
          <cell r="E716" t="str">
            <v>ZFGD</v>
          </cell>
          <cell r="F716" t="str">
            <v>PC</v>
          </cell>
          <cell r="G716" t="str">
            <v>1</v>
          </cell>
          <cell r="H716" t="str">
            <v>INDUSTRY</v>
          </cell>
          <cell r="I716" t="str">
            <v>11</v>
          </cell>
          <cell r="J716" t="str">
            <v>WOOD COATINGS</v>
          </cell>
          <cell r="K716" t="str">
            <v>1109</v>
          </cell>
          <cell r="L716" t="str">
            <v>STAIN &amp; GLAZE INTERIOR</v>
          </cell>
          <cell r="M716" t="str">
            <v>110903</v>
          </cell>
          <cell r="N716" t="str">
            <v>STAIN INTERIOR</v>
          </cell>
        </row>
        <row r="717">
          <cell r="C717" t="str">
            <v>100000715</v>
          </cell>
          <cell r="D717" t="str">
            <v>SST-11100 HC 001 A LE VN-20LJ</v>
          </cell>
          <cell r="E717" t="str">
            <v>ZFGD</v>
          </cell>
          <cell r="F717" t="str">
            <v>PC</v>
          </cell>
          <cell r="G717" t="str">
            <v>1</v>
          </cell>
          <cell r="H717" t="str">
            <v>INDUSTRY</v>
          </cell>
          <cell r="I717" t="str">
            <v>11</v>
          </cell>
          <cell r="J717" t="str">
            <v>WOOD COATINGS</v>
          </cell>
          <cell r="K717" t="str">
            <v>1109</v>
          </cell>
          <cell r="L717" t="str">
            <v>STAIN &amp; GLAZE INTERIOR</v>
          </cell>
          <cell r="M717" t="str">
            <v>110903</v>
          </cell>
          <cell r="N717" t="str">
            <v>STAIN INTERIOR</v>
          </cell>
        </row>
        <row r="718">
          <cell r="C718" t="str">
            <v>100000716</v>
          </cell>
          <cell r="D718" t="str">
            <v>SST-11100 HC 001 B LE VN-20LJ</v>
          </cell>
          <cell r="E718" t="str">
            <v>ZFGD</v>
          </cell>
          <cell r="F718" t="str">
            <v>PC</v>
          </cell>
          <cell r="G718" t="str">
            <v>1</v>
          </cell>
          <cell r="H718" t="str">
            <v>INDUSTRY</v>
          </cell>
          <cell r="I718" t="str">
            <v>11</v>
          </cell>
          <cell r="J718" t="str">
            <v>WOOD COATINGS</v>
          </cell>
          <cell r="K718" t="str">
            <v>1109</v>
          </cell>
          <cell r="L718" t="str">
            <v>STAIN &amp; GLAZE INTERIOR</v>
          </cell>
          <cell r="M718" t="str">
            <v>110903</v>
          </cell>
          <cell r="N718" t="str">
            <v>STAIN INTERIOR</v>
          </cell>
        </row>
        <row r="719">
          <cell r="C719" t="str">
            <v>100000717</v>
          </cell>
          <cell r="D719" t="str">
            <v>SST-11100 HERYTAGE KD VN-20LJ</v>
          </cell>
          <cell r="E719" t="str">
            <v>ZFGD</v>
          </cell>
          <cell r="F719" t="str">
            <v>PC</v>
          </cell>
          <cell r="G719" t="str">
            <v>1</v>
          </cell>
          <cell r="H719" t="str">
            <v>INDUSTRY</v>
          </cell>
          <cell r="I719" t="str">
            <v>11</v>
          </cell>
          <cell r="J719" t="str">
            <v>WOOD COATINGS</v>
          </cell>
          <cell r="K719" t="str">
            <v>1109</v>
          </cell>
          <cell r="L719" t="str">
            <v>STAIN &amp; GLAZE INTERIOR</v>
          </cell>
          <cell r="M719" t="str">
            <v>110903</v>
          </cell>
          <cell r="N719" t="str">
            <v>STAIN INTERIOR</v>
          </cell>
        </row>
        <row r="720">
          <cell r="C720" t="str">
            <v>100000718</v>
          </cell>
          <cell r="D720" t="str">
            <v>SST-11100 HOUSE GE VN-20LJ</v>
          </cell>
          <cell r="E720" t="str">
            <v>ZFGD</v>
          </cell>
          <cell r="F720" t="str">
            <v>PC</v>
          </cell>
          <cell r="G720" t="str">
            <v>1</v>
          </cell>
          <cell r="H720" t="str">
            <v>INDUSTRY</v>
          </cell>
          <cell r="I720" t="str">
            <v>11</v>
          </cell>
          <cell r="J720" t="str">
            <v>WOOD COATINGS</v>
          </cell>
          <cell r="K720" t="str">
            <v>1109</v>
          </cell>
          <cell r="L720" t="str">
            <v>STAIN &amp; GLAZE INTERIOR</v>
          </cell>
          <cell r="M720" t="str">
            <v>110903</v>
          </cell>
          <cell r="N720" t="str">
            <v>STAIN INTERIOR</v>
          </cell>
        </row>
        <row r="721">
          <cell r="C721" t="str">
            <v>100000719</v>
          </cell>
          <cell r="D721" t="str">
            <v>SST-11100 HUNTING TL VN-20LJ</v>
          </cell>
          <cell r="E721" t="str">
            <v>ZFGD</v>
          </cell>
          <cell r="F721" t="str">
            <v>PC</v>
          </cell>
          <cell r="G721" t="str">
            <v>1</v>
          </cell>
          <cell r="H721" t="str">
            <v>INDUSTRY</v>
          </cell>
          <cell r="I721" t="str">
            <v>11</v>
          </cell>
          <cell r="J721" t="str">
            <v>WOOD COATINGS</v>
          </cell>
          <cell r="K721" t="str">
            <v>1109</v>
          </cell>
          <cell r="L721" t="str">
            <v>STAIN &amp; GLAZE INTERIOR</v>
          </cell>
          <cell r="M721" t="str">
            <v>110903</v>
          </cell>
          <cell r="N721" t="str">
            <v>STAIN INTERIOR</v>
          </cell>
        </row>
        <row r="722">
          <cell r="C722" t="str">
            <v>100000720</v>
          </cell>
          <cell r="D722" t="str">
            <v>SST-11100 KOBA ANDER TT VN-20LJ</v>
          </cell>
          <cell r="E722" t="str">
            <v>ZFGD</v>
          </cell>
          <cell r="F722" t="str">
            <v>PC</v>
          </cell>
          <cell r="G722" t="str">
            <v>1</v>
          </cell>
          <cell r="H722" t="str">
            <v>INDUSTRY</v>
          </cell>
          <cell r="I722" t="str">
            <v>11</v>
          </cell>
          <cell r="J722" t="str">
            <v>WOOD COATINGS</v>
          </cell>
          <cell r="K722" t="str">
            <v>1109</v>
          </cell>
          <cell r="L722" t="str">
            <v>STAIN &amp; GLAZE INTERIOR</v>
          </cell>
          <cell r="M722" t="str">
            <v>110903</v>
          </cell>
          <cell r="N722" t="str">
            <v>STAIN INTERIOR</v>
          </cell>
        </row>
        <row r="723">
          <cell r="C723" t="str">
            <v>100000721</v>
          </cell>
          <cell r="D723" t="str">
            <v>SST-11100 KOBA CE 032 TT VN-20LJ</v>
          </cell>
          <cell r="E723" t="str">
            <v>ZFGD</v>
          </cell>
          <cell r="F723" t="str">
            <v>PC</v>
          </cell>
          <cell r="G723" t="str">
            <v>1</v>
          </cell>
          <cell r="H723" t="str">
            <v>INDUSTRY</v>
          </cell>
          <cell r="I723" t="str">
            <v>11</v>
          </cell>
          <cell r="J723" t="str">
            <v>WOOD COATINGS</v>
          </cell>
          <cell r="K723" t="str">
            <v>1109</v>
          </cell>
          <cell r="L723" t="str">
            <v>STAIN &amp; GLAZE INTERIOR</v>
          </cell>
          <cell r="M723" t="str">
            <v>110903</v>
          </cell>
          <cell r="N723" t="str">
            <v>STAIN INTERIOR</v>
          </cell>
        </row>
        <row r="724">
          <cell r="C724" t="str">
            <v>100000722</v>
          </cell>
          <cell r="D724" t="str">
            <v>SST-11100 KOBA DR TT VN-20LJ</v>
          </cell>
          <cell r="E724" t="str">
            <v>ZFGD</v>
          </cell>
          <cell r="F724" t="str">
            <v>PC</v>
          </cell>
          <cell r="G724" t="str">
            <v>1</v>
          </cell>
          <cell r="H724" t="str">
            <v>INDUSTRY</v>
          </cell>
          <cell r="I724" t="str">
            <v>11</v>
          </cell>
          <cell r="J724" t="str">
            <v>WOOD COATINGS</v>
          </cell>
          <cell r="K724" t="str">
            <v>1109</v>
          </cell>
          <cell r="L724" t="str">
            <v>STAIN &amp; GLAZE INTERIOR</v>
          </cell>
          <cell r="M724" t="str">
            <v>110903</v>
          </cell>
          <cell r="N724" t="str">
            <v>STAIN INTERIOR</v>
          </cell>
        </row>
        <row r="725">
          <cell r="C725" t="str">
            <v>100000723</v>
          </cell>
          <cell r="D725" t="str">
            <v>SST-11100 KOBA GIA CO I TT VN-20LJ</v>
          </cell>
          <cell r="E725" t="str">
            <v>ZFGD</v>
          </cell>
          <cell r="F725" t="str">
            <v>PC</v>
          </cell>
          <cell r="G725" t="str">
            <v>1</v>
          </cell>
          <cell r="H725" t="str">
            <v>INDUSTRY</v>
          </cell>
          <cell r="I725" t="str">
            <v>11</v>
          </cell>
          <cell r="J725" t="str">
            <v>WOOD COATINGS</v>
          </cell>
          <cell r="K725" t="str">
            <v>1109</v>
          </cell>
          <cell r="L725" t="str">
            <v>STAIN &amp; GLAZE INTERIOR</v>
          </cell>
          <cell r="M725" t="str">
            <v>110903</v>
          </cell>
          <cell r="N725" t="str">
            <v>STAIN INTERIOR</v>
          </cell>
        </row>
        <row r="726">
          <cell r="C726" t="str">
            <v>100000724</v>
          </cell>
          <cell r="D726" t="str">
            <v>SST-11100 KOBA GIA CO II TT VN-20LJ</v>
          </cell>
          <cell r="E726" t="str">
            <v>ZFGD</v>
          </cell>
          <cell r="F726" t="str">
            <v>PC</v>
          </cell>
          <cell r="G726" t="str">
            <v>1</v>
          </cell>
          <cell r="H726" t="str">
            <v>INDUSTRY</v>
          </cell>
          <cell r="I726" t="str">
            <v>11</v>
          </cell>
          <cell r="J726" t="str">
            <v>WOOD COATINGS</v>
          </cell>
          <cell r="K726" t="str">
            <v>1109</v>
          </cell>
          <cell r="L726" t="str">
            <v>STAIN &amp; GLAZE INTERIOR</v>
          </cell>
          <cell r="M726" t="str">
            <v>110903</v>
          </cell>
          <cell r="N726" t="str">
            <v>STAIN INTERIOR</v>
          </cell>
        </row>
        <row r="727">
          <cell r="C727" t="str">
            <v>100000725</v>
          </cell>
          <cell r="D727" t="str">
            <v>SST-11100 LANGHAM GE VN-20LJ</v>
          </cell>
          <cell r="E727" t="str">
            <v>ZFGD</v>
          </cell>
          <cell r="F727" t="str">
            <v>PC</v>
          </cell>
          <cell r="G727" t="str">
            <v>1</v>
          </cell>
          <cell r="H727" t="str">
            <v>INDUSTRY</v>
          </cell>
          <cell r="I727" t="str">
            <v>11</v>
          </cell>
          <cell r="J727" t="str">
            <v>WOOD COATINGS</v>
          </cell>
          <cell r="K727" t="str">
            <v>1109</v>
          </cell>
          <cell r="L727" t="str">
            <v>STAIN &amp; GLAZE INTERIOR</v>
          </cell>
          <cell r="M727" t="str">
            <v>110903</v>
          </cell>
          <cell r="N727" t="str">
            <v>STAIN INTERIOR</v>
          </cell>
        </row>
        <row r="728">
          <cell r="C728" t="str">
            <v>100000726</v>
          </cell>
          <cell r="D728" t="str">
            <v>SST-11100 LODGE 01 F1 VN-20LJ</v>
          </cell>
          <cell r="E728" t="str">
            <v>ZFGD</v>
          </cell>
          <cell r="F728" t="str">
            <v>PC</v>
          </cell>
          <cell r="G728" t="str">
            <v>1</v>
          </cell>
          <cell r="H728" t="str">
            <v>INDUSTRY</v>
          </cell>
          <cell r="I728" t="str">
            <v>11</v>
          </cell>
          <cell r="J728" t="str">
            <v>WOOD COATINGS</v>
          </cell>
          <cell r="K728" t="str">
            <v>1109</v>
          </cell>
          <cell r="L728" t="str">
            <v>STAIN &amp; GLAZE INTERIOR</v>
          </cell>
          <cell r="M728" t="str">
            <v>110903</v>
          </cell>
          <cell r="N728" t="str">
            <v>STAIN INTERIOR</v>
          </cell>
        </row>
        <row r="729">
          <cell r="C729" t="str">
            <v>100000727</v>
          </cell>
          <cell r="D729" t="str">
            <v>SST-11100 MAHO A VS VN-20LJ</v>
          </cell>
          <cell r="E729" t="str">
            <v>ZFGD</v>
          </cell>
          <cell r="F729" t="str">
            <v>PC</v>
          </cell>
          <cell r="G729" t="str">
            <v>1</v>
          </cell>
          <cell r="H729" t="str">
            <v>INDUSTRY</v>
          </cell>
          <cell r="I729" t="str">
            <v>11</v>
          </cell>
          <cell r="J729" t="str">
            <v>WOOD COATINGS</v>
          </cell>
          <cell r="K729" t="str">
            <v>1109</v>
          </cell>
          <cell r="L729" t="str">
            <v>STAIN &amp; GLAZE INTERIOR</v>
          </cell>
          <cell r="M729" t="str">
            <v>110903</v>
          </cell>
          <cell r="N729" t="str">
            <v>STAIN INTERIOR</v>
          </cell>
        </row>
        <row r="730">
          <cell r="C730" t="str">
            <v>100000728</v>
          </cell>
          <cell r="D730" t="str">
            <v>SST-11100 MAHO B VS VN-20LJ</v>
          </cell>
          <cell r="E730" t="str">
            <v>ZFGD</v>
          </cell>
          <cell r="F730" t="str">
            <v>PC</v>
          </cell>
          <cell r="G730" t="str">
            <v>1</v>
          </cell>
          <cell r="H730" t="str">
            <v>INDUSTRY</v>
          </cell>
          <cell r="I730" t="str">
            <v>11</v>
          </cell>
          <cell r="J730" t="str">
            <v>WOOD COATINGS</v>
          </cell>
          <cell r="K730" t="str">
            <v>1109</v>
          </cell>
          <cell r="L730" t="str">
            <v>STAIN &amp; GLAZE INTERIOR</v>
          </cell>
          <cell r="M730" t="str">
            <v>110903</v>
          </cell>
          <cell r="N730" t="str">
            <v>STAIN INTERIOR</v>
          </cell>
        </row>
        <row r="731">
          <cell r="C731" t="str">
            <v>100000729</v>
          </cell>
          <cell r="D731" t="str">
            <v>SST-11100 MAHO SS VN-20LJ</v>
          </cell>
          <cell r="E731" t="str">
            <v>ZFGD</v>
          </cell>
          <cell r="F731" t="str">
            <v>PC</v>
          </cell>
          <cell r="G731" t="str">
            <v>1</v>
          </cell>
          <cell r="H731" t="str">
            <v>INDUSTRY</v>
          </cell>
          <cell r="I731" t="str">
            <v>11</v>
          </cell>
          <cell r="J731" t="str">
            <v>WOOD COATINGS</v>
          </cell>
          <cell r="K731" t="str">
            <v>1109</v>
          </cell>
          <cell r="L731" t="str">
            <v>STAIN &amp; GLAZE INTERIOR</v>
          </cell>
          <cell r="M731" t="str">
            <v>110903</v>
          </cell>
          <cell r="N731" t="str">
            <v>STAIN INTERIOR</v>
          </cell>
        </row>
        <row r="732">
          <cell r="C732" t="str">
            <v>100000730</v>
          </cell>
          <cell r="D732" t="str">
            <v>SST-11100 MAPLE TT VN-20LJ</v>
          </cell>
          <cell r="E732" t="str">
            <v>ZFGD</v>
          </cell>
          <cell r="F732" t="str">
            <v>PC</v>
          </cell>
          <cell r="G732" t="str">
            <v>1</v>
          </cell>
          <cell r="H732" t="str">
            <v>INDUSTRY</v>
          </cell>
          <cell r="I732" t="str">
            <v>11</v>
          </cell>
          <cell r="J732" t="str">
            <v>WOOD COATINGS</v>
          </cell>
          <cell r="K732" t="str">
            <v>1109</v>
          </cell>
          <cell r="L732" t="str">
            <v>STAIN &amp; GLAZE INTERIOR</v>
          </cell>
          <cell r="M732" t="str">
            <v>110903</v>
          </cell>
          <cell r="N732" t="str">
            <v>STAIN INTERIOR</v>
          </cell>
        </row>
        <row r="733">
          <cell r="C733" t="str">
            <v>100000731</v>
          </cell>
          <cell r="D733" t="str">
            <v>SST-11100 MARUNI TT VN-20LJ</v>
          </cell>
          <cell r="E733" t="str">
            <v>ZFGD</v>
          </cell>
          <cell r="F733" t="str">
            <v>PC</v>
          </cell>
          <cell r="G733" t="str">
            <v>1</v>
          </cell>
          <cell r="H733" t="str">
            <v>INDUSTRY</v>
          </cell>
          <cell r="I733" t="str">
            <v>11</v>
          </cell>
          <cell r="J733" t="str">
            <v>WOOD COATINGS</v>
          </cell>
          <cell r="K733" t="str">
            <v>1109</v>
          </cell>
          <cell r="L733" t="str">
            <v>STAIN &amp; GLAZE INTERIOR</v>
          </cell>
          <cell r="M733" t="str">
            <v>110903</v>
          </cell>
          <cell r="N733" t="str">
            <v>STAIN INTERIOR</v>
          </cell>
        </row>
        <row r="734">
          <cell r="C734" t="str">
            <v>100000732</v>
          </cell>
          <cell r="D734" t="str">
            <v>SST-11100 MAU DAM DM VN-20LJ</v>
          </cell>
          <cell r="E734" t="str">
            <v>ZFGD</v>
          </cell>
          <cell r="F734" t="str">
            <v>PC</v>
          </cell>
          <cell r="G734" t="str">
            <v>1</v>
          </cell>
          <cell r="H734" t="str">
            <v>INDUSTRY</v>
          </cell>
          <cell r="I734" t="str">
            <v>11</v>
          </cell>
          <cell r="J734" t="str">
            <v>WOOD COATINGS</v>
          </cell>
          <cell r="K734" t="str">
            <v>1109</v>
          </cell>
          <cell r="L734" t="str">
            <v>STAIN &amp; GLAZE INTERIOR</v>
          </cell>
          <cell r="M734" t="str">
            <v>110903</v>
          </cell>
          <cell r="N734" t="str">
            <v>STAIN INTERIOR</v>
          </cell>
        </row>
        <row r="735">
          <cell r="C735" t="str">
            <v>100000733</v>
          </cell>
          <cell r="D735" t="str">
            <v>SST-11100 MAU LOT DM VN-20LJ</v>
          </cell>
          <cell r="E735" t="str">
            <v>ZFGD</v>
          </cell>
          <cell r="F735" t="str">
            <v>PC</v>
          </cell>
          <cell r="G735" t="str">
            <v>1</v>
          </cell>
          <cell r="H735" t="str">
            <v>INDUSTRY</v>
          </cell>
          <cell r="I735" t="str">
            <v>11</v>
          </cell>
          <cell r="J735" t="str">
            <v>WOOD COATINGS</v>
          </cell>
          <cell r="K735" t="str">
            <v>1109</v>
          </cell>
          <cell r="L735" t="str">
            <v>STAIN &amp; GLAZE INTERIOR</v>
          </cell>
          <cell r="M735" t="str">
            <v>110903</v>
          </cell>
          <cell r="N735" t="str">
            <v>STAIN INTERIOR</v>
          </cell>
        </row>
        <row r="736">
          <cell r="C736" t="str">
            <v>100000734</v>
          </cell>
          <cell r="D736" t="str">
            <v>SST-11100 MEMOLY TT VN-20LJ</v>
          </cell>
          <cell r="E736" t="str">
            <v>ZFGD</v>
          </cell>
          <cell r="F736" t="str">
            <v>PC</v>
          </cell>
          <cell r="G736" t="str">
            <v>1</v>
          </cell>
          <cell r="H736" t="str">
            <v>INDUSTRY</v>
          </cell>
          <cell r="I736" t="str">
            <v>11</v>
          </cell>
          <cell r="J736" t="str">
            <v>WOOD COATINGS</v>
          </cell>
          <cell r="K736" t="str">
            <v>1109</v>
          </cell>
          <cell r="L736" t="str">
            <v>STAIN &amp; GLAZE INTERIOR</v>
          </cell>
          <cell r="M736" t="str">
            <v>110903</v>
          </cell>
          <cell r="N736" t="str">
            <v>STAIN INTERIOR</v>
          </cell>
        </row>
        <row r="737">
          <cell r="C737" t="str">
            <v>100000735</v>
          </cell>
          <cell r="D737" t="str">
            <v>SST-11100 MR PARK 03 II TT VN-20LJ</v>
          </cell>
          <cell r="E737" t="str">
            <v>ZFGD</v>
          </cell>
          <cell r="F737" t="str">
            <v>PC</v>
          </cell>
          <cell r="G737" t="str">
            <v>1</v>
          </cell>
          <cell r="H737" t="str">
            <v>INDUSTRY</v>
          </cell>
          <cell r="I737" t="str">
            <v>11</v>
          </cell>
          <cell r="J737" t="str">
            <v>WOOD COATINGS</v>
          </cell>
          <cell r="K737" t="str">
            <v>1109</v>
          </cell>
          <cell r="L737" t="str">
            <v>STAIN &amp; GLAZE INTERIOR</v>
          </cell>
          <cell r="M737" t="str">
            <v>110903</v>
          </cell>
          <cell r="N737" t="str">
            <v>STAIN INTERIOR</v>
          </cell>
        </row>
        <row r="738">
          <cell r="C738" t="str">
            <v>100000736</v>
          </cell>
          <cell r="D738" t="str">
            <v>SST-11100 MR PARK 04 MOI TT VN-20LJ</v>
          </cell>
          <cell r="E738" t="str">
            <v>ZFGD</v>
          </cell>
          <cell r="F738" t="str">
            <v>PC</v>
          </cell>
          <cell r="G738" t="str">
            <v>1</v>
          </cell>
          <cell r="H738" t="str">
            <v>INDUSTRY</v>
          </cell>
          <cell r="I738" t="str">
            <v>11</v>
          </cell>
          <cell r="J738" t="str">
            <v>WOOD COATINGS</v>
          </cell>
          <cell r="K738" t="str">
            <v>1109</v>
          </cell>
          <cell r="L738" t="str">
            <v>STAIN &amp; GLAZE INTERIOR</v>
          </cell>
          <cell r="M738" t="str">
            <v>110903</v>
          </cell>
          <cell r="N738" t="str">
            <v>STAIN INTERIOR</v>
          </cell>
        </row>
        <row r="739">
          <cell r="C739" t="str">
            <v>100000737</v>
          </cell>
          <cell r="D739" t="str">
            <v>SST-11100 MR PARK 04 TT VN-20LJ</v>
          </cell>
          <cell r="E739" t="str">
            <v>ZFGD</v>
          </cell>
          <cell r="F739" t="str">
            <v>PC</v>
          </cell>
          <cell r="G739" t="str">
            <v>1</v>
          </cell>
          <cell r="H739" t="str">
            <v>INDUSTRY</v>
          </cell>
          <cell r="I739" t="str">
            <v>11</v>
          </cell>
          <cell r="J739" t="str">
            <v>WOOD COATINGS</v>
          </cell>
          <cell r="K739" t="str">
            <v>1109</v>
          </cell>
          <cell r="L739" t="str">
            <v>STAIN &amp; GLAZE INTERIOR</v>
          </cell>
          <cell r="M739" t="str">
            <v>110903</v>
          </cell>
          <cell r="N739" t="str">
            <v>STAIN INTERIOR</v>
          </cell>
        </row>
        <row r="740">
          <cell r="C740" t="str">
            <v>100000738</v>
          </cell>
          <cell r="D740" t="str">
            <v>SST-11100 MR PARK 06 B TT VN-20LJ</v>
          </cell>
          <cell r="E740" t="str">
            <v>ZFGD</v>
          </cell>
          <cell r="F740" t="str">
            <v>PC</v>
          </cell>
          <cell r="G740" t="str">
            <v>1</v>
          </cell>
          <cell r="H740" t="str">
            <v>INDUSTRY</v>
          </cell>
          <cell r="I740" t="str">
            <v>11</v>
          </cell>
          <cell r="J740" t="str">
            <v>WOOD COATINGS</v>
          </cell>
          <cell r="K740" t="str">
            <v>1109</v>
          </cell>
          <cell r="L740" t="str">
            <v>STAIN &amp; GLAZE INTERIOR</v>
          </cell>
          <cell r="M740" t="str">
            <v>110903</v>
          </cell>
          <cell r="N740" t="str">
            <v>STAIN INTERIOR</v>
          </cell>
        </row>
        <row r="741">
          <cell r="C741" t="str">
            <v>100000739</v>
          </cell>
          <cell r="D741" t="str">
            <v>SST-11100 MR PARK CINAMON TT VN-20LJ</v>
          </cell>
          <cell r="E741" t="str">
            <v>ZFGD</v>
          </cell>
          <cell r="F741" t="str">
            <v>PC</v>
          </cell>
          <cell r="G741" t="str">
            <v>1</v>
          </cell>
          <cell r="H741" t="str">
            <v>INDUSTRY</v>
          </cell>
          <cell r="I741" t="str">
            <v>11</v>
          </cell>
          <cell r="J741" t="str">
            <v>WOOD COATINGS</v>
          </cell>
          <cell r="K741" t="str">
            <v>1109</v>
          </cell>
          <cell r="L741" t="str">
            <v>STAIN &amp; GLAZE INTERIOR</v>
          </cell>
          <cell r="M741" t="str">
            <v>110903</v>
          </cell>
          <cell r="N741" t="str">
            <v>STAIN INTERIOR</v>
          </cell>
        </row>
        <row r="742">
          <cell r="C742" t="str">
            <v>100000740</v>
          </cell>
          <cell r="D742" t="str">
            <v>SST-11100 MR PARK NATURAL TT VN-20LJ</v>
          </cell>
          <cell r="E742" t="str">
            <v>ZFGD</v>
          </cell>
          <cell r="F742" t="str">
            <v>PC</v>
          </cell>
          <cell r="G742" t="str">
            <v>1</v>
          </cell>
          <cell r="H742" t="str">
            <v>INDUSTRY</v>
          </cell>
          <cell r="I742" t="str">
            <v>11</v>
          </cell>
          <cell r="J742" t="str">
            <v>WOOD COATINGS</v>
          </cell>
          <cell r="K742" t="str">
            <v>1109</v>
          </cell>
          <cell r="L742" t="str">
            <v>STAIN &amp; GLAZE INTERIOR</v>
          </cell>
          <cell r="M742" t="str">
            <v>110903</v>
          </cell>
          <cell r="N742" t="str">
            <v>STAIN INTERIOR</v>
          </cell>
        </row>
        <row r="743">
          <cell r="C743" t="str">
            <v>100000741</v>
          </cell>
          <cell r="D743" t="str">
            <v>SST-11100 MR PARK SCANDY TT VN-20LJ</v>
          </cell>
          <cell r="E743" t="str">
            <v>ZFGD</v>
          </cell>
          <cell r="F743" t="str">
            <v>PC</v>
          </cell>
          <cell r="G743" t="str">
            <v>1</v>
          </cell>
          <cell r="H743" t="str">
            <v>INDUSTRY</v>
          </cell>
          <cell r="I743" t="str">
            <v>11</v>
          </cell>
          <cell r="J743" t="str">
            <v>WOOD COATINGS</v>
          </cell>
          <cell r="K743" t="str">
            <v>1109</v>
          </cell>
          <cell r="L743" t="str">
            <v>STAIN &amp; GLAZE INTERIOR</v>
          </cell>
          <cell r="M743" t="str">
            <v>110903</v>
          </cell>
          <cell r="N743" t="str">
            <v>STAIN INTERIOR</v>
          </cell>
        </row>
        <row r="744">
          <cell r="C744" t="str">
            <v>100000742</v>
          </cell>
          <cell r="D744" t="str">
            <v>SST-11100 MR PARK SQUARE A TT VN-20LJ</v>
          </cell>
          <cell r="E744" t="str">
            <v>ZFGD</v>
          </cell>
          <cell r="F744" t="str">
            <v>PC</v>
          </cell>
          <cell r="G744" t="str">
            <v>1</v>
          </cell>
          <cell r="H744" t="str">
            <v>INDUSTRY</v>
          </cell>
          <cell r="I744" t="str">
            <v>11</v>
          </cell>
          <cell r="J744" t="str">
            <v>WOOD COATINGS</v>
          </cell>
          <cell r="K744" t="str">
            <v>1109</v>
          </cell>
          <cell r="L744" t="str">
            <v>STAIN &amp; GLAZE INTERIOR</v>
          </cell>
          <cell r="M744" t="str">
            <v>110903</v>
          </cell>
          <cell r="N744" t="str">
            <v>STAIN INTERIOR</v>
          </cell>
        </row>
        <row r="745">
          <cell r="C745" t="str">
            <v>100000743</v>
          </cell>
          <cell r="D745" t="str">
            <v>SST-11100 MR PARK SQUARE B TT VN-20LJ</v>
          </cell>
          <cell r="E745" t="str">
            <v>ZFGD</v>
          </cell>
          <cell r="F745" t="str">
            <v>PC</v>
          </cell>
          <cell r="G745" t="str">
            <v>1</v>
          </cell>
          <cell r="H745" t="str">
            <v>INDUSTRY</v>
          </cell>
          <cell r="I745" t="str">
            <v>11</v>
          </cell>
          <cell r="J745" t="str">
            <v>WOOD COATINGS</v>
          </cell>
          <cell r="K745" t="str">
            <v>1109</v>
          </cell>
          <cell r="L745" t="str">
            <v>STAIN &amp; GLAZE INTERIOR</v>
          </cell>
          <cell r="M745" t="str">
            <v>110903</v>
          </cell>
          <cell r="N745" t="str">
            <v>STAIN INTERIOR</v>
          </cell>
        </row>
        <row r="746">
          <cell r="C746" t="str">
            <v>100000744</v>
          </cell>
          <cell r="D746" t="str">
            <v>SST-11100 MR PARK WALNUT TT VN-20LJ</v>
          </cell>
          <cell r="E746" t="str">
            <v>ZFGD</v>
          </cell>
          <cell r="F746" t="str">
            <v>PC</v>
          </cell>
          <cell r="G746" t="str">
            <v>1</v>
          </cell>
          <cell r="H746" t="str">
            <v>INDUSTRY</v>
          </cell>
          <cell r="I746" t="str">
            <v>11</v>
          </cell>
          <cell r="J746" t="str">
            <v>WOOD COATINGS</v>
          </cell>
          <cell r="K746" t="str">
            <v>1109</v>
          </cell>
          <cell r="L746" t="str">
            <v>STAIN &amp; GLAZE INTERIOR</v>
          </cell>
          <cell r="M746" t="str">
            <v>110903</v>
          </cell>
          <cell r="N746" t="str">
            <v>STAIN INTERIOR</v>
          </cell>
        </row>
        <row r="747">
          <cell r="C747" t="str">
            <v>100000745</v>
          </cell>
          <cell r="D747" t="str">
            <v>SST-11100 MT 07 A MT VN-20LJ</v>
          </cell>
          <cell r="E747" t="str">
            <v>ZFGD</v>
          </cell>
          <cell r="F747" t="str">
            <v>PC</v>
          </cell>
          <cell r="G747" t="str">
            <v>1</v>
          </cell>
          <cell r="H747" t="str">
            <v>INDUSTRY</v>
          </cell>
          <cell r="I747" t="str">
            <v>11</v>
          </cell>
          <cell r="J747" t="str">
            <v>WOOD COATINGS</v>
          </cell>
          <cell r="K747" t="str">
            <v>1109</v>
          </cell>
          <cell r="L747" t="str">
            <v>STAIN &amp; GLAZE INTERIOR</v>
          </cell>
          <cell r="M747" t="str">
            <v>110903</v>
          </cell>
          <cell r="N747" t="str">
            <v>STAIN INTERIOR</v>
          </cell>
        </row>
        <row r="748">
          <cell r="C748" t="str">
            <v>100000746</v>
          </cell>
          <cell r="D748" t="str">
            <v>SST-11100 MT 07 B MT VN-20LJ</v>
          </cell>
          <cell r="E748" t="str">
            <v>ZFGD</v>
          </cell>
          <cell r="F748" t="str">
            <v>PC</v>
          </cell>
          <cell r="G748" t="str">
            <v>1</v>
          </cell>
          <cell r="H748" t="str">
            <v>INDUSTRY</v>
          </cell>
          <cell r="I748" t="str">
            <v>11</v>
          </cell>
          <cell r="J748" t="str">
            <v>WOOD COATINGS</v>
          </cell>
          <cell r="K748" t="str">
            <v>1109</v>
          </cell>
          <cell r="L748" t="str">
            <v>STAIN &amp; GLAZE INTERIOR</v>
          </cell>
          <cell r="M748" t="str">
            <v>110903</v>
          </cell>
          <cell r="N748" t="str">
            <v>STAIN INTERIOR</v>
          </cell>
        </row>
        <row r="749">
          <cell r="C749" t="str">
            <v>100000747</v>
          </cell>
          <cell r="D749" t="str">
            <v>SST-11100 16 A MT VN-20LJ</v>
          </cell>
          <cell r="E749" t="str">
            <v>ZFGD</v>
          </cell>
          <cell r="F749" t="str">
            <v>PC</v>
          </cell>
          <cell r="G749" t="str">
            <v>1</v>
          </cell>
          <cell r="H749" t="str">
            <v>INDUSTRY</v>
          </cell>
          <cell r="I749" t="str">
            <v>11</v>
          </cell>
          <cell r="J749" t="str">
            <v>WOOD COATINGS</v>
          </cell>
          <cell r="K749" t="str">
            <v>1109</v>
          </cell>
          <cell r="L749" t="str">
            <v>STAIN &amp; GLAZE INTERIOR</v>
          </cell>
          <cell r="M749" t="str">
            <v>110903</v>
          </cell>
          <cell r="N749" t="str">
            <v>STAIN INTERIOR</v>
          </cell>
        </row>
        <row r="750">
          <cell r="C750" t="str">
            <v>100000748</v>
          </cell>
          <cell r="D750" t="str">
            <v>SST-11100 16 B MT VN-20LJ</v>
          </cell>
          <cell r="E750" t="str">
            <v>ZFGD</v>
          </cell>
          <cell r="F750" t="str">
            <v>PC</v>
          </cell>
          <cell r="G750" t="str">
            <v>1</v>
          </cell>
          <cell r="H750" t="str">
            <v>INDUSTRY</v>
          </cell>
          <cell r="I750" t="str">
            <v>11</v>
          </cell>
          <cell r="J750" t="str">
            <v>WOOD COATINGS</v>
          </cell>
          <cell r="K750" t="str">
            <v>1109</v>
          </cell>
          <cell r="L750" t="str">
            <v>STAIN &amp; GLAZE INTERIOR</v>
          </cell>
          <cell r="M750" t="str">
            <v>110903</v>
          </cell>
          <cell r="N750" t="str">
            <v>STAIN INTERIOR</v>
          </cell>
        </row>
        <row r="751">
          <cell r="C751" t="str">
            <v>100000749</v>
          </cell>
          <cell r="D751" t="str">
            <v>SST-11100 NATURAL TL VN-20LJ</v>
          </cell>
          <cell r="E751" t="str">
            <v>ZFGD</v>
          </cell>
          <cell r="F751" t="str">
            <v>PC</v>
          </cell>
          <cell r="G751" t="str">
            <v>1</v>
          </cell>
          <cell r="H751" t="str">
            <v>INDUSTRY</v>
          </cell>
          <cell r="I751" t="str">
            <v>11</v>
          </cell>
          <cell r="J751" t="str">
            <v>WOOD COATINGS</v>
          </cell>
          <cell r="K751" t="str">
            <v>1109</v>
          </cell>
          <cell r="L751" t="str">
            <v>STAIN &amp; GLAZE INTERIOR</v>
          </cell>
          <cell r="M751" t="str">
            <v>110903</v>
          </cell>
          <cell r="N751" t="str">
            <v>STAIN INTERIOR</v>
          </cell>
        </row>
        <row r="752">
          <cell r="C752" t="str">
            <v>100000750</v>
          </cell>
          <cell r="D752" t="str">
            <v>SST-11100 NATURAL WALNUT TD VN-20LJ</v>
          </cell>
          <cell r="E752" t="str">
            <v>ZFGD</v>
          </cell>
          <cell r="F752" t="str">
            <v>PC</v>
          </cell>
          <cell r="G752" t="str">
            <v>1</v>
          </cell>
          <cell r="H752" t="str">
            <v>INDUSTRY</v>
          </cell>
          <cell r="I752" t="str">
            <v>11</v>
          </cell>
          <cell r="J752" t="str">
            <v>WOOD COATINGS</v>
          </cell>
          <cell r="K752" t="str">
            <v>1109</v>
          </cell>
          <cell r="L752" t="str">
            <v>STAIN &amp; GLAZE INTERIOR</v>
          </cell>
          <cell r="M752" t="str">
            <v>110903</v>
          </cell>
          <cell r="N752" t="str">
            <v>STAIN INTERIOR</v>
          </cell>
        </row>
        <row r="753">
          <cell r="C753" t="str">
            <v>100000751</v>
          </cell>
          <cell r="D753" t="str">
            <v>SST-11100 NEW TEAK F1 VN-20LJ</v>
          </cell>
          <cell r="E753" t="str">
            <v>ZFGD</v>
          </cell>
          <cell r="F753" t="str">
            <v>PC</v>
          </cell>
          <cell r="G753" t="str">
            <v>1</v>
          </cell>
          <cell r="H753" t="str">
            <v>INDUSTRY</v>
          </cell>
          <cell r="I753" t="str">
            <v>11</v>
          </cell>
          <cell r="J753" t="str">
            <v>WOOD COATINGS</v>
          </cell>
          <cell r="K753" t="str">
            <v>1109</v>
          </cell>
          <cell r="L753" t="str">
            <v>STAIN &amp; GLAZE INTERIOR</v>
          </cell>
          <cell r="M753" t="str">
            <v>110903</v>
          </cell>
          <cell r="N753" t="str">
            <v>STAIN INTERIOR</v>
          </cell>
        </row>
        <row r="754">
          <cell r="C754" t="str">
            <v>100000752</v>
          </cell>
          <cell r="D754" t="str">
            <v>SST-11100 O CHAIR B TT VN-20LJ</v>
          </cell>
          <cell r="E754" t="str">
            <v>ZFGD</v>
          </cell>
          <cell r="F754" t="str">
            <v>PC</v>
          </cell>
          <cell r="G754" t="str">
            <v>1</v>
          </cell>
          <cell r="H754" t="str">
            <v>INDUSTRY</v>
          </cell>
          <cell r="I754" t="str">
            <v>11</v>
          </cell>
          <cell r="J754" t="str">
            <v>WOOD COATINGS</v>
          </cell>
          <cell r="K754" t="str">
            <v>1109</v>
          </cell>
          <cell r="L754" t="str">
            <v>STAIN &amp; GLAZE INTERIOR</v>
          </cell>
          <cell r="M754" t="str">
            <v>110903</v>
          </cell>
          <cell r="N754" t="str">
            <v>STAIN INTERIOR</v>
          </cell>
        </row>
        <row r="755">
          <cell r="C755" t="str">
            <v>100000753</v>
          </cell>
          <cell r="D755" t="str">
            <v>SST-11100 OAK 02 DM VN-20LJ</v>
          </cell>
          <cell r="E755" t="str">
            <v>ZFGD</v>
          </cell>
          <cell r="F755" t="str">
            <v>PC</v>
          </cell>
          <cell r="G755" t="str">
            <v>1</v>
          </cell>
          <cell r="H755" t="str">
            <v>INDUSTRY</v>
          </cell>
          <cell r="I755" t="str">
            <v>11</v>
          </cell>
          <cell r="J755" t="str">
            <v>WOOD COATINGS</v>
          </cell>
          <cell r="K755" t="str">
            <v>1109</v>
          </cell>
          <cell r="L755" t="str">
            <v>STAIN &amp; GLAZE INTERIOR</v>
          </cell>
          <cell r="M755" t="str">
            <v>110903</v>
          </cell>
          <cell r="N755" t="str">
            <v>STAIN INTERIOR</v>
          </cell>
        </row>
        <row r="756">
          <cell r="C756" t="str">
            <v>100000754</v>
          </cell>
          <cell r="D756" t="str">
            <v>SST-11100 OAK NA TT VN-20LJ</v>
          </cell>
          <cell r="E756" t="str">
            <v>ZFGD</v>
          </cell>
          <cell r="F756" t="str">
            <v>PC</v>
          </cell>
          <cell r="G756" t="str">
            <v>1</v>
          </cell>
          <cell r="H756" t="str">
            <v>INDUSTRY</v>
          </cell>
          <cell r="I756" t="str">
            <v>11</v>
          </cell>
          <cell r="J756" t="str">
            <v>WOOD COATINGS</v>
          </cell>
          <cell r="K756" t="str">
            <v>1109</v>
          </cell>
          <cell r="L756" t="str">
            <v>STAIN &amp; GLAZE INTERIOR</v>
          </cell>
          <cell r="M756" t="str">
            <v>110903</v>
          </cell>
          <cell r="N756" t="str">
            <v>STAIN INTERIOR</v>
          </cell>
        </row>
        <row r="757">
          <cell r="C757" t="str">
            <v>100000755</v>
          </cell>
          <cell r="D757" t="str">
            <v>SST-11100 OAK TD VN-20LJ</v>
          </cell>
          <cell r="E757" t="str">
            <v>ZFGD</v>
          </cell>
          <cell r="F757" t="str">
            <v>PC</v>
          </cell>
          <cell r="G757" t="str">
            <v>1</v>
          </cell>
          <cell r="H757" t="str">
            <v>INDUSTRY</v>
          </cell>
          <cell r="I757" t="str">
            <v>11</v>
          </cell>
          <cell r="J757" t="str">
            <v>WOOD COATINGS</v>
          </cell>
          <cell r="K757" t="str">
            <v>1109</v>
          </cell>
          <cell r="L757" t="str">
            <v>STAIN &amp; GLAZE INTERIOR</v>
          </cell>
          <cell r="M757" t="str">
            <v>110903</v>
          </cell>
          <cell r="N757" t="str">
            <v>STAIN INTERIOR</v>
          </cell>
        </row>
        <row r="758">
          <cell r="C758" t="str">
            <v>100000756</v>
          </cell>
          <cell r="D758" t="str">
            <v>SST-11100 OLIVER 108 TT VN-20LJ</v>
          </cell>
          <cell r="E758" t="str">
            <v>ZFGD</v>
          </cell>
          <cell r="F758" t="str">
            <v>PC</v>
          </cell>
          <cell r="G758" t="str">
            <v>1</v>
          </cell>
          <cell r="H758" t="str">
            <v>INDUSTRY</v>
          </cell>
          <cell r="I758" t="str">
            <v>11</v>
          </cell>
          <cell r="J758" t="str">
            <v>WOOD COATINGS</v>
          </cell>
          <cell r="K758" t="str">
            <v>1109</v>
          </cell>
          <cell r="L758" t="str">
            <v>STAIN &amp; GLAZE INTERIOR</v>
          </cell>
          <cell r="M758" t="str">
            <v>110903</v>
          </cell>
          <cell r="N758" t="str">
            <v>STAIN INTERIOR</v>
          </cell>
        </row>
        <row r="759">
          <cell r="C759" t="str">
            <v>100000757</v>
          </cell>
          <cell r="D759" t="str">
            <v>SST-11100 OLIVER D3 A TT VN-20LJ</v>
          </cell>
          <cell r="E759" t="str">
            <v>ZFGD</v>
          </cell>
          <cell r="F759" t="str">
            <v>PC</v>
          </cell>
          <cell r="G759" t="str">
            <v>1</v>
          </cell>
          <cell r="H759" t="str">
            <v>INDUSTRY</v>
          </cell>
          <cell r="I759" t="str">
            <v>11</v>
          </cell>
          <cell r="J759" t="str">
            <v>WOOD COATINGS</v>
          </cell>
          <cell r="K759" t="str">
            <v>1109</v>
          </cell>
          <cell r="L759" t="str">
            <v>STAIN &amp; GLAZE INTERIOR</v>
          </cell>
          <cell r="M759" t="str">
            <v>110903</v>
          </cell>
          <cell r="N759" t="str">
            <v>STAIN INTERIOR</v>
          </cell>
        </row>
        <row r="760">
          <cell r="C760" t="str">
            <v>100000758</v>
          </cell>
          <cell r="D760" t="str">
            <v>SST-11100 OLIVER L2 A TT VN-20LJ</v>
          </cell>
          <cell r="E760" t="str">
            <v>ZFGD</v>
          </cell>
          <cell r="F760" t="str">
            <v>PC</v>
          </cell>
          <cell r="G760" t="str">
            <v>1</v>
          </cell>
          <cell r="H760" t="str">
            <v>INDUSTRY</v>
          </cell>
          <cell r="I760" t="str">
            <v>11</v>
          </cell>
          <cell r="J760" t="str">
            <v>WOOD COATINGS</v>
          </cell>
          <cell r="K760" t="str">
            <v>1109</v>
          </cell>
          <cell r="L760" t="str">
            <v>STAIN &amp; GLAZE INTERIOR</v>
          </cell>
          <cell r="M760" t="str">
            <v>110903</v>
          </cell>
          <cell r="N760" t="str">
            <v>STAIN INTERIOR</v>
          </cell>
        </row>
        <row r="761">
          <cell r="C761" t="str">
            <v>100000759</v>
          </cell>
          <cell r="D761" t="str">
            <v>SST-11100 OLIVER SCW 506 TT VN-20LJ</v>
          </cell>
          <cell r="E761" t="str">
            <v>ZFGD</v>
          </cell>
          <cell r="F761" t="str">
            <v>PC</v>
          </cell>
          <cell r="G761" t="str">
            <v>1</v>
          </cell>
          <cell r="H761" t="str">
            <v>INDUSTRY</v>
          </cell>
          <cell r="I761" t="str">
            <v>11</v>
          </cell>
          <cell r="J761" t="str">
            <v>WOOD COATINGS</v>
          </cell>
          <cell r="K761" t="str">
            <v>1109</v>
          </cell>
          <cell r="L761" t="str">
            <v>STAIN &amp; GLAZE INTERIOR</v>
          </cell>
          <cell r="M761" t="str">
            <v>110903</v>
          </cell>
          <cell r="N761" t="str">
            <v>STAIN INTERIOR</v>
          </cell>
        </row>
        <row r="762">
          <cell r="C762" t="str">
            <v>100000760</v>
          </cell>
          <cell r="D762" t="str">
            <v>SST-11100 OLIVER TN TT VN-20LJ</v>
          </cell>
          <cell r="E762" t="str">
            <v>ZFGD</v>
          </cell>
          <cell r="F762" t="str">
            <v>PC</v>
          </cell>
          <cell r="G762" t="str">
            <v>1</v>
          </cell>
          <cell r="H762" t="str">
            <v>INDUSTRY</v>
          </cell>
          <cell r="I762" t="str">
            <v>11</v>
          </cell>
          <cell r="J762" t="str">
            <v>WOOD COATINGS</v>
          </cell>
          <cell r="K762" t="str">
            <v>1109</v>
          </cell>
          <cell r="L762" t="str">
            <v>STAIN &amp; GLAZE INTERIOR</v>
          </cell>
          <cell r="M762" t="str">
            <v>110903</v>
          </cell>
          <cell r="N762" t="str">
            <v>STAIN INTERIOR</v>
          </cell>
        </row>
        <row r="763">
          <cell r="C763" t="str">
            <v>100000761</v>
          </cell>
          <cell r="D763" t="str">
            <v>SST-11100 PARK FENDI CHAIR TT VN-20LJ</v>
          </cell>
          <cell r="E763" t="str">
            <v>ZFGD</v>
          </cell>
          <cell r="F763" t="str">
            <v>PC</v>
          </cell>
          <cell r="G763" t="str">
            <v>1</v>
          </cell>
          <cell r="H763" t="str">
            <v>INDUSTRY</v>
          </cell>
          <cell r="I763" t="str">
            <v>11</v>
          </cell>
          <cell r="J763" t="str">
            <v>WOOD COATINGS</v>
          </cell>
          <cell r="K763" t="str">
            <v>1109</v>
          </cell>
          <cell r="L763" t="str">
            <v>STAIN &amp; GLAZE INTERIOR</v>
          </cell>
          <cell r="M763" t="str">
            <v>110903</v>
          </cell>
          <cell r="N763" t="str">
            <v>STAIN INTERIOR</v>
          </cell>
        </row>
        <row r="764">
          <cell r="C764" t="str">
            <v>100000762</v>
          </cell>
          <cell r="D764" t="str">
            <v>SST-11100 PARK TAIWAN TT VN-20LJ</v>
          </cell>
          <cell r="E764" t="str">
            <v>ZFGD</v>
          </cell>
          <cell r="F764" t="str">
            <v>PC</v>
          </cell>
          <cell r="G764" t="str">
            <v>1</v>
          </cell>
          <cell r="H764" t="str">
            <v>INDUSTRY</v>
          </cell>
          <cell r="I764" t="str">
            <v>11</v>
          </cell>
          <cell r="J764" t="str">
            <v>WOOD COATINGS</v>
          </cell>
          <cell r="K764" t="str">
            <v>1109</v>
          </cell>
          <cell r="L764" t="str">
            <v>STAIN &amp; GLAZE INTERIOR</v>
          </cell>
          <cell r="M764" t="str">
            <v>110903</v>
          </cell>
          <cell r="N764" t="str">
            <v>STAIN INTERIOR</v>
          </cell>
        </row>
        <row r="765">
          <cell r="C765" t="str">
            <v>100000763</v>
          </cell>
          <cell r="D765" t="str">
            <v>SST-11100 PEOTHOCSE TL VN-20LJ</v>
          </cell>
          <cell r="E765" t="str">
            <v>ZFGD</v>
          </cell>
          <cell r="F765" t="str">
            <v>PC</v>
          </cell>
          <cell r="G765" t="str">
            <v>1</v>
          </cell>
          <cell r="H765" t="str">
            <v>INDUSTRY</v>
          </cell>
          <cell r="I765" t="str">
            <v>11</v>
          </cell>
          <cell r="J765" t="str">
            <v>WOOD COATINGS</v>
          </cell>
          <cell r="K765" t="str">
            <v>1109</v>
          </cell>
          <cell r="L765" t="str">
            <v>STAIN &amp; GLAZE INTERIOR</v>
          </cell>
          <cell r="M765" t="str">
            <v>110903</v>
          </cell>
          <cell r="N765" t="str">
            <v>STAIN INTERIOR</v>
          </cell>
        </row>
        <row r="766">
          <cell r="C766" t="str">
            <v>100000764</v>
          </cell>
          <cell r="D766" t="str">
            <v>SST-11100 PETORATED BLACK TT VN-20LJ</v>
          </cell>
          <cell r="E766" t="str">
            <v>ZFGD</v>
          </cell>
          <cell r="F766" t="str">
            <v>PC</v>
          </cell>
          <cell r="G766" t="str">
            <v>1</v>
          </cell>
          <cell r="H766" t="str">
            <v>INDUSTRY</v>
          </cell>
          <cell r="I766" t="str">
            <v>11</v>
          </cell>
          <cell r="J766" t="str">
            <v>WOOD COATINGS</v>
          </cell>
          <cell r="K766" t="str">
            <v>1109</v>
          </cell>
          <cell r="L766" t="str">
            <v>STAIN &amp; GLAZE INTERIOR</v>
          </cell>
          <cell r="M766" t="str">
            <v>110903</v>
          </cell>
          <cell r="N766" t="str">
            <v>STAIN INTERIOR</v>
          </cell>
        </row>
        <row r="767">
          <cell r="C767" t="str">
            <v>100000765</v>
          </cell>
          <cell r="D767" t="str">
            <v>SST-11100 PF 04 PF VN-20LJ</v>
          </cell>
          <cell r="E767" t="str">
            <v>ZFGD</v>
          </cell>
          <cell r="F767" t="str">
            <v>PC</v>
          </cell>
          <cell r="G767" t="str">
            <v>1</v>
          </cell>
          <cell r="H767" t="str">
            <v>INDUSTRY</v>
          </cell>
          <cell r="I767" t="str">
            <v>11</v>
          </cell>
          <cell r="J767" t="str">
            <v>WOOD COATINGS</v>
          </cell>
          <cell r="K767" t="str">
            <v>1109</v>
          </cell>
          <cell r="L767" t="str">
            <v>STAIN &amp; GLAZE INTERIOR</v>
          </cell>
          <cell r="M767" t="str">
            <v>110903</v>
          </cell>
          <cell r="N767" t="str">
            <v>STAIN INTERIOR</v>
          </cell>
        </row>
        <row r="768">
          <cell r="C768" t="str">
            <v>100000766</v>
          </cell>
          <cell r="D768" t="str">
            <v>SST-11100 POSS 01 TD VN-20LJ</v>
          </cell>
          <cell r="E768" t="str">
            <v>ZFGD</v>
          </cell>
          <cell r="F768" t="str">
            <v>PC</v>
          </cell>
          <cell r="G768" t="str">
            <v>1</v>
          </cell>
          <cell r="H768" t="str">
            <v>INDUSTRY</v>
          </cell>
          <cell r="I768" t="str">
            <v>11</v>
          </cell>
          <cell r="J768" t="str">
            <v>WOOD COATINGS</v>
          </cell>
          <cell r="K768" t="str">
            <v>1109</v>
          </cell>
          <cell r="L768" t="str">
            <v>STAIN &amp; GLAZE INTERIOR</v>
          </cell>
          <cell r="M768" t="str">
            <v>110903</v>
          </cell>
          <cell r="N768" t="str">
            <v>STAIN INTERIOR</v>
          </cell>
        </row>
        <row r="769">
          <cell r="C769" t="str">
            <v>100000767</v>
          </cell>
          <cell r="D769" t="str">
            <v>SST-11100 PUBLIC DB TT VN-20LJ</v>
          </cell>
          <cell r="E769" t="str">
            <v>ZFGD</v>
          </cell>
          <cell r="F769" t="str">
            <v>PC</v>
          </cell>
          <cell r="G769" t="str">
            <v>1</v>
          </cell>
          <cell r="H769" t="str">
            <v>INDUSTRY</v>
          </cell>
          <cell r="I769" t="str">
            <v>11</v>
          </cell>
          <cell r="J769" t="str">
            <v>WOOD COATINGS</v>
          </cell>
          <cell r="K769" t="str">
            <v>1109</v>
          </cell>
          <cell r="L769" t="str">
            <v>STAIN &amp; GLAZE INTERIOR</v>
          </cell>
          <cell r="M769" t="str">
            <v>110903</v>
          </cell>
          <cell r="N769" t="str">
            <v>STAIN INTERIOR</v>
          </cell>
        </row>
        <row r="770">
          <cell r="C770" t="str">
            <v>100000768</v>
          </cell>
          <cell r="D770" t="str">
            <v>SST-11100 QNV IF VN-20LJ</v>
          </cell>
          <cell r="E770" t="str">
            <v>ZFGD</v>
          </cell>
          <cell r="F770" t="str">
            <v>PC</v>
          </cell>
          <cell r="G770" t="str">
            <v>1</v>
          </cell>
          <cell r="H770" t="str">
            <v>INDUSTRY</v>
          </cell>
          <cell r="I770" t="str">
            <v>11</v>
          </cell>
          <cell r="J770" t="str">
            <v>WOOD COATINGS</v>
          </cell>
          <cell r="K770" t="str">
            <v>1109</v>
          </cell>
          <cell r="L770" t="str">
            <v>STAIN &amp; GLAZE INTERIOR</v>
          </cell>
          <cell r="M770" t="str">
            <v>110903</v>
          </cell>
          <cell r="N770" t="str">
            <v>STAIN INTERIOR</v>
          </cell>
        </row>
        <row r="771">
          <cell r="C771" t="str">
            <v>100000769</v>
          </cell>
          <cell r="D771" t="str">
            <v>SST-2111-RBE-AK-4K</v>
          </cell>
          <cell r="E771" t="str">
            <v>ZFGD</v>
          </cell>
          <cell r="F771" t="str">
            <v>PC</v>
          </cell>
          <cell r="G771" t="str">
            <v>1</v>
          </cell>
          <cell r="H771" t="str">
            <v>INDUSTRY</v>
          </cell>
          <cell r="I771" t="str">
            <v>11</v>
          </cell>
          <cell r="J771" t="str">
            <v>WOOD COATINGS</v>
          </cell>
          <cell r="K771" t="str">
            <v>1109</v>
          </cell>
          <cell r="L771" t="str">
            <v>STAIN &amp; GLAZE INTERIOR</v>
          </cell>
          <cell r="M771" t="str">
            <v>110903</v>
          </cell>
          <cell r="N771" t="str">
            <v>STAIN INTERIOR</v>
          </cell>
        </row>
        <row r="772">
          <cell r="C772" t="str">
            <v>100000770</v>
          </cell>
          <cell r="D772" t="str">
            <v>SST-11100 RED A TL VN-20LJ</v>
          </cell>
          <cell r="E772" t="str">
            <v>ZFGD</v>
          </cell>
          <cell r="F772" t="str">
            <v>PC</v>
          </cell>
          <cell r="G772" t="str">
            <v>1</v>
          </cell>
          <cell r="H772" t="str">
            <v>INDUSTRY</v>
          </cell>
          <cell r="I772" t="str">
            <v>11</v>
          </cell>
          <cell r="J772" t="str">
            <v>WOOD COATINGS</v>
          </cell>
          <cell r="K772" t="str">
            <v>1109</v>
          </cell>
          <cell r="L772" t="str">
            <v>STAIN &amp; GLAZE INTERIOR</v>
          </cell>
          <cell r="M772" t="str">
            <v>110903</v>
          </cell>
          <cell r="N772" t="str">
            <v>STAIN INTERIOR</v>
          </cell>
        </row>
        <row r="773">
          <cell r="C773" t="str">
            <v>100000771</v>
          </cell>
          <cell r="D773" t="str">
            <v>SST-2111-RED-AK-4K</v>
          </cell>
          <cell r="E773" t="str">
            <v>ZFGD</v>
          </cell>
          <cell r="F773" t="str">
            <v>PC</v>
          </cell>
          <cell r="G773" t="str">
            <v>1</v>
          </cell>
          <cell r="H773" t="str">
            <v>INDUSTRY</v>
          </cell>
          <cell r="I773" t="str">
            <v>11</v>
          </cell>
          <cell r="J773" t="str">
            <v>WOOD COATINGS</v>
          </cell>
          <cell r="K773" t="str">
            <v>1109</v>
          </cell>
          <cell r="L773" t="str">
            <v>STAIN &amp; GLAZE INTERIOR</v>
          </cell>
          <cell r="M773" t="str">
            <v>110903</v>
          </cell>
          <cell r="N773" t="str">
            <v>STAIN INTERIOR</v>
          </cell>
        </row>
        <row r="774">
          <cell r="C774" t="str">
            <v>100000772</v>
          </cell>
          <cell r="D774" t="str">
            <v>SST-11100 RED B TL VN-20LJ</v>
          </cell>
          <cell r="E774" t="str">
            <v>ZFGD</v>
          </cell>
          <cell r="F774" t="str">
            <v>PC</v>
          </cell>
          <cell r="G774" t="str">
            <v>1</v>
          </cell>
          <cell r="H774" t="str">
            <v>INDUSTRY</v>
          </cell>
          <cell r="I774" t="str">
            <v>11</v>
          </cell>
          <cell r="J774" t="str">
            <v>WOOD COATINGS</v>
          </cell>
          <cell r="K774" t="str">
            <v>1109</v>
          </cell>
          <cell r="L774" t="str">
            <v>STAIN &amp; GLAZE INTERIOR</v>
          </cell>
          <cell r="M774" t="str">
            <v>110903</v>
          </cell>
          <cell r="N774" t="str">
            <v>STAIN INTERIOR</v>
          </cell>
        </row>
        <row r="775">
          <cell r="C775" t="str">
            <v>100000773</v>
          </cell>
          <cell r="D775" t="str">
            <v>SST-11100 REN 26 DS VN-20LJ</v>
          </cell>
          <cell r="E775" t="str">
            <v>ZFGD</v>
          </cell>
          <cell r="F775" t="str">
            <v>PC</v>
          </cell>
          <cell r="G775" t="str">
            <v>1</v>
          </cell>
          <cell r="H775" t="str">
            <v>INDUSTRY</v>
          </cell>
          <cell r="I775" t="str">
            <v>11</v>
          </cell>
          <cell r="J775" t="str">
            <v>WOOD COATINGS</v>
          </cell>
          <cell r="K775" t="str">
            <v>1109</v>
          </cell>
          <cell r="L775" t="str">
            <v>STAIN &amp; GLAZE INTERIOR</v>
          </cell>
          <cell r="M775" t="str">
            <v>110903</v>
          </cell>
          <cell r="N775" t="str">
            <v>STAIN INTERIOR</v>
          </cell>
        </row>
        <row r="776">
          <cell r="C776" t="str">
            <v>100000774</v>
          </cell>
          <cell r="D776" t="str">
            <v>SST-11100 SAPA AH VN-20LJ</v>
          </cell>
          <cell r="E776" t="str">
            <v>ZFGD</v>
          </cell>
          <cell r="F776" t="str">
            <v>PC</v>
          </cell>
          <cell r="G776" t="str">
            <v>1</v>
          </cell>
          <cell r="H776" t="str">
            <v>INDUSTRY</v>
          </cell>
          <cell r="I776" t="str">
            <v>11</v>
          </cell>
          <cell r="J776" t="str">
            <v>WOOD COATINGS</v>
          </cell>
          <cell r="K776" t="str">
            <v>1109</v>
          </cell>
          <cell r="L776" t="str">
            <v>STAIN &amp; GLAZE INTERIOR</v>
          </cell>
          <cell r="M776" t="str">
            <v>110903</v>
          </cell>
          <cell r="N776" t="str">
            <v>STAIN INTERIOR</v>
          </cell>
        </row>
        <row r="777">
          <cell r="C777" t="str">
            <v>100000775</v>
          </cell>
          <cell r="D777" t="str">
            <v>SST-11100 SG PEARL LE VN-20LJ</v>
          </cell>
          <cell r="E777" t="str">
            <v>ZFGD</v>
          </cell>
          <cell r="F777" t="str">
            <v>PC</v>
          </cell>
          <cell r="G777" t="str">
            <v>1</v>
          </cell>
          <cell r="H777" t="str">
            <v>INDUSTRY</v>
          </cell>
          <cell r="I777" t="str">
            <v>11</v>
          </cell>
          <cell r="J777" t="str">
            <v>WOOD COATINGS</v>
          </cell>
          <cell r="K777" t="str">
            <v>1109</v>
          </cell>
          <cell r="L777" t="str">
            <v>STAIN &amp; GLAZE INTERIOR</v>
          </cell>
          <cell r="M777" t="str">
            <v>110903</v>
          </cell>
          <cell r="N777" t="str">
            <v>STAIN INTERIOR</v>
          </cell>
        </row>
        <row r="778">
          <cell r="C778" t="str">
            <v>100000776</v>
          </cell>
          <cell r="D778" t="str">
            <v>SST-11100 SHI BR TT VN-20LJ</v>
          </cell>
          <cell r="E778" t="str">
            <v>ZFGD</v>
          </cell>
          <cell r="F778" t="str">
            <v>PC</v>
          </cell>
          <cell r="G778" t="str">
            <v>1</v>
          </cell>
          <cell r="H778" t="str">
            <v>INDUSTRY</v>
          </cell>
          <cell r="I778" t="str">
            <v>11</v>
          </cell>
          <cell r="J778" t="str">
            <v>WOOD COATINGS</v>
          </cell>
          <cell r="K778" t="str">
            <v>1109</v>
          </cell>
          <cell r="L778" t="str">
            <v>STAIN &amp; GLAZE INTERIOR</v>
          </cell>
          <cell r="M778" t="str">
            <v>110903</v>
          </cell>
          <cell r="N778" t="str">
            <v>STAIN INTERIOR</v>
          </cell>
        </row>
        <row r="779">
          <cell r="C779" t="str">
            <v>100000777</v>
          </cell>
          <cell r="D779" t="str">
            <v>SST-11100 SHI NA TT VN-20LJ</v>
          </cell>
          <cell r="E779" t="str">
            <v>ZFGD</v>
          </cell>
          <cell r="F779" t="str">
            <v>PC</v>
          </cell>
          <cell r="G779" t="str">
            <v>1</v>
          </cell>
          <cell r="H779" t="str">
            <v>INDUSTRY</v>
          </cell>
          <cell r="I779" t="str">
            <v>11</v>
          </cell>
          <cell r="J779" t="str">
            <v>WOOD COATINGS</v>
          </cell>
          <cell r="K779" t="str">
            <v>1109</v>
          </cell>
          <cell r="L779" t="str">
            <v>STAIN &amp; GLAZE INTERIOR</v>
          </cell>
          <cell r="M779" t="str">
            <v>110903</v>
          </cell>
          <cell r="N779" t="str">
            <v>STAIN INTERIOR</v>
          </cell>
        </row>
        <row r="780">
          <cell r="C780" t="str">
            <v>100000778</v>
          </cell>
          <cell r="D780" t="str">
            <v>SST-11100 SHN I TR VN-20LJ</v>
          </cell>
          <cell r="E780" t="str">
            <v>ZFGD</v>
          </cell>
          <cell r="F780" t="str">
            <v>PC</v>
          </cell>
          <cell r="G780" t="str">
            <v>1</v>
          </cell>
          <cell r="H780" t="str">
            <v>INDUSTRY</v>
          </cell>
          <cell r="I780" t="str">
            <v>11</v>
          </cell>
          <cell r="J780" t="str">
            <v>WOOD COATINGS</v>
          </cell>
          <cell r="K780" t="str">
            <v>1109</v>
          </cell>
          <cell r="L780" t="str">
            <v>STAIN &amp; GLAZE INTERIOR</v>
          </cell>
          <cell r="M780" t="str">
            <v>110903</v>
          </cell>
          <cell r="N780" t="str">
            <v>STAIN INTERIOR</v>
          </cell>
        </row>
        <row r="781">
          <cell r="C781" t="str">
            <v>100000779</v>
          </cell>
          <cell r="D781" t="str">
            <v>SST-11100 SHN II TR VN-20LJ</v>
          </cell>
          <cell r="E781" t="str">
            <v>ZFGD</v>
          </cell>
          <cell r="F781" t="str">
            <v>PC</v>
          </cell>
          <cell r="G781" t="str">
            <v>1</v>
          </cell>
          <cell r="H781" t="str">
            <v>INDUSTRY</v>
          </cell>
          <cell r="I781" t="str">
            <v>11</v>
          </cell>
          <cell r="J781" t="str">
            <v>WOOD COATINGS</v>
          </cell>
          <cell r="K781" t="str">
            <v>1109</v>
          </cell>
          <cell r="L781" t="str">
            <v>STAIN &amp; GLAZE INTERIOR</v>
          </cell>
          <cell r="M781" t="str">
            <v>110903</v>
          </cell>
          <cell r="N781" t="str">
            <v>STAIN INTERIOR</v>
          </cell>
        </row>
        <row r="782">
          <cell r="C782" t="str">
            <v>100000780</v>
          </cell>
          <cell r="D782" t="str">
            <v>SST-11100 SHN III TR VN-20LJ</v>
          </cell>
          <cell r="E782" t="str">
            <v>ZFGD</v>
          </cell>
          <cell r="F782" t="str">
            <v>PC</v>
          </cell>
          <cell r="G782" t="str">
            <v>1</v>
          </cell>
          <cell r="H782" t="str">
            <v>INDUSTRY</v>
          </cell>
          <cell r="I782" t="str">
            <v>11</v>
          </cell>
          <cell r="J782" t="str">
            <v>WOOD COATINGS</v>
          </cell>
          <cell r="K782" t="str">
            <v>1109</v>
          </cell>
          <cell r="L782" t="str">
            <v>STAIN &amp; GLAZE INTERIOR</v>
          </cell>
          <cell r="M782" t="str">
            <v>110903</v>
          </cell>
          <cell r="N782" t="str">
            <v>STAIN INTERIOR</v>
          </cell>
        </row>
        <row r="783">
          <cell r="C783" t="str">
            <v>100000781</v>
          </cell>
          <cell r="D783" t="str">
            <v>SST-11100 SI BR TT VN-20LJ</v>
          </cell>
          <cell r="E783" t="str">
            <v>ZFGD</v>
          </cell>
          <cell r="F783" t="str">
            <v>PC</v>
          </cell>
          <cell r="G783" t="str">
            <v>1</v>
          </cell>
          <cell r="H783" t="str">
            <v>INDUSTRY</v>
          </cell>
          <cell r="I783" t="str">
            <v>11</v>
          </cell>
          <cell r="J783" t="str">
            <v>WOOD COATINGS</v>
          </cell>
          <cell r="K783" t="str">
            <v>1109</v>
          </cell>
          <cell r="L783" t="str">
            <v>STAIN &amp; GLAZE INTERIOR</v>
          </cell>
          <cell r="M783" t="str">
            <v>110903</v>
          </cell>
          <cell r="N783" t="str">
            <v>STAIN INTERIOR</v>
          </cell>
        </row>
        <row r="784">
          <cell r="C784" t="str">
            <v>100000782</v>
          </cell>
          <cell r="D784" t="str">
            <v>SST-11100 SI LBR TT VN-20LJ</v>
          </cell>
          <cell r="E784" t="str">
            <v>ZFGD</v>
          </cell>
          <cell r="F784" t="str">
            <v>PC</v>
          </cell>
          <cell r="G784" t="str">
            <v>1</v>
          </cell>
          <cell r="H784" t="str">
            <v>INDUSTRY</v>
          </cell>
          <cell r="I784" t="str">
            <v>11</v>
          </cell>
          <cell r="J784" t="str">
            <v>WOOD COATINGS</v>
          </cell>
          <cell r="K784" t="str">
            <v>1109</v>
          </cell>
          <cell r="L784" t="str">
            <v>STAIN &amp; GLAZE INTERIOR</v>
          </cell>
          <cell r="M784" t="str">
            <v>110903</v>
          </cell>
          <cell r="N784" t="str">
            <v>STAIN INTERIOR</v>
          </cell>
        </row>
        <row r="785">
          <cell r="C785" t="str">
            <v>100000783</v>
          </cell>
          <cell r="D785" t="str">
            <v>SST-11100 SOFA NS VN-20LJ</v>
          </cell>
          <cell r="E785" t="str">
            <v>ZFGD</v>
          </cell>
          <cell r="F785" t="str">
            <v>PC</v>
          </cell>
          <cell r="G785" t="str">
            <v>1</v>
          </cell>
          <cell r="H785" t="str">
            <v>INDUSTRY</v>
          </cell>
          <cell r="I785" t="str">
            <v>11</v>
          </cell>
          <cell r="J785" t="str">
            <v>WOOD COATINGS</v>
          </cell>
          <cell r="K785" t="str">
            <v>1109</v>
          </cell>
          <cell r="L785" t="str">
            <v>STAIN &amp; GLAZE INTERIOR</v>
          </cell>
          <cell r="M785" t="str">
            <v>110903</v>
          </cell>
          <cell r="N785" t="str">
            <v>STAIN INTERIOR</v>
          </cell>
        </row>
        <row r="786">
          <cell r="C786" t="str">
            <v>100000784</v>
          </cell>
          <cell r="D786" t="str">
            <v>SST-11100 SOFA RZB 33 L TTVN-20LJ</v>
          </cell>
          <cell r="E786" t="str">
            <v>ZFGD</v>
          </cell>
          <cell r="F786" t="str">
            <v>PC</v>
          </cell>
          <cell r="G786" t="str">
            <v>1</v>
          </cell>
          <cell r="H786" t="str">
            <v>INDUSTRY</v>
          </cell>
          <cell r="I786" t="str">
            <v>11</v>
          </cell>
          <cell r="J786" t="str">
            <v>WOOD COATINGS</v>
          </cell>
          <cell r="K786" t="str">
            <v>1109</v>
          </cell>
          <cell r="L786" t="str">
            <v>STAIN &amp; GLAZE INTERIOR</v>
          </cell>
          <cell r="M786" t="str">
            <v>110903</v>
          </cell>
          <cell r="N786" t="str">
            <v>STAIN INTERIOR</v>
          </cell>
        </row>
        <row r="787">
          <cell r="C787" t="str">
            <v>100000785</v>
          </cell>
          <cell r="D787" t="str">
            <v>SST-11100 SOSUN NA TT VN-20LJ</v>
          </cell>
          <cell r="E787" t="str">
            <v>ZFGD</v>
          </cell>
          <cell r="F787" t="str">
            <v>PC</v>
          </cell>
          <cell r="G787" t="str">
            <v>1</v>
          </cell>
          <cell r="H787" t="str">
            <v>INDUSTRY</v>
          </cell>
          <cell r="I787" t="str">
            <v>11</v>
          </cell>
          <cell r="J787" t="str">
            <v>WOOD COATINGS</v>
          </cell>
          <cell r="K787" t="str">
            <v>1109</v>
          </cell>
          <cell r="L787" t="str">
            <v>STAIN &amp; GLAZE INTERIOR</v>
          </cell>
          <cell r="M787" t="str">
            <v>110903</v>
          </cell>
          <cell r="N787" t="str">
            <v>STAIN INTERIOR</v>
          </cell>
        </row>
        <row r="788">
          <cell r="C788" t="str">
            <v>100000786</v>
          </cell>
          <cell r="D788" t="str">
            <v>SST-11100 SP YELLOW AH VN-20LJ</v>
          </cell>
          <cell r="E788" t="str">
            <v>ZFGD</v>
          </cell>
          <cell r="F788" t="str">
            <v>PC</v>
          </cell>
          <cell r="G788" t="str">
            <v>1</v>
          </cell>
          <cell r="H788" t="str">
            <v>INDUSTRY</v>
          </cell>
          <cell r="I788" t="str">
            <v>11</v>
          </cell>
          <cell r="J788" t="str">
            <v>WOOD COATINGS</v>
          </cell>
          <cell r="K788" t="str">
            <v>1109</v>
          </cell>
          <cell r="L788" t="str">
            <v>STAIN &amp; GLAZE INTERIOR</v>
          </cell>
          <cell r="M788" t="str">
            <v>110903</v>
          </cell>
          <cell r="N788" t="str">
            <v>STAIN INTERIOR</v>
          </cell>
        </row>
        <row r="789">
          <cell r="C789" t="str">
            <v>100000787</v>
          </cell>
          <cell r="D789" t="str">
            <v>SST-11100 SPA TT VN-20LJ</v>
          </cell>
          <cell r="E789" t="str">
            <v>ZFGD</v>
          </cell>
          <cell r="F789" t="str">
            <v>PC</v>
          </cell>
          <cell r="G789" t="str">
            <v>1</v>
          </cell>
          <cell r="H789" t="str">
            <v>INDUSTRY</v>
          </cell>
          <cell r="I789" t="str">
            <v>11</v>
          </cell>
          <cell r="J789" t="str">
            <v>WOOD COATINGS</v>
          </cell>
          <cell r="K789" t="str">
            <v>1109</v>
          </cell>
          <cell r="L789" t="str">
            <v>STAIN &amp; GLAZE INTERIOR</v>
          </cell>
          <cell r="M789" t="str">
            <v>110903</v>
          </cell>
          <cell r="N789" t="str">
            <v>STAIN INTERIOR</v>
          </cell>
        </row>
        <row r="790">
          <cell r="C790" t="str">
            <v>100000788</v>
          </cell>
          <cell r="D790" t="str">
            <v>SST-11100 SSG 03 A LE VN-20LJ</v>
          </cell>
          <cell r="E790" t="str">
            <v>ZFGD</v>
          </cell>
          <cell r="F790" t="str">
            <v>PC</v>
          </cell>
          <cell r="G790" t="str">
            <v>1</v>
          </cell>
          <cell r="H790" t="str">
            <v>INDUSTRY</v>
          </cell>
          <cell r="I790" t="str">
            <v>11</v>
          </cell>
          <cell r="J790" t="str">
            <v>WOOD COATINGS</v>
          </cell>
          <cell r="K790" t="str">
            <v>1109</v>
          </cell>
          <cell r="L790" t="str">
            <v>STAIN &amp; GLAZE INTERIOR</v>
          </cell>
          <cell r="M790" t="str">
            <v>110903</v>
          </cell>
          <cell r="N790" t="str">
            <v>STAIN INTERIOR</v>
          </cell>
        </row>
        <row r="791">
          <cell r="C791" t="str">
            <v>100000789</v>
          </cell>
          <cell r="D791" t="str">
            <v>SST-11100 SSG 03 B LE VN-20LJ</v>
          </cell>
          <cell r="E791" t="str">
            <v>ZFGD</v>
          </cell>
          <cell r="F791" t="str">
            <v>PC</v>
          </cell>
          <cell r="G791" t="str">
            <v>1</v>
          </cell>
          <cell r="H791" t="str">
            <v>INDUSTRY</v>
          </cell>
          <cell r="I791" t="str">
            <v>11</v>
          </cell>
          <cell r="J791" t="str">
            <v>WOOD COATINGS</v>
          </cell>
          <cell r="K791" t="str">
            <v>1109</v>
          </cell>
          <cell r="L791" t="str">
            <v>STAIN &amp; GLAZE INTERIOR</v>
          </cell>
          <cell r="M791" t="str">
            <v>110903</v>
          </cell>
          <cell r="N791" t="str">
            <v>STAIN INTERIOR</v>
          </cell>
        </row>
        <row r="792">
          <cell r="C792" t="str">
            <v>100000790</v>
          </cell>
          <cell r="D792" t="str">
            <v>SST-11100 ST 02 SI VN-20LJ</v>
          </cell>
          <cell r="E792" t="str">
            <v>ZFGD</v>
          </cell>
          <cell r="F792" t="str">
            <v>PC</v>
          </cell>
          <cell r="G792" t="str">
            <v>1</v>
          </cell>
          <cell r="H792" t="str">
            <v>INDUSTRY</v>
          </cell>
          <cell r="I792" t="str">
            <v>11</v>
          </cell>
          <cell r="J792" t="str">
            <v>WOOD COATINGS</v>
          </cell>
          <cell r="K792" t="str">
            <v>1109</v>
          </cell>
          <cell r="L792" t="str">
            <v>STAIN &amp; GLAZE INTERIOR</v>
          </cell>
          <cell r="M792" t="str">
            <v>110903</v>
          </cell>
          <cell r="N792" t="str">
            <v>STAIN INTERIOR</v>
          </cell>
        </row>
        <row r="793">
          <cell r="C793" t="str">
            <v>100000791</v>
          </cell>
          <cell r="D793" t="str">
            <v>SST-11100 13 SI VN-20LJ</v>
          </cell>
          <cell r="E793" t="str">
            <v>ZFGD</v>
          </cell>
          <cell r="F793" t="str">
            <v>PC</v>
          </cell>
          <cell r="G793" t="str">
            <v>1</v>
          </cell>
          <cell r="H793" t="str">
            <v>INDUSTRY</v>
          </cell>
          <cell r="I793" t="str">
            <v>11</v>
          </cell>
          <cell r="J793" t="str">
            <v>WOOD COATINGS</v>
          </cell>
          <cell r="K793" t="str">
            <v>1109</v>
          </cell>
          <cell r="L793" t="str">
            <v>STAIN &amp; GLAZE INTERIOR</v>
          </cell>
          <cell r="M793" t="str">
            <v>110903</v>
          </cell>
          <cell r="N793" t="str">
            <v>STAIN INTERIOR</v>
          </cell>
        </row>
        <row r="794">
          <cell r="C794" t="str">
            <v>100000792</v>
          </cell>
          <cell r="D794" t="str">
            <v>SST-11100 STRATON KD VN-20LJ</v>
          </cell>
          <cell r="E794" t="str">
            <v>ZFGD</v>
          </cell>
          <cell r="F794" t="str">
            <v>PC</v>
          </cell>
          <cell r="G794" t="str">
            <v>1</v>
          </cell>
          <cell r="H794" t="str">
            <v>INDUSTRY</v>
          </cell>
          <cell r="I794" t="str">
            <v>11</v>
          </cell>
          <cell r="J794" t="str">
            <v>WOOD COATINGS</v>
          </cell>
          <cell r="K794" t="str">
            <v>1109</v>
          </cell>
          <cell r="L794" t="str">
            <v>STAIN &amp; GLAZE INTERIOR</v>
          </cell>
          <cell r="M794" t="str">
            <v>110903</v>
          </cell>
          <cell r="N794" t="str">
            <v>STAIN INTERIOR</v>
          </cell>
        </row>
        <row r="795">
          <cell r="C795" t="str">
            <v>100000793</v>
          </cell>
          <cell r="D795" t="str">
            <v>SST-11100 SUA GO F1 VN-20LJ</v>
          </cell>
          <cell r="E795" t="str">
            <v>ZFGD</v>
          </cell>
          <cell r="F795" t="str">
            <v>PC</v>
          </cell>
          <cell r="G795" t="str">
            <v>1</v>
          </cell>
          <cell r="H795" t="str">
            <v>INDUSTRY</v>
          </cell>
          <cell r="I795" t="str">
            <v>11</v>
          </cell>
          <cell r="J795" t="str">
            <v>WOOD COATINGS</v>
          </cell>
          <cell r="K795" t="str">
            <v>1109</v>
          </cell>
          <cell r="L795" t="str">
            <v>STAIN &amp; GLAZE INTERIOR</v>
          </cell>
          <cell r="M795" t="str">
            <v>110903</v>
          </cell>
          <cell r="N795" t="str">
            <v>STAIN INTERIOR</v>
          </cell>
        </row>
        <row r="796">
          <cell r="C796" t="str">
            <v>100000794</v>
          </cell>
          <cell r="D796" t="str">
            <v>SST-11100 SURUGA TT VN-20LJ</v>
          </cell>
          <cell r="E796" t="str">
            <v>ZFGD</v>
          </cell>
          <cell r="F796" t="str">
            <v>PC</v>
          </cell>
          <cell r="G796" t="str">
            <v>1</v>
          </cell>
          <cell r="H796" t="str">
            <v>INDUSTRY</v>
          </cell>
          <cell r="I796" t="str">
            <v>11</v>
          </cell>
          <cell r="J796" t="str">
            <v>WOOD COATINGS</v>
          </cell>
          <cell r="K796" t="str">
            <v>1109</v>
          </cell>
          <cell r="L796" t="str">
            <v>STAIN &amp; GLAZE INTERIOR</v>
          </cell>
          <cell r="M796" t="str">
            <v>110903</v>
          </cell>
          <cell r="N796" t="str">
            <v>STAIN INTERIOR</v>
          </cell>
        </row>
        <row r="797">
          <cell r="C797" t="str">
            <v>100000795</v>
          </cell>
          <cell r="D797" t="str">
            <v>SST-11100 TNKT SI VN-20LJ</v>
          </cell>
          <cell r="E797" t="str">
            <v>ZFGD</v>
          </cell>
          <cell r="F797" t="str">
            <v>PC</v>
          </cell>
          <cell r="G797" t="str">
            <v>1</v>
          </cell>
          <cell r="H797" t="str">
            <v>INDUSTRY</v>
          </cell>
          <cell r="I797" t="str">
            <v>11</v>
          </cell>
          <cell r="J797" t="str">
            <v>WOOD COATINGS</v>
          </cell>
          <cell r="K797" t="str">
            <v>1109</v>
          </cell>
          <cell r="L797" t="str">
            <v>STAIN &amp; GLAZE INTERIOR</v>
          </cell>
          <cell r="M797" t="str">
            <v>110903</v>
          </cell>
          <cell r="N797" t="str">
            <v>STAIN INTERIOR</v>
          </cell>
        </row>
        <row r="798">
          <cell r="C798" t="str">
            <v>100000796</v>
          </cell>
          <cell r="D798" t="str">
            <v>SST-11100 TT K 05 TT VN-20LJ</v>
          </cell>
          <cell r="E798" t="str">
            <v>ZFGD</v>
          </cell>
          <cell r="F798" t="str">
            <v>PC</v>
          </cell>
          <cell r="G798" t="str">
            <v>1</v>
          </cell>
          <cell r="H798" t="str">
            <v>INDUSTRY</v>
          </cell>
          <cell r="I798" t="str">
            <v>11</v>
          </cell>
          <cell r="J798" t="str">
            <v>WOOD COATINGS</v>
          </cell>
          <cell r="K798" t="str">
            <v>1109</v>
          </cell>
          <cell r="L798" t="str">
            <v>STAIN &amp; GLAZE INTERIOR</v>
          </cell>
          <cell r="M798" t="str">
            <v>110903</v>
          </cell>
          <cell r="N798" t="str">
            <v>STAIN INTERIOR</v>
          </cell>
        </row>
        <row r="799">
          <cell r="C799" t="str">
            <v>100000797</v>
          </cell>
          <cell r="D799" t="str">
            <v>SST-11100 TT K 06 TT VN-20LJ</v>
          </cell>
          <cell r="E799" t="str">
            <v>ZFGD</v>
          </cell>
          <cell r="F799" t="str">
            <v>PC</v>
          </cell>
          <cell r="G799" t="str">
            <v>1</v>
          </cell>
          <cell r="H799" t="str">
            <v>INDUSTRY</v>
          </cell>
          <cell r="I799" t="str">
            <v>11</v>
          </cell>
          <cell r="J799" t="str">
            <v>WOOD COATINGS</v>
          </cell>
          <cell r="K799" t="str">
            <v>1109</v>
          </cell>
          <cell r="L799" t="str">
            <v>STAIN &amp; GLAZE INTERIOR</v>
          </cell>
          <cell r="M799" t="str">
            <v>110903</v>
          </cell>
          <cell r="N799" t="str">
            <v>STAIN INTERIOR</v>
          </cell>
        </row>
        <row r="800">
          <cell r="C800" t="str">
            <v>100000798</v>
          </cell>
          <cell r="D800" t="str">
            <v>SST-11100 01 TR VN-20LJ</v>
          </cell>
          <cell r="E800" t="str">
            <v>ZFGD</v>
          </cell>
          <cell r="F800" t="str">
            <v>PC</v>
          </cell>
          <cell r="G800" t="str">
            <v>1</v>
          </cell>
          <cell r="H800" t="str">
            <v>INDUSTRY</v>
          </cell>
          <cell r="I800" t="str">
            <v>11</v>
          </cell>
          <cell r="J800" t="str">
            <v>WOOD COATINGS</v>
          </cell>
          <cell r="K800" t="str">
            <v>1109</v>
          </cell>
          <cell r="L800" t="str">
            <v>STAIN &amp; GLAZE INTERIOR</v>
          </cell>
          <cell r="M800" t="str">
            <v>110903</v>
          </cell>
          <cell r="N800" t="str">
            <v>STAIN INTERIOR</v>
          </cell>
        </row>
        <row r="801">
          <cell r="C801" t="str">
            <v>100000799</v>
          </cell>
          <cell r="D801" t="str">
            <v>SST-11100 WALNUT 02 MT VN-20LJ</v>
          </cell>
          <cell r="E801" t="str">
            <v>ZFGD</v>
          </cell>
          <cell r="F801" t="str">
            <v>PC</v>
          </cell>
          <cell r="G801" t="str">
            <v>1</v>
          </cell>
          <cell r="H801" t="str">
            <v>INDUSTRY</v>
          </cell>
          <cell r="I801" t="str">
            <v>11</v>
          </cell>
          <cell r="J801" t="str">
            <v>WOOD COATINGS</v>
          </cell>
          <cell r="K801" t="str">
            <v>1109</v>
          </cell>
          <cell r="L801" t="str">
            <v>STAIN &amp; GLAZE INTERIOR</v>
          </cell>
          <cell r="M801" t="str">
            <v>110903</v>
          </cell>
          <cell r="N801" t="str">
            <v>STAIN INTERIOR</v>
          </cell>
        </row>
        <row r="802">
          <cell r="C802" t="str">
            <v>100000800</v>
          </cell>
          <cell r="D802" t="str">
            <v>SST-11100 WALNUT 03 MT VN-20LJ</v>
          </cell>
          <cell r="E802" t="str">
            <v>ZFGD</v>
          </cell>
          <cell r="F802" t="str">
            <v>PC</v>
          </cell>
          <cell r="G802" t="str">
            <v>1</v>
          </cell>
          <cell r="H802" t="str">
            <v>INDUSTRY</v>
          </cell>
          <cell r="I802" t="str">
            <v>11</v>
          </cell>
          <cell r="J802" t="str">
            <v>WOOD COATINGS</v>
          </cell>
          <cell r="K802" t="str">
            <v>1109</v>
          </cell>
          <cell r="L802" t="str">
            <v>STAIN &amp; GLAZE INTERIOR</v>
          </cell>
          <cell r="M802" t="str">
            <v>110903</v>
          </cell>
          <cell r="N802" t="str">
            <v>STAIN INTERIOR</v>
          </cell>
        </row>
        <row r="803">
          <cell r="C803" t="str">
            <v>100000801</v>
          </cell>
          <cell r="D803" t="str">
            <v>SST-11100 WALNUT 04 MT VN-20LJ</v>
          </cell>
          <cell r="E803" t="str">
            <v>ZFGD</v>
          </cell>
          <cell r="F803" t="str">
            <v>PC</v>
          </cell>
          <cell r="G803" t="str">
            <v>1</v>
          </cell>
          <cell r="H803" t="str">
            <v>INDUSTRY</v>
          </cell>
          <cell r="I803" t="str">
            <v>11</v>
          </cell>
          <cell r="J803" t="str">
            <v>WOOD COATINGS</v>
          </cell>
          <cell r="K803" t="str">
            <v>1109</v>
          </cell>
          <cell r="L803" t="str">
            <v>STAIN &amp; GLAZE INTERIOR</v>
          </cell>
          <cell r="M803" t="str">
            <v>110903</v>
          </cell>
          <cell r="N803" t="str">
            <v>STAIN INTERIOR</v>
          </cell>
        </row>
        <row r="804">
          <cell r="C804" t="str">
            <v>100000802</v>
          </cell>
          <cell r="D804" t="str">
            <v>SST-11100 WALNUT 6RC67 A TL VN-20LJ</v>
          </cell>
          <cell r="E804" t="str">
            <v>ZFGD</v>
          </cell>
          <cell r="F804" t="str">
            <v>PC</v>
          </cell>
          <cell r="G804" t="str">
            <v>1</v>
          </cell>
          <cell r="H804" t="str">
            <v>INDUSTRY</v>
          </cell>
          <cell r="I804" t="str">
            <v>11</v>
          </cell>
          <cell r="J804" t="str">
            <v>WOOD COATINGS</v>
          </cell>
          <cell r="K804" t="str">
            <v>1109</v>
          </cell>
          <cell r="L804" t="str">
            <v>STAIN &amp; GLAZE INTERIOR</v>
          </cell>
          <cell r="M804" t="str">
            <v>110903</v>
          </cell>
          <cell r="N804" t="str">
            <v>STAIN INTERIOR</v>
          </cell>
        </row>
        <row r="805">
          <cell r="C805" t="str">
            <v>100000803</v>
          </cell>
          <cell r="D805" t="str">
            <v>SST-11100 WALNUT 6RC67 B TL VN-20LJ</v>
          </cell>
          <cell r="E805" t="str">
            <v>ZFGD</v>
          </cell>
          <cell r="F805" t="str">
            <v>PC</v>
          </cell>
          <cell r="G805" t="str">
            <v>1</v>
          </cell>
          <cell r="H805" t="str">
            <v>INDUSTRY</v>
          </cell>
          <cell r="I805" t="str">
            <v>11</v>
          </cell>
          <cell r="J805" t="str">
            <v>WOOD COATINGS</v>
          </cell>
          <cell r="K805" t="str">
            <v>1109</v>
          </cell>
          <cell r="L805" t="str">
            <v>STAIN &amp; GLAZE INTERIOR</v>
          </cell>
          <cell r="M805" t="str">
            <v>110903</v>
          </cell>
          <cell r="N805" t="str">
            <v>STAIN INTERIOR</v>
          </cell>
        </row>
        <row r="806">
          <cell r="C806" t="str">
            <v>100000804</v>
          </cell>
          <cell r="D806" t="str">
            <v>SST-11100 WALNUT 6RC67 C TL VN-20LJ</v>
          </cell>
          <cell r="E806" t="str">
            <v>ZFGD</v>
          </cell>
          <cell r="F806" t="str">
            <v>PC</v>
          </cell>
          <cell r="G806" t="str">
            <v>1</v>
          </cell>
          <cell r="H806" t="str">
            <v>INDUSTRY</v>
          </cell>
          <cell r="I806" t="str">
            <v>11</v>
          </cell>
          <cell r="J806" t="str">
            <v>WOOD COATINGS</v>
          </cell>
          <cell r="K806" t="str">
            <v>1109</v>
          </cell>
          <cell r="L806" t="str">
            <v>STAIN &amp; GLAZE INTERIOR</v>
          </cell>
          <cell r="M806" t="str">
            <v>110903</v>
          </cell>
          <cell r="N806" t="str">
            <v>STAIN INTERIOR</v>
          </cell>
        </row>
        <row r="807">
          <cell r="C807" t="str">
            <v>100000805</v>
          </cell>
          <cell r="D807" t="str">
            <v>SST-11100 WALNUT BEECH TT VN-20LJ</v>
          </cell>
          <cell r="E807" t="str">
            <v>ZFGD</v>
          </cell>
          <cell r="F807" t="str">
            <v>PC</v>
          </cell>
          <cell r="G807" t="str">
            <v>1</v>
          </cell>
          <cell r="H807" t="str">
            <v>INDUSTRY</v>
          </cell>
          <cell r="I807" t="str">
            <v>11</v>
          </cell>
          <cell r="J807" t="str">
            <v>WOOD COATINGS</v>
          </cell>
          <cell r="K807" t="str">
            <v>1109</v>
          </cell>
          <cell r="L807" t="str">
            <v>STAIN &amp; GLAZE INTERIOR</v>
          </cell>
          <cell r="M807" t="str">
            <v>110903</v>
          </cell>
          <cell r="N807" t="str">
            <v>STAIN INTERIOR</v>
          </cell>
        </row>
        <row r="808">
          <cell r="C808" t="str">
            <v>100000806</v>
          </cell>
          <cell r="D808" t="str">
            <v>SST-11100 WALNUT DH PF VN-20LJ</v>
          </cell>
          <cell r="E808" t="str">
            <v>ZFGD</v>
          </cell>
          <cell r="F808" t="str">
            <v>PC</v>
          </cell>
          <cell r="G808" t="str">
            <v>1</v>
          </cell>
          <cell r="H808" t="str">
            <v>INDUSTRY</v>
          </cell>
          <cell r="I808" t="str">
            <v>11</v>
          </cell>
          <cell r="J808" t="str">
            <v>WOOD COATINGS</v>
          </cell>
          <cell r="K808" t="str">
            <v>1109</v>
          </cell>
          <cell r="L808" t="str">
            <v>STAIN &amp; GLAZE INTERIOR</v>
          </cell>
          <cell r="M808" t="str">
            <v>110903</v>
          </cell>
          <cell r="N808" t="str">
            <v>STAIN INTERIOR</v>
          </cell>
        </row>
        <row r="809">
          <cell r="C809" t="str">
            <v>100000807</v>
          </cell>
          <cell r="D809" t="str">
            <v>SST-11100 WALNUT DM VN-20LJ</v>
          </cell>
          <cell r="E809" t="str">
            <v>ZFGD</v>
          </cell>
          <cell r="F809" t="str">
            <v>PC</v>
          </cell>
          <cell r="G809" t="str">
            <v>1</v>
          </cell>
          <cell r="H809" t="str">
            <v>INDUSTRY</v>
          </cell>
          <cell r="I809" t="str">
            <v>11</v>
          </cell>
          <cell r="J809" t="str">
            <v>WOOD COATINGS</v>
          </cell>
          <cell r="K809" t="str">
            <v>1109</v>
          </cell>
          <cell r="L809" t="str">
            <v>STAIN &amp; GLAZE INTERIOR</v>
          </cell>
          <cell r="M809" t="str">
            <v>110903</v>
          </cell>
          <cell r="N809" t="str">
            <v>STAIN INTERIOR</v>
          </cell>
        </row>
        <row r="810">
          <cell r="C810" t="str">
            <v>100000808</v>
          </cell>
          <cell r="D810" t="str">
            <v>SST-11100 WALNUT NA AH VN-20LJ</v>
          </cell>
          <cell r="E810" t="str">
            <v>ZFGD</v>
          </cell>
          <cell r="F810" t="str">
            <v>PC</v>
          </cell>
          <cell r="G810" t="str">
            <v>1</v>
          </cell>
          <cell r="H810" t="str">
            <v>INDUSTRY</v>
          </cell>
          <cell r="I810" t="str">
            <v>11</v>
          </cell>
          <cell r="J810" t="str">
            <v>WOOD COATINGS</v>
          </cell>
          <cell r="K810" t="str">
            <v>1109</v>
          </cell>
          <cell r="L810" t="str">
            <v>STAIN &amp; GLAZE INTERIOR</v>
          </cell>
          <cell r="M810" t="str">
            <v>110903</v>
          </cell>
          <cell r="N810" t="str">
            <v>STAIN INTERIOR</v>
          </cell>
        </row>
        <row r="811">
          <cell r="C811" t="str">
            <v>100000809</v>
          </cell>
          <cell r="D811" t="str">
            <v>SST-11100 WALNUT NA I TT VN-20LJ</v>
          </cell>
          <cell r="E811" t="str">
            <v>ZFGD</v>
          </cell>
          <cell r="F811" t="str">
            <v>PC</v>
          </cell>
          <cell r="G811" t="str">
            <v>1</v>
          </cell>
          <cell r="H811" t="str">
            <v>INDUSTRY</v>
          </cell>
          <cell r="I811" t="str">
            <v>11</v>
          </cell>
          <cell r="J811" t="str">
            <v>WOOD COATINGS</v>
          </cell>
          <cell r="K811" t="str">
            <v>1109</v>
          </cell>
          <cell r="L811" t="str">
            <v>STAIN &amp; GLAZE INTERIOR</v>
          </cell>
          <cell r="M811" t="str">
            <v>110903</v>
          </cell>
          <cell r="N811" t="str">
            <v>STAIN INTERIOR</v>
          </cell>
        </row>
        <row r="812">
          <cell r="C812" t="str">
            <v>100000810</v>
          </cell>
          <cell r="D812" t="str">
            <v>SST-11100 WALNUT NA II TT VN-20LJ</v>
          </cell>
          <cell r="E812" t="str">
            <v>ZFGD</v>
          </cell>
          <cell r="F812" t="str">
            <v>PC</v>
          </cell>
          <cell r="G812" t="str">
            <v>1</v>
          </cell>
          <cell r="H812" t="str">
            <v>INDUSTRY</v>
          </cell>
          <cell r="I812" t="str">
            <v>11</v>
          </cell>
          <cell r="J812" t="str">
            <v>WOOD COATINGS</v>
          </cell>
          <cell r="K812" t="str">
            <v>1109</v>
          </cell>
          <cell r="L812" t="str">
            <v>STAIN &amp; GLAZE INTERIOR</v>
          </cell>
          <cell r="M812" t="str">
            <v>110903</v>
          </cell>
          <cell r="N812" t="str">
            <v>STAIN INTERIOR</v>
          </cell>
        </row>
        <row r="813">
          <cell r="C813" t="str">
            <v>100000811</v>
          </cell>
          <cell r="D813" t="str">
            <v>SST-11100 WALNUT NS VN-20LJ</v>
          </cell>
          <cell r="E813" t="str">
            <v>ZFGD</v>
          </cell>
          <cell r="F813" t="str">
            <v>PC</v>
          </cell>
          <cell r="G813" t="str">
            <v>1</v>
          </cell>
          <cell r="H813" t="str">
            <v>INDUSTRY</v>
          </cell>
          <cell r="I813" t="str">
            <v>11</v>
          </cell>
          <cell r="J813" t="str">
            <v>WOOD COATINGS</v>
          </cell>
          <cell r="K813" t="str">
            <v>1109</v>
          </cell>
          <cell r="L813" t="str">
            <v>STAIN &amp; GLAZE INTERIOR</v>
          </cell>
          <cell r="M813" t="str">
            <v>110903</v>
          </cell>
          <cell r="N813" t="str">
            <v>STAIN INTERIOR</v>
          </cell>
        </row>
        <row r="814">
          <cell r="C814" t="str">
            <v>100000812</v>
          </cell>
          <cell r="D814" t="str">
            <v>SST-11100 WD 51 A AH VN-20LJ</v>
          </cell>
          <cell r="E814" t="str">
            <v>ZFGD</v>
          </cell>
          <cell r="F814" t="str">
            <v>PC</v>
          </cell>
          <cell r="G814" t="str">
            <v>1</v>
          </cell>
          <cell r="H814" t="str">
            <v>INDUSTRY</v>
          </cell>
          <cell r="I814" t="str">
            <v>11</v>
          </cell>
          <cell r="J814" t="str">
            <v>WOOD COATINGS</v>
          </cell>
          <cell r="K814" t="str">
            <v>1109</v>
          </cell>
          <cell r="L814" t="str">
            <v>STAIN &amp; GLAZE INTERIOR</v>
          </cell>
          <cell r="M814" t="str">
            <v>110903</v>
          </cell>
          <cell r="N814" t="str">
            <v>STAIN INTERIOR</v>
          </cell>
        </row>
        <row r="815">
          <cell r="C815" t="str">
            <v>100000813</v>
          </cell>
          <cell r="D815" t="str">
            <v>SST-11100 WD 51 B AH VN-20LJ</v>
          </cell>
          <cell r="E815" t="str">
            <v>ZFGD</v>
          </cell>
          <cell r="F815" t="str">
            <v>PC</v>
          </cell>
          <cell r="G815" t="str">
            <v>1</v>
          </cell>
          <cell r="H815" t="str">
            <v>INDUSTRY</v>
          </cell>
          <cell r="I815" t="str">
            <v>11</v>
          </cell>
          <cell r="J815" t="str">
            <v>WOOD COATINGS</v>
          </cell>
          <cell r="K815" t="str">
            <v>1109</v>
          </cell>
          <cell r="L815" t="str">
            <v>STAIN &amp; GLAZE INTERIOR</v>
          </cell>
          <cell r="M815" t="str">
            <v>110903</v>
          </cell>
          <cell r="N815" t="str">
            <v>STAIN INTERIOR</v>
          </cell>
        </row>
        <row r="816">
          <cell r="C816" t="str">
            <v>100000814</v>
          </cell>
          <cell r="D816" t="str">
            <v>SST-11100 WD3 IF VN-20LJ</v>
          </cell>
          <cell r="E816" t="str">
            <v>ZFGD</v>
          </cell>
          <cell r="F816" t="str">
            <v>PC</v>
          </cell>
          <cell r="G816" t="str">
            <v>1</v>
          </cell>
          <cell r="H816" t="str">
            <v>INDUSTRY</v>
          </cell>
          <cell r="I816" t="str">
            <v>11</v>
          </cell>
          <cell r="J816" t="str">
            <v>WOOD COATINGS</v>
          </cell>
          <cell r="K816" t="str">
            <v>1109</v>
          </cell>
          <cell r="L816" t="str">
            <v>STAIN &amp; GLAZE INTERIOR</v>
          </cell>
          <cell r="M816" t="str">
            <v>110903</v>
          </cell>
          <cell r="N816" t="str">
            <v>STAIN INTERIOR</v>
          </cell>
        </row>
        <row r="817">
          <cell r="C817" t="str">
            <v>100000815</v>
          </cell>
          <cell r="D817" t="str">
            <v>SST-11100 WD4 A IF VN-20LJ</v>
          </cell>
          <cell r="E817" t="str">
            <v>ZFGD</v>
          </cell>
          <cell r="F817" t="str">
            <v>PC</v>
          </cell>
          <cell r="G817" t="str">
            <v>1</v>
          </cell>
          <cell r="H817" t="str">
            <v>INDUSTRY</v>
          </cell>
          <cell r="I817" t="str">
            <v>11</v>
          </cell>
          <cell r="J817" t="str">
            <v>WOOD COATINGS</v>
          </cell>
          <cell r="K817" t="str">
            <v>1109</v>
          </cell>
          <cell r="L817" t="str">
            <v>STAIN &amp; GLAZE INTERIOR</v>
          </cell>
          <cell r="M817" t="str">
            <v>110903</v>
          </cell>
          <cell r="N817" t="str">
            <v>STAIN INTERIOR</v>
          </cell>
        </row>
        <row r="818">
          <cell r="C818" t="str">
            <v>100000816</v>
          </cell>
          <cell r="D818" t="str">
            <v>SST-11100 WD4 B IF VN-20LJ</v>
          </cell>
          <cell r="E818" t="str">
            <v>ZFGD</v>
          </cell>
          <cell r="F818" t="str">
            <v>PC</v>
          </cell>
          <cell r="G818" t="str">
            <v>1</v>
          </cell>
          <cell r="H818" t="str">
            <v>INDUSTRY</v>
          </cell>
          <cell r="I818" t="str">
            <v>11</v>
          </cell>
          <cell r="J818" t="str">
            <v>WOOD COATINGS</v>
          </cell>
          <cell r="K818" t="str">
            <v>1109</v>
          </cell>
          <cell r="L818" t="str">
            <v>STAIN &amp; GLAZE INTERIOR</v>
          </cell>
          <cell r="M818" t="str">
            <v>110903</v>
          </cell>
          <cell r="N818" t="str">
            <v>STAIN INTERIOR</v>
          </cell>
        </row>
        <row r="819">
          <cell r="C819" t="str">
            <v>100000817</v>
          </cell>
          <cell r="D819" t="str">
            <v>SST-11100 WD8 BEECH IF VN-20LJ</v>
          </cell>
          <cell r="E819" t="str">
            <v>ZFGD</v>
          </cell>
          <cell r="F819" t="str">
            <v>PC</v>
          </cell>
          <cell r="G819" t="str">
            <v>1</v>
          </cell>
          <cell r="H819" t="str">
            <v>INDUSTRY</v>
          </cell>
          <cell r="I819" t="str">
            <v>11</v>
          </cell>
          <cell r="J819" t="str">
            <v>WOOD COATINGS</v>
          </cell>
          <cell r="K819" t="str">
            <v>1109</v>
          </cell>
          <cell r="L819" t="str">
            <v>STAIN &amp; GLAZE INTERIOR</v>
          </cell>
          <cell r="M819" t="str">
            <v>110903</v>
          </cell>
          <cell r="N819" t="str">
            <v>STAIN INTERIOR</v>
          </cell>
        </row>
        <row r="820">
          <cell r="C820" t="str">
            <v>100000818</v>
          </cell>
          <cell r="D820" t="str">
            <v>SST-11100 WD8 IF VN-20LJ</v>
          </cell>
          <cell r="E820" t="str">
            <v>ZFGD</v>
          </cell>
          <cell r="F820" t="str">
            <v>PC</v>
          </cell>
          <cell r="G820" t="str">
            <v>1</v>
          </cell>
          <cell r="H820" t="str">
            <v>INDUSTRY</v>
          </cell>
          <cell r="I820" t="str">
            <v>11</v>
          </cell>
          <cell r="J820" t="str">
            <v>WOOD COATINGS</v>
          </cell>
          <cell r="K820" t="str">
            <v>1109</v>
          </cell>
          <cell r="L820" t="str">
            <v>STAIN &amp; GLAZE INTERIOR</v>
          </cell>
          <cell r="M820" t="str">
            <v>110903</v>
          </cell>
          <cell r="N820" t="str">
            <v>STAIN INTERIOR</v>
          </cell>
        </row>
        <row r="821">
          <cell r="C821" t="str">
            <v>100000819</v>
          </cell>
          <cell r="D821" t="str">
            <v>SST-11100 WEST 600 III GE VN-20LJ</v>
          </cell>
          <cell r="E821" t="str">
            <v>ZFGD</v>
          </cell>
          <cell r="F821" t="str">
            <v>PC</v>
          </cell>
          <cell r="G821" t="str">
            <v>1</v>
          </cell>
          <cell r="H821" t="str">
            <v>INDUSTRY</v>
          </cell>
          <cell r="I821" t="str">
            <v>11</v>
          </cell>
          <cell r="J821" t="str">
            <v>WOOD COATINGS</v>
          </cell>
          <cell r="K821" t="str">
            <v>1109</v>
          </cell>
          <cell r="L821" t="str">
            <v>STAIN &amp; GLAZE INTERIOR</v>
          </cell>
          <cell r="M821" t="str">
            <v>110903</v>
          </cell>
          <cell r="N821" t="str">
            <v>STAIN INTERIOR</v>
          </cell>
        </row>
        <row r="822">
          <cell r="C822" t="str">
            <v>100000820</v>
          </cell>
          <cell r="D822" t="str">
            <v>SST-11100 WV 11 A AH VN-20LJ</v>
          </cell>
          <cell r="E822" t="str">
            <v>ZFGD</v>
          </cell>
          <cell r="F822" t="str">
            <v>PC</v>
          </cell>
          <cell r="G822" t="str">
            <v>1</v>
          </cell>
          <cell r="H822" t="str">
            <v>INDUSTRY</v>
          </cell>
          <cell r="I822" t="str">
            <v>11</v>
          </cell>
          <cell r="J822" t="str">
            <v>WOOD COATINGS</v>
          </cell>
          <cell r="K822" t="str">
            <v>1109</v>
          </cell>
          <cell r="L822" t="str">
            <v>STAIN &amp; GLAZE INTERIOR</v>
          </cell>
          <cell r="M822" t="str">
            <v>110903</v>
          </cell>
          <cell r="N822" t="str">
            <v>STAIN INTERIOR</v>
          </cell>
        </row>
        <row r="823">
          <cell r="C823" t="str">
            <v>100000821</v>
          </cell>
          <cell r="D823" t="str">
            <v>SST-11100 WV 11 B AH VN-20LJ</v>
          </cell>
          <cell r="E823" t="str">
            <v>ZFGD</v>
          </cell>
          <cell r="F823" t="str">
            <v>PC</v>
          </cell>
          <cell r="G823" t="str">
            <v>1</v>
          </cell>
          <cell r="H823" t="str">
            <v>INDUSTRY</v>
          </cell>
          <cell r="I823" t="str">
            <v>11</v>
          </cell>
          <cell r="J823" t="str">
            <v>WOOD COATINGS</v>
          </cell>
          <cell r="K823" t="str">
            <v>1109</v>
          </cell>
          <cell r="L823" t="str">
            <v>STAIN &amp; GLAZE INTERIOR</v>
          </cell>
          <cell r="M823" t="str">
            <v>110903</v>
          </cell>
          <cell r="N823" t="str">
            <v>STAIN INTERIOR</v>
          </cell>
        </row>
        <row r="824">
          <cell r="C824" t="str">
            <v>100000822</v>
          </cell>
          <cell r="D824" t="str">
            <v>SST-11100 WV 21 A AH VN-20LJ</v>
          </cell>
          <cell r="E824" t="str">
            <v>ZFGD</v>
          </cell>
          <cell r="F824" t="str">
            <v>PC</v>
          </cell>
          <cell r="G824" t="str">
            <v>1</v>
          </cell>
          <cell r="H824" t="str">
            <v>INDUSTRY</v>
          </cell>
          <cell r="I824" t="str">
            <v>11</v>
          </cell>
          <cell r="J824" t="str">
            <v>WOOD COATINGS</v>
          </cell>
          <cell r="K824" t="str">
            <v>1109</v>
          </cell>
          <cell r="L824" t="str">
            <v>STAIN &amp; GLAZE INTERIOR</v>
          </cell>
          <cell r="M824" t="str">
            <v>110903</v>
          </cell>
          <cell r="N824" t="str">
            <v>STAIN INTERIOR</v>
          </cell>
        </row>
        <row r="825">
          <cell r="C825" t="str">
            <v>100000823</v>
          </cell>
          <cell r="D825" t="str">
            <v>SST-11100 WV 21 B AH VN-20LJ</v>
          </cell>
          <cell r="E825" t="str">
            <v>ZFGD</v>
          </cell>
          <cell r="F825" t="str">
            <v>PC</v>
          </cell>
          <cell r="G825" t="str">
            <v>1</v>
          </cell>
          <cell r="H825" t="str">
            <v>INDUSTRY</v>
          </cell>
          <cell r="I825" t="str">
            <v>11</v>
          </cell>
          <cell r="J825" t="str">
            <v>WOOD COATINGS</v>
          </cell>
          <cell r="K825" t="str">
            <v>1109</v>
          </cell>
          <cell r="L825" t="str">
            <v>STAIN &amp; GLAZE INTERIOR</v>
          </cell>
          <cell r="M825" t="str">
            <v>110903</v>
          </cell>
          <cell r="N825" t="str">
            <v>STAIN INTERIOR</v>
          </cell>
        </row>
        <row r="826">
          <cell r="C826" t="str">
            <v>100000824</v>
          </cell>
          <cell r="D826" t="str">
            <v>SST-11100 WV 31 A AH VN-20LJ</v>
          </cell>
          <cell r="E826" t="str">
            <v>ZFGD</v>
          </cell>
          <cell r="F826" t="str">
            <v>PC</v>
          </cell>
          <cell r="G826" t="str">
            <v>1</v>
          </cell>
          <cell r="H826" t="str">
            <v>INDUSTRY</v>
          </cell>
          <cell r="I826" t="str">
            <v>11</v>
          </cell>
          <cell r="J826" t="str">
            <v>WOOD COATINGS</v>
          </cell>
          <cell r="K826" t="str">
            <v>1109</v>
          </cell>
          <cell r="L826" t="str">
            <v>STAIN &amp; GLAZE INTERIOR</v>
          </cell>
          <cell r="M826" t="str">
            <v>110903</v>
          </cell>
          <cell r="N826" t="str">
            <v>STAIN INTERIOR</v>
          </cell>
        </row>
        <row r="827">
          <cell r="C827" t="str">
            <v>100000825</v>
          </cell>
          <cell r="D827" t="str">
            <v>SST-11100 WV 31 B AH VN-20LJ</v>
          </cell>
          <cell r="E827" t="str">
            <v>ZFGD</v>
          </cell>
          <cell r="F827" t="str">
            <v>PC</v>
          </cell>
          <cell r="G827" t="str">
            <v>1</v>
          </cell>
          <cell r="H827" t="str">
            <v>INDUSTRY</v>
          </cell>
          <cell r="I827" t="str">
            <v>11</v>
          </cell>
          <cell r="J827" t="str">
            <v>WOOD COATINGS</v>
          </cell>
          <cell r="K827" t="str">
            <v>1109</v>
          </cell>
          <cell r="L827" t="str">
            <v>STAIN &amp; GLAZE INTERIOR</v>
          </cell>
          <cell r="M827" t="str">
            <v>110903</v>
          </cell>
          <cell r="N827" t="str">
            <v>STAIN INTERIOR</v>
          </cell>
        </row>
        <row r="828">
          <cell r="C828" t="str">
            <v>100000826</v>
          </cell>
          <cell r="D828" t="str">
            <v>SST-11100 WV 52 AH VN-20LJ</v>
          </cell>
          <cell r="E828" t="str">
            <v>ZFGD</v>
          </cell>
          <cell r="F828" t="str">
            <v>PC</v>
          </cell>
          <cell r="G828" t="str">
            <v>1</v>
          </cell>
          <cell r="H828" t="str">
            <v>INDUSTRY</v>
          </cell>
          <cell r="I828" t="str">
            <v>11</v>
          </cell>
          <cell r="J828" t="str">
            <v>WOOD COATINGS</v>
          </cell>
          <cell r="K828" t="str">
            <v>1109</v>
          </cell>
          <cell r="L828" t="str">
            <v>STAIN &amp; GLAZE INTERIOR</v>
          </cell>
          <cell r="M828" t="str">
            <v>110903</v>
          </cell>
          <cell r="N828" t="str">
            <v>STAIN INTERIOR</v>
          </cell>
        </row>
        <row r="829">
          <cell r="C829" t="str">
            <v>100000827</v>
          </cell>
          <cell r="D829" t="str">
            <v>SST-11100 XLG 39 02 MT VN-20LJ</v>
          </cell>
          <cell r="E829" t="str">
            <v>ZFGD</v>
          </cell>
          <cell r="F829" t="str">
            <v>PC</v>
          </cell>
          <cell r="G829" t="str">
            <v>1</v>
          </cell>
          <cell r="H829" t="str">
            <v>INDUSTRY</v>
          </cell>
          <cell r="I829" t="str">
            <v>11</v>
          </cell>
          <cell r="J829" t="str">
            <v>WOOD COATINGS</v>
          </cell>
          <cell r="K829" t="str">
            <v>1109</v>
          </cell>
          <cell r="L829" t="str">
            <v>STAIN &amp; GLAZE INTERIOR</v>
          </cell>
          <cell r="M829" t="str">
            <v>110903</v>
          </cell>
          <cell r="N829" t="str">
            <v>STAIN INTERIOR</v>
          </cell>
        </row>
        <row r="830">
          <cell r="C830" t="str">
            <v>100000828</v>
          </cell>
          <cell r="D830" t="str">
            <v>SST-11100 XLG 3975 MT VN-20LJ</v>
          </cell>
          <cell r="E830" t="str">
            <v>ZFGD</v>
          </cell>
          <cell r="F830" t="str">
            <v>PC</v>
          </cell>
          <cell r="G830" t="str">
            <v>1</v>
          </cell>
          <cell r="H830" t="str">
            <v>INDUSTRY</v>
          </cell>
          <cell r="I830" t="str">
            <v>11</v>
          </cell>
          <cell r="J830" t="str">
            <v>WOOD COATINGS</v>
          </cell>
          <cell r="K830" t="str">
            <v>1109</v>
          </cell>
          <cell r="L830" t="str">
            <v>STAIN &amp; GLAZE INTERIOR</v>
          </cell>
          <cell r="M830" t="str">
            <v>110903</v>
          </cell>
          <cell r="N830" t="str">
            <v>STAIN INTERIOR</v>
          </cell>
        </row>
        <row r="831">
          <cell r="C831" t="str">
            <v>100000829</v>
          </cell>
          <cell r="D831" t="str">
            <v>SST-11100 XLG GDO DM VN-20LJ</v>
          </cell>
          <cell r="E831" t="str">
            <v>ZFGD</v>
          </cell>
          <cell r="F831" t="str">
            <v>PC</v>
          </cell>
          <cell r="G831" t="str">
            <v>1</v>
          </cell>
          <cell r="H831" t="str">
            <v>INDUSTRY</v>
          </cell>
          <cell r="I831" t="str">
            <v>11</v>
          </cell>
          <cell r="J831" t="str">
            <v>WOOD COATINGS</v>
          </cell>
          <cell r="K831" t="str">
            <v>1109</v>
          </cell>
          <cell r="L831" t="str">
            <v>STAIN &amp; GLAZE INTERIOR</v>
          </cell>
          <cell r="M831" t="str">
            <v>110903</v>
          </cell>
          <cell r="N831" t="str">
            <v>STAIN INTERIOR</v>
          </cell>
        </row>
        <row r="832">
          <cell r="C832" t="str">
            <v>100000830</v>
          </cell>
          <cell r="D832" t="str">
            <v>SST-11100 XLG MT VN-20LJ</v>
          </cell>
          <cell r="E832" t="str">
            <v>ZFGD</v>
          </cell>
          <cell r="F832" t="str">
            <v>PC</v>
          </cell>
          <cell r="G832" t="str">
            <v>1</v>
          </cell>
          <cell r="H832" t="str">
            <v>INDUSTRY</v>
          </cell>
          <cell r="I832" t="str">
            <v>11</v>
          </cell>
          <cell r="J832" t="str">
            <v>WOOD COATINGS</v>
          </cell>
          <cell r="K832" t="str">
            <v>1109</v>
          </cell>
          <cell r="L832" t="str">
            <v>STAIN &amp; GLAZE INTERIOR</v>
          </cell>
          <cell r="M832" t="str">
            <v>110903</v>
          </cell>
          <cell r="N832" t="str">
            <v>STAIN INTERIOR</v>
          </cell>
        </row>
        <row r="833">
          <cell r="C833" t="str">
            <v>100000831</v>
          </cell>
          <cell r="D833" t="str">
            <v>SST-11100 XLG WD3 IF VN-20LJ</v>
          </cell>
          <cell r="E833" t="str">
            <v>ZFGD</v>
          </cell>
          <cell r="F833" t="str">
            <v>PC</v>
          </cell>
          <cell r="G833" t="str">
            <v>1</v>
          </cell>
          <cell r="H833" t="str">
            <v>INDUSTRY</v>
          </cell>
          <cell r="I833" t="str">
            <v>11</v>
          </cell>
          <cell r="J833" t="str">
            <v>WOOD COATINGS</v>
          </cell>
          <cell r="K833" t="str">
            <v>1109</v>
          </cell>
          <cell r="L833" t="str">
            <v>STAIN &amp; GLAZE INTERIOR</v>
          </cell>
          <cell r="M833" t="str">
            <v>110903</v>
          </cell>
          <cell r="N833" t="str">
            <v>STAIN INTERIOR</v>
          </cell>
        </row>
        <row r="834">
          <cell r="C834" t="str">
            <v>100000832</v>
          </cell>
          <cell r="D834" t="str">
            <v>SST-2111-YEL-AK-4K</v>
          </cell>
          <cell r="E834" t="str">
            <v>ZFGD</v>
          </cell>
          <cell r="F834" t="str">
            <v>PC</v>
          </cell>
          <cell r="G834" t="str">
            <v>1</v>
          </cell>
          <cell r="H834" t="str">
            <v>INDUSTRY</v>
          </cell>
          <cell r="I834" t="str">
            <v>11</v>
          </cell>
          <cell r="J834" t="str">
            <v>WOOD COATINGS</v>
          </cell>
          <cell r="K834" t="str">
            <v>1109</v>
          </cell>
          <cell r="L834" t="str">
            <v>STAIN &amp; GLAZE INTERIOR</v>
          </cell>
          <cell r="M834" t="str">
            <v>110903</v>
          </cell>
          <cell r="N834" t="str">
            <v>STAIN INTERIOR</v>
          </cell>
        </row>
        <row r="835">
          <cell r="C835" t="str">
            <v>100000833</v>
          </cell>
          <cell r="D835" t="str">
            <v>SST-11100 YELLOW A TL VN-20LJ</v>
          </cell>
          <cell r="E835" t="str">
            <v>ZFGD</v>
          </cell>
          <cell r="F835" t="str">
            <v>PC</v>
          </cell>
          <cell r="G835" t="str">
            <v>1</v>
          </cell>
          <cell r="H835" t="str">
            <v>INDUSTRY</v>
          </cell>
          <cell r="I835" t="str">
            <v>11</v>
          </cell>
          <cell r="J835" t="str">
            <v>WOOD COATINGS</v>
          </cell>
          <cell r="K835" t="str">
            <v>1109</v>
          </cell>
          <cell r="L835" t="str">
            <v>STAIN &amp; GLAZE INTERIOR</v>
          </cell>
          <cell r="M835" t="str">
            <v>110903</v>
          </cell>
          <cell r="N835" t="str">
            <v>STAIN INTERIOR</v>
          </cell>
        </row>
        <row r="836">
          <cell r="C836" t="str">
            <v>100000834</v>
          </cell>
          <cell r="D836" t="str">
            <v>SST-11100 YELLOW B TL VN-20LJ</v>
          </cell>
          <cell r="E836" t="str">
            <v>ZFGD</v>
          </cell>
          <cell r="F836" t="str">
            <v>PC</v>
          </cell>
          <cell r="G836" t="str">
            <v>1</v>
          </cell>
          <cell r="H836" t="str">
            <v>INDUSTRY</v>
          </cell>
          <cell r="I836" t="str">
            <v>11</v>
          </cell>
          <cell r="J836" t="str">
            <v>WOOD COATINGS</v>
          </cell>
          <cell r="K836" t="str">
            <v>1109</v>
          </cell>
          <cell r="L836" t="str">
            <v>STAIN &amp; GLAZE INTERIOR</v>
          </cell>
          <cell r="M836" t="str">
            <v>110903</v>
          </cell>
          <cell r="N836" t="str">
            <v>STAIN INTERIOR</v>
          </cell>
        </row>
        <row r="837">
          <cell r="C837" t="str">
            <v>100000835</v>
          </cell>
          <cell r="D837" t="str">
            <v>SST-11100 YELLOW PF VN-20LJ</v>
          </cell>
          <cell r="E837" t="str">
            <v>ZFGD</v>
          </cell>
          <cell r="F837" t="str">
            <v>PC</v>
          </cell>
          <cell r="G837" t="str">
            <v>1</v>
          </cell>
          <cell r="H837" t="str">
            <v>INDUSTRY</v>
          </cell>
          <cell r="I837" t="str">
            <v>11</v>
          </cell>
          <cell r="J837" t="str">
            <v>WOOD COATINGS</v>
          </cell>
          <cell r="K837" t="str">
            <v>1109</v>
          </cell>
          <cell r="L837" t="str">
            <v>STAIN &amp; GLAZE INTERIOR</v>
          </cell>
          <cell r="M837" t="str">
            <v>110903</v>
          </cell>
          <cell r="N837" t="str">
            <v>STAIN INTERIOR</v>
          </cell>
        </row>
        <row r="838">
          <cell r="C838" t="str">
            <v>100000836</v>
          </cell>
          <cell r="D838" t="str">
            <v>SST-11100 ZP NS VN-20LJ</v>
          </cell>
          <cell r="E838" t="str">
            <v>ZFGD</v>
          </cell>
          <cell r="F838" t="str">
            <v>PC</v>
          </cell>
          <cell r="G838" t="str">
            <v>1</v>
          </cell>
          <cell r="H838" t="str">
            <v>INDUSTRY</v>
          </cell>
          <cell r="I838" t="str">
            <v>11</v>
          </cell>
          <cell r="J838" t="str">
            <v>WOOD COATINGS</v>
          </cell>
          <cell r="K838" t="str">
            <v>1109</v>
          </cell>
          <cell r="L838" t="str">
            <v>STAIN &amp; GLAZE INTERIOR</v>
          </cell>
          <cell r="M838" t="str">
            <v>110903</v>
          </cell>
          <cell r="N838" t="str">
            <v>STAIN INTERIOR</v>
          </cell>
        </row>
        <row r="839">
          <cell r="C839" t="str">
            <v>100000837</v>
          </cell>
          <cell r="D839" t="str">
            <v>TEWB-84305 M WHITE VN-20KP</v>
          </cell>
          <cell r="E839" t="str">
            <v>ZFGD</v>
          </cell>
          <cell r="F839" t="str">
            <v>PC</v>
          </cell>
          <cell r="G839" t="str">
            <v>1</v>
          </cell>
          <cell r="H839" t="str">
            <v>INDUSTRY</v>
          </cell>
          <cell r="I839" t="str">
            <v>11</v>
          </cell>
          <cell r="J839" t="str">
            <v>WOOD COATINGS</v>
          </cell>
          <cell r="K839" t="str">
            <v>1119</v>
          </cell>
          <cell r="L839" t="str">
            <v>WATERBASED</v>
          </cell>
          <cell r="M839" t="str">
            <v>111902</v>
          </cell>
          <cell r="N839" t="str">
            <v>WATERBASED SYSTEM INTERIOR</v>
          </cell>
        </row>
        <row r="840">
          <cell r="C840" t="str">
            <v>100000838</v>
          </cell>
          <cell r="D840" t="str">
            <v>THAK-71500 FD VN-200LK</v>
          </cell>
          <cell r="E840" t="str">
            <v>ZFGD</v>
          </cell>
          <cell r="F840" t="str">
            <v>PC</v>
          </cell>
          <cell r="G840" t="str">
            <v>1</v>
          </cell>
          <cell r="H840" t="str">
            <v>INDUSTRY</v>
          </cell>
          <cell r="I840" t="str">
            <v>14</v>
          </cell>
          <cell r="J840" t="str">
            <v>THINNER</v>
          </cell>
          <cell r="K840" t="str">
            <v>1409</v>
          </cell>
          <cell r="L840" t="str">
            <v>THINNER ALKYD</v>
          </cell>
          <cell r="M840" t="str">
            <v>140901</v>
          </cell>
          <cell r="N840" t="str">
            <v>THINNER ALKYD</v>
          </cell>
        </row>
        <row r="841">
          <cell r="C841" t="str">
            <v>100000839</v>
          </cell>
          <cell r="D841" t="str">
            <v>THAK-71500 FD VN-20LJ</v>
          </cell>
          <cell r="E841" t="str">
            <v>ZFGD</v>
          </cell>
          <cell r="F841" t="str">
            <v>PC</v>
          </cell>
          <cell r="G841" t="str">
            <v>1</v>
          </cell>
          <cell r="H841" t="str">
            <v>INDUSTRY</v>
          </cell>
          <cell r="I841" t="str">
            <v>14</v>
          </cell>
          <cell r="J841" t="str">
            <v>THINNER</v>
          </cell>
          <cell r="K841" t="str">
            <v>1409</v>
          </cell>
          <cell r="L841" t="str">
            <v>THINNER ALKYD</v>
          </cell>
          <cell r="M841" t="str">
            <v>140901</v>
          </cell>
          <cell r="N841" t="str">
            <v>THINNER ALKYD</v>
          </cell>
        </row>
        <row r="842">
          <cell r="C842" t="str">
            <v>100000840</v>
          </cell>
          <cell r="D842" t="str">
            <v>THAK-71500 VN-20LJ</v>
          </cell>
          <cell r="E842" t="str">
            <v>ZFGD</v>
          </cell>
          <cell r="F842" t="str">
            <v>PC</v>
          </cell>
          <cell r="G842" t="str">
            <v>1</v>
          </cell>
          <cell r="H842" t="str">
            <v>INDUSTRY</v>
          </cell>
          <cell r="I842" t="str">
            <v>14</v>
          </cell>
          <cell r="J842" t="str">
            <v>THINNER</v>
          </cell>
          <cell r="K842" t="str">
            <v>1409</v>
          </cell>
          <cell r="L842" t="str">
            <v>THINNER ALKYD</v>
          </cell>
          <cell r="M842" t="str">
            <v>140901</v>
          </cell>
          <cell r="N842" t="str">
            <v>THINNER ALKYD</v>
          </cell>
        </row>
        <row r="843">
          <cell r="C843" t="str">
            <v>100000841</v>
          </cell>
          <cell r="D843" t="str">
            <v>THC-73100 101 VN-200LK</v>
          </cell>
          <cell r="E843" t="str">
            <v>ZFGD</v>
          </cell>
          <cell r="F843" t="str">
            <v>PC</v>
          </cell>
          <cell r="G843" t="str">
            <v>1</v>
          </cell>
          <cell r="H843" t="str">
            <v>INDUSTRY</v>
          </cell>
          <cell r="I843" t="str">
            <v>14</v>
          </cell>
          <cell r="J843" t="str">
            <v>THINNER</v>
          </cell>
          <cell r="K843" t="str">
            <v>1412</v>
          </cell>
          <cell r="L843" t="str">
            <v>THINNER NC</v>
          </cell>
          <cell r="M843" t="str">
            <v>141203</v>
          </cell>
          <cell r="N843" t="str">
            <v>THINNER COMPLEMENTARY</v>
          </cell>
        </row>
        <row r="844">
          <cell r="C844" t="str">
            <v>100000842</v>
          </cell>
          <cell r="D844" t="str">
            <v>THC-73100 101 VN-20LJ</v>
          </cell>
          <cell r="E844" t="str">
            <v>ZFGD</v>
          </cell>
          <cell r="F844" t="str">
            <v>PC</v>
          </cell>
          <cell r="G844" t="str">
            <v>1</v>
          </cell>
          <cell r="H844" t="str">
            <v>INDUSTRY</v>
          </cell>
          <cell r="I844" t="str">
            <v>14</v>
          </cell>
          <cell r="J844" t="str">
            <v>THINNER</v>
          </cell>
          <cell r="K844" t="str">
            <v>1412</v>
          </cell>
          <cell r="L844" t="str">
            <v>THINNER NC</v>
          </cell>
          <cell r="M844" t="str">
            <v>141203</v>
          </cell>
          <cell r="N844" t="str">
            <v>THINNER COMPLEMENTARY</v>
          </cell>
        </row>
        <row r="845">
          <cell r="C845" t="str">
            <v>100000843</v>
          </cell>
          <cell r="D845" t="str">
            <v>THC-73100 201 VN-200LK</v>
          </cell>
          <cell r="E845" t="str">
            <v>ZFGD</v>
          </cell>
          <cell r="F845" t="str">
            <v>PC</v>
          </cell>
          <cell r="G845" t="str">
            <v>1</v>
          </cell>
          <cell r="H845" t="str">
            <v>INDUSTRY</v>
          </cell>
          <cell r="I845" t="str">
            <v>14</v>
          </cell>
          <cell r="J845" t="str">
            <v>THINNER</v>
          </cell>
          <cell r="K845" t="str">
            <v>1412</v>
          </cell>
          <cell r="L845" t="str">
            <v>THINNER NC</v>
          </cell>
          <cell r="M845" t="str">
            <v>141203</v>
          </cell>
          <cell r="N845" t="str">
            <v>THINNER COMPLEMENTARY</v>
          </cell>
        </row>
        <row r="846">
          <cell r="C846" t="str">
            <v>100000844</v>
          </cell>
          <cell r="D846" t="str">
            <v>THC-73100 202 VN-20LJ</v>
          </cell>
          <cell r="E846" t="str">
            <v>ZFGD</v>
          </cell>
          <cell r="F846" t="str">
            <v>PC</v>
          </cell>
          <cell r="G846" t="str">
            <v>1</v>
          </cell>
          <cell r="H846" t="str">
            <v>INDUSTRY</v>
          </cell>
          <cell r="I846" t="str">
            <v>14</v>
          </cell>
          <cell r="J846" t="str">
            <v>THINNER</v>
          </cell>
          <cell r="K846" t="str">
            <v>1412</v>
          </cell>
          <cell r="L846" t="str">
            <v>THINNER NC</v>
          </cell>
          <cell r="M846" t="str">
            <v>141203</v>
          </cell>
          <cell r="N846" t="str">
            <v>THINNER COMPLEMENTARY</v>
          </cell>
        </row>
        <row r="847">
          <cell r="C847" t="str">
            <v>100000845</v>
          </cell>
          <cell r="D847" t="str">
            <v>THC-73100 402 VN-200LK</v>
          </cell>
          <cell r="E847" t="str">
            <v>ZFGD</v>
          </cell>
          <cell r="F847" t="str">
            <v>PC</v>
          </cell>
          <cell r="G847" t="str">
            <v>1</v>
          </cell>
          <cell r="H847" t="str">
            <v>INDUSTRY</v>
          </cell>
          <cell r="I847" t="str">
            <v>14</v>
          </cell>
          <cell r="J847" t="str">
            <v>THINNER</v>
          </cell>
          <cell r="K847" t="str">
            <v>1412</v>
          </cell>
          <cell r="L847" t="str">
            <v>THINNER NC</v>
          </cell>
          <cell r="M847" t="str">
            <v>141203</v>
          </cell>
          <cell r="N847" t="str">
            <v>THINNER COMPLEMENTARY</v>
          </cell>
        </row>
        <row r="848">
          <cell r="C848" t="str">
            <v>100000846</v>
          </cell>
          <cell r="D848" t="str">
            <v>THC-73100 402 VN-20LJ</v>
          </cell>
          <cell r="E848" t="str">
            <v>ZFGD</v>
          </cell>
          <cell r="F848" t="str">
            <v>PC</v>
          </cell>
          <cell r="G848" t="str">
            <v>1</v>
          </cell>
          <cell r="H848" t="str">
            <v>INDUSTRY</v>
          </cell>
          <cell r="I848" t="str">
            <v>14</v>
          </cell>
          <cell r="J848" t="str">
            <v>THINNER</v>
          </cell>
          <cell r="K848" t="str">
            <v>1412</v>
          </cell>
          <cell r="L848" t="str">
            <v>THINNER NC</v>
          </cell>
          <cell r="M848" t="str">
            <v>141203</v>
          </cell>
          <cell r="N848" t="str">
            <v>THINNER COMPLEMENTARY</v>
          </cell>
        </row>
        <row r="849">
          <cell r="C849" t="str">
            <v>100000847</v>
          </cell>
          <cell r="D849" t="str">
            <v>THC-73100 ST VN-180KK</v>
          </cell>
          <cell r="E849" t="str">
            <v>ZFGD</v>
          </cell>
          <cell r="F849" t="str">
            <v>PC</v>
          </cell>
          <cell r="G849" t="str">
            <v>1</v>
          </cell>
          <cell r="H849" t="str">
            <v>INDUSTRY</v>
          </cell>
          <cell r="I849" t="str">
            <v>14</v>
          </cell>
          <cell r="J849" t="str">
            <v>THINNER</v>
          </cell>
          <cell r="K849" t="str">
            <v>1412</v>
          </cell>
          <cell r="L849" t="str">
            <v>THINNER NC</v>
          </cell>
          <cell r="M849" t="str">
            <v>141203</v>
          </cell>
          <cell r="N849" t="str">
            <v>THINNER COMPLEMENTARY</v>
          </cell>
        </row>
        <row r="850">
          <cell r="C850" t="str">
            <v>100000848</v>
          </cell>
          <cell r="D850" t="str">
            <v>THC-73100-007 VN-200LK</v>
          </cell>
          <cell r="E850" t="str">
            <v>ZFGD</v>
          </cell>
          <cell r="F850" t="str">
            <v>PC</v>
          </cell>
          <cell r="G850" t="str">
            <v>1</v>
          </cell>
          <cell r="H850" t="str">
            <v>INDUSTRY</v>
          </cell>
          <cell r="I850" t="str">
            <v>14</v>
          </cell>
          <cell r="J850" t="str">
            <v>THINNER</v>
          </cell>
          <cell r="K850" t="str">
            <v>1412</v>
          </cell>
          <cell r="L850" t="str">
            <v>THINNER NC</v>
          </cell>
          <cell r="M850" t="str">
            <v>141203</v>
          </cell>
          <cell r="N850" t="str">
            <v>THINNER COMPLEMENTARY</v>
          </cell>
        </row>
        <row r="851">
          <cell r="C851" t="str">
            <v>100000849</v>
          </cell>
          <cell r="D851" t="str">
            <v>THC-73100-007 VN-20LJ</v>
          </cell>
          <cell r="E851" t="str">
            <v>ZFGD</v>
          </cell>
          <cell r="F851" t="str">
            <v>PC</v>
          </cell>
          <cell r="G851" t="str">
            <v>1</v>
          </cell>
          <cell r="H851" t="str">
            <v>INDUSTRY</v>
          </cell>
          <cell r="I851" t="str">
            <v>14</v>
          </cell>
          <cell r="J851" t="str">
            <v>THINNER</v>
          </cell>
          <cell r="K851" t="str">
            <v>1412</v>
          </cell>
          <cell r="L851" t="str">
            <v>THINNER NC</v>
          </cell>
          <cell r="M851" t="str">
            <v>141203</v>
          </cell>
          <cell r="N851" t="str">
            <v>THINNER COMPLEMENTARY</v>
          </cell>
        </row>
        <row r="852">
          <cell r="C852" t="str">
            <v>100000850</v>
          </cell>
          <cell r="D852" t="str">
            <v>THC-2731-103 AK-160KK</v>
          </cell>
          <cell r="E852" t="str">
            <v>ZFGD</v>
          </cell>
          <cell r="F852" t="str">
            <v>PC</v>
          </cell>
          <cell r="G852" t="str">
            <v>1</v>
          </cell>
          <cell r="H852" t="str">
            <v>INDUSTRY</v>
          </cell>
          <cell r="I852" t="str">
            <v>14</v>
          </cell>
          <cell r="J852" t="str">
            <v>THINNER</v>
          </cell>
          <cell r="K852" t="str">
            <v>1412</v>
          </cell>
          <cell r="L852" t="str">
            <v>THINNER NC</v>
          </cell>
          <cell r="M852" t="str">
            <v>141203</v>
          </cell>
          <cell r="N852" t="str">
            <v>THINNER COMPLEMENTARY</v>
          </cell>
        </row>
        <row r="853">
          <cell r="C853" t="str">
            <v>100000851</v>
          </cell>
          <cell r="D853" t="str">
            <v>THC-73100-1103 KD VN-200LK</v>
          </cell>
          <cell r="E853" t="str">
            <v>ZFGD</v>
          </cell>
          <cell r="F853" t="str">
            <v>PC</v>
          </cell>
          <cell r="G853" t="str">
            <v>1</v>
          </cell>
          <cell r="H853" t="str">
            <v>INDUSTRY</v>
          </cell>
          <cell r="I853" t="str">
            <v>14</v>
          </cell>
          <cell r="J853" t="str">
            <v>THINNER</v>
          </cell>
          <cell r="K853" t="str">
            <v>1412</v>
          </cell>
          <cell r="L853" t="str">
            <v>THINNER NC</v>
          </cell>
          <cell r="M853" t="str">
            <v>141203</v>
          </cell>
          <cell r="N853" t="str">
            <v>THINNER COMPLEMENTARY</v>
          </cell>
        </row>
        <row r="854">
          <cell r="C854" t="str">
            <v>100000852</v>
          </cell>
          <cell r="D854" t="str">
            <v>THC-73100-1103 KD VN-20LJ</v>
          </cell>
          <cell r="E854" t="str">
            <v>ZFGD</v>
          </cell>
          <cell r="F854" t="str">
            <v>PC</v>
          </cell>
          <cell r="G854" t="str">
            <v>1</v>
          </cell>
          <cell r="H854" t="str">
            <v>INDUSTRY</v>
          </cell>
          <cell r="I854" t="str">
            <v>14</v>
          </cell>
          <cell r="J854" t="str">
            <v>THINNER</v>
          </cell>
          <cell r="K854" t="str">
            <v>1412</v>
          </cell>
          <cell r="L854" t="str">
            <v>THINNER NC</v>
          </cell>
          <cell r="M854" t="str">
            <v>141203</v>
          </cell>
          <cell r="N854" t="str">
            <v>THINNER COMPLEMENTARY</v>
          </cell>
        </row>
        <row r="855">
          <cell r="C855" t="str">
            <v>100000853</v>
          </cell>
          <cell r="D855" t="str">
            <v>THC-73100-1103 VN-200LK</v>
          </cell>
          <cell r="E855" t="str">
            <v>ZFGD</v>
          </cell>
          <cell r="F855" t="str">
            <v>PC</v>
          </cell>
          <cell r="G855" t="str">
            <v>1</v>
          </cell>
          <cell r="H855" t="str">
            <v>INDUSTRY</v>
          </cell>
          <cell r="I855" t="str">
            <v>14</v>
          </cell>
          <cell r="J855" t="str">
            <v>THINNER</v>
          </cell>
          <cell r="K855" t="str">
            <v>1412</v>
          </cell>
          <cell r="L855" t="str">
            <v>THINNER NC</v>
          </cell>
          <cell r="M855" t="str">
            <v>141203</v>
          </cell>
          <cell r="N855" t="str">
            <v>THINNER COMPLEMENTARY</v>
          </cell>
        </row>
        <row r="856">
          <cell r="C856" t="str">
            <v>100000854</v>
          </cell>
          <cell r="D856" t="str">
            <v>THC-73100-1103 VN-20LJ</v>
          </cell>
          <cell r="E856" t="str">
            <v>ZFGD</v>
          </cell>
          <cell r="F856" t="str">
            <v>PC</v>
          </cell>
          <cell r="G856" t="str">
            <v>1</v>
          </cell>
          <cell r="H856" t="str">
            <v>INDUSTRY</v>
          </cell>
          <cell r="I856" t="str">
            <v>14</v>
          </cell>
          <cell r="J856" t="str">
            <v>THINNER</v>
          </cell>
          <cell r="K856" t="str">
            <v>1412</v>
          </cell>
          <cell r="L856" t="str">
            <v>THINNER NC</v>
          </cell>
          <cell r="M856" t="str">
            <v>141203</v>
          </cell>
          <cell r="N856" t="str">
            <v>THINNER COMPLEMENTARY</v>
          </cell>
        </row>
        <row r="857">
          <cell r="C857" t="str">
            <v>100000855</v>
          </cell>
          <cell r="D857" t="str">
            <v>THC-73100-1203 VN-20LJ</v>
          </cell>
          <cell r="E857" t="str">
            <v>ZFGD</v>
          </cell>
          <cell r="F857" t="str">
            <v>PC</v>
          </cell>
          <cell r="G857" t="str">
            <v>1</v>
          </cell>
          <cell r="H857" t="str">
            <v>INDUSTRY</v>
          </cell>
          <cell r="I857" t="str">
            <v>14</v>
          </cell>
          <cell r="J857" t="str">
            <v>THINNER</v>
          </cell>
          <cell r="K857" t="str">
            <v>1412</v>
          </cell>
          <cell r="L857" t="str">
            <v>THINNER NC</v>
          </cell>
          <cell r="M857" t="str">
            <v>141203</v>
          </cell>
          <cell r="N857" t="str">
            <v>THINNER COMPLEMENTARY</v>
          </cell>
        </row>
        <row r="858">
          <cell r="C858" t="str">
            <v>100000856</v>
          </cell>
          <cell r="D858" t="str">
            <v>THC-73100-1703 VN-200LK</v>
          </cell>
          <cell r="E858" t="str">
            <v>ZFGD</v>
          </cell>
          <cell r="F858" t="str">
            <v>PC</v>
          </cell>
          <cell r="G858" t="str">
            <v>1</v>
          </cell>
          <cell r="H858" t="str">
            <v>INDUSTRY</v>
          </cell>
          <cell r="I858" t="str">
            <v>14</v>
          </cell>
          <cell r="J858" t="str">
            <v>THINNER</v>
          </cell>
          <cell r="K858" t="str">
            <v>1412</v>
          </cell>
          <cell r="L858" t="str">
            <v>THINNER NC</v>
          </cell>
          <cell r="M858" t="str">
            <v>141203</v>
          </cell>
          <cell r="N858" t="str">
            <v>THINNER COMPLEMENTARY</v>
          </cell>
        </row>
        <row r="859">
          <cell r="C859" t="str">
            <v>100000857</v>
          </cell>
          <cell r="D859" t="str">
            <v>THC-73100-201 VN-20LJ</v>
          </cell>
          <cell r="E859" t="str">
            <v>ZFGD</v>
          </cell>
          <cell r="F859" t="str">
            <v>PC</v>
          </cell>
          <cell r="G859" t="str">
            <v>1</v>
          </cell>
          <cell r="H859" t="str">
            <v>INDUSTRY</v>
          </cell>
          <cell r="I859" t="str">
            <v>14</v>
          </cell>
          <cell r="J859" t="str">
            <v>THINNER</v>
          </cell>
          <cell r="K859" t="str">
            <v>1412</v>
          </cell>
          <cell r="L859" t="str">
            <v>THINNER NC</v>
          </cell>
          <cell r="M859" t="str">
            <v>141203</v>
          </cell>
          <cell r="N859" t="str">
            <v>THINNER COMPLEMENTARY</v>
          </cell>
        </row>
        <row r="860">
          <cell r="C860" t="str">
            <v>100000858</v>
          </cell>
          <cell r="D860" t="str">
            <v>THC-2731-201-AK-160KK</v>
          </cell>
          <cell r="E860" t="str">
            <v>ZFGD</v>
          </cell>
          <cell r="F860" t="str">
            <v>PC</v>
          </cell>
          <cell r="G860" t="str">
            <v>1</v>
          </cell>
          <cell r="H860" t="str">
            <v>INDUSTRY</v>
          </cell>
          <cell r="I860" t="str">
            <v>14</v>
          </cell>
          <cell r="J860" t="str">
            <v>THINNER</v>
          </cell>
          <cell r="K860" t="str">
            <v>1412</v>
          </cell>
          <cell r="L860" t="str">
            <v>THINNER NC</v>
          </cell>
          <cell r="M860" t="str">
            <v>141203</v>
          </cell>
          <cell r="N860" t="str">
            <v>THINNER COMPLEMENTARY</v>
          </cell>
        </row>
        <row r="861">
          <cell r="C861" t="str">
            <v>100000859</v>
          </cell>
          <cell r="D861" t="str">
            <v>THC-73100-209 VN-200LK</v>
          </cell>
          <cell r="E861" t="str">
            <v>ZFGD</v>
          </cell>
          <cell r="F861" t="str">
            <v>PC</v>
          </cell>
          <cell r="G861" t="str">
            <v>1</v>
          </cell>
          <cell r="H861" t="str">
            <v>INDUSTRY</v>
          </cell>
          <cell r="I861" t="str">
            <v>14</v>
          </cell>
          <cell r="J861" t="str">
            <v>THINNER</v>
          </cell>
          <cell r="K861" t="str">
            <v>1412</v>
          </cell>
          <cell r="L861" t="str">
            <v>THINNER NC</v>
          </cell>
          <cell r="M861" t="str">
            <v>141203</v>
          </cell>
          <cell r="N861" t="str">
            <v>THINNER COMPLEMENTARY</v>
          </cell>
        </row>
        <row r="862">
          <cell r="C862" t="str">
            <v>100000860</v>
          </cell>
          <cell r="D862" t="str">
            <v>THC-73100-209 VN-20LJ</v>
          </cell>
          <cell r="E862" t="str">
            <v>ZFGD</v>
          </cell>
          <cell r="F862" t="str">
            <v>PC</v>
          </cell>
          <cell r="G862" t="str">
            <v>1</v>
          </cell>
          <cell r="H862" t="str">
            <v>INDUSTRY</v>
          </cell>
          <cell r="I862" t="str">
            <v>14</v>
          </cell>
          <cell r="J862" t="str">
            <v>THINNER</v>
          </cell>
          <cell r="K862" t="str">
            <v>1412</v>
          </cell>
          <cell r="L862" t="str">
            <v>THINNER NC</v>
          </cell>
          <cell r="M862" t="str">
            <v>141203</v>
          </cell>
          <cell r="N862" t="str">
            <v>THINNER COMPLEMENTARY</v>
          </cell>
        </row>
        <row r="863">
          <cell r="C863" t="str">
            <v>100000861</v>
          </cell>
          <cell r="D863" t="str">
            <v>THC-73100-252 VN-200LK</v>
          </cell>
          <cell r="E863" t="str">
            <v>ZFGD</v>
          </cell>
          <cell r="F863" t="str">
            <v>PC</v>
          </cell>
          <cell r="G863" t="str">
            <v>1</v>
          </cell>
          <cell r="H863" t="str">
            <v>INDUSTRY</v>
          </cell>
          <cell r="I863" t="str">
            <v>14</v>
          </cell>
          <cell r="J863" t="str">
            <v>THINNER</v>
          </cell>
          <cell r="K863" t="str">
            <v>1412</v>
          </cell>
          <cell r="L863" t="str">
            <v>THINNER NC</v>
          </cell>
          <cell r="M863" t="str">
            <v>141203</v>
          </cell>
          <cell r="N863" t="str">
            <v>THINNER COMPLEMENTARY</v>
          </cell>
        </row>
        <row r="864">
          <cell r="C864" t="str">
            <v>100000862</v>
          </cell>
          <cell r="D864" t="str">
            <v>THC-73100-252 VN-20LJ</v>
          </cell>
          <cell r="E864" t="str">
            <v>ZFGD</v>
          </cell>
          <cell r="F864" t="str">
            <v>PC</v>
          </cell>
          <cell r="G864" t="str">
            <v>1</v>
          </cell>
          <cell r="H864" t="str">
            <v>INDUSTRY</v>
          </cell>
          <cell r="I864" t="str">
            <v>14</v>
          </cell>
          <cell r="J864" t="str">
            <v>THINNER</v>
          </cell>
          <cell r="K864" t="str">
            <v>1412</v>
          </cell>
          <cell r="L864" t="str">
            <v>THINNER NC</v>
          </cell>
          <cell r="M864" t="str">
            <v>141203</v>
          </cell>
          <cell r="N864" t="str">
            <v>THINNER COMPLEMENTARY</v>
          </cell>
        </row>
        <row r="865">
          <cell r="C865" t="str">
            <v>100000863</v>
          </cell>
          <cell r="D865" t="str">
            <v>THC-2731-402-AK-170KK</v>
          </cell>
          <cell r="E865" t="str">
            <v>ZFGD</v>
          </cell>
          <cell r="F865" t="str">
            <v>PC</v>
          </cell>
          <cell r="G865" t="str">
            <v>1</v>
          </cell>
          <cell r="H865" t="str">
            <v>INDUSTRY</v>
          </cell>
          <cell r="I865" t="str">
            <v>14</v>
          </cell>
          <cell r="J865" t="str">
            <v>THINNER</v>
          </cell>
          <cell r="K865" t="str">
            <v>1412</v>
          </cell>
          <cell r="L865" t="str">
            <v>THINNER NC</v>
          </cell>
          <cell r="M865" t="str">
            <v>141203</v>
          </cell>
          <cell r="N865" t="str">
            <v>THINNER COMPLEMENTARY</v>
          </cell>
        </row>
        <row r="866">
          <cell r="C866" t="str">
            <v>100000864</v>
          </cell>
          <cell r="D866" t="str">
            <v>THC-73100-452 VN-18KJ</v>
          </cell>
          <cell r="E866" t="str">
            <v>ZFGD</v>
          </cell>
          <cell r="F866" t="str">
            <v>PC</v>
          </cell>
          <cell r="G866" t="str">
            <v>1</v>
          </cell>
          <cell r="H866" t="str">
            <v>INDUSTRY</v>
          </cell>
          <cell r="I866" t="str">
            <v>14</v>
          </cell>
          <cell r="J866" t="str">
            <v>THINNER</v>
          </cell>
          <cell r="K866" t="str">
            <v>1412</v>
          </cell>
          <cell r="L866" t="str">
            <v>THINNER NC</v>
          </cell>
          <cell r="M866" t="str">
            <v>141203</v>
          </cell>
          <cell r="N866" t="str">
            <v>THINNER COMPLEMENTARY</v>
          </cell>
        </row>
        <row r="867">
          <cell r="C867" t="str">
            <v>100000865</v>
          </cell>
          <cell r="D867" t="str">
            <v>THC-73100-452 VN-200LK</v>
          </cell>
          <cell r="E867" t="str">
            <v>ZFGD</v>
          </cell>
          <cell r="F867" t="str">
            <v>PC</v>
          </cell>
          <cell r="G867" t="str">
            <v>1</v>
          </cell>
          <cell r="H867" t="str">
            <v>INDUSTRY</v>
          </cell>
          <cell r="I867" t="str">
            <v>14</v>
          </cell>
          <cell r="J867" t="str">
            <v>THINNER</v>
          </cell>
          <cell r="K867" t="str">
            <v>1412</v>
          </cell>
          <cell r="L867" t="str">
            <v>THINNER NC</v>
          </cell>
          <cell r="M867" t="str">
            <v>141203</v>
          </cell>
          <cell r="N867" t="str">
            <v>THINNER COMPLEMENTARY</v>
          </cell>
        </row>
        <row r="868">
          <cell r="C868" t="str">
            <v>100000866</v>
          </cell>
          <cell r="D868" t="str">
            <v>THC-73100-452 VN-20LJ</v>
          </cell>
          <cell r="E868" t="str">
            <v>ZFGD</v>
          </cell>
          <cell r="F868" t="str">
            <v>PC</v>
          </cell>
          <cell r="G868" t="str">
            <v>1</v>
          </cell>
          <cell r="H868" t="str">
            <v>INDUSTRY</v>
          </cell>
          <cell r="I868" t="str">
            <v>14</v>
          </cell>
          <cell r="J868" t="str">
            <v>THINNER</v>
          </cell>
          <cell r="K868" t="str">
            <v>1412</v>
          </cell>
          <cell r="L868" t="str">
            <v>THINNER NC</v>
          </cell>
          <cell r="M868" t="str">
            <v>141203</v>
          </cell>
          <cell r="N868" t="str">
            <v>THINNER COMPLEMENTARY</v>
          </cell>
        </row>
        <row r="869">
          <cell r="C869" t="str">
            <v>100000867</v>
          </cell>
          <cell r="D869" t="str">
            <v>THC-73100-552 VN-18KJ</v>
          </cell>
          <cell r="E869" t="str">
            <v>ZFGD</v>
          </cell>
          <cell r="F869" t="str">
            <v>PC</v>
          </cell>
          <cell r="G869" t="str">
            <v>1</v>
          </cell>
          <cell r="H869" t="str">
            <v>INDUSTRY</v>
          </cell>
          <cell r="I869" t="str">
            <v>14</v>
          </cell>
          <cell r="J869" t="str">
            <v>THINNER</v>
          </cell>
          <cell r="K869" t="str">
            <v>1412</v>
          </cell>
          <cell r="L869" t="str">
            <v>THINNER NC</v>
          </cell>
          <cell r="M869" t="str">
            <v>141203</v>
          </cell>
          <cell r="N869" t="str">
            <v>THINNER COMPLEMENTARY</v>
          </cell>
        </row>
        <row r="870">
          <cell r="C870" t="str">
            <v>100000868</v>
          </cell>
          <cell r="D870" t="str">
            <v>THC-73100-602 VN-20LJ</v>
          </cell>
          <cell r="E870" t="str">
            <v>ZFGD</v>
          </cell>
          <cell r="F870" t="str">
            <v>PC</v>
          </cell>
          <cell r="G870" t="str">
            <v>1</v>
          </cell>
          <cell r="H870" t="str">
            <v>INDUSTRY</v>
          </cell>
          <cell r="I870" t="str">
            <v>14</v>
          </cell>
          <cell r="J870" t="str">
            <v>THINNER</v>
          </cell>
          <cell r="K870" t="str">
            <v>1412</v>
          </cell>
          <cell r="L870" t="str">
            <v>THINNER NC</v>
          </cell>
          <cell r="M870" t="str">
            <v>141203</v>
          </cell>
          <cell r="N870" t="str">
            <v>THINNER COMPLEMENTARY</v>
          </cell>
        </row>
        <row r="871">
          <cell r="C871" t="str">
            <v>100000869</v>
          </cell>
          <cell r="D871" t="str">
            <v>THGZ-2722-AK-150KK</v>
          </cell>
          <cell r="E871" t="str">
            <v>ZFGD</v>
          </cell>
          <cell r="F871" t="str">
            <v>PC</v>
          </cell>
          <cell r="G871" t="str">
            <v>1</v>
          </cell>
          <cell r="H871" t="str">
            <v>INDUSTRY</v>
          </cell>
          <cell r="I871" t="str">
            <v>14</v>
          </cell>
          <cell r="J871" t="str">
            <v>THINNER</v>
          </cell>
          <cell r="K871" t="str">
            <v>1412</v>
          </cell>
          <cell r="L871" t="str">
            <v>THINNER NC</v>
          </cell>
          <cell r="M871" t="str">
            <v>141204</v>
          </cell>
          <cell r="N871" t="str">
            <v>THINNER GLAZE</v>
          </cell>
        </row>
        <row r="872">
          <cell r="C872" t="str">
            <v>100000870</v>
          </cell>
          <cell r="D872" t="str">
            <v>THGZ-72200 PU VN-20LJ</v>
          </cell>
          <cell r="E872" t="str">
            <v>ZFGD</v>
          </cell>
          <cell r="F872" t="str">
            <v>PC</v>
          </cell>
          <cell r="G872" t="str">
            <v>1</v>
          </cell>
          <cell r="H872" t="str">
            <v>INDUSTRY</v>
          </cell>
          <cell r="I872" t="str">
            <v>14</v>
          </cell>
          <cell r="J872" t="str">
            <v>THINNER</v>
          </cell>
          <cell r="K872" t="str">
            <v>1412</v>
          </cell>
          <cell r="L872" t="str">
            <v>THINNER NC</v>
          </cell>
          <cell r="M872" t="str">
            <v>141204</v>
          </cell>
          <cell r="N872" t="str">
            <v>THINNER GLAZE</v>
          </cell>
        </row>
        <row r="873">
          <cell r="C873" t="str">
            <v>100000871</v>
          </cell>
          <cell r="D873" t="str">
            <v>THGZ-72200 VN-200LK</v>
          </cell>
          <cell r="E873" t="str">
            <v>ZFGD</v>
          </cell>
          <cell r="F873" t="str">
            <v>PC</v>
          </cell>
          <cell r="G873" t="str">
            <v>1</v>
          </cell>
          <cell r="H873" t="str">
            <v>INDUSTRY</v>
          </cell>
          <cell r="I873" t="str">
            <v>14</v>
          </cell>
          <cell r="J873" t="str">
            <v>THINNER</v>
          </cell>
          <cell r="K873" t="str">
            <v>1412</v>
          </cell>
          <cell r="L873" t="str">
            <v>THINNER NC</v>
          </cell>
          <cell r="M873" t="str">
            <v>141204</v>
          </cell>
          <cell r="N873" t="str">
            <v>THINNER GLAZE</v>
          </cell>
        </row>
        <row r="874">
          <cell r="C874" t="str">
            <v>100000872</v>
          </cell>
          <cell r="D874" t="str">
            <v>THGZ-72200 VN-20LJ</v>
          </cell>
          <cell r="E874" t="str">
            <v>ZFGD</v>
          </cell>
          <cell r="F874" t="str">
            <v>PC</v>
          </cell>
          <cell r="G874" t="str">
            <v>1</v>
          </cell>
          <cell r="H874" t="str">
            <v>INDUSTRY</v>
          </cell>
          <cell r="I874" t="str">
            <v>14</v>
          </cell>
          <cell r="J874" t="str">
            <v>THINNER</v>
          </cell>
          <cell r="K874" t="str">
            <v>1412</v>
          </cell>
          <cell r="L874" t="str">
            <v>THINNER NC</v>
          </cell>
          <cell r="M874" t="str">
            <v>141204</v>
          </cell>
          <cell r="N874" t="str">
            <v>THINNER GLAZE</v>
          </cell>
        </row>
        <row r="875">
          <cell r="C875" t="str">
            <v>100000873</v>
          </cell>
          <cell r="D875" t="str">
            <v>THNC-71100 FD 01 VN-200LK</v>
          </cell>
          <cell r="E875" t="str">
            <v>ZFGD</v>
          </cell>
          <cell r="F875" t="str">
            <v>PC</v>
          </cell>
          <cell r="G875" t="str">
            <v>1</v>
          </cell>
          <cell r="H875" t="str">
            <v>INDUSTRY</v>
          </cell>
          <cell r="I875" t="str">
            <v>14</v>
          </cell>
          <cell r="J875" t="str">
            <v>THINNER</v>
          </cell>
          <cell r="K875" t="str">
            <v>1412</v>
          </cell>
          <cell r="L875" t="str">
            <v>THINNER NC</v>
          </cell>
          <cell r="M875" t="str">
            <v>141205</v>
          </cell>
          <cell r="N875" t="str">
            <v>THINNER NC</v>
          </cell>
        </row>
        <row r="876">
          <cell r="C876" t="str">
            <v>100000874</v>
          </cell>
          <cell r="D876" t="str">
            <v>THNC-71100 RL VL VN-200LK</v>
          </cell>
          <cell r="E876" t="str">
            <v>ZFGD</v>
          </cell>
          <cell r="F876" t="str">
            <v>PC</v>
          </cell>
          <cell r="G876" t="str">
            <v>1</v>
          </cell>
          <cell r="H876" t="str">
            <v>INDUSTRY</v>
          </cell>
          <cell r="I876" t="str">
            <v>14</v>
          </cell>
          <cell r="J876" t="str">
            <v>THINNER</v>
          </cell>
          <cell r="K876" t="str">
            <v>1412</v>
          </cell>
          <cell r="L876" t="str">
            <v>THINNER NC</v>
          </cell>
          <cell r="M876" t="str">
            <v>141205</v>
          </cell>
          <cell r="N876" t="str">
            <v>THINNER NC</v>
          </cell>
        </row>
        <row r="877">
          <cell r="C877" t="str">
            <v>100000875</v>
          </cell>
          <cell r="D877" t="str">
            <v>THNC-2711-SD-AK-160KK</v>
          </cell>
          <cell r="E877" t="str">
            <v>ZFGD</v>
          </cell>
          <cell r="F877" t="str">
            <v>PC</v>
          </cell>
          <cell r="G877" t="str">
            <v>1</v>
          </cell>
          <cell r="H877" t="str">
            <v>INDUSTRY</v>
          </cell>
          <cell r="I877" t="str">
            <v>14</v>
          </cell>
          <cell r="J877" t="str">
            <v>THINNER</v>
          </cell>
          <cell r="K877" t="str">
            <v>1412</v>
          </cell>
          <cell r="L877" t="str">
            <v>THINNER NC</v>
          </cell>
          <cell r="M877" t="str">
            <v>141205</v>
          </cell>
          <cell r="N877" t="str">
            <v>THINNER NC</v>
          </cell>
        </row>
        <row r="878">
          <cell r="C878" t="str">
            <v>100000876</v>
          </cell>
          <cell r="D878" t="str">
            <v>THNC-2711-SD-AK-200LK</v>
          </cell>
          <cell r="E878" t="str">
            <v>ZFGD</v>
          </cell>
          <cell r="F878" t="str">
            <v>PC</v>
          </cell>
          <cell r="G878" t="str">
            <v>1</v>
          </cell>
          <cell r="H878" t="str">
            <v>INDUSTRY</v>
          </cell>
          <cell r="I878" t="str">
            <v>14</v>
          </cell>
          <cell r="J878" t="str">
            <v>THINNER</v>
          </cell>
          <cell r="K878" t="str">
            <v>1412</v>
          </cell>
          <cell r="L878" t="str">
            <v>THINNER NC</v>
          </cell>
          <cell r="M878" t="str">
            <v>141205</v>
          </cell>
          <cell r="N878" t="str">
            <v>THINNER NC</v>
          </cell>
        </row>
        <row r="879">
          <cell r="C879" t="str">
            <v>100000877</v>
          </cell>
          <cell r="D879" t="str">
            <v>THNC-71100 SD VN-200LK</v>
          </cell>
          <cell r="E879" t="str">
            <v>ZFGD</v>
          </cell>
          <cell r="F879" t="str">
            <v>PC</v>
          </cell>
          <cell r="G879" t="str">
            <v>1</v>
          </cell>
          <cell r="H879" t="str">
            <v>INDUSTRY</v>
          </cell>
          <cell r="I879" t="str">
            <v>14</v>
          </cell>
          <cell r="J879" t="str">
            <v>THINNER</v>
          </cell>
          <cell r="K879" t="str">
            <v>1412</v>
          </cell>
          <cell r="L879" t="str">
            <v>THINNER NC</v>
          </cell>
          <cell r="M879" t="str">
            <v>141205</v>
          </cell>
          <cell r="N879" t="str">
            <v>THINNER NC</v>
          </cell>
        </row>
        <row r="880">
          <cell r="C880" t="str">
            <v>100000878</v>
          </cell>
          <cell r="D880" t="str">
            <v>THNC-71100 SD VN-20LJ</v>
          </cell>
          <cell r="E880" t="str">
            <v>ZFGD</v>
          </cell>
          <cell r="F880" t="str">
            <v>PC</v>
          </cell>
          <cell r="G880" t="str">
            <v>1</v>
          </cell>
          <cell r="H880" t="str">
            <v>INDUSTRY</v>
          </cell>
          <cell r="I880" t="str">
            <v>14</v>
          </cell>
          <cell r="J880" t="str">
            <v>THINNER</v>
          </cell>
          <cell r="K880" t="str">
            <v>1412</v>
          </cell>
          <cell r="L880" t="str">
            <v>THINNER NC</v>
          </cell>
          <cell r="M880" t="str">
            <v>141205</v>
          </cell>
          <cell r="N880" t="str">
            <v>THINNER NC</v>
          </cell>
        </row>
        <row r="881">
          <cell r="C881" t="str">
            <v>100000879</v>
          </cell>
          <cell r="D881" t="str">
            <v>THPU-2713-06-AK-160KK</v>
          </cell>
          <cell r="E881" t="str">
            <v>ZFGD</v>
          </cell>
          <cell r="F881" t="str">
            <v>PC</v>
          </cell>
          <cell r="G881" t="str">
            <v>1</v>
          </cell>
          <cell r="H881" t="str">
            <v>INDUSTRY</v>
          </cell>
          <cell r="I881" t="str">
            <v>14</v>
          </cell>
          <cell r="J881" t="str">
            <v>THINNER</v>
          </cell>
          <cell r="K881" t="str">
            <v>1411</v>
          </cell>
          <cell r="L881" t="str">
            <v>THINNER PU</v>
          </cell>
          <cell r="M881" t="str">
            <v>141101</v>
          </cell>
          <cell r="N881" t="str">
            <v>THINNER PU</v>
          </cell>
        </row>
        <row r="882">
          <cell r="C882" t="str">
            <v>100000880</v>
          </cell>
          <cell r="D882" t="str">
            <v>THPU-71306 KD VN-200LK</v>
          </cell>
          <cell r="E882" t="str">
            <v>ZFGD</v>
          </cell>
          <cell r="F882" t="str">
            <v>PC</v>
          </cell>
          <cell r="G882" t="str">
            <v>1</v>
          </cell>
          <cell r="H882" t="str">
            <v>INDUSTRY</v>
          </cell>
          <cell r="I882" t="str">
            <v>14</v>
          </cell>
          <cell r="J882" t="str">
            <v>THINNER</v>
          </cell>
          <cell r="K882" t="str">
            <v>1411</v>
          </cell>
          <cell r="L882" t="str">
            <v>THINNER PU</v>
          </cell>
          <cell r="M882" t="str">
            <v>141101</v>
          </cell>
          <cell r="N882" t="str">
            <v>THINNER PU</v>
          </cell>
        </row>
        <row r="883">
          <cell r="C883" t="str">
            <v>100000881</v>
          </cell>
          <cell r="D883" t="str">
            <v>THPU-71306 KD VN-20LJ</v>
          </cell>
          <cell r="E883" t="str">
            <v>ZFGD</v>
          </cell>
          <cell r="F883" t="str">
            <v>PC</v>
          </cell>
          <cell r="G883" t="str">
            <v>1</v>
          </cell>
          <cell r="H883" t="str">
            <v>INDUSTRY</v>
          </cell>
          <cell r="I883" t="str">
            <v>14</v>
          </cell>
          <cell r="J883" t="str">
            <v>THINNER</v>
          </cell>
          <cell r="K883" t="str">
            <v>1411</v>
          </cell>
          <cell r="L883" t="str">
            <v>THINNER PU</v>
          </cell>
          <cell r="M883" t="str">
            <v>141101</v>
          </cell>
          <cell r="N883" t="str">
            <v>THINNER PU</v>
          </cell>
        </row>
        <row r="884">
          <cell r="C884" t="str">
            <v>100000882</v>
          </cell>
          <cell r="D884" t="str">
            <v>THPU-71306 PC VN-18KJ</v>
          </cell>
          <cell r="E884" t="str">
            <v>ZFGD</v>
          </cell>
          <cell r="F884" t="str">
            <v>PC</v>
          </cell>
          <cell r="G884" t="str">
            <v>1</v>
          </cell>
          <cell r="H884" t="str">
            <v>INDUSTRY</v>
          </cell>
          <cell r="I884" t="str">
            <v>14</v>
          </cell>
          <cell r="J884" t="str">
            <v>THINNER</v>
          </cell>
          <cell r="K884" t="str">
            <v>1411</v>
          </cell>
          <cell r="L884" t="str">
            <v>THINNER PU</v>
          </cell>
          <cell r="M884" t="str">
            <v>141101</v>
          </cell>
          <cell r="N884" t="str">
            <v>THINNER PU</v>
          </cell>
        </row>
        <row r="885">
          <cell r="C885" t="str">
            <v>100000883</v>
          </cell>
          <cell r="D885" t="str">
            <v>THPU-71306 ST VN-200LK</v>
          </cell>
          <cell r="E885" t="str">
            <v>ZFGD</v>
          </cell>
          <cell r="F885" t="str">
            <v>PC</v>
          </cell>
          <cell r="G885" t="str">
            <v>1</v>
          </cell>
          <cell r="H885" t="str">
            <v>INDUSTRY</v>
          </cell>
          <cell r="I885" t="str">
            <v>14</v>
          </cell>
          <cell r="J885" t="str">
            <v>THINNER</v>
          </cell>
          <cell r="K885" t="str">
            <v>1411</v>
          </cell>
          <cell r="L885" t="str">
            <v>THINNER PU</v>
          </cell>
          <cell r="M885" t="str">
            <v>141101</v>
          </cell>
          <cell r="N885" t="str">
            <v>THINNER PU</v>
          </cell>
        </row>
        <row r="886">
          <cell r="C886" t="str">
            <v>100000884</v>
          </cell>
          <cell r="D886" t="str">
            <v>THPU-71306 ST VN-20LJ</v>
          </cell>
          <cell r="E886" t="str">
            <v>ZFGD</v>
          </cell>
          <cell r="F886" t="str">
            <v>PC</v>
          </cell>
          <cell r="G886" t="str">
            <v>1</v>
          </cell>
          <cell r="H886" t="str">
            <v>INDUSTRY</v>
          </cell>
          <cell r="I886" t="str">
            <v>14</v>
          </cell>
          <cell r="J886" t="str">
            <v>THINNER</v>
          </cell>
          <cell r="K886" t="str">
            <v>1411</v>
          </cell>
          <cell r="L886" t="str">
            <v>THINNER PU</v>
          </cell>
          <cell r="M886" t="str">
            <v>141101</v>
          </cell>
          <cell r="N886" t="str">
            <v>THINNER PU</v>
          </cell>
        </row>
        <row r="887">
          <cell r="C887" t="str">
            <v>100000885</v>
          </cell>
          <cell r="D887" t="str">
            <v>THPU-71306 VN-200LK</v>
          </cell>
          <cell r="E887" t="str">
            <v>ZFGD</v>
          </cell>
          <cell r="F887" t="str">
            <v>PC</v>
          </cell>
          <cell r="G887" t="str">
            <v>1</v>
          </cell>
          <cell r="H887" t="str">
            <v>INDUSTRY</v>
          </cell>
          <cell r="I887" t="str">
            <v>14</v>
          </cell>
          <cell r="J887" t="str">
            <v>THINNER</v>
          </cell>
          <cell r="K887" t="str">
            <v>1411</v>
          </cell>
          <cell r="L887" t="str">
            <v>THINNER PU</v>
          </cell>
          <cell r="M887" t="str">
            <v>141101</v>
          </cell>
          <cell r="N887" t="str">
            <v>THINNER PU</v>
          </cell>
        </row>
        <row r="888">
          <cell r="C888" t="str">
            <v>100000886</v>
          </cell>
          <cell r="D888" t="str">
            <v>THPU-71306 VN-20LJ</v>
          </cell>
          <cell r="E888" t="str">
            <v>ZFGD</v>
          </cell>
          <cell r="F888" t="str">
            <v>PC</v>
          </cell>
          <cell r="G888" t="str">
            <v>1</v>
          </cell>
          <cell r="H888" t="str">
            <v>INDUSTRY</v>
          </cell>
          <cell r="I888" t="str">
            <v>14</v>
          </cell>
          <cell r="J888" t="str">
            <v>THINNER</v>
          </cell>
          <cell r="K888" t="str">
            <v>1411</v>
          </cell>
          <cell r="L888" t="str">
            <v>THINNER PU</v>
          </cell>
          <cell r="M888" t="str">
            <v>141101</v>
          </cell>
          <cell r="N888" t="str">
            <v>THINNER PU</v>
          </cell>
        </row>
        <row r="889">
          <cell r="C889" t="str">
            <v>100000887</v>
          </cell>
          <cell r="D889" t="str">
            <v>THPU-71306-200LK</v>
          </cell>
          <cell r="E889" t="str">
            <v>ZFGD</v>
          </cell>
          <cell r="F889" t="str">
            <v>PC</v>
          </cell>
          <cell r="G889" t="str">
            <v>1</v>
          </cell>
          <cell r="H889" t="str">
            <v>INDUSTRY</v>
          </cell>
          <cell r="I889" t="str">
            <v>14</v>
          </cell>
          <cell r="J889" t="str">
            <v>THINNER</v>
          </cell>
          <cell r="K889" t="str">
            <v>1411</v>
          </cell>
          <cell r="L889" t="str">
            <v>THINNER PU</v>
          </cell>
          <cell r="M889" t="str">
            <v>141101</v>
          </cell>
          <cell r="N889" t="str">
            <v>THINNER PU</v>
          </cell>
        </row>
        <row r="890">
          <cell r="C890" t="str">
            <v>100000888</v>
          </cell>
          <cell r="D890" t="str">
            <v>THPU-71324 EST YJ VN-200LK</v>
          </cell>
          <cell r="E890" t="str">
            <v>ZFGD</v>
          </cell>
          <cell r="F890" t="str">
            <v>PC</v>
          </cell>
          <cell r="G890" t="str">
            <v>1</v>
          </cell>
          <cell r="H890" t="str">
            <v>INDUSTRY</v>
          </cell>
          <cell r="I890" t="str">
            <v>14</v>
          </cell>
          <cell r="J890" t="str">
            <v>THINNER</v>
          </cell>
          <cell r="K890" t="str">
            <v>1411</v>
          </cell>
          <cell r="L890" t="str">
            <v>THINNER PU</v>
          </cell>
          <cell r="M890" t="str">
            <v>141101</v>
          </cell>
          <cell r="N890" t="str">
            <v>THINNER PU</v>
          </cell>
        </row>
        <row r="891">
          <cell r="C891" t="str">
            <v>100000889</v>
          </cell>
          <cell r="D891" t="str">
            <v>THPU-71324 EST YJ VN-20LJ</v>
          </cell>
          <cell r="E891" t="str">
            <v>ZFGD</v>
          </cell>
          <cell r="F891" t="str">
            <v>PC</v>
          </cell>
          <cell r="G891" t="str">
            <v>1</v>
          </cell>
          <cell r="H891" t="str">
            <v>INDUSTRY</v>
          </cell>
          <cell r="I891" t="str">
            <v>14</v>
          </cell>
          <cell r="J891" t="str">
            <v>THINNER</v>
          </cell>
          <cell r="K891" t="str">
            <v>1411</v>
          </cell>
          <cell r="L891" t="str">
            <v>THINNER PU</v>
          </cell>
          <cell r="M891" t="str">
            <v>141101</v>
          </cell>
          <cell r="N891" t="str">
            <v>THINNER PU</v>
          </cell>
        </row>
        <row r="892">
          <cell r="C892" t="str">
            <v>100000890</v>
          </cell>
          <cell r="D892" t="str">
            <v>THWS-72100 SLK VN-20LJ</v>
          </cell>
          <cell r="E892" t="str">
            <v>ZFGD</v>
          </cell>
          <cell r="F892" t="str">
            <v>PC</v>
          </cell>
          <cell r="G892" t="str">
            <v>1</v>
          </cell>
          <cell r="H892" t="str">
            <v>INDUSTRY</v>
          </cell>
          <cell r="I892" t="str">
            <v>14</v>
          </cell>
          <cell r="J892" t="str">
            <v>THINNER</v>
          </cell>
          <cell r="K892" t="str">
            <v>1412</v>
          </cell>
          <cell r="L892" t="str">
            <v>THINNER NC</v>
          </cell>
          <cell r="M892" t="str">
            <v>141206</v>
          </cell>
          <cell r="N892" t="str">
            <v>THINNER WOOD STAIN</v>
          </cell>
        </row>
        <row r="893">
          <cell r="C893" t="str">
            <v>100000891</v>
          </cell>
          <cell r="D893" t="str">
            <v>TOL-76114 W DM VN-20LJ</v>
          </cell>
          <cell r="E893" t="str">
            <v>ZFGD</v>
          </cell>
          <cell r="F893" t="str">
            <v>PC</v>
          </cell>
          <cell r="G893" t="str">
            <v>1</v>
          </cell>
          <cell r="H893" t="str">
            <v>INDUSTRY</v>
          </cell>
          <cell r="I893" t="str">
            <v>11</v>
          </cell>
          <cell r="J893" t="str">
            <v>WOOD COATINGS</v>
          </cell>
          <cell r="K893" t="str">
            <v>1101</v>
          </cell>
          <cell r="L893" t="str">
            <v>ALKYD OIL</v>
          </cell>
          <cell r="M893" t="str">
            <v>110101</v>
          </cell>
          <cell r="N893" t="str">
            <v>ALKYD &amp; OIL SYSTEM</v>
          </cell>
        </row>
        <row r="894">
          <cell r="C894" t="str">
            <v>100000892</v>
          </cell>
          <cell r="D894" t="str">
            <v>TOL-76114 W HB VN-20LJ</v>
          </cell>
          <cell r="E894" t="str">
            <v>ZFGD</v>
          </cell>
          <cell r="F894" t="str">
            <v>PC</v>
          </cell>
          <cell r="G894" t="str">
            <v>1</v>
          </cell>
          <cell r="H894" t="str">
            <v>INDUSTRY</v>
          </cell>
          <cell r="I894" t="str">
            <v>11</v>
          </cell>
          <cell r="J894" t="str">
            <v>WOOD COATINGS</v>
          </cell>
          <cell r="K894" t="str">
            <v>1101</v>
          </cell>
          <cell r="L894" t="str">
            <v>ALKYD OIL</v>
          </cell>
          <cell r="M894" t="str">
            <v>110101</v>
          </cell>
          <cell r="N894" t="str">
            <v>ALKYD &amp; OIL SYSTEM</v>
          </cell>
        </row>
        <row r="895">
          <cell r="C895" t="str">
            <v>100000893</v>
          </cell>
          <cell r="D895" t="str">
            <v>TOL-76114 W SW VN-20LJ</v>
          </cell>
          <cell r="E895" t="str">
            <v>ZFGD</v>
          </cell>
          <cell r="F895" t="str">
            <v>PC</v>
          </cell>
          <cell r="G895" t="str">
            <v>1</v>
          </cell>
          <cell r="H895" t="str">
            <v>INDUSTRY</v>
          </cell>
          <cell r="I895" t="str">
            <v>11</v>
          </cell>
          <cell r="J895" t="str">
            <v>WOOD COATINGS</v>
          </cell>
          <cell r="K895" t="str">
            <v>1101</v>
          </cell>
          <cell r="L895" t="str">
            <v>ALKYD OIL</v>
          </cell>
          <cell r="M895" t="str">
            <v>110101</v>
          </cell>
          <cell r="N895" t="str">
            <v>ALKYD &amp; OIL SYSTEM</v>
          </cell>
        </row>
        <row r="896">
          <cell r="C896" t="str">
            <v>100000894</v>
          </cell>
          <cell r="D896" t="str">
            <v>TOL-76114 W VN-20LJ</v>
          </cell>
          <cell r="E896" t="str">
            <v>ZFGD</v>
          </cell>
          <cell r="F896" t="str">
            <v>PC</v>
          </cell>
          <cell r="G896" t="str">
            <v>1</v>
          </cell>
          <cell r="H896" t="str">
            <v>INDUSTRY</v>
          </cell>
          <cell r="I896" t="str">
            <v>11</v>
          </cell>
          <cell r="J896" t="str">
            <v>WOOD COATINGS</v>
          </cell>
          <cell r="K896" t="str">
            <v>1101</v>
          </cell>
          <cell r="L896" t="str">
            <v>ALKYD OIL</v>
          </cell>
          <cell r="M896" t="str">
            <v>110101</v>
          </cell>
          <cell r="N896" t="str">
            <v>ALKYD &amp; OIL SYSTEM</v>
          </cell>
        </row>
        <row r="897">
          <cell r="C897" t="str">
            <v>100000895</v>
          </cell>
          <cell r="D897" t="str">
            <v>TOL-76114 W VN-200LK</v>
          </cell>
          <cell r="E897" t="str">
            <v>ZFGD</v>
          </cell>
          <cell r="F897" t="str">
            <v>PC</v>
          </cell>
          <cell r="G897" t="str">
            <v>1</v>
          </cell>
          <cell r="H897" t="str">
            <v>INDUSTRY</v>
          </cell>
          <cell r="I897" t="str">
            <v>11</v>
          </cell>
          <cell r="J897" t="str">
            <v>WOOD COATINGS</v>
          </cell>
          <cell r="K897" t="str">
            <v>1101</v>
          </cell>
          <cell r="L897" t="str">
            <v>ALKYD OIL</v>
          </cell>
          <cell r="M897" t="str">
            <v>110101</v>
          </cell>
          <cell r="N897" t="str">
            <v>ALKYD &amp; OIL SYSTEM</v>
          </cell>
        </row>
        <row r="898">
          <cell r="C898" t="str">
            <v>100000896</v>
          </cell>
          <cell r="D898" t="str">
            <v>#NOT USED 114 W VN-20LJ</v>
          </cell>
          <cell r="E898" t="str">
            <v>ZFGD</v>
          </cell>
          <cell r="F898" t="str">
            <v>PC</v>
          </cell>
          <cell r="G898" t="str">
            <v>1</v>
          </cell>
          <cell r="H898" t="str">
            <v>INDUSTRY</v>
          </cell>
          <cell r="I898" t="str">
            <v>11</v>
          </cell>
          <cell r="J898" t="str">
            <v>WOOD COATINGS</v>
          </cell>
          <cell r="K898" t="str">
            <v>1101</v>
          </cell>
          <cell r="L898" t="str">
            <v>ALKYD OIL</v>
          </cell>
          <cell r="M898" t="str">
            <v>110101</v>
          </cell>
          <cell r="N898" t="str">
            <v>ALKYD &amp; OIL SYSTEM</v>
          </cell>
        </row>
        <row r="899">
          <cell r="C899" t="str">
            <v>100000897</v>
          </cell>
          <cell r="D899" t="str">
            <v>TOL-76114 WAX NATURAL VN-20LJ</v>
          </cell>
          <cell r="E899" t="str">
            <v>ZFGD</v>
          </cell>
          <cell r="F899" t="str">
            <v>PC</v>
          </cell>
          <cell r="G899" t="str">
            <v>1</v>
          </cell>
          <cell r="H899" t="str">
            <v>INDUSTRY</v>
          </cell>
          <cell r="I899" t="str">
            <v>11</v>
          </cell>
          <cell r="J899" t="str">
            <v>WOOD COATINGS</v>
          </cell>
          <cell r="K899" t="str">
            <v>1101</v>
          </cell>
          <cell r="L899" t="str">
            <v>ALKYD OIL</v>
          </cell>
          <cell r="M899" t="str">
            <v>110101</v>
          </cell>
          <cell r="N899" t="str">
            <v>ALKYD &amp; OIL SYSTEM</v>
          </cell>
        </row>
        <row r="900">
          <cell r="C900" t="str">
            <v>100000898</v>
          </cell>
          <cell r="D900" t="str">
            <v>TOL-76301 DEAD MATT SC VN-20LJ</v>
          </cell>
          <cell r="E900" t="str">
            <v>ZFGD</v>
          </cell>
          <cell r="F900" t="str">
            <v>PC</v>
          </cell>
          <cell r="G900" t="str">
            <v>1</v>
          </cell>
          <cell r="H900" t="str">
            <v>INDUSTRY</v>
          </cell>
          <cell r="I900" t="str">
            <v>11</v>
          </cell>
          <cell r="J900" t="str">
            <v>WOOD COATINGS</v>
          </cell>
          <cell r="K900" t="str">
            <v>1101</v>
          </cell>
          <cell r="L900" t="str">
            <v>ALKYD OIL</v>
          </cell>
          <cell r="M900" t="str">
            <v>110101</v>
          </cell>
          <cell r="N900" t="str">
            <v>ALKYD &amp; OIL SYSTEM</v>
          </cell>
        </row>
        <row r="901">
          <cell r="C901" t="str">
            <v>100000899</v>
          </cell>
          <cell r="D901" t="str">
            <v>TOL-76301 HVTM F1 VN-200LK</v>
          </cell>
          <cell r="E901" t="str">
            <v>ZFGD</v>
          </cell>
          <cell r="F901" t="str">
            <v>PC</v>
          </cell>
          <cell r="G901" t="str">
            <v>1</v>
          </cell>
          <cell r="H901" t="str">
            <v>INDUSTRY</v>
          </cell>
          <cell r="I901" t="str">
            <v>11</v>
          </cell>
          <cell r="J901" t="str">
            <v>WOOD COATINGS</v>
          </cell>
          <cell r="K901" t="str">
            <v>1101</v>
          </cell>
          <cell r="L901" t="str">
            <v>ALKYD OIL</v>
          </cell>
          <cell r="M901" t="str">
            <v>110101</v>
          </cell>
          <cell r="N901" t="str">
            <v>ALKYD &amp; OIL SYSTEM</v>
          </cell>
        </row>
        <row r="902">
          <cell r="C902" t="str">
            <v>100000900</v>
          </cell>
          <cell r="D902" t="str">
            <v>TOL-76301 HVTM F1 VN-20LJ</v>
          </cell>
          <cell r="E902" t="str">
            <v>ZFGD</v>
          </cell>
          <cell r="F902" t="str">
            <v>PC</v>
          </cell>
          <cell r="G902" t="str">
            <v>1</v>
          </cell>
          <cell r="H902" t="str">
            <v>INDUSTRY</v>
          </cell>
          <cell r="I902" t="str">
            <v>11</v>
          </cell>
          <cell r="J902" t="str">
            <v>WOOD COATINGS</v>
          </cell>
          <cell r="K902" t="str">
            <v>1101</v>
          </cell>
          <cell r="L902" t="str">
            <v>ALKYD OIL</v>
          </cell>
          <cell r="M902" t="str">
            <v>110101</v>
          </cell>
          <cell r="N902" t="str">
            <v>ALKYD &amp; OIL SYSTEM</v>
          </cell>
        </row>
        <row r="903">
          <cell r="C903" t="str">
            <v>100000901</v>
          </cell>
          <cell r="D903" t="str">
            <v>TOL-76301 N ALDER 01 MR SV VN-20LJ</v>
          </cell>
          <cell r="E903" t="str">
            <v>ZFGD</v>
          </cell>
          <cell r="F903" t="str">
            <v>PC</v>
          </cell>
          <cell r="G903" t="str">
            <v>1</v>
          </cell>
          <cell r="H903" t="str">
            <v>INDUSTRY</v>
          </cell>
          <cell r="I903" t="str">
            <v>11</v>
          </cell>
          <cell r="J903" t="str">
            <v>WOOD COATINGS</v>
          </cell>
          <cell r="K903" t="str">
            <v>1101</v>
          </cell>
          <cell r="L903" t="str">
            <v>ALKYD OIL</v>
          </cell>
          <cell r="M903" t="str">
            <v>110101</v>
          </cell>
          <cell r="N903" t="str">
            <v>ALKYD &amp; OIL SYSTEM</v>
          </cell>
        </row>
        <row r="904">
          <cell r="C904" t="str">
            <v>100000902</v>
          </cell>
          <cell r="D904" t="str">
            <v>TOL-76301 N CLEAR BASE VN-200LK</v>
          </cell>
          <cell r="E904" t="str">
            <v>ZFGD</v>
          </cell>
          <cell r="F904" t="str">
            <v>PC</v>
          </cell>
          <cell r="G904" t="str">
            <v>1</v>
          </cell>
          <cell r="H904" t="str">
            <v>INDUSTRY</v>
          </cell>
          <cell r="I904" t="str">
            <v>11</v>
          </cell>
          <cell r="J904" t="str">
            <v>WOOD COATINGS</v>
          </cell>
          <cell r="K904" t="str">
            <v>1101</v>
          </cell>
          <cell r="L904" t="str">
            <v>ALKYD OIL</v>
          </cell>
          <cell r="M904" t="str">
            <v>110101</v>
          </cell>
          <cell r="N904" t="str">
            <v>ALKYD &amp; OIL SYSTEM</v>
          </cell>
        </row>
        <row r="905">
          <cell r="C905" t="str">
            <v>100000903</v>
          </cell>
          <cell r="D905" t="str">
            <v>TOL-76301 N CLEAR BASE VN-20LJ</v>
          </cell>
          <cell r="E905" t="str">
            <v>ZFGD</v>
          </cell>
          <cell r="F905" t="str">
            <v>PC</v>
          </cell>
          <cell r="G905" t="str">
            <v>1</v>
          </cell>
          <cell r="H905" t="str">
            <v>INDUSTRY</v>
          </cell>
          <cell r="I905" t="str">
            <v>11</v>
          </cell>
          <cell r="J905" t="str">
            <v>WOOD COATINGS</v>
          </cell>
          <cell r="K905" t="str">
            <v>1101</v>
          </cell>
          <cell r="L905" t="str">
            <v>ALKYD OIL</v>
          </cell>
          <cell r="M905" t="str">
            <v>110101</v>
          </cell>
          <cell r="N905" t="str">
            <v>ALKYD &amp; OIL SYSTEM</v>
          </cell>
        </row>
        <row r="906">
          <cell r="C906" t="str">
            <v>100000904</v>
          </cell>
          <cell r="D906" t="str">
            <v>TOL-76301 N DV 02 PI VN-200LK</v>
          </cell>
          <cell r="E906" t="str">
            <v>ZFGD</v>
          </cell>
          <cell r="F906" t="str">
            <v>PC</v>
          </cell>
          <cell r="G906" t="str">
            <v>1</v>
          </cell>
          <cell r="H906" t="str">
            <v>INDUSTRY</v>
          </cell>
          <cell r="I906" t="str">
            <v>11</v>
          </cell>
          <cell r="J906" t="str">
            <v>WOOD COATINGS</v>
          </cell>
          <cell r="K906" t="str">
            <v>1101</v>
          </cell>
          <cell r="L906" t="str">
            <v>ALKYD OIL</v>
          </cell>
          <cell r="M906" t="str">
            <v>110101</v>
          </cell>
          <cell r="N906" t="str">
            <v>ALKYD &amp; OIL SYSTEM</v>
          </cell>
        </row>
        <row r="907">
          <cell r="C907" t="str">
            <v>100000905</v>
          </cell>
          <cell r="D907" t="str">
            <v>TOL-76301 N MTT 01 TM VN-200LK</v>
          </cell>
          <cell r="E907" t="str">
            <v>ZFGD</v>
          </cell>
          <cell r="F907" t="str">
            <v>PC</v>
          </cell>
          <cell r="G907" t="str">
            <v>1</v>
          </cell>
          <cell r="H907" t="str">
            <v>INDUSTRY</v>
          </cell>
          <cell r="I907" t="str">
            <v>11</v>
          </cell>
          <cell r="J907" t="str">
            <v>WOOD COATINGS</v>
          </cell>
          <cell r="K907" t="str">
            <v>1101</v>
          </cell>
          <cell r="L907" t="str">
            <v>ALKYD OIL</v>
          </cell>
          <cell r="M907" t="str">
            <v>110101</v>
          </cell>
          <cell r="N907" t="str">
            <v>ALKYD &amp; OIL SYSTEM</v>
          </cell>
        </row>
        <row r="908">
          <cell r="C908" t="str">
            <v>100000906</v>
          </cell>
          <cell r="D908" t="str">
            <v>TOL-76301 N MTT-01 VN-20LJ</v>
          </cell>
          <cell r="E908" t="str">
            <v>ZFGD</v>
          </cell>
          <cell r="F908" t="str">
            <v>PC</v>
          </cell>
          <cell r="G908" t="str">
            <v>1</v>
          </cell>
          <cell r="H908" t="str">
            <v>INDUSTRY</v>
          </cell>
          <cell r="I908" t="str">
            <v>11</v>
          </cell>
          <cell r="J908" t="str">
            <v>WOOD COATINGS</v>
          </cell>
          <cell r="K908" t="str">
            <v>1101</v>
          </cell>
          <cell r="L908" t="str">
            <v>ALKYD OIL</v>
          </cell>
          <cell r="M908" t="str">
            <v>110101</v>
          </cell>
          <cell r="N908" t="str">
            <v>ALKYD &amp; OIL SYSTEM</v>
          </cell>
        </row>
        <row r="909">
          <cell r="C909" t="str">
            <v>100000907</v>
          </cell>
          <cell r="D909" t="str">
            <v>TOL-76301 N RUDO F1 VN-20LJ</v>
          </cell>
          <cell r="E909" t="str">
            <v>ZFGD</v>
          </cell>
          <cell r="F909" t="str">
            <v>PC</v>
          </cell>
          <cell r="G909" t="str">
            <v>1</v>
          </cell>
          <cell r="H909" t="str">
            <v>INDUSTRY</v>
          </cell>
          <cell r="I909" t="str">
            <v>11</v>
          </cell>
          <cell r="J909" t="str">
            <v>WOOD COATINGS</v>
          </cell>
          <cell r="K909" t="str">
            <v>1101</v>
          </cell>
          <cell r="L909" t="str">
            <v>ALKYD OIL</v>
          </cell>
          <cell r="M909" t="str">
            <v>110101</v>
          </cell>
          <cell r="N909" t="str">
            <v>ALKYD &amp; OIL SYSTEM</v>
          </cell>
        </row>
        <row r="910">
          <cell r="C910" t="str">
            <v>100000908</v>
          </cell>
          <cell r="D910" t="str">
            <v>TOL-76301 N TEAK 3 F2 VN-20LJ</v>
          </cell>
          <cell r="E910" t="str">
            <v>ZFGD</v>
          </cell>
          <cell r="F910" t="str">
            <v>PC</v>
          </cell>
          <cell r="G910" t="str">
            <v>1</v>
          </cell>
          <cell r="H910" t="str">
            <v>INDUSTRY</v>
          </cell>
          <cell r="I910" t="str">
            <v>11</v>
          </cell>
          <cell r="J910" t="str">
            <v>WOOD COATINGS</v>
          </cell>
          <cell r="K910" t="str">
            <v>1101</v>
          </cell>
          <cell r="L910" t="str">
            <v>ALKYD OIL</v>
          </cell>
          <cell r="M910" t="str">
            <v>110101</v>
          </cell>
          <cell r="N910" t="str">
            <v>ALKYD &amp; OIL SYSTEM</v>
          </cell>
        </row>
        <row r="911">
          <cell r="C911" t="str">
            <v>100000909</v>
          </cell>
          <cell r="D911" t="str">
            <v>TOL-76301 N VG VW VN-20LJ</v>
          </cell>
          <cell r="E911" t="str">
            <v>ZFGD</v>
          </cell>
          <cell r="F911" t="str">
            <v>PC</v>
          </cell>
          <cell r="G911" t="str">
            <v>1</v>
          </cell>
          <cell r="H911" t="str">
            <v>INDUSTRY</v>
          </cell>
          <cell r="I911" t="str">
            <v>11</v>
          </cell>
          <cell r="J911" t="str">
            <v>WOOD COATINGS</v>
          </cell>
          <cell r="K911" t="str">
            <v>1101</v>
          </cell>
          <cell r="L911" t="str">
            <v>ALKYD OIL</v>
          </cell>
          <cell r="M911" t="str">
            <v>110101</v>
          </cell>
          <cell r="N911" t="str">
            <v>ALKYD &amp; OIL SYSTEM</v>
          </cell>
        </row>
        <row r="912">
          <cell r="C912" t="str">
            <v>100000910</v>
          </cell>
          <cell r="D912" t="str">
            <v>TOL-76301 P CLEAR BASE VN-200LK</v>
          </cell>
          <cell r="E912" t="str">
            <v>ZFGD</v>
          </cell>
          <cell r="F912" t="str">
            <v>PC</v>
          </cell>
          <cell r="G912" t="str">
            <v>1</v>
          </cell>
          <cell r="H912" t="str">
            <v>INDUSTRY</v>
          </cell>
          <cell r="I912" t="str">
            <v>11</v>
          </cell>
          <cell r="J912" t="str">
            <v>WOOD COATINGS</v>
          </cell>
          <cell r="K912" t="str">
            <v>1101</v>
          </cell>
          <cell r="L912" t="str">
            <v>ALKYD OIL</v>
          </cell>
          <cell r="M912" t="str">
            <v>110101</v>
          </cell>
          <cell r="N912" t="str">
            <v>ALKYD &amp; OIL SYSTEM</v>
          </cell>
        </row>
        <row r="913">
          <cell r="C913" t="str">
            <v>100000911</v>
          </cell>
          <cell r="D913" t="str">
            <v>TOL-76301 P CLEAR BASE VN-20LJ</v>
          </cell>
          <cell r="E913" t="str">
            <v>ZFGD</v>
          </cell>
          <cell r="F913" t="str">
            <v>PC</v>
          </cell>
          <cell r="G913" t="str">
            <v>1</v>
          </cell>
          <cell r="H913" t="str">
            <v>INDUSTRY</v>
          </cell>
          <cell r="I913" t="str">
            <v>11</v>
          </cell>
          <cell r="J913" t="str">
            <v>WOOD COATINGS</v>
          </cell>
          <cell r="K913" t="str">
            <v>1101</v>
          </cell>
          <cell r="L913" t="str">
            <v>ALKYD OIL</v>
          </cell>
          <cell r="M913" t="str">
            <v>110101</v>
          </cell>
          <cell r="N913" t="str">
            <v>ALKYD &amp; OIL SYSTEM</v>
          </cell>
        </row>
        <row r="914">
          <cell r="C914" t="str">
            <v>100000912</v>
          </cell>
          <cell r="D914" t="str">
            <v>TOL-76301 P DEAD MATT TD VN-200LK</v>
          </cell>
          <cell r="E914" t="str">
            <v>ZFGD</v>
          </cell>
          <cell r="F914" t="str">
            <v>PC</v>
          </cell>
          <cell r="G914" t="str">
            <v>1</v>
          </cell>
          <cell r="H914" t="str">
            <v>INDUSTRY</v>
          </cell>
          <cell r="I914" t="str">
            <v>11</v>
          </cell>
          <cell r="J914" t="str">
            <v>WOOD COATINGS</v>
          </cell>
          <cell r="K914" t="str">
            <v>1101</v>
          </cell>
          <cell r="L914" t="str">
            <v>ALKYD OIL</v>
          </cell>
          <cell r="M914" t="str">
            <v>110101</v>
          </cell>
          <cell r="N914" t="str">
            <v>ALKYD &amp; OIL SYSTEM</v>
          </cell>
        </row>
        <row r="915">
          <cell r="C915" t="str">
            <v>100000913</v>
          </cell>
          <cell r="D915" t="str">
            <v>TOL-76301 208 SC VN-200LK</v>
          </cell>
          <cell r="E915" t="str">
            <v>ZFGD</v>
          </cell>
          <cell r="F915" t="str">
            <v>PC</v>
          </cell>
          <cell r="G915" t="str">
            <v>1</v>
          </cell>
          <cell r="H915" t="str">
            <v>INDUSTRY</v>
          </cell>
          <cell r="I915" t="str">
            <v>11</v>
          </cell>
          <cell r="J915" t="str">
            <v>WOOD COATINGS</v>
          </cell>
          <cell r="K915" t="str">
            <v>1101</v>
          </cell>
          <cell r="L915" t="str">
            <v>ALKYD OIL</v>
          </cell>
          <cell r="M915" t="str">
            <v>110101</v>
          </cell>
          <cell r="N915" t="str">
            <v>ALKYD &amp; OIL SYSTEM</v>
          </cell>
        </row>
        <row r="916">
          <cell r="C916" t="str">
            <v>100000914</v>
          </cell>
          <cell r="D916" t="str">
            <v>TOL-76301 TEAK QN VN-200LK</v>
          </cell>
          <cell r="E916" t="str">
            <v>ZFGD</v>
          </cell>
          <cell r="F916" t="str">
            <v>PC</v>
          </cell>
          <cell r="G916" t="str">
            <v>1</v>
          </cell>
          <cell r="H916" t="str">
            <v>INDUSTRY</v>
          </cell>
          <cell r="I916" t="str">
            <v>11</v>
          </cell>
          <cell r="J916" t="str">
            <v>WOOD COATINGS</v>
          </cell>
          <cell r="K916" t="str">
            <v>1101</v>
          </cell>
          <cell r="L916" t="str">
            <v>ALKYD OIL</v>
          </cell>
          <cell r="M916" t="str">
            <v>110101</v>
          </cell>
          <cell r="N916" t="str">
            <v>ALKYD &amp; OIL SYSTEM</v>
          </cell>
        </row>
        <row r="917">
          <cell r="C917" t="str">
            <v>100000915</v>
          </cell>
          <cell r="D917" t="str">
            <v>TOL-76301 N 62 F1 VN-20LJ</v>
          </cell>
          <cell r="E917" t="str">
            <v>ZFGD</v>
          </cell>
          <cell r="F917" t="str">
            <v>PC</v>
          </cell>
          <cell r="G917" t="str">
            <v>1</v>
          </cell>
          <cell r="H917" t="str">
            <v>INDUSTRY</v>
          </cell>
          <cell r="I917" t="str">
            <v>11</v>
          </cell>
          <cell r="J917" t="str">
            <v>WOOD COATINGS</v>
          </cell>
          <cell r="K917" t="str">
            <v>1101</v>
          </cell>
          <cell r="L917" t="str">
            <v>ALKYD OIL</v>
          </cell>
          <cell r="M917" t="str">
            <v>110101</v>
          </cell>
          <cell r="N917" t="str">
            <v>ALKYD &amp; OIL SYSTEM</v>
          </cell>
        </row>
        <row r="918">
          <cell r="C918" t="str">
            <v>100000916</v>
          </cell>
          <cell r="D918" t="str">
            <v>TOL-76301 N AQUARIUS 01 F1 VN-20LJ</v>
          </cell>
          <cell r="E918" t="str">
            <v>ZFGD</v>
          </cell>
          <cell r="F918" t="str">
            <v>PC</v>
          </cell>
          <cell r="G918" t="str">
            <v>1</v>
          </cell>
          <cell r="H918" t="str">
            <v>INDUSTRY</v>
          </cell>
          <cell r="I918" t="str">
            <v>11</v>
          </cell>
          <cell r="J918" t="str">
            <v>WOOD COATINGS</v>
          </cell>
          <cell r="K918" t="str">
            <v>1101</v>
          </cell>
          <cell r="L918" t="str">
            <v>ALKYD OIL</v>
          </cell>
          <cell r="M918" t="str">
            <v>110101</v>
          </cell>
          <cell r="N918" t="str">
            <v>ALKYD &amp; OIL SYSTEM</v>
          </cell>
        </row>
        <row r="919">
          <cell r="C919" t="str">
            <v>100000917</v>
          </cell>
          <cell r="D919" t="str">
            <v>TOL-76301 N LEVICO F1 VN-200LK</v>
          </cell>
          <cell r="E919" t="str">
            <v>ZFGD</v>
          </cell>
          <cell r="F919" t="str">
            <v>PC</v>
          </cell>
          <cell r="G919" t="str">
            <v>1</v>
          </cell>
          <cell r="H919" t="str">
            <v>INDUSTRY</v>
          </cell>
          <cell r="I919" t="str">
            <v>11</v>
          </cell>
          <cell r="J919" t="str">
            <v>WOOD COATINGS</v>
          </cell>
          <cell r="K919" t="str">
            <v>1101</v>
          </cell>
          <cell r="L919" t="str">
            <v>ALKYD OIL</v>
          </cell>
          <cell r="M919" t="str">
            <v>110101</v>
          </cell>
          <cell r="N919" t="str">
            <v>ALKYD &amp; OIL SYSTEM</v>
          </cell>
        </row>
        <row r="920">
          <cell r="C920" t="str">
            <v>100000918</v>
          </cell>
          <cell r="D920" t="str">
            <v>TOL-76301 N LEVICO F1 VN-20LJ</v>
          </cell>
          <cell r="E920" t="str">
            <v>ZFGD</v>
          </cell>
          <cell r="F920" t="str">
            <v>PC</v>
          </cell>
          <cell r="G920" t="str">
            <v>1</v>
          </cell>
          <cell r="H920" t="str">
            <v>INDUSTRY</v>
          </cell>
          <cell r="I920" t="str">
            <v>11</v>
          </cell>
          <cell r="J920" t="str">
            <v>WOOD COATINGS</v>
          </cell>
          <cell r="K920" t="str">
            <v>1101</v>
          </cell>
          <cell r="L920" t="str">
            <v>ALKYD OIL</v>
          </cell>
          <cell r="M920" t="str">
            <v>110101</v>
          </cell>
          <cell r="N920" t="str">
            <v>ALKYD &amp; OIL SYSTEM</v>
          </cell>
        </row>
        <row r="921">
          <cell r="C921" t="str">
            <v>100000919</v>
          </cell>
          <cell r="D921" t="str">
            <v>TOL-76301 N NEW MTT 01 F2 VN-20LJ</v>
          </cell>
          <cell r="E921" t="str">
            <v>ZFGD</v>
          </cell>
          <cell r="F921" t="str">
            <v>PC</v>
          </cell>
          <cell r="G921" t="str">
            <v>1</v>
          </cell>
          <cell r="H921" t="str">
            <v>INDUSTRY</v>
          </cell>
          <cell r="I921" t="str">
            <v>11</v>
          </cell>
          <cell r="J921" t="str">
            <v>WOOD COATINGS</v>
          </cell>
          <cell r="K921" t="str">
            <v>1101</v>
          </cell>
          <cell r="L921" t="str">
            <v>ALKYD OIL</v>
          </cell>
          <cell r="M921" t="str">
            <v>110101</v>
          </cell>
          <cell r="N921" t="str">
            <v>ALKYD &amp; OIL SYSTEM</v>
          </cell>
        </row>
        <row r="922">
          <cell r="C922" t="str">
            <v>100000920</v>
          </cell>
          <cell r="D922" t="str">
            <v>TOL-76301 N VAN SAN GE VN-20LJ</v>
          </cell>
          <cell r="E922" t="str">
            <v>ZFGD</v>
          </cell>
          <cell r="F922" t="str">
            <v>PC</v>
          </cell>
          <cell r="G922" t="str">
            <v>1</v>
          </cell>
          <cell r="H922" t="str">
            <v>INDUSTRY</v>
          </cell>
          <cell r="I922" t="str">
            <v>11</v>
          </cell>
          <cell r="J922" t="str">
            <v>WOOD COATINGS</v>
          </cell>
          <cell r="K922" t="str">
            <v>1101</v>
          </cell>
          <cell r="L922" t="str">
            <v>ALKYD OIL</v>
          </cell>
          <cell r="M922" t="str">
            <v>110101</v>
          </cell>
          <cell r="N922" t="str">
            <v>ALKYD &amp; OIL SYSTEM</v>
          </cell>
        </row>
        <row r="923">
          <cell r="C923" t="str">
            <v>100000921</v>
          </cell>
          <cell r="D923" t="str">
            <v>TOL-76301 P BLACK PI VN-200LK</v>
          </cell>
          <cell r="E923" t="str">
            <v>ZFGD</v>
          </cell>
          <cell r="F923" t="str">
            <v>PC</v>
          </cell>
          <cell r="G923" t="str">
            <v>1</v>
          </cell>
          <cell r="H923" t="str">
            <v>INDUSTRY</v>
          </cell>
          <cell r="I923" t="str">
            <v>11</v>
          </cell>
          <cell r="J923" t="str">
            <v>WOOD COATINGS</v>
          </cell>
          <cell r="K923" t="str">
            <v>1101</v>
          </cell>
          <cell r="L923" t="str">
            <v>ALKYD OIL</v>
          </cell>
          <cell r="M923" t="str">
            <v>110101</v>
          </cell>
          <cell r="N923" t="str">
            <v>ALKYD &amp; OIL SYSTEM</v>
          </cell>
        </row>
        <row r="924">
          <cell r="C924" t="str">
            <v>100000922</v>
          </cell>
          <cell r="D924" t="str">
            <v>TOL-76301 P DARK BROWN SC VN-20LJ</v>
          </cell>
          <cell r="E924" t="str">
            <v>ZFGD</v>
          </cell>
          <cell r="F924" t="str">
            <v>PC</v>
          </cell>
          <cell r="G924" t="str">
            <v>1</v>
          </cell>
          <cell r="H924" t="str">
            <v>INDUSTRY</v>
          </cell>
          <cell r="I924" t="str">
            <v>11</v>
          </cell>
          <cell r="J924" t="str">
            <v>WOOD COATINGS</v>
          </cell>
          <cell r="K924" t="str">
            <v>1101</v>
          </cell>
          <cell r="L924" t="str">
            <v>ALKYD OIL</v>
          </cell>
          <cell r="M924" t="str">
            <v>110101</v>
          </cell>
          <cell r="N924" t="str">
            <v>ALKYD &amp; OIL SYSTEM</v>
          </cell>
        </row>
        <row r="925">
          <cell r="C925" t="str">
            <v>100000923</v>
          </cell>
          <cell r="D925" t="str">
            <v>UVP-60501 CHOCOLATE DAC VN-20KP</v>
          </cell>
          <cell r="E925" t="str">
            <v>ZFGD</v>
          </cell>
          <cell r="F925" t="str">
            <v>PC</v>
          </cell>
          <cell r="G925" t="str">
            <v>1</v>
          </cell>
          <cell r="H925" t="str">
            <v>INDUSTRY</v>
          </cell>
          <cell r="I925" t="str">
            <v>11</v>
          </cell>
          <cell r="J925" t="str">
            <v>WOOD COATINGS</v>
          </cell>
          <cell r="K925" t="str">
            <v>1106</v>
          </cell>
          <cell r="L925" t="str">
            <v>UV</v>
          </cell>
          <cell r="M925" t="str">
            <v>110604</v>
          </cell>
          <cell r="N925" t="str">
            <v>UV PRIMER</v>
          </cell>
        </row>
        <row r="926">
          <cell r="C926" t="str">
            <v>100000924</v>
          </cell>
          <cell r="D926" t="str">
            <v>UVP-60501 CLT SC VN-20KP</v>
          </cell>
          <cell r="E926" t="str">
            <v>ZFGD</v>
          </cell>
          <cell r="F926" t="str">
            <v>PC</v>
          </cell>
          <cell r="G926" t="str">
            <v>1</v>
          </cell>
          <cell r="H926" t="str">
            <v>INDUSTRY</v>
          </cell>
          <cell r="I926" t="str">
            <v>11</v>
          </cell>
          <cell r="J926" t="str">
            <v>WOOD COATINGS</v>
          </cell>
          <cell r="K926" t="str">
            <v>1106</v>
          </cell>
          <cell r="L926" t="str">
            <v>UV</v>
          </cell>
          <cell r="M926" t="str">
            <v>110604</v>
          </cell>
          <cell r="N926" t="str">
            <v>UV PRIMER</v>
          </cell>
        </row>
        <row r="927">
          <cell r="C927" t="str">
            <v>100000925</v>
          </cell>
          <cell r="D927" t="str">
            <v>UVP-60501 DAC SC VN-20KP</v>
          </cell>
          <cell r="E927" t="str">
            <v>ZFGD</v>
          </cell>
          <cell r="F927" t="str">
            <v>PC</v>
          </cell>
          <cell r="G927" t="str">
            <v>1</v>
          </cell>
          <cell r="H927" t="str">
            <v>INDUSTRY</v>
          </cell>
          <cell r="I927" t="str">
            <v>11</v>
          </cell>
          <cell r="J927" t="str">
            <v>WOOD COATINGS</v>
          </cell>
          <cell r="K927" t="str">
            <v>1106</v>
          </cell>
          <cell r="L927" t="str">
            <v>UV</v>
          </cell>
          <cell r="M927" t="str">
            <v>110604</v>
          </cell>
          <cell r="N927" t="str">
            <v>UV PRIMER</v>
          </cell>
        </row>
        <row r="928">
          <cell r="C928" t="str">
            <v>100000926</v>
          </cell>
          <cell r="D928" t="str">
            <v>UVP-60501 DGRY SC VN-20KP</v>
          </cell>
          <cell r="E928" t="str">
            <v>ZFGD</v>
          </cell>
          <cell r="F928" t="str">
            <v>PC</v>
          </cell>
          <cell r="G928" t="str">
            <v>1</v>
          </cell>
          <cell r="H928" t="str">
            <v>INDUSTRY</v>
          </cell>
          <cell r="I928" t="str">
            <v>11</v>
          </cell>
          <cell r="J928" t="str">
            <v>WOOD COATINGS</v>
          </cell>
          <cell r="K928" t="str">
            <v>1106</v>
          </cell>
          <cell r="L928" t="str">
            <v>UV</v>
          </cell>
          <cell r="M928" t="str">
            <v>110604</v>
          </cell>
          <cell r="N928" t="str">
            <v>UV PRIMER</v>
          </cell>
        </row>
        <row r="929">
          <cell r="C929" t="str">
            <v>100000927</v>
          </cell>
          <cell r="D929" t="str">
            <v>UVP-60501 LIGHT TEAK SC VN-20KP</v>
          </cell>
          <cell r="E929" t="str">
            <v>ZFGD</v>
          </cell>
          <cell r="F929" t="str">
            <v>PC</v>
          </cell>
          <cell r="G929" t="str">
            <v>1</v>
          </cell>
          <cell r="H929" t="str">
            <v>INDUSTRY</v>
          </cell>
          <cell r="I929" t="str">
            <v>11</v>
          </cell>
          <cell r="J929" t="str">
            <v>WOOD COATINGS</v>
          </cell>
          <cell r="K929" t="str">
            <v>1106</v>
          </cell>
          <cell r="L929" t="str">
            <v>UV</v>
          </cell>
          <cell r="M929" t="str">
            <v>110604</v>
          </cell>
          <cell r="N929" t="str">
            <v>UV PRIMER</v>
          </cell>
        </row>
        <row r="930">
          <cell r="C930" t="str">
            <v>100000928</v>
          </cell>
          <cell r="D930" t="str">
            <v>UVP-60501 LTAP SC VN-20KP</v>
          </cell>
          <cell r="E930" t="str">
            <v>ZFGD</v>
          </cell>
          <cell r="F930" t="str">
            <v>PC</v>
          </cell>
          <cell r="G930" t="str">
            <v>1</v>
          </cell>
          <cell r="H930" t="str">
            <v>INDUSTRY</v>
          </cell>
          <cell r="I930" t="str">
            <v>11</v>
          </cell>
          <cell r="J930" t="str">
            <v>WOOD COATINGS</v>
          </cell>
          <cell r="K930" t="str">
            <v>1106</v>
          </cell>
          <cell r="L930" t="str">
            <v>UV</v>
          </cell>
          <cell r="M930" t="str">
            <v>110604</v>
          </cell>
          <cell r="N930" t="str">
            <v>UV PRIMER</v>
          </cell>
        </row>
        <row r="931">
          <cell r="C931" t="str">
            <v>100000929</v>
          </cell>
          <cell r="D931" t="str">
            <v>UVP-60501 MD GREY SC VN-20KP</v>
          </cell>
          <cell r="E931" t="str">
            <v>ZFGD</v>
          </cell>
          <cell r="F931" t="str">
            <v>PC</v>
          </cell>
          <cell r="G931" t="str">
            <v>1</v>
          </cell>
          <cell r="H931" t="str">
            <v>INDUSTRY</v>
          </cell>
          <cell r="I931" t="str">
            <v>11</v>
          </cell>
          <cell r="J931" t="str">
            <v>WOOD COATINGS</v>
          </cell>
          <cell r="K931" t="str">
            <v>1106</v>
          </cell>
          <cell r="L931" t="str">
            <v>UV</v>
          </cell>
          <cell r="M931" t="str">
            <v>110604</v>
          </cell>
          <cell r="N931" t="str">
            <v>UV PRIMER</v>
          </cell>
        </row>
        <row r="932">
          <cell r="C932" t="str">
            <v>100000930</v>
          </cell>
          <cell r="D932" t="str">
            <v>UVP-60501 WHITE CSN VN-20KP</v>
          </cell>
          <cell r="E932" t="str">
            <v>ZFGD</v>
          </cell>
          <cell r="F932" t="str">
            <v>PC</v>
          </cell>
          <cell r="G932" t="str">
            <v>1</v>
          </cell>
          <cell r="H932" t="str">
            <v>INDUSTRY</v>
          </cell>
          <cell r="I932" t="str">
            <v>11</v>
          </cell>
          <cell r="J932" t="str">
            <v>WOOD COATINGS</v>
          </cell>
          <cell r="K932" t="str">
            <v>1106</v>
          </cell>
          <cell r="L932" t="str">
            <v>UV</v>
          </cell>
          <cell r="M932" t="str">
            <v>110604</v>
          </cell>
          <cell r="N932" t="str">
            <v>UV PRIMER</v>
          </cell>
        </row>
        <row r="933">
          <cell r="C933" t="str">
            <v>100000931</v>
          </cell>
          <cell r="D933" t="str">
            <v>UVS-20202 BLACK SC VN-20KP</v>
          </cell>
          <cell r="E933" t="str">
            <v>ZFGD</v>
          </cell>
          <cell r="F933" t="str">
            <v>PC</v>
          </cell>
          <cell r="G933" t="str">
            <v>1</v>
          </cell>
          <cell r="H933" t="str">
            <v>INDUSTRY</v>
          </cell>
          <cell r="I933" t="str">
            <v>11</v>
          </cell>
          <cell r="J933" t="str">
            <v>WOOD COATINGS</v>
          </cell>
          <cell r="K933" t="str">
            <v>1106</v>
          </cell>
          <cell r="L933" t="str">
            <v>UV</v>
          </cell>
          <cell r="M933" t="str">
            <v>110606</v>
          </cell>
          <cell r="N933" t="str">
            <v>UV STAIN</v>
          </cell>
        </row>
        <row r="934">
          <cell r="C934" t="str">
            <v>100000932</v>
          </cell>
          <cell r="D934" t="str">
            <v>UVS-20202 BLACK ZBR VN-20KP</v>
          </cell>
          <cell r="E934" t="str">
            <v>ZFGD</v>
          </cell>
          <cell r="F934" t="str">
            <v>PC</v>
          </cell>
          <cell r="G934" t="str">
            <v>1</v>
          </cell>
          <cell r="H934" t="str">
            <v>INDUSTRY</v>
          </cell>
          <cell r="I934" t="str">
            <v>11</v>
          </cell>
          <cell r="J934" t="str">
            <v>WOOD COATINGS</v>
          </cell>
          <cell r="K934" t="str">
            <v>1106</v>
          </cell>
          <cell r="L934" t="str">
            <v>UV</v>
          </cell>
          <cell r="M934" t="str">
            <v>110606</v>
          </cell>
          <cell r="N934" t="str">
            <v>UV STAIN</v>
          </cell>
        </row>
        <row r="935">
          <cell r="C935" t="str">
            <v>100000933</v>
          </cell>
          <cell r="D935" t="str">
            <v>UVS-20202 BLUE 05 SC VN-20KP</v>
          </cell>
          <cell r="E935" t="str">
            <v>ZFGD</v>
          </cell>
          <cell r="F935" t="str">
            <v>PC</v>
          </cell>
          <cell r="G935" t="str">
            <v>1</v>
          </cell>
          <cell r="H935" t="str">
            <v>INDUSTRY</v>
          </cell>
          <cell r="I935" t="str">
            <v>11</v>
          </cell>
          <cell r="J935" t="str">
            <v>WOOD COATINGS</v>
          </cell>
          <cell r="K935" t="str">
            <v>1106</v>
          </cell>
          <cell r="L935" t="str">
            <v>UV</v>
          </cell>
          <cell r="M935" t="str">
            <v>110606</v>
          </cell>
          <cell r="N935" t="str">
            <v>UV STAIN</v>
          </cell>
        </row>
        <row r="936">
          <cell r="C936" t="str">
            <v>100000934</v>
          </cell>
          <cell r="D936" t="str">
            <v>UVS-20202 BLUE 07 SC VN-20KP</v>
          </cell>
          <cell r="E936" t="str">
            <v>ZFGD</v>
          </cell>
          <cell r="F936" t="str">
            <v>PC</v>
          </cell>
          <cell r="G936" t="str">
            <v>1</v>
          </cell>
          <cell r="H936" t="str">
            <v>INDUSTRY</v>
          </cell>
          <cell r="I936" t="str">
            <v>11</v>
          </cell>
          <cell r="J936" t="str">
            <v>WOOD COATINGS</v>
          </cell>
          <cell r="K936" t="str">
            <v>1106</v>
          </cell>
          <cell r="L936" t="str">
            <v>UV</v>
          </cell>
          <cell r="M936" t="str">
            <v>110606</v>
          </cell>
          <cell r="N936" t="str">
            <v>UV STAIN</v>
          </cell>
        </row>
        <row r="937">
          <cell r="C937" t="str">
            <v>100000935</v>
          </cell>
          <cell r="D937" t="str">
            <v>UVS-20202 BLUE 08 SC VN-20KP</v>
          </cell>
          <cell r="E937" t="str">
            <v>ZFGD</v>
          </cell>
          <cell r="F937" t="str">
            <v>PC</v>
          </cell>
          <cell r="G937" t="str">
            <v>1</v>
          </cell>
          <cell r="H937" t="str">
            <v>INDUSTRY</v>
          </cell>
          <cell r="I937" t="str">
            <v>11</v>
          </cell>
          <cell r="J937" t="str">
            <v>WOOD COATINGS</v>
          </cell>
          <cell r="K937" t="str">
            <v>1106</v>
          </cell>
          <cell r="L937" t="str">
            <v>UV</v>
          </cell>
          <cell r="M937" t="str">
            <v>110606</v>
          </cell>
          <cell r="N937" t="str">
            <v>UV STAIN</v>
          </cell>
        </row>
        <row r="938">
          <cell r="C938" t="str">
            <v>100000936</v>
          </cell>
          <cell r="D938" t="str">
            <v>UVS-20202 BLUE 09 SC VN-20KP</v>
          </cell>
          <cell r="E938" t="str">
            <v>ZFGD</v>
          </cell>
          <cell r="F938" t="str">
            <v>PC</v>
          </cell>
          <cell r="G938" t="str">
            <v>1</v>
          </cell>
          <cell r="H938" t="str">
            <v>INDUSTRY</v>
          </cell>
          <cell r="I938" t="str">
            <v>11</v>
          </cell>
          <cell r="J938" t="str">
            <v>WOOD COATINGS</v>
          </cell>
          <cell r="K938" t="str">
            <v>1106</v>
          </cell>
          <cell r="L938" t="str">
            <v>UV</v>
          </cell>
          <cell r="M938" t="str">
            <v>110606</v>
          </cell>
          <cell r="N938" t="str">
            <v>UV STAIN</v>
          </cell>
        </row>
        <row r="939">
          <cell r="C939" t="str">
            <v>100000937</v>
          </cell>
          <cell r="D939" t="str">
            <v>UVS-20202 CEMENT 01 SC VN-20KP</v>
          </cell>
          <cell r="E939" t="str">
            <v>ZFGD</v>
          </cell>
          <cell r="F939" t="str">
            <v>PC</v>
          </cell>
          <cell r="G939" t="str">
            <v>1</v>
          </cell>
          <cell r="H939" t="str">
            <v>INDUSTRY</v>
          </cell>
          <cell r="I939" t="str">
            <v>11</v>
          </cell>
          <cell r="J939" t="str">
            <v>WOOD COATINGS</v>
          </cell>
          <cell r="K939" t="str">
            <v>1106</v>
          </cell>
          <cell r="L939" t="str">
            <v>UV</v>
          </cell>
          <cell r="M939" t="str">
            <v>110606</v>
          </cell>
          <cell r="N939" t="str">
            <v>UV STAIN</v>
          </cell>
        </row>
        <row r="940">
          <cell r="C940" t="str">
            <v>100000938</v>
          </cell>
          <cell r="D940" t="str">
            <v>UVS-20202 CEMENT 02 SC VN-20KP</v>
          </cell>
          <cell r="E940" t="str">
            <v>ZFGD</v>
          </cell>
          <cell r="F940" t="str">
            <v>PC</v>
          </cell>
          <cell r="G940" t="str">
            <v>1</v>
          </cell>
          <cell r="H940" t="str">
            <v>INDUSTRY</v>
          </cell>
          <cell r="I940" t="str">
            <v>11</v>
          </cell>
          <cell r="J940" t="str">
            <v>WOOD COATINGS</v>
          </cell>
          <cell r="K940" t="str">
            <v>1106</v>
          </cell>
          <cell r="L940" t="str">
            <v>UV</v>
          </cell>
          <cell r="M940" t="str">
            <v>110606</v>
          </cell>
          <cell r="N940" t="str">
            <v>UV STAIN</v>
          </cell>
        </row>
        <row r="941">
          <cell r="C941" t="str">
            <v>100000939</v>
          </cell>
          <cell r="D941" t="str">
            <v>UVS-20202 DARK GREY 01 SC VN-20KP</v>
          </cell>
          <cell r="E941" t="str">
            <v>ZFGD</v>
          </cell>
          <cell r="F941" t="str">
            <v>PC</v>
          </cell>
          <cell r="G941" t="str">
            <v>1</v>
          </cell>
          <cell r="H941" t="str">
            <v>INDUSTRY</v>
          </cell>
          <cell r="I941" t="str">
            <v>11</v>
          </cell>
          <cell r="J941" t="str">
            <v>WOOD COATINGS</v>
          </cell>
          <cell r="K941" t="str">
            <v>1106</v>
          </cell>
          <cell r="L941" t="str">
            <v>UV</v>
          </cell>
          <cell r="M941" t="str">
            <v>110606</v>
          </cell>
          <cell r="N941" t="str">
            <v>UV STAIN</v>
          </cell>
        </row>
        <row r="942">
          <cell r="C942" t="str">
            <v>100000940</v>
          </cell>
          <cell r="D942" t="str">
            <v>UVS-20202 GMR 01 SC VN-20KP</v>
          </cell>
          <cell r="E942" t="str">
            <v>ZFGD</v>
          </cell>
          <cell r="F942" t="str">
            <v>PC</v>
          </cell>
          <cell r="G942" t="str">
            <v>1</v>
          </cell>
          <cell r="H942" t="str">
            <v>INDUSTRY</v>
          </cell>
          <cell r="I942" t="str">
            <v>11</v>
          </cell>
          <cell r="J942" t="str">
            <v>WOOD COATINGS</v>
          </cell>
          <cell r="K942" t="str">
            <v>1106</v>
          </cell>
          <cell r="L942" t="str">
            <v>UV</v>
          </cell>
          <cell r="M942" t="str">
            <v>110606</v>
          </cell>
          <cell r="N942" t="str">
            <v>UV STAIN</v>
          </cell>
        </row>
        <row r="943">
          <cell r="C943" t="str">
            <v>100000941</v>
          </cell>
          <cell r="D943" t="str">
            <v>UVS-20202 GMR 02 SC VN-20KP</v>
          </cell>
          <cell r="E943" t="str">
            <v>ZFGD</v>
          </cell>
          <cell r="F943" t="str">
            <v>PC</v>
          </cell>
          <cell r="G943" t="str">
            <v>1</v>
          </cell>
          <cell r="H943" t="str">
            <v>INDUSTRY</v>
          </cell>
          <cell r="I943" t="str">
            <v>11</v>
          </cell>
          <cell r="J943" t="str">
            <v>WOOD COATINGS</v>
          </cell>
          <cell r="K943" t="str">
            <v>1106</v>
          </cell>
          <cell r="L943" t="str">
            <v>UV</v>
          </cell>
          <cell r="M943" t="str">
            <v>110606</v>
          </cell>
          <cell r="N943" t="str">
            <v>UV STAIN</v>
          </cell>
        </row>
        <row r="944">
          <cell r="C944" t="str">
            <v>100000942</v>
          </cell>
          <cell r="D944" t="str">
            <v>UVS-20202 LIGHT GREY 02 SC VN-20KP</v>
          </cell>
          <cell r="E944" t="str">
            <v>ZFGD</v>
          </cell>
          <cell r="F944" t="str">
            <v>PC</v>
          </cell>
          <cell r="G944" t="str">
            <v>1</v>
          </cell>
          <cell r="H944" t="str">
            <v>INDUSTRY</v>
          </cell>
          <cell r="I944" t="str">
            <v>11</v>
          </cell>
          <cell r="J944" t="str">
            <v>WOOD COATINGS</v>
          </cell>
          <cell r="K944" t="str">
            <v>1106</v>
          </cell>
          <cell r="L944" t="str">
            <v>UV</v>
          </cell>
          <cell r="M944" t="str">
            <v>110606</v>
          </cell>
          <cell r="N944" t="str">
            <v>UV STAIN</v>
          </cell>
        </row>
        <row r="945">
          <cell r="C945" t="str">
            <v>100000943</v>
          </cell>
          <cell r="D945" t="str">
            <v>UVS-20202 LIGHT GREY 03 SC VN-20KP</v>
          </cell>
          <cell r="E945" t="str">
            <v>ZFGD</v>
          </cell>
          <cell r="F945" t="str">
            <v>PC</v>
          </cell>
          <cell r="G945" t="str">
            <v>1</v>
          </cell>
          <cell r="H945" t="str">
            <v>INDUSTRY</v>
          </cell>
          <cell r="I945" t="str">
            <v>11</v>
          </cell>
          <cell r="J945" t="str">
            <v>WOOD COATINGS</v>
          </cell>
          <cell r="K945" t="str">
            <v>1106</v>
          </cell>
          <cell r="L945" t="str">
            <v>UV</v>
          </cell>
          <cell r="M945" t="str">
            <v>110606</v>
          </cell>
          <cell r="N945" t="str">
            <v>UV STAIN</v>
          </cell>
        </row>
        <row r="946">
          <cell r="C946" t="str">
            <v>100000944</v>
          </cell>
          <cell r="D946" t="str">
            <v>UVS-20202 LIGHT GREY 04 SC VN-20KP</v>
          </cell>
          <cell r="E946" t="str">
            <v>ZFGD</v>
          </cell>
          <cell r="F946" t="str">
            <v>PC</v>
          </cell>
          <cell r="G946" t="str">
            <v>1</v>
          </cell>
          <cell r="H946" t="str">
            <v>INDUSTRY</v>
          </cell>
          <cell r="I946" t="str">
            <v>11</v>
          </cell>
          <cell r="J946" t="str">
            <v>WOOD COATINGS</v>
          </cell>
          <cell r="K946" t="str">
            <v>1106</v>
          </cell>
          <cell r="L946" t="str">
            <v>UV</v>
          </cell>
          <cell r="M946" t="str">
            <v>110606</v>
          </cell>
          <cell r="N946" t="str">
            <v>UV STAIN</v>
          </cell>
        </row>
        <row r="947">
          <cell r="C947" t="str">
            <v>100000945</v>
          </cell>
          <cell r="D947" t="str">
            <v>UVS-20202 LIGHT TEAK 01 SC VN-20KP</v>
          </cell>
          <cell r="E947" t="str">
            <v>ZFGD</v>
          </cell>
          <cell r="F947" t="str">
            <v>PC</v>
          </cell>
          <cell r="G947" t="str">
            <v>1</v>
          </cell>
          <cell r="H947" t="str">
            <v>INDUSTRY</v>
          </cell>
          <cell r="I947" t="str">
            <v>11</v>
          </cell>
          <cell r="J947" t="str">
            <v>WOOD COATINGS</v>
          </cell>
          <cell r="K947" t="str">
            <v>1106</v>
          </cell>
          <cell r="L947" t="str">
            <v>UV</v>
          </cell>
          <cell r="M947" t="str">
            <v>110606</v>
          </cell>
          <cell r="N947" t="str">
            <v>UV STAIN</v>
          </cell>
        </row>
        <row r="948">
          <cell r="C948" t="str">
            <v>100000946</v>
          </cell>
          <cell r="D948" t="str">
            <v>UVS-20202 LIGHT TEAK 02 SC VN-20KP</v>
          </cell>
          <cell r="E948" t="str">
            <v>ZFGD</v>
          </cell>
          <cell r="F948" t="str">
            <v>PC</v>
          </cell>
          <cell r="G948" t="str">
            <v>1</v>
          </cell>
          <cell r="H948" t="str">
            <v>INDUSTRY</v>
          </cell>
          <cell r="I948" t="str">
            <v>11</v>
          </cell>
          <cell r="J948" t="str">
            <v>WOOD COATINGS</v>
          </cell>
          <cell r="K948" t="str">
            <v>1106</v>
          </cell>
          <cell r="L948" t="str">
            <v>UV</v>
          </cell>
          <cell r="M948" t="str">
            <v>110606</v>
          </cell>
          <cell r="N948" t="str">
            <v>UV STAIN</v>
          </cell>
        </row>
        <row r="949">
          <cell r="C949" t="str">
            <v>100000947</v>
          </cell>
          <cell r="D949" t="str">
            <v>UVS-20202 TEAK 1 SC VN-20KP</v>
          </cell>
          <cell r="E949" t="str">
            <v>ZFGD</v>
          </cell>
          <cell r="F949" t="str">
            <v>PC</v>
          </cell>
          <cell r="G949" t="str">
            <v>1</v>
          </cell>
          <cell r="H949" t="str">
            <v>INDUSTRY</v>
          </cell>
          <cell r="I949" t="str">
            <v>11</v>
          </cell>
          <cell r="J949" t="str">
            <v>WOOD COATINGS</v>
          </cell>
          <cell r="K949" t="str">
            <v>1106</v>
          </cell>
          <cell r="L949" t="str">
            <v>UV</v>
          </cell>
          <cell r="M949" t="str">
            <v>110606</v>
          </cell>
          <cell r="N949" t="str">
            <v>UV STAIN</v>
          </cell>
        </row>
        <row r="950">
          <cell r="C950" t="str">
            <v>100000948</v>
          </cell>
          <cell r="D950" t="str">
            <v>UVS-20202 TEAK 2 SC VN-20KP</v>
          </cell>
          <cell r="E950" t="str">
            <v>ZFGD</v>
          </cell>
          <cell r="F950" t="str">
            <v>PC</v>
          </cell>
          <cell r="G950" t="str">
            <v>1</v>
          </cell>
          <cell r="H950" t="str">
            <v>INDUSTRY</v>
          </cell>
          <cell r="I950" t="str">
            <v>11</v>
          </cell>
          <cell r="J950" t="str">
            <v>WOOD COATINGS</v>
          </cell>
          <cell r="K950" t="str">
            <v>1106</v>
          </cell>
          <cell r="L950" t="str">
            <v>UV</v>
          </cell>
          <cell r="M950" t="str">
            <v>110606</v>
          </cell>
          <cell r="N950" t="str">
            <v>UV STAIN</v>
          </cell>
        </row>
        <row r="951">
          <cell r="C951" t="str">
            <v>100000949</v>
          </cell>
          <cell r="D951" t="str">
            <v>WAX-93402 WB NATURAL VN-20LJ</v>
          </cell>
          <cell r="E951" t="str">
            <v>ZFGD</v>
          </cell>
          <cell r="F951" t="str">
            <v>PC</v>
          </cell>
          <cell r="G951" t="str">
            <v>1</v>
          </cell>
          <cell r="H951" t="str">
            <v>INDUSTRY</v>
          </cell>
          <cell r="I951" t="str">
            <v>11</v>
          </cell>
          <cell r="J951" t="str">
            <v>WOOD COATINGS</v>
          </cell>
          <cell r="K951" t="str">
            <v>1118</v>
          </cell>
          <cell r="L951" t="str">
            <v>COMPLEMENTARY</v>
          </cell>
          <cell r="M951" t="str">
            <v>111803</v>
          </cell>
          <cell r="N951" t="str">
            <v>COMPLEMENT PRODUCT</v>
          </cell>
        </row>
        <row r="952">
          <cell r="C952" t="str">
            <v>100000950</v>
          </cell>
          <cell r="D952" t="str">
            <v>WBC-62201 MR PARK RED I 10 TT VN-20KP</v>
          </cell>
          <cell r="E952" t="str">
            <v>ZFGD</v>
          </cell>
          <cell r="F952" t="str">
            <v>PC</v>
          </cell>
          <cell r="G952" t="str">
            <v>1</v>
          </cell>
          <cell r="H952" t="str">
            <v>INDUSTRY</v>
          </cell>
          <cell r="I952" t="str">
            <v>11</v>
          </cell>
          <cell r="J952" t="str">
            <v>WOOD COATINGS</v>
          </cell>
          <cell r="K952" t="str">
            <v>1119</v>
          </cell>
          <cell r="L952" t="str">
            <v>WATERBASED</v>
          </cell>
          <cell r="M952" t="str">
            <v>111902</v>
          </cell>
          <cell r="N952" t="str">
            <v>WATERBASED SYSTEM INTERIOR</v>
          </cell>
        </row>
        <row r="953">
          <cell r="C953" t="str">
            <v>100000951</v>
          </cell>
          <cell r="D953" t="str">
            <v>WBC-62201 MR PARK RED II 10TTVN-20KP</v>
          </cell>
          <cell r="E953" t="str">
            <v>ZFGD</v>
          </cell>
          <cell r="F953" t="str">
            <v>PC</v>
          </cell>
          <cell r="G953" t="str">
            <v>1</v>
          </cell>
          <cell r="H953" t="str">
            <v>INDUSTRY</v>
          </cell>
          <cell r="I953" t="str">
            <v>11</v>
          </cell>
          <cell r="J953" t="str">
            <v>WOOD COATINGS</v>
          </cell>
          <cell r="K953" t="str">
            <v>1119</v>
          </cell>
          <cell r="L953" t="str">
            <v>WATERBASED</v>
          </cell>
          <cell r="M953" t="str">
            <v>111902</v>
          </cell>
          <cell r="N953" t="str">
            <v>WATERBASED SYSTEM INTERIOR</v>
          </cell>
        </row>
        <row r="954">
          <cell r="C954" t="str">
            <v>100000952</v>
          </cell>
          <cell r="D954" t="str">
            <v>WBC-62201 MR PARK WHITE 10 TT VN-20KP</v>
          </cell>
          <cell r="E954" t="str">
            <v>ZFGD</v>
          </cell>
          <cell r="F954" t="str">
            <v>PC</v>
          </cell>
          <cell r="G954" t="str">
            <v>1</v>
          </cell>
          <cell r="H954" t="str">
            <v>INDUSTRY</v>
          </cell>
          <cell r="I954" t="str">
            <v>11</v>
          </cell>
          <cell r="J954" t="str">
            <v>WOOD COATINGS</v>
          </cell>
          <cell r="K954" t="str">
            <v>1119</v>
          </cell>
          <cell r="L954" t="str">
            <v>WATERBASED</v>
          </cell>
          <cell r="M954" t="str">
            <v>111902</v>
          </cell>
          <cell r="N954" t="str">
            <v>WATERBASED SYSTEM INTERIOR</v>
          </cell>
        </row>
        <row r="955">
          <cell r="C955" t="str">
            <v>100000953</v>
          </cell>
          <cell r="D955" t="str">
            <v>WBC-62201 OAK 01 SC VN-18KP</v>
          </cell>
          <cell r="E955" t="str">
            <v>ZFGD</v>
          </cell>
          <cell r="F955" t="str">
            <v>PC</v>
          </cell>
          <cell r="G955" t="str">
            <v>1</v>
          </cell>
          <cell r="H955" t="str">
            <v>INDUSTRY</v>
          </cell>
          <cell r="I955" t="str">
            <v>11</v>
          </cell>
          <cell r="J955" t="str">
            <v>WOOD COATINGS</v>
          </cell>
          <cell r="K955" t="str">
            <v>1119</v>
          </cell>
          <cell r="L955" t="str">
            <v>WATERBASED</v>
          </cell>
          <cell r="M955" t="str">
            <v>111902</v>
          </cell>
          <cell r="N955" t="str">
            <v>WATERBASED SYSTEM INTERIOR</v>
          </cell>
        </row>
        <row r="956">
          <cell r="C956" t="str">
            <v>100000954</v>
          </cell>
          <cell r="D956" t="str">
            <v>WBC-62201 OAK 02 SC VN-18KP</v>
          </cell>
          <cell r="E956" t="str">
            <v>ZFGD</v>
          </cell>
          <cell r="F956" t="str">
            <v>PC</v>
          </cell>
          <cell r="G956" t="str">
            <v>1</v>
          </cell>
          <cell r="H956" t="str">
            <v>INDUSTRY</v>
          </cell>
          <cell r="I956" t="str">
            <v>11</v>
          </cell>
          <cell r="J956" t="str">
            <v>WOOD COATINGS</v>
          </cell>
          <cell r="K956" t="str">
            <v>1119</v>
          </cell>
          <cell r="L956" t="str">
            <v>WATERBASED</v>
          </cell>
          <cell r="M956" t="str">
            <v>111902</v>
          </cell>
          <cell r="N956" t="str">
            <v>WATERBASED SYSTEM INTERIOR</v>
          </cell>
        </row>
        <row r="957">
          <cell r="C957" t="str">
            <v>100000955</v>
          </cell>
          <cell r="D957" t="str">
            <v>WBC-62201 SL XLC BLACK B 70 VL VN-200KB</v>
          </cell>
          <cell r="E957" t="str">
            <v>ZFGD</v>
          </cell>
          <cell r="F957" t="str">
            <v>PC</v>
          </cell>
          <cell r="G957" t="str">
            <v>1</v>
          </cell>
          <cell r="H957" t="str">
            <v>INDUSTRY</v>
          </cell>
          <cell r="I957" t="str">
            <v>11</v>
          </cell>
          <cell r="J957" t="str">
            <v>WOOD COATINGS</v>
          </cell>
          <cell r="K957" t="str">
            <v>1119</v>
          </cell>
          <cell r="L957" t="str">
            <v>WATERBASED</v>
          </cell>
          <cell r="M957" t="str">
            <v>111902</v>
          </cell>
          <cell r="N957" t="str">
            <v>WATERBASED SYSTEM INTERIOR</v>
          </cell>
        </row>
        <row r="958">
          <cell r="C958" t="str">
            <v>100000956</v>
          </cell>
          <cell r="D958" t="str">
            <v>WBC-62201 SL XLC GREY 30 VL VN-200KB</v>
          </cell>
          <cell r="E958" t="str">
            <v>ZFGD</v>
          </cell>
          <cell r="F958" t="str">
            <v>PC</v>
          </cell>
          <cell r="G958" t="str">
            <v>1</v>
          </cell>
          <cell r="H958" t="str">
            <v>INDUSTRY</v>
          </cell>
          <cell r="I958" t="str">
            <v>11</v>
          </cell>
          <cell r="J958" t="str">
            <v>WOOD COATINGS</v>
          </cell>
          <cell r="K958" t="str">
            <v>1119</v>
          </cell>
          <cell r="L958" t="str">
            <v>WATERBASED</v>
          </cell>
          <cell r="M958" t="str">
            <v>111902</v>
          </cell>
          <cell r="N958" t="str">
            <v>WATERBASED SYSTEM INTERIOR</v>
          </cell>
        </row>
        <row r="959">
          <cell r="C959" t="str">
            <v>100000957</v>
          </cell>
          <cell r="D959" t="str">
            <v>WBC-62201 WHITE 10 VN-20KP</v>
          </cell>
          <cell r="E959" t="str">
            <v>ZFGD</v>
          </cell>
          <cell r="F959" t="str">
            <v>PC</v>
          </cell>
          <cell r="G959" t="str">
            <v>1</v>
          </cell>
          <cell r="H959" t="str">
            <v>INDUSTRY</v>
          </cell>
          <cell r="I959" t="str">
            <v>11</v>
          </cell>
          <cell r="J959" t="str">
            <v>WOOD COATINGS</v>
          </cell>
          <cell r="K959" t="str">
            <v>1119</v>
          </cell>
          <cell r="L959" t="str">
            <v>WATERBASED</v>
          </cell>
          <cell r="M959" t="str">
            <v>111902</v>
          </cell>
          <cell r="N959" t="str">
            <v>WATERBASED SYSTEM INTERIOR</v>
          </cell>
        </row>
        <row r="960">
          <cell r="C960" t="str">
            <v>100000958</v>
          </cell>
          <cell r="D960" t="str">
            <v>WBC-62203 WALNUT 06 05 GM VN-20KP</v>
          </cell>
          <cell r="E960" t="str">
            <v>ZFGD</v>
          </cell>
          <cell r="F960" t="str">
            <v>PC</v>
          </cell>
          <cell r="G960" t="str">
            <v>1</v>
          </cell>
          <cell r="H960" t="str">
            <v>INDUSTRY</v>
          </cell>
          <cell r="I960" t="str">
            <v>11</v>
          </cell>
          <cell r="J960" t="str">
            <v>WOOD COATINGS</v>
          </cell>
          <cell r="K960" t="str">
            <v>1119</v>
          </cell>
          <cell r="L960" t="str">
            <v>WATERBASED</v>
          </cell>
          <cell r="M960" t="str">
            <v>111902</v>
          </cell>
          <cell r="N960" t="str">
            <v>WATERBASED SYSTEM INTERIOR</v>
          </cell>
        </row>
        <row r="961">
          <cell r="C961" t="str">
            <v>100000959</v>
          </cell>
          <cell r="D961" t="str">
            <v>WBC-64211 PU EX 16-2126 TEX SC VN-18KP</v>
          </cell>
          <cell r="E961" t="str">
            <v>ZFGD</v>
          </cell>
          <cell r="F961" t="str">
            <v>PC</v>
          </cell>
          <cell r="G961" t="str">
            <v>1</v>
          </cell>
          <cell r="H961" t="str">
            <v>INDUSTRY</v>
          </cell>
          <cell r="I961" t="str">
            <v>11</v>
          </cell>
          <cell r="J961" t="str">
            <v>WOOD COATINGS</v>
          </cell>
          <cell r="K961" t="str">
            <v>1119</v>
          </cell>
          <cell r="L961" t="str">
            <v>WATERBASED</v>
          </cell>
          <cell r="M961" t="str">
            <v>111901</v>
          </cell>
          <cell r="N961" t="str">
            <v>WATERBASED SYSTEM EXTERIOR</v>
          </cell>
        </row>
        <row r="962">
          <cell r="C962" t="str">
            <v>100000960</v>
          </cell>
          <cell r="D962" t="str">
            <v>WBC-64211 PU EX GREY WASH SC VN-18KP</v>
          </cell>
          <cell r="E962" t="str">
            <v>ZFGD</v>
          </cell>
          <cell r="F962" t="str">
            <v>PC</v>
          </cell>
          <cell r="G962" t="str">
            <v>1</v>
          </cell>
          <cell r="H962" t="str">
            <v>INDUSTRY</v>
          </cell>
          <cell r="I962" t="str">
            <v>11</v>
          </cell>
          <cell r="J962" t="str">
            <v>WOOD COATINGS</v>
          </cell>
          <cell r="K962" t="str">
            <v>1119</v>
          </cell>
          <cell r="L962" t="str">
            <v>WATERBASED</v>
          </cell>
          <cell r="M962" t="str">
            <v>111901</v>
          </cell>
          <cell r="N962" t="str">
            <v>WATERBASED SYSTEM EXTERIOR</v>
          </cell>
        </row>
        <row r="963">
          <cell r="C963" t="str">
            <v>100000961</v>
          </cell>
          <cell r="D963" t="str">
            <v>WBC-64211 PU EX MTN LOK SC VN-18KP</v>
          </cell>
          <cell r="E963" t="str">
            <v>ZFGD</v>
          </cell>
          <cell r="F963" t="str">
            <v>PC</v>
          </cell>
          <cell r="G963" t="str">
            <v>1</v>
          </cell>
          <cell r="H963" t="str">
            <v>INDUSTRY</v>
          </cell>
          <cell r="I963" t="str">
            <v>11</v>
          </cell>
          <cell r="J963" t="str">
            <v>WOOD COATINGS</v>
          </cell>
          <cell r="K963" t="str">
            <v>1119</v>
          </cell>
          <cell r="L963" t="str">
            <v>WATERBASED</v>
          </cell>
          <cell r="M963" t="str">
            <v>111901</v>
          </cell>
          <cell r="N963" t="str">
            <v>WATERBASED SYSTEM EXTERIOR</v>
          </cell>
        </row>
        <row r="964">
          <cell r="C964" t="str">
            <v>100000962</v>
          </cell>
          <cell r="D964" t="str">
            <v>WBC-64221 HS IKEA CNT 70 SC VN-18KP</v>
          </cell>
          <cell r="E964" t="str">
            <v>ZFGD</v>
          </cell>
          <cell r="F964" t="str">
            <v>PC</v>
          </cell>
          <cell r="G964" t="str">
            <v>1</v>
          </cell>
          <cell r="H964" t="str">
            <v>INDUSTRY</v>
          </cell>
          <cell r="I964" t="str">
            <v>11</v>
          </cell>
          <cell r="J964" t="str">
            <v>WOOD COATINGS</v>
          </cell>
          <cell r="K964" t="str">
            <v>1119</v>
          </cell>
          <cell r="L964" t="str">
            <v>WATERBASED</v>
          </cell>
          <cell r="M964" t="str">
            <v>111901</v>
          </cell>
          <cell r="N964" t="str">
            <v>WATERBASED SYSTEM EXTERIOR</v>
          </cell>
        </row>
        <row r="965">
          <cell r="C965" t="str">
            <v>100000963</v>
          </cell>
          <cell r="D965" t="str">
            <v>#NUWBL-61201 10 VN-18KP</v>
          </cell>
          <cell r="E965" t="str">
            <v>ZFGD</v>
          </cell>
          <cell r="F965" t="str">
            <v>PC</v>
          </cell>
          <cell r="G965" t="str">
            <v>1</v>
          </cell>
          <cell r="H965" t="str">
            <v>INDUSTRY</v>
          </cell>
          <cell r="I965" t="str">
            <v>11</v>
          </cell>
          <cell r="J965" t="str">
            <v>WOOD COATINGS</v>
          </cell>
          <cell r="K965" t="str">
            <v>1111</v>
          </cell>
          <cell r="L965" t="str">
            <v>WATERBASED SYSTEM INTERIOR</v>
          </cell>
          <cell r="M965" t="str">
            <v>111104</v>
          </cell>
          <cell r="N965" t="str">
            <v>WATERBASED SYSTEM INTERIOR</v>
          </cell>
        </row>
        <row r="966">
          <cell r="C966" t="str">
            <v>100000964</v>
          </cell>
          <cell r="D966" t="str">
            <v>WBL-61201 CLEAR 10 VN-20KP</v>
          </cell>
          <cell r="E966" t="str">
            <v>ZFGD</v>
          </cell>
          <cell r="F966" t="str">
            <v>PC</v>
          </cell>
          <cell r="G966" t="str">
            <v>1</v>
          </cell>
          <cell r="H966" t="str">
            <v>INDUSTRY</v>
          </cell>
          <cell r="I966" t="str">
            <v>11</v>
          </cell>
          <cell r="J966" t="str">
            <v>WOOD COATINGS</v>
          </cell>
          <cell r="K966" t="str">
            <v>1119</v>
          </cell>
          <cell r="L966" t="str">
            <v>WATERBASED</v>
          </cell>
          <cell r="M966" t="str">
            <v>111902</v>
          </cell>
          <cell r="N966" t="str">
            <v>WATERBASED SYSTEM INTERIOR</v>
          </cell>
        </row>
        <row r="967">
          <cell r="C967" t="str">
            <v>100000965</v>
          </cell>
          <cell r="D967" t="str">
            <v>WBL-61201 20 VN-20KP</v>
          </cell>
          <cell r="E967" t="str">
            <v>ZFGD</v>
          </cell>
          <cell r="F967" t="str">
            <v>PC</v>
          </cell>
          <cell r="G967" t="str">
            <v>1</v>
          </cell>
          <cell r="H967" t="str">
            <v>INDUSTRY</v>
          </cell>
          <cell r="I967" t="str">
            <v>11</v>
          </cell>
          <cell r="J967" t="str">
            <v>WOOD COATINGS</v>
          </cell>
          <cell r="K967" t="str">
            <v>1119</v>
          </cell>
          <cell r="L967" t="str">
            <v>WATERBASED</v>
          </cell>
          <cell r="M967" t="str">
            <v>111902</v>
          </cell>
          <cell r="N967" t="str">
            <v>WATERBASED SYSTEM INTERIOR</v>
          </cell>
        </row>
        <row r="968">
          <cell r="C968" t="str">
            <v>100000966</v>
          </cell>
          <cell r="D968" t="str">
            <v>WBL-61201 BASE PP VN-20KP</v>
          </cell>
          <cell r="E968" t="str">
            <v>ZFGD</v>
          </cell>
          <cell r="F968" t="str">
            <v>PC</v>
          </cell>
          <cell r="G968" t="str">
            <v>1</v>
          </cell>
          <cell r="H968" t="str">
            <v>INDUSTRY</v>
          </cell>
          <cell r="I968" t="str">
            <v>11</v>
          </cell>
          <cell r="J968" t="str">
            <v>WOOD COATINGS</v>
          </cell>
          <cell r="K968" t="str">
            <v>1119</v>
          </cell>
          <cell r="L968" t="str">
            <v>WATERBASED</v>
          </cell>
          <cell r="M968" t="str">
            <v>111902</v>
          </cell>
          <cell r="N968" t="str">
            <v>WATERBASED SYSTEM INTERIOR</v>
          </cell>
        </row>
        <row r="969">
          <cell r="C969" t="str">
            <v>100000967</v>
          </cell>
          <cell r="D969" t="str">
            <v>WBL-61201 PP VN-20KP</v>
          </cell>
          <cell r="E969" t="str">
            <v>ZFGD</v>
          </cell>
          <cell r="F969" t="str">
            <v>PC</v>
          </cell>
          <cell r="G969" t="str">
            <v>1</v>
          </cell>
          <cell r="H969" t="str">
            <v>INDUSTRY</v>
          </cell>
          <cell r="I969" t="str">
            <v>11</v>
          </cell>
          <cell r="J969" t="str">
            <v>WOOD COATINGS</v>
          </cell>
          <cell r="K969" t="str">
            <v>1119</v>
          </cell>
          <cell r="L969" t="str">
            <v>WATERBASED</v>
          </cell>
          <cell r="M969" t="str">
            <v>111902</v>
          </cell>
          <cell r="N969" t="str">
            <v>WATERBASED SYSTEM INTERIOR</v>
          </cell>
        </row>
        <row r="970">
          <cell r="C970" t="str">
            <v>100000968</v>
          </cell>
          <cell r="D970" t="str">
            <v>WBL-61201 SL-XLC CLEAR 70 VN-20KP</v>
          </cell>
          <cell r="E970" t="str">
            <v>ZFGD</v>
          </cell>
          <cell r="F970" t="str">
            <v>PC</v>
          </cell>
          <cell r="G970" t="str">
            <v>1</v>
          </cell>
          <cell r="H970" t="str">
            <v>INDUSTRY</v>
          </cell>
          <cell r="I970" t="str">
            <v>11</v>
          </cell>
          <cell r="J970" t="str">
            <v>WOOD COATINGS</v>
          </cell>
          <cell r="K970" t="str">
            <v>1119</v>
          </cell>
          <cell r="L970" t="str">
            <v>WATERBASED</v>
          </cell>
          <cell r="M970" t="str">
            <v>111902</v>
          </cell>
          <cell r="N970" t="str">
            <v>WATERBASED SYSTEM INTERIOR</v>
          </cell>
        </row>
        <row r="971">
          <cell r="C971" t="str">
            <v>100000969</v>
          </cell>
          <cell r="D971" t="str">
            <v>WBL-61201 SL-XLC CLEAR 70 VN-200KB</v>
          </cell>
          <cell r="E971" t="str">
            <v>ZFGD</v>
          </cell>
          <cell r="F971" t="str">
            <v>PC</v>
          </cell>
          <cell r="G971" t="str">
            <v>1</v>
          </cell>
          <cell r="H971" t="str">
            <v>INDUSTRY</v>
          </cell>
          <cell r="I971" t="str">
            <v>11</v>
          </cell>
          <cell r="J971" t="str">
            <v>WOOD COATINGS</v>
          </cell>
          <cell r="K971" t="str">
            <v>1119</v>
          </cell>
          <cell r="L971" t="str">
            <v>WATERBASED</v>
          </cell>
          <cell r="M971" t="str">
            <v>111902</v>
          </cell>
          <cell r="N971" t="str">
            <v>WATERBASED SYSTEM INTERIOR</v>
          </cell>
        </row>
        <row r="972">
          <cell r="C972" t="str">
            <v>100000970</v>
          </cell>
          <cell r="D972" t="str">
            <v>WBL-61202 SL CLEAR 15 VN-20KP</v>
          </cell>
          <cell r="E972" t="str">
            <v>ZFGD</v>
          </cell>
          <cell r="F972" t="str">
            <v>PC</v>
          </cell>
          <cell r="G972" t="str">
            <v>1</v>
          </cell>
          <cell r="H972" t="str">
            <v>INDUSTRY</v>
          </cell>
          <cell r="I972" t="str">
            <v>11</v>
          </cell>
          <cell r="J972" t="str">
            <v>WOOD COATINGS</v>
          </cell>
          <cell r="K972" t="str">
            <v>1119</v>
          </cell>
          <cell r="L972" t="str">
            <v>WATERBASED</v>
          </cell>
          <cell r="M972" t="str">
            <v>111902</v>
          </cell>
          <cell r="N972" t="str">
            <v>WATERBASED SYSTEM INTERIOR</v>
          </cell>
        </row>
        <row r="973">
          <cell r="C973" t="str">
            <v>100000971</v>
          </cell>
          <cell r="D973" t="str">
            <v>WBL-61202 SL CLEAR 70 VN-200KB</v>
          </cell>
          <cell r="E973" t="str">
            <v>ZFGD</v>
          </cell>
          <cell r="F973" t="str">
            <v>PC</v>
          </cell>
          <cell r="G973" t="str">
            <v>1</v>
          </cell>
          <cell r="H973" t="str">
            <v>INDUSTRY</v>
          </cell>
          <cell r="I973" t="str">
            <v>11</v>
          </cell>
          <cell r="J973" t="str">
            <v>WOOD COATINGS</v>
          </cell>
          <cell r="K973" t="str">
            <v>1119</v>
          </cell>
          <cell r="L973" t="str">
            <v>WATERBASED</v>
          </cell>
          <cell r="M973" t="str">
            <v>111902</v>
          </cell>
          <cell r="N973" t="str">
            <v>WATERBASED SYSTEM INTERIOR</v>
          </cell>
        </row>
        <row r="974">
          <cell r="C974" t="str">
            <v>100000972</v>
          </cell>
          <cell r="D974" t="str">
            <v>WBL-61202 SL CLEAR 70 VN-20KP</v>
          </cell>
          <cell r="E974" t="str">
            <v>ZFGD</v>
          </cell>
          <cell r="F974" t="str">
            <v>PC</v>
          </cell>
          <cell r="G974" t="str">
            <v>1</v>
          </cell>
          <cell r="H974" t="str">
            <v>INDUSTRY</v>
          </cell>
          <cell r="I974" t="str">
            <v>11</v>
          </cell>
          <cell r="J974" t="str">
            <v>WOOD COATINGS</v>
          </cell>
          <cell r="K974" t="str">
            <v>1119</v>
          </cell>
          <cell r="L974" t="str">
            <v>WATERBASED</v>
          </cell>
          <cell r="M974" t="str">
            <v>111902</v>
          </cell>
          <cell r="N974" t="str">
            <v>WATERBASED SYSTEM INTERIOR</v>
          </cell>
        </row>
        <row r="975">
          <cell r="C975" t="str">
            <v>100000973</v>
          </cell>
          <cell r="D975" t="str">
            <v>WBL-61202 SL NP CLEAR 70 VN-20KP</v>
          </cell>
          <cell r="E975" t="str">
            <v>ZFGD</v>
          </cell>
          <cell r="F975" t="str">
            <v>PC</v>
          </cell>
          <cell r="G975" t="str">
            <v>1</v>
          </cell>
          <cell r="H975" t="str">
            <v>INDUSTRY</v>
          </cell>
          <cell r="I975" t="str">
            <v>11</v>
          </cell>
          <cell r="J975" t="str">
            <v>WOOD COATINGS</v>
          </cell>
          <cell r="K975" t="str">
            <v>1119</v>
          </cell>
          <cell r="L975" t="str">
            <v>WATERBASED</v>
          </cell>
          <cell r="M975" t="str">
            <v>111902</v>
          </cell>
          <cell r="N975" t="str">
            <v>WATERBASED SYSTEM INTERIOR</v>
          </cell>
        </row>
        <row r="976">
          <cell r="C976" t="str">
            <v>100000974</v>
          </cell>
          <cell r="D976" t="str">
            <v>WBL-61203 CLEAR 10 VN-20KP</v>
          </cell>
          <cell r="E976" t="str">
            <v>ZFGD</v>
          </cell>
          <cell r="F976" t="str">
            <v>PC</v>
          </cell>
          <cell r="G976" t="str">
            <v>1</v>
          </cell>
          <cell r="H976" t="str">
            <v>INDUSTRY</v>
          </cell>
          <cell r="I976" t="str">
            <v>11</v>
          </cell>
          <cell r="J976" t="str">
            <v>WOOD COATINGS</v>
          </cell>
          <cell r="K976" t="str">
            <v>1119</v>
          </cell>
          <cell r="L976" t="str">
            <v>WATERBASED</v>
          </cell>
          <cell r="M976" t="str">
            <v>111902</v>
          </cell>
          <cell r="N976" t="str">
            <v>WATERBASED SYSTEM INTERIOR</v>
          </cell>
        </row>
        <row r="977">
          <cell r="C977" t="str">
            <v>100000975</v>
          </cell>
          <cell r="D977" t="str">
            <v>WBL-61203 CLEAR 15 VN -20KP</v>
          </cell>
          <cell r="E977" t="str">
            <v>ZFGD</v>
          </cell>
          <cell r="F977" t="str">
            <v>PC</v>
          </cell>
          <cell r="G977" t="str">
            <v>1</v>
          </cell>
          <cell r="H977" t="str">
            <v>INDUSTRY</v>
          </cell>
          <cell r="I977" t="str">
            <v>11</v>
          </cell>
          <cell r="J977" t="str">
            <v>WOOD COATINGS</v>
          </cell>
          <cell r="K977" t="str">
            <v>1119</v>
          </cell>
          <cell r="L977" t="str">
            <v>WATERBASED</v>
          </cell>
          <cell r="M977" t="str">
            <v>111902</v>
          </cell>
          <cell r="N977" t="str">
            <v>WATERBASED SYSTEM INTERIOR</v>
          </cell>
        </row>
        <row r="978">
          <cell r="C978" t="str">
            <v>100000976</v>
          </cell>
          <cell r="D978" t="str">
            <v>WBL-61203 LS CLEAR 08 VN-20KP</v>
          </cell>
          <cell r="E978" t="str">
            <v>ZFGD</v>
          </cell>
          <cell r="F978" t="str">
            <v>PC</v>
          </cell>
          <cell r="G978" t="str">
            <v>1</v>
          </cell>
          <cell r="H978" t="str">
            <v>INDUSTRY</v>
          </cell>
          <cell r="I978" t="str">
            <v>11</v>
          </cell>
          <cell r="J978" t="str">
            <v>WOOD COATINGS</v>
          </cell>
          <cell r="K978" t="str">
            <v>1119</v>
          </cell>
          <cell r="L978" t="str">
            <v>WATERBASED</v>
          </cell>
          <cell r="M978" t="str">
            <v>111902</v>
          </cell>
          <cell r="N978" t="str">
            <v>WATERBASED SYSTEM INTERIOR</v>
          </cell>
        </row>
        <row r="979">
          <cell r="C979" t="str">
            <v>100000977</v>
          </cell>
          <cell r="D979" t="str">
            <v>WBL-63217 EX HS 02 PP VN-20KP</v>
          </cell>
          <cell r="E979" t="str">
            <v>ZFGD</v>
          </cell>
          <cell r="F979" t="str">
            <v>PC</v>
          </cell>
          <cell r="G979" t="str">
            <v>1</v>
          </cell>
          <cell r="H979" t="str">
            <v>INDUSTRY</v>
          </cell>
          <cell r="I979" t="str">
            <v>11</v>
          </cell>
          <cell r="J979" t="str">
            <v>WOOD COATINGS</v>
          </cell>
          <cell r="K979" t="str">
            <v>1119</v>
          </cell>
          <cell r="L979" t="str">
            <v>WATERBASED</v>
          </cell>
          <cell r="M979" t="str">
            <v>111901</v>
          </cell>
          <cell r="N979" t="str">
            <v>WATERBASED SYSTEM EXTERIOR</v>
          </cell>
        </row>
        <row r="980">
          <cell r="C980" t="str">
            <v>100000978</v>
          </cell>
          <cell r="D980" t="str">
            <v>WBL-63221 HS IKEA CNT 70 SC VN-18KP</v>
          </cell>
          <cell r="E980" t="str">
            <v>ZFGD</v>
          </cell>
          <cell r="F980" t="str">
            <v>PC</v>
          </cell>
          <cell r="G980" t="str">
            <v>1</v>
          </cell>
          <cell r="H980" t="str">
            <v>INDUSTRY</v>
          </cell>
          <cell r="I980" t="str">
            <v>11</v>
          </cell>
          <cell r="J980" t="str">
            <v>WOOD COATINGS</v>
          </cell>
          <cell r="K980" t="str">
            <v>1119</v>
          </cell>
          <cell r="L980" t="str">
            <v>WATERBASED</v>
          </cell>
          <cell r="M980" t="str">
            <v>111901</v>
          </cell>
          <cell r="N980" t="str">
            <v>WATERBASED SYSTEM EXTERIOR</v>
          </cell>
        </row>
        <row r="981">
          <cell r="C981" t="str">
            <v>100000979</v>
          </cell>
          <cell r="D981" t="str">
            <v>WBL-63221 HS IKEA CNT SC VN-18KP</v>
          </cell>
          <cell r="E981" t="str">
            <v>ZFGD</v>
          </cell>
          <cell r="F981" t="str">
            <v>PC</v>
          </cell>
          <cell r="G981" t="str">
            <v>1</v>
          </cell>
          <cell r="H981" t="str">
            <v>INDUSTRY</v>
          </cell>
          <cell r="I981" t="str">
            <v>11</v>
          </cell>
          <cell r="J981" t="str">
            <v>WOOD COATINGS</v>
          </cell>
          <cell r="K981" t="str">
            <v>1119</v>
          </cell>
          <cell r="L981" t="str">
            <v>WATERBASED</v>
          </cell>
          <cell r="M981" t="str">
            <v>111901</v>
          </cell>
          <cell r="N981" t="str">
            <v>WATERBASED SYSTEM EXTERIOR</v>
          </cell>
        </row>
        <row r="982">
          <cell r="C982" t="str">
            <v>100000980</v>
          </cell>
          <cell r="D982" t="str">
            <v>WBL-76500 EX 05 VN-18KP</v>
          </cell>
          <cell r="E982" t="str">
            <v>ZFGD</v>
          </cell>
          <cell r="F982" t="str">
            <v>PC</v>
          </cell>
          <cell r="G982" t="str">
            <v>1</v>
          </cell>
          <cell r="H982" t="str">
            <v>INDUSTRY</v>
          </cell>
          <cell r="I982" t="str">
            <v>11</v>
          </cell>
          <cell r="J982" t="str">
            <v>WOOD COATINGS</v>
          </cell>
          <cell r="K982" t="str">
            <v>1101</v>
          </cell>
          <cell r="L982" t="str">
            <v>ALKYD OIL</v>
          </cell>
          <cell r="M982" t="str">
            <v>110103</v>
          </cell>
          <cell r="N982" t="str">
            <v>WATERBASED SYSTEM EXTERIOR</v>
          </cell>
        </row>
        <row r="983">
          <cell r="C983" t="str">
            <v>100000981</v>
          </cell>
          <cell r="D983" t="str">
            <v>WBL-76500 EX HQ N WGE SC VN-18KP</v>
          </cell>
          <cell r="E983" t="str">
            <v>ZFGD</v>
          </cell>
          <cell r="F983" t="str">
            <v>PC</v>
          </cell>
          <cell r="G983" t="str">
            <v>1</v>
          </cell>
          <cell r="H983" t="str">
            <v>INDUSTRY</v>
          </cell>
          <cell r="I983" t="str">
            <v>11</v>
          </cell>
          <cell r="J983" t="str">
            <v>WOOD COATINGS</v>
          </cell>
          <cell r="K983" t="str">
            <v>1101</v>
          </cell>
          <cell r="L983" t="str">
            <v>ALKYD OIL</v>
          </cell>
          <cell r="M983" t="str">
            <v>110103</v>
          </cell>
          <cell r="N983" t="str">
            <v>WATERBASED SYSTEM EXTERIOR</v>
          </cell>
        </row>
        <row r="984">
          <cell r="C984" t="str">
            <v>100000982</v>
          </cell>
          <cell r="D984" t="str">
            <v>WBL-76500 EX HQ P WGE SC VN-18KP</v>
          </cell>
          <cell r="E984" t="str">
            <v>ZFGD</v>
          </cell>
          <cell r="F984" t="str">
            <v>PC</v>
          </cell>
          <cell r="G984" t="str">
            <v>1</v>
          </cell>
          <cell r="H984" t="str">
            <v>INDUSTRY</v>
          </cell>
          <cell r="I984" t="str">
            <v>11</v>
          </cell>
          <cell r="J984" t="str">
            <v>WOOD COATINGS</v>
          </cell>
          <cell r="K984" t="str">
            <v>1101</v>
          </cell>
          <cell r="L984" t="str">
            <v>ALKYD OIL</v>
          </cell>
          <cell r="M984" t="str">
            <v>110103</v>
          </cell>
          <cell r="N984" t="str">
            <v>WATERBASED SYSTEM EXTERIOR</v>
          </cell>
        </row>
        <row r="985">
          <cell r="C985" t="str">
            <v>100000983</v>
          </cell>
          <cell r="D985" t="str">
            <v>WBL-76500 EX HQ PC VN-18KP</v>
          </cell>
          <cell r="E985" t="str">
            <v>ZFGD</v>
          </cell>
          <cell r="F985" t="str">
            <v>PC</v>
          </cell>
          <cell r="G985" t="str">
            <v>1</v>
          </cell>
          <cell r="H985" t="str">
            <v>INDUSTRY</v>
          </cell>
          <cell r="I985" t="str">
            <v>11</v>
          </cell>
          <cell r="J985" t="str">
            <v>WOOD COATINGS</v>
          </cell>
          <cell r="K985" t="str">
            <v>1101</v>
          </cell>
          <cell r="L985" t="str">
            <v>ALKYD OIL</v>
          </cell>
          <cell r="M985" t="str">
            <v>110103</v>
          </cell>
          <cell r="N985" t="str">
            <v>WATERBASED SYSTEM EXTERIOR</v>
          </cell>
        </row>
        <row r="986">
          <cell r="C986" t="str">
            <v>100000984</v>
          </cell>
          <cell r="D986" t="str">
            <v>WBL-76500 EX N DOK SC VN-18KP</v>
          </cell>
          <cell r="E986" t="str">
            <v>ZFGD</v>
          </cell>
          <cell r="F986" t="str">
            <v>PC</v>
          </cell>
          <cell r="G986" t="str">
            <v>1</v>
          </cell>
          <cell r="H986" t="str">
            <v>INDUSTRY</v>
          </cell>
          <cell r="I986" t="str">
            <v>11</v>
          </cell>
          <cell r="J986" t="str">
            <v>WOOD COATINGS</v>
          </cell>
          <cell r="K986" t="str">
            <v>1101</v>
          </cell>
          <cell r="L986" t="str">
            <v>ALKYD OIL</v>
          </cell>
          <cell r="M986" t="str">
            <v>110103</v>
          </cell>
          <cell r="N986" t="str">
            <v>WATERBASED SYSTEM EXTERIOR</v>
          </cell>
        </row>
        <row r="987">
          <cell r="C987" t="str">
            <v>100000985</v>
          </cell>
          <cell r="D987" t="str">
            <v>WBL-76500 EX N GREY WASH SC VN-18KP</v>
          </cell>
          <cell r="E987" t="str">
            <v>ZFGD</v>
          </cell>
          <cell r="F987" t="str">
            <v>PC</v>
          </cell>
          <cell r="G987" t="str">
            <v>1</v>
          </cell>
          <cell r="H987" t="str">
            <v>INDUSTRY</v>
          </cell>
          <cell r="I987" t="str">
            <v>11</v>
          </cell>
          <cell r="J987" t="str">
            <v>WOOD COATINGS</v>
          </cell>
          <cell r="K987" t="str">
            <v>1101</v>
          </cell>
          <cell r="L987" t="str">
            <v>ALKYD OIL</v>
          </cell>
          <cell r="M987" t="str">
            <v>110103</v>
          </cell>
          <cell r="N987" t="str">
            <v>WATERBASED SYSTEM EXTERIOR</v>
          </cell>
        </row>
        <row r="988">
          <cell r="C988" t="str">
            <v>100000986</v>
          </cell>
          <cell r="D988" t="str">
            <v>WBL-76500 EX N LOK SC VN-18KP</v>
          </cell>
          <cell r="E988" t="str">
            <v>ZFGD</v>
          </cell>
          <cell r="F988" t="str">
            <v>PC</v>
          </cell>
          <cell r="G988" t="str">
            <v>1</v>
          </cell>
          <cell r="H988" t="str">
            <v>INDUSTRY</v>
          </cell>
          <cell r="I988" t="str">
            <v>11</v>
          </cell>
          <cell r="J988" t="str">
            <v>WOOD COATINGS</v>
          </cell>
          <cell r="K988" t="str">
            <v>1101</v>
          </cell>
          <cell r="L988" t="str">
            <v>ALKYD OIL</v>
          </cell>
          <cell r="M988" t="str">
            <v>110103</v>
          </cell>
          <cell r="N988" t="str">
            <v>WATERBASED SYSTEM EXTERIOR</v>
          </cell>
        </row>
        <row r="989">
          <cell r="C989" t="str">
            <v>100000987</v>
          </cell>
          <cell r="D989" t="str">
            <v>WBL-76500 EX NATURAL N VN-18KP</v>
          </cell>
          <cell r="E989" t="str">
            <v>ZFGD</v>
          </cell>
          <cell r="F989" t="str">
            <v>PC</v>
          </cell>
          <cell r="G989" t="str">
            <v>1</v>
          </cell>
          <cell r="H989" t="str">
            <v>INDUSTRY</v>
          </cell>
          <cell r="I989" t="str">
            <v>11</v>
          </cell>
          <cell r="J989" t="str">
            <v>WOOD COATINGS</v>
          </cell>
          <cell r="K989" t="str">
            <v>1101</v>
          </cell>
          <cell r="L989" t="str">
            <v>ALKYD OIL</v>
          </cell>
          <cell r="M989" t="str">
            <v>110103</v>
          </cell>
          <cell r="N989" t="str">
            <v>WATERBASED SYSTEM EXTERIOR</v>
          </cell>
        </row>
        <row r="990">
          <cell r="C990" t="str">
            <v>100000988</v>
          </cell>
          <cell r="D990" t="str">
            <v>#NUWBL-76500 EX NATURAL N VN-20KP</v>
          </cell>
          <cell r="E990" t="str">
            <v>ZFGD</v>
          </cell>
          <cell r="F990" t="str">
            <v>PC</v>
          </cell>
          <cell r="G990" t="str">
            <v>1</v>
          </cell>
          <cell r="H990" t="str">
            <v>INDUSTRY</v>
          </cell>
          <cell r="I990" t="str">
            <v>11</v>
          </cell>
          <cell r="J990" t="str">
            <v>WOOD COATINGS</v>
          </cell>
          <cell r="K990" t="str">
            <v>1101</v>
          </cell>
          <cell r="L990" t="str">
            <v>ALKYD OIL</v>
          </cell>
          <cell r="M990" t="str">
            <v>110101</v>
          </cell>
          <cell r="N990" t="str">
            <v>ALKYD &amp; OIL SYSTEM</v>
          </cell>
        </row>
        <row r="991">
          <cell r="C991" t="str">
            <v>100000989</v>
          </cell>
          <cell r="D991" t="str">
            <v>WBL-76500 EX SMOKED SC VN-18KP</v>
          </cell>
          <cell r="E991" t="str">
            <v>ZFGD</v>
          </cell>
          <cell r="F991" t="str">
            <v>PC</v>
          </cell>
          <cell r="G991" t="str">
            <v>1</v>
          </cell>
          <cell r="H991" t="str">
            <v>INDUSTRY</v>
          </cell>
          <cell r="I991" t="str">
            <v>11</v>
          </cell>
          <cell r="J991" t="str">
            <v>WOOD COATINGS</v>
          </cell>
          <cell r="K991" t="str">
            <v>1101</v>
          </cell>
          <cell r="L991" t="str">
            <v>ALKYD OIL</v>
          </cell>
          <cell r="M991" t="str">
            <v>110103</v>
          </cell>
          <cell r="N991" t="str">
            <v>WATERBASED SYSTEM EXTERIOR</v>
          </cell>
        </row>
        <row r="992">
          <cell r="C992" t="str">
            <v>100000990</v>
          </cell>
          <cell r="D992" t="str">
            <v>WBP-62102 BLACK VN-20KP</v>
          </cell>
          <cell r="E992" t="str">
            <v>ZFGD</v>
          </cell>
          <cell r="F992" t="str">
            <v>PC</v>
          </cell>
          <cell r="G992" t="str">
            <v>1</v>
          </cell>
          <cell r="H992" t="str">
            <v>INDUSTRY</v>
          </cell>
          <cell r="I992" t="str">
            <v>11</v>
          </cell>
          <cell r="J992" t="str">
            <v>WOOD COATINGS</v>
          </cell>
          <cell r="K992" t="str">
            <v>1119</v>
          </cell>
          <cell r="L992" t="str">
            <v>WATERBASED</v>
          </cell>
          <cell r="M992" t="str">
            <v>111902</v>
          </cell>
          <cell r="N992" t="str">
            <v>WATERBASED SYSTEM INTERIOR</v>
          </cell>
        </row>
        <row r="993">
          <cell r="C993" t="str">
            <v>100000991</v>
          </cell>
          <cell r="D993" t="str">
            <v>WBP-62102 BLACK VN-200KB</v>
          </cell>
          <cell r="E993" t="str">
            <v>ZFGD</v>
          </cell>
          <cell r="F993" t="str">
            <v>PC</v>
          </cell>
          <cell r="G993" t="str">
            <v>1</v>
          </cell>
          <cell r="H993" t="str">
            <v>INDUSTRY</v>
          </cell>
          <cell r="I993" t="str">
            <v>11</v>
          </cell>
          <cell r="J993" t="str">
            <v>WOOD COATINGS</v>
          </cell>
          <cell r="K993" t="str">
            <v>1119</v>
          </cell>
          <cell r="L993" t="str">
            <v>WATERBASED</v>
          </cell>
          <cell r="M993" t="str">
            <v>111902</v>
          </cell>
          <cell r="N993" t="str">
            <v>WATERBASED SYSTEM INTERIOR</v>
          </cell>
        </row>
        <row r="994">
          <cell r="C994" t="str">
            <v>100000992</v>
          </cell>
          <cell r="D994" t="str">
            <v>WBP-62102 WHITE VN-20KP</v>
          </cell>
          <cell r="E994" t="str">
            <v>ZFGD</v>
          </cell>
          <cell r="F994" t="str">
            <v>PC</v>
          </cell>
          <cell r="G994" t="str">
            <v>1</v>
          </cell>
          <cell r="H994" t="str">
            <v>INDUSTRY</v>
          </cell>
          <cell r="I994" t="str">
            <v>11</v>
          </cell>
          <cell r="J994" t="str">
            <v>WOOD COATINGS</v>
          </cell>
          <cell r="K994" t="str">
            <v>1119</v>
          </cell>
          <cell r="L994" t="str">
            <v>WATERBASED</v>
          </cell>
          <cell r="M994" t="str">
            <v>111902</v>
          </cell>
          <cell r="N994" t="str">
            <v>WATERBASED SYSTEM INTERIOR</v>
          </cell>
        </row>
        <row r="995">
          <cell r="C995" t="str">
            <v>100000993</v>
          </cell>
          <cell r="D995" t="str">
            <v>WBP-62103 SL 501 GM VN-20KP</v>
          </cell>
          <cell r="E995" t="str">
            <v>ZFGD</v>
          </cell>
          <cell r="F995" t="str">
            <v>PC</v>
          </cell>
          <cell r="G995" t="str">
            <v>1</v>
          </cell>
          <cell r="H995" t="str">
            <v>INDUSTRY</v>
          </cell>
          <cell r="I995" t="str">
            <v>11</v>
          </cell>
          <cell r="J995" t="str">
            <v>WOOD COATINGS</v>
          </cell>
          <cell r="K995" t="str">
            <v>1119</v>
          </cell>
          <cell r="L995" t="str">
            <v>WATERBASED</v>
          </cell>
          <cell r="M995" t="str">
            <v>111902</v>
          </cell>
          <cell r="N995" t="str">
            <v>WATERBASED SYSTEM INTERIOR</v>
          </cell>
        </row>
        <row r="996">
          <cell r="C996" t="str">
            <v>100000994</v>
          </cell>
          <cell r="D996" t="str">
            <v>WBS-61001 AP SC VN-20KP</v>
          </cell>
          <cell r="E996" t="str">
            <v>ZFGD</v>
          </cell>
          <cell r="F996" t="str">
            <v>PC</v>
          </cell>
          <cell r="G996" t="str">
            <v>1</v>
          </cell>
          <cell r="H996" t="str">
            <v>INDUSTRY</v>
          </cell>
          <cell r="I996" t="str">
            <v>11</v>
          </cell>
          <cell r="J996" t="str">
            <v>WOOD COATINGS</v>
          </cell>
          <cell r="K996" t="str">
            <v>1119</v>
          </cell>
          <cell r="L996" t="str">
            <v>WATERBASED</v>
          </cell>
          <cell r="M996" t="str">
            <v>111902</v>
          </cell>
          <cell r="N996" t="str">
            <v>WATERBASED SYSTEM INTERIOR</v>
          </cell>
        </row>
        <row r="997">
          <cell r="C997" t="str">
            <v>100000995</v>
          </cell>
          <cell r="D997" t="str">
            <v>WBS-61003 SEALER VN-20KP</v>
          </cell>
          <cell r="E997" t="str">
            <v>ZFGD</v>
          </cell>
          <cell r="F997" t="str">
            <v>PC</v>
          </cell>
          <cell r="G997" t="str">
            <v>1</v>
          </cell>
          <cell r="H997" t="str">
            <v>INDUSTRY</v>
          </cell>
          <cell r="I997" t="str">
            <v>11</v>
          </cell>
          <cell r="J997" t="str">
            <v>WOOD COATINGS</v>
          </cell>
          <cell r="K997" t="str">
            <v>1119</v>
          </cell>
          <cell r="L997" t="str">
            <v>WATERBASED</v>
          </cell>
          <cell r="M997" t="str">
            <v>111902</v>
          </cell>
          <cell r="N997" t="str">
            <v>WATERBASED SYSTEM INTERIOR</v>
          </cell>
        </row>
        <row r="998">
          <cell r="C998" t="str">
            <v>100000996</v>
          </cell>
          <cell r="D998" t="str">
            <v>WBSS-61103 SL VN-20KP</v>
          </cell>
          <cell r="E998" t="str">
            <v>ZFGD</v>
          </cell>
          <cell r="F998" t="str">
            <v>PC</v>
          </cell>
          <cell r="G998" t="str">
            <v>1</v>
          </cell>
          <cell r="H998" t="str">
            <v>INDUSTRY</v>
          </cell>
          <cell r="I998" t="str">
            <v>11</v>
          </cell>
          <cell r="J998" t="str">
            <v>WOOD COATINGS</v>
          </cell>
          <cell r="K998" t="str">
            <v>1119</v>
          </cell>
          <cell r="L998" t="str">
            <v>WATERBASED</v>
          </cell>
          <cell r="M998" t="str">
            <v>111902</v>
          </cell>
          <cell r="N998" t="str">
            <v>WATERBASED SYSTEM INTERIOR</v>
          </cell>
        </row>
        <row r="999">
          <cell r="C999" t="str">
            <v>100000998</v>
          </cell>
          <cell r="D999" t="str">
            <v>PFP-261 VN-4.5K</v>
          </cell>
          <cell r="E999" t="str">
            <v>ZFGD</v>
          </cell>
          <cell r="F999" t="str">
            <v>PC</v>
          </cell>
          <cell r="G999" t="str">
            <v>5</v>
          </cell>
          <cell r="H999" t="str">
            <v>PROJECT</v>
          </cell>
          <cell r="I999" t="str">
            <v>56</v>
          </cell>
          <cell r="J999" t="str">
            <v>CPC1</v>
          </cell>
          <cell r="K999" t="str">
            <v>5602</v>
          </cell>
          <cell r="L999" t="str">
            <v>POLYFLOOR</v>
          </cell>
          <cell r="M999" t="str">
            <v>560202</v>
          </cell>
          <cell r="N999" t="str">
            <v>POLYFLOOR EPOXY</v>
          </cell>
        </row>
        <row r="1000">
          <cell r="C1000" t="str">
            <v>100001000</v>
          </cell>
          <cell r="D1000" t="str">
            <v>PFP-261 VN-18KP</v>
          </cell>
          <cell r="E1000" t="str">
            <v>ZFGD</v>
          </cell>
          <cell r="F1000" t="str">
            <v>PC</v>
          </cell>
          <cell r="G1000" t="str">
            <v>5</v>
          </cell>
          <cell r="H1000" t="str">
            <v>PROJECT</v>
          </cell>
          <cell r="I1000" t="str">
            <v>56</v>
          </cell>
          <cell r="J1000" t="str">
            <v>CPC1</v>
          </cell>
          <cell r="K1000" t="str">
            <v>5602</v>
          </cell>
          <cell r="L1000" t="str">
            <v>POLYFLOOR</v>
          </cell>
          <cell r="M1000" t="str">
            <v>560202</v>
          </cell>
          <cell r="N1000" t="str">
            <v>POLYFLOOR EPOXY</v>
          </cell>
        </row>
        <row r="1001">
          <cell r="C1001" t="str">
            <v>100001001</v>
          </cell>
          <cell r="D1001" t="str">
            <v>PFP-241 VN-4KS</v>
          </cell>
          <cell r="E1001" t="str">
            <v>ZFGD</v>
          </cell>
          <cell r="F1001" t="str">
            <v>SET</v>
          </cell>
          <cell r="G1001" t="str">
            <v>5</v>
          </cell>
          <cell r="H1001" t="str">
            <v>PROJECT</v>
          </cell>
          <cell r="I1001" t="str">
            <v>56</v>
          </cell>
          <cell r="J1001" t="str">
            <v>CPC1</v>
          </cell>
          <cell r="K1001" t="str">
            <v>5602</v>
          </cell>
          <cell r="L1001" t="str">
            <v>POLYFLOOR</v>
          </cell>
          <cell r="M1001" t="str">
            <v>560202</v>
          </cell>
          <cell r="N1001" t="str">
            <v>POLYFLOOR EPOXY</v>
          </cell>
        </row>
        <row r="1002">
          <cell r="C1002" t="str">
            <v>100001002</v>
          </cell>
          <cell r="D1002" t="str">
            <v>PFP-241 VN-3.5K</v>
          </cell>
          <cell r="E1002" t="str">
            <v>ZFGD</v>
          </cell>
          <cell r="F1002" t="str">
            <v>PC</v>
          </cell>
          <cell r="G1002" t="str">
            <v>5</v>
          </cell>
          <cell r="H1002" t="str">
            <v>PROJECT</v>
          </cell>
          <cell r="I1002" t="str">
            <v>56</v>
          </cell>
          <cell r="J1002" t="str">
            <v>CPC1</v>
          </cell>
          <cell r="K1002" t="str">
            <v>5602</v>
          </cell>
          <cell r="L1002" t="str">
            <v>POLYFLOOR</v>
          </cell>
          <cell r="M1002" t="str">
            <v>560202</v>
          </cell>
          <cell r="N1002" t="str">
            <v>POLYFLOOR EPOXY</v>
          </cell>
        </row>
        <row r="1003">
          <cell r="C1003" t="str">
            <v>100001003</v>
          </cell>
          <cell r="D1003" t="str">
            <v>PFP-241 VN-20KSP</v>
          </cell>
          <cell r="E1003" t="str">
            <v>ZFGD</v>
          </cell>
          <cell r="F1003" t="str">
            <v>SET</v>
          </cell>
          <cell r="G1003" t="str">
            <v>5</v>
          </cell>
          <cell r="H1003" t="str">
            <v>PROJECT</v>
          </cell>
          <cell r="I1003" t="str">
            <v>56</v>
          </cell>
          <cell r="J1003" t="str">
            <v>CPC1</v>
          </cell>
          <cell r="K1003" t="str">
            <v>5602</v>
          </cell>
          <cell r="L1003" t="str">
            <v>POLYFLOOR</v>
          </cell>
          <cell r="M1003" t="str">
            <v>560202</v>
          </cell>
          <cell r="N1003" t="str">
            <v>POLYFLOOR EPOXY</v>
          </cell>
        </row>
        <row r="1004">
          <cell r="C1004" t="str">
            <v>100001004</v>
          </cell>
          <cell r="D1004" t="str">
            <v>PFP-241 VN-17.5KP</v>
          </cell>
          <cell r="E1004" t="str">
            <v>ZFGD</v>
          </cell>
          <cell r="F1004" t="str">
            <v>PC</v>
          </cell>
          <cell r="G1004" t="str">
            <v>5</v>
          </cell>
          <cell r="H1004" t="str">
            <v>PROJECT</v>
          </cell>
          <cell r="I1004" t="str">
            <v>56</v>
          </cell>
          <cell r="J1004" t="str">
            <v>CPC1</v>
          </cell>
          <cell r="K1004" t="str">
            <v>5602</v>
          </cell>
          <cell r="L1004" t="str">
            <v>POLYFLOOR</v>
          </cell>
          <cell r="M1004" t="str">
            <v>560202</v>
          </cell>
          <cell r="N1004" t="str">
            <v>POLYFLOOR EPOXY</v>
          </cell>
        </row>
        <row r="1005">
          <cell r="C1005" t="str">
            <v>100001068</v>
          </cell>
          <cell r="D1005" t="str">
            <v>PFT-253 AVOCADO VN-20KSP</v>
          </cell>
          <cell r="E1005" t="str">
            <v>ZFGD</v>
          </cell>
          <cell r="F1005" t="str">
            <v>SET</v>
          </cell>
          <cell r="G1005" t="str">
            <v>5</v>
          </cell>
          <cell r="H1005" t="str">
            <v>PROJECT</v>
          </cell>
          <cell r="I1005" t="str">
            <v>56</v>
          </cell>
          <cell r="J1005" t="str">
            <v>CPC1</v>
          </cell>
          <cell r="K1005" t="str">
            <v>5602</v>
          </cell>
          <cell r="L1005" t="str">
            <v>POLYFLOOR</v>
          </cell>
          <cell r="M1005" t="str">
            <v>560202</v>
          </cell>
          <cell r="N1005" t="str">
            <v>POLYFLOOR EPOXY</v>
          </cell>
        </row>
        <row r="1006">
          <cell r="C1006" t="str">
            <v>100001069</v>
          </cell>
          <cell r="D1006" t="str">
            <v>PFT-253 AVOCADO VN-16KP</v>
          </cell>
          <cell r="E1006" t="str">
            <v>ZFGD</v>
          </cell>
          <cell r="F1006" t="str">
            <v>PC</v>
          </cell>
          <cell r="G1006" t="str">
            <v>5</v>
          </cell>
          <cell r="H1006" t="str">
            <v>PROJECT</v>
          </cell>
          <cell r="I1006" t="str">
            <v>56</v>
          </cell>
          <cell r="J1006" t="str">
            <v>CPC1</v>
          </cell>
          <cell r="K1006" t="str">
            <v>5602</v>
          </cell>
          <cell r="L1006" t="str">
            <v>POLYFLOOR</v>
          </cell>
          <cell r="M1006" t="str">
            <v>560202</v>
          </cell>
          <cell r="N1006" t="str">
            <v>POLYFLOOR EPOXY</v>
          </cell>
        </row>
        <row r="1007">
          <cell r="C1007" t="str">
            <v>100001168</v>
          </cell>
          <cell r="D1007" t="str">
            <v>UPR-960 BLACK 9406 VN-4K</v>
          </cell>
          <cell r="E1007" t="str">
            <v>ZFGD</v>
          </cell>
          <cell r="F1007" t="str">
            <v>PC</v>
          </cell>
          <cell r="G1007" t="str">
            <v>2</v>
          </cell>
          <cell r="H1007" t="str">
            <v>RETAIL</v>
          </cell>
          <cell r="I1007" t="str">
            <v>2D</v>
          </cell>
          <cell r="J1007" t="str">
            <v>APCT2</v>
          </cell>
          <cell r="K1007" t="str">
            <v>2D01</v>
          </cell>
          <cell r="L1007" t="str">
            <v>ULTRAPROOF</v>
          </cell>
          <cell r="M1007" t="str">
            <v>2D0101</v>
          </cell>
          <cell r="N1007" t="str">
            <v>ULTRAPROOF RMX</v>
          </cell>
        </row>
        <row r="1008">
          <cell r="C1008" t="str">
            <v>100001169</v>
          </cell>
          <cell r="D1008" t="str">
            <v>UPR-960 BLACK 9406 VN-20KP</v>
          </cell>
          <cell r="E1008" t="str">
            <v>ZFGD</v>
          </cell>
          <cell r="F1008" t="str">
            <v>PC</v>
          </cell>
          <cell r="G1008" t="str">
            <v>2</v>
          </cell>
          <cell r="H1008" t="str">
            <v>RETAIL</v>
          </cell>
          <cell r="I1008" t="str">
            <v>2D</v>
          </cell>
          <cell r="J1008" t="str">
            <v>APCT2</v>
          </cell>
          <cell r="K1008" t="str">
            <v>2D01</v>
          </cell>
          <cell r="L1008" t="str">
            <v>ULTRAPROOF</v>
          </cell>
          <cell r="M1008" t="str">
            <v>2D0101</v>
          </cell>
          <cell r="N1008" t="str">
            <v>ULTRAPROOF RMX</v>
          </cell>
        </row>
        <row r="1009">
          <cell r="C1009" t="str">
            <v>100001170</v>
          </cell>
          <cell r="D1009" t="str">
            <v>UPR-960 DARK BROWN 2406 VN-4K</v>
          </cell>
          <cell r="E1009" t="str">
            <v>ZFGD</v>
          </cell>
          <cell r="F1009" t="str">
            <v>PC</v>
          </cell>
          <cell r="G1009" t="str">
            <v>2</v>
          </cell>
          <cell r="H1009" t="str">
            <v>RETAIL</v>
          </cell>
          <cell r="I1009" t="str">
            <v>2D</v>
          </cell>
          <cell r="J1009" t="str">
            <v>APCT2</v>
          </cell>
          <cell r="K1009" t="str">
            <v>2D01</v>
          </cell>
          <cell r="L1009" t="str">
            <v>ULTRAPROOF</v>
          </cell>
          <cell r="M1009" t="str">
            <v>2D0101</v>
          </cell>
          <cell r="N1009" t="str">
            <v>ULTRAPROOF RMX</v>
          </cell>
        </row>
        <row r="1010">
          <cell r="C1010" t="str">
            <v>100001171</v>
          </cell>
          <cell r="D1010" t="str">
            <v>UPR-960 DARK BROWN 2406 VN-20KP</v>
          </cell>
          <cell r="E1010" t="str">
            <v>ZFGD</v>
          </cell>
          <cell r="F1010" t="str">
            <v>PC</v>
          </cell>
          <cell r="G1010" t="str">
            <v>2</v>
          </cell>
          <cell r="H1010" t="str">
            <v>RETAIL</v>
          </cell>
          <cell r="I1010" t="str">
            <v>2D</v>
          </cell>
          <cell r="J1010" t="str">
            <v>APCT2</v>
          </cell>
          <cell r="K1010" t="str">
            <v>2D01</v>
          </cell>
          <cell r="L1010" t="str">
            <v>ULTRAPROOF</v>
          </cell>
          <cell r="M1010" t="str">
            <v>2D0101</v>
          </cell>
          <cell r="N1010" t="str">
            <v>ULTRAPROOF RMX</v>
          </cell>
        </row>
        <row r="1011">
          <cell r="C1011" t="str">
            <v>100001172</v>
          </cell>
          <cell r="D1011" t="str">
            <v>UPR-960 HARVEST 3404 VN-4K</v>
          </cell>
          <cell r="E1011" t="str">
            <v>ZFGD</v>
          </cell>
          <cell r="F1011" t="str">
            <v>PC</v>
          </cell>
          <cell r="G1011" t="str">
            <v>2</v>
          </cell>
          <cell r="H1011" t="str">
            <v>RETAIL</v>
          </cell>
          <cell r="I1011" t="str">
            <v>2D</v>
          </cell>
          <cell r="J1011" t="str">
            <v>APCT2</v>
          </cell>
          <cell r="K1011" t="str">
            <v>2D01</v>
          </cell>
          <cell r="L1011" t="str">
            <v>ULTRAPROOF</v>
          </cell>
          <cell r="M1011" t="str">
            <v>2D0101</v>
          </cell>
          <cell r="N1011" t="str">
            <v>ULTRAPROOF RMX</v>
          </cell>
        </row>
        <row r="1012">
          <cell r="C1012" t="str">
            <v>100001173</v>
          </cell>
          <cell r="D1012" t="str">
            <v>UPR-960 HARVEST 3404 VN-20KP</v>
          </cell>
          <cell r="E1012" t="str">
            <v>ZFGD</v>
          </cell>
          <cell r="F1012" t="str">
            <v>PC</v>
          </cell>
          <cell r="G1012" t="str">
            <v>2</v>
          </cell>
          <cell r="H1012" t="str">
            <v>RETAIL</v>
          </cell>
          <cell r="I1012" t="str">
            <v>2D</v>
          </cell>
          <cell r="J1012" t="str">
            <v>APCT2</v>
          </cell>
          <cell r="K1012" t="str">
            <v>2D01</v>
          </cell>
          <cell r="L1012" t="str">
            <v>ULTRAPROOF</v>
          </cell>
          <cell r="M1012" t="str">
            <v>2D0101</v>
          </cell>
          <cell r="N1012" t="str">
            <v>ULTRAPROOF RMX</v>
          </cell>
        </row>
        <row r="1013">
          <cell r="C1013" t="str">
            <v>100001174</v>
          </cell>
          <cell r="D1013" t="str">
            <v>UPR-960 LIGHT GREY 7114 VN-4K</v>
          </cell>
          <cell r="E1013" t="str">
            <v>ZFGD</v>
          </cell>
          <cell r="F1013" t="str">
            <v>PC</v>
          </cell>
          <cell r="G1013" t="str">
            <v>2</v>
          </cell>
          <cell r="H1013" t="str">
            <v>RETAIL</v>
          </cell>
          <cell r="I1013" t="str">
            <v>2D</v>
          </cell>
          <cell r="J1013" t="str">
            <v>APCT2</v>
          </cell>
          <cell r="K1013" t="str">
            <v>2D01</v>
          </cell>
          <cell r="L1013" t="str">
            <v>ULTRAPROOF</v>
          </cell>
          <cell r="M1013" t="str">
            <v>2D0101</v>
          </cell>
          <cell r="N1013" t="str">
            <v>ULTRAPROOF RMX</v>
          </cell>
        </row>
        <row r="1014">
          <cell r="C1014" t="str">
            <v>100001175</v>
          </cell>
          <cell r="D1014" t="str">
            <v>UPR-960 LIGHT GREY 7114 VN-20KP</v>
          </cell>
          <cell r="E1014" t="str">
            <v>ZFGD</v>
          </cell>
          <cell r="F1014" t="str">
            <v>PC</v>
          </cell>
          <cell r="G1014" t="str">
            <v>2</v>
          </cell>
          <cell r="H1014" t="str">
            <v>RETAIL</v>
          </cell>
          <cell r="I1014" t="str">
            <v>2D</v>
          </cell>
          <cell r="J1014" t="str">
            <v>APCT2</v>
          </cell>
          <cell r="K1014" t="str">
            <v>2D01</v>
          </cell>
          <cell r="L1014" t="str">
            <v>ULTRAPROOF</v>
          </cell>
          <cell r="M1014" t="str">
            <v>2D0101</v>
          </cell>
          <cell r="N1014" t="str">
            <v>ULTRAPROOF RMX</v>
          </cell>
        </row>
        <row r="1015">
          <cell r="C1015" t="str">
            <v>100001176</v>
          </cell>
          <cell r="D1015" t="str">
            <v>UPR-960 WHITE 9101 VN-4K</v>
          </cell>
          <cell r="E1015" t="str">
            <v>ZFGD</v>
          </cell>
          <cell r="F1015" t="str">
            <v>PC</v>
          </cell>
          <cell r="G1015" t="str">
            <v>2</v>
          </cell>
          <cell r="H1015" t="str">
            <v>RETAIL</v>
          </cell>
          <cell r="I1015" t="str">
            <v>2D</v>
          </cell>
          <cell r="J1015" t="str">
            <v>APCT2</v>
          </cell>
          <cell r="K1015" t="str">
            <v>2D01</v>
          </cell>
          <cell r="L1015" t="str">
            <v>ULTRAPROOF</v>
          </cell>
          <cell r="M1015" t="str">
            <v>2D0101</v>
          </cell>
          <cell r="N1015" t="str">
            <v>ULTRAPROOF RMX</v>
          </cell>
        </row>
        <row r="1016">
          <cell r="C1016" t="str">
            <v>100001177</v>
          </cell>
          <cell r="D1016" t="str">
            <v>UPR-960 WHITE 9101 VN-20KP</v>
          </cell>
          <cell r="E1016" t="str">
            <v>ZFGD</v>
          </cell>
          <cell r="F1016" t="str">
            <v>PC</v>
          </cell>
          <cell r="G1016" t="str">
            <v>2</v>
          </cell>
          <cell r="H1016" t="str">
            <v>RETAIL</v>
          </cell>
          <cell r="I1016" t="str">
            <v>2D</v>
          </cell>
          <cell r="J1016" t="str">
            <v>APCT2</v>
          </cell>
          <cell r="K1016" t="str">
            <v>2D01</v>
          </cell>
          <cell r="L1016" t="str">
            <v>ULTRAPROOF</v>
          </cell>
          <cell r="M1016" t="str">
            <v>2D0101</v>
          </cell>
          <cell r="N1016" t="str">
            <v>ULTRAPROOF RMX</v>
          </cell>
        </row>
        <row r="1017">
          <cell r="C1017" t="str">
            <v>100001178</v>
          </cell>
          <cell r="D1017" t="str">
            <v>UPR-960 ARMY GREEN 7414 VN-4K</v>
          </cell>
          <cell r="E1017" t="str">
            <v>ZFGD</v>
          </cell>
          <cell r="F1017" t="str">
            <v>PC</v>
          </cell>
          <cell r="G1017" t="str">
            <v>2</v>
          </cell>
          <cell r="H1017" t="str">
            <v>RETAIL</v>
          </cell>
          <cell r="I1017" t="str">
            <v>2D</v>
          </cell>
          <cell r="J1017" t="str">
            <v>APCT2</v>
          </cell>
          <cell r="K1017" t="str">
            <v>2D01</v>
          </cell>
          <cell r="L1017" t="str">
            <v>ULTRAPROOF</v>
          </cell>
          <cell r="M1017" t="str">
            <v>2D0101</v>
          </cell>
          <cell r="N1017" t="str">
            <v>ULTRAPROOF RMX</v>
          </cell>
        </row>
        <row r="1018">
          <cell r="C1018" t="str">
            <v>100001179</v>
          </cell>
          <cell r="D1018" t="str">
            <v>UPR-960 ARMY GREEN 7414 VN-20KP</v>
          </cell>
          <cell r="E1018" t="str">
            <v>ZFGD</v>
          </cell>
          <cell r="F1018" t="str">
            <v>PC</v>
          </cell>
          <cell r="G1018" t="str">
            <v>2</v>
          </cell>
          <cell r="H1018" t="str">
            <v>RETAIL</v>
          </cell>
          <cell r="I1018" t="str">
            <v>2D</v>
          </cell>
          <cell r="J1018" t="str">
            <v>APCT2</v>
          </cell>
          <cell r="K1018" t="str">
            <v>2D01</v>
          </cell>
          <cell r="L1018" t="str">
            <v>ULTRAPROOF</v>
          </cell>
          <cell r="M1018" t="str">
            <v>2D0101</v>
          </cell>
          <cell r="N1018" t="str">
            <v>ULTRAPROOF RMX</v>
          </cell>
        </row>
        <row r="1019">
          <cell r="C1019" t="str">
            <v>100001180</v>
          </cell>
          <cell r="D1019" t="str">
            <v>UPR-960 PASTEL GREY 8403 VN-4K</v>
          </cell>
          <cell r="E1019" t="str">
            <v>ZFGD</v>
          </cell>
          <cell r="F1019" t="str">
            <v>PC</v>
          </cell>
          <cell r="G1019" t="str">
            <v>2</v>
          </cell>
          <cell r="H1019" t="str">
            <v>RETAIL</v>
          </cell>
          <cell r="I1019" t="str">
            <v>2D</v>
          </cell>
          <cell r="J1019" t="str">
            <v>APCT2</v>
          </cell>
          <cell r="K1019" t="str">
            <v>2D01</v>
          </cell>
          <cell r="L1019" t="str">
            <v>ULTRAPROOF</v>
          </cell>
          <cell r="M1019" t="str">
            <v>2D0101</v>
          </cell>
          <cell r="N1019" t="str">
            <v>ULTRAPROOF RMX</v>
          </cell>
        </row>
        <row r="1020">
          <cell r="C1020" t="str">
            <v>100001181</v>
          </cell>
          <cell r="D1020" t="str">
            <v>UPR-960 PASTEL GREY 8403 VN-20KP</v>
          </cell>
          <cell r="E1020" t="str">
            <v>ZFGD</v>
          </cell>
          <cell r="F1020" t="str">
            <v>PC</v>
          </cell>
          <cell r="G1020" t="str">
            <v>2</v>
          </cell>
          <cell r="H1020" t="str">
            <v>RETAIL</v>
          </cell>
          <cell r="I1020" t="str">
            <v>2D</v>
          </cell>
          <cell r="J1020" t="str">
            <v>APCT2</v>
          </cell>
          <cell r="K1020" t="str">
            <v>2D01</v>
          </cell>
          <cell r="L1020" t="str">
            <v>ULTRAPROOF</v>
          </cell>
          <cell r="M1020" t="str">
            <v>2D0101</v>
          </cell>
          <cell r="N1020" t="str">
            <v>ULTRAPROOF RMX</v>
          </cell>
        </row>
        <row r="1021">
          <cell r="C1021" t="str">
            <v>100001182</v>
          </cell>
          <cell r="D1021" t="str">
            <v>UPR-960 APRICOT 1141 VN-4K</v>
          </cell>
          <cell r="E1021" t="str">
            <v>ZFGD</v>
          </cell>
          <cell r="F1021" t="str">
            <v>PC</v>
          </cell>
          <cell r="G1021" t="str">
            <v>2</v>
          </cell>
          <cell r="H1021" t="str">
            <v>RETAIL</v>
          </cell>
          <cell r="I1021" t="str">
            <v>2D</v>
          </cell>
          <cell r="J1021" t="str">
            <v>APCT2</v>
          </cell>
          <cell r="K1021" t="str">
            <v>2D01</v>
          </cell>
          <cell r="L1021" t="str">
            <v>ULTRAPROOF</v>
          </cell>
          <cell r="M1021" t="str">
            <v>2D0101</v>
          </cell>
          <cell r="N1021" t="str">
            <v>ULTRAPROOF RMX</v>
          </cell>
        </row>
        <row r="1022">
          <cell r="C1022" t="str">
            <v>100001183</v>
          </cell>
          <cell r="D1022" t="str">
            <v>UPR-960 APRICOT 1141 VN-20KP</v>
          </cell>
          <cell r="E1022" t="str">
            <v>ZFGD</v>
          </cell>
          <cell r="F1022" t="str">
            <v>PC</v>
          </cell>
          <cell r="G1022" t="str">
            <v>2</v>
          </cell>
          <cell r="H1022" t="str">
            <v>RETAIL</v>
          </cell>
          <cell r="I1022" t="str">
            <v>2D</v>
          </cell>
          <cell r="J1022" t="str">
            <v>APCT2</v>
          </cell>
          <cell r="K1022" t="str">
            <v>2D01</v>
          </cell>
          <cell r="L1022" t="str">
            <v>ULTRAPROOF</v>
          </cell>
          <cell r="M1022" t="str">
            <v>2D0101</v>
          </cell>
          <cell r="N1022" t="str">
            <v>ULTRAPROOF RMX</v>
          </cell>
        </row>
        <row r="1023">
          <cell r="C1023" t="str">
            <v>100001184</v>
          </cell>
          <cell r="D1023" t="str">
            <v>UPR-960 SKY BLUE 7101 VN-4K</v>
          </cell>
          <cell r="E1023" t="str">
            <v>ZFGD</v>
          </cell>
          <cell r="F1023" t="str">
            <v>PC</v>
          </cell>
          <cell r="G1023" t="str">
            <v>2</v>
          </cell>
          <cell r="H1023" t="str">
            <v>RETAIL</v>
          </cell>
          <cell r="I1023" t="str">
            <v>2D</v>
          </cell>
          <cell r="J1023" t="str">
            <v>APCT2</v>
          </cell>
          <cell r="K1023" t="str">
            <v>2D01</v>
          </cell>
          <cell r="L1023" t="str">
            <v>ULTRAPROOF</v>
          </cell>
          <cell r="M1023" t="str">
            <v>2D0101</v>
          </cell>
          <cell r="N1023" t="str">
            <v>ULTRAPROOF RMX</v>
          </cell>
        </row>
        <row r="1024">
          <cell r="C1024" t="str">
            <v>100001185</v>
          </cell>
          <cell r="D1024" t="str">
            <v>UPR-960 SKY BLUE 7101 VN-20KP</v>
          </cell>
          <cell r="E1024" t="str">
            <v>ZFGD</v>
          </cell>
          <cell r="F1024" t="str">
            <v>PC</v>
          </cell>
          <cell r="G1024" t="str">
            <v>2</v>
          </cell>
          <cell r="H1024" t="str">
            <v>RETAIL</v>
          </cell>
          <cell r="I1024" t="str">
            <v>2D</v>
          </cell>
          <cell r="J1024" t="str">
            <v>APCT2</v>
          </cell>
          <cell r="K1024" t="str">
            <v>2D01</v>
          </cell>
          <cell r="L1024" t="str">
            <v>ULTRAPROOF</v>
          </cell>
          <cell r="M1024" t="str">
            <v>2D0101</v>
          </cell>
          <cell r="N1024" t="str">
            <v>ULTRAPROOF RMX</v>
          </cell>
        </row>
        <row r="1025">
          <cell r="C1025" t="str">
            <v>100001191</v>
          </cell>
          <cell r="D1025" t="str">
            <v>UPR-960 PRIME GREY 0044 VN-20KP</v>
          </cell>
          <cell r="E1025" t="str">
            <v>ZFGD</v>
          </cell>
          <cell r="F1025" t="str">
            <v>PC</v>
          </cell>
          <cell r="G1025" t="str">
            <v>2</v>
          </cell>
          <cell r="H1025" t="str">
            <v>RETAIL</v>
          </cell>
          <cell r="I1025" t="str">
            <v>2D</v>
          </cell>
          <cell r="J1025" t="str">
            <v>APCT2</v>
          </cell>
          <cell r="K1025" t="str">
            <v>2D01</v>
          </cell>
          <cell r="L1025" t="str">
            <v>ULTRAPROOF</v>
          </cell>
          <cell r="M1025" t="str">
            <v>2D0101</v>
          </cell>
          <cell r="N1025" t="str">
            <v>ULTRAPROOF RMX</v>
          </cell>
        </row>
        <row r="1026">
          <cell r="C1026" t="str">
            <v>100001204</v>
          </cell>
          <cell r="D1026" t="str">
            <v>US-970 LOTUS 1134 VN-4K</v>
          </cell>
          <cell r="E1026" t="str">
            <v>ZFGD</v>
          </cell>
          <cell r="F1026" t="str">
            <v>PC</v>
          </cell>
          <cell r="G1026" t="str">
            <v>2</v>
          </cell>
          <cell r="H1026" t="str">
            <v>RETAIL</v>
          </cell>
          <cell r="I1026" t="str">
            <v>28</v>
          </cell>
          <cell r="J1026" t="str">
            <v>CPC2</v>
          </cell>
          <cell r="K1026" t="str">
            <v>2807</v>
          </cell>
          <cell r="L1026" t="str">
            <v>ULTRASEAL</v>
          </cell>
          <cell r="M1026" t="str">
            <v>280701</v>
          </cell>
          <cell r="N1026" t="str">
            <v>ULTRASEAL</v>
          </cell>
        </row>
        <row r="1027">
          <cell r="C1027" t="str">
            <v>100001205</v>
          </cell>
          <cell r="D1027" t="str">
            <v>US-970 LOTUS 1134 VN-20KP</v>
          </cell>
          <cell r="E1027" t="str">
            <v>ZFGD</v>
          </cell>
          <cell r="F1027" t="str">
            <v>PC</v>
          </cell>
          <cell r="G1027" t="str">
            <v>2</v>
          </cell>
          <cell r="H1027" t="str">
            <v>RETAIL</v>
          </cell>
          <cell r="I1027" t="str">
            <v>28</v>
          </cell>
          <cell r="J1027" t="str">
            <v>CPC2</v>
          </cell>
          <cell r="K1027" t="str">
            <v>2807</v>
          </cell>
          <cell r="L1027" t="str">
            <v>ULTRASEAL</v>
          </cell>
          <cell r="M1027" t="str">
            <v>280701</v>
          </cell>
          <cell r="N1027" t="str">
            <v>ULTRASEAL</v>
          </cell>
        </row>
        <row r="1028">
          <cell r="C1028" t="str">
            <v>100001216</v>
          </cell>
          <cell r="D1028" t="str">
            <v>US-970 TILE BROWN 3406 VN-4K</v>
          </cell>
          <cell r="E1028" t="str">
            <v>ZFGD</v>
          </cell>
          <cell r="F1028" t="str">
            <v>PC</v>
          </cell>
          <cell r="G1028" t="str">
            <v>2</v>
          </cell>
          <cell r="H1028" t="str">
            <v>RETAIL</v>
          </cell>
          <cell r="I1028" t="str">
            <v>28</v>
          </cell>
          <cell r="J1028" t="str">
            <v>CPC2</v>
          </cell>
          <cell r="K1028" t="str">
            <v>2807</v>
          </cell>
          <cell r="L1028" t="str">
            <v>ULTRASEAL</v>
          </cell>
          <cell r="M1028" t="str">
            <v>280701</v>
          </cell>
          <cell r="N1028" t="str">
            <v>ULTRASEAL</v>
          </cell>
        </row>
        <row r="1029">
          <cell r="C1029" t="str">
            <v>100001217</v>
          </cell>
          <cell r="D1029" t="str">
            <v>US-970 TILE BROWN 3406 VN-20KP</v>
          </cell>
          <cell r="E1029" t="str">
            <v>ZFGD</v>
          </cell>
          <cell r="F1029" t="str">
            <v>PC</v>
          </cell>
          <cell r="G1029" t="str">
            <v>2</v>
          </cell>
          <cell r="H1029" t="str">
            <v>RETAIL</v>
          </cell>
          <cell r="I1029" t="str">
            <v>28</v>
          </cell>
          <cell r="J1029" t="str">
            <v>CPC2</v>
          </cell>
          <cell r="K1029" t="str">
            <v>2807</v>
          </cell>
          <cell r="L1029" t="str">
            <v>ULTRASEAL</v>
          </cell>
          <cell r="M1029" t="str">
            <v>280701</v>
          </cell>
          <cell r="N1029" t="str">
            <v>ULTRASEAL</v>
          </cell>
        </row>
        <row r="1030">
          <cell r="C1030" t="str">
            <v>100001220</v>
          </cell>
          <cell r="D1030" t="str">
            <v>US-970 TROPICAL GREEN 7411 VN-20KP</v>
          </cell>
          <cell r="E1030" t="str">
            <v>ZFGD</v>
          </cell>
          <cell r="F1030" t="str">
            <v>PC</v>
          </cell>
          <cell r="G1030" t="str">
            <v>2</v>
          </cell>
          <cell r="H1030" t="str">
            <v>RETAIL</v>
          </cell>
          <cell r="I1030" t="str">
            <v>28</v>
          </cell>
          <cell r="J1030" t="str">
            <v>CPC2</v>
          </cell>
          <cell r="K1030" t="str">
            <v>2807</v>
          </cell>
          <cell r="L1030" t="str">
            <v>ULTRASEAL</v>
          </cell>
          <cell r="M1030" t="str">
            <v>280701</v>
          </cell>
          <cell r="N1030" t="str">
            <v>ULTRASEAL</v>
          </cell>
        </row>
        <row r="1031">
          <cell r="C1031" t="str">
            <v>100001223</v>
          </cell>
          <cell r="D1031" t="str">
            <v>US-970 WHITE 9101 VN-20KP</v>
          </cell>
          <cell r="E1031" t="str">
            <v>ZFGD</v>
          </cell>
          <cell r="F1031" t="str">
            <v>PC</v>
          </cell>
          <cell r="G1031" t="str">
            <v>2</v>
          </cell>
          <cell r="H1031" t="str">
            <v>RETAIL</v>
          </cell>
          <cell r="I1031" t="str">
            <v>28</v>
          </cell>
          <cell r="J1031" t="str">
            <v>CPC2</v>
          </cell>
          <cell r="K1031" t="str">
            <v>2807</v>
          </cell>
          <cell r="L1031" t="str">
            <v>ULTRASEAL</v>
          </cell>
          <cell r="M1031" t="str">
            <v>280701</v>
          </cell>
          <cell r="N1031" t="str">
            <v>ULTRASEAL</v>
          </cell>
        </row>
        <row r="1032">
          <cell r="C1032" t="str">
            <v>100001229</v>
          </cell>
          <cell r="D1032" t="str">
            <v>US-970 MORNING STAR 1109 VN-20KP</v>
          </cell>
          <cell r="E1032" t="str">
            <v>ZFGD</v>
          </cell>
          <cell r="F1032" t="str">
            <v>PC</v>
          </cell>
          <cell r="G1032" t="str">
            <v>2</v>
          </cell>
          <cell r="H1032" t="str">
            <v>RETAIL</v>
          </cell>
          <cell r="I1032" t="str">
            <v>28</v>
          </cell>
          <cell r="J1032" t="str">
            <v>CPC2</v>
          </cell>
          <cell r="K1032" t="str">
            <v>2807</v>
          </cell>
          <cell r="L1032" t="str">
            <v>ULTRASEAL</v>
          </cell>
          <cell r="M1032" t="str">
            <v>280701</v>
          </cell>
          <cell r="N1032" t="str">
            <v>ULTRASEAL</v>
          </cell>
        </row>
        <row r="1033">
          <cell r="C1033" t="str">
            <v>100001232</v>
          </cell>
          <cell r="D1033" t="str">
            <v>US-970 INDIAN RED 2412 VN-20KP</v>
          </cell>
          <cell r="E1033" t="str">
            <v>ZFGD</v>
          </cell>
          <cell r="F1033" t="str">
            <v>PC</v>
          </cell>
          <cell r="G1033" t="str">
            <v>2</v>
          </cell>
          <cell r="H1033" t="str">
            <v>RETAIL</v>
          </cell>
          <cell r="I1033" t="str">
            <v>28</v>
          </cell>
          <cell r="J1033" t="str">
            <v>CPC2</v>
          </cell>
          <cell r="K1033" t="str">
            <v>2807</v>
          </cell>
          <cell r="L1033" t="str">
            <v>ULTRASEAL</v>
          </cell>
          <cell r="M1033" t="str">
            <v>280701</v>
          </cell>
          <cell r="N1033" t="str">
            <v>ULTRASEAL</v>
          </cell>
        </row>
        <row r="1034">
          <cell r="C1034" t="str">
            <v>100001244</v>
          </cell>
          <cell r="D1034" t="str">
            <v>US-970 DAY BREAK 9104 VN-20KP</v>
          </cell>
          <cell r="E1034" t="str">
            <v>ZFGD</v>
          </cell>
          <cell r="F1034" t="str">
            <v>PC</v>
          </cell>
          <cell r="G1034" t="str">
            <v>2</v>
          </cell>
          <cell r="H1034" t="str">
            <v>RETAIL</v>
          </cell>
          <cell r="I1034" t="str">
            <v>28</v>
          </cell>
          <cell r="J1034" t="str">
            <v>CPC2</v>
          </cell>
          <cell r="K1034" t="str">
            <v>2807</v>
          </cell>
          <cell r="L1034" t="str">
            <v>ULTRASEAL</v>
          </cell>
          <cell r="M1034" t="str">
            <v>280701</v>
          </cell>
          <cell r="N1034" t="str">
            <v>ULTRASEAL</v>
          </cell>
        </row>
        <row r="1035">
          <cell r="C1035" t="str">
            <v>100001247</v>
          </cell>
          <cell r="D1035" t="str">
            <v>US-970 SAND STONE 1136 VN-20KP</v>
          </cell>
          <cell r="E1035" t="str">
            <v>ZFGD</v>
          </cell>
          <cell r="F1035" t="str">
            <v>PC</v>
          </cell>
          <cell r="G1035" t="str">
            <v>2</v>
          </cell>
          <cell r="H1035" t="str">
            <v>RETAIL</v>
          </cell>
          <cell r="I1035" t="str">
            <v>28</v>
          </cell>
          <cell r="J1035" t="str">
            <v>CPC2</v>
          </cell>
          <cell r="K1035" t="str">
            <v>2807</v>
          </cell>
          <cell r="L1035" t="str">
            <v>ULTRASEAL</v>
          </cell>
          <cell r="M1035" t="str">
            <v>280701</v>
          </cell>
          <cell r="N1035" t="str">
            <v>ULTRASEAL</v>
          </cell>
        </row>
        <row r="1036">
          <cell r="C1036" t="str">
            <v>100001251</v>
          </cell>
          <cell r="D1036" t="str">
            <v>US-970 BLUE MYSTERY 6108 VN-1K</v>
          </cell>
          <cell r="E1036" t="str">
            <v>ZFGD</v>
          </cell>
          <cell r="F1036" t="str">
            <v>PC</v>
          </cell>
          <cell r="G1036" t="str">
            <v>2</v>
          </cell>
          <cell r="H1036" t="str">
            <v>RETAIL</v>
          </cell>
          <cell r="I1036" t="str">
            <v>28</v>
          </cell>
          <cell r="J1036" t="str">
            <v>CPC2</v>
          </cell>
          <cell r="K1036" t="str">
            <v>2807</v>
          </cell>
          <cell r="L1036" t="str">
            <v>ULTRASEAL</v>
          </cell>
          <cell r="M1036" t="str">
            <v>280701</v>
          </cell>
          <cell r="N1036" t="str">
            <v>ULTRASEAL</v>
          </cell>
        </row>
        <row r="1037">
          <cell r="C1037" t="str">
            <v>100001283</v>
          </cell>
          <cell r="D1037" t="str">
            <v>US-970 LIVELY LAVENDER 5427 VN-20KP</v>
          </cell>
          <cell r="E1037" t="str">
            <v>ZFGD</v>
          </cell>
          <cell r="F1037" t="str">
            <v>PC</v>
          </cell>
          <cell r="G1037" t="str">
            <v>2</v>
          </cell>
          <cell r="H1037" t="str">
            <v>RETAIL</v>
          </cell>
          <cell r="I1037" t="str">
            <v>28</v>
          </cell>
          <cell r="J1037" t="str">
            <v>CPC2</v>
          </cell>
          <cell r="K1037" t="str">
            <v>2807</v>
          </cell>
          <cell r="L1037" t="str">
            <v>ULTRASEAL</v>
          </cell>
          <cell r="M1037" t="str">
            <v>280701</v>
          </cell>
          <cell r="N1037" t="str">
            <v>ULTRASEAL</v>
          </cell>
        </row>
        <row r="1038">
          <cell r="C1038" t="str">
            <v>100001301</v>
          </cell>
          <cell r="D1038" t="str">
            <v>MX-94 LEAF GREEN VN-4K</v>
          </cell>
          <cell r="E1038" t="str">
            <v>ZFGD</v>
          </cell>
          <cell r="F1038" t="str">
            <v>PC</v>
          </cell>
          <cell r="G1038" t="str">
            <v>5</v>
          </cell>
          <cell r="H1038" t="str">
            <v>PROJECT</v>
          </cell>
          <cell r="I1038" t="str">
            <v>56</v>
          </cell>
          <cell r="J1038" t="str">
            <v>CPC1</v>
          </cell>
          <cell r="K1038" t="str">
            <v>5603</v>
          </cell>
          <cell r="L1038" t="str">
            <v>MULTIPOX</v>
          </cell>
          <cell r="M1038" t="str">
            <v>560301</v>
          </cell>
          <cell r="N1038" t="str">
            <v>MULTIPOX</v>
          </cell>
        </row>
        <row r="1039">
          <cell r="C1039" t="str">
            <v>100001303</v>
          </cell>
          <cell r="D1039" t="str">
            <v>MX-94 LEAF GREEN VN-16KP</v>
          </cell>
          <cell r="E1039" t="str">
            <v>ZFGD</v>
          </cell>
          <cell r="F1039" t="str">
            <v>PC</v>
          </cell>
          <cell r="G1039" t="str">
            <v>5</v>
          </cell>
          <cell r="H1039" t="str">
            <v>PROJECT</v>
          </cell>
          <cell r="I1039" t="str">
            <v>56</v>
          </cell>
          <cell r="J1039" t="str">
            <v>CPC1</v>
          </cell>
          <cell r="K1039" t="str">
            <v>5603</v>
          </cell>
          <cell r="L1039" t="str">
            <v>MULTIPOX</v>
          </cell>
          <cell r="M1039" t="str">
            <v>560301</v>
          </cell>
          <cell r="N1039" t="str">
            <v>MULTIPOX</v>
          </cell>
        </row>
        <row r="1040">
          <cell r="C1040" t="str">
            <v>100001310</v>
          </cell>
          <cell r="D1040" t="str">
            <v>MX-94 VC TRAFFIC YELLOW VN-20KSP</v>
          </cell>
          <cell r="E1040" t="str">
            <v>ZFGD</v>
          </cell>
          <cell r="F1040" t="str">
            <v>SET</v>
          </cell>
          <cell r="G1040" t="str">
            <v>5</v>
          </cell>
          <cell r="H1040" t="str">
            <v>PROJECT</v>
          </cell>
          <cell r="I1040" t="str">
            <v>56</v>
          </cell>
          <cell r="J1040" t="str">
            <v>CPC1</v>
          </cell>
          <cell r="K1040" t="str">
            <v>5603</v>
          </cell>
          <cell r="L1040" t="str">
            <v>MULTIPOX</v>
          </cell>
          <cell r="M1040" t="str">
            <v>560301</v>
          </cell>
          <cell r="N1040" t="str">
            <v>MULTIPOX</v>
          </cell>
        </row>
        <row r="1041">
          <cell r="C1041" t="str">
            <v>100001311</v>
          </cell>
          <cell r="D1041" t="str">
            <v>MX-94 VC TRAFFIC YELLOW VN-16KP</v>
          </cell>
          <cell r="E1041" t="str">
            <v>ZFGD</v>
          </cell>
          <cell r="F1041" t="str">
            <v>PC</v>
          </cell>
          <cell r="G1041" t="str">
            <v>5</v>
          </cell>
          <cell r="H1041" t="str">
            <v>PROJECT</v>
          </cell>
          <cell r="I1041" t="str">
            <v>56</v>
          </cell>
          <cell r="J1041" t="str">
            <v>CPC1</v>
          </cell>
          <cell r="K1041" t="str">
            <v>5603</v>
          </cell>
          <cell r="L1041" t="str">
            <v>MULTIPOX</v>
          </cell>
          <cell r="M1041" t="str">
            <v>560301</v>
          </cell>
          <cell r="N1041" t="str">
            <v>MULTIPOX</v>
          </cell>
        </row>
        <row r="1042">
          <cell r="C1042" t="str">
            <v>100001317</v>
          </cell>
          <cell r="D1042" t="str">
            <v>MX-94 LIGHT GREY VN-4K</v>
          </cell>
          <cell r="E1042" t="str">
            <v>ZFGD</v>
          </cell>
          <cell r="F1042" t="str">
            <v>PC</v>
          </cell>
          <cell r="G1042" t="str">
            <v>5</v>
          </cell>
          <cell r="H1042" t="str">
            <v>PROJECT</v>
          </cell>
          <cell r="I1042" t="str">
            <v>56</v>
          </cell>
          <cell r="J1042" t="str">
            <v>CPC1</v>
          </cell>
          <cell r="K1042" t="str">
            <v>5603</v>
          </cell>
          <cell r="L1042" t="str">
            <v>MULTIPOX</v>
          </cell>
          <cell r="M1042" t="str">
            <v>560301</v>
          </cell>
          <cell r="N1042" t="str">
            <v>MULTIPOX</v>
          </cell>
        </row>
        <row r="1043">
          <cell r="C1043" t="str">
            <v>100001319</v>
          </cell>
          <cell r="D1043" t="str">
            <v>MX-94 LIGHT GREY VN-16KP</v>
          </cell>
          <cell r="E1043" t="str">
            <v>ZFGD</v>
          </cell>
          <cell r="F1043" t="str">
            <v>PC</v>
          </cell>
          <cell r="G1043" t="str">
            <v>5</v>
          </cell>
          <cell r="H1043" t="str">
            <v>PROJECT</v>
          </cell>
          <cell r="I1043" t="str">
            <v>56</v>
          </cell>
          <cell r="J1043" t="str">
            <v>CPC1</v>
          </cell>
          <cell r="K1043" t="str">
            <v>5603</v>
          </cell>
          <cell r="L1043" t="str">
            <v>MULTIPOX</v>
          </cell>
          <cell r="M1043" t="str">
            <v>560301</v>
          </cell>
          <cell r="N1043" t="str">
            <v>MULTIPOX</v>
          </cell>
        </row>
        <row r="1044">
          <cell r="C1044" t="str">
            <v>100001346</v>
          </cell>
          <cell r="D1044" t="str">
            <v>MX-94 GREY VN-20KSP</v>
          </cell>
          <cell r="E1044" t="str">
            <v>ZFGD</v>
          </cell>
          <cell r="F1044" t="str">
            <v>SET</v>
          </cell>
          <cell r="G1044" t="str">
            <v>5</v>
          </cell>
          <cell r="H1044" t="str">
            <v>PROJECT</v>
          </cell>
          <cell r="I1044" t="str">
            <v>56</v>
          </cell>
          <cell r="J1044" t="str">
            <v>CPC1</v>
          </cell>
          <cell r="K1044" t="str">
            <v>5603</v>
          </cell>
          <cell r="L1044" t="str">
            <v>MULTIPOX</v>
          </cell>
          <cell r="M1044" t="str">
            <v>560301</v>
          </cell>
          <cell r="N1044" t="str">
            <v>MULTIPOX</v>
          </cell>
        </row>
        <row r="1045">
          <cell r="C1045" t="str">
            <v>100001347</v>
          </cell>
          <cell r="D1045" t="str">
            <v>MX-94 GREY VN-16KP</v>
          </cell>
          <cell r="E1045" t="str">
            <v>ZFGD</v>
          </cell>
          <cell r="F1045" t="str">
            <v>PC</v>
          </cell>
          <cell r="G1045" t="str">
            <v>5</v>
          </cell>
          <cell r="H1045" t="str">
            <v>PROJECT</v>
          </cell>
          <cell r="I1045" t="str">
            <v>56</v>
          </cell>
          <cell r="J1045" t="str">
            <v>CPC1</v>
          </cell>
          <cell r="K1045" t="str">
            <v>5603</v>
          </cell>
          <cell r="L1045" t="str">
            <v>MULTIPOX</v>
          </cell>
          <cell r="M1045" t="str">
            <v>560301</v>
          </cell>
          <cell r="N1045" t="str">
            <v>MULTIPOX</v>
          </cell>
        </row>
        <row r="1046">
          <cell r="C1046" t="str">
            <v>100001505</v>
          </cell>
          <cell r="D1046" t="str">
            <v>MX-99 TRAFFIC YELLOW VN-15KP</v>
          </cell>
          <cell r="E1046" t="str">
            <v>ZFGD</v>
          </cell>
          <cell r="F1046" t="str">
            <v>PC</v>
          </cell>
          <cell r="G1046" t="str">
            <v>2</v>
          </cell>
          <cell r="H1046" t="str">
            <v>RETAIL</v>
          </cell>
          <cell r="I1046" t="str">
            <v>27</v>
          </cell>
          <cell r="J1046" t="str">
            <v>CPC1</v>
          </cell>
          <cell r="K1046" t="str">
            <v>2703</v>
          </cell>
          <cell r="L1046" t="str">
            <v>MULTIPOX</v>
          </cell>
          <cell r="M1046" t="str">
            <v>270302</v>
          </cell>
          <cell r="N1046" t="str">
            <v>MULTIPOX BASE</v>
          </cell>
        </row>
        <row r="1047">
          <cell r="C1047" t="str">
            <v>100001556</v>
          </cell>
          <cell r="D1047" t="str">
            <v>MX-99 CLEAR GLOSS VN-1KS</v>
          </cell>
          <cell r="E1047" t="str">
            <v>ZFGD</v>
          </cell>
          <cell r="F1047" t="str">
            <v>SET</v>
          </cell>
          <cell r="G1047" t="str">
            <v>2</v>
          </cell>
          <cell r="H1047" t="str">
            <v>RETAIL</v>
          </cell>
          <cell r="I1047" t="str">
            <v>27</v>
          </cell>
          <cell r="J1047" t="str">
            <v>CPC1</v>
          </cell>
          <cell r="K1047" t="str">
            <v>2703</v>
          </cell>
          <cell r="L1047" t="str">
            <v>MULTIPOX</v>
          </cell>
          <cell r="M1047" t="str">
            <v>270302</v>
          </cell>
          <cell r="N1047" t="str">
            <v>MULTIPOX BASE</v>
          </cell>
        </row>
        <row r="1048">
          <cell r="C1048" t="str">
            <v>100001560</v>
          </cell>
          <cell r="D1048" t="str">
            <v>MX-99 CLEAR GLOSS VN-20KSP</v>
          </cell>
          <cell r="E1048" t="str">
            <v>ZFGD</v>
          </cell>
          <cell r="F1048" t="str">
            <v>SET</v>
          </cell>
          <cell r="G1048" t="str">
            <v>2</v>
          </cell>
          <cell r="H1048" t="str">
            <v>RETAIL</v>
          </cell>
          <cell r="I1048" t="str">
            <v>27</v>
          </cell>
          <cell r="J1048" t="str">
            <v>CPC1</v>
          </cell>
          <cell r="K1048" t="str">
            <v>2703</v>
          </cell>
          <cell r="L1048" t="str">
            <v>MULTIPOX</v>
          </cell>
          <cell r="M1048" t="str">
            <v>270302</v>
          </cell>
          <cell r="N1048" t="str">
            <v>MULTIPOX BASE</v>
          </cell>
        </row>
        <row r="1049">
          <cell r="C1049" t="str">
            <v>100001561</v>
          </cell>
          <cell r="D1049" t="str">
            <v>MX-99 CLEAR GLOSS VN-15KP</v>
          </cell>
          <cell r="E1049" t="str">
            <v>ZFGD</v>
          </cell>
          <cell r="F1049" t="str">
            <v>PC</v>
          </cell>
          <cell r="G1049" t="str">
            <v>2</v>
          </cell>
          <cell r="H1049" t="str">
            <v>RETAIL</v>
          </cell>
          <cell r="I1049" t="str">
            <v>27</v>
          </cell>
          <cell r="J1049" t="str">
            <v>CPC1</v>
          </cell>
          <cell r="K1049" t="str">
            <v>2703</v>
          </cell>
          <cell r="L1049" t="str">
            <v>MULTIPOX</v>
          </cell>
          <cell r="M1049" t="str">
            <v>270302</v>
          </cell>
          <cell r="N1049" t="str">
            <v>MULTIPOX BASE</v>
          </cell>
        </row>
        <row r="1050">
          <cell r="C1050" t="str">
            <v>100001620</v>
          </cell>
          <cell r="D1050" t="str">
            <v>PROPAN STONE CARE SC-50 SB VN-1L</v>
          </cell>
          <cell r="E1050" t="str">
            <v>ZFGD</v>
          </cell>
          <cell r="F1050" t="str">
            <v>PC</v>
          </cell>
          <cell r="G1050" t="str">
            <v>2</v>
          </cell>
          <cell r="H1050" t="str">
            <v>RETAIL</v>
          </cell>
          <cell r="I1050" t="str">
            <v>26</v>
          </cell>
          <cell r="J1050" t="str">
            <v>SFC</v>
          </cell>
          <cell r="K1050" t="str">
            <v>2601</v>
          </cell>
          <cell r="L1050" t="str">
            <v>STONE CARE</v>
          </cell>
          <cell r="M1050" t="str">
            <v>260101</v>
          </cell>
          <cell r="N1050" t="str">
            <v>PROPAN STONE CARE</v>
          </cell>
        </row>
        <row r="1051">
          <cell r="C1051" t="str">
            <v>100001628</v>
          </cell>
          <cell r="D1051" t="str">
            <v>EDP-551 ZINC PHOSPHATE (XÁM) VN-0.9K</v>
          </cell>
          <cell r="E1051" t="str">
            <v>ZFGD</v>
          </cell>
          <cell r="F1051" t="str">
            <v>PC</v>
          </cell>
          <cell r="G1051" t="str">
            <v>5</v>
          </cell>
          <cell r="H1051" t="str">
            <v>PROJECT</v>
          </cell>
          <cell r="I1051" t="str">
            <v>59</v>
          </cell>
          <cell r="J1051" t="str">
            <v>MPC</v>
          </cell>
          <cell r="K1051" t="str">
            <v>5904</v>
          </cell>
          <cell r="L1051" t="str">
            <v>METALKOTE</v>
          </cell>
          <cell r="M1051" t="str">
            <v>590402</v>
          </cell>
          <cell r="N1051" t="str">
            <v>METALKOTE-EPOXY SYS</v>
          </cell>
        </row>
        <row r="1052">
          <cell r="C1052" t="str">
            <v>100001629</v>
          </cell>
          <cell r="D1052" t="str">
            <v>EDP-551 ZINC PHOSPHATE (XÁM) VN-5KS</v>
          </cell>
          <cell r="E1052" t="str">
            <v>ZFGD</v>
          </cell>
          <cell r="F1052" t="str">
            <v>SET</v>
          </cell>
          <cell r="G1052" t="str">
            <v>5</v>
          </cell>
          <cell r="H1052" t="str">
            <v>PROJECT</v>
          </cell>
          <cell r="I1052" t="str">
            <v>59</v>
          </cell>
          <cell r="J1052" t="str">
            <v>MPC</v>
          </cell>
          <cell r="K1052" t="str">
            <v>5904</v>
          </cell>
          <cell r="L1052" t="str">
            <v>METALKOTE</v>
          </cell>
          <cell r="M1052" t="str">
            <v>590402</v>
          </cell>
          <cell r="N1052" t="str">
            <v>METALKOTE-EPOXY SYS</v>
          </cell>
        </row>
        <row r="1053">
          <cell r="C1053" t="str">
            <v>100001630</v>
          </cell>
          <cell r="D1053" t="str">
            <v>EDP-551 ZINC PHOSPHATE (XÁM) VN-4.5K</v>
          </cell>
          <cell r="E1053" t="str">
            <v>ZFGD</v>
          </cell>
          <cell r="F1053" t="str">
            <v>PC</v>
          </cell>
          <cell r="G1053" t="str">
            <v>5</v>
          </cell>
          <cell r="H1053" t="str">
            <v>PROJECT</v>
          </cell>
          <cell r="I1053" t="str">
            <v>59</v>
          </cell>
          <cell r="J1053" t="str">
            <v>MPC</v>
          </cell>
          <cell r="K1053" t="str">
            <v>5904</v>
          </cell>
          <cell r="L1053" t="str">
            <v>METALKOTE</v>
          </cell>
          <cell r="M1053" t="str">
            <v>590402</v>
          </cell>
          <cell r="N1053" t="str">
            <v>METALKOTE-EPOXY SYS</v>
          </cell>
        </row>
        <row r="1054">
          <cell r="C1054" t="str">
            <v>100001631</v>
          </cell>
          <cell r="D1054" t="str">
            <v>EDP-551 ZINC PHOSPHATE (XÁM) VN-20KSP</v>
          </cell>
          <cell r="E1054" t="str">
            <v>ZFGD</v>
          </cell>
          <cell r="F1054" t="str">
            <v>SET</v>
          </cell>
          <cell r="G1054" t="str">
            <v>5</v>
          </cell>
          <cell r="H1054" t="str">
            <v>PROJECT</v>
          </cell>
          <cell r="I1054" t="str">
            <v>59</v>
          </cell>
          <cell r="J1054" t="str">
            <v>MPC</v>
          </cell>
          <cell r="K1054" t="str">
            <v>5904</v>
          </cell>
          <cell r="L1054" t="str">
            <v>METALKOTE</v>
          </cell>
          <cell r="M1054" t="str">
            <v>590402</v>
          </cell>
          <cell r="N1054" t="str">
            <v>METALKOTE-EPOXY SYS</v>
          </cell>
        </row>
        <row r="1055">
          <cell r="C1055" t="str">
            <v>100001632</v>
          </cell>
          <cell r="D1055" t="str">
            <v>EDP-551 ZINC PHOSPHATE (XÁM) VN-18KP</v>
          </cell>
          <cell r="E1055" t="str">
            <v>ZFGD</v>
          </cell>
          <cell r="F1055" t="str">
            <v>PC</v>
          </cell>
          <cell r="G1055" t="str">
            <v>5</v>
          </cell>
          <cell r="H1055" t="str">
            <v>PROJECT</v>
          </cell>
          <cell r="I1055" t="str">
            <v>59</v>
          </cell>
          <cell r="J1055" t="str">
            <v>MPC</v>
          </cell>
          <cell r="K1055" t="str">
            <v>5904</v>
          </cell>
          <cell r="L1055" t="str">
            <v>METALKOTE</v>
          </cell>
          <cell r="M1055" t="str">
            <v>590402</v>
          </cell>
          <cell r="N1055" t="str">
            <v>METALKOTE-EPOXY SYS</v>
          </cell>
        </row>
        <row r="1056">
          <cell r="C1056" t="str">
            <v>100001634</v>
          </cell>
          <cell r="D1056" t="str">
            <v>EDP-551 ZINC CHROMATE (XANH) VN-0.9K</v>
          </cell>
          <cell r="E1056" t="str">
            <v>ZFGD</v>
          </cell>
          <cell r="F1056" t="str">
            <v>PC</v>
          </cell>
          <cell r="G1056" t="str">
            <v>5</v>
          </cell>
          <cell r="H1056" t="str">
            <v>PROJECT</v>
          </cell>
          <cell r="I1056" t="str">
            <v>59</v>
          </cell>
          <cell r="J1056" t="str">
            <v>MPC</v>
          </cell>
          <cell r="K1056" t="str">
            <v>5904</v>
          </cell>
          <cell r="L1056" t="str">
            <v>METALKOTE</v>
          </cell>
          <cell r="M1056" t="str">
            <v>590402</v>
          </cell>
          <cell r="N1056" t="str">
            <v>METALKOTE-EPOXY SYS</v>
          </cell>
        </row>
        <row r="1057">
          <cell r="C1057" t="str">
            <v>100001640</v>
          </cell>
          <cell r="D1057" t="str">
            <v>EDP-551 RED OXIDE (ĐỎ) VN-0.9K</v>
          </cell>
          <cell r="E1057" t="str">
            <v>ZFGD</v>
          </cell>
          <cell r="F1057" t="str">
            <v>PC</v>
          </cell>
          <cell r="G1057" t="str">
            <v>5</v>
          </cell>
          <cell r="H1057" t="str">
            <v>PROJECT</v>
          </cell>
          <cell r="I1057" t="str">
            <v>59</v>
          </cell>
          <cell r="J1057" t="str">
            <v>MPC</v>
          </cell>
          <cell r="K1057" t="str">
            <v>5904</v>
          </cell>
          <cell r="L1057" t="str">
            <v>METALKOTE</v>
          </cell>
          <cell r="M1057" t="str">
            <v>590402</v>
          </cell>
          <cell r="N1057" t="str">
            <v>METALKOTE-EPOXY SYS</v>
          </cell>
        </row>
        <row r="1058">
          <cell r="C1058" t="str">
            <v>100001646</v>
          </cell>
          <cell r="D1058" t="str">
            <v>EDP-551 WHITE (TRẮNG) VN-0.9K</v>
          </cell>
          <cell r="E1058" t="str">
            <v>ZFGD</v>
          </cell>
          <cell r="F1058" t="str">
            <v>PC</v>
          </cell>
          <cell r="G1058" t="str">
            <v>5</v>
          </cell>
          <cell r="H1058" t="str">
            <v>PROJECT</v>
          </cell>
          <cell r="I1058" t="str">
            <v>59</v>
          </cell>
          <cell r="J1058" t="str">
            <v>MPC</v>
          </cell>
          <cell r="K1058" t="str">
            <v>5904</v>
          </cell>
          <cell r="L1058" t="str">
            <v>METALKOTE</v>
          </cell>
          <cell r="M1058" t="str">
            <v>590402</v>
          </cell>
          <cell r="N1058" t="str">
            <v>METALKOTE-EPOXY SYS</v>
          </cell>
        </row>
        <row r="1059">
          <cell r="C1059" t="str">
            <v>100001653</v>
          </cell>
          <cell r="D1059" t="str">
            <v>EDP-551 BLACK (ĐEN) VN-5KS</v>
          </cell>
          <cell r="E1059" t="str">
            <v>ZFGD</v>
          </cell>
          <cell r="F1059" t="str">
            <v>SET</v>
          </cell>
          <cell r="G1059" t="str">
            <v>5</v>
          </cell>
          <cell r="H1059" t="str">
            <v>PROJECT</v>
          </cell>
          <cell r="I1059" t="str">
            <v>59</v>
          </cell>
          <cell r="J1059" t="str">
            <v>MPC</v>
          </cell>
          <cell r="K1059" t="str">
            <v>5904</v>
          </cell>
          <cell r="L1059" t="str">
            <v>METALKOTE</v>
          </cell>
          <cell r="M1059" t="str">
            <v>590402</v>
          </cell>
          <cell r="N1059" t="str">
            <v>METALKOTE-EPOXY SYS</v>
          </cell>
        </row>
        <row r="1060">
          <cell r="C1060" t="str">
            <v>100001654</v>
          </cell>
          <cell r="D1060" t="str">
            <v>EDP-551 BLACK (ĐEN) VN-4.5K</v>
          </cell>
          <cell r="E1060" t="str">
            <v>ZFGD</v>
          </cell>
          <cell r="F1060" t="str">
            <v>PC</v>
          </cell>
          <cell r="G1060" t="str">
            <v>5</v>
          </cell>
          <cell r="H1060" t="str">
            <v>PROJECT</v>
          </cell>
          <cell r="I1060" t="str">
            <v>59</v>
          </cell>
          <cell r="J1060" t="str">
            <v>MPC</v>
          </cell>
          <cell r="K1060" t="str">
            <v>5904</v>
          </cell>
          <cell r="L1060" t="str">
            <v>METALKOTE</v>
          </cell>
          <cell r="M1060" t="str">
            <v>590402</v>
          </cell>
          <cell r="N1060" t="str">
            <v>METALKOTE-EPOXY SYS</v>
          </cell>
        </row>
        <row r="1061">
          <cell r="C1061" t="str">
            <v>100001655</v>
          </cell>
          <cell r="D1061" t="str">
            <v>EDP-551 BLACK (ĐEN) VN-20KSP</v>
          </cell>
          <cell r="E1061" t="str">
            <v>ZFGD</v>
          </cell>
          <cell r="F1061" t="str">
            <v>SET</v>
          </cell>
          <cell r="G1061" t="str">
            <v>5</v>
          </cell>
          <cell r="H1061" t="str">
            <v>PROJECT</v>
          </cell>
          <cell r="I1061" t="str">
            <v>59</v>
          </cell>
          <cell r="J1061" t="str">
            <v>MPC</v>
          </cell>
          <cell r="K1061" t="str">
            <v>5904</v>
          </cell>
          <cell r="L1061" t="str">
            <v>METALKOTE</v>
          </cell>
          <cell r="M1061" t="str">
            <v>590402</v>
          </cell>
          <cell r="N1061" t="str">
            <v>METALKOTE-EPOXY SYS</v>
          </cell>
        </row>
        <row r="1062">
          <cell r="C1062" t="str">
            <v>100001656</v>
          </cell>
          <cell r="D1062" t="str">
            <v>EDP-551 BLACK (ĐEN) VN-18KP</v>
          </cell>
          <cell r="E1062" t="str">
            <v>ZFGD</v>
          </cell>
          <cell r="F1062" t="str">
            <v>PC</v>
          </cell>
          <cell r="G1062" t="str">
            <v>5</v>
          </cell>
          <cell r="H1062" t="str">
            <v>PROJECT</v>
          </cell>
          <cell r="I1062" t="str">
            <v>59</v>
          </cell>
          <cell r="J1062" t="str">
            <v>MPC</v>
          </cell>
          <cell r="K1062" t="str">
            <v>5904</v>
          </cell>
          <cell r="L1062" t="str">
            <v>METALKOTE</v>
          </cell>
          <cell r="M1062" t="str">
            <v>590402</v>
          </cell>
          <cell r="N1062" t="str">
            <v>METALKOTE-EPOXY SYS</v>
          </cell>
        </row>
        <row r="1063">
          <cell r="C1063" t="str">
            <v>100001707</v>
          </cell>
          <cell r="D1063" t="str">
            <v>THINNER EPOXY VN-20LJ</v>
          </cell>
          <cell r="E1063" t="str">
            <v>ZFGD</v>
          </cell>
          <cell r="F1063" t="str">
            <v>PC</v>
          </cell>
          <cell r="G1063" t="str">
            <v>2</v>
          </cell>
          <cell r="H1063" t="str">
            <v>RETAIL</v>
          </cell>
          <cell r="I1063" t="str">
            <v>29</v>
          </cell>
          <cell r="J1063" t="str">
            <v>MPC</v>
          </cell>
          <cell r="K1063" t="str">
            <v>2915</v>
          </cell>
          <cell r="L1063" t="str">
            <v>THINNER</v>
          </cell>
          <cell r="M1063" t="str">
            <v>291502</v>
          </cell>
          <cell r="N1063" t="str">
            <v>THINNER MPC</v>
          </cell>
        </row>
        <row r="1064">
          <cell r="C1064" t="str">
            <v>100001708</v>
          </cell>
          <cell r="D1064" t="str">
            <v>HARDENER PFP-261 VN-0.5K</v>
          </cell>
          <cell r="E1064" t="str">
            <v>ZFGD</v>
          </cell>
          <cell r="F1064" t="str">
            <v>PC</v>
          </cell>
          <cell r="G1064" t="str">
            <v>5</v>
          </cell>
          <cell r="H1064" t="str">
            <v>PROJECT</v>
          </cell>
          <cell r="I1064" t="str">
            <v>56</v>
          </cell>
          <cell r="J1064" t="str">
            <v>CPC1</v>
          </cell>
          <cell r="K1064" t="str">
            <v>5607</v>
          </cell>
          <cell r="L1064" t="str">
            <v>OTHERS CPC1</v>
          </cell>
          <cell r="M1064" t="str">
            <v>560703</v>
          </cell>
          <cell r="N1064" t="str">
            <v>COMPLEMENTARY CPC1</v>
          </cell>
        </row>
        <row r="1065">
          <cell r="C1065" t="str">
            <v>100001709</v>
          </cell>
          <cell r="D1065" t="str">
            <v>HARDENER PFP-261 VN-2K</v>
          </cell>
          <cell r="E1065" t="str">
            <v>ZFGD</v>
          </cell>
          <cell r="F1065" t="str">
            <v>PC</v>
          </cell>
          <cell r="G1065" t="str">
            <v>5</v>
          </cell>
          <cell r="H1065" t="str">
            <v>PROJECT</v>
          </cell>
          <cell r="I1065" t="str">
            <v>56</v>
          </cell>
          <cell r="J1065" t="str">
            <v>CPC1</v>
          </cell>
          <cell r="K1065" t="str">
            <v>5607</v>
          </cell>
          <cell r="L1065" t="str">
            <v>OTHERS CPC1</v>
          </cell>
          <cell r="M1065" t="str">
            <v>560703</v>
          </cell>
          <cell r="N1065" t="str">
            <v>COMPLEMENTARY CPC1</v>
          </cell>
        </row>
        <row r="1066">
          <cell r="C1066" t="str">
            <v>100001715</v>
          </cell>
          <cell r="D1066" t="str">
            <v>CỨNG EPOXY EDP-551 VN-2K</v>
          </cell>
          <cell r="E1066" t="str">
            <v>ZFGD</v>
          </cell>
          <cell r="F1066" t="str">
            <v>PC</v>
          </cell>
          <cell r="G1066" t="str">
            <v>5</v>
          </cell>
          <cell r="H1066" t="str">
            <v>PROJECT</v>
          </cell>
          <cell r="I1066" t="str">
            <v>59</v>
          </cell>
          <cell r="J1066" t="str">
            <v>MPC</v>
          </cell>
          <cell r="K1066" t="str">
            <v>5904</v>
          </cell>
          <cell r="L1066" t="str">
            <v>METALKOTE</v>
          </cell>
          <cell r="M1066" t="str">
            <v>590402</v>
          </cell>
          <cell r="N1066" t="str">
            <v>METALKOTE-EPOXY SYS</v>
          </cell>
        </row>
        <row r="1067">
          <cell r="C1067" t="str">
            <v>100001716</v>
          </cell>
          <cell r="D1067" t="str">
            <v>HARDENER PFP-241 VN-0.5K</v>
          </cell>
          <cell r="E1067" t="str">
            <v>ZFGD</v>
          </cell>
          <cell r="F1067" t="str">
            <v>PC</v>
          </cell>
          <cell r="G1067" t="str">
            <v>5</v>
          </cell>
          <cell r="H1067" t="str">
            <v>PROJECT</v>
          </cell>
          <cell r="I1067" t="str">
            <v>56</v>
          </cell>
          <cell r="J1067" t="str">
            <v>CPC1</v>
          </cell>
          <cell r="K1067" t="str">
            <v>5607</v>
          </cell>
          <cell r="L1067" t="str">
            <v>OTHERS CPC1</v>
          </cell>
          <cell r="M1067" t="str">
            <v>560703</v>
          </cell>
          <cell r="N1067" t="str">
            <v>COMPLEMENTARY CPC1</v>
          </cell>
        </row>
        <row r="1068">
          <cell r="C1068" t="str">
            <v>100001717</v>
          </cell>
          <cell r="D1068" t="str">
            <v>HARDENER PFP-241 VN-2.5K</v>
          </cell>
          <cell r="E1068" t="str">
            <v>ZFGD</v>
          </cell>
          <cell r="F1068" t="str">
            <v>PC</v>
          </cell>
          <cell r="G1068" t="str">
            <v>5</v>
          </cell>
          <cell r="H1068" t="str">
            <v>PROJECT</v>
          </cell>
          <cell r="I1068" t="str">
            <v>56</v>
          </cell>
          <cell r="J1068" t="str">
            <v>CPC1</v>
          </cell>
          <cell r="K1068" t="str">
            <v>5607</v>
          </cell>
          <cell r="L1068" t="str">
            <v>OTHERS CPC1</v>
          </cell>
          <cell r="M1068" t="str">
            <v>560703</v>
          </cell>
          <cell r="N1068" t="str">
            <v>COMPLEMENTARY CPC1</v>
          </cell>
        </row>
        <row r="1069">
          <cell r="C1069" t="str">
            <v>100001718</v>
          </cell>
          <cell r="D1069" t="str">
            <v>HARDENER MX-94 VN-1K</v>
          </cell>
          <cell r="E1069" t="str">
            <v>ZFGD</v>
          </cell>
          <cell r="F1069" t="str">
            <v>PC</v>
          </cell>
          <cell r="G1069" t="str">
            <v>5</v>
          </cell>
          <cell r="H1069" t="str">
            <v>PROJECT</v>
          </cell>
          <cell r="I1069" t="str">
            <v>56</v>
          </cell>
          <cell r="J1069" t="str">
            <v>CPC1</v>
          </cell>
          <cell r="K1069" t="str">
            <v>5603</v>
          </cell>
          <cell r="L1069" t="str">
            <v>MULTIPOX</v>
          </cell>
          <cell r="M1069" t="str">
            <v>560301</v>
          </cell>
          <cell r="N1069" t="str">
            <v>MULTIPOX</v>
          </cell>
        </row>
        <row r="1070">
          <cell r="C1070" t="str">
            <v>100001719</v>
          </cell>
          <cell r="D1070" t="str">
            <v>HARDENER MX-94 VN-4K</v>
          </cell>
          <cell r="E1070" t="str">
            <v>ZFGD</v>
          </cell>
          <cell r="F1070" t="str">
            <v>PC</v>
          </cell>
          <cell r="G1070" t="str">
            <v>5</v>
          </cell>
          <cell r="H1070" t="str">
            <v>PROJECT</v>
          </cell>
          <cell r="I1070" t="str">
            <v>56</v>
          </cell>
          <cell r="J1070" t="str">
            <v>CPC1</v>
          </cell>
          <cell r="K1070" t="str">
            <v>5603</v>
          </cell>
          <cell r="L1070" t="str">
            <v>MULTIPOX</v>
          </cell>
          <cell r="M1070" t="str">
            <v>560301</v>
          </cell>
          <cell r="N1070" t="str">
            <v>MULTIPOX</v>
          </cell>
        </row>
        <row r="1071">
          <cell r="C1071" t="str">
            <v>100001720</v>
          </cell>
          <cell r="D1071" t="str">
            <v>HARDENER MX-99 VN-0.2K</v>
          </cell>
          <cell r="E1071" t="str">
            <v>ZFGD</v>
          </cell>
          <cell r="F1071" t="str">
            <v>PC</v>
          </cell>
          <cell r="G1071" t="str">
            <v>2</v>
          </cell>
          <cell r="H1071" t="str">
            <v>RETAIL</v>
          </cell>
          <cell r="I1071" t="str">
            <v>27</v>
          </cell>
          <cell r="J1071" t="str">
            <v>CPC1</v>
          </cell>
          <cell r="K1071" t="str">
            <v>2703</v>
          </cell>
          <cell r="L1071" t="str">
            <v>MULTIPOX</v>
          </cell>
          <cell r="M1071" t="str">
            <v>270301</v>
          </cell>
          <cell r="N1071" t="str">
            <v>MULTIPOX</v>
          </cell>
        </row>
        <row r="1072">
          <cell r="C1072" t="str">
            <v>100001721</v>
          </cell>
          <cell r="D1072" t="str">
            <v>HARDENER MX-99 VN-1K</v>
          </cell>
          <cell r="E1072" t="str">
            <v>ZFGD</v>
          </cell>
          <cell r="F1072" t="str">
            <v>PC</v>
          </cell>
          <cell r="G1072" t="str">
            <v>2</v>
          </cell>
          <cell r="H1072" t="str">
            <v>RETAIL</v>
          </cell>
          <cell r="I1072" t="str">
            <v>27</v>
          </cell>
          <cell r="J1072" t="str">
            <v>CPC1</v>
          </cell>
          <cell r="K1072" t="str">
            <v>2703</v>
          </cell>
          <cell r="L1072" t="str">
            <v>MULTIPOX</v>
          </cell>
          <cell r="M1072" t="str">
            <v>270301</v>
          </cell>
          <cell r="N1072" t="str">
            <v>MULTIPOX</v>
          </cell>
        </row>
        <row r="1073">
          <cell r="C1073" t="str">
            <v>100001722</v>
          </cell>
          <cell r="D1073" t="str">
            <v>HARDENER MX-99 VN-5K</v>
          </cell>
          <cell r="E1073" t="str">
            <v>ZFGD</v>
          </cell>
          <cell r="F1073" t="str">
            <v>PC</v>
          </cell>
          <cell r="G1073" t="str">
            <v>2</v>
          </cell>
          <cell r="H1073" t="str">
            <v>RETAIL</v>
          </cell>
          <cell r="I1073" t="str">
            <v>27</v>
          </cell>
          <cell r="J1073" t="str">
            <v>CPC1</v>
          </cell>
          <cell r="K1073" t="str">
            <v>2703</v>
          </cell>
          <cell r="L1073" t="str">
            <v>MULTIPOX</v>
          </cell>
          <cell r="M1073" t="str">
            <v>270301</v>
          </cell>
          <cell r="N1073" t="str">
            <v>MULTIPOX</v>
          </cell>
        </row>
        <row r="1074">
          <cell r="C1074" t="str">
            <v>100001723</v>
          </cell>
          <cell r="D1074" t="str">
            <v>THINNER PU-047 VT VN-1L</v>
          </cell>
          <cell r="E1074" t="str">
            <v>ZFGD</v>
          </cell>
          <cell r="F1074" t="str">
            <v>PC</v>
          </cell>
          <cell r="G1074" t="str">
            <v>2</v>
          </cell>
          <cell r="H1074" t="str">
            <v>RETAIL</v>
          </cell>
          <cell r="I1074" t="str">
            <v>22</v>
          </cell>
          <cell r="J1074" t="str">
            <v>WF2</v>
          </cell>
          <cell r="K1074" t="str">
            <v>2203</v>
          </cell>
          <cell r="L1074" t="str">
            <v>THINNER PU</v>
          </cell>
          <cell r="M1074" t="str">
            <v>220303</v>
          </cell>
          <cell r="N1074" t="str">
            <v>THINNER PU R</v>
          </cell>
        </row>
        <row r="1075">
          <cell r="C1075" t="str">
            <v>100001734</v>
          </cell>
          <cell r="D1075" t="str">
            <v>HARDENER PUH-75 NY VN-0.2K</v>
          </cell>
          <cell r="E1075" t="str">
            <v>ZFGD</v>
          </cell>
          <cell r="F1075" t="str">
            <v>PC</v>
          </cell>
          <cell r="G1075" t="str">
            <v>2</v>
          </cell>
          <cell r="H1075" t="str">
            <v>RETAIL</v>
          </cell>
          <cell r="I1075" t="str">
            <v>22</v>
          </cell>
          <cell r="J1075" t="str">
            <v>WF2</v>
          </cell>
          <cell r="K1075" t="str">
            <v>2216</v>
          </cell>
          <cell r="L1075" t="str">
            <v>PU MULTIPURPOSE</v>
          </cell>
          <cell r="M1075" t="str">
            <v>221601</v>
          </cell>
          <cell r="N1075" t="str">
            <v>PROPAN MP PU ACR RMX</v>
          </cell>
        </row>
        <row r="1076">
          <cell r="C1076" t="str">
            <v>100001771</v>
          </cell>
          <cell r="D1076" t="str">
            <v>THINNER LASUR VN-0.8L</v>
          </cell>
          <cell r="E1076" t="str">
            <v>ZFGD</v>
          </cell>
          <cell r="F1076" t="str">
            <v>PC</v>
          </cell>
          <cell r="G1076" t="str">
            <v>2</v>
          </cell>
          <cell r="H1076" t="str">
            <v>RETAIL</v>
          </cell>
          <cell r="I1076" t="str">
            <v>21</v>
          </cell>
          <cell r="J1076" t="str">
            <v>WF1</v>
          </cell>
          <cell r="K1076" t="str">
            <v>2108</v>
          </cell>
          <cell r="L1076" t="str">
            <v>THINNER</v>
          </cell>
          <cell r="M1076" t="str">
            <v>210801</v>
          </cell>
          <cell r="N1076" t="str">
            <v>THINNER RETAIL</v>
          </cell>
        </row>
        <row r="1077">
          <cell r="C1077" t="str">
            <v>100001772</v>
          </cell>
          <cell r="D1077" t="str">
            <v>THINNER LASUR VN-3.8L</v>
          </cell>
          <cell r="E1077" t="str">
            <v>ZFGD</v>
          </cell>
          <cell r="F1077" t="str">
            <v>PC</v>
          </cell>
          <cell r="G1077" t="str">
            <v>2</v>
          </cell>
          <cell r="H1077" t="str">
            <v>RETAIL</v>
          </cell>
          <cell r="I1077" t="str">
            <v>21</v>
          </cell>
          <cell r="J1077" t="str">
            <v>WF1</v>
          </cell>
          <cell r="K1077" t="str">
            <v>2108</v>
          </cell>
          <cell r="L1077" t="str">
            <v>THINNER</v>
          </cell>
          <cell r="M1077" t="str">
            <v>210801</v>
          </cell>
          <cell r="N1077" t="str">
            <v>THINNER RETAIL</v>
          </cell>
        </row>
        <row r="1078">
          <cell r="C1078" t="str">
            <v>100001773</v>
          </cell>
          <cell r="D1078" t="str">
            <v>THINNER LASUR VN-20LP</v>
          </cell>
          <cell r="E1078" t="str">
            <v>ZFGD</v>
          </cell>
          <cell r="F1078" t="str">
            <v>PC</v>
          </cell>
          <cell r="G1078" t="str">
            <v>2</v>
          </cell>
          <cell r="H1078" t="str">
            <v>RETAIL</v>
          </cell>
          <cell r="I1078" t="str">
            <v>21</v>
          </cell>
          <cell r="J1078" t="str">
            <v>WF1</v>
          </cell>
          <cell r="K1078" t="str">
            <v>2108</v>
          </cell>
          <cell r="L1078" t="str">
            <v>THINNER</v>
          </cell>
          <cell r="M1078" t="str">
            <v>210801</v>
          </cell>
          <cell r="N1078" t="str">
            <v>THINNER RETAIL</v>
          </cell>
        </row>
        <row r="1079">
          <cell r="C1079" t="str">
            <v>100001784</v>
          </cell>
          <cell r="D1079" t="str">
            <v>V-09 CLEAR GLOSS 0007 VN-0.8L</v>
          </cell>
          <cell r="E1079" t="str">
            <v>ZFGD</v>
          </cell>
          <cell r="F1079" t="str">
            <v>PC</v>
          </cell>
          <cell r="G1079" t="str">
            <v>2</v>
          </cell>
          <cell r="H1079" t="str">
            <v>RETAIL</v>
          </cell>
          <cell r="I1079" t="str">
            <v>24</v>
          </cell>
          <cell r="J1079" t="str">
            <v>WF3</v>
          </cell>
          <cell r="K1079" t="str">
            <v>2413</v>
          </cell>
          <cell r="L1079" t="str">
            <v>ULTRAN</v>
          </cell>
          <cell r="M1079" t="str">
            <v>241311</v>
          </cell>
          <cell r="N1079" t="str">
            <v>ULTRAN VERNIS</v>
          </cell>
        </row>
        <row r="1080">
          <cell r="C1080" t="str">
            <v>100001786</v>
          </cell>
          <cell r="D1080" t="str">
            <v>V-09 LIGHT YELLOW 1001 VN-0.8L</v>
          </cell>
          <cell r="E1080" t="str">
            <v>ZFGD</v>
          </cell>
          <cell r="F1080" t="str">
            <v>PC</v>
          </cell>
          <cell r="G1080" t="str">
            <v>2</v>
          </cell>
          <cell r="H1080" t="str">
            <v>RETAIL</v>
          </cell>
          <cell r="I1080" t="str">
            <v>24</v>
          </cell>
          <cell r="J1080" t="str">
            <v>WF3</v>
          </cell>
          <cell r="K1080" t="str">
            <v>2413</v>
          </cell>
          <cell r="L1080" t="str">
            <v>ULTRAN</v>
          </cell>
          <cell r="M1080" t="str">
            <v>241311</v>
          </cell>
          <cell r="N1080" t="str">
            <v>ULTRAN VERNIS</v>
          </cell>
        </row>
        <row r="1081">
          <cell r="C1081" t="str">
            <v>100001790</v>
          </cell>
          <cell r="D1081" t="str">
            <v>EL-501 CLASSIC TEAK 8305 VN-1L</v>
          </cell>
          <cell r="E1081" t="str">
            <v>ZFGD</v>
          </cell>
          <cell r="F1081" t="str">
            <v>PC</v>
          </cell>
          <cell r="G1081" t="str">
            <v>2</v>
          </cell>
          <cell r="H1081" t="str">
            <v>RETAIL</v>
          </cell>
          <cell r="I1081" t="str">
            <v>24</v>
          </cell>
          <cell r="J1081" t="str">
            <v>WF3</v>
          </cell>
          <cell r="K1081" t="str">
            <v>2413</v>
          </cell>
          <cell r="L1081" t="str">
            <v>ULTRAN</v>
          </cell>
          <cell r="M1081" t="str">
            <v>241304</v>
          </cell>
          <cell r="N1081" t="str">
            <v>ULTRAN LASUR</v>
          </cell>
        </row>
        <row r="1082">
          <cell r="C1082" t="str">
            <v>100001794</v>
          </cell>
          <cell r="D1082" t="str">
            <v>EL-501 CHERRY RED 3002 VN-1L</v>
          </cell>
          <cell r="E1082" t="str">
            <v>ZFGD</v>
          </cell>
          <cell r="F1082" t="str">
            <v>PC</v>
          </cell>
          <cell r="G1082" t="str">
            <v>2</v>
          </cell>
          <cell r="H1082" t="str">
            <v>RETAIL</v>
          </cell>
          <cell r="I1082" t="str">
            <v>24</v>
          </cell>
          <cell r="J1082" t="str">
            <v>WF3</v>
          </cell>
          <cell r="K1082" t="str">
            <v>2413</v>
          </cell>
          <cell r="L1082" t="str">
            <v>ULTRAN</v>
          </cell>
          <cell r="M1082" t="str">
            <v>241304</v>
          </cell>
          <cell r="N1082" t="str">
            <v>ULTRAN LASUR</v>
          </cell>
        </row>
        <row r="1083">
          <cell r="C1083" t="str">
            <v>100001795</v>
          </cell>
          <cell r="D1083" t="str">
            <v>EL-501 CHERRY RED 3002 VN-4L</v>
          </cell>
          <cell r="E1083" t="str">
            <v>ZFGD</v>
          </cell>
          <cell r="F1083" t="str">
            <v>PC</v>
          </cell>
          <cell r="G1083" t="str">
            <v>2</v>
          </cell>
          <cell r="H1083" t="str">
            <v>RETAIL</v>
          </cell>
          <cell r="I1083" t="str">
            <v>24</v>
          </cell>
          <cell r="J1083" t="str">
            <v>WF3</v>
          </cell>
          <cell r="K1083" t="str">
            <v>2413</v>
          </cell>
          <cell r="L1083" t="str">
            <v>ULTRAN</v>
          </cell>
          <cell r="M1083" t="str">
            <v>241304</v>
          </cell>
          <cell r="N1083" t="str">
            <v>ULTRAN LASUR</v>
          </cell>
        </row>
        <row r="1084">
          <cell r="C1084" t="str">
            <v>100001802</v>
          </cell>
          <cell r="D1084" t="str">
            <v>EL-501 CHRYSANT YELLOW 1004 VN-1L</v>
          </cell>
          <cell r="E1084" t="str">
            <v>ZFGD</v>
          </cell>
          <cell r="F1084" t="str">
            <v>PC</v>
          </cell>
          <cell r="G1084" t="str">
            <v>2</v>
          </cell>
          <cell r="H1084" t="str">
            <v>RETAIL</v>
          </cell>
          <cell r="I1084" t="str">
            <v>24</v>
          </cell>
          <cell r="J1084" t="str">
            <v>WF3</v>
          </cell>
          <cell r="K1084" t="str">
            <v>2413</v>
          </cell>
          <cell r="L1084" t="str">
            <v>ULTRAN</v>
          </cell>
          <cell r="M1084" t="str">
            <v>241304</v>
          </cell>
          <cell r="N1084" t="str">
            <v>ULTRAN LASUR</v>
          </cell>
        </row>
        <row r="1085">
          <cell r="C1085" t="str">
            <v>100001803</v>
          </cell>
          <cell r="D1085" t="str">
            <v>EL-501 CHRYSANT YELLOW 1004 VN-4L</v>
          </cell>
          <cell r="E1085" t="str">
            <v>ZFGD</v>
          </cell>
          <cell r="F1085" t="str">
            <v>PC</v>
          </cell>
          <cell r="G1085" t="str">
            <v>2</v>
          </cell>
          <cell r="H1085" t="str">
            <v>RETAIL</v>
          </cell>
          <cell r="I1085" t="str">
            <v>24</v>
          </cell>
          <cell r="J1085" t="str">
            <v>WF3</v>
          </cell>
          <cell r="K1085" t="str">
            <v>2413</v>
          </cell>
          <cell r="L1085" t="str">
            <v>ULTRAN</v>
          </cell>
          <cell r="M1085" t="str">
            <v>241304</v>
          </cell>
          <cell r="N1085" t="str">
            <v>ULTRAN LASUR</v>
          </cell>
        </row>
        <row r="1086">
          <cell r="C1086" t="str">
            <v>100001806</v>
          </cell>
          <cell r="D1086" t="str">
            <v>EL-501 TROPICAL TEAK 8012 VN-1L</v>
          </cell>
          <cell r="E1086" t="str">
            <v>ZFGD</v>
          </cell>
          <cell r="F1086" t="str">
            <v>PC</v>
          </cell>
          <cell r="G1086" t="str">
            <v>2</v>
          </cell>
          <cell r="H1086" t="str">
            <v>RETAIL</v>
          </cell>
          <cell r="I1086" t="str">
            <v>24</v>
          </cell>
          <cell r="J1086" t="str">
            <v>WF3</v>
          </cell>
          <cell r="K1086" t="str">
            <v>2413</v>
          </cell>
          <cell r="L1086" t="str">
            <v>ULTRAN</v>
          </cell>
          <cell r="M1086" t="str">
            <v>241304</v>
          </cell>
          <cell r="N1086" t="str">
            <v>ULTRAN LASUR</v>
          </cell>
        </row>
        <row r="1087">
          <cell r="C1087" t="str">
            <v>100001808</v>
          </cell>
          <cell r="D1087" t="str">
            <v>EL-501 WALNUT 9013 VN-1L</v>
          </cell>
          <cell r="E1087" t="str">
            <v>ZFGD</v>
          </cell>
          <cell r="F1087" t="str">
            <v>PC</v>
          </cell>
          <cell r="G1087" t="str">
            <v>2</v>
          </cell>
          <cell r="H1087" t="str">
            <v>RETAIL</v>
          </cell>
          <cell r="I1087" t="str">
            <v>24</v>
          </cell>
          <cell r="J1087" t="str">
            <v>WF3</v>
          </cell>
          <cell r="K1087" t="str">
            <v>2413</v>
          </cell>
          <cell r="L1087" t="str">
            <v>ULTRAN</v>
          </cell>
          <cell r="M1087" t="str">
            <v>241304</v>
          </cell>
          <cell r="N1087" t="str">
            <v>ULTRAN LASUR</v>
          </cell>
        </row>
        <row r="1088">
          <cell r="C1088" t="str">
            <v>100001814</v>
          </cell>
          <cell r="D1088" t="str">
            <v>EL-501 NATURAL GLOSS 0015 VN-1L</v>
          </cell>
          <cell r="E1088" t="str">
            <v>ZFGD</v>
          </cell>
          <cell r="F1088" t="str">
            <v>PC</v>
          </cell>
          <cell r="G1088" t="str">
            <v>2</v>
          </cell>
          <cell r="H1088" t="str">
            <v>RETAIL</v>
          </cell>
          <cell r="I1088" t="str">
            <v>24</v>
          </cell>
          <cell r="J1088" t="str">
            <v>WF3</v>
          </cell>
          <cell r="K1088" t="str">
            <v>2413</v>
          </cell>
          <cell r="L1088" t="str">
            <v>ULTRAN</v>
          </cell>
          <cell r="M1088" t="str">
            <v>241304</v>
          </cell>
          <cell r="N1088" t="str">
            <v>ULTRAN LASUR</v>
          </cell>
        </row>
        <row r="1089">
          <cell r="C1089" t="str">
            <v>100001816</v>
          </cell>
          <cell r="D1089" t="str">
            <v>EL-501 NATURAL DOF 0014 VN-1L</v>
          </cell>
          <cell r="E1089" t="str">
            <v>ZFGD</v>
          </cell>
          <cell r="F1089" t="str">
            <v>PC</v>
          </cell>
          <cell r="G1089" t="str">
            <v>2</v>
          </cell>
          <cell r="H1089" t="str">
            <v>RETAIL</v>
          </cell>
          <cell r="I1089" t="str">
            <v>24</v>
          </cell>
          <cell r="J1089" t="str">
            <v>WF3</v>
          </cell>
          <cell r="K1089" t="str">
            <v>2413</v>
          </cell>
          <cell r="L1089" t="str">
            <v>ULTRAN</v>
          </cell>
          <cell r="M1089" t="str">
            <v>241304</v>
          </cell>
          <cell r="N1089" t="str">
            <v>ULTRAN LASUR</v>
          </cell>
        </row>
        <row r="1090">
          <cell r="C1090" t="str">
            <v>100001817</v>
          </cell>
          <cell r="D1090" t="str">
            <v>EL-501 NATURAL DOF 0014 VN-4L</v>
          </cell>
          <cell r="E1090" t="str">
            <v>ZFGD</v>
          </cell>
          <cell r="F1090" t="str">
            <v>PC</v>
          </cell>
          <cell r="G1090" t="str">
            <v>2</v>
          </cell>
          <cell r="H1090" t="str">
            <v>RETAIL</v>
          </cell>
          <cell r="I1090" t="str">
            <v>24</v>
          </cell>
          <cell r="J1090" t="str">
            <v>WF3</v>
          </cell>
          <cell r="K1090" t="str">
            <v>2413</v>
          </cell>
          <cell r="L1090" t="str">
            <v>ULTRAN</v>
          </cell>
          <cell r="M1090" t="str">
            <v>241304</v>
          </cell>
          <cell r="N1090" t="str">
            <v>ULTRAN LASUR</v>
          </cell>
        </row>
        <row r="1091">
          <cell r="C1091" t="str">
            <v>100001820</v>
          </cell>
          <cell r="D1091" t="str">
            <v>EL-501 NATURAL SATIN 0016 VN-1L</v>
          </cell>
          <cell r="E1091" t="str">
            <v>ZFGD</v>
          </cell>
          <cell r="F1091" t="str">
            <v>PC</v>
          </cell>
          <cell r="G1091" t="str">
            <v>2</v>
          </cell>
          <cell r="H1091" t="str">
            <v>RETAIL</v>
          </cell>
          <cell r="I1091" t="str">
            <v>24</v>
          </cell>
          <cell r="J1091" t="str">
            <v>WF3</v>
          </cell>
          <cell r="K1091" t="str">
            <v>2413</v>
          </cell>
          <cell r="L1091" t="str">
            <v>ULTRAN</v>
          </cell>
          <cell r="M1091" t="str">
            <v>241304</v>
          </cell>
          <cell r="N1091" t="str">
            <v>ULTRAN LASUR</v>
          </cell>
        </row>
        <row r="1092">
          <cell r="C1092" t="str">
            <v>100001821</v>
          </cell>
          <cell r="D1092" t="str">
            <v>EL-501 NATURAL SATIN 0016 VN-4L</v>
          </cell>
          <cell r="E1092" t="str">
            <v>ZFGD</v>
          </cell>
          <cell r="F1092" t="str">
            <v>PC</v>
          </cell>
          <cell r="G1092" t="str">
            <v>2</v>
          </cell>
          <cell r="H1092" t="str">
            <v>RETAIL</v>
          </cell>
          <cell r="I1092" t="str">
            <v>24</v>
          </cell>
          <cell r="J1092" t="str">
            <v>WF3</v>
          </cell>
          <cell r="K1092" t="str">
            <v>2413</v>
          </cell>
          <cell r="L1092" t="str">
            <v>ULTRAN</v>
          </cell>
          <cell r="M1092" t="str">
            <v>241304</v>
          </cell>
          <cell r="N1092" t="str">
            <v>ULTRAN LASUR</v>
          </cell>
        </row>
        <row r="1093">
          <cell r="C1093" t="str">
            <v>100001824</v>
          </cell>
          <cell r="D1093" t="str">
            <v>EL-501 LS CANDY BROWN 1002 VN-1L</v>
          </cell>
          <cell r="E1093" t="str">
            <v>ZFGD</v>
          </cell>
          <cell r="F1093" t="str">
            <v>PC</v>
          </cell>
          <cell r="G1093" t="str">
            <v>2</v>
          </cell>
          <cell r="H1093" t="str">
            <v>RETAIL</v>
          </cell>
          <cell r="I1093" t="str">
            <v>24</v>
          </cell>
          <cell r="J1093" t="str">
            <v>WF3</v>
          </cell>
          <cell r="K1093" t="str">
            <v>2413</v>
          </cell>
          <cell r="L1093" t="str">
            <v>ULTRAN</v>
          </cell>
          <cell r="M1093" t="str">
            <v>241304</v>
          </cell>
          <cell r="N1093" t="str">
            <v>ULTRAN LASUR</v>
          </cell>
        </row>
        <row r="1094">
          <cell r="C1094" t="str">
            <v>100001825</v>
          </cell>
          <cell r="D1094" t="str">
            <v>EL-501 LS CANDY BROWN 1002 VN-4L</v>
          </cell>
          <cell r="E1094" t="str">
            <v>ZFGD</v>
          </cell>
          <cell r="F1094" t="str">
            <v>PC</v>
          </cell>
          <cell r="G1094" t="str">
            <v>2</v>
          </cell>
          <cell r="H1094" t="str">
            <v>RETAIL</v>
          </cell>
          <cell r="I1094" t="str">
            <v>24</v>
          </cell>
          <cell r="J1094" t="str">
            <v>WF3</v>
          </cell>
          <cell r="K1094" t="str">
            <v>2413</v>
          </cell>
          <cell r="L1094" t="str">
            <v>ULTRAN</v>
          </cell>
          <cell r="M1094" t="str">
            <v>241304</v>
          </cell>
          <cell r="N1094" t="str">
            <v>ULTRAN LASUR</v>
          </cell>
        </row>
        <row r="1095">
          <cell r="C1095" t="str">
            <v>100001828</v>
          </cell>
          <cell r="D1095" t="str">
            <v>EL-501 LS COFFEE BROWN 8004 VN-1L</v>
          </cell>
          <cell r="E1095" t="str">
            <v>ZFGD</v>
          </cell>
          <cell r="F1095" t="str">
            <v>PC</v>
          </cell>
          <cell r="G1095" t="str">
            <v>2</v>
          </cell>
          <cell r="H1095" t="str">
            <v>RETAIL</v>
          </cell>
          <cell r="I1095" t="str">
            <v>24</v>
          </cell>
          <cell r="J1095" t="str">
            <v>WF3</v>
          </cell>
          <cell r="K1095" t="str">
            <v>2413</v>
          </cell>
          <cell r="L1095" t="str">
            <v>ULTRAN</v>
          </cell>
          <cell r="M1095" t="str">
            <v>241304</v>
          </cell>
          <cell r="N1095" t="str">
            <v>ULTRAN LASUR</v>
          </cell>
        </row>
        <row r="1096">
          <cell r="C1096" t="str">
            <v>100001829</v>
          </cell>
          <cell r="D1096" t="str">
            <v>EL-501 LS COFFEE BROWN 8004 VN-4L</v>
          </cell>
          <cell r="E1096" t="str">
            <v>ZFGD</v>
          </cell>
          <cell r="F1096" t="str">
            <v>PC</v>
          </cell>
          <cell r="G1096" t="str">
            <v>2</v>
          </cell>
          <cell r="H1096" t="str">
            <v>RETAIL</v>
          </cell>
          <cell r="I1096" t="str">
            <v>24</v>
          </cell>
          <cell r="J1096" t="str">
            <v>WF3</v>
          </cell>
          <cell r="K1096" t="str">
            <v>2413</v>
          </cell>
          <cell r="L1096" t="str">
            <v>ULTRAN</v>
          </cell>
          <cell r="M1096" t="str">
            <v>241304</v>
          </cell>
          <cell r="N1096" t="str">
            <v>ULTRAN LASUR</v>
          </cell>
        </row>
        <row r="1097">
          <cell r="C1097" t="str">
            <v>100001831</v>
          </cell>
          <cell r="D1097" t="str">
            <v>EL-501 LS RED MAHONY 3005 VN-4L</v>
          </cell>
          <cell r="E1097" t="str">
            <v>ZFGD</v>
          </cell>
          <cell r="F1097" t="str">
            <v>PC</v>
          </cell>
          <cell r="G1097" t="str">
            <v>2</v>
          </cell>
          <cell r="H1097" t="str">
            <v>RETAIL</v>
          </cell>
          <cell r="I1097" t="str">
            <v>24</v>
          </cell>
          <cell r="J1097" t="str">
            <v>WF3</v>
          </cell>
          <cell r="K1097" t="str">
            <v>2413</v>
          </cell>
          <cell r="L1097" t="str">
            <v>ULTRAN</v>
          </cell>
          <cell r="M1097" t="str">
            <v>241304</v>
          </cell>
          <cell r="N1097" t="str">
            <v>ULTRAN LASUR</v>
          </cell>
        </row>
        <row r="1098">
          <cell r="C1098" t="str">
            <v>100001832</v>
          </cell>
          <cell r="D1098" t="str">
            <v>EL-501 LS WALNUT BROWN 8106 VN-1L</v>
          </cell>
          <cell r="E1098" t="str">
            <v>ZFGD</v>
          </cell>
          <cell r="F1098" t="str">
            <v>PC</v>
          </cell>
          <cell r="G1098" t="str">
            <v>2</v>
          </cell>
          <cell r="H1098" t="str">
            <v>RETAIL</v>
          </cell>
          <cell r="I1098" t="str">
            <v>24</v>
          </cell>
          <cell r="J1098" t="str">
            <v>WF3</v>
          </cell>
          <cell r="K1098" t="str">
            <v>2413</v>
          </cell>
          <cell r="L1098" t="str">
            <v>ULTRAN</v>
          </cell>
          <cell r="M1098" t="str">
            <v>241304</v>
          </cell>
          <cell r="N1098" t="str">
            <v>ULTRAN LASUR</v>
          </cell>
        </row>
        <row r="1099">
          <cell r="C1099" t="str">
            <v>100001833</v>
          </cell>
          <cell r="D1099" t="str">
            <v>EL-501 LS WALNUT BROWN 8106 VN-4L</v>
          </cell>
          <cell r="E1099" t="str">
            <v>ZFGD</v>
          </cell>
          <cell r="F1099" t="str">
            <v>PC</v>
          </cell>
          <cell r="G1099" t="str">
            <v>2</v>
          </cell>
          <cell r="H1099" t="str">
            <v>RETAIL</v>
          </cell>
          <cell r="I1099" t="str">
            <v>24</v>
          </cell>
          <cell r="J1099" t="str">
            <v>WF3</v>
          </cell>
          <cell r="K1099" t="str">
            <v>2413</v>
          </cell>
          <cell r="L1099" t="str">
            <v>ULTRAN</v>
          </cell>
          <cell r="M1099" t="str">
            <v>241304</v>
          </cell>
          <cell r="N1099" t="str">
            <v>ULTRAN LASUR</v>
          </cell>
        </row>
        <row r="1100">
          <cell r="C1100" t="str">
            <v>100001834</v>
          </cell>
          <cell r="D1100" t="str">
            <v>EDL-601 TWILIGHT TEAK 8303 VN-1L</v>
          </cell>
          <cell r="E1100" t="str">
            <v>ZFGD</v>
          </cell>
          <cell r="F1100" t="str">
            <v>PC</v>
          </cell>
          <cell r="G1100" t="str">
            <v>2</v>
          </cell>
          <cell r="H1100" t="str">
            <v>RETAIL</v>
          </cell>
          <cell r="I1100" t="str">
            <v>24</v>
          </cell>
          <cell r="J1100" t="str">
            <v>WF3</v>
          </cell>
          <cell r="K1100" t="str">
            <v>2413</v>
          </cell>
          <cell r="L1100" t="str">
            <v>ULTRAN</v>
          </cell>
          <cell r="M1100" t="str">
            <v>241304</v>
          </cell>
          <cell r="N1100" t="str">
            <v>ULTRAN LASUR</v>
          </cell>
        </row>
        <row r="1101">
          <cell r="C1101" t="str">
            <v>100001835</v>
          </cell>
          <cell r="D1101" t="str">
            <v>EDL-601 TWILIGHT TEAK 8303 VN-4L</v>
          </cell>
          <cell r="E1101" t="str">
            <v>ZFGD</v>
          </cell>
          <cell r="F1101" t="str">
            <v>PC</v>
          </cell>
          <cell r="G1101" t="str">
            <v>2</v>
          </cell>
          <cell r="H1101" t="str">
            <v>RETAIL</v>
          </cell>
          <cell r="I1101" t="str">
            <v>24</v>
          </cell>
          <cell r="J1101" t="str">
            <v>WF3</v>
          </cell>
          <cell r="K1101" t="str">
            <v>2413</v>
          </cell>
          <cell r="L1101" t="str">
            <v>ULTRAN</v>
          </cell>
          <cell r="M1101" t="str">
            <v>241304</v>
          </cell>
          <cell r="N1101" t="str">
            <v>ULTRAN LASUR</v>
          </cell>
        </row>
        <row r="1102">
          <cell r="C1102" t="str">
            <v>100001837</v>
          </cell>
          <cell r="D1102" t="str">
            <v>EDL-601 SUNSET YELLOW 3002 VN-4L</v>
          </cell>
          <cell r="E1102" t="str">
            <v>ZFGD</v>
          </cell>
          <cell r="F1102" t="str">
            <v>PC</v>
          </cell>
          <cell r="G1102" t="str">
            <v>2</v>
          </cell>
          <cell r="H1102" t="str">
            <v>RETAIL</v>
          </cell>
          <cell r="I1102" t="str">
            <v>24</v>
          </cell>
          <cell r="J1102" t="str">
            <v>WF3</v>
          </cell>
          <cell r="K1102" t="str">
            <v>2413</v>
          </cell>
          <cell r="L1102" t="str">
            <v>ULTRAN</v>
          </cell>
          <cell r="M1102" t="str">
            <v>241304</v>
          </cell>
          <cell r="N1102" t="str">
            <v>ULTRAN LASUR</v>
          </cell>
        </row>
        <row r="1103">
          <cell r="C1103" t="str">
            <v>100001838</v>
          </cell>
          <cell r="D1103" t="str">
            <v>EDL-601 CARAMEL 8001 VN-1L</v>
          </cell>
          <cell r="E1103" t="str">
            <v>ZFGD</v>
          </cell>
          <cell r="F1103" t="str">
            <v>PC</v>
          </cell>
          <cell r="G1103" t="str">
            <v>2</v>
          </cell>
          <cell r="H1103" t="str">
            <v>RETAIL</v>
          </cell>
          <cell r="I1103" t="str">
            <v>24</v>
          </cell>
          <cell r="J1103" t="str">
            <v>WF3</v>
          </cell>
          <cell r="K1103" t="str">
            <v>2413</v>
          </cell>
          <cell r="L1103" t="str">
            <v>ULTRAN</v>
          </cell>
          <cell r="M1103" t="str">
            <v>241304</v>
          </cell>
          <cell r="N1103" t="str">
            <v>ULTRAN LASUR</v>
          </cell>
        </row>
        <row r="1104">
          <cell r="C1104" t="str">
            <v>100001839</v>
          </cell>
          <cell r="D1104" t="str">
            <v>EDL-601 CARAMEL 8001 VN-4L</v>
          </cell>
          <cell r="E1104" t="str">
            <v>ZFGD</v>
          </cell>
          <cell r="F1104" t="str">
            <v>PC</v>
          </cell>
          <cell r="G1104" t="str">
            <v>2</v>
          </cell>
          <cell r="H1104" t="str">
            <v>RETAIL</v>
          </cell>
          <cell r="I1104" t="str">
            <v>24</v>
          </cell>
          <cell r="J1104" t="str">
            <v>WF3</v>
          </cell>
          <cell r="K1104" t="str">
            <v>2413</v>
          </cell>
          <cell r="L1104" t="str">
            <v>ULTRAN</v>
          </cell>
          <cell r="M1104" t="str">
            <v>241304</v>
          </cell>
          <cell r="N1104" t="str">
            <v>ULTRAN LASUR</v>
          </cell>
        </row>
        <row r="1105">
          <cell r="C1105" t="str">
            <v>100001840</v>
          </cell>
          <cell r="D1105" t="str">
            <v>EDL-601 NATURAL SATIN 0004 VN-1L</v>
          </cell>
          <cell r="E1105" t="str">
            <v>ZFGD</v>
          </cell>
          <cell r="F1105" t="str">
            <v>PC</v>
          </cell>
          <cell r="G1105" t="str">
            <v>2</v>
          </cell>
          <cell r="H1105" t="str">
            <v>RETAIL</v>
          </cell>
          <cell r="I1105" t="str">
            <v>24</v>
          </cell>
          <cell r="J1105" t="str">
            <v>WF3</v>
          </cell>
          <cell r="K1105" t="str">
            <v>2413</v>
          </cell>
          <cell r="L1105" t="str">
            <v>ULTRAN</v>
          </cell>
          <cell r="M1105" t="str">
            <v>241304</v>
          </cell>
          <cell r="N1105" t="str">
            <v>ULTRAN LASUR</v>
          </cell>
        </row>
        <row r="1106">
          <cell r="C1106" t="str">
            <v>100001841</v>
          </cell>
          <cell r="D1106" t="str">
            <v>EDL-601 NATURAL SATIN 0004 VN-4L</v>
          </cell>
          <cell r="E1106" t="str">
            <v>ZFGD</v>
          </cell>
          <cell r="F1106" t="str">
            <v>PC</v>
          </cell>
          <cell r="G1106" t="str">
            <v>2</v>
          </cell>
          <cell r="H1106" t="str">
            <v>RETAIL</v>
          </cell>
          <cell r="I1106" t="str">
            <v>24</v>
          </cell>
          <cell r="J1106" t="str">
            <v>WF3</v>
          </cell>
          <cell r="K1106" t="str">
            <v>2413</v>
          </cell>
          <cell r="L1106" t="str">
            <v>ULTRAN</v>
          </cell>
          <cell r="M1106" t="str">
            <v>241304</v>
          </cell>
          <cell r="N1106" t="str">
            <v>ULTRAN LASUR</v>
          </cell>
        </row>
        <row r="1107">
          <cell r="C1107" t="str">
            <v>100001912</v>
          </cell>
          <cell r="D1107" t="str">
            <v>PCA-31100 ORANGE 21624 VN-20LJ</v>
          </cell>
          <cell r="E1107" t="str">
            <v>ZFGD</v>
          </cell>
          <cell r="F1107" t="str">
            <v>PC</v>
          </cell>
          <cell r="G1107" t="str">
            <v>1</v>
          </cell>
          <cell r="H1107" t="str">
            <v>INDUSTRY</v>
          </cell>
          <cell r="I1107" t="str">
            <v>11</v>
          </cell>
          <cell r="J1107" t="str">
            <v>WOOD COATINGS</v>
          </cell>
          <cell r="K1107" t="str">
            <v>1118</v>
          </cell>
          <cell r="L1107" t="str">
            <v>COMPLEMENTARY</v>
          </cell>
          <cell r="M1107" t="str">
            <v>111807</v>
          </cell>
          <cell r="N1107" t="str">
            <v>PASTA</v>
          </cell>
        </row>
        <row r="1108">
          <cell r="C1108" t="str">
            <v>100001913</v>
          </cell>
          <cell r="D1108" t="str">
            <v>UVX-03300 VN-5K</v>
          </cell>
          <cell r="E1108" t="str">
            <v>ZFGD</v>
          </cell>
          <cell r="F1108" t="str">
            <v>PC</v>
          </cell>
          <cell r="G1108" t="str">
            <v>1</v>
          </cell>
          <cell r="H1108" t="str">
            <v>INDUSTRY</v>
          </cell>
          <cell r="I1108" t="str">
            <v>11</v>
          </cell>
          <cell r="J1108" t="str">
            <v>WOOD COATINGS</v>
          </cell>
          <cell r="K1108" t="str">
            <v>1106</v>
          </cell>
          <cell r="L1108" t="str">
            <v>UV</v>
          </cell>
          <cell r="M1108" t="str">
            <v>110602</v>
          </cell>
          <cell r="N1108" t="str">
            <v>UV COMPLEMENTARY</v>
          </cell>
        </row>
        <row r="1109">
          <cell r="C1109" t="str">
            <v>100001914</v>
          </cell>
          <cell r="D1109" t="str">
            <v>PCA-31100 GREEN 60670 VN-4K</v>
          </cell>
          <cell r="E1109" t="str">
            <v>ZFGD</v>
          </cell>
          <cell r="F1109" t="str">
            <v>PC</v>
          </cell>
          <cell r="G1109" t="str">
            <v>1</v>
          </cell>
          <cell r="H1109" t="str">
            <v>INDUSTRY</v>
          </cell>
          <cell r="I1109" t="str">
            <v>11</v>
          </cell>
          <cell r="J1109" t="str">
            <v>WOOD COATINGS</v>
          </cell>
          <cell r="K1109" t="str">
            <v>1118</v>
          </cell>
          <cell r="L1109" t="str">
            <v>COMPLEMENTARY</v>
          </cell>
          <cell r="M1109" t="str">
            <v>111807</v>
          </cell>
          <cell r="N1109" t="str">
            <v>PASTA</v>
          </cell>
        </row>
        <row r="1110">
          <cell r="C1110" t="str">
            <v>100001915</v>
          </cell>
          <cell r="D1110" t="str">
            <v>GZ-12700 N BLACK VN-18KP</v>
          </cell>
          <cell r="E1110" t="str">
            <v>ZFGD</v>
          </cell>
          <cell r="F1110" t="str">
            <v>PC</v>
          </cell>
          <cell r="G1110" t="str">
            <v>1</v>
          </cell>
          <cell r="H1110" t="str">
            <v>INDUSTRY</v>
          </cell>
          <cell r="I1110" t="str">
            <v>11</v>
          </cell>
          <cell r="J1110" t="str">
            <v>WOOD COATINGS</v>
          </cell>
          <cell r="K1110" t="str">
            <v>1109</v>
          </cell>
          <cell r="L1110" t="str">
            <v>STAIN &amp; GLAZE INTERIOR</v>
          </cell>
          <cell r="M1110" t="str">
            <v>110901</v>
          </cell>
          <cell r="N1110" t="str">
            <v>ASOF : STAIN &amp; GLAZE</v>
          </cell>
        </row>
        <row r="1111">
          <cell r="C1111" t="str">
            <v>100001916</v>
          </cell>
          <cell r="D1111" t="str">
            <v>GZ-12700 N BURNT UMBER VN-18KP</v>
          </cell>
          <cell r="E1111" t="str">
            <v>ZFGD</v>
          </cell>
          <cell r="F1111" t="str">
            <v>PC</v>
          </cell>
          <cell r="G1111" t="str">
            <v>1</v>
          </cell>
          <cell r="H1111" t="str">
            <v>INDUSTRY</v>
          </cell>
          <cell r="I1111" t="str">
            <v>11</v>
          </cell>
          <cell r="J1111" t="str">
            <v>WOOD COATINGS</v>
          </cell>
          <cell r="K1111" t="str">
            <v>1109</v>
          </cell>
          <cell r="L1111" t="str">
            <v>STAIN &amp; GLAZE INTERIOR</v>
          </cell>
          <cell r="M1111" t="str">
            <v>110901</v>
          </cell>
          <cell r="N1111" t="str">
            <v>ASOF : STAIN &amp; GLAZE</v>
          </cell>
        </row>
        <row r="1112">
          <cell r="C1112" t="str">
            <v>100001917</v>
          </cell>
          <cell r="D1112" t="str">
            <v>GZ-12700 N RED VN-18KP</v>
          </cell>
          <cell r="E1112" t="str">
            <v>ZFGD</v>
          </cell>
          <cell r="F1112" t="str">
            <v>PC</v>
          </cell>
          <cell r="G1112" t="str">
            <v>1</v>
          </cell>
          <cell r="H1112" t="str">
            <v>INDUSTRY</v>
          </cell>
          <cell r="I1112" t="str">
            <v>11</v>
          </cell>
          <cell r="J1112" t="str">
            <v>WOOD COATINGS</v>
          </cell>
          <cell r="K1112" t="str">
            <v>1109</v>
          </cell>
          <cell r="L1112" t="str">
            <v>STAIN &amp; GLAZE INTERIOR</v>
          </cell>
          <cell r="M1112" t="str">
            <v>110901</v>
          </cell>
          <cell r="N1112" t="str">
            <v>ASOF : STAIN &amp; GLAZE</v>
          </cell>
        </row>
        <row r="1113">
          <cell r="C1113" t="str">
            <v>100001918</v>
          </cell>
          <cell r="D1113" t="str">
            <v>GZ-12700 N VAN DYKE BROWN VN-18KP</v>
          </cell>
          <cell r="E1113" t="str">
            <v>ZFGD</v>
          </cell>
          <cell r="F1113" t="str">
            <v>PC</v>
          </cell>
          <cell r="G1113" t="str">
            <v>1</v>
          </cell>
          <cell r="H1113" t="str">
            <v>INDUSTRY</v>
          </cell>
          <cell r="I1113" t="str">
            <v>11</v>
          </cell>
          <cell r="J1113" t="str">
            <v>WOOD COATINGS</v>
          </cell>
          <cell r="K1113" t="str">
            <v>1109</v>
          </cell>
          <cell r="L1113" t="str">
            <v>STAIN &amp; GLAZE INTERIOR</v>
          </cell>
          <cell r="M1113" t="str">
            <v>110901</v>
          </cell>
          <cell r="N1113" t="str">
            <v>ASOF : STAIN &amp; GLAZE</v>
          </cell>
        </row>
        <row r="1114">
          <cell r="C1114" t="str">
            <v>100001919</v>
          </cell>
          <cell r="D1114" t="str">
            <v>GZ-12700 N YELLOW VN-18KP</v>
          </cell>
          <cell r="E1114" t="str">
            <v>ZFGD</v>
          </cell>
          <cell r="F1114" t="str">
            <v>PC</v>
          </cell>
          <cell r="G1114" t="str">
            <v>1</v>
          </cell>
          <cell r="H1114" t="str">
            <v>INDUSTRY</v>
          </cell>
          <cell r="I1114" t="str">
            <v>11</v>
          </cell>
          <cell r="J1114" t="str">
            <v>WOOD COATINGS</v>
          </cell>
          <cell r="K1114" t="str">
            <v>1109</v>
          </cell>
          <cell r="L1114" t="str">
            <v>STAIN &amp; GLAZE INTERIOR</v>
          </cell>
          <cell r="M1114" t="str">
            <v>110901</v>
          </cell>
          <cell r="N1114" t="str">
            <v>ASOF : STAIN &amp; GLAZE</v>
          </cell>
        </row>
        <row r="1115">
          <cell r="C1115" t="str">
            <v>100001920</v>
          </cell>
          <cell r="D1115" t="str">
            <v>GZ-12200 VAN DICK BROWN VN-18KP</v>
          </cell>
          <cell r="E1115" t="str">
            <v>ZFGD</v>
          </cell>
          <cell r="F1115" t="str">
            <v>PC</v>
          </cell>
          <cell r="G1115" t="str">
            <v>1</v>
          </cell>
          <cell r="H1115" t="str">
            <v>INDUSTRY</v>
          </cell>
          <cell r="I1115" t="str">
            <v>11</v>
          </cell>
          <cell r="J1115" t="str">
            <v>WOOD COATINGS</v>
          </cell>
          <cell r="K1115" t="str">
            <v>1109</v>
          </cell>
          <cell r="L1115" t="str">
            <v>STAIN &amp; GLAZE INTERIOR</v>
          </cell>
          <cell r="M1115" t="str">
            <v>110901</v>
          </cell>
          <cell r="N1115" t="str">
            <v>ASOF : STAIN &amp; GLAZE</v>
          </cell>
        </row>
        <row r="1116">
          <cell r="C1116" t="str">
            <v>100001921</v>
          </cell>
          <cell r="D1116" t="str">
            <v>UVP-60105 WHITE VN-20KP</v>
          </cell>
          <cell r="E1116" t="str">
            <v>ZFGD</v>
          </cell>
          <cell r="F1116" t="str">
            <v>PC</v>
          </cell>
          <cell r="G1116" t="str">
            <v>1</v>
          </cell>
          <cell r="H1116" t="str">
            <v>INDUSTRY</v>
          </cell>
          <cell r="I1116" t="str">
            <v>11</v>
          </cell>
          <cell r="J1116" t="str">
            <v>WOOD COATINGS</v>
          </cell>
          <cell r="K1116" t="str">
            <v>1106</v>
          </cell>
          <cell r="L1116" t="str">
            <v>UV</v>
          </cell>
          <cell r="M1116" t="str">
            <v>110604</v>
          </cell>
          <cell r="N1116" t="str">
            <v>UV PRIMER</v>
          </cell>
        </row>
        <row r="1117">
          <cell r="C1117" t="str">
            <v>100001922</v>
          </cell>
          <cell r="D1117" t="str">
            <v>UVP-60501 BASE VN-20KP</v>
          </cell>
          <cell r="E1117" t="str">
            <v>ZFGD</v>
          </cell>
          <cell r="F1117" t="str">
            <v>PC</v>
          </cell>
          <cell r="G1117" t="str">
            <v>1</v>
          </cell>
          <cell r="H1117" t="str">
            <v>INDUSTRY</v>
          </cell>
          <cell r="I1117" t="str">
            <v>11</v>
          </cell>
          <cell r="J1117" t="str">
            <v>WOOD COATINGS</v>
          </cell>
          <cell r="K1117" t="str">
            <v>1106</v>
          </cell>
          <cell r="L1117" t="str">
            <v>UV</v>
          </cell>
          <cell r="M1117" t="str">
            <v>110604</v>
          </cell>
          <cell r="N1117" t="str">
            <v>UV PRIMER</v>
          </cell>
        </row>
        <row r="1118">
          <cell r="C1118" t="str">
            <v>100001923</v>
          </cell>
          <cell r="D1118" t="str">
            <v>UVP-60501 BLACK VN-20KP</v>
          </cell>
          <cell r="E1118" t="str">
            <v>ZFGD</v>
          </cell>
          <cell r="F1118" t="str">
            <v>PC</v>
          </cell>
          <cell r="G1118" t="str">
            <v>1</v>
          </cell>
          <cell r="H1118" t="str">
            <v>INDUSTRY</v>
          </cell>
          <cell r="I1118" t="str">
            <v>11</v>
          </cell>
          <cell r="J1118" t="str">
            <v>WOOD COATINGS</v>
          </cell>
          <cell r="K1118" t="str">
            <v>1106</v>
          </cell>
          <cell r="L1118" t="str">
            <v>UV</v>
          </cell>
          <cell r="M1118" t="str">
            <v>110604</v>
          </cell>
          <cell r="N1118" t="str">
            <v>UV PRIMER</v>
          </cell>
        </row>
        <row r="1119">
          <cell r="C1119" t="str">
            <v>100001924</v>
          </cell>
          <cell r="D1119" t="str">
            <v>UVS-20202 CLEAR BASE VN-20KP</v>
          </cell>
          <cell r="E1119" t="str">
            <v>ZFGD</v>
          </cell>
          <cell r="F1119" t="str">
            <v>PC</v>
          </cell>
          <cell r="G1119" t="str">
            <v>1</v>
          </cell>
          <cell r="H1119" t="str">
            <v>INDUSTRY</v>
          </cell>
          <cell r="I1119" t="str">
            <v>11</v>
          </cell>
          <cell r="J1119" t="str">
            <v>WOOD COATINGS</v>
          </cell>
          <cell r="K1119" t="str">
            <v>1106</v>
          </cell>
          <cell r="L1119" t="str">
            <v>UV</v>
          </cell>
          <cell r="M1119" t="str">
            <v>110606</v>
          </cell>
          <cell r="N1119" t="str">
            <v>UV STAIN</v>
          </cell>
        </row>
        <row r="1120">
          <cell r="C1120" t="str">
            <v>100001925</v>
          </cell>
          <cell r="D1120" t="str">
            <v>UVS-20800 CLEAR BASE VN-20KP</v>
          </cell>
          <cell r="E1120" t="str">
            <v>ZFGD</v>
          </cell>
          <cell r="F1120" t="str">
            <v>PC</v>
          </cell>
          <cell r="G1120" t="str">
            <v>1</v>
          </cell>
          <cell r="H1120" t="str">
            <v>INDUSTRY</v>
          </cell>
          <cell r="I1120" t="str">
            <v>11</v>
          </cell>
          <cell r="J1120" t="str">
            <v>WOOD COATINGS</v>
          </cell>
          <cell r="K1120" t="str">
            <v>1106</v>
          </cell>
          <cell r="L1120" t="str">
            <v>UV</v>
          </cell>
          <cell r="M1120" t="str">
            <v>110606</v>
          </cell>
          <cell r="N1120" t="str">
            <v>UV STAIN</v>
          </cell>
        </row>
        <row r="1121">
          <cell r="C1121" t="str">
            <v>100001926</v>
          </cell>
          <cell r="D1121" t="str">
            <v>GZWB-21407 N RED 304 BL VN-20KP</v>
          </cell>
          <cell r="E1121" t="str">
            <v>ZFGD</v>
          </cell>
          <cell r="F1121" t="str">
            <v>PC</v>
          </cell>
          <cell r="G1121" t="str">
            <v>1</v>
          </cell>
          <cell r="H1121" t="str">
            <v>INDUSTRY</v>
          </cell>
          <cell r="I1121" t="str">
            <v>11</v>
          </cell>
          <cell r="J1121" t="str">
            <v>WOOD COATINGS</v>
          </cell>
          <cell r="K1121" t="str">
            <v>1119</v>
          </cell>
          <cell r="L1121" t="str">
            <v>WATERBASED</v>
          </cell>
          <cell r="M1121" t="str">
            <v>111902</v>
          </cell>
          <cell r="N1121" t="str">
            <v>WATERBASED SYSTEM INTERIOR</v>
          </cell>
        </row>
        <row r="1122">
          <cell r="C1122" t="str">
            <v>100001927</v>
          </cell>
          <cell r="D1122" t="str">
            <v>PCA-31100 BLUE OR PASTE-20KP</v>
          </cell>
          <cell r="E1122" t="str">
            <v>ZFGD</v>
          </cell>
          <cell r="F1122" t="str">
            <v>PC</v>
          </cell>
          <cell r="G1122" t="str">
            <v>1</v>
          </cell>
          <cell r="H1122" t="str">
            <v>INDUSTRY</v>
          </cell>
          <cell r="I1122" t="str">
            <v>11</v>
          </cell>
          <cell r="J1122" t="str">
            <v>WOOD COATINGS</v>
          </cell>
          <cell r="K1122" t="str">
            <v>1118</v>
          </cell>
          <cell r="L1122" t="str">
            <v>COMPLEMENTARY</v>
          </cell>
          <cell r="M1122" t="str">
            <v>111807</v>
          </cell>
          <cell r="N1122" t="str">
            <v>PASTA</v>
          </cell>
        </row>
        <row r="1123">
          <cell r="C1123" t="str">
            <v>100001928</v>
          </cell>
          <cell r="D1123" t="str">
            <v>PCA-31100 YELLOW OG 16 PASTE-20KP</v>
          </cell>
          <cell r="E1123" t="str">
            <v>ZFGD</v>
          </cell>
          <cell r="F1123" t="str">
            <v>PC</v>
          </cell>
          <cell r="G1123" t="str">
            <v>1</v>
          </cell>
          <cell r="H1123" t="str">
            <v>INDUSTRY</v>
          </cell>
          <cell r="I1123" t="str">
            <v>11</v>
          </cell>
          <cell r="J1123" t="str">
            <v>WOOD COATINGS</v>
          </cell>
          <cell r="K1123" t="str">
            <v>1118</v>
          </cell>
          <cell r="L1123" t="str">
            <v>COMPLEMENTARY</v>
          </cell>
          <cell r="M1123" t="str">
            <v>111807</v>
          </cell>
          <cell r="N1123" t="str">
            <v>PASTA</v>
          </cell>
        </row>
        <row r="1124">
          <cell r="C1124" t="str">
            <v>100001929</v>
          </cell>
          <cell r="D1124" t="str">
            <v>PCWB-31601 BLUE OR PASTE-4K</v>
          </cell>
          <cell r="E1124" t="str">
            <v>ZFGD</v>
          </cell>
          <cell r="F1124" t="str">
            <v>PC</v>
          </cell>
          <cell r="G1124" t="str">
            <v>1</v>
          </cell>
          <cell r="H1124" t="str">
            <v>INDUSTRY</v>
          </cell>
          <cell r="I1124" t="str">
            <v>11</v>
          </cell>
          <cell r="J1124" t="str">
            <v>WOOD COATINGS</v>
          </cell>
          <cell r="K1124" t="str">
            <v>1118</v>
          </cell>
          <cell r="L1124" t="str">
            <v>COMPLEMENTARY</v>
          </cell>
          <cell r="M1124" t="str">
            <v>111807</v>
          </cell>
          <cell r="N1124" t="str">
            <v>PASTA</v>
          </cell>
        </row>
        <row r="1125">
          <cell r="C1125" t="str">
            <v>100001930</v>
          </cell>
          <cell r="D1125" t="str">
            <v>GZ-12700 RED PASTE 20 NEW A VN-4K</v>
          </cell>
          <cell r="E1125" t="str">
            <v>ZFGD</v>
          </cell>
          <cell r="F1125" t="str">
            <v>PC</v>
          </cell>
          <cell r="G1125" t="str">
            <v>1</v>
          </cell>
          <cell r="H1125" t="str">
            <v>INDUSTRY</v>
          </cell>
          <cell r="I1125" t="str">
            <v>11</v>
          </cell>
          <cell r="J1125" t="str">
            <v>WOOD COATINGS</v>
          </cell>
          <cell r="K1125" t="str">
            <v>1109</v>
          </cell>
          <cell r="L1125" t="str">
            <v>STAIN &amp; GLAZE INTERIOR</v>
          </cell>
          <cell r="M1125" t="str">
            <v>110901</v>
          </cell>
          <cell r="N1125" t="str">
            <v>ASOF : STAIN &amp; GLAZE</v>
          </cell>
        </row>
        <row r="1126">
          <cell r="C1126" t="str">
            <v>100001931</v>
          </cell>
          <cell r="D1126" t="str">
            <v>PST-12100 C10 YELLOW GHW VN-4L</v>
          </cell>
          <cell r="E1126" t="str">
            <v>ZFGD</v>
          </cell>
          <cell r="F1126" t="str">
            <v>PC</v>
          </cell>
          <cell r="G1126" t="str">
            <v>1</v>
          </cell>
          <cell r="H1126" t="str">
            <v>INDUSTRY</v>
          </cell>
          <cell r="I1126" t="str">
            <v>11</v>
          </cell>
          <cell r="J1126" t="str">
            <v>WOOD COATINGS</v>
          </cell>
          <cell r="K1126" t="str">
            <v>1109</v>
          </cell>
          <cell r="L1126" t="str">
            <v>STAIN &amp; GLAZE INTERIOR</v>
          </cell>
          <cell r="M1126" t="str">
            <v>110903</v>
          </cell>
          <cell r="N1126" t="str">
            <v>STAIN INTERIOR</v>
          </cell>
        </row>
        <row r="1127">
          <cell r="C1127" t="str">
            <v>100001932</v>
          </cell>
          <cell r="D1127" t="str">
            <v>64-045 044 HB VN-4K</v>
          </cell>
          <cell r="E1127" t="str">
            <v>ZFGD</v>
          </cell>
          <cell r="F1127" t="str">
            <v>PC</v>
          </cell>
          <cell r="G1127" t="str">
            <v>1</v>
          </cell>
          <cell r="H1127" t="str">
            <v>INDUSTRY</v>
          </cell>
          <cell r="I1127" t="str">
            <v>11</v>
          </cell>
          <cell r="J1127" t="str">
            <v>WOOD COATINGS</v>
          </cell>
          <cell r="K1127" t="str">
            <v>1103</v>
          </cell>
          <cell r="L1127" t="str">
            <v>PU</v>
          </cell>
          <cell r="M1127" t="str">
            <v>110312</v>
          </cell>
          <cell r="N1127" t="str">
            <v>UNION TOP COAT</v>
          </cell>
        </row>
        <row r="1128">
          <cell r="C1128" t="str">
            <v>100001933</v>
          </cell>
          <cell r="D1128" t="str">
            <v>AP-98200 NLT 01 VN-1K</v>
          </cell>
          <cell r="E1128" t="str">
            <v>ZFGD</v>
          </cell>
          <cell r="F1128" t="str">
            <v>PC</v>
          </cell>
          <cell r="G1128" t="str">
            <v>1</v>
          </cell>
          <cell r="H1128" t="str">
            <v>INDUSTRY</v>
          </cell>
          <cell r="I1128" t="str">
            <v>11</v>
          </cell>
          <cell r="J1128" t="str">
            <v>WOOD COATINGS</v>
          </cell>
          <cell r="K1128" t="str">
            <v>1118</v>
          </cell>
          <cell r="L1128" t="str">
            <v>COMPLEMENTARY</v>
          </cell>
          <cell r="M1128" t="str">
            <v>111802</v>
          </cell>
          <cell r="N1128" t="str">
            <v>ASOF : POWDER &amp; MATTING SOLUTION</v>
          </cell>
        </row>
        <row r="1129">
          <cell r="C1129" t="str">
            <v>100001934</v>
          </cell>
          <cell r="D1129" t="str">
            <v>PST-12100 C15 BLACK-18KJ</v>
          </cell>
          <cell r="E1129" t="str">
            <v>ZFGD</v>
          </cell>
          <cell r="F1129" t="str">
            <v>PC</v>
          </cell>
          <cell r="G1129" t="str">
            <v>1</v>
          </cell>
          <cell r="H1129" t="str">
            <v>INDUSTRY</v>
          </cell>
          <cell r="I1129" t="str">
            <v>11</v>
          </cell>
          <cell r="J1129" t="str">
            <v>WOOD COATINGS</v>
          </cell>
          <cell r="K1129" t="str">
            <v>1109</v>
          </cell>
          <cell r="L1129" t="str">
            <v>STAIN &amp; GLAZE INTERIOR</v>
          </cell>
          <cell r="M1129" t="str">
            <v>110903</v>
          </cell>
          <cell r="N1129" t="str">
            <v>STAIN INTERIOR</v>
          </cell>
        </row>
        <row r="1130">
          <cell r="C1130" t="str">
            <v>100001935</v>
          </cell>
          <cell r="D1130" t="str">
            <v>64-045 044 HB VN-20KP</v>
          </cell>
          <cell r="E1130" t="str">
            <v>ZFGD</v>
          </cell>
          <cell r="F1130" t="str">
            <v>PC</v>
          </cell>
          <cell r="G1130" t="str">
            <v>1</v>
          </cell>
          <cell r="H1130" t="str">
            <v>INDUSTRY</v>
          </cell>
          <cell r="I1130" t="str">
            <v>11</v>
          </cell>
          <cell r="J1130" t="str">
            <v>WOOD COATINGS</v>
          </cell>
          <cell r="K1130" t="str">
            <v>1103</v>
          </cell>
          <cell r="L1130" t="str">
            <v>PU</v>
          </cell>
          <cell r="M1130" t="str">
            <v>110312</v>
          </cell>
          <cell r="N1130" t="str">
            <v>UNION TOP COAT</v>
          </cell>
        </row>
        <row r="1131">
          <cell r="C1131" t="str">
            <v>100001936</v>
          </cell>
          <cell r="D1131" t="str">
            <v>PP-98100 PEARL 111 VN-1K</v>
          </cell>
          <cell r="E1131" t="str">
            <v>ZFGD</v>
          </cell>
          <cell r="F1131" t="str">
            <v>PC</v>
          </cell>
          <cell r="G1131" t="str">
            <v>1</v>
          </cell>
          <cell r="H1131" t="str">
            <v>INDUSTRY</v>
          </cell>
          <cell r="I1131" t="str">
            <v>11</v>
          </cell>
          <cell r="J1131" t="str">
            <v>WOOD COATINGS</v>
          </cell>
          <cell r="K1131" t="str">
            <v>1118</v>
          </cell>
          <cell r="L1131" t="str">
            <v>COMPLEMENTARY</v>
          </cell>
          <cell r="M1131" t="str">
            <v>111802</v>
          </cell>
          <cell r="N1131" t="str">
            <v>ASOF : POWDER &amp; MATTING SOLUTION</v>
          </cell>
        </row>
        <row r="1132">
          <cell r="C1132" t="str">
            <v>100001937</v>
          </cell>
          <cell r="D1132" t="str">
            <v>PP-98100 PEARL 305 VN-1K</v>
          </cell>
          <cell r="E1132" t="str">
            <v>ZFGD</v>
          </cell>
          <cell r="F1132" t="str">
            <v>PC</v>
          </cell>
          <cell r="G1132" t="str">
            <v>1</v>
          </cell>
          <cell r="H1132" t="str">
            <v>INDUSTRY</v>
          </cell>
          <cell r="I1132" t="str">
            <v>11</v>
          </cell>
          <cell r="J1132" t="str">
            <v>WOOD COATINGS</v>
          </cell>
          <cell r="K1132" t="str">
            <v>1118</v>
          </cell>
          <cell r="L1132" t="str">
            <v>COMPLEMENTARY</v>
          </cell>
          <cell r="M1132" t="str">
            <v>111802</v>
          </cell>
          <cell r="N1132" t="str">
            <v>ASOF : POWDER &amp; MATTING SOLUTION</v>
          </cell>
        </row>
        <row r="1133">
          <cell r="C1133" t="str">
            <v>100001938</v>
          </cell>
          <cell r="D1133" t="str">
            <v>AP-98200 SILVER 210 S VN-1K</v>
          </cell>
          <cell r="E1133" t="str">
            <v>ZFGD</v>
          </cell>
          <cell r="F1133" t="str">
            <v>PC</v>
          </cell>
          <cell r="G1133" t="str">
            <v>1</v>
          </cell>
          <cell r="H1133" t="str">
            <v>INDUSTRY</v>
          </cell>
          <cell r="I1133" t="str">
            <v>11</v>
          </cell>
          <cell r="J1133" t="str">
            <v>WOOD COATINGS</v>
          </cell>
          <cell r="K1133" t="str">
            <v>1118</v>
          </cell>
          <cell r="L1133" t="str">
            <v>COMPLEMENTARY</v>
          </cell>
          <cell r="M1133" t="str">
            <v>111802</v>
          </cell>
          <cell r="N1133" t="str">
            <v>ASOF : POWDER &amp; MATTING SOLUTION</v>
          </cell>
        </row>
        <row r="1134">
          <cell r="C1134" t="str">
            <v>100001939</v>
          </cell>
          <cell r="D1134" t="str">
            <v>AP-98200 SILVER 2107 VN-1K</v>
          </cell>
          <cell r="E1134" t="str">
            <v>ZFGD</v>
          </cell>
          <cell r="F1134" t="str">
            <v>PC</v>
          </cell>
          <cell r="G1134" t="str">
            <v>1</v>
          </cell>
          <cell r="H1134" t="str">
            <v>INDUSTRY</v>
          </cell>
          <cell r="I1134" t="str">
            <v>11</v>
          </cell>
          <cell r="J1134" t="str">
            <v>WOOD COATINGS</v>
          </cell>
          <cell r="K1134" t="str">
            <v>1118</v>
          </cell>
          <cell r="L1134" t="str">
            <v>COMPLEMENTARY</v>
          </cell>
          <cell r="M1134" t="str">
            <v>111802</v>
          </cell>
          <cell r="N1134" t="str">
            <v>ASOF : POWDER &amp; MATTING SOLUTION</v>
          </cell>
        </row>
        <row r="1135">
          <cell r="C1135" t="str">
            <v>100001940</v>
          </cell>
          <cell r="D1135" t="str">
            <v>PUC-54205 AC 42 30 AH VN-20KP</v>
          </cell>
          <cell r="E1135" t="str">
            <v>ZFGD</v>
          </cell>
          <cell r="F1135" t="str">
            <v>PC</v>
          </cell>
          <cell r="G1135" t="str">
            <v>1</v>
          </cell>
          <cell r="H1135" t="str">
            <v>INDUSTRY</v>
          </cell>
          <cell r="I1135" t="str">
            <v>11</v>
          </cell>
          <cell r="J1135" t="str">
            <v>WOOD COATINGS</v>
          </cell>
          <cell r="K1135" t="str">
            <v>1103</v>
          </cell>
          <cell r="L1135" t="str">
            <v>PU</v>
          </cell>
          <cell r="M1135" t="str">
            <v>110319</v>
          </cell>
          <cell r="N1135" t="str">
            <v>PU COLOR</v>
          </cell>
        </row>
        <row r="1136">
          <cell r="C1136" t="str">
            <v>100001941</v>
          </cell>
          <cell r="D1136" t="str">
            <v>WBC-62201 SL XLC WHITE 50VLVN-200KB</v>
          </cell>
          <cell r="E1136" t="str">
            <v>ZFGD</v>
          </cell>
          <cell r="F1136" t="str">
            <v>PC</v>
          </cell>
          <cell r="G1136" t="str">
            <v>1</v>
          </cell>
          <cell r="H1136" t="str">
            <v>INDUSTRY</v>
          </cell>
          <cell r="I1136" t="str">
            <v>11</v>
          </cell>
          <cell r="J1136" t="str">
            <v>WOOD COATINGS</v>
          </cell>
          <cell r="K1136" t="str">
            <v>1119</v>
          </cell>
          <cell r="L1136" t="str">
            <v>WATERBASED</v>
          </cell>
          <cell r="M1136" t="str">
            <v>111902</v>
          </cell>
          <cell r="N1136" t="str">
            <v>WATERBASED SYSTEM INTERIOR</v>
          </cell>
        </row>
        <row r="1137">
          <cell r="C1137" t="str">
            <v>100001942</v>
          </cell>
          <cell r="D1137" t="str">
            <v>WBC-62201 SL XLC WHITE 50VLVN-20KP</v>
          </cell>
          <cell r="E1137" t="str">
            <v>ZFGD</v>
          </cell>
          <cell r="F1137" t="str">
            <v>PC</v>
          </cell>
          <cell r="G1137" t="str">
            <v>1</v>
          </cell>
          <cell r="H1137" t="str">
            <v>INDUSTRY</v>
          </cell>
          <cell r="I1137" t="str">
            <v>11</v>
          </cell>
          <cell r="J1137" t="str">
            <v>WOOD COATINGS</v>
          </cell>
          <cell r="K1137" t="str">
            <v>1119</v>
          </cell>
          <cell r="L1137" t="str">
            <v>WATERBASED</v>
          </cell>
          <cell r="M1137" t="str">
            <v>111902</v>
          </cell>
          <cell r="N1137" t="str">
            <v>WATERBASED SYSTEM INTERIOR</v>
          </cell>
        </row>
        <row r="1138">
          <cell r="C1138" t="str">
            <v>100001943</v>
          </cell>
          <cell r="D1138" t="str">
            <v>PCL-31300 BLACK 90120 AF VN-4K</v>
          </cell>
          <cell r="E1138" t="str">
            <v>ZFGD</v>
          </cell>
          <cell r="F1138" t="str">
            <v>PC</v>
          </cell>
          <cell r="G1138" t="str">
            <v>1</v>
          </cell>
          <cell r="H1138" t="str">
            <v>INDUSTRY</v>
          </cell>
          <cell r="I1138" t="str">
            <v>11</v>
          </cell>
          <cell r="J1138" t="str">
            <v>WOOD COATINGS</v>
          </cell>
          <cell r="K1138" t="str">
            <v>1118</v>
          </cell>
          <cell r="L1138" t="str">
            <v>COMPLEMENTARY</v>
          </cell>
          <cell r="M1138" t="str">
            <v>111807</v>
          </cell>
          <cell r="N1138" t="str">
            <v>PASTA</v>
          </cell>
        </row>
        <row r="1139">
          <cell r="C1139" t="str">
            <v>100001944</v>
          </cell>
          <cell r="D1139" t="str">
            <v>PCL-31300 250 BLACK GE VN-18KJ</v>
          </cell>
          <cell r="E1139" t="str">
            <v>ZFGD</v>
          </cell>
          <cell r="F1139" t="str">
            <v>PC</v>
          </cell>
          <cell r="G1139" t="str">
            <v>1</v>
          </cell>
          <cell r="H1139" t="str">
            <v>INDUSTRY</v>
          </cell>
          <cell r="I1139" t="str">
            <v>11</v>
          </cell>
          <cell r="J1139" t="str">
            <v>WOOD COATINGS</v>
          </cell>
          <cell r="K1139" t="str">
            <v>1118</v>
          </cell>
          <cell r="L1139" t="str">
            <v>COMPLEMENTARY</v>
          </cell>
          <cell r="M1139" t="str">
            <v>111807</v>
          </cell>
          <cell r="N1139" t="str">
            <v>PASTA</v>
          </cell>
        </row>
        <row r="1140">
          <cell r="C1140" t="str">
            <v>100001945</v>
          </cell>
          <cell r="D1140" t="str">
            <v>PCL-31300 CLR 250 BLACK GE VN-18KJ</v>
          </cell>
          <cell r="E1140" t="str">
            <v>ZFGD</v>
          </cell>
          <cell r="F1140" t="str">
            <v>PC</v>
          </cell>
          <cell r="G1140" t="str">
            <v>1</v>
          </cell>
          <cell r="H1140" t="str">
            <v>INDUSTRY</v>
          </cell>
          <cell r="I1140" t="str">
            <v>11</v>
          </cell>
          <cell r="J1140" t="str">
            <v>WOOD COATINGS</v>
          </cell>
          <cell r="K1140" t="str">
            <v>1118</v>
          </cell>
          <cell r="L1140" t="str">
            <v>COMPLEMENTARY</v>
          </cell>
          <cell r="M1140" t="str">
            <v>111807</v>
          </cell>
          <cell r="N1140" t="str">
            <v>PASTA</v>
          </cell>
        </row>
        <row r="1141">
          <cell r="C1141" t="str">
            <v>100001946</v>
          </cell>
          <cell r="D1141" t="str">
            <v>UVP-60501 GRY 32 SC VN-20KP</v>
          </cell>
          <cell r="E1141" t="str">
            <v>ZFGD</v>
          </cell>
          <cell r="F1141" t="str">
            <v>PC</v>
          </cell>
          <cell r="G1141" t="str">
            <v>1</v>
          </cell>
          <cell r="H1141" t="str">
            <v>INDUSTRY</v>
          </cell>
          <cell r="I1141" t="str">
            <v>11</v>
          </cell>
          <cell r="J1141" t="str">
            <v>WOOD COATINGS</v>
          </cell>
          <cell r="K1141" t="str">
            <v>1106</v>
          </cell>
          <cell r="L1141" t="str">
            <v>UV</v>
          </cell>
          <cell r="M1141" t="str">
            <v>110604</v>
          </cell>
          <cell r="N1141" t="str">
            <v>UV PRIMER</v>
          </cell>
        </row>
        <row r="1142">
          <cell r="C1142" t="str">
            <v>100001947</v>
          </cell>
          <cell r="D1142" t="str">
            <v>UVP-60501 BRN SC VN-20KP</v>
          </cell>
          <cell r="E1142" t="str">
            <v>ZFGD</v>
          </cell>
          <cell r="F1142" t="str">
            <v>PC</v>
          </cell>
          <cell r="G1142" t="str">
            <v>1</v>
          </cell>
          <cell r="H1142" t="str">
            <v>INDUSTRY</v>
          </cell>
          <cell r="I1142" t="str">
            <v>11</v>
          </cell>
          <cell r="J1142" t="str">
            <v>WOOD COATINGS</v>
          </cell>
          <cell r="K1142" t="str">
            <v>1106</v>
          </cell>
          <cell r="L1142" t="str">
            <v>UV</v>
          </cell>
          <cell r="M1142" t="str">
            <v>110604</v>
          </cell>
          <cell r="N1142" t="str">
            <v>UV PRIMER</v>
          </cell>
        </row>
        <row r="1143">
          <cell r="C1143" t="str">
            <v>100001948</v>
          </cell>
          <cell r="D1143" t="str">
            <v>UVP-60501 COG 01 SC VN-20KP</v>
          </cell>
          <cell r="E1143" t="str">
            <v>ZFGD</v>
          </cell>
          <cell r="F1143" t="str">
            <v>PC</v>
          </cell>
          <cell r="G1143" t="str">
            <v>1</v>
          </cell>
          <cell r="H1143" t="str">
            <v>INDUSTRY</v>
          </cell>
          <cell r="I1143" t="str">
            <v>11</v>
          </cell>
          <cell r="J1143" t="str">
            <v>WOOD COATINGS</v>
          </cell>
          <cell r="K1143" t="str">
            <v>1106</v>
          </cell>
          <cell r="L1143" t="str">
            <v>UV</v>
          </cell>
          <cell r="M1143" t="str">
            <v>110604</v>
          </cell>
          <cell r="N1143" t="str">
            <v>UV PRIMER</v>
          </cell>
        </row>
        <row r="1144">
          <cell r="C1144" t="str">
            <v>100001949</v>
          </cell>
          <cell r="D1144" t="str">
            <v>SST-11100 WN 108 IF VN-20LJ</v>
          </cell>
          <cell r="E1144" t="str">
            <v>ZFGD</v>
          </cell>
          <cell r="F1144" t="str">
            <v>PC</v>
          </cell>
          <cell r="G1144" t="str">
            <v>1</v>
          </cell>
          <cell r="H1144" t="str">
            <v>INDUSTRY</v>
          </cell>
          <cell r="I1144" t="str">
            <v>11</v>
          </cell>
          <cell r="J1144" t="str">
            <v>WOOD COATINGS</v>
          </cell>
          <cell r="K1144" t="str">
            <v>1109</v>
          </cell>
          <cell r="L1144" t="str">
            <v>STAIN &amp; GLAZE INTERIOR</v>
          </cell>
          <cell r="M1144" t="str">
            <v>110903</v>
          </cell>
          <cell r="N1144" t="str">
            <v>STAIN INTERIOR</v>
          </cell>
        </row>
        <row r="1145">
          <cell r="C1145" t="str">
            <v>100001950</v>
          </cell>
          <cell r="D1145" t="str">
            <v>NCSS-11201 AC VN-20LP</v>
          </cell>
          <cell r="E1145" t="str">
            <v>ZFGD</v>
          </cell>
          <cell r="F1145" t="str">
            <v>PC</v>
          </cell>
          <cell r="G1145" t="str">
            <v>1</v>
          </cell>
          <cell r="H1145" t="str">
            <v>INDUSTRY</v>
          </cell>
          <cell r="I1145" t="str">
            <v>11</v>
          </cell>
          <cell r="J1145" t="str">
            <v>WOOD COATINGS</v>
          </cell>
          <cell r="K1145" t="str">
            <v>1104</v>
          </cell>
          <cell r="L1145" t="str">
            <v>NC</v>
          </cell>
          <cell r="M1145" t="str">
            <v>110405</v>
          </cell>
          <cell r="N1145" t="str">
            <v>NC SYSTEM</v>
          </cell>
        </row>
        <row r="1146">
          <cell r="C1146" t="str">
            <v>100001951</v>
          </cell>
          <cell r="D1146" t="str">
            <v>NCL-11301 AC CLEAR 05 VN-20LP</v>
          </cell>
          <cell r="E1146" t="str">
            <v>ZFGD</v>
          </cell>
          <cell r="F1146" t="str">
            <v>PC</v>
          </cell>
          <cell r="G1146" t="str">
            <v>1</v>
          </cell>
          <cell r="H1146" t="str">
            <v>INDUSTRY</v>
          </cell>
          <cell r="I1146" t="str">
            <v>11</v>
          </cell>
          <cell r="J1146" t="str">
            <v>WOOD COATINGS</v>
          </cell>
          <cell r="K1146" t="str">
            <v>1104</v>
          </cell>
          <cell r="L1146" t="str">
            <v>NC</v>
          </cell>
          <cell r="M1146" t="str">
            <v>110405</v>
          </cell>
          <cell r="N1146" t="str">
            <v>NC SYSTEM</v>
          </cell>
        </row>
        <row r="1147">
          <cell r="C1147" t="str">
            <v>100001952</v>
          </cell>
          <cell r="D1147" t="str">
            <v>WBL-61201 SL XLC GS VLVN-20KP</v>
          </cell>
          <cell r="E1147" t="str">
            <v>ZFGD</v>
          </cell>
          <cell r="F1147" t="str">
            <v>PC</v>
          </cell>
          <cell r="G1147" t="str">
            <v>1</v>
          </cell>
          <cell r="H1147" t="str">
            <v>INDUSTRY</v>
          </cell>
          <cell r="I1147" t="str">
            <v>11</v>
          </cell>
          <cell r="J1147" t="str">
            <v>WOOD COATINGS</v>
          </cell>
          <cell r="K1147" t="str">
            <v>1119</v>
          </cell>
          <cell r="L1147" t="str">
            <v>WATERBASED</v>
          </cell>
          <cell r="M1147" t="str">
            <v>111902</v>
          </cell>
          <cell r="N1147" t="str">
            <v>WATERBASED SYSTEM INTERIOR</v>
          </cell>
        </row>
        <row r="1148">
          <cell r="C1148" t="str">
            <v>100001953</v>
          </cell>
          <cell r="D1148" t="str">
            <v>PUC-54205 AC GREY 90 TI VN-20KP</v>
          </cell>
          <cell r="E1148" t="str">
            <v>ZFGD</v>
          </cell>
          <cell r="F1148" t="str">
            <v>PC</v>
          </cell>
          <cell r="G1148" t="str">
            <v>1</v>
          </cell>
          <cell r="H1148" t="str">
            <v>INDUSTRY</v>
          </cell>
          <cell r="I1148" t="str">
            <v>11</v>
          </cell>
          <cell r="J1148" t="str">
            <v>WOOD COATINGS</v>
          </cell>
          <cell r="K1148" t="str">
            <v>1103</v>
          </cell>
          <cell r="L1148" t="str">
            <v>PU</v>
          </cell>
          <cell r="M1148" t="str">
            <v>110319</v>
          </cell>
          <cell r="N1148" t="str">
            <v>PU COLOR</v>
          </cell>
        </row>
        <row r="1149">
          <cell r="C1149" t="str">
            <v>100001954</v>
          </cell>
          <cell r="D1149" t="str">
            <v>PUC-54205 AC BG MK 05 VN-20KP</v>
          </cell>
          <cell r="E1149" t="str">
            <v>ZFGD</v>
          </cell>
          <cell r="F1149" t="str">
            <v>PC</v>
          </cell>
          <cell r="G1149" t="str">
            <v>1</v>
          </cell>
          <cell r="H1149" t="str">
            <v>INDUSTRY</v>
          </cell>
          <cell r="I1149" t="str">
            <v>11</v>
          </cell>
          <cell r="J1149" t="str">
            <v>WOOD COATINGS</v>
          </cell>
          <cell r="K1149" t="str">
            <v>1103</v>
          </cell>
          <cell r="L1149" t="str">
            <v>PU</v>
          </cell>
          <cell r="M1149" t="str">
            <v>110319</v>
          </cell>
          <cell r="N1149" t="str">
            <v>PU COLOR</v>
          </cell>
        </row>
        <row r="1150">
          <cell r="C1150" t="str">
            <v>100001955</v>
          </cell>
          <cell r="D1150" t="str">
            <v>THPU-71300 SB VN-200LK</v>
          </cell>
          <cell r="E1150" t="str">
            <v>ZFGD</v>
          </cell>
          <cell r="F1150" t="str">
            <v>PC</v>
          </cell>
          <cell r="G1150" t="str">
            <v>1</v>
          </cell>
          <cell r="H1150" t="str">
            <v>INDUSTRY</v>
          </cell>
          <cell r="I1150" t="str">
            <v>14</v>
          </cell>
          <cell r="J1150" t="str">
            <v>THINNER</v>
          </cell>
          <cell r="K1150" t="str">
            <v>1411</v>
          </cell>
          <cell r="L1150" t="str">
            <v>THINNER PU</v>
          </cell>
          <cell r="M1150" t="str">
            <v>141101</v>
          </cell>
          <cell r="N1150" t="str">
            <v>THINNER PU</v>
          </cell>
        </row>
        <row r="1151">
          <cell r="C1151" t="str">
            <v>100001956</v>
          </cell>
          <cell r="D1151" t="str">
            <v>PUSS-51241 CLEAR YJ VN-20KP</v>
          </cell>
          <cell r="E1151" t="str">
            <v>ZFGD</v>
          </cell>
          <cell r="F1151" t="str">
            <v>PC</v>
          </cell>
          <cell r="G1151" t="str">
            <v>1</v>
          </cell>
          <cell r="H1151" t="str">
            <v>INDUSTRY</v>
          </cell>
          <cell r="I1151" t="str">
            <v>11</v>
          </cell>
          <cell r="J1151" t="str">
            <v>WOOD COATINGS</v>
          </cell>
          <cell r="K1151" t="str">
            <v>1103</v>
          </cell>
          <cell r="L1151" t="str">
            <v>PU</v>
          </cell>
          <cell r="M1151" t="str">
            <v>110323</v>
          </cell>
          <cell r="N1151" t="str">
            <v>PU SANDING SEALER</v>
          </cell>
        </row>
        <row r="1152">
          <cell r="C1152" t="str">
            <v>100001957</v>
          </cell>
          <cell r="D1152" t="str">
            <v>82-4025 UE AF URT WHITE A VN-16KP</v>
          </cell>
          <cell r="E1152" t="str">
            <v>ZFGD</v>
          </cell>
          <cell r="F1152" t="str">
            <v>PC</v>
          </cell>
          <cell r="G1152" t="str">
            <v>1</v>
          </cell>
          <cell r="H1152" t="str">
            <v>INDUSTRY</v>
          </cell>
          <cell r="I1152" t="str">
            <v>11</v>
          </cell>
          <cell r="J1152" t="str">
            <v>WOOD COATINGS</v>
          </cell>
          <cell r="K1152" t="str">
            <v>1103</v>
          </cell>
          <cell r="L1152" t="str">
            <v>PU</v>
          </cell>
          <cell r="M1152" t="str">
            <v>110312</v>
          </cell>
          <cell r="N1152" t="str">
            <v>UNION TOP COAT</v>
          </cell>
        </row>
        <row r="1153">
          <cell r="C1153" t="str">
            <v>100001958</v>
          </cell>
          <cell r="D1153" t="str">
            <v>SST-11100 CCX A TL VN-20LJ</v>
          </cell>
          <cell r="E1153" t="str">
            <v>ZFGD</v>
          </cell>
          <cell r="F1153" t="str">
            <v>PC</v>
          </cell>
          <cell r="G1153" t="str">
            <v>1</v>
          </cell>
          <cell r="H1153" t="str">
            <v>INDUSTRY</v>
          </cell>
          <cell r="I1153" t="str">
            <v>11</v>
          </cell>
          <cell r="J1153" t="str">
            <v>WOOD COATINGS</v>
          </cell>
          <cell r="K1153" t="str">
            <v>1109</v>
          </cell>
          <cell r="L1153" t="str">
            <v>STAIN &amp; GLAZE INTERIOR</v>
          </cell>
          <cell r="M1153" t="str">
            <v>110903</v>
          </cell>
          <cell r="N1153" t="str">
            <v>STAIN INTERIOR</v>
          </cell>
        </row>
        <row r="1154">
          <cell r="C1154" t="str">
            <v>100001959</v>
          </cell>
          <cell r="D1154" t="str">
            <v>SST-11100 CCX B TL VN-20LJ</v>
          </cell>
          <cell r="E1154" t="str">
            <v>ZFGD</v>
          </cell>
          <cell r="F1154" t="str">
            <v>PC</v>
          </cell>
          <cell r="G1154" t="str">
            <v>1</v>
          </cell>
          <cell r="H1154" t="str">
            <v>INDUSTRY</v>
          </cell>
          <cell r="I1154" t="str">
            <v>11</v>
          </cell>
          <cell r="J1154" t="str">
            <v>WOOD COATINGS</v>
          </cell>
          <cell r="K1154" t="str">
            <v>1109</v>
          </cell>
          <cell r="L1154" t="str">
            <v>STAIN &amp; GLAZE INTERIOR</v>
          </cell>
          <cell r="M1154" t="str">
            <v>110903</v>
          </cell>
          <cell r="N1154" t="str">
            <v>STAIN INTERIOR</v>
          </cell>
        </row>
        <row r="1155">
          <cell r="C1155" t="str">
            <v>100001960</v>
          </cell>
          <cell r="D1155" t="str">
            <v>SST-11100 CCX C TL VN-20LJ</v>
          </cell>
          <cell r="E1155" t="str">
            <v>ZFGD</v>
          </cell>
          <cell r="F1155" t="str">
            <v>PC</v>
          </cell>
          <cell r="G1155" t="str">
            <v>1</v>
          </cell>
          <cell r="H1155" t="str">
            <v>INDUSTRY</v>
          </cell>
          <cell r="I1155" t="str">
            <v>11</v>
          </cell>
          <cell r="J1155" t="str">
            <v>WOOD COATINGS</v>
          </cell>
          <cell r="K1155" t="str">
            <v>1109</v>
          </cell>
          <cell r="L1155" t="str">
            <v>STAIN &amp; GLAZE INTERIOR</v>
          </cell>
          <cell r="M1155" t="str">
            <v>110903</v>
          </cell>
          <cell r="N1155" t="str">
            <v>STAIN INTERIOR</v>
          </cell>
        </row>
        <row r="1156">
          <cell r="C1156" t="str">
            <v>100001961</v>
          </cell>
          <cell r="D1156" t="str">
            <v>WPWB-81201 ML VN-20KP</v>
          </cell>
          <cell r="E1156" t="str">
            <v>ZFGD</v>
          </cell>
          <cell r="F1156" t="str">
            <v>PC</v>
          </cell>
          <cell r="G1156" t="str">
            <v>1</v>
          </cell>
          <cell r="H1156" t="str">
            <v>INDUSTRY</v>
          </cell>
          <cell r="I1156" t="str">
            <v>11</v>
          </cell>
          <cell r="J1156" t="str">
            <v>WOOD COATINGS</v>
          </cell>
          <cell r="K1156" t="str">
            <v>1119</v>
          </cell>
          <cell r="L1156" t="str">
            <v>WATERBASED</v>
          </cell>
          <cell r="M1156" t="str">
            <v>111902</v>
          </cell>
          <cell r="N1156" t="str">
            <v>WATERBASED SYSTEM INTERIOR</v>
          </cell>
        </row>
        <row r="1157">
          <cell r="C1157" t="str">
            <v>100001962</v>
          </cell>
          <cell r="D1157" t="str">
            <v>PCA-31100 WALNUT A TL VN-20LJ</v>
          </cell>
          <cell r="E1157" t="str">
            <v>ZFGD</v>
          </cell>
          <cell r="F1157" t="str">
            <v>PC</v>
          </cell>
          <cell r="G1157" t="str">
            <v>1</v>
          </cell>
          <cell r="H1157" t="str">
            <v>INDUSTRY</v>
          </cell>
          <cell r="I1157" t="str">
            <v>11</v>
          </cell>
          <cell r="J1157" t="str">
            <v>WOOD COATINGS</v>
          </cell>
          <cell r="K1157" t="str">
            <v>1118</v>
          </cell>
          <cell r="L1157" t="str">
            <v>COMPLEMENTARY</v>
          </cell>
          <cell r="M1157" t="str">
            <v>111807</v>
          </cell>
          <cell r="N1157" t="str">
            <v>PASTA</v>
          </cell>
        </row>
        <row r="1158">
          <cell r="C1158" t="str">
            <v>100001963</v>
          </cell>
          <cell r="D1158" t="str">
            <v>SST-11100 WALNUT TL VN-20LJ</v>
          </cell>
          <cell r="E1158" t="str">
            <v>ZFGD</v>
          </cell>
          <cell r="F1158" t="str">
            <v>PC</v>
          </cell>
          <cell r="G1158" t="str">
            <v>1</v>
          </cell>
          <cell r="H1158" t="str">
            <v>INDUSTRY</v>
          </cell>
          <cell r="I1158" t="str">
            <v>11</v>
          </cell>
          <cell r="J1158" t="str">
            <v>WOOD COATINGS</v>
          </cell>
          <cell r="K1158" t="str">
            <v>1109</v>
          </cell>
          <cell r="L1158" t="str">
            <v>STAIN &amp; GLAZE INTERIOR</v>
          </cell>
          <cell r="M1158" t="str">
            <v>110903</v>
          </cell>
          <cell r="N1158" t="str">
            <v>STAIN INTERIOR</v>
          </cell>
        </row>
        <row r="1159">
          <cell r="C1159" t="str">
            <v>100001964</v>
          </cell>
          <cell r="D1159" t="str">
            <v>64-56 MICRO FILLER WALNUT TL VN-20KP</v>
          </cell>
          <cell r="E1159" t="str">
            <v>ZFGD</v>
          </cell>
          <cell r="F1159" t="str">
            <v>PC</v>
          </cell>
          <cell r="G1159" t="str">
            <v>1</v>
          </cell>
          <cell r="H1159" t="str">
            <v>INDUSTRY</v>
          </cell>
          <cell r="I1159" t="str">
            <v>11</v>
          </cell>
          <cell r="J1159" t="str">
            <v>WOOD COATINGS</v>
          </cell>
          <cell r="K1159" t="str">
            <v>1103</v>
          </cell>
          <cell r="L1159" t="str">
            <v>PU</v>
          </cell>
          <cell r="M1159" t="str">
            <v>110305</v>
          </cell>
          <cell r="N1159" t="str">
            <v>UNION FILLER</v>
          </cell>
        </row>
        <row r="1160">
          <cell r="C1160" t="str">
            <v>100001965</v>
          </cell>
          <cell r="D1160" t="str">
            <v>WBL-61203 CLEAR 05 VN-20KP</v>
          </cell>
          <cell r="E1160" t="str">
            <v>ZFGD</v>
          </cell>
          <cell r="F1160" t="str">
            <v>PC</v>
          </cell>
          <cell r="G1160" t="str">
            <v>1</v>
          </cell>
          <cell r="H1160" t="str">
            <v>INDUSTRY</v>
          </cell>
          <cell r="I1160" t="str">
            <v>11</v>
          </cell>
          <cell r="J1160" t="str">
            <v>WOOD COATINGS</v>
          </cell>
          <cell r="K1160" t="str">
            <v>1119</v>
          </cell>
          <cell r="L1160" t="str">
            <v>WATERBASED</v>
          </cell>
          <cell r="M1160" t="str">
            <v>111902</v>
          </cell>
          <cell r="N1160" t="str">
            <v>WATERBASED SYSTEM INTERIOR</v>
          </cell>
        </row>
        <row r="1161">
          <cell r="C1161" t="str">
            <v>100001966</v>
          </cell>
          <cell r="D1161" t="str">
            <v>PCA-31100 WNS A TL VN-20LJ</v>
          </cell>
          <cell r="E1161" t="str">
            <v>ZFGD</v>
          </cell>
          <cell r="F1161" t="str">
            <v>PC</v>
          </cell>
          <cell r="G1161" t="str">
            <v>1</v>
          </cell>
          <cell r="H1161" t="str">
            <v>INDUSTRY</v>
          </cell>
          <cell r="I1161" t="str">
            <v>11</v>
          </cell>
          <cell r="J1161" t="str">
            <v>WOOD COATINGS</v>
          </cell>
          <cell r="K1161" t="str">
            <v>1118</v>
          </cell>
          <cell r="L1161" t="str">
            <v>COMPLEMENTARY</v>
          </cell>
          <cell r="M1161" t="str">
            <v>111807</v>
          </cell>
          <cell r="N1161" t="str">
            <v>PASTA</v>
          </cell>
        </row>
        <row r="1162">
          <cell r="C1162" t="str">
            <v>100001967</v>
          </cell>
          <cell r="D1162" t="str">
            <v>PCA-31100 WNS II A TL VN-20LJ</v>
          </cell>
          <cell r="E1162" t="str">
            <v>ZFGD</v>
          </cell>
          <cell r="F1162" t="str">
            <v>PC</v>
          </cell>
          <cell r="G1162" t="str">
            <v>1</v>
          </cell>
          <cell r="H1162" t="str">
            <v>INDUSTRY</v>
          </cell>
          <cell r="I1162" t="str">
            <v>11</v>
          </cell>
          <cell r="J1162" t="str">
            <v>WOOD COATINGS</v>
          </cell>
          <cell r="K1162" t="str">
            <v>1118</v>
          </cell>
          <cell r="L1162" t="str">
            <v>COMPLEMENTARY</v>
          </cell>
          <cell r="M1162" t="str">
            <v>111807</v>
          </cell>
          <cell r="N1162" t="str">
            <v>PASTA</v>
          </cell>
        </row>
        <row r="1163">
          <cell r="C1163" t="str">
            <v>100001968</v>
          </cell>
          <cell r="D1163" t="str">
            <v>PCA-31100 WNS B TL VN-20LJ</v>
          </cell>
          <cell r="E1163" t="str">
            <v>ZFGD</v>
          </cell>
          <cell r="F1163" t="str">
            <v>PC</v>
          </cell>
          <cell r="G1163" t="str">
            <v>1</v>
          </cell>
          <cell r="H1163" t="str">
            <v>INDUSTRY</v>
          </cell>
          <cell r="I1163" t="str">
            <v>11</v>
          </cell>
          <cell r="J1163" t="str">
            <v>WOOD COATINGS</v>
          </cell>
          <cell r="K1163" t="str">
            <v>1118</v>
          </cell>
          <cell r="L1163" t="str">
            <v>COMPLEMENTARY</v>
          </cell>
          <cell r="M1163" t="str">
            <v>111807</v>
          </cell>
          <cell r="N1163" t="str">
            <v>PASTA</v>
          </cell>
        </row>
        <row r="1164">
          <cell r="C1164" t="str">
            <v>100001969</v>
          </cell>
          <cell r="D1164" t="str">
            <v>64-56 MICRO FILLER WNS TL VN-20KP</v>
          </cell>
          <cell r="E1164" t="str">
            <v>ZFGD</v>
          </cell>
          <cell r="F1164" t="str">
            <v>PC</v>
          </cell>
          <cell r="G1164" t="str">
            <v>1</v>
          </cell>
          <cell r="H1164" t="str">
            <v>INDUSTRY</v>
          </cell>
          <cell r="I1164" t="str">
            <v>11</v>
          </cell>
          <cell r="J1164" t="str">
            <v>WOOD COATINGS</v>
          </cell>
          <cell r="K1164" t="str">
            <v>1103</v>
          </cell>
          <cell r="L1164" t="str">
            <v>PU</v>
          </cell>
          <cell r="M1164" t="str">
            <v>110305</v>
          </cell>
          <cell r="N1164" t="str">
            <v>UNION FILLER</v>
          </cell>
        </row>
        <row r="1165">
          <cell r="C1165" t="str">
            <v>100001970</v>
          </cell>
          <cell r="D1165" t="str">
            <v>UVSS-40101 VN-20KP</v>
          </cell>
          <cell r="E1165" t="str">
            <v>ZFGD</v>
          </cell>
          <cell r="F1165" t="str">
            <v>PC</v>
          </cell>
          <cell r="G1165" t="str">
            <v>1</v>
          </cell>
          <cell r="H1165" t="str">
            <v>INDUSTRY</v>
          </cell>
          <cell r="I1165" t="str">
            <v>11</v>
          </cell>
          <cell r="J1165" t="str">
            <v>WOOD COATINGS</v>
          </cell>
          <cell r="K1165" t="str">
            <v>1106</v>
          </cell>
          <cell r="L1165" t="str">
            <v>UV</v>
          </cell>
          <cell r="M1165" t="str">
            <v>110605</v>
          </cell>
          <cell r="N1165" t="str">
            <v>UV SANDING SEALER</v>
          </cell>
        </row>
        <row r="1166">
          <cell r="C1166" t="str">
            <v>100001971</v>
          </cell>
          <cell r="D1166" t="str">
            <v>UVL-50101 CLEAR 30 VN-20KP</v>
          </cell>
          <cell r="E1166" t="str">
            <v>ZFGD</v>
          </cell>
          <cell r="F1166" t="str">
            <v>PC</v>
          </cell>
          <cell r="G1166" t="str">
            <v>1</v>
          </cell>
          <cell r="H1166" t="str">
            <v>INDUSTRY</v>
          </cell>
          <cell r="I1166" t="str">
            <v>11</v>
          </cell>
          <cell r="J1166" t="str">
            <v>WOOD COATINGS</v>
          </cell>
          <cell r="K1166" t="str">
            <v>1106</v>
          </cell>
          <cell r="L1166" t="str">
            <v>UV</v>
          </cell>
          <cell r="M1166" t="str">
            <v>110607</v>
          </cell>
          <cell r="N1166" t="str">
            <v>UV TOP COAT CLEAR</v>
          </cell>
        </row>
        <row r="1167">
          <cell r="C1167" t="str">
            <v>100001972</v>
          </cell>
          <cell r="D1167" t="str">
            <v>UVL-50101 CLEAR 50 VN-20KP</v>
          </cell>
          <cell r="E1167" t="str">
            <v>ZFGD</v>
          </cell>
          <cell r="F1167" t="str">
            <v>PC</v>
          </cell>
          <cell r="G1167" t="str">
            <v>1</v>
          </cell>
          <cell r="H1167" t="str">
            <v>INDUSTRY</v>
          </cell>
          <cell r="I1167" t="str">
            <v>11</v>
          </cell>
          <cell r="J1167" t="str">
            <v>WOOD COATINGS</v>
          </cell>
          <cell r="K1167" t="str">
            <v>1106</v>
          </cell>
          <cell r="L1167" t="str">
            <v>UV</v>
          </cell>
          <cell r="M1167" t="str">
            <v>110607</v>
          </cell>
          <cell r="N1167" t="str">
            <v>UV TOP COAT CLEAR</v>
          </cell>
        </row>
        <row r="1168">
          <cell r="C1168" t="str">
            <v>100001973</v>
          </cell>
          <cell r="D1168" t="str">
            <v>UVL-50101 CLEAR 90 VN-20KP</v>
          </cell>
          <cell r="E1168" t="str">
            <v>ZFGD</v>
          </cell>
          <cell r="F1168" t="str">
            <v>PC</v>
          </cell>
          <cell r="G1168" t="str">
            <v>1</v>
          </cell>
          <cell r="H1168" t="str">
            <v>INDUSTRY</v>
          </cell>
          <cell r="I1168" t="str">
            <v>11</v>
          </cell>
          <cell r="J1168" t="str">
            <v>WOOD COATINGS</v>
          </cell>
          <cell r="K1168" t="str">
            <v>1106</v>
          </cell>
          <cell r="L1168" t="str">
            <v>UV</v>
          </cell>
          <cell r="M1168" t="str">
            <v>110607</v>
          </cell>
          <cell r="N1168" t="str">
            <v>UV TOP COAT CLEAR</v>
          </cell>
        </row>
        <row r="1169">
          <cell r="C1169" t="str">
            <v>100001974</v>
          </cell>
          <cell r="D1169" t="str">
            <v>PUC-54205 AC J IVORY 90 KD VN-20KP</v>
          </cell>
          <cell r="E1169" t="str">
            <v>ZFGD</v>
          </cell>
          <cell r="F1169" t="str">
            <v>PC</v>
          </cell>
          <cell r="G1169" t="str">
            <v>1</v>
          </cell>
          <cell r="H1169" t="str">
            <v>INDUSTRY</v>
          </cell>
          <cell r="I1169" t="str">
            <v>11</v>
          </cell>
          <cell r="J1169" t="str">
            <v>WOOD COATINGS</v>
          </cell>
          <cell r="K1169" t="str">
            <v>1103</v>
          </cell>
          <cell r="L1169" t="str">
            <v>PU</v>
          </cell>
          <cell r="M1169" t="str">
            <v>110319</v>
          </cell>
          <cell r="N1169" t="str">
            <v>PU COLOR</v>
          </cell>
        </row>
        <row r="1170">
          <cell r="C1170" t="str">
            <v>100001975</v>
          </cell>
          <cell r="D1170" t="str">
            <v>NBC-9345-T-046-AK-20KP</v>
          </cell>
          <cell r="E1170" t="str">
            <v>ZFGD</v>
          </cell>
          <cell r="F1170" t="str">
            <v>PC</v>
          </cell>
          <cell r="G1170" t="str">
            <v>1</v>
          </cell>
          <cell r="H1170" t="str">
            <v>INDUSTRY</v>
          </cell>
          <cell r="I1170" t="str">
            <v>11</v>
          </cell>
          <cell r="J1170" t="str">
            <v>WOOD COATINGS</v>
          </cell>
          <cell r="K1170" t="str">
            <v>1104</v>
          </cell>
          <cell r="L1170" t="str">
            <v>NC</v>
          </cell>
          <cell r="M1170" t="str">
            <v>110403</v>
          </cell>
          <cell r="N1170" t="str">
            <v>ASOF : NC BASE COAT</v>
          </cell>
        </row>
        <row r="1171">
          <cell r="C1171" t="str">
            <v>100001976</v>
          </cell>
          <cell r="D1171" t="str">
            <v>WBP-62101 BLACK VN-20KP</v>
          </cell>
          <cell r="E1171" t="str">
            <v>ZFGD</v>
          </cell>
          <cell r="F1171" t="str">
            <v>PC</v>
          </cell>
          <cell r="G1171" t="str">
            <v>1</v>
          </cell>
          <cell r="H1171" t="str">
            <v>INDUSTRY</v>
          </cell>
          <cell r="I1171" t="str">
            <v>11</v>
          </cell>
          <cell r="J1171" t="str">
            <v>WOOD COATINGS</v>
          </cell>
          <cell r="K1171" t="str">
            <v>1119</v>
          </cell>
          <cell r="L1171" t="str">
            <v>WATERBASED</v>
          </cell>
          <cell r="M1171" t="str">
            <v>111902</v>
          </cell>
          <cell r="N1171" t="str">
            <v>WATERBASED SYSTEM INTERIOR</v>
          </cell>
        </row>
        <row r="1172">
          <cell r="C1172" t="str">
            <v>100001977</v>
          </cell>
          <cell r="D1172" t="str">
            <v>WBC-62201 BLACK 30 VN-20KP</v>
          </cell>
          <cell r="E1172" t="str">
            <v>ZFGD</v>
          </cell>
          <cell r="F1172" t="str">
            <v>PC</v>
          </cell>
          <cell r="G1172" t="str">
            <v>1</v>
          </cell>
          <cell r="H1172" t="str">
            <v>INDUSTRY</v>
          </cell>
          <cell r="I1172" t="str">
            <v>11</v>
          </cell>
          <cell r="J1172" t="str">
            <v>WOOD COATINGS</v>
          </cell>
          <cell r="K1172" t="str">
            <v>1119</v>
          </cell>
          <cell r="L1172" t="str">
            <v>WATERBASED</v>
          </cell>
          <cell r="M1172" t="str">
            <v>111902</v>
          </cell>
          <cell r="N1172" t="str">
            <v>WATERBASED SYSTEM INTERIOR</v>
          </cell>
        </row>
        <row r="1173">
          <cell r="C1173" t="str">
            <v>100001978</v>
          </cell>
          <cell r="D1173" t="str">
            <v>PUC-54206 AC EX 121 05 PO VN-20KP</v>
          </cell>
          <cell r="E1173" t="str">
            <v>ZFGD</v>
          </cell>
          <cell r="F1173" t="str">
            <v>PC</v>
          </cell>
          <cell r="G1173" t="str">
            <v>1</v>
          </cell>
          <cell r="H1173" t="str">
            <v>INDUSTRY</v>
          </cell>
          <cell r="I1173" t="str">
            <v>11</v>
          </cell>
          <cell r="J1173" t="str">
            <v>WOOD COATINGS</v>
          </cell>
          <cell r="K1173" t="str">
            <v>1103</v>
          </cell>
          <cell r="L1173" t="str">
            <v>PU</v>
          </cell>
          <cell r="M1173" t="str">
            <v>110319</v>
          </cell>
          <cell r="N1173" t="str">
            <v>PU COLOR</v>
          </cell>
        </row>
        <row r="1174">
          <cell r="C1174" t="str">
            <v>100001979</v>
          </cell>
          <cell r="D1174" t="str">
            <v>UVP-60501 GREY UGY SC VN-20KP</v>
          </cell>
          <cell r="E1174" t="str">
            <v>ZFGD</v>
          </cell>
          <cell r="F1174" t="str">
            <v>PC</v>
          </cell>
          <cell r="G1174" t="str">
            <v>1</v>
          </cell>
          <cell r="H1174" t="str">
            <v>INDUSTRY</v>
          </cell>
          <cell r="I1174" t="str">
            <v>11</v>
          </cell>
          <cell r="J1174" t="str">
            <v>WOOD COATINGS</v>
          </cell>
          <cell r="K1174" t="str">
            <v>1106</v>
          </cell>
          <cell r="L1174" t="str">
            <v>UV</v>
          </cell>
          <cell r="M1174" t="str">
            <v>110604</v>
          </cell>
          <cell r="N1174" t="str">
            <v>UV PRIMER</v>
          </cell>
        </row>
        <row r="1175">
          <cell r="C1175" t="str">
            <v>100001980</v>
          </cell>
          <cell r="D1175" t="str">
            <v>UVP-60501 UGY SC VN-20KP</v>
          </cell>
          <cell r="E1175" t="str">
            <v>ZFGD</v>
          </cell>
          <cell r="F1175" t="str">
            <v>PC</v>
          </cell>
          <cell r="G1175" t="str">
            <v>1</v>
          </cell>
          <cell r="H1175" t="str">
            <v>INDUSTRY</v>
          </cell>
          <cell r="I1175" t="str">
            <v>11</v>
          </cell>
          <cell r="J1175" t="str">
            <v>WOOD COATINGS</v>
          </cell>
          <cell r="K1175" t="str">
            <v>1106</v>
          </cell>
          <cell r="L1175" t="str">
            <v>UV</v>
          </cell>
          <cell r="M1175" t="str">
            <v>110604</v>
          </cell>
          <cell r="N1175" t="str">
            <v>UV PRIMER</v>
          </cell>
        </row>
        <row r="1176">
          <cell r="C1176" t="str">
            <v>100001981</v>
          </cell>
          <cell r="D1176" t="str">
            <v>UVP-60501 CSN SC VN-20KP</v>
          </cell>
          <cell r="E1176" t="str">
            <v>ZFGD</v>
          </cell>
          <cell r="F1176" t="str">
            <v>PC</v>
          </cell>
          <cell r="G1176" t="str">
            <v>1</v>
          </cell>
          <cell r="H1176" t="str">
            <v>INDUSTRY</v>
          </cell>
          <cell r="I1176" t="str">
            <v>11</v>
          </cell>
          <cell r="J1176" t="str">
            <v>WOOD COATINGS</v>
          </cell>
          <cell r="K1176" t="str">
            <v>1106</v>
          </cell>
          <cell r="L1176" t="str">
            <v>UV</v>
          </cell>
          <cell r="M1176" t="str">
            <v>110604</v>
          </cell>
          <cell r="N1176" t="str">
            <v>UV PRIMER</v>
          </cell>
        </row>
        <row r="1177">
          <cell r="C1177" t="str">
            <v>100001982</v>
          </cell>
          <cell r="D1177" t="str">
            <v>UVP-60501 TAP SC VN-20KP</v>
          </cell>
          <cell r="E1177" t="str">
            <v>ZFGD</v>
          </cell>
          <cell r="F1177" t="str">
            <v>PC</v>
          </cell>
          <cell r="G1177" t="str">
            <v>1</v>
          </cell>
          <cell r="H1177" t="str">
            <v>INDUSTRY</v>
          </cell>
          <cell r="I1177" t="str">
            <v>11</v>
          </cell>
          <cell r="J1177" t="str">
            <v>WOOD COATINGS</v>
          </cell>
          <cell r="K1177" t="str">
            <v>1106</v>
          </cell>
          <cell r="L1177" t="str">
            <v>UV</v>
          </cell>
          <cell r="M1177" t="str">
            <v>110604</v>
          </cell>
          <cell r="N1177" t="str">
            <v>UV PRIMER</v>
          </cell>
        </row>
        <row r="1178">
          <cell r="C1178" t="str">
            <v>100001983</v>
          </cell>
          <cell r="D1178" t="str">
            <v>SST-11100 CHOCOLATE F1 VN-20LJ</v>
          </cell>
          <cell r="E1178" t="str">
            <v>ZFGD</v>
          </cell>
          <cell r="F1178" t="str">
            <v>PC</v>
          </cell>
          <cell r="G1178" t="str">
            <v>1</v>
          </cell>
          <cell r="H1178" t="str">
            <v>INDUSTRY</v>
          </cell>
          <cell r="I1178" t="str">
            <v>11</v>
          </cell>
          <cell r="J1178" t="str">
            <v>WOOD COATINGS</v>
          </cell>
          <cell r="K1178" t="str">
            <v>1109</v>
          </cell>
          <cell r="L1178" t="str">
            <v>STAIN &amp; GLAZE INTERIOR</v>
          </cell>
          <cell r="M1178" t="str">
            <v>110903</v>
          </cell>
          <cell r="N1178" t="str">
            <v>STAIN INTERIOR</v>
          </cell>
        </row>
        <row r="1179">
          <cell r="C1179" t="str">
            <v>100001984</v>
          </cell>
          <cell r="D1179" t="str">
            <v>GZ-12700 N WHITE GIACO F1 VN-16KP</v>
          </cell>
          <cell r="E1179" t="str">
            <v>ZFGD</v>
          </cell>
          <cell r="F1179" t="str">
            <v>PC</v>
          </cell>
          <cell r="G1179" t="str">
            <v>1</v>
          </cell>
          <cell r="H1179" t="str">
            <v>INDUSTRY</v>
          </cell>
          <cell r="I1179" t="str">
            <v>11</v>
          </cell>
          <cell r="J1179" t="str">
            <v>WOOD COATINGS</v>
          </cell>
          <cell r="K1179" t="str">
            <v>1109</v>
          </cell>
          <cell r="L1179" t="str">
            <v>STAIN &amp; GLAZE INTERIOR</v>
          </cell>
          <cell r="M1179" t="str">
            <v>110901</v>
          </cell>
          <cell r="N1179" t="str">
            <v>ASOF : STAIN &amp; GLAZE</v>
          </cell>
        </row>
        <row r="1180">
          <cell r="C1180" t="str">
            <v>100001985</v>
          </cell>
          <cell r="D1180" t="str">
            <v>SST-11100 02 A SK VN-20LJ</v>
          </cell>
          <cell r="E1180" t="str">
            <v>ZFGD</v>
          </cell>
          <cell r="F1180" t="str">
            <v>PC</v>
          </cell>
          <cell r="G1180" t="str">
            <v>1</v>
          </cell>
          <cell r="H1180" t="str">
            <v>INDUSTRY</v>
          </cell>
          <cell r="I1180" t="str">
            <v>11</v>
          </cell>
          <cell r="J1180" t="str">
            <v>WOOD COATINGS</v>
          </cell>
          <cell r="K1180" t="str">
            <v>1109</v>
          </cell>
          <cell r="L1180" t="str">
            <v>STAIN &amp; GLAZE INTERIOR</v>
          </cell>
          <cell r="M1180" t="str">
            <v>110903</v>
          </cell>
          <cell r="N1180" t="str">
            <v>STAIN INTERIOR</v>
          </cell>
        </row>
        <row r="1181">
          <cell r="C1181" t="str">
            <v>100001986</v>
          </cell>
          <cell r="D1181" t="str">
            <v>SST-11100 02 B SK VN-20LJ</v>
          </cell>
          <cell r="E1181" t="str">
            <v>ZFGD</v>
          </cell>
          <cell r="F1181" t="str">
            <v>PC</v>
          </cell>
          <cell r="G1181" t="str">
            <v>1</v>
          </cell>
          <cell r="H1181" t="str">
            <v>INDUSTRY</v>
          </cell>
          <cell r="I1181" t="str">
            <v>11</v>
          </cell>
          <cell r="J1181" t="str">
            <v>WOOD COATINGS</v>
          </cell>
          <cell r="K1181" t="str">
            <v>1109</v>
          </cell>
          <cell r="L1181" t="str">
            <v>STAIN &amp; GLAZE INTERIOR</v>
          </cell>
          <cell r="M1181" t="str">
            <v>110903</v>
          </cell>
          <cell r="N1181" t="str">
            <v>STAIN INTERIOR</v>
          </cell>
        </row>
        <row r="1182">
          <cell r="C1182" t="str">
            <v>100001987</v>
          </cell>
          <cell r="D1182" t="str">
            <v>GZPU-21500 02 SK VN-18KP</v>
          </cell>
          <cell r="E1182" t="str">
            <v>ZFGD</v>
          </cell>
          <cell r="F1182" t="str">
            <v>PC</v>
          </cell>
          <cell r="G1182" t="str">
            <v>1</v>
          </cell>
          <cell r="H1182" t="str">
            <v>INDUSTRY</v>
          </cell>
          <cell r="I1182" t="str">
            <v>11</v>
          </cell>
          <cell r="J1182" t="str">
            <v>WOOD COATINGS</v>
          </cell>
          <cell r="K1182" t="str">
            <v>1103</v>
          </cell>
          <cell r="L1182" t="str">
            <v>PU</v>
          </cell>
          <cell r="M1182" t="str">
            <v>110302</v>
          </cell>
          <cell r="N1182" t="str">
            <v>GLAZE PU</v>
          </cell>
        </row>
        <row r="1183">
          <cell r="C1183" t="str">
            <v>100001988</v>
          </cell>
          <cell r="D1183" t="str">
            <v>PUC-54205 AC OC 67 15 GE VN-20KP</v>
          </cell>
          <cell r="E1183" t="str">
            <v>ZFGD</v>
          </cell>
          <cell r="F1183" t="str">
            <v>PC</v>
          </cell>
          <cell r="G1183" t="str">
            <v>1</v>
          </cell>
          <cell r="H1183" t="str">
            <v>INDUSTRY</v>
          </cell>
          <cell r="I1183" t="str">
            <v>11</v>
          </cell>
          <cell r="J1183" t="str">
            <v>WOOD COATINGS</v>
          </cell>
          <cell r="K1183" t="str">
            <v>1103</v>
          </cell>
          <cell r="L1183" t="str">
            <v>PU</v>
          </cell>
          <cell r="M1183" t="str">
            <v>110319</v>
          </cell>
          <cell r="N1183" t="str">
            <v>PU COLOR</v>
          </cell>
        </row>
        <row r="1184">
          <cell r="C1184" t="str">
            <v>100001989</v>
          </cell>
          <cell r="D1184" t="str">
            <v>UVP-60501 BLK 01 SC VN-20KP</v>
          </cell>
          <cell r="E1184" t="str">
            <v>ZFGD</v>
          </cell>
          <cell r="F1184" t="str">
            <v>PC</v>
          </cell>
          <cell r="G1184" t="str">
            <v>1</v>
          </cell>
          <cell r="H1184" t="str">
            <v>INDUSTRY</v>
          </cell>
          <cell r="I1184" t="str">
            <v>11</v>
          </cell>
          <cell r="J1184" t="str">
            <v>WOOD COATINGS</v>
          </cell>
          <cell r="K1184" t="str">
            <v>1106</v>
          </cell>
          <cell r="L1184" t="str">
            <v>UV</v>
          </cell>
          <cell r="M1184" t="str">
            <v>110604</v>
          </cell>
          <cell r="N1184" t="str">
            <v>UV PRIMER</v>
          </cell>
        </row>
        <row r="1185">
          <cell r="C1185" t="str">
            <v>100001990</v>
          </cell>
          <cell r="D1185" t="str">
            <v>PUC-54205 AC 34 30 PF VN-20KP</v>
          </cell>
          <cell r="E1185" t="str">
            <v>ZFGD</v>
          </cell>
          <cell r="F1185" t="str">
            <v>PC</v>
          </cell>
          <cell r="G1185" t="str">
            <v>1</v>
          </cell>
          <cell r="H1185" t="str">
            <v>INDUSTRY</v>
          </cell>
          <cell r="I1185" t="str">
            <v>11</v>
          </cell>
          <cell r="J1185" t="str">
            <v>WOOD COATINGS</v>
          </cell>
          <cell r="K1185" t="str">
            <v>1103</v>
          </cell>
          <cell r="L1185" t="str">
            <v>PU</v>
          </cell>
          <cell r="M1185" t="str">
            <v>110319</v>
          </cell>
          <cell r="N1185" t="str">
            <v>PU COLOR</v>
          </cell>
        </row>
        <row r="1186">
          <cell r="C1186" t="str">
            <v>100001991</v>
          </cell>
          <cell r="D1186" t="str">
            <v>SST-11100 01 A SK VN-20LJ</v>
          </cell>
          <cell r="E1186" t="str">
            <v>ZFGD</v>
          </cell>
          <cell r="F1186" t="str">
            <v>PC</v>
          </cell>
          <cell r="G1186" t="str">
            <v>1</v>
          </cell>
          <cell r="H1186" t="str">
            <v>INDUSTRY</v>
          </cell>
          <cell r="I1186" t="str">
            <v>11</v>
          </cell>
          <cell r="J1186" t="str">
            <v>WOOD COATINGS</v>
          </cell>
          <cell r="K1186" t="str">
            <v>1109</v>
          </cell>
          <cell r="L1186" t="str">
            <v>STAIN &amp; GLAZE INTERIOR</v>
          </cell>
          <cell r="M1186" t="str">
            <v>110903</v>
          </cell>
          <cell r="N1186" t="str">
            <v>STAIN INTERIOR</v>
          </cell>
        </row>
        <row r="1187">
          <cell r="C1187" t="str">
            <v>100001992</v>
          </cell>
          <cell r="D1187" t="str">
            <v>SST-11100 01 B SK VN-20LJ</v>
          </cell>
          <cell r="E1187" t="str">
            <v>ZFGD</v>
          </cell>
          <cell r="F1187" t="str">
            <v>PC</v>
          </cell>
          <cell r="G1187" t="str">
            <v>1</v>
          </cell>
          <cell r="H1187" t="str">
            <v>INDUSTRY</v>
          </cell>
          <cell r="I1187" t="str">
            <v>11</v>
          </cell>
          <cell r="J1187" t="str">
            <v>WOOD COATINGS</v>
          </cell>
          <cell r="K1187" t="str">
            <v>1109</v>
          </cell>
          <cell r="L1187" t="str">
            <v>STAIN &amp; GLAZE INTERIOR</v>
          </cell>
          <cell r="M1187" t="str">
            <v>110903</v>
          </cell>
          <cell r="N1187" t="str">
            <v>STAIN INTERIOR</v>
          </cell>
        </row>
        <row r="1188">
          <cell r="C1188" t="str">
            <v>100001993</v>
          </cell>
          <cell r="D1188" t="str">
            <v>PUL-51341 CLEAR 50 VN-18KP</v>
          </cell>
          <cell r="E1188" t="str">
            <v>ZFGD</v>
          </cell>
          <cell r="F1188" t="str">
            <v>PC</v>
          </cell>
          <cell r="G1188" t="str">
            <v>1</v>
          </cell>
          <cell r="H1188" t="str">
            <v>INDUSTRY</v>
          </cell>
          <cell r="I1188" t="str">
            <v>11</v>
          </cell>
          <cell r="J1188" t="str">
            <v>WOOD COATINGS</v>
          </cell>
          <cell r="K1188" t="str">
            <v>1103</v>
          </cell>
          <cell r="L1188" t="str">
            <v>PU</v>
          </cell>
          <cell r="M1188" t="str">
            <v>110321</v>
          </cell>
          <cell r="N1188" t="str">
            <v>PU LACQUER</v>
          </cell>
        </row>
        <row r="1189">
          <cell r="C1189" t="str">
            <v>100001994</v>
          </cell>
          <cell r="D1189" t="str">
            <v>UVF-10101 VN-20KP</v>
          </cell>
          <cell r="E1189" t="str">
            <v>ZFGD</v>
          </cell>
          <cell r="F1189" t="str">
            <v>PC</v>
          </cell>
          <cell r="G1189" t="str">
            <v>1</v>
          </cell>
          <cell r="H1189" t="str">
            <v>INDUSTRY</v>
          </cell>
          <cell r="I1189" t="str">
            <v>11</v>
          </cell>
          <cell r="J1189" t="str">
            <v>WOOD COATINGS</v>
          </cell>
          <cell r="K1189" t="str">
            <v>1106</v>
          </cell>
          <cell r="L1189" t="str">
            <v>UV</v>
          </cell>
          <cell r="M1189" t="str">
            <v>110603</v>
          </cell>
          <cell r="N1189" t="str">
            <v>UV FILLER</v>
          </cell>
        </row>
        <row r="1190">
          <cell r="C1190" t="str">
            <v>100001995</v>
          </cell>
          <cell r="D1190" t="str">
            <v>UVL-50101 CLEAR 10 VN-20KP</v>
          </cell>
          <cell r="E1190" t="str">
            <v>ZFGD</v>
          </cell>
          <cell r="F1190" t="str">
            <v>PC</v>
          </cell>
          <cell r="G1190" t="str">
            <v>1</v>
          </cell>
          <cell r="H1190" t="str">
            <v>INDUSTRY</v>
          </cell>
          <cell r="I1190" t="str">
            <v>11</v>
          </cell>
          <cell r="J1190" t="str">
            <v>WOOD COATINGS</v>
          </cell>
          <cell r="K1190" t="str">
            <v>1106</v>
          </cell>
          <cell r="L1190" t="str">
            <v>UV</v>
          </cell>
          <cell r="M1190" t="str">
            <v>110607</v>
          </cell>
          <cell r="N1190" t="str">
            <v>UV TOP COAT CLEAR</v>
          </cell>
        </row>
        <row r="1191">
          <cell r="C1191" t="str">
            <v>100001996</v>
          </cell>
          <cell r="D1191" t="str">
            <v>PUC-54205 AC 37 05 PF VN-20KP</v>
          </cell>
          <cell r="E1191" t="str">
            <v>ZFGD</v>
          </cell>
          <cell r="F1191" t="str">
            <v>PC</v>
          </cell>
          <cell r="G1191" t="str">
            <v>1</v>
          </cell>
          <cell r="H1191" t="str">
            <v>INDUSTRY</v>
          </cell>
          <cell r="I1191" t="str">
            <v>11</v>
          </cell>
          <cell r="J1191" t="str">
            <v>WOOD COATINGS</v>
          </cell>
          <cell r="K1191" t="str">
            <v>1103</v>
          </cell>
          <cell r="L1191" t="str">
            <v>PU</v>
          </cell>
          <cell r="M1191" t="str">
            <v>110319</v>
          </cell>
          <cell r="N1191" t="str">
            <v>PU COLOR</v>
          </cell>
        </row>
        <row r="1192">
          <cell r="C1192" t="str">
            <v>100001997</v>
          </cell>
          <cell r="D1192" t="str">
            <v>SST-11100 24 MLO I TL VN-20LJ</v>
          </cell>
          <cell r="E1192" t="str">
            <v>ZFGD</v>
          </cell>
          <cell r="F1192" t="str">
            <v>PC</v>
          </cell>
          <cell r="G1192" t="str">
            <v>1</v>
          </cell>
          <cell r="H1192" t="str">
            <v>INDUSTRY</v>
          </cell>
          <cell r="I1192" t="str">
            <v>11</v>
          </cell>
          <cell r="J1192" t="str">
            <v>WOOD COATINGS</v>
          </cell>
          <cell r="K1192" t="str">
            <v>1109</v>
          </cell>
          <cell r="L1192" t="str">
            <v>STAIN &amp; GLAZE INTERIOR</v>
          </cell>
          <cell r="M1192" t="str">
            <v>110903</v>
          </cell>
          <cell r="N1192" t="str">
            <v>STAIN INTERIOR</v>
          </cell>
        </row>
        <row r="1193">
          <cell r="C1193" t="str">
            <v>100001998</v>
          </cell>
          <cell r="D1193" t="str">
            <v>SST-11100 24 MLO II TL VN-20LJ</v>
          </cell>
          <cell r="E1193" t="str">
            <v>ZFGD</v>
          </cell>
          <cell r="F1193" t="str">
            <v>PC</v>
          </cell>
          <cell r="G1193" t="str">
            <v>1</v>
          </cell>
          <cell r="H1193" t="str">
            <v>INDUSTRY</v>
          </cell>
          <cell r="I1193" t="str">
            <v>11</v>
          </cell>
          <cell r="J1193" t="str">
            <v>WOOD COATINGS</v>
          </cell>
          <cell r="K1193" t="str">
            <v>1109</v>
          </cell>
          <cell r="L1193" t="str">
            <v>STAIN &amp; GLAZE INTERIOR</v>
          </cell>
          <cell r="M1193" t="str">
            <v>110903</v>
          </cell>
          <cell r="N1193" t="str">
            <v>STAIN INTERIOR</v>
          </cell>
        </row>
        <row r="1194">
          <cell r="C1194" t="str">
            <v>100001999</v>
          </cell>
          <cell r="D1194" t="str">
            <v>PUC-54205 AC WHITE 25 VN-20KP</v>
          </cell>
          <cell r="E1194" t="str">
            <v>ZFGD</v>
          </cell>
          <cell r="F1194" t="str">
            <v>PC</v>
          </cell>
          <cell r="G1194" t="str">
            <v>1</v>
          </cell>
          <cell r="H1194" t="str">
            <v>INDUSTRY</v>
          </cell>
          <cell r="I1194" t="str">
            <v>11</v>
          </cell>
          <cell r="J1194" t="str">
            <v>WOOD COATINGS</v>
          </cell>
          <cell r="K1194" t="str">
            <v>1103</v>
          </cell>
          <cell r="L1194" t="str">
            <v>PU</v>
          </cell>
          <cell r="M1194" t="str">
            <v>110319</v>
          </cell>
          <cell r="N1194" t="str">
            <v>PU COLOR</v>
          </cell>
        </row>
        <row r="1195">
          <cell r="C1195" t="str">
            <v>100002000</v>
          </cell>
          <cell r="D1195" t="str">
            <v>SST-11100 37 MT VN-20LJ</v>
          </cell>
          <cell r="E1195" t="str">
            <v>ZFGD</v>
          </cell>
          <cell r="F1195" t="str">
            <v>PC</v>
          </cell>
          <cell r="G1195" t="str">
            <v>1</v>
          </cell>
          <cell r="H1195" t="str">
            <v>INDUSTRY</v>
          </cell>
          <cell r="I1195" t="str">
            <v>11</v>
          </cell>
          <cell r="J1195" t="str">
            <v>WOOD COATINGS</v>
          </cell>
          <cell r="K1195" t="str">
            <v>1109</v>
          </cell>
          <cell r="L1195" t="str">
            <v>STAIN &amp; GLAZE INTERIOR</v>
          </cell>
          <cell r="M1195" t="str">
            <v>110903</v>
          </cell>
          <cell r="N1195" t="str">
            <v>STAIN INTERIOR</v>
          </cell>
        </row>
        <row r="1196">
          <cell r="C1196" t="str">
            <v>100002001</v>
          </cell>
          <cell r="D1196" t="str">
            <v>64-56 MICRO FILLER 37 MT VN-20KP</v>
          </cell>
          <cell r="E1196" t="str">
            <v>ZFGD</v>
          </cell>
          <cell r="F1196" t="str">
            <v>PC</v>
          </cell>
          <cell r="G1196" t="str">
            <v>1</v>
          </cell>
          <cell r="H1196" t="str">
            <v>INDUSTRY</v>
          </cell>
          <cell r="I1196" t="str">
            <v>11</v>
          </cell>
          <cell r="J1196" t="str">
            <v>WOOD COATINGS</v>
          </cell>
          <cell r="K1196" t="str">
            <v>1103</v>
          </cell>
          <cell r="L1196" t="str">
            <v>PU</v>
          </cell>
          <cell r="M1196" t="str">
            <v>110305</v>
          </cell>
          <cell r="N1196" t="str">
            <v>UNION FILLER</v>
          </cell>
        </row>
        <row r="1197">
          <cell r="C1197" t="str">
            <v>100002002</v>
          </cell>
          <cell r="D1197" t="str">
            <v>GZPU-21500 37 MT VN-18KP</v>
          </cell>
          <cell r="E1197" t="str">
            <v>ZFGD</v>
          </cell>
          <cell r="F1197" t="str">
            <v>PC</v>
          </cell>
          <cell r="G1197" t="str">
            <v>1</v>
          </cell>
          <cell r="H1197" t="str">
            <v>INDUSTRY</v>
          </cell>
          <cell r="I1197" t="str">
            <v>11</v>
          </cell>
          <cell r="J1197" t="str">
            <v>WOOD COATINGS</v>
          </cell>
          <cell r="K1197" t="str">
            <v>1103</v>
          </cell>
          <cell r="L1197" t="str">
            <v>PU</v>
          </cell>
          <cell r="M1197" t="str">
            <v>110302</v>
          </cell>
          <cell r="N1197" t="str">
            <v>GLAZE PU</v>
          </cell>
        </row>
        <row r="1198">
          <cell r="C1198" t="str">
            <v>100002003</v>
          </cell>
          <cell r="D1198" t="str">
            <v>PUC-54205 AC OC 66 15 GE VN-20KP</v>
          </cell>
          <cell r="E1198" t="str">
            <v>ZFGD</v>
          </cell>
          <cell r="F1198" t="str">
            <v>PC</v>
          </cell>
          <cell r="G1198" t="str">
            <v>1</v>
          </cell>
          <cell r="H1198" t="str">
            <v>INDUSTRY</v>
          </cell>
          <cell r="I1198" t="str">
            <v>11</v>
          </cell>
          <cell r="J1198" t="str">
            <v>WOOD COATINGS</v>
          </cell>
          <cell r="K1198" t="str">
            <v>1103</v>
          </cell>
          <cell r="L1198" t="str">
            <v>PU</v>
          </cell>
          <cell r="M1198" t="str">
            <v>110319</v>
          </cell>
          <cell r="N1198" t="str">
            <v>PU COLOR</v>
          </cell>
        </row>
        <row r="1199">
          <cell r="C1199" t="str">
            <v>100002004</v>
          </cell>
          <cell r="D1199" t="str">
            <v>PUC-54205 AC OC 66 BC 90 GE VN-20KP</v>
          </cell>
          <cell r="E1199" t="str">
            <v>ZFGD</v>
          </cell>
          <cell r="F1199" t="str">
            <v>PC</v>
          </cell>
          <cell r="G1199" t="str">
            <v>1</v>
          </cell>
          <cell r="H1199" t="str">
            <v>INDUSTRY</v>
          </cell>
          <cell r="I1199" t="str">
            <v>11</v>
          </cell>
          <cell r="J1199" t="str">
            <v>WOOD COATINGS</v>
          </cell>
          <cell r="K1199" t="str">
            <v>1103</v>
          </cell>
          <cell r="L1199" t="str">
            <v>PU</v>
          </cell>
          <cell r="M1199" t="str">
            <v>110319</v>
          </cell>
          <cell r="N1199" t="str">
            <v>PU COLOR</v>
          </cell>
        </row>
        <row r="1200">
          <cell r="C1200" t="str">
            <v>100002005</v>
          </cell>
          <cell r="D1200" t="str">
            <v>HARDENER PUH-1511 A5 MLY-20LJ</v>
          </cell>
          <cell r="E1200" t="str">
            <v>ZFGD</v>
          </cell>
          <cell r="F1200" t="str">
            <v>PC</v>
          </cell>
          <cell r="G1200" t="str">
            <v>1</v>
          </cell>
          <cell r="H1200" t="str">
            <v>INDUSTRY</v>
          </cell>
          <cell r="I1200" t="str">
            <v>11</v>
          </cell>
          <cell r="J1200" t="str">
            <v>WOOD COATINGS</v>
          </cell>
          <cell r="K1200" t="str">
            <v>1103</v>
          </cell>
          <cell r="L1200" t="str">
            <v>PU</v>
          </cell>
          <cell r="M1200" t="str">
            <v>110320</v>
          </cell>
          <cell r="N1200" t="str">
            <v>PU HARDENER</v>
          </cell>
        </row>
        <row r="1201">
          <cell r="C1201" t="str">
            <v>100002006</v>
          </cell>
          <cell r="D1201" t="str">
            <v>LACQUER PUL-1513 KD 5 SHEEN A37 MLY-20LP</v>
          </cell>
          <cell r="E1201" t="str">
            <v>ZFGD</v>
          </cell>
          <cell r="F1201" t="str">
            <v>PC</v>
          </cell>
          <cell r="G1201" t="str">
            <v>1</v>
          </cell>
          <cell r="H1201" t="str">
            <v>INDUSTRY</v>
          </cell>
          <cell r="I1201" t="str">
            <v>11</v>
          </cell>
          <cell r="J1201" t="str">
            <v>WOOD COATINGS</v>
          </cell>
          <cell r="K1201" t="str">
            <v>1103</v>
          </cell>
          <cell r="L1201" t="str">
            <v>PU</v>
          </cell>
          <cell r="M1201" t="str">
            <v>110321</v>
          </cell>
          <cell r="N1201" t="str">
            <v>PU LACQUER</v>
          </cell>
        </row>
        <row r="1202">
          <cell r="C1202" t="str">
            <v>100002007</v>
          </cell>
          <cell r="D1202" t="str">
            <v>LACQUERPUL-1513 KD 10 SHEEN A36 MLY-20LP</v>
          </cell>
          <cell r="E1202" t="str">
            <v>ZFGD</v>
          </cell>
          <cell r="F1202" t="str">
            <v>PC</v>
          </cell>
          <cell r="G1202" t="str">
            <v>1</v>
          </cell>
          <cell r="H1202" t="str">
            <v>INDUSTRY</v>
          </cell>
          <cell r="I1202" t="str">
            <v>11</v>
          </cell>
          <cell r="J1202" t="str">
            <v>WOOD COATINGS</v>
          </cell>
          <cell r="K1202" t="str">
            <v>1103</v>
          </cell>
          <cell r="L1202" t="str">
            <v>PU</v>
          </cell>
          <cell r="M1202" t="str">
            <v>110321</v>
          </cell>
          <cell r="N1202" t="str">
            <v>PU LACQUER</v>
          </cell>
        </row>
        <row r="1203">
          <cell r="C1203" t="str">
            <v>100002008</v>
          </cell>
          <cell r="D1203" t="str">
            <v>PUC-54205 AC OC 65 15 GE VN-20KP</v>
          </cell>
          <cell r="E1203" t="str">
            <v>ZFGD</v>
          </cell>
          <cell r="F1203" t="str">
            <v>PC</v>
          </cell>
          <cell r="G1203" t="str">
            <v>1</v>
          </cell>
          <cell r="H1203" t="str">
            <v>INDUSTRY</v>
          </cell>
          <cell r="I1203" t="str">
            <v>11</v>
          </cell>
          <cell r="J1203" t="str">
            <v>WOOD COATINGS</v>
          </cell>
          <cell r="K1203" t="str">
            <v>1103</v>
          </cell>
          <cell r="L1203" t="str">
            <v>PU</v>
          </cell>
          <cell r="M1203" t="str">
            <v>110319</v>
          </cell>
          <cell r="N1203" t="str">
            <v>PU COLOR</v>
          </cell>
        </row>
        <row r="1204">
          <cell r="C1204" t="str">
            <v>100002009</v>
          </cell>
          <cell r="D1204" t="str">
            <v>PUC-54205 AC OC 65 BC 90 GE VN-20KP</v>
          </cell>
          <cell r="E1204" t="str">
            <v>ZFGD</v>
          </cell>
          <cell r="F1204" t="str">
            <v>PC</v>
          </cell>
          <cell r="G1204" t="str">
            <v>1</v>
          </cell>
          <cell r="H1204" t="str">
            <v>INDUSTRY</v>
          </cell>
          <cell r="I1204" t="str">
            <v>11</v>
          </cell>
          <cell r="J1204" t="str">
            <v>WOOD COATINGS</v>
          </cell>
          <cell r="K1204" t="str">
            <v>1103</v>
          </cell>
          <cell r="L1204" t="str">
            <v>PU</v>
          </cell>
          <cell r="M1204" t="str">
            <v>110319</v>
          </cell>
          <cell r="N1204" t="str">
            <v>PU COLOR</v>
          </cell>
        </row>
        <row r="1205">
          <cell r="C1205" t="str">
            <v>100002010</v>
          </cell>
          <cell r="D1205" t="str">
            <v>SST-11100 14 SK VN-20LJ</v>
          </cell>
          <cell r="E1205" t="str">
            <v>ZFGD</v>
          </cell>
          <cell r="F1205" t="str">
            <v>PC</v>
          </cell>
          <cell r="G1205" t="str">
            <v>1</v>
          </cell>
          <cell r="H1205" t="str">
            <v>INDUSTRY</v>
          </cell>
          <cell r="I1205" t="str">
            <v>11</v>
          </cell>
          <cell r="J1205" t="str">
            <v>WOOD COATINGS</v>
          </cell>
          <cell r="K1205" t="str">
            <v>1109</v>
          </cell>
          <cell r="L1205" t="str">
            <v>STAIN &amp; GLAZE INTERIOR</v>
          </cell>
          <cell r="M1205" t="str">
            <v>110903</v>
          </cell>
          <cell r="N1205" t="str">
            <v>STAIN INTERIOR</v>
          </cell>
        </row>
        <row r="1206">
          <cell r="C1206" t="str">
            <v>100002011</v>
          </cell>
          <cell r="D1206" t="str">
            <v>SST-11100 12 A SK VN-20LJ</v>
          </cell>
          <cell r="E1206" t="str">
            <v>ZFGD</v>
          </cell>
          <cell r="F1206" t="str">
            <v>PC</v>
          </cell>
          <cell r="G1206" t="str">
            <v>1</v>
          </cell>
          <cell r="H1206" t="str">
            <v>INDUSTRY</v>
          </cell>
          <cell r="I1206" t="str">
            <v>11</v>
          </cell>
          <cell r="J1206" t="str">
            <v>WOOD COATINGS</v>
          </cell>
          <cell r="K1206" t="str">
            <v>1109</v>
          </cell>
          <cell r="L1206" t="str">
            <v>STAIN &amp; GLAZE INTERIOR</v>
          </cell>
          <cell r="M1206" t="str">
            <v>110903</v>
          </cell>
          <cell r="N1206" t="str">
            <v>STAIN INTERIOR</v>
          </cell>
        </row>
        <row r="1207">
          <cell r="C1207" t="str">
            <v>100002012</v>
          </cell>
          <cell r="D1207" t="str">
            <v>SST-11100 12 B SK VN-20LJ</v>
          </cell>
          <cell r="E1207" t="str">
            <v>ZFGD</v>
          </cell>
          <cell r="F1207" t="str">
            <v>PC</v>
          </cell>
          <cell r="G1207" t="str">
            <v>1</v>
          </cell>
          <cell r="H1207" t="str">
            <v>INDUSTRY</v>
          </cell>
          <cell r="I1207" t="str">
            <v>11</v>
          </cell>
          <cell r="J1207" t="str">
            <v>WOOD COATINGS</v>
          </cell>
          <cell r="K1207" t="str">
            <v>1109</v>
          </cell>
          <cell r="L1207" t="str">
            <v>STAIN &amp; GLAZE INTERIOR</v>
          </cell>
          <cell r="M1207" t="str">
            <v>110903</v>
          </cell>
          <cell r="N1207" t="str">
            <v>STAIN INTERIOR</v>
          </cell>
        </row>
        <row r="1208">
          <cell r="C1208" t="str">
            <v>100002013</v>
          </cell>
          <cell r="D1208" t="str">
            <v>PUH-1511 A1 MLY-16LJ</v>
          </cell>
          <cell r="E1208" t="str">
            <v>ZFGD</v>
          </cell>
          <cell r="F1208" t="str">
            <v>PC</v>
          </cell>
          <cell r="G1208" t="str">
            <v>1</v>
          </cell>
          <cell r="H1208" t="str">
            <v>INDUSTRY</v>
          </cell>
          <cell r="I1208" t="str">
            <v>11</v>
          </cell>
          <cell r="J1208" t="str">
            <v>WOOD COATINGS</v>
          </cell>
          <cell r="K1208" t="str">
            <v>1103</v>
          </cell>
          <cell r="L1208" t="str">
            <v>PU</v>
          </cell>
          <cell r="M1208" t="str">
            <v>110320</v>
          </cell>
          <cell r="N1208" t="str">
            <v>PU HARDENER</v>
          </cell>
        </row>
        <row r="1209">
          <cell r="C1209" t="str">
            <v>100002014</v>
          </cell>
          <cell r="D1209" t="str">
            <v>MEP-12003 GREEN AB VN-20KP</v>
          </cell>
          <cell r="E1209" t="str">
            <v>ZFGD</v>
          </cell>
          <cell r="F1209" t="str">
            <v>PC</v>
          </cell>
          <cell r="G1209" t="str">
            <v>1</v>
          </cell>
          <cell r="H1209" t="str">
            <v>INDUSTRY</v>
          </cell>
          <cell r="I1209" t="str">
            <v>16</v>
          </cell>
          <cell r="J1209" t="str">
            <v>METAL COATINGS</v>
          </cell>
          <cell r="K1209" t="str">
            <v>1601</v>
          </cell>
          <cell r="L1209" t="str">
            <v>METAL COATINGS</v>
          </cell>
          <cell r="M1209" t="str">
            <v>160101</v>
          </cell>
          <cell r="N1209" t="str">
            <v>METAL COATINGS</v>
          </cell>
        </row>
        <row r="1210">
          <cell r="C1210" t="str">
            <v>100002015</v>
          </cell>
          <cell r="D1210" t="str">
            <v>MEP-12003 RED DP VN-20KP</v>
          </cell>
          <cell r="E1210" t="str">
            <v>ZFGD</v>
          </cell>
          <cell r="F1210" t="str">
            <v>PC</v>
          </cell>
          <cell r="G1210" t="str">
            <v>1</v>
          </cell>
          <cell r="H1210" t="str">
            <v>INDUSTRY</v>
          </cell>
          <cell r="I1210" t="str">
            <v>16</v>
          </cell>
          <cell r="J1210" t="str">
            <v>METAL COATINGS</v>
          </cell>
          <cell r="K1210" t="str">
            <v>1601</v>
          </cell>
          <cell r="L1210" t="str">
            <v>METAL COATINGS</v>
          </cell>
          <cell r="M1210" t="str">
            <v>160101</v>
          </cell>
          <cell r="N1210" t="str">
            <v>METAL COATINGS</v>
          </cell>
        </row>
        <row r="1211">
          <cell r="C1211" t="str">
            <v>100002016</v>
          </cell>
          <cell r="D1211" t="str">
            <v>MEP-12003 GREEN DP VN-20KP</v>
          </cell>
          <cell r="E1211" t="str">
            <v>ZFGD</v>
          </cell>
          <cell r="F1211" t="str">
            <v>PC</v>
          </cell>
          <cell r="G1211" t="str">
            <v>1</v>
          </cell>
          <cell r="H1211" t="str">
            <v>INDUSTRY</v>
          </cell>
          <cell r="I1211" t="str">
            <v>16</v>
          </cell>
          <cell r="J1211" t="str">
            <v>METAL COATINGS</v>
          </cell>
          <cell r="K1211" t="str">
            <v>1601</v>
          </cell>
          <cell r="L1211" t="str">
            <v>METAL COATINGS</v>
          </cell>
          <cell r="M1211" t="str">
            <v>160101</v>
          </cell>
          <cell r="N1211" t="str">
            <v>METAL COATINGS</v>
          </cell>
        </row>
        <row r="1212">
          <cell r="C1212" t="str">
            <v>100002017</v>
          </cell>
          <cell r="D1212" t="str">
            <v>SST-11100 OPI A GE VN-20LJ</v>
          </cell>
          <cell r="E1212" t="str">
            <v>ZFGD</v>
          </cell>
          <cell r="F1212" t="str">
            <v>PC</v>
          </cell>
          <cell r="G1212" t="str">
            <v>1</v>
          </cell>
          <cell r="H1212" t="str">
            <v>INDUSTRY</v>
          </cell>
          <cell r="I1212" t="str">
            <v>11</v>
          </cell>
          <cell r="J1212" t="str">
            <v>WOOD COATINGS</v>
          </cell>
          <cell r="K1212" t="str">
            <v>1109</v>
          </cell>
          <cell r="L1212" t="str">
            <v>STAIN &amp; GLAZE INTERIOR</v>
          </cell>
          <cell r="M1212" t="str">
            <v>110903</v>
          </cell>
          <cell r="N1212" t="str">
            <v>STAIN INTERIOR</v>
          </cell>
        </row>
        <row r="1213">
          <cell r="C1213" t="str">
            <v>100002018</v>
          </cell>
          <cell r="D1213" t="str">
            <v>PCA-31100 OPI B GE VN-20LJ</v>
          </cell>
          <cell r="E1213" t="str">
            <v>ZFGD</v>
          </cell>
          <cell r="F1213" t="str">
            <v>PC</v>
          </cell>
          <cell r="G1213" t="str">
            <v>1</v>
          </cell>
          <cell r="H1213" t="str">
            <v>INDUSTRY</v>
          </cell>
          <cell r="I1213" t="str">
            <v>11</v>
          </cell>
          <cell r="J1213" t="str">
            <v>WOOD COATINGS</v>
          </cell>
          <cell r="K1213" t="str">
            <v>1118</v>
          </cell>
          <cell r="L1213" t="str">
            <v>COMPLEMENTARY</v>
          </cell>
          <cell r="M1213" t="str">
            <v>111807</v>
          </cell>
          <cell r="N1213" t="str">
            <v>PASTA</v>
          </cell>
        </row>
        <row r="1214">
          <cell r="C1214" t="str">
            <v>100002019</v>
          </cell>
          <cell r="D1214" t="str">
            <v>PCA-31100 OPI C GE VN-20LJ</v>
          </cell>
          <cell r="E1214" t="str">
            <v>ZFGD</v>
          </cell>
          <cell r="F1214" t="str">
            <v>PC</v>
          </cell>
          <cell r="G1214" t="str">
            <v>1</v>
          </cell>
          <cell r="H1214" t="str">
            <v>INDUSTRY</v>
          </cell>
          <cell r="I1214" t="str">
            <v>11</v>
          </cell>
          <cell r="J1214" t="str">
            <v>WOOD COATINGS</v>
          </cell>
          <cell r="K1214" t="str">
            <v>1118</v>
          </cell>
          <cell r="L1214" t="str">
            <v>COMPLEMENTARY</v>
          </cell>
          <cell r="M1214" t="str">
            <v>111807</v>
          </cell>
          <cell r="N1214" t="str">
            <v>PASTA</v>
          </cell>
        </row>
        <row r="1215">
          <cell r="C1215" t="str">
            <v>100002020</v>
          </cell>
          <cell r="D1215" t="str">
            <v>PG-13900 OPTION GE VN-20KP</v>
          </cell>
          <cell r="E1215" t="str">
            <v>ZFGD</v>
          </cell>
          <cell r="F1215" t="str">
            <v>PC</v>
          </cell>
          <cell r="G1215" t="str">
            <v>1</v>
          </cell>
          <cell r="H1215" t="str">
            <v>INDUSTRY</v>
          </cell>
          <cell r="I1215" t="str">
            <v>11</v>
          </cell>
          <cell r="J1215" t="str">
            <v>WOOD COATINGS</v>
          </cell>
          <cell r="K1215" t="str">
            <v>1109</v>
          </cell>
          <cell r="L1215" t="str">
            <v>STAIN &amp; GLAZE INTERIOR</v>
          </cell>
          <cell r="M1215" t="str">
            <v>110901</v>
          </cell>
          <cell r="N1215" t="str">
            <v>ASOF : STAIN &amp; GLAZE</v>
          </cell>
        </row>
        <row r="1216">
          <cell r="C1216" t="str">
            <v>100002021</v>
          </cell>
          <cell r="D1216" t="str">
            <v>PUC-54206 AC EX GREEN 70 DP VN-20KP</v>
          </cell>
          <cell r="E1216" t="str">
            <v>ZFGD</v>
          </cell>
          <cell r="F1216" t="str">
            <v>PC</v>
          </cell>
          <cell r="G1216" t="str">
            <v>1</v>
          </cell>
          <cell r="H1216" t="str">
            <v>INDUSTRY</v>
          </cell>
          <cell r="I1216" t="str">
            <v>11</v>
          </cell>
          <cell r="J1216" t="str">
            <v>WOOD COATINGS</v>
          </cell>
          <cell r="K1216" t="str">
            <v>1103</v>
          </cell>
          <cell r="L1216" t="str">
            <v>PU</v>
          </cell>
          <cell r="M1216" t="str">
            <v>110319</v>
          </cell>
          <cell r="N1216" t="str">
            <v>PU COLOR</v>
          </cell>
        </row>
        <row r="1217">
          <cell r="C1217" t="str">
            <v>100002022</v>
          </cell>
          <cell r="D1217" t="str">
            <v>PUC-54206 AC EX RED 90 DP VN-20KP</v>
          </cell>
          <cell r="E1217" t="str">
            <v>ZFGD</v>
          </cell>
          <cell r="F1217" t="str">
            <v>PC</v>
          </cell>
          <cell r="G1217" t="str">
            <v>1</v>
          </cell>
          <cell r="H1217" t="str">
            <v>INDUSTRY</v>
          </cell>
          <cell r="I1217" t="str">
            <v>11</v>
          </cell>
          <cell r="J1217" t="str">
            <v>WOOD COATINGS</v>
          </cell>
          <cell r="K1217" t="str">
            <v>1103</v>
          </cell>
          <cell r="L1217" t="str">
            <v>PU</v>
          </cell>
          <cell r="M1217" t="str">
            <v>110319</v>
          </cell>
          <cell r="N1217" t="str">
            <v>PU COLOR</v>
          </cell>
        </row>
        <row r="1218">
          <cell r="C1218" t="str">
            <v>100002023</v>
          </cell>
          <cell r="D1218" t="str">
            <v>PUC-54206 AC EX TB 05 MK VN-20KP</v>
          </cell>
          <cell r="E1218" t="str">
            <v>ZFGD</v>
          </cell>
          <cell r="F1218" t="str">
            <v>PC</v>
          </cell>
          <cell r="G1218" t="str">
            <v>1</v>
          </cell>
          <cell r="H1218" t="str">
            <v>INDUSTRY</v>
          </cell>
          <cell r="I1218" t="str">
            <v>11</v>
          </cell>
          <cell r="J1218" t="str">
            <v>WOOD COATINGS</v>
          </cell>
          <cell r="K1218" t="str">
            <v>1103</v>
          </cell>
          <cell r="L1218" t="str">
            <v>PU</v>
          </cell>
          <cell r="M1218" t="str">
            <v>110319</v>
          </cell>
          <cell r="N1218" t="str">
            <v>PU COLOR</v>
          </cell>
        </row>
        <row r="1219">
          <cell r="C1219" t="str">
            <v>100002024</v>
          </cell>
          <cell r="D1219" t="str">
            <v>WPWB-81201 SL WHITE VN-30KP</v>
          </cell>
          <cell r="E1219" t="str">
            <v>ZFGD</v>
          </cell>
          <cell r="F1219" t="str">
            <v>PC</v>
          </cell>
          <cell r="G1219" t="str">
            <v>1</v>
          </cell>
          <cell r="H1219" t="str">
            <v>INDUSTRY</v>
          </cell>
          <cell r="I1219" t="str">
            <v>11</v>
          </cell>
          <cell r="J1219" t="str">
            <v>WOOD COATINGS</v>
          </cell>
          <cell r="K1219" t="str">
            <v>1119</v>
          </cell>
          <cell r="L1219" t="str">
            <v>WATERBASED</v>
          </cell>
          <cell r="M1219" t="str">
            <v>111902</v>
          </cell>
          <cell r="N1219" t="str">
            <v>WATERBASED SYSTEM INTERIOR</v>
          </cell>
        </row>
        <row r="1220">
          <cell r="C1220" t="str">
            <v>100002025</v>
          </cell>
          <cell r="D1220" t="str">
            <v>PUH-51205 VN-4K</v>
          </cell>
          <cell r="E1220" t="str">
            <v>ZFGD</v>
          </cell>
          <cell r="F1220" t="str">
            <v>PC</v>
          </cell>
          <cell r="G1220" t="str">
            <v>1</v>
          </cell>
          <cell r="H1220" t="str">
            <v>INDUSTRY</v>
          </cell>
          <cell r="I1220" t="str">
            <v>11</v>
          </cell>
          <cell r="J1220" t="str">
            <v>WOOD COATINGS</v>
          </cell>
          <cell r="K1220" t="str">
            <v>1103</v>
          </cell>
          <cell r="L1220" t="str">
            <v>PU</v>
          </cell>
          <cell r="M1220" t="str">
            <v>110320</v>
          </cell>
          <cell r="N1220" t="str">
            <v>PU HARDENER</v>
          </cell>
        </row>
        <row r="1221">
          <cell r="C1221" t="str">
            <v>100002026</v>
          </cell>
          <cell r="D1221" t="str">
            <v>PUH-56303 NY VN-16KP</v>
          </cell>
          <cell r="E1221" t="str">
            <v>ZFGD</v>
          </cell>
          <cell r="F1221" t="str">
            <v>PC</v>
          </cell>
          <cell r="G1221" t="str">
            <v>1</v>
          </cell>
          <cell r="H1221" t="str">
            <v>INDUSTRY</v>
          </cell>
          <cell r="I1221" t="str">
            <v>11</v>
          </cell>
          <cell r="J1221" t="str">
            <v>WOOD COATINGS</v>
          </cell>
          <cell r="K1221" t="str">
            <v>1103</v>
          </cell>
          <cell r="L1221" t="str">
            <v>PU</v>
          </cell>
          <cell r="M1221" t="str">
            <v>110320</v>
          </cell>
          <cell r="N1221" t="str">
            <v>PU HARDENER</v>
          </cell>
        </row>
        <row r="1222">
          <cell r="C1222" t="str">
            <v>100002027</v>
          </cell>
          <cell r="D1222" t="str">
            <v>MPUC-13600 TEXTURE BROWN KI VN-16KP</v>
          </cell>
          <cell r="E1222" t="str">
            <v>ZFGD</v>
          </cell>
          <cell r="F1222" t="str">
            <v>PC</v>
          </cell>
          <cell r="G1222" t="str">
            <v>1</v>
          </cell>
          <cell r="H1222" t="str">
            <v>INDUSTRY</v>
          </cell>
          <cell r="I1222" t="str">
            <v>16</v>
          </cell>
          <cell r="J1222" t="str">
            <v>METAL COATINGS</v>
          </cell>
          <cell r="K1222" t="str">
            <v>1601</v>
          </cell>
          <cell r="L1222" t="str">
            <v>METAL COATINGS</v>
          </cell>
          <cell r="M1222" t="str">
            <v>160101</v>
          </cell>
          <cell r="N1222" t="str">
            <v>METAL COATINGS</v>
          </cell>
        </row>
        <row r="1223">
          <cell r="C1223" t="str">
            <v>100002028</v>
          </cell>
          <cell r="D1223" t="str">
            <v>MPUC-13600 IRISH WHITE 50 VN-16KP</v>
          </cell>
          <cell r="E1223" t="str">
            <v>ZFGD</v>
          </cell>
          <cell r="F1223" t="str">
            <v>PC</v>
          </cell>
          <cell r="G1223" t="str">
            <v>1</v>
          </cell>
          <cell r="H1223" t="str">
            <v>INDUSTRY</v>
          </cell>
          <cell r="I1223" t="str">
            <v>16</v>
          </cell>
          <cell r="J1223" t="str">
            <v>METAL COATINGS</v>
          </cell>
          <cell r="K1223" t="str">
            <v>1601</v>
          </cell>
          <cell r="L1223" t="str">
            <v>METAL COATINGS</v>
          </cell>
          <cell r="M1223" t="str">
            <v>160101</v>
          </cell>
          <cell r="N1223" t="str">
            <v>METAL COATINGS</v>
          </cell>
        </row>
        <row r="1224">
          <cell r="C1224" t="str">
            <v>100002029</v>
          </cell>
          <cell r="D1224" t="str">
            <v>MPUC-13600 DARK BLUE MH 01 20 VN-16KP</v>
          </cell>
          <cell r="E1224" t="str">
            <v>ZFGD</v>
          </cell>
          <cell r="F1224" t="str">
            <v>PC</v>
          </cell>
          <cell r="G1224" t="str">
            <v>1</v>
          </cell>
          <cell r="H1224" t="str">
            <v>INDUSTRY</v>
          </cell>
          <cell r="I1224" t="str">
            <v>16</v>
          </cell>
          <cell r="J1224" t="str">
            <v>METAL COATINGS</v>
          </cell>
          <cell r="K1224" t="str">
            <v>1601</v>
          </cell>
          <cell r="L1224" t="str">
            <v>METAL COATINGS</v>
          </cell>
          <cell r="M1224" t="str">
            <v>160101</v>
          </cell>
          <cell r="N1224" t="str">
            <v>METAL COATINGS</v>
          </cell>
        </row>
        <row r="1225">
          <cell r="C1225" t="str">
            <v>100002030</v>
          </cell>
          <cell r="D1225" t="str">
            <v>26-4020 URT WHITE A-16KP</v>
          </cell>
          <cell r="E1225" t="str">
            <v>ZFGD</v>
          </cell>
          <cell r="F1225" t="str">
            <v>PC</v>
          </cell>
          <cell r="G1225" t="str">
            <v>1</v>
          </cell>
          <cell r="H1225" t="str">
            <v>INDUSTRY</v>
          </cell>
          <cell r="I1225" t="str">
            <v>11</v>
          </cell>
          <cell r="J1225" t="str">
            <v>WOOD COATINGS</v>
          </cell>
          <cell r="K1225" t="str">
            <v>1103</v>
          </cell>
          <cell r="L1225" t="str">
            <v>PU</v>
          </cell>
          <cell r="M1225" t="str">
            <v>110312</v>
          </cell>
          <cell r="N1225" t="str">
            <v>UNION TOP COAT</v>
          </cell>
        </row>
        <row r="1226">
          <cell r="C1226" t="str">
            <v>100002031</v>
          </cell>
          <cell r="D1226" t="str">
            <v>82-4020 UE AF URT WHITE A-16KP</v>
          </cell>
          <cell r="E1226" t="str">
            <v>ZFGD</v>
          </cell>
          <cell r="F1226" t="str">
            <v>PC</v>
          </cell>
          <cell r="G1226" t="str">
            <v>1</v>
          </cell>
          <cell r="H1226" t="str">
            <v>INDUSTRY</v>
          </cell>
          <cell r="I1226" t="str">
            <v>11</v>
          </cell>
          <cell r="J1226" t="str">
            <v>WOOD COATINGS</v>
          </cell>
          <cell r="K1226" t="str">
            <v>1103</v>
          </cell>
          <cell r="L1226" t="str">
            <v>PU</v>
          </cell>
          <cell r="M1226" t="str">
            <v>110312</v>
          </cell>
          <cell r="N1226" t="str">
            <v>UNION TOP COAT</v>
          </cell>
        </row>
        <row r="1227">
          <cell r="C1227" t="str">
            <v>100002032</v>
          </cell>
          <cell r="D1227" t="str">
            <v>AD-61100 641 VN-20LJ</v>
          </cell>
          <cell r="E1227" t="str">
            <v>ZFGD</v>
          </cell>
          <cell r="F1227" t="str">
            <v>PC</v>
          </cell>
          <cell r="G1227" t="str">
            <v>1</v>
          </cell>
          <cell r="H1227" t="str">
            <v>INDUSTRY</v>
          </cell>
          <cell r="I1227" t="str">
            <v>11</v>
          </cell>
          <cell r="J1227" t="str">
            <v>WOOD COATINGS</v>
          </cell>
          <cell r="K1227" t="str">
            <v>1118</v>
          </cell>
          <cell r="L1227" t="str">
            <v>COMPLEMENTARY</v>
          </cell>
          <cell r="M1227" t="str">
            <v>111801</v>
          </cell>
          <cell r="N1227" t="str">
            <v>ADDITIVES</v>
          </cell>
        </row>
        <row r="1228">
          <cell r="C1228" t="str">
            <v>100002033</v>
          </cell>
          <cell r="D1228" t="str">
            <v>AKS-71100 WP NATURAL VN-20KP</v>
          </cell>
          <cell r="E1228" t="str">
            <v>ZFGD</v>
          </cell>
          <cell r="F1228" t="str">
            <v>PC</v>
          </cell>
          <cell r="G1228" t="str">
            <v>1</v>
          </cell>
          <cell r="H1228" t="str">
            <v>INDUSTRY</v>
          </cell>
          <cell r="I1228" t="str">
            <v>11</v>
          </cell>
          <cell r="J1228" t="str">
            <v>WOOD COATINGS</v>
          </cell>
          <cell r="K1228" t="str">
            <v>1101</v>
          </cell>
          <cell r="L1228" t="str">
            <v>ALKYD OIL</v>
          </cell>
          <cell r="M1228" t="str">
            <v>110101</v>
          </cell>
          <cell r="N1228" t="str">
            <v>ALKYD &amp; OIL SYSTEM</v>
          </cell>
        </row>
        <row r="1229">
          <cell r="C1229" t="str">
            <v>100002034</v>
          </cell>
          <cell r="D1229" t="str">
            <v>DC-12201 ALC BLACK 04 VL VN-18LP</v>
          </cell>
          <cell r="E1229" t="str">
            <v>ZFGD</v>
          </cell>
          <cell r="F1229" t="str">
            <v>PC</v>
          </cell>
          <cell r="G1229" t="str">
            <v>1</v>
          </cell>
          <cell r="H1229" t="str">
            <v>INDUSTRY</v>
          </cell>
          <cell r="I1229" t="str">
            <v>11</v>
          </cell>
          <cell r="J1229" t="str">
            <v>WOOD COATINGS</v>
          </cell>
          <cell r="K1229" t="str">
            <v>1104</v>
          </cell>
          <cell r="L1229" t="str">
            <v>NC</v>
          </cell>
          <cell r="M1229" t="str">
            <v>110405</v>
          </cell>
          <cell r="N1229" t="str">
            <v>NC SYSTEM</v>
          </cell>
        </row>
        <row r="1230">
          <cell r="C1230" t="str">
            <v>100002035</v>
          </cell>
          <cell r="D1230" t="str">
            <v>EQ-10200 ALDER 01 MR SV VN-20LJ</v>
          </cell>
          <cell r="E1230" t="str">
            <v>ZFGD</v>
          </cell>
          <cell r="F1230" t="str">
            <v>PC</v>
          </cell>
          <cell r="G1230" t="str">
            <v>1</v>
          </cell>
          <cell r="H1230" t="str">
            <v>INDUSTRY</v>
          </cell>
          <cell r="I1230" t="str">
            <v>11</v>
          </cell>
          <cell r="J1230" t="str">
            <v>WOOD COATINGS</v>
          </cell>
          <cell r="K1230" t="str">
            <v>1109</v>
          </cell>
          <cell r="L1230" t="str">
            <v>STAIN &amp; GLAZE INTERIOR</v>
          </cell>
          <cell r="M1230" t="str">
            <v>110901</v>
          </cell>
          <cell r="N1230" t="str">
            <v>ASOF : STAIN &amp; GLAZE</v>
          </cell>
        </row>
        <row r="1231">
          <cell r="C1231" t="str">
            <v>100002036</v>
          </cell>
          <cell r="D1231" t="str">
            <v>EQ-10200 DARK BROWN SC VN-20LJ</v>
          </cell>
          <cell r="E1231" t="str">
            <v>ZFGD</v>
          </cell>
          <cell r="F1231" t="str">
            <v>PC</v>
          </cell>
          <cell r="G1231" t="str">
            <v>1</v>
          </cell>
          <cell r="H1231" t="str">
            <v>INDUSTRY</v>
          </cell>
          <cell r="I1231" t="str">
            <v>11</v>
          </cell>
          <cell r="J1231" t="str">
            <v>WOOD COATINGS</v>
          </cell>
          <cell r="K1231" t="str">
            <v>1109</v>
          </cell>
          <cell r="L1231" t="str">
            <v>STAIN &amp; GLAZE INTERIOR</v>
          </cell>
          <cell r="M1231" t="str">
            <v>110901</v>
          </cell>
          <cell r="N1231" t="str">
            <v>ASOF : STAIN &amp; GLAZE</v>
          </cell>
        </row>
        <row r="1232">
          <cell r="C1232" t="str">
            <v>100002037</v>
          </cell>
          <cell r="D1232" t="str">
            <v>EQ-10200 DV 02 PI VN-20LJ</v>
          </cell>
          <cell r="E1232" t="str">
            <v>ZFGD</v>
          </cell>
          <cell r="F1232" t="str">
            <v>PC</v>
          </cell>
          <cell r="G1232" t="str">
            <v>1</v>
          </cell>
          <cell r="H1232" t="str">
            <v>INDUSTRY</v>
          </cell>
          <cell r="I1232" t="str">
            <v>11</v>
          </cell>
          <cell r="J1232" t="str">
            <v>WOOD COATINGS</v>
          </cell>
          <cell r="K1232" t="str">
            <v>1109</v>
          </cell>
          <cell r="L1232" t="str">
            <v>STAIN &amp; GLAZE INTERIOR</v>
          </cell>
          <cell r="M1232" t="str">
            <v>110901</v>
          </cell>
          <cell r="N1232" t="str">
            <v>ASOF : STAIN &amp; GLAZE</v>
          </cell>
        </row>
        <row r="1233">
          <cell r="C1233" t="str">
            <v>100002038</v>
          </cell>
          <cell r="D1233" t="str">
            <v>EQ-10200 MTT 01 TM VN-20LJ</v>
          </cell>
          <cell r="E1233" t="str">
            <v>ZFGD</v>
          </cell>
          <cell r="F1233" t="str">
            <v>PC</v>
          </cell>
          <cell r="G1233" t="str">
            <v>1</v>
          </cell>
          <cell r="H1233" t="str">
            <v>INDUSTRY</v>
          </cell>
          <cell r="I1233" t="str">
            <v>11</v>
          </cell>
          <cell r="J1233" t="str">
            <v>WOOD COATINGS</v>
          </cell>
          <cell r="K1233" t="str">
            <v>1109</v>
          </cell>
          <cell r="L1233" t="str">
            <v>STAIN &amp; GLAZE INTERIOR</v>
          </cell>
          <cell r="M1233" t="str">
            <v>110901</v>
          </cell>
          <cell r="N1233" t="str">
            <v>ASOF : STAIN &amp; GLAZE</v>
          </cell>
        </row>
        <row r="1234">
          <cell r="C1234" t="str">
            <v>100002039</v>
          </cell>
          <cell r="D1234" t="str">
            <v>MEPH-12003 PS VN-2K</v>
          </cell>
          <cell r="E1234" t="str">
            <v>ZFGD</v>
          </cell>
          <cell r="F1234" t="str">
            <v>PC</v>
          </cell>
          <cell r="G1234" t="str">
            <v>1</v>
          </cell>
          <cell r="H1234" t="str">
            <v>INDUSTRY</v>
          </cell>
          <cell r="I1234" t="str">
            <v>16</v>
          </cell>
          <cell r="J1234" t="str">
            <v>METAL COATINGS</v>
          </cell>
          <cell r="K1234" t="str">
            <v>1601</v>
          </cell>
          <cell r="L1234" t="str">
            <v>METAL COATINGS</v>
          </cell>
          <cell r="M1234" t="str">
            <v>160101</v>
          </cell>
          <cell r="N1234" t="str">
            <v>METAL COATINGS</v>
          </cell>
        </row>
        <row r="1235">
          <cell r="C1235" t="str">
            <v>100002040</v>
          </cell>
          <cell r="D1235" t="str">
            <v>PUH-56303 NY VN-4K</v>
          </cell>
          <cell r="E1235" t="str">
            <v>ZFGD</v>
          </cell>
          <cell r="F1235" t="str">
            <v>PC</v>
          </cell>
          <cell r="G1235" t="str">
            <v>1</v>
          </cell>
          <cell r="H1235" t="str">
            <v>INDUSTRY</v>
          </cell>
          <cell r="I1235" t="str">
            <v>11</v>
          </cell>
          <cell r="J1235" t="str">
            <v>WOOD COATINGS</v>
          </cell>
          <cell r="K1235" t="str">
            <v>1103</v>
          </cell>
          <cell r="L1235" t="str">
            <v>PU</v>
          </cell>
          <cell r="M1235" t="str">
            <v>110320</v>
          </cell>
          <cell r="N1235" t="str">
            <v>PU HARDENER</v>
          </cell>
        </row>
        <row r="1236">
          <cell r="C1236" t="str">
            <v>100002041</v>
          </cell>
          <cell r="D1236" t="str">
            <v>UVP-60501 BLACK SC VN-20KP</v>
          </cell>
          <cell r="E1236" t="str">
            <v>ZFGD</v>
          </cell>
          <cell r="F1236" t="str">
            <v>PC</v>
          </cell>
          <cell r="G1236" t="str">
            <v>1</v>
          </cell>
          <cell r="H1236" t="str">
            <v>INDUSTRY</v>
          </cell>
          <cell r="I1236" t="str">
            <v>11</v>
          </cell>
          <cell r="J1236" t="str">
            <v>WOOD COATINGS</v>
          </cell>
          <cell r="K1236" t="str">
            <v>1106</v>
          </cell>
          <cell r="L1236" t="str">
            <v>UV</v>
          </cell>
          <cell r="M1236" t="str">
            <v>110604</v>
          </cell>
          <cell r="N1236" t="str">
            <v>UV PRIMER</v>
          </cell>
        </row>
        <row r="1237">
          <cell r="C1237" t="str">
            <v>100002042</v>
          </cell>
          <cell r="D1237" t="str">
            <v>MPULH-13700 PS VN-4K</v>
          </cell>
          <cell r="E1237" t="str">
            <v>ZFGD</v>
          </cell>
          <cell r="F1237" t="str">
            <v>PC</v>
          </cell>
          <cell r="G1237" t="str">
            <v>1</v>
          </cell>
          <cell r="H1237" t="str">
            <v>INDUSTRY</v>
          </cell>
          <cell r="I1237" t="str">
            <v>16</v>
          </cell>
          <cell r="J1237" t="str">
            <v>METAL COATINGS</v>
          </cell>
          <cell r="K1237" t="str">
            <v>1601</v>
          </cell>
          <cell r="L1237" t="str">
            <v>METAL COATINGS</v>
          </cell>
          <cell r="M1237" t="str">
            <v>160101</v>
          </cell>
          <cell r="N1237" t="str">
            <v>METAL COATINGS</v>
          </cell>
        </row>
        <row r="1238">
          <cell r="C1238" t="str">
            <v>100002043</v>
          </cell>
          <cell r="D1238" t="str">
            <v>SPE-9110 CRACKING VN-4L</v>
          </cell>
          <cell r="E1238" t="str">
            <v>ZFGD</v>
          </cell>
          <cell r="F1238" t="str">
            <v>PC</v>
          </cell>
          <cell r="G1238" t="str">
            <v>1</v>
          </cell>
          <cell r="H1238" t="str">
            <v>INDUSTRY</v>
          </cell>
          <cell r="I1238" t="str">
            <v>11</v>
          </cell>
          <cell r="J1238" t="str">
            <v>WOOD COATINGS</v>
          </cell>
          <cell r="K1238" t="str">
            <v>1118</v>
          </cell>
          <cell r="L1238" t="str">
            <v>COMPLEMENTARY</v>
          </cell>
          <cell r="M1238" t="str">
            <v>111803</v>
          </cell>
          <cell r="N1238" t="str">
            <v>COMPLEMENT PRODUCT</v>
          </cell>
        </row>
        <row r="1239">
          <cell r="C1239" t="str">
            <v>100002044</v>
          </cell>
          <cell r="D1239" t="str">
            <v>WPWB-81201 WHITE VN-20KP</v>
          </cell>
          <cell r="E1239" t="str">
            <v>ZFGD</v>
          </cell>
          <cell r="F1239" t="str">
            <v>PC</v>
          </cell>
          <cell r="G1239" t="str">
            <v>1</v>
          </cell>
          <cell r="H1239" t="str">
            <v>INDUSTRY</v>
          </cell>
          <cell r="I1239" t="str">
            <v>11</v>
          </cell>
          <cell r="J1239" t="str">
            <v>WOOD COATINGS</v>
          </cell>
          <cell r="K1239" t="str">
            <v>1119</v>
          </cell>
          <cell r="L1239" t="str">
            <v>WATERBASED</v>
          </cell>
          <cell r="M1239" t="str">
            <v>111902</v>
          </cell>
          <cell r="N1239" t="str">
            <v>WATERBASED SYSTEM INTERIOR</v>
          </cell>
        </row>
        <row r="1240">
          <cell r="C1240" t="str">
            <v>100002045</v>
          </cell>
          <cell r="D1240" t="str">
            <v>WPWB-81204 LC BLACK JKN-30KP</v>
          </cell>
          <cell r="E1240" t="str">
            <v>ZFGD</v>
          </cell>
          <cell r="F1240" t="str">
            <v>PC</v>
          </cell>
          <cell r="G1240" t="str">
            <v>1</v>
          </cell>
          <cell r="H1240" t="str">
            <v>INDUSTRY</v>
          </cell>
          <cell r="I1240" t="str">
            <v>11</v>
          </cell>
          <cell r="J1240" t="str">
            <v>WOOD COATINGS</v>
          </cell>
          <cell r="K1240" t="str">
            <v>1119</v>
          </cell>
          <cell r="L1240" t="str">
            <v>WATERBASED</v>
          </cell>
          <cell r="M1240" t="str">
            <v>111902</v>
          </cell>
          <cell r="N1240" t="str">
            <v>WATERBASED SYSTEM INTERIOR</v>
          </cell>
        </row>
        <row r="1241">
          <cell r="C1241" t="str">
            <v>100002046</v>
          </cell>
          <cell r="D1241" t="str">
            <v>SST-11100 BROWN HANSSEM TT VN-20LJ</v>
          </cell>
          <cell r="E1241" t="str">
            <v>ZFGD</v>
          </cell>
          <cell r="F1241" t="str">
            <v>PC</v>
          </cell>
          <cell r="G1241" t="str">
            <v>1</v>
          </cell>
          <cell r="H1241" t="str">
            <v>INDUSTRY</v>
          </cell>
          <cell r="I1241" t="str">
            <v>11</v>
          </cell>
          <cell r="J1241" t="str">
            <v>WOOD COATINGS</v>
          </cell>
          <cell r="K1241" t="str">
            <v>1109</v>
          </cell>
          <cell r="L1241" t="str">
            <v>STAIN &amp; GLAZE INTERIOR</v>
          </cell>
          <cell r="M1241" t="str">
            <v>110903</v>
          </cell>
          <cell r="N1241" t="str">
            <v>STAIN INTERIOR</v>
          </cell>
        </row>
        <row r="1242">
          <cell r="C1242" t="str">
            <v>100002047</v>
          </cell>
          <cell r="D1242" t="str">
            <v>SST-11100 TT K 04 MOI TT VN-20LJ</v>
          </cell>
          <cell r="E1242" t="str">
            <v>ZFGD</v>
          </cell>
          <cell r="F1242" t="str">
            <v>PC</v>
          </cell>
          <cell r="G1242" t="str">
            <v>1</v>
          </cell>
          <cell r="H1242" t="str">
            <v>INDUSTRY</v>
          </cell>
          <cell r="I1242" t="str">
            <v>11</v>
          </cell>
          <cell r="J1242" t="str">
            <v>WOOD COATINGS</v>
          </cell>
          <cell r="K1242" t="str">
            <v>1109</v>
          </cell>
          <cell r="L1242" t="str">
            <v>STAIN &amp; GLAZE INTERIOR</v>
          </cell>
          <cell r="M1242" t="str">
            <v>110903</v>
          </cell>
          <cell r="N1242" t="str">
            <v>STAIN INTERIOR</v>
          </cell>
        </row>
        <row r="1243">
          <cell r="C1243" t="str">
            <v>100002048</v>
          </cell>
          <cell r="D1243" t="str">
            <v>SST-11100 CLR JESCICA 01 VW VN-20LJ</v>
          </cell>
          <cell r="E1243" t="str">
            <v>ZFGD</v>
          </cell>
          <cell r="F1243" t="str">
            <v>PC</v>
          </cell>
          <cell r="G1243" t="str">
            <v>1</v>
          </cell>
          <cell r="H1243" t="str">
            <v>INDUSTRY</v>
          </cell>
          <cell r="I1243" t="str">
            <v>11</v>
          </cell>
          <cell r="J1243" t="str">
            <v>WOOD COATINGS</v>
          </cell>
          <cell r="K1243" t="str">
            <v>1109</v>
          </cell>
          <cell r="L1243" t="str">
            <v>STAIN &amp; GLAZE INTERIOR</v>
          </cell>
          <cell r="M1243" t="str">
            <v>110903</v>
          </cell>
          <cell r="N1243" t="str">
            <v>STAIN INTERIOR</v>
          </cell>
        </row>
        <row r="1244">
          <cell r="C1244" t="str">
            <v>100002049</v>
          </cell>
          <cell r="D1244" t="str">
            <v>SST-11100 RUBI TRUONG 04 VW VN-20LJ</v>
          </cell>
          <cell r="E1244" t="str">
            <v>ZFGD</v>
          </cell>
          <cell r="F1244" t="str">
            <v>PC</v>
          </cell>
          <cell r="G1244" t="str">
            <v>1</v>
          </cell>
          <cell r="H1244" t="str">
            <v>INDUSTRY</v>
          </cell>
          <cell r="I1244" t="str">
            <v>11</v>
          </cell>
          <cell r="J1244" t="str">
            <v>WOOD COATINGS</v>
          </cell>
          <cell r="K1244" t="str">
            <v>1109</v>
          </cell>
          <cell r="L1244" t="str">
            <v>STAIN &amp; GLAZE INTERIOR</v>
          </cell>
          <cell r="M1244" t="str">
            <v>110903</v>
          </cell>
          <cell r="N1244" t="str">
            <v>STAIN INTERIOR</v>
          </cell>
        </row>
        <row r="1245">
          <cell r="C1245" t="str">
            <v>100002050</v>
          </cell>
          <cell r="D1245" t="str">
            <v>SST-11100 HYA 105 NF VN-20LJ</v>
          </cell>
          <cell r="E1245" t="str">
            <v>ZFGD</v>
          </cell>
          <cell r="F1245" t="str">
            <v>PC</v>
          </cell>
          <cell r="G1245" t="str">
            <v>1</v>
          </cell>
          <cell r="H1245" t="str">
            <v>INDUSTRY</v>
          </cell>
          <cell r="I1245" t="str">
            <v>11</v>
          </cell>
          <cell r="J1245" t="str">
            <v>WOOD COATINGS</v>
          </cell>
          <cell r="K1245" t="str">
            <v>1109</v>
          </cell>
          <cell r="L1245" t="str">
            <v>STAIN &amp; GLAZE INTERIOR</v>
          </cell>
          <cell r="M1245" t="str">
            <v>110903</v>
          </cell>
          <cell r="N1245" t="str">
            <v>STAIN INTERIOR</v>
          </cell>
        </row>
        <row r="1246">
          <cell r="C1246" t="str">
            <v>100002051</v>
          </cell>
          <cell r="D1246" t="str">
            <v>SST-11100 LBR TT VN-20LJ</v>
          </cell>
          <cell r="E1246" t="str">
            <v>ZFGD</v>
          </cell>
          <cell r="F1246" t="str">
            <v>PC</v>
          </cell>
          <cell r="G1246" t="str">
            <v>1</v>
          </cell>
          <cell r="H1246" t="str">
            <v>INDUSTRY</v>
          </cell>
          <cell r="I1246" t="str">
            <v>11</v>
          </cell>
          <cell r="J1246" t="str">
            <v>WOOD COATINGS</v>
          </cell>
          <cell r="K1246" t="str">
            <v>1109</v>
          </cell>
          <cell r="L1246" t="str">
            <v>STAIN &amp; GLAZE INTERIOR</v>
          </cell>
          <cell r="M1246" t="str">
            <v>110903</v>
          </cell>
          <cell r="N1246" t="str">
            <v>STAIN INTERIOR</v>
          </cell>
        </row>
        <row r="1247">
          <cell r="C1247" t="str">
            <v>100002052</v>
          </cell>
          <cell r="D1247" t="str">
            <v>SST-11100 RIFT MT VN-20LJ</v>
          </cell>
          <cell r="E1247" t="str">
            <v>ZFGD</v>
          </cell>
          <cell r="F1247" t="str">
            <v>PC</v>
          </cell>
          <cell r="G1247" t="str">
            <v>1</v>
          </cell>
          <cell r="H1247" t="str">
            <v>INDUSTRY</v>
          </cell>
          <cell r="I1247" t="str">
            <v>11</v>
          </cell>
          <cell r="J1247" t="str">
            <v>WOOD COATINGS</v>
          </cell>
          <cell r="K1247" t="str">
            <v>1109</v>
          </cell>
          <cell r="L1247" t="str">
            <v>STAIN &amp; GLAZE INTERIOR</v>
          </cell>
          <cell r="M1247" t="str">
            <v>110903</v>
          </cell>
          <cell r="N1247" t="str">
            <v>STAIN INTERIOR</v>
          </cell>
        </row>
        <row r="1248">
          <cell r="C1248" t="str">
            <v>100002053</v>
          </cell>
          <cell r="D1248" t="str">
            <v>SST-11100 221 A F1 VN-20LJ</v>
          </cell>
          <cell r="E1248" t="str">
            <v>ZFGD</v>
          </cell>
          <cell r="F1248" t="str">
            <v>PC</v>
          </cell>
          <cell r="G1248" t="str">
            <v>1</v>
          </cell>
          <cell r="H1248" t="str">
            <v>INDUSTRY</v>
          </cell>
          <cell r="I1248" t="str">
            <v>11</v>
          </cell>
          <cell r="J1248" t="str">
            <v>WOOD COATINGS</v>
          </cell>
          <cell r="K1248" t="str">
            <v>1109</v>
          </cell>
          <cell r="L1248" t="str">
            <v>STAIN &amp; GLAZE INTERIOR</v>
          </cell>
          <cell r="M1248" t="str">
            <v>110903</v>
          </cell>
          <cell r="N1248" t="str">
            <v>STAIN INTERIOR</v>
          </cell>
        </row>
        <row r="1249">
          <cell r="C1249" t="str">
            <v>100002054</v>
          </cell>
          <cell r="D1249" t="str">
            <v>SST-11100 CLR 162 F1 VN-20LJ</v>
          </cell>
          <cell r="E1249" t="str">
            <v>ZFGD</v>
          </cell>
          <cell r="F1249" t="str">
            <v>PC</v>
          </cell>
          <cell r="G1249" t="str">
            <v>1</v>
          </cell>
          <cell r="H1249" t="str">
            <v>INDUSTRY</v>
          </cell>
          <cell r="I1249" t="str">
            <v>11</v>
          </cell>
          <cell r="J1249" t="str">
            <v>WOOD COATINGS</v>
          </cell>
          <cell r="K1249" t="str">
            <v>1109</v>
          </cell>
          <cell r="L1249" t="str">
            <v>STAIN &amp; GLAZE INTERIOR</v>
          </cell>
          <cell r="M1249" t="str">
            <v>110903</v>
          </cell>
          <cell r="N1249" t="str">
            <v>STAIN INTERIOR</v>
          </cell>
        </row>
        <row r="1250">
          <cell r="C1250" t="str">
            <v>100002055</v>
          </cell>
          <cell r="D1250" t="str">
            <v>SST-11100 BANARIAZ A TL VN-20LJ</v>
          </cell>
          <cell r="E1250" t="str">
            <v>ZFGD</v>
          </cell>
          <cell r="F1250" t="str">
            <v>PC</v>
          </cell>
          <cell r="G1250" t="str">
            <v>1</v>
          </cell>
          <cell r="H1250" t="str">
            <v>INDUSTRY</v>
          </cell>
          <cell r="I1250" t="str">
            <v>11</v>
          </cell>
          <cell r="J1250" t="str">
            <v>WOOD COATINGS</v>
          </cell>
          <cell r="K1250" t="str">
            <v>1109</v>
          </cell>
          <cell r="L1250" t="str">
            <v>STAIN &amp; GLAZE INTERIOR</v>
          </cell>
          <cell r="M1250" t="str">
            <v>110903</v>
          </cell>
          <cell r="N1250" t="str">
            <v>STAIN INTERIOR</v>
          </cell>
        </row>
        <row r="1251">
          <cell r="C1251" t="str">
            <v>100002056</v>
          </cell>
          <cell r="D1251" t="str">
            <v>SST-11100 BANARIAZ B TL VN-20LJ</v>
          </cell>
          <cell r="E1251" t="str">
            <v>ZFGD</v>
          </cell>
          <cell r="F1251" t="str">
            <v>PC</v>
          </cell>
          <cell r="G1251" t="str">
            <v>1</v>
          </cell>
          <cell r="H1251" t="str">
            <v>INDUSTRY</v>
          </cell>
          <cell r="I1251" t="str">
            <v>11</v>
          </cell>
          <cell r="J1251" t="str">
            <v>WOOD COATINGS</v>
          </cell>
          <cell r="K1251" t="str">
            <v>1109</v>
          </cell>
          <cell r="L1251" t="str">
            <v>STAIN &amp; GLAZE INTERIOR</v>
          </cell>
          <cell r="M1251" t="str">
            <v>110903</v>
          </cell>
          <cell r="N1251" t="str">
            <v>STAIN INTERIOR</v>
          </cell>
        </row>
        <row r="1252">
          <cell r="C1252" t="str">
            <v>100002057</v>
          </cell>
          <cell r="D1252" t="str">
            <v>SST-11100 MAHOGANY AD VN-20LJ</v>
          </cell>
          <cell r="E1252" t="str">
            <v>ZFGD</v>
          </cell>
          <cell r="F1252" t="str">
            <v>PC</v>
          </cell>
          <cell r="G1252" t="str">
            <v>1</v>
          </cell>
          <cell r="H1252" t="str">
            <v>INDUSTRY</v>
          </cell>
          <cell r="I1252" t="str">
            <v>11</v>
          </cell>
          <cell r="J1252" t="str">
            <v>WOOD COATINGS</v>
          </cell>
          <cell r="K1252" t="str">
            <v>1109</v>
          </cell>
          <cell r="L1252" t="str">
            <v>STAIN &amp; GLAZE INTERIOR</v>
          </cell>
          <cell r="M1252" t="str">
            <v>110903</v>
          </cell>
          <cell r="N1252" t="str">
            <v>STAIN INTERIOR</v>
          </cell>
        </row>
        <row r="1253">
          <cell r="C1253" t="str">
            <v>100002058</v>
          </cell>
          <cell r="D1253" t="str">
            <v>PST-12100 OMIRAMI DB TT VN-20LJ</v>
          </cell>
          <cell r="E1253" t="str">
            <v>ZFGD</v>
          </cell>
          <cell r="F1253" t="str">
            <v>PC</v>
          </cell>
          <cell r="G1253" t="str">
            <v>1</v>
          </cell>
          <cell r="H1253" t="str">
            <v>INDUSTRY</v>
          </cell>
          <cell r="I1253" t="str">
            <v>11</v>
          </cell>
          <cell r="J1253" t="str">
            <v>WOOD COATINGS</v>
          </cell>
          <cell r="K1253" t="str">
            <v>1109</v>
          </cell>
          <cell r="L1253" t="str">
            <v>STAIN &amp; GLAZE INTERIOR</v>
          </cell>
          <cell r="M1253" t="str">
            <v>110903</v>
          </cell>
          <cell r="N1253" t="str">
            <v>STAIN INTERIOR</v>
          </cell>
        </row>
        <row r="1254">
          <cell r="C1254" t="str">
            <v>100002059</v>
          </cell>
          <cell r="D1254" t="str">
            <v>PST-12100 JESCICA 01 VW VN-20LJ</v>
          </cell>
          <cell r="E1254" t="str">
            <v>ZFGD</v>
          </cell>
          <cell r="F1254" t="str">
            <v>PC</v>
          </cell>
          <cell r="G1254" t="str">
            <v>1</v>
          </cell>
          <cell r="H1254" t="str">
            <v>INDUSTRY</v>
          </cell>
          <cell r="I1254" t="str">
            <v>11</v>
          </cell>
          <cell r="J1254" t="str">
            <v>WOOD COATINGS</v>
          </cell>
          <cell r="K1254" t="str">
            <v>1109</v>
          </cell>
          <cell r="L1254" t="str">
            <v>STAIN &amp; GLAZE INTERIOR</v>
          </cell>
          <cell r="M1254" t="str">
            <v>110903</v>
          </cell>
          <cell r="N1254" t="str">
            <v>STAIN INTERIOR</v>
          </cell>
        </row>
        <row r="1255">
          <cell r="C1255" t="str">
            <v>100002060</v>
          </cell>
          <cell r="D1255" t="str">
            <v>PST-12100 TTC 012 MT VN-20LJ</v>
          </cell>
          <cell r="E1255" t="str">
            <v>ZFGD</v>
          </cell>
          <cell r="F1255" t="str">
            <v>PC</v>
          </cell>
          <cell r="G1255" t="str">
            <v>1</v>
          </cell>
          <cell r="H1255" t="str">
            <v>INDUSTRY</v>
          </cell>
          <cell r="I1255" t="str">
            <v>11</v>
          </cell>
          <cell r="J1255" t="str">
            <v>WOOD COATINGS</v>
          </cell>
          <cell r="K1255" t="str">
            <v>1109</v>
          </cell>
          <cell r="L1255" t="str">
            <v>STAIN &amp; GLAZE INTERIOR</v>
          </cell>
          <cell r="M1255" t="str">
            <v>110903</v>
          </cell>
          <cell r="N1255" t="str">
            <v>STAIN INTERIOR</v>
          </cell>
        </row>
        <row r="1256">
          <cell r="C1256" t="str">
            <v>100002061</v>
          </cell>
          <cell r="D1256" t="str">
            <v>PUL-51310 CLEAR 50 SV VN-20LP</v>
          </cell>
          <cell r="E1256" t="str">
            <v>ZFGD</v>
          </cell>
          <cell r="F1256" t="str">
            <v>PC</v>
          </cell>
          <cell r="G1256" t="str">
            <v>1</v>
          </cell>
          <cell r="H1256" t="str">
            <v>INDUSTRY</v>
          </cell>
          <cell r="I1256" t="str">
            <v>11</v>
          </cell>
          <cell r="J1256" t="str">
            <v>WOOD COATINGS</v>
          </cell>
          <cell r="K1256" t="str">
            <v>1103</v>
          </cell>
          <cell r="L1256" t="str">
            <v>PU</v>
          </cell>
          <cell r="M1256" t="str">
            <v>110321</v>
          </cell>
          <cell r="N1256" t="str">
            <v>PU LACQUER</v>
          </cell>
        </row>
        <row r="1257">
          <cell r="C1257" t="str">
            <v>100002062</v>
          </cell>
          <cell r="D1257" t="str">
            <v>PUL-53306 AC EX CLEAR 70 VN-20LP</v>
          </cell>
          <cell r="E1257" t="str">
            <v>ZFGD</v>
          </cell>
          <cell r="F1257" t="str">
            <v>PC</v>
          </cell>
          <cell r="G1257" t="str">
            <v>1</v>
          </cell>
          <cell r="H1257" t="str">
            <v>INDUSTRY</v>
          </cell>
          <cell r="I1257" t="str">
            <v>11</v>
          </cell>
          <cell r="J1257" t="str">
            <v>WOOD COATINGS</v>
          </cell>
          <cell r="K1257" t="str">
            <v>1103</v>
          </cell>
          <cell r="L1257" t="str">
            <v>PU</v>
          </cell>
          <cell r="M1257" t="str">
            <v>110321</v>
          </cell>
          <cell r="N1257" t="str">
            <v>PU LACQUER</v>
          </cell>
        </row>
        <row r="1258">
          <cell r="C1258" t="str">
            <v>100002063</v>
          </cell>
          <cell r="D1258" t="str">
            <v>PUL-53306 AC EX CLEAR 20 KD VN-20LP</v>
          </cell>
          <cell r="E1258" t="str">
            <v>ZFGD</v>
          </cell>
          <cell r="F1258" t="str">
            <v>PC</v>
          </cell>
          <cell r="G1258" t="str">
            <v>1</v>
          </cell>
          <cell r="H1258" t="str">
            <v>INDUSTRY</v>
          </cell>
          <cell r="I1258" t="str">
            <v>11</v>
          </cell>
          <cell r="J1258" t="str">
            <v>WOOD COATINGS</v>
          </cell>
          <cell r="K1258" t="str">
            <v>1103</v>
          </cell>
          <cell r="L1258" t="str">
            <v>PU</v>
          </cell>
          <cell r="M1258" t="str">
            <v>110321</v>
          </cell>
          <cell r="N1258" t="str">
            <v>PU LACQUER</v>
          </cell>
        </row>
        <row r="1259">
          <cell r="C1259" t="str">
            <v>100002064</v>
          </cell>
          <cell r="D1259" t="str">
            <v>PUL-51341 CLEAR 15 VN-18KP</v>
          </cell>
          <cell r="E1259" t="str">
            <v>ZFGD</v>
          </cell>
          <cell r="F1259" t="str">
            <v>PC</v>
          </cell>
          <cell r="G1259" t="str">
            <v>1</v>
          </cell>
          <cell r="H1259" t="str">
            <v>INDUSTRY</v>
          </cell>
          <cell r="I1259" t="str">
            <v>11</v>
          </cell>
          <cell r="J1259" t="str">
            <v>WOOD COATINGS</v>
          </cell>
          <cell r="K1259" t="str">
            <v>1103</v>
          </cell>
          <cell r="L1259" t="str">
            <v>PU</v>
          </cell>
          <cell r="M1259" t="str">
            <v>110321</v>
          </cell>
          <cell r="N1259" t="str">
            <v>PU LACQUER</v>
          </cell>
        </row>
        <row r="1260">
          <cell r="C1260" t="str">
            <v>100002065</v>
          </cell>
          <cell r="D1260" t="str">
            <v>PUC-54206 AC EX 10 AN VN-20KP</v>
          </cell>
          <cell r="E1260" t="str">
            <v>ZFGD</v>
          </cell>
          <cell r="F1260" t="str">
            <v>PC</v>
          </cell>
          <cell r="G1260" t="str">
            <v>1</v>
          </cell>
          <cell r="H1260" t="str">
            <v>INDUSTRY</v>
          </cell>
          <cell r="I1260" t="str">
            <v>11</v>
          </cell>
          <cell r="J1260" t="str">
            <v>WOOD COATINGS</v>
          </cell>
          <cell r="K1260" t="str">
            <v>1103</v>
          </cell>
          <cell r="L1260" t="str">
            <v>PU</v>
          </cell>
          <cell r="M1260" t="str">
            <v>110319</v>
          </cell>
          <cell r="N1260" t="str">
            <v>PU COLOR</v>
          </cell>
        </row>
        <row r="1261">
          <cell r="C1261" t="str">
            <v>100002066</v>
          </cell>
          <cell r="D1261" t="str">
            <v>PUC-54206 AC EX BLACK 50 VN-20KP</v>
          </cell>
          <cell r="E1261" t="str">
            <v>ZFGD</v>
          </cell>
          <cell r="F1261" t="str">
            <v>PC</v>
          </cell>
          <cell r="G1261" t="str">
            <v>1</v>
          </cell>
          <cell r="H1261" t="str">
            <v>INDUSTRY</v>
          </cell>
          <cell r="I1261" t="str">
            <v>11</v>
          </cell>
          <cell r="J1261" t="str">
            <v>WOOD COATINGS</v>
          </cell>
          <cell r="K1261" t="str">
            <v>1103</v>
          </cell>
          <cell r="L1261" t="str">
            <v>PU</v>
          </cell>
          <cell r="M1261" t="str">
            <v>110319</v>
          </cell>
          <cell r="N1261" t="str">
            <v>PU COLOR</v>
          </cell>
        </row>
        <row r="1262">
          <cell r="C1262" t="str">
            <v>100002067</v>
          </cell>
          <cell r="D1262" t="str">
            <v>PUC-54205 AC WHITE 30-20KP</v>
          </cell>
          <cell r="E1262" t="str">
            <v>ZFGD</v>
          </cell>
          <cell r="F1262" t="str">
            <v>PC</v>
          </cell>
          <cell r="G1262" t="str">
            <v>1</v>
          </cell>
          <cell r="H1262" t="str">
            <v>INDUSTRY</v>
          </cell>
          <cell r="I1262" t="str">
            <v>11</v>
          </cell>
          <cell r="J1262" t="str">
            <v>WOOD COATINGS</v>
          </cell>
          <cell r="K1262" t="str">
            <v>1103</v>
          </cell>
          <cell r="L1262" t="str">
            <v>PU</v>
          </cell>
          <cell r="M1262" t="str">
            <v>110319</v>
          </cell>
          <cell r="N1262" t="str">
            <v>PU COLOR</v>
          </cell>
        </row>
        <row r="1263">
          <cell r="C1263" t="str">
            <v>100002068</v>
          </cell>
          <cell r="D1263" t="str">
            <v>PUC-54206 AC 9001 08 TA VN-20KP</v>
          </cell>
          <cell r="E1263" t="str">
            <v>ZFGD</v>
          </cell>
          <cell r="F1263" t="str">
            <v>PC</v>
          </cell>
          <cell r="G1263" t="str">
            <v>1</v>
          </cell>
          <cell r="H1263" t="str">
            <v>INDUSTRY</v>
          </cell>
          <cell r="I1263" t="str">
            <v>11</v>
          </cell>
          <cell r="J1263" t="str">
            <v>WOOD COATINGS</v>
          </cell>
          <cell r="K1263" t="str">
            <v>1103</v>
          </cell>
          <cell r="L1263" t="str">
            <v>PU</v>
          </cell>
          <cell r="M1263" t="str">
            <v>110319</v>
          </cell>
          <cell r="N1263" t="str">
            <v>PU COLOR</v>
          </cell>
        </row>
        <row r="1264">
          <cell r="C1264" t="str">
            <v>100002069</v>
          </cell>
          <cell r="D1264" t="str">
            <v>PUC-54205 AC WHITE SIMOKA 30 TT VN-20KP</v>
          </cell>
          <cell r="E1264" t="str">
            <v>ZFGD</v>
          </cell>
          <cell r="F1264" t="str">
            <v>PC</v>
          </cell>
          <cell r="G1264" t="str">
            <v>1</v>
          </cell>
          <cell r="H1264" t="str">
            <v>INDUSTRY</v>
          </cell>
          <cell r="I1264" t="str">
            <v>11</v>
          </cell>
          <cell r="J1264" t="str">
            <v>WOOD COATINGS</v>
          </cell>
          <cell r="K1264" t="str">
            <v>1103</v>
          </cell>
          <cell r="L1264" t="str">
            <v>PU</v>
          </cell>
          <cell r="M1264" t="str">
            <v>110319</v>
          </cell>
          <cell r="N1264" t="str">
            <v>PU COLOR</v>
          </cell>
        </row>
        <row r="1265">
          <cell r="C1265" t="str">
            <v>100002070</v>
          </cell>
          <cell r="D1265" t="str">
            <v>PUC-54205 AC WHITE 01 30 VN-20KP</v>
          </cell>
          <cell r="E1265" t="str">
            <v>ZFGD</v>
          </cell>
          <cell r="F1265" t="str">
            <v>PC</v>
          </cell>
          <cell r="G1265" t="str">
            <v>1</v>
          </cell>
          <cell r="H1265" t="str">
            <v>INDUSTRY</v>
          </cell>
          <cell r="I1265" t="str">
            <v>11</v>
          </cell>
          <cell r="J1265" t="str">
            <v>WOOD COATINGS</v>
          </cell>
          <cell r="K1265" t="str">
            <v>1103</v>
          </cell>
          <cell r="L1265" t="str">
            <v>PU</v>
          </cell>
          <cell r="M1265" t="str">
            <v>110319</v>
          </cell>
          <cell r="N1265" t="str">
            <v>PU COLOR</v>
          </cell>
        </row>
        <row r="1266">
          <cell r="C1266" t="str">
            <v>100002071</v>
          </cell>
          <cell r="D1266" t="str">
            <v>PUC-54205 AC TTC 014 10 MT VN-20KP</v>
          </cell>
          <cell r="E1266" t="str">
            <v>ZFGD</v>
          </cell>
          <cell r="F1266" t="str">
            <v>PC</v>
          </cell>
          <cell r="G1266" t="str">
            <v>1</v>
          </cell>
          <cell r="H1266" t="str">
            <v>INDUSTRY</v>
          </cell>
          <cell r="I1266" t="str">
            <v>11</v>
          </cell>
          <cell r="J1266" t="str">
            <v>WOOD COATINGS</v>
          </cell>
          <cell r="K1266" t="str">
            <v>1103</v>
          </cell>
          <cell r="L1266" t="str">
            <v>PU</v>
          </cell>
          <cell r="M1266" t="str">
            <v>110319</v>
          </cell>
          <cell r="N1266" t="str">
            <v>PU COLOR</v>
          </cell>
        </row>
        <row r="1267">
          <cell r="C1267" t="str">
            <v>100002072</v>
          </cell>
          <cell r="D1267" t="str">
            <v>PUC-54205 AC WHITE 40 VN-20KP</v>
          </cell>
          <cell r="E1267" t="str">
            <v>ZFGD</v>
          </cell>
          <cell r="F1267" t="str">
            <v>PC</v>
          </cell>
          <cell r="G1267" t="str">
            <v>1</v>
          </cell>
          <cell r="H1267" t="str">
            <v>INDUSTRY</v>
          </cell>
          <cell r="I1267" t="str">
            <v>11</v>
          </cell>
          <cell r="J1267" t="str">
            <v>WOOD COATINGS</v>
          </cell>
          <cell r="K1267" t="str">
            <v>1103</v>
          </cell>
          <cell r="L1267" t="str">
            <v>PU</v>
          </cell>
          <cell r="M1267" t="str">
            <v>110319</v>
          </cell>
          <cell r="N1267" t="str">
            <v>PU COLOR</v>
          </cell>
        </row>
        <row r="1268">
          <cell r="C1268" t="str">
            <v>100002073</v>
          </cell>
          <cell r="D1268" t="str">
            <v>PUC-54205 AC 423 10 PM VN-20KP</v>
          </cell>
          <cell r="E1268" t="str">
            <v>ZFGD</v>
          </cell>
          <cell r="F1268" t="str">
            <v>PC</v>
          </cell>
          <cell r="G1268" t="str">
            <v>1</v>
          </cell>
          <cell r="H1268" t="str">
            <v>INDUSTRY</v>
          </cell>
          <cell r="I1268" t="str">
            <v>11</v>
          </cell>
          <cell r="J1268" t="str">
            <v>WOOD COATINGS</v>
          </cell>
          <cell r="K1268" t="str">
            <v>1103</v>
          </cell>
          <cell r="L1268" t="str">
            <v>PU</v>
          </cell>
          <cell r="M1268" t="str">
            <v>110319</v>
          </cell>
          <cell r="N1268" t="str">
            <v>PU COLOR</v>
          </cell>
        </row>
        <row r="1269">
          <cell r="C1269" t="str">
            <v>100002074</v>
          </cell>
          <cell r="D1269" t="str">
            <v>PUC-54205 AC LIGHT PEWTER 60 KD VN-20KP</v>
          </cell>
          <cell r="E1269" t="str">
            <v>ZFGD</v>
          </cell>
          <cell r="F1269" t="str">
            <v>PC</v>
          </cell>
          <cell r="G1269" t="str">
            <v>1</v>
          </cell>
          <cell r="H1269" t="str">
            <v>INDUSTRY</v>
          </cell>
          <cell r="I1269" t="str">
            <v>11</v>
          </cell>
          <cell r="J1269" t="str">
            <v>WOOD COATINGS</v>
          </cell>
          <cell r="K1269" t="str">
            <v>1103</v>
          </cell>
          <cell r="L1269" t="str">
            <v>PU</v>
          </cell>
          <cell r="M1269" t="str">
            <v>110319</v>
          </cell>
          <cell r="N1269" t="str">
            <v>PU COLOR</v>
          </cell>
        </row>
        <row r="1270">
          <cell r="C1270" t="str">
            <v>100002075</v>
          </cell>
          <cell r="D1270" t="str">
            <v>PUC-54205 AC SF 02 90 GE VN-20KP</v>
          </cell>
          <cell r="E1270" t="str">
            <v>ZFGD</v>
          </cell>
          <cell r="F1270" t="str">
            <v>PC</v>
          </cell>
          <cell r="G1270" t="str">
            <v>1</v>
          </cell>
          <cell r="H1270" t="str">
            <v>INDUSTRY</v>
          </cell>
          <cell r="I1270" t="str">
            <v>11</v>
          </cell>
          <cell r="J1270" t="str">
            <v>WOOD COATINGS</v>
          </cell>
          <cell r="K1270" t="str">
            <v>1103</v>
          </cell>
          <cell r="L1270" t="str">
            <v>PU</v>
          </cell>
          <cell r="M1270" t="str">
            <v>110319</v>
          </cell>
          <cell r="N1270" t="str">
            <v>PU COLOR</v>
          </cell>
        </row>
        <row r="1271">
          <cell r="C1271" t="str">
            <v>100002076</v>
          </cell>
          <cell r="D1271" t="str">
            <v>PUC-54205 AC OC 27 15 GE VN-20KP</v>
          </cell>
          <cell r="E1271" t="str">
            <v>ZFGD</v>
          </cell>
          <cell r="F1271" t="str">
            <v>PC</v>
          </cell>
          <cell r="G1271" t="str">
            <v>1</v>
          </cell>
          <cell r="H1271" t="str">
            <v>INDUSTRY</v>
          </cell>
          <cell r="I1271" t="str">
            <v>11</v>
          </cell>
          <cell r="J1271" t="str">
            <v>WOOD COATINGS</v>
          </cell>
          <cell r="K1271" t="str">
            <v>1103</v>
          </cell>
          <cell r="L1271" t="str">
            <v>PU</v>
          </cell>
          <cell r="M1271" t="str">
            <v>110319</v>
          </cell>
          <cell r="N1271" t="str">
            <v>PU COLOR</v>
          </cell>
        </row>
        <row r="1272">
          <cell r="C1272" t="str">
            <v>100002077</v>
          </cell>
          <cell r="D1272" t="str">
            <v>PUP-52141 BLACK 01 VN-200KB</v>
          </cell>
          <cell r="E1272" t="str">
            <v>ZFGD</v>
          </cell>
          <cell r="F1272" t="str">
            <v>PC</v>
          </cell>
          <cell r="G1272" t="str">
            <v>1</v>
          </cell>
          <cell r="H1272" t="str">
            <v>INDUSTRY</v>
          </cell>
          <cell r="I1272" t="str">
            <v>11</v>
          </cell>
          <cell r="J1272" t="str">
            <v>WOOD COATINGS</v>
          </cell>
          <cell r="K1272" t="str">
            <v>1103</v>
          </cell>
          <cell r="L1272" t="str">
            <v>PU</v>
          </cell>
          <cell r="M1272" t="str">
            <v>110322</v>
          </cell>
          <cell r="N1272" t="str">
            <v>PU PRIMER</v>
          </cell>
        </row>
        <row r="1273">
          <cell r="C1273" t="str">
            <v>100002078</v>
          </cell>
          <cell r="D1273" t="str">
            <v>MPUC-13600 WHITE VN-16KP</v>
          </cell>
          <cell r="E1273" t="str">
            <v>ZFGD</v>
          </cell>
          <cell r="F1273" t="str">
            <v>PC</v>
          </cell>
          <cell r="G1273" t="str">
            <v>1</v>
          </cell>
          <cell r="H1273" t="str">
            <v>INDUSTRY</v>
          </cell>
          <cell r="I1273" t="str">
            <v>16</v>
          </cell>
          <cell r="J1273" t="str">
            <v>METAL COATINGS</v>
          </cell>
          <cell r="K1273" t="str">
            <v>1601</v>
          </cell>
          <cell r="L1273" t="str">
            <v>METAL COATINGS</v>
          </cell>
          <cell r="M1273" t="str">
            <v>160101</v>
          </cell>
          <cell r="N1273" t="str">
            <v>METAL COATINGS</v>
          </cell>
        </row>
        <row r="1274">
          <cell r="C1274" t="str">
            <v>100002079</v>
          </cell>
          <cell r="D1274" t="str">
            <v>THPU-71306-20LJ</v>
          </cell>
          <cell r="E1274" t="str">
            <v>ZFGD</v>
          </cell>
          <cell r="F1274" t="str">
            <v>PC</v>
          </cell>
          <cell r="G1274" t="str">
            <v>1</v>
          </cell>
          <cell r="H1274" t="str">
            <v>INDUSTRY</v>
          </cell>
          <cell r="I1274" t="str">
            <v>14</v>
          </cell>
          <cell r="J1274" t="str">
            <v>THINNER</v>
          </cell>
          <cell r="K1274" t="str">
            <v>1411</v>
          </cell>
          <cell r="L1274" t="str">
            <v>THINNER PU</v>
          </cell>
          <cell r="M1274" t="str">
            <v>141101</v>
          </cell>
          <cell r="N1274" t="str">
            <v>THINNER PU</v>
          </cell>
        </row>
        <row r="1275">
          <cell r="C1275" t="str">
            <v>100002080</v>
          </cell>
          <cell r="D1275" t="str">
            <v>THWS-72100 SLK VN-160LK</v>
          </cell>
          <cell r="E1275" t="str">
            <v>ZFGD</v>
          </cell>
          <cell r="F1275" t="str">
            <v>PC</v>
          </cell>
          <cell r="G1275" t="str">
            <v>1</v>
          </cell>
          <cell r="H1275" t="str">
            <v>INDUSTRY</v>
          </cell>
          <cell r="I1275" t="str">
            <v>14</v>
          </cell>
          <cell r="J1275" t="str">
            <v>THINNER</v>
          </cell>
          <cell r="K1275" t="str">
            <v>1412</v>
          </cell>
          <cell r="L1275" t="str">
            <v>THINNER NC</v>
          </cell>
          <cell r="M1275" t="str">
            <v>141206</v>
          </cell>
          <cell r="N1275" t="str">
            <v>THINNER WOOD STAIN</v>
          </cell>
        </row>
        <row r="1276">
          <cell r="C1276" t="str">
            <v>100002081</v>
          </cell>
          <cell r="D1276" t="str">
            <v>PCA-31100 WHITE PASTE VN-20LJ</v>
          </cell>
          <cell r="E1276" t="str">
            <v>ZFGD</v>
          </cell>
          <cell r="F1276" t="str">
            <v>PC</v>
          </cell>
          <cell r="G1276" t="str">
            <v>1</v>
          </cell>
          <cell r="H1276" t="str">
            <v>INDUSTRY</v>
          </cell>
          <cell r="I1276" t="str">
            <v>11</v>
          </cell>
          <cell r="J1276" t="str">
            <v>WOOD COATINGS</v>
          </cell>
          <cell r="K1276" t="str">
            <v>1118</v>
          </cell>
          <cell r="L1276" t="str">
            <v>COMPLEMENTARY</v>
          </cell>
          <cell r="M1276" t="str">
            <v>111807</v>
          </cell>
          <cell r="N1276" t="str">
            <v>PASTA</v>
          </cell>
        </row>
        <row r="1277">
          <cell r="C1277" t="str">
            <v>100002082</v>
          </cell>
          <cell r="D1277" t="str">
            <v>PCA-31100 YELLOW AR PASTE VN-4K</v>
          </cell>
          <cell r="E1277" t="str">
            <v>ZFGD</v>
          </cell>
          <cell r="F1277" t="str">
            <v>PC</v>
          </cell>
          <cell r="G1277" t="str">
            <v>1</v>
          </cell>
          <cell r="H1277" t="str">
            <v>INDUSTRY</v>
          </cell>
          <cell r="I1277" t="str">
            <v>11</v>
          </cell>
          <cell r="J1277" t="str">
            <v>WOOD COATINGS</v>
          </cell>
          <cell r="K1277" t="str">
            <v>1118</v>
          </cell>
          <cell r="L1277" t="str">
            <v>COMPLEMENTARY</v>
          </cell>
          <cell r="M1277" t="str">
            <v>111807</v>
          </cell>
          <cell r="N1277" t="str">
            <v>PASTA</v>
          </cell>
        </row>
        <row r="1278">
          <cell r="C1278" t="str">
            <v>100002083</v>
          </cell>
          <cell r="D1278" t="str">
            <v>PCA-31100 RX ROASTED TC VN-18KJ</v>
          </cell>
          <cell r="E1278" t="str">
            <v>ZFGD</v>
          </cell>
          <cell r="F1278" t="str">
            <v>PC</v>
          </cell>
          <cell r="G1278" t="str">
            <v>1</v>
          </cell>
          <cell r="H1278" t="str">
            <v>INDUSTRY</v>
          </cell>
          <cell r="I1278" t="str">
            <v>11</v>
          </cell>
          <cell r="J1278" t="str">
            <v>WOOD COATINGS</v>
          </cell>
          <cell r="K1278" t="str">
            <v>1118</v>
          </cell>
          <cell r="L1278" t="str">
            <v>COMPLEMENTARY</v>
          </cell>
          <cell r="M1278" t="str">
            <v>111807</v>
          </cell>
          <cell r="N1278" t="str">
            <v>PASTA</v>
          </cell>
        </row>
        <row r="1279">
          <cell r="C1279" t="str">
            <v>100002084</v>
          </cell>
          <cell r="D1279" t="str">
            <v>PCA-31100 RX CLR ROASTED TC VN-18KJ</v>
          </cell>
          <cell r="E1279" t="str">
            <v>ZFGD</v>
          </cell>
          <cell r="F1279" t="str">
            <v>PC</v>
          </cell>
          <cell r="G1279" t="str">
            <v>1</v>
          </cell>
          <cell r="H1279" t="str">
            <v>INDUSTRY</v>
          </cell>
          <cell r="I1279" t="str">
            <v>11</v>
          </cell>
          <cell r="J1279" t="str">
            <v>WOOD COATINGS</v>
          </cell>
          <cell r="K1279" t="str">
            <v>1118</v>
          </cell>
          <cell r="L1279" t="str">
            <v>COMPLEMENTARY</v>
          </cell>
          <cell r="M1279" t="str">
            <v>111807</v>
          </cell>
          <cell r="N1279" t="str">
            <v>PASTA</v>
          </cell>
        </row>
        <row r="1280">
          <cell r="C1280" t="str">
            <v>100002085</v>
          </cell>
          <cell r="D1280" t="str">
            <v>PCA-31100 RX CERUSED B MT VN-20LJ</v>
          </cell>
          <cell r="E1280" t="str">
            <v>ZFGD</v>
          </cell>
          <cell r="F1280" t="str">
            <v>PC</v>
          </cell>
          <cell r="G1280" t="str">
            <v>1</v>
          </cell>
          <cell r="H1280" t="str">
            <v>INDUSTRY</v>
          </cell>
          <cell r="I1280" t="str">
            <v>11</v>
          </cell>
          <cell r="J1280" t="str">
            <v>WOOD COATINGS</v>
          </cell>
          <cell r="K1280" t="str">
            <v>1118</v>
          </cell>
          <cell r="L1280" t="str">
            <v>COMPLEMENTARY</v>
          </cell>
          <cell r="M1280" t="str">
            <v>111807</v>
          </cell>
          <cell r="N1280" t="str">
            <v>PASTA</v>
          </cell>
        </row>
        <row r="1281">
          <cell r="C1281" t="str">
            <v>100002086</v>
          </cell>
          <cell r="D1281" t="str">
            <v>PCA-31100 RX RIFT MT VN-20LJ</v>
          </cell>
          <cell r="E1281" t="str">
            <v>ZFGD</v>
          </cell>
          <cell r="F1281" t="str">
            <v>PC</v>
          </cell>
          <cell r="G1281" t="str">
            <v>1</v>
          </cell>
          <cell r="H1281" t="str">
            <v>INDUSTRY</v>
          </cell>
          <cell r="I1281" t="str">
            <v>11</v>
          </cell>
          <cell r="J1281" t="str">
            <v>WOOD COATINGS</v>
          </cell>
          <cell r="K1281" t="str">
            <v>1118</v>
          </cell>
          <cell r="L1281" t="str">
            <v>COMPLEMENTARY</v>
          </cell>
          <cell r="M1281" t="str">
            <v>111807</v>
          </cell>
          <cell r="N1281" t="str">
            <v>PASTA</v>
          </cell>
        </row>
        <row r="1282">
          <cell r="C1282" t="str">
            <v>100002087</v>
          </cell>
          <cell r="D1282" t="str">
            <v>TOL-76301 N TEG 15 F1 VN-20LJ</v>
          </cell>
          <cell r="E1282" t="str">
            <v>ZFGD</v>
          </cell>
          <cell r="F1282" t="str">
            <v>PC</v>
          </cell>
          <cell r="G1282" t="str">
            <v>1</v>
          </cell>
          <cell r="H1282" t="str">
            <v>INDUSTRY</v>
          </cell>
          <cell r="I1282" t="str">
            <v>11</v>
          </cell>
          <cell r="J1282" t="str">
            <v>WOOD COATINGS</v>
          </cell>
          <cell r="K1282" t="str">
            <v>1101</v>
          </cell>
          <cell r="L1282" t="str">
            <v>ALKYD OIL</v>
          </cell>
          <cell r="M1282" t="str">
            <v>110101</v>
          </cell>
          <cell r="N1282" t="str">
            <v>ALKYD &amp; OIL SYSTEM</v>
          </cell>
        </row>
        <row r="1283">
          <cell r="C1283" t="str">
            <v>100002088</v>
          </cell>
          <cell r="D1283" t="str">
            <v>TOL-76301 N MTN BROWN 01 SC VN-200LK</v>
          </cell>
          <cell r="E1283" t="str">
            <v>ZFGD</v>
          </cell>
          <cell r="F1283" t="str">
            <v>PC</v>
          </cell>
          <cell r="G1283" t="str">
            <v>1</v>
          </cell>
          <cell r="H1283" t="str">
            <v>INDUSTRY</v>
          </cell>
          <cell r="I1283" t="str">
            <v>11</v>
          </cell>
          <cell r="J1283" t="str">
            <v>WOOD COATINGS</v>
          </cell>
          <cell r="K1283" t="str">
            <v>1101</v>
          </cell>
          <cell r="L1283" t="str">
            <v>ALKYD OIL</v>
          </cell>
          <cell r="M1283" t="str">
            <v>110101</v>
          </cell>
          <cell r="N1283" t="str">
            <v>ALKYD &amp; OIL SYSTEM</v>
          </cell>
        </row>
        <row r="1284">
          <cell r="C1284" t="str">
            <v>100002089</v>
          </cell>
          <cell r="D1284" t="str">
            <v>WBOL-76500 HQ NATURAL VN-200KB</v>
          </cell>
          <cell r="E1284" t="str">
            <v>ZFGD</v>
          </cell>
          <cell r="F1284" t="str">
            <v>PC</v>
          </cell>
          <cell r="G1284" t="str">
            <v>1</v>
          </cell>
          <cell r="H1284" t="str">
            <v>INDUSTRY</v>
          </cell>
          <cell r="I1284" t="str">
            <v>11</v>
          </cell>
          <cell r="J1284" t="str">
            <v>WOOD COATINGS</v>
          </cell>
          <cell r="K1284" t="str">
            <v>1101</v>
          </cell>
          <cell r="L1284" t="str">
            <v>ALKYD OIL</v>
          </cell>
          <cell r="M1284" t="str">
            <v>110101</v>
          </cell>
          <cell r="N1284" t="str">
            <v>ALKYD &amp; OIL SYSTEM</v>
          </cell>
        </row>
        <row r="1285">
          <cell r="C1285" t="str">
            <v>100002090</v>
          </cell>
          <cell r="D1285" t="str">
            <v>WBC-62202 WHITE IKEA NO 5 35 VN-20KP</v>
          </cell>
          <cell r="E1285" t="str">
            <v>ZFGD</v>
          </cell>
          <cell r="F1285" t="str">
            <v>PC</v>
          </cell>
          <cell r="G1285" t="str">
            <v>1</v>
          </cell>
          <cell r="H1285" t="str">
            <v>INDUSTRY</v>
          </cell>
          <cell r="I1285" t="str">
            <v>11</v>
          </cell>
          <cell r="J1285" t="str">
            <v>WOOD COATINGS</v>
          </cell>
          <cell r="K1285" t="str">
            <v>1119</v>
          </cell>
          <cell r="L1285" t="str">
            <v>WATERBASED</v>
          </cell>
          <cell r="M1285" t="str">
            <v>111902</v>
          </cell>
          <cell r="N1285" t="str">
            <v>WATERBASED SYSTEM INTERIOR</v>
          </cell>
        </row>
        <row r="1286">
          <cell r="C1286" t="str">
            <v>100002091</v>
          </cell>
          <cell r="D1286" t="str">
            <v>WBC-62201 SL XLC GREY 30 VL VN-20KP</v>
          </cell>
          <cell r="E1286" t="str">
            <v>ZFGD</v>
          </cell>
          <cell r="F1286" t="str">
            <v>PC</v>
          </cell>
          <cell r="G1286" t="str">
            <v>1</v>
          </cell>
          <cell r="H1286" t="str">
            <v>INDUSTRY</v>
          </cell>
          <cell r="I1286" t="str">
            <v>11</v>
          </cell>
          <cell r="J1286" t="str">
            <v>WOOD COATINGS</v>
          </cell>
          <cell r="K1286" t="str">
            <v>1119</v>
          </cell>
          <cell r="L1286" t="str">
            <v>WATERBASED</v>
          </cell>
          <cell r="M1286" t="str">
            <v>111902</v>
          </cell>
          <cell r="N1286" t="str">
            <v>WATERBASED SYSTEM INTERIOR</v>
          </cell>
        </row>
        <row r="1287">
          <cell r="C1287" t="str">
            <v>100002092</v>
          </cell>
          <cell r="D1287" t="str">
            <v>WBL-63217 EX LOK SC VN-18KP</v>
          </cell>
          <cell r="E1287" t="str">
            <v>ZFGD</v>
          </cell>
          <cell r="F1287" t="str">
            <v>PC</v>
          </cell>
          <cell r="G1287" t="str">
            <v>1</v>
          </cell>
          <cell r="H1287" t="str">
            <v>INDUSTRY</v>
          </cell>
          <cell r="I1287" t="str">
            <v>11</v>
          </cell>
          <cell r="J1287" t="str">
            <v>WOOD COATINGS</v>
          </cell>
          <cell r="K1287" t="str">
            <v>1119</v>
          </cell>
          <cell r="L1287" t="str">
            <v>WATERBASED</v>
          </cell>
          <cell r="M1287" t="str">
            <v>111901</v>
          </cell>
          <cell r="N1287" t="str">
            <v>WATERBASED SYSTEM EXTERIOR</v>
          </cell>
        </row>
        <row r="1288">
          <cell r="C1288" t="str">
            <v>100002093</v>
          </cell>
          <cell r="D1288" t="str">
            <v>64-56 MICRO FILLER TT K04 MOI TT VN-20KP</v>
          </cell>
          <cell r="E1288" t="str">
            <v>ZFGD</v>
          </cell>
          <cell r="F1288" t="str">
            <v>PC</v>
          </cell>
          <cell r="G1288" t="str">
            <v>1</v>
          </cell>
          <cell r="H1288" t="str">
            <v>INDUSTRY</v>
          </cell>
          <cell r="I1288" t="str">
            <v>11</v>
          </cell>
          <cell r="J1288" t="str">
            <v>WOOD COATINGS</v>
          </cell>
          <cell r="K1288" t="str">
            <v>1103</v>
          </cell>
          <cell r="L1288" t="str">
            <v>PU</v>
          </cell>
          <cell r="M1288" t="str">
            <v>110305</v>
          </cell>
          <cell r="N1288" t="str">
            <v>UNION FILLER</v>
          </cell>
        </row>
        <row r="1289">
          <cell r="C1289" t="str">
            <v>100002094</v>
          </cell>
          <cell r="D1289" t="str">
            <v>64-56 MICRO FILLER 43 F1 VN-20KP</v>
          </cell>
          <cell r="E1289" t="str">
            <v>ZFGD</v>
          </cell>
          <cell r="F1289" t="str">
            <v>PC</v>
          </cell>
          <cell r="G1289" t="str">
            <v>1</v>
          </cell>
          <cell r="H1289" t="str">
            <v>INDUSTRY</v>
          </cell>
          <cell r="I1289" t="str">
            <v>11</v>
          </cell>
          <cell r="J1289" t="str">
            <v>WOOD COATINGS</v>
          </cell>
          <cell r="K1289" t="str">
            <v>1103</v>
          </cell>
          <cell r="L1289" t="str">
            <v>PU</v>
          </cell>
          <cell r="M1289" t="str">
            <v>110305</v>
          </cell>
          <cell r="N1289" t="str">
            <v>UNION FILLER</v>
          </cell>
        </row>
        <row r="1290">
          <cell r="C1290" t="str">
            <v>100002095</v>
          </cell>
          <cell r="D1290" t="str">
            <v>64-56 MICRO FILLER PUBLIC DB TT VN-20KP</v>
          </cell>
          <cell r="E1290" t="str">
            <v>ZFGD</v>
          </cell>
          <cell r="F1290" t="str">
            <v>PC</v>
          </cell>
          <cell r="G1290" t="str">
            <v>1</v>
          </cell>
          <cell r="H1290" t="str">
            <v>INDUSTRY</v>
          </cell>
          <cell r="I1290" t="str">
            <v>11</v>
          </cell>
          <cell r="J1290" t="str">
            <v>WOOD COATINGS</v>
          </cell>
          <cell r="K1290" t="str">
            <v>1103</v>
          </cell>
          <cell r="L1290" t="str">
            <v>PU</v>
          </cell>
          <cell r="M1290" t="str">
            <v>110305</v>
          </cell>
          <cell r="N1290" t="str">
            <v>UNION FILLER</v>
          </cell>
        </row>
        <row r="1291">
          <cell r="C1291" t="str">
            <v>100002096</v>
          </cell>
          <cell r="D1291" t="str">
            <v>16-1019 URT FLAT A 10% ST 01 VN-16KP</v>
          </cell>
          <cell r="E1291" t="str">
            <v>ZFGD</v>
          </cell>
          <cell r="F1291" t="str">
            <v>PC</v>
          </cell>
          <cell r="G1291" t="str">
            <v>1</v>
          </cell>
          <cell r="H1291" t="str">
            <v>INDUSTRY</v>
          </cell>
          <cell r="I1291" t="str">
            <v>11</v>
          </cell>
          <cell r="J1291" t="str">
            <v>WOOD COATINGS</v>
          </cell>
          <cell r="K1291" t="str">
            <v>1103</v>
          </cell>
          <cell r="L1291" t="str">
            <v>PU</v>
          </cell>
          <cell r="M1291" t="str">
            <v>110312</v>
          </cell>
          <cell r="N1291" t="str">
            <v>UNION TOP COAT</v>
          </cell>
        </row>
        <row r="1292">
          <cell r="C1292" t="str">
            <v>100002097</v>
          </cell>
          <cell r="D1292" t="str">
            <v>PG-13900 MT 18 VN-20KP</v>
          </cell>
          <cell r="E1292" t="str">
            <v>ZFGD</v>
          </cell>
          <cell r="F1292" t="str">
            <v>PC</v>
          </cell>
          <cell r="G1292" t="str">
            <v>1</v>
          </cell>
          <cell r="H1292" t="str">
            <v>INDUSTRY</v>
          </cell>
          <cell r="I1292" t="str">
            <v>11</v>
          </cell>
          <cell r="J1292" t="str">
            <v>WOOD COATINGS</v>
          </cell>
          <cell r="K1292" t="str">
            <v>1109</v>
          </cell>
          <cell r="L1292" t="str">
            <v>STAIN &amp; GLAZE INTERIOR</v>
          </cell>
          <cell r="M1292" t="str">
            <v>110901</v>
          </cell>
          <cell r="N1292" t="str">
            <v>ASOF : STAIN &amp; GLAZE</v>
          </cell>
        </row>
        <row r="1293">
          <cell r="C1293" t="str">
            <v>100002098</v>
          </cell>
          <cell r="D1293" t="str">
            <v>GZ-12700 N 04 VI VN-20LP</v>
          </cell>
          <cell r="E1293" t="str">
            <v>ZFGD</v>
          </cell>
          <cell r="F1293" t="str">
            <v>PC</v>
          </cell>
          <cell r="G1293" t="str">
            <v>1</v>
          </cell>
          <cell r="H1293" t="str">
            <v>INDUSTRY</v>
          </cell>
          <cell r="I1293" t="str">
            <v>11</v>
          </cell>
          <cell r="J1293" t="str">
            <v>WOOD COATINGS</v>
          </cell>
          <cell r="K1293" t="str">
            <v>1109</v>
          </cell>
          <cell r="L1293" t="str">
            <v>STAIN &amp; GLAZE INTERIOR</v>
          </cell>
          <cell r="M1293" t="str">
            <v>110901</v>
          </cell>
          <cell r="N1293" t="str">
            <v>ASOF : STAIN &amp; GLAZE</v>
          </cell>
        </row>
        <row r="1294">
          <cell r="C1294" t="str">
            <v>100002099</v>
          </cell>
          <cell r="D1294" t="str">
            <v>GZ-12700 N SHN TR VN-18KP</v>
          </cell>
          <cell r="E1294" t="str">
            <v>ZFGD</v>
          </cell>
          <cell r="F1294" t="str">
            <v>PC</v>
          </cell>
          <cell r="G1294" t="str">
            <v>1</v>
          </cell>
          <cell r="H1294" t="str">
            <v>INDUSTRY</v>
          </cell>
          <cell r="I1294" t="str">
            <v>11</v>
          </cell>
          <cell r="J1294" t="str">
            <v>WOOD COATINGS</v>
          </cell>
          <cell r="K1294" t="str">
            <v>1109</v>
          </cell>
          <cell r="L1294" t="str">
            <v>STAIN &amp; GLAZE INTERIOR</v>
          </cell>
          <cell r="M1294" t="str">
            <v>110901</v>
          </cell>
          <cell r="N1294" t="str">
            <v>ASOF : STAIN &amp; GLAZE</v>
          </cell>
        </row>
        <row r="1295">
          <cell r="C1295" t="str">
            <v>100002100</v>
          </cell>
          <cell r="D1295" t="str">
            <v>GZ-12700 N 64 HM VN-18KP</v>
          </cell>
          <cell r="E1295" t="str">
            <v>ZFGD</v>
          </cell>
          <cell r="F1295" t="str">
            <v>PC</v>
          </cell>
          <cell r="G1295" t="str">
            <v>1</v>
          </cell>
          <cell r="H1295" t="str">
            <v>INDUSTRY</v>
          </cell>
          <cell r="I1295" t="str">
            <v>11</v>
          </cell>
          <cell r="J1295" t="str">
            <v>WOOD COATINGS</v>
          </cell>
          <cell r="K1295" t="str">
            <v>1109</v>
          </cell>
          <cell r="L1295" t="str">
            <v>STAIN &amp; GLAZE INTERIOR</v>
          </cell>
          <cell r="M1295" t="str">
            <v>110901</v>
          </cell>
          <cell r="N1295" t="str">
            <v>ASOF : STAIN &amp; GLAZE</v>
          </cell>
        </row>
        <row r="1296">
          <cell r="C1296" t="str">
            <v>100002101</v>
          </cell>
          <cell r="D1296" t="str">
            <v>GZ-12700 N 65 HM VN-18KP</v>
          </cell>
          <cell r="E1296" t="str">
            <v>ZFGD</v>
          </cell>
          <cell r="F1296" t="str">
            <v>PC</v>
          </cell>
          <cell r="G1296" t="str">
            <v>1</v>
          </cell>
          <cell r="H1296" t="str">
            <v>INDUSTRY</v>
          </cell>
          <cell r="I1296" t="str">
            <v>11</v>
          </cell>
          <cell r="J1296" t="str">
            <v>WOOD COATINGS</v>
          </cell>
          <cell r="K1296" t="str">
            <v>1109</v>
          </cell>
          <cell r="L1296" t="str">
            <v>STAIN &amp; GLAZE INTERIOR</v>
          </cell>
          <cell r="M1296" t="str">
            <v>110901</v>
          </cell>
          <cell r="N1296" t="str">
            <v>ASOF : STAIN &amp; GLAZE</v>
          </cell>
        </row>
        <row r="1297">
          <cell r="C1297" t="str">
            <v>100002102</v>
          </cell>
          <cell r="D1297" t="str">
            <v>GZ-12700 N DR VN-18KP</v>
          </cell>
          <cell r="E1297" t="str">
            <v>ZFGD</v>
          </cell>
          <cell r="F1297" t="str">
            <v>PC</v>
          </cell>
          <cell r="G1297" t="str">
            <v>1</v>
          </cell>
          <cell r="H1297" t="str">
            <v>INDUSTRY</v>
          </cell>
          <cell r="I1297" t="str">
            <v>11</v>
          </cell>
          <cell r="J1297" t="str">
            <v>WOOD COATINGS</v>
          </cell>
          <cell r="K1297" t="str">
            <v>1109</v>
          </cell>
          <cell r="L1297" t="str">
            <v>STAIN &amp; GLAZE INTERIOR</v>
          </cell>
          <cell r="M1297" t="str">
            <v>110901</v>
          </cell>
          <cell r="N1297" t="str">
            <v>ASOF : STAIN &amp; GLAZE</v>
          </cell>
        </row>
        <row r="1298">
          <cell r="C1298" t="str">
            <v>100002103</v>
          </cell>
          <cell r="D1298" t="str">
            <v>NBC-9345 570 AK-20KP</v>
          </cell>
          <cell r="E1298" t="str">
            <v>ZFGD</v>
          </cell>
          <cell r="F1298" t="str">
            <v>PC</v>
          </cell>
          <cell r="G1298" t="str">
            <v>1</v>
          </cell>
          <cell r="H1298" t="str">
            <v>INDUSTRY</v>
          </cell>
          <cell r="I1298" t="str">
            <v>11</v>
          </cell>
          <cell r="J1298" t="str">
            <v>WOOD COATINGS</v>
          </cell>
          <cell r="K1298" t="str">
            <v>1104</v>
          </cell>
          <cell r="L1298" t="str">
            <v>NC</v>
          </cell>
          <cell r="M1298" t="str">
            <v>110403</v>
          </cell>
          <cell r="N1298" t="str">
            <v>ASOF : NC BASE COAT</v>
          </cell>
        </row>
        <row r="1299">
          <cell r="C1299" t="str">
            <v>100002104</v>
          </cell>
          <cell r="D1299" t="str">
            <v>NBC-9345-771-AK-20KP</v>
          </cell>
          <cell r="E1299" t="str">
            <v>ZFGD</v>
          </cell>
          <cell r="F1299" t="str">
            <v>PC</v>
          </cell>
          <cell r="G1299" t="str">
            <v>1</v>
          </cell>
          <cell r="H1299" t="str">
            <v>INDUSTRY</v>
          </cell>
          <cell r="I1299" t="str">
            <v>11</v>
          </cell>
          <cell r="J1299" t="str">
            <v>WOOD COATINGS</v>
          </cell>
          <cell r="K1299" t="str">
            <v>1104</v>
          </cell>
          <cell r="L1299" t="str">
            <v>NC</v>
          </cell>
          <cell r="M1299" t="str">
            <v>110403</v>
          </cell>
          <cell r="N1299" t="str">
            <v>ASOF : NC BASE COAT</v>
          </cell>
        </row>
        <row r="1300">
          <cell r="C1300" t="str">
            <v>100002105</v>
          </cell>
          <cell r="D1300" t="str">
            <v>NCSS-9308 LC AK-200KB</v>
          </cell>
          <cell r="E1300" t="str">
            <v>ZFGD</v>
          </cell>
          <cell r="F1300" t="str">
            <v>PC</v>
          </cell>
          <cell r="G1300" t="str">
            <v>1</v>
          </cell>
          <cell r="H1300" t="str">
            <v>INDUSTRY</v>
          </cell>
          <cell r="I1300" t="str">
            <v>11</v>
          </cell>
          <cell r="J1300" t="str">
            <v>WOOD COATINGS</v>
          </cell>
          <cell r="K1300" t="str">
            <v>1104</v>
          </cell>
          <cell r="L1300" t="str">
            <v>NC</v>
          </cell>
          <cell r="M1300" t="str">
            <v>110403</v>
          </cell>
          <cell r="N1300" t="str">
            <v>ASOF : NC BASE COAT</v>
          </cell>
        </row>
        <row r="1301">
          <cell r="C1301" t="str">
            <v>100002106</v>
          </cell>
          <cell r="D1301" t="str">
            <v>NCSS-30800 LY VN-20LP</v>
          </cell>
          <cell r="E1301" t="str">
            <v>ZFGD</v>
          </cell>
          <cell r="F1301" t="str">
            <v>PC</v>
          </cell>
          <cell r="G1301" t="str">
            <v>1</v>
          </cell>
          <cell r="H1301" t="str">
            <v>INDUSTRY</v>
          </cell>
          <cell r="I1301" t="str">
            <v>11</v>
          </cell>
          <cell r="J1301" t="str">
            <v>WOOD COATINGS</v>
          </cell>
          <cell r="K1301" t="str">
            <v>1104</v>
          </cell>
          <cell r="L1301" t="str">
            <v>NC</v>
          </cell>
          <cell r="M1301" t="str">
            <v>110403</v>
          </cell>
          <cell r="N1301" t="str">
            <v>ASOF : NC BASE COAT</v>
          </cell>
        </row>
        <row r="1302">
          <cell r="C1302" t="str">
            <v>100002107</v>
          </cell>
          <cell r="D1302" t="str">
            <v>NCL-40800 LC CLEAR 25 VN-20LP</v>
          </cell>
          <cell r="E1302" t="str">
            <v>ZFGD</v>
          </cell>
          <cell r="F1302" t="str">
            <v>PC</v>
          </cell>
          <cell r="G1302" t="str">
            <v>1</v>
          </cell>
          <cell r="H1302" t="str">
            <v>INDUSTRY</v>
          </cell>
          <cell r="I1302" t="str">
            <v>11</v>
          </cell>
          <cell r="J1302" t="str">
            <v>WOOD COATINGS</v>
          </cell>
          <cell r="K1302" t="str">
            <v>1104</v>
          </cell>
          <cell r="L1302" t="str">
            <v>NC</v>
          </cell>
          <cell r="M1302" t="str">
            <v>110404</v>
          </cell>
          <cell r="N1302" t="str">
            <v>ASOF : NC TOP COAT</v>
          </cell>
        </row>
        <row r="1303">
          <cell r="C1303" t="str">
            <v>100002108</v>
          </cell>
          <cell r="D1303" t="str">
            <v>NCL-40800 LY CLEAR 30 VN-20LP</v>
          </cell>
          <cell r="E1303" t="str">
            <v>ZFGD</v>
          </cell>
          <cell r="F1303" t="str">
            <v>PC</v>
          </cell>
          <cell r="G1303" t="str">
            <v>1</v>
          </cell>
          <cell r="H1303" t="str">
            <v>INDUSTRY</v>
          </cell>
          <cell r="I1303" t="str">
            <v>11</v>
          </cell>
          <cell r="J1303" t="str">
            <v>WOOD COATINGS</v>
          </cell>
          <cell r="K1303" t="str">
            <v>1104</v>
          </cell>
          <cell r="L1303" t="str">
            <v>NC</v>
          </cell>
          <cell r="M1303" t="str">
            <v>110404</v>
          </cell>
          <cell r="N1303" t="str">
            <v>ASOF : NC TOP COAT</v>
          </cell>
        </row>
        <row r="1304">
          <cell r="C1304" t="str">
            <v>100002109</v>
          </cell>
          <cell r="D1304" t="str">
            <v>NCL-40800 LY CLEAR 25 VN-20LP</v>
          </cell>
          <cell r="E1304" t="str">
            <v>ZFGD</v>
          </cell>
          <cell r="F1304" t="str">
            <v>PC</v>
          </cell>
          <cell r="G1304" t="str">
            <v>1</v>
          </cell>
          <cell r="H1304" t="str">
            <v>INDUSTRY</v>
          </cell>
          <cell r="I1304" t="str">
            <v>11</v>
          </cell>
          <cell r="J1304" t="str">
            <v>WOOD COATINGS</v>
          </cell>
          <cell r="K1304" t="str">
            <v>1104</v>
          </cell>
          <cell r="L1304" t="str">
            <v>NC</v>
          </cell>
          <cell r="M1304" t="str">
            <v>110404</v>
          </cell>
          <cell r="N1304" t="str">
            <v>ASOF : NC TOP COAT</v>
          </cell>
        </row>
        <row r="1305">
          <cell r="C1305" t="str">
            <v>100002110</v>
          </cell>
          <cell r="D1305" t="str">
            <v>NCL-40700 CLEAR 20 VN-20LP</v>
          </cell>
          <cell r="E1305" t="str">
            <v>ZFGD</v>
          </cell>
          <cell r="F1305" t="str">
            <v>PC</v>
          </cell>
          <cell r="G1305" t="str">
            <v>1</v>
          </cell>
          <cell r="H1305" t="str">
            <v>INDUSTRY</v>
          </cell>
          <cell r="I1305" t="str">
            <v>11</v>
          </cell>
          <cell r="J1305" t="str">
            <v>WOOD COATINGS</v>
          </cell>
          <cell r="K1305" t="str">
            <v>1104</v>
          </cell>
          <cell r="L1305" t="str">
            <v>NC</v>
          </cell>
          <cell r="M1305" t="str">
            <v>110404</v>
          </cell>
          <cell r="N1305" t="str">
            <v>ASOF : NC TOP COAT</v>
          </cell>
        </row>
        <row r="1306">
          <cell r="C1306" t="str">
            <v>100002111</v>
          </cell>
          <cell r="D1306" t="str">
            <v>DC-12201 ALC LIGHT BROWN 03 A VL VN-20LP</v>
          </cell>
          <cell r="E1306" t="str">
            <v>ZFGD</v>
          </cell>
          <cell r="F1306" t="str">
            <v>PC</v>
          </cell>
          <cell r="G1306" t="str">
            <v>1</v>
          </cell>
          <cell r="H1306" t="str">
            <v>INDUSTRY</v>
          </cell>
          <cell r="I1306" t="str">
            <v>11</v>
          </cell>
          <cell r="J1306" t="str">
            <v>WOOD COATINGS</v>
          </cell>
          <cell r="K1306" t="str">
            <v>1104</v>
          </cell>
          <cell r="L1306" t="str">
            <v>NC</v>
          </cell>
          <cell r="M1306" t="str">
            <v>110405</v>
          </cell>
          <cell r="N1306" t="str">
            <v>NC SYSTEM</v>
          </cell>
        </row>
        <row r="1307">
          <cell r="C1307" t="str">
            <v>100002112</v>
          </cell>
          <cell r="D1307" t="str">
            <v>DC-12200 ALC 7529 U 20 PM VN-20LP</v>
          </cell>
          <cell r="E1307" t="str">
            <v>ZFGD</v>
          </cell>
          <cell r="F1307" t="str">
            <v>PC</v>
          </cell>
          <cell r="G1307" t="str">
            <v>1</v>
          </cell>
          <cell r="H1307" t="str">
            <v>INDUSTRY</v>
          </cell>
          <cell r="I1307" t="str">
            <v>11</v>
          </cell>
          <cell r="J1307" t="str">
            <v>WOOD COATINGS</v>
          </cell>
          <cell r="K1307" t="str">
            <v>1104</v>
          </cell>
          <cell r="L1307" t="str">
            <v>NC</v>
          </cell>
          <cell r="M1307" t="str">
            <v>110405</v>
          </cell>
          <cell r="N1307" t="str">
            <v>NC SYSTEM</v>
          </cell>
        </row>
        <row r="1308">
          <cell r="C1308" t="str">
            <v>100002113</v>
          </cell>
          <cell r="D1308" t="str">
            <v>GZPU-21500 BROWN VN-18KP</v>
          </cell>
          <cell r="E1308" t="str">
            <v>ZFGD</v>
          </cell>
          <cell r="F1308" t="str">
            <v>PC</v>
          </cell>
          <cell r="G1308" t="str">
            <v>1</v>
          </cell>
          <cell r="H1308" t="str">
            <v>INDUSTRY</v>
          </cell>
          <cell r="I1308" t="str">
            <v>11</v>
          </cell>
          <cell r="J1308" t="str">
            <v>WOOD COATINGS</v>
          </cell>
          <cell r="K1308" t="str">
            <v>1103</v>
          </cell>
          <cell r="L1308" t="str">
            <v>PU</v>
          </cell>
          <cell r="M1308" t="str">
            <v>110302</v>
          </cell>
          <cell r="N1308" t="str">
            <v>GLAZE PU</v>
          </cell>
        </row>
        <row r="1309">
          <cell r="C1309" t="str">
            <v>100002114</v>
          </cell>
          <cell r="D1309" t="str">
            <v>GZPU-21500 WHITE VN-18KP</v>
          </cell>
          <cell r="E1309" t="str">
            <v>ZFGD</v>
          </cell>
          <cell r="F1309" t="str">
            <v>PC</v>
          </cell>
          <cell r="G1309" t="str">
            <v>1</v>
          </cell>
          <cell r="H1309" t="str">
            <v>INDUSTRY</v>
          </cell>
          <cell r="I1309" t="str">
            <v>11</v>
          </cell>
          <cell r="J1309" t="str">
            <v>WOOD COATINGS</v>
          </cell>
          <cell r="K1309" t="str">
            <v>1103</v>
          </cell>
          <cell r="L1309" t="str">
            <v>PU</v>
          </cell>
          <cell r="M1309" t="str">
            <v>110302</v>
          </cell>
          <cell r="N1309" t="str">
            <v>GLAZE PU</v>
          </cell>
        </row>
        <row r="1310">
          <cell r="C1310" t="str">
            <v>100002115</v>
          </cell>
          <cell r="D1310" t="str">
            <v>MPUC-13600 DARK GREY 20 MH VN-16KP</v>
          </cell>
          <cell r="E1310" t="str">
            <v>ZFGD</v>
          </cell>
          <cell r="F1310" t="str">
            <v>PC</v>
          </cell>
          <cell r="G1310" t="str">
            <v>1</v>
          </cell>
          <cell r="H1310" t="str">
            <v>INDUSTRY</v>
          </cell>
          <cell r="I1310" t="str">
            <v>16</v>
          </cell>
          <cell r="J1310" t="str">
            <v>METAL COATINGS</v>
          </cell>
          <cell r="K1310" t="str">
            <v>1601</v>
          </cell>
          <cell r="L1310" t="str">
            <v>METAL COATINGS</v>
          </cell>
          <cell r="M1310" t="str">
            <v>160101</v>
          </cell>
          <cell r="N1310" t="str">
            <v>METAL COATINGS</v>
          </cell>
        </row>
        <row r="1311">
          <cell r="C1311" t="str">
            <v>100002116</v>
          </cell>
          <cell r="D1311" t="str">
            <v>MPUC-13600 DARK GREY 20 MH VN-4K</v>
          </cell>
          <cell r="E1311" t="str">
            <v>ZFGD</v>
          </cell>
          <cell r="F1311" t="str">
            <v>PC</v>
          </cell>
          <cell r="G1311" t="str">
            <v>1</v>
          </cell>
          <cell r="H1311" t="str">
            <v>INDUSTRY</v>
          </cell>
          <cell r="I1311" t="str">
            <v>16</v>
          </cell>
          <cell r="J1311" t="str">
            <v>METAL COATINGS</v>
          </cell>
          <cell r="K1311" t="str">
            <v>1601</v>
          </cell>
          <cell r="L1311" t="str">
            <v>METAL COATINGS</v>
          </cell>
          <cell r="M1311" t="str">
            <v>160101</v>
          </cell>
          <cell r="N1311" t="str">
            <v>METAL COATINGS</v>
          </cell>
        </row>
        <row r="1312">
          <cell r="C1312" t="str">
            <v>100002117</v>
          </cell>
          <cell r="D1312" t="str">
            <v>MPUC-13600 RAL 7046 20 VN-16KP</v>
          </cell>
          <cell r="E1312" t="str">
            <v>ZFGD</v>
          </cell>
          <cell r="F1312" t="str">
            <v>PC</v>
          </cell>
          <cell r="G1312" t="str">
            <v>1</v>
          </cell>
          <cell r="H1312" t="str">
            <v>INDUSTRY</v>
          </cell>
          <cell r="I1312" t="str">
            <v>16</v>
          </cell>
          <cell r="J1312" t="str">
            <v>METAL COATINGS</v>
          </cell>
          <cell r="K1312" t="str">
            <v>1601</v>
          </cell>
          <cell r="L1312" t="str">
            <v>METAL COATINGS</v>
          </cell>
          <cell r="M1312" t="str">
            <v>160101</v>
          </cell>
          <cell r="N1312" t="str">
            <v>METAL COATINGS</v>
          </cell>
        </row>
        <row r="1313">
          <cell r="C1313" t="str">
            <v>100002118</v>
          </cell>
          <cell r="D1313" t="str">
            <v>MPUC-13600 RAL 7046 20 VN-4K</v>
          </cell>
          <cell r="E1313" t="str">
            <v>ZFGD</v>
          </cell>
          <cell r="F1313" t="str">
            <v>PC</v>
          </cell>
          <cell r="G1313" t="str">
            <v>1</v>
          </cell>
          <cell r="H1313" t="str">
            <v>INDUSTRY</v>
          </cell>
          <cell r="I1313" t="str">
            <v>16</v>
          </cell>
          <cell r="J1313" t="str">
            <v>METAL COATINGS</v>
          </cell>
          <cell r="K1313" t="str">
            <v>1601</v>
          </cell>
          <cell r="L1313" t="str">
            <v>METAL COATINGS</v>
          </cell>
          <cell r="M1313" t="str">
            <v>160101</v>
          </cell>
          <cell r="N1313" t="str">
            <v>METAL COATINGS</v>
          </cell>
        </row>
        <row r="1314">
          <cell r="C1314" t="str">
            <v>100002119</v>
          </cell>
          <cell r="D1314" t="str">
            <v>MPUC-13600 WHITE 50 DTP VN-16KP</v>
          </cell>
          <cell r="E1314" t="str">
            <v>ZFGD</v>
          </cell>
          <cell r="F1314" t="str">
            <v>PC</v>
          </cell>
          <cell r="G1314" t="str">
            <v>1</v>
          </cell>
          <cell r="H1314" t="str">
            <v>INDUSTRY</v>
          </cell>
          <cell r="I1314" t="str">
            <v>16</v>
          </cell>
          <cell r="J1314" t="str">
            <v>METAL COATINGS</v>
          </cell>
          <cell r="K1314" t="str">
            <v>1601</v>
          </cell>
          <cell r="L1314" t="str">
            <v>METAL COATINGS</v>
          </cell>
          <cell r="M1314" t="str">
            <v>160101</v>
          </cell>
          <cell r="N1314" t="str">
            <v>METAL COATINGS</v>
          </cell>
        </row>
        <row r="1315">
          <cell r="C1315" t="str">
            <v>100002120</v>
          </cell>
          <cell r="D1315" t="str">
            <v>MPUC-13600 WHITE 50 DTP VN-5KS</v>
          </cell>
          <cell r="E1315" t="str">
            <v>ZFGD</v>
          </cell>
          <cell r="F1315" t="str">
            <v>PC</v>
          </cell>
          <cell r="G1315" t="str">
            <v>1</v>
          </cell>
          <cell r="H1315" t="str">
            <v>INDUSTRY</v>
          </cell>
          <cell r="I1315" t="str">
            <v>16</v>
          </cell>
          <cell r="J1315" t="str">
            <v>METAL COATINGS</v>
          </cell>
          <cell r="K1315" t="str">
            <v>1601</v>
          </cell>
          <cell r="L1315" t="str">
            <v>METAL COATINGS</v>
          </cell>
          <cell r="M1315" t="str">
            <v>160101</v>
          </cell>
          <cell r="N1315" t="str">
            <v>METAL COATINGS</v>
          </cell>
        </row>
        <row r="1316">
          <cell r="C1316" t="str">
            <v>100002121</v>
          </cell>
          <cell r="D1316" t="str">
            <v>MPUC-13600 WHITE 50 DTP VN-4K</v>
          </cell>
          <cell r="E1316" t="str">
            <v>ZFGD</v>
          </cell>
          <cell r="F1316" t="str">
            <v>PC</v>
          </cell>
          <cell r="G1316" t="str">
            <v>1</v>
          </cell>
          <cell r="H1316" t="str">
            <v>INDUSTRY</v>
          </cell>
          <cell r="I1316" t="str">
            <v>16</v>
          </cell>
          <cell r="J1316" t="str">
            <v>METAL COATINGS</v>
          </cell>
          <cell r="K1316" t="str">
            <v>1601</v>
          </cell>
          <cell r="L1316" t="str">
            <v>METAL COATINGS</v>
          </cell>
          <cell r="M1316" t="str">
            <v>160101</v>
          </cell>
          <cell r="N1316" t="str">
            <v>METAL COATINGS</v>
          </cell>
        </row>
        <row r="1317">
          <cell r="C1317" t="str">
            <v>100002122</v>
          </cell>
          <cell r="D1317" t="str">
            <v>MPUC-13600 IRISH WHITE 50 VN-4K</v>
          </cell>
          <cell r="E1317" t="str">
            <v>ZFGD</v>
          </cell>
          <cell r="F1317" t="str">
            <v>PC</v>
          </cell>
          <cell r="G1317" t="str">
            <v>1</v>
          </cell>
          <cell r="H1317" t="str">
            <v>INDUSTRY</v>
          </cell>
          <cell r="I1317" t="str">
            <v>16</v>
          </cell>
          <cell r="J1317" t="str">
            <v>METAL COATINGS</v>
          </cell>
          <cell r="K1317" t="str">
            <v>1601</v>
          </cell>
          <cell r="L1317" t="str">
            <v>METAL COATINGS</v>
          </cell>
          <cell r="M1317" t="str">
            <v>160101</v>
          </cell>
          <cell r="N1317" t="str">
            <v>METAL COATINGS</v>
          </cell>
        </row>
        <row r="1318">
          <cell r="C1318" t="str">
            <v>100002123</v>
          </cell>
          <cell r="D1318" t="str">
            <v>MEPH-12003 PS VN-0.5K</v>
          </cell>
          <cell r="E1318" t="str">
            <v>ZFGD</v>
          </cell>
          <cell r="F1318" t="str">
            <v>PC</v>
          </cell>
          <cell r="G1318" t="str">
            <v>1</v>
          </cell>
          <cell r="H1318" t="str">
            <v>INDUSTRY</v>
          </cell>
          <cell r="I1318" t="str">
            <v>16</v>
          </cell>
          <cell r="J1318" t="str">
            <v>METAL COATINGS</v>
          </cell>
          <cell r="K1318" t="str">
            <v>1601</v>
          </cell>
          <cell r="L1318" t="str">
            <v>METAL COATINGS</v>
          </cell>
          <cell r="M1318" t="str">
            <v>160101</v>
          </cell>
          <cell r="N1318" t="str">
            <v>METAL COATINGS</v>
          </cell>
        </row>
        <row r="1319">
          <cell r="C1319" t="str">
            <v>100002124</v>
          </cell>
          <cell r="D1319" t="str">
            <v>MPULH-13700 PS VN-1K</v>
          </cell>
          <cell r="E1319" t="str">
            <v>ZFGD</v>
          </cell>
          <cell r="F1319" t="str">
            <v>PC</v>
          </cell>
          <cell r="G1319" t="str">
            <v>1</v>
          </cell>
          <cell r="H1319" t="str">
            <v>INDUSTRY</v>
          </cell>
          <cell r="I1319" t="str">
            <v>16</v>
          </cell>
          <cell r="J1319" t="str">
            <v>METAL COATINGS</v>
          </cell>
          <cell r="K1319" t="str">
            <v>1601</v>
          </cell>
          <cell r="L1319" t="str">
            <v>METAL COATINGS</v>
          </cell>
          <cell r="M1319" t="str">
            <v>160101</v>
          </cell>
          <cell r="N1319" t="str">
            <v>METAL COATINGS</v>
          </cell>
        </row>
        <row r="1320">
          <cell r="C1320" t="str">
            <v>100002125</v>
          </cell>
          <cell r="D1320" t="str">
            <v>MEP-12003 GREY VN-4.5K</v>
          </cell>
          <cell r="E1320" t="str">
            <v>ZFGD</v>
          </cell>
          <cell r="F1320" t="str">
            <v>PC</v>
          </cell>
          <cell r="G1320" t="str">
            <v>1</v>
          </cell>
          <cell r="H1320" t="str">
            <v>INDUSTRY</v>
          </cell>
          <cell r="I1320" t="str">
            <v>16</v>
          </cell>
          <cell r="J1320" t="str">
            <v>METAL COATINGS</v>
          </cell>
          <cell r="K1320" t="str">
            <v>1601</v>
          </cell>
          <cell r="L1320" t="str">
            <v>METAL COATINGS</v>
          </cell>
          <cell r="M1320" t="str">
            <v>160101</v>
          </cell>
          <cell r="N1320" t="str">
            <v>METAL COATINGS</v>
          </cell>
        </row>
        <row r="1321">
          <cell r="C1321" t="str">
            <v>100002126</v>
          </cell>
          <cell r="D1321" t="str">
            <v>MEP-12003 BLACK VN-4.5K</v>
          </cell>
          <cell r="E1321" t="str">
            <v>ZFGD</v>
          </cell>
          <cell r="F1321" t="str">
            <v>PC</v>
          </cell>
          <cell r="G1321" t="str">
            <v>1</v>
          </cell>
          <cell r="H1321" t="str">
            <v>INDUSTRY</v>
          </cell>
          <cell r="I1321" t="str">
            <v>16</v>
          </cell>
          <cell r="J1321" t="str">
            <v>METAL COATINGS</v>
          </cell>
          <cell r="K1321" t="str">
            <v>1601</v>
          </cell>
          <cell r="L1321" t="str">
            <v>METAL COATINGS</v>
          </cell>
          <cell r="M1321" t="str">
            <v>160101</v>
          </cell>
          <cell r="N1321" t="str">
            <v>METAL COATINGS</v>
          </cell>
        </row>
        <row r="1322">
          <cell r="C1322" t="str">
            <v>100002127</v>
          </cell>
          <cell r="D1322" t="str">
            <v>MEP-12003 BLACK VN-18KP</v>
          </cell>
          <cell r="E1322" t="str">
            <v>ZFGD</v>
          </cell>
          <cell r="F1322" t="str">
            <v>PC</v>
          </cell>
          <cell r="G1322" t="str">
            <v>1</v>
          </cell>
          <cell r="H1322" t="str">
            <v>INDUSTRY</v>
          </cell>
          <cell r="I1322" t="str">
            <v>16</v>
          </cell>
          <cell r="J1322" t="str">
            <v>METAL COATINGS</v>
          </cell>
          <cell r="K1322" t="str">
            <v>1601</v>
          </cell>
          <cell r="L1322" t="str">
            <v>METAL COATINGS</v>
          </cell>
          <cell r="M1322" t="str">
            <v>160101</v>
          </cell>
          <cell r="N1322" t="str">
            <v>METAL COATINGS</v>
          </cell>
        </row>
        <row r="1323">
          <cell r="C1323" t="str">
            <v>100002128</v>
          </cell>
          <cell r="D1323" t="str">
            <v>MPUC-13600 BLACK VN-4K</v>
          </cell>
          <cell r="E1323" t="str">
            <v>ZFGD</v>
          </cell>
          <cell r="F1323" t="str">
            <v>PC</v>
          </cell>
          <cell r="G1323" t="str">
            <v>1</v>
          </cell>
          <cell r="H1323" t="str">
            <v>INDUSTRY</v>
          </cell>
          <cell r="I1323" t="str">
            <v>16</v>
          </cell>
          <cell r="J1323" t="str">
            <v>METAL COATINGS</v>
          </cell>
          <cell r="K1323" t="str">
            <v>1601</v>
          </cell>
          <cell r="L1323" t="str">
            <v>METAL COATINGS</v>
          </cell>
          <cell r="M1323" t="str">
            <v>160101</v>
          </cell>
          <cell r="N1323" t="str">
            <v>METAL COATINGS</v>
          </cell>
        </row>
        <row r="1324">
          <cell r="C1324" t="str">
            <v>100002129</v>
          </cell>
          <cell r="D1324" t="str">
            <v>MPUC-13600 BLACK VN-16KP</v>
          </cell>
          <cell r="E1324" t="str">
            <v>ZFGD</v>
          </cell>
          <cell r="F1324" t="str">
            <v>PC</v>
          </cell>
          <cell r="G1324" t="str">
            <v>1</v>
          </cell>
          <cell r="H1324" t="str">
            <v>INDUSTRY</v>
          </cell>
          <cell r="I1324" t="str">
            <v>16</v>
          </cell>
          <cell r="J1324" t="str">
            <v>METAL COATINGS</v>
          </cell>
          <cell r="K1324" t="str">
            <v>1601</v>
          </cell>
          <cell r="L1324" t="str">
            <v>METAL COATINGS</v>
          </cell>
          <cell r="M1324" t="str">
            <v>160101</v>
          </cell>
          <cell r="N1324" t="str">
            <v>METAL COATINGS</v>
          </cell>
        </row>
        <row r="1325">
          <cell r="C1325" t="str">
            <v>100002130</v>
          </cell>
          <cell r="D1325" t="str">
            <v>MPUC-13600 WHITE VN-4K</v>
          </cell>
          <cell r="E1325" t="str">
            <v>ZFGD</v>
          </cell>
          <cell r="F1325" t="str">
            <v>PC</v>
          </cell>
          <cell r="G1325" t="str">
            <v>1</v>
          </cell>
          <cell r="H1325" t="str">
            <v>INDUSTRY</v>
          </cell>
          <cell r="I1325" t="str">
            <v>16</v>
          </cell>
          <cell r="J1325" t="str">
            <v>METAL COATINGS</v>
          </cell>
          <cell r="K1325" t="str">
            <v>1601</v>
          </cell>
          <cell r="L1325" t="str">
            <v>METAL COATINGS</v>
          </cell>
          <cell r="M1325" t="str">
            <v>160101</v>
          </cell>
          <cell r="N1325" t="str">
            <v>METAL COATINGS</v>
          </cell>
        </row>
        <row r="1326">
          <cell r="C1326" t="str">
            <v>100002131</v>
          </cell>
          <cell r="D1326" t="str">
            <v>MPUC-13600 UNIVERSAL GREY 50 VN-4K</v>
          </cell>
          <cell r="E1326" t="str">
            <v>ZFGD</v>
          </cell>
          <cell r="F1326" t="str">
            <v>PC</v>
          </cell>
          <cell r="G1326" t="str">
            <v>1</v>
          </cell>
          <cell r="H1326" t="str">
            <v>INDUSTRY</v>
          </cell>
          <cell r="I1326" t="str">
            <v>16</v>
          </cell>
          <cell r="J1326" t="str">
            <v>METAL COATINGS</v>
          </cell>
          <cell r="K1326" t="str">
            <v>1601</v>
          </cell>
          <cell r="L1326" t="str">
            <v>METAL COATINGS</v>
          </cell>
          <cell r="M1326" t="str">
            <v>160101</v>
          </cell>
          <cell r="N1326" t="str">
            <v>METAL COATINGS</v>
          </cell>
        </row>
        <row r="1327">
          <cell r="C1327" t="str">
            <v>100002132</v>
          </cell>
          <cell r="D1327" t="str">
            <v>MPUC-13600 UNIVERSAL GREY 50 VN-16KP</v>
          </cell>
          <cell r="E1327" t="str">
            <v>ZFGD</v>
          </cell>
          <cell r="F1327" t="str">
            <v>PC</v>
          </cell>
          <cell r="G1327" t="str">
            <v>1</v>
          </cell>
          <cell r="H1327" t="str">
            <v>INDUSTRY</v>
          </cell>
          <cell r="I1327" t="str">
            <v>16</v>
          </cell>
          <cell r="J1327" t="str">
            <v>METAL COATINGS</v>
          </cell>
          <cell r="K1327" t="str">
            <v>1601</v>
          </cell>
          <cell r="L1327" t="str">
            <v>METAL COATINGS</v>
          </cell>
          <cell r="M1327" t="str">
            <v>160101</v>
          </cell>
          <cell r="N1327" t="str">
            <v>METAL COATINGS</v>
          </cell>
        </row>
        <row r="1328">
          <cell r="C1328" t="str">
            <v>100002133</v>
          </cell>
          <cell r="D1328" t="str">
            <v>MPUC-13600 20YY 33-145 10 VN-4K</v>
          </cell>
          <cell r="E1328" t="str">
            <v>ZFGD</v>
          </cell>
          <cell r="F1328" t="str">
            <v>PC</v>
          </cell>
          <cell r="G1328" t="str">
            <v>1</v>
          </cell>
          <cell r="H1328" t="str">
            <v>INDUSTRY</v>
          </cell>
          <cell r="I1328" t="str">
            <v>16</v>
          </cell>
          <cell r="J1328" t="str">
            <v>METAL COATINGS</v>
          </cell>
          <cell r="K1328" t="str">
            <v>1601</v>
          </cell>
          <cell r="L1328" t="str">
            <v>METAL COATINGS</v>
          </cell>
          <cell r="M1328" t="str">
            <v>160101</v>
          </cell>
          <cell r="N1328" t="str">
            <v>METAL COATINGS</v>
          </cell>
        </row>
        <row r="1329">
          <cell r="C1329" t="str">
            <v>100002134</v>
          </cell>
          <cell r="D1329" t="str">
            <v>MPUC-13600 20YY 33-145 10 VN-16KP</v>
          </cell>
          <cell r="E1329" t="str">
            <v>ZFGD</v>
          </cell>
          <cell r="F1329" t="str">
            <v>PC</v>
          </cell>
          <cell r="G1329" t="str">
            <v>1</v>
          </cell>
          <cell r="H1329" t="str">
            <v>INDUSTRY</v>
          </cell>
          <cell r="I1329" t="str">
            <v>16</v>
          </cell>
          <cell r="J1329" t="str">
            <v>METAL COATINGS</v>
          </cell>
          <cell r="K1329" t="str">
            <v>1601</v>
          </cell>
          <cell r="L1329" t="str">
            <v>METAL COATINGS</v>
          </cell>
          <cell r="M1329" t="str">
            <v>160101</v>
          </cell>
          <cell r="N1329" t="str">
            <v>METAL COATINGS</v>
          </cell>
        </row>
        <row r="1330">
          <cell r="C1330" t="str">
            <v>100002135</v>
          </cell>
          <cell r="D1330" t="str">
            <v>MPUC-13600 LIGHT GREY VN-4K</v>
          </cell>
          <cell r="E1330" t="str">
            <v>ZFGD</v>
          </cell>
          <cell r="F1330" t="str">
            <v>PC</v>
          </cell>
          <cell r="G1330" t="str">
            <v>1</v>
          </cell>
          <cell r="H1330" t="str">
            <v>INDUSTRY</v>
          </cell>
          <cell r="I1330" t="str">
            <v>16</v>
          </cell>
          <cell r="J1330" t="str">
            <v>METAL COATINGS</v>
          </cell>
          <cell r="K1330" t="str">
            <v>1601</v>
          </cell>
          <cell r="L1330" t="str">
            <v>METAL COATINGS</v>
          </cell>
          <cell r="M1330" t="str">
            <v>160101</v>
          </cell>
          <cell r="N1330" t="str">
            <v>METAL COATINGS</v>
          </cell>
        </row>
        <row r="1331">
          <cell r="C1331" t="str">
            <v>100002136</v>
          </cell>
          <cell r="D1331" t="str">
            <v>MPUC-13600 LIGHT GREY VN-16KP</v>
          </cell>
          <cell r="E1331" t="str">
            <v>ZFGD</v>
          </cell>
          <cell r="F1331" t="str">
            <v>PC</v>
          </cell>
          <cell r="G1331" t="str">
            <v>1</v>
          </cell>
          <cell r="H1331" t="str">
            <v>INDUSTRY</v>
          </cell>
          <cell r="I1331" t="str">
            <v>16</v>
          </cell>
          <cell r="J1331" t="str">
            <v>METAL COATINGS</v>
          </cell>
          <cell r="K1331" t="str">
            <v>1601</v>
          </cell>
          <cell r="L1331" t="str">
            <v>METAL COATINGS</v>
          </cell>
          <cell r="M1331" t="str">
            <v>160101</v>
          </cell>
          <cell r="N1331" t="str">
            <v>METAL COATINGS</v>
          </cell>
        </row>
        <row r="1332">
          <cell r="C1332" t="str">
            <v>100002137</v>
          </cell>
          <cell r="D1332" t="str">
            <v>MPUC-13600 WHITE 50 VN-4K</v>
          </cell>
          <cell r="E1332" t="str">
            <v>ZFGD</v>
          </cell>
          <cell r="F1332" t="str">
            <v>PC</v>
          </cell>
          <cell r="G1332" t="str">
            <v>1</v>
          </cell>
          <cell r="H1332" t="str">
            <v>INDUSTRY</v>
          </cell>
          <cell r="I1332" t="str">
            <v>16</v>
          </cell>
          <cell r="J1332" t="str">
            <v>METAL COATINGS</v>
          </cell>
          <cell r="K1332" t="str">
            <v>1601</v>
          </cell>
          <cell r="L1332" t="str">
            <v>METAL COATINGS</v>
          </cell>
          <cell r="M1332" t="str">
            <v>160101</v>
          </cell>
          <cell r="N1332" t="str">
            <v>METAL COATINGS</v>
          </cell>
        </row>
        <row r="1333">
          <cell r="C1333" t="str">
            <v>100002138</v>
          </cell>
          <cell r="D1333" t="str">
            <v>MPUC-13600 WHITE 50 VN-16KP</v>
          </cell>
          <cell r="E1333" t="str">
            <v>ZFGD</v>
          </cell>
          <cell r="F1333" t="str">
            <v>PC</v>
          </cell>
          <cell r="G1333" t="str">
            <v>1</v>
          </cell>
          <cell r="H1333" t="str">
            <v>INDUSTRY</v>
          </cell>
          <cell r="I1333" t="str">
            <v>16</v>
          </cell>
          <cell r="J1333" t="str">
            <v>METAL COATINGS</v>
          </cell>
          <cell r="K1333" t="str">
            <v>1601</v>
          </cell>
          <cell r="L1333" t="str">
            <v>METAL COATINGS</v>
          </cell>
          <cell r="M1333" t="str">
            <v>160101</v>
          </cell>
          <cell r="N1333" t="str">
            <v>METAL COATINGS</v>
          </cell>
        </row>
        <row r="1334">
          <cell r="C1334" t="str">
            <v>100002139</v>
          </cell>
          <cell r="D1334" t="str">
            <v>MPUC-13600 LIGHT ALABASTER VN-4K</v>
          </cell>
          <cell r="E1334" t="str">
            <v>ZFGD</v>
          </cell>
          <cell r="F1334" t="str">
            <v>PC</v>
          </cell>
          <cell r="G1334" t="str">
            <v>1</v>
          </cell>
          <cell r="H1334" t="str">
            <v>INDUSTRY</v>
          </cell>
          <cell r="I1334" t="str">
            <v>16</v>
          </cell>
          <cell r="J1334" t="str">
            <v>METAL COATINGS</v>
          </cell>
          <cell r="K1334" t="str">
            <v>1601</v>
          </cell>
          <cell r="L1334" t="str">
            <v>METAL COATINGS</v>
          </cell>
          <cell r="M1334" t="str">
            <v>160101</v>
          </cell>
          <cell r="N1334" t="str">
            <v>METAL COATINGS</v>
          </cell>
        </row>
        <row r="1335">
          <cell r="C1335" t="str">
            <v>100002140</v>
          </cell>
          <cell r="D1335" t="str">
            <v>MPUC-13600 LIGHT ALABASTER VN-16KP</v>
          </cell>
          <cell r="E1335" t="str">
            <v>ZFGD</v>
          </cell>
          <cell r="F1335" t="str">
            <v>PC</v>
          </cell>
          <cell r="G1335" t="str">
            <v>1</v>
          </cell>
          <cell r="H1335" t="str">
            <v>INDUSTRY</v>
          </cell>
          <cell r="I1335" t="str">
            <v>16</v>
          </cell>
          <cell r="J1335" t="str">
            <v>METAL COATINGS</v>
          </cell>
          <cell r="K1335" t="str">
            <v>1601</v>
          </cell>
          <cell r="L1335" t="str">
            <v>METAL COATINGS</v>
          </cell>
          <cell r="M1335" t="str">
            <v>160101</v>
          </cell>
          <cell r="N1335" t="str">
            <v>METAL COATINGS</v>
          </cell>
        </row>
        <row r="1336">
          <cell r="C1336" t="str">
            <v>100002141</v>
          </cell>
          <cell r="D1336" t="str">
            <v>MPUC-13600 DARK BLUE MH 01 20 VN-4K</v>
          </cell>
          <cell r="E1336" t="str">
            <v>ZFGD</v>
          </cell>
          <cell r="F1336" t="str">
            <v>PC</v>
          </cell>
          <cell r="G1336" t="str">
            <v>1</v>
          </cell>
          <cell r="H1336" t="str">
            <v>INDUSTRY</v>
          </cell>
          <cell r="I1336" t="str">
            <v>16</v>
          </cell>
          <cell r="J1336" t="str">
            <v>METAL COATINGS</v>
          </cell>
          <cell r="K1336" t="str">
            <v>1601</v>
          </cell>
          <cell r="L1336" t="str">
            <v>METAL COATINGS</v>
          </cell>
          <cell r="M1336" t="str">
            <v>160101</v>
          </cell>
          <cell r="N1336" t="str">
            <v>METAL COATINGS</v>
          </cell>
        </row>
        <row r="1337">
          <cell r="C1337" t="str">
            <v>100002200</v>
          </cell>
          <cell r="D1337" t="str">
            <v>HARDENER PFT-253 FKW VN-4K</v>
          </cell>
          <cell r="E1337" t="str">
            <v>ZFGD</v>
          </cell>
          <cell r="F1337" t="str">
            <v>PC</v>
          </cell>
          <cell r="G1337" t="str">
            <v>5</v>
          </cell>
          <cell r="H1337" t="str">
            <v>PROJECT</v>
          </cell>
          <cell r="I1337" t="str">
            <v>56</v>
          </cell>
          <cell r="J1337" t="str">
            <v>CPC1</v>
          </cell>
          <cell r="K1337" t="str">
            <v>5607</v>
          </cell>
          <cell r="L1337" t="str">
            <v>OTHERS CPC1</v>
          </cell>
          <cell r="M1337" t="str">
            <v>560703</v>
          </cell>
          <cell r="N1337" t="str">
            <v>COMPLEMENTARY CPC1</v>
          </cell>
        </row>
        <row r="1338">
          <cell r="C1338" t="str">
            <v>100002259</v>
          </cell>
          <cell r="D1338" t="str">
            <v>16-2005 URT SANDING A VN-200KB</v>
          </cell>
          <cell r="E1338" t="str">
            <v>ZFGD</v>
          </cell>
          <cell r="F1338" t="str">
            <v>PC</v>
          </cell>
          <cell r="G1338" t="str">
            <v>1</v>
          </cell>
          <cell r="H1338" t="str">
            <v>INDUSTRY</v>
          </cell>
          <cell r="I1338" t="str">
            <v>11</v>
          </cell>
          <cell r="J1338" t="str">
            <v>WOOD COATINGS</v>
          </cell>
          <cell r="K1338" t="str">
            <v>1103</v>
          </cell>
          <cell r="L1338" t="str">
            <v>PU</v>
          </cell>
          <cell r="M1338" t="str">
            <v>110308</v>
          </cell>
          <cell r="N1338" t="str">
            <v>UNION SANDING SEALER</v>
          </cell>
        </row>
        <row r="1339">
          <cell r="C1339" t="str">
            <v>100002260</v>
          </cell>
          <cell r="D1339" t="str">
            <v>16-2005 URT SANDING A VN-20KP</v>
          </cell>
          <cell r="E1339" t="str">
            <v>ZFGD</v>
          </cell>
          <cell r="F1339" t="str">
            <v>PC</v>
          </cell>
          <cell r="G1339" t="str">
            <v>1</v>
          </cell>
          <cell r="H1339" t="str">
            <v>INDUSTRY</v>
          </cell>
          <cell r="I1339" t="str">
            <v>11</v>
          </cell>
          <cell r="J1339" t="str">
            <v>WOOD COATINGS</v>
          </cell>
          <cell r="K1339" t="str">
            <v>1103</v>
          </cell>
          <cell r="L1339" t="str">
            <v>PU</v>
          </cell>
          <cell r="M1339" t="str">
            <v>110308</v>
          </cell>
          <cell r="N1339" t="str">
            <v>UNION SANDING SEALER</v>
          </cell>
        </row>
        <row r="1340">
          <cell r="C1340" t="str">
            <v>100002261</v>
          </cell>
          <cell r="D1340" t="str">
            <v>26-1005 URT FLAT A VN-16KP</v>
          </cell>
          <cell r="E1340" t="str">
            <v>ZFGD</v>
          </cell>
          <cell r="F1340" t="str">
            <v>PC</v>
          </cell>
          <cell r="G1340" t="str">
            <v>1</v>
          </cell>
          <cell r="H1340" t="str">
            <v>INDUSTRY</v>
          </cell>
          <cell r="I1340" t="str">
            <v>11</v>
          </cell>
          <cell r="J1340" t="str">
            <v>WOOD COATINGS</v>
          </cell>
          <cell r="K1340" t="str">
            <v>1103</v>
          </cell>
          <cell r="L1340" t="str">
            <v>PU</v>
          </cell>
          <cell r="M1340" t="str">
            <v>110312</v>
          </cell>
          <cell r="N1340" t="str">
            <v>UNION TOP COAT</v>
          </cell>
        </row>
        <row r="1341">
          <cell r="C1341" t="str">
            <v>100002262</v>
          </cell>
          <cell r="D1341" t="str">
            <v>26-4029 URT WHITE A VN-16KP</v>
          </cell>
          <cell r="E1341" t="str">
            <v>ZFGD</v>
          </cell>
          <cell r="F1341" t="str">
            <v>PC</v>
          </cell>
          <cell r="G1341" t="str">
            <v>1</v>
          </cell>
          <cell r="H1341" t="str">
            <v>INDUSTRY</v>
          </cell>
          <cell r="I1341" t="str">
            <v>11</v>
          </cell>
          <cell r="J1341" t="str">
            <v>WOOD COATINGS</v>
          </cell>
          <cell r="K1341" t="str">
            <v>1103</v>
          </cell>
          <cell r="L1341" t="str">
            <v>PU</v>
          </cell>
          <cell r="M1341" t="str">
            <v>110301</v>
          </cell>
          <cell r="N1341" t="str">
            <v>UNION CONCRETE PANEL</v>
          </cell>
        </row>
        <row r="1342">
          <cell r="C1342" t="str">
            <v>100002263</v>
          </cell>
          <cell r="D1342" t="str">
            <v>82-1185 UE AF URT FLAT A VN-16KP</v>
          </cell>
          <cell r="E1342" t="str">
            <v>ZFGD</v>
          </cell>
          <cell r="F1342" t="str">
            <v>PC</v>
          </cell>
          <cell r="G1342" t="str">
            <v>1</v>
          </cell>
          <cell r="H1342" t="str">
            <v>INDUSTRY</v>
          </cell>
          <cell r="I1342" t="str">
            <v>11</v>
          </cell>
          <cell r="J1342" t="str">
            <v>WOOD COATINGS</v>
          </cell>
          <cell r="K1342" t="str">
            <v>1103</v>
          </cell>
          <cell r="L1342" t="str">
            <v>PU</v>
          </cell>
          <cell r="M1342" t="str">
            <v>110312</v>
          </cell>
          <cell r="N1342" t="str">
            <v>UNION TOP COAT</v>
          </cell>
        </row>
        <row r="1343">
          <cell r="C1343" t="str">
            <v>100002264</v>
          </cell>
          <cell r="D1343" t="str">
            <v>82-1189 UE AF URT FLAT A 5% VN-16KP</v>
          </cell>
          <cell r="E1343" t="str">
            <v>ZFGD</v>
          </cell>
          <cell r="F1343" t="str">
            <v>PC</v>
          </cell>
          <cell r="G1343" t="str">
            <v>1</v>
          </cell>
          <cell r="H1343" t="str">
            <v>INDUSTRY</v>
          </cell>
          <cell r="I1343" t="str">
            <v>11</v>
          </cell>
          <cell r="J1343" t="str">
            <v>WOOD COATINGS</v>
          </cell>
          <cell r="K1343" t="str">
            <v>1103</v>
          </cell>
          <cell r="L1343" t="str">
            <v>PU</v>
          </cell>
          <cell r="M1343" t="str">
            <v>110312</v>
          </cell>
          <cell r="N1343" t="str">
            <v>UNION TOP COAT</v>
          </cell>
        </row>
        <row r="1344">
          <cell r="C1344" t="str">
            <v>100002265</v>
          </cell>
          <cell r="D1344" t="str">
            <v>82-4029 UE URT WHITE A-16KP</v>
          </cell>
          <cell r="E1344" t="str">
            <v>ZFGD</v>
          </cell>
          <cell r="F1344" t="str">
            <v>PC</v>
          </cell>
          <cell r="G1344" t="str">
            <v>1</v>
          </cell>
          <cell r="H1344" t="str">
            <v>INDUSTRY</v>
          </cell>
          <cell r="I1344" t="str">
            <v>11</v>
          </cell>
          <cell r="J1344" t="str">
            <v>WOOD COATINGS</v>
          </cell>
          <cell r="K1344" t="str">
            <v>1103</v>
          </cell>
          <cell r="L1344" t="str">
            <v>PU</v>
          </cell>
          <cell r="M1344" t="str">
            <v>110312</v>
          </cell>
          <cell r="N1344" t="str">
            <v>UNION TOP COAT</v>
          </cell>
        </row>
        <row r="1345">
          <cell r="C1345" t="str">
            <v>100002266</v>
          </cell>
          <cell r="D1345" t="str">
            <v>AL-088 VN-20LP</v>
          </cell>
          <cell r="E1345" t="str">
            <v>ZFGD</v>
          </cell>
          <cell r="F1345" t="str">
            <v>PC</v>
          </cell>
          <cell r="G1345" t="str">
            <v>1</v>
          </cell>
          <cell r="H1345" t="str">
            <v>INDUSTRY</v>
          </cell>
          <cell r="I1345" t="str">
            <v>11</v>
          </cell>
          <cell r="J1345" t="str">
            <v>WOOD COATINGS</v>
          </cell>
          <cell r="K1345" t="str">
            <v>1103</v>
          </cell>
          <cell r="L1345" t="str">
            <v>PU</v>
          </cell>
          <cell r="M1345" t="str">
            <v>110325</v>
          </cell>
          <cell r="N1345" t="str">
            <v>UNION HARDENER</v>
          </cell>
        </row>
        <row r="1346">
          <cell r="C1346" t="str">
            <v>100002267</v>
          </cell>
          <cell r="D1346" t="str">
            <v>AL-088 VN-4L</v>
          </cell>
          <cell r="E1346" t="str">
            <v>ZFGD</v>
          </cell>
          <cell r="F1346" t="str">
            <v>PC</v>
          </cell>
          <cell r="G1346" t="str">
            <v>1</v>
          </cell>
          <cell r="H1346" t="str">
            <v>INDUSTRY</v>
          </cell>
          <cell r="I1346" t="str">
            <v>11</v>
          </cell>
          <cell r="J1346" t="str">
            <v>WOOD COATINGS</v>
          </cell>
          <cell r="K1346" t="str">
            <v>1103</v>
          </cell>
          <cell r="L1346" t="str">
            <v>PU</v>
          </cell>
          <cell r="M1346" t="str">
            <v>110325</v>
          </cell>
          <cell r="N1346" t="str">
            <v>UNION HARDENER</v>
          </cell>
        </row>
        <row r="1347">
          <cell r="C1347" t="str">
            <v>100002268</v>
          </cell>
          <cell r="D1347" t="str">
            <v>AL-089 VN-20KP</v>
          </cell>
          <cell r="E1347" t="str">
            <v>ZFGD</v>
          </cell>
          <cell r="F1347" t="str">
            <v>PC</v>
          </cell>
          <cell r="G1347" t="str">
            <v>1</v>
          </cell>
          <cell r="H1347" t="str">
            <v>INDUSTRY</v>
          </cell>
          <cell r="I1347" t="str">
            <v>11</v>
          </cell>
          <cell r="J1347" t="str">
            <v>WOOD COATINGS</v>
          </cell>
          <cell r="K1347" t="str">
            <v>1103</v>
          </cell>
          <cell r="L1347" t="str">
            <v>PU</v>
          </cell>
          <cell r="M1347" t="str">
            <v>110325</v>
          </cell>
          <cell r="N1347" t="str">
            <v>UNION HARDENER</v>
          </cell>
        </row>
        <row r="1348">
          <cell r="C1348" t="str">
            <v>100002269</v>
          </cell>
          <cell r="D1348" t="str">
            <v>AL-089 VN-4K</v>
          </cell>
          <cell r="E1348" t="str">
            <v>ZFGD</v>
          </cell>
          <cell r="F1348" t="str">
            <v>PC</v>
          </cell>
          <cell r="G1348" t="str">
            <v>1</v>
          </cell>
          <cell r="H1348" t="str">
            <v>INDUSTRY</v>
          </cell>
          <cell r="I1348" t="str">
            <v>11</v>
          </cell>
          <cell r="J1348" t="str">
            <v>WOOD COATINGS</v>
          </cell>
          <cell r="K1348" t="str">
            <v>1103</v>
          </cell>
          <cell r="L1348" t="str">
            <v>PU</v>
          </cell>
          <cell r="M1348" t="str">
            <v>110325</v>
          </cell>
          <cell r="N1348" t="str">
            <v>UNION HARDENER</v>
          </cell>
        </row>
        <row r="1349">
          <cell r="C1349" t="str">
            <v>100002270</v>
          </cell>
          <cell r="D1349" t="str">
            <v>DC-12221 LC YELLOW 10 PT VN-20KP</v>
          </cell>
          <cell r="E1349" t="str">
            <v>ZFGD</v>
          </cell>
          <cell r="F1349" t="str">
            <v>PC</v>
          </cell>
          <cell r="G1349" t="str">
            <v>1</v>
          </cell>
          <cell r="H1349" t="str">
            <v>INDUSTRY</v>
          </cell>
          <cell r="I1349" t="str">
            <v>11</v>
          </cell>
          <cell r="J1349" t="str">
            <v>WOOD COATINGS</v>
          </cell>
          <cell r="K1349" t="str">
            <v>1104</v>
          </cell>
          <cell r="L1349" t="str">
            <v>NC</v>
          </cell>
          <cell r="M1349" t="str">
            <v>110405</v>
          </cell>
          <cell r="N1349" t="str">
            <v>NC SYSTEM</v>
          </cell>
        </row>
        <row r="1350">
          <cell r="C1350" t="str">
            <v>100002271</v>
          </cell>
          <cell r="D1350" t="str">
            <v>DC-12223 LC 1003 20 HS VN-20KP</v>
          </cell>
          <cell r="E1350" t="str">
            <v>ZFGD</v>
          </cell>
          <cell r="F1350" t="str">
            <v>PC</v>
          </cell>
          <cell r="G1350" t="str">
            <v>1</v>
          </cell>
          <cell r="H1350" t="str">
            <v>INDUSTRY</v>
          </cell>
          <cell r="I1350" t="str">
            <v>11</v>
          </cell>
          <cell r="J1350" t="str">
            <v>WOOD COATINGS</v>
          </cell>
          <cell r="K1350" t="str">
            <v>1104</v>
          </cell>
          <cell r="L1350" t="str">
            <v>NC</v>
          </cell>
          <cell r="M1350" t="str">
            <v>110405</v>
          </cell>
          <cell r="N1350" t="str">
            <v>NC SYSTEM</v>
          </cell>
        </row>
        <row r="1351">
          <cell r="C1351" t="str">
            <v>100002272</v>
          </cell>
          <cell r="D1351" t="str">
            <v>DC-12223 LC 1004 20 HS VN-20KP</v>
          </cell>
          <cell r="E1351" t="str">
            <v>ZFGD</v>
          </cell>
          <cell r="F1351" t="str">
            <v>PC</v>
          </cell>
          <cell r="G1351" t="str">
            <v>1</v>
          </cell>
          <cell r="H1351" t="str">
            <v>INDUSTRY</v>
          </cell>
          <cell r="I1351" t="str">
            <v>11</v>
          </cell>
          <cell r="J1351" t="str">
            <v>WOOD COATINGS</v>
          </cell>
          <cell r="K1351" t="str">
            <v>1104</v>
          </cell>
          <cell r="L1351" t="str">
            <v>NC</v>
          </cell>
          <cell r="M1351" t="str">
            <v>110405</v>
          </cell>
          <cell r="N1351" t="str">
            <v>NC SYSTEM</v>
          </cell>
        </row>
        <row r="1352">
          <cell r="C1352" t="str">
            <v>100002273</v>
          </cell>
          <cell r="D1352" t="str">
            <v>DC-12223 LC 11 20 F1 VN-20KP</v>
          </cell>
          <cell r="E1352" t="str">
            <v>ZFGD</v>
          </cell>
          <cell r="F1352" t="str">
            <v>PC</v>
          </cell>
          <cell r="G1352" t="str">
            <v>1</v>
          </cell>
          <cell r="H1352" t="str">
            <v>INDUSTRY</v>
          </cell>
          <cell r="I1352" t="str">
            <v>11</v>
          </cell>
          <cell r="J1352" t="str">
            <v>WOOD COATINGS</v>
          </cell>
          <cell r="K1352" t="str">
            <v>1104</v>
          </cell>
          <cell r="L1352" t="str">
            <v>NC</v>
          </cell>
          <cell r="M1352" t="str">
            <v>110405</v>
          </cell>
          <cell r="N1352" t="str">
            <v>NC SYSTEM</v>
          </cell>
        </row>
        <row r="1353">
          <cell r="C1353" t="str">
            <v>100002274</v>
          </cell>
          <cell r="D1353" t="str">
            <v>DC-12223 LC 217 10 F1 VN-20KP</v>
          </cell>
          <cell r="E1353" t="str">
            <v>ZFGD</v>
          </cell>
          <cell r="F1353" t="str">
            <v>PC</v>
          </cell>
          <cell r="G1353" t="str">
            <v>1</v>
          </cell>
          <cell r="H1353" t="str">
            <v>INDUSTRY</v>
          </cell>
          <cell r="I1353" t="str">
            <v>11</v>
          </cell>
          <cell r="J1353" t="str">
            <v>WOOD COATINGS</v>
          </cell>
          <cell r="K1353" t="str">
            <v>1104</v>
          </cell>
          <cell r="L1353" t="str">
            <v>NC</v>
          </cell>
          <cell r="M1353" t="str">
            <v>110405</v>
          </cell>
          <cell r="N1353" t="str">
            <v>NC SYSTEM</v>
          </cell>
        </row>
        <row r="1354">
          <cell r="C1354" t="str">
            <v>100002275</v>
          </cell>
          <cell r="D1354" t="str">
            <v>DC-12223 LC 221 20 F1 VN-20KP</v>
          </cell>
          <cell r="E1354" t="str">
            <v>ZFGD</v>
          </cell>
          <cell r="F1354" t="str">
            <v>PC</v>
          </cell>
          <cell r="G1354" t="str">
            <v>1</v>
          </cell>
          <cell r="H1354" t="str">
            <v>INDUSTRY</v>
          </cell>
          <cell r="I1354" t="str">
            <v>11</v>
          </cell>
          <cell r="J1354" t="str">
            <v>WOOD COATINGS</v>
          </cell>
          <cell r="K1354" t="str">
            <v>1104</v>
          </cell>
          <cell r="L1354" t="str">
            <v>NC</v>
          </cell>
          <cell r="M1354" t="str">
            <v>110405</v>
          </cell>
          <cell r="N1354" t="str">
            <v>NC SYSTEM</v>
          </cell>
        </row>
        <row r="1355">
          <cell r="C1355" t="str">
            <v>100002276</v>
          </cell>
          <cell r="D1355" t="str">
            <v>DC-12223 LC 236 30 F1 VN-20KP</v>
          </cell>
          <cell r="E1355" t="str">
            <v>ZFGD</v>
          </cell>
          <cell r="F1355" t="str">
            <v>PC</v>
          </cell>
          <cell r="G1355" t="str">
            <v>1</v>
          </cell>
          <cell r="H1355" t="str">
            <v>INDUSTRY</v>
          </cell>
          <cell r="I1355" t="str">
            <v>11</v>
          </cell>
          <cell r="J1355" t="str">
            <v>WOOD COATINGS</v>
          </cell>
          <cell r="K1355" t="str">
            <v>1104</v>
          </cell>
          <cell r="L1355" t="str">
            <v>NC</v>
          </cell>
          <cell r="M1355" t="str">
            <v>110405</v>
          </cell>
          <cell r="N1355" t="str">
            <v>NC SYSTEM</v>
          </cell>
        </row>
        <row r="1356">
          <cell r="C1356" t="str">
            <v>100002277</v>
          </cell>
          <cell r="D1356" t="str">
            <v>DC-12223 LC 42 10 F1 VN-20KP</v>
          </cell>
          <cell r="E1356" t="str">
            <v>ZFGD</v>
          </cell>
          <cell r="F1356" t="str">
            <v>PC</v>
          </cell>
          <cell r="G1356" t="str">
            <v>1</v>
          </cell>
          <cell r="H1356" t="str">
            <v>INDUSTRY</v>
          </cell>
          <cell r="I1356" t="str">
            <v>11</v>
          </cell>
          <cell r="J1356" t="str">
            <v>WOOD COATINGS</v>
          </cell>
          <cell r="K1356" t="str">
            <v>1104</v>
          </cell>
          <cell r="L1356" t="str">
            <v>NC</v>
          </cell>
          <cell r="M1356" t="str">
            <v>110405</v>
          </cell>
          <cell r="N1356" t="str">
            <v>NC SYSTEM</v>
          </cell>
        </row>
        <row r="1357">
          <cell r="C1357" t="str">
            <v>100002278</v>
          </cell>
          <cell r="D1357" t="str">
            <v>DC-12223 LC 56 10 F1 VN-20KP</v>
          </cell>
          <cell r="E1357" t="str">
            <v>ZFGD</v>
          </cell>
          <cell r="F1357" t="str">
            <v>PC</v>
          </cell>
          <cell r="G1357" t="str">
            <v>1</v>
          </cell>
          <cell r="H1357" t="str">
            <v>INDUSTRY</v>
          </cell>
          <cell r="I1357" t="str">
            <v>11</v>
          </cell>
          <cell r="J1357" t="str">
            <v>WOOD COATINGS</v>
          </cell>
          <cell r="K1357" t="str">
            <v>1104</v>
          </cell>
          <cell r="L1357" t="str">
            <v>NC</v>
          </cell>
          <cell r="M1357" t="str">
            <v>110405</v>
          </cell>
          <cell r="N1357" t="str">
            <v>NC SYSTEM</v>
          </cell>
        </row>
        <row r="1358">
          <cell r="C1358" t="str">
            <v>100002279</v>
          </cell>
          <cell r="D1358" t="str">
            <v>DC-12223 LC 702 30 HM VN-20KP</v>
          </cell>
          <cell r="E1358" t="str">
            <v>ZFGD</v>
          </cell>
          <cell r="F1358" t="str">
            <v>PC</v>
          </cell>
          <cell r="G1358" t="str">
            <v>1</v>
          </cell>
          <cell r="H1358" t="str">
            <v>INDUSTRY</v>
          </cell>
          <cell r="I1358" t="str">
            <v>11</v>
          </cell>
          <cell r="J1358" t="str">
            <v>WOOD COATINGS</v>
          </cell>
          <cell r="K1358" t="str">
            <v>1104</v>
          </cell>
          <cell r="L1358" t="str">
            <v>NC</v>
          </cell>
          <cell r="M1358" t="str">
            <v>110405</v>
          </cell>
          <cell r="N1358" t="str">
            <v>NC SYSTEM</v>
          </cell>
        </row>
        <row r="1359">
          <cell r="C1359" t="str">
            <v>100002280</v>
          </cell>
          <cell r="D1359" t="str">
            <v>DC-12223 LC CBLUE 30 HS VN-20KP</v>
          </cell>
          <cell r="E1359" t="str">
            <v>ZFGD</v>
          </cell>
          <cell r="F1359" t="str">
            <v>PC</v>
          </cell>
          <cell r="G1359" t="str">
            <v>1</v>
          </cell>
          <cell r="H1359" t="str">
            <v>INDUSTRY</v>
          </cell>
          <cell r="I1359" t="str">
            <v>11</v>
          </cell>
          <cell r="J1359" t="str">
            <v>WOOD COATINGS</v>
          </cell>
          <cell r="K1359" t="str">
            <v>1104</v>
          </cell>
          <cell r="L1359" t="str">
            <v>NC</v>
          </cell>
          <cell r="M1359" t="str">
            <v>110405</v>
          </cell>
          <cell r="N1359" t="str">
            <v>NC SYSTEM</v>
          </cell>
        </row>
        <row r="1360">
          <cell r="C1360" t="str">
            <v>100002281</v>
          </cell>
          <cell r="D1360" t="str">
            <v>DC-12223 LC CREAM 10 DM VN-20KP</v>
          </cell>
          <cell r="E1360" t="str">
            <v>ZFGD</v>
          </cell>
          <cell r="F1360" t="str">
            <v>PC</v>
          </cell>
          <cell r="G1360" t="str">
            <v>1</v>
          </cell>
          <cell r="H1360" t="str">
            <v>INDUSTRY</v>
          </cell>
          <cell r="I1360" t="str">
            <v>11</v>
          </cell>
          <cell r="J1360" t="str">
            <v>WOOD COATINGS</v>
          </cell>
          <cell r="K1360" t="str">
            <v>1104</v>
          </cell>
          <cell r="L1360" t="str">
            <v>NC</v>
          </cell>
          <cell r="M1360" t="str">
            <v>110405</v>
          </cell>
          <cell r="N1360" t="str">
            <v>NC SYSTEM</v>
          </cell>
        </row>
        <row r="1361">
          <cell r="C1361" t="str">
            <v>100002282</v>
          </cell>
          <cell r="D1361" t="str">
            <v>DC-12223 LC F 016 30 HS VN-20KP</v>
          </cell>
          <cell r="E1361" t="str">
            <v>ZFGD</v>
          </cell>
          <cell r="F1361" t="str">
            <v>PC</v>
          </cell>
          <cell r="G1361" t="str">
            <v>1</v>
          </cell>
          <cell r="H1361" t="str">
            <v>INDUSTRY</v>
          </cell>
          <cell r="I1361" t="str">
            <v>11</v>
          </cell>
          <cell r="J1361" t="str">
            <v>WOOD COATINGS</v>
          </cell>
          <cell r="K1361" t="str">
            <v>1104</v>
          </cell>
          <cell r="L1361" t="str">
            <v>NC</v>
          </cell>
          <cell r="M1361" t="str">
            <v>110405</v>
          </cell>
          <cell r="N1361" t="str">
            <v>NC SYSTEM</v>
          </cell>
        </row>
        <row r="1362">
          <cell r="C1362" t="str">
            <v>100002283</v>
          </cell>
          <cell r="D1362" t="str">
            <v>DC-12223 LC F 018 30 HS VN-20KP</v>
          </cell>
          <cell r="E1362" t="str">
            <v>ZFGD</v>
          </cell>
          <cell r="F1362" t="str">
            <v>PC</v>
          </cell>
          <cell r="G1362" t="str">
            <v>1</v>
          </cell>
          <cell r="H1362" t="str">
            <v>INDUSTRY</v>
          </cell>
          <cell r="I1362" t="str">
            <v>11</v>
          </cell>
          <cell r="J1362" t="str">
            <v>WOOD COATINGS</v>
          </cell>
          <cell r="K1362" t="str">
            <v>1104</v>
          </cell>
          <cell r="L1362" t="str">
            <v>NC</v>
          </cell>
          <cell r="M1362" t="str">
            <v>110405</v>
          </cell>
          <cell r="N1362" t="str">
            <v>NC SYSTEM</v>
          </cell>
        </row>
        <row r="1363">
          <cell r="C1363" t="str">
            <v>100002284</v>
          </cell>
          <cell r="D1363" t="str">
            <v>DC-12223 LC F 019 30 HS VN-20KP</v>
          </cell>
          <cell r="E1363" t="str">
            <v>ZFGD</v>
          </cell>
          <cell r="F1363" t="str">
            <v>PC</v>
          </cell>
          <cell r="G1363" t="str">
            <v>1</v>
          </cell>
          <cell r="H1363" t="str">
            <v>INDUSTRY</v>
          </cell>
          <cell r="I1363" t="str">
            <v>11</v>
          </cell>
          <cell r="J1363" t="str">
            <v>WOOD COATINGS</v>
          </cell>
          <cell r="K1363" t="str">
            <v>1104</v>
          </cell>
          <cell r="L1363" t="str">
            <v>NC</v>
          </cell>
          <cell r="M1363" t="str">
            <v>110405</v>
          </cell>
          <cell r="N1363" t="str">
            <v>NC SYSTEM</v>
          </cell>
        </row>
        <row r="1364">
          <cell r="C1364" t="str">
            <v>100002285</v>
          </cell>
          <cell r="D1364" t="str">
            <v>DC-12223 LC GIN 10 XD VN-20KP</v>
          </cell>
          <cell r="E1364" t="str">
            <v>ZFGD</v>
          </cell>
          <cell r="F1364" t="str">
            <v>PC</v>
          </cell>
          <cell r="G1364" t="str">
            <v>1</v>
          </cell>
          <cell r="H1364" t="str">
            <v>INDUSTRY</v>
          </cell>
          <cell r="I1364" t="str">
            <v>11</v>
          </cell>
          <cell r="J1364" t="str">
            <v>WOOD COATINGS</v>
          </cell>
          <cell r="K1364" t="str">
            <v>1104</v>
          </cell>
          <cell r="L1364" t="str">
            <v>NC</v>
          </cell>
          <cell r="M1364" t="str">
            <v>110405</v>
          </cell>
          <cell r="N1364" t="str">
            <v>NC SYSTEM</v>
          </cell>
        </row>
        <row r="1365">
          <cell r="C1365" t="str">
            <v>100002286</v>
          </cell>
          <cell r="D1365" t="str">
            <v>DC-12223 LC GOL 19 10 F1 VN-20KP</v>
          </cell>
          <cell r="E1365" t="str">
            <v>ZFGD</v>
          </cell>
          <cell r="F1365" t="str">
            <v>PC</v>
          </cell>
          <cell r="G1365" t="str">
            <v>1</v>
          </cell>
          <cell r="H1365" t="str">
            <v>INDUSTRY</v>
          </cell>
          <cell r="I1365" t="str">
            <v>11</v>
          </cell>
          <cell r="J1365" t="str">
            <v>WOOD COATINGS</v>
          </cell>
          <cell r="K1365" t="str">
            <v>1104</v>
          </cell>
          <cell r="L1365" t="str">
            <v>NC</v>
          </cell>
          <cell r="M1365" t="str">
            <v>110405</v>
          </cell>
          <cell r="N1365" t="str">
            <v>NC SYSTEM</v>
          </cell>
        </row>
        <row r="1366">
          <cell r="C1366" t="str">
            <v>100002287</v>
          </cell>
          <cell r="D1366" t="str">
            <v>DC-12223 LC MG 20 TL VN-20KP</v>
          </cell>
          <cell r="E1366" t="str">
            <v>ZFGD</v>
          </cell>
          <cell r="F1366" t="str">
            <v>PC</v>
          </cell>
          <cell r="G1366" t="str">
            <v>1</v>
          </cell>
          <cell r="H1366" t="str">
            <v>INDUSTRY</v>
          </cell>
          <cell r="I1366" t="str">
            <v>11</v>
          </cell>
          <cell r="J1366" t="str">
            <v>WOOD COATINGS</v>
          </cell>
          <cell r="K1366" t="str">
            <v>1104</v>
          </cell>
          <cell r="L1366" t="str">
            <v>NC</v>
          </cell>
          <cell r="M1366" t="str">
            <v>110405</v>
          </cell>
          <cell r="N1366" t="str">
            <v>NC SYSTEM</v>
          </cell>
        </row>
        <row r="1367">
          <cell r="C1367" t="str">
            <v>100002288</v>
          </cell>
          <cell r="D1367" t="str">
            <v>DC-12223 LC ML 10 AH VN-20KP</v>
          </cell>
          <cell r="E1367" t="str">
            <v>ZFGD</v>
          </cell>
          <cell r="F1367" t="str">
            <v>PC</v>
          </cell>
          <cell r="G1367" t="str">
            <v>1</v>
          </cell>
          <cell r="H1367" t="str">
            <v>INDUSTRY</v>
          </cell>
          <cell r="I1367" t="str">
            <v>11</v>
          </cell>
          <cell r="J1367" t="str">
            <v>WOOD COATINGS</v>
          </cell>
          <cell r="K1367" t="str">
            <v>1104</v>
          </cell>
          <cell r="L1367" t="str">
            <v>NC</v>
          </cell>
          <cell r="M1367" t="str">
            <v>110405</v>
          </cell>
          <cell r="N1367" t="str">
            <v>NC SYSTEM</v>
          </cell>
        </row>
        <row r="1368">
          <cell r="C1368" t="str">
            <v>100002289</v>
          </cell>
          <cell r="D1368" t="str">
            <v>DC-12223 LC MW 10 TL VN-20KP</v>
          </cell>
          <cell r="E1368" t="str">
            <v>ZFGD</v>
          </cell>
          <cell r="F1368" t="str">
            <v>PC</v>
          </cell>
          <cell r="G1368" t="str">
            <v>1</v>
          </cell>
          <cell r="H1368" t="str">
            <v>INDUSTRY</v>
          </cell>
          <cell r="I1368" t="str">
            <v>11</v>
          </cell>
          <cell r="J1368" t="str">
            <v>WOOD COATINGS</v>
          </cell>
          <cell r="K1368" t="str">
            <v>1104</v>
          </cell>
          <cell r="L1368" t="str">
            <v>NC</v>
          </cell>
          <cell r="M1368" t="str">
            <v>110405</v>
          </cell>
          <cell r="N1368" t="str">
            <v>NC SYSTEM</v>
          </cell>
        </row>
        <row r="1369">
          <cell r="C1369" t="str">
            <v>100002290</v>
          </cell>
          <cell r="D1369" t="str">
            <v>DC-12223 LC RL 20 VL VN-20KP</v>
          </cell>
          <cell r="E1369" t="str">
            <v>ZFGD</v>
          </cell>
          <cell r="F1369" t="str">
            <v>PC</v>
          </cell>
          <cell r="G1369" t="str">
            <v>1</v>
          </cell>
          <cell r="H1369" t="str">
            <v>INDUSTRY</v>
          </cell>
          <cell r="I1369" t="str">
            <v>11</v>
          </cell>
          <cell r="J1369" t="str">
            <v>WOOD COATINGS</v>
          </cell>
          <cell r="K1369" t="str">
            <v>1104</v>
          </cell>
          <cell r="L1369" t="str">
            <v>NC</v>
          </cell>
          <cell r="M1369" t="str">
            <v>110405</v>
          </cell>
          <cell r="N1369" t="str">
            <v>NC SYSTEM</v>
          </cell>
        </row>
        <row r="1370">
          <cell r="C1370" t="str">
            <v>100002291</v>
          </cell>
          <cell r="D1370" t="str">
            <v>DC-12223 LC RL 30 VL VN-20KP</v>
          </cell>
          <cell r="E1370" t="str">
            <v>ZFGD</v>
          </cell>
          <cell r="F1370" t="str">
            <v>PC</v>
          </cell>
          <cell r="G1370" t="str">
            <v>1</v>
          </cell>
          <cell r="H1370" t="str">
            <v>INDUSTRY</v>
          </cell>
          <cell r="I1370" t="str">
            <v>11</v>
          </cell>
          <cell r="J1370" t="str">
            <v>WOOD COATINGS</v>
          </cell>
          <cell r="K1370" t="str">
            <v>1104</v>
          </cell>
          <cell r="L1370" t="str">
            <v>NC</v>
          </cell>
          <cell r="M1370" t="str">
            <v>110405</v>
          </cell>
          <cell r="N1370" t="str">
            <v>NC SYSTEM</v>
          </cell>
        </row>
        <row r="1371">
          <cell r="C1371" t="str">
            <v>100002292</v>
          </cell>
          <cell r="D1371" t="str">
            <v>DC-12223 LC WHITE 01 05 VN-18KP</v>
          </cell>
          <cell r="E1371" t="str">
            <v>ZFGD</v>
          </cell>
          <cell r="F1371" t="str">
            <v>PC</v>
          </cell>
          <cell r="G1371" t="str">
            <v>1</v>
          </cell>
          <cell r="H1371" t="str">
            <v>INDUSTRY</v>
          </cell>
          <cell r="I1371" t="str">
            <v>11</v>
          </cell>
          <cell r="J1371" t="str">
            <v>WOOD COATINGS</v>
          </cell>
          <cell r="K1371" t="str">
            <v>1104</v>
          </cell>
          <cell r="L1371" t="str">
            <v>NC</v>
          </cell>
          <cell r="M1371" t="str">
            <v>110405</v>
          </cell>
          <cell r="N1371" t="str">
            <v>NC SYSTEM</v>
          </cell>
        </row>
        <row r="1372">
          <cell r="C1372" t="str">
            <v>100002293</v>
          </cell>
          <cell r="D1372" t="str">
            <v>DC-12223 LC WHITE 01 10 VN-20KP</v>
          </cell>
          <cell r="E1372" t="str">
            <v>ZFGD</v>
          </cell>
          <cell r="F1372" t="str">
            <v>PC</v>
          </cell>
          <cell r="G1372" t="str">
            <v>1</v>
          </cell>
          <cell r="H1372" t="str">
            <v>INDUSTRY</v>
          </cell>
          <cell r="I1372" t="str">
            <v>11</v>
          </cell>
          <cell r="J1372" t="str">
            <v>WOOD COATINGS</v>
          </cell>
          <cell r="K1372" t="str">
            <v>1104</v>
          </cell>
          <cell r="L1372" t="str">
            <v>NC</v>
          </cell>
          <cell r="M1372" t="str">
            <v>110405</v>
          </cell>
          <cell r="N1372" t="str">
            <v>NC SYSTEM</v>
          </cell>
        </row>
        <row r="1373">
          <cell r="C1373" t="str">
            <v>100002294</v>
          </cell>
          <cell r="D1373" t="str">
            <v>DC-12223 LC WHITE 01 20 VN-20KP</v>
          </cell>
          <cell r="E1373" t="str">
            <v>ZFGD</v>
          </cell>
          <cell r="F1373" t="str">
            <v>PC</v>
          </cell>
          <cell r="G1373" t="str">
            <v>1</v>
          </cell>
          <cell r="H1373" t="str">
            <v>INDUSTRY</v>
          </cell>
          <cell r="I1373" t="str">
            <v>11</v>
          </cell>
          <cell r="J1373" t="str">
            <v>WOOD COATINGS</v>
          </cell>
          <cell r="K1373" t="str">
            <v>1104</v>
          </cell>
          <cell r="L1373" t="str">
            <v>NC</v>
          </cell>
          <cell r="M1373" t="str">
            <v>110405</v>
          </cell>
          <cell r="N1373" t="str">
            <v>NC SYSTEM</v>
          </cell>
        </row>
        <row r="1374">
          <cell r="C1374" t="str">
            <v>100002295</v>
          </cell>
          <cell r="D1374" t="str">
            <v>DC-12223 LC WHITE 01 40 VN-20KP</v>
          </cell>
          <cell r="E1374" t="str">
            <v>ZFGD</v>
          </cell>
          <cell r="F1374" t="str">
            <v>PC</v>
          </cell>
          <cell r="G1374" t="str">
            <v>1</v>
          </cell>
          <cell r="H1374" t="str">
            <v>INDUSTRY</v>
          </cell>
          <cell r="I1374" t="str">
            <v>11</v>
          </cell>
          <cell r="J1374" t="str">
            <v>WOOD COATINGS</v>
          </cell>
          <cell r="K1374" t="str">
            <v>1104</v>
          </cell>
          <cell r="L1374" t="str">
            <v>NC</v>
          </cell>
          <cell r="M1374" t="str">
            <v>110405</v>
          </cell>
          <cell r="N1374" t="str">
            <v>NC SYSTEM</v>
          </cell>
        </row>
        <row r="1375">
          <cell r="C1375" t="str">
            <v>100002296</v>
          </cell>
          <cell r="D1375" t="str">
            <v>DC-12223 LC WHITE 01 50 VN-20KP</v>
          </cell>
          <cell r="E1375" t="str">
            <v>ZFGD</v>
          </cell>
          <cell r="F1375" t="str">
            <v>PC</v>
          </cell>
          <cell r="G1375" t="str">
            <v>1</v>
          </cell>
          <cell r="H1375" t="str">
            <v>INDUSTRY</v>
          </cell>
          <cell r="I1375" t="str">
            <v>11</v>
          </cell>
          <cell r="J1375" t="str">
            <v>WOOD COATINGS</v>
          </cell>
          <cell r="K1375" t="str">
            <v>1104</v>
          </cell>
          <cell r="L1375" t="str">
            <v>NC</v>
          </cell>
          <cell r="M1375" t="str">
            <v>110405</v>
          </cell>
          <cell r="N1375" t="str">
            <v>NC SYSTEM</v>
          </cell>
        </row>
        <row r="1376">
          <cell r="C1376" t="str">
            <v>100002297</v>
          </cell>
          <cell r="D1376" t="str">
            <v>DC-12223 LC WHITE 20 HS VN-20KP</v>
          </cell>
          <cell r="E1376" t="str">
            <v>ZFGD</v>
          </cell>
          <cell r="F1376" t="str">
            <v>PC</v>
          </cell>
          <cell r="G1376" t="str">
            <v>1</v>
          </cell>
          <cell r="H1376" t="str">
            <v>INDUSTRY</v>
          </cell>
          <cell r="I1376" t="str">
            <v>11</v>
          </cell>
          <cell r="J1376" t="str">
            <v>WOOD COATINGS</v>
          </cell>
          <cell r="K1376" t="str">
            <v>1104</v>
          </cell>
          <cell r="L1376" t="str">
            <v>NC</v>
          </cell>
          <cell r="M1376" t="str">
            <v>110405</v>
          </cell>
          <cell r="N1376" t="str">
            <v>NC SYSTEM</v>
          </cell>
        </row>
        <row r="1377">
          <cell r="C1377" t="str">
            <v>100002298</v>
          </cell>
          <cell r="D1377" t="str">
            <v>DC-12223 WHITE 20 YJ VN-20KP</v>
          </cell>
          <cell r="E1377" t="str">
            <v>ZFGD</v>
          </cell>
          <cell r="F1377" t="str">
            <v>PC</v>
          </cell>
          <cell r="G1377" t="str">
            <v>1</v>
          </cell>
          <cell r="H1377" t="str">
            <v>INDUSTRY</v>
          </cell>
          <cell r="I1377" t="str">
            <v>11</v>
          </cell>
          <cell r="J1377" t="str">
            <v>WOOD COATINGS</v>
          </cell>
          <cell r="K1377" t="str">
            <v>1104</v>
          </cell>
          <cell r="L1377" t="str">
            <v>NC</v>
          </cell>
          <cell r="M1377" t="str">
            <v>110405</v>
          </cell>
          <cell r="N1377" t="str">
            <v>NC SYSTEM</v>
          </cell>
        </row>
        <row r="1378">
          <cell r="C1378" t="str">
            <v>100002299</v>
          </cell>
          <cell r="D1378" t="str">
            <v>DC-12225 LC WHITE 50 VN-200KB</v>
          </cell>
          <cell r="E1378" t="str">
            <v>ZFGD</v>
          </cell>
          <cell r="F1378" t="str">
            <v>PC</v>
          </cell>
          <cell r="G1378" t="str">
            <v>1</v>
          </cell>
          <cell r="H1378" t="str">
            <v>INDUSTRY</v>
          </cell>
          <cell r="I1378" t="str">
            <v>11</v>
          </cell>
          <cell r="J1378" t="str">
            <v>WOOD COATINGS</v>
          </cell>
          <cell r="K1378" t="str">
            <v>1104</v>
          </cell>
          <cell r="L1378" t="str">
            <v>NC</v>
          </cell>
          <cell r="M1378" t="str">
            <v>110405</v>
          </cell>
          <cell r="N1378" t="str">
            <v>NC SYSTEM</v>
          </cell>
        </row>
        <row r="1379">
          <cell r="C1379" t="str">
            <v>100002300</v>
          </cell>
          <cell r="D1379" t="str">
            <v>DC-12225 LC WHITE 50 VN-20KP</v>
          </cell>
          <cell r="E1379" t="str">
            <v>ZFGD</v>
          </cell>
          <cell r="F1379" t="str">
            <v>PC</v>
          </cell>
          <cell r="G1379" t="str">
            <v>1</v>
          </cell>
          <cell r="H1379" t="str">
            <v>INDUSTRY</v>
          </cell>
          <cell r="I1379" t="str">
            <v>11</v>
          </cell>
          <cell r="J1379" t="str">
            <v>WOOD COATINGS</v>
          </cell>
          <cell r="K1379" t="str">
            <v>1104</v>
          </cell>
          <cell r="L1379" t="str">
            <v>NC</v>
          </cell>
          <cell r="M1379" t="str">
            <v>110405</v>
          </cell>
          <cell r="N1379" t="str">
            <v>NC SYSTEM</v>
          </cell>
        </row>
        <row r="1380">
          <cell r="C1380" t="str">
            <v>100002301</v>
          </cell>
          <cell r="D1380" t="str">
            <v>DC-12225 LC WHITE 90 VN-200KB</v>
          </cell>
          <cell r="E1380" t="str">
            <v>ZFGD</v>
          </cell>
          <cell r="F1380" t="str">
            <v>PC</v>
          </cell>
          <cell r="G1380" t="str">
            <v>1</v>
          </cell>
          <cell r="H1380" t="str">
            <v>INDUSTRY</v>
          </cell>
          <cell r="I1380" t="str">
            <v>11</v>
          </cell>
          <cell r="J1380" t="str">
            <v>WOOD COATINGS</v>
          </cell>
          <cell r="K1380" t="str">
            <v>1104</v>
          </cell>
          <cell r="L1380" t="str">
            <v>NC</v>
          </cell>
          <cell r="M1380" t="str">
            <v>110405</v>
          </cell>
          <cell r="N1380" t="str">
            <v>NC SYSTEM</v>
          </cell>
        </row>
        <row r="1381">
          <cell r="C1381" t="str">
            <v>100002302</v>
          </cell>
          <cell r="D1381" t="str">
            <v>DC-12225 LC WHITE 90 VN-20KP</v>
          </cell>
          <cell r="E1381" t="str">
            <v>ZFGD</v>
          </cell>
          <cell r="F1381" t="str">
            <v>PC</v>
          </cell>
          <cell r="G1381" t="str">
            <v>1</v>
          </cell>
          <cell r="H1381" t="str">
            <v>INDUSTRY</v>
          </cell>
          <cell r="I1381" t="str">
            <v>11</v>
          </cell>
          <cell r="J1381" t="str">
            <v>WOOD COATINGS</v>
          </cell>
          <cell r="K1381" t="str">
            <v>1104</v>
          </cell>
          <cell r="L1381" t="str">
            <v>NC</v>
          </cell>
          <cell r="M1381" t="str">
            <v>110405</v>
          </cell>
          <cell r="N1381" t="str">
            <v>NC SYSTEM</v>
          </cell>
        </row>
        <row r="1382">
          <cell r="C1382" t="str">
            <v>100002303</v>
          </cell>
          <cell r="D1382" t="str">
            <v>DC-12229 LC 13 20 SK VN-20KP</v>
          </cell>
          <cell r="E1382" t="str">
            <v>ZFGD</v>
          </cell>
          <cell r="F1382" t="str">
            <v>PC</v>
          </cell>
          <cell r="G1382" t="str">
            <v>1</v>
          </cell>
          <cell r="H1382" t="str">
            <v>INDUSTRY</v>
          </cell>
          <cell r="I1382" t="str">
            <v>11</v>
          </cell>
          <cell r="J1382" t="str">
            <v>WOOD COATINGS</v>
          </cell>
          <cell r="K1382" t="str">
            <v>1104</v>
          </cell>
          <cell r="L1382" t="str">
            <v>NC</v>
          </cell>
          <cell r="M1382" t="str">
            <v>110405</v>
          </cell>
          <cell r="N1382" t="str">
            <v>NC SYSTEM</v>
          </cell>
        </row>
        <row r="1383">
          <cell r="C1383" t="str">
            <v>100002304</v>
          </cell>
          <cell r="D1383" t="str">
            <v>DC-12229 LC 15 20 SK VN-20KP</v>
          </cell>
          <cell r="E1383" t="str">
            <v>ZFGD</v>
          </cell>
          <cell r="F1383" t="str">
            <v>PC</v>
          </cell>
          <cell r="G1383" t="str">
            <v>1</v>
          </cell>
          <cell r="H1383" t="str">
            <v>INDUSTRY</v>
          </cell>
          <cell r="I1383" t="str">
            <v>11</v>
          </cell>
          <cell r="J1383" t="str">
            <v>WOOD COATINGS</v>
          </cell>
          <cell r="K1383" t="str">
            <v>1104</v>
          </cell>
          <cell r="L1383" t="str">
            <v>NC</v>
          </cell>
          <cell r="M1383" t="str">
            <v>110405</v>
          </cell>
          <cell r="N1383" t="str">
            <v>NC SYSTEM</v>
          </cell>
        </row>
        <row r="1384">
          <cell r="C1384" t="str">
            <v>100002305</v>
          </cell>
          <cell r="D1384" t="str">
            <v>DP-12123 LC 065 F1 VN-20KP</v>
          </cell>
          <cell r="E1384" t="str">
            <v>ZFGD</v>
          </cell>
          <cell r="F1384" t="str">
            <v>PC</v>
          </cell>
          <cell r="G1384" t="str">
            <v>1</v>
          </cell>
          <cell r="H1384" t="str">
            <v>INDUSTRY</v>
          </cell>
          <cell r="I1384" t="str">
            <v>11</v>
          </cell>
          <cell r="J1384" t="str">
            <v>WOOD COATINGS</v>
          </cell>
          <cell r="K1384" t="str">
            <v>1104</v>
          </cell>
          <cell r="L1384" t="str">
            <v>NC</v>
          </cell>
          <cell r="M1384" t="str">
            <v>110405</v>
          </cell>
          <cell r="N1384" t="str">
            <v>NC SYSTEM</v>
          </cell>
        </row>
        <row r="1385">
          <cell r="C1385" t="str">
            <v>100002306</v>
          </cell>
          <cell r="D1385" t="str">
            <v>DP-12123 LC 1004 HS VN-20KP</v>
          </cell>
          <cell r="E1385" t="str">
            <v>ZFGD</v>
          </cell>
          <cell r="F1385" t="str">
            <v>PC</v>
          </cell>
          <cell r="G1385" t="str">
            <v>1</v>
          </cell>
          <cell r="H1385" t="str">
            <v>INDUSTRY</v>
          </cell>
          <cell r="I1385" t="str">
            <v>11</v>
          </cell>
          <cell r="J1385" t="str">
            <v>WOOD COATINGS</v>
          </cell>
          <cell r="K1385" t="str">
            <v>1104</v>
          </cell>
          <cell r="L1385" t="str">
            <v>NC</v>
          </cell>
          <cell r="M1385" t="str">
            <v>110405</v>
          </cell>
          <cell r="N1385" t="str">
            <v>NC SYSTEM</v>
          </cell>
        </row>
        <row r="1386">
          <cell r="C1386" t="str">
            <v>100002307</v>
          </cell>
          <cell r="D1386" t="str">
            <v>DP-12123 LC 14 SK VN-20KP</v>
          </cell>
          <cell r="E1386" t="str">
            <v>ZFGD</v>
          </cell>
          <cell r="F1386" t="str">
            <v>PC</v>
          </cell>
          <cell r="G1386" t="str">
            <v>1</v>
          </cell>
          <cell r="H1386" t="str">
            <v>INDUSTRY</v>
          </cell>
          <cell r="I1386" t="str">
            <v>11</v>
          </cell>
          <cell r="J1386" t="str">
            <v>WOOD COATINGS</v>
          </cell>
          <cell r="K1386" t="str">
            <v>1104</v>
          </cell>
          <cell r="L1386" t="str">
            <v>NC</v>
          </cell>
          <cell r="M1386" t="str">
            <v>110405</v>
          </cell>
          <cell r="N1386" t="str">
            <v>NC SYSTEM</v>
          </cell>
        </row>
        <row r="1387">
          <cell r="C1387" t="str">
            <v>100002308</v>
          </cell>
          <cell r="D1387" t="str">
            <v>DP-12123 LC 64 HM VN-20KP</v>
          </cell>
          <cell r="E1387" t="str">
            <v>ZFGD</v>
          </cell>
          <cell r="F1387" t="str">
            <v>PC</v>
          </cell>
          <cell r="G1387" t="str">
            <v>1</v>
          </cell>
          <cell r="H1387" t="str">
            <v>INDUSTRY</v>
          </cell>
          <cell r="I1387" t="str">
            <v>11</v>
          </cell>
          <cell r="J1387" t="str">
            <v>WOOD COATINGS</v>
          </cell>
          <cell r="K1387" t="str">
            <v>1104</v>
          </cell>
          <cell r="L1387" t="str">
            <v>NC</v>
          </cell>
          <cell r="M1387" t="str">
            <v>110405</v>
          </cell>
          <cell r="N1387" t="str">
            <v>NC SYSTEM</v>
          </cell>
        </row>
        <row r="1388">
          <cell r="C1388" t="str">
            <v>100002309</v>
          </cell>
          <cell r="D1388" t="str">
            <v>DP-12123 LC 64 HS VN-20KP</v>
          </cell>
          <cell r="E1388" t="str">
            <v>ZFGD</v>
          </cell>
          <cell r="F1388" t="str">
            <v>PC</v>
          </cell>
          <cell r="G1388" t="str">
            <v>1</v>
          </cell>
          <cell r="H1388" t="str">
            <v>INDUSTRY</v>
          </cell>
          <cell r="I1388" t="str">
            <v>11</v>
          </cell>
          <cell r="J1388" t="str">
            <v>WOOD COATINGS</v>
          </cell>
          <cell r="K1388" t="str">
            <v>1104</v>
          </cell>
          <cell r="L1388" t="str">
            <v>NC</v>
          </cell>
          <cell r="M1388" t="str">
            <v>110405</v>
          </cell>
          <cell r="N1388" t="str">
            <v>NC SYSTEM</v>
          </cell>
        </row>
        <row r="1389">
          <cell r="C1389" t="str">
            <v>100002310</v>
          </cell>
          <cell r="D1389" t="str">
            <v>DP-12123 LC 65 HM VN-20KP</v>
          </cell>
          <cell r="E1389" t="str">
            <v>ZFGD</v>
          </cell>
          <cell r="F1389" t="str">
            <v>PC</v>
          </cell>
          <cell r="G1389" t="str">
            <v>1</v>
          </cell>
          <cell r="H1389" t="str">
            <v>INDUSTRY</v>
          </cell>
          <cell r="I1389" t="str">
            <v>11</v>
          </cell>
          <cell r="J1389" t="str">
            <v>WOOD COATINGS</v>
          </cell>
          <cell r="K1389" t="str">
            <v>1104</v>
          </cell>
          <cell r="L1389" t="str">
            <v>NC</v>
          </cell>
          <cell r="M1389" t="str">
            <v>110405</v>
          </cell>
          <cell r="N1389" t="str">
            <v>NC SYSTEM</v>
          </cell>
        </row>
        <row r="1390">
          <cell r="C1390" t="str">
            <v>100002311</v>
          </cell>
          <cell r="D1390" t="str">
            <v>DP-12123 LC 65 HS VN-20KP</v>
          </cell>
          <cell r="E1390" t="str">
            <v>ZFGD</v>
          </cell>
          <cell r="F1390" t="str">
            <v>PC</v>
          </cell>
          <cell r="G1390" t="str">
            <v>1</v>
          </cell>
          <cell r="H1390" t="str">
            <v>INDUSTRY</v>
          </cell>
          <cell r="I1390" t="str">
            <v>11</v>
          </cell>
          <cell r="J1390" t="str">
            <v>WOOD COATINGS</v>
          </cell>
          <cell r="K1390" t="str">
            <v>1104</v>
          </cell>
          <cell r="L1390" t="str">
            <v>NC</v>
          </cell>
          <cell r="M1390" t="str">
            <v>110405</v>
          </cell>
          <cell r="N1390" t="str">
            <v>NC SYSTEM</v>
          </cell>
        </row>
        <row r="1391">
          <cell r="C1391" t="str">
            <v>100002312</v>
          </cell>
          <cell r="D1391" t="str">
            <v>DP-12123 LC BLACK VN-18KP</v>
          </cell>
          <cell r="E1391" t="str">
            <v>ZFGD</v>
          </cell>
          <cell r="F1391" t="str">
            <v>PC</v>
          </cell>
          <cell r="G1391" t="str">
            <v>1</v>
          </cell>
          <cell r="H1391" t="str">
            <v>INDUSTRY</v>
          </cell>
          <cell r="I1391" t="str">
            <v>11</v>
          </cell>
          <cell r="J1391" t="str">
            <v>WOOD COATINGS</v>
          </cell>
          <cell r="K1391" t="str">
            <v>1104</v>
          </cell>
          <cell r="L1391" t="str">
            <v>NC</v>
          </cell>
          <cell r="M1391" t="str">
            <v>110405</v>
          </cell>
          <cell r="N1391" t="str">
            <v>NC SYSTEM</v>
          </cell>
        </row>
        <row r="1392">
          <cell r="C1392" t="str">
            <v>100002313</v>
          </cell>
          <cell r="D1392" t="str">
            <v>DP-12123 LC BLUE CRACKING HS VN-20KP</v>
          </cell>
          <cell r="E1392" t="str">
            <v>ZFGD</v>
          </cell>
          <cell r="F1392" t="str">
            <v>PC</v>
          </cell>
          <cell r="G1392" t="str">
            <v>1</v>
          </cell>
          <cell r="H1392" t="str">
            <v>INDUSTRY</v>
          </cell>
          <cell r="I1392" t="str">
            <v>11</v>
          </cell>
          <cell r="J1392" t="str">
            <v>WOOD COATINGS</v>
          </cell>
          <cell r="K1392" t="str">
            <v>1104</v>
          </cell>
          <cell r="L1392" t="str">
            <v>NC</v>
          </cell>
          <cell r="M1392" t="str">
            <v>110405</v>
          </cell>
          <cell r="N1392" t="str">
            <v>NC SYSTEM</v>
          </cell>
        </row>
        <row r="1393">
          <cell r="C1393" t="str">
            <v>100002314</v>
          </cell>
          <cell r="D1393" t="str">
            <v>DP-12123 LC CBLUE HS VN-20KP</v>
          </cell>
          <cell r="E1393" t="str">
            <v>ZFGD</v>
          </cell>
          <cell r="F1393" t="str">
            <v>PC</v>
          </cell>
          <cell r="G1393" t="str">
            <v>1</v>
          </cell>
          <cell r="H1393" t="str">
            <v>INDUSTRY</v>
          </cell>
          <cell r="I1393" t="str">
            <v>11</v>
          </cell>
          <cell r="J1393" t="str">
            <v>WOOD COATINGS</v>
          </cell>
          <cell r="K1393" t="str">
            <v>1104</v>
          </cell>
          <cell r="L1393" t="str">
            <v>NC</v>
          </cell>
          <cell r="M1393" t="str">
            <v>110405</v>
          </cell>
          <cell r="N1393" t="str">
            <v>NC SYSTEM</v>
          </cell>
        </row>
        <row r="1394">
          <cell r="C1394" t="str">
            <v>100002315</v>
          </cell>
          <cell r="D1394" t="str">
            <v>DP-12123 LC CCX TL VN-20KP</v>
          </cell>
          <cell r="E1394" t="str">
            <v>ZFGD</v>
          </cell>
          <cell r="F1394" t="str">
            <v>PC</v>
          </cell>
          <cell r="G1394" t="str">
            <v>1</v>
          </cell>
          <cell r="H1394" t="str">
            <v>INDUSTRY</v>
          </cell>
          <cell r="I1394" t="str">
            <v>11</v>
          </cell>
          <cell r="J1394" t="str">
            <v>WOOD COATINGS</v>
          </cell>
          <cell r="K1394" t="str">
            <v>1104</v>
          </cell>
          <cell r="L1394" t="str">
            <v>NC</v>
          </cell>
          <cell r="M1394" t="str">
            <v>110405</v>
          </cell>
          <cell r="N1394" t="str">
            <v>NC SYSTEM</v>
          </cell>
        </row>
        <row r="1395">
          <cell r="C1395" t="str">
            <v>100002316</v>
          </cell>
          <cell r="D1395" t="str">
            <v>DP-12123 LC DR VN-20KP</v>
          </cell>
          <cell r="E1395" t="str">
            <v>ZFGD</v>
          </cell>
          <cell r="F1395" t="str">
            <v>PC</v>
          </cell>
          <cell r="G1395" t="str">
            <v>1</v>
          </cell>
          <cell r="H1395" t="str">
            <v>INDUSTRY</v>
          </cell>
          <cell r="I1395" t="str">
            <v>11</v>
          </cell>
          <cell r="J1395" t="str">
            <v>WOOD COATINGS</v>
          </cell>
          <cell r="K1395" t="str">
            <v>1104</v>
          </cell>
          <cell r="L1395" t="str">
            <v>NC</v>
          </cell>
          <cell r="M1395" t="str">
            <v>110405</v>
          </cell>
          <cell r="N1395" t="str">
            <v>NC SYSTEM</v>
          </cell>
        </row>
        <row r="1396">
          <cell r="C1396" t="str">
            <v>100002317</v>
          </cell>
          <cell r="D1396" t="str">
            <v>DP-12123 LC F 016 HS VN-20KP</v>
          </cell>
          <cell r="E1396" t="str">
            <v>ZFGD</v>
          </cell>
          <cell r="F1396" t="str">
            <v>PC</v>
          </cell>
          <cell r="G1396" t="str">
            <v>1</v>
          </cell>
          <cell r="H1396" t="str">
            <v>INDUSTRY</v>
          </cell>
          <cell r="I1396" t="str">
            <v>11</v>
          </cell>
          <cell r="J1396" t="str">
            <v>WOOD COATINGS</v>
          </cell>
          <cell r="K1396" t="str">
            <v>1104</v>
          </cell>
          <cell r="L1396" t="str">
            <v>NC</v>
          </cell>
          <cell r="M1396" t="str">
            <v>110405</v>
          </cell>
          <cell r="N1396" t="str">
            <v>NC SYSTEM</v>
          </cell>
        </row>
        <row r="1397">
          <cell r="C1397" t="str">
            <v>100002318</v>
          </cell>
          <cell r="D1397" t="str">
            <v>DP-12123 LC F 019 HS VN-20KP</v>
          </cell>
          <cell r="E1397" t="str">
            <v>ZFGD</v>
          </cell>
          <cell r="F1397" t="str">
            <v>PC</v>
          </cell>
          <cell r="G1397" t="str">
            <v>1</v>
          </cell>
          <cell r="H1397" t="str">
            <v>INDUSTRY</v>
          </cell>
          <cell r="I1397" t="str">
            <v>11</v>
          </cell>
          <cell r="J1397" t="str">
            <v>WOOD COATINGS</v>
          </cell>
          <cell r="K1397" t="str">
            <v>1104</v>
          </cell>
          <cell r="L1397" t="str">
            <v>NC</v>
          </cell>
          <cell r="M1397" t="str">
            <v>110405</v>
          </cell>
          <cell r="N1397" t="str">
            <v>NC SYSTEM</v>
          </cell>
        </row>
        <row r="1398">
          <cell r="C1398" t="str">
            <v>100002319</v>
          </cell>
          <cell r="D1398" t="str">
            <v>DP-12123 LC GIN XD VN-20KP</v>
          </cell>
          <cell r="E1398" t="str">
            <v>ZFGD</v>
          </cell>
          <cell r="F1398" t="str">
            <v>PC</v>
          </cell>
          <cell r="G1398" t="str">
            <v>1</v>
          </cell>
          <cell r="H1398" t="str">
            <v>INDUSTRY</v>
          </cell>
          <cell r="I1398" t="str">
            <v>11</v>
          </cell>
          <cell r="J1398" t="str">
            <v>WOOD COATINGS</v>
          </cell>
          <cell r="K1398" t="str">
            <v>1104</v>
          </cell>
          <cell r="L1398" t="str">
            <v>NC</v>
          </cell>
          <cell r="M1398" t="str">
            <v>110405</v>
          </cell>
          <cell r="N1398" t="str">
            <v>NC SYSTEM</v>
          </cell>
        </row>
        <row r="1399">
          <cell r="C1399" t="str">
            <v>100002320</v>
          </cell>
          <cell r="D1399" t="str">
            <v>DP-12123 LC GREY GH VN-20KP</v>
          </cell>
          <cell r="E1399" t="str">
            <v>ZFGD</v>
          </cell>
          <cell r="F1399" t="str">
            <v>PC</v>
          </cell>
          <cell r="G1399" t="str">
            <v>1</v>
          </cell>
          <cell r="H1399" t="str">
            <v>INDUSTRY</v>
          </cell>
          <cell r="I1399" t="str">
            <v>11</v>
          </cell>
          <cell r="J1399" t="str">
            <v>WOOD COATINGS</v>
          </cell>
          <cell r="K1399" t="str">
            <v>1104</v>
          </cell>
          <cell r="L1399" t="str">
            <v>NC</v>
          </cell>
          <cell r="M1399" t="str">
            <v>110405</v>
          </cell>
          <cell r="N1399" t="str">
            <v>NC SYSTEM</v>
          </cell>
        </row>
        <row r="1400">
          <cell r="C1400" t="str">
            <v>100002321</v>
          </cell>
          <cell r="D1400" t="str">
            <v>DP-12123 LC HAZEL F1 VN-20KP</v>
          </cell>
          <cell r="E1400" t="str">
            <v>ZFGD</v>
          </cell>
          <cell r="F1400" t="str">
            <v>PC</v>
          </cell>
          <cell r="G1400" t="str">
            <v>1</v>
          </cell>
          <cell r="H1400" t="str">
            <v>INDUSTRY</v>
          </cell>
          <cell r="I1400" t="str">
            <v>11</v>
          </cell>
          <cell r="J1400" t="str">
            <v>WOOD COATINGS</v>
          </cell>
          <cell r="K1400" t="str">
            <v>1104</v>
          </cell>
          <cell r="L1400" t="str">
            <v>NC</v>
          </cell>
          <cell r="M1400" t="str">
            <v>110405</v>
          </cell>
          <cell r="N1400" t="str">
            <v>NC SYSTEM</v>
          </cell>
        </row>
        <row r="1401">
          <cell r="C1401" t="str">
            <v>100002322</v>
          </cell>
          <cell r="D1401" t="str">
            <v>DP-12123 LC KI THUAT AH VN-20KP</v>
          </cell>
          <cell r="E1401" t="str">
            <v>ZFGD</v>
          </cell>
          <cell r="F1401" t="str">
            <v>PC</v>
          </cell>
          <cell r="G1401" t="str">
            <v>1</v>
          </cell>
          <cell r="H1401" t="str">
            <v>INDUSTRY</v>
          </cell>
          <cell r="I1401" t="str">
            <v>11</v>
          </cell>
          <cell r="J1401" t="str">
            <v>WOOD COATINGS</v>
          </cell>
          <cell r="K1401" t="str">
            <v>1104</v>
          </cell>
          <cell r="L1401" t="str">
            <v>NC</v>
          </cell>
          <cell r="M1401" t="str">
            <v>110405</v>
          </cell>
          <cell r="N1401" t="str">
            <v>NC SYSTEM</v>
          </cell>
        </row>
        <row r="1402">
          <cell r="C1402" t="str">
            <v>100002323</v>
          </cell>
          <cell r="D1402" t="str">
            <v>DP-12123 LC RED 1309 HS VN-20KP</v>
          </cell>
          <cell r="E1402" t="str">
            <v>ZFGD</v>
          </cell>
          <cell r="F1402" t="str">
            <v>PC</v>
          </cell>
          <cell r="G1402" t="str">
            <v>1</v>
          </cell>
          <cell r="H1402" t="str">
            <v>INDUSTRY</v>
          </cell>
          <cell r="I1402" t="str">
            <v>11</v>
          </cell>
          <cell r="J1402" t="str">
            <v>WOOD COATINGS</v>
          </cell>
          <cell r="K1402" t="str">
            <v>1104</v>
          </cell>
          <cell r="L1402" t="str">
            <v>NC</v>
          </cell>
          <cell r="M1402" t="str">
            <v>110405</v>
          </cell>
          <cell r="N1402" t="str">
            <v>NC SYSTEM</v>
          </cell>
        </row>
        <row r="1403">
          <cell r="C1403" t="str">
            <v>100002324</v>
          </cell>
          <cell r="D1403" t="str">
            <v>DP-12123 LC RL VL VN-20KP</v>
          </cell>
          <cell r="E1403" t="str">
            <v>ZFGD</v>
          </cell>
          <cell r="F1403" t="str">
            <v>PC</v>
          </cell>
          <cell r="G1403" t="str">
            <v>1</v>
          </cell>
          <cell r="H1403" t="str">
            <v>INDUSTRY</v>
          </cell>
          <cell r="I1403" t="str">
            <v>11</v>
          </cell>
          <cell r="J1403" t="str">
            <v>WOOD COATINGS</v>
          </cell>
          <cell r="K1403" t="str">
            <v>1104</v>
          </cell>
          <cell r="L1403" t="str">
            <v>NC</v>
          </cell>
          <cell r="M1403" t="str">
            <v>110405</v>
          </cell>
          <cell r="N1403" t="str">
            <v>NC SYSTEM</v>
          </cell>
        </row>
        <row r="1404">
          <cell r="C1404" t="str">
            <v>100002325</v>
          </cell>
          <cell r="D1404" t="str">
            <v>DP-12123 LC SILVER HS VN-20KP</v>
          </cell>
          <cell r="E1404" t="str">
            <v>ZFGD</v>
          </cell>
          <cell r="F1404" t="str">
            <v>PC</v>
          </cell>
          <cell r="G1404" t="str">
            <v>1</v>
          </cell>
          <cell r="H1404" t="str">
            <v>INDUSTRY</v>
          </cell>
          <cell r="I1404" t="str">
            <v>11</v>
          </cell>
          <cell r="J1404" t="str">
            <v>WOOD COATINGS</v>
          </cell>
          <cell r="K1404" t="str">
            <v>1104</v>
          </cell>
          <cell r="L1404" t="str">
            <v>NC</v>
          </cell>
          <cell r="M1404" t="str">
            <v>110405</v>
          </cell>
          <cell r="N1404" t="str">
            <v>NC SYSTEM</v>
          </cell>
        </row>
        <row r="1405">
          <cell r="C1405" t="str">
            <v>100002326</v>
          </cell>
          <cell r="D1405" t="str">
            <v>DP-12123 LC STONE F1 VN-20KP</v>
          </cell>
          <cell r="E1405" t="str">
            <v>ZFGD</v>
          </cell>
          <cell r="F1405" t="str">
            <v>PC</v>
          </cell>
          <cell r="G1405" t="str">
            <v>1</v>
          </cell>
          <cell r="H1405" t="str">
            <v>INDUSTRY</v>
          </cell>
          <cell r="I1405" t="str">
            <v>11</v>
          </cell>
          <cell r="J1405" t="str">
            <v>WOOD COATINGS</v>
          </cell>
          <cell r="K1405" t="str">
            <v>1104</v>
          </cell>
          <cell r="L1405" t="str">
            <v>NC</v>
          </cell>
          <cell r="M1405" t="str">
            <v>110405</v>
          </cell>
          <cell r="N1405" t="str">
            <v>NC SYSTEM</v>
          </cell>
        </row>
        <row r="1406">
          <cell r="C1406" t="str">
            <v>100002327</v>
          </cell>
          <cell r="D1406" t="str">
            <v>DP-12123 LC WF02 HS VN-20KP</v>
          </cell>
          <cell r="E1406" t="str">
            <v>ZFGD</v>
          </cell>
          <cell r="F1406" t="str">
            <v>PC</v>
          </cell>
          <cell r="G1406" t="str">
            <v>1</v>
          </cell>
          <cell r="H1406" t="str">
            <v>INDUSTRY</v>
          </cell>
          <cell r="I1406" t="str">
            <v>11</v>
          </cell>
          <cell r="J1406" t="str">
            <v>WOOD COATINGS</v>
          </cell>
          <cell r="K1406" t="str">
            <v>1104</v>
          </cell>
          <cell r="L1406" t="str">
            <v>NC</v>
          </cell>
          <cell r="M1406" t="str">
            <v>110405</v>
          </cell>
          <cell r="N1406" t="str">
            <v>NC SYSTEM</v>
          </cell>
        </row>
        <row r="1407">
          <cell r="C1407" t="str">
            <v>100002328</v>
          </cell>
          <cell r="D1407" t="str">
            <v>DP-12123 LC WHITE 01 VN-200KB</v>
          </cell>
          <cell r="E1407" t="str">
            <v>ZFGD</v>
          </cell>
          <cell r="F1407" t="str">
            <v>PC</v>
          </cell>
          <cell r="G1407" t="str">
            <v>1</v>
          </cell>
          <cell r="H1407" t="str">
            <v>INDUSTRY</v>
          </cell>
          <cell r="I1407" t="str">
            <v>11</v>
          </cell>
          <cell r="J1407" t="str">
            <v>WOOD COATINGS</v>
          </cell>
          <cell r="K1407" t="str">
            <v>1104</v>
          </cell>
          <cell r="L1407" t="str">
            <v>NC</v>
          </cell>
          <cell r="M1407" t="str">
            <v>110405</v>
          </cell>
          <cell r="N1407" t="str">
            <v>NC SYSTEM</v>
          </cell>
        </row>
        <row r="1408">
          <cell r="C1408" t="str">
            <v>100002329</v>
          </cell>
          <cell r="D1408" t="str">
            <v>DP-12123 LC WHITE 01 VN-20KP</v>
          </cell>
          <cell r="E1408" t="str">
            <v>ZFGD</v>
          </cell>
          <cell r="F1408" t="str">
            <v>PC</v>
          </cell>
          <cell r="G1408" t="str">
            <v>1</v>
          </cell>
          <cell r="H1408" t="str">
            <v>INDUSTRY</v>
          </cell>
          <cell r="I1408" t="str">
            <v>11</v>
          </cell>
          <cell r="J1408" t="str">
            <v>WOOD COATINGS</v>
          </cell>
          <cell r="K1408" t="str">
            <v>1104</v>
          </cell>
          <cell r="L1408" t="str">
            <v>NC</v>
          </cell>
          <cell r="M1408" t="str">
            <v>110405</v>
          </cell>
          <cell r="N1408" t="str">
            <v>NC SYSTEM</v>
          </cell>
        </row>
        <row r="1409">
          <cell r="C1409" t="str">
            <v>100002330</v>
          </cell>
          <cell r="D1409" t="str">
            <v>DP-12123 LC WHITE TG 001 DT VN-20KP</v>
          </cell>
          <cell r="E1409" t="str">
            <v>ZFGD</v>
          </cell>
          <cell r="F1409" t="str">
            <v>PC</v>
          </cell>
          <cell r="G1409" t="str">
            <v>1</v>
          </cell>
          <cell r="H1409" t="str">
            <v>INDUSTRY</v>
          </cell>
          <cell r="I1409" t="str">
            <v>11</v>
          </cell>
          <cell r="J1409" t="str">
            <v>WOOD COATINGS</v>
          </cell>
          <cell r="K1409" t="str">
            <v>1104</v>
          </cell>
          <cell r="L1409" t="str">
            <v>NC</v>
          </cell>
          <cell r="M1409" t="str">
            <v>110405</v>
          </cell>
          <cell r="N1409" t="str">
            <v>NC SYSTEM</v>
          </cell>
        </row>
        <row r="1410">
          <cell r="C1410" t="str">
            <v>100002331</v>
          </cell>
          <cell r="D1410" t="str">
            <v>DP-12123 LC WHITE TX VN-20KP</v>
          </cell>
          <cell r="E1410" t="str">
            <v>ZFGD</v>
          </cell>
          <cell r="F1410" t="str">
            <v>PC</v>
          </cell>
          <cell r="G1410" t="str">
            <v>1</v>
          </cell>
          <cell r="H1410" t="str">
            <v>INDUSTRY</v>
          </cell>
          <cell r="I1410" t="str">
            <v>11</v>
          </cell>
          <cell r="J1410" t="str">
            <v>WOOD COATINGS</v>
          </cell>
          <cell r="K1410" t="str">
            <v>1104</v>
          </cell>
          <cell r="L1410" t="str">
            <v>NC</v>
          </cell>
          <cell r="M1410" t="str">
            <v>110405</v>
          </cell>
          <cell r="N1410" t="str">
            <v>NC SYSTEM</v>
          </cell>
        </row>
        <row r="1411">
          <cell r="C1411" t="str">
            <v>100002332</v>
          </cell>
          <cell r="D1411" t="str">
            <v>DP-12123 LC WS 7012 HS VN-20KP</v>
          </cell>
          <cell r="E1411" t="str">
            <v>ZFGD</v>
          </cell>
          <cell r="F1411" t="str">
            <v>PC</v>
          </cell>
          <cell r="G1411" t="str">
            <v>1</v>
          </cell>
          <cell r="H1411" t="str">
            <v>INDUSTRY</v>
          </cell>
          <cell r="I1411" t="str">
            <v>11</v>
          </cell>
          <cell r="J1411" t="str">
            <v>WOOD COATINGS</v>
          </cell>
          <cell r="K1411" t="str">
            <v>1104</v>
          </cell>
          <cell r="L1411" t="str">
            <v>NC</v>
          </cell>
          <cell r="M1411" t="str">
            <v>110405</v>
          </cell>
          <cell r="N1411" t="str">
            <v>NC SYSTEM</v>
          </cell>
        </row>
        <row r="1412">
          <cell r="C1412" t="str">
            <v>100002333</v>
          </cell>
          <cell r="D1412" t="str">
            <v>DP-12129 LC 15 SK VN-20KP</v>
          </cell>
          <cell r="E1412" t="str">
            <v>ZFGD</v>
          </cell>
          <cell r="F1412" t="str">
            <v>PC</v>
          </cell>
          <cell r="G1412" t="str">
            <v>1</v>
          </cell>
          <cell r="H1412" t="str">
            <v>INDUSTRY</v>
          </cell>
          <cell r="I1412" t="str">
            <v>11</v>
          </cell>
          <cell r="J1412" t="str">
            <v>WOOD COATINGS</v>
          </cell>
          <cell r="K1412" t="str">
            <v>1104</v>
          </cell>
          <cell r="L1412" t="str">
            <v>NC</v>
          </cell>
          <cell r="M1412" t="str">
            <v>110405</v>
          </cell>
          <cell r="N1412" t="str">
            <v>NC SYSTEM</v>
          </cell>
        </row>
        <row r="1413">
          <cell r="C1413" t="str">
            <v>100002334</v>
          </cell>
          <cell r="D1413" t="str">
            <v>DP-12129 LC GOLDEN OAK 01 LB VN-18KP</v>
          </cell>
          <cell r="E1413" t="str">
            <v>ZFGD</v>
          </cell>
          <cell r="F1413" t="str">
            <v>PC</v>
          </cell>
          <cell r="G1413" t="str">
            <v>1</v>
          </cell>
          <cell r="H1413" t="str">
            <v>INDUSTRY</v>
          </cell>
          <cell r="I1413" t="str">
            <v>11</v>
          </cell>
          <cell r="J1413" t="str">
            <v>WOOD COATINGS</v>
          </cell>
          <cell r="K1413" t="str">
            <v>1104</v>
          </cell>
          <cell r="L1413" t="str">
            <v>NC</v>
          </cell>
          <cell r="M1413" t="str">
            <v>110405</v>
          </cell>
          <cell r="N1413" t="str">
            <v>NC SYSTEM</v>
          </cell>
        </row>
        <row r="1414">
          <cell r="C1414" t="str">
            <v>100002335</v>
          </cell>
          <cell r="D1414" t="str">
            <v>LOL-56332 VN-20LJ</v>
          </cell>
          <cell r="E1414" t="str">
            <v>ZFGD</v>
          </cell>
          <cell r="F1414" t="str">
            <v>PC</v>
          </cell>
          <cell r="G1414" t="str">
            <v>1</v>
          </cell>
          <cell r="H1414" t="str">
            <v>INDUSTRY</v>
          </cell>
          <cell r="I1414" t="str">
            <v>11</v>
          </cell>
          <cell r="J1414" t="str">
            <v>WOOD COATINGS</v>
          </cell>
          <cell r="K1414" t="str">
            <v>1101</v>
          </cell>
          <cell r="L1414" t="str">
            <v>ALKYD OIL</v>
          </cell>
          <cell r="M1414" t="str">
            <v>110101</v>
          </cell>
          <cell r="N1414" t="str">
            <v>ALKYD &amp; OIL SYSTEM</v>
          </cell>
        </row>
        <row r="1415">
          <cell r="C1415" t="str">
            <v>100002336</v>
          </cell>
          <cell r="D1415" t="str">
            <v>NCL-1113-29 LC 10 AK-20LP</v>
          </cell>
          <cell r="E1415" t="str">
            <v>ZFGD</v>
          </cell>
          <cell r="F1415" t="str">
            <v>PC</v>
          </cell>
          <cell r="G1415" t="str">
            <v>1</v>
          </cell>
          <cell r="H1415" t="str">
            <v>INDUSTRY</v>
          </cell>
          <cell r="I1415" t="str">
            <v>11</v>
          </cell>
          <cell r="J1415" t="str">
            <v>WOOD COATINGS</v>
          </cell>
          <cell r="K1415" t="str">
            <v>1104</v>
          </cell>
          <cell r="L1415" t="str">
            <v>NC</v>
          </cell>
          <cell r="M1415" t="str">
            <v>110405</v>
          </cell>
          <cell r="N1415" t="str">
            <v>NC SYSTEM</v>
          </cell>
        </row>
        <row r="1416">
          <cell r="C1416" t="str">
            <v>100002337</v>
          </cell>
          <cell r="D1416" t="str">
            <v>NCL-1113-29 LC 15 AK-20LP</v>
          </cell>
          <cell r="E1416" t="str">
            <v>ZFGD</v>
          </cell>
          <cell r="F1416" t="str">
            <v>PC</v>
          </cell>
          <cell r="G1416" t="str">
            <v>1</v>
          </cell>
          <cell r="H1416" t="str">
            <v>INDUSTRY</v>
          </cell>
          <cell r="I1416" t="str">
            <v>11</v>
          </cell>
          <cell r="J1416" t="str">
            <v>WOOD COATINGS</v>
          </cell>
          <cell r="K1416" t="str">
            <v>1104</v>
          </cell>
          <cell r="L1416" t="str">
            <v>NC</v>
          </cell>
          <cell r="M1416" t="str">
            <v>110405</v>
          </cell>
          <cell r="N1416" t="str">
            <v>NC SYSTEM</v>
          </cell>
        </row>
        <row r="1417">
          <cell r="C1417" t="str">
            <v>100002338</v>
          </cell>
          <cell r="D1417" t="str">
            <v>NCL-1113-29 LC 20 AK-20LP</v>
          </cell>
          <cell r="E1417" t="str">
            <v>ZFGD</v>
          </cell>
          <cell r="F1417" t="str">
            <v>PC</v>
          </cell>
          <cell r="G1417" t="str">
            <v>1</v>
          </cell>
          <cell r="H1417" t="str">
            <v>INDUSTRY</v>
          </cell>
          <cell r="I1417" t="str">
            <v>11</v>
          </cell>
          <cell r="J1417" t="str">
            <v>WOOD COATINGS</v>
          </cell>
          <cell r="K1417" t="str">
            <v>1104</v>
          </cell>
          <cell r="L1417" t="str">
            <v>NC</v>
          </cell>
          <cell r="M1417" t="str">
            <v>110405</v>
          </cell>
          <cell r="N1417" t="str">
            <v>NC SYSTEM</v>
          </cell>
        </row>
        <row r="1418">
          <cell r="C1418" t="str">
            <v>100002339</v>
          </cell>
          <cell r="D1418" t="str">
            <v>NCL-1113-29 LC 25 AK-20LP</v>
          </cell>
          <cell r="E1418" t="str">
            <v>ZFGD</v>
          </cell>
          <cell r="F1418" t="str">
            <v>PC</v>
          </cell>
          <cell r="G1418" t="str">
            <v>1</v>
          </cell>
          <cell r="H1418" t="str">
            <v>INDUSTRY</v>
          </cell>
          <cell r="I1418" t="str">
            <v>11</v>
          </cell>
          <cell r="J1418" t="str">
            <v>WOOD COATINGS</v>
          </cell>
          <cell r="K1418" t="str">
            <v>1104</v>
          </cell>
          <cell r="L1418" t="str">
            <v>NC</v>
          </cell>
          <cell r="M1418" t="str">
            <v>110405</v>
          </cell>
          <cell r="N1418" t="str">
            <v>NC SYSTEM</v>
          </cell>
        </row>
        <row r="1419">
          <cell r="C1419" t="str">
            <v>100002340</v>
          </cell>
          <cell r="D1419" t="str">
            <v>NCL-1113-29 LC 30 AK-20LP</v>
          </cell>
          <cell r="E1419" t="str">
            <v>ZFGD</v>
          </cell>
          <cell r="F1419" t="str">
            <v>PC</v>
          </cell>
          <cell r="G1419" t="str">
            <v>1</v>
          </cell>
          <cell r="H1419" t="str">
            <v>INDUSTRY</v>
          </cell>
          <cell r="I1419" t="str">
            <v>11</v>
          </cell>
          <cell r="J1419" t="str">
            <v>WOOD COATINGS</v>
          </cell>
          <cell r="K1419" t="str">
            <v>1104</v>
          </cell>
          <cell r="L1419" t="str">
            <v>NC</v>
          </cell>
          <cell r="M1419" t="str">
            <v>110405</v>
          </cell>
          <cell r="N1419" t="str">
            <v>NC SYSTEM</v>
          </cell>
        </row>
        <row r="1420">
          <cell r="C1420" t="str">
            <v>100002341</v>
          </cell>
          <cell r="D1420" t="str">
            <v>NCL-1113-29 LC 35 AK-20LP</v>
          </cell>
          <cell r="E1420" t="str">
            <v>ZFGD</v>
          </cell>
          <cell r="F1420" t="str">
            <v>PC</v>
          </cell>
          <cell r="G1420" t="str">
            <v>1</v>
          </cell>
          <cell r="H1420" t="str">
            <v>INDUSTRY</v>
          </cell>
          <cell r="I1420" t="str">
            <v>11</v>
          </cell>
          <cell r="J1420" t="str">
            <v>WOOD COATINGS</v>
          </cell>
          <cell r="K1420" t="str">
            <v>1104</v>
          </cell>
          <cell r="L1420" t="str">
            <v>NC</v>
          </cell>
          <cell r="M1420" t="str">
            <v>110405</v>
          </cell>
          <cell r="N1420" t="str">
            <v>NC SYSTEM</v>
          </cell>
        </row>
        <row r="1421">
          <cell r="C1421" t="str">
            <v>100002342</v>
          </cell>
          <cell r="D1421" t="str">
            <v>NCL-1113-29 LC 5 AK-20LP</v>
          </cell>
          <cell r="E1421" t="str">
            <v>ZFGD</v>
          </cell>
          <cell r="F1421" t="str">
            <v>PC</v>
          </cell>
          <cell r="G1421" t="str">
            <v>1</v>
          </cell>
          <cell r="H1421" t="str">
            <v>INDUSTRY</v>
          </cell>
          <cell r="I1421" t="str">
            <v>11</v>
          </cell>
          <cell r="J1421" t="str">
            <v>WOOD COATINGS</v>
          </cell>
          <cell r="K1421" t="str">
            <v>1104</v>
          </cell>
          <cell r="L1421" t="str">
            <v>NC</v>
          </cell>
          <cell r="M1421" t="str">
            <v>110405</v>
          </cell>
          <cell r="N1421" t="str">
            <v>NC SYSTEM</v>
          </cell>
        </row>
        <row r="1422">
          <cell r="C1422" t="str">
            <v>100002343</v>
          </cell>
          <cell r="D1422" t="str">
            <v>NCL-11323 HV CLEAR 10 VN-18KP</v>
          </cell>
          <cell r="E1422" t="str">
            <v>ZFGD</v>
          </cell>
          <cell r="F1422" t="str">
            <v>PC</v>
          </cell>
          <cell r="G1422" t="str">
            <v>1</v>
          </cell>
          <cell r="H1422" t="str">
            <v>INDUSTRY</v>
          </cell>
          <cell r="I1422" t="str">
            <v>11</v>
          </cell>
          <cell r="J1422" t="str">
            <v>WOOD COATINGS</v>
          </cell>
          <cell r="K1422" t="str">
            <v>1104</v>
          </cell>
          <cell r="L1422" t="str">
            <v>NC</v>
          </cell>
          <cell r="M1422" t="str">
            <v>110405</v>
          </cell>
          <cell r="N1422" t="str">
            <v>NC SYSTEM</v>
          </cell>
        </row>
        <row r="1423">
          <cell r="C1423" t="str">
            <v>100002344</v>
          </cell>
          <cell r="D1423" t="str">
            <v>NCL-11323 HV CLEAR 20 VN-20LP</v>
          </cell>
          <cell r="E1423" t="str">
            <v>ZFGD</v>
          </cell>
          <cell r="F1423" t="str">
            <v>PC</v>
          </cell>
          <cell r="G1423" t="str">
            <v>1</v>
          </cell>
          <cell r="H1423" t="str">
            <v>INDUSTRY</v>
          </cell>
          <cell r="I1423" t="str">
            <v>11</v>
          </cell>
          <cell r="J1423" t="str">
            <v>WOOD COATINGS</v>
          </cell>
          <cell r="K1423" t="str">
            <v>1104</v>
          </cell>
          <cell r="L1423" t="str">
            <v>NC</v>
          </cell>
          <cell r="M1423" t="str">
            <v>110405</v>
          </cell>
          <cell r="N1423" t="str">
            <v>NC SYSTEM</v>
          </cell>
        </row>
        <row r="1424">
          <cell r="C1424" t="str">
            <v>100002345</v>
          </cell>
          <cell r="D1424" t="str">
            <v>NCL-11323 LC CLEAR 10 VN-20LP</v>
          </cell>
          <cell r="E1424" t="str">
            <v>ZFGD</v>
          </cell>
          <cell r="F1424" t="str">
            <v>PC</v>
          </cell>
          <cell r="G1424" t="str">
            <v>1</v>
          </cell>
          <cell r="H1424" t="str">
            <v>INDUSTRY</v>
          </cell>
          <cell r="I1424" t="str">
            <v>11</v>
          </cell>
          <cell r="J1424" t="str">
            <v>WOOD COATINGS</v>
          </cell>
          <cell r="K1424" t="str">
            <v>1104</v>
          </cell>
          <cell r="L1424" t="str">
            <v>NC</v>
          </cell>
          <cell r="M1424" t="str">
            <v>110405</v>
          </cell>
          <cell r="N1424" t="str">
            <v>NC SYSTEM</v>
          </cell>
        </row>
        <row r="1425">
          <cell r="C1425" t="str">
            <v>100002346</v>
          </cell>
          <cell r="D1425" t="str">
            <v>NCL-11323 LC CLEAR 50 VN-20LP</v>
          </cell>
          <cell r="E1425" t="str">
            <v>ZFGD</v>
          </cell>
          <cell r="F1425" t="str">
            <v>PC</v>
          </cell>
          <cell r="G1425" t="str">
            <v>1</v>
          </cell>
          <cell r="H1425" t="str">
            <v>INDUSTRY</v>
          </cell>
          <cell r="I1425" t="str">
            <v>11</v>
          </cell>
          <cell r="J1425" t="str">
            <v>WOOD COATINGS</v>
          </cell>
          <cell r="K1425" t="str">
            <v>1104</v>
          </cell>
          <cell r="L1425" t="str">
            <v>NC</v>
          </cell>
          <cell r="M1425" t="str">
            <v>110405</v>
          </cell>
          <cell r="N1425" t="str">
            <v>NC SYSTEM</v>
          </cell>
        </row>
        <row r="1426">
          <cell r="C1426" t="str">
            <v>100002347</v>
          </cell>
          <cell r="D1426" t="str">
            <v>NCL-11323 LC CLEAR 90 VN-20LP</v>
          </cell>
          <cell r="E1426" t="str">
            <v>ZFGD</v>
          </cell>
          <cell r="F1426" t="str">
            <v>PC</v>
          </cell>
          <cell r="G1426" t="str">
            <v>1</v>
          </cell>
          <cell r="H1426" t="str">
            <v>INDUSTRY</v>
          </cell>
          <cell r="I1426" t="str">
            <v>11</v>
          </cell>
          <cell r="J1426" t="str">
            <v>WOOD COATINGS</v>
          </cell>
          <cell r="K1426" t="str">
            <v>1104</v>
          </cell>
          <cell r="L1426" t="str">
            <v>NC</v>
          </cell>
          <cell r="M1426" t="str">
            <v>110405</v>
          </cell>
          <cell r="N1426" t="str">
            <v>NC SYSTEM</v>
          </cell>
        </row>
        <row r="1427">
          <cell r="C1427" t="str">
            <v>100002348</v>
          </cell>
          <cell r="D1427" t="str">
            <v>NCL-11325 LC CLEAR 10 VN-20KP</v>
          </cell>
          <cell r="E1427" t="str">
            <v>ZFGD</v>
          </cell>
          <cell r="F1427" t="str">
            <v>PC</v>
          </cell>
          <cell r="G1427" t="str">
            <v>1</v>
          </cell>
          <cell r="H1427" t="str">
            <v>INDUSTRY</v>
          </cell>
          <cell r="I1427" t="str">
            <v>11</v>
          </cell>
          <cell r="J1427" t="str">
            <v>WOOD COATINGS</v>
          </cell>
          <cell r="K1427" t="str">
            <v>1104</v>
          </cell>
          <cell r="L1427" t="str">
            <v>NC</v>
          </cell>
          <cell r="M1427" t="str">
            <v>110405</v>
          </cell>
          <cell r="N1427" t="str">
            <v>NC SYSTEM</v>
          </cell>
        </row>
        <row r="1428">
          <cell r="C1428" t="str">
            <v>100002349</v>
          </cell>
          <cell r="D1428" t="str">
            <v>NCL-11325 LC CLEAR 20 VN-20KP</v>
          </cell>
          <cell r="E1428" t="str">
            <v>ZFGD</v>
          </cell>
          <cell r="F1428" t="str">
            <v>PC</v>
          </cell>
          <cell r="G1428" t="str">
            <v>1</v>
          </cell>
          <cell r="H1428" t="str">
            <v>INDUSTRY</v>
          </cell>
          <cell r="I1428" t="str">
            <v>11</v>
          </cell>
          <cell r="J1428" t="str">
            <v>WOOD COATINGS</v>
          </cell>
          <cell r="K1428" t="str">
            <v>1104</v>
          </cell>
          <cell r="L1428" t="str">
            <v>NC</v>
          </cell>
          <cell r="M1428" t="str">
            <v>110405</v>
          </cell>
          <cell r="N1428" t="str">
            <v>NC SYSTEM</v>
          </cell>
        </row>
        <row r="1429">
          <cell r="C1429" t="str">
            <v>100002350</v>
          </cell>
          <cell r="D1429" t="str">
            <v>NCL-11325 LC CLEAR 30 VN-20KP</v>
          </cell>
          <cell r="E1429" t="str">
            <v>ZFGD</v>
          </cell>
          <cell r="F1429" t="str">
            <v>PC</v>
          </cell>
          <cell r="G1429" t="str">
            <v>1</v>
          </cell>
          <cell r="H1429" t="str">
            <v>INDUSTRY</v>
          </cell>
          <cell r="I1429" t="str">
            <v>11</v>
          </cell>
          <cell r="J1429" t="str">
            <v>WOOD COATINGS</v>
          </cell>
          <cell r="K1429" t="str">
            <v>1104</v>
          </cell>
          <cell r="L1429" t="str">
            <v>NC</v>
          </cell>
          <cell r="M1429" t="str">
            <v>110405</v>
          </cell>
          <cell r="N1429" t="str">
            <v>NC SYSTEM</v>
          </cell>
        </row>
        <row r="1430">
          <cell r="C1430" t="str">
            <v>100002351</v>
          </cell>
          <cell r="D1430" t="str">
            <v>NCL-11325 LC CLEAR 90 VN-20KP</v>
          </cell>
          <cell r="E1430" t="str">
            <v>ZFGD</v>
          </cell>
          <cell r="F1430" t="str">
            <v>PC</v>
          </cell>
          <cell r="G1430" t="str">
            <v>1</v>
          </cell>
          <cell r="H1430" t="str">
            <v>INDUSTRY</v>
          </cell>
          <cell r="I1430" t="str">
            <v>11</v>
          </cell>
          <cell r="J1430" t="str">
            <v>WOOD COATINGS</v>
          </cell>
          <cell r="K1430" t="str">
            <v>1104</v>
          </cell>
          <cell r="L1430" t="str">
            <v>NC</v>
          </cell>
          <cell r="M1430" t="str">
            <v>110405</v>
          </cell>
          <cell r="N1430" t="str">
            <v>NC SYSTEM</v>
          </cell>
        </row>
        <row r="1431">
          <cell r="C1431" t="str">
            <v>100002352</v>
          </cell>
          <cell r="D1431" t="str">
            <v>NCL-11327 CLEAR 70 VN-20KP</v>
          </cell>
          <cell r="E1431" t="str">
            <v>ZFGD</v>
          </cell>
          <cell r="F1431" t="str">
            <v>PC</v>
          </cell>
          <cell r="G1431" t="str">
            <v>1</v>
          </cell>
          <cell r="H1431" t="str">
            <v>INDUSTRY</v>
          </cell>
          <cell r="I1431" t="str">
            <v>11</v>
          </cell>
          <cell r="J1431" t="str">
            <v>WOOD COATINGS</v>
          </cell>
          <cell r="K1431" t="str">
            <v>1104</v>
          </cell>
          <cell r="L1431" t="str">
            <v>NC</v>
          </cell>
          <cell r="M1431" t="str">
            <v>110405</v>
          </cell>
          <cell r="N1431" t="str">
            <v>NC SYSTEM</v>
          </cell>
        </row>
        <row r="1432">
          <cell r="C1432" t="str">
            <v>100002353</v>
          </cell>
          <cell r="D1432" t="str">
            <v>NCL-11329 LC CLEAR 05 VN-20LP</v>
          </cell>
          <cell r="E1432" t="str">
            <v>ZFGD</v>
          </cell>
          <cell r="F1432" t="str">
            <v>PC</v>
          </cell>
          <cell r="G1432" t="str">
            <v>1</v>
          </cell>
          <cell r="H1432" t="str">
            <v>INDUSTRY</v>
          </cell>
          <cell r="I1432" t="str">
            <v>11</v>
          </cell>
          <cell r="J1432" t="str">
            <v>WOOD COATINGS</v>
          </cell>
          <cell r="K1432" t="str">
            <v>1104</v>
          </cell>
          <cell r="L1432" t="str">
            <v>NC</v>
          </cell>
          <cell r="M1432" t="str">
            <v>110405</v>
          </cell>
          <cell r="N1432" t="str">
            <v>NC SYSTEM</v>
          </cell>
        </row>
        <row r="1433">
          <cell r="C1433" t="str">
            <v>100002354</v>
          </cell>
          <cell r="D1433" t="str">
            <v>NCL-11329 LC CLEAR 10 VN-20LP</v>
          </cell>
          <cell r="E1433" t="str">
            <v>ZFGD</v>
          </cell>
          <cell r="F1433" t="str">
            <v>PC</v>
          </cell>
          <cell r="G1433" t="str">
            <v>1</v>
          </cell>
          <cell r="H1433" t="str">
            <v>INDUSTRY</v>
          </cell>
          <cell r="I1433" t="str">
            <v>11</v>
          </cell>
          <cell r="J1433" t="str">
            <v>WOOD COATINGS</v>
          </cell>
          <cell r="K1433" t="str">
            <v>1104</v>
          </cell>
          <cell r="L1433" t="str">
            <v>NC</v>
          </cell>
          <cell r="M1433" t="str">
            <v>110405</v>
          </cell>
          <cell r="N1433" t="str">
            <v>NC SYSTEM</v>
          </cell>
        </row>
        <row r="1434">
          <cell r="C1434" t="str">
            <v>100002355</v>
          </cell>
          <cell r="D1434" t="str">
            <v>NCL-11329 LC CLEAR 20 VN-20LP</v>
          </cell>
          <cell r="E1434" t="str">
            <v>ZFGD</v>
          </cell>
          <cell r="F1434" t="str">
            <v>PC</v>
          </cell>
          <cell r="G1434" t="str">
            <v>1</v>
          </cell>
          <cell r="H1434" t="str">
            <v>INDUSTRY</v>
          </cell>
          <cell r="I1434" t="str">
            <v>11</v>
          </cell>
          <cell r="J1434" t="str">
            <v>WOOD COATINGS</v>
          </cell>
          <cell r="K1434" t="str">
            <v>1104</v>
          </cell>
          <cell r="L1434" t="str">
            <v>NC</v>
          </cell>
          <cell r="M1434" t="str">
            <v>110405</v>
          </cell>
          <cell r="N1434" t="str">
            <v>NC SYSTEM</v>
          </cell>
        </row>
        <row r="1435">
          <cell r="C1435" t="str">
            <v>100002356</v>
          </cell>
          <cell r="D1435" t="str">
            <v>NCL-11329 LC CLEAR 30 VN-20LP</v>
          </cell>
          <cell r="E1435" t="str">
            <v>ZFGD</v>
          </cell>
          <cell r="F1435" t="str">
            <v>PC</v>
          </cell>
          <cell r="G1435" t="str">
            <v>1</v>
          </cell>
          <cell r="H1435" t="str">
            <v>INDUSTRY</v>
          </cell>
          <cell r="I1435" t="str">
            <v>11</v>
          </cell>
          <cell r="J1435" t="str">
            <v>WOOD COATINGS</v>
          </cell>
          <cell r="K1435" t="str">
            <v>1104</v>
          </cell>
          <cell r="L1435" t="str">
            <v>NC</v>
          </cell>
          <cell r="M1435" t="str">
            <v>110405</v>
          </cell>
          <cell r="N1435" t="str">
            <v>NC SYSTEM</v>
          </cell>
        </row>
        <row r="1436">
          <cell r="C1436" t="str">
            <v>100002357</v>
          </cell>
          <cell r="D1436" t="str">
            <v>NCL-11329 LC CLEAR 40 VN-20LP</v>
          </cell>
          <cell r="E1436" t="str">
            <v>ZFGD</v>
          </cell>
          <cell r="F1436" t="str">
            <v>PC</v>
          </cell>
          <cell r="G1436" t="str">
            <v>1</v>
          </cell>
          <cell r="H1436" t="str">
            <v>INDUSTRY</v>
          </cell>
          <cell r="I1436" t="str">
            <v>11</v>
          </cell>
          <cell r="J1436" t="str">
            <v>WOOD COATINGS</v>
          </cell>
          <cell r="K1436" t="str">
            <v>1104</v>
          </cell>
          <cell r="L1436" t="str">
            <v>NC</v>
          </cell>
          <cell r="M1436" t="str">
            <v>110405</v>
          </cell>
          <cell r="N1436" t="str">
            <v>NC SYSTEM</v>
          </cell>
        </row>
        <row r="1437">
          <cell r="C1437" t="str">
            <v>100002358</v>
          </cell>
          <cell r="D1437" t="str">
            <v>NCL-11329 LC CLEAR 50 VN-20LP</v>
          </cell>
          <cell r="E1437" t="str">
            <v>ZFGD</v>
          </cell>
          <cell r="F1437" t="str">
            <v>PC</v>
          </cell>
          <cell r="G1437" t="str">
            <v>1</v>
          </cell>
          <cell r="H1437" t="str">
            <v>INDUSTRY</v>
          </cell>
          <cell r="I1437" t="str">
            <v>11</v>
          </cell>
          <cell r="J1437" t="str">
            <v>WOOD COATINGS</v>
          </cell>
          <cell r="K1437" t="str">
            <v>1104</v>
          </cell>
          <cell r="L1437" t="str">
            <v>NC</v>
          </cell>
          <cell r="M1437" t="str">
            <v>110405</v>
          </cell>
          <cell r="N1437" t="str">
            <v>NC SYSTEM</v>
          </cell>
        </row>
        <row r="1438">
          <cell r="C1438" t="str">
            <v>100002359</v>
          </cell>
          <cell r="D1438" t="str">
            <v>NCSS-1112-29 LC AK-200LB</v>
          </cell>
          <cell r="E1438" t="str">
            <v>ZFGD</v>
          </cell>
          <cell r="F1438" t="str">
            <v>PC</v>
          </cell>
          <cell r="G1438" t="str">
            <v>1</v>
          </cell>
          <cell r="H1438" t="str">
            <v>INDUSTRY</v>
          </cell>
          <cell r="I1438" t="str">
            <v>11</v>
          </cell>
          <cell r="J1438" t="str">
            <v>WOOD COATINGS</v>
          </cell>
          <cell r="K1438" t="str">
            <v>1104</v>
          </cell>
          <cell r="L1438" t="str">
            <v>NC</v>
          </cell>
          <cell r="M1438" t="str">
            <v>110405</v>
          </cell>
          <cell r="N1438" t="str">
            <v>NC SYSTEM</v>
          </cell>
        </row>
        <row r="1439">
          <cell r="C1439" t="str">
            <v>100002360</v>
          </cell>
          <cell r="D1439" t="str">
            <v>NCSS-1112-29 LC AK-20LP</v>
          </cell>
          <cell r="E1439" t="str">
            <v>ZFGD</v>
          </cell>
          <cell r="F1439" t="str">
            <v>PC</v>
          </cell>
          <cell r="G1439" t="str">
            <v>1</v>
          </cell>
          <cell r="H1439" t="str">
            <v>INDUSTRY</v>
          </cell>
          <cell r="I1439" t="str">
            <v>11</v>
          </cell>
          <cell r="J1439" t="str">
            <v>WOOD COATINGS</v>
          </cell>
          <cell r="K1439" t="str">
            <v>1104</v>
          </cell>
          <cell r="L1439" t="str">
            <v>NC</v>
          </cell>
          <cell r="M1439" t="str">
            <v>110405</v>
          </cell>
          <cell r="N1439" t="str">
            <v>NC SYSTEM</v>
          </cell>
        </row>
        <row r="1440">
          <cell r="C1440" t="str">
            <v>100002361</v>
          </cell>
          <cell r="D1440" t="str">
            <v>NCSS-11223 HV VN-180KB</v>
          </cell>
          <cell r="E1440" t="str">
            <v>ZFGD</v>
          </cell>
          <cell r="F1440" t="str">
            <v>PC</v>
          </cell>
          <cell r="G1440" t="str">
            <v>1</v>
          </cell>
          <cell r="H1440" t="str">
            <v>INDUSTRY</v>
          </cell>
          <cell r="I1440" t="str">
            <v>11</v>
          </cell>
          <cell r="J1440" t="str">
            <v>WOOD COATINGS</v>
          </cell>
          <cell r="K1440" t="str">
            <v>1104</v>
          </cell>
          <cell r="L1440" t="str">
            <v>NC</v>
          </cell>
          <cell r="M1440" t="str">
            <v>110405</v>
          </cell>
          <cell r="N1440" t="str">
            <v>NC SYSTEM</v>
          </cell>
        </row>
        <row r="1441">
          <cell r="C1441" t="str">
            <v>100002362</v>
          </cell>
          <cell r="D1441" t="str">
            <v>NCSS-11223 HV VN-20LP</v>
          </cell>
          <cell r="E1441" t="str">
            <v>ZFGD</v>
          </cell>
          <cell r="F1441" t="str">
            <v>PC</v>
          </cell>
          <cell r="G1441" t="str">
            <v>1</v>
          </cell>
          <cell r="H1441" t="str">
            <v>INDUSTRY</v>
          </cell>
          <cell r="I1441" t="str">
            <v>11</v>
          </cell>
          <cell r="J1441" t="str">
            <v>WOOD COATINGS</v>
          </cell>
          <cell r="K1441" t="str">
            <v>1104</v>
          </cell>
          <cell r="L1441" t="str">
            <v>NC</v>
          </cell>
          <cell r="M1441" t="str">
            <v>110405</v>
          </cell>
          <cell r="N1441" t="str">
            <v>NC SYSTEM</v>
          </cell>
        </row>
        <row r="1442">
          <cell r="C1442" t="str">
            <v>100002363</v>
          </cell>
          <cell r="D1442" t="str">
            <v>NCSS-11223 LC VN-20LP</v>
          </cell>
          <cell r="E1442" t="str">
            <v>ZFGD</v>
          </cell>
          <cell r="F1442" t="str">
            <v>PC</v>
          </cell>
          <cell r="G1442" t="str">
            <v>1</v>
          </cell>
          <cell r="H1442" t="str">
            <v>INDUSTRY</v>
          </cell>
          <cell r="I1442" t="str">
            <v>11</v>
          </cell>
          <cell r="J1442" t="str">
            <v>WOOD COATINGS</v>
          </cell>
          <cell r="K1442" t="str">
            <v>1104</v>
          </cell>
          <cell r="L1442" t="str">
            <v>NC</v>
          </cell>
          <cell r="M1442" t="str">
            <v>110405</v>
          </cell>
          <cell r="N1442" t="str">
            <v>NC SYSTEM</v>
          </cell>
        </row>
        <row r="1443">
          <cell r="C1443" t="str">
            <v>100002364</v>
          </cell>
          <cell r="D1443" t="str">
            <v>NCSS-11224 LC VN-20KP</v>
          </cell>
          <cell r="E1443" t="str">
            <v>ZFGD</v>
          </cell>
          <cell r="F1443" t="str">
            <v>PC</v>
          </cell>
          <cell r="G1443" t="str">
            <v>1</v>
          </cell>
          <cell r="H1443" t="str">
            <v>INDUSTRY</v>
          </cell>
          <cell r="I1443" t="str">
            <v>11</v>
          </cell>
          <cell r="J1443" t="str">
            <v>WOOD COATINGS</v>
          </cell>
          <cell r="K1443" t="str">
            <v>1104</v>
          </cell>
          <cell r="L1443" t="str">
            <v>NC</v>
          </cell>
          <cell r="M1443" t="str">
            <v>110405</v>
          </cell>
          <cell r="N1443" t="str">
            <v>NC SYSTEM</v>
          </cell>
        </row>
        <row r="1444">
          <cell r="C1444" t="str">
            <v>100002365</v>
          </cell>
          <cell r="D1444" t="str">
            <v>NCSS-11225 LC VN-20KP</v>
          </cell>
          <cell r="E1444" t="str">
            <v>ZFGD</v>
          </cell>
          <cell r="F1444" t="str">
            <v>PC</v>
          </cell>
          <cell r="G1444" t="str">
            <v>1</v>
          </cell>
          <cell r="H1444" t="str">
            <v>INDUSTRY</v>
          </cell>
          <cell r="I1444" t="str">
            <v>11</v>
          </cell>
          <cell r="J1444" t="str">
            <v>WOOD COATINGS</v>
          </cell>
          <cell r="K1444" t="str">
            <v>1104</v>
          </cell>
          <cell r="L1444" t="str">
            <v>NC</v>
          </cell>
          <cell r="M1444" t="str">
            <v>110405</v>
          </cell>
          <cell r="N1444" t="str">
            <v>NC SYSTEM</v>
          </cell>
        </row>
        <row r="1445">
          <cell r="C1445" t="str">
            <v>100002366</v>
          </cell>
          <cell r="D1445" t="str">
            <v>NCSS-11229 LC VN-200LB</v>
          </cell>
          <cell r="E1445" t="str">
            <v>ZFGD</v>
          </cell>
          <cell r="F1445" t="str">
            <v>PC</v>
          </cell>
          <cell r="G1445" t="str">
            <v>1</v>
          </cell>
          <cell r="H1445" t="str">
            <v>INDUSTRY</v>
          </cell>
          <cell r="I1445" t="str">
            <v>11</v>
          </cell>
          <cell r="J1445" t="str">
            <v>WOOD COATINGS</v>
          </cell>
          <cell r="K1445" t="str">
            <v>1104</v>
          </cell>
          <cell r="L1445" t="str">
            <v>NC</v>
          </cell>
          <cell r="M1445" t="str">
            <v>110405</v>
          </cell>
          <cell r="N1445" t="str">
            <v>NC SYSTEM</v>
          </cell>
        </row>
        <row r="1446">
          <cell r="C1446" t="str">
            <v>100002367</v>
          </cell>
          <cell r="D1446" t="str">
            <v>NCSS-11229 LC VN-20LP</v>
          </cell>
          <cell r="E1446" t="str">
            <v>ZFGD</v>
          </cell>
          <cell r="F1446" t="str">
            <v>PC</v>
          </cell>
          <cell r="G1446" t="str">
            <v>1</v>
          </cell>
          <cell r="H1446" t="str">
            <v>INDUSTRY</v>
          </cell>
          <cell r="I1446" t="str">
            <v>11</v>
          </cell>
          <cell r="J1446" t="str">
            <v>WOOD COATINGS</v>
          </cell>
          <cell r="K1446" t="str">
            <v>1104</v>
          </cell>
          <cell r="L1446" t="str">
            <v>NC</v>
          </cell>
          <cell r="M1446" t="str">
            <v>110405</v>
          </cell>
          <cell r="N1446" t="str">
            <v>NC SYSTEM</v>
          </cell>
        </row>
        <row r="1447">
          <cell r="C1447" t="str">
            <v>100002368</v>
          </cell>
          <cell r="D1447" t="str">
            <v>PCE-31500 BLACK PASTE VN-4K</v>
          </cell>
          <cell r="E1447" t="str">
            <v>ZFGD</v>
          </cell>
          <cell r="F1447" t="str">
            <v>PC</v>
          </cell>
          <cell r="G1447" t="str">
            <v>1</v>
          </cell>
          <cell r="H1447" t="str">
            <v>INDUSTRY</v>
          </cell>
          <cell r="I1447" t="str">
            <v>11</v>
          </cell>
          <cell r="J1447" t="str">
            <v>WOOD COATINGS</v>
          </cell>
          <cell r="K1447" t="str">
            <v>1118</v>
          </cell>
          <cell r="L1447" t="str">
            <v>COMPLEMENTARY</v>
          </cell>
          <cell r="M1447" t="str">
            <v>111807</v>
          </cell>
          <cell r="N1447" t="str">
            <v>PASTA</v>
          </cell>
        </row>
        <row r="1448">
          <cell r="C1448" t="str">
            <v>100002369</v>
          </cell>
          <cell r="D1448" t="str">
            <v>PCE-31500 OXIDE RED PASTE VN-4K</v>
          </cell>
          <cell r="E1448" t="str">
            <v>ZFGD</v>
          </cell>
          <cell r="F1448" t="str">
            <v>PC</v>
          </cell>
          <cell r="G1448" t="str">
            <v>1</v>
          </cell>
          <cell r="H1448" t="str">
            <v>INDUSTRY</v>
          </cell>
          <cell r="I1448" t="str">
            <v>11</v>
          </cell>
          <cell r="J1448" t="str">
            <v>WOOD COATINGS</v>
          </cell>
          <cell r="K1448" t="str">
            <v>1118</v>
          </cell>
          <cell r="L1448" t="str">
            <v>COMPLEMENTARY</v>
          </cell>
          <cell r="M1448" t="str">
            <v>111807</v>
          </cell>
          <cell r="N1448" t="str">
            <v>PASTA</v>
          </cell>
        </row>
        <row r="1449">
          <cell r="C1449" t="str">
            <v>100002370</v>
          </cell>
          <cell r="D1449" t="str">
            <v>PCE-31500 WHITE PASTE VN-4K</v>
          </cell>
          <cell r="E1449" t="str">
            <v>ZFGD</v>
          </cell>
          <cell r="F1449" t="str">
            <v>PC</v>
          </cell>
          <cell r="G1449" t="str">
            <v>1</v>
          </cell>
          <cell r="H1449" t="str">
            <v>INDUSTRY</v>
          </cell>
          <cell r="I1449" t="str">
            <v>11</v>
          </cell>
          <cell r="J1449" t="str">
            <v>WOOD COATINGS</v>
          </cell>
          <cell r="K1449" t="str">
            <v>1118</v>
          </cell>
          <cell r="L1449" t="str">
            <v>COMPLEMENTARY</v>
          </cell>
          <cell r="M1449" t="str">
            <v>111807</v>
          </cell>
          <cell r="N1449" t="str">
            <v>PASTA</v>
          </cell>
        </row>
        <row r="1450">
          <cell r="C1450" t="str">
            <v>100002371</v>
          </cell>
          <cell r="D1450" t="str">
            <v>PCE-31500 YELLOW PASTE VN-4K</v>
          </cell>
          <cell r="E1450" t="str">
            <v>ZFGD</v>
          </cell>
          <cell r="F1450" t="str">
            <v>PC</v>
          </cell>
          <cell r="G1450" t="str">
            <v>1</v>
          </cell>
          <cell r="H1450" t="str">
            <v>INDUSTRY</v>
          </cell>
          <cell r="I1450" t="str">
            <v>11</v>
          </cell>
          <cell r="J1450" t="str">
            <v>WOOD COATINGS</v>
          </cell>
          <cell r="K1450" t="str">
            <v>1118</v>
          </cell>
          <cell r="L1450" t="str">
            <v>COMPLEMENTARY</v>
          </cell>
          <cell r="M1450" t="str">
            <v>111807</v>
          </cell>
          <cell r="N1450" t="str">
            <v>PASTA</v>
          </cell>
        </row>
        <row r="1451">
          <cell r="C1451" t="str">
            <v>100002372</v>
          </cell>
          <cell r="D1451" t="str">
            <v>PSV-76000 SB HC MY VN-20LJ</v>
          </cell>
          <cell r="E1451" t="str">
            <v>ZFGD</v>
          </cell>
          <cell r="F1451" t="str">
            <v>PC</v>
          </cell>
          <cell r="G1451" t="str">
            <v>1</v>
          </cell>
          <cell r="H1451" t="str">
            <v>INDUSTRY</v>
          </cell>
          <cell r="I1451" t="str">
            <v>11</v>
          </cell>
          <cell r="J1451" t="str">
            <v>WOOD COATINGS</v>
          </cell>
          <cell r="K1451" t="str">
            <v>1101</v>
          </cell>
          <cell r="L1451" t="str">
            <v>ALKYD OIL</v>
          </cell>
          <cell r="M1451" t="str">
            <v>110101</v>
          </cell>
          <cell r="N1451" t="str">
            <v>ALKYD &amp; OIL SYSTEM</v>
          </cell>
        </row>
        <row r="1452">
          <cell r="C1452" t="str">
            <v>100002373</v>
          </cell>
          <cell r="D1452" t="str">
            <v>PTOL-31800 BLACK-4K</v>
          </cell>
          <cell r="E1452" t="str">
            <v>ZFGD</v>
          </cell>
          <cell r="F1452" t="str">
            <v>PC</v>
          </cell>
          <cell r="G1452" t="str">
            <v>1</v>
          </cell>
          <cell r="H1452" t="str">
            <v>INDUSTRY</v>
          </cell>
          <cell r="I1452" t="str">
            <v>11</v>
          </cell>
          <cell r="J1452" t="str">
            <v>WOOD COATINGS</v>
          </cell>
          <cell r="K1452" t="str">
            <v>1118</v>
          </cell>
          <cell r="L1452" t="str">
            <v>COMPLEMENTARY</v>
          </cell>
          <cell r="M1452" t="str">
            <v>111807</v>
          </cell>
          <cell r="N1452" t="str">
            <v>PASTA</v>
          </cell>
        </row>
        <row r="1453">
          <cell r="C1453" t="str">
            <v>100002374</v>
          </cell>
          <cell r="D1453" t="str">
            <v>PTOL-31800 OXIDE RED 45-4K</v>
          </cell>
          <cell r="E1453" t="str">
            <v>ZFGD</v>
          </cell>
          <cell r="F1453" t="str">
            <v>PC</v>
          </cell>
          <cell r="G1453" t="str">
            <v>1</v>
          </cell>
          <cell r="H1453" t="str">
            <v>INDUSTRY</v>
          </cell>
          <cell r="I1453" t="str">
            <v>11</v>
          </cell>
          <cell r="J1453" t="str">
            <v>WOOD COATINGS</v>
          </cell>
          <cell r="K1453" t="str">
            <v>1118</v>
          </cell>
          <cell r="L1453" t="str">
            <v>COMPLEMENTARY</v>
          </cell>
          <cell r="M1453" t="str">
            <v>111807</v>
          </cell>
          <cell r="N1453" t="str">
            <v>PASTA</v>
          </cell>
        </row>
        <row r="1454">
          <cell r="C1454" t="str">
            <v>100002375</v>
          </cell>
          <cell r="D1454" t="str">
            <v>PTOL-31800 YELLOW OR 10-4K</v>
          </cell>
          <cell r="E1454" t="str">
            <v>ZFGD</v>
          </cell>
          <cell r="F1454" t="str">
            <v>PC</v>
          </cell>
          <cell r="G1454" t="str">
            <v>1</v>
          </cell>
          <cell r="H1454" t="str">
            <v>INDUSTRY</v>
          </cell>
          <cell r="I1454" t="str">
            <v>11</v>
          </cell>
          <cell r="J1454" t="str">
            <v>WOOD COATINGS</v>
          </cell>
          <cell r="K1454" t="str">
            <v>1118</v>
          </cell>
          <cell r="L1454" t="str">
            <v>COMPLEMENTARY</v>
          </cell>
          <cell r="M1454" t="str">
            <v>111807</v>
          </cell>
          <cell r="N1454" t="str">
            <v>PASTA</v>
          </cell>
        </row>
        <row r="1455">
          <cell r="C1455" t="str">
            <v>100002376</v>
          </cell>
          <cell r="D1455" t="str">
            <v>PTOL-31800 YELLOW OXIDE-4K</v>
          </cell>
          <cell r="E1455" t="str">
            <v>ZFGD</v>
          </cell>
          <cell r="F1455" t="str">
            <v>PC</v>
          </cell>
          <cell r="G1455" t="str">
            <v>1</v>
          </cell>
          <cell r="H1455" t="str">
            <v>INDUSTRY</v>
          </cell>
          <cell r="I1455" t="str">
            <v>11</v>
          </cell>
          <cell r="J1455" t="str">
            <v>WOOD COATINGS</v>
          </cell>
          <cell r="K1455" t="str">
            <v>1118</v>
          </cell>
          <cell r="L1455" t="str">
            <v>COMPLEMENTARY</v>
          </cell>
          <cell r="M1455" t="str">
            <v>111807</v>
          </cell>
          <cell r="N1455" t="str">
            <v>PASTA</v>
          </cell>
        </row>
        <row r="1456">
          <cell r="C1456" t="str">
            <v>100002377</v>
          </cell>
          <cell r="D1456" t="str">
            <v>PUC-52233 BLACK 90 VN-20KP</v>
          </cell>
          <cell r="E1456" t="str">
            <v>ZFGD</v>
          </cell>
          <cell r="F1456" t="str">
            <v>PC</v>
          </cell>
          <cell r="G1456" t="str">
            <v>1</v>
          </cell>
          <cell r="H1456" t="str">
            <v>INDUSTRY</v>
          </cell>
          <cell r="I1456" t="str">
            <v>11</v>
          </cell>
          <cell r="J1456" t="str">
            <v>WOOD COATINGS</v>
          </cell>
          <cell r="K1456" t="str">
            <v>1103</v>
          </cell>
          <cell r="L1456" t="str">
            <v>PU</v>
          </cell>
          <cell r="M1456" t="str">
            <v>110319</v>
          </cell>
          <cell r="N1456" t="str">
            <v>PU COLOR</v>
          </cell>
        </row>
        <row r="1457">
          <cell r="C1457" t="str">
            <v>100002378</v>
          </cell>
          <cell r="D1457" t="str">
            <v>PUC-52235 19 20 AH VN-20KP</v>
          </cell>
          <cell r="E1457" t="str">
            <v>ZFGD</v>
          </cell>
          <cell r="F1457" t="str">
            <v>PC</v>
          </cell>
          <cell r="G1457" t="str">
            <v>1</v>
          </cell>
          <cell r="H1457" t="str">
            <v>INDUSTRY</v>
          </cell>
          <cell r="I1457" t="str">
            <v>11</v>
          </cell>
          <cell r="J1457" t="str">
            <v>WOOD COATINGS</v>
          </cell>
          <cell r="K1457" t="str">
            <v>1103</v>
          </cell>
          <cell r="L1457" t="str">
            <v>PU</v>
          </cell>
          <cell r="M1457" t="str">
            <v>110319</v>
          </cell>
          <cell r="N1457" t="str">
            <v>PU COLOR</v>
          </cell>
        </row>
        <row r="1458">
          <cell r="C1458" t="str">
            <v>100002379</v>
          </cell>
          <cell r="D1458" t="str">
            <v>PUC-52235 BLACK 10 VN-20KP</v>
          </cell>
          <cell r="E1458" t="str">
            <v>ZFGD</v>
          </cell>
          <cell r="F1458" t="str">
            <v>PC</v>
          </cell>
          <cell r="G1458" t="str">
            <v>1</v>
          </cell>
          <cell r="H1458" t="str">
            <v>INDUSTRY</v>
          </cell>
          <cell r="I1458" t="str">
            <v>11</v>
          </cell>
          <cell r="J1458" t="str">
            <v>WOOD COATINGS</v>
          </cell>
          <cell r="K1458" t="str">
            <v>1103</v>
          </cell>
          <cell r="L1458" t="str">
            <v>PU</v>
          </cell>
          <cell r="M1458" t="str">
            <v>110319</v>
          </cell>
          <cell r="N1458" t="str">
            <v>PU COLOR</v>
          </cell>
        </row>
        <row r="1459">
          <cell r="C1459" t="str">
            <v>100002380</v>
          </cell>
          <cell r="D1459" t="str">
            <v>PUC-52235 BLACK 10 YJ VN-20KP</v>
          </cell>
          <cell r="E1459" t="str">
            <v>ZFGD</v>
          </cell>
          <cell r="F1459" t="str">
            <v>PC</v>
          </cell>
          <cell r="G1459" t="str">
            <v>1</v>
          </cell>
          <cell r="H1459" t="str">
            <v>INDUSTRY</v>
          </cell>
          <cell r="I1459" t="str">
            <v>11</v>
          </cell>
          <cell r="J1459" t="str">
            <v>WOOD COATINGS</v>
          </cell>
          <cell r="K1459" t="str">
            <v>1103</v>
          </cell>
          <cell r="L1459" t="str">
            <v>PU</v>
          </cell>
          <cell r="M1459" t="str">
            <v>110319</v>
          </cell>
          <cell r="N1459" t="str">
            <v>PU COLOR</v>
          </cell>
        </row>
        <row r="1460">
          <cell r="C1460" t="str">
            <v>100002381</v>
          </cell>
          <cell r="D1460" t="str">
            <v>PUC-52235 BLACK 30 VN-20KP</v>
          </cell>
          <cell r="E1460" t="str">
            <v>ZFGD</v>
          </cell>
          <cell r="F1460" t="str">
            <v>PC</v>
          </cell>
          <cell r="G1460" t="str">
            <v>1</v>
          </cell>
          <cell r="H1460" t="str">
            <v>INDUSTRY</v>
          </cell>
          <cell r="I1460" t="str">
            <v>11</v>
          </cell>
          <cell r="J1460" t="str">
            <v>WOOD COATINGS</v>
          </cell>
          <cell r="K1460" t="str">
            <v>1103</v>
          </cell>
          <cell r="L1460" t="str">
            <v>PU</v>
          </cell>
          <cell r="M1460" t="str">
            <v>110319</v>
          </cell>
          <cell r="N1460" t="str">
            <v>PU COLOR</v>
          </cell>
        </row>
        <row r="1461">
          <cell r="C1461" t="str">
            <v>100002382</v>
          </cell>
          <cell r="D1461" t="str">
            <v>PUC-52235 BLACK 90 VN-18KP</v>
          </cell>
          <cell r="E1461" t="str">
            <v>ZFGD</v>
          </cell>
          <cell r="F1461" t="str">
            <v>PC</v>
          </cell>
          <cell r="G1461" t="str">
            <v>1</v>
          </cell>
          <cell r="H1461" t="str">
            <v>INDUSTRY</v>
          </cell>
          <cell r="I1461" t="str">
            <v>11</v>
          </cell>
          <cell r="J1461" t="str">
            <v>WOOD COATINGS</v>
          </cell>
          <cell r="K1461" t="str">
            <v>1103</v>
          </cell>
          <cell r="L1461" t="str">
            <v>PU</v>
          </cell>
          <cell r="M1461" t="str">
            <v>110319</v>
          </cell>
          <cell r="N1461" t="str">
            <v>PU COLOR</v>
          </cell>
        </row>
        <row r="1462">
          <cell r="C1462" t="str">
            <v>100002383</v>
          </cell>
          <cell r="D1462" t="str">
            <v>PUC-52235 BLACK FAI 20 90 IF VN-20KP</v>
          </cell>
          <cell r="E1462" t="str">
            <v>ZFGD</v>
          </cell>
          <cell r="F1462" t="str">
            <v>PC</v>
          </cell>
          <cell r="G1462" t="str">
            <v>1</v>
          </cell>
          <cell r="H1462" t="str">
            <v>INDUSTRY</v>
          </cell>
          <cell r="I1462" t="str">
            <v>11</v>
          </cell>
          <cell r="J1462" t="str">
            <v>WOOD COATINGS</v>
          </cell>
          <cell r="K1462" t="str">
            <v>1103</v>
          </cell>
          <cell r="L1462" t="str">
            <v>PU</v>
          </cell>
          <cell r="M1462" t="str">
            <v>110319</v>
          </cell>
          <cell r="N1462" t="str">
            <v>PU COLOR</v>
          </cell>
        </row>
        <row r="1463">
          <cell r="C1463" t="str">
            <v>100002384</v>
          </cell>
          <cell r="D1463" t="str">
            <v>PUC-52235 GREEN 20 TT VN-20KP</v>
          </cell>
          <cell r="E1463" t="str">
            <v>ZFGD</v>
          </cell>
          <cell r="F1463" t="str">
            <v>PC</v>
          </cell>
          <cell r="G1463" t="str">
            <v>1</v>
          </cell>
          <cell r="H1463" t="str">
            <v>INDUSTRY</v>
          </cell>
          <cell r="I1463" t="str">
            <v>11</v>
          </cell>
          <cell r="J1463" t="str">
            <v>WOOD COATINGS</v>
          </cell>
          <cell r="K1463" t="str">
            <v>1103</v>
          </cell>
          <cell r="L1463" t="str">
            <v>PU</v>
          </cell>
          <cell r="M1463" t="str">
            <v>110319</v>
          </cell>
          <cell r="N1463" t="str">
            <v>PU COLOR</v>
          </cell>
        </row>
        <row r="1464">
          <cell r="C1464" t="str">
            <v>100002385</v>
          </cell>
          <cell r="D1464" t="str">
            <v>PUC-52235 GREEN 392 30 HS VN-20KP</v>
          </cell>
          <cell r="E1464" t="str">
            <v>ZFGD</v>
          </cell>
          <cell r="F1464" t="str">
            <v>PC</v>
          </cell>
          <cell r="G1464" t="str">
            <v>1</v>
          </cell>
          <cell r="H1464" t="str">
            <v>INDUSTRY</v>
          </cell>
          <cell r="I1464" t="str">
            <v>11</v>
          </cell>
          <cell r="J1464" t="str">
            <v>WOOD COATINGS</v>
          </cell>
          <cell r="K1464" t="str">
            <v>1103</v>
          </cell>
          <cell r="L1464" t="str">
            <v>PU</v>
          </cell>
          <cell r="M1464" t="str">
            <v>110319</v>
          </cell>
          <cell r="N1464" t="str">
            <v>PU COLOR</v>
          </cell>
        </row>
        <row r="1465">
          <cell r="C1465" t="str">
            <v>100002386</v>
          </cell>
          <cell r="D1465" t="str">
            <v>PUC-52235 HA 02 10 HA VN-20KP</v>
          </cell>
          <cell r="E1465" t="str">
            <v>ZFGD</v>
          </cell>
          <cell r="F1465" t="str">
            <v>PC</v>
          </cell>
          <cell r="G1465" t="str">
            <v>1</v>
          </cell>
          <cell r="H1465" t="str">
            <v>INDUSTRY</v>
          </cell>
          <cell r="I1465" t="str">
            <v>11</v>
          </cell>
          <cell r="J1465" t="str">
            <v>WOOD COATINGS</v>
          </cell>
          <cell r="K1465" t="str">
            <v>1103</v>
          </cell>
          <cell r="L1465" t="str">
            <v>PU</v>
          </cell>
          <cell r="M1465" t="str">
            <v>110319</v>
          </cell>
          <cell r="N1465" t="str">
            <v>PU COLOR</v>
          </cell>
        </row>
        <row r="1466">
          <cell r="C1466" t="str">
            <v>100002387</v>
          </cell>
          <cell r="D1466" t="str">
            <v>PUC-52239 02 20 NM VN-20KP</v>
          </cell>
          <cell r="E1466" t="str">
            <v>ZFGD</v>
          </cell>
          <cell r="F1466" t="str">
            <v>PC</v>
          </cell>
          <cell r="G1466" t="str">
            <v>1</v>
          </cell>
          <cell r="H1466" t="str">
            <v>INDUSTRY</v>
          </cell>
          <cell r="I1466" t="str">
            <v>11</v>
          </cell>
          <cell r="J1466" t="str">
            <v>WOOD COATINGS</v>
          </cell>
          <cell r="K1466" t="str">
            <v>1103</v>
          </cell>
          <cell r="L1466" t="str">
            <v>PU</v>
          </cell>
          <cell r="M1466" t="str">
            <v>110319</v>
          </cell>
          <cell r="N1466" t="str">
            <v>PU COLOR</v>
          </cell>
        </row>
        <row r="1467">
          <cell r="C1467" t="str">
            <v>100002388</v>
          </cell>
          <cell r="D1467" t="str">
            <v>PUC-52239 03 20 NM VN-20KP</v>
          </cell>
          <cell r="E1467" t="str">
            <v>ZFGD</v>
          </cell>
          <cell r="F1467" t="str">
            <v>PC</v>
          </cell>
          <cell r="G1467" t="str">
            <v>1</v>
          </cell>
          <cell r="H1467" t="str">
            <v>INDUSTRY</v>
          </cell>
          <cell r="I1467" t="str">
            <v>11</v>
          </cell>
          <cell r="J1467" t="str">
            <v>WOOD COATINGS</v>
          </cell>
          <cell r="K1467" t="str">
            <v>1103</v>
          </cell>
          <cell r="L1467" t="str">
            <v>PU</v>
          </cell>
          <cell r="M1467" t="str">
            <v>110319</v>
          </cell>
          <cell r="N1467" t="str">
            <v>PU COLOR</v>
          </cell>
        </row>
        <row r="1468">
          <cell r="C1468" t="str">
            <v>100002389</v>
          </cell>
          <cell r="D1468" t="str">
            <v>PUC-52239 04 20 NM VN-20KP</v>
          </cell>
          <cell r="E1468" t="str">
            <v>ZFGD</v>
          </cell>
          <cell r="F1468" t="str">
            <v>PC</v>
          </cell>
          <cell r="G1468" t="str">
            <v>1</v>
          </cell>
          <cell r="H1468" t="str">
            <v>INDUSTRY</v>
          </cell>
          <cell r="I1468" t="str">
            <v>11</v>
          </cell>
          <cell r="J1468" t="str">
            <v>WOOD COATINGS</v>
          </cell>
          <cell r="K1468" t="str">
            <v>1103</v>
          </cell>
          <cell r="L1468" t="str">
            <v>PU</v>
          </cell>
          <cell r="M1468" t="str">
            <v>110319</v>
          </cell>
          <cell r="N1468" t="str">
            <v>PU COLOR</v>
          </cell>
        </row>
        <row r="1469">
          <cell r="C1469" t="str">
            <v>100002390</v>
          </cell>
          <cell r="D1469" t="str">
            <v>PUC-52239 05 20 NM VN-20KP</v>
          </cell>
          <cell r="E1469" t="str">
            <v>ZFGD</v>
          </cell>
          <cell r="F1469" t="str">
            <v>PC</v>
          </cell>
          <cell r="G1469" t="str">
            <v>1</v>
          </cell>
          <cell r="H1469" t="str">
            <v>INDUSTRY</v>
          </cell>
          <cell r="I1469" t="str">
            <v>11</v>
          </cell>
          <cell r="J1469" t="str">
            <v>WOOD COATINGS</v>
          </cell>
          <cell r="K1469" t="str">
            <v>1103</v>
          </cell>
          <cell r="L1469" t="str">
            <v>PU</v>
          </cell>
          <cell r="M1469" t="str">
            <v>110319</v>
          </cell>
          <cell r="N1469" t="str">
            <v>PU COLOR</v>
          </cell>
        </row>
        <row r="1470">
          <cell r="C1470" t="str">
            <v>100002391</v>
          </cell>
          <cell r="D1470" t="str">
            <v>82-4020 UE AF URT WHITE A-20KP</v>
          </cell>
          <cell r="E1470" t="str">
            <v>ZFGD</v>
          </cell>
          <cell r="F1470" t="str">
            <v>PC</v>
          </cell>
          <cell r="G1470" t="str">
            <v>1</v>
          </cell>
          <cell r="H1470" t="str">
            <v>INDUSTRY</v>
          </cell>
          <cell r="I1470" t="str">
            <v>11</v>
          </cell>
          <cell r="J1470" t="str">
            <v>WOOD COATINGS</v>
          </cell>
          <cell r="K1470" t="str">
            <v>1103</v>
          </cell>
          <cell r="L1470" t="str">
            <v>PU</v>
          </cell>
          <cell r="M1470" t="str">
            <v>110310</v>
          </cell>
          <cell r="N1470" t="str">
            <v>UNION COLOR</v>
          </cell>
        </row>
        <row r="1471">
          <cell r="C1471" t="str">
            <v>100002392</v>
          </cell>
          <cell r="D1471" t="str">
            <v>PUC-52239 38 10 MT VN-20KP</v>
          </cell>
          <cell r="E1471" t="str">
            <v>ZFGD</v>
          </cell>
          <cell r="F1471" t="str">
            <v>PC</v>
          </cell>
          <cell r="G1471" t="str">
            <v>1</v>
          </cell>
          <cell r="H1471" t="str">
            <v>INDUSTRY</v>
          </cell>
          <cell r="I1471" t="str">
            <v>11</v>
          </cell>
          <cell r="J1471" t="str">
            <v>WOOD COATINGS</v>
          </cell>
          <cell r="K1471" t="str">
            <v>1103</v>
          </cell>
          <cell r="L1471" t="str">
            <v>PU</v>
          </cell>
          <cell r="M1471" t="str">
            <v>110319</v>
          </cell>
          <cell r="N1471" t="str">
            <v>PU COLOR</v>
          </cell>
        </row>
        <row r="1472">
          <cell r="C1472" t="str">
            <v>100002393</v>
          </cell>
          <cell r="D1472" t="str">
            <v>PUC-52239 BLACK 05 05 GM VN-20KP</v>
          </cell>
          <cell r="E1472" t="str">
            <v>ZFGD</v>
          </cell>
          <cell r="F1472" t="str">
            <v>PC</v>
          </cell>
          <cell r="G1472" t="str">
            <v>1</v>
          </cell>
          <cell r="H1472" t="str">
            <v>INDUSTRY</v>
          </cell>
          <cell r="I1472" t="str">
            <v>11</v>
          </cell>
          <cell r="J1472" t="str">
            <v>WOOD COATINGS</v>
          </cell>
          <cell r="K1472" t="str">
            <v>1103</v>
          </cell>
          <cell r="L1472" t="str">
            <v>PU</v>
          </cell>
          <cell r="M1472" t="str">
            <v>110319</v>
          </cell>
          <cell r="N1472" t="str">
            <v>PU COLOR</v>
          </cell>
        </row>
        <row r="1473">
          <cell r="C1473" t="str">
            <v>100002394</v>
          </cell>
          <cell r="D1473" t="str">
            <v>PUC-52239 BLACK 05 KI VN-20KP</v>
          </cell>
          <cell r="E1473" t="str">
            <v>ZFGD</v>
          </cell>
          <cell r="F1473" t="str">
            <v>PC</v>
          </cell>
          <cell r="G1473" t="str">
            <v>1</v>
          </cell>
          <cell r="H1473" t="str">
            <v>INDUSTRY</v>
          </cell>
          <cell r="I1473" t="str">
            <v>11</v>
          </cell>
          <cell r="J1473" t="str">
            <v>WOOD COATINGS</v>
          </cell>
          <cell r="K1473" t="str">
            <v>1103</v>
          </cell>
          <cell r="L1473" t="str">
            <v>PU</v>
          </cell>
          <cell r="M1473" t="str">
            <v>110319</v>
          </cell>
          <cell r="N1473" t="str">
            <v>PU COLOR</v>
          </cell>
        </row>
        <row r="1474">
          <cell r="C1474" t="str">
            <v>100002395</v>
          </cell>
          <cell r="D1474" t="str">
            <v>PUC-52239 BLACK 05 VN-20KP</v>
          </cell>
          <cell r="E1474" t="str">
            <v>ZFGD</v>
          </cell>
          <cell r="F1474" t="str">
            <v>PC</v>
          </cell>
          <cell r="G1474" t="str">
            <v>1</v>
          </cell>
          <cell r="H1474" t="str">
            <v>INDUSTRY</v>
          </cell>
          <cell r="I1474" t="str">
            <v>11</v>
          </cell>
          <cell r="J1474" t="str">
            <v>WOOD COATINGS</v>
          </cell>
          <cell r="K1474" t="str">
            <v>1103</v>
          </cell>
          <cell r="L1474" t="str">
            <v>PU</v>
          </cell>
          <cell r="M1474" t="str">
            <v>110319</v>
          </cell>
          <cell r="N1474" t="str">
            <v>PU COLOR</v>
          </cell>
        </row>
        <row r="1475">
          <cell r="C1475" t="str">
            <v>100002396</v>
          </cell>
          <cell r="D1475" t="str">
            <v>PUC-52239 BLUE 20 TL VN-20KP</v>
          </cell>
          <cell r="E1475" t="str">
            <v>ZFGD</v>
          </cell>
          <cell r="F1475" t="str">
            <v>PC</v>
          </cell>
          <cell r="G1475" t="str">
            <v>1</v>
          </cell>
          <cell r="H1475" t="str">
            <v>INDUSTRY</v>
          </cell>
          <cell r="I1475" t="str">
            <v>11</v>
          </cell>
          <cell r="J1475" t="str">
            <v>WOOD COATINGS</v>
          </cell>
          <cell r="K1475" t="str">
            <v>1103</v>
          </cell>
          <cell r="L1475" t="str">
            <v>PU</v>
          </cell>
          <cell r="M1475" t="str">
            <v>110319</v>
          </cell>
          <cell r="N1475" t="str">
            <v>PU COLOR</v>
          </cell>
        </row>
        <row r="1476">
          <cell r="C1476" t="str">
            <v>100002397</v>
          </cell>
          <cell r="D1476" t="str">
            <v>PUC-52239 BLUE 20 TT VN-20KP</v>
          </cell>
          <cell r="E1476" t="str">
            <v>ZFGD</v>
          </cell>
          <cell r="F1476" t="str">
            <v>PC</v>
          </cell>
          <cell r="G1476" t="str">
            <v>1</v>
          </cell>
          <cell r="H1476" t="str">
            <v>INDUSTRY</v>
          </cell>
          <cell r="I1476" t="str">
            <v>11</v>
          </cell>
          <cell r="J1476" t="str">
            <v>WOOD COATINGS</v>
          </cell>
          <cell r="K1476" t="str">
            <v>1103</v>
          </cell>
          <cell r="L1476" t="str">
            <v>PU</v>
          </cell>
          <cell r="M1476" t="str">
            <v>110319</v>
          </cell>
          <cell r="N1476" t="str">
            <v>PU COLOR</v>
          </cell>
        </row>
        <row r="1477">
          <cell r="C1477" t="str">
            <v>100002398</v>
          </cell>
          <cell r="D1477" t="str">
            <v>PUC-52239 BLUE F 027 30 HS VN-20KP</v>
          </cell>
          <cell r="E1477" t="str">
            <v>ZFGD</v>
          </cell>
          <cell r="F1477" t="str">
            <v>PC</v>
          </cell>
          <cell r="G1477" t="str">
            <v>1</v>
          </cell>
          <cell r="H1477" t="str">
            <v>INDUSTRY</v>
          </cell>
          <cell r="I1477" t="str">
            <v>11</v>
          </cell>
          <cell r="J1477" t="str">
            <v>WOOD COATINGS</v>
          </cell>
          <cell r="K1477" t="str">
            <v>1103</v>
          </cell>
          <cell r="L1477" t="str">
            <v>PU</v>
          </cell>
          <cell r="M1477" t="str">
            <v>110319</v>
          </cell>
          <cell r="N1477" t="str">
            <v>PU COLOR</v>
          </cell>
        </row>
        <row r="1478">
          <cell r="C1478" t="str">
            <v>100002399</v>
          </cell>
          <cell r="D1478" t="str">
            <v>PUC-52239 CG 10C 10 GM VN-20KP</v>
          </cell>
          <cell r="E1478" t="str">
            <v>ZFGD</v>
          </cell>
          <cell r="F1478" t="str">
            <v>PC</v>
          </cell>
          <cell r="G1478" t="str">
            <v>1</v>
          </cell>
          <cell r="H1478" t="str">
            <v>INDUSTRY</v>
          </cell>
          <cell r="I1478" t="str">
            <v>11</v>
          </cell>
          <cell r="J1478" t="str">
            <v>WOOD COATINGS</v>
          </cell>
          <cell r="K1478" t="str">
            <v>1103</v>
          </cell>
          <cell r="L1478" t="str">
            <v>PU</v>
          </cell>
          <cell r="M1478" t="str">
            <v>110319</v>
          </cell>
          <cell r="N1478" t="str">
            <v>PU COLOR</v>
          </cell>
        </row>
        <row r="1479">
          <cell r="C1479" t="str">
            <v>100002400</v>
          </cell>
          <cell r="D1479" t="str">
            <v>PUC-52239 CG 7C 10 GM VN-20KP</v>
          </cell>
          <cell r="E1479" t="str">
            <v>ZFGD</v>
          </cell>
          <cell r="F1479" t="str">
            <v>PC</v>
          </cell>
          <cell r="G1479" t="str">
            <v>1</v>
          </cell>
          <cell r="H1479" t="str">
            <v>INDUSTRY</v>
          </cell>
          <cell r="I1479" t="str">
            <v>11</v>
          </cell>
          <cell r="J1479" t="str">
            <v>WOOD COATINGS</v>
          </cell>
          <cell r="K1479" t="str">
            <v>1103</v>
          </cell>
          <cell r="L1479" t="str">
            <v>PU</v>
          </cell>
          <cell r="M1479" t="str">
            <v>110319</v>
          </cell>
          <cell r="N1479" t="str">
            <v>PU COLOR</v>
          </cell>
        </row>
        <row r="1480">
          <cell r="C1480" t="str">
            <v>100002401</v>
          </cell>
          <cell r="D1480" t="str">
            <v>PUC-52239 EAGLE ROCK 25KDVN-20KP</v>
          </cell>
          <cell r="E1480" t="str">
            <v>ZFGD</v>
          </cell>
          <cell r="F1480" t="str">
            <v>PC</v>
          </cell>
          <cell r="G1480" t="str">
            <v>1</v>
          </cell>
          <cell r="H1480" t="str">
            <v>INDUSTRY</v>
          </cell>
          <cell r="I1480" t="str">
            <v>11</v>
          </cell>
          <cell r="J1480" t="str">
            <v>WOOD COATINGS</v>
          </cell>
          <cell r="K1480" t="str">
            <v>1103</v>
          </cell>
          <cell r="L1480" t="str">
            <v>PU</v>
          </cell>
          <cell r="M1480" t="str">
            <v>110319</v>
          </cell>
          <cell r="N1480" t="str">
            <v>PU COLOR</v>
          </cell>
        </row>
        <row r="1481">
          <cell r="C1481" t="str">
            <v>100002402</v>
          </cell>
          <cell r="D1481" t="str">
            <v>PUC-52239 F 018 30 HS VN-20KP</v>
          </cell>
          <cell r="E1481" t="str">
            <v>ZFGD</v>
          </cell>
          <cell r="F1481" t="str">
            <v>PC</v>
          </cell>
          <cell r="G1481" t="str">
            <v>1</v>
          </cell>
          <cell r="H1481" t="str">
            <v>INDUSTRY</v>
          </cell>
          <cell r="I1481" t="str">
            <v>11</v>
          </cell>
          <cell r="J1481" t="str">
            <v>WOOD COATINGS</v>
          </cell>
          <cell r="K1481" t="str">
            <v>1103</v>
          </cell>
          <cell r="L1481" t="str">
            <v>PU</v>
          </cell>
          <cell r="M1481" t="str">
            <v>110319</v>
          </cell>
          <cell r="N1481" t="str">
            <v>PU COLOR</v>
          </cell>
        </row>
        <row r="1482">
          <cell r="C1482" t="str">
            <v>100002403</v>
          </cell>
          <cell r="D1482" t="str">
            <v>PUC-52239 GHF 12 50 HS VN-20KP</v>
          </cell>
          <cell r="E1482" t="str">
            <v>ZFGD</v>
          </cell>
          <cell r="F1482" t="str">
            <v>PC</v>
          </cell>
          <cell r="G1482" t="str">
            <v>1</v>
          </cell>
          <cell r="H1482" t="str">
            <v>INDUSTRY</v>
          </cell>
          <cell r="I1482" t="str">
            <v>11</v>
          </cell>
          <cell r="J1482" t="str">
            <v>WOOD COATINGS</v>
          </cell>
          <cell r="K1482" t="str">
            <v>1103</v>
          </cell>
          <cell r="L1482" t="str">
            <v>PU</v>
          </cell>
          <cell r="M1482" t="str">
            <v>110319</v>
          </cell>
          <cell r="N1482" t="str">
            <v>PU COLOR</v>
          </cell>
        </row>
        <row r="1483">
          <cell r="C1483" t="str">
            <v>100002404</v>
          </cell>
          <cell r="D1483" t="str">
            <v>PUC-52239 GRAY 11C 10 GM VN-20KP</v>
          </cell>
          <cell r="E1483" t="str">
            <v>ZFGD</v>
          </cell>
          <cell r="F1483" t="str">
            <v>PC</v>
          </cell>
          <cell r="G1483" t="str">
            <v>1</v>
          </cell>
          <cell r="H1483" t="str">
            <v>INDUSTRY</v>
          </cell>
          <cell r="I1483" t="str">
            <v>11</v>
          </cell>
          <cell r="J1483" t="str">
            <v>WOOD COATINGS</v>
          </cell>
          <cell r="K1483" t="str">
            <v>1103</v>
          </cell>
          <cell r="L1483" t="str">
            <v>PU</v>
          </cell>
          <cell r="M1483" t="str">
            <v>110319</v>
          </cell>
          <cell r="N1483" t="str">
            <v>PU COLOR</v>
          </cell>
        </row>
        <row r="1484">
          <cell r="C1484" t="str">
            <v>100002405</v>
          </cell>
          <cell r="D1484" t="str">
            <v>PUC-52239 GREEN CL 10 TT VN-20KP</v>
          </cell>
          <cell r="E1484" t="str">
            <v>ZFGD</v>
          </cell>
          <cell r="F1484" t="str">
            <v>PC</v>
          </cell>
          <cell r="G1484" t="str">
            <v>1</v>
          </cell>
          <cell r="H1484" t="str">
            <v>INDUSTRY</v>
          </cell>
          <cell r="I1484" t="str">
            <v>11</v>
          </cell>
          <cell r="J1484" t="str">
            <v>WOOD COATINGS</v>
          </cell>
          <cell r="K1484" t="str">
            <v>1103</v>
          </cell>
          <cell r="L1484" t="str">
            <v>PU</v>
          </cell>
          <cell r="M1484" t="str">
            <v>110319</v>
          </cell>
          <cell r="N1484" t="str">
            <v>PU COLOR</v>
          </cell>
        </row>
        <row r="1485">
          <cell r="C1485" t="str">
            <v>100002406</v>
          </cell>
          <cell r="D1485" t="str">
            <v>PUC-52239 GREY OWL 10 GE VN-20KP</v>
          </cell>
          <cell r="E1485" t="str">
            <v>ZFGD</v>
          </cell>
          <cell r="F1485" t="str">
            <v>PC</v>
          </cell>
          <cell r="G1485" t="str">
            <v>1</v>
          </cell>
          <cell r="H1485" t="str">
            <v>INDUSTRY</v>
          </cell>
          <cell r="I1485" t="str">
            <v>11</v>
          </cell>
          <cell r="J1485" t="str">
            <v>WOOD COATINGS</v>
          </cell>
          <cell r="K1485" t="str">
            <v>1103</v>
          </cell>
          <cell r="L1485" t="str">
            <v>PU</v>
          </cell>
          <cell r="M1485" t="str">
            <v>110319</v>
          </cell>
          <cell r="N1485" t="str">
            <v>PU COLOR</v>
          </cell>
        </row>
        <row r="1486">
          <cell r="C1486" t="str">
            <v>100002407</v>
          </cell>
          <cell r="D1486" t="str">
            <v>PUC-52239 JESCICA WHITE 30 VW VN-20KP</v>
          </cell>
          <cell r="E1486" t="str">
            <v>ZFGD</v>
          </cell>
          <cell r="F1486" t="str">
            <v>PC</v>
          </cell>
          <cell r="G1486" t="str">
            <v>1</v>
          </cell>
          <cell r="H1486" t="str">
            <v>INDUSTRY</v>
          </cell>
          <cell r="I1486" t="str">
            <v>11</v>
          </cell>
          <cell r="J1486" t="str">
            <v>WOOD COATINGS</v>
          </cell>
          <cell r="K1486" t="str">
            <v>1103</v>
          </cell>
          <cell r="L1486" t="str">
            <v>PU</v>
          </cell>
          <cell r="M1486" t="str">
            <v>110319</v>
          </cell>
          <cell r="N1486" t="str">
            <v>PU COLOR</v>
          </cell>
        </row>
        <row r="1487">
          <cell r="C1487" t="str">
            <v>100002408</v>
          </cell>
          <cell r="D1487" t="str">
            <v>PUC-52239 LIGHT PEWTER 25 KD VN-20KP</v>
          </cell>
          <cell r="E1487" t="str">
            <v>ZFGD</v>
          </cell>
          <cell r="F1487" t="str">
            <v>PC</v>
          </cell>
          <cell r="G1487" t="str">
            <v>1</v>
          </cell>
          <cell r="H1487" t="str">
            <v>INDUSTRY</v>
          </cell>
          <cell r="I1487" t="str">
            <v>11</v>
          </cell>
          <cell r="J1487" t="str">
            <v>WOOD COATINGS</v>
          </cell>
          <cell r="K1487" t="str">
            <v>1103</v>
          </cell>
          <cell r="L1487" t="str">
            <v>PU</v>
          </cell>
          <cell r="M1487" t="str">
            <v>110319</v>
          </cell>
          <cell r="N1487" t="str">
            <v>PU COLOR</v>
          </cell>
        </row>
        <row r="1488">
          <cell r="C1488" t="str">
            <v>100002409</v>
          </cell>
          <cell r="D1488" t="str">
            <v>PUC-52239 MIOMO GREY 20 TL VN-20KP</v>
          </cell>
          <cell r="E1488" t="str">
            <v>ZFGD</v>
          </cell>
          <cell r="F1488" t="str">
            <v>PC</v>
          </cell>
          <cell r="G1488" t="str">
            <v>1</v>
          </cell>
          <cell r="H1488" t="str">
            <v>INDUSTRY</v>
          </cell>
          <cell r="I1488" t="str">
            <v>11</v>
          </cell>
          <cell r="J1488" t="str">
            <v>WOOD COATINGS</v>
          </cell>
          <cell r="K1488" t="str">
            <v>1103</v>
          </cell>
          <cell r="L1488" t="str">
            <v>PU</v>
          </cell>
          <cell r="M1488" t="str">
            <v>110319</v>
          </cell>
          <cell r="N1488" t="str">
            <v>PU COLOR</v>
          </cell>
        </row>
        <row r="1489">
          <cell r="C1489" t="str">
            <v>100002410</v>
          </cell>
          <cell r="D1489" t="str">
            <v>PUC-52239 MIOMO WHITE 10 TL VN-20KP</v>
          </cell>
          <cell r="E1489" t="str">
            <v>ZFGD</v>
          </cell>
          <cell r="F1489" t="str">
            <v>PC</v>
          </cell>
          <cell r="G1489" t="str">
            <v>1</v>
          </cell>
          <cell r="H1489" t="str">
            <v>INDUSTRY</v>
          </cell>
          <cell r="I1489" t="str">
            <v>11</v>
          </cell>
          <cell r="J1489" t="str">
            <v>WOOD COATINGS</v>
          </cell>
          <cell r="K1489" t="str">
            <v>1103</v>
          </cell>
          <cell r="L1489" t="str">
            <v>PU</v>
          </cell>
          <cell r="M1489" t="str">
            <v>110319</v>
          </cell>
          <cell r="N1489" t="str">
            <v>PU COLOR</v>
          </cell>
        </row>
        <row r="1490">
          <cell r="C1490" t="str">
            <v>100002411</v>
          </cell>
          <cell r="D1490" t="str">
            <v>#NOT USED 239 OWL 15 GE VN-20KP</v>
          </cell>
          <cell r="E1490" t="str">
            <v>ZFGD</v>
          </cell>
          <cell r="F1490" t="str">
            <v>PC</v>
          </cell>
          <cell r="G1490" t="str">
            <v>1</v>
          </cell>
          <cell r="H1490" t="str">
            <v>INDUSTRY</v>
          </cell>
          <cell r="I1490" t="str">
            <v>11</v>
          </cell>
          <cell r="J1490" t="str">
            <v>WOOD COATINGS</v>
          </cell>
          <cell r="K1490" t="str">
            <v>1103</v>
          </cell>
          <cell r="L1490" t="str">
            <v>PU</v>
          </cell>
          <cell r="M1490" t="str">
            <v>110304</v>
          </cell>
          <cell r="N1490" t="str">
            <v>PU SYSTEM</v>
          </cell>
        </row>
        <row r="1491">
          <cell r="C1491" t="str">
            <v>100002412</v>
          </cell>
          <cell r="D1491" t="str">
            <v>PUC-52239 OWL 15 GE VN-20KP</v>
          </cell>
          <cell r="E1491" t="str">
            <v>ZFGD</v>
          </cell>
          <cell r="F1491" t="str">
            <v>PC</v>
          </cell>
          <cell r="G1491" t="str">
            <v>1</v>
          </cell>
          <cell r="H1491" t="str">
            <v>INDUSTRY</v>
          </cell>
          <cell r="I1491" t="str">
            <v>11</v>
          </cell>
          <cell r="J1491" t="str">
            <v>WOOD COATINGS</v>
          </cell>
          <cell r="K1491" t="str">
            <v>1103</v>
          </cell>
          <cell r="L1491" t="str">
            <v>PU</v>
          </cell>
          <cell r="M1491" t="str">
            <v>110319</v>
          </cell>
          <cell r="N1491" t="str">
            <v>PU COLOR</v>
          </cell>
        </row>
        <row r="1492">
          <cell r="C1492" t="str">
            <v>100002413</v>
          </cell>
          <cell r="D1492" t="str">
            <v>PUC-52239 PINK 20 TT VN-20KP</v>
          </cell>
          <cell r="E1492" t="str">
            <v>ZFGD</v>
          </cell>
          <cell r="F1492" t="str">
            <v>PC</v>
          </cell>
          <cell r="G1492" t="str">
            <v>1</v>
          </cell>
          <cell r="H1492" t="str">
            <v>INDUSTRY</v>
          </cell>
          <cell r="I1492" t="str">
            <v>11</v>
          </cell>
          <cell r="J1492" t="str">
            <v>WOOD COATINGS</v>
          </cell>
          <cell r="K1492" t="str">
            <v>1103</v>
          </cell>
          <cell r="L1492" t="str">
            <v>PU</v>
          </cell>
          <cell r="M1492" t="str">
            <v>110319</v>
          </cell>
          <cell r="N1492" t="str">
            <v>PU COLOR</v>
          </cell>
        </row>
        <row r="1493">
          <cell r="C1493" t="str">
            <v>100002414</v>
          </cell>
          <cell r="D1493" t="str">
            <v>PUC-52239 SMOKE EMBER 25 KD VN-20KP</v>
          </cell>
          <cell r="E1493" t="str">
            <v>ZFGD</v>
          </cell>
          <cell r="F1493" t="str">
            <v>PC</v>
          </cell>
          <cell r="G1493" t="str">
            <v>1</v>
          </cell>
          <cell r="H1493" t="str">
            <v>INDUSTRY</v>
          </cell>
          <cell r="I1493" t="str">
            <v>11</v>
          </cell>
          <cell r="J1493" t="str">
            <v>WOOD COATINGS</v>
          </cell>
          <cell r="K1493" t="str">
            <v>1103</v>
          </cell>
          <cell r="L1493" t="str">
            <v>PU</v>
          </cell>
          <cell r="M1493" t="str">
            <v>110319</v>
          </cell>
          <cell r="N1493" t="str">
            <v>PU COLOR</v>
          </cell>
        </row>
        <row r="1494">
          <cell r="C1494" t="str">
            <v>100002415</v>
          </cell>
          <cell r="D1494" t="str">
            <v>PUC-52239 TARO 10 NS VN-20KP</v>
          </cell>
          <cell r="E1494" t="str">
            <v>ZFGD</v>
          </cell>
          <cell r="F1494" t="str">
            <v>PC</v>
          </cell>
          <cell r="G1494" t="str">
            <v>1</v>
          </cell>
          <cell r="H1494" t="str">
            <v>INDUSTRY</v>
          </cell>
          <cell r="I1494" t="str">
            <v>11</v>
          </cell>
          <cell r="J1494" t="str">
            <v>WOOD COATINGS</v>
          </cell>
          <cell r="K1494" t="str">
            <v>1103</v>
          </cell>
          <cell r="L1494" t="str">
            <v>PU</v>
          </cell>
          <cell r="M1494" t="str">
            <v>110319</v>
          </cell>
          <cell r="N1494" t="str">
            <v>PU COLOR</v>
          </cell>
        </row>
        <row r="1495">
          <cell r="C1495" t="str">
            <v>100002416</v>
          </cell>
          <cell r="D1495" t="str">
            <v>PUC-52239 WD 04 20 KD VN-20KP</v>
          </cell>
          <cell r="E1495" t="str">
            <v>ZFGD</v>
          </cell>
          <cell r="F1495" t="str">
            <v>PC</v>
          </cell>
          <cell r="G1495" t="str">
            <v>1</v>
          </cell>
          <cell r="H1495" t="str">
            <v>INDUSTRY</v>
          </cell>
          <cell r="I1495" t="str">
            <v>11</v>
          </cell>
          <cell r="J1495" t="str">
            <v>WOOD COATINGS</v>
          </cell>
          <cell r="K1495" t="str">
            <v>1103</v>
          </cell>
          <cell r="L1495" t="str">
            <v>PU</v>
          </cell>
          <cell r="M1495" t="str">
            <v>110319</v>
          </cell>
          <cell r="N1495" t="str">
            <v>PU COLOR</v>
          </cell>
        </row>
        <row r="1496">
          <cell r="C1496" t="str">
            <v>100002417</v>
          </cell>
          <cell r="D1496" t="str">
            <v>PUC-52239 WF 13 20 HS VN-20KP</v>
          </cell>
          <cell r="E1496" t="str">
            <v>ZFGD</v>
          </cell>
          <cell r="F1496" t="str">
            <v>PC</v>
          </cell>
          <cell r="G1496" t="str">
            <v>1</v>
          </cell>
          <cell r="H1496" t="str">
            <v>INDUSTRY</v>
          </cell>
          <cell r="I1496" t="str">
            <v>11</v>
          </cell>
          <cell r="J1496" t="str">
            <v>WOOD COATINGS</v>
          </cell>
          <cell r="K1496" t="str">
            <v>1103</v>
          </cell>
          <cell r="L1496" t="str">
            <v>PU</v>
          </cell>
          <cell r="M1496" t="str">
            <v>110319</v>
          </cell>
          <cell r="N1496" t="str">
            <v>PU COLOR</v>
          </cell>
        </row>
        <row r="1497">
          <cell r="C1497" t="str">
            <v>100002418</v>
          </cell>
          <cell r="D1497" t="str">
            <v>PUC-52239 WHITE 10 VN-20KP</v>
          </cell>
          <cell r="E1497" t="str">
            <v>ZFGD</v>
          </cell>
          <cell r="F1497" t="str">
            <v>PC</v>
          </cell>
          <cell r="G1497" t="str">
            <v>1</v>
          </cell>
          <cell r="H1497" t="str">
            <v>INDUSTRY</v>
          </cell>
          <cell r="I1497" t="str">
            <v>11</v>
          </cell>
          <cell r="J1497" t="str">
            <v>WOOD COATINGS</v>
          </cell>
          <cell r="K1497" t="str">
            <v>1103</v>
          </cell>
          <cell r="L1497" t="str">
            <v>PU</v>
          </cell>
          <cell r="M1497" t="str">
            <v>110319</v>
          </cell>
          <cell r="N1497" t="str">
            <v>PU COLOR</v>
          </cell>
        </row>
        <row r="1498">
          <cell r="C1498" t="str">
            <v>100002419</v>
          </cell>
          <cell r="D1498" t="str">
            <v>PUC-52239 WHITE 10 VN-4K</v>
          </cell>
          <cell r="E1498" t="str">
            <v>ZFGD</v>
          </cell>
          <cell r="F1498" t="str">
            <v>PC</v>
          </cell>
          <cell r="G1498" t="str">
            <v>1</v>
          </cell>
          <cell r="H1498" t="str">
            <v>INDUSTRY</v>
          </cell>
          <cell r="I1498" t="str">
            <v>11</v>
          </cell>
          <cell r="J1498" t="str">
            <v>WOOD COATINGS</v>
          </cell>
          <cell r="K1498" t="str">
            <v>1103</v>
          </cell>
          <cell r="L1498" t="str">
            <v>PU</v>
          </cell>
          <cell r="M1498" t="str">
            <v>110319</v>
          </cell>
          <cell r="N1498" t="str">
            <v>PU COLOR</v>
          </cell>
        </row>
        <row r="1499">
          <cell r="C1499" t="str">
            <v>100002420</v>
          </cell>
          <cell r="D1499" t="str">
            <v>PUC-52239 WHITE 20 VN-20KP</v>
          </cell>
          <cell r="E1499" t="str">
            <v>ZFGD</v>
          </cell>
          <cell r="F1499" t="str">
            <v>PC</v>
          </cell>
          <cell r="G1499" t="str">
            <v>1</v>
          </cell>
          <cell r="H1499" t="str">
            <v>INDUSTRY</v>
          </cell>
          <cell r="I1499" t="str">
            <v>11</v>
          </cell>
          <cell r="J1499" t="str">
            <v>WOOD COATINGS</v>
          </cell>
          <cell r="K1499" t="str">
            <v>1103</v>
          </cell>
          <cell r="L1499" t="str">
            <v>PU</v>
          </cell>
          <cell r="M1499" t="str">
            <v>110319</v>
          </cell>
          <cell r="N1499" t="str">
            <v>PU COLOR</v>
          </cell>
        </row>
        <row r="1500">
          <cell r="C1500" t="str">
            <v>100002421</v>
          </cell>
          <cell r="D1500" t="str">
            <v>PUC-52239 WHITE 20 VN-4K</v>
          </cell>
          <cell r="E1500" t="str">
            <v>ZFGD</v>
          </cell>
          <cell r="F1500" t="str">
            <v>PC</v>
          </cell>
          <cell r="G1500" t="str">
            <v>1</v>
          </cell>
          <cell r="H1500" t="str">
            <v>INDUSTRY</v>
          </cell>
          <cell r="I1500" t="str">
            <v>11</v>
          </cell>
          <cell r="J1500" t="str">
            <v>WOOD COATINGS</v>
          </cell>
          <cell r="K1500" t="str">
            <v>1103</v>
          </cell>
          <cell r="L1500" t="str">
            <v>PU</v>
          </cell>
          <cell r="M1500" t="str">
            <v>110319</v>
          </cell>
          <cell r="N1500" t="str">
            <v>PU COLOR</v>
          </cell>
        </row>
        <row r="1501">
          <cell r="C1501" t="str">
            <v>100002422</v>
          </cell>
          <cell r="D1501" t="str">
            <v>PUC-52239 WHITE 30 VN-20KP</v>
          </cell>
          <cell r="E1501" t="str">
            <v>ZFGD</v>
          </cell>
          <cell r="F1501" t="str">
            <v>PC</v>
          </cell>
          <cell r="G1501" t="str">
            <v>1</v>
          </cell>
          <cell r="H1501" t="str">
            <v>INDUSTRY</v>
          </cell>
          <cell r="I1501" t="str">
            <v>11</v>
          </cell>
          <cell r="J1501" t="str">
            <v>WOOD COATINGS</v>
          </cell>
          <cell r="K1501" t="str">
            <v>1103</v>
          </cell>
          <cell r="L1501" t="str">
            <v>PU</v>
          </cell>
          <cell r="M1501" t="str">
            <v>110319</v>
          </cell>
          <cell r="N1501" t="str">
            <v>PU COLOR</v>
          </cell>
        </row>
        <row r="1502">
          <cell r="C1502" t="str">
            <v>100002423</v>
          </cell>
          <cell r="D1502" t="str">
            <v>PUC-52239 WHITE 30 VN-4K</v>
          </cell>
          <cell r="E1502" t="str">
            <v>ZFGD</v>
          </cell>
          <cell r="F1502" t="str">
            <v>PC</v>
          </cell>
          <cell r="G1502" t="str">
            <v>1</v>
          </cell>
          <cell r="H1502" t="str">
            <v>INDUSTRY</v>
          </cell>
          <cell r="I1502" t="str">
            <v>11</v>
          </cell>
          <cell r="J1502" t="str">
            <v>WOOD COATINGS</v>
          </cell>
          <cell r="K1502" t="str">
            <v>1103</v>
          </cell>
          <cell r="L1502" t="str">
            <v>PU</v>
          </cell>
          <cell r="M1502" t="str">
            <v>110319</v>
          </cell>
          <cell r="N1502" t="str">
            <v>PU COLOR</v>
          </cell>
        </row>
        <row r="1503">
          <cell r="C1503" t="str">
            <v>100002424</v>
          </cell>
          <cell r="D1503" t="str">
            <v>PUC-52239 WHITE 50 VN-20KP</v>
          </cell>
          <cell r="E1503" t="str">
            <v>ZFGD</v>
          </cell>
          <cell r="F1503" t="str">
            <v>PC</v>
          </cell>
          <cell r="G1503" t="str">
            <v>1</v>
          </cell>
          <cell r="H1503" t="str">
            <v>INDUSTRY</v>
          </cell>
          <cell r="I1503" t="str">
            <v>11</v>
          </cell>
          <cell r="J1503" t="str">
            <v>WOOD COATINGS</v>
          </cell>
          <cell r="K1503" t="str">
            <v>1103</v>
          </cell>
          <cell r="L1503" t="str">
            <v>PU</v>
          </cell>
          <cell r="M1503" t="str">
            <v>110319</v>
          </cell>
          <cell r="N1503" t="str">
            <v>PU COLOR</v>
          </cell>
        </row>
        <row r="1504">
          <cell r="C1504" t="str">
            <v>100002425</v>
          </cell>
          <cell r="D1504" t="str">
            <v>PUC-52239 WHITE 50 VN-4K</v>
          </cell>
          <cell r="E1504" t="str">
            <v>ZFGD</v>
          </cell>
          <cell r="F1504" t="str">
            <v>PC</v>
          </cell>
          <cell r="G1504" t="str">
            <v>1</v>
          </cell>
          <cell r="H1504" t="str">
            <v>INDUSTRY</v>
          </cell>
          <cell r="I1504" t="str">
            <v>11</v>
          </cell>
          <cell r="J1504" t="str">
            <v>WOOD COATINGS</v>
          </cell>
          <cell r="K1504" t="str">
            <v>1103</v>
          </cell>
          <cell r="L1504" t="str">
            <v>PU</v>
          </cell>
          <cell r="M1504" t="str">
            <v>110319</v>
          </cell>
          <cell r="N1504" t="str">
            <v>PU COLOR</v>
          </cell>
        </row>
        <row r="1505">
          <cell r="C1505" t="str">
            <v>100002426</v>
          </cell>
          <cell r="D1505" t="str">
            <v>PUC-52239 WHITE 90 VN-20KP</v>
          </cell>
          <cell r="E1505" t="str">
            <v>ZFGD</v>
          </cell>
          <cell r="F1505" t="str">
            <v>PC</v>
          </cell>
          <cell r="G1505" t="str">
            <v>1</v>
          </cell>
          <cell r="H1505" t="str">
            <v>INDUSTRY</v>
          </cell>
          <cell r="I1505" t="str">
            <v>11</v>
          </cell>
          <cell r="J1505" t="str">
            <v>WOOD COATINGS</v>
          </cell>
          <cell r="K1505" t="str">
            <v>1103</v>
          </cell>
          <cell r="L1505" t="str">
            <v>PU</v>
          </cell>
          <cell r="M1505" t="str">
            <v>110319</v>
          </cell>
          <cell r="N1505" t="str">
            <v>PU COLOR</v>
          </cell>
        </row>
        <row r="1506">
          <cell r="C1506" t="str">
            <v>100002427</v>
          </cell>
          <cell r="D1506" t="str">
            <v>PUC-52239 WHITE 90 VN-4K</v>
          </cell>
          <cell r="E1506" t="str">
            <v>ZFGD</v>
          </cell>
          <cell r="F1506" t="str">
            <v>PC</v>
          </cell>
          <cell r="G1506" t="str">
            <v>1</v>
          </cell>
          <cell r="H1506" t="str">
            <v>INDUSTRY</v>
          </cell>
          <cell r="I1506" t="str">
            <v>11</v>
          </cell>
          <cell r="J1506" t="str">
            <v>WOOD COATINGS</v>
          </cell>
          <cell r="K1506" t="str">
            <v>1103</v>
          </cell>
          <cell r="L1506" t="str">
            <v>PU</v>
          </cell>
          <cell r="M1506" t="str">
            <v>110319</v>
          </cell>
          <cell r="N1506" t="str">
            <v>PU COLOR</v>
          </cell>
        </row>
        <row r="1507">
          <cell r="C1507" t="str">
            <v>100002428</v>
          </cell>
          <cell r="D1507" t="str">
            <v>PUC-52239 WHITE F 016 30 HS VN-20KP</v>
          </cell>
          <cell r="E1507" t="str">
            <v>ZFGD</v>
          </cell>
          <cell r="F1507" t="str">
            <v>PC</v>
          </cell>
          <cell r="G1507" t="str">
            <v>1</v>
          </cell>
          <cell r="H1507" t="str">
            <v>INDUSTRY</v>
          </cell>
          <cell r="I1507" t="str">
            <v>11</v>
          </cell>
          <cell r="J1507" t="str">
            <v>WOOD COATINGS</v>
          </cell>
          <cell r="K1507" t="str">
            <v>1103</v>
          </cell>
          <cell r="L1507" t="str">
            <v>PU</v>
          </cell>
          <cell r="M1507" t="str">
            <v>110319</v>
          </cell>
          <cell r="N1507" t="str">
            <v>PU COLOR</v>
          </cell>
        </row>
        <row r="1508">
          <cell r="C1508" t="str">
            <v>100002429</v>
          </cell>
          <cell r="D1508" t="str">
            <v>PUC-52239 WILLOW RICH 25 KD VN-20KP</v>
          </cell>
          <cell r="E1508" t="str">
            <v>ZFGD</v>
          </cell>
          <cell r="F1508" t="str">
            <v>PC</v>
          </cell>
          <cell r="G1508" t="str">
            <v>1</v>
          </cell>
          <cell r="H1508" t="str">
            <v>INDUSTRY</v>
          </cell>
          <cell r="I1508" t="str">
            <v>11</v>
          </cell>
          <cell r="J1508" t="str">
            <v>WOOD COATINGS</v>
          </cell>
          <cell r="K1508" t="str">
            <v>1103</v>
          </cell>
          <cell r="L1508" t="str">
            <v>PU</v>
          </cell>
          <cell r="M1508" t="str">
            <v>110319</v>
          </cell>
          <cell r="N1508" t="str">
            <v>PU COLOR</v>
          </cell>
        </row>
        <row r="1509">
          <cell r="C1509" t="str">
            <v>100002430</v>
          </cell>
          <cell r="D1509" t="str">
            <v>PUC-52239 YELLOW CL 10 TT VN-20KP</v>
          </cell>
          <cell r="E1509" t="str">
            <v>ZFGD</v>
          </cell>
          <cell r="F1509" t="str">
            <v>PC</v>
          </cell>
          <cell r="G1509" t="str">
            <v>1</v>
          </cell>
          <cell r="H1509" t="str">
            <v>INDUSTRY</v>
          </cell>
          <cell r="I1509" t="str">
            <v>11</v>
          </cell>
          <cell r="J1509" t="str">
            <v>WOOD COATINGS</v>
          </cell>
          <cell r="K1509" t="str">
            <v>1103</v>
          </cell>
          <cell r="L1509" t="str">
            <v>PU</v>
          </cell>
          <cell r="M1509" t="str">
            <v>110319</v>
          </cell>
          <cell r="N1509" t="str">
            <v>PU COLOR</v>
          </cell>
        </row>
        <row r="1510">
          <cell r="C1510" t="str">
            <v>100002431</v>
          </cell>
          <cell r="D1510" t="str">
            <v>PUH-1561-33-AK-20KP</v>
          </cell>
          <cell r="E1510" t="str">
            <v>ZFGD</v>
          </cell>
          <cell r="F1510" t="str">
            <v>PC</v>
          </cell>
          <cell r="G1510" t="str">
            <v>1</v>
          </cell>
          <cell r="H1510" t="str">
            <v>INDUSTRY</v>
          </cell>
          <cell r="I1510" t="str">
            <v>11</v>
          </cell>
          <cell r="J1510" t="str">
            <v>WOOD COATINGS</v>
          </cell>
          <cell r="K1510" t="str">
            <v>1103</v>
          </cell>
          <cell r="L1510" t="str">
            <v>PU</v>
          </cell>
          <cell r="M1510" t="str">
            <v>110320</v>
          </cell>
          <cell r="N1510" t="str">
            <v>PU HARDENER</v>
          </cell>
        </row>
        <row r="1511">
          <cell r="C1511" t="str">
            <v>100002432</v>
          </cell>
          <cell r="D1511" t="str">
            <v>PUH-56133 HG VN-16KP</v>
          </cell>
          <cell r="E1511" t="str">
            <v>ZFGD</v>
          </cell>
          <cell r="F1511" t="str">
            <v>PC</v>
          </cell>
          <cell r="G1511" t="str">
            <v>1</v>
          </cell>
          <cell r="H1511" t="str">
            <v>INDUSTRY</v>
          </cell>
          <cell r="I1511" t="str">
            <v>11</v>
          </cell>
          <cell r="J1511" t="str">
            <v>WOOD COATINGS</v>
          </cell>
          <cell r="K1511" t="str">
            <v>1103</v>
          </cell>
          <cell r="L1511" t="str">
            <v>PU</v>
          </cell>
          <cell r="M1511" t="str">
            <v>110320</v>
          </cell>
          <cell r="N1511" t="str">
            <v>PU HARDENER</v>
          </cell>
        </row>
        <row r="1512">
          <cell r="C1512" t="str">
            <v>100002433</v>
          </cell>
          <cell r="D1512" t="str">
            <v>PUH-56133 HG VN-4K</v>
          </cell>
          <cell r="E1512" t="str">
            <v>ZFGD</v>
          </cell>
          <cell r="F1512" t="str">
            <v>PC</v>
          </cell>
          <cell r="G1512" t="str">
            <v>1</v>
          </cell>
          <cell r="H1512" t="str">
            <v>INDUSTRY</v>
          </cell>
          <cell r="I1512" t="str">
            <v>11</v>
          </cell>
          <cell r="J1512" t="str">
            <v>WOOD COATINGS</v>
          </cell>
          <cell r="K1512" t="str">
            <v>1103</v>
          </cell>
          <cell r="L1512" t="str">
            <v>PU</v>
          </cell>
          <cell r="M1512" t="str">
            <v>110320</v>
          </cell>
          <cell r="N1512" t="str">
            <v>PU HARDENER</v>
          </cell>
        </row>
        <row r="1513">
          <cell r="C1513" t="str">
            <v>100002434</v>
          </cell>
          <cell r="D1513" t="str">
            <v>PUH-56133 S VN-20KP</v>
          </cell>
          <cell r="E1513" t="str">
            <v>ZFGD</v>
          </cell>
          <cell r="F1513" t="str">
            <v>PC</v>
          </cell>
          <cell r="G1513" t="str">
            <v>1</v>
          </cell>
          <cell r="H1513" t="str">
            <v>INDUSTRY</v>
          </cell>
          <cell r="I1513" t="str">
            <v>11</v>
          </cell>
          <cell r="J1513" t="str">
            <v>WOOD COATINGS</v>
          </cell>
          <cell r="K1513" t="str">
            <v>1103</v>
          </cell>
          <cell r="L1513" t="str">
            <v>PU</v>
          </cell>
          <cell r="M1513" t="str">
            <v>110320</v>
          </cell>
          <cell r="N1513" t="str">
            <v>PU HARDENER</v>
          </cell>
        </row>
        <row r="1514">
          <cell r="C1514" t="str">
            <v>100002435</v>
          </cell>
          <cell r="D1514" t="str">
            <v>PUH-56133 S VN-4K</v>
          </cell>
          <cell r="E1514" t="str">
            <v>ZFGD</v>
          </cell>
          <cell r="F1514" t="str">
            <v>PC</v>
          </cell>
          <cell r="G1514" t="str">
            <v>1</v>
          </cell>
          <cell r="H1514" t="str">
            <v>INDUSTRY</v>
          </cell>
          <cell r="I1514" t="str">
            <v>11</v>
          </cell>
          <cell r="J1514" t="str">
            <v>WOOD COATINGS</v>
          </cell>
          <cell r="K1514" t="str">
            <v>1103</v>
          </cell>
          <cell r="L1514" t="str">
            <v>PU</v>
          </cell>
          <cell r="M1514" t="str">
            <v>110320</v>
          </cell>
          <cell r="N1514" t="str">
            <v>PU HARDENER</v>
          </cell>
        </row>
        <row r="1515">
          <cell r="C1515" t="str">
            <v>100002436</v>
          </cell>
          <cell r="D1515" t="str">
            <v>PUH-56135 S VN-20KP</v>
          </cell>
          <cell r="E1515" t="str">
            <v>ZFGD</v>
          </cell>
          <cell r="F1515" t="str">
            <v>PC</v>
          </cell>
          <cell r="G1515" t="str">
            <v>1</v>
          </cell>
          <cell r="H1515" t="str">
            <v>INDUSTRY</v>
          </cell>
          <cell r="I1515" t="str">
            <v>11</v>
          </cell>
          <cell r="J1515" t="str">
            <v>WOOD COATINGS</v>
          </cell>
          <cell r="K1515" t="str">
            <v>1103</v>
          </cell>
          <cell r="L1515" t="str">
            <v>PU</v>
          </cell>
          <cell r="M1515" t="str">
            <v>110320</v>
          </cell>
          <cell r="N1515" t="str">
            <v>PU HARDENER</v>
          </cell>
        </row>
        <row r="1516">
          <cell r="C1516" t="str">
            <v>100002437</v>
          </cell>
          <cell r="D1516" t="str">
            <v>PUH-56135 S VN-4K</v>
          </cell>
          <cell r="E1516" t="str">
            <v>ZFGD</v>
          </cell>
          <cell r="F1516" t="str">
            <v>PC</v>
          </cell>
          <cell r="G1516" t="str">
            <v>1</v>
          </cell>
          <cell r="H1516" t="str">
            <v>INDUSTRY</v>
          </cell>
          <cell r="I1516" t="str">
            <v>11</v>
          </cell>
          <cell r="J1516" t="str">
            <v>WOOD COATINGS</v>
          </cell>
          <cell r="K1516" t="str">
            <v>1103</v>
          </cell>
          <cell r="L1516" t="str">
            <v>PU</v>
          </cell>
          <cell r="M1516" t="str">
            <v>110320</v>
          </cell>
          <cell r="N1516" t="str">
            <v>PU HARDENER</v>
          </cell>
        </row>
        <row r="1517">
          <cell r="C1517" t="str">
            <v>100002438</v>
          </cell>
          <cell r="D1517" t="str">
            <v>PUH-56139 VN-20KP</v>
          </cell>
          <cell r="E1517" t="str">
            <v>ZFGD</v>
          </cell>
          <cell r="F1517" t="str">
            <v>PC</v>
          </cell>
          <cell r="G1517" t="str">
            <v>1</v>
          </cell>
          <cell r="H1517" t="str">
            <v>INDUSTRY</v>
          </cell>
          <cell r="I1517" t="str">
            <v>11</v>
          </cell>
          <cell r="J1517" t="str">
            <v>WOOD COATINGS</v>
          </cell>
          <cell r="K1517" t="str">
            <v>1103</v>
          </cell>
          <cell r="L1517" t="str">
            <v>PU</v>
          </cell>
          <cell r="M1517" t="str">
            <v>110320</v>
          </cell>
          <cell r="N1517" t="str">
            <v>PU HARDENER</v>
          </cell>
        </row>
        <row r="1518">
          <cell r="C1518" t="str">
            <v>100002439</v>
          </cell>
          <cell r="D1518" t="str">
            <v>PUH-56139 VN-4K</v>
          </cell>
          <cell r="E1518" t="str">
            <v>ZFGD</v>
          </cell>
          <cell r="F1518" t="str">
            <v>PC</v>
          </cell>
          <cell r="G1518" t="str">
            <v>1</v>
          </cell>
          <cell r="H1518" t="str">
            <v>INDUSTRY</v>
          </cell>
          <cell r="I1518" t="str">
            <v>11</v>
          </cell>
          <cell r="J1518" t="str">
            <v>WOOD COATINGS</v>
          </cell>
          <cell r="K1518" t="str">
            <v>1103</v>
          </cell>
          <cell r="L1518" t="str">
            <v>PU</v>
          </cell>
          <cell r="M1518" t="str">
            <v>110320</v>
          </cell>
          <cell r="N1518" t="str">
            <v>PU HARDENER</v>
          </cell>
        </row>
        <row r="1519">
          <cell r="C1519" t="str">
            <v>100002440</v>
          </cell>
          <cell r="D1519" t="str">
            <v>PUH-56141 VN-16KP</v>
          </cell>
          <cell r="E1519" t="str">
            <v>ZFGD</v>
          </cell>
          <cell r="F1519" t="str">
            <v>PC</v>
          </cell>
          <cell r="G1519" t="str">
            <v>1</v>
          </cell>
          <cell r="H1519" t="str">
            <v>INDUSTRY</v>
          </cell>
          <cell r="I1519" t="str">
            <v>11</v>
          </cell>
          <cell r="J1519" t="str">
            <v>WOOD COATINGS</v>
          </cell>
          <cell r="K1519" t="str">
            <v>1103</v>
          </cell>
          <cell r="L1519" t="str">
            <v>PU</v>
          </cell>
          <cell r="M1519" t="str">
            <v>110320</v>
          </cell>
          <cell r="N1519" t="str">
            <v>PU HARDENER</v>
          </cell>
        </row>
        <row r="1520">
          <cell r="C1520" t="str">
            <v>100002441</v>
          </cell>
          <cell r="D1520" t="str">
            <v>PUH-56141 VN-4K</v>
          </cell>
          <cell r="E1520" t="str">
            <v>ZFGD</v>
          </cell>
          <cell r="F1520" t="str">
            <v>PC</v>
          </cell>
          <cell r="G1520" t="str">
            <v>1</v>
          </cell>
          <cell r="H1520" t="str">
            <v>INDUSTRY</v>
          </cell>
          <cell r="I1520" t="str">
            <v>11</v>
          </cell>
          <cell r="J1520" t="str">
            <v>WOOD COATINGS</v>
          </cell>
          <cell r="K1520" t="str">
            <v>1103</v>
          </cell>
          <cell r="L1520" t="str">
            <v>PU</v>
          </cell>
          <cell r="M1520" t="str">
            <v>110320</v>
          </cell>
          <cell r="N1520" t="str">
            <v>PU HARDENER</v>
          </cell>
        </row>
        <row r="1521">
          <cell r="C1521" t="str">
            <v>100002442</v>
          </cell>
          <cell r="D1521" t="str">
            <v>PUH-56143 VN-20LP</v>
          </cell>
          <cell r="E1521" t="str">
            <v>ZFGD</v>
          </cell>
          <cell r="F1521" t="str">
            <v>PC</v>
          </cell>
          <cell r="G1521" t="str">
            <v>1</v>
          </cell>
          <cell r="H1521" t="str">
            <v>INDUSTRY</v>
          </cell>
          <cell r="I1521" t="str">
            <v>11</v>
          </cell>
          <cell r="J1521" t="str">
            <v>WOOD COATINGS</v>
          </cell>
          <cell r="K1521" t="str">
            <v>1103</v>
          </cell>
          <cell r="L1521" t="str">
            <v>PU</v>
          </cell>
          <cell r="M1521" t="str">
            <v>110320</v>
          </cell>
          <cell r="N1521" t="str">
            <v>PU HARDENER</v>
          </cell>
        </row>
        <row r="1522">
          <cell r="C1522" t="str">
            <v>100002443</v>
          </cell>
          <cell r="D1522" t="str">
            <v>PUH-56143 VN-4K</v>
          </cell>
          <cell r="E1522" t="str">
            <v>ZFGD</v>
          </cell>
          <cell r="F1522" t="str">
            <v>PC</v>
          </cell>
          <cell r="G1522" t="str">
            <v>1</v>
          </cell>
          <cell r="H1522" t="str">
            <v>INDUSTRY</v>
          </cell>
          <cell r="I1522" t="str">
            <v>11</v>
          </cell>
          <cell r="J1522" t="str">
            <v>WOOD COATINGS</v>
          </cell>
          <cell r="K1522" t="str">
            <v>1103</v>
          </cell>
          <cell r="L1522" t="str">
            <v>PU</v>
          </cell>
          <cell r="M1522" t="str">
            <v>110320</v>
          </cell>
          <cell r="N1522" t="str">
            <v>PU HARDENER</v>
          </cell>
        </row>
        <row r="1523">
          <cell r="C1523" t="str">
            <v>100002444</v>
          </cell>
          <cell r="D1523" t="str">
            <v>PUH-56312 NY VN-4K</v>
          </cell>
          <cell r="E1523" t="str">
            <v>ZFGD</v>
          </cell>
          <cell r="F1523" t="str">
            <v>PC</v>
          </cell>
          <cell r="G1523" t="str">
            <v>1</v>
          </cell>
          <cell r="H1523" t="str">
            <v>INDUSTRY</v>
          </cell>
          <cell r="I1523" t="str">
            <v>11</v>
          </cell>
          <cell r="J1523" t="str">
            <v>WOOD COATINGS</v>
          </cell>
          <cell r="K1523" t="str">
            <v>1103</v>
          </cell>
          <cell r="L1523" t="str">
            <v>PU</v>
          </cell>
          <cell r="M1523" t="str">
            <v>110320</v>
          </cell>
          <cell r="N1523" t="str">
            <v>PU HARDENER</v>
          </cell>
        </row>
        <row r="1524">
          <cell r="C1524" t="str">
            <v>100002445</v>
          </cell>
          <cell r="D1524" t="str">
            <v>#NUEDL-601 SUNSET YELLOW 3002-5L</v>
          </cell>
          <cell r="E1524" t="str">
            <v>ZFGD</v>
          </cell>
          <cell r="F1524" t="str">
            <v>PC</v>
          </cell>
          <cell r="G1524" t="str">
            <v>1</v>
          </cell>
          <cell r="H1524" t="str">
            <v>INDUSTRY</v>
          </cell>
          <cell r="I1524" t="str">
            <v>11</v>
          </cell>
          <cell r="J1524" t="str">
            <v>WOOD COATINGS</v>
          </cell>
          <cell r="K1524" t="str">
            <v>1103</v>
          </cell>
          <cell r="L1524" t="str">
            <v>PU</v>
          </cell>
          <cell r="M1524" t="str">
            <v>110304</v>
          </cell>
          <cell r="N1524" t="str">
            <v>PU SYSTEM</v>
          </cell>
        </row>
        <row r="1525">
          <cell r="C1525" t="str">
            <v>100002446</v>
          </cell>
          <cell r="D1525" t="str">
            <v>PUL-51333 CLEAR 10 VN-20KP</v>
          </cell>
          <cell r="E1525" t="str">
            <v>ZFGD</v>
          </cell>
          <cell r="F1525" t="str">
            <v>PC</v>
          </cell>
          <cell r="G1525" t="str">
            <v>1</v>
          </cell>
          <cell r="H1525" t="str">
            <v>INDUSTRY</v>
          </cell>
          <cell r="I1525" t="str">
            <v>11</v>
          </cell>
          <cell r="J1525" t="str">
            <v>WOOD COATINGS</v>
          </cell>
          <cell r="K1525" t="str">
            <v>1103</v>
          </cell>
          <cell r="L1525" t="str">
            <v>PU</v>
          </cell>
          <cell r="M1525" t="str">
            <v>110321</v>
          </cell>
          <cell r="N1525" t="str">
            <v>PU LACQUER</v>
          </cell>
        </row>
        <row r="1526">
          <cell r="C1526" t="str">
            <v>100002447</v>
          </cell>
          <cell r="D1526" t="str">
            <v>PUL-51333 CLEAR 20 VN-20KP</v>
          </cell>
          <cell r="E1526" t="str">
            <v>ZFGD</v>
          </cell>
          <cell r="F1526" t="str">
            <v>PC</v>
          </cell>
          <cell r="G1526" t="str">
            <v>1</v>
          </cell>
          <cell r="H1526" t="str">
            <v>INDUSTRY</v>
          </cell>
          <cell r="I1526" t="str">
            <v>11</v>
          </cell>
          <cell r="J1526" t="str">
            <v>WOOD COATINGS</v>
          </cell>
          <cell r="K1526" t="str">
            <v>1103</v>
          </cell>
          <cell r="L1526" t="str">
            <v>PU</v>
          </cell>
          <cell r="M1526" t="str">
            <v>110321</v>
          </cell>
          <cell r="N1526" t="str">
            <v>PU LACQUER</v>
          </cell>
        </row>
        <row r="1527">
          <cell r="C1527" t="str">
            <v>100002448</v>
          </cell>
          <cell r="D1527" t="str">
            <v>PUL-51333 CLEAR 30 VN-20KP</v>
          </cell>
          <cell r="E1527" t="str">
            <v>ZFGD</v>
          </cell>
          <cell r="F1527" t="str">
            <v>PC</v>
          </cell>
          <cell r="G1527" t="str">
            <v>1</v>
          </cell>
          <cell r="H1527" t="str">
            <v>INDUSTRY</v>
          </cell>
          <cell r="I1527" t="str">
            <v>11</v>
          </cell>
          <cell r="J1527" t="str">
            <v>WOOD COATINGS</v>
          </cell>
          <cell r="K1527" t="str">
            <v>1103</v>
          </cell>
          <cell r="L1527" t="str">
            <v>PU</v>
          </cell>
          <cell r="M1527" t="str">
            <v>110321</v>
          </cell>
          <cell r="N1527" t="str">
            <v>PU LACQUER</v>
          </cell>
        </row>
        <row r="1528">
          <cell r="C1528" t="str">
            <v>100002449</v>
          </cell>
          <cell r="D1528" t="str">
            <v>PUL-51333 CLEAR 90 VN-20KP</v>
          </cell>
          <cell r="E1528" t="str">
            <v>ZFGD</v>
          </cell>
          <cell r="F1528" t="str">
            <v>PC</v>
          </cell>
          <cell r="G1528" t="str">
            <v>1</v>
          </cell>
          <cell r="H1528" t="str">
            <v>INDUSTRY</v>
          </cell>
          <cell r="I1528" t="str">
            <v>11</v>
          </cell>
          <cell r="J1528" t="str">
            <v>WOOD COATINGS</v>
          </cell>
          <cell r="K1528" t="str">
            <v>1103</v>
          </cell>
          <cell r="L1528" t="str">
            <v>PU</v>
          </cell>
          <cell r="M1528" t="str">
            <v>110321</v>
          </cell>
          <cell r="N1528" t="str">
            <v>PU LACQUER</v>
          </cell>
        </row>
        <row r="1529">
          <cell r="C1529" t="str">
            <v>100002450</v>
          </cell>
          <cell r="D1529" t="str">
            <v>PUL-51335 CLEAR 10 VN-20KP</v>
          </cell>
          <cell r="E1529" t="str">
            <v>ZFGD</v>
          </cell>
          <cell r="F1529" t="str">
            <v>PC</v>
          </cell>
          <cell r="G1529" t="str">
            <v>1</v>
          </cell>
          <cell r="H1529" t="str">
            <v>INDUSTRY</v>
          </cell>
          <cell r="I1529" t="str">
            <v>11</v>
          </cell>
          <cell r="J1529" t="str">
            <v>WOOD COATINGS</v>
          </cell>
          <cell r="K1529" t="str">
            <v>1103</v>
          </cell>
          <cell r="L1529" t="str">
            <v>PU</v>
          </cell>
          <cell r="M1529" t="str">
            <v>110321</v>
          </cell>
          <cell r="N1529" t="str">
            <v>PU LACQUER</v>
          </cell>
        </row>
        <row r="1530">
          <cell r="C1530" t="str">
            <v>100002451</v>
          </cell>
          <cell r="D1530" t="str">
            <v>PUL-51335 CLEAR 20 VN-20KP</v>
          </cell>
          <cell r="E1530" t="str">
            <v>ZFGD</v>
          </cell>
          <cell r="F1530" t="str">
            <v>PC</v>
          </cell>
          <cell r="G1530" t="str">
            <v>1</v>
          </cell>
          <cell r="H1530" t="str">
            <v>INDUSTRY</v>
          </cell>
          <cell r="I1530" t="str">
            <v>11</v>
          </cell>
          <cell r="J1530" t="str">
            <v>WOOD COATINGS</v>
          </cell>
          <cell r="K1530" t="str">
            <v>1103</v>
          </cell>
          <cell r="L1530" t="str">
            <v>PU</v>
          </cell>
          <cell r="M1530" t="str">
            <v>110321</v>
          </cell>
          <cell r="N1530" t="str">
            <v>PU LACQUER</v>
          </cell>
        </row>
        <row r="1531">
          <cell r="C1531" t="str">
            <v>100002452</v>
          </cell>
          <cell r="D1531" t="str">
            <v>PUL-51335 CLEAR 30 VN-20KP</v>
          </cell>
          <cell r="E1531" t="str">
            <v>ZFGD</v>
          </cell>
          <cell r="F1531" t="str">
            <v>PC</v>
          </cell>
          <cell r="G1531" t="str">
            <v>1</v>
          </cell>
          <cell r="H1531" t="str">
            <v>INDUSTRY</v>
          </cell>
          <cell r="I1531" t="str">
            <v>11</v>
          </cell>
          <cell r="J1531" t="str">
            <v>WOOD COATINGS</v>
          </cell>
          <cell r="K1531" t="str">
            <v>1103</v>
          </cell>
          <cell r="L1531" t="str">
            <v>PU</v>
          </cell>
          <cell r="M1531" t="str">
            <v>110321</v>
          </cell>
          <cell r="N1531" t="str">
            <v>PU LACQUER</v>
          </cell>
        </row>
        <row r="1532">
          <cell r="C1532" t="str">
            <v>100002453</v>
          </cell>
          <cell r="D1532" t="str">
            <v>PUL-51335 CLEAR 40 VN-18KP</v>
          </cell>
          <cell r="E1532" t="str">
            <v>ZFGD</v>
          </cell>
          <cell r="F1532" t="str">
            <v>PC</v>
          </cell>
          <cell r="G1532" t="str">
            <v>1</v>
          </cell>
          <cell r="H1532" t="str">
            <v>INDUSTRY</v>
          </cell>
          <cell r="I1532" t="str">
            <v>11</v>
          </cell>
          <cell r="J1532" t="str">
            <v>WOOD COATINGS</v>
          </cell>
          <cell r="K1532" t="str">
            <v>1103</v>
          </cell>
          <cell r="L1532" t="str">
            <v>PU</v>
          </cell>
          <cell r="M1532" t="str">
            <v>110321</v>
          </cell>
          <cell r="N1532" t="str">
            <v>PU LACQUER</v>
          </cell>
        </row>
        <row r="1533">
          <cell r="C1533" t="str">
            <v>100002454</v>
          </cell>
          <cell r="D1533" t="str">
            <v>PUL-51335 CLEAR 50 VN-20KP</v>
          </cell>
          <cell r="E1533" t="str">
            <v>ZFGD</v>
          </cell>
          <cell r="F1533" t="str">
            <v>PC</v>
          </cell>
          <cell r="G1533" t="str">
            <v>1</v>
          </cell>
          <cell r="H1533" t="str">
            <v>INDUSTRY</v>
          </cell>
          <cell r="I1533" t="str">
            <v>11</v>
          </cell>
          <cell r="J1533" t="str">
            <v>WOOD COATINGS</v>
          </cell>
          <cell r="K1533" t="str">
            <v>1103</v>
          </cell>
          <cell r="L1533" t="str">
            <v>PU</v>
          </cell>
          <cell r="M1533" t="str">
            <v>110321</v>
          </cell>
          <cell r="N1533" t="str">
            <v>PU LACQUER</v>
          </cell>
        </row>
        <row r="1534">
          <cell r="C1534" t="str">
            <v>100002455</v>
          </cell>
          <cell r="D1534" t="str">
            <v>PUL-51335 CLEAR 90 AA VN-20LP</v>
          </cell>
          <cell r="E1534" t="str">
            <v>ZFGD</v>
          </cell>
          <cell r="F1534" t="str">
            <v>PC</v>
          </cell>
          <cell r="G1534" t="str">
            <v>1</v>
          </cell>
          <cell r="H1534" t="str">
            <v>INDUSTRY</v>
          </cell>
          <cell r="I1534" t="str">
            <v>11</v>
          </cell>
          <cell r="J1534" t="str">
            <v>WOOD COATINGS</v>
          </cell>
          <cell r="K1534" t="str">
            <v>1103</v>
          </cell>
          <cell r="L1534" t="str">
            <v>PU</v>
          </cell>
          <cell r="M1534" t="str">
            <v>110321</v>
          </cell>
          <cell r="N1534" t="str">
            <v>PU LACQUER</v>
          </cell>
        </row>
        <row r="1535">
          <cell r="C1535" t="str">
            <v>100002456</v>
          </cell>
          <cell r="D1535" t="str">
            <v>PUL-51335 CLEAR 90 VN-20KP</v>
          </cell>
          <cell r="E1535" t="str">
            <v>ZFGD</v>
          </cell>
          <cell r="F1535" t="str">
            <v>PC</v>
          </cell>
          <cell r="G1535" t="str">
            <v>1</v>
          </cell>
          <cell r="H1535" t="str">
            <v>INDUSTRY</v>
          </cell>
          <cell r="I1535" t="str">
            <v>11</v>
          </cell>
          <cell r="J1535" t="str">
            <v>WOOD COATINGS</v>
          </cell>
          <cell r="K1535" t="str">
            <v>1103</v>
          </cell>
          <cell r="L1535" t="str">
            <v>PU</v>
          </cell>
          <cell r="M1535" t="str">
            <v>110321</v>
          </cell>
          <cell r="N1535" t="str">
            <v>PU LACQUER</v>
          </cell>
        </row>
        <row r="1536">
          <cell r="C1536" t="str">
            <v>100002457</v>
          </cell>
          <cell r="D1536" t="str">
            <v>PUL-51337 CLEAR 10 VN-18KP</v>
          </cell>
          <cell r="E1536" t="str">
            <v>ZFGD</v>
          </cell>
          <cell r="F1536" t="str">
            <v>PC</v>
          </cell>
          <cell r="G1536" t="str">
            <v>1</v>
          </cell>
          <cell r="H1536" t="str">
            <v>INDUSTRY</v>
          </cell>
          <cell r="I1536" t="str">
            <v>11</v>
          </cell>
          <cell r="J1536" t="str">
            <v>WOOD COATINGS</v>
          </cell>
          <cell r="K1536" t="str">
            <v>1103</v>
          </cell>
          <cell r="L1536" t="str">
            <v>PU</v>
          </cell>
          <cell r="M1536" t="str">
            <v>110321</v>
          </cell>
          <cell r="N1536" t="str">
            <v>PU LACQUER</v>
          </cell>
        </row>
        <row r="1537">
          <cell r="C1537" t="str">
            <v>100002458</v>
          </cell>
          <cell r="D1537" t="str">
            <v>PUL-51337 CLEAR 10 VN-4K</v>
          </cell>
          <cell r="E1537" t="str">
            <v>ZFGD</v>
          </cell>
          <cell r="F1537" t="str">
            <v>PC</v>
          </cell>
          <cell r="G1537" t="str">
            <v>1</v>
          </cell>
          <cell r="H1537" t="str">
            <v>INDUSTRY</v>
          </cell>
          <cell r="I1537" t="str">
            <v>11</v>
          </cell>
          <cell r="J1537" t="str">
            <v>WOOD COATINGS</v>
          </cell>
          <cell r="K1537" t="str">
            <v>1103</v>
          </cell>
          <cell r="L1537" t="str">
            <v>PU</v>
          </cell>
          <cell r="M1537" t="str">
            <v>110321</v>
          </cell>
          <cell r="N1537" t="str">
            <v>PU LACQUER</v>
          </cell>
        </row>
        <row r="1538">
          <cell r="C1538" t="str">
            <v>100002459</v>
          </cell>
          <cell r="D1538" t="str">
            <v>PUL-51337 CLEAR 20 VN-18KP</v>
          </cell>
          <cell r="E1538" t="str">
            <v>ZFGD</v>
          </cell>
          <cell r="F1538" t="str">
            <v>PC</v>
          </cell>
          <cell r="G1538" t="str">
            <v>1</v>
          </cell>
          <cell r="H1538" t="str">
            <v>INDUSTRY</v>
          </cell>
          <cell r="I1538" t="str">
            <v>11</v>
          </cell>
          <cell r="J1538" t="str">
            <v>WOOD COATINGS</v>
          </cell>
          <cell r="K1538" t="str">
            <v>1103</v>
          </cell>
          <cell r="L1538" t="str">
            <v>PU</v>
          </cell>
          <cell r="M1538" t="str">
            <v>110321</v>
          </cell>
          <cell r="N1538" t="str">
            <v>PU LACQUER</v>
          </cell>
        </row>
        <row r="1539">
          <cell r="C1539" t="str">
            <v>100002460</v>
          </cell>
          <cell r="D1539" t="str">
            <v>PUL-51337 CLEAR 20 VN-4K</v>
          </cell>
          <cell r="E1539" t="str">
            <v>ZFGD</v>
          </cell>
          <cell r="F1539" t="str">
            <v>PC</v>
          </cell>
          <cell r="G1539" t="str">
            <v>1</v>
          </cell>
          <cell r="H1539" t="str">
            <v>INDUSTRY</v>
          </cell>
          <cell r="I1539" t="str">
            <v>11</v>
          </cell>
          <cell r="J1539" t="str">
            <v>WOOD COATINGS</v>
          </cell>
          <cell r="K1539" t="str">
            <v>1103</v>
          </cell>
          <cell r="L1539" t="str">
            <v>PU</v>
          </cell>
          <cell r="M1539" t="str">
            <v>110321</v>
          </cell>
          <cell r="N1539" t="str">
            <v>PU LACQUER</v>
          </cell>
        </row>
        <row r="1540">
          <cell r="C1540" t="str">
            <v>100002461</v>
          </cell>
          <cell r="D1540" t="str">
            <v>PUL-51337 CLEAR 30 VN-18KP</v>
          </cell>
          <cell r="E1540" t="str">
            <v>ZFGD</v>
          </cell>
          <cell r="F1540" t="str">
            <v>PC</v>
          </cell>
          <cell r="G1540" t="str">
            <v>1</v>
          </cell>
          <cell r="H1540" t="str">
            <v>INDUSTRY</v>
          </cell>
          <cell r="I1540" t="str">
            <v>11</v>
          </cell>
          <cell r="J1540" t="str">
            <v>WOOD COATINGS</v>
          </cell>
          <cell r="K1540" t="str">
            <v>1103</v>
          </cell>
          <cell r="L1540" t="str">
            <v>PU</v>
          </cell>
          <cell r="M1540" t="str">
            <v>110321</v>
          </cell>
          <cell r="N1540" t="str">
            <v>PU LACQUER</v>
          </cell>
        </row>
        <row r="1541">
          <cell r="C1541" t="str">
            <v>100002462</v>
          </cell>
          <cell r="D1541" t="str">
            <v>PUL-51337 CLEAR 30 VN-4K</v>
          </cell>
          <cell r="E1541" t="str">
            <v>ZFGD</v>
          </cell>
          <cell r="F1541" t="str">
            <v>PC</v>
          </cell>
          <cell r="G1541" t="str">
            <v>1</v>
          </cell>
          <cell r="H1541" t="str">
            <v>INDUSTRY</v>
          </cell>
          <cell r="I1541" t="str">
            <v>11</v>
          </cell>
          <cell r="J1541" t="str">
            <v>WOOD COATINGS</v>
          </cell>
          <cell r="K1541" t="str">
            <v>1103</v>
          </cell>
          <cell r="L1541" t="str">
            <v>PU</v>
          </cell>
          <cell r="M1541" t="str">
            <v>110321</v>
          </cell>
          <cell r="N1541" t="str">
            <v>PU LACQUER</v>
          </cell>
        </row>
        <row r="1542">
          <cell r="C1542" t="str">
            <v>100002463</v>
          </cell>
          <cell r="D1542" t="str">
            <v>PUL-51337 CLEAR 50 VN-18KP</v>
          </cell>
          <cell r="E1542" t="str">
            <v>ZFGD</v>
          </cell>
          <cell r="F1542" t="str">
            <v>PC</v>
          </cell>
          <cell r="G1542" t="str">
            <v>1</v>
          </cell>
          <cell r="H1542" t="str">
            <v>INDUSTRY</v>
          </cell>
          <cell r="I1542" t="str">
            <v>11</v>
          </cell>
          <cell r="J1542" t="str">
            <v>WOOD COATINGS</v>
          </cell>
          <cell r="K1542" t="str">
            <v>1103</v>
          </cell>
          <cell r="L1542" t="str">
            <v>PU</v>
          </cell>
          <cell r="M1542" t="str">
            <v>110321</v>
          </cell>
          <cell r="N1542" t="str">
            <v>PU LACQUER</v>
          </cell>
        </row>
        <row r="1543">
          <cell r="C1543" t="str">
            <v>100002464</v>
          </cell>
          <cell r="D1543" t="str">
            <v>PUL-51337 CLEAR 50 VN-4K</v>
          </cell>
          <cell r="E1543" t="str">
            <v>ZFGD</v>
          </cell>
          <cell r="F1543" t="str">
            <v>PC</v>
          </cell>
          <cell r="G1543" t="str">
            <v>1</v>
          </cell>
          <cell r="H1543" t="str">
            <v>INDUSTRY</v>
          </cell>
          <cell r="I1543" t="str">
            <v>11</v>
          </cell>
          <cell r="J1543" t="str">
            <v>WOOD COATINGS</v>
          </cell>
          <cell r="K1543" t="str">
            <v>1103</v>
          </cell>
          <cell r="L1543" t="str">
            <v>PU</v>
          </cell>
          <cell r="M1543" t="str">
            <v>110321</v>
          </cell>
          <cell r="N1543" t="str">
            <v>PU LACQUER</v>
          </cell>
        </row>
        <row r="1544">
          <cell r="C1544" t="str">
            <v>100002465</v>
          </cell>
          <cell r="D1544" t="str">
            <v>PUL-51337 CLEAR 90 VN-18KP</v>
          </cell>
          <cell r="E1544" t="str">
            <v>ZFGD</v>
          </cell>
          <cell r="F1544" t="str">
            <v>PC</v>
          </cell>
          <cell r="G1544" t="str">
            <v>1</v>
          </cell>
          <cell r="H1544" t="str">
            <v>INDUSTRY</v>
          </cell>
          <cell r="I1544" t="str">
            <v>11</v>
          </cell>
          <cell r="J1544" t="str">
            <v>WOOD COATINGS</v>
          </cell>
          <cell r="K1544" t="str">
            <v>1103</v>
          </cell>
          <cell r="L1544" t="str">
            <v>PU</v>
          </cell>
          <cell r="M1544" t="str">
            <v>110321</v>
          </cell>
          <cell r="N1544" t="str">
            <v>PU LACQUER</v>
          </cell>
        </row>
        <row r="1545">
          <cell r="C1545" t="str">
            <v>100002466</v>
          </cell>
          <cell r="D1545" t="str">
            <v>PUL-51337 CLEAR 90 VN-4K</v>
          </cell>
          <cell r="E1545" t="str">
            <v>ZFGD</v>
          </cell>
          <cell r="F1545" t="str">
            <v>PC</v>
          </cell>
          <cell r="G1545" t="str">
            <v>1</v>
          </cell>
          <cell r="H1545" t="str">
            <v>INDUSTRY</v>
          </cell>
          <cell r="I1545" t="str">
            <v>11</v>
          </cell>
          <cell r="J1545" t="str">
            <v>WOOD COATINGS</v>
          </cell>
          <cell r="K1545" t="str">
            <v>1103</v>
          </cell>
          <cell r="L1545" t="str">
            <v>PU</v>
          </cell>
          <cell r="M1545" t="str">
            <v>110321</v>
          </cell>
          <cell r="N1545" t="str">
            <v>PU LACQUER</v>
          </cell>
        </row>
        <row r="1546">
          <cell r="C1546" t="str">
            <v>100002467</v>
          </cell>
          <cell r="D1546" t="str">
            <v>PUL-51345 CLEAR 10 VN-18KP</v>
          </cell>
          <cell r="E1546" t="str">
            <v>ZFGD</v>
          </cell>
          <cell r="F1546" t="str">
            <v>PC</v>
          </cell>
          <cell r="G1546" t="str">
            <v>1</v>
          </cell>
          <cell r="H1546" t="str">
            <v>INDUSTRY</v>
          </cell>
          <cell r="I1546" t="str">
            <v>11</v>
          </cell>
          <cell r="J1546" t="str">
            <v>WOOD COATINGS</v>
          </cell>
          <cell r="K1546" t="str">
            <v>1103</v>
          </cell>
          <cell r="L1546" t="str">
            <v>PU</v>
          </cell>
          <cell r="M1546" t="str">
            <v>110321</v>
          </cell>
          <cell r="N1546" t="str">
            <v>PU LACQUER</v>
          </cell>
        </row>
        <row r="1547">
          <cell r="C1547" t="str">
            <v>100002468</v>
          </cell>
          <cell r="D1547" t="str">
            <v>PUL-51345 CLEAR 30 VN-18KP</v>
          </cell>
          <cell r="E1547" t="str">
            <v>ZFGD</v>
          </cell>
          <cell r="F1547" t="str">
            <v>PC</v>
          </cell>
          <cell r="G1547" t="str">
            <v>1</v>
          </cell>
          <cell r="H1547" t="str">
            <v>INDUSTRY</v>
          </cell>
          <cell r="I1547" t="str">
            <v>11</v>
          </cell>
          <cell r="J1547" t="str">
            <v>WOOD COATINGS</v>
          </cell>
          <cell r="K1547" t="str">
            <v>1103</v>
          </cell>
          <cell r="L1547" t="str">
            <v>PU</v>
          </cell>
          <cell r="M1547" t="str">
            <v>110321</v>
          </cell>
          <cell r="N1547" t="str">
            <v>PU LACQUER</v>
          </cell>
        </row>
        <row r="1548">
          <cell r="C1548" t="str">
            <v>100002469</v>
          </cell>
          <cell r="D1548" t="str">
            <v>PUL-51345 CLEAR 50 VN-18KP</v>
          </cell>
          <cell r="E1548" t="str">
            <v>ZFGD</v>
          </cell>
          <cell r="F1548" t="str">
            <v>PC</v>
          </cell>
          <cell r="G1548" t="str">
            <v>1</v>
          </cell>
          <cell r="H1548" t="str">
            <v>INDUSTRY</v>
          </cell>
          <cell r="I1548" t="str">
            <v>11</v>
          </cell>
          <cell r="J1548" t="str">
            <v>WOOD COATINGS</v>
          </cell>
          <cell r="K1548" t="str">
            <v>1103</v>
          </cell>
          <cell r="L1548" t="str">
            <v>PU</v>
          </cell>
          <cell r="M1548" t="str">
            <v>110321</v>
          </cell>
          <cell r="N1548" t="str">
            <v>PU LACQUER</v>
          </cell>
        </row>
        <row r="1549">
          <cell r="C1549" t="str">
            <v>100002470</v>
          </cell>
          <cell r="D1549" t="str">
            <v>PUP-52107 BLACK SM VN-20KP</v>
          </cell>
          <cell r="E1549" t="str">
            <v>ZFGD</v>
          </cell>
          <cell r="F1549" t="str">
            <v>PC</v>
          </cell>
          <cell r="G1549" t="str">
            <v>1</v>
          </cell>
          <cell r="H1549" t="str">
            <v>INDUSTRY</v>
          </cell>
          <cell r="I1549" t="str">
            <v>11</v>
          </cell>
          <cell r="J1549" t="str">
            <v>WOOD COATINGS</v>
          </cell>
          <cell r="K1549" t="str">
            <v>1103</v>
          </cell>
          <cell r="L1549" t="str">
            <v>PU</v>
          </cell>
          <cell r="M1549" t="str">
            <v>110322</v>
          </cell>
          <cell r="N1549" t="str">
            <v>PU PRIMER</v>
          </cell>
        </row>
        <row r="1550">
          <cell r="C1550" t="str">
            <v>100002471</v>
          </cell>
          <cell r="D1550" t="str">
            <v>PUP-52133 BLACK VN-20KP</v>
          </cell>
          <cell r="E1550" t="str">
            <v>ZFGD</v>
          </cell>
          <cell r="F1550" t="str">
            <v>PC</v>
          </cell>
          <cell r="G1550" t="str">
            <v>1</v>
          </cell>
          <cell r="H1550" t="str">
            <v>INDUSTRY</v>
          </cell>
          <cell r="I1550" t="str">
            <v>11</v>
          </cell>
          <cell r="J1550" t="str">
            <v>WOOD COATINGS</v>
          </cell>
          <cell r="K1550" t="str">
            <v>1103</v>
          </cell>
          <cell r="L1550" t="str">
            <v>PU</v>
          </cell>
          <cell r="M1550" t="str">
            <v>110322</v>
          </cell>
          <cell r="N1550" t="str">
            <v>PU PRIMER</v>
          </cell>
        </row>
        <row r="1551">
          <cell r="C1551" t="str">
            <v>100002472</v>
          </cell>
          <cell r="D1551" t="str">
            <v>PUP-52133 BLUE SA VN-20KP</v>
          </cell>
          <cell r="E1551" t="str">
            <v>ZFGD</v>
          </cell>
          <cell r="F1551" t="str">
            <v>PC</v>
          </cell>
          <cell r="G1551" t="str">
            <v>1</v>
          </cell>
          <cell r="H1551" t="str">
            <v>INDUSTRY</v>
          </cell>
          <cell r="I1551" t="str">
            <v>11</v>
          </cell>
          <cell r="J1551" t="str">
            <v>WOOD COATINGS</v>
          </cell>
          <cell r="K1551" t="str">
            <v>1103</v>
          </cell>
          <cell r="L1551" t="str">
            <v>PU</v>
          </cell>
          <cell r="M1551" t="str">
            <v>110322</v>
          </cell>
          <cell r="N1551" t="str">
            <v>PU PRIMER</v>
          </cell>
        </row>
        <row r="1552">
          <cell r="C1552" t="str">
            <v>100002473</v>
          </cell>
          <cell r="D1552" t="str">
            <v>PUP-52133 GREEN CL TT VN-20KP</v>
          </cell>
          <cell r="E1552" t="str">
            <v>ZFGD</v>
          </cell>
          <cell r="F1552" t="str">
            <v>PC</v>
          </cell>
          <cell r="G1552" t="str">
            <v>1</v>
          </cell>
          <cell r="H1552" t="str">
            <v>INDUSTRY</v>
          </cell>
          <cell r="I1552" t="str">
            <v>11</v>
          </cell>
          <cell r="J1552" t="str">
            <v>WOOD COATINGS</v>
          </cell>
          <cell r="K1552" t="str">
            <v>1103</v>
          </cell>
          <cell r="L1552" t="str">
            <v>PU</v>
          </cell>
          <cell r="M1552" t="str">
            <v>110322</v>
          </cell>
          <cell r="N1552" t="str">
            <v>PU PRIMER</v>
          </cell>
        </row>
        <row r="1553">
          <cell r="C1553" t="str">
            <v>100002474</v>
          </cell>
          <cell r="D1553" t="str">
            <v>PUP-52133 HEYCHAIR TT VN-20KP</v>
          </cell>
          <cell r="E1553" t="str">
            <v>ZFGD</v>
          </cell>
          <cell r="F1553" t="str">
            <v>PC</v>
          </cell>
          <cell r="G1553" t="str">
            <v>1</v>
          </cell>
          <cell r="H1553" t="str">
            <v>INDUSTRY</v>
          </cell>
          <cell r="I1553" t="str">
            <v>11</v>
          </cell>
          <cell r="J1553" t="str">
            <v>WOOD COATINGS</v>
          </cell>
          <cell r="K1553" t="str">
            <v>1103</v>
          </cell>
          <cell r="L1553" t="str">
            <v>PU</v>
          </cell>
          <cell r="M1553" t="str">
            <v>110322</v>
          </cell>
          <cell r="N1553" t="str">
            <v>PU PRIMER</v>
          </cell>
        </row>
        <row r="1554">
          <cell r="C1554" t="str">
            <v>100002475</v>
          </cell>
          <cell r="D1554" t="str">
            <v>PUP-52133 WHITE B 423 TR VN-20KP</v>
          </cell>
          <cell r="E1554" t="str">
            <v>ZFGD</v>
          </cell>
          <cell r="F1554" t="str">
            <v>PC</v>
          </cell>
          <cell r="G1554" t="str">
            <v>1</v>
          </cell>
          <cell r="H1554" t="str">
            <v>INDUSTRY</v>
          </cell>
          <cell r="I1554" t="str">
            <v>11</v>
          </cell>
          <cell r="J1554" t="str">
            <v>WOOD COATINGS</v>
          </cell>
          <cell r="K1554" t="str">
            <v>1103</v>
          </cell>
          <cell r="L1554" t="str">
            <v>PU</v>
          </cell>
          <cell r="M1554" t="str">
            <v>110322</v>
          </cell>
          <cell r="N1554" t="str">
            <v>PU PRIMER</v>
          </cell>
        </row>
        <row r="1555">
          <cell r="C1555" t="str">
            <v>100002476</v>
          </cell>
          <cell r="D1555" t="str">
            <v>PUP-52133 WHITE ST VN-20KP</v>
          </cell>
          <cell r="E1555" t="str">
            <v>ZFGD</v>
          </cell>
          <cell r="F1555" t="str">
            <v>PC</v>
          </cell>
          <cell r="G1555" t="str">
            <v>1</v>
          </cell>
          <cell r="H1555" t="str">
            <v>INDUSTRY</v>
          </cell>
          <cell r="I1555" t="str">
            <v>11</v>
          </cell>
          <cell r="J1555" t="str">
            <v>WOOD COATINGS</v>
          </cell>
          <cell r="K1555" t="str">
            <v>1103</v>
          </cell>
          <cell r="L1555" t="str">
            <v>PU</v>
          </cell>
          <cell r="M1555" t="str">
            <v>110322</v>
          </cell>
          <cell r="N1555" t="str">
            <v>PU PRIMER</v>
          </cell>
        </row>
        <row r="1556">
          <cell r="C1556" t="str">
            <v>100002477</v>
          </cell>
          <cell r="D1556" t="str">
            <v>PUP-52133 WHITE SV VN-20KP</v>
          </cell>
          <cell r="E1556" t="str">
            <v>ZFGD</v>
          </cell>
          <cell r="F1556" t="str">
            <v>PC</v>
          </cell>
          <cell r="G1556" t="str">
            <v>1</v>
          </cell>
          <cell r="H1556" t="str">
            <v>INDUSTRY</v>
          </cell>
          <cell r="I1556" t="str">
            <v>11</v>
          </cell>
          <cell r="J1556" t="str">
            <v>WOOD COATINGS</v>
          </cell>
          <cell r="K1556" t="str">
            <v>1103</v>
          </cell>
          <cell r="L1556" t="str">
            <v>PU</v>
          </cell>
          <cell r="M1556" t="str">
            <v>110322</v>
          </cell>
          <cell r="N1556" t="str">
            <v>PU PRIMER</v>
          </cell>
        </row>
        <row r="1557">
          <cell r="C1557" t="str">
            <v>100002478</v>
          </cell>
          <cell r="D1557" t="str">
            <v>PUP-52133 YELLOW CL TT VN-20KP</v>
          </cell>
          <cell r="E1557" t="str">
            <v>ZFGD</v>
          </cell>
          <cell r="F1557" t="str">
            <v>PC</v>
          </cell>
          <cell r="G1557" t="str">
            <v>1</v>
          </cell>
          <cell r="H1557" t="str">
            <v>INDUSTRY</v>
          </cell>
          <cell r="I1557" t="str">
            <v>11</v>
          </cell>
          <cell r="J1557" t="str">
            <v>WOOD COATINGS</v>
          </cell>
          <cell r="K1557" t="str">
            <v>1103</v>
          </cell>
          <cell r="L1557" t="str">
            <v>PU</v>
          </cell>
          <cell r="M1557" t="str">
            <v>110322</v>
          </cell>
          <cell r="N1557" t="str">
            <v>PU PRIMER</v>
          </cell>
        </row>
        <row r="1558">
          <cell r="C1558" t="str">
            <v>100002479</v>
          </cell>
          <cell r="D1558" t="str">
            <v>PUP-52135 11 AH VN-20KP</v>
          </cell>
          <cell r="E1558" t="str">
            <v>ZFGD</v>
          </cell>
          <cell r="F1558" t="str">
            <v>PC</v>
          </cell>
          <cell r="G1558" t="str">
            <v>1</v>
          </cell>
          <cell r="H1558" t="str">
            <v>INDUSTRY</v>
          </cell>
          <cell r="I1558" t="str">
            <v>11</v>
          </cell>
          <cell r="J1558" t="str">
            <v>WOOD COATINGS</v>
          </cell>
          <cell r="K1558" t="str">
            <v>1103</v>
          </cell>
          <cell r="L1558" t="str">
            <v>PU</v>
          </cell>
          <cell r="M1558" t="str">
            <v>110322</v>
          </cell>
          <cell r="N1558" t="str">
            <v>PU PRIMER</v>
          </cell>
        </row>
        <row r="1559">
          <cell r="C1559" t="str">
            <v>100002480</v>
          </cell>
          <cell r="D1559" t="str">
            <v>PUP-52135 13 AH VN-20KP</v>
          </cell>
          <cell r="E1559" t="str">
            <v>ZFGD</v>
          </cell>
          <cell r="F1559" t="str">
            <v>PC</v>
          </cell>
          <cell r="G1559" t="str">
            <v>1</v>
          </cell>
          <cell r="H1559" t="str">
            <v>INDUSTRY</v>
          </cell>
          <cell r="I1559" t="str">
            <v>11</v>
          </cell>
          <cell r="J1559" t="str">
            <v>WOOD COATINGS</v>
          </cell>
          <cell r="K1559" t="str">
            <v>1103</v>
          </cell>
          <cell r="L1559" t="str">
            <v>PU</v>
          </cell>
          <cell r="M1559" t="str">
            <v>110322</v>
          </cell>
          <cell r="N1559" t="str">
            <v>PU PRIMER</v>
          </cell>
        </row>
        <row r="1560">
          <cell r="C1560" t="str">
            <v>100002481</v>
          </cell>
          <cell r="D1560" t="str">
            <v>PUP-52135 16 MT VN-20KP</v>
          </cell>
          <cell r="E1560" t="str">
            <v>ZFGD</v>
          </cell>
          <cell r="F1560" t="str">
            <v>PC</v>
          </cell>
          <cell r="G1560" t="str">
            <v>1</v>
          </cell>
          <cell r="H1560" t="str">
            <v>INDUSTRY</v>
          </cell>
          <cell r="I1560" t="str">
            <v>11</v>
          </cell>
          <cell r="J1560" t="str">
            <v>WOOD COATINGS</v>
          </cell>
          <cell r="K1560" t="str">
            <v>1103</v>
          </cell>
          <cell r="L1560" t="str">
            <v>PU</v>
          </cell>
          <cell r="M1560" t="str">
            <v>110322</v>
          </cell>
          <cell r="N1560" t="str">
            <v>PU PRIMER</v>
          </cell>
        </row>
        <row r="1561">
          <cell r="C1561" t="str">
            <v>100002482</v>
          </cell>
          <cell r="D1561" t="str">
            <v>PUP-52135 26 AH VN-20KP</v>
          </cell>
          <cell r="E1561" t="str">
            <v>ZFGD</v>
          </cell>
          <cell r="F1561" t="str">
            <v>PC</v>
          </cell>
          <cell r="G1561" t="str">
            <v>1</v>
          </cell>
          <cell r="H1561" t="str">
            <v>INDUSTRY</v>
          </cell>
          <cell r="I1561" t="str">
            <v>11</v>
          </cell>
          <cell r="J1561" t="str">
            <v>WOOD COATINGS</v>
          </cell>
          <cell r="K1561" t="str">
            <v>1103</v>
          </cell>
          <cell r="L1561" t="str">
            <v>PU</v>
          </cell>
          <cell r="M1561" t="str">
            <v>110322</v>
          </cell>
          <cell r="N1561" t="str">
            <v>PU PRIMER</v>
          </cell>
        </row>
        <row r="1562">
          <cell r="C1562" t="str">
            <v>100002483</v>
          </cell>
          <cell r="D1562" t="str">
            <v>PUP-52135 37 AH VN-20KP</v>
          </cell>
          <cell r="E1562" t="str">
            <v>ZFGD</v>
          </cell>
          <cell r="F1562" t="str">
            <v>PC</v>
          </cell>
          <cell r="G1562" t="str">
            <v>1</v>
          </cell>
          <cell r="H1562" t="str">
            <v>INDUSTRY</v>
          </cell>
          <cell r="I1562" t="str">
            <v>11</v>
          </cell>
          <cell r="J1562" t="str">
            <v>WOOD COATINGS</v>
          </cell>
          <cell r="K1562" t="str">
            <v>1103</v>
          </cell>
          <cell r="L1562" t="str">
            <v>PU</v>
          </cell>
          <cell r="M1562" t="str">
            <v>110322</v>
          </cell>
          <cell r="N1562" t="str">
            <v>PU PRIMER</v>
          </cell>
        </row>
        <row r="1563">
          <cell r="C1563" t="str">
            <v>100002484</v>
          </cell>
          <cell r="D1563" t="str">
            <v>PUP-52135 38 MT VN-20KP</v>
          </cell>
          <cell r="E1563" t="str">
            <v>ZFGD</v>
          </cell>
          <cell r="F1563" t="str">
            <v>PC</v>
          </cell>
          <cell r="G1563" t="str">
            <v>1</v>
          </cell>
          <cell r="H1563" t="str">
            <v>INDUSTRY</v>
          </cell>
          <cell r="I1563" t="str">
            <v>11</v>
          </cell>
          <cell r="J1563" t="str">
            <v>WOOD COATINGS</v>
          </cell>
          <cell r="K1563" t="str">
            <v>1103</v>
          </cell>
          <cell r="L1563" t="str">
            <v>PU</v>
          </cell>
          <cell r="M1563" t="str">
            <v>110322</v>
          </cell>
          <cell r="N1563" t="str">
            <v>PU PRIMER</v>
          </cell>
        </row>
        <row r="1564">
          <cell r="C1564" t="str">
            <v>100002485</v>
          </cell>
          <cell r="D1564" t="str">
            <v>PUP-52135 64 HS VN-20KP</v>
          </cell>
          <cell r="E1564" t="str">
            <v>ZFGD</v>
          </cell>
          <cell r="F1564" t="str">
            <v>PC</v>
          </cell>
          <cell r="G1564" t="str">
            <v>1</v>
          </cell>
          <cell r="H1564" t="str">
            <v>INDUSTRY</v>
          </cell>
          <cell r="I1564" t="str">
            <v>11</v>
          </cell>
          <cell r="J1564" t="str">
            <v>WOOD COATINGS</v>
          </cell>
          <cell r="K1564" t="str">
            <v>1103</v>
          </cell>
          <cell r="L1564" t="str">
            <v>PU</v>
          </cell>
          <cell r="M1564" t="str">
            <v>110322</v>
          </cell>
          <cell r="N1564" t="str">
            <v>PU PRIMER</v>
          </cell>
        </row>
        <row r="1565">
          <cell r="C1565" t="str">
            <v>100002486</v>
          </cell>
          <cell r="D1565" t="str">
            <v>PUP-52135 BLACK VN-20KP</v>
          </cell>
          <cell r="E1565" t="str">
            <v>ZFGD</v>
          </cell>
          <cell r="F1565" t="str">
            <v>PC</v>
          </cell>
          <cell r="G1565" t="str">
            <v>1</v>
          </cell>
          <cell r="H1565" t="str">
            <v>INDUSTRY</v>
          </cell>
          <cell r="I1565" t="str">
            <v>11</v>
          </cell>
          <cell r="J1565" t="str">
            <v>WOOD COATINGS</v>
          </cell>
          <cell r="K1565" t="str">
            <v>1103</v>
          </cell>
          <cell r="L1565" t="str">
            <v>PU</v>
          </cell>
          <cell r="M1565" t="str">
            <v>110322</v>
          </cell>
          <cell r="N1565" t="str">
            <v>PU PRIMER</v>
          </cell>
        </row>
        <row r="1566">
          <cell r="C1566" t="str">
            <v>100002487</v>
          </cell>
          <cell r="D1566" t="str">
            <v>PUP-52135 CG 7C GM VN-20KP</v>
          </cell>
          <cell r="E1566" t="str">
            <v>ZFGD</v>
          </cell>
          <cell r="F1566" t="str">
            <v>PC</v>
          </cell>
          <cell r="G1566" t="str">
            <v>1</v>
          </cell>
          <cell r="H1566" t="str">
            <v>INDUSTRY</v>
          </cell>
          <cell r="I1566" t="str">
            <v>11</v>
          </cell>
          <cell r="J1566" t="str">
            <v>WOOD COATINGS</v>
          </cell>
          <cell r="K1566" t="str">
            <v>1103</v>
          </cell>
          <cell r="L1566" t="str">
            <v>PU</v>
          </cell>
          <cell r="M1566" t="str">
            <v>110322</v>
          </cell>
          <cell r="N1566" t="str">
            <v>PU PRIMER</v>
          </cell>
        </row>
        <row r="1567">
          <cell r="C1567" t="str">
            <v>100002488</v>
          </cell>
          <cell r="D1567" t="str">
            <v>PUP-52135 CG 8C GM VN-20KP</v>
          </cell>
          <cell r="E1567" t="str">
            <v>ZFGD</v>
          </cell>
          <cell r="F1567" t="str">
            <v>PC</v>
          </cell>
          <cell r="G1567" t="str">
            <v>1</v>
          </cell>
          <cell r="H1567" t="str">
            <v>INDUSTRY</v>
          </cell>
          <cell r="I1567" t="str">
            <v>11</v>
          </cell>
          <cell r="J1567" t="str">
            <v>WOOD COATINGS</v>
          </cell>
          <cell r="K1567" t="str">
            <v>1103</v>
          </cell>
          <cell r="L1567" t="str">
            <v>PU</v>
          </cell>
          <cell r="M1567" t="str">
            <v>110322</v>
          </cell>
          <cell r="N1567" t="str">
            <v>PU PRIMER</v>
          </cell>
        </row>
        <row r="1568">
          <cell r="C1568" t="str">
            <v>100002489</v>
          </cell>
          <cell r="D1568" t="str">
            <v>PUP-52135 CHARTON 01 GE VN-20KP</v>
          </cell>
          <cell r="E1568" t="str">
            <v>ZFGD</v>
          </cell>
          <cell r="F1568" t="str">
            <v>PC</v>
          </cell>
          <cell r="G1568" t="str">
            <v>1</v>
          </cell>
          <cell r="H1568" t="str">
            <v>INDUSTRY</v>
          </cell>
          <cell r="I1568" t="str">
            <v>11</v>
          </cell>
          <cell r="J1568" t="str">
            <v>WOOD COATINGS</v>
          </cell>
          <cell r="K1568" t="str">
            <v>1103</v>
          </cell>
          <cell r="L1568" t="str">
            <v>PU</v>
          </cell>
          <cell r="M1568" t="str">
            <v>110322</v>
          </cell>
          <cell r="N1568" t="str">
            <v>PU PRIMER</v>
          </cell>
        </row>
        <row r="1569">
          <cell r="C1569" t="str">
            <v>100002490</v>
          </cell>
          <cell r="D1569" t="str">
            <v>PUP-52135 CONCRETE KD VN-20KP</v>
          </cell>
          <cell r="E1569" t="str">
            <v>ZFGD</v>
          </cell>
          <cell r="F1569" t="str">
            <v>PC</v>
          </cell>
          <cell r="G1569" t="str">
            <v>1</v>
          </cell>
          <cell r="H1569" t="str">
            <v>INDUSTRY</v>
          </cell>
          <cell r="I1569" t="str">
            <v>11</v>
          </cell>
          <cell r="J1569" t="str">
            <v>WOOD COATINGS</v>
          </cell>
          <cell r="K1569" t="str">
            <v>1103</v>
          </cell>
          <cell r="L1569" t="str">
            <v>PU</v>
          </cell>
          <cell r="M1569" t="str">
            <v>110322</v>
          </cell>
          <cell r="N1569" t="str">
            <v>PU PRIMER</v>
          </cell>
        </row>
        <row r="1570">
          <cell r="C1570" t="str">
            <v>100002491</v>
          </cell>
          <cell r="D1570" t="str">
            <v>PUP-52135 DUK 03 MT VN-20KP</v>
          </cell>
          <cell r="E1570" t="str">
            <v>ZFGD</v>
          </cell>
          <cell r="F1570" t="str">
            <v>PC</v>
          </cell>
          <cell r="G1570" t="str">
            <v>1</v>
          </cell>
          <cell r="H1570" t="str">
            <v>INDUSTRY</v>
          </cell>
          <cell r="I1570" t="str">
            <v>11</v>
          </cell>
          <cell r="J1570" t="str">
            <v>WOOD COATINGS</v>
          </cell>
          <cell r="K1570" t="str">
            <v>1103</v>
          </cell>
          <cell r="L1570" t="str">
            <v>PU</v>
          </cell>
          <cell r="M1570" t="str">
            <v>110322</v>
          </cell>
          <cell r="N1570" t="str">
            <v>PU PRIMER</v>
          </cell>
        </row>
        <row r="1571">
          <cell r="C1571" t="str">
            <v>100002492</v>
          </cell>
          <cell r="D1571" t="str">
            <v>PUP-52135 GREEN INT AH VN-20KP</v>
          </cell>
          <cell r="E1571" t="str">
            <v>ZFGD</v>
          </cell>
          <cell r="F1571" t="str">
            <v>PC</v>
          </cell>
          <cell r="G1571" t="str">
            <v>1</v>
          </cell>
          <cell r="H1571" t="str">
            <v>INDUSTRY</v>
          </cell>
          <cell r="I1571" t="str">
            <v>11</v>
          </cell>
          <cell r="J1571" t="str">
            <v>WOOD COATINGS</v>
          </cell>
          <cell r="K1571" t="str">
            <v>1103</v>
          </cell>
          <cell r="L1571" t="str">
            <v>PU</v>
          </cell>
          <cell r="M1571" t="str">
            <v>110322</v>
          </cell>
          <cell r="N1571" t="str">
            <v>PU PRIMER</v>
          </cell>
        </row>
        <row r="1572">
          <cell r="C1572" t="str">
            <v>100002493</v>
          </cell>
          <cell r="D1572" t="str">
            <v>PUP-52135 GREY 60 HS VN-20KP</v>
          </cell>
          <cell r="E1572" t="str">
            <v>ZFGD</v>
          </cell>
          <cell r="F1572" t="str">
            <v>PC</v>
          </cell>
          <cell r="G1572" t="str">
            <v>1</v>
          </cell>
          <cell r="H1572" t="str">
            <v>INDUSTRY</v>
          </cell>
          <cell r="I1572" t="str">
            <v>11</v>
          </cell>
          <cell r="J1572" t="str">
            <v>WOOD COATINGS</v>
          </cell>
          <cell r="K1572" t="str">
            <v>1103</v>
          </cell>
          <cell r="L1572" t="str">
            <v>PU</v>
          </cell>
          <cell r="M1572" t="str">
            <v>110322</v>
          </cell>
          <cell r="N1572" t="str">
            <v>PU PRIMER</v>
          </cell>
        </row>
        <row r="1573">
          <cell r="C1573" t="str">
            <v>100002494</v>
          </cell>
          <cell r="D1573" t="str">
            <v>PUP-52135 GREY 63 HS VN-20KP</v>
          </cell>
          <cell r="E1573" t="str">
            <v>ZFGD</v>
          </cell>
          <cell r="F1573" t="str">
            <v>PC</v>
          </cell>
          <cell r="G1573" t="str">
            <v>1</v>
          </cell>
          <cell r="H1573" t="str">
            <v>INDUSTRY</v>
          </cell>
          <cell r="I1573" t="str">
            <v>11</v>
          </cell>
          <cell r="J1573" t="str">
            <v>WOOD COATINGS</v>
          </cell>
          <cell r="K1573" t="str">
            <v>1103</v>
          </cell>
          <cell r="L1573" t="str">
            <v>PU</v>
          </cell>
          <cell r="M1573" t="str">
            <v>110322</v>
          </cell>
          <cell r="N1573" t="str">
            <v>PU PRIMER</v>
          </cell>
        </row>
        <row r="1574">
          <cell r="C1574" t="str">
            <v>100002495</v>
          </cell>
          <cell r="D1574" t="str">
            <v>PUP-52135 ND GE VN-20KP</v>
          </cell>
          <cell r="E1574" t="str">
            <v>ZFGD</v>
          </cell>
          <cell r="F1574" t="str">
            <v>PC</v>
          </cell>
          <cell r="G1574" t="str">
            <v>1</v>
          </cell>
          <cell r="H1574" t="str">
            <v>INDUSTRY</v>
          </cell>
          <cell r="I1574" t="str">
            <v>11</v>
          </cell>
          <cell r="J1574" t="str">
            <v>WOOD COATINGS</v>
          </cell>
          <cell r="K1574" t="str">
            <v>1103</v>
          </cell>
          <cell r="L1574" t="str">
            <v>PU</v>
          </cell>
          <cell r="M1574" t="str">
            <v>110322</v>
          </cell>
          <cell r="N1574" t="str">
            <v>PU PRIMER</v>
          </cell>
        </row>
        <row r="1575">
          <cell r="C1575" t="str">
            <v>100002496</v>
          </cell>
          <cell r="D1575" t="str">
            <v>PUP-52135 SG PEARL LE VN-20KP</v>
          </cell>
          <cell r="E1575" t="str">
            <v>ZFGD</v>
          </cell>
          <cell r="F1575" t="str">
            <v>PC</v>
          </cell>
          <cell r="G1575" t="str">
            <v>1</v>
          </cell>
          <cell r="H1575" t="str">
            <v>INDUSTRY</v>
          </cell>
          <cell r="I1575" t="str">
            <v>11</v>
          </cell>
          <cell r="J1575" t="str">
            <v>WOOD COATINGS</v>
          </cell>
          <cell r="K1575" t="str">
            <v>1103</v>
          </cell>
          <cell r="L1575" t="str">
            <v>PU</v>
          </cell>
          <cell r="M1575" t="str">
            <v>110322</v>
          </cell>
          <cell r="N1575" t="str">
            <v>PU PRIMER</v>
          </cell>
        </row>
        <row r="1576">
          <cell r="C1576" t="str">
            <v>100002497</v>
          </cell>
          <cell r="D1576" t="str">
            <v>PUP-52135 WD 51 AH VN-20KP</v>
          </cell>
          <cell r="E1576" t="str">
            <v>ZFGD</v>
          </cell>
          <cell r="F1576" t="str">
            <v>PC</v>
          </cell>
          <cell r="G1576" t="str">
            <v>1</v>
          </cell>
          <cell r="H1576" t="str">
            <v>INDUSTRY</v>
          </cell>
          <cell r="I1576" t="str">
            <v>11</v>
          </cell>
          <cell r="J1576" t="str">
            <v>WOOD COATINGS</v>
          </cell>
          <cell r="K1576" t="str">
            <v>1103</v>
          </cell>
          <cell r="L1576" t="str">
            <v>PU</v>
          </cell>
          <cell r="M1576" t="str">
            <v>110322</v>
          </cell>
          <cell r="N1576" t="str">
            <v>PU PRIMER</v>
          </cell>
        </row>
        <row r="1577">
          <cell r="C1577" t="str">
            <v>100002498</v>
          </cell>
          <cell r="D1577" t="str">
            <v>PUP-52135 WHITE VN-200KB</v>
          </cell>
          <cell r="E1577" t="str">
            <v>ZFGD</v>
          </cell>
          <cell r="F1577" t="str">
            <v>PC</v>
          </cell>
          <cell r="G1577" t="str">
            <v>1</v>
          </cell>
          <cell r="H1577" t="str">
            <v>INDUSTRY</v>
          </cell>
          <cell r="I1577" t="str">
            <v>11</v>
          </cell>
          <cell r="J1577" t="str">
            <v>WOOD COATINGS</v>
          </cell>
          <cell r="K1577" t="str">
            <v>1103</v>
          </cell>
          <cell r="L1577" t="str">
            <v>PU</v>
          </cell>
          <cell r="M1577" t="str">
            <v>110322</v>
          </cell>
          <cell r="N1577" t="str">
            <v>PU PRIMER</v>
          </cell>
        </row>
        <row r="1578">
          <cell r="C1578" t="str">
            <v>100002499</v>
          </cell>
          <cell r="D1578" t="str">
            <v>PUP-52135 WHITE VN-20KP</v>
          </cell>
          <cell r="E1578" t="str">
            <v>ZFGD</v>
          </cell>
          <cell r="F1578" t="str">
            <v>PC</v>
          </cell>
          <cell r="G1578" t="str">
            <v>1</v>
          </cell>
          <cell r="H1578" t="str">
            <v>INDUSTRY</v>
          </cell>
          <cell r="I1578" t="str">
            <v>11</v>
          </cell>
          <cell r="J1578" t="str">
            <v>WOOD COATINGS</v>
          </cell>
          <cell r="K1578" t="str">
            <v>1103</v>
          </cell>
          <cell r="L1578" t="str">
            <v>PU</v>
          </cell>
          <cell r="M1578" t="str">
            <v>110322</v>
          </cell>
          <cell r="N1578" t="str">
            <v>PU PRIMER</v>
          </cell>
        </row>
        <row r="1579">
          <cell r="C1579" t="str">
            <v>100002500</v>
          </cell>
          <cell r="D1579" t="str">
            <v>PUP-52135 WHITE VN-4K</v>
          </cell>
          <cell r="E1579" t="str">
            <v>ZFGD</v>
          </cell>
          <cell r="F1579" t="str">
            <v>PC</v>
          </cell>
          <cell r="G1579" t="str">
            <v>1</v>
          </cell>
          <cell r="H1579" t="str">
            <v>INDUSTRY</v>
          </cell>
          <cell r="I1579" t="str">
            <v>11</v>
          </cell>
          <cell r="J1579" t="str">
            <v>WOOD COATINGS</v>
          </cell>
          <cell r="K1579" t="str">
            <v>1103</v>
          </cell>
          <cell r="L1579" t="str">
            <v>PU</v>
          </cell>
          <cell r="M1579" t="str">
            <v>110322</v>
          </cell>
          <cell r="N1579" t="str">
            <v>PU PRIMER</v>
          </cell>
        </row>
        <row r="1580">
          <cell r="C1580" t="str">
            <v>100002501</v>
          </cell>
          <cell r="D1580" t="str">
            <v>PUP-52135 WV 52 AH VN-20KP</v>
          </cell>
          <cell r="E1580" t="str">
            <v>ZFGD</v>
          </cell>
          <cell r="F1580" t="str">
            <v>PC</v>
          </cell>
          <cell r="G1580" t="str">
            <v>1</v>
          </cell>
          <cell r="H1580" t="str">
            <v>INDUSTRY</v>
          </cell>
          <cell r="I1580" t="str">
            <v>11</v>
          </cell>
          <cell r="J1580" t="str">
            <v>WOOD COATINGS</v>
          </cell>
          <cell r="K1580" t="str">
            <v>1103</v>
          </cell>
          <cell r="L1580" t="str">
            <v>PU</v>
          </cell>
          <cell r="M1580" t="str">
            <v>110322</v>
          </cell>
          <cell r="N1580" t="str">
            <v>PU PRIMER</v>
          </cell>
        </row>
        <row r="1581">
          <cell r="C1581" t="str">
            <v>100002502</v>
          </cell>
          <cell r="D1581" t="str">
            <v>PUP-52143 CREAM 02 BL VN-20KP</v>
          </cell>
          <cell r="E1581" t="str">
            <v>ZFGD</v>
          </cell>
          <cell r="F1581" t="str">
            <v>PC</v>
          </cell>
          <cell r="G1581" t="str">
            <v>1</v>
          </cell>
          <cell r="H1581" t="str">
            <v>INDUSTRY</v>
          </cell>
          <cell r="I1581" t="str">
            <v>11</v>
          </cell>
          <cell r="J1581" t="str">
            <v>WOOD COATINGS</v>
          </cell>
          <cell r="K1581" t="str">
            <v>1103</v>
          </cell>
          <cell r="L1581" t="str">
            <v>PU</v>
          </cell>
          <cell r="M1581" t="str">
            <v>110322</v>
          </cell>
          <cell r="N1581" t="str">
            <v>PU PRIMER</v>
          </cell>
        </row>
        <row r="1582">
          <cell r="C1582" t="str">
            <v>100002503</v>
          </cell>
          <cell r="D1582" t="str">
            <v>PUP-52143 RED BL VN-20KP</v>
          </cell>
          <cell r="E1582" t="str">
            <v>ZFGD</v>
          </cell>
          <cell r="F1582" t="str">
            <v>PC</v>
          </cell>
          <cell r="G1582" t="str">
            <v>1</v>
          </cell>
          <cell r="H1582" t="str">
            <v>INDUSTRY</v>
          </cell>
          <cell r="I1582" t="str">
            <v>11</v>
          </cell>
          <cell r="J1582" t="str">
            <v>WOOD COATINGS</v>
          </cell>
          <cell r="K1582" t="str">
            <v>1103</v>
          </cell>
          <cell r="L1582" t="str">
            <v>PU</v>
          </cell>
          <cell r="M1582" t="str">
            <v>110322</v>
          </cell>
          <cell r="N1582" t="str">
            <v>PU PRIMER</v>
          </cell>
        </row>
        <row r="1583">
          <cell r="C1583" t="str">
            <v>100002504</v>
          </cell>
          <cell r="D1583" t="str">
            <v>PUP-52143 WHITE VN-20KP</v>
          </cell>
          <cell r="E1583" t="str">
            <v>ZFGD</v>
          </cell>
          <cell r="F1583" t="str">
            <v>PC</v>
          </cell>
          <cell r="G1583" t="str">
            <v>1</v>
          </cell>
          <cell r="H1583" t="str">
            <v>INDUSTRY</v>
          </cell>
          <cell r="I1583" t="str">
            <v>11</v>
          </cell>
          <cell r="J1583" t="str">
            <v>WOOD COATINGS</v>
          </cell>
          <cell r="K1583" t="str">
            <v>1103</v>
          </cell>
          <cell r="L1583" t="str">
            <v>PU</v>
          </cell>
          <cell r="M1583" t="str">
            <v>110322</v>
          </cell>
          <cell r="N1583" t="str">
            <v>PU PRIMER</v>
          </cell>
        </row>
        <row r="1584">
          <cell r="C1584" t="str">
            <v>100002505</v>
          </cell>
          <cell r="D1584" t="str">
            <v>PUP-52145 WHITE VN-200KB</v>
          </cell>
          <cell r="E1584" t="str">
            <v>ZFGD</v>
          </cell>
          <cell r="F1584" t="str">
            <v>PC</v>
          </cell>
          <cell r="G1584" t="str">
            <v>1</v>
          </cell>
          <cell r="H1584" t="str">
            <v>INDUSTRY</v>
          </cell>
          <cell r="I1584" t="str">
            <v>11</v>
          </cell>
          <cell r="J1584" t="str">
            <v>WOOD COATINGS</v>
          </cell>
          <cell r="K1584" t="str">
            <v>1103</v>
          </cell>
          <cell r="L1584" t="str">
            <v>PU</v>
          </cell>
          <cell r="M1584" t="str">
            <v>110322</v>
          </cell>
          <cell r="N1584" t="str">
            <v>PU PRIMER</v>
          </cell>
        </row>
        <row r="1585">
          <cell r="C1585" t="str">
            <v>100002506</v>
          </cell>
          <cell r="D1585" t="str">
            <v>PUP-54111 AC 041 NH VN-20KP</v>
          </cell>
          <cell r="E1585" t="str">
            <v>ZFGD</v>
          </cell>
          <cell r="F1585" t="str">
            <v>PC</v>
          </cell>
          <cell r="G1585" t="str">
            <v>1</v>
          </cell>
          <cell r="H1585" t="str">
            <v>INDUSTRY</v>
          </cell>
          <cell r="I1585" t="str">
            <v>11</v>
          </cell>
          <cell r="J1585" t="str">
            <v>WOOD COATINGS</v>
          </cell>
          <cell r="K1585" t="str">
            <v>1103</v>
          </cell>
          <cell r="L1585" t="str">
            <v>PU</v>
          </cell>
          <cell r="M1585" t="str">
            <v>110322</v>
          </cell>
          <cell r="N1585" t="str">
            <v>PU PRIMER</v>
          </cell>
        </row>
        <row r="1586">
          <cell r="C1586" t="str">
            <v>100002507</v>
          </cell>
          <cell r="D1586" t="str">
            <v>PUP-54111 AC BLACK 103 LM VN-200KB</v>
          </cell>
          <cell r="E1586" t="str">
            <v>ZFGD</v>
          </cell>
          <cell r="F1586" t="str">
            <v>PC</v>
          </cell>
          <cell r="G1586" t="str">
            <v>1</v>
          </cell>
          <cell r="H1586" t="str">
            <v>INDUSTRY</v>
          </cell>
          <cell r="I1586" t="str">
            <v>11</v>
          </cell>
          <cell r="J1586" t="str">
            <v>WOOD COATINGS</v>
          </cell>
          <cell r="K1586" t="str">
            <v>1103</v>
          </cell>
          <cell r="L1586" t="str">
            <v>PU</v>
          </cell>
          <cell r="M1586" t="str">
            <v>110322</v>
          </cell>
          <cell r="N1586" t="str">
            <v>PU PRIMER</v>
          </cell>
        </row>
        <row r="1587">
          <cell r="C1587" t="str">
            <v>100002508</v>
          </cell>
          <cell r="D1587" t="str">
            <v>PUP-54111 AC BLACK 103 LM VN-20KP</v>
          </cell>
          <cell r="E1587" t="str">
            <v>ZFGD</v>
          </cell>
          <cell r="F1587" t="str">
            <v>PC</v>
          </cell>
          <cell r="G1587" t="str">
            <v>1</v>
          </cell>
          <cell r="H1587" t="str">
            <v>INDUSTRY</v>
          </cell>
          <cell r="I1587" t="str">
            <v>11</v>
          </cell>
          <cell r="J1587" t="str">
            <v>WOOD COATINGS</v>
          </cell>
          <cell r="K1587" t="str">
            <v>1103</v>
          </cell>
          <cell r="L1587" t="str">
            <v>PU</v>
          </cell>
          <cell r="M1587" t="str">
            <v>110322</v>
          </cell>
          <cell r="N1587" t="str">
            <v>PU PRIMER</v>
          </cell>
        </row>
        <row r="1588">
          <cell r="C1588" t="str">
            <v>100002509</v>
          </cell>
          <cell r="D1588" t="str">
            <v>PUP-54111 AC BMC WHITE TT VN-20KP</v>
          </cell>
          <cell r="E1588" t="str">
            <v>ZFGD</v>
          </cell>
          <cell r="F1588" t="str">
            <v>PC</v>
          </cell>
          <cell r="G1588" t="str">
            <v>1</v>
          </cell>
          <cell r="H1588" t="str">
            <v>INDUSTRY</v>
          </cell>
          <cell r="I1588" t="str">
            <v>11</v>
          </cell>
          <cell r="J1588" t="str">
            <v>WOOD COATINGS</v>
          </cell>
          <cell r="K1588" t="str">
            <v>1103</v>
          </cell>
          <cell r="L1588" t="str">
            <v>PU</v>
          </cell>
          <cell r="M1588" t="str">
            <v>110322</v>
          </cell>
          <cell r="N1588" t="str">
            <v>PU PRIMER</v>
          </cell>
        </row>
        <row r="1589">
          <cell r="C1589" t="str">
            <v>100002510</v>
          </cell>
          <cell r="D1589" t="str">
            <v>PUP-54111 AC BROWN 16 DB VN-20KP</v>
          </cell>
          <cell r="E1589" t="str">
            <v>ZFGD</v>
          </cell>
          <cell r="F1589" t="str">
            <v>PC</v>
          </cell>
          <cell r="G1589" t="str">
            <v>1</v>
          </cell>
          <cell r="H1589" t="str">
            <v>INDUSTRY</v>
          </cell>
          <cell r="I1589" t="str">
            <v>11</v>
          </cell>
          <cell r="J1589" t="str">
            <v>WOOD COATINGS</v>
          </cell>
          <cell r="K1589" t="str">
            <v>1103</v>
          </cell>
          <cell r="L1589" t="str">
            <v>PU</v>
          </cell>
          <cell r="M1589" t="str">
            <v>110322</v>
          </cell>
          <cell r="N1589" t="str">
            <v>PU PRIMER</v>
          </cell>
        </row>
        <row r="1590">
          <cell r="C1590" t="str">
            <v>100002511</v>
          </cell>
          <cell r="D1590" t="str">
            <v>PUP-54111 AC E 115 LM VN-200KB</v>
          </cell>
          <cell r="E1590" t="str">
            <v>ZFGD</v>
          </cell>
          <cell r="F1590" t="str">
            <v>PC</v>
          </cell>
          <cell r="G1590" t="str">
            <v>1</v>
          </cell>
          <cell r="H1590" t="str">
            <v>INDUSTRY</v>
          </cell>
          <cell r="I1590" t="str">
            <v>11</v>
          </cell>
          <cell r="J1590" t="str">
            <v>WOOD COATINGS</v>
          </cell>
          <cell r="K1590" t="str">
            <v>1103</v>
          </cell>
          <cell r="L1590" t="str">
            <v>PU</v>
          </cell>
          <cell r="M1590" t="str">
            <v>110322</v>
          </cell>
          <cell r="N1590" t="str">
            <v>PU PRIMER</v>
          </cell>
        </row>
        <row r="1591">
          <cell r="C1591" t="str">
            <v>100002512</v>
          </cell>
          <cell r="D1591" t="str">
            <v>PUP-54111 AC E 115 LM VN-20KP</v>
          </cell>
          <cell r="E1591" t="str">
            <v>ZFGD</v>
          </cell>
          <cell r="F1591" t="str">
            <v>PC</v>
          </cell>
          <cell r="G1591" t="str">
            <v>1</v>
          </cell>
          <cell r="H1591" t="str">
            <v>INDUSTRY</v>
          </cell>
          <cell r="I1591" t="str">
            <v>11</v>
          </cell>
          <cell r="J1591" t="str">
            <v>WOOD COATINGS</v>
          </cell>
          <cell r="K1591" t="str">
            <v>1103</v>
          </cell>
          <cell r="L1591" t="str">
            <v>PU</v>
          </cell>
          <cell r="M1591" t="str">
            <v>110322</v>
          </cell>
          <cell r="N1591" t="str">
            <v>PU PRIMER</v>
          </cell>
        </row>
        <row r="1592">
          <cell r="C1592" t="str">
            <v>100002513</v>
          </cell>
          <cell r="D1592" t="str">
            <v>PUP-54111 AC GIA DA LM VN-200KB</v>
          </cell>
          <cell r="E1592" t="str">
            <v>ZFGD</v>
          </cell>
          <cell r="F1592" t="str">
            <v>PC</v>
          </cell>
          <cell r="G1592" t="str">
            <v>1</v>
          </cell>
          <cell r="H1592" t="str">
            <v>INDUSTRY</v>
          </cell>
          <cell r="I1592" t="str">
            <v>11</v>
          </cell>
          <cell r="J1592" t="str">
            <v>WOOD COATINGS</v>
          </cell>
          <cell r="K1592" t="str">
            <v>1103</v>
          </cell>
          <cell r="L1592" t="str">
            <v>PU</v>
          </cell>
          <cell r="M1592" t="str">
            <v>110322</v>
          </cell>
          <cell r="N1592" t="str">
            <v>PU PRIMER</v>
          </cell>
        </row>
        <row r="1593">
          <cell r="C1593" t="str">
            <v>100002514</v>
          </cell>
          <cell r="D1593" t="str">
            <v>PUP-54111 AC GIA DA LM VN-20KP</v>
          </cell>
          <cell r="E1593" t="str">
            <v>ZFGD</v>
          </cell>
          <cell r="F1593" t="str">
            <v>PC</v>
          </cell>
          <cell r="G1593" t="str">
            <v>1</v>
          </cell>
          <cell r="H1593" t="str">
            <v>INDUSTRY</v>
          </cell>
          <cell r="I1593" t="str">
            <v>11</v>
          </cell>
          <cell r="J1593" t="str">
            <v>WOOD COATINGS</v>
          </cell>
          <cell r="K1593" t="str">
            <v>1103</v>
          </cell>
          <cell r="L1593" t="str">
            <v>PU</v>
          </cell>
          <cell r="M1593" t="str">
            <v>110322</v>
          </cell>
          <cell r="N1593" t="str">
            <v>PU PRIMER</v>
          </cell>
        </row>
        <row r="1594">
          <cell r="C1594" t="str">
            <v>100002515</v>
          </cell>
          <cell r="D1594" t="str">
            <v>PUP-54111 AC GREY 105 LM VN-200KB</v>
          </cell>
          <cell r="E1594" t="str">
            <v>ZFGD</v>
          </cell>
          <cell r="F1594" t="str">
            <v>PC</v>
          </cell>
          <cell r="G1594" t="str">
            <v>1</v>
          </cell>
          <cell r="H1594" t="str">
            <v>INDUSTRY</v>
          </cell>
          <cell r="I1594" t="str">
            <v>11</v>
          </cell>
          <cell r="J1594" t="str">
            <v>WOOD COATINGS</v>
          </cell>
          <cell r="K1594" t="str">
            <v>1103</v>
          </cell>
          <cell r="L1594" t="str">
            <v>PU</v>
          </cell>
          <cell r="M1594" t="str">
            <v>110322</v>
          </cell>
          <cell r="N1594" t="str">
            <v>PU PRIMER</v>
          </cell>
        </row>
        <row r="1595">
          <cell r="C1595" t="str">
            <v>100002516</v>
          </cell>
          <cell r="D1595" t="str">
            <v>PUP-54111 AC GREY 105 LM VN-20KP</v>
          </cell>
          <cell r="E1595" t="str">
            <v>ZFGD</v>
          </cell>
          <cell r="F1595" t="str">
            <v>PC</v>
          </cell>
          <cell r="G1595" t="str">
            <v>1</v>
          </cell>
          <cell r="H1595" t="str">
            <v>INDUSTRY</v>
          </cell>
          <cell r="I1595" t="str">
            <v>11</v>
          </cell>
          <cell r="J1595" t="str">
            <v>WOOD COATINGS</v>
          </cell>
          <cell r="K1595" t="str">
            <v>1103</v>
          </cell>
          <cell r="L1595" t="str">
            <v>PU</v>
          </cell>
          <cell r="M1595" t="str">
            <v>110322</v>
          </cell>
          <cell r="N1595" t="str">
            <v>PU PRIMER</v>
          </cell>
        </row>
        <row r="1596">
          <cell r="C1596" t="str">
            <v>100002517</v>
          </cell>
          <cell r="D1596" t="str">
            <v>PUP-54111 AC GREY KD VN-20KP</v>
          </cell>
          <cell r="E1596" t="str">
            <v>ZFGD</v>
          </cell>
          <cell r="F1596" t="str">
            <v>PC</v>
          </cell>
          <cell r="G1596" t="str">
            <v>1</v>
          </cell>
          <cell r="H1596" t="str">
            <v>INDUSTRY</v>
          </cell>
          <cell r="I1596" t="str">
            <v>11</v>
          </cell>
          <cell r="J1596" t="str">
            <v>WOOD COATINGS</v>
          </cell>
          <cell r="K1596" t="str">
            <v>1103</v>
          </cell>
          <cell r="L1596" t="str">
            <v>PU</v>
          </cell>
          <cell r="M1596" t="str">
            <v>110322</v>
          </cell>
          <cell r="N1596" t="str">
            <v>PU PRIMER</v>
          </cell>
        </row>
        <row r="1597">
          <cell r="C1597" t="str">
            <v>100002518</v>
          </cell>
          <cell r="D1597" t="str">
            <v>PUP-54111 AC L14 DB VN-20KP</v>
          </cell>
          <cell r="E1597" t="str">
            <v>ZFGD</v>
          </cell>
          <cell r="F1597" t="str">
            <v>PC</v>
          </cell>
          <cell r="G1597" t="str">
            <v>1</v>
          </cell>
          <cell r="H1597" t="str">
            <v>INDUSTRY</v>
          </cell>
          <cell r="I1597" t="str">
            <v>11</v>
          </cell>
          <cell r="J1597" t="str">
            <v>WOOD COATINGS</v>
          </cell>
          <cell r="K1597" t="str">
            <v>1103</v>
          </cell>
          <cell r="L1597" t="str">
            <v>PU</v>
          </cell>
          <cell r="M1597" t="str">
            <v>110322</v>
          </cell>
          <cell r="N1597" t="str">
            <v>PU PRIMER</v>
          </cell>
        </row>
        <row r="1598">
          <cell r="C1598" t="str">
            <v>100002519</v>
          </cell>
          <cell r="D1598" t="str">
            <v>PUP-54111 AC L18 DB VN-20KP</v>
          </cell>
          <cell r="E1598" t="str">
            <v>ZFGD</v>
          </cell>
          <cell r="F1598" t="str">
            <v>PC</v>
          </cell>
          <cell r="G1598" t="str">
            <v>1</v>
          </cell>
          <cell r="H1598" t="str">
            <v>INDUSTRY</v>
          </cell>
          <cell r="I1598" t="str">
            <v>11</v>
          </cell>
          <cell r="J1598" t="str">
            <v>WOOD COATINGS</v>
          </cell>
          <cell r="K1598" t="str">
            <v>1103</v>
          </cell>
          <cell r="L1598" t="str">
            <v>PU</v>
          </cell>
          <cell r="M1598" t="str">
            <v>110322</v>
          </cell>
          <cell r="N1598" t="str">
            <v>PU PRIMER</v>
          </cell>
        </row>
        <row r="1599">
          <cell r="C1599" t="str">
            <v>100002520</v>
          </cell>
          <cell r="D1599" t="str">
            <v>PUP-54111 AC L20 DB VN-20KP</v>
          </cell>
          <cell r="E1599" t="str">
            <v>ZFGD</v>
          </cell>
          <cell r="F1599" t="str">
            <v>PC</v>
          </cell>
          <cell r="G1599" t="str">
            <v>1</v>
          </cell>
          <cell r="H1599" t="str">
            <v>INDUSTRY</v>
          </cell>
          <cell r="I1599" t="str">
            <v>11</v>
          </cell>
          <cell r="J1599" t="str">
            <v>WOOD COATINGS</v>
          </cell>
          <cell r="K1599" t="str">
            <v>1103</v>
          </cell>
          <cell r="L1599" t="str">
            <v>PU</v>
          </cell>
          <cell r="M1599" t="str">
            <v>110322</v>
          </cell>
          <cell r="N1599" t="str">
            <v>PU PRIMER</v>
          </cell>
        </row>
        <row r="1600">
          <cell r="C1600" t="str">
            <v>100002521</v>
          </cell>
          <cell r="D1600" t="str">
            <v>PUP-54111 AC RED KD VN-20KP</v>
          </cell>
          <cell r="E1600" t="str">
            <v>ZFGD</v>
          </cell>
          <cell r="F1600" t="str">
            <v>PC</v>
          </cell>
          <cell r="G1600" t="str">
            <v>1</v>
          </cell>
          <cell r="H1600" t="str">
            <v>INDUSTRY</v>
          </cell>
          <cell r="I1600" t="str">
            <v>11</v>
          </cell>
          <cell r="J1600" t="str">
            <v>WOOD COATINGS</v>
          </cell>
          <cell r="K1600" t="str">
            <v>1103</v>
          </cell>
          <cell r="L1600" t="str">
            <v>PU</v>
          </cell>
          <cell r="M1600" t="str">
            <v>110322</v>
          </cell>
          <cell r="N1600" t="str">
            <v>PU PRIMER</v>
          </cell>
        </row>
        <row r="1601">
          <cell r="C1601" t="str">
            <v>100002522</v>
          </cell>
          <cell r="D1601" t="str">
            <v>PUP-54111 AC WHITE VN-20KP</v>
          </cell>
          <cell r="E1601" t="str">
            <v>ZFGD</v>
          </cell>
          <cell r="F1601" t="str">
            <v>PC</v>
          </cell>
          <cell r="G1601" t="str">
            <v>1</v>
          </cell>
          <cell r="H1601" t="str">
            <v>INDUSTRY</v>
          </cell>
          <cell r="I1601" t="str">
            <v>11</v>
          </cell>
          <cell r="J1601" t="str">
            <v>WOOD COATINGS</v>
          </cell>
          <cell r="K1601" t="str">
            <v>1103</v>
          </cell>
          <cell r="L1601" t="str">
            <v>PU</v>
          </cell>
          <cell r="M1601" t="str">
            <v>110322</v>
          </cell>
          <cell r="N1601" t="str">
            <v>PU PRIMER</v>
          </cell>
        </row>
        <row r="1602">
          <cell r="C1602" t="str">
            <v>100002523</v>
          </cell>
          <cell r="D1602" t="str">
            <v>PUSS-51233 VN-200KB</v>
          </cell>
          <cell r="E1602" t="str">
            <v>ZFGD</v>
          </cell>
          <cell r="F1602" t="str">
            <v>PC</v>
          </cell>
          <cell r="G1602" t="str">
            <v>1</v>
          </cell>
          <cell r="H1602" t="str">
            <v>INDUSTRY</v>
          </cell>
          <cell r="I1602" t="str">
            <v>11</v>
          </cell>
          <cell r="J1602" t="str">
            <v>WOOD COATINGS</v>
          </cell>
          <cell r="K1602" t="str">
            <v>1103</v>
          </cell>
          <cell r="L1602" t="str">
            <v>PU</v>
          </cell>
          <cell r="M1602" t="str">
            <v>110323</v>
          </cell>
          <cell r="N1602" t="str">
            <v>PU SANDING SEALER</v>
          </cell>
        </row>
        <row r="1603">
          <cell r="C1603" t="str">
            <v>100002524</v>
          </cell>
          <cell r="D1603" t="str">
            <v>PUSS-51233 VN-20KP</v>
          </cell>
          <cell r="E1603" t="str">
            <v>ZFGD</v>
          </cell>
          <cell r="F1603" t="str">
            <v>PC</v>
          </cell>
          <cell r="G1603" t="str">
            <v>1</v>
          </cell>
          <cell r="H1603" t="str">
            <v>INDUSTRY</v>
          </cell>
          <cell r="I1603" t="str">
            <v>11</v>
          </cell>
          <cell r="J1603" t="str">
            <v>WOOD COATINGS</v>
          </cell>
          <cell r="K1603" t="str">
            <v>1103</v>
          </cell>
          <cell r="L1603" t="str">
            <v>PU</v>
          </cell>
          <cell r="M1603" t="str">
            <v>110323</v>
          </cell>
          <cell r="N1603" t="str">
            <v>PU SANDING SEALER</v>
          </cell>
        </row>
        <row r="1604">
          <cell r="C1604" t="str">
            <v>100002525</v>
          </cell>
          <cell r="D1604" t="str">
            <v>PUSS-51235 LH VN-20KP</v>
          </cell>
          <cell r="E1604" t="str">
            <v>ZFGD</v>
          </cell>
          <cell r="F1604" t="str">
            <v>PC</v>
          </cell>
          <cell r="G1604" t="str">
            <v>1</v>
          </cell>
          <cell r="H1604" t="str">
            <v>INDUSTRY</v>
          </cell>
          <cell r="I1604" t="str">
            <v>11</v>
          </cell>
          <cell r="J1604" t="str">
            <v>WOOD COATINGS</v>
          </cell>
          <cell r="K1604" t="str">
            <v>1103</v>
          </cell>
          <cell r="L1604" t="str">
            <v>PU</v>
          </cell>
          <cell r="M1604" t="str">
            <v>110323</v>
          </cell>
          <cell r="N1604" t="str">
            <v>PU SANDING SEALER</v>
          </cell>
        </row>
        <row r="1605">
          <cell r="C1605" t="str">
            <v>100002526</v>
          </cell>
          <cell r="D1605" t="str">
            <v>PUSS-51235 VN-200KB</v>
          </cell>
          <cell r="E1605" t="str">
            <v>ZFGD</v>
          </cell>
          <cell r="F1605" t="str">
            <v>PC</v>
          </cell>
          <cell r="G1605" t="str">
            <v>1</v>
          </cell>
          <cell r="H1605" t="str">
            <v>INDUSTRY</v>
          </cell>
          <cell r="I1605" t="str">
            <v>11</v>
          </cell>
          <cell r="J1605" t="str">
            <v>WOOD COATINGS</v>
          </cell>
          <cell r="K1605" t="str">
            <v>1103</v>
          </cell>
          <cell r="L1605" t="str">
            <v>PU</v>
          </cell>
          <cell r="M1605" t="str">
            <v>110323</v>
          </cell>
          <cell r="N1605" t="str">
            <v>PU SANDING SEALER</v>
          </cell>
        </row>
        <row r="1606">
          <cell r="C1606" t="str">
            <v>100002527</v>
          </cell>
          <cell r="D1606" t="str">
            <v>PUSS-51235 VN-20KP</v>
          </cell>
          <cell r="E1606" t="str">
            <v>ZFGD</v>
          </cell>
          <cell r="F1606" t="str">
            <v>PC</v>
          </cell>
          <cell r="G1606" t="str">
            <v>1</v>
          </cell>
          <cell r="H1606" t="str">
            <v>INDUSTRY</v>
          </cell>
          <cell r="I1606" t="str">
            <v>11</v>
          </cell>
          <cell r="J1606" t="str">
            <v>WOOD COATINGS</v>
          </cell>
          <cell r="K1606" t="str">
            <v>1103</v>
          </cell>
          <cell r="L1606" t="str">
            <v>PU</v>
          </cell>
          <cell r="M1606" t="str">
            <v>110323</v>
          </cell>
          <cell r="N1606" t="str">
            <v>PU SANDING SEALER</v>
          </cell>
        </row>
        <row r="1607">
          <cell r="C1607" t="str">
            <v>100002528</v>
          </cell>
          <cell r="D1607" t="str">
            <v>PUSS-51237 VN-18KP</v>
          </cell>
          <cell r="E1607" t="str">
            <v>ZFGD</v>
          </cell>
          <cell r="F1607" t="str">
            <v>PC</v>
          </cell>
          <cell r="G1607" t="str">
            <v>1</v>
          </cell>
          <cell r="H1607" t="str">
            <v>INDUSTRY</v>
          </cell>
          <cell r="I1607" t="str">
            <v>11</v>
          </cell>
          <cell r="J1607" t="str">
            <v>WOOD COATINGS</v>
          </cell>
          <cell r="K1607" t="str">
            <v>1103</v>
          </cell>
          <cell r="L1607" t="str">
            <v>PU</v>
          </cell>
          <cell r="M1607" t="str">
            <v>110323</v>
          </cell>
          <cell r="N1607" t="str">
            <v>PU SANDING SEALER</v>
          </cell>
        </row>
        <row r="1608">
          <cell r="C1608" t="str">
            <v>100002529</v>
          </cell>
          <cell r="D1608" t="str">
            <v>PUSS-51237 VN-4K</v>
          </cell>
          <cell r="E1608" t="str">
            <v>ZFGD</v>
          </cell>
          <cell r="F1608" t="str">
            <v>PC</v>
          </cell>
          <cell r="G1608" t="str">
            <v>1</v>
          </cell>
          <cell r="H1608" t="str">
            <v>INDUSTRY</v>
          </cell>
          <cell r="I1608" t="str">
            <v>11</v>
          </cell>
          <cell r="J1608" t="str">
            <v>WOOD COATINGS</v>
          </cell>
          <cell r="K1608" t="str">
            <v>1103</v>
          </cell>
          <cell r="L1608" t="str">
            <v>PU</v>
          </cell>
          <cell r="M1608" t="str">
            <v>110323</v>
          </cell>
          <cell r="N1608" t="str">
            <v>PU SANDING SEALER</v>
          </cell>
        </row>
        <row r="1609">
          <cell r="C1609" t="str">
            <v>100002530</v>
          </cell>
          <cell r="D1609" t="str">
            <v>PUSS-51243 VN-20KP</v>
          </cell>
          <cell r="E1609" t="str">
            <v>ZFGD</v>
          </cell>
          <cell r="F1609" t="str">
            <v>PC</v>
          </cell>
          <cell r="G1609" t="str">
            <v>1</v>
          </cell>
          <cell r="H1609" t="str">
            <v>INDUSTRY</v>
          </cell>
          <cell r="I1609" t="str">
            <v>11</v>
          </cell>
          <cell r="J1609" t="str">
            <v>WOOD COATINGS</v>
          </cell>
          <cell r="K1609" t="str">
            <v>1103</v>
          </cell>
          <cell r="L1609" t="str">
            <v>PU</v>
          </cell>
          <cell r="M1609" t="str">
            <v>110323</v>
          </cell>
          <cell r="N1609" t="str">
            <v>PU SANDING SEALER</v>
          </cell>
        </row>
        <row r="1610">
          <cell r="C1610" t="str">
            <v>100002531</v>
          </cell>
          <cell r="D1610" t="str">
            <v>PUSS-53208 AC VN-20KP</v>
          </cell>
          <cell r="E1610" t="str">
            <v>ZFGD</v>
          </cell>
          <cell r="F1610" t="str">
            <v>PC</v>
          </cell>
          <cell r="G1610" t="str">
            <v>1</v>
          </cell>
          <cell r="H1610" t="str">
            <v>INDUSTRY</v>
          </cell>
          <cell r="I1610" t="str">
            <v>11</v>
          </cell>
          <cell r="J1610" t="str">
            <v>WOOD COATINGS</v>
          </cell>
          <cell r="K1610" t="str">
            <v>1103</v>
          </cell>
          <cell r="L1610" t="str">
            <v>PU</v>
          </cell>
          <cell r="M1610" t="str">
            <v>110323</v>
          </cell>
          <cell r="N1610" t="str">
            <v>PU SANDING SEALER</v>
          </cell>
        </row>
        <row r="1611">
          <cell r="C1611" t="str">
            <v>100002532</v>
          </cell>
          <cell r="D1611" t="str">
            <v>RD-74106 VN-200LK</v>
          </cell>
          <cell r="E1611" t="str">
            <v>ZFGD</v>
          </cell>
          <cell r="F1611" t="str">
            <v>PC</v>
          </cell>
          <cell r="G1611" t="str">
            <v>1</v>
          </cell>
          <cell r="H1611" t="str">
            <v>INDUSTRY</v>
          </cell>
          <cell r="I1611" t="str">
            <v>11</v>
          </cell>
          <cell r="J1611" t="str">
            <v>WOOD COATINGS</v>
          </cell>
          <cell r="K1611" t="str">
            <v>1118</v>
          </cell>
          <cell r="L1611" t="str">
            <v>COMPLEMENTARY</v>
          </cell>
          <cell r="M1611" t="str">
            <v>111809</v>
          </cell>
          <cell r="N1611" t="str">
            <v>RETARDER</v>
          </cell>
        </row>
        <row r="1612">
          <cell r="C1612" t="str">
            <v>100002533</v>
          </cell>
          <cell r="D1612" t="str">
            <v>RD-74106 VN-20LJ</v>
          </cell>
          <cell r="E1612" t="str">
            <v>ZFGD</v>
          </cell>
          <cell r="F1612" t="str">
            <v>PC</v>
          </cell>
          <cell r="G1612" t="str">
            <v>1</v>
          </cell>
          <cell r="H1612" t="str">
            <v>INDUSTRY</v>
          </cell>
          <cell r="I1612" t="str">
            <v>11</v>
          </cell>
          <cell r="J1612" t="str">
            <v>WOOD COATINGS</v>
          </cell>
          <cell r="K1612" t="str">
            <v>1118</v>
          </cell>
          <cell r="L1612" t="str">
            <v>COMPLEMENTARY</v>
          </cell>
          <cell r="M1612" t="str">
            <v>111809</v>
          </cell>
          <cell r="N1612" t="str">
            <v>RETARDER</v>
          </cell>
        </row>
        <row r="1613">
          <cell r="C1613" t="str">
            <v>100002534</v>
          </cell>
          <cell r="D1613" t="str">
            <v>THCC-70100 CANPAC VN-200LK</v>
          </cell>
          <cell r="E1613" t="str">
            <v>ZFGD</v>
          </cell>
          <cell r="F1613" t="str">
            <v>PC</v>
          </cell>
          <cell r="G1613" t="str">
            <v>1</v>
          </cell>
          <cell r="H1613" t="str">
            <v>INDUSTRY</v>
          </cell>
          <cell r="I1613" t="str">
            <v>14</v>
          </cell>
          <cell r="J1613" t="str">
            <v>THINNER</v>
          </cell>
          <cell r="K1613" t="str">
            <v>1401</v>
          </cell>
          <cell r="L1613" t="str">
            <v>THINNER CAN COATINGS</v>
          </cell>
          <cell r="M1613" t="str">
            <v>140101</v>
          </cell>
          <cell r="N1613" t="str">
            <v>THINNER CAN COATINGS</v>
          </cell>
        </row>
        <row r="1614">
          <cell r="C1614" t="str">
            <v>100002535</v>
          </cell>
          <cell r="D1614" t="str">
            <v>THNC-71150 VN-200LK</v>
          </cell>
          <cell r="E1614" t="str">
            <v>ZFGD</v>
          </cell>
          <cell r="F1614" t="str">
            <v>PC</v>
          </cell>
          <cell r="G1614" t="str">
            <v>1</v>
          </cell>
          <cell r="H1614" t="str">
            <v>INDUSTRY</v>
          </cell>
          <cell r="I1614" t="str">
            <v>14</v>
          </cell>
          <cell r="J1614" t="str">
            <v>THINNER</v>
          </cell>
          <cell r="K1614" t="str">
            <v>1412</v>
          </cell>
          <cell r="L1614" t="str">
            <v>THINNER NC</v>
          </cell>
          <cell r="M1614" t="str">
            <v>141205</v>
          </cell>
          <cell r="N1614" t="str">
            <v>THINNER NC</v>
          </cell>
        </row>
        <row r="1615">
          <cell r="C1615" t="str">
            <v>100002536</v>
          </cell>
          <cell r="D1615" t="str">
            <v>THNC-71150 VN-20LJ</v>
          </cell>
          <cell r="E1615" t="str">
            <v>ZFGD</v>
          </cell>
          <cell r="F1615" t="str">
            <v>PC</v>
          </cell>
          <cell r="G1615" t="str">
            <v>1</v>
          </cell>
          <cell r="H1615" t="str">
            <v>INDUSTRY</v>
          </cell>
          <cell r="I1615" t="str">
            <v>14</v>
          </cell>
          <cell r="J1615" t="str">
            <v>THINNER</v>
          </cell>
          <cell r="K1615" t="str">
            <v>1412</v>
          </cell>
          <cell r="L1615" t="str">
            <v>THINNER NC</v>
          </cell>
          <cell r="M1615" t="str">
            <v>141205</v>
          </cell>
          <cell r="N1615" t="str">
            <v>THINNER NC</v>
          </cell>
        </row>
        <row r="1616">
          <cell r="C1616" t="str">
            <v>100002537</v>
          </cell>
          <cell r="D1616" t="str">
            <v>UVS-20600 CLT SC VN-20KP</v>
          </cell>
          <cell r="E1616" t="str">
            <v>ZFGD</v>
          </cell>
          <cell r="F1616" t="str">
            <v>PC</v>
          </cell>
          <cell r="G1616" t="str">
            <v>1</v>
          </cell>
          <cell r="H1616" t="str">
            <v>INDUSTRY</v>
          </cell>
          <cell r="I1616" t="str">
            <v>11</v>
          </cell>
          <cell r="J1616" t="str">
            <v>WOOD COATINGS</v>
          </cell>
          <cell r="K1616" t="str">
            <v>1106</v>
          </cell>
          <cell r="L1616" t="str">
            <v>UV</v>
          </cell>
          <cell r="M1616" t="str">
            <v>110606</v>
          </cell>
          <cell r="N1616" t="str">
            <v>UV STAIN</v>
          </cell>
        </row>
        <row r="1617">
          <cell r="C1617" t="str">
            <v>100002538</v>
          </cell>
          <cell r="D1617" t="str">
            <v>UVSS-40107 VN-20KP</v>
          </cell>
          <cell r="E1617" t="str">
            <v>ZFGD</v>
          </cell>
          <cell r="F1617" t="str">
            <v>PC</v>
          </cell>
          <cell r="G1617" t="str">
            <v>1</v>
          </cell>
          <cell r="H1617" t="str">
            <v>INDUSTRY</v>
          </cell>
          <cell r="I1617" t="str">
            <v>11</v>
          </cell>
          <cell r="J1617" t="str">
            <v>WOOD COATINGS</v>
          </cell>
          <cell r="K1617" t="str">
            <v>1106</v>
          </cell>
          <cell r="L1617" t="str">
            <v>UV</v>
          </cell>
          <cell r="M1617" t="str">
            <v>110605</v>
          </cell>
          <cell r="N1617" t="str">
            <v>UV SANDING SEALER</v>
          </cell>
        </row>
        <row r="1618">
          <cell r="C1618" t="str">
            <v>100002539</v>
          </cell>
          <cell r="D1618" t="str">
            <v>WBG-66900 IBW-200KB</v>
          </cell>
          <cell r="E1618" t="str">
            <v>ZFGD</v>
          </cell>
          <cell r="F1618" t="str">
            <v>PC</v>
          </cell>
          <cell r="G1618" t="str">
            <v>1</v>
          </cell>
          <cell r="H1618" t="str">
            <v>INDUSTRY</v>
          </cell>
          <cell r="I1618" t="str">
            <v>11</v>
          </cell>
          <cell r="J1618" t="str">
            <v>WOOD COATINGS</v>
          </cell>
          <cell r="K1618" t="str">
            <v>1111</v>
          </cell>
          <cell r="L1618" t="str">
            <v>WATERBASED SYSTEM INTERIOR</v>
          </cell>
          <cell r="M1618" t="str">
            <v>111104</v>
          </cell>
          <cell r="N1618" t="str">
            <v>WATERBASED SYSTEM INTERIOR</v>
          </cell>
        </row>
        <row r="1619">
          <cell r="C1619" t="str">
            <v>100002540</v>
          </cell>
          <cell r="D1619" t="str">
            <v>WBG-67102 LS VN-200KB</v>
          </cell>
          <cell r="E1619" t="str">
            <v>ZFGD</v>
          </cell>
          <cell r="F1619" t="str">
            <v>PC</v>
          </cell>
          <cell r="G1619" t="str">
            <v>1</v>
          </cell>
          <cell r="H1619" t="str">
            <v>INDUSTRY</v>
          </cell>
          <cell r="I1619" t="str">
            <v>11</v>
          </cell>
          <cell r="J1619" t="str">
            <v>WOOD COATINGS</v>
          </cell>
          <cell r="K1619" t="str">
            <v>1111</v>
          </cell>
          <cell r="L1619" t="str">
            <v>WATERBASED SYSTEM INTERIOR</v>
          </cell>
          <cell r="M1619" t="str">
            <v>111104</v>
          </cell>
          <cell r="N1619" t="str">
            <v>WATERBASED SYSTEM INTERIOR</v>
          </cell>
        </row>
        <row r="1620">
          <cell r="C1620" t="str">
            <v>100002541</v>
          </cell>
          <cell r="D1620" t="str">
            <v>WBG-67102 LS VN-20KP</v>
          </cell>
          <cell r="E1620" t="str">
            <v>ZFGD</v>
          </cell>
          <cell r="F1620" t="str">
            <v>PC</v>
          </cell>
          <cell r="G1620" t="str">
            <v>1</v>
          </cell>
          <cell r="H1620" t="str">
            <v>INDUSTRY</v>
          </cell>
          <cell r="I1620" t="str">
            <v>11</v>
          </cell>
          <cell r="J1620" t="str">
            <v>WOOD COATINGS</v>
          </cell>
          <cell r="K1620" t="str">
            <v>1111</v>
          </cell>
          <cell r="L1620" t="str">
            <v>WATERBASED SYSTEM INTERIOR</v>
          </cell>
          <cell r="M1620" t="str">
            <v>111104</v>
          </cell>
          <cell r="N1620" t="str">
            <v>WATERBASED SYSTEM INTERIOR</v>
          </cell>
        </row>
        <row r="1621">
          <cell r="C1621" t="str">
            <v>100002542</v>
          </cell>
          <cell r="D1621" t="str">
            <v>GZWB-21409 EX WHITE VN-20KP</v>
          </cell>
          <cell r="E1621" t="str">
            <v>ZFGD</v>
          </cell>
          <cell r="F1621" t="str">
            <v>PC</v>
          </cell>
          <cell r="G1621" t="str">
            <v>1</v>
          </cell>
          <cell r="H1621" t="str">
            <v>INDUSTRY</v>
          </cell>
          <cell r="I1621" t="str">
            <v>11</v>
          </cell>
          <cell r="J1621" t="str">
            <v>WOOD COATINGS</v>
          </cell>
          <cell r="K1621" t="str">
            <v>1119</v>
          </cell>
          <cell r="L1621" t="str">
            <v>WATERBASED</v>
          </cell>
          <cell r="M1621" t="str">
            <v>111901</v>
          </cell>
          <cell r="N1621" t="str">
            <v>WATERBASED SYSTEM EXTERIOR</v>
          </cell>
        </row>
        <row r="1622">
          <cell r="C1622" t="str">
            <v>100002543</v>
          </cell>
          <cell r="D1622" t="str">
            <v>PUH-56303 NY VN-1K</v>
          </cell>
          <cell r="E1622" t="str">
            <v>ZFGD</v>
          </cell>
          <cell r="F1622" t="str">
            <v>PC</v>
          </cell>
          <cell r="G1622" t="str">
            <v>1</v>
          </cell>
          <cell r="H1622" t="str">
            <v>INDUSTRY</v>
          </cell>
          <cell r="I1622" t="str">
            <v>11</v>
          </cell>
          <cell r="J1622" t="str">
            <v>WOOD COATINGS</v>
          </cell>
          <cell r="K1622" t="str">
            <v>1103</v>
          </cell>
          <cell r="L1622" t="str">
            <v>PU</v>
          </cell>
          <cell r="M1622" t="str">
            <v>110320</v>
          </cell>
          <cell r="N1622" t="str">
            <v>PU HARDENER</v>
          </cell>
        </row>
        <row r="1623">
          <cell r="C1623" t="str">
            <v>100002544</v>
          </cell>
          <cell r="D1623" t="str">
            <v>WBL-63211 EX CLEAR 08 VN-20KP</v>
          </cell>
          <cell r="E1623" t="str">
            <v>ZFGD</v>
          </cell>
          <cell r="F1623" t="str">
            <v>PC</v>
          </cell>
          <cell r="G1623" t="str">
            <v>1</v>
          </cell>
          <cell r="H1623" t="str">
            <v>INDUSTRY</v>
          </cell>
          <cell r="I1623" t="str">
            <v>11</v>
          </cell>
          <cell r="J1623" t="str">
            <v>WOOD COATINGS</v>
          </cell>
          <cell r="K1623" t="str">
            <v>1119</v>
          </cell>
          <cell r="L1623" t="str">
            <v>WATERBASED</v>
          </cell>
          <cell r="M1623" t="str">
            <v>111901</v>
          </cell>
          <cell r="N1623" t="str">
            <v>WATERBASED SYSTEM EXTERIOR</v>
          </cell>
        </row>
        <row r="1624">
          <cell r="C1624" t="str">
            <v>100002546</v>
          </cell>
          <cell r="D1624" t="str">
            <v>UVB-30400 VN-20KP</v>
          </cell>
          <cell r="E1624" t="str">
            <v>ZFGD</v>
          </cell>
          <cell r="F1624" t="str">
            <v>PC</v>
          </cell>
          <cell r="G1624" t="str">
            <v>1</v>
          </cell>
          <cell r="H1624" t="str">
            <v>INDUSTRY</v>
          </cell>
          <cell r="I1624" t="str">
            <v>11</v>
          </cell>
          <cell r="J1624" t="str">
            <v>WOOD COATINGS</v>
          </cell>
          <cell r="K1624" t="str">
            <v>1106</v>
          </cell>
          <cell r="L1624" t="str">
            <v>UV</v>
          </cell>
          <cell r="M1624" t="str">
            <v>110601</v>
          </cell>
          <cell r="N1624" t="str">
            <v>UV BARRIER</v>
          </cell>
        </row>
        <row r="1625">
          <cell r="C1625" t="str">
            <v>100002547</v>
          </cell>
          <cell r="D1625" t="str">
            <v>UVF-10517 LY VN-20KP</v>
          </cell>
          <cell r="E1625" t="str">
            <v>ZFGD</v>
          </cell>
          <cell r="F1625" t="str">
            <v>PC</v>
          </cell>
          <cell r="G1625" t="str">
            <v>1</v>
          </cell>
          <cell r="H1625" t="str">
            <v>INDUSTRY</v>
          </cell>
          <cell r="I1625" t="str">
            <v>11</v>
          </cell>
          <cell r="J1625" t="str">
            <v>WOOD COATINGS</v>
          </cell>
          <cell r="K1625" t="str">
            <v>1106</v>
          </cell>
          <cell r="L1625" t="str">
            <v>UV</v>
          </cell>
          <cell r="M1625" t="str">
            <v>110603</v>
          </cell>
          <cell r="N1625" t="str">
            <v>UV FILLER</v>
          </cell>
        </row>
        <row r="1626">
          <cell r="C1626" t="str">
            <v>100002555</v>
          </cell>
          <cell r="D1626" t="str">
            <v>SYNTHETIC 2000 MAGIC WAND-3105 VN-4K</v>
          </cell>
          <cell r="E1626" t="str">
            <v>ZFGD</v>
          </cell>
          <cell r="F1626" t="str">
            <v>PC</v>
          </cell>
          <cell r="G1626" t="str">
            <v>5</v>
          </cell>
          <cell r="H1626" t="str">
            <v>PROJECT</v>
          </cell>
          <cell r="I1626" t="str">
            <v>59</v>
          </cell>
          <cell r="J1626" t="str">
            <v>MPC</v>
          </cell>
          <cell r="K1626" t="str">
            <v>5902</v>
          </cell>
          <cell r="L1626" t="str">
            <v>SYNTHETIC ENAMEL SB</v>
          </cell>
          <cell r="M1626" t="str">
            <v>590202</v>
          </cell>
          <cell r="N1626" t="str">
            <v>SYNTHETIC 2000</v>
          </cell>
        </row>
        <row r="1627">
          <cell r="C1627" t="str">
            <v>100002619</v>
          </cell>
          <cell r="D1627" t="str">
            <v>PUP-52122 PUTTY VN-4K</v>
          </cell>
          <cell r="E1627" t="str">
            <v>ZFGD</v>
          </cell>
          <cell r="F1627" t="str">
            <v>PC</v>
          </cell>
          <cell r="G1627" t="str">
            <v>1</v>
          </cell>
          <cell r="H1627" t="str">
            <v>INDUSTRY</v>
          </cell>
          <cell r="I1627" t="str">
            <v>11</v>
          </cell>
          <cell r="J1627" t="str">
            <v>WOOD COATINGS</v>
          </cell>
          <cell r="K1627" t="str">
            <v>1103</v>
          </cell>
          <cell r="L1627" t="str">
            <v>PU</v>
          </cell>
          <cell r="M1627" t="str">
            <v>110322</v>
          </cell>
          <cell r="N1627" t="str">
            <v>PU PRIMER</v>
          </cell>
        </row>
        <row r="1628">
          <cell r="C1628" t="str">
            <v>100002620</v>
          </cell>
          <cell r="D1628" t="str">
            <v>GZPU-21500 BLACK VN-4K</v>
          </cell>
          <cell r="E1628" t="str">
            <v>ZFGD</v>
          </cell>
          <cell r="F1628" t="str">
            <v>PC</v>
          </cell>
          <cell r="G1628" t="str">
            <v>1</v>
          </cell>
          <cell r="H1628" t="str">
            <v>INDUSTRY</v>
          </cell>
          <cell r="I1628" t="str">
            <v>11</v>
          </cell>
          <cell r="J1628" t="str">
            <v>WOOD COATINGS</v>
          </cell>
          <cell r="K1628" t="str">
            <v>1103</v>
          </cell>
          <cell r="L1628" t="str">
            <v>PU</v>
          </cell>
          <cell r="M1628" t="str">
            <v>110302</v>
          </cell>
          <cell r="N1628" t="str">
            <v>GLAZE PU</v>
          </cell>
        </row>
        <row r="1629">
          <cell r="C1629" t="str">
            <v>100002621</v>
          </cell>
          <cell r="D1629" t="str">
            <v>GZPU-21500 BROWN VN-4K</v>
          </cell>
          <cell r="E1629" t="str">
            <v>ZFGD</v>
          </cell>
          <cell r="F1629" t="str">
            <v>PC</v>
          </cell>
          <cell r="G1629" t="str">
            <v>1</v>
          </cell>
          <cell r="H1629" t="str">
            <v>INDUSTRY</v>
          </cell>
          <cell r="I1629" t="str">
            <v>11</v>
          </cell>
          <cell r="J1629" t="str">
            <v>WOOD COATINGS</v>
          </cell>
          <cell r="K1629" t="str">
            <v>1103</v>
          </cell>
          <cell r="L1629" t="str">
            <v>PU</v>
          </cell>
          <cell r="M1629" t="str">
            <v>110302</v>
          </cell>
          <cell r="N1629" t="str">
            <v>GLAZE PU</v>
          </cell>
        </row>
        <row r="1630">
          <cell r="C1630" t="str">
            <v>100002622</v>
          </cell>
          <cell r="D1630" t="str">
            <v>GZ-12700 N BLACK VN-4K</v>
          </cell>
          <cell r="E1630" t="str">
            <v>ZFGD</v>
          </cell>
          <cell r="F1630" t="str">
            <v>PC</v>
          </cell>
          <cell r="G1630" t="str">
            <v>1</v>
          </cell>
          <cell r="H1630" t="str">
            <v>INDUSTRY</v>
          </cell>
          <cell r="I1630" t="str">
            <v>11</v>
          </cell>
          <cell r="J1630" t="str">
            <v>WOOD COATINGS</v>
          </cell>
          <cell r="K1630" t="str">
            <v>1109</v>
          </cell>
          <cell r="L1630" t="str">
            <v>STAIN &amp; GLAZE INTERIOR</v>
          </cell>
          <cell r="M1630" t="str">
            <v>110901</v>
          </cell>
          <cell r="N1630" t="str">
            <v>ASOF : STAIN &amp; GLAZE</v>
          </cell>
        </row>
        <row r="1631">
          <cell r="C1631" t="str">
            <v>100002623</v>
          </cell>
          <cell r="D1631" t="str">
            <v>GZ-12700 N RED VN-4K</v>
          </cell>
          <cell r="E1631" t="str">
            <v>ZFGD</v>
          </cell>
          <cell r="F1631" t="str">
            <v>PC</v>
          </cell>
          <cell r="G1631" t="str">
            <v>1</v>
          </cell>
          <cell r="H1631" t="str">
            <v>INDUSTRY</v>
          </cell>
          <cell r="I1631" t="str">
            <v>11</v>
          </cell>
          <cell r="J1631" t="str">
            <v>WOOD COATINGS</v>
          </cell>
          <cell r="K1631" t="str">
            <v>1109</v>
          </cell>
          <cell r="L1631" t="str">
            <v>STAIN &amp; GLAZE INTERIOR</v>
          </cell>
          <cell r="M1631" t="str">
            <v>110901</v>
          </cell>
          <cell r="N1631" t="str">
            <v>ASOF : STAIN &amp; GLAZE</v>
          </cell>
        </row>
        <row r="1632">
          <cell r="C1632" t="str">
            <v>100002624</v>
          </cell>
          <cell r="D1632" t="str">
            <v>GZ-12700 N YELLOW-4K</v>
          </cell>
          <cell r="E1632" t="str">
            <v>ZFGD</v>
          </cell>
          <cell r="F1632" t="str">
            <v>PC</v>
          </cell>
          <cell r="G1632" t="str">
            <v>1</v>
          </cell>
          <cell r="H1632" t="str">
            <v>INDUSTRY</v>
          </cell>
          <cell r="I1632" t="str">
            <v>11</v>
          </cell>
          <cell r="J1632" t="str">
            <v>WOOD COATINGS</v>
          </cell>
          <cell r="K1632" t="str">
            <v>1109</v>
          </cell>
          <cell r="L1632" t="str">
            <v>STAIN &amp; GLAZE INTERIOR</v>
          </cell>
          <cell r="M1632" t="str">
            <v>110901</v>
          </cell>
          <cell r="N1632" t="str">
            <v>ASOF : STAIN &amp; GLAZE</v>
          </cell>
        </row>
        <row r="1633">
          <cell r="C1633" t="str">
            <v>100002625</v>
          </cell>
          <cell r="D1633" t="str">
            <v>GZ-9127-WS-AK-4K</v>
          </cell>
          <cell r="E1633" t="str">
            <v>ZFGD</v>
          </cell>
          <cell r="F1633" t="str">
            <v>PC</v>
          </cell>
          <cell r="G1633" t="str">
            <v>1</v>
          </cell>
          <cell r="H1633" t="str">
            <v>INDUSTRY</v>
          </cell>
          <cell r="I1633" t="str">
            <v>11</v>
          </cell>
          <cell r="J1633" t="str">
            <v>WOOD COATINGS</v>
          </cell>
          <cell r="K1633" t="str">
            <v>1109</v>
          </cell>
          <cell r="L1633" t="str">
            <v>STAIN &amp; GLAZE INTERIOR</v>
          </cell>
          <cell r="M1633" t="str">
            <v>110901</v>
          </cell>
          <cell r="N1633" t="str">
            <v>ASOF : STAIN &amp; GLAZE</v>
          </cell>
        </row>
        <row r="1634">
          <cell r="C1634" t="str">
            <v>100002626</v>
          </cell>
          <cell r="D1634" t="str">
            <v>GZPU-21500 RED VN-4K</v>
          </cell>
          <cell r="E1634" t="str">
            <v>ZFGD</v>
          </cell>
          <cell r="F1634" t="str">
            <v>PC</v>
          </cell>
          <cell r="G1634" t="str">
            <v>1</v>
          </cell>
          <cell r="H1634" t="str">
            <v>INDUSTRY</v>
          </cell>
          <cell r="I1634" t="str">
            <v>11</v>
          </cell>
          <cell r="J1634" t="str">
            <v>WOOD COATINGS</v>
          </cell>
          <cell r="K1634" t="str">
            <v>1103</v>
          </cell>
          <cell r="L1634" t="str">
            <v>PU</v>
          </cell>
          <cell r="M1634" t="str">
            <v>110302</v>
          </cell>
          <cell r="N1634" t="str">
            <v>GLAZE PU</v>
          </cell>
        </row>
        <row r="1635">
          <cell r="C1635" t="str">
            <v>100002627</v>
          </cell>
          <cell r="D1635" t="str">
            <v>GZPU-21500 YELLOW VN-4K</v>
          </cell>
          <cell r="E1635" t="str">
            <v>ZFGD</v>
          </cell>
          <cell r="F1635" t="str">
            <v>PC</v>
          </cell>
          <cell r="G1635" t="str">
            <v>1</v>
          </cell>
          <cell r="H1635" t="str">
            <v>INDUSTRY</v>
          </cell>
          <cell r="I1635" t="str">
            <v>11</v>
          </cell>
          <cell r="J1635" t="str">
            <v>WOOD COATINGS</v>
          </cell>
          <cell r="K1635" t="str">
            <v>1103</v>
          </cell>
          <cell r="L1635" t="str">
            <v>PU</v>
          </cell>
          <cell r="M1635" t="str">
            <v>110302</v>
          </cell>
          <cell r="N1635" t="str">
            <v>GLAZE PU</v>
          </cell>
        </row>
        <row r="1636">
          <cell r="C1636" t="str">
            <v>100002628</v>
          </cell>
          <cell r="D1636" t="str">
            <v>SST-11100 C10 YELLOW-16KJ</v>
          </cell>
          <cell r="E1636" t="str">
            <v>ZFGD</v>
          </cell>
          <cell r="F1636" t="str">
            <v>PC</v>
          </cell>
          <cell r="G1636" t="str">
            <v>1</v>
          </cell>
          <cell r="H1636" t="str">
            <v>INDUSTRY</v>
          </cell>
          <cell r="I1636" t="str">
            <v>11</v>
          </cell>
          <cell r="J1636" t="str">
            <v>WOOD COATINGS</v>
          </cell>
          <cell r="K1636" t="str">
            <v>1109</v>
          </cell>
          <cell r="L1636" t="str">
            <v>STAIN &amp; GLAZE INTERIOR</v>
          </cell>
          <cell r="M1636" t="str">
            <v>110903</v>
          </cell>
          <cell r="N1636" t="str">
            <v>STAIN INTERIOR</v>
          </cell>
        </row>
        <row r="1637">
          <cell r="C1637" t="str">
            <v>100002629</v>
          </cell>
          <cell r="D1637" t="str">
            <v>SST-11100 C10 RED-16KJ</v>
          </cell>
          <cell r="E1637" t="str">
            <v>ZFGD</v>
          </cell>
          <cell r="F1637" t="str">
            <v>PC</v>
          </cell>
          <cell r="G1637" t="str">
            <v>1</v>
          </cell>
          <cell r="H1637" t="str">
            <v>INDUSTRY</v>
          </cell>
          <cell r="I1637" t="str">
            <v>11</v>
          </cell>
          <cell r="J1637" t="str">
            <v>WOOD COATINGS</v>
          </cell>
          <cell r="K1637" t="str">
            <v>1109</v>
          </cell>
          <cell r="L1637" t="str">
            <v>STAIN &amp; GLAZE INTERIOR</v>
          </cell>
          <cell r="M1637" t="str">
            <v>110903</v>
          </cell>
          <cell r="N1637" t="str">
            <v>STAIN INTERIOR</v>
          </cell>
        </row>
        <row r="1638">
          <cell r="C1638" t="str">
            <v>100002630</v>
          </cell>
          <cell r="D1638" t="str">
            <v>SST-11100 C10 BLACK-16KJ</v>
          </cell>
          <cell r="E1638" t="str">
            <v>ZFGD</v>
          </cell>
          <cell r="F1638" t="str">
            <v>PC</v>
          </cell>
          <cell r="G1638" t="str">
            <v>1</v>
          </cell>
          <cell r="H1638" t="str">
            <v>INDUSTRY</v>
          </cell>
          <cell r="I1638" t="str">
            <v>11</v>
          </cell>
          <cell r="J1638" t="str">
            <v>WOOD COATINGS</v>
          </cell>
          <cell r="K1638" t="str">
            <v>1109</v>
          </cell>
          <cell r="L1638" t="str">
            <v>STAIN &amp; GLAZE INTERIOR</v>
          </cell>
          <cell r="M1638" t="str">
            <v>110903</v>
          </cell>
          <cell r="N1638" t="str">
            <v>STAIN INTERIOR</v>
          </cell>
        </row>
        <row r="1639">
          <cell r="C1639" t="str">
            <v>100002631</v>
          </cell>
          <cell r="D1639" t="str">
            <v>SST-11100 C10 BLUE-16KJ</v>
          </cell>
          <cell r="E1639" t="str">
            <v>ZFGD</v>
          </cell>
          <cell r="F1639" t="str">
            <v>PC</v>
          </cell>
          <cell r="G1639" t="str">
            <v>1</v>
          </cell>
          <cell r="H1639" t="str">
            <v>INDUSTRY</v>
          </cell>
          <cell r="I1639" t="str">
            <v>11</v>
          </cell>
          <cell r="J1639" t="str">
            <v>WOOD COATINGS</v>
          </cell>
          <cell r="K1639" t="str">
            <v>1109</v>
          </cell>
          <cell r="L1639" t="str">
            <v>STAIN &amp; GLAZE INTERIOR</v>
          </cell>
          <cell r="M1639" t="str">
            <v>110903</v>
          </cell>
          <cell r="N1639" t="str">
            <v>STAIN INTERIOR</v>
          </cell>
        </row>
        <row r="1640">
          <cell r="C1640" t="str">
            <v>100002632</v>
          </cell>
          <cell r="D1640" t="str">
            <v>PUP-52122 PUTTY-20KP</v>
          </cell>
          <cell r="E1640" t="str">
            <v>ZFGD</v>
          </cell>
          <cell r="F1640" t="str">
            <v>PC</v>
          </cell>
          <cell r="G1640" t="str">
            <v>1</v>
          </cell>
          <cell r="H1640" t="str">
            <v>INDUSTRY</v>
          </cell>
          <cell r="I1640" t="str">
            <v>11</v>
          </cell>
          <cell r="J1640" t="str">
            <v>WOOD COATINGS</v>
          </cell>
          <cell r="K1640" t="str">
            <v>1103</v>
          </cell>
          <cell r="L1640" t="str">
            <v>PU</v>
          </cell>
          <cell r="M1640" t="str">
            <v>110322</v>
          </cell>
          <cell r="N1640" t="str">
            <v>PU PRIMER</v>
          </cell>
        </row>
        <row r="1641">
          <cell r="C1641" t="str">
            <v>100002633</v>
          </cell>
          <cell r="D1641" t="str">
            <v>PUP-52122 PUTTY-4K</v>
          </cell>
          <cell r="E1641" t="str">
            <v>ZFGD</v>
          </cell>
          <cell r="F1641" t="str">
            <v>PC</v>
          </cell>
          <cell r="G1641" t="str">
            <v>1</v>
          </cell>
          <cell r="H1641" t="str">
            <v>INDUSTRY</v>
          </cell>
          <cell r="I1641" t="str">
            <v>11</v>
          </cell>
          <cell r="J1641" t="str">
            <v>WOOD COATINGS</v>
          </cell>
          <cell r="K1641" t="str">
            <v>1103</v>
          </cell>
          <cell r="L1641" t="str">
            <v>PU</v>
          </cell>
          <cell r="M1641" t="str">
            <v>110322</v>
          </cell>
          <cell r="N1641" t="str">
            <v>PU PRIMER</v>
          </cell>
        </row>
        <row r="1642">
          <cell r="C1642" t="str">
            <v>100002634</v>
          </cell>
          <cell r="D1642" t="str">
            <v>GZ-12700 N VAN DYKE BROWN VN-4K</v>
          </cell>
          <cell r="E1642" t="str">
            <v>ZFGD</v>
          </cell>
          <cell r="F1642" t="str">
            <v>PC</v>
          </cell>
          <cell r="G1642" t="str">
            <v>1</v>
          </cell>
          <cell r="H1642" t="str">
            <v>INDUSTRY</v>
          </cell>
          <cell r="I1642" t="str">
            <v>11</v>
          </cell>
          <cell r="J1642" t="str">
            <v>WOOD COATINGS</v>
          </cell>
          <cell r="K1642" t="str">
            <v>1109</v>
          </cell>
          <cell r="L1642" t="str">
            <v>STAIN &amp; GLAZE INTERIOR</v>
          </cell>
          <cell r="M1642" t="str">
            <v>110901</v>
          </cell>
          <cell r="N1642" t="str">
            <v>ASOF : STAIN &amp; GLAZE</v>
          </cell>
        </row>
        <row r="1643">
          <cell r="C1643" t="str">
            <v>100002635</v>
          </cell>
          <cell r="D1643" t="str">
            <v>PCA-31100 RX C50 BLACK VN-4L</v>
          </cell>
          <cell r="E1643" t="str">
            <v>ZFGD</v>
          </cell>
          <cell r="F1643" t="str">
            <v>PC</v>
          </cell>
          <cell r="G1643" t="str">
            <v>1</v>
          </cell>
          <cell r="H1643" t="str">
            <v>INDUSTRY</v>
          </cell>
          <cell r="I1643" t="str">
            <v>11</v>
          </cell>
          <cell r="J1643" t="str">
            <v>WOOD COATINGS</v>
          </cell>
          <cell r="K1643" t="str">
            <v>1118</v>
          </cell>
          <cell r="L1643" t="str">
            <v>COMPLEMENTARY</v>
          </cell>
          <cell r="M1643" t="str">
            <v>111807</v>
          </cell>
          <cell r="N1643" t="str">
            <v>PASTA</v>
          </cell>
        </row>
        <row r="1644">
          <cell r="C1644" t="str">
            <v>100002636</v>
          </cell>
          <cell r="D1644" t="str">
            <v>DC-12225 LC WHITE 90 VN-18KP</v>
          </cell>
          <cell r="E1644" t="str">
            <v>ZFGD</v>
          </cell>
          <cell r="F1644" t="str">
            <v>PC</v>
          </cell>
          <cell r="G1644" t="str">
            <v>1</v>
          </cell>
          <cell r="H1644" t="str">
            <v>INDUSTRY</v>
          </cell>
          <cell r="I1644" t="str">
            <v>11</v>
          </cell>
          <cell r="J1644" t="str">
            <v>WOOD COATINGS</v>
          </cell>
          <cell r="K1644" t="str">
            <v>1104</v>
          </cell>
          <cell r="L1644" t="str">
            <v>NC</v>
          </cell>
          <cell r="M1644" t="str">
            <v>110405</v>
          </cell>
          <cell r="N1644" t="str">
            <v>NC SYSTEM</v>
          </cell>
        </row>
        <row r="1645">
          <cell r="C1645" t="str">
            <v>100002637</v>
          </cell>
          <cell r="D1645" t="str">
            <v>GZ-12700 N BURNT UMBER VN-4K</v>
          </cell>
          <cell r="E1645" t="str">
            <v>ZFGD</v>
          </cell>
          <cell r="F1645" t="str">
            <v>PC</v>
          </cell>
          <cell r="G1645" t="str">
            <v>1</v>
          </cell>
          <cell r="H1645" t="str">
            <v>INDUSTRY</v>
          </cell>
          <cell r="I1645" t="str">
            <v>11</v>
          </cell>
          <cell r="J1645" t="str">
            <v>WOOD COATINGS</v>
          </cell>
          <cell r="K1645" t="str">
            <v>1109</v>
          </cell>
          <cell r="L1645" t="str">
            <v>STAIN &amp; GLAZE INTERIOR</v>
          </cell>
          <cell r="M1645" t="str">
            <v>110901</v>
          </cell>
          <cell r="N1645" t="str">
            <v>ASOF : STAIN &amp; GLAZE</v>
          </cell>
        </row>
        <row r="1646">
          <cell r="C1646" t="str">
            <v>100002638</v>
          </cell>
          <cell r="D1646" t="str">
            <v>PUC-54205 AC WHITE 90 VN-4K</v>
          </cell>
          <cell r="E1646" t="str">
            <v>ZFGD</v>
          </cell>
          <cell r="F1646" t="str">
            <v>PC</v>
          </cell>
          <cell r="G1646" t="str">
            <v>1</v>
          </cell>
          <cell r="H1646" t="str">
            <v>INDUSTRY</v>
          </cell>
          <cell r="I1646" t="str">
            <v>11</v>
          </cell>
          <cell r="J1646" t="str">
            <v>WOOD COATINGS</v>
          </cell>
          <cell r="K1646" t="str">
            <v>1103</v>
          </cell>
          <cell r="L1646" t="str">
            <v>PU</v>
          </cell>
          <cell r="M1646" t="str">
            <v>110319</v>
          </cell>
          <cell r="N1646" t="str">
            <v>PU COLOR</v>
          </cell>
        </row>
        <row r="1647">
          <cell r="C1647" t="str">
            <v>100002639</v>
          </cell>
          <cell r="D1647" t="str">
            <v>#NU205 AC WHITE 50 VN-4K</v>
          </cell>
          <cell r="E1647" t="str">
            <v>ZFGD</v>
          </cell>
          <cell r="F1647" t="str">
            <v>PC</v>
          </cell>
          <cell r="G1647" t="str">
            <v>1</v>
          </cell>
          <cell r="H1647" t="str">
            <v>INDUSTRY</v>
          </cell>
          <cell r="I1647" t="str">
            <v>11</v>
          </cell>
          <cell r="J1647" t="str">
            <v>WOOD COATINGS</v>
          </cell>
          <cell r="K1647" t="str">
            <v>1103</v>
          </cell>
          <cell r="L1647" t="str">
            <v>PU</v>
          </cell>
          <cell r="M1647" t="str">
            <v>110304</v>
          </cell>
          <cell r="N1647" t="str">
            <v>PU SYSTEM</v>
          </cell>
        </row>
        <row r="1648">
          <cell r="C1648" t="str">
            <v>100002640</v>
          </cell>
          <cell r="D1648" t="str">
            <v>PUC-54205 AC WHITE 08 AA VN-4K</v>
          </cell>
          <cell r="E1648" t="str">
            <v>ZFGD</v>
          </cell>
          <cell r="F1648" t="str">
            <v>PC</v>
          </cell>
          <cell r="G1648" t="str">
            <v>1</v>
          </cell>
          <cell r="H1648" t="str">
            <v>INDUSTRY</v>
          </cell>
          <cell r="I1648" t="str">
            <v>11</v>
          </cell>
          <cell r="J1648" t="str">
            <v>WOOD COATINGS</v>
          </cell>
          <cell r="K1648" t="str">
            <v>1103</v>
          </cell>
          <cell r="L1648" t="str">
            <v>PU</v>
          </cell>
          <cell r="M1648" t="str">
            <v>110319</v>
          </cell>
          <cell r="N1648" t="str">
            <v>PU COLOR</v>
          </cell>
        </row>
        <row r="1649">
          <cell r="C1649" t="str">
            <v>100002641</v>
          </cell>
          <cell r="D1649" t="str">
            <v>PUC-54205 AC WHITE 30 VN-4K</v>
          </cell>
          <cell r="E1649" t="str">
            <v>ZFGD</v>
          </cell>
          <cell r="F1649" t="str">
            <v>PC</v>
          </cell>
          <cell r="G1649" t="str">
            <v>1</v>
          </cell>
          <cell r="H1649" t="str">
            <v>INDUSTRY</v>
          </cell>
          <cell r="I1649" t="str">
            <v>11</v>
          </cell>
          <cell r="J1649" t="str">
            <v>WOOD COATINGS</v>
          </cell>
          <cell r="K1649" t="str">
            <v>1103</v>
          </cell>
          <cell r="L1649" t="str">
            <v>PU</v>
          </cell>
          <cell r="M1649" t="str">
            <v>110319</v>
          </cell>
          <cell r="N1649" t="str">
            <v>PU COLOR</v>
          </cell>
        </row>
        <row r="1650">
          <cell r="C1650" t="str">
            <v>100002642</v>
          </cell>
          <cell r="D1650" t="str">
            <v>PUL-53306 AC EX CLEAR 30 VN-4L</v>
          </cell>
          <cell r="E1650" t="str">
            <v>ZFGD</v>
          </cell>
          <cell r="F1650" t="str">
            <v>PC</v>
          </cell>
          <cell r="G1650" t="str">
            <v>1</v>
          </cell>
          <cell r="H1650" t="str">
            <v>INDUSTRY</v>
          </cell>
          <cell r="I1650" t="str">
            <v>11</v>
          </cell>
          <cell r="J1650" t="str">
            <v>WOOD COATINGS</v>
          </cell>
          <cell r="K1650" t="str">
            <v>1103</v>
          </cell>
          <cell r="L1650" t="str">
            <v>PU</v>
          </cell>
          <cell r="M1650" t="str">
            <v>110321</v>
          </cell>
          <cell r="N1650" t="str">
            <v>PU LACQUER</v>
          </cell>
        </row>
        <row r="1651">
          <cell r="C1651" t="str">
            <v>100002643</v>
          </cell>
          <cell r="D1651" t="str">
            <v>PUL-53306 AC EX CLEAR 50 VN-4L</v>
          </cell>
          <cell r="E1651" t="str">
            <v>ZFGD</v>
          </cell>
          <cell r="F1651" t="str">
            <v>PC</v>
          </cell>
          <cell r="G1651" t="str">
            <v>1</v>
          </cell>
          <cell r="H1651" t="str">
            <v>INDUSTRY</v>
          </cell>
          <cell r="I1651" t="str">
            <v>11</v>
          </cell>
          <cell r="J1651" t="str">
            <v>WOOD COATINGS</v>
          </cell>
          <cell r="K1651" t="str">
            <v>1103</v>
          </cell>
          <cell r="L1651" t="str">
            <v>PU</v>
          </cell>
          <cell r="M1651" t="str">
            <v>110321</v>
          </cell>
          <cell r="N1651" t="str">
            <v>PU LACQUER</v>
          </cell>
        </row>
        <row r="1652">
          <cell r="C1652" t="str">
            <v>100002644</v>
          </cell>
          <cell r="D1652" t="str">
            <v>PUL-53306 AC EX CLEAR 90 VN-4L</v>
          </cell>
          <cell r="E1652" t="str">
            <v>ZFGD</v>
          </cell>
          <cell r="F1652" t="str">
            <v>PC</v>
          </cell>
          <cell r="G1652" t="str">
            <v>1</v>
          </cell>
          <cell r="H1652" t="str">
            <v>INDUSTRY</v>
          </cell>
          <cell r="I1652" t="str">
            <v>11</v>
          </cell>
          <cell r="J1652" t="str">
            <v>WOOD COATINGS</v>
          </cell>
          <cell r="K1652" t="str">
            <v>1103</v>
          </cell>
          <cell r="L1652" t="str">
            <v>PU</v>
          </cell>
          <cell r="M1652" t="str">
            <v>110321</v>
          </cell>
          <cell r="N1652" t="str">
            <v>PU LACQUER</v>
          </cell>
        </row>
        <row r="1653">
          <cell r="C1653" t="str">
            <v>100002645</v>
          </cell>
          <cell r="D1653" t="str">
            <v>PUH-56135 S VN-1K</v>
          </cell>
          <cell r="E1653" t="str">
            <v>ZFGD</v>
          </cell>
          <cell r="F1653" t="str">
            <v>PC</v>
          </cell>
          <cell r="G1653" t="str">
            <v>1</v>
          </cell>
          <cell r="H1653" t="str">
            <v>INDUSTRY</v>
          </cell>
          <cell r="I1653" t="str">
            <v>11</v>
          </cell>
          <cell r="J1653" t="str">
            <v>WOOD COATINGS</v>
          </cell>
          <cell r="K1653" t="str">
            <v>1103</v>
          </cell>
          <cell r="L1653" t="str">
            <v>PU</v>
          </cell>
          <cell r="M1653" t="str">
            <v>110320</v>
          </cell>
          <cell r="N1653" t="str">
            <v>PU HARDENER</v>
          </cell>
        </row>
        <row r="1654">
          <cell r="C1654" t="str">
            <v>100002646</v>
          </cell>
          <cell r="D1654" t="str">
            <v>PUH-56306 LY-1L</v>
          </cell>
          <cell r="E1654" t="str">
            <v>ZFGD</v>
          </cell>
          <cell r="F1654" t="str">
            <v>PC</v>
          </cell>
          <cell r="G1654" t="str">
            <v>1</v>
          </cell>
          <cell r="H1654" t="str">
            <v>INDUSTRY</v>
          </cell>
          <cell r="I1654" t="str">
            <v>11</v>
          </cell>
          <cell r="J1654" t="str">
            <v>WOOD COATINGS</v>
          </cell>
          <cell r="K1654" t="str">
            <v>1103</v>
          </cell>
          <cell r="L1654" t="str">
            <v>PU</v>
          </cell>
          <cell r="M1654" t="str">
            <v>110320</v>
          </cell>
          <cell r="N1654" t="str">
            <v>PU HARDENER</v>
          </cell>
        </row>
        <row r="1655">
          <cell r="C1655" t="str">
            <v>100002647</v>
          </cell>
          <cell r="D1655" t="str">
            <v>PUH-56139 VN-1K</v>
          </cell>
          <cell r="E1655" t="str">
            <v>ZFGD</v>
          </cell>
          <cell r="F1655" t="str">
            <v>PC</v>
          </cell>
          <cell r="G1655" t="str">
            <v>1</v>
          </cell>
          <cell r="H1655" t="str">
            <v>INDUSTRY</v>
          </cell>
          <cell r="I1655" t="str">
            <v>11</v>
          </cell>
          <cell r="J1655" t="str">
            <v>WOOD COATINGS</v>
          </cell>
          <cell r="K1655" t="str">
            <v>1103</v>
          </cell>
          <cell r="L1655" t="str">
            <v>PU</v>
          </cell>
          <cell r="M1655" t="str">
            <v>110320</v>
          </cell>
          <cell r="N1655" t="str">
            <v>PU HARDENER</v>
          </cell>
        </row>
        <row r="1656">
          <cell r="C1656" t="str">
            <v>100002648</v>
          </cell>
          <cell r="D1656" t="str">
            <v>PUH-56303 NY VN-20KP</v>
          </cell>
          <cell r="E1656" t="str">
            <v>ZFGD</v>
          </cell>
          <cell r="F1656" t="str">
            <v>PC</v>
          </cell>
          <cell r="G1656" t="str">
            <v>1</v>
          </cell>
          <cell r="H1656" t="str">
            <v>INDUSTRY</v>
          </cell>
          <cell r="I1656" t="str">
            <v>11</v>
          </cell>
          <cell r="J1656" t="str">
            <v>WOOD COATINGS</v>
          </cell>
          <cell r="K1656" t="str">
            <v>1103</v>
          </cell>
          <cell r="L1656" t="str">
            <v>PU</v>
          </cell>
          <cell r="M1656" t="str">
            <v>110320</v>
          </cell>
          <cell r="N1656" t="str">
            <v>PU HARDENER</v>
          </cell>
        </row>
        <row r="1657">
          <cell r="C1657" t="str">
            <v>100002649</v>
          </cell>
          <cell r="D1657" t="str">
            <v>#NUEL-501 LS WALNUT BROWN VN-8106 VN-5L</v>
          </cell>
          <cell r="E1657" t="str">
            <v>ZFGD</v>
          </cell>
          <cell r="F1657" t="str">
            <v>PC</v>
          </cell>
          <cell r="G1657" t="str">
            <v>1</v>
          </cell>
          <cell r="H1657" t="str">
            <v>INDUSTRY</v>
          </cell>
          <cell r="I1657" t="str">
            <v>11</v>
          </cell>
          <cell r="J1657" t="str">
            <v>WOOD COATINGS</v>
          </cell>
          <cell r="K1657" t="str">
            <v>1103</v>
          </cell>
          <cell r="L1657" t="str">
            <v>PU</v>
          </cell>
          <cell r="M1657" t="str">
            <v>110304</v>
          </cell>
          <cell r="N1657" t="str">
            <v>PU SYSTEM</v>
          </cell>
        </row>
        <row r="1658">
          <cell r="C1658" t="str">
            <v>100002650</v>
          </cell>
          <cell r="D1658" t="str">
            <v>PUC-54205 AC WHITE 90 VN-16KP</v>
          </cell>
          <cell r="E1658" t="str">
            <v>ZFGD</v>
          </cell>
          <cell r="F1658" t="str">
            <v>PC</v>
          </cell>
          <cell r="G1658" t="str">
            <v>1</v>
          </cell>
          <cell r="H1658" t="str">
            <v>INDUSTRY</v>
          </cell>
          <cell r="I1658" t="str">
            <v>11</v>
          </cell>
          <cell r="J1658" t="str">
            <v>WOOD COATINGS</v>
          </cell>
          <cell r="K1658" t="str">
            <v>1103</v>
          </cell>
          <cell r="L1658" t="str">
            <v>PU</v>
          </cell>
          <cell r="M1658" t="str">
            <v>110319</v>
          </cell>
          <cell r="N1658" t="str">
            <v>PU COLOR</v>
          </cell>
        </row>
        <row r="1659">
          <cell r="C1659" t="str">
            <v>100002656</v>
          </cell>
          <cell r="D1659" t="str">
            <v>#NUEDL-601 CARAMEL 8001 VN-5L</v>
          </cell>
          <cell r="E1659" t="str">
            <v>ZFGD</v>
          </cell>
          <cell r="F1659" t="str">
            <v>PC</v>
          </cell>
          <cell r="G1659" t="str">
            <v>2</v>
          </cell>
          <cell r="H1659" t="str">
            <v>RETAIL</v>
          </cell>
          <cell r="I1659" t="str">
            <v>24</v>
          </cell>
          <cell r="J1659" t="str">
            <v>WF3</v>
          </cell>
          <cell r="K1659" t="str">
            <v>2401</v>
          </cell>
          <cell r="L1659" t="str">
            <v>WOOD CARE</v>
          </cell>
          <cell r="M1659" t="str">
            <v>240102</v>
          </cell>
          <cell r="N1659" t="str">
            <v>ULTRAN LASUR</v>
          </cell>
        </row>
        <row r="1660">
          <cell r="C1660" t="str">
            <v>100002657</v>
          </cell>
          <cell r="D1660" t="str">
            <v>#NUEL-501 CARAMEL 8001 VN-5L</v>
          </cell>
          <cell r="E1660" t="str">
            <v>ZFGD</v>
          </cell>
          <cell r="F1660" t="str">
            <v>PC</v>
          </cell>
          <cell r="G1660" t="str">
            <v>2</v>
          </cell>
          <cell r="H1660" t="str">
            <v>RETAIL</v>
          </cell>
          <cell r="I1660" t="str">
            <v>24</v>
          </cell>
          <cell r="J1660" t="str">
            <v>WF3</v>
          </cell>
          <cell r="K1660" t="str">
            <v>2401</v>
          </cell>
          <cell r="L1660" t="str">
            <v>WOOD CARE</v>
          </cell>
          <cell r="M1660" t="str">
            <v>240102</v>
          </cell>
          <cell r="N1660" t="str">
            <v>ULTRAN LASUR</v>
          </cell>
        </row>
        <row r="1661">
          <cell r="C1661" t="str">
            <v>100002658</v>
          </cell>
          <cell r="D1661" t="str">
            <v>#NUUS-970 CARITA 1137 VN-20LJ</v>
          </cell>
          <cell r="E1661" t="str">
            <v>ZFGD</v>
          </cell>
          <cell r="F1661" t="str">
            <v>PC</v>
          </cell>
          <cell r="G1661" t="str">
            <v>2</v>
          </cell>
          <cell r="H1661" t="str">
            <v>RETAIL</v>
          </cell>
          <cell r="I1661" t="str">
            <v>28</v>
          </cell>
          <cell r="J1661" t="str">
            <v>CPC2</v>
          </cell>
          <cell r="K1661" t="str">
            <v>2801</v>
          </cell>
          <cell r="L1661" t="str">
            <v>WATERPROOFING</v>
          </cell>
          <cell r="M1661" t="str">
            <v>280104</v>
          </cell>
          <cell r="N1661" t="str">
            <v>ULTRASEAL</v>
          </cell>
        </row>
        <row r="1662">
          <cell r="C1662" t="str">
            <v>100002660</v>
          </cell>
          <cell r="D1662" t="str">
            <v>PUC-54205 AC WHITE 50 VN-4K</v>
          </cell>
          <cell r="E1662" t="str">
            <v>ZFGD</v>
          </cell>
          <cell r="F1662" t="str">
            <v>PC</v>
          </cell>
          <cell r="G1662" t="str">
            <v>1</v>
          </cell>
          <cell r="H1662" t="str">
            <v>INDUSTRY</v>
          </cell>
          <cell r="I1662" t="str">
            <v>11</v>
          </cell>
          <cell r="J1662" t="str">
            <v>WOOD COATINGS</v>
          </cell>
          <cell r="K1662" t="str">
            <v>1103</v>
          </cell>
          <cell r="L1662" t="str">
            <v>PU</v>
          </cell>
          <cell r="M1662" t="str">
            <v>110319</v>
          </cell>
          <cell r="N1662" t="str">
            <v>PU COLOR</v>
          </cell>
        </row>
        <row r="1663">
          <cell r="C1663" t="str">
            <v>100002661</v>
          </cell>
          <cell r="D1663" t="str">
            <v>#NUTHINNER PU-047 VT-20LJ</v>
          </cell>
          <cell r="E1663" t="str">
            <v>ZFGD</v>
          </cell>
          <cell r="F1663" t="str">
            <v>PC</v>
          </cell>
          <cell r="G1663" t="str">
            <v>2</v>
          </cell>
          <cell r="H1663" t="str">
            <v>RETAIL</v>
          </cell>
          <cell r="I1663" t="str">
            <v>22</v>
          </cell>
          <cell r="J1663" t="str">
            <v>WF2</v>
          </cell>
          <cell r="K1663" t="str">
            <v>2203</v>
          </cell>
          <cell r="L1663" t="str">
            <v>THINNER PU</v>
          </cell>
          <cell r="M1663" t="str">
            <v>220303</v>
          </cell>
          <cell r="N1663" t="str">
            <v>THINNER PU R</v>
          </cell>
        </row>
        <row r="1664">
          <cell r="C1664" t="str">
            <v>100002663</v>
          </cell>
          <cell r="D1664" t="str">
            <v>#NUMEPH-12003 PS-2L</v>
          </cell>
          <cell r="E1664" t="str">
            <v>ZFGD</v>
          </cell>
          <cell r="F1664" t="str">
            <v>PC</v>
          </cell>
          <cell r="G1664" t="str">
            <v>1</v>
          </cell>
          <cell r="H1664" t="str">
            <v>INDUSTRY</v>
          </cell>
          <cell r="I1664" t="str">
            <v>11</v>
          </cell>
          <cell r="J1664" t="str">
            <v>WOOD COATINGS</v>
          </cell>
          <cell r="K1664" t="str">
            <v>1107</v>
          </cell>
          <cell r="L1664" t="str">
            <v>METAL COATING</v>
          </cell>
          <cell r="M1664" t="str">
            <v>110702</v>
          </cell>
          <cell r="N1664" t="str">
            <v>METAL COATING</v>
          </cell>
        </row>
        <row r="1665">
          <cell r="C1665" t="str">
            <v>100002664</v>
          </cell>
          <cell r="D1665" t="str">
            <v>#NUMEPH 12003 PS-0.5L</v>
          </cell>
          <cell r="E1665" t="str">
            <v>ZFGD</v>
          </cell>
          <cell r="F1665" t="str">
            <v>PC</v>
          </cell>
          <cell r="G1665" t="str">
            <v>1</v>
          </cell>
          <cell r="H1665" t="str">
            <v>INDUSTRY</v>
          </cell>
          <cell r="I1665" t="str">
            <v>11</v>
          </cell>
          <cell r="J1665" t="str">
            <v>WOOD COATINGS</v>
          </cell>
          <cell r="K1665" t="str">
            <v>1107</v>
          </cell>
          <cell r="L1665" t="str">
            <v>METAL COATING</v>
          </cell>
          <cell r="M1665" t="str">
            <v>110702</v>
          </cell>
          <cell r="N1665" t="str">
            <v>METAL COATING</v>
          </cell>
        </row>
        <row r="1666">
          <cell r="C1666" t="str">
            <v>100002666</v>
          </cell>
          <cell r="D1666" t="str">
            <v>#NUEDL-601 TWILIGHT TEAK 8303-5L</v>
          </cell>
          <cell r="E1666" t="str">
            <v>ZFGD</v>
          </cell>
          <cell r="F1666" t="str">
            <v>PC</v>
          </cell>
          <cell r="G1666" t="str">
            <v>1</v>
          </cell>
          <cell r="H1666" t="str">
            <v>INDUSTRY</v>
          </cell>
          <cell r="I1666" t="str">
            <v>11</v>
          </cell>
          <cell r="J1666" t="str">
            <v>WOOD COATINGS</v>
          </cell>
          <cell r="K1666" t="str">
            <v>1103</v>
          </cell>
          <cell r="L1666" t="str">
            <v>PU</v>
          </cell>
          <cell r="M1666" t="str">
            <v>110304</v>
          </cell>
          <cell r="N1666" t="str">
            <v>PU SYSTEM</v>
          </cell>
        </row>
        <row r="1667">
          <cell r="C1667" t="str">
            <v>100002668</v>
          </cell>
          <cell r="D1667" t="str">
            <v>#NUPUL-53306 AC EX CLEAR 10 VN-20LP</v>
          </cell>
          <cell r="E1667" t="str">
            <v>ZFGD</v>
          </cell>
          <cell r="F1667" t="str">
            <v>PC</v>
          </cell>
          <cell r="G1667" t="str">
            <v>1</v>
          </cell>
          <cell r="H1667" t="str">
            <v>INDUSTRY</v>
          </cell>
          <cell r="I1667" t="str">
            <v>11</v>
          </cell>
          <cell r="J1667" t="str">
            <v>WOOD COATINGS</v>
          </cell>
          <cell r="K1667" t="str">
            <v>1103</v>
          </cell>
          <cell r="L1667" t="str">
            <v>PU</v>
          </cell>
          <cell r="M1667" t="str">
            <v>110321</v>
          </cell>
          <cell r="N1667" t="str">
            <v>PU LACQUER</v>
          </cell>
        </row>
        <row r="1668">
          <cell r="C1668" t="str">
            <v>100002669</v>
          </cell>
          <cell r="D1668" t="str">
            <v>THINNER EPOXY VN-3.8L</v>
          </cell>
          <cell r="E1668" t="str">
            <v>ZFGD</v>
          </cell>
          <cell r="F1668" t="str">
            <v>PC</v>
          </cell>
          <cell r="G1668" t="str">
            <v>2</v>
          </cell>
          <cell r="H1668" t="str">
            <v>RETAIL</v>
          </cell>
          <cell r="I1668" t="str">
            <v>29</v>
          </cell>
          <cell r="J1668" t="str">
            <v>MPC</v>
          </cell>
          <cell r="K1668" t="str">
            <v>2915</v>
          </cell>
          <cell r="L1668" t="str">
            <v>THINNER</v>
          </cell>
          <cell r="M1668" t="str">
            <v>291502</v>
          </cell>
          <cell r="N1668" t="str">
            <v>THINNER MPC</v>
          </cell>
        </row>
        <row r="1669">
          <cell r="C1669" t="str">
            <v>100002686</v>
          </cell>
          <cell r="D1669" t="str">
            <v>#NUMX-99 CLEAR GLOSS VN-1LS</v>
          </cell>
          <cell r="E1669" t="str">
            <v>ZFGD</v>
          </cell>
          <cell r="F1669" t="str">
            <v>SET</v>
          </cell>
          <cell r="G1669" t="str">
            <v>2</v>
          </cell>
          <cell r="H1669" t="str">
            <v>RETAIL</v>
          </cell>
          <cell r="I1669" t="str">
            <v>27</v>
          </cell>
          <cell r="J1669" t="str">
            <v>CPC1</v>
          </cell>
          <cell r="K1669" t="str">
            <v>2703</v>
          </cell>
          <cell r="L1669" t="str">
            <v>MULTIPOX</v>
          </cell>
          <cell r="M1669" t="str">
            <v>270301</v>
          </cell>
          <cell r="N1669" t="str">
            <v>MULTIPOX</v>
          </cell>
        </row>
        <row r="1670">
          <cell r="C1670" t="str">
            <v>100002693</v>
          </cell>
          <cell r="D1670" t="str">
            <v>#NUHARDENER MX-99 VN-0.25L</v>
          </cell>
          <cell r="E1670" t="str">
            <v>ZFGD</v>
          </cell>
          <cell r="F1670" t="str">
            <v>PC</v>
          </cell>
          <cell r="G1670" t="str">
            <v>2</v>
          </cell>
          <cell r="H1670" t="str">
            <v>RETAIL</v>
          </cell>
          <cell r="I1670" t="str">
            <v>27</v>
          </cell>
          <cell r="J1670" t="str">
            <v>CPC1</v>
          </cell>
          <cell r="K1670" t="str">
            <v>2703</v>
          </cell>
          <cell r="L1670" t="str">
            <v>MULTIPOX</v>
          </cell>
          <cell r="M1670" t="str">
            <v>270301</v>
          </cell>
          <cell r="N1670" t="str">
            <v>MULTIPOX</v>
          </cell>
        </row>
        <row r="1671">
          <cell r="C1671" t="str">
            <v>100002706</v>
          </cell>
          <cell r="D1671" t="str">
            <v>MX-99 CLEAR GLOSS-20LP</v>
          </cell>
          <cell r="E1671" t="str">
            <v>ZFGD</v>
          </cell>
          <cell r="F1671" t="str">
            <v>PC</v>
          </cell>
          <cell r="G1671" t="str">
            <v>2</v>
          </cell>
          <cell r="H1671" t="str">
            <v>RETAIL</v>
          </cell>
          <cell r="I1671" t="str">
            <v>27</v>
          </cell>
          <cell r="J1671" t="str">
            <v>CPC1</v>
          </cell>
          <cell r="K1671" t="str">
            <v>2703</v>
          </cell>
          <cell r="L1671" t="str">
            <v>MULTIPOX</v>
          </cell>
          <cell r="M1671" t="str">
            <v>270302</v>
          </cell>
          <cell r="N1671" t="str">
            <v>MULTIPOX BASE</v>
          </cell>
        </row>
        <row r="1672">
          <cell r="C1672" t="str">
            <v>100002709</v>
          </cell>
          <cell r="D1672" t="str">
            <v>#NUSST-11100 C10 RED-0.8K</v>
          </cell>
          <cell r="E1672" t="str">
            <v>ZFGD</v>
          </cell>
          <cell r="F1672" t="str">
            <v>PC</v>
          </cell>
          <cell r="G1672" t="str">
            <v>1</v>
          </cell>
          <cell r="H1672" t="str">
            <v>INDUSTRY</v>
          </cell>
          <cell r="I1672" t="str">
            <v>11</v>
          </cell>
          <cell r="J1672" t="str">
            <v>WOOD COATINGS</v>
          </cell>
          <cell r="K1672" t="str">
            <v>1109</v>
          </cell>
          <cell r="L1672" t="str">
            <v>STAIN &amp; GLAZE INTERIOR</v>
          </cell>
          <cell r="M1672" t="str">
            <v>110903</v>
          </cell>
          <cell r="N1672" t="str">
            <v>STAIN INTERIOR</v>
          </cell>
        </row>
        <row r="1673">
          <cell r="C1673" t="str">
            <v>100002710</v>
          </cell>
          <cell r="D1673" t="str">
            <v>#NUSST-11100 C10 BLUE-0.8K</v>
          </cell>
          <cell r="E1673" t="str">
            <v>ZFGD</v>
          </cell>
          <cell r="F1673" t="str">
            <v>PC</v>
          </cell>
          <cell r="G1673" t="str">
            <v>1</v>
          </cell>
          <cell r="H1673" t="str">
            <v>INDUSTRY</v>
          </cell>
          <cell r="I1673" t="str">
            <v>11</v>
          </cell>
          <cell r="J1673" t="str">
            <v>WOOD COATINGS</v>
          </cell>
          <cell r="K1673" t="str">
            <v>1109</v>
          </cell>
          <cell r="L1673" t="str">
            <v>STAIN &amp; GLAZE INTERIOR</v>
          </cell>
          <cell r="M1673" t="str">
            <v>110903</v>
          </cell>
          <cell r="N1673" t="str">
            <v>STAIN INTERIOR</v>
          </cell>
        </row>
        <row r="1674">
          <cell r="C1674" t="str">
            <v>100002711</v>
          </cell>
          <cell r="D1674" t="str">
            <v>#NUSST-11100 HAT DE VL VN-0.8K</v>
          </cell>
          <cell r="E1674" t="str">
            <v>ZFGD</v>
          </cell>
          <cell r="F1674" t="str">
            <v>PC</v>
          </cell>
          <cell r="G1674" t="str">
            <v>1</v>
          </cell>
          <cell r="H1674" t="str">
            <v>INDUSTRY</v>
          </cell>
          <cell r="I1674" t="str">
            <v>11</v>
          </cell>
          <cell r="J1674" t="str">
            <v>WOOD COATINGS</v>
          </cell>
          <cell r="K1674" t="str">
            <v>1109</v>
          </cell>
          <cell r="L1674" t="str">
            <v>STAIN &amp; GLAZE INTERIOR</v>
          </cell>
          <cell r="M1674" t="str">
            <v>110903</v>
          </cell>
          <cell r="N1674" t="str">
            <v>STAIN INTERIOR</v>
          </cell>
        </row>
        <row r="1675">
          <cell r="C1675" t="str">
            <v>100002712</v>
          </cell>
          <cell r="D1675" t="str">
            <v>#NUSST-11100 CANH DAN VL VN-0.8K</v>
          </cell>
          <cell r="E1675" t="str">
            <v>ZFGD</v>
          </cell>
          <cell r="F1675" t="str">
            <v>PC</v>
          </cell>
          <cell r="G1675" t="str">
            <v>1</v>
          </cell>
          <cell r="H1675" t="str">
            <v>INDUSTRY</v>
          </cell>
          <cell r="I1675" t="str">
            <v>11</v>
          </cell>
          <cell r="J1675" t="str">
            <v>WOOD COATINGS</v>
          </cell>
          <cell r="K1675" t="str">
            <v>1109</v>
          </cell>
          <cell r="L1675" t="str">
            <v>STAIN &amp; GLAZE INTERIOR</v>
          </cell>
          <cell r="M1675" t="str">
            <v>110903</v>
          </cell>
          <cell r="N1675" t="str">
            <v>STAIN INTERIOR</v>
          </cell>
        </row>
        <row r="1676">
          <cell r="C1676" t="str">
            <v>100002713</v>
          </cell>
          <cell r="D1676" t="str">
            <v>#NUPST-12100 C20 WHITE-1K</v>
          </cell>
          <cell r="E1676" t="str">
            <v>ZFGD</v>
          </cell>
          <cell r="F1676" t="str">
            <v>PC</v>
          </cell>
          <cell r="G1676" t="str">
            <v>1</v>
          </cell>
          <cell r="H1676" t="str">
            <v>INDUSTRY</v>
          </cell>
          <cell r="I1676" t="str">
            <v>11</v>
          </cell>
          <cell r="J1676" t="str">
            <v>WOOD COATINGS</v>
          </cell>
          <cell r="K1676" t="str">
            <v>1113</v>
          </cell>
          <cell r="L1676" t="str">
            <v>LAIN-LAIN WF I</v>
          </cell>
          <cell r="M1676" t="str">
            <v>111304</v>
          </cell>
          <cell r="N1676" t="str">
            <v>COMPLEMENT PRODUCT</v>
          </cell>
        </row>
        <row r="1677">
          <cell r="C1677" t="str">
            <v>100002714</v>
          </cell>
          <cell r="D1677" t="str">
            <v>#NUGZPU-21500 RFU BLACK VN-3K</v>
          </cell>
          <cell r="E1677" t="str">
            <v>ZFGD</v>
          </cell>
          <cell r="F1677" t="str">
            <v>PC</v>
          </cell>
          <cell r="G1677" t="str">
            <v>1</v>
          </cell>
          <cell r="H1677" t="str">
            <v>INDUSTRY</v>
          </cell>
          <cell r="I1677" t="str">
            <v>11</v>
          </cell>
          <cell r="J1677" t="str">
            <v>WOOD COATINGS</v>
          </cell>
          <cell r="K1677" t="str">
            <v>1103</v>
          </cell>
          <cell r="L1677" t="str">
            <v>PU</v>
          </cell>
          <cell r="M1677" t="str">
            <v>110302</v>
          </cell>
          <cell r="N1677" t="str">
            <v>GLAZE PU</v>
          </cell>
        </row>
        <row r="1678">
          <cell r="C1678" t="str">
            <v>100002715</v>
          </cell>
          <cell r="D1678" t="str">
            <v>#NUGZPU-21500 RFU BURNT UMBER HCP VN-3K</v>
          </cell>
          <cell r="E1678" t="str">
            <v>ZFGD</v>
          </cell>
          <cell r="F1678" t="str">
            <v>PC</v>
          </cell>
          <cell r="G1678" t="str">
            <v>1</v>
          </cell>
          <cell r="H1678" t="str">
            <v>INDUSTRY</v>
          </cell>
          <cell r="I1678" t="str">
            <v>11</v>
          </cell>
          <cell r="J1678" t="str">
            <v>WOOD COATINGS</v>
          </cell>
          <cell r="K1678" t="str">
            <v>1103</v>
          </cell>
          <cell r="L1678" t="str">
            <v>PU</v>
          </cell>
          <cell r="M1678" t="str">
            <v>110302</v>
          </cell>
          <cell r="N1678" t="str">
            <v>GLAZE PU</v>
          </cell>
        </row>
        <row r="1679">
          <cell r="C1679" t="str">
            <v>100002716</v>
          </cell>
          <cell r="D1679" t="str">
            <v>DP-12123 LC BLACK VN-20KP</v>
          </cell>
          <cell r="E1679" t="str">
            <v>ZFGD</v>
          </cell>
          <cell r="F1679" t="str">
            <v>PC</v>
          </cell>
          <cell r="G1679" t="str">
            <v>1</v>
          </cell>
          <cell r="H1679" t="str">
            <v>INDUSTRY</v>
          </cell>
          <cell r="I1679" t="str">
            <v>11</v>
          </cell>
          <cell r="J1679" t="str">
            <v>WOOD COATINGS</v>
          </cell>
          <cell r="K1679" t="str">
            <v>1104</v>
          </cell>
          <cell r="L1679" t="str">
            <v>NC</v>
          </cell>
          <cell r="M1679" t="str">
            <v>110405</v>
          </cell>
          <cell r="N1679" t="str">
            <v>NC SYSTEM</v>
          </cell>
        </row>
        <row r="1680">
          <cell r="C1680" t="str">
            <v>100002717</v>
          </cell>
          <cell r="D1680" t="str">
            <v>DC-12200 ALC 7529 U 20 PM VN-18LP</v>
          </cell>
          <cell r="E1680" t="str">
            <v>ZFGD</v>
          </cell>
          <cell r="F1680" t="str">
            <v>PC</v>
          </cell>
          <cell r="G1680" t="str">
            <v>1</v>
          </cell>
          <cell r="H1680" t="str">
            <v>INDUSTRY</v>
          </cell>
          <cell r="I1680" t="str">
            <v>11</v>
          </cell>
          <cell r="J1680" t="str">
            <v>WOOD COATINGS</v>
          </cell>
          <cell r="K1680" t="str">
            <v>1104</v>
          </cell>
          <cell r="L1680" t="str">
            <v>NC</v>
          </cell>
          <cell r="M1680" t="str">
            <v>110405</v>
          </cell>
          <cell r="N1680" t="str">
            <v>NC SYSTEM</v>
          </cell>
        </row>
        <row r="1681">
          <cell r="C1681" t="str">
            <v>100002718</v>
          </cell>
          <cell r="D1681" t="str">
            <v>PUL-53306 AC EX CLEAR 10 VN-4L</v>
          </cell>
          <cell r="E1681" t="str">
            <v>ZFGD</v>
          </cell>
          <cell r="F1681" t="str">
            <v>PC</v>
          </cell>
          <cell r="G1681" t="str">
            <v>1</v>
          </cell>
          <cell r="H1681" t="str">
            <v>INDUSTRY</v>
          </cell>
          <cell r="I1681" t="str">
            <v>11</v>
          </cell>
          <cell r="J1681" t="str">
            <v>WOOD COATINGS</v>
          </cell>
          <cell r="K1681" t="str">
            <v>1103</v>
          </cell>
          <cell r="L1681" t="str">
            <v>PU</v>
          </cell>
          <cell r="M1681" t="str">
            <v>110321</v>
          </cell>
          <cell r="N1681" t="str">
            <v>PU LACQUER</v>
          </cell>
        </row>
        <row r="1682">
          <cell r="C1682" t="str">
            <v>100002719</v>
          </cell>
          <cell r="D1682" t="str">
            <v>PUL-53306 AC EX CLEAR 15 VN-20LP</v>
          </cell>
          <cell r="E1682" t="str">
            <v>ZFGD</v>
          </cell>
          <cell r="F1682" t="str">
            <v>PC</v>
          </cell>
          <cell r="G1682" t="str">
            <v>1</v>
          </cell>
          <cell r="H1682" t="str">
            <v>INDUSTRY</v>
          </cell>
          <cell r="I1682" t="str">
            <v>11</v>
          </cell>
          <cell r="J1682" t="str">
            <v>WOOD COATINGS</v>
          </cell>
          <cell r="K1682" t="str">
            <v>1103</v>
          </cell>
          <cell r="L1682" t="str">
            <v>PU</v>
          </cell>
          <cell r="M1682" t="str">
            <v>110321</v>
          </cell>
          <cell r="N1682" t="str">
            <v>PU LACQUER</v>
          </cell>
        </row>
        <row r="1683">
          <cell r="C1683" t="str">
            <v>100002720</v>
          </cell>
          <cell r="D1683" t="str">
            <v>PUC-54205 AC 44 10 PF VN-20KP</v>
          </cell>
          <cell r="E1683" t="str">
            <v>ZFGD</v>
          </cell>
          <cell r="F1683" t="str">
            <v>PC</v>
          </cell>
          <cell r="G1683" t="str">
            <v>1</v>
          </cell>
          <cell r="H1683" t="str">
            <v>INDUSTRY</v>
          </cell>
          <cell r="I1683" t="str">
            <v>11</v>
          </cell>
          <cell r="J1683" t="str">
            <v>WOOD COATINGS</v>
          </cell>
          <cell r="K1683" t="str">
            <v>1103</v>
          </cell>
          <cell r="L1683" t="str">
            <v>PU</v>
          </cell>
          <cell r="M1683" t="str">
            <v>110319</v>
          </cell>
          <cell r="N1683" t="str">
            <v>PU COLOR</v>
          </cell>
        </row>
        <row r="1684">
          <cell r="C1684" t="str">
            <v>100002721</v>
          </cell>
          <cell r="D1684" t="str">
            <v>PUH-56312 NY VN-16KP</v>
          </cell>
          <cell r="E1684" t="str">
            <v>ZFGD</v>
          </cell>
          <cell r="F1684" t="str">
            <v>PC</v>
          </cell>
          <cell r="G1684" t="str">
            <v>1</v>
          </cell>
          <cell r="H1684" t="str">
            <v>INDUSTRY</v>
          </cell>
          <cell r="I1684" t="str">
            <v>11</v>
          </cell>
          <cell r="J1684" t="str">
            <v>WOOD COATINGS</v>
          </cell>
          <cell r="K1684" t="str">
            <v>1103</v>
          </cell>
          <cell r="L1684" t="str">
            <v>PU</v>
          </cell>
          <cell r="M1684" t="str">
            <v>110320</v>
          </cell>
          <cell r="N1684" t="str">
            <v>PU HARDENER</v>
          </cell>
        </row>
        <row r="1685">
          <cell r="C1685" t="str">
            <v>100002722</v>
          </cell>
          <cell r="D1685" t="str">
            <v>MPUC-13600 WHITE VN-20KSP</v>
          </cell>
          <cell r="E1685" t="str">
            <v>ZFGD</v>
          </cell>
          <cell r="F1685" t="str">
            <v>SET</v>
          </cell>
          <cell r="G1685" t="str">
            <v>1</v>
          </cell>
          <cell r="H1685" t="str">
            <v>INDUSTRY</v>
          </cell>
          <cell r="I1685" t="str">
            <v>11</v>
          </cell>
          <cell r="J1685" t="str">
            <v>WOOD COATINGS</v>
          </cell>
          <cell r="K1685" t="str">
            <v>1107</v>
          </cell>
          <cell r="L1685" t="str">
            <v>METAL COATING</v>
          </cell>
          <cell r="M1685" t="str">
            <v>110702</v>
          </cell>
          <cell r="N1685" t="str">
            <v>METAL COATING</v>
          </cell>
        </row>
        <row r="1686">
          <cell r="C1686" t="str">
            <v>100002723</v>
          </cell>
          <cell r="D1686" t="str">
            <v>THC-73100 PLC 15-16KJ</v>
          </cell>
          <cell r="E1686" t="str">
            <v>ZFGD</v>
          </cell>
          <cell r="F1686" t="str">
            <v>PC</v>
          </cell>
          <cell r="G1686" t="str">
            <v>1</v>
          </cell>
          <cell r="H1686" t="str">
            <v>INDUSTRY</v>
          </cell>
          <cell r="I1686" t="str">
            <v>14</v>
          </cell>
          <cell r="J1686" t="str">
            <v>THINNER</v>
          </cell>
          <cell r="K1686" t="str">
            <v>1412</v>
          </cell>
          <cell r="L1686" t="str">
            <v>THINNER NC</v>
          </cell>
          <cell r="M1686" t="str">
            <v>141203</v>
          </cell>
          <cell r="N1686" t="str">
            <v>THINNER COMPLEMENTARY</v>
          </cell>
        </row>
        <row r="1687">
          <cell r="C1687" t="str">
            <v>100002724</v>
          </cell>
          <cell r="D1687" t="str">
            <v>#NUPCA-31100 OXIDE RED PASTE VN-1K</v>
          </cell>
          <cell r="E1687" t="str">
            <v>ZFGD</v>
          </cell>
          <cell r="F1687" t="str">
            <v>PC</v>
          </cell>
          <cell r="G1687" t="str">
            <v>1</v>
          </cell>
          <cell r="H1687" t="str">
            <v>INDUSTRY</v>
          </cell>
          <cell r="I1687" t="str">
            <v>11</v>
          </cell>
          <cell r="J1687" t="str">
            <v>WOOD COATINGS</v>
          </cell>
          <cell r="K1687" t="str">
            <v>1113</v>
          </cell>
          <cell r="L1687" t="str">
            <v>LAIN-LAIN WF I</v>
          </cell>
          <cell r="M1687" t="str">
            <v>111305</v>
          </cell>
          <cell r="N1687" t="str">
            <v>PASTA</v>
          </cell>
        </row>
        <row r="1688">
          <cell r="C1688" t="str">
            <v>100002725</v>
          </cell>
          <cell r="D1688" t="str">
            <v>#NUPCA-31100 YELLOW OG 16 PASTE VN-1K</v>
          </cell>
          <cell r="E1688" t="str">
            <v>ZFGD</v>
          </cell>
          <cell r="F1688" t="str">
            <v>PC</v>
          </cell>
          <cell r="G1688" t="str">
            <v>1</v>
          </cell>
          <cell r="H1688" t="str">
            <v>INDUSTRY</v>
          </cell>
          <cell r="I1688" t="str">
            <v>11</v>
          </cell>
          <cell r="J1688" t="str">
            <v>WOOD COATINGS</v>
          </cell>
          <cell r="K1688" t="str">
            <v>1113</v>
          </cell>
          <cell r="L1688" t="str">
            <v>LAIN-LAIN WF I</v>
          </cell>
          <cell r="M1688" t="str">
            <v>111305</v>
          </cell>
          <cell r="N1688" t="str">
            <v>PASTA</v>
          </cell>
        </row>
        <row r="1689">
          <cell r="C1689" t="str">
            <v>100002726</v>
          </cell>
          <cell r="D1689" t="str">
            <v>#NUPCA-31100 BLACK PASTE VN-1K</v>
          </cell>
          <cell r="E1689" t="str">
            <v>ZFGD</v>
          </cell>
          <cell r="F1689" t="str">
            <v>PC</v>
          </cell>
          <cell r="G1689" t="str">
            <v>1</v>
          </cell>
          <cell r="H1689" t="str">
            <v>INDUSTRY</v>
          </cell>
          <cell r="I1689" t="str">
            <v>11</v>
          </cell>
          <cell r="J1689" t="str">
            <v>WOOD COATINGS</v>
          </cell>
          <cell r="K1689" t="str">
            <v>1113</v>
          </cell>
          <cell r="L1689" t="str">
            <v>LAIN-LAIN WF I</v>
          </cell>
          <cell r="M1689" t="str">
            <v>111305</v>
          </cell>
          <cell r="N1689" t="str">
            <v>PASTA</v>
          </cell>
        </row>
        <row r="1690">
          <cell r="C1690" t="str">
            <v>100002727</v>
          </cell>
          <cell r="D1690" t="str">
            <v>#NUPCA-31100 YELLOW OKER PASTE VN-1K</v>
          </cell>
          <cell r="E1690" t="str">
            <v>ZFGD</v>
          </cell>
          <cell r="F1690" t="str">
            <v>PC</v>
          </cell>
          <cell r="G1690" t="str">
            <v>1</v>
          </cell>
          <cell r="H1690" t="str">
            <v>INDUSTRY</v>
          </cell>
          <cell r="I1690" t="str">
            <v>11</v>
          </cell>
          <cell r="J1690" t="str">
            <v>WOOD COATINGS</v>
          </cell>
          <cell r="K1690" t="str">
            <v>1113</v>
          </cell>
          <cell r="L1690" t="str">
            <v>LAIN-LAIN WF I</v>
          </cell>
          <cell r="M1690" t="str">
            <v>111305</v>
          </cell>
          <cell r="N1690" t="str">
            <v>PASTA</v>
          </cell>
        </row>
        <row r="1691">
          <cell r="C1691" t="str">
            <v>100002728</v>
          </cell>
          <cell r="D1691" t="str">
            <v>#NUPCA-31100 YELLOW HR PASTE VN-1K</v>
          </cell>
          <cell r="E1691" t="str">
            <v>ZFGD</v>
          </cell>
          <cell r="F1691" t="str">
            <v>PC</v>
          </cell>
          <cell r="G1691" t="str">
            <v>1</v>
          </cell>
          <cell r="H1691" t="str">
            <v>INDUSTRY</v>
          </cell>
          <cell r="I1691" t="str">
            <v>11</v>
          </cell>
          <cell r="J1691" t="str">
            <v>WOOD COATINGS</v>
          </cell>
          <cell r="K1691" t="str">
            <v>1113</v>
          </cell>
          <cell r="L1691" t="str">
            <v>LAIN-LAIN WF I</v>
          </cell>
          <cell r="M1691" t="str">
            <v>111305</v>
          </cell>
          <cell r="N1691" t="str">
            <v>PASTA</v>
          </cell>
        </row>
        <row r="1692">
          <cell r="C1692" t="str">
            <v>100002729</v>
          </cell>
          <cell r="D1692" t="str">
            <v>#NUPCA-31100 YELLOW AR PASTE VN-1K</v>
          </cell>
          <cell r="E1692" t="str">
            <v>ZFGD</v>
          </cell>
          <cell r="F1692" t="str">
            <v>PC</v>
          </cell>
          <cell r="G1692" t="str">
            <v>1</v>
          </cell>
          <cell r="H1692" t="str">
            <v>INDUSTRY</v>
          </cell>
          <cell r="I1692" t="str">
            <v>11</v>
          </cell>
          <cell r="J1692" t="str">
            <v>WOOD COATINGS</v>
          </cell>
          <cell r="K1692" t="str">
            <v>1113</v>
          </cell>
          <cell r="L1692" t="str">
            <v>LAIN-LAIN WF I</v>
          </cell>
          <cell r="M1692" t="str">
            <v>111305</v>
          </cell>
          <cell r="N1692" t="str">
            <v>PASTA</v>
          </cell>
        </row>
        <row r="1693">
          <cell r="C1693" t="str">
            <v>100002730</v>
          </cell>
          <cell r="D1693" t="str">
            <v>#NUPCA-31100 BLUE OG PASTE VN-1K</v>
          </cell>
          <cell r="E1693" t="str">
            <v>ZFGD</v>
          </cell>
          <cell r="F1693" t="str">
            <v>PC</v>
          </cell>
          <cell r="G1693" t="str">
            <v>1</v>
          </cell>
          <cell r="H1693" t="str">
            <v>INDUSTRY</v>
          </cell>
          <cell r="I1693" t="str">
            <v>11</v>
          </cell>
          <cell r="J1693" t="str">
            <v>WOOD COATINGS</v>
          </cell>
          <cell r="K1693" t="str">
            <v>1113</v>
          </cell>
          <cell r="L1693" t="str">
            <v>LAIN-LAIN WF I</v>
          </cell>
          <cell r="M1693" t="str">
            <v>111305</v>
          </cell>
          <cell r="N1693" t="str">
            <v>PASTA</v>
          </cell>
        </row>
        <row r="1694">
          <cell r="C1694" t="str">
            <v>100002731</v>
          </cell>
          <cell r="D1694" t="str">
            <v>#NUPCL-31300 WHITE PASTE-1K</v>
          </cell>
          <cell r="E1694" t="str">
            <v>ZFGD</v>
          </cell>
          <cell r="F1694" t="str">
            <v>PC</v>
          </cell>
          <cell r="G1694" t="str">
            <v>1</v>
          </cell>
          <cell r="H1694" t="str">
            <v>INDUSTRY</v>
          </cell>
          <cell r="I1694" t="str">
            <v>11</v>
          </cell>
          <cell r="J1694" t="str">
            <v>WOOD COATINGS</v>
          </cell>
          <cell r="K1694" t="str">
            <v>1105</v>
          </cell>
          <cell r="L1694" t="str">
            <v>PRECAT SYSTEM</v>
          </cell>
          <cell r="M1694" t="str">
            <v>110501</v>
          </cell>
          <cell r="N1694" t="str">
            <v>PRECAT SYSTEM</v>
          </cell>
        </row>
        <row r="1695">
          <cell r="C1695" t="str">
            <v>100002732</v>
          </cell>
          <cell r="D1695" t="str">
            <v>#NUPCL-31300 YELLOW OKER PASTE-1K</v>
          </cell>
          <cell r="E1695" t="str">
            <v>ZFGD</v>
          </cell>
          <cell r="F1695" t="str">
            <v>PC</v>
          </cell>
          <cell r="G1695" t="str">
            <v>1</v>
          </cell>
          <cell r="H1695" t="str">
            <v>INDUSTRY</v>
          </cell>
          <cell r="I1695" t="str">
            <v>11</v>
          </cell>
          <cell r="J1695" t="str">
            <v>WOOD COATINGS</v>
          </cell>
          <cell r="K1695" t="str">
            <v>1105</v>
          </cell>
          <cell r="L1695" t="str">
            <v>PRECAT SYSTEM</v>
          </cell>
          <cell r="M1695" t="str">
            <v>110501</v>
          </cell>
          <cell r="N1695" t="str">
            <v>PRECAT SYSTEM</v>
          </cell>
        </row>
        <row r="1696">
          <cell r="C1696" t="str">
            <v>100002733</v>
          </cell>
          <cell r="D1696" t="str">
            <v>#NUPCL-31300 OXIDE RED PASTE-1K</v>
          </cell>
          <cell r="E1696" t="str">
            <v>ZFGD</v>
          </cell>
          <cell r="F1696" t="str">
            <v>PC</v>
          </cell>
          <cell r="G1696" t="str">
            <v>1</v>
          </cell>
          <cell r="H1696" t="str">
            <v>INDUSTRY</v>
          </cell>
          <cell r="I1696" t="str">
            <v>11</v>
          </cell>
          <cell r="J1696" t="str">
            <v>WOOD COATINGS</v>
          </cell>
          <cell r="K1696" t="str">
            <v>1105</v>
          </cell>
          <cell r="L1696" t="str">
            <v>PRECAT SYSTEM</v>
          </cell>
          <cell r="M1696" t="str">
            <v>110501</v>
          </cell>
          <cell r="N1696" t="str">
            <v>PRECAT SYSTEM</v>
          </cell>
        </row>
        <row r="1697">
          <cell r="C1697" t="str">
            <v>100002734</v>
          </cell>
          <cell r="D1697" t="str">
            <v>#NUPCL-31300 BLUE OR PASTE-1K</v>
          </cell>
          <cell r="E1697" t="str">
            <v>ZFGD</v>
          </cell>
          <cell r="F1697" t="str">
            <v>PC</v>
          </cell>
          <cell r="G1697" t="str">
            <v>1</v>
          </cell>
          <cell r="H1697" t="str">
            <v>INDUSTRY</v>
          </cell>
          <cell r="I1697" t="str">
            <v>11</v>
          </cell>
          <cell r="J1697" t="str">
            <v>WOOD COATINGS</v>
          </cell>
          <cell r="K1697" t="str">
            <v>1105</v>
          </cell>
          <cell r="L1697" t="str">
            <v>PRECAT SYSTEM</v>
          </cell>
          <cell r="M1697" t="str">
            <v>110501</v>
          </cell>
          <cell r="N1697" t="str">
            <v>PRECAT SYSTEM</v>
          </cell>
        </row>
        <row r="1698">
          <cell r="C1698" t="str">
            <v>100002735</v>
          </cell>
          <cell r="D1698" t="str">
            <v>#NUPCL-31300 VIOLET PASTE-1K</v>
          </cell>
          <cell r="E1698" t="str">
            <v>ZFGD</v>
          </cell>
          <cell r="F1698" t="str">
            <v>PC</v>
          </cell>
          <cell r="G1698" t="str">
            <v>1</v>
          </cell>
          <cell r="H1698" t="str">
            <v>INDUSTRY</v>
          </cell>
          <cell r="I1698" t="str">
            <v>11</v>
          </cell>
          <cell r="J1698" t="str">
            <v>WOOD COATINGS</v>
          </cell>
          <cell r="K1698" t="str">
            <v>1105</v>
          </cell>
          <cell r="L1698" t="str">
            <v>PRECAT SYSTEM</v>
          </cell>
          <cell r="M1698" t="str">
            <v>110501</v>
          </cell>
          <cell r="N1698" t="str">
            <v>PRECAT SYSTEM</v>
          </cell>
        </row>
        <row r="1699">
          <cell r="C1699" t="str">
            <v>100002736</v>
          </cell>
          <cell r="D1699" t="str">
            <v>#NUPCL-31300 BLUE OR 50 PASTE-1K</v>
          </cell>
          <cell r="E1699" t="str">
            <v>ZFGD</v>
          </cell>
          <cell r="F1699" t="str">
            <v>PC</v>
          </cell>
          <cell r="G1699" t="str">
            <v>1</v>
          </cell>
          <cell r="H1699" t="str">
            <v>INDUSTRY</v>
          </cell>
          <cell r="I1699" t="str">
            <v>11</v>
          </cell>
          <cell r="J1699" t="str">
            <v>WOOD COATINGS</v>
          </cell>
          <cell r="K1699" t="str">
            <v>1105</v>
          </cell>
          <cell r="L1699" t="str">
            <v>PRECAT SYSTEM</v>
          </cell>
          <cell r="M1699" t="str">
            <v>110501</v>
          </cell>
          <cell r="N1699" t="str">
            <v>PRECAT SYSTEM</v>
          </cell>
        </row>
        <row r="1700">
          <cell r="C1700" t="str">
            <v>100002737</v>
          </cell>
          <cell r="D1700" t="str">
            <v>#NUPCL-31300 RED PINK PASTE-1K</v>
          </cell>
          <cell r="E1700" t="str">
            <v>ZFGD</v>
          </cell>
          <cell r="F1700" t="str">
            <v>PC</v>
          </cell>
          <cell r="G1700" t="str">
            <v>1</v>
          </cell>
          <cell r="H1700" t="str">
            <v>INDUSTRY</v>
          </cell>
          <cell r="I1700" t="str">
            <v>11</v>
          </cell>
          <cell r="J1700" t="str">
            <v>WOOD COATINGS</v>
          </cell>
          <cell r="K1700" t="str">
            <v>1105</v>
          </cell>
          <cell r="L1700" t="str">
            <v>PRECAT SYSTEM</v>
          </cell>
          <cell r="M1700" t="str">
            <v>110501</v>
          </cell>
          <cell r="N1700" t="str">
            <v>PRECAT SYSTEM</v>
          </cell>
        </row>
        <row r="1701">
          <cell r="C1701" t="str">
            <v>100002738</v>
          </cell>
          <cell r="D1701" t="str">
            <v>PCU-31400 BLACK PASTE-1K</v>
          </cell>
          <cell r="E1701" t="str">
            <v>ZFGD</v>
          </cell>
          <cell r="F1701" t="str">
            <v>PC</v>
          </cell>
          <cell r="G1701" t="str">
            <v>1</v>
          </cell>
          <cell r="H1701" t="str">
            <v>INDUSTRY</v>
          </cell>
          <cell r="I1701" t="str">
            <v>11</v>
          </cell>
          <cell r="J1701" t="str">
            <v>WOOD COATINGS</v>
          </cell>
          <cell r="K1701" t="str">
            <v>1118</v>
          </cell>
          <cell r="L1701" t="str">
            <v>COMPLEMENTARY</v>
          </cell>
          <cell r="M1701" t="str">
            <v>111807</v>
          </cell>
          <cell r="N1701" t="str">
            <v>PASTA</v>
          </cell>
        </row>
        <row r="1702">
          <cell r="C1702" t="str">
            <v>100002739</v>
          </cell>
          <cell r="D1702" t="str">
            <v>#NUPCWB-31600 YELLOW AR PASTE-1K</v>
          </cell>
          <cell r="E1702" t="str">
            <v>ZFGD</v>
          </cell>
          <cell r="F1702" t="str">
            <v>PC</v>
          </cell>
          <cell r="G1702" t="str">
            <v>1</v>
          </cell>
          <cell r="H1702" t="str">
            <v>INDUSTRY</v>
          </cell>
          <cell r="I1702" t="str">
            <v>11</v>
          </cell>
          <cell r="J1702" t="str">
            <v>WOOD COATINGS</v>
          </cell>
          <cell r="K1702" t="str">
            <v>1113</v>
          </cell>
          <cell r="L1702" t="str">
            <v>LAIN-LAIN WF I</v>
          </cell>
          <cell r="M1702" t="str">
            <v>111305</v>
          </cell>
          <cell r="N1702" t="str">
            <v>PASTA</v>
          </cell>
        </row>
        <row r="1703">
          <cell r="C1703" t="str">
            <v>100002740</v>
          </cell>
          <cell r="D1703" t="str">
            <v>#NUPCWB-31600 BLACK AY PASTE-1K</v>
          </cell>
          <cell r="E1703" t="str">
            <v>ZFGD</v>
          </cell>
          <cell r="F1703" t="str">
            <v>PC</v>
          </cell>
          <cell r="G1703" t="str">
            <v>1</v>
          </cell>
          <cell r="H1703" t="str">
            <v>INDUSTRY</v>
          </cell>
          <cell r="I1703" t="str">
            <v>11</v>
          </cell>
          <cell r="J1703" t="str">
            <v>WOOD COATINGS</v>
          </cell>
          <cell r="K1703" t="str">
            <v>1113</v>
          </cell>
          <cell r="L1703" t="str">
            <v>LAIN-LAIN WF I</v>
          </cell>
          <cell r="M1703" t="str">
            <v>111305</v>
          </cell>
          <cell r="N1703" t="str">
            <v>PASTA</v>
          </cell>
        </row>
        <row r="1704">
          <cell r="C1704" t="str">
            <v>100002741</v>
          </cell>
          <cell r="D1704" t="str">
            <v>PTOL-31800 YELLOW OXIDE-0.8K</v>
          </cell>
          <cell r="E1704" t="str">
            <v>ZFGD</v>
          </cell>
          <cell r="F1704" t="str">
            <v>PC</v>
          </cell>
          <cell r="G1704" t="str">
            <v>1</v>
          </cell>
          <cell r="H1704" t="str">
            <v>INDUSTRY</v>
          </cell>
          <cell r="I1704" t="str">
            <v>11</v>
          </cell>
          <cell r="J1704" t="str">
            <v>WOOD COATINGS</v>
          </cell>
          <cell r="K1704" t="str">
            <v>1118</v>
          </cell>
          <cell r="L1704" t="str">
            <v>COMPLEMENTARY</v>
          </cell>
          <cell r="M1704" t="str">
            <v>111807</v>
          </cell>
          <cell r="N1704" t="str">
            <v>PASTA</v>
          </cell>
        </row>
        <row r="1705">
          <cell r="C1705" t="str">
            <v>100002742</v>
          </cell>
          <cell r="D1705" t="str">
            <v>PTOL-31800 OXIDE RED 45-0.8K</v>
          </cell>
          <cell r="E1705" t="str">
            <v>ZFGD</v>
          </cell>
          <cell r="F1705" t="str">
            <v>PC</v>
          </cell>
          <cell r="G1705" t="str">
            <v>1</v>
          </cell>
          <cell r="H1705" t="str">
            <v>INDUSTRY</v>
          </cell>
          <cell r="I1705" t="str">
            <v>11</v>
          </cell>
          <cell r="J1705" t="str">
            <v>WOOD COATINGS</v>
          </cell>
          <cell r="K1705" t="str">
            <v>1118</v>
          </cell>
          <cell r="L1705" t="str">
            <v>COMPLEMENTARY</v>
          </cell>
          <cell r="M1705" t="str">
            <v>111807</v>
          </cell>
          <cell r="N1705" t="str">
            <v>PASTA</v>
          </cell>
        </row>
        <row r="1706">
          <cell r="C1706" t="str">
            <v>100002743</v>
          </cell>
          <cell r="D1706" t="str">
            <v>PTOL-31800 BLACK-0.8K</v>
          </cell>
          <cell r="E1706" t="str">
            <v>ZFGD</v>
          </cell>
          <cell r="F1706" t="str">
            <v>PC</v>
          </cell>
          <cell r="G1706" t="str">
            <v>1</v>
          </cell>
          <cell r="H1706" t="str">
            <v>INDUSTRY</v>
          </cell>
          <cell r="I1706" t="str">
            <v>11</v>
          </cell>
          <cell r="J1706" t="str">
            <v>WOOD COATINGS</v>
          </cell>
          <cell r="K1706" t="str">
            <v>1118</v>
          </cell>
          <cell r="L1706" t="str">
            <v>COMPLEMENTARY</v>
          </cell>
          <cell r="M1706" t="str">
            <v>111807</v>
          </cell>
          <cell r="N1706" t="str">
            <v>PASTA</v>
          </cell>
        </row>
        <row r="1707">
          <cell r="C1707" t="str">
            <v>100002744</v>
          </cell>
          <cell r="D1707" t="str">
            <v>PSV-75400 RFU SB-16KP</v>
          </cell>
          <cell r="E1707" t="str">
            <v>ZFGD</v>
          </cell>
          <cell r="F1707" t="str">
            <v>PC</v>
          </cell>
          <cell r="G1707" t="str">
            <v>1</v>
          </cell>
          <cell r="H1707" t="str">
            <v>INDUSTRY</v>
          </cell>
          <cell r="I1707" t="str">
            <v>11</v>
          </cell>
          <cell r="J1707" t="str">
            <v>WOOD COATINGS</v>
          </cell>
          <cell r="K1707" t="str">
            <v>1101</v>
          </cell>
          <cell r="L1707" t="str">
            <v>ALKYD OIL</v>
          </cell>
          <cell r="M1707" t="str">
            <v>110101</v>
          </cell>
          <cell r="N1707" t="str">
            <v>ALKYD &amp; OIL SYSTEM</v>
          </cell>
        </row>
        <row r="1708">
          <cell r="C1708" t="str">
            <v>100002745</v>
          </cell>
          <cell r="D1708" t="str">
            <v>WBL-61201 BR VN-20KP</v>
          </cell>
          <cell r="E1708" t="str">
            <v>ZFGD</v>
          </cell>
          <cell r="F1708" t="str">
            <v>PC</v>
          </cell>
          <cell r="G1708" t="str">
            <v>1</v>
          </cell>
          <cell r="H1708" t="str">
            <v>INDUSTRY</v>
          </cell>
          <cell r="I1708" t="str">
            <v>11</v>
          </cell>
          <cell r="J1708" t="str">
            <v>WOOD COATINGS</v>
          </cell>
          <cell r="K1708" t="str">
            <v>1119</v>
          </cell>
          <cell r="L1708" t="str">
            <v>WATERBASED</v>
          </cell>
          <cell r="M1708" t="str">
            <v>111902</v>
          </cell>
          <cell r="N1708" t="str">
            <v>WATERBASED SYSTEM INTERIOR</v>
          </cell>
        </row>
        <row r="1709">
          <cell r="C1709" t="str">
            <v>100002746</v>
          </cell>
          <cell r="D1709" t="str">
            <v>#NUGZ-9127 N BL AK-3K</v>
          </cell>
          <cell r="E1709" t="str">
            <v>ZFGD</v>
          </cell>
          <cell r="F1709" t="str">
            <v>PC</v>
          </cell>
          <cell r="G1709" t="str">
            <v>1</v>
          </cell>
          <cell r="H1709" t="str">
            <v>INDUSTRY</v>
          </cell>
          <cell r="I1709" t="str">
            <v>11</v>
          </cell>
          <cell r="J1709" t="str">
            <v>WOOD COATINGS</v>
          </cell>
          <cell r="K1709" t="str">
            <v>1109</v>
          </cell>
          <cell r="L1709" t="str">
            <v>STAIN &amp; GLAZE INTERIOR</v>
          </cell>
          <cell r="M1709" t="str">
            <v>110901</v>
          </cell>
          <cell r="N1709" t="str">
            <v>ASOF : STAIN &amp; GLAZE</v>
          </cell>
        </row>
        <row r="1710">
          <cell r="C1710" t="str">
            <v>100002747</v>
          </cell>
          <cell r="D1710" t="str">
            <v>#NUGZ-9127 N VD AK-3K</v>
          </cell>
          <cell r="E1710" t="str">
            <v>ZFGD</v>
          </cell>
          <cell r="F1710" t="str">
            <v>PC</v>
          </cell>
          <cell r="G1710" t="str">
            <v>1</v>
          </cell>
          <cell r="H1710" t="str">
            <v>INDUSTRY</v>
          </cell>
          <cell r="I1710" t="str">
            <v>11</v>
          </cell>
          <cell r="J1710" t="str">
            <v>WOOD COATINGS</v>
          </cell>
          <cell r="K1710" t="str">
            <v>1109</v>
          </cell>
          <cell r="L1710" t="str">
            <v>STAIN &amp; GLAZE INTERIOR</v>
          </cell>
          <cell r="M1710" t="str">
            <v>110901</v>
          </cell>
          <cell r="N1710" t="str">
            <v>ASOF : STAIN &amp; GLAZE</v>
          </cell>
        </row>
        <row r="1711">
          <cell r="C1711" t="str">
            <v>100002748</v>
          </cell>
          <cell r="D1711" t="str">
            <v>#NUGZ-9127 N RE AK-3K</v>
          </cell>
          <cell r="E1711" t="str">
            <v>ZFGD</v>
          </cell>
          <cell r="F1711" t="str">
            <v>PC</v>
          </cell>
          <cell r="G1711" t="str">
            <v>1</v>
          </cell>
          <cell r="H1711" t="str">
            <v>INDUSTRY</v>
          </cell>
          <cell r="I1711" t="str">
            <v>11</v>
          </cell>
          <cell r="J1711" t="str">
            <v>WOOD COATINGS</v>
          </cell>
          <cell r="K1711" t="str">
            <v>1109</v>
          </cell>
          <cell r="L1711" t="str">
            <v>STAIN &amp; GLAZE INTERIOR</v>
          </cell>
          <cell r="M1711" t="str">
            <v>110901</v>
          </cell>
          <cell r="N1711" t="str">
            <v>ASOF : STAIN &amp; GLAZE</v>
          </cell>
        </row>
        <row r="1712">
          <cell r="C1712" t="str">
            <v>100002749</v>
          </cell>
          <cell r="D1712" t="str">
            <v>NBC-9345-T046AK-200KB</v>
          </cell>
          <cell r="E1712" t="str">
            <v>ZFGD</v>
          </cell>
          <cell r="F1712" t="str">
            <v>PC</v>
          </cell>
          <cell r="G1712" t="str">
            <v>1</v>
          </cell>
          <cell r="H1712" t="str">
            <v>INDUSTRY</v>
          </cell>
          <cell r="I1712" t="str">
            <v>11</v>
          </cell>
          <cell r="J1712" t="str">
            <v>WOOD COATINGS</v>
          </cell>
          <cell r="K1712" t="str">
            <v>1104</v>
          </cell>
          <cell r="L1712" t="str">
            <v>NC</v>
          </cell>
          <cell r="M1712" t="str">
            <v>110403</v>
          </cell>
          <cell r="N1712" t="str">
            <v>ASOF : NC BASE COAT</v>
          </cell>
        </row>
        <row r="1713">
          <cell r="C1713" t="str">
            <v>100002750</v>
          </cell>
          <cell r="D1713" t="str">
            <v>AP-9982 8130 AK-2K</v>
          </cell>
          <cell r="E1713" t="str">
            <v>ZFGD</v>
          </cell>
          <cell r="F1713" t="str">
            <v>PC</v>
          </cell>
          <cell r="G1713" t="str">
            <v>1</v>
          </cell>
          <cell r="H1713" t="str">
            <v>INDUSTRY</v>
          </cell>
          <cell r="I1713" t="str">
            <v>11</v>
          </cell>
          <cell r="J1713" t="str">
            <v>WOOD COATINGS</v>
          </cell>
          <cell r="K1713" t="str">
            <v>1118</v>
          </cell>
          <cell r="L1713" t="str">
            <v>COMPLEMENTARY</v>
          </cell>
          <cell r="M1713" t="str">
            <v>111802</v>
          </cell>
          <cell r="N1713" t="str">
            <v>ASOF : POWDER &amp; MATTING SOLUTION</v>
          </cell>
        </row>
        <row r="1714">
          <cell r="C1714" t="str">
            <v>100002751</v>
          </cell>
          <cell r="D1714" t="str">
            <v>#NUGZPU-21500 BLACK VN-3K</v>
          </cell>
          <cell r="E1714" t="str">
            <v>ZFGD</v>
          </cell>
          <cell r="F1714" t="str">
            <v>PC</v>
          </cell>
          <cell r="G1714" t="str">
            <v>1</v>
          </cell>
          <cell r="H1714" t="str">
            <v>INDUSTRY</v>
          </cell>
          <cell r="I1714" t="str">
            <v>11</v>
          </cell>
          <cell r="J1714" t="str">
            <v>WOOD COATINGS</v>
          </cell>
          <cell r="K1714" t="str">
            <v>1103</v>
          </cell>
          <cell r="L1714" t="str">
            <v>PU</v>
          </cell>
          <cell r="M1714" t="str">
            <v>110302</v>
          </cell>
          <cell r="N1714" t="str">
            <v>GLAZE PU</v>
          </cell>
        </row>
        <row r="1715">
          <cell r="C1715" t="str">
            <v>100002752</v>
          </cell>
          <cell r="D1715" t="str">
            <v>#NUGZPU-21500 RED VN-3K</v>
          </cell>
          <cell r="E1715" t="str">
            <v>ZFGD</v>
          </cell>
          <cell r="F1715" t="str">
            <v>PC</v>
          </cell>
          <cell r="G1715" t="str">
            <v>1</v>
          </cell>
          <cell r="H1715" t="str">
            <v>INDUSTRY</v>
          </cell>
          <cell r="I1715" t="str">
            <v>11</v>
          </cell>
          <cell r="J1715" t="str">
            <v>WOOD COATINGS</v>
          </cell>
          <cell r="K1715" t="str">
            <v>1103</v>
          </cell>
          <cell r="L1715" t="str">
            <v>PU</v>
          </cell>
          <cell r="M1715" t="str">
            <v>110302</v>
          </cell>
          <cell r="N1715" t="str">
            <v>GLAZE PU</v>
          </cell>
        </row>
        <row r="1716">
          <cell r="C1716" t="str">
            <v>100002753</v>
          </cell>
          <cell r="D1716" t="str">
            <v>#NUGZPU-21500 YELLOW VN-3K</v>
          </cell>
          <cell r="E1716" t="str">
            <v>ZFGD</v>
          </cell>
          <cell r="F1716" t="str">
            <v>PC</v>
          </cell>
          <cell r="G1716" t="str">
            <v>1</v>
          </cell>
          <cell r="H1716" t="str">
            <v>INDUSTRY</v>
          </cell>
          <cell r="I1716" t="str">
            <v>11</v>
          </cell>
          <cell r="J1716" t="str">
            <v>WOOD COATINGS</v>
          </cell>
          <cell r="K1716" t="str">
            <v>1103</v>
          </cell>
          <cell r="L1716" t="str">
            <v>PU</v>
          </cell>
          <cell r="M1716" t="str">
            <v>110302</v>
          </cell>
          <cell r="N1716" t="str">
            <v>GLAZE PU</v>
          </cell>
        </row>
        <row r="1717">
          <cell r="C1717" t="str">
            <v>100002754</v>
          </cell>
          <cell r="D1717" t="str">
            <v>#NUGZPU-21500 BROWN VN-3K</v>
          </cell>
          <cell r="E1717" t="str">
            <v>ZFGD</v>
          </cell>
          <cell r="F1717" t="str">
            <v>PC</v>
          </cell>
          <cell r="G1717" t="str">
            <v>1</v>
          </cell>
          <cell r="H1717" t="str">
            <v>INDUSTRY</v>
          </cell>
          <cell r="I1717" t="str">
            <v>11</v>
          </cell>
          <cell r="J1717" t="str">
            <v>WOOD COATINGS</v>
          </cell>
          <cell r="K1717" t="str">
            <v>1103</v>
          </cell>
          <cell r="L1717" t="str">
            <v>PU</v>
          </cell>
          <cell r="M1717" t="str">
            <v>110302</v>
          </cell>
          <cell r="N1717" t="str">
            <v>GLAZE PU</v>
          </cell>
        </row>
        <row r="1718">
          <cell r="C1718" t="str">
            <v>100002755</v>
          </cell>
          <cell r="D1718" t="str">
            <v>#NUGZPU-21500 WHITE VN-3K</v>
          </cell>
          <cell r="E1718" t="str">
            <v>ZFGD</v>
          </cell>
          <cell r="F1718" t="str">
            <v>PC</v>
          </cell>
          <cell r="G1718" t="str">
            <v>1</v>
          </cell>
          <cell r="H1718" t="str">
            <v>INDUSTRY</v>
          </cell>
          <cell r="I1718" t="str">
            <v>11</v>
          </cell>
          <cell r="J1718" t="str">
            <v>WOOD COATINGS</v>
          </cell>
          <cell r="K1718" t="str">
            <v>1103</v>
          </cell>
          <cell r="L1718" t="str">
            <v>PU</v>
          </cell>
          <cell r="M1718" t="str">
            <v>110302</v>
          </cell>
          <cell r="N1718" t="str">
            <v>GLAZE PU</v>
          </cell>
        </row>
        <row r="1719">
          <cell r="C1719" t="str">
            <v>100002756</v>
          </cell>
          <cell r="D1719" t="str">
            <v>HARDENER PUH-1511 A5 MLY-4L</v>
          </cell>
          <cell r="E1719" t="str">
            <v>ZFGD</v>
          </cell>
          <cell r="F1719" t="str">
            <v>PC</v>
          </cell>
          <cell r="G1719" t="str">
            <v>1</v>
          </cell>
          <cell r="H1719" t="str">
            <v>INDUSTRY</v>
          </cell>
          <cell r="I1719" t="str">
            <v>11</v>
          </cell>
          <cell r="J1719" t="str">
            <v>WOOD COATINGS</v>
          </cell>
          <cell r="K1719" t="str">
            <v>1103</v>
          </cell>
          <cell r="L1719" t="str">
            <v>PU</v>
          </cell>
          <cell r="M1719" t="str">
            <v>110320</v>
          </cell>
          <cell r="N1719" t="str">
            <v>PU HARDENER</v>
          </cell>
        </row>
        <row r="1720">
          <cell r="C1720" t="str">
            <v>100002757</v>
          </cell>
          <cell r="D1720" t="str">
            <v>SEALER PUSS-1512 KD A3 MLY-20LP</v>
          </cell>
          <cell r="E1720" t="str">
            <v>ZFGD</v>
          </cell>
          <cell r="F1720" t="str">
            <v>PC</v>
          </cell>
          <cell r="G1720" t="str">
            <v>1</v>
          </cell>
          <cell r="H1720" t="str">
            <v>INDUSTRY</v>
          </cell>
          <cell r="I1720" t="str">
            <v>11</v>
          </cell>
          <cell r="J1720" t="str">
            <v>WOOD COATINGS</v>
          </cell>
          <cell r="K1720" t="str">
            <v>1103</v>
          </cell>
          <cell r="L1720" t="str">
            <v>PU</v>
          </cell>
          <cell r="M1720" t="str">
            <v>110323</v>
          </cell>
          <cell r="N1720" t="str">
            <v>PU SANDING SEALER</v>
          </cell>
        </row>
        <row r="1721">
          <cell r="C1721" t="str">
            <v>100002758</v>
          </cell>
          <cell r="D1721" t="str">
            <v>LACQUER PUL-51330 SR KD 10 MY-20LP</v>
          </cell>
          <cell r="E1721" t="str">
            <v>ZFGD</v>
          </cell>
          <cell r="F1721" t="str">
            <v>PC</v>
          </cell>
          <cell r="G1721" t="str">
            <v>1</v>
          </cell>
          <cell r="H1721" t="str">
            <v>INDUSTRY</v>
          </cell>
          <cell r="I1721" t="str">
            <v>11</v>
          </cell>
          <cell r="J1721" t="str">
            <v>WOOD COATINGS</v>
          </cell>
          <cell r="K1721" t="str">
            <v>1103</v>
          </cell>
          <cell r="L1721" t="str">
            <v>PU</v>
          </cell>
          <cell r="M1721" t="str">
            <v>110321</v>
          </cell>
          <cell r="N1721" t="str">
            <v>PU LACQUER</v>
          </cell>
        </row>
        <row r="1722">
          <cell r="C1722" t="str">
            <v>100002759</v>
          </cell>
          <cell r="D1722" t="str">
            <v>LACQUER PUL-51330 SR KD 20 MY-20LP</v>
          </cell>
          <cell r="E1722" t="str">
            <v>ZFGD</v>
          </cell>
          <cell r="F1722" t="str">
            <v>PC</v>
          </cell>
          <cell r="G1722" t="str">
            <v>1</v>
          </cell>
          <cell r="H1722" t="str">
            <v>INDUSTRY</v>
          </cell>
          <cell r="I1722" t="str">
            <v>11</v>
          </cell>
          <cell r="J1722" t="str">
            <v>WOOD COATINGS</v>
          </cell>
          <cell r="K1722" t="str">
            <v>1103</v>
          </cell>
          <cell r="L1722" t="str">
            <v>PU</v>
          </cell>
          <cell r="M1722" t="str">
            <v>110321</v>
          </cell>
          <cell r="N1722" t="str">
            <v>PU LACQUER</v>
          </cell>
        </row>
        <row r="1723">
          <cell r="C1723" t="str">
            <v>100002760</v>
          </cell>
          <cell r="D1723" t="str">
            <v>LACQUERPUL-1513 KD 20 SHEEN A35 MLY-20LP</v>
          </cell>
          <cell r="E1723" t="str">
            <v>ZFGD</v>
          </cell>
          <cell r="F1723" t="str">
            <v>PC</v>
          </cell>
          <cell r="G1723" t="str">
            <v>1</v>
          </cell>
          <cell r="H1723" t="str">
            <v>INDUSTRY</v>
          </cell>
          <cell r="I1723" t="str">
            <v>11</v>
          </cell>
          <cell r="J1723" t="str">
            <v>WOOD COATINGS</v>
          </cell>
          <cell r="K1723" t="str">
            <v>1103</v>
          </cell>
          <cell r="L1723" t="str">
            <v>PU</v>
          </cell>
          <cell r="M1723" t="str">
            <v>110321</v>
          </cell>
          <cell r="N1723" t="str">
            <v>PU LACQUER</v>
          </cell>
        </row>
        <row r="1724">
          <cell r="C1724" t="str">
            <v>100002761</v>
          </cell>
          <cell r="D1724" t="str">
            <v>SST-11100 NR A TL VN-20LJ</v>
          </cell>
          <cell r="E1724" t="str">
            <v>ZFGD</v>
          </cell>
          <cell r="F1724" t="str">
            <v>PC</v>
          </cell>
          <cell r="G1724" t="str">
            <v>1</v>
          </cell>
          <cell r="H1724" t="str">
            <v>INDUSTRY</v>
          </cell>
          <cell r="I1724" t="str">
            <v>11</v>
          </cell>
          <cell r="J1724" t="str">
            <v>WOOD COATINGS</v>
          </cell>
          <cell r="K1724" t="str">
            <v>1109</v>
          </cell>
          <cell r="L1724" t="str">
            <v>STAIN &amp; GLAZE INTERIOR</v>
          </cell>
          <cell r="M1724" t="str">
            <v>110903</v>
          </cell>
          <cell r="N1724" t="str">
            <v>STAIN INTERIOR</v>
          </cell>
        </row>
        <row r="1725">
          <cell r="C1725" t="str">
            <v>100002762</v>
          </cell>
          <cell r="D1725" t="str">
            <v>SST-11100 NR B TL VN-20LJ</v>
          </cell>
          <cell r="E1725" t="str">
            <v>ZFGD</v>
          </cell>
          <cell r="F1725" t="str">
            <v>PC</v>
          </cell>
          <cell r="G1725" t="str">
            <v>1</v>
          </cell>
          <cell r="H1725" t="str">
            <v>INDUSTRY</v>
          </cell>
          <cell r="I1725" t="str">
            <v>11</v>
          </cell>
          <cell r="J1725" t="str">
            <v>WOOD COATINGS</v>
          </cell>
          <cell r="K1725" t="str">
            <v>1109</v>
          </cell>
          <cell r="L1725" t="str">
            <v>STAIN &amp; GLAZE INTERIOR</v>
          </cell>
          <cell r="M1725" t="str">
            <v>110903</v>
          </cell>
          <cell r="N1725" t="str">
            <v>STAIN INTERIOR</v>
          </cell>
        </row>
        <row r="1726">
          <cell r="C1726" t="str">
            <v>100002773</v>
          </cell>
          <cell r="D1726" t="str">
            <v>NCL-11300 ALC CLEAR 20-18LP</v>
          </cell>
          <cell r="E1726" t="str">
            <v>ZFGD</v>
          </cell>
          <cell r="F1726" t="str">
            <v>PC</v>
          </cell>
          <cell r="G1726" t="str">
            <v>1</v>
          </cell>
          <cell r="H1726" t="str">
            <v>INDUSTRY</v>
          </cell>
          <cell r="I1726" t="str">
            <v>11</v>
          </cell>
          <cell r="J1726" t="str">
            <v>WOOD COATINGS</v>
          </cell>
          <cell r="K1726" t="str">
            <v>1104</v>
          </cell>
          <cell r="L1726" t="str">
            <v>NC</v>
          </cell>
          <cell r="M1726" t="str">
            <v>110405</v>
          </cell>
          <cell r="N1726" t="str">
            <v>NC SYSTEM</v>
          </cell>
        </row>
        <row r="1727">
          <cell r="C1727" t="str">
            <v>100002774</v>
          </cell>
          <cell r="D1727" t="str">
            <v>#NUGZ-12700 N BLACK-3K</v>
          </cell>
          <cell r="E1727" t="str">
            <v>ZFGD</v>
          </cell>
          <cell r="F1727" t="str">
            <v>PC</v>
          </cell>
          <cell r="G1727" t="str">
            <v>1</v>
          </cell>
          <cell r="H1727" t="str">
            <v>INDUSTRY</v>
          </cell>
          <cell r="I1727" t="str">
            <v>11</v>
          </cell>
          <cell r="J1727" t="str">
            <v>WOOD COATINGS</v>
          </cell>
          <cell r="K1727" t="str">
            <v>1109</v>
          </cell>
          <cell r="L1727" t="str">
            <v>STAIN &amp; GLAZE INTERIOR</v>
          </cell>
          <cell r="M1727" t="str">
            <v>110901</v>
          </cell>
          <cell r="N1727" t="str">
            <v>ASOF : STAIN &amp; GLAZE</v>
          </cell>
        </row>
        <row r="1728">
          <cell r="C1728" t="str">
            <v>100002775</v>
          </cell>
          <cell r="D1728" t="str">
            <v>#NUGZ-12700 N BURNT UMBER-3K</v>
          </cell>
          <cell r="E1728" t="str">
            <v>ZFGD</v>
          </cell>
          <cell r="F1728" t="str">
            <v>PC</v>
          </cell>
          <cell r="G1728" t="str">
            <v>1</v>
          </cell>
          <cell r="H1728" t="str">
            <v>INDUSTRY</v>
          </cell>
          <cell r="I1728" t="str">
            <v>11</v>
          </cell>
          <cell r="J1728" t="str">
            <v>WOOD COATINGS</v>
          </cell>
          <cell r="K1728" t="str">
            <v>1109</v>
          </cell>
          <cell r="L1728" t="str">
            <v>STAIN &amp; GLAZE INTERIOR</v>
          </cell>
          <cell r="M1728" t="str">
            <v>110901</v>
          </cell>
          <cell r="N1728" t="str">
            <v>ASOF : STAIN &amp; GLAZE</v>
          </cell>
        </row>
        <row r="1729">
          <cell r="C1729" t="str">
            <v>100002776</v>
          </cell>
          <cell r="D1729" t="str">
            <v>#NUGZ-12700 N RED-3K</v>
          </cell>
          <cell r="E1729" t="str">
            <v>ZFGD</v>
          </cell>
          <cell r="F1729" t="str">
            <v>PC</v>
          </cell>
          <cell r="G1729" t="str">
            <v>1</v>
          </cell>
          <cell r="H1729" t="str">
            <v>INDUSTRY</v>
          </cell>
          <cell r="I1729" t="str">
            <v>11</v>
          </cell>
          <cell r="J1729" t="str">
            <v>WOOD COATINGS</v>
          </cell>
          <cell r="K1729" t="str">
            <v>1109</v>
          </cell>
          <cell r="L1729" t="str">
            <v>STAIN &amp; GLAZE INTERIOR</v>
          </cell>
          <cell r="M1729" t="str">
            <v>110901</v>
          </cell>
          <cell r="N1729" t="str">
            <v>ASOF : STAIN &amp; GLAZE</v>
          </cell>
        </row>
        <row r="1730">
          <cell r="C1730" t="str">
            <v>100002777</v>
          </cell>
          <cell r="D1730" t="str">
            <v>#NUGZ-12700 N VAN DYKE BROWN-1K</v>
          </cell>
          <cell r="E1730" t="str">
            <v>ZFGD</v>
          </cell>
          <cell r="F1730" t="str">
            <v>PC</v>
          </cell>
          <cell r="G1730" t="str">
            <v>1</v>
          </cell>
          <cell r="H1730" t="str">
            <v>INDUSTRY</v>
          </cell>
          <cell r="I1730" t="str">
            <v>11</v>
          </cell>
          <cell r="J1730" t="str">
            <v>WOOD COATINGS</v>
          </cell>
          <cell r="K1730" t="str">
            <v>1109</v>
          </cell>
          <cell r="L1730" t="str">
            <v>STAIN &amp; GLAZE INTERIOR</v>
          </cell>
          <cell r="M1730" t="str">
            <v>110901</v>
          </cell>
          <cell r="N1730" t="str">
            <v>ASOF : STAIN &amp; GLAZE</v>
          </cell>
        </row>
        <row r="1731">
          <cell r="C1731" t="str">
            <v>100002778</v>
          </cell>
          <cell r="D1731" t="str">
            <v>#NUGZ-12700 N VAN DYKE BROWN-3K</v>
          </cell>
          <cell r="E1731" t="str">
            <v>ZFGD</v>
          </cell>
          <cell r="F1731" t="str">
            <v>PC</v>
          </cell>
          <cell r="G1731" t="str">
            <v>1</v>
          </cell>
          <cell r="H1731" t="str">
            <v>INDUSTRY</v>
          </cell>
          <cell r="I1731" t="str">
            <v>11</v>
          </cell>
          <cell r="J1731" t="str">
            <v>WOOD COATINGS</v>
          </cell>
          <cell r="K1731" t="str">
            <v>1109</v>
          </cell>
          <cell r="L1731" t="str">
            <v>STAIN &amp; GLAZE INTERIOR</v>
          </cell>
          <cell r="M1731" t="str">
            <v>110901</v>
          </cell>
          <cell r="N1731" t="str">
            <v>ASOF : STAIN &amp; GLAZE</v>
          </cell>
        </row>
        <row r="1732">
          <cell r="C1732" t="str">
            <v>100002779</v>
          </cell>
          <cell r="D1732" t="str">
            <v>#NUGZ-12700 N YELLOW-1K</v>
          </cell>
          <cell r="E1732" t="str">
            <v>ZFGD</v>
          </cell>
          <cell r="F1732" t="str">
            <v>PC</v>
          </cell>
          <cell r="G1732" t="str">
            <v>1</v>
          </cell>
          <cell r="H1732" t="str">
            <v>INDUSTRY</v>
          </cell>
          <cell r="I1732" t="str">
            <v>11</v>
          </cell>
          <cell r="J1732" t="str">
            <v>WOOD COATINGS</v>
          </cell>
          <cell r="K1732" t="str">
            <v>1109</v>
          </cell>
          <cell r="L1732" t="str">
            <v>STAIN &amp; GLAZE INTERIOR</v>
          </cell>
          <cell r="M1732" t="str">
            <v>110901</v>
          </cell>
          <cell r="N1732" t="str">
            <v>ASOF : STAIN &amp; GLAZE</v>
          </cell>
        </row>
        <row r="1733">
          <cell r="C1733" t="str">
            <v>100002780</v>
          </cell>
          <cell r="D1733" t="str">
            <v>#NUGZ-12700 N YELLOW-3K</v>
          </cell>
          <cell r="E1733" t="str">
            <v>ZFGD</v>
          </cell>
          <cell r="F1733" t="str">
            <v>PC</v>
          </cell>
          <cell r="G1733" t="str">
            <v>1</v>
          </cell>
          <cell r="H1733" t="str">
            <v>INDUSTRY</v>
          </cell>
          <cell r="I1733" t="str">
            <v>11</v>
          </cell>
          <cell r="J1733" t="str">
            <v>WOOD COATINGS</v>
          </cell>
          <cell r="K1733" t="str">
            <v>1109</v>
          </cell>
          <cell r="L1733" t="str">
            <v>STAIN &amp; GLAZE INTERIOR</v>
          </cell>
          <cell r="M1733" t="str">
            <v>110901</v>
          </cell>
          <cell r="N1733" t="str">
            <v>ASOF : STAIN &amp; GLAZE</v>
          </cell>
        </row>
        <row r="1734">
          <cell r="C1734" t="str">
            <v>100002784</v>
          </cell>
          <cell r="D1734" t="str">
            <v>CỨNG EPOXY EDP-551 VN-0.1K</v>
          </cell>
          <cell r="E1734" t="str">
            <v>ZFGD</v>
          </cell>
          <cell r="F1734" t="str">
            <v>PC</v>
          </cell>
          <cell r="G1734" t="str">
            <v>5</v>
          </cell>
          <cell r="H1734" t="str">
            <v>PROJECT</v>
          </cell>
          <cell r="I1734" t="str">
            <v>59</v>
          </cell>
          <cell r="J1734" t="str">
            <v>MPC</v>
          </cell>
          <cell r="K1734" t="str">
            <v>5904</v>
          </cell>
          <cell r="L1734" t="str">
            <v>METALKOTE</v>
          </cell>
          <cell r="M1734" t="str">
            <v>590402</v>
          </cell>
          <cell r="N1734" t="str">
            <v>METALKOTE-EPOXY SYS</v>
          </cell>
        </row>
        <row r="1735">
          <cell r="C1735" t="str">
            <v>100002785</v>
          </cell>
          <cell r="D1735" t="str">
            <v>CỨNG EPOXY EDP-551 VN-0.5K</v>
          </cell>
          <cell r="E1735" t="str">
            <v>ZFGD</v>
          </cell>
          <cell r="F1735" t="str">
            <v>PC</v>
          </cell>
          <cell r="G1735" t="str">
            <v>5</v>
          </cell>
          <cell r="H1735" t="str">
            <v>PROJECT</v>
          </cell>
          <cell r="I1735" t="str">
            <v>59</v>
          </cell>
          <cell r="J1735" t="str">
            <v>MPC</v>
          </cell>
          <cell r="K1735" t="str">
            <v>5904</v>
          </cell>
          <cell r="L1735" t="str">
            <v>METALKOTE</v>
          </cell>
          <cell r="M1735" t="str">
            <v>590402</v>
          </cell>
          <cell r="N1735" t="str">
            <v>METALKOTE-EPOXY SYS</v>
          </cell>
        </row>
        <row r="1736">
          <cell r="C1736" t="str">
            <v>100002787</v>
          </cell>
          <cell r="D1736" t="str">
            <v>PUC-54205 AC 41 10 PF VN-20KP</v>
          </cell>
          <cell r="E1736" t="str">
            <v>ZFGD</v>
          </cell>
          <cell r="F1736" t="str">
            <v>PC</v>
          </cell>
          <cell r="G1736" t="str">
            <v>1</v>
          </cell>
          <cell r="H1736" t="str">
            <v>INDUSTRY</v>
          </cell>
          <cell r="I1736" t="str">
            <v>11</v>
          </cell>
          <cell r="J1736" t="str">
            <v>WOOD COATINGS</v>
          </cell>
          <cell r="K1736" t="str">
            <v>1103</v>
          </cell>
          <cell r="L1736" t="str">
            <v>PU</v>
          </cell>
          <cell r="M1736" t="str">
            <v>110319</v>
          </cell>
          <cell r="N1736" t="str">
            <v>PU COLOR</v>
          </cell>
        </row>
        <row r="1737">
          <cell r="C1737" t="str">
            <v>100002790</v>
          </cell>
          <cell r="D1737" t="str">
            <v>GZ-9127-N-BL-AK-4K</v>
          </cell>
          <cell r="E1737" t="str">
            <v>ZFGD</v>
          </cell>
          <cell r="F1737" t="str">
            <v>PC</v>
          </cell>
          <cell r="G1737" t="str">
            <v>1</v>
          </cell>
          <cell r="H1737" t="str">
            <v>INDUSTRY</v>
          </cell>
          <cell r="I1737" t="str">
            <v>11</v>
          </cell>
          <cell r="J1737" t="str">
            <v>WOOD COATINGS</v>
          </cell>
          <cell r="K1737" t="str">
            <v>1109</v>
          </cell>
          <cell r="L1737" t="str">
            <v>STAIN &amp; GLAZE INTERIOR</v>
          </cell>
          <cell r="M1737" t="str">
            <v>110901</v>
          </cell>
          <cell r="N1737" t="str">
            <v>ASOF : STAIN &amp; GLAZE</v>
          </cell>
        </row>
        <row r="1738">
          <cell r="C1738" t="str">
            <v>100002791</v>
          </cell>
          <cell r="D1738" t="str">
            <v>GZ-9127-N-YE-AK-4K</v>
          </cell>
          <cell r="E1738" t="str">
            <v>ZFGD</v>
          </cell>
          <cell r="F1738" t="str">
            <v>PC</v>
          </cell>
          <cell r="G1738" t="str">
            <v>1</v>
          </cell>
          <cell r="H1738" t="str">
            <v>INDUSTRY</v>
          </cell>
          <cell r="I1738" t="str">
            <v>11</v>
          </cell>
          <cell r="J1738" t="str">
            <v>WOOD COATINGS</v>
          </cell>
          <cell r="K1738" t="str">
            <v>1109</v>
          </cell>
          <cell r="L1738" t="str">
            <v>STAIN &amp; GLAZE INTERIOR</v>
          </cell>
          <cell r="M1738" t="str">
            <v>110901</v>
          </cell>
          <cell r="N1738" t="str">
            <v>ASOF : STAIN &amp; GLAZE</v>
          </cell>
        </row>
        <row r="1739">
          <cell r="C1739" t="str">
            <v>100002792</v>
          </cell>
          <cell r="D1739" t="str">
            <v>PUC-54205 AC 004 10 NS VN-20KP</v>
          </cell>
          <cell r="E1739" t="str">
            <v>ZFGD</v>
          </cell>
          <cell r="F1739" t="str">
            <v>PC</v>
          </cell>
          <cell r="G1739" t="str">
            <v>1</v>
          </cell>
          <cell r="H1739" t="str">
            <v>INDUSTRY</v>
          </cell>
          <cell r="I1739" t="str">
            <v>11</v>
          </cell>
          <cell r="J1739" t="str">
            <v>WOOD COATINGS</v>
          </cell>
          <cell r="K1739" t="str">
            <v>1103</v>
          </cell>
          <cell r="L1739" t="str">
            <v>PU</v>
          </cell>
          <cell r="M1739" t="str">
            <v>110319</v>
          </cell>
          <cell r="N1739" t="str">
            <v>PU COLOR</v>
          </cell>
        </row>
        <row r="1740">
          <cell r="C1740" t="str">
            <v>100002793</v>
          </cell>
          <cell r="D1740" t="str">
            <v>AP-98200 SILVER 00322 VN-1K</v>
          </cell>
          <cell r="E1740" t="str">
            <v>ZFGD</v>
          </cell>
          <cell r="F1740" t="str">
            <v>PC</v>
          </cell>
          <cell r="G1740" t="str">
            <v>1</v>
          </cell>
          <cell r="H1740" t="str">
            <v>INDUSTRY</v>
          </cell>
          <cell r="I1740" t="str">
            <v>11</v>
          </cell>
          <cell r="J1740" t="str">
            <v>WOOD COATINGS</v>
          </cell>
          <cell r="K1740" t="str">
            <v>1118</v>
          </cell>
          <cell r="L1740" t="str">
            <v>COMPLEMENTARY</v>
          </cell>
          <cell r="M1740" t="str">
            <v>111802</v>
          </cell>
          <cell r="N1740" t="str">
            <v>ASOF : POWDER &amp; MATTING SOLUTION</v>
          </cell>
        </row>
        <row r="1741">
          <cell r="C1741" t="str">
            <v>100002794</v>
          </cell>
          <cell r="D1741" t="str">
            <v>SST-11100 CIPUTRA FU VN-20LJ</v>
          </cell>
          <cell r="E1741" t="str">
            <v>ZFGD</v>
          </cell>
          <cell r="F1741" t="str">
            <v>PC</v>
          </cell>
          <cell r="G1741" t="str">
            <v>1</v>
          </cell>
          <cell r="H1741" t="str">
            <v>INDUSTRY</v>
          </cell>
          <cell r="I1741" t="str">
            <v>11</v>
          </cell>
          <cell r="J1741" t="str">
            <v>WOOD COATINGS</v>
          </cell>
          <cell r="K1741" t="str">
            <v>1109</v>
          </cell>
          <cell r="L1741" t="str">
            <v>STAIN &amp; GLAZE INTERIOR</v>
          </cell>
          <cell r="M1741" t="str">
            <v>110903</v>
          </cell>
          <cell r="N1741" t="str">
            <v>STAIN INTERIOR</v>
          </cell>
        </row>
        <row r="1742">
          <cell r="C1742" t="str">
            <v>100002795</v>
          </cell>
          <cell r="D1742" t="str">
            <v>SST-11100 16 SK VN-20LJ</v>
          </cell>
          <cell r="E1742" t="str">
            <v>ZFGD</v>
          </cell>
          <cell r="F1742" t="str">
            <v>PC</v>
          </cell>
          <cell r="G1742" t="str">
            <v>1</v>
          </cell>
          <cell r="H1742" t="str">
            <v>INDUSTRY</v>
          </cell>
          <cell r="I1742" t="str">
            <v>11</v>
          </cell>
          <cell r="J1742" t="str">
            <v>WOOD COATINGS</v>
          </cell>
          <cell r="K1742" t="str">
            <v>1109</v>
          </cell>
          <cell r="L1742" t="str">
            <v>STAIN &amp; GLAZE INTERIOR</v>
          </cell>
          <cell r="M1742" t="str">
            <v>110903</v>
          </cell>
          <cell r="N1742" t="str">
            <v>STAIN INTERIOR</v>
          </cell>
        </row>
        <row r="1743">
          <cell r="C1743" t="str">
            <v>100002796</v>
          </cell>
          <cell r="D1743" t="str">
            <v>PUC-54206 AC EX GREY 90 AB VN-20KP</v>
          </cell>
          <cell r="E1743" t="str">
            <v>ZFGD</v>
          </cell>
          <cell r="F1743" t="str">
            <v>PC</v>
          </cell>
          <cell r="G1743" t="str">
            <v>1</v>
          </cell>
          <cell r="H1743" t="str">
            <v>INDUSTRY</v>
          </cell>
          <cell r="I1743" t="str">
            <v>11</v>
          </cell>
          <cell r="J1743" t="str">
            <v>WOOD COATINGS</v>
          </cell>
          <cell r="K1743" t="str">
            <v>1103</v>
          </cell>
          <cell r="L1743" t="str">
            <v>PU</v>
          </cell>
          <cell r="M1743" t="str">
            <v>110319</v>
          </cell>
          <cell r="N1743" t="str">
            <v>PU COLOR</v>
          </cell>
        </row>
        <row r="1744">
          <cell r="C1744" t="str">
            <v>100002797</v>
          </cell>
          <cell r="D1744" t="str">
            <v>EDP-551 ZINC PHOSPHATE (XÁM) VN-1KS</v>
          </cell>
          <cell r="E1744" t="str">
            <v>ZFGD</v>
          </cell>
          <cell r="F1744" t="str">
            <v>SET</v>
          </cell>
          <cell r="G1744" t="str">
            <v>5</v>
          </cell>
          <cell r="H1744" t="str">
            <v>PROJECT</v>
          </cell>
          <cell r="I1744" t="str">
            <v>59</v>
          </cell>
          <cell r="J1744" t="str">
            <v>MPC</v>
          </cell>
          <cell r="K1744" t="str">
            <v>5904</v>
          </cell>
          <cell r="L1744" t="str">
            <v>METALKOTE</v>
          </cell>
          <cell r="M1744" t="str">
            <v>590402</v>
          </cell>
          <cell r="N1744" t="str">
            <v>METALKOTE-EPOXY SYS</v>
          </cell>
        </row>
        <row r="1745">
          <cell r="C1745" t="str">
            <v>100002798</v>
          </cell>
          <cell r="D1745" t="str">
            <v>EDP-551 ZINC CHROMATE (XANH) VN-1KS</v>
          </cell>
          <cell r="E1745" t="str">
            <v>ZFGD</v>
          </cell>
          <cell r="F1745" t="str">
            <v>SET</v>
          </cell>
          <cell r="G1745" t="str">
            <v>5</v>
          </cell>
          <cell r="H1745" t="str">
            <v>PROJECT</v>
          </cell>
          <cell r="I1745" t="str">
            <v>59</v>
          </cell>
          <cell r="J1745" t="str">
            <v>MPC</v>
          </cell>
          <cell r="K1745" t="str">
            <v>5904</v>
          </cell>
          <cell r="L1745" t="str">
            <v>METALKOTE</v>
          </cell>
          <cell r="M1745" t="str">
            <v>590402</v>
          </cell>
          <cell r="N1745" t="str">
            <v>METALKOTE-EPOXY SYS</v>
          </cell>
        </row>
        <row r="1746">
          <cell r="C1746" t="str">
            <v>100002799</v>
          </cell>
          <cell r="D1746" t="str">
            <v>EDP-551 RED OXIDE (ĐỎ) VN-1KS</v>
          </cell>
          <cell r="E1746" t="str">
            <v>ZFGD</v>
          </cell>
          <cell r="F1746" t="str">
            <v>SET</v>
          </cell>
          <cell r="G1746" t="str">
            <v>5</v>
          </cell>
          <cell r="H1746" t="str">
            <v>PROJECT</v>
          </cell>
          <cell r="I1746" t="str">
            <v>59</v>
          </cell>
          <cell r="J1746" t="str">
            <v>MPC</v>
          </cell>
          <cell r="K1746" t="str">
            <v>5904</v>
          </cell>
          <cell r="L1746" t="str">
            <v>METALKOTE</v>
          </cell>
          <cell r="M1746" t="str">
            <v>590402</v>
          </cell>
          <cell r="N1746" t="str">
            <v>METALKOTE-EPOXY SYS</v>
          </cell>
        </row>
        <row r="1747">
          <cell r="C1747" t="str">
            <v>100002800</v>
          </cell>
          <cell r="D1747" t="str">
            <v>EDP-551 WHITE (TRẮNG) VN-1KS</v>
          </cell>
          <cell r="E1747" t="str">
            <v>ZFGD</v>
          </cell>
          <cell r="F1747" t="str">
            <v>SET</v>
          </cell>
          <cell r="G1747" t="str">
            <v>5</v>
          </cell>
          <cell r="H1747" t="str">
            <v>PROJECT</v>
          </cell>
          <cell r="I1747" t="str">
            <v>59</v>
          </cell>
          <cell r="J1747" t="str">
            <v>MPC</v>
          </cell>
          <cell r="K1747" t="str">
            <v>5904</v>
          </cell>
          <cell r="L1747" t="str">
            <v>METALKOTE</v>
          </cell>
          <cell r="M1747" t="str">
            <v>590402</v>
          </cell>
          <cell r="N1747" t="str">
            <v>METALKOTE-EPOXY SYS</v>
          </cell>
        </row>
        <row r="1748">
          <cell r="C1748" t="str">
            <v>100002802</v>
          </cell>
          <cell r="D1748" t="str">
            <v>PCL-31300 YELLOW OG 12 PASTE-4K</v>
          </cell>
          <cell r="E1748" t="str">
            <v>ZFGD</v>
          </cell>
          <cell r="F1748" t="str">
            <v>PC</v>
          </cell>
          <cell r="G1748" t="str">
            <v>1</v>
          </cell>
          <cell r="H1748" t="str">
            <v>INDUSTRY</v>
          </cell>
          <cell r="I1748" t="str">
            <v>11</v>
          </cell>
          <cell r="J1748" t="str">
            <v>WOOD COATINGS</v>
          </cell>
          <cell r="K1748" t="str">
            <v>1118</v>
          </cell>
          <cell r="L1748" t="str">
            <v>COMPLEMENTARY</v>
          </cell>
          <cell r="M1748" t="str">
            <v>111807</v>
          </cell>
          <cell r="N1748" t="str">
            <v>PASTA</v>
          </cell>
        </row>
        <row r="1749">
          <cell r="C1749" t="str">
            <v>100002803</v>
          </cell>
          <cell r="D1749" t="str">
            <v>PUL-53306 AC GLASS CLEAR 50 VN-20LP</v>
          </cell>
          <cell r="E1749" t="str">
            <v>ZFGD</v>
          </cell>
          <cell r="F1749" t="str">
            <v>PC</v>
          </cell>
          <cell r="G1749" t="str">
            <v>1</v>
          </cell>
          <cell r="H1749" t="str">
            <v>INDUSTRY</v>
          </cell>
          <cell r="I1749" t="str">
            <v>11</v>
          </cell>
          <cell r="J1749" t="str">
            <v>WOOD COATINGS</v>
          </cell>
          <cell r="K1749" t="str">
            <v>1103</v>
          </cell>
          <cell r="L1749" t="str">
            <v>PU</v>
          </cell>
          <cell r="M1749" t="str">
            <v>110321</v>
          </cell>
          <cell r="N1749" t="str">
            <v>PU LACQUER</v>
          </cell>
        </row>
        <row r="1750">
          <cell r="C1750" t="str">
            <v>100002804</v>
          </cell>
          <cell r="D1750" t="str">
            <v>SST-11100 42 PF VN-20LJ</v>
          </cell>
          <cell r="E1750" t="str">
            <v>ZFGD</v>
          </cell>
          <cell r="F1750" t="str">
            <v>PC</v>
          </cell>
          <cell r="G1750" t="str">
            <v>1</v>
          </cell>
          <cell r="H1750" t="str">
            <v>INDUSTRY</v>
          </cell>
          <cell r="I1750" t="str">
            <v>11</v>
          </cell>
          <cell r="J1750" t="str">
            <v>WOOD COATINGS</v>
          </cell>
          <cell r="K1750" t="str">
            <v>1109</v>
          </cell>
          <cell r="L1750" t="str">
            <v>STAIN &amp; GLAZE INTERIOR</v>
          </cell>
          <cell r="M1750" t="str">
            <v>110903</v>
          </cell>
          <cell r="N1750" t="str">
            <v>STAIN INTERIOR</v>
          </cell>
        </row>
        <row r="1751">
          <cell r="C1751" t="str">
            <v>100002805</v>
          </cell>
          <cell r="D1751" t="str">
            <v>SST-11100 PANTONE DB VN-20LJ</v>
          </cell>
          <cell r="E1751" t="str">
            <v>ZFGD</v>
          </cell>
          <cell r="F1751" t="str">
            <v>PC</v>
          </cell>
          <cell r="G1751" t="str">
            <v>1</v>
          </cell>
          <cell r="H1751" t="str">
            <v>INDUSTRY</v>
          </cell>
          <cell r="I1751" t="str">
            <v>11</v>
          </cell>
          <cell r="J1751" t="str">
            <v>WOOD COATINGS</v>
          </cell>
          <cell r="K1751" t="str">
            <v>1109</v>
          </cell>
          <cell r="L1751" t="str">
            <v>STAIN &amp; GLAZE INTERIOR</v>
          </cell>
          <cell r="M1751" t="str">
            <v>110903</v>
          </cell>
          <cell r="N1751" t="str">
            <v>STAIN INTERIOR</v>
          </cell>
        </row>
        <row r="1752">
          <cell r="C1752" t="str">
            <v>100002806</v>
          </cell>
          <cell r="D1752" t="str">
            <v>SST-11100 42 B PF VN-20LJ</v>
          </cell>
          <cell r="E1752" t="str">
            <v>ZFGD</v>
          </cell>
          <cell r="F1752" t="str">
            <v>PC</v>
          </cell>
          <cell r="G1752" t="str">
            <v>1</v>
          </cell>
          <cell r="H1752" t="str">
            <v>INDUSTRY</v>
          </cell>
          <cell r="I1752" t="str">
            <v>11</v>
          </cell>
          <cell r="J1752" t="str">
            <v>WOOD COATINGS</v>
          </cell>
          <cell r="K1752" t="str">
            <v>1109</v>
          </cell>
          <cell r="L1752" t="str">
            <v>STAIN &amp; GLAZE INTERIOR</v>
          </cell>
          <cell r="M1752" t="str">
            <v>110903</v>
          </cell>
          <cell r="N1752" t="str">
            <v>STAIN INTERIOR</v>
          </cell>
        </row>
        <row r="1753">
          <cell r="C1753" t="str">
            <v>100002807</v>
          </cell>
          <cell r="D1753" t="str">
            <v>GZPU-21500 RU RED 30301 VN-4K</v>
          </cell>
          <cell r="E1753" t="str">
            <v>ZFGD</v>
          </cell>
          <cell r="F1753" t="str">
            <v>PC</v>
          </cell>
          <cell r="G1753" t="str">
            <v>1</v>
          </cell>
          <cell r="H1753" t="str">
            <v>INDUSTRY</v>
          </cell>
          <cell r="I1753" t="str">
            <v>11</v>
          </cell>
          <cell r="J1753" t="str">
            <v>WOOD COATINGS</v>
          </cell>
          <cell r="K1753" t="str">
            <v>1103</v>
          </cell>
          <cell r="L1753" t="str">
            <v>PU</v>
          </cell>
          <cell r="M1753" t="str">
            <v>110302</v>
          </cell>
          <cell r="N1753" t="str">
            <v>GLAZE PU</v>
          </cell>
        </row>
        <row r="1754">
          <cell r="C1754" t="str">
            <v>100002808</v>
          </cell>
          <cell r="D1754" t="str">
            <v>PUC-54205 AC 26 30 PF VN-20KP</v>
          </cell>
          <cell r="E1754" t="str">
            <v>ZFGD</v>
          </cell>
          <cell r="F1754" t="str">
            <v>PC</v>
          </cell>
          <cell r="G1754" t="str">
            <v>1</v>
          </cell>
          <cell r="H1754" t="str">
            <v>INDUSTRY</v>
          </cell>
          <cell r="I1754" t="str">
            <v>11</v>
          </cell>
          <cell r="J1754" t="str">
            <v>WOOD COATINGS</v>
          </cell>
          <cell r="K1754" t="str">
            <v>1103</v>
          </cell>
          <cell r="L1754" t="str">
            <v>PU</v>
          </cell>
          <cell r="M1754" t="str">
            <v>110319</v>
          </cell>
          <cell r="N1754" t="str">
            <v>PU COLOR</v>
          </cell>
        </row>
        <row r="1755">
          <cell r="C1755" t="str">
            <v>100002809</v>
          </cell>
          <cell r="D1755" t="str">
            <v>PUP-54106 AC EX L42 DB VN-20KP</v>
          </cell>
          <cell r="E1755" t="str">
            <v>ZFGD</v>
          </cell>
          <cell r="F1755" t="str">
            <v>PC</v>
          </cell>
          <cell r="G1755" t="str">
            <v>1</v>
          </cell>
          <cell r="H1755" t="str">
            <v>INDUSTRY</v>
          </cell>
          <cell r="I1755" t="str">
            <v>11</v>
          </cell>
          <cell r="J1755" t="str">
            <v>WOOD COATINGS</v>
          </cell>
          <cell r="K1755" t="str">
            <v>1103</v>
          </cell>
          <cell r="L1755" t="str">
            <v>PU</v>
          </cell>
          <cell r="M1755" t="str">
            <v>110322</v>
          </cell>
          <cell r="N1755" t="str">
            <v>PU PRIMER</v>
          </cell>
        </row>
        <row r="1756">
          <cell r="C1756" t="str">
            <v>100002810</v>
          </cell>
          <cell r="D1756" t="str">
            <v>PCL-31300 WHITE PASTE VN-4K</v>
          </cell>
          <cell r="E1756" t="str">
            <v>ZFGD</v>
          </cell>
          <cell r="F1756" t="str">
            <v>PC</v>
          </cell>
          <cell r="G1756" t="str">
            <v>1</v>
          </cell>
          <cell r="H1756" t="str">
            <v>INDUSTRY</v>
          </cell>
          <cell r="I1756" t="str">
            <v>11</v>
          </cell>
          <cell r="J1756" t="str">
            <v>WOOD COATINGS</v>
          </cell>
          <cell r="K1756" t="str">
            <v>1118</v>
          </cell>
          <cell r="L1756" t="str">
            <v>COMPLEMENTARY</v>
          </cell>
          <cell r="M1756" t="str">
            <v>111807</v>
          </cell>
          <cell r="N1756" t="str">
            <v>PASTA</v>
          </cell>
        </row>
        <row r="1757">
          <cell r="C1757" t="str">
            <v>100002811</v>
          </cell>
          <cell r="D1757" t="str">
            <v>PCL-31300 250 A GE VN-20LJ</v>
          </cell>
          <cell r="E1757" t="str">
            <v>ZFGD</v>
          </cell>
          <cell r="F1757" t="str">
            <v>PC</v>
          </cell>
          <cell r="G1757" t="str">
            <v>1</v>
          </cell>
          <cell r="H1757" t="str">
            <v>INDUSTRY</v>
          </cell>
          <cell r="I1757" t="str">
            <v>11</v>
          </cell>
          <cell r="J1757" t="str">
            <v>WOOD COATINGS</v>
          </cell>
          <cell r="K1757" t="str">
            <v>1118</v>
          </cell>
          <cell r="L1757" t="str">
            <v>COMPLEMENTARY</v>
          </cell>
          <cell r="M1757" t="str">
            <v>111807</v>
          </cell>
          <cell r="N1757" t="str">
            <v>PASTA</v>
          </cell>
        </row>
        <row r="1758">
          <cell r="C1758" t="str">
            <v>100002812</v>
          </cell>
          <cell r="D1758" t="str">
            <v>PCL-31300 250 B GE VN-20LJ</v>
          </cell>
          <cell r="E1758" t="str">
            <v>ZFGD</v>
          </cell>
          <cell r="F1758" t="str">
            <v>PC</v>
          </cell>
          <cell r="G1758" t="str">
            <v>1</v>
          </cell>
          <cell r="H1758" t="str">
            <v>INDUSTRY</v>
          </cell>
          <cell r="I1758" t="str">
            <v>11</v>
          </cell>
          <cell r="J1758" t="str">
            <v>WOOD COATINGS</v>
          </cell>
          <cell r="K1758" t="str">
            <v>1118</v>
          </cell>
          <cell r="L1758" t="str">
            <v>COMPLEMENTARY</v>
          </cell>
          <cell r="M1758" t="str">
            <v>111807</v>
          </cell>
          <cell r="N1758" t="str">
            <v>PASTA</v>
          </cell>
        </row>
        <row r="1759">
          <cell r="C1759" t="str">
            <v>100002813</v>
          </cell>
          <cell r="D1759" t="str">
            <v>64-56 MICRO FILLER 42 A PF VN-20KP</v>
          </cell>
          <cell r="E1759" t="str">
            <v>ZFGD</v>
          </cell>
          <cell r="F1759" t="str">
            <v>PC</v>
          </cell>
          <cell r="G1759" t="str">
            <v>1</v>
          </cell>
          <cell r="H1759" t="str">
            <v>INDUSTRY</v>
          </cell>
          <cell r="I1759" t="str">
            <v>11</v>
          </cell>
          <cell r="J1759" t="str">
            <v>WOOD COATINGS</v>
          </cell>
          <cell r="K1759" t="str">
            <v>1103</v>
          </cell>
          <cell r="L1759" t="str">
            <v>PU</v>
          </cell>
          <cell r="M1759" t="str">
            <v>110305</v>
          </cell>
          <cell r="N1759" t="str">
            <v>UNION FILLER</v>
          </cell>
        </row>
        <row r="1760">
          <cell r="C1760" t="str">
            <v>100002814</v>
          </cell>
          <cell r="D1760" t="str">
            <v>LACQUER PUL-51330 SR KD 05 MY-20LP</v>
          </cell>
          <cell r="E1760" t="str">
            <v>ZFGD</v>
          </cell>
          <cell r="F1760" t="str">
            <v>PC</v>
          </cell>
          <cell r="G1760" t="str">
            <v>1</v>
          </cell>
          <cell r="H1760" t="str">
            <v>INDUSTRY</v>
          </cell>
          <cell r="I1760" t="str">
            <v>11</v>
          </cell>
          <cell r="J1760" t="str">
            <v>WOOD COATINGS</v>
          </cell>
          <cell r="K1760" t="str">
            <v>1103</v>
          </cell>
          <cell r="L1760" t="str">
            <v>PU</v>
          </cell>
          <cell r="M1760" t="str">
            <v>110321</v>
          </cell>
          <cell r="N1760" t="str">
            <v>PU LACQUER</v>
          </cell>
        </row>
        <row r="1761">
          <cell r="C1761" t="str">
            <v>100002815</v>
          </cell>
          <cell r="D1761" t="str">
            <v>UVSS-40103 VN-20KP</v>
          </cell>
          <cell r="E1761" t="str">
            <v>ZFGD</v>
          </cell>
          <cell r="F1761" t="str">
            <v>PC</v>
          </cell>
          <cell r="G1761" t="str">
            <v>1</v>
          </cell>
          <cell r="H1761" t="str">
            <v>INDUSTRY</v>
          </cell>
          <cell r="I1761" t="str">
            <v>11</v>
          </cell>
          <cell r="J1761" t="str">
            <v>WOOD COATINGS</v>
          </cell>
          <cell r="K1761" t="str">
            <v>1106</v>
          </cell>
          <cell r="L1761" t="str">
            <v>UV</v>
          </cell>
          <cell r="M1761" t="str">
            <v>110605</v>
          </cell>
          <cell r="N1761" t="str">
            <v>UV SANDING SEALER</v>
          </cell>
        </row>
        <row r="1762">
          <cell r="C1762" t="str">
            <v>100002816</v>
          </cell>
          <cell r="D1762" t="str">
            <v>PST-12200 1K TL 2017 F1 VN-20LJ</v>
          </cell>
          <cell r="E1762" t="str">
            <v>ZFGD</v>
          </cell>
          <cell r="F1762" t="str">
            <v>PC</v>
          </cell>
          <cell r="G1762" t="str">
            <v>1</v>
          </cell>
          <cell r="H1762" t="str">
            <v>INDUSTRY</v>
          </cell>
          <cell r="I1762" t="str">
            <v>11</v>
          </cell>
          <cell r="J1762" t="str">
            <v>WOOD COATINGS</v>
          </cell>
          <cell r="K1762" t="str">
            <v>1101</v>
          </cell>
          <cell r="L1762" t="str">
            <v>ALKYD OIL</v>
          </cell>
          <cell r="M1762" t="str">
            <v>110102</v>
          </cell>
          <cell r="N1762" t="str">
            <v>STAIN EXTERIOR</v>
          </cell>
        </row>
        <row r="1763">
          <cell r="C1763" t="str">
            <v>100002817</v>
          </cell>
          <cell r="D1763" t="str">
            <v>PUC-54206 AC EX KINH 10 GE VN-20KP</v>
          </cell>
          <cell r="E1763" t="str">
            <v>ZFGD</v>
          </cell>
          <cell r="F1763" t="str">
            <v>PC</v>
          </cell>
          <cell r="G1763" t="str">
            <v>1</v>
          </cell>
          <cell r="H1763" t="str">
            <v>INDUSTRY</v>
          </cell>
          <cell r="I1763" t="str">
            <v>11</v>
          </cell>
          <cell r="J1763" t="str">
            <v>WOOD COATINGS</v>
          </cell>
          <cell r="K1763" t="str">
            <v>1103</v>
          </cell>
          <cell r="L1763" t="str">
            <v>PU</v>
          </cell>
          <cell r="M1763" t="str">
            <v>110319</v>
          </cell>
          <cell r="N1763" t="str">
            <v>PU COLOR</v>
          </cell>
        </row>
        <row r="1764">
          <cell r="C1764" t="str">
            <v>100002818</v>
          </cell>
          <cell r="D1764" t="str">
            <v>UVSS-40103 VH VN-20KP</v>
          </cell>
          <cell r="E1764" t="str">
            <v>ZFGD</v>
          </cell>
          <cell r="F1764" t="str">
            <v>PC</v>
          </cell>
          <cell r="G1764" t="str">
            <v>1</v>
          </cell>
          <cell r="H1764" t="str">
            <v>INDUSTRY</v>
          </cell>
          <cell r="I1764" t="str">
            <v>11</v>
          </cell>
          <cell r="J1764" t="str">
            <v>WOOD COATINGS</v>
          </cell>
          <cell r="K1764" t="str">
            <v>1106</v>
          </cell>
          <cell r="L1764" t="str">
            <v>UV</v>
          </cell>
          <cell r="M1764" t="str">
            <v>110605</v>
          </cell>
          <cell r="N1764" t="str">
            <v>UV SANDING SEALER</v>
          </cell>
        </row>
        <row r="1765">
          <cell r="C1765" t="str">
            <v>100002819</v>
          </cell>
          <cell r="D1765" t="str">
            <v>82-4030 UE AF URT WHITE A VN-16KP</v>
          </cell>
          <cell r="E1765" t="str">
            <v>ZFGD</v>
          </cell>
          <cell r="F1765" t="str">
            <v>PC</v>
          </cell>
          <cell r="G1765" t="str">
            <v>1</v>
          </cell>
          <cell r="H1765" t="str">
            <v>INDUSTRY</v>
          </cell>
          <cell r="I1765" t="str">
            <v>11</v>
          </cell>
          <cell r="J1765" t="str">
            <v>WOOD COATINGS</v>
          </cell>
          <cell r="K1765" t="str">
            <v>1103</v>
          </cell>
          <cell r="L1765" t="str">
            <v>PU</v>
          </cell>
          <cell r="M1765" t="str">
            <v>110312</v>
          </cell>
          <cell r="N1765" t="str">
            <v>UNION TOP COAT</v>
          </cell>
        </row>
        <row r="1766">
          <cell r="C1766" t="str">
            <v>100002820</v>
          </cell>
          <cell r="D1766" t="str">
            <v>#NUPUC-54205 45 10 PF VN-20KP</v>
          </cell>
          <cell r="E1766" t="str">
            <v>ZFGD</v>
          </cell>
          <cell r="F1766" t="str">
            <v>PC</v>
          </cell>
          <cell r="G1766" t="str">
            <v>1</v>
          </cell>
          <cell r="H1766" t="str">
            <v>INDUSTRY</v>
          </cell>
          <cell r="I1766" t="str">
            <v>11</v>
          </cell>
          <cell r="J1766" t="str">
            <v>WOOD COATINGS</v>
          </cell>
          <cell r="K1766" t="str">
            <v>1103</v>
          </cell>
          <cell r="L1766" t="str">
            <v>PU</v>
          </cell>
          <cell r="M1766" t="str">
            <v>110304</v>
          </cell>
          <cell r="N1766" t="str">
            <v>PU SYSTEM</v>
          </cell>
        </row>
        <row r="1767">
          <cell r="C1767" t="str">
            <v>100002821</v>
          </cell>
          <cell r="D1767" t="str">
            <v>PUP-52141 CANARY KD VN-20KP</v>
          </cell>
          <cell r="E1767" t="str">
            <v>ZFGD</v>
          </cell>
          <cell r="F1767" t="str">
            <v>PC</v>
          </cell>
          <cell r="G1767" t="str">
            <v>1</v>
          </cell>
          <cell r="H1767" t="str">
            <v>INDUSTRY</v>
          </cell>
          <cell r="I1767" t="str">
            <v>11</v>
          </cell>
          <cell r="J1767" t="str">
            <v>WOOD COATINGS</v>
          </cell>
          <cell r="K1767" t="str">
            <v>1103</v>
          </cell>
          <cell r="L1767" t="str">
            <v>PU</v>
          </cell>
          <cell r="M1767" t="str">
            <v>110322</v>
          </cell>
          <cell r="N1767" t="str">
            <v>PU PRIMER</v>
          </cell>
        </row>
        <row r="1768">
          <cell r="C1768" t="str">
            <v>100002822</v>
          </cell>
          <cell r="D1768" t="str">
            <v>PUC-52241 CANARY 30 KD VN-20KP</v>
          </cell>
          <cell r="E1768" t="str">
            <v>ZFGD</v>
          </cell>
          <cell r="F1768" t="str">
            <v>PC</v>
          </cell>
          <cell r="G1768" t="str">
            <v>1</v>
          </cell>
          <cell r="H1768" t="str">
            <v>INDUSTRY</v>
          </cell>
          <cell r="I1768" t="str">
            <v>11</v>
          </cell>
          <cell r="J1768" t="str">
            <v>WOOD COATINGS</v>
          </cell>
          <cell r="K1768" t="str">
            <v>1103</v>
          </cell>
          <cell r="L1768" t="str">
            <v>PU</v>
          </cell>
          <cell r="M1768" t="str">
            <v>110319</v>
          </cell>
          <cell r="N1768" t="str">
            <v>PU COLOR</v>
          </cell>
        </row>
        <row r="1769">
          <cell r="C1769" t="str">
            <v>100002823</v>
          </cell>
          <cell r="D1769" t="str">
            <v>PUP-52135 WG KD VN-20KP</v>
          </cell>
          <cell r="E1769" t="str">
            <v>ZFGD</v>
          </cell>
          <cell r="F1769" t="str">
            <v>PC</v>
          </cell>
          <cell r="G1769" t="str">
            <v>1</v>
          </cell>
          <cell r="H1769" t="str">
            <v>INDUSTRY</v>
          </cell>
          <cell r="I1769" t="str">
            <v>11</v>
          </cell>
          <cell r="J1769" t="str">
            <v>WOOD COATINGS</v>
          </cell>
          <cell r="K1769" t="str">
            <v>1103</v>
          </cell>
          <cell r="L1769" t="str">
            <v>PU</v>
          </cell>
          <cell r="M1769" t="str">
            <v>110322</v>
          </cell>
          <cell r="N1769" t="str">
            <v>PU PRIMER</v>
          </cell>
        </row>
        <row r="1770">
          <cell r="C1770" t="str">
            <v>100002824</v>
          </cell>
          <cell r="D1770" t="str">
            <v>PUC-54206 AC EX WG 30 KD VN-20KP</v>
          </cell>
          <cell r="E1770" t="str">
            <v>ZFGD</v>
          </cell>
          <cell r="F1770" t="str">
            <v>PC</v>
          </cell>
          <cell r="G1770" t="str">
            <v>1</v>
          </cell>
          <cell r="H1770" t="str">
            <v>INDUSTRY</v>
          </cell>
          <cell r="I1770" t="str">
            <v>11</v>
          </cell>
          <cell r="J1770" t="str">
            <v>WOOD COATINGS</v>
          </cell>
          <cell r="K1770" t="str">
            <v>1103</v>
          </cell>
          <cell r="L1770" t="str">
            <v>PU</v>
          </cell>
          <cell r="M1770" t="str">
            <v>110319</v>
          </cell>
          <cell r="N1770" t="str">
            <v>PU COLOR</v>
          </cell>
        </row>
        <row r="1771">
          <cell r="C1771" t="str">
            <v>100002825</v>
          </cell>
          <cell r="D1771" t="str">
            <v>PUP-52135 WHITE 30 KD VN-20KP</v>
          </cell>
          <cell r="E1771" t="str">
            <v>ZFGD</v>
          </cell>
          <cell r="F1771" t="str">
            <v>PC</v>
          </cell>
          <cell r="G1771" t="str">
            <v>1</v>
          </cell>
          <cell r="H1771" t="str">
            <v>INDUSTRY</v>
          </cell>
          <cell r="I1771" t="str">
            <v>11</v>
          </cell>
          <cell r="J1771" t="str">
            <v>WOOD COATINGS</v>
          </cell>
          <cell r="K1771" t="str">
            <v>1103</v>
          </cell>
          <cell r="L1771" t="str">
            <v>PU</v>
          </cell>
          <cell r="M1771" t="str">
            <v>110322</v>
          </cell>
          <cell r="N1771" t="str">
            <v>PU PRIMER</v>
          </cell>
        </row>
        <row r="1772">
          <cell r="C1772" t="str">
            <v>100002826</v>
          </cell>
          <cell r="D1772" t="str">
            <v>PUC-54205 AC WHITE 30 30 KD VN-20KP</v>
          </cell>
          <cell r="E1772" t="str">
            <v>ZFGD</v>
          </cell>
          <cell r="F1772" t="str">
            <v>PC</v>
          </cell>
          <cell r="G1772" t="str">
            <v>1</v>
          </cell>
          <cell r="H1772" t="str">
            <v>INDUSTRY</v>
          </cell>
          <cell r="I1772" t="str">
            <v>11</v>
          </cell>
          <cell r="J1772" t="str">
            <v>WOOD COATINGS</v>
          </cell>
          <cell r="K1772" t="str">
            <v>1103</v>
          </cell>
          <cell r="L1772" t="str">
            <v>PU</v>
          </cell>
          <cell r="M1772" t="str">
            <v>110319</v>
          </cell>
          <cell r="N1772" t="str">
            <v>PU COLOR</v>
          </cell>
        </row>
        <row r="1773">
          <cell r="C1773" t="str">
            <v>100002827</v>
          </cell>
          <cell r="D1773" t="str">
            <v>PUP-52141 BLACK 30 KD VN-20KP</v>
          </cell>
          <cell r="E1773" t="str">
            <v>ZFGD</v>
          </cell>
          <cell r="F1773" t="str">
            <v>PC</v>
          </cell>
          <cell r="G1773" t="str">
            <v>1</v>
          </cell>
          <cell r="H1773" t="str">
            <v>INDUSTRY</v>
          </cell>
          <cell r="I1773" t="str">
            <v>11</v>
          </cell>
          <cell r="J1773" t="str">
            <v>WOOD COATINGS</v>
          </cell>
          <cell r="K1773" t="str">
            <v>1103</v>
          </cell>
          <cell r="L1773" t="str">
            <v>PU</v>
          </cell>
          <cell r="M1773" t="str">
            <v>110322</v>
          </cell>
          <cell r="N1773" t="str">
            <v>PU PRIMER</v>
          </cell>
        </row>
        <row r="1774">
          <cell r="C1774" t="str">
            <v>100002828</v>
          </cell>
          <cell r="D1774" t="str">
            <v>PUC-52241 BLACK 30 30 KD VN-20KP</v>
          </cell>
          <cell r="E1774" t="str">
            <v>ZFGD</v>
          </cell>
          <cell r="F1774" t="str">
            <v>PC</v>
          </cell>
          <cell r="G1774" t="str">
            <v>1</v>
          </cell>
          <cell r="H1774" t="str">
            <v>INDUSTRY</v>
          </cell>
          <cell r="I1774" t="str">
            <v>11</v>
          </cell>
          <cell r="J1774" t="str">
            <v>WOOD COATINGS</v>
          </cell>
          <cell r="K1774" t="str">
            <v>1103</v>
          </cell>
          <cell r="L1774" t="str">
            <v>PU</v>
          </cell>
          <cell r="M1774" t="str">
            <v>110319</v>
          </cell>
          <cell r="N1774" t="str">
            <v>PU COLOR</v>
          </cell>
        </row>
        <row r="1775">
          <cell r="C1775" t="str">
            <v>100002834</v>
          </cell>
          <cell r="D1775" t="str">
            <v>PUC-54205 AC 48 05 PF VN-20KP</v>
          </cell>
          <cell r="E1775" t="str">
            <v>ZFGD</v>
          </cell>
          <cell r="F1775" t="str">
            <v>PC</v>
          </cell>
          <cell r="G1775" t="str">
            <v>1</v>
          </cell>
          <cell r="H1775" t="str">
            <v>INDUSTRY</v>
          </cell>
          <cell r="I1775" t="str">
            <v>11</v>
          </cell>
          <cell r="J1775" t="str">
            <v>WOOD COATINGS</v>
          </cell>
          <cell r="K1775" t="str">
            <v>1103</v>
          </cell>
          <cell r="L1775" t="str">
            <v>PU</v>
          </cell>
          <cell r="M1775" t="str">
            <v>110319</v>
          </cell>
          <cell r="N1775" t="str">
            <v>PU COLOR</v>
          </cell>
        </row>
        <row r="1776">
          <cell r="C1776" t="str">
            <v>100002835</v>
          </cell>
          <cell r="D1776" t="str">
            <v>UVSS-40115 KW VN-20KP</v>
          </cell>
          <cell r="E1776" t="str">
            <v>ZFGD</v>
          </cell>
          <cell r="F1776" t="str">
            <v>PC</v>
          </cell>
          <cell r="G1776" t="str">
            <v>1</v>
          </cell>
          <cell r="H1776" t="str">
            <v>INDUSTRY</v>
          </cell>
          <cell r="I1776" t="str">
            <v>11</v>
          </cell>
          <cell r="J1776" t="str">
            <v>WOOD COATINGS</v>
          </cell>
          <cell r="K1776" t="str">
            <v>1106</v>
          </cell>
          <cell r="L1776" t="str">
            <v>UV</v>
          </cell>
          <cell r="M1776" t="str">
            <v>110605</v>
          </cell>
          <cell r="N1776" t="str">
            <v>UV SANDING SEALER</v>
          </cell>
        </row>
        <row r="1777">
          <cell r="C1777" t="str">
            <v>100002836</v>
          </cell>
          <cell r="D1777" t="str">
            <v>#NUGZ-9127 N RE AK-4K</v>
          </cell>
          <cell r="E1777" t="str">
            <v>ZFGD</v>
          </cell>
          <cell r="F1777" t="str">
            <v>PC</v>
          </cell>
          <cell r="G1777" t="str">
            <v>1</v>
          </cell>
          <cell r="H1777" t="str">
            <v>INDUSTRY</v>
          </cell>
          <cell r="I1777" t="str">
            <v>11</v>
          </cell>
          <cell r="J1777" t="str">
            <v>WOOD COATINGS</v>
          </cell>
          <cell r="K1777" t="str">
            <v>1109</v>
          </cell>
          <cell r="L1777" t="str">
            <v>STAIN &amp; GLAZE INTERIOR</v>
          </cell>
          <cell r="M1777" t="str">
            <v>110901</v>
          </cell>
          <cell r="N1777" t="str">
            <v>ASOF : STAIN &amp; GLAZE</v>
          </cell>
        </row>
        <row r="1778">
          <cell r="C1778" t="str">
            <v>100002837</v>
          </cell>
          <cell r="D1778" t="str">
            <v>PUC-52239 HC 173 30 HS VN-20KP</v>
          </cell>
          <cell r="E1778" t="str">
            <v>ZFGD</v>
          </cell>
          <cell r="F1778" t="str">
            <v>PC</v>
          </cell>
          <cell r="G1778" t="str">
            <v>1</v>
          </cell>
          <cell r="H1778" t="str">
            <v>INDUSTRY</v>
          </cell>
          <cell r="I1778" t="str">
            <v>11</v>
          </cell>
          <cell r="J1778" t="str">
            <v>WOOD COATINGS</v>
          </cell>
          <cell r="K1778" t="str">
            <v>1103</v>
          </cell>
          <cell r="L1778" t="str">
            <v>PU</v>
          </cell>
          <cell r="M1778" t="str">
            <v>110319</v>
          </cell>
          <cell r="N1778" t="str">
            <v>PU COLOR</v>
          </cell>
        </row>
        <row r="1779">
          <cell r="C1779" t="str">
            <v>100002838</v>
          </cell>
          <cell r="D1779" t="str">
            <v>PUC-54205 AC 46 05 PF VN-20KP</v>
          </cell>
          <cell r="E1779" t="str">
            <v>ZFGD</v>
          </cell>
          <cell r="F1779" t="str">
            <v>PC</v>
          </cell>
          <cell r="G1779" t="str">
            <v>1</v>
          </cell>
          <cell r="H1779" t="str">
            <v>INDUSTRY</v>
          </cell>
          <cell r="I1779" t="str">
            <v>11</v>
          </cell>
          <cell r="J1779" t="str">
            <v>WOOD COATINGS</v>
          </cell>
          <cell r="K1779" t="str">
            <v>1103</v>
          </cell>
          <cell r="L1779" t="str">
            <v>PU</v>
          </cell>
          <cell r="M1779" t="str">
            <v>110319</v>
          </cell>
          <cell r="N1779" t="str">
            <v>PU COLOR</v>
          </cell>
        </row>
        <row r="1780">
          <cell r="C1780" t="str">
            <v>100002839</v>
          </cell>
          <cell r="D1780" t="str">
            <v>#NUUVSS-40535 LY VN-20KP</v>
          </cell>
          <cell r="E1780" t="str">
            <v>ZFGD</v>
          </cell>
          <cell r="F1780" t="str">
            <v>PC</v>
          </cell>
          <cell r="G1780" t="str">
            <v>1</v>
          </cell>
          <cell r="H1780" t="str">
            <v>INDUSTRY</v>
          </cell>
          <cell r="I1780" t="str">
            <v>11</v>
          </cell>
          <cell r="J1780" t="str">
            <v>WOOD COATINGS</v>
          </cell>
          <cell r="K1780" t="str">
            <v>1106</v>
          </cell>
          <cell r="L1780" t="str">
            <v>UV</v>
          </cell>
          <cell r="M1780" t="str">
            <v>110605</v>
          </cell>
          <cell r="N1780" t="str">
            <v>UV SANDING SEALER</v>
          </cell>
        </row>
        <row r="1781">
          <cell r="C1781" t="str">
            <v>100002840</v>
          </cell>
          <cell r="D1781" t="str">
            <v>#NU PUH0-56144 VN</v>
          </cell>
          <cell r="E1781" t="str">
            <v>ZFGD</v>
          </cell>
          <cell r="F1781" t="str">
            <v>KG</v>
          </cell>
          <cell r="G1781" t="str">
            <v>1</v>
          </cell>
          <cell r="H1781" t="str">
            <v>INDUSTRY</v>
          </cell>
          <cell r="I1781" t="str">
            <v>11</v>
          </cell>
          <cell r="J1781" t="str">
            <v>WOOD COATINGS</v>
          </cell>
          <cell r="K1781" t="str">
            <v>1103</v>
          </cell>
          <cell r="L1781" t="str">
            <v>PU</v>
          </cell>
          <cell r="M1781" t="str">
            <v>110304</v>
          </cell>
          <cell r="N1781" t="str">
            <v>PU SYSTEM</v>
          </cell>
        </row>
        <row r="1782">
          <cell r="C1782" t="str">
            <v>100002841</v>
          </cell>
          <cell r="D1782" t="str">
            <v>#NUPUH-56144 VN-16KP</v>
          </cell>
          <cell r="E1782" t="str">
            <v>ZFGD</v>
          </cell>
          <cell r="F1782" t="str">
            <v>PC</v>
          </cell>
          <cell r="G1782" t="str">
            <v>1</v>
          </cell>
          <cell r="H1782" t="str">
            <v>INDUSTRY</v>
          </cell>
          <cell r="I1782" t="str">
            <v>11</v>
          </cell>
          <cell r="J1782" t="str">
            <v>WOOD COATINGS</v>
          </cell>
          <cell r="K1782" t="str">
            <v>1103</v>
          </cell>
          <cell r="L1782" t="str">
            <v>PU</v>
          </cell>
          <cell r="M1782" t="str">
            <v>110304</v>
          </cell>
          <cell r="N1782" t="str">
            <v>PU SYSTEM</v>
          </cell>
        </row>
        <row r="1783">
          <cell r="C1783" t="str">
            <v>100002842</v>
          </cell>
          <cell r="D1783" t="str">
            <v>#NUPUSS-51244 VN-20KP</v>
          </cell>
          <cell r="E1783" t="str">
            <v>ZFGD</v>
          </cell>
          <cell r="F1783" t="str">
            <v>PC</v>
          </cell>
          <cell r="G1783" t="str">
            <v>1</v>
          </cell>
          <cell r="H1783" t="str">
            <v>INDUSTRY</v>
          </cell>
          <cell r="I1783" t="str">
            <v>11</v>
          </cell>
          <cell r="J1783" t="str">
            <v>WOOD COATINGS</v>
          </cell>
          <cell r="K1783" t="str">
            <v>1103</v>
          </cell>
          <cell r="L1783" t="str">
            <v>PU</v>
          </cell>
          <cell r="M1783" t="str">
            <v>110304</v>
          </cell>
          <cell r="N1783" t="str">
            <v>PU SYSTEM</v>
          </cell>
        </row>
        <row r="1784">
          <cell r="C1784" t="str">
            <v>100002843</v>
          </cell>
          <cell r="D1784" t="str">
            <v>#NUPCL-31300 40 PF VN-20LJ</v>
          </cell>
          <cell r="E1784" t="str">
            <v>ZFGD</v>
          </cell>
          <cell r="F1784" t="str">
            <v>PC</v>
          </cell>
          <cell r="G1784" t="str">
            <v>1</v>
          </cell>
          <cell r="H1784" t="str">
            <v>INDUSTRY</v>
          </cell>
          <cell r="I1784" t="str">
            <v>11</v>
          </cell>
          <cell r="J1784" t="str">
            <v>WOOD COATINGS</v>
          </cell>
          <cell r="K1784" t="str">
            <v>1105</v>
          </cell>
          <cell r="L1784" t="str">
            <v>PRECAT SYSTEM</v>
          </cell>
          <cell r="M1784" t="str">
            <v>110501</v>
          </cell>
          <cell r="N1784" t="str">
            <v>PRECAT SYSTEM</v>
          </cell>
        </row>
        <row r="1785">
          <cell r="C1785" t="str">
            <v>100002844</v>
          </cell>
          <cell r="D1785" t="str">
            <v>PCL-31300 TRE GE VN-20LJ</v>
          </cell>
          <cell r="E1785" t="str">
            <v>ZFGD</v>
          </cell>
          <cell r="F1785" t="str">
            <v>PC</v>
          </cell>
          <cell r="G1785" t="str">
            <v>1</v>
          </cell>
          <cell r="H1785" t="str">
            <v>INDUSTRY</v>
          </cell>
          <cell r="I1785" t="str">
            <v>11</v>
          </cell>
          <cell r="J1785" t="str">
            <v>WOOD COATINGS</v>
          </cell>
          <cell r="K1785" t="str">
            <v>1118</v>
          </cell>
          <cell r="L1785" t="str">
            <v>COMPLEMENTARY</v>
          </cell>
          <cell r="M1785" t="str">
            <v>111807</v>
          </cell>
          <cell r="N1785" t="str">
            <v>PASTA</v>
          </cell>
        </row>
        <row r="1786">
          <cell r="C1786" t="str">
            <v>100002845</v>
          </cell>
          <cell r="D1786" t="str">
            <v>PFC-225 EPOCEM-2K</v>
          </cell>
          <cell r="E1786" t="str">
            <v>ZFGD</v>
          </cell>
          <cell r="F1786" t="str">
            <v>PC</v>
          </cell>
          <cell r="G1786" t="str">
            <v>5</v>
          </cell>
          <cell r="H1786" t="str">
            <v>PROJECT</v>
          </cell>
          <cell r="I1786" t="str">
            <v>56</v>
          </cell>
          <cell r="J1786" t="str">
            <v>CPC1</v>
          </cell>
          <cell r="K1786" t="str">
            <v>5602</v>
          </cell>
          <cell r="L1786" t="str">
            <v>POLYFLOOR</v>
          </cell>
          <cell r="M1786" t="str">
            <v>560201</v>
          </cell>
          <cell r="N1786" t="str">
            <v>POLYFLOOR CEMENT</v>
          </cell>
        </row>
        <row r="1787">
          <cell r="C1787" t="str">
            <v>100002852</v>
          </cell>
          <cell r="D1787" t="str">
            <v>UVP-60501 WHITE VN-20KP</v>
          </cell>
          <cell r="E1787" t="str">
            <v>ZFGD</v>
          </cell>
          <cell r="F1787" t="str">
            <v>PC</v>
          </cell>
          <cell r="G1787" t="str">
            <v>1</v>
          </cell>
          <cell r="H1787" t="str">
            <v>INDUSTRY</v>
          </cell>
          <cell r="I1787" t="str">
            <v>11</v>
          </cell>
          <cell r="J1787" t="str">
            <v>WOOD COATINGS</v>
          </cell>
          <cell r="K1787" t="str">
            <v>1106</v>
          </cell>
          <cell r="L1787" t="str">
            <v>UV</v>
          </cell>
          <cell r="M1787" t="str">
            <v>110604</v>
          </cell>
          <cell r="N1787" t="str">
            <v>UV PRIMER</v>
          </cell>
        </row>
        <row r="1788">
          <cell r="C1788" t="str">
            <v>100002853</v>
          </cell>
          <cell r="D1788" t="str">
            <v>UVP-60501 WHITE SC VN-20KP</v>
          </cell>
          <cell r="E1788" t="str">
            <v>ZFGD</v>
          </cell>
          <cell r="F1788" t="str">
            <v>PC</v>
          </cell>
          <cell r="G1788" t="str">
            <v>1</v>
          </cell>
          <cell r="H1788" t="str">
            <v>INDUSTRY</v>
          </cell>
          <cell r="I1788" t="str">
            <v>11</v>
          </cell>
          <cell r="J1788" t="str">
            <v>WOOD COATINGS</v>
          </cell>
          <cell r="K1788" t="str">
            <v>1106</v>
          </cell>
          <cell r="L1788" t="str">
            <v>UV</v>
          </cell>
          <cell r="M1788" t="str">
            <v>110604</v>
          </cell>
          <cell r="N1788" t="str">
            <v>UV PRIMER</v>
          </cell>
        </row>
        <row r="1789">
          <cell r="C1789" t="str">
            <v>100002854</v>
          </cell>
          <cell r="D1789" t="str">
            <v>NBC-9345 719 AK-200KB</v>
          </cell>
          <cell r="E1789" t="str">
            <v>ZFGD</v>
          </cell>
          <cell r="F1789" t="str">
            <v>PC</v>
          </cell>
          <cell r="G1789" t="str">
            <v>1</v>
          </cell>
          <cell r="H1789" t="str">
            <v>INDUSTRY</v>
          </cell>
          <cell r="I1789" t="str">
            <v>11</v>
          </cell>
          <cell r="J1789" t="str">
            <v>WOOD COATINGS</v>
          </cell>
          <cell r="K1789" t="str">
            <v>1104</v>
          </cell>
          <cell r="L1789" t="str">
            <v>NC</v>
          </cell>
          <cell r="M1789" t="str">
            <v>110403</v>
          </cell>
          <cell r="N1789" t="str">
            <v>ASOF : NC BASE COAT</v>
          </cell>
        </row>
        <row r="1790">
          <cell r="C1790" t="str">
            <v>100002855</v>
          </cell>
          <cell r="D1790" t="str">
            <v>WBST-13107 N ESPRESSO KD VN-20LJ</v>
          </cell>
          <cell r="E1790" t="str">
            <v>ZFGD</v>
          </cell>
          <cell r="F1790" t="str">
            <v>PC</v>
          </cell>
          <cell r="G1790" t="str">
            <v>1</v>
          </cell>
          <cell r="H1790" t="str">
            <v>INDUSTRY</v>
          </cell>
          <cell r="I1790" t="str">
            <v>11</v>
          </cell>
          <cell r="J1790" t="str">
            <v>WOOD COATINGS</v>
          </cell>
          <cell r="K1790" t="str">
            <v>1119</v>
          </cell>
          <cell r="L1790" t="str">
            <v>WATERBASED</v>
          </cell>
          <cell r="M1790" t="str">
            <v>111902</v>
          </cell>
          <cell r="N1790" t="str">
            <v>WATERBASED SYSTEM INTERIOR</v>
          </cell>
        </row>
        <row r="1791">
          <cell r="C1791" t="str">
            <v>100002856</v>
          </cell>
          <cell r="D1791" t="str">
            <v>NBC-9345 600 AK-200KB</v>
          </cell>
          <cell r="E1791" t="str">
            <v>ZFGD</v>
          </cell>
          <cell r="F1791" t="str">
            <v>PC</v>
          </cell>
          <cell r="G1791" t="str">
            <v>1</v>
          </cell>
          <cell r="H1791" t="str">
            <v>INDUSTRY</v>
          </cell>
          <cell r="I1791" t="str">
            <v>11</v>
          </cell>
          <cell r="J1791" t="str">
            <v>WOOD COATINGS</v>
          </cell>
          <cell r="K1791" t="str">
            <v>1104</v>
          </cell>
          <cell r="L1791" t="str">
            <v>NC</v>
          </cell>
          <cell r="M1791" t="str">
            <v>110403</v>
          </cell>
          <cell r="N1791" t="str">
            <v>ASOF : NC BASE COAT</v>
          </cell>
        </row>
        <row r="1792">
          <cell r="C1792" t="str">
            <v>100002857</v>
          </cell>
          <cell r="D1792" t="str">
            <v>NBC-9345 647 AK-200KB</v>
          </cell>
          <cell r="E1792" t="str">
            <v>ZFGD</v>
          </cell>
          <cell r="F1792" t="str">
            <v>PC</v>
          </cell>
          <cell r="G1792" t="str">
            <v>1</v>
          </cell>
          <cell r="H1792" t="str">
            <v>INDUSTRY</v>
          </cell>
          <cell r="I1792" t="str">
            <v>11</v>
          </cell>
          <cell r="J1792" t="str">
            <v>WOOD COATINGS</v>
          </cell>
          <cell r="K1792" t="str">
            <v>1104</v>
          </cell>
          <cell r="L1792" t="str">
            <v>NC</v>
          </cell>
          <cell r="M1792" t="str">
            <v>110403</v>
          </cell>
          <cell r="N1792" t="str">
            <v>ASOF : NC BASE COAT</v>
          </cell>
        </row>
        <row r="1793">
          <cell r="C1793" t="str">
            <v>100002858</v>
          </cell>
          <cell r="D1793" t="str">
            <v>PUP-1521-WHI-AK-200KB</v>
          </cell>
          <cell r="E1793" t="str">
            <v>ZFGD</v>
          </cell>
          <cell r="F1793" t="str">
            <v>PC</v>
          </cell>
          <cell r="G1793" t="str">
            <v>1</v>
          </cell>
          <cell r="H1793" t="str">
            <v>INDUSTRY</v>
          </cell>
          <cell r="I1793" t="str">
            <v>11</v>
          </cell>
          <cell r="J1793" t="str">
            <v>WOOD COATINGS</v>
          </cell>
          <cell r="K1793" t="str">
            <v>1103</v>
          </cell>
          <cell r="L1793" t="str">
            <v>PU</v>
          </cell>
          <cell r="M1793" t="str">
            <v>110322</v>
          </cell>
          <cell r="N1793" t="str">
            <v>PU PRIMER</v>
          </cell>
        </row>
        <row r="1794">
          <cell r="C1794" t="str">
            <v>100002859</v>
          </cell>
          <cell r="D1794" t="str">
            <v>WBSS-61101 HN VN-20KP</v>
          </cell>
          <cell r="E1794" t="str">
            <v>ZFGD</v>
          </cell>
          <cell r="F1794" t="str">
            <v>PC</v>
          </cell>
          <cell r="G1794" t="str">
            <v>1</v>
          </cell>
          <cell r="H1794" t="str">
            <v>INDUSTRY</v>
          </cell>
          <cell r="I1794" t="str">
            <v>11</v>
          </cell>
          <cell r="J1794" t="str">
            <v>WOOD COATINGS</v>
          </cell>
          <cell r="K1794" t="str">
            <v>1119</v>
          </cell>
          <cell r="L1794" t="str">
            <v>WATERBASED</v>
          </cell>
          <cell r="M1794" t="str">
            <v>111902</v>
          </cell>
          <cell r="N1794" t="str">
            <v>WATERBASED SYSTEM INTERIOR</v>
          </cell>
        </row>
        <row r="1795">
          <cell r="C1795" t="str">
            <v>100002860</v>
          </cell>
          <cell r="D1795" t="str">
            <v>AP-9982-2107-AK-1K</v>
          </cell>
          <cell r="E1795" t="str">
            <v>ZFGD</v>
          </cell>
          <cell r="F1795" t="str">
            <v>PC</v>
          </cell>
          <cell r="G1795" t="str">
            <v>1</v>
          </cell>
          <cell r="H1795" t="str">
            <v>INDUSTRY</v>
          </cell>
          <cell r="I1795" t="str">
            <v>11</v>
          </cell>
          <cell r="J1795" t="str">
            <v>WOOD COATINGS</v>
          </cell>
          <cell r="K1795" t="str">
            <v>1118</v>
          </cell>
          <cell r="L1795" t="str">
            <v>COMPLEMENTARY</v>
          </cell>
          <cell r="M1795" t="str">
            <v>111802</v>
          </cell>
          <cell r="N1795" t="str">
            <v>ASOF : POWDER &amp; MATTING SOLUTION</v>
          </cell>
        </row>
        <row r="1796">
          <cell r="C1796" t="str">
            <v>100002861</v>
          </cell>
          <cell r="D1796" t="str">
            <v>WBL-61201 CLEAR 80 HN VN-20KP</v>
          </cell>
          <cell r="E1796" t="str">
            <v>ZFGD</v>
          </cell>
          <cell r="F1796" t="str">
            <v>PC</v>
          </cell>
          <cell r="G1796" t="str">
            <v>1</v>
          </cell>
          <cell r="H1796" t="str">
            <v>INDUSTRY</v>
          </cell>
          <cell r="I1796" t="str">
            <v>11</v>
          </cell>
          <cell r="J1796" t="str">
            <v>WOOD COATINGS</v>
          </cell>
          <cell r="K1796" t="str">
            <v>1119</v>
          </cell>
          <cell r="L1796" t="str">
            <v>WATERBASED</v>
          </cell>
          <cell r="M1796" t="str">
            <v>111902</v>
          </cell>
          <cell r="N1796" t="str">
            <v>WATERBASED SYSTEM INTERIOR</v>
          </cell>
        </row>
        <row r="1797">
          <cell r="C1797" t="str">
            <v>100002862</v>
          </cell>
          <cell r="D1797" t="str">
            <v>WBP-62102 WHI AK-20KP</v>
          </cell>
          <cell r="E1797" t="str">
            <v>ZFGD</v>
          </cell>
          <cell r="F1797" t="str">
            <v>PC</v>
          </cell>
          <cell r="G1797" t="str">
            <v>1</v>
          </cell>
          <cell r="H1797" t="str">
            <v>INDUSTRY</v>
          </cell>
          <cell r="I1797" t="str">
            <v>11</v>
          </cell>
          <cell r="J1797" t="str">
            <v>WOOD COATINGS</v>
          </cell>
          <cell r="K1797" t="str">
            <v>1119</v>
          </cell>
          <cell r="L1797" t="str">
            <v>WATERBASED</v>
          </cell>
          <cell r="M1797" t="str">
            <v>111902</v>
          </cell>
          <cell r="N1797" t="str">
            <v>WATERBASED SYSTEM INTERIOR</v>
          </cell>
        </row>
        <row r="1798">
          <cell r="C1798" t="str">
            <v>100002863</v>
          </cell>
          <cell r="D1798" t="str">
            <v>UVSS-40535 LY VN-20KP</v>
          </cell>
          <cell r="E1798" t="str">
            <v>ZFGD</v>
          </cell>
          <cell r="F1798" t="str">
            <v>PC</v>
          </cell>
          <cell r="G1798" t="str">
            <v>1</v>
          </cell>
          <cell r="H1798" t="str">
            <v>INDUSTRY</v>
          </cell>
          <cell r="I1798" t="str">
            <v>11</v>
          </cell>
          <cell r="J1798" t="str">
            <v>WOOD COATINGS</v>
          </cell>
          <cell r="K1798" t="str">
            <v>1106</v>
          </cell>
          <cell r="L1798" t="str">
            <v>UV</v>
          </cell>
          <cell r="M1798" t="str">
            <v>110605</v>
          </cell>
          <cell r="N1798" t="str">
            <v>UV SANDING SEALER</v>
          </cell>
        </row>
        <row r="1799">
          <cell r="C1799" t="str">
            <v>100002864</v>
          </cell>
          <cell r="D1799" t="str">
            <v>GZ-9127-N-RE-AK-4K</v>
          </cell>
          <cell r="E1799" t="str">
            <v>ZFGD</v>
          </cell>
          <cell r="F1799" t="str">
            <v>PC</v>
          </cell>
          <cell r="G1799" t="str">
            <v>1</v>
          </cell>
          <cell r="H1799" t="str">
            <v>INDUSTRY</v>
          </cell>
          <cell r="I1799" t="str">
            <v>11</v>
          </cell>
          <cell r="J1799" t="str">
            <v>WOOD COATINGS</v>
          </cell>
          <cell r="K1799" t="str">
            <v>1109</v>
          </cell>
          <cell r="L1799" t="str">
            <v>STAIN &amp; GLAZE INTERIOR</v>
          </cell>
          <cell r="M1799" t="str">
            <v>110901</v>
          </cell>
          <cell r="N1799" t="str">
            <v>ASOF : STAIN &amp; GLAZE</v>
          </cell>
        </row>
        <row r="1800">
          <cell r="C1800" t="str">
            <v>100002865</v>
          </cell>
          <cell r="D1800" t="str">
            <v>PCL-31300 40 PF VN-20LJ</v>
          </cell>
          <cell r="E1800" t="str">
            <v>ZFGD</v>
          </cell>
          <cell r="F1800" t="str">
            <v>PC</v>
          </cell>
          <cell r="G1800" t="str">
            <v>1</v>
          </cell>
          <cell r="H1800" t="str">
            <v>INDUSTRY</v>
          </cell>
          <cell r="I1800" t="str">
            <v>11</v>
          </cell>
          <cell r="J1800" t="str">
            <v>WOOD COATINGS</v>
          </cell>
          <cell r="K1800" t="str">
            <v>1118</v>
          </cell>
          <cell r="L1800" t="str">
            <v>COMPLEMENTARY</v>
          </cell>
          <cell r="M1800" t="str">
            <v>111807</v>
          </cell>
          <cell r="N1800" t="str">
            <v>PASTA</v>
          </cell>
        </row>
        <row r="1801">
          <cell r="C1801" t="str">
            <v>100002866</v>
          </cell>
          <cell r="D1801" t="str">
            <v>PUC-52239 104 50 TL VN-20KP</v>
          </cell>
          <cell r="E1801" t="str">
            <v>ZFGD</v>
          </cell>
          <cell r="F1801" t="str">
            <v>PC</v>
          </cell>
          <cell r="G1801" t="str">
            <v>1</v>
          </cell>
          <cell r="H1801" t="str">
            <v>INDUSTRY</v>
          </cell>
          <cell r="I1801" t="str">
            <v>11</v>
          </cell>
          <cell r="J1801" t="str">
            <v>WOOD COATINGS</v>
          </cell>
          <cell r="K1801" t="str">
            <v>1103</v>
          </cell>
          <cell r="L1801" t="str">
            <v>PU</v>
          </cell>
          <cell r="M1801" t="str">
            <v>110319</v>
          </cell>
          <cell r="N1801" t="str">
            <v>PU COLOR</v>
          </cell>
        </row>
        <row r="1802">
          <cell r="C1802" t="str">
            <v>100002867</v>
          </cell>
          <cell r="D1802" t="str">
            <v>PUC-52239 110 50 TL VN-20KP</v>
          </cell>
          <cell r="E1802" t="str">
            <v>ZFGD</v>
          </cell>
          <cell r="F1802" t="str">
            <v>PC</v>
          </cell>
          <cell r="G1802" t="str">
            <v>1</v>
          </cell>
          <cell r="H1802" t="str">
            <v>INDUSTRY</v>
          </cell>
          <cell r="I1802" t="str">
            <v>11</v>
          </cell>
          <cell r="J1802" t="str">
            <v>WOOD COATINGS</v>
          </cell>
          <cell r="K1802" t="str">
            <v>1103</v>
          </cell>
          <cell r="L1802" t="str">
            <v>PU</v>
          </cell>
          <cell r="M1802" t="str">
            <v>110319</v>
          </cell>
          <cell r="N1802" t="str">
            <v>PU COLOR</v>
          </cell>
        </row>
        <row r="1803">
          <cell r="C1803" t="str">
            <v>100002868</v>
          </cell>
          <cell r="D1803" t="str">
            <v>NCL-11300 ALC CLEAR 80 VN-18LP</v>
          </cell>
          <cell r="E1803" t="str">
            <v>ZFGD</v>
          </cell>
          <cell r="F1803" t="str">
            <v>PC</v>
          </cell>
          <cell r="G1803" t="str">
            <v>1</v>
          </cell>
          <cell r="H1803" t="str">
            <v>INDUSTRY</v>
          </cell>
          <cell r="I1803" t="str">
            <v>11</v>
          </cell>
          <cell r="J1803" t="str">
            <v>WOOD COATINGS</v>
          </cell>
          <cell r="K1803" t="str">
            <v>1104</v>
          </cell>
          <cell r="L1803" t="str">
            <v>NC</v>
          </cell>
          <cell r="M1803" t="str">
            <v>110405</v>
          </cell>
          <cell r="N1803" t="str">
            <v>NC SYSTEM</v>
          </cell>
        </row>
        <row r="1804">
          <cell r="C1804" t="str">
            <v>100002869</v>
          </cell>
          <cell r="D1804" t="str">
            <v>GZ-9127-N-VD-AK-4K</v>
          </cell>
          <cell r="E1804" t="str">
            <v>ZFGD</v>
          </cell>
          <cell r="F1804" t="str">
            <v>PC</v>
          </cell>
          <cell r="G1804" t="str">
            <v>1</v>
          </cell>
          <cell r="H1804" t="str">
            <v>INDUSTRY</v>
          </cell>
          <cell r="I1804" t="str">
            <v>11</v>
          </cell>
          <cell r="J1804" t="str">
            <v>WOOD COATINGS</v>
          </cell>
          <cell r="K1804" t="str">
            <v>1109</v>
          </cell>
          <cell r="L1804" t="str">
            <v>STAIN &amp; GLAZE INTERIOR</v>
          </cell>
          <cell r="M1804" t="str">
            <v>110901</v>
          </cell>
          <cell r="N1804" t="str">
            <v>ASOF : STAIN &amp; GLAZE</v>
          </cell>
        </row>
        <row r="1805">
          <cell r="C1805" t="str">
            <v>100002870</v>
          </cell>
          <cell r="D1805" t="str">
            <v>MX-94 BLUE EP VN-16KP</v>
          </cell>
          <cell r="E1805" t="str">
            <v>ZFGD</v>
          </cell>
          <cell r="F1805" t="str">
            <v>PC</v>
          </cell>
          <cell r="G1805" t="str">
            <v>5</v>
          </cell>
          <cell r="H1805" t="str">
            <v>PROJECT</v>
          </cell>
          <cell r="I1805" t="str">
            <v>56</v>
          </cell>
          <cell r="J1805" t="str">
            <v>CPC1</v>
          </cell>
          <cell r="K1805" t="str">
            <v>5603</v>
          </cell>
          <cell r="L1805" t="str">
            <v>MULTIPOX</v>
          </cell>
          <cell r="M1805" t="str">
            <v>560301</v>
          </cell>
          <cell r="N1805" t="str">
            <v>MULTIPOX</v>
          </cell>
        </row>
        <row r="1806">
          <cell r="C1806" t="str">
            <v>100002871</v>
          </cell>
          <cell r="D1806" t="str">
            <v>DC-12200 CKF EXTRUDE WHITE 30 SH MY-20KP</v>
          </cell>
          <cell r="E1806" t="str">
            <v>ZFGD</v>
          </cell>
          <cell r="F1806" t="str">
            <v>PC</v>
          </cell>
          <cell r="G1806" t="str">
            <v>1</v>
          </cell>
          <cell r="H1806" t="str">
            <v>INDUSTRY</v>
          </cell>
          <cell r="I1806" t="str">
            <v>11</v>
          </cell>
          <cell r="J1806" t="str">
            <v>WOOD COATINGS</v>
          </cell>
          <cell r="K1806" t="str">
            <v>1104</v>
          </cell>
          <cell r="L1806" t="str">
            <v>NC</v>
          </cell>
          <cell r="M1806" t="str">
            <v>110405</v>
          </cell>
          <cell r="N1806" t="str">
            <v>NC SYSTEM</v>
          </cell>
        </row>
        <row r="1807">
          <cell r="C1807" t="str">
            <v>100002872</v>
          </cell>
          <cell r="D1807" t="str">
            <v>GZWB-21408 ESPRESSO KD VN-20KP</v>
          </cell>
          <cell r="E1807" t="str">
            <v>ZFGD</v>
          </cell>
          <cell r="F1807" t="str">
            <v>PC</v>
          </cell>
          <cell r="G1807" t="str">
            <v>1</v>
          </cell>
          <cell r="H1807" t="str">
            <v>INDUSTRY</v>
          </cell>
          <cell r="I1807" t="str">
            <v>11</v>
          </cell>
          <cell r="J1807" t="str">
            <v>WOOD COATINGS</v>
          </cell>
          <cell r="K1807" t="str">
            <v>1119</v>
          </cell>
          <cell r="L1807" t="str">
            <v>WATERBASED</v>
          </cell>
          <cell r="M1807" t="str">
            <v>111902</v>
          </cell>
          <cell r="N1807" t="str">
            <v>WATERBASED SYSTEM INTERIOR</v>
          </cell>
        </row>
        <row r="1808">
          <cell r="C1808" t="str">
            <v>100002873</v>
          </cell>
          <cell r="D1808" t="str">
            <v>PUC-54205 AC WHITE CT 90 VN-20KP</v>
          </cell>
          <cell r="E1808" t="str">
            <v>ZFGD</v>
          </cell>
          <cell r="F1808" t="str">
            <v>PC</v>
          </cell>
          <cell r="G1808" t="str">
            <v>1</v>
          </cell>
          <cell r="H1808" t="str">
            <v>INDUSTRY</v>
          </cell>
          <cell r="I1808" t="str">
            <v>11</v>
          </cell>
          <cell r="J1808" t="str">
            <v>WOOD COATINGS</v>
          </cell>
          <cell r="K1808" t="str">
            <v>1103</v>
          </cell>
          <cell r="L1808" t="str">
            <v>PU</v>
          </cell>
          <cell r="M1808" t="str">
            <v>110319</v>
          </cell>
          <cell r="N1808" t="str">
            <v>PU COLOR</v>
          </cell>
        </row>
        <row r="1809">
          <cell r="C1809" t="str">
            <v>100002874</v>
          </cell>
          <cell r="D1809" t="str">
            <v>DC-12200 CKF DIP EXT WHITE 30SH MY-20KP</v>
          </cell>
          <cell r="E1809" t="str">
            <v>ZFGD</v>
          </cell>
          <cell r="F1809" t="str">
            <v>PC</v>
          </cell>
          <cell r="G1809" t="str">
            <v>1</v>
          </cell>
          <cell r="H1809" t="str">
            <v>INDUSTRY</v>
          </cell>
          <cell r="I1809" t="str">
            <v>11</v>
          </cell>
          <cell r="J1809" t="str">
            <v>WOOD COATINGS</v>
          </cell>
          <cell r="K1809" t="str">
            <v>1104</v>
          </cell>
          <cell r="L1809" t="str">
            <v>NC</v>
          </cell>
          <cell r="M1809" t="str">
            <v>110405</v>
          </cell>
          <cell r="N1809" t="str">
            <v>NC SYSTEM</v>
          </cell>
        </row>
        <row r="1810">
          <cell r="C1810" t="str">
            <v>100002875</v>
          </cell>
          <cell r="D1810" t="str">
            <v>DC-12223 LC 17 30 SK VN-20KG</v>
          </cell>
          <cell r="E1810" t="str">
            <v>ZFGD</v>
          </cell>
          <cell r="F1810" t="str">
            <v>PC</v>
          </cell>
          <cell r="G1810" t="str">
            <v>1</v>
          </cell>
          <cell r="H1810" t="str">
            <v>INDUSTRY</v>
          </cell>
          <cell r="I1810" t="str">
            <v>11</v>
          </cell>
          <cell r="J1810" t="str">
            <v>WOOD COATINGS</v>
          </cell>
          <cell r="K1810" t="str">
            <v>1104</v>
          </cell>
          <cell r="L1810" t="str">
            <v>NC</v>
          </cell>
          <cell r="M1810" t="str">
            <v>110405</v>
          </cell>
          <cell r="N1810" t="str">
            <v>NC SYSTEM</v>
          </cell>
        </row>
        <row r="1811">
          <cell r="C1811" t="str">
            <v>100002876</v>
          </cell>
          <cell r="D1811" t="str">
            <v>16-1015 URT FLAT A GV 01-16KP</v>
          </cell>
          <cell r="E1811" t="str">
            <v>ZFGD</v>
          </cell>
          <cell r="F1811" t="str">
            <v>PC</v>
          </cell>
          <cell r="G1811" t="str">
            <v>1</v>
          </cell>
          <cell r="H1811" t="str">
            <v>INDUSTRY</v>
          </cell>
          <cell r="I1811" t="str">
            <v>11</v>
          </cell>
          <cell r="J1811" t="str">
            <v>WOOD COATINGS</v>
          </cell>
          <cell r="K1811" t="str">
            <v>1103</v>
          </cell>
          <cell r="L1811" t="str">
            <v>PU</v>
          </cell>
          <cell r="M1811" t="str">
            <v>110312</v>
          </cell>
          <cell r="N1811" t="str">
            <v>UNION TOP COAT</v>
          </cell>
        </row>
        <row r="1812">
          <cell r="C1812" t="str">
            <v>100002877</v>
          </cell>
          <cell r="D1812" t="str">
            <v>NBC-9345 268 AK-200KB</v>
          </cell>
          <cell r="E1812" t="str">
            <v>ZFGD</v>
          </cell>
          <cell r="F1812" t="str">
            <v>PC</v>
          </cell>
          <cell r="G1812" t="str">
            <v>1</v>
          </cell>
          <cell r="H1812" t="str">
            <v>INDUSTRY</v>
          </cell>
          <cell r="I1812" t="str">
            <v>11</v>
          </cell>
          <cell r="J1812" t="str">
            <v>WOOD COATINGS</v>
          </cell>
          <cell r="K1812" t="str">
            <v>1104</v>
          </cell>
          <cell r="L1812" t="str">
            <v>NC</v>
          </cell>
          <cell r="M1812" t="str">
            <v>110403</v>
          </cell>
          <cell r="N1812" t="str">
            <v>ASOF : NC BASE COAT</v>
          </cell>
        </row>
        <row r="1813">
          <cell r="C1813" t="str">
            <v>100002878</v>
          </cell>
          <cell r="D1813" t="str">
            <v>NBC-9345 267 AK-200KB</v>
          </cell>
          <cell r="E1813" t="str">
            <v>ZFGD</v>
          </cell>
          <cell r="F1813" t="str">
            <v>PC</v>
          </cell>
          <cell r="G1813" t="str">
            <v>1</v>
          </cell>
          <cell r="H1813" t="str">
            <v>INDUSTRY</v>
          </cell>
          <cell r="I1813" t="str">
            <v>11</v>
          </cell>
          <cell r="J1813" t="str">
            <v>WOOD COATINGS</v>
          </cell>
          <cell r="K1813" t="str">
            <v>1104</v>
          </cell>
          <cell r="L1813" t="str">
            <v>NC</v>
          </cell>
          <cell r="M1813" t="str">
            <v>110403</v>
          </cell>
          <cell r="N1813" t="str">
            <v>ASOF : NC BASE COAT</v>
          </cell>
        </row>
        <row r="1814">
          <cell r="C1814" t="str">
            <v>100002879</v>
          </cell>
          <cell r="D1814" t="str">
            <v>PUC-54205 AC WHITE CT 30 VN-20KP</v>
          </cell>
          <cell r="E1814" t="str">
            <v>ZFGD</v>
          </cell>
          <cell r="F1814" t="str">
            <v>PC</v>
          </cell>
          <cell r="G1814" t="str">
            <v>1</v>
          </cell>
          <cell r="H1814" t="str">
            <v>INDUSTRY</v>
          </cell>
          <cell r="I1814" t="str">
            <v>11</v>
          </cell>
          <cell r="J1814" t="str">
            <v>WOOD COATINGS</v>
          </cell>
          <cell r="K1814" t="str">
            <v>1103</v>
          </cell>
          <cell r="L1814" t="str">
            <v>PU</v>
          </cell>
          <cell r="M1814" t="str">
            <v>110319</v>
          </cell>
          <cell r="N1814" t="str">
            <v>PU COLOR</v>
          </cell>
        </row>
        <row r="1815">
          <cell r="C1815" t="str">
            <v>100002880</v>
          </cell>
          <cell r="D1815" t="str">
            <v>PUP-52135 DS 07 DS VN-20KP</v>
          </cell>
          <cell r="E1815" t="str">
            <v>ZFGD</v>
          </cell>
          <cell r="F1815" t="str">
            <v>PC</v>
          </cell>
          <cell r="G1815" t="str">
            <v>1</v>
          </cell>
          <cell r="H1815" t="str">
            <v>INDUSTRY</v>
          </cell>
          <cell r="I1815" t="str">
            <v>11</v>
          </cell>
          <cell r="J1815" t="str">
            <v>WOOD COATINGS</v>
          </cell>
          <cell r="K1815" t="str">
            <v>1103</v>
          </cell>
          <cell r="L1815" t="str">
            <v>PU</v>
          </cell>
          <cell r="M1815" t="str">
            <v>110322</v>
          </cell>
          <cell r="N1815" t="str">
            <v>PU PRIMER</v>
          </cell>
        </row>
        <row r="1816">
          <cell r="C1816" t="str">
            <v>100002881</v>
          </cell>
          <cell r="D1816" t="str">
            <v>PUC-52235 DS 07 20 DS VN-20KP</v>
          </cell>
          <cell r="E1816" t="str">
            <v>ZFGD</v>
          </cell>
          <cell r="F1816" t="str">
            <v>PC</v>
          </cell>
          <cell r="G1816" t="str">
            <v>1</v>
          </cell>
          <cell r="H1816" t="str">
            <v>INDUSTRY</v>
          </cell>
          <cell r="I1816" t="str">
            <v>11</v>
          </cell>
          <cell r="J1816" t="str">
            <v>WOOD COATINGS</v>
          </cell>
          <cell r="K1816" t="str">
            <v>1103</v>
          </cell>
          <cell r="L1816" t="str">
            <v>PU</v>
          </cell>
          <cell r="M1816" t="str">
            <v>110319</v>
          </cell>
          <cell r="N1816" t="str">
            <v>PU COLOR</v>
          </cell>
        </row>
        <row r="1817">
          <cell r="C1817" t="str">
            <v>100002882</v>
          </cell>
          <cell r="D1817" t="str">
            <v>WBL-61201 CLEAR 50 HN VN-20KP</v>
          </cell>
          <cell r="E1817" t="str">
            <v>ZFGD</v>
          </cell>
          <cell r="F1817" t="str">
            <v>PC</v>
          </cell>
          <cell r="G1817" t="str">
            <v>1</v>
          </cell>
          <cell r="H1817" t="str">
            <v>INDUSTRY</v>
          </cell>
          <cell r="I1817" t="str">
            <v>11</v>
          </cell>
          <cell r="J1817" t="str">
            <v>WOOD COATINGS</v>
          </cell>
          <cell r="K1817" t="str">
            <v>1119</v>
          </cell>
          <cell r="L1817" t="str">
            <v>WATERBASED</v>
          </cell>
          <cell r="M1817" t="str">
            <v>111902</v>
          </cell>
          <cell r="N1817" t="str">
            <v>WATERBASED SYSTEM INTERIOR</v>
          </cell>
        </row>
        <row r="1818">
          <cell r="C1818" t="str">
            <v>100002883</v>
          </cell>
          <cell r="D1818" t="str">
            <v>UVL-50101 CLEAR 20 VN-20KP</v>
          </cell>
          <cell r="E1818" t="str">
            <v>ZFGD</v>
          </cell>
          <cell r="F1818" t="str">
            <v>PC</v>
          </cell>
          <cell r="G1818" t="str">
            <v>1</v>
          </cell>
          <cell r="H1818" t="str">
            <v>INDUSTRY</v>
          </cell>
          <cell r="I1818" t="str">
            <v>11</v>
          </cell>
          <cell r="J1818" t="str">
            <v>WOOD COATINGS</v>
          </cell>
          <cell r="K1818" t="str">
            <v>1106</v>
          </cell>
          <cell r="L1818" t="str">
            <v>UV</v>
          </cell>
          <cell r="M1818" t="str">
            <v>110607</v>
          </cell>
          <cell r="N1818" t="str">
            <v>UV TOP COAT CLEAR</v>
          </cell>
        </row>
        <row r="1819">
          <cell r="C1819" t="str">
            <v>100002884</v>
          </cell>
          <cell r="D1819" t="str">
            <v>PUC-54205 AC WHITE 60 VN-20KP</v>
          </cell>
          <cell r="E1819" t="str">
            <v>ZFGD</v>
          </cell>
          <cell r="F1819" t="str">
            <v>PC</v>
          </cell>
          <cell r="G1819" t="str">
            <v>1</v>
          </cell>
          <cell r="H1819" t="str">
            <v>INDUSTRY</v>
          </cell>
          <cell r="I1819" t="str">
            <v>11</v>
          </cell>
          <cell r="J1819" t="str">
            <v>WOOD COATINGS</v>
          </cell>
          <cell r="K1819" t="str">
            <v>1103</v>
          </cell>
          <cell r="L1819" t="str">
            <v>PU</v>
          </cell>
          <cell r="M1819" t="str">
            <v>110319</v>
          </cell>
          <cell r="N1819" t="str">
            <v>PU COLOR</v>
          </cell>
        </row>
        <row r="1820">
          <cell r="C1820" t="str">
            <v>100002885</v>
          </cell>
          <cell r="D1820" t="str">
            <v>PUC-54205 AC 51 08 PF VN-20KP</v>
          </cell>
          <cell r="E1820" t="str">
            <v>ZFGD</v>
          </cell>
          <cell r="F1820" t="str">
            <v>PC</v>
          </cell>
          <cell r="G1820" t="str">
            <v>1</v>
          </cell>
          <cell r="H1820" t="str">
            <v>INDUSTRY</v>
          </cell>
          <cell r="I1820" t="str">
            <v>11</v>
          </cell>
          <cell r="J1820" t="str">
            <v>WOOD COATINGS</v>
          </cell>
          <cell r="K1820" t="str">
            <v>1103</v>
          </cell>
          <cell r="L1820" t="str">
            <v>PU</v>
          </cell>
          <cell r="M1820" t="str">
            <v>110319</v>
          </cell>
          <cell r="N1820" t="str">
            <v>PU COLOR</v>
          </cell>
        </row>
        <row r="1821">
          <cell r="C1821" t="str">
            <v>100002886</v>
          </cell>
          <cell r="D1821" t="str">
            <v>PUC-54205 AC 52 08 PF VN-20KP</v>
          </cell>
          <cell r="E1821" t="str">
            <v>ZFGD</v>
          </cell>
          <cell r="F1821" t="str">
            <v>PC</v>
          </cell>
          <cell r="G1821" t="str">
            <v>1</v>
          </cell>
          <cell r="H1821" t="str">
            <v>INDUSTRY</v>
          </cell>
          <cell r="I1821" t="str">
            <v>11</v>
          </cell>
          <cell r="J1821" t="str">
            <v>WOOD COATINGS</v>
          </cell>
          <cell r="K1821" t="str">
            <v>1103</v>
          </cell>
          <cell r="L1821" t="str">
            <v>PU</v>
          </cell>
          <cell r="M1821" t="str">
            <v>110319</v>
          </cell>
          <cell r="N1821" t="str">
            <v>PU COLOR</v>
          </cell>
        </row>
        <row r="1822">
          <cell r="C1822" t="str">
            <v>100002887</v>
          </cell>
          <cell r="D1822" t="str">
            <v>WBSS-61108 VN-20KP</v>
          </cell>
          <cell r="E1822" t="str">
            <v>ZFGD</v>
          </cell>
          <cell r="F1822" t="str">
            <v>PC</v>
          </cell>
          <cell r="G1822" t="str">
            <v>1</v>
          </cell>
          <cell r="H1822" t="str">
            <v>INDUSTRY</v>
          </cell>
          <cell r="I1822" t="str">
            <v>11</v>
          </cell>
          <cell r="J1822" t="str">
            <v>WOOD COATINGS</v>
          </cell>
          <cell r="K1822" t="str">
            <v>1119</v>
          </cell>
          <cell r="L1822" t="str">
            <v>WATERBASED</v>
          </cell>
          <cell r="M1822" t="str">
            <v>111902</v>
          </cell>
          <cell r="N1822" t="str">
            <v>WATERBASED SYSTEM INTERIOR</v>
          </cell>
        </row>
        <row r="1823">
          <cell r="C1823" t="str">
            <v>100002888</v>
          </cell>
          <cell r="D1823" t="str">
            <v>WBL-61208 CLEAR 20 VN-20KP</v>
          </cell>
          <cell r="E1823" t="str">
            <v>ZFGD</v>
          </cell>
          <cell r="F1823" t="str">
            <v>PC</v>
          </cell>
          <cell r="G1823" t="str">
            <v>1</v>
          </cell>
          <cell r="H1823" t="str">
            <v>INDUSTRY</v>
          </cell>
          <cell r="I1823" t="str">
            <v>11</v>
          </cell>
          <cell r="J1823" t="str">
            <v>WOOD COATINGS</v>
          </cell>
          <cell r="K1823" t="str">
            <v>1119</v>
          </cell>
          <cell r="L1823" t="str">
            <v>WATERBASED</v>
          </cell>
          <cell r="M1823" t="str">
            <v>111902</v>
          </cell>
          <cell r="N1823" t="str">
            <v>WATERBASED SYSTEM INTERIOR</v>
          </cell>
        </row>
        <row r="1824">
          <cell r="C1824" t="str">
            <v>100002889</v>
          </cell>
          <cell r="D1824" t="str">
            <v>SST-11100 104 A SM VN-20LJ</v>
          </cell>
          <cell r="E1824" t="str">
            <v>ZFGD</v>
          </cell>
          <cell r="F1824" t="str">
            <v>PC</v>
          </cell>
          <cell r="G1824" t="str">
            <v>1</v>
          </cell>
          <cell r="H1824" t="str">
            <v>INDUSTRY</v>
          </cell>
          <cell r="I1824" t="str">
            <v>11</v>
          </cell>
          <cell r="J1824" t="str">
            <v>WOOD COATINGS</v>
          </cell>
          <cell r="K1824" t="str">
            <v>1109</v>
          </cell>
          <cell r="L1824" t="str">
            <v>STAIN &amp; GLAZE INTERIOR</v>
          </cell>
          <cell r="M1824" t="str">
            <v>110903</v>
          </cell>
          <cell r="N1824" t="str">
            <v>STAIN INTERIOR</v>
          </cell>
        </row>
        <row r="1825">
          <cell r="C1825" t="str">
            <v>100002890</v>
          </cell>
          <cell r="D1825" t="str">
            <v>SST-11100 104 B SM VN-20LJ</v>
          </cell>
          <cell r="E1825" t="str">
            <v>ZFGD</v>
          </cell>
          <cell r="F1825" t="str">
            <v>PC</v>
          </cell>
          <cell r="G1825" t="str">
            <v>1</v>
          </cell>
          <cell r="H1825" t="str">
            <v>INDUSTRY</v>
          </cell>
          <cell r="I1825" t="str">
            <v>11</v>
          </cell>
          <cell r="J1825" t="str">
            <v>WOOD COATINGS</v>
          </cell>
          <cell r="K1825" t="str">
            <v>1109</v>
          </cell>
          <cell r="L1825" t="str">
            <v>STAIN &amp; GLAZE INTERIOR</v>
          </cell>
          <cell r="M1825" t="str">
            <v>110903</v>
          </cell>
          <cell r="N1825" t="str">
            <v>STAIN INTERIOR</v>
          </cell>
        </row>
        <row r="1826">
          <cell r="C1826" t="str">
            <v>100002891</v>
          </cell>
          <cell r="D1826" t="str">
            <v>SST-11100 108 DB VN-20LJ</v>
          </cell>
          <cell r="E1826" t="str">
            <v>ZFGD</v>
          </cell>
          <cell r="F1826" t="str">
            <v>PC</v>
          </cell>
          <cell r="G1826" t="str">
            <v>1</v>
          </cell>
          <cell r="H1826" t="str">
            <v>INDUSTRY</v>
          </cell>
          <cell r="I1826" t="str">
            <v>11</v>
          </cell>
          <cell r="J1826" t="str">
            <v>WOOD COATINGS</v>
          </cell>
          <cell r="K1826" t="str">
            <v>1109</v>
          </cell>
          <cell r="L1826" t="str">
            <v>STAIN &amp; GLAZE INTERIOR</v>
          </cell>
          <cell r="M1826" t="str">
            <v>110903</v>
          </cell>
          <cell r="N1826" t="str">
            <v>STAIN INTERIOR</v>
          </cell>
        </row>
        <row r="1827">
          <cell r="C1827" t="str">
            <v>100002892</v>
          </cell>
          <cell r="D1827" t="str">
            <v>PUC-52233 BLACK 05 VN-20KP</v>
          </cell>
          <cell r="E1827" t="str">
            <v>ZFGD</v>
          </cell>
          <cell r="F1827" t="str">
            <v>PC</v>
          </cell>
          <cell r="G1827" t="str">
            <v>1</v>
          </cell>
          <cell r="H1827" t="str">
            <v>INDUSTRY</v>
          </cell>
          <cell r="I1827" t="str">
            <v>11</v>
          </cell>
          <cell r="J1827" t="str">
            <v>WOOD COATINGS</v>
          </cell>
          <cell r="K1827" t="str">
            <v>1103</v>
          </cell>
          <cell r="L1827" t="str">
            <v>PU</v>
          </cell>
          <cell r="M1827" t="str">
            <v>110319</v>
          </cell>
          <cell r="N1827" t="str">
            <v>PU COLOR</v>
          </cell>
        </row>
        <row r="1828">
          <cell r="C1828" t="str">
            <v>100002893</v>
          </cell>
          <cell r="D1828" t="str">
            <v>SST-11100 874C DB VN-20LJ</v>
          </cell>
          <cell r="E1828" t="str">
            <v>ZFGD</v>
          </cell>
          <cell r="F1828" t="str">
            <v>PC</v>
          </cell>
          <cell r="G1828" t="str">
            <v>1</v>
          </cell>
          <cell r="H1828" t="str">
            <v>INDUSTRY</v>
          </cell>
          <cell r="I1828" t="str">
            <v>11</v>
          </cell>
          <cell r="J1828" t="str">
            <v>WOOD COATINGS</v>
          </cell>
          <cell r="K1828" t="str">
            <v>1109</v>
          </cell>
          <cell r="L1828" t="str">
            <v>STAIN &amp; GLAZE INTERIOR</v>
          </cell>
          <cell r="M1828" t="str">
            <v>110903</v>
          </cell>
          <cell r="N1828" t="str">
            <v>STAIN INTERIOR</v>
          </cell>
        </row>
        <row r="1829">
          <cell r="C1829" t="str">
            <v>100002894</v>
          </cell>
          <cell r="D1829" t="str">
            <v>PUP-54106 AC EX L45 DB VN-20KP</v>
          </cell>
          <cell r="E1829" t="str">
            <v>ZFGD</v>
          </cell>
          <cell r="F1829" t="str">
            <v>PC</v>
          </cell>
          <cell r="G1829" t="str">
            <v>1</v>
          </cell>
          <cell r="H1829" t="str">
            <v>INDUSTRY</v>
          </cell>
          <cell r="I1829" t="str">
            <v>11</v>
          </cell>
          <cell r="J1829" t="str">
            <v>WOOD COATINGS</v>
          </cell>
          <cell r="K1829" t="str">
            <v>1103</v>
          </cell>
          <cell r="L1829" t="str">
            <v>PU</v>
          </cell>
          <cell r="M1829" t="str">
            <v>110322</v>
          </cell>
          <cell r="N1829" t="str">
            <v>PU PRIMER</v>
          </cell>
        </row>
        <row r="1830">
          <cell r="C1830" t="str">
            <v>100002895</v>
          </cell>
          <cell r="D1830" t="str">
            <v>PST-12200 1K LIGHT OIL SC VN-200LK</v>
          </cell>
          <cell r="E1830" t="str">
            <v>ZFGD</v>
          </cell>
          <cell r="F1830" t="str">
            <v>PC</v>
          </cell>
          <cell r="G1830" t="str">
            <v>1</v>
          </cell>
          <cell r="H1830" t="str">
            <v>INDUSTRY</v>
          </cell>
          <cell r="I1830" t="str">
            <v>11</v>
          </cell>
          <cell r="J1830" t="str">
            <v>WOOD COATINGS</v>
          </cell>
          <cell r="K1830" t="str">
            <v>1101</v>
          </cell>
          <cell r="L1830" t="str">
            <v>ALKYD OIL</v>
          </cell>
          <cell r="M1830" t="str">
            <v>110102</v>
          </cell>
          <cell r="N1830" t="str">
            <v>STAIN EXTERIOR</v>
          </cell>
        </row>
        <row r="1831">
          <cell r="C1831" t="str">
            <v>100002896</v>
          </cell>
          <cell r="D1831" t="str">
            <v>UVS-20600 GGP 01 SC VN-20KP</v>
          </cell>
          <cell r="E1831" t="str">
            <v>ZFGD</v>
          </cell>
          <cell r="F1831" t="str">
            <v>PC</v>
          </cell>
          <cell r="G1831" t="str">
            <v>1</v>
          </cell>
          <cell r="H1831" t="str">
            <v>INDUSTRY</v>
          </cell>
          <cell r="I1831" t="str">
            <v>11</v>
          </cell>
          <cell r="J1831" t="str">
            <v>WOOD COATINGS</v>
          </cell>
          <cell r="K1831" t="str">
            <v>1106</v>
          </cell>
          <cell r="L1831" t="str">
            <v>UV</v>
          </cell>
          <cell r="M1831" t="str">
            <v>110606</v>
          </cell>
          <cell r="N1831" t="str">
            <v>UV STAIN</v>
          </cell>
        </row>
        <row r="1832">
          <cell r="C1832" t="str">
            <v>100002897</v>
          </cell>
          <cell r="D1832" t="str">
            <v>UVS-20600 GGP 02 SC VN-20KP</v>
          </cell>
          <cell r="E1832" t="str">
            <v>ZFGD</v>
          </cell>
          <cell r="F1832" t="str">
            <v>PC</v>
          </cell>
          <cell r="G1832" t="str">
            <v>1</v>
          </cell>
          <cell r="H1832" t="str">
            <v>INDUSTRY</v>
          </cell>
          <cell r="I1832" t="str">
            <v>11</v>
          </cell>
          <cell r="J1832" t="str">
            <v>WOOD COATINGS</v>
          </cell>
          <cell r="K1832" t="str">
            <v>1106</v>
          </cell>
          <cell r="L1832" t="str">
            <v>UV</v>
          </cell>
          <cell r="M1832" t="str">
            <v>110606</v>
          </cell>
          <cell r="N1832" t="str">
            <v>UV STAIN</v>
          </cell>
        </row>
        <row r="1833">
          <cell r="C1833" t="str">
            <v>100002898</v>
          </cell>
          <cell r="D1833" t="str">
            <v>UVS-20600 GGP 03 SC VN-20KP</v>
          </cell>
          <cell r="E1833" t="str">
            <v>ZFGD</v>
          </cell>
          <cell r="F1833" t="str">
            <v>PC</v>
          </cell>
          <cell r="G1833" t="str">
            <v>1</v>
          </cell>
          <cell r="H1833" t="str">
            <v>INDUSTRY</v>
          </cell>
          <cell r="I1833" t="str">
            <v>11</v>
          </cell>
          <cell r="J1833" t="str">
            <v>WOOD COATINGS</v>
          </cell>
          <cell r="K1833" t="str">
            <v>1106</v>
          </cell>
          <cell r="L1833" t="str">
            <v>UV</v>
          </cell>
          <cell r="M1833" t="str">
            <v>110606</v>
          </cell>
          <cell r="N1833" t="str">
            <v>UV STAIN</v>
          </cell>
        </row>
        <row r="1834">
          <cell r="C1834" t="str">
            <v>100002899</v>
          </cell>
          <cell r="D1834" t="str">
            <v>UVS-20600 GGP 04 SC VN-20KP</v>
          </cell>
          <cell r="E1834" t="str">
            <v>ZFGD</v>
          </cell>
          <cell r="F1834" t="str">
            <v>PC</v>
          </cell>
          <cell r="G1834" t="str">
            <v>1</v>
          </cell>
          <cell r="H1834" t="str">
            <v>INDUSTRY</v>
          </cell>
          <cell r="I1834" t="str">
            <v>11</v>
          </cell>
          <cell r="J1834" t="str">
            <v>WOOD COATINGS</v>
          </cell>
          <cell r="K1834" t="str">
            <v>1106</v>
          </cell>
          <cell r="L1834" t="str">
            <v>UV</v>
          </cell>
          <cell r="M1834" t="str">
            <v>110606</v>
          </cell>
          <cell r="N1834" t="str">
            <v>UV STAIN</v>
          </cell>
        </row>
        <row r="1835">
          <cell r="C1835" t="str">
            <v>100002900</v>
          </cell>
          <cell r="D1835" t="str">
            <v>UVSS-40101 F VN-20KP</v>
          </cell>
          <cell r="E1835" t="str">
            <v>ZFGD</v>
          </cell>
          <cell r="F1835" t="str">
            <v>PC</v>
          </cell>
          <cell r="G1835" t="str">
            <v>1</v>
          </cell>
          <cell r="H1835" t="str">
            <v>INDUSTRY</v>
          </cell>
          <cell r="I1835" t="str">
            <v>11</v>
          </cell>
          <cell r="J1835" t="str">
            <v>WOOD COATINGS</v>
          </cell>
          <cell r="K1835" t="str">
            <v>1106</v>
          </cell>
          <cell r="L1835" t="str">
            <v>UV</v>
          </cell>
          <cell r="M1835" t="str">
            <v>110605</v>
          </cell>
          <cell r="N1835" t="str">
            <v>UV SANDING SEALER</v>
          </cell>
        </row>
        <row r="1836">
          <cell r="C1836" t="str">
            <v>100002901</v>
          </cell>
          <cell r="D1836" t="str">
            <v>UVSS-40524 VN-20KP</v>
          </cell>
          <cell r="E1836" t="str">
            <v>ZFGD</v>
          </cell>
          <cell r="F1836" t="str">
            <v>PC</v>
          </cell>
          <cell r="G1836" t="str">
            <v>1</v>
          </cell>
          <cell r="H1836" t="str">
            <v>INDUSTRY</v>
          </cell>
          <cell r="I1836" t="str">
            <v>11</v>
          </cell>
          <cell r="J1836" t="str">
            <v>WOOD COATINGS</v>
          </cell>
          <cell r="K1836" t="str">
            <v>1106</v>
          </cell>
          <cell r="L1836" t="str">
            <v>UV</v>
          </cell>
          <cell r="M1836" t="str">
            <v>110605</v>
          </cell>
          <cell r="N1836" t="str">
            <v>UV SANDING SEALER</v>
          </cell>
        </row>
        <row r="1837">
          <cell r="C1837" t="str">
            <v>100002902</v>
          </cell>
          <cell r="D1837" t="str">
            <v>GZWB-21407 VAN DICK BROWN VN-20KP</v>
          </cell>
          <cell r="E1837" t="str">
            <v>ZFGD</v>
          </cell>
          <cell r="F1837" t="str">
            <v>PC</v>
          </cell>
          <cell r="G1837" t="str">
            <v>1</v>
          </cell>
          <cell r="H1837" t="str">
            <v>INDUSTRY</v>
          </cell>
          <cell r="I1837" t="str">
            <v>11</v>
          </cell>
          <cell r="J1837" t="str">
            <v>WOOD COATINGS</v>
          </cell>
          <cell r="K1837" t="str">
            <v>1119</v>
          </cell>
          <cell r="L1837" t="str">
            <v>WATERBASED</v>
          </cell>
          <cell r="M1837" t="str">
            <v>111902</v>
          </cell>
          <cell r="N1837" t="str">
            <v>WATERBASED SYSTEM INTERIOR</v>
          </cell>
        </row>
        <row r="1838">
          <cell r="C1838" t="str">
            <v>100002903</v>
          </cell>
          <cell r="D1838" t="str">
            <v>UVL-50563 LY CLEAR 08 VN-20KP</v>
          </cell>
          <cell r="E1838" t="str">
            <v>ZFGD</v>
          </cell>
          <cell r="F1838" t="str">
            <v>PC</v>
          </cell>
          <cell r="G1838" t="str">
            <v>1</v>
          </cell>
          <cell r="H1838" t="str">
            <v>INDUSTRY</v>
          </cell>
          <cell r="I1838" t="str">
            <v>11</v>
          </cell>
          <cell r="J1838" t="str">
            <v>WOOD COATINGS</v>
          </cell>
          <cell r="K1838" t="str">
            <v>1106</v>
          </cell>
          <cell r="L1838" t="str">
            <v>UV</v>
          </cell>
          <cell r="M1838" t="str">
            <v>110607</v>
          </cell>
          <cell r="N1838" t="str">
            <v>UV TOP COAT CLEAR</v>
          </cell>
        </row>
        <row r="1839">
          <cell r="C1839" t="str">
            <v>100002904</v>
          </cell>
          <cell r="D1839" t="str">
            <v>UVSS-40402 WB VN-20KP</v>
          </cell>
          <cell r="E1839" t="str">
            <v>ZFGD</v>
          </cell>
          <cell r="F1839" t="str">
            <v>PC</v>
          </cell>
          <cell r="G1839" t="str">
            <v>1</v>
          </cell>
          <cell r="H1839" t="str">
            <v>INDUSTRY</v>
          </cell>
          <cell r="I1839" t="str">
            <v>11</v>
          </cell>
          <cell r="J1839" t="str">
            <v>WOOD COATINGS</v>
          </cell>
          <cell r="K1839" t="str">
            <v>1106</v>
          </cell>
          <cell r="L1839" t="str">
            <v>UV</v>
          </cell>
          <cell r="M1839" t="str">
            <v>110605</v>
          </cell>
          <cell r="N1839" t="str">
            <v>UV SANDING SEALER</v>
          </cell>
        </row>
        <row r="1840">
          <cell r="C1840" t="str">
            <v>100002905</v>
          </cell>
          <cell r="D1840" t="str">
            <v>UVP-60501 COOL GREY SC VN-20KP</v>
          </cell>
          <cell r="E1840" t="str">
            <v>ZFGD</v>
          </cell>
          <cell r="F1840" t="str">
            <v>PC</v>
          </cell>
          <cell r="G1840" t="str">
            <v>1</v>
          </cell>
          <cell r="H1840" t="str">
            <v>INDUSTRY</v>
          </cell>
          <cell r="I1840" t="str">
            <v>11</v>
          </cell>
          <cell r="J1840" t="str">
            <v>WOOD COATINGS</v>
          </cell>
          <cell r="K1840" t="str">
            <v>1106</v>
          </cell>
          <cell r="L1840" t="str">
            <v>UV</v>
          </cell>
          <cell r="M1840" t="str">
            <v>110604</v>
          </cell>
          <cell r="N1840" t="str">
            <v>UV PRIMER</v>
          </cell>
        </row>
        <row r="1841">
          <cell r="C1841" t="str">
            <v>100002906</v>
          </cell>
          <cell r="D1841" t="str">
            <v>UVP-60501 YELLOW TEAK SC VN-20KP</v>
          </cell>
          <cell r="E1841" t="str">
            <v>ZFGD</v>
          </cell>
          <cell r="F1841" t="str">
            <v>PC</v>
          </cell>
          <cell r="G1841" t="str">
            <v>1</v>
          </cell>
          <cell r="H1841" t="str">
            <v>INDUSTRY</v>
          </cell>
          <cell r="I1841" t="str">
            <v>11</v>
          </cell>
          <cell r="J1841" t="str">
            <v>WOOD COATINGS</v>
          </cell>
          <cell r="K1841" t="str">
            <v>1106</v>
          </cell>
          <cell r="L1841" t="str">
            <v>UV</v>
          </cell>
          <cell r="M1841" t="str">
            <v>110604</v>
          </cell>
          <cell r="N1841" t="str">
            <v>UV PRIMER</v>
          </cell>
        </row>
        <row r="1842">
          <cell r="C1842" t="str">
            <v>100002907</v>
          </cell>
          <cell r="D1842" t="str">
            <v>WBH-69100 EX VN-1L</v>
          </cell>
          <cell r="E1842" t="str">
            <v>ZFGD</v>
          </cell>
          <cell r="F1842" t="str">
            <v>PC</v>
          </cell>
          <cell r="G1842" t="str">
            <v>1</v>
          </cell>
          <cell r="H1842" t="str">
            <v>INDUSTRY</v>
          </cell>
          <cell r="I1842" t="str">
            <v>11</v>
          </cell>
          <cell r="J1842" t="str">
            <v>WOOD COATINGS</v>
          </cell>
          <cell r="K1842" t="str">
            <v>1119</v>
          </cell>
          <cell r="L1842" t="str">
            <v>WATERBASED</v>
          </cell>
          <cell r="M1842" t="str">
            <v>111902</v>
          </cell>
          <cell r="N1842" t="str">
            <v>WATERBASED SYSTEM INTERIOR</v>
          </cell>
        </row>
        <row r="1843">
          <cell r="C1843" t="str">
            <v>100002908</v>
          </cell>
          <cell r="D1843" t="str">
            <v>UVS-20600 YELLOW 10920 VN-20KP</v>
          </cell>
          <cell r="E1843" t="str">
            <v>ZFGD</v>
          </cell>
          <cell r="F1843" t="str">
            <v>PC</v>
          </cell>
          <cell r="G1843" t="str">
            <v>1</v>
          </cell>
          <cell r="H1843" t="str">
            <v>INDUSTRY</v>
          </cell>
          <cell r="I1843" t="str">
            <v>11</v>
          </cell>
          <cell r="J1843" t="str">
            <v>WOOD COATINGS</v>
          </cell>
          <cell r="K1843" t="str">
            <v>1106</v>
          </cell>
          <cell r="L1843" t="str">
            <v>UV</v>
          </cell>
          <cell r="M1843" t="str">
            <v>110606</v>
          </cell>
          <cell r="N1843" t="str">
            <v>UV STAIN</v>
          </cell>
        </row>
        <row r="1844">
          <cell r="C1844" t="str">
            <v>100002909</v>
          </cell>
          <cell r="D1844" t="str">
            <v>UVS-20600 RED 30130 VN-20KP</v>
          </cell>
          <cell r="E1844" t="str">
            <v>ZFGD</v>
          </cell>
          <cell r="F1844" t="str">
            <v>PC</v>
          </cell>
          <cell r="G1844" t="str">
            <v>1</v>
          </cell>
          <cell r="H1844" t="str">
            <v>INDUSTRY</v>
          </cell>
          <cell r="I1844" t="str">
            <v>11</v>
          </cell>
          <cell r="J1844" t="str">
            <v>WOOD COATINGS</v>
          </cell>
          <cell r="K1844" t="str">
            <v>1106</v>
          </cell>
          <cell r="L1844" t="str">
            <v>UV</v>
          </cell>
          <cell r="M1844" t="str">
            <v>110606</v>
          </cell>
          <cell r="N1844" t="str">
            <v>UV STAIN</v>
          </cell>
        </row>
        <row r="1845">
          <cell r="C1845" t="str">
            <v>100002910</v>
          </cell>
          <cell r="D1845" t="str">
            <v>UVS-20600 WHITE 02310 VN-20KP</v>
          </cell>
          <cell r="E1845" t="str">
            <v>ZFGD</v>
          </cell>
          <cell r="F1845" t="str">
            <v>PC</v>
          </cell>
          <cell r="G1845" t="str">
            <v>1</v>
          </cell>
          <cell r="H1845" t="str">
            <v>INDUSTRY</v>
          </cell>
          <cell r="I1845" t="str">
            <v>11</v>
          </cell>
          <cell r="J1845" t="str">
            <v>WOOD COATINGS</v>
          </cell>
          <cell r="K1845" t="str">
            <v>1106</v>
          </cell>
          <cell r="L1845" t="str">
            <v>UV</v>
          </cell>
          <cell r="M1845" t="str">
            <v>110606</v>
          </cell>
          <cell r="N1845" t="str">
            <v>UV STAIN</v>
          </cell>
        </row>
        <row r="1846">
          <cell r="C1846" t="str">
            <v>100002911</v>
          </cell>
          <cell r="D1846" t="str">
            <v>UVS-20600 BLACK 90200 VN-20KP</v>
          </cell>
          <cell r="E1846" t="str">
            <v>ZFGD</v>
          </cell>
          <cell r="F1846" t="str">
            <v>PC</v>
          </cell>
          <cell r="G1846" t="str">
            <v>1</v>
          </cell>
          <cell r="H1846" t="str">
            <v>INDUSTRY</v>
          </cell>
          <cell r="I1846" t="str">
            <v>11</v>
          </cell>
          <cell r="J1846" t="str">
            <v>WOOD COATINGS</v>
          </cell>
          <cell r="K1846" t="str">
            <v>1106</v>
          </cell>
          <cell r="L1846" t="str">
            <v>UV</v>
          </cell>
          <cell r="M1846" t="str">
            <v>110606</v>
          </cell>
          <cell r="N1846" t="str">
            <v>UV STAIN</v>
          </cell>
        </row>
        <row r="1847">
          <cell r="C1847" t="str">
            <v>100002912</v>
          </cell>
          <cell r="D1847" t="str">
            <v>UVS-20600 CLEAR BASE VN-20KP</v>
          </cell>
          <cell r="E1847" t="str">
            <v>ZFGD</v>
          </cell>
          <cell r="F1847" t="str">
            <v>PC</v>
          </cell>
          <cell r="G1847" t="str">
            <v>1</v>
          </cell>
          <cell r="H1847" t="str">
            <v>INDUSTRY</v>
          </cell>
          <cell r="I1847" t="str">
            <v>11</v>
          </cell>
          <cell r="J1847" t="str">
            <v>WOOD COATINGS</v>
          </cell>
          <cell r="K1847" t="str">
            <v>1106</v>
          </cell>
          <cell r="L1847" t="str">
            <v>UV</v>
          </cell>
          <cell r="M1847" t="str">
            <v>110606</v>
          </cell>
          <cell r="N1847" t="str">
            <v>UV STAIN</v>
          </cell>
        </row>
        <row r="1848">
          <cell r="C1848" t="str">
            <v>100002913</v>
          </cell>
          <cell r="D1848" t="str">
            <v>UVB-30500 VN-20KP</v>
          </cell>
          <cell r="E1848" t="str">
            <v>ZFGD</v>
          </cell>
          <cell r="F1848" t="str">
            <v>PC</v>
          </cell>
          <cell r="G1848" t="str">
            <v>1</v>
          </cell>
          <cell r="H1848" t="str">
            <v>INDUSTRY</v>
          </cell>
          <cell r="I1848" t="str">
            <v>11</v>
          </cell>
          <cell r="J1848" t="str">
            <v>WOOD COATINGS</v>
          </cell>
          <cell r="K1848" t="str">
            <v>1106</v>
          </cell>
          <cell r="L1848" t="str">
            <v>UV</v>
          </cell>
          <cell r="M1848" t="str">
            <v>110601</v>
          </cell>
          <cell r="N1848" t="str">
            <v>UV BARRIER</v>
          </cell>
        </row>
        <row r="1849">
          <cell r="C1849" t="str">
            <v>100002914</v>
          </cell>
          <cell r="D1849" t="str">
            <v>WBL-63217 EX CLEAR 08 VN-20KP</v>
          </cell>
          <cell r="E1849" t="str">
            <v>ZFGD</v>
          </cell>
          <cell r="F1849" t="str">
            <v>PC</v>
          </cell>
          <cell r="G1849" t="str">
            <v>1</v>
          </cell>
          <cell r="H1849" t="str">
            <v>INDUSTRY</v>
          </cell>
          <cell r="I1849" t="str">
            <v>11</v>
          </cell>
          <cell r="J1849" t="str">
            <v>WOOD COATINGS</v>
          </cell>
          <cell r="K1849" t="str">
            <v>1119</v>
          </cell>
          <cell r="L1849" t="str">
            <v>WATERBASED</v>
          </cell>
          <cell r="M1849" t="str">
            <v>111901</v>
          </cell>
          <cell r="N1849" t="str">
            <v>WATERBASED SYSTEM EXTERIOR</v>
          </cell>
        </row>
        <row r="1850">
          <cell r="C1850" t="str">
            <v>100002915</v>
          </cell>
          <cell r="D1850" t="str">
            <v>WBC-64217 EX GMR 08 SC VN-18KP</v>
          </cell>
          <cell r="E1850" t="str">
            <v>ZFGD</v>
          </cell>
          <cell r="F1850" t="str">
            <v>PC</v>
          </cell>
          <cell r="G1850" t="str">
            <v>1</v>
          </cell>
          <cell r="H1850" t="str">
            <v>INDUSTRY</v>
          </cell>
          <cell r="I1850" t="str">
            <v>11</v>
          </cell>
          <cell r="J1850" t="str">
            <v>WOOD COATINGS</v>
          </cell>
          <cell r="K1850" t="str">
            <v>1119</v>
          </cell>
          <cell r="L1850" t="str">
            <v>WATERBASED</v>
          </cell>
          <cell r="M1850" t="str">
            <v>111901</v>
          </cell>
          <cell r="N1850" t="str">
            <v>WATERBASED SYSTEM EXTERIOR</v>
          </cell>
        </row>
        <row r="1851">
          <cell r="C1851" t="str">
            <v>100002916</v>
          </cell>
          <cell r="D1851" t="str">
            <v>PUC-52239 ML 95 10 ML VN-20KP</v>
          </cell>
          <cell r="E1851" t="str">
            <v>ZFGD</v>
          </cell>
          <cell r="F1851" t="str">
            <v>PC</v>
          </cell>
          <cell r="G1851" t="str">
            <v>1</v>
          </cell>
          <cell r="H1851" t="str">
            <v>INDUSTRY</v>
          </cell>
          <cell r="I1851" t="str">
            <v>11</v>
          </cell>
          <cell r="J1851" t="str">
            <v>WOOD COATINGS</v>
          </cell>
          <cell r="K1851" t="str">
            <v>1103</v>
          </cell>
          <cell r="L1851" t="str">
            <v>PU</v>
          </cell>
          <cell r="M1851" t="str">
            <v>110319</v>
          </cell>
          <cell r="N1851" t="str">
            <v>PU COLOR</v>
          </cell>
        </row>
        <row r="1852">
          <cell r="C1852" t="str">
            <v>100002920</v>
          </cell>
          <cell r="D1852" t="str">
            <v>PUC-54205 AC T1700 70 KD VN-20KP</v>
          </cell>
          <cell r="E1852" t="str">
            <v>ZFGD</v>
          </cell>
          <cell r="F1852" t="str">
            <v>PC</v>
          </cell>
          <cell r="G1852" t="str">
            <v>1</v>
          </cell>
          <cell r="H1852" t="str">
            <v>INDUSTRY</v>
          </cell>
          <cell r="I1852" t="str">
            <v>11</v>
          </cell>
          <cell r="J1852" t="str">
            <v>WOOD COATINGS</v>
          </cell>
          <cell r="K1852" t="str">
            <v>1103</v>
          </cell>
          <cell r="L1852" t="str">
            <v>PU</v>
          </cell>
          <cell r="M1852" t="str">
            <v>110319</v>
          </cell>
          <cell r="N1852" t="str">
            <v>PU COLOR</v>
          </cell>
        </row>
        <row r="1853">
          <cell r="C1853" t="str">
            <v>100002924</v>
          </cell>
          <cell r="D1853" t="str">
            <v>PUC-54205 AC ARTEMIS 05 3T VN-20KP</v>
          </cell>
          <cell r="E1853" t="str">
            <v>ZFGD</v>
          </cell>
          <cell r="F1853" t="str">
            <v>PC</v>
          </cell>
          <cell r="G1853" t="str">
            <v>1</v>
          </cell>
          <cell r="H1853" t="str">
            <v>INDUSTRY</v>
          </cell>
          <cell r="I1853" t="str">
            <v>11</v>
          </cell>
          <cell r="J1853" t="str">
            <v>WOOD COATINGS</v>
          </cell>
          <cell r="K1853" t="str">
            <v>1103</v>
          </cell>
          <cell r="L1853" t="str">
            <v>PU</v>
          </cell>
          <cell r="M1853" t="str">
            <v>110319</v>
          </cell>
          <cell r="N1853" t="str">
            <v>PU COLOR</v>
          </cell>
        </row>
        <row r="1854">
          <cell r="C1854" t="str">
            <v>100002925</v>
          </cell>
          <cell r="D1854" t="str">
            <v>PUC-54205 AC MRPARK06 10 CP VN-20KP</v>
          </cell>
          <cell r="E1854" t="str">
            <v>ZFGD</v>
          </cell>
          <cell r="F1854" t="str">
            <v>PC</v>
          </cell>
          <cell r="G1854" t="str">
            <v>1</v>
          </cell>
          <cell r="H1854" t="str">
            <v>INDUSTRY</v>
          </cell>
          <cell r="I1854" t="str">
            <v>11</v>
          </cell>
          <cell r="J1854" t="str">
            <v>WOOD COATINGS</v>
          </cell>
          <cell r="K1854" t="str">
            <v>1103</v>
          </cell>
          <cell r="L1854" t="str">
            <v>PU</v>
          </cell>
          <cell r="M1854" t="str">
            <v>110319</v>
          </cell>
          <cell r="N1854" t="str">
            <v>PU COLOR</v>
          </cell>
        </row>
        <row r="1855">
          <cell r="C1855" t="str">
            <v>100002926</v>
          </cell>
          <cell r="D1855" t="str">
            <v>PUC-54206 AC EX MRPARK05 10 CPVN-20KP</v>
          </cell>
          <cell r="E1855" t="str">
            <v>ZFGD</v>
          </cell>
          <cell r="F1855" t="str">
            <v>PC</v>
          </cell>
          <cell r="G1855" t="str">
            <v>1</v>
          </cell>
          <cell r="H1855" t="str">
            <v>INDUSTRY</v>
          </cell>
          <cell r="I1855" t="str">
            <v>11</v>
          </cell>
          <cell r="J1855" t="str">
            <v>WOOD COATINGS</v>
          </cell>
          <cell r="K1855" t="str">
            <v>1103</v>
          </cell>
          <cell r="L1855" t="str">
            <v>PU</v>
          </cell>
          <cell r="M1855" t="str">
            <v>110319</v>
          </cell>
          <cell r="N1855" t="str">
            <v>PU COLOR</v>
          </cell>
        </row>
        <row r="1856">
          <cell r="C1856" t="str">
            <v>100002927</v>
          </cell>
          <cell r="D1856" t="str">
            <v>#NUDP-12123 LC 7536C DB VN-20KP</v>
          </cell>
          <cell r="E1856" t="str">
            <v>ZFGD</v>
          </cell>
          <cell r="F1856" t="str">
            <v>KG</v>
          </cell>
          <cell r="G1856" t="str">
            <v>1</v>
          </cell>
          <cell r="H1856" t="str">
            <v>INDUSTRY</v>
          </cell>
          <cell r="I1856" t="str">
            <v>11</v>
          </cell>
          <cell r="J1856" t="str">
            <v>WOOD COATINGS</v>
          </cell>
          <cell r="K1856" t="str">
            <v>1104</v>
          </cell>
          <cell r="L1856" t="str">
            <v>NC</v>
          </cell>
          <cell r="M1856" t="str">
            <v>110405</v>
          </cell>
          <cell r="N1856" t="str">
            <v>NC SYSTEM</v>
          </cell>
        </row>
        <row r="1857">
          <cell r="C1857" t="str">
            <v>100002928</v>
          </cell>
          <cell r="D1857" t="str">
            <v>#NUGZ-12700 N 7563C DB VN-18KP</v>
          </cell>
          <cell r="E1857" t="str">
            <v>ZFGD</v>
          </cell>
          <cell r="F1857" t="str">
            <v>PC</v>
          </cell>
          <cell r="G1857" t="str">
            <v>1</v>
          </cell>
          <cell r="H1857" t="str">
            <v>INDUSTRY</v>
          </cell>
          <cell r="I1857" t="str">
            <v>11</v>
          </cell>
          <cell r="J1857" t="str">
            <v>WOOD COATINGS</v>
          </cell>
          <cell r="K1857" t="str">
            <v>1109</v>
          </cell>
          <cell r="L1857" t="str">
            <v>STAIN &amp; GLAZE INTERIOR</v>
          </cell>
          <cell r="M1857" t="str">
            <v>110901</v>
          </cell>
          <cell r="N1857" t="str">
            <v>ASOF : STAIN &amp; GLAZE</v>
          </cell>
        </row>
        <row r="1858">
          <cell r="C1858" t="str">
            <v>100002929</v>
          </cell>
          <cell r="D1858" t="str">
            <v>DP-12123 LC 7536C DB VN-20KP</v>
          </cell>
          <cell r="E1858" t="str">
            <v>ZFGD</v>
          </cell>
          <cell r="F1858" t="str">
            <v>PC</v>
          </cell>
          <cell r="G1858" t="str">
            <v>1</v>
          </cell>
          <cell r="H1858" t="str">
            <v>INDUSTRY</v>
          </cell>
          <cell r="I1858" t="str">
            <v>11</v>
          </cell>
          <cell r="J1858" t="str">
            <v>WOOD COATINGS</v>
          </cell>
          <cell r="K1858" t="str">
            <v>1104</v>
          </cell>
          <cell r="L1858" t="str">
            <v>NC</v>
          </cell>
          <cell r="M1858" t="str">
            <v>110405</v>
          </cell>
          <cell r="N1858" t="str">
            <v>NC SYSTEM</v>
          </cell>
        </row>
        <row r="1859">
          <cell r="C1859" t="str">
            <v>100002930</v>
          </cell>
          <cell r="D1859" t="str">
            <v>GZ-12700 N 7536C DB VN-18KP</v>
          </cell>
          <cell r="E1859" t="str">
            <v>ZFGD</v>
          </cell>
          <cell r="F1859" t="str">
            <v>PC</v>
          </cell>
          <cell r="G1859" t="str">
            <v>1</v>
          </cell>
          <cell r="H1859" t="str">
            <v>INDUSTRY</v>
          </cell>
          <cell r="I1859" t="str">
            <v>11</v>
          </cell>
          <cell r="J1859" t="str">
            <v>WOOD COATINGS</v>
          </cell>
          <cell r="K1859" t="str">
            <v>1109</v>
          </cell>
          <cell r="L1859" t="str">
            <v>STAIN &amp; GLAZE INTERIOR</v>
          </cell>
          <cell r="M1859" t="str">
            <v>110901</v>
          </cell>
          <cell r="N1859" t="str">
            <v>ASOF : STAIN &amp; GLAZE</v>
          </cell>
        </row>
        <row r="1860">
          <cell r="C1860" t="str">
            <v>100002931</v>
          </cell>
          <cell r="D1860" t="str">
            <v>PUH-1511 A1 MLY-4L</v>
          </cell>
          <cell r="E1860" t="str">
            <v>ZFGD</v>
          </cell>
          <cell r="F1860" t="str">
            <v>PC</v>
          </cell>
          <cell r="G1860" t="str">
            <v>1</v>
          </cell>
          <cell r="H1860" t="str">
            <v>INDUSTRY</v>
          </cell>
          <cell r="I1860" t="str">
            <v>11</v>
          </cell>
          <cell r="J1860" t="str">
            <v>WOOD COATINGS</v>
          </cell>
          <cell r="K1860" t="str">
            <v>1103</v>
          </cell>
          <cell r="L1860" t="str">
            <v>PU</v>
          </cell>
          <cell r="M1860" t="str">
            <v>110320</v>
          </cell>
          <cell r="N1860" t="str">
            <v>PU HARDENER</v>
          </cell>
        </row>
        <row r="1861">
          <cell r="C1861" t="str">
            <v>100002932</v>
          </cell>
          <cell r="D1861" t="str">
            <v>DP-1121 HV WHITE A4 MLY-20KP</v>
          </cell>
          <cell r="E1861" t="str">
            <v>ZFGD</v>
          </cell>
          <cell r="F1861" t="str">
            <v>PC</v>
          </cell>
          <cell r="G1861" t="str">
            <v>1</v>
          </cell>
          <cell r="H1861" t="str">
            <v>INDUSTRY</v>
          </cell>
          <cell r="I1861" t="str">
            <v>11</v>
          </cell>
          <cell r="J1861" t="str">
            <v>WOOD COATINGS</v>
          </cell>
          <cell r="K1861" t="str">
            <v>1104</v>
          </cell>
          <cell r="L1861" t="str">
            <v>NC</v>
          </cell>
          <cell r="M1861" t="str">
            <v>110405</v>
          </cell>
          <cell r="N1861" t="str">
            <v>NC SYSTEM</v>
          </cell>
        </row>
        <row r="1862">
          <cell r="C1862" t="str">
            <v>100002933</v>
          </cell>
          <cell r="D1862" t="str">
            <v>DC-12200 CKF DIP HP WHITE 30 MY-20KP</v>
          </cell>
          <cell r="E1862" t="str">
            <v>ZFGD</v>
          </cell>
          <cell r="F1862" t="str">
            <v>PC</v>
          </cell>
          <cell r="G1862" t="str">
            <v>1</v>
          </cell>
          <cell r="H1862" t="str">
            <v>INDUSTRY</v>
          </cell>
          <cell r="I1862" t="str">
            <v>11</v>
          </cell>
          <cell r="J1862" t="str">
            <v>WOOD COATINGS</v>
          </cell>
          <cell r="K1862" t="str">
            <v>1104</v>
          </cell>
          <cell r="L1862" t="str">
            <v>NC</v>
          </cell>
          <cell r="M1862" t="str">
            <v>110405</v>
          </cell>
          <cell r="N1862" t="str">
            <v>NC SYSTEM</v>
          </cell>
        </row>
        <row r="1863">
          <cell r="C1863" t="str">
            <v>100002934</v>
          </cell>
          <cell r="D1863" t="str">
            <v>DC-12200 CKF DIP HP WHITE 30 MY-200KB</v>
          </cell>
          <cell r="E1863" t="str">
            <v>ZFGD</v>
          </cell>
          <cell r="F1863" t="str">
            <v>PC</v>
          </cell>
          <cell r="G1863" t="str">
            <v>1</v>
          </cell>
          <cell r="H1863" t="str">
            <v>INDUSTRY</v>
          </cell>
          <cell r="I1863" t="str">
            <v>11</v>
          </cell>
          <cell r="J1863" t="str">
            <v>WOOD COATINGS</v>
          </cell>
          <cell r="K1863" t="str">
            <v>1104</v>
          </cell>
          <cell r="L1863" t="str">
            <v>NC</v>
          </cell>
          <cell r="M1863" t="str">
            <v>110405</v>
          </cell>
          <cell r="N1863" t="str">
            <v>NC SYSTEM</v>
          </cell>
        </row>
        <row r="1864">
          <cell r="C1864" t="str">
            <v>100002935</v>
          </cell>
          <cell r="D1864" t="str">
            <v>DC-1122 CKF WHITE BASE 10SH A15 MY-200KB</v>
          </cell>
          <cell r="E1864" t="str">
            <v>ZFGD</v>
          </cell>
          <cell r="F1864" t="str">
            <v>PC</v>
          </cell>
          <cell r="G1864" t="str">
            <v>1</v>
          </cell>
          <cell r="H1864" t="str">
            <v>INDUSTRY</v>
          </cell>
          <cell r="I1864" t="str">
            <v>11</v>
          </cell>
          <cell r="J1864" t="str">
            <v>WOOD COATINGS</v>
          </cell>
          <cell r="K1864" t="str">
            <v>1104</v>
          </cell>
          <cell r="L1864" t="str">
            <v>NC</v>
          </cell>
          <cell r="M1864" t="str">
            <v>110405</v>
          </cell>
          <cell r="N1864" t="str">
            <v>NC SYSTEM</v>
          </cell>
        </row>
        <row r="1865">
          <cell r="C1865" t="str">
            <v>100002936</v>
          </cell>
          <cell r="D1865" t="str">
            <v>PUSS-1512 HF A8 MLY-20KP</v>
          </cell>
          <cell r="E1865" t="str">
            <v>ZFGD</v>
          </cell>
          <cell r="F1865" t="str">
            <v>PC</v>
          </cell>
          <cell r="G1865" t="str">
            <v>1</v>
          </cell>
          <cell r="H1865" t="str">
            <v>INDUSTRY</v>
          </cell>
          <cell r="I1865" t="str">
            <v>11</v>
          </cell>
          <cell r="J1865" t="str">
            <v>WOOD COATINGS</v>
          </cell>
          <cell r="K1865" t="str">
            <v>1103</v>
          </cell>
          <cell r="L1865" t="str">
            <v>PU</v>
          </cell>
          <cell r="M1865" t="str">
            <v>110323</v>
          </cell>
          <cell r="N1865" t="str">
            <v>PU SANDING SEALER</v>
          </cell>
        </row>
        <row r="1866">
          <cell r="C1866" t="str">
            <v>100002937</v>
          </cell>
          <cell r="D1866" t="str">
            <v>PUP-1541 ACR SFC CLEAR BASE A8 MLY-200KB</v>
          </cell>
          <cell r="E1866" t="str">
            <v>ZFGD</v>
          </cell>
          <cell r="F1866" t="str">
            <v>PC</v>
          </cell>
          <cell r="G1866" t="str">
            <v>1</v>
          </cell>
          <cell r="H1866" t="str">
            <v>INDUSTRY</v>
          </cell>
          <cell r="I1866" t="str">
            <v>11</v>
          </cell>
          <cell r="J1866" t="str">
            <v>WOOD COATINGS</v>
          </cell>
          <cell r="K1866" t="str">
            <v>1103</v>
          </cell>
          <cell r="L1866" t="str">
            <v>PU</v>
          </cell>
          <cell r="M1866" t="str">
            <v>110322</v>
          </cell>
          <cell r="N1866" t="str">
            <v>PU PRIMER</v>
          </cell>
        </row>
        <row r="1867">
          <cell r="C1867" t="str">
            <v>100002938</v>
          </cell>
          <cell r="D1867" t="str">
            <v>PUP-1541-02 ACR CLEAR BASE MLY-200KB</v>
          </cell>
          <cell r="E1867" t="str">
            <v>ZFGD</v>
          </cell>
          <cell r="F1867" t="str">
            <v>PC</v>
          </cell>
          <cell r="G1867" t="str">
            <v>1</v>
          </cell>
          <cell r="H1867" t="str">
            <v>INDUSTRY</v>
          </cell>
          <cell r="I1867" t="str">
            <v>11</v>
          </cell>
          <cell r="J1867" t="str">
            <v>WOOD COATINGS</v>
          </cell>
          <cell r="K1867" t="str">
            <v>1103</v>
          </cell>
          <cell r="L1867" t="str">
            <v>PU</v>
          </cell>
          <cell r="M1867" t="str">
            <v>110322</v>
          </cell>
          <cell r="N1867" t="str">
            <v>PU PRIMER</v>
          </cell>
        </row>
        <row r="1868">
          <cell r="C1868" t="str">
            <v>100002939</v>
          </cell>
          <cell r="D1868" t="str">
            <v>PUP-1541-02 ACR WHITE MLY-20KP</v>
          </cell>
          <cell r="E1868" t="str">
            <v>ZFGD</v>
          </cell>
          <cell r="F1868" t="str">
            <v>PC</v>
          </cell>
          <cell r="G1868" t="str">
            <v>1</v>
          </cell>
          <cell r="H1868" t="str">
            <v>INDUSTRY</v>
          </cell>
          <cell r="I1868" t="str">
            <v>11</v>
          </cell>
          <cell r="J1868" t="str">
            <v>WOOD COATINGS</v>
          </cell>
          <cell r="K1868" t="str">
            <v>1103</v>
          </cell>
          <cell r="L1868" t="str">
            <v>PU</v>
          </cell>
          <cell r="M1868" t="str">
            <v>110322</v>
          </cell>
          <cell r="N1868" t="str">
            <v>PU PRIMER</v>
          </cell>
        </row>
        <row r="1869">
          <cell r="C1869" t="str">
            <v>100002940</v>
          </cell>
          <cell r="D1869" t="str">
            <v>PUP-1541-02 ACR WHITE MLY-200KB</v>
          </cell>
          <cell r="E1869" t="str">
            <v>ZFGD</v>
          </cell>
          <cell r="F1869" t="str">
            <v>PC</v>
          </cell>
          <cell r="G1869" t="str">
            <v>1</v>
          </cell>
          <cell r="H1869" t="str">
            <v>INDUSTRY</v>
          </cell>
          <cell r="I1869" t="str">
            <v>11</v>
          </cell>
          <cell r="J1869" t="str">
            <v>WOOD COATINGS</v>
          </cell>
          <cell r="K1869" t="str">
            <v>1103</v>
          </cell>
          <cell r="L1869" t="str">
            <v>PU</v>
          </cell>
          <cell r="M1869" t="str">
            <v>110322</v>
          </cell>
          <cell r="N1869" t="str">
            <v>PU PRIMER</v>
          </cell>
        </row>
        <row r="1870">
          <cell r="C1870" t="str">
            <v>100002941</v>
          </cell>
          <cell r="D1870" t="str">
            <v>PUC-1542-07 ACR WHITE GLOSS MLY-20KP</v>
          </cell>
          <cell r="E1870" t="str">
            <v>ZFGD</v>
          </cell>
          <cell r="F1870" t="str">
            <v>PC</v>
          </cell>
          <cell r="G1870" t="str">
            <v>1</v>
          </cell>
          <cell r="H1870" t="str">
            <v>INDUSTRY</v>
          </cell>
          <cell r="I1870" t="str">
            <v>11</v>
          </cell>
          <cell r="J1870" t="str">
            <v>WOOD COATINGS</v>
          </cell>
          <cell r="K1870" t="str">
            <v>1103</v>
          </cell>
          <cell r="L1870" t="str">
            <v>PU</v>
          </cell>
          <cell r="M1870" t="str">
            <v>110319</v>
          </cell>
          <cell r="N1870" t="str">
            <v>PU COLOR</v>
          </cell>
        </row>
        <row r="1871">
          <cell r="C1871" t="str">
            <v>100002942</v>
          </cell>
          <cell r="D1871" t="str">
            <v>PUC-1542-07 ACR WHITE GLOSS MLY-200KB</v>
          </cell>
          <cell r="E1871" t="str">
            <v>ZFGD</v>
          </cell>
          <cell r="F1871" t="str">
            <v>PC</v>
          </cell>
          <cell r="G1871" t="str">
            <v>1</v>
          </cell>
          <cell r="H1871" t="str">
            <v>INDUSTRY</v>
          </cell>
          <cell r="I1871" t="str">
            <v>11</v>
          </cell>
          <cell r="J1871" t="str">
            <v>WOOD COATINGS</v>
          </cell>
          <cell r="K1871" t="str">
            <v>1103</v>
          </cell>
          <cell r="L1871" t="str">
            <v>PU</v>
          </cell>
          <cell r="M1871" t="str">
            <v>110319</v>
          </cell>
          <cell r="N1871" t="str">
            <v>PU COLOR</v>
          </cell>
        </row>
        <row r="1872">
          <cell r="C1872" t="str">
            <v>100002943</v>
          </cell>
          <cell r="D1872" t="str">
            <v>PUL-1533-15 ACR CLEAR GLOSS MLY-20LP</v>
          </cell>
          <cell r="E1872" t="str">
            <v>ZFGD</v>
          </cell>
          <cell r="F1872" t="str">
            <v>PC</v>
          </cell>
          <cell r="G1872" t="str">
            <v>1</v>
          </cell>
          <cell r="H1872" t="str">
            <v>INDUSTRY</v>
          </cell>
          <cell r="I1872" t="str">
            <v>11</v>
          </cell>
          <cell r="J1872" t="str">
            <v>WOOD COATINGS</v>
          </cell>
          <cell r="K1872" t="str">
            <v>1103</v>
          </cell>
          <cell r="L1872" t="str">
            <v>PU</v>
          </cell>
          <cell r="M1872" t="str">
            <v>110321</v>
          </cell>
          <cell r="N1872" t="str">
            <v>PU LACQUER</v>
          </cell>
        </row>
        <row r="1873">
          <cell r="C1873" t="str">
            <v>100002944</v>
          </cell>
          <cell r="D1873" t="str">
            <v>PUL-1513 50 SHEEN A7 MLY-20KP</v>
          </cell>
          <cell r="E1873" t="str">
            <v>ZFGD</v>
          </cell>
          <cell r="F1873" t="str">
            <v>PC</v>
          </cell>
          <cell r="G1873" t="str">
            <v>1</v>
          </cell>
          <cell r="H1873" t="str">
            <v>INDUSTRY</v>
          </cell>
          <cell r="I1873" t="str">
            <v>11</v>
          </cell>
          <cell r="J1873" t="str">
            <v>WOOD COATINGS</v>
          </cell>
          <cell r="K1873" t="str">
            <v>1103</v>
          </cell>
          <cell r="L1873" t="str">
            <v>PU</v>
          </cell>
          <cell r="M1873" t="str">
            <v>110321</v>
          </cell>
          <cell r="N1873" t="str">
            <v>PU LACQUER</v>
          </cell>
        </row>
        <row r="1874">
          <cell r="C1874" t="str">
            <v>100002945</v>
          </cell>
          <cell r="D1874" t="str">
            <v>82-2025 UE AF URT SANDING A MLY-16KP</v>
          </cell>
          <cell r="E1874" t="str">
            <v>ZFGD</v>
          </cell>
          <cell r="F1874" t="str">
            <v>PC</v>
          </cell>
          <cell r="G1874" t="str">
            <v>1</v>
          </cell>
          <cell r="H1874" t="str">
            <v>INDUSTRY</v>
          </cell>
          <cell r="I1874" t="str">
            <v>11</v>
          </cell>
          <cell r="J1874" t="str">
            <v>WOOD COATINGS</v>
          </cell>
          <cell r="K1874" t="str">
            <v>1103</v>
          </cell>
          <cell r="L1874" t="str">
            <v>PU</v>
          </cell>
          <cell r="M1874" t="str">
            <v>110308</v>
          </cell>
          <cell r="N1874" t="str">
            <v>UNION SANDING SEALER</v>
          </cell>
        </row>
        <row r="1875">
          <cell r="C1875" t="str">
            <v>100002946</v>
          </cell>
          <cell r="D1875" t="str">
            <v>82-1029 UE AF URT FLAT A MLY-16KP</v>
          </cell>
          <cell r="E1875" t="str">
            <v>ZFGD</v>
          </cell>
          <cell r="F1875" t="str">
            <v>PC</v>
          </cell>
          <cell r="G1875" t="str">
            <v>1</v>
          </cell>
          <cell r="H1875" t="str">
            <v>INDUSTRY</v>
          </cell>
          <cell r="I1875" t="str">
            <v>11</v>
          </cell>
          <cell r="J1875" t="str">
            <v>WOOD COATINGS</v>
          </cell>
          <cell r="K1875" t="str">
            <v>1103</v>
          </cell>
          <cell r="L1875" t="str">
            <v>PU</v>
          </cell>
          <cell r="M1875" t="str">
            <v>110312</v>
          </cell>
          <cell r="N1875" t="str">
            <v>UNION TOP COAT</v>
          </cell>
        </row>
        <row r="1876">
          <cell r="C1876" t="str">
            <v>100002947</v>
          </cell>
          <cell r="D1876" t="str">
            <v>AL 085 MLY-16LP</v>
          </cell>
          <cell r="E1876" t="str">
            <v>ZFGD</v>
          </cell>
          <cell r="F1876" t="str">
            <v>PC</v>
          </cell>
          <cell r="G1876" t="str">
            <v>1</v>
          </cell>
          <cell r="H1876" t="str">
            <v>INDUSTRY</v>
          </cell>
          <cell r="I1876" t="str">
            <v>11</v>
          </cell>
          <cell r="J1876" t="str">
            <v>WOOD COATINGS</v>
          </cell>
          <cell r="K1876" t="str">
            <v>1103</v>
          </cell>
          <cell r="L1876" t="str">
            <v>PU</v>
          </cell>
          <cell r="M1876" t="str">
            <v>110325</v>
          </cell>
          <cell r="N1876" t="str">
            <v>UNION HARDENER</v>
          </cell>
        </row>
        <row r="1877">
          <cell r="C1877" t="str">
            <v>100002948</v>
          </cell>
          <cell r="D1877" t="str">
            <v>64-08 OLPHA STAIN BROWN-5LJ</v>
          </cell>
          <cell r="E1877" t="str">
            <v>ZFGD</v>
          </cell>
          <cell r="F1877" t="str">
            <v>PC</v>
          </cell>
          <cell r="G1877" t="str">
            <v>1</v>
          </cell>
          <cell r="H1877" t="str">
            <v>INDUSTRY</v>
          </cell>
          <cell r="I1877" t="str">
            <v>11</v>
          </cell>
          <cell r="J1877" t="str">
            <v>WOOD COATINGS</v>
          </cell>
          <cell r="K1877" t="str">
            <v>1103</v>
          </cell>
          <cell r="L1877" t="str">
            <v>PU</v>
          </cell>
          <cell r="M1877" t="str">
            <v>110311</v>
          </cell>
          <cell r="N1877" t="str">
            <v>UNION STAIN</v>
          </cell>
        </row>
        <row r="1878">
          <cell r="C1878" t="str">
            <v>100002949</v>
          </cell>
          <cell r="D1878" t="str">
            <v>64-07 OLPHA STAIN YELLOW-5LJ</v>
          </cell>
          <cell r="E1878" t="str">
            <v>ZFGD</v>
          </cell>
          <cell r="F1878" t="str">
            <v>PC</v>
          </cell>
          <cell r="G1878" t="str">
            <v>1</v>
          </cell>
          <cell r="H1878" t="str">
            <v>INDUSTRY</v>
          </cell>
          <cell r="I1878" t="str">
            <v>11</v>
          </cell>
          <cell r="J1878" t="str">
            <v>WOOD COATINGS</v>
          </cell>
          <cell r="K1878" t="str">
            <v>1103</v>
          </cell>
          <cell r="L1878" t="str">
            <v>PU</v>
          </cell>
          <cell r="M1878" t="str">
            <v>110311</v>
          </cell>
          <cell r="N1878" t="str">
            <v>UNION STAIN</v>
          </cell>
        </row>
        <row r="1879">
          <cell r="C1879" t="str">
            <v>100002950</v>
          </cell>
          <cell r="D1879" t="str">
            <v>64-09 OLPHA STAIN WHITE-5KJ</v>
          </cell>
          <cell r="E1879" t="str">
            <v>ZFGD</v>
          </cell>
          <cell r="F1879" t="str">
            <v>PC</v>
          </cell>
          <cell r="G1879" t="str">
            <v>1</v>
          </cell>
          <cell r="H1879" t="str">
            <v>INDUSTRY</v>
          </cell>
          <cell r="I1879" t="str">
            <v>11</v>
          </cell>
          <cell r="J1879" t="str">
            <v>WOOD COATINGS</v>
          </cell>
          <cell r="K1879" t="str">
            <v>1103</v>
          </cell>
          <cell r="L1879" t="str">
            <v>PU</v>
          </cell>
          <cell r="M1879" t="str">
            <v>110311</v>
          </cell>
          <cell r="N1879" t="str">
            <v>UNION STAIN</v>
          </cell>
        </row>
        <row r="1880">
          <cell r="C1880" t="str">
            <v>100002951</v>
          </cell>
          <cell r="D1880" t="str">
            <v>64-01 OLPHA STAIN BLACK-5LJ</v>
          </cell>
          <cell r="E1880" t="str">
            <v>ZFGD</v>
          </cell>
          <cell r="F1880" t="str">
            <v>PC</v>
          </cell>
          <cell r="G1880" t="str">
            <v>1</v>
          </cell>
          <cell r="H1880" t="str">
            <v>INDUSTRY</v>
          </cell>
          <cell r="I1880" t="str">
            <v>11</v>
          </cell>
          <cell r="J1880" t="str">
            <v>WOOD COATINGS</v>
          </cell>
          <cell r="K1880" t="str">
            <v>1103</v>
          </cell>
          <cell r="L1880" t="str">
            <v>PU</v>
          </cell>
          <cell r="M1880" t="str">
            <v>110311</v>
          </cell>
          <cell r="N1880" t="str">
            <v>UNION STAIN</v>
          </cell>
        </row>
        <row r="1881">
          <cell r="C1881" t="str">
            <v>100002952</v>
          </cell>
          <cell r="D1881" t="str">
            <v>64-04 OLPHA STAIN RED-5LJ</v>
          </cell>
          <cell r="E1881" t="str">
            <v>ZFGD</v>
          </cell>
          <cell r="F1881" t="str">
            <v>PC</v>
          </cell>
          <cell r="G1881" t="str">
            <v>1</v>
          </cell>
          <cell r="H1881" t="str">
            <v>INDUSTRY</v>
          </cell>
          <cell r="I1881" t="str">
            <v>11</v>
          </cell>
          <cell r="J1881" t="str">
            <v>WOOD COATINGS</v>
          </cell>
          <cell r="K1881" t="str">
            <v>1103</v>
          </cell>
          <cell r="L1881" t="str">
            <v>PU</v>
          </cell>
          <cell r="M1881" t="str">
            <v>110311</v>
          </cell>
          <cell r="N1881" t="str">
            <v>UNION STAIN</v>
          </cell>
        </row>
        <row r="1882">
          <cell r="C1882" t="str">
            <v>100002953</v>
          </cell>
          <cell r="D1882" t="str">
            <v>PUC-52239 WHITE 15 VN-20KP</v>
          </cell>
          <cell r="E1882" t="str">
            <v>ZFGD</v>
          </cell>
          <cell r="F1882" t="str">
            <v>PC</v>
          </cell>
          <cell r="G1882" t="str">
            <v>1</v>
          </cell>
          <cell r="H1882" t="str">
            <v>INDUSTRY</v>
          </cell>
          <cell r="I1882" t="str">
            <v>11</v>
          </cell>
          <cell r="J1882" t="str">
            <v>WOOD COATINGS</v>
          </cell>
          <cell r="K1882" t="str">
            <v>1103</v>
          </cell>
          <cell r="L1882" t="str">
            <v>PU</v>
          </cell>
          <cell r="M1882" t="str">
            <v>110319</v>
          </cell>
          <cell r="N1882" t="str">
            <v>PU COLOR</v>
          </cell>
        </row>
        <row r="1883">
          <cell r="C1883" t="str">
            <v>100002954</v>
          </cell>
          <cell r="D1883" t="str">
            <v>PCL-31300 YELLOW HR PASTE-4K</v>
          </cell>
          <cell r="E1883" t="str">
            <v>ZFGD</v>
          </cell>
          <cell r="F1883" t="str">
            <v>PC</v>
          </cell>
          <cell r="G1883" t="str">
            <v>1</v>
          </cell>
          <cell r="H1883" t="str">
            <v>INDUSTRY</v>
          </cell>
          <cell r="I1883" t="str">
            <v>11</v>
          </cell>
          <cell r="J1883" t="str">
            <v>WOOD COATINGS</v>
          </cell>
          <cell r="K1883" t="str">
            <v>1118</v>
          </cell>
          <cell r="L1883" t="str">
            <v>COMPLEMENTARY</v>
          </cell>
          <cell r="M1883" t="str">
            <v>111807</v>
          </cell>
          <cell r="N1883" t="str">
            <v>PASTA</v>
          </cell>
        </row>
        <row r="1884">
          <cell r="C1884" t="str">
            <v>100002955</v>
          </cell>
          <cell r="D1884" t="str">
            <v>PCL-31300 RED 31701 PASTE-4K</v>
          </cell>
          <cell r="E1884" t="str">
            <v>ZFGD</v>
          </cell>
          <cell r="F1884" t="str">
            <v>PC</v>
          </cell>
          <cell r="G1884" t="str">
            <v>1</v>
          </cell>
          <cell r="H1884" t="str">
            <v>INDUSTRY</v>
          </cell>
          <cell r="I1884" t="str">
            <v>11</v>
          </cell>
          <cell r="J1884" t="str">
            <v>WOOD COATINGS</v>
          </cell>
          <cell r="K1884" t="str">
            <v>1118</v>
          </cell>
          <cell r="L1884" t="str">
            <v>COMPLEMENTARY</v>
          </cell>
          <cell r="M1884" t="str">
            <v>111807</v>
          </cell>
          <cell r="N1884" t="str">
            <v>PASTA</v>
          </cell>
        </row>
        <row r="1885">
          <cell r="C1885" t="str">
            <v>100002956</v>
          </cell>
          <cell r="D1885" t="str">
            <v>PCA-31100 RED 31701 PASTE-4K</v>
          </cell>
          <cell r="E1885" t="str">
            <v>ZFGD</v>
          </cell>
          <cell r="F1885" t="str">
            <v>PC</v>
          </cell>
          <cell r="G1885" t="str">
            <v>1</v>
          </cell>
          <cell r="H1885" t="str">
            <v>INDUSTRY</v>
          </cell>
          <cell r="I1885" t="str">
            <v>11</v>
          </cell>
          <cell r="J1885" t="str">
            <v>WOOD COATINGS</v>
          </cell>
          <cell r="K1885" t="str">
            <v>1118</v>
          </cell>
          <cell r="L1885" t="str">
            <v>COMPLEMENTARY</v>
          </cell>
          <cell r="M1885" t="str">
            <v>111807</v>
          </cell>
          <cell r="N1885" t="str">
            <v>PASTA</v>
          </cell>
        </row>
        <row r="1886">
          <cell r="C1886" t="str">
            <v>100002957</v>
          </cell>
          <cell r="D1886" t="str">
            <v>PCA-31100 YELLOW 11032 PASTE-4K</v>
          </cell>
          <cell r="E1886" t="str">
            <v>ZFGD</v>
          </cell>
          <cell r="F1886" t="str">
            <v>PC</v>
          </cell>
          <cell r="G1886" t="str">
            <v>1</v>
          </cell>
          <cell r="H1886" t="str">
            <v>INDUSTRY</v>
          </cell>
          <cell r="I1886" t="str">
            <v>11</v>
          </cell>
          <cell r="J1886" t="str">
            <v>WOOD COATINGS</v>
          </cell>
          <cell r="K1886" t="str">
            <v>1118</v>
          </cell>
          <cell r="L1886" t="str">
            <v>COMPLEMENTARY</v>
          </cell>
          <cell r="M1886" t="str">
            <v>111807</v>
          </cell>
          <cell r="N1886" t="str">
            <v>PASTA</v>
          </cell>
        </row>
        <row r="1887">
          <cell r="C1887" t="str">
            <v>100002958</v>
          </cell>
          <cell r="D1887" t="str">
            <v>PCA-31100 RED 33122 PASTE-4K</v>
          </cell>
          <cell r="E1887" t="str">
            <v>ZFGD</v>
          </cell>
          <cell r="F1887" t="str">
            <v>PC</v>
          </cell>
          <cell r="G1887" t="str">
            <v>1</v>
          </cell>
          <cell r="H1887" t="str">
            <v>INDUSTRY</v>
          </cell>
          <cell r="I1887" t="str">
            <v>11</v>
          </cell>
          <cell r="J1887" t="str">
            <v>WOOD COATINGS</v>
          </cell>
          <cell r="K1887" t="str">
            <v>1118</v>
          </cell>
          <cell r="L1887" t="str">
            <v>COMPLEMENTARY</v>
          </cell>
          <cell r="M1887" t="str">
            <v>111807</v>
          </cell>
          <cell r="N1887" t="str">
            <v>PASTA</v>
          </cell>
        </row>
        <row r="1888">
          <cell r="C1888" t="str">
            <v>100002959</v>
          </cell>
          <cell r="D1888" t="str">
            <v>PUC-54205 AC 10A 90 MK VN-20KG</v>
          </cell>
          <cell r="E1888" t="str">
            <v>ZFGD</v>
          </cell>
          <cell r="F1888" t="str">
            <v>PC</v>
          </cell>
          <cell r="G1888" t="str">
            <v>1</v>
          </cell>
          <cell r="H1888" t="str">
            <v>INDUSTRY</v>
          </cell>
          <cell r="I1888" t="str">
            <v>11</v>
          </cell>
          <cell r="J1888" t="str">
            <v>WOOD COATINGS</v>
          </cell>
          <cell r="K1888" t="str">
            <v>1103</v>
          </cell>
          <cell r="L1888" t="str">
            <v>PU</v>
          </cell>
          <cell r="M1888" t="str">
            <v>110319</v>
          </cell>
          <cell r="N1888" t="str">
            <v>PU COLOR</v>
          </cell>
        </row>
        <row r="1889">
          <cell r="C1889" t="str">
            <v>100002960</v>
          </cell>
          <cell r="D1889" t="str">
            <v>PUC-54205 AC 10B 05 MK VN-20KG</v>
          </cell>
          <cell r="E1889" t="str">
            <v>ZFGD</v>
          </cell>
          <cell r="F1889" t="str">
            <v>PC</v>
          </cell>
          <cell r="G1889" t="str">
            <v>1</v>
          </cell>
          <cell r="H1889" t="str">
            <v>INDUSTRY</v>
          </cell>
          <cell r="I1889" t="str">
            <v>11</v>
          </cell>
          <cell r="J1889" t="str">
            <v>WOOD COATINGS</v>
          </cell>
          <cell r="K1889" t="str">
            <v>1103</v>
          </cell>
          <cell r="L1889" t="str">
            <v>PU</v>
          </cell>
          <cell r="M1889" t="str">
            <v>110319</v>
          </cell>
          <cell r="N1889" t="str">
            <v>PU COLOR</v>
          </cell>
        </row>
        <row r="1890">
          <cell r="C1890" t="str">
            <v>100002961</v>
          </cell>
          <cell r="D1890" t="str">
            <v>PCA-31102 BURNT UMBER HP PASTE-4K</v>
          </cell>
          <cell r="E1890" t="str">
            <v>ZFGD</v>
          </cell>
          <cell r="F1890" t="str">
            <v>PC</v>
          </cell>
          <cell r="G1890" t="str">
            <v>1</v>
          </cell>
          <cell r="H1890" t="str">
            <v>INDUSTRY</v>
          </cell>
          <cell r="I1890" t="str">
            <v>11</v>
          </cell>
          <cell r="J1890" t="str">
            <v>WOOD COATINGS</v>
          </cell>
          <cell r="K1890" t="str">
            <v>1118</v>
          </cell>
          <cell r="L1890" t="str">
            <v>COMPLEMENTARY</v>
          </cell>
          <cell r="M1890" t="str">
            <v>111807</v>
          </cell>
          <cell r="N1890" t="str">
            <v>PASTA</v>
          </cell>
        </row>
        <row r="1891">
          <cell r="C1891" t="str">
            <v>100002962</v>
          </cell>
          <cell r="D1891" t="str">
            <v>PCO-31200 WHITE PASTE-4K</v>
          </cell>
          <cell r="E1891" t="str">
            <v>ZFGD</v>
          </cell>
          <cell r="F1891" t="str">
            <v>PC</v>
          </cell>
          <cell r="G1891" t="str">
            <v>1</v>
          </cell>
          <cell r="H1891" t="str">
            <v>INDUSTRY</v>
          </cell>
          <cell r="I1891" t="str">
            <v>11</v>
          </cell>
          <cell r="J1891" t="str">
            <v>WOOD COATINGS</v>
          </cell>
          <cell r="K1891" t="str">
            <v>1118</v>
          </cell>
          <cell r="L1891" t="str">
            <v>COMPLEMENTARY</v>
          </cell>
          <cell r="M1891" t="str">
            <v>111807</v>
          </cell>
          <cell r="N1891" t="str">
            <v>PASTA</v>
          </cell>
        </row>
        <row r="1892">
          <cell r="C1892" t="str">
            <v>100002963</v>
          </cell>
          <cell r="D1892" t="str">
            <v>PCA-31102 VAN DYKE BROWN HCP PASTE-4K</v>
          </cell>
          <cell r="E1892" t="str">
            <v>ZFGD</v>
          </cell>
          <cell r="F1892" t="str">
            <v>PC</v>
          </cell>
          <cell r="G1892" t="str">
            <v>1</v>
          </cell>
          <cell r="H1892" t="str">
            <v>INDUSTRY</v>
          </cell>
          <cell r="I1892" t="str">
            <v>11</v>
          </cell>
          <cell r="J1892" t="str">
            <v>WOOD COATINGS</v>
          </cell>
          <cell r="K1892" t="str">
            <v>1118</v>
          </cell>
          <cell r="L1892" t="str">
            <v>COMPLEMENTARY</v>
          </cell>
          <cell r="M1892" t="str">
            <v>111807</v>
          </cell>
          <cell r="N1892" t="str">
            <v>PASTA</v>
          </cell>
        </row>
        <row r="1893">
          <cell r="C1893" t="str">
            <v>100002964</v>
          </cell>
          <cell r="D1893" t="str">
            <v>PCA-31102 RED 32633 PASTE-4K</v>
          </cell>
          <cell r="E1893" t="str">
            <v>ZFGD</v>
          </cell>
          <cell r="F1893" t="str">
            <v>PC</v>
          </cell>
          <cell r="G1893" t="str">
            <v>1</v>
          </cell>
          <cell r="H1893" t="str">
            <v>INDUSTRY</v>
          </cell>
          <cell r="I1893" t="str">
            <v>11</v>
          </cell>
          <cell r="J1893" t="str">
            <v>WOOD COATINGS</v>
          </cell>
          <cell r="K1893" t="str">
            <v>1118</v>
          </cell>
          <cell r="L1893" t="str">
            <v>COMPLEMENTARY</v>
          </cell>
          <cell r="M1893" t="str">
            <v>111807</v>
          </cell>
          <cell r="N1893" t="str">
            <v>PASTA</v>
          </cell>
        </row>
        <row r="1894">
          <cell r="C1894" t="str">
            <v>100002965</v>
          </cell>
          <cell r="D1894" t="str">
            <v>GZ-12700 VAN DYKE BROWN 20-4K</v>
          </cell>
          <cell r="E1894" t="str">
            <v>ZFGD</v>
          </cell>
          <cell r="F1894" t="str">
            <v>PC</v>
          </cell>
          <cell r="G1894" t="str">
            <v>1</v>
          </cell>
          <cell r="H1894" t="str">
            <v>INDUSTRY</v>
          </cell>
          <cell r="I1894" t="str">
            <v>11</v>
          </cell>
          <cell r="J1894" t="str">
            <v>WOOD COATINGS</v>
          </cell>
          <cell r="K1894" t="str">
            <v>1109</v>
          </cell>
          <cell r="L1894" t="str">
            <v>STAIN &amp; GLAZE INTERIOR</v>
          </cell>
          <cell r="M1894" t="str">
            <v>110901</v>
          </cell>
          <cell r="N1894" t="str">
            <v>ASOF : STAIN &amp; GLAZE</v>
          </cell>
        </row>
        <row r="1895">
          <cell r="C1895" t="str">
            <v>100002966</v>
          </cell>
          <cell r="D1895" t="str">
            <v>GZ-12700 BURNT UMBER 20-4K</v>
          </cell>
          <cell r="E1895" t="str">
            <v>ZFGD</v>
          </cell>
          <cell r="F1895" t="str">
            <v>PC</v>
          </cell>
          <cell r="G1895" t="str">
            <v>1</v>
          </cell>
          <cell r="H1895" t="str">
            <v>INDUSTRY</v>
          </cell>
          <cell r="I1895" t="str">
            <v>11</v>
          </cell>
          <cell r="J1895" t="str">
            <v>WOOD COATINGS</v>
          </cell>
          <cell r="K1895" t="str">
            <v>1109</v>
          </cell>
          <cell r="L1895" t="str">
            <v>STAIN &amp; GLAZE INTERIOR</v>
          </cell>
          <cell r="M1895" t="str">
            <v>110901</v>
          </cell>
          <cell r="N1895" t="str">
            <v>ASOF : STAIN &amp; GLAZE</v>
          </cell>
        </row>
        <row r="1896">
          <cell r="C1896" t="str">
            <v>100002967</v>
          </cell>
          <cell r="D1896" t="str">
            <v>GZ-12700 RED OXIDE 20-4K</v>
          </cell>
          <cell r="E1896" t="str">
            <v>ZFGD</v>
          </cell>
          <cell r="F1896" t="str">
            <v>PC</v>
          </cell>
          <cell r="G1896" t="str">
            <v>1</v>
          </cell>
          <cell r="H1896" t="str">
            <v>INDUSTRY</v>
          </cell>
          <cell r="I1896" t="str">
            <v>11</v>
          </cell>
          <cell r="J1896" t="str">
            <v>WOOD COATINGS</v>
          </cell>
          <cell r="K1896" t="str">
            <v>1109</v>
          </cell>
          <cell r="L1896" t="str">
            <v>STAIN &amp; GLAZE INTERIOR</v>
          </cell>
          <cell r="M1896" t="str">
            <v>110901</v>
          </cell>
          <cell r="N1896" t="str">
            <v>ASOF : STAIN &amp; GLAZE</v>
          </cell>
        </row>
        <row r="1897">
          <cell r="C1897" t="str">
            <v>100002968</v>
          </cell>
          <cell r="D1897" t="str">
            <v>GZWB BASE 08 VN-20KP</v>
          </cell>
          <cell r="E1897" t="str">
            <v>ZFGD</v>
          </cell>
          <cell r="F1897" t="str">
            <v>PC</v>
          </cell>
          <cell r="G1897" t="str">
            <v>1</v>
          </cell>
          <cell r="H1897" t="str">
            <v>INDUSTRY</v>
          </cell>
          <cell r="I1897" t="str">
            <v>11</v>
          </cell>
          <cell r="J1897" t="str">
            <v>WOOD COATINGS</v>
          </cell>
          <cell r="K1897" t="str">
            <v>1119</v>
          </cell>
          <cell r="L1897" t="str">
            <v>WATERBASED</v>
          </cell>
          <cell r="M1897" t="str">
            <v>111902</v>
          </cell>
          <cell r="N1897" t="str">
            <v>WATERBASED SYSTEM INTERIOR</v>
          </cell>
        </row>
        <row r="1898">
          <cell r="C1898" t="str">
            <v>100002969</v>
          </cell>
          <cell r="D1898" t="str">
            <v>PUC-54206 AC EX 90 90 MK VN-20KP</v>
          </cell>
          <cell r="E1898" t="str">
            <v>ZFGD</v>
          </cell>
          <cell r="F1898" t="str">
            <v>PC</v>
          </cell>
          <cell r="G1898" t="str">
            <v>1</v>
          </cell>
          <cell r="H1898" t="str">
            <v>INDUSTRY</v>
          </cell>
          <cell r="I1898" t="str">
            <v>11</v>
          </cell>
          <cell r="J1898" t="str">
            <v>WOOD COATINGS</v>
          </cell>
          <cell r="K1898" t="str">
            <v>1103</v>
          </cell>
          <cell r="L1898" t="str">
            <v>PU</v>
          </cell>
          <cell r="M1898" t="str">
            <v>110319</v>
          </cell>
          <cell r="N1898" t="str">
            <v>PU COLOR</v>
          </cell>
        </row>
        <row r="1899">
          <cell r="C1899" t="str">
            <v>100002970</v>
          </cell>
          <cell r="D1899" t="str">
            <v>PUP-52135 90 MK VN-20KP</v>
          </cell>
          <cell r="E1899" t="str">
            <v>ZFGD</v>
          </cell>
          <cell r="F1899" t="str">
            <v>PC</v>
          </cell>
          <cell r="G1899" t="str">
            <v>1</v>
          </cell>
          <cell r="H1899" t="str">
            <v>INDUSTRY</v>
          </cell>
          <cell r="I1899" t="str">
            <v>11</v>
          </cell>
          <cell r="J1899" t="str">
            <v>WOOD COATINGS</v>
          </cell>
          <cell r="K1899" t="str">
            <v>1103</v>
          </cell>
          <cell r="L1899" t="str">
            <v>PU</v>
          </cell>
          <cell r="M1899" t="str">
            <v>110322</v>
          </cell>
          <cell r="N1899" t="str">
            <v>PU PRIMER</v>
          </cell>
        </row>
        <row r="1900">
          <cell r="C1900" t="str">
            <v>100002971</v>
          </cell>
          <cell r="D1900" t="str">
            <v>MX-99 DARK GREY 20 MH VN-15KP</v>
          </cell>
          <cell r="E1900" t="str">
            <v>ZFGD</v>
          </cell>
          <cell r="F1900" t="str">
            <v>PC</v>
          </cell>
          <cell r="G1900" t="str">
            <v>2</v>
          </cell>
          <cell r="H1900" t="str">
            <v>RETAIL</v>
          </cell>
          <cell r="I1900" t="str">
            <v>27</v>
          </cell>
          <cell r="J1900" t="str">
            <v>CPC1</v>
          </cell>
          <cell r="K1900" t="str">
            <v>2703</v>
          </cell>
          <cell r="L1900" t="str">
            <v>MULTIPOX</v>
          </cell>
          <cell r="M1900" t="str">
            <v>270302</v>
          </cell>
          <cell r="N1900" t="str">
            <v>MULTIPOX BASE</v>
          </cell>
        </row>
        <row r="1901">
          <cell r="C1901" t="str">
            <v>100002972</v>
          </cell>
          <cell r="D1901" t="str">
            <v>PCA-31100 CHERRY TL VN-20LJ</v>
          </cell>
          <cell r="E1901" t="str">
            <v>ZFGD</v>
          </cell>
          <cell r="F1901" t="str">
            <v>PC</v>
          </cell>
          <cell r="G1901" t="str">
            <v>1</v>
          </cell>
          <cell r="H1901" t="str">
            <v>INDUSTRY</v>
          </cell>
          <cell r="I1901" t="str">
            <v>11</v>
          </cell>
          <cell r="J1901" t="str">
            <v>WOOD COATINGS</v>
          </cell>
          <cell r="K1901" t="str">
            <v>1118</v>
          </cell>
          <cell r="L1901" t="str">
            <v>COMPLEMENTARY</v>
          </cell>
          <cell r="M1901" t="str">
            <v>111807</v>
          </cell>
          <cell r="N1901" t="str">
            <v>PASTA</v>
          </cell>
        </row>
        <row r="1902">
          <cell r="C1902" t="str">
            <v>100002973</v>
          </cell>
          <cell r="D1902" t="str">
            <v>SST-11100 CHERRY TL VN-20LJ</v>
          </cell>
          <cell r="E1902" t="str">
            <v>ZFGD</v>
          </cell>
          <cell r="F1902" t="str">
            <v>PC</v>
          </cell>
          <cell r="G1902" t="str">
            <v>1</v>
          </cell>
          <cell r="H1902" t="str">
            <v>INDUSTRY</v>
          </cell>
          <cell r="I1902" t="str">
            <v>11</v>
          </cell>
          <cell r="J1902" t="str">
            <v>WOOD COATINGS</v>
          </cell>
          <cell r="K1902" t="str">
            <v>1109</v>
          </cell>
          <cell r="L1902" t="str">
            <v>STAIN &amp; GLAZE INTERIOR</v>
          </cell>
          <cell r="M1902" t="str">
            <v>110903</v>
          </cell>
          <cell r="N1902" t="str">
            <v>STAIN INTERIOR</v>
          </cell>
        </row>
        <row r="1903">
          <cell r="C1903" t="str">
            <v>100002974</v>
          </cell>
          <cell r="D1903" t="str">
            <v>PCA-31100 CHESTNUT TL VN-20LJ</v>
          </cell>
          <cell r="E1903" t="str">
            <v>ZFGD</v>
          </cell>
          <cell r="F1903" t="str">
            <v>PC</v>
          </cell>
          <cell r="G1903" t="str">
            <v>1</v>
          </cell>
          <cell r="H1903" t="str">
            <v>INDUSTRY</v>
          </cell>
          <cell r="I1903" t="str">
            <v>11</v>
          </cell>
          <cell r="J1903" t="str">
            <v>WOOD COATINGS</v>
          </cell>
          <cell r="K1903" t="str">
            <v>1118</v>
          </cell>
          <cell r="L1903" t="str">
            <v>COMPLEMENTARY</v>
          </cell>
          <cell r="M1903" t="str">
            <v>111807</v>
          </cell>
          <cell r="N1903" t="str">
            <v>PASTA</v>
          </cell>
        </row>
        <row r="1904">
          <cell r="C1904" t="str">
            <v>100002975</v>
          </cell>
          <cell r="D1904" t="str">
            <v>SST-11100 CHESTNUT A TL VN-20LJ</v>
          </cell>
          <cell r="E1904" t="str">
            <v>ZFGD</v>
          </cell>
          <cell r="F1904" t="str">
            <v>PC</v>
          </cell>
          <cell r="G1904" t="str">
            <v>1</v>
          </cell>
          <cell r="H1904" t="str">
            <v>INDUSTRY</v>
          </cell>
          <cell r="I1904" t="str">
            <v>11</v>
          </cell>
          <cell r="J1904" t="str">
            <v>WOOD COATINGS</v>
          </cell>
          <cell r="K1904" t="str">
            <v>1109</v>
          </cell>
          <cell r="L1904" t="str">
            <v>STAIN &amp; GLAZE INTERIOR</v>
          </cell>
          <cell r="M1904" t="str">
            <v>110903</v>
          </cell>
          <cell r="N1904" t="str">
            <v>STAIN INTERIOR</v>
          </cell>
        </row>
        <row r="1905">
          <cell r="C1905" t="str">
            <v>100002976</v>
          </cell>
          <cell r="D1905" t="str">
            <v>SST-11100 CHESTNUT B TL VN-20LJ</v>
          </cell>
          <cell r="E1905" t="str">
            <v>ZFGD</v>
          </cell>
          <cell r="F1905" t="str">
            <v>PC</v>
          </cell>
          <cell r="G1905" t="str">
            <v>1</v>
          </cell>
          <cell r="H1905" t="str">
            <v>INDUSTRY</v>
          </cell>
          <cell r="I1905" t="str">
            <v>11</v>
          </cell>
          <cell r="J1905" t="str">
            <v>WOOD COATINGS</v>
          </cell>
          <cell r="K1905" t="str">
            <v>1109</v>
          </cell>
          <cell r="L1905" t="str">
            <v>STAIN &amp; GLAZE INTERIOR</v>
          </cell>
          <cell r="M1905" t="str">
            <v>110903</v>
          </cell>
          <cell r="N1905" t="str">
            <v>STAIN INTERIOR</v>
          </cell>
        </row>
        <row r="1906">
          <cell r="C1906" t="str">
            <v>100002979</v>
          </cell>
          <cell r="D1906" t="str">
            <v>SYNTHETIC 3000 RX BLACK 9406-0.8L</v>
          </cell>
          <cell r="E1906" t="str">
            <v>ZFGD</v>
          </cell>
          <cell r="F1906" t="str">
            <v>PC</v>
          </cell>
          <cell r="G1906" t="str">
            <v>2</v>
          </cell>
          <cell r="H1906" t="str">
            <v>RETAIL</v>
          </cell>
          <cell r="I1906" t="str">
            <v>29</v>
          </cell>
          <cell r="J1906" t="str">
            <v>MPC</v>
          </cell>
          <cell r="K1906" t="str">
            <v>2902</v>
          </cell>
          <cell r="L1906" t="str">
            <v>SYNTHETIC ENAMEL SB</v>
          </cell>
          <cell r="M1906" t="str">
            <v>290203</v>
          </cell>
          <cell r="N1906" t="str">
            <v>SYNTHETIC 3000</v>
          </cell>
        </row>
        <row r="1907">
          <cell r="C1907" t="str">
            <v>100002980</v>
          </cell>
          <cell r="D1907" t="str">
            <v>SYNTHETIC 3000 RX BLACK DOF 9406D-0.8L</v>
          </cell>
          <cell r="E1907" t="str">
            <v>ZFGD</v>
          </cell>
          <cell r="F1907" t="str">
            <v>PC</v>
          </cell>
          <cell r="G1907" t="str">
            <v>2</v>
          </cell>
          <cell r="H1907" t="str">
            <v>RETAIL</v>
          </cell>
          <cell r="I1907" t="str">
            <v>29</v>
          </cell>
          <cell r="J1907" t="str">
            <v>MPC</v>
          </cell>
          <cell r="K1907" t="str">
            <v>2902</v>
          </cell>
          <cell r="L1907" t="str">
            <v>SYNTHETIC ENAMEL SB</v>
          </cell>
          <cell r="M1907" t="str">
            <v>290203</v>
          </cell>
          <cell r="N1907" t="str">
            <v>SYNTHETIC 3000</v>
          </cell>
        </row>
        <row r="1908">
          <cell r="C1908" t="str">
            <v>100002981</v>
          </cell>
          <cell r="D1908" t="str">
            <v>SYNTHETIC 3000 RX SILVER 9106-0.8L</v>
          </cell>
          <cell r="E1908" t="str">
            <v>ZFGD</v>
          </cell>
          <cell r="F1908" t="str">
            <v>PC</v>
          </cell>
          <cell r="G1908" t="str">
            <v>2</v>
          </cell>
          <cell r="H1908" t="str">
            <v>RETAIL</v>
          </cell>
          <cell r="I1908" t="str">
            <v>29</v>
          </cell>
          <cell r="J1908" t="str">
            <v>MPC</v>
          </cell>
          <cell r="K1908" t="str">
            <v>2902</v>
          </cell>
          <cell r="L1908" t="str">
            <v>SYNTHETIC ENAMEL SB</v>
          </cell>
          <cell r="M1908" t="str">
            <v>290203</v>
          </cell>
          <cell r="N1908" t="str">
            <v>SYNTHETIC 3000</v>
          </cell>
        </row>
        <row r="1909">
          <cell r="C1909" t="str">
            <v>100002982</v>
          </cell>
          <cell r="D1909" t="str">
            <v>SYNTHETIC 3000 RX WHITE 9101-0.8L</v>
          </cell>
          <cell r="E1909" t="str">
            <v>ZFGD</v>
          </cell>
          <cell r="F1909" t="str">
            <v>PC</v>
          </cell>
          <cell r="G1909" t="str">
            <v>2</v>
          </cell>
          <cell r="H1909" t="str">
            <v>RETAIL</v>
          </cell>
          <cell r="I1909" t="str">
            <v>29</v>
          </cell>
          <cell r="J1909" t="str">
            <v>MPC</v>
          </cell>
          <cell r="K1909" t="str">
            <v>2902</v>
          </cell>
          <cell r="L1909" t="str">
            <v>SYNTHETIC ENAMEL SB</v>
          </cell>
          <cell r="M1909" t="str">
            <v>290203</v>
          </cell>
          <cell r="N1909" t="str">
            <v>SYNTHETIC 3000</v>
          </cell>
        </row>
        <row r="1910">
          <cell r="C1910" t="str">
            <v>100002983</v>
          </cell>
          <cell r="D1910" t="str">
            <v>SYNTHETIC 3000 RX TEAK BROWN 2408-0.8L</v>
          </cell>
          <cell r="E1910" t="str">
            <v>ZFGD</v>
          </cell>
          <cell r="F1910" t="str">
            <v>PC</v>
          </cell>
          <cell r="G1910" t="str">
            <v>2</v>
          </cell>
          <cell r="H1910" t="str">
            <v>RETAIL</v>
          </cell>
          <cell r="I1910" t="str">
            <v>29</v>
          </cell>
          <cell r="J1910" t="str">
            <v>MPC</v>
          </cell>
          <cell r="K1910" t="str">
            <v>2902</v>
          </cell>
          <cell r="L1910" t="str">
            <v>SYNTHETIC ENAMEL SB</v>
          </cell>
          <cell r="M1910" t="str">
            <v>290203</v>
          </cell>
          <cell r="N1910" t="str">
            <v>SYNTHETIC 3000</v>
          </cell>
        </row>
        <row r="1911">
          <cell r="C1911" t="str">
            <v>100002986</v>
          </cell>
          <cell r="D1911" t="str">
            <v>#NUPCWB-31600 KDW KI VN-1K</v>
          </cell>
          <cell r="E1911" t="str">
            <v>ZFGD</v>
          </cell>
          <cell r="F1911" t="str">
            <v>PC</v>
          </cell>
          <cell r="G1911" t="str">
            <v>1</v>
          </cell>
          <cell r="H1911" t="str">
            <v>INDUSTRY</v>
          </cell>
          <cell r="I1911" t="str">
            <v>11</v>
          </cell>
          <cell r="J1911" t="str">
            <v>WOOD COATINGS</v>
          </cell>
          <cell r="K1911" t="str">
            <v>1113</v>
          </cell>
          <cell r="L1911" t="str">
            <v>LAIN-LAIN WF I</v>
          </cell>
          <cell r="M1911" t="str">
            <v>111305</v>
          </cell>
          <cell r="N1911" t="str">
            <v>PASTA</v>
          </cell>
        </row>
        <row r="1912">
          <cell r="C1912" t="str">
            <v>100002987</v>
          </cell>
          <cell r="D1912" t="str">
            <v>UVS-20600 TEA GMR 01 SC VN-20KP</v>
          </cell>
          <cell r="E1912" t="str">
            <v>ZFGD</v>
          </cell>
          <cell r="F1912" t="str">
            <v>PC</v>
          </cell>
          <cell r="G1912" t="str">
            <v>1</v>
          </cell>
          <cell r="H1912" t="str">
            <v>INDUSTRY</v>
          </cell>
          <cell r="I1912" t="str">
            <v>11</v>
          </cell>
          <cell r="J1912" t="str">
            <v>WOOD COATINGS</v>
          </cell>
          <cell r="K1912" t="str">
            <v>1106</v>
          </cell>
          <cell r="L1912" t="str">
            <v>UV</v>
          </cell>
          <cell r="M1912" t="str">
            <v>110606</v>
          </cell>
          <cell r="N1912" t="str">
            <v>UV STAIN</v>
          </cell>
        </row>
        <row r="1913">
          <cell r="C1913" t="str">
            <v>100002988</v>
          </cell>
          <cell r="D1913" t="str">
            <v>UVS-20600 TEA GMR 02 SC VN-20KP</v>
          </cell>
          <cell r="E1913" t="str">
            <v>ZFGD</v>
          </cell>
          <cell r="F1913" t="str">
            <v>PC</v>
          </cell>
          <cell r="G1913" t="str">
            <v>1</v>
          </cell>
          <cell r="H1913" t="str">
            <v>INDUSTRY</v>
          </cell>
          <cell r="I1913" t="str">
            <v>11</v>
          </cell>
          <cell r="J1913" t="str">
            <v>WOOD COATINGS</v>
          </cell>
          <cell r="K1913" t="str">
            <v>1106</v>
          </cell>
          <cell r="L1913" t="str">
            <v>UV</v>
          </cell>
          <cell r="M1913" t="str">
            <v>110606</v>
          </cell>
          <cell r="N1913" t="str">
            <v>UV STAIN</v>
          </cell>
        </row>
        <row r="1914">
          <cell r="C1914" t="str">
            <v>100002989</v>
          </cell>
          <cell r="D1914" t="str">
            <v>UVS-20600 TEA GMR 03 SC VN-20KP</v>
          </cell>
          <cell r="E1914" t="str">
            <v>ZFGD</v>
          </cell>
          <cell r="F1914" t="str">
            <v>PC</v>
          </cell>
          <cell r="G1914" t="str">
            <v>1</v>
          </cell>
          <cell r="H1914" t="str">
            <v>INDUSTRY</v>
          </cell>
          <cell r="I1914" t="str">
            <v>11</v>
          </cell>
          <cell r="J1914" t="str">
            <v>WOOD COATINGS</v>
          </cell>
          <cell r="K1914" t="str">
            <v>1106</v>
          </cell>
          <cell r="L1914" t="str">
            <v>UV</v>
          </cell>
          <cell r="M1914" t="str">
            <v>110606</v>
          </cell>
          <cell r="N1914" t="str">
            <v>UV STAIN</v>
          </cell>
        </row>
        <row r="1915">
          <cell r="C1915" t="str">
            <v>100002990</v>
          </cell>
          <cell r="D1915" t="str">
            <v>PUP-54106 AC EX L46 DB VN-20KP</v>
          </cell>
          <cell r="E1915" t="str">
            <v>ZFGD</v>
          </cell>
          <cell r="F1915" t="str">
            <v>PC</v>
          </cell>
          <cell r="G1915" t="str">
            <v>1</v>
          </cell>
          <cell r="H1915" t="str">
            <v>INDUSTRY</v>
          </cell>
          <cell r="I1915" t="str">
            <v>11</v>
          </cell>
          <cell r="J1915" t="str">
            <v>WOOD COATINGS</v>
          </cell>
          <cell r="K1915" t="str">
            <v>1103</v>
          </cell>
          <cell r="L1915" t="str">
            <v>PU</v>
          </cell>
          <cell r="M1915" t="str">
            <v>110322</v>
          </cell>
          <cell r="N1915" t="str">
            <v>PU PRIMER</v>
          </cell>
        </row>
        <row r="1916">
          <cell r="C1916" t="str">
            <v>100002991</v>
          </cell>
          <cell r="D1916" t="str">
            <v>PUP-54106 AC EX L51 DB VN-20KP</v>
          </cell>
          <cell r="E1916" t="str">
            <v>ZFGD</v>
          </cell>
          <cell r="F1916" t="str">
            <v>PC</v>
          </cell>
          <cell r="G1916" t="str">
            <v>1</v>
          </cell>
          <cell r="H1916" t="str">
            <v>INDUSTRY</v>
          </cell>
          <cell r="I1916" t="str">
            <v>11</v>
          </cell>
          <cell r="J1916" t="str">
            <v>WOOD COATINGS</v>
          </cell>
          <cell r="K1916" t="str">
            <v>1103</v>
          </cell>
          <cell r="L1916" t="str">
            <v>PU</v>
          </cell>
          <cell r="M1916" t="str">
            <v>110322</v>
          </cell>
          <cell r="N1916" t="str">
            <v>PU PRIMER</v>
          </cell>
        </row>
        <row r="1917">
          <cell r="C1917" t="str">
            <v>100002992</v>
          </cell>
          <cell r="D1917" t="str">
            <v>NCL-40800 LY CLEAR 40 VN-18LP</v>
          </cell>
          <cell r="E1917" t="str">
            <v>ZFGD</v>
          </cell>
          <cell r="F1917" t="str">
            <v>PC</v>
          </cell>
          <cell r="G1917" t="str">
            <v>1</v>
          </cell>
          <cell r="H1917" t="str">
            <v>INDUSTRY</v>
          </cell>
          <cell r="I1917" t="str">
            <v>11</v>
          </cell>
          <cell r="J1917" t="str">
            <v>WOOD COATINGS</v>
          </cell>
          <cell r="K1917" t="str">
            <v>1104</v>
          </cell>
          <cell r="L1917" t="str">
            <v>NC</v>
          </cell>
          <cell r="M1917" t="str">
            <v>110404</v>
          </cell>
          <cell r="N1917" t="str">
            <v>ASOF : NC TOP COAT</v>
          </cell>
        </row>
        <row r="1918">
          <cell r="C1918" t="str">
            <v>100002993</v>
          </cell>
          <cell r="D1918" t="str">
            <v>THUV-04100 VN-200LK</v>
          </cell>
          <cell r="E1918" t="str">
            <v>ZFGD</v>
          </cell>
          <cell r="F1918" t="str">
            <v>PC</v>
          </cell>
          <cell r="G1918" t="str">
            <v>1</v>
          </cell>
          <cell r="H1918" t="str">
            <v>INDUSTRY</v>
          </cell>
          <cell r="I1918" t="str">
            <v>14</v>
          </cell>
          <cell r="J1918" t="str">
            <v>THINNER</v>
          </cell>
          <cell r="K1918" t="str">
            <v>1410</v>
          </cell>
          <cell r="L1918" t="str">
            <v>THINNER UV</v>
          </cell>
          <cell r="M1918" t="str">
            <v>141001</v>
          </cell>
          <cell r="N1918" t="str">
            <v>THINNER UV</v>
          </cell>
        </row>
        <row r="1919">
          <cell r="C1919" t="str">
            <v>100002994</v>
          </cell>
          <cell r="D1919" t="str">
            <v>THUV-04100 VN-20LJ</v>
          </cell>
          <cell r="E1919" t="str">
            <v>ZFGD</v>
          </cell>
          <cell r="F1919" t="str">
            <v>PC</v>
          </cell>
          <cell r="G1919" t="str">
            <v>1</v>
          </cell>
          <cell r="H1919" t="str">
            <v>INDUSTRY</v>
          </cell>
          <cell r="I1919" t="str">
            <v>14</v>
          </cell>
          <cell r="J1919" t="str">
            <v>THINNER</v>
          </cell>
          <cell r="K1919" t="str">
            <v>1410</v>
          </cell>
          <cell r="L1919" t="str">
            <v>THINNER UV</v>
          </cell>
          <cell r="M1919" t="str">
            <v>141001</v>
          </cell>
          <cell r="N1919" t="str">
            <v>THINNER UV</v>
          </cell>
        </row>
        <row r="1920">
          <cell r="C1920" t="str">
            <v>100002995</v>
          </cell>
          <cell r="D1920" t="str">
            <v>PUP-54106 AC EX L47 DB VN-20KP</v>
          </cell>
          <cell r="E1920" t="str">
            <v>ZFGD</v>
          </cell>
          <cell r="F1920" t="str">
            <v>PC</v>
          </cell>
          <cell r="G1920" t="str">
            <v>1</v>
          </cell>
          <cell r="H1920" t="str">
            <v>INDUSTRY</v>
          </cell>
          <cell r="I1920" t="str">
            <v>11</v>
          </cell>
          <cell r="J1920" t="str">
            <v>WOOD COATINGS</v>
          </cell>
          <cell r="K1920" t="str">
            <v>1103</v>
          </cell>
          <cell r="L1920" t="str">
            <v>PU</v>
          </cell>
          <cell r="M1920" t="str">
            <v>110322</v>
          </cell>
          <cell r="N1920" t="str">
            <v>PU PRIMER</v>
          </cell>
        </row>
        <row r="1921">
          <cell r="C1921" t="str">
            <v>100002996</v>
          </cell>
          <cell r="D1921" t="str">
            <v>PUC-54205 AC AVINH 05 MK VN-20KP</v>
          </cell>
          <cell r="E1921" t="str">
            <v>ZFGD</v>
          </cell>
          <cell r="F1921" t="str">
            <v>PC</v>
          </cell>
          <cell r="G1921" t="str">
            <v>1</v>
          </cell>
          <cell r="H1921" t="str">
            <v>INDUSTRY</v>
          </cell>
          <cell r="I1921" t="str">
            <v>11</v>
          </cell>
          <cell r="J1921" t="str">
            <v>WOOD COATINGS</v>
          </cell>
          <cell r="K1921" t="str">
            <v>1103</v>
          </cell>
          <cell r="L1921" t="str">
            <v>PU</v>
          </cell>
          <cell r="M1921" t="str">
            <v>110319</v>
          </cell>
          <cell r="N1921" t="str">
            <v>PU COLOR</v>
          </cell>
        </row>
        <row r="1922">
          <cell r="C1922" t="str">
            <v>100002997</v>
          </cell>
          <cell r="D1922" t="str">
            <v>WBC-62202 WHITE 70 VN-20KP</v>
          </cell>
          <cell r="E1922" t="str">
            <v>ZFGD</v>
          </cell>
          <cell r="F1922" t="str">
            <v>PC</v>
          </cell>
          <cell r="G1922" t="str">
            <v>1</v>
          </cell>
          <cell r="H1922" t="str">
            <v>INDUSTRY</v>
          </cell>
          <cell r="I1922" t="str">
            <v>11</v>
          </cell>
          <cell r="J1922" t="str">
            <v>WOOD COATINGS</v>
          </cell>
          <cell r="K1922" t="str">
            <v>1119</v>
          </cell>
          <cell r="L1922" t="str">
            <v>WATERBASED</v>
          </cell>
          <cell r="M1922" t="str">
            <v>111902</v>
          </cell>
          <cell r="N1922" t="str">
            <v>WATERBASED SYSTEM INTERIOR</v>
          </cell>
        </row>
        <row r="1923">
          <cell r="C1923" t="str">
            <v>100002998</v>
          </cell>
          <cell r="D1923" t="str">
            <v>NBC-9345-716-AK-200KB</v>
          </cell>
          <cell r="E1923" t="str">
            <v>ZFGD</v>
          </cell>
          <cell r="F1923" t="str">
            <v>PC</v>
          </cell>
          <cell r="G1923" t="str">
            <v>1</v>
          </cell>
          <cell r="H1923" t="str">
            <v>INDUSTRY</v>
          </cell>
          <cell r="I1923" t="str">
            <v>11</v>
          </cell>
          <cell r="J1923" t="str">
            <v>WOOD COATINGS</v>
          </cell>
          <cell r="K1923" t="str">
            <v>1104</v>
          </cell>
          <cell r="L1923" t="str">
            <v>NC</v>
          </cell>
          <cell r="M1923" t="str">
            <v>110403</v>
          </cell>
          <cell r="N1923" t="str">
            <v>ASOF : NC BASE COAT</v>
          </cell>
        </row>
        <row r="1924">
          <cell r="C1924" t="str">
            <v>100002999</v>
          </cell>
          <cell r="D1924" t="str">
            <v>PUC-54205 AC OC 118 15 GE VN-20KP</v>
          </cell>
          <cell r="E1924" t="str">
            <v>ZFGD</v>
          </cell>
          <cell r="F1924" t="str">
            <v>PC</v>
          </cell>
          <cell r="G1924" t="str">
            <v>1</v>
          </cell>
          <cell r="H1924" t="str">
            <v>INDUSTRY</v>
          </cell>
          <cell r="I1924" t="str">
            <v>11</v>
          </cell>
          <cell r="J1924" t="str">
            <v>WOOD COATINGS</v>
          </cell>
          <cell r="K1924" t="str">
            <v>1103</v>
          </cell>
          <cell r="L1924" t="str">
            <v>PU</v>
          </cell>
          <cell r="M1924" t="str">
            <v>110319</v>
          </cell>
          <cell r="N1924" t="str">
            <v>PU COLOR</v>
          </cell>
        </row>
        <row r="1925">
          <cell r="C1925" t="str">
            <v>100003000</v>
          </cell>
          <cell r="D1925" t="str">
            <v>WBL-76500 EX BASE VN-20KP</v>
          </cell>
          <cell r="E1925" t="str">
            <v>ZFGD</v>
          </cell>
          <cell r="F1925" t="str">
            <v>PC</v>
          </cell>
          <cell r="G1925" t="str">
            <v>1</v>
          </cell>
          <cell r="H1925" t="str">
            <v>INDUSTRY</v>
          </cell>
          <cell r="I1925" t="str">
            <v>11</v>
          </cell>
          <cell r="J1925" t="str">
            <v>WOOD COATINGS</v>
          </cell>
          <cell r="K1925" t="str">
            <v>1101</v>
          </cell>
          <cell r="L1925" t="str">
            <v>ALKYD OIL</v>
          </cell>
          <cell r="M1925" t="str">
            <v>110103</v>
          </cell>
          <cell r="N1925" t="str">
            <v>WATERBASED SYSTEM EXTERIOR</v>
          </cell>
        </row>
        <row r="1926">
          <cell r="C1926" t="str">
            <v>100003001</v>
          </cell>
          <cell r="D1926" t="str">
            <v>64-56 MICRO FILLER 26 SI VN-20KP</v>
          </cell>
          <cell r="E1926" t="str">
            <v>ZFGD</v>
          </cell>
          <cell r="F1926" t="str">
            <v>PC</v>
          </cell>
          <cell r="G1926" t="str">
            <v>1</v>
          </cell>
          <cell r="H1926" t="str">
            <v>INDUSTRY</v>
          </cell>
          <cell r="I1926" t="str">
            <v>11</v>
          </cell>
          <cell r="J1926" t="str">
            <v>WOOD COATINGS</v>
          </cell>
          <cell r="K1926" t="str">
            <v>1103</v>
          </cell>
          <cell r="L1926" t="str">
            <v>PU</v>
          </cell>
          <cell r="M1926" t="str">
            <v>110305</v>
          </cell>
          <cell r="N1926" t="str">
            <v>UNION FILLER</v>
          </cell>
        </row>
        <row r="1927">
          <cell r="C1927" t="str">
            <v>100003002</v>
          </cell>
          <cell r="D1927" t="str">
            <v>SST-11100 26 SI VN-20LJ</v>
          </cell>
          <cell r="E1927" t="str">
            <v>ZFGD</v>
          </cell>
          <cell r="F1927" t="str">
            <v>PC</v>
          </cell>
          <cell r="G1927" t="str">
            <v>1</v>
          </cell>
          <cell r="H1927" t="str">
            <v>INDUSTRY</v>
          </cell>
          <cell r="I1927" t="str">
            <v>11</v>
          </cell>
          <cell r="J1927" t="str">
            <v>WOOD COATINGS</v>
          </cell>
          <cell r="K1927" t="str">
            <v>1109</v>
          </cell>
          <cell r="L1927" t="str">
            <v>STAIN &amp; GLAZE INTERIOR</v>
          </cell>
          <cell r="M1927" t="str">
            <v>110903</v>
          </cell>
          <cell r="N1927" t="str">
            <v>STAIN INTERIOR</v>
          </cell>
        </row>
        <row r="1928">
          <cell r="C1928" t="str">
            <v>100003003</v>
          </cell>
          <cell r="D1928" t="str">
            <v>PUC-54205 AC 122MW127 70 GE VN-20KP</v>
          </cell>
          <cell r="E1928" t="str">
            <v>ZFGD</v>
          </cell>
          <cell r="F1928" t="str">
            <v>PC</v>
          </cell>
          <cell r="G1928" t="str">
            <v>1</v>
          </cell>
          <cell r="H1928" t="str">
            <v>INDUSTRY</v>
          </cell>
          <cell r="I1928" t="str">
            <v>11</v>
          </cell>
          <cell r="J1928" t="str">
            <v>WOOD COATINGS</v>
          </cell>
          <cell r="K1928" t="str">
            <v>1103</v>
          </cell>
          <cell r="L1928" t="str">
            <v>PU</v>
          </cell>
          <cell r="M1928" t="str">
            <v>110319</v>
          </cell>
          <cell r="N1928" t="str">
            <v>PU COLOR</v>
          </cell>
        </row>
        <row r="1929">
          <cell r="C1929" t="str">
            <v>100003004</v>
          </cell>
          <cell r="D1929" t="str">
            <v>PUC-54206 AC EX 122E23 05 GE VN-20KP</v>
          </cell>
          <cell r="E1929" t="str">
            <v>ZFGD</v>
          </cell>
          <cell r="F1929" t="str">
            <v>PC</v>
          </cell>
          <cell r="G1929" t="str">
            <v>1</v>
          </cell>
          <cell r="H1929" t="str">
            <v>INDUSTRY</v>
          </cell>
          <cell r="I1929" t="str">
            <v>11</v>
          </cell>
          <cell r="J1929" t="str">
            <v>WOOD COATINGS</v>
          </cell>
          <cell r="K1929" t="str">
            <v>1103</v>
          </cell>
          <cell r="L1929" t="str">
            <v>PU</v>
          </cell>
          <cell r="M1929" t="str">
            <v>110319</v>
          </cell>
          <cell r="N1929" t="str">
            <v>PU COLOR</v>
          </cell>
        </row>
        <row r="1930">
          <cell r="C1930" t="str">
            <v>100003005</v>
          </cell>
          <cell r="D1930" t="str">
            <v>SST-11100 400WEST GE VN-20LJ</v>
          </cell>
          <cell r="E1930" t="str">
            <v>ZFGD</v>
          </cell>
          <cell r="F1930" t="str">
            <v>PC</v>
          </cell>
          <cell r="G1930" t="str">
            <v>1</v>
          </cell>
          <cell r="H1930" t="str">
            <v>INDUSTRY</v>
          </cell>
          <cell r="I1930" t="str">
            <v>11</v>
          </cell>
          <cell r="J1930" t="str">
            <v>WOOD COATINGS</v>
          </cell>
          <cell r="K1930" t="str">
            <v>1109</v>
          </cell>
          <cell r="L1930" t="str">
            <v>STAIN &amp; GLAZE INTERIOR</v>
          </cell>
          <cell r="M1930" t="str">
            <v>110903</v>
          </cell>
          <cell r="N1930" t="str">
            <v>STAIN INTERIOR</v>
          </cell>
        </row>
        <row r="1931">
          <cell r="C1931" t="str">
            <v>100003006</v>
          </cell>
          <cell r="D1931" t="str">
            <v>SST-11100 BROWN 02 SL VN-20LJ</v>
          </cell>
          <cell r="E1931" t="str">
            <v>ZFGD</v>
          </cell>
          <cell r="F1931" t="str">
            <v>PC</v>
          </cell>
          <cell r="G1931" t="str">
            <v>1</v>
          </cell>
          <cell r="H1931" t="str">
            <v>INDUSTRY</v>
          </cell>
          <cell r="I1931" t="str">
            <v>11</v>
          </cell>
          <cell r="J1931" t="str">
            <v>WOOD COATINGS</v>
          </cell>
          <cell r="K1931" t="str">
            <v>1109</v>
          </cell>
          <cell r="L1931" t="str">
            <v>STAIN &amp; GLAZE INTERIOR</v>
          </cell>
          <cell r="M1931" t="str">
            <v>110903</v>
          </cell>
          <cell r="N1931" t="str">
            <v>STAIN INTERIOR</v>
          </cell>
        </row>
        <row r="1932">
          <cell r="C1932" t="str">
            <v>100003007</v>
          </cell>
          <cell r="D1932" t="str">
            <v>SST-11100 CLR BROWN 02 SL VN-20LJ</v>
          </cell>
          <cell r="E1932" t="str">
            <v>ZFGD</v>
          </cell>
          <cell r="F1932" t="str">
            <v>PC</v>
          </cell>
          <cell r="G1932" t="str">
            <v>1</v>
          </cell>
          <cell r="H1932" t="str">
            <v>INDUSTRY</v>
          </cell>
          <cell r="I1932" t="str">
            <v>11</v>
          </cell>
          <cell r="J1932" t="str">
            <v>WOOD COATINGS</v>
          </cell>
          <cell r="K1932" t="str">
            <v>1109</v>
          </cell>
          <cell r="L1932" t="str">
            <v>STAIN &amp; GLAZE INTERIOR</v>
          </cell>
          <cell r="M1932" t="str">
            <v>110903</v>
          </cell>
          <cell r="N1932" t="str">
            <v>STAIN INTERIOR</v>
          </cell>
        </row>
        <row r="1933">
          <cell r="C1933" t="str">
            <v>100003008</v>
          </cell>
          <cell r="D1933" t="str">
            <v>64-56 MICRO FILLER BROWN 01 SL VN-20KP</v>
          </cell>
          <cell r="E1933" t="str">
            <v>ZFGD</v>
          </cell>
          <cell r="F1933" t="str">
            <v>PC</v>
          </cell>
          <cell r="G1933" t="str">
            <v>1</v>
          </cell>
          <cell r="H1933" t="str">
            <v>INDUSTRY</v>
          </cell>
          <cell r="I1933" t="str">
            <v>11</v>
          </cell>
          <cell r="J1933" t="str">
            <v>WOOD COATINGS</v>
          </cell>
          <cell r="K1933" t="str">
            <v>1103</v>
          </cell>
          <cell r="L1933" t="str">
            <v>PU</v>
          </cell>
          <cell r="M1933" t="str">
            <v>110305</v>
          </cell>
          <cell r="N1933" t="str">
            <v>UNION FILLER</v>
          </cell>
        </row>
        <row r="1934">
          <cell r="C1934" t="str">
            <v>100003009</v>
          </cell>
          <cell r="D1934" t="str">
            <v>SST-11100 BROWN 01 SL VN-20LJ</v>
          </cell>
          <cell r="E1934" t="str">
            <v>ZFGD</v>
          </cell>
          <cell r="F1934" t="str">
            <v>PC</v>
          </cell>
          <cell r="G1934" t="str">
            <v>1</v>
          </cell>
          <cell r="H1934" t="str">
            <v>INDUSTRY</v>
          </cell>
          <cell r="I1934" t="str">
            <v>11</v>
          </cell>
          <cell r="J1934" t="str">
            <v>WOOD COATINGS</v>
          </cell>
          <cell r="K1934" t="str">
            <v>1109</v>
          </cell>
          <cell r="L1934" t="str">
            <v>STAIN &amp; GLAZE INTERIOR</v>
          </cell>
          <cell r="M1934" t="str">
            <v>110903</v>
          </cell>
          <cell r="N1934" t="str">
            <v>STAIN INTERIOR</v>
          </cell>
        </row>
        <row r="1935">
          <cell r="C1935" t="str">
            <v>100003010</v>
          </cell>
          <cell r="D1935" t="str">
            <v>SST-11100 CLR BROWN 01 SL VN-20LJ</v>
          </cell>
          <cell r="E1935" t="str">
            <v>ZFGD</v>
          </cell>
          <cell r="F1935" t="str">
            <v>PC</v>
          </cell>
          <cell r="G1935" t="str">
            <v>1</v>
          </cell>
          <cell r="H1935" t="str">
            <v>INDUSTRY</v>
          </cell>
          <cell r="I1935" t="str">
            <v>11</v>
          </cell>
          <cell r="J1935" t="str">
            <v>WOOD COATINGS</v>
          </cell>
          <cell r="K1935" t="str">
            <v>1109</v>
          </cell>
          <cell r="L1935" t="str">
            <v>STAIN &amp; GLAZE INTERIOR</v>
          </cell>
          <cell r="M1935" t="str">
            <v>110903</v>
          </cell>
          <cell r="N1935" t="str">
            <v>STAIN INTERIOR</v>
          </cell>
        </row>
        <row r="1936">
          <cell r="C1936" t="str">
            <v>100003015</v>
          </cell>
          <cell r="D1936" t="str">
            <v>PUL-765-2K DN MO 50% VN-5LS</v>
          </cell>
          <cell r="E1936" t="str">
            <v>ZFGD</v>
          </cell>
          <cell r="F1936" t="str">
            <v>SET</v>
          </cell>
          <cell r="G1936" t="str">
            <v>2</v>
          </cell>
          <cell r="H1936" t="str">
            <v>RETAIL</v>
          </cell>
          <cell r="I1936" t="str">
            <v>22</v>
          </cell>
          <cell r="J1936" t="str">
            <v>WF2</v>
          </cell>
          <cell r="K1936" t="str">
            <v>2216</v>
          </cell>
          <cell r="L1936" t="str">
            <v>PU MULTIPURPOSE</v>
          </cell>
          <cell r="M1936" t="str">
            <v>221601</v>
          </cell>
          <cell r="N1936" t="str">
            <v>PROPAN MP PU ACR RMX</v>
          </cell>
        </row>
        <row r="1937">
          <cell r="C1937" t="str">
            <v>100003018</v>
          </cell>
          <cell r="D1937" t="str">
            <v>PUC-54205 AC CREAM 20 SL VN-20KP</v>
          </cell>
          <cell r="E1937" t="str">
            <v>ZFGD</v>
          </cell>
          <cell r="F1937" t="str">
            <v>PC</v>
          </cell>
          <cell r="G1937" t="str">
            <v>1</v>
          </cell>
          <cell r="H1937" t="str">
            <v>INDUSTRY</v>
          </cell>
          <cell r="I1937" t="str">
            <v>11</v>
          </cell>
          <cell r="J1937" t="str">
            <v>WOOD COATINGS</v>
          </cell>
          <cell r="K1937" t="str">
            <v>1103</v>
          </cell>
          <cell r="L1937" t="str">
            <v>PU</v>
          </cell>
          <cell r="M1937" t="str">
            <v>110319</v>
          </cell>
          <cell r="N1937" t="str">
            <v>PU COLOR</v>
          </cell>
        </row>
        <row r="1938">
          <cell r="C1938" t="str">
            <v>100003019</v>
          </cell>
          <cell r="D1938" t="str">
            <v>64-56 MICRO FILLER 115HKEO GE VN-20KP</v>
          </cell>
          <cell r="E1938" t="str">
            <v>ZFGD</v>
          </cell>
          <cell r="F1938" t="str">
            <v>PC</v>
          </cell>
          <cell r="G1938" t="str">
            <v>1</v>
          </cell>
          <cell r="H1938" t="str">
            <v>INDUSTRY</v>
          </cell>
          <cell r="I1938" t="str">
            <v>11</v>
          </cell>
          <cell r="J1938" t="str">
            <v>WOOD COATINGS</v>
          </cell>
          <cell r="K1938" t="str">
            <v>1103</v>
          </cell>
          <cell r="L1938" t="str">
            <v>PU</v>
          </cell>
          <cell r="M1938" t="str">
            <v>110305</v>
          </cell>
          <cell r="N1938" t="str">
            <v>UNION FILLER</v>
          </cell>
        </row>
        <row r="1939">
          <cell r="C1939" t="str">
            <v>100003020</v>
          </cell>
          <cell r="D1939" t="str">
            <v>GZPU-21500 115HKEO GE VN-18KP</v>
          </cell>
          <cell r="E1939" t="str">
            <v>ZFGD</v>
          </cell>
          <cell r="F1939" t="str">
            <v>PC</v>
          </cell>
          <cell r="G1939" t="str">
            <v>1</v>
          </cell>
          <cell r="H1939" t="str">
            <v>INDUSTRY</v>
          </cell>
          <cell r="I1939" t="str">
            <v>11</v>
          </cell>
          <cell r="J1939" t="str">
            <v>WOOD COATINGS</v>
          </cell>
          <cell r="K1939" t="str">
            <v>1103</v>
          </cell>
          <cell r="L1939" t="str">
            <v>PU</v>
          </cell>
          <cell r="M1939" t="str">
            <v>110302</v>
          </cell>
          <cell r="N1939" t="str">
            <v>GLAZE PU</v>
          </cell>
        </row>
        <row r="1940">
          <cell r="C1940" t="str">
            <v>100003021</v>
          </cell>
          <cell r="D1940" t="str">
            <v>PCL-31300 A 115HKEO GE VN-20LJ</v>
          </cell>
          <cell r="E1940" t="str">
            <v>ZFGD</v>
          </cell>
          <cell r="F1940" t="str">
            <v>PC</v>
          </cell>
          <cell r="G1940" t="str">
            <v>1</v>
          </cell>
          <cell r="H1940" t="str">
            <v>INDUSTRY</v>
          </cell>
          <cell r="I1940" t="str">
            <v>11</v>
          </cell>
          <cell r="J1940" t="str">
            <v>WOOD COATINGS</v>
          </cell>
          <cell r="K1940" t="str">
            <v>1118</v>
          </cell>
          <cell r="L1940" t="str">
            <v>COMPLEMENTARY</v>
          </cell>
          <cell r="M1940" t="str">
            <v>111807</v>
          </cell>
          <cell r="N1940" t="str">
            <v>PASTA</v>
          </cell>
        </row>
        <row r="1941">
          <cell r="C1941" t="str">
            <v>100003022</v>
          </cell>
          <cell r="D1941" t="str">
            <v>PCL-31300 B 115HKEO GE VN-20LJ</v>
          </cell>
          <cell r="E1941" t="str">
            <v>ZFGD</v>
          </cell>
          <cell r="F1941" t="str">
            <v>PC</v>
          </cell>
          <cell r="G1941" t="str">
            <v>1</v>
          </cell>
          <cell r="H1941" t="str">
            <v>INDUSTRY</v>
          </cell>
          <cell r="I1941" t="str">
            <v>11</v>
          </cell>
          <cell r="J1941" t="str">
            <v>WOOD COATINGS</v>
          </cell>
          <cell r="K1941" t="str">
            <v>1118</v>
          </cell>
          <cell r="L1941" t="str">
            <v>COMPLEMENTARY</v>
          </cell>
          <cell r="M1941" t="str">
            <v>111807</v>
          </cell>
          <cell r="N1941" t="str">
            <v>PASTA</v>
          </cell>
        </row>
        <row r="1942">
          <cell r="C1942" t="str">
            <v>100003023</v>
          </cell>
          <cell r="D1942" t="str">
            <v>WBL-76500 EX N LOK SC VN-200KB</v>
          </cell>
          <cell r="E1942" t="str">
            <v>ZFGD</v>
          </cell>
          <cell r="F1942" t="str">
            <v>PC</v>
          </cell>
          <cell r="G1942" t="str">
            <v>1</v>
          </cell>
          <cell r="H1942" t="str">
            <v>INDUSTRY</v>
          </cell>
          <cell r="I1942" t="str">
            <v>11</v>
          </cell>
          <cell r="J1942" t="str">
            <v>WOOD COATINGS</v>
          </cell>
          <cell r="K1942" t="str">
            <v>1101</v>
          </cell>
          <cell r="L1942" t="str">
            <v>ALKYD OIL</v>
          </cell>
          <cell r="M1942" t="str">
            <v>110103</v>
          </cell>
          <cell r="N1942" t="str">
            <v>WATERBASED SYSTEM EXTERIOR</v>
          </cell>
        </row>
        <row r="1943">
          <cell r="C1943" t="str">
            <v>100003024</v>
          </cell>
          <cell r="D1943" t="str">
            <v>PUC-54205 AC 45 10 PF VN-20KP</v>
          </cell>
          <cell r="E1943" t="str">
            <v>ZFGD</v>
          </cell>
          <cell r="F1943" t="str">
            <v>PC</v>
          </cell>
          <cell r="G1943" t="str">
            <v>1</v>
          </cell>
          <cell r="H1943" t="str">
            <v>INDUSTRY</v>
          </cell>
          <cell r="I1943" t="str">
            <v>11</v>
          </cell>
          <cell r="J1943" t="str">
            <v>WOOD COATINGS</v>
          </cell>
          <cell r="K1943" t="str">
            <v>1103</v>
          </cell>
          <cell r="L1943" t="str">
            <v>PU</v>
          </cell>
          <cell r="M1943" t="str">
            <v>110319</v>
          </cell>
          <cell r="N1943" t="str">
            <v>PU COLOR</v>
          </cell>
        </row>
        <row r="1944">
          <cell r="C1944" t="str">
            <v>100003025</v>
          </cell>
          <cell r="D1944" t="str">
            <v>PUC-54205 AC 50 10 PF VN-20KP</v>
          </cell>
          <cell r="E1944" t="str">
            <v>ZFGD</v>
          </cell>
          <cell r="F1944" t="str">
            <v>PC</v>
          </cell>
          <cell r="G1944" t="str">
            <v>1</v>
          </cell>
          <cell r="H1944" t="str">
            <v>INDUSTRY</v>
          </cell>
          <cell r="I1944" t="str">
            <v>11</v>
          </cell>
          <cell r="J1944" t="str">
            <v>WOOD COATINGS</v>
          </cell>
          <cell r="K1944" t="str">
            <v>1103</v>
          </cell>
          <cell r="L1944" t="str">
            <v>PU</v>
          </cell>
          <cell r="M1944" t="str">
            <v>110319</v>
          </cell>
          <cell r="N1944" t="str">
            <v>PU COLOR</v>
          </cell>
        </row>
        <row r="1945">
          <cell r="C1945" t="str">
            <v>100003026</v>
          </cell>
          <cell r="D1945" t="str">
            <v>WBL-63211 EX CLEAR 08-200KB</v>
          </cell>
          <cell r="E1945" t="str">
            <v>ZFGD</v>
          </cell>
          <cell r="F1945" t="str">
            <v>PC</v>
          </cell>
          <cell r="G1945" t="str">
            <v>1</v>
          </cell>
          <cell r="H1945" t="str">
            <v>INDUSTRY</v>
          </cell>
          <cell r="I1945" t="str">
            <v>11</v>
          </cell>
          <cell r="J1945" t="str">
            <v>WOOD COATINGS</v>
          </cell>
          <cell r="K1945" t="str">
            <v>1119</v>
          </cell>
          <cell r="L1945" t="str">
            <v>WATERBASED</v>
          </cell>
          <cell r="M1945" t="str">
            <v>111901</v>
          </cell>
          <cell r="N1945" t="str">
            <v>WATERBASED SYSTEM EXTERIOR</v>
          </cell>
        </row>
        <row r="1946">
          <cell r="C1946" t="str">
            <v>100003027</v>
          </cell>
          <cell r="D1946" t="str">
            <v>WBL-63217 EX HS BASE VN-200KB</v>
          </cell>
          <cell r="E1946" t="str">
            <v>ZFGD</v>
          </cell>
          <cell r="F1946" t="str">
            <v>PC</v>
          </cell>
          <cell r="G1946" t="str">
            <v>1</v>
          </cell>
          <cell r="H1946" t="str">
            <v>INDUSTRY</v>
          </cell>
          <cell r="I1946" t="str">
            <v>11</v>
          </cell>
          <cell r="J1946" t="str">
            <v>WOOD COATINGS</v>
          </cell>
          <cell r="K1946" t="str">
            <v>1119</v>
          </cell>
          <cell r="L1946" t="str">
            <v>WATERBASED</v>
          </cell>
          <cell r="M1946" t="str">
            <v>111901</v>
          </cell>
          <cell r="N1946" t="str">
            <v>WATERBASED SYSTEM EXTERIOR</v>
          </cell>
        </row>
        <row r="1947">
          <cell r="C1947" t="str">
            <v>100003034</v>
          </cell>
          <cell r="D1947" t="str">
            <v>PUC-54205 AC CREAM 50 LL VN-20KP</v>
          </cell>
          <cell r="E1947" t="str">
            <v>ZFGD</v>
          </cell>
          <cell r="F1947" t="str">
            <v>PC</v>
          </cell>
          <cell r="G1947" t="str">
            <v>1</v>
          </cell>
          <cell r="H1947" t="str">
            <v>INDUSTRY</v>
          </cell>
          <cell r="I1947" t="str">
            <v>11</v>
          </cell>
          <cell r="J1947" t="str">
            <v>WOOD COATINGS</v>
          </cell>
          <cell r="K1947" t="str">
            <v>1103</v>
          </cell>
          <cell r="L1947" t="str">
            <v>PU</v>
          </cell>
          <cell r="M1947" t="str">
            <v>110319</v>
          </cell>
          <cell r="N1947" t="str">
            <v>PU COLOR</v>
          </cell>
        </row>
        <row r="1948">
          <cell r="C1948" t="str">
            <v>100003048</v>
          </cell>
          <cell r="D1948" t="str">
            <v>64-56 MICRO FILLER BROWN DA VN-20KP</v>
          </cell>
          <cell r="E1948" t="str">
            <v>ZFGD</v>
          </cell>
          <cell r="F1948" t="str">
            <v>PC</v>
          </cell>
          <cell r="G1948" t="str">
            <v>1</v>
          </cell>
          <cell r="H1948" t="str">
            <v>INDUSTRY</v>
          </cell>
          <cell r="I1948" t="str">
            <v>11</v>
          </cell>
          <cell r="J1948" t="str">
            <v>WOOD COATINGS</v>
          </cell>
          <cell r="K1948" t="str">
            <v>1103</v>
          </cell>
          <cell r="L1948" t="str">
            <v>PU</v>
          </cell>
          <cell r="M1948" t="str">
            <v>110305</v>
          </cell>
          <cell r="N1948" t="str">
            <v>UNION FILLER</v>
          </cell>
        </row>
        <row r="1949">
          <cell r="C1949" t="str">
            <v>100003049</v>
          </cell>
          <cell r="D1949" t="str">
            <v>SST-11100 CLR BROWN DA VN-20LJ</v>
          </cell>
          <cell r="E1949" t="str">
            <v>ZFGD</v>
          </cell>
          <cell r="F1949" t="str">
            <v>PC</v>
          </cell>
          <cell r="G1949" t="str">
            <v>1</v>
          </cell>
          <cell r="H1949" t="str">
            <v>INDUSTRY</v>
          </cell>
          <cell r="I1949" t="str">
            <v>11</v>
          </cell>
          <cell r="J1949" t="str">
            <v>WOOD COATINGS</v>
          </cell>
          <cell r="K1949" t="str">
            <v>1109</v>
          </cell>
          <cell r="L1949" t="str">
            <v>STAIN &amp; GLAZE INTERIOR</v>
          </cell>
          <cell r="M1949" t="str">
            <v>110903</v>
          </cell>
          <cell r="N1949" t="str">
            <v>STAIN INTERIOR</v>
          </cell>
        </row>
        <row r="1950">
          <cell r="C1950" t="str">
            <v>100003052</v>
          </cell>
          <cell r="D1950" t="str">
            <v>WBL-63211 EX CLEAR 08 VN-208KB</v>
          </cell>
          <cell r="E1950" t="str">
            <v>ZFGD</v>
          </cell>
          <cell r="F1950" t="str">
            <v>PC</v>
          </cell>
          <cell r="G1950" t="str">
            <v>1</v>
          </cell>
          <cell r="H1950" t="str">
            <v>INDUSTRY</v>
          </cell>
          <cell r="I1950" t="str">
            <v>11</v>
          </cell>
          <cell r="J1950" t="str">
            <v>WOOD COATINGS</v>
          </cell>
          <cell r="K1950" t="str">
            <v>1119</v>
          </cell>
          <cell r="L1950" t="str">
            <v>WATERBASED</v>
          </cell>
          <cell r="M1950" t="str">
            <v>111901</v>
          </cell>
          <cell r="N1950" t="str">
            <v>WATERBASED SYSTEM EXTERIOR</v>
          </cell>
        </row>
        <row r="1951">
          <cell r="C1951" t="str">
            <v>100003053</v>
          </cell>
          <cell r="D1951" t="str">
            <v>WBL-63217 EX HS BASE VN-180KB</v>
          </cell>
          <cell r="E1951" t="str">
            <v>ZFGD</v>
          </cell>
          <cell r="F1951" t="str">
            <v>PC</v>
          </cell>
          <cell r="G1951" t="str">
            <v>1</v>
          </cell>
          <cell r="H1951" t="str">
            <v>INDUSTRY</v>
          </cell>
          <cell r="I1951" t="str">
            <v>11</v>
          </cell>
          <cell r="J1951" t="str">
            <v>WOOD COATINGS</v>
          </cell>
          <cell r="K1951" t="str">
            <v>1119</v>
          </cell>
          <cell r="L1951" t="str">
            <v>WATERBASED</v>
          </cell>
          <cell r="M1951" t="str">
            <v>111901</v>
          </cell>
          <cell r="N1951" t="str">
            <v>WATERBASED SYSTEM EXTERIOR</v>
          </cell>
        </row>
        <row r="1952">
          <cell r="C1952" t="str">
            <v>100003054</v>
          </cell>
          <cell r="D1952" t="str">
            <v>PUC-54206 AC EX 103VT 10 TL VN-20KP</v>
          </cell>
          <cell r="E1952" t="str">
            <v>ZFGD</v>
          </cell>
          <cell r="F1952" t="str">
            <v>PC</v>
          </cell>
          <cell r="G1952" t="str">
            <v>1</v>
          </cell>
          <cell r="H1952" t="str">
            <v>INDUSTRY</v>
          </cell>
          <cell r="I1952" t="str">
            <v>11</v>
          </cell>
          <cell r="J1952" t="str">
            <v>WOOD COATINGS</v>
          </cell>
          <cell r="K1952" t="str">
            <v>1103</v>
          </cell>
          <cell r="L1952" t="str">
            <v>PU</v>
          </cell>
          <cell r="M1952" t="str">
            <v>110319</v>
          </cell>
          <cell r="N1952" t="str">
            <v>PU COLOR</v>
          </cell>
        </row>
        <row r="1953">
          <cell r="C1953" t="str">
            <v>100003055</v>
          </cell>
          <cell r="D1953" t="str">
            <v>PUC-54205 AC W60 70 MD VN-20KP</v>
          </cell>
          <cell r="E1953" t="str">
            <v>ZFGD</v>
          </cell>
          <cell r="F1953" t="str">
            <v>PC</v>
          </cell>
          <cell r="G1953" t="str">
            <v>1</v>
          </cell>
          <cell r="H1953" t="str">
            <v>INDUSTRY</v>
          </cell>
          <cell r="I1953" t="str">
            <v>11</v>
          </cell>
          <cell r="J1953" t="str">
            <v>WOOD COATINGS</v>
          </cell>
          <cell r="K1953" t="str">
            <v>1103</v>
          </cell>
          <cell r="L1953" t="str">
            <v>PU</v>
          </cell>
          <cell r="M1953" t="str">
            <v>110304</v>
          </cell>
          <cell r="N1953" t="str">
            <v>PU SYSTEM</v>
          </cell>
        </row>
        <row r="1954">
          <cell r="C1954" t="str">
            <v>100003060</v>
          </cell>
          <cell r="D1954" t="str">
            <v>WBST-13108 LIGHT WALNUT KD VN-20KP</v>
          </cell>
          <cell r="E1954" t="str">
            <v>ZFGD</v>
          </cell>
          <cell r="F1954" t="str">
            <v>PC</v>
          </cell>
          <cell r="G1954" t="str">
            <v>1</v>
          </cell>
          <cell r="H1954" t="str">
            <v>INDUSTRY</v>
          </cell>
          <cell r="I1954" t="str">
            <v>11</v>
          </cell>
          <cell r="J1954" t="str">
            <v>WOOD COATINGS</v>
          </cell>
          <cell r="K1954" t="str">
            <v>1119</v>
          </cell>
          <cell r="L1954" t="str">
            <v>WATERBASED</v>
          </cell>
          <cell r="M1954" t="str">
            <v>111902</v>
          </cell>
          <cell r="N1954" t="str">
            <v>WATERBASED SYSTEM INTERIOR</v>
          </cell>
        </row>
        <row r="1955">
          <cell r="C1955" t="str">
            <v>100003061</v>
          </cell>
          <cell r="D1955" t="str">
            <v>PUC-54205 AC BLUE 90 AC VN-20KP</v>
          </cell>
          <cell r="E1955" t="str">
            <v>ZFGD</v>
          </cell>
          <cell r="F1955" t="str">
            <v>PC</v>
          </cell>
          <cell r="G1955" t="str">
            <v>1</v>
          </cell>
          <cell r="H1955" t="str">
            <v>INDUSTRY</v>
          </cell>
          <cell r="I1955" t="str">
            <v>11</v>
          </cell>
          <cell r="J1955" t="str">
            <v>WOOD COATINGS</v>
          </cell>
          <cell r="K1955" t="str">
            <v>1103</v>
          </cell>
          <cell r="L1955" t="str">
            <v>PU</v>
          </cell>
          <cell r="M1955" t="str">
            <v>110319</v>
          </cell>
          <cell r="N1955" t="str">
            <v>PU COLOR</v>
          </cell>
        </row>
        <row r="1956">
          <cell r="C1956" t="str">
            <v>100003062</v>
          </cell>
          <cell r="D1956" t="str">
            <v>PUC-54206 AC EX 30BB83 30 3T VN-20KP</v>
          </cell>
          <cell r="E1956" t="str">
            <v>ZFGD</v>
          </cell>
          <cell r="F1956" t="str">
            <v>PC</v>
          </cell>
          <cell r="G1956" t="str">
            <v>1</v>
          </cell>
          <cell r="H1956" t="str">
            <v>INDUSTRY</v>
          </cell>
          <cell r="I1956" t="str">
            <v>11</v>
          </cell>
          <cell r="J1956" t="str">
            <v>WOOD COATINGS</v>
          </cell>
          <cell r="K1956" t="str">
            <v>1103</v>
          </cell>
          <cell r="L1956" t="str">
            <v>PU</v>
          </cell>
          <cell r="M1956" t="str">
            <v>110319</v>
          </cell>
          <cell r="N1956" t="str">
            <v>PU COLOR</v>
          </cell>
        </row>
        <row r="1957">
          <cell r="C1957" t="str">
            <v>100003063</v>
          </cell>
          <cell r="D1957" t="str">
            <v>THNC-71100 FD HT VN-20LJ</v>
          </cell>
          <cell r="E1957" t="str">
            <v>ZFGD</v>
          </cell>
          <cell r="F1957" t="str">
            <v>PC</v>
          </cell>
          <cell r="G1957" t="str">
            <v>1</v>
          </cell>
          <cell r="H1957" t="str">
            <v>INDUSTRY</v>
          </cell>
          <cell r="I1957" t="str">
            <v>14</v>
          </cell>
          <cell r="J1957" t="str">
            <v>THINNER</v>
          </cell>
          <cell r="K1957" t="str">
            <v>1412</v>
          </cell>
          <cell r="L1957" t="str">
            <v>THINNER NC</v>
          </cell>
          <cell r="M1957" t="str">
            <v>141205</v>
          </cell>
          <cell r="N1957" t="str">
            <v>THINNER NC</v>
          </cell>
        </row>
        <row r="1958">
          <cell r="C1958" t="str">
            <v>100003064</v>
          </cell>
          <cell r="D1958" t="str">
            <v>THNC-71100 FD HT VN-200LK</v>
          </cell>
          <cell r="E1958" t="str">
            <v>ZFGD</v>
          </cell>
          <cell r="F1958" t="str">
            <v>PC</v>
          </cell>
          <cell r="G1958" t="str">
            <v>1</v>
          </cell>
          <cell r="H1958" t="str">
            <v>INDUSTRY</v>
          </cell>
          <cell r="I1958" t="str">
            <v>14</v>
          </cell>
          <cell r="J1958" t="str">
            <v>THINNER</v>
          </cell>
          <cell r="K1958" t="str">
            <v>1412</v>
          </cell>
          <cell r="L1958" t="str">
            <v>THINNER NC</v>
          </cell>
          <cell r="M1958" t="str">
            <v>141205</v>
          </cell>
          <cell r="N1958" t="str">
            <v>THINNER NC</v>
          </cell>
        </row>
        <row r="1959">
          <cell r="C1959" t="str">
            <v>100003065</v>
          </cell>
          <cell r="D1959" t="str">
            <v>PUC-54205 AC W60 70 MG VN-20KP</v>
          </cell>
          <cell r="E1959" t="str">
            <v>ZFGD</v>
          </cell>
          <cell r="F1959" t="str">
            <v>PC</v>
          </cell>
          <cell r="G1959" t="str">
            <v>1</v>
          </cell>
          <cell r="H1959" t="str">
            <v>INDUSTRY</v>
          </cell>
          <cell r="I1959" t="str">
            <v>11</v>
          </cell>
          <cell r="J1959" t="str">
            <v>WOOD COATINGS</v>
          </cell>
          <cell r="K1959" t="str">
            <v>1103</v>
          </cell>
          <cell r="L1959" t="str">
            <v>PU</v>
          </cell>
          <cell r="M1959" t="str">
            <v>110319</v>
          </cell>
          <cell r="N1959" t="str">
            <v>PU COLOR</v>
          </cell>
        </row>
        <row r="1960">
          <cell r="C1960" t="str">
            <v>100003066</v>
          </cell>
          <cell r="D1960" t="str">
            <v>PUC-54205 AC P5415C 70 MG VN-20KP</v>
          </cell>
          <cell r="E1960" t="str">
            <v>ZFGD</v>
          </cell>
          <cell r="F1960" t="str">
            <v>PC</v>
          </cell>
          <cell r="G1960" t="str">
            <v>1</v>
          </cell>
          <cell r="H1960" t="str">
            <v>INDUSTRY</v>
          </cell>
          <cell r="I1960" t="str">
            <v>11</v>
          </cell>
          <cell r="J1960" t="str">
            <v>WOOD COATINGS</v>
          </cell>
          <cell r="K1960" t="str">
            <v>1103</v>
          </cell>
          <cell r="L1960" t="str">
            <v>PU</v>
          </cell>
          <cell r="M1960" t="str">
            <v>110319</v>
          </cell>
          <cell r="N1960" t="str">
            <v>PU COLOR</v>
          </cell>
        </row>
        <row r="1961">
          <cell r="C1961" t="str">
            <v>100003067</v>
          </cell>
          <cell r="D1961" t="str">
            <v>PUC-54205 AC W60A 80 MG VN-20KP</v>
          </cell>
          <cell r="E1961" t="str">
            <v>ZFGD</v>
          </cell>
          <cell r="F1961" t="str">
            <v>PC</v>
          </cell>
          <cell r="G1961" t="str">
            <v>1</v>
          </cell>
          <cell r="H1961" t="str">
            <v>INDUSTRY</v>
          </cell>
          <cell r="I1961" t="str">
            <v>11</v>
          </cell>
          <cell r="J1961" t="str">
            <v>WOOD COATINGS</v>
          </cell>
          <cell r="K1961" t="str">
            <v>1103</v>
          </cell>
          <cell r="L1961" t="str">
            <v>PU</v>
          </cell>
          <cell r="M1961" t="str">
            <v>110319</v>
          </cell>
          <cell r="N1961" t="str">
            <v>PU COLOR</v>
          </cell>
        </row>
        <row r="1962">
          <cell r="C1962" t="str">
            <v>100003068</v>
          </cell>
          <cell r="D1962" t="str">
            <v>SYNTHETIC 3000 RX WHITE DOF 9101DVN-20LP</v>
          </cell>
          <cell r="E1962" t="str">
            <v>ZFGD</v>
          </cell>
          <cell r="F1962" t="str">
            <v>PC</v>
          </cell>
          <cell r="G1962" t="str">
            <v>2</v>
          </cell>
          <cell r="H1962" t="str">
            <v>RETAIL</v>
          </cell>
          <cell r="I1962" t="str">
            <v>29</v>
          </cell>
          <cell r="J1962" t="str">
            <v>MPC</v>
          </cell>
          <cell r="K1962" t="str">
            <v>2902</v>
          </cell>
          <cell r="L1962" t="str">
            <v>SYNTHETIC ENAMEL SB</v>
          </cell>
          <cell r="M1962" t="str">
            <v>290203</v>
          </cell>
          <cell r="N1962" t="str">
            <v>SYNTHETIC 3000</v>
          </cell>
        </row>
        <row r="1963">
          <cell r="C1963" t="str">
            <v>100003069</v>
          </cell>
          <cell r="D1963" t="str">
            <v>PUC-54205 AC WHITE 80 VN-20KP</v>
          </cell>
          <cell r="E1963" t="str">
            <v>ZFGD</v>
          </cell>
          <cell r="F1963" t="str">
            <v>PC</v>
          </cell>
          <cell r="G1963" t="str">
            <v>1</v>
          </cell>
          <cell r="H1963" t="str">
            <v>INDUSTRY</v>
          </cell>
          <cell r="I1963" t="str">
            <v>11</v>
          </cell>
          <cell r="J1963" t="str">
            <v>WOOD COATINGS</v>
          </cell>
          <cell r="K1963" t="str">
            <v>1103</v>
          </cell>
          <cell r="L1963" t="str">
            <v>PU</v>
          </cell>
          <cell r="M1963" t="str">
            <v>110319</v>
          </cell>
          <cell r="N1963" t="str">
            <v>PU COLOR</v>
          </cell>
        </row>
        <row r="1964">
          <cell r="C1964" t="str">
            <v>100003070</v>
          </cell>
          <cell r="D1964" t="str">
            <v>#NUUVP-40103 RED VN-20KP</v>
          </cell>
          <cell r="E1964" t="str">
            <v>ZFGD</v>
          </cell>
          <cell r="F1964" t="str">
            <v>PC</v>
          </cell>
          <cell r="G1964" t="str">
            <v>1</v>
          </cell>
          <cell r="H1964" t="str">
            <v>INDUSTRY</v>
          </cell>
          <cell r="I1964" t="str">
            <v>11</v>
          </cell>
          <cell r="J1964" t="str">
            <v>WOOD COATINGS</v>
          </cell>
          <cell r="K1964" t="str">
            <v>1106</v>
          </cell>
          <cell r="L1964" t="str">
            <v>UV</v>
          </cell>
          <cell r="M1964" t="str">
            <v>110604</v>
          </cell>
          <cell r="N1964" t="str">
            <v>UV PRIMER</v>
          </cell>
        </row>
        <row r="1965">
          <cell r="C1965" t="str">
            <v>100003071</v>
          </cell>
          <cell r="D1965" t="str">
            <v>PCL-31300 WHITE WASH F1 VN-20LJ</v>
          </cell>
          <cell r="E1965" t="str">
            <v>ZFGD</v>
          </cell>
          <cell r="F1965" t="str">
            <v>PC</v>
          </cell>
          <cell r="G1965" t="str">
            <v>1</v>
          </cell>
          <cell r="H1965" t="str">
            <v>INDUSTRY</v>
          </cell>
          <cell r="I1965" t="str">
            <v>11</v>
          </cell>
          <cell r="J1965" t="str">
            <v>WOOD COATINGS</v>
          </cell>
          <cell r="K1965" t="str">
            <v>1118</v>
          </cell>
          <cell r="L1965" t="str">
            <v>COMPLEMENTARY</v>
          </cell>
          <cell r="M1965" t="str">
            <v>111807</v>
          </cell>
          <cell r="N1965" t="str">
            <v>PASTA</v>
          </cell>
        </row>
        <row r="1966">
          <cell r="C1966" t="str">
            <v>100003072</v>
          </cell>
          <cell r="D1966" t="str">
            <v>PCL-31300 A MW 115 GE VN-20LJ</v>
          </cell>
          <cell r="E1966" t="str">
            <v>ZFGD</v>
          </cell>
          <cell r="F1966" t="str">
            <v>PC</v>
          </cell>
          <cell r="G1966" t="str">
            <v>1</v>
          </cell>
          <cell r="H1966" t="str">
            <v>INDUSTRY</v>
          </cell>
          <cell r="I1966" t="str">
            <v>11</v>
          </cell>
          <cell r="J1966" t="str">
            <v>WOOD COATINGS</v>
          </cell>
          <cell r="K1966" t="str">
            <v>1118</v>
          </cell>
          <cell r="L1966" t="str">
            <v>COMPLEMENTARY</v>
          </cell>
          <cell r="M1966" t="str">
            <v>111807</v>
          </cell>
          <cell r="N1966" t="str">
            <v>PASTA</v>
          </cell>
        </row>
        <row r="1967">
          <cell r="C1967" t="str">
            <v>100003073</v>
          </cell>
          <cell r="D1967" t="str">
            <v>PCL-31300 B MW 115 GE VN-20LJ</v>
          </cell>
          <cell r="E1967" t="str">
            <v>ZFGD</v>
          </cell>
          <cell r="F1967" t="str">
            <v>PC</v>
          </cell>
          <cell r="G1967" t="str">
            <v>1</v>
          </cell>
          <cell r="H1967" t="str">
            <v>INDUSTRY</v>
          </cell>
          <cell r="I1967" t="str">
            <v>11</v>
          </cell>
          <cell r="J1967" t="str">
            <v>WOOD COATINGS</v>
          </cell>
          <cell r="K1967" t="str">
            <v>1118</v>
          </cell>
          <cell r="L1967" t="str">
            <v>COMPLEMENTARY</v>
          </cell>
          <cell r="M1967" t="str">
            <v>111807</v>
          </cell>
          <cell r="N1967" t="str">
            <v>PASTA</v>
          </cell>
        </row>
        <row r="1968">
          <cell r="C1968" t="str">
            <v>100003074</v>
          </cell>
          <cell r="D1968" t="str">
            <v>PCL-31300 C MW 115 GE VN-20LJ</v>
          </cell>
          <cell r="E1968" t="str">
            <v>ZFGD</v>
          </cell>
          <cell r="F1968" t="str">
            <v>PC</v>
          </cell>
          <cell r="G1968" t="str">
            <v>1</v>
          </cell>
          <cell r="H1968" t="str">
            <v>INDUSTRY</v>
          </cell>
          <cell r="I1968" t="str">
            <v>11</v>
          </cell>
          <cell r="J1968" t="str">
            <v>WOOD COATINGS</v>
          </cell>
          <cell r="K1968" t="str">
            <v>1118</v>
          </cell>
          <cell r="L1968" t="str">
            <v>COMPLEMENTARY</v>
          </cell>
          <cell r="M1968" t="str">
            <v>111807</v>
          </cell>
          <cell r="N1968" t="str">
            <v>PASTA</v>
          </cell>
        </row>
        <row r="1969">
          <cell r="C1969" t="str">
            <v>100003075</v>
          </cell>
          <cell r="D1969" t="str">
            <v>GZPU-21500 MW 115 GE VN-18KP</v>
          </cell>
          <cell r="E1969" t="str">
            <v>ZFGD</v>
          </cell>
          <cell r="F1969" t="str">
            <v>PC</v>
          </cell>
          <cell r="G1969" t="str">
            <v>1</v>
          </cell>
          <cell r="H1969" t="str">
            <v>INDUSTRY</v>
          </cell>
          <cell r="I1969" t="str">
            <v>11</v>
          </cell>
          <cell r="J1969" t="str">
            <v>WOOD COATINGS</v>
          </cell>
          <cell r="K1969" t="str">
            <v>1103</v>
          </cell>
          <cell r="L1969" t="str">
            <v>PU</v>
          </cell>
          <cell r="M1969" t="str">
            <v>110302</v>
          </cell>
          <cell r="N1969" t="str">
            <v>GLAZE PU</v>
          </cell>
        </row>
        <row r="1970">
          <cell r="C1970" t="str">
            <v>100003076</v>
          </cell>
          <cell r="D1970" t="str">
            <v>PUC-54205 AC XAM BAC 90 2T VN-20KP</v>
          </cell>
          <cell r="E1970" t="str">
            <v>ZFGD</v>
          </cell>
          <cell r="F1970" t="str">
            <v>PC</v>
          </cell>
          <cell r="G1970" t="str">
            <v>1</v>
          </cell>
          <cell r="H1970" t="str">
            <v>INDUSTRY</v>
          </cell>
          <cell r="I1970" t="str">
            <v>11</v>
          </cell>
          <cell r="J1970" t="str">
            <v>WOOD COATINGS</v>
          </cell>
          <cell r="K1970" t="str">
            <v>1103</v>
          </cell>
          <cell r="L1970" t="str">
            <v>PU</v>
          </cell>
          <cell r="M1970" t="str">
            <v>110319</v>
          </cell>
          <cell r="N1970" t="str">
            <v>PU COLOR</v>
          </cell>
        </row>
        <row r="1971">
          <cell r="C1971" t="str">
            <v>100003077</v>
          </cell>
          <cell r="D1971" t="str">
            <v>64-56 MICRO FILLER 08 DS VN-20KP</v>
          </cell>
          <cell r="E1971" t="str">
            <v>ZFGD</v>
          </cell>
          <cell r="F1971" t="str">
            <v>PC</v>
          </cell>
          <cell r="G1971" t="str">
            <v>1</v>
          </cell>
          <cell r="H1971" t="str">
            <v>INDUSTRY</v>
          </cell>
          <cell r="I1971" t="str">
            <v>11</v>
          </cell>
          <cell r="J1971" t="str">
            <v>WOOD COATINGS</v>
          </cell>
          <cell r="K1971" t="str">
            <v>1103</v>
          </cell>
          <cell r="L1971" t="str">
            <v>PU</v>
          </cell>
          <cell r="M1971" t="str">
            <v>110305</v>
          </cell>
          <cell r="N1971" t="str">
            <v>UNION FILLER</v>
          </cell>
        </row>
        <row r="1972">
          <cell r="C1972" t="str">
            <v>100003078</v>
          </cell>
          <cell r="D1972" t="str">
            <v>SST-11100 08 DS VN-20LJ</v>
          </cell>
          <cell r="E1972" t="str">
            <v>ZFGD</v>
          </cell>
          <cell r="F1972" t="str">
            <v>PC</v>
          </cell>
          <cell r="G1972" t="str">
            <v>1</v>
          </cell>
          <cell r="H1972" t="str">
            <v>INDUSTRY</v>
          </cell>
          <cell r="I1972" t="str">
            <v>11</v>
          </cell>
          <cell r="J1972" t="str">
            <v>WOOD COATINGS</v>
          </cell>
          <cell r="K1972" t="str">
            <v>1109</v>
          </cell>
          <cell r="L1972" t="str">
            <v>STAIN &amp; GLAZE INTERIOR</v>
          </cell>
          <cell r="M1972" t="str">
            <v>110903</v>
          </cell>
          <cell r="N1972" t="str">
            <v>STAIN INTERIOR</v>
          </cell>
        </row>
        <row r="1973">
          <cell r="C1973" t="str">
            <v>100003079</v>
          </cell>
          <cell r="D1973" t="str">
            <v>SST-11100 09 DS VN-20LJ</v>
          </cell>
          <cell r="E1973" t="str">
            <v>ZFGD</v>
          </cell>
          <cell r="F1973" t="str">
            <v>PC</v>
          </cell>
          <cell r="G1973" t="str">
            <v>1</v>
          </cell>
          <cell r="H1973" t="str">
            <v>INDUSTRY</v>
          </cell>
          <cell r="I1973" t="str">
            <v>11</v>
          </cell>
          <cell r="J1973" t="str">
            <v>WOOD COATINGS</v>
          </cell>
          <cell r="K1973" t="str">
            <v>1109</v>
          </cell>
          <cell r="L1973" t="str">
            <v>STAIN &amp; GLAZE INTERIOR</v>
          </cell>
          <cell r="M1973" t="str">
            <v>110903</v>
          </cell>
          <cell r="N1973" t="str">
            <v>STAIN INTERIOR</v>
          </cell>
        </row>
        <row r="1974">
          <cell r="C1974" t="str">
            <v>100003080</v>
          </cell>
          <cell r="D1974" t="str">
            <v>SST-11100 10 DS VN-20LJ</v>
          </cell>
          <cell r="E1974" t="str">
            <v>ZFGD</v>
          </cell>
          <cell r="F1974" t="str">
            <v>PC</v>
          </cell>
          <cell r="G1974" t="str">
            <v>1</v>
          </cell>
          <cell r="H1974" t="str">
            <v>INDUSTRY</v>
          </cell>
          <cell r="I1974" t="str">
            <v>11</v>
          </cell>
          <cell r="J1974" t="str">
            <v>WOOD COATINGS</v>
          </cell>
          <cell r="K1974" t="str">
            <v>1109</v>
          </cell>
          <cell r="L1974" t="str">
            <v>STAIN &amp; GLAZE INTERIOR</v>
          </cell>
          <cell r="M1974" t="str">
            <v>110903</v>
          </cell>
          <cell r="N1974" t="str">
            <v>STAIN INTERIOR</v>
          </cell>
        </row>
        <row r="1975">
          <cell r="C1975" t="str">
            <v>100003081</v>
          </cell>
          <cell r="D1975" t="str">
            <v>64-56 MICRO FILLER 11 DS VN-20KP</v>
          </cell>
          <cell r="E1975" t="str">
            <v>ZFGD</v>
          </cell>
          <cell r="F1975" t="str">
            <v>PC</v>
          </cell>
          <cell r="G1975" t="str">
            <v>1</v>
          </cell>
          <cell r="H1975" t="str">
            <v>INDUSTRY</v>
          </cell>
          <cell r="I1975" t="str">
            <v>11</v>
          </cell>
          <cell r="J1975" t="str">
            <v>WOOD COATINGS</v>
          </cell>
          <cell r="K1975" t="str">
            <v>1103</v>
          </cell>
          <cell r="L1975" t="str">
            <v>PU</v>
          </cell>
          <cell r="M1975" t="str">
            <v>110305</v>
          </cell>
          <cell r="N1975" t="str">
            <v>UNION FILLER</v>
          </cell>
        </row>
        <row r="1976">
          <cell r="C1976" t="str">
            <v>100003082</v>
          </cell>
          <cell r="D1976" t="str">
            <v>PCA-31100 11 DS VN-20LJ</v>
          </cell>
          <cell r="E1976" t="str">
            <v>ZFGD</v>
          </cell>
          <cell r="F1976" t="str">
            <v>PC</v>
          </cell>
          <cell r="G1976" t="str">
            <v>1</v>
          </cell>
          <cell r="H1976" t="str">
            <v>INDUSTRY</v>
          </cell>
          <cell r="I1976" t="str">
            <v>11</v>
          </cell>
          <cell r="J1976" t="str">
            <v>WOOD COATINGS</v>
          </cell>
          <cell r="K1976" t="str">
            <v>1118</v>
          </cell>
          <cell r="L1976" t="str">
            <v>COMPLEMENTARY</v>
          </cell>
          <cell r="M1976" t="str">
            <v>111807</v>
          </cell>
          <cell r="N1976" t="str">
            <v>PASTA</v>
          </cell>
        </row>
        <row r="1977">
          <cell r="C1977" t="str">
            <v>100003083</v>
          </cell>
          <cell r="D1977" t="str">
            <v>PST-12200 1K MUB SC VN-200LK</v>
          </cell>
          <cell r="E1977" t="str">
            <v>ZFGD</v>
          </cell>
          <cell r="F1977" t="str">
            <v>PC</v>
          </cell>
          <cell r="G1977" t="str">
            <v>1</v>
          </cell>
          <cell r="H1977" t="str">
            <v>INDUSTRY</v>
          </cell>
          <cell r="I1977" t="str">
            <v>11</v>
          </cell>
          <cell r="J1977" t="str">
            <v>WOOD COATINGS</v>
          </cell>
          <cell r="K1977" t="str">
            <v>1101</v>
          </cell>
          <cell r="L1977" t="str">
            <v>ALKYD OIL</v>
          </cell>
          <cell r="M1977" t="str">
            <v>110102</v>
          </cell>
          <cell r="N1977" t="str">
            <v>STAIN EXTERIOR</v>
          </cell>
        </row>
        <row r="1978">
          <cell r="C1978" t="str">
            <v>100003084</v>
          </cell>
          <cell r="D1978" t="str">
            <v>WBL-61208 CLEAR 50 VN-20KP</v>
          </cell>
          <cell r="E1978" t="str">
            <v>ZFGD</v>
          </cell>
          <cell r="F1978" t="str">
            <v>PC</v>
          </cell>
          <cell r="G1978" t="str">
            <v>1</v>
          </cell>
          <cell r="H1978" t="str">
            <v>INDUSTRY</v>
          </cell>
          <cell r="I1978" t="str">
            <v>11</v>
          </cell>
          <cell r="J1978" t="str">
            <v>WOOD COATINGS</v>
          </cell>
          <cell r="K1978" t="str">
            <v>1119</v>
          </cell>
          <cell r="L1978" t="str">
            <v>WATERBASED</v>
          </cell>
          <cell r="M1978" t="str">
            <v>111902</v>
          </cell>
          <cell r="N1978" t="str">
            <v>WATERBASED SYSTEM INTERIOR</v>
          </cell>
        </row>
        <row r="1979">
          <cell r="C1979" t="str">
            <v>100003085</v>
          </cell>
          <cell r="D1979" t="str">
            <v>PUP-54106 AC EX L48 DB VN-20KP</v>
          </cell>
          <cell r="E1979" t="str">
            <v>ZFGD</v>
          </cell>
          <cell r="F1979" t="str">
            <v>PC</v>
          </cell>
          <cell r="G1979" t="str">
            <v>1</v>
          </cell>
          <cell r="H1979" t="str">
            <v>INDUSTRY</v>
          </cell>
          <cell r="I1979" t="str">
            <v>11</v>
          </cell>
          <cell r="J1979" t="str">
            <v>WOOD COATINGS</v>
          </cell>
          <cell r="K1979" t="str">
            <v>1103</v>
          </cell>
          <cell r="L1979" t="str">
            <v>PU</v>
          </cell>
          <cell r="M1979" t="str">
            <v>110322</v>
          </cell>
          <cell r="N1979" t="str">
            <v>PU PRIMER</v>
          </cell>
        </row>
        <row r="1980">
          <cell r="C1980" t="str">
            <v>100003086</v>
          </cell>
          <cell r="D1980" t="str">
            <v>MPUC-13600 RAL 7045 20 VN-4K</v>
          </cell>
          <cell r="E1980" t="str">
            <v>ZFGD</v>
          </cell>
          <cell r="F1980" t="str">
            <v>PC</v>
          </cell>
          <cell r="G1980" t="str">
            <v>1</v>
          </cell>
          <cell r="H1980" t="str">
            <v>INDUSTRY</v>
          </cell>
          <cell r="I1980" t="str">
            <v>16</v>
          </cell>
          <cell r="J1980" t="str">
            <v>METAL COATINGS</v>
          </cell>
          <cell r="K1980" t="str">
            <v>1601</v>
          </cell>
          <cell r="L1980" t="str">
            <v>METAL COATINGS</v>
          </cell>
          <cell r="M1980" t="str">
            <v>160101</v>
          </cell>
          <cell r="N1980" t="str">
            <v>METAL COATINGS</v>
          </cell>
        </row>
        <row r="1981">
          <cell r="C1981" t="str">
            <v>100003087</v>
          </cell>
          <cell r="D1981" t="str">
            <v>MPUC-13600 RAL 7045 20 VN-16KP</v>
          </cell>
          <cell r="E1981" t="str">
            <v>ZFGD</v>
          </cell>
          <cell r="F1981" t="str">
            <v>PC</v>
          </cell>
          <cell r="G1981" t="str">
            <v>1</v>
          </cell>
          <cell r="H1981" t="str">
            <v>INDUSTRY</v>
          </cell>
          <cell r="I1981" t="str">
            <v>16</v>
          </cell>
          <cell r="J1981" t="str">
            <v>METAL COATINGS</v>
          </cell>
          <cell r="K1981" t="str">
            <v>1601</v>
          </cell>
          <cell r="L1981" t="str">
            <v>METAL COATINGS</v>
          </cell>
          <cell r="M1981" t="str">
            <v>160101</v>
          </cell>
          <cell r="N1981" t="str">
            <v>METAL COATINGS</v>
          </cell>
        </row>
        <row r="1982">
          <cell r="C1982" t="str">
            <v>100003089</v>
          </cell>
          <cell r="D1982" t="str">
            <v>PUP-54106 AC EX L49 DB VN-20KP</v>
          </cell>
          <cell r="E1982" t="str">
            <v>ZFGD</v>
          </cell>
          <cell r="F1982" t="str">
            <v>PC</v>
          </cell>
          <cell r="G1982" t="str">
            <v>1</v>
          </cell>
          <cell r="H1982" t="str">
            <v>INDUSTRY</v>
          </cell>
          <cell r="I1982" t="str">
            <v>11</v>
          </cell>
          <cell r="J1982" t="str">
            <v>WOOD COATINGS</v>
          </cell>
          <cell r="K1982" t="str">
            <v>1103</v>
          </cell>
          <cell r="L1982" t="str">
            <v>PU</v>
          </cell>
          <cell r="M1982" t="str">
            <v>110322</v>
          </cell>
          <cell r="N1982" t="str">
            <v>PU PRIMER</v>
          </cell>
        </row>
        <row r="1983">
          <cell r="C1983" t="str">
            <v>100003090</v>
          </cell>
          <cell r="D1983" t="str">
            <v>UVS-20600 CON 01 SC VN-20KP</v>
          </cell>
          <cell r="E1983" t="str">
            <v>ZFGD</v>
          </cell>
          <cell r="F1983" t="str">
            <v>PC</v>
          </cell>
          <cell r="G1983" t="str">
            <v>1</v>
          </cell>
          <cell r="H1983" t="str">
            <v>INDUSTRY</v>
          </cell>
          <cell r="I1983" t="str">
            <v>11</v>
          </cell>
          <cell r="J1983" t="str">
            <v>WOOD COATINGS</v>
          </cell>
          <cell r="K1983" t="str">
            <v>1106</v>
          </cell>
          <cell r="L1983" t="str">
            <v>UV</v>
          </cell>
          <cell r="M1983" t="str">
            <v>110606</v>
          </cell>
          <cell r="N1983" t="str">
            <v>UV STAIN</v>
          </cell>
        </row>
        <row r="1984">
          <cell r="C1984" t="str">
            <v>100003091</v>
          </cell>
          <cell r="D1984" t="str">
            <v>UVS-20600 CON 02 SC VN-20KP</v>
          </cell>
          <cell r="E1984" t="str">
            <v>ZFGD</v>
          </cell>
          <cell r="F1984" t="str">
            <v>PC</v>
          </cell>
          <cell r="G1984" t="str">
            <v>1</v>
          </cell>
          <cell r="H1984" t="str">
            <v>INDUSTRY</v>
          </cell>
          <cell r="I1984" t="str">
            <v>11</v>
          </cell>
          <cell r="J1984" t="str">
            <v>WOOD COATINGS</v>
          </cell>
          <cell r="K1984" t="str">
            <v>1106</v>
          </cell>
          <cell r="L1984" t="str">
            <v>UV</v>
          </cell>
          <cell r="M1984" t="str">
            <v>110606</v>
          </cell>
          <cell r="N1984" t="str">
            <v>UV STAIN</v>
          </cell>
        </row>
        <row r="1985">
          <cell r="C1985" t="str">
            <v>100003092</v>
          </cell>
          <cell r="D1985" t="str">
            <v>UVS-20600 CON 03 SC VN-20KP</v>
          </cell>
          <cell r="E1985" t="str">
            <v>ZFGD</v>
          </cell>
          <cell r="F1985" t="str">
            <v>PC</v>
          </cell>
          <cell r="G1985" t="str">
            <v>1</v>
          </cell>
          <cell r="H1985" t="str">
            <v>INDUSTRY</v>
          </cell>
          <cell r="I1985" t="str">
            <v>11</v>
          </cell>
          <cell r="J1985" t="str">
            <v>WOOD COATINGS</v>
          </cell>
          <cell r="K1985" t="str">
            <v>1106</v>
          </cell>
          <cell r="L1985" t="str">
            <v>UV</v>
          </cell>
          <cell r="M1985" t="str">
            <v>110606</v>
          </cell>
          <cell r="N1985" t="str">
            <v>UV STAIN</v>
          </cell>
        </row>
        <row r="1986">
          <cell r="C1986" t="str">
            <v>100003093</v>
          </cell>
          <cell r="D1986" t="str">
            <v>UVS-20600 CON 04 SC VN-20KP</v>
          </cell>
          <cell r="E1986" t="str">
            <v>ZFGD</v>
          </cell>
          <cell r="F1986" t="str">
            <v>PC</v>
          </cell>
          <cell r="G1986" t="str">
            <v>1</v>
          </cell>
          <cell r="H1986" t="str">
            <v>INDUSTRY</v>
          </cell>
          <cell r="I1986" t="str">
            <v>11</v>
          </cell>
          <cell r="J1986" t="str">
            <v>WOOD COATINGS</v>
          </cell>
          <cell r="K1986" t="str">
            <v>1106</v>
          </cell>
          <cell r="L1986" t="str">
            <v>UV</v>
          </cell>
          <cell r="M1986" t="str">
            <v>110606</v>
          </cell>
          <cell r="N1986" t="str">
            <v>UV STAIN</v>
          </cell>
        </row>
        <row r="1987">
          <cell r="C1987" t="str">
            <v>100003094</v>
          </cell>
          <cell r="D1987" t="str">
            <v>UVS-20600 WTEA 01 SC VN-20KP</v>
          </cell>
          <cell r="E1987" t="str">
            <v>ZFGD</v>
          </cell>
          <cell r="F1987" t="str">
            <v>PC</v>
          </cell>
          <cell r="G1987" t="str">
            <v>1</v>
          </cell>
          <cell r="H1987" t="str">
            <v>INDUSTRY</v>
          </cell>
          <cell r="I1987" t="str">
            <v>11</v>
          </cell>
          <cell r="J1987" t="str">
            <v>WOOD COATINGS</v>
          </cell>
          <cell r="K1987" t="str">
            <v>1106</v>
          </cell>
          <cell r="L1987" t="str">
            <v>UV</v>
          </cell>
          <cell r="M1987" t="str">
            <v>110606</v>
          </cell>
          <cell r="N1987" t="str">
            <v>UV STAIN</v>
          </cell>
        </row>
        <row r="1988">
          <cell r="C1988" t="str">
            <v>100003095</v>
          </cell>
          <cell r="D1988" t="str">
            <v>UVS-20600 WTEA 02 SC VN-20KP</v>
          </cell>
          <cell r="E1988" t="str">
            <v>ZFGD</v>
          </cell>
          <cell r="F1988" t="str">
            <v>PC</v>
          </cell>
          <cell r="G1988" t="str">
            <v>1</v>
          </cell>
          <cell r="H1988" t="str">
            <v>INDUSTRY</v>
          </cell>
          <cell r="I1988" t="str">
            <v>11</v>
          </cell>
          <cell r="J1988" t="str">
            <v>WOOD COATINGS</v>
          </cell>
          <cell r="K1988" t="str">
            <v>1106</v>
          </cell>
          <cell r="L1988" t="str">
            <v>UV</v>
          </cell>
          <cell r="M1988" t="str">
            <v>110606</v>
          </cell>
          <cell r="N1988" t="str">
            <v>UV STAIN</v>
          </cell>
        </row>
        <row r="1989">
          <cell r="C1989" t="str">
            <v>100003096</v>
          </cell>
          <cell r="D1989" t="str">
            <v>UVS-20600 WTEA 03 SC VN-20KP</v>
          </cell>
          <cell r="E1989" t="str">
            <v>ZFGD</v>
          </cell>
          <cell r="F1989" t="str">
            <v>PC</v>
          </cell>
          <cell r="G1989" t="str">
            <v>1</v>
          </cell>
          <cell r="H1989" t="str">
            <v>INDUSTRY</v>
          </cell>
          <cell r="I1989" t="str">
            <v>11</v>
          </cell>
          <cell r="J1989" t="str">
            <v>WOOD COATINGS</v>
          </cell>
          <cell r="K1989" t="str">
            <v>1106</v>
          </cell>
          <cell r="L1989" t="str">
            <v>UV</v>
          </cell>
          <cell r="M1989" t="str">
            <v>110606</v>
          </cell>
          <cell r="N1989" t="str">
            <v>UV STAIN</v>
          </cell>
        </row>
        <row r="1990">
          <cell r="C1990" t="str">
            <v>100003097</v>
          </cell>
          <cell r="D1990" t="str">
            <v>UVS-20600 TSG 01 SC VN-20KP</v>
          </cell>
          <cell r="E1990" t="str">
            <v>ZFGD</v>
          </cell>
          <cell r="F1990" t="str">
            <v>PC</v>
          </cell>
          <cell r="G1990" t="str">
            <v>1</v>
          </cell>
          <cell r="H1990" t="str">
            <v>INDUSTRY</v>
          </cell>
          <cell r="I1990" t="str">
            <v>11</v>
          </cell>
          <cell r="J1990" t="str">
            <v>WOOD COATINGS</v>
          </cell>
          <cell r="K1990" t="str">
            <v>1106</v>
          </cell>
          <cell r="L1990" t="str">
            <v>UV</v>
          </cell>
          <cell r="M1990" t="str">
            <v>110606</v>
          </cell>
          <cell r="N1990" t="str">
            <v>UV STAIN</v>
          </cell>
        </row>
        <row r="1991">
          <cell r="C1991" t="str">
            <v>100003098</v>
          </cell>
          <cell r="D1991" t="str">
            <v>UVS-20600 TSG 02 SC VN-20KP</v>
          </cell>
          <cell r="E1991" t="str">
            <v>ZFGD</v>
          </cell>
          <cell r="F1991" t="str">
            <v>PC</v>
          </cell>
          <cell r="G1991" t="str">
            <v>1</v>
          </cell>
          <cell r="H1991" t="str">
            <v>INDUSTRY</v>
          </cell>
          <cell r="I1991" t="str">
            <v>11</v>
          </cell>
          <cell r="J1991" t="str">
            <v>WOOD COATINGS</v>
          </cell>
          <cell r="K1991" t="str">
            <v>1106</v>
          </cell>
          <cell r="L1991" t="str">
            <v>UV</v>
          </cell>
          <cell r="M1991" t="str">
            <v>110606</v>
          </cell>
          <cell r="N1991" t="str">
            <v>UV STAIN</v>
          </cell>
        </row>
        <row r="1992">
          <cell r="C1992" t="str">
            <v>100003099</v>
          </cell>
          <cell r="D1992" t="str">
            <v>UVS-20600 TSG 03 SC VN-20KP</v>
          </cell>
          <cell r="E1992" t="str">
            <v>ZFGD</v>
          </cell>
          <cell r="F1992" t="str">
            <v>PC</v>
          </cell>
          <cell r="G1992" t="str">
            <v>1</v>
          </cell>
          <cell r="H1992" t="str">
            <v>INDUSTRY</v>
          </cell>
          <cell r="I1992" t="str">
            <v>11</v>
          </cell>
          <cell r="J1992" t="str">
            <v>WOOD COATINGS</v>
          </cell>
          <cell r="K1992" t="str">
            <v>1106</v>
          </cell>
          <cell r="L1992" t="str">
            <v>UV</v>
          </cell>
          <cell r="M1992" t="str">
            <v>110606</v>
          </cell>
          <cell r="N1992" t="str">
            <v>UV STAIN</v>
          </cell>
        </row>
        <row r="1993">
          <cell r="C1993" t="str">
            <v>100003100</v>
          </cell>
          <cell r="D1993" t="str">
            <v>SST-11100 122MW104 GE VN-20LJ</v>
          </cell>
          <cell r="E1993" t="str">
            <v>ZFGD</v>
          </cell>
          <cell r="F1993" t="str">
            <v>PC</v>
          </cell>
          <cell r="G1993" t="str">
            <v>1</v>
          </cell>
          <cell r="H1993" t="str">
            <v>INDUSTRY</v>
          </cell>
          <cell r="I1993" t="str">
            <v>11</v>
          </cell>
          <cell r="J1993" t="str">
            <v>WOOD COATINGS</v>
          </cell>
          <cell r="K1993" t="str">
            <v>1109</v>
          </cell>
          <cell r="L1993" t="str">
            <v>STAIN &amp; GLAZE INTERIOR</v>
          </cell>
          <cell r="M1993" t="str">
            <v>110903</v>
          </cell>
          <cell r="N1993" t="str">
            <v>STAIN INTERIOR</v>
          </cell>
        </row>
        <row r="1994">
          <cell r="C1994" t="str">
            <v>100003101</v>
          </cell>
          <cell r="D1994" t="str">
            <v>PCL-31300 122MW104 GE VN-20LJ</v>
          </cell>
          <cell r="E1994" t="str">
            <v>ZFGD</v>
          </cell>
          <cell r="F1994" t="str">
            <v>PC</v>
          </cell>
          <cell r="G1994" t="str">
            <v>1</v>
          </cell>
          <cell r="H1994" t="str">
            <v>INDUSTRY</v>
          </cell>
          <cell r="I1994" t="str">
            <v>11</v>
          </cell>
          <cell r="J1994" t="str">
            <v>WOOD COATINGS</v>
          </cell>
          <cell r="K1994" t="str">
            <v>1118</v>
          </cell>
          <cell r="L1994" t="str">
            <v>COMPLEMENTARY</v>
          </cell>
          <cell r="M1994" t="str">
            <v>111807</v>
          </cell>
          <cell r="N1994" t="str">
            <v>PASTA</v>
          </cell>
        </row>
        <row r="1995">
          <cell r="C1995" t="str">
            <v>100003102</v>
          </cell>
          <cell r="D1995" t="str">
            <v>DC-12207 WHITE 15 VN-20KP</v>
          </cell>
          <cell r="E1995" t="str">
            <v>ZFGD</v>
          </cell>
          <cell r="F1995" t="str">
            <v>PC</v>
          </cell>
          <cell r="G1995" t="str">
            <v>1</v>
          </cell>
          <cell r="H1995" t="str">
            <v>INDUSTRY</v>
          </cell>
          <cell r="I1995" t="str">
            <v>11</v>
          </cell>
          <cell r="J1995" t="str">
            <v>WOOD COATINGS</v>
          </cell>
          <cell r="K1995" t="str">
            <v>1104</v>
          </cell>
          <cell r="L1995" t="str">
            <v>NC</v>
          </cell>
          <cell r="M1995" t="str">
            <v>110405</v>
          </cell>
          <cell r="N1995" t="str">
            <v>NC SYSTEM</v>
          </cell>
        </row>
        <row r="1996">
          <cell r="C1996" t="str">
            <v>100003103</v>
          </cell>
          <cell r="D1996" t="str">
            <v>PUP-52135 RED SD VN-20KP</v>
          </cell>
          <cell r="E1996" t="str">
            <v>ZFGD</v>
          </cell>
          <cell r="F1996" t="str">
            <v>PC</v>
          </cell>
          <cell r="G1996" t="str">
            <v>1</v>
          </cell>
          <cell r="H1996" t="str">
            <v>INDUSTRY</v>
          </cell>
          <cell r="I1996" t="str">
            <v>11</v>
          </cell>
          <cell r="J1996" t="str">
            <v>WOOD COATINGS</v>
          </cell>
          <cell r="K1996" t="str">
            <v>1103</v>
          </cell>
          <cell r="L1996" t="str">
            <v>PU</v>
          </cell>
          <cell r="M1996" t="str">
            <v>110322</v>
          </cell>
          <cell r="N1996" t="str">
            <v>PU PRIMER</v>
          </cell>
        </row>
        <row r="1997">
          <cell r="C1997" t="str">
            <v>100003104</v>
          </cell>
          <cell r="D1997" t="str">
            <v>PUC-52217 BLACK 30 SD VN-20KP</v>
          </cell>
          <cell r="E1997" t="str">
            <v>ZFGD</v>
          </cell>
          <cell r="F1997" t="str">
            <v>PC</v>
          </cell>
          <cell r="G1997" t="str">
            <v>1</v>
          </cell>
          <cell r="H1997" t="str">
            <v>INDUSTRY</v>
          </cell>
          <cell r="I1997" t="str">
            <v>11</v>
          </cell>
          <cell r="J1997" t="str">
            <v>WOOD COATINGS</v>
          </cell>
          <cell r="K1997" t="str">
            <v>1103</v>
          </cell>
          <cell r="L1997" t="str">
            <v>PU</v>
          </cell>
          <cell r="M1997" t="str">
            <v>110319</v>
          </cell>
          <cell r="N1997" t="str">
            <v>PU COLOR</v>
          </cell>
        </row>
        <row r="1998">
          <cell r="C1998" t="str">
            <v>100003105</v>
          </cell>
          <cell r="D1998" t="str">
            <v>PUC-52217 RED 30 SD VN-20KP</v>
          </cell>
          <cell r="E1998" t="str">
            <v>ZFGD</v>
          </cell>
          <cell r="F1998" t="str">
            <v>PC</v>
          </cell>
          <cell r="G1998" t="str">
            <v>1</v>
          </cell>
          <cell r="H1998" t="str">
            <v>INDUSTRY</v>
          </cell>
          <cell r="I1998" t="str">
            <v>11</v>
          </cell>
          <cell r="J1998" t="str">
            <v>WOOD COATINGS</v>
          </cell>
          <cell r="K1998" t="str">
            <v>1103</v>
          </cell>
          <cell r="L1998" t="str">
            <v>PU</v>
          </cell>
          <cell r="M1998" t="str">
            <v>110319</v>
          </cell>
          <cell r="N1998" t="str">
            <v>PU COLOR</v>
          </cell>
        </row>
        <row r="1999">
          <cell r="C1999" t="str">
            <v>100003106</v>
          </cell>
          <cell r="D1999" t="str">
            <v>PUH-56117 VN-20KP</v>
          </cell>
          <cell r="E1999" t="str">
            <v>ZFGD</v>
          </cell>
          <cell r="F1999" t="str">
            <v>PC</v>
          </cell>
          <cell r="G1999" t="str">
            <v>1</v>
          </cell>
          <cell r="H1999" t="str">
            <v>INDUSTRY</v>
          </cell>
          <cell r="I1999" t="str">
            <v>11</v>
          </cell>
          <cell r="J1999" t="str">
            <v>WOOD COATINGS</v>
          </cell>
          <cell r="K1999" t="str">
            <v>1103</v>
          </cell>
          <cell r="L1999" t="str">
            <v>PU</v>
          </cell>
          <cell r="M1999" t="str">
            <v>110320</v>
          </cell>
          <cell r="N1999" t="str">
            <v>PU HARDENER</v>
          </cell>
        </row>
        <row r="2000">
          <cell r="C2000" t="str">
            <v>100003107</v>
          </cell>
          <cell r="D2000" t="str">
            <v>PST-12200 1K MUB SC VN-20LJ</v>
          </cell>
          <cell r="E2000" t="str">
            <v>ZFGD</v>
          </cell>
          <cell r="F2000" t="str">
            <v>PC</v>
          </cell>
          <cell r="G2000" t="str">
            <v>1</v>
          </cell>
          <cell r="H2000" t="str">
            <v>INDUSTRY</v>
          </cell>
          <cell r="I2000" t="str">
            <v>11</v>
          </cell>
          <cell r="J2000" t="str">
            <v>WOOD COATINGS</v>
          </cell>
          <cell r="K2000" t="str">
            <v>1101</v>
          </cell>
          <cell r="L2000" t="str">
            <v>ALKYD OIL</v>
          </cell>
          <cell r="M2000" t="str">
            <v>110102</v>
          </cell>
          <cell r="N2000" t="str">
            <v>STAIN EXTERIOR</v>
          </cell>
        </row>
        <row r="2001">
          <cell r="C2001" t="str">
            <v>100003108</v>
          </cell>
          <cell r="D2001" t="str">
            <v>PCWB-31600 122MW120 A GE VN-20KP</v>
          </cell>
          <cell r="E2001" t="str">
            <v>ZFGD</v>
          </cell>
          <cell r="F2001" t="str">
            <v>PC</v>
          </cell>
          <cell r="G2001" t="str">
            <v>1</v>
          </cell>
          <cell r="H2001" t="str">
            <v>INDUSTRY</v>
          </cell>
          <cell r="I2001" t="str">
            <v>11</v>
          </cell>
          <cell r="J2001" t="str">
            <v>WOOD COATINGS</v>
          </cell>
          <cell r="K2001" t="str">
            <v>1118</v>
          </cell>
          <cell r="L2001" t="str">
            <v>COMPLEMENTARY</v>
          </cell>
          <cell r="M2001" t="str">
            <v>111807</v>
          </cell>
          <cell r="N2001" t="str">
            <v>PASTA</v>
          </cell>
        </row>
        <row r="2002">
          <cell r="C2002" t="str">
            <v>100003109</v>
          </cell>
          <cell r="D2002" t="str">
            <v>PCWB-31600 122MW120 B GE VN-20KP</v>
          </cell>
          <cell r="E2002" t="str">
            <v>ZFGD</v>
          </cell>
          <cell r="F2002" t="str">
            <v>PC</v>
          </cell>
          <cell r="G2002" t="str">
            <v>1</v>
          </cell>
          <cell r="H2002" t="str">
            <v>INDUSTRY</v>
          </cell>
          <cell r="I2002" t="str">
            <v>11</v>
          </cell>
          <cell r="J2002" t="str">
            <v>WOOD COATINGS</v>
          </cell>
          <cell r="K2002" t="str">
            <v>1118</v>
          </cell>
          <cell r="L2002" t="str">
            <v>COMPLEMENTARY</v>
          </cell>
          <cell r="M2002" t="str">
            <v>111807</v>
          </cell>
          <cell r="N2002" t="str">
            <v>PASTA</v>
          </cell>
        </row>
        <row r="2003">
          <cell r="C2003" t="str">
            <v>100003110</v>
          </cell>
          <cell r="D2003" t="str">
            <v>PCL-31300 122MW120 GE VN-20LJ</v>
          </cell>
          <cell r="E2003" t="str">
            <v>ZFGD</v>
          </cell>
          <cell r="F2003" t="str">
            <v>PC</v>
          </cell>
          <cell r="G2003" t="str">
            <v>1</v>
          </cell>
          <cell r="H2003" t="str">
            <v>INDUSTRY</v>
          </cell>
          <cell r="I2003" t="str">
            <v>11</v>
          </cell>
          <cell r="J2003" t="str">
            <v>WOOD COATINGS</v>
          </cell>
          <cell r="K2003" t="str">
            <v>1118</v>
          </cell>
          <cell r="L2003" t="str">
            <v>COMPLEMENTARY</v>
          </cell>
          <cell r="M2003" t="str">
            <v>111807</v>
          </cell>
          <cell r="N2003" t="str">
            <v>PASTA</v>
          </cell>
        </row>
        <row r="2004">
          <cell r="C2004" t="str">
            <v>100003111</v>
          </cell>
          <cell r="D2004" t="str">
            <v>82-2027 UE AF URT SANDING A-16KP</v>
          </cell>
          <cell r="E2004" t="str">
            <v>ZFGD</v>
          </cell>
          <cell r="F2004" t="str">
            <v>PC</v>
          </cell>
          <cell r="G2004" t="str">
            <v>1</v>
          </cell>
          <cell r="H2004" t="str">
            <v>INDUSTRY</v>
          </cell>
          <cell r="I2004" t="str">
            <v>11</v>
          </cell>
          <cell r="J2004" t="str">
            <v>WOOD COATINGS</v>
          </cell>
          <cell r="K2004" t="str">
            <v>1103</v>
          </cell>
          <cell r="L2004" t="str">
            <v>PU</v>
          </cell>
          <cell r="M2004" t="str">
            <v>110308</v>
          </cell>
          <cell r="N2004" t="str">
            <v>UNION SANDING SEALER</v>
          </cell>
        </row>
        <row r="2005">
          <cell r="C2005" t="str">
            <v>100003112</v>
          </cell>
          <cell r="D2005" t="str">
            <v>82-1099 UE AF URT FLAT A-16KP</v>
          </cell>
          <cell r="E2005" t="str">
            <v>ZFGD</v>
          </cell>
          <cell r="F2005" t="str">
            <v>PC</v>
          </cell>
          <cell r="G2005" t="str">
            <v>1</v>
          </cell>
          <cell r="H2005" t="str">
            <v>INDUSTRY</v>
          </cell>
          <cell r="I2005" t="str">
            <v>11</v>
          </cell>
          <cell r="J2005" t="str">
            <v>WOOD COATINGS</v>
          </cell>
          <cell r="K2005" t="str">
            <v>1103</v>
          </cell>
          <cell r="L2005" t="str">
            <v>PU</v>
          </cell>
          <cell r="M2005" t="str">
            <v>110312</v>
          </cell>
          <cell r="N2005" t="str">
            <v>UNION TOP COAT</v>
          </cell>
        </row>
        <row r="2006">
          <cell r="C2006" t="str">
            <v>100003113</v>
          </cell>
          <cell r="D2006" t="str">
            <v>NBC-9345-T902-AK-200KB</v>
          </cell>
          <cell r="E2006" t="str">
            <v>ZFGD</v>
          </cell>
          <cell r="F2006" t="str">
            <v>PC</v>
          </cell>
          <cell r="G2006" t="str">
            <v>1</v>
          </cell>
          <cell r="H2006" t="str">
            <v>INDUSTRY</v>
          </cell>
          <cell r="I2006" t="str">
            <v>11</v>
          </cell>
          <cell r="J2006" t="str">
            <v>WOOD COATINGS</v>
          </cell>
          <cell r="K2006" t="str">
            <v>1104</v>
          </cell>
          <cell r="L2006" t="str">
            <v>NC</v>
          </cell>
          <cell r="M2006" t="str">
            <v>110403</v>
          </cell>
          <cell r="N2006" t="str">
            <v>ASOF : NC BASE COAT</v>
          </cell>
        </row>
        <row r="2007">
          <cell r="C2007" t="str">
            <v>100003114</v>
          </cell>
          <cell r="D2007" t="str">
            <v>NBC-9345-T902-AK-20KP</v>
          </cell>
          <cell r="E2007" t="str">
            <v>ZFGD</v>
          </cell>
          <cell r="F2007" t="str">
            <v>PC</v>
          </cell>
          <cell r="G2007" t="str">
            <v>1</v>
          </cell>
          <cell r="H2007" t="str">
            <v>INDUSTRY</v>
          </cell>
          <cell r="I2007" t="str">
            <v>11</v>
          </cell>
          <cell r="J2007" t="str">
            <v>WOOD COATINGS</v>
          </cell>
          <cell r="K2007" t="str">
            <v>1104</v>
          </cell>
          <cell r="L2007" t="str">
            <v>NC</v>
          </cell>
          <cell r="M2007" t="str">
            <v>110403</v>
          </cell>
          <cell r="N2007" t="str">
            <v>ASOF : NC BASE COAT</v>
          </cell>
        </row>
        <row r="2008">
          <cell r="C2008" t="str">
            <v>100003115</v>
          </cell>
          <cell r="D2008" t="str">
            <v>NBC-9345-316-AK-200KB</v>
          </cell>
          <cell r="E2008" t="str">
            <v>ZFGD</v>
          </cell>
          <cell r="F2008" t="str">
            <v>PC</v>
          </cell>
          <cell r="G2008" t="str">
            <v>1</v>
          </cell>
          <cell r="H2008" t="str">
            <v>INDUSTRY</v>
          </cell>
          <cell r="I2008" t="str">
            <v>11</v>
          </cell>
          <cell r="J2008" t="str">
            <v>WOOD COATINGS</v>
          </cell>
          <cell r="K2008" t="str">
            <v>1104</v>
          </cell>
          <cell r="L2008" t="str">
            <v>NC</v>
          </cell>
          <cell r="M2008" t="str">
            <v>110403</v>
          </cell>
          <cell r="N2008" t="str">
            <v>ASOF : NC BASE COAT</v>
          </cell>
        </row>
        <row r="2009">
          <cell r="C2009" t="str">
            <v>100003116</v>
          </cell>
          <cell r="D2009" t="str">
            <v>NBC-9345-316-AK-20KP</v>
          </cell>
          <cell r="E2009" t="str">
            <v>ZFGD</v>
          </cell>
          <cell r="F2009" t="str">
            <v>PC</v>
          </cell>
          <cell r="G2009" t="str">
            <v>1</v>
          </cell>
          <cell r="H2009" t="str">
            <v>INDUSTRY</v>
          </cell>
          <cell r="I2009" t="str">
            <v>11</v>
          </cell>
          <cell r="J2009" t="str">
            <v>WOOD COATINGS</v>
          </cell>
          <cell r="K2009" t="str">
            <v>1104</v>
          </cell>
          <cell r="L2009" t="str">
            <v>NC</v>
          </cell>
          <cell r="M2009" t="str">
            <v>110403</v>
          </cell>
          <cell r="N2009" t="str">
            <v>ASOF : NC BASE COAT</v>
          </cell>
        </row>
        <row r="2010">
          <cell r="C2010" t="str">
            <v>100003117</v>
          </cell>
          <cell r="D2010" t="str">
            <v>NBC-9345-WHI-AK-200KB</v>
          </cell>
          <cell r="E2010" t="str">
            <v>ZFGD</v>
          </cell>
          <cell r="F2010" t="str">
            <v>PC</v>
          </cell>
          <cell r="G2010" t="str">
            <v>1</v>
          </cell>
          <cell r="H2010" t="str">
            <v>INDUSTRY</v>
          </cell>
          <cell r="I2010" t="str">
            <v>11</v>
          </cell>
          <cell r="J2010" t="str">
            <v>WOOD COATINGS</v>
          </cell>
          <cell r="K2010" t="str">
            <v>1104</v>
          </cell>
          <cell r="L2010" t="str">
            <v>NC</v>
          </cell>
          <cell r="M2010" t="str">
            <v>110403</v>
          </cell>
          <cell r="N2010" t="str">
            <v>ASOF : NC BASE COAT</v>
          </cell>
        </row>
        <row r="2011">
          <cell r="C2011" t="str">
            <v>100003118</v>
          </cell>
          <cell r="D2011" t="str">
            <v>NBC-9345-WHI-AK-20KP</v>
          </cell>
          <cell r="E2011" t="str">
            <v>ZFGD</v>
          </cell>
          <cell r="F2011" t="str">
            <v>PC</v>
          </cell>
          <cell r="G2011" t="str">
            <v>1</v>
          </cell>
          <cell r="H2011" t="str">
            <v>INDUSTRY</v>
          </cell>
          <cell r="I2011" t="str">
            <v>11</v>
          </cell>
          <cell r="J2011" t="str">
            <v>WOOD COATINGS</v>
          </cell>
          <cell r="K2011" t="str">
            <v>1104</v>
          </cell>
          <cell r="L2011" t="str">
            <v>NC</v>
          </cell>
          <cell r="M2011" t="str">
            <v>110403</v>
          </cell>
          <cell r="N2011" t="str">
            <v>ASOF : NC BASE COAT</v>
          </cell>
        </row>
        <row r="2012">
          <cell r="C2012" t="str">
            <v>100003119</v>
          </cell>
          <cell r="D2012" t="str">
            <v>NBC-9345 208 AK-200KB</v>
          </cell>
          <cell r="E2012" t="str">
            <v>ZFGD</v>
          </cell>
          <cell r="F2012" t="str">
            <v>PC</v>
          </cell>
          <cell r="G2012" t="str">
            <v>1</v>
          </cell>
          <cell r="H2012" t="str">
            <v>INDUSTRY</v>
          </cell>
          <cell r="I2012" t="str">
            <v>11</v>
          </cell>
          <cell r="J2012" t="str">
            <v>WOOD COATINGS</v>
          </cell>
          <cell r="K2012" t="str">
            <v>1104</v>
          </cell>
          <cell r="L2012" t="str">
            <v>NC</v>
          </cell>
          <cell r="M2012" t="str">
            <v>110403</v>
          </cell>
          <cell r="N2012" t="str">
            <v>ASOF : NC BASE COAT</v>
          </cell>
        </row>
        <row r="2013">
          <cell r="C2013" t="str">
            <v>100003120</v>
          </cell>
          <cell r="D2013" t="str">
            <v>NBC-9345 217 AK-200KB</v>
          </cell>
          <cell r="E2013" t="str">
            <v>ZFGD</v>
          </cell>
          <cell r="F2013" t="str">
            <v>PC</v>
          </cell>
          <cell r="G2013" t="str">
            <v>1</v>
          </cell>
          <cell r="H2013" t="str">
            <v>INDUSTRY</v>
          </cell>
          <cell r="I2013" t="str">
            <v>11</v>
          </cell>
          <cell r="J2013" t="str">
            <v>WOOD COATINGS</v>
          </cell>
          <cell r="K2013" t="str">
            <v>1104</v>
          </cell>
          <cell r="L2013" t="str">
            <v>NC</v>
          </cell>
          <cell r="M2013" t="str">
            <v>110403</v>
          </cell>
          <cell r="N2013" t="str">
            <v>ASOF : NC BASE COAT</v>
          </cell>
        </row>
        <row r="2014">
          <cell r="C2014" t="str">
            <v>100003121</v>
          </cell>
          <cell r="D2014" t="str">
            <v>11-260-1 AF PU THINNER-200LK</v>
          </cell>
          <cell r="E2014" t="str">
            <v>ZFGD</v>
          </cell>
          <cell r="F2014" t="str">
            <v>PC</v>
          </cell>
          <cell r="G2014" t="str">
            <v>1</v>
          </cell>
          <cell r="H2014" t="str">
            <v>INDUSTRY</v>
          </cell>
          <cell r="I2014" t="str">
            <v>14</v>
          </cell>
          <cell r="J2014" t="str">
            <v>THINNER</v>
          </cell>
          <cell r="K2014" t="str">
            <v>1411</v>
          </cell>
          <cell r="L2014" t="str">
            <v>THINNER PU</v>
          </cell>
          <cell r="M2014" t="str">
            <v>141102</v>
          </cell>
          <cell r="N2014" t="str">
            <v>UNION THINNER</v>
          </cell>
        </row>
        <row r="2015">
          <cell r="C2015" t="str">
            <v>100003122</v>
          </cell>
          <cell r="D2015" t="str">
            <v>PCA-31100 NT MBR HD VN-20LJ</v>
          </cell>
          <cell r="E2015" t="str">
            <v>ZFGD</v>
          </cell>
          <cell r="F2015" t="str">
            <v>PC</v>
          </cell>
          <cell r="G2015" t="str">
            <v>1</v>
          </cell>
          <cell r="H2015" t="str">
            <v>INDUSTRY</v>
          </cell>
          <cell r="I2015" t="str">
            <v>11</v>
          </cell>
          <cell r="J2015" t="str">
            <v>WOOD COATINGS</v>
          </cell>
          <cell r="K2015" t="str">
            <v>1118</v>
          </cell>
          <cell r="L2015" t="str">
            <v>COMPLEMENTARY</v>
          </cell>
          <cell r="M2015" t="str">
            <v>111807</v>
          </cell>
          <cell r="N2015" t="str">
            <v>PASTA</v>
          </cell>
        </row>
        <row r="2016">
          <cell r="C2016" t="str">
            <v>100003123</v>
          </cell>
          <cell r="D2016" t="str">
            <v>82-5001 UE AF URT SFC WHITE A-16KP</v>
          </cell>
          <cell r="E2016" t="str">
            <v>ZFGD</v>
          </cell>
          <cell r="F2016" t="str">
            <v>PC</v>
          </cell>
          <cell r="G2016" t="str">
            <v>1</v>
          </cell>
          <cell r="H2016" t="str">
            <v>INDUSTRY</v>
          </cell>
          <cell r="I2016" t="str">
            <v>11</v>
          </cell>
          <cell r="J2016" t="str">
            <v>WOOD COATINGS</v>
          </cell>
          <cell r="K2016" t="str">
            <v>1103</v>
          </cell>
          <cell r="L2016" t="str">
            <v>PU</v>
          </cell>
          <cell r="M2016" t="str">
            <v>110312</v>
          </cell>
          <cell r="N2016" t="str">
            <v>UNION TOP COAT</v>
          </cell>
        </row>
        <row r="2017">
          <cell r="C2017" t="str">
            <v>100003124</v>
          </cell>
          <cell r="D2017" t="str">
            <v>82-4029 UE AF URT WHITE A 5%-16KP</v>
          </cell>
          <cell r="E2017" t="str">
            <v>ZFGD</v>
          </cell>
          <cell r="F2017" t="str">
            <v>PC</v>
          </cell>
          <cell r="G2017" t="str">
            <v>1</v>
          </cell>
          <cell r="H2017" t="str">
            <v>INDUSTRY</v>
          </cell>
          <cell r="I2017" t="str">
            <v>11</v>
          </cell>
          <cell r="J2017" t="str">
            <v>WOOD COATINGS</v>
          </cell>
          <cell r="K2017" t="str">
            <v>1103</v>
          </cell>
          <cell r="L2017" t="str">
            <v>PU</v>
          </cell>
          <cell r="M2017" t="str">
            <v>110312</v>
          </cell>
          <cell r="N2017" t="str">
            <v>UNION TOP COAT</v>
          </cell>
        </row>
        <row r="2018">
          <cell r="C2018" t="str">
            <v>100003125</v>
          </cell>
          <cell r="D2018" t="str">
            <v>SST-11100 01 KT VN-20LJ</v>
          </cell>
          <cell r="E2018" t="str">
            <v>ZFGD</v>
          </cell>
          <cell r="F2018" t="str">
            <v>PC</v>
          </cell>
          <cell r="G2018" t="str">
            <v>1</v>
          </cell>
          <cell r="H2018" t="str">
            <v>INDUSTRY</v>
          </cell>
          <cell r="I2018" t="str">
            <v>11</v>
          </cell>
          <cell r="J2018" t="str">
            <v>WOOD COATINGS</v>
          </cell>
          <cell r="K2018" t="str">
            <v>1109</v>
          </cell>
          <cell r="L2018" t="str">
            <v>STAIN &amp; GLAZE INTERIOR</v>
          </cell>
          <cell r="M2018" t="str">
            <v>110903</v>
          </cell>
          <cell r="N2018" t="str">
            <v>STAIN INTERIOR</v>
          </cell>
        </row>
        <row r="2019">
          <cell r="C2019" t="str">
            <v>100003126</v>
          </cell>
          <cell r="D2019" t="str">
            <v>SST-11100 02 KT VN-20LJ</v>
          </cell>
          <cell r="E2019" t="str">
            <v>ZFGD</v>
          </cell>
          <cell r="F2019" t="str">
            <v>PC</v>
          </cell>
          <cell r="G2019" t="str">
            <v>1</v>
          </cell>
          <cell r="H2019" t="str">
            <v>INDUSTRY</v>
          </cell>
          <cell r="I2019" t="str">
            <v>11</v>
          </cell>
          <cell r="J2019" t="str">
            <v>WOOD COATINGS</v>
          </cell>
          <cell r="K2019" t="str">
            <v>1109</v>
          </cell>
          <cell r="L2019" t="str">
            <v>STAIN &amp; GLAZE INTERIOR</v>
          </cell>
          <cell r="M2019" t="str">
            <v>110903</v>
          </cell>
          <cell r="N2019" t="str">
            <v>STAIN INTERIOR</v>
          </cell>
        </row>
        <row r="2020">
          <cell r="C2020" t="str">
            <v>100003127</v>
          </cell>
          <cell r="D2020" t="str">
            <v>PUC-52239 LIVART 004 10 NS VN-20KP</v>
          </cell>
          <cell r="E2020" t="str">
            <v>ZFGD</v>
          </cell>
          <cell r="F2020" t="str">
            <v>PC</v>
          </cell>
          <cell r="G2020" t="str">
            <v>1</v>
          </cell>
          <cell r="H2020" t="str">
            <v>INDUSTRY</v>
          </cell>
          <cell r="I2020" t="str">
            <v>11</v>
          </cell>
          <cell r="J2020" t="str">
            <v>WOOD COATINGS</v>
          </cell>
          <cell r="K2020" t="str">
            <v>1103</v>
          </cell>
          <cell r="L2020" t="str">
            <v>PU</v>
          </cell>
          <cell r="M2020" t="str">
            <v>110319</v>
          </cell>
          <cell r="N2020" t="str">
            <v>PU COLOR</v>
          </cell>
        </row>
        <row r="2021">
          <cell r="C2021" t="str">
            <v>100003128</v>
          </cell>
          <cell r="D2021" t="str">
            <v>PUC-52241 BLACK LV 10 NS VN-20KP</v>
          </cell>
          <cell r="E2021" t="str">
            <v>ZFGD</v>
          </cell>
          <cell r="F2021" t="str">
            <v>PC</v>
          </cell>
          <cell r="G2021" t="str">
            <v>1</v>
          </cell>
          <cell r="H2021" t="str">
            <v>INDUSTRY</v>
          </cell>
          <cell r="I2021" t="str">
            <v>11</v>
          </cell>
          <cell r="J2021" t="str">
            <v>WOOD COATINGS</v>
          </cell>
          <cell r="K2021" t="str">
            <v>1103</v>
          </cell>
          <cell r="L2021" t="str">
            <v>PU</v>
          </cell>
          <cell r="M2021" t="str">
            <v>110319</v>
          </cell>
          <cell r="N2021" t="str">
            <v>PU COLOR</v>
          </cell>
        </row>
        <row r="2022">
          <cell r="C2022" t="str">
            <v>100003129</v>
          </cell>
          <cell r="D2022" t="str">
            <v>PUC-52239 PINK 005 LV 10 NS VN-20KP</v>
          </cell>
          <cell r="E2022" t="str">
            <v>ZFGD</v>
          </cell>
          <cell r="F2022" t="str">
            <v>PC</v>
          </cell>
          <cell r="G2022" t="str">
            <v>1</v>
          </cell>
          <cell r="H2022" t="str">
            <v>INDUSTRY</v>
          </cell>
          <cell r="I2022" t="str">
            <v>11</v>
          </cell>
          <cell r="J2022" t="str">
            <v>WOOD COATINGS</v>
          </cell>
          <cell r="K2022" t="str">
            <v>1103</v>
          </cell>
          <cell r="L2022" t="str">
            <v>PU</v>
          </cell>
          <cell r="M2022" t="str">
            <v>110319</v>
          </cell>
          <cell r="N2022" t="str">
            <v>PU COLOR</v>
          </cell>
        </row>
        <row r="2023">
          <cell r="C2023" t="str">
            <v>100003130</v>
          </cell>
          <cell r="D2023" t="str">
            <v>PUC-52239 BLUE 006 LV 05 NS VN-20KP</v>
          </cell>
          <cell r="E2023" t="str">
            <v>ZFGD</v>
          </cell>
          <cell r="F2023" t="str">
            <v>PC</v>
          </cell>
          <cell r="G2023" t="str">
            <v>1</v>
          </cell>
          <cell r="H2023" t="str">
            <v>INDUSTRY</v>
          </cell>
          <cell r="I2023" t="str">
            <v>11</v>
          </cell>
          <cell r="J2023" t="str">
            <v>WOOD COATINGS</v>
          </cell>
          <cell r="K2023" t="str">
            <v>1103</v>
          </cell>
          <cell r="L2023" t="str">
            <v>PU</v>
          </cell>
          <cell r="M2023" t="str">
            <v>110319</v>
          </cell>
          <cell r="N2023" t="str">
            <v>PU COLOR</v>
          </cell>
        </row>
        <row r="2024">
          <cell r="C2024" t="str">
            <v>100003131</v>
          </cell>
          <cell r="D2024" t="str">
            <v>PUC-52239 COMPACT 10 NS VN-20KP</v>
          </cell>
          <cell r="E2024" t="str">
            <v>ZFGD</v>
          </cell>
          <cell r="F2024" t="str">
            <v>PC</v>
          </cell>
          <cell r="G2024" t="str">
            <v>1</v>
          </cell>
          <cell r="H2024" t="str">
            <v>INDUSTRY</v>
          </cell>
          <cell r="I2024" t="str">
            <v>11</v>
          </cell>
          <cell r="J2024" t="str">
            <v>WOOD COATINGS</v>
          </cell>
          <cell r="K2024" t="str">
            <v>1103</v>
          </cell>
          <cell r="L2024" t="str">
            <v>PU</v>
          </cell>
          <cell r="M2024" t="str">
            <v>110319</v>
          </cell>
          <cell r="N2024" t="str">
            <v>PU COLOR</v>
          </cell>
        </row>
        <row r="2025">
          <cell r="C2025" t="str">
            <v>100003132</v>
          </cell>
          <cell r="D2025" t="str">
            <v>UVS-20600 TEA GRY 01 SC VN-20KP</v>
          </cell>
          <cell r="E2025" t="str">
            <v>ZFGD</v>
          </cell>
          <cell r="F2025" t="str">
            <v>PC</v>
          </cell>
          <cell r="G2025" t="str">
            <v>1</v>
          </cell>
          <cell r="H2025" t="str">
            <v>INDUSTRY</v>
          </cell>
          <cell r="I2025" t="str">
            <v>11</v>
          </cell>
          <cell r="J2025" t="str">
            <v>WOOD COATINGS</v>
          </cell>
          <cell r="K2025" t="str">
            <v>1106</v>
          </cell>
          <cell r="L2025" t="str">
            <v>UV</v>
          </cell>
          <cell r="M2025" t="str">
            <v>110606</v>
          </cell>
          <cell r="N2025" t="str">
            <v>UV STAIN</v>
          </cell>
        </row>
        <row r="2026">
          <cell r="C2026" t="str">
            <v>100003133</v>
          </cell>
          <cell r="D2026" t="str">
            <v>UVS-20600 TEA GRY 02 SC VN-20KP</v>
          </cell>
          <cell r="E2026" t="str">
            <v>ZFGD</v>
          </cell>
          <cell r="F2026" t="str">
            <v>PC</v>
          </cell>
          <cell r="G2026" t="str">
            <v>1</v>
          </cell>
          <cell r="H2026" t="str">
            <v>INDUSTRY</v>
          </cell>
          <cell r="I2026" t="str">
            <v>11</v>
          </cell>
          <cell r="J2026" t="str">
            <v>WOOD COATINGS</v>
          </cell>
          <cell r="K2026" t="str">
            <v>1106</v>
          </cell>
          <cell r="L2026" t="str">
            <v>UV</v>
          </cell>
          <cell r="M2026" t="str">
            <v>110606</v>
          </cell>
          <cell r="N2026" t="str">
            <v>UV STAIN</v>
          </cell>
        </row>
        <row r="2027">
          <cell r="C2027" t="str">
            <v>100003134</v>
          </cell>
          <cell r="D2027" t="str">
            <v>UVS-20600 TEA GRY 03 SC VN-20KP</v>
          </cell>
          <cell r="E2027" t="str">
            <v>ZFGD</v>
          </cell>
          <cell r="F2027" t="str">
            <v>PC</v>
          </cell>
          <cell r="G2027" t="str">
            <v>1</v>
          </cell>
          <cell r="H2027" t="str">
            <v>INDUSTRY</v>
          </cell>
          <cell r="I2027" t="str">
            <v>11</v>
          </cell>
          <cell r="J2027" t="str">
            <v>WOOD COATINGS</v>
          </cell>
          <cell r="K2027" t="str">
            <v>1106</v>
          </cell>
          <cell r="L2027" t="str">
            <v>UV</v>
          </cell>
          <cell r="M2027" t="str">
            <v>110606</v>
          </cell>
          <cell r="N2027" t="str">
            <v>UV STAIN</v>
          </cell>
        </row>
        <row r="2028">
          <cell r="C2028" t="str">
            <v>100003135</v>
          </cell>
          <cell r="D2028" t="str">
            <v>UVS-20600 CONJYSK 01 SC VN-20KP</v>
          </cell>
          <cell r="E2028" t="str">
            <v>ZFGD</v>
          </cell>
          <cell r="F2028" t="str">
            <v>PC</v>
          </cell>
          <cell r="G2028" t="str">
            <v>1</v>
          </cell>
          <cell r="H2028" t="str">
            <v>INDUSTRY</v>
          </cell>
          <cell r="I2028" t="str">
            <v>11</v>
          </cell>
          <cell r="J2028" t="str">
            <v>WOOD COATINGS</v>
          </cell>
          <cell r="K2028" t="str">
            <v>1106</v>
          </cell>
          <cell r="L2028" t="str">
            <v>UV</v>
          </cell>
          <cell r="M2028" t="str">
            <v>110606</v>
          </cell>
          <cell r="N2028" t="str">
            <v>UV STAIN</v>
          </cell>
        </row>
        <row r="2029">
          <cell r="C2029" t="str">
            <v>100003136</v>
          </cell>
          <cell r="D2029" t="str">
            <v>UVS-20600 CONJYSK 02 SC VN-20KP</v>
          </cell>
          <cell r="E2029" t="str">
            <v>ZFGD</v>
          </cell>
          <cell r="F2029" t="str">
            <v>PC</v>
          </cell>
          <cell r="G2029" t="str">
            <v>1</v>
          </cell>
          <cell r="H2029" t="str">
            <v>INDUSTRY</v>
          </cell>
          <cell r="I2029" t="str">
            <v>11</v>
          </cell>
          <cell r="J2029" t="str">
            <v>WOOD COATINGS</v>
          </cell>
          <cell r="K2029" t="str">
            <v>1106</v>
          </cell>
          <cell r="L2029" t="str">
            <v>UV</v>
          </cell>
          <cell r="M2029" t="str">
            <v>110606</v>
          </cell>
          <cell r="N2029" t="str">
            <v>UV STAIN</v>
          </cell>
        </row>
        <row r="2030">
          <cell r="C2030" t="str">
            <v>100003137</v>
          </cell>
          <cell r="D2030" t="str">
            <v>UVS-20600 CONJYSK 03 SC VN-20KP</v>
          </cell>
          <cell r="E2030" t="str">
            <v>ZFGD</v>
          </cell>
          <cell r="F2030" t="str">
            <v>PC</v>
          </cell>
          <cell r="G2030" t="str">
            <v>1</v>
          </cell>
          <cell r="H2030" t="str">
            <v>INDUSTRY</v>
          </cell>
          <cell r="I2030" t="str">
            <v>11</v>
          </cell>
          <cell r="J2030" t="str">
            <v>WOOD COATINGS</v>
          </cell>
          <cell r="K2030" t="str">
            <v>1106</v>
          </cell>
          <cell r="L2030" t="str">
            <v>UV</v>
          </cell>
          <cell r="M2030" t="str">
            <v>110606</v>
          </cell>
          <cell r="N2030" t="str">
            <v>UV STAIN</v>
          </cell>
        </row>
        <row r="2031">
          <cell r="C2031" t="str">
            <v>100003138</v>
          </cell>
          <cell r="D2031" t="str">
            <v>UVS-20600 CONJYSK 04 SC VN-20KP</v>
          </cell>
          <cell r="E2031" t="str">
            <v>ZFGD</v>
          </cell>
          <cell r="F2031" t="str">
            <v>PC</v>
          </cell>
          <cell r="G2031" t="str">
            <v>1</v>
          </cell>
          <cell r="H2031" t="str">
            <v>INDUSTRY</v>
          </cell>
          <cell r="I2031" t="str">
            <v>11</v>
          </cell>
          <cell r="J2031" t="str">
            <v>WOOD COATINGS</v>
          </cell>
          <cell r="K2031" t="str">
            <v>1106</v>
          </cell>
          <cell r="L2031" t="str">
            <v>UV</v>
          </cell>
          <cell r="M2031" t="str">
            <v>110606</v>
          </cell>
          <cell r="N2031" t="str">
            <v>UV STAIN</v>
          </cell>
        </row>
        <row r="2032">
          <cell r="C2032" t="str">
            <v>100003139</v>
          </cell>
          <cell r="D2032" t="str">
            <v>PUP-52135 FA1 01 TR VN-20KP</v>
          </cell>
          <cell r="E2032" t="str">
            <v>ZFGD</v>
          </cell>
          <cell r="F2032" t="str">
            <v>PC</v>
          </cell>
          <cell r="G2032" t="str">
            <v>1</v>
          </cell>
          <cell r="H2032" t="str">
            <v>INDUSTRY</v>
          </cell>
          <cell r="I2032" t="str">
            <v>11</v>
          </cell>
          <cell r="J2032" t="str">
            <v>WOOD COATINGS</v>
          </cell>
          <cell r="K2032" t="str">
            <v>1103</v>
          </cell>
          <cell r="L2032" t="str">
            <v>PU</v>
          </cell>
          <cell r="M2032" t="str">
            <v>110322</v>
          </cell>
          <cell r="N2032" t="str">
            <v>PU PRIMER</v>
          </cell>
        </row>
        <row r="2033">
          <cell r="C2033" t="str">
            <v>100003140</v>
          </cell>
          <cell r="D2033" t="str">
            <v>PUC-52235 FA1 01 30 TR VN-20KP</v>
          </cell>
          <cell r="E2033" t="str">
            <v>ZFGD</v>
          </cell>
          <cell r="F2033" t="str">
            <v>PC</v>
          </cell>
          <cell r="G2033" t="str">
            <v>1</v>
          </cell>
          <cell r="H2033" t="str">
            <v>INDUSTRY</v>
          </cell>
          <cell r="I2033" t="str">
            <v>11</v>
          </cell>
          <cell r="J2033" t="str">
            <v>WOOD COATINGS</v>
          </cell>
          <cell r="K2033" t="str">
            <v>1103</v>
          </cell>
          <cell r="L2033" t="str">
            <v>PU</v>
          </cell>
          <cell r="M2033" t="str">
            <v>110319</v>
          </cell>
          <cell r="N2033" t="str">
            <v>PU COLOR</v>
          </cell>
        </row>
        <row r="2034">
          <cell r="C2034" t="str">
            <v>100003141</v>
          </cell>
          <cell r="D2034" t="str">
            <v>WBC-64217 EX GREY 32 08 SC VN-18KP</v>
          </cell>
          <cell r="E2034" t="str">
            <v>ZFGD</v>
          </cell>
          <cell r="F2034" t="str">
            <v>PC</v>
          </cell>
          <cell r="G2034" t="str">
            <v>1</v>
          </cell>
          <cell r="H2034" t="str">
            <v>INDUSTRY</v>
          </cell>
          <cell r="I2034" t="str">
            <v>11</v>
          </cell>
          <cell r="J2034" t="str">
            <v>WOOD COATINGS</v>
          </cell>
          <cell r="K2034" t="str">
            <v>1119</v>
          </cell>
          <cell r="L2034" t="str">
            <v>WATERBASED</v>
          </cell>
          <cell r="M2034" t="str">
            <v>111901</v>
          </cell>
          <cell r="N2034" t="str">
            <v>WATERBASED SYSTEM EXTERIOR</v>
          </cell>
        </row>
        <row r="2035">
          <cell r="C2035" t="str">
            <v>100003142</v>
          </cell>
          <cell r="D2035" t="str">
            <v>NCL-11331 CLEAR 90 VN-20LP</v>
          </cell>
          <cell r="E2035" t="str">
            <v>ZFGD</v>
          </cell>
          <cell r="F2035" t="str">
            <v>PC</v>
          </cell>
          <cell r="G2035" t="str">
            <v>1</v>
          </cell>
          <cell r="H2035" t="str">
            <v>INDUSTRY</v>
          </cell>
          <cell r="I2035" t="str">
            <v>11</v>
          </cell>
          <cell r="J2035" t="str">
            <v>WOOD COATINGS</v>
          </cell>
          <cell r="K2035" t="str">
            <v>1104</v>
          </cell>
          <cell r="L2035" t="str">
            <v>NC</v>
          </cell>
          <cell r="M2035" t="str">
            <v>110405</v>
          </cell>
          <cell r="N2035" t="str">
            <v>NC SYSTEM</v>
          </cell>
        </row>
        <row r="2036">
          <cell r="C2036" t="str">
            <v>100003143</v>
          </cell>
          <cell r="D2036" t="str">
            <v>UVSS-40101 3T VN-20KP</v>
          </cell>
          <cell r="E2036" t="str">
            <v>ZFGD</v>
          </cell>
          <cell r="F2036" t="str">
            <v>PC</v>
          </cell>
          <cell r="G2036" t="str">
            <v>1</v>
          </cell>
          <cell r="H2036" t="str">
            <v>INDUSTRY</v>
          </cell>
          <cell r="I2036" t="str">
            <v>11</v>
          </cell>
          <cell r="J2036" t="str">
            <v>WOOD COATINGS</v>
          </cell>
          <cell r="K2036" t="str">
            <v>1106</v>
          </cell>
          <cell r="L2036" t="str">
            <v>UV</v>
          </cell>
          <cell r="M2036" t="str">
            <v>110605</v>
          </cell>
          <cell r="N2036" t="str">
            <v>UV SANDING SEALER</v>
          </cell>
        </row>
        <row r="2037">
          <cell r="C2037" t="str">
            <v>100003144</v>
          </cell>
          <cell r="D2037" t="str">
            <v>TOL-76301 DK VN-20LJ</v>
          </cell>
          <cell r="E2037" t="str">
            <v>ZFGD</v>
          </cell>
          <cell r="F2037" t="str">
            <v>PC</v>
          </cell>
          <cell r="G2037" t="str">
            <v>1</v>
          </cell>
          <cell r="H2037" t="str">
            <v>INDUSTRY</v>
          </cell>
          <cell r="I2037" t="str">
            <v>11</v>
          </cell>
          <cell r="J2037" t="str">
            <v>WOOD COATINGS</v>
          </cell>
          <cell r="K2037" t="str">
            <v>1101</v>
          </cell>
          <cell r="L2037" t="str">
            <v>ALKYD OIL</v>
          </cell>
          <cell r="M2037" t="str">
            <v>110101</v>
          </cell>
          <cell r="N2037" t="str">
            <v>ALKYD &amp; OIL SYSTEM</v>
          </cell>
        </row>
        <row r="2038">
          <cell r="C2038" t="str">
            <v>100003145</v>
          </cell>
          <cell r="D2038" t="str">
            <v>82-4029 UE AF URT WHITE A-16KP</v>
          </cell>
          <cell r="E2038" t="str">
            <v>ZFGD</v>
          </cell>
          <cell r="F2038" t="str">
            <v>PC</v>
          </cell>
          <cell r="G2038" t="str">
            <v>1</v>
          </cell>
          <cell r="H2038" t="str">
            <v>INDUSTRY</v>
          </cell>
          <cell r="I2038" t="str">
            <v>11</v>
          </cell>
          <cell r="J2038" t="str">
            <v>WOOD COATINGS</v>
          </cell>
          <cell r="K2038" t="str">
            <v>1103</v>
          </cell>
          <cell r="L2038" t="str">
            <v>PU</v>
          </cell>
          <cell r="M2038" t="str">
            <v>110312</v>
          </cell>
          <cell r="N2038" t="str">
            <v>UNION TOP COAT</v>
          </cell>
        </row>
        <row r="2039">
          <cell r="C2039" t="str">
            <v>100003146</v>
          </cell>
          <cell r="D2039" t="str">
            <v>82-4029 UE AF URT MP43 10 IS-16KP</v>
          </cell>
          <cell r="E2039" t="str">
            <v>ZFGD</v>
          </cell>
          <cell r="F2039" t="str">
            <v>PC</v>
          </cell>
          <cell r="G2039" t="str">
            <v>1</v>
          </cell>
          <cell r="H2039" t="str">
            <v>INDUSTRY</v>
          </cell>
          <cell r="I2039" t="str">
            <v>11</v>
          </cell>
          <cell r="J2039" t="str">
            <v>WOOD COATINGS</v>
          </cell>
          <cell r="K2039" t="str">
            <v>1103</v>
          </cell>
          <cell r="L2039" t="str">
            <v>PU</v>
          </cell>
          <cell r="M2039" t="str">
            <v>110312</v>
          </cell>
          <cell r="N2039" t="str">
            <v>UNION TOP COAT</v>
          </cell>
        </row>
        <row r="2040">
          <cell r="C2040" t="str">
            <v>100003147</v>
          </cell>
          <cell r="D2040" t="str">
            <v>82-4029 UE AF URT 791 10 IS-16KP</v>
          </cell>
          <cell r="E2040" t="str">
            <v>ZFGD</v>
          </cell>
          <cell r="F2040" t="str">
            <v>PC</v>
          </cell>
          <cell r="G2040" t="str">
            <v>1</v>
          </cell>
          <cell r="H2040" t="str">
            <v>INDUSTRY</v>
          </cell>
          <cell r="I2040" t="str">
            <v>11</v>
          </cell>
          <cell r="J2040" t="str">
            <v>WOOD COATINGS</v>
          </cell>
          <cell r="K2040" t="str">
            <v>1103</v>
          </cell>
          <cell r="L2040" t="str">
            <v>PU</v>
          </cell>
          <cell r="M2040" t="str">
            <v>110312</v>
          </cell>
          <cell r="N2040" t="str">
            <v>UNION TOP COAT</v>
          </cell>
        </row>
        <row r="2041">
          <cell r="C2041" t="str">
            <v>100003148</v>
          </cell>
          <cell r="D2041" t="str">
            <v>82-4029 UE AF URT NTWH 10 IS-16KP</v>
          </cell>
          <cell r="E2041" t="str">
            <v>ZFGD</v>
          </cell>
          <cell r="F2041" t="str">
            <v>PC</v>
          </cell>
          <cell r="G2041" t="str">
            <v>1</v>
          </cell>
          <cell r="H2041" t="str">
            <v>INDUSTRY</v>
          </cell>
          <cell r="I2041" t="str">
            <v>11</v>
          </cell>
          <cell r="J2041" t="str">
            <v>WOOD COATINGS</v>
          </cell>
          <cell r="K2041" t="str">
            <v>1103</v>
          </cell>
          <cell r="L2041" t="str">
            <v>PU</v>
          </cell>
          <cell r="M2041" t="str">
            <v>110312</v>
          </cell>
          <cell r="N2041" t="str">
            <v>UNION TOP COAT</v>
          </cell>
        </row>
        <row r="2042">
          <cell r="C2042" t="str">
            <v>100003149</v>
          </cell>
          <cell r="D2042" t="str">
            <v>WBC-64217 EX WWL 08 SC VN-20KP</v>
          </cell>
          <cell r="E2042" t="str">
            <v>ZFGD</v>
          </cell>
          <cell r="F2042" t="str">
            <v>PC</v>
          </cell>
          <cell r="G2042" t="str">
            <v>1</v>
          </cell>
          <cell r="H2042" t="str">
            <v>INDUSTRY</v>
          </cell>
          <cell r="I2042" t="str">
            <v>11</v>
          </cell>
          <cell r="J2042" t="str">
            <v>WOOD COATINGS</v>
          </cell>
          <cell r="K2042" t="str">
            <v>1119</v>
          </cell>
          <cell r="L2042" t="str">
            <v>WATERBASED</v>
          </cell>
          <cell r="M2042" t="str">
            <v>111901</v>
          </cell>
          <cell r="N2042" t="str">
            <v>WATERBASED SYSTEM EXTERIOR</v>
          </cell>
        </row>
        <row r="2043">
          <cell r="C2043" t="str">
            <v>100003150</v>
          </cell>
          <cell r="D2043" t="str">
            <v>WBC-64217 EX BLK 08 SC VN-20KP</v>
          </cell>
          <cell r="E2043" t="str">
            <v>ZFGD</v>
          </cell>
          <cell r="F2043" t="str">
            <v>PC</v>
          </cell>
          <cell r="G2043" t="str">
            <v>1</v>
          </cell>
          <cell r="H2043" t="str">
            <v>INDUSTRY</v>
          </cell>
          <cell r="I2043" t="str">
            <v>11</v>
          </cell>
          <cell r="J2043" t="str">
            <v>WOOD COATINGS</v>
          </cell>
          <cell r="K2043" t="str">
            <v>1119</v>
          </cell>
          <cell r="L2043" t="str">
            <v>WATERBASED</v>
          </cell>
          <cell r="M2043" t="str">
            <v>111901</v>
          </cell>
          <cell r="N2043" t="str">
            <v>WATERBASED SYSTEM EXTERIOR</v>
          </cell>
        </row>
        <row r="2044">
          <cell r="C2044" t="str">
            <v>100003151</v>
          </cell>
          <cell r="D2044" t="str">
            <v>WBC-64217 EX CSN 08 SC VN-20KP</v>
          </cell>
          <cell r="E2044" t="str">
            <v>ZFGD</v>
          </cell>
          <cell r="F2044" t="str">
            <v>PC</v>
          </cell>
          <cell r="G2044" t="str">
            <v>1</v>
          </cell>
          <cell r="H2044" t="str">
            <v>INDUSTRY</v>
          </cell>
          <cell r="I2044" t="str">
            <v>11</v>
          </cell>
          <cell r="J2044" t="str">
            <v>WOOD COATINGS</v>
          </cell>
          <cell r="K2044" t="str">
            <v>1119</v>
          </cell>
          <cell r="L2044" t="str">
            <v>WATERBASED</v>
          </cell>
          <cell r="M2044" t="str">
            <v>111901</v>
          </cell>
          <cell r="N2044" t="str">
            <v>WATERBASED SYSTEM EXTERIOR</v>
          </cell>
        </row>
        <row r="2045">
          <cell r="C2045" t="str">
            <v>100003152</v>
          </cell>
          <cell r="D2045" t="str">
            <v>WBC-64217 EX DGRY 08 SC VN-20KP</v>
          </cell>
          <cell r="E2045" t="str">
            <v>ZFGD</v>
          </cell>
          <cell r="F2045" t="str">
            <v>PC</v>
          </cell>
          <cell r="G2045" t="str">
            <v>1</v>
          </cell>
          <cell r="H2045" t="str">
            <v>INDUSTRY</v>
          </cell>
          <cell r="I2045" t="str">
            <v>11</v>
          </cell>
          <cell r="J2045" t="str">
            <v>WOOD COATINGS</v>
          </cell>
          <cell r="K2045" t="str">
            <v>1119</v>
          </cell>
          <cell r="L2045" t="str">
            <v>WATERBASED</v>
          </cell>
          <cell r="M2045" t="str">
            <v>111901</v>
          </cell>
          <cell r="N2045" t="str">
            <v>WATERBASED SYSTEM EXTERIOR</v>
          </cell>
        </row>
        <row r="2046">
          <cell r="C2046" t="str">
            <v>100003153</v>
          </cell>
          <cell r="D2046" t="str">
            <v>WBC-64217 EX WHITE 08 SC VN-20KP</v>
          </cell>
          <cell r="E2046" t="str">
            <v>ZFGD</v>
          </cell>
          <cell r="F2046" t="str">
            <v>PC</v>
          </cell>
          <cell r="G2046" t="str">
            <v>1</v>
          </cell>
          <cell r="H2046" t="str">
            <v>INDUSTRY</v>
          </cell>
          <cell r="I2046" t="str">
            <v>11</v>
          </cell>
          <cell r="J2046" t="str">
            <v>WOOD COATINGS</v>
          </cell>
          <cell r="K2046" t="str">
            <v>1119</v>
          </cell>
          <cell r="L2046" t="str">
            <v>WATERBASED</v>
          </cell>
          <cell r="M2046" t="str">
            <v>111901</v>
          </cell>
          <cell r="N2046" t="str">
            <v>WATERBASED SYSTEM EXTERIOR</v>
          </cell>
        </row>
        <row r="2047">
          <cell r="C2047" t="str">
            <v>100003154</v>
          </cell>
          <cell r="D2047" t="str">
            <v>WBC-64217 EX COOL GREY 08 SC VN-20KP</v>
          </cell>
          <cell r="E2047" t="str">
            <v>ZFGD</v>
          </cell>
          <cell r="F2047" t="str">
            <v>PC</v>
          </cell>
          <cell r="G2047" t="str">
            <v>1</v>
          </cell>
          <cell r="H2047" t="str">
            <v>INDUSTRY</v>
          </cell>
          <cell r="I2047" t="str">
            <v>11</v>
          </cell>
          <cell r="J2047" t="str">
            <v>WOOD COATINGS</v>
          </cell>
          <cell r="K2047" t="str">
            <v>1119</v>
          </cell>
          <cell r="L2047" t="str">
            <v>WATERBASED</v>
          </cell>
          <cell r="M2047" t="str">
            <v>111901</v>
          </cell>
          <cell r="N2047" t="str">
            <v>WATERBASED SYSTEM EXTERIOR</v>
          </cell>
        </row>
        <row r="2048">
          <cell r="C2048" t="str">
            <v>100003155</v>
          </cell>
          <cell r="D2048" t="str">
            <v>WBC-64217 EX UGY 08 SC VN-20KP</v>
          </cell>
          <cell r="E2048" t="str">
            <v>ZFGD</v>
          </cell>
          <cell r="F2048" t="str">
            <v>PC</v>
          </cell>
          <cell r="G2048" t="str">
            <v>1</v>
          </cell>
          <cell r="H2048" t="str">
            <v>INDUSTRY</v>
          </cell>
          <cell r="I2048" t="str">
            <v>11</v>
          </cell>
          <cell r="J2048" t="str">
            <v>WOOD COATINGS</v>
          </cell>
          <cell r="K2048" t="str">
            <v>1119</v>
          </cell>
          <cell r="L2048" t="str">
            <v>WATERBASED</v>
          </cell>
          <cell r="M2048" t="str">
            <v>111901</v>
          </cell>
          <cell r="N2048" t="str">
            <v>WATERBASED SYSTEM EXTERIOR</v>
          </cell>
        </row>
        <row r="2049">
          <cell r="C2049" t="str">
            <v>100003156</v>
          </cell>
          <cell r="D2049" t="str">
            <v>WBC-64217 EX DAC 08 SC VN-20KP</v>
          </cell>
          <cell r="E2049" t="str">
            <v>ZFGD</v>
          </cell>
          <cell r="F2049" t="str">
            <v>PC</v>
          </cell>
          <cell r="G2049" t="str">
            <v>1</v>
          </cell>
          <cell r="H2049" t="str">
            <v>INDUSTRY</v>
          </cell>
          <cell r="I2049" t="str">
            <v>11</v>
          </cell>
          <cell r="J2049" t="str">
            <v>WOOD COATINGS</v>
          </cell>
          <cell r="K2049" t="str">
            <v>1119</v>
          </cell>
          <cell r="L2049" t="str">
            <v>WATERBASED</v>
          </cell>
          <cell r="M2049" t="str">
            <v>111901</v>
          </cell>
          <cell r="N2049" t="str">
            <v>WATERBASED SYSTEM EXTERIOR</v>
          </cell>
        </row>
        <row r="2050">
          <cell r="C2050" t="str">
            <v>100003157</v>
          </cell>
          <cell r="D2050" t="str">
            <v>WBC-64217 EX LTAP 08 SC VN-20KP</v>
          </cell>
          <cell r="E2050" t="str">
            <v>ZFGD</v>
          </cell>
          <cell r="F2050" t="str">
            <v>PC</v>
          </cell>
          <cell r="G2050" t="str">
            <v>1</v>
          </cell>
          <cell r="H2050" t="str">
            <v>INDUSTRY</v>
          </cell>
          <cell r="I2050" t="str">
            <v>11</v>
          </cell>
          <cell r="J2050" t="str">
            <v>WOOD COATINGS</v>
          </cell>
          <cell r="K2050" t="str">
            <v>1119</v>
          </cell>
          <cell r="L2050" t="str">
            <v>WATERBASED</v>
          </cell>
          <cell r="M2050" t="str">
            <v>111901</v>
          </cell>
          <cell r="N2050" t="str">
            <v>WATERBASED SYSTEM EXTERIOR</v>
          </cell>
        </row>
        <row r="2051">
          <cell r="C2051" t="str">
            <v>100003158</v>
          </cell>
          <cell r="D2051" t="str">
            <v>NCS-11100 HOT STAMPING MY-20LP</v>
          </cell>
          <cell r="E2051" t="str">
            <v>ZFGD</v>
          </cell>
          <cell r="F2051" t="str">
            <v>PC</v>
          </cell>
          <cell r="G2051" t="str">
            <v>1</v>
          </cell>
          <cell r="H2051" t="str">
            <v>INDUSTRY</v>
          </cell>
          <cell r="I2051" t="str">
            <v>11</v>
          </cell>
          <cell r="J2051" t="str">
            <v>WOOD COATINGS</v>
          </cell>
          <cell r="K2051" t="str">
            <v>1104</v>
          </cell>
          <cell r="L2051" t="str">
            <v>NC</v>
          </cell>
          <cell r="M2051" t="str">
            <v>110405</v>
          </cell>
          <cell r="N2051" t="str">
            <v>NC SYSTEM</v>
          </cell>
        </row>
        <row r="2052">
          <cell r="C2052" t="str">
            <v>100003159</v>
          </cell>
          <cell r="D2052" t="str">
            <v>SST-2111 C10 SIG BLACK MLY-20LP</v>
          </cell>
          <cell r="E2052" t="str">
            <v>ZFGD</v>
          </cell>
          <cell r="F2052" t="str">
            <v>PC</v>
          </cell>
          <cell r="G2052" t="str">
            <v>1</v>
          </cell>
          <cell r="H2052" t="str">
            <v>INDUSTRY</v>
          </cell>
          <cell r="I2052" t="str">
            <v>11</v>
          </cell>
          <cell r="J2052" t="str">
            <v>WOOD COATINGS</v>
          </cell>
          <cell r="K2052" t="str">
            <v>1109</v>
          </cell>
          <cell r="L2052" t="str">
            <v>STAIN &amp; GLAZE INTERIOR</v>
          </cell>
          <cell r="M2052" t="str">
            <v>110903</v>
          </cell>
          <cell r="N2052" t="str">
            <v>STAIN INTERIOR</v>
          </cell>
        </row>
        <row r="2053">
          <cell r="C2053" t="str">
            <v>100003160</v>
          </cell>
          <cell r="D2053" t="str">
            <v>SST-2111 C10 SIG RED MLY-20LP</v>
          </cell>
          <cell r="E2053" t="str">
            <v>ZFGD</v>
          </cell>
          <cell r="F2053" t="str">
            <v>PC</v>
          </cell>
          <cell r="G2053" t="str">
            <v>1</v>
          </cell>
          <cell r="H2053" t="str">
            <v>INDUSTRY</v>
          </cell>
          <cell r="I2053" t="str">
            <v>11</v>
          </cell>
          <cell r="J2053" t="str">
            <v>WOOD COATINGS</v>
          </cell>
          <cell r="K2053" t="str">
            <v>1109</v>
          </cell>
          <cell r="L2053" t="str">
            <v>STAIN &amp; GLAZE INTERIOR</v>
          </cell>
          <cell r="M2053" t="str">
            <v>110903</v>
          </cell>
          <cell r="N2053" t="str">
            <v>STAIN INTERIOR</v>
          </cell>
        </row>
        <row r="2054">
          <cell r="C2054" t="str">
            <v>100003161</v>
          </cell>
          <cell r="D2054" t="str">
            <v>SST-2111 C10 SIG YELLOW MLY-20LP</v>
          </cell>
          <cell r="E2054" t="str">
            <v>ZFGD</v>
          </cell>
          <cell r="F2054" t="str">
            <v>PC</v>
          </cell>
          <cell r="G2054" t="str">
            <v>1</v>
          </cell>
          <cell r="H2054" t="str">
            <v>INDUSTRY</v>
          </cell>
          <cell r="I2054" t="str">
            <v>11</v>
          </cell>
          <cell r="J2054" t="str">
            <v>WOOD COATINGS</v>
          </cell>
          <cell r="K2054" t="str">
            <v>1109</v>
          </cell>
          <cell r="L2054" t="str">
            <v>STAIN &amp; GLAZE INTERIOR</v>
          </cell>
          <cell r="M2054" t="str">
            <v>110903</v>
          </cell>
          <cell r="N2054" t="str">
            <v>STAIN INTERIOR</v>
          </cell>
        </row>
        <row r="2055">
          <cell r="C2055" t="str">
            <v>100003162</v>
          </cell>
          <cell r="D2055" t="str">
            <v>NCL-40800 LY CLEAR 50 VN-20LP</v>
          </cell>
          <cell r="E2055" t="str">
            <v>ZFGD</v>
          </cell>
          <cell r="F2055" t="str">
            <v>PC</v>
          </cell>
          <cell r="G2055" t="str">
            <v>1</v>
          </cell>
          <cell r="H2055" t="str">
            <v>INDUSTRY</v>
          </cell>
          <cell r="I2055" t="str">
            <v>11</v>
          </cell>
          <cell r="J2055" t="str">
            <v>WOOD COATINGS</v>
          </cell>
          <cell r="K2055" t="str">
            <v>1104</v>
          </cell>
          <cell r="L2055" t="str">
            <v>NC</v>
          </cell>
          <cell r="M2055" t="str">
            <v>110404</v>
          </cell>
          <cell r="N2055" t="str">
            <v>ASOF : NC TOP COAT</v>
          </cell>
        </row>
        <row r="2056">
          <cell r="C2056" t="str">
            <v>100003163</v>
          </cell>
          <cell r="D2056" t="str">
            <v>DC-12231 BROWN 90 DK VN-20KP</v>
          </cell>
          <cell r="E2056" t="str">
            <v>ZFGD</v>
          </cell>
          <cell r="F2056" t="str">
            <v>PC</v>
          </cell>
          <cell r="G2056" t="str">
            <v>1</v>
          </cell>
          <cell r="H2056" t="str">
            <v>INDUSTRY</v>
          </cell>
          <cell r="I2056" t="str">
            <v>11</v>
          </cell>
          <cell r="J2056" t="str">
            <v>WOOD COATINGS</v>
          </cell>
          <cell r="K2056" t="str">
            <v>1104</v>
          </cell>
          <cell r="L2056" t="str">
            <v>NC</v>
          </cell>
          <cell r="M2056" t="str">
            <v>110405</v>
          </cell>
          <cell r="N2056" t="str">
            <v>NC SYSTEM</v>
          </cell>
        </row>
        <row r="2057">
          <cell r="C2057" t="str">
            <v>100003164</v>
          </cell>
          <cell r="D2057" t="str">
            <v>DC-12231 RED 90 DK VN-20KP</v>
          </cell>
          <cell r="E2057" t="str">
            <v>ZFGD</v>
          </cell>
          <cell r="F2057" t="str">
            <v>PC</v>
          </cell>
          <cell r="G2057" t="str">
            <v>1</v>
          </cell>
          <cell r="H2057" t="str">
            <v>INDUSTRY</v>
          </cell>
          <cell r="I2057" t="str">
            <v>11</v>
          </cell>
          <cell r="J2057" t="str">
            <v>WOOD COATINGS</v>
          </cell>
          <cell r="K2057" t="str">
            <v>1104</v>
          </cell>
          <cell r="L2057" t="str">
            <v>NC</v>
          </cell>
          <cell r="M2057" t="str">
            <v>110405</v>
          </cell>
          <cell r="N2057" t="str">
            <v>NC SYSTEM</v>
          </cell>
        </row>
        <row r="2058">
          <cell r="C2058" t="str">
            <v>100003165</v>
          </cell>
          <cell r="D2058" t="str">
            <v>AP-98200 1201 VN-1K</v>
          </cell>
          <cell r="E2058" t="str">
            <v>ZFGD</v>
          </cell>
          <cell r="F2058" t="str">
            <v>PC</v>
          </cell>
          <cell r="G2058" t="str">
            <v>1</v>
          </cell>
          <cell r="H2058" t="str">
            <v>INDUSTRY</v>
          </cell>
          <cell r="I2058" t="str">
            <v>11</v>
          </cell>
          <cell r="J2058" t="str">
            <v>WOOD COATINGS</v>
          </cell>
          <cell r="K2058" t="str">
            <v>1118</v>
          </cell>
          <cell r="L2058" t="str">
            <v>COMPLEMENTARY</v>
          </cell>
          <cell r="M2058" t="str">
            <v>111802</v>
          </cell>
          <cell r="N2058" t="str">
            <v>ASOF : POWDER &amp; MATTING SOLUTION</v>
          </cell>
        </row>
        <row r="2059">
          <cell r="C2059" t="str">
            <v>100003166</v>
          </cell>
          <cell r="D2059" t="str">
            <v>DC-12223 LC WHITE 01 30 VN-20KP</v>
          </cell>
          <cell r="E2059" t="str">
            <v>ZFGD</v>
          </cell>
          <cell r="F2059" t="str">
            <v>PC</v>
          </cell>
          <cell r="G2059" t="str">
            <v>1</v>
          </cell>
          <cell r="H2059" t="str">
            <v>INDUSTRY</v>
          </cell>
          <cell r="I2059" t="str">
            <v>11</v>
          </cell>
          <cell r="J2059" t="str">
            <v>WOOD COATINGS</v>
          </cell>
          <cell r="K2059" t="str">
            <v>1104</v>
          </cell>
          <cell r="L2059" t="str">
            <v>NC</v>
          </cell>
          <cell r="M2059" t="str">
            <v>110405</v>
          </cell>
          <cell r="N2059" t="str">
            <v>NC SYSTEM</v>
          </cell>
        </row>
        <row r="2060">
          <cell r="C2060" t="str">
            <v>100003167</v>
          </cell>
          <cell r="D2060" t="str">
            <v>PCA-31100 BLACK OB PASTE AF VN-4K</v>
          </cell>
          <cell r="E2060" t="str">
            <v>ZFGD</v>
          </cell>
          <cell r="F2060" t="str">
            <v>PC</v>
          </cell>
          <cell r="G2060" t="str">
            <v>1</v>
          </cell>
          <cell r="H2060" t="str">
            <v>INDUSTRY</v>
          </cell>
          <cell r="I2060" t="str">
            <v>11</v>
          </cell>
          <cell r="J2060" t="str">
            <v>WOOD COATINGS</v>
          </cell>
          <cell r="K2060" t="str">
            <v>1118</v>
          </cell>
          <cell r="L2060" t="str">
            <v>COMPLEMENTARY</v>
          </cell>
          <cell r="M2060" t="str">
            <v>111807</v>
          </cell>
          <cell r="N2060" t="str">
            <v>PASTA</v>
          </cell>
        </row>
        <row r="2061">
          <cell r="C2061" t="str">
            <v>100003168</v>
          </cell>
          <cell r="D2061" t="str">
            <v>PCA-31100 BROWN 645 PASTE AF VN-4K</v>
          </cell>
          <cell r="E2061" t="str">
            <v>ZFGD</v>
          </cell>
          <cell r="F2061" t="str">
            <v>PC</v>
          </cell>
          <cell r="G2061" t="str">
            <v>1</v>
          </cell>
          <cell r="H2061" t="str">
            <v>INDUSTRY</v>
          </cell>
          <cell r="I2061" t="str">
            <v>11</v>
          </cell>
          <cell r="J2061" t="str">
            <v>WOOD COATINGS</v>
          </cell>
          <cell r="K2061" t="str">
            <v>1118</v>
          </cell>
          <cell r="L2061" t="str">
            <v>COMPLEMENTARY</v>
          </cell>
          <cell r="M2061" t="str">
            <v>111807</v>
          </cell>
          <cell r="N2061" t="str">
            <v>PASTA</v>
          </cell>
        </row>
        <row r="2062">
          <cell r="C2062" t="str">
            <v>100003169</v>
          </cell>
          <cell r="D2062" t="str">
            <v>PCA-31100 RED OB 35 PASTE AF VN-4K</v>
          </cell>
          <cell r="E2062" t="str">
            <v>ZFGD</v>
          </cell>
          <cell r="F2062" t="str">
            <v>PC</v>
          </cell>
          <cell r="G2062" t="str">
            <v>1</v>
          </cell>
          <cell r="H2062" t="str">
            <v>INDUSTRY</v>
          </cell>
          <cell r="I2062" t="str">
            <v>11</v>
          </cell>
          <cell r="J2062" t="str">
            <v>WOOD COATINGS</v>
          </cell>
          <cell r="K2062" t="str">
            <v>1118</v>
          </cell>
          <cell r="L2062" t="str">
            <v>COMPLEMENTARY</v>
          </cell>
          <cell r="M2062" t="str">
            <v>111807</v>
          </cell>
          <cell r="N2062" t="str">
            <v>PASTA</v>
          </cell>
        </row>
        <row r="2063">
          <cell r="C2063" t="str">
            <v>100003170</v>
          </cell>
          <cell r="D2063" t="str">
            <v>PCA-31100 OXIDE RED PASTE AF VN-4K</v>
          </cell>
          <cell r="E2063" t="str">
            <v>ZFGD</v>
          </cell>
          <cell r="F2063" t="str">
            <v>PC</v>
          </cell>
          <cell r="G2063" t="str">
            <v>1</v>
          </cell>
          <cell r="H2063" t="str">
            <v>INDUSTRY</v>
          </cell>
          <cell r="I2063" t="str">
            <v>11</v>
          </cell>
          <cell r="J2063" t="str">
            <v>WOOD COATINGS</v>
          </cell>
          <cell r="K2063" t="str">
            <v>1118</v>
          </cell>
          <cell r="L2063" t="str">
            <v>COMPLEMENTARY</v>
          </cell>
          <cell r="M2063" t="str">
            <v>111807</v>
          </cell>
          <cell r="N2063" t="str">
            <v>PASTA</v>
          </cell>
        </row>
        <row r="2064">
          <cell r="C2064" t="str">
            <v>100003171</v>
          </cell>
          <cell r="D2064" t="str">
            <v>PCA-31100 WHITE PASTE AF VN-4K</v>
          </cell>
          <cell r="E2064" t="str">
            <v>ZFGD</v>
          </cell>
          <cell r="F2064" t="str">
            <v>PC</v>
          </cell>
          <cell r="G2064" t="str">
            <v>1</v>
          </cell>
          <cell r="H2064" t="str">
            <v>INDUSTRY</v>
          </cell>
          <cell r="I2064" t="str">
            <v>11</v>
          </cell>
          <cell r="J2064" t="str">
            <v>WOOD COATINGS</v>
          </cell>
          <cell r="K2064" t="str">
            <v>1118</v>
          </cell>
          <cell r="L2064" t="str">
            <v>COMPLEMENTARY</v>
          </cell>
          <cell r="M2064" t="str">
            <v>111807</v>
          </cell>
          <cell r="N2064" t="str">
            <v>PASTA</v>
          </cell>
        </row>
        <row r="2065">
          <cell r="C2065" t="str">
            <v>100003172</v>
          </cell>
          <cell r="D2065" t="str">
            <v>PCA-31100 YELLOW HR PASTE AF VN-4K</v>
          </cell>
          <cell r="E2065" t="str">
            <v>ZFGD</v>
          </cell>
          <cell r="F2065" t="str">
            <v>PC</v>
          </cell>
          <cell r="G2065" t="str">
            <v>1</v>
          </cell>
          <cell r="H2065" t="str">
            <v>INDUSTRY</v>
          </cell>
          <cell r="I2065" t="str">
            <v>11</v>
          </cell>
          <cell r="J2065" t="str">
            <v>WOOD COATINGS</v>
          </cell>
          <cell r="K2065" t="str">
            <v>1118</v>
          </cell>
          <cell r="L2065" t="str">
            <v>COMPLEMENTARY</v>
          </cell>
          <cell r="M2065" t="str">
            <v>111807</v>
          </cell>
          <cell r="N2065" t="str">
            <v>PASTA</v>
          </cell>
        </row>
        <row r="2066">
          <cell r="C2066" t="str">
            <v>100003173</v>
          </cell>
          <cell r="D2066" t="str">
            <v>PCA-31100 YELLOW OG 16 PASTE AF VN-4K</v>
          </cell>
          <cell r="E2066" t="str">
            <v>ZFGD</v>
          </cell>
          <cell r="F2066" t="str">
            <v>PC</v>
          </cell>
          <cell r="G2066" t="str">
            <v>1</v>
          </cell>
          <cell r="H2066" t="str">
            <v>INDUSTRY</v>
          </cell>
          <cell r="I2066" t="str">
            <v>11</v>
          </cell>
          <cell r="J2066" t="str">
            <v>WOOD COATINGS</v>
          </cell>
          <cell r="K2066" t="str">
            <v>1118</v>
          </cell>
          <cell r="L2066" t="str">
            <v>COMPLEMENTARY</v>
          </cell>
          <cell r="M2066" t="str">
            <v>111807</v>
          </cell>
          <cell r="N2066" t="str">
            <v>PASTA</v>
          </cell>
        </row>
        <row r="2067">
          <cell r="C2067" t="str">
            <v>100003174</v>
          </cell>
          <cell r="D2067" t="str">
            <v>PCA-31100 YELLOW OKER PASTE AF VN-4K</v>
          </cell>
          <cell r="E2067" t="str">
            <v>ZFGD</v>
          </cell>
          <cell r="F2067" t="str">
            <v>PC</v>
          </cell>
          <cell r="G2067" t="str">
            <v>1</v>
          </cell>
          <cell r="H2067" t="str">
            <v>INDUSTRY</v>
          </cell>
          <cell r="I2067" t="str">
            <v>11</v>
          </cell>
          <cell r="J2067" t="str">
            <v>WOOD COATINGS</v>
          </cell>
          <cell r="K2067" t="str">
            <v>1118</v>
          </cell>
          <cell r="L2067" t="str">
            <v>COMPLEMENTARY</v>
          </cell>
          <cell r="M2067" t="str">
            <v>111807</v>
          </cell>
          <cell r="N2067" t="str">
            <v>PASTA</v>
          </cell>
        </row>
        <row r="2068">
          <cell r="C2068" t="str">
            <v>100003175</v>
          </cell>
          <cell r="D2068" t="str">
            <v>UVSS-40102 VN-20KP</v>
          </cell>
          <cell r="E2068" t="str">
            <v>ZFGD</v>
          </cell>
          <cell r="F2068" t="str">
            <v>PC</v>
          </cell>
          <cell r="G2068" t="str">
            <v>1</v>
          </cell>
          <cell r="H2068" t="str">
            <v>INDUSTRY</v>
          </cell>
          <cell r="I2068" t="str">
            <v>11</v>
          </cell>
          <cell r="J2068" t="str">
            <v>WOOD COATINGS</v>
          </cell>
          <cell r="K2068" t="str">
            <v>1106</v>
          </cell>
          <cell r="L2068" t="str">
            <v>UV</v>
          </cell>
          <cell r="M2068" t="str">
            <v>110605</v>
          </cell>
          <cell r="N2068" t="str">
            <v>UV SANDING SEALER</v>
          </cell>
        </row>
        <row r="2069">
          <cell r="C2069" t="str">
            <v>100003176</v>
          </cell>
          <cell r="D2069" t="str">
            <v>PUC-54206 AC EX 68 30 PF VN-20KP</v>
          </cell>
          <cell r="E2069" t="str">
            <v>ZFGD</v>
          </cell>
          <cell r="F2069" t="str">
            <v>PC</v>
          </cell>
          <cell r="G2069" t="str">
            <v>1</v>
          </cell>
          <cell r="H2069" t="str">
            <v>INDUSTRY</v>
          </cell>
          <cell r="I2069" t="str">
            <v>11</v>
          </cell>
          <cell r="J2069" t="str">
            <v>WOOD COATINGS</v>
          </cell>
          <cell r="K2069" t="str">
            <v>1103</v>
          </cell>
          <cell r="L2069" t="str">
            <v>PU</v>
          </cell>
          <cell r="M2069" t="str">
            <v>110319</v>
          </cell>
          <cell r="N2069" t="str">
            <v>PU COLOR</v>
          </cell>
        </row>
        <row r="2070">
          <cell r="C2070" t="str">
            <v>100003177</v>
          </cell>
          <cell r="D2070" t="str">
            <v>PCA-31100 COLLABO L HD VN-20KP</v>
          </cell>
          <cell r="E2070" t="str">
            <v>ZFGD</v>
          </cell>
          <cell r="F2070" t="str">
            <v>PC</v>
          </cell>
          <cell r="G2070" t="str">
            <v>1</v>
          </cell>
          <cell r="H2070" t="str">
            <v>INDUSTRY</v>
          </cell>
          <cell r="I2070" t="str">
            <v>11</v>
          </cell>
          <cell r="J2070" t="str">
            <v>WOOD COATINGS</v>
          </cell>
          <cell r="K2070" t="str">
            <v>1118</v>
          </cell>
          <cell r="L2070" t="str">
            <v>COMPLEMENTARY</v>
          </cell>
          <cell r="M2070" t="str">
            <v>111807</v>
          </cell>
          <cell r="N2070" t="str">
            <v>PASTA</v>
          </cell>
        </row>
        <row r="2071">
          <cell r="C2071" t="str">
            <v>100003178</v>
          </cell>
          <cell r="D2071" t="str">
            <v>PCA-31100 COLLABO D HD VN-20KP</v>
          </cell>
          <cell r="E2071" t="str">
            <v>ZFGD</v>
          </cell>
          <cell r="F2071" t="str">
            <v>PC</v>
          </cell>
          <cell r="G2071" t="str">
            <v>1</v>
          </cell>
          <cell r="H2071" t="str">
            <v>INDUSTRY</v>
          </cell>
          <cell r="I2071" t="str">
            <v>11</v>
          </cell>
          <cell r="J2071" t="str">
            <v>WOOD COATINGS</v>
          </cell>
          <cell r="K2071" t="str">
            <v>1118</v>
          </cell>
          <cell r="L2071" t="str">
            <v>COMPLEMENTARY</v>
          </cell>
          <cell r="M2071" t="str">
            <v>111807</v>
          </cell>
          <cell r="N2071" t="str">
            <v>PASTA</v>
          </cell>
        </row>
        <row r="2072">
          <cell r="C2072" t="str">
            <v>100003179</v>
          </cell>
          <cell r="D2072" t="str">
            <v>64-56 MICRO FILLER BROWN NB VN-20KP</v>
          </cell>
          <cell r="E2072" t="str">
            <v>ZFGD</v>
          </cell>
          <cell r="F2072" t="str">
            <v>PC</v>
          </cell>
          <cell r="G2072" t="str">
            <v>1</v>
          </cell>
          <cell r="H2072" t="str">
            <v>INDUSTRY</v>
          </cell>
          <cell r="I2072" t="str">
            <v>11</v>
          </cell>
          <cell r="J2072" t="str">
            <v>WOOD COATINGS</v>
          </cell>
          <cell r="K2072" t="str">
            <v>1103</v>
          </cell>
          <cell r="L2072" t="str">
            <v>PU</v>
          </cell>
          <cell r="M2072" t="str">
            <v>110305</v>
          </cell>
          <cell r="N2072" t="str">
            <v>UNION FILLER</v>
          </cell>
        </row>
        <row r="2073">
          <cell r="C2073" t="str">
            <v>100003180</v>
          </cell>
          <cell r="D2073" t="str">
            <v>SST-11100 BROWN NB VN-20LJ</v>
          </cell>
          <cell r="E2073" t="str">
            <v>ZFGD</v>
          </cell>
          <cell r="F2073" t="str">
            <v>PC</v>
          </cell>
          <cell r="G2073" t="str">
            <v>1</v>
          </cell>
          <cell r="H2073" t="str">
            <v>INDUSTRY</v>
          </cell>
          <cell r="I2073" t="str">
            <v>11</v>
          </cell>
          <cell r="J2073" t="str">
            <v>WOOD COATINGS</v>
          </cell>
          <cell r="K2073" t="str">
            <v>1109</v>
          </cell>
          <cell r="L2073" t="str">
            <v>STAIN &amp; GLAZE INTERIOR</v>
          </cell>
          <cell r="M2073" t="str">
            <v>110903</v>
          </cell>
          <cell r="N2073" t="str">
            <v>STAIN INTERIOR</v>
          </cell>
        </row>
        <row r="2074">
          <cell r="C2074" t="str">
            <v>100003181</v>
          </cell>
          <cell r="D2074" t="str">
            <v>82-2027 UE AF URT SANDING A-200KB</v>
          </cell>
          <cell r="E2074" t="str">
            <v>ZFGD</v>
          </cell>
          <cell r="F2074" t="str">
            <v>PC</v>
          </cell>
          <cell r="G2074" t="str">
            <v>1</v>
          </cell>
          <cell r="H2074" t="str">
            <v>INDUSTRY</v>
          </cell>
          <cell r="I2074" t="str">
            <v>11</v>
          </cell>
          <cell r="J2074" t="str">
            <v>WOOD COATINGS</v>
          </cell>
          <cell r="K2074" t="str">
            <v>1103</v>
          </cell>
          <cell r="L2074" t="str">
            <v>PU</v>
          </cell>
          <cell r="M2074" t="str">
            <v>110308</v>
          </cell>
          <cell r="N2074" t="str">
            <v>UNION SANDING SEALER</v>
          </cell>
        </row>
        <row r="2075">
          <cell r="C2075" t="str">
            <v>100003182</v>
          </cell>
          <cell r="D2075" t="str">
            <v>PCA-31100 BLACK PASTE AF VN-4K</v>
          </cell>
          <cell r="E2075" t="str">
            <v>ZFGD</v>
          </cell>
          <cell r="F2075" t="str">
            <v>PC</v>
          </cell>
          <cell r="G2075" t="str">
            <v>1</v>
          </cell>
          <cell r="H2075" t="str">
            <v>INDUSTRY</v>
          </cell>
          <cell r="I2075" t="str">
            <v>11</v>
          </cell>
          <cell r="J2075" t="str">
            <v>WOOD COATINGS</v>
          </cell>
          <cell r="K2075" t="str">
            <v>1118</v>
          </cell>
          <cell r="L2075" t="str">
            <v>COMPLEMENTARY</v>
          </cell>
          <cell r="M2075" t="str">
            <v>111807</v>
          </cell>
          <cell r="N2075" t="str">
            <v>PASTA</v>
          </cell>
        </row>
        <row r="2076">
          <cell r="C2076" t="str">
            <v>100003183</v>
          </cell>
          <cell r="D2076" t="str">
            <v>SST-11100 WALNUT 01 NB VN-20LJ</v>
          </cell>
          <cell r="E2076" t="str">
            <v>ZFGD</v>
          </cell>
          <cell r="F2076" t="str">
            <v>PC</v>
          </cell>
          <cell r="G2076" t="str">
            <v>1</v>
          </cell>
          <cell r="H2076" t="str">
            <v>INDUSTRY</v>
          </cell>
          <cell r="I2076" t="str">
            <v>11</v>
          </cell>
          <cell r="J2076" t="str">
            <v>WOOD COATINGS</v>
          </cell>
          <cell r="K2076" t="str">
            <v>1109</v>
          </cell>
          <cell r="L2076" t="str">
            <v>STAIN &amp; GLAZE INTERIOR</v>
          </cell>
          <cell r="M2076" t="str">
            <v>110903</v>
          </cell>
          <cell r="N2076" t="str">
            <v>STAIN INTERIOR</v>
          </cell>
        </row>
        <row r="2077">
          <cell r="C2077" t="str">
            <v>100003184</v>
          </cell>
          <cell r="D2077" t="str">
            <v>SST-11100 WALNUT 02 NB VN-20LJ</v>
          </cell>
          <cell r="E2077" t="str">
            <v>ZFGD</v>
          </cell>
          <cell r="F2077" t="str">
            <v>PC</v>
          </cell>
          <cell r="G2077" t="str">
            <v>1</v>
          </cell>
          <cell r="H2077" t="str">
            <v>INDUSTRY</v>
          </cell>
          <cell r="I2077" t="str">
            <v>11</v>
          </cell>
          <cell r="J2077" t="str">
            <v>WOOD COATINGS</v>
          </cell>
          <cell r="K2077" t="str">
            <v>1109</v>
          </cell>
          <cell r="L2077" t="str">
            <v>STAIN &amp; GLAZE INTERIOR</v>
          </cell>
          <cell r="M2077" t="str">
            <v>110903</v>
          </cell>
          <cell r="N2077" t="str">
            <v>STAIN INTERIOR</v>
          </cell>
        </row>
        <row r="2078">
          <cell r="C2078" t="str">
            <v>100003185</v>
          </cell>
          <cell r="D2078" t="str">
            <v>64-56 MICRO FILLER WNUT 02 NB VN-20KP</v>
          </cell>
          <cell r="E2078" t="str">
            <v>ZFGD</v>
          </cell>
          <cell r="F2078" t="str">
            <v>PC</v>
          </cell>
          <cell r="G2078" t="str">
            <v>1</v>
          </cell>
          <cell r="H2078" t="str">
            <v>INDUSTRY</v>
          </cell>
          <cell r="I2078" t="str">
            <v>11</v>
          </cell>
          <cell r="J2078" t="str">
            <v>WOOD COATINGS</v>
          </cell>
          <cell r="K2078" t="str">
            <v>1103</v>
          </cell>
          <cell r="L2078" t="str">
            <v>PU</v>
          </cell>
          <cell r="M2078" t="str">
            <v>110305</v>
          </cell>
          <cell r="N2078" t="str">
            <v>UNION FILLER</v>
          </cell>
        </row>
        <row r="2079">
          <cell r="C2079" t="str">
            <v>100003186</v>
          </cell>
          <cell r="D2079" t="str">
            <v>AP-9982-500-AK-1K</v>
          </cell>
          <cell r="E2079" t="str">
            <v>ZFGD</v>
          </cell>
          <cell r="F2079" t="str">
            <v>PC</v>
          </cell>
          <cell r="G2079" t="str">
            <v>1</v>
          </cell>
          <cell r="H2079" t="str">
            <v>INDUSTRY</v>
          </cell>
          <cell r="I2079" t="str">
            <v>11</v>
          </cell>
          <cell r="J2079" t="str">
            <v>WOOD COATINGS</v>
          </cell>
          <cell r="K2079" t="str">
            <v>1118</v>
          </cell>
          <cell r="L2079" t="str">
            <v>COMPLEMENTARY</v>
          </cell>
          <cell r="M2079" t="str">
            <v>111802</v>
          </cell>
          <cell r="N2079" t="str">
            <v>ASOF : POWDER &amp; MATTING SOLUTION</v>
          </cell>
        </row>
        <row r="2080">
          <cell r="C2080" t="str">
            <v>100003187</v>
          </cell>
          <cell r="D2080" t="str">
            <v>SST-11100 F1 MG VN-20LJ</v>
          </cell>
          <cell r="E2080" t="str">
            <v>ZFGD</v>
          </cell>
          <cell r="F2080" t="str">
            <v>PC</v>
          </cell>
          <cell r="G2080" t="str">
            <v>1</v>
          </cell>
          <cell r="H2080" t="str">
            <v>INDUSTRY</v>
          </cell>
          <cell r="I2080" t="str">
            <v>11</v>
          </cell>
          <cell r="J2080" t="str">
            <v>WOOD COATINGS</v>
          </cell>
          <cell r="K2080" t="str">
            <v>1109</v>
          </cell>
          <cell r="L2080" t="str">
            <v>STAIN &amp; GLAZE INTERIOR</v>
          </cell>
          <cell r="M2080" t="str">
            <v>110903</v>
          </cell>
          <cell r="N2080" t="str">
            <v>STAIN INTERIOR</v>
          </cell>
        </row>
        <row r="2081">
          <cell r="C2081" t="str">
            <v>100003188</v>
          </cell>
          <cell r="D2081" t="str">
            <v>SST-11100 F3A MG VN-20LJ</v>
          </cell>
          <cell r="E2081" t="str">
            <v>ZFGD</v>
          </cell>
          <cell r="F2081" t="str">
            <v>PC</v>
          </cell>
          <cell r="G2081" t="str">
            <v>1</v>
          </cell>
          <cell r="H2081" t="str">
            <v>INDUSTRY</v>
          </cell>
          <cell r="I2081" t="str">
            <v>11</v>
          </cell>
          <cell r="J2081" t="str">
            <v>WOOD COATINGS</v>
          </cell>
          <cell r="K2081" t="str">
            <v>1109</v>
          </cell>
          <cell r="L2081" t="str">
            <v>STAIN &amp; GLAZE INTERIOR</v>
          </cell>
          <cell r="M2081" t="str">
            <v>110903</v>
          </cell>
          <cell r="N2081" t="str">
            <v>STAIN INTERIOR</v>
          </cell>
        </row>
        <row r="2082">
          <cell r="C2082" t="str">
            <v>100003189</v>
          </cell>
          <cell r="D2082" t="str">
            <v>SST-11100 F3B MG VN-20LJ</v>
          </cell>
          <cell r="E2082" t="str">
            <v>ZFGD</v>
          </cell>
          <cell r="F2082" t="str">
            <v>PC</v>
          </cell>
          <cell r="G2082" t="str">
            <v>1</v>
          </cell>
          <cell r="H2082" t="str">
            <v>INDUSTRY</v>
          </cell>
          <cell r="I2082" t="str">
            <v>11</v>
          </cell>
          <cell r="J2082" t="str">
            <v>WOOD COATINGS</v>
          </cell>
          <cell r="K2082" t="str">
            <v>1109</v>
          </cell>
          <cell r="L2082" t="str">
            <v>STAIN &amp; GLAZE INTERIOR</v>
          </cell>
          <cell r="M2082" t="str">
            <v>110903</v>
          </cell>
          <cell r="N2082" t="str">
            <v>STAIN INTERIOR</v>
          </cell>
        </row>
        <row r="2083">
          <cell r="C2083" t="str">
            <v>100003190</v>
          </cell>
          <cell r="D2083" t="str">
            <v>SST-11100 F2 MG VN-20LJ</v>
          </cell>
          <cell r="E2083" t="str">
            <v>ZFGD</v>
          </cell>
          <cell r="F2083" t="str">
            <v>PC</v>
          </cell>
          <cell r="G2083" t="str">
            <v>1</v>
          </cell>
          <cell r="H2083" t="str">
            <v>INDUSTRY</v>
          </cell>
          <cell r="I2083" t="str">
            <v>11</v>
          </cell>
          <cell r="J2083" t="str">
            <v>WOOD COATINGS</v>
          </cell>
          <cell r="K2083" t="str">
            <v>1109</v>
          </cell>
          <cell r="L2083" t="str">
            <v>STAIN &amp; GLAZE INTERIOR</v>
          </cell>
          <cell r="M2083" t="str">
            <v>110903</v>
          </cell>
          <cell r="N2083" t="str">
            <v>STAIN INTERIOR</v>
          </cell>
        </row>
        <row r="2084">
          <cell r="C2084" t="str">
            <v>100003191</v>
          </cell>
          <cell r="D2084" t="str">
            <v>GZPU-21500 F2 MG VN-18KP</v>
          </cell>
          <cell r="E2084" t="str">
            <v>ZFGD</v>
          </cell>
          <cell r="F2084" t="str">
            <v>PC</v>
          </cell>
          <cell r="G2084" t="str">
            <v>1</v>
          </cell>
          <cell r="H2084" t="str">
            <v>INDUSTRY</v>
          </cell>
          <cell r="I2084" t="str">
            <v>11</v>
          </cell>
          <cell r="J2084" t="str">
            <v>WOOD COATINGS</v>
          </cell>
          <cell r="K2084" t="str">
            <v>1103</v>
          </cell>
          <cell r="L2084" t="str">
            <v>PU</v>
          </cell>
          <cell r="M2084" t="str">
            <v>110302</v>
          </cell>
          <cell r="N2084" t="str">
            <v>GLAZE PU</v>
          </cell>
        </row>
        <row r="2085">
          <cell r="C2085" t="str">
            <v>100003192</v>
          </cell>
          <cell r="D2085" t="str">
            <v>PCA-31100 15 A DS VN-20LJ</v>
          </cell>
          <cell r="E2085" t="str">
            <v>ZFGD</v>
          </cell>
          <cell r="F2085" t="str">
            <v>PC</v>
          </cell>
          <cell r="G2085" t="str">
            <v>1</v>
          </cell>
          <cell r="H2085" t="str">
            <v>INDUSTRY</v>
          </cell>
          <cell r="I2085" t="str">
            <v>11</v>
          </cell>
          <cell r="J2085" t="str">
            <v>WOOD COATINGS</v>
          </cell>
          <cell r="K2085" t="str">
            <v>1118</v>
          </cell>
          <cell r="L2085" t="str">
            <v>COMPLEMENTARY</v>
          </cell>
          <cell r="M2085" t="str">
            <v>111807</v>
          </cell>
          <cell r="N2085" t="str">
            <v>PASTA</v>
          </cell>
        </row>
        <row r="2086">
          <cell r="C2086" t="str">
            <v>100003193</v>
          </cell>
          <cell r="D2086" t="str">
            <v>PCA-31100 15 B DS VN-20LJ</v>
          </cell>
          <cell r="E2086" t="str">
            <v>ZFGD</v>
          </cell>
          <cell r="F2086" t="str">
            <v>PC</v>
          </cell>
          <cell r="G2086" t="str">
            <v>1</v>
          </cell>
          <cell r="H2086" t="str">
            <v>INDUSTRY</v>
          </cell>
          <cell r="I2086" t="str">
            <v>11</v>
          </cell>
          <cell r="J2086" t="str">
            <v>WOOD COATINGS</v>
          </cell>
          <cell r="K2086" t="str">
            <v>1118</v>
          </cell>
          <cell r="L2086" t="str">
            <v>COMPLEMENTARY</v>
          </cell>
          <cell r="M2086" t="str">
            <v>111807</v>
          </cell>
          <cell r="N2086" t="str">
            <v>PASTA</v>
          </cell>
        </row>
        <row r="2087">
          <cell r="C2087" t="str">
            <v>100003194</v>
          </cell>
          <cell r="D2087" t="str">
            <v>PG-13900 15 DS VN-20KP</v>
          </cell>
          <cell r="E2087" t="str">
            <v>ZFGD</v>
          </cell>
          <cell r="F2087" t="str">
            <v>PC</v>
          </cell>
          <cell r="G2087" t="str">
            <v>1</v>
          </cell>
          <cell r="H2087" t="str">
            <v>INDUSTRY</v>
          </cell>
          <cell r="I2087" t="str">
            <v>11</v>
          </cell>
          <cell r="J2087" t="str">
            <v>WOOD COATINGS</v>
          </cell>
          <cell r="K2087" t="str">
            <v>1109</v>
          </cell>
          <cell r="L2087" t="str">
            <v>STAIN &amp; GLAZE INTERIOR</v>
          </cell>
          <cell r="M2087" t="str">
            <v>110901</v>
          </cell>
          <cell r="N2087" t="str">
            <v>ASOF : STAIN &amp; GLAZE</v>
          </cell>
        </row>
        <row r="2088">
          <cell r="C2088" t="str">
            <v>100003195</v>
          </cell>
          <cell r="D2088" t="str">
            <v>PCA-31100 16 DS VN-20LJ</v>
          </cell>
          <cell r="E2088" t="str">
            <v>ZFGD</v>
          </cell>
          <cell r="F2088" t="str">
            <v>PC</v>
          </cell>
          <cell r="G2088" t="str">
            <v>1</v>
          </cell>
          <cell r="H2088" t="str">
            <v>INDUSTRY</v>
          </cell>
          <cell r="I2088" t="str">
            <v>11</v>
          </cell>
          <cell r="J2088" t="str">
            <v>WOOD COATINGS</v>
          </cell>
          <cell r="K2088" t="str">
            <v>1118</v>
          </cell>
          <cell r="L2088" t="str">
            <v>COMPLEMENTARY</v>
          </cell>
          <cell r="M2088" t="str">
            <v>111807</v>
          </cell>
          <cell r="N2088" t="str">
            <v>PASTA</v>
          </cell>
        </row>
        <row r="2089">
          <cell r="C2089" t="str">
            <v>100003196</v>
          </cell>
          <cell r="D2089" t="str">
            <v>DP-12123 LC 10 YJ VN-20KP</v>
          </cell>
          <cell r="E2089" t="str">
            <v>ZFGD</v>
          </cell>
          <cell r="F2089" t="str">
            <v>PC</v>
          </cell>
          <cell r="G2089" t="str">
            <v>1</v>
          </cell>
          <cell r="H2089" t="str">
            <v>INDUSTRY</v>
          </cell>
          <cell r="I2089" t="str">
            <v>11</v>
          </cell>
          <cell r="J2089" t="str">
            <v>WOOD COATINGS</v>
          </cell>
          <cell r="K2089" t="str">
            <v>1104</v>
          </cell>
          <cell r="L2089" t="str">
            <v>NC</v>
          </cell>
          <cell r="M2089" t="str">
            <v>110405</v>
          </cell>
          <cell r="N2089" t="str">
            <v>NC SYSTEM</v>
          </cell>
        </row>
        <row r="2090">
          <cell r="C2090" t="str">
            <v>100003197</v>
          </cell>
          <cell r="D2090" t="str">
            <v>82-1047 UE AF URT FLAT A-16KP</v>
          </cell>
          <cell r="E2090" t="str">
            <v>ZFGD</v>
          </cell>
          <cell r="F2090" t="str">
            <v>PC</v>
          </cell>
          <cell r="G2090" t="str">
            <v>1</v>
          </cell>
          <cell r="H2090" t="str">
            <v>INDUSTRY</v>
          </cell>
          <cell r="I2090" t="str">
            <v>11</v>
          </cell>
          <cell r="J2090" t="str">
            <v>WOOD COATINGS</v>
          </cell>
          <cell r="K2090" t="str">
            <v>1103</v>
          </cell>
          <cell r="L2090" t="str">
            <v>PU</v>
          </cell>
          <cell r="M2090" t="str">
            <v>110312</v>
          </cell>
          <cell r="N2090" t="str">
            <v>UNION TOP COAT</v>
          </cell>
        </row>
        <row r="2091">
          <cell r="C2091" t="str">
            <v>100003198</v>
          </cell>
          <cell r="D2091" t="str">
            <v>64-56 MICRO FILLER ACC NT TL VN-20KP</v>
          </cell>
          <cell r="E2091" t="str">
            <v>ZFGD</v>
          </cell>
          <cell r="F2091" t="str">
            <v>PC</v>
          </cell>
          <cell r="G2091" t="str">
            <v>1</v>
          </cell>
          <cell r="H2091" t="str">
            <v>INDUSTRY</v>
          </cell>
          <cell r="I2091" t="str">
            <v>11</v>
          </cell>
          <cell r="J2091" t="str">
            <v>WOOD COATINGS</v>
          </cell>
          <cell r="K2091" t="str">
            <v>1103</v>
          </cell>
          <cell r="L2091" t="str">
            <v>PU</v>
          </cell>
          <cell r="M2091" t="str">
            <v>110305</v>
          </cell>
          <cell r="N2091" t="str">
            <v>UNION FILLER</v>
          </cell>
        </row>
        <row r="2092">
          <cell r="C2092" t="str">
            <v>100003199</v>
          </cell>
          <cell r="D2092" t="str">
            <v>SST-11100 ACC NT TL VN-20LJ</v>
          </cell>
          <cell r="E2092" t="str">
            <v>ZFGD</v>
          </cell>
          <cell r="F2092" t="str">
            <v>PC</v>
          </cell>
          <cell r="G2092" t="str">
            <v>1</v>
          </cell>
          <cell r="H2092" t="str">
            <v>INDUSTRY</v>
          </cell>
          <cell r="I2092" t="str">
            <v>11</v>
          </cell>
          <cell r="J2092" t="str">
            <v>WOOD COATINGS</v>
          </cell>
          <cell r="K2092" t="str">
            <v>1109</v>
          </cell>
          <cell r="L2092" t="str">
            <v>STAIN &amp; GLAZE INTERIOR</v>
          </cell>
          <cell r="M2092" t="str">
            <v>110903</v>
          </cell>
          <cell r="N2092" t="str">
            <v>STAIN INTERIOR</v>
          </cell>
        </row>
        <row r="2093">
          <cell r="C2093" t="str">
            <v>100003200</v>
          </cell>
          <cell r="D2093" t="str">
            <v>PUP-52135 BLUSH HG KD VN-20KP</v>
          </cell>
          <cell r="E2093" t="str">
            <v>ZFGD</v>
          </cell>
          <cell r="F2093" t="str">
            <v>PC</v>
          </cell>
          <cell r="G2093" t="str">
            <v>1</v>
          </cell>
          <cell r="H2093" t="str">
            <v>INDUSTRY</v>
          </cell>
          <cell r="I2093" t="str">
            <v>11</v>
          </cell>
          <cell r="J2093" t="str">
            <v>WOOD COATINGS</v>
          </cell>
          <cell r="K2093" t="str">
            <v>1103</v>
          </cell>
          <cell r="L2093" t="str">
            <v>PU</v>
          </cell>
          <cell r="M2093" t="str">
            <v>110322</v>
          </cell>
          <cell r="N2093" t="str">
            <v>PU PRIMER</v>
          </cell>
        </row>
        <row r="2094">
          <cell r="C2094" t="str">
            <v>100003201</v>
          </cell>
          <cell r="D2094" t="str">
            <v>PUC-54205 AC BLUSH HG 90 KD VN-20KP</v>
          </cell>
          <cell r="E2094" t="str">
            <v>ZFGD</v>
          </cell>
          <cell r="F2094" t="str">
            <v>PC</v>
          </cell>
          <cell r="G2094" t="str">
            <v>1</v>
          </cell>
          <cell r="H2094" t="str">
            <v>INDUSTRY</v>
          </cell>
          <cell r="I2094" t="str">
            <v>11</v>
          </cell>
          <cell r="J2094" t="str">
            <v>WOOD COATINGS</v>
          </cell>
          <cell r="K2094" t="str">
            <v>1103</v>
          </cell>
          <cell r="L2094" t="str">
            <v>PU</v>
          </cell>
          <cell r="M2094" t="str">
            <v>110319</v>
          </cell>
          <cell r="N2094" t="str">
            <v>PU COLOR</v>
          </cell>
        </row>
        <row r="2095">
          <cell r="C2095" t="str">
            <v>100003202</v>
          </cell>
          <cell r="D2095" t="str">
            <v>SST-11100 17 DS VN-20LJ</v>
          </cell>
          <cell r="E2095" t="str">
            <v>ZFGD</v>
          </cell>
          <cell r="F2095" t="str">
            <v>PC</v>
          </cell>
          <cell r="G2095" t="str">
            <v>1</v>
          </cell>
          <cell r="H2095" t="str">
            <v>INDUSTRY</v>
          </cell>
          <cell r="I2095" t="str">
            <v>11</v>
          </cell>
          <cell r="J2095" t="str">
            <v>WOOD COATINGS</v>
          </cell>
          <cell r="K2095" t="str">
            <v>1109</v>
          </cell>
          <cell r="L2095" t="str">
            <v>STAIN &amp; GLAZE INTERIOR</v>
          </cell>
          <cell r="M2095" t="str">
            <v>110903</v>
          </cell>
          <cell r="N2095" t="str">
            <v>STAIN INTERIOR</v>
          </cell>
        </row>
        <row r="2096">
          <cell r="C2096" t="str">
            <v>100003203</v>
          </cell>
          <cell r="D2096" t="str">
            <v>DP-12123 LC VINA DR VN-20KP</v>
          </cell>
          <cell r="E2096" t="str">
            <v>ZFGD</v>
          </cell>
          <cell r="F2096" t="str">
            <v>PC</v>
          </cell>
          <cell r="G2096" t="str">
            <v>1</v>
          </cell>
          <cell r="H2096" t="str">
            <v>INDUSTRY</v>
          </cell>
          <cell r="I2096" t="str">
            <v>11</v>
          </cell>
          <cell r="J2096" t="str">
            <v>WOOD COATINGS</v>
          </cell>
          <cell r="K2096" t="str">
            <v>1104</v>
          </cell>
          <cell r="L2096" t="str">
            <v>NC</v>
          </cell>
          <cell r="M2096" t="str">
            <v>110405</v>
          </cell>
          <cell r="N2096" t="str">
            <v>NC SYSTEM</v>
          </cell>
        </row>
        <row r="2097">
          <cell r="C2097" t="str">
            <v>100003204</v>
          </cell>
          <cell r="D2097" t="str">
            <v>DP-12123 LC CROFT 03 DR VN-20KP</v>
          </cell>
          <cell r="E2097" t="str">
            <v>ZFGD</v>
          </cell>
          <cell r="F2097" t="str">
            <v>PC</v>
          </cell>
          <cell r="G2097" t="str">
            <v>1</v>
          </cell>
          <cell r="H2097" t="str">
            <v>INDUSTRY</v>
          </cell>
          <cell r="I2097" t="str">
            <v>11</v>
          </cell>
          <cell r="J2097" t="str">
            <v>WOOD COATINGS</v>
          </cell>
          <cell r="K2097" t="str">
            <v>1104</v>
          </cell>
          <cell r="L2097" t="str">
            <v>NC</v>
          </cell>
          <cell r="M2097" t="str">
            <v>110405</v>
          </cell>
          <cell r="N2097" t="str">
            <v>NC SYSTEM</v>
          </cell>
        </row>
        <row r="2098">
          <cell r="C2098" t="str">
            <v>100003205</v>
          </cell>
          <cell r="D2098" t="str">
            <v>GZ-12700 N VINA DR VN-18KP</v>
          </cell>
          <cell r="E2098" t="str">
            <v>ZFGD</v>
          </cell>
          <cell r="F2098" t="str">
            <v>PC</v>
          </cell>
          <cell r="G2098" t="str">
            <v>1</v>
          </cell>
          <cell r="H2098" t="str">
            <v>INDUSTRY</v>
          </cell>
          <cell r="I2098" t="str">
            <v>11</v>
          </cell>
          <cell r="J2098" t="str">
            <v>WOOD COATINGS</v>
          </cell>
          <cell r="K2098" t="str">
            <v>1109</v>
          </cell>
          <cell r="L2098" t="str">
            <v>STAIN &amp; GLAZE INTERIOR</v>
          </cell>
          <cell r="M2098" t="str">
            <v>110901</v>
          </cell>
          <cell r="N2098" t="str">
            <v>ASOF : STAIN &amp; GLAZE</v>
          </cell>
        </row>
        <row r="2099">
          <cell r="C2099" t="str">
            <v>100003206</v>
          </cell>
          <cell r="D2099" t="str">
            <v>GZ-12700 N CROFT 03 DR VN-18KP</v>
          </cell>
          <cell r="E2099" t="str">
            <v>ZFGD</v>
          </cell>
          <cell r="F2099" t="str">
            <v>PC</v>
          </cell>
          <cell r="G2099" t="str">
            <v>1</v>
          </cell>
          <cell r="H2099" t="str">
            <v>INDUSTRY</v>
          </cell>
          <cell r="I2099" t="str">
            <v>11</v>
          </cell>
          <cell r="J2099" t="str">
            <v>WOOD COATINGS</v>
          </cell>
          <cell r="K2099" t="str">
            <v>1109</v>
          </cell>
          <cell r="L2099" t="str">
            <v>STAIN &amp; GLAZE INTERIOR</v>
          </cell>
          <cell r="M2099" t="str">
            <v>110901</v>
          </cell>
          <cell r="N2099" t="str">
            <v>ASOF : STAIN &amp; GLAZE</v>
          </cell>
        </row>
        <row r="2100">
          <cell r="C2100" t="str">
            <v>100003207</v>
          </cell>
          <cell r="D2100" t="str">
            <v>PUC-52235 02 40 DG VN-20KP</v>
          </cell>
          <cell r="E2100" t="str">
            <v>ZFGD</v>
          </cell>
          <cell r="F2100" t="str">
            <v>PC</v>
          </cell>
          <cell r="G2100" t="str">
            <v>1</v>
          </cell>
          <cell r="H2100" t="str">
            <v>INDUSTRY</v>
          </cell>
          <cell r="I2100" t="str">
            <v>11</v>
          </cell>
          <cell r="J2100" t="str">
            <v>WOOD COATINGS</v>
          </cell>
          <cell r="K2100" t="str">
            <v>1103</v>
          </cell>
          <cell r="L2100" t="str">
            <v>PU</v>
          </cell>
          <cell r="M2100" t="str">
            <v>110319</v>
          </cell>
          <cell r="N2100" t="str">
            <v>PU COLOR</v>
          </cell>
        </row>
        <row r="2101">
          <cell r="C2101" t="str">
            <v>100003208</v>
          </cell>
          <cell r="D2101" t="str">
            <v>NCL-11301 AC CLEAR 50 VN-20LP</v>
          </cell>
          <cell r="E2101" t="str">
            <v>ZFGD</v>
          </cell>
          <cell r="F2101" t="str">
            <v>PC</v>
          </cell>
          <cell r="G2101" t="str">
            <v>1</v>
          </cell>
          <cell r="H2101" t="str">
            <v>INDUSTRY</v>
          </cell>
          <cell r="I2101" t="str">
            <v>11</v>
          </cell>
          <cell r="J2101" t="str">
            <v>WOOD COATINGS</v>
          </cell>
          <cell r="K2101" t="str">
            <v>1104</v>
          </cell>
          <cell r="L2101" t="str">
            <v>NC</v>
          </cell>
          <cell r="M2101" t="str">
            <v>110405</v>
          </cell>
          <cell r="N2101" t="str">
            <v>NC SYSTEM</v>
          </cell>
        </row>
        <row r="2102">
          <cell r="C2102" t="str">
            <v>100003209</v>
          </cell>
          <cell r="D2102" t="str">
            <v>PUP-54106 AC EX L50 DB VN-20KP</v>
          </cell>
          <cell r="E2102" t="str">
            <v>ZFGD</v>
          </cell>
          <cell r="F2102" t="str">
            <v>PC</v>
          </cell>
          <cell r="G2102" t="str">
            <v>1</v>
          </cell>
          <cell r="H2102" t="str">
            <v>INDUSTRY</v>
          </cell>
          <cell r="I2102" t="str">
            <v>11</v>
          </cell>
          <cell r="J2102" t="str">
            <v>WOOD COATINGS</v>
          </cell>
          <cell r="K2102" t="str">
            <v>1103</v>
          </cell>
          <cell r="L2102" t="str">
            <v>PU</v>
          </cell>
          <cell r="M2102" t="str">
            <v>110322</v>
          </cell>
          <cell r="N2102" t="str">
            <v>PU PRIMER</v>
          </cell>
        </row>
        <row r="2103">
          <cell r="C2103" t="str">
            <v>100003210</v>
          </cell>
          <cell r="D2103" t="str">
            <v>PUC-52239 BLUEMOBILY 05 NS VN-20KP</v>
          </cell>
          <cell r="E2103" t="str">
            <v>ZFGD</v>
          </cell>
          <cell r="F2103" t="str">
            <v>PC</v>
          </cell>
          <cell r="G2103" t="str">
            <v>1</v>
          </cell>
          <cell r="H2103" t="str">
            <v>INDUSTRY</v>
          </cell>
          <cell r="I2103" t="str">
            <v>11</v>
          </cell>
          <cell r="J2103" t="str">
            <v>WOOD COATINGS</v>
          </cell>
          <cell r="K2103" t="str">
            <v>1103</v>
          </cell>
          <cell r="L2103" t="str">
            <v>PU</v>
          </cell>
          <cell r="M2103" t="str">
            <v>110319</v>
          </cell>
          <cell r="N2103" t="str">
            <v>PU COLOR</v>
          </cell>
        </row>
        <row r="2104">
          <cell r="C2104" t="str">
            <v>100003211</v>
          </cell>
          <cell r="D2104" t="str">
            <v>PUC-52239 GREYMOBILY 10 NS VN-20KP</v>
          </cell>
          <cell r="E2104" t="str">
            <v>ZFGD</v>
          </cell>
          <cell r="F2104" t="str">
            <v>PC</v>
          </cell>
          <cell r="G2104" t="str">
            <v>1</v>
          </cell>
          <cell r="H2104" t="str">
            <v>INDUSTRY</v>
          </cell>
          <cell r="I2104" t="str">
            <v>11</v>
          </cell>
          <cell r="J2104" t="str">
            <v>WOOD COATINGS</v>
          </cell>
          <cell r="K2104" t="str">
            <v>1103</v>
          </cell>
          <cell r="L2104" t="str">
            <v>PU</v>
          </cell>
          <cell r="M2104" t="str">
            <v>110319</v>
          </cell>
          <cell r="N2104" t="str">
            <v>PU COLOR</v>
          </cell>
        </row>
        <row r="2105">
          <cell r="C2105" t="str">
            <v>100003212</v>
          </cell>
          <cell r="D2105" t="str">
            <v>PUC-52239 PINKMOBILY 10 NS VN-20KP</v>
          </cell>
          <cell r="E2105" t="str">
            <v>ZFGD</v>
          </cell>
          <cell r="F2105" t="str">
            <v>PC</v>
          </cell>
          <cell r="G2105" t="str">
            <v>1</v>
          </cell>
          <cell r="H2105" t="str">
            <v>INDUSTRY</v>
          </cell>
          <cell r="I2105" t="str">
            <v>11</v>
          </cell>
          <cell r="J2105" t="str">
            <v>WOOD COATINGS</v>
          </cell>
          <cell r="K2105" t="str">
            <v>1103</v>
          </cell>
          <cell r="L2105" t="str">
            <v>PU</v>
          </cell>
          <cell r="M2105" t="str">
            <v>110319</v>
          </cell>
          <cell r="N2105" t="str">
            <v>PU COLOR</v>
          </cell>
        </row>
        <row r="2106">
          <cell r="C2106" t="str">
            <v>100003213</v>
          </cell>
          <cell r="D2106" t="str">
            <v>DC-12223 LC WIN 12 10 F1 VN-20KP</v>
          </cell>
          <cell r="E2106" t="str">
            <v>ZFGD</v>
          </cell>
          <cell r="F2106" t="str">
            <v>PC</v>
          </cell>
          <cell r="G2106" t="str">
            <v>1</v>
          </cell>
          <cell r="H2106" t="str">
            <v>INDUSTRY</v>
          </cell>
          <cell r="I2106" t="str">
            <v>11</v>
          </cell>
          <cell r="J2106" t="str">
            <v>WOOD COATINGS</v>
          </cell>
          <cell r="K2106" t="str">
            <v>1104</v>
          </cell>
          <cell r="L2106" t="str">
            <v>NC</v>
          </cell>
          <cell r="M2106" t="str">
            <v>110405</v>
          </cell>
          <cell r="N2106" t="str">
            <v>NC SYSTEM</v>
          </cell>
        </row>
        <row r="2107">
          <cell r="C2107" t="str">
            <v>100003214</v>
          </cell>
          <cell r="D2107" t="str">
            <v>PUC-54206 AC EX 30 10 SI VN-20KP</v>
          </cell>
          <cell r="E2107" t="str">
            <v>ZFGD</v>
          </cell>
          <cell r="F2107" t="str">
            <v>PC</v>
          </cell>
          <cell r="G2107" t="str">
            <v>1</v>
          </cell>
          <cell r="H2107" t="str">
            <v>INDUSTRY</v>
          </cell>
          <cell r="I2107" t="str">
            <v>11</v>
          </cell>
          <cell r="J2107" t="str">
            <v>WOOD COATINGS</v>
          </cell>
          <cell r="K2107" t="str">
            <v>1103</v>
          </cell>
          <cell r="L2107" t="str">
            <v>PU</v>
          </cell>
          <cell r="M2107" t="str">
            <v>110319</v>
          </cell>
          <cell r="N2107" t="str">
            <v>PU COLOR</v>
          </cell>
        </row>
        <row r="2108">
          <cell r="C2108" t="str">
            <v>100003215</v>
          </cell>
          <cell r="D2108" t="str">
            <v>PLH-40000 UNI HARDENER VN-1K</v>
          </cell>
          <cell r="E2108" t="str">
            <v>ZFGD</v>
          </cell>
          <cell r="F2108" t="str">
            <v>PC</v>
          </cell>
          <cell r="G2108" t="str">
            <v>1</v>
          </cell>
          <cell r="H2108" t="str">
            <v>INDUSTRY</v>
          </cell>
          <cell r="I2108" t="str">
            <v>13</v>
          </cell>
          <cell r="J2108" t="str">
            <v>PLASTIC COATINGS</v>
          </cell>
          <cell r="K2108" t="str">
            <v>1301</v>
          </cell>
          <cell r="L2108" t="str">
            <v>PLASTIC COATINGS</v>
          </cell>
          <cell r="M2108" t="str">
            <v>130101</v>
          </cell>
          <cell r="N2108" t="str">
            <v>PLASTIC COATINGS</v>
          </cell>
        </row>
        <row r="2109">
          <cell r="C2109" t="str">
            <v>100003216</v>
          </cell>
          <cell r="D2109" t="str">
            <v>PLH-40000 UNI HARDENER VN-4K</v>
          </cell>
          <cell r="E2109" t="str">
            <v>ZFGD</v>
          </cell>
          <cell r="F2109" t="str">
            <v>PC</v>
          </cell>
          <cell r="G2109" t="str">
            <v>1</v>
          </cell>
          <cell r="H2109" t="str">
            <v>INDUSTRY</v>
          </cell>
          <cell r="I2109" t="str">
            <v>13</v>
          </cell>
          <cell r="J2109" t="str">
            <v>PLASTIC COATINGS</v>
          </cell>
          <cell r="K2109" t="str">
            <v>1301</v>
          </cell>
          <cell r="L2109" t="str">
            <v>PLASTIC COATINGS</v>
          </cell>
          <cell r="M2109" t="str">
            <v>130101</v>
          </cell>
          <cell r="N2109" t="str">
            <v>PLASTIC COATINGS</v>
          </cell>
        </row>
        <row r="2110">
          <cell r="C2110" t="str">
            <v>100003217</v>
          </cell>
          <cell r="D2110" t="str">
            <v>PLL-13100 PU CLEAR 10 VN-4K</v>
          </cell>
          <cell r="E2110" t="str">
            <v>ZFGD</v>
          </cell>
          <cell r="F2110" t="str">
            <v>PC</v>
          </cell>
          <cell r="G2110" t="str">
            <v>1</v>
          </cell>
          <cell r="H2110" t="str">
            <v>INDUSTRY</v>
          </cell>
          <cell r="I2110" t="str">
            <v>13</v>
          </cell>
          <cell r="J2110" t="str">
            <v>PLASTIC COATINGS</v>
          </cell>
          <cell r="K2110" t="str">
            <v>1301</v>
          </cell>
          <cell r="L2110" t="str">
            <v>PLASTIC COATINGS</v>
          </cell>
          <cell r="M2110" t="str">
            <v>130101</v>
          </cell>
          <cell r="N2110" t="str">
            <v>PLASTIC COATINGS</v>
          </cell>
        </row>
        <row r="2111">
          <cell r="C2111" t="str">
            <v>100003218</v>
          </cell>
          <cell r="D2111" t="str">
            <v>PLL-13100 PU CLEAR 10 VN-20KP</v>
          </cell>
          <cell r="E2111" t="str">
            <v>ZFGD</v>
          </cell>
          <cell r="F2111" t="str">
            <v>PC</v>
          </cell>
          <cell r="G2111" t="str">
            <v>1</v>
          </cell>
          <cell r="H2111" t="str">
            <v>INDUSTRY</v>
          </cell>
          <cell r="I2111" t="str">
            <v>13</v>
          </cell>
          <cell r="J2111" t="str">
            <v>PLASTIC COATINGS</v>
          </cell>
          <cell r="K2111" t="str">
            <v>1301</v>
          </cell>
          <cell r="L2111" t="str">
            <v>PLASTIC COATINGS</v>
          </cell>
          <cell r="M2111" t="str">
            <v>130101</v>
          </cell>
          <cell r="N2111" t="str">
            <v>PLASTIC COATINGS</v>
          </cell>
        </row>
        <row r="2112">
          <cell r="C2112" t="str">
            <v>100003219</v>
          </cell>
          <cell r="D2112" t="str">
            <v>PLL-13100 PU CLEAR 40 VN-4K</v>
          </cell>
          <cell r="E2112" t="str">
            <v>ZFGD</v>
          </cell>
          <cell r="F2112" t="str">
            <v>PC</v>
          </cell>
          <cell r="G2112" t="str">
            <v>1</v>
          </cell>
          <cell r="H2112" t="str">
            <v>INDUSTRY</v>
          </cell>
          <cell r="I2112" t="str">
            <v>13</v>
          </cell>
          <cell r="J2112" t="str">
            <v>PLASTIC COATINGS</v>
          </cell>
          <cell r="K2112" t="str">
            <v>1301</v>
          </cell>
          <cell r="L2112" t="str">
            <v>PLASTIC COATINGS</v>
          </cell>
          <cell r="M2112" t="str">
            <v>130101</v>
          </cell>
          <cell r="N2112" t="str">
            <v>PLASTIC COATINGS</v>
          </cell>
        </row>
        <row r="2113">
          <cell r="C2113" t="str">
            <v>100003220</v>
          </cell>
          <cell r="D2113" t="str">
            <v>PLL-13100 PU CLEAR 40 VN-20KP</v>
          </cell>
          <cell r="E2113" t="str">
            <v>ZFGD</v>
          </cell>
          <cell r="F2113" t="str">
            <v>PC</v>
          </cell>
          <cell r="G2113" t="str">
            <v>1</v>
          </cell>
          <cell r="H2113" t="str">
            <v>INDUSTRY</v>
          </cell>
          <cell r="I2113" t="str">
            <v>13</v>
          </cell>
          <cell r="J2113" t="str">
            <v>PLASTIC COATINGS</v>
          </cell>
          <cell r="K2113" t="str">
            <v>1301</v>
          </cell>
          <cell r="L2113" t="str">
            <v>PLASTIC COATINGS</v>
          </cell>
          <cell r="M2113" t="str">
            <v>130101</v>
          </cell>
          <cell r="N2113" t="str">
            <v>PLASTIC COATINGS</v>
          </cell>
        </row>
        <row r="2114">
          <cell r="C2114" t="str">
            <v>100003222</v>
          </cell>
          <cell r="D2114" t="str">
            <v>SST-11100 49 PF VN-20LJ</v>
          </cell>
          <cell r="E2114" t="str">
            <v>ZFGD</v>
          </cell>
          <cell r="F2114" t="str">
            <v>PC</v>
          </cell>
          <cell r="G2114" t="str">
            <v>1</v>
          </cell>
          <cell r="H2114" t="str">
            <v>INDUSTRY</v>
          </cell>
          <cell r="I2114" t="str">
            <v>11</v>
          </cell>
          <cell r="J2114" t="str">
            <v>WOOD COATINGS</v>
          </cell>
          <cell r="K2114" t="str">
            <v>1109</v>
          </cell>
          <cell r="L2114" t="str">
            <v>STAIN &amp; GLAZE INTERIOR</v>
          </cell>
          <cell r="M2114" t="str">
            <v>110903</v>
          </cell>
          <cell r="N2114" t="str">
            <v>STAIN INTERIOR</v>
          </cell>
        </row>
        <row r="2115">
          <cell r="C2115" t="str">
            <v>100003223</v>
          </cell>
          <cell r="D2115" t="str">
            <v>PCWB-31600 VIOLET 35 C10 PASTE-4K</v>
          </cell>
          <cell r="E2115" t="str">
            <v>ZFGD</v>
          </cell>
          <cell r="F2115" t="str">
            <v>PC</v>
          </cell>
          <cell r="G2115" t="str">
            <v>1</v>
          </cell>
          <cell r="H2115" t="str">
            <v>INDUSTRY</v>
          </cell>
          <cell r="I2115" t="str">
            <v>11</v>
          </cell>
          <cell r="J2115" t="str">
            <v>WOOD COATINGS</v>
          </cell>
          <cell r="K2115" t="str">
            <v>1118</v>
          </cell>
          <cell r="L2115" t="str">
            <v>COMPLEMENTARY</v>
          </cell>
          <cell r="M2115" t="str">
            <v>111807</v>
          </cell>
          <cell r="N2115" t="str">
            <v>PASTA</v>
          </cell>
        </row>
        <row r="2116">
          <cell r="C2116" t="str">
            <v>100003224</v>
          </cell>
          <cell r="D2116" t="str">
            <v>SST-11100 RED FS VN-20LJ</v>
          </cell>
          <cell r="E2116" t="str">
            <v>ZFGD</v>
          </cell>
          <cell r="F2116" t="str">
            <v>PC</v>
          </cell>
          <cell r="G2116" t="str">
            <v>1</v>
          </cell>
          <cell r="H2116" t="str">
            <v>INDUSTRY</v>
          </cell>
          <cell r="I2116" t="str">
            <v>11</v>
          </cell>
          <cell r="J2116" t="str">
            <v>WOOD COATINGS</v>
          </cell>
          <cell r="K2116" t="str">
            <v>1109</v>
          </cell>
          <cell r="L2116" t="str">
            <v>STAIN &amp; GLAZE INTERIOR</v>
          </cell>
          <cell r="M2116" t="str">
            <v>110903</v>
          </cell>
          <cell r="N2116" t="str">
            <v>STAIN INTERIOR</v>
          </cell>
        </row>
        <row r="2117">
          <cell r="C2117" t="str">
            <v>100003225</v>
          </cell>
          <cell r="D2117" t="str">
            <v>SST-11100 W400 I GE VN-20LJ</v>
          </cell>
          <cell r="E2117" t="str">
            <v>ZFGD</v>
          </cell>
          <cell r="F2117" t="str">
            <v>PC</v>
          </cell>
          <cell r="G2117" t="str">
            <v>1</v>
          </cell>
          <cell r="H2117" t="str">
            <v>INDUSTRY</v>
          </cell>
          <cell r="I2117" t="str">
            <v>11</v>
          </cell>
          <cell r="J2117" t="str">
            <v>WOOD COATINGS</v>
          </cell>
          <cell r="K2117" t="str">
            <v>1109</v>
          </cell>
          <cell r="L2117" t="str">
            <v>STAIN &amp; GLAZE INTERIOR</v>
          </cell>
          <cell r="M2117" t="str">
            <v>110903</v>
          </cell>
          <cell r="N2117" t="str">
            <v>STAIN INTERIOR</v>
          </cell>
        </row>
        <row r="2118">
          <cell r="C2118" t="str">
            <v>100003226</v>
          </cell>
          <cell r="D2118" t="str">
            <v>SST-11100 W400 II GE VN-20LJ</v>
          </cell>
          <cell r="E2118" t="str">
            <v>ZFGD</v>
          </cell>
          <cell r="F2118" t="str">
            <v>PC</v>
          </cell>
          <cell r="G2118" t="str">
            <v>1</v>
          </cell>
          <cell r="H2118" t="str">
            <v>INDUSTRY</v>
          </cell>
          <cell r="I2118" t="str">
            <v>11</v>
          </cell>
          <cell r="J2118" t="str">
            <v>WOOD COATINGS</v>
          </cell>
          <cell r="K2118" t="str">
            <v>1109</v>
          </cell>
          <cell r="L2118" t="str">
            <v>STAIN &amp; GLAZE INTERIOR</v>
          </cell>
          <cell r="M2118" t="str">
            <v>110903</v>
          </cell>
          <cell r="N2118" t="str">
            <v>STAIN INTERIOR</v>
          </cell>
        </row>
        <row r="2119">
          <cell r="C2119" t="str">
            <v>100003227</v>
          </cell>
          <cell r="D2119" t="str">
            <v>SST-11100 A1 AB VN-20LJ</v>
          </cell>
          <cell r="E2119" t="str">
            <v>ZFGD</v>
          </cell>
          <cell r="F2119" t="str">
            <v>PC</v>
          </cell>
          <cell r="G2119" t="str">
            <v>1</v>
          </cell>
          <cell r="H2119" t="str">
            <v>INDUSTRY</v>
          </cell>
          <cell r="I2119" t="str">
            <v>11</v>
          </cell>
          <cell r="J2119" t="str">
            <v>WOOD COATINGS</v>
          </cell>
          <cell r="K2119" t="str">
            <v>1109</v>
          </cell>
          <cell r="L2119" t="str">
            <v>STAIN &amp; GLAZE INTERIOR</v>
          </cell>
          <cell r="M2119" t="str">
            <v>110903</v>
          </cell>
          <cell r="N2119" t="str">
            <v>STAIN INTERIOR</v>
          </cell>
        </row>
        <row r="2120">
          <cell r="C2120" t="str">
            <v>100003228</v>
          </cell>
          <cell r="D2120" t="str">
            <v>SST-11100 A2 AB VN-20LJ</v>
          </cell>
          <cell r="E2120" t="str">
            <v>ZFGD</v>
          </cell>
          <cell r="F2120" t="str">
            <v>PC</v>
          </cell>
          <cell r="G2120" t="str">
            <v>1</v>
          </cell>
          <cell r="H2120" t="str">
            <v>INDUSTRY</v>
          </cell>
          <cell r="I2120" t="str">
            <v>11</v>
          </cell>
          <cell r="J2120" t="str">
            <v>WOOD COATINGS</v>
          </cell>
          <cell r="K2120" t="str">
            <v>1109</v>
          </cell>
          <cell r="L2120" t="str">
            <v>STAIN &amp; GLAZE INTERIOR</v>
          </cell>
          <cell r="M2120" t="str">
            <v>110903</v>
          </cell>
          <cell r="N2120" t="str">
            <v>STAIN INTERIOR</v>
          </cell>
        </row>
        <row r="2121">
          <cell r="C2121" t="str">
            <v>100003229</v>
          </cell>
          <cell r="D2121" t="str">
            <v>GZPU-21500 A2 AB VN-18KP</v>
          </cell>
          <cell r="E2121" t="str">
            <v>ZFGD</v>
          </cell>
          <cell r="F2121" t="str">
            <v>PC</v>
          </cell>
          <cell r="G2121" t="str">
            <v>1</v>
          </cell>
          <cell r="H2121" t="str">
            <v>INDUSTRY</v>
          </cell>
          <cell r="I2121" t="str">
            <v>11</v>
          </cell>
          <cell r="J2121" t="str">
            <v>WOOD COATINGS</v>
          </cell>
          <cell r="K2121" t="str">
            <v>1103</v>
          </cell>
          <cell r="L2121" t="str">
            <v>PU</v>
          </cell>
          <cell r="M2121" t="str">
            <v>110302</v>
          </cell>
          <cell r="N2121" t="str">
            <v>GLAZE PU</v>
          </cell>
        </row>
        <row r="2122">
          <cell r="C2122" t="str">
            <v>100003230</v>
          </cell>
          <cell r="D2122" t="str">
            <v>GZPU-21500 A3 AB VN-18KP</v>
          </cell>
          <cell r="E2122" t="str">
            <v>ZFGD</v>
          </cell>
          <cell r="F2122" t="str">
            <v>PC</v>
          </cell>
          <cell r="G2122" t="str">
            <v>1</v>
          </cell>
          <cell r="H2122" t="str">
            <v>INDUSTRY</v>
          </cell>
          <cell r="I2122" t="str">
            <v>11</v>
          </cell>
          <cell r="J2122" t="str">
            <v>WOOD COATINGS</v>
          </cell>
          <cell r="K2122" t="str">
            <v>1103</v>
          </cell>
          <cell r="L2122" t="str">
            <v>PU</v>
          </cell>
          <cell r="M2122" t="str">
            <v>110302</v>
          </cell>
          <cell r="N2122" t="str">
            <v>GLAZE PU</v>
          </cell>
        </row>
        <row r="2123">
          <cell r="C2123" t="str">
            <v>100003231</v>
          </cell>
          <cell r="D2123" t="str">
            <v>PCA-31100 A3 AB VN-20LJ</v>
          </cell>
          <cell r="E2123" t="str">
            <v>ZFGD</v>
          </cell>
          <cell r="F2123" t="str">
            <v>PC</v>
          </cell>
          <cell r="G2123" t="str">
            <v>1</v>
          </cell>
          <cell r="H2123" t="str">
            <v>INDUSTRY</v>
          </cell>
          <cell r="I2123" t="str">
            <v>11</v>
          </cell>
          <cell r="J2123" t="str">
            <v>WOOD COATINGS</v>
          </cell>
          <cell r="K2123" t="str">
            <v>1118</v>
          </cell>
          <cell r="L2123" t="str">
            <v>COMPLEMENTARY</v>
          </cell>
          <cell r="M2123" t="str">
            <v>111807</v>
          </cell>
          <cell r="N2123" t="str">
            <v>PASTA</v>
          </cell>
        </row>
        <row r="2124">
          <cell r="C2124" t="str">
            <v>100003234</v>
          </cell>
          <cell r="D2124" t="str">
            <v>PUH-56135 S VN-16KP</v>
          </cell>
          <cell r="E2124" t="str">
            <v>ZFGD</v>
          </cell>
          <cell r="F2124" t="str">
            <v>PC</v>
          </cell>
          <cell r="G2124" t="str">
            <v>1</v>
          </cell>
          <cell r="H2124" t="str">
            <v>INDUSTRY</v>
          </cell>
          <cell r="I2124" t="str">
            <v>11</v>
          </cell>
          <cell r="J2124" t="str">
            <v>WOOD COATINGS</v>
          </cell>
          <cell r="K2124" t="str">
            <v>1103</v>
          </cell>
          <cell r="L2124" t="str">
            <v>PU</v>
          </cell>
          <cell r="M2124" t="str">
            <v>110320</v>
          </cell>
          <cell r="N2124" t="str">
            <v>PU HARDENER</v>
          </cell>
        </row>
        <row r="2125">
          <cell r="C2125" t="str">
            <v>100003235</v>
          </cell>
          <cell r="D2125" t="str">
            <v>SST-11100 111WDRG 05 GE VN-20LJ</v>
          </cell>
          <cell r="E2125" t="str">
            <v>ZFGD</v>
          </cell>
          <cell r="F2125" t="str">
            <v>PC</v>
          </cell>
          <cell r="G2125" t="str">
            <v>1</v>
          </cell>
          <cell r="H2125" t="str">
            <v>INDUSTRY</v>
          </cell>
          <cell r="I2125" t="str">
            <v>11</v>
          </cell>
          <cell r="J2125" t="str">
            <v>WOOD COATINGS</v>
          </cell>
          <cell r="K2125" t="str">
            <v>1109</v>
          </cell>
          <cell r="L2125" t="str">
            <v>STAIN &amp; GLAZE INTERIOR</v>
          </cell>
          <cell r="M2125" t="str">
            <v>110903</v>
          </cell>
          <cell r="N2125" t="str">
            <v>STAIN INTERIOR</v>
          </cell>
        </row>
        <row r="2126">
          <cell r="C2126" t="str">
            <v>100003236</v>
          </cell>
          <cell r="D2126" t="str">
            <v>PUC-54206 AC EX 18 10 DS VN-20KP</v>
          </cell>
          <cell r="E2126" t="str">
            <v>ZFGD</v>
          </cell>
          <cell r="F2126" t="str">
            <v>PC</v>
          </cell>
          <cell r="G2126" t="str">
            <v>1</v>
          </cell>
          <cell r="H2126" t="str">
            <v>INDUSTRY</v>
          </cell>
          <cell r="I2126" t="str">
            <v>11</v>
          </cell>
          <cell r="J2126" t="str">
            <v>WOOD COATINGS</v>
          </cell>
          <cell r="K2126" t="str">
            <v>1103</v>
          </cell>
          <cell r="L2126" t="str">
            <v>PU</v>
          </cell>
          <cell r="M2126" t="str">
            <v>110304</v>
          </cell>
          <cell r="N2126" t="str">
            <v>PU SYSTEM</v>
          </cell>
        </row>
        <row r="2127">
          <cell r="C2127" t="str">
            <v>100003237</v>
          </cell>
          <cell r="D2127" t="str">
            <v>PUC-54206 AC GLASS BLK 10 VN-16KP</v>
          </cell>
          <cell r="E2127" t="str">
            <v>ZFGD</v>
          </cell>
          <cell r="F2127" t="str">
            <v>PC</v>
          </cell>
          <cell r="G2127" t="str">
            <v>1</v>
          </cell>
          <cell r="H2127" t="str">
            <v>INDUSTRY</v>
          </cell>
          <cell r="I2127" t="str">
            <v>11</v>
          </cell>
          <cell r="J2127" t="str">
            <v>WOOD COATINGS</v>
          </cell>
          <cell r="K2127" t="str">
            <v>1103</v>
          </cell>
          <cell r="L2127" t="str">
            <v>PU</v>
          </cell>
          <cell r="M2127" t="str">
            <v>110319</v>
          </cell>
          <cell r="N2127" t="str">
            <v>PU COLOR</v>
          </cell>
        </row>
        <row r="2128">
          <cell r="C2128" t="str">
            <v>100003238</v>
          </cell>
          <cell r="D2128" t="str">
            <v>AP-9982 RED 28 AK-1K</v>
          </cell>
          <cell r="E2128" t="str">
            <v>ZFGD</v>
          </cell>
          <cell r="F2128" t="str">
            <v>PC</v>
          </cell>
          <cell r="G2128" t="str">
            <v>1</v>
          </cell>
          <cell r="H2128" t="str">
            <v>INDUSTRY</v>
          </cell>
          <cell r="I2128" t="str">
            <v>11</v>
          </cell>
          <cell r="J2128" t="str">
            <v>WOOD COATINGS</v>
          </cell>
          <cell r="K2128" t="str">
            <v>1118</v>
          </cell>
          <cell r="L2128" t="str">
            <v>COMPLEMENTARY</v>
          </cell>
          <cell r="M2128" t="str">
            <v>111802</v>
          </cell>
          <cell r="N2128" t="str">
            <v>ASOF : POWDER &amp; MATTING SOLUTION</v>
          </cell>
        </row>
        <row r="2129">
          <cell r="C2129" t="str">
            <v>100003239</v>
          </cell>
          <cell r="D2129" t="str">
            <v>AP-9982 YELLOW 26 AK-1K</v>
          </cell>
          <cell r="E2129" t="str">
            <v>ZFGD</v>
          </cell>
          <cell r="F2129" t="str">
            <v>PC</v>
          </cell>
          <cell r="G2129" t="str">
            <v>1</v>
          </cell>
          <cell r="H2129" t="str">
            <v>INDUSTRY</v>
          </cell>
          <cell r="I2129" t="str">
            <v>11</v>
          </cell>
          <cell r="J2129" t="str">
            <v>WOOD COATINGS</v>
          </cell>
          <cell r="K2129" t="str">
            <v>1118</v>
          </cell>
          <cell r="L2129" t="str">
            <v>COMPLEMENTARY</v>
          </cell>
          <cell r="M2129" t="str">
            <v>111802</v>
          </cell>
          <cell r="N2129" t="str">
            <v>ASOF : POWDER &amp; MATTING SOLUTION</v>
          </cell>
        </row>
        <row r="2130">
          <cell r="C2130" t="str">
            <v>100003240</v>
          </cell>
          <cell r="D2130" t="str">
            <v>WBC-62202 WHITE 10 VN-20KP</v>
          </cell>
          <cell r="E2130" t="str">
            <v>ZFGD</v>
          </cell>
          <cell r="F2130" t="str">
            <v>PC</v>
          </cell>
          <cell r="G2130" t="str">
            <v>1</v>
          </cell>
          <cell r="H2130" t="str">
            <v>INDUSTRY</v>
          </cell>
          <cell r="I2130" t="str">
            <v>11</v>
          </cell>
          <cell r="J2130" t="str">
            <v>WOOD COATINGS</v>
          </cell>
          <cell r="K2130" t="str">
            <v>1119</v>
          </cell>
          <cell r="L2130" t="str">
            <v>WATERBASED</v>
          </cell>
          <cell r="M2130" t="str">
            <v>111902</v>
          </cell>
          <cell r="N2130" t="str">
            <v>WATERBASED SYSTEM INTERIOR</v>
          </cell>
        </row>
        <row r="2131">
          <cell r="C2131" t="str">
            <v>100003241</v>
          </cell>
          <cell r="D2131" t="str">
            <v>64-56 MICRO FILLER ARC TL VN-20KP</v>
          </cell>
          <cell r="E2131" t="str">
            <v>ZFGD</v>
          </cell>
          <cell r="F2131" t="str">
            <v>PC</v>
          </cell>
          <cell r="G2131" t="str">
            <v>1</v>
          </cell>
          <cell r="H2131" t="str">
            <v>INDUSTRY</v>
          </cell>
          <cell r="I2131" t="str">
            <v>11</v>
          </cell>
          <cell r="J2131" t="str">
            <v>WOOD COATINGS</v>
          </cell>
          <cell r="K2131" t="str">
            <v>1103</v>
          </cell>
          <cell r="L2131" t="str">
            <v>PU</v>
          </cell>
          <cell r="M2131" t="str">
            <v>110305</v>
          </cell>
          <cell r="N2131" t="str">
            <v>UNION FILLER</v>
          </cell>
        </row>
        <row r="2132">
          <cell r="C2132" t="str">
            <v>100003242</v>
          </cell>
          <cell r="D2132" t="str">
            <v>PCA-31100 ARC TL VN-20LJ</v>
          </cell>
          <cell r="E2132" t="str">
            <v>ZFGD</v>
          </cell>
          <cell r="F2132" t="str">
            <v>PC</v>
          </cell>
          <cell r="G2132" t="str">
            <v>1</v>
          </cell>
          <cell r="H2132" t="str">
            <v>INDUSTRY</v>
          </cell>
          <cell r="I2132" t="str">
            <v>11</v>
          </cell>
          <cell r="J2132" t="str">
            <v>WOOD COATINGS</v>
          </cell>
          <cell r="K2132" t="str">
            <v>1118</v>
          </cell>
          <cell r="L2132" t="str">
            <v>COMPLEMENTARY</v>
          </cell>
          <cell r="M2132" t="str">
            <v>111807</v>
          </cell>
          <cell r="N2132" t="str">
            <v>PASTA</v>
          </cell>
        </row>
        <row r="2133">
          <cell r="C2133" t="str">
            <v>100003243</v>
          </cell>
          <cell r="D2133" t="str">
            <v>SST-11100 F4 MG VN-20LJ</v>
          </cell>
          <cell r="E2133" t="str">
            <v>ZFGD</v>
          </cell>
          <cell r="F2133" t="str">
            <v>PC</v>
          </cell>
          <cell r="G2133" t="str">
            <v>1</v>
          </cell>
          <cell r="H2133" t="str">
            <v>INDUSTRY</v>
          </cell>
          <cell r="I2133" t="str">
            <v>11</v>
          </cell>
          <cell r="J2133" t="str">
            <v>WOOD COATINGS</v>
          </cell>
          <cell r="K2133" t="str">
            <v>1109</v>
          </cell>
          <cell r="L2133" t="str">
            <v>STAIN &amp; GLAZE INTERIOR</v>
          </cell>
          <cell r="M2133" t="str">
            <v>110903</v>
          </cell>
          <cell r="N2133" t="str">
            <v>STAIN INTERIOR</v>
          </cell>
        </row>
        <row r="2134">
          <cell r="C2134" t="str">
            <v>100003244</v>
          </cell>
          <cell r="D2134" t="str">
            <v>PG-13900 F4 MG VN-20KP</v>
          </cell>
          <cell r="E2134" t="str">
            <v>ZFGD</v>
          </cell>
          <cell r="F2134" t="str">
            <v>PC</v>
          </cell>
          <cell r="G2134" t="str">
            <v>1</v>
          </cell>
          <cell r="H2134" t="str">
            <v>INDUSTRY</v>
          </cell>
          <cell r="I2134" t="str">
            <v>11</v>
          </cell>
          <cell r="J2134" t="str">
            <v>WOOD COATINGS</v>
          </cell>
          <cell r="K2134" t="str">
            <v>1109</v>
          </cell>
          <cell r="L2134" t="str">
            <v>STAIN &amp; GLAZE INTERIOR</v>
          </cell>
          <cell r="M2134" t="str">
            <v>110901</v>
          </cell>
          <cell r="N2134" t="str">
            <v>ASOF : STAIN &amp; GLAZE</v>
          </cell>
        </row>
        <row r="2135">
          <cell r="C2135" t="str">
            <v>100003245</v>
          </cell>
          <cell r="D2135" t="str">
            <v>PCL-31300 YELLOW OG 16 AF VN-4K</v>
          </cell>
          <cell r="E2135" t="str">
            <v>ZFGD</v>
          </cell>
          <cell r="F2135" t="str">
            <v>PC</v>
          </cell>
          <cell r="G2135" t="str">
            <v>1</v>
          </cell>
          <cell r="H2135" t="str">
            <v>INDUSTRY</v>
          </cell>
          <cell r="I2135" t="str">
            <v>11</v>
          </cell>
          <cell r="J2135" t="str">
            <v>WOOD COATINGS</v>
          </cell>
          <cell r="K2135" t="str">
            <v>1118</v>
          </cell>
          <cell r="L2135" t="str">
            <v>COMPLEMENTARY</v>
          </cell>
          <cell r="M2135" t="str">
            <v>111807</v>
          </cell>
          <cell r="N2135" t="str">
            <v>PASTA</v>
          </cell>
        </row>
        <row r="2136">
          <cell r="C2136" t="str">
            <v>100003246</v>
          </cell>
          <cell r="D2136" t="str">
            <v>PCL-31300 BLACK AF VN-4K</v>
          </cell>
          <cell r="E2136" t="str">
            <v>ZFGD</v>
          </cell>
          <cell r="F2136" t="str">
            <v>PC</v>
          </cell>
          <cell r="G2136" t="str">
            <v>1</v>
          </cell>
          <cell r="H2136" t="str">
            <v>INDUSTRY</v>
          </cell>
          <cell r="I2136" t="str">
            <v>11</v>
          </cell>
          <cell r="J2136" t="str">
            <v>WOOD COATINGS</v>
          </cell>
          <cell r="K2136" t="str">
            <v>1118</v>
          </cell>
          <cell r="L2136" t="str">
            <v>COMPLEMENTARY</v>
          </cell>
          <cell r="M2136" t="str">
            <v>111807</v>
          </cell>
          <cell r="N2136" t="str">
            <v>PASTA</v>
          </cell>
        </row>
        <row r="2137">
          <cell r="C2137" t="str">
            <v>100003247</v>
          </cell>
          <cell r="D2137" t="str">
            <v>PCL-31300 RED OB 35 AF VN-4K</v>
          </cell>
          <cell r="E2137" t="str">
            <v>ZFGD</v>
          </cell>
          <cell r="F2137" t="str">
            <v>PC</v>
          </cell>
          <cell r="G2137" t="str">
            <v>1</v>
          </cell>
          <cell r="H2137" t="str">
            <v>INDUSTRY</v>
          </cell>
          <cell r="I2137" t="str">
            <v>11</v>
          </cell>
          <cell r="J2137" t="str">
            <v>WOOD COATINGS</v>
          </cell>
          <cell r="K2137" t="str">
            <v>1118</v>
          </cell>
          <cell r="L2137" t="str">
            <v>COMPLEMENTARY</v>
          </cell>
          <cell r="M2137" t="str">
            <v>111807</v>
          </cell>
          <cell r="N2137" t="str">
            <v>PASTA</v>
          </cell>
        </row>
        <row r="2138">
          <cell r="C2138" t="str">
            <v>100003248</v>
          </cell>
          <cell r="D2138" t="str">
            <v>NBC-9345-292-AK-200KB</v>
          </cell>
          <cell r="E2138" t="str">
            <v>ZFGD</v>
          </cell>
          <cell r="F2138" t="str">
            <v>PC</v>
          </cell>
          <cell r="G2138" t="str">
            <v>1</v>
          </cell>
          <cell r="H2138" t="str">
            <v>INDUSTRY</v>
          </cell>
          <cell r="I2138" t="str">
            <v>11</v>
          </cell>
          <cell r="J2138" t="str">
            <v>WOOD COATINGS</v>
          </cell>
          <cell r="K2138" t="str">
            <v>1104</v>
          </cell>
          <cell r="L2138" t="str">
            <v>NC</v>
          </cell>
          <cell r="M2138" t="str">
            <v>110403</v>
          </cell>
          <cell r="N2138" t="str">
            <v>ASOF : NC BASE COAT</v>
          </cell>
        </row>
        <row r="2139">
          <cell r="C2139" t="str">
            <v>100003249</v>
          </cell>
          <cell r="D2139" t="str">
            <v>NBC-9345-902-AK-200KB</v>
          </cell>
          <cell r="E2139" t="str">
            <v>ZFGD</v>
          </cell>
          <cell r="F2139" t="str">
            <v>PC</v>
          </cell>
          <cell r="G2139" t="str">
            <v>1</v>
          </cell>
          <cell r="H2139" t="str">
            <v>INDUSTRY</v>
          </cell>
          <cell r="I2139" t="str">
            <v>11</v>
          </cell>
          <cell r="J2139" t="str">
            <v>WOOD COATINGS</v>
          </cell>
          <cell r="K2139" t="str">
            <v>1104</v>
          </cell>
          <cell r="L2139" t="str">
            <v>NC</v>
          </cell>
          <cell r="M2139" t="str">
            <v>110403</v>
          </cell>
          <cell r="N2139" t="str">
            <v>ASOF : NC BASE COAT</v>
          </cell>
        </row>
        <row r="2140">
          <cell r="C2140" t="str">
            <v>100003250</v>
          </cell>
          <cell r="D2140" t="str">
            <v>SYNTHETIC 2000 TRAFFIC GREEN VN-18KP</v>
          </cell>
          <cell r="E2140" t="str">
            <v>ZFGD</v>
          </cell>
          <cell r="F2140" t="str">
            <v>PC</v>
          </cell>
          <cell r="G2140" t="str">
            <v>5</v>
          </cell>
          <cell r="H2140" t="str">
            <v>PROJECT</v>
          </cell>
          <cell r="I2140" t="str">
            <v>59</v>
          </cell>
          <cell r="J2140" t="str">
            <v>MPC</v>
          </cell>
          <cell r="K2140" t="str">
            <v>5902</v>
          </cell>
          <cell r="L2140" t="str">
            <v>SYNTHETIC ENAMEL SB</v>
          </cell>
          <cell r="M2140" t="str">
            <v>590202</v>
          </cell>
          <cell r="N2140" t="str">
            <v>SYNTHETIC 2000</v>
          </cell>
        </row>
        <row r="2141">
          <cell r="C2141" t="str">
            <v>100003251</v>
          </cell>
          <cell r="D2141" t="str">
            <v>NBC-9345-902-AK-20KP</v>
          </cell>
          <cell r="E2141" t="str">
            <v>ZFGD</v>
          </cell>
          <cell r="F2141" t="str">
            <v>PC</v>
          </cell>
          <cell r="G2141" t="str">
            <v>1</v>
          </cell>
          <cell r="H2141" t="str">
            <v>INDUSTRY</v>
          </cell>
          <cell r="I2141" t="str">
            <v>11</v>
          </cell>
          <cell r="J2141" t="str">
            <v>WOOD COATINGS</v>
          </cell>
          <cell r="K2141" t="str">
            <v>1104</v>
          </cell>
          <cell r="L2141" t="str">
            <v>NC</v>
          </cell>
          <cell r="M2141" t="str">
            <v>110403</v>
          </cell>
          <cell r="N2141" t="str">
            <v>ASOF : NC BASE COAT</v>
          </cell>
        </row>
        <row r="2142">
          <cell r="C2142" t="str">
            <v>100003252</v>
          </cell>
          <cell r="D2142" t="str">
            <v>PCWB-31600 XAM A KI VN-20KP</v>
          </cell>
          <cell r="E2142" t="str">
            <v>ZFGD</v>
          </cell>
          <cell r="F2142" t="str">
            <v>PC</v>
          </cell>
          <cell r="G2142" t="str">
            <v>1</v>
          </cell>
          <cell r="H2142" t="str">
            <v>INDUSTRY</v>
          </cell>
          <cell r="I2142" t="str">
            <v>11</v>
          </cell>
          <cell r="J2142" t="str">
            <v>WOOD COATINGS</v>
          </cell>
          <cell r="K2142" t="str">
            <v>1118</v>
          </cell>
          <cell r="L2142" t="str">
            <v>COMPLEMENTARY</v>
          </cell>
          <cell r="M2142" t="str">
            <v>111807</v>
          </cell>
          <cell r="N2142" t="str">
            <v>PASTA</v>
          </cell>
        </row>
        <row r="2143">
          <cell r="C2143" t="str">
            <v>100003253</v>
          </cell>
          <cell r="D2143" t="str">
            <v>PCWB-31600 XAM B KI VN-20KP</v>
          </cell>
          <cell r="E2143" t="str">
            <v>ZFGD</v>
          </cell>
          <cell r="F2143" t="str">
            <v>PC</v>
          </cell>
          <cell r="G2143" t="str">
            <v>1</v>
          </cell>
          <cell r="H2143" t="str">
            <v>INDUSTRY</v>
          </cell>
          <cell r="I2143" t="str">
            <v>11</v>
          </cell>
          <cell r="J2143" t="str">
            <v>WOOD COATINGS</v>
          </cell>
          <cell r="K2143" t="str">
            <v>1118</v>
          </cell>
          <cell r="L2143" t="str">
            <v>COMPLEMENTARY</v>
          </cell>
          <cell r="M2143" t="str">
            <v>111807</v>
          </cell>
          <cell r="N2143" t="str">
            <v>PASTA</v>
          </cell>
        </row>
        <row r="2144">
          <cell r="C2144" t="str">
            <v>100003254</v>
          </cell>
          <cell r="D2144" t="str">
            <v>PCWB-31600 NAU DEN KI VN-20KP</v>
          </cell>
          <cell r="E2144" t="str">
            <v>ZFGD</v>
          </cell>
          <cell r="F2144" t="str">
            <v>PC</v>
          </cell>
          <cell r="G2144" t="str">
            <v>1</v>
          </cell>
          <cell r="H2144" t="str">
            <v>INDUSTRY</v>
          </cell>
          <cell r="I2144" t="str">
            <v>11</v>
          </cell>
          <cell r="J2144" t="str">
            <v>WOOD COATINGS</v>
          </cell>
          <cell r="K2144" t="str">
            <v>1118</v>
          </cell>
          <cell r="L2144" t="str">
            <v>COMPLEMENTARY</v>
          </cell>
          <cell r="M2144" t="str">
            <v>111807</v>
          </cell>
          <cell r="N2144" t="str">
            <v>PASTA</v>
          </cell>
        </row>
        <row r="2145">
          <cell r="C2145" t="str">
            <v>100003255</v>
          </cell>
          <cell r="D2145" t="str">
            <v>PUP-52145 WHITE VN-20KP</v>
          </cell>
          <cell r="E2145" t="str">
            <v>ZFGD</v>
          </cell>
          <cell r="F2145" t="str">
            <v>PC</v>
          </cell>
          <cell r="G2145" t="str">
            <v>1</v>
          </cell>
          <cell r="H2145" t="str">
            <v>INDUSTRY</v>
          </cell>
          <cell r="I2145" t="str">
            <v>11</v>
          </cell>
          <cell r="J2145" t="str">
            <v>WOOD COATINGS</v>
          </cell>
          <cell r="K2145" t="str">
            <v>1103</v>
          </cell>
          <cell r="L2145" t="str">
            <v>PU</v>
          </cell>
          <cell r="M2145" t="str">
            <v>110322</v>
          </cell>
          <cell r="N2145" t="str">
            <v>PU PRIMER</v>
          </cell>
        </row>
        <row r="2146">
          <cell r="C2146" t="str">
            <v>100003256</v>
          </cell>
          <cell r="D2146" t="str">
            <v>PUC-54205 AC 7C 80 MG VN-20KP</v>
          </cell>
          <cell r="E2146" t="str">
            <v>ZFGD</v>
          </cell>
          <cell r="F2146" t="str">
            <v>PC</v>
          </cell>
          <cell r="G2146" t="str">
            <v>1</v>
          </cell>
          <cell r="H2146" t="str">
            <v>INDUSTRY</v>
          </cell>
          <cell r="I2146" t="str">
            <v>11</v>
          </cell>
          <cell r="J2146" t="str">
            <v>WOOD COATINGS</v>
          </cell>
          <cell r="K2146" t="str">
            <v>1103</v>
          </cell>
          <cell r="L2146" t="str">
            <v>PU</v>
          </cell>
          <cell r="M2146" t="str">
            <v>110319</v>
          </cell>
          <cell r="N2146" t="str">
            <v>PU COLOR</v>
          </cell>
        </row>
        <row r="2147">
          <cell r="C2147" t="str">
            <v>100003257</v>
          </cell>
          <cell r="D2147" t="str">
            <v>WBP-1621-WHI-AK-20KP</v>
          </cell>
          <cell r="E2147" t="str">
            <v>ZFGD</v>
          </cell>
          <cell r="F2147" t="str">
            <v>PC</v>
          </cell>
          <cell r="G2147" t="str">
            <v>1</v>
          </cell>
          <cell r="H2147" t="str">
            <v>INDUSTRY</v>
          </cell>
          <cell r="I2147" t="str">
            <v>11</v>
          </cell>
          <cell r="J2147" t="str">
            <v>WOOD COATINGS</v>
          </cell>
          <cell r="K2147" t="str">
            <v>1119</v>
          </cell>
          <cell r="L2147" t="str">
            <v>WATERBASED</v>
          </cell>
          <cell r="M2147" t="str">
            <v>111902</v>
          </cell>
          <cell r="N2147" t="str">
            <v>WATERBASED SYSTEM INTERIOR</v>
          </cell>
        </row>
        <row r="2148">
          <cell r="C2148" t="str">
            <v>100003258</v>
          </cell>
          <cell r="D2148" t="str">
            <v>WBC-1622 355 AK-20KP</v>
          </cell>
          <cell r="E2148" t="str">
            <v>ZFGD</v>
          </cell>
          <cell r="F2148" t="str">
            <v>PC</v>
          </cell>
          <cell r="G2148" t="str">
            <v>1</v>
          </cell>
          <cell r="H2148" t="str">
            <v>INDUSTRY</v>
          </cell>
          <cell r="I2148" t="str">
            <v>11</v>
          </cell>
          <cell r="J2148" t="str">
            <v>WOOD COATINGS</v>
          </cell>
          <cell r="K2148" t="str">
            <v>1119</v>
          </cell>
          <cell r="L2148" t="str">
            <v>WATERBASED</v>
          </cell>
          <cell r="M2148" t="str">
            <v>111902</v>
          </cell>
          <cell r="N2148" t="str">
            <v>WATERBASED SYSTEM INTERIOR</v>
          </cell>
        </row>
        <row r="2149">
          <cell r="C2149" t="str">
            <v>100003259</v>
          </cell>
          <cell r="D2149" t="str">
            <v>WBC-1622 188 AK-20KP</v>
          </cell>
          <cell r="E2149" t="str">
            <v>ZFGD</v>
          </cell>
          <cell r="F2149" t="str">
            <v>PC</v>
          </cell>
          <cell r="G2149" t="str">
            <v>1</v>
          </cell>
          <cell r="H2149" t="str">
            <v>INDUSTRY</v>
          </cell>
          <cell r="I2149" t="str">
            <v>11</v>
          </cell>
          <cell r="J2149" t="str">
            <v>WOOD COATINGS</v>
          </cell>
          <cell r="K2149" t="str">
            <v>1119</v>
          </cell>
          <cell r="L2149" t="str">
            <v>WATERBASED</v>
          </cell>
          <cell r="M2149" t="str">
            <v>111902</v>
          </cell>
          <cell r="N2149" t="str">
            <v>WATERBASED SYSTEM INTERIOR</v>
          </cell>
        </row>
        <row r="2150">
          <cell r="C2150" t="str">
            <v>100003260</v>
          </cell>
          <cell r="D2150" t="str">
            <v>PUC-54206 AC EX BLACK 90 AC VN-20KP</v>
          </cell>
          <cell r="E2150" t="str">
            <v>ZFGD</v>
          </cell>
          <cell r="F2150" t="str">
            <v>PC</v>
          </cell>
          <cell r="G2150" t="str">
            <v>1</v>
          </cell>
          <cell r="H2150" t="str">
            <v>INDUSTRY</v>
          </cell>
          <cell r="I2150" t="str">
            <v>11</v>
          </cell>
          <cell r="J2150" t="str">
            <v>WOOD COATINGS</v>
          </cell>
          <cell r="K2150" t="str">
            <v>1103</v>
          </cell>
          <cell r="L2150" t="str">
            <v>PU</v>
          </cell>
          <cell r="M2150" t="str">
            <v>110319</v>
          </cell>
          <cell r="N2150" t="str">
            <v>PU COLOR</v>
          </cell>
        </row>
        <row r="2151">
          <cell r="C2151" t="str">
            <v>100003261</v>
          </cell>
          <cell r="D2151" t="str">
            <v>PUC-54206 AC EX RED 90 AC VN-20KP</v>
          </cell>
          <cell r="E2151" t="str">
            <v>ZFGD</v>
          </cell>
          <cell r="F2151" t="str">
            <v>PC</v>
          </cell>
          <cell r="G2151" t="str">
            <v>1</v>
          </cell>
          <cell r="H2151" t="str">
            <v>INDUSTRY</v>
          </cell>
          <cell r="I2151" t="str">
            <v>11</v>
          </cell>
          <cell r="J2151" t="str">
            <v>WOOD COATINGS</v>
          </cell>
          <cell r="K2151" t="str">
            <v>1103</v>
          </cell>
          <cell r="L2151" t="str">
            <v>PU</v>
          </cell>
          <cell r="M2151" t="str">
            <v>110319</v>
          </cell>
          <cell r="N2151" t="str">
            <v>PU COLOR</v>
          </cell>
        </row>
        <row r="2152">
          <cell r="C2152" t="str">
            <v>100003262</v>
          </cell>
          <cell r="D2152" t="str">
            <v>WBL-61208 CLEAR 10 VN-20KP</v>
          </cell>
          <cell r="E2152" t="str">
            <v>ZFGD</v>
          </cell>
          <cell r="F2152" t="str">
            <v>PC</v>
          </cell>
          <cell r="G2152" t="str">
            <v>1</v>
          </cell>
          <cell r="H2152" t="str">
            <v>INDUSTRY</v>
          </cell>
          <cell r="I2152" t="str">
            <v>11</v>
          </cell>
          <cell r="J2152" t="str">
            <v>WOOD COATINGS</v>
          </cell>
          <cell r="K2152" t="str">
            <v>1119</v>
          </cell>
          <cell r="L2152" t="str">
            <v>WATERBASED</v>
          </cell>
          <cell r="M2152" t="str">
            <v>111902</v>
          </cell>
          <cell r="N2152" t="str">
            <v>WATERBASED SYSTEM INTERIOR</v>
          </cell>
        </row>
        <row r="2153">
          <cell r="C2153" t="str">
            <v>100003263</v>
          </cell>
          <cell r="D2153" t="str">
            <v>WBL-61208 CLEAR 90 VN-20KP</v>
          </cell>
          <cell r="E2153" t="str">
            <v>ZFGD</v>
          </cell>
          <cell r="F2153" t="str">
            <v>PC</v>
          </cell>
          <cell r="G2153" t="str">
            <v>1</v>
          </cell>
          <cell r="H2153" t="str">
            <v>INDUSTRY</v>
          </cell>
          <cell r="I2153" t="str">
            <v>11</v>
          </cell>
          <cell r="J2153" t="str">
            <v>WOOD COATINGS</v>
          </cell>
          <cell r="K2153" t="str">
            <v>1119</v>
          </cell>
          <cell r="L2153" t="str">
            <v>WATERBASED</v>
          </cell>
          <cell r="M2153" t="str">
            <v>111902</v>
          </cell>
          <cell r="N2153" t="str">
            <v>WATERBASED SYSTEM INTERIOR</v>
          </cell>
        </row>
        <row r="2154">
          <cell r="C2154" t="str">
            <v>100003264</v>
          </cell>
          <cell r="D2154" t="str">
            <v>WBC-62206 WHITE 50 VN-20KP</v>
          </cell>
          <cell r="E2154" t="str">
            <v>ZFGD</v>
          </cell>
          <cell r="F2154" t="str">
            <v>PC</v>
          </cell>
          <cell r="G2154" t="str">
            <v>1</v>
          </cell>
          <cell r="H2154" t="str">
            <v>INDUSTRY</v>
          </cell>
          <cell r="I2154" t="str">
            <v>11</v>
          </cell>
          <cell r="J2154" t="str">
            <v>WOOD COATINGS</v>
          </cell>
          <cell r="K2154" t="str">
            <v>1119</v>
          </cell>
          <cell r="L2154" t="str">
            <v>WATERBASED</v>
          </cell>
          <cell r="M2154" t="str">
            <v>111902</v>
          </cell>
          <cell r="N2154" t="str">
            <v>WATERBASED SYSTEM INTERIOR</v>
          </cell>
        </row>
        <row r="2155">
          <cell r="C2155" t="str">
            <v>100003265</v>
          </cell>
          <cell r="D2155" t="str">
            <v>WBC-62206 WHITE 10 VN-20KP</v>
          </cell>
          <cell r="E2155" t="str">
            <v>ZFGD</v>
          </cell>
          <cell r="F2155" t="str">
            <v>PC</v>
          </cell>
          <cell r="G2155" t="str">
            <v>1</v>
          </cell>
          <cell r="H2155" t="str">
            <v>INDUSTRY</v>
          </cell>
          <cell r="I2155" t="str">
            <v>11</v>
          </cell>
          <cell r="J2155" t="str">
            <v>WOOD COATINGS</v>
          </cell>
          <cell r="K2155" t="str">
            <v>1119</v>
          </cell>
          <cell r="L2155" t="str">
            <v>WATERBASED</v>
          </cell>
          <cell r="M2155" t="str">
            <v>111902</v>
          </cell>
          <cell r="N2155" t="str">
            <v>WATERBASED SYSTEM INTERIOR</v>
          </cell>
        </row>
        <row r="2156">
          <cell r="C2156" t="str">
            <v>100003266</v>
          </cell>
          <cell r="D2156" t="str">
            <v>WBP-64120 EX WHITE VN-20KP</v>
          </cell>
          <cell r="E2156" t="str">
            <v>ZFGD</v>
          </cell>
          <cell r="F2156" t="str">
            <v>PC</v>
          </cell>
          <cell r="G2156" t="str">
            <v>1</v>
          </cell>
          <cell r="H2156" t="str">
            <v>INDUSTRY</v>
          </cell>
          <cell r="I2156" t="str">
            <v>11</v>
          </cell>
          <cell r="J2156" t="str">
            <v>WOOD COATINGS</v>
          </cell>
          <cell r="K2156" t="str">
            <v>1119</v>
          </cell>
          <cell r="L2156" t="str">
            <v>WATERBASED</v>
          </cell>
          <cell r="M2156" t="str">
            <v>111901</v>
          </cell>
          <cell r="N2156" t="str">
            <v>WATERBASED SYSTEM EXTERIOR</v>
          </cell>
        </row>
        <row r="2157">
          <cell r="C2157" t="str">
            <v>100003267</v>
          </cell>
          <cell r="D2157" t="str">
            <v>WBP-64121 EX WHITE VN-20KP</v>
          </cell>
          <cell r="E2157" t="str">
            <v>ZFGD</v>
          </cell>
          <cell r="F2157" t="str">
            <v>PC</v>
          </cell>
          <cell r="G2157" t="str">
            <v>1</v>
          </cell>
          <cell r="H2157" t="str">
            <v>INDUSTRY</v>
          </cell>
          <cell r="I2157" t="str">
            <v>11</v>
          </cell>
          <cell r="J2157" t="str">
            <v>WOOD COATINGS</v>
          </cell>
          <cell r="K2157" t="str">
            <v>1119</v>
          </cell>
          <cell r="L2157" t="str">
            <v>WATERBASED</v>
          </cell>
          <cell r="M2157" t="str">
            <v>111901</v>
          </cell>
          <cell r="N2157" t="str">
            <v>WATERBASED SYSTEM EXTERIOR</v>
          </cell>
        </row>
        <row r="2158">
          <cell r="C2158" t="str">
            <v>100003268</v>
          </cell>
          <cell r="D2158" t="str">
            <v>WBP-62107 HF WHITE VN-20KP</v>
          </cell>
          <cell r="E2158" t="str">
            <v>ZFGD</v>
          </cell>
          <cell r="F2158" t="str">
            <v>PC</v>
          </cell>
          <cell r="G2158" t="str">
            <v>1</v>
          </cell>
          <cell r="H2158" t="str">
            <v>INDUSTRY</v>
          </cell>
          <cell r="I2158" t="str">
            <v>11</v>
          </cell>
          <cell r="J2158" t="str">
            <v>WOOD COATINGS</v>
          </cell>
          <cell r="K2158" t="str">
            <v>1119</v>
          </cell>
          <cell r="L2158" t="str">
            <v>WATERBASED</v>
          </cell>
          <cell r="M2158" t="str">
            <v>111902</v>
          </cell>
          <cell r="N2158" t="str">
            <v>WATERBASED SYSTEM INTERIOR</v>
          </cell>
        </row>
        <row r="2159">
          <cell r="C2159" t="str">
            <v>100003269</v>
          </cell>
          <cell r="D2159" t="str">
            <v>WBP-62107 MF WHITE VN-20KP</v>
          </cell>
          <cell r="E2159" t="str">
            <v>ZFGD</v>
          </cell>
          <cell r="F2159" t="str">
            <v>PC</v>
          </cell>
          <cell r="G2159" t="str">
            <v>1</v>
          </cell>
          <cell r="H2159" t="str">
            <v>INDUSTRY</v>
          </cell>
          <cell r="I2159" t="str">
            <v>11</v>
          </cell>
          <cell r="J2159" t="str">
            <v>WOOD COATINGS</v>
          </cell>
          <cell r="K2159" t="str">
            <v>1119</v>
          </cell>
          <cell r="L2159" t="str">
            <v>WATERBASED</v>
          </cell>
          <cell r="M2159" t="str">
            <v>111902</v>
          </cell>
          <cell r="N2159" t="str">
            <v>WATERBASED SYSTEM INTERIOR</v>
          </cell>
        </row>
        <row r="2160">
          <cell r="C2160" t="str">
            <v>100003270</v>
          </cell>
          <cell r="D2160" t="str">
            <v>PCA-31100 WALNUT  B TL VN-20LJ</v>
          </cell>
          <cell r="E2160" t="str">
            <v>ZFGD</v>
          </cell>
          <cell r="F2160" t="str">
            <v>PC</v>
          </cell>
          <cell r="G2160" t="str">
            <v>1</v>
          </cell>
          <cell r="H2160" t="str">
            <v>INDUSTRY</v>
          </cell>
          <cell r="I2160" t="str">
            <v>11</v>
          </cell>
          <cell r="J2160" t="str">
            <v>WOOD COATINGS</v>
          </cell>
          <cell r="K2160" t="str">
            <v>1118</v>
          </cell>
          <cell r="L2160" t="str">
            <v>COMPLEMENTARY</v>
          </cell>
          <cell r="M2160" t="str">
            <v>111807</v>
          </cell>
          <cell r="N2160" t="str">
            <v>PASTA</v>
          </cell>
        </row>
        <row r="2161">
          <cell r="C2161" t="str">
            <v>100003271</v>
          </cell>
          <cell r="D2161" t="str">
            <v>PCA-31100 KIAN TABLE TL VN-20LJ</v>
          </cell>
          <cell r="E2161" t="str">
            <v>ZFGD</v>
          </cell>
          <cell r="F2161" t="str">
            <v>PC</v>
          </cell>
          <cell r="G2161" t="str">
            <v>1</v>
          </cell>
          <cell r="H2161" t="str">
            <v>INDUSTRY</v>
          </cell>
          <cell r="I2161" t="str">
            <v>11</v>
          </cell>
          <cell r="J2161" t="str">
            <v>WOOD COATINGS</v>
          </cell>
          <cell r="K2161" t="str">
            <v>1118</v>
          </cell>
          <cell r="L2161" t="str">
            <v>COMPLEMENTARY</v>
          </cell>
          <cell r="M2161" t="str">
            <v>111807</v>
          </cell>
          <cell r="N2161" t="str">
            <v>PASTA</v>
          </cell>
        </row>
        <row r="2162">
          <cell r="C2162" t="str">
            <v>100003272</v>
          </cell>
          <cell r="D2162" t="str">
            <v>SST-11100 KIAN TABLE TL VN-20LJ</v>
          </cell>
          <cell r="E2162" t="str">
            <v>ZFGD</v>
          </cell>
          <cell r="F2162" t="str">
            <v>PC</v>
          </cell>
          <cell r="G2162" t="str">
            <v>1</v>
          </cell>
          <cell r="H2162" t="str">
            <v>INDUSTRY</v>
          </cell>
          <cell r="I2162" t="str">
            <v>11</v>
          </cell>
          <cell r="J2162" t="str">
            <v>WOOD COATINGS</v>
          </cell>
          <cell r="K2162" t="str">
            <v>1109</v>
          </cell>
          <cell r="L2162" t="str">
            <v>STAIN &amp; GLAZE INTERIOR</v>
          </cell>
          <cell r="M2162" t="str">
            <v>110903</v>
          </cell>
          <cell r="N2162" t="str">
            <v>STAIN INTERIOR</v>
          </cell>
        </row>
        <row r="2163">
          <cell r="C2163" t="str">
            <v>100003273</v>
          </cell>
          <cell r="D2163" t="str">
            <v>64-56 MICRO FILLER 07 DG VN-20KP</v>
          </cell>
          <cell r="E2163" t="str">
            <v>ZFGD</v>
          </cell>
          <cell r="F2163" t="str">
            <v>PC</v>
          </cell>
          <cell r="G2163" t="str">
            <v>1</v>
          </cell>
          <cell r="H2163" t="str">
            <v>INDUSTRY</v>
          </cell>
          <cell r="I2163" t="str">
            <v>11</v>
          </cell>
          <cell r="J2163" t="str">
            <v>WOOD COATINGS</v>
          </cell>
          <cell r="K2163" t="str">
            <v>1103</v>
          </cell>
          <cell r="L2163" t="str">
            <v>PU</v>
          </cell>
          <cell r="M2163" t="str">
            <v>110305</v>
          </cell>
          <cell r="N2163" t="str">
            <v>UNION FILLER</v>
          </cell>
        </row>
        <row r="2164">
          <cell r="C2164" t="str">
            <v>100003274</v>
          </cell>
          <cell r="D2164" t="str">
            <v>SST-11100 07 DG VN-20LJ</v>
          </cell>
          <cell r="E2164" t="str">
            <v>ZFGD</v>
          </cell>
          <cell r="F2164" t="str">
            <v>PC</v>
          </cell>
          <cell r="G2164" t="str">
            <v>1</v>
          </cell>
          <cell r="H2164" t="str">
            <v>INDUSTRY</v>
          </cell>
          <cell r="I2164" t="str">
            <v>11</v>
          </cell>
          <cell r="J2164" t="str">
            <v>WOOD COATINGS</v>
          </cell>
          <cell r="K2164" t="str">
            <v>1109</v>
          </cell>
          <cell r="L2164" t="str">
            <v>STAIN &amp; GLAZE INTERIOR</v>
          </cell>
          <cell r="M2164" t="str">
            <v>110903</v>
          </cell>
          <cell r="N2164" t="str">
            <v>STAIN INTERIOR</v>
          </cell>
        </row>
        <row r="2165">
          <cell r="C2165" t="str">
            <v>100003275</v>
          </cell>
          <cell r="D2165" t="str">
            <v>SST-11100 08 DG VN-20LJ</v>
          </cell>
          <cell r="E2165" t="str">
            <v>ZFGD</v>
          </cell>
          <cell r="F2165" t="str">
            <v>PC</v>
          </cell>
          <cell r="G2165" t="str">
            <v>1</v>
          </cell>
          <cell r="H2165" t="str">
            <v>INDUSTRY</v>
          </cell>
          <cell r="I2165" t="str">
            <v>11</v>
          </cell>
          <cell r="J2165" t="str">
            <v>WOOD COATINGS</v>
          </cell>
          <cell r="K2165" t="str">
            <v>1109</v>
          </cell>
          <cell r="L2165" t="str">
            <v>STAIN &amp; GLAZE INTERIOR</v>
          </cell>
          <cell r="M2165" t="str">
            <v>110903</v>
          </cell>
          <cell r="N2165" t="str">
            <v>STAIN INTERIOR</v>
          </cell>
        </row>
        <row r="2166">
          <cell r="C2166" t="str">
            <v>100003276</v>
          </cell>
          <cell r="D2166" t="str">
            <v>NBC-9345 351 AK-20KP</v>
          </cell>
          <cell r="E2166" t="str">
            <v>ZFGD</v>
          </cell>
          <cell r="F2166" t="str">
            <v>PC</v>
          </cell>
          <cell r="G2166" t="str">
            <v>1</v>
          </cell>
          <cell r="H2166" t="str">
            <v>INDUSTRY</v>
          </cell>
          <cell r="I2166" t="str">
            <v>11</v>
          </cell>
          <cell r="J2166" t="str">
            <v>WOOD COATINGS</v>
          </cell>
          <cell r="K2166" t="str">
            <v>1104</v>
          </cell>
          <cell r="L2166" t="str">
            <v>NC</v>
          </cell>
          <cell r="M2166" t="str">
            <v>110403</v>
          </cell>
          <cell r="N2166" t="str">
            <v>ASOF : NC BASE COAT</v>
          </cell>
        </row>
        <row r="2167">
          <cell r="C2167" t="str">
            <v>100003277</v>
          </cell>
          <cell r="D2167" t="str">
            <v>NBC-9345 W902 AK-200KB</v>
          </cell>
          <cell r="E2167" t="str">
            <v>ZFGD</v>
          </cell>
          <cell r="F2167" t="str">
            <v>PC</v>
          </cell>
          <cell r="G2167" t="str">
            <v>1</v>
          </cell>
          <cell r="H2167" t="str">
            <v>INDUSTRY</v>
          </cell>
          <cell r="I2167" t="str">
            <v>11</v>
          </cell>
          <cell r="J2167" t="str">
            <v>WOOD COATINGS</v>
          </cell>
          <cell r="K2167" t="str">
            <v>1104</v>
          </cell>
          <cell r="L2167" t="str">
            <v>NC</v>
          </cell>
          <cell r="M2167" t="str">
            <v>110403</v>
          </cell>
          <cell r="N2167" t="str">
            <v>ASOF : NC BASE COAT</v>
          </cell>
        </row>
        <row r="2168">
          <cell r="C2168" t="str">
            <v>100003278</v>
          </cell>
          <cell r="D2168" t="str">
            <v>PUP-52135 PT02 BLUE KD VN-20KP</v>
          </cell>
          <cell r="E2168" t="str">
            <v>ZFGD</v>
          </cell>
          <cell r="F2168" t="str">
            <v>PC</v>
          </cell>
          <cell r="G2168" t="str">
            <v>1</v>
          </cell>
          <cell r="H2168" t="str">
            <v>INDUSTRY</v>
          </cell>
          <cell r="I2168" t="str">
            <v>11</v>
          </cell>
          <cell r="J2168" t="str">
            <v>WOOD COATINGS</v>
          </cell>
          <cell r="K2168" t="str">
            <v>1103</v>
          </cell>
          <cell r="L2168" t="str">
            <v>PU</v>
          </cell>
          <cell r="M2168" t="str">
            <v>110322</v>
          </cell>
          <cell r="N2168" t="str">
            <v>PU PRIMER</v>
          </cell>
        </row>
        <row r="2169">
          <cell r="C2169" t="str">
            <v>100003279</v>
          </cell>
          <cell r="D2169" t="str">
            <v>PUC-54205 AC PT01 60 KD VN-20KP</v>
          </cell>
          <cell r="E2169" t="str">
            <v>ZFGD</v>
          </cell>
          <cell r="F2169" t="str">
            <v>PC</v>
          </cell>
          <cell r="G2169" t="str">
            <v>1</v>
          </cell>
          <cell r="H2169" t="str">
            <v>INDUSTRY</v>
          </cell>
          <cell r="I2169" t="str">
            <v>11</v>
          </cell>
          <cell r="J2169" t="str">
            <v>WOOD COATINGS</v>
          </cell>
          <cell r="K2169" t="str">
            <v>1103</v>
          </cell>
          <cell r="L2169" t="str">
            <v>PU</v>
          </cell>
          <cell r="M2169" t="str">
            <v>110319</v>
          </cell>
          <cell r="N2169" t="str">
            <v>PU COLOR</v>
          </cell>
        </row>
        <row r="2170">
          <cell r="C2170" t="str">
            <v>100003280</v>
          </cell>
          <cell r="D2170" t="str">
            <v>PUC-54205 AC PT02 BLUE 20 KD VN-20KP</v>
          </cell>
          <cell r="E2170" t="str">
            <v>ZFGD</v>
          </cell>
          <cell r="F2170" t="str">
            <v>PC</v>
          </cell>
          <cell r="G2170" t="str">
            <v>1</v>
          </cell>
          <cell r="H2170" t="str">
            <v>INDUSTRY</v>
          </cell>
          <cell r="I2170" t="str">
            <v>11</v>
          </cell>
          <cell r="J2170" t="str">
            <v>WOOD COATINGS</v>
          </cell>
          <cell r="K2170" t="str">
            <v>1103</v>
          </cell>
          <cell r="L2170" t="str">
            <v>PU</v>
          </cell>
          <cell r="M2170" t="str">
            <v>110319</v>
          </cell>
          <cell r="N2170" t="str">
            <v>PU COLOR</v>
          </cell>
        </row>
        <row r="2171">
          <cell r="C2171" t="str">
            <v>100003281</v>
          </cell>
          <cell r="D2171" t="str">
            <v>AL-090 VN-4K</v>
          </cell>
          <cell r="E2171" t="str">
            <v>ZFGD</v>
          </cell>
          <cell r="F2171" t="str">
            <v>PC</v>
          </cell>
          <cell r="G2171" t="str">
            <v>1</v>
          </cell>
          <cell r="H2171" t="str">
            <v>INDUSTRY</v>
          </cell>
          <cell r="I2171" t="str">
            <v>11</v>
          </cell>
          <cell r="J2171" t="str">
            <v>WOOD COATINGS</v>
          </cell>
          <cell r="K2171" t="str">
            <v>1103</v>
          </cell>
          <cell r="L2171" t="str">
            <v>PU</v>
          </cell>
          <cell r="M2171" t="str">
            <v>110325</v>
          </cell>
          <cell r="N2171" t="str">
            <v>UNION HARDENER</v>
          </cell>
        </row>
        <row r="2172">
          <cell r="C2172" t="str">
            <v>100003282</v>
          </cell>
          <cell r="D2172" t="str">
            <v>AL-090 VN-20KP</v>
          </cell>
          <cell r="E2172" t="str">
            <v>ZFGD</v>
          </cell>
          <cell r="F2172" t="str">
            <v>PC</v>
          </cell>
          <cell r="G2172" t="str">
            <v>1</v>
          </cell>
          <cell r="H2172" t="str">
            <v>INDUSTRY</v>
          </cell>
          <cell r="I2172" t="str">
            <v>11</v>
          </cell>
          <cell r="J2172" t="str">
            <v>WOOD COATINGS</v>
          </cell>
          <cell r="K2172" t="str">
            <v>1103</v>
          </cell>
          <cell r="L2172" t="str">
            <v>PU</v>
          </cell>
          <cell r="M2172" t="str">
            <v>110325</v>
          </cell>
          <cell r="N2172" t="str">
            <v>UNION HARDENER</v>
          </cell>
        </row>
        <row r="2173">
          <cell r="C2173" t="str">
            <v>100003283</v>
          </cell>
          <cell r="D2173" t="str">
            <v>AP-9982-SY30-AK-1K</v>
          </cell>
          <cell r="E2173" t="str">
            <v>ZFGD</v>
          </cell>
          <cell r="F2173" t="str">
            <v>PC</v>
          </cell>
          <cell r="G2173" t="str">
            <v>1</v>
          </cell>
          <cell r="H2173" t="str">
            <v>INDUSTRY</v>
          </cell>
          <cell r="I2173" t="str">
            <v>11</v>
          </cell>
          <cell r="J2173" t="str">
            <v>WOOD COATINGS</v>
          </cell>
          <cell r="K2173" t="str">
            <v>1118</v>
          </cell>
          <cell r="L2173" t="str">
            <v>COMPLEMENTARY</v>
          </cell>
          <cell r="M2173" t="str">
            <v>111802</v>
          </cell>
          <cell r="N2173" t="str">
            <v>ASOF : POWDER &amp; MATTING SOLUTION</v>
          </cell>
        </row>
        <row r="2174">
          <cell r="C2174" t="str">
            <v>100003284</v>
          </cell>
          <cell r="D2174" t="str">
            <v>NBC-9345 W902 AK-20KP</v>
          </cell>
          <cell r="E2174" t="str">
            <v>ZFGD</v>
          </cell>
          <cell r="F2174" t="str">
            <v>PC</v>
          </cell>
          <cell r="G2174" t="str">
            <v>1</v>
          </cell>
          <cell r="H2174" t="str">
            <v>INDUSTRY</v>
          </cell>
          <cell r="I2174" t="str">
            <v>11</v>
          </cell>
          <cell r="J2174" t="str">
            <v>WOOD COATINGS</v>
          </cell>
          <cell r="K2174" t="str">
            <v>1104</v>
          </cell>
          <cell r="L2174" t="str">
            <v>NC</v>
          </cell>
          <cell r="M2174" t="str">
            <v>110405</v>
          </cell>
          <cell r="N2174" t="str">
            <v>NC SYSTEM</v>
          </cell>
        </row>
        <row r="2175">
          <cell r="C2175" t="str">
            <v>100003285</v>
          </cell>
          <cell r="D2175" t="str">
            <v>PCWB-31600 VDB HCP PASTE-4K</v>
          </cell>
          <cell r="E2175" t="str">
            <v>ZFGD</v>
          </cell>
          <cell r="F2175" t="str">
            <v>PC</v>
          </cell>
          <cell r="G2175" t="str">
            <v>1</v>
          </cell>
          <cell r="H2175" t="str">
            <v>INDUSTRY</v>
          </cell>
          <cell r="I2175" t="str">
            <v>11</v>
          </cell>
          <cell r="J2175" t="str">
            <v>WOOD COATINGS</v>
          </cell>
          <cell r="K2175" t="str">
            <v>1118</v>
          </cell>
          <cell r="L2175" t="str">
            <v>COMPLEMENTARY</v>
          </cell>
          <cell r="M2175" t="str">
            <v>111807</v>
          </cell>
          <cell r="N2175" t="str">
            <v>PASTA</v>
          </cell>
        </row>
        <row r="2176">
          <cell r="C2176" t="str">
            <v>100003286</v>
          </cell>
          <cell r="D2176" t="str">
            <v>PP-9981-111-AK-1K</v>
          </cell>
          <cell r="E2176" t="str">
            <v>ZFGD</v>
          </cell>
          <cell r="F2176" t="str">
            <v>PC</v>
          </cell>
          <cell r="G2176" t="str">
            <v>1</v>
          </cell>
          <cell r="H2176" t="str">
            <v>INDUSTRY</v>
          </cell>
          <cell r="I2176" t="str">
            <v>11</v>
          </cell>
          <cell r="J2176" t="str">
            <v>WOOD COATINGS</v>
          </cell>
          <cell r="K2176" t="str">
            <v>1118</v>
          </cell>
          <cell r="L2176" t="str">
            <v>COMPLEMENTARY</v>
          </cell>
          <cell r="M2176" t="str">
            <v>111802</v>
          </cell>
          <cell r="N2176" t="str">
            <v>ASOF : POWDER &amp; MATTING SOLUTION</v>
          </cell>
        </row>
        <row r="2177">
          <cell r="C2177" t="str">
            <v>100003287</v>
          </cell>
          <cell r="D2177" t="str">
            <v>PCA-2311-WH-AK-4K</v>
          </cell>
          <cell r="E2177" t="str">
            <v>ZFGD</v>
          </cell>
          <cell r="F2177" t="str">
            <v>PC</v>
          </cell>
          <cell r="G2177" t="str">
            <v>1</v>
          </cell>
          <cell r="H2177" t="str">
            <v>INDUSTRY</v>
          </cell>
          <cell r="I2177" t="str">
            <v>11</v>
          </cell>
          <cell r="J2177" t="str">
            <v>WOOD COATINGS</v>
          </cell>
          <cell r="K2177" t="str">
            <v>1118</v>
          </cell>
          <cell r="L2177" t="str">
            <v>COMPLEMENTARY</v>
          </cell>
          <cell r="M2177" t="str">
            <v>111807</v>
          </cell>
          <cell r="N2177" t="str">
            <v>PASTA</v>
          </cell>
        </row>
        <row r="2178">
          <cell r="C2178" t="str">
            <v>100003288</v>
          </cell>
          <cell r="D2178" t="str">
            <v>PCA-2311-ROB-AK-4K</v>
          </cell>
          <cell r="E2178" t="str">
            <v>ZFGD</v>
          </cell>
          <cell r="F2178" t="str">
            <v>PC</v>
          </cell>
          <cell r="G2178" t="str">
            <v>1</v>
          </cell>
          <cell r="H2178" t="str">
            <v>INDUSTRY</v>
          </cell>
          <cell r="I2178" t="str">
            <v>11</v>
          </cell>
          <cell r="J2178" t="str">
            <v>WOOD COATINGS</v>
          </cell>
          <cell r="K2178" t="str">
            <v>1118</v>
          </cell>
          <cell r="L2178" t="str">
            <v>COMPLEMENTARY</v>
          </cell>
          <cell r="M2178" t="str">
            <v>111807</v>
          </cell>
          <cell r="N2178" t="str">
            <v>PASTA</v>
          </cell>
        </row>
        <row r="2179">
          <cell r="C2179" t="str">
            <v>100003289</v>
          </cell>
          <cell r="D2179" t="str">
            <v>SST-11100 111MTRG03 GE VN-20LJ</v>
          </cell>
          <cell r="E2179" t="str">
            <v>ZFGD</v>
          </cell>
          <cell r="F2179" t="str">
            <v>PC</v>
          </cell>
          <cell r="G2179" t="str">
            <v>1</v>
          </cell>
          <cell r="H2179" t="str">
            <v>INDUSTRY</v>
          </cell>
          <cell r="I2179" t="str">
            <v>11</v>
          </cell>
          <cell r="J2179" t="str">
            <v>WOOD COATINGS</v>
          </cell>
          <cell r="K2179" t="str">
            <v>1109</v>
          </cell>
          <cell r="L2179" t="str">
            <v>STAIN &amp; GLAZE INTERIOR</v>
          </cell>
          <cell r="M2179" t="str">
            <v>110903</v>
          </cell>
          <cell r="N2179" t="str">
            <v>STAIN INTERIOR</v>
          </cell>
        </row>
        <row r="2180">
          <cell r="C2180" t="str">
            <v>100003290</v>
          </cell>
          <cell r="D2180" t="str">
            <v>PCWB-31600 WD03 A GE VN-20KP</v>
          </cell>
          <cell r="E2180" t="str">
            <v>ZFGD</v>
          </cell>
          <cell r="F2180" t="str">
            <v>PC</v>
          </cell>
          <cell r="G2180" t="str">
            <v>1</v>
          </cell>
          <cell r="H2180" t="str">
            <v>INDUSTRY</v>
          </cell>
          <cell r="I2180" t="str">
            <v>11</v>
          </cell>
          <cell r="J2180" t="str">
            <v>WOOD COATINGS</v>
          </cell>
          <cell r="K2180" t="str">
            <v>1118</v>
          </cell>
          <cell r="L2180" t="str">
            <v>COMPLEMENTARY</v>
          </cell>
          <cell r="M2180" t="str">
            <v>111807</v>
          </cell>
          <cell r="N2180" t="str">
            <v>PASTA</v>
          </cell>
        </row>
        <row r="2181">
          <cell r="C2181" t="str">
            <v>100003291</v>
          </cell>
          <cell r="D2181" t="str">
            <v>PCL-31300 WD03 B GE VN-20LJ</v>
          </cell>
          <cell r="E2181" t="str">
            <v>ZFGD</v>
          </cell>
          <cell r="F2181" t="str">
            <v>PC</v>
          </cell>
          <cell r="G2181" t="str">
            <v>1</v>
          </cell>
          <cell r="H2181" t="str">
            <v>INDUSTRY</v>
          </cell>
          <cell r="I2181" t="str">
            <v>11</v>
          </cell>
          <cell r="J2181" t="str">
            <v>WOOD COATINGS</v>
          </cell>
          <cell r="K2181" t="str">
            <v>1118</v>
          </cell>
          <cell r="L2181" t="str">
            <v>COMPLEMENTARY</v>
          </cell>
          <cell r="M2181" t="str">
            <v>111807</v>
          </cell>
          <cell r="N2181" t="str">
            <v>PASTA</v>
          </cell>
        </row>
        <row r="2182">
          <cell r="C2182" t="str">
            <v>100003292</v>
          </cell>
          <cell r="D2182" t="str">
            <v>PCL-31300 WD03 C GE VN-20LJ</v>
          </cell>
          <cell r="E2182" t="str">
            <v>ZFGD</v>
          </cell>
          <cell r="F2182" t="str">
            <v>PC</v>
          </cell>
          <cell r="G2182" t="str">
            <v>1</v>
          </cell>
          <cell r="H2182" t="str">
            <v>INDUSTRY</v>
          </cell>
          <cell r="I2182" t="str">
            <v>11</v>
          </cell>
          <cell r="J2182" t="str">
            <v>WOOD COATINGS</v>
          </cell>
          <cell r="K2182" t="str">
            <v>1118</v>
          </cell>
          <cell r="L2182" t="str">
            <v>COMPLEMENTARY</v>
          </cell>
          <cell r="M2182" t="str">
            <v>111807</v>
          </cell>
          <cell r="N2182" t="str">
            <v>PASTA</v>
          </cell>
        </row>
        <row r="2183">
          <cell r="C2183" t="str">
            <v>100003293</v>
          </cell>
          <cell r="D2183" t="str">
            <v>PUL-53306 AC EX CLEAR 60 VN-20LP</v>
          </cell>
          <cell r="E2183" t="str">
            <v>ZFGD</v>
          </cell>
          <cell r="F2183" t="str">
            <v>PC</v>
          </cell>
          <cell r="G2183" t="str">
            <v>1</v>
          </cell>
          <cell r="H2183" t="str">
            <v>INDUSTRY</v>
          </cell>
          <cell r="I2183" t="str">
            <v>11</v>
          </cell>
          <cell r="J2183" t="str">
            <v>WOOD COATINGS</v>
          </cell>
          <cell r="K2183" t="str">
            <v>1103</v>
          </cell>
          <cell r="L2183" t="str">
            <v>PU</v>
          </cell>
          <cell r="M2183" t="str">
            <v>110321</v>
          </cell>
          <cell r="N2183" t="str">
            <v>PU LACQUER</v>
          </cell>
        </row>
        <row r="2184">
          <cell r="C2184" t="str">
            <v>100003294</v>
          </cell>
          <cell r="D2184" t="str">
            <v>WBL-61202 CLEAR 30 VN-20KP</v>
          </cell>
          <cell r="E2184" t="str">
            <v>ZFGD</v>
          </cell>
          <cell r="F2184" t="str">
            <v>PC</v>
          </cell>
          <cell r="G2184" t="str">
            <v>1</v>
          </cell>
          <cell r="H2184" t="str">
            <v>INDUSTRY</v>
          </cell>
          <cell r="I2184" t="str">
            <v>11</v>
          </cell>
          <cell r="J2184" t="str">
            <v>WOOD COATINGS</v>
          </cell>
          <cell r="K2184" t="str">
            <v>1119</v>
          </cell>
          <cell r="L2184" t="str">
            <v>WATERBASED</v>
          </cell>
          <cell r="M2184" t="str">
            <v>111902</v>
          </cell>
          <cell r="N2184" t="str">
            <v>WATERBASED SYSTEM INTERIOR</v>
          </cell>
        </row>
        <row r="2185">
          <cell r="C2185" t="str">
            <v>100003296</v>
          </cell>
          <cell r="D2185" t="str">
            <v>SST-11100 BH357 BH VN-20LJ</v>
          </cell>
          <cell r="E2185" t="str">
            <v>ZFGD</v>
          </cell>
          <cell r="F2185" t="str">
            <v>PC</v>
          </cell>
          <cell r="G2185" t="str">
            <v>1</v>
          </cell>
          <cell r="H2185" t="str">
            <v>INDUSTRY</v>
          </cell>
          <cell r="I2185" t="str">
            <v>11</v>
          </cell>
          <cell r="J2185" t="str">
            <v>WOOD COATINGS</v>
          </cell>
          <cell r="K2185" t="str">
            <v>1109</v>
          </cell>
          <cell r="L2185" t="str">
            <v>STAIN &amp; GLAZE INTERIOR</v>
          </cell>
          <cell r="M2185" t="str">
            <v>110903</v>
          </cell>
          <cell r="N2185" t="str">
            <v>STAIN INTERIOR</v>
          </cell>
        </row>
        <row r="2186">
          <cell r="C2186" t="str">
            <v>100003297</v>
          </cell>
          <cell r="D2186" t="str">
            <v>DC-12223 LC BH210 10 BH VN-20KP</v>
          </cell>
          <cell r="E2186" t="str">
            <v>ZFGD</v>
          </cell>
          <cell r="F2186" t="str">
            <v>PC</v>
          </cell>
          <cell r="G2186" t="str">
            <v>1</v>
          </cell>
          <cell r="H2186" t="str">
            <v>INDUSTRY</v>
          </cell>
          <cell r="I2186" t="str">
            <v>11</v>
          </cell>
          <cell r="J2186" t="str">
            <v>WOOD COATINGS</v>
          </cell>
          <cell r="K2186" t="str">
            <v>1104</v>
          </cell>
          <cell r="L2186" t="str">
            <v>NC</v>
          </cell>
          <cell r="M2186" t="str">
            <v>110405</v>
          </cell>
          <cell r="N2186" t="str">
            <v>NC SYSTEM</v>
          </cell>
        </row>
        <row r="2187">
          <cell r="C2187" t="str">
            <v>100003298</v>
          </cell>
          <cell r="D2187" t="str">
            <v>PUC-52239 BH1 20 BH VN-20KP</v>
          </cell>
          <cell r="E2187" t="str">
            <v>ZFGD</v>
          </cell>
          <cell r="F2187" t="str">
            <v>PC</v>
          </cell>
          <cell r="G2187" t="str">
            <v>1</v>
          </cell>
          <cell r="H2187" t="str">
            <v>INDUSTRY</v>
          </cell>
          <cell r="I2187" t="str">
            <v>11</v>
          </cell>
          <cell r="J2187" t="str">
            <v>WOOD COATINGS</v>
          </cell>
          <cell r="K2187" t="str">
            <v>1103</v>
          </cell>
          <cell r="L2187" t="str">
            <v>PU</v>
          </cell>
          <cell r="M2187" t="str">
            <v>110319</v>
          </cell>
          <cell r="N2187" t="str">
            <v>PU COLOR</v>
          </cell>
        </row>
        <row r="2188">
          <cell r="C2188" t="str">
            <v>100003299</v>
          </cell>
          <cell r="D2188" t="str">
            <v>MPUL-13700 20 VN-16KP</v>
          </cell>
          <cell r="E2188" t="str">
            <v>ZFGD</v>
          </cell>
          <cell r="F2188" t="str">
            <v>PC</v>
          </cell>
          <cell r="G2188" t="str">
            <v>1</v>
          </cell>
          <cell r="H2188" t="str">
            <v>INDUSTRY</v>
          </cell>
          <cell r="I2188" t="str">
            <v>16</v>
          </cell>
          <cell r="J2188" t="str">
            <v>METAL COATINGS</v>
          </cell>
          <cell r="K2188" t="str">
            <v>1601</v>
          </cell>
          <cell r="L2188" t="str">
            <v>METAL COATINGS</v>
          </cell>
          <cell r="M2188" t="str">
            <v>160101</v>
          </cell>
          <cell r="N2188" t="str">
            <v>METAL COATINGS</v>
          </cell>
        </row>
        <row r="2189">
          <cell r="C2189" t="str">
            <v>100003300</v>
          </cell>
          <cell r="D2189" t="str">
            <v>PCA-31100 02 FS VN-20LJ</v>
          </cell>
          <cell r="E2189" t="str">
            <v>ZFGD</v>
          </cell>
          <cell r="F2189" t="str">
            <v>PC</v>
          </cell>
          <cell r="G2189" t="str">
            <v>1</v>
          </cell>
          <cell r="H2189" t="str">
            <v>INDUSTRY</v>
          </cell>
          <cell r="I2189" t="str">
            <v>11</v>
          </cell>
          <cell r="J2189" t="str">
            <v>WOOD COATINGS</v>
          </cell>
          <cell r="K2189" t="str">
            <v>1118</v>
          </cell>
          <cell r="L2189" t="str">
            <v>COMPLEMENTARY</v>
          </cell>
          <cell r="M2189" t="str">
            <v>111807</v>
          </cell>
          <cell r="N2189" t="str">
            <v>PASTA</v>
          </cell>
        </row>
        <row r="2190">
          <cell r="C2190" t="str">
            <v>100003301</v>
          </cell>
          <cell r="D2190" t="str">
            <v>NBC-9345 998 AK-20KP</v>
          </cell>
          <cell r="E2190" t="str">
            <v>ZFGD</v>
          </cell>
          <cell r="F2190" t="str">
            <v>PC</v>
          </cell>
          <cell r="G2190" t="str">
            <v>1</v>
          </cell>
          <cell r="H2190" t="str">
            <v>INDUSTRY</v>
          </cell>
          <cell r="I2190" t="str">
            <v>11</v>
          </cell>
          <cell r="J2190" t="str">
            <v>WOOD COATINGS</v>
          </cell>
          <cell r="K2190" t="str">
            <v>1104</v>
          </cell>
          <cell r="L2190" t="str">
            <v>NC</v>
          </cell>
          <cell r="M2190" t="str">
            <v>110403</v>
          </cell>
          <cell r="N2190" t="str">
            <v>ASOF : NC BASE COAT</v>
          </cell>
        </row>
        <row r="2191">
          <cell r="C2191" t="str">
            <v>100003302</v>
          </cell>
          <cell r="D2191" t="str">
            <v>NBC-9345 998 AK-200KB</v>
          </cell>
          <cell r="E2191" t="str">
            <v>ZFGD</v>
          </cell>
          <cell r="F2191" t="str">
            <v>PC</v>
          </cell>
          <cell r="G2191" t="str">
            <v>1</v>
          </cell>
          <cell r="H2191" t="str">
            <v>INDUSTRY</v>
          </cell>
          <cell r="I2191" t="str">
            <v>11</v>
          </cell>
          <cell r="J2191" t="str">
            <v>WOOD COATINGS</v>
          </cell>
          <cell r="K2191" t="str">
            <v>1104</v>
          </cell>
          <cell r="L2191" t="str">
            <v>NC</v>
          </cell>
          <cell r="M2191" t="str">
            <v>110403</v>
          </cell>
          <cell r="N2191" t="str">
            <v>ASOF : NC BASE COAT</v>
          </cell>
        </row>
        <row r="2192">
          <cell r="C2192" t="str">
            <v>100003303</v>
          </cell>
          <cell r="D2192" t="str">
            <v>NBC-9345-568-AK-20KP</v>
          </cell>
          <cell r="E2192" t="str">
            <v>ZFGD</v>
          </cell>
          <cell r="F2192" t="str">
            <v>PC</v>
          </cell>
          <cell r="G2192" t="str">
            <v>1</v>
          </cell>
          <cell r="H2192" t="str">
            <v>INDUSTRY</v>
          </cell>
          <cell r="I2192" t="str">
            <v>11</v>
          </cell>
          <cell r="J2192" t="str">
            <v>WOOD COATINGS</v>
          </cell>
          <cell r="K2192" t="str">
            <v>1104</v>
          </cell>
          <cell r="L2192" t="str">
            <v>NC</v>
          </cell>
          <cell r="M2192" t="str">
            <v>110403</v>
          </cell>
          <cell r="N2192" t="str">
            <v>ASOF : NC BASE COAT</v>
          </cell>
        </row>
        <row r="2193">
          <cell r="C2193" t="str">
            <v>100003304</v>
          </cell>
          <cell r="D2193" t="str">
            <v>NBC-9345-568-AK-200KB</v>
          </cell>
          <cell r="E2193" t="str">
            <v>ZFGD</v>
          </cell>
          <cell r="F2193" t="str">
            <v>PC</v>
          </cell>
          <cell r="G2193" t="str">
            <v>1</v>
          </cell>
          <cell r="H2193" t="str">
            <v>INDUSTRY</v>
          </cell>
          <cell r="I2193" t="str">
            <v>11</v>
          </cell>
          <cell r="J2193" t="str">
            <v>WOOD COATINGS</v>
          </cell>
          <cell r="K2193" t="str">
            <v>1104</v>
          </cell>
          <cell r="L2193" t="str">
            <v>NC</v>
          </cell>
          <cell r="M2193" t="str">
            <v>110403</v>
          </cell>
          <cell r="N2193" t="str">
            <v>ASOF : NC BASE COAT</v>
          </cell>
        </row>
        <row r="2194">
          <cell r="C2194" t="str">
            <v>100003305</v>
          </cell>
          <cell r="D2194" t="str">
            <v>NCL-1113-30W-AK-18KP</v>
          </cell>
          <cell r="E2194" t="str">
            <v>ZFGD</v>
          </cell>
          <cell r="F2194" t="str">
            <v>PC</v>
          </cell>
          <cell r="G2194" t="str">
            <v>1</v>
          </cell>
          <cell r="H2194" t="str">
            <v>INDUSTRY</v>
          </cell>
          <cell r="I2194" t="str">
            <v>11</v>
          </cell>
          <cell r="J2194" t="str">
            <v>WOOD COATINGS</v>
          </cell>
          <cell r="K2194" t="str">
            <v>1104</v>
          </cell>
          <cell r="L2194" t="str">
            <v>NC</v>
          </cell>
          <cell r="M2194" t="str">
            <v>110405</v>
          </cell>
          <cell r="N2194" t="str">
            <v>NC SYSTEM</v>
          </cell>
        </row>
        <row r="2195">
          <cell r="C2195" t="str">
            <v>100003306</v>
          </cell>
          <cell r="D2195" t="str">
            <v>PUC-52239 DARK GREEN 10 NS VN-20KP</v>
          </cell>
          <cell r="E2195" t="str">
            <v>ZFGD</v>
          </cell>
          <cell r="F2195" t="str">
            <v>PC</v>
          </cell>
          <cell r="G2195" t="str">
            <v>1</v>
          </cell>
          <cell r="H2195" t="str">
            <v>INDUSTRY</v>
          </cell>
          <cell r="I2195" t="str">
            <v>11</v>
          </cell>
          <cell r="J2195" t="str">
            <v>WOOD COATINGS</v>
          </cell>
          <cell r="K2195" t="str">
            <v>1103</v>
          </cell>
          <cell r="L2195" t="str">
            <v>PU</v>
          </cell>
          <cell r="M2195" t="str">
            <v>110319</v>
          </cell>
          <cell r="N2195" t="str">
            <v>PU COLOR</v>
          </cell>
        </row>
        <row r="2196">
          <cell r="C2196" t="str">
            <v>100003307</v>
          </cell>
          <cell r="D2196" t="str">
            <v>64-56 MICRO FILLER BH356 BH VN-20KP</v>
          </cell>
          <cell r="E2196" t="str">
            <v>ZFGD</v>
          </cell>
          <cell r="F2196" t="str">
            <v>PC</v>
          </cell>
          <cell r="G2196" t="str">
            <v>1</v>
          </cell>
          <cell r="H2196" t="str">
            <v>INDUSTRY</v>
          </cell>
          <cell r="I2196" t="str">
            <v>11</v>
          </cell>
          <cell r="J2196" t="str">
            <v>WOOD COATINGS</v>
          </cell>
          <cell r="K2196" t="str">
            <v>1103</v>
          </cell>
          <cell r="L2196" t="str">
            <v>PU</v>
          </cell>
          <cell r="M2196" t="str">
            <v>110305</v>
          </cell>
          <cell r="N2196" t="str">
            <v>UNION FILLER</v>
          </cell>
        </row>
        <row r="2197">
          <cell r="C2197" t="str">
            <v>100003308</v>
          </cell>
          <cell r="D2197" t="str">
            <v>SST-11100 BH356 BH VN-20LJ</v>
          </cell>
          <cell r="E2197" t="str">
            <v>ZFGD</v>
          </cell>
          <cell r="F2197" t="str">
            <v>PC</v>
          </cell>
          <cell r="G2197" t="str">
            <v>1</v>
          </cell>
          <cell r="H2197" t="str">
            <v>INDUSTRY</v>
          </cell>
          <cell r="I2197" t="str">
            <v>11</v>
          </cell>
          <cell r="J2197" t="str">
            <v>WOOD COATINGS</v>
          </cell>
          <cell r="K2197" t="str">
            <v>1109</v>
          </cell>
          <cell r="L2197" t="str">
            <v>STAIN &amp; GLAZE INTERIOR</v>
          </cell>
          <cell r="M2197" t="str">
            <v>110903</v>
          </cell>
          <cell r="N2197" t="str">
            <v>STAIN INTERIOR</v>
          </cell>
        </row>
        <row r="2198">
          <cell r="C2198" t="str">
            <v>100003309</v>
          </cell>
          <cell r="D2198" t="str">
            <v>#NUWBC-1622 W10 AK-20KP</v>
          </cell>
          <cell r="E2198" t="str">
            <v>ZFGD</v>
          </cell>
          <cell r="F2198" t="str">
            <v>PC</v>
          </cell>
          <cell r="G2198" t="str">
            <v>1</v>
          </cell>
          <cell r="H2198" t="str">
            <v>INDUSTRY</v>
          </cell>
          <cell r="I2198" t="str">
            <v>11</v>
          </cell>
          <cell r="J2198" t="str">
            <v>WOOD COATINGS</v>
          </cell>
          <cell r="K2198" t="str">
            <v>1111</v>
          </cell>
          <cell r="L2198" t="str">
            <v>WATERBASED SYSTEM INTERIOR</v>
          </cell>
          <cell r="M2198" t="str">
            <v>111104</v>
          </cell>
          <cell r="N2198" t="str">
            <v>WATERBASED SYSTEM INTERIOR</v>
          </cell>
        </row>
        <row r="2199">
          <cell r="C2199" t="str">
            <v>100003310</v>
          </cell>
          <cell r="D2199" t="str">
            <v>#NUPW-2316 R35 AK-4K</v>
          </cell>
          <cell r="E2199" t="str">
            <v>ZFGD</v>
          </cell>
          <cell r="F2199" t="str">
            <v>PC</v>
          </cell>
          <cell r="G2199" t="str">
            <v>1</v>
          </cell>
          <cell r="H2199" t="str">
            <v>INDUSTRY</v>
          </cell>
          <cell r="I2199" t="str">
            <v>11</v>
          </cell>
          <cell r="J2199" t="str">
            <v>WOOD COATINGS</v>
          </cell>
          <cell r="K2199" t="str">
            <v>1113</v>
          </cell>
          <cell r="L2199" t="str">
            <v>LAIN-LAIN WF I</v>
          </cell>
          <cell r="M2199" t="str">
            <v>111305</v>
          </cell>
          <cell r="N2199" t="str">
            <v>PASTA</v>
          </cell>
        </row>
        <row r="2200">
          <cell r="C2200" t="str">
            <v>100003311</v>
          </cell>
          <cell r="D2200" t="str">
            <v>#NUPW-2316 YAR AK-4K</v>
          </cell>
          <cell r="E2200" t="str">
            <v>ZFGD</v>
          </cell>
          <cell r="F2200" t="str">
            <v>PC</v>
          </cell>
          <cell r="G2200" t="str">
            <v>1</v>
          </cell>
          <cell r="H2200" t="str">
            <v>INDUSTRY</v>
          </cell>
          <cell r="I2200" t="str">
            <v>11</v>
          </cell>
          <cell r="J2200" t="str">
            <v>WOOD COATINGS</v>
          </cell>
          <cell r="K2200" t="str">
            <v>1113</v>
          </cell>
          <cell r="L2200" t="str">
            <v>LAIN-LAIN WF I</v>
          </cell>
          <cell r="M2200" t="str">
            <v>111305</v>
          </cell>
          <cell r="N2200" t="str">
            <v>PASTA</v>
          </cell>
        </row>
        <row r="2201">
          <cell r="C2201" t="str">
            <v>100003312</v>
          </cell>
          <cell r="D2201" t="str">
            <v>#NUPW-2316 YOR AK-4K</v>
          </cell>
          <cell r="E2201" t="str">
            <v>ZFGD</v>
          </cell>
          <cell r="F2201" t="str">
            <v>PC</v>
          </cell>
          <cell r="G2201" t="str">
            <v>1</v>
          </cell>
          <cell r="H2201" t="str">
            <v>INDUSTRY</v>
          </cell>
          <cell r="I2201" t="str">
            <v>11</v>
          </cell>
          <cell r="J2201" t="str">
            <v>WOOD COATINGS</v>
          </cell>
          <cell r="K2201" t="str">
            <v>1113</v>
          </cell>
          <cell r="L2201" t="str">
            <v>LAIN-LAIN WF I</v>
          </cell>
          <cell r="M2201" t="str">
            <v>111305</v>
          </cell>
          <cell r="N2201" t="str">
            <v>PASTA</v>
          </cell>
        </row>
        <row r="2202">
          <cell r="C2202" t="str">
            <v>100003313</v>
          </cell>
          <cell r="D2202" t="str">
            <v>#NUPW-2316 BUO AK-4K</v>
          </cell>
          <cell r="E2202" t="str">
            <v>ZFGD</v>
          </cell>
          <cell r="F2202" t="str">
            <v>PC</v>
          </cell>
          <cell r="G2202" t="str">
            <v>1</v>
          </cell>
          <cell r="H2202" t="str">
            <v>INDUSTRY</v>
          </cell>
          <cell r="I2202" t="str">
            <v>11</v>
          </cell>
          <cell r="J2202" t="str">
            <v>WOOD COATINGS</v>
          </cell>
          <cell r="K2202" t="str">
            <v>1113</v>
          </cell>
          <cell r="L2202" t="str">
            <v>LAIN-LAIN WF I</v>
          </cell>
          <cell r="M2202" t="str">
            <v>111305</v>
          </cell>
          <cell r="N2202" t="str">
            <v>PASTA</v>
          </cell>
        </row>
        <row r="2203">
          <cell r="C2203" t="str">
            <v>100003314</v>
          </cell>
          <cell r="D2203" t="str">
            <v>#NUPW-2316 BLO AK-4K</v>
          </cell>
          <cell r="E2203" t="str">
            <v>ZFGD</v>
          </cell>
          <cell r="F2203" t="str">
            <v>PC</v>
          </cell>
          <cell r="G2203" t="str">
            <v>1</v>
          </cell>
          <cell r="H2203" t="str">
            <v>INDUSTRY</v>
          </cell>
          <cell r="I2203" t="str">
            <v>11</v>
          </cell>
          <cell r="J2203" t="str">
            <v>WOOD COATINGS</v>
          </cell>
          <cell r="K2203" t="str">
            <v>1113</v>
          </cell>
          <cell r="L2203" t="str">
            <v>LAIN-LAIN WF I</v>
          </cell>
          <cell r="M2203" t="str">
            <v>111305</v>
          </cell>
          <cell r="N2203" t="str">
            <v>PASTA</v>
          </cell>
        </row>
        <row r="2204">
          <cell r="C2204" t="str">
            <v>100003315</v>
          </cell>
          <cell r="D2204" t="str">
            <v>WBC-1622-W10-AK-20KP</v>
          </cell>
          <cell r="E2204" t="str">
            <v>ZFGD</v>
          </cell>
          <cell r="F2204" t="str">
            <v>PC</v>
          </cell>
          <cell r="G2204" t="str">
            <v>1</v>
          </cell>
          <cell r="H2204" t="str">
            <v>INDUSTRY</v>
          </cell>
          <cell r="I2204" t="str">
            <v>11</v>
          </cell>
          <cell r="J2204" t="str">
            <v>WOOD COATINGS</v>
          </cell>
          <cell r="K2204" t="str">
            <v>1119</v>
          </cell>
          <cell r="L2204" t="str">
            <v>WATERBASED</v>
          </cell>
          <cell r="M2204" t="str">
            <v>111902</v>
          </cell>
          <cell r="N2204" t="str">
            <v>WATERBASED SYSTEM INTERIOR</v>
          </cell>
        </row>
        <row r="2205">
          <cell r="C2205" t="str">
            <v>100003316</v>
          </cell>
          <cell r="D2205" t="str">
            <v>PW-2316-R35-AK-4K</v>
          </cell>
          <cell r="E2205" t="str">
            <v>ZFGD</v>
          </cell>
          <cell r="F2205" t="str">
            <v>PC</v>
          </cell>
          <cell r="G2205" t="str">
            <v>1</v>
          </cell>
          <cell r="H2205" t="str">
            <v>INDUSTRY</v>
          </cell>
          <cell r="I2205" t="str">
            <v>11</v>
          </cell>
          <cell r="J2205" t="str">
            <v>WOOD COATINGS</v>
          </cell>
          <cell r="K2205" t="str">
            <v>1118</v>
          </cell>
          <cell r="L2205" t="str">
            <v>COMPLEMENTARY</v>
          </cell>
          <cell r="M2205" t="str">
            <v>111807</v>
          </cell>
          <cell r="N2205" t="str">
            <v>PASTA</v>
          </cell>
        </row>
        <row r="2206">
          <cell r="C2206" t="str">
            <v>100003317</v>
          </cell>
          <cell r="D2206" t="str">
            <v>PW-2316-YAR-AK-4K</v>
          </cell>
          <cell r="E2206" t="str">
            <v>ZFGD</v>
          </cell>
          <cell r="F2206" t="str">
            <v>PC</v>
          </cell>
          <cell r="G2206" t="str">
            <v>1</v>
          </cell>
          <cell r="H2206" t="str">
            <v>INDUSTRY</v>
          </cell>
          <cell r="I2206" t="str">
            <v>11</v>
          </cell>
          <cell r="J2206" t="str">
            <v>WOOD COATINGS</v>
          </cell>
          <cell r="K2206" t="str">
            <v>1118</v>
          </cell>
          <cell r="L2206" t="str">
            <v>COMPLEMENTARY</v>
          </cell>
          <cell r="M2206" t="str">
            <v>111807</v>
          </cell>
          <cell r="N2206" t="str">
            <v>PASTA</v>
          </cell>
        </row>
        <row r="2207">
          <cell r="C2207" t="str">
            <v>100003318</v>
          </cell>
          <cell r="D2207" t="str">
            <v>PW-2316-YOR-AK-4K</v>
          </cell>
          <cell r="E2207" t="str">
            <v>ZFGD</v>
          </cell>
          <cell r="F2207" t="str">
            <v>PC</v>
          </cell>
          <cell r="G2207" t="str">
            <v>1</v>
          </cell>
          <cell r="H2207" t="str">
            <v>INDUSTRY</v>
          </cell>
          <cell r="I2207" t="str">
            <v>11</v>
          </cell>
          <cell r="J2207" t="str">
            <v>WOOD COATINGS</v>
          </cell>
          <cell r="K2207" t="str">
            <v>1118</v>
          </cell>
          <cell r="L2207" t="str">
            <v>COMPLEMENTARY</v>
          </cell>
          <cell r="M2207" t="str">
            <v>111807</v>
          </cell>
          <cell r="N2207" t="str">
            <v>PASTA</v>
          </cell>
        </row>
        <row r="2208">
          <cell r="C2208" t="str">
            <v>100003319</v>
          </cell>
          <cell r="D2208" t="str">
            <v>PW-2316-BUO-AK-4K</v>
          </cell>
          <cell r="E2208" t="str">
            <v>ZFGD</v>
          </cell>
          <cell r="F2208" t="str">
            <v>PC</v>
          </cell>
          <cell r="G2208" t="str">
            <v>1</v>
          </cell>
          <cell r="H2208" t="str">
            <v>INDUSTRY</v>
          </cell>
          <cell r="I2208" t="str">
            <v>11</v>
          </cell>
          <cell r="J2208" t="str">
            <v>WOOD COATINGS</v>
          </cell>
          <cell r="K2208" t="str">
            <v>1118</v>
          </cell>
          <cell r="L2208" t="str">
            <v>COMPLEMENTARY</v>
          </cell>
          <cell r="M2208" t="str">
            <v>111807</v>
          </cell>
          <cell r="N2208" t="str">
            <v>PASTA</v>
          </cell>
        </row>
        <row r="2209">
          <cell r="C2209" t="str">
            <v>100003320</v>
          </cell>
          <cell r="D2209" t="str">
            <v>PW-2316-BLO-AK-4K</v>
          </cell>
          <cell r="E2209" t="str">
            <v>ZFGD</v>
          </cell>
          <cell r="F2209" t="str">
            <v>PC</v>
          </cell>
          <cell r="G2209" t="str">
            <v>1</v>
          </cell>
          <cell r="H2209" t="str">
            <v>INDUSTRY</v>
          </cell>
          <cell r="I2209" t="str">
            <v>11</v>
          </cell>
          <cell r="J2209" t="str">
            <v>WOOD COATINGS</v>
          </cell>
          <cell r="K2209" t="str">
            <v>1118</v>
          </cell>
          <cell r="L2209" t="str">
            <v>COMPLEMENTARY</v>
          </cell>
          <cell r="M2209" t="str">
            <v>111807</v>
          </cell>
          <cell r="N2209" t="str">
            <v>PASTA</v>
          </cell>
        </row>
        <row r="2210">
          <cell r="C2210" t="str">
            <v>100003321</v>
          </cell>
          <cell r="D2210" t="str">
            <v>PUC-52241 ARC IRON 10 TL VN-20KP</v>
          </cell>
          <cell r="E2210" t="str">
            <v>ZFGD</v>
          </cell>
          <cell r="F2210" t="str">
            <v>PC</v>
          </cell>
          <cell r="G2210" t="str">
            <v>1</v>
          </cell>
          <cell r="H2210" t="str">
            <v>INDUSTRY</v>
          </cell>
          <cell r="I2210" t="str">
            <v>11</v>
          </cell>
          <cell r="J2210" t="str">
            <v>WOOD COATINGS</v>
          </cell>
          <cell r="K2210" t="str">
            <v>1103</v>
          </cell>
          <cell r="L2210" t="str">
            <v>PU</v>
          </cell>
          <cell r="M2210" t="str">
            <v>110319</v>
          </cell>
          <cell r="N2210" t="str">
            <v>PU COLOR</v>
          </cell>
        </row>
        <row r="2211">
          <cell r="C2211" t="str">
            <v>100003322</v>
          </cell>
          <cell r="D2211" t="str">
            <v>PUP-52135 325T FS VN-20KP</v>
          </cell>
          <cell r="E2211" t="str">
            <v>ZFGD</v>
          </cell>
          <cell r="F2211" t="str">
            <v>PC</v>
          </cell>
          <cell r="G2211" t="str">
            <v>1</v>
          </cell>
          <cell r="H2211" t="str">
            <v>INDUSTRY</v>
          </cell>
          <cell r="I2211" t="str">
            <v>11</v>
          </cell>
          <cell r="J2211" t="str">
            <v>WOOD COATINGS</v>
          </cell>
          <cell r="K2211" t="str">
            <v>1103</v>
          </cell>
          <cell r="L2211" t="str">
            <v>PU</v>
          </cell>
          <cell r="M2211" t="str">
            <v>110322</v>
          </cell>
          <cell r="N2211" t="str">
            <v>PU PRIMER</v>
          </cell>
        </row>
        <row r="2212">
          <cell r="C2212" t="str">
            <v>100003323</v>
          </cell>
          <cell r="D2212" t="str">
            <v>PUP-52145 064 F1 VN-20KP</v>
          </cell>
          <cell r="E2212" t="str">
            <v>ZFGD</v>
          </cell>
          <cell r="F2212" t="str">
            <v>PC</v>
          </cell>
          <cell r="G2212" t="str">
            <v>1</v>
          </cell>
          <cell r="H2212" t="str">
            <v>INDUSTRY</v>
          </cell>
          <cell r="I2212" t="str">
            <v>11</v>
          </cell>
          <cell r="J2212" t="str">
            <v>WOOD COATINGS</v>
          </cell>
          <cell r="K2212" t="str">
            <v>1103</v>
          </cell>
          <cell r="L2212" t="str">
            <v>PU</v>
          </cell>
          <cell r="M2212" t="str">
            <v>110322</v>
          </cell>
          <cell r="N2212" t="str">
            <v>PU PRIMER</v>
          </cell>
        </row>
        <row r="2213">
          <cell r="C2213" t="str">
            <v>100003324</v>
          </cell>
          <cell r="D2213" t="str">
            <v>PCL-31300 CLR 064 F1 VN-20LJ</v>
          </cell>
          <cell r="E2213" t="str">
            <v>ZFGD</v>
          </cell>
          <cell r="F2213" t="str">
            <v>PC</v>
          </cell>
          <cell r="G2213" t="str">
            <v>1</v>
          </cell>
          <cell r="H2213" t="str">
            <v>INDUSTRY</v>
          </cell>
          <cell r="I2213" t="str">
            <v>11</v>
          </cell>
          <cell r="J2213" t="str">
            <v>WOOD COATINGS</v>
          </cell>
          <cell r="K2213" t="str">
            <v>1118</v>
          </cell>
          <cell r="L2213" t="str">
            <v>COMPLEMENTARY</v>
          </cell>
          <cell r="M2213" t="str">
            <v>111807</v>
          </cell>
          <cell r="N2213" t="str">
            <v>PASTA</v>
          </cell>
        </row>
        <row r="2214">
          <cell r="C2214" t="str">
            <v>100003325</v>
          </cell>
          <cell r="D2214" t="str">
            <v>PST-12100 1401 KI VN-20LJ</v>
          </cell>
          <cell r="E2214" t="str">
            <v>ZFGD</v>
          </cell>
          <cell r="F2214" t="str">
            <v>PC</v>
          </cell>
          <cell r="G2214" t="str">
            <v>1</v>
          </cell>
          <cell r="H2214" t="str">
            <v>INDUSTRY</v>
          </cell>
          <cell r="I2214" t="str">
            <v>11</v>
          </cell>
          <cell r="J2214" t="str">
            <v>WOOD COATINGS</v>
          </cell>
          <cell r="K2214" t="str">
            <v>1109</v>
          </cell>
          <cell r="L2214" t="str">
            <v>STAIN &amp; GLAZE INTERIOR</v>
          </cell>
          <cell r="M2214" t="str">
            <v>110903</v>
          </cell>
          <cell r="N2214" t="str">
            <v>STAIN INTERIOR</v>
          </cell>
        </row>
        <row r="2215">
          <cell r="C2215" t="str">
            <v>100003326</v>
          </cell>
          <cell r="D2215" t="str">
            <v>UVSS-40105 VN-20KP</v>
          </cell>
          <cell r="E2215" t="str">
            <v>ZFGD</v>
          </cell>
          <cell r="F2215" t="str">
            <v>PC</v>
          </cell>
          <cell r="G2215" t="str">
            <v>1</v>
          </cell>
          <cell r="H2215" t="str">
            <v>INDUSTRY</v>
          </cell>
          <cell r="I2215" t="str">
            <v>11</v>
          </cell>
          <cell r="J2215" t="str">
            <v>WOOD COATINGS</v>
          </cell>
          <cell r="K2215" t="str">
            <v>1106</v>
          </cell>
          <cell r="L2215" t="str">
            <v>UV</v>
          </cell>
          <cell r="M2215" t="str">
            <v>110605</v>
          </cell>
          <cell r="N2215" t="str">
            <v>UV SANDING SEALER</v>
          </cell>
        </row>
        <row r="2216">
          <cell r="C2216" t="str">
            <v>100003327</v>
          </cell>
          <cell r="D2216" t="str">
            <v>WBC-1622-W15-AK-20KP</v>
          </cell>
          <cell r="E2216" t="str">
            <v>ZFGD</v>
          </cell>
          <cell r="F2216" t="str">
            <v>PC</v>
          </cell>
          <cell r="G2216" t="str">
            <v>1</v>
          </cell>
          <cell r="H2216" t="str">
            <v>INDUSTRY</v>
          </cell>
          <cell r="I2216" t="str">
            <v>11</v>
          </cell>
          <cell r="J2216" t="str">
            <v>WOOD COATINGS</v>
          </cell>
          <cell r="K2216" t="str">
            <v>1119</v>
          </cell>
          <cell r="L2216" t="str">
            <v>WATERBASED</v>
          </cell>
          <cell r="M2216" t="str">
            <v>111902</v>
          </cell>
          <cell r="N2216" t="str">
            <v>WATERBASED SYSTEM INTERIOR</v>
          </cell>
        </row>
        <row r="2217">
          <cell r="C2217" t="str">
            <v>100003328</v>
          </cell>
          <cell r="D2217" t="str">
            <v>TOL-76301 N MTT 01 TM VN-20LJ</v>
          </cell>
          <cell r="E2217" t="str">
            <v>ZFGD</v>
          </cell>
          <cell r="F2217" t="str">
            <v>PC</v>
          </cell>
          <cell r="G2217" t="str">
            <v>1</v>
          </cell>
          <cell r="H2217" t="str">
            <v>INDUSTRY</v>
          </cell>
          <cell r="I2217" t="str">
            <v>11</v>
          </cell>
          <cell r="J2217" t="str">
            <v>WOOD COATINGS</v>
          </cell>
          <cell r="K2217" t="str">
            <v>1101</v>
          </cell>
          <cell r="L2217" t="str">
            <v>ALKYD OIL</v>
          </cell>
          <cell r="M2217" t="str">
            <v>110101</v>
          </cell>
          <cell r="N2217" t="str">
            <v>ALKYD &amp; OIL SYSTEM</v>
          </cell>
        </row>
        <row r="2218">
          <cell r="C2218" t="str">
            <v>100003329</v>
          </cell>
          <cell r="D2218" t="str">
            <v>TOL-76301 P DEAD MATT TD VN-20LJ</v>
          </cell>
          <cell r="E2218" t="str">
            <v>ZFGD</v>
          </cell>
          <cell r="F2218" t="str">
            <v>PC</v>
          </cell>
          <cell r="G2218" t="str">
            <v>1</v>
          </cell>
          <cell r="H2218" t="str">
            <v>INDUSTRY</v>
          </cell>
          <cell r="I2218" t="str">
            <v>11</v>
          </cell>
          <cell r="J2218" t="str">
            <v>WOOD COATINGS</v>
          </cell>
          <cell r="K2218" t="str">
            <v>1101</v>
          </cell>
          <cell r="L2218" t="str">
            <v>ALKYD OIL</v>
          </cell>
          <cell r="M2218" t="str">
            <v>110101</v>
          </cell>
          <cell r="N2218" t="str">
            <v>ALKYD &amp; OIL SYSTEM</v>
          </cell>
        </row>
        <row r="2219">
          <cell r="C2219" t="str">
            <v>100003330</v>
          </cell>
          <cell r="D2219" t="str">
            <v>PCA-31100 85 PF VN-20LJ</v>
          </cell>
          <cell r="E2219" t="str">
            <v>ZFGD</v>
          </cell>
          <cell r="F2219" t="str">
            <v>PC</v>
          </cell>
          <cell r="G2219" t="str">
            <v>1</v>
          </cell>
          <cell r="H2219" t="str">
            <v>INDUSTRY</v>
          </cell>
          <cell r="I2219" t="str">
            <v>11</v>
          </cell>
          <cell r="J2219" t="str">
            <v>WOOD COATINGS</v>
          </cell>
          <cell r="K2219" t="str">
            <v>1118</v>
          </cell>
          <cell r="L2219" t="str">
            <v>COMPLEMENTARY</v>
          </cell>
          <cell r="M2219" t="str">
            <v>111807</v>
          </cell>
          <cell r="N2219" t="str">
            <v>PASTA</v>
          </cell>
        </row>
        <row r="2220">
          <cell r="C2220" t="str">
            <v>100003331</v>
          </cell>
          <cell r="D2220" t="str">
            <v>SST-11100 WALNUT 01 MH VN-20LJ</v>
          </cell>
          <cell r="E2220" t="str">
            <v>ZFGD</v>
          </cell>
          <cell r="F2220" t="str">
            <v>PC</v>
          </cell>
          <cell r="G2220" t="str">
            <v>1</v>
          </cell>
          <cell r="H2220" t="str">
            <v>INDUSTRY</v>
          </cell>
          <cell r="I2220" t="str">
            <v>11</v>
          </cell>
          <cell r="J2220" t="str">
            <v>WOOD COATINGS</v>
          </cell>
          <cell r="K2220" t="str">
            <v>1109</v>
          </cell>
          <cell r="L2220" t="str">
            <v>STAIN &amp; GLAZE INTERIOR</v>
          </cell>
          <cell r="M2220" t="str">
            <v>110903</v>
          </cell>
          <cell r="N2220" t="str">
            <v>STAIN INTERIOR</v>
          </cell>
        </row>
        <row r="2221">
          <cell r="C2221" t="str">
            <v>100003332</v>
          </cell>
          <cell r="D2221" t="str">
            <v>SST-11100 MORE HOME A MH VN-20LJ</v>
          </cell>
          <cell r="E2221" t="str">
            <v>ZFGD</v>
          </cell>
          <cell r="F2221" t="str">
            <v>PC</v>
          </cell>
          <cell r="G2221" t="str">
            <v>1</v>
          </cell>
          <cell r="H2221" t="str">
            <v>INDUSTRY</v>
          </cell>
          <cell r="I2221" t="str">
            <v>11</v>
          </cell>
          <cell r="J2221" t="str">
            <v>WOOD COATINGS</v>
          </cell>
          <cell r="K2221" t="str">
            <v>1109</v>
          </cell>
          <cell r="L2221" t="str">
            <v>STAIN &amp; GLAZE INTERIOR</v>
          </cell>
          <cell r="M2221" t="str">
            <v>110903</v>
          </cell>
          <cell r="N2221" t="str">
            <v>STAIN INTERIOR</v>
          </cell>
        </row>
        <row r="2222">
          <cell r="C2222" t="str">
            <v>100003333</v>
          </cell>
          <cell r="D2222" t="str">
            <v>SST-11100 MORE HOME B MH VN-20LJ</v>
          </cell>
          <cell r="E2222" t="str">
            <v>ZFGD</v>
          </cell>
          <cell r="F2222" t="str">
            <v>PC</v>
          </cell>
          <cell r="G2222" t="str">
            <v>1</v>
          </cell>
          <cell r="H2222" t="str">
            <v>INDUSTRY</v>
          </cell>
          <cell r="I2222" t="str">
            <v>11</v>
          </cell>
          <cell r="J2222" t="str">
            <v>WOOD COATINGS</v>
          </cell>
          <cell r="K2222" t="str">
            <v>1109</v>
          </cell>
          <cell r="L2222" t="str">
            <v>STAIN &amp; GLAZE INTERIOR</v>
          </cell>
          <cell r="M2222" t="str">
            <v>110903</v>
          </cell>
          <cell r="N2222" t="str">
            <v>STAIN INTERIOR</v>
          </cell>
        </row>
        <row r="2223">
          <cell r="C2223" t="str">
            <v>100003334</v>
          </cell>
          <cell r="D2223" t="str">
            <v>PCL-31300 YELLOW 170 HR PASTE-4K</v>
          </cell>
          <cell r="E2223" t="str">
            <v>ZFGD</v>
          </cell>
          <cell r="F2223" t="str">
            <v>PC</v>
          </cell>
          <cell r="G2223" t="str">
            <v>1</v>
          </cell>
          <cell r="H2223" t="str">
            <v>INDUSTRY</v>
          </cell>
          <cell r="I2223" t="str">
            <v>11</v>
          </cell>
          <cell r="J2223" t="str">
            <v>WOOD COATINGS</v>
          </cell>
          <cell r="K2223" t="str">
            <v>1118</v>
          </cell>
          <cell r="L2223" t="str">
            <v>COMPLEMENTARY</v>
          </cell>
          <cell r="M2223" t="str">
            <v>111807</v>
          </cell>
          <cell r="N2223" t="str">
            <v>PASTA</v>
          </cell>
        </row>
        <row r="2224">
          <cell r="C2224" t="str">
            <v>100003335</v>
          </cell>
          <cell r="D2224" t="str">
            <v>PCA-31100 DOUBLE TREE TL VN-20LJ</v>
          </cell>
          <cell r="E2224" t="str">
            <v>ZFGD</v>
          </cell>
          <cell r="F2224" t="str">
            <v>PC</v>
          </cell>
          <cell r="G2224" t="str">
            <v>1</v>
          </cell>
          <cell r="H2224" t="str">
            <v>INDUSTRY</v>
          </cell>
          <cell r="I2224" t="str">
            <v>11</v>
          </cell>
          <cell r="J2224" t="str">
            <v>WOOD COATINGS</v>
          </cell>
          <cell r="K2224" t="str">
            <v>1118</v>
          </cell>
          <cell r="L2224" t="str">
            <v>COMPLEMENTARY</v>
          </cell>
          <cell r="M2224" t="str">
            <v>111807</v>
          </cell>
          <cell r="N2224" t="str">
            <v>PASTA</v>
          </cell>
        </row>
        <row r="2225">
          <cell r="C2225" t="str">
            <v>100003336</v>
          </cell>
          <cell r="D2225" t="str">
            <v>SST-11100 DOUBLE TREE TL VN-20LJ</v>
          </cell>
          <cell r="E2225" t="str">
            <v>ZFGD</v>
          </cell>
          <cell r="F2225" t="str">
            <v>PC</v>
          </cell>
          <cell r="G2225" t="str">
            <v>1</v>
          </cell>
          <cell r="H2225" t="str">
            <v>INDUSTRY</v>
          </cell>
          <cell r="I2225" t="str">
            <v>11</v>
          </cell>
          <cell r="J2225" t="str">
            <v>WOOD COATINGS</v>
          </cell>
          <cell r="K2225" t="str">
            <v>1109</v>
          </cell>
          <cell r="L2225" t="str">
            <v>STAIN &amp; GLAZE INTERIOR</v>
          </cell>
          <cell r="M2225" t="str">
            <v>110903</v>
          </cell>
          <cell r="N2225" t="str">
            <v>STAIN INTERIOR</v>
          </cell>
        </row>
        <row r="2226">
          <cell r="C2226" t="str">
            <v>100003337</v>
          </cell>
          <cell r="D2226" t="str">
            <v>64-56 MICRO FILLER 87 PF VN-20KP</v>
          </cell>
          <cell r="E2226" t="str">
            <v>ZFGD</v>
          </cell>
          <cell r="F2226" t="str">
            <v>PC</v>
          </cell>
          <cell r="G2226" t="str">
            <v>1</v>
          </cell>
          <cell r="H2226" t="str">
            <v>INDUSTRY</v>
          </cell>
          <cell r="I2226" t="str">
            <v>11</v>
          </cell>
          <cell r="J2226" t="str">
            <v>WOOD COATINGS</v>
          </cell>
          <cell r="K2226" t="str">
            <v>1103</v>
          </cell>
          <cell r="L2226" t="str">
            <v>PU</v>
          </cell>
          <cell r="M2226" t="str">
            <v>110305</v>
          </cell>
          <cell r="N2226" t="str">
            <v>UNION FILLER</v>
          </cell>
        </row>
        <row r="2227">
          <cell r="C2227" t="str">
            <v>100003338</v>
          </cell>
          <cell r="D2227" t="str">
            <v>SST-11100 87 PF VN-20LJ</v>
          </cell>
          <cell r="E2227" t="str">
            <v>ZFGD</v>
          </cell>
          <cell r="F2227" t="str">
            <v>PC</v>
          </cell>
          <cell r="G2227" t="str">
            <v>1</v>
          </cell>
          <cell r="H2227" t="str">
            <v>INDUSTRY</v>
          </cell>
          <cell r="I2227" t="str">
            <v>11</v>
          </cell>
          <cell r="J2227" t="str">
            <v>WOOD COATINGS</v>
          </cell>
          <cell r="K2227" t="str">
            <v>1109</v>
          </cell>
          <cell r="L2227" t="str">
            <v>STAIN &amp; GLAZE INTERIOR</v>
          </cell>
          <cell r="M2227" t="str">
            <v>110903</v>
          </cell>
          <cell r="N2227" t="str">
            <v>STAIN INTERIOR</v>
          </cell>
        </row>
        <row r="2228">
          <cell r="C2228" t="str">
            <v>100003339</v>
          </cell>
          <cell r="D2228" t="str">
            <v>MPUC-13600 RED FE 50 VN-16KP</v>
          </cell>
          <cell r="E2228" t="str">
            <v>ZFGD</v>
          </cell>
          <cell r="F2228" t="str">
            <v>PC</v>
          </cell>
          <cell r="G2228" t="str">
            <v>1</v>
          </cell>
          <cell r="H2228" t="str">
            <v>INDUSTRY</v>
          </cell>
          <cell r="I2228" t="str">
            <v>16</v>
          </cell>
          <cell r="J2228" t="str">
            <v>METAL COATINGS</v>
          </cell>
          <cell r="K2228" t="str">
            <v>1601</v>
          </cell>
          <cell r="L2228" t="str">
            <v>METAL COATINGS</v>
          </cell>
          <cell r="M2228" t="str">
            <v>160101</v>
          </cell>
          <cell r="N2228" t="str">
            <v>METAL COATINGS</v>
          </cell>
        </row>
        <row r="2229">
          <cell r="C2229" t="str">
            <v>100003340</v>
          </cell>
          <cell r="D2229" t="str">
            <v>MPUC-13600 RED FE 50 VN-4K</v>
          </cell>
          <cell r="E2229" t="str">
            <v>ZFGD</v>
          </cell>
          <cell r="F2229" t="str">
            <v>PC</v>
          </cell>
          <cell r="G2229" t="str">
            <v>1</v>
          </cell>
          <cell r="H2229" t="str">
            <v>INDUSTRY</v>
          </cell>
          <cell r="I2229" t="str">
            <v>16</v>
          </cell>
          <cell r="J2229" t="str">
            <v>METAL COATINGS</v>
          </cell>
          <cell r="K2229" t="str">
            <v>1601</v>
          </cell>
          <cell r="L2229" t="str">
            <v>METAL COATINGS</v>
          </cell>
          <cell r="M2229" t="str">
            <v>160101</v>
          </cell>
          <cell r="N2229" t="str">
            <v>METAL COATINGS</v>
          </cell>
        </row>
        <row r="2230">
          <cell r="C2230" t="str">
            <v>100003341</v>
          </cell>
          <cell r="D2230" t="str">
            <v>PUC-54205 AC 290C 70 MG VN-20KP</v>
          </cell>
          <cell r="E2230" t="str">
            <v>ZFGD</v>
          </cell>
          <cell r="F2230" t="str">
            <v>PC</v>
          </cell>
          <cell r="G2230" t="str">
            <v>1</v>
          </cell>
          <cell r="H2230" t="str">
            <v>INDUSTRY</v>
          </cell>
          <cell r="I2230" t="str">
            <v>11</v>
          </cell>
          <cell r="J2230" t="str">
            <v>WOOD COATINGS</v>
          </cell>
          <cell r="K2230" t="str">
            <v>1103</v>
          </cell>
          <cell r="L2230" t="str">
            <v>PU</v>
          </cell>
          <cell r="M2230" t="str">
            <v>110319</v>
          </cell>
          <cell r="N2230" t="str">
            <v>PU COLOR</v>
          </cell>
        </row>
        <row r="2231">
          <cell r="C2231" t="str">
            <v>100003342</v>
          </cell>
          <cell r="D2231" t="str">
            <v>82-5003 UE AF URT SFC LBG IS A-16KP</v>
          </cell>
          <cell r="E2231" t="str">
            <v>ZFGD</v>
          </cell>
          <cell r="F2231" t="str">
            <v>PC</v>
          </cell>
          <cell r="G2231" t="str">
            <v>1</v>
          </cell>
          <cell r="H2231" t="str">
            <v>INDUSTRY</v>
          </cell>
          <cell r="I2231" t="str">
            <v>11</v>
          </cell>
          <cell r="J2231" t="str">
            <v>WOOD COATINGS</v>
          </cell>
          <cell r="K2231" t="str">
            <v>1103</v>
          </cell>
          <cell r="L2231" t="str">
            <v>PU</v>
          </cell>
          <cell r="M2231" t="str">
            <v>110312</v>
          </cell>
          <cell r="N2231" t="str">
            <v>UNION TOP COAT</v>
          </cell>
        </row>
        <row r="2232">
          <cell r="C2232" t="str">
            <v>100003343</v>
          </cell>
          <cell r="D2232" t="str">
            <v>82-5003 UE AF URT SFC DBG IS A-16KP</v>
          </cell>
          <cell r="E2232" t="str">
            <v>ZFGD</v>
          </cell>
          <cell r="F2232" t="str">
            <v>PC</v>
          </cell>
          <cell r="G2232" t="str">
            <v>1</v>
          </cell>
          <cell r="H2232" t="str">
            <v>INDUSTRY</v>
          </cell>
          <cell r="I2232" t="str">
            <v>11</v>
          </cell>
          <cell r="J2232" t="str">
            <v>WOOD COATINGS</v>
          </cell>
          <cell r="K2232" t="str">
            <v>1103</v>
          </cell>
          <cell r="L2232" t="str">
            <v>PU</v>
          </cell>
          <cell r="M2232" t="str">
            <v>110312</v>
          </cell>
          <cell r="N2232" t="str">
            <v>UNION TOP COAT</v>
          </cell>
        </row>
        <row r="2233">
          <cell r="C2233" t="str">
            <v>100003344</v>
          </cell>
          <cell r="D2233" t="str">
            <v>GZWB-21408 03 MQ VN-20KP</v>
          </cell>
          <cell r="E2233" t="str">
            <v>ZFGD</v>
          </cell>
          <cell r="F2233" t="str">
            <v>PC</v>
          </cell>
          <cell r="G2233" t="str">
            <v>1</v>
          </cell>
          <cell r="H2233" t="str">
            <v>INDUSTRY</v>
          </cell>
          <cell r="I2233" t="str">
            <v>11</v>
          </cell>
          <cell r="J2233" t="str">
            <v>WOOD COATINGS</v>
          </cell>
          <cell r="K2233" t="str">
            <v>1119</v>
          </cell>
          <cell r="L2233" t="str">
            <v>WATERBASED</v>
          </cell>
          <cell r="M2233" t="str">
            <v>111902</v>
          </cell>
          <cell r="N2233" t="str">
            <v>WATERBASED SYSTEM INTERIOR</v>
          </cell>
        </row>
        <row r="2234">
          <cell r="C2234" t="str">
            <v>100003345</v>
          </cell>
          <cell r="D2234" t="str">
            <v>GZPU-21500 15 MQ VN-18KP</v>
          </cell>
          <cell r="E2234" t="str">
            <v>ZFGD</v>
          </cell>
          <cell r="F2234" t="str">
            <v>PC</v>
          </cell>
          <cell r="G2234" t="str">
            <v>1</v>
          </cell>
          <cell r="H2234" t="str">
            <v>INDUSTRY</v>
          </cell>
          <cell r="I2234" t="str">
            <v>11</v>
          </cell>
          <cell r="J2234" t="str">
            <v>WOOD COATINGS</v>
          </cell>
          <cell r="K2234" t="str">
            <v>1103</v>
          </cell>
          <cell r="L2234" t="str">
            <v>PU</v>
          </cell>
          <cell r="M2234" t="str">
            <v>110302</v>
          </cell>
          <cell r="N2234" t="str">
            <v>GLAZE PU</v>
          </cell>
        </row>
        <row r="2235">
          <cell r="C2235" t="str">
            <v>100003346</v>
          </cell>
          <cell r="D2235" t="str">
            <v>SST-11100 15 MQ VN-20LJ</v>
          </cell>
          <cell r="E2235" t="str">
            <v>ZFGD</v>
          </cell>
          <cell r="F2235" t="str">
            <v>PC</v>
          </cell>
          <cell r="G2235" t="str">
            <v>1</v>
          </cell>
          <cell r="H2235" t="str">
            <v>INDUSTRY</v>
          </cell>
          <cell r="I2235" t="str">
            <v>11</v>
          </cell>
          <cell r="J2235" t="str">
            <v>WOOD COATINGS</v>
          </cell>
          <cell r="K2235" t="str">
            <v>1109</v>
          </cell>
          <cell r="L2235" t="str">
            <v>STAIN &amp; GLAZE INTERIOR</v>
          </cell>
          <cell r="M2235" t="str">
            <v>110903</v>
          </cell>
          <cell r="N2235" t="str">
            <v>STAIN INTERIOR</v>
          </cell>
        </row>
        <row r="2236">
          <cell r="C2236" t="str">
            <v>100003350</v>
          </cell>
          <cell r="D2236" t="str">
            <v>PST-12200 1K GHY SC VN-20LJ</v>
          </cell>
          <cell r="E2236" t="str">
            <v>ZFGD</v>
          </cell>
          <cell r="F2236" t="str">
            <v>PC</v>
          </cell>
          <cell r="G2236" t="str">
            <v>1</v>
          </cell>
          <cell r="H2236" t="str">
            <v>INDUSTRY</v>
          </cell>
          <cell r="I2236" t="str">
            <v>11</v>
          </cell>
          <cell r="J2236" t="str">
            <v>WOOD COATINGS</v>
          </cell>
          <cell r="K2236" t="str">
            <v>1101</v>
          </cell>
          <cell r="L2236" t="str">
            <v>ALKYD OIL</v>
          </cell>
          <cell r="M2236" t="str">
            <v>110102</v>
          </cell>
          <cell r="N2236" t="str">
            <v>STAIN EXTERIOR</v>
          </cell>
        </row>
        <row r="2237">
          <cell r="C2237" t="str">
            <v>100003351</v>
          </cell>
          <cell r="D2237" t="str">
            <v>PCL-31300 RG 04 B GE VN-20LJ</v>
          </cell>
          <cell r="E2237" t="str">
            <v>ZFGD</v>
          </cell>
          <cell r="F2237" t="str">
            <v>PC</v>
          </cell>
          <cell r="G2237" t="str">
            <v>1</v>
          </cell>
          <cell r="H2237" t="str">
            <v>INDUSTRY</v>
          </cell>
          <cell r="I2237" t="str">
            <v>11</v>
          </cell>
          <cell r="J2237" t="str">
            <v>WOOD COATINGS</v>
          </cell>
          <cell r="K2237" t="str">
            <v>1118</v>
          </cell>
          <cell r="L2237" t="str">
            <v>COMPLEMENTARY</v>
          </cell>
          <cell r="M2237" t="str">
            <v>111807</v>
          </cell>
          <cell r="N2237" t="str">
            <v>PASTA</v>
          </cell>
        </row>
        <row r="2238">
          <cell r="C2238" t="str">
            <v>100003352</v>
          </cell>
          <cell r="D2238" t="str">
            <v>PG-13900 RG 04 GE VN-20KP</v>
          </cell>
          <cell r="E2238" t="str">
            <v>ZFGD</v>
          </cell>
          <cell r="F2238" t="str">
            <v>PC</v>
          </cell>
          <cell r="G2238" t="str">
            <v>1</v>
          </cell>
          <cell r="H2238" t="str">
            <v>INDUSTRY</v>
          </cell>
          <cell r="I2238" t="str">
            <v>11</v>
          </cell>
          <cell r="J2238" t="str">
            <v>WOOD COATINGS</v>
          </cell>
          <cell r="K2238" t="str">
            <v>1109</v>
          </cell>
          <cell r="L2238" t="str">
            <v>STAIN &amp; GLAZE INTERIOR</v>
          </cell>
          <cell r="M2238" t="str">
            <v>110901</v>
          </cell>
          <cell r="N2238" t="str">
            <v>ASOF : STAIN &amp; GLAZE</v>
          </cell>
        </row>
        <row r="2239">
          <cell r="C2239" t="str">
            <v>100003353</v>
          </cell>
          <cell r="D2239" t="str">
            <v>SST-11100 RG 04 A GE VN-20LJ</v>
          </cell>
          <cell r="E2239" t="str">
            <v>ZFGD</v>
          </cell>
          <cell r="F2239" t="str">
            <v>PC</v>
          </cell>
          <cell r="G2239" t="str">
            <v>1</v>
          </cell>
          <cell r="H2239" t="str">
            <v>INDUSTRY</v>
          </cell>
          <cell r="I2239" t="str">
            <v>11</v>
          </cell>
          <cell r="J2239" t="str">
            <v>WOOD COATINGS</v>
          </cell>
          <cell r="K2239" t="str">
            <v>1109</v>
          </cell>
          <cell r="L2239" t="str">
            <v>STAIN &amp; GLAZE INTERIOR</v>
          </cell>
          <cell r="M2239" t="str">
            <v>110903</v>
          </cell>
          <cell r="N2239" t="str">
            <v>STAIN INTERIOR</v>
          </cell>
        </row>
        <row r="2240">
          <cell r="C2240" t="str">
            <v>100003354</v>
          </cell>
          <cell r="D2240" t="str">
            <v>PUP-52141 BLUE PANTON KD VN-20KP</v>
          </cell>
          <cell r="E2240" t="str">
            <v>ZFGD</v>
          </cell>
          <cell r="F2240" t="str">
            <v>PC</v>
          </cell>
          <cell r="G2240" t="str">
            <v>1</v>
          </cell>
          <cell r="H2240" t="str">
            <v>INDUSTRY</v>
          </cell>
          <cell r="I2240" t="str">
            <v>11</v>
          </cell>
          <cell r="J2240" t="str">
            <v>WOOD COATINGS</v>
          </cell>
          <cell r="K2240" t="str">
            <v>1103</v>
          </cell>
          <cell r="L2240" t="str">
            <v>PU</v>
          </cell>
          <cell r="M2240" t="str">
            <v>110322</v>
          </cell>
          <cell r="N2240" t="str">
            <v>PU PRIMER</v>
          </cell>
        </row>
        <row r="2241">
          <cell r="C2241" t="str">
            <v>100003355</v>
          </cell>
          <cell r="D2241" t="str">
            <v>PUC-52241 BLUE PANTON 10 KD VN-20KP</v>
          </cell>
          <cell r="E2241" t="str">
            <v>ZFGD</v>
          </cell>
          <cell r="F2241" t="str">
            <v>PC</v>
          </cell>
          <cell r="G2241" t="str">
            <v>1</v>
          </cell>
          <cell r="H2241" t="str">
            <v>INDUSTRY</v>
          </cell>
          <cell r="I2241" t="str">
            <v>11</v>
          </cell>
          <cell r="J2241" t="str">
            <v>WOOD COATINGS</v>
          </cell>
          <cell r="K2241" t="str">
            <v>1103</v>
          </cell>
          <cell r="L2241" t="str">
            <v>PU</v>
          </cell>
          <cell r="M2241" t="str">
            <v>110319</v>
          </cell>
          <cell r="N2241" t="str">
            <v>PU COLOR</v>
          </cell>
        </row>
        <row r="2242">
          <cell r="C2242" t="str">
            <v>100003356</v>
          </cell>
          <cell r="D2242" t="str">
            <v>PUP-52135 ANTRACITE KD VN-20KP</v>
          </cell>
          <cell r="E2242" t="str">
            <v>ZFGD</v>
          </cell>
          <cell r="F2242" t="str">
            <v>PC</v>
          </cell>
          <cell r="G2242" t="str">
            <v>1</v>
          </cell>
          <cell r="H2242" t="str">
            <v>INDUSTRY</v>
          </cell>
          <cell r="I2242" t="str">
            <v>11</v>
          </cell>
          <cell r="J2242" t="str">
            <v>WOOD COATINGS</v>
          </cell>
          <cell r="K2242" t="str">
            <v>1103</v>
          </cell>
          <cell r="L2242" t="str">
            <v>PU</v>
          </cell>
          <cell r="M2242" t="str">
            <v>110322</v>
          </cell>
          <cell r="N2242" t="str">
            <v>PU PRIMER</v>
          </cell>
        </row>
        <row r="2243">
          <cell r="C2243" t="str">
            <v>100003357</v>
          </cell>
          <cell r="D2243" t="str">
            <v>PUC-54205 AC ANTRACITE 90 KD VN-20KP</v>
          </cell>
          <cell r="E2243" t="str">
            <v>ZFGD</v>
          </cell>
          <cell r="F2243" t="str">
            <v>PC</v>
          </cell>
          <cell r="G2243" t="str">
            <v>1</v>
          </cell>
          <cell r="H2243" t="str">
            <v>INDUSTRY</v>
          </cell>
          <cell r="I2243" t="str">
            <v>11</v>
          </cell>
          <cell r="J2243" t="str">
            <v>WOOD COATINGS</v>
          </cell>
          <cell r="K2243" t="str">
            <v>1103</v>
          </cell>
          <cell r="L2243" t="str">
            <v>PU</v>
          </cell>
          <cell r="M2243" t="str">
            <v>110319</v>
          </cell>
          <cell r="N2243" t="str">
            <v>PU COLOR</v>
          </cell>
        </row>
        <row r="2244">
          <cell r="C2244" t="str">
            <v>100003358</v>
          </cell>
          <cell r="D2244" t="str">
            <v>PW-2316-ROB-AK-4K</v>
          </cell>
          <cell r="E2244" t="str">
            <v>ZFGD</v>
          </cell>
          <cell r="F2244" t="str">
            <v>PC</v>
          </cell>
          <cell r="G2244" t="str">
            <v>1</v>
          </cell>
          <cell r="H2244" t="str">
            <v>INDUSTRY</v>
          </cell>
          <cell r="I2244" t="str">
            <v>11</v>
          </cell>
          <cell r="J2244" t="str">
            <v>WOOD COATINGS</v>
          </cell>
          <cell r="K2244" t="str">
            <v>1118</v>
          </cell>
          <cell r="L2244" t="str">
            <v>COMPLEMENTARY</v>
          </cell>
          <cell r="M2244" t="str">
            <v>111807</v>
          </cell>
          <cell r="N2244" t="str">
            <v>PASTA</v>
          </cell>
        </row>
        <row r="2245">
          <cell r="C2245" t="str">
            <v>100003359</v>
          </cell>
          <cell r="D2245" t="str">
            <v>AP-98200 MN 02 VN-1K</v>
          </cell>
          <cell r="E2245" t="str">
            <v>ZFGD</v>
          </cell>
          <cell r="F2245" t="str">
            <v>PC</v>
          </cell>
          <cell r="G2245" t="str">
            <v>1</v>
          </cell>
          <cell r="H2245" t="str">
            <v>INDUSTRY</v>
          </cell>
          <cell r="I2245" t="str">
            <v>11</v>
          </cell>
          <cell r="J2245" t="str">
            <v>WOOD COATINGS</v>
          </cell>
          <cell r="K2245" t="str">
            <v>1118</v>
          </cell>
          <cell r="L2245" t="str">
            <v>COMPLEMENTARY</v>
          </cell>
          <cell r="M2245" t="str">
            <v>111802</v>
          </cell>
          <cell r="N2245" t="str">
            <v>ASOF : POWDER &amp; MATTING SOLUTION</v>
          </cell>
        </row>
        <row r="2246">
          <cell r="C2246" t="str">
            <v>100003360</v>
          </cell>
          <cell r="D2246" t="str">
            <v>PUSS-51241 DK VN-20KP</v>
          </cell>
          <cell r="E2246" t="str">
            <v>ZFGD</v>
          </cell>
          <cell r="F2246" t="str">
            <v>PC</v>
          </cell>
          <cell r="G2246" t="str">
            <v>1</v>
          </cell>
          <cell r="H2246" t="str">
            <v>INDUSTRY</v>
          </cell>
          <cell r="I2246" t="str">
            <v>11</v>
          </cell>
          <cell r="J2246" t="str">
            <v>WOOD COATINGS</v>
          </cell>
          <cell r="K2246" t="str">
            <v>1103</v>
          </cell>
          <cell r="L2246" t="str">
            <v>PU</v>
          </cell>
          <cell r="M2246" t="str">
            <v>110323</v>
          </cell>
          <cell r="N2246" t="str">
            <v>PU SANDING SEALER</v>
          </cell>
        </row>
        <row r="2247">
          <cell r="C2247" t="str">
            <v>100003362</v>
          </cell>
          <cell r="D2247" t="str">
            <v>DP-12129 LC 01 WH VN-20KP</v>
          </cell>
          <cell r="E2247" t="str">
            <v>ZFGD</v>
          </cell>
          <cell r="F2247" t="str">
            <v>PC</v>
          </cell>
          <cell r="G2247" t="str">
            <v>1</v>
          </cell>
          <cell r="H2247" t="str">
            <v>INDUSTRY</v>
          </cell>
          <cell r="I2247" t="str">
            <v>11</v>
          </cell>
          <cell r="J2247" t="str">
            <v>WOOD COATINGS</v>
          </cell>
          <cell r="K2247" t="str">
            <v>1104</v>
          </cell>
          <cell r="L2247" t="str">
            <v>NC</v>
          </cell>
          <cell r="M2247" t="str">
            <v>110405</v>
          </cell>
          <cell r="N2247" t="str">
            <v>NC SYSTEM</v>
          </cell>
        </row>
        <row r="2248">
          <cell r="C2248" t="str">
            <v>100003363</v>
          </cell>
          <cell r="D2248" t="str">
            <v>DC-12229 LC 01 05 WH VN-20KP</v>
          </cell>
          <cell r="E2248" t="str">
            <v>ZFGD</v>
          </cell>
          <cell r="F2248" t="str">
            <v>PC</v>
          </cell>
          <cell r="G2248" t="str">
            <v>1</v>
          </cell>
          <cell r="H2248" t="str">
            <v>INDUSTRY</v>
          </cell>
          <cell r="I2248" t="str">
            <v>11</v>
          </cell>
          <cell r="J2248" t="str">
            <v>WOOD COATINGS</v>
          </cell>
          <cell r="K2248" t="str">
            <v>1104</v>
          </cell>
          <cell r="L2248" t="str">
            <v>NC</v>
          </cell>
          <cell r="M2248" t="str">
            <v>110405</v>
          </cell>
          <cell r="N2248" t="str">
            <v>NC SYSTEM</v>
          </cell>
        </row>
        <row r="2249">
          <cell r="C2249" t="str">
            <v>100003364</v>
          </cell>
          <cell r="D2249" t="str">
            <v>PUC-52239 ACC NT 30 TL VN-20KP</v>
          </cell>
          <cell r="E2249" t="str">
            <v>ZFGD</v>
          </cell>
          <cell r="F2249" t="str">
            <v>PC</v>
          </cell>
          <cell r="G2249" t="str">
            <v>1</v>
          </cell>
          <cell r="H2249" t="str">
            <v>INDUSTRY</v>
          </cell>
          <cell r="I2249" t="str">
            <v>11</v>
          </cell>
          <cell r="J2249" t="str">
            <v>WOOD COATINGS</v>
          </cell>
          <cell r="K2249" t="str">
            <v>1103</v>
          </cell>
          <cell r="L2249" t="str">
            <v>PU</v>
          </cell>
          <cell r="M2249" t="str">
            <v>110319</v>
          </cell>
          <cell r="N2249" t="str">
            <v>PU COLOR</v>
          </cell>
        </row>
        <row r="2250">
          <cell r="C2250" t="str">
            <v>100003365</v>
          </cell>
          <cell r="D2250" t="str">
            <v>PUP-52141 ACC NT TL VN-20KP</v>
          </cell>
          <cell r="E2250" t="str">
            <v>ZFGD</v>
          </cell>
          <cell r="F2250" t="str">
            <v>PC</v>
          </cell>
          <cell r="G2250" t="str">
            <v>1</v>
          </cell>
          <cell r="H2250" t="str">
            <v>INDUSTRY</v>
          </cell>
          <cell r="I2250" t="str">
            <v>11</v>
          </cell>
          <cell r="J2250" t="str">
            <v>WOOD COATINGS</v>
          </cell>
          <cell r="K2250" t="str">
            <v>1103</v>
          </cell>
          <cell r="L2250" t="str">
            <v>PU</v>
          </cell>
          <cell r="M2250" t="str">
            <v>110322</v>
          </cell>
          <cell r="N2250" t="str">
            <v>PU PRIMER</v>
          </cell>
        </row>
        <row r="2251">
          <cell r="C2251" t="str">
            <v>100003366</v>
          </cell>
          <cell r="D2251" t="str">
            <v>WBL-61209 CLEAR 70-20KP</v>
          </cell>
          <cell r="E2251" t="str">
            <v>ZFGD</v>
          </cell>
          <cell r="F2251" t="str">
            <v>PC</v>
          </cell>
          <cell r="G2251" t="str">
            <v>1</v>
          </cell>
          <cell r="H2251" t="str">
            <v>INDUSTRY</v>
          </cell>
          <cell r="I2251" t="str">
            <v>11</v>
          </cell>
          <cell r="J2251" t="str">
            <v>WOOD COATINGS</v>
          </cell>
          <cell r="K2251" t="str">
            <v>1119</v>
          </cell>
          <cell r="L2251" t="str">
            <v>WATERBASED</v>
          </cell>
          <cell r="M2251" t="str">
            <v>111902</v>
          </cell>
          <cell r="N2251" t="str">
            <v>WATERBASED SYSTEM INTERIOR</v>
          </cell>
        </row>
        <row r="2252">
          <cell r="C2252" t="str">
            <v>100003374</v>
          </cell>
          <cell r="D2252" t="str">
            <v>UVF-10103 HF WHITE VN-20KP</v>
          </cell>
          <cell r="E2252" t="str">
            <v>ZFGD</v>
          </cell>
          <cell r="F2252" t="str">
            <v>PC</v>
          </cell>
          <cell r="G2252" t="str">
            <v>1</v>
          </cell>
          <cell r="H2252" t="str">
            <v>INDUSTRY</v>
          </cell>
          <cell r="I2252" t="str">
            <v>11</v>
          </cell>
          <cell r="J2252" t="str">
            <v>WOOD COATINGS</v>
          </cell>
          <cell r="K2252" t="str">
            <v>1106</v>
          </cell>
          <cell r="L2252" t="str">
            <v>UV</v>
          </cell>
          <cell r="M2252" t="str">
            <v>110603</v>
          </cell>
          <cell r="N2252" t="str">
            <v>UV FILLER</v>
          </cell>
        </row>
        <row r="2253">
          <cell r="C2253" t="str">
            <v>100003375</v>
          </cell>
          <cell r="D2253" t="str">
            <v>UVP-60103 HF WHITE VN-20KP</v>
          </cell>
          <cell r="E2253" t="str">
            <v>ZFGD</v>
          </cell>
          <cell r="F2253" t="str">
            <v>PC</v>
          </cell>
          <cell r="G2253" t="str">
            <v>1</v>
          </cell>
          <cell r="H2253" t="str">
            <v>INDUSTRY</v>
          </cell>
          <cell r="I2253" t="str">
            <v>11</v>
          </cell>
          <cell r="J2253" t="str">
            <v>WOOD COATINGS</v>
          </cell>
          <cell r="K2253" t="str">
            <v>1106</v>
          </cell>
          <cell r="L2253" t="str">
            <v>UV</v>
          </cell>
          <cell r="M2253" t="str">
            <v>110604</v>
          </cell>
          <cell r="N2253" t="str">
            <v>UV PRIMER</v>
          </cell>
        </row>
        <row r="2254">
          <cell r="C2254" t="str">
            <v>100003376</v>
          </cell>
          <cell r="D2254" t="str">
            <v>WBL-61208 CLEAR 30 VN-20KP</v>
          </cell>
          <cell r="E2254" t="str">
            <v>ZFGD</v>
          </cell>
          <cell r="F2254" t="str">
            <v>PC</v>
          </cell>
          <cell r="G2254" t="str">
            <v>1</v>
          </cell>
          <cell r="H2254" t="str">
            <v>INDUSTRY</v>
          </cell>
          <cell r="I2254" t="str">
            <v>11</v>
          </cell>
          <cell r="J2254" t="str">
            <v>WOOD COATINGS</v>
          </cell>
          <cell r="K2254" t="str">
            <v>1119</v>
          </cell>
          <cell r="L2254" t="str">
            <v>WATERBASED</v>
          </cell>
          <cell r="M2254" t="str">
            <v>111902</v>
          </cell>
          <cell r="N2254" t="str">
            <v>WATERBASED SYSTEM INTERIOR</v>
          </cell>
        </row>
        <row r="2255">
          <cell r="C2255" t="str">
            <v>100003377</v>
          </cell>
          <cell r="D2255" t="str">
            <v>WBC-62208 GREEN 30 KM VN-20KP</v>
          </cell>
          <cell r="E2255" t="str">
            <v>ZFGD</v>
          </cell>
          <cell r="F2255" t="str">
            <v>PC</v>
          </cell>
          <cell r="G2255" t="str">
            <v>1</v>
          </cell>
          <cell r="H2255" t="str">
            <v>INDUSTRY</v>
          </cell>
          <cell r="I2255" t="str">
            <v>11</v>
          </cell>
          <cell r="J2255" t="str">
            <v>WOOD COATINGS</v>
          </cell>
          <cell r="K2255" t="str">
            <v>1119</v>
          </cell>
          <cell r="L2255" t="str">
            <v>WATERBASED</v>
          </cell>
          <cell r="M2255" t="str">
            <v>111902</v>
          </cell>
          <cell r="N2255" t="str">
            <v>WATERBASED SYSTEM INTERIOR</v>
          </cell>
        </row>
        <row r="2256">
          <cell r="C2256" t="str">
            <v>100003378</v>
          </cell>
          <cell r="D2256" t="str">
            <v>WBC-62208 RED 30 KM VN-20KP</v>
          </cell>
          <cell r="E2256" t="str">
            <v>ZFGD</v>
          </cell>
          <cell r="F2256" t="str">
            <v>PC</v>
          </cell>
          <cell r="G2256" t="str">
            <v>1</v>
          </cell>
          <cell r="H2256" t="str">
            <v>INDUSTRY</v>
          </cell>
          <cell r="I2256" t="str">
            <v>11</v>
          </cell>
          <cell r="J2256" t="str">
            <v>WOOD COATINGS</v>
          </cell>
          <cell r="K2256" t="str">
            <v>1119</v>
          </cell>
          <cell r="L2256" t="str">
            <v>WATERBASED</v>
          </cell>
          <cell r="M2256" t="str">
            <v>111902</v>
          </cell>
          <cell r="N2256" t="str">
            <v>WATERBASED SYSTEM INTERIOR</v>
          </cell>
        </row>
        <row r="2257">
          <cell r="C2257" t="str">
            <v>100003379</v>
          </cell>
          <cell r="D2257" t="str">
            <v>WBC-62208 ORANGE 30 KM VN-20KP</v>
          </cell>
          <cell r="E2257" t="str">
            <v>ZFGD</v>
          </cell>
          <cell r="F2257" t="str">
            <v>PC</v>
          </cell>
          <cell r="G2257" t="str">
            <v>1</v>
          </cell>
          <cell r="H2257" t="str">
            <v>INDUSTRY</v>
          </cell>
          <cell r="I2257" t="str">
            <v>11</v>
          </cell>
          <cell r="J2257" t="str">
            <v>WOOD COATINGS</v>
          </cell>
          <cell r="K2257" t="str">
            <v>1119</v>
          </cell>
          <cell r="L2257" t="str">
            <v>WATERBASED</v>
          </cell>
          <cell r="M2257" t="str">
            <v>111902</v>
          </cell>
          <cell r="N2257" t="str">
            <v>WATERBASED SYSTEM INTERIOR</v>
          </cell>
        </row>
        <row r="2258">
          <cell r="C2258" t="str">
            <v>100003380</v>
          </cell>
          <cell r="D2258" t="str">
            <v>WBC-62208 BLUE 30 KM VN-20KP</v>
          </cell>
          <cell r="E2258" t="str">
            <v>ZFGD</v>
          </cell>
          <cell r="F2258" t="str">
            <v>PC</v>
          </cell>
          <cell r="G2258" t="str">
            <v>1</v>
          </cell>
          <cell r="H2258" t="str">
            <v>INDUSTRY</v>
          </cell>
          <cell r="I2258" t="str">
            <v>11</v>
          </cell>
          <cell r="J2258" t="str">
            <v>WOOD COATINGS</v>
          </cell>
          <cell r="K2258" t="str">
            <v>1119</v>
          </cell>
          <cell r="L2258" t="str">
            <v>WATERBASED</v>
          </cell>
          <cell r="M2258" t="str">
            <v>111902</v>
          </cell>
          <cell r="N2258" t="str">
            <v>WATERBASED SYSTEM INTERIOR</v>
          </cell>
        </row>
        <row r="2259">
          <cell r="C2259" t="str">
            <v>100003381</v>
          </cell>
          <cell r="D2259" t="str">
            <v>WBC-62208 VIOLET 30 KM VN-20KP</v>
          </cell>
          <cell r="E2259" t="str">
            <v>ZFGD</v>
          </cell>
          <cell r="F2259" t="str">
            <v>PC</v>
          </cell>
          <cell r="G2259" t="str">
            <v>1</v>
          </cell>
          <cell r="H2259" t="str">
            <v>INDUSTRY</v>
          </cell>
          <cell r="I2259" t="str">
            <v>11</v>
          </cell>
          <cell r="J2259" t="str">
            <v>WOOD COATINGS</v>
          </cell>
          <cell r="K2259" t="str">
            <v>1119</v>
          </cell>
          <cell r="L2259" t="str">
            <v>WATERBASED</v>
          </cell>
          <cell r="M2259" t="str">
            <v>111902</v>
          </cell>
          <cell r="N2259" t="str">
            <v>WATERBASED SYSTEM INTERIOR</v>
          </cell>
        </row>
        <row r="2260">
          <cell r="C2260" t="str">
            <v>100003382</v>
          </cell>
          <cell r="D2260" t="str">
            <v>WBC-62208 YELLOW 30 KM VN-20KP</v>
          </cell>
          <cell r="E2260" t="str">
            <v>ZFGD</v>
          </cell>
          <cell r="F2260" t="str">
            <v>PC</v>
          </cell>
          <cell r="G2260" t="str">
            <v>1</v>
          </cell>
          <cell r="H2260" t="str">
            <v>INDUSTRY</v>
          </cell>
          <cell r="I2260" t="str">
            <v>11</v>
          </cell>
          <cell r="J2260" t="str">
            <v>WOOD COATINGS</v>
          </cell>
          <cell r="K2260" t="str">
            <v>1119</v>
          </cell>
          <cell r="L2260" t="str">
            <v>WATERBASED</v>
          </cell>
          <cell r="M2260" t="str">
            <v>111902</v>
          </cell>
          <cell r="N2260" t="str">
            <v>WATERBASED SYSTEM INTERIOR</v>
          </cell>
        </row>
        <row r="2261">
          <cell r="C2261" t="str">
            <v>100003383</v>
          </cell>
          <cell r="D2261" t="str">
            <v>GZPU-21500 ABB KD VN-18KP</v>
          </cell>
          <cell r="E2261" t="str">
            <v>ZFGD</v>
          </cell>
          <cell r="F2261" t="str">
            <v>PC</v>
          </cell>
          <cell r="G2261" t="str">
            <v>1</v>
          </cell>
          <cell r="H2261" t="str">
            <v>INDUSTRY</v>
          </cell>
          <cell r="I2261" t="str">
            <v>11</v>
          </cell>
          <cell r="J2261" t="str">
            <v>WOOD COATINGS</v>
          </cell>
          <cell r="K2261" t="str">
            <v>1103</v>
          </cell>
          <cell r="L2261" t="str">
            <v>PU</v>
          </cell>
          <cell r="M2261" t="str">
            <v>110302</v>
          </cell>
          <cell r="N2261" t="str">
            <v>GLAZE PU</v>
          </cell>
        </row>
        <row r="2262">
          <cell r="C2262" t="str">
            <v>100003384</v>
          </cell>
          <cell r="D2262" t="str">
            <v>SST-11100 ABB KD VN-20LJ</v>
          </cell>
          <cell r="E2262" t="str">
            <v>ZFGD</v>
          </cell>
          <cell r="F2262" t="str">
            <v>PC</v>
          </cell>
          <cell r="G2262" t="str">
            <v>1</v>
          </cell>
          <cell r="H2262" t="str">
            <v>INDUSTRY</v>
          </cell>
          <cell r="I2262" t="str">
            <v>11</v>
          </cell>
          <cell r="J2262" t="str">
            <v>WOOD COATINGS</v>
          </cell>
          <cell r="K2262" t="str">
            <v>1109</v>
          </cell>
          <cell r="L2262" t="str">
            <v>STAIN &amp; GLAZE INTERIOR</v>
          </cell>
          <cell r="M2262" t="str">
            <v>110903</v>
          </cell>
          <cell r="N2262" t="str">
            <v>STAIN INTERIOR</v>
          </cell>
        </row>
        <row r="2263">
          <cell r="C2263" t="str">
            <v>100003385</v>
          </cell>
          <cell r="D2263" t="str">
            <v>PCL-31300 122MW401 GE VN-20LJ</v>
          </cell>
          <cell r="E2263" t="str">
            <v>ZFGD</v>
          </cell>
          <cell r="F2263" t="str">
            <v>PC</v>
          </cell>
          <cell r="G2263" t="str">
            <v>1</v>
          </cell>
          <cell r="H2263" t="str">
            <v>INDUSTRY</v>
          </cell>
          <cell r="I2263" t="str">
            <v>11</v>
          </cell>
          <cell r="J2263" t="str">
            <v>WOOD COATINGS</v>
          </cell>
          <cell r="K2263" t="str">
            <v>1118</v>
          </cell>
          <cell r="L2263" t="str">
            <v>COMPLEMENTARY</v>
          </cell>
          <cell r="M2263" t="str">
            <v>111807</v>
          </cell>
          <cell r="N2263" t="str">
            <v>PASTA</v>
          </cell>
        </row>
        <row r="2264">
          <cell r="C2264" t="str">
            <v>100003386</v>
          </cell>
          <cell r="D2264" t="str">
            <v>PS-15100 C10 BLACK VN-4K</v>
          </cell>
          <cell r="E2264" t="str">
            <v>ZFGD</v>
          </cell>
          <cell r="F2264" t="str">
            <v>PC</v>
          </cell>
          <cell r="G2264" t="str">
            <v>1</v>
          </cell>
          <cell r="H2264" t="str">
            <v>INDUSTRY</v>
          </cell>
          <cell r="I2264" t="str">
            <v>11</v>
          </cell>
          <cell r="J2264" t="str">
            <v>WOOD COATINGS</v>
          </cell>
          <cell r="K2264" t="str">
            <v>1109</v>
          </cell>
          <cell r="L2264" t="str">
            <v>STAIN &amp; GLAZE INTERIOR</v>
          </cell>
          <cell r="M2264" t="str">
            <v>110901</v>
          </cell>
          <cell r="N2264" t="str">
            <v>ASOF : STAIN &amp; GLAZE</v>
          </cell>
        </row>
        <row r="2265">
          <cell r="C2265" t="str">
            <v>100003387</v>
          </cell>
          <cell r="D2265" t="str">
            <v>PS-15100 C10 BLUE VN-4K</v>
          </cell>
          <cell r="E2265" t="str">
            <v>ZFGD</v>
          </cell>
          <cell r="F2265" t="str">
            <v>PC</v>
          </cell>
          <cell r="G2265" t="str">
            <v>1</v>
          </cell>
          <cell r="H2265" t="str">
            <v>INDUSTRY</v>
          </cell>
          <cell r="I2265" t="str">
            <v>11</v>
          </cell>
          <cell r="J2265" t="str">
            <v>WOOD COATINGS</v>
          </cell>
          <cell r="K2265" t="str">
            <v>1109</v>
          </cell>
          <cell r="L2265" t="str">
            <v>STAIN &amp; GLAZE INTERIOR</v>
          </cell>
          <cell r="M2265" t="str">
            <v>110901</v>
          </cell>
          <cell r="N2265" t="str">
            <v>ASOF : STAIN &amp; GLAZE</v>
          </cell>
        </row>
        <row r="2266">
          <cell r="C2266" t="str">
            <v>100003388</v>
          </cell>
          <cell r="D2266" t="str">
            <v>PS-15100 C10 RED VN-4K</v>
          </cell>
          <cell r="E2266" t="str">
            <v>ZFGD</v>
          </cell>
          <cell r="F2266" t="str">
            <v>PC</v>
          </cell>
          <cell r="G2266" t="str">
            <v>1</v>
          </cell>
          <cell r="H2266" t="str">
            <v>INDUSTRY</v>
          </cell>
          <cell r="I2266" t="str">
            <v>11</v>
          </cell>
          <cell r="J2266" t="str">
            <v>WOOD COATINGS</v>
          </cell>
          <cell r="K2266" t="str">
            <v>1109</v>
          </cell>
          <cell r="L2266" t="str">
            <v>STAIN &amp; GLAZE INTERIOR</v>
          </cell>
          <cell r="M2266" t="str">
            <v>110901</v>
          </cell>
          <cell r="N2266" t="str">
            <v>ASOF : STAIN &amp; GLAZE</v>
          </cell>
        </row>
        <row r="2267">
          <cell r="C2267" t="str">
            <v>100003389</v>
          </cell>
          <cell r="D2267" t="str">
            <v>PS-15100 C10 YELLOW VN-4K</v>
          </cell>
          <cell r="E2267" t="str">
            <v>ZFGD</v>
          </cell>
          <cell r="F2267" t="str">
            <v>PC</v>
          </cell>
          <cell r="G2267" t="str">
            <v>1</v>
          </cell>
          <cell r="H2267" t="str">
            <v>INDUSTRY</v>
          </cell>
          <cell r="I2267" t="str">
            <v>11</v>
          </cell>
          <cell r="J2267" t="str">
            <v>WOOD COATINGS</v>
          </cell>
          <cell r="K2267" t="str">
            <v>1109</v>
          </cell>
          <cell r="L2267" t="str">
            <v>STAIN &amp; GLAZE INTERIOR</v>
          </cell>
          <cell r="M2267" t="str">
            <v>110901</v>
          </cell>
          <cell r="N2267" t="str">
            <v>ASOF : STAIN &amp; GLAZE</v>
          </cell>
        </row>
        <row r="2268">
          <cell r="C2268" t="str">
            <v>100003390</v>
          </cell>
          <cell r="D2268" t="str">
            <v>PP-98100 502 VN-1K</v>
          </cell>
          <cell r="E2268" t="str">
            <v>ZFGD</v>
          </cell>
          <cell r="F2268" t="str">
            <v>PC</v>
          </cell>
          <cell r="G2268" t="str">
            <v>1</v>
          </cell>
          <cell r="H2268" t="str">
            <v>INDUSTRY</v>
          </cell>
          <cell r="I2268" t="str">
            <v>11</v>
          </cell>
          <cell r="J2268" t="str">
            <v>WOOD COATINGS</v>
          </cell>
          <cell r="K2268" t="str">
            <v>1118</v>
          </cell>
          <cell r="L2268" t="str">
            <v>COMPLEMENTARY</v>
          </cell>
          <cell r="M2268" t="str">
            <v>111802</v>
          </cell>
          <cell r="N2268" t="str">
            <v>ASOF : POWDER &amp; MATTING SOLUTION</v>
          </cell>
        </row>
        <row r="2269">
          <cell r="C2269" t="str">
            <v>100003391</v>
          </cell>
          <cell r="D2269" t="str">
            <v>PCL-31300 122MW403 GE VN-20LJ</v>
          </cell>
          <cell r="E2269" t="str">
            <v>ZFGD</v>
          </cell>
          <cell r="F2269" t="str">
            <v>PC</v>
          </cell>
          <cell r="G2269" t="str">
            <v>1</v>
          </cell>
          <cell r="H2269" t="str">
            <v>INDUSTRY</v>
          </cell>
          <cell r="I2269" t="str">
            <v>11</v>
          </cell>
          <cell r="J2269" t="str">
            <v>WOOD COATINGS</v>
          </cell>
          <cell r="K2269" t="str">
            <v>1118</v>
          </cell>
          <cell r="L2269" t="str">
            <v>COMPLEMENTARY</v>
          </cell>
          <cell r="M2269" t="str">
            <v>111807</v>
          </cell>
          <cell r="N2269" t="str">
            <v>PASTA</v>
          </cell>
        </row>
        <row r="2270">
          <cell r="C2270" t="str">
            <v>100003392</v>
          </cell>
          <cell r="D2270" t="str">
            <v>PCL-31300 122MW405 A GE VN-20LJ</v>
          </cell>
          <cell r="E2270" t="str">
            <v>ZFGD</v>
          </cell>
          <cell r="F2270" t="str">
            <v>PC</v>
          </cell>
          <cell r="G2270" t="str">
            <v>1</v>
          </cell>
          <cell r="H2270" t="str">
            <v>INDUSTRY</v>
          </cell>
          <cell r="I2270" t="str">
            <v>11</v>
          </cell>
          <cell r="J2270" t="str">
            <v>WOOD COATINGS</v>
          </cell>
          <cell r="K2270" t="str">
            <v>1118</v>
          </cell>
          <cell r="L2270" t="str">
            <v>COMPLEMENTARY</v>
          </cell>
          <cell r="M2270" t="str">
            <v>111807</v>
          </cell>
          <cell r="N2270" t="str">
            <v>PASTA</v>
          </cell>
        </row>
        <row r="2271">
          <cell r="C2271" t="str">
            <v>100003393</v>
          </cell>
          <cell r="D2271" t="str">
            <v>PCL-31300 122MW405 B GE VN-20LJ</v>
          </cell>
          <cell r="E2271" t="str">
            <v>ZFGD</v>
          </cell>
          <cell r="F2271" t="str">
            <v>PC</v>
          </cell>
          <cell r="G2271" t="str">
            <v>1</v>
          </cell>
          <cell r="H2271" t="str">
            <v>INDUSTRY</v>
          </cell>
          <cell r="I2271" t="str">
            <v>11</v>
          </cell>
          <cell r="J2271" t="str">
            <v>WOOD COATINGS</v>
          </cell>
          <cell r="K2271" t="str">
            <v>1118</v>
          </cell>
          <cell r="L2271" t="str">
            <v>COMPLEMENTARY</v>
          </cell>
          <cell r="M2271" t="str">
            <v>111807</v>
          </cell>
          <cell r="N2271" t="str">
            <v>PASTA</v>
          </cell>
        </row>
        <row r="2272">
          <cell r="C2272" t="str">
            <v>100003394</v>
          </cell>
          <cell r="D2272" t="str">
            <v>SST-11100 WHITE WASHED MG VN-20LJ</v>
          </cell>
          <cell r="E2272" t="str">
            <v>ZFGD</v>
          </cell>
          <cell r="F2272" t="str">
            <v>PC</v>
          </cell>
          <cell r="G2272" t="str">
            <v>1</v>
          </cell>
          <cell r="H2272" t="str">
            <v>INDUSTRY</v>
          </cell>
          <cell r="I2272" t="str">
            <v>11</v>
          </cell>
          <cell r="J2272" t="str">
            <v>WOOD COATINGS</v>
          </cell>
          <cell r="K2272" t="str">
            <v>1109</v>
          </cell>
          <cell r="L2272" t="str">
            <v>STAIN &amp; GLAZE INTERIOR</v>
          </cell>
          <cell r="M2272" t="str">
            <v>110903</v>
          </cell>
          <cell r="N2272" t="str">
            <v>STAIN INTERIOR</v>
          </cell>
        </row>
        <row r="2273">
          <cell r="C2273" t="str">
            <v>100003395</v>
          </cell>
          <cell r="D2273" t="str">
            <v>SST-11100 WD55 A MG VN-20LJ</v>
          </cell>
          <cell r="E2273" t="str">
            <v>ZFGD</v>
          </cell>
          <cell r="F2273" t="str">
            <v>PC</v>
          </cell>
          <cell r="G2273" t="str">
            <v>1</v>
          </cell>
          <cell r="H2273" t="str">
            <v>INDUSTRY</v>
          </cell>
          <cell r="I2273" t="str">
            <v>11</v>
          </cell>
          <cell r="J2273" t="str">
            <v>WOOD COATINGS</v>
          </cell>
          <cell r="K2273" t="str">
            <v>1109</v>
          </cell>
          <cell r="L2273" t="str">
            <v>STAIN &amp; GLAZE INTERIOR</v>
          </cell>
          <cell r="M2273" t="str">
            <v>110903</v>
          </cell>
          <cell r="N2273" t="str">
            <v>STAIN INTERIOR</v>
          </cell>
        </row>
        <row r="2274">
          <cell r="C2274" t="str">
            <v>100003396</v>
          </cell>
          <cell r="D2274" t="str">
            <v>SST-11100 WD55 B MG VN-20LJ</v>
          </cell>
          <cell r="E2274" t="str">
            <v>ZFGD</v>
          </cell>
          <cell r="F2274" t="str">
            <v>PC</v>
          </cell>
          <cell r="G2274" t="str">
            <v>1</v>
          </cell>
          <cell r="H2274" t="str">
            <v>INDUSTRY</v>
          </cell>
          <cell r="I2274" t="str">
            <v>11</v>
          </cell>
          <cell r="J2274" t="str">
            <v>WOOD COATINGS</v>
          </cell>
          <cell r="K2274" t="str">
            <v>1109</v>
          </cell>
          <cell r="L2274" t="str">
            <v>STAIN &amp; GLAZE INTERIOR</v>
          </cell>
          <cell r="M2274" t="str">
            <v>110903</v>
          </cell>
          <cell r="N2274" t="str">
            <v>STAIN INTERIOR</v>
          </cell>
        </row>
        <row r="2275">
          <cell r="C2275" t="str">
            <v>100003397</v>
          </cell>
          <cell r="D2275" t="str">
            <v>SST-11100 WD59 MG VN-20LJ</v>
          </cell>
          <cell r="E2275" t="str">
            <v>ZFGD</v>
          </cell>
          <cell r="F2275" t="str">
            <v>PC</v>
          </cell>
          <cell r="G2275" t="str">
            <v>1</v>
          </cell>
          <cell r="H2275" t="str">
            <v>INDUSTRY</v>
          </cell>
          <cell r="I2275" t="str">
            <v>11</v>
          </cell>
          <cell r="J2275" t="str">
            <v>WOOD COATINGS</v>
          </cell>
          <cell r="K2275" t="str">
            <v>1109</v>
          </cell>
          <cell r="L2275" t="str">
            <v>STAIN &amp; GLAZE INTERIOR</v>
          </cell>
          <cell r="M2275" t="str">
            <v>110903</v>
          </cell>
          <cell r="N2275" t="str">
            <v>STAIN INTERIOR</v>
          </cell>
        </row>
        <row r="2276">
          <cell r="C2276" t="str">
            <v>100003398</v>
          </cell>
          <cell r="D2276" t="str">
            <v>PST-12200 1K MUB 01 SC VN-200LK</v>
          </cell>
          <cell r="E2276" t="str">
            <v>ZFGD</v>
          </cell>
          <cell r="F2276" t="str">
            <v>PC</v>
          </cell>
          <cell r="G2276" t="str">
            <v>1</v>
          </cell>
          <cell r="H2276" t="str">
            <v>INDUSTRY</v>
          </cell>
          <cell r="I2276" t="str">
            <v>11</v>
          </cell>
          <cell r="J2276" t="str">
            <v>WOOD COATINGS</v>
          </cell>
          <cell r="K2276" t="str">
            <v>1101</v>
          </cell>
          <cell r="L2276" t="str">
            <v>ALKYD OIL</v>
          </cell>
          <cell r="M2276" t="str">
            <v>110102</v>
          </cell>
          <cell r="N2276" t="str">
            <v>STAIN EXTERIOR</v>
          </cell>
        </row>
        <row r="2277">
          <cell r="C2277" t="str">
            <v>100003399</v>
          </cell>
          <cell r="D2277" t="str">
            <v>PUC-54206 AC EX 2134 60 GE VN-18KP</v>
          </cell>
          <cell r="E2277" t="str">
            <v>ZFGD</v>
          </cell>
          <cell r="F2277" t="str">
            <v>PC</v>
          </cell>
          <cell r="G2277" t="str">
            <v>1</v>
          </cell>
          <cell r="H2277" t="str">
            <v>INDUSTRY</v>
          </cell>
          <cell r="I2277" t="str">
            <v>11</v>
          </cell>
          <cell r="J2277" t="str">
            <v>WOOD COATINGS</v>
          </cell>
          <cell r="K2277" t="str">
            <v>1103</v>
          </cell>
          <cell r="L2277" t="str">
            <v>PU</v>
          </cell>
          <cell r="M2277" t="str">
            <v>110319</v>
          </cell>
          <cell r="N2277" t="str">
            <v>PU COLOR</v>
          </cell>
        </row>
        <row r="2278">
          <cell r="C2278" t="str">
            <v>100003400</v>
          </cell>
          <cell r="D2278" t="str">
            <v>PST-12200 1K GHY SC VN-200LK</v>
          </cell>
          <cell r="E2278" t="str">
            <v>ZFGD</v>
          </cell>
          <cell r="F2278" t="str">
            <v>PC</v>
          </cell>
          <cell r="G2278" t="str">
            <v>1</v>
          </cell>
          <cell r="H2278" t="str">
            <v>INDUSTRY</v>
          </cell>
          <cell r="I2278" t="str">
            <v>11</v>
          </cell>
          <cell r="J2278" t="str">
            <v>WOOD COATINGS</v>
          </cell>
          <cell r="K2278" t="str">
            <v>1101</v>
          </cell>
          <cell r="L2278" t="str">
            <v>ALKYD OIL</v>
          </cell>
          <cell r="M2278" t="str">
            <v>110102</v>
          </cell>
          <cell r="N2278" t="str">
            <v>STAIN EXTERIOR</v>
          </cell>
        </row>
        <row r="2279">
          <cell r="C2279" t="str">
            <v>100003405</v>
          </cell>
          <cell r="D2279" t="str">
            <v>HARDENER PUH-74 VN-4K</v>
          </cell>
          <cell r="E2279" t="str">
            <v>ZFGD</v>
          </cell>
          <cell r="F2279" t="str">
            <v>PC</v>
          </cell>
          <cell r="G2279" t="str">
            <v>2</v>
          </cell>
          <cell r="H2279" t="str">
            <v>RETAIL</v>
          </cell>
          <cell r="I2279" t="str">
            <v>22</v>
          </cell>
          <cell r="J2279" t="str">
            <v>WF2</v>
          </cell>
          <cell r="K2279" t="str">
            <v>2212</v>
          </cell>
          <cell r="L2279" t="str">
            <v>PU EASY TO USE</v>
          </cell>
          <cell r="M2279" t="str">
            <v>221201</v>
          </cell>
          <cell r="N2279" t="str">
            <v>PROPAN EASY TO USE PU</v>
          </cell>
        </row>
        <row r="2280">
          <cell r="C2280" t="str">
            <v>100003406</v>
          </cell>
          <cell r="D2280" t="str">
            <v>HARDENER PUH-74 VN-16KP</v>
          </cell>
          <cell r="E2280" t="str">
            <v>ZFGD</v>
          </cell>
          <cell r="F2280" t="str">
            <v>PC</v>
          </cell>
          <cell r="G2280" t="str">
            <v>2</v>
          </cell>
          <cell r="H2280" t="str">
            <v>RETAIL</v>
          </cell>
          <cell r="I2280" t="str">
            <v>22</v>
          </cell>
          <cell r="J2280" t="str">
            <v>WF2</v>
          </cell>
          <cell r="K2280" t="str">
            <v>2212</v>
          </cell>
          <cell r="L2280" t="str">
            <v>PU EASY TO USE</v>
          </cell>
          <cell r="M2280" t="str">
            <v>221201</v>
          </cell>
          <cell r="N2280" t="str">
            <v>PROPAN EASY TO USE PU</v>
          </cell>
        </row>
        <row r="2281">
          <cell r="C2281" t="str">
            <v>100003413</v>
          </cell>
          <cell r="D2281" t="str">
            <v>64-56 MICRO FILLER 41 SI VN-20KP</v>
          </cell>
          <cell r="E2281" t="str">
            <v>ZFGD</v>
          </cell>
          <cell r="F2281" t="str">
            <v>PC</v>
          </cell>
          <cell r="G2281" t="str">
            <v>1</v>
          </cell>
          <cell r="H2281" t="str">
            <v>INDUSTRY</v>
          </cell>
          <cell r="I2281" t="str">
            <v>11</v>
          </cell>
          <cell r="J2281" t="str">
            <v>WOOD COATINGS</v>
          </cell>
          <cell r="K2281" t="str">
            <v>1103</v>
          </cell>
          <cell r="L2281" t="str">
            <v>PU</v>
          </cell>
          <cell r="M2281" t="str">
            <v>110305</v>
          </cell>
          <cell r="N2281" t="str">
            <v>UNION FILLER</v>
          </cell>
        </row>
        <row r="2282">
          <cell r="C2282" t="str">
            <v>100003414</v>
          </cell>
          <cell r="D2282" t="str">
            <v>SST-11100 41 SI VN-20LJ</v>
          </cell>
          <cell r="E2282" t="str">
            <v>ZFGD</v>
          </cell>
          <cell r="F2282" t="str">
            <v>PC</v>
          </cell>
          <cell r="G2282" t="str">
            <v>1</v>
          </cell>
          <cell r="H2282" t="str">
            <v>INDUSTRY</v>
          </cell>
          <cell r="I2282" t="str">
            <v>11</v>
          </cell>
          <cell r="J2282" t="str">
            <v>WOOD COATINGS</v>
          </cell>
          <cell r="K2282" t="str">
            <v>1109</v>
          </cell>
          <cell r="L2282" t="str">
            <v>STAIN &amp; GLAZE INTERIOR</v>
          </cell>
          <cell r="M2282" t="str">
            <v>110903</v>
          </cell>
          <cell r="N2282" t="str">
            <v>STAIN INTERIOR</v>
          </cell>
        </row>
        <row r="2283">
          <cell r="C2283" t="str">
            <v>100003415</v>
          </cell>
          <cell r="D2283" t="str">
            <v>PCA-31100 42 SI VN-20LJ</v>
          </cell>
          <cell r="E2283" t="str">
            <v>ZFGD</v>
          </cell>
          <cell r="F2283" t="str">
            <v>PC</v>
          </cell>
          <cell r="G2283" t="str">
            <v>1</v>
          </cell>
          <cell r="H2283" t="str">
            <v>INDUSTRY</v>
          </cell>
          <cell r="I2283" t="str">
            <v>11</v>
          </cell>
          <cell r="J2283" t="str">
            <v>WOOD COATINGS</v>
          </cell>
          <cell r="K2283" t="str">
            <v>1118</v>
          </cell>
          <cell r="L2283" t="str">
            <v>COMPLEMENTARY</v>
          </cell>
          <cell r="M2283" t="str">
            <v>111807</v>
          </cell>
          <cell r="N2283" t="str">
            <v>PASTA</v>
          </cell>
        </row>
        <row r="2284">
          <cell r="C2284" t="str">
            <v>100003416</v>
          </cell>
          <cell r="D2284" t="str">
            <v>PUP-52135 42 SI VN-20KP</v>
          </cell>
          <cell r="E2284" t="str">
            <v>ZFGD</v>
          </cell>
          <cell r="F2284" t="str">
            <v>PC</v>
          </cell>
          <cell r="G2284" t="str">
            <v>1</v>
          </cell>
          <cell r="H2284" t="str">
            <v>INDUSTRY</v>
          </cell>
          <cell r="I2284" t="str">
            <v>11</v>
          </cell>
          <cell r="J2284" t="str">
            <v>WOOD COATINGS</v>
          </cell>
          <cell r="K2284" t="str">
            <v>1103</v>
          </cell>
          <cell r="L2284" t="str">
            <v>PU</v>
          </cell>
          <cell r="M2284" t="str">
            <v>110322</v>
          </cell>
          <cell r="N2284" t="str">
            <v>PU PRIMER</v>
          </cell>
        </row>
        <row r="2285">
          <cell r="C2285" t="str">
            <v>100003417</v>
          </cell>
          <cell r="D2285" t="str">
            <v>SST-11100 01 FS VN-20LJ</v>
          </cell>
          <cell r="E2285" t="str">
            <v>ZFGD</v>
          </cell>
          <cell r="F2285" t="str">
            <v>PC</v>
          </cell>
          <cell r="G2285" t="str">
            <v>1</v>
          </cell>
          <cell r="H2285" t="str">
            <v>INDUSTRY</v>
          </cell>
          <cell r="I2285" t="str">
            <v>11</v>
          </cell>
          <cell r="J2285" t="str">
            <v>WOOD COATINGS</v>
          </cell>
          <cell r="K2285" t="str">
            <v>1109</v>
          </cell>
          <cell r="L2285" t="str">
            <v>STAIN &amp; GLAZE INTERIOR</v>
          </cell>
          <cell r="M2285" t="str">
            <v>110903</v>
          </cell>
          <cell r="N2285" t="str">
            <v>STAIN INTERIOR</v>
          </cell>
        </row>
        <row r="2286">
          <cell r="C2286" t="str">
            <v>100003418</v>
          </cell>
          <cell r="D2286" t="str">
            <v>DP-12123 LC IN GW01 MG VN-20KP</v>
          </cell>
          <cell r="E2286" t="str">
            <v>ZFGD</v>
          </cell>
          <cell r="F2286" t="str">
            <v>PC</v>
          </cell>
          <cell r="G2286" t="str">
            <v>1</v>
          </cell>
          <cell r="H2286" t="str">
            <v>INDUSTRY</v>
          </cell>
          <cell r="I2286" t="str">
            <v>11</v>
          </cell>
          <cell r="J2286" t="str">
            <v>WOOD COATINGS</v>
          </cell>
          <cell r="K2286" t="str">
            <v>1104</v>
          </cell>
          <cell r="L2286" t="str">
            <v>NC</v>
          </cell>
          <cell r="M2286" t="str">
            <v>110405</v>
          </cell>
          <cell r="N2286" t="str">
            <v>NC SYSTEM</v>
          </cell>
        </row>
        <row r="2287">
          <cell r="C2287" t="str">
            <v>100003419</v>
          </cell>
          <cell r="D2287" t="str">
            <v>PUC-52239 DARK GREY 10 NS VN-20KP</v>
          </cell>
          <cell r="E2287" t="str">
            <v>ZFGD</v>
          </cell>
          <cell r="F2287" t="str">
            <v>PC</v>
          </cell>
          <cell r="G2287" t="str">
            <v>1</v>
          </cell>
          <cell r="H2287" t="str">
            <v>INDUSTRY</v>
          </cell>
          <cell r="I2287" t="str">
            <v>11</v>
          </cell>
          <cell r="J2287" t="str">
            <v>WOOD COATINGS</v>
          </cell>
          <cell r="K2287" t="str">
            <v>1103</v>
          </cell>
          <cell r="L2287" t="str">
            <v>PU</v>
          </cell>
          <cell r="M2287" t="str">
            <v>110319</v>
          </cell>
          <cell r="N2287" t="str">
            <v>PU COLOR</v>
          </cell>
        </row>
        <row r="2288">
          <cell r="C2288" t="str">
            <v>100003420</v>
          </cell>
          <cell r="D2288" t="str">
            <v>SST-11100 11 A WH VN-20LJ</v>
          </cell>
          <cell r="E2288" t="str">
            <v>ZFGD</v>
          </cell>
          <cell r="F2288" t="str">
            <v>PC</v>
          </cell>
          <cell r="G2288" t="str">
            <v>1</v>
          </cell>
          <cell r="H2288" t="str">
            <v>INDUSTRY</v>
          </cell>
          <cell r="I2288" t="str">
            <v>11</v>
          </cell>
          <cell r="J2288" t="str">
            <v>WOOD COATINGS</v>
          </cell>
          <cell r="K2288" t="str">
            <v>1109</v>
          </cell>
          <cell r="L2288" t="str">
            <v>STAIN &amp; GLAZE INTERIOR</v>
          </cell>
          <cell r="M2288" t="str">
            <v>110903</v>
          </cell>
          <cell r="N2288" t="str">
            <v>STAIN INTERIOR</v>
          </cell>
        </row>
        <row r="2289">
          <cell r="C2289" t="str">
            <v>100003421</v>
          </cell>
          <cell r="D2289" t="str">
            <v>SST-11100 11 B WH VN-20LJ</v>
          </cell>
          <cell r="E2289" t="str">
            <v>ZFGD</v>
          </cell>
          <cell r="F2289" t="str">
            <v>PC</v>
          </cell>
          <cell r="G2289" t="str">
            <v>1</v>
          </cell>
          <cell r="H2289" t="str">
            <v>INDUSTRY</v>
          </cell>
          <cell r="I2289" t="str">
            <v>11</v>
          </cell>
          <cell r="J2289" t="str">
            <v>WOOD COATINGS</v>
          </cell>
          <cell r="K2289" t="str">
            <v>1109</v>
          </cell>
          <cell r="L2289" t="str">
            <v>STAIN &amp; GLAZE INTERIOR</v>
          </cell>
          <cell r="M2289" t="str">
            <v>110903</v>
          </cell>
          <cell r="N2289" t="str">
            <v>STAIN INTERIOR</v>
          </cell>
        </row>
        <row r="2290">
          <cell r="C2290" t="str">
            <v>100003422</v>
          </cell>
          <cell r="D2290" t="str">
            <v>PCA-31100 ABWD 01 A TL VN-20LJ</v>
          </cell>
          <cell r="E2290" t="str">
            <v>ZFGD</v>
          </cell>
          <cell r="F2290" t="str">
            <v>PC</v>
          </cell>
          <cell r="G2290" t="str">
            <v>1</v>
          </cell>
          <cell r="H2290" t="str">
            <v>INDUSTRY</v>
          </cell>
          <cell r="I2290" t="str">
            <v>11</v>
          </cell>
          <cell r="J2290" t="str">
            <v>WOOD COATINGS</v>
          </cell>
          <cell r="K2290" t="str">
            <v>1118</v>
          </cell>
          <cell r="L2290" t="str">
            <v>COMPLEMENTARY</v>
          </cell>
          <cell r="M2290" t="str">
            <v>111807</v>
          </cell>
          <cell r="N2290" t="str">
            <v>PASTA</v>
          </cell>
        </row>
        <row r="2291">
          <cell r="C2291" t="str">
            <v>100003423</v>
          </cell>
          <cell r="D2291" t="str">
            <v>SST-11100 ABWD 01 B TL VN-20LJ</v>
          </cell>
          <cell r="E2291" t="str">
            <v>ZFGD</v>
          </cell>
          <cell r="F2291" t="str">
            <v>PC</v>
          </cell>
          <cell r="G2291" t="str">
            <v>1</v>
          </cell>
          <cell r="H2291" t="str">
            <v>INDUSTRY</v>
          </cell>
          <cell r="I2291" t="str">
            <v>11</v>
          </cell>
          <cell r="J2291" t="str">
            <v>WOOD COATINGS</v>
          </cell>
          <cell r="K2291" t="str">
            <v>1109</v>
          </cell>
          <cell r="L2291" t="str">
            <v>STAIN &amp; GLAZE INTERIOR</v>
          </cell>
          <cell r="M2291" t="str">
            <v>110903</v>
          </cell>
          <cell r="N2291" t="str">
            <v>STAIN INTERIOR</v>
          </cell>
        </row>
        <row r="2292">
          <cell r="C2292" t="str">
            <v>100003424</v>
          </cell>
          <cell r="D2292" t="str">
            <v>SST-11100 19 DS VN-20LJ</v>
          </cell>
          <cell r="E2292" t="str">
            <v>ZFGD</v>
          </cell>
          <cell r="F2292" t="str">
            <v>PC</v>
          </cell>
          <cell r="G2292" t="str">
            <v>1</v>
          </cell>
          <cell r="H2292" t="str">
            <v>INDUSTRY</v>
          </cell>
          <cell r="I2292" t="str">
            <v>11</v>
          </cell>
          <cell r="J2292" t="str">
            <v>WOOD COATINGS</v>
          </cell>
          <cell r="K2292" t="str">
            <v>1109</v>
          </cell>
          <cell r="L2292" t="str">
            <v>STAIN &amp; GLAZE INTERIOR</v>
          </cell>
          <cell r="M2292" t="str">
            <v>110903</v>
          </cell>
          <cell r="N2292" t="str">
            <v>STAIN INTERIOR</v>
          </cell>
        </row>
        <row r="2293">
          <cell r="C2293" t="str">
            <v>100003425</v>
          </cell>
          <cell r="D2293" t="str">
            <v>PUP-52135 40 SI VN-20KP</v>
          </cell>
          <cell r="E2293" t="str">
            <v>ZFGD</v>
          </cell>
          <cell r="F2293" t="str">
            <v>PC</v>
          </cell>
          <cell r="G2293" t="str">
            <v>1</v>
          </cell>
          <cell r="H2293" t="str">
            <v>INDUSTRY</v>
          </cell>
          <cell r="I2293" t="str">
            <v>11</v>
          </cell>
          <cell r="J2293" t="str">
            <v>WOOD COATINGS</v>
          </cell>
          <cell r="K2293" t="str">
            <v>1103</v>
          </cell>
          <cell r="L2293" t="str">
            <v>PU</v>
          </cell>
          <cell r="M2293" t="str">
            <v>110322</v>
          </cell>
          <cell r="N2293" t="str">
            <v>PU PRIMER</v>
          </cell>
        </row>
        <row r="2294">
          <cell r="C2294" t="str">
            <v>100003426</v>
          </cell>
          <cell r="D2294" t="str">
            <v>SST-11100 ABWD 02 A TL VN-20LJ</v>
          </cell>
          <cell r="E2294" t="str">
            <v>ZFGD</v>
          </cell>
          <cell r="F2294" t="str">
            <v>PC</v>
          </cell>
          <cell r="G2294" t="str">
            <v>1</v>
          </cell>
          <cell r="H2294" t="str">
            <v>INDUSTRY</v>
          </cell>
          <cell r="I2294" t="str">
            <v>11</v>
          </cell>
          <cell r="J2294" t="str">
            <v>WOOD COATINGS</v>
          </cell>
          <cell r="K2294" t="str">
            <v>1109</v>
          </cell>
          <cell r="L2294" t="str">
            <v>STAIN &amp; GLAZE INTERIOR</v>
          </cell>
          <cell r="M2294" t="str">
            <v>110903</v>
          </cell>
          <cell r="N2294" t="str">
            <v>STAIN INTERIOR</v>
          </cell>
        </row>
        <row r="2295">
          <cell r="C2295" t="str">
            <v>100003427</v>
          </cell>
          <cell r="D2295" t="str">
            <v>SST-11100 ABWD 02 B TL VN-20LJ</v>
          </cell>
          <cell r="E2295" t="str">
            <v>ZFGD</v>
          </cell>
          <cell r="F2295" t="str">
            <v>PC</v>
          </cell>
          <cell r="G2295" t="str">
            <v>1</v>
          </cell>
          <cell r="H2295" t="str">
            <v>INDUSTRY</v>
          </cell>
          <cell r="I2295" t="str">
            <v>11</v>
          </cell>
          <cell r="J2295" t="str">
            <v>WOOD COATINGS</v>
          </cell>
          <cell r="K2295" t="str">
            <v>1109</v>
          </cell>
          <cell r="L2295" t="str">
            <v>STAIN &amp; GLAZE INTERIOR</v>
          </cell>
          <cell r="M2295" t="str">
            <v>110903</v>
          </cell>
          <cell r="N2295" t="str">
            <v>STAIN INTERIOR</v>
          </cell>
        </row>
        <row r="2296">
          <cell r="C2296" t="str">
            <v>100003428</v>
          </cell>
          <cell r="D2296" t="str">
            <v>SST-11100 13 A WH VN-20LJ</v>
          </cell>
          <cell r="E2296" t="str">
            <v>ZFGD</v>
          </cell>
          <cell r="F2296" t="str">
            <v>PC</v>
          </cell>
          <cell r="G2296" t="str">
            <v>1</v>
          </cell>
          <cell r="H2296" t="str">
            <v>INDUSTRY</v>
          </cell>
          <cell r="I2296" t="str">
            <v>11</v>
          </cell>
          <cell r="J2296" t="str">
            <v>WOOD COATINGS</v>
          </cell>
          <cell r="K2296" t="str">
            <v>1109</v>
          </cell>
          <cell r="L2296" t="str">
            <v>STAIN &amp; GLAZE INTERIOR</v>
          </cell>
          <cell r="M2296" t="str">
            <v>110903</v>
          </cell>
          <cell r="N2296" t="str">
            <v>STAIN INTERIOR</v>
          </cell>
        </row>
        <row r="2297">
          <cell r="C2297" t="str">
            <v>100003429</v>
          </cell>
          <cell r="D2297" t="str">
            <v>SST-11100 13 B WH VN-20LJ</v>
          </cell>
          <cell r="E2297" t="str">
            <v>ZFGD</v>
          </cell>
          <cell r="F2297" t="str">
            <v>PC</v>
          </cell>
          <cell r="G2297" t="str">
            <v>1</v>
          </cell>
          <cell r="H2297" t="str">
            <v>INDUSTRY</v>
          </cell>
          <cell r="I2297" t="str">
            <v>11</v>
          </cell>
          <cell r="J2297" t="str">
            <v>WOOD COATINGS</v>
          </cell>
          <cell r="K2297" t="str">
            <v>1109</v>
          </cell>
          <cell r="L2297" t="str">
            <v>STAIN &amp; GLAZE INTERIOR</v>
          </cell>
          <cell r="M2297" t="str">
            <v>110903</v>
          </cell>
          <cell r="N2297" t="str">
            <v>STAIN INTERIOR</v>
          </cell>
        </row>
        <row r="2298">
          <cell r="C2298" t="str">
            <v>100003430</v>
          </cell>
          <cell r="D2298" t="str">
            <v>PUC-52239 NATURAL WHITE 10 TL VN-20KP</v>
          </cell>
          <cell r="E2298" t="str">
            <v>ZFGD</v>
          </cell>
          <cell r="F2298" t="str">
            <v>PC</v>
          </cell>
          <cell r="G2298" t="str">
            <v>1</v>
          </cell>
          <cell r="H2298" t="str">
            <v>INDUSTRY</v>
          </cell>
          <cell r="I2298" t="str">
            <v>11</v>
          </cell>
          <cell r="J2298" t="str">
            <v>WOOD COATINGS</v>
          </cell>
          <cell r="K2298" t="str">
            <v>1103</v>
          </cell>
          <cell r="L2298" t="str">
            <v>PU</v>
          </cell>
          <cell r="M2298" t="str">
            <v>110319</v>
          </cell>
          <cell r="N2298" t="str">
            <v>PU COLOR</v>
          </cell>
        </row>
        <row r="2299">
          <cell r="C2299" t="str">
            <v>100003431</v>
          </cell>
          <cell r="D2299" t="str">
            <v>82-1047 UE AF URT FLAT A ST-16KP</v>
          </cell>
          <cell r="E2299" t="str">
            <v>ZFGD</v>
          </cell>
          <cell r="F2299" t="str">
            <v>PC</v>
          </cell>
          <cell r="G2299" t="str">
            <v>1</v>
          </cell>
          <cell r="H2299" t="str">
            <v>INDUSTRY</v>
          </cell>
          <cell r="I2299" t="str">
            <v>11</v>
          </cell>
          <cell r="J2299" t="str">
            <v>WOOD COATINGS</v>
          </cell>
          <cell r="K2299" t="str">
            <v>1103</v>
          </cell>
          <cell r="L2299" t="str">
            <v>PU</v>
          </cell>
          <cell r="M2299" t="str">
            <v>110312</v>
          </cell>
          <cell r="N2299" t="str">
            <v>UNION TOP COAT</v>
          </cell>
        </row>
        <row r="2300">
          <cell r="C2300" t="str">
            <v>100003432</v>
          </cell>
          <cell r="D2300" t="str">
            <v>11-261 AF PU THINNER-20LJ</v>
          </cell>
          <cell r="E2300" t="str">
            <v>ZFGD</v>
          </cell>
          <cell r="F2300" t="str">
            <v>PC</v>
          </cell>
          <cell r="G2300" t="str">
            <v>1</v>
          </cell>
          <cell r="H2300" t="str">
            <v>INDUSTRY</v>
          </cell>
          <cell r="I2300" t="str">
            <v>14</v>
          </cell>
          <cell r="J2300" t="str">
            <v>THINNER</v>
          </cell>
          <cell r="K2300" t="str">
            <v>1411</v>
          </cell>
          <cell r="L2300" t="str">
            <v>THINNER PU</v>
          </cell>
          <cell r="M2300" t="str">
            <v>141102</v>
          </cell>
          <cell r="N2300" t="str">
            <v>UNION THINNER</v>
          </cell>
        </row>
        <row r="2301">
          <cell r="C2301" t="str">
            <v>100003433</v>
          </cell>
          <cell r="D2301" t="str">
            <v>11-261 AF PU THINNER-200LK</v>
          </cell>
          <cell r="E2301" t="str">
            <v>ZFGD</v>
          </cell>
          <cell r="F2301" t="str">
            <v>PC</v>
          </cell>
          <cell r="G2301" t="str">
            <v>1</v>
          </cell>
          <cell r="H2301" t="str">
            <v>INDUSTRY</v>
          </cell>
          <cell r="I2301" t="str">
            <v>14</v>
          </cell>
          <cell r="J2301" t="str">
            <v>THINNER</v>
          </cell>
          <cell r="K2301" t="str">
            <v>1411</v>
          </cell>
          <cell r="L2301" t="str">
            <v>THINNER PU</v>
          </cell>
          <cell r="M2301" t="str">
            <v>141102</v>
          </cell>
          <cell r="N2301" t="str">
            <v>UNION THINNER</v>
          </cell>
        </row>
        <row r="2302">
          <cell r="C2302" t="str">
            <v>100003434</v>
          </cell>
          <cell r="D2302" t="str">
            <v>UVS-20600 RED 30130 VN-4K</v>
          </cell>
          <cell r="E2302" t="str">
            <v>ZFGD</v>
          </cell>
          <cell r="F2302" t="str">
            <v>PC</v>
          </cell>
          <cell r="G2302" t="str">
            <v>1</v>
          </cell>
          <cell r="H2302" t="str">
            <v>INDUSTRY</v>
          </cell>
          <cell r="I2302" t="str">
            <v>11</v>
          </cell>
          <cell r="J2302" t="str">
            <v>WOOD COATINGS</v>
          </cell>
          <cell r="K2302" t="str">
            <v>1106</v>
          </cell>
          <cell r="L2302" t="str">
            <v>UV</v>
          </cell>
          <cell r="M2302" t="str">
            <v>110606</v>
          </cell>
          <cell r="N2302" t="str">
            <v>UV STAIN</v>
          </cell>
        </row>
        <row r="2303">
          <cell r="C2303" t="str">
            <v>100003435</v>
          </cell>
          <cell r="D2303" t="str">
            <v>UVS-20600 BLACK 90200 VN-4K</v>
          </cell>
          <cell r="E2303" t="str">
            <v>ZFGD</v>
          </cell>
          <cell r="F2303" t="str">
            <v>PC</v>
          </cell>
          <cell r="G2303" t="str">
            <v>1</v>
          </cell>
          <cell r="H2303" t="str">
            <v>INDUSTRY</v>
          </cell>
          <cell r="I2303" t="str">
            <v>11</v>
          </cell>
          <cell r="J2303" t="str">
            <v>WOOD COATINGS</v>
          </cell>
          <cell r="K2303" t="str">
            <v>1106</v>
          </cell>
          <cell r="L2303" t="str">
            <v>UV</v>
          </cell>
          <cell r="M2303" t="str">
            <v>110606</v>
          </cell>
          <cell r="N2303" t="str">
            <v>UV STAIN</v>
          </cell>
        </row>
        <row r="2304">
          <cell r="C2304" t="str">
            <v>100003436</v>
          </cell>
          <cell r="D2304" t="str">
            <v>UVS-20600 BLUE 50830 VN-4K</v>
          </cell>
          <cell r="E2304" t="str">
            <v>ZFGD</v>
          </cell>
          <cell r="F2304" t="str">
            <v>PC</v>
          </cell>
          <cell r="G2304" t="str">
            <v>1</v>
          </cell>
          <cell r="H2304" t="str">
            <v>INDUSTRY</v>
          </cell>
          <cell r="I2304" t="str">
            <v>11</v>
          </cell>
          <cell r="J2304" t="str">
            <v>WOOD COATINGS</v>
          </cell>
          <cell r="K2304" t="str">
            <v>1106</v>
          </cell>
          <cell r="L2304" t="str">
            <v>UV</v>
          </cell>
          <cell r="M2304" t="str">
            <v>110606</v>
          </cell>
          <cell r="N2304" t="str">
            <v>UV STAIN</v>
          </cell>
        </row>
        <row r="2305">
          <cell r="C2305" t="str">
            <v>100003437</v>
          </cell>
          <cell r="D2305" t="str">
            <v>UVS-20600 YELLOW 10920 VN-4K</v>
          </cell>
          <cell r="E2305" t="str">
            <v>ZFGD</v>
          </cell>
          <cell r="F2305" t="str">
            <v>PC</v>
          </cell>
          <cell r="G2305" t="str">
            <v>1</v>
          </cell>
          <cell r="H2305" t="str">
            <v>INDUSTRY</v>
          </cell>
          <cell r="I2305" t="str">
            <v>11</v>
          </cell>
          <cell r="J2305" t="str">
            <v>WOOD COATINGS</v>
          </cell>
          <cell r="K2305" t="str">
            <v>1106</v>
          </cell>
          <cell r="L2305" t="str">
            <v>UV</v>
          </cell>
          <cell r="M2305" t="str">
            <v>110606</v>
          </cell>
          <cell r="N2305" t="str">
            <v>UV STAIN</v>
          </cell>
        </row>
        <row r="2306">
          <cell r="C2306" t="str">
            <v>100003438</v>
          </cell>
          <cell r="D2306" t="str">
            <v>UVS-20600 WHITE 02310 VN-4K</v>
          </cell>
          <cell r="E2306" t="str">
            <v>ZFGD</v>
          </cell>
          <cell r="F2306" t="str">
            <v>PC</v>
          </cell>
          <cell r="G2306" t="str">
            <v>1</v>
          </cell>
          <cell r="H2306" t="str">
            <v>INDUSTRY</v>
          </cell>
          <cell r="I2306" t="str">
            <v>11</v>
          </cell>
          <cell r="J2306" t="str">
            <v>WOOD COATINGS</v>
          </cell>
          <cell r="K2306" t="str">
            <v>1106</v>
          </cell>
          <cell r="L2306" t="str">
            <v>UV</v>
          </cell>
          <cell r="M2306" t="str">
            <v>110606</v>
          </cell>
          <cell r="N2306" t="str">
            <v>UV STAIN</v>
          </cell>
        </row>
        <row r="2307">
          <cell r="C2307" t="str">
            <v>100003439</v>
          </cell>
          <cell r="D2307" t="str">
            <v>PUC-52239 STONE GREY 10 TL VN-20KP</v>
          </cell>
          <cell r="E2307" t="str">
            <v>ZFGD</v>
          </cell>
          <cell r="F2307" t="str">
            <v>PC</v>
          </cell>
          <cell r="G2307" t="str">
            <v>1</v>
          </cell>
          <cell r="H2307" t="str">
            <v>INDUSTRY</v>
          </cell>
          <cell r="I2307" t="str">
            <v>11</v>
          </cell>
          <cell r="J2307" t="str">
            <v>WOOD COATINGS</v>
          </cell>
          <cell r="K2307" t="str">
            <v>1103</v>
          </cell>
          <cell r="L2307" t="str">
            <v>PU</v>
          </cell>
          <cell r="M2307" t="str">
            <v>110319</v>
          </cell>
          <cell r="N2307" t="str">
            <v>PU COLOR</v>
          </cell>
        </row>
        <row r="2308">
          <cell r="C2308" t="str">
            <v>100003440</v>
          </cell>
          <cell r="D2308" t="str">
            <v>PCL-31300 122MT305 B GE VN-20LJ</v>
          </cell>
          <cell r="E2308" t="str">
            <v>ZFGD</v>
          </cell>
          <cell r="F2308" t="str">
            <v>PC</v>
          </cell>
          <cell r="G2308" t="str">
            <v>1</v>
          </cell>
          <cell r="H2308" t="str">
            <v>INDUSTRY</v>
          </cell>
          <cell r="I2308" t="str">
            <v>11</v>
          </cell>
          <cell r="J2308" t="str">
            <v>WOOD COATINGS</v>
          </cell>
          <cell r="K2308" t="str">
            <v>1118</v>
          </cell>
          <cell r="L2308" t="str">
            <v>COMPLEMENTARY</v>
          </cell>
          <cell r="M2308" t="str">
            <v>111807</v>
          </cell>
          <cell r="N2308" t="str">
            <v>PASTA</v>
          </cell>
        </row>
        <row r="2309">
          <cell r="C2309" t="str">
            <v>100003441</v>
          </cell>
          <cell r="D2309" t="str">
            <v>PCA-31100 LAGON DBR IS VN-4K</v>
          </cell>
          <cell r="E2309" t="str">
            <v>ZFGD</v>
          </cell>
          <cell r="F2309" t="str">
            <v>PC</v>
          </cell>
          <cell r="G2309" t="str">
            <v>1</v>
          </cell>
          <cell r="H2309" t="str">
            <v>INDUSTRY</v>
          </cell>
          <cell r="I2309" t="str">
            <v>11</v>
          </cell>
          <cell r="J2309" t="str">
            <v>WOOD COATINGS</v>
          </cell>
          <cell r="K2309" t="str">
            <v>1118</v>
          </cell>
          <cell r="L2309" t="str">
            <v>COMPLEMENTARY</v>
          </cell>
          <cell r="M2309" t="str">
            <v>111807</v>
          </cell>
          <cell r="N2309" t="str">
            <v>PASTA</v>
          </cell>
        </row>
        <row r="2310">
          <cell r="C2310" t="str">
            <v>100003442</v>
          </cell>
          <cell r="D2310" t="str">
            <v>SST-11100 17 A WH VN-20LJ</v>
          </cell>
          <cell r="E2310" t="str">
            <v>ZFGD</v>
          </cell>
          <cell r="F2310" t="str">
            <v>PC</v>
          </cell>
          <cell r="G2310" t="str">
            <v>1</v>
          </cell>
          <cell r="H2310" t="str">
            <v>INDUSTRY</v>
          </cell>
          <cell r="I2310" t="str">
            <v>11</v>
          </cell>
          <cell r="J2310" t="str">
            <v>WOOD COATINGS</v>
          </cell>
          <cell r="K2310" t="str">
            <v>1109</v>
          </cell>
          <cell r="L2310" t="str">
            <v>STAIN &amp; GLAZE INTERIOR</v>
          </cell>
          <cell r="M2310" t="str">
            <v>110903</v>
          </cell>
          <cell r="N2310" t="str">
            <v>STAIN INTERIOR</v>
          </cell>
        </row>
        <row r="2311">
          <cell r="C2311" t="str">
            <v>100003443</v>
          </cell>
          <cell r="D2311" t="str">
            <v>DP-12123 LC 17 B WH VN-20KP</v>
          </cell>
          <cell r="E2311" t="str">
            <v>ZFGD</v>
          </cell>
          <cell r="F2311" t="str">
            <v>PC</v>
          </cell>
          <cell r="G2311" t="str">
            <v>1</v>
          </cell>
          <cell r="H2311" t="str">
            <v>INDUSTRY</v>
          </cell>
          <cell r="I2311" t="str">
            <v>11</v>
          </cell>
          <cell r="J2311" t="str">
            <v>WOOD COATINGS</v>
          </cell>
          <cell r="K2311" t="str">
            <v>1104</v>
          </cell>
          <cell r="L2311" t="str">
            <v>NC</v>
          </cell>
          <cell r="M2311" t="str">
            <v>110405</v>
          </cell>
          <cell r="N2311" t="str">
            <v>NC SYSTEM</v>
          </cell>
        </row>
        <row r="2312">
          <cell r="C2312" t="str">
            <v>100003444</v>
          </cell>
          <cell r="D2312" t="str">
            <v>PCA-31100 NT LBR HD VN-4K</v>
          </cell>
          <cell r="E2312" t="str">
            <v>ZFGD</v>
          </cell>
          <cell r="F2312" t="str">
            <v>PC</v>
          </cell>
          <cell r="G2312" t="str">
            <v>1</v>
          </cell>
          <cell r="H2312" t="str">
            <v>INDUSTRY</v>
          </cell>
          <cell r="I2312" t="str">
            <v>11</v>
          </cell>
          <cell r="J2312" t="str">
            <v>WOOD COATINGS</v>
          </cell>
          <cell r="K2312" t="str">
            <v>1118</v>
          </cell>
          <cell r="L2312" t="str">
            <v>COMPLEMENTARY</v>
          </cell>
          <cell r="M2312" t="str">
            <v>111807</v>
          </cell>
          <cell r="N2312" t="str">
            <v>PASTA</v>
          </cell>
        </row>
        <row r="2313">
          <cell r="C2313" t="str">
            <v>100003445</v>
          </cell>
          <cell r="D2313" t="str">
            <v>SST-11100 14 WH VN-20LJ</v>
          </cell>
          <cell r="E2313" t="str">
            <v>ZFGD</v>
          </cell>
          <cell r="F2313" t="str">
            <v>PC</v>
          </cell>
          <cell r="G2313" t="str">
            <v>1</v>
          </cell>
          <cell r="H2313" t="str">
            <v>INDUSTRY</v>
          </cell>
          <cell r="I2313" t="str">
            <v>11</v>
          </cell>
          <cell r="J2313" t="str">
            <v>WOOD COATINGS</v>
          </cell>
          <cell r="K2313" t="str">
            <v>1109</v>
          </cell>
          <cell r="L2313" t="str">
            <v>STAIN &amp; GLAZE INTERIOR</v>
          </cell>
          <cell r="M2313" t="str">
            <v>110903</v>
          </cell>
          <cell r="N2313" t="str">
            <v>STAIN INTERIOR</v>
          </cell>
        </row>
        <row r="2314">
          <cell r="C2314" t="str">
            <v>100003446</v>
          </cell>
          <cell r="D2314" t="str">
            <v>SST-11100 03 A WH VN-20LJ</v>
          </cell>
          <cell r="E2314" t="str">
            <v>ZFGD</v>
          </cell>
          <cell r="F2314" t="str">
            <v>PC</v>
          </cell>
          <cell r="G2314" t="str">
            <v>1</v>
          </cell>
          <cell r="H2314" t="str">
            <v>INDUSTRY</v>
          </cell>
          <cell r="I2314" t="str">
            <v>11</v>
          </cell>
          <cell r="J2314" t="str">
            <v>WOOD COATINGS</v>
          </cell>
          <cell r="K2314" t="str">
            <v>1109</v>
          </cell>
          <cell r="L2314" t="str">
            <v>STAIN &amp; GLAZE INTERIOR</v>
          </cell>
          <cell r="M2314" t="str">
            <v>110903</v>
          </cell>
          <cell r="N2314" t="str">
            <v>STAIN INTERIOR</v>
          </cell>
        </row>
        <row r="2315">
          <cell r="C2315" t="str">
            <v>100003447</v>
          </cell>
          <cell r="D2315" t="str">
            <v>SST-11100 03 B WH VN-20LJ</v>
          </cell>
          <cell r="E2315" t="str">
            <v>ZFGD</v>
          </cell>
          <cell r="F2315" t="str">
            <v>PC</v>
          </cell>
          <cell r="G2315" t="str">
            <v>1</v>
          </cell>
          <cell r="H2315" t="str">
            <v>INDUSTRY</v>
          </cell>
          <cell r="I2315" t="str">
            <v>11</v>
          </cell>
          <cell r="J2315" t="str">
            <v>WOOD COATINGS</v>
          </cell>
          <cell r="K2315" t="str">
            <v>1109</v>
          </cell>
          <cell r="L2315" t="str">
            <v>STAIN &amp; GLAZE INTERIOR</v>
          </cell>
          <cell r="M2315" t="str">
            <v>110903</v>
          </cell>
          <cell r="N2315" t="str">
            <v>STAIN INTERIOR</v>
          </cell>
        </row>
        <row r="2316">
          <cell r="C2316" t="str">
            <v>100003448</v>
          </cell>
          <cell r="D2316" t="str">
            <v>SST-11100 03 C WH VN-20LJ</v>
          </cell>
          <cell r="E2316" t="str">
            <v>ZFGD</v>
          </cell>
          <cell r="F2316" t="str">
            <v>PC</v>
          </cell>
          <cell r="G2316" t="str">
            <v>1</v>
          </cell>
          <cell r="H2316" t="str">
            <v>INDUSTRY</v>
          </cell>
          <cell r="I2316" t="str">
            <v>11</v>
          </cell>
          <cell r="J2316" t="str">
            <v>WOOD COATINGS</v>
          </cell>
          <cell r="K2316" t="str">
            <v>1109</v>
          </cell>
          <cell r="L2316" t="str">
            <v>STAIN &amp; GLAZE INTERIOR</v>
          </cell>
          <cell r="M2316" t="str">
            <v>110903</v>
          </cell>
          <cell r="N2316" t="str">
            <v>STAIN INTERIOR</v>
          </cell>
        </row>
        <row r="2317">
          <cell r="C2317" t="str">
            <v>100003449</v>
          </cell>
          <cell r="D2317" t="str">
            <v>PG-13900 03 WH VN-20KP</v>
          </cell>
          <cell r="E2317" t="str">
            <v>ZFGD</v>
          </cell>
          <cell r="F2317" t="str">
            <v>PC</v>
          </cell>
          <cell r="G2317" t="str">
            <v>1</v>
          </cell>
          <cell r="H2317" t="str">
            <v>INDUSTRY</v>
          </cell>
          <cell r="I2317" t="str">
            <v>11</v>
          </cell>
          <cell r="J2317" t="str">
            <v>WOOD COATINGS</v>
          </cell>
          <cell r="K2317" t="str">
            <v>1109</v>
          </cell>
          <cell r="L2317" t="str">
            <v>STAIN &amp; GLAZE INTERIOR</v>
          </cell>
          <cell r="M2317" t="str">
            <v>110901</v>
          </cell>
          <cell r="N2317" t="str">
            <v>ASOF : STAIN &amp; GLAZE</v>
          </cell>
        </row>
        <row r="2318">
          <cell r="C2318" t="str">
            <v>100003450</v>
          </cell>
          <cell r="D2318" t="str">
            <v>PG-13900 02 WH VN-20KP</v>
          </cell>
          <cell r="E2318" t="str">
            <v>ZFGD</v>
          </cell>
          <cell r="F2318" t="str">
            <v>PC</v>
          </cell>
          <cell r="G2318" t="str">
            <v>1</v>
          </cell>
          <cell r="H2318" t="str">
            <v>INDUSTRY</v>
          </cell>
          <cell r="I2318" t="str">
            <v>11</v>
          </cell>
          <cell r="J2318" t="str">
            <v>WOOD COATINGS</v>
          </cell>
          <cell r="K2318" t="str">
            <v>1109</v>
          </cell>
          <cell r="L2318" t="str">
            <v>STAIN &amp; GLAZE INTERIOR</v>
          </cell>
          <cell r="M2318" t="str">
            <v>110901</v>
          </cell>
          <cell r="N2318" t="str">
            <v>ASOF : STAIN &amp; GLAZE</v>
          </cell>
        </row>
        <row r="2319">
          <cell r="C2319" t="str">
            <v>100003451</v>
          </cell>
          <cell r="D2319" t="str">
            <v>SST-11100 02 WH VN-20LJ</v>
          </cell>
          <cell r="E2319" t="str">
            <v>ZFGD</v>
          </cell>
          <cell r="F2319" t="str">
            <v>PC</v>
          </cell>
          <cell r="G2319" t="str">
            <v>1</v>
          </cell>
          <cell r="H2319" t="str">
            <v>INDUSTRY</v>
          </cell>
          <cell r="I2319" t="str">
            <v>11</v>
          </cell>
          <cell r="J2319" t="str">
            <v>WOOD COATINGS</v>
          </cell>
          <cell r="K2319" t="str">
            <v>1109</v>
          </cell>
          <cell r="L2319" t="str">
            <v>STAIN &amp; GLAZE INTERIOR</v>
          </cell>
          <cell r="M2319" t="str">
            <v>110903</v>
          </cell>
          <cell r="N2319" t="str">
            <v>STAIN INTERIOR</v>
          </cell>
        </row>
        <row r="2320">
          <cell r="C2320" t="str">
            <v>100003452</v>
          </cell>
          <cell r="D2320" t="str">
            <v>DC-12223 LC 04 30 WH VN-20KP</v>
          </cell>
          <cell r="E2320" t="str">
            <v>ZFGD</v>
          </cell>
          <cell r="F2320" t="str">
            <v>PC</v>
          </cell>
          <cell r="G2320" t="str">
            <v>1</v>
          </cell>
          <cell r="H2320" t="str">
            <v>INDUSTRY</v>
          </cell>
          <cell r="I2320" t="str">
            <v>11</v>
          </cell>
          <cell r="J2320" t="str">
            <v>WOOD COATINGS</v>
          </cell>
          <cell r="K2320" t="str">
            <v>1104</v>
          </cell>
          <cell r="L2320" t="str">
            <v>NC</v>
          </cell>
          <cell r="M2320" t="str">
            <v>110405</v>
          </cell>
          <cell r="N2320" t="str">
            <v>NC SYSTEM</v>
          </cell>
        </row>
        <row r="2321">
          <cell r="C2321" t="str">
            <v>100003453</v>
          </cell>
          <cell r="D2321" t="str">
            <v>DC-12229 LC 04 30 WH VN-20KP</v>
          </cell>
          <cell r="E2321" t="str">
            <v>ZFGD</v>
          </cell>
          <cell r="F2321" t="str">
            <v>PC</v>
          </cell>
          <cell r="G2321" t="str">
            <v>1</v>
          </cell>
          <cell r="H2321" t="str">
            <v>INDUSTRY</v>
          </cell>
          <cell r="I2321" t="str">
            <v>11</v>
          </cell>
          <cell r="J2321" t="str">
            <v>WOOD COATINGS</v>
          </cell>
          <cell r="K2321" t="str">
            <v>1104</v>
          </cell>
          <cell r="L2321" t="str">
            <v>NC</v>
          </cell>
          <cell r="M2321" t="str">
            <v>110405</v>
          </cell>
          <cell r="N2321" t="str">
            <v>NC SYSTEM</v>
          </cell>
        </row>
        <row r="2322">
          <cell r="C2322" t="str">
            <v>100003454</v>
          </cell>
          <cell r="D2322" t="str">
            <v>SST-11100 BROWN PC VN-20LJ</v>
          </cell>
          <cell r="E2322" t="str">
            <v>ZFGD</v>
          </cell>
          <cell r="F2322" t="str">
            <v>PC</v>
          </cell>
          <cell r="G2322" t="str">
            <v>1</v>
          </cell>
          <cell r="H2322" t="str">
            <v>INDUSTRY</v>
          </cell>
          <cell r="I2322" t="str">
            <v>11</v>
          </cell>
          <cell r="J2322" t="str">
            <v>WOOD COATINGS</v>
          </cell>
          <cell r="K2322" t="str">
            <v>1109</v>
          </cell>
          <cell r="L2322" t="str">
            <v>STAIN &amp; GLAZE INTERIOR</v>
          </cell>
          <cell r="M2322" t="str">
            <v>110903</v>
          </cell>
          <cell r="N2322" t="str">
            <v>STAIN INTERIOR</v>
          </cell>
        </row>
        <row r="2323">
          <cell r="C2323" t="str">
            <v>100003455</v>
          </cell>
          <cell r="D2323" t="str">
            <v>SST-11100 GIA CO PC VN-20LJ</v>
          </cell>
          <cell r="E2323" t="str">
            <v>ZFGD</v>
          </cell>
          <cell r="F2323" t="str">
            <v>PC</v>
          </cell>
          <cell r="G2323" t="str">
            <v>1</v>
          </cell>
          <cell r="H2323" t="str">
            <v>INDUSTRY</v>
          </cell>
          <cell r="I2323" t="str">
            <v>11</v>
          </cell>
          <cell r="J2323" t="str">
            <v>WOOD COATINGS</v>
          </cell>
          <cell r="K2323" t="str">
            <v>1109</v>
          </cell>
          <cell r="L2323" t="str">
            <v>STAIN &amp; GLAZE INTERIOR</v>
          </cell>
          <cell r="M2323" t="str">
            <v>110903</v>
          </cell>
          <cell r="N2323" t="str">
            <v>STAIN INTERIOR</v>
          </cell>
        </row>
        <row r="2324">
          <cell r="C2324" t="str">
            <v>100003456</v>
          </cell>
          <cell r="D2324" t="str">
            <v>SST-11100 02 VT VN-20LJ</v>
          </cell>
          <cell r="E2324" t="str">
            <v>ZFGD</v>
          </cell>
          <cell r="F2324" t="str">
            <v>PC</v>
          </cell>
          <cell r="G2324" t="str">
            <v>1</v>
          </cell>
          <cell r="H2324" t="str">
            <v>INDUSTRY</v>
          </cell>
          <cell r="I2324" t="str">
            <v>11</v>
          </cell>
          <cell r="J2324" t="str">
            <v>WOOD COATINGS</v>
          </cell>
          <cell r="K2324" t="str">
            <v>1109</v>
          </cell>
          <cell r="L2324" t="str">
            <v>STAIN &amp; GLAZE INTERIOR</v>
          </cell>
          <cell r="M2324" t="str">
            <v>110903</v>
          </cell>
          <cell r="N2324" t="str">
            <v>STAIN INTERIOR</v>
          </cell>
        </row>
        <row r="2325">
          <cell r="C2325" t="str">
            <v>100003457</v>
          </cell>
          <cell r="D2325" t="str">
            <v>SST-11100 02 A VT VN-20LJ</v>
          </cell>
          <cell r="E2325" t="str">
            <v>ZFGD</v>
          </cell>
          <cell r="F2325" t="str">
            <v>PC</v>
          </cell>
          <cell r="G2325" t="str">
            <v>1</v>
          </cell>
          <cell r="H2325" t="str">
            <v>INDUSTRY</v>
          </cell>
          <cell r="I2325" t="str">
            <v>11</v>
          </cell>
          <cell r="J2325" t="str">
            <v>WOOD COATINGS</v>
          </cell>
          <cell r="K2325" t="str">
            <v>1109</v>
          </cell>
          <cell r="L2325" t="str">
            <v>STAIN &amp; GLAZE INTERIOR</v>
          </cell>
          <cell r="M2325" t="str">
            <v>110903</v>
          </cell>
          <cell r="N2325" t="str">
            <v>STAIN INTERIOR</v>
          </cell>
        </row>
        <row r="2326">
          <cell r="C2326" t="str">
            <v>100003458</v>
          </cell>
          <cell r="D2326" t="str">
            <v>SST-11100 21 A MQ VN-20LJ</v>
          </cell>
          <cell r="E2326" t="str">
            <v>ZFGD</v>
          </cell>
          <cell r="F2326" t="str">
            <v>PC</v>
          </cell>
          <cell r="G2326" t="str">
            <v>1</v>
          </cell>
          <cell r="H2326" t="str">
            <v>INDUSTRY</v>
          </cell>
          <cell r="I2326" t="str">
            <v>11</v>
          </cell>
          <cell r="J2326" t="str">
            <v>WOOD COATINGS</v>
          </cell>
          <cell r="K2326" t="str">
            <v>1109</v>
          </cell>
          <cell r="L2326" t="str">
            <v>STAIN &amp; GLAZE INTERIOR</v>
          </cell>
          <cell r="M2326" t="str">
            <v>110903</v>
          </cell>
          <cell r="N2326" t="str">
            <v>STAIN INTERIOR</v>
          </cell>
        </row>
        <row r="2327">
          <cell r="C2327" t="str">
            <v>100003459</v>
          </cell>
          <cell r="D2327" t="str">
            <v>SST-11100 21 B MQ VN-20LJ</v>
          </cell>
          <cell r="E2327" t="str">
            <v>ZFGD</v>
          </cell>
          <cell r="F2327" t="str">
            <v>PC</v>
          </cell>
          <cell r="G2327" t="str">
            <v>1</v>
          </cell>
          <cell r="H2327" t="str">
            <v>INDUSTRY</v>
          </cell>
          <cell r="I2327" t="str">
            <v>11</v>
          </cell>
          <cell r="J2327" t="str">
            <v>WOOD COATINGS</v>
          </cell>
          <cell r="K2327" t="str">
            <v>1109</v>
          </cell>
          <cell r="L2327" t="str">
            <v>STAIN &amp; GLAZE INTERIOR</v>
          </cell>
          <cell r="M2327" t="str">
            <v>110903</v>
          </cell>
          <cell r="N2327" t="str">
            <v>STAIN INTERIOR</v>
          </cell>
        </row>
        <row r="2328">
          <cell r="C2328" t="str">
            <v>100003461</v>
          </cell>
          <cell r="D2328" t="str">
            <v>GZWB-21408 01 MQ VN-20KP</v>
          </cell>
          <cell r="E2328" t="str">
            <v>ZFGD</v>
          </cell>
          <cell r="F2328" t="str">
            <v>PC</v>
          </cell>
          <cell r="G2328" t="str">
            <v>1</v>
          </cell>
          <cell r="H2328" t="str">
            <v>INDUSTRY</v>
          </cell>
          <cell r="I2328" t="str">
            <v>11</v>
          </cell>
          <cell r="J2328" t="str">
            <v>WOOD COATINGS</v>
          </cell>
          <cell r="K2328" t="str">
            <v>1119</v>
          </cell>
          <cell r="L2328" t="str">
            <v>WATERBASED</v>
          </cell>
          <cell r="M2328" t="str">
            <v>111902</v>
          </cell>
          <cell r="N2328" t="str">
            <v>WATERBASED SYSTEM INTERIOR</v>
          </cell>
        </row>
        <row r="2329">
          <cell r="C2329" t="str">
            <v>100003462</v>
          </cell>
          <cell r="D2329" t="str">
            <v>WBP-62102 02 MQ VN-20KP</v>
          </cell>
          <cell r="E2329" t="str">
            <v>ZFGD</v>
          </cell>
          <cell r="F2329" t="str">
            <v>PC</v>
          </cell>
          <cell r="G2329" t="str">
            <v>1</v>
          </cell>
          <cell r="H2329" t="str">
            <v>INDUSTRY</v>
          </cell>
          <cell r="I2329" t="str">
            <v>11</v>
          </cell>
          <cell r="J2329" t="str">
            <v>WOOD COATINGS</v>
          </cell>
          <cell r="K2329" t="str">
            <v>1119</v>
          </cell>
          <cell r="L2329" t="str">
            <v>WATERBASED</v>
          </cell>
          <cell r="M2329" t="str">
            <v>111902</v>
          </cell>
          <cell r="N2329" t="str">
            <v>WATERBASED SYSTEM INTERIOR</v>
          </cell>
        </row>
        <row r="2330">
          <cell r="C2330" t="str">
            <v>100003463</v>
          </cell>
          <cell r="D2330" t="str">
            <v>GZWB-21408 02 MQ VN-20KP</v>
          </cell>
          <cell r="E2330" t="str">
            <v>ZFGD</v>
          </cell>
          <cell r="F2330" t="str">
            <v>PC</v>
          </cell>
          <cell r="G2330" t="str">
            <v>1</v>
          </cell>
          <cell r="H2330" t="str">
            <v>INDUSTRY</v>
          </cell>
          <cell r="I2330" t="str">
            <v>11</v>
          </cell>
          <cell r="J2330" t="str">
            <v>WOOD COATINGS</v>
          </cell>
          <cell r="K2330" t="str">
            <v>1119</v>
          </cell>
          <cell r="L2330" t="str">
            <v>WATERBASED</v>
          </cell>
          <cell r="M2330" t="str">
            <v>111902</v>
          </cell>
          <cell r="N2330" t="str">
            <v>WATERBASED SYSTEM INTERIOR</v>
          </cell>
        </row>
        <row r="2331">
          <cell r="C2331" t="str">
            <v>100003464</v>
          </cell>
          <cell r="D2331" t="str">
            <v>PS-15100 08 MQ VN-20LJ</v>
          </cell>
          <cell r="E2331" t="str">
            <v>ZFGD</v>
          </cell>
          <cell r="F2331" t="str">
            <v>PC</v>
          </cell>
          <cell r="G2331" t="str">
            <v>1</v>
          </cell>
          <cell r="H2331" t="str">
            <v>INDUSTRY</v>
          </cell>
          <cell r="I2331" t="str">
            <v>11</v>
          </cell>
          <cell r="J2331" t="str">
            <v>WOOD COATINGS</v>
          </cell>
          <cell r="K2331" t="str">
            <v>1109</v>
          </cell>
          <cell r="L2331" t="str">
            <v>STAIN &amp; GLAZE INTERIOR</v>
          </cell>
          <cell r="M2331" t="str">
            <v>110901</v>
          </cell>
          <cell r="N2331" t="str">
            <v>ASOF : STAIN &amp; GLAZE</v>
          </cell>
        </row>
        <row r="2332">
          <cell r="C2332" t="str">
            <v>100003465</v>
          </cell>
          <cell r="D2332" t="str">
            <v>GZWB-21408 09 MQ VN-20KP</v>
          </cell>
          <cell r="E2332" t="str">
            <v>ZFGD</v>
          </cell>
          <cell r="F2332" t="str">
            <v>PC</v>
          </cell>
          <cell r="G2332" t="str">
            <v>1</v>
          </cell>
          <cell r="H2332" t="str">
            <v>INDUSTRY</v>
          </cell>
          <cell r="I2332" t="str">
            <v>11</v>
          </cell>
          <cell r="J2332" t="str">
            <v>WOOD COATINGS</v>
          </cell>
          <cell r="K2332" t="str">
            <v>1119</v>
          </cell>
          <cell r="L2332" t="str">
            <v>WATERBASED</v>
          </cell>
          <cell r="M2332" t="str">
            <v>111902</v>
          </cell>
          <cell r="N2332" t="str">
            <v>WATERBASED SYSTEM INTERIOR</v>
          </cell>
        </row>
        <row r="2333">
          <cell r="C2333" t="str">
            <v>100003466</v>
          </cell>
          <cell r="D2333" t="str">
            <v>WBC-62202 10 10 MQ VN-20KP</v>
          </cell>
          <cell r="E2333" t="str">
            <v>ZFGD</v>
          </cell>
          <cell r="F2333" t="str">
            <v>PC</v>
          </cell>
          <cell r="G2333" t="str">
            <v>1</v>
          </cell>
          <cell r="H2333" t="str">
            <v>INDUSTRY</v>
          </cell>
          <cell r="I2333" t="str">
            <v>11</v>
          </cell>
          <cell r="J2333" t="str">
            <v>WOOD COATINGS</v>
          </cell>
          <cell r="K2333" t="str">
            <v>1119</v>
          </cell>
          <cell r="L2333" t="str">
            <v>WATERBASED</v>
          </cell>
          <cell r="M2333" t="str">
            <v>111902</v>
          </cell>
          <cell r="N2333" t="str">
            <v>WATERBASED SYSTEM INTERIOR</v>
          </cell>
        </row>
        <row r="2334">
          <cell r="C2334" t="str">
            <v>100003467</v>
          </cell>
          <cell r="D2334" t="str">
            <v>PS-15100 14 MQ VN-20LJ</v>
          </cell>
          <cell r="E2334" t="str">
            <v>ZFGD</v>
          </cell>
          <cell r="F2334" t="str">
            <v>PC</v>
          </cell>
          <cell r="G2334" t="str">
            <v>1</v>
          </cell>
          <cell r="H2334" t="str">
            <v>INDUSTRY</v>
          </cell>
          <cell r="I2334" t="str">
            <v>11</v>
          </cell>
          <cell r="J2334" t="str">
            <v>WOOD COATINGS</v>
          </cell>
          <cell r="K2334" t="str">
            <v>1109</v>
          </cell>
          <cell r="L2334" t="str">
            <v>STAIN &amp; GLAZE INTERIOR</v>
          </cell>
          <cell r="M2334" t="str">
            <v>110901</v>
          </cell>
          <cell r="N2334" t="str">
            <v>ASOF : STAIN &amp; GLAZE</v>
          </cell>
        </row>
        <row r="2335">
          <cell r="C2335" t="str">
            <v>100003468</v>
          </cell>
          <cell r="D2335" t="str">
            <v>UVS-20600 SLP 01 SC VN-20KP</v>
          </cell>
          <cell r="E2335" t="str">
            <v>ZFGD</v>
          </cell>
          <cell r="F2335" t="str">
            <v>PC</v>
          </cell>
          <cell r="G2335" t="str">
            <v>1</v>
          </cell>
          <cell r="H2335" t="str">
            <v>INDUSTRY</v>
          </cell>
          <cell r="I2335" t="str">
            <v>11</v>
          </cell>
          <cell r="J2335" t="str">
            <v>WOOD COATINGS</v>
          </cell>
          <cell r="K2335" t="str">
            <v>1106</v>
          </cell>
          <cell r="L2335" t="str">
            <v>UV</v>
          </cell>
          <cell r="M2335" t="str">
            <v>110606</v>
          </cell>
          <cell r="N2335" t="str">
            <v>UV STAIN</v>
          </cell>
        </row>
        <row r="2336">
          <cell r="C2336" t="str">
            <v>100003469</v>
          </cell>
          <cell r="D2336" t="str">
            <v>UVS-20600 SLP 02 SC VN-20KP</v>
          </cell>
          <cell r="E2336" t="str">
            <v>ZFGD</v>
          </cell>
          <cell r="F2336" t="str">
            <v>PC</v>
          </cell>
          <cell r="G2336" t="str">
            <v>1</v>
          </cell>
          <cell r="H2336" t="str">
            <v>INDUSTRY</v>
          </cell>
          <cell r="I2336" t="str">
            <v>11</v>
          </cell>
          <cell r="J2336" t="str">
            <v>WOOD COATINGS</v>
          </cell>
          <cell r="K2336" t="str">
            <v>1106</v>
          </cell>
          <cell r="L2336" t="str">
            <v>UV</v>
          </cell>
          <cell r="M2336" t="str">
            <v>110606</v>
          </cell>
          <cell r="N2336" t="str">
            <v>UV STAIN</v>
          </cell>
        </row>
        <row r="2337">
          <cell r="C2337" t="str">
            <v>100003470</v>
          </cell>
          <cell r="D2337" t="str">
            <v>UVS-20600 SLP 03 SC VN-20KP</v>
          </cell>
          <cell r="E2337" t="str">
            <v>ZFGD</v>
          </cell>
          <cell r="F2337" t="str">
            <v>PC</v>
          </cell>
          <cell r="G2337" t="str">
            <v>1</v>
          </cell>
          <cell r="H2337" t="str">
            <v>INDUSTRY</v>
          </cell>
          <cell r="I2337" t="str">
            <v>11</v>
          </cell>
          <cell r="J2337" t="str">
            <v>WOOD COATINGS</v>
          </cell>
          <cell r="K2337" t="str">
            <v>1106</v>
          </cell>
          <cell r="L2337" t="str">
            <v>UV</v>
          </cell>
          <cell r="M2337" t="str">
            <v>110606</v>
          </cell>
          <cell r="N2337" t="str">
            <v>UV STAIN</v>
          </cell>
        </row>
        <row r="2338">
          <cell r="C2338" t="str">
            <v>100003471</v>
          </cell>
          <cell r="D2338" t="str">
            <v>WBSS-63111 EX VN-20KP</v>
          </cell>
          <cell r="E2338" t="str">
            <v>ZFGD</v>
          </cell>
          <cell r="F2338" t="str">
            <v>PC</v>
          </cell>
          <cell r="G2338" t="str">
            <v>1</v>
          </cell>
          <cell r="H2338" t="str">
            <v>INDUSTRY</v>
          </cell>
          <cell r="I2338" t="str">
            <v>11</v>
          </cell>
          <cell r="J2338" t="str">
            <v>WOOD COATINGS</v>
          </cell>
          <cell r="K2338" t="str">
            <v>1119</v>
          </cell>
          <cell r="L2338" t="str">
            <v>WATERBASED</v>
          </cell>
          <cell r="M2338" t="str">
            <v>111901</v>
          </cell>
          <cell r="N2338" t="str">
            <v>WATERBASED SYSTEM EXTERIOR</v>
          </cell>
        </row>
        <row r="2339">
          <cell r="C2339" t="str">
            <v>100003472</v>
          </cell>
          <cell r="D2339" t="str">
            <v>WBC-64211 EX HM 0118 05 F1 VN-20KP</v>
          </cell>
          <cell r="E2339" t="str">
            <v>ZFGD</v>
          </cell>
          <cell r="F2339" t="str">
            <v>PC</v>
          </cell>
          <cell r="G2339" t="str">
            <v>1</v>
          </cell>
          <cell r="H2339" t="str">
            <v>INDUSTRY</v>
          </cell>
          <cell r="I2339" t="str">
            <v>11</v>
          </cell>
          <cell r="J2339" t="str">
            <v>WOOD COATINGS</v>
          </cell>
          <cell r="K2339" t="str">
            <v>1119</v>
          </cell>
          <cell r="L2339" t="str">
            <v>WATERBASED</v>
          </cell>
          <cell r="M2339" t="str">
            <v>111901</v>
          </cell>
          <cell r="N2339" t="str">
            <v>WATERBASED SYSTEM EXTERIOR</v>
          </cell>
        </row>
        <row r="2340">
          <cell r="C2340" t="str">
            <v>100003473</v>
          </cell>
          <cell r="D2340" t="str">
            <v>WBC-64211 EX HM 0118 E 05 F1 VN-20KP</v>
          </cell>
          <cell r="E2340" t="str">
            <v>ZFGD</v>
          </cell>
          <cell r="F2340" t="str">
            <v>PC</v>
          </cell>
          <cell r="G2340" t="str">
            <v>1</v>
          </cell>
          <cell r="H2340" t="str">
            <v>INDUSTRY</v>
          </cell>
          <cell r="I2340" t="str">
            <v>11</v>
          </cell>
          <cell r="J2340" t="str">
            <v>WOOD COATINGS</v>
          </cell>
          <cell r="K2340" t="str">
            <v>1119</v>
          </cell>
          <cell r="L2340" t="str">
            <v>WATERBASED</v>
          </cell>
          <cell r="M2340" t="str">
            <v>111901</v>
          </cell>
          <cell r="N2340" t="str">
            <v>WATERBASED SYSTEM EXTERIOR</v>
          </cell>
        </row>
        <row r="2341">
          <cell r="C2341" t="str">
            <v>100003474</v>
          </cell>
          <cell r="D2341" t="str">
            <v>WBL-63211 EX CLEAR 05 VN-20KP</v>
          </cell>
          <cell r="E2341" t="str">
            <v>ZFGD</v>
          </cell>
          <cell r="F2341" t="str">
            <v>PC</v>
          </cell>
          <cell r="G2341" t="str">
            <v>1</v>
          </cell>
          <cell r="H2341" t="str">
            <v>INDUSTRY</v>
          </cell>
          <cell r="I2341" t="str">
            <v>11</v>
          </cell>
          <cell r="J2341" t="str">
            <v>WOOD COATINGS</v>
          </cell>
          <cell r="K2341" t="str">
            <v>1119</v>
          </cell>
          <cell r="L2341" t="str">
            <v>WATERBASED</v>
          </cell>
          <cell r="M2341" t="str">
            <v>111901</v>
          </cell>
          <cell r="N2341" t="str">
            <v>WATERBASED SYSTEM EXTERIOR</v>
          </cell>
        </row>
        <row r="2342">
          <cell r="C2342" t="str">
            <v>100003475</v>
          </cell>
          <cell r="D2342" t="str">
            <v>PUP-52135 06 FS VN-20KP</v>
          </cell>
          <cell r="E2342" t="str">
            <v>ZFGD</v>
          </cell>
          <cell r="F2342" t="str">
            <v>PC</v>
          </cell>
          <cell r="G2342" t="str">
            <v>1</v>
          </cell>
          <cell r="H2342" t="str">
            <v>INDUSTRY</v>
          </cell>
          <cell r="I2342" t="str">
            <v>11</v>
          </cell>
          <cell r="J2342" t="str">
            <v>WOOD COATINGS</v>
          </cell>
          <cell r="K2342" t="str">
            <v>1103</v>
          </cell>
          <cell r="L2342" t="str">
            <v>PU</v>
          </cell>
          <cell r="M2342" t="str">
            <v>110322</v>
          </cell>
          <cell r="N2342" t="str">
            <v>PU PRIMER</v>
          </cell>
        </row>
        <row r="2343">
          <cell r="C2343" t="str">
            <v>100003476</v>
          </cell>
          <cell r="D2343" t="str">
            <v>PUP-52135 PETAL KD VN-20KP</v>
          </cell>
          <cell r="E2343" t="str">
            <v>ZFGD</v>
          </cell>
          <cell r="F2343" t="str">
            <v>PC</v>
          </cell>
          <cell r="G2343" t="str">
            <v>1</v>
          </cell>
          <cell r="H2343" t="str">
            <v>INDUSTRY</v>
          </cell>
          <cell r="I2343" t="str">
            <v>11</v>
          </cell>
          <cell r="J2343" t="str">
            <v>WOOD COATINGS</v>
          </cell>
          <cell r="K2343" t="str">
            <v>1103</v>
          </cell>
          <cell r="L2343" t="str">
            <v>PU</v>
          </cell>
          <cell r="M2343" t="str">
            <v>110322</v>
          </cell>
          <cell r="N2343" t="str">
            <v>PU PRIMER</v>
          </cell>
        </row>
        <row r="2344">
          <cell r="C2344" t="str">
            <v>100003477</v>
          </cell>
          <cell r="D2344" t="str">
            <v>PUC-52241 PETAL 30 KD VN-20KP</v>
          </cell>
          <cell r="E2344" t="str">
            <v>ZFGD</v>
          </cell>
          <cell r="F2344" t="str">
            <v>PC</v>
          </cell>
          <cell r="G2344" t="str">
            <v>1</v>
          </cell>
          <cell r="H2344" t="str">
            <v>INDUSTRY</v>
          </cell>
          <cell r="I2344" t="str">
            <v>11</v>
          </cell>
          <cell r="J2344" t="str">
            <v>WOOD COATINGS</v>
          </cell>
          <cell r="K2344" t="str">
            <v>1103</v>
          </cell>
          <cell r="L2344" t="str">
            <v>PU</v>
          </cell>
          <cell r="M2344" t="str">
            <v>110319</v>
          </cell>
          <cell r="N2344" t="str">
            <v>PU COLOR</v>
          </cell>
        </row>
        <row r="2345">
          <cell r="C2345" t="str">
            <v>100003478</v>
          </cell>
          <cell r="D2345" t="str">
            <v>PCA-31100 NT 11 DBR GHE IS VN-4K</v>
          </cell>
          <cell r="E2345" t="str">
            <v>ZFGD</v>
          </cell>
          <cell r="F2345" t="str">
            <v>PC</v>
          </cell>
          <cell r="G2345" t="str">
            <v>1</v>
          </cell>
          <cell r="H2345" t="str">
            <v>INDUSTRY</v>
          </cell>
          <cell r="I2345" t="str">
            <v>11</v>
          </cell>
          <cell r="J2345" t="str">
            <v>WOOD COATINGS</v>
          </cell>
          <cell r="K2345" t="str">
            <v>1118</v>
          </cell>
          <cell r="L2345" t="str">
            <v>COMPLEMENTARY</v>
          </cell>
          <cell r="M2345" t="str">
            <v>111807</v>
          </cell>
          <cell r="N2345" t="str">
            <v>PASTA</v>
          </cell>
        </row>
        <row r="2346">
          <cell r="C2346" t="str">
            <v>100003479</v>
          </cell>
          <cell r="D2346" t="str">
            <v>PCA-31100 NT 11 DBR BAN IS VN-4K</v>
          </cell>
          <cell r="E2346" t="str">
            <v>ZFGD</v>
          </cell>
          <cell r="F2346" t="str">
            <v>PC</v>
          </cell>
          <cell r="G2346" t="str">
            <v>1</v>
          </cell>
          <cell r="H2346" t="str">
            <v>INDUSTRY</v>
          </cell>
          <cell r="I2346" t="str">
            <v>11</v>
          </cell>
          <cell r="J2346" t="str">
            <v>WOOD COATINGS</v>
          </cell>
          <cell r="K2346" t="str">
            <v>1118</v>
          </cell>
          <cell r="L2346" t="str">
            <v>COMPLEMENTARY</v>
          </cell>
          <cell r="M2346" t="str">
            <v>111807</v>
          </cell>
          <cell r="N2346" t="str">
            <v>PASTA</v>
          </cell>
        </row>
        <row r="2347">
          <cell r="C2347" t="str">
            <v>100003480</v>
          </cell>
          <cell r="D2347" t="str">
            <v>82-1180 UE AF URT FLAT A-16KP</v>
          </cell>
          <cell r="E2347" t="str">
            <v>ZFGD</v>
          </cell>
          <cell r="F2347" t="str">
            <v>PC</v>
          </cell>
          <cell r="G2347" t="str">
            <v>1</v>
          </cell>
          <cell r="H2347" t="str">
            <v>INDUSTRY</v>
          </cell>
          <cell r="I2347" t="str">
            <v>11</v>
          </cell>
          <cell r="J2347" t="str">
            <v>WOOD COATINGS</v>
          </cell>
          <cell r="K2347" t="str">
            <v>1103</v>
          </cell>
          <cell r="L2347" t="str">
            <v>PU</v>
          </cell>
          <cell r="M2347" t="str">
            <v>110312</v>
          </cell>
          <cell r="N2347" t="str">
            <v>UNION TOP COAT</v>
          </cell>
        </row>
        <row r="2348">
          <cell r="C2348" t="str">
            <v>100003490</v>
          </cell>
          <cell r="D2348" t="str">
            <v>82-1039 UE AF URT FLAT A 5% VN-16KP</v>
          </cell>
          <cell r="E2348" t="str">
            <v>ZFGD</v>
          </cell>
          <cell r="F2348" t="str">
            <v>PC</v>
          </cell>
          <cell r="G2348" t="str">
            <v>1</v>
          </cell>
          <cell r="H2348" t="str">
            <v>INDUSTRY</v>
          </cell>
          <cell r="I2348" t="str">
            <v>11</v>
          </cell>
          <cell r="J2348" t="str">
            <v>WOOD COATINGS</v>
          </cell>
          <cell r="K2348" t="str">
            <v>1103</v>
          </cell>
          <cell r="L2348" t="str">
            <v>PU</v>
          </cell>
          <cell r="M2348" t="str">
            <v>110312</v>
          </cell>
          <cell r="N2348" t="str">
            <v>UNION TOP COAT</v>
          </cell>
        </row>
        <row r="2349">
          <cell r="C2349" t="str">
            <v>100003491</v>
          </cell>
          <cell r="D2349" t="str">
            <v>82-4169 UE AF URT WHITE A VN-16KP</v>
          </cell>
          <cell r="E2349" t="str">
            <v>ZFGD</v>
          </cell>
          <cell r="F2349" t="str">
            <v>PC</v>
          </cell>
          <cell r="G2349" t="str">
            <v>1</v>
          </cell>
          <cell r="H2349" t="str">
            <v>INDUSTRY</v>
          </cell>
          <cell r="I2349" t="str">
            <v>11</v>
          </cell>
          <cell r="J2349" t="str">
            <v>WOOD COATINGS</v>
          </cell>
          <cell r="K2349" t="str">
            <v>1103</v>
          </cell>
          <cell r="L2349" t="str">
            <v>PU</v>
          </cell>
          <cell r="M2349" t="str">
            <v>110312</v>
          </cell>
          <cell r="N2349" t="str">
            <v>UNION TOP COAT</v>
          </cell>
        </row>
        <row r="2350">
          <cell r="C2350" t="str">
            <v>100003492</v>
          </cell>
          <cell r="D2350" t="str">
            <v>AL-091 VN-4K</v>
          </cell>
          <cell r="E2350" t="str">
            <v>ZFGD</v>
          </cell>
          <cell r="F2350" t="str">
            <v>PC</v>
          </cell>
          <cell r="G2350" t="str">
            <v>1</v>
          </cell>
          <cell r="H2350" t="str">
            <v>INDUSTRY</v>
          </cell>
          <cell r="I2350" t="str">
            <v>11</v>
          </cell>
          <cell r="J2350" t="str">
            <v>WOOD COATINGS</v>
          </cell>
          <cell r="K2350" t="str">
            <v>1103</v>
          </cell>
          <cell r="L2350" t="str">
            <v>PU</v>
          </cell>
          <cell r="M2350" t="str">
            <v>110325</v>
          </cell>
          <cell r="N2350" t="str">
            <v>UNION HARDENER</v>
          </cell>
        </row>
        <row r="2351">
          <cell r="C2351" t="str">
            <v>100003493</v>
          </cell>
          <cell r="D2351" t="str">
            <v>WPWB-81201 W MQ VN-20KP</v>
          </cell>
          <cell r="E2351" t="str">
            <v>ZFGD</v>
          </cell>
          <cell r="F2351" t="str">
            <v>PC</v>
          </cell>
          <cell r="G2351" t="str">
            <v>1</v>
          </cell>
          <cell r="H2351" t="str">
            <v>INDUSTRY</v>
          </cell>
          <cell r="I2351" t="str">
            <v>11</v>
          </cell>
          <cell r="J2351" t="str">
            <v>WOOD COATINGS</v>
          </cell>
          <cell r="K2351" t="str">
            <v>1119</v>
          </cell>
          <cell r="L2351" t="str">
            <v>WATERBASED</v>
          </cell>
          <cell r="M2351" t="str">
            <v>111902</v>
          </cell>
          <cell r="N2351" t="str">
            <v>WATERBASED SYSTEM INTERIOR</v>
          </cell>
        </row>
        <row r="2352">
          <cell r="C2352" t="str">
            <v>100003494</v>
          </cell>
          <cell r="D2352" t="str">
            <v>GZPU-21500 WHITE VN-4K</v>
          </cell>
          <cell r="E2352" t="str">
            <v>ZFGD</v>
          </cell>
          <cell r="F2352" t="str">
            <v>PC</v>
          </cell>
          <cell r="G2352" t="str">
            <v>1</v>
          </cell>
          <cell r="H2352" t="str">
            <v>INDUSTRY</v>
          </cell>
          <cell r="I2352" t="str">
            <v>11</v>
          </cell>
          <cell r="J2352" t="str">
            <v>WOOD COATINGS</v>
          </cell>
          <cell r="K2352" t="str">
            <v>1103</v>
          </cell>
          <cell r="L2352" t="str">
            <v>PU</v>
          </cell>
          <cell r="M2352" t="str">
            <v>110302</v>
          </cell>
          <cell r="N2352" t="str">
            <v>GLAZE PU</v>
          </cell>
        </row>
        <row r="2353">
          <cell r="C2353" t="str">
            <v>100003495</v>
          </cell>
          <cell r="D2353" t="str">
            <v>DP-12123 LC 28 WH VN-20KP</v>
          </cell>
          <cell r="E2353" t="str">
            <v>ZFGD</v>
          </cell>
          <cell r="F2353" t="str">
            <v>PC</v>
          </cell>
          <cell r="G2353" t="str">
            <v>1</v>
          </cell>
          <cell r="H2353" t="str">
            <v>INDUSTRY</v>
          </cell>
          <cell r="I2353" t="str">
            <v>11</v>
          </cell>
          <cell r="J2353" t="str">
            <v>WOOD COATINGS</v>
          </cell>
          <cell r="K2353" t="str">
            <v>1104</v>
          </cell>
          <cell r="L2353" t="str">
            <v>NC</v>
          </cell>
          <cell r="M2353" t="str">
            <v>110405</v>
          </cell>
          <cell r="N2353" t="str">
            <v>NC SYSTEM</v>
          </cell>
        </row>
        <row r="2354">
          <cell r="C2354" t="str">
            <v>100003496</v>
          </cell>
          <cell r="D2354" t="str">
            <v>THPU-71300 SB VN-20LJ</v>
          </cell>
          <cell r="E2354" t="str">
            <v>ZFGD</v>
          </cell>
          <cell r="F2354" t="str">
            <v>PC</v>
          </cell>
          <cell r="G2354" t="str">
            <v>1</v>
          </cell>
          <cell r="H2354" t="str">
            <v>INDUSTRY</v>
          </cell>
          <cell r="I2354" t="str">
            <v>14</v>
          </cell>
          <cell r="J2354" t="str">
            <v>THINNER</v>
          </cell>
          <cell r="K2354" t="str">
            <v>1411</v>
          </cell>
          <cell r="L2354" t="str">
            <v>THINNER PU</v>
          </cell>
          <cell r="M2354" t="str">
            <v>141101</v>
          </cell>
          <cell r="N2354" t="str">
            <v>THINNER PU</v>
          </cell>
        </row>
        <row r="2355">
          <cell r="C2355" t="str">
            <v>100003497</v>
          </cell>
          <cell r="D2355" t="str">
            <v>PUP-52135 SCC OAK 01 MG VN-20KP</v>
          </cell>
          <cell r="E2355" t="str">
            <v>ZFGD</v>
          </cell>
          <cell r="F2355" t="str">
            <v>PC</v>
          </cell>
          <cell r="G2355" t="str">
            <v>1</v>
          </cell>
          <cell r="H2355" t="str">
            <v>INDUSTRY</v>
          </cell>
          <cell r="I2355" t="str">
            <v>11</v>
          </cell>
          <cell r="J2355" t="str">
            <v>WOOD COATINGS</v>
          </cell>
          <cell r="K2355" t="str">
            <v>1103</v>
          </cell>
          <cell r="L2355" t="str">
            <v>PU</v>
          </cell>
          <cell r="M2355" t="str">
            <v>110322</v>
          </cell>
          <cell r="N2355" t="str">
            <v>PU PRIMER</v>
          </cell>
        </row>
        <row r="2356">
          <cell r="C2356" t="str">
            <v>100003498</v>
          </cell>
          <cell r="D2356" t="str">
            <v>PCA-31100 MBR GIA CO I HD VN-4K</v>
          </cell>
          <cell r="E2356" t="str">
            <v>ZFGD</v>
          </cell>
          <cell r="F2356" t="str">
            <v>PC</v>
          </cell>
          <cell r="G2356" t="str">
            <v>1</v>
          </cell>
          <cell r="H2356" t="str">
            <v>INDUSTRY</v>
          </cell>
          <cell r="I2356" t="str">
            <v>11</v>
          </cell>
          <cell r="J2356" t="str">
            <v>WOOD COATINGS</v>
          </cell>
          <cell r="K2356" t="str">
            <v>1118</v>
          </cell>
          <cell r="L2356" t="str">
            <v>COMPLEMENTARY</v>
          </cell>
          <cell r="M2356" t="str">
            <v>111807</v>
          </cell>
          <cell r="N2356" t="str">
            <v>PASTA</v>
          </cell>
        </row>
        <row r="2357">
          <cell r="C2357" t="str">
            <v>100003499</v>
          </cell>
          <cell r="D2357" t="str">
            <v>PCA-31100 MBR GIA CO II HD VN-4K</v>
          </cell>
          <cell r="E2357" t="str">
            <v>ZFGD</v>
          </cell>
          <cell r="F2357" t="str">
            <v>PC</v>
          </cell>
          <cell r="G2357" t="str">
            <v>1</v>
          </cell>
          <cell r="H2357" t="str">
            <v>INDUSTRY</v>
          </cell>
          <cell r="I2357" t="str">
            <v>11</v>
          </cell>
          <cell r="J2357" t="str">
            <v>WOOD COATINGS</v>
          </cell>
          <cell r="K2357" t="str">
            <v>1118</v>
          </cell>
          <cell r="L2357" t="str">
            <v>COMPLEMENTARY</v>
          </cell>
          <cell r="M2357" t="str">
            <v>111807</v>
          </cell>
          <cell r="N2357" t="str">
            <v>PASTA</v>
          </cell>
        </row>
        <row r="2358">
          <cell r="C2358" t="str">
            <v>100003500</v>
          </cell>
          <cell r="D2358" t="str">
            <v>64-56 MICRO FILLER WD124 GE VN-20KP</v>
          </cell>
          <cell r="E2358" t="str">
            <v>ZFGD</v>
          </cell>
          <cell r="F2358" t="str">
            <v>PC</v>
          </cell>
          <cell r="G2358" t="str">
            <v>1</v>
          </cell>
          <cell r="H2358" t="str">
            <v>INDUSTRY</v>
          </cell>
          <cell r="I2358" t="str">
            <v>11</v>
          </cell>
          <cell r="J2358" t="str">
            <v>WOOD COATINGS</v>
          </cell>
          <cell r="K2358" t="str">
            <v>1103</v>
          </cell>
          <cell r="L2358" t="str">
            <v>PU</v>
          </cell>
          <cell r="M2358" t="str">
            <v>110305</v>
          </cell>
          <cell r="N2358" t="str">
            <v>UNION FILLER</v>
          </cell>
        </row>
        <row r="2359">
          <cell r="C2359" t="str">
            <v>100003501</v>
          </cell>
          <cell r="D2359" t="str">
            <v>PCA-31100 WD124 GE VN-20LJ</v>
          </cell>
          <cell r="E2359" t="str">
            <v>ZFGD</v>
          </cell>
          <cell r="F2359" t="str">
            <v>PC</v>
          </cell>
          <cell r="G2359" t="str">
            <v>1</v>
          </cell>
          <cell r="H2359" t="str">
            <v>INDUSTRY</v>
          </cell>
          <cell r="I2359" t="str">
            <v>11</v>
          </cell>
          <cell r="J2359" t="str">
            <v>WOOD COATINGS</v>
          </cell>
          <cell r="K2359" t="str">
            <v>1118</v>
          </cell>
          <cell r="L2359" t="str">
            <v>COMPLEMENTARY</v>
          </cell>
          <cell r="M2359" t="str">
            <v>111807</v>
          </cell>
          <cell r="N2359" t="str">
            <v>PASTA</v>
          </cell>
        </row>
        <row r="2360">
          <cell r="C2360" t="str">
            <v>100003502</v>
          </cell>
          <cell r="D2360" t="str">
            <v>NCL-9408 80 AK-18KP</v>
          </cell>
          <cell r="E2360" t="str">
            <v>ZFGD</v>
          </cell>
          <cell r="F2360" t="str">
            <v>PC</v>
          </cell>
          <cell r="G2360" t="str">
            <v>1</v>
          </cell>
          <cell r="H2360" t="str">
            <v>INDUSTRY</v>
          </cell>
          <cell r="I2360" t="str">
            <v>11</v>
          </cell>
          <cell r="J2360" t="str">
            <v>WOOD COATINGS</v>
          </cell>
          <cell r="K2360" t="str">
            <v>1104</v>
          </cell>
          <cell r="L2360" t="str">
            <v>NC</v>
          </cell>
          <cell r="M2360" t="str">
            <v>110404</v>
          </cell>
          <cell r="N2360" t="str">
            <v>ASOF : NC TOP COAT</v>
          </cell>
        </row>
        <row r="2361">
          <cell r="C2361" t="str">
            <v>100003503</v>
          </cell>
          <cell r="D2361" t="str">
            <v>NCL-9408 80 AK-180KB</v>
          </cell>
          <cell r="E2361" t="str">
            <v>ZFGD</v>
          </cell>
          <cell r="F2361" t="str">
            <v>PC</v>
          </cell>
          <cell r="G2361" t="str">
            <v>1</v>
          </cell>
          <cell r="H2361" t="str">
            <v>INDUSTRY</v>
          </cell>
          <cell r="I2361" t="str">
            <v>11</v>
          </cell>
          <cell r="J2361" t="str">
            <v>WOOD COATINGS</v>
          </cell>
          <cell r="K2361" t="str">
            <v>1104</v>
          </cell>
          <cell r="L2361" t="str">
            <v>NC</v>
          </cell>
          <cell r="M2361" t="str">
            <v>110404</v>
          </cell>
          <cell r="N2361" t="str">
            <v>ASOF : NC TOP COAT</v>
          </cell>
        </row>
        <row r="2362">
          <cell r="C2362" t="str">
            <v>100003504</v>
          </cell>
          <cell r="D2362" t="str">
            <v>64-56 MICRO FILLER 20WL TR VN-20KP</v>
          </cell>
          <cell r="E2362" t="str">
            <v>ZFGD</v>
          </cell>
          <cell r="F2362" t="str">
            <v>PC</v>
          </cell>
          <cell r="G2362" t="str">
            <v>1</v>
          </cell>
          <cell r="H2362" t="str">
            <v>INDUSTRY</v>
          </cell>
          <cell r="I2362" t="str">
            <v>11</v>
          </cell>
          <cell r="J2362" t="str">
            <v>WOOD COATINGS</v>
          </cell>
          <cell r="K2362" t="str">
            <v>1103</v>
          </cell>
          <cell r="L2362" t="str">
            <v>PU</v>
          </cell>
          <cell r="M2362" t="str">
            <v>110305</v>
          </cell>
          <cell r="N2362" t="str">
            <v>UNION FILLER</v>
          </cell>
        </row>
        <row r="2363">
          <cell r="C2363" t="str">
            <v>100003505</v>
          </cell>
          <cell r="D2363" t="str">
            <v>PCL-31300 01 AL VN-20LJ</v>
          </cell>
          <cell r="E2363" t="str">
            <v>ZFGD</v>
          </cell>
          <cell r="F2363" t="str">
            <v>PC</v>
          </cell>
          <cell r="G2363" t="str">
            <v>1</v>
          </cell>
          <cell r="H2363" t="str">
            <v>INDUSTRY</v>
          </cell>
          <cell r="I2363" t="str">
            <v>11</v>
          </cell>
          <cell r="J2363" t="str">
            <v>WOOD COATINGS</v>
          </cell>
          <cell r="K2363" t="str">
            <v>1118</v>
          </cell>
          <cell r="L2363" t="str">
            <v>COMPLEMENTARY</v>
          </cell>
          <cell r="M2363" t="str">
            <v>111807</v>
          </cell>
          <cell r="N2363" t="str">
            <v>PASTA</v>
          </cell>
        </row>
        <row r="2364">
          <cell r="C2364" t="str">
            <v>100003506</v>
          </cell>
          <cell r="D2364" t="str">
            <v>PUH-56306 HG VN-4K</v>
          </cell>
          <cell r="E2364" t="str">
            <v>ZFGD</v>
          </cell>
          <cell r="F2364" t="str">
            <v>PC</v>
          </cell>
          <cell r="G2364" t="str">
            <v>1</v>
          </cell>
          <cell r="H2364" t="str">
            <v>INDUSTRY</v>
          </cell>
          <cell r="I2364" t="str">
            <v>11</v>
          </cell>
          <cell r="J2364" t="str">
            <v>WOOD COATINGS</v>
          </cell>
          <cell r="K2364" t="str">
            <v>1103</v>
          </cell>
          <cell r="L2364" t="str">
            <v>PU</v>
          </cell>
          <cell r="M2364" t="str">
            <v>110320</v>
          </cell>
          <cell r="N2364" t="str">
            <v>PU HARDENER</v>
          </cell>
        </row>
        <row r="2365">
          <cell r="C2365" t="str">
            <v>100003507</v>
          </cell>
          <cell r="D2365" t="str">
            <v>PUL-53306 AC EX CLEAR HG VN-4K</v>
          </cell>
          <cell r="E2365" t="str">
            <v>ZFGD</v>
          </cell>
          <cell r="F2365" t="str">
            <v>PC</v>
          </cell>
          <cell r="G2365" t="str">
            <v>1</v>
          </cell>
          <cell r="H2365" t="str">
            <v>INDUSTRY</v>
          </cell>
          <cell r="I2365" t="str">
            <v>11</v>
          </cell>
          <cell r="J2365" t="str">
            <v>WOOD COATINGS</v>
          </cell>
          <cell r="K2365" t="str">
            <v>1103</v>
          </cell>
          <cell r="L2365" t="str">
            <v>PU</v>
          </cell>
          <cell r="M2365" t="str">
            <v>110321</v>
          </cell>
          <cell r="N2365" t="str">
            <v>PU LACQUER</v>
          </cell>
        </row>
        <row r="2366">
          <cell r="C2366" t="str">
            <v>100003508</v>
          </cell>
          <cell r="D2366" t="str">
            <v>PUL-53306 AC EX CLEAR HG VN-16KP</v>
          </cell>
          <cell r="E2366" t="str">
            <v>ZFGD</v>
          </cell>
          <cell r="F2366" t="str">
            <v>PC</v>
          </cell>
          <cell r="G2366" t="str">
            <v>1</v>
          </cell>
          <cell r="H2366" t="str">
            <v>INDUSTRY</v>
          </cell>
          <cell r="I2366" t="str">
            <v>11</v>
          </cell>
          <cell r="J2366" t="str">
            <v>WOOD COATINGS</v>
          </cell>
          <cell r="K2366" t="str">
            <v>1103</v>
          </cell>
          <cell r="L2366" t="str">
            <v>PU</v>
          </cell>
          <cell r="M2366" t="str">
            <v>110321</v>
          </cell>
          <cell r="N2366" t="str">
            <v>PU LACQUER</v>
          </cell>
        </row>
        <row r="2367">
          <cell r="C2367" t="str">
            <v>100003509</v>
          </cell>
          <cell r="D2367" t="str">
            <v>64-56 MICRO FILLER 04 VT VN-20KP</v>
          </cell>
          <cell r="E2367" t="str">
            <v>ZFGD</v>
          </cell>
          <cell r="F2367" t="str">
            <v>PC</v>
          </cell>
          <cell r="G2367" t="str">
            <v>1</v>
          </cell>
          <cell r="H2367" t="str">
            <v>INDUSTRY</v>
          </cell>
          <cell r="I2367" t="str">
            <v>11</v>
          </cell>
          <cell r="J2367" t="str">
            <v>WOOD COATINGS</v>
          </cell>
          <cell r="K2367" t="str">
            <v>1103</v>
          </cell>
          <cell r="L2367" t="str">
            <v>PU</v>
          </cell>
          <cell r="M2367" t="str">
            <v>110305</v>
          </cell>
          <cell r="N2367" t="str">
            <v>UNION FILLER</v>
          </cell>
        </row>
        <row r="2368">
          <cell r="C2368" t="str">
            <v>100003510</v>
          </cell>
          <cell r="D2368" t="str">
            <v>SST-11100 04 VT VN-20LJ</v>
          </cell>
          <cell r="E2368" t="str">
            <v>ZFGD</v>
          </cell>
          <cell r="F2368" t="str">
            <v>PC</v>
          </cell>
          <cell r="G2368" t="str">
            <v>1</v>
          </cell>
          <cell r="H2368" t="str">
            <v>INDUSTRY</v>
          </cell>
          <cell r="I2368" t="str">
            <v>11</v>
          </cell>
          <cell r="J2368" t="str">
            <v>WOOD COATINGS</v>
          </cell>
          <cell r="K2368" t="str">
            <v>1109</v>
          </cell>
          <cell r="L2368" t="str">
            <v>STAIN &amp; GLAZE INTERIOR</v>
          </cell>
          <cell r="M2368" t="str">
            <v>110903</v>
          </cell>
          <cell r="N2368" t="str">
            <v>STAIN INTERIOR</v>
          </cell>
        </row>
        <row r="2369">
          <cell r="C2369" t="str">
            <v>100003511</v>
          </cell>
          <cell r="D2369" t="str">
            <v>UVB-30400 WHITE VN-20KP</v>
          </cell>
          <cell r="E2369" t="str">
            <v>ZFGD</v>
          </cell>
          <cell r="F2369" t="str">
            <v>PC</v>
          </cell>
          <cell r="G2369" t="str">
            <v>1</v>
          </cell>
          <cell r="H2369" t="str">
            <v>INDUSTRY</v>
          </cell>
          <cell r="I2369" t="str">
            <v>11</v>
          </cell>
          <cell r="J2369" t="str">
            <v>WOOD COATINGS</v>
          </cell>
          <cell r="K2369" t="str">
            <v>1106</v>
          </cell>
          <cell r="L2369" t="str">
            <v>UV</v>
          </cell>
          <cell r="M2369" t="str">
            <v>110601</v>
          </cell>
          <cell r="N2369" t="str">
            <v>UV BARRIER</v>
          </cell>
        </row>
        <row r="2370">
          <cell r="C2370" t="str">
            <v>100003512</v>
          </cell>
          <cell r="D2370" t="str">
            <v>SST-11100 SVB 02 MG VN-20LJ</v>
          </cell>
          <cell r="E2370" t="str">
            <v>ZFGD</v>
          </cell>
          <cell r="F2370" t="str">
            <v>PC</v>
          </cell>
          <cell r="G2370" t="str">
            <v>1</v>
          </cell>
          <cell r="H2370" t="str">
            <v>INDUSTRY</v>
          </cell>
          <cell r="I2370" t="str">
            <v>11</v>
          </cell>
          <cell r="J2370" t="str">
            <v>WOOD COATINGS</v>
          </cell>
          <cell r="K2370" t="str">
            <v>1109</v>
          </cell>
          <cell r="L2370" t="str">
            <v>STAIN &amp; GLAZE INTERIOR</v>
          </cell>
          <cell r="M2370" t="str">
            <v>110903</v>
          </cell>
          <cell r="N2370" t="str">
            <v>STAIN INTERIOR</v>
          </cell>
        </row>
        <row r="2371">
          <cell r="C2371" t="str">
            <v>100003513</v>
          </cell>
          <cell r="D2371" t="str">
            <v>WBC-62201 SL XLC GREY 10 VL VN-200KB</v>
          </cell>
          <cell r="E2371" t="str">
            <v>ZFGD</v>
          </cell>
          <cell r="F2371" t="str">
            <v>PC</v>
          </cell>
          <cell r="G2371" t="str">
            <v>1</v>
          </cell>
          <cell r="H2371" t="str">
            <v>INDUSTRY</v>
          </cell>
          <cell r="I2371" t="str">
            <v>11</v>
          </cell>
          <cell r="J2371" t="str">
            <v>WOOD COATINGS</v>
          </cell>
          <cell r="K2371" t="str">
            <v>1119</v>
          </cell>
          <cell r="L2371" t="str">
            <v>WATERBASED</v>
          </cell>
          <cell r="M2371" t="str">
            <v>111902</v>
          </cell>
          <cell r="N2371" t="str">
            <v>WATERBASED SYSTEM INTERIOR</v>
          </cell>
        </row>
        <row r="2372">
          <cell r="C2372" t="str">
            <v>100003514</v>
          </cell>
          <cell r="D2372" t="str">
            <v>MEP-12003 02 AL VN-20KP</v>
          </cell>
          <cell r="E2372" t="str">
            <v>ZFGD</v>
          </cell>
          <cell r="F2372" t="str">
            <v>PC</v>
          </cell>
          <cell r="G2372" t="str">
            <v>1</v>
          </cell>
          <cell r="H2372" t="str">
            <v>INDUSTRY</v>
          </cell>
          <cell r="I2372" t="str">
            <v>16</v>
          </cell>
          <cell r="J2372" t="str">
            <v>METAL COATINGS</v>
          </cell>
          <cell r="K2372" t="str">
            <v>1601</v>
          </cell>
          <cell r="L2372" t="str">
            <v>METAL COATINGS</v>
          </cell>
          <cell r="M2372" t="str">
            <v>160101</v>
          </cell>
          <cell r="N2372" t="str">
            <v>METAL COATINGS</v>
          </cell>
        </row>
        <row r="2373">
          <cell r="C2373" t="str">
            <v>100003515</v>
          </cell>
          <cell r="D2373" t="str">
            <v>PCA-31100 02 AL VN-20LJ</v>
          </cell>
          <cell r="E2373" t="str">
            <v>ZFGD</v>
          </cell>
          <cell r="F2373" t="str">
            <v>PC</v>
          </cell>
          <cell r="G2373" t="str">
            <v>1</v>
          </cell>
          <cell r="H2373" t="str">
            <v>INDUSTRY</v>
          </cell>
          <cell r="I2373" t="str">
            <v>11</v>
          </cell>
          <cell r="J2373" t="str">
            <v>WOOD COATINGS</v>
          </cell>
          <cell r="K2373" t="str">
            <v>1118</v>
          </cell>
          <cell r="L2373" t="str">
            <v>COMPLEMENTARY</v>
          </cell>
          <cell r="M2373" t="str">
            <v>111807</v>
          </cell>
          <cell r="N2373" t="str">
            <v>PASTA</v>
          </cell>
        </row>
        <row r="2374">
          <cell r="C2374" t="str">
            <v>100003516</v>
          </cell>
          <cell r="D2374" t="str">
            <v>64-56 MICRO FILLER WDA GE VN-20KP</v>
          </cell>
          <cell r="E2374" t="str">
            <v>ZFGD</v>
          </cell>
          <cell r="F2374" t="str">
            <v>PC</v>
          </cell>
          <cell r="G2374" t="str">
            <v>1</v>
          </cell>
          <cell r="H2374" t="str">
            <v>INDUSTRY</v>
          </cell>
          <cell r="I2374" t="str">
            <v>11</v>
          </cell>
          <cell r="J2374" t="str">
            <v>WOOD COATINGS</v>
          </cell>
          <cell r="K2374" t="str">
            <v>1103</v>
          </cell>
          <cell r="L2374" t="str">
            <v>PU</v>
          </cell>
          <cell r="M2374" t="str">
            <v>110305</v>
          </cell>
          <cell r="N2374" t="str">
            <v>UNION FILLER</v>
          </cell>
        </row>
        <row r="2375">
          <cell r="C2375" t="str">
            <v>100003517</v>
          </cell>
          <cell r="D2375" t="str">
            <v>SST-11100 WDA I GE VN-20LJ</v>
          </cell>
          <cell r="E2375" t="str">
            <v>ZFGD</v>
          </cell>
          <cell r="F2375" t="str">
            <v>PC</v>
          </cell>
          <cell r="G2375" t="str">
            <v>1</v>
          </cell>
          <cell r="H2375" t="str">
            <v>INDUSTRY</v>
          </cell>
          <cell r="I2375" t="str">
            <v>11</v>
          </cell>
          <cell r="J2375" t="str">
            <v>WOOD COATINGS</v>
          </cell>
          <cell r="K2375" t="str">
            <v>1109</v>
          </cell>
          <cell r="L2375" t="str">
            <v>STAIN &amp; GLAZE INTERIOR</v>
          </cell>
          <cell r="M2375" t="str">
            <v>110903</v>
          </cell>
          <cell r="N2375" t="str">
            <v>STAIN INTERIOR</v>
          </cell>
        </row>
        <row r="2376">
          <cell r="C2376" t="str">
            <v>100003518</v>
          </cell>
          <cell r="D2376" t="str">
            <v>SST-11100 WDA II GE VN-20LJ</v>
          </cell>
          <cell r="E2376" t="str">
            <v>ZFGD</v>
          </cell>
          <cell r="F2376" t="str">
            <v>PC</v>
          </cell>
          <cell r="G2376" t="str">
            <v>1</v>
          </cell>
          <cell r="H2376" t="str">
            <v>INDUSTRY</v>
          </cell>
          <cell r="I2376" t="str">
            <v>11</v>
          </cell>
          <cell r="J2376" t="str">
            <v>WOOD COATINGS</v>
          </cell>
          <cell r="K2376" t="str">
            <v>1109</v>
          </cell>
          <cell r="L2376" t="str">
            <v>STAIN &amp; GLAZE INTERIOR</v>
          </cell>
          <cell r="M2376" t="str">
            <v>110903</v>
          </cell>
          <cell r="N2376" t="str">
            <v>STAIN INTERIOR</v>
          </cell>
        </row>
        <row r="2377">
          <cell r="C2377" t="str">
            <v>100003519</v>
          </cell>
          <cell r="D2377" t="str">
            <v>SST-11100 NB A TL VN-20LJ</v>
          </cell>
          <cell r="E2377" t="str">
            <v>ZFGD</v>
          </cell>
          <cell r="F2377" t="str">
            <v>PC</v>
          </cell>
          <cell r="G2377" t="str">
            <v>1</v>
          </cell>
          <cell r="H2377" t="str">
            <v>INDUSTRY</v>
          </cell>
          <cell r="I2377" t="str">
            <v>11</v>
          </cell>
          <cell r="J2377" t="str">
            <v>WOOD COATINGS</v>
          </cell>
          <cell r="K2377" t="str">
            <v>1109</v>
          </cell>
          <cell r="L2377" t="str">
            <v>STAIN &amp; GLAZE INTERIOR</v>
          </cell>
          <cell r="M2377" t="str">
            <v>110903</v>
          </cell>
          <cell r="N2377" t="str">
            <v>STAIN INTERIOR</v>
          </cell>
        </row>
        <row r="2378">
          <cell r="C2378" t="str">
            <v>100003520</v>
          </cell>
          <cell r="D2378" t="str">
            <v>SST-11100 NB B TL VN-20LJ</v>
          </cell>
          <cell r="E2378" t="str">
            <v>ZFGD</v>
          </cell>
          <cell r="F2378" t="str">
            <v>PC</v>
          </cell>
          <cell r="G2378" t="str">
            <v>1</v>
          </cell>
          <cell r="H2378" t="str">
            <v>INDUSTRY</v>
          </cell>
          <cell r="I2378" t="str">
            <v>11</v>
          </cell>
          <cell r="J2378" t="str">
            <v>WOOD COATINGS</v>
          </cell>
          <cell r="K2378" t="str">
            <v>1109</v>
          </cell>
          <cell r="L2378" t="str">
            <v>STAIN &amp; GLAZE INTERIOR</v>
          </cell>
          <cell r="M2378" t="str">
            <v>110903</v>
          </cell>
          <cell r="N2378" t="str">
            <v>STAIN INTERIOR</v>
          </cell>
        </row>
        <row r="2379">
          <cell r="C2379" t="str">
            <v>100003521</v>
          </cell>
          <cell r="D2379" t="str">
            <v>SST-11100 27 A MQ VN-20LJ</v>
          </cell>
          <cell r="E2379" t="str">
            <v>ZFGD</v>
          </cell>
          <cell r="F2379" t="str">
            <v>PC</v>
          </cell>
          <cell r="G2379" t="str">
            <v>1</v>
          </cell>
          <cell r="H2379" t="str">
            <v>INDUSTRY</v>
          </cell>
          <cell r="I2379" t="str">
            <v>11</v>
          </cell>
          <cell r="J2379" t="str">
            <v>WOOD COATINGS</v>
          </cell>
          <cell r="K2379" t="str">
            <v>1109</v>
          </cell>
          <cell r="L2379" t="str">
            <v>STAIN &amp; GLAZE INTERIOR</v>
          </cell>
          <cell r="M2379" t="str">
            <v>110903</v>
          </cell>
          <cell r="N2379" t="str">
            <v>STAIN INTERIOR</v>
          </cell>
        </row>
        <row r="2380">
          <cell r="C2380" t="str">
            <v>100003522</v>
          </cell>
          <cell r="D2380" t="str">
            <v>PS-15100 24 MQ VN-20LJ</v>
          </cell>
          <cell r="E2380" t="str">
            <v>ZFGD</v>
          </cell>
          <cell r="F2380" t="str">
            <v>PC</v>
          </cell>
          <cell r="G2380" t="str">
            <v>1</v>
          </cell>
          <cell r="H2380" t="str">
            <v>INDUSTRY</v>
          </cell>
          <cell r="I2380" t="str">
            <v>11</v>
          </cell>
          <cell r="J2380" t="str">
            <v>WOOD COATINGS</v>
          </cell>
          <cell r="K2380" t="str">
            <v>1109</v>
          </cell>
          <cell r="L2380" t="str">
            <v>STAIN &amp; GLAZE INTERIOR</v>
          </cell>
          <cell r="M2380" t="str">
            <v>110901</v>
          </cell>
          <cell r="N2380" t="str">
            <v>ASOF : STAIN &amp; GLAZE</v>
          </cell>
        </row>
        <row r="2381">
          <cell r="C2381" t="str">
            <v>100003523</v>
          </cell>
          <cell r="D2381" t="str">
            <v>SST-11100 26 MQ VN-20LJ</v>
          </cell>
          <cell r="E2381" t="str">
            <v>ZFGD</v>
          </cell>
          <cell r="F2381" t="str">
            <v>PC</v>
          </cell>
          <cell r="G2381" t="str">
            <v>1</v>
          </cell>
          <cell r="H2381" t="str">
            <v>INDUSTRY</v>
          </cell>
          <cell r="I2381" t="str">
            <v>11</v>
          </cell>
          <cell r="J2381" t="str">
            <v>WOOD COATINGS</v>
          </cell>
          <cell r="K2381" t="str">
            <v>1109</v>
          </cell>
          <cell r="L2381" t="str">
            <v>STAIN &amp; GLAZE INTERIOR</v>
          </cell>
          <cell r="M2381" t="str">
            <v>110903</v>
          </cell>
          <cell r="N2381" t="str">
            <v>STAIN INTERIOR</v>
          </cell>
        </row>
        <row r="2382">
          <cell r="C2382" t="str">
            <v>100003524</v>
          </cell>
          <cell r="D2382" t="str">
            <v>WBP-62102 27 B MQ VN-20KP</v>
          </cell>
          <cell r="E2382" t="str">
            <v>ZFGD</v>
          </cell>
          <cell r="F2382" t="str">
            <v>PC</v>
          </cell>
          <cell r="G2382" t="str">
            <v>1</v>
          </cell>
          <cell r="H2382" t="str">
            <v>INDUSTRY</v>
          </cell>
          <cell r="I2382" t="str">
            <v>11</v>
          </cell>
          <cell r="J2382" t="str">
            <v>WOOD COATINGS</v>
          </cell>
          <cell r="K2382" t="str">
            <v>1119</v>
          </cell>
          <cell r="L2382" t="str">
            <v>WATERBASED</v>
          </cell>
          <cell r="M2382" t="str">
            <v>111902</v>
          </cell>
          <cell r="N2382" t="str">
            <v>WATERBASED SYSTEM INTERIOR</v>
          </cell>
        </row>
        <row r="2383">
          <cell r="C2383" t="str">
            <v>100003525</v>
          </cell>
          <cell r="D2383" t="str">
            <v>WPWB-81201 27 B MQ VN-20KP</v>
          </cell>
          <cell r="E2383" t="str">
            <v>ZFGD</v>
          </cell>
          <cell r="F2383" t="str">
            <v>PC</v>
          </cell>
          <cell r="G2383" t="str">
            <v>1</v>
          </cell>
          <cell r="H2383" t="str">
            <v>INDUSTRY</v>
          </cell>
          <cell r="I2383" t="str">
            <v>11</v>
          </cell>
          <cell r="J2383" t="str">
            <v>WOOD COATINGS</v>
          </cell>
          <cell r="K2383" t="str">
            <v>1119</v>
          </cell>
          <cell r="L2383" t="str">
            <v>WATERBASED</v>
          </cell>
          <cell r="M2383" t="str">
            <v>111902</v>
          </cell>
          <cell r="N2383" t="str">
            <v>WATERBASED SYSTEM INTERIOR</v>
          </cell>
        </row>
        <row r="2384">
          <cell r="C2384" t="str">
            <v>100003526</v>
          </cell>
          <cell r="D2384" t="str">
            <v>WBC-62208 BLACK 10 VN-20KP</v>
          </cell>
          <cell r="E2384" t="str">
            <v>ZFGD</v>
          </cell>
          <cell r="F2384" t="str">
            <v>PC</v>
          </cell>
          <cell r="G2384" t="str">
            <v>1</v>
          </cell>
          <cell r="H2384" t="str">
            <v>INDUSTRY</v>
          </cell>
          <cell r="I2384" t="str">
            <v>11</v>
          </cell>
          <cell r="J2384" t="str">
            <v>WOOD COATINGS</v>
          </cell>
          <cell r="K2384" t="str">
            <v>1119</v>
          </cell>
          <cell r="L2384" t="str">
            <v>WATERBASED</v>
          </cell>
          <cell r="M2384" t="str">
            <v>111902</v>
          </cell>
          <cell r="N2384" t="str">
            <v>WATERBASED SYSTEM INTERIOR</v>
          </cell>
        </row>
        <row r="2385">
          <cell r="C2385" t="str">
            <v>100003527</v>
          </cell>
          <cell r="D2385" t="str">
            <v>PUP-52133 BLUE 79 BG PS VN-20KP</v>
          </cell>
          <cell r="E2385" t="str">
            <v>ZFGD</v>
          </cell>
          <cell r="F2385" t="str">
            <v>PC</v>
          </cell>
          <cell r="G2385" t="str">
            <v>1</v>
          </cell>
          <cell r="H2385" t="str">
            <v>INDUSTRY</v>
          </cell>
          <cell r="I2385" t="str">
            <v>11</v>
          </cell>
          <cell r="J2385" t="str">
            <v>WOOD COATINGS</v>
          </cell>
          <cell r="K2385" t="str">
            <v>1103</v>
          </cell>
          <cell r="L2385" t="str">
            <v>PU</v>
          </cell>
          <cell r="M2385" t="str">
            <v>110322</v>
          </cell>
          <cell r="N2385" t="str">
            <v>PU PRIMER</v>
          </cell>
        </row>
        <row r="2386">
          <cell r="C2386" t="str">
            <v>100003528</v>
          </cell>
          <cell r="D2386" t="str">
            <v>SST-11100 95 PF VN-20LJ</v>
          </cell>
          <cell r="E2386" t="str">
            <v>ZFGD</v>
          </cell>
          <cell r="F2386" t="str">
            <v>PC</v>
          </cell>
          <cell r="G2386" t="str">
            <v>1</v>
          </cell>
          <cell r="H2386" t="str">
            <v>INDUSTRY</v>
          </cell>
          <cell r="I2386" t="str">
            <v>11</v>
          </cell>
          <cell r="J2386" t="str">
            <v>WOOD COATINGS</v>
          </cell>
          <cell r="K2386" t="str">
            <v>1109</v>
          </cell>
          <cell r="L2386" t="str">
            <v>STAIN &amp; GLAZE INTERIOR</v>
          </cell>
          <cell r="M2386" t="str">
            <v>110903</v>
          </cell>
          <cell r="N2386" t="str">
            <v>STAIN INTERIOR</v>
          </cell>
        </row>
        <row r="2387">
          <cell r="C2387" t="str">
            <v>100003529</v>
          </cell>
          <cell r="D2387" t="str">
            <v>WBC-62201 SL XLC WHITE 01 50VLVN-200KB</v>
          </cell>
          <cell r="E2387" t="str">
            <v>ZFGD</v>
          </cell>
          <cell r="F2387" t="str">
            <v>PC</v>
          </cell>
          <cell r="G2387" t="str">
            <v>1</v>
          </cell>
          <cell r="H2387" t="str">
            <v>INDUSTRY</v>
          </cell>
          <cell r="I2387" t="str">
            <v>11</v>
          </cell>
          <cell r="J2387" t="str">
            <v>WOOD COATINGS</v>
          </cell>
          <cell r="K2387" t="str">
            <v>1119</v>
          </cell>
          <cell r="L2387" t="str">
            <v>WATERBASED</v>
          </cell>
          <cell r="M2387" t="str">
            <v>111902</v>
          </cell>
          <cell r="N2387" t="str">
            <v>WATERBASED SYSTEM INTERIOR</v>
          </cell>
        </row>
        <row r="2388">
          <cell r="C2388" t="str">
            <v>100003530</v>
          </cell>
          <cell r="D2388" t="str">
            <v>PUP-52135 09 FS VN-20KP</v>
          </cell>
          <cell r="E2388" t="str">
            <v>ZFGD</v>
          </cell>
          <cell r="F2388" t="str">
            <v>PC</v>
          </cell>
          <cell r="G2388" t="str">
            <v>1</v>
          </cell>
          <cell r="H2388" t="str">
            <v>INDUSTRY</v>
          </cell>
          <cell r="I2388" t="str">
            <v>11</v>
          </cell>
          <cell r="J2388" t="str">
            <v>WOOD COATINGS</v>
          </cell>
          <cell r="K2388" t="str">
            <v>1103</v>
          </cell>
          <cell r="L2388" t="str">
            <v>PU</v>
          </cell>
          <cell r="M2388" t="str">
            <v>110322</v>
          </cell>
          <cell r="N2388" t="str">
            <v>PU PRIMER</v>
          </cell>
        </row>
        <row r="2389">
          <cell r="C2389" t="str">
            <v>100003531</v>
          </cell>
          <cell r="D2389" t="str">
            <v>PS-15100 VHT20 NT VN-20LJ</v>
          </cell>
          <cell r="E2389" t="str">
            <v>ZFGD</v>
          </cell>
          <cell r="F2389" t="str">
            <v>PC</v>
          </cell>
          <cell r="G2389" t="str">
            <v>1</v>
          </cell>
          <cell r="H2389" t="str">
            <v>INDUSTRY</v>
          </cell>
          <cell r="I2389" t="str">
            <v>11</v>
          </cell>
          <cell r="J2389" t="str">
            <v>WOOD COATINGS</v>
          </cell>
          <cell r="K2389" t="str">
            <v>1109</v>
          </cell>
          <cell r="L2389" t="str">
            <v>STAIN &amp; GLAZE INTERIOR</v>
          </cell>
          <cell r="M2389" t="str">
            <v>110901</v>
          </cell>
          <cell r="N2389" t="str">
            <v>ASOF : STAIN &amp; GLAZE</v>
          </cell>
        </row>
        <row r="2390">
          <cell r="C2390" t="str">
            <v>100003532</v>
          </cell>
          <cell r="D2390" t="str">
            <v>PUC-52239 5BEEKMAN NH 15 GE VN-20KP</v>
          </cell>
          <cell r="E2390" t="str">
            <v>ZFGD</v>
          </cell>
          <cell r="F2390" t="str">
            <v>PC</v>
          </cell>
          <cell r="G2390" t="str">
            <v>1</v>
          </cell>
          <cell r="H2390" t="str">
            <v>INDUSTRY</v>
          </cell>
          <cell r="I2390" t="str">
            <v>11</v>
          </cell>
          <cell r="J2390" t="str">
            <v>WOOD COATINGS</v>
          </cell>
          <cell r="K2390" t="str">
            <v>1103</v>
          </cell>
          <cell r="L2390" t="str">
            <v>PU</v>
          </cell>
          <cell r="M2390" t="str">
            <v>110319</v>
          </cell>
          <cell r="N2390" t="str">
            <v>PU COLOR</v>
          </cell>
        </row>
        <row r="2391">
          <cell r="C2391" t="str">
            <v>100003533</v>
          </cell>
          <cell r="D2391" t="str">
            <v>PCA-31100 25 DS VN-20LJ</v>
          </cell>
          <cell r="E2391" t="str">
            <v>ZFGD</v>
          </cell>
          <cell r="F2391" t="str">
            <v>PC</v>
          </cell>
          <cell r="G2391" t="str">
            <v>1</v>
          </cell>
          <cell r="H2391" t="str">
            <v>INDUSTRY</v>
          </cell>
          <cell r="I2391" t="str">
            <v>11</v>
          </cell>
          <cell r="J2391" t="str">
            <v>WOOD COATINGS</v>
          </cell>
          <cell r="K2391" t="str">
            <v>1118</v>
          </cell>
          <cell r="L2391" t="str">
            <v>COMPLEMENTARY</v>
          </cell>
          <cell r="M2391" t="str">
            <v>111807</v>
          </cell>
          <cell r="N2391" t="str">
            <v>PASTA</v>
          </cell>
        </row>
        <row r="2392">
          <cell r="C2392" t="str">
            <v>100003534</v>
          </cell>
          <cell r="D2392" t="str">
            <v>PRCC-20323 POL VARNISH-200KK</v>
          </cell>
          <cell r="E2392" t="str">
            <v>ZFGD</v>
          </cell>
          <cell r="F2392" t="str">
            <v>PC</v>
          </cell>
          <cell r="G2392" t="str">
            <v>1</v>
          </cell>
          <cell r="H2392" t="str">
            <v>INDUSTRY</v>
          </cell>
          <cell r="I2392" t="str">
            <v>12</v>
          </cell>
          <cell r="J2392" t="str">
            <v>CAN COATINGS</v>
          </cell>
          <cell r="K2392" t="str">
            <v>1201</v>
          </cell>
          <cell r="L2392" t="str">
            <v>CAN COATINGS</v>
          </cell>
          <cell r="M2392" t="str">
            <v>120101</v>
          </cell>
          <cell r="N2392" t="str">
            <v>CAN COATINGS</v>
          </cell>
        </row>
        <row r="2393">
          <cell r="C2393" t="str">
            <v>100003535</v>
          </cell>
          <cell r="D2393" t="str">
            <v>SST-11100 27 DS VN-20LJ</v>
          </cell>
          <cell r="E2393" t="str">
            <v>ZFGD</v>
          </cell>
          <cell r="F2393" t="str">
            <v>PC</v>
          </cell>
          <cell r="G2393" t="str">
            <v>1</v>
          </cell>
          <cell r="H2393" t="str">
            <v>INDUSTRY</v>
          </cell>
          <cell r="I2393" t="str">
            <v>11</v>
          </cell>
          <cell r="J2393" t="str">
            <v>WOOD COATINGS</v>
          </cell>
          <cell r="K2393" t="str">
            <v>1109</v>
          </cell>
          <cell r="L2393" t="str">
            <v>STAIN &amp; GLAZE INTERIOR</v>
          </cell>
          <cell r="M2393" t="str">
            <v>110903</v>
          </cell>
          <cell r="N2393" t="str">
            <v>STAIN INTERIOR</v>
          </cell>
        </row>
        <row r="2394">
          <cell r="C2394" t="str">
            <v>100003536</v>
          </cell>
          <cell r="D2394" t="str">
            <v>PUP-52135 88 PF VN-20KP</v>
          </cell>
          <cell r="E2394" t="str">
            <v>ZFGD</v>
          </cell>
          <cell r="F2394" t="str">
            <v>PC</v>
          </cell>
          <cell r="G2394" t="str">
            <v>1</v>
          </cell>
          <cell r="H2394" t="str">
            <v>INDUSTRY</v>
          </cell>
          <cell r="I2394" t="str">
            <v>11</v>
          </cell>
          <cell r="J2394" t="str">
            <v>WOOD COATINGS</v>
          </cell>
          <cell r="K2394" t="str">
            <v>1103</v>
          </cell>
          <cell r="L2394" t="str">
            <v>PU</v>
          </cell>
          <cell r="M2394" t="str">
            <v>110322</v>
          </cell>
          <cell r="N2394" t="str">
            <v>PU PRIMER</v>
          </cell>
        </row>
        <row r="2395">
          <cell r="C2395" t="str">
            <v>100003537</v>
          </cell>
          <cell r="D2395" t="str">
            <v>GZPU-21500 88 PF VN-18KP</v>
          </cell>
          <cell r="E2395" t="str">
            <v>ZFGD</v>
          </cell>
          <cell r="F2395" t="str">
            <v>PC</v>
          </cell>
          <cell r="G2395" t="str">
            <v>1</v>
          </cell>
          <cell r="H2395" t="str">
            <v>INDUSTRY</v>
          </cell>
          <cell r="I2395" t="str">
            <v>11</v>
          </cell>
          <cell r="J2395" t="str">
            <v>WOOD COATINGS</v>
          </cell>
          <cell r="K2395" t="str">
            <v>1103</v>
          </cell>
          <cell r="L2395" t="str">
            <v>PU</v>
          </cell>
          <cell r="M2395" t="str">
            <v>110302</v>
          </cell>
          <cell r="N2395" t="str">
            <v>GLAZE PU</v>
          </cell>
        </row>
        <row r="2396">
          <cell r="C2396" t="str">
            <v>100003538</v>
          </cell>
          <cell r="D2396" t="str">
            <v>PCA-31100 DBR KASUMI HD VN-4K</v>
          </cell>
          <cell r="E2396" t="str">
            <v>ZFGD</v>
          </cell>
          <cell r="F2396" t="str">
            <v>PC</v>
          </cell>
          <cell r="G2396" t="str">
            <v>1</v>
          </cell>
          <cell r="H2396" t="str">
            <v>INDUSTRY</v>
          </cell>
          <cell r="I2396" t="str">
            <v>11</v>
          </cell>
          <cell r="J2396" t="str">
            <v>WOOD COATINGS</v>
          </cell>
          <cell r="K2396" t="str">
            <v>1118</v>
          </cell>
          <cell r="L2396" t="str">
            <v>COMPLEMENTARY</v>
          </cell>
          <cell r="M2396" t="str">
            <v>111807</v>
          </cell>
          <cell r="N2396" t="str">
            <v>PASTA</v>
          </cell>
        </row>
        <row r="2397">
          <cell r="C2397" t="str">
            <v>100003539</v>
          </cell>
          <cell r="D2397" t="str">
            <v>PUP-52141 MIDNIGHT GREY TL VN-20KP</v>
          </cell>
          <cell r="E2397" t="str">
            <v>ZFGD</v>
          </cell>
          <cell r="F2397" t="str">
            <v>PC</v>
          </cell>
          <cell r="G2397" t="str">
            <v>1</v>
          </cell>
          <cell r="H2397" t="str">
            <v>INDUSTRY</v>
          </cell>
          <cell r="I2397" t="str">
            <v>11</v>
          </cell>
          <cell r="J2397" t="str">
            <v>WOOD COATINGS</v>
          </cell>
          <cell r="K2397" t="str">
            <v>1103</v>
          </cell>
          <cell r="L2397" t="str">
            <v>PU</v>
          </cell>
          <cell r="M2397" t="str">
            <v>110322</v>
          </cell>
          <cell r="N2397" t="str">
            <v>PU PRIMER</v>
          </cell>
        </row>
        <row r="2398">
          <cell r="C2398" t="str">
            <v>100003540</v>
          </cell>
          <cell r="D2398" t="str">
            <v>PUC-52239 MIDNIGHT GREY 20 TL VN-20KP</v>
          </cell>
          <cell r="E2398" t="str">
            <v>ZFGD</v>
          </cell>
          <cell r="F2398" t="str">
            <v>PC</v>
          </cell>
          <cell r="G2398" t="str">
            <v>1</v>
          </cell>
          <cell r="H2398" t="str">
            <v>INDUSTRY</v>
          </cell>
          <cell r="I2398" t="str">
            <v>11</v>
          </cell>
          <cell r="J2398" t="str">
            <v>WOOD COATINGS</v>
          </cell>
          <cell r="K2398" t="str">
            <v>1103</v>
          </cell>
          <cell r="L2398" t="str">
            <v>PU</v>
          </cell>
          <cell r="M2398" t="str">
            <v>110319</v>
          </cell>
          <cell r="N2398" t="str">
            <v>PU COLOR</v>
          </cell>
        </row>
        <row r="2399">
          <cell r="C2399" t="str">
            <v>100003541</v>
          </cell>
          <cell r="D2399" t="str">
            <v>UVP-60101 WHITE VN-20KP</v>
          </cell>
          <cell r="E2399" t="str">
            <v>ZFGD</v>
          </cell>
          <cell r="F2399" t="str">
            <v>PC</v>
          </cell>
          <cell r="G2399" t="str">
            <v>1</v>
          </cell>
          <cell r="H2399" t="str">
            <v>INDUSTRY</v>
          </cell>
          <cell r="I2399" t="str">
            <v>11</v>
          </cell>
          <cell r="J2399" t="str">
            <v>WOOD COATINGS</v>
          </cell>
          <cell r="K2399" t="str">
            <v>1106</v>
          </cell>
          <cell r="L2399" t="str">
            <v>UV</v>
          </cell>
          <cell r="M2399" t="str">
            <v>110604</v>
          </cell>
          <cell r="N2399" t="str">
            <v>UV PRIMER</v>
          </cell>
        </row>
        <row r="2400">
          <cell r="C2400" t="str">
            <v>100003542</v>
          </cell>
          <cell r="D2400" t="str">
            <v>WBL-61202 CLEAR 70 VN-20KP</v>
          </cell>
          <cell r="E2400" t="str">
            <v>ZFGD</v>
          </cell>
          <cell r="F2400" t="str">
            <v>PC</v>
          </cell>
          <cell r="G2400" t="str">
            <v>1</v>
          </cell>
          <cell r="H2400" t="str">
            <v>INDUSTRY</v>
          </cell>
          <cell r="I2400" t="str">
            <v>11</v>
          </cell>
          <cell r="J2400" t="str">
            <v>WOOD COATINGS</v>
          </cell>
          <cell r="K2400" t="str">
            <v>1119</v>
          </cell>
          <cell r="L2400" t="str">
            <v>WATERBASED</v>
          </cell>
          <cell r="M2400" t="str">
            <v>111902</v>
          </cell>
          <cell r="N2400" t="str">
            <v>WATERBASED SYSTEM INTERIOR</v>
          </cell>
        </row>
        <row r="2401">
          <cell r="C2401" t="str">
            <v>100003543</v>
          </cell>
          <cell r="D2401" t="str">
            <v>PUP-52141 11 A YJ VN-20KP</v>
          </cell>
          <cell r="E2401" t="str">
            <v>ZFGD</v>
          </cell>
          <cell r="F2401" t="str">
            <v>PC</v>
          </cell>
          <cell r="G2401" t="str">
            <v>1</v>
          </cell>
          <cell r="H2401" t="str">
            <v>INDUSTRY</v>
          </cell>
          <cell r="I2401" t="str">
            <v>11</v>
          </cell>
          <cell r="J2401" t="str">
            <v>WOOD COATINGS</v>
          </cell>
          <cell r="K2401" t="str">
            <v>1103</v>
          </cell>
          <cell r="L2401" t="str">
            <v>PU</v>
          </cell>
          <cell r="M2401" t="str">
            <v>110322</v>
          </cell>
          <cell r="N2401" t="str">
            <v>PU PRIMER</v>
          </cell>
        </row>
        <row r="2402">
          <cell r="C2402" t="str">
            <v>100003544</v>
          </cell>
          <cell r="D2402" t="str">
            <v>DC-12229 LC 11 B 10 YJ VN-20KP</v>
          </cell>
          <cell r="E2402" t="str">
            <v>ZFGD</v>
          </cell>
          <cell r="F2402" t="str">
            <v>PC</v>
          </cell>
          <cell r="G2402" t="str">
            <v>1</v>
          </cell>
          <cell r="H2402" t="str">
            <v>INDUSTRY</v>
          </cell>
          <cell r="I2402" t="str">
            <v>11</v>
          </cell>
          <cell r="J2402" t="str">
            <v>WOOD COATINGS</v>
          </cell>
          <cell r="K2402" t="str">
            <v>1104</v>
          </cell>
          <cell r="L2402" t="str">
            <v>NC</v>
          </cell>
          <cell r="M2402" t="str">
            <v>110405</v>
          </cell>
          <cell r="N2402" t="str">
            <v>NC SYSTEM</v>
          </cell>
        </row>
        <row r="2403">
          <cell r="C2403" t="str">
            <v>100003545</v>
          </cell>
          <cell r="D2403" t="str">
            <v>PST-12200 1K MUB 01 SC VN-20LJ</v>
          </cell>
          <cell r="E2403" t="str">
            <v>ZFGD</v>
          </cell>
          <cell r="F2403" t="str">
            <v>PC</v>
          </cell>
          <cell r="G2403" t="str">
            <v>1</v>
          </cell>
          <cell r="H2403" t="str">
            <v>INDUSTRY</v>
          </cell>
          <cell r="I2403" t="str">
            <v>11</v>
          </cell>
          <cell r="J2403" t="str">
            <v>WOOD COATINGS</v>
          </cell>
          <cell r="K2403" t="str">
            <v>1101</v>
          </cell>
          <cell r="L2403" t="str">
            <v>ALKYD OIL</v>
          </cell>
          <cell r="M2403" t="str">
            <v>110102</v>
          </cell>
          <cell r="N2403" t="str">
            <v>STAIN EXTERIOR</v>
          </cell>
        </row>
        <row r="2404">
          <cell r="C2404" t="str">
            <v>100003546</v>
          </cell>
          <cell r="D2404" t="str">
            <v>THC-73100 102 VN-200LK</v>
          </cell>
          <cell r="E2404" t="str">
            <v>ZFGD</v>
          </cell>
          <cell r="F2404" t="str">
            <v>PC</v>
          </cell>
          <cell r="G2404" t="str">
            <v>1</v>
          </cell>
          <cell r="H2404" t="str">
            <v>INDUSTRY</v>
          </cell>
          <cell r="I2404" t="str">
            <v>14</v>
          </cell>
          <cell r="J2404" t="str">
            <v>THINNER</v>
          </cell>
          <cell r="K2404" t="str">
            <v>1412</v>
          </cell>
          <cell r="L2404" t="str">
            <v>THINNER NC</v>
          </cell>
          <cell r="M2404" t="str">
            <v>141203</v>
          </cell>
          <cell r="N2404" t="str">
            <v>THINNER COMPLEMENTARY</v>
          </cell>
        </row>
        <row r="2405">
          <cell r="C2405" t="str">
            <v>100003547</v>
          </cell>
          <cell r="D2405" t="str">
            <v>WBP-64121 EX WHITE SE VN-20KP</v>
          </cell>
          <cell r="E2405" t="str">
            <v>ZFGD</v>
          </cell>
          <cell r="F2405" t="str">
            <v>PC</v>
          </cell>
          <cell r="G2405" t="str">
            <v>1</v>
          </cell>
          <cell r="H2405" t="str">
            <v>INDUSTRY</v>
          </cell>
          <cell r="I2405" t="str">
            <v>11</v>
          </cell>
          <cell r="J2405" t="str">
            <v>WOOD COATINGS</v>
          </cell>
          <cell r="K2405" t="str">
            <v>1119</v>
          </cell>
          <cell r="L2405" t="str">
            <v>WATERBASED</v>
          </cell>
          <cell r="M2405" t="str">
            <v>111901</v>
          </cell>
          <cell r="N2405" t="str">
            <v>WATERBASED SYSTEM EXTERIOR</v>
          </cell>
        </row>
        <row r="2406">
          <cell r="C2406" t="str">
            <v>100003548</v>
          </cell>
          <cell r="D2406" t="str">
            <v>PUC-54206 AC EX FENCE 05 GE VN-18KP</v>
          </cell>
          <cell r="E2406" t="str">
            <v>ZFGD</v>
          </cell>
          <cell r="F2406" t="str">
            <v>PC</v>
          </cell>
          <cell r="G2406" t="str">
            <v>1</v>
          </cell>
          <cell r="H2406" t="str">
            <v>INDUSTRY</v>
          </cell>
          <cell r="I2406" t="str">
            <v>11</v>
          </cell>
          <cell r="J2406" t="str">
            <v>WOOD COATINGS</v>
          </cell>
          <cell r="K2406" t="str">
            <v>1103</v>
          </cell>
          <cell r="L2406" t="str">
            <v>PU</v>
          </cell>
          <cell r="M2406" t="str">
            <v>110319</v>
          </cell>
          <cell r="N2406" t="str">
            <v>PU COLOR</v>
          </cell>
        </row>
        <row r="2407">
          <cell r="C2407" t="str">
            <v>100003549</v>
          </cell>
          <cell r="D2407" t="str">
            <v>PCA-31100 NT 3 LBR HD VN-4K</v>
          </cell>
          <cell r="E2407" t="str">
            <v>ZFGD</v>
          </cell>
          <cell r="F2407" t="str">
            <v>PC</v>
          </cell>
          <cell r="G2407" t="str">
            <v>1</v>
          </cell>
          <cell r="H2407" t="str">
            <v>INDUSTRY</v>
          </cell>
          <cell r="I2407" t="str">
            <v>11</v>
          </cell>
          <cell r="J2407" t="str">
            <v>WOOD COATINGS</v>
          </cell>
          <cell r="K2407" t="str">
            <v>1118</v>
          </cell>
          <cell r="L2407" t="str">
            <v>COMPLEMENTARY</v>
          </cell>
          <cell r="M2407" t="str">
            <v>111807</v>
          </cell>
          <cell r="N2407" t="str">
            <v>PASTA</v>
          </cell>
        </row>
        <row r="2408">
          <cell r="C2408" t="str">
            <v>100003550</v>
          </cell>
          <cell r="D2408" t="str">
            <v>PCA-31100 81 AH VN-20LJ</v>
          </cell>
          <cell r="E2408" t="str">
            <v>ZFGD</v>
          </cell>
          <cell r="F2408" t="str">
            <v>PC</v>
          </cell>
          <cell r="G2408" t="str">
            <v>1</v>
          </cell>
          <cell r="H2408" t="str">
            <v>INDUSTRY</v>
          </cell>
          <cell r="I2408" t="str">
            <v>11</v>
          </cell>
          <cell r="J2408" t="str">
            <v>WOOD COATINGS</v>
          </cell>
          <cell r="K2408" t="str">
            <v>1118</v>
          </cell>
          <cell r="L2408" t="str">
            <v>COMPLEMENTARY</v>
          </cell>
          <cell r="M2408" t="str">
            <v>111807</v>
          </cell>
          <cell r="N2408" t="str">
            <v>PASTA</v>
          </cell>
        </row>
        <row r="2409">
          <cell r="C2409" t="str">
            <v>100003551</v>
          </cell>
          <cell r="D2409" t="str">
            <v>64-56 MICRO FILLER 81 AH VN-20KP</v>
          </cell>
          <cell r="E2409" t="str">
            <v>ZFGD</v>
          </cell>
          <cell r="F2409" t="str">
            <v>PC</v>
          </cell>
          <cell r="G2409" t="str">
            <v>1</v>
          </cell>
          <cell r="H2409" t="str">
            <v>INDUSTRY</v>
          </cell>
          <cell r="I2409" t="str">
            <v>11</v>
          </cell>
          <cell r="J2409" t="str">
            <v>WOOD COATINGS</v>
          </cell>
          <cell r="K2409" t="str">
            <v>1103</v>
          </cell>
          <cell r="L2409" t="str">
            <v>PU</v>
          </cell>
          <cell r="M2409" t="str">
            <v>110305</v>
          </cell>
          <cell r="N2409" t="str">
            <v>UNION FILLER</v>
          </cell>
        </row>
        <row r="2410">
          <cell r="C2410" t="str">
            <v>100003552</v>
          </cell>
          <cell r="D2410" t="str">
            <v>THC-73100 102 VN-20LJ</v>
          </cell>
          <cell r="E2410" t="str">
            <v>ZFGD</v>
          </cell>
          <cell r="F2410" t="str">
            <v>PC</v>
          </cell>
          <cell r="G2410" t="str">
            <v>1</v>
          </cell>
          <cell r="H2410" t="str">
            <v>INDUSTRY</v>
          </cell>
          <cell r="I2410" t="str">
            <v>14</v>
          </cell>
          <cell r="J2410" t="str">
            <v>THINNER</v>
          </cell>
          <cell r="K2410" t="str">
            <v>1412</v>
          </cell>
          <cell r="L2410" t="str">
            <v>THINNER NC</v>
          </cell>
          <cell r="M2410" t="str">
            <v>141203</v>
          </cell>
          <cell r="N2410" t="str">
            <v>THINNER COMPLEMENTARY</v>
          </cell>
        </row>
        <row r="2411">
          <cell r="C2411" t="str">
            <v>100003553</v>
          </cell>
          <cell r="D2411" t="str">
            <v>PS-15100 25 MQ VN-20LJ</v>
          </cell>
          <cell r="E2411" t="str">
            <v>ZFGD</v>
          </cell>
          <cell r="F2411" t="str">
            <v>PC</v>
          </cell>
          <cell r="G2411" t="str">
            <v>1</v>
          </cell>
          <cell r="H2411" t="str">
            <v>INDUSTRY</v>
          </cell>
          <cell r="I2411" t="str">
            <v>11</v>
          </cell>
          <cell r="J2411" t="str">
            <v>WOOD COATINGS</v>
          </cell>
          <cell r="K2411" t="str">
            <v>1109</v>
          </cell>
          <cell r="L2411" t="str">
            <v>STAIN &amp; GLAZE INTERIOR</v>
          </cell>
          <cell r="M2411" t="str">
            <v>110901</v>
          </cell>
          <cell r="N2411" t="str">
            <v>ASOF : STAIN &amp; GLAZE</v>
          </cell>
        </row>
        <row r="2412">
          <cell r="C2412" t="str">
            <v>100003554</v>
          </cell>
          <cell r="D2412" t="str">
            <v>WBP-62102 25 MQ VN-20KP</v>
          </cell>
          <cell r="E2412" t="str">
            <v>ZFGD</v>
          </cell>
          <cell r="F2412" t="str">
            <v>PC</v>
          </cell>
          <cell r="G2412" t="str">
            <v>1</v>
          </cell>
          <cell r="H2412" t="str">
            <v>INDUSTRY</v>
          </cell>
          <cell r="I2412" t="str">
            <v>11</v>
          </cell>
          <cell r="J2412" t="str">
            <v>WOOD COATINGS</v>
          </cell>
          <cell r="K2412" t="str">
            <v>1119</v>
          </cell>
          <cell r="L2412" t="str">
            <v>WATERBASED</v>
          </cell>
          <cell r="M2412" t="str">
            <v>111902</v>
          </cell>
          <cell r="N2412" t="str">
            <v>WATERBASED SYSTEM INTERIOR</v>
          </cell>
        </row>
        <row r="2413">
          <cell r="C2413" t="str">
            <v>100003555</v>
          </cell>
          <cell r="D2413" t="str">
            <v>WPWB-81201 25 MQ VN-20KP</v>
          </cell>
          <cell r="E2413" t="str">
            <v>ZFGD</v>
          </cell>
          <cell r="F2413" t="str">
            <v>PC</v>
          </cell>
          <cell r="G2413" t="str">
            <v>1</v>
          </cell>
          <cell r="H2413" t="str">
            <v>INDUSTRY</v>
          </cell>
          <cell r="I2413" t="str">
            <v>11</v>
          </cell>
          <cell r="J2413" t="str">
            <v>WOOD COATINGS</v>
          </cell>
          <cell r="K2413" t="str">
            <v>1119</v>
          </cell>
          <cell r="L2413" t="str">
            <v>WATERBASED</v>
          </cell>
          <cell r="M2413" t="str">
            <v>111902</v>
          </cell>
          <cell r="N2413" t="str">
            <v>WATERBASED SYSTEM INTERIOR</v>
          </cell>
        </row>
        <row r="2414">
          <cell r="C2414" t="str">
            <v>100003556</v>
          </cell>
          <cell r="D2414" t="str">
            <v>PUC-54205 AC 96 10 PF VN-20KP</v>
          </cell>
          <cell r="E2414" t="str">
            <v>ZFGD</v>
          </cell>
          <cell r="F2414" t="str">
            <v>PC</v>
          </cell>
          <cell r="G2414" t="str">
            <v>1</v>
          </cell>
          <cell r="H2414" t="str">
            <v>INDUSTRY</v>
          </cell>
          <cell r="I2414" t="str">
            <v>11</v>
          </cell>
          <cell r="J2414" t="str">
            <v>WOOD COATINGS</v>
          </cell>
          <cell r="K2414" t="str">
            <v>1103</v>
          </cell>
          <cell r="L2414" t="str">
            <v>PU</v>
          </cell>
          <cell r="M2414" t="str">
            <v>110319</v>
          </cell>
          <cell r="N2414" t="str">
            <v>PU COLOR</v>
          </cell>
        </row>
        <row r="2415">
          <cell r="C2415" t="str">
            <v>100003560</v>
          </cell>
          <cell r="D2415" t="str">
            <v>SST-11100 NT 3 LBR HD VN-4K</v>
          </cell>
          <cell r="E2415" t="str">
            <v>ZFGD</v>
          </cell>
          <cell r="F2415" t="str">
            <v>PC</v>
          </cell>
          <cell r="G2415" t="str">
            <v>1</v>
          </cell>
          <cell r="H2415" t="str">
            <v>INDUSTRY</v>
          </cell>
          <cell r="I2415" t="str">
            <v>11</v>
          </cell>
          <cell r="J2415" t="str">
            <v>WOOD COATINGS</v>
          </cell>
          <cell r="K2415" t="str">
            <v>1109</v>
          </cell>
          <cell r="L2415" t="str">
            <v>STAIN &amp; GLAZE INTERIOR</v>
          </cell>
          <cell r="M2415" t="str">
            <v>110903</v>
          </cell>
          <cell r="N2415" t="str">
            <v>STAIN INTERIOR</v>
          </cell>
        </row>
        <row r="2416">
          <cell r="C2416" t="str">
            <v>100003561</v>
          </cell>
          <cell r="D2416" t="str">
            <v>PCA-31100 NT 3 DBR 01 HD VN-4K</v>
          </cell>
          <cell r="E2416" t="str">
            <v>ZFGD</v>
          </cell>
          <cell r="F2416" t="str">
            <v>PC</v>
          </cell>
          <cell r="G2416" t="str">
            <v>1</v>
          </cell>
          <cell r="H2416" t="str">
            <v>INDUSTRY</v>
          </cell>
          <cell r="I2416" t="str">
            <v>11</v>
          </cell>
          <cell r="J2416" t="str">
            <v>WOOD COATINGS</v>
          </cell>
          <cell r="K2416" t="str">
            <v>1118</v>
          </cell>
          <cell r="L2416" t="str">
            <v>COMPLEMENTARY</v>
          </cell>
          <cell r="M2416" t="str">
            <v>111807</v>
          </cell>
          <cell r="N2416" t="str">
            <v>PASTA</v>
          </cell>
        </row>
        <row r="2417">
          <cell r="C2417" t="str">
            <v>100003562</v>
          </cell>
          <cell r="D2417" t="str">
            <v>PCA-31100 NT 3 DBR 02 HD VN-4K</v>
          </cell>
          <cell r="E2417" t="str">
            <v>ZFGD</v>
          </cell>
          <cell r="F2417" t="str">
            <v>PC</v>
          </cell>
          <cell r="G2417" t="str">
            <v>1</v>
          </cell>
          <cell r="H2417" t="str">
            <v>INDUSTRY</v>
          </cell>
          <cell r="I2417" t="str">
            <v>11</v>
          </cell>
          <cell r="J2417" t="str">
            <v>WOOD COATINGS</v>
          </cell>
          <cell r="K2417" t="str">
            <v>1118</v>
          </cell>
          <cell r="L2417" t="str">
            <v>COMPLEMENTARY</v>
          </cell>
          <cell r="M2417" t="str">
            <v>111807</v>
          </cell>
          <cell r="N2417" t="str">
            <v>PASTA</v>
          </cell>
        </row>
        <row r="2418">
          <cell r="C2418" t="str">
            <v>100003563</v>
          </cell>
          <cell r="D2418" t="str">
            <v>AP-98200 SILVER 8130 VN-1K</v>
          </cell>
          <cell r="E2418" t="str">
            <v>ZFGD</v>
          </cell>
          <cell r="F2418" t="str">
            <v>PC</v>
          </cell>
          <cell r="G2418" t="str">
            <v>1</v>
          </cell>
          <cell r="H2418" t="str">
            <v>INDUSTRY</v>
          </cell>
          <cell r="I2418" t="str">
            <v>11</v>
          </cell>
          <cell r="J2418" t="str">
            <v>WOOD COATINGS</v>
          </cell>
          <cell r="K2418" t="str">
            <v>1118</v>
          </cell>
          <cell r="L2418" t="str">
            <v>COMPLEMENTARY</v>
          </cell>
          <cell r="M2418" t="str">
            <v>111802</v>
          </cell>
          <cell r="N2418" t="str">
            <v>ASOF : POWDER &amp; MATTING SOLUTION</v>
          </cell>
        </row>
        <row r="2419">
          <cell r="C2419" t="str">
            <v>100003564</v>
          </cell>
          <cell r="D2419" t="str">
            <v>PUC-52235 BLACK 20 VN-20KP</v>
          </cell>
          <cell r="E2419" t="str">
            <v>ZFGD</v>
          </cell>
          <cell r="F2419" t="str">
            <v>PC</v>
          </cell>
          <cell r="G2419" t="str">
            <v>1</v>
          </cell>
          <cell r="H2419" t="str">
            <v>INDUSTRY</v>
          </cell>
          <cell r="I2419" t="str">
            <v>11</v>
          </cell>
          <cell r="J2419" t="str">
            <v>WOOD COATINGS</v>
          </cell>
          <cell r="K2419" t="str">
            <v>1103</v>
          </cell>
          <cell r="L2419" t="str">
            <v>PU</v>
          </cell>
          <cell r="M2419" t="str">
            <v>110319</v>
          </cell>
          <cell r="N2419" t="str">
            <v>PU COLOR</v>
          </cell>
        </row>
        <row r="2420">
          <cell r="C2420" t="str">
            <v>100003568</v>
          </cell>
          <cell r="D2420" t="str">
            <v>NCL-11301 AC CLEAR 20 VN-20LP</v>
          </cell>
          <cell r="E2420" t="str">
            <v>ZFGD</v>
          </cell>
          <cell r="F2420" t="str">
            <v>PC</v>
          </cell>
          <cell r="G2420" t="str">
            <v>1</v>
          </cell>
          <cell r="H2420" t="str">
            <v>INDUSTRY</v>
          </cell>
          <cell r="I2420" t="str">
            <v>11</v>
          </cell>
          <cell r="J2420" t="str">
            <v>WOOD COATINGS</v>
          </cell>
          <cell r="K2420" t="str">
            <v>1104</v>
          </cell>
          <cell r="L2420" t="str">
            <v>NC</v>
          </cell>
          <cell r="M2420" t="str">
            <v>110405</v>
          </cell>
          <cell r="N2420" t="str">
            <v>NC SYSTEM</v>
          </cell>
        </row>
        <row r="2421">
          <cell r="C2421" t="str">
            <v>100003569</v>
          </cell>
          <cell r="D2421" t="str">
            <v>PCA-31100 STRASTOPHERE TL VN-20LJ</v>
          </cell>
          <cell r="E2421" t="str">
            <v>ZFGD</v>
          </cell>
          <cell r="F2421" t="str">
            <v>PC</v>
          </cell>
          <cell r="G2421" t="str">
            <v>1</v>
          </cell>
          <cell r="H2421" t="str">
            <v>INDUSTRY</v>
          </cell>
          <cell r="I2421" t="str">
            <v>11</v>
          </cell>
          <cell r="J2421" t="str">
            <v>WOOD COATINGS</v>
          </cell>
          <cell r="K2421" t="str">
            <v>1118</v>
          </cell>
          <cell r="L2421" t="str">
            <v>COMPLEMENTARY</v>
          </cell>
          <cell r="M2421" t="str">
            <v>111807</v>
          </cell>
          <cell r="N2421" t="str">
            <v>PASTA</v>
          </cell>
        </row>
        <row r="2422">
          <cell r="C2422" t="str">
            <v>100003570</v>
          </cell>
          <cell r="D2422" t="str">
            <v>SST-11100 STRASTOPHERE TL VN-20LJ</v>
          </cell>
          <cell r="E2422" t="str">
            <v>ZFGD</v>
          </cell>
          <cell r="F2422" t="str">
            <v>PC</v>
          </cell>
          <cell r="G2422" t="str">
            <v>1</v>
          </cell>
          <cell r="H2422" t="str">
            <v>INDUSTRY</v>
          </cell>
          <cell r="I2422" t="str">
            <v>11</v>
          </cell>
          <cell r="J2422" t="str">
            <v>WOOD COATINGS</v>
          </cell>
          <cell r="K2422" t="str">
            <v>1109</v>
          </cell>
          <cell r="L2422" t="str">
            <v>STAIN &amp; GLAZE INTERIOR</v>
          </cell>
          <cell r="M2422" t="str">
            <v>110903</v>
          </cell>
          <cell r="N2422" t="str">
            <v>STAIN INTERIOR</v>
          </cell>
        </row>
        <row r="2423">
          <cell r="C2423" t="str">
            <v>100003571</v>
          </cell>
          <cell r="D2423" t="str">
            <v>PUC-52239 D GREY LEG 10 NS VN-20KP</v>
          </cell>
          <cell r="E2423" t="str">
            <v>ZFGD</v>
          </cell>
          <cell r="F2423" t="str">
            <v>PC</v>
          </cell>
          <cell r="G2423" t="str">
            <v>1</v>
          </cell>
          <cell r="H2423" t="str">
            <v>INDUSTRY</v>
          </cell>
          <cell r="I2423" t="str">
            <v>11</v>
          </cell>
          <cell r="J2423" t="str">
            <v>WOOD COATINGS</v>
          </cell>
          <cell r="K2423" t="str">
            <v>1103</v>
          </cell>
          <cell r="L2423" t="str">
            <v>PU</v>
          </cell>
          <cell r="M2423" t="str">
            <v>110319</v>
          </cell>
          <cell r="N2423" t="str">
            <v>PU COLOR</v>
          </cell>
        </row>
        <row r="2424">
          <cell r="C2424" t="str">
            <v>100003572</v>
          </cell>
          <cell r="D2424" t="str">
            <v>#NUGZWB-21408 NF 22 MQ VN-20KP</v>
          </cell>
          <cell r="E2424" t="str">
            <v>ZFGD</v>
          </cell>
          <cell r="F2424" t="str">
            <v>PC</v>
          </cell>
          <cell r="G2424" t="str">
            <v>1</v>
          </cell>
          <cell r="H2424" t="str">
            <v>INDUSTRY</v>
          </cell>
          <cell r="I2424" t="str">
            <v>11</v>
          </cell>
          <cell r="J2424" t="str">
            <v>WOOD COATINGS</v>
          </cell>
          <cell r="K2424" t="str">
            <v>1111</v>
          </cell>
          <cell r="L2424" t="str">
            <v>WATERBASED SYSTEM INTERIOR</v>
          </cell>
          <cell r="M2424" t="str">
            <v>111101</v>
          </cell>
          <cell r="N2424" t="str">
            <v>GLAZE WATERBASED</v>
          </cell>
        </row>
        <row r="2425">
          <cell r="C2425" t="str">
            <v>100003573</v>
          </cell>
          <cell r="D2425" t="str">
            <v>GZWB-21408 28 MQ VN-20KP</v>
          </cell>
          <cell r="E2425" t="str">
            <v>ZFGD</v>
          </cell>
          <cell r="F2425" t="str">
            <v>PC</v>
          </cell>
          <cell r="G2425" t="str">
            <v>1</v>
          </cell>
          <cell r="H2425" t="str">
            <v>INDUSTRY</v>
          </cell>
          <cell r="I2425" t="str">
            <v>11</v>
          </cell>
          <cell r="J2425" t="str">
            <v>WOOD COATINGS</v>
          </cell>
          <cell r="K2425" t="str">
            <v>1119</v>
          </cell>
          <cell r="L2425" t="str">
            <v>WATERBASED</v>
          </cell>
          <cell r="M2425" t="str">
            <v>111902</v>
          </cell>
          <cell r="N2425" t="str">
            <v>WATERBASED SYSTEM INTERIOR</v>
          </cell>
        </row>
        <row r="2426">
          <cell r="C2426" t="str">
            <v>100003574</v>
          </cell>
          <cell r="D2426" t="str">
            <v>WBC-1622-212PAK-20KP</v>
          </cell>
          <cell r="E2426" t="str">
            <v>ZFGD</v>
          </cell>
          <cell r="F2426" t="str">
            <v>PC</v>
          </cell>
          <cell r="G2426" t="str">
            <v>1</v>
          </cell>
          <cell r="H2426" t="str">
            <v>INDUSTRY</v>
          </cell>
          <cell r="I2426" t="str">
            <v>11</v>
          </cell>
          <cell r="J2426" t="str">
            <v>WOOD COATINGS</v>
          </cell>
          <cell r="K2426" t="str">
            <v>1119</v>
          </cell>
          <cell r="L2426" t="str">
            <v>WATERBASED</v>
          </cell>
          <cell r="M2426" t="str">
            <v>111902</v>
          </cell>
          <cell r="N2426" t="str">
            <v>WATERBASED SYSTEM INTERIOR</v>
          </cell>
        </row>
        <row r="2427">
          <cell r="C2427" t="str">
            <v>100003575</v>
          </cell>
          <cell r="D2427" t="str">
            <v>PUP-52135 31 A DS VN-20KP</v>
          </cell>
          <cell r="E2427" t="str">
            <v>ZFGD</v>
          </cell>
          <cell r="F2427" t="str">
            <v>PC</v>
          </cell>
          <cell r="G2427" t="str">
            <v>1</v>
          </cell>
          <cell r="H2427" t="str">
            <v>INDUSTRY</v>
          </cell>
          <cell r="I2427" t="str">
            <v>11</v>
          </cell>
          <cell r="J2427" t="str">
            <v>WOOD COATINGS</v>
          </cell>
          <cell r="K2427" t="str">
            <v>1103</v>
          </cell>
          <cell r="L2427" t="str">
            <v>PU</v>
          </cell>
          <cell r="M2427" t="str">
            <v>110322</v>
          </cell>
          <cell r="N2427" t="str">
            <v>PU PRIMER</v>
          </cell>
        </row>
        <row r="2428">
          <cell r="C2428" t="str">
            <v>100003576</v>
          </cell>
          <cell r="D2428" t="str">
            <v>GZPU-21500 31 DS VN-18KP</v>
          </cell>
          <cell r="E2428" t="str">
            <v>ZFGD</v>
          </cell>
          <cell r="F2428" t="str">
            <v>PC</v>
          </cell>
          <cell r="G2428" t="str">
            <v>1</v>
          </cell>
          <cell r="H2428" t="str">
            <v>INDUSTRY</v>
          </cell>
          <cell r="I2428" t="str">
            <v>11</v>
          </cell>
          <cell r="J2428" t="str">
            <v>WOOD COATINGS</v>
          </cell>
          <cell r="K2428" t="str">
            <v>1103</v>
          </cell>
          <cell r="L2428" t="str">
            <v>PU</v>
          </cell>
          <cell r="M2428" t="str">
            <v>110302</v>
          </cell>
          <cell r="N2428" t="str">
            <v>GLAZE PU</v>
          </cell>
        </row>
        <row r="2429">
          <cell r="C2429" t="str">
            <v>100003577</v>
          </cell>
          <cell r="D2429" t="str">
            <v>PCA-31100 31 B DS VN-20LJ</v>
          </cell>
          <cell r="E2429" t="str">
            <v>ZFGD</v>
          </cell>
          <cell r="F2429" t="str">
            <v>PC</v>
          </cell>
          <cell r="G2429" t="str">
            <v>1</v>
          </cell>
          <cell r="H2429" t="str">
            <v>INDUSTRY</v>
          </cell>
          <cell r="I2429" t="str">
            <v>11</v>
          </cell>
          <cell r="J2429" t="str">
            <v>WOOD COATINGS</v>
          </cell>
          <cell r="K2429" t="str">
            <v>1118</v>
          </cell>
          <cell r="L2429" t="str">
            <v>COMPLEMENTARY</v>
          </cell>
          <cell r="M2429" t="str">
            <v>111807</v>
          </cell>
          <cell r="N2429" t="str">
            <v>PASTA</v>
          </cell>
        </row>
        <row r="2430">
          <cell r="C2430" t="str">
            <v>100003578</v>
          </cell>
          <cell r="D2430" t="str">
            <v>PCA-31100 32 DS VN-20LJ</v>
          </cell>
          <cell r="E2430" t="str">
            <v>ZFGD</v>
          </cell>
          <cell r="F2430" t="str">
            <v>PC</v>
          </cell>
          <cell r="G2430" t="str">
            <v>1</v>
          </cell>
          <cell r="H2430" t="str">
            <v>INDUSTRY</v>
          </cell>
          <cell r="I2430" t="str">
            <v>11</v>
          </cell>
          <cell r="J2430" t="str">
            <v>WOOD COATINGS</v>
          </cell>
          <cell r="K2430" t="str">
            <v>1118</v>
          </cell>
          <cell r="L2430" t="str">
            <v>COMPLEMENTARY</v>
          </cell>
          <cell r="M2430" t="str">
            <v>111807</v>
          </cell>
          <cell r="N2430" t="str">
            <v>PASTA</v>
          </cell>
        </row>
        <row r="2431">
          <cell r="C2431" t="str">
            <v>100003579</v>
          </cell>
          <cell r="D2431" t="str">
            <v>SST-11100 33 DS VN-20LJ</v>
          </cell>
          <cell r="E2431" t="str">
            <v>ZFGD</v>
          </cell>
          <cell r="F2431" t="str">
            <v>PC</v>
          </cell>
          <cell r="G2431" t="str">
            <v>1</v>
          </cell>
          <cell r="H2431" t="str">
            <v>INDUSTRY</v>
          </cell>
          <cell r="I2431" t="str">
            <v>11</v>
          </cell>
          <cell r="J2431" t="str">
            <v>WOOD COATINGS</v>
          </cell>
          <cell r="K2431" t="str">
            <v>1109</v>
          </cell>
          <cell r="L2431" t="str">
            <v>STAIN &amp; GLAZE INTERIOR</v>
          </cell>
          <cell r="M2431" t="str">
            <v>110903</v>
          </cell>
          <cell r="N2431" t="str">
            <v>STAIN INTERIOR</v>
          </cell>
        </row>
        <row r="2432">
          <cell r="C2432" t="str">
            <v>100003580</v>
          </cell>
          <cell r="D2432" t="str">
            <v>PUC-54205 AC PRL100 30 GE VN-20KP</v>
          </cell>
          <cell r="E2432" t="str">
            <v>ZFGD</v>
          </cell>
          <cell r="F2432" t="str">
            <v>PC</v>
          </cell>
          <cell r="G2432" t="str">
            <v>1</v>
          </cell>
          <cell r="H2432" t="str">
            <v>INDUSTRY</v>
          </cell>
          <cell r="I2432" t="str">
            <v>11</v>
          </cell>
          <cell r="J2432" t="str">
            <v>WOOD COATINGS</v>
          </cell>
          <cell r="K2432" t="str">
            <v>1103</v>
          </cell>
          <cell r="L2432" t="str">
            <v>PU</v>
          </cell>
          <cell r="M2432" t="str">
            <v>110319</v>
          </cell>
          <cell r="N2432" t="str">
            <v>PU COLOR</v>
          </cell>
        </row>
        <row r="2433">
          <cell r="C2433" t="str">
            <v>100003584</v>
          </cell>
          <cell r="D2433" t="str">
            <v>WBC-1622 W05 AK-20KP</v>
          </cell>
          <cell r="E2433" t="str">
            <v>ZFGD</v>
          </cell>
          <cell r="F2433" t="str">
            <v>PC</v>
          </cell>
          <cell r="G2433" t="str">
            <v>1</v>
          </cell>
          <cell r="H2433" t="str">
            <v>INDUSTRY</v>
          </cell>
          <cell r="I2433" t="str">
            <v>11</v>
          </cell>
          <cell r="J2433" t="str">
            <v>WOOD COATINGS</v>
          </cell>
          <cell r="K2433" t="str">
            <v>1119</v>
          </cell>
          <cell r="L2433" t="str">
            <v>WATERBASED</v>
          </cell>
          <cell r="M2433" t="str">
            <v>111902</v>
          </cell>
          <cell r="N2433" t="str">
            <v>WATERBASED SYSTEM INTERIOR</v>
          </cell>
        </row>
        <row r="2434">
          <cell r="C2434" t="str">
            <v>100003585</v>
          </cell>
          <cell r="D2434" t="str">
            <v>PCA-31100 NT2 MBR NEW 02 HD VN-4K</v>
          </cell>
          <cell r="E2434" t="str">
            <v>ZFGD</v>
          </cell>
          <cell r="F2434" t="str">
            <v>PC</v>
          </cell>
          <cell r="G2434" t="str">
            <v>1</v>
          </cell>
          <cell r="H2434" t="str">
            <v>INDUSTRY</v>
          </cell>
          <cell r="I2434" t="str">
            <v>11</v>
          </cell>
          <cell r="J2434" t="str">
            <v>WOOD COATINGS</v>
          </cell>
          <cell r="K2434" t="str">
            <v>1118</v>
          </cell>
          <cell r="L2434" t="str">
            <v>COMPLEMENTARY</v>
          </cell>
          <cell r="M2434" t="str">
            <v>111807</v>
          </cell>
          <cell r="N2434" t="str">
            <v>PASTA</v>
          </cell>
        </row>
        <row r="2435">
          <cell r="C2435" t="str">
            <v>100003586</v>
          </cell>
          <cell r="D2435" t="str">
            <v>PCA-31100 COLLABO DBR 01 HD VN-4K</v>
          </cell>
          <cell r="E2435" t="str">
            <v>ZFGD</v>
          </cell>
          <cell r="F2435" t="str">
            <v>PC</v>
          </cell>
          <cell r="G2435" t="str">
            <v>1</v>
          </cell>
          <cell r="H2435" t="str">
            <v>INDUSTRY</v>
          </cell>
          <cell r="I2435" t="str">
            <v>11</v>
          </cell>
          <cell r="J2435" t="str">
            <v>WOOD COATINGS</v>
          </cell>
          <cell r="K2435" t="str">
            <v>1118</v>
          </cell>
          <cell r="L2435" t="str">
            <v>COMPLEMENTARY</v>
          </cell>
          <cell r="M2435" t="str">
            <v>111807</v>
          </cell>
          <cell r="N2435" t="str">
            <v>PASTA</v>
          </cell>
        </row>
        <row r="2436">
          <cell r="C2436" t="str">
            <v>100003587</v>
          </cell>
          <cell r="D2436" t="str">
            <v>PCA-31100 COLLABO DBR 02 HD VN-4K</v>
          </cell>
          <cell r="E2436" t="str">
            <v>ZFGD</v>
          </cell>
          <cell r="F2436" t="str">
            <v>PC</v>
          </cell>
          <cell r="G2436" t="str">
            <v>1</v>
          </cell>
          <cell r="H2436" t="str">
            <v>INDUSTRY</v>
          </cell>
          <cell r="I2436" t="str">
            <v>11</v>
          </cell>
          <cell r="J2436" t="str">
            <v>WOOD COATINGS</v>
          </cell>
          <cell r="K2436" t="str">
            <v>1118</v>
          </cell>
          <cell r="L2436" t="str">
            <v>COMPLEMENTARY</v>
          </cell>
          <cell r="M2436" t="str">
            <v>111807</v>
          </cell>
          <cell r="N2436" t="str">
            <v>PASTA</v>
          </cell>
        </row>
        <row r="2437">
          <cell r="C2437" t="str">
            <v>100003588</v>
          </cell>
          <cell r="D2437" t="str">
            <v>PCA-31100 DBR TOKYO HD VN-4K</v>
          </cell>
          <cell r="E2437" t="str">
            <v>ZFGD</v>
          </cell>
          <cell r="F2437" t="str">
            <v>PC</v>
          </cell>
          <cell r="G2437" t="str">
            <v>1</v>
          </cell>
          <cell r="H2437" t="str">
            <v>INDUSTRY</v>
          </cell>
          <cell r="I2437" t="str">
            <v>11</v>
          </cell>
          <cell r="J2437" t="str">
            <v>WOOD COATINGS</v>
          </cell>
          <cell r="K2437" t="str">
            <v>1118</v>
          </cell>
          <cell r="L2437" t="str">
            <v>COMPLEMENTARY</v>
          </cell>
          <cell r="M2437" t="str">
            <v>111807</v>
          </cell>
          <cell r="N2437" t="str">
            <v>PASTA</v>
          </cell>
        </row>
        <row r="2438">
          <cell r="C2438" t="str">
            <v>100003589</v>
          </cell>
          <cell r="D2438" t="str">
            <v>PCA-31100 NT2 MBR NEW 01 HD VN-4K</v>
          </cell>
          <cell r="E2438" t="str">
            <v>ZFGD</v>
          </cell>
          <cell r="F2438" t="str">
            <v>PC</v>
          </cell>
          <cell r="G2438" t="str">
            <v>1</v>
          </cell>
          <cell r="H2438" t="str">
            <v>INDUSTRY</v>
          </cell>
          <cell r="I2438" t="str">
            <v>11</v>
          </cell>
          <cell r="J2438" t="str">
            <v>WOOD COATINGS</v>
          </cell>
          <cell r="K2438" t="str">
            <v>1118</v>
          </cell>
          <cell r="L2438" t="str">
            <v>COMPLEMENTARY</v>
          </cell>
          <cell r="M2438" t="str">
            <v>111807</v>
          </cell>
          <cell r="N2438" t="str">
            <v>PASTA</v>
          </cell>
        </row>
        <row r="2439">
          <cell r="C2439" t="str">
            <v>100003590</v>
          </cell>
          <cell r="D2439" t="str">
            <v>PCA-31100 COLLABO LBR HD VN-4K</v>
          </cell>
          <cell r="E2439" t="str">
            <v>ZFGD</v>
          </cell>
          <cell r="F2439" t="str">
            <v>PC</v>
          </cell>
          <cell r="G2439" t="str">
            <v>1</v>
          </cell>
          <cell r="H2439" t="str">
            <v>INDUSTRY</v>
          </cell>
          <cell r="I2439" t="str">
            <v>11</v>
          </cell>
          <cell r="J2439" t="str">
            <v>WOOD COATINGS</v>
          </cell>
          <cell r="K2439" t="str">
            <v>1118</v>
          </cell>
          <cell r="L2439" t="str">
            <v>COMPLEMENTARY</v>
          </cell>
          <cell r="M2439" t="str">
            <v>111807</v>
          </cell>
          <cell r="N2439" t="str">
            <v>PASTA</v>
          </cell>
        </row>
        <row r="2440">
          <cell r="C2440" t="str">
            <v>100003591</v>
          </cell>
          <cell r="D2440" t="str">
            <v>PCA-31100 NT MBR 01 HD VN-4K</v>
          </cell>
          <cell r="E2440" t="str">
            <v>ZFGD</v>
          </cell>
          <cell r="F2440" t="str">
            <v>PC</v>
          </cell>
          <cell r="G2440" t="str">
            <v>1</v>
          </cell>
          <cell r="H2440" t="str">
            <v>INDUSTRY</v>
          </cell>
          <cell r="I2440" t="str">
            <v>11</v>
          </cell>
          <cell r="J2440" t="str">
            <v>WOOD COATINGS</v>
          </cell>
          <cell r="K2440" t="str">
            <v>1118</v>
          </cell>
          <cell r="L2440" t="str">
            <v>COMPLEMENTARY</v>
          </cell>
          <cell r="M2440" t="str">
            <v>111807</v>
          </cell>
          <cell r="N2440" t="str">
            <v>PASTA</v>
          </cell>
        </row>
        <row r="2441">
          <cell r="C2441" t="str">
            <v>100003592</v>
          </cell>
          <cell r="D2441" t="str">
            <v>SST-11100 NT MBR 02 HD VN-4K</v>
          </cell>
          <cell r="E2441" t="str">
            <v>ZFGD</v>
          </cell>
          <cell r="F2441" t="str">
            <v>PC</v>
          </cell>
          <cell r="G2441" t="str">
            <v>1</v>
          </cell>
          <cell r="H2441" t="str">
            <v>INDUSTRY</v>
          </cell>
          <cell r="I2441" t="str">
            <v>11</v>
          </cell>
          <cell r="J2441" t="str">
            <v>WOOD COATINGS</v>
          </cell>
          <cell r="K2441" t="str">
            <v>1109</v>
          </cell>
          <cell r="L2441" t="str">
            <v>STAIN &amp; GLAZE INTERIOR</v>
          </cell>
          <cell r="M2441" t="str">
            <v>110903</v>
          </cell>
          <cell r="N2441" t="str">
            <v>STAIN INTERIOR</v>
          </cell>
        </row>
        <row r="2442">
          <cell r="C2442" t="str">
            <v>100003593</v>
          </cell>
          <cell r="D2442" t="str">
            <v>PCA-31100 NT DBR HD VN-4K</v>
          </cell>
          <cell r="E2442" t="str">
            <v>ZFGD</v>
          </cell>
          <cell r="F2442" t="str">
            <v>PC</v>
          </cell>
          <cell r="G2442" t="str">
            <v>1</v>
          </cell>
          <cell r="H2442" t="str">
            <v>INDUSTRY</v>
          </cell>
          <cell r="I2442" t="str">
            <v>11</v>
          </cell>
          <cell r="J2442" t="str">
            <v>WOOD COATINGS</v>
          </cell>
          <cell r="K2442" t="str">
            <v>1118</v>
          </cell>
          <cell r="L2442" t="str">
            <v>COMPLEMENTARY</v>
          </cell>
          <cell r="M2442" t="str">
            <v>111807</v>
          </cell>
          <cell r="N2442" t="str">
            <v>PASTA</v>
          </cell>
        </row>
        <row r="2443">
          <cell r="C2443" t="str">
            <v>100003594</v>
          </cell>
          <cell r="D2443" t="str">
            <v>PUC-54205 AC YELLOW DA 10 MK VN-20KP</v>
          </cell>
          <cell r="E2443" t="str">
            <v>ZFGD</v>
          </cell>
          <cell r="F2443" t="str">
            <v>PC</v>
          </cell>
          <cell r="G2443" t="str">
            <v>1</v>
          </cell>
          <cell r="H2443" t="str">
            <v>INDUSTRY</v>
          </cell>
          <cell r="I2443" t="str">
            <v>11</v>
          </cell>
          <cell r="J2443" t="str">
            <v>WOOD COATINGS</v>
          </cell>
          <cell r="K2443" t="str">
            <v>1103</v>
          </cell>
          <cell r="L2443" t="str">
            <v>PU</v>
          </cell>
          <cell r="M2443" t="str">
            <v>110319</v>
          </cell>
          <cell r="N2443" t="str">
            <v>PU COLOR</v>
          </cell>
        </row>
        <row r="2444">
          <cell r="C2444" t="str">
            <v>100003595</v>
          </cell>
          <cell r="D2444" t="str">
            <v>#NUWBL-63222 EX LIGHT TEAK VN-20KP</v>
          </cell>
          <cell r="E2444" t="str">
            <v>ZFGD</v>
          </cell>
          <cell r="F2444" t="str">
            <v>PC</v>
          </cell>
          <cell r="G2444" t="str">
            <v>1</v>
          </cell>
          <cell r="H2444" t="str">
            <v>INDUSTRY</v>
          </cell>
          <cell r="I2444" t="str">
            <v>11</v>
          </cell>
          <cell r="J2444" t="str">
            <v>WOOD COATINGS</v>
          </cell>
          <cell r="K2444" t="str">
            <v>1110</v>
          </cell>
          <cell r="L2444" t="str">
            <v>WATERBASED SYSTEM EXTERIOR</v>
          </cell>
          <cell r="M2444" t="str">
            <v>111003</v>
          </cell>
          <cell r="N2444" t="str">
            <v>WATERBASED SYSTEM EXTERIOR</v>
          </cell>
        </row>
        <row r="2445">
          <cell r="C2445" t="str">
            <v>100003596</v>
          </cell>
          <cell r="D2445" t="str">
            <v>WBP-64110 EX WHITE VN-20KP</v>
          </cell>
          <cell r="E2445" t="str">
            <v>ZFGD</v>
          </cell>
          <cell r="F2445" t="str">
            <v>PC</v>
          </cell>
          <cell r="G2445" t="str">
            <v>1</v>
          </cell>
          <cell r="H2445" t="str">
            <v>INDUSTRY</v>
          </cell>
          <cell r="I2445" t="str">
            <v>11</v>
          </cell>
          <cell r="J2445" t="str">
            <v>WOOD COATINGS</v>
          </cell>
          <cell r="K2445" t="str">
            <v>1119</v>
          </cell>
          <cell r="L2445" t="str">
            <v>WATERBASED</v>
          </cell>
          <cell r="M2445" t="str">
            <v>111901</v>
          </cell>
          <cell r="N2445" t="str">
            <v>WATERBASED SYSTEM EXTERIOR</v>
          </cell>
        </row>
        <row r="2446">
          <cell r="C2446" t="str">
            <v>100003597</v>
          </cell>
          <cell r="D2446" t="str">
            <v>PUP-752-2K WHITE VN-200KB</v>
          </cell>
          <cell r="E2446" t="str">
            <v>ZFGD</v>
          </cell>
          <cell r="F2446" t="str">
            <v>PC</v>
          </cell>
          <cell r="G2446" t="str">
            <v>2</v>
          </cell>
          <cell r="H2446" t="str">
            <v>RETAIL</v>
          </cell>
          <cell r="I2446" t="str">
            <v>22</v>
          </cell>
          <cell r="J2446" t="str">
            <v>WF2</v>
          </cell>
          <cell r="K2446" t="str">
            <v>2216</v>
          </cell>
          <cell r="L2446" t="str">
            <v>PU MULTIPURPOSE</v>
          </cell>
          <cell r="M2446" t="str">
            <v>221601</v>
          </cell>
          <cell r="N2446" t="str">
            <v>PROPAN MP PU ACR RMX</v>
          </cell>
        </row>
        <row r="2447">
          <cell r="C2447" t="str">
            <v>100003598</v>
          </cell>
          <cell r="D2447" t="str">
            <v>#NUWBC-62206 HS WHITE 30 SHEEN VN-20KP</v>
          </cell>
          <cell r="E2447" t="str">
            <v>ZFGD</v>
          </cell>
          <cell r="F2447" t="str">
            <v>PC</v>
          </cell>
          <cell r="G2447" t="str">
            <v>1</v>
          </cell>
          <cell r="H2447" t="str">
            <v>INDUSTRY</v>
          </cell>
          <cell r="I2447" t="str">
            <v>11</v>
          </cell>
          <cell r="J2447" t="str">
            <v>WOOD COATINGS</v>
          </cell>
          <cell r="K2447" t="str">
            <v>1111</v>
          </cell>
          <cell r="L2447" t="str">
            <v>WATERBASED SYSTEM INTERIOR</v>
          </cell>
          <cell r="M2447" t="str">
            <v>111104</v>
          </cell>
          <cell r="N2447" t="str">
            <v>WATERBASED SYSTEM INTERIOR</v>
          </cell>
        </row>
        <row r="2448">
          <cell r="C2448" t="str">
            <v>100003599</v>
          </cell>
          <cell r="D2448" t="str">
            <v>PCL-31300 MY 105 A F1 VN-20LJ</v>
          </cell>
          <cell r="E2448" t="str">
            <v>ZFGD</v>
          </cell>
          <cell r="F2448" t="str">
            <v>PC</v>
          </cell>
          <cell r="G2448" t="str">
            <v>1</v>
          </cell>
          <cell r="H2448" t="str">
            <v>INDUSTRY</v>
          </cell>
          <cell r="I2448" t="str">
            <v>11</v>
          </cell>
          <cell r="J2448" t="str">
            <v>WOOD COATINGS</v>
          </cell>
          <cell r="K2448" t="str">
            <v>1118</v>
          </cell>
          <cell r="L2448" t="str">
            <v>COMPLEMENTARY</v>
          </cell>
          <cell r="M2448" t="str">
            <v>111807</v>
          </cell>
          <cell r="N2448" t="str">
            <v>PASTA</v>
          </cell>
        </row>
        <row r="2449">
          <cell r="C2449" t="str">
            <v>100003600</v>
          </cell>
          <cell r="D2449" t="str">
            <v>PCL-31300 CLR MY 105 A F1 VN-20LJ</v>
          </cell>
          <cell r="E2449" t="str">
            <v>ZFGD</v>
          </cell>
          <cell r="F2449" t="str">
            <v>PC</v>
          </cell>
          <cell r="G2449" t="str">
            <v>1</v>
          </cell>
          <cell r="H2449" t="str">
            <v>INDUSTRY</v>
          </cell>
          <cell r="I2449" t="str">
            <v>11</v>
          </cell>
          <cell r="J2449" t="str">
            <v>WOOD COATINGS</v>
          </cell>
          <cell r="K2449" t="str">
            <v>1118</v>
          </cell>
          <cell r="L2449" t="str">
            <v>COMPLEMENTARY</v>
          </cell>
          <cell r="M2449" t="str">
            <v>111807</v>
          </cell>
          <cell r="N2449" t="str">
            <v>PASTA</v>
          </cell>
        </row>
        <row r="2450">
          <cell r="C2450" t="str">
            <v>100003606</v>
          </cell>
          <cell r="D2450" t="str">
            <v>NCE-945040880AK-20KP</v>
          </cell>
          <cell r="E2450" t="str">
            <v>ZFGD</v>
          </cell>
          <cell r="F2450" t="str">
            <v>PC</v>
          </cell>
          <cell r="G2450" t="str">
            <v>1</v>
          </cell>
          <cell r="H2450" t="str">
            <v>INDUSTRY</v>
          </cell>
          <cell r="I2450" t="str">
            <v>11</v>
          </cell>
          <cell r="J2450" t="str">
            <v>WOOD COATINGS</v>
          </cell>
          <cell r="K2450" t="str">
            <v>1104</v>
          </cell>
          <cell r="L2450" t="str">
            <v>NC</v>
          </cell>
          <cell r="M2450" t="str">
            <v>110404</v>
          </cell>
          <cell r="N2450" t="str">
            <v>ASOF : NC TOP COAT</v>
          </cell>
        </row>
        <row r="2451">
          <cell r="C2451" t="str">
            <v>100003607</v>
          </cell>
          <cell r="D2451" t="str">
            <v>NCE-945040880AK-200KB</v>
          </cell>
          <cell r="E2451" t="str">
            <v>ZFGD</v>
          </cell>
          <cell r="F2451" t="str">
            <v>PC</v>
          </cell>
          <cell r="G2451" t="str">
            <v>1</v>
          </cell>
          <cell r="H2451" t="str">
            <v>INDUSTRY</v>
          </cell>
          <cell r="I2451" t="str">
            <v>11</v>
          </cell>
          <cell r="J2451" t="str">
            <v>WOOD COATINGS</v>
          </cell>
          <cell r="K2451" t="str">
            <v>1104</v>
          </cell>
          <cell r="L2451" t="str">
            <v>NC</v>
          </cell>
          <cell r="M2451" t="str">
            <v>110404</v>
          </cell>
          <cell r="N2451" t="str">
            <v>ASOF : NC TOP COAT</v>
          </cell>
        </row>
        <row r="2452">
          <cell r="C2452" t="str">
            <v>100003608</v>
          </cell>
          <cell r="D2452" t="str">
            <v>NBC-9345-408-AK-20KP</v>
          </cell>
          <cell r="E2452" t="str">
            <v>ZFGD</v>
          </cell>
          <cell r="F2452" t="str">
            <v>PC</v>
          </cell>
          <cell r="G2452" t="str">
            <v>1</v>
          </cell>
          <cell r="H2452" t="str">
            <v>INDUSTRY</v>
          </cell>
          <cell r="I2452" t="str">
            <v>11</v>
          </cell>
          <cell r="J2452" t="str">
            <v>WOOD COATINGS</v>
          </cell>
          <cell r="K2452" t="str">
            <v>1104</v>
          </cell>
          <cell r="L2452" t="str">
            <v>NC</v>
          </cell>
          <cell r="M2452" t="str">
            <v>110403</v>
          </cell>
          <cell r="N2452" t="str">
            <v>ASOF : NC BASE COAT</v>
          </cell>
        </row>
        <row r="2453">
          <cell r="C2453" t="str">
            <v>100003609</v>
          </cell>
          <cell r="D2453" t="str">
            <v>NBC-9345-408-AK-200KB</v>
          </cell>
          <cell r="E2453" t="str">
            <v>ZFGD</v>
          </cell>
          <cell r="F2453" t="str">
            <v>PC</v>
          </cell>
          <cell r="G2453" t="str">
            <v>1</v>
          </cell>
          <cell r="H2453" t="str">
            <v>INDUSTRY</v>
          </cell>
          <cell r="I2453" t="str">
            <v>11</v>
          </cell>
          <cell r="J2453" t="str">
            <v>WOOD COATINGS</v>
          </cell>
          <cell r="K2453" t="str">
            <v>1104</v>
          </cell>
          <cell r="L2453" t="str">
            <v>NC</v>
          </cell>
          <cell r="M2453" t="str">
            <v>110403</v>
          </cell>
          <cell r="N2453" t="str">
            <v>ASOF : NC BASE COAT</v>
          </cell>
        </row>
        <row r="2454">
          <cell r="C2454" t="str">
            <v>100003610</v>
          </cell>
          <cell r="D2454" t="str">
            <v>MPUL-13700 30 VN-16KP</v>
          </cell>
          <cell r="E2454" t="str">
            <v>ZFGD</v>
          </cell>
          <cell r="F2454" t="str">
            <v>PC</v>
          </cell>
          <cell r="G2454" t="str">
            <v>1</v>
          </cell>
          <cell r="H2454" t="str">
            <v>INDUSTRY</v>
          </cell>
          <cell r="I2454" t="str">
            <v>16</v>
          </cell>
          <cell r="J2454" t="str">
            <v>METAL COATINGS</v>
          </cell>
          <cell r="K2454" t="str">
            <v>1601</v>
          </cell>
          <cell r="L2454" t="str">
            <v>METAL COATINGS</v>
          </cell>
          <cell r="M2454" t="str">
            <v>160101</v>
          </cell>
          <cell r="N2454" t="str">
            <v>METAL COATINGS</v>
          </cell>
        </row>
        <row r="2455">
          <cell r="C2455" t="str">
            <v>100003611</v>
          </cell>
          <cell r="D2455" t="str">
            <v>PUC-54205 AC 100 PF VN-20KP</v>
          </cell>
          <cell r="E2455" t="str">
            <v>ZFGD</v>
          </cell>
          <cell r="F2455" t="str">
            <v>PC</v>
          </cell>
          <cell r="G2455" t="str">
            <v>1</v>
          </cell>
          <cell r="H2455" t="str">
            <v>INDUSTRY</v>
          </cell>
          <cell r="I2455" t="str">
            <v>11</v>
          </cell>
          <cell r="J2455" t="str">
            <v>WOOD COATINGS</v>
          </cell>
          <cell r="K2455" t="str">
            <v>1103</v>
          </cell>
          <cell r="L2455" t="str">
            <v>PU</v>
          </cell>
          <cell r="M2455" t="str">
            <v>110319</v>
          </cell>
          <cell r="N2455" t="str">
            <v>PU COLOR</v>
          </cell>
        </row>
        <row r="2456">
          <cell r="C2456" t="str">
            <v>100003612</v>
          </cell>
          <cell r="D2456" t="str">
            <v>PUP-54106 AC EX 122WD102 GE VN-20KP</v>
          </cell>
          <cell r="E2456" t="str">
            <v>ZFGD</v>
          </cell>
          <cell r="F2456" t="str">
            <v>PC</v>
          </cell>
          <cell r="G2456" t="str">
            <v>1</v>
          </cell>
          <cell r="H2456" t="str">
            <v>INDUSTRY</v>
          </cell>
          <cell r="I2456" t="str">
            <v>11</v>
          </cell>
          <cell r="J2456" t="str">
            <v>WOOD COATINGS</v>
          </cell>
          <cell r="K2456" t="str">
            <v>1103</v>
          </cell>
          <cell r="L2456" t="str">
            <v>PU</v>
          </cell>
          <cell r="M2456" t="str">
            <v>110322</v>
          </cell>
          <cell r="N2456" t="str">
            <v>PU PRIMER</v>
          </cell>
        </row>
        <row r="2457">
          <cell r="C2457" t="str">
            <v>100003613</v>
          </cell>
          <cell r="D2457" t="str">
            <v>PCL-31300 122WD102 GE VN-20LJ</v>
          </cell>
          <cell r="E2457" t="str">
            <v>ZFGD</v>
          </cell>
          <cell r="F2457" t="str">
            <v>PC</v>
          </cell>
          <cell r="G2457" t="str">
            <v>1</v>
          </cell>
          <cell r="H2457" t="str">
            <v>INDUSTRY</v>
          </cell>
          <cell r="I2457" t="str">
            <v>11</v>
          </cell>
          <cell r="J2457" t="str">
            <v>WOOD COATINGS</v>
          </cell>
          <cell r="K2457" t="str">
            <v>1118</v>
          </cell>
          <cell r="L2457" t="str">
            <v>COMPLEMENTARY</v>
          </cell>
          <cell r="M2457" t="str">
            <v>111807</v>
          </cell>
          <cell r="N2457" t="str">
            <v>PASTA</v>
          </cell>
        </row>
        <row r="2458">
          <cell r="C2458" t="str">
            <v>100003615</v>
          </cell>
          <cell r="D2458" t="str">
            <v>PUC-52233 WHITE HG VN-20KP</v>
          </cell>
          <cell r="E2458" t="str">
            <v>ZFGD</v>
          </cell>
          <cell r="F2458" t="str">
            <v>PC</v>
          </cell>
          <cell r="G2458" t="str">
            <v>1</v>
          </cell>
          <cell r="H2458" t="str">
            <v>INDUSTRY</v>
          </cell>
          <cell r="I2458" t="str">
            <v>11</v>
          </cell>
          <cell r="J2458" t="str">
            <v>WOOD COATINGS</v>
          </cell>
          <cell r="K2458" t="str">
            <v>1103</v>
          </cell>
          <cell r="L2458" t="str">
            <v>PU</v>
          </cell>
          <cell r="M2458" t="str">
            <v>110319</v>
          </cell>
          <cell r="N2458" t="str">
            <v>PU COLOR</v>
          </cell>
        </row>
        <row r="2459">
          <cell r="C2459" t="str">
            <v>100003616</v>
          </cell>
          <cell r="D2459" t="str">
            <v>TOL-76301 N HM0218 F1 VN-200LK</v>
          </cell>
          <cell r="E2459" t="str">
            <v>ZFGD</v>
          </cell>
          <cell r="F2459" t="str">
            <v>PC</v>
          </cell>
          <cell r="G2459" t="str">
            <v>1</v>
          </cell>
          <cell r="H2459" t="str">
            <v>INDUSTRY</v>
          </cell>
          <cell r="I2459" t="str">
            <v>11</v>
          </cell>
          <cell r="J2459" t="str">
            <v>WOOD COATINGS</v>
          </cell>
          <cell r="K2459" t="str">
            <v>1101</v>
          </cell>
          <cell r="L2459" t="str">
            <v>ALKYD OIL</v>
          </cell>
          <cell r="M2459" t="str">
            <v>110101</v>
          </cell>
          <cell r="N2459" t="str">
            <v>ALKYD &amp; OIL SYSTEM</v>
          </cell>
        </row>
        <row r="2460">
          <cell r="C2460" t="str">
            <v>100003617</v>
          </cell>
          <cell r="D2460" t="str">
            <v>PUC-54205 AC WHITEGREY 05 MK VN-20KP</v>
          </cell>
          <cell r="E2460" t="str">
            <v>ZFGD</v>
          </cell>
          <cell r="F2460" t="str">
            <v>PC</v>
          </cell>
          <cell r="G2460" t="str">
            <v>1</v>
          </cell>
          <cell r="H2460" t="str">
            <v>INDUSTRY</v>
          </cell>
          <cell r="I2460" t="str">
            <v>11</v>
          </cell>
          <cell r="J2460" t="str">
            <v>WOOD COATINGS</v>
          </cell>
          <cell r="K2460" t="str">
            <v>1103</v>
          </cell>
          <cell r="L2460" t="str">
            <v>PU</v>
          </cell>
          <cell r="M2460" t="str">
            <v>110319</v>
          </cell>
          <cell r="N2460" t="str">
            <v>PU COLOR</v>
          </cell>
        </row>
        <row r="2461">
          <cell r="C2461" t="str">
            <v>100003618</v>
          </cell>
          <cell r="D2461" t="str">
            <v>TOL-76301 N HM0218 F1 VN-20LJ</v>
          </cell>
          <cell r="E2461" t="str">
            <v>ZFGD</v>
          </cell>
          <cell r="F2461" t="str">
            <v>PC</v>
          </cell>
          <cell r="G2461" t="str">
            <v>1</v>
          </cell>
          <cell r="H2461" t="str">
            <v>INDUSTRY</v>
          </cell>
          <cell r="I2461" t="str">
            <v>11</v>
          </cell>
          <cell r="J2461" t="str">
            <v>WOOD COATINGS</v>
          </cell>
          <cell r="K2461" t="str">
            <v>1101</v>
          </cell>
          <cell r="L2461" t="str">
            <v>ALKYD OIL</v>
          </cell>
          <cell r="M2461" t="str">
            <v>110101</v>
          </cell>
          <cell r="N2461" t="str">
            <v>ALKYD &amp; OIL SYSTEM</v>
          </cell>
        </row>
        <row r="2462">
          <cell r="C2462" t="str">
            <v>100003619</v>
          </cell>
          <cell r="D2462" t="str">
            <v>WBC-62206 TTH160 30 TE VN-20KP</v>
          </cell>
          <cell r="E2462" t="str">
            <v>ZFGD</v>
          </cell>
          <cell r="F2462" t="str">
            <v>PC</v>
          </cell>
          <cell r="G2462" t="str">
            <v>1</v>
          </cell>
          <cell r="H2462" t="str">
            <v>INDUSTRY</v>
          </cell>
          <cell r="I2462" t="str">
            <v>11</v>
          </cell>
          <cell r="J2462" t="str">
            <v>WOOD COATINGS</v>
          </cell>
          <cell r="K2462" t="str">
            <v>1119</v>
          </cell>
          <cell r="L2462" t="str">
            <v>WATERBASED</v>
          </cell>
          <cell r="M2462" t="str">
            <v>111902</v>
          </cell>
          <cell r="N2462" t="str">
            <v>WATERBASED SYSTEM INTERIOR</v>
          </cell>
        </row>
        <row r="2463">
          <cell r="C2463" t="str">
            <v>100003620</v>
          </cell>
          <cell r="D2463" t="str">
            <v>DC-12223 LC TTH160 30 TE VN-20KP</v>
          </cell>
          <cell r="E2463" t="str">
            <v>ZFGD</v>
          </cell>
          <cell r="F2463" t="str">
            <v>PC</v>
          </cell>
          <cell r="G2463" t="str">
            <v>1</v>
          </cell>
          <cell r="H2463" t="str">
            <v>INDUSTRY</v>
          </cell>
          <cell r="I2463" t="str">
            <v>11</v>
          </cell>
          <cell r="J2463" t="str">
            <v>WOOD COATINGS</v>
          </cell>
          <cell r="K2463" t="str">
            <v>1104</v>
          </cell>
          <cell r="L2463" t="str">
            <v>NC</v>
          </cell>
          <cell r="M2463" t="str">
            <v>110405</v>
          </cell>
          <cell r="N2463" t="str">
            <v>NC SYSTEM</v>
          </cell>
        </row>
        <row r="2464">
          <cell r="C2464" t="str">
            <v>100003621</v>
          </cell>
          <cell r="D2464" t="str">
            <v>WBC-62206 TTH268 10 TE VN-20KP</v>
          </cell>
          <cell r="E2464" t="str">
            <v>ZFGD</v>
          </cell>
          <cell r="F2464" t="str">
            <v>PC</v>
          </cell>
          <cell r="G2464" t="str">
            <v>1</v>
          </cell>
          <cell r="H2464" t="str">
            <v>INDUSTRY</v>
          </cell>
          <cell r="I2464" t="str">
            <v>11</v>
          </cell>
          <cell r="J2464" t="str">
            <v>WOOD COATINGS</v>
          </cell>
          <cell r="K2464" t="str">
            <v>1119</v>
          </cell>
          <cell r="L2464" t="str">
            <v>WATERBASED</v>
          </cell>
          <cell r="M2464" t="str">
            <v>111902</v>
          </cell>
          <cell r="N2464" t="str">
            <v>WATERBASED SYSTEM INTERIOR</v>
          </cell>
        </row>
        <row r="2465">
          <cell r="C2465" t="str">
            <v>100003622</v>
          </cell>
          <cell r="D2465" t="str">
            <v>DC-12207 TTH268 10 TE VN-20KP</v>
          </cell>
          <cell r="E2465" t="str">
            <v>ZFGD</v>
          </cell>
          <cell r="F2465" t="str">
            <v>PC</v>
          </cell>
          <cell r="G2465" t="str">
            <v>1</v>
          </cell>
          <cell r="H2465" t="str">
            <v>INDUSTRY</v>
          </cell>
          <cell r="I2465" t="str">
            <v>11</v>
          </cell>
          <cell r="J2465" t="str">
            <v>WOOD COATINGS</v>
          </cell>
          <cell r="K2465" t="str">
            <v>1104</v>
          </cell>
          <cell r="L2465" t="str">
            <v>NC</v>
          </cell>
          <cell r="M2465" t="str">
            <v>110405</v>
          </cell>
          <cell r="N2465" t="str">
            <v>NC SYSTEM</v>
          </cell>
        </row>
        <row r="2466">
          <cell r="C2466" t="str">
            <v>100003623</v>
          </cell>
          <cell r="D2466" t="str">
            <v>DP-12123 LC TTH208 TE VN-20KP</v>
          </cell>
          <cell r="E2466" t="str">
            <v>ZFGD</v>
          </cell>
          <cell r="F2466" t="str">
            <v>PC</v>
          </cell>
          <cell r="G2466" t="str">
            <v>1</v>
          </cell>
          <cell r="H2466" t="str">
            <v>INDUSTRY</v>
          </cell>
          <cell r="I2466" t="str">
            <v>11</v>
          </cell>
          <cell r="J2466" t="str">
            <v>WOOD COATINGS</v>
          </cell>
          <cell r="K2466" t="str">
            <v>1104</v>
          </cell>
          <cell r="L2466" t="str">
            <v>NC</v>
          </cell>
          <cell r="M2466" t="str">
            <v>110405</v>
          </cell>
          <cell r="N2466" t="str">
            <v>NC SYSTEM</v>
          </cell>
        </row>
        <row r="2467">
          <cell r="C2467" t="str">
            <v>100003624</v>
          </cell>
          <cell r="D2467" t="str">
            <v>DC-12229 LC TTH208 10 TE VN-20KP</v>
          </cell>
          <cell r="E2467" t="str">
            <v>ZFGD</v>
          </cell>
          <cell r="F2467" t="str">
            <v>PC</v>
          </cell>
          <cell r="G2467" t="str">
            <v>1</v>
          </cell>
          <cell r="H2467" t="str">
            <v>INDUSTRY</v>
          </cell>
          <cell r="I2467" t="str">
            <v>11</v>
          </cell>
          <cell r="J2467" t="str">
            <v>WOOD COATINGS</v>
          </cell>
          <cell r="K2467" t="str">
            <v>1104</v>
          </cell>
          <cell r="L2467" t="str">
            <v>NC</v>
          </cell>
          <cell r="M2467" t="str">
            <v>110405</v>
          </cell>
          <cell r="N2467" t="str">
            <v>NC SYSTEM</v>
          </cell>
        </row>
        <row r="2468">
          <cell r="C2468" t="str">
            <v>100003625</v>
          </cell>
          <cell r="D2468" t="str">
            <v>WBP-68100 2K PU TTH208 TE VN-20KP</v>
          </cell>
          <cell r="E2468" t="str">
            <v>ZFGD</v>
          </cell>
          <cell r="F2468" t="str">
            <v>PC</v>
          </cell>
          <cell r="G2468" t="str">
            <v>1</v>
          </cell>
          <cell r="H2468" t="str">
            <v>INDUSTRY</v>
          </cell>
          <cell r="I2468" t="str">
            <v>11</v>
          </cell>
          <cell r="J2468" t="str">
            <v>WOOD COATINGS</v>
          </cell>
          <cell r="K2468" t="str">
            <v>1103</v>
          </cell>
          <cell r="L2468" t="str">
            <v>PU</v>
          </cell>
          <cell r="M2468" t="str">
            <v>110316</v>
          </cell>
          <cell r="N2468" t="str">
            <v>WATERBASED PU 2K</v>
          </cell>
        </row>
        <row r="2469">
          <cell r="C2469" t="str">
            <v>100003626</v>
          </cell>
          <cell r="D2469" t="str">
            <v>WBC-62206 TTH208 10 TE VN-20KP</v>
          </cell>
          <cell r="E2469" t="str">
            <v>ZFGD</v>
          </cell>
          <cell r="F2469" t="str">
            <v>PC</v>
          </cell>
          <cell r="G2469" t="str">
            <v>1</v>
          </cell>
          <cell r="H2469" t="str">
            <v>INDUSTRY</v>
          </cell>
          <cell r="I2469" t="str">
            <v>11</v>
          </cell>
          <cell r="J2469" t="str">
            <v>WOOD COATINGS</v>
          </cell>
          <cell r="K2469" t="str">
            <v>1119</v>
          </cell>
          <cell r="L2469" t="str">
            <v>WATERBASED</v>
          </cell>
          <cell r="M2469" t="str">
            <v>111902</v>
          </cell>
          <cell r="N2469" t="str">
            <v>WATERBASED SYSTEM INTERIOR</v>
          </cell>
        </row>
        <row r="2470">
          <cell r="C2470" t="str">
            <v>100003627</v>
          </cell>
          <cell r="D2470" t="str">
            <v>SST-11100 33 SI VN-20LJ</v>
          </cell>
          <cell r="E2470" t="str">
            <v>ZFGD</v>
          </cell>
          <cell r="F2470" t="str">
            <v>PC</v>
          </cell>
          <cell r="G2470" t="str">
            <v>1</v>
          </cell>
          <cell r="H2470" t="str">
            <v>INDUSTRY</v>
          </cell>
          <cell r="I2470" t="str">
            <v>11</v>
          </cell>
          <cell r="J2470" t="str">
            <v>WOOD COATINGS</v>
          </cell>
          <cell r="K2470" t="str">
            <v>1109</v>
          </cell>
          <cell r="L2470" t="str">
            <v>STAIN &amp; GLAZE INTERIOR</v>
          </cell>
          <cell r="M2470" t="str">
            <v>110903</v>
          </cell>
          <cell r="N2470" t="str">
            <v>STAIN INTERIOR</v>
          </cell>
        </row>
        <row r="2471">
          <cell r="C2471" t="str">
            <v>100003628</v>
          </cell>
          <cell r="D2471" t="str">
            <v>SST-11100 34 SI VN-20LJ</v>
          </cell>
          <cell r="E2471" t="str">
            <v>ZFGD</v>
          </cell>
          <cell r="F2471" t="str">
            <v>PC</v>
          </cell>
          <cell r="G2471" t="str">
            <v>1</v>
          </cell>
          <cell r="H2471" t="str">
            <v>INDUSTRY</v>
          </cell>
          <cell r="I2471" t="str">
            <v>11</v>
          </cell>
          <cell r="J2471" t="str">
            <v>WOOD COATINGS</v>
          </cell>
          <cell r="K2471" t="str">
            <v>1109</v>
          </cell>
          <cell r="L2471" t="str">
            <v>STAIN &amp; GLAZE INTERIOR</v>
          </cell>
          <cell r="M2471" t="str">
            <v>110903</v>
          </cell>
          <cell r="N2471" t="str">
            <v>STAIN INTERIOR</v>
          </cell>
        </row>
        <row r="2472">
          <cell r="C2472" t="str">
            <v>100003629</v>
          </cell>
          <cell r="D2472" t="str">
            <v>WBP-68100 2K PU WHITE VN-20KP</v>
          </cell>
          <cell r="E2472" t="str">
            <v>ZFGD</v>
          </cell>
          <cell r="F2472" t="str">
            <v>PC</v>
          </cell>
          <cell r="G2472" t="str">
            <v>1</v>
          </cell>
          <cell r="H2472" t="str">
            <v>INDUSTRY</v>
          </cell>
          <cell r="I2472" t="str">
            <v>11</v>
          </cell>
          <cell r="J2472" t="str">
            <v>WOOD COATINGS</v>
          </cell>
          <cell r="K2472" t="str">
            <v>1103</v>
          </cell>
          <cell r="L2472" t="str">
            <v>PU</v>
          </cell>
          <cell r="M2472" t="str">
            <v>110316</v>
          </cell>
          <cell r="N2472" t="str">
            <v>WATERBASED PU 2K</v>
          </cell>
        </row>
        <row r="2473">
          <cell r="C2473" t="str">
            <v>100003630</v>
          </cell>
          <cell r="D2473" t="str">
            <v>PUC-54205 AC SANDSTONE 05 MK VN-20KP</v>
          </cell>
          <cell r="E2473" t="str">
            <v>ZFGD</v>
          </cell>
          <cell r="F2473" t="str">
            <v>PC</v>
          </cell>
          <cell r="G2473" t="str">
            <v>1</v>
          </cell>
          <cell r="H2473" t="str">
            <v>INDUSTRY</v>
          </cell>
          <cell r="I2473" t="str">
            <v>11</v>
          </cell>
          <cell r="J2473" t="str">
            <v>WOOD COATINGS</v>
          </cell>
          <cell r="K2473" t="str">
            <v>1103</v>
          </cell>
          <cell r="L2473" t="str">
            <v>PU</v>
          </cell>
          <cell r="M2473" t="str">
            <v>110319</v>
          </cell>
          <cell r="N2473" t="str">
            <v>PU COLOR</v>
          </cell>
        </row>
        <row r="2474">
          <cell r="C2474" t="str">
            <v>100003638</v>
          </cell>
          <cell r="D2474" t="str">
            <v>PCA-31100 34 A DS VN-20KP</v>
          </cell>
          <cell r="E2474" t="str">
            <v>ZFGD</v>
          </cell>
          <cell r="F2474" t="str">
            <v>PC</v>
          </cell>
          <cell r="G2474" t="str">
            <v>1</v>
          </cell>
          <cell r="H2474" t="str">
            <v>INDUSTRY</v>
          </cell>
          <cell r="I2474" t="str">
            <v>11</v>
          </cell>
          <cell r="J2474" t="str">
            <v>WOOD COATINGS</v>
          </cell>
          <cell r="K2474" t="str">
            <v>1118</v>
          </cell>
          <cell r="L2474" t="str">
            <v>COMPLEMENTARY</v>
          </cell>
          <cell r="M2474" t="str">
            <v>111807</v>
          </cell>
          <cell r="N2474" t="str">
            <v>PASTA</v>
          </cell>
        </row>
        <row r="2475">
          <cell r="C2475" t="str">
            <v>100003639</v>
          </cell>
          <cell r="D2475" t="str">
            <v>PCA-31100 34 B DS VN-20LJ</v>
          </cell>
          <cell r="E2475" t="str">
            <v>ZFGD</v>
          </cell>
          <cell r="F2475" t="str">
            <v>PC</v>
          </cell>
          <cell r="G2475" t="str">
            <v>1</v>
          </cell>
          <cell r="H2475" t="str">
            <v>INDUSTRY</v>
          </cell>
          <cell r="I2475" t="str">
            <v>11</v>
          </cell>
          <cell r="J2475" t="str">
            <v>WOOD COATINGS</v>
          </cell>
          <cell r="K2475" t="str">
            <v>1118</v>
          </cell>
          <cell r="L2475" t="str">
            <v>COMPLEMENTARY</v>
          </cell>
          <cell r="M2475" t="str">
            <v>111807</v>
          </cell>
          <cell r="N2475" t="str">
            <v>PASTA</v>
          </cell>
        </row>
        <row r="2476">
          <cell r="C2476" t="str">
            <v>100003640</v>
          </cell>
          <cell r="D2476" t="str">
            <v>GZPU-21500 34 DS VN-18KP</v>
          </cell>
          <cell r="E2476" t="str">
            <v>ZFGD</v>
          </cell>
          <cell r="F2476" t="str">
            <v>PC</v>
          </cell>
          <cell r="G2476" t="str">
            <v>1</v>
          </cell>
          <cell r="H2476" t="str">
            <v>INDUSTRY</v>
          </cell>
          <cell r="I2476" t="str">
            <v>11</v>
          </cell>
          <cell r="J2476" t="str">
            <v>WOOD COATINGS</v>
          </cell>
          <cell r="K2476" t="str">
            <v>1103</v>
          </cell>
          <cell r="L2476" t="str">
            <v>PU</v>
          </cell>
          <cell r="M2476" t="str">
            <v>110302</v>
          </cell>
          <cell r="N2476" t="str">
            <v>GLAZE PU</v>
          </cell>
        </row>
        <row r="2477">
          <cell r="C2477" t="str">
            <v>100003641</v>
          </cell>
          <cell r="D2477" t="str">
            <v>AP-980 GREY VN-20KP</v>
          </cell>
          <cell r="E2477" t="str">
            <v>ZFGD</v>
          </cell>
          <cell r="F2477" t="str">
            <v>PC</v>
          </cell>
          <cell r="G2477" t="str">
            <v>2</v>
          </cell>
          <cell r="H2477" t="str">
            <v>RETAIL</v>
          </cell>
          <cell r="I2477" t="str">
            <v>29</v>
          </cell>
          <cell r="J2477" t="str">
            <v>MPC</v>
          </cell>
          <cell r="K2477" t="str">
            <v>2910</v>
          </cell>
          <cell r="L2477" t="str">
            <v>ZINCOAT</v>
          </cell>
          <cell r="M2477" t="str">
            <v>291001</v>
          </cell>
          <cell r="N2477" t="str">
            <v>ZINCOAT</v>
          </cell>
        </row>
        <row r="2478">
          <cell r="C2478" t="str">
            <v>100003642</v>
          </cell>
          <cell r="D2478" t="str">
            <v>AP-980 GREY VN-5K</v>
          </cell>
          <cell r="E2478" t="str">
            <v>ZFGD</v>
          </cell>
          <cell r="F2478" t="str">
            <v>PC</v>
          </cell>
          <cell r="G2478" t="str">
            <v>2</v>
          </cell>
          <cell r="H2478" t="str">
            <v>RETAIL</v>
          </cell>
          <cell r="I2478" t="str">
            <v>29</v>
          </cell>
          <cell r="J2478" t="str">
            <v>MPC</v>
          </cell>
          <cell r="K2478" t="str">
            <v>2910</v>
          </cell>
          <cell r="L2478" t="str">
            <v>ZINCOAT</v>
          </cell>
          <cell r="M2478" t="str">
            <v>291001</v>
          </cell>
          <cell r="N2478" t="str">
            <v>ZINCOAT</v>
          </cell>
        </row>
        <row r="2479">
          <cell r="C2479" t="str">
            <v>100003643</v>
          </cell>
          <cell r="D2479" t="str">
            <v>PUC-54205 AC LINEM 05 MK VN-20KP</v>
          </cell>
          <cell r="E2479" t="str">
            <v>ZFGD</v>
          </cell>
          <cell r="F2479" t="str">
            <v>PC</v>
          </cell>
          <cell r="G2479" t="str">
            <v>1</v>
          </cell>
          <cell r="H2479" t="str">
            <v>INDUSTRY</v>
          </cell>
          <cell r="I2479" t="str">
            <v>11</v>
          </cell>
          <cell r="J2479" t="str">
            <v>WOOD COATINGS</v>
          </cell>
          <cell r="K2479" t="str">
            <v>1103</v>
          </cell>
          <cell r="L2479" t="str">
            <v>PU</v>
          </cell>
          <cell r="M2479" t="str">
            <v>110319</v>
          </cell>
          <cell r="N2479" t="str">
            <v>PU COLOR</v>
          </cell>
        </row>
        <row r="2480">
          <cell r="C2480" t="str">
            <v>100003644</v>
          </cell>
          <cell r="D2480" t="str">
            <v>SST-11100 BROWN SI VN-20LJ</v>
          </cell>
          <cell r="E2480" t="str">
            <v>ZFGD</v>
          </cell>
          <cell r="F2480" t="str">
            <v>PC</v>
          </cell>
          <cell r="G2480" t="str">
            <v>1</v>
          </cell>
          <cell r="H2480" t="str">
            <v>INDUSTRY</v>
          </cell>
          <cell r="I2480" t="str">
            <v>11</v>
          </cell>
          <cell r="J2480" t="str">
            <v>WOOD COATINGS</v>
          </cell>
          <cell r="K2480" t="str">
            <v>1109</v>
          </cell>
          <cell r="L2480" t="str">
            <v>STAIN &amp; GLAZE INTERIOR</v>
          </cell>
          <cell r="M2480" t="str">
            <v>110903</v>
          </cell>
          <cell r="N2480" t="str">
            <v>STAIN INTERIOR</v>
          </cell>
        </row>
        <row r="2481">
          <cell r="C2481" t="str">
            <v>100003645</v>
          </cell>
          <cell r="D2481" t="str">
            <v>MS-61220 VN-4K</v>
          </cell>
          <cell r="E2481" t="str">
            <v>ZFGD</v>
          </cell>
          <cell r="F2481" t="str">
            <v>PC</v>
          </cell>
          <cell r="G2481" t="str">
            <v>1</v>
          </cell>
          <cell r="H2481" t="str">
            <v>INDUSTRY</v>
          </cell>
          <cell r="I2481" t="str">
            <v>11</v>
          </cell>
          <cell r="J2481" t="str">
            <v>WOOD COATINGS</v>
          </cell>
          <cell r="K2481" t="str">
            <v>1118</v>
          </cell>
          <cell r="L2481" t="str">
            <v>COMPLEMENTARY</v>
          </cell>
          <cell r="M2481" t="str">
            <v>111801</v>
          </cell>
          <cell r="N2481" t="str">
            <v>ADDITIVES</v>
          </cell>
        </row>
        <row r="2482">
          <cell r="C2482" t="str">
            <v>100003646</v>
          </cell>
          <cell r="D2482" t="str">
            <v>PUC-54205 AC DENIM 05 MK VN-20KP</v>
          </cell>
          <cell r="E2482" t="str">
            <v>ZFGD</v>
          </cell>
          <cell r="F2482" t="str">
            <v>PC</v>
          </cell>
          <cell r="G2482" t="str">
            <v>1</v>
          </cell>
          <cell r="H2482" t="str">
            <v>INDUSTRY</v>
          </cell>
          <cell r="I2482" t="str">
            <v>11</v>
          </cell>
          <cell r="J2482" t="str">
            <v>WOOD COATINGS</v>
          </cell>
          <cell r="K2482" t="str">
            <v>1103</v>
          </cell>
          <cell r="L2482" t="str">
            <v>PU</v>
          </cell>
          <cell r="M2482" t="str">
            <v>110319</v>
          </cell>
          <cell r="N2482" t="str">
            <v>PU COLOR</v>
          </cell>
        </row>
        <row r="2483">
          <cell r="C2483" t="str">
            <v>100003647</v>
          </cell>
          <cell r="D2483" t="str">
            <v>PUC-54206 AC EX CEMENT 05 MK VN-20KP</v>
          </cell>
          <cell r="E2483" t="str">
            <v>ZFGD</v>
          </cell>
          <cell r="F2483" t="str">
            <v>PC</v>
          </cell>
          <cell r="G2483" t="str">
            <v>1</v>
          </cell>
          <cell r="H2483" t="str">
            <v>INDUSTRY</v>
          </cell>
          <cell r="I2483" t="str">
            <v>11</v>
          </cell>
          <cell r="J2483" t="str">
            <v>WOOD COATINGS</v>
          </cell>
          <cell r="K2483" t="str">
            <v>1103</v>
          </cell>
          <cell r="L2483" t="str">
            <v>PU</v>
          </cell>
          <cell r="M2483" t="str">
            <v>110319</v>
          </cell>
          <cell r="N2483" t="str">
            <v>PU COLOR</v>
          </cell>
        </row>
        <row r="2484">
          <cell r="C2484" t="str">
            <v>100003648</v>
          </cell>
          <cell r="D2484" t="str">
            <v>DP-12123 LC 36 A DS VN-20KP</v>
          </cell>
          <cell r="E2484" t="str">
            <v>ZFGD</v>
          </cell>
          <cell r="F2484" t="str">
            <v>PC</v>
          </cell>
          <cell r="G2484" t="str">
            <v>1</v>
          </cell>
          <cell r="H2484" t="str">
            <v>INDUSTRY</v>
          </cell>
          <cell r="I2484" t="str">
            <v>11</v>
          </cell>
          <cell r="J2484" t="str">
            <v>WOOD COATINGS</v>
          </cell>
          <cell r="K2484" t="str">
            <v>1104</v>
          </cell>
          <cell r="L2484" t="str">
            <v>NC</v>
          </cell>
          <cell r="M2484" t="str">
            <v>110405</v>
          </cell>
          <cell r="N2484" t="str">
            <v>NC SYSTEM</v>
          </cell>
        </row>
        <row r="2485">
          <cell r="C2485" t="str">
            <v>100003649</v>
          </cell>
          <cell r="D2485" t="str">
            <v>PCA-31100 36 DS VN-20LJ</v>
          </cell>
          <cell r="E2485" t="str">
            <v>ZFGD</v>
          </cell>
          <cell r="F2485" t="str">
            <v>PC</v>
          </cell>
          <cell r="G2485" t="str">
            <v>1</v>
          </cell>
          <cell r="H2485" t="str">
            <v>INDUSTRY</v>
          </cell>
          <cell r="I2485" t="str">
            <v>11</v>
          </cell>
          <cell r="J2485" t="str">
            <v>WOOD COATINGS</v>
          </cell>
          <cell r="K2485" t="str">
            <v>1118</v>
          </cell>
          <cell r="L2485" t="str">
            <v>COMPLEMENTARY</v>
          </cell>
          <cell r="M2485" t="str">
            <v>111807</v>
          </cell>
          <cell r="N2485" t="str">
            <v>PASTA</v>
          </cell>
        </row>
        <row r="2486">
          <cell r="C2486" t="str">
            <v>100003650</v>
          </cell>
          <cell r="D2486" t="str">
            <v>PCA-2311 YOG AK-4K</v>
          </cell>
          <cell r="E2486" t="str">
            <v>ZFGD</v>
          </cell>
          <cell r="F2486" t="str">
            <v>PC</v>
          </cell>
          <cell r="G2486" t="str">
            <v>1</v>
          </cell>
          <cell r="H2486" t="str">
            <v>INDUSTRY</v>
          </cell>
          <cell r="I2486" t="str">
            <v>11</v>
          </cell>
          <cell r="J2486" t="str">
            <v>WOOD COATINGS</v>
          </cell>
          <cell r="K2486" t="str">
            <v>1118</v>
          </cell>
          <cell r="L2486" t="str">
            <v>COMPLEMENTARY</v>
          </cell>
          <cell r="M2486" t="str">
            <v>111807</v>
          </cell>
          <cell r="N2486" t="str">
            <v>PASTA</v>
          </cell>
        </row>
        <row r="2487">
          <cell r="C2487" t="str">
            <v>100003651</v>
          </cell>
          <cell r="D2487" t="str">
            <v>PCA-2311 ORA AK-4K</v>
          </cell>
          <cell r="E2487" t="str">
            <v>ZFGD</v>
          </cell>
          <cell r="F2487" t="str">
            <v>PC</v>
          </cell>
          <cell r="G2487" t="str">
            <v>1</v>
          </cell>
          <cell r="H2487" t="str">
            <v>INDUSTRY</v>
          </cell>
          <cell r="I2487" t="str">
            <v>11</v>
          </cell>
          <cell r="J2487" t="str">
            <v>WOOD COATINGS</v>
          </cell>
          <cell r="K2487" t="str">
            <v>1118</v>
          </cell>
          <cell r="L2487" t="str">
            <v>COMPLEMENTARY</v>
          </cell>
          <cell r="M2487" t="str">
            <v>111807</v>
          </cell>
          <cell r="N2487" t="str">
            <v>PASTA</v>
          </cell>
        </row>
        <row r="2488">
          <cell r="C2488" t="str">
            <v>100003652</v>
          </cell>
          <cell r="D2488" t="str">
            <v>PST-12100 WHITE IS VN-4K</v>
          </cell>
          <cell r="E2488" t="str">
            <v>ZFGD</v>
          </cell>
          <cell r="F2488" t="str">
            <v>PC</v>
          </cell>
          <cell r="G2488" t="str">
            <v>1</v>
          </cell>
          <cell r="H2488" t="str">
            <v>INDUSTRY</v>
          </cell>
          <cell r="I2488" t="str">
            <v>11</v>
          </cell>
          <cell r="J2488" t="str">
            <v>WOOD COATINGS</v>
          </cell>
          <cell r="K2488" t="str">
            <v>1109</v>
          </cell>
          <cell r="L2488" t="str">
            <v>STAIN &amp; GLAZE INTERIOR</v>
          </cell>
          <cell r="M2488" t="str">
            <v>110903</v>
          </cell>
          <cell r="N2488" t="str">
            <v>STAIN INTERIOR</v>
          </cell>
        </row>
        <row r="2489">
          <cell r="C2489" t="str">
            <v>100003655</v>
          </cell>
          <cell r="D2489" t="str">
            <v>PUC-54205 AC GREYP422C 10 KD VN-20KP</v>
          </cell>
          <cell r="E2489" t="str">
            <v>ZFGD</v>
          </cell>
          <cell r="F2489" t="str">
            <v>PC</v>
          </cell>
          <cell r="G2489" t="str">
            <v>1</v>
          </cell>
          <cell r="H2489" t="str">
            <v>INDUSTRY</v>
          </cell>
          <cell r="I2489" t="str">
            <v>11</v>
          </cell>
          <cell r="J2489" t="str">
            <v>WOOD COATINGS</v>
          </cell>
          <cell r="K2489" t="str">
            <v>1103</v>
          </cell>
          <cell r="L2489" t="str">
            <v>PU</v>
          </cell>
          <cell r="M2489" t="str">
            <v>110319</v>
          </cell>
          <cell r="N2489" t="str">
            <v>PU COLOR</v>
          </cell>
        </row>
        <row r="2490">
          <cell r="C2490" t="str">
            <v>100003660</v>
          </cell>
          <cell r="D2490" t="str">
            <v>PCA-31100 38 DS VN-20LJ</v>
          </cell>
          <cell r="E2490" t="str">
            <v>ZFGD</v>
          </cell>
          <cell r="F2490" t="str">
            <v>PC</v>
          </cell>
          <cell r="G2490" t="str">
            <v>1</v>
          </cell>
          <cell r="H2490" t="str">
            <v>INDUSTRY</v>
          </cell>
          <cell r="I2490" t="str">
            <v>11</v>
          </cell>
          <cell r="J2490" t="str">
            <v>WOOD COATINGS</v>
          </cell>
          <cell r="K2490" t="str">
            <v>1118</v>
          </cell>
          <cell r="L2490" t="str">
            <v>COMPLEMENTARY</v>
          </cell>
          <cell r="M2490" t="str">
            <v>111807</v>
          </cell>
          <cell r="N2490" t="str">
            <v>PASTA</v>
          </cell>
        </row>
        <row r="2491">
          <cell r="C2491" t="str">
            <v>100003661</v>
          </cell>
          <cell r="D2491" t="str">
            <v>GZPU-21500 38 DS VN-18KP</v>
          </cell>
          <cell r="E2491" t="str">
            <v>ZFGD</v>
          </cell>
          <cell r="F2491" t="str">
            <v>PC</v>
          </cell>
          <cell r="G2491" t="str">
            <v>1</v>
          </cell>
          <cell r="H2491" t="str">
            <v>INDUSTRY</v>
          </cell>
          <cell r="I2491" t="str">
            <v>11</v>
          </cell>
          <cell r="J2491" t="str">
            <v>WOOD COATINGS</v>
          </cell>
          <cell r="K2491" t="str">
            <v>1103</v>
          </cell>
          <cell r="L2491" t="str">
            <v>PU</v>
          </cell>
          <cell r="M2491" t="str">
            <v>110302</v>
          </cell>
          <cell r="N2491" t="str">
            <v>GLAZE PU</v>
          </cell>
        </row>
        <row r="2492">
          <cell r="C2492" t="str">
            <v>100003662</v>
          </cell>
          <cell r="D2492" t="str">
            <v>DP-12123 LC 03 LP VN-20KP</v>
          </cell>
          <cell r="E2492" t="str">
            <v>ZFGD</v>
          </cell>
          <cell r="F2492" t="str">
            <v>PC</v>
          </cell>
          <cell r="G2492" t="str">
            <v>1</v>
          </cell>
          <cell r="H2492" t="str">
            <v>INDUSTRY</v>
          </cell>
          <cell r="I2492" t="str">
            <v>11</v>
          </cell>
          <cell r="J2492" t="str">
            <v>WOOD COATINGS</v>
          </cell>
          <cell r="K2492" t="str">
            <v>1104</v>
          </cell>
          <cell r="L2492" t="str">
            <v>NC</v>
          </cell>
          <cell r="M2492" t="str">
            <v>110405</v>
          </cell>
          <cell r="N2492" t="str">
            <v>NC SYSTEM</v>
          </cell>
        </row>
        <row r="2493">
          <cell r="C2493" t="str">
            <v>100003665</v>
          </cell>
          <cell r="D2493" t="str">
            <v>PUC-54205 AC PURC28 30 KV VN-20KP</v>
          </cell>
          <cell r="E2493" t="str">
            <v>ZFGD</v>
          </cell>
          <cell r="F2493" t="str">
            <v>PC</v>
          </cell>
          <cell r="G2493" t="str">
            <v>1</v>
          </cell>
          <cell r="H2493" t="str">
            <v>INDUSTRY</v>
          </cell>
          <cell r="I2493" t="str">
            <v>11</v>
          </cell>
          <cell r="J2493" t="str">
            <v>WOOD COATINGS</v>
          </cell>
          <cell r="K2493" t="str">
            <v>1103</v>
          </cell>
          <cell r="L2493" t="str">
            <v>PU</v>
          </cell>
          <cell r="M2493" t="str">
            <v>110319</v>
          </cell>
          <cell r="N2493" t="str">
            <v>PU COLOR</v>
          </cell>
        </row>
        <row r="2494">
          <cell r="C2494" t="str">
            <v>100003666</v>
          </cell>
          <cell r="D2494" t="str">
            <v>64-56 MICRO FILLER REAMLBR HD VN-20KP</v>
          </cell>
          <cell r="E2494" t="str">
            <v>ZFGD</v>
          </cell>
          <cell r="F2494" t="str">
            <v>PC</v>
          </cell>
          <cell r="G2494" t="str">
            <v>1</v>
          </cell>
          <cell r="H2494" t="str">
            <v>INDUSTRY</v>
          </cell>
          <cell r="I2494" t="str">
            <v>11</v>
          </cell>
          <cell r="J2494" t="str">
            <v>WOOD COATINGS</v>
          </cell>
          <cell r="K2494" t="str">
            <v>1103</v>
          </cell>
          <cell r="L2494" t="str">
            <v>PU</v>
          </cell>
          <cell r="M2494" t="str">
            <v>110305</v>
          </cell>
          <cell r="N2494" t="str">
            <v>UNION FILLER</v>
          </cell>
        </row>
        <row r="2495">
          <cell r="C2495" t="str">
            <v>100003667</v>
          </cell>
          <cell r="D2495" t="str">
            <v>WBC-62208 REAM LBR 20 HD VN-20KP</v>
          </cell>
          <cell r="E2495" t="str">
            <v>ZFGD</v>
          </cell>
          <cell r="F2495" t="str">
            <v>PC</v>
          </cell>
          <cell r="G2495" t="str">
            <v>1</v>
          </cell>
          <cell r="H2495" t="str">
            <v>INDUSTRY</v>
          </cell>
          <cell r="I2495" t="str">
            <v>11</v>
          </cell>
          <cell r="J2495" t="str">
            <v>WOOD COATINGS</v>
          </cell>
          <cell r="K2495" t="str">
            <v>1119</v>
          </cell>
          <cell r="L2495" t="str">
            <v>WATERBASED</v>
          </cell>
          <cell r="M2495" t="str">
            <v>111902</v>
          </cell>
          <cell r="N2495" t="str">
            <v>WATERBASED SYSTEM INTERIOR</v>
          </cell>
        </row>
        <row r="2496">
          <cell r="C2496" t="str">
            <v>100003668</v>
          </cell>
          <cell r="D2496" t="str">
            <v>WBL-61204 CLEAR 20 VN-20KP</v>
          </cell>
          <cell r="E2496" t="str">
            <v>ZFGD</v>
          </cell>
          <cell r="F2496" t="str">
            <v>PC</v>
          </cell>
          <cell r="G2496" t="str">
            <v>1</v>
          </cell>
          <cell r="H2496" t="str">
            <v>INDUSTRY</v>
          </cell>
          <cell r="I2496" t="str">
            <v>11</v>
          </cell>
          <cell r="J2496" t="str">
            <v>WOOD COATINGS</v>
          </cell>
          <cell r="K2496" t="str">
            <v>1119</v>
          </cell>
          <cell r="L2496" t="str">
            <v>WATERBASED</v>
          </cell>
          <cell r="M2496" t="str">
            <v>111902</v>
          </cell>
          <cell r="N2496" t="str">
            <v>WATERBASED SYSTEM INTERIOR</v>
          </cell>
        </row>
        <row r="2497">
          <cell r="C2497" t="str">
            <v>100003669</v>
          </cell>
          <cell r="D2497" t="str">
            <v>PUC-52235 20 05 YJ VN-20KP</v>
          </cell>
          <cell r="E2497" t="str">
            <v>ZFGD</v>
          </cell>
          <cell r="F2497" t="str">
            <v>PC</v>
          </cell>
          <cell r="G2497" t="str">
            <v>1</v>
          </cell>
          <cell r="H2497" t="str">
            <v>INDUSTRY</v>
          </cell>
          <cell r="I2497" t="str">
            <v>11</v>
          </cell>
          <cell r="J2497" t="str">
            <v>WOOD COATINGS</v>
          </cell>
          <cell r="K2497" t="str">
            <v>1103</v>
          </cell>
          <cell r="L2497" t="str">
            <v>PU</v>
          </cell>
          <cell r="M2497" t="str">
            <v>110319</v>
          </cell>
          <cell r="N2497" t="str">
            <v>PU COLOR</v>
          </cell>
        </row>
        <row r="2498">
          <cell r="C2498" t="str">
            <v>100003670</v>
          </cell>
          <cell r="D2498" t="str">
            <v>PUC-52235 21 05 YJ VN-20KP</v>
          </cell>
          <cell r="E2498" t="str">
            <v>ZFGD</v>
          </cell>
          <cell r="F2498" t="str">
            <v>PC</v>
          </cell>
          <cell r="G2498" t="str">
            <v>1</v>
          </cell>
          <cell r="H2498" t="str">
            <v>INDUSTRY</v>
          </cell>
          <cell r="I2498" t="str">
            <v>11</v>
          </cell>
          <cell r="J2498" t="str">
            <v>WOOD COATINGS</v>
          </cell>
          <cell r="K2498" t="str">
            <v>1103</v>
          </cell>
          <cell r="L2498" t="str">
            <v>PU</v>
          </cell>
          <cell r="M2498" t="str">
            <v>110319</v>
          </cell>
          <cell r="N2498" t="str">
            <v>PU COLOR</v>
          </cell>
        </row>
        <row r="2499">
          <cell r="C2499" t="str">
            <v>100003671</v>
          </cell>
          <cell r="D2499" t="str">
            <v>PUL-51335 CLEAR 10 YJ VN-20KP</v>
          </cell>
          <cell r="E2499" t="str">
            <v>ZFGD</v>
          </cell>
          <cell r="F2499" t="str">
            <v>PC</v>
          </cell>
          <cell r="G2499" t="str">
            <v>1</v>
          </cell>
          <cell r="H2499" t="str">
            <v>INDUSTRY</v>
          </cell>
          <cell r="I2499" t="str">
            <v>11</v>
          </cell>
          <cell r="J2499" t="str">
            <v>WOOD COATINGS</v>
          </cell>
          <cell r="K2499" t="str">
            <v>1103</v>
          </cell>
          <cell r="L2499" t="str">
            <v>PU</v>
          </cell>
          <cell r="M2499" t="str">
            <v>110321</v>
          </cell>
          <cell r="N2499" t="str">
            <v>PU LACQUER</v>
          </cell>
        </row>
        <row r="2500">
          <cell r="C2500" t="str">
            <v>100003672</v>
          </cell>
          <cell r="D2500" t="str">
            <v>SST-11100 23 YJ VN-20LJ</v>
          </cell>
          <cell r="E2500" t="str">
            <v>ZFGD</v>
          </cell>
          <cell r="F2500" t="str">
            <v>PC</v>
          </cell>
          <cell r="G2500" t="str">
            <v>1</v>
          </cell>
          <cell r="H2500" t="str">
            <v>INDUSTRY</v>
          </cell>
          <cell r="I2500" t="str">
            <v>11</v>
          </cell>
          <cell r="J2500" t="str">
            <v>WOOD COATINGS</v>
          </cell>
          <cell r="K2500" t="str">
            <v>1109</v>
          </cell>
          <cell r="L2500" t="str">
            <v>STAIN &amp; GLAZE INTERIOR</v>
          </cell>
          <cell r="M2500" t="str">
            <v>110903</v>
          </cell>
          <cell r="N2500" t="str">
            <v>STAIN INTERIOR</v>
          </cell>
        </row>
        <row r="2501">
          <cell r="C2501" t="str">
            <v>100003673</v>
          </cell>
          <cell r="D2501" t="str">
            <v>SST-11100 111WDRG17 A GE VN-20LJ</v>
          </cell>
          <cell r="E2501" t="str">
            <v>ZFGD</v>
          </cell>
          <cell r="F2501" t="str">
            <v>PC</v>
          </cell>
          <cell r="G2501" t="str">
            <v>1</v>
          </cell>
          <cell r="H2501" t="str">
            <v>INDUSTRY</v>
          </cell>
          <cell r="I2501" t="str">
            <v>11</v>
          </cell>
          <cell r="J2501" t="str">
            <v>WOOD COATINGS</v>
          </cell>
          <cell r="K2501" t="str">
            <v>1109</v>
          </cell>
          <cell r="L2501" t="str">
            <v>STAIN &amp; GLAZE INTERIOR</v>
          </cell>
          <cell r="M2501" t="str">
            <v>110903</v>
          </cell>
          <cell r="N2501" t="str">
            <v>STAIN INTERIOR</v>
          </cell>
        </row>
        <row r="2502">
          <cell r="C2502" t="str">
            <v>100003674</v>
          </cell>
          <cell r="D2502" t="str">
            <v>SST-11100 111WDRG17 B GE VN-20LJ</v>
          </cell>
          <cell r="E2502" t="str">
            <v>ZFGD</v>
          </cell>
          <cell r="F2502" t="str">
            <v>PC</v>
          </cell>
          <cell r="G2502" t="str">
            <v>1</v>
          </cell>
          <cell r="H2502" t="str">
            <v>INDUSTRY</v>
          </cell>
          <cell r="I2502" t="str">
            <v>11</v>
          </cell>
          <cell r="J2502" t="str">
            <v>WOOD COATINGS</v>
          </cell>
          <cell r="K2502" t="str">
            <v>1109</v>
          </cell>
          <cell r="L2502" t="str">
            <v>STAIN &amp; GLAZE INTERIOR</v>
          </cell>
          <cell r="M2502" t="str">
            <v>110903</v>
          </cell>
          <cell r="N2502" t="str">
            <v>STAIN INTERIOR</v>
          </cell>
        </row>
        <row r="2503">
          <cell r="C2503" t="str">
            <v>100003675</v>
          </cell>
          <cell r="D2503" t="str">
            <v>SST-11100 111WDRG17 C GE VN-20LJ</v>
          </cell>
          <cell r="E2503" t="str">
            <v>ZFGD</v>
          </cell>
          <cell r="F2503" t="str">
            <v>PC</v>
          </cell>
          <cell r="G2503" t="str">
            <v>1</v>
          </cell>
          <cell r="H2503" t="str">
            <v>INDUSTRY</v>
          </cell>
          <cell r="I2503" t="str">
            <v>11</v>
          </cell>
          <cell r="J2503" t="str">
            <v>WOOD COATINGS</v>
          </cell>
          <cell r="K2503" t="str">
            <v>1109</v>
          </cell>
          <cell r="L2503" t="str">
            <v>STAIN &amp; GLAZE INTERIOR</v>
          </cell>
          <cell r="M2503" t="str">
            <v>110903</v>
          </cell>
          <cell r="N2503" t="str">
            <v>STAIN INTERIOR</v>
          </cell>
        </row>
        <row r="2504">
          <cell r="C2504" t="str">
            <v>100003676</v>
          </cell>
          <cell r="D2504" t="str">
            <v>PCA-31100 111WDRG18 I GE VN-20LJ</v>
          </cell>
          <cell r="E2504" t="str">
            <v>ZFGD</v>
          </cell>
          <cell r="F2504" t="str">
            <v>PC</v>
          </cell>
          <cell r="G2504" t="str">
            <v>1</v>
          </cell>
          <cell r="H2504" t="str">
            <v>INDUSTRY</v>
          </cell>
          <cell r="I2504" t="str">
            <v>11</v>
          </cell>
          <cell r="J2504" t="str">
            <v>WOOD COATINGS</v>
          </cell>
          <cell r="K2504" t="str">
            <v>1118</v>
          </cell>
          <cell r="L2504" t="str">
            <v>COMPLEMENTARY</v>
          </cell>
          <cell r="M2504" t="str">
            <v>111807</v>
          </cell>
          <cell r="N2504" t="str">
            <v>PASTA</v>
          </cell>
        </row>
        <row r="2505">
          <cell r="C2505" t="str">
            <v>100003677</v>
          </cell>
          <cell r="D2505" t="str">
            <v>SST-11100 111WDRG18 II GE VN-20LJ</v>
          </cell>
          <cell r="E2505" t="str">
            <v>ZFGD</v>
          </cell>
          <cell r="F2505" t="str">
            <v>PC</v>
          </cell>
          <cell r="G2505" t="str">
            <v>1</v>
          </cell>
          <cell r="H2505" t="str">
            <v>INDUSTRY</v>
          </cell>
          <cell r="I2505" t="str">
            <v>11</v>
          </cell>
          <cell r="J2505" t="str">
            <v>WOOD COATINGS</v>
          </cell>
          <cell r="K2505" t="str">
            <v>1109</v>
          </cell>
          <cell r="L2505" t="str">
            <v>STAIN &amp; GLAZE INTERIOR</v>
          </cell>
          <cell r="M2505" t="str">
            <v>110903</v>
          </cell>
          <cell r="N2505" t="str">
            <v>STAIN INTERIOR</v>
          </cell>
        </row>
        <row r="2506">
          <cell r="C2506" t="str">
            <v>100003678</v>
          </cell>
          <cell r="D2506" t="str">
            <v>PUP-52135 05 FS VN-20KP</v>
          </cell>
          <cell r="E2506" t="str">
            <v>ZFGD</v>
          </cell>
          <cell r="F2506" t="str">
            <v>PC</v>
          </cell>
          <cell r="G2506" t="str">
            <v>1</v>
          </cell>
          <cell r="H2506" t="str">
            <v>INDUSTRY</v>
          </cell>
          <cell r="I2506" t="str">
            <v>11</v>
          </cell>
          <cell r="J2506" t="str">
            <v>WOOD COATINGS</v>
          </cell>
          <cell r="K2506" t="str">
            <v>1103</v>
          </cell>
          <cell r="L2506" t="str">
            <v>PU</v>
          </cell>
          <cell r="M2506" t="str">
            <v>110322</v>
          </cell>
          <cell r="N2506" t="str">
            <v>PU PRIMER</v>
          </cell>
        </row>
        <row r="2507">
          <cell r="C2507" t="str">
            <v>100003679</v>
          </cell>
          <cell r="D2507" t="str">
            <v>SST-11100 01 VC VN-20LJ</v>
          </cell>
          <cell r="E2507" t="str">
            <v>ZFGD</v>
          </cell>
          <cell r="F2507" t="str">
            <v>PC</v>
          </cell>
          <cell r="G2507" t="str">
            <v>1</v>
          </cell>
          <cell r="H2507" t="str">
            <v>INDUSTRY</v>
          </cell>
          <cell r="I2507" t="str">
            <v>11</v>
          </cell>
          <cell r="J2507" t="str">
            <v>WOOD COATINGS</v>
          </cell>
          <cell r="K2507" t="str">
            <v>1109</v>
          </cell>
          <cell r="L2507" t="str">
            <v>STAIN &amp; GLAZE INTERIOR</v>
          </cell>
          <cell r="M2507" t="str">
            <v>110903</v>
          </cell>
          <cell r="N2507" t="str">
            <v>STAIN INTERIOR</v>
          </cell>
        </row>
        <row r="2508">
          <cell r="C2508" t="str">
            <v>100003680</v>
          </cell>
          <cell r="D2508" t="str">
            <v>PCA-31100 05 FS VN-20LJ</v>
          </cell>
          <cell r="E2508" t="str">
            <v>ZFGD</v>
          </cell>
          <cell r="F2508" t="str">
            <v>PC</v>
          </cell>
          <cell r="G2508" t="str">
            <v>1</v>
          </cell>
          <cell r="H2508" t="str">
            <v>INDUSTRY</v>
          </cell>
          <cell r="I2508" t="str">
            <v>11</v>
          </cell>
          <cell r="J2508" t="str">
            <v>WOOD COATINGS</v>
          </cell>
          <cell r="K2508" t="str">
            <v>1118</v>
          </cell>
          <cell r="L2508" t="str">
            <v>COMPLEMENTARY</v>
          </cell>
          <cell r="M2508" t="str">
            <v>111807</v>
          </cell>
          <cell r="N2508" t="str">
            <v>PASTA</v>
          </cell>
        </row>
        <row r="2509">
          <cell r="C2509" t="str">
            <v>100003681</v>
          </cell>
          <cell r="D2509" t="str">
            <v>UVS-20600 LF YELLOW PASTE VN-5K</v>
          </cell>
          <cell r="E2509" t="str">
            <v>ZFGD</v>
          </cell>
          <cell r="F2509" t="str">
            <v>PC</v>
          </cell>
          <cell r="G2509" t="str">
            <v>1</v>
          </cell>
          <cell r="H2509" t="str">
            <v>INDUSTRY</v>
          </cell>
          <cell r="I2509" t="str">
            <v>11</v>
          </cell>
          <cell r="J2509" t="str">
            <v>WOOD COATINGS</v>
          </cell>
          <cell r="K2509" t="str">
            <v>1106</v>
          </cell>
          <cell r="L2509" t="str">
            <v>UV</v>
          </cell>
          <cell r="M2509" t="str">
            <v>110606</v>
          </cell>
          <cell r="N2509" t="str">
            <v>UV STAIN</v>
          </cell>
        </row>
        <row r="2510">
          <cell r="C2510" t="str">
            <v>100003682</v>
          </cell>
          <cell r="D2510" t="str">
            <v>UVS-20600 RF BLUE PASTE VN-5K</v>
          </cell>
          <cell r="E2510" t="str">
            <v>ZFGD</v>
          </cell>
          <cell r="F2510" t="str">
            <v>PC</v>
          </cell>
          <cell r="G2510" t="str">
            <v>1</v>
          </cell>
          <cell r="H2510" t="str">
            <v>INDUSTRY</v>
          </cell>
          <cell r="I2510" t="str">
            <v>11</v>
          </cell>
          <cell r="J2510" t="str">
            <v>WOOD COATINGS</v>
          </cell>
          <cell r="K2510" t="str">
            <v>1106</v>
          </cell>
          <cell r="L2510" t="str">
            <v>UV</v>
          </cell>
          <cell r="M2510" t="str">
            <v>110606</v>
          </cell>
          <cell r="N2510" t="str">
            <v>UV STAIN</v>
          </cell>
        </row>
        <row r="2511">
          <cell r="C2511" t="str">
            <v>100003683</v>
          </cell>
          <cell r="D2511" t="str">
            <v>UVS-20600 FAST RUBIN PASTE VN-5K</v>
          </cell>
          <cell r="E2511" t="str">
            <v>ZFGD</v>
          </cell>
          <cell r="F2511" t="str">
            <v>PC</v>
          </cell>
          <cell r="G2511" t="str">
            <v>1</v>
          </cell>
          <cell r="H2511" t="str">
            <v>INDUSTRY</v>
          </cell>
          <cell r="I2511" t="str">
            <v>11</v>
          </cell>
          <cell r="J2511" t="str">
            <v>WOOD COATINGS</v>
          </cell>
          <cell r="K2511" t="str">
            <v>1106</v>
          </cell>
          <cell r="L2511" t="str">
            <v>UV</v>
          </cell>
          <cell r="M2511" t="str">
            <v>110606</v>
          </cell>
          <cell r="N2511" t="str">
            <v>UV STAIN</v>
          </cell>
        </row>
        <row r="2512">
          <cell r="C2512" t="str">
            <v>100003684</v>
          </cell>
          <cell r="D2512" t="str">
            <v>UVS-20600 BLACK PASTE VN-5K</v>
          </cell>
          <cell r="E2512" t="str">
            <v>ZFGD</v>
          </cell>
          <cell r="F2512" t="str">
            <v>PC</v>
          </cell>
          <cell r="G2512" t="str">
            <v>1</v>
          </cell>
          <cell r="H2512" t="str">
            <v>INDUSTRY</v>
          </cell>
          <cell r="I2512" t="str">
            <v>11</v>
          </cell>
          <cell r="J2512" t="str">
            <v>WOOD COATINGS</v>
          </cell>
          <cell r="K2512" t="str">
            <v>1106</v>
          </cell>
          <cell r="L2512" t="str">
            <v>UV</v>
          </cell>
          <cell r="M2512" t="str">
            <v>110606</v>
          </cell>
          <cell r="N2512" t="str">
            <v>UV STAIN</v>
          </cell>
        </row>
        <row r="2513">
          <cell r="C2513" t="str">
            <v>100003685</v>
          </cell>
          <cell r="D2513" t="str">
            <v>UVS-20600 TRANSPARANT BASE VN-5K</v>
          </cell>
          <cell r="E2513" t="str">
            <v>ZFGD</v>
          </cell>
          <cell r="F2513" t="str">
            <v>PC</v>
          </cell>
          <cell r="G2513" t="str">
            <v>1</v>
          </cell>
          <cell r="H2513" t="str">
            <v>INDUSTRY</v>
          </cell>
          <cell r="I2513" t="str">
            <v>11</v>
          </cell>
          <cell r="J2513" t="str">
            <v>WOOD COATINGS</v>
          </cell>
          <cell r="K2513" t="str">
            <v>1106</v>
          </cell>
          <cell r="L2513" t="str">
            <v>UV</v>
          </cell>
          <cell r="M2513" t="str">
            <v>110606</v>
          </cell>
          <cell r="N2513" t="str">
            <v>UV STAIN</v>
          </cell>
        </row>
        <row r="2514">
          <cell r="C2514" t="str">
            <v>100003686</v>
          </cell>
          <cell r="D2514" t="str">
            <v>UVS-20600 WHITE PASTE VN-5K</v>
          </cell>
          <cell r="E2514" t="str">
            <v>ZFGD</v>
          </cell>
          <cell r="F2514" t="str">
            <v>PC</v>
          </cell>
          <cell r="G2514" t="str">
            <v>1</v>
          </cell>
          <cell r="H2514" t="str">
            <v>INDUSTRY</v>
          </cell>
          <cell r="I2514" t="str">
            <v>11</v>
          </cell>
          <cell r="J2514" t="str">
            <v>WOOD COATINGS</v>
          </cell>
          <cell r="K2514" t="str">
            <v>1106</v>
          </cell>
          <cell r="L2514" t="str">
            <v>UV</v>
          </cell>
          <cell r="M2514" t="str">
            <v>110606</v>
          </cell>
          <cell r="N2514" t="str">
            <v>UV STAIN</v>
          </cell>
        </row>
        <row r="2515">
          <cell r="C2515" t="str">
            <v>100003687</v>
          </cell>
          <cell r="D2515" t="str">
            <v>GZPU-21500 01 VC VN-18KP</v>
          </cell>
          <cell r="E2515" t="str">
            <v>ZFGD</v>
          </cell>
          <cell r="F2515" t="str">
            <v>PC</v>
          </cell>
          <cell r="G2515" t="str">
            <v>1</v>
          </cell>
          <cell r="H2515" t="str">
            <v>INDUSTRY</v>
          </cell>
          <cell r="I2515" t="str">
            <v>11</v>
          </cell>
          <cell r="J2515" t="str">
            <v>WOOD COATINGS</v>
          </cell>
          <cell r="K2515" t="str">
            <v>1103</v>
          </cell>
          <cell r="L2515" t="str">
            <v>PU</v>
          </cell>
          <cell r="M2515" t="str">
            <v>110302</v>
          </cell>
          <cell r="N2515" t="str">
            <v>GLAZE PU</v>
          </cell>
        </row>
        <row r="2516">
          <cell r="C2516" t="str">
            <v>100003688</v>
          </cell>
          <cell r="D2516" t="str">
            <v>SST-11100 05 LP VN-20LJ</v>
          </cell>
          <cell r="E2516" t="str">
            <v>ZFGD</v>
          </cell>
          <cell r="F2516" t="str">
            <v>PC</v>
          </cell>
          <cell r="G2516" t="str">
            <v>1</v>
          </cell>
          <cell r="H2516" t="str">
            <v>INDUSTRY</v>
          </cell>
          <cell r="I2516" t="str">
            <v>11</v>
          </cell>
          <cell r="J2516" t="str">
            <v>WOOD COATINGS</v>
          </cell>
          <cell r="K2516" t="str">
            <v>1109</v>
          </cell>
          <cell r="L2516" t="str">
            <v>STAIN &amp; GLAZE INTERIOR</v>
          </cell>
          <cell r="M2516" t="str">
            <v>110903</v>
          </cell>
          <cell r="N2516" t="str">
            <v>STAIN INTERIOR</v>
          </cell>
        </row>
        <row r="2517">
          <cell r="C2517" t="str">
            <v>100003689</v>
          </cell>
          <cell r="D2517" t="str">
            <v>PUC-54205 AC MA33 10 PV VN-20KP</v>
          </cell>
          <cell r="E2517" t="str">
            <v>ZFGD</v>
          </cell>
          <cell r="F2517" t="str">
            <v>PC</v>
          </cell>
          <cell r="G2517" t="str">
            <v>1</v>
          </cell>
          <cell r="H2517" t="str">
            <v>INDUSTRY</v>
          </cell>
          <cell r="I2517" t="str">
            <v>11</v>
          </cell>
          <cell r="J2517" t="str">
            <v>WOOD COATINGS</v>
          </cell>
          <cell r="K2517" t="str">
            <v>1103</v>
          </cell>
          <cell r="L2517" t="str">
            <v>PU</v>
          </cell>
          <cell r="M2517" t="str">
            <v>110319</v>
          </cell>
          <cell r="N2517" t="str">
            <v>PU COLOR</v>
          </cell>
        </row>
        <row r="2518">
          <cell r="C2518" t="str">
            <v>100003690</v>
          </cell>
          <cell r="D2518" t="str">
            <v>PUC-54205 AC MA20 10 PV VN-20KP</v>
          </cell>
          <cell r="E2518" t="str">
            <v>ZFGD</v>
          </cell>
          <cell r="F2518" t="str">
            <v>PC</v>
          </cell>
          <cell r="G2518" t="str">
            <v>1</v>
          </cell>
          <cell r="H2518" t="str">
            <v>INDUSTRY</v>
          </cell>
          <cell r="I2518" t="str">
            <v>11</v>
          </cell>
          <cell r="J2518" t="str">
            <v>WOOD COATINGS</v>
          </cell>
          <cell r="K2518" t="str">
            <v>1103</v>
          </cell>
          <cell r="L2518" t="str">
            <v>PU</v>
          </cell>
          <cell r="M2518" t="str">
            <v>110319</v>
          </cell>
          <cell r="N2518" t="str">
            <v>PU COLOR</v>
          </cell>
        </row>
        <row r="2519">
          <cell r="C2519" t="str">
            <v>100003691</v>
          </cell>
          <cell r="D2519" t="str">
            <v>PUC-54206 AC EX MA41 10 PV VN-20KP</v>
          </cell>
          <cell r="E2519" t="str">
            <v>ZFGD</v>
          </cell>
          <cell r="F2519" t="str">
            <v>PC</v>
          </cell>
          <cell r="G2519" t="str">
            <v>1</v>
          </cell>
          <cell r="H2519" t="str">
            <v>INDUSTRY</v>
          </cell>
          <cell r="I2519" t="str">
            <v>11</v>
          </cell>
          <cell r="J2519" t="str">
            <v>WOOD COATINGS</v>
          </cell>
          <cell r="K2519" t="str">
            <v>1103</v>
          </cell>
          <cell r="L2519" t="str">
            <v>PU</v>
          </cell>
          <cell r="M2519" t="str">
            <v>110319</v>
          </cell>
          <cell r="N2519" t="str">
            <v>PU COLOR</v>
          </cell>
        </row>
        <row r="2520">
          <cell r="C2520" t="str">
            <v>100003692</v>
          </cell>
          <cell r="D2520" t="str">
            <v>DP-12123 LC 07 LP VN-20KP</v>
          </cell>
          <cell r="E2520" t="str">
            <v>ZFGD</v>
          </cell>
          <cell r="F2520" t="str">
            <v>PC</v>
          </cell>
          <cell r="G2520" t="str">
            <v>1</v>
          </cell>
          <cell r="H2520" t="str">
            <v>INDUSTRY</v>
          </cell>
          <cell r="I2520" t="str">
            <v>11</v>
          </cell>
          <cell r="J2520" t="str">
            <v>WOOD COATINGS</v>
          </cell>
          <cell r="K2520" t="str">
            <v>1104</v>
          </cell>
          <cell r="L2520" t="str">
            <v>NC</v>
          </cell>
          <cell r="M2520" t="str">
            <v>110405</v>
          </cell>
          <cell r="N2520" t="str">
            <v>NC SYSTEM</v>
          </cell>
        </row>
        <row r="2521">
          <cell r="C2521" t="str">
            <v>100003693</v>
          </cell>
          <cell r="D2521" t="str">
            <v>DC-12223 LC 07 30 LP VN-20KP</v>
          </cell>
          <cell r="E2521" t="str">
            <v>ZFGD</v>
          </cell>
          <cell r="F2521" t="str">
            <v>PC</v>
          </cell>
          <cell r="G2521" t="str">
            <v>1</v>
          </cell>
          <cell r="H2521" t="str">
            <v>INDUSTRY</v>
          </cell>
          <cell r="I2521" t="str">
            <v>11</v>
          </cell>
          <cell r="J2521" t="str">
            <v>WOOD COATINGS</v>
          </cell>
          <cell r="K2521" t="str">
            <v>1104</v>
          </cell>
          <cell r="L2521" t="str">
            <v>NC</v>
          </cell>
          <cell r="M2521" t="str">
            <v>110405</v>
          </cell>
          <cell r="N2521" t="str">
            <v>NC SYSTEM</v>
          </cell>
        </row>
        <row r="2522">
          <cell r="C2522" t="str">
            <v>100003694</v>
          </cell>
          <cell r="D2522" t="str">
            <v>MPUL-13700 60 VN-16KP</v>
          </cell>
          <cell r="E2522" t="str">
            <v>ZFGD</v>
          </cell>
          <cell r="F2522" t="str">
            <v>PC</v>
          </cell>
          <cell r="G2522" t="str">
            <v>1</v>
          </cell>
          <cell r="H2522" t="str">
            <v>INDUSTRY</v>
          </cell>
          <cell r="I2522" t="str">
            <v>16</v>
          </cell>
          <cell r="J2522" t="str">
            <v>METAL COATINGS</v>
          </cell>
          <cell r="K2522" t="str">
            <v>1601</v>
          </cell>
          <cell r="L2522" t="str">
            <v>METAL COATINGS</v>
          </cell>
          <cell r="M2522" t="str">
            <v>160101</v>
          </cell>
          <cell r="N2522" t="str">
            <v>METAL COATINGS</v>
          </cell>
        </row>
        <row r="2523">
          <cell r="C2523" t="str">
            <v>100003695</v>
          </cell>
          <cell r="D2523" t="str">
            <v>PUP-52141 09 VT VN-20KP</v>
          </cell>
          <cell r="E2523" t="str">
            <v>ZFGD</v>
          </cell>
          <cell r="F2523" t="str">
            <v>PC</v>
          </cell>
          <cell r="G2523" t="str">
            <v>1</v>
          </cell>
          <cell r="H2523" t="str">
            <v>INDUSTRY</v>
          </cell>
          <cell r="I2523" t="str">
            <v>11</v>
          </cell>
          <cell r="J2523" t="str">
            <v>WOOD COATINGS</v>
          </cell>
          <cell r="K2523" t="str">
            <v>1103</v>
          </cell>
          <cell r="L2523" t="str">
            <v>PU</v>
          </cell>
          <cell r="M2523" t="str">
            <v>110322</v>
          </cell>
          <cell r="N2523" t="str">
            <v>PU PRIMER</v>
          </cell>
        </row>
        <row r="2524">
          <cell r="C2524" t="str">
            <v>100003696</v>
          </cell>
          <cell r="D2524" t="str">
            <v>SST-11100 09 VT VN-20LJ</v>
          </cell>
          <cell r="E2524" t="str">
            <v>ZFGD</v>
          </cell>
          <cell r="F2524" t="str">
            <v>PC</v>
          </cell>
          <cell r="G2524" t="str">
            <v>1</v>
          </cell>
          <cell r="H2524" t="str">
            <v>INDUSTRY</v>
          </cell>
          <cell r="I2524" t="str">
            <v>11</v>
          </cell>
          <cell r="J2524" t="str">
            <v>WOOD COATINGS</v>
          </cell>
          <cell r="K2524" t="str">
            <v>1109</v>
          </cell>
          <cell r="L2524" t="str">
            <v>STAIN &amp; GLAZE INTERIOR</v>
          </cell>
          <cell r="M2524" t="str">
            <v>110903</v>
          </cell>
          <cell r="N2524" t="str">
            <v>STAIN INTERIOR</v>
          </cell>
        </row>
        <row r="2525">
          <cell r="C2525" t="str">
            <v>100003697</v>
          </cell>
          <cell r="D2525" t="str">
            <v>PUP-54106 AC EX DONG WI GE VN-20KP</v>
          </cell>
          <cell r="E2525" t="str">
            <v>ZFGD</v>
          </cell>
          <cell r="F2525" t="str">
            <v>PC</v>
          </cell>
          <cell r="G2525" t="str">
            <v>1</v>
          </cell>
          <cell r="H2525" t="str">
            <v>INDUSTRY</v>
          </cell>
          <cell r="I2525" t="str">
            <v>11</v>
          </cell>
          <cell r="J2525" t="str">
            <v>WOOD COATINGS</v>
          </cell>
          <cell r="K2525" t="str">
            <v>1103</v>
          </cell>
          <cell r="L2525" t="str">
            <v>PU</v>
          </cell>
          <cell r="M2525" t="str">
            <v>110322</v>
          </cell>
          <cell r="N2525" t="str">
            <v>PU PRIMER</v>
          </cell>
        </row>
        <row r="2526">
          <cell r="C2526" t="str">
            <v>100003698</v>
          </cell>
          <cell r="D2526" t="str">
            <v>PCL-31300 DONG WI GE VN-20LJ</v>
          </cell>
          <cell r="E2526" t="str">
            <v>ZFGD</v>
          </cell>
          <cell r="F2526" t="str">
            <v>PC</v>
          </cell>
          <cell r="G2526" t="str">
            <v>1</v>
          </cell>
          <cell r="H2526" t="str">
            <v>INDUSTRY</v>
          </cell>
          <cell r="I2526" t="str">
            <v>11</v>
          </cell>
          <cell r="J2526" t="str">
            <v>WOOD COATINGS</v>
          </cell>
          <cell r="K2526" t="str">
            <v>1118</v>
          </cell>
          <cell r="L2526" t="str">
            <v>COMPLEMENTARY</v>
          </cell>
          <cell r="M2526" t="str">
            <v>111807</v>
          </cell>
          <cell r="N2526" t="str">
            <v>PASTA</v>
          </cell>
        </row>
        <row r="2527">
          <cell r="C2527" t="str">
            <v>100003699</v>
          </cell>
          <cell r="D2527" t="str">
            <v>PUP-54111 AC WHITE GE VN-20KP</v>
          </cell>
          <cell r="E2527" t="str">
            <v>ZFGD</v>
          </cell>
          <cell r="F2527" t="str">
            <v>PC</v>
          </cell>
          <cell r="G2527" t="str">
            <v>1</v>
          </cell>
          <cell r="H2527" t="str">
            <v>INDUSTRY</v>
          </cell>
          <cell r="I2527" t="str">
            <v>11</v>
          </cell>
          <cell r="J2527" t="str">
            <v>WOOD COATINGS</v>
          </cell>
          <cell r="K2527" t="str">
            <v>1103</v>
          </cell>
          <cell r="L2527" t="str">
            <v>PU</v>
          </cell>
          <cell r="M2527" t="str">
            <v>110322</v>
          </cell>
          <cell r="N2527" t="str">
            <v>PU PRIMER</v>
          </cell>
        </row>
        <row r="2528">
          <cell r="C2528" t="str">
            <v>100003700</v>
          </cell>
          <cell r="D2528" t="str">
            <v>PUP-52141 MA01 PV VN-20KP</v>
          </cell>
          <cell r="E2528" t="str">
            <v>ZFGD</v>
          </cell>
          <cell r="F2528" t="str">
            <v>PC</v>
          </cell>
          <cell r="G2528" t="str">
            <v>1</v>
          </cell>
          <cell r="H2528" t="str">
            <v>INDUSTRY</v>
          </cell>
          <cell r="I2528" t="str">
            <v>11</v>
          </cell>
          <cell r="J2528" t="str">
            <v>WOOD COATINGS</v>
          </cell>
          <cell r="K2528" t="str">
            <v>1103</v>
          </cell>
          <cell r="L2528" t="str">
            <v>PU</v>
          </cell>
          <cell r="M2528" t="str">
            <v>110322</v>
          </cell>
          <cell r="N2528" t="str">
            <v>PU PRIMER</v>
          </cell>
        </row>
        <row r="2529">
          <cell r="C2529" t="str">
            <v>100003701</v>
          </cell>
          <cell r="D2529" t="str">
            <v>PUC-54206 AC EX MA01 10 PV VN-20KP</v>
          </cell>
          <cell r="E2529" t="str">
            <v>ZFGD</v>
          </cell>
          <cell r="F2529" t="str">
            <v>PC</v>
          </cell>
          <cell r="G2529" t="str">
            <v>1</v>
          </cell>
          <cell r="H2529" t="str">
            <v>INDUSTRY</v>
          </cell>
          <cell r="I2529" t="str">
            <v>11</v>
          </cell>
          <cell r="J2529" t="str">
            <v>WOOD COATINGS</v>
          </cell>
          <cell r="K2529" t="str">
            <v>1103</v>
          </cell>
          <cell r="L2529" t="str">
            <v>PU</v>
          </cell>
          <cell r="M2529" t="str">
            <v>110319</v>
          </cell>
          <cell r="N2529" t="str">
            <v>PU COLOR</v>
          </cell>
        </row>
        <row r="2530">
          <cell r="C2530" t="str">
            <v>100003702</v>
          </cell>
          <cell r="D2530" t="str">
            <v>PUC-54205 AC MA24 10 PV VN-20KP</v>
          </cell>
          <cell r="E2530" t="str">
            <v>ZFGD</v>
          </cell>
          <cell r="F2530" t="str">
            <v>PC</v>
          </cell>
          <cell r="G2530" t="str">
            <v>1</v>
          </cell>
          <cell r="H2530" t="str">
            <v>INDUSTRY</v>
          </cell>
          <cell r="I2530" t="str">
            <v>11</v>
          </cell>
          <cell r="J2530" t="str">
            <v>WOOD COATINGS</v>
          </cell>
          <cell r="K2530" t="str">
            <v>1103</v>
          </cell>
          <cell r="L2530" t="str">
            <v>PU</v>
          </cell>
          <cell r="M2530" t="str">
            <v>110319</v>
          </cell>
          <cell r="N2530" t="str">
            <v>PU COLOR</v>
          </cell>
        </row>
        <row r="2531">
          <cell r="C2531" t="str">
            <v>100003703</v>
          </cell>
          <cell r="D2531" t="str">
            <v>PUC-54205 AC MA19 10 PV VN-20KP</v>
          </cell>
          <cell r="E2531" t="str">
            <v>ZFGD</v>
          </cell>
          <cell r="F2531" t="str">
            <v>PC</v>
          </cell>
          <cell r="G2531" t="str">
            <v>1</v>
          </cell>
          <cell r="H2531" t="str">
            <v>INDUSTRY</v>
          </cell>
          <cell r="I2531" t="str">
            <v>11</v>
          </cell>
          <cell r="J2531" t="str">
            <v>WOOD COATINGS</v>
          </cell>
          <cell r="K2531" t="str">
            <v>1103</v>
          </cell>
          <cell r="L2531" t="str">
            <v>PU</v>
          </cell>
          <cell r="M2531" t="str">
            <v>110319</v>
          </cell>
          <cell r="N2531" t="str">
            <v>PU COLOR</v>
          </cell>
        </row>
        <row r="2532">
          <cell r="C2532" t="str">
            <v>100003704</v>
          </cell>
          <cell r="D2532" t="str">
            <v>PUC-54206 AC EX MA04 10 PV VN-20KP</v>
          </cell>
          <cell r="E2532" t="str">
            <v>ZFGD</v>
          </cell>
          <cell r="F2532" t="str">
            <v>PC</v>
          </cell>
          <cell r="G2532" t="str">
            <v>1</v>
          </cell>
          <cell r="H2532" t="str">
            <v>INDUSTRY</v>
          </cell>
          <cell r="I2532" t="str">
            <v>11</v>
          </cell>
          <cell r="J2532" t="str">
            <v>WOOD COATINGS</v>
          </cell>
          <cell r="K2532" t="str">
            <v>1103</v>
          </cell>
          <cell r="L2532" t="str">
            <v>PU</v>
          </cell>
          <cell r="M2532" t="str">
            <v>110319</v>
          </cell>
          <cell r="N2532" t="str">
            <v>PU COLOR</v>
          </cell>
        </row>
        <row r="2533">
          <cell r="C2533" t="str">
            <v>100003705</v>
          </cell>
          <cell r="D2533" t="str">
            <v>PUC-54206 AC EX MA23 10 PV VN-20KP</v>
          </cell>
          <cell r="E2533" t="str">
            <v>ZFGD</v>
          </cell>
          <cell r="F2533" t="str">
            <v>PC</v>
          </cell>
          <cell r="G2533" t="str">
            <v>1</v>
          </cell>
          <cell r="H2533" t="str">
            <v>INDUSTRY</v>
          </cell>
          <cell r="I2533" t="str">
            <v>11</v>
          </cell>
          <cell r="J2533" t="str">
            <v>WOOD COATINGS</v>
          </cell>
          <cell r="K2533" t="str">
            <v>1103</v>
          </cell>
          <cell r="L2533" t="str">
            <v>PU</v>
          </cell>
          <cell r="M2533" t="str">
            <v>110319</v>
          </cell>
          <cell r="N2533" t="str">
            <v>PU COLOR</v>
          </cell>
        </row>
        <row r="2534">
          <cell r="C2534" t="str">
            <v>100003706</v>
          </cell>
          <cell r="D2534" t="str">
            <v>PUC-54205 AC MA28 10 PV VN-20KP</v>
          </cell>
          <cell r="E2534" t="str">
            <v>ZFGD</v>
          </cell>
          <cell r="F2534" t="str">
            <v>PC</v>
          </cell>
          <cell r="G2534" t="str">
            <v>1</v>
          </cell>
          <cell r="H2534" t="str">
            <v>INDUSTRY</v>
          </cell>
          <cell r="I2534" t="str">
            <v>11</v>
          </cell>
          <cell r="J2534" t="str">
            <v>WOOD COATINGS</v>
          </cell>
          <cell r="K2534" t="str">
            <v>1103</v>
          </cell>
          <cell r="L2534" t="str">
            <v>PU</v>
          </cell>
          <cell r="M2534" t="str">
            <v>110319</v>
          </cell>
          <cell r="N2534" t="str">
            <v>PU COLOR</v>
          </cell>
        </row>
        <row r="2535">
          <cell r="C2535" t="str">
            <v>100003707</v>
          </cell>
          <cell r="D2535" t="str">
            <v>PUC-54205 AC 001 10 AH VN-20KP</v>
          </cell>
          <cell r="E2535" t="str">
            <v>ZFGD</v>
          </cell>
          <cell r="F2535" t="str">
            <v>PC</v>
          </cell>
          <cell r="G2535" t="str">
            <v>1</v>
          </cell>
          <cell r="H2535" t="str">
            <v>INDUSTRY</v>
          </cell>
          <cell r="I2535" t="str">
            <v>11</v>
          </cell>
          <cell r="J2535" t="str">
            <v>WOOD COATINGS</v>
          </cell>
          <cell r="K2535" t="str">
            <v>1103</v>
          </cell>
          <cell r="L2535" t="str">
            <v>PU</v>
          </cell>
          <cell r="M2535" t="str">
            <v>110319</v>
          </cell>
          <cell r="N2535" t="str">
            <v>PU COLOR</v>
          </cell>
        </row>
        <row r="2536">
          <cell r="C2536" t="str">
            <v>100003708</v>
          </cell>
          <cell r="D2536" t="str">
            <v>64-56 MICRO FILLER 002 AH VN-20KP</v>
          </cell>
          <cell r="E2536" t="str">
            <v>ZFGD</v>
          </cell>
          <cell r="F2536" t="str">
            <v>PC</v>
          </cell>
          <cell r="G2536" t="str">
            <v>1</v>
          </cell>
          <cell r="H2536" t="str">
            <v>INDUSTRY</v>
          </cell>
          <cell r="I2536" t="str">
            <v>11</v>
          </cell>
          <cell r="J2536" t="str">
            <v>WOOD COATINGS</v>
          </cell>
          <cell r="K2536" t="str">
            <v>1103</v>
          </cell>
          <cell r="L2536" t="str">
            <v>PU</v>
          </cell>
          <cell r="M2536" t="str">
            <v>110305</v>
          </cell>
          <cell r="N2536" t="str">
            <v>UNION FILLER</v>
          </cell>
        </row>
        <row r="2537">
          <cell r="C2537" t="str">
            <v>100003709</v>
          </cell>
          <cell r="D2537" t="str">
            <v>SST-11100 002 AH VN-20LJ</v>
          </cell>
          <cell r="E2537" t="str">
            <v>ZFGD</v>
          </cell>
          <cell r="F2537" t="str">
            <v>PC</v>
          </cell>
          <cell r="G2537" t="str">
            <v>1</v>
          </cell>
          <cell r="H2537" t="str">
            <v>INDUSTRY</v>
          </cell>
          <cell r="I2537" t="str">
            <v>11</v>
          </cell>
          <cell r="J2537" t="str">
            <v>WOOD COATINGS</v>
          </cell>
          <cell r="K2537" t="str">
            <v>1109</v>
          </cell>
          <cell r="L2537" t="str">
            <v>STAIN &amp; GLAZE INTERIOR</v>
          </cell>
          <cell r="M2537" t="str">
            <v>110903</v>
          </cell>
          <cell r="N2537" t="str">
            <v>STAIN INTERIOR</v>
          </cell>
        </row>
        <row r="2538">
          <cell r="C2538" t="str">
            <v>100003710</v>
          </cell>
          <cell r="D2538" t="str">
            <v>MEP-12003 10 AL VN-20KP</v>
          </cell>
          <cell r="E2538" t="str">
            <v>ZFGD</v>
          </cell>
          <cell r="F2538" t="str">
            <v>PC</v>
          </cell>
          <cell r="G2538" t="str">
            <v>1</v>
          </cell>
          <cell r="H2538" t="str">
            <v>INDUSTRY</v>
          </cell>
          <cell r="I2538" t="str">
            <v>16</v>
          </cell>
          <cell r="J2538" t="str">
            <v>METAL COATINGS</v>
          </cell>
          <cell r="K2538" t="str">
            <v>1601</v>
          </cell>
          <cell r="L2538" t="str">
            <v>METAL COATINGS</v>
          </cell>
          <cell r="M2538" t="str">
            <v>160101</v>
          </cell>
          <cell r="N2538" t="str">
            <v>METAL COATINGS</v>
          </cell>
        </row>
        <row r="2539">
          <cell r="C2539" t="str">
            <v>100003711</v>
          </cell>
          <cell r="D2539" t="str">
            <v>PCA-31100 10 AL VN-20LJ</v>
          </cell>
          <cell r="E2539" t="str">
            <v>ZFGD</v>
          </cell>
          <cell r="F2539" t="str">
            <v>PC</v>
          </cell>
          <cell r="G2539" t="str">
            <v>1</v>
          </cell>
          <cell r="H2539" t="str">
            <v>INDUSTRY</v>
          </cell>
          <cell r="I2539" t="str">
            <v>11</v>
          </cell>
          <cell r="J2539" t="str">
            <v>WOOD COATINGS</v>
          </cell>
          <cell r="K2539" t="str">
            <v>1118</v>
          </cell>
          <cell r="L2539" t="str">
            <v>COMPLEMENTARY</v>
          </cell>
          <cell r="M2539" t="str">
            <v>111807</v>
          </cell>
          <cell r="N2539" t="str">
            <v>PASTA</v>
          </cell>
        </row>
        <row r="2540">
          <cell r="C2540" t="str">
            <v>100003712</v>
          </cell>
          <cell r="D2540" t="str">
            <v>#NUPUL-51335 LY CLEAR 10 VN-20LP</v>
          </cell>
          <cell r="E2540" t="str">
            <v>ZFGD</v>
          </cell>
          <cell r="F2540" t="str">
            <v>PC</v>
          </cell>
          <cell r="G2540" t="str">
            <v>1</v>
          </cell>
          <cell r="H2540" t="str">
            <v>INDUSTRY</v>
          </cell>
          <cell r="I2540" t="str">
            <v>11</v>
          </cell>
          <cell r="J2540" t="str">
            <v>WOOD COATINGS</v>
          </cell>
          <cell r="K2540" t="str">
            <v>1103</v>
          </cell>
          <cell r="L2540" t="str">
            <v>PU</v>
          </cell>
          <cell r="M2540" t="str">
            <v>110304</v>
          </cell>
          <cell r="N2540" t="str">
            <v>PU SYSTEM</v>
          </cell>
        </row>
        <row r="2541">
          <cell r="C2541" t="str">
            <v>100003715</v>
          </cell>
          <cell r="D2541" t="str">
            <v>MPUC-13600 GREY RAL 7022 20 VN-16KP</v>
          </cell>
          <cell r="E2541" t="str">
            <v>ZFGD</v>
          </cell>
          <cell r="F2541" t="str">
            <v>PC</v>
          </cell>
          <cell r="G2541" t="str">
            <v>1</v>
          </cell>
          <cell r="H2541" t="str">
            <v>INDUSTRY</v>
          </cell>
          <cell r="I2541" t="str">
            <v>16</v>
          </cell>
          <cell r="J2541" t="str">
            <v>METAL COATINGS</v>
          </cell>
          <cell r="K2541" t="str">
            <v>1601</v>
          </cell>
          <cell r="L2541" t="str">
            <v>METAL COATINGS</v>
          </cell>
          <cell r="M2541" t="str">
            <v>160101</v>
          </cell>
          <cell r="N2541" t="str">
            <v>METAL COATINGS</v>
          </cell>
        </row>
        <row r="2542">
          <cell r="C2542" t="str">
            <v>100003716</v>
          </cell>
          <cell r="D2542" t="str">
            <v>PUH-56135 LY VN-20LP</v>
          </cell>
          <cell r="E2542" t="str">
            <v>ZFGD</v>
          </cell>
          <cell r="F2542" t="str">
            <v>PC</v>
          </cell>
          <cell r="G2542" t="str">
            <v>1</v>
          </cell>
          <cell r="H2542" t="str">
            <v>INDUSTRY</v>
          </cell>
          <cell r="I2542" t="str">
            <v>11</v>
          </cell>
          <cell r="J2542" t="str">
            <v>WOOD COATINGS</v>
          </cell>
          <cell r="K2542" t="str">
            <v>1103</v>
          </cell>
          <cell r="L2542" t="str">
            <v>PU</v>
          </cell>
          <cell r="M2542" t="str">
            <v>110320</v>
          </cell>
          <cell r="N2542" t="str">
            <v>PU HARDENER</v>
          </cell>
        </row>
        <row r="2543">
          <cell r="C2543" t="str">
            <v>100003717</v>
          </cell>
          <cell r="D2543" t="str">
            <v>PUC-54206 AC EX RED 30 SD VN-18KP</v>
          </cell>
          <cell r="E2543" t="str">
            <v>ZFGD</v>
          </cell>
          <cell r="F2543" t="str">
            <v>PC</v>
          </cell>
          <cell r="G2543" t="str">
            <v>1</v>
          </cell>
          <cell r="H2543" t="str">
            <v>INDUSTRY</v>
          </cell>
          <cell r="I2543" t="str">
            <v>11</v>
          </cell>
          <cell r="J2543" t="str">
            <v>WOOD COATINGS</v>
          </cell>
          <cell r="K2543" t="str">
            <v>1103</v>
          </cell>
          <cell r="L2543" t="str">
            <v>PU</v>
          </cell>
          <cell r="M2543" t="str">
            <v>110319</v>
          </cell>
          <cell r="N2543" t="str">
            <v>PU COLOR</v>
          </cell>
        </row>
        <row r="2544">
          <cell r="C2544" t="str">
            <v>100003718</v>
          </cell>
          <cell r="D2544" t="str">
            <v>SST-11100 MWRG06 A GE VN-20LJ</v>
          </cell>
          <cell r="E2544" t="str">
            <v>ZFGD</v>
          </cell>
          <cell r="F2544" t="str">
            <v>PC</v>
          </cell>
          <cell r="G2544" t="str">
            <v>1</v>
          </cell>
          <cell r="H2544" t="str">
            <v>INDUSTRY</v>
          </cell>
          <cell r="I2544" t="str">
            <v>11</v>
          </cell>
          <cell r="J2544" t="str">
            <v>WOOD COATINGS</v>
          </cell>
          <cell r="K2544" t="str">
            <v>1109</v>
          </cell>
          <cell r="L2544" t="str">
            <v>STAIN &amp; GLAZE INTERIOR</v>
          </cell>
          <cell r="M2544" t="str">
            <v>110903</v>
          </cell>
          <cell r="N2544" t="str">
            <v>STAIN INTERIOR</v>
          </cell>
        </row>
        <row r="2545">
          <cell r="C2545" t="str">
            <v>100003719</v>
          </cell>
          <cell r="D2545" t="str">
            <v>SST-11100 MWRG06 B GE VN-20LJ</v>
          </cell>
          <cell r="E2545" t="str">
            <v>ZFGD</v>
          </cell>
          <cell r="F2545" t="str">
            <v>PC</v>
          </cell>
          <cell r="G2545" t="str">
            <v>1</v>
          </cell>
          <cell r="H2545" t="str">
            <v>INDUSTRY</v>
          </cell>
          <cell r="I2545" t="str">
            <v>11</v>
          </cell>
          <cell r="J2545" t="str">
            <v>WOOD COATINGS</v>
          </cell>
          <cell r="K2545" t="str">
            <v>1109</v>
          </cell>
          <cell r="L2545" t="str">
            <v>STAIN &amp; GLAZE INTERIOR</v>
          </cell>
          <cell r="M2545" t="str">
            <v>110903</v>
          </cell>
          <cell r="N2545" t="str">
            <v>STAIN INTERIOR</v>
          </cell>
        </row>
        <row r="2546">
          <cell r="C2546" t="str">
            <v>100003720</v>
          </cell>
          <cell r="D2546" t="str">
            <v>GZPU-21500 MWRG06 GE VN-18KP</v>
          </cell>
          <cell r="E2546" t="str">
            <v>ZFGD</v>
          </cell>
          <cell r="F2546" t="str">
            <v>PC</v>
          </cell>
          <cell r="G2546" t="str">
            <v>1</v>
          </cell>
          <cell r="H2546" t="str">
            <v>INDUSTRY</v>
          </cell>
          <cell r="I2546" t="str">
            <v>11</v>
          </cell>
          <cell r="J2546" t="str">
            <v>WOOD COATINGS</v>
          </cell>
          <cell r="K2546" t="str">
            <v>1103</v>
          </cell>
          <cell r="L2546" t="str">
            <v>PU</v>
          </cell>
          <cell r="M2546" t="str">
            <v>110302</v>
          </cell>
          <cell r="N2546" t="str">
            <v>GLAZE PU</v>
          </cell>
        </row>
        <row r="2547">
          <cell r="C2547" t="str">
            <v>100003721</v>
          </cell>
          <cell r="D2547" t="str">
            <v>WBSS-61104 HS N VN-20KP</v>
          </cell>
          <cell r="E2547" t="str">
            <v>ZFGD</v>
          </cell>
          <cell r="F2547" t="str">
            <v>PC</v>
          </cell>
          <cell r="G2547" t="str">
            <v>1</v>
          </cell>
          <cell r="H2547" t="str">
            <v>INDUSTRY</v>
          </cell>
          <cell r="I2547" t="str">
            <v>11</v>
          </cell>
          <cell r="J2547" t="str">
            <v>WOOD COATINGS</v>
          </cell>
          <cell r="K2547" t="str">
            <v>1119</v>
          </cell>
          <cell r="L2547" t="str">
            <v>WATERBASED</v>
          </cell>
          <cell r="M2547" t="str">
            <v>111902</v>
          </cell>
          <cell r="N2547" t="str">
            <v>WATERBASED SYSTEM INTERIOR</v>
          </cell>
        </row>
        <row r="2548">
          <cell r="C2548" t="str">
            <v>100003722</v>
          </cell>
          <cell r="D2548" t="str">
            <v>PUL-51335 LY CLEAR 10 VN-20KP</v>
          </cell>
          <cell r="E2548" t="str">
            <v>ZFGD</v>
          </cell>
          <cell r="F2548" t="str">
            <v>PC</v>
          </cell>
          <cell r="G2548" t="str">
            <v>1</v>
          </cell>
          <cell r="H2548" t="str">
            <v>INDUSTRY</v>
          </cell>
          <cell r="I2548" t="str">
            <v>11</v>
          </cell>
          <cell r="J2548" t="str">
            <v>WOOD COATINGS</v>
          </cell>
          <cell r="K2548" t="str">
            <v>1103</v>
          </cell>
          <cell r="L2548" t="str">
            <v>PU</v>
          </cell>
          <cell r="M2548" t="str">
            <v>110321</v>
          </cell>
          <cell r="N2548" t="str">
            <v>PU LACQUER</v>
          </cell>
        </row>
        <row r="2549">
          <cell r="C2549" t="str">
            <v>100003724</v>
          </cell>
          <cell r="D2549" t="str">
            <v>WBP-1621 WHI JNF VN-20KP</v>
          </cell>
          <cell r="E2549" t="str">
            <v>ZFGD</v>
          </cell>
          <cell r="F2549" t="str">
            <v>PC</v>
          </cell>
          <cell r="G2549" t="str">
            <v>1</v>
          </cell>
          <cell r="H2549" t="str">
            <v>INDUSTRY</v>
          </cell>
          <cell r="I2549" t="str">
            <v>11</v>
          </cell>
          <cell r="J2549" t="str">
            <v>WOOD COATINGS</v>
          </cell>
          <cell r="K2549" t="str">
            <v>1119</v>
          </cell>
          <cell r="L2549" t="str">
            <v>WATERBASED</v>
          </cell>
          <cell r="M2549" t="str">
            <v>111902</v>
          </cell>
          <cell r="N2549" t="str">
            <v>WATERBASED SYSTEM INTERIOR</v>
          </cell>
        </row>
        <row r="2550">
          <cell r="C2550" t="str">
            <v>100003725</v>
          </cell>
          <cell r="D2550" t="str">
            <v>PUH-56143 VN-4L</v>
          </cell>
          <cell r="E2550" t="str">
            <v>ZFGD</v>
          </cell>
          <cell r="F2550" t="str">
            <v>PC</v>
          </cell>
          <cell r="G2550" t="str">
            <v>1</v>
          </cell>
          <cell r="H2550" t="str">
            <v>INDUSTRY</v>
          </cell>
          <cell r="I2550" t="str">
            <v>11</v>
          </cell>
          <cell r="J2550" t="str">
            <v>WOOD COATINGS</v>
          </cell>
          <cell r="K2550" t="str">
            <v>1103</v>
          </cell>
          <cell r="L2550" t="str">
            <v>PU</v>
          </cell>
          <cell r="M2550" t="str">
            <v>110320</v>
          </cell>
          <cell r="N2550" t="str">
            <v>PU HARDENER</v>
          </cell>
        </row>
        <row r="2551">
          <cell r="C2551" t="str">
            <v>100003726</v>
          </cell>
          <cell r="D2551" t="str">
            <v>WBC-62208 02 30 NT VN-20KP</v>
          </cell>
          <cell r="E2551" t="str">
            <v>ZFGD</v>
          </cell>
          <cell r="F2551" t="str">
            <v>PC</v>
          </cell>
          <cell r="G2551" t="str">
            <v>1</v>
          </cell>
          <cell r="H2551" t="str">
            <v>INDUSTRY</v>
          </cell>
          <cell r="I2551" t="str">
            <v>11</v>
          </cell>
          <cell r="J2551" t="str">
            <v>WOOD COATINGS</v>
          </cell>
          <cell r="K2551" t="str">
            <v>1119</v>
          </cell>
          <cell r="L2551" t="str">
            <v>WATERBASED</v>
          </cell>
          <cell r="M2551" t="str">
            <v>111902</v>
          </cell>
          <cell r="N2551" t="str">
            <v>WATERBASED SYSTEM INTERIOR</v>
          </cell>
        </row>
        <row r="2552">
          <cell r="C2552" t="str">
            <v>100003727</v>
          </cell>
          <cell r="D2552" t="str">
            <v>WBSS-61104 HS VN-20KP</v>
          </cell>
          <cell r="E2552" t="str">
            <v>ZFGD</v>
          </cell>
          <cell r="F2552" t="str">
            <v>PC</v>
          </cell>
          <cell r="G2552" t="str">
            <v>1</v>
          </cell>
          <cell r="H2552" t="str">
            <v>INDUSTRY</v>
          </cell>
          <cell r="I2552" t="str">
            <v>11</v>
          </cell>
          <cell r="J2552" t="str">
            <v>WOOD COATINGS</v>
          </cell>
          <cell r="K2552" t="str">
            <v>1119</v>
          </cell>
          <cell r="L2552" t="str">
            <v>WATERBASED</v>
          </cell>
          <cell r="M2552" t="str">
            <v>111902</v>
          </cell>
          <cell r="N2552" t="str">
            <v>WATERBASED SYSTEM INTERIOR</v>
          </cell>
        </row>
        <row r="2553">
          <cell r="C2553" t="str">
            <v>100003728</v>
          </cell>
          <cell r="D2553" t="str">
            <v>WBSS-61104 VN-20KP</v>
          </cell>
          <cell r="E2553" t="str">
            <v>ZFGD</v>
          </cell>
          <cell r="F2553" t="str">
            <v>PC</v>
          </cell>
          <cell r="G2553" t="str">
            <v>1</v>
          </cell>
          <cell r="H2553" t="str">
            <v>INDUSTRY</v>
          </cell>
          <cell r="I2553" t="str">
            <v>11</v>
          </cell>
          <cell r="J2553" t="str">
            <v>WOOD COATINGS</v>
          </cell>
          <cell r="K2553" t="str">
            <v>1119</v>
          </cell>
          <cell r="L2553" t="str">
            <v>WATERBASED</v>
          </cell>
          <cell r="M2553" t="str">
            <v>111902</v>
          </cell>
          <cell r="N2553" t="str">
            <v>WATERBASED SYSTEM INTERIOR</v>
          </cell>
        </row>
        <row r="2554">
          <cell r="C2554" t="str">
            <v>100003729</v>
          </cell>
          <cell r="D2554" t="str">
            <v>WBL-63211 EX CLEAR 30 VN-20KP</v>
          </cell>
          <cell r="E2554" t="str">
            <v>ZFGD</v>
          </cell>
          <cell r="F2554" t="str">
            <v>PC</v>
          </cell>
          <cell r="G2554" t="str">
            <v>1</v>
          </cell>
          <cell r="H2554" t="str">
            <v>INDUSTRY</v>
          </cell>
          <cell r="I2554" t="str">
            <v>11</v>
          </cell>
          <cell r="J2554" t="str">
            <v>WOOD COATINGS</v>
          </cell>
          <cell r="K2554" t="str">
            <v>1119</v>
          </cell>
          <cell r="L2554" t="str">
            <v>WATERBASED</v>
          </cell>
          <cell r="M2554" t="str">
            <v>111901</v>
          </cell>
          <cell r="N2554" t="str">
            <v>WATERBASED SYSTEM EXTERIOR</v>
          </cell>
        </row>
        <row r="2555">
          <cell r="C2555" t="str">
            <v>100003730</v>
          </cell>
          <cell r="D2555" t="str">
            <v>PCA-31100 MAARTEN TL VN-20LJ</v>
          </cell>
          <cell r="E2555" t="str">
            <v>ZFGD</v>
          </cell>
          <cell r="F2555" t="str">
            <v>PC</v>
          </cell>
          <cell r="G2555" t="str">
            <v>1</v>
          </cell>
          <cell r="H2555" t="str">
            <v>INDUSTRY</v>
          </cell>
          <cell r="I2555" t="str">
            <v>11</v>
          </cell>
          <cell r="J2555" t="str">
            <v>WOOD COATINGS</v>
          </cell>
          <cell r="K2555" t="str">
            <v>1118</v>
          </cell>
          <cell r="L2555" t="str">
            <v>COMPLEMENTARY</v>
          </cell>
          <cell r="M2555" t="str">
            <v>111807</v>
          </cell>
          <cell r="N2555" t="str">
            <v>PASTA</v>
          </cell>
        </row>
        <row r="2556">
          <cell r="C2556" t="str">
            <v>100003731</v>
          </cell>
          <cell r="D2556" t="str">
            <v>PCA-31100 MAARTEN 01 TL VN-20LJ</v>
          </cell>
          <cell r="E2556" t="str">
            <v>ZFGD</v>
          </cell>
          <cell r="F2556" t="str">
            <v>PC</v>
          </cell>
          <cell r="G2556" t="str">
            <v>1</v>
          </cell>
          <cell r="H2556" t="str">
            <v>INDUSTRY</v>
          </cell>
          <cell r="I2556" t="str">
            <v>11</v>
          </cell>
          <cell r="J2556" t="str">
            <v>WOOD COATINGS</v>
          </cell>
          <cell r="K2556" t="str">
            <v>1118</v>
          </cell>
          <cell r="L2556" t="str">
            <v>COMPLEMENTARY</v>
          </cell>
          <cell r="M2556" t="str">
            <v>111807</v>
          </cell>
          <cell r="N2556" t="str">
            <v>PASTA</v>
          </cell>
        </row>
        <row r="2557">
          <cell r="C2557" t="str">
            <v>100003732</v>
          </cell>
          <cell r="D2557" t="str">
            <v>SST-11100 MAARTEN 02 TL VN-20LJ</v>
          </cell>
          <cell r="E2557" t="str">
            <v>ZFGD</v>
          </cell>
          <cell r="F2557" t="str">
            <v>PC</v>
          </cell>
          <cell r="G2557" t="str">
            <v>1</v>
          </cell>
          <cell r="H2557" t="str">
            <v>INDUSTRY</v>
          </cell>
          <cell r="I2557" t="str">
            <v>11</v>
          </cell>
          <cell r="J2557" t="str">
            <v>WOOD COATINGS</v>
          </cell>
          <cell r="K2557" t="str">
            <v>1109</v>
          </cell>
          <cell r="L2557" t="str">
            <v>STAIN &amp; GLAZE INTERIOR</v>
          </cell>
          <cell r="M2557" t="str">
            <v>110903</v>
          </cell>
          <cell r="N2557" t="str">
            <v>STAIN INTERIOR</v>
          </cell>
        </row>
        <row r="2558">
          <cell r="C2558" t="str">
            <v>100003733</v>
          </cell>
          <cell r="D2558" t="str">
            <v>64-56 MICRO FILLER FPOINTS TL VN-20KP</v>
          </cell>
          <cell r="E2558" t="str">
            <v>ZFGD</v>
          </cell>
          <cell r="F2558" t="str">
            <v>PC</v>
          </cell>
          <cell r="G2558" t="str">
            <v>1</v>
          </cell>
          <cell r="H2558" t="str">
            <v>INDUSTRY</v>
          </cell>
          <cell r="I2558" t="str">
            <v>11</v>
          </cell>
          <cell r="J2558" t="str">
            <v>WOOD COATINGS</v>
          </cell>
          <cell r="K2558" t="str">
            <v>1103</v>
          </cell>
          <cell r="L2558" t="str">
            <v>PU</v>
          </cell>
          <cell r="M2558" t="str">
            <v>110305</v>
          </cell>
          <cell r="N2558" t="str">
            <v>UNION FILLER</v>
          </cell>
        </row>
        <row r="2559">
          <cell r="C2559" t="str">
            <v>100003734</v>
          </cell>
          <cell r="D2559" t="str">
            <v>SST-11100 FPOINTS 01 TL VN-20LJ</v>
          </cell>
          <cell r="E2559" t="str">
            <v>ZFGD</v>
          </cell>
          <cell r="F2559" t="str">
            <v>PC</v>
          </cell>
          <cell r="G2559" t="str">
            <v>1</v>
          </cell>
          <cell r="H2559" t="str">
            <v>INDUSTRY</v>
          </cell>
          <cell r="I2559" t="str">
            <v>11</v>
          </cell>
          <cell r="J2559" t="str">
            <v>WOOD COATINGS</v>
          </cell>
          <cell r="K2559" t="str">
            <v>1109</v>
          </cell>
          <cell r="L2559" t="str">
            <v>STAIN &amp; GLAZE INTERIOR</v>
          </cell>
          <cell r="M2559" t="str">
            <v>110903</v>
          </cell>
          <cell r="N2559" t="str">
            <v>STAIN INTERIOR</v>
          </cell>
        </row>
        <row r="2560">
          <cell r="C2560" t="str">
            <v>100003735</v>
          </cell>
          <cell r="D2560" t="str">
            <v>SST-11100 FPOINTS 02 TL VN-20LJ</v>
          </cell>
          <cell r="E2560" t="str">
            <v>ZFGD</v>
          </cell>
          <cell r="F2560" t="str">
            <v>PC</v>
          </cell>
          <cell r="G2560" t="str">
            <v>1</v>
          </cell>
          <cell r="H2560" t="str">
            <v>INDUSTRY</v>
          </cell>
          <cell r="I2560" t="str">
            <v>11</v>
          </cell>
          <cell r="J2560" t="str">
            <v>WOOD COATINGS</v>
          </cell>
          <cell r="K2560" t="str">
            <v>1109</v>
          </cell>
          <cell r="L2560" t="str">
            <v>STAIN &amp; GLAZE INTERIOR</v>
          </cell>
          <cell r="M2560" t="str">
            <v>110903</v>
          </cell>
          <cell r="N2560" t="str">
            <v>STAIN INTERIOR</v>
          </cell>
        </row>
        <row r="2561">
          <cell r="C2561" t="str">
            <v>100003736</v>
          </cell>
          <cell r="D2561" t="str">
            <v>PUC-52239 GREY JUDE 10 NS VN-20KP</v>
          </cell>
          <cell r="E2561" t="str">
            <v>ZFGD</v>
          </cell>
          <cell r="F2561" t="str">
            <v>PC</v>
          </cell>
          <cell r="G2561" t="str">
            <v>1</v>
          </cell>
          <cell r="H2561" t="str">
            <v>INDUSTRY</v>
          </cell>
          <cell r="I2561" t="str">
            <v>11</v>
          </cell>
          <cell r="J2561" t="str">
            <v>WOOD COATINGS</v>
          </cell>
          <cell r="K2561" t="str">
            <v>1103</v>
          </cell>
          <cell r="L2561" t="str">
            <v>PU</v>
          </cell>
          <cell r="M2561" t="str">
            <v>110319</v>
          </cell>
          <cell r="N2561" t="str">
            <v>PU COLOR</v>
          </cell>
        </row>
        <row r="2562">
          <cell r="C2562" t="str">
            <v>100003737</v>
          </cell>
          <cell r="D2562" t="str">
            <v>DP-12123 LC 06 LP VN-20KP</v>
          </cell>
          <cell r="E2562" t="str">
            <v>ZFGD</v>
          </cell>
          <cell r="F2562" t="str">
            <v>PC</v>
          </cell>
          <cell r="G2562" t="str">
            <v>1</v>
          </cell>
          <cell r="H2562" t="str">
            <v>INDUSTRY</v>
          </cell>
          <cell r="I2562" t="str">
            <v>11</v>
          </cell>
          <cell r="J2562" t="str">
            <v>WOOD COATINGS</v>
          </cell>
          <cell r="K2562" t="str">
            <v>1104</v>
          </cell>
          <cell r="L2562" t="str">
            <v>NC</v>
          </cell>
          <cell r="M2562" t="str">
            <v>110405</v>
          </cell>
          <cell r="N2562" t="str">
            <v>NC SYSTEM</v>
          </cell>
        </row>
        <row r="2563">
          <cell r="C2563" t="str">
            <v>100003738</v>
          </cell>
          <cell r="D2563" t="str">
            <v>DC-12223 LC 06 30 LP VN-20KP</v>
          </cell>
          <cell r="E2563" t="str">
            <v>ZFGD</v>
          </cell>
          <cell r="F2563" t="str">
            <v>PC</v>
          </cell>
          <cell r="G2563" t="str">
            <v>1</v>
          </cell>
          <cell r="H2563" t="str">
            <v>INDUSTRY</v>
          </cell>
          <cell r="I2563" t="str">
            <v>11</v>
          </cell>
          <cell r="J2563" t="str">
            <v>WOOD COATINGS</v>
          </cell>
          <cell r="K2563" t="str">
            <v>1104</v>
          </cell>
          <cell r="L2563" t="str">
            <v>NC</v>
          </cell>
          <cell r="M2563" t="str">
            <v>110405</v>
          </cell>
          <cell r="N2563" t="str">
            <v>NC SYSTEM</v>
          </cell>
        </row>
        <row r="2564">
          <cell r="C2564" t="str">
            <v>100003739</v>
          </cell>
          <cell r="D2564" t="str">
            <v>MEP-12003 EPOXY NB GE VN-20KP</v>
          </cell>
          <cell r="E2564" t="str">
            <v>ZFGD</v>
          </cell>
          <cell r="F2564" t="str">
            <v>PC</v>
          </cell>
          <cell r="G2564" t="str">
            <v>1</v>
          </cell>
          <cell r="H2564" t="str">
            <v>INDUSTRY</v>
          </cell>
          <cell r="I2564" t="str">
            <v>16</v>
          </cell>
          <cell r="J2564" t="str">
            <v>METAL COATINGS</v>
          </cell>
          <cell r="K2564" t="str">
            <v>1601</v>
          </cell>
          <cell r="L2564" t="str">
            <v>METAL COATINGS</v>
          </cell>
          <cell r="M2564" t="str">
            <v>160101</v>
          </cell>
          <cell r="N2564" t="str">
            <v>METAL COATINGS</v>
          </cell>
        </row>
        <row r="2565">
          <cell r="C2565" t="str">
            <v>100003740</v>
          </cell>
          <cell r="D2565" t="str">
            <v>SST-11100 WDR 1002 A GE VN-20LJ</v>
          </cell>
          <cell r="E2565" t="str">
            <v>ZFGD</v>
          </cell>
          <cell r="F2565" t="str">
            <v>PC</v>
          </cell>
          <cell r="G2565" t="str">
            <v>1</v>
          </cell>
          <cell r="H2565" t="str">
            <v>INDUSTRY</v>
          </cell>
          <cell r="I2565" t="str">
            <v>11</v>
          </cell>
          <cell r="J2565" t="str">
            <v>WOOD COATINGS</v>
          </cell>
          <cell r="K2565" t="str">
            <v>1109</v>
          </cell>
          <cell r="L2565" t="str">
            <v>STAIN &amp; GLAZE INTERIOR</v>
          </cell>
          <cell r="M2565" t="str">
            <v>110903</v>
          </cell>
          <cell r="N2565" t="str">
            <v>STAIN INTERIOR</v>
          </cell>
        </row>
        <row r="2566">
          <cell r="C2566" t="str">
            <v>100003741</v>
          </cell>
          <cell r="D2566" t="str">
            <v>SST-11100 WDR 1002 B GE VN-20LJ</v>
          </cell>
          <cell r="E2566" t="str">
            <v>ZFGD</v>
          </cell>
          <cell r="F2566" t="str">
            <v>PC</v>
          </cell>
          <cell r="G2566" t="str">
            <v>1</v>
          </cell>
          <cell r="H2566" t="str">
            <v>INDUSTRY</v>
          </cell>
          <cell r="I2566" t="str">
            <v>11</v>
          </cell>
          <cell r="J2566" t="str">
            <v>WOOD COATINGS</v>
          </cell>
          <cell r="K2566" t="str">
            <v>1109</v>
          </cell>
          <cell r="L2566" t="str">
            <v>STAIN &amp; GLAZE INTERIOR</v>
          </cell>
          <cell r="M2566" t="str">
            <v>110903</v>
          </cell>
          <cell r="N2566" t="str">
            <v>STAIN INTERIOR</v>
          </cell>
        </row>
        <row r="2567">
          <cell r="C2567" t="str">
            <v>100003742</v>
          </cell>
          <cell r="D2567" t="str">
            <v>SST-11100 WDR06 A GE VN-20LJ</v>
          </cell>
          <cell r="E2567" t="str">
            <v>ZFGD</v>
          </cell>
          <cell r="F2567" t="str">
            <v>PC</v>
          </cell>
          <cell r="G2567" t="str">
            <v>1</v>
          </cell>
          <cell r="H2567" t="str">
            <v>INDUSTRY</v>
          </cell>
          <cell r="I2567" t="str">
            <v>11</v>
          </cell>
          <cell r="J2567" t="str">
            <v>WOOD COATINGS</v>
          </cell>
          <cell r="K2567" t="str">
            <v>1109</v>
          </cell>
          <cell r="L2567" t="str">
            <v>STAIN &amp; GLAZE INTERIOR</v>
          </cell>
          <cell r="M2567" t="str">
            <v>110903</v>
          </cell>
          <cell r="N2567" t="str">
            <v>STAIN INTERIOR</v>
          </cell>
        </row>
        <row r="2568">
          <cell r="C2568" t="str">
            <v>100003743</v>
          </cell>
          <cell r="D2568" t="str">
            <v>SST-11100 WDR06 B GE VN-20LJ</v>
          </cell>
          <cell r="E2568" t="str">
            <v>ZFGD</v>
          </cell>
          <cell r="F2568" t="str">
            <v>PC</v>
          </cell>
          <cell r="G2568" t="str">
            <v>1</v>
          </cell>
          <cell r="H2568" t="str">
            <v>INDUSTRY</v>
          </cell>
          <cell r="I2568" t="str">
            <v>11</v>
          </cell>
          <cell r="J2568" t="str">
            <v>WOOD COATINGS</v>
          </cell>
          <cell r="K2568" t="str">
            <v>1109</v>
          </cell>
          <cell r="L2568" t="str">
            <v>STAIN &amp; GLAZE INTERIOR</v>
          </cell>
          <cell r="M2568" t="str">
            <v>110903</v>
          </cell>
          <cell r="N2568" t="str">
            <v>STAIN INTERIOR</v>
          </cell>
        </row>
        <row r="2569">
          <cell r="C2569" t="str">
            <v>100003744</v>
          </cell>
          <cell r="D2569" t="str">
            <v>SST-11100 WDR06 C GE VN-20LJ</v>
          </cell>
          <cell r="E2569" t="str">
            <v>ZFGD</v>
          </cell>
          <cell r="F2569" t="str">
            <v>PC</v>
          </cell>
          <cell r="G2569" t="str">
            <v>1</v>
          </cell>
          <cell r="H2569" t="str">
            <v>INDUSTRY</v>
          </cell>
          <cell r="I2569" t="str">
            <v>11</v>
          </cell>
          <cell r="J2569" t="str">
            <v>WOOD COATINGS</v>
          </cell>
          <cell r="K2569" t="str">
            <v>1109</v>
          </cell>
          <cell r="L2569" t="str">
            <v>STAIN &amp; GLAZE INTERIOR</v>
          </cell>
          <cell r="M2569" t="str">
            <v>110903</v>
          </cell>
          <cell r="N2569" t="str">
            <v>STAIN INTERIOR</v>
          </cell>
        </row>
        <row r="2570">
          <cell r="C2570" t="str">
            <v>100003745</v>
          </cell>
          <cell r="D2570" t="str">
            <v>PCA-31100 112 FS VN-20LJ</v>
          </cell>
          <cell r="E2570" t="str">
            <v>ZFGD</v>
          </cell>
          <cell r="F2570" t="str">
            <v>PC</v>
          </cell>
          <cell r="G2570" t="str">
            <v>1</v>
          </cell>
          <cell r="H2570" t="str">
            <v>INDUSTRY</v>
          </cell>
          <cell r="I2570" t="str">
            <v>11</v>
          </cell>
          <cell r="J2570" t="str">
            <v>WOOD COATINGS</v>
          </cell>
          <cell r="K2570" t="str">
            <v>1118</v>
          </cell>
          <cell r="L2570" t="str">
            <v>COMPLEMENTARY</v>
          </cell>
          <cell r="M2570" t="str">
            <v>111807</v>
          </cell>
          <cell r="N2570" t="str">
            <v>PASTA</v>
          </cell>
        </row>
        <row r="2571">
          <cell r="C2571" t="str">
            <v>100003746</v>
          </cell>
          <cell r="D2571" t="str">
            <v>MPUC-13600 BROWN MH 20 VN-16KP</v>
          </cell>
          <cell r="E2571" t="str">
            <v>ZFGD</v>
          </cell>
          <cell r="F2571" t="str">
            <v>PC</v>
          </cell>
          <cell r="G2571" t="str">
            <v>1</v>
          </cell>
          <cell r="H2571" t="str">
            <v>INDUSTRY</v>
          </cell>
          <cell r="I2571" t="str">
            <v>16</v>
          </cell>
          <cell r="J2571" t="str">
            <v>METAL COATINGS</v>
          </cell>
          <cell r="K2571" t="str">
            <v>1601</v>
          </cell>
          <cell r="L2571" t="str">
            <v>METAL COATINGS</v>
          </cell>
          <cell r="M2571" t="str">
            <v>160101</v>
          </cell>
          <cell r="N2571" t="str">
            <v>METAL COATINGS</v>
          </cell>
        </row>
        <row r="2572">
          <cell r="C2572" t="str">
            <v>100003747</v>
          </cell>
          <cell r="D2572" t="str">
            <v>MPUC-13600 BROWN MH 20 VN-4K</v>
          </cell>
          <cell r="E2572" t="str">
            <v>ZFGD</v>
          </cell>
          <cell r="F2572" t="str">
            <v>PC</v>
          </cell>
          <cell r="G2572" t="str">
            <v>1</v>
          </cell>
          <cell r="H2572" t="str">
            <v>INDUSTRY</v>
          </cell>
          <cell r="I2572" t="str">
            <v>16</v>
          </cell>
          <cell r="J2572" t="str">
            <v>METAL COATINGS</v>
          </cell>
          <cell r="K2572" t="str">
            <v>1601</v>
          </cell>
          <cell r="L2572" t="str">
            <v>METAL COATINGS</v>
          </cell>
          <cell r="M2572" t="str">
            <v>160101</v>
          </cell>
          <cell r="N2572" t="str">
            <v>METAL COATINGS</v>
          </cell>
        </row>
        <row r="2573">
          <cell r="C2573" t="str">
            <v>100003748</v>
          </cell>
          <cell r="D2573" t="str">
            <v>WBP-62108 BLACK VN-20KP</v>
          </cell>
          <cell r="E2573" t="str">
            <v>ZFGD</v>
          </cell>
          <cell r="F2573" t="str">
            <v>PC</v>
          </cell>
          <cell r="G2573" t="str">
            <v>1</v>
          </cell>
          <cell r="H2573" t="str">
            <v>INDUSTRY</v>
          </cell>
          <cell r="I2573" t="str">
            <v>11</v>
          </cell>
          <cell r="J2573" t="str">
            <v>WOOD COATINGS</v>
          </cell>
          <cell r="K2573" t="str">
            <v>1119</v>
          </cell>
          <cell r="L2573" t="str">
            <v>WATERBASED</v>
          </cell>
          <cell r="M2573" t="str">
            <v>111902</v>
          </cell>
          <cell r="N2573" t="str">
            <v>WATERBASED SYSTEM INTERIOR</v>
          </cell>
        </row>
        <row r="2574">
          <cell r="C2574" t="str">
            <v>100003749</v>
          </cell>
          <cell r="D2574" t="str">
            <v>PUC-54206 AC EX BLACK 30 VN-18KP</v>
          </cell>
          <cell r="E2574" t="str">
            <v>ZFGD</v>
          </cell>
          <cell r="F2574" t="str">
            <v>PC</v>
          </cell>
          <cell r="G2574" t="str">
            <v>1</v>
          </cell>
          <cell r="H2574" t="str">
            <v>INDUSTRY</v>
          </cell>
          <cell r="I2574" t="str">
            <v>11</v>
          </cell>
          <cell r="J2574" t="str">
            <v>WOOD COATINGS</v>
          </cell>
          <cell r="K2574" t="str">
            <v>1103</v>
          </cell>
          <cell r="L2574" t="str">
            <v>PU</v>
          </cell>
          <cell r="M2574" t="str">
            <v>110319</v>
          </cell>
          <cell r="N2574" t="str">
            <v>PU COLOR</v>
          </cell>
        </row>
        <row r="2575">
          <cell r="C2575" t="str">
            <v>100003750</v>
          </cell>
          <cell r="D2575" t="str">
            <v>PCL-31300 AT0118 F1 VN-20LJ</v>
          </cell>
          <cell r="E2575" t="str">
            <v>ZFGD</v>
          </cell>
          <cell r="F2575" t="str">
            <v>PC</v>
          </cell>
          <cell r="G2575" t="str">
            <v>1</v>
          </cell>
          <cell r="H2575" t="str">
            <v>INDUSTRY</v>
          </cell>
          <cell r="I2575" t="str">
            <v>11</v>
          </cell>
          <cell r="J2575" t="str">
            <v>WOOD COATINGS</v>
          </cell>
          <cell r="K2575" t="str">
            <v>1118</v>
          </cell>
          <cell r="L2575" t="str">
            <v>COMPLEMENTARY</v>
          </cell>
          <cell r="M2575" t="str">
            <v>111807</v>
          </cell>
          <cell r="N2575" t="str">
            <v>PASTA</v>
          </cell>
        </row>
        <row r="2576">
          <cell r="C2576" t="str">
            <v>100003751</v>
          </cell>
          <cell r="D2576" t="str">
            <v>PCL-31300 CLR AT0118 F1 VN-20LJ</v>
          </cell>
          <cell r="E2576" t="str">
            <v>ZFGD</v>
          </cell>
          <cell r="F2576" t="str">
            <v>PC</v>
          </cell>
          <cell r="G2576" t="str">
            <v>1</v>
          </cell>
          <cell r="H2576" t="str">
            <v>INDUSTRY</v>
          </cell>
          <cell r="I2576" t="str">
            <v>11</v>
          </cell>
          <cell r="J2576" t="str">
            <v>WOOD COATINGS</v>
          </cell>
          <cell r="K2576" t="str">
            <v>1118</v>
          </cell>
          <cell r="L2576" t="str">
            <v>COMPLEMENTARY</v>
          </cell>
          <cell r="M2576" t="str">
            <v>111807</v>
          </cell>
          <cell r="N2576" t="str">
            <v>PASTA</v>
          </cell>
        </row>
        <row r="2577">
          <cell r="C2577" t="str">
            <v>100003752</v>
          </cell>
          <cell r="D2577" t="str">
            <v>PCWB-31600 APXWD01 GE VN-20KP</v>
          </cell>
          <cell r="E2577" t="str">
            <v>ZFGD</v>
          </cell>
          <cell r="F2577" t="str">
            <v>PC</v>
          </cell>
          <cell r="G2577" t="str">
            <v>1</v>
          </cell>
          <cell r="H2577" t="str">
            <v>INDUSTRY</v>
          </cell>
          <cell r="I2577" t="str">
            <v>11</v>
          </cell>
          <cell r="J2577" t="str">
            <v>WOOD COATINGS</v>
          </cell>
          <cell r="K2577" t="str">
            <v>1118</v>
          </cell>
          <cell r="L2577" t="str">
            <v>COMPLEMENTARY</v>
          </cell>
          <cell r="M2577" t="str">
            <v>111807</v>
          </cell>
          <cell r="N2577" t="str">
            <v>PASTA</v>
          </cell>
        </row>
        <row r="2578">
          <cell r="C2578" t="str">
            <v>100003753</v>
          </cell>
          <cell r="D2578" t="str">
            <v>SST-11100 APXWD01 GE VN-20LJ</v>
          </cell>
          <cell r="E2578" t="str">
            <v>ZFGD</v>
          </cell>
          <cell r="F2578" t="str">
            <v>PC</v>
          </cell>
          <cell r="G2578" t="str">
            <v>1</v>
          </cell>
          <cell r="H2578" t="str">
            <v>INDUSTRY</v>
          </cell>
          <cell r="I2578" t="str">
            <v>11</v>
          </cell>
          <cell r="J2578" t="str">
            <v>WOOD COATINGS</v>
          </cell>
          <cell r="K2578" t="str">
            <v>1109</v>
          </cell>
          <cell r="L2578" t="str">
            <v>STAIN &amp; GLAZE INTERIOR</v>
          </cell>
          <cell r="M2578" t="str">
            <v>110903</v>
          </cell>
          <cell r="N2578" t="str">
            <v>STAIN INTERIOR</v>
          </cell>
        </row>
        <row r="2579">
          <cell r="C2579" t="str">
            <v>100003754</v>
          </cell>
          <cell r="D2579" t="str">
            <v>SST-11100 WDRG09 B GE VN-20LJ</v>
          </cell>
          <cell r="E2579" t="str">
            <v>ZFGD</v>
          </cell>
          <cell r="F2579" t="str">
            <v>PC</v>
          </cell>
          <cell r="G2579" t="str">
            <v>1</v>
          </cell>
          <cell r="H2579" t="str">
            <v>INDUSTRY</v>
          </cell>
          <cell r="I2579" t="str">
            <v>11</v>
          </cell>
          <cell r="J2579" t="str">
            <v>WOOD COATINGS</v>
          </cell>
          <cell r="K2579" t="str">
            <v>1109</v>
          </cell>
          <cell r="L2579" t="str">
            <v>STAIN &amp; GLAZE INTERIOR</v>
          </cell>
          <cell r="M2579" t="str">
            <v>110903</v>
          </cell>
          <cell r="N2579" t="str">
            <v>STAIN INTERIOR</v>
          </cell>
        </row>
        <row r="2580">
          <cell r="C2580" t="str">
            <v>100003755</v>
          </cell>
          <cell r="D2580" t="str">
            <v>WFEP-82600 VN-4K</v>
          </cell>
          <cell r="E2580" t="str">
            <v>ZFGD</v>
          </cell>
          <cell r="F2580" t="str">
            <v>PC</v>
          </cell>
          <cell r="G2580" t="str">
            <v>1</v>
          </cell>
          <cell r="H2580" t="str">
            <v>INDUSTRY</v>
          </cell>
          <cell r="I2580" t="str">
            <v>11</v>
          </cell>
          <cell r="J2580" t="str">
            <v>WOOD COATINGS</v>
          </cell>
          <cell r="K2580" t="str">
            <v>1118</v>
          </cell>
          <cell r="L2580" t="str">
            <v>COMPLEMENTARY</v>
          </cell>
          <cell r="M2580" t="str">
            <v>111804</v>
          </cell>
          <cell r="N2580" t="str">
            <v>EPOXY WOOD COATINGS</v>
          </cell>
        </row>
        <row r="2581">
          <cell r="C2581" t="str">
            <v>100003756</v>
          </cell>
          <cell r="D2581" t="str">
            <v>WFEPH-82600 VN-4K</v>
          </cell>
          <cell r="E2581" t="str">
            <v>ZFGD</v>
          </cell>
          <cell r="F2581" t="str">
            <v>PC</v>
          </cell>
          <cell r="G2581" t="str">
            <v>1</v>
          </cell>
          <cell r="H2581" t="str">
            <v>INDUSTRY</v>
          </cell>
          <cell r="I2581" t="str">
            <v>11</v>
          </cell>
          <cell r="J2581" t="str">
            <v>WOOD COATINGS</v>
          </cell>
          <cell r="K2581" t="str">
            <v>1118</v>
          </cell>
          <cell r="L2581" t="str">
            <v>COMPLEMENTARY</v>
          </cell>
          <cell r="M2581" t="str">
            <v>111804</v>
          </cell>
          <cell r="N2581" t="str">
            <v>EPOXY WOOD COATINGS</v>
          </cell>
        </row>
        <row r="2582">
          <cell r="C2582" t="str">
            <v>100003757</v>
          </cell>
          <cell r="D2582" t="str">
            <v>PUC-54205 AC 003 10 AH VN-20KP</v>
          </cell>
          <cell r="E2582" t="str">
            <v>ZFGD</v>
          </cell>
          <cell r="F2582" t="str">
            <v>PC</v>
          </cell>
          <cell r="G2582" t="str">
            <v>1</v>
          </cell>
          <cell r="H2582" t="str">
            <v>INDUSTRY</v>
          </cell>
          <cell r="I2582" t="str">
            <v>11</v>
          </cell>
          <cell r="J2582" t="str">
            <v>WOOD COATINGS</v>
          </cell>
          <cell r="K2582" t="str">
            <v>1103</v>
          </cell>
          <cell r="L2582" t="str">
            <v>PU</v>
          </cell>
          <cell r="M2582" t="str">
            <v>110319</v>
          </cell>
          <cell r="N2582" t="str">
            <v>PU COLOR</v>
          </cell>
        </row>
        <row r="2583">
          <cell r="C2583" t="str">
            <v>100003758</v>
          </cell>
          <cell r="D2583" t="str">
            <v>82-1045 UE AF URT FLAT A-16KP</v>
          </cell>
          <cell r="E2583" t="str">
            <v>ZFGD</v>
          </cell>
          <cell r="F2583" t="str">
            <v>PC</v>
          </cell>
          <cell r="G2583" t="str">
            <v>1</v>
          </cell>
          <cell r="H2583" t="str">
            <v>INDUSTRY</v>
          </cell>
          <cell r="I2583" t="str">
            <v>11</v>
          </cell>
          <cell r="J2583" t="str">
            <v>WOOD COATINGS</v>
          </cell>
          <cell r="K2583" t="str">
            <v>1103</v>
          </cell>
          <cell r="L2583" t="str">
            <v>PU</v>
          </cell>
          <cell r="M2583" t="str">
            <v>110312</v>
          </cell>
          <cell r="N2583" t="str">
            <v>UNION TOP COAT</v>
          </cell>
        </row>
        <row r="2584">
          <cell r="C2584" t="str">
            <v>100003759</v>
          </cell>
          <cell r="D2584" t="str">
            <v>WBSS-61101 VN-20KP</v>
          </cell>
          <cell r="E2584" t="str">
            <v>ZFGD</v>
          </cell>
          <cell r="F2584" t="str">
            <v>PC</v>
          </cell>
          <cell r="G2584" t="str">
            <v>1</v>
          </cell>
          <cell r="H2584" t="str">
            <v>INDUSTRY</v>
          </cell>
          <cell r="I2584" t="str">
            <v>11</v>
          </cell>
          <cell r="J2584" t="str">
            <v>WOOD COATINGS</v>
          </cell>
          <cell r="K2584" t="str">
            <v>1119</v>
          </cell>
          <cell r="L2584" t="str">
            <v>WATERBASED</v>
          </cell>
          <cell r="M2584" t="str">
            <v>111902</v>
          </cell>
          <cell r="N2584" t="str">
            <v>WATERBASED SYSTEM INTERIOR</v>
          </cell>
        </row>
        <row r="2585">
          <cell r="C2585" t="str">
            <v>100003760</v>
          </cell>
          <cell r="D2585" t="str">
            <v>WPWB-81201 KR JF VN-20KP</v>
          </cell>
          <cell r="E2585" t="str">
            <v>ZFGD</v>
          </cell>
          <cell r="F2585" t="str">
            <v>PC</v>
          </cell>
          <cell r="G2585" t="str">
            <v>1</v>
          </cell>
          <cell r="H2585" t="str">
            <v>INDUSTRY</v>
          </cell>
          <cell r="I2585" t="str">
            <v>11</v>
          </cell>
          <cell r="J2585" t="str">
            <v>WOOD COATINGS</v>
          </cell>
          <cell r="K2585" t="str">
            <v>1119</v>
          </cell>
          <cell r="L2585" t="str">
            <v>WATERBASED</v>
          </cell>
          <cell r="M2585" t="str">
            <v>111902</v>
          </cell>
          <cell r="N2585" t="str">
            <v>WATERBASED SYSTEM INTERIOR</v>
          </cell>
        </row>
        <row r="2586">
          <cell r="C2586" t="str">
            <v>100003761</v>
          </cell>
          <cell r="D2586" t="str">
            <v>PUSS-51241 AF VN-20KP</v>
          </cell>
          <cell r="E2586" t="str">
            <v>ZFGD</v>
          </cell>
          <cell r="F2586" t="str">
            <v>PC</v>
          </cell>
          <cell r="G2586" t="str">
            <v>1</v>
          </cell>
          <cell r="H2586" t="str">
            <v>INDUSTRY</v>
          </cell>
          <cell r="I2586" t="str">
            <v>11</v>
          </cell>
          <cell r="J2586" t="str">
            <v>WOOD COATINGS</v>
          </cell>
          <cell r="K2586" t="str">
            <v>1103</v>
          </cell>
          <cell r="L2586" t="str">
            <v>PU</v>
          </cell>
          <cell r="M2586" t="str">
            <v>110323</v>
          </cell>
          <cell r="N2586" t="str">
            <v>PU SANDING SEALER</v>
          </cell>
        </row>
        <row r="2587">
          <cell r="C2587" t="str">
            <v>100003762</v>
          </cell>
          <cell r="D2587" t="str">
            <v>PLP-11103 PP VN-20LP</v>
          </cell>
          <cell r="E2587" t="str">
            <v>ZFGD</v>
          </cell>
          <cell r="F2587" t="str">
            <v>PC</v>
          </cell>
          <cell r="G2587" t="str">
            <v>1</v>
          </cell>
          <cell r="H2587" t="str">
            <v>INDUSTRY</v>
          </cell>
          <cell r="I2587" t="str">
            <v>13</v>
          </cell>
          <cell r="J2587" t="str">
            <v>PLASTIC COATINGS</v>
          </cell>
          <cell r="K2587" t="str">
            <v>1301</v>
          </cell>
          <cell r="L2587" t="str">
            <v>PLASTIC COATINGS</v>
          </cell>
          <cell r="M2587" t="str">
            <v>130101</v>
          </cell>
          <cell r="N2587" t="str">
            <v>PLASTIC COATINGS</v>
          </cell>
        </row>
        <row r="2588">
          <cell r="C2588" t="str">
            <v>100003763</v>
          </cell>
          <cell r="D2588" t="str">
            <v>NCL-11323 LC AF CLEAR 20 VN-20LP</v>
          </cell>
          <cell r="E2588" t="str">
            <v>ZFGD</v>
          </cell>
          <cell r="F2588" t="str">
            <v>PC</v>
          </cell>
          <cell r="G2588" t="str">
            <v>1</v>
          </cell>
          <cell r="H2588" t="str">
            <v>INDUSTRY</v>
          </cell>
          <cell r="I2588" t="str">
            <v>11</v>
          </cell>
          <cell r="J2588" t="str">
            <v>WOOD COATINGS</v>
          </cell>
          <cell r="K2588" t="str">
            <v>1104</v>
          </cell>
          <cell r="L2588" t="str">
            <v>NC</v>
          </cell>
          <cell r="M2588" t="str">
            <v>110405</v>
          </cell>
          <cell r="N2588" t="str">
            <v>NC SYSTEM</v>
          </cell>
        </row>
        <row r="2589">
          <cell r="C2589" t="str">
            <v>100003764</v>
          </cell>
          <cell r="D2589" t="str">
            <v>GZ-12700 N LIGHT SILVER LP VN-20LP</v>
          </cell>
          <cell r="E2589" t="str">
            <v>ZFGD</v>
          </cell>
          <cell r="F2589" t="str">
            <v>PC</v>
          </cell>
          <cell r="G2589" t="str">
            <v>1</v>
          </cell>
          <cell r="H2589" t="str">
            <v>INDUSTRY</v>
          </cell>
          <cell r="I2589" t="str">
            <v>11</v>
          </cell>
          <cell r="J2589" t="str">
            <v>WOOD COATINGS</v>
          </cell>
          <cell r="K2589" t="str">
            <v>1109</v>
          </cell>
          <cell r="L2589" t="str">
            <v>STAIN &amp; GLAZE INTERIOR</v>
          </cell>
          <cell r="M2589" t="str">
            <v>110901</v>
          </cell>
          <cell r="N2589" t="str">
            <v>ASOF : STAIN &amp; GLAZE</v>
          </cell>
        </row>
        <row r="2590">
          <cell r="C2590" t="str">
            <v>100003765</v>
          </cell>
          <cell r="D2590" t="str">
            <v>MX-99 AR CLEAR GLOSS VN-15KP</v>
          </cell>
          <cell r="E2590" t="str">
            <v>ZFGD</v>
          </cell>
          <cell r="F2590" t="str">
            <v>PC</v>
          </cell>
          <cell r="G2590" t="str">
            <v>2</v>
          </cell>
          <cell r="H2590" t="str">
            <v>RETAIL</v>
          </cell>
          <cell r="I2590" t="str">
            <v>27</v>
          </cell>
          <cell r="J2590" t="str">
            <v>CPC1</v>
          </cell>
          <cell r="K2590" t="str">
            <v>2703</v>
          </cell>
          <cell r="L2590" t="str">
            <v>MULTIPOX</v>
          </cell>
          <cell r="M2590" t="str">
            <v>270302</v>
          </cell>
          <cell r="N2590" t="str">
            <v>MULTIPOX BASE</v>
          </cell>
        </row>
        <row r="2591">
          <cell r="C2591" t="str">
            <v>100003766</v>
          </cell>
          <cell r="D2591" t="str">
            <v>64-56 MICRO FILLER NA MAPLE TL VN-20KP</v>
          </cell>
          <cell r="E2591" t="str">
            <v>ZFGD</v>
          </cell>
          <cell r="F2591" t="str">
            <v>PC</v>
          </cell>
          <cell r="G2591" t="str">
            <v>1</v>
          </cell>
          <cell r="H2591" t="str">
            <v>INDUSTRY</v>
          </cell>
          <cell r="I2591" t="str">
            <v>11</v>
          </cell>
          <cell r="J2591" t="str">
            <v>WOOD COATINGS</v>
          </cell>
          <cell r="K2591" t="str">
            <v>1103</v>
          </cell>
          <cell r="L2591" t="str">
            <v>PU</v>
          </cell>
          <cell r="M2591" t="str">
            <v>110305</v>
          </cell>
          <cell r="N2591" t="str">
            <v>UNION FILLER</v>
          </cell>
        </row>
        <row r="2592">
          <cell r="C2592" t="str">
            <v>100003767</v>
          </cell>
          <cell r="D2592" t="str">
            <v>SST-11100 NA MAPLE TL VN-20LJ</v>
          </cell>
          <cell r="E2592" t="str">
            <v>ZFGD</v>
          </cell>
          <cell r="F2592" t="str">
            <v>PC</v>
          </cell>
          <cell r="G2592" t="str">
            <v>1</v>
          </cell>
          <cell r="H2592" t="str">
            <v>INDUSTRY</v>
          </cell>
          <cell r="I2592" t="str">
            <v>11</v>
          </cell>
          <cell r="J2592" t="str">
            <v>WOOD COATINGS</v>
          </cell>
          <cell r="K2592" t="str">
            <v>1109</v>
          </cell>
          <cell r="L2592" t="str">
            <v>STAIN &amp; GLAZE INTERIOR</v>
          </cell>
          <cell r="M2592" t="str">
            <v>110903</v>
          </cell>
          <cell r="N2592" t="str">
            <v>STAIN INTERIOR</v>
          </cell>
        </row>
        <row r="2593">
          <cell r="C2593" t="str">
            <v>100003768</v>
          </cell>
          <cell r="D2593" t="str">
            <v>PUP-52141 SW7594 TL VN-20KP</v>
          </cell>
          <cell r="E2593" t="str">
            <v>ZFGD</v>
          </cell>
          <cell r="F2593" t="str">
            <v>PC</v>
          </cell>
          <cell r="G2593" t="str">
            <v>1</v>
          </cell>
          <cell r="H2593" t="str">
            <v>INDUSTRY</v>
          </cell>
          <cell r="I2593" t="str">
            <v>11</v>
          </cell>
          <cell r="J2593" t="str">
            <v>WOOD COATINGS</v>
          </cell>
          <cell r="K2593" t="str">
            <v>1103</v>
          </cell>
          <cell r="L2593" t="str">
            <v>PU</v>
          </cell>
          <cell r="M2593" t="str">
            <v>110322</v>
          </cell>
          <cell r="N2593" t="str">
            <v>PU PRIMER</v>
          </cell>
        </row>
        <row r="2594">
          <cell r="C2594" t="str">
            <v>100003769</v>
          </cell>
          <cell r="D2594" t="str">
            <v>PUC-52239 SW7594 50 TL VN-20KP</v>
          </cell>
          <cell r="E2594" t="str">
            <v>ZFGD</v>
          </cell>
          <cell r="F2594" t="str">
            <v>PC</v>
          </cell>
          <cell r="G2594" t="str">
            <v>1</v>
          </cell>
          <cell r="H2594" t="str">
            <v>INDUSTRY</v>
          </cell>
          <cell r="I2594" t="str">
            <v>11</v>
          </cell>
          <cell r="J2594" t="str">
            <v>WOOD COATINGS</v>
          </cell>
          <cell r="K2594" t="str">
            <v>1103</v>
          </cell>
          <cell r="L2594" t="str">
            <v>PU</v>
          </cell>
          <cell r="M2594" t="str">
            <v>110319</v>
          </cell>
          <cell r="N2594" t="str">
            <v>PU COLOR</v>
          </cell>
        </row>
        <row r="2595">
          <cell r="C2595" t="str">
            <v>100003770</v>
          </cell>
          <cell r="D2595" t="str">
            <v>PCA-31100 EBONY STAIN TL VN-20LJ</v>
          </cell>
          <cell r="E2595" t="str">
            <v>ZFGD</v>
          </cell>
          <cell r="F2595" t="str">
            <v>PC</v>
          </cell>
          <cell r="G2595" t="str">
            <v>1</v>
          </cell>
          <cell r="H2595" t="str">
            <v>INDUSTRY</v>
          </cell>
          <cell r="I2595" t="str">
            <v>11</v>
          </cell>
          <cell r="J2595" t="str">
            <v>WOOD COATINGS</v>
          </cell>
          <cell r="K2595" t="str">
            <v>1118</v>
          </cell>
          <cell r="L2595" t="str">
            <v>COMPLEMENTARY</v>
          </cell>
          <cell r="M2595" t="str">
            <v>111807</v>
          </cell>
          <cell r="N2595" t="str">
            <v>PASTA</v>
          </cell>
        </row>
        <row r="2596">
          <cell r="C2596" t="str">
            <v>100003771</v>
          </cell>
          <cell r="D2596" t="str">
            <v>SST-11100 EBONY STAIN TL VN-20LJ</v>
          </cell>
          <cell r="E2596" t="str">
            <v>ZFGD</v>
          </cell>
          <cell r="F2596" t="str">
            <v>PC</v>
          </cell>
          <cell r="G2596" t="str">
            <v>1</v>
          </cell>
          <cell r="H2596" t="str">
            <v>INDUSTRY</v>
          </cell>
          <cell r="I2596" t="str">
            <v>11</v>
          </cell>
          <cell r="J2596" t="str">
            <v>WOOD COATINGS</v>
          </cell>
          <cell r="K2596" t="str">
            <v>1109</v>
          </cell>
          <cell r="L2596" t="str">
            <v>STAIN &amp; GLAZE INTERIOR</v>
          </cell>
          <cell r="M2596" t="str">
            <v>110903</v>
          </cell>
          <cell r="N2596" t="str">
            <v>STAIN INTERIOR</v>
          </cell>
        </row>
        <row r="2597">
          <cell r="C2597" t="str">
            <v>100003772</v>
          </cell>
          <cell r="D2597" t="str">
            <v>PUSS-51241 VC VN-20KP</v>
          </cell>
          <cell r="E2597" t="str">
            <v>ZFGD</v>
          </cell>
          <cell r="F2597" t="str">
            <v>PC</v>
          </cell>
          <cell r="G2597" t="str">
            <v>1</v>
          </cell>
          <cell r="H2597" t="str">
            <v>INDUSTRY</v>
          </cell>
          <cell r="I2597" t="str">
            <v>11</v>
          </cell>
          <cell r="J2597" t="str">
            <v>WOOD COATINGS</v>
          </cell>
          <cell r="K2597" t="str">
            <v>1103</v>
          </cell>
          <cell r="L2597" t="str">
            <v>PU</v>
          </cell>
          <cell r="M2597" t="str">
            <v>110323</v>
          </cell>
          <cell r="N2597" t="str">
            <v>PU SANDING SEALER</v>
          </cell>
        </row>
        <row r="2598">
          <cell r="C2598" t="str">
            <v>100003773</v>
          </cell>
          <cell r="D2598" t="str">
            <v>UVP-60105 WHITE KD VN-20KP</v>
          </cell>
          <cell r="E2598" t="str">
            <v>ZFGD</v>
          </cell>
          <cell r="F2598" t="str">
            <v>PC</v>
          </cell>
          <cell r="G2598" t="str">
            <v>1</v>
          </cell>
          <cell r="H2598" t="str">
            <v>INDUSTRY</v>
          </cell>
          <cell r="I2598" t="str">
            <v>11</v>
          </cell>
          <cell r="J2598" t="str">
            <v>WOOD COATINGS</v>
          </cell>
          <cell r="K2598" t="str">
            <v>1106</v>
          </cell>
          <cell r="L2598" t="str">
            <v>UV</v>
          </cell>
          <cell r="M2598" t="str">
            <v>110604</v>
          </cell>
          <cell r="N2598" t="str">
            <v>UV PRIMER</v>
          </cell>
        </row>
        <row r="2599">
          <cell r="C2599" t="str">
            <v>100003774</v>
          </cell>
          <cell r="D2599" t="str">
            <v>64-56 MICRO FILLER ASTWD03 GE VN-20KP</v>
          </cell>
          <cell r="E2599" t="str">
            <v>ZFGD</v>
          </cell>
          <cell r="F2599" t="str">
            <v>PC</v>
          </cell>
          <cell r="G2599" t="str">
            <v>1</v>
          </cell>
          <cell r="H2599" t="str">
            <v>INDUSTRY</v>
          </cell>
          <cell r="I2599" t="str">
            <v>11</v>
          </cell>
          <cell r="J2599" t="str">
            <v>WOOD COATINGS</v>
          </cell>
          <cell r="K2599" t="str">
            <v>1103</v>
          </cell>
          <cell r="L2599" t="str">
            <v>PU</v>
          </cell>
          <cell r="M2599" t="str">
            <v>110305</v>
          </cell>
          <cell r="N2599" t="str">
            <v>UNION FILLER</v>
          </cell>
        </row>
        <row r="2600">
          <cell r="C2600" t="str">
            <v>100003775</v>
          </cell>
          <cell r="D2600" t="str">
            <v>SST-11100 ASTWD03 A GE VN-20LJ</v>
          </cell>
          <cell r="E2600" t="str">
            <v>ZFGD</v>
          </cell>
          <cell r="F2600" t="str">
            <v>PC</v>
          </cell>
          <cell r="G2600" t="str">
            <v>1</v>
          </cell>
          <cell r="H2600" t="str">
            <v>INDUSTRY</v>
          </cell>
          <cell r="I2600" t="str">
            <v>11</v>
          </cell>
          <cell r="J2600" t="str">
            <v>WOOD COATINGS</v>
          </cell>
          <cell r="K2600" t="str">
            <v>1109</v>
          </cell>
          <cell r="L2600" t="str">
            <v>STAIN &amp; GLAZE INTERIOR</v>
          </cell>
          <cell r="M2600" t="str">
            <v>110903</v>
          </cell>
          <cell r="N2600" t="str">
            <v>STAIN INTERIOR</v>
          </cell>
        </row>
        <row r="2601">
          <cell r="C2601" t="str">
            <v>100003776</v>
          </cell>
          <cell r="D2601" t="str">
            <v>SST-11100 ASTWD03 B GE VN-20LJ</v>
          </cell>
          <cell r="E2601" t="str">
            <v>ZFGD</v>
          </cell>
          <cell r="F2601" t="str">
            <v>PC</v>
          </cell>
          <cell r="G2601" t="str">
            <v>1</v>
          </cell>
          <cell r="H2601" t="str">
            <v>INDUSTRY</v>
          </cell>
          <cell r="I2601" t="str">
            <v>11</v>
          </cell>
          <cell r="J2601" t="str">
            <v>WOOD COATINGS</v>
          </cell>
          <cell r="K2601" t="str">
            <v>1109</v>
          </cell>
          <cell r="L2601" t="str">
            <v>STAIN &amp; GLAZE INTERIOR</v>
          </cell>
          <cell r="M2601" t="str">
            <v>110903</v>
          </cell>
          <cell r="N2601" t="str">
            <v>STAIN INTERIOR</v>
          </cell>
        </row>
        <row r="2602">
          <cell r="C2602" t="str">
            <v>100003777</v>
          </cell>
          <cell r="D2602" t="str">
            <v>SST-11100 ASTWD03 C GE VN-20LJ</v>
          </cell>
          <cell r="E2602" t="str">
            <v>ZFGD</v>
          </cell>
          <cell r="F2602" t="str">
            <v>PC</v>
          </cell>
          <cell r="G2602" t="str">
            <v>1</v>
          </cell>
          <cell r="H2602" t="str">
            <v>INDUSTRY</v>
          </cell>
          <cell r="I2602" t="str">
            <v>11</v>
          </cell>
          <cell r="J2602" t="str">
            <v>WOOD COATINGS</v>
          </cell>
          <cell r="K2602" t="str">
            <v>1109</v>
          </cell>
          <cell r="L2602" t="str">
            <v>STAIN &amp; GLAZE INTERIOR</v>
          </cell>
          <cell r="M2602" t="str">
            <v>110903</v>
          </cell>
          <cell r="N2602" t="str">
            <v>STAIN INTERIOR</v>
          </cell>
        </row>
        <row r="2603">
          <cell r="C2603" t="str">
            <v>100003778</v>
          </cell>
          <cell r="D2603" t="str">
            <v>MPUL-13700 50 VN-16KP</v>
          </cell>
          <cell r="E2603" t="str">
            <v>ZFGD</v>
          </cell>
          <cell r="F2603" t="str">
            <v>PC</v>
          </cell>
          <cell r="G2603" t="str">
            <v>1</v>
          </cell>
          <cell r="H2603" t="str">
            <v>INDUSTRY</v>
          </cell>
          <cell r="I2603" t="str">
            <v>16</v>
          </cell>
          <cell r="J2603" t="str">
            <v>METAL COATINGS</v>
          </cell>
          <cell r="K2603" t="str">
            <v>1601</v>
          </cell>
          <cell r="L2603" t="str">
            <v>METAL COATINGS</v>
          </cell>
          <cell r="M2603" t="str">
            <v>160101</v>
          </cell>
          <cell r="N2603" t="str">
            <v>METAL COATINGS</v>
          </cell>
        </row>
        <row r="2604">
          <cell r="C2604" t="str">
            <v>100003779</v>
          </cell>
          <cell r="D2604" t="str">
            <v>PUC-52239 VIETTRAVEL 10 TL VN-20KP</v>
          </cell>
          <cell r="E2604" t="str">
            <v>ZFGD</v>
          </cell>
          <cell r="F2604" t="str">
            <v>PC</v>
          </cell>
          <cell r="G2604" t="str">
            <v>1</v>
          </cell>
          <cell r="H2604" t="str">
            <v>INDUSTRY</v>
          </cell>
          <cell r="I2604" t="str">
            <v>11</v>
          </cell>
          <cell r="J2604" t="str">
            <v>WOOD COATINGS</v>
          </cell>
          <cell r="K2604" t="str">
            <v>1103</v>
          </cell>
          <cell r="L2604" t="str">
            <v>PU</v>
          </cell>
          <cell r="M2604" t="str">
            <v>110319</v>
          </cell>
          <cell r="N2604" t="str">
            <v>PU COLOR</v>
          </cell>
        </row>
        <row r="2605">
          <cell r="C2605" t="str">
            <v>100003780</v>
          </cell>
          <cell r="D2605" t="str">
            <v>SST-11100 KS ACC NT I TL VN-20LJ</v>
          </cell>
          <cell r="E2605" t="str">
            <v>ZFGD</v>
          </cell>
          <cell r="F2605" t="str">
            <v>PC</v>
          </cell>
          <cell r="G2605" t="str">
            <v>1</v>
          </cell>
          <cell r="H2605" t="str">
            <v>INDUSTRY</v>
          </cell>
          <cell r="I2605" t="str">
            <v>11</v>
          </cell>
          <cell r="J2605" t="str">
            <v>WOOD COATINGS</v>
          </cell>
          <cell r="K2605" t="str">
            <v>1109</v>
          </cell>
          <cell r="L2605" t="str">
            <v>STAIN &amp; GLAZE INTERIOR</v>
          </cell>
          <cell r="M2605" t="str">
            <v>110903</v>
          </cell>
          <cell r="N2605" t="str">
            <v>STAIN INTERIOR</v>
          </cell>
        </row>
        <row r="2606">
          <cell r="C2606" t="str">
            <v>100003781</v>
          </cell>
          <cell r="D2606" t="str">
            <v>SST-11100 KS ACC NT II TL VN-20LJ</v>
          </cell>
          <cell r="E2606" t="str">
            <v>ZFGD</v>
          </cell>
          <cell r="F2606" t="str">
            <v>PC</v>
          </cell>
          <cell r="G2606" t="str">
            <v>1</v>
          </cell>
          <cell r="H2606" t="str">
            <v>INDUSTRY</v>
          </cell>
          <cell r="I2606" t="str">
            <v>11</v>
          </cell>
          <cell r="J2606" t="str">
            <v>WOOD COATINGS</v>
          </cell>
          <cell r="K2606" t="str">
            <v>1109</v>
          </cell>
          <cell r="L2606" t="str">
            <v>STAIN &amp; GLAZE INTERIOR</v>
          </cell>
          <cell r="M2606" t="str">
            <v>110903</v>
          </cell>
          <cell r="N2606" t="str">
            <v>STAIN INTERIOR</v>
          </cell>
        </row>
        <row r="2607">
          <cell r="C2607" t="str">
            <v>100003782</v>
          </cell>
          <cell r="D2607" t="str">
            <v>82-1189 UE AF URT FLAT A-16KP</v>
          </cell>
          <cell r="E2607" t="str">
            <v>ZFGD</v>
          </cell>
          <cell r="F2607" t="str">
            <v>PC</v>
          </cell>
          <cell r="G2607" t="str">
            <v>1</v>
          </cell>
          <cell r="H2607" t="str">
            <v>INDUSTRY</v>
          </cell>
          <cell r="I2607" t="str">
            <v>11</v>
          </cell>
          <cell r="J2607" t="str">
            <v>WOOD COATINGS</v>
          </cell>
          <cell r="K2607" t="str">
            <v>1103</v>
          </cell>
          <cell r="L2607" t="str">
            <v>PU</v>
          </cell>
          <cell r="M2607" t="str">
            <v>110312</v>
          </cell>
          <cell r="N2607" t="str">
            <v>UNION TOP COAT</v>
          </cell>
        </row>
        <row r="2608">
          <cell r="C2608" t="str">
            <v>100003783</v>
          </cell>
          <cell r="D2608" t="str">
            <v>PUP-52141 STONE GREY TL VN-20KP</v>
          </cell>
          <cell r="E2608" t="str">
            <v>ZFGD</v>
          </cell>
          <cell r="F2608" t="str">
            <v>PC</v>
          </cell>
          <cell r="G2608" t="str">
            <v>1</v>
          </cell>
          <cell r="H2608" t="str">
            <v>INDUSTRY</v>
          </cell>
          <cell r="I2608" t="str">
            <v>11</v>
          </cell>
          <cell r="J2608" t="str">
            <v>WOOD COATINGS</v>
          </cell>
          <cell r="K2608" t="str">
            <v>1103</v>
          </cell>
          <cell r="L2608" t="str">
            <v>PU</v>
          </cell>
          <cell r="M2608" t="str">
            <v>110322</v>
          </cell>
          <cell r="N2608" t="str">
            <v>PU PRIMER</v>
          </cell>
        </row>
        <row r="2609">
          <cell r="C2609" t="str">
            <v>100003784</v>
          </cell>
          <cell r="D2609" t="str">
            <v>PUC-54205 AC VIP10 30 TR VN-20KP</v>
          </cell>
          <cell r="E2609" t="str">
            <v>ZFGD</v>
          </cell>
          <cell r="F2609" t="str">
            <v>PC</v>
          </cell>
          <cell r="G2609" t="str">
            <v>1</v>
          </cell>
          <cell r="H2609" t="str">
            <v>INDUSTRY</v>
          </cell>
          <cell r="I2609" t="str">
            <v>11</v>
          </cell>
          <cell r="J2609" t="str">
            <v>WOOD COATINGS</v>
          </cell>
          <cell r="K2609" t="str">
            <v>1103</v>
          </cell>
          <cell r="L2609" t="str">
            <v>PU</v>
          </cell>
          <cell r="M2609" t="str">
            <v>110319</v>
          </cell>
          <cell r="N2609" t="str">
            <v>PU COLOR</v>
          </cell>
        </row>
        <row r="2610">
          <cell r="C2610" t="str">
            <v>100003785</v>
          </cell>
          <cell r="D2610" t="str">
            <v>SST-11100 NOTIO 184 F1 VN-20LJ</v>
          </cell>
          <cell r="E2610" t="str">
            <v>ZFGD</v>
          </cell>
          <cell r="F2610" t="str">
            <v>PC</v>
          </cell>
          <cell r="G2610" t="str">
            <v>1</v>
          </cell>
          <cell r="H2610" t="str">
            <v>INDUSTRY</v>
          </cell>
          <cell r="I2610" t="str">
            <v>11</v>
          </cell>
          <cell r="J2610" t="str">
            <v>WOOD COATINGS</v>
          </cell>
          <cell r="K2610" t="str">
            <v>1109</v>
          </cell>
          <cell r="L2610" t="str">
            <v>STAIN &amp; GLAZE INTERIOR</v>
          </cell>
          <cell r="M2610" t="str">
            <v>110903</v>
          </cell>
          <cell r="N2610" t="str">
            <v>STAIN INTERIOR</v>
          </cell>
        </row>
        <row r="2611">
          <cell r="C2611" t="str">
            <v>100003786</v>
          </cell>
          <cell r="D2611" t="str">
            <v>SST-11100 CLR NOTIO 184 F1 VN-20LJ</v>
          </cell>
          <cell r="E2611" t="str">
            <v>ZFGD</v>
          </cell>
          <cell r="F2611" t="str">
            <v>PC</v>
          </cell>
          <cell r="G2611" t="str">
            <v>1</v>
          </cell>
          <cell r="H2611" t="str">
            <v>INDUSTRY</v>
          </cell>
          <cell r="I2611" t="str">
            <v>11</v>
          </cell>
          <cell r="J2611" t="str">
            <v>WOOD COATINGS</v>
          </cell>
          <cell r="K2611" t="str">
            <v>1109</v>
          </cell>
          <cell r="L2611" t="str">
            <v>STAIN &amp; GLAZE INTERIOR</v>
          </cell>
          <cell r="M2611" t="str">
            <v>110903</v>
          </cell>
          <cell r="N2611" t="str">
            <v>STAIN INTERIOR</v>
          </cell>
        </row>
        <row r="2612">
          <cell r="C2612" t="str">
            <v>100003787</v>
          </cell>
          <cell r="D2612" t="str">
            <v>PG-13900 NOTIO 184 F1 VN-20KP</v>
          </cell>
          <cell r="E2612" t="str">
            <v>ZFGD</v>
          </cell>
          <cell r="F2612" t="str">
            <v>PC</v>
          </cell>
          <cell r="G2612" t="str">
            <v>1</v>
          </cell>
          <cell r="H2612" t="str">
            <v>INDUSTRY</v>
          </cell>
          <cell r="I2612" t="str">
            <v>11</v>
          </cell>
          <cell r="J2612" t="str">
            <v>WOOD COATINGS</v>
          </cell>
          <cell r="K2612" t="str">
            <v>1109</v>
          </cell>
          <cell r="L2612" t="str">
            <v>STAIN &amp; GLAZE INTERIOR</v>
          </cell>
          <cell r="M2612" t="str">
            <v>110901</v>
          </cell>
          <cell r="N2612" t="str">
            <v>ASOF : STAIN &amp; GLAZE</v>
          </cell>
        </row>
        <row r="2613">
          <cell r="C2613" t="str">
            <v>100003788</v>
          </cell>
          <cell r="D2613" t="str">
            <v>SST-11100 NOTIO 225 F1 VN-20LJ</v>
          </cell>
          <cell r="E2613" t="str">
            <v>ZFGD</v>
          </cell>
          <cell r="F2613" t="str">
            <v>PC</v>
          </cell>
          <cell r="G2613" t="str">
            <v>1</v>
          </cell>
          <cell r="H2613" t="str">
            <v>INDUSTRY</v>
          </cell>
          <cell r="I2613" t="str">
            <v>11</v>
          </cell>
          <cell r="J2613" t="str">
            <v>WOOD COATINGS</v>
          </cell>
          <cell r="K2613" t="str">
            <v>1109</v>
          </cell>
          <cell r="L2613" t="str">
            <v>STAIN &amp; GLAZE INTERIOR</v>
          </cell>
          <cell r="M2613" t="str">
            <v>110903</v>
          </cell>
          <cell r="N2613" t="str">
            <v>STAIN INTERIOR</v>
          </cell>
        </row>
        <row r="2614">
          <cell r="C2614" t="str">
            <v>100003789</v>
          </cell>
          <cell r="D2614" t="str">
            <v>SST-11100 CLR NOTIO 225 F1 VN-20LJ</v>
          </cell>
          <cell r="E2614" t="str">
            <v>ZFGD</v>
          </cell>
          <cell r="F2614" t="str">
            <v>PC</v>
          </cell>
          <cell r="G2614" t="str">
            <v>1</v>
          </cell>
          <cell r="H2614" t="str">
            <v>INDUSTRY</v>
          </cell>
          <cell r="I2614" t="str">
            <v>11</v>
          </cell>
          <cell r="J2614" t="str">
            <v>WOOD COATINGS</v>
          </cell>
          <cell r="K2614" t="str">
            <v>1109</v>
          </cell>
          <cell r="L2614" t="str">
            <v>STAIN &amp; GLAZE INTERIOR</v>
          </cell>
          <cell r="M2614" t="str">
            <v>110903</v>
          </cell>
          <cell r="N2614" t="str">
            <v>STAIN INTERIOR</v>
          </cell>
        </row>
        <row r="2615">
          <cell r="C2615" t="str">
            <v>100003790</v>
          </cell>
          <cell r="D2615" t="str">
            <v>PG-13900 NOTIO 225 F1 VN-20KP</v>
          </cell>
          <cell r="E2615" t="str">
            <v>ZFGD</v>
          </cell>
          <cell r="F2615" t="str">
            <v>PC</v>
          </cell>
          <cell r="G2615" t="str">
            <v>1</v>
          </cell>
          <cell r="H2615" t="str">
            <v>INDUSTRY</v>
          </cell>
          <cell r="I2615" t="str">
            <v>11</v>
          </cell>
          <cell r="J2615" t="str">
            <v>WOOD COATINGS</v>
          </cell>
          <cell r="K2615" t="str">
            <v>1109</v>
          </cell>
          <cell r="L2615" t="str">
            <v>STAIN &amp; GLAZE INTERIOR</v>
          </cell>
          <cell r="M2615" t="str">
            <v>110901</v>
          </cell>
          <cell r="N2615" t="str">
            <v>ASOF : STAIN &amp; GLAZE</v>
          </cell>
        </row>
        <row r="2616">
          <cell r="C2616" t="str">
            <v>100003791</v>
          </cell>
          <cell r="D2616" t="str">
            <v>SST-11100 NOTIO 247 F1 VN-20LJ</v>
          </cell>
          <cell r="E2616" t="str">
            <v>ZFGD</v>
          </cell>
          <cell r="F2616" t="str">
            <v>PC</v>
          </cell>
          <cell r="G2616" t="str">
            <v>1</v>
          </cell>
          <cell r="H2616" t="str">
            <v>INDUSTRY</v>
          </cell>
          <cell r="I2616" t="str">
            <v>11</v>
          </cell>
          <cell r="J2616" t="str">
            <v>WOOD COATINGS</v>
          </cell>
          <cell r="K2616" t="str">
            <v>1109</v>
          </cell>
          <cell r="L2616" t="str">
            <v>STAIN &amp; GLAZE INTERIOR</v>
          </cell>
          <cell r="M2616" t="str">
            <v>110903</v>
          </cell>
          <cell r="N2616" t="str">
            <v>STAIN INTERIOR</v>
          </cell>
        </row>
        <row r="2617">
          <cell r="C2617" t="str">
            <v>100003792</v>
          </cell>
          <cell r="D2617" t="str">
            <v>SST-11100 CLR NOTIO 247 F1 VN-20LJ</v>
          </cell>
          <cell r="E2617" t="str">
            <v>ZFGD</v>
          </cell>
          <cell r="F2617" t="str">
            <v>PC</v>
          </cell>
          <cell r="G2617" t="str">
            <v>1</v>
          </cell>
          <cell r="H2617" t="str">
            <v>INDUSTRY</v>
          </cell>
          <cell r="I2617" t="str">
            <v>11</v>
          </cell>
          <cell r="J2617" t="str">
            <v>WOOD COATINGS</v>
          </cell>
          <cell r="K2617" t="str">
            <v>1109</v>
          </cell>
          <cell r="L2617" t="str">
            <v>STAIN &amp; GLAZE INTERIOR</v>
          </cell>
          <cell r="M2617" t="str">
            <v>110903</v>
          </cell>
          <cell r="N2617" t="str">
            <v>STAIN INTERIOR</v>
          </cell>
        </row>
        <row r="2618">
          <cell r="C2618" t="str">
            <v>100003793</v>
          </cell>
          <cell r="D2618" t="str">
            <v>SST-11100 WDRG01 A GE VN-20LJ</v>
          </cell>
          <cell r="E2618" t="str">
            <v>ZFGD</v>
          </cell>
          <cell r="F2618" t="str">
            <v>PC</v>
          </cell>
          <cell r="G2618" t="str">
            <v>1</v>
          </cell>
          <cell r="H2618" t="str">
            <v>INDUSTRY</v>
          </cell>
          <cell r="I2618" t="str">
            <v>11</v>
          </cell>
          <cell r="J2618" t="str">
            <v>WOOD COATINGS</v>
          </cell>
          <cell r="K2618" t="str">
            <v>1109</v>
          </cell>
          <cell r="L2618" t="str">
            <v>STAIN &amp; GLAZE INTERIOR</v>
          </cell>
          <cell r="M2618" t="str">
            <v>110903</v>
          </cell>
          <cell r="N2618" t="str">
            <v>STAIN INTERIOR</v>
          </cell>
        </row>
        <row r="2619">
          <cell r="C2619" t="str">
            <v>100003794</v>
          </cell>
          <cell r="D2619" t="str">
            <v>NCL-11323 LC AF CLEAR 15 VN-20LP</v>
          </cell>
          <cell r="E2619" t="str">
            <v>ZFGD</v>
          </cell>
          <cell r="F2619" t="str">
            <v>PC</v>
          </cell>
          <cell r="G2619" t="str">
            <v>1</v>
          </cell>
          <cell r="H2619" t="str">
            <v>INDUSTRY</v>
          </cell>
          <cell r="I2619" t="str">
            <v>11</v>
          </cell>
          <cell r="J2619" t="str">
            <v>WOOD COATINGS</v>
          </cell>
          <cell r="K2619" t="str">
            <v>1104</v>
          </cell>
          <cell r="L2619" t="str">
            <v>NC</v>
          </cell>
          <cell r="M2619" t="str">
            <v>110405</v>
          </cell>
          <cell r="N2619" t="str">
            <v>NC SYSTEM</v>
          </cell>
        </row>
        <row r="2620">
          <cell r="C2620" t="str">
            <v>100003795</v>
          </cell>
          <cell r="D2620" t="str">
            <v>WPWB-81201 KR JF VN-25KP</v>
          </cell>
          <cell r="E2620" t="str">
            <v>ZFGD</v>
          </cell>
          <cell r="F2620" t="str">
            <v>PC</v>
          </cell>
          <cell r="G2620" t="str">
            <v>1</v>
          </cell>
          <cell r="H2620" t="str">
            <v>INDUSTRY</v>
          </cell>
          <cell r="I2620" t="str">
            <v>11</v>
          </cell>
          <cell r="J2620" t="str">
            <v>WOOD COATINGS</v>
          </cell>
          <cell r="K2620" t="str">
            <v>1119</v>
          </cell>
          <cell r="L2620" t="str">
            <v>WATERBASED</v>
          </cell>
          <cell r="M2620" t="str">
            <v>111902</v>
          </cell>
          <cell r="N2620" t="str">
            <v>WATERBASED SYSTEM INTERIOR</v>
          </cell>
        </row>
        <row r="2621">
          <cell r="C2621" t="str">
            <v>100003796</v>
          </cell>
          <cell r="D2621" t="str">
            <v>UVS-20600 SLP NEW 01 SC VN-20KP</v>
          </cell>
          <cell r="E2621" t="str">
            <v>ZFGD</v>
          </cell>
          <cell r="F2621" t="str">
            <v>PC</v>
          </cell>
          <cell r="G2621" t="str">
            <v>1</v>
          </cell>
          <cell r="H2621" t="str">
            <v>INDUSTRY</v>
          </cell>
          <cell r="I2621" t="str">
            <v>11</v>
          </cell>
          <cell r="J2621" t="str">
            <v>WOOD COATINGS</v>
          </cell>
          <cell r="K2621" t="str">
            <v>1106</v>
          </cell>
          <cell r="L2621" t="str">
            <v>UV</v>
          </cell>
          <cell r="M2621" t="str">
            <v>110606</v>
          </cell>
          <cell r="N2621" t="str">
            <v>UV STAIN</v>
          </cell>
        </row>
        <row r="2622">
          <cell r="C2622" t="str">
            <v>100003797</v>
          </cell>
          <cell r="D2622" t="str">
            <v>UVS-20600 SLP NEW 02 SC VN-20KP</v>
          </cell>
          <cell r="E2622" t="str">
            <v>ZFGD</v>
          </cell>
          <cell r="F2622" t="str">
            <v>PC</v>
          </cell>
          <cell r="G2622" t="str">
            <v>1</v>
          </cell>
          <cell r="H2622" t="str">
            <v>INDUSTRY</v>
          </cell>
          <cell r="I2622" t="str">
            <v>11</v>
          </cell>
          <cell r="J2622" t="str">
            <v>WOOD COATINGS</v>
          </cell>
          <cell r="K2622" t="str">
            <v>1106</v>
          </cell>
          <cell r="L2622" t="str">
            <v>UV</v>
          </cell>
          <cell r="M2622" t="str">
            <v>110606</v>
          </cell>
          <cell r="N2622" t="str">
            <v>UV STAIN</v>
          </cell>
        </row>
        <row r="2623">
          <cell r="C2623" t="str">
            <v>100003798</v>
          </cell>
          <cell r="D2623" t="str">
            <v>UVS-20600 SLP NEW 03 SC VN-20KP</v>
          </cell>
          <cell r="E2623" t="str">
            <v>ZFGD</v>
          </cell>
          <cell r="F2623" t="str">
            <v>PC</v>
          </cell>
          <cell r="G2623" t="str">
            <v>1</v>
          </cell>
          <cell r="H2623" t="str">
            <v>INDUSTRY</v>
          </cell>
          <cell r="I2623" t="str">
            <v>11</v>
          </cell>
          <cell r="J2623" t="str">
            <v>WOOD COATINGS</v>
          </cell>
          <cell r="K2623" t="str">
            <v>1106</v>
          </cell>
          <cell r="L2623" t="str">
            <v>UV</v>
          </cell>
          <cell r="M2623" t="str">
            <v>110606</v>
          </cell>
          <cell r="N2623" t="str">
            <v>UV STAIN</v>
          </cell>
        </row>
        <row r="2624">
          <cell r="C2624" t="str">
            <v>100003799</v>
          </cell>
          <cell r="D2624" t="str">
            <v>PUC-52241 LANCASTER 20 TL VN-20KP</v>
          </cell>
          <cell r="E2624" t="str">
            <v>ZFGD</v>
          </cell>
          <cell r="F2624" t="str">
            <v>PC</v>
          </cell>
          <cell r="G2624" t="str">
            <v>1</v>
          </cell>
          <cell r="H2624" t="str">
            <v>INDUSTRY</v>
          </cell>
          <cell r="I2624" t="str">
            <v>11</v>
          </cell>
          <cell r="J2624" t="str">
            <v>WOOD COATINGS</v>
          </cell>
          <cell r="K2624" t="str">
            <v>1103</v>
          </cell>
          <cell r="L2624" t="str">
            <v>PU</v>
          </cell>
          <cell r="M2624" t="str">
            <v>110319</v>
          </cell>
          <cell r="N2624" t="str">
            <v>PU COLOR</v>
          </cell>
        </row>
        <row r="2625">
          <cell r="C2625" t="str">
            <v>100003800</v>
          </cell>
          <cell r="D2625" t="str">
            <v>AP-980 CLEAR GLOSS VN-20KP</v>
          </cell>
          <cell r="E2625" t="str">
            <v>ZFGD</v>
          </cell>
          <cell r="F2625" t="str">
            <v>PC</v>
          </cell>
          <cell r="G2625" t="str">
            <v>2</v>
          </cell>
          <cell r="H2625" t="str">
            <v>RETAIL</v>
          </cell>
          <cell r="I2625" t="str">
            <v>29</v>
          </cell>
          <cell r="J2625" t="str">
            <v>MPC</v>
          </cell>
          <cell r="K2625" t="str">
            <v>2910</v>
          </cell>
          <cell r="L2625" t="str">
            <v>ZINCOAT</v>
          </cell>
          <cell r="M2625" t="str">
            <v>291001</v>
          </cell>
          <cell r="N2625" t="str">
            <v>ZINCOAT</v>
          </cell>
        </row>
        <row r="2626">
          <cell r="C2626" t="str">
            <v>100003801</v>
          </cell>
          <cell r="D2626" t="str">
            <v>PCA-31100 LANCASTER1 A TL VN-20LJ</v>
          </cell>
          <cell r="E2626" t="str">
            <v>ZFGD</v>
          </cell>
          <cell r="F2626" t="str">
            <v>PC</v>
          </cell>
          <cell r="G2626" t="str">
            <v>1</v>
          </cell>
          <cell r="H2626" t="str">
            <v>INDUSTRY</v>
          </cell>
          <cell r="I2626" t="str">
            <v>11</v>
          </cell>
          <cell r="J2626" t="str">
            <v>WOOD COATINGS</v>
          </cell>
          <cell r="K2626" t="str">
            <v>1118</v>
          </cell>
          <cell r="L2626" t="str">
            <v>COMPLEMENTARY</v>
          </cell>
          <cell r="M2626" t="str">
            <v>111807</v>
          </cell>
          <cell r="N2626" t="str">
            <v>PASTA</v>
          </cell>
        </row>
        <row r="2627">
          <cell r="C2627" t="str">
            <v>100003802</v>
          </cell>
          <cell r="D2627" t="str">
            <v>SST-11100 LANCASTER1 B TL VN-20LJ</v>
          </cell>
          <cell r="E2627" t="str">
            <v>ZFGD</v>
          </cell>
          <cell r="F2627" t="str">
            <v>PC</v>
          </cell>
          <cell r="G2627" t="str">
            <v>1</v>
          </cell>
          <cell r="H2627" t="str">
            <v>INDUSTRY</v>
          </cell>
          <cell r="I2627" t="str">
            <v>11</v>
          </cell>
          <cell r="J2627" t="str">
            <v>WOOD COATINGS</v>
          </cell>
          <cell r="K2627" t="str">
            <v>1109</v>
          </cell>
          <cell r="L2627" t="str">
            <v>STAIN &amp; GLAZE INTERIOR</v>
          </cell>
          <cell r="M2627" t="str">
            <v>110903</v>
          </cell>
          <cell r="N2627" t="str">
            <v>STAIN INTERIOR</v>
          </cell>
        </row>
        <row r="2628">
          <cell r="C2628" t="str">
            <v>100003803</v>
          </cell>
          <cell r="D2628" t="str">
            <v>PUC-54205 AC CRYSTAL G 10 TL VN-20KP</v>
          </cell>
          <cell r="E2628" t="str">
            <v>ZFGD</v>
          </cell>
          <cell r="F2628" t="str">
            <v>PC</v>
          </cell>
          <cell r="G2628" t="str">
            <v>1</v>
          </cell>
          <cell r="H2628" t="str">
            <v>INDUSTRY</v>
          </cell>
          <cell r="I2628" t="str">
            <v>11</v>
          </cell>
          <cell r="J2628" t="str">
            <v>WOOD COATINGS</v>
          </cell>
          <cell r="K2628" t="str">
            <v>1103</v>
          </cell>
          <cell r="L2628" t="str">
            <v>PU</v>
          </cell>
          <cell r="M2628" t="str">
            <v>110319</v>
          </cell>
          <cell r="N2628" t="str">
            <v>PU COLOR</v>
          </cell>
        </row>
        <row r="2629">
          <cell r="C2629" t="str">
            <v>100003804</v>
          </cell>
          <cell r="D2629" t="str">
            <v>PCA-31100 CRYSTAL A I TL VN-20LJ</v>
          </cell>
          <cell r="E2629" t="str">
            <v>ZFGD</v>
          </cell>
          <cell r="F2629" t="str">
            <v>PC</v>
          </cell>
          <cell r="G2629" t="str">
            <v>1</v>
          </cell>
          <cell r="H2629" t="str">
            <v>INDUSTRY</v>
          </cell>
          <cell r="I2629" t="str">
            <v>11</v>
          </cell>
          <cell r="J2629" t="str">
            <v>WOOD COATINGS</v>
          </cell>
          <cell r="K2629" t="str">
            <v>1118</v>
          </cell>
          <cell r="L2629" t="str">
            <v>COMPLEMENTARY</v>
          </cell>
          <cell r="M2629" t="str">
            <v>111807</v>
          </cell>
          <cell r="N2629" t="str">
            <v>PASTA</v>
          </cell>
        </row>
        <row r="2630">
          <cell r="C2630" t="str">
            <v>100003805</v>
          </cell>
          <cell r="D2630" t="str">
            <v>PCA-31100 CRYSTAL A II TL VN-20LJ</v>
          </cell>
          <cell r="E2630" t="str">
            <v>ZFGD</v>
          </cell>
          <cell r="F2630" t="str">
            <v>PC</v>
          </cell>
          <cell r="G2630" t="str">
            <v>1</v>
          </cell>
          <cell r="H2630" t="str">
            <v>INDUSTRY</v>
          </cell>
          <cell r="I2630" t="str">
            <v>11</v>
          </cell>
          <cell r="J2630" t="str">
            <v>WOOD COATINGS</v>
          </cell>
          <cell r="K2630" t="str">
            <v>1118</v>
          </cell>
          <cell r="L2630" t="str">
            <v>COMPLEMENTARY</v>
          </cell>
          <cell r="M2630" t="str">
            <v>111807</v>
          </cell>
          <cell r="N2630" t="str">
            <v>PASTA</v>
          </cell>
        </row>
        <row r="2631">
          <cell r="C2631" t="str">
            <v>100003806</v>
          </cell>
          <cell r="D2631" t="str">
            <v>PCA-31100 CRYSTAL B I TL VN-20KP</v>
          </cell>
          <cell r="E2631" t="str">
            <v>ZFGD</v>
          </cell>
          <cell r="F2631" t="str">
            <v>PC</v>
          </cell>
          <cell r="G2631" t="str">
            <v>1</v>
          </cell>
          <cell r="H2631" t="str">
            <v>INDUSTRY</v>
          </cell>
          <cell r="I2631" t="str">
            <v>11</v>
          </cell>
          <cell r="J2631" t="str">
            <v>WOOD COATINGS</v>
          </cell>
          <cell r="K2631" t="str">
            <v>1118</v>
          </cell>
          <cell r="L2631" t="str">
            <v>COMPLEMENTARY</v>
          </cell>
          <cell r="M2631" t="str">
            <v>111807</v>
          </cell>
          <cell r="N2631" t="str">
            <v>PASTA</v>
          </cell>
        </row>
        <row r="2632">
          <cell r="C2632" t="str">
            <v>100003807</v>
          </cell>
          <cell r="D2632" t="str">
            <v>SST-11100 CRYSTAL B II TL VN-20LJ</v>
          </cell>
          <cell r="E2632" t="str">
            <v>ZFGD</v>
          </cell>
          <cell r="F2632" t="str">
            <v>PC</v>
          </cell>
          <cell r="G2632" t="str">
            <v>1</v>
          </cell>
          <cell r="H2632" t="str">
            <v>INDUSTRY</v>
          </cell>
          <cell r="I2632" t="str">
            <v>11</v>
          </cell>
          <cell r="J2632" t="str">
            <v>WOOD COATINGS</v>
          </cell>
          <cell r="K2632" t="str">
            <v>1109</v>
          </cell>
          <cell r="L2632" t="str">
            <v>STAIN &amp; GLAZE INTERIOR</v>
          </cell>
          <cell r="M2632" t="str">
            <v>110903</v>
          </cell>
          <cell r="N2632" t="str">
            <v>STAIN INTERIOR</v>
          </cell>
        </row>
        <row r="2633">
          <cell r="C2633" t="str">
            <v>100003808</v>
          </cell>
          <cell r="D2633" t="str">
            <v>PUC-54205 AC ASTPT05 15 GE VN-20KP</v>
          </cell>
          <cell r="E2633" t="str">
            <v>ZFGD</v>
          </cell>
          <cell r="F2633" t="str">
            <v>PC</v>
          </cell>
          <cell r="G2633" t="str">
            <v>1</v>
          </cell>
          <cell r="H2633" t="str">
            <v>INDUSTRY</v>
          </cell>
          <cell r="I2633" t="str">
            <v>11</v>
          </cell>
          <cell r="J2633" t="str">
            <v>WOOD COATINGS</v>
          </cell>
          <cell r="K2633" t="str">
            <v>1103</v>
          </cell>
          <cell r="L2633" t="str">
            <v>PU</v>
          </cell>
          <cell r="M2633" t="str">
            <v>110319</v>
          </cell>
          <cell r="N2633" t="str">
            <v>PU COLOR</v>
          </cell>
        </row>
        <row r="2634">
          <cell r="C2634" t="str">
            <v>100003809</v>
          </cell>
          <cell r="D2634" t="str">
            <v>SST-11100 AST MT01 GE VN-20LJ</v>
          </cell>
          <cell r="E2634" t="str">
            <v>ZFGD</v>
          </cell>
          <cell r="F2634" t="str">
            <v>PC</v>
          </cell>
          <cell r="G2634" t="str">
            <v>1</v>
          </cell>
          <cell r="H2634" t="str">
            <v>INDUSTRY</v>
          </cell>
          <cell r="I2634" t="str">
            <v>11</v>
          </cell>
          <cell r="J2634" t="str">
            <v>WOOD COATINGS</v>
          </cell>
          <cell r="K2634" t="str">
            <v>1109</v>
          </cell>
          <cell r="L2634" t="str">
            <v>STAIN &amp; GLAZE INTERIOR</v>
          </cell>
          <cell r="M2634" t="str">
            <v>110903</v>
          </cell>
          <cell r="N2634" t="str">
            <v>STAIN INTERIOR</v>
          </cell>
        </row>
        <row r="2635">
          <cell r="C2635" t="str">
            <v>100003811</v>
          </cell>
          <cell r="D2635" t="str">
            <v>82-1039 UE AF URT FLAT A 10% VN-16KP</v>
          </cell>
          <cell r="E2635" t="str">
            <v>ZFGD</v>
          </cell>
          <cell r="F2635" t="str">
            <v>PC</v>
          </cell>
          <cell r="G2635" t="str">
            <v>1</v>
          </cell>
          <cell r="H2635" t="str">
            <v>INDUSTRY</v>
          </cell>
          <cell r="I2635" t="str">
            <v>11</v>
          </cell>
          <cell r="J2635" t="str">
            <v>WOOD COATINGS</v>
          </cell>
          <cell r="K2635" t="str">
            <v>1103</v>
          </cell>
          <cell r="L2635" t="str">
            <v>PU</v>
          </cell>
          <cell r="M2635" t="str">
            <v>110312</v>
          </cell>
          <cell r="N2635" t="str">
            <v>UNION TOP COAT</v>
          </cell>
        </row>
        <row r="2636">
          <cell r="C2636" t="str">
            <v>100003812</v>
          </cell>
          <cell r="D2636" t="str">
            <v>PUC-54205 AC 014 10 AH VN-20KP</v>
          </cell>
          <cell r="E2636" t="str">
            <v>ZFGD</v>
          </cell>
          <cell r="F2636" t="str">
            <v>PC</v>
          </cell>
          <cell r="G2636" t="str">
            <v>1</v>
          </cell>
          <cell r="H2636" t="str">
            <v>INDUSTRY</v>
          </cell>
          <cell r="I2636" t="str">
            <v>11</v>
          </cell>
          <cell r="J2636" t="str">
            <v>WOOD COATINGS</v>
          </cell>
          <cell r="K2636" t="str">
            <v>1103</v>
          </cell>
          <cell r="L2636" t="str">
            <v>PU</v>
          </cell>
          <cell r="M2636" t="str">
            <v>110319</v>
          </cell>
          <cell r="N2636" t="str">
            <v>PU COLOR</v>
          </cell>
        </row>
        <row r="2637">
          <cell r="C2637" t="str">
            <v>100003813</v>
          </cell>
          <cell r="D2637" t="str">
            <v>SST-11100 028 FS VN-20LJ</v>
          </cell>
          <cell r="E2637" t="str">
            <v>ZFGD</v>
          </cell>
          <cell r="F2637" t="str">
            <v>PC</v>
          </cell>
          <cell r="G2637" t="str">
            <v>1</v>
          </cell>
          <cell r="H2637" t="str">
            <v>INDUSTRY</v>
          </cell>
          <cell r="I2637" t="str">
            <v>11</v>
          </cell>
          <cell r="J2637" t="str">
            <v>WOOD COATINGS</v>
          </cell>
          <cell r="K2637" t="str">
            <v>1109</v>
          </cell>
          <cell r="L2637" t="str">
            <v>STAIN &amp; GLAZE INTERIOR</v>
          </cell>
          <cell r="M2637" t="str">
            <v>110903</v>
          </cell>
          <cell r="N2637" t="str">
            <v>STAIN INTERIOR</v>
          </cell>
        </row>
        <row r="2638">
          <cell r="C2638" t="str">
            <v>100003814</v>
          </cell>
          <cell r="D2638" t="str">
            <v>SST-11100 065 FS VN-20LJ</v>
          </cell>
          <cell r="E2638" t="str">
            <v>ZFGD</v>
          </cell>
          <cell r="F2638" t="str">
            <v>PC</v>
          </cell>
          <cell r="G2638" t="str">
            <v>1</v>
          </cell>
          <cell r="H2638" t="str">
            <v>INDUSTRY</v>
          </cell>
          <cell r="I2638" t="str">
            <v>11</v>
          </cell>
          <cell r="J2638" t="str">
            <v>WOOD COATINGS</v>
          </cell>
          <cell r="K2638" t="str">
            <v>1109</v>
          </cell>
          <cell r="L2638" t="str">
            <v>STAIN &amp; GLAZE INTERIOR</v>
          </cell>
          <cell r="M2638" t="str">
            <v>110903</v>
          </cell>
          <cell r="N2638" t="str">
            <v>STAIN INTERIOR</v>
          </cell>
        </row>
        <row r="2639">
          <cell r="C2639" t="str">
            <v>100003815</v>
          </cell>
          <cell r="D2639" t="str">
            <v>SST-11100 NHA XEP HUNG I TL VN-20LJ</v>
          </cell>
          <cell r="E2639" t="str">
            <v>ZFGD</v>
          </cell>
          <cell r="F2639" t="str">
            <v>PC</v>
          </cell>
          <cell r="G2639" t="str">
            <v>1</v>
          </cell>
          <cell r="H2639" t="str">
            <v>INDUSTRY</v>
          </cell>
          <cell r="I2639" t="str">
            <v>11</v>
          </cell>
          <cell r="J2639" t="str">
            <v>WOOD COATINGS</v>
          </cell>
          <cell r="K2639" t="str">
            <v>1109</v>
          </cell>
          <cell r="L2639" t="str">
            <v>STAIN &amp; GLAZE INTERIOR</v>
          </cell>
          <cell r="M2639" t="str">
            <v>110903</v>
          </cell>
          <cell r="N2639" t="str">
            <v>STAIN INTERIOR</v>
          </cell>
        </row>
        <row r="2640">
          <cell r="C2640" t="str">
            <v>100003816</v>
          </cell>
          <cell r="D2640" t="str">
            <v>SST-11100 NHA XEP HUNG II TL VN-20LJ</v>
          </cell>
          <cell r="E2640" t="str">
            <v>ZFGD</v>
          </cell>
          <cell r="F2640" t="str">
            <v>PC</v>
          </cell>
          <cell r="G2640" t="str">
            <v>1</v>
          </cell>
          <cell r="H2640" t="str">
            <v>INDUSTRY</v>
          </cell>
          <cell r="I2640" t="str">
            <v>11</v>
          </cell>
          <cell r="J2640" t="str">
            <v>WOOD COATINGS</v>
          </cell>
          <cell r="K2640" t="str">
            <v>1109</v>
          </cell>
          <cell r="L2640" t="str">
            <v>STAIN &amp; GLAZE INTERIOR</v>
          </cell>
          <cell r="M2640" t="str">
            <v>110903</v>
          </cell>
          <cell r="N2640" t="str">
            <v>STAIN INTERIOR</v>
          </cell>
        </row>
        <row r="2641">
          <cell r="C2641" t="str">
            <v>100003817</v>
          </cell>
          <cell r="D2641" t="str">
            <v>#NUAP-98200 BK 01 VN-1K</v>
          </cell>
          <cell r="E2641" t="str">
            <v>ZFGD</v>
          </cell>
          <cell r="F2641" t="str">
            <v>PC</v>
          </cell>
          <cell r="G2641" t="str">
            <v>1</v>
          </cell>
          <cell r="H2641" t="str">
            <v>INDUSTRY</v>
          </cell>
          <cell r="I2641" t="str">
            <v>11</v>
          </cell>
          <cell r="J2641" t="str">
            <v>WOOD COATINGS</v>
          </cell>
          <cell r="K2641" t="str">
            <v>1113</v>
          </cell>
          <cell r="L2641" t="str">
            <v>LAIN-LAIN WF I</v>
          </cell>
          <cell r="M2641" t="str">
            <v>111303</v>
          </cell>
          <cell r="N2641" t="str">
            <v>ASOF : POWDER &amp; MATTING SOLUTION</v>
          </cell>
        </row>
        <row r="2642">
          <cell r="C2642" t="str">
            <v>100003818</v>
          </cell>
          <cell r="D2642" t="str">
            <v>AP-98200 BK 01 VN-1K</v>
          </cell>
          <cell r="E2642" t="str">
            <v>ZFGD</v>
          </cell>
          <cell r="F2642" t="str">
            <v>PC</v>
          </cell>
          <cell r="G2642" t="str">
            <v>1</v>
          </cell>
          <cell r="H2642" t="str">
            <v>INDUSTRY</v>
          </cell>
          <cell r="I2642" t="str">
            <v>11</v>
          </cell>
          <cell r="J2642" t="str">
            <v>WOOD COATINGS</v>
          </cell>
          <cell r="K2642" t="str">
            <v>1118</v>
          </cell>
          <cell r="L2642" t="str">
            <v>COMPLEMENTARY</v>
          </cell>
          <cell r="M2642" t="str">
            <v>111802</v>
          </cell>
          <cell r="N2642" t="str">
            <v>ASOF : POWDER &amp; MATTING SOLUTION</v>
          </cell>
        </row>
        <row r="2643">
          <cell r="C2643" t="str">
            <v>100003819</v>
          </cell>
          <cell r="D2643" t="str">
            <v>PUH-56303 HG VN-20KP</v>
          </cell>
          <cell r="E2643" t="str">
            <v>ZFGD</v>
          </cell>
          <cell r="F2643" t="str">
            <v>PC</v>
          </cell>
          <cell r="G2643" t="str">
            <v>1</v>
          </cell>
          <cell r="H2643" t="str">
            <v>INDUSTRY</v>
          </cell>
          <cell r="I2643" t="str">
            <v>11</v>
          </cell>
          <cell r="J2643" t="str">
            <v>WOOD COATINGS</v>
          </cell>
          <cell r="K2643" t="str">
            <v>1103</v>
          </cell>
          <cell r="L2643" t="str">
            <v>PU</v>
          </cell>
          <cell r="M2643" t="str">
            <v>110320</v>
          </cell>
          <cell r="N2643" t="str">
            <v>PU HARDENER</v>
          </cell>
        </row>
        <row r="2644">
          <cell r="C2644" t="str">
            <v>100003820</v>
          </cell>
          <cell r="D2644" t="str">
            <v>PUC-54205 AC WHITE HG VN-20KP</v>
          </cell>
          <cell r="E2644" t="str">
            <v>ZFGD</v>
          </cell>
          <cell r="F2644" t="str">
            <v>PC</v>
          </cell>
          <cell r="G2644" t="str">
            <v>1</v>
          </cell>
          <cell r="H2644" t="str">
            <v>INDUSTRY</v>
          </cell>
          <cell r="I2644" t="str">
            <v>11</v>
          </cell>
          <cell r="J2644" t="str">
            <v>WOOD COATINGS</v>
          </cell>
          <cell r="K2644" t="str">
            <v>1103</v>
          </cell>
          <cell r="L2644" t="str">
            <v>PU</v>
          </cell>
          <cell r="M2644" t="str">
            <v>110319</v>
          </cell>
          <cell r="N2644" t="str">
            <v>PU COLOR</v>
          </cell>
        </row>
        <row r="2645">
          <cell r="C2645" t="str">
            <v>100003821</v>
          </cell>
          <cell r="D2645" t="str">
            <v>AL-092 VN-20KP</v>
          </cell>
          <cell r="E2645" t="str">
            <v>ZFGD</v>
          </cell>
          <cell r="F2645" t="str">
            <v>PC</v>
          </cell>
          <cell r="G2645" t="str">
            <v>1</v>
          </cell>
          <cell r="H2645" t="str">
            <v>INDUSTRY</v>
          </cell>
          <cell r="I2645" t="str">
            <v>11</v>
          </cell>
          <cell r="J2645" t="str">
            <v>WOOD COATINGS</v>
          </cell>
          <cell r="K2645" t="str">
            <v>1103</v>
          </cell>
          <cell r="L2645" t="str">
            <v>PU</v>
          </cell>
          <cell r="M2645" t="str">
            <v>110325</v>
          </cell>
          <cell r="N2645" t="str">
            <v>UNION HARDENER</v>
          </cell>
        </row>
        <row r="2646">
          <cell r="C2646" t="str">
            <v>100003822</v>
          </cell>
          <cell r="D2646" t="str">
            <v>82-1199 UE AF URT FLAT A VN-16KP</v>
          </cell>
          <cell r="E2646" t="str">
            <v>ZFGD</v>
          </cell>
          <cell r="F2646" t="str">
            <v>PC</v>
          </cell>
          <cell r="G2646" t="str">
            <v>1</v>
          </cell>
          <cell r="H2646" t="str">
            <v>INDUSTRY</v>
          </cell>
          <cell r="I2646" t="str">
            <v>11</v>
          </cell>
          <cell r="J2646" t="str">
            <v>WOOD COATINGS</v>
          </cell>
          <cell r="K2646" t="str">
            <v>1103</v>
          </cell>
          <cell r="L2646" t="str">
            <v>PU</v>
          </cell>
          <cell r="M2646" t="str">
            <v>110312</v>
          </cell>
          <cell r="N2646" t="str">
            <v>UNION TOP COAT</v>
          </cell>
        </row>
        <row r="2647">
          <cell r="C2647" t="str">
            <v>100003823</v>
          </cell>
          <cell r="D2647" t="str">
            <v>AL-092 VN-4K</v>
          </cell>
          <cell r="E2647" t="str">
            <v>ZFGD</v>
          </cell>
          <cell r="F2647" t="str">
            <v>PC</v>
          </cell>
          <cell r="G2647" t="str">
            <v>1</v>
          </cell>
          <cell r="H2647" t="str">
            <v>INDUSTRY</v>
          </cell>
          <cell r="I2647" t="str">
            <v>11</v>
          </cell>
          <cell r="J2647" t="str">
            <v>WOOD COATINGS</v>
          </cell>
          <cell r="K2647" t="str">
            <v>1103</v>
          </cell>
          <cell r="L2647" t="str">
            <v>PU</v>
          </cell>
          <cell r="M2647" t="str">
            <v>110325</v>
          </cell>
          <cell r="N2647" t="str">
            <v>UNION HARDENER</v>
          </cell>
        </row>
        <row r="2648">
          <cell r="C2648" t="str">
            <v>100003824</v>
          </cell>
          <cell r="D2648" t="str">
            <v>NCSS-11236 LC VN-20LP</v>
          </cell>
          <cell r="E2648" t="str">
            <v>ZFGD</v>
          </cell>
          <cell r="F2648" t="str">
            <v>PC</v>
          </cell>
          <cell r="G2648" t="str">
            <v>1</v>
          </cell>
          <cell r="H2648" t="str">
            <v>INDUSTRY</v>
          </cell>
          <cell r="I2648" t="str">
            <v>11</v>
          </cell>
          <cell r="J2648" t="str">
            <v>WOOD COATINGS</v>
          </cell>
          <cell r="K2648" t="str">
            <v>1104</v>
          </cell>
          <cell r="L2648" t="str">
            <v>NC</v>
          </cell>
          <cell r="M2648" t="str">
            <v>110405</v>
          </cell>
          <cell r="N2648" t="str">
            <v>NC SYSTEM</v>
          </cell>
        </row>
        <row r="2649">
          <cell r="C2649" t="str">
            <v>100003825</v>
          </cell>
          <cell r="D2649" t="str">
            <v>NCL-11336 LC CLEAR 10 VN-20LP</v>
          </cell>
          <cell r="E2649" t="str">
            <v>ZFGD</v>
          </cell>
          <cell r="F2649" t="str">
            <v>PC</v>
          </cell>
          <cell r="G2649" t="str">
            <v>1</v>
          </cell>
          <cell r="H2649" t="str">
            <v>INDUSTRY</v>
          </cell>
          <cell r="I2649" t="str">
            <v>11</v>
          </cell>
          <cell r="J2649" t="str">
            <v>WOOD COATINGS</v>
          </cell>
          <cell r="K2649" t="str">
            <v>1104</v>
          </cell>
          <cell r="L2649" t="str">
            <v>NC</v>
          </cell>
          <cell r="M2649" t="str">
            <v>110405</v>
          </cell>
          <cell r="N2649" t="str">
            <v>NC SYSTEM</v>
          </cell>
        </row>
        <row r="2650">
          <cell r="C2650" t="str">
            <v>100003826</v>
          </cell>
          <cell r="D2650" t="str">
            <v>NCL-11336 LC CLEAR 20 VN-20LP</v>
          </cell>
          <cell r="E2650" t="str">
            <v>ZFGD</v>
          </cell>
          <cell r="F2650" t="str">
            <v>PC</v>
          </cell>
          <cell r="G2650" t="str">
            <v>1</v>
          </cell>
          <cell r="H2650" t="str">
            <v>INDUSTRY</v>
          </cell>
          <cell r="I2650" t="str">
            <v>11</v>
          </cell>
          <cell r="J2650" t="str">
            <v>WOOD COATINGS</v>
          </cell>
          <cell r="K2650" t="str">
            <v>1104</v>
          </cell>
          <cell r="L2650" t="str">
            <v>NC</v>
          </cell>
          <cell r="M2650" t="str">
            <v>110405</v>
          </cell>
          <cell r="N2650" t="str">
            <v>NC SYSTEM</v>
          </cell>
        </row>
        <row r="2651">
          <cell r="C2651" t="str">
            <v>100003827</v>
          </cell>
          <cell r="D2651" t="str">
            <v>#NU NCL-11336 LC CLEAR 30 VN-20KP</v>
          </cell>
          <cell r="E2651" t="str">
            <v>ZFGD</v>
          </cell>
          <cell r="F2651" t="str">
            <v>PC</v>
          </cell>
          <cell r="G2651" t="str">
            <v>1</v>
          </cell>
          <cell r="H2651" t="str">
            <v>INDUSTRY</v>
          </cell>
          <cell r="I2651" t="str">
            <v>11</v>
          </cell>
          <cell r="J2651" t="str">
            <v>WOOD COATINGS</v>
          </cell>
          <cell r="K2651" t="str">
            <v>1104</v>
          </cell>
          <cell r="L2651" t="str">
            <v>NC</v>
          </cell>
          <cell r="M2651" t="str">
            <v>110405</v>
          </cell>
          <cell r="N2651" t="str">
            <v>NC SYSTEM</v>
          </cell>
        </row>
        <row r="2652">
          <cell r="C2652" t="str">
            <v>100003828</v>
          </cell>
          <cell r="D2652" t="str">
            <v>PUC-54205 AC IVORY 30 PO VN-20KP</v>
          </cell>
          <cell r="E2652" t="str">
            <v>ZFGD</v>
          </cell>
          <cell r="F2652" t="str">
            <v>PC</v>
          </cell>
          <cell r="G2652" t="str">
            <v>1</v>
          </cell>
          <cell r="H2652" t="str">
            <v>INDUSTRY</v>
          </cell>
          <cell r="I2652" t="str">
            <v>11</v>
          </cell>
          <cell r="J2652" t="str">
            <v>WOOD COATINGS</v>
          </cell>
          <cell r="K2652" t="str">
            <v>1103</v>
          </cell>
          <cell r="L2652" t="str">
            <v>PU</v>
          </cell>
          <cell r="M2652" t="str">
            <v>110319</v>
          </cell>
          <cell r="N2652" t="str">
            <v>PU COLOR</v>
          </cell>
        </row>
        <row r="2653">
          <cell r="C2653" t="str">
            <v>100003829</v>
          </cell>
          <cell r="D2653" t="str">
            <v>NCL-11336 LC CLEAR 30 VN-20LP</v>
          </cell>
          <cell r="E2653" t="str">
            <v>ZFGD</v>
          </cell>
          <cell r="F2653" t="str">
            <v>PC</v>
          </cell>
          <cell r="G2653" t="str">
            <v>1</v>
          </cell>
          <cell r="H2653" t="str">
            <v>INDUSTRY</v>
          </cell>
          <cell r="I2653" t="str">
            <v>11</v>
          </cell>
          <cell r="J2653" t="str">
            <v>WOOD COATINGS</v>
          </cell>
          <cell r="K2653" t="str">
            <v>1104</v>
          </cell>
          <cell r="L2653" t="str">
            <v>NC</v>
          </cell>
          <cell r="M2653" t="str">
            <v>110405</v>
          </cell>
          <cell r="N2653" t="str">
            <v>NC SYSTEM</v>
          </cell>
        </row>
        <row r="2654">
          <cell r="C2654" t="str">
            <v>100003830</v>
          </cell>
          <cell r="D2654" t="str">
            <v>PUC-52239 RAL 7032 10 KC VN-20KP</v>
          </cell>
          <cell r="E2654" t="str">
            <v>ZFGD</v>
          </cell>
          <cell r="F2654" t="str">
            <v>PC</v>
          </cell>
          <cell r="G2654" t="str">
            <v>1</v>
          </cell>
          <cell r="H2654" t="str">
            <v>INDUSTRY</v>
          </cell>
          <cell r="I2654" t="str">
            <v>11</v>
          </cell>
          <cell r="J2654" t="str">
            <v>WOOD COATINGS</v>
          </cell>
          <cell r="K2654" t="str">
            <v>1103</v>
          </cell>
          <cell r="L2654" t="str">
            <v>PU</v>
          </cell>
          <cell r="M2654" t="str">
            <v>110319</v>
          </cell>
          <cell r="N2654" t="str">
            <v>PU COLOR</v>
          </cell>
        </row>
        <row r="2655">
          <cell r="C2655" t="str">
            <v>100003831</v>
          </cell>
          <cell r="D2655" t="str">
            <v>PUC-52239 RAL 9002 10 KC VN-20KP</v>
          </cell>
          <cell r="E2655" t="str">
            <v>ZFGD</v>
          </cell>
          <cell r="F2655" t="str">
            <v>PC</v>
          </cell>
          <cell r="G2655" t="str">
            <v>1</v>
          </cell>
          <cell r="H2655" t="str">
            <v>INDUSTRY</v>
          </cell>
          <cell r="I2655" t="str">
            <v>11</v>
          </cell>
          <cell r="J2655" t="str">
            <v>WOOD COATINGS</v>
          </cell>
          <cell r="K2655" t="str">
            <v>1103</v>
          </cell>
          <cell r="L2655" t="str">
            <v>PU</v>
          </cell>
          <cell r="M2655" t="str">
            <v>110319</v>
          </cell>
          <cell r="N2655" t="str">
            <v>PU COLOR</v>
          </cell>
        </row>
        <row r="2656">
          <cell r="C2656" t="str">
            <v>100003832</v>
          </cell>
          <cell r="D2656" t="str">
            <v>WBC-64217 EX COG 08 SC VN-20KP</v>
          </cell>
          <cell r="E2656" t="str">
            <v>ZFGD</v>
          </cell>
          <cell r="F2656" t="str">
            <v>PC</v>
          </cell>
          <cell r="G2656" t="str">
            <v>1</v>
          </cell>
          <cell r="H2656" t="str">
            <v>INDUSTRY</v>
          </cell>
          <cell r="I2656" t="str">
            <v>11</v>
          </cell>
          <cell r="J2656" t="str">
            <v>WOOD COATINGS</v>
          </cell>
          <cell r="K2656" t="str">
            <v>1119</v>
          </cell>
          <cell r="L2656" t="str">
            <v>WATERBASED</v>
          </cell>
          <cell r="M2656" t="str">
            <v>111901</v>
          </cell>
          <cell r="N2656" t="str">
            <v>WATERBASED SYSTEM EXTERIOR</v>
          </cell>
        </row>
        <row r="2657">
          <cell r="C2657" t="str">
            <v>100003833</v>
          </cell>
          <cell r="D2657" t="str">
            <v>GZ-12700 N BASE VN-4K</v>
          </cell>
          <cell r="E2657" t="str">
            <v>ZFGD</v>
          </cell>
          <cell r="F2657" t="str">
            <v>PC</v>
          </cell>
          <cell r="G2657" t="str">
            <v>1</v>
          </cell>
          <cell r="H2657" t="str">
            <v>INDUSTRY</v>
          </cell>
          <cell r="I2657" t="str">
            <v>11</v>
          </cell>
          <cell r="J2657" t="str">
            <v>WOOD COATINGS</v>
          </cell>
          <cell r="K2657" t="str">
            <v>1109</v>
          </cell>
          <cell r="L2657" t="str">
            <v>STAIN &amp; GLAZE INTERIOR</v>
          </cell>
          <cell r="M2657" t="str">
            <v>110901</v>
          </cell>
          <cell r="N2657" t="str">
            <v>ASOF : STAIN &amp; GLAZE</v>
          </cell>
        </row>
        <row r="2658">
          <cell r="C2658" t="str">
            <v>100003834</v>
          </cell>
          <cell r="D2658" t="str">
            <v>TH-00700 VN-20LJ</v>
          </cell>
          <cell r="E2658" t="str">
            <v>ZFGD</v>
          </cell>
          <cell r="F2658" t="str">
            <v>PC</v>
          </cell>
          <cell r="G2658" t="str">
            <v>1</v>
          </cell>
          <cell r="H2658" t="str">
            <v>INDUSTRY</v>
          </cell>
          <cell r="I2658" t="str">
            <v>14</v>
          </cell>
          <cell r="J2658" t="str">
            <v>THINNER</v>
          </cell>
          <cell r="K2658" t="str">
            <v>1412</v>
          </cell>
          <cell r="L2658" t="str">
            <v>THINNER NC</v>
          </cell>
          <cell r="M2658" t="str">
            <v>141202</v>
          </cell>
          <cell r="N2658" t="str">
            <v>ASOF : THINNER</v>
          </cell>
        </row>
        <row r="2659">
          <cell r="C2659" t="str">
            <v>100003835</v>
          </cell>
          <cell r="D2659" t="str">
            <v>SST-11100 WDR01 A GE VN-20LJ</v>
          </cell>
          <cell r="E2659" t="str">
            <v>ZFGD</v>
          </cell>
          <cell r="F2659" t="str">
            <v>PC</v>
          </cell>
          <cell r="G2659" t="str">
            <v>1</v>
          </cell>
          <cell r="H2659" t="str">
            <v>INDUSTRY</v>
          </cell>
          <cell r="I2659" t="str">
            <v>11</v>
          </cell>
          <cell r="J2659" t="str">
            <v>WOOD COATINGS</v>
          </cell>
          <cell r="K2659" t="str">
            <v>1109</v>
          </cell>
          <cell r="L2659" t="str">
            <v>STAIN &amp; GLAZE INTERIOR</v>
          </cell>
          <cell r="M2659" t="str">
            <v>110903</v>
          </cell>
          <cell r="N2659" t="str">
            <v>STAIN INTERIOR</v>
          </cell>
        </row>
        <row r="2660">
          <cell r="C2660" t="str">
            <v>100003836</v>
          </cell>
          <cell r="D2660" t="str">
            <v>SST-11100 WDR01 C GE VN-20LJ</v>
          </cell>
          <cell r="E2660" t="str">
            <v>ZFGD</v>
          </cell>
          <cell r="F2660" t="str">
            <v>PC</v>
          </cell>
          <cell r="G2660" t="str">
            <v>1</v>
          </cell>
          <cell r="H2660" t="str">
            <v>INDUSTRY</v>
          </cell>
          <cell r="I2660" t="str">
            <v>11</v>
          </cell>
          <cell r="J2660" t="str">
            <v>WOOD COATINGS</v>
          </cell>
          <cell r="K2660" t="str">
            <v>1109</v>
          </cell>
          <cell r="L2660" t="str">
            <v>STAIN &amp; GLAZE INTERIOR</v>
          </cell>
          <cell r="M2660" t="str">
            <v>110903</v>
          </cell>
          <cell r="N2660" t="str">
            <v>STAIN INTERIOR</v>
          </cell>
        </row>
        <row r="2661">
          <cell r="C2661" t="str">
            <v>100003837</v>
          </cell>
          <cell r="D2661" t="str">
            <v>PUC-54205 AC NVH04 20 TR VN-20KP</v>
          </cell>
          <cell r="E2661" t="str">
            <v>ZFGD</v>
          </cell>
          <cell r="F2661" t="str">
            <v>PC</v>
          </cell>
          <cell r="G2661" t="str">
            <v>1</v>
          </cell>
          <cell r="H2661" t="str">
            <v>INDUSTRY</v>
          </cell>
          <cell r="I2661" t="str">
            <v>11</v>
          </cell>
          <cell r="J2661" t="str">
            <v>WOOD COATINGS</v>
          </cell>
          <cell r="K2661" t="str">
            <v>1103</v>
          </cell>
          <cell r="L2661" t="str">
            <v>PU</v>
          </cell>
          <cell r="M2661" t="str">
            <v>110319</v>
          </cell>
          <cell r="N2661" t="str">
            <v>PU COLOR</v>
          </cell>
        </row>
        <row r="2662">
          <cell r="C2662" t="str">
            <v>100003838</v>
          </cell>
          <cell r="D2662" t="str">
            <v>SST-11100 NVH02 TR VN-20LJ</v>
          </cell>
          <cell r="E2662" t="str">
            <v>ZFGD</v>
          </cell>
          <cell r="F2662" t="str">
            <v>PC</v>
          </cell>
          <cell r="G2662" t="str">
            <v>1</v>
          </cell>
          <cell r="H2662" t="str">
            <v>INDUSTRY</v>
          </cell>
          <cell r="I2662" t="str">
            <v>11</v>
          </cell>
          <cell r="J2662" t="str">
            <v>WOOD COATINGS</v>
          </cell>
          <cell r="K2662" t="str">
            <v>1109</v>
          </cell>
          <cell r="L2662" t="str">
            <v>STAIN &amp; GLAZE INTERIOR</v>
          </cell>
          <cell r="M2662" t="str">
            <v>110903</v>
          </cell>
          <cell r="N2662" t="str">
            <v>STAIN INTERIOR</v>
          </cell>
        </row>
        <row r="2663">
          <cell r="C2663" t="str">
            <v>100003839</v>
          </cell>
          <cell r="D2663" t="str">
            <v>PCA-31100 CLR NVH02 TR VN-20LJ</v>
          </cell>
          <cell r="E2663" t="str">
            <v>ZFGD</v>
          </cell>
          <cell r="F2663" t="str">
            <v>PC</v>
          </cell>
          <cell r="G2663" t="str">
            <v>1</v>
          </cell>
          <cell r="H2663" t="str">
            <v>INDUSTRY</v>
          </cell>
          <cell r="I2663" t="str">
            <v>11</v>
          </cell>
          <cell r="J2663" t="str">
            <v>WOOD COATINGS</v>
          </cell>
          <cell r="K2663" t="str">
            <v>1118</v>
          </cell>
          <cell r="L2663" t="str">
            <v>COMPLEMENTARY</v>
          </cell>
          <cell r="M2663" t="str">
            <v>111807</v>
          </cell>
          <cell r="N2663" t="str">
            <v>PASTA</v>
          </cell>
        </row>
        <row r="2664">
          <cell r="C2664" t="str">
            <v>100003840</v>
          </cell>
          <cell r="D2664" t="str">
            <v>64-56 MICRO FILLER NVH01 TR VN-20KP</v>
          </cell>
          <cell r="E2664" t="str">
            <v>ZFGD</v>
          </cell>
          <cell r="F2664" t="str">
            <v>PC</v>
          </cell>
          <cell r="G2664" t="str">
            <v>1</v>
          </cell>
          <cell r="H2664" t="str">
            <v>INDUSTRY</v>
          </cell>
          <cell r="I2664" t="str">
            <v>11</v>
          </cell>
          <cell r="J2664" t="str">
            <v>WOOD COATINGS</v>
          </cell>
          <cell r="K2664" t="str">
            <v>1103</v>
          </cell>
          <cell r="L2664" t="str">
            <v>PU</v>
          </cell>
          <cell r="M2664" t="str">
            <v>110305</v>
          </cell>
          <cell r="N2664" t="str">
            <v>UNION FILLER</v>
          </cell>
        </row>
        <row r="2665">
          <cell r="C2665" t="str">
            <v>100003841</v>
          </cell>
          <cell r="D2665" t="str">
            <v>64-56 MICRO FILLER NVH03 TR VN-20KP</v>
          </cell>
          <cell r="E2665" t="str">
            <v>ZFGD</v>
          </cell>
          <cell r="F2665" t="str">
            <v>PC</v>
          </cell>
          <cell r="G2665" t="str">
            <v>1</v>
          </cell>
          <cell r="H2665" t="str">
            <v>INDUSTRY</v>
          </cell>
          <cell r="I2665" t="str">
            <v>11</v>
          </cell>
          <cell r="J2665" t="str">
            <v>WOOD COATINGS</v>
          </cell>
          <cell r="K2665" t="str">
            <v>1103</v>
          </cell>
          <cell r="L2665" t="str">
            <v>PU</v>
          </cell>
          <cell r="M2665" t="str">
            <v>110305</v>
          </cell>
          <cell r="N2665" t="str">
            <v>UNION FILLER</v>
          </cell>
        </row>
        <row r="2666">
          <cell r="C2666" t="str">
            <v>100003842</v>
          </cell>
          <cell r="D2666" t="str">
            <v>SST-11100 CLR NVH01 TR VN-20LJ</v>
          </cell>
          <cell r="E2666" t="str">
            <v>ZFGD</v>
          </cell>
          <cell r="F2666" t="str">
            <v>PC</v>
          </cell>
          <cell r="G2666" t="str">
            <v>1</v>
          </cell>
          <cell r="H2666" t="str">
            <v>INDUSTRY</v>
          </cell>
          <cell r="I2666" t="str">
            <v>11</v>
          </cell>
          <cell r="J2666" t="str">
            <v>WOOD COATINGS</v>
          </cell>
          <cell r="K2666" t="str">
            <v>1109</v>
          </cell>
          <cell r="L2666" t="str">
            <v>STAIN &amp; GLAZE INTERIOR</v>
          </cell>
          <cell r="M2666" t="str">
            <v>110903</v>
          </cell>
          <cell r="N2666" t="str">
            <v>STAIN INTERIOR</v>
          </cell>
        </row>
        <row r="2667">
          <cell r="C2667" t="str">
            <v>100003843</v>
          </cell>
          <cell r="D2667" t="str">
            <v>SST-11100 CLR NVH03 TR VN-20LJ</v>
          </cell>
          <cell r="E2667" t="str">
            <v>ZFGD</v>
          </cell>
          <cell r="F2667" t="str">
            <v>PC</v>
          </cell>
          <cell r="G2667" t="str">
            <v>1</v>
          </cell>
          <cell r="H2667" t="str">
            <v>INDUSTRY</v>
          </cell>
          <cell r="I2667" t="str">
            <v>11</v>
          </cell>
          <cell r="J2667" t="str">
            <v>WOOD COATINGS</v>
          </cell>
          <cell r="K2667" t="str">
            <v>1109</v>
          </cell>
          <cell r="L2667" t="str">
            <v>STAIN &amp; GLAZE INTERIOR</v>
          </cell>
          <cell r="M2667" t="str">
            <v>110903</v>
          </cell>
          <cell r="N2667" t="str">
            <v>STAIN INTERIOR</v>
          </cell>
        </row>
        <row r="2668">
          <cell r="C2668" t="str">
            <v>100003844</v>
          </cell>
          <cell r="D2668" t="str">
            <v>NCL-11336 LC CLEAR 05 VN-20LP</v>
          </cell>
          <cell r="E2668" t="str">
            <v>ZFGD</v>
          </cell>
          <cell r="F2668" t="str">
            <v>PC</v>
          </cell>
          <cell r="G2668" t="str">
            <v>1</v>
          </cell>
          <cell r="H2668" t="str">
            <v>INDUSTRY</v>
          </cell>
          <cell r="I2668" t="str">
            <v>11</v>
          </cell>
          <cell r="J2668" t="str">
            <v>WOOD COATINGS</v>
          </cell>
          <cell r="K2668" t="str">
            <v>1104</v>
          </cell>
          <cell r="L2668" t="str">
            <v>NC</v>
          </cell>
          <cell r="M2668" t="str">
            <v>110405</v>
          </cell>
          <cell r="N2668" t="str">
            <v>NC SYSTEM</v>
          </cell>
        </row>
        <row r="2669">
          <cell r="C2669" t="str">
            <v>100003845</v>
          </cell>
          <cell r="D2669" t="str">
            <v>PUP-52141 HOMEWOOD TL VN-20KP</v>
          </cell>
          <cell r="E2669" t="str">
            <v>ZFGD</v>
          </cell>
          <cell r="F2669" t="str">
            <v>PC</v>
          </cell>
          <cell r="G2669" t="str">
            <v>1</v>
          </cell>
          <cell r="H2669" t="str">
            <v>INDUSTRY</v>
          </cell>
          <cell r="I2669" t="str">
            <v>11</v>
          </cell>
          <cell r="J2669" t="str">
            <v>WOOD COATINGS</v>
          </cell>
          <cell r="K2669" t="str">
            <v>1103</v>
          </cell>
          <cell r="L2669" t="str">
            <v>PU</v>
          </cell>
          <cell r="M2669" t="str">
            <v>110322</v>
          </cell>
          <cell r="N2669" t="str">
            <v>PU PRIMER</v>
          </cell>
        </row>
        <row r="2670">
          <cell r="C2670" t="str">
            <v>100003846</v>
          </cell>
          <cell r="D2670" t="str">
            <v>SST-11100 HOMEWOOD TL VN-20LJ</v>
          </cell>
          <cell r="E2670" t="str">
            <v>ZFGD</v>
          </cell>
          <cell r="F2670" t="str">
            <v>PC</v>
          </cell>
          <cell r="G2670" t="str">
            <v>1</v>
          </cell>
          <cell r="H2670" t="str">
            <v>INDUSTRY</v>
          </cell>
          <cell r="I2670" t="str">
            <v>11</v>
          </cell>
          <cell r="J2670" t="str">
            <v>WOOD COATINGS</v>
          </cell>
          <cell r="K2670" t="str">
            <v>1109</v>
          </cell>
          <cell r="L2670" t="str">
            <v>STAIN &amp; GLAZE INTERIOR</v>
          </cell>
          <cell r="M2670" t="str">
            <v>110903</v>
          </cell>
          <cell r="N2670" t="str">
            <v>STAIN INTERIOR</v>
          </cell>
        </row>
        <row r="2671">
          <cell r="C2671" t="str">
            <v>100003847</v>
          </cell>
          <cell r="D2671" t="str">
            <v>NCL-11336 LC CLEAR MATT VN-20LP</v>
          </cell>
          <cell r="E2671" t="str">
            <v>ZFGD</v>
          </cell>
          <cell r="F2671" t="str">
            <v>PC</v>
          </cell>
          <cell r="G2671" t="str">
            <v>1</v>
          </cell>
          <cell r="H2671" t="str">
            <v>INDUSTRY</v>
          </cell>
          <cell r="I2671" t="str">
            <v>11</v>
          </cell>
          <cell r="J2671" t="str">
            <v>WOOD COATINGS</v>
          </cell>
          <cell r="K2671" t="str">
            <v>1104</v>
          </cell>
          <cell r="L2671" t="str">
            <v>NC</v>
          </cell>
          <cell r="M2671" t="str">
            <v>110405</v>
          </cell>
          <cell r="N2671" t="str">
            <v>NC SYSTEM</v>
          </cell>
        </row>
        <row r="2672">
          <cell r="C2672" t="str">
            <v>100003848</v>
          </cell>
          <cell r="D2672" t="str">
            <v>WBL-1612 20 AK-20KP</v>
          </cell>
          <cell r="E2672" t="str">
            <v>ZFGD</v>
          </cell>
          <cell r="F2672" t="str">
            <v>PC</v>
          </cell>
          <cell r="G2672" t="str">
            <v>1</v>
          </cell>
          <cell r="H2672" t="str">
            <v>INDUSTRY</v>
          </cell>
          <cell r="I2672" t="str">
            <v>11</v>
          </cell>
          <cell r="J2672" t="str">
            <v>WOOD COATINGS</v>
          </cell>
          <cell r="K2672" t="str">
            <v>1119</v>
          </cell>
          <cell r="L2672" t="str">
            <v>WATERBASED</v>
          </cell>
          <cell r="M2672" t="str">
            <v>111902</v>
          </cell>
          <cell r="N2672" t="str">
            <v>WATERBASED SYSTEM INTERIOR</v>
          </cell>
        </row>
        <row r="2673">
          <cell r="C2673" t="str">
            <v>100003849</v>
          </cell>
          <cell r="D2673" t="str">
            <v>SST-11100 ZACK001 F1 VN-20LJ</v>
          </cell>
          <cell r="E2673" t="str">
            <v>ZFGD</v>
          </cell>
          <cell r="F2673" t="str">
            <v>PC</v>
          </cell>
          <cell r="G2673" t="str">
            <v>1</v>
          </cell>
          <cell r="H2673" t="str">
            <v>INDUSTRY</v>
          </cell>
          <cell r="I2673" t="str">
            <v>11</v>
          </cell>
          <cell r="J2673" t="str">
            <v>WOOD COATINGS</v>
          </cell>
          <cell r="K2673" t="str">
            <v>1109</v>
          </cell>
          <cell r="L2673" t="str">
            <v>STAIN &amp; GLAZE INTERIOR</v>
          </cell>
          <cell r="M2673" t="str">
            <v>110903</v>
          </cell>
          <cell r="N2673" t="str">
            <v>STAIN INTERIOR</v>
          </cell>
        </row>
        <row r="2674">
          <cell r="C2674" t="str">
            <v>100003850</v>
          </cell>
          <cell r="D2674" t="str">
            <v>UVS-20600 VIOLET C PASTE VN-5K</v>
          </cell>
          <cell r="E2674" t="str">
            <v>ZFGD</v>
          </cell>
          <cell r="F2674" t="str">
            <v>PC</v>
          </cell>
          <cell r="G2674" t="str">
            <v>1</v>
          </cell>
          <cell r="H2674" t="str">
            <v>INDUSTRY</v>
          </cell>
          <cell r="I2674" t="str">
            <v>11</v>
          </cell>
          <cell r="J2674" t="str">
            <v>WOOD COATINGS</v>
          </cell>
          <cell r="K2674" t="str">
            <v>1106</v>
          </cell>
          <cell r="L2674" t="str">
            <v>UV</v>
          </cell>
          <cell r="M2674" t="str">
            <v>110606</v>
          </cell>
          <cell r="N2674" t="str">
            <v>UV STAIN</v>
          </cell>
        </row>
        <row r="2675">
          <cell r="C2675" t="str">
            <v>100003851</v>
          </cell>
          <cell r="D2675" t="str">
            <v>11-260 AF PU THINNER HD-200LK</v>
          </cell>
          <cell r="E2675" t="str">
            <v>ZFGD</v>
          </cell>
          <cell r="F2675" t="str">
            <v>PC</v>
          </cell>
          <cell r="G2675" t="str">
            <v>1</v>
          </cell>
          <cell r="H2675" t="str">
            <v>INDUSTRY</v>
          </cell>
          <cell r="I2675" t="str">
            <v>14</v>
          </cell>
          <cell r="J2675" t="str">
            <v>THINNER</v>
          </cell>
          <cell r="K2675" t="str">
            <v>1411</v>
          </cell>
          <cell r="L2675" t="str">
            <v>THINNER PU</v>
          </cell>
          <cell r="M2675" t="str">
            <v>141102</v>
          </cell>
          <cell r="N2675" t="str">
            <v>UNION THINNER</v>
          </cell>
        </row>
        <row r="2676">
          <cell r="C2676" t="str">
            <v>100003852</v>
          </cell>
          <cell r="D2676" t="str">
            <v>LOL-1762-AK-18KJ</v>
          </cell>
          <cell r="E2676" t="str">
            <v>ZFGD</v>
          </cell>
          <cell r="F2676" t="str">
            <v>PC</v>
          </cell>
          <cell r="G2676" t="str">
            <v>1</v>
          </cell>
          <cell r="H2676" t="str">
            <v>INDUSTRY</v>
          </cell>
          <cell r="I2676" t="str">
            <v>11</v>
          </cell>
          <cell r="J2676" t="str">
            <v>WOOD COATINGS</v>
          </cell>
          <cell r="K2676" t="str">
            <v>1101</v>
          </cell>
          <cell r="L2676" t="str">
            <v>ALKYD OIL</v>
          </cell>
          <cell r="M2676" t="str">
            <v>110101</v>
          </cell>
          <cell r="N2676" t="str">
            <v>ALKYD &amp; OIL SYSTEM</v>
          </cell>
        </row>
        <row r="2677">
          <cell r="C2677" t="str">
            <v>100003853</v>
          </cell>
          <cell r="D2677" t="str">
            <v>SST-11100 WV01 A GE VN-20LJ</v>
          </cell>
          <cell r="E2677" t="str">
            <v>ZFGD</v>
          </cell>
          <cell r="F2677" t="str">
            <v>PC</v>
          </cell>
          <cell r="G2677" t="str">
            <v>1</v>
          </cell>
          <cell r="H2677" t="str">
            <v>INDUSTRY</v>
          </cell>
          <cell r="I2677" t="str">
            <v>11</v>
          </cell>
          <cell r="J2677" t="str">
            <v>WOOD COATINGS</v>
          </cell>
          <cell r="K2677" t="str">
            <v>1109</v>
          </cell>
          <cell r="L2677" t="str">
            <v>STAIN &amp; GLAZE INTERIOR</v>
          </cell>
          <cell r="M2677" t="str">
            <v>110903</v>
          </cell>
          <cell r="N2677" t="str">
            <v>STAIN INTERIOR</v>
          </cell>
        </row>
        <row r="2678">
          <cell r="C2678" t="str">
            <v>100003854</v>
          </cell>
          <cell r="D2678" t="str">
            <v>SST-11100 WV01 B GE VN-20LJ</v>
          </cell>
          <cell r="E2678" t="str">
            <v>ZFGD</v>
          </cell>
          <cell r="F2678" t="str">
            <v>PC</v>
          </cell>
          <cell r="G2678" t="str">
            <v>1</v>
          </cell>
          <cell r="H2678" t="str">
            <v>INDUSTRY</v>
          </cell>
          <cell r="I2678" t="str">
            <v>11</v>
          </cell>
          <cell r="J2678" t="str">
            <v>WOOD COATINGS</v>
          </cell>
          <cell r="K2678" t="str">
            <v>1109</v>
          </cell>
          <cell r="L2678" t="str">
            <v>STAIN &amp; GLAZE INTERIOR</v>
          </cell>
          <cell r="M2678" t="str">
            <v>110903</v>
          </cell>
          <cell r="N2678" t="str">
            <v>STAIN INTERIOR</v>
          </cell>
        </row>
        <row r="2679">
          <cell r="C2679" t="str">
            <v>100003855</v>
          </cell>
          <cell r="D2679" t="str">
            <v>PCA-31100 C4 I TL VN-20LJ</v>
          </cell>
          <cell r="E2679" t="str">
            <v>ZFGD</v>
          </cell>
          <cell r="F2679" t="str">
            <v>PC</v>
          </cell>
          <cell r="G2679" t="str">
            <v>1</v>
          </cell>
          <cell r="H2679" t="str">
            <v>INDUSTRY</v>
          </cell>
          <cell r="I2679" t="str">
            <v>11</v>
          </cell>
          <cell r="J2679" t="str">
            <v>WOOD COATINGS</v>
          </cell>
          <cell r="K2679" t="str">
            <v>1118</v>
          </cell>
          <cell r="L2679" t="str">
            <v>COMPLEMENTARY</v>
          </cell>
          <cell r="M2679" t="str">
            <v>111807</v>
          </cell>
          <cell r="N2679" t="str">
            <v>PASTA</v>
          </cell>
        </row>
        <row r="2680">
          <cell r="C2680" t="str">
            <v>100003856</v>
          </cell>
          <cell r="D2680" t="str">
            <v>PCA-31100 C4 II TL VN-20LJ</v>
          </cell>
          <cell r="E2680" t="str">
            <v>ZFGD</v>
          </cell>
          <cell r="F2680" t="str">
            <v>PC</v>
          </cell>
          <cell r="G2680" t="str">
            <v>1</v>
          </cell>
          <cell r="H2680" t="str">
            <v>INDUSTRY</v>
          </cell>
          <cell r="I2680" t="str">
            <v>11</v>
          </cell>
          <cell r="J2680" t="str">
            <v>WOOD COATINGS</v>
          </cell>
          <cell r="K2680" t="str">
            <v>1118</v>
          </cell>
          <cell r="L2680" t="str">
            <v>COMPLEMENTARY</v>
          </cell>
          <cell r="M2680" t="str">
            <v>111807</v>
          </cell>
          <cell r="N2680" t="str">
            <v>PASTA</v>
          </cell>
        </row>
        <row r="2681">
          <cell r="C2681" t="str">
            <v>100003857</v>
          </cell>
          <cell r="D2681" t="str">
            <v>64-56 MICRO FILLER C4 TL VN-20KP</v>
          </cell>
          <cell r="E2681" t="str">
            <v>ZFGD</v>
          </cell>
          <cell r="F2681" t="str">
            <v>PC</v>
          </cell>
          <cell r="G2681" t="str">
            <v>1</v>
          </cell>
          <cell r="H2681" t="str">
            <v>INDUSTRY</v>
          </cell>
          <cell r="I2681" t="str">
            <v>11</v>
          </cell>
          <cell r="J2681" t="str">
            <v>WOOD COATINGS</v>
          </cell>
          <cell r="K2681" t="str">
            <v>1103</v>
          </cell>
          <cell r="L2681" t="str">
            <v>PU</v>
          </cell>
          <cell r="M2681" t="str">
            <v>110305</v>
          </cell>
          <cell r="N2681" t="str">
            <v>UNION FILLER</v>
          </cell>
        </row>
        <row r="2682">
          <cell r="C2682" t="str">
            <v>100003858</v>
          </cell>
          <cell r="D2682" t="str">
            <v>PUC-52239 RAL 7001 10 KC VN-20KP</v>
          </cell>
          <cell r="E2682" t="str">
            <v>ZFGD</v>
          </cell>
          <cell r="F2682" t="str">
            <v>PC</v>
          </cell>
          <cell r="G2682" t="str">
            <v>1</v>
          </cell>
          <cell r="H2682" t="str">
            <v>INDUSTRY</v>
          </cell>
          <cell r="I2682" t="str">
            <v>11</v>
          </cell>
          <cell r="J2682" t="str">
            <v>WOOD COATINGS</v>
          </cell>
          <cell r="K2682" t="str">
            <v>1103</v>
          </cell>
          <cell r="L2682" t="str">
            <v>PU</v>
          </cell>
          <cell r="M2682" t="str">
            <v>110319</v>
          </cell>
          <cell r="N2682" t="str">
            <v>PU COLOR</v>
          </cell>
        </row>
        <row r="2683">
          <cell r="C2683" t="str">
            <v>100003859</v>
          </cell>
          <cell r="D2683" t="str">
            <v>PUC-52239 RAL 7003 10 KC VN-20KP</v>
          </cell>
          <cell r="E2683" t="str">
            <v>ZFGD</v>
          </cell>
          <cell r="F2683" t="str">
            <v>PC</v>
          </cell>
          <cell r="G2683" t="str">
            <v>1</v>
          </cell>
          <cell r="H2683" t="str">
            <v>INDUSTRY</v>
          </cell>
          <cell r="I2683" t="str">
            <v>11</v>
          </cell>
          <cell r="J2683" t="str">
            <v>WOOD COATINGS</v>
          </cell>
          <cell r="K2683" t="str">
            <v>1103</v>
          </cell>
          <cell r="L2683" t="str">
            <v>PU</v>
          </cell>
          <cell r="M2683" t="str">
            <v>110319</v>
          </cell>
          <cell r="N2683" t="str">
            <v>PU COLOR</v>
          </cell>
        </row>
        <row r="2684">
          <cell r="C2684" t="str">
            <v>100003860</v>
          </cell>
          <cell r="D2684" t="str">
            <v>PUC-52239 RAL 7004 10 KC VN-20KP</v>
          </cell>
          <cell r="E2684" t="str">
            <v>ZFGD</v>
          </cell>
          <cell r="F2684" t="str">
            <v>PC</v>
          </cell>
          <cell r="G2684" t="str">
            <v>1</v>
          </cell>
          <cell r="H2684" t="str">
            <v>INDUSTRY</v>
          </cell>
          <cell r="I2684" t="str">
            <v>11</v>
          </cell>
          <cell r="J2684" t="str">
            <v>WOOD COATINGS</v>
          </cell>
          <cell r="K2684" t="str">
            <v>1103</v>
          </cell>
          <cell r="L2684" t="str">
            <v>PU</v>
          </cell>
          <cell r="M2684" t="str">
            <v>110319</v>
          </cell>
          <cell r="N2684" t="str">
            <v>PU COLOR</v>
          </cell>
        </row>
        <row r="2685">
          <cell r="C2685" t="str">
            <v>100003861</v>
          </cell>
          <cell r="D2685" t="str">
            <v>PUC-52239 RAL 7005 10 KC VN-20KP</v>
          </cell>
          <cell r="E2685" t="str">
            <v>ZFGD</v>
          </cell>
          <cell r="F2685" t="str">
            <v>PC</v>
          </cell>
          <cell r="G2685" t="str">
            <v>1</v>
          </cell>
          <cell r="H2685" t="str">
            <v>INDUSTRY</v>
          </cell>
          <cell r="I2685" t="str">
            <v>11</v>
          </cell>
          <cell r="J2685" t="str">
            <v>WOOD COATINGS</v>
          </cell>
          <cell r="K2685" t="str">
            <v>1103</v>
          </cell>
          <cell r="L2685" t="str">
            <v>PU</v>
          </cell>
          <cell r="M2685" t="str">
            <v>110319</v>
          </cell>
          <cell r="N2685" t="str">
            <v>PU COLOR</v>
          </cell>
        </row>
        <row r="2686">
          <cell r="C2686" t="str">
            <v>100003862</v>
          </cell>
          <cell r="D2686" t="str">
            <v>SST-11100 NVH02 I TR VN-20LJ</v>
          </cell>
          <cell r="E2686" t="str">
            <v>ZFGD</v>
          </cell>
          <cell r="F2686" t="str">
            <v>PC</v>
          </cell>
          <cell r="G2686" t="str">
            <v>1</v>
          </cell>
          <cell r="H2686" t="str">
            <v>INDUSTRY</v>
          </cell>
          <cell r="I2686" t="str">
            <v>11</v>
          </cell>
          <cell r="J2686" t="str">
            <v>WOOD COATINGS</v>
          </cell>
          <cell r="K2686" t="str">
            <v>1109</v>
          </cell>
          <cell r="L2686" t="str">
            <v>STAIN &amp; GLAZE INTERIOR</v>
          </cell>
          <cell r="M2686" t="str">
            <v>110903</v>
          </cell>
          <cell r="N2686" t="str">
            <v>STAIN INTERIOR</v>
          </cell>
        </row>
        <row r="2687">
          <cell r="C2687" t="str">
            <v>100003863</v>
          </cell>
          <cell r="D2687" t="str">
            <v>SST-11100 NVH02 II TR VN-20LJ</v>
          </cell>
          <cell r="E2687" t="str">
            <v>ZFGD</v>
          </cell>
          <cell r="F2687" t="str">
            <v>PC</v>
          </cell>
          <cell r="G2687" t="str">
            <v>1</v>
          </cell>
          <cell r="H2687" t="str">
            <v>INDUSTRY</v>
          </cell>
          <cell r="I2687" t="str">
            <v>11</v>
          </cell>
          <cell r="J2687" t="str">
            <v>WOOD COATINGS</v>
          </cell>
          <cell r="K2687" t="str">
            <v>1109</v>
          </cell>
          <cell r="L2687" t="str">
            <v>STAIN &amp; GLAZE INTERIOR</v>
          </cell>
          <cell r="M2687" t="str">
            <v>110903</v>
          </cell>
          <cell r="N2687" t="str">
            <v>STAIN INTERIOR</v>
          </cell>
        </row>
        <row r="2688">
          <cell r="C2688" t="str">
            <v>100003864</v>
          </cell>
          <cell r="D2688" t="str">
            <v>SST-11100 CLR NVH02 TR VN-20LJ</v>
          </cell>
          <cell r="E2688" t="str">
            <v>ZFGD</v>
          </cell>
          <cell r="F2688" t="str">
            <v>PC</v>
          </cell>
          <cell r="G2688" t="str">
            <v>1</v>
          </cell>
          <cell r="H2688" t="str">
            <v>INDUSTRY</v>
          </cell>
          <cell r="I2688" t="str">
            <v>11</v>
          </cell>
          <cell r="J2688" t="str">
            <v>WOOD COATINGS</v>
          </cell>
          <cell r="K2688" t="str">
            <v>1109</v>
          </cell>
          <cell r="L2688" t="str">
            <v>STAIN &amp; GLAZE INTERIOR</v>
          </cell>
          <cell r="M2688" t="str">
            <v>110903</v>
          </cell>
          <cell r="N2688" t="str">
            <v>STAIN INTERIOR</v>
          </cell>
        </row>
        <row r="2689">
          <cell r="C2689" t="str">
            <v>100003865</v>
          </cell>
          <cell r="D2689" t="str">
            <v>#NUWBL-61206 CLEAR 30 VN-20KP</v>
          </cell>
          <cell r="E2689" t="str">
            <v>ZFGD</v>
          </cell>
          <cell r="F2689" t="str">
            <v>PC</v>
          </cell>
          <cell r="G2689" t="str">
            <v>1</v>
          </cell>
          <cell r="H2689" t="str">
            <v>INDUSTRY</v>
          </cell>
          <cell r="I2689" t="str">
            <v>11</v>
          </cell>
          <cell r="J2689" t="str">
            <v>WOOD COATINGS</v>
          </cell>
          <cell r="K2689" t="str">
            <v>1119</v>
          </cell>
          <cell r="L2689" t="str">
            <v>WATERBASED</v>
          </cell>
          <cell r="M2689" t="str">
            <v>111902</v>
          </cell>
          <cell r="N2689" t="str">
            <v>WATERBASED SYSTEM INTERIOR</v>
          </cell>
        </row>
        <row r="2690">
          <cell r="C2690" t="str">
            <v>100003866</v>
          </cell>
          <cell r="D2690" t="str">
            <v>WBL-61206 CLEAR 30 VN-20KP</v>
          </cell>
          <cell r="E2690" t="str">
            <v>ZFGD</v>
          </cell>
          <cell r="F2690" t="str">
            <v>PC</v>
          </cell>
          <cell r="G2690" t="str">
            <v>1</v>
          </cell>
          <cell r="H2690" t="str">
            <v>INDUSTRY</v>
          </cell>
          <cell r="I2690" t="str">
            <v>11</v>
          </cell>
          <cell r="J2690" t="str">
            <v>WOOD COATINGS</v>
          </cell>
          <cell r="K2690" t="str">
            <v>1119</v>
          </cell>
          <cell r="L2690" t="str">
            <v>WATERBASED</v>
          </cell>
          <cell r="M2690" t="str">
            <v>111902</v>
          </cell>
          <cell r="N2690" t="str">
            <v>WATERBASED SYSTEM INTERIOR</v>
          </cell>
        </row>
        <row r="2691">
          <cell r="C2691" t="str">
            <v>100003867</v>
          </cell>
          <cell r="D2691" t="str">
            <v>PUC-52239 RAL 7002 10 KC VN-20KP</v>
          </cell>
          <cell r="E2691" t="str">
            <v>ZFGD</v>
          </cell>
          <cell r="F2691" t="str">
            <v>PC</v>
          </cell>
          <cell r="G2691" t="str">
            <v>1</v>
          </cell>
          <cell r="H2691" t="str">
            <v>INDUSTRY</v>
          </cell>
          <cell r="I2691" t="str">
            <v>11</v>
          </cell>
          <cell r="J2691" t="str">
            <v>WOOD COATINGS</v>
          </cell>
          <cell r="K2691" t="str">
            <v>1103</v>
          </cell>
          <cell r="L2691" t="str">
            <v>PU</v>
          </cell>
          <cell r="M2691" t="str">
            <v>110319</v>
          </cell>
          <cell r="N2691" t="str">
            <v>PU COLOR</v>
          </cell>
        </row>
        <row r="2692">
          <cell r="C2692" t="str">
            <v>100003868</v>
          </cell>
          <cell r="D2692" t="str">
            <v>UVS-20600 SLP NEW 01 SC VN-5K</v>
          </cell>
          <cell r="E2692" t="str">
            <v>ZFGD</v>
          </cell>
          <cell r="F2692" t="str">
            <v>PC</v>
          </cell>
          <cell r="G2692" t="str">
            <v>1</v>
          </cell>
          <cell r="H2692" t="str">
            <v>INDUSTRY</v>
          </cell>
          <cell r="I2692" t="str">
            <v>11</v>
          </cell>
          <cell r="J2692" t="str">
            <v>WOOD COATINGS</v>
          </cell>
          <cell r="K2692" t="str">
            <v>1106</v>
          </cell>
          <cell r="L2692" t="str">
            <v>UV</v>
          </cell>
          <cell r="M2692" t="str">
            <v>110606</v>
          </cell>
          <cell r="N2692" t="str">
            <v>UV STAIN</v>
          </cell>
        </row>
        <row r="2693">
          <cell r="C2693" t="str">
            <v>100003869</v>
          </cell>
          <cell r="D2693" t="str">
            <v>UVS-20600 SLP NEW 02 SC VN-5K</v>
          </cell>
          <cell r="E2693" t="str">
            <v>ZFGD</v>
          </cell>
          <cell r="F2693" t="str">
            <v>PC</v>
          </cell>
          <cell r="G2693" t="str">
            <v>1</v>
          </cell>
          <cell r="H2693" t="str">
            <v>INDUSTRY</v>
          </cell>
          <cell r="I2693" t="str">
            <v>11</v>
          </cell>
          <cell r="J2693" t="str">
            <v>WOOD COATINGS</v>
          </cell>
          <cell r="K2693" t="str">
            <v>1106</v>
          </cell>
          <cell r="L2693" t="str">
            <v>UV</v>
          </cell>
          <cell r="M2693" t="str">
            <v>110606</v>
          </cell>
          <cell r="N2693" t="str">
            <v>UV STAIN</v>
          </cell>
        </row>
        <row r="2694">
          <cell r="C2694" t="str">
            <v>100003870</v>
          </cell>
          <cell r="D2694" t="str">
            <v>UVS-20600 SLP NEW 03 SC VN-5K</v>
          </cell>
          <cell r="E2694" t="str">
            <v>ZFGD</v>
          </cell>
          <cell r="F2694" t="str">
            <v>PC</v>
          </cell>
          <cell r="G2694" t="str">
            <v>1</v>
          </cell>
          <cell r="H2694" t="str">
            <v>INDUSTRY</v>
          </cell>
          <cell r="I2694" t="str">
            <v>11</v>
          </cell>
          <cell r="J2694" t="str">
            <v>WOOD COATINGS</v>
          </cell>
          <cell r="K2694" t="str">
            <v>1106</v>
          </cell>
          <cell r="L2694" t="str">
            <v>UV</v>
          </cell>
          <cell r="M2694" t="str">
            <v>110606</v>
          </cell>
          <cell r="N2694" t="str">
            <v>UV STAIN</v>
          </cell>
        </row>
        <row r="2695">
          <cell r="C2695" t="str">
            <v>100003871</v>
          </cell>
          <cell r="D2695" t="str">
            <v>WBC-62202 RAL 7016 10 KC VN-20KP</v>
          </cell>
          <cell r="E2695" t="str">
            <v>ZFGD</v>
          </cell>
          <cell r="F2695" t="str">
            <v>PC</v>
          </cell>
          <cell r="G2695" t="str">
            <v>1</v>
          </cell>
          <cell r="H2695" t="str">
            <v>INDUSTRY</v>
          </cell>
          <cell r="I2695" t="str">
            <v>11</v>
          </cell>
          <cell r="J2695" t="str">
            <v>WOOD COATINGS</v>
          </cell>
          <cell r="K2695" t="str">
            <v>1119</v>
          </cell>
          <cell r="L2695" t="str">
            <v>WATERBASED</v>
          </cell>
          <cell r="M2695" t="str">
            <v>111902</v>
          </cell>
          <cell r="N2695" t="str">
            <v>WATERBASED SYSTEM INTERIOR</v>
          </cell>
        </row>
        <row r="2696">
          <cell r="C2696" t="str">
            <v>100003872</v>
          </cell>
          <cell r="D2696" t="str">
            <v>WBL-1612 10 AK-20KP</v>
          </cell>
          <cell r="E2696" t="str">
            <v>ZFGD</v>
          </cell>
          <cell r="F2696" t="str">
            <v>PC</v>
          </cell>
          <cell r="G2696" t="str">
            <v>1</v>
          </cell>
          <cell r="H2696" t="str">
            <v>INDUSTRY</v>
          </cell>
          <cell r="I2696" t="str">
            <v>11</v>
          </cell>
          <cell r="J2696" t="str">
            <v>WOOD COATINGS</v>
          </cell>
          <cell r="K2696" t="str">
            <v>1119</v>
          </cell>
          <cell r="L2696" t="str">
            <v>WATERBASED</v>
          </cell>
          <cell r="M2696" t="str">
            <v>111902</v>
          </cell>
          <cell r="N2696" t="str">
            <v>WATERBASED SYSTEM INTERIOR</v>
          </cell>
        </row>
        <row r="2697">
          <cell r="C2697" t="str">
            <v>100003873</v>
          </cell>
          <cell r="D2697" t="str">
            <v>THNC-71100 BC SS VN-200LK</v>
          </cell>
          <cell r="E2697" t="str">
            <v>ZFGD</v>
          </cell>
          <cell r="F2697" t="str">
            <v>PC</v>
          </cell>
          <cell r="G2697" t="str">
            <v>1</v>
          </cell>
          <cell r="H2697" t="str">
            <v>INDUSTRY</v>
          </cell>
          <cell r="I2697" t="str">
            <v>14</v>
          </cell>
          <cell r="J2697" t="str">
            <v>THINNER</v>
          </cell>
          <cell r="K2697" t="str">
            <v>1412</v>
          </cell>
          <cell r="L2697" t="str">
            <v>THINNER NC</v>
          </cell>
          <cell r="M2697" t="str">
            <v>141205</v>
          </cell>
          <cell r="N2697" t="str">
            <v>THINNER NC</v>
          </cell>
        </row>
        <row r="2698">
          <cell r="C2698" t="str">
            <v>100003874</v>
          </cell>
          <cell r="D2698" t="str">
            <v>THNC-71100 BC VN-200LK</v>
          </cell>
          <cell r="E2698" t="str">
            <v>ZFGD</v>
          </cell>
          <cell r="F2698" t="str">
            <v>PC</v>
          </cell>
          <cell r="G2698" t="str">
            <v>1</v>
          </cell>
          <cell r="H2698" t="str">
            <v>INDUSTRY</v>
          </cell>
          <cell r="I2698" t="str">
            <v>14</v>
          </cell>
          <cell r="J2698" t="str">
            <v>THINNER</v>
          </cell>
          <cell r="K2698" t="str">
            <v>1412</v>
          </cell>
          <cell r="L2698" t="str">
            <v>THINNER NC</v>
          </cell>
          <cell r="M2698" t="str">
            <v>141205</v>
          </cell>
          <cell r="N2698" t="str">
            <v>THINNER NC</v>
          </cell>
        </row>
        <row r="2699">
          <cell r="C2699" t="str">
            <v>100003875</v>
          </cell>
          <cell r="D2699" t="str">
            <v>UVS-20600 CLT SC VN-5K</v>
          </cell>
          <cell r="E2699" t="str">
            <v>ZFGD</v>
          </cell>
          <cell r="F2699" t="str">
            <v>PC</v>
          </cell>
          <cell r="G2699" t="str">
            <v>1</v>
          </cell>
          <cell r="H2699" t="str">
            <v>INDUSTRY</v>
          </cell>
          <cell r="I2699" t="str">
            <v>11</v>
          </cell>
          <cell r="J2699" t="str">
            <v>WOOD COATINGS</v>
          </cell>
          <cell r="K2699" t="str">
            <v>1106</v>
          </cell>
          <cell r="L2699" t="str">
            <v>UV</v>
          </cell>
          <cell r="M2699" t="str">
            <v>110606</v>
          </cell>
          <cell r="N2699" t="str">
            <v>UV STAIN</v>
          </cell>
        </row>
        <row r="2700">
          <cell r="C2700" t="str">
            <v>100003876</v>
          </cell>
          <cell r="D2700" t="str">
            <v>UVS-20600 SLP 01 SC VN-5K</v>
          </cell>
          <cell r="E2700" t="str">
            <v>ZFGD</v>
          </cell>
          <cell r="F2700" t="str">
            <v>PC</v>
          </cell>
          <cell r="G2700" t="str">
            <v>1</v>
          </cell>
          <cell r="H2700" t="str">
            <v>INDUSTRY</v>
          </cell>
          <cell r="I2700" t="str">
            <v>11</v>
          </cell>
          <cell r="J2700" t="str">
            <v>WOOD COATINGS</v>
          </cell>
          <cell r="K2700" t="str">
            <v>1106</v>
          </cell>
          <cell r="L2700" t="str">
            <v>UV</v>
          </cell>
          <cell r="M2700" t="str">
            <v>110606</v>
          </cell>
          <cell r="N2700" t="str">
            <v>UV STAIN</v>
          </cell>
        </row>
        <row r="2701">
          <cell r="C2701" t="str">
            <v>100003877</v>
          </cell>
          <cell r="D2701" t="str">
            <v>UVS-20600 SLP 02 SC VN-5K</v>
          </cell>
          <cell r="E2701" t="str">
            <v>ZFGD</v>
          </cell>
          <cell r="F2701" t="str">
            <v>PC</v>
          </cell>
          <cell r="G2701" t="str">
            <v>1</v>
          </cell>
          <cell r="H2701" t="str">
            <v>INDUSTRY</v>
          </cell>
          <cell r="I2701" t="str">
            <v>11</v>
          </cell>
          <cell r="J2701" t="str">
            <v>WOOD COATINGS</v>
          </cell>
          <cell r="K2701" t="str">
            <v>1106</v>
          </cell>
          <cell r="L2701" t="str">
            <v>UV</v>
          </cell>
          <cell r="M2701" t="str">
            <v>110606</v>
          </cell>
          <cell r="N2701" t="str">
            <v>UV STAIN</v>
          </cell>
        </row>
        <row r="2702">
          <cell r="C2702" t="str">
            <v>100003878</v>
          </cell>
          <cell r="D2702" t="str">
            <v>UVS-20600 SLP 03 SC VN-5K</v>
          </cell>
          <cell r="E2702" t="str">
            <v>ZFGD</v>
          </cell>
          <cell r="F2702" t="str">
            <v>PC</v>
          </cell>
          <cell r="G2702" t="str">
            <v>1</v>
          </cell>
          <cell r="H2702" t="str">
            <v>INDUSTRY</v>
          </cell>
          <cell r="I2702" t="str">
            <v>11</v>
          </cell>
          <cell r="J2702" t="str">
            <v>WOOD COATINGS</v>
          </cell>
          <cell r="K2702" t="str">
            <v>1106</v>
          </cell>
          <cell r="L2702" t="str">
            <v>UV</v>
          </cell>
          <cell r="M2702" t="str">
            <v>110606</v>
          </cell>
          <cell r="N2702" t="str">
            <v>UV STAIN</v>
          </cell>
        </row>
        <row r="2703">
          <cell r="C2703" t="str">
            <v>100003879</v>
          </cell>
          <cell r="D2703" t="str">
            <v>UVS-20202 TEAK 1 SC VN -5K</v>
          </cell>
          <cell r="E2703" t="str">
            <v>ZFGD</v>
          </cell>
          <cell r="F2703" t="str">
            <v>PC</v>
          </cell>
          <cell r="G2703" t="str">
            <v>1</v>
          </cell>
          <cell r="H2703" t="str">
            <v>INDUSTRY</v>
          </cell>
          <cell r="I2703" t="str">
            <v>11</v>
          </cell>
          <cell r="J2703" t="str">
            <v>WOOD COATINGS</v>
          </cell>
          <cell r="K2703" t="str">
            <v>1106</v>
          </cell>
          <cell r="L2703" t="str">
            <v>UV</v>
          </cell>
          <cell r="M2703" t="str">
            <v>110606</v>
          </cell>
          <cell r="N2703" t="str">
            <v>UV STAIN</v>
          </cell>
        </row>
        <row r="2704">
          <cell r="C2704" t="str">
            <v>100003880</v>
          </cell>
          <cell r="D2704" t="str">
            <v>UVS-20202 TEAK 2 SC VN-5K</v>
          </cell>
          <cell r="E2704" t="str">
            <v>ZFGD</v>
          </cell>
          <cell r="F2704" t="str">
            <v>PC</v>
          </cell>
          <cell r="G2704" t="str">
            <v>1</v>
          </cell>
          <cell r="H2704" t="str">
            <v>INDUSTRY</v>
          </cell>
          <cell r="I2704" t="str">
            <v>11</v>
          </cell>
          <cell r="J2704" t="str">
            <v>WOOD COATINGS</v>
          </cell>
          <cell r="K2704" t="str">
            <v>1106</v>
          </cell>
          <cell r="L2704" t="str">
            <v>UV</v>
          </cell>
          <cell r="M2704" t="str">
            <v>110606</v>
          </cell>
          <cell r="N2704" t="str">
            <v>UV STAIN</v>
          </cell>
        </row>
        <row r="2705">
          <cell r="C2705" t="str">
            <v>100003881</v>
          </cell>
          <cell r="D2705" t="str">
            <v>UVS-20202 CEMENT 01 SC VN-5K</v>
          </cell>
          <cell r="E2705" t="str">
            <v>ZFGD</v>
          </cell>
          <cell r="F2705" t="str">
            <v>PC</v>
          </cell>
          <cell r="G2705" t="str">
            <v>1</v>
          </cell>
          <cell r="H2705" t="str">
            <v>INDUSTRY</v>
          </cell>
          <cell r="I2705" t="str">
            <v>11</v>
          </cell>
          <cell r="J2705" t="str">
            <v>WOOD COATINGS</v>
          </cell>
          <cell r="K2705" t="str">
            <v>1106</v>
          </cell>
          <cell r="L2705" t="str">
            <v>UV</v>
          </cell>
          <cell r="M2705" t="str">
            <v>110606</v>
          </cell>
          <cell r="N2705" t="str">
            <v>UV STAIN</v>
          </cell>
        </row>
        <row r="2706">
          <cell r="C2706" t="str">
            <v>100003882</v>
          </cell>
          <cell r="D2706" t="str">
            <v>UVS-20202 CEMENT 02 SC VN-5K</v>
          </cell>
          <cell r="E2706" t="str">
            <v>ZFGD</v>
          </cell>
          <cell r="F2706" t="str">
            <v>PC</v>
          </cell>
          <cell r="G2706" t="str">
            <v>1</v>
          </cell>
          <cell r="H2706" t="str">
            <v>INDUSTRY</v>
          </cell>
          <cell r="I2706" t="str">
            <v>11</v>
          </cell>
          <cell r="J2706" t="str">
            <v>WOOD COATINGS</v>
          </cell>
          <cell r="K2706" t="str">
            <v>1106</v>
          </cell>
          <cell r="L2706" t="str">
            <v>UV</v>
          </cell>
          <cell r="M2706" t="str">
            <v>110606</v>
          </cell>
          <cell r="N2706" t="str">
            <v>UV STAIN</v>
          </cell>
        </row>
        <row r="2707">
          <cell r="C2707" t="str">
            <v>100003883</v>
          </cell>
          <cell r="D2707" t="str">
            <v>UVS-20202 BLACK SC VN-5K</v>
          </cell>
          <cell r="E2707" t="str">
            <v>ZFGD</v>
          </cell>
          <cell r="F2707" t="str">
            <v>PC</v>
          </cell>
          <cell r="G2707" t="str">
            <v>1</v>
          </cell>
          <cell r="H2707" t="str">
            <v>INDUSTRY</v>
          </cell>
          <cell r="I2707" t="str">
            <v>11</v>
          </cell>
          <cell r="J2707" t="str">
            <v>WOOD COATINGS</v>
          </cell>
          <cell r="K2707" t="str">
            <v>1106</v>
          </cell>
          <cell r="L2707" t="str">
            <v>UV</v>
          </cell>
          <cell r="M2707" t="str">
            <v>110606</v>
          </cell>
          <cell r="N2707" t="str">
            <v>UV STAIN</v>
          </cell>
        </row>
        <row r="2708">
          <cell r="C2708" t="str">
            <v>100003884</v>
          </cell>
          <cell r="D2708" t="str">
            <v>UVS-20202 LIGHT GREY 04 SC VN-5K</v>
          </cell>
          <cell r="E2708" t="str">
            <v>ZFGD</v>
          </cell>
          <cell r="F2708" t="str">
            <v>PC</v>
          </cell>
          <cell r="G2708" t="str">
            <v>1</v>
          </cell>
          <cell r="H2708" t="str">
            <v>INDUSTRY</v>
          </cell>
          <cell r="I2708" t="str">
            <v>11</v>
          </cell>
          <cell r="J2708" t="str">
            <v>WOOD COATINGS</v>
          </cell>
          <cell r="K2708" t="str">
            <v>1106</v>
          </cell>
          <cell r="L2708" t="str">
            <v>UV</v>
          </cell>
          <cell r="M2708" t="str">
            <v>110606</v>
          </cell>
          <cell r="N2708" t="str">
            <v>UV STAIN</v>
          </cell>
        </row>
        <row r="2709">
          <cell r="C2709" t="str">
            <v>100003885</v>
          </cell>
          <cell r="D2709" t="str">
            <v>UVS-20202 LIGHT TEAK 01 SC VN-5K</v>
          </cell>
          <cell r="E2709" t="str">
            <v>ZFGD</v>
          </cell>
          <cell r="F2709" t="str">
            <v>PC</v>
          </cell>
          <cell r="G2709" t="str">
            <v>1</v>
          </cell>
          <cell r="H2709" t="str">
            <v>INDUSTRY</v>
          </cell>
          <cell r="I2709" t="str">
            <v>11</v>
          </cell>
          <cell r="J2709" t="str">
            <v>WOOD COATINGS</v>
          </cell>
          <cell r="K2709" t="str">
            <v>1106</v>
          </cell>
          <cell r="L2709" t="str">
            <v>UV</v>
          </cell>
          <cell r="M2709" t="str">
            <v>110606</v>
          </cell>
          <cell r="N2709" t="str">
            <v>UV STAIN</v>
          </cell>
        </row>
        <row r="2710">
          <cell r="C2710" t="str">
            <v>100003886</v>
          </cell>
          <cell r="D2710" t="str">
            <v>UVS-20202 LIGHT TEAK 02 SC VN-5K</v>
          </cell>
          <cell r="E2710" t="str">
            <v>ZFGD</v>
          </cell>
          <cell r="F2710" t="str">
            <v>PC</v>
          </cell>
          <cell r="G2710" t="str">
            <v>1</v>
          </cell>
          <cell r="H2710" t="str">
            <v>INDUSTRY</v>
          </cell>
          <cell r="I2710" t="str">
            <v>11</v>
          </cell>
          <cell r="J2710" t="str">
            <v>WOOD COATINGS</v>
          </cell>
          <cell r="K2710" t="str">
            <v>1106</v>
          </cell>
          <cell r="L2710" t="str">
            <v>UV</v>
          </cell>
          <cell r="M2710" t="str">
            <v>110606</v>
          </cell>
          <cell r="N2710" t="str">
            <v>UV STAIN</v>
          </cell>
        </row>
        <row r="2711">
          <cell r="C2711" t="str">
            <v>100003887</v>
          </cell>
          <cell r="D2711" t="str">
            <v>UVS-20202 GMR 01 SC VN-5K</v>
          </cell>
          <cell r="E2711" t="str">
            <v>ZFGD</v>
          </cell>
          <cell r="F2711" t="str">
            <v>PC</v>
          </cell>
          <cell r="G2711" t="str">
            <v>1</v>
          </cell>
          <cell r="H2711" t="str">
            <v>INDUSTRY</v>
          </cell>
          <cell r="I2711" t="str">
            <v>11</v>
          </cell>
          <cell r="J2711" t="str">
            <v>WOOD COATINGS</v>
          </cell>
          <cell r="K2711" t="str">
            <v>1106</v>
          </cell>
          <cell r="L2711" t="str">
            <v>UV</v>
          </cell>
          <cell r="M2711" t="str">
            <v>110606</v>
          </cell>
          <cell r="N2711" t="str">
            <v>UV STAIN</v>
          </cell>
        </row>
        <row r="2712">
          <cell r="C2712" t="str">
            <v>100003888</v>
          </cell>
          <cell r="D2712" t="str">
            <v>UVS-20202 GMR 02 SC VN-5K</v>
          </cell>
          <cell r="E2712" t="str">
            <v>ZFGD</v>
          </cell>
          <cell r="F2712" t="str">
            <v>PC</v>
          </cell>
          <cell r="G2712" t="str">
            <v>1</v>
          </cell>
          <cell r="H2712" t="str">
            <v>INDUSTRY</v>
          </cell>
          <cell r="I2712" t="str">
            <v>11</v>
          </cell>
          <cell r="J2712" t="str">
            <v>WOOD COATINGS</v>
          </cell>
          <cell r="K2712" t="str">
            <v>1106</v>
          </cell>
          <cell r="L2712" t="str">
            <v>UV</v>
          </cell>
          <cell r="M2712" t="str">
            <v>110606</v>
          </cell>
          <cell r="N2712" t="str">
            <v>UV STAIN</v>
          </cell>
        </row>
        <row r="2713">
          <cell r="C2713" t="str">
            <v>100003889</v>
          </cell>
          <cell r="D2713" t="str">
            <v>UVS-20202 BLUE 05 SC VN-5K</v>
          </cell>
          <cell r="E2713" t="str">
            <v>ZFGD</v>
          </cell>
          <cell r="F2713" t="str">
            <v>PC</v>
          </cell>
          <cell r="G2713" t="str">
            <v>1</v>
          </cell>
          <cell r="H2713" t="str">
            <v>INDUSTRY</v>
          </cell>
          <cell r="I2713" t="str">
            <v>11</v>
          </cell>
          <cell r="J2713" t="str">
            <v>WOOD COATINGS</v>
          </cell>
          <cell r="K2713" t="str">
            <v>1106</v>
          </cell>
          <cell r="L2713" t="str">
            <v>UV</v>
          </cell>
          <cell r="M2713" t="str">
            <v>110606</v>
          </cell>
          <cell r="N2713" t="str">
            <v>UV STAIN</v>
          </cell>
        </row>
        <row r="2714">
          <cell r="C2714" t="str">
            <v>100003890</v>
          </cell>
          <cell r="D2714" t="str">
            <v>UVS-20202 BLUE 07 SC VN-5K</v>
          </cell>
          <cell r="E2714" t="str">
            <v>ZFGD</v>
          </cell>
          <cell r="F2714" t="str">
            <v>PC</v>
          </cell>
          <cell r="G2714" t="str">
            <v>1</v>
          </cell>
          <cell r="H2714" t="str">
            <v>INDUSTRY</v>
          </cell>
          <cell r="I2714" t="str">
            <v>11</v>
          </cell>
          <cell r="J2714" t="str">
            <v>WOOD COATINGS</v>
          </cell>
          <cell r="K2714" t="str">
            <v>1106</v>
          </cell>
          <cell r="L2714" t="str">
            <v>UV</v>
          </cell>
          <cell r="M2714" t="str">
            <v>110606</v>
          </cell>
          <cell r="N2714" t="str">
            <v>UV STAIN</v>
          </cell>
        </row>
        <row r="2715">
          <cell r="C2715" t="str">
            <v>100003891</v>
          </cell>
          <cell r="D2715" t="str">
            <v>#NUNCSS-11229 BC VN-20LP</v>
          </cell>
          <cell r="E2715" t="str">
            <v>ZFGD</v>
          </cell>
          <cell r="F2715" t="str">
            <v>KG</v>
          </cell>
          <cell r="G2715" t="str">
            <v>1</v>
          </cell>
          <cell r="H2715" t="str">
            <v>INDUSTRY</v>
          </cell>
          <cell r="I2715" t="str">
            <v>11</v>
          </cell>
          <cell r="J2715" t="str">
            <v>WOOD COATINGS</v>
          </cell>
          <cell r="K2715" t="str">
            <v>1104</v>
          </cell>
          <cell r="L2715" t="str">
            <v>NC</v>
          </cell>
          <cell r="M2715" t="str">
            <v>110405</v>
          </cell>
          <cell r="N2715" t="str">
            <v>NC SYSTEM</v>
          </cell>
        </row>
        <row r="2716">
          <cell r="C2716" t="str">
            <v>100003892</v>
          </cell>
          <cell r="D2716" t="str">
            <v>#NUNCL-11329 BC CLEAR 05 VN-20LP</v>
          </cell>
          <cell r="E2716" t="str">
            <v>ZFGD</v>
          </cell>
          <cell r="F2716" t="str">
            <v>KG</v>
          </cell>
          <cell r="G2716" t="str">
            <v>1</v>
          </cell>
          <cell r="H2716" t="str">
            <v>INDUSTRY</v>
          </cell>
          <cell r="I2716" t="str">
            <v>11</v>
          </cell>
          <cell r="J2716" t="str">
            <v>WOOD COATINGS</v>
          </cell>
          <cell r="K2716" t="str">
            <v>1104</v>
          </cell>
          <cell r="L2716" t="str">
            <v>NC</v>
          </cell>
          <cell r="M2716" t="str">
            <v>110405</v>
          </cell>
          <cell r="N2716" t="str">
            <v>NC SYSTEM</v>
          </cell>
        </row>
        <row r="2717">
          <cell r="C2717" t="str">
            <v>100003893</v>
          </cell>
          <cell r="D2717" t="str">
            <v>#NUNCL-11329 BC CLEAR 30 VN-20LP</v>
          </cell>
          <cell r="E2717" t="str">
            <v>ZFGD</v>
          </cell>
          <cell r="F2717" t="str">
            <v>KG</v>
          </cell>
          <cell r="G2717" t="str">
            <v>1</v>
          </cell>
          <cell r="H2717" t="str">
            <v>INDUSTRY</v>
          </cell>
          <cell r="I2717" t="str">
            <v>11</v>
          </cell>
          <cell r="J2717" t="str">
            <v>WOOD COATINGS</v>
          </cell>
          <cell r="K2717" t="str">
            <v>1104</v>
          </cell>
          <cell r="L2717" t="str">
            <v>NC</v>
          </cell>
          <cell r="M2717" t="str">
            <v>110405</v>
          </cell>
          <cell r="N2717" t="str">
            <v>NC SYSTEM</v>
          </cell>
        </row>
        <row r="2718">
          <cell r="C2718" t="str">
            <v>100003894</v>
          </cell>
          <cell r="D2718" t="str">
            <v>#NUDP-12123 BC WHITE VN-20KP</v>
          </cell>
          <cell r="E2718" t="str">
            <v>ZFGD</v>
          </cell>
          <cell r="F2718" t="str">
            <v>PC</v>
          </cell>
          <cell r="G2718" t="str">
            <v>1</v>
          </cell>
          <cell r="H2718" t="str">
            <v>INDUSTRY</v>
          </cell>
          <cell r="I2718" t="str">
            <v>11</v>
          </cell>
          <cell r="J2718" t="str">
            <v>WOOD COATINGS</v>
          </cell>
          <cell r="K2718" t="str">
            <v>1104</v>
          </cell>
          <cell r="L2718" t="str">
            <v>NC</v>
          </cell>
          <cell r="M2718" t="str">
            <v>110405</v>
          </cell>
          <cell r="N2718" t="str">
            <v>NC SYSTEM</v>
          </cell>
        </row>
        <row r="2719">
          <cell r="C2719" t="str">
            <v>100003895</v>
          </cell>
          <cell r="D2719" t="str">
            <v>SST-11100 STRASTOPHERE B TL VN-20LJ</v>
          </cell>
          <cell r="E2719" t="str">
            <v>ZFGD</v>
          </cell>
          <cell r="F2719" t="str">
            <v>PC</v>
          </cell>
          <cell r="G2719" t="str">
            <v>1</v>
          </cell>
          <cell r="H2719" t="str">
            <v>INDUSTRY</v>
          </cell>
          <cell r="I2719" t="str">
            <v>11</v>
          </cell>
          <cell r="J2719" t="str">
            <v>WOOD COATINGS</v>
          </cell>
          <cell r="K2719" t="str">
            <v>1109</v>
          </cell>
          <cell r="L2719" t="str">
            <v>STAIN &amp; GLAZE INTERIOR</v>
          </cell>
          <cell r="M2719" t="str">
            <v>110903</v>
          </cell>
          <cell r="N2719" t="str">
            <v>STAIN INTERIOR</v>
          </cell>
        </row>
        <row r="2720">
          <cell r="C2720" t="str">
            <v>100003896</v>
          </cell>
          <cell r="D2720" t="str">
            <v>PCA-31100 STRASTOPHERE A TL VN-20LJ</v>
          </cell>
          <cell r="E2720" t="str">
            <v>ZFGD</v>
          </cell>
          <cell r="F2720" t="str">
            <v>PC</v>
          </cell>
          <cell r="G2720" t="str">
            <v>1</v>
          </cell>
          <cell r="H2720" t="str">
            <v>INDUSTRY</v>
          </cell>
          <cell r="I2720" t="str">
            <v>11</v>
          </cell>
          <cell r="J2720" t="str">
            <v>WOOD COATINGS</v>
          </cell>
          <cell r="K2720" t="str">
            <v>1118</v>
          </cell>
          <cell r="L2720" t="str">
            <v>COMPLEMENTARY</v>
          </cell>
          <cell r="M2720" t="str">
            <v>111807</v>
          </cell>
          <cell r="N2720" t="str">
            <v>PASTA</v>
          </cell>
        </row>
        <row r="2721">
          <cell r="C2721" t="str">
            <v>100003897</v>
          </cell>
          <cell r="D2721" t="str">
            <v>NCSS-11229 BC VN-20LP</v>
          </cell>
          <cell r="E2721" t="str">
            <v>ZFGD</v>
          </cell>
          <cell r="F2721" t="str">
            <v>PC</v>
          </cell>
          <cell r="G2721" t="str">
            <v>1</v>
          </cell>
          <cell r="H2721" t="str">
            <v>INDUSTRY</v>
          </cell>
          <cell r="I2721" t="str">
            <v>11</v>
          </cell>
          <cell r="J2721" t="str">
            <v>WOOD COATINGS</v>
          </cell>
          <cell r="K2721" t="str">
            <v>1104</v>
          </cell>
          <cell r="L2721" t="str">
            <v>NC</v>
          </cell>
          <cell r="M2721" t="str">
            <v>110405</v>
          </cell>
          <cell r="N2721" t="str">
            <v>NC SYSTEM</v>
          </cell>
        </row>
        <row r="2722">
          <cell r="C2722" t="str">
            <v>100003898</v>
          </cell>
          <cell r="D2722" t="str">
            <v>NCL-11329 BC CLEAR 05 VN-20LP</v>
          </cell>
          <cell r="E2722" t="str">
            <v>ZFGD</v>
          </cell>
          <cell r="F2722" t="str">
            <v>PC</v>
          </cell>
          <cell r="G2722" t="str">
            <v>1</v>
          </cell>
          <cell r="H2722" t="str">
            <v>INDUSTRY</v>
          </cell>
          <cell r="I2722" t="str">
            <v>11</v>
          </cell>
          <cell r="J2722" t="str">
            <v>WOOD COATINGS</v>
          </cell>
          <cell r="K2722" t="str">
            <v>1104</v>
          </cell>
          <cell r="L2722" t="str">
            <v>NC</v>
          </cell>
          <cell r="M2722" t="str">
            <v>110405</v>
          </cell>
          <cell r="N2722" t="str">
            <v>NC SYSTEM</v>
          </cell>
        </row>
        <row r="2723">
          <cell r="C2723" t="str">
            <v>100003899</v>
          </cell>
          <cell r="D2723" t="str">
            <v>NCL-11329 BC CLEAR 30 VN-20LP</v>
          </cell>
          <cell r="E2723" t="str">
            <v>ZFGD</v>
          </cell>
          <cell r="F2723" t="str">
            <v>PC</v>
          </cell>
          <cell r="G2723" t="str">
            <v>1</v>
          </cell>
          <cell r="H2723" t="str">
            <v>INDUSTRY</v>
          </cell>
          <cell r="I2723" t="str">
            <v>11</v>
          </cell>
          <cell r="J2723" t="str">
            <v>WOOD COATINGS</v>
          </cell>
          <cell r="K2723" t="str">
            <v>1104</v>
          </cell>
          <cell r="L2723" t="str">
            <v>NC</v>
          </cell>
          <cell r="M2723" t="str">
            <v>110405</v>
          </cell>
          <cell r="N2723" t="str">
            <v>NC SYSTEM</v>
          </cell>
        </row>
        <row r="2724">
          <cell r="C2724" t="str">
            <v>100003900</v>
          </cell>
          <cell r="D2724" t="str">
            <v>DP-12123 BC WHITE VN-20KP</v>
          </cell>
          <cell r="E2724" t="str">
            <v>ZFGD</v>
          </cell>
          <cell r="F2724" t="str">
            <v>PC</v>
          </cell>
          <cell r="G2724" t="str">
            <v>1</v>
          </cell>
          <cell r="H2724" t="str">
            <v>INDUSTRY</v>
          </cell>
          <cell r="I2724" t="str">
            <v>11</v>
          </cell>
          <cell r="J2724" t="str">
            <v>WOOD COATINGS</v>
          </cell>
          <cell r="K2724" t="str">
            <v>1104</v>
          </cell>
          <cell r="L2724" t="str">
            <v>NC</v>
          </cell>
          <cell r="M2724" t="str">
            <v>110405</v>
          </cell>
          <cell r="N2724" t="str">
            <v>NC SYSTEM</v>
          </cell>
        </row>
        <row r="2725">
          <cell r="C2725" t="str">
            <v>100003901</v>
          </cell>
          <cell r="D2725" t="str">
            <v>SST-11100 01 PL VN-20LJ</v>
          </cell>
          <cell r="E2725" t="str">
            <v>ZFGD</v>
          </cell>
          <cell r="F2725" t="str">
            <v>PC</v>
          </cell>
          <cell r="G2725" t="str">
            <v>1</v>
          </cell>
          <cell r="H2725" t="str">
            <v>INDUSTRY</v>
          </cell>
          <cell r="I2725" t="str">
            <v>11</v>
          </cell>
          <cell r="J2725" t="str">
            <v>WOOD COATINGS</v>
          </cell>
          <cell r="K2725" t="str">
            <v>1109</v>
          </cell>
          <cell r="L2725" t="str">
            <v>STAIN &amp; GLAZE INTERIOR</v>
          </cell>
          <cell r="M2725" t="str">
            <v>110903</v>
          </cell>
          <cell r="N2725" t="str">
            <v>STAIN INTERIOR</v>
          </cell>
        </row>
        <row r="2726">
          <cell r="C2726" t="str">
            <v>100003902</v>
          </cell>
          <cell r="D2726" t="str">
            <v>THC-73100 405 VN-20LJ</v>
          </cell>
          <cell r="E2726" t="str">
            <v>ZFGD</v>
          </cell>
          <cell r="F2726" t="str">
            <v>PC</v>
          </cell>
          <cell r="G2726" t="str">
            <v>1</v>
          </cell>
          <cell r="H2726" t="str">
            <v>INDUSTRY</v>
          </cell>
          <cell r="I2726" t="str">
            <v>14</v>
          </cell>
          <cell r="J2726" t="str">
            <v>THINNER</v>
          </cell>
          <cell r="K2726" t="str">
            <v>1412</v>
          </cell>
          <cell r="L2726" t="str">
            <v>THINNER NC</v>
          </cell>
          <cell r="M2726" t="str">
            <v>141203</v>
          </cell>
          <cell r="N2726" t="str">
            <v>THINNER COMPLEMENTARY</v>
          </cell>
        </row>
        <row r="2727">
          <cell r="C2727" t="str">
            <v>100003903</v>
          </cell>
          <cell r="D2727" t="str">
            <v>NCSS-11229 BC VN-200LB</v>
          </cell>
          <cell r="E2727" t="str">
            <v>ZFGD</v>
          </cell>
          <cell r="F2727" t="str">
            <v>PC</v>
          </cell>
          <cell r="G2727" t="str">
            <v>1</v>
          </cell>
          <cell r="H2727" t="str">
            <v>INDUSTRY</v>
          </cell>
          <cell r="I2727" t="str">
            <v>11</v>
          </cell>
          <cell r="J2727" t="str">
            <v>WOOD COATINGS</v>
          </cell>
          <cell r="K2727" t="str">
            <v>1104</v>
          </cell>
          <cell r="L2727" t="str">
            <v>NC</v>
          </cell>
          <cell r="M2727" t="str">
            <v>110405</v>
          </cell>
          <cell r="N2727" t="str">
            <v>NC SYSTEM</v>
          </cell>
        </row>
        <row r="2728">
          <cell r="C2728" t="str">
            <v>100003904</v>
          </cell>
          <cell r="D2728" t="str">
            <v>DP-12123 BC WHITE VN-200KB</v>
          </cell>
          <cell r="E2728" t="str">
            <v>ZFGD</v>
          </cell>
          <cell r="F2728" t="str">
            <v>PC</v>
          </cell>
          <cell r="G2728" t="str">
            <v>1</v>
          </cell>
          <cell r="H2728" t="str">
            <v>INDUSTRY</v>
          </cell>
          <cell r="I2728" t="str">
            <v>11</v>
          </cell>
          <cell r="J2728" t="str">
            <v>WOOD COATINGS</v>
          </cell>
          <cell r="K2728" t="str">
            <v>1104</v>
          </cell>
          <cell r="L2728" t="str">
            <v>NC</v>
          </cell>
          <cell r="M2728" t="str">
            <v>110405</v>
          </cell>
          <cell r="N2728" t="str">
            <v>NC SYSTEM</v>
          </cell>
        </row>
        <row r="2729">
          <cell r="C2729" t="str">
            <v>100003905</v>
          </cell>
          <cell r="D2729" t="str">
            <v>UVS-20601 SLP 01 SC VN-5K</v>
          </cell>
          <cell r="E2729" t="str">
            <v>ZFGD</v>
          </cell>
          <cell r="F2729" t="str">
            <v>PC</v>
          </cell>
          <cell r="G2729" t="str">
            <v>1</v>
          </cell>
          <cell r="H2729" t="str">
            <v>INDUSTRY</v>
          </cell>
          <cell r="I2729" t="str">
            <v>11</v>
          </cell>
          <cell r="J2729" t="str">
            <v>WOOD COATINGS</v>
          </cell>
          <cell r="K2729" t="str">
            <v>1106</v>
          </cell>
          <cell r="L2729" t="str">
            <v>UV</v>
          </cell>
          <cell r="M2729" t="str">
            <v>110606</v>
          </cell>
          <cell r="N2729" t="str">
            <v>UV STAIN</v>
          </cell>
        </row>
        <row r="2730">
          <cell r="C2730" t="str">
            <v>100003906</v>
          </cell>
          <cell r="D2730" t="str">
            <v>UVS-20601 SLP 02 SC VN-5K</v>
          </cell>
          <cell r="E2730" t="str">
            <v>ZFGD</v>
          </cell>
          <cell r="F2730" t="str">
            <v>PC</v>
          </cell>
          <cell r="G2730" t="str">
            <v>1</v>
          </cell>
          <cell r="H2730" t="str">
            <v>INDUSTRY</v>
          </cell>
          <cell r="I2730" t="str">
            <v>11</v>
          </cell>
          <cell r="J2730" t="str">
            <v>WOOD COATINGS</v>
          </cell>
          <cell r="K2730" t="str">
            <v>1106</v>
          </cell>
          <cell r="L2730" t="str">
            <v>UV</v>
          </cell>
          <cell r="M2730" t="str">
            <v>110606</v>
          </cell>
          <cell r="N2730" t="str">
            <v>UV STAIN</v>
          </cell>
        </row>
        <row r="2731">
          <cell r="C2731" t="str">
            <v>100003907</v>
          </cell>
          <cell r="D2731" t="str">
            <v>UVS-20601 SLP 03 SC VN-5K</v>
          </cell>
          <cell r="E2731" t="str">
            <v>ZFGD</v>
          </cell>
          <cell r="F2731" t="str">
            <v>PC</v>
          </cell>
          <cell r="G2731" t="str">
            <v>1</v>
          </cell>
          <cell r="H2731" t="str">
            <v>INDUSTRY</v>
          </cell>
          <cell r="I2731" t="str">
            <v>11</v>
          </cell>
          <cell r="J2731" t="str">
            <v>WOOD COATINGS</v>
          </cell>
          <cell r="K2731" t="str">
            <v>1106</v>
          </cell>
          <cell r="L2731" t="str">
            <v>UV</v>
          </cell>
          <cell r="M2731" t="str">
            <v>110606</v>
          </cell>
          <cell r="N2731" t="str">
            <v>UV STAIN</v>
          </cell>
        </row>
        <row r="2732">
          <cell r="C2732" t="str">
            <v>100003908</v>
          </cell>
          <cell r="D2732" t="str">
            <v>UVS-20601 GMR 01 SC VN-5K</v>
          </cell>
          <cell r="E2732" t="str">
            <v>ZFGD</v>
          </cell>
          <cell r="F2732" t="str">
            <v>PC</v>
          </cell>
          <cell r="G2732" t="str">
            <v>1</v>
          </cell>
          <cell r="H2732" t="str">
            <v>INDUSTRY</v>
          </cell>
          <cell r="I2732" t="str">
            <v>11</v>
          </cell>
          <cell r="J2732" t="str">
            <v>WOOD COATINGS</v>
          </cell>
          <cell r="K2732" t="str">
            <v>1106</v>
          </cell>
          <cell r="L2732" t="str">
            <v>UV</v>
          </cell>
          <cell r="M2732" t="str">
            <v>110606</v>
          </cell>
          <cell r="N2732" t="str">
            <v>UV STAIN</v>
          </cell>
        </row>
        <row r="2733">
          <cell r="C2733" t="str">
            <v>100003909</v>
          </cell>
          <cell r="D2733" t="str">
            <v>UVS-20601 GMR 02 SC VN-5K</v>
          </cell>
          <cell r="E2733" t="str">
            <v>ZFGD</v>
          </cell>
          <cell r="F2733" t="str">
            <v>PC</v>
          </cell>
          <cell r="G2733" t="str">
            <v>1</v>
          </cell>
          <cell r="H2733" t="str">
            <v>INDUSTRY</v>
          </cell>
          <cell r="I2733" t="str">
            <v>11</v>
          </cell>
          <cell r="J2733" t="str">
            <v>WOOD COATINGS</v>
          </cell>
          <cell r="K2733" t="str">
            <v>1106</v>
          </cell>
          <cell r="L2733" t="str">
            <v>UV</v>
          </cell>
          <cell r="M2733" t="str">
            <v>110606</v>
          </cell>
          <cell r="N2733" t="str">
            <v>UV STAIN</v>
          </cell>
        </row>
        <row r="2734">
          <cell r="C2734" t="str">
            <v>100003910</v>
          </cell>
          <cell r="D2734" t="str">
            <v>UVS-20601 WWL 01 SC VN-5K</v>
          </cell>
          <cell r="E2734" t="str">
            <v>ZFGD</v>
          </cell>
          <cell r="F2734" t="str">
            <v>PC</v>
          </cell>
          <cell r="G2734" t="str">
            <v>1</v>
          </cell>
          <cell r="H2734" t="str">
            <v>INDUSTRY</v>
          </cell>
          <cell r="I2734" t="str">
            <v>11</v>
          </cell>
          <cell r="J2734" t="str">
            <v>WOOD COATINGS</v>
          </cell>
          <cell r="K2734" t="str">
            <v>1106</v>
          </cell>
          <cell r="L2734" t="str">
            <v>UV</v>
          </cell>
          <cell r="M2734" t="str">
            <v>110606</v>
          </cell>
          <cell r="N2734" t="str">
            <v>UV STAIN</v>
          </cell>
        </row>
        <row r="2735">
          <cell r="C2735" t="str">
            <v>100003911</v>
          </cell>
          <cell r="D2735" t="str">
            <v>UVS-20601 WWL 02 SC VN-5K</v>
          </cell>
          <cell r="E2735" t="str">
            <v>ZFGD</v>
          </cell>
          <cell r="F2735" t="str">
            <v>PC</v>
          </cell>
          <cell r="G2735" t="str">
            <v>1</v>
          </cell>
          <cell r="H2735" t="str">
            <v>INDUSTRY</v>
          </cell>
          <cell r="I2735" t="str">
            <v>11</v>
          </cell>
          <cell r="J2735" t="str">
            <v>WOOD COATINGS</v>
          </cell>
          <cell r="K2735" t="str">
            <v>1106</v>
          </cell>
          <cell r="L2735" t="str">
            <v>UV</v>
          </cell>
          <cell r="M2735" t="str">
            <v>110606</v>
          </cell>
          <cell r="N2735" t="str">
            <v>UV STAIN</v>
          </cell>
        </row>
        <row r="2736">
          <cell r="C2736" t="str">
            <v>100003912</v>
          </cell>
          <cell r="D2736" t="str">
            <v>UVS-20601 DEL 01 SC VN-5K</v>
          </cell>
          <cell r="E2736" t="str">
            <v>ZFGD</v>
          </cell>
          <cell r="F2736" t="str">
            <v>PC</v>
          </cell>
          <cell r="G2736" t="str">
            <v>1</v>
          </cell>
          <cell r="H2736" t="str">
            <v>INDUSTRY</v>
          </cell>
          <cell r="I2736" t="str">
            <v>11</v>
          </cell>
          <cell r="J2736" t="str">
            <v>WOOD COATINGS</v>
          </cell>
          <cell r="K2736" t="str">
            <v>1106</v>
          </cell>
          <cell r="L2736" t="str">
            <v>UV</v>
          </cell>
          <cell r="M2736" t="str">
            <v>110606</v>
          </cell>
          <cell r="N2736" t="str">
            <v>UV STAIN</v>
          </cell>
        </row>
        <row r="2737">
          <cell r="C2737" t="str">
            <v>100003913</v>
          </cell>
          <cell r="D2737" t="str">
            <v>UVS-20601 DEL 02 SC VN-5K</v>
          </cell>
          <cell r="E2737" t="str">
            <v>ZFGD</v>
          </cell>
          <cell r="F2737" t="str">
            <v>PC</v>
          </cell>
          <cell r="G2737" t="str">
            <v>1</v>
          </cell>
          <cell r="H2737" t="str">
            <v>INDUSTRY</v>
          </cell>
          <cell r="I2737" t="str">
            <v>11</v>
          </cell>
          <cell r="J2737" t="str">
            <v>WOOD COATINGS</v>
          </cell>
          <cell r="K2737" t="str">
            <v>1106</v>
          </cell>
          <cell r="L2737" t="str">
            <v>UV</v>
          </cell>
          <cell r="M2737" t="str">
            <v>110606</v>
          </cell>
          <cell r="N2737" t="str">
            <v>UV STAIN</v>
          </cell>
        </row>
        <row r="2738">
          <cell r="C2738" t="str">
            <v>100003914</v>
          </cell>
          <cell r="D2738" t="str">
            <v>UVS-20601 LTEA 01 SC VN-5K</v>
          </cell>
          <cell r="E2738" t="str">
            <v>ZFGD</v>
          </cell>
          <cell r="F2738" t="str">
            <v>PC</v>
          </cell>
          <cell r="G2738" t="str">
            <v>1</v>
          </cell>
          <cell r="H2738" t="str">
            <v>INDUSTRY</v>
          </cell>
          <cell r="I2738" t="str">
            <v>11</v>
          </cell>
          <cell r="J2738" t="str">
            <v>WOOD COATINGS</v>
          </cell>
          <cell r="K2738" t="str">
            <v>1106</v>
          </cell>
          <cell r="L2738" t="str">
            <v>UV</v>
          </cell>
          <cell r="M2738" t="str">
            <v>110606</v>
          </cell>
          <cell r="N2738" t="str">
            <v>UV STAIN</v>
          </cell>
        </row>
        <row r="2739">
          <cell r="C2739" t="str">
            <v>100003915</v>
          </cell>
          <cell r="D2739" t="str">
            <v>UVS-20601 LTEA 02 SC VN-5K</v>
          </cell>
          <cell r="E2739" t="str">
            <v>ZFGD</v>
          </cell>
          <cell r="F2739" t="str">
            <v>PC</v>
          </cell>
          <cell r="G2739" t="str">
            <v>1</v>
          </cell>
          <cell r="H2739" t="str">
            <v>INDUSTRY</v>
          </cell>
          <cell r="I2739" t="str">
            <v>11</v>
          </cell>
          <cell r="J2739" t="str">
            <v>WOOD COATINGS</v>
          </cell>
          <cell r="K2739" t="str">
            <v>1106</v>
          </cell>
          <cell r="L2739" t="str">
            <v>UV</v>
          </cell>
          <cell r="M2739" t="str">
            <v>110606</v>
          </cell>
          <cell r="N2739" t="str">
            <v>UV STAIN</v>
          </cell>
        </row>
        <row r="2740">
          <cell r="C2740" t="str">
            <v>100003916</v>
          </cell>
          <cell r="D2740" t="str">
            <v>UVS-20601 TEA 01 SC VN-5K</v>
          </cell>
          <cell r="E2740" t="str">
            <v>ZFGD</v>
          </cell>
          <cell r="F2740" t="str">
            <v>PC</v>
          </cell>
          <cell r="G2740" t="str">
            <v>1</v>
          </cell>
          <cell r="H2740" t="str">
            <v>INDUSTRY</v>
          </cell>
          <cell r="I2740" t="str">
            <v>11</v>
          </cell>
          <cell r="J2740" t="str">
            <v>WOOD COATINGS</v>
          </cell>
          <cell r="K2740" t="str">
            <v>1106</v>
          </cell>
          <cell r="L2740" t="str">
            <v>UV</v>
          </cell>
          <cell r="M2740" t="str">
            <v>110606</v>
          </cell>
          <cell r="N2740" t="str">
            <v>UV STAIN</v>
          </cell>
        </row>
        <row r="2741">
          <cell r="C2741" t="str">
            <v>100003917</v>
          </cell>
          <cell r="D2741" t="str">
            <v>UVS-20601 TEA 02 SC VN-5K</v>
          </cell>
          <cell r="E2741" t="str">
            <v>ZFGD</v>
          </cell>
          <cell r="F2741" t="str">
            <v>PC</v>
          </cell>
          <cell r="G2741" t="str">
            <v>1</v>
          </cell>
          <cell r="H2741" t="str">
            <v>INDUSTRY</v>
          </cell>
          <cell r="I2741" t="str">
            <v>11</v>
          </cell>
          <cell r="J2741" t="str">
            <v>WOOD COATINGS</v>
          </cell>
          <cell r="K2741" t="str">
            <v>1106</v>
          </cell>
          <cell r="L2741" t="str">
            <v>UV</v>
          </cell>
          <cell r="M2741" t="str">
            <v>110606</v>
          </cell>
          <cell r="N2741" t="str">
            <v>UV STAIN</v>
          </cell>
        </row>
        <row r="2742">
          <cell r="C2742" t="str">
            <v>100003918</v>
          </cell>
          <cell r="D2742" t="str">
            <v>UVS-20601 CLT SC VN-5K</v>
          </cell>
          <cell r="E2742" t="str">
            <v>ZFGD</v>
          </cell>
          <cell r="F2742" t="str">
            <v>PC</v>
          </cell>
          <cell r="G2742" t="str">
            <v>1</v>
          </cell>
          <cell r="H2742" t="str">
            <v>INDUSTRY</v>
          </cell>
          <cell r="I2742" t="str">
            <v>11</v>
          </cell>
          <cell r="J2742" t="str">
            <v>WOOD COATINGS</v>
          </cell>
          <cell r="K2742" t="str">
            <v>1106</v>
          </cell>
          <cell r="L2742" t="str">
            <v>UV</v>
          </cell>
          <cell r="M2742" t="str">
            <v>110606</v>
          </cell>
          <cell r="N2742" t="str">
            <v>UV STAIN</v>
          </cell>
        </row>
        <row r="2743">
          <cell r="C2743" t="str">
            <v>100003919</v>
          </cell>
          <cell r="D2743" t="str">
            <v>UVS-20601 CMT 01 SC VN-5K</v>
          </cell>
          <cell r="E2743" t="str">
            <v>ZFGD</v>
          </cell>
          <cell r="F2743" t="str">
            <v>PC</v>
          </cell>
          <cell r="G2743" t="str">
            <v>1</v>
          </cell>
          <cell r="H2743" t="str">
            <v>INDUSTRY</v>
          </cell>
          <cell r="I2743" t="str">
            <v>11</v>
          </cell>
          <cell r="J2743" t="str">
            <v>WOOD COATINGS</v>
          </cell>
          <cell r="K2743" t="str">
            <v>1106</v>
          </cell>
          <cell r="L2743" t="str">
            <v>UV</v>
          </cell>
          <cell r="M2743" t="str">
            <v>110606</v>
          </cell>
          <cell r="N2743" t="str">
            <v>UV STAIN</v>
          </cell>
        </row>
        <row r="2744">
          <cell r="C2744" t="str">
            <v>100003920</v>
          </cell>
          <cell r="D2744" t="str">
            <v>UVS-20601 CMT 02 SC VN-5K</v>
          </cell>
          <cell r="E2744" t="str">
            <v>ZFGD</v>
          </cell>
          <cell r="F2744" t="str">
            <v>PC</v>
          </cell>
          <cell r="G2744" t="str">
            <v>1</v>
          </cell>
          <cell r="H2744" t="str">
            <v>INDUSTRY</v>
          </cell>
          <cell r="I2744" t="str">
            <v>11</v>
          </cell>
          <cell r="J2744" t="str">
            <v>WOOD COATINGS</v>
          </cell>
          <cell r="K2744" t="str">
            <v>1106</v>
          </cell>
          <cell r="L2744" t="str">
            <v>UV</v>
          </cell>
          <cell r="M2744" t="str">
            <v>110606</v>
          </cell>
          <cell r="N2744" t="str">
            <v>UV STAIN</v>
          </cell>
        </row>
        <row r="2745">
          <cell r="C2745" t="str">
            <v>100003921</v>
          </cell>
          <cell r="D2745" t="str">
            <v>PG-9139-WHI-AK-20KP</v>
          </cell>
          <cell r="E2745" t="str">
            <v>ZFGD</v>
          </cell>
          <cell r="F2745" t="str">
            <v>PC</v>
          </cell>
          <cell r="G2745" t="str">
            <v>1</v>
          </cell>
          <cell r="H2745" t="str">
            <v>INDUSTRY</v>
          </cell>
          <cell r="I2745" t="str">
            <v>11</v>
          </cell>
          <cell r="J2745" t="str">
            <v>WOOD COATINGS</v>
          </cell>
          <cell r="K2745" t="str">
            <v>1109</v>
          </cell>
          <cell r="L2745" t="str">
            <v>STAIN &amp; GLAZE INTERIOR</v>
          </cell>
          <cell r="M2745" t="str">
            <v>110901</v>
          </cell>
          <cell r="N2745" t="str">
            <v>ASOF : STAIN &amp; GLAZE</v>
          </cell>
        </row>
        <row r="2746">
          <cell r="C2746" t="str">
            <v>100003922</v>
          </cell>
          <cell r="D2746" t="str">
            <v>SST-11100 AUTOGRAPH A TL VN-20LJ</v>
          </cell>
          <cell r="E2746" t="str">
            <v>ZFGD</v>
          </cell>
          <cell r="F2746" t="str">
            <v>PC</v>
          </cell>
          <cell r="G2746" t="str">
            <v>1</v>
          </cell>
          <cell r="H2746" t="str">
            <v>INDUSTRY</v>
          </cell>
          <cell r="I2746" t="str">
            <v>11</v>
          </cell>
          <cell r="J2746" t="str">
            <v>WOOD COATINGS</v>
          </cell>
          <cell r="K2746" t="str">
            <v>1109</v>
          </cell>
          <cell r="L2746" t="str">
            <v>STAIN &amp; GLAZE INTERIOR</v>
          </cell>
          <cell r="M2746" t="str">
            <v>110903</v>
          </cell>
          <cell r="N2746" t="str">
            <v>STAIN INTERIOR</v>
          </cell>
        </row>
        <row r="2747">
          <cell r="C2747" t="str">
            <v>100003923</v>
          </cell>
          <cell r="D2747" t="str">
            <v>SST-11100 AUTOGRAPH B TL VN-20LJ</v>
          </cell>
          <cell r="E2747" t="str">
            <v>ZFGD</v>
          </cell>
          <cell r="F2747" t="str">
            <v>PC</v>
          </cell>
          <cell r="G2747" t="str">
            <v>1</v>
          </cell>
          <cell r="H2747" t="str">
            <v>INDUSTRY</v>
          </cell>
          <cell r="I2747" t="str">
            <v>11</v>
          </cell>
          <cell r="J2747" t="str">
            <v>WOOD COATINGS</v>
          </cell>
          <cell r="K2747" t="str">
            <v>1109</v>
          </cell>
          <cell r="L2747" t="str">
            <v>STAIN &amp; GLAZE INTERIOR</v>
          </cell>
          <cell r="M2747" t="str">
            <v>110903</v>
          </cell>
          <cell r="N2747" t="str">
            <v>STAIN INTERIOR</v>
          </cell>
        </row>
        <row r="2748">
          <cell r="C2748" t="str">
            <v>100003924</v>
          </cell>
          <cell r="D2748" t="str">
            <v>#NUPUC-52241 SW7527 40 TL VN-20KP</v>
          </cell>
          <cell r="E2748" t="str">
            <v>ZFGD</v>
          </cell>
          <cell r="F2748" t="str">
            <v>PC</v>
          </cell>
          <cell r="G2748" t="str">
            <v>1</v>
          </cell>
          <cell r="H2748" t="str">
            <v>INDUSTRY</v>
          </cell>
          <cell r="I2748" t="str">
            <v>11</v>
          </cell>
          <cell r="J2748" t="str">
            <v>WOOD COATINGS</v>
          </cell>
          <cell r="K2748" t="str">
            <v>1103</v>
          </cell>
          <cell r="L2748" t="str">
            <v>PU</v>
          </cell>
          <cell r="M2748" t="str">
            <v>110304</v>
          </cell>
          <cell r="N2748" t="str">
            <v>PU SYSTEM</v>
          </cell>
        </row>
        <row r="2749">
          <cell r="C2749" t="str">
            <v>100003925</v>
          </cell>
          <cell r="D2749" t="str">
            <v>WBL-61201 NF CLEAR 20 VN-20KP</v>
          </cell>
          <cell r="E2749" t="str">
            <v>ZFGD</v>
          </cell>
          <cell r="F2749" t="str">
            <v>PC</v>
          </cell>
          <cell r="G2749" t="str">
            <v>1</v>
          </cell>
          <cell r="H2749" t="str">
            <v>INDUSTRY</v>
          </cell>
          <cell r="I2749" t="str">
            <v>11</v>
          </cell>
          <cell r="J2749" t="str">
            <v>WOOD COATINGS</v>
          </cell>
          <cell r="K2749" t="str">
            <v>1119</v>
          </cell>
          <cell r="L2749" t="str">
            <v>WATERBASED</v>
          </cell>
          <cell r="M2749" t="str">
            <v>111902</v>
          </cell>
          <cell r="N2749" t="str">
            <v>WATERBASED SYSTEM INTERIOR</v>
          </cell>
        </row>
        <row r="2750">
          <cell r="C2750" t="str">
            <v>100003929</v>
          </cell>
          <cell r="D2750" t="str">
            <v>NCL-11329 BC CLEAR 10 VN-20LP</v>
          </cell>
          <cell r="E2750" t="str">
            <v>ZFGD</v>
          </cell>
          <cell r="F2750" t="str">
            <v>PC</v>
          </cell>
          <cell r="G2750" t="str">
            <v>1</v>
          </cell>
          <cell r="H2750" t="str">
            <v>INDUSTRY</v>
          </cell>
          <cell r="I2750" t="str">
            <v>11</v>
          </cell>
          <cell r="J2750" t="str">
            <v>WOOD COATINGS</v>
          </cell>
          <cell r="K2750" t="str">
            <v>1104</v>
          </cell>
          <cell r="L2750" t="str">
            <v>NC</v>
          </cell>
          <cell r="M2750" t="str">
            <v>110405</v>
          </cell>
          <cell r="N2750" t="str">
            <v>NC SYSTEM</v>
          </cell>
        </row>
        <row r="2751">
          <cell r="C2751" t="str">
            <v>100003930</v>
          </cell>
          <cell r="D2751" t="str">
            <v>64-56 MICRO FILLER NVH05 TR VN-20KP</v>
          </cell>
          <cell r="E2751" t="str">
            <v>ZFGD</v>
          </cell>
          <cell r="F2751" t="str">
            <v>PC</v>
          </cell>
          <cell r="G2751" t="str">
            <v>1</v>
          </cell>
          <cell r="H2751" t="str">
            <v>INDUSTRY</v>
          </cell>
          <cell r="I2751" t="str">
            <v>11</v>
          </cell>
          <cell r="J2751" t="str">
            <v>WOOD COATINGS</v>
          </cell>
          <cell r="K2751" t="str">
            <v>1103</v>
          </cell>
          <cell r="L2751" t="str">
            <v>PU</v>
          </cell>
          <cell r="M2751" t="str">
            <v>110305</v>
          </cell>
          <cell r="N2751" t="str">
            <v>UNION FILLER</v>
          </cell>
        </row>
        <row r="2752">
          <cell r="C2752" t="str">
            <v>100003931</v>
          </cell>
          <cell r="D2752" t="str">
            <v>64-56 MICRO FILLER NVH06 TR VN-20KP</v>
          </cell>
          <cell r="E2752" t="str">
            <v>ZFGD</v>
          </cell>
          <cell r="F2752" t="str">
            <v>PC</v>
          </cell>
          <cell r="G2752" t="str">
            <v>1</v>
          </cell>
          <cell r="H2752" t="str">
            <v>INDUSTRY</v>
          </cell>
          <cell r="I2752" t="str">
            <v>11</v>
          </cell>
          <cell r="J2752" t="str">
            <v>WOOD COATINGS</v>
          </cell>
          <cell r="K2752" t="str">
            <v>1103</v>
          </cell>
          <cell r="L2752" t="str">
            <v>PU</v>
          </cell>
          <cell r="M2752" t="str">
            <v>110305</v>
          </cell>
          <cell r="N2752" t="str">
            <v>UNION FILLER</v>
          </cell>
        </row>
        <row r="2753">
          <cell r="C2753" t="str">
            <v>100003932</v>
          </cell>
          <cell r="D2753" t="str">
            <v>SST-11100 CLR NVH05 TR VN-20LJ</v>
          </cell>
          <cell r="E2753" t="str">
            <v>ZFGD</v>
          </cell>
          <cell r="F2753" t="str">
            <v>PC</v>
          </cell>
          <cell r="G2753" t="str">
            <v>1</v>
          </cell>
          <cell r="H2753" t="str">
            <v>INDUSTRY</v>
          </cell>
          <cell r="I2753" t="str">
            <v>11</v>
          </cell>
          <cell r="J2753" t="str">
            <v>WOOD COATINGS</v>
          </cell>
          <cell r="K2753" t="str">
            <v>1109</v>
          </cell>
          <cell r="L2753" t="str">
            <v>STAIN &amp; GLAZE INTERIOR</v>
          </cell>
          <cell r="M2753" t="str">
            <v>110903</v>
          </cell>
          <cell r="N2753" t="str">
            <v>STAIN INTERIOR</v>
          </cell>
        </row>
        <row r="2754">
          <cell r="C2754" t="str">
            <v>100003933</v>
          </cell>
          <cell r="D2754" t="str">
            <v>SST-11100 CLR NVH06 TR VN-20LJ</v>
          </cell>
          <cell r="E2754" t="str">
            <v>ZFGD</v>
          </cell>
          <cell r="F2754" t="str">
            <v>PC</v>
          </cell>
          <cell r="G2754" t="str">
            <v>1</v>
          </cell>
          <cell r="H2754" t="str">
            <v>INDUSTRY</v>
          </cell>
          <cell r="I2754" t="str">
            <v>11</v>
          </cell>
          <cell r="J2754" t="str">
            <v>WOOD COATINGS</v>
          </cell>
          <cell r="K2754" t="str">
            <v>1109</v>
          </cell>
          <cell r="L2754" t="str">
            <v>STAIN &amp; GLAZE INTERIOR</v>
          </cell>
          <cell r="M2754" t="str">
            <v>110903</v>
          </cell>
          <cell r="N2754" t="str">
            <v>STAIN INTERIOR</v>
          </cell>
        </row>
        <row r="2755">
          <cell r="C2755" t="str">
            <v>100003934</v>
          </cell>
          <cell r="D2755" t="str">
            <v>PUC-52241 SW7527 40 TL VN-20KP</v>
          </cell>
          <cell r="E2755" t="str">
            <v>ZFGD</v>
          </cell>
          <cell r="F2755" t="str">
            <v>PC</v>
          </cell>
          <cell r="G2755" t="str">
            <v>1</v>
          </cell>
          <cell r="H2755" t="str">
            <v>INDUSTRY</v>
          </cell>
          <cell r="I2755" t="str">
            <v>11</v>
          </cell>
          <cell r="J2755" t="str">
            <v>WOOD COATINGS</v>
          </cell>
          <cell r="K2755" t="str">
            <v>1103</v>
          </cell>
          <cell r="L2755" t="str">
            <v>PU</v>
          </cell>
          <cell r="M2755" t="str">
            <v>110319</v>
          </cell>
          <cell r="N2755" t="str">
            <v>PU COLOR</v>
          </cell>
        </row>
        <row r="2756">
          <cell r="C2756" t="str">
            <v>100003935</v>
          </cell>
          <cell r="D2756" t="str">
            <v>NBC-9345-788-AK-20KP</v>
          </cell>
          <cell r="E2756" t="str">
            <v>ZFGD</v>
          </cell>
          <cell r="F2756" t="str">
            <v>PC</v>
          </cell>
          <cell r="G2756" t="str">
            <v>1</v>
          </cell>
          <cell r="H2756" t="str">
            <v>INDUSTRY</v>
          </cell>
          <cell r="I2756" t="str">
            <v>11</v>
          </cell>
          <cell r="J2756" t="str">
            <v>WOOD COATINGS</v>
          </cell>
          <cell r="K2756" t="str">
            <v>1104</v>
          </cell>
          <cell r="L2756" t="str">
            <v>NC</v>
          </cell>
          <cell r="M2756" t="str">
            <v>110403</v>
          </cell>
          <cell r="N2756" t="str">
            <v>ASOF : NC BASE COAT</v>
          </cell>
        </row>
        <row r="2757">
          <cell r="C2757" t="str">
            <v>100003936</v>
          </cell>
          <cell r="D2757" t="str">
            <v>NBC-9345-788-AK-200KB</v>
          </cell>
          <cell r="E2757" t="str">
            <v>ZFGD</v>
          </cell>
          <cell r="F2757" t="str">
            <v>PC</v>
          </cell>
          <cell r="G2757" t="str">
            <v>1</v>
          </cell>
          <cell r="H2757" t="str">
            <v>INDUSTRY</v>
          </cell>
          <cell r="I2757" t="str">
            <v>11</v>
          </cell>
          <cell r="J2757" t="str">
            <v>WOOD COATINGS</v>
          </cell>
          <cell r="K2757" t="str">
            <v>1104</v>
          </cell>
          <cell r="L2757" t="str">
            <v>NC</v>
          </cell>
          <cell r="M2757" t="str">
            <v>110403</v>
          </cell>
          <cell r="N2757" t="str">
            <v>ASOF : NC BASE COAT</v>
          </cell>
        </row>
        <row r="2758">
          <cell r="C2758" t="str">
            <v>100003937</v>
          </cell>
          <cell r="D2758" t="str">
            <v>WBL-61201 NF CLEAR 20 VN-200KB</v>
          </cell>
          <cell r="E2758" t="str">
            <v>ZFGD</v>
          </cell>
          <cell r="F2758" t="str">
            <v>PC</v>
          </cell>
          <cell r="G2758" t="str">
            <v>1</v>
          </cell>
          <cell r="H2758" t="str">
            <v>INDUSTRY</v>
          </cell>
          <cell r="I2758" t="str">
            <v>11</v>
          </cell>
          <cell r="J2758" t="str">
            <v>WOOD COATINGS</v>
          </cell>
          <cell r="K2758" t="str">
            <v>1119</v>
          </cell>
          <cell r="L2758" t="str">
            <v>WATERBASED</v>
          </cell>
          <cell r="M2758" t="str">
            <v>111902</v>
          </cell>
          <cell r="N2758" t="str">
            <v>WATERBASED SYSTEM INTERIOR</v>
          </cell>
        </row>
        <row r="2759">
          <cell r="C2759" t="str">
            <v>100003938</v>
          </cell>
          <cell r="D2759" t="str">
            <v>NCL-11329 BC CLEAR 10 VN-200LB</v>
          </cell>
          <cell r="E2759" t="str">
            <v>ZFGD</v>
          </cell>
          <cell r="F2759" t="str">
            <v>PC</v>
          </cell>
          <cell r="G2759" t="str">
            <v>1</v>
          </cell>
          <cell r="H2759" t="str">
            <v>INDUSTRY</v>
          </cell>
          <cell r="I2759" t="str">
            <v>11</v>
          </cell>
          <cell r="J2759" t="str">
            <v>WOOD COATINGS</v>
          </cell>
          <cell r="K2759" t="str">
            <v>1104</v>
          </cell>
          <cell r="L2759" t="str">
            <v>NC</v>
          </cell>
          <cell r="M2759" t="str">
            <v>110405</v>
          </cell>
          <cell r="N2759" t="str">
            <v>NC SYSTEM</v>
          </cell>
        </row>
        <row r="2760">
          <cell r="C2760" t="str">
            <v>100003939</v>
          </cell>
          <cell r="D2760" t="str">
            <v>NCSS-11229 EST VN-20LP</v>
          </cell>
          <cell r="E2760" t="str">
            <v>ZFGD</v>
          </cell>
          <cell r="F2760" t="str">
            <v>PC</v>
          </cell>
          <cell r="G2760" t="str">
            <v>1</v>
          </cell>
          <cell r="H2760" t="str">
            <v>INDUSTRY</v>
          </cell>
          <cell r="I2760" t="str">
            <v>11</v>
          </cell>
          <cell r="J2760" t="str">
            <v>WOOD COATINGS</v>
          </cell>
          <cell r="K2760" t="str">
            <v>1104</v>
          </cell>
          <cell r="L2760" t="str">
            <v>NC</v>
          </cell>
          <cell r="M2760" t="str">
            <v>110405</v>
          </cell>
          <cell r="N2760" t="str">
            <v>NC SYSTEM</v>
          </cell>
        </row>
        <row r="2761">
          <cell r="C2761" t="str">
            <v>100003940</v>
          </cell>
          <cell r="D2761" t="str">
            <v>NCSS-11229 EST VN-200LB</v>
          </cell>
          <cell r="E2761" t="str">
            <v>ZFGD</v>
          </cell>
          <cell r="F2761" t="str">
            <v>PC</v>
          </cell>
          <cell r="G2761" t="str">
            <v>1</v>
          </cell>
          <cell r="H2761" t="str">
            <v>INDUSTRY</v>
          </cell>
          <cell r="I2761" t="str">
            <v>11</v>
          </cell>
          <cell r="J2761" t="str">
            <v>WOOD COATINGS</v>
          </cell>
          <cell r="K2761" t="str">
            <v>1104</v>
          </cell>
          <cell r="L2761" t="str">
            <v>NC</v>
          </cell>
          <cell r="M2761" t="str">
            <v>110405</v>
          </cell>
          <cell r="N2761" t="str">
            <v>NC SYSTEM</v>
          </cell>
        </row>
        <row r="2762">
          <cell r="C2762" t="str">
            <v>100003941</v>
          </cell>
          <cell r="D2762" t="str">
            <v>NCL-11329 EST CLEAR 10 VN-20LP</v>
          </cell>
          <cell r="E2762" t="str">
            <v>ZFGD</v>
          </cell>
          <cell r="F2762" t="str">
            <v>PC</v>
          </cell>
          <cell r="G2762" t="str">
            <v>1</v>
          </cell>
          <cell r="H2762" t="str">
            <v>INDUSTRY</v>
          </cell>
          <cell r="I2762" t="str">
            <v>11</v>
          </cell>
          <cell r="J2762" t="str">
            <v>WOOD COATINGS</v>
          </cell>
          <cell r="K2762" t="str">
            <v>1104</v>
          </cell>
          <cell r="L2762" t="str">
            <v>NC</v>
          </cell>
          <cell r="M2762" t="str">
            <v>110405</v>
          </cell>
          <cell r="N2762" t="str">
            <v>NC SYSTEM</v>
          </cell>
        </row>
        <row r="2763">
          <cell r="C2763" t="str">
            <v>100003942</v>
          </cell>
          <cell r="D2763" t="str">
            <v>NCL-11329 EST CLEAR 10 VN-200LB</v>
          </cell>
          <cell r="E2763" t="str">
            <v>ZFGD</v>
          </cell>
          <cell r="F2763" t="str">
            <v>PC</v>
          </cell>
          <cell r="G2763" t="str">
            <v>1</v>
          </cell>
          <cell r="H2763" t="str">
            <v>INDUSTRY</v>
          </cell>
          <cell r="I2763" t="str">
            <v>11</v>
          </cell>
          <cell r="J2763" t="str">
            <v>WOOD COATINGS</v>
          </cell>
          <cell r="K2763" t="str">
            <v>1104</v>
          </cell>
          <cell r="L2763" t="str">
            <v>NC</v>
          </cell>
          <cell r="M2763" t="str">
            <v>110405</v>
          </cell>
          <cell r="N2763" t="str">
            <v>NC SYSTEM</v>
          </cell>
        </row>
        <row r="2764">
          <cell r="C2764" t="str">
            <v>100003943</v>
          </cell>
          <cell r="D2764" t="str">
            <v>NBC-9345-385-AK-20KP</v>
          </cell>
          <cell r="E2764" t="str">
            <v>ZFGD</v>
          </cell>
          <cell r="F2764" t="str">
            <v>PC</v>
          </cell>
          <cell r="G2764" t="str">
            <v>1</v>
          </cell>
          <cell r="H2764" t="str">
            <v>INDUSTRY</v>
          </cell>
          <cell r="I2764" t="str">
            <v>11</v>
          </cell>
          <cell r="J2764" t="str">
            <v>WOOD COATINGS</v>
          </cell>
          <cell r="K2764" t="str">
            <v>1104</v>
          </cell>
          <cell r="L2764" t="str">
            <v>NC</v>
          </cell>
          <cell r="M2764" t="str">
            <v>110403</v>
          </cell>
          <cell r="N2764" t="str">
            <v>ASOF : NC BASE COAT</v>
          </cell>
        </row>
        <row r="2765">
          <cell r="C2765" t="str">
            <v>100003944</v>
          </cell>
          <cell r="D2765" t="str">
            <v>NBC-9345-385-AK-200KB</v>
          </cell>
          <cell r="E2765" t="str">
            <v>ZFGD</v>
          </cell>
          <cell r="F2765" t="str">
            <v>PC</v>
          </cell>
          <cell r="G2765" t="str">
            <v>1</v>
          </cell>
          <cell r="H2765" t="str">
            <v>INDUSTRY</v>
          </cell>
          <cell r="I2765" t="str">
            <v>11</v>
          </cell>
          <cell r="J2765" t="str">
            <v>WOOD COATINGS</v>
          </cell>
          <cell r="K2765" t="str">
            <v>1104</v>
          </cell>
          <cell r="L2765" t="str">
            <v>NC</v>
          </cell>
          <cell r="M2765" t="str">
            <v>110403</v>
          </cell>
          <cell r="N2765" t="str">
            <v>ASOF : NC BASE COAT</v>
          </cell>
        </row>
        <row r="2766">
          <cell r="C2766" t="str">
            <v>100003945</v>
          </cell>
          <cell r="D2766" t="str">
            <v>PCL-31300 FSE A GE VN-20LJ</v>
          </cell>
          <cell r="E2766" t="str">
            <v>ZFGD</v>
          </cell>
          <cell r="F2766" t="str">
            <v>PC</v>
          </cell>
          <cell r="G2766" t="str">
            <v>1</v>
          </cell>
          <cell r="H2766" t="str">
            <v>INDUSTRY</v>
          </cell>
          <cell r="I2766" t="str">
            <v>11</v>
          </cell>
          <cell r="J2766" t="str">
            <v>WOOD COATINGS</v>
          </cell>
          <cell r="K2766" t="str">
            <v>1118</v>
          </cell>
          <cell r="L2766" t="str">
            <v>COMPLEMENTARY</v>
          </cell>
          <cell r="M2766" t="str">
            <v>111807</v>
          </cell>
          <cell r="N2766" t="str">
            <v>PASTA</v>
          </cell>
        </row>
        <row r="2767">
          <cell r="C2767" t="str">
            <v>100003946</v>
          </cell>
          <cell r="D2767" t="str">
            <v>SST-11100 FSE B GE VN-20LJ</v>
          </cell>
          <cell r="E2767" t="str">
            <v>ZFGD</v>
          </cell>
          <cell r="F2767" t="str">
            <v>PC</v>
          </cell>
          <cell r="G2767" t="str">
            <v>1</v>
          </cell>
          <cell r="H2767" t="str">
            <v>INDUSTRY</v>
          </cell>
          <cell r="I2767" t="str">
            <v>11</v>
          </cell>
          <cell r="J2767" t="str">
            <v>WOOD COATINGS</v>
          </cell>
          <cell r="K2767" t="str">
            <v>1109</v>
          </cell>
          <cell r="L2767" t="str">
            <v>STAIN &amp; GLAZE INTERIOR</v>
          </cell>
          <cell r="M2767" t="str">
            <v>110903</v>
          </cell>
          <cell r="N2767" t="str">
            <v>STAIN INTERIOR</v>
          </cell>
        </row>
        <row r="2768">
          <cell r="C2768" t="str">
            <v>100003947</v>
          </cell>
          <cell r="D2768" t="str">
            <v>#NUDP-12123 LC 04 TV VN-20KP</v>
          </cell>
          <cell r="E2768" t="str">
            <v>ZFGD</v>
          </cell>
          <cell r="F2768" t="str">
            <v>PC</v>
          </cell>
          <cell r="G2768" t="str">
            <v>1</v>
          </cell>
          <cell r="H2768" t="str">
            <v>INDUSTRY</v>
          </cell>
          <cell r="I2768" t="str">
            <v>11</v>
          </cell>
          <cell r="J2768" t="str">
            <v>WOOD COATINGS</v>
          </cell>
          <cell r="K2768" t="str">
            <v>1104</v>
          </cell>
          <cell r="L2768" t="str">
            <v>NC</v>
          </cell>
          <cell r="M2768" t="str">
            <v>110405</v>
          </cell>
          <cell r="N2768" t="str">
            <v>NC SYSTEM</v>
          </cell>
        </row>
        <row r="2769">
          <cell r="C2769" t="str">
            <v>100003948</v>
          </cell>
          <cell r="D2769" t="str">
            <v>DP-12123 BC 04 TV VN-20KP</v>
          </cell>
          <cell r="E2769" t="str">
            <v>ZFGD</v>
          </cell>
          <cell r="F2769" t="str">
            <v>PC</v>
          </cell>
          <cell r="G2769" t="str">
            <v>1</v>
          </cell>
          <cell r="H2769" t="str">
            <v>INDUSTRY</v>
          </cell>
          <cell r="I2769" t="str">
            <v>11</v>
          </cell>
          <cell r="J2769" t="str">
            <v>WOOD COATINGS</v>
          </cell>
          <cell r="K2769" t="str">
            <v>1104</v>
          </cell>
          <cell r="L2769" t="str">
            <v>NC</v>
          </cell>
          <cell r="M2769" t="str">
            <v>110405</v>
          </cell>
          <cell r="N2769" t="str">
            <v>NC SYSTEM</v>
          </cell>
        </row>
        <row r="2770">
          <cell r="C2770" t="str">
            <v>100003971</v>
          </cell>
          <cell r="D2770" t="str">
            <v>DECORSHIELD DW-500 BASE A VN-5L</v>
          </cell>
          <cell r="E2770" t="str">
            <v>ZFGD</v>
          </cell>
          <cell r="F2770" t="str">
            <v>PC</v>
          </cell>
          <cell r="G2770" t="str">
            <v>2</v>
          </cell>
          <cell r="H2770" t="str">
            <v>RETAIL</v>
          </cell>
          <cell r="I2770" t="str">
            <v>25</v>
          </cell>
          <cell r="J2770" t="str">
            <v>APCT1</v>
          </cell>
          <cell r="K2770" t="str">
            <v>2502</v>
          </cell>
          <cell r="L2770" t="str">
            <v>DECOR</v>
          </cell>
          <cell r="M2770" t="str">
            <v>250203</v>
          </cell>
          <cell r="N2770" t="str">
            <v>DECORSHIELD RMX</v>
          </cell>
        </row>
        <row r="2771">
          <cell r="C2771" t="str">
            <v>100003972</v>
          </cell>
          <cell r="D2771" t="str">
            <v>DECORSHIELD DW-500 BASE B VN-5L</v>
          </cell>
          <cell r="E2771" t="str">
            <v>ZFGD</v>
          </cell>
          <cell r="F2771" t="str">
            <v>PC</v>
          </cell>
          <cell r="G2771" t="str">
            <v>2</v>
          </cell>
          <cell r="H2771" t="str">
            <v>RETAIL</v>
          </cell>
          <cell r="I2771" t="str">
            <v>25</v>
          </cell>
          <cell r="J2771" t="str">
            <v>APCT1</v>
          </cell>
          <cell r="K2771" t="str">
            <v>2502</v>
          </cell>
          <cell r="L2771" t="str">
            <v>DECOR</v>
          </cell>
          <cell r="M2771" t="str">
            <v>250203</v>
          </cell>
          <cell r="N2771" t="str">
            <v>DECORSHIELD RMX</v>
          </cell>
        </row>
        <row r="2772">
          <cell r="C2772" t="str">
            <v>100003991</v>
          </cell>
          <cell r="D2772" t="str">
            <v>DECORSHIELD DW-500 WHITE VN-18LP</v>
          </cell>
          <cell r="E2772" t="str">
            <v>ZFGD</v>
          </cell>
          <cell r="F2772" t="str">
            <v>PC</v>
          </cell>
          <cell r="G2772" t="str">
            <v>2</v>
          </cell>
          <cell r="H2772" t="str">
            <v>RETAIL</v>
          </cell>
          <cell r="I2772" t="str">
            <v>25</v>
          </cell>
          <cell r="J2772" t="str">
            <v>APCT1</v>
          </cell>
          <cell r="K2772" t="str">
            <v>2502</v>
          </cell>
          <cell r="L2772" t="str">
            <v>DECOR</v>
          </cell>
          <cell r="M2772" t="str">
            <v>250203</v>
          </cell>
          <cell r="N2772" t="str">
            <v>DECORSHIELD RMX</v>
          </cell>
        </row>
        <row r="2773">
          <cell r="C2773" t="str">
            <v>100003992</v>
          </cell>
          <cell r="D2773" t="str">
            <v>DECORSHIELD DW-500 BASE A VN-18LP</v>
          </cell>
          <cell r="E2773" t="str">
            <v>ZFGD</v>
          </cell>
          <cell r="F2773" t="str">
            <v>PC</v>
          </cell>
          <cell r="G2773" t="str">
            <v>2</v>
          </cell>
          <cell r="H2773" t="str">
            <v>RETAIL</v>
          </cell>
          <cell r="I2773" t="str">
            <v>25</v>
          </cell>
          <cell r="J2773" t="str">
            <v>APCT1</v>
          </cell>
          <cell r="K2773" t="str">
            <v>2502</v>
          </cell>
          <cell r="L2773" t="str">
            <v>DECOR</v>
          </cell>
          <cell r="M2773" t="str">
            <v>250203</v>
          </cell>
          <cell r="N2773" t="str">
            <v>DECORSHIELD RMX</v>
          </cell>
        </row>
        <row r="2774">
          <cell r="C2774" t="str">
            <v>100003993</v>
          </cell>
          <cell r="D2774" t="str">
            <v>DECORSHIELD DW-500 BASE B VN-18LP</v>
          </cell>
          <cell r="E2774" t="str">
            <v>ZFGD</v>
          </cell>
          <cell r="F2774" t="str">
            <v>PC</v>
          </cell>
          <cell r="G2774" t="str">
            <v>2</v>
          </cell>
          <cell r="H2774" t="str">
            <v>RETAIL</v>
          </cell>
          <cell r="I2774" t="str">
            <v>25</v>
          </cell>
          <cell r="J2774" t="str">
            <v>APCT1</v>
          </cell>
          <cell r="K2774" t="str">
            <v>2502</v>
          </cell>
          <cell r="L2774" t="str">
            <v>DECOR</v>
          </cell>
          <cell r="M2774" t="str">
            <v>250203</v>
          </cell>
          <cell r="N2774" t="str">
            <v>DECORSHIELD RMX</v>
          </cell>
        </row>
        <row r="2775">
          <cell r="C2775" t="str">
            <v>100003994</v>
          </cell>
          <cell r="D2775" t="str">
            <v>DECORSHIELD DW-500 BASE D VN-18LP</v>
          </cell>
          <cell r="E2775" t="str">
            <v>ZFGD</v>
          </cell>
          <cell r="F2775" t="str">
            <v>PC</v>
          </cell>
          <cell r="G2775" t="str">
            <v>2</v>
          </cell>
          <cell r="H2775" t="str">
            <v>RETAIL</v>
          </cell>
          <cell r="I2775" t="str">
            <v>25</v>
          </cell>
          <cell r="J2775" t="str">
            <v>APCT1</v>
          </cell>
          <cell r="K2775" t="str">
            <v>2502</v>
          </cell>
          <cell r="L2775" t="str">
            <v>DECOR</v>
          </cell>
          <cell r="M2775" t="str">
            <v>250203</v>
          </cell>
          <cell r="N2775" t="str">
            <v>DECORSHIELD RMX</v>
          </cell>
        </row>
        <row r="2776">
          <cell r="C2776" t="str">
            <v>100003995</v>
          </cell>
          <cell r="D2776" t="str">
            <v>DECOR PRIMER AR-300 VN-18LP</v>
          </cell>
          <cell r="E2776" t="str">
            <v>ZFGD</v>
          </cell>
          <cell r="F2776" t="str">
            <v>PC</v>
          </cell>
          <cell r="G2776" t="str">
            <v>2</v>
          </cell>
          <cell r="H2776" t="str">
            <v>RETAIL</v>
          </cell>
          <cell r="I2776" t="str">
            <v>25</v>
          </cell>
          <cell r="J2776" t="str">
            <v>APCT1</v>
          </cell>
          <cell r="K2776" t="str">
            <v>2502</v>
          </cell>
          <cell r="L2776" t="str">
            <v>DECOR</v>
          </cell>
          <cell r="M2776" t="str">
            <v>250209</v>
          </cell>
          <cell r="N2776" t="str">
            <v>DECOR PRIMER WB</v>
          </cell>
        </row>
        <row r="2777">
          <cell r="C2777" t="str">
            <v>100004000</v>
          </cell>
          <cell r="D2777" t="str">
            <v>DECORLOTUS DI-400 WHITE VN-18LP</v>
          </cell>
          <cell r="E2777" t="str">
            <v>ZFGD</v>
          </cell>
          <cell r="F2777" t="str">
            <v>PC</v>
          </cell>
          <cell r="G2777" t="str">
            <v>2</v>
          </cell>
          <cell r="H2777" t="str">
            <v>RETAIL</v>
          </cell>
          <cell r="I2777" t="str">
            <v>25</v>
          </cell>
          <cell r="J2777" t="str">
            <v>APCT1</v>
          </cell>
          <cell r="K2777" t="str">
            <v>2502</v>
          </cell>
          <cell r="L2777" t="str">
            <v>DECOR</v>
          </cell>
          <cell r="M2777" t="str">
            <v>250221</v>
          </cell>
          <cell r="N2777" t="str">
            <v>DECORCRYL BASE</v>
          </cell>
        </row>
        <row r="2778">
          <cell r="C2778" t="str">
            <v>100004009</v>
          </cell>
          <cell r="D2778" t="str">
            <v>UPR-960 BASE A VN-20KP</v>
          </cell>
          <cell r="E2778" t="str">
            <v>ZFGD</v>
          </cell>
          <cell r="F2778" t="str">
            <v>PC</v>
          </cell>
          <cell r="G2778" t="str">
            <v>2</v>
          </cell>
          <cell r="H2778" t="str">
            <v>RETAIL</v>
          </cell>
          <cell r="I2778" t="str">
            <v>2D</v>
          </cell>
          <cell r="J2778" t="str">
            <v>APCT2</v>
          </cell>
          <cell r="K2778" t="str">
            <v>2D01</v>
          </cell>
          <cell r="L2778" t="str">
            <v>ULTRAPROOF</v>
          </cell>
          <cell r="M2778" t="str">
            <v>2D0101</v>
          </cell>
          <cell r="N2778" t="str">
            <v>ULTRAPROOF RMX</v>
          </cell>
        </row>
        <row r="2779">
          <cell r="C2779" t="str">
            <v>100004012</v>
          </cell>
          <cell r="D2779" t="str">
            <v>NBC-9345-879-AK-20KP</v>
          </cell>
          <cell r="E2779" t="str">
            <v>ZFGD</v>
          </cell>
          <cell r="F2779" t="str">
            <v>PC</v>
          </cell>
          <cell r="G2779" t="str">
            <v>1</v>
          </cell>
          <cell r="H2779" t="str">
            <v>INDUSTRY</v>
          </cell>
          <cell r="I2779" t="str">
            <v>11</v>
          </cell>
          <cell r="J2779" t="str">
            <v>WOOD COATINGS</v>
          </cell>
          <cell r="K2779" t="str">
            <v>1104</v>
          </cell>
          <cell r="L2779" t="str">
            <v>NC</v>
          </cell>
          <cell r="M2779" t="str">
            <v>110403</v>
          </cell>
          <cell r="N2779" t="str">
            <v>ASOF : NC BASE COAT</v>
          </cell>
        </row>
        <row r="2780">
          <cell r="C2780" t="str">
            <v>100004013</v>
          </cell>
          <cell r="D2780" t="str">
            <v>NBC-9345-879-AK-200KB</v>
          </cell>
          <cell r="E2780" t="str">
            <v>ZFGD</v>
          </cell>
          <cell r="F2780" t="str">
            <v>PC</v>
          </cell>
          <cell r="G2780" t="str">
            <v>1</v>
          </cell>
          <cell r="H2780" t="str">
            <v>INDUSTRY</v>
          </cell>
          <cell r="I2780" t="str">
            <v>11</v>
          </cell>
          <cell r="J2780" t="str">
            <v>WOOD COATINGS</v>
          </cell>
          <cell r="K2780" t="str">
            <v>1104</v>
          </cell>
          <cell r="L2780" t="str">
            <v>NC</v>
          </cell>
          <cell r="M2780" t="str">
            <v>110403</v>
          </cell>
          <cell r="N2780" t="str">
            <v>ASOF : NC BASE COAT</v>
          </cell>
        </row>
        <row r="2781">
          <cell r="C2781" t="str">
            <v>100004014</v>
          </cell>
          <cell r="D2781" t="str">
            <v>NBC-9345-907AK-20KP</v>
          </cell>
          <cell r="E2781" t="str">
            <v>ZFGD</v>
          </cell>
          <cell r="F2781" t="str">
            <v>PC</v>
          </cell>
          <cell r="G2781" t="str">
            <v>1</v>
          </cell>
          <cell r="H2781" t="str">
            <v>INDUSTRY</v>
          </cell>
          <cell r="I2781" t="str">
            <v>11</v>
          </cell>
          <cell r="J2781" t="str">
            <v>WOOD COATINGS</v>
          </cell>
          <cell r="K2781" t="str">
            <v>1104</v>
          </cell>
          <cell r="L2781" t="str">
            <v>NC</v>
          </cell>
          <cell r="M2781" t="str">
            <v>110403</v>
          </cell>
          <cell r="N2781" t="str">
            <v>ASOF : NC BASE COAT</v>
          </cell>
        </row>
        <row r="2782">
          <cell r="C2782" t="str">
            <v>100004015</v>
          </cell>
          <cell r="D2782" t="str">
            <v>NBC-9345-5907AK-200KB</v>
          </cell>
          <cell r="E2782" t="str">
            <v>ZFGD</v>
          </cell>
          <cell r="F2782" t="str">
            <v>PC</v>
          </cell>
          <cell r="G2782" t="str">
            <v>1</v>
          </cell>
          <cell r="H2782" t="str">
            <v>INDUSTRY</v>
          </cell>
          <cell r="I2782" t="str">
            <v>11</v>
          </cell>
          <cell r="J2782" t="str">
            <v>WOOD COATINGS</v>
          </cell>
          <cell r="K2782" t="str">
            <v>1104</v>
          </cell>
          <cell r="L2782" t="str">
            <v>NC</v>
          </cell>
          <cell r="M2782" t="str">
            <v>110403</v>
          </cell>
          <cell r="N2782" t="str">
            <v>ASOF : NC BASE COAT</v>
          </cell>
        </row>
        <row r="2783">
          <cell r="C2783" t="str">
            <v>100004016</v>
          </cell>
          <cell r="D2783" t="str">
            <v>NBC-9345-4766AK-20KP</v>
          </cell>
          <cell r="E2783" t="str">
            <v>ZFGD</v>
          </cell>
          <cell r="F2783" t="str">
            <v>PC</v>
          </cell>
          <cell r="G2783" t="str">
            <v>1</v>
          </cell>
          <cell r="H2783" t="str">
            <v>INDUSTRY</v>
          </cell>
          <cell r="I2783" t="str">
            <v>11</v>
          </cell>
          <cell r="J2783" t="str">
            <v>WOOD COATINGS</v>
          </cell>
          <cell r="K2783" t="str">
            <v>1104</v>
          </cell>
          <cell r="L2783" t="str">
            <v>NC</v>
          </cell>
          <cell r="M2783" t="str">
            <v>110403</v>
          </cell>
          <cell r="N2783" t="str">
            <v>ASOF : NC BASE COAT</v>
          </cell>
        </row>
        <row r="2784">
          <cell r="C2784" t="str">
            <v>100004017</v>
          </cell>
          <cell r="D2784" t="str">
            <v>NBC-9345-4766AK-200KB</v>
          </cell>
          <cell r="E2784" t="str">
            <v>ZFGD</v>
          </cell>
          <cell r="F2784" t="str">
            <v>PC</v>
          </cell>
          <cell r="G2784" t="str">
            <v>1</v>
          </cell>
          <cell r="H2784" t="str">
            <v>INDUSTRY</v>
          </cell>
          <cell r="I2784" t="str">
            <v>11</v>
          </cell>
          <cell r="J2784" t="str">
            <v>WOOD COATINGS</v>
          </cell>
          <cell r="K2784" t="str">
            <v>1104</v>
          </cell>
          <cell r="L2784" t="str">
            <v>NC</v>
          </cell>
          <cell r="M2784" t="str">
            <v>110403</v>
          </cell>
          <cell r="N2784" t="str">
            <v>ASOF : NC BASE COAT</v>
          </cell>
        </row>
        <row r="2785">
          <cell r="C2785" t="str">
            <v>100004018</v>
          </cell>
          <cell r="D2785" t="str">
            <v>PCA-31100 ORANGE PASTE AF VN-4K</v>
          </cell>
          <cell r="E2785" t="str">
            <v>ZFGD</v>
          </cell>
          <cell r="F2785" t="str">
            <v>PC</v>
          </cell>
          <cell r="G2785" t="str">
            <v>1</v>
          </cell>
          <cell r="H2785" t="str">
            <v>INDUSTRY</v>
          </cell>
          <cell r="I2785" t="str">
            <v>11</v>
          </cell>
          <cell r="J2785" t="str">
            <v>WOOD COATINGS</v>
          </cell>
          <cell r="K2785" t="str">
            <v>1118</v>
          </cell>
          <cell r="L2785" t="str">
            <v>COMPLEMENTARY</v>
          </cell>
          <cell r="M2785" t="str">
            <v>111807</v>
          </cell>
          <cell r="N2785" t="str">
            <v>PASTA</v>
          </cell>
        </row>
        <row r="2786">
          <cell r="C2786" t="str">
            <v>100004019</v>
          </cell>
          <cell r="D2786" t="str">
            <v>PCA-31100 BLUE OR 50 PASTE AF VN-4K</v>
          </cell>
          <cell r="E2786" t="str">
            <v>ZFGD</v>
          </cell>
          <cell r="F2786" t="str">
            <v>PC</v>
          </cell>
          <cell r="G2786" t="str">
            <v>1</v>
          </cell>
          <cell r="H2786" t="str">
            <v>INDUSTRY</v>
          </cell>
          <cell r="I2786" t="str">
            <v>11</v>
          </cell>
          <cell r="J2786" t="str">
            <v>WOOD COATINGS</v>
          </cell>
          <cell r="K2786" t="str">
            <v>1118</v>
          </cell>
          <cell r="L2786" t="str">
            <v>COMPLEMENTARY</v>
          </cell>
          <cell r="M2786" t="str">
            <v>111807</v>
          </cell>
          <cell r="N2786" t="str">
            <v>PASTA</v>
          </cell>
        </row>
        <row r="2787">
          <cell r="C2787" t="str">
            <v>100004020</v>
          </cell>
          <cell r="D2787" t="str">
            <v>PCA-31100 VIOLET OB PASTE AF VN-4K</v>
          </cell>
          <cell r="E2787" t="str">
            <v>ZFGD</v>
          </cell>
          <cell r="F2787" t="str">
            <v>PC</v>
          </cell>
          <cell r="G2787" t="str">
            <v>1</v>
          </cell>
          <cell r="H2787" t="str">
            <v>INDUSTRY</v>
          </cell>
          <cell r="I2787" t="str">
            <v>11</v>
          </cell>
          <cell r="J2787" t="str">
            <v>WOOD COATINGS</v>
          </cell>
          <cell r="K2787" t="str">
            <v>1118</v>
          </cell>
          <cell r="L2787" t="str">
            <v>COMPLEMENTARY</v>
          </cell>
          <cell r="M2787" t="str">
            <v>111807</v>
          </cell>
          <cell r="N2787" t="str">
            <v>PASTA</v>
          </cell>
        </row>
        <row r="2788">
          <cell r="C2788" t="str">
            <v>100004021</v>
          </cell>
          <cell r="D2788" t="str">
            <v>PUC-54205 AC GREY90 90 SI VN-20KP</v>
          </cell>
          <cell r="E2788" t="str">
            <v>ZFGD</v>
          </cell>
          <cell r="F2788" t="str">
            <v>PC</v>
          </cell>
          <cell r="G2788" t="str">
            <v>1</v>
          </cell>
          <cell r="H2788" t="str">
            <v>INDUSTRY</v>
          </cell>
          <cell r="I2788" t="str">
            <v>11</v>
          </cell>
          <cell r="J2788" t="str">
            <v>WOOD COATINGS</v>
          </cell>
          <cell r="K2788" t="str">
            <v>1103</v>
          </cell>
          <cell r="L2788" t="str">
            <v>PU</v>
          </cell>
          <cell r="M2788" t="str">
            <v>110319</v>
          </cell>
          <cell r="N2788" t="str">
            <v>PU COLOR</v>
          </cell>
        </row>
        <row r="2789">
          <cell r="C2789" t="str">
            <v>100004022</v>
          </cell>
          <cell r="D2789" t="str">
            <v>PUC-54206 AC EX RED90 90 SI VN-20LP</v>
          </cell>
          <cell r="E2789" t="str">
            <v>ZFGD</v>
          </cell>
          <cell r="F2789" t="str">
            <v>PC</v>
          </cell>
          <cell r="G2789" t="str">
            <v>1</v>
          </cell>
          <cell r="H2789" t="str">
            <v>INDUSTRY</v>
          </cell>
          <cell r="I2789" t="str">
            <v>11</v>
          </cell>
          <cell r="J2789" t="str">
            <v>WOOD COATINGS</v>
          </cell>
          <cell r="K2789" t="str">
            <v>1103</v>
          </cell>
          <cell r="L2789" t="str">
            <v>PU</v>
          </cell>
          <cell r="M2789" t="str">
            <v>110319</v>
          </cell>
          <cell r="N2789" t="str">
            <v>PU COLOR</v>
          </cell>
        </row>
        <row r="2790">
          <cell r="C2790" t="str">
            <v>100004023</v>
          </cell>
          <cell r="D2790" t="str">
            <v>NBC-9345 5939AK-20KP</v>
          </cell>
          <cell r="E2790" t="str">
            <v>ZFGD</v>
          </cell>
          <cell r="F2790" t="str">
            <v>PC</v>
          </cell>
          <cell r="G2790" t="str">
            <v>1</v>
          </cell>
          <cell r="H2790" t="str">
            <v>INDUSTRY</v>
          </cell>
          <cell r="I2790" t="str">
            <v>11</v>
          </cell>
          <cell r="J2790" t="str">
            <v>WOOD COATINGS</v>
          </cell>
          <cell r="K2790" t="str">
            <v>1104</v>
          </cell>
          <cell r="L2790" t="str">
            <v>NC</v>
          </cell>
          <cell r="M2790" t="str">
            <v>110403</v>
          </cell>
          <cell r="N2790" t="str">
            <v>ASOF : NC BASE COAT</v>
          </cell>
        </row>
        <row r="2791">
          <cell r="C2791" t="str">
            <v>100004024</v>
          </cell>
          <cell r="D2791" t="str">
            <v>NBC-9345-5939AK-200KB</v>
          </cell>
          <cell r="E2791" t="str">
            <v>ZFGD</v>
          </cell>
          <cell r="F2791" t="str">
            <v>PC</v>
          </cell>
          <cell r="G2791" t="str">
            <v>1</v>
          </cell>
          <cell r="H2791" t="str">
            <v>INDUSTRY</v>
          </cell>
          <cell r="I2791" t="str">
            <v>11</v>
          </cell>
          <cell r="J2791" t="str">
            <v>WOOD COATINGS</v>
          </cell>
          <cell r="K2791" t="str">
            <v>1104</v>
          </cell>
          <cell r="L2791" t="str">
            <v>NC</v>
          </cell>
          <cell r="M2791" t="str">
            <v>110403</v>
          </cell>
          <cell r="N2791" t="str">
            <v>ASOF : NC BASE COAT</v>
          </cell>
        </row>
        <row r="2792">
          <cell r="C2792" t="str">
            <v>100004025</v>
          </cell>
          <cell r="D2792" t="str">
            <v>PCA-31100 BLUE OG PASTE AF VN-4K</v>
          </cell>
          <cell r="E2792" t="str">
            <v>ZFGD</v>
          </cell>
          <cell r="F2792" t="str">
            <v>PC</v>
          </cell>
          <cell r="G2792" t="str">
            <v>1</v>
          </cell>
          <cell r="H2792" t="str">
            <v>INDUSTRY</v>
          </cell>
          <cell r="I2792" t="str">
            <v>11</v>
          </cell>
          <cell r="J2792" t="str">
            <v>WOOD COATINGS</v>
          </cell>
          <cell r="K2792" t="str">
            <v>1118</v>
          </cell>
          <cell r="L2792" t="str">
            <v>COMPLEMENTARY</v>
          </cell>
          <cell r="M2792" t="str">
            <v>111807</v>
          </cell>
          <cell r="N2792" t="str">
            <v>PASTA</v>
          </cell>
        </row>
        <row r="2793">
          <cell r="C2793" t="str">
            <v>100004026</v>
          </cell>
          <cell r="D2793" t="str">
            <v>PCA-31100 GREEN OB PASTE AF VN-4K</v>
          </cell>
          <cell r="E2793" t="str">
            <v>ZFGD</v>
          </cell>
          <cell r="F2793" t="str">
            <v>PC</v>
          </cell>
          <cell r="G2793" t="str">
            <v>1</v>
          </cell>
          <cell r="H2793" t="str">
            <v>INDUSTRY</v>
          </cell>
          <cell r="I2793" t="str">
            <v>11</v>
          </cell>
          <cell r="J2793" t="str">
            <v>WOOD COATINGS</v>
          </cell>
          <cell r="K2793" t="str">
            <v>1118</v>
          </cell>
          <cell r="L2793" t="str">
            <v>COMPLEMENTARY</v>
          </cell>
          <cell r="M2793" t="str">
            <v>111807</v>
          </cell>
          <cell r="N2793" t="str">
            <v>PASTA</v>
          </cell>
        </row>
        <row r="2794">
          <cell r="C2794" t="str">
            <v>100004027</v>
          </cell>
          <cell r="D2794" t="str">
            <v>EDP-551 DARK GREY (XÁM XINGFA) VN-0.9K</v>
          </cell>
          <cell r="E2794" t="str">
            <v>ZFGD</v>
          </cell>
          <cell r="F2794" t="str">
            <v>PC</v>
          </cell>
          <cell r="G2794" t="str">
            <v>5</v>
          </cell>
          <cell r="H2794" t="str">
            <v>PROJECT</v>
          </cell>
          <cell r="I2794" t="str">
            <v>59</v>
          </cell>
          <cell r="J2794" t="str">
            <v>MPC</v>
          </cell>
          <cell r="K2794" t="str">
            <v>5904</v>
          </cell>
          <cell r="L2794" t="str">
            <v>METALKOTE</v>
          </cell>
          <cell r="M2794" t="str">
            <v>590402</v>
          </cell>
          <cell r="N2794" t="str">
            <v>METALKOTE-EPOXY SYS</v>
          </cell>
        </row>
        <row r="2795">
          <cell r="C2795" t="str">
            <v>100004029</v>
          </cell>
          <cell r="D2795" t="str">
            <v>EDP-551 DARK GREY (XÁM XINGFA) VN-18KP</v>
          </cell>
          <cell r="E2795" t="str">
            <v>ZFGD</v>
          </cell>
          <cell r="F2795" t="str">
            <v>PC</v>
          </cell>
          <cell r="G2795" t="str">
            <v>5</v>
          </cell>
          <cell r="H2795" t="str">
            <v>PROJECT</v>
          </cell>
          <cell r="I2795" t="str">
            <v>59</v>
          </cell>
          <cell r="J2795" t="str">
            <v>MPC</v>
          </cell>
          <cell r="K2795" t="str">
            <v>5904</v>
          </cell>
          <cell r="L2795" t="str">
            <v>METALKOTE</v>
          </cell>
          <cell r="M2795" t="str">
            <v>590402</v>
          </cell>
          <cell r="N2795" t="str">
            <v>METALKOTE-EPOXY SYS</v>
          </cell>
        </row>
        <row r="2796">
          <cell r="C2796" t="str">
            <v>100004030</v>
          </cell>
          <cell r="D2796" t="str">
            <v>PCL-31300 AK001 CHAUHOA F1 VN-20LJ</v>
          </cell>
          <cell r="E2796" t="str">
            <v>ZFGD</v>
          </cell>
          <cell r="F2796" t="str">
            <v>PC</v>
          </cell>
          <cell r="G2796" t="str">
            <v>1</v>
          </cell>
          <cell r="H2796" t="str">
            <v>INDUSTRY</v>
          </cell>
          <cell r="I2796" t="str">
            <v>11</v>
          </cell>
          <cell r="J2796" t="str">
            <v>WOOD COATINGS</v>
          </cell>
          <cell r="K2796" t="str">
            <v>1118</v>
          </cell>
          <cell r="L2796" t="str">
            <v>COMPLEMENTARY</v>
          </cell>
          <cell r="M2796" t="str">
            <v>111807</v>
          </cell>
          <cell r="N2796" t="str">
            <v>PASTA</v>
          </cell>
        </row>
        <row r="2797">
          <cell r="C2797" t="str">
            <v>100004031</v>
          </cell>
          <cell r="D2797" t="str">
            <v>64-56 MICRO FILLER H4 TL VN-20KP</v>
          </cell>
          <cell r="E2797" t="str">
            <v>ZFGD</v>
          </cell>
          <cell r="F2797" t="str">
            <v>PC</v>
          </cell>
          <cell r="G2797" t="str">
            <v>1</v>
          </cell>
          <cell r="H2797" t="str">
            <v>INDUSTRY</v>
          </cell>
          <cell r="I2797" t="str">
            <v>11</v>
          </cell>
          <cell r="J2797" t="str">
            <v>WOOD COATINGS</v>
          </cell>
          <cell r="K2797" t="str">
            <v>1103</v>
          </cell>
          <cell r="L2797" t="str">
            <v>PU</v>
          </cell>
          <cell r="M2797" t="str">
            <v>110305</v>
          </cell>
          <cell r="N2797" t="str">
            <v>UNION FILLER</v>
          </cell>
        </row>
        <row r="2798">
          <cell r="C2798" t="str">
            <v>100004032</v>
          </cell>
          <cell r="D2798" t="str">
            <v>SST-11100 H4 TL VN-20LJ</v>
          </cell>
          <cell r="E2798" t="str">
            <v>ZFGD</v>
          </cell>
          <cell r="F2798" t="str">
            <v>PC</v>
          </cell>
          <cell r="G2798" t="str">
            <v>1</v>
          </cell>
          <cell r="H2798" t="str">
            <v>INDUSTRY</v>
          </cell>
          <cell r="I2798" t="str">
            <v>11</v>
          </cell>
          <cell r="J2798" t="str">
            <v>WOOD COATINGS</v>
          </cell>
          <cell r="K2798" t="str">
            <v>1109</v>
          </cell>
          <cell r="L2798" t="str">
            <v>STAIN &amp; GLAZE INTERIOR</v>
          </cell>
          <cell r="M2798" t="str">
            <v>110903</v>
          </cell>
          <cell r="N2798" t="str">
            <v>STAIN INTERIOR</v>
          </cell>
        </row>
        <row r="2799">
          <cell r="C2799" t="str">
            <v>100004033</v>
          </cell>
          <cell r="D2799" t="str">
            <v>EDP-551 DARK GREY (XÁM XINGFA) VN-1KS</v>
          </cell>
          <cell r="E2799" t="str">
            <v>ZFGD</v>
          </cell>
          <cell r="F2799" t="str">
            <v>SET</v>
          </cell>
          <cell r="G2799" t="str">
            <v>5</v>
          </cell>
          <cell r="H2799" t="str">
            <v>PROJECT</v>
          </cell>
          <cell r="I2799" t="str">
            <v>59</v>
          </cell>
          <cell r="J2799" t="str">
            <v>MPC</v>
          </cell>
          <cell r="K2799" t="str">
            <v>5904</v>
          </cell>
          <cell r="L2799" t="str">
            <v>METALKOTE</v>
          </cell>
          <cell r="M2799" t="str">
            <v>590402</v>
          </cell>
          <cell r="N2799" t="str">
            <v>METALKOTE-EPOXY SYS</v>
          </cell>
        </row>
        <row r="2800">
          <cell r="C2800" t="str">
            <v>100004036</v>
          </cell>
          <cell r="D2800" t="str">
            <v>PUP-51241 LOWE BLACK KD VN-20KP</v>
          </cell>
          <cell r="E2800" t="str">
            <v>ZFGD</v>
          </cell>
          <cell r="F2800" t="str">
            <v>PC</v>
          </cell>
          <cell r="G2800" t="str">
            <v>1</v>
          </cell>
          <cell r="H2800" t="str">
            <v>INDUSTRY</v>
          </cell>
          <cell r="I2800" t="str">
            <v>11</v>
          </cell>
          <cell r="J2800" t="str">
            <v>WOOD COATINGS</v>
          </cell>
          <cell r="K2800" t="str">
            <v>1103</v>
          </cell>
          <cell r="L2800" t="str">
            <v>PU</v>
          </cell>
          <cell r="M2800" t="str">
            <v>110322</v>
          </cell>
          <cell r="N2800" t="str">
            <v>PU PRIMER</v>
          </cell>
        </row>
        <row r="2801">
          <cell r="C2801" t="str">
            <v>100004037</v>
          </cell>
          <cell r="D2801" t="str">
            <v>PUC-52241 LOWE BLACK 30 KD VN-20KP</v>
          </cell>
          <cell r="E2801" t="str">
            <v>ZFGD</v>
          </cell>
          <cell r="F2801" t="str">
            <v>PC</v>
          </cell>
          <cell r="G2801" t="str">
            <v>1</v>
          </cell>
          <cell r="H2801" t="str">
            <v>INDUSTRY</v>
          </cell>
          <cell r="I2801" t="str">
            <v>11</v>
          </cell>
          <cell r="J2801" t="str">
            <v>WOOD COATINGS</v>
          </cell>
          <cell r="K2801" t="str">
            <v>1103</v>
          </cell>
          <cell r="L2801" t="str">
            <v>PU</v>
          </cell>
          <cell r="M2801" t="str">
            <v>110319</v>
          </cell>
          <cell r="N2801" t="str">
            <v>PU COLOR</v>
          </cell>
        </row>
        <row r="2802">
          <cell r="C2802" t="str">
            <v>100004038</v>
          </cell>
          <cell r="D2802" t="str">
            <v>PUP-51241 LOWE BLACK KD VN-200KB</v>
          </cell>
          <cell r="E2802" t="str">
            <v>ZFGD</v>
          </cell>
          <cell r="F2802" t="str">
            <v>PC</v>
          </cell>
          <cell r="G2802" t="str">
            <v>1</v>
          </cell>
          <cell r="H2802" t="str">
            <v>INDUSTRY</v>
          </cell>
          <cell r="I2802" t="str">
            <v>11</v>
          </cell>
          <cell r="J2802" t="str">
            <v>WOOD COATINGS</v>
          </cell>
          <cell r="K2802" t="str">
            <v>1103</v>
          </cell>
          <cell r="L2802" t="str">
            <v>PU</v>
          </cell>
          <cell r="M2802" t="str">
            <v>110322</v>
          </cell>
          <cell r="N2802" t="str">
            <v>PU PRIMER</v>
          </cell>
        </row>
        <row r="2803">
          <cell r="C2803" t="str">
            <v>100004039</v>
          </cell>
          <cell r="D2803" t="str">
            <v>PUC-52241 LOWE BLACK 30 KD VN-200KB</v>
          </cell>
          <cell r="E2803" t="str">
            <v>ZFGD</v>
          </cell>
          <cell r="F2803" t="str">
            <v>PC</v>
          </cell>
          <cell r="G2803" t="str">
            <v>1</v>
          </cell>
          <cell r="H2803" t="str">
            <v>INDUSTRY</v>
          </cell>
          <cell r="I2803" t="str">
            <v>11</v>
          </cell>
          <cell r="J2803" t="str">
            <v>WOOD COATINGS</v>
          </cell>
          <cell r="K2803" t="str">
            <v>1103</v>
          </cell>
          <cell r="L2803" t="str">
            <v>PU</v>
          </cell>
          <cell r="M2803" t="str">
            <v>110319</v>
          </cell>
          <cell r="N2803" t="str">
            <v>PU COLOR</v>
          </cell>
        </row>
        <row r="2804">
          <cell r="C2804" t="str">
            <v>100004041</v>
          </cell>
          <cell r="D2804" t="str">
            <v>WBL-61202 CLEAR 10 VN-20KP</v>
          </cell>
          <cell r="E2804" t="str">
            <v>ZFGD</v>
          </cell>
          <cell r="F2804" t="str">
            <v>PC</v>
          </cell>
          <cell r="G2804" t="str">
            <v>1</v>
          </cell>
          <cell r="H2804" t="str">
            <v>INDUSTRY</v>
          </cell>
          <cell r="I2804" t="str">
            <v>11</v>
          </cell>
          <cell r="J2804" t="str">
            <v>WOOD COATINGS</v>
          </cell>
          <cell r="K2804" t="str">
            <v>1119</v>
          </cell>
          <cell r="L2804" t="str">
            <v>WATERBASED</v>
          </cell>
          <cell r="M2804" t="str">
            <v>111902</v>
          </cell>
          <cell r="N2804" t="str">
            <v>WATERBASED SYSTEM INTERIOR</v>
          </cell>
        </row>
        <row r="2805">
          <cell r="C2805" t="str">
            <v>100004042</v>
          </cell>
          <cell r="D2805" t="str">
            <v>WBL-61202 HS CLEAR 10 VN-20KP</v>
          </cell>
          <cell r="E2805" t="str">
            <v>ZFGD</v>
          </cell>
          <cell r="F2805" t="str">
            <v>PC</v>
          </cell>
          <cell r="G2805" t="str">
            <v>1</v>
          </cell>
          <cell r="H2805" t="str">
            <v>INDUSTRY</v>
          </cell>
          <cell r="I2805" t="str">
            <v>11</v>
          </cell>
          <cell r="J2805" t="str">
            <v>WOOD COATINGS</v>
          </cell>
          <cell r="K2805" t="str">
            <v>1119</v>
          </cell>
          <cell r="L2805" t="str">
            <v>WATERBASED</v>
          </cell>
          <cell r="M2805" t="str">
            <v>111902</v>
          </cell>
          <cell r="N2805" t="str">
            <v>WATERBASED SYSTEM INTERIOR</v>
          </cell>
        </row>
        <row r="2806">
          <cell r="C2806" t="str">
            <v>100004043</v>
          </cell>
          <cell r="D2806" t="str">
            <v>WBP-62102 MF WHITE VN-20KP</v>
          </cell>
          <cell r="E2806" t="str">
            <v>ZFGD</v>
          </cell>
          <cell r="F2806" t="str">
            <v>PC</v>
          </cell>
          <cell r="G2806" t="str">
            <v>1</v>
          </cell>
          <cell r="H2806" t="str">
            <v>INDUSTRY</v>
          </cell>
          <cell r="I2806" t="str">
            <v>11</v>
          </cell>
          <cell r="J2806" t="str">
            <v>WOOD COATINGS</v>
          </cell>
          <cell r="K2806" t="str">
            <v>1119</v>
          </cell>
          <cell r="L2806" t="str">
            <v>WATERBASED</v>
          </cell>
          <cell r="M2806" t="str">
            <v>111902</v>
          </cell>
          <cell r="N2806" t="str">
            <v>WATERBASED SYSTEM INTERIOR</v>
          </cell>
        </row>
        <row r="2807">
          <cell r="C2807" t="str">
            <v>100004044</v>
          </cell>
          <cell r="D2807" t="str">
            <v>PUC-52239 PINK 20 NM VN-20KP</v>
          </cell>
          <cell r="E2807" t="str">
            <v>ZFGD</v>
          </cell>
          <cell r="F2807" t="str">
            <v>PC</v>
          </cell>
          <cell r="G2807" t="str">
            <v>1</v>
          </cell>
          <cell r="H2807" t="str">
            <v>INDUSTRY</v>
          </cell>
          <cell r="I2807" t="str">
            <v>11</v>
          </cell>
          <cell r="J2807" t="str">
            <v>WOOD COATINGS</v>
          </cell>
          <cell r="K2807" t="str">
            <v>1103</v>
          </cell>
          <cell r="L2807" t="str">
            <v>PU</v>
          </cell>
          <cell r="M2807" t="str">
            <v>110319</v>
          </cell>
          <cell r="N2807" t="str">
            <v>PU COLOR</v>
          </cell>
        </row>
        <row r="2808">
          <cell r="C2808" t="str">
            <v>100004045</v>
          </cell>
          <cell r="D2808" t="str">
            <v>PUC-52239 NAVY 20 NM VN-20KP</v>
          </cell>
          <cell r="E2808" t="str">
            <v>ZFGD</v>
          </cell>
          <cell r="F2808" t="str">
            <v>PC</v>
          </cell>
          <cell r="G2808" t="str">
            <v>1</v>
          </cell>
          <cell r="H2808" t="str">
            <v>INDUSTRY</v>
          </cell>
          <cell r="I2808" t="str">
            <v>11</v>
          </cell>
          <cell r="J2808" t="str">
            <v>WOOD COATINGS</v>
          </cell>
          <cell r="K2808" t="str">
            <v>1103</v>
          </cell>
          <cell r="L2808" t="str">
            <v>PU</v>
          </cell>
          <cell r="M2808" t="str">
            <v>110319</v>
          </cell>
          <cell r="N2808" t="str">
            <v>PU COLOR</v>
          </cell>
        </row>
        <row r="2809">
          <cell r="C2809" t="str">
            <v>100004046</v>
          </cell>
          <cell r="D2809" t="str">
            <v>PUC-52200 P2451 SLATE 05 MY-20KP</v>
          </cell>
          <cell r="E2809" t="str">
            <v>ZFGD</v>
          </cell>
          <cell r="F2809" t="str">
            <v>PC</v>
          </cell>
          <cell r="G2809" t="str">
            <v>1</v>
          </cell>
          <cell r="H2809" t="str">
            <v>INDUSTRY</v>
          </cell>
          <cell r="I2809" t="str">
            <v>11</v>
          </cell>
          <cell r="J2809" t="str">
            <v>WOOD COATINGS</v>
          </cell>
          <cell r="K2809" t="str">
            <v>1103</v>
          </cell>
          <cell r="L2809" t="str">
            <v>PU</v>
          </cell>
          <cell r="M2809" t="str">
            <v>110319</v>
          </cell>
          <cell r="N2809" t="str">
            <v>PU COLOR</v>
          </cell>
        </row>
        <row r="2810">
          <cell r="C2810" t="str">
            <v>100004047</v>
          </cell>
          <cell r="D2810" t="str">
            <v>DC-12223 LC WHITE 03 20 TY VN-20KP</v>
          </cell>
          <cell r="E2810" t="str">
            <v>ZFGD</v>
          </cell>
          <cell r="F2810" t="str">
            <v>PC</v>
          </cell>
          <cell r="G2810" t="str">
            <v>1</v>
          </cell>
          <cell r="H2810" t="str">
            <v>INDUSTRY</v>
          </cell>
          <cell r="I2810" t="str">
            <v>11</v>
          </cell>
          <cell r="J2810" t="str">
            <v>WOOD COATINGS</v>
          </cell>
          <cell r="K2810" t="str">
            <v>1104</v>
          </cell>
          <cell r="L2810" t="str">
            <v>NC</v>
          </cell>
          <cell r="M2810" t="str">
            <v>110405</v>
          </cell>
          <cell r="N2810" t="str">
            <v>NC SYSTEM</v>
          </cell>
        </row>
        <row r="2811">
          <cell r="C2811" t="str">
            <v>100004048</v>
          </cell>
          <cell r="D2811" t="str">
            <v>PUC-52239 BLUE 20 NM VN-20KP</v>
          </cell>
          <cell r="E2811" t="str">
            <v>ZFGD</v>
          </cell>
          <cell r="F2811" t="str">
            <v>PC</v>
          </cell>
          <cell r="G2811" t="str">
            <v>1</v>
          </cell>
          <cell r="H2811" t="str">
            <v>INDUSTRY</v>
          </cell>
          <cell r="I2811" t="str">
            <v>11</v>
          </cell>
          <cell r="J2811" t="str">
            <v>WOOD COATINGS</v>
          </cell>
          <cell r="K2811" t="str">
            <v>1103</v>
          </cell>
          <cell r="L2811" t="str">
            <v>PU</v>
          </cell>
          <cell r="M2811" t="str">
            <v>110319</v>
          </cell>
          <cell r="N2811" t="str">
            <v>PU COLOR</v>
          </cell>
        </row>
        <row r="2812">
          <cell r="C2812" t="str">
            <v>100004051</v>
          </cell>
          <cell r="D2812" t="str">
            <v>PCA-31100 NG18 NITORI DBR KD MY-4K</v>
          </cell>
          <cell r="E2812" t="str">
            <v>ZFGD</v>
          </cell>
          <cell r="F2812" t="str">
            <v>PC</v>
          </cell>
          <cell r="G2812" t="str">
            <v>1</v>
          </cell>
          <cell r="H2812" t="str">
            <v>INDUSTRY</v>
          </cell>
          <cell r="I2812" t="str">
            <v>11</v>
          </cell>
          <cell r="J2812" t="str">
            <v>WOOD COATINGS</v>
          </cell>
          <cell r="K2812" t="str">
            <v>1118</v>
          </cell>
          <cell r="L2812" t="str">
            <v>COMPLEMENTARY</v>
          </cell>
          <cell r="M2812" t="str">
            <v>111807</v>
          </cell>
          <cell r="N2812" t="str">
            <v>PASTA</v>
          </cell>
        </row>
        <row r="2813">
          <cell r="C2813" t="str">
            <v>100004052</v>
          </cell>
          <cell r="D2813" t="str">
            <v>SST-11100 SU 08 WALNUT SATIN KD MY-4K</v>
          </cell>
          <cell r="E2813" t="str">
            <v>ZFGD</v>
          </cell>
          <cell r="F2813" t="str">
            <v>PC</v>
          </cell>
          <cell r="G2813" t="str">
            <v>1</v>
          </cell>
          <cell r="H2813" t="str">
            <v>INDUSTRY</v>
          </cell>
          <cell r="I2813" t="str">
            <v>11</v>
          </cell>
          <cell r="J2813" t="str">
            <v>WOOD COATINGS</v>
          </cell>
          <cell r="K2813" t="str">
            <v>1109</v>
          </cell>
          <cell r="L2813" t="str">
            <v>STAIN &amp; GLAZE INTERIOR</v>
          </cell>
          <cell r="M2813" t="str">
            <v>110903</v>
          </cell>
          <cell r="N2813" t="str">
            <v>STAIN INTERIOR</v>
          </cell>
        </row>
        <row r="2814">
          <cell r="C2814" t="str">
            <v>100004053</v>
          </cell>
          <cell r="D2814" t="str">
            <v>WPWB-81201 NATURAL VN-20KP</v>
          </cell>
          <cell r="E2814" t="str">
            <v>ZFGD</v>
          </cell>
          <cell r="F2814" t="str">
            <v>PC</v>
          </cell>
          <cell r="G2814" t="str">
            <v>1</v>
          </cell>
          <cell r="H2814" t="str">
            <v>INDUSTRY</v>
          </cell>
          <cell r="I2814" t="str">
            <v>11</v>
          </cell>
          <cell r="J2814" t="str">
            <v>WOOD COATINGS</v>
          </cell>
          <cell r="K2814" t="str">
            <v>1119</v>
          </cell>
          <cell r="L2814" t="str">
            <v>WATERBASED</v>
          </cell>
          <cell r="M2814" t="str">
            <v>111902</v>
          </cell>
          <cell r="N2814" t="str">
            <v>WATERBASED SYSTEM INTERIOR</v>
          </cell>
        </row>
        <row r="2815">
          <cell r="C2815" t="str">
            <v>100004054</v>
          </cell>
          <cell r="D2815" t="str">
            <v>UPL-77 E SEMI GLOSS-1L</v>
          </cell>
          <cell r="E2815" t="str">
            <v>ZFGD</v>
          </cell>
          <cell r="F2815" t="str">
            <v>PC</v>
          </cell>
          <cell r="G2815" t="str">
            <v>2</v>
          </cell>
          <cell r="H2815" t="str">
            <v>RETAIL</v>
          </cell>
          <cell r="I2815" t="str">
            <v>24</v>
          </cell>
          <cell r="J2815" t="str">
            <v>WF3</v>
          </cell>
          <cell r="K2815" t="str">
            <v>2413</v>
          </cell>
          <cell r="L2815" t="str">
            <v>ULTRAN</v>
          </cell>
          <cell r="M2815" t="str">
            <v>241301</v>
          </cell>
          <cell r="N2815" t="str">
            <v>ULTRAN PARQUET LACK</v>
          </cell>
        </row>
        <row r="2816">
          <cell r="C2816" t="str">
            <v>100004055</v>
          </cell>
          <cell r="D2816" t="str">
            <v>PUL-53306 AC GLASS CLEAR 10 VN-20LP</v>
          </cell>
          <cell r="E2816" t="str">
            <v>ZFGD</v>
          </cell>
          <cell r="F2816" t="str">
            <v>PC</v>
          </cell>
          <cell r="G2816" t="str">
            <v>1</v>
          </cell>
          <cell r="H2816" t="str">
            <v>INDUSTRY</v>
          </cell>
          <cell r="I2816" t="str">
            <v>11</v>
          </cell>
          <cell r="J2816" t="str">
            <v>WOOD COATINGS</v>
          </cell>
          <cell r="K2816" t="str">
            <v>1103</v>
          </cell>
          <cell r="L2816" t="str">
            <v>PU</v>
          </cell>
          <cell r="M2816" t="str">
            <v>110321</v>
          </cell>
          <cell r="N2816" t="str">
            <v>PU LACQUER</v>
          </cell>
        </row>
        <row r="2817">
          <cell r="C2817" t="str">
            <v>100004056</v>
          </cell>
          <cell r="D2817" t="str">
            <v>SST-11100 LANCASTER2 A TL VN-20LJ</v>
          </cell>
          <cell r="E2817" t="str">
            <v>ZFGD</v>
          </cell>
          <cell r="F2817" t="str">
            <v>PC</v>
          </cell>
          <cell r="G2817" t="str">
            <v>1</v>
          </cell>
          <cell r="H2817" t="str">
            <v>INDUSTRY</v>
          </cell>
          <cell r="I2817" t="str">
            <v>11</v>
          </cell>
          <cell r="J2817" t="str">
            <v>WOOD COATINGS</v>
          </cell>
          <cell r="K2817" t="str">
            <v>1109</v>
          </cell>
          <cell r="L2817" t="str">
            <v>STAIN &amp; GLAZE INTERIOR</v>
          </cell>
          <cell r="M2817" t="str">
            <v>110903</v>
          </cell>
          <cell r="N2817" t="str">
            <v>STAIN INTERIOR</v>
          </cell>
        </row>
        <row r="2818">
          <cell r="C2818" t="str">
            <v>100004057</v>
          </cell>
          <cell r="D2818" t="str">
            <v>SST-11100 LANCASTER2 B TL VN-20LJ</v>
          </cell>
          <cell r="E2818" t="str">
            <v>ZFGD</v>
          </cell>
          <cell r="F2818" t="str">
            <v>PC</v>
          </cell>
          <cell r="G2818" t="str">
            <v>1</v>
          </cell>
          <cell r="H2818" t="str">
            <v>INDUSTRY</v>
          </cell>
          <cell r="I2818" t="str">
            <v>11</v>
          </cell>
          <cell r="J2818" t="str">
            <v>WOOD COATINGS</v>
          </cell>
          <cell r="K2818" t="str">
            <v>1109</v>
          </cell>
          <cell r="L2818" t="str">
            <v>STAIN &amp; GLAZE INTERIOR</v>
          </cell>
          <cell r="M2818" t="str">
            <v>110903</v>
          </cell>
          <cell r="N2818" t="str">
            <v>STAIN INTERIOR</v>
          </cell>
        </row>
        <row r="2819">
          <cell r="C2819" t="str">
            <v>100004058</v>
          </cell>
          <cell r="D2819" t="str">
            <v>WBC-62202 HS WHITE 10 VN-20KP</v>
          </cell>
          <cell r="E2819" t="str">
            <v>ZFGD</v>
          </cell>
          <cell r="F2819" t="str">
            <v>PC</v>
          </cell>
          <cell r="G2819" t="str">
            <v>1</v>
          </cell>
          <cell r="H2819" t="str">
            <v>INDUSTRY</v>
          </cell>
          <cell r="I2819" t="str">
            <v>11</v>
          </cell>
          <cell r="J2819" t="str">
            <v>WOOD COATINGS</v>
          </cell>
          <cell r="K2819" t="str">
            <v>1119</v>
          </cell>
          <cell r="L2819" t="str">
            <v>WATERBASED</v>
          </cell>
          <cell r="M2819" t="str">
            <v>111902</v>
          </cell>
          <cell r="N2819" t="str">
            <v>WATERBASED SYSTEM INTERIOR</v>
          </cell>
        </row>
        <row r="2820">
          <cell r="C2820" t="str">
            <v>100004059</v>
          </cell>
          <cell r="D2820" t="str">
            <v>WBC-62208 03RT 20 SC VN-20KP</v>
          </cell>
          <cell r="E2820" t="str">
            <v>ZFGD</v>
          </cell>
          <cell r="F2820" t="str">
            <v>PC</v>
          </cell>
          <cell r="G2820" t="str">
            <v>1</v>
          </cell>
          <cell r="H2820" t="str">
            <v>INDUSTRY</v>
          </cell>
          <cell r="I2820" t="str">
            <v>11</v>
          </cell>
          <cell r="J2820" t="str">
            <v>WOOD COATINGS</v>
          </cell>
          <cell r="K2820" t="str">
            <v>1119</v>
          </cell>
          <cell r="L2820" t="str">
            <v>WATERBASED</v>
          </cell>
          <cell r="M2820" t="str">
            <v>111902</v>
          </cell>
          <cell r="N2820" t="str">
            <v>WATERBASED SYSTEM INTERIOR</v>
          </cell>
        </row>
        <row r="2821">
          <cell r="C2821" t="str">
            <v>100004060</v>
          </cell>
          <cell r="D2821" t="str">
            <v>PUP-52135 DARK BLUE AT VN-20KP</v>
          </cell>
          <cell r="E2821" t="str">
            <v>ZFGD</v>
          </cell>
          <cell r="F2821" t="str">
            <v>PC</v>
          </cell>
          <cell r="G2821" t="str">
            <v>1</v>
          </cell>
          <cell r="H2821" t="str">
            <v>INDUSTRY</v>
          </cell>
          <cell r="I2821" t="str">
            <v>11</v>
          </cell>
          <cell r="J2821" t="str">
            <v>WOOD COATINGS</v>
          </cell>
          <cell r="K2821" t="str">
            <v>1103</v>
          </cell>
          <cell r="L2821" t="str">
            <v>PU</v>
          </cell>
          <cell r="M2821" t="str">
            <v>110322</v>
          </cell>
          <cell r="N2821" t="str">
            <v>PU PRIMER</v>
          </cell>
        </row>
        <row r="2822">
          <cell r="C2822" t="str">
            <v>100004061</v>
          </cell>
          <cell r="D2822" t="str">
            <v>PUC-52241 DARK BLUE 10 AT VN-20KP</v>
          </cell>
          <cell r="E2822" t="str">
            <v>ZFGD</v>
          </cell>
          <cell r="F2822" t="str">
            <v>PC</v>
          </cell>
          <cell r="G2822" t="str">
            <v>1</v>
          </cell>
          <cell r="H2822" t="str">
            <v>INDUSTRY</v>
          </cell>
          <cell r="I2822" t="str">
            <v>11</v>
          </cell>
          <cell r="J2822" t="str">
            <v>WOOD COATINGS</v>
          </cell>
          <cell r="K2822" t="str">
            <v>1103</v>
          </cell>
          <cell r="L2822" t="str">
            <v>PU</v>
          </cell>
          <cell r="M2822" t="str">
            <v>110319</v>
          </cell>
          <cell r="N2822" t="str">
            <v>PU COLOR</v>
          </cell>
        </row>
        <row r="2823">
          <cell r="C2823" t="str">
            <v>100004062</v>
          </cell>
          <cell r="D2823" t="str">
            <v>PUC-52241 MATT BLACK 10 KD VN-20KP</v>
          </cell>
          <cell r="E2823" t="str">
            <v>ZFGD</v>
          </cell>
          <cell r="F2823" t="str">
            <v>PC</v>
          </cell>
          <cell r="G2823" t="str">
            <v>1</v>
          </cell>
          <cell r="H2823" t="str">
            <v>INDUSTRY</v>
          </cell>
          <cell r="I2823" t="str">
            <v>11</v>
          </cell>
          <cell r="J2823" t="str">
            <v>WOOD COATINGS</v>
          </cell>
          <cell r="K2823" t="str">
            <v>1103</v>
          </cell>
          <cell r="L2823" t="str">
            <v>PU</v>
          </cell>
          <cell r="M2823" t="str">
            <v>110319</v>
          </cell>
          <cell r="N2823" t="str">
            <v>PU COLOR</v>
          </cell>
        </row>
        <row r="2824">
          <cell r="C2824" t="str">
            <v>100004063</v>
          </cell>
          <cell r="D2824" t="str">
            <v>PC 8K2-1L</v>
          </cell>
          <cell r="E2824" t="str">
            <v>ZFGD</v>
          </cell>
          <cell r="F2824" t="str">
            <v>PC</v>
          </cell>
          <cell r="G2824" t="str">
            <v>2</v>
          </cell>
          <cell r="H2824" t="str">
            <v>RETAIL</v>
          </cell>
          <cell r="I2824" t="str">
            <v>2F</v>
          </cell>
          <cell r="J2824" t="str">
            <v>TINTING</v>
          </cell>
          <cell r="K2824" t="str">
            <v>2F04</v>
          </cell>
          <cell r="L2824" t="str">
            <v>PASTA</v>
          </cell>
          <cell r="M2824" t="str">
            <v>2F0404</v>
          </cell>
          <cell r="N2824" t="str">
            <v>PASTA WB</v>
          </cell>
        </row>
        <row r="2825">
          <cell r="C2825" t="str">
            <v>100004064</v>
          </cell>
          <cell r="D2825" t="str">
            <v>PC 8R1-1L</v>
          </cell>
          <cell r="E2825" t="str">
            <v>ZFGD</v>
          </cell>
          <cell r="F2825" t="str">
            <v>PC</v>
          </cell>
          <cell r="G2825" t="str">
            <v>2</v>
          </cell>
          <cell r="H2825" t="str">
            <v>RETAIL</v>
          </cell>
          <cell r="I2825" t="str">
            <v>2F</v>
          </cell>
          <cell r="J2825" t="str">
            <v>TINTING</v>
          </cell>
          <cell r="K2825" t="str">
            <v>2F04</v>
          </cell>
          <cell r="L2825" t="str">
            <v>PASTA</v>
          </cell>
          <cell r="M2825" t="str">
            <v>2F0404</v>
          </cell>
          <cell r="N2825" t="str">
            <v>PASTA WB</v>
          </cell>
        </row>
        <row r="2826">
          <cell r="C2826" t="str">
            <v>100004065</v>
          </cell>
          <cell r="D2826" t="str">
            <v>PC 8R2-1L</v>
          </cell>
          <cell r="E2826" t="str">
            <v>ZFGD</v>
          </cell>
          <cell r="F2826" t="str">
            <v>PC</v>
          </cell>
          <cell r="G2826" t="str">
            <v>2</v>
          </cell>
          <cell r="H2826" t="str">
            <v>RETAIL</v>
          </cell>
          <cell r="I2826" t="str">
            <v>2F</v>
          </cell>
          <cell r="J2826" t="str">
            <v>TINTING</v>
          </cell>
          <cell r="K2826" t="str">
            <v>2F04</v>
          </cell>
          <cell r="L2826" t="str">
            <v>PASTA</v>
          </cell>
          <cell r="M2826" t="str">
            <v>2F0404</v>
          </cell>
          <cell r="N2826" t="str">
            <v>PASTA WB</v>
          </cell>
        </row>
        <row r="2827">
          <cell r="C2827" t="str">
            <v>100004066</v>
          </cell>
          <cell r="D2827" t="str">
            <v>PC 8R3-1L</v>
          </cell>
          <cell r="E2827" t="str">
            <v>ZFGD</v>
          </cell>
          <cell r="F2827" t="str">
            <v>PC</v>
          </cell>
          <cell r="G2827" t="str">
            <v>2</v>
          </cell>
          <cell r="H2827" t="str">
            <v>RETAIL</v>
          </cell>
          <cell r="I2827" t="str">
            <v>2F</v>
          </cell>
          <cell r="J2827" t="str">
            <v>TINTING</v>
          </cell>
          <cell r="K2827" t="str">
            <v>2F04</v>
          </cell>
          <cell r="L2827" t="str">
            <v>PASTA</v>
          </cell>
          <cell r="M2827" t="str">
            <v>2F0404</v>
          </cell>
          <cell r="N2827" t="str">
            <v>PASTA WB</v>
          </cell>
        </row>
        <row r="2828">
          <cell r="C2828" t="str">
            <v>100004067</v>
          </cell>
          <cell r="D2828" t="str">
            <v>PC 8Y1-1L</v>
          </cell>
          <cell r="E2828" t="str">
            <v>ZFGD</v>
          </cell>
          <cell r="F2828" t="str">
            <v>PC</v>
          </cell>
          <cell r="G2828" t="str">
            <v>2</v>
          </cell>
          <cell r="H2828" t="str">
            <v>RETAIL</v>
          </cell>
          <cell r="I2828" t="str">
            <v>2F</v>
          </cell>
          <cell r="J2828" t="str">
            <v>TINTING</v>
          </cell>
          <cell r="K2828" t="str">
            <v>2F04</v>
          </cell>
          <cell r="L2828" t="str">
            <v>PASTA</v>
          </cell>
          <cell r="M2828" t="str">
            <v>2F0404</v>
          </cell>
          <cell r="N2828" t="str">
            <v>PASTA WB</v>
          </cell>
        </row>
        <row r="2829">
          <cell r="C2829" t="str">
            <v>100004068</v>
          </cell>
          <cell r="D2829" t="str">
            <v>PC 8Y2-1L</v>
          </cell>
          <cell r="E2829" t="str">
            <v>ZFGD</v>
          </cell>
          <cell r="F2829" t="str">
            <v>PC</v>
          </cell>
          <cell r="G2829" t="str">
            <v>2</v>
          </cell>
          <cell r="H2829" t="str">
            <v>RETAIL</v>
          </cell>
          <cell r="I2829" t="str">
            <v>2F</v>
          </cell>
          <cell r="J2829" t="str">
            <v>TINTING</v>
          </cell>
          <cell r="K2829" t="str">
            <v>2F04</v>
          </cell>
          <cell r="L2829" t="str">
            <v>PASTA</v>
          </cell>
          <cell r="M2829" t="str">
            <v>2F0404</v>
          </cell>
          <cell r="N2829" t="str">
            <v>PASTA WB</v>
          </cell>
        </row>
        <row r="2830">
          <cell r="C2830" t="str">
            <v>100004069</v>
          </cell>
          <cell r="D2830" t="str">
            <v>PC 8Y3-1L</v>
          </cell>
          <cell r="E2830" t="str">
            <v>ZFGD</v>
          </cell>
          <cell r="F2830" t="str">
            <v>PC</v>
          </cell>
          <cell r="G2830" t="str">
            <v>2</v>
          </cell>
          <cell r="H2830" t="str">
            <v>RETAIL</v>
          </cell>
          <cell r="I2830" t="str">
            <v>2F</v>
          </cell>
          <cell r="J2830" t="str">
            <v>TINTING</v>
          </cell>
          <cell r="K2830" t="str">
            <v>2F04</v>
          </cell>
          <cell r="L2830" t="str">
            <v>PASTA</v>
          </cell>
          <cell r="M2830" t="str">
            <v>2F0404</v>
          </cell>
          <cell r="N2830" t="str">
            <v>PASTA WB</v>
          </cell>
        </row>
        <row r="2831">
          <cell r="C2831" t="str">
            <v>100004070</v>
          </cell>
          <cell r="D2831" t="str">
            <v>PC 8Y4-1L</v>
          </cell>
          <cell r="E2831" t="str">
            <v>ZFGD</v>
          </cell>
          <cell r="F2831" t="str">
            <v>PC</v>
          </cell>
          <cell r="G2831" t="str">
            <v>2</v>
          </cell>
          <cell r="H2831" t="str">
            <v>RETAIL</v>
          </cell>
          <cell r="I2831" t="str">
            <v>2F</v>
          </cell>
          <cell r="J2831" t="str">
            <v>TINTING</v>
          </cell>
          <cell r="K2831" t="str">
            <v>2F04</v>
          </cell>
          <cell r="L2831" t="str">
            <v>PASTA</v>
          </cell>
          <cell r="M2831" t="str">
            <v>2F0404</v>
          </cell>
          <cell r="N2831" t="str">
            <v>PASTA WB</v>
          </cell>
        </row>
        <row r="2832">
          <cell r="C2832" t="str">
            <v>100004071</v>
          </cell>
          <cell r="D2832" t="str">
            <v>PC 8W1-1L</v>
          </cell>
          <cell r="E2832" t="str">
            <v>ZFGD</v>
          </cell>
          <cell r="F2832" t="str">
            <v>PC</v>
          </cell>
          <cell r="G2832" t="str">
            <v>2</v>
          </cell>
          <cell r="H2832" t="str">
            <v>RETAIL</v>
          </cell>
          <cell r="I2832" t="str">
            <v>2F</v>
          </cell>
          <cell r="J2832" t="str">
            <v>TINTING</v>
          </cell>
          <cell r="K2832" t="str">
            <v>2F04</v>
          </cell>
          <cell r="L2832" t="str">
            <v>PASTA</v>
          </cell>
          <cell r="M2832" t="str">
            <v>2F0404</v>
          </cell>
          <cell r="N2832" t="str">
            <v>PASTA WB</v>
          </cell>
        </row>
        <row r="2833">
          <cell r="C2833" t="str">
            <v>100004072</v>
          </cell>
          <cell r="D2833" t="str">
            <v>PC 8V1-1L</v>
          </cell>
          <cell r="E2833" t="str">
            <v>ZFGD</v>
          </cell>
          <cell r="F2833" t="str">
            <v>PC</v>
          </cell>
          <cell r="G2833" t="str">
            <v>2</v>
          </cell>
          <cell r="H2833" t="str">
            <v>RETAIL</v>
          </cell>
          <cell r="I2833" t="str">
            <v>2F</v>
          </cell>
          <cell r="J2833" t="str">
            <v>TINTING</v>
          </cell>
          <cell r="K2833" t="str">
            <v>2F04</v>
          </cell>
          <cell r="L2833" t="str">
            <v>PASTA</v>
          </cell>
          <cell r="M2833" t="str">
            <v>2F0404</v>
          </cell>
          <cell r="N2833" t="str">
            <v>PASTA WB</v>
          </cell>
        </row>
        <row r="2834">
          <cell r="C2834" t="str">
            <v>100004073</v>
          </cell>
          <cell r="D2834" t="str">
            <v>PC 8B1-1L</v>
          </cell>
          <cell r="E2834" t="str">
            <v>ZFGD</v>
          </cell>
          <cell r="F2834" t="str">
            <v>PC</v>
          </cell>
          <cell r="G2834" t="str">
            <v>2</v>
          </cell>
          <cell r="H2834" t="str">
            <v>RETAIL</v>
          </cell>
          <cell r="I2834" t="str">
            <v>2F</v>
          </cell>
          <cell r="J2834" t="str">
            <v>TINTING</v>
          </cell>
          <cell r="K2834" t="str">
            <v>2F04</v>
          </cell>
          <cell r="L2834" t="str">
            <v>PASTA</v>
          </cell>
          <cell r="M2834" t="str">
            <v>2F0404</v>
          </cell>
          <cell r="N2834" t="str">
            <v>PASTA WB</v>
          </cell>
        </row>
        <row r="2835">
          <cell r="C2835" t="str">
            <v>100004074</v>
          </cell>
          <cell r="D2835" t="str">
            <v>PC 8B2-1L</v>
          </cell>
          <cell r="E2835" t="str">
            <v>ZFGD</v>
          </cell>
          <cell r="F2835" t="str">
            <v>PC</v>
          </cell>
          <cell r="G2835" t="str">
            <v>2</v>
          </cell>
          <cell r="H2835" t="str">
            <v>RETAIL</v>
          </cell>
          <cell r="I2835" t="str">
            <v>2F</v>
          </cell>
          <cell r="J2835" t="str">
            <v>TINTING</v>
          </cell>
          <cell r="K2835" t="str">
            <v>2F04</v>
          </cell>
          <cell r="L2835" t="str">
            <v>PASTA</v>
          </cell>
          <cell r="M2835" t="str">
            <v>2F0404</v>
          </cell>
          <cell r="N2835" t="str">
            <v>PASTA WB</v>
          </cell>
        </row>
        <row r="2836">
          <cell r="C2836" t="str">
            <v>100004075</v>
          </cell>
          <cell r="D2836" t="str">
            <v>PC 8G1-1L</v>
          </cell>
          <cell r="E2836" t="str">
            <v>ZFGD</v>
          </cell>
          <cell r="F2836" t="str">
            <v>PC</v>
          </cell>
          <cell r="G2836" t="str">
            <v>2</v>
          </cell>
          <cell r="H2836" t="str">
            <v>RETAIL</v>
          </cell>
          <cell r="I2836" t="str">
            <v>2F</v>
          </cell>
          <cell r="J2836" t="str">
            <v>TINTING</v>
          </cell>
          <cell r="K2836" t="str">
            <v>2F04</v>
          </cell>
          <cell r="L2836" t="str">
            <v>PASTA</v>
          </cell>
          <cell r="M2836" t="str">
            <v>2F0404</v>
          </cell>
          <cell r="N2836" t="str">
            <v>PASTA WB</v>
          </cell>
        </row>
        <row r="2837">
          <cell r="C2837" t="str">
            <v>100004076</v>
          </cell>
          <cell r="D2837" t="str">
            <v>WBP-62102 MF RAL 5008 KC VN-20KP</v>
          </cell>
          <cell r="E2837" t="str">
            <v>ZFGD</v>
          </cell>
          <cell r="F2837" t="str">
            <v>PC</v>
          </cell>
          <cell r="G2837" t="str">
            <v>1</v>
          </cell>
          <cell r="H2837" t="str">
            <v>INDUSTRY</v>
          </cell>
          <cell r="I2837" t="str">
            <v>11</v>
          </cell>
          <cell r="J2837" t="str">
            <v>WOOD COATINGS</v>
          </cell>
          <cell r="K2837" t="str">
            <v>1119</v>
          </cell>
          <cell r="L2837" t="str">
            <v>WATERBASED</v>
          </cell>
          <cell r="M2837" t="str">
            <v>111902</v>
          </cell>
          <cell r="N2837" t="str">
            <v>WATERBASED SYSTEM INTERIOR</v>
          </cell>
        </row>
        <row r="2838">
          <cell r="C2838" t="str">
            <v>100004077</v>
          </cell>
          <cell r="D2838" t="str">
            <v>WBC-62202 HS RAL 5008 10 KC VN-20KP</v>
          </cell>
          <cell r="E2838" t="str">
            <v>ZFGD</v>
          </cell>
          <cell r="F2838" t="str">
            <v>PC</v>
          </cell>
          <cell r="G2838" t="str">
            <v>1</v>
          </cell>
          <cell r="H2838" t="str">
            <v>INDUSTRY</v>
          </cell>
          <cell r="I2838" t="str">
            <v>11</v>
          </cell>
          <cell r="J2838" t="str">
            <v>WOOD COATINGS</v>
          </cell>
          <cell r="K2838" t="str">
            <v>1119</v>
          </cell>
          <cell r="L2838" t="str">
            <v>WATERBASED</v>
          </cell>
          <cell r="M2838" t="str">
            <v>111902</v>
          </cell>
          <cell r="N2838" t="str">
            <v>WATERBASED SYSTEM INTERIOR</v>
          </cell>
        </row>
        <row r="2839">
          <cell r="C2839" t="str">
            <v>100004078</v>
          </cell>
          <cell r="D2839" t="str">
            <v>82-1040 UE AF URT FLAT A-16KP</v>
          </cell>
          <cell r="E2839" t="str">
            <v>ZFGD</v>
          </cell>
          <cell r="F2839" t="str">
            <v>PC</v>
          </cell>
          <cell r="G2839" t="str">
            <v>1</v>
          </cell>
          <cell r="H2839" t="str">
            <v>INDUSTRY</v>
          </cell>
          <cell r="I2839" t="str">
            <v>11</v>
          </cell>
          <cell r="J2839" t="str">
            <v>WOOD COATINGS</v>
          </cell>
          <cell r="K2839" t="str">
            <v>1103</v>
          </cell>
          <cell r="L2839" t="str">
            <v>PU</v>
          </cell>
          <cell r="M2839" t="str">
            <v>110312</v>
          </cell>
          <cell r="N2839" t="str">
            <v>UNION TOP COAT</v>
          </cell>
        </row>
        <row r="2840">
          <cell r="C2840" t="str">
            <v>100004079</v>
          </cell>
          <cell r="D2840" t="str">
            <v>PUP-52135 DGE GREY AT VN-20KP</v>
          </cell>
          <cell r="E2840" t="str">
            <v>ZFGD</v>
          </cell>
          <cell r="F2840" t="str">
            <v>PC</v>
          </cell>
          <cell r="G2840" t="str">
            <v>1</v>
          </cell>
          <cell r="H2840" t="str">
            <v>INDUSTRY</v>
          </cell>
          <cell r="I2840" t="str">
            <v>11</v>
          </cell>
          <cell r="J2840" t="str">
            <v>WOOD COATINGS</v>
          </cell>
          <cell r="K2840" t="str">
            <v>1103</v>
          </cell>
          <cell r="L2840" t="str">
            <v>PU</v>
          </cell>
          <cell r="M2840" t="str">
            <v>110322</v>
          </cell>
          <cell r="N2840" t="str">
            <v>PU PRIMER</v>
          </cell>
        </row>
        <row r="2841">
          <cell r="C2841" t="str">
            <v>100004080</v>
          </cell>
          <cell r="D2841" t="str">
            <v>PUC-54205 AC DGE GREY 10 AT VN-20KP</v>
          </cell>
          <cell r="E2841" t="str">
            <v>ZFGD</v>
          </cell>
          <cell r="F2841" t="str">
            <v>PC</v>
          </cell>
          <cell r="G2841" t="str">
            <v>1</v>
          </cell>
          <cell r="H2841" t="str">
            <v>INDUSTRY</v>
          </cell>
          <cell r="I2841" t="str">
            <v>11</v>
          </cell>
          <cell r="J2841" t="str">
            <v>WOOD COATINGS</v>
          </cell>
          <cell r="K2841" t="str">
            <v>1103</v>
          </cell>
          <cell r="L2841" t="str">
            <v>PU</v>
          </cell>
          <cell r="M2841" t="str">
            <v>110319</v>
          </cell>
          <cell r="N2841" t="str">
            <v>PU COLOR</v>
          </cell>
        </row>
        <row r="2842">
          <cell r="C2842" t="str">
            <v>100004081</v>
          </cell>
          <cell r="D2842" t="str">
            <v>WBP-62102 MF RAL 7016 KC VN-20KP</v>
          </cell>
          <cell r="E2842" t="str">
            <v>ZFGD</v>
          </cell>
          <cell r="F2842" t="str">
            <v>PC</v>
          </cell>
          <cell r="G2842" t="str">
            <v>1</v>
          </cell>
          <cell r="H2842" t="str">
            <v>INDUSTRY</v>
          </cell>
          <cell r="I2842" t="str">
            <v>11</v>
          </cell>
          <cell r="J2842" t="str">
            <v>WOOD COATINGS</v>
          </cell>
          <cell r="K2842" t="str">
            <v>1119</v>
          </cell>
          <cell r="L2842" t="str">
            <v>WATERBASED</v>
          </cell>
          <cell r="M2842" t="str">
            <v>111902</v>
          </cell>
          <cell r="N2842" t="str">
            <v>WATERBASED SYSTEM INTERIOR</v>
          </cell>
        </row>
        <row r="2843">
          <cell r="C2843" t="str">
            <v>100004082</v>
          </cell>
          <cell r="D2843" t="str">
            <v>WBC-62202 HS RAL 7016 10 KC VN-20KP</v>
          </cell>
          <cell r="E2843" t="str">
            <v>ZFGD</v>
          </cell>
          <cell r="F2843" t="str">
            <v>PC</v>
          </cell>
          <cell r="G2843" t="str">
            <v>1</v>
          </cell>
          <cell r="H2843" t="str">
            <v>INDUSTRY</v>
          </cell>
          <cell r="I2843" t="str">
            <v>11</v>
          </cell>
          <cell r="J2843" t="str">
            <v>WOOD COATINGS</v>
          </cell>
          <cell r="K2843" t="str">
            <v>1119</v>
          </cell>
          <cell r="L2843" t="str">
            <v>WATERBASED</v>
          </cell>
          <cell r="M2843" t="str">
            <v>111902</v>
          </cell>
          <cell r="N2843" t="str">
            <v>WATERBASED SYSTEM INTERIOR</v>
          </cell>
        </row>
        <row r="2844">
          <cell r="C2844" t="str">
            <v>100004083</v>
          </cell>
          <cell r="D2844" t="str">
            <v>WBC-62202 HS RAL 7047 10 KC VN-20KP</v>
          </cell>
          <cell r="E2844" t="str">
            <v>ZFGD</v>
          </cell>
          <cell r="F2844" t="str">
            <v>PC</v>
          </cell>
          <cell r="G2844" t="str">
            <v>1</v>
          </cell>
          <cell r="H2844" t="str">
            <v>INDUSTRY</v>
          </cell>
          <cell r="I2844" t="str">
            <v>11</v>
          </cell>
          <cell r="J2844" t="str">
            <v>WOOD COATINGS</v>
          </cell>
          <cell r="K2844" t="str">
            <v>1119</v>
          </cell>
          <cell r="L2844" t="str">
            <v>WATERBASED</v>
          </cell>
          <cell r="M2844" t="str">
            <v>111902</v>
          </cell>
          <cell r="N2844" t="str">
            <v>WATERBASED SYSTEM INTERIOR</v>
          </cell>
        </row>
        <row r="2845">
          <cell r="C2845" t="str">
            <v>100004084</v>
          </cell>
          <cell r="D2845" t="str">
            <v>WBC-62202 HS RAL 9002 10 KC VN-20KP</v>
          </cell>
          <cell r="E2845" t="str">
            <v>ZFGD</v>
          </cell>
          <cell r="F2845" t="str">
            <v>PC</v>
          </cell>
          <cell r="G2845" t="str">
            <v>1</v>
          </cell>
          <cell r="H2845" t="str">
            <v>INDUSTRY</v>
          </cell>
          <cell r="I2845" t="str">
            <v>11</v>
          </cell>
          <cell r="J2845" t="str">
            <v>WOOD COATINGS</v>
          </cell>
          <cell r="K2845" t="str">
            <v>1119</v>
          </cell>
          <cell r="L2845" t="str">
            <v>WATERBASED</v>
          </cell>
          <cell r="M2845" t="str">
            <v>111902</v>
          </cell>
          <cell r="N2845" t="str">
            <v>WATERBASED SYSTEM INTERIOR</v>
          </cell>
        </row>
        <row r="2846">
          <cell r="C2846" t="str">
            <v>100004085</v>
          </cell>
          <cell r="D2846" t="str">
            <v>WBC-62202 HS RAL 7044 10 KC VN-20KP</v>
          </cell>
          <cell r="E2846" t="str">
            <v>ZFGD</v>
          </cell>
          <cell r="F2846" t="str">
            <v>PC</v>
          </cell>
          <cell r="G2846" t="str">
            <v>1</v>
          </cell>
          <cell r="H2846" t="str">
            <v>INDUSTRY</v>
          </cell>
          <cell r="I2846" t="str">
            <v>11</v>
          </cell>
          <cell r="J2846" t="str">
            <v>WOOD COATINGS</v>
          </cell>
          <cell r="K2846" t="str">
            <v>1119</v>
          </cell>
          <cell r="L2846" t="str">
            <v>WATERBASED</v>
          </cell>
          <cell r="M2846" t="str">
            <v>111902</v>
          </cell>
          <cell r="N2846" t="str">
            <v>WATERBASED SYSTEM INTERIOR</v>
          </cell>
        </row>
        <row r="2847">
          <cell r="C2847" t="str">
            <v>100004086</v>
          </cell>
          <cell r="D2847" t="str">
            <v>WBC-62202 HS RAL 9003 10 KC VN-20KP</v>
          </cell>
          <cell r="E2847" t="str">
            <v>ZFGD</v>
          </cell>
          <cell r="F2847" t="str">
            <v>PC</v>
          </cell>
          <cell r="G2847" t="str">
            <v>1</v>
          </cell>
          <cell r="H2847" t="str">
            <v>INDUSTRY</v>
          </cell>
          <cell r="I2847" t="str">
            <v>11</v>
          </cell>
          <cell r="J2847" t="str">
            <v>WOOD COATINGS</v>
          </cell>
          <cell r="K2847" t="str">
            <v>1119</v>
          </cell>
          <cell r="L2847" t="str">
            <v>WATERBASED</v>
          </cell>
          <cell r="M2847" t="str">
            <v>111902</v>
          </cell>
          <cell r="N2847" t="str">
            <v>WATERBASED SYSTEM INTERIOR</v>
          </cell>
        </row>
        <row r="2848">
          <cell r="C2848" t="str">
            <v>100004087</v>
          </cell>
          <cell r="D2848" t="str">
            <v>P-01 CLEAR DOF 0014 VN-18LP</v>
          </cell>
          <cell r="E2848" t="str">
            <v>ZFGD</v>
          </cell>
          <cell r="F2848" t="str">
            <v>PC</v>
          </cell>
          <cell r="G2848" t="str">
            <v>2</v>
          </cell>
          <cell r="H2848" t="str">
            <v>RETAIL</v>
          </cell>
          <cell r="I2848" t="str">
            <v>24</v>
          </cell>
          <cell r="J2848" t="str">
            <v>WF3</v>
          </cell>
          <cell r="K2848" t="str">
            <v>2413</v>
          </cell>
          <cell r="L2848" t="str">
            <v>ULTRAN</v>
          </cell>
          <cell r="M2848" t="str">
            <v>241307</v>
          </cell>
          <cell r="N2848" t="str">
            <v>ULTRAN POLITUR P-01</v>
          </cell>
        </row>
        <row r="2849">
          <cell r="C2849" t="str">
            <v>100004088</v>
          </cell>
          <cell r="D2849" t="str">
            <v>PUP-54106 AC EX PAT1 DB VN-20KP</v>
          </cell>
          <cell r="E2849" t="str">
            <v>ZFGD</v>
          </cell>
          <cell r="F2849" t="str">
            <v>PC</v>
          </cell>
          <cell r="G2849" t="str">
            <v>1</v>
          </cell>
          <cell r="H2849" t="str">
            <v>INDUSTRY</v>
          </cell>
          <cell r="I2849" t="str">
            <v>11</v>
          </cell>
          <cell r="J2849" t="str">
            <v>WOOD COATINGS</v>
          </cell>
          <cell r="K2849" t="str">
            <v>1103</v>
          </cell>
          <cell r="L2849" t="str">
            <v>PU</v>
          </cell>
          <cell r="M2849" t="str">
            <v>110322</v>
          </cell>
          <cell r="N2849" t="str">
            <v>PU PRIMER</v>
          </cell>
        </row>
        <row r="2850">
          <cell r="C2850" t="str">
            <v>100004089</v>
          </cell>
          <cell r="D2850" t="str">
            <v>SST-11100 113 FS VN-20LJ</v>
          </cell>
          <cell r="E2850" t="str">
            <v>ZFGD</v>
          </cell>
          <cell r="F2850" t="str">
            <v>PC</v>
          </cell>
          <cell r="G2850" t="str">
            <v>1</v>
          </cell>
          <cell r="H2850" t="str">
            <v>INDUSTRY</v>
          </cell>
          <cell r="I2850" t="str">
            <v>11</v>
          </cell>
          <cell r="J2850" t="str">
            <v>WOOD COATINGS</v>
          </cell>
          <cell r="K2850" t="str">
            <v>1109</v>
          </cell>
          <cell r="L2850" t="str">
            <v>STAIN &amp; GLAZE INTERIOR</v>
          </cell>
          <cell r="M2850" t="str">
            <v>110903</v>
          </cell>
          <cell r="N2850" t="str">
            <v>STAIN INTERIOR</v>
          </cell>
        </row>
        <row r="2851">
          <cell r="C2851" t="str">
            <v>100004090</v>
          </cell>
          <cell r="D2851" t="str">
            <v>WBC-62202 HS RAL 5014 10 KC VN-20KP</v>
          </cell>
          <cell r="E2851" t="str">
            <v>ZFGD</v>
          </cell>
          <cell r="F2851" t="str">
            <v>PC</v>
          </cell>
          <cell r="G2851" t="str">
            <v>1</v>
          </cell>
          <cell r="H2851" t="str">
            <v>INDUSTRY</v>
          </cell>
          <cell r="I2851" t="str">
            <v>11</v>
          </cell>
          <cell r="J2851" t="str">
            <v>WOOD COATINGS</v>
          </cell>
          <cell r="K2851" t="str">
            <v>1119</v>
          </cell>
          <cell r="L2851" t="str">
            <v>WATERBASED</v>
          </cell>
          <cell r="M2851" t="str">
            <v>111902</v>
          </cell>
          <cell r="N2851" t="str">
            <v>WATERBASED SYSTEM INTERIOR</v>
          </cell>
        </row>
        <row r="2852">
          <cell r="C2852" t="str">
            <v>100004091</v>
          </cell>
          <cell r="D2852" t="str">
            <v>NBC-9345-813-AK-20KP</v>
          </cell>
          <cell r="E2852" t="str">
            <v>ZFGD</v>
          </cell>
          <cell r="F2852" t="str">
            <v>PC</v>
          </cell>
          <cell r="G2852" t="str">
            <v>1</v>
          </cell>
          <cell r="H2852" t="str">
            <v>INDUSTRY</v>
          </cell>
          <cell r="I2852" t="str">
            <v>11</v>
          </cell>
          <cell r="J2852" t="str">
            <v>WOOD COATINGS</v>
          </cell>
          <cell r="K2852" t="str">
            <v>1104</v>
          </cell>
          <cell r="L2852" t="str">
            <v>NC</v>
          </cell>
          <cell r="M2852" t="str">
            <v>110403</v>
          </cell>
          <cell r="N2852" t="str">
            <v>ASOF : NC BASE COAT</v>
          </cell>
        </row>
        <row r="2853">
          <cell r="C2853" t="str">
            <v>100004092</v>
          </cell>
          <cell r="D2853" t="str">
            <v>NBC-9345-813-AK-200KB</v>
          </cell>
          <cell r="E2853" t="str">
            <v>ZFGD</v>
          </cell>
          <cell r="F2853" t="str">
            <v>PC</v>
          </cell>
          <cell r="G2853" t="str">
            <v>1</v>
          </cell>
          <cell r="H2853" t="str">
            <v>INDUSTRY</v>
          </cell>
          <cell r="I2853" t="str">
            <v>11</v>
          </cell>
          <cell r="J2853" t="str">
            <v>WOOD COATINGS</v>
          </cell>
          <cell r="K2853" t="str">
            <v>1104</v>
          </cell>
          <cell r="L2853" t="str">
            <v>NC</v>
          </cell>
          <cell r="M2853" t="str">
            <v>110403</v>
          </cell>
          <cell r="N2853" t="str">
            <v>ASOF : NC BASE COAT</v>
          </cell>
        </row>
        <row r="2854">
          <cell r="C2854" t="str">
            <v>100004093</v>
          </cell>
          <cell r="D2854" t="str">
            <v>MPUL-13700 90 VN-16KP</v>
          </cell>
          <cell r="E2854" t="str">
            <v>ZFGD</v>
          </cell>
          <cell r="F2854" t="str">
            <v>PC</v>
          </cell>
          <cell r="G2854" t="str">
            <v>1</v>
          </cell>
          <cell r="H2854" t="str">
            <v>INDUSTRY</v>
          </cell>
          <cell r="I2854" t="str">
            <v>16</v>
          </cell>
          <cell r="J2854" t="str">
            <v>METAL COATINGS</v>
          </cell>
          <cell r="K2854" t="str">
            <v>1601</v>
          </cell>
          <cell r="L2854" t="str">
            <v>METAL COATINGS</v>
          </cell>
          <cell r="M2854" t="str">
            <v>160101</v>
          </cell>
          <cell r="N2854" t="str">
            <v>METAL COATINGS</v>
          </cell>
        </row>
        <row r="2855">
          <cell r="C2855" t="str">
            <v>100004094</v>
          </cell>
          <cell r="D2855" t="str">
            <v>DC-12207 WHITE 20 VN-20KP</v>
          </cell>
          <cell r="E2855" t="str">
            <v>ZFGD</v>
          </cell>
          <cell r="F2855" t="str">
            <v>PC</v>
          </cell>
          <cell r="G2855" t="str">
            <v>1</v>
          </cell>
          <cell r="H2855" t="str">
            <v>INDUSTRY</v>
          </cell>
          <cell r="I2855" t="str">
            <v>11</v>
          </cell>
          <cell r="J2855" t="str">
            <v>WOOD COATINGS</v>
          </cell>
          <cell r="K2855" t="str">
            <v>1109</v>
          </cell>
          <cell r="L2855" t="str">
            <v>STAIN &amp; GLAZE INTERIOR</v>
          </cell>
          <cell r="M2855" t="str">
            <v>110903</v>
          </cell>
          <cell r="N2855" t="str">
            <v>STAIN INTERIOR</v>
          </cell>
        </row>
        <row r="2856">
          <cell r="C2856" t="str">
            <v>100004095</v>
          </cell>
          <cell r="D2856" t="str">
            <v>SYNTHETIC 3000 RX WHITE DOF 9101DVN-200L</v>
          </cell>
          <cell r="E2856" t="str">
            <v>ZFGD</v>
          </cell>
          <cell r="F2856" t="str">
            <v>PC</v>
          </cell>
          <cell r="G2856" t="str">
            <v>2</v>
          </cell>
          <cell r="H2856" t="str">
            <v>RETAIL</v>
          </cell>
          <cell r="I2856" t="str">
            <v>29</v>
          </cell>
          <cell r="J2856" t="str">
            <v>MPC</v>
          </cell>
          <cell r="K2856" t="str">
            <v>2902</v>
          </cell>
          <cell r="L2856" t="str">
            <v>SYNTHETIC ENAMEL SB</v>
          </cell>
          <cell r="M2856" t="str">
            <v>290203</v>
          </cell>
          <cell r="N2856" t="str">
            <v>SYNTHETIC 3000</v>
          </cell>
        </row>
        <row r="2857">
          <cell r="C2857" t="str">
            <v>100004096</v>
          </cell>
          <cell r="D2857" t="str">
            <v>SYNTHETIC 3000 RX BLACK DOF 9406DVN-200L</v>
          </cell>
          <cell r="E2857" t="str">
            <v>ZFGD</v>
          </cell>
          <cell r="F2857" t="str">
            <v>PC</v>
          </cell>
          <cell r="G2857" t="str">
            <v>2</v>
          </cell>
          <cell r="H2857" t="str">
            <v>RETAIL</v>
          </cell>
          <cell r="I2857" t="str">
            <v>29</v>
          </cell>
          <cell r="J2857" t="str">
            <v>MPC</v>
          </cell>
          <cell r="K2857" t="str">
            <v>2902</v>
          </cell>
          <cell r="L2857" t="str">
            <v>SYNTHETIC ENAMEL SB</v>
          </cell>
          <cell r="M2857" t="str">
            <v>290203</v>
          </cell>
          <cell r="N2857" t="str">
            <v>SYNTHETIC 3000</v>
          </cell>
        </row>
        <row r="2858">
          <cell r="C2858" t="str">
            <v>100004097</v>
          </cell>
          <cell r="D2858" t="str">
            <v>WBL-61201 CLEAR 05 VN-20KP</v>
          </cell>
          <cell r="E2858" t="str">
            <v>ZFGD</v>
          </cell>
          <cell r="F2858" t="str">
            <v>PC</v>
          </cell>
          <cell r="G2858" t="str">
            <v>1</v>
          </cell>
          <cell r="H2858" t="str">
            <v>INDUSTRY</v>
          </cell>
          <cell r="I2858" t="str">
            <v>11</v>
          </cell>
          <cell r="J2858" t="str">
            <v>WOOD COATINGS</v>
          </cell>
          <cell r="K2858" t="str">
            <v>1119</v>
          </cell>
          <cell r="L2858" t="str">
            <v>WATERBASED</v>
          </cell>
          <cell r="M2858" t="str">
            <v>111902</v>
          </cell>
          <cell r="N2858" t="str">
            <v>WATERBASED SYSTEM INTERIOR</v>
          </cell>
        </row>
        <row r="2859">
          <cell r="C2859" t="str">
            <v>100004098</v>
          </cell>
          <cell r="D2859" t="str">
            <v>WBP-62102 MF RAL 5014 KC VN-20KP</v>
          </cell>
          <cell r="E2859" t="str">
            <v>ZFGD</v>
          </cell>
          <cell r="F2859" t="str">
            <v>PC</v>
          </cell>
          <cell r="G2859" t="str">
            <v>1</v>
          </cell>
          <cell r="H2859" t="str">
            <v>INDUSTRY</v>
          </cell>
          <cell r="I2859" t="str">
            <v>11</v>
          </cell>
          <cell r="J2859" t="str">
            <v>WOOD COATINGS</v>
          </cell>
          <cell r="K2859" t="str">
            <v>1119</v>
          </cell>
          <cell r="L2859" t="str">
            <v>WATERBASED</v>
          </cell>
          <cell r="M2859" t="str">
            <v>111902</v>
          </cell>
          <cell r="N2859" t="str">
            <v>WATERBASED SYSTEM INTERIOR</v>
          </cell>
        </row>
        <row r="2860">
          <cell r="C2860" t="str">
            <v>100004099</v>
          </cell>
          <cell r="D2860" t="str">
            <v>WBP-62102 MF RAL 7044 KC VN-20KP</v>
          </cell>
          <cell r="E2860" t="str">
            <v>ZFGD</v>
          </cell>
          <cell r="F2860" t="str">
            <v>PC</v>
          </cell>
          <cell r="G2860" t="str">
            <v>1</v>
          </cell>
          <cell r="H2860" t="str">
            <v>INDUSTRY</v>
          </cell>
          <cell r="I2860" t="str">
            <v>11</v>
          </cell>
          <cell r="J2860" t="str">
            <v>WOOD COATINGS</v>
          </cell>
          <cell r="K2860" t="str">
            <v>1119</v>
          </cell>
          <cell r="L2860" t="str">
            <v>WATERBASED</v>
          </cell>
          <cell r="M2860" t="str">
            <v>111902</v>
          </cell>
          <cell r="N2860" t="str">
            <v>WATERBASED SYSTEM INTERIOR</v>
          </cell>
        </row>
        <row r="2861">
          <cell r="C2861" t="str">
            <v>100004100</v>
          </cell>
          <cell r="D2861" t="str">
            <v>WBP-62102 MF RAL 7047 KC VN-20KP</v>
          </cell>
          <cell r="E2861" t="str">
            <v>ZFGD</v>
          </cell>
          <cell r="F2861" t="str">
            <v>PC</v>
          </cell>
          <cell r="G2861" t="str">
            <v>1</v>
          </cell>
          <cell r="H2861" t="str">
            <v>INDUSTRY</v>
          </cell>
          <cell r="I2861" t="str">
            <v>11</v>
          </cell>
          <cell r="J2861" t="str">
            <v>WOOD COATINGS</v>
          </cell>
          <cell r="K2861" t="str">
            <v>1119</v>
          </cell>
          <cell r="L2861" t="str">
            <v>WATERBASED</v>
          </cell>
          <cell r="M2861" t="str">
            <v>111902</v>
          </cell>
          <cell r="N2861" t="str">
            <v>WATERBASED SYSTEM INTERIOR</v>
          </cell>
        </row>
        <row r="2862">
          <cell r="C2862" t="str">
            <v>100004101</v>
          </cell>
          <cell r="D2862" t="str">
            <v>SST-11100 ML 02 F1 VN-20LJ</v>
          </cell>
          <cell r="E2862" t="str">
            <v>ZFGD</v>
          </cell>
          <cell r="F2862" t="str">
            <v>PC</v>
          </cell>
          <cell r="G2862" t="str">
            <v>1</v>
          </cell>
          <cell r="H2862" t="str">
            <v>INDUSTRY</v>
          </cell>
          <cell r="I2862" t="str">
            <v>11</v>
          </cell>
          <cell r="J2862" t="str">
            <v>WOOD COATINGS</v>
          </cell>
          <cell r="K2862" t="str">
            <v>1109</v>
          </cell>
          <cell r="L2862" t="str">
            <v>STAIN &amp; GLAZE INTERIOR</v>
          </cell>
          <cell r="M2862" t="str">
            <v>110903</v>
          </cell>
          <cell r="N2862" t="str">
            <v>STAIN INTERIOR</v>
          </cell>
        </row>
        <row r="2863">
          <cell r="C2863" t="str">
            <v>100004102</v>
          </cell>
          <cell r="D2863" t="str">
            <v>PG-13900 ML 02 F1 VN-20KP</v>
          </cell>
          <cell r="E2863" t="str">
            <v>ZFGD</v>
          </cell>
          <cell r="F2863" t="str">
            <v>PC</v>
          </cell>
          <cell r="G2863" t="str">
            <v>1</v>
          </cell>
          <cell r="H2863" t="str">
            <v>INDUSTRY</v>
          </cell>
          <cell r="I2863" t="str">
            <v>11</v>
          </cell>
          <cell r="J2863" t="str">
            <v>WOOD COATINGS</v>
          </cell>
          <cell r="K2863" t="str">
            <v>1109</v>
          </cell>
          <cell r="L2863" t="str">
            <v>STAIN &amp; GLAZE INTERIOR</v>
          </cell>
          <cell r="M2863" t="str">
            <v>110901</v>
          </cell>
          <cell r="N2863" t="str">
            <v>ASOF : STAIN &amp; GLAZE</v>
          </cell>
        </row>
        <row r="2864">
          <cell r="C2864" t="str">
            <v>100004103</v>
          </cell>
          <cell r="D2864" t="str">
            <v>SST-11100 CLR ML 02 F1 VN-20LJ</v>
          </cell>
          <cell r="E2864" t="str">
            <v>ZFGD</v>
          </cell>
          <cell r="F2864" t="str">
            <v>PC</v>
          </cell>
          <cell r="G2864" t="str">
            <v>1</v>
          </cell>
          <cell r="H2864" t="str">
            <v>INDUSTRY</v>
          </cell>
          <cell r="I2864" t="str">
            <v>11</v>
          </cell>
          <cell r="J2864" t="str">
            <v>WOOD COATINGS</v>
          </cell>
          <cell r="K2864" t="str">
            <v>1109</v>
          </cell>
          <cell r="L2864" t="str">
            <v>STAIN &amp; GLAZE INTERIOR</v>
          </cell>
          <cell r="M2864" t="str">
            <v>110903</v>
          </cell>
          <cell r="N2864" t="str">
            <v>STAIN INTERIOR</v>
          </cell>
        </row>
        <row r="2865">
          <cell r="C2865" t="str">
            <v>100004104</v>
          </cell>
          <cell r="D2865" t="str">
            <v>WBL-61201 CLEAR 50 VN-20KP</v>
          </cell>
          <cell r="E2865" t="str">
            <v>ZFGD</v>
          </cell>
          <cell r="F2865" t="str">
            <v>PC</v>
          </cell>
          <cell r="G2865" t="str">
            <v>1</v>
          </cell>
          <cell r="H2865" t="str">
            <v>INDUSTRY</v>
          </cell>
          <cell r="I2865" t="str">
            <v>11</v>
          </cell>
          <cell r="J2865" t="str">
            <v>WOOD COATINGS</v>
          </cell>
          <cell r="K2865" t="str">
            <v>1119</v>
          </cell>
          <cell r="L2865" t="str">
            <v>WATERBASED</v>
          </cell>
          <cell r="M2865" t="str">
            <v>111902</v>
          </cell>
          <cell r="N2865" t="str">
            <v>WATERBASED SYSTEM INTERIOR</v>
          </cell>
        </row>
        <row r="2866">
          <cell r="C2866" t="str">
            <v>100004105</v>
          </cell>
          <cell r="D2866" t="str">
            <v>SST-11100 WWD01 A GE VN-20LJ</v>
          </cell>
          <cell r="E2866" t="str">
            <v>ZFGD</v>
          </cell>
          <cell r="F2866" t="str">
            <v>PC</v>
          </cell>
          <cell r="G2866" t="str">
            <v>1</v>
          </cell>
          <cell r="H2866" t="str">
            <v>INDUSTRY</v>
          </cell>
          <cell r="I2866" t="str">
            <v>11</v>
          </cell>
          <cell r="J2866" t="str">
            <v>WOOD COATINGS</v>
          </cell>
          <cell r="K2866" t="str">
            <v>1109</v>
          </cell>
          <cell r="L2866" t="str">
            <v>STAIN &amp; GLAZE INTERIOR</v>
          </cell>
          <cell r="M2866" t="str">
            <v>110903</v>
          </cell>
          <cell r="N2866" t="str">
            <v>STAIN INTERIOR</v>
          </cell>
        </row>
        <row r="2867">
          <cell r="C2867" t="str">
            <v>100004106</v>
          </cell>
          <cell r="D2867" t="str">
            <v>SST-11100 WWD01 B GE VN-20LJ</v>
          </cell>
          <cell r="E2867" t="str">
            <v>ZFGD</v>
          </cell>
          <cell r="F2867" t="str">
            <v>PC</v>
          </cell>
          <cell r="G2867" t="str">
            <v>1</v>
          </cell>
          <cell r="H2867" t="str">
            <v>INDUSTRY</v>
          </cell>
          <cell r="I2867" t="str">
            <v>11</v>
          </cell>
          <cell r="J2867" t="str">
            <v>WOOD COATINGS</v>
          </cell>
          <cell r="K2867" t="str">
            <v>1109</v>
          </cell>
          <cell r="L2867" t="str">
            <v>STAIN &amp; GLAZE INTERIOR</v>
          </cell>
          <cell r="M2867" t="str">
            <v>110903</v>
          </cell>
          <cell r="N2867" t="str">
            <v>STAIN INTERIOR</v>
          </cell>
        </row>
        <row r="2868">
          <cell r="C2868" t="str">
            <v>100004107</v>
          </cell>
          <cell r="D2868" t="str">
            <v>UVS-20601 CLEAR BASE VN-20KP</v>
          </cell>
          <cell r="E2868" t="str">
            <v>ZFGD</v>
          </cell>
          <cell r="F2868" t="str">
            <v>PC</v>
          </cell>
          <cell r="G2868" t="str">
            <v>1</v>
          </cell>
          <cell r="H2868" t="str">
            <v>INDUSTRY</v>
          </cell>
          <cell r="I2868" t="str">
            <v>11</v>
          </cell>
          <cell r="J2868" t="str">
            <v>WOOD COATINGS</v>
          </cell>
          <cell r="K2868" t="str">
            <v>1106</v>
          </cell>
          <cell r="L2868" t="str">
            <v>UV</v>
          </cell>
          <cell r="M2868" t="str">
            <v>110606</v>
          </cell>
          <cell r="N2868" t="str">
            <v>UV STAIN</v>
          </cell>
        </row>
        <row r="2869">
          <cell r="C2869" t="str">
            <v>100004108</v>
          </cell>
          <cell r="D2869" t="str">
            <v>TOL-76301 N ML10 F1 VN-20LJ</v>
          </cell>
          <cell r="E2869" t="str">
            <v>ZFGD</v>
          </cell>
          <cell r="F2869" t="str">
            <v>PC</v>
          </cell>
          <cell r="G2869" t="str">
            <v>1</v>
          </cell>
          <cell r="H2869" t="str">
            <v>INDUSTRY</v>
          </cell>
          <cell r="I2869" t="str">
            <v>11</v>
          </cell>
          <cell r="J2869" t="str">
            <v>WOOD COATINGS</v>
          </cell>
          <cell r="K2869" t="str">
            <v>1101</v>
          </cell>
          <cell r="L2869" t="str">
            <v>ALKYD OIL</v>
          </cell>
          <cell r="M2869" t="str">
            <v>110101</v>
          </cell>
          <cell r="N2869" t="str">
            <v>ALKYD &amp; OIL SYSTEM</v>
          </cell>
        </row>
        <row r="2870">
          <cell r="C2870" t="str">
            <v>100004109</v>
          </cell>
          <cell r="D2870" t="str">
            <v>NCSS-1112-AC-AK-20LP</v>
          </cell>
          <cell r="E2870" t="str">
            <v>ZFGD</v>
          </cell>
          <cell r="F2870" t="str">
            <v>PC</v>
          </cell>
          <cell r="G2870" t="str">
            <v>1</v>
          </cell>
          <cell r="H2870" t="str">
            <v>INDUSTRY</v>
          </cell>
          <cell r="I2870" t="str">
            <v>11</v>
          </cell>
          <cell r="J2870" t="str">
            <v>WOOD COATINGS</v>
          </cell>
          <cell r="K2870" t="str">
            <v>1104</v>
          </cell>
          <cell r="L2870" t="str">
            <v>NC</v>
          </cell>
          <cell r="M2870" t="str">
            <v>110405</v>
          </cell>
          <cell r="N2870" t="str">
            <v>NC SYSTEM</v>
          </cell>
        </row>
        <row r="2871">
          <cell r="C2871" t="str">
            <v>100004110</v>
          </cell>
          <cell r="D2871" t="str">
            <v>NCL-1113-AC80AK-20LP</v>
          </cell>
          <cell r="E2871" t="str">
            <v>ZFGD</v>
          </cell>
          <cell r="F2871" t="str">
            <v>PC</v>
          </cell>
          <cell r="G2871" t="str">
            <v>1</v>
          </cell>
          <cell r="H2871" t="str">
            <v>INDUSTRY</v>
          </cell>
          <cell r="I2871" t="str">
            <v>11</v>
          </cell>
          <cell r="J2871" t="str">
            <v>WOOD COATINGS</v>
          </cell>
          <cell r="K2871" t="str">
            <v>1104</v>
          </cell>
          <cell r="L2871" t="str">
            <v>NC</v>
          </cell>
          <cell r="M2871" t="str">
            <v>110405</v>
          </cell>
          <cell r="N2871" t="str">
            <v>NC SYSTEM</v>
          </cell>
        </row>
        <row r="2872">
          <cell r="C2872" t="str">
            <v>100004111</v>
          </cell>
          <cell r="D2872" t="str">
            <v>PUP-52141 BK AK VN-20KP</v>
          </cell>
          <cell r="E2872" t="str">
            <v>ZFGD</v>
          </cell>
          <cell r="F2872" t="str">
            <v>PC</v>
          </cell>
          <cell r="G2872" t="str">
            <v>1</v>
          </cell>
          <cell r="H2872" t="str">
            <v>INDUSTRY</v>
          </cell>
          <cell r="I2872" t="str">
            <v>11</v>
          </cell>
          <cell r="J2872" t="str">
            <v>WOOD COATINGS</v>
          </cell>
          <cell r="K2872" t="str">
            <v>1103</v>
          </cell>
          <cell r="L2872" t="str">
            <v>PU</v>
          </cell>
          <cell r="M2872" t="str">
            <v>110322</v>
          </cell>
          <cell r="N2872" t="str">
            <v>PU PRIMER</v>
          </cell>
        </row>
        <row r="2873">
          <cell r="C2873" t="str">
            <v>100004112</v>
          </cell>
          <cell r="D2873" t="str">
            <v>64-56 MICRO FILLER KD VN-20KP</v>
          </cell>
          <cell r="E2873" t="str">
            <v>ZFGD</v>
          </cell>
          <cell r="F2873" t="str">
            <v>PC</v>
          </cell>
          <cell r="G2873" t="str">
            <v>1</v>
          </cell>
          <cell r="H2873" t="str">
            <v>INDUSTRY</v>
          </cell>
          <cell r="I2873" t="str">
            <v>11</v>
          </cell>
          <cell r="J2873" t="str">
            <v>WOOD COATINGS</v>
          </cell>
          <cell r="K2873" t="str">
            <v>1103</v>
          </cell>
          <cell r="L2873" t="str">
            <v>PU</v>
          </cell>
          <cell r="M2873" t="str">
            <v>110305</v>
          </cell>
          <cell r="N2873" t="str">
            <v>UNION FILLER</v>
          </cell>
        </row>
        <row r="2874">
          <cell r="C2874" t="str">
            <v>100004114</v>
          </cell>
          <cell r="D2874" t="str">
            <v>SST-11100 WD 01 B GE VN-20LJ</v>
          </cell>
          <cell r="E2874" t="str">
            <v>ZFGD</v>
          </cell>
          <cell r="F2874" t="str">
            <v>PC</v>
          </cell>
          <cell r="G2874" t="str">
            <v>1</v>
          </cell>
          <cell r="H2874" t="str">
            <v>INDUSTRY</v>
          </cell>
          <cell r="I2874" t="str">
            <v>11</v>
          </cell>
          <cell r="J2874" t="str">
            <v>WOOD COATINGS</v>
          </cell>
          <cell r="K2874" t="str">
            <v>1109</v>
          </cell>
          <cell r="L2874" t="str">
            <v>STAIN &amp; GLAZE INTERIOR</v>
          </cell>
          <cell r="M2874" t="str">
            <v>110903</v>
          </cell>
          <cell r="N2874" t="str">
            <v>STAIN INTERIOR</v>
          </cell>
        </row>
        <row r="2875">
          <cell r="C2875" t="str">
            <v>100004115</v>
          </cell>
          <cell r="D2875" t="str">
            <v>WBP-62102 MF RAL 5003 KC VN-20KP</v>
          </cell>
          <cell r="E2875" t="str">
            <v>ZFGD</v>
          </cell>
          <cell r="F2875" t="str">
            <v>PC</v>
          </cell>
          <cell r="G2875" t="str">
            <v>1</v>
          </cell>
          <cell r="H2875" t="str">
            <v>INDUSTRY</v>
          </cell>
          <cell r="I2875" t="str">
            <v>11</v>
          </cell>
          <cell r="J2875" t="str">
            <v>WOOD COATINGS</v>
          </cell>
          <cell r="K2875" t="str">
            <v>1119</v>
          </cell>
          <cell r="L2875" t="str">
            <v>WATERBASED</v>
          </cell>
          <cell r="M2875" t="str">
            <v>111902</v>
          </cell>
          <cell r="N2875" t="str">
            <v>WATERBASED SYSTEM INTERIOR</v>
          </cell>
        </row>
        <row r="2876">
          <cell r="C2876" t="str">
            <v>100004116</v>
          </cell>
          <cell r="D2876" t="str">
            <v>WBP-62102 MF RAL 7032 KC VN-20KP</v>
          </cell>
          <cell r="E2876" t="str">
            <v>ZFGD</v>
          </cell>
          <cell r="F2876" t="str">
            <v>PC</v>
          </cell>
          <cell r="G2876" t="str">
            <v>1</v>
          </cell>
          <cell r="H2876" t="str">
            <v>INDUSTRY</v>
          </cell>
          <cell r="I2876" t="str">
            <v>11</v>
          </cell>
          <cell r="J2876" t="str">
            <v>WOOD COATINGS</v>
          </cell>
          <cell r="K2876" t="str">
            <v>1119</v>
          </cell>
          <cell r="L2876" t="str">
            <v>WATERBASED</v>
          </cell>
          <cell r="M2876" t="str">
            <v>111902</v>
          </cell>
          <cell r="N2876" t="str">
            <v>WATERBASED SYSTEM INTERIOR</v>
          </cell>
        </row>
        <row r="2877">
          <cell r="C2877" t="str">
            <v>100004117</v>
          </cell>
          <cell r="D2877" t="str">
            <v>WBC-62202 HS RAL 5003 10 KC VN-20KP</v>
          </cell>
          <cell r="E2877" t="str">
            <v>ZFGD</v>
          </cell>
          <cell r="F2877" t="str">
            <v>PC</v>
          </cell>
          <cell r="G2877" t="str">
            <v>1</v>
          </cell>
          <cell r="H2877" t="str">
            <v>INDUSTRY</v>
          </cell>
          <cell r="I2877" t="str">
            <v>11</v>
          </cell>
          <cell r="J2877" t="str">
            <v>WOOD COATINGS</v>
          </cell>
          <cell r="K2877" t="str">
            <v>1119</v>
          </cell>
          <cell r="L2877" t="str">
            <v>WATERBASED</v>
          </cell>
          <cell r="M2877" t="str">
            <v>111902</v>
          </cell>
          <cell r="N2877" t="str">
            <v>WATERBASED SYSTEM INTERIOR</v>
          </cell>
        </row>
        <row r="2878">
          <cell r="C2878" t="str">
            <v>100004118</v>
          </cell>
          <cell r="D2878" t="str">
            <v>WBC-62202 HS RAL 7032 10 KC VN-20KP</v>
          </cell>
          <cell r="E2878" t="str">
            <v>ZFGD</v>
          </cell>
          <cell r="F2878" t="str">
            <v>PC</v>
          </cell>
          <cell r="G2878" t="str">
            <v>1</v>
          </cell>
          <cell r="H2878" t="str">
            <v>INDUSTRY</v>
          </cell>
          <cell r="I2878" t="str">
            <v>11</v>
          </cell>
          <cell r="J2878" t="str">
            <v>WOOD COATINGS</v>
          </cell>
          <cell r="K2878" t="str">
            <v>1119</v>
          </cell>
          <cell r="L2878" t="str">
            <v>WATERBASED</v>
          </cell>
          <cell r="M2878" t="str">
            <v>111902</v>
          </cell>
          <cell r="N2878" t="str">
            <v>WATERBASED SYSTEM INTERIOR</v>
          </cell>
        </row>
        <row r="2879">
          <cell r="C2879" t="str">
            <v>100004119</v>
          </cell>
          <cell r="D2879" t="str">
            <v>UVS-20202 CLEAR BASE VN-5K</v>
          </cell>
          <cell r="E2879" t="str">
            <v>ZFGD</v>
          </cell>
          <cell r="F2879" t="str">
            <v>PC</v>
          </cell>
          <cell r="G2879" t="str">
            <v>1</v>
          </cell>
          <cell r="H2879" t="str">
            <v>INDUSTRY</v>
          </cell>
          <cell r="I2879" t="str">
            <v>11</v>
          </cell>
          <cell r="J2879" t="str">
            <v>WOOD COATINGS</v>
          </cell>
          <cell r="K2879" t="str">
            <v>1106</v>
          </cell>
          <cell r="L2879" t="str">
            <v>UV</v>
          </cell>
          <cell r="M2879" t="str">
            <v>110606</v>
          </cell>
          <cell r="N2879" t="str">
            <v>UV STAIN</v>
          </cell>
        </row>
        <row r="2880">
          <cell r="C2880" t="str">
            <v>100004120</v>
          </cell>
          <cell r="D2880" t="str">
            <v>PCL-31300 WHITE PASTE SC-5K</v>
          </cell>
          <cell r="E2880" t="str">
            <v>ZFGD</v>
          </cell>
          <cell r="F2880" t="str">
            <v>PC</v>
          </cell>
          <cell r="G2880" t="str">
            <v>1</v>
          </cell>
          <cell r="H2880" t="str">
            <v>INDUSTRY</v>
          </cell>
          <cell r="I2880" t="str">
            <v>11</v>
          </cell>
          <cell r="J2880" t="str">
            <v>WOOD COATINGS</v>
          </cell>
          <cell r="K2880" t="str">
            <v>1118</v>
          </cell>
          <cell r="L2880" t="str">
            <v>COMPLEMENTARY</v>
          </cell>
          <cell r="M2880" t="str">
            <v>111807</v>
          </cell>
          <cell r="N2880" t="str">
            <v>PASTA</v>
          </cell>
        </row>
        <row r="2881">
          <cell r="C2881" t="str">
            <v>100004121</v>
          </cell>
          <cell r="D2881" t="str">
            <v>PCL-31300 OXIDE RED PASTE SC-5K</v>
          </cell>
          <cell r="E2881" t="str">
            <v>ZFGD</v>
          </cell>
          <cell r="F2881" t="str">
            <v>PC</v>
          </cell>
          <cell r="G2881" t="str">
            <v>1</v>
          </cell>
          <cell r="H2881" t="str">
            <v>INDUSTRY</v>
          </cell>
          <cell r="I2881" t="str">
            <v>11</v>
          </cell>
          <cell r="J2881" t="str">
            <v>WOOD COATINGS</v>
          </cell>
          <cell r="K2881" t="str">
            <v>1118</v>
          </cell>
          <cell r="L2881" t="str">
            <v>COMPLEMENTARY</v>
          </cell>
          <cell r="M2881" t="str">
            <v>111807</v>
          </cell>
          <cell r="N2881" t="str">
            <v>PASTA</v>
          </cell>
        </row>
        <row r="2882">
          <cell r="C2882" t="str">
            <v>100004122</v>
          </cell>
          <cell r="D2882" t="str">
            <v>PCL-31300 BLUE OG PASTE SC-5K</v>
          </cell>
          <cell r="E2882" t="str">
            <v>ZFGD</v>
          </cell>
          <cell r="F2882" t="str">
            <v>PC</v>
          </cell>
          <cell r="G2882" t="str">
            <v>1</v>
          </cell>
          <cell r="H2882" t="str">
            <v>INDUSTRY</v>
          </cell>
          <cell r="I2882" t="str">
            <v>11</v>
          </cell>
          <cell r="J2882" t="str">
            <v>WOOD COATINGS</v>
          </cell>
          <cell r="K2882" t="str">
            <v>1118</v>
          </cell>
          <cell r="L2882" t="str">
            <v>COMPLEMENTARY</v>
          </cell>
          <cell r="M2882" t="str">
            <v>111807</v>
          </cell>
          <cell r="N2882" t="str">
            <v>PASTA</v>
          </cell>
        </row>
        <row r="2883">
          <cell r="C2883" t="str">
            <v>100004123</v>
          </cell>
          <cell r="D2883" t="str">
            <v>PCL-31300 BLACK PASTE SC-5K</v>
          </cell>
          <cell r="E2883" t="str">
            <v>ZFGD</v>
          </cell>
          <cell r="F2883" t="str">
            <v>PC</v>
          </cell>
          <cell r="G2883" t="str">
            <v>1</v>
          </cell>
          <cell r="H2883" t="str">
            <v>INDUSTRY</v>
          </cell>
          <cell r="I2883" t="str">
            <v>11</v>
          </cell>
          <cell r="J2883" t="str">
            <v>WOOD COATINGS</v>
          </cell>
          <cell r="K2883" t="str">
            <v>1118</v>
          </cell>
          <cell r="L2883" t="str">
            <v>COMPLEMENTARY</v>
          </cell>
          <cell r="M2883" t="str">
            <v>111807</v>
          </cell>
          <cell r="N2883" t="str">
            <v>PASTA</v>
          </cell>
        </row>
        <row r="2884">
          <cell r="C2884" t="str">
            <v>100004124</v>
          </cell>
          <cell r="D2884" t="str">
            <v>PCL-31300 VIOLET PASTE SC-5K</v>
          </cell>
          <cell r="E2884" t="str">
            <v>ZFGD</v>
          </cell>
          <cell r="F2884" t="str">
            <v>PC</v>
          </cell>
          <cell r="G2884" t="str">
            <v>1</v>
          </cell>
          <cell r="H2884" t="str">
            <v>INDUSTRY</v>
          </cell>
          <cell r="I2884" t="str">
            <v>11</v>
          </cell>
          <cell r="J2884" t="str">
            <v>WOOD COATINGS</v>
          </cell>
          <cell r="K2884" t="str">
            <v>1118</v>
          </cell>
          <cell r="L2884" t="str">
            <v>COMPLEMENTARY</v>
          </cell>
          <cell r="M2884" t="str">
            <v>111807</v>
          </cell>
          <cell r="N2884" t="str">
            <v>PASTA</v>
          </cell>
        </row>
        <row r="2885">
          <cell r="C2885" t="str">
            <v>100004125</v>
          </cell>
          <cell r="D2885" t="str">
            <v>PCL-31300 YELLOW OKER PASTE SC-5K</v>
          </cell>
          <cell r="E2885" t="str">
            <v>ZFGD</v>
          </cell>
          <cell r="F2885" t="str">
            <v>PC</v>
          </cell>
          <cell r="G2885" t="str">
            <v>1</v>
          </cell>
          <cell r="H2885" t="str">
            <v>INDUSTRY</v>
          </cell>
          <cell r="I2885" t="str">
            <v>11</v>
          </cell>
          <cell r="J2885" t="str">
            <v>WOOD COATINGS</v>
          </cell>
          <cell r="K2885" t="str">
            <v>1118</v>
          </cell>
          <cell r="L2885" t="str">
            <v>COMPLEMENTARY</v>
          </cell>
          <cell r="M2885" t="str">
            <v>111807</v>
          </cell>
          <cell r="N2885" t="str">
            <v>PASTA</v>
          </cell>
        </row>
        <row r="2886">
          <cell r="C2886" t="str">
            <v>100004126</v>
          </cell>
          <cell r="D2886" t="str">
            <v>NBC-9345-302-AK-20KP</v>
          </cell>
          <cell r="E2886" t="str">
            <v>ZFGD</v>
          </cell>
          <cell r="F2886" t="str">
            <v>PC</v>
          </cell>
          <cell r="G2886" t="str">
            <v>1</v>
          </cell>
          <cell r="H2886" t="str">
            <v>INDUSTRY</v>
          </cell>
          <cell r="I2886" t="str">
            <v>11</v>
          </cell>
          <cell r="J2886" t="str">
            <v>WOOD COATINGS</v>
          </cell>
          <cell r="K2886" t="str">
            <v>1104</v>
          </cell>
          <cell r="L2886" t="str">
            <v>NC</v>
          </cell>
          <cell r="M2886" t="str">
            <v>110403</v>
          </cell>
          <cell r="N2886" t="str">
            <v>ASOF : NC BASE COAT</v>
          </cell>
        </row>
        <row r="2887">
          <cell r="C2887" t="str">
            <v>100004127</v>
          </cell>
          <cell r="D2887" t="str">
            <v>NBC-9345-302-AK-200KB</v>
          </cell>
          <cell r="E2887" t="str">
            <v>ZFGD</v>
          </cell>
          <cell r="F2887" t="str">
            <v>PC</v>
          </cell>
          <cell r="G2887" t="str">
            <v>1</v>
          </cell>
          <cell r="H2887" t="str">
            <v>INDUSTRY</v>
          </cell>
          <cell r="I2887" t="str">
            <v>11</v>
          </cell>
          <cell r="J2887" t="str">
            <v>WOOD COATINGS</v>
          </cell>
          <cell r="K2887" t="str">
            <v>1104</v>
          </cell>
          <cell r="L2887" t="str">
            <v>NC</v>
          </cell>
          <cell r="M2887" t="str">
            <v>110403</v>
          </cell>
          <cell r="N2887" t="str">
            <v>ASOF : NC BASE COAT</v>
          </cell>
        </row>
        <row r="2888">
          <cell r="C2888" t="str">
            <v>100004128</v>
          </cell>
          <cell r="D2888" t="str">
            <v>64-56 MICRO FILLER BROWN 1 MK VN-20KP</v>
          </cell>
          <cell r="E2888" t="str">
            <v>ZFGD</v>
          </cell>
          <cell r="F2888" t="str">
            <v>PC</v>
          </cell>
          <cell r="G2888" t="str">
            <v>1</v>
          </cell>
          <cell r="H2888" t="str">
            <v>INDUSTRY</v>
          </cell>
          <cell r="I2888" t="str">
            <v>11</v>
          </cell>
          <cell r="J2888" t="str">
            <v>WOOD COATINGS</v>
          </cell>
          <cell r="K2888" t="str">
            <v>1103</v>
          </cell>
          <cell r="L2888" t="str">
            <v>PU</v>
          </cell>
          <cell r="M2888" t="str">
            <v>110305</v>
          </cell>
          <cell r="N2888" t="str">
            <v>UNION FILLER</v>
          </cell>
        </row>
        <row r="2889">
          <cell r="C2889" t="str">
            <v>100004129</v>
          </cell>
          <cell r="D2889" t="str">
            <v>PCL-31300 BROWN 1 MK VN-20LJ</v>
          </cell>
          <cell r="E2889" t="str">
            <v>ZFGD</v>
          </cell>
          <cell r="F2889" t="str">
            <v>PC</v>
          </cell>
          <cell r="G2889" t="str">
            <v>1</v>
          </cell>
          <cell r="H2889" t="str">
            <v>INDUSTRY</v>
          </cell>
          <cell r="I2889" t="str">
            <v>11</v>
          </cell>
          <cell r="J2889" t="str">
            <v>WOOD COATINGS</v>
          </cell>
          <cell r="K2889" t="str">
            <v>1118</v>
          </cell>
          <cell r="L2889" t="str">
            <v>COMPLEMENTARY</v>
          </cell>
          <cell r="M2889" t="str">
            <v>111807</v>
          </cell>
          <cell r="N2889" t="str">
            <v>PASTA</v>
          </cell>
        </row>
        <row r="2890">
          <cell r="C2890" t="str">
            <v>100004130</v>
          </cell>
          <cell r="D2890" t="str">
            <v>64-56 MICRO FILLER BROWN 2 MK VN-20KP</v>
          </cell>
          <cell r="E2890" t="str">
            <v>ZFGD</v>
          </cell>
          <cell r="F2890" t="str">
            <v>PC</v>
          </cell>
          <cell r="G2890" t="str">
            <v>1</v>
          </cell>
          <cell r="H2890" t="str">
            <v>INDUSTRY</v>
          </cell>
          <cell r="I2890" t="str">
            <v>11</v>
          </cell>
          <cell r="J2890" t="str">
            <v>WOOD COATINGS</v>
          </cell>
          <cell r="K2890" t="str">
            <v>1103</v>
          </cell>
          <cell r="L2890" t="str">
            <v>PU</v>
          </cell>
          <cell r="M2890" t="str">
            <v>110305</v>
          </cell>
          <cell r="N2890" t="str">
            <v>UNION FILLER</v>
          </cell>
        </row>
        <row r="2891">
          <cell r="C2891" t="str">
            <v>100004131</v>
          </cell>
          <cell r="D2891" t="str">
            <v>PCL-31300 BROWN 2 MK VN-20LJ</v>
          </cell>
          <cell r="E2891" t="str">
            <v>ZFGD</v>
          </cell>
          <cell r="F2891" t="str">
            <v>PC</v>
          </cell>
          <cell r="G2891" t="str">
            <v>1</v>
          </cell>
          <cell r="H2891" t="str">
            <v>INDUSTRY</v>
          </cell>
          <cell r="I2891" t="str">
            <v>11</v>
          </cell>
          <cell r="J2891" t="str">
            <v>WOOD COATINGS</v>
          </cell>
          <cell r="K2891" t="str">
            <v>1118</v>
          </cell>
          <cell r="L2891" t="str">
            <v>COMPLEMENTARY</v>
          </cell>
          <cell r="M2891" t="str">
            <v>111807</v>
          </cell>
          <cell r="N2891" t="str">
            <v>PASTA</v>
          </cell>
        </row>
        <row r="2892">
          <cell r="C2892" t="str">
            <v>100004132</v>
          </cell>
          <cell r="D2892" t="str">
            <v>SST-11100 SMOKE GREY BLACK KD MY-4K</v>
          </cell>
          <cell r="E2892" t="str">
            <v>ZFGD</v>
          </cell>
          <cell r="F2892" t="str">
            <v>PC</v>
          </cell>
          <cell r="G2892" t="str">
            <v>1</v>
          </cell>
          <cell r="H2892" t="str">
            <v>INDUSTRY</v>
          </cell>
          <cell r="I2892" t="str">
            <v>11</v>
          </cell>
          <cell r="J2892" t="str">
            <v>WOOD COATINGS</v>
          </cell>
          <cell r="K2892" t="str">
            <v>1109</v>
          </cell>
          <cell r="L2892" t="str">
            <v>STAIN &amp; GLAZE INTERIOR</v>
          </cell>
          <cell r="M2892" t="str">
            <v>110903</v>
          </cell>
          <cell r="N2892" t="str">
            <v>STAIN INTERIOR</v>
          </cell>
        </row>
        <row r="2893">
          <cell r="C2893" t="str">
            <v>100004133</v>
          </cell>
          <cell r="D2893" t="str">
            <v>PCA-31100 NATURAL KD MY-4K</v>
          </cell>
          <cell r="E2893" t="str">
            <v>ZFGD</v>
          </cell>
          <cell r="F2893" t="str">
            <v>PC</v>
          </cell>
          <cell r="G2893" t="str">
            <v>1</v>
          </cell>
          <cell r="H2893" t="str">
            <v>INDUSTRY</v>
          </cell>
          <cell r="I2893" t="str">
            <v>11</v>
          </cell>
          <cell r="J2893" t="str">
            <v>WOOD COATINGS</v>
          </cell>
          <cell r="K2893" t="str">
            <v>1118</v>
          </cell>
          <cell r="L2893" t="str">
            <v>COMPLEMENTARY</v>
          </cell>
          <cell r="M2893" t="str">
            <v>111807</v>
          </cell>
          <cell r="N2893" t="str">
            <v>PASTA</v>
          </cell>
        </row>
        <row r="2894">
          <cell r="C2894" t="str">
            <v>100004134</v>
          </cell>
          <cell r="D2894" t="str">
            <v>PCA-31100 ACCORN KD MY-4K</v>
          </cell>
          <cell r="E2894" t="str">
            <v>ZFGD</v>
          </cell>
          <cell r="F2894" t="str">
            <v>PC</v>
          </cell>
          <cell r="G2894" t="str">
            <v>1</v>
          </cell>
          <cell r="H2894" t="str">
            <v>INDUSTRY</v>
          </cell>
          <cell r="I2894" t="str">
            <v>11</v>
          </cell>
          <cell r="J2894" t="str">
            <v>WOOD COATINGS</v>
          </cell>
          <cell r="K2894" t="str">
            <v>1118</v>
          </cell>
          <cell r="L2894" t="str">
            <v>COMPLEMENTARY</v>
          </cell>
          <cell r="M2894" t="str">
            <v>111807</v>
          </cell>
          <cell r="N2894" t="str">
            <v>PASTA</v>
          </cell>
        </row>
        <row r="2895">
          <cell r="C2895" t="str">
            <v>100004135</v>
          </cell>
          <cell r="D2895" t="str">
            <v>PCA-31100 DARK GREY OAK KD MY-4K</v>
          </cell>
          <cell r="E2895" t="str">
            <v>ZFGD</v>
          </cell>
          <cell r="F2895" t="str">
            <v>PC</v>
          </cell>
          <cell r="G2895" t="str">
            <v>1</v>
          </cell>
          <cell r="H2895" t="str">
            <v>INDUSTRY</v>
          </cell>
          <cell r="I2895" t="str">
            <v>11</v>
          </cell>
          <cell r="J2895" t="str">
            <v>WOOD COATINGS</v>
          </cell>
          <cell r="K2895" t="str">
            <v>1118</v>
          </cell>
          <cell r="L2895" t="str">
            <v>COMPLEMENTARY</v>
          </cell>
          <cell r="M2895" t="str">
            <v>111807</v>
          </cell>
          <cell r="N2895" t="str">
            <v>PASTA</v>
          </cell>
        </row>
        <row r="2896">
          <cell r="C2896" t="str">
            <v>100004136</v>
          </cell>
          <cell r="D2896" t="str">
            <v>PCA-31100 MATT BLACK KD MY-4K</v>
          </cell>
          <cell r="E2896" t="str">
            <v>ZFGD</v>
          </cell>
          <cell r="F2896" t="str">
            <v>PC</v>
          </cell>
          <cell r="G2896" t="str">
            <v>1</v>
          </cell>
          <cell r="H2896" t="str">
            <v>INDUSTRY</v>
          </cell>
          <cell r="I2896" t="str">
            <v>11</v>
          </cell>
          <cell r="J2896" t="str">
            <v>WOOD COATINGS</v>
          </cell>
          <cell r="K2896" t="str">
            <v>1118</v>
          </cell>
          <cell r="L2896" t="str">
            <v>COMPLEMENTARY</v>
          </cell>
          <cell r="M2896" t="str">
            <v>111807</v>
          </cell>
          <cell r="N2896" t="str">
            <v>PASTA</v>
          </cell>
        </row>
        <row r="2897">
          <cell r="C2897" t="str">
            <v>100004137</v>
          </cell>
          <cell r="D2897" t="str">
            <v>PCA-31100 SMOKE GREY BLACK KD MY-4K</v>
          </cell>
          <cell r="E2897" t="str">
            <v>ZFGD</v>
          </cell>
          <cell r="F2897" t="str">
            <v>PC</v>
          </cell>
          <cell r="G2897" t="str">
            <v>1</v>
          </cell>
          <cell r="H2897" t="str">
            <v>INDUSTRY</v>
          </cell>
          <cell r="I2897" t="str">
            <v>11</v>
          </cell>
          <cell r="J2897" t="str">
            <v>WOOD COATINGS</v>
          </cell>
          <cell r="K2897" t="str">
            <v>1118</v>
          </cell>
          <cell r="L2897" t="str">
            <v>COMPLEMENTARY</v>
          </cell>
          <cell r="M2897" t="str">
            <v>111807</v>
          </cell>
          <cell r="N2897" t="str">
            <v>PASTA</v>
          </cell>
        </row>
        <row r="2898">
          <cell r="C2898" t="str">
            <v>100004138</v>
          </cell>
          <cell r="D2898" t="str">
            <v>SST-11100 MT04I 1 GE VN-20LJ</v>
          </cell>
          <cell r="E2898" t="str">
            <v>ZFGD</v>
          </cell>
          <cell r="F2898" t="str">
            <v>PC</v>
          </cell>
          <cell r="G2898" t="str">
            <v>1</v>
          </cell>
          <cell r="H2898" t="str">
            <v>INDUSTRY</v>
          </cell>
          <cell r="I2898" t="str">
            <v>11</v>
          </cell>
          <cell r="J2898" t="str">
            <v>WOOD COATINGS</v>
          </cell>
          <cell r="K2898" t="str">
            <v>1109</v>
          </cell>
          <cell r="L2898" t="str">
            <v>STAIN &amp; GLAZE INTERIOR</v>
          </cell>
          <cell r="M2898" t="str">
            <v>110903</v>
          </cell>
          <cell r="N2898" t="str">
            <v>STAIN INTERIOR</v>
          </cell>
        </row>
        <row r="2899">
          <cell r="C2899" t="str">
            <v>100004139</v>
          </cell>
          <cell r="D2899" t="str">
            <v>SST-11100 MT04I 2 GE VN-20LJ</v>
          </cell>
          <cell r="E2899" t="str">
            <v>ZFGD</v>
          </cell>
          <cell r="F2899" t="str">
            <v>PC</v>
          </cell>
          <cell r="G2899" t="str">
            <v>1</v>
          </cell>
          <cell r="H2899" t="str">
            <v>INDUSTRY</v>
          </cell>
          <cell r="I2899" t="str">
            <v>11</v>
          </cell>
          <cell r="J2899" t="str">
            <v>WOOD COATINGS</v>
          </cell>
          <cell r="K2899" t="str">
            <v>1109</v>
          </cell>
          <cell r="L2899" t="str">
            <v>STAIN &amp; GLAZE INTERIOR</v>
          </cell>
          <cell r="M2899" t="str">
            <v>110903</v>
          </cell>
          <cell r="N2899" t="str">
            <v>STAIN INTERIOR</v>
          </cell>
        </row>
        <row r="2900">
          <cell r="C2900" t="str">
            <v>100004140</v>
          </cell>
          <cell r="D2900" t="str">
            <v>PCL-31300 MT04I 3 GE VN-20LJ</v>
          </cell>
          <cell r="E2900" t="str">
            <v>ZFGD</v>
          </cell>
          <cell r="F2900" t="str">
            <v>PC</v>
          </cell>
          <cell r="G2900" t="str">
            <v>1</v>
          </cell>
          <cell r="H2900" t="str">
            <v>INDUSTRY</v>
          </cell>
          <cell r="I2900" t="str">
            <v>11</v>
          </cell>
          <cell r="J2900" t="str">
            <v>WOOD COATINGS</v>
          </cell>
          <cell r="K2900" t="str">
            <v>1118</v>
          </cell>
          <cell r="L2900" t="str">
            <v>COMPLEMENTARY</v>
          </cell>
          <cell r="M2900" t="str">
            <v>111807</v>
          </cell>
          <cell r="N2900" t="str">
            <v>PASTA</v>
          </cell>
        </row>
        <row r="2901">
          <cell r="C2901" t="str">
            <v>100004141</v>
          </cell>
          <cell r="D2901" t="str">
            <v>WBP-62102 MF RAL 7021 KC VN-20KP</v>
          </cell>
          <cell r="E2901" t="str">
            <v>ZFGD</v>
          </cell>
          <cell r="F2901" t="str">
            <v>PC</v>
          </cell>
          <cell r="G2901" t="str">
            <v>1</v>
          </cell>
          <cell r="H2901" t="str">
            <v>INDUSTRY</v>
          </cell>
          <cell r="I2901" t="str">
            <v>11</v>
          </cell>
          <cell r="J2901" t="str">
            <v>WOOD COATINGS</v>
          </cell>
          <cell r="K2901" t="str">
            <v>1119</v>
          </cell>
          <cell r="L2901" t="str">
            <v>WATERBASED</v>
          </cell>
          <cell r="M2901" t="str">
            <v>111902</v>
          </cell>
          <cell r="N2901" t="str">
            <v>WATERBASED SYSTEM INTERIOR</v>
          </cell>
        </row>
        <row r="2902">
          <cell r="C2902" t="str">
            <v>100004142</v>
          </cell>
          <cell r="D2902" t="str">
            <v>WBP-62102 MF RAL 7046 KC VN-20KP</v>
          </cell>
          <cell r="E2902" t="str">
            <v>ZFGD</v>
          </cell>
          <cell r="F2902" t="str">
            <v>PC</v>
          </cell>
          <cell r="G2902" t="str">
            <v>1</v>
          </cell>
          <cell r="H2902" t="str">
            <v>INDUSTRY</v>
          </cell>
          <cell r="I2902" t="str">
            <v>11</v>
          </cell>
          <cell r="J2902" t="str">
            <v>WOOD COATINGS</v>
          </cell>
          <cell r="K2902" t="str">
            <v>1119</v>
          </cell>
          <cell r="L2902" t="str">
            <v>WATERBASED</v>
          </cell>
          <cell r="M2902" t="str">
            <v>111902</v>
          </cell>
          <cell r="N2902" t="str">
            <v>WATERBASED SYSTEM INTERIOR</v>
          </cell>
        </row>
        <row r="2903">
          <cell r="C2903" t="str">
            <v>100004143</v>
          </cell>
          <cell r="D2903" t="str">
            <v>WBC-62202 HS RAL 7021 10 KC VN-20KP</v>
          </cell>
          <cell r="E2903" t="str">
            <v>ZFGD</v>
          </cell>
          <cell r="F2903" t="str">
            <v>PC</v>
          </cell>
          <cell r="G2903" t="str">
            <v>1</v>
          </cell>
          <cell r="H2903" t="str">
            <v>INDUSTRY</v>
          </cell>
          <cell r="I2903" t="str">
            <v>11</v>
          </cell>
          <cell r="J2903" t="str">
            <v>WOOD COATINGS</v>
          </cell>
          <cell r="K2903" t="str">
            <v>1119</v>
          </cell>
          <cell r="L2903" t="str">
            <v>WATERBASED</v>
          </cell>
          <cell r="M2903" t="str">
            <v>111902</v>
          </cell>
          <cell r="N2903" t="str">
            <v>WATERBASED SYSTEM INTERIOR</v>
          </cell>
        </row>
        <row r="2904">
          <cell r="C2904" t="str">
            <v>100004144</v>
          </cell>
          <cell r="D2904" t="str">
            <v>WBC-62202 HS RAL 7046 10 KC VN-20KP</v>
          </cell>
          <cell r="E2904" t="str">
            <v>ZFGD</v>
          </cell>
          <cell r="F2904" t="str">
            <v>PC</v>
          </cell>
          <cell r="G2904" t="str">
            <v>1</v>
          </cell>
          <cell r="H2904" t="str">
            <v>INDUSTRY</v>
          </cell>
          <cell r="I2904" t="str">
            <v>11</v>
          </cell>
          <cell r="J2904" t="str">
            <v>WOOD COATINGS</v>
          </cell>
          <cell r="K2904" t="str">
            <v>1119</v>
          </cell>
          <cell r="L2904" t="str">
            <v>WATERBASED</v>
          </cell>
          <cell r="M2904" t="str">
            <v>111902</v>
          </cell>
          <cell r="N2904" t="str">
            <v>WATERBASED SYSTEM INTERIOR</v>
          </cell>
        </row>
        <row r="2905">
          <cell r="C2905" t="str">
            <v>100004145</v>
          </cell>
          <cell r="D2905" t="str">
            <v>WBC-62202 HS RAL 9001 10 KC VN-20KP</v>
          </cell>
          <cell r="E2905" t="str">
            <v>ZFGD</v>
          </cell>
          <cell r="F2905" t="str">
            <v>PC</v>
          </cell>
          <cell r="G2905" t="str">
            <v>1</v>
          </cell>
          <cell r="H2905" t="str">
            <v>INDUSTRY</v>
          </cell>
          <cell r="I2905" t="str">
            <v>11</v>
          </cell>
          <cell r="J2905" t="str">
            <v>WOOD COATINGS</v>
          </cell>
          <cell r="K2905" t="str">
            <v>1119</v>
          </cell>
          <cell r="L2905" t="str">
            <v>WATERBASED</v>
          </cell>
          <cell r="M2905" t="str">
            <v>111902</v>
          </cell>
          <cell r="N2905" t="str">
            <v>WATERBASED SYSTEM INTERIOR</v>
          </cell>
        </row>
        <row r="2906">
          <cell r="C2906" t="str">
            <v>100004146</v>
          </cell>
          <cell r="D2906" t="str">
            <v>PUP-52135 GREENGRAY AT VN-20KP</v>
          </cell>
          <cell r="E2906" t="str">
            <v>ZFGD</v>
          </cell>
          <cell r="F2906" t="str">
            <v>PC</v>
          </cell>
          <cell r="G2906" t="str">
            <v>1</v>
          </cell>
          <cell r="H2906" t="str">
            <v>INDUSTRY</v>
          </cell>
          <cell r="I2906" t="str">
            <v>11</v>
          </cell>
          <cell r="J2906" t="str">
            <v>WOOD COATINGS</v>
          </cell>
          <cell r="K2906" t="str">
            <v>1103</v>
          </cell>
          <cell r="L2906" t="str">
            <v>PU</v>
          </cell>
          <cell r="M2906" t="str">
            <v>110322</v>
          </cell>
          <cell r="N2906" t="str">
            <v>PU PRIMER</v>
          </cell>
        </row>
        <row r="2907">
          <cell r="C2907" t="str">
            <v>100004147</v>
          </cell>
          <cell r="D2907" t="str">
            <v>PUC-54205 AC GREENGRAY 10 AT VN-20KP</v>
          </cell>
          <cell r="E2907" t="str">
            <v>ZFGD</v>
          </cell>
          <cell r="F2907" t="str">
            <v>PC</v>
          </cell>
          <cell r="G2907" t="str">
            <v>1</v>
          </cell>
          <cell r="H2907" t="str">
            <v>INDUSTRY</v>
          </cell>
          <cell r="I2907" t="str">
            <v>11</v>
          </cell>
          <cell r="J2907" t="str">
            <v>WOOD COATINGS</v>
          </cell>
          <cell r="K2907" t="str">
            <v>1103</v>
          </cell>
          <cell r="L2907" t="str">
            <v>PU</v>
          </cell>
          <cell r="M2907" t="str">
            <v>110319</v>
          </cell>
          <cell r="N2907" t="str">
            <v>PU COLOR</v>
          </cell>
        </row>
        <row r="2908">
          <cell r="C2908" t="str">
            <v>100004148</v>
          </cell>
          <cell r="D2908" t="str">
            <v>UVP-60105 WHITE VC VN-25KP</v>
          </cell>
          <cell r="E2908" t="str">
            <v>ZFGD</v>
          </cell>
          <cell r="F2908" t="str">
            <v>PC</v>
          </cell>
          <cell r="G2908" t="str">
            <v>1</v>
          </cell>
          <cell r="H2908" t="str">
            <v>INDUSTRY</v>
          </cell>
          <cell r="I2908" t="str">
            <v>11</v>
          </cell>
          <cell r="J2908" t="str">
            <v>WOOD COATINGS</v>
          </cell>
          <cell r="K2908" t="str">
            <v>1106</v>
          </cell>
          <cell r="L2908" t="str">
            <v>UV</v>
          </cell>
          <cell r="M2908" t="str">
            <v>110604</v>
          </cell>
          <cell r="N2908" t="str">
            <v>UV PRIMER</v>
          </cell>
        </row>
        <row r="2909">
          <cell r="C2909" t="str">
            <v>100004149</v>
          </cell>
          <cell r="D2909" t="str">
            <v>US-970 SUNNY YELLOW 8454 VN-1K</v>
          </cell>
          <cell r="E2909" t="str">
            <v>ZFGD</v>
          </cell>
          <cell r="F2909" t="str">
            <v>PC</v>
          </cell>
          <cell r="G2909" t="str">
            <v>2</v>
          </cell>
          <cell r="H2909" t="str">
            <v>RETAIL</v>
          </cell>
          <cell r="I2909" t="str">
            <v>28</v>
          </cell>
          <cell r="J2909" t="str">
            <v>CPC2</v>
          </cell>
          <cell r="K2909" t="str">
            <v>2807</v>
          </cell>
          <cell r="L2909" t="str">
            <v>ULTRASEAL</v>
          </cell>
          <cell r="M2909" t="str">
            <v>280701</v>
          </cell>
          <cell r="N2909" t="str">
            <v>ULTRASEAL</v>
          </cell>
        </row>
        <row r="2910">
          <cell r="C2910" t="str">
            <v>100004150</v>
          </cell>
          <cell r="D2910" t="str">
            <v>US-970 SUNNY YELLOW 8454 VN-4K</v>
          </cell>
          <cell r="E2910" t="str">
            <v>ZFGD</v>
          </cell>
          <cell r="F2910" t="str">
            <v>PC</v>
          </cell>
          <cell r="G2910" t="str">
            <v>2</v>
          </cell>
          <cell r="H2910" t="str">
            <v>RETAIL</v>
          </cell>
          <cell r="I2910" t="str">
            <v>28</v>
          </cell>
          <cell r="J2910" t="str">
            <v>CPC2</v>
          </cell>
          <cell r="K2910" t="str">
            <v>2807</v>
          </cell>
          <cell r="L2910" t="str">
            <v>ULTRASEAL</v>
          </cell>
          <cell r="M2910" t="str">
            <v>280701</v>
          </cell>
          <cell r="N2910" t="str">
            <v>ULTRASEAL</v>
          </cell>
        </row>
        <row r="2911">
          <cell r="C2911" t="str">
            <v>100004151</v>
          </cell>
          <cell r="D2911" t="str">
            <v>US-970 SUNNY YELLOW 8454 VN-20KP</v>
          </cell>
          <cell r="E2911" t="str">
            <v>ZFGD</v>
          </cell>
          <cell r="F2911" t="str">
            <v>PC</v>
          </cell>
          <cell r="G2911" t="str">
            <v>2</v>
          </cell>
          <cell r="H2911" t="str">
            <v>RETAIL</v>
          </cell>
          <cell r="I2911" t="str">
            <v>28</v>
          </cell>
          <cell r="J2911" t="str">
            <v>CPC2</v>
          </cell>
          <cell r="K2911" t="str">
            <v>2807</v>
          </cell>
          <cell r="L2911" t="str">
            <v>ULTRASEAL</v>
          </cell>
          <cell r="M2911" t="str">
            <v>280701</v>
          </cell>
          <cell r="N2911" t="str">
            <v>ULTRASEAL</v>
          </cell>
        </row>
        <row r="2912">
          <cell r="C2912" t="str">
            <v>100004152</v>
          </cell>
          <cell r="D2912" t="str">
            <v>MEP-12003 BLUE VN-18KP</v>
          </cell>
          <cell r="E2912" t="str">
            <v>ZFGD</v>
          </cell>
          <cell r="F2912" t="str">
            <v>PC</v>
          </cell>
          <cell r="G2912" t="str">
            <v>1</v>
          </cell>
          <cell r="H2912" t="str">
            <v>INDUSTRY</v>
          </cell>
          <cell r="I2912" t="str">
            <v>16</v>
          </cell>
          <cell r="J2912" t="str">
            <v>METAL COATINGS</v>
          </cell>
          <cell r="K2912" t="str">
            <v>1601</v>
          </cell>
          <cell r="L2912" t="str">
            <v>METAL COATINGS</v>
          </cell>
          <cell r="M2912" t="str">
            <v>160101</v>
          </cell>
          <cell r="N2912" t="str">
            <v>METAL COATINGS</v>
          </cell>
        </row>
        <row r="2913">
          <cell r="C2913" t="str">
            <v>100004153</v>
          </cell>
          <cell r="D2913" t="str">
            <v>MEP-12003 YELLOW OXIDE VN-18KP</v>
          </cell>
          <cell r="E2913" t="str">
            <v>ZFGD</v>
          </cell>
          <cell r="F2913" t="str">
            <v>PC</v>
          </cell>
          <cell r="G2913" t="str">
            <v>1</v>
          </cell>
          <cell r="H2913" t="str">
            <v>INDUSTRY</v>
          </cell>
          <cell r="I2913" t="str">
            <v>16</v>
          </cell>
          <cell r="J2913" t="str">
            <v>METAL COATINGS</v>
          </cell>
          <cell r="K2913" t="str">
            <v>1601</v>
          </cell>
          <cell r="L2913" t="str">
            <v>METAL COATINGS</v>
          </cell>
          <cell r="M2913" t="str">
            <v>160101</v>
          </cell>
          <cell r="N2913" t="str">
            <v>METAL COATINGS</v>
          </cell>
        </row>
        <row r="2914">
          <cell r="C2914" t="str">
            <v>100004154</v>
          </cell>
          <cell r="D2914" t="str">
            <v>UVP-60107 WHITE VN-25KP</v>
          </cell>
          <cell r="E2914" t="str">
            <v>ZFGD</v>
          </cell>
          <cell r="F2914" t="str">
            <v>PC</v>
          </cell>
          <cell r="G2914" t="str">
            <v>1</v>
          </cell>
          <cell r="H2914" t="str">
            <v>INDUSTRY</v>
          </cell>
          <cell r="I2914" t="str">
            <v>11</v>
          </cell>
          <cell r="J2914" t="str">
            <v>WOOD COATINGS</v>
          </cell>
          <cell r="K2914" t="str">
            <v>1106</v>
          </cell>
          <cell r="L2914" t="str">
            <v>UV</v>
          </cell>
          <cell r="M2914" t="str">
            <v>110604</v>
          </cell>
          <cell r="N2914" t="str">
            <v>UV PRIMER</v>
          </cell>
        </row>
        <row r="2915">
          <cell r="C2915" t="str">
            <v>100004155</v>
          </cell>
          <cell r="D2915" t="str">
            <v>ZC-990 WB BASE A VN-0.9K</v>
          </cell>
          <cell r="E2915" t="str">
            <v>ZFGD</v>
          </cell>
          <cell r="F2915" t="str">
            <v>PC</v>
          </cell>
          <cell r="G2915" t="str">
            <v>2</v>
          </cell>
          <cell r="H2915" t="str">
            <v>RETAIL</v>
          </cell>
          <cell r="I2915" t="str">
            <v>29</v>
          </cell>
          <cell r="J2915" t="str">
            <v>MPC</v>
          </cell>
          <cell r="K2915" t="str">
            <v>2910</v>
          </cell>
          <cell r="L2915" t="str">
            <v>ZINCOAT</v>
          </cell>
          <cell r="M2915" t="str">
            <v>291001</v>
          </cell>
          <cell r="N2915" t="str">
            <v>ZINCOAT</v>
          </cell>
        </row>
        <row r="2916">
          <cell r="C2916" t="str">
            <v>100004156</v>
          </cell>
          <cell r="D2916" t="str">
            <v>ZC-990 WB BASE B VN-0.9K</v>
          </cell>
          <cell r="E2916" t="str">
            <v>ZFGD</v>
          </cell>
          <cell r="F2916" t="str">
            <v>PC</v>
          </cell>
          <cell r="G2916" t="str">
            <v>2</v>
          </cell>
          <cell r="H2916" t="str">
            <v>RETAIL</v>
          </cell>
          <cell r="I2916" t="str">
            <v>29</v>
          </cell>
          <cell r="J2916" t="str">
            <v>MPC</v>
          </cell>
          <cell r="K2916" t="str">
            <v>2910</v>
          </cell>
          <cell r="L2916" t="str">
            <v>ZINCOAT</v>
          </cell>
          <cell r="M2916" t="str">
            <v>291001</v>
          </cell>
          <cell r="N2916" t="str">
            <v>ZINCOAT</v>
          </cell>
        </row>
        <row r="2917">
          <cell r="C2917" t="str">
            <v>100004157</v>
          </cell>
          <cell r="D2917" t="str">
            <v>ZC-990 WB BASE D VN-0.9K</v>
          </cell>
          <cell r="E2917" t="str">
            <v>ZFGD</v>
          </cell>
          <cell r="F2917" t="str">
            <v>PC</v>
          </cell>
          <cell r="G2917" t="str">
            <v>2</v>
          </cell>
          <cell r="H2917" t="str">
            <v>RETAIL</v>
          </cell>
          <cell r="I2917" t="str">
            <v>29</v>
          </cell>
          <cell r="J2917" t="str">
            <v>MPC</v>
          </cell>
          <cell r="K2917" t="str">
            <v>2910</v>
          </cell>
          <cell r="L2917" t="str">
            <v>ZINCOAT</v>
          </cell>
          <cell r="M2917" t="str">
            <v>291001</v>
          </cell>
          <cell r="N2917" t="str">
            <v>ZINCOAT</v>
          </cell>
        </row>
        <row r="2918">
          <cell r="C2918" t="str">
            <v>100004158</v>
          </cell>
          <cell r="D2918" t="str">
            <v>UVP-60105 WHITE HV VN-25KP</v>
          </cell>
          <cell r="E2918" t="str">
            <v>ZFGD</v>
          </cell>
          <cell r="F2918" t="str">
            <v>PC</v>
          </cell>
          <cell r="G2918" t="str">
            <v>1</v>
          </cell>
          <cell r="H2918" t="str">
            <v>INDUSTRY</v>
          </cell>
          <cell r="I2918" t="str">
            <v>11</v>
          </cell>
          <cell r="J2918" t="str">
            <v>WOOD COATINGS</v>
          </cell>
          <cell r="K2918" t="str">
            <v>1106</v>
          </cell>
          <cell r="L2918" t="str">
            <v>UV</v>
          </cell>
          <cell r="M2918" t="str">
            <v>110604</v>
          </cell>
          <cell r="N2918" t="str">
            <v>UV PRIMER</v>
          </cell>
        </row>
        <row r="2919">
          <cell r="C2919" t="str">
            <v>100004159</v>
          </cell>
          <cell r="D2919" t="str">
            <v>NBC-9345-818-AK-20KP</v>
          </cell>
          <cell r="E2919" t="str">
            <v>ZFGD</v>
          </cell>
          <cell r="F2919" t="str">
            <v>PC</v>
          </cell>
          <cell r="G2919" t="str">
            <v>1</v>
          </cell>
          <cell r="H2919" t="str">
            <v>INDUSTRY</v>
          </cell>
          <cell r="I2919" t="str">
            <v>11</v>
          </cell>
          <cell r="J2919" t="str">
            <v>WOOD COATINGS</v>
          </cell>
          <cell r="K2919" t="str">
            <v>1104</v>
          </cell>
          <cell r="L2919" t="str">
            <v>NC</v>
          </cell>
          <cell r="M2919" t="str">
            <v>110403</v>
          </cell>
          <cell r="N2919" t="str">
            <v>ASOF : NC BASE COAT</v>
          </cell>
        </row>
        <row r="2920">
          <cell r="C2920" t="str">
            <v>100004160</v>
          </cell>
          <cell r="D2920" t="str">
            <v>NBC-9345-818-AK-200KB</v>
          </cell>
          <cell r="E2920" t="str">
            <v>ZFGD</v>
          </cell>
          <cell r="F2920" t="str">
            <v>PC</v>
          </cell>
          <cell r="G2920" t="str">
            <v>1</v>
          </cell>
          <cell r="H2920" t="str">
            <v>INDUSTRY</v>
          </cell>
          <cell r="I2920" t="str">
            <v>11</v>
          </cell>
          <cell r="J2920" t="str">
            <v>WOOD COATINGS</v>
          </cell>
          <cell r="K2920" t="str">
            <v>1104</v>
          </cell>
          <cell r="L2920" t="str">
            <v>NC</v>
          </cell>
          <cell r="M2920" t="str">
            <v>110403</v>
          </cell>
          <cell r="N2920" t="str">
            <v>ASOF : NC BASE COAT</v>
          </cell>
        </row>
        <row r="2921">
          <cell r="C2921" t="str">
            <v>100004161</v>
          </cell>
          <cell r="D2921" t="str">
            <v>WBL-61202 BR VN-20KP</v>
          </cell>
          <cell r="E2921" t="str">
            <v>ZFGD</v>
          </cell>
          <cell r="F2921" t="str">
            <v>PC</v>
          </cell>
          <cell r="G2921" t="str">
            <v>1</v>
          </cell>
          <cell r="H2921" t="str">
            <v>INDUSTRY</v>
          </cell>
          <cell r="I2921" t="str">
            <v>11</v>
          </cell>
          <cell r="J2921" t="str">
            <v>WOOD COATINGS</v>
          </cell>
          <cell r="K2921" t="str">
            <v>1119</v>
          </cell>
          <cell r="L2921" t="str">
            <v>WATERBASED</v>
          </cell>
          <cell r="M2921" t="str">
            <v>111902</v>
          </cell>
          <cell r="N2921" t="str">
            <v>WATERBASED SYSTEM INTERIOR</v>
          </cell>
        </row>
        <row r="2922">
          <cell r="C2922" t="str">
            <v>100004162</v>
          </cell>
          <cell r="D2922" t="str">
            <v>PCL-31300 WHITE OAK STB KD VN-20LJ</v>
          </cell>
          <cell r="E2922" t="str">
            <v>ZFGD</v>
          </cell>
          <cell r="F2922" t="str">
            <v>PC</v>
          </cell>
          <cell r="G2922" t="str">
            <v>1</v>
          </cell>
          <cell r="H2922" t="str">
            <v>INDUSTRY</v>
          </cell>
          <cell r="I2922" t="str">
            <v>11</v>
          </cell>
          <cell r="J2922" t="str">
            <v>WOOD COATINGS</v>
          </cell>
          <cell r="K2922" t="str">
            <v>1118</v>
          </cell>
          <cell r="L2922" t="str">
            <v>COMPLEMENTARY</v>
          </cell>
          <cell r="M2922" t="str">
            <v>111807</v>
          </cell>
          <cell r="N2922" t="str">
            <v>PASTA</v>
          </cell>
        </row>
        <row r="2923">
          <cell r="C2923" t="str">
            <v>100004163</v>
          </cell>
          <cell r="D2923" t="str">
            <v>PCL-31300 BLACK OXIDE 59 VN-4K</v>
          </cell>
          <cell r="E2923" t="str">
            <v>ZFGD</v>
          </cell>
          <cell r="F2923" t="str">
            <v>PC</v>
          </cell>
          <cell r="G2923" t="str">
            <v>1</v>
          </cell>
          <cell r="H2923" t="str">
            <v>INDUSTRY</v>
          </cell>
          <cell r="I2923" t="str">
            <v>11</v>
          </cell>
          <cell r="J2923" t="str">
            <v>WOOD COATINGS</v>
          </cell>
          <cell r="K2923" t="str">
            <v>1118</v>
          </cell>
          <cell r="L2923" t="str">
            <v>COMPLEMENTARY</v>
          </cell>
          <cell r="M2923" t="str">
            <v>111807</v>
          </cell>
          <cell r="N2923" t="str">
            <v>PASTA</v>
          </cell>
        </row>
        <row r="2924">
          <cell r="C2924" t="str">
            <v>100004164</v>
          </cell>
          <cell r="D2924" t="str">
            <v>PUL-53306 AC EX CLEAR 05 STB VN-20LP</v>
          </cell>
          <cell r="E2924" t="str">
            <v>ZFGD</v>
          </cell>
          <cell r="F2924" t="str">
            <v>PC</v>
          </cell>
          <cell r="G2924" t="str">
            <v>1</v>
          </cell>
          <cell r="H2924" t="str">
            <v>INDUSTRY</v>
          </cell>
          <cell r="I2924" t="str">
            <v>11</v>
          </cell>
          <cell r="J2924" t="str">
            <v>WOOD COATINGS</v>
          </cell>
          <cell r="K2924" t="str">
            <v>1103</v>
          </cell>
          <cell r="L2924" t="str">
            <v>PU</v>
          </cell>
          <cell r="M2924" t="str">
            <v>110321</v>
          </cell>
          <cell r="N2924" t="str">
            <v>PU LACQUER</v>
          </cell>
        </row>
        <row r="2925">
          <cell r="C2925" t="str">
            <v>100004165</v>
          </cell>
          <cell r="D2925" t="str">
            <v>PUSS-53206 AC EX STB VN-20KP</v>
          </cell>
          <cell r="E2925" t="str">
            <v>ZFGD</v>
          </cell>
          <cell r="F2925" t="str">
            <v>PC</v>
          </cell>
          <cell r="G2925" t="str">
            <v>1</v>
          </cell>
          <cell r="H2925" t="str">
            <v>INDUSTRY</v>
          </cell>
          <cell r="I2925" t="str">
            <v>11</v>
          </cell>
          <cell r="J2925" t="str">
            <v>WOOD COATINGS</v>
          </cell>
          <cell r="K2925" t="str">
            <v>1103</v>
          </cell>
          <cell r="L2925" t="str">
            <v>PU</v>
          </cell>
          <cell r="M2925" t="str">
            <v>110323</v>
          </cell>
          <cell r="N2925" t="str">
            <v>PU SANDING SEALER</v>
          </cell>
        </row>
        <row r="2926">
          <cell r="C2926" t="str">
            <v>100004166</v>
          </cell>
          <cell r="D2926" t="str">
            <v>PUP-54106 AC EX BLACK STB KD VN-20KP</v>
          </cell>
          <cell r="E2926" t="str">
            <v>ZFGD</v>
          </cell>
          <cell r="F2926" t="str">
            <v>PC</v>
          </cell>
          <cell r="G2926" t="str">
            <v>1</v>
          </cell>
          <cell r="H2926" t="str">
            <v>INDUSTRY</v>
          </cell>
          <cell r="I2926" t="str">
            <v>11</v>
          </cell>
          <cell r="J2926" t="str">
            <v>WOOD COATINGS</v>
          </cell>
          <cell r="K2926" t="str">
            <v>1103</v>
          </cell>
          <cell r="L2926" t="str">
            <v>PU</v>
          </cell>
          <cell r="M2926" t="str">
            <v>110322</v>
          </cell>
          <cell r="N2926" t="str">
            <v>PU PRIMER</v>
          </cell>
        </row>
        <row r="2927">
          <cell r="C2927" t="str">
            <v>100004167</v>
          </cell>
          <cell r="D2927" t="str">
            <v>PUC-54206 AC EX BLACK STB 05 KD VN-20KP</v>
          </cell>
          <cell r="E2927" t="str">
            <v>ZFGD</v>
          </cell>
          <cell r="F2927" t="str">
            <v>PC</v>
          </cell>
          <cell r="G2927" t="str">
            <v>1</v>
          </cell>
          <cell r="H2927" t="str">
            <v>INDUSTRY</v>
          </cell>
          <cell r="I2927" t="str">
            <v>11</v>
          </cell>
          <cell r="J2927" t="str">
            <v>WOOD COATINGS</v>
          </cell>
          <cell r="K2927" t="str">
            <v>1103</v>
          </cell>
          <cell r="L2927" t="str">
            <v>PU</v>
          </cell>
          <cell r="M2927" t="str">
            <v>110319</v>
          </cell>
          <cell r="N2927" t="str">
            <v>PU COLOR</v>
          </cell>
        </row>
        <row r="2928">
          <cell r="C2928" t="str">
            <v>100004168</v>
          </cell>
          <cell r="D2928" t="str">
            <v>PFT-253 RAL 6032 VN-16KP</v>
          </cell>
          <cell r="E2928" t="str">
            <v>ZFGD</v>
          </cell>
          <cell r="F2928" t="str">
            <v>PC</v>
          </cell>
          <cell r="G2928" t="str">
            <v>5</v>
          </cell>
          <cell r="H2928" t="str">
            <v>PROJECT</v>
          </cell>
          <cell r="I2928" t="str">
            <v>56</v>
          </cell>
          <cell r="J2928" t="str">
            <v>CPC1</v>
          </cell>
          <cell r="K2928" t="str">
            <v>5602</v>
          </cell>
          <cell r="L2928" t="str">
            <v>POLYFLOOR</v>
          </cell>
          <cell r="M2928" t="str">
            <v>560202</v>
          </cell>
          <cell r="N2928" t="str">
            <v>POLYFLOOR EPOXY</v>
          </cell>
        </row>
        <row r="2929">
          <cell r="C2929" t="str">
            <v>100004169</v>
          </cell>
          <cell r="D2929" t="str">
            <v>PUC-54206 AC GLASS MAR 10 TL VN-20KP</v>
          </cell>
          <cell r="E2929" t="str">
            <v>ZFGD</v>
          </cell>
          <cell r="F2929" t="str">
            <v>PC</v>
          </cell>
          <cell r="G2929" t="str">
            <v>1</v>
          </cell>
          <cell r="H2929" t="str">
            <v>INDUSTRY</v>
          </cell>
          <cell r="I2929" t="str">
            <v>11</v>
          </cell>
          <cell r="J2929" t="str">
            <v>WOOD COATINGS</v>
          </cell>
          <cell r="K2929" t="str">
            <v>1103</v>
          </cell>
          <cell r="L2929" t="str">
            <v>PU</v>
          </cell>
          <cell r="M2929" t="str">
            <v>110319</v>
          </cell>
          <cell r="N2929" t="str">
            <v>PU COLOR</v>
          </cell>
        </row>
        <row r="2930">
          <cell r="C2930" t="str">
            <v>100004170</v>
          </cell>
          <cell r="D2930" t="str">
            <v>EQ-10200 GREEN WOOD C SN VN-20LJ</v>
          </cell>
          <cell r="E2930" t="str">
            <v>ZFGD</v>
          </cell>
          <cell r="F2930" t="str">
            <v>PC</v>
          </cell>
          <cell r="G2930" t="str">
            <v>1</v>
          </cell>
          <cell r="H2930" t="str">
            <v>INDUSTRY</v>
          </cell>
          <cell r="I2930" t="str">
            <v>11</v>
          </cell>
          <cell r="J2930" t="str">
            <v>WOOD COATINGS</v>
          </cell>
          <cell r="K2930" t="str">
            <v>1109</v>
          </cell>
          <cell r="L2930" t="str">
            <v>STAIN &amp; GLAZE INTERIOR</v>
          </cell>
          <cell r="M2930" t="str">
            <v>110901</v>
          </cell>
          <cell r="N2930" t="str">
            <v>ASOF : STAIN &amp; GLAZE</v>
          </cell>
        </row>
        <row r="2931">
          <cell r="C2931" t="str">
            <v>100004171</v>
          </cell>
          <cell r="D2931" t="str">
            <v>EQ-10200 RED WOOD C SN VN-20LJ</v>
          </cell>
          <cell r="E2931" t="str">
            <v>ZFGD</v>
          </cell>
          <cell r="F2931" t="str">
            <v>PC</v>
          </cell>
          <cell r="G2931" t="str">
            <v>1</v>
          </cell>
          <cell r="H2931" t="str">
            <v>INDUSTRY</v>
          </cell>
          <cell r="I2931" t="str">
            <v>11</v>
          </cell>
          <cell r="J2931" t="str">
            <v>WOOD COATINGS</v>
          </cell>
          <cell r="K2931" t="str">
            <v>1109</v>
          </cell>
          <cell r="L2931" t="str">
            <v>STAIN &amp; GLAZE INTERIOR</v>
          </cell>
          <cell r="M2931" t="str">
            <v>110901</v>
          </cell>
          <cell r="N2931" t="str">
            <v>ASOF : STAIN &amp; GLAZE</v>
          </cell>
        </row>
        <row r="2932">
          <cell r="C2932" t="str">
            <v>100004172</v>
          </cell>
          <cell r="D2932" t="str">
            <v>PST-12100 BLACK SN VN-20LJ</v>
          </cell>
          <cell r="E2932" t="str">
            <v>ZFGD</v>
          </cell>
          <cell r="F2932" t="str">
            <v>PC</v>
          </cell>
          <cell r="G2932" t="str">
            <v>1</v>
          </cell>
          <cell r="H2932" t="str">
            <v>INDUSTRY</v>
          </cell>
          <cell r="I2932" t="str">
            <v>11</v>
          </cell>
          <cell r="J2932" t="str">
            <v>WOOD COATINGS</v>
          </cell>
          <cell r="K2932" t="str">
            <v>1109</v>
          </cell>
          <cell r="L2932" t="str">
            <v>STAIN &amp; GLAZE INTERIOR</v>
          </cell>
          <cell r="M2932" t="str">
            <v>110903</v>
          </cell>
          <cell r="N2932" t="str">
            <v>STAIN INTERIOR</v>
          </cell>
        </row>
        <row r="2933">
          <cell r="C2933" t="str">
            <v>100004173</v>
          </cell>
          <cell r="D2933" t="str">
            <v>TOL-76301 P BLACK SN VN-20LJ</v>
          </cell>
          <cell r="E2933" t="str">
            <v>ZFGD</v>
          </cell>
          <cell r="F2933" t="str">
            <v>PC</v>
          </cell>
          <cell r="G2933" t="str">
            <v>1</v>
          </cell>
          <cell r="H2933" t="str">
            <v>INDUSTRY</v>
          </cell>
          <cell r="I2933" t="str">
            <v>11</v>
          </cell>
          <cell r="J2933" t="str">
            <v>WOOD COATINGS</v>
          </cell>
          <cell r="K2933" t="str">
            <v>1101</v>
          </cell>
          <cell r="L2933" t="str">
            <v>ALKYD OIL</v>
          </cell>
          <cell r="M2933" t="str">
            <v>110101</v>
          </cell>
          <cell r="N2933" t="str">
            <v>ALKYD &amp; OIL SYSTEM</v>
          </cell>
        </row>
        <row r="2934">
          <cell r="C2934" t="str">
            <v>100004174</v>
          </cell>
          <cell r="D2934" t="str">
            <v>TOL-76301 P WOOD C CLR SN VN-20LJ</v>
          </cell>
          <cell r="E2934" t="str">
            <v>ZFGD</v>
          </cell>
          <cell r="F2934" t="str">
            <v>PC</v>
          </cell>
          <cell r="G2934" t="str">
            <v>1</v>
          </cell>
          <cell r="H2934" t="str">
            <v>INDUSTRY</v>
          </cell>
          <cell r="I2934" t="str">
            <v>11</v>
          </cell>
          <cell r="J2934" t="str">
            <v>WOOD COATINGS</v>
          </cell>
          <cell r="K2934" t="str">
            <v>1101</v>
          </cell>
          <cell r="L2934" t="str">
            <v>ALKYD OIL</v>
          </cell>
          <cell r="M2934" t="str">
            <v>110101</v>
          </cell>
          <cell r="N2934" t="str">
            <v>ALKYD &amp; OIL SYSTEM</v>
          </cell>
        </row>
        <row r="2935">
          <cell r="C2935" t="str">
            <v>100004175</v>
          </cell>
          <cell r="D2935" t="str">
            <v>TOL-76301 N WOOD C SN VN-20LJ</v>
          </cell>
          <cell r="E2935" t="str">
            <v>ZFGD</v>
          </cell>
          <cell r="F2935" t="str">
            <v>PC</v>
          </cell>
          <cell r="G2935" t="str">
            <v>1</v>
          </cell>
          <cell r="H2935" t="str">
            <v>INDUSTRY</v>
          </cell>
          <cell r="I2935" t="str">
            <v>11</v>
          </cell>
          <cell r="J2935" t="str">
            <v>WOOD COATINGS</v>
          </cell>
          <cell r="K2935" t="str">
            <v>1101</v>
          </cell>
          <cell r="L2935" t="str">
            <v>ALKYD OIL</v>
          </cell>
          <cell r="M2935" t="str">
            <v>110101</v>
          </cell>
          <cell r="N2935" t="str">
            <v>ALKYD &amp; OIL SYSTEM</v>
          </cell>
        </row>
        <row r="2936">
          <cell r="C2936" t="str">
            <v>100004176</v>
          </cell>
          <cell r="D2936" t="str">
            <v>PCL-31300 WDC03 A GE VN-20LJ</v>
          </cell>
          <cell r="E2936" t="str">
            <v>ZFGD</v>
          </cell>
          <cell r="F2936" t="str">
            <v>PC</v>
          </cell>
          <cell r="G2936" t="str">
            <v>1</v>
          </cell>
          <cell r="H2936" t="str">
            <v>INDUSTRY</v>
          </cell>
          <cell r="I2936" t="str">
            <v>11</v>
          </cell>
          <cell r="J2936" t="str">
            <v>WOOD COATINGS</v>
          </cell>
          <cell r="K2936" t="str">
            <v>1118</v>
          </cell>
          <cell r="L2936" t="str">
            <v>COMPLEMENTARY</v>
          </cell>
          <cell r="M2936" t="str">
            <v>111807</v>
          </cell>
          <cell r="N2936" t="str">
            <v>PASTA</v>
          </cell>
        </row>
        <row r="2937">
          <cell r="C2937" t="str">
            <v>100004177</v>
          </cell>
          <cell r="D2937" t="str">
            <v>PCL-31300 WDC03 B GE VN-20LJ</v>
          </cell>
          <cell r="E2937" t="str">
            <v>ZFGD</v>
          </cell>
          <cell r="F2937" t="str">
            <v>PC</v>
          </cell>
          <cell r="G2937" t="str">
            <v>1</v>
          </cell>
          <cell r="H2937" t="str">
            <v>INDUSTRY</v>
          </cell>
          <cell r="I2937" t="str">
            <v>11</v>
          </cell>
          <cell r="J2937" t="str">
            <v>WOOD COATINGS</v>
          </cell>
          <cell r="K2937" t="str">
            <v>1118</v>
          </cell>
          <cell r="L2937" t="str">
            <v>COMPLEMENTARY</v>
          </cell>
          <cell r="M2937" t="str">
            <v>111807</v>
          </cell>
          <cell r="N2937" t="str">
            <v>PASTA</v>
          </cell>
        </row>
        <row r="2938">
          <cell r="C2938" t="str">
            <v>100004178</v>
          </cell>
          <cell r="D2938" t="str">
            <v>PCL-31300 WDC03 C GE VN-20LJ</v>
          </cell>
          <cell r="E2938" t="str">
            <v>ZFGD</v>
          </cell>
          <cell r="F2938" t="str">
            <v>PC</v>
          </cell>
          <cell r="G2938" t="str">
            <v>1</v>
          </cell>
          <cell r="H2938" t="str">
            <v>INDUSTRY</v>
          </cell>
          <cell r="I2938" t="str">
            <v>11</v>
          </cell>
          <cell r="J2938" t="str">
            <v>WOOD COATINGS</v>
          </cell>
          <cell r="K2938" t="str">
            <v>1118</v>
          </cell>
          <cell r="L2938" t="str">
            <v>COMPLEMENTARY</v>
          </cell>
          <cell r="M2938" t="str">
            <v>111807</v>
          </cell>
          <cell r="N2938" t="str">
            <v>PASTA</v>
          </cell>
        </row>
        <row r="2939">
          <cell r="C2939" t="str">
            <v>100004179</v>
          </cell>
          <cell r="D2939" t="str">
            <v>PCL-31300 WDC03 D GE VN-20LJ</v>
          </cell>
          <cell r="E2939" t="str">
            <v>ZFGD</v>
          </cell>
          <cell r="F2939" t="str">
            <v>PC</v>
          </cell>
          <cell r="G2939" t="str">
            <v>1</v>
          </cell>
          <cell r="H2939" t="str">
            <v>INDUSTRY</v>
          </cell>
          <cell r="I2939" t="str">
            <v>11</v>
          </cell>
          <cell r="J2939" t="str">
            <v>WOOD COATINGS</v>
          </cell>
          <cell r="K2939" t="str">
            <v>1118</v>
          </cell>
          <cell r="L2939" t="str">
            <v>COMPLEMENTARY</v>
          </cell>
          <cell r="M2939" t="str">
            <v>111807</v>
          </cell>
          <cell r="N2939" t="str">
            <v>PASTA</v>
          </cell>
        </row>
        <row r="2940">
          <cell r="C2940" t="str">
            <v>100004180</v>
          </cell>
          <cell r="D2940" t="str">
            <v>PG-13900 WDC03 GE VN-20KP</v>
          </cell>
          <cell r="E2940" t="str">
            <v>ZFGD</v>
          </cell>
          <cell r="F2940" t="str">
            <v>PC</v>
          </cell>
          <cell r="G2940" t="str">
            <v>1</v>
          </cell>
          <cell r="H2940" t="str">
            <v>INDUSTRY</v>
          </cell>
          <cell r="I2940" t="str">
            <v>11</v>
          </cell>
          <cell r="J2940" t="str">
            <v>WOOD COATINGS</v>
          </cell>
          <cell r="K2940" t="str">
            <v>1109</v>
          </cell>
          <cell r="L2940" t="str">
            <v>STAIN &amp; GLAZE INTERIOR</v>
          </cell>
          <cell r="M2940" t="str">
            <v>110901</v>
          </cell>
          <cell r="N2940" t="str">
            <v>ASOF : STAIN &amp; GLAZE</v>
          </cell>
        </row>
        <row r="2941">
          <cell r="C2941" t="str">
            <v>100004181</v>
          </cell>
          <cell r="D2941" t="str">
            <v>#NUUVC-70101 WHITE 20 VN-20KP</v>
          </cell>
          <cell r="E2941" t="str">
            <v>ZFGD</v>
          </cell>
          <cell r="F2941" t="str">
            <v>KG</v>
          </cell>
          <cell r="G2941" t="str">
            <v>1</v>
          </cell>
          <cell r="H2941" t="str">
            <v>INDUSTRY</v>
          </cell>
          <cell r="I2941" t="str">
            <v>11</v>
          </cell>
          <cell r="J2941" t="str">
            <v>WOOD COATINGS</v>
          </cell>
          <cell r="K2941" t="str">
            <v>1106</v>
          </cell>
          <cell r="L2941" t="str">
            <v>UV</v>
          </cell>
          <cell r="M2941" t="str">
            <v>110608</v>
          </cell>
          <cell r="N2941" t="str">
            <v>UV TOP COAT COLOR</v>
          </cell>
        </row>
        <row r="2942">
          <cell r="C2942" t="str">
            <v>100004182</v>
          </cell>
          <cell r="D2942" t="str">
            <v>UVC-70101 WHITE 20 VN-20KP</v>
          </cell>
          <cell r="E2942" t="str">
            <v>ZFGD</v>
          </cell>
          <cell r="F2942" t="str">
            <v>PC</v>
          </cell>
          <cell r="G2942" t="str">
            <v>1</v>
          </cell>
          <cell r="H2942" t="str">
            <v>INDUSTRY</v>
          </cell>
          <cell r="I2942" t="str">
            <v>11</v>
          </cell>
          <cell r="J2942" t="str">
            <v>WOOD COATINGS</v>
          </cell>
          <cell r="K2942" t="str">
            <v>1106</v>
          </cell>
          <cell r="L2942" t="str">
            <v>UV</v>
          </cell>
          <cell r="M2942" t="str">
            <v>110608</v>
          </cell>
          <cell r="N2942" t="str">
            <v>UV TOP COAT COLOR</v>
          </cell>
        </row>
        <row r="2943">
          <cell r="C2943" t="str">
            <v>100004183</v>
          </cell>
          <cell r="D2943" t="str">
            <v>GZ-12700 N 275 HF VN-18KP</v>
          </cell>
          <cell r="E2943" t="str">
            <v>ZFGD</v>
          </cell>
          <cell r="F2943" t="str">
            <v>PC</v>
          </cell>
          <cell r="G2943" t="str">
            <v>1</v>
          </cell>
          <cell r="H2943" t="str">
            <v>INDUSTRY</v>
          </cell>
          <cell r="I2943" t="str">
            <v>11</v>
          </cell>
          <cell r="J2943" t="str">
            <v>WOOD COATINGS</v>
          </cell>
          <cell r="K2943" t="str">
            <v>1109</v>
          </cell>
          <cell r="L2943" t="str">
            <v>STAIN &amp; GLAZE INTERIOR</v>
          </cell>
          <cell r="M2943" t="str">
            <v>110901</v>
          </cell>
          <cell r="N2943" t="str">
            <v>ASOF : STAIN &amp; GLAZE</v>
          </cell>
        </row>
        <row r="2944">
          <cell r="C2944" t="str">
            <v>100004184</v>
          </cell>
          <cell r="D2944" t="str">
            <v>GZ-12700 N 287 HF VN-18KP</v>
          </cell>
          <cell r="E2944" t="str">
            <v>ZFGD</v>
          </cell>
          <cell r="F2944" t="str">
            <v>PC</v>
          </cell>
          <cell r="G2944" t="str">
            <v>1</v>
          </cell>
          <cell r="H2944" t="str">
            <v>INDUSTRY</v>
          </cell>
          <cell r="I2944" t="str">
            <v>11</v>
          </cell>
          <cell r="J2944" t="str">
            <v>WOOD COATINGS</v>
          </cell>
          <cell r="K2944" t="str">
            <v>1109</v>
          </cell>
          <cell r="L2944" t="str">
            <v>STAIN &amp; GLAZE INTERIOR</v>
          </cell>
          <cell r="M2944" t="str">
            <v>110901</v>
          </cell>
          <cell r="N2944" t="str">
            <v>ASOF : STAIN &amp; GLAZE</v>
          </cell>
        </row>
        <row r="2945">
          <cell r="C2945" t="str">
            <v>100004185</v>
          </cell>
          <cell r="D2945" t="str">
            <v>SST-11100 MD 275 HF VN-20LJ</v>
          </cell>
          <cell r="E2945" t="str">
            <v>ZFGD</v>
          </cell>
          <cell r="F2945" t="str">
            <v>PC</v>
          </cell>
          <cell r="G2945" t="str">
            <v>1</v>
          </cell>
          <cell r="H2945" t="str">
            <v>INDUSTRY</v>
          </cell>
          <cell r="I2945" t="str">
            <v>11</v>
          </cell>
          <cell r="J2945" t="str">
            <v>WOOD COATINGS</v>
          </cell>
          <cell r="K2945" t="str">
            <v>1109</v>
          </cell>
          <cell r="L2945" t="str">
            <v>STAIN &amp; GLAZE INTERIOR</v>
          </cell>
          <cell r="M2945" t="str">
            <v>110903</v>
          </cell>
          <cell r="N2945" t="str">
            <v>STAIN INTERIOR</v>
          </cell>
        </row>
        <row r="2946">
          <cell r="C2946" t="str">
            <v>100004186</v>
          </cell>
          <cell r="D2946" t="str">
            <v>PCA-31100 275 HF VN-20LJ</v>
          </cell>
          <cell r="E2946" t="str">
            <v>ZFGD</v>
          </cell>
          <cell r="F2946" t="str">
            <v>PC</v>
          </cell>
          <cell r="G2946" t="str">
            <v>1</v>
          </cell>
          <cell r="H2946" t="str">
            <v>INDUSTRY</v>
          </cell>
          <cell r="I2946" t="str">
            <v>11</v>
          </cell>
          <cell r="J2946" t="str">
            <v>WOOD COATINGS</v>
          </cell>
          <cell r="K2946" t="str">
            <v>1118</v>
          </cell>
          <cell r="L2946" t="str">
            <v>COMPLEMENTARY</v>
          </cell>
          <cell r="M2946" t="str">
            <v>111807</v>
          </cell>
          <cell r="N2946" t="str">
            <v>PASTA</v>
          </cell>
        </row>
        <row r="2947">
          <cell r="C2947" t="str">
            <v>100004187</v>
          </cell>
          <cell r="D2947" t="str">
            <v>PCA-31100 287 HF VN-20LJ</v>
          </cell>
          <cell r="E2947" t="str">
            <v>ZFGD</v>
          </cell>
          <cell r="F2947" t="str">
            <v>PC</v>
          </cell>
          <cell r="G2947" t="str">
            <v>1</v>
          </cell>
          <cell r="H2947" t="str">
            <v>INDUSTRY</v>
          </cell>
          <cell r="I2947" t="str">
            <v>11</v>
          </cell>
          <cell r="J2947" t="str">
            <v>WOOD COATINGS</v>
          </cell>
          <cell r="K2947" t="str">
            <v>1118</v>
          </cell>
          <cell r="L2947" t="str">
            <v>COMPLEMENTARY</v>
          </cell>
          <cell r="M2947" t="str">
            <v>111807</v>
          </cell>
          <cell r="N2947" t="str">
            <v>PASTA</v>
          </cell>
        </row>
        <row r="2948">
          <cell r="C2948" t="str">
            <v>100004188</v>
          </cell>
          <cell r="D2948" t="str">
            <v>NCL-11329 BC CLEAR 20 VN-20LP</v>
          </cell>
          <cell r="E2948" t="str">
            <v>ZFGD</v>
          </cell>
          <cell r="F2948" t="str">
            <v>PC</v>
          </cell>
          <cell r="G2948" t="str">
            <v>1</v>
          </cell>
          <cell r="H2948" t="str">
            <v>INDUSTRY</v>
          </cell>
          <cell r="I2948" t="str">
            <v>11</v>
          </cell>
          <cell r="J2948" t="str">
            <v>WOOD COATINGS</v>
          </cell>
          <cell r="K2948" t="str">
            <v>1104</v>
          </cell>
          <cell r="L2948" t="str">
            <v>NC</v>
          </cell>
          <cell r="M2948" t="str">
            <v>110405</v>
          </cell>
          <cell r="N2948" t="str">
            <v>NC SYSTEM</v>
          </cell>
        </row>
        <row r="2949">
          <cell r="C2949" t="str">
            <v>100004189</v>
          </cell>
          <cell r="D2949" t="str">
            <v>PUP-1541-WHI-AK-20KP</v>
          </cell>
          <cell r="E2949" t="str">
            <v>ZFGD</v>
          </cell>
          <cell r="F2949" t="str">
            <v>PC</v>
          </cell>
          <cell r="G2949" t="str">
            <v>1</v>
          </cell>
          <cell r="H2949" t="str">
            <v>INDUSTRY</v>
          </cell>
          <cell r="I2949" t="str">
            <v>11</v>
          </cell>
          <cell r="J2949" t="str">
            <v>WOOD COATINGS</v>
          </cell>
          <cell r="K2949" t="str">
            <v>1103</v>
          </cell>
          <cell r="L2949" t="str">
            <v>PU</v>
          </cell>
          <cell r="M2949" t="str">
            <v>110322</v>
          </cell>
          <cell r="N2949" t="str">
            <v>PU PRIMER</v>
          </cell>
        </row>
        <row r="2950">
          <cell r="C2950" t="str">
            <v>100004190</v>
          </cell>
          <cell r="D2950" t="str">
            <v>PUH-1563-NY-AK-4K</v>
          </cell>
          <cell r="E2950" t="str">
            <v>ZFGD</v>
          </cell>
          <cell r="F2950" t="str">
            <v>PC</v>
          </cell>
          <cell r="G2950" t="str">
            <v>1</v>
          </cell>
          <cell r="H2950" t="str">
            <v>INDUSTRY</v>
          </cell>
          <cell r="I2950" t="str">
            <v>11</v>
          </cell>
          <cell r="J2950" t="str">
            <v>WOOD COATINGS</v>
          </cell>
          <cell r="K2950" t="str">
            <v>1103</v>
          </cell>
          <cell r="L2950" t="str">
            <v>PU</v>
          </cell>
          <cell r="M2950" t="str">
            <v>110320</v>
          </cell>
          <cell r="N2950" t="str">
            <v>PU HARDENER</v>
          </cell>
        </row>
        <row r="2951">
          <cell r="C2951" t="str">
            <v>100004191</v>
          </cell>
          <cell r="D2951" t="str">
            <v>PUSS-1532-AK-20KP</v>
          </cell>
          <cell r="E2951" t="str">
            <v>ZFGD</v>
          </cell>
          <cell r="F2951" t="str">
            <v>PC</v>
          </cell>
          <cell r="G2951" t="str">
            <v>1</v>
          </cell>
          <cell r="H2951" t="str">
            <v>INDUSTRY</v>
          </cell>
          <cell r="I2951" t="str">
            <v>11</v>
          </cell>
          <cell r="J2951" t="str">
            <v>WOOD COATINGS</v>
          </cell>
          <cell r="K2951" t="str">
            <v>1103</v>
          </cell>
          <cell r="L2951" t="str">
            <v>PU</v>
          </cell>
          <cell r="M2951" t="str">
            <v>110323</v>
          </cell>
          <cell r="N2951" t="str">
            <v>PU SANDING SEALER</v>
          </cell>
        </row>
        <row r="2952">
          <cell r="C2952" t="str">
            <v>100004192</v>
          </cell>
          <cell r="D2952" t="str">
            <v>PUL-1533-80-AK-20LP</v>
          </cell>
          <cell r="E2952" t="str">
            <v>ZFGD</v>
          </cell>
          <cell r="F2952" t="str">
            <v>PC</v>
          </cell>
          <cell r="G2952" t="str">
            <v>1</v>
          </cell>
          <cell r="H2952" t="str">
            <v>INDUSTRY</v>
          </cell>
          <cell r="I2952" t="str">
            <v>11</v>
          </cell>
          <cell r="J2952" t="str">
            <v>WOOD COATINGS</v>
          </cell>
          <cell r="K2952" t="str">
            <v>1103</v>
          </cell>
          <cell r="L2952" t="str">
            <v>PU</v>
          </cell>
          <cell r="M2952" t="str">
            <v>110321</v>
          </cell>
          <cell r="N2952" t="str">
            <v>PU LACQUER</v>
          </cell>
        </row>
        <row r="2953">
          <cell r="C2953" t="str">
            <v>100004193</v>
          </cell>
          <cell r="D2953" t="str">
            <v>NBC-34500 LC XANH02 MG VN-20KP</v>
          </cell>
          <cell r="E2953" t="str">
            <v>ZFGD</v>
          </cell>
          <cell r="F2953" t="str">
            <v>PC</v>
          </cell>
          <cell r="G2953" t="str">
            <v>1</v>
          </cell>
          <cell r="H2953" t="str">
            <v>INDUSTRY</v>
          </cell>
          <cell r="I2953" t="str">
            <v>11</v>
          </cell>
          <cell r="J2953" t="str">
            <v>WOOD COATINGS</v>
          </cell>
          <cell r="K2953" t="str">
            <v>1104</v>
          </cell>
          <cell r="L2953" t="str">
            <v>NC</v>
          </cell>
          <cell r="M2953" t="str">
            <v>110403</v>
          </cell>
          <cell r="N2953" t="str">
            <v>ASOF : NC BASE COAT</v>
          </cell>
        </row>
        <row r="2954">
          <cell r="C2954" t="str">
            <v>100004194</v>
          </cell>
          <cell r="D2954" t="str">
            <v>UVC-70101 WHITE 90 VN-20KP</v>
          </cell>
          <cell r="E2954" t="str">
            <v>ZFGD</v>
          </cell>
          <cell r="F2954" t="str">
            <v>PC</v>
          </cell>
          <cell r="G2954" t="str">
            <v>1</v>
          </cell>
          <cell r="H2954" t="str">
            <v>INDUSTRY</v>
          </cell>
          <cell r="I2954" t="str">
            <v>11</v>
          </cell>
          <cell r="J2954" t="str">
            <v>WOOD COATINGS</v>
          </cell>
          <cell r="K2954" t="str">
            <v>1106</v>
          </cell>
          <cell r="L2954" t="str">
            <v>UV</v>
          </cell>
          <cell r="M2954" t="str">
            <v>110608</v>
          </cell>
          <cell r="N2954" t="str">
            <v>UV TOP COAT COLOR</v>
          </cell>
        </row>
        <row r="2955">
          <cell r="C2955" t="str">
            <v>100004195</v>
          </cell>
          <cell r="D2955" t="str">
            <v>DC-12207 WHITE 30 VN-20KP</v>
          </cell>
          <cell r="E2955" t="str">
            <v>ZFGD</v>
          </cell>
          <cell r="F2955" t="str">
            <v>PC</v>
          </cell>
          <cell r="G2955" t="str">
            <v>1</v>
          </cell>
          <cell r="H2955" t="str">
            <v>INDUSTRY</v>
          </cell>
          <cell r="I2955" t="str">
            <v>11</v>
          </cell>
          <cell r="J2955" t="str">
            <v>WOOD COATINGS</v>
          </cell>
          <cell r="K2955" t="str">
            <v>1104</v>
          </cell>
          <cell r="L2955" t="str">
            <v>NC</v>
          </cell>
          <cell r="M2955" t="str">
            <v>110405</v>
          </cell>
          <cell r="N2955" t="str">
            <v>NC SYSTEM</v>
          </cell>
        </row>
        <row r="2956">
          <cell r="C2956" t="str">
            <v>100004196</v>
          </cell>
          <cell r="D2956" t="str">
            <v>DP-12123 BC 01 UA VN-20KP</v>
          </cell>
          <cell r="E2956" t="str">
            <v>ZFGD</v>
          </cell>
          <cell r="F2956" t="str">
            <v>PC</v>
          </cell>
          <cell r="G2956" t="str">
            <v>1</v>
          </cell>
          <cell r="H2956" t="str">
            <v>INDUSTRY</v>
          </cell>
          <cell r="I2956" t="str">
            <v>11</v>
          </cell>
          <cell r="J2956" t="str">
            <v>WOOD COATINGS</v>
          </cell>
          <cell r="K2956" t="str">
            <v>1104</v>
          </cell>
          <cell r="L2956" t="str">
            <v>NC</v>
          </cell>
          <cell r="M2956" t="str">
            <v>110405</v>
          </cell>
          <cell r="N2956" t="str">
            <v>NC SYSTEM</v>
          </cell>
        </row>
        <row r="2957">
          <cell r="C2957" t="str">
            <v>100004197</v>
          </cell>
          <cell r="D2957" t="str">
            <v>DP-12123 BC 02 UA VN-20KP</v>
          </cell>
          <cell r="E2957" t="str">
            <v>ZFGD</v>
          </cell>
          <cell r="F2957" t="str">
            <v>PC</v>
          </cell>
          <cell r="G2957" t="str">
            <v>1</v>
          </cell>
          <cell r="H2957" t="str">
            <v>INDUSTRY</v>
          </cell>
          <cell r="I2957" t="str">
            <v>11</v>
          </cell>
          <cell r="J2957" t="str">
            <v>WOOD COATINGS</v>
          </cell>
          <cell r="K2957" t="str">
            <v>1104</v>
          </cell>
          <cell r="L2957" t="str">
            <v>NC</v>
          </cell>
          <cell r="M2957" t="str">
            <v>110405</v>
          </cell>
          <cell r="N2957" t="str">
            <v>NC SYSTEM</v>
          </cell>
        </row>
        <row r="2958">
          <cell r="C2958" t="str">
            <v>100004198</v>
          </cell>
          <cell r="D2958" t="str">
            <v>GZ-12700 N 02 UA VN-18KP</v>
          </cell>
          <cell r="E2958" t="str">
            <v>ZFGD</v>
          </cell>
          <cell r="F2958" t="str">
            <v>PC</v>
          </cell>
          <cell r="G2958" t="str">
            <v>1</v>
          </cell>
          <cell r="H2958" t="str">
            <v>INDUSTRY</v>
          </cell>
          <cell r="I2958" t="str">
            <v>11</v>
          </cell>
          <cell r="J2958" t="str">
            <v>WOOD COATINGS</v>
          </cell>
          <cell r="K2958" t="str">
            <v>1109</v>
          </cell>
          <cell r="L2958" t="str">
            <v>STAIN &amp; GLAZE INTERIOR</v>
          </cell>
          <cell r="M2958" t="str">
            <v>110901</v>
          </cell>
          <cell r="N2958" t="str">
            <v>ASOF : STAIN &amp; GLAZE</v>
          </cell>
        </row>
        <row r="2959">
          <cell r="C2959" t="str">
            <v>100004199</v>
          </cell>
          <cell r="D2959" t="str">
            <v>UVS-20600 BWH SC VN-20KP</v>
          </cell>
          <cell r="E2959" t="str">
            <v>ZFGD</v>
          </cell>
          <cell r="F2959" t="str">
            <v>PC</v>
          </cell>
          <cell r="G2959" t="str">
            <v>1</v>
          </cell>
          <cell r="H2959" t="str">
            <v>INDUSTRY</v>
          </cell>
          <cell r="I2959" t="str">
            <v>11</v>
          </cell>
          <cell r="J2959" t="str">
            <v>WOOD COATINGS</v>
          </cell>
          <cell r="K2959" t="str">
            <v>1106</v>
          </cell>
          <cell r="L2959" t="str">
            <v>UV</v>
          </cell>
          <cell r="M2959" t="str">
            <v>110606</v>
          </cell>
          <cell r="N2959" t="str">
            <v>UV STAIN</v>
          </cell>
        </row>
        <row r="2960">
          <cell r="C2960" t="str">
            <v>100004200</v>
          </cell>
          <cell r="D2960" t="str">
            <v>UVP-60501 BWH SC VN-20KP</v>
          </cell>
          <cell r="E2960" t="str">
            <v>ZFGD</v>
          </cell>
          <cell r="F2960" t="str">
            <v>PC</v>
          </cell>
          <cell r="G2960" t="str">
            <v>1</v>
          </cell>
          <cell r="H2960" t="str">
            <v>INDUSTRY</v>
          </cell>
          <cell r="I2960" t="str">
            <v>11</v>
          </cell>
          <cell r="J2960" t="str">
            <v>WOOD COATINGS</v>
          </cell>
          <cell r="K2960" t="str">
            <v>1106</v>
          </cell>
          <cell r="L2960" t="str">
            <v>UV</v>
          </cell>
          <cell r="M2960" t="str">
            <v>110604</v>
          </cell>
          <cell r="N2960" t="str">
            <v>UV PRIMER</v>
          </cell>
        </row>
        <row r="2961">
          <cell r="C2961" t="str">
            <v>100004201</v>
          </cell>
          <cell r="D2961" t="str">
            <v>PUL-745 2K MỜ 90% VN-1K</v>
          </cell>
          <cell r="E2961" t="str">
            <v>ZFGD</v>
          </cell>
          <cell r="F2961" t="str">
            <v>PC</v>
          </cell>
          <cell r="G2961" t="str">
            <v>2</v>
          </cell>
          <cell r="H2961" t="str">
            <v>RETAIL</v>
          </cell>
          <cell r="I2961" t="str">
            <v>22</v>
          </cell>
          <cell r="J2961" t="str">
            <v>WF2</v>
          </cell>
          <cell r="K2961" t="str">
            <v>2212</v>
          </cell>
          <cell r="L2961" t="str">
            <v>PU EASY TO USE</v>
          </cell>
          <cell r="M2961" t="str">
            <v>221201</v>
          </cell>
          <cell r="N2961" t="str">
            <v>PROPAN EASY TO USE PU</v>
          </cell>
        </row>
        <row r="2962">
          <cell r="C2962" t="str">
            <v>100004202</v>
          </cell>
          <cell r="D2962" t="str">
            <v>PUL-745 2K BÓNG 100% VN-1K</v>
          </cell>
          <cell r="E2962" t="str">
            <v>ZFGD</v>
          </cell>
          <cell r="F2962" t="str">
            <v>PC</v>
          </cell>
          <cell r="G2962" t="str">
            <v>2</v>
          </cell>
          <cell r="H2962" t="str">
            <v>RETAIL</v>
          </cell>
          <cell r="I2962" t="str">
            <v>22</v>
          </cell>
          <cell r="J2962" t="str">
            <v>WF2</v>
          </cell>
          <cell r="K2962" t="str">
            <v>2212</v>
          </cell>
          <cell r="L2962" t="str">
            <v>PU EASY TO USE</v>
          </cell>
          <cell r="M2962" t="str">
            <v>221201</v>
          </cell>
          <cell r="N2962" t="str">
            <v>PROPAN EASY TO USE PU</v>
          </cell>
        </row>
        <row r="2963">
          <cell r="C2963" t="str">
            <v>100004203</v>
          </cell>
          <cell r="D2963" t="str">
            <v>PUL-745 2K MỜ 70% VN-1K</v>
          </cell>
          <cell r="E2963" t="str">
            <v>ZFGD</v>
          </cell>
          <cell r="F2963" t="str">
            <v>PC</v>
          </cell>
          <cell r="G2963" t="str">
            <v>2</v>
          </cell>
          <cell r="H2963" t="str">
            <v>RETAIL</v>
          </cell>
          <cell r="I2963" t="str">
            <v>22</v>
          </cell>
          <cell r="J2963" t="str">
            <v>WF2</v>
          </cell>
          <cell r="K2963" t="str">
            <v>2212</v>
          </cell>
          <cell r="L2963" t="str">
            <v>PU EASY TO USE</v>
          </cell>
          <cell r="M2963" t="str">
            <v>221201</v>
          </cell>
          <cell r="N2963" t="str">
            <v>PROPAN EASY TO USE PU</v>
          </cell>
        </row>
        <row r="2964">
          <cell r="C2964" t="str">
            <v>100004204</v>
          </cell>
          <cell r="D2964" t="str">
            <v>PUL-745 2K MỜ 100% VN-1K</v>
          </cell>
          <cell r="E2964" t="str">
            <v>ZFGD</v>
          </cell>
          <cell r="F2964" t="str">
            <v>PC</v>
          </cell>
          <cell r="G2964" t="str">
            <v>2</v>
          </cell>
          <cell r="H2964" t="str">
            <v>RETAIL</v>
          </cell>
          <cell r="I2964" t="str">
            <v>22</v>
          </cell>
          <cell r="J2964" t="str">
            <v>WF2</v>
          </cell>
          <cell r="K2964" t="str">
            <v>2212</v>
          </cell>
          <cell r="L2964" t="str">
            <v>PU EASY TO USE</v>
          </cell>
          <cell r="M2964" t="str">
            <v>221201</v>
          </cell>
          <cell r="N2964" t="str">
            <v>PROPAN EASY TO USE PU</v>
          </cell>
        </row>
        <row r="2965">
          <cell r="C2965" t="str">
            <v>100004205</v>
          </cell>
          <cell r="D2965" t="str">
            <v>PUL-745 2K MỜ 50% VN-1K</v>
          </cell>
          <cell r="E2965" t="str">
            <v>ZFGD</v>
          </cell>
          <cell r="F2965" t="str">
            <v>PC</v>
          </cell>
          <cell r="G2965" t="str">
            <v>2</v>
          </cell>
          <cell r="H2965" t="str">
            <v>RETAIL</v>
          </cell>
          <cell r="I2965" t="str">
            <v>22</v>
          </cell>
          <cell r="J2965" t="str">
            <v>WF2</v>
          </cell>
          <cell r="K2965" t="str">
            <v>2212</v>
          </cell>
          <cell r="L2965" t="str">
            <v>PU EASY TO USE</v>
          </cell>
          <cell r="M2965" t="str">
            <v>221201</v>
          </cell>
          <cell r="N2965" t="str">
            <v>PROPAN EASY TO USE PU</v>
          </cell>
        </row>
        <row r="2966">
          <cell r="C2966" t="str">
            <v>100004206</v>
          </cell>
          <cell r="D2966" t="str">
            <v>PUL-747 2K MỜ 100% VN-1K</v>
          </cell>
          <cell r="E2966" t="str">
            <v>ZFGD</v>
          </cell>
          <cell r="F2966" t="str">
            <v>PC</v>
          </cell>
          <cell r="G2966" t="str">
            <v>2</v>
          </cell>
          <cell r="H2966" t="str">
            <v>RETAIL</v>
          </cell>
          <cell r="I2966" t="str">
            <v>22</v>
          </cell>
          <cell r="J2966" t="str">
            <v>WF2</v>
          </cell>
          <cell r="K2966" t="str">
            <v>2201</v>
          </cell>
          <cell r="L2966" t="str">
            <v>PU COATING</v>
          </cell>
          <cell r="M2966" t="str">
            <v>220117</v>
          </cell>
          <cell r="N2966" t="str">
            <v>PROPAN PU</v>
          </cell>
        </row>
        <row r="2967">
          <cell r="C2967" t="str">
            <v>100004207</v>
          </cell>
          <cell r="D2967" t="str">
            <v>PUL-747 2K BÓNG 100% VN-1K</v>
          </cell>
          <cell r="E2967" t="str">
            <v>ZFGD</v>
          </cell>
          <cell r="F2967" t="str">
            <v>PC</v>
          </cell>
          <cell r="G2967" t="str">
            <v>2</v>
          </cell>
          <cell r="H2967" t="str">
            <v>RETAIL</v>
          </cell>
          <cell r="I2967" t="str">
            <v>22</v>
          </cell>
          <cell r="J2967" t="str">
            <v>WF2</v>
          </cell>
          <cell r="K2967" t="str">
            <v>2201</v>
          </cell>
          <cell r="L2967" t="str">
            <v>PU COATING</v>
          </cell>
          <cell r="M2967" t="str">
            <v>220117</v>
          </cell>
          <cell r="N2967" t="str">
            <v>PROPAN PU</v>
          </cell>
        </row>
        <row r="2968">
          <cell r="C2968" t="str">
            <v>100004208</v>
          </cell>
          <cell r="D2968" t="str">
            <v>PUL-747 2K MỜ 70% VN-1K</v>
          </cell>
          <cell r="E2968" t="str">
            <v>ZFGD</v>
          </cell>
          <cell r="F2968" t="str">
            <v>PC</v>
          </cell>
          <cell r="G2968" t="str">
            <v>2</v>
          </cell>
          <cell r="H2968" t="str">
            <v>RETAIL</v>
          </cell>
          <cell r="I2968" t="str">
            <v>22</v>
          </cell>
          <cell r="J2968" t="str">
            <v>WF2</v>
          </cell>
          <cell r="K2968" t="str">
            <v>2201</v>
          </cell>
          <cell r="L2968" t="str">
            <v>PU COATING</v>
          </cell>
          <cell r="M2968" t="str">
            <v>220117</v>
          </cell>
          <cell r="N2968" t="str">
            <v>PROPAN PU</v>
          </cell>
        </row>
        <row r="2969">
          <cell r="C2969" t="str">
            <v>100004209</v>
          </cell>
          <cell r="D2969" t="str">
            <v>PUL-747 2K MỜ 50% VN-1K</v>
          </cell>
          <cell r="E2969" t="str">
            <v>ZFGD</v>
          </cell>
          <cell r="F2969" t="str">
            <v>PC</v>
          </cell>
          <cell r="G2969" t="str">
            <v>2</v>
          </cell>
          <cell r="H2969" t="str">
            <v>RETAIL</v>
          </cell>
          <cell r="I2969" t="str">
            <v>22</v>
          </cell>
          <cell r="J2969" t="str">
            <v>WF2</v>
          </cell>
          <cell r="K2969" t="str">
            <v>2201</v>
          </cell>
          <cell r="L2969" t="str">
            <v>PU COATING</v>
          </cell>
          <cell r="M2969" t="str">
            <v>220117</v>
          </cell>
          <cell r="N2969" t="str">
            <v>PROPAN PU</v>
          </cell>
        </row>
        <row r="2970">
          <cell r="C2970" t="str">
            <v>100004210</v>
          </cell>
          <cell r="D2970" t="str">
            <v>PUL-747 2K MỜ 30% VN-1K</v>
          </cell>
          <cell r="E2970" t="str">
            <v>ZFGD</v>
          </cell>
          <cell r="F2970" t="str">
            <v>PC</v>
          </cell>
          <cell r="G2970" t="str">
            <v>2</v>
          </cell>
          <cell r="H2970" t="str">
            <v>RETAIL</v>
          </cell>
          <cell r="I2970" t="str">
            <v>22</v>
          </cell>
          <cell r="J2970" t="str">
            <v>WF2</v>
          </cell>
          <cell r="K2970" t="str">
            <v>2201</v>
          </cell>
          <cell r="L2970" t="str">
            <v>PU COATING</v>
          </cell>
          <cell r="M2970" t="str">
            <v>220117</v>
          </cell>
          <cell r="N2970" t="str">
            <v>PROPAN PU</v>
          </cell>
        </row>
        <row r="2971">
          <cell r="C2971" t="str">
            <v>100004211</v>
          </cell>
          <cell r="D2971" t="str">
            <v>PUL-765 2K BÓNG 100% VN-0.8K</v>
          </cell>
          <cell r="E2971" t="str">
            <v>ZFGD</v>
          </cell>
          <cell r="F2971" t="str">
            <v>PC</v>
          </cell>
          <cell r="G2971" t="str">
            <v>2</v>
          </cell>
          <cell r="H2971" t="str">
            <v>RETAIL</v>
          </cell>
          <cell r="I2971" t="str">
            <v>22</v>
          </cell>
          <cell r="J2971" t="str">
            <v>WF2</v>
          </cell>
          <cell r="K2971" t="str">
            <v>2216</v>
          </cell>
          <cell r="L2971" t="str">
            <v>PU MULTIPURPOSE</v>
          </cell>
          <cell r="M2971" t="str">
            <v>221601</v>
          </cell>
          <cell r="N2971" t="str">
            <v>PROPAN MP PU ACR RMX</v>
          </cell>
        </row>
        <row r="2972">
          <cell r="C2972" t="str">
            <v>100004212</v>
          </cell>
          <cell r="D2972" t="str">
            <v>PUL-765 2K MỜ 50% VN-0.8K</v>
          </cell>
          <cell r="E2972" t="str">
            <v>ZFGD</v>
          </cell>
          <cell r="F2972" t="str">
            <v>PC</v>
          </cell>
          <cell r="G2972" t="str">
            <v>2</v>
          </cell>
          <cell r="H2972" t="str">
            <v>RETAIL</v>
          </cell>
          <cell r="I2972" t="str">
            <v>22</v>
          </cell>
          <cell r="J2972" t="str">
            <v>WF2</v>
          </cell>
          <cell r="K2972" t="str">
            <v>2216</v>
          </cell>
          <cell r="L2972" t="str">
            <v>PU MULTIPURPOSE</v>
          </cell>
          <cell r="M2972" t="str">
            <v>221601</v>
          </cell>
          <cell r="N2972" t="str">
            <v>PROPAN MP PU ACR RMX</v>
          </cell>
        </row>
        <row r="2973">
          <cell r="C2973" t="str">
            <v>100004213</v>
          </cell>
          <cell r="D2973" t="str">
            <v>PUL-765 2K MỜ 70% VN-0.8K</v>
          </cell>
          <cell r="E2973" t="str">
            <v>ZFGD</v>
          </cell>
          <cell r="F2973" t="str">
            <v>PC</v>
          </cell>
          <cell r="G2973" t="str">
            <v>2</v>
          </cell>
          <cell r="H2973" t="str">
            <v>RETAIL</v>
          </cell>
          <cell r="I2973" t="str">
            <v>22</v>
          </cell>
          <cell r="J2973" t="str">
            <v>WF2</v>
          </cell>
          <cell r="K2973" t="str">
            <v>2216</v>
          </cell>
          <cell r="L2973" t="str">
            <v>PU MULTIPURPOSE</v>
          </cell>
          <cell r="M2973" t="str">
            <v>221601</v>
          </cell>
          <cell r="N2973" t="str">
            <v>PROPAN MP PU ACR RMX</v>
          </cell>
        </row>
        <row r="2974">
          <cell r="C2974" t="str">
            <v>100004214</v>
          </cell>
          <cell r="D2974" t="str">
            <v>PUL-765 2K MỜ 90% VN-0.8K</v>
          </cell>
          <cell r="E2974" t="str">
            <v>ZFGD</v>
          </cell>
          <cell r="F2974" t="str">
            <v>PC</v>
          </cell>
          <cell r="G2974" t="str">
            <v>2</v>
          </cell>
          <cell r="H2974" t="str">
            <v>RETAIL</v>
          </cell>
          <cell r="I2974" t="str">
            <v>22</v>
          </cell>
          <cell r="J2974" t="str">
            <v>WF2</v>
          </cell>
          <cell r="K2974" t="str">
            <v>2216</v>
          </cell>
          <cell r="L2974" t="str">
            <v>PU MULTIPURPOSE</v>
          </cell>
          <cell r="M2974" t="str">
            <v>221601</v>
          </cell>
          <cell r="N2974" t="str">
            <v>PROPAN MP PU ACR RMX</v>
          </cell>
        </row>
        <row r="2975">
          <cell r="C2975" t="str">
            <v>100004215</v>
          </cell>
          <cell r="D2975" t="str">
            <v>HARDENER PUH-761 VN-0.2K</v>
          </cell>
          <cell r="E2975" t="str">
            <v>ZFGD</v>
          </cell>
          <cell r="F2975" t="str">
            <v>PC</v>
          </cell>
          <cell r="G2975" t="str">
            <v>2</v>
          </cell>
          <cell r="H2975" t="str">
            <v>RETAIL</v>
          </cell>
          <cell r="I2975" t="str">
            <v>22</v>
          </cell>
          <cell r="J2975" t="str">
            <v>WF2</v>
          </cell>
          <cell r="K2975" t="str">
            <v>2216</v>
          </cell>
          <cell r="L2975" t="str">
            <v>PU MULTIPURPOSE</v>
          </cell>
          <cell r="M2975" t="str">
            <v>221601</v>
          </cell>
          <cell r="N2975" t="str">
            <v>PROPAN MP PU ACR RMX</v>
          </cell>
        </row>
        <row r="2976">
          <cell r="C2976" t="str">
            <v>100004216</v>
          </cell>
          <cell r="D2976" t="str">
            <v>HARDENER PUH-761 VN-1K</v>
          </cell>
          <cell r="E2976" t="str">
            <v>ZFGD</v>
          </cell>
          <cell r="F2976" t="str">
            <v>PC</v>
          </cell>
          <cell r="G2976" t="str">
            <v>2</v>
          </cell>
          <cell r="H2976" t="str">
            <v>RETAIL</v>
          </cell>
          <cell r="I2976" t="str">
            <v>22</v>
          </cell>
          <cell r="J2976" t="str">
            <v>WF2</v>
          </cell>
          <cell r="K2976" t="str">
            <v>2216</v>
          </cell>
          <cell r="L2976" t="str">
            <v>PU MULTIPURPOSE</v>
          </cell>
          <cell r="M2976" t="str">
            <v>221601</v>
          </cell>
          <cell r="N2976" t="str">
            <v>PROPAN MP PU ACR RMX</v>
          </cell>
        </row>
        <row r="2977">
          <cell r="C2977" t="str">
            <v>100004217</v>
          </cell>
          <cell r="D2977" t="str">
            <v>PUC-786 2K ĐEN BÓNG SK012 VN-0.8K</v>
          </cell>
          <cell r="E2977" t="str">
            <v>ZFGD</v>
          </cell>
          <cell r="F2977" t="str">
            <v>PC</v>
          </cell>
          <cell r="G2977" t="str">
            <v>2</v>
          </cell>
          <cell r="H2977" t="str">
            <v>RETAIL</v>
          </cell>
          <cell r="I2977" t="str">
            <v>22</v>
          </cell>
          <cell r="J2977" t="str">
            <v>WF2</v>
          </cell>
          <cell r="K2977" t="str">
            <v>2216</v>
          </cell>
          <cell r="L2977" t="str">
            <v>PU MULTIPURPOSE</v>
          </cell>
          <cell r="M2977" t="str">
            <v>221601</v>
          </cell>
          <cell r="N2977" t="str">
            <v>PROPAN MP PU ACR RMX</v>
          </cell>
        </row>
        <row r="2978">
          <cell r="C2978" t="str">
            <v>100004218</v>
          </cell>
          <cell r="D2978" t="str">
            <v>PUC-786 2K CHILI RED GLOSS VN-0.8K</v>
          </cell>
          <cell r="E2978" t="str">
            <v>ZFGD</v>
          </cell>
          <cell r="F2978" t="str">
            <v>PC</v>
          </cell>
          <cell r="G2978" t="str">
            <v>2</v>
          </cell>
          <cell r="H2978" t="str">
            <v>RETAIL</v>
          </cell>
          <cell r="I2978" t="str">
            <v>22</v>
          </cell>
          <cell r="J2978" t="str">
            <v>WF2</v>
          </cell>
          <cell r="K2978" t="str">
            <v>2216</v>
          </cell>
          <cell r="L2978" t="str">
            <v>PU MULTIPURPOSE</v>
          </cell>
          <cell r="M2978" t="str">
            <v>221601</v>
          </cell>
          <cell r="N2978" t="str">
            <v>PROPAN MP PU ACR RMX</v>
          </cell>
        </row>
        <row r="2979">
          <cell r="C2979" t="str">
            <v>100004219</v>
          </cell>
          <cell r="D2979" t="str">
            <v>PUC-786 2K KEM LỢT SK002 VN-0.8K</v>
          </cell>
          <cell r="E2979" t="str">
            <v>ZFGD</v>
          </cell>
          <cell r="F2979" t="str">
            <v>PC</v>
          </cell>
          <cell r="G2979" t="str">
            <v>2</v>
          </cell>
          <cell r="H2979" t="str">
            <v>RETAIL</v>
          </cell>
          <cell r="I2979" t="str">
            <v>22</v>
          </cell>
          <cell r="J2979" t="str">
            <v>WF2</v>
          </cell>
          <cell r="K2979" t="str">
            <v>2216</v>
          </cell>
          <cell r="L2979" t="str">
            <v>PU MULTIPURPOSE</v>
          </cell>
          <cell r="M2979" t="str">
            <v>221601</v>
          </cell>
          <cell r="N2979" t="str">
            <v>PROPAN MP PU ACR RMX</v>
          </cell>
        </row>
        <row r="2980">
          <cell r="C2980" t="str">
            <v>100004220</v>
          </cell>
          <cell r="D2980" t="str">
            <v>PUC-786 2K TRẮNG BÓNG SK006 VN-0.8K</v>
          </cell>
          <cell r="E2980" t="str">
            <v>ZFGD</v>
          </cell>
          <cell r="F2980" t="str">
            <v>PC</v>
          </cell>
          <cell r="G2980" t="str">
            <v>2</v>
          </cell>
          <cell r="H2980" t="str">
            <v>RETAIL</v>
          </cell>
          <cell r="I2980" t="str">
            <v>22</v>
          </cell>
          <cell r="J2980" t="str">
            <v>WF2</v>
          </cell>
          <cell r="K2980" t="str">
            <v>2216</v>
          </cell>
          <cell r="L2980" t="str">
            <v>PU MULTIPURPOSE</v>
          </cell>
          <cell r="M2980" t="str">
            <v>221601</v>
          </cell>
          <cell r="N2980" t="str">
            <v>PROPAN MP PU ACR RMX</v>
          </cell>
        </row>
        <row r="2981">
          <cell r="C2981" t="str">
            <v>100004221</v>
          </cell>
          <cell r="D2981" t="str">
            <v>PUC-786 2K LEMON YELLOW GLOSS VN-0.8K</v>
          </cell>
          <cell r="E2981" t="str">
            <v>ZFGD</v>
          </cell>
          <cell r="F2981" t="str">
            <v>PC</v>
          </cell>
          <cell r="G2981" t="str">
            <v>2</v>
          </cell>
          <cell r="H2981" t="str">
            <v>RETAIL</v>
          </cell>
          <cell r="I2981" t="str">
            <v>22</v>
          </cell>
          <cell r="J2981" t="str">
            <v>WF2</v>
          </cell>
          <cell r="K2981" t="str">
            <v>2216</v>
          </cell>
          <cell r="L2981" t="str">
            <v>PU MULTIPURPOSE</v>
          </cell>
          <cell r="M2981" t="str">
            <v>221601</v>
          </cell>
          <cell r="N2981" t="str">
            <v>PROPAN MP PU ACR RMX</v>
          </cell>
        </row>
        <row r="2982">
          <cell r="C2982" t="str">
            <v>100004222</v>
          </cell>
          <cell r="D2982" t="str">
            <v>PUC-786 2K XÁM ĐẬM SK004 VN-0.8K</v>
          </cell>
          <cell r="E2982" t="str">
            <v>ZFGD</v>
          </cell>
          <cell r="F2982" t="str">
            <v>PC</v>
          </cell>
          <cell r="G2982" t="str">
            <v>2</v>
          </cell>
          <cell r="H2982" t="str">
            <v>RETAIL</v>
          </cell>
          <cell r="I2982" t="str">
            <v>22</v>
          </cell>
          <cell r="J2982" t="str">
            <v>WF2</v>
          </cell>
          <cell r="K2982" t="str">
            <v>2216</v>
          </cell>
          <cell r="L2982" t="str">
            <v>PU MULTIPURPOSE</v>
          </cell>
          <cell r="M2982" t="str">
            <v>221601</v>
          </cell>
          <cell r="N2982" t="str">
            <v>PROPAN MP PU ACR RMX</v>
          </cell>
        </row>
        <row r="2983">
          <cell r="C2983" t="str">
            <v>100004223</v>
          </cell>
          <cell r="D2983" t="str">
            <v>PUC-786 2K XÁM NHẠT SK011 VN-0.8K</v>
          </cell>
          <cell r="E2983" t="str">
            <v>ZFGD</v>
          </cell>
          <cell r="F2983" t="str">
            <v>PC</v>
          </cell>
          <cell r="G2983" t="str">
            <v>2</v>
          </cell>
          <cell r="H2983" t="str">
            <v>RETAIL</v>
          </cell>
          <cell r="I2983" t="str">
            <v>22</v>
          </cell>
          <cell r="J2983" t="str">
            <v>WF2</v>
          </cell>
          <cell r="K2983" t="str">
            <v>2216</v>
          </cell>
          <cell r="L2983" t="str">
            <v>PU MULTIPURPOSE</v>
          </cell>
          <cell r="M2983" t="str">
            <v>221601</v>
          </cell>
          <cell r="N2983" t="str">
            <v>PROPAN MP PU ACR RMX</v>
          </cell>
        </row>
        <row r="2984">
          <cell r="C2984" t="str">
            <v>100004224</v>
          </cell>
          <cell r="D2984" t="str">
            <v>PUC-786 2K XANH CHUỐI SK005 VN-0.8K</v>
          </cell>
          <cell r="E2984" t="str">
            <v>ZFGD</v>
          </cell>
          <cell r="F2984" t="str">
            <v>PC</v>
          </cell>
          <cell r="G2984" t="str">
            <v>2</v>
          </cell>
          <cell r="H2984" t="str">
            <v>RETAIL</v>
          </cell>
          <cell r="I2984" t="str">
            <v>22</v>
          </cell>
          <cell r="J2984" t="str">
            <v>WF2</v>
          </cell>
          <cell r="K2984" t="str">
            <v>2216</v>
          </cell>
          <cell r="L2984" t="str">
            <v>PU MULTIPURPOSE</v>
          </cell>
          <cell r="M2984" t="str">
            <v>221601</v>
          </cell>
          <cell r="N2984" t="str">
            <v>PROPAN MP PU ACR RMX</v>
          </cell>
        </row>
        <row r="2985">
          <cell r="C2985" t="str">
            <v>100004225</v>
          </cell>
          <cell r="D2985" t="str">
            <v>PUC-786 2K XANH DA TRỜI SK007 VN-0.8K</v>
          </cell>
          <cell r="E2985" t="str">
            <v>ZFGD</v>
          </cell>
          <cell r="F2985" t="str">
            <v>PC</v>
          </cell>
          <cell r="G2985" t="str">
            <v>2</v>
          </cell>
          <cell r="H2985" t="str">
            <v>RETAIL</v>
          </cell>
          <cell r="I2985" t="str">
            <v>22</v>
          </cell>
          <cell r="J2985" t="str">
            <v>WF2</v>
          </cell>
          <cell r="K2985" t="str">
            <v>2216</v>
          </cell>
          <cell r="L2985" t="str">
            <v>PU MULTIPURPOSE</v>
          </cell>
          <cell r="M2985" t="str">
            <v>221601</v>
          </cell>
          <cell r="N2985" t="str">
            <v>PROPAN MP PU ACR RMX</v>
          </cell>
        </row>
        <row r="2986">
          <cell r="C2986" t="str">
            <v>100004226</v>
          </cell>
          <cell r="D2986" t="str">
            <v>PUC-786 2K XANH ĐẬM SK009 VN-0.8K</v>
          </cell>
          <cell r="E2986" t="str">
            <v>ZFGD</v>
          </cell>
          <cell r="F2986" t="str">
            <v>PC</v>
          </cell>
          <cell r="G2986" t="str">
            <v>2</v>
          </cell>
          <cell r="H2986" t="str">
            <v>RETAIL</v>
          </cell>
          <cell r="I2986" t="str">
            <v>22</v>
          </cell>
          <cell r="J2986" t="str">
            <v>WF2</v>
          </cell>
          <cell r="K2986" t="str">
            <v>2216</v>
          </cell>
          <cell r="L2986" t="str">
            <v>PU MULTIPURPOSE</v>
          </cell>
          <cell r="M2986" t="str">
            <v>221601</v>
          </cell>
          <cell r="N2986" t="str">
            <v>PROPAN MP PU ACR RMX</v>
          </cell>
        </row>
        <row r="2987">
          <cell r="C2987" t="str">
            <v>100004227</v>
          </cell>
          <cell r="D2987" t="str">
            <v>PUC-786 2K XANH DƯƠNG SK008 VN-0.8K</v>
          </cell>
          <cell r="E2987" t="str">
            <v>ZFGD</v>
          </cell>
          <cell r="F2987" t="str">
            <v>PC</v>
          </cell>
          <cell r="G2987" t="str">
            <v>2</v>
          </cell>
          <cell r="H2987" t="str">
            <v>RETAIL</v>
          </cell>
          <cell r="I2987" t="str">
            <v>22</v>
          </cell>
          <cell r="J2987" t="str">
            <v>WF2</v>
          </cell>
          <cell r="K2987" t="str">
            <v>2216</v>
          </cell>
          <cell r="L2987" t="str">
            <v>PU MULTIPURPOSE</v>
          </cell>
          <cell r="M2987" t="str">
            <v>221601</v>
          </cell>
          <cell r="N2987" t="str">
            <v>PROPAN MP PU ACR RMX</v>
          </cell>
        </row>
        <row r="2988">
          <cell r="C2988" t="str">
            <v>100004228</v>
          </cell>
          <cell r="D2988" t="str">
            <v>PUC-786 2K XANH NGỌC SK010 VN-0.8K</v>
          </cell>
          <cell r="E2988" t="str">
            <v>ZFGD</v>
          </cell>
          <cell r="F2988" t="str">
            <v>PC</v>
          </cell>
          <cell r="G2988" t="str">
            <v>2</v>
          </cell>
          <cell r="H2988" t="str">
            <v>RETAIL</v>
          </cell>
          <cell r="I2988" t="str">
            <v>22</v>
          </cell>
          <cell r="J2988" t="str">
            <v>WF2</v>
          </cell>
          <cell r="K2988" t="str">
            <v>2216</v>
          </cell>
          <cell r="L2988" t="str">
            <v>PU MULTIPURPOSE</v>
          </cell>
          <cell r="M2988" t="str">
            <v>221601</v>
          </cell>
          <cell r="N2988" t="str">
            <v>PROPAN MP PU ACR RMX</v>
          </cell>
        </row>
        <row r="2989">
          <cell r="C2989" t="str">
            <v>100004229</v>
          </cell>
          <cell r="D2989" t="str">
            <v>PUSS-760 2K LÓT TRONG VN-0.8K</v>
          </cell>
          <cell r="E2989" t="str">
            <v>ZFGD</v>
          </cell>
          <cell r="F2989" t="str">
            <v>PC</v>
          </cell>
          <cell r="G2989" t="str">
            <v>2</v>
          </cell>
          <cell r="H2989" t="str">
            <v>RETAIL</v>
          </cell>
          <cell r="I2989" t="str">
            <v>22</v>
          </cell>
          <cell r="J2989" t="str">
            <v>WF2</v>
          </cell>
          <cell r="K2989" t="str">
            <v>2216</v>
          </cell>
          <cell r="L2989" t="str">
            <v>PU MULTIPURPOSE</v>
          </cell>
          <cell r="M2989" t="str">
            <v>221601</v>
          </cell>
          <cell r="N2989" t="str">
            <v>PROPAN MP PU ACR RMX</v>
          </cell>
        </row>
        <row r="2990">
          <cell r="C2990" t="str">
            <v>100004230</v>
          </cell>
          <cell r="D2990" t="str">
            <v>PUSF-781 2K LÓT TRẮNG VN-0.8K</v>
          </cell>
          <cell r="E2990" t="str">
            <v>ZFGD</v>
          </cell>
          <cell r="F2990" t="str">
            <v>PC</v>
          </cell>
          <cell r="G2990" t="str">
            <v>2</v>
          </cell>
          <cell r="H2990" t="str">
            <v>RETAIL</v>
          </cell>
          <cell r="I2990" t="str">
            <v>22</v>
          </cell>
          <cell r="J2990" t="str">
            <v>WF2</v>
          </cell>
          <cell r="K2990" t="str">
            <v>2216</v>
          </cell>
          <cell r="L2990" t="str">
            <v>PU MULTIPURPOSE</v>
          </cell>
          <cell r="M2990" t="str">
            <v>221601</v>
          </cell>
          <cell r="N2990" t="str">
            <v>PROPAN MP PU ACR RMX</v>
          </cell>
        </row>
        <row r="2991">
          <cell r="C2991" t="str">
            <v>100004231</v>
          </cell>
          <cell r="D2991" t="str">
            <v>PUL-745 2K MỜ 90% VN-4K</v>
          </cell>
          <cell r="E2991" t="str">
            <v>ZFGD</v>
          </cell>
          <cell r="F2991" t="str">
            <v>PC</v>
          </cell>
          <cell r="G2991" t="str">
            <v>2</v>
          </cell>
          <cell r="H2991" t="str">
            <v>RETAIL</v>
          </cell>
          <cell r="I2991" t="str">
            <v>22</v>
          </cell>
          <cell r="J2991" t="str">
            <v>WF2</v>
          </cell>
          <cell r="K2991" t="str">
            <v>2212</v>
          </cell>
          <cell r="L2991" t="str">
            <v>PU EASY TO USE</v>
          </cell>
          <cell r="M2991" t="str">
            <v>221201</v>
          </cell>
          <cell r="N2991" t="str">
            <v>PROPAN EASY TO USE PU</v>
          </cell>
        </row>
        <row r="2992">
          <cell r="C2992" t="str">
            <v>100004232</v>
          </cell>
          <cell r="D2992" t="str">
            <v>PUL-745 2K BÓNG 100% VN-4K</v>
          </cell>
          <cell r="E2992" t="str">
            <v>ZFGD</v>
          </cell>
          <cell r="F2992" t="str">
            <v>PC</v>
          </cell>
          <cell r="G2992" t="str">
            <v>2</v>
          </cell>
          <cell r="H2992" t="str">
            <v>RETAIL</v>
          </cell>
          <cell r="I2992" t="str">
            <v>22</v>
          </cell>
          <cell r="J2992" t="str">
            <v>WF2</v>
          </cell>
          <cell r="K2992" t="str">
            <v>2212</v>
          </cell>
          <cell r="L2992" t="str">
            <v>PU EASY TO USE</v>
          </cell>
          <cell r="M2992" t="str">
            <v>221201</v>
          </cell>
          <cell r="N2992" t="str">
            <v>PROPAN EASY TO USE PU</v>
          </cell>
        </row>
        <row r="2993">
          <cell r="C2993" t="str">
            <v>100004259</v>
          </cell>
          <cell r="D2993" t="str">
            <v>SYNTHETIC 2000 TRAFFIC GREEN VN-180KB</v>
          </cell>
          <cell r="E2993" t="str">
            <v>ZFGD</v>
          </cell>
          <cell r="F2993" t="str">
            <v>PC</v>
          </cell>
          <cell r="G2993" t="str">
            <v>5</v>
          </cell>
          <cell r="H2993" t="str">
            <v>PROJECT</v>
          </cell>
          <cell r="I2993" t="str">
            <v>59</v>
          </cell>
          <cell r="J2993" t="str">
            <v>MPC</v>
          </cell>
          <cell r="K2993" t="str">
            <v>5902</v>
          </cell>
          <cell r="L2993" t="str">
            <v>SYNTHETIC ENAMEL SB</v>
          </cell>
          <cell r="M2993" t="str">
            <v>590202</v>
          </cell>
          <cell r="N2993" t="str">
            <v>SYNTHETIC 2000</v>
          </cell>
        </row>
        <row r="2994">
          <cell r="C2994" t="str">
            <v>100004260</v>
          </cell>
          <cell r="D2994" t="str">
            <v>PUC-54205 AC 037 50 AH VN-20KP</v>
          </cell>
          <cell r="E2994" t="str">
            <v>ZFGD</v>
          </cell>
          <cell r="F2994" t="str">
            <v>PC</v>
          </cell>
          <cell r="G2994" t="str">
            <v>1</v>
          </cell>
          <cell r="H2994" t="str">
            <v>INDUSTRY</v>
          </cell>
          <cell r="I2994" t="str">
            <v>11</v>
          </cell>
          <cell r="J2994" t="str">
            <v>WOOD COATINGS</v>
          </cell>
          <cell r="K2994" t="str">
            <v>1103</v>
          </cell>
          <cell r="L2994" t="str">
            <v>PU</v>
          </cell>
          <cell r="M2994" t="str">
            <v>110319</v>
          </cell>
          <cell r="N2994" t="str">
            <v>PU COLOR</v>
          </cell>
        </row>
        <row r="2995">
          <cell r="C2995" t="str">
            <v>100004261</v>
          </cell>
          <cell r="D2995" t="str">
            <v>NCSS-30800 BC VN-20LP</v>
          </cell>
          <cell r="E2995" t="str">
            <v>ZFGD</v>
          </cell>
          <cell r="F2995" t="str">
            <v>PC</v>
          </cell>
          <cell r="G2995" t="str">
            <v>1</v>
          </cell>
          <cell r="H2995" t="str">
            <v>INDUSTRY</v>
          </cell>
          <cell r="I2995" t="str">
            <v>11</v>
          </cell>
          <cell r="J2995" t="str">
            <v>WOOD COATINGS</v>
          </cell>
          <cell r="K2995" t="str">
            <v>1104</v>
          </cell>
          <cell r="L2995" t="str">
            <v>NC</v>
          </cell>
          <cell r="M2995" t="str">
            <v>110403</v>
          </cell>
          <cell r="N2995" t="str">
            <v>ASOF : NC BASE COAT</v>
          </cell>
        </row>
        <row r="2996">
          <cell r="C2996" t="str">
            <v>100004262</v>
          </cell>
          <cell r="D2996" t="str">
            <v>NCL-40800 BC CLEAR 10 VN-20LP</v>
          </cell>
          <cell r="E2996" t="str">
            <v>ZFGD</v>
          </cell>
          <cell r="F2996" t="str">
            <v>PC</v>
          </cell>
          <cell r="G2996" t="str">
            <v>1</v>
          </cell>
          <cell r="H2996" t="str">
            <v>INDUSTRY</v>
          </cell>
          <cell r="I2996" t="str">
            <v>11</v>
          </cell>
          <cell r="J2996" t="str">
            <v>WOOD COATINGS</v>
          </cell>
          <cell r="K2996" t="str">
            <v>1104</v>
          </cell>
          <cell r="L2996" t="str">
            <v>NC</v>
          </cell>
          <cell r="M2996" t="str">
            <v>110404</v>
          </cell>
          <cell r="N2996" t="str">
            <v>ASOF : NC TOP COAT</v>
          </cell>
        </row>
        <row r="2997">
          <cell r="C2997" t="str">
            <v>100004263</v>
          </cell>
          <cell r="D2997" t="str">
            <v>NCL-40800 BC CLEAR 20 VN-20LP</v>
          </cell>
          <cell r="E2997" t="str">
            <v>ZFGD</v>
          </cell>
          <cell r="F2997" t="str">
            <v>PC</v>
          </cell>
          <cell r="G2997" t="str">
            <v>1</v>
          </cell>
          <cell r="H2997" t="str">
            <v>INDUSTRY</v>
          </cell>
          <cell r="I2997" t="str">
            <v>11</v>
          </cell>
          <cell r="J2997" t="str">
            <v>WOOD COATINGS</v>
          </cell>
          <cell r="K2997" t="str">
            <v>1104</v>
          </cell>
          <cell r="L2997" t="str">
            <v>NC</v>
          </cell>
          <cell r="M2997" t="str">
            <v>110404</v>
          </cell>
          <cell r="N2997" t="str">
            <v>ASOF : NC TOP COAT</v>
          </cell>
        </row>
        <row r="2998">
          <cell r="C2998" t="str">
            <v>100004264</v>
          </cell>
          <cell r="D2998" t="str">
            <v>82-2028 UE AF URT SANDING A VN-16KP</v>
          </cell>
          <cell r="E2998" t="str">
            <v>ZFGD</v>
          </cell>
          <cell r="F2998" t="str">
            <v>PC</v>
          </cell>
          <cell r="G2998" t="str">
            <v>1</v>
          </cell>
          <cell r="H2998" t="str">
            <v>INDUSTRY</v>
          </cell>
          <cell r="I2998" t="str">
            <v>11</v>
          </cell>
          <cell r="J2998" t="str">
            <v>WOOD COATINGS</v>
          </cell>
          <cell r="K2998" t="str">
            <v>1103</v>
          </cell>
          <cell r="L2998" t="str">
            <v>PU</v>
          </cell>
          <cell r="M2998" t="str">
            <v>110312</v>
          </cell>
          <cell r="N2998" t="str">
            <v>UNION TOP COAT</v>
          </cell>
        </row>
        <row r="2999">
          <cell r="C2999" t="str">
            <v>100004265</v>
          </cell>
          <cell r="D2999" t="str">
            <v>PCA-31100 HYATT A TL VN-20LJ</v>
          </cell>
          <cell r="E2999" t="str">
            <v>ZFGD</v>
          </cell>
          <cell r="F2999" t="str">
            <v>PC</v>
          </cell>
          <cell r="G2999" t="str">
            <v>1</v>
          </cell>
          <cell r="H2999" t="str">
            <v>INDUSTRY</v>
          </cell>
          <cell r="I2999" t="str">
            <v>11</v>
          </cell>
          <cell r="J2999" t="str">
            <v>WOOD COATINGS</v>
          </cell>
          <cell r="K2999" t="str">
            <v>1118</v>
          </cell>
          <cell r="L2999" t="str">
            <v>COMPLEMENTARY</v>
          </cell>
          <cell r="M2999" t="str">
            <v>111807</v>
          </cell>
          <cell r="N2999" t="str">
            <v>PASTA</v>
          </cell>
        </row>
        <row r="3000">
          <cell r="C3000" t="str">
            <v>100004266</v>
          </cell>
          <cell r="D3000" t="str">
            <v>SST-11100 HYATT B TL VN-20LJ</v>
          </cell>
          <cell r="E3000" t="str">
            <v>ZFGD</v>
          </cell>
          <cell r="F3000" t="str">
            <v>PC</v>
          </cell>
          <cell r="G3000" t="str">
            <v>1</v>
          </cell>
          <cell r="H3000" t="str">
            <v>INDUSTRY</v>
          </cell>
          <cell r="I3000" t="str">
            <v>11</v>
          </cell>
          <cell r="J3000" t="str">
            <v>WOOD COATINGS</v>
          </cell>
          <cell r="K3000" t="str">
            <v>1109</v>
          </cell>
          <cell r="L3000" t="str">
            <v>STAIN &amp; GLAZE INTERIOR</v>
          </cell>
          <cell r="M3000" t="str">
            <v>110903</v>
          </cell>
          <cell r="N3000" t="str">
            <v>STAIN INTERIOR</v>
          </cell>
        </row>
        <row r="3001">
          <cell r="C3001" t="str">
            <v>100004267</v>
          </cell>
          <cell r="D3001" t="str">
            <v>SST-11100 BLACK 02 FW VN-20LJ</v>
          </cell>
          <cell r="E3001" t="str">
            <v>ZFGD</v>
          </cell>
          <cell r="F3001" t="str">
            <v>PC</v>
          </cell>
          <cell r="G3001" t="str">
            <v>1</v>
          </cell>
          <cell r="H3001" t="str">
            <v>INDUSTRY</v>
          </cell>
          <cell r="I3001" t="str">
            <v>11</v>
          </cell>
          <cell r="J3001" t="str">
            <v>WOOD COATINGS</v>
          </cell>
          <cell r="K3001" t="str">
            <v>1109</v>
          </cell>
          <cell r="L3001" t="str">
            <v>STAIN &amp; GLAZE INTERIOR</v>
          </cell>
          <cell r="M3001" t="str">
            <v>110903</v>
          </cell>
          <cell r="N3001" t="str">
            <v>STAIN INTERIOR</v>
          </cell>
        </row>
        <row r="3002">
          <cell r="C3002" t="str">
            <v>100004268</v>
          </cell>
          <cell r="D3002" t="str">
            <v>PCA-31100 YELLOW 01 FW VN-20LJ</v>
          </cell>
          <cell r="E3002" t="str">
            <v>ZFGD</v>
          </cell>
          <cell r="F3002" t="str">
            <v>PC</v>
          </cell>
          <cell r="G3002" t="str">
            <v>1</v>
          </cell>
          <cell r="H3002" t="str">
            <v>INDUSTRY</v>
          </cell>
          <cell r="I3002" t="str">
            <v>11</v>
          </cell>
          <cell r="J3002" t="str">
            <v>WOOD COATINGS</v>
          </cell>
          <cell r="K3002" t="str">
            <v>1118</v>
          </cell>
          <cell r="L3002" t="str">
            <v>COMPLEMENTARY</v>
          </cell>
          <cell r="M3002" t="str">
            <v>111807</v>
          </cell>
          <cell r="N3002" t="str">
            <v>PASTA</v>
          </cell>
        </row>
        <row r="3003">
          <cell r="C3003" t="str">
            <v>100004269</v>
          </cell>
          <cell r="D3003" t="str">
            <v>GZ-12700 N 97 HM VN-18KP</v>
          </cell>
          <cell r="E3003" t="str">
            <v>ZFGD</v>
          </cell>
          <cell r="F3003" t="str">
            <v>PC</v>
          </cell>
          <cell r="G3003" t="str">
            <v>1</v>
          </cell>
          <cell r="H3003" t="str">
            <v>INDUSTRY</v>
          </cell>
          <cell r="I3003" t="str">
            <v>11</v>
          </cell>
          <cell r="J3003" t="str">
            <v>WOOD COATINGS</v>
          </cell>
          <cell r="K3003" t="str">
            <v>1109</v>
          </cell>
          <cell r="L3003" t="str">
            <v>STAIN &amp; GLAZE INTERIOR</v>
          </cell>
          <cell r="M3003" t="str">
            <v>110901</v>
          </cell>
          <cell r="N3003" t="str">
            <v>ASOF : STAIN &amp; GLAZE</v>
          </cell>
        </row>
        <row r="3004">
          <cell r="C3004" t="str">
            <v>100004270</v>
          </cell>
          <cell r="D3004" t="str">
            <v>WBC-62208 BROWN BN 20 SC VN-20KP</v>
          </cell>
          <cell r="E3004" t="str">
            <v>ZFGD</v>
          </cell>
          <cell r="F3004" t="str">
            <v>PC</v>
          </cell>
          <cell r="G3004" t="str">
            <v>1</v>
          </cell>
          <cell r="H3004" t="str">
            <v>INDUSTRY</v>
          </cell>
          <cell r="I3004" t="str">
            <v>11</v>
          </cell>
          <cell r="J3004" t="str">
            <v>WOOD COATINGS</v>
          </cell>
          <cell r="K3004" t="str">
            <v>1119</v>
          </cell>
          <cell r="L3004" t="str">
            <v>WATERBASED</v>
          </cell>
          <cell r="M3004" t="str">
            <v>111902</v>
          </cell>
          <cell r="N3004" t="str">
            <v>WATERBASED SYSTEM INTERIOR</v>
          </cell>
        </row>
        <row r="3005">
          <cell r="C3005" t="str">
            <v>100004271</v>
          </cell>
          <cell r="D3005" t="str">
            <v>PCA-31100 EVEN HOTEL A TL VN-20LJ</v>
          </cell>
          <cell r="E3005" t="str">
            <v>ZFGD</v>
          </cell>
          <cell r="F3005" t="str">
            <v>PC</v>
          </cell>
          <cell r="G3005" t="str">
            <v>1</v>
          </cell>
          <cell r="H3005" t="str">
            <v>INDUSTRY</v>
          </cell>
          <cell r="I3005" t="str">
            <v>11</v>
          </cell>
          <cell r="J3005" t="str">
            <v>WOOD COATINGS</v>
          </cell>
          <cell r="K3005" t="str">
            <v>1118</v>
          </cell>
          <cell r="L3005" t="str">
            <v>COMPLEMENTARY</v>
          </cell>
          <cell r="M3005" t="str">
            <v>111807</v>
          </cell>
          <cell r="N3005" t="str">
            <v>PASTA</v>
          </cell>
        </row>
        <row r="3006">
          <cell r="C3006" t="str">
            <v>100004272</v>
          </cell>
          <cell r="D3006" t="str">
            <v>PCA-31100 EVEN HOTEL B TL VN-20LJ</v>
          </cell>
          <cell r="E3006" t="str">
            <v>ZFGD</v>
          </cell>
          <cell r="F3006" t="str">
            <v>PC</v>
          </cell>
          <cell r="G3006" t="str">
            <v>1</v>
          </cell>
          <cell r="H3006" t="str">
            <v>INDUSTRY</v>
          </cell>
          <cell r="I3006" t="str">
            <v>11</v>
          </cell>
          <cell r="J3006" t="str">
            <v>WOOD COATINGS</v>
          </cell>
          <cell r="K3006" t="str">
            <v>1118</v>
          </cell>
          <cell r="L3006" t="str">
            <v>COMPLEMENTARY</v>
          </cell>
          <cell r="M3006" t="str">
            <v>111807</v>
          </cell>
          <cell r="N3006" t="str">
            <v>PASTA</v>
          </cell>
        </row>
        <row r="3007">
          <cell r="C3007" t="str">
            <v>100004273</v>
          </cell>
          <cell r="D3007" t="str">
            <v>NCSS-30800 BC VN-200LB</v>
          </cell>
          <cell r="E3007" t="str">
            <v>ZFGD</v>
          </cell>
          <cell r="F3007" t="str">
            <v>PC</v>
          </cell>
          <cell r="G3007" t="str">
            <v>1</v>
          </cell>
          <cell r="H3007" t="str">
            <v>INDUSTRY</v>
          </cell>
          <cell r="I3007" t="str">
            <v>11</v>
          </cell>
          <cell r="J3007" t="str">
            <v>WOOD COATINGS</v>
          </cell>
          <cell r="K3007" t="str">
            <v>1104</v>
          </cell>
          <cell r="L3007" t="str">
            <v>NC</v>
          </cell>
          <cell r="M3007" t="str">
            <v>110403</v>
          </cell>
          <cell r="N3007" t="str">
            <v>ASOF : NC BASE COAT</v>
          </cell>
        </row>
        <row r="3008">
          <cell r="C3008" t="str">
            <v>100004274</v>
          </cell>
          <cell r="D3008" t="str">
            <v>NCL-40800 BC CLEAR 10 VN-200LB</v>
          </cell>
          <cell r="E3008" t="str">
            <v>ZFGD</v>
          </cell>
          <cell r="F3008" t="str">
            <v>PC</v>
          </cell>
          <cell r="G3008" t="str">
            <v>1</v>
          </cell>
          <cell r="H3008" t="str">
            <v>INDUSTRY</v>
          </cell>
          <cell r="I3008" t="str">
            <v>11</v>
          </cell>
          <cell r="J3008" t="str">
            <v>WOOD COATINGS</v>
          </cell>
          <cell r="K3008" t="str">
            <v>1104</v>
          </cell>
          <cell r="L3008" t="str">
            <v>NC</v>
          </cell>
          <cell r="M3008" t="str">
            <v>110404</v>
          </cell>
          <cell r="N3008" t="str">
            <v>ASOF : NC TOP COAT</v>
          </cell>
        </row>
        <row r="3009">
          <cell r="C3009" t="str">
            <v>100004275</v>
          </cell>
          <cell r="D3009" t="str">
            <v>NCL-40800 BC CLEAR 20 VN-200LB</v>
          </cell>
          <cell r="E3009" t="str">
            <v>ZFGD</v>
          </cell>
          <cell r="F3009" t="str">
            <v>PC</v>
          </cell>
          <cell r="G3009" t="str">
            <v>1</v>
          </cell>
          <cell r="H3009" t="str">
            <v>INDUSTRY</v>
          </cell>
          <cell r="I3009" t="str">
            <v>11</v>
          </cell>
          <cell r="J3009" t="str">
            <v>WOOD COATINGS</v>
          </cell>
          <cell r="K3009" t="str">
            <v>1104</v>
          </cell>
          <cell r="L3009" t="str">
            <v>NC</v>
          </cell>
          <cell r="M3009" t="str">
            <v>110404</v>
          </cell>
          <cell r="N3009" t="str">
            <v>ASOF : NC TOP COAT</v>
          </cell>
        </row>
        <row r="3010">
          <cell r="C3010" t="str">
            <v>100004298</v>
          </cell>
          <cell r="D3010" t="str">
            <v>PUP-52135 PIOGRE GR AT VN-20KP</v>
          </cell>
          <cell r="E3010" t="str">
            <v>ZFGD</v>
          </cell>
          <cell r="F3010" t="str">
            <v>PC</v>
          </cell>
          <cell r="G3010" t="str">
            <v>1</v>
          </cell>
          <cell r="H3010" t="str">
            <v>INDUSTRY</v>
          </cell>
          <cell r="I3010" t="str">
            <v>11</v>
          </cell>
          <cell r="J3010" t="str">
            <v>WOOD COATINGS</v>
          </cell>
          <cell r="K3010" t="str">
            <v>1103</v>
          </cell>
          <cell r="L3010" t="str">
            <v>PU</v>
          </cell>
          <cell r="M3010" t="str">
            <v>110322</v>
          </cell>
          <cell r="N3010" t="str">
            <v>PU PRIMER</v>
          </cell>
        </row>
        <row r="3011">
          <cell r="C3011" t="str">
            <v>100004299</v>
          </cell>
          <cell r="D3011" t="str">
            <v>PUC-54205 AC PIOGRE GR 10 AT VN-20KP</v>
          </cell>
          <cell r="E3011" t="str">
            <v>ZFGD</v>
          </cell>
          <cell r="F3011" t="str">
            <v>PC</v>
          </cell>
          <cell r="G3011" t="str">
            <v>1</v>
          </cell>
          <cell r="H3011" t="str">
            <v>INDUSTRY</v>
          </cell>
          <cell r="I3011" t="str">
            <v>11</v>
          </cell>
          <cell r="J3011" t="str">
            <v>WOOD COATINGS</v>
          </cell>
          <cell r="K3011" t="str">
            <v>1103</v>
          </cell>
          <cell r="L3011" t="str">
            <v>PU</v>
          </cell>
          <cell r="M3011" t="str">
            <v>110319</v>
          </cell>
          <cell r="N3011" t="str">
            <v>PU COLOR</v>
          </cell>
        </row>
        <row r="3012">
          <cell r="C3012" t="str">
            <v>100004300</v>
          </cell>
          <cell r="D3012" t="str">
            <v>PUC-54205 AC XAM02 90 CS VN-20KP</v>
          </cell>
          <cell r="E3012" t="str">
            <v>ZFGD</v>
          </cell>
          <cell r="F3012" t="str">
            <v>PC</v>
          </cell>
          <cell r="G3012" t="str">
            <v>1</v>
          </cell>
          <cell r="H3012" t="str">
            <v>INDUSTRY</v>
          </cell>
          <cell r="I3012" t="str">
            <v>11</v>
          </cell>
          <cell r="J3012" t="str">
            <v>WOOD COATINGS</v>
          </cell>
          <cell r="K3012" t="str">
            <v>1103</v>
          </cell>
          <cell r="L3012" t="str">
            <v>PU</v>
          </cell>
          <cell r="M3012" t="str">
            <v>110319</v>
          </cell>
          <cell r="N3012" t="str">
            <v>PU COLOR</v>
          </cell>
        </row>
        <row r="3013">
          <cell r="C3013" t="str">
            <v>100004305</v>
          </cell>
          <cell r="D3013" t="str">
            <v>PUC-786 2K ĐEN BÓNG SK012 VN-1KS</v>
          </cell>
          <cell r="E3013" t="str">
            <v>ZFGD</v>
          </cell>
          <cell r="F3013" t="str">
            <v>SET</v>
          </cell>
          <cell r="G3013" t="str">
            <v>2</v>
          </cell>
          <cell r="H3013" t="str">
            <v>RETAIL</v>
          </cell>
          <cell r="I3013" t="str">
            <v>22</v>
          </cell>
          <cell r="J3013" t="str">
            <v>WF2</v>
          </cell>
          <cell r="K3013" t="str">
            <v>2216</v>
          </cell>
          <cell r="L3013" t="str">
            <v>PU MULTIPURPOSE</v>
          </cell>
          <cell r="M3013" t="str">
            <v>221601</v>
          </cell>
          <cell r="N3013" t="str">
            <v>PROPAN MP PU ACR RMX</v>
          </cell>
        </row>
        <row r="3014">
          <cell r="C3014" t="str">
            <v>100004337</v>
          </cell>
          <cell r="D3014" t="str">
            <v>NCSS-11229 BC VN-180KB</v>
          </cell>
          <cell r="E3014" t="str">
            <v>ZFGD</v>
          </cell>
          <cell r="F3014" t="str">
            <v>PC</v>
          </cell>
          <cell r="G3014" t="str">
            <v>1</v>
          </cell>
          <cell r="H3014" t="str">
            <v>INDUSTRY</v>
          </cell>
          <cell r="I3014" t="str">
            <v>11</v>
          </cell>
          <cell r="J3014" t="str">
            <v>WOOD COATINGS</v>
          </cell>
          <cell r="K3014" t="str">
            <v>1104</v>
          </cell>
          <cell r="L3014" t="str">
            <v>NC</v>
          </cell>
          <cell r="M3014" t="str">
            <v>110405</v>
          </cell>
          <cell r="N3014" t="str">
            <v>NC SYSTEM</v>
          </cell>
        </row>
        <row r="3015">
          <cell r="C3015" t="str">
            <v>100004338</v>
          </cell>
          <cell r="D3015" t="str">
            <v>NCSS-11229 BC VN-18KP</v>
          </cell>
          <cell r="E3015" t="str">
            <v>ZFGD</v>
          </cell>
          <cell r="F3015" t="str">
            <v>PC</v>
          </cell>
          <cell r="G3015" t="str">
            <v>1</v>
          </cell>
          <cell r="H3015" t="str">
            <v>INDUSTRY</v>
          </cell>
          <cell r="I3015" t="str">
            <v>11</v>
          </cell>
          <cell r="J3015" t="str">
            <v>WOOD COATINGS</v>
          </cell>
          <cell r="K3015" t="str">
            <v>1104</v>
          </cell>
          <cell r="L3015" t="str">
            <v>NC</v>
          </cell>
          <cell r="M3015" t="str">
            <v>110405</v>
          </cell>
          <cell r="N3015" t="str">
            <v>NC SYSTEM</v>
          </cell>
        </row>
        <row r="3016">
          <cell r="C3016" t="str">
            <v>100004339</v>
          </cell>
          <cell r="D3016" t="str">
            <v>NCL-11329 BC CLEAR 30 VN-18KP</v>
          </cell>
          <cell r="E3016" t="str">
            <v>ZFGD</v>
          </cell>
          <cell r="F3016" t="str">
            <v>PC</v>
          </cell>
          <cell r="G3016" t="str">
            <v>1</v>
          </cell>
          <cell r="H3016" t="str">
            <v>INDUSTRY</v>
          </cell>
          <cell r="I3016" t="str">
            <v>11</v>
          </cell>
          <cell r="J3016" t="str">
            <v>WOOD COATINGS</v>
          </cell>
          <cell r="K3016" t="str">
            <v>1104</v>
          </cell>
          <cell r="L3016" t="str">
            <v>NC</v>
          </cell>
          <cell r="M3016" t="str">
            <v>110405</v>
          </cell>
          <cell r="N3016" t="str">
            <v>NC SYSTEM</v>
          </cell>
        </row>
        <row r="3017">
          <cell r="C3017" t="str">
            <v>100004340</v>
          </cell>
          <cell r="D3017" t="str">
            <v>AD-2611-44-AK-20KP</v>
          </cell>
          <cell r="E3017" t="str">
            <v>ZFGD</v>
          </cell>
          <cell r="F3017" t="str">
            <v>PC</v>
          </cell>
          <cell r="G3017" t="str">
            <v>1</v>
          </cell>
          <cell r="H3017" t="str">
            <v>INDUSTRY</v>
          </cell>
          <cell r="I3017" t="str">
            <v>11</v>
          </cell>
          <cell r="J3017" t="str">
            <v>WOOD COATINGS</v>
          </cell>
          <cell r="K3017" t="str">
            <v>1118</v>
          </cell>
          <cell r="L3017" t="str">
            <v>COMPLEMENTARY</v>
          </cell>
          <cell r="M3017" t="str">
            <v>111801</v>
          </cell>
          <cell r="N3017" t="str">
            <v>ADDITIVES</v>
          </cell>
        </row>
        <row r="3018">
          <cell r="C3018" t="str">
            <v>100004341</v>
          </cell>
          <cell r="D3018" t="str">
            <v>MEP-12003 HT01 CS VN-20KP</v>
          </cell>
          <cell r="E3018" t="str">
            <v>ZFGD</v>
          </cell>
          <cell r="F3018" t="str">
            <v>PC</v>
          </cell>
          <cell r="G3018" t="str">
            <v>1</v>
          </cell>
          <cell r="H3018" t="str">
            <v>INDUSTRY</v>
          </cell>
          <cell r="I3018" t="str">
            <v>16</v>
          </cell>
          <cell r="J3018" t="str">
            <v>METAL COATINGS</v>
          </cell>
          <cell r="K3018" t="str">
            <v>1601</v>
          </cell>
          <cell r="L3018" t="str">
            <v>METAL COATINGS</v>
          </cell>
          <cell r="M3018" t="str">
            <v>160101</v>
          </cell>
          <cell r="N3018" t="str">
            <v>METAL COATINGS</v>
          </cell>
        </row>
        <row r="3019">
          <cell r="C3019" t="str">
            <v>100004342</v>
          </cell>
          <cell r="D3019" t="str">
            <v>PUC-54206 AC EX HT01 90 CS VN-20KP</v>
          </cell>
          <cell r="E3019" t="str">
            <v>ZFGD</v>
          </cell>
          <cell r="F3019" t="str">
            <v>PC</v>
          </cell>
          <cell r="G3019" t="str">
            <v>1</v>
          </cell>
          <cell r="H3019" t="str">
            <v>INDUSTRY</v>
          </cell>
          <cell r="I3019" t="str">
            <v>11</v>
          </cell>
          <cell r="J3019" t="str">
            <v>WOOD COATINGS</v>
          </cell>
          <cell r="K3019" t="str">
            <v>1103</v>
          </cell>
          <cell r="L3019" t="str">
            <v>PU</v>
          </cell>
          <cell r="M3019" t="str">
            <v>110319</v>
          </cell>
          <cell r="N3019" t="str">
            <v>PU COLOR</v>
          </cell>
        </row>
        <row r="3020">
          <cell r="C3020" t="str">
            <v>100004343</v>
          </cell>
          <cell r="D3020" t="str">
            <v>PUP-52141 PIOGRE GR AT VN-20KP</v>
          </cell>
          <cell r="E3020" t="str">
            <v>ZFGD</v>
          </cell>
          <cell r="F3020" t="str">
            <v>PC</v>
          </cell>
          <cell r="G3020" t="str">
            <v>1</v>
          </cell>
          <cell r="H3020" t="str">
            <v>INDUSTRY</v>
          </cell>
          <cell r="I3020" t="str">
            <v>11</v>
          </cell>
          <cell r="J3020" t="str">
            <v>WOOD COATINGS</v>
          </cell>
          <cell r="K3020" t="str">
            <v>1103</v>
          </cell>
          <cell r="L3020" t="str">
            <v>PU</v>
          </cell>
          <cell r="M3020" t="str">
            <v>110322</v>
          </cell>
          <cell r="N3020" t="str">
            <v>PU PRIMER</v>
          </cell>
        </row>
        <row r="3021">
          <cell r="C3021" t="str">
            <v>100004346</v>
          </cell>
          <cell r="D3021" t="str">
            <v>PUC-54206 AC EX HT01 90 CS VN-4K</v>
          </cell>
          <cell r="E3021" t="str">
            <v>ZFGD</v>
          </cell>
          <cell r="F3021" t="str">
            <v>PC</v>
          </cell>
          <cell r="G3021" t="str">
            <v>1</v>
          </cell>
          <cell r="H3021" t="str">
            <v>INDUSTRY</v>
          </cell>
          <cell r="I3021" t="str">
            <v>11</v>
          </cell>
          <cell r="J3021" t="str">
            <v>WOOD COATINGS</v>
          </cell>
          <cell r="K3021" t="str">
            <v>1103</v>
          </cell>
          <cell r="L3021" t="str">
            <v>PU</v>
          </cell>
          <cell r="M3021" t="str">
            <v>110319</v>
          </cell>
          <cell r="N3021" t="str">
            <v>PU COLOR</v>
          </cell>
        </row>
        <row r="3022">
          <cell r="C3022" t="str">
            <v>100004347</v>
          </cell>
          <cell r="D3022" t="str">
            <v>MEP-12003 HT01 CS VN-4.5K</v>
          </cell>
          <cell r="E3022" t="str">
            <v>ZFGD</v>
          </cell>
          <cell r="F3022" t="str">
            <v>PC</v>
          </cell>
          <cell r="G3022" t="str">
            <v>1</v>
          </cell>
          <cell r="H3022" t="str">
            <v>INDUSTRY</v>
          </cell>
          <cell r="I3022" t="str">
            <v>16</v>
          </cell>
          <cell r="J3022" t="str">
            <v>METAL COATINGS</v>
          </cell>
          <cell r="K3022" t="str">
            <v>1601</v>
          </cell>
          <cell r="L3022" t="str">
            <v>METAL COATINGS</v>
          </cell>
          <cell r="M3022" t="str">
            <v>160101</v>
          </cell>
          <cell r="N3022" t="str">
            <v>METAL COATINGS</v>
          </cell>
        </row>
        <row r="3023">
          <cell r="C3023" t="str">
            <v>100004348</v>
          </cell>
          <cell r="D3023" t="str">
            <v>THNC-71100 SD VN-5L</v>
          </cell>
          <cell r="E3023" t="str">
            <v>ZFGD</v>
          </cell>
          <cell r="F3023" t="str">
            <v>PC</v>
          </cell>
          <cell r="G3023" t="str">
            <v>1</v>
          </cell>
          <cell r="H3023" t="str">
            <v>INDUSTRY</v>
          </cell>
          <cell r="I3023" t="str">
            <v>14</v>
          </cell>
          <cell r="J3023" t="str">
            <v>THINNER</v>
          </cell>
          <cell r="K3023" t="str">
            <v>1412</v>
          </cell>
          <cell r="L3023" t="str">
            <v>THINNER NC</v>
          </cell>
          <cell r="M3023" t="str">
            <v>141205</v>
          </cell>
          <cell r="N3023" t="str">
            <v>THINNER NC</v>
          </cell>
        </row>
        <row r="3024">
          <cell r="C3024" t="str">
            <v>100004349</v>
          </cell>
          <cell r="D3024" t="str">
            <v>THPU-71306 ST VN-5L</v>
          </cell>
          <cell r="E3024" t="str">
            <v>ZFGD</v>
          </cell>
          <cell r="F3024" t="str">
            <v>PC</v>
          </cell>
          <cell r="G3024" t="str">
            <v>1</v>
          </cell>
          <cell r="H3024" t="str">
            <v>INDUSTRY</v>
          </cell>
          <cell r="I3024" t="str">
            <v>14</v>
          </cell>
          <cell r="J3024" t="str">
            <v>THINNER</v>
          </cell>
          <cell r="K3024" t="str">
            <v>1411</v>
          </cell>
          <cell r="L3024" t="str">
            <v>THINNER PU</v>
          </cell>
          <cell r="M3024" t="str">
            <v>141101</v>
          </cell>
          <cell r="N3024" t="str">
            <v>THINNER PU</v>
          </cell>
        </row>
        <row r="3025">
          <cell r="C3025" t="str">
            <v>100004350</v>
          </cell>
          <cell r="D3025" t="str">
            <v>NCSS-30800 BC VN-18KP</v>
          </cell>
          <cell r="E3025" t="str">
            <v>ZFGD</v>
          </cell>
          <cell r="F3025" t="str">
            <v>PC</v>
          </cell>
          <cell r="G3025" t="str">
            <v>1</v>
          </cell>
          <cell r="H3025" t="str">
            <v>INDUSTRY</v>
          </cell>
          <cell r="I3025" t="str">
            <v>11</v>
          </cell>
          <cell r="J3025" t="str">
            <v>WOOD COATINGS</v>
          </cell>
          <cell r="K3025" t="str">
            <v>1104</v>
          </cell>
          <cell r="L3025" t="str">
            <v>NC</v>
          </cell>
          <cell r="M3025" t="str">
            <v>110403</v>
          </cell>
          <cell r="N3025" t="str">
            <v>ASOF : NC BASE COAT</v>
          </cell>
        </row>
        <row r="3026">
          <cell r="C3026" t="str">
            <v>100004351</v>
          </cell>
          <cell r="D3026" t="str">
            <v>NCL-40800 BC CLEAR 20 VN-18KP</v>
          </cell>
          <cell r="E3026" t="str">
            <v>ZFGD</v>
          </cell>
          <cell r="F3026" t="str">
            <v>PC</v>
          </cell>
          <cell r="G3026" t="str">
            <v>1</v>
          </cell>
          <cell r="H3026" t="str">
            <v>INDUSTRY</v>
          </cell>
          <cell r="I3026" t="str">
            <v>11</v>
          </cell>
          <cell r="J3026" t="str">
            <v>WOOD COATINGS</v>
          </cell>
          <cell r="K3026" t="str">
            <v>1104</v>
          </cell>
          <cell r="L3026" t="str">
            <v>NC</v>
          </cell>
          <cell r="M3026" t="str">
            <v>110404</v>
          </cell>
          <cell r="N3026" t="str">
            <v>ASOF : NC TOP COAT</v>
          </cell>
        </row>
        <row r="3027">
          <cell r="C3027" t="str">
            <v>100004352</v>
          </cell>
          <cell r="D3027" t="str">
            <v>THNC-71100 BC VN-180KK</v>
          </cell>
          <cell r="E3027" t="str">
            <v>ZFGD</v>
          </cell>
          <cell r="F3027" t="str">
            <v>PC</v>
          </cell>
          <cell r="G3027" t="str">
            <v>1</v>
          </cell>
          <cell r="H3027" t="str">
            <v>INDUSTRY</v>
          </cell>
          <cell r="I3027" t="str">
            <v>14</v>
          </cell>
          <cell r="J3027" t="str">
            <v>THINNER</v>
          </cell>
          <cell r="K3027" t="str">
            <v>1412</v>
          </cell>
          <cell r="L3027" t="str">
            <v>THINNER NC</v>
          </cell>
          <cell r="M3027" t="str">
            <v>141205</v>
          </cell>
          <cell r="N3027" t="str">
            <v>THINNER NC</v>
          </cell>
        </row>
        <row r="3028">
          <cell r="C3028" t="str">
            <v>100004353</v>
          </cell>
          <cell r="D3028" t="str">
            <v>THGZ-72200 VN-160KK</v>
          </cell>
          <cell r="E3028" t="str">
            <v>ZFGD</v>
          </cell>
          <cell r="F3028" t="str">
            <v>PC</v>
          </cell>
          <cell r="G3028" t="str">
            <v>1</v>
          </cell>
          <cell r="H3028" t="str">
            <v>INDUSTRY</v>
          </cell>
          <cell r="I3028" t="str">
            <v>14</v>
          </cell>
          <cell r="J3028" t="str">
            <v>THINNER</v>
          </cell>
          <cell r="K3028" t="str">
            <v>1412</v>
          </cell>
          <cell r="L3028" t="str">
            <v>THINNER NC</v>
          </cell>
          <cell r="M3028" t="str">
            <v>141204</v>
          </cell>
          <cell r="N3028" t="str">
            <v>THINNER GLAZE</v>
          </cell>
        </row>
        <row r="3029">
          <cell r="C3029" t="str">
            <v>100004354</v>
          </cell>
          <cell r="D3029" t="str">
            <v>THPU-71306 KD VN-180KK</v>
          </cell>
          <cell r="E3029" t="str">
            <v>ZFGD</v>
          </cell>
          <cell r="F3029" t="str">
            <v>PC</v>
          </cell>
          <cell r="G3029" t="str">
            <v>1</v>
          </cell>
          <cell r="H3029" t="str">
            <v>INDUSTRY</v>
          </cell>
          <cell r="I3029" t="str">
            <v>14</v>
          </cell>
          <cell r="J3029" t="str">
            <v>THINNER</v>
          </cell>
          <cell r="K3029" t="str">
            <v>1411</v>
          </cell>
          <cell r="L3029" t="str">
            <v>THINNER PU</v>
          </cell>
          <cell r="M3029" t="str">
            <v>141101</v>
          </cell>
          <cell r="N3029" t="str">
            <v>THINNER PU</v>
          </cell>
        </row>
        <row r="3030">
          <cell r="C3030" t="str">
            <v>100004355</v>
          </cell>
          <cell r="D3030" t="str">
            <v>RD-74103 VN-180KK</v>
          </cell>
          <cell r="E3030" t="str">
            <v>ZFGD</v>
          </cell>
          <cell r="F3030" t="str">
            <v>PC</v>
          </cell>
          <cell r="G3030" t="str">
            <v>1</v>
          </cell>
          <cell r="H3030" t="str">
            <v>INDUSTRY</v>
          </cell>
          <cell r="I3030" t="str">
            <v>11</v>
          </cell>
          <cell r="J3030" t="str">
            <v>WOOD COATINGS</v>
          </cell>
          <cell r="K3030" t="str">
            <v>1118</v>
          </cell>
          <cell r="L3030" t="str">
            <v>COMPLEMENTARY</v>
          </cell>
          <cell r="M3030" t="str">
            <v>111809</v>
          </cell>
          <cell r="N3030" t="str">
            <v>RETARDER</v>
          </cell>
        </row>
        <row r="3031">
          <cell r="C3031" t="str">
            <v>100004356</v>
          </cell>
          <cell r="D3031" t="str">
            <v>RD-74103 VN-18KJ</v>
          </cell>
          <cell r="E3031" t="str">
            <v>ZFGD</v>
          </cell>
          <cell r="F3031" t="str">
            <v>PC</v>
          </cell>
          <cell r="G3031" t="str">
            <v>1</v>
          </cell>
          <cell r="H3031" t="str">
            <v>INDUSTRY</v>
          </cell>
          <cell r="I3031" t="str">
            <v>11</v>
          </cell>
          <cell r="J3031" t="str">
            <v>WOOD COATINGS</v>
          </cell>
          <cell r="K3031" t="str">
            <v>1118</v>
          </cell>
          <cell r="L3031" t="str">
            <v>COMPLEMENTARY</v>
          </cell>
          <cell r="M3031" t="str">
            <v>111809</v>
          </cell>
          <cell r="N3031" t="str">
            <v>RETARDER</v>
          </cell>
        </row>
        <row r="3032">
          <cell r="C3032" t="str">
            <v>100004357</v>
          </cell>
          <cell r="D3032" t="str">
            <v>SYNTHETIC 2000 BLACK VN-4K</v>
          </cell>
          <cell r="E3032" t="str">
            <v>ZFGD</v>
          </cell>
          <cell r="F3032" t="str">
            <v>PC</v>
          </cell>
          <cell r="G3032" t="str">
            <v>5</v>
          </cell>
          <cell r="H3032" t="str">
            <v>PROJECT</v>
          </cell>
          <cell r="I3032" t="str">
            <v>59</v>
          </cell>
          <cell r="J3032" t="str">
            <v>MPC</v>
          </cell>
          <cell r="K3032" t="str">
            <v>5902</v>
          </cell>
          <cell r="L3032" t="str">
            <v>SYNTHETIC ENAMEL SB</v>
          </cell>
          <cell r="M3032" t="str">
            <v>590202</v>
          </cell>
          <cell r="N3032" t="str">
            <v>SYNTHETIC 2000</v>
          </cell>
        </row>
        <row r="3033">
          <cell r="C3033" t="str">
            <v>100004358</v>
          </cell>
          <cell r="D3033" t="str">
            <v>PUP-54106 AC EX BLACK VN-20KP</v>
          </cell>
          <cell r="E3033" t="str">
            <v>ZFGD</v>
          </cell>
          <cell r="F3033" t="str">
            <v>PC</v>
          </cell>
          <cell r="G3033" t="str">
            <v>1</v>
          </cell>
          <cell r="H3033" t="str">
            <v>INDUSTRY</v>
          </cell>
          <cell r="I3033" t="str">
            <v>11</v>
          </cell>
          <cell r="J3033" t="str">
            <v>WOOD COATINGS</v>
          </cell>
          <cell r="K3033" t="str">
            <v>1103</v>
          </cell>
          <cell r="L3033" t="str">
            <v>PU</v>
          </cell>
          <cell r="M3033" t="str">
            <v>110322</v>
          </cell>
          <cell r="N3033" t="str">
            <v>PU PRIMER</v>
          </cell>
        </row>
        <row r="3034">
          <cell r="C3034" t="str">
            <v>100004359</v>
          </cell>
          <cell r="D3034" t="str">
            <v>PUH-56141 GS VN-4K</v>
          </cell>
          <cell r="E3034" t="str">
            <v>ZFGD</v>
          </cell>
          <cell r="F3034" t="str">
            <v>PC</v>
          </cell>
          <cell r="G3034" t="str">
            <v>1</v>
          </cell>
          <cell r="H3034" t="str">
            <v>INDUSTRY</v>
          </cell>
          <cell r="I3034" t="str">
            <v>11</v>
          </cell>
          <cell r="J3034" t="str">
            <v>WOOD COATINGS</v>
          </cell>
          <cell r="K3034" t="str">
            <v>1103</v>
          </cell>
          <cell r="L3034" t="str">
            <v>PU</v>
          </cell>
          <cell r="M3034" t="str">
            <v>110320</v>
          </cell>
          <cell r="N3034" t="str">
            <v>PU HARDENER</v>
          </cell>
        </row>
        <row r="3035">
          <cell r="C3035" t="str">
            <v>100004360</v>
          </cell>
          <cell r="D3035" t="str">
            <v>PUH-56141 GS VN-20KP</v>
          </cell>
          <cell r="E3035" t="str">
            <v>ZFGD</v>
          </cell>
          <cell r="F3035" t="str">
            <v>PC</v>
          </cell>
          <cell r="G3035" t="str">
            <v>1</v>
          </cell>
          <cell r="H3035" t="str">
            <v>INDUSTRY</v>
          </cell>
          <cell r="I3035" t="str">
            <v>11</v>
          </cell>
          <cell r="J3035" t="str">
            <v>WOOD COATINGS</v>
          </cell>
          <cell r="K3035" t="str">
            <v>1103</v>
          </cell>
          <cell r="L3035" t="str">
            <v>PU</v>
          </cell>
          <cell r="M3035" t="str">
            <v>110320</v>
          </cell>
          <cell r="N3035" t="str">
            <v>PU HARDENER</v>
          </cell>
        </row>
        <row r="3036">
          <cell r="C3036" t="str">
            <v>100004361</v>
          </cell>
          <cell r="D3036" t="str">
            <v>TOL-76301 N ACT 01 F1 VN-20LJ</v>
          </cell>
          <cell r="E3036" t="str">
            <v>ZFGD</v>
          </cell>
          <cell r="F3036" t="str">
            <v>PC</v>
          </cell>
          <cell r="G3036" t="str">
            <v>1</v>
          </cell>
          <cell r="H3036" t="str">
            <v>INDUSTRY</v>
          </cell>
          <cell r="I3036" t="str">
            <v>11</v>
          </cell>
          <cell r="J3036" t="str">
            <v>WOOD COATINGS</v>
          </cell>
          <cell r="K3036" t="str">
            <v>1101</v>
          </cell>
          <cell r="L3036" t="str">
            <v>ALKYD OIL</v>
          </cell>
          <cell r="M3036" t="str">
            <v>110101</v>
          </cell>
          <cell r="N3036" t="str">
            <v>ALKYD &amp; OIL SYSTEM</v>
          </cell>
        </row>
        <row r="3037">
          <cell r="C3037" t="str">
            <v>100004362</v>
          </cell>
          <cell r="D3037" t="str">
            <v>DP-12123 BC 42 MQ VN-20KP</v>
          </cell>
          <cell r="E3037" t="str">
            <v>ZFGD</v>
          </cell>
          <cell r="F3037" t="str">
            <v>PC</v>
          </cell>
          <cell r="G3037" t="str">
            <v>1</v>
          </cell>
          <cell r="H3037" t="str">
            <v>INDUSTRY</v>
          </cell>
          <cell r="I3037" t="str">
            <v>11</v>
          </cell>
          <cell r="J3037" t="str">
            <v>WOOD COATINGS</v>
          </cell>
          <cell r="K3037" t="str">
            <v>1104</v>
          </cell>
          <cell r="L3037" t="str">
            <v>NC</v>
          </cell>
          <cell r="M3037" t="str">
            <v>110405</v>
          </cell>
          <cell r="N3037" t="str">
            <v>NC SYSTEM</v>
          </cell>
        </row>
        <row r="3038">
          <cell r="C3038" t="str">
            <v>100004363</v>
          </cell>
          <cell r="D3038" t="str">
            <v>NCL-11301 AC CLEAR 10 VN-20LP</v>
          </cell>
          <cell r="E3038" t="str">
            <v>ZFGD</v>
          </cell>
          <cell r="F3038" t="str">
            <v>PC</v>
          </cell>
          <cell r="G3038" t="str">
            <v>1</v>
          </cell>
          <cell r="H3038" t="str">
            <v>INDUSTRY</v>
          </cell>
          <cell r="I3038" t="str">
            <v>11</v>
          </cell>
          <cell r="J3038" t="str">
            <v>WOOD COATINGS</v>
          </cell>
          <cell r="K3038" t="str">
            <v>1104</v>
          </cell>
          <cell r="L3038" t="str">
            <v>NC</v>
          </cell>
          <cell r="M3038" t="str">
            <v>110405</v>
          </cell>
          <cell r="N3038" t="str">
            <v>NC SYSTEM</v>
          </cell>
        </row>
        <row r="3039">
          <cell r="C3039" t="str">
            <v>100004365</v>
          </cell>
          <cell r="D3039" t="str">
            <v>PG-13900 LIME WASH KD MY-20KP</v>
          </cell>
          <cell r="E3039" t="str">
            <v>ZFGD</v>
          </cell>
          <cell r="F3039" t="str">
            <v>PC</v>
          </cell>
          <cell r="G3039" t="str">
            <v>1</v>
          </cell>
          <cell r="H3039" t="str">
            <v>INDUSTRY</v>
          </cell>
          <cell r="I3039" t="str">
            <v>11</v>
          </cell>
          <cell r="J3039" t="str">
            <v>WOOD COATINGS</v>
          </cell>
          <cell r="K3039" t="str">
            <v>1109</v>
          </cell>
          <cell r="L3039" t="str">
            <v>STAIN &amp; GLAZE INTERIOR</v>
          </cell>
          <cell r="M3039" t="str">
            <v>110901</v>
          </cell>
          <cell r="N3039" t="str">
            <v>ASOF : STAIN &amp; GLAZE</v>
          </cell>
        </row>
        <row r="3040">
          <cell r="C3040" t="str">
            <v>100004366</v>
          </cell>
          <cell r="D3040" t="str">
            <v>TOL-76114 W MQ VN-20LJ</v>
          </cell>
          <cell r="E3040" t="str">
            <v>ZFGD</v>
          </cell>
          <cell r="F3040" t="str">
            <v>PC</v>
          </cell>
          <cell r="G3040" t="str">
            <v>1</v>
          </cell>
          <cell r="H3040" t="str">
            <v>INDUSTRY</v>
          </cell>
          <cell r="I3040" t="str">
            <v>11</v>
          </cell>
          <cell r="J3040" t="str">
            <v>WOOD COATINGS</v>
          </cell>
          <cell r="K3040" t="str">
            <v>1101</v>
          </cell>
          <cell r="L3040" t="str">
            <v>ALKYD OIL</v>
          </cell>
          <cell r="M3040" t="str">
            <v>110101</v>
          </cell>
          <cell r="N3040" t="str">
            <v>ALKYD &amp; OIL SYSTEM</v>
          </cell>
        </row>
        <row r="3041">
          <cell r="C3041" t="str">
            <v>100004367</v>
          </cell>
          <cell r="D3041" t="str">
            <v>PCA-31102 YELLOW GXW PASTE-4K</v>
          </cell>
          <cell r="E3041" t="str">
            <v>ZFGD</v>
          </cell>
          <cell r="F3041" t="str">
            <v>PC</v>
          </cell>
          <cell r="G3041" t="str">
            <v>1</v>
          </cell>
          <cell r="H3041" t="str">
            <v>INDUSTRY</v>
          </cell>
          <cell r="I3041" t="str">
            <v>11</v>
          </cell>
          <cell r="J3041" t="str">
            <v>WOOD COATINGS</v>
          </cell>
          <cell r="K3041" t="str">
            <v>1118</v>
          </cell>
          <cell r="L3041" t="str">
            <v>COMPLEMENTARY</v>
          </cell>
          <cell r="M3041" t="str">
            <v>111807</v>
          </cell>
          <cell r="N3041" t="str">
            <v>PASTA</v>
          </cell>
        </row>
        <row r="3042">
          <cell r="C3042" t="str">
            <v>100004368</v>
          </cell>
          <cell r="D3042" t="str">
            <v>PUC-52239 SX 094 20 TL VN-20KP</v>
          </cell>
          <cell r="E3042" t="str">
            <v>ZFGD</v>
          </cell>
          <cell r="F3042" t="str">
            <v>PC</v>
          </cell>
          <cell r="G3042" t="str">
            <v>1</v>
          </cell>
          <cell r="H3042" t="str">
            <v>INDUSTRY</v>
          </cell>
          <cell r="I3042" t="str">
            <v>11</v>
          </cell>
          <cell r="J3042" t="str">
            <v>WOOD COATINGS</v>
          </cell>
          <cell r="K3042" t="str">
            <v>1103</v>
          </cell>
          <cell r="L3042" t="str">
            <v>PU</v>
          </cell>
          <cell r="M3042" t="str">
            <v>110319</v>
          </cell>
          <cell r="N3042" t="str">
            <v>PU COLOR</v>
          </cell>
        </row>
        <row r="3043">
          <cell r="C3043" t="str">
            <v>100004369</v>
          </cell>
          <cell r="D3043" t="str">
            <v>DP-12123 XAM01 MG VN-20KP</v>
          </cell>
          <cell r="E3043" t="str">
            <v>ZFGD</v>
          </cell>
          <cell r="F3043" t="str">
            <v>PC</v>
          </cell>
          <cell r="G3043" t="str">
            <v>1</v>
          </cell>
          <cell r="H3043" t="str">
            <v>INDUSTRY</v>
          </cell>
          <cell r="I3043" t="str">
            <v>11</v>
          </cell>
          <cell r="J3043" t="str">
            <v>WOOD COATINGS</v>
          </cell>
          <cell r="K3043" t="str">
            <v>1104</v>
          </cell>
          <cell r="L3043" t="str">
            <v>NC</v>
          </cell>
          <cell r="M3043" t="str">
            <v>110405</v>
          </cell>
          <cell r="N3043" t="str">
            <v>NC SYSTEM</v>
          </cell>
        </row>
        <row r="3044">
          <cell r="C3044" t="str">
            <v>100004370</v>
          </cell>
          <cell r="D3044" t="str">
            <v>GZ-12700 N XAM01 MG VN-18KP</v>
          </cell>
          <cell r="E3044" t="str">
            <v>ZFGD</v>
          </cell>
          <cell r="F3044" t="str">
            <v>PC</v>
          </cell>
          <cell r="G3044" t="str">
            <v>1</v>
          </cell>
          <cell r="H3044" t="str">
            <v>INDUSTRY</v>
          </cell>
          <cell r="I3044" t="str">
            <v>11</v>
          </cell>
          <cell r="J3044" t="str">
            <v>WOOD COATINGS</v>
          </cell>
          <cell r="K3044" t="str">
            <v>1109</v>
          </cell>
          <cell r="L3044" t="str">
            <v>STAIN &amp; GLAZE INTERIOR</v>
          </cell>
          <cell r="M3044" t="str">
            <v>110901</v>
          </cell>
          <cell r="N3044" t="str">
            <v>ASOF : STAIN &amp; GLAZE</v>
          </cell>
        </row>
        <row r="3045">
          <cell r="C3045" t="str">
            <v>100004371</v>
          </cell>
          <cell r="D3045" t="str">
            <v>SST-11100 XAM01 MG VN-20LJ</v>
          </cell>
          <cell r="E3045" t="str">
            <v>ZFGD</v>
          </cell>
          <cell r="F3045" t="str">
            <v>PC</v>
          </cell>
          <cell r="G3045" t="str">
            <v>1</v>
          </cell>
          <cell r="H3045" t="str">
            <v>INDUSTRY</v>
          </cell>
          <cell r="I3045" t="str">
            <v>11</v>
          </cell>
          <cell r="J3045" t="str">
            <v>WOOD COATINGS</v>
          </cell>
          <cell r="K3045" t="str">
            <v>1109</v>
          </cell>
          <cell r="L3045" t="str">
            <v>STAIN &amp; GLAZE INTERIOR</v>
          </cell>
          <cell r="M3045" t="str">
            <v>110903</v>
          </cell>
          <cell r="N3045" t="str">
            <v>STAIN INTERIOR</v>
          </cell>
        </row>
        <row r="3046">
          <cell r="C3046" t="str">
            <v>100004372</v>
          </cell>
          <cell r="D3046" t="str">
            <v>GZWB-21408 PG VN-20KP</v>
          </cell>
          <cell r="E3046" t="str">
            <v>ZFGD</v>
          </cell>
          <cell r="F3046" t="str">
            <v>PC</v>
          </cell>
          <cell r="G3046" t="str">
            <v>1</v>
          </cell>
          <cell r="H3046" t="str">
            <v>INDUSTRY</v>
          </cell>
          <cell r="I3046" t="str">
            <v>11</v>
          </cell>
          <cell r="J3046" t="str">
            <v>WOOD COATINGS</v>
          </cell>
          <cell r="K3046" t="str">
            <v>1119</v>
          </cell>
          <cell r="L3046" t="str">
            <v>WATERBASED</v>
          </cell>
          <cell r="M3046" t="str">
            <v>111902</v>
          </cell>
          <cell r="N3046" t="str">
            <v>WATERBASED SYSTEM INTERIOR</v>
          </cell>
        </row>
        <row r="3047">
          <cell r="C3047" t="str">
            <v>100004373</v>
          </cell>
          <cell r="D3047" t="str">
            <v>PUC-54206 AC EX CAPPU 05 MK VN-20KP</v>
          </cell>
          <cell r="E3047" t="str">
            <v>ZFGD</v>
          </cell>
          <cell r="F3047" t="str">
            <v>PC</v>
          </cell>
          <cell r="G3047" t="str">
            <v>1</v>
          </cell>
          <cell r="H3047" t="str">
            <v>INDUSTRY</v>
          </cell>
          <cell r="I3047" t="str">
            <v>11</v>
          </cell>
          <cell r="J3047" t="str">
            <v>WOOD COATINGS</v>
          </cell>
          <cell r="K3047" t="str">
            <v>1103</v>
          </cell>
          <cell r="L3047" t="str">
            <v>PU</v>
          </cell>
          <cell r="M3047" t="str">
            <v>110319</v>
          </cell>
          <cell r="N3047" t="str">
            <v>PU COLOR</v>
          </cell>
        </row>
        <row r="3048">
          <cell r="C3048" t="str">
            <v>100004374</v>
          </cell>
          <cell r="D3048" t="str">
            <v>UVP-60501 MSB SC VN-20KP</v>
          </cell>
          <cell r="E3048" t="str">
            <v>ZFGD</v>
          </cell>
          <cell r="F3048" t="str">
            <v>PC</v>
          </cell>
          <cell r="G3048" t="str">
            <v>1</v>
          </cell>
          <cell r="H3048" t="str">
            <v>INDUSTRY</v>
          </cell>
          <cell r="I3048" t="str">
            <v>11</v>
          </cell>
          <cell r="J3048" t="str">
            <v>WOOD COATINGS</v>
          </cell>
          <cell r="K3048" t="str">
            <v>1106</v>
          </cell>
          <cell r="L3048" t="str">
            <v>UV</v>
          </cell>
          <cell r="M3048" t="str">
            <v>110604</v>
          </cell>
          <cell r="N3048" t="str">
            <v>UV PRIMER</v>
          </cell>
        </row>
        <row r="3049">
          <cell r="C3049" t="str">
            <v>100004375</v>
          </cell>
          <cell r="D3049" t="str">
            <v>UVP-60501 CNR SC VN-20KP</v>
          </cell>
          <cell r="E3049" t="str">
            <v>ZFGD</v>
          </cell>
          <cell r="F3049" t="str">
            <v>PC</v>
          </cell>
          <cell r="G3049" t="str">
            <v>1</v>
          </cell>
          <cell r="H3049" t="str">
            <v>INDUSTRY</v>
          </cell>
          <cell r="I3049" t="str">
            <v>11</v>
          </cell>
          <cell r="J3049" t="str">
            <v>WOOD COATINGS</v>
          </cell>
          <cell r="K3049" t="str">
            <v>1106</v>
          </cell>
          <cell r="L3049" t="str">
            <v>UV</v>
          </cell>
          <cell r="M3049" t="str">
            <v>110604</v>
          </cell>
          <cell r="N3049" t="str">
            <v>UV PRIMER</v>
          </cell>
        </row>
        <row r="3050">
          <cell r="C3050" t="str">
            <v>100004378</v>
          </cell>
          <cell r="D3050" t="str">
            <v>2K ACRYLIC TRẮNG MỜ VN-5KS</v>
          </cell>
          <cell r="E3050" t="str">
            <v>ZFGD</v>
          </cell>
          <cell r="F3050" t="str">
            <v>SET</v>
          </cell>
          <cell r="G3050" t="str">
            <v>2</v>
          </cell>
          <cell r="H3050" t="str">
            <v>RETAIL</v>
          </cell>
          <cell r="I3050" t="str">
            <v>22</v>
          </cell>
          <cell r="J3050" t="str">
            <v>WF2</v>
          </cell>
          <cell r="K3050" t="str">
            <v>2216</v>
          </cell>
          <cell r="L3050" t="str">
            <v>PU MULTIPURPOSE</v>
          </cell>
          <cell r="M3050" t="str">
            <v>221601</v>
          </cell>
          <cell r="N3050" t="str">
            <v>PROPAN MP PU ACR RMX</v>
          </cell>
        </row>
        <row r="3051">
          <cell r="C3051" t="str">
            <v>100004388</v>
          </cell>
          <cell r="D3051" t="str">
            <v>NCE-45000 XANH02 80 MG VN-20KP</v>
          </cell>
          <cell r="E3051" t="str">
            <v>ZFGD</v>
          </cell>
          <cell r="F3051" t="str">
            <v>PC</v>
          </cell>
          <cell r="G3051" t="str">
            <v>1</v>
          </cell>
          <cell r="H3051" t="str">
            <v>INDUSTRY</v>
          </cell>
          <cell r="I3051" t="str">
            <v>11</v>
          </cell>
          <cell r="J3051" t="str">
            <v>WOOD COATINGS</v>
          </cell>
          <cell r="K3051" t="str">
            <v>1104</v>
          </cell>
          <cell r="L3051" t="str">
            <v>NC</v>
          </cell>
          <cell r="M3051" t="str">
            <v>110404</v>
          </cell>
          <cell r="N3051" t="str">
            <v>ASOF : NC TOP COAT</v>
          </cell>
        </row>
        <row r="3052">
          <cell r="C3052" t="str">
            <v>100004389</v>
          </cell>
          <cell r="D3052" t="str">
            <v>THC-73100 109 VN-16KJ</v>
          </cell>
          <cell r="E3052" t="str">
            <v>ZFGD</v>
          </cell>
          <cell r="F3052" t="str">
            <v>PC</v>
          </cell>
          <cell r="G3052" t="str">
            <v>1</v>
          </cell>
          <cell r="H3052" t="str">
            <v>INDUSTRY</v>
          </cell>
          <cell r="I3052" t="str">
            <v>14</v>
          </cell>
          <cell r="J3052" t="str">
            <v>THINNER</v>
          </cell>
          <cell r="K3052" t="str">
            <v>1412</v>
          </cell>
          <cell r="L3052" t="str">
            <v>THINNER NC</v>
          </cell>
          <cell r="M3052" t="str">
            <v>141203</v>
          </cell>
          <cell r="N3052" t="str">
            <v>THINNER COMPLEMENTARY</v>
          </cell>
        </row>
        <row r="3053">
          <cell r="C3053" t="str">
            <v>100004390</v>
          </cell>
          <cell r="D3053" t="str">
            <v>PUC-52239 SONOMA PT01 10 TL VN-20KP</v>
          </cell>
          <cell r="E3053" t="str">
            <v>ZFGD</v>
          </cell>
          <cell r="F3053" t="str">
            <v>PC</v>
          </cell>
          <cell r="G3053" t="str">
            <v>1</v>
          </cell>
          <cell r="H3053" t="str">
            <v>INDUSTRY</v>
          </cell>
          <cell r="I3053" t="str">
            <v>11</v>
          </cell>
          <cell r="J3053" t="str">
            <v>WOOD COATINGS</v>
          </cell>
          <cell r="K3053" t="str">
            <v>1103</v>
          </cell>
          <cell r="L3053" t="str">
            <v>PU</v>
          </cell>
          <cell r="M3053" t="str">
            <v>110319</v>
          </cell>
          <cell r="N3053" t="str">
            <v>PU COLOR</v>
          </cell>
        </row>
        <row r="3054">
          <cell r="C3054" t="str">
            <v>100004391</v>
          </cell>
          <cell r="D3054" t="str">
            <v>PUC-52239 PT02 10 TL VN-20KP</v>
          </cell>
          <cell r="E3054" t="str">
            <v>ZFGD</v>
          </cell>
          <cell r="F3054" t="str">
            <v>PC</v>
          </cell>
          <cell r="G3054" t="str">
            <v>1</v>
          </cell>
          <cell r="H3054" t="str">
            <v>INDUSTRY</v>
          </cell>
          <cell r="I3054" t="str">
            <v>11</v>
          </cell>
          <cell r="J3054" t="str">
            <v>WOOD COATINGS</v>
          </cell>
          <cell r="K3054" t="str">
            <v>1103</v>
          </cell>
          <cell r="L3054" t="str">
            <v>PU</v>
          </cell>
          <cell r="M3054" t="str">
            <v>110319</v>
          </cell>
          <cell r="N3054" t="str">
            <v>PU COLOR</v>
          </cell>
        </row>
        <row r="3055">
          <cell r="C3055" t="str">
            <v>100004392</v>
          </cell>
          <cell r="D3055" t="str">
            <v>PUC-52239 PT03 10 TL VN-20KP</v>
          </cell>
          <cell r="E3055" t="str">
            <v>ZFGD</v>
          </cell>
          <cell r="F3055" t="str">
            <v>PC</v>
          </cell>
          <cell r="G3055" t="str">
            <v>1</v>
          </cell>
          <cell r="H3055" t="str">
            <v>INDUSTRY</v>
          </cell>
          <cell r="I3055" t="str">
            <v>11</v>
          </cell>
          <cell r="J3055" t="str">
            <v>WOOD COATINGS</v>
          </cell>
          <cell r="K3055" t="str">
            <v>1103</v>
          </cell>
          <cell r="L3055" t="str">
            <v>PU</v>
          </cell>
          <cell r="M3055" t="str">
            <v>110319</v>
          </cell>
          <cell r="N3055" t="str">
            <v>PU COLOR</v>
          </cell>
        </row>
        <row r="3056">
          <cell r="C3056" t="str">
            <v>100004393</v>
          </cell>
          <cell r="D3056" t="str">
            <v>WBC-64217 EX BWH 08 SC VN-20KP</v>
          </cell>
          <cell r="E3056" t="str">
            <v>ZFGD</v>
          </cell>
          <cell r="F3056" t="str">
            <v>PC</v>
          </cell>
          <cell r="G3056" t="str">
            <v>1</v>
          </cell>
          <cell r="H3056" t="str">
            <v>INDUSTRY</v>
          </cell>
          <cell r="I3056" t="str">
            <v>11</v>
          </cell>
          <cell r="J3056" t="str">
            <v>WOOD COATINGS</v>
          </cell>
          <cell r="K3056" t="str">
            <v>1119</v>
          </cell>
          <cell r="L3056" t="str">
            <v>WATERBASED</v>
          </cell>
          <cell r="M3056" t="str">
            <v>111901</v>
          </cell>
          <cell r="N3056" t="str">
            <v>WATERBASED SYSTEM EXTERIOR</v>
          </cell>
        </row>
        <row r="3057">
          <cell r="C3057" t="str">
            <v>100004394</v>
          </cell>
          <cell r="D3057" t="str">
            <v>GZPU-21500 SONOMA WD01 TL VN-18KP</v>
          </cell>
          <cell r="E3057" t="str">
            <v>ZFGD</v>
          </cell>
          <cell r="F3057" t="str">
            <v>PC</v>
          </cell>
          <cell r="G3057" t="str">
            <v>1</v>
          </cell>
          <cell r="H3057" t="str">
            <v>INDUSTRY</v>
          </cell>
          <cell r="I3057" t="str">
            <v>11</v>
          </cell>
          <cell r="J3057" t="str">
            <v>WOOD COATINGS</v>
          </cell>
          <cell r="K3057" t="str">
            <v>1103</v>
          </cell>
          <cell r="L3057" t="str">
            <v>PU</v>
          </cell>
          <cell r="M3057" t="str">
            <v>110302</v>
          </cell>
          <cell r="N3057" t="str">
            <v>GLAZE PU</v>
          </cell>
        </row>
        <row r="3058">
          <cell r="C3058" t="str">
            <v>100004395</v>
          </cell>
          <cell r="D3058" t="str">
            <v>SST-11100 SONOMA WD01 A TL VN-20LJ</v>
          </cell>
          <cell r="E3058" t="str">
            <v>ZFGD</v>
          </cell>
          <cell r="F3058" t="str">
            <v>PC</v>
          </cell>
          <cell r="G3058" t="str">
            <v>1</v>
          </cell>
          <cell r="H3058" t="str">
            <v>INDUSTRY</v>
          </cell>
          <cell r="I3058" t="str">
            <v>11</v>
          </cell>
          <cell r="J3058" t="str">
            <v>WOOD COATINGS</v>
          </cell>
          <cell r="K3058" t="str">
            <v>1109</v>
          </cell>
          <cell r="L3058" t="str">
            <v>STAIN &amp; GLAZE INTERIOR</v>
          </cell>
          <cell r="M3058" t="str">
            <v>110903</v>
          </cell>
          <cell r="N3058" t="str">
            <v>STAIN INTERIOR</v>
          </cell>
        </row>
        <row r="3059">
          <cell r="C3059" t="str">
            <v>100004396</v>
          </cell>
          <cell r="D3059" t="str">
            <v>SST-11100 SONOMA WD01 B TL VN-20LJ</v>
          </cell>
          <cell r="E3059" t="str">
            <v>ZFGD</v>
          </cell>
          <cell r="F3059" t="str">
            <v>PC</v>
          </cell>
          <cell r="G3059" t="str">
            <v>1</v>
          </cell>
          <cell r="H3059" t="str">
            <v>INDUSTRY</v>
          </cell>
          <cell r="I3059" t="str">
            <v>11</v>
          </cell>
          <cell r="J3059" t="str">
            <v>WOOD COATINGS</v>
          </cell>
          <cell r="K3059" t="str">
            <v>1109</v>
          </cell>
          <cell r="L3059" t="str">
            <v>STAIN &amp; GLAZE INTERIOR</v>
          </cell>
          <cell r="M3059" t="str">
            <v>110903</v>
          </cell>
          <cell r="N3059" t="str">
            <v>STAIN INTERIOR</v>
          </cell>
        </row>
        <row r="3060">
          <cell r="C3060" t="str">
            <v>100004399</v>
          </cell>
          <cell r="D3060" t="str">
            <v>PUC-54205 AC 03 30 LC VN-20KP</v>
          </cell>
          <cell r="E3060" t="str">
            <v>ZFGD</v>
          </cell>
          <cell r="F3060" t="str">
            <v>PC</v>
          </cell>
          <cell r="G3060" t="str">
            <v>1</v>
          </cell>
          <cell r="H3060" t="str">
            <v>INDUSTRY</v>
          </cell>
          <cell r="I3060" t="str">
            <v>11</v>
          </cell>
          <cell r="J3060" t="str">
            <v>WOOD COATINGS</v>
          </cell>
          <cell r="K3060" t="str">
            <v>1103</v>
          </cell>
          <cell r="L3060" t="str">
            <v>PU</v>
          </cell>
          <cell r="M3060" t="str">
            <v>110319</v>
          </cell>
          <cell r="N3060" t="str">
            <v>PU COLOR</v>
          </cell>
        </row>
        <row r="3061">
          <cell r="C3061" t="str">
            <v>100004400</v>
          </cell>
          <cell r="D3061" t="str">
            <v>GZPU-21500 DALLAS TL VN-18KP</v>
          </cell>
          <cell r="E3061" t="str">
            <v>ZFGD</v>
          </cell>
          <cell r="F3061" t="str">
            <v>PC</v>
          </cell>
          <cell r="G3061" t="str">
            <v>1</v>
          </cell>
          <cell r="H3061" t="str">
            <v>INDUSTRY</v>
          </cell>
          <cell r="I3061" t="str">
            <v>11</v>
          </cell>
          <cell r="J3061" t="str">
            <v>WOOD COATINGS</v>
          </cell>
          <cell r="K3061" t="str">
            <v>1103</v>
          </cell>
          <cell r="L3061" t="str">
            <v>PU</v>
          </cell>
          <cell r="M3061" t="str">
            <v>110302</v>
          </cell>
          <cell r="N3061" t="str">
            <v>GLAZE PU</v>
          </cell>
        </row>
        <row r="3062">
          <cell r="C3062" t="str">
            <v>100004401</v>
          </cell>
          <cell r="D3062" t="str">
            <v>SST-11100 DALLAS TL VN-20LJ</v>
          </cell>
          <cell r="E3062" t="str">
            <v>ZFGD</v>
          </cell>
          <cell r="F3062" t="str">
            <v>PC</v>
          </cell>
          <cell r="G3062" t="str">
            <v>1</v>
          </cell>
          <cell r="H3062" t="str">
            <v>INDUSTRY</v>
          </cell>
          <cell r="I3062" t="str">
            <v>11</v>
          </cell>
          <cell r="J3062" t="str">
            <v>WOOD COATINGS</v>
          </cell>
          <cell r="K3062" t="str">
            <v>1109</v>
          </cell>
          <cell r="L3062" t="str">
            <v>STAIN &amp; GLAZE INTERIOR</v>
          </cell>
          <cell r="M3062" t="str">
            <v>110903</v>
          </cell>
          <cell r="N3062" t="str">
            <v>STAIN INTERIOR</v>
          </cell>
        </row>
        <row r="3063">
          <cell r="C3063" t="str">
            <v>100004402</v>
          </cell>
          <cell r="D3063" t="str">
            <v>SST-11100 SANCE A TL VN-20LJ</v>
          </cell>
          <cell r="E3063" t="str">
            <v>ZFGD</v>
          </cell>
          <cell r="F3063" t="str">
            <v>PC</v>
          </cell>
          <cell r="G3063" t="str">
            <v>1</v>
          </cell>
          <cell r="H3063" t="str">
            <v>INDUSTRY</v>
          </cell>
          <cell r="I3063" t="str">
            <v>11</v>
          </cell>
          <cell r="J3063" t="str">
            <v>WOOD COATINGS</v>
          </cell>
          <cell r="K3063" t="str">
            <v>1109</v>
          </cell>
          <cell r="L3063" t="str">
            <v>STAIN &amp; GLAZE INTERIOR</v>
          </cell>
          <cell r="M3063" t="str">
            <v>110903</v>
          </cell>
          <cell r="N3063" t="str">
            <v>STAIN INTERIOR</v>
          </cell>
        </row>
        <row r="3064">
          <cell r="C3064" t="str">
            <v>100004403</v>
          </cell>
          <cell r="D3064" t="str">
            <v>SST-11100 SANCE B TL VN-20LJ</v>
          </cell>
          <cell r="E3064" t="str">
            <v>ZFGD</v>
          </cell>
          <cell r="F3064" t="str">
            <v>PC</v>
          </cell>
          <cell r="G3064" t="str">
            <v>1</v>
          </cell>
          <cell r="H3064" t="str">
            <v>INDUSTRY</v>
          </cell>
          <cell r="I3064" t="str">
            <v>11</v>
          </cell>
          <cell r="J3064" t="str">
            <v>WOOD COATINGS</v>
          </cell>
          <cell r="K3064" t="str">
            <v>1109</v>
          </cell>
          <cell r="L3064" t="str">
            <v>STAIN &amp; GLAZE INTERIOR</v>
          </cell>
          <cell r="M3064" t="str">
            <v>110903</v>
          </cell>
          <cell r="N3064" t="str">
            <v>STAIN INTERIOR</v>
          </cell>
        </row>
        <row r="3065">
          <cell r="C3065" t="str">
            <v>100004404</v>
          </cell>
          <cell r="D3065" t="str">
            <v>PUC-52239 118VIAR 10 TL VN-20KP</v>
          </cell>
          <cell r="E3065" t="str">
            <v>ZFGD</v>
          </cell>
          <cell r="F3065" t="str">
            <v>PC</v>
          </cell>
          <cell r="G3065" t="str">
            <v>1</v>
          </cell>
          <cell r="H3065" t="str">
            <v>INDUSTRY</v>
          </cell>
          <cell r="I3065" t="str">
            <v>11</v>
          </cell>
          <cell r="J3065" t="str">
            <v>WOOD COATINGS</v>
          </cell>
          <cell r="K3065" t="str">
            <v>1103</v>
          </cell>
          <cell r="L3065" t="str">
            <v>PU</v>
          </cell>
          <cell r="M3065" t="str">
            <v>110319</v>
          </cell>
          <cell r="N3065" t="str">
            <v>PU COLOR</v>
          </cell>
        </row>
        <row r="3066">
          <cell r="C3066" t="str">
            <v>100004405</v>
          </cell>
          <cell r="D3066" t="str">
            <v>PUC-52241 118HOTEL 20 TL VN-20KP</v>
          </cell>
          <cell r="E3066" t="str">
            <v>ZFGD</v>
          </cell>
          <cell r="F3066" t="str">
            <v>PC</v>
          </cell>
          <cell r="G3066" t="str">
            <v>1</v>
          </cell>
          <cell r="H3066" t="str">
            <v>INDUSTRY</v>
          </cell>
          <cell r="I3066" t="str">
            <v>11</v>
          </cell>
          <cell r="J3066" t="str">
            <v>WOOD COATINGS</v>
          </cell>
          <cell r="K3066" t="str">
            <v>1103</v>
          </cell>
          <cell r="L3066" t="str">
            <v>PU</v>
          </cell>
          <cell r="M3066" t="str">
            <v>110319</v>
          </cell>
          <cell r="N3066" t="str">
            <v>PU COLOR</v>
          </cell>
        </row>
        <row r="3067">
          <cell r="C3067" t="str">
            <v>100004406</v>
          </cell>
          <cell r="D3067" t="str">
            <v>GZPU-21500 118WD10 TL VN-18KP</v>
          </cell>
          <cell r="E3067" t="str">
            <v>ZFGD</v>
          </cell>
          <cell r="F3067" t="str">
            <v>PC</v>
          </cell>
          <cell r="G3067" t="str">
            <v>1</v>
          </cell>
          <cell r="H3067" t="str">
            <v>INDUSTRY</v>
          </cell>
          <cell r="I3067" t="str">
            <v>11</v>
          </cell>
          <cell r="J3067" t="str">
            <v>WOOD COATINGS</v>
          </cell>
          <cell r="K3067" t="str">
            <v>1103</v>
          </cell>
          <cell r="L3067" t="str">
            <v>PU</v>
          </cell>
          <cell r="M3067" t="str">
            <v>110302</v>
          </cell>
          <cell r="N3067" t="str">
            <v>GLAZE PU</v>
          </cell>
        </row>
        <row r="3068">
          <cell r="C3068" t="str">
            <v>100004407</v>
          </cell>
          <cell r="D3068" t="str">
            <v>SST-11100 118WD10 TL VN-20LJ</v>
          </cell>
          <cell r="E3068" t="str">
            <v>ZFGD</v>
          </cell>
          <cell r="F3068" t="str">
            <v>PC</v>
          </cell>
          <cell r="G3068" t="str">
            <v>1</v>
          </cell>
          <cell r="H3068" t="str">
            <v>INDUSTRY</v>
          </cell>
          <cell r="I3068" t="str">
            <v>11</v>
          </cell>
          <cell r="J3068" t="str">
            <v>WOOD COATINGS</v>
          </cell>
          <cell r="K3068" t="str">
            <v>1109</v>
          </cell>
          <cell r="L3068" t="str">
            <v>STAIN &amp; GLAZE INTERIOR</v>
          </cell>
          <cell r="M3068" t="str">
            <v>110903</v>
          </cell>
          <cell r="N3068" t="str">
            <v>STAIN INTERIOR</v>
          </cell>
        </row>
        <row r="3069">
          <cell r="C3069" t="str">
            <v>100004408</v>
          </cell>
          <cell r="D3069" t="str">
            <v>SST-11100 118WD11 A TL VN-20LJ</v>
          </cell>
          <cell r="E3069" t="str">
            <v>ZFGD</v>
          </cell>
          <cell r="F3069" t="str">
            <v>PC</v>
          </cell>
          <cell r="G3069" t="str">
            <v>1</v>
          </cell>
          <cell r="H3069" t="str">
            <v>INDUSTRY</v>
          </cell>
          <cell r="I3069" t="str">
            <v>11</v>
          </cell>
          <cell r="J3069" t="str">
            <v>WOOD COATINGS</v>
          </cell>
          <cell r="K3069" t="str">
            <v>1109</v>
          </cell>
          <cell r="L3069" t="str">
            <v>STAIN &amp; GLAZE INTERIOR</v>
          </cell>
          <cell r="M3069" t="str">
            <v>110903</v>
          </cell>
          <cell r="N3069" t="str">
            <v>STAIN INTERIOR</v>
          </cell>
        </row>
        <row r="3070">
          <cell r="C3070" t="str">
            <v>100004409</v>
          </cell>
          <cell r="D3070" t="str">
            <v>SST-11100 118WD11 B TL VN-20LJ</v>
          </cell>
          <cell r="E3070" t="str">
            <v>ZFGD</v>
          </cell>
          <cell r="F3070" t="str">
            <v>PC</v>
          </cell>
          <cell r="G3070" t="str">
            <v>1</v>
          </cell>
          <cell r="H3070" t="str">
            <v>INDUSTRY</v>
          </cell>
          <cell r="I3070" t="str">
            <v>11</v>
          </cell>
          <cell r="J3070" t="str">
            <v>WOOD COATINGS</v>
          </cell>
          <cell r="K3070" t="str">
            <v>1109</v>
          </cell>
          <cell r="L3070" t="str">
            <v>STAIN &amp; GLAZE INTERIOR</v>
          </cell>
          <cell r="M3070" t="str">
            <v>110903</v>
          </cell>
          <cell r="N3070" t="str">
            <v>STAIN INTERIOR</v>
          </cell>
        </row>
        <row r="3071">
          <cell r="C3071" t="str">
            <v>100004410</v>
          </cell>
          <cell r="D3071" t="str">
            <v>PUC-52200 P2453 STORM 05 MY-20KP</v>
          </cell>
          <cell r="E3071" t="str">
            <v>ZFGD</v>
          </cell>
          <cell r="F3071" t="str">
            <v>PC</v>
          </cell>
          <cell r="G3071" t="str">
            <v>1</v>
          </cell>
          <cell r="H3071" t="str">
            <v>INDUSTRY</v>
          </cell>
          <cell r="I3071" t="str">
            <v>11</v>
          </cell>
          <cell r="J3071" t="str">
            <v>WOOD COATINGS</v>
          </cell>
          <cell r="K3071" t="str">
            <v>1103</v>
          </cell>
          <cell r="L3071" t="str">
            <v>PU</v>
          </cell>
          <cell r="M3071" t="str">
            <v>110319</v>
          </cell>
          <cell r="N3071" t="str">
            <v>PU COLOR</v>
          </cell>
        </row>
        <row r="3072">
          <cell r="C3072" t="str">
            <v>100004411</v>
          </cell>
          <cell r="D3072" t="str">
            <v>UVS-20600 BLUE 50 NCF PASTE VN-5K</v>
          </cell>
          <cell r="E3072" t="str">
            <v>ZFGD</v>
          </cell>
          <cell r="F3072" t="str">
            <v>PC</v>
          </cell>
          <cell r="G3072" t="str">
            <v>1</v>
          </cell>
          <cell r="H3072" t="str">
            <v>INDUSTRY</v>
          </cell>
          <cell r="I3072" t="str">
            <v>11</v>
          </cell>
          <cell r="J3072" t="str">
            <v>WOOD COATINGS</v>
          </cell>
          <cell r="K3072" t="str">
            <v>1106</v>
          </cell>
          <cell r="L3072" t="str">
            <v>UV</v>
          </cell>
          <cell r="M3072" t="str">
            <v>110606</v>
          </cell>
          <cell r="N3072" t="str">
            <v>UV STAIN</v>
          </cell>
        </row>
        <row r="3073">
          <cell r="C3073" t="str">
            <v>100004412</v>
          </cell>
          <cell r="D3073" t="str">
            <v>PUP-52141 01 NK VN-20KP</v>
          </cell>
          <cell r="E3073" t="str">
            <v>ZFGD</v>
          </cell>
          <cell r="F3073" t="str">
            <v>PC</v>
          </cell>
          <cell r="G3073" t="str">
            <v>1</v>
          </cell>
          <cell r="H3073" t="str">
            <v>INDUSTRY</v>
          </cell>
          <cell r="I3073" t="str">
            <v>11</v>
          </cell>
          <cell r="J3073" t="str">
            <v>WOOD COATINGS</v>
          </cell>
          <cell r="K3073" t="str">
            <v>1103</v>
          </cell>
          <cell r="L3073" t="str">
            <v>PU</v>
          </cell>
          <cell r="M3073" t="str">
            <v>110322</v>
          </cell>
          <cell r="N3073" t="str">
            <v>PU PRIMER</v>
          </cell>
        </row>
        <row r="3074">
          <cell r="C3074" t="str">
            <v>100004413</v>
          </cell>
          <cell r="D3074" t="str">
            <v>DC-12229 BC XAM 20 VG VN-20KP</v>
          </cell>
          <cell r="E3074" t="str">
            <v>ZFGD</v>
          </cell>
          <cell r="F3074" t="str">
            <v>PC</v>
          </cell>
          <cell r="G3074" t="str">
            <v>1</v>
          </cell>
          <cell r="H3074" t="str">
            <v>INDUSTRY</v>
          </cell>
          <cell r="I3074" t="str">
            <v>11</v>
          </cell>
          <cell r="J3074" t="str">
            <v>WOOD COATINGS</v>
          </cell>
          <cell r="K3074" t="str">
            <v>1104</v>
          </cell>
          <cell r="L3074" t="str">
            <v>NC</v>
          </cell>
          <cell r="M3074" t="str">
            <v>110405</v>
          </cell>
          <cell r="N3074" t="str">
            <v>NC SYSTEM</v>
          </cell>
        </row>
        <row r="3075">
          <cell r="C3075" t="str">
            <v>100004414</v>
          </cell>
          <cell r="D3075" t="str">
            <v>PFT-253 GREY CCL VN-4K</v>
          </cell>
          <cell r="E3075" t="str">
            <v>ZFGD</v>
          </cell>
          <cell r="F3075" t="str">
            <v>PC</v>
          </cell>
          <cell r="G3075" t="str">
            <v>5</v>
          </cell>
          <cell r="H3075" t="str">
            <v>PROJECT</v>
          </cell>
          <cell r="I3075" t="str">
            <v>56</v>
          </cell>
          <cell r="J3075" t="str">
            <v>CPC1</v>
          </cell>
          <cell r="K3075" t="str">
            <v>5602</v>
          </cell>
          <cell r="L3075" t="str">
            <v>POLYFLOOR</v>
          </cell>
          <cell r="M3075" t="str">
            <v>560202</v>
          </cell>
          <cell r="N3075" t="str">
            <v>POLYFLOOR EPOXY</v>
          </cell>
        </row>
        <row r="3076">
          <cell r="C3076" t="str">
            <v>100004415</v>
          </cell>
          <cell r="D3076" t="str">
            <v>PFT-253 GREY CCL VN-16KP</v>
          </cell>
          <cell r="E3076" t="str">
            <v>ZFGD</v>
          </cell>
          <cell r="F3076" t="str">
            <v>PC</v>
          </cell>
          <cell r="G3076" t="str">
            <v>5</v>
          </cell>
          <cell r="H3076" t="str">
            <v>PROJECT</v>
          </cell>
          <cell r="I3076" t="str">
            <v>56</v>
          </cell>
          <cell r="J3076" t="str">
            <v>CPC1</v>
          </cell>
          <cell r="K3076" t="str">
            <v>5602</v>
          </cell>
          <cell r="L3076" t="str">
            <v>POLYFLOOR</v>
          </cell>
          <cell r="M3076" t="str">
            <v>560202</v>
          </cell>
          <cell r="N3076" t="str">
            <v>POLYFLOOR EPOXY</v>
          </cell>
        </row>
        <row r="3077">
          <cell r="C3077" t="str">
            <v>100004416</v>
          </cell>
          <cell r="D3077" t="str">
            <v>PFT-253 GREY CCL VN-5KS</v>
          </cell>
          <cell r="E3077" t="str">
            <v>ZFGD</v>
          </cell>
          <cell r="F3077" t="str">
            <v>SET</v>
          </cell>
          <cell r="G3077" t="str">
            <v>5</v>
          </cell>
          <cell r="H3077" t="str">
            <v>PROJECT</v>
          </cell>
          <cell r="I3077" t="str">
            <v>56</v>
          </cell>
          <cell r="J3077" t="str">
            <v>CPC1</v>
          </cell>
          <cell r="K3077" t="str">
            <v>5602</v>
          </cell>
          <cell r="L3077" t="str">
            <v>POLYFLOOR</v>
          </cell>
          <cell r="M3077" t="str">
            <v>560202</v>
          </cell>
          <cell r="N3077" t="str">
            <v>POLYFLOOR EPOXY</v>
          </cell>
        </row>
        <row r="3078">
          <cell r="C3078" t="str">
            <v>100004417</v>
          </cell>
          <cell r="D3078" t="str">
            <v>PFT-253 GREY CCL VN-20KSP</v>
          </cell>
          <cell r="E3078" t="str">
            <v>ZFGD</v>
          </cell>
          <cell r="F3078" t="str">
            <v>SET</v>
          </cell>
          <cell r="G3078" t="str">
            <v>5</v>
          </cell>
          <cell r="H3078" t="str">
            <v>PROJECT</v>
          </cell>
          <cell r="I3078" t="str">
            <v>56</v>
          </cell>
          <cell r="J3078" t="str">
            <v>CPC1</v>
          </cell>
          <cell r="K3078" t="str">
            <v>5602</v>
          </cell>
          <cell r="L3078" t="str">
            <v>POLYFLOOR</v>
          </cell>
          <cell r="M3078" t="str">
            <v>560202</v>
          </cell>
          <cell r="N3078" t="str">
            <v>POLYFLOOR EPOXY</v>
          </cell>
        </row>
        <row r="3079">
          <cell r="C3079" t="str">
            <v>100004418</v>
          </cell>
          <cell r="D3079" t="str">
            <v>DP-12129 BC GREY NK VN-20KP</v>
          </cell>
          <cell r="E3079" t="str">
            <v>ZFGD</v>
          </cell>
          <cell r="F3079" t="str">
            <v>PC</v>
          </cell>
          <cell r="G3079" t="str">
            <v>1</v>
          </cell>
          <cell r="H3079" t="str">
            <v>INDUSTRY</v>
          </cell>
          <cell r="I3079" t="str">
            <v>11</v>
          </cell>
          <cell r="J3079" t="str">
            <v>WOOD COATINGS</v>
          </cell>
          <cell r="K3079" t="str">
            <v>1104</v>
          </cell>
          <cell r="L3079" t="str">
            <v>NC</v>
          </cell>
          <cell r="M3079" t="str">
            <v>110405</v>
          </cell>
          <cell r="N3079" t="str">
            <v>NC SYSTEM</v>
          </cell>
        </row>
        <row r="3080">
          <cell r="C3080" t="str">
            <v>100004419</v>
          </cell>
          <cell r="D3080" t="str">
            <v>GZ-12700 N GREY NK VN-18KP</v>
          </cell>
          <cell r="E3080" t="str">
            <v>ZFGD</v>
          </cell>
          <cell r="F3080" t="str">
            <v>PC</v>
          </cell>
          <cell r="G3080" t="str">
            <v>1</v>
          </cell>
          <cell r="H3080" t="str">
            <v>INDUSTRY</v>
          </cell>
          <cell r="I3080" t="str">
            <v>11</v>
          </cell>
          <cell r="J3080" t="str">
            <v>WOOD COATINGS</v>
          </cell>
          <cell r="K3080" t="str">
            <v>1109</v>
          </cell>
          <cell r="L3080" t="str">
            <v>STAIN &amp; GLAZE INTERIOR</v>
          </cell>
          <cell r="M3080" t="str">
            <v>110901</v>
          </cell>
          <cell r="N3080" t="str">
            <v>ASOF : STAIN &amp; GLAZE</v>
          </cell>
        </row>
        <row r="3081">
          <cell r="C3081" t="str">
            <v>100004420</v>
          </cell>
          <cell r="D3081" t="str">
            <v>UVS-20600 BLACK 90400 PASTE VN-5K</v>
          </cell>
          <cell r="E3081" t="str">
            <v>ZFGD</v>
          </cell>
          <cell r="F3081" t="str">
            <v>PC</v>
          </cell>
          <cell r="G3081" t="str">
            <v>1</v>
          </cell>
          <cell r="H3081" t="str">
            <v>INDUSTRY</v>
          </cell>
          <cell r="I3081" t="str">
            <v>11</v>
          </cell>
          <cell r="J3081" t="str">
            <v>WOOD COATINGS</v>
          </cell>
          <cell r="K3081" t="str">
            <v>1106</v>
          </cell>
          <cell r="L3081" t="str">
            <v>UV</v>
          </cell>
          <cell r="M3081" t="str">
            <v>110606</v>
          </cell>
          <cell r="N3081" t="str">
            <v>UV STAIN</v>
          </cell>
        </row>
        <row r="3082">
          <cell r="C3082" t="str">
            <v>100004421</v>
          </cell>
          <cell r="D3082" t="str">
            <v>UVS-20600 WHITE 02160 PASTE VN-5K</v>
          </cell>
          <cell r="E3082" t="str">
            <v>ZFGD</v>
          </cell>
          <cell r="F3082" t="str">
            <v>PC</v>
          </cell>
          <cell r="G3082" t="str">
            <v>1</v>
          </cell>
          <cell r="H3082" t="str">
            <v>INDUSTRY</v>
          </cell>
          <cell r="I3082" t="str">
            <v>11</v>
          </cell>
          <cell r="J3082" t="str">
            <v>WOOD COATINGS</v>
          </cell>
          <cell r="K3082" t="str">
            <v>1106</v>
          </cell>
          <cell r="L3082" t="str">
            <v>UV</v>
          </cell>
          <cell r="M3082" t="str">
            <v>110606</v>
          </cell>
          <cell r="N3082" t="str">
            <v>UV STAIN</v>
          </cell>
        </row>
        <row r="3083">
          <cell r="C3083" t="str">
            <v>100004422</v>
          </cell>
          <cell r="D3083" t="str">
            <v>UVS-20600 RED 34597 PASTE VN-5K</v>
          </cell>
          <cell r="E3083" t="str">
            <v>ZFGD</v>
          </cell>
          <cell r="F3083" t="str">
            <v>PC</v>
          </cell>
          <cell r="G3083" t="str">
            <v>1</v>
          </cell>
          <cell r="H3083" t="str">
            <v>INDUSTRY</v>
          </cell>
          <cell r="I3083" t="str">
            <v>11</v>
          </cell>
          <cell r="J3083" t="str">
            <v>WOOD COATINGS</v>
          </cell>
          <cell r="K3083" t="str">
            <v>1106</v>
          </cell>
          <cell r="L3083" t="str">
            <v>UV</v>
          </cell>
          <cell r="M3083" t="str">
            <v>110606</v>
          </cell>
          <cell r="N3083" t="str">
            <v>UV STAIN</v>
          </cell>
        </row>
        <row r="3084">
          <cell r="C3084" t="str">
            <v>100004423</v>
          </cell>
          <cell r="D3084" t="str">
            <v>UVS-20600 YELLOW 10313 PASTE VN-5K</v>
          </cell>
          <cell r="E3084" t="str">
            <v>ZFGD</v>
          </cell>
          <cell r="F3084" t="str">
            <v>PC</v>
          </cell>
          <cell r="G3084" t="str">
            <v>1</v>
          </cell>
          <cell r="H3084" t="str">
            <v>INDUSTRY</v>
          </cell>
          <cell r="I3084" t="str">
            <v>11</v>
          </cell>
          <cell r="J3084" t="str">
            <v>WOOD COATINGS</v>
          </cell>
          <cell r="K3084" t="str">
            <v>1106</v>
          </cell>
          <cell r="L3084" t="str">
            <v>UV</v>
          </cell>
          <cell r="M3084" t="str">
            <v>110606</v>
          </cell>
          <cell r="N3084" t="str">
            <v>UV STAIN</v>
          </cell>
        </row>
        <row r="3085">
          <cell r="C3085" t="str">
            <v>100004424</v>
          </cell>
          <cell r="D3085" t="str">
            <v>WBC-62202 SL BROWN 70 VL VN-20KP</v>
          </cell>
          <cell r="E3085" t="str">
            <v>ZFGD</v>
          </cell>
          <cell r="F3085" t="str">
            <v>PC</v>
          </cell>
          <cell r="G3085" t="str">
            <v>1</v>
          </cell>
          <cell r="H3085" t="str">
            <v>INDUSTRY</v>
          </cell>
          <cell r="I3085" t="str">
            <v>11</v>
          </cell>
          <cell r="J3085" t="str">
            <v>WOOD COATINGS</v>
          </cell>
          <cell r="K3085" t="str">
            <v>1119</v>
          </cell>
          <cell r="L3085" t="str">
            <v>WATERBASED</v>
          </cell>
          <cell r="M3085" t="str">
            <v>111902</v>
          </cell>
          <cell r="N3085" t="str">
            <v>WATERBASED SYSTEM INTERIOR</v>
          </cell>
        </row>
        <row r="3086">
          <cell r="C3086" t="str">
            <v>100004425</v>
          </cell>
          <cell r="D3086" t="str">
            <v>WBC-62202 SL BROWN 70 VL VN-200KB</v>
          </cell>
          <cell r="E3086" t="str">
            <v>ZFGD</v>
          </cell>
          <cell r="F3086" t="str">
            <v>PC</v>
          </cell>
          <cell r="G3086" t="str">
            <v>1</v>
          </cell>
          <cell r="H3086" t="str">
            <v>INDUSTRY</v>
          </cell>
          <cell r="I3086" t="str">
            <v>11</v>
          </cell>
          <cell r="J3086" t="str">
            <v>WOOD COATINGS</v>
          </cell>
          <cell r="K3086" t="str">
            <v>1119</v>
          </cell>
          <cell r="L3086" t="str">
            <v>WATERBASED</v>
          </cell>
          <cell r="M3086" t="str">
            <v>111902</v>
          </cell>
          <cell r="N3086" t="str">
            <v>WATERBASED SYSTEM INTERIOR</v>
          </cell>
        </row>
        <row r="3087">
          <cell r="C3087" t="str">
            <v>100004426</v>
          </cell>
          <cell r="D3087" t="str">
            <v>WBL-61201 NF CLEAR 70 VN-20KP</v>
          </cell>
          <cell r="E3087" t="str">
            <v>ZFGD</v>
          </cell>
          <cell r="F3087" t="str">
            <v>PC</v>
          </cell>
          <cell r="G3087" t="str">
            <v>1</v>
          </cell>
          <cell r="H3087" t="str">
            <v>INDUSTRY</v>
          </cell>
          <cell r="I3087" t="str">
            <v>11</v>
          </cell>
          <cell r="J3087" t="str">
            <v>WOOD COATINGS</v>
          </cell>
          <cell r="K3087" t="str">
            <v>1119</v>
          </cell>
          <cell r="L3087" t="str">
            <v>WATERBASED</v>
          </cell>
          <cell r="M3087" t="str">
            <v>111902</v>
          </cell>
          <cell r="N3087" t="str">
            <v>WATERBASED SYSTEM INTERIOR</v>
          </cell>
        </row>
        <row r="3088">
          <cell r="C3088" t="str">
            <v>100004427</v>
          </cell>
          <cell r="D3088" t="str">
            <v>WBL-61201 NF CLEAR 70 VN-200KB</v>
          </cell>
          <cell r="E3088" t="str">
            <v>ZFGD</v>
          </cell>
          <cell r="F3088" t="str">
            <v>PC</v>
          </cell>
          <cell r="G3088" t="str">
            <v>1</v>
          </cell>
          <cell r="H3088" t="str">
            <v>INDUSTRY</v>
          </cell>
          <cell r="I3088" t="str">
            <v>11</v>
          </cell>
          <cell r="J3088" t="str">
            <v>WOOD COATINGS</v>
          </cell>
          <cell r="K3088" t="str">
            <v>1119</v>
          </cell>
          <cell r="L3088" t="str">
            <v>WATERBASED</v>
          </cell>
          <cell r="M3088" t="str">
            <v>111902</v>
          </cell>
          <cell r="N3088" t="str">
            <v>WATERBASED SYSTEM INTERIOR</v>
          </cell>
        </row>
        <row r="3089">
          <cell r="C3089" t="str">
            <v>100004428</v>
          </cell>
          <cell r="D3089" t="str">
            <v>PUC-52239 NAPA PT01 10 TL VN-20KP</v>
          </cell>
          <cell r="E3089" t="str">
            <v>ZFGD</v>
          </cell>
          <cell r="F3089" t="str">
            <v>PC</v>
          </cell>
          <cell r="G3089" t="str">
            <v>1</v>
          </cell>
          <cell r="H3089" t="str">
            <v>INDUSTRY</v>
          </cell>
          <cell r="I3089" t="str">
            <v>11</v>
          </cell>
          <cell r="J3089" t="str">
            <v>WOOD COATINGS</v>
          </cell>
          <cell r="K3089" t="str">
            <v>1103</v>
          </cell>
          <cell r="L3089" t="str">
            <v>PU</v>
          </cell>
          <cell r="M3089" t="str">
            <v>110319</v>
          </cell>
          <cell r="N3089" t="str">
            <v>PU COLOR</v>
          </cell>
        </row>
        <row r="3090">
          <cell r="C3090" t="str">
            <v>100004429</v>
          </cell>
          <cell r="D3090" t="str">
            <v>PUC-52239 NAPA PT04 20 TL VN-20KP</v>
          </cell>
          <cell r="E3090" t="str">
            <v>ZFGD</v>
          </cell>
          <cell r="F3090" t="str">
            <v>PC</v>
          </cell>
          <cell r="G3090" t="str">
            <v>1</v>
          </cell>
          <cell r="H3090" t="str">
            <v>INDUSTRY</v>
          </cell>
          <cell r="I3090" t="str">
            <v>11</v>
          </cell>
          <cell r="J3090" t="str">
            <v>WOOD COATINGS</v>
          </cell>
          <cell r="K3090" t="str">
            <v>1103</v>
          </cell>
          <cell r="L3090" t="str">
            <v>PU</v>
          </cell>
          <cell r="M3090" t="str">
            <v>110319</v>
          </cell>
          <cell r="N3090" t="str">
            <v>PU COLOR</v>
          </cell>
        </row>
        <row r="3091">
          <cell r="C3091" t="str">
            <v>100004430</v>
          </cell>
          <cell r="D3091" t="str">
            <v>PUC-54206 AC EX NAPT03 10 TL VN-20KP</v>
          </cell>
          <cell r="E3091" t="str">
            <v>ZFGD</v>
          </cell>
          <cell r="F3091" t="str">
            <v>PC</v>
          </cell>
          <cell r="G3091" t="str">
            <v>1</v>
          </cell>
          <cell r="H3091" t="str">
            <v>INDUSTRY</v>
          </cell>
          <cell r="I3091" t="str">
            <v>11</v>
          </cell>
          <cell r="J3091" t="str">
            <v>WOOD COATINGS</v>
          </cell>
          <cell r="K3091" t="str">
            <v>1103</v>
          </cell>
          <cell r="L3091" t="str">
            <v>PU</v>
          </cell>
          <cell r="M3091" t="str">
            <v>110319</v>
          </cell>
          <cell r="N3091" t="str">
            <v>PU COLOR</v>
          </cell>
        </row>
        <row r="3092">
          <cell r="C3092" t="str">
            <v>100004439</v>
          </cell>
          <cell r="D3092" t="str">
            <v>SST-11100 22 FS VN-20LJ</v>
          </cell>
          <cell r="E3092" t="str">
            <v>ZFGD</v>
          </cell>
          <cell r="F3092" t="str">
            <v>PC</v>
          </cell>
          <cell r="G3092" t="str">
            <v>1</v>
          </cell>
          <cell r="H3092" t="str">
            <v>INDUSTRY</v>
          </cell>
          <cell r="I3092" t="str">
            <v>11</v>
          </cell>
          <cell r="J3092" t="str">
            <v>WOOD COATINGS</v>
          </cell>
          <cell r="K3092" t="str">
            <v>1109</v>
          </cell>
          <cell r="L3092" t="str">
            <v>STAIN &amp; GLAZE INTERIOR</v>
          </cell>
          <cell r="M3092" t="str">
            <v>110903</v>
          </cell>
          <cell r="N3092" t="str">
            <v>STAIN INTERIOR</v>
          </cell>
        </row>
        <row r="3093">
          <cell r="C3093" t="str">
            <v>100004460</v>
          </cell>
          <cell r="D3093" t="str">
            <v>PUP-52141 31 FS VN-20KP</v>
          </cell>
          <cell r="E3093" t="str">
            <v>ZFGD</v>
          </cell>
          <cell r="F3093" t="str">
            <v>PC</v>
          </cell>
          <cell r="G3093" t="str">
            <v>1</v>
          </cell>
          <cell r="H3093" t="str">
            <v>INDUSTRY</v>
          </cell>
          <cell r="I3093" t="str">
            <v>11</v>
          </cell>
          <cell r="J3093" t="str">
            <v>WOOD COATINGS</v>
          </cell>
          <cell r="K3093" t="str">
            <v>1103</v>
          </cell>
          <cell r="L3093" t="str">
            <v>PU</v>
          </cell>
          <cell r="M3093" t="str">
            <v>110322</v>
          </cell>
          <cell r="N3093" t="str">
            <v>PU PRIMER</v>
          </cell>
        </row>
        <row r="3094">
          <cell r="C3094" t="str">
            <v>100004461</v>
          </cell>
          <cell r="D3094" t="str">
            <v>PUC-54205 AC 31 20 FS VN-20KP</v>
          </cell>
          <cell r="E3094" t="str">
            <v>ZFGD</v>
          </cell>
          <cell r="F3094" t="str">
            <v>PC</v>
          </cell>
          <cell r="G3094" t="str">
            <v>1</v>
          </cell>
          <cell r="H3094" t="str">
            <v>INDUSTRY</v>
          </cell>
          <cell r="I3094" t="str">
            <v>11</v>
          </cell>
          <cell r="J3094" t="str">
            <v>WOOD COATINGS</v>
          </cell>
          <cell r="K3094" t="str">
            <v>1103</v>
          </cell>
          <cell r="L3094" t="str">
            <v>PU</v>
          </cell>
          <cell r="M3094" t="str">
            <v>110319</v>
          </cell>
          <cell r="N3094" t="str">
            <v>PU COLOR</v>
          </cell>
        </row>
        <row r="3095">
          <cell r="C3095" t="str">
            <v>100004462</v>
          </cell>
          <cell r="D3095" t="str">
            <v>PUC-52241 32 20 FS VN-20KP</v>
          </cell>
          <cell r="E3095" t="str">
            <v>ZFGD</v>
          </cell>
          <cell r="F3095" t="str">
            <v>PC</v>
          </cell>
          <cell r="G3095" t="str">
            <v>1</v>
          </cell>
          <cell r="H3095" t="str">
            <v>INDUSTRY</v>
          </cell>
          <cell r="I3095" t="str">
            <v>11</v>
          </cell>
          <cell r="J3095" t="str">
            <v>WOOD COATINGS</v>
          </cell>
          <cell r="K3095" t="str">
            <v>1103</v>
          </cell>
          <cell r="L3095" t="str">
            <v>PU</v>
          </cell>
          <cell r="M3095" t="str">
            <v>110319</v>
          </cell>
          <cell r="N3095" t="str">
            <v>PU COLOR</v>
          </cell>
        </row>
        <row r="3096">
          <cell r="C3096" t="str">
            <v>100004463</v>
          </cell>
          <cell r="D3096" t="str">
            <v>SST-11100 33 FS VN-20LJ</v>
          </cell>
          <cell r="E3096" t="str">
            <v>ZFGD</v>
          </cell>
          <cell r="F3096" t="str">
            <v>PC</v>
          </cell>
          <cell r="G3096" t="str">
            <v>1</v>
          </cell>
          <cell r="H3096" t="str">
            <v>INDUSTRY</v>
          </cell>
          <cell r="I3096" t="str">
            <v>11</v>
          </cell>
          <cell r="J3096" t="str">
            <v>WOOD COATINGS</v>
          </cell>
          <cell r="K3096" t="str">
            <v>1109</v>
          </cell>
          <cell r="L3096" t="str">
            <v>STAIN &amp; GLAZE INTERIOR</v>
          </cell>
          <cell r="M3096" t="str">
            <v>110903</v>
          </cell>
          <cell r="N3096" t="str">
            <v>STAIN INTERIOR</v>
          </cell>
        </row>
        <row r="3097">
          <cell r="C3097" t="str">
            <v>100004464</v>
          </cell>
          <cell r="D3097" t="str">
            <v>PUC-54205 AC NX 90 CS VN-4K</v>
          </cell>
          <cell r="E3097" t="str">
            <v>ZFGD</v>
          </cell>
          <cell r="F3097" t="str">
            <v>PC</v>
          </cell>
          <cell r="G3097" t="str">
            <v>1</v>
          </cell>
          <cell r="H3097" t="str">
            <v>INDUSTRY</v>
          </cell>
          <cell r="I3097" t="str">
            <v>11</v>
          </cell>
          <cell r="J3097" t="str">
            <v>WOOD COATINGS</v>
          </cell>
          <cell r="K3097" t="str">
            <v>1103</v>
          </cell>
          <cell r="L3097" t="str">
            <v>PU</v>
          </cell>
          <cell r="M3097" t="str">
            <v>110319</v>
          </cell>
          <cell r="N3097" t="str">
            <v>PU COLOR</v>
          </cell>
        </row>
        <row r="3098">
          <cell r="C3098" t="str">
            <v>100004465</v>
          </cell>
          <cell r="D3098" t="str">
            <v>MEP-12003 WHITE VN-4.5K</v>
          </cell>
          <cell r="E3098" t="str">
            <v>ZFGD</v>
          </cell>
          <cell r="F3098" t="str">
            <v>PC</v>
          </cell>
          <cell r="G3098" t="str">
            <v>1</v>
          </cell>
          <cell r="H3098" t="str">
            <v>INDUSTRY</v>
          </cell>
          <cell r="I3098" t="str">
            <v>16</v>
          </cell>
          <cell r="J3098" t="str">
            <v>METAL COATINGS</v>
          </cell>
          <cell r="K3098" t="str">
            <v>1601</v>
          </cell>
          <cell r="L3098" t="str">
            <v>METAL COATINGS</v>
          </cell>
          <cell r="M3098" t="str">
            <v>160101</v>
          </cell>
          <cell r="N3098" t="str">
            <v>METAL COATINGS</v>
          </cell>
        </row>
        <row r="3099">
          <cell r="C3099" t="str">
            <v>100004466</v>
          </cell>
          <cell r="D3099" t="str">
            <v>MEP-12003 01 KM VN-18KP</v>
          </cell>
          <cell r="E3099" t="str">
            <v>ZFGD</v>
          </cell>
          <cell r="F3099" t="str">
            <v>PC</v>
          </cell>
          <cell r="G3099" t="str">
            <v>1</v>
          </cell>
          <cell r="H3099" t="str">
            <v>INDUSTRY</v>
          </cell>
          <cell r="I3099" t="str">
            <v>16</v>
          </cell>
          <cell r="J3099" t="str">
            <v>METAL COATINGS</v>
          </cell>
          <cell r="K3099" t="str">
            <v>1601</v>
          </cell>
          <cell r="L3099" t="str">
            <v>METAL COATINGS</v>
          </cell>
          <cell r="M3099" t="str">
            <v>160101</v>
          </cell>
          <cell r="N3099" t="str">
            <v>METAL COATINGS</v>
          </cell>
        </row>
        <row r="3100">
          <cell r="C3100" t="str">
            <v>100004467</v>
          </cell>
          <cell r="D3100" t="str">
            <v>PCA-31100 01 KM VN-20LJ</v>
          </cell>
          <cell r="E3100" t="str">
            <v>ZFGD</v>
          </cell>
          <cell r="F3100" t="str">
            <v>PC</v>
          </cell>
          <cell r="G3100" t="str">
            <v>1</v>
          </cell>
          <cell r="H3100" t="str">
            <v>INDUSTRY</v>
          </cell>
          <cell r="I3100" t="str">
            <v>11</v>
          </cell>
          <cell r="J3100" t="str">
            <v>WOOD COATINGS</v>
          </cell>
          <cell r="K3100" t="str">
            <v>1118</v>
          </cell>
          <cell r="L3100" t="str">
            <v>COMPLEMENTARY</v>
          </cell>
          <cell r="M3100" t="str">
            <v>111807</v>
          </cell>
          <cell r="N3100" t="str">
            <v>PASTA</v>
          </cell>
        </row>
        <row r="3101">
          <cell r="C3101" t="str">
            <v>100004468</v>
          </cell>
          <cell r="D3101" t="str">
            <v>PUP-52141 HNPA1 DA VN-20KP</v>
          </cell>
          <cell r="E3101" t="str">
            <v>ZFGD</v>
          </cell>
          <cell r="F3101" t="str">
            <v>PC</v>
          </cell>
          <cell r="G3101" t="str">
            <v>1</v>
          </cell>
          <cell r="H3101" t="str">
            <v>INDUSTRY</v>
          </cell>
          <cell r="I3101" t="str">
            <v>11</v>
          </cell>
          <cell r="J3101" t="str">
            <v>WOOD COATINGS</v>
          </cell>
          <cell r="K3101" t="str">
            <v>1103</v>
          </cell>
          <cell r="L3101" t="str">
            <v>PU</v>
          </cell>
          <cell r="M3101" t="str">
            <v>110322</v>
          </cell>
          <cell r="N3101" t="str">
            <v>PU PRIMER</v>
          </cell>
        </row>
        <row r="3102">
          <cell r="C3102" t="str">
            <v>100004469</v>
          </cell>
          <cell r="D3102" t="str">
            <v>PUC-54205 AC HNPA1 10 DA VN-20KP</v>
          </cell>
          <cell r="E3102" t="str">
            <v>ZFGD</v>
          </cell>
          <cell r="F3102" t="str">
            <v>PC</v>
          </cell>
          <cell r="G3102" t="str">
            <v>1</v>
          </cell>
          <cell r="H3102" t="str">
            <v>INDUSTRY</v>
          </cell>
          <cell r="I3102" t="str">
            <v>11</v>
          </cell>
          <cell r="J3102" t="str">
            <v>WOOD COATINGS</v>
          </cell>
          <cell r="K3102" t="str">
            <v>1103</v>
          </cell>
          <cell r="L3102" t="str">
            <v>PU</v>
          </cell>
          <cell r="M3102" t="str">
            <v>110319</v>
          </cell>
          <cell r="N3102" t="str">
            <v>PU COLOR</v>
          </cell>
        </row>
        <row r="3103">
          <cell r="C3103" t="str">
            <v>100004470</v>
          </cell>
          <cell r="D3103" t="str">
            <v>PCA-31100 HUTCHINSON A TL VN-20LJ</v>
          </cell>
          <cell r="E3103" t="str">
            <v>ZFGD</v>
          </cell>
          <cell r="F3103" t="str">
            <v>PC</v>
          </cell>
          <cell r="G3103" t="str">
            <v>1</v>
          </cell>
          <cell r="H3103" t="str">
            <v>INDUSTRY</v>
          </cell>
          <cell r="I3103" t="str">
            <v>11</v>
          </cell>
          <cell r="J3103" t="str">
            <v>WOOD COATINGS</v>
          </cell>
          <cell r="K3103" t="str">
            <v>1118</v>
          </cell>
          <cell r="L3103" t="str">
            <v>COMPLEMENTARY</v>
          </cell>
          <cell r="M3103" t="str">
            <v>111807</v>
          </cell>
          <cell r="N3103" t="str">
            <v>PASTA</v>
          </cell>
        </row>
        <row r="3104">
          <cell r="C3104" t="str">
            <v>100004471</v>
          </cell>
          <cell r="D3104" t="str">
            <v>SST-11100 HUTCHINSON B TL VN-20LJ</v>
          </cell>
          <cell r="E3104" t="str">
            <v>ZFGD</v>
          </cell>
          <cell r="F3104" t="str">
            <v>PC</v>
          </cell>
          <cell r="G3104" t="str">
            <v>1</v>
          </cell>
          <cell r="H3104" t="str">
            <v>INDUSTRY</v>
          </cell>
          <cell r="I3104" t="str">
            <v>11</v>
          </cell>
          <cell r="J3104" t="str">
            <v>WOOD COATINGS</v>
          </cell>
          <cell r="K3104" t="str">
            <v>1109</v>
          </cell>
          <cell r="L3104" t="str">
            <v>STAIN &amp; GLAZE INTERIOR</v>
          </cell>
          <cell r="M3104" t="str">
            <v>110903</v>
          </cell>
          <cell r="N3104" t="str">
            <v>STAIN INTERIOR</v>
          </cell>
        </row>
        <row r="3105">
          <cell r="C3105" t="str">
            <v>100004472</v>
          </cell>
          <cell r="D3105" t="str">
            <v>UVP-60501 WHITE 01 SC VN-20KP</v>
          </cell>
          <cell r="E3105" t="str">
            <v>ZFGD</v>
          </cell>
          <cell r="F3105" t="str">
            <v>PC</v>
          </cell>
          <cell r="G3105" t="str">
            <v>1</v>
          </cell>
          <cell r="H3105" t="str">
            <v>INDUSTRY</v>
          </cell>
          <cell r="I3105" t="str">
            <v>11</v>
          </cell>
          <cell r="J3105" t="str">
            <v>WOOD COATINGS</v>
          </cell>
          <cell r="K3105" t="str">
            <v>1106</v>
          </cell>
          <cell r="L3105" t="str">
            <v>UV</v>
          </cell>
          <cell r="M3105" t="str">
            <v>110604</v>
          </cell>
          <cell r="N3105" t="str">
            <v>UV PRIMER</v>
          </cell>
        </row>
        <row r="3106">
          <cell r="C3106" t="str">
            <v>100004473</v>
          </cell>
          <cell r="D3106" t="str">
            <v>MX-94 GREY CS VN-4K</v>
          </cell>
          <cell r="E3106" t="str">
            <v>ZFGD</v>
          </cell>
          <cell r="F3106" t="str">
            <v>PC</v>
          </cell>
          <cell r="G3106" t="str">
            <v>5</v>
          </cell>
          <cell r="H3106" t="str">
            <v>PROJECT</v>
          </cell>
          <cell r="I3106" t="str">
            <v>56</v>
          </cell>
          <cell r="J3106" t="str">
            <v>CPC1</v>
          </cell>
          <cell r="K3106" t="str">
            <v>5603</v>
          </cell>
          <cell r="L3106" t="str">
            <v>MULTIPOX</v>
          </cell>
          <cell r="M3106" t="str">
            <v>560301</v>
          </cell>
          <cell r="N3106" t="str">
            <v>MULTIPOX</v>
          </cell>
        </row>
        <row r="3107">
          <cell r="C3107" t="str">
            <v>100004474</v>
          </cell>
          <cell r="D3107" t="str">
            <v>MX-94 GREY CS VN-16KP</v>
          </cell>
          <cell r="E3107" t="str">
            <v>ZFGD</v>
          </cell>
          <cell r="F3107" t="str">
            <v>PC</v>
          </cell>
          <cell r="G3107" t="str">
            <v>5</v>
          </cell>
          <cell r="H3107" t="str">
            <v>PROJECT</v>
          </cell>
          <cell r="I3107" t="str">
            <v>56</v>
          </cell>
          <cell r="J3107" t="str">
            <v>CPC1</v>
          </cell>
          <cell r="K3107" t="str">
            <v>5603</v>
          </cell>
          <cell r="L3107" t="str">
            <v>MULTIPOX</v>
          </cell>
          <cell r="M3107" t="str">
            <v>560301</v>
          </cell>
          <cell r="N3107" t="str">
            <v>MULTIPOX</v>
          </cell>
        </row>
        <row r="3108">
          <cell r="C3108" t="str">
            <v>100004475</v>
          </cell>
          <cell r="D3108" t="str">
            <v>MX-94 GREY CS VN-5KS</v>
          </cell>
          <cell r="E3108" t="str">
            <v>ZFGD</v>
          </cell>
          <cell r="F3108" t="str">
            <v>SET</v>
          </cell>
          <cell r="G3108" t="str">
            <v>5</v>
          </cell>
          <cell r="H3108" t="str">
            <v>PROJECT</v>
          </cell>
          <cell r="I3108" t="str">
            <v>56</v>
          </cell>
          <cell r="J3108" t="str">
            <v>CPC1</v>
          </cell>
          <cell r="K3108" t="str">
            <v>5603</v>
          </cell>
          <cell r="L3108" t="str">
            <v>MULTIPOX</v>
          </cell>
          <cell r="M3108" t="str">
            <v>560301</v>
          </cell>
          <cell r="N3108" t="str">
            <v>MULTIPOX</v>
          </cell>
        </row>
        <row r="3109">
          <cell r="C3109" t="str">
            <v>100004476</v>
          </cell>
          <cell r="D3109" t="str">
            <v>MX-94 GREY CS VN-20KSP</v>
          </cell>
          <cell r="E3109" t="str">
            <v>ZFGD</v>
          </cell>
          <cell r="F3109" t="str">
            <v>SET</v>
          </cell>
          <cell r="G3109" t="str">
            <v>5</v>
          </cell>
          <cell r="H3109" t="str">
            <v>PROJECT</v>
          </cell>
          <cell r="I3109" t="str">
            <v>56</v>
          </cell>
          <cell r="J3109" t="str">
            <v>CPC1</v>
          </cell>
          <cell r="K3109" t="str">
            <v>5603</v>
          </cell>
          <cell r="L3109" t="str">
            <v>MULTIPOX</v>
          </cell>
          <cell r="M3109" t="str">
            <v>560301</v>
          </cell>
          <cell r="N3109" t="str">
            <v>MULTIPOX</v>
          </cell>
        </row>
        <row r="3110">
          <cell r="C3110" t="str">
            <v>100004477</v>
          </cell>
          <cell r="D3110" t="str">
            <v>PUP-52141 220 FS VN-20KP</v>
          </cell>
          <cell r="E3110" t="str">
            <v>ZFGD</v>
          </cell>
          <cell r="F3110" t="str">
            <v>PC</v>
          </cell>
          <cell r="G3110" t="str">
            <v>1</v>
          </cell>
          <cell r="H3110" t="str">
            <v>INDUSTRY</v>
          </cell>
          <cell r="I3110" t="str">
            <v>11</v>
          </cell>
          <cell r="J3110" t="str">
            <v>WOOD COATINGS</v>
          </cell>
          <cell r="K3110" t="str">
            <v>1103</v>
          </cell>
          <cell r="L3110" t="str">
            <v>PU</v>
          </cell>
          <cell r="M3110" t="str">
            <v>110322</v>
          </cell>
          <cell r="N3110" t="str">
            <v>PU PRIMER</v>
          </cell>
        </row>
        <row r="3111">
          <cell r="C3111" t="str">
            <v>100004478</v>
          </cell>
          <cell r="D3111" t="str">
            <v>SST-11100 BROWN AA VN-20LJ</v>
          </cell>
          <cell r="E3111" t="str">
            <v>ZFGD</v>
          </cell>
          <cell r="F3111" t="str">
            <v>PC</v>
          </cell>
          <cell r="G3111" t="str">
            <v>1</v>
          </cell>
          <cell r="H3111" t="str">
            <v>INDUSTRY</v>
          </cell>
          <cell r="I3111" t="str">
            <v>11</v>
          </cell>
          <cell r="J3111" t="str">
            <v>WOOD COATINGS</v>
          </cell>
          <cell r="K3111" t="str">
            <v>1109</v>
          </cell>
          <cell r="L3111" t="str">
            <v>STAIN &amp; GLAZE INTERIOR</v>
          </cell>
          <cell r="M3111" t="str">
            <v>110903</v>
          </cell>
          <cell r="N3111" t="str">
            <v>STAIN INTERIOR</v>
          </cell>
        </row>
        <row r="3112">
          <cell r="C3112" t="str">
            <v>100004479</v>
          </cell>
          <cell r="D3112" t="str">
            <v>PUP-54111 AC CREAM MI VN-20KP</v>
          </cell>
          <cell r="E3112" t="str">
            <v>ZFGD</v>
          </cell>
          <cell r="F3112" t="str">
            <v>PC</v>
          </cell>
          <cell r="G3112" t="str">
            <v>1</v>
          </cell>
          <cell r="H3112" t="str">
            <v>INDUSTRY</v>
          </cell>
          <cell r="I3112" t="str">
            <v>11</v>
          </cell>
          <cell r="J3112" t="str">
            <v>WOOD COATINGS</v>
          </cell>
          <cell r="K3112" t="str">
            <v>1103</v>
          </cell>
          <cell r="L3112" t="str">
            <v>PU</v>
          </cell>
          <cell r="M3112" t="str">
            <v>110322</v>
          </cell>
          <cell r="N3112" t="str">
            <v>PU PRIMER</v>
          </cell>
        </row>
        <row r="3113">
          <cell r="C3113" t="str">
            <v>100004480</v>
          </cell>
          <cell r="D3113" t="str">
            <v>PUP-54111 AC BLUE MI VN-20KP</v>
          </cell>
          <cell r="E3113" t="str">
            <v>ZFGD</v>
          </cell>
          <cell r="F3113" t="str">
            <v>PC</v>
          </cell>
          <cell r="G3113" t="str">
            <v>1</v>
          </cell>
          <cell r="H3113" t="str">
            <v>INDUSTRY</v>
          </cell>
          <cell r="I3113" t="str">
            <v>11</v>
          </cell>
          <cell r="J3113" t="str">
            <v>WOOD COATINGS</v>
          </cell>
          <cell r="K3113" t="str">
            <v>1103</v>
          </cell>
          <cell r="L3113" t="str">
            <v>PU</v>
          </cell>
          <cell r="M3113" t="str">
            <v>110322</v>
          </cell>
          <cell r="N3113" t="str">
            <v>PU PRIMER</v>
          </cell>
        </row>
        <row r="3114">
          <cell r="C3114" t="str">
            <v>100004481</v>
          </cell>
          <cell r="D3114" t="str">
            <v>PCL-31300 CREAM MI VN-20LJ</v>
          </cell>
          <cell r="E3114" t="str">
            <v>ZFGD</v>
          </cell>
          <cell r="F3114" t="str">
            <v>PC</v>
          </cell>
          <cell r="G3114" t="str">
            <v>1</v>
          </cell>
          <cell r="H3114" t="str">
            <v>INDUSTRY</v>
          </cell>
          <cell r="I3114" t="str">
            <v>11</v>
          </cell>
          <cell r="J3114" t="str">
            <v>WOOD COATINGS</v>
          </cell>
          <cell r="K3114" t="str">
            <v>1118</v>
          </cell>
          <cell r="L3114" t="str">
            <v>COMPLEMENTARY</v>
          </cell>
          <cell r="M3114" t="str">
            <v>111807</v>
          </cell>
          <cell r="N3114" t="str">
            <v>PASTA</v>
          </cell>
        </row>
        <row r="3115">
          <cell r="C3115" t="str">
            <v>100004482</v>
          </cell>
          <cell r="D3115" t="str">
            <v>PCL-31300 BLUE MI VN-20LJ</v>
          </cell>
          <cell r="E3115" t="str">
            <v>ZFGD</v>
          </cell>
          <cell r="F3115" t="str">
            <v>PC</v>
          </cell>
          <cell r="G3115" t="str">
            <v>1</v>
          </cell>
          <cell r="H3115" t="str">
            <v>INDUSTRY</v>
          </cell>
          <cell r="I3115" t="str">
            <v>11</v>
          </cell>
          <cell r="J3115" t="str">
            <v>WOOD COATINGS</v>
          </cell>
          <cell r="K3115" t="str">
            <v>1118</v>
          </cell>
          <cell r="L3115" t="str">
            <v>COMPLEMENTARY</v>
          </cell>
          <cell r="M3115" t="str">
            <v>111807</v>
          </cell>
          <cell r="N3115" t="str">
            <v>PASTA</v>
          </cell>
        </row>
        <row r="3116">
          <cell r="C3116" t="str">
            <v>100004483</v>
          </cell>
          <cell r="D3116" t="str">
            <v>THPU-71324-1 EST YJ VN-200LK</v>
          </cell>
          <cell r="E3116" t="str">
            <v>ZFGD</v>
          </cell>
          <cell r="F3116" t="str">
            <v>PC</v>
          </cell>
          <cell r="G3116" t="str">
            <v>1</v>
          </cell>
          <cell r="H3116" t="str">
            <v>INDUSTRY</v>
          </cell>
          <cell r="I3116" t="str">
            <v>14</v>
          </cell>
          <cell r="J3116" t="str">
            <v>THINNER</v>
          </cell>
          <cell r="K3116" t="str">
            <v>1411</v>
          </cell>
          <cell r="L3116" t="str">
            <v>THINNER PU</v>
          </cell>
          <cell r="M3116" t="str">
            <v>141101</v>
          </cell>
          <cell r="N3116" t="str">
            <v>THINNER PU</v>
          </cell>
        </row>
        <row r="3117">
          <cell r="C3117" t="str">
            <v>100004484</v>
          </cell>
          <cell r="D3117" t="str">
            <v>THC-73100 1103 VN-15KJ</v>
          </cell>
          <cell r="E3117" t="str">
            <v>ZFGD</v>
          </cell>
          <cell r="F3117" t="str">
            <v>PC</v>
          </cell>
          <cell r="G3117" t="str">
            <v>1</v>
          </cell>
          <cell r="H3117" t="str">
            <v>INDUSTRY</v>
          </cell>
          <cell r="I3117" t="str">
            <v>14</v>
          </cell>
          <cell r="J3117" t="str">
            <v>THINNER</v>
          </cell>
          <cell r="K3117" t="str">
            <v>1412</v>
          </cell>
          <cell r="L3117" t="str">
            <v>THINNER NC</v>
          </cell>
          <cell r="M3117" t="str">
            <v>141203</v>
          </cell>
          <cell r="N3117" t="str">
            <v>THINNER COMPLEMENTARY</v>
          </cell>
        </row>
        <row r="3118">
          <cell r="C3118" t="str">
            <v>100004485</v>
          </cell>
          <cell r="D3118" t="str">
            <v>THC-73100 1103 VN-150KK</v>
          </cell>
          <cell r="E3118" t="str">
            <v>ZFGD</v>
          </cell>
          <cell r="F3118" t="str">
            <v>PC</v>
          </cell>
          <cell r="G3118" t="str">
            <v>1</v>
          </cell>
          <cell r="H3118" t="str">
            <v>INDUSTRY</v>
          </cell>
          <cell r="I3118" t="str">
            <v>14</v>
          </cell>
          <cell r="J3118" t="str">
            <v>THINNER</v>
          </cell>
          <cell r="K3118" t="str">
            <v>1412</v>
          </cell>
          <cell r="L3118" t="str">
            <v>THINNER NC</v>
          </cell>
          <cell r="M3118" t="str">
            <v>141203</v>
          </cell>
          <cell r="N3118" t="str">
            <v>THINNER COMPLEMENTARY</v>
          </cell>
        </row>
        <row r="3119">
          <cell r="C3119" t="str">
            <v>100004487</v>
          </cell>
          <cell r="D3119" t="str">
            <v>PUC-52241 34 20 FS VN-20KP</v>
          </cell>
          <cell r="E3119" t="str">
            <v>ZFGD</v>
          </cell>
          <cell r="F3119" t="str">
            <v>PC</v>
          </cell>
          <cell r="G3119" t="str">
            <v>1</v>
          </cell>
          <cell r="H3119" t="str">
            <v>INDUSTRY</v>
          </cell>
          <cell r="I3119" t="str">
            <v>11</v>
          </cell>
          <cell r="J3119" t="str">
            <v>WOOD COATINGS</v>
          </cell>
          <cell r="K3119" t="str">
            <v>1103</v>
          </cell>
          <cell r="L3119" t="str">
            <v>PU</v>
          </cell>
          <cell r="M3119" t="str">
            <v>110319</v>
          </cell>
          <cell r="N3119" t="str">
            <v>PU COLOR</v>
          </cell>
        </row>
        <row r="3120">
          <cell r="C3120" t="str">
            <v>100004488</v>
          </cell>
          <cell r="D3120" t="str">
            <v>UVS-20600 BWH SC VN-5K</v>
          </cell>
          <cell r="E3120" t="str">
            <v>ZFGD</v>
          </cell>
          <cell r="F3120" t="str">
            <v>PC</v>
          </cell>
          <cell r="G3120" t="str">
            <v>1</v>
          </cell>
          <cell r="H3120" t="str">
            <v>INDUSTRY</v>
          </cell>
          <cell r="I3120" t="str">
            <v>11</v>
          </cell>
          <cell r="J3120" t="str">
            <v>WOOD COATINGS</v>
          </cell>
          <cell r="K3120" t="str">
            <v>1106</v>
          </cell>
          <cell r="L3120" t="str">
            <v>UV</v>
          </cell>
          <cell r="M3120" t="str">
            <v>110606</v>
          </cell>
          <cell r="N3120" t="str">
            <v>UV STAIN</v>
          </cell>
        </row>
        <row r="3121">
          <cell r="C3121" t="str">
            <v>100004489</v>
          </cell>
          <cell r="D3121" t="str">
            <v>64-56 MICRO FILLER 01 PR VN-20KP</v>
          </cell>
          <cell r="E3121" t="str">
            <v>ZFGD</v>
          </cell>
          <cell r="F3121" t="str">
            <v>PC</v>
          </cell>
          <cell r="G3121" t="str">
            <v>1</v>
          </cell>
          <cell r="H3121" t="str">
            <v>INDUSTRY</v>
          </cell>
          <cell r="I3121" t="str">
            <v>11</v>
          </cell>
          <cell r="J3121" t="str">
            <v>WOOD COATINGS</v>
          </cell>
          <cell r="K3121" t="str">
            <v>1103</v>
          </cell>
          <cell r="L3121" t="str">
            <v>PU</v>
          </cell>
          <cell r="M3121" t="str">
            <v>110305</v>
          </cell>
          <cell r="N3121" t="str">
            <v>UNION FILLER</v>
          </cell>
        </row>
        <row r="3122">
          <cell r="C3122" t="str">
            <v>100004490</v>
          </cell>
          <cell r="D3122" t="str">
            <v>SST-11100 01 PR VN-20LJ</v>
          </cell>
          <cell r="E3122" t="str">
            <v>ZFGD</v>
          </cell>
          <cell r="F3122" t="str">
            <v>PC</v>
          </cell>
          <cell r="G3122" t="str">
            <v>1</v>
          </cell>
          <cell r="H3122" t="str">
            <v>INDUSTRY</v>
          </cell>
          <cell r="I3122" t="str">
            <v>11</v>
          </cell>
          <cell r="J3122" t="str">
            <v>WOOD COATINGS</v>
          </cell>
          <cell r="K3122" t="str">
            <v>1109</v>
          </cell>
          <cell r="L3122" t="str">
            <v>STAIN &amp; GLAZE INTERIOR</v>
          </cell>
          <cell r="M3122" t="str">
            <v>110903</v>
          </cell>
          <cell r="N3122" t="str">
            <v>STAIN INTERIOR</v>
          </cell>
        </row>
        <row r="3123">
          <cell r="C3123" t="str">
            <v>100004491</v>
          </cell>
          <cell r="D3123" t="str">
            <v>MEP-12003 01 D1 VN-18KP</v>
          </cell>
          <cell r="E3123" t="str">
            <v>ZFGD</v>
          </cell>
          <cell r="F3123" t="str">
            <v>PC</v>
          </cell>
          <cell r="G3123" t="str">
            <v>1</v>
          </cell>
          <cell r="H3123" t="str">
            <v>INDUSTRY</v>
          </cell>
          <cell r="I3123" t="str">
            <v>16</v>
          </cell>
          <cell r="J3123" t="str">
            <v>METAL COATINGS</v>
          </cell>
          <cell r="K3123" t="str">
            <v>1601</v>
          </cell>
          <cell r="L3123" t="str">
            <v>METAL COATINGS</v>
          </cell>
          <cell r="M3123" t="str">
            <v>160101</v>
          </cell>
          <cell r="N3123" t="str">
            <v>METAL COATINGS</v>
          </cell>
        </row>
        <row r="3124">
          <cell r="C3124" t="str">
            <v>100004492</v>
          </cell>
          <cell r="D3124" t="str">
            <v>PUC-54206 AC EX 01 90 D1 VN-20KP</v>
          </cell>
          <cell r="E3124" t="str">
            <v>ZFGD</v>
          </cell>
          <cell r="F3124" t="str">
            <v>PC</v>
          </cell>
          <cell r="G3124" t="str">
            <v>1</v>
          </cell>
          <cell r="H3124" t="str">
            <v>INDUSTRY</v>
          </cell>
          <cell r="I3124" t="str">
            <v>11</v>
          </cell>
          <cell r="J3124" t="str">
            <v>WOOD COATINGS</v>
          </cell>
          <cell r="K3124" t="str">
            <v>1103</v>
          </cell>
          <cell r="L3124" t="str">
            <v>PU</v>
          </cell>
          <cell r="M3124" t="str">
            <v>110319</v>
          </cell>
          <cell r="N3124" t="str">
            <v>PU COLOR</v>
          </cell>
        </row>
        <row r="3125">
          <cell r="C3125" t="str">
            <v>100004493</v>
          </cell>
          <cell r="D3125" t="str">
            <v>UVP-60501 OAK SC VN-20KP</v>
          </cell>
          <cell r="E3125" t="str">
            <v>ZFGD</v>
          </cell>
          <cell r="F3125" t="str">
            <v>PC</v>
          </cell>
          <cell r="G3125" t="str">
            <v>1</v>
          </cell>
          <cell r="H3125" t="str">
            <v>INDUSTRY</v>
          </cell>
          <cell r="I3125" t="str">
            <v>11</v>
          </cell>
          <cell r="J3125" t="str">
            <v>WOOD COATINGS</v>
          </cell>
          <cell r="K3125" t="str">
            <v>1106</v>
          </cell>
          <cell r="L3125" t="str">
            <v>UV</v>
          </cell>
          <cell r="M3125" t="str">
            <v>110604</v>
          </cell>
          <cell r="N3125" t="str">
            <v>UV PRIMER</v>
          </cell>
        </row>
        <row r="3126">
          <cell r="C3126" t="str">
            <v>100004494</v>
          </cell>
          <cell r="D3126" t="str">
            <v>UVS-20600 OAK 01 SC VN-5K</v>
          </cell>
          <cell r="E3126" t="str">
            <v>ZFGD</v>
          </cell>
          <cell r="F3126" t="str">
            <v>PC</v>
          </cell>
          <cell r="G3126" t="str">
            <v>1</v>
          </cell>
          <cell r="H3126" t="str">
            <v>INDUSTRY</v>
          </cell>
          <cell r="I3126" t="str">
            <v>11</v>
          </cell>
          <cell r="J3126" t="str">
            <v>WOOD COATINGS</v>
          </cell>
          <cell r="K3126" t="str">
            <v>1106</v>
          </cell>
          <cell r="L3126" t="str">
            <v>UV</v>
          </cell>
          <cell r="M3126" t="str">
            <v>110606</v>
          </cell>
          <cell r="N3126" t="str">
            <v>UV STAIN</v>
          </cell>
        </row>
        <row r="3127">
          <cell r="C3127" t="str">
            <v>100004495</v>
          </cell>
          <cell r="D3127" t="str">
            <v>UVS-20600 OAK 02 SC VN-5K</v>
          </cell>
          <cell r="E3127" t="str">
            <v>ZFGD</v>
          </cell>
          <cell r="F3127" t="str">
            <v>PC</v>
          </cell>
          <cell r="G3127" t="str">
            <v>1</v>
          </cell>
          <cell r="H3127" t="str">
            <v>INDUSTRY</v>
          </cell>
          <cell r="I3127" t="str">
            <v>11</v>
          </cell>
          <cell r="J3127" t="str">
            <v>WOOD COATINGS</v>
          </cell>
          <cell r="K3127" t="str">
            <v>1106</v>
          </cell>
          <cell r="L3127" t="str">
            <v>UV</v>
          </cell>
          <cell r="M3127" t="str">
            <v>110606</v>
          </cell>
          <cell r="N3127" t="str">
            <v>UV STAIN</v>
          </cell>
        </row>
        <row r="3128">
          <cell r="C3128" t="str">
            <v>100004496</v>
          </cell>
          <cell r="D3128" t="str">
            <v>PUP-54111 AC 043 AH VN-20KP</v>
          </cell>
          <cell r="E3128" t="str">
            <v>ZFGD</v>
          </cell>
          <cell r="F3128" t="str">
            <v>PC</v>
          </cell>
          <cell r="G3128" t="str">
            <v>1</v>
          </cell>
          <cell r="H3128" t="str">
            <v>INDUSTRY</v>
          </cell>
          <cell r="I3128" t="str">
            <v>11</v>
          </cell>
          <cell r="J3128" t="str">
            <v>WOOD COATINGS</v>
          </cell>
          <cell r="K3128" t="str">
            <v>1103</v>
          </cell>
          <cell r="L3128" t="str">
            <v>PU</v>
          </cell>
          <cell r="M3128" t="str">
            <v>110322</v>
          </cell>
          <cell r="N3128" t="str">
            <v>PU PRIMER</v>
          </cell>
        </row>
        <row r="3129">
          <cell r="C3129" t="str">
            <v>100004497</v>
          </cell>
          <cell r="D3129" t="str">
            <v>NCL-40800 BC CLEAR 20 VN-180KB</v>
          </cell>
          <cell r="E3129" t="str">
            <v>ZFGD</v>
          </cell>
          <cell r="F3129" t="str">
            <v>PC</v>
          </cell>
          <cell r="G3129" t="str">
            <v>1</v>
          </cell>
          <cell r="H3129" t="str">
            <v>INDUSTRY</v>
          </cell>
          <cell r="I3129" t="str">
            <v>11</v>
          </cell>
          <cell r="J3129" t="str">
            <v>WOOD COATINGS</v>
          </cell>
          <cell r="K3129" t="str">
            <v>1104</v>
          </cell>
          <cell r="L3129" t="str">
            <v>NC</v>
          </cell>
          <cell r="M3129" t="str">
            <v>110404</v>
          </cell>
          <cell r="N3129" t="str">
            <v>ASOF : NC TOP COAT</v>
          </cell>
        </row>
        <row r="3130">
          <cell r="C3130" t="str">
            <v>100004498</v>
          </cell>
          <cell r="D3130" t="str">
            <v>NCSS-30800 BC VN-180KB</v>
          </cell>
          <cell r="E3130" t="str">
            <v>ZFGD</v>
          </cell>
          <cell r="F3130" t="str">
            <v>PC</v>
          </cell>
          <cell r="G3130" t="str">
            <v>1</v>
          </cell>
          <cell r="H3130" t="str">
            <v>INDUSTRY</v>
          </cell>
          <cell r="I3130" t="str">
            <v>11</v>
          </cell>
          <cell r="J3130" t="str">
            <v>WOOD COATINGS</v>
          </cell>
          <cell r="K3130" t="str">
            <v>1104</v>
          </cell>
          <cell r="L3130" t="str">
            <v>NC</v>
          </cell>
          <cell r="M3130" t="str">
            <v>110403</v>
          </cell>
          <cell r="N3130" t="str">
            <v>ASOF : NC BASE COAT</v>
          </cell>
        </row>
        <row r="3131">
          <cell r="C3131" t="str">
            <v>100004499</v>
          </cell>
          <cell r="D3131" t="str">
            <v>PC 8K2-CC</v>
          </cell>
          <cell r="E3131" t="str">
            <v>ZFGD</v>
          </cell>
          <cell r="F3131" t="str">
            <v>CC</v>
          </cell>
          <cell r="G3131" t="str">
            <v>2</v>
          </cell>
          <cell r="H3131" t="str">
            <v>RETAIL</v>
          </cell>
          <cell r="I3131" t="str">
            <v>2F</v>
          </cell>
          <cell r="J3131" t="str">
            <v>TINTING</v>
          </cell>
          <cell r="K3131" t="str">
            <v>2F04</v>
          </cell>
          <cell r="L3131" t="str">
            <v>PASTA</v>
          </cell>
          <cell r="M3131" t="str">
            <v>2F0404</v>
          </cell>
          <cell r="N3131" t="str">
            <v>PASTA WB</v>
          </cell>
        </row>
        <row r="3132">
          <cell r="C3132" t="str">
            <v>100004500</v>
          </cell>
          <cell r="D3132" t="str">
            <v>PC 8R1-CC</v>
          </cell>
          <cell r="E3132" t="str">
            <v>ZFGD</v>
          </cell>
          <cell r="F3132" t="str">
            <v>CC</v>
          </cell>
          <cell r="G3132" t="str">
            <v>2</v>
          </cell>
          <cell r="H3132" t="str">
            <v>RETAIL</v>
          </cell>
          <cell r="I3132" t="str">
            <v>2F</v>
          </cell>
          <cell r="J3132" t="str">
            <v>TINTING</v>
          </cell>
          <cell r="K3132" t="str">
            <v>2F04</v>
          </cell>
          <cell r="L3132" t="str">
            <v>PASTA</v>
          </cell>
          <cell r="M3132" t="str">
            <v>2F0404</v>
          </cell>
          <cell r="N3132" t="str">
            <v>PASTA WB</v>
          </cell>
        </row>
        <row r="3133">
          <cell r="C3133" t="str">
            <v>100004503</v>
          </cell>
          <cell r="D3133" t="str">
            <v>PC 8Y1-CC</v>
          </cell>
          <cell r="E3133" t="str">
            <v>ZFGD</v>
          </cell>
          <cell r="F3133" t="str">
            <v>CC</v>
          </cell>
          <cell r="G3133" t="str">
            <v>2</v>
          </cell>
          <cell r="H3133" t="str">
            <v>RETAIL</v>
          </cell>
          <cell r="I3133" t="str">
            <v>2F</v>
          </cell>
          <cell r="J3133" t="str">
            <v>TINTING</v>
          </cell>
          <cell r="K3133" t="str">
            <v>2F04</v>
          </cell>
          <cell r="L3133" t="str">
            <v>PASTA</v>
          </cell>
          <cell r="M3133" t="str">
            <v>2F0404</v>
          </cell>
          <cell r="N3133" t="str">
            <v>PASTA WB</v>
          </cell>
        </row>
        <row r="3134">
          <cell r="C3134" t="str">
            <v>100004504</v>
          </cell>
          <cell r="D3134" t="str">
            <v>PC 8Y2-CC</v>
          </cell>
          <cell r="E3134" t="str">
            <v>ZFGD</v>
          </cell>
          <cell r="F3134" t="str">
            <v>CC</v>
          </cell>
          <cell r="G3134" t="str">
            <v>2</v>
          </cell>
          <cell r="H3134" t="str">
            <v>RETAIL</v>
          </cell>
          <cell r="I3134" t="str">
            <v>2F</v>
          </cell>
          <cell r="J3134" t="str">
            <v>TINTING</v>
          </cell>
          <cell r="K3134" t="str">
            <v>2F04</v>
          </cell>
          <cell r="L3134" t="str">
            <v>PASTA</v>
          </cell>
          <cell r="M3134" t="str">
            <v>2F0404</v>
          </cell>
          <cell r="N3134" t="str">
            <v>PASTA WB</v>
          </cell>
        </row>
        <row r="3135">
          <cell r="C3135" t="str">
            <v>100004508</v>
          </cell>
          <cell r="D3135" t="str">
            <v>PC 8V1-CC</v>
          </cell>
          <cell r="E3135" t="str">
            <v>ZFGD</v>
          </cell>
          <cell r="F3135" t="str">
            <v>CC</v>
          </cell>
          <cell r="G3135" t="str">
            <v>2</v>
          </cell>
          <cell r="H3135" t="str">
            <v>RETAIL</v>
          </cell>
          <cell r="I3135" t="str">
            <v>2F</v>
          </cell>
          <cell r="J3135" t="str">
            <v>TINTING</v>
          </cell>
          <cell r="K3135" t="str">
            <v>2F04</v>
          </cell>
          <cell r="L3135" t="str">
            <v>PASTA</v>
          </cell>
          <cell r="M3135" t="str">
            <v>2F0404</v>
          </cell>
          <cell r="N3135" t="str">
            <v>PASTA WB</v>
          </cell>
        </row>
        <row r="3136">
          <cell r="C3136" t="str">
            <v>100004509</v>
          </cell>
          <cell r="D3136" t="str">
            <v>PC 8B1-CC</v>
          </cell>
          <cell r="E3136" t="str">
            <v>ZFGD</v>
          </cell>
          <cell r="F3136" t="str">
            <v>CC</v>
          </cell>
          <cell r="G3136" t="str">
            <v>2</v>
          </cell>
          <cell r="H3136" t="str">
            <v>RETAIL</v>
          </cell>
          <cell r="I3136" t="str">
            <v>2F</v>
          </cell>
          <cell r="J3136" t="str">
            <v>TINTING</v>
          </cell>
          <cell r="K3136" t="str">
            <v>2F04</v>
          </cell>
          <cell r="L3136" t="str">
            <v>PASTA</v>
          </cell>
          <cell r="M3136" t="str">
            <v>2F0404</v>
          </cell>
          <cell r="N3136" t="str">
            <v>PASTA WB</v>
          </cell>
        </row>
        <row r="3137">
          <cell r="C3137" t="str">
            <v>100004512</v>
          </cell>
          <cell r="D3137" t="str">
            <v>AD-61115 VN-20LP</v>
          </cell>
          <cell r="E3137" t="str">
            <v>ZFGD</v>
          </cell>
          <cell r="F3137" t="str">
            <v>PC</v>
          </cell>
          <cell r="G3137" t="str">
            <v>1</v>
          </cell>
          <cell r="H3137" t="str">
            <v>INDUSTRY</v>
          </cell>
          <cell r="I3137" t="str">
            <v>11</v>
          </cell>
          <cell r="J3137" t="str">
            <v>WOOD COATINGS</v>
          </cell>
          <cell r="K3137" t="str">
            <v>1118</v>
          </cell>
          <cell r="L3137" t="str">
            <v>COMPLEMENTARY</v>
          </cell>
          <cell r="M3137" t="str">
            <v>111801</v>
          </cell>
          <cell r="N3137" t="str">
            <v>ADDITIVES</v>
          </cell>
        </row>
        <row r="3138">
          <cell r="C3138" t="str">
            <v>100004513</v>
          </cell>
          <cell r="D3138" t="str">
            <v>PUH-56141 VN-20KP</v>
          </cell>
          <cell r="E3138" t="str">
            <v>ZFGD</v>
          </cell>
          <cell r="F3138" t="str">
            <v>PC</v>
          </cell>
          <cell r="G3138" t="str">
            <v>1</v>
          </cell>
          <cell r="H3138" t="str">
            <v>INDUSTRY</v>
          </cell>
          <cell r="I3138" t="str">
            <v>11</v>
          </cell>
          <cell r="J3138" t="str">
            <v>WOOD COATINGS</v>
          </cell>
          <cell r="K3138" t="str">
            <v>1103</v>
          </cell>
          <cell r="L3138" t="str">
            <v>PU</v>
          </cell>
          <cell r="M3138" t="str">
            <v>110320</v>
          </cell>
          <cell r="N3138" t="str">
            <v>PU HARDENER</v>
          </cell>
        </row>
        <row r="3139">
          <cell r="C3139" t="str">
            <v>100004514</v>
          </cell>
          <cell r="D3139" t="str">
            <v>PUC-52239 LQ01 10 TL VN-20KP</v>
          </cell>
          <cell r="E3139" t="str">
            <v>ZFGD</v>
          </cell>
          <cell r="F3139" t="str">
            <v>PC</v>
          </cell>
          <cell r="G3139" t="str">
            <v>1</v>
          </cell>
          <cell r="H3139" t="str">
            <v>INDUSTRY</v>
          </cell>
          <cell r="I3139" t="str">
            <v>11</v>
          </cell>
          <cell r="J3139" t="str">
            <v>WOOD COATINGS</v>
          </cell>
          <cell r="K3139" t="str">
            <v>1103</v>
          </cell>
          <cell r="L3139" t="str">
            <v>PU</v>
          </cell>
          <cell r="M3139" t="str">
            <v>110319</v>
          </cell>
          <cell r="N3139" t="str">
            <v>PU COLOR</v>
          </cell>
        </row>
        <row r="3140">
          <cell r="C3140" t="str">
            <v>100004515</v>
          </cell>
          <cell r="D3140" t="str">
            <v>PUC-52239 LQ02 20 TL VN-20KP</v>
          </cell>
          <cell r="E3140" t="str">
            <v>ZFGD</v>
          </cell>
          <cell r="F3140" t="str">
            <v>PC</v>
          </cell>
          <cell r="G3140" t="str">
            <v>1</v>
          </cell>
          <cell r="H3140" t="str">
            <v>INDUSTRY</v>
          </cell>
          <cell r="I3140" t="str">
            <v>11</v>
          </cell>
          <cell r="J3140" t="str">
            <v>WOOD COATINGS</v>
          </cell>
          <cell r="K3140" t="str">
            <v>1103</v>
          </cell>
          <cell r="L3140" t="str">
            <v>PU</v>
          </cell>
          <cell r="M3140" t="str">
            <v>110319</v>
          </cell>
          <cell r="N3140" t="str">
            <v>PU COLOR</v>
          </cell>
        </row>
        <row r="3141">
          <cell r="C3141" t="str">
            <v>100004516</v>
          </cell>
          <cell r="D3141" t="str">
            <v>PUC-52241 01 10 GB VN-20KP</v>
          </cell>
          <cell r="E3141" t="str">
            <v>ZFGD</v>
          </cell>
          <cell r="F3141" t="str">
            <v>PC</v>
          </cell>
          <cell r="G3141" t="str">
            <v>1</v>
          </cell>
          <cell r="H3141" t="str">
            <v>INDUSTRY</v>
          </cell>
          <cell r="I3141" t="str">
            <v>11</v>
          </cell>
          <cell r="J3141" t="str">
            <v>WOOD COATINGS</v>
          </cell>
          <cell r="K3141" t="str">
            <v>1103</v>
          </cell>
          <cell r="L3141" t="str">
            <v>PU</v>
          </cell>
          <cell r="M3141" t="str">
            <v>110319</v>
          </cell>
          <cell r="N3141" t="str">
            <v>PU COLOR</v>
          </cell>
        </row>
        <row r="3142">
          <cell r="C3142" t="str">
            <v>100004517</v>
          </cell>
          <cell r="D3142" t="str">
            <v>NCL-40800 BC CLEAR 30 VN-18KP</v>
          </cell>
          <cell r="E3142" t="str">
            <v>ZFGD</v>
          </cell>
          <cell r="F3142" t="str">
            <v>PC</v>
          </cell>
          <cell r="G3142" t="str">
            <v>1</v>
          </cell>
          <cell r="H3142" t="str">
            <v>INDUSTRY</v>
          </cell>
          <cell r="I3142" t="str">
            <v>11</v>
          </cell>
          <cell r="J3142" t="str">
            <v>WOOD COATINGS</v>
          </cell>
          <cell r="K3142" t="str">
            <v>1104</v>
          </cell>
          <cell r="L3142" t="str">
            <v>NC</v>
          </cell>
          <cell r="M3142" t="str">
            <v>110404</v>
          </cell>
          <cell r="N3142" t="str">
            <v>ASOF : NC TOP COAT</v>
          </cell>
        </row>
        <row r="3143">
          <cell r="C3143" t="str">
            <v>100004518</v>
          </cell>
          <cell r="D3143" t="str">
            <v>NCL-40800 BC CLEAR 30 VN-180KB</v>
          </cell>
          <cell r="E3143" t="str">
            <v>ZFGD</v>
          </cell>
          <cell r="F3143" t="str">
            <v>PC</v>
          </cell>
          <cell r="G3143" t="str">
            <v>1</v>
          </cell>
          <cell r="H3143" t="str">
            <v>INDUSTRY</v>
          </cell>
          <cell r="I3143" t="str">
            <v>11</v>
          </cell>
          <cell r="J3143" t="str">
            <v>WOOD COATINGS</v>
          </cell>
          <cell r="K3143" t="str">
            <v>1104</v>
          </cell>
          <cell r="L3143" t="str">
            <v>NC</v>
          </cell>
          <cell r="M3143" t="str">
            <v>110404</v>
          </cell>
          <cell r="N3143" t="str">
            <v>ASOF : NC TOP COAT</v>
          </cell>
        </row>
        <row r="3144">
          <cell r="C3144" t="str">
            <v>100004519</v>
          </cell>
          <cell r="D3144" t="str">
            <v>NCE-45000 BLACK 10 AK VN-20LP</v>
          </cell>
          <cell r="E3144" t="str">
            <v>ZFGD</v>
          </cell>
          <cell r="F3144" t="str">
            <v>PC</v>
          </cell>
          <cell r="G3144" t="str">
            <v>1</v>
          </cell>
          <cell r="H3144" t="str">
            <v>INDUSTRY</v>
          </cell>
          <cell r="I3144" t="str">
            <v>11</v>
          </cell>
          <cell r="J3144" t="str">
            <v>WOOD COATINGS</v>
          </cell>
          <cell r="K3144" t="str">
            <v>1104</v>
          </cell>
          <cell r="L3144" t="str">
            <v>NC</v>
          </cell>
          <cell r="M3144" t="str">
            <v>110404</v>
          </cell>
          <cell r="N3144" t="str">
            <v>ASOF : NC TOP COAT</v>
          </cell>
        </row>
        <row r="3145">
          <cell r="C3145" t="str">
            <v>100004520</v>
          </cell>
          <cell r="D3145" t="str">
            <v>DC-12229 LC BLACK 10 AK VN-20LP</v>
          </cell>
          <cell r="E3145" t="str">
            <v>ZFGD</v>
          </cell>
          <cell r="F3145" t="str">
            <v>PC</v>
          </cell>
          <cell r="G3145" t="str">
            <v>1</v>
          </cell>
          <cell r="H3145" t="str">
            <v>INDUSTRY</v>
          </cell>
          <cell r="I3145" t="str">
            <v>11</v>
          </cell>
          <cell r="J3145" t="str">
            <v>WOOD COATINGS</v>
          </cell>
          <cell r="K3145" t="str">
            <v>1104</v>
          </cell>
          <cell r="L3145" t="str">
            <v>NC</v>
          </cell>
          <cell r="M3145" t="str">
            <v>110405</v>
          </cell>
          <cell r="N3145" t="str">
            <v>NC SYSTEM</v>
          </cell>
        </row>
        <row r="3146">
          <cell r="C3146" t="str">
            <v>100004521</v>
          </cell>
          <cell r="D3146" t="str">
            <v>#NUTHNC-71 VN-30LJ</v>
          </cell>
          <cell r="E3146" t="str">
            <v>ZFGD</v>
          </cell>
          <cell r="F3146" t="str">
            <v>PC</v>
          </cell>
          <cell r="G3146" t="str">
            <v>1</v>
          </cell>
          <cell r="H3146" t="str">
            <v>INDUSTRY</v>
          </cell>
          <cell r="I3146" t="str">
            <v>14</v>
          </cell>
          <cell r="J3146" t="str">
            <v>THINNER</v>
          </cell>
          <cell r="K3146" t="str">
            <v>1403</v>
          </cell>
          <cell r="L3146" t="str">
            <v>THINNER WF I</v>
          </cell>
          <cell r="M3146" t="str">
            <v>140305</v>
          </cell>
          <cell r="N3146" t="str">
            <v>THINNER NC</v>
          </cell>
        </row>
        <row r="3147">
          <cell r="C3147" t="str">
            <v>100004522</v>
          </cell>
          <cell r="D3147" t="str">
            <v>MSS-41210 VN-30LP</v>
          </cell>
          <cell r="E3147" t="str">
            <v>ZFGD</v>
          </cell>
          <cell r="F3147" t="str">
            <v>PC</v>
          </cell>
          <cell r="G3147" t="str">
            <v>1</v>
          </cell>
          <cell r="H3147" t="str">
            <v>INDUSTRY</v>
          </cell>
          <cell r="I3147" t="str">
            <v>11</v>
          </cell>
          <cell r="J3147" t="str">
            <v>WOOD COATINGS</v>
          </cell>
          <cell r="K3147" t="str">
            <v>1102</v>
          </cell>
          <cell r="L3147" t="str">
            <v>MELAMINE</v>
          </cell>
          <cell r="M3147" t="str">
            <v>110207</v>
          </cell>
          <cell r="N3147" t="str">
            <v>MELAMINE SANDING SEALER</v>
          </cell>
        </row>
        <row r="3148">
          <cell r="C3148" t="str">
            <v>100004523</v>
          </cell>
          <cell r="D3148" t="str">
            <v>MH-43100 A VN-2L</v>
          </cell>
          <cell r="E3148" t="str">
            <v>ZFGD</v>
          </cell>
          <cell r="F3148" t="str">
            <v>PC</v>
          </cell>
          <cell r="G3148" t="str">
            <v>1</v>
          </cell>
          <cell r="H3148" t="str">
            <v>INDUSTRY</v>
          </cell>
          <cell r="I3148" t="str">
            <v>11</v>
          </cell>
          <cell r="J3148" t="str">
            <v>WOOD COATINGS</v>
          </cell>
          <cell r="K3148" t="str">
            <v>1102</v>
          </cell>
          <cell r="L3148" t="str">
            <v>MELAMINE</v>
          </cell>
          <cell r="M3148" t="str">
            <v>110201</v>
          </cell>
          <cell r="N3148" t="str">
            <v>MELAMINE SYSTEM</v>
          </cell>
        </row>
        <row r="3149">
          <cell r="C3149" t="str">
            <v>100004524</v>
          </cell>
          <cell r="D3149" t="str">
            <v>ML-41310 CLEAR 30 VN-30LP</v>
          </cell>
          <cell r="E3149" t="str">
            <v>ZFGD</v>
          </cell>
          <cell r="F3149" t="str">
            <v>PC</v>
          </cell>
          <cell r="G3149" t="str">
            <v>1</v>
          </cell>
          <cell r="H3149" t="str">
            <v>INDUSTRY</v>
          </cell>
          <cell r="I3149" t="str">
            <v>11</v>
          </cell>
          <cell r="J3149" t="str">
            <v>WOOD COATINGS</v>
          </cell>
          <cell r="K3149" t="str">
            <v>1102</v>
          </cell>
          <cell r="L3149" t="str">
            <v>MELAMINE</v>
          </cell>
          <cell r="M3149" t="str">
            <v>110201</v>
          </cell>
          <cell r="N3149" t="str">
            <v>MELAMINE SYSTEM</v>
          </cell>
        </row>
        <row r="3150">
          <cell r="C3150" t="str">
            <v>100004525</v>
          </cell>
          <cell r="D3150" t="str">
            <v>PUC-54206 AC EX DALAT 90 MK VN-20KP</v>
          </cell>
          <cell r="E3150" t="str">
            <v>ZFGD</v>
          </cell>
          <cell r="F3150" t="str">
            <v>PC</v>
          </cell>
          <cell r="G3150" t="str">
            <v>1</v>
          </cell>
          <cell r="H3150" t="str">
            <v>INDUSTRY</v>
          </cell>
          <cell r="I3150" t="str">
            <v>11</v>
          </cell>
          <cell r="J3150" t="str">
            <v>WOOD COATINGS</v>
          </cell>
          <cell r="K3150" t="str">
            <v>1103</v>
          </cell>
          <cell r="L3150" t="str">
            <v>PU</v>
          </cell>
          <cell r="M3150" t="str">
            <v>110319</v>
          </cell>
          <cell r="N3150" t="str">
            <v>PU COLOR</v>
          </cell>
        </row>
        <row r="3151">
          <cell r="C3151" t="str">
            <v>100004526</v>
          </cell>
          <cell r="D3151" t="str">
            <v>THNC-71 VN-30LJ</v>
          </cell>
          <cell r="E3151" t="str">
            <v>ZFGD</v>
          </cell>
          <cell r="F3151" t="str">
            <v>PC</v>
          </cell>
          <cell r="G3151" t="str">
            <v>1</v>
          </cell>
          <cell r="H3151" t="str">
            <v>INDUSTRY</v>
          </cell>
          <cell r="I3151" t="str">
            <v>14</v>
          </cell>
          <cell r="J3151" t="str">
            <v>THINNER</v>
          </cell>
          <cell r="K3151" t="str">
            <v>1412</v>
          </cell>
          <cell r="L3151" t="str">
            <v>THINNER NC</v>
          </cell>
          <cell r="M3151" t="str">
            <v>141205</v>
          </cell>
          <cell r="N3151" t="str">
            <v>THINNER NC</v>
          </cell>
        </row>
        <row r="3152">
          <cell r="C3152" t="str">
            <v>100004527</v>
          </cell>
          <cell r="D3152" t="str">
            <v>NCL-40800 BC CLEAR 05 VN-18KP</v>
          </cell>
          <cell r="E3152" t="str">
            <v>ZFGD</v>
          </cell>
          <cell r="F3152" t="str">
            <v>PC</v>
          </cell>
          <cell r="G3152" t="str">
            <v>1</v>
          </cell>
          <cell r="H3152" t="str">
            <v>INDUSTRY</v>
          </cell>
          <cell r="I3152" t="str">
            <v>11</v>
          </cell>
          <cell r="J3152" t="str">
            <v>WOOD COATINGS</v>
          </cell>
          <cell r="K3152" t="str">
            <v>1104</v>
          </cell>
          <cell r="L3152" t="str">
            <v>NC</v>
          </cell>
          <cell r="M3152" t="str">
            <v>110404</v>
          </cell>
          <cell r="N3152" t="str">
            <v>ASOF : NC TOP COAT</v>
          </cell>
        </row>
        <row r="3153">
          <cell r="C3153" t="str">
            <v>100004528</v>
          </cell>
          <cell r="D3153" t="str">
            <v>NCL-40800 BC CLEAR 05 VN-180KP</v>
          </cell>
          <cell r="E3153" t="str">
            <v>ZFGD</v>
          </cell>
          <cell r="F3153" t="str">
            <v>PC</v>
          </cell>
          <cell r="G3153" t="str">
            <v>1</v>
          </cell>
          <cell r="H3153" t="str">
            <v>INDUSTRY</v>
          </cell>
          <cell r="I3153" t="str">
            <v>11</v>
          </cell>
          <cell r="J3153" t="str">
            <v>WOOD COATINGS</v>
          </cell>
          <cell r="K3153" t="str">
            <v>1104</v>
          </cell>
          <cell r="L3153" t="str">
            <v>NC</v>
          </cell>
          <cell r="M3153" t="str">
            <v>110404</v>
          </cell>
          <cell r="N3153" t="str">
            <v>ASOF : NC TOP COAT</v>
          </cell>
        </row>
        <row r="3154">
          <cell r="C3154" t="str">
            <v>100004529</v>
          </cell>
          <cell r="D3154" t="str">
            <v>PUP-54106 AC EX L52 DB VN-20KP</v>
          </cell>
          <cell r="E3154" t="str">
            <v>ZFGD</v>
          </cell>
          <cell r="F3154" t="str">
            <v>PC</v>
          </cell>
          <cell r="G3154" t="str">
            <v>1</v>
          </cell>
          <cell r="H3154" t="str">
            <v>INDUSTRY</v>
          </cell>
          <cell r="I3154" t="str">
            <v>11</v>
          </cell>
          <cell r="J3154" t="str">
            <v>WOOD COATINGS</v>
          </cell>
          <cell r="K3154" t="str">
            <v>1103</v>
          </cell>
          <cell r="L3154" t="str">
            <v>PU</v>
          </cell>
          <cell r="M3154" t="str">
            <v>110322</v>
          </cell>
          <cell r="N3154" t="str">
            <v>PU PRIMER</v>
          </cell>
        </row>
        <row r="3155">
          <cell r="C3155" t="str">
            <v>100004530</v>
          </cell>
          <cell r="D3155" t="str">
            <v>PUP-54106 AC EX L53 DB VN-20KP</v>
          </cell>
          <cell r="E3155" t="str">
            <v>ZFGD</v>
          </cell>
          <cell r="F3155" t="str">
            <v>PC</v>
          </cell>
          <cell r="G3155" t="str">
            <v>1</v>
          </cell>
          <cell r="H3155" t="str">
            <v>INDUSTRY</v>
          </cell>
          <cell r="I3155" t="str">
            <v>11</v>
          </cell>
          <cell r="J3155" t="str">
            <v>WOOD COATINGS</v>
          </cell>
          <cell r="K3155" t="str">
            <v>1103</v>
          </cell>
          <cell r="L3155" t="str">
            <v>PU</v>
          </cell>
          <cell r="M3155" t="str">
            <v>110322</v>
          </cell>
          <cell r="N3155" t="str">
            <v>PU PRIMER</v>
          </cell>
        </row>
        <row r="3156">
          <cell r="C3156" t="str">
            <v>100004531</v>
          </cell>
          <cell r="D3156" t="str">
            <v>PUP-54106 AC EX L54 DB VN-20KP</v>
          </cell>
          <cell r="E3156" t="str">
            <v>ZFGD</v>
          </cell>
          <cell r="F3156" t="str">
            <v>PC</v>
          </cell>
          <cell r="G3156" t="str">
            <v>1</v>
          </cell>
          <cell r="H3156" t="str">
            <v>INDUSTRY</v>
          </cell>
          <cell r="I3156" t="str">
            <v>11</v>
          </cell>
          <cell r="J3156" t="str">
            <v>WOOD COATINGS</v>
          </cell>
          <cell r="K3156" t="str">
            <v>1103</v>
          </cell>
          <cell r="L3156" t="str">
            <v>PU</v>
          </cell>
          <cell r="M3156" t="str">
            <v>110322</v>
          </cell>
          <cell r="N3156" t="str">
            <v>PU PRIMER</v>
          </cell>
        </row>
        <row r="3157">
          <cell r="C3157" t="str">
            <v>100004532</v>
          </cell>
          <cell r="D3157" t="str">
            <v>PUSS-51241-1 YJ VN-20KP</v>
          </cell>
          <cell r="E3157" t="str">
            <v>ZFGD</v>
          </cell>
          <cell r="F3157" t="str">
            <v>PC</v>
          </cell>
          <cell r="G3157" t="str">
            <v>1</v>
          </cell>
          <cell r="H3157" t="str">
            <v>INDUSTRY</v>
          </cell>
          <cell r="I3157" t="str">
            <v>11</v>
          </cell>
          <cell r="J3157" t="str">
            <v>WOOD COATINGS</v>
          </cell>
          <cell r="K3157" t="str">
            <v>1103</v>
          </cell>
          <cell r="L3157" t="str">
            <v>PU</v>
          </cell>
          <cell r="M3157" t="str">
            <v>110323</v>
          </cell>
          <cell r="N3157" t="str">
            <v>PU SANDING SEALER</v>
          </cell>
        </row>
        <row r="3158">
          <cell r="C3158" t="str">
            <v>100004533</v>
          </cell>
          <cell r="D3158" t="str">
            <v>WBS-61002 SB VN-20KP</v>
          </cell>
          <cell r="E3158" t="str">
            <v>ZFGD</v>
          </cell>
          <cell r="F3158" t="str">
            <v>PC</v>
          </cell>
          <cell r="G3158" t="str">
            <v>1</v>
          </cell>
          <cell r="H3158" t="str">
            <v>INDUSTRY</v>
          </cell>
          <cell r="I3158" t="str">
            <v>11</v>
          </cell>
          <cell r="J3158" t="str">
            <v>WOOD COATINGS</v>
          </cell>
          <cell r="K3158" t="str">
            <v>1111</v>
          </cell>
          <cell r="L3158" t="str">
            <v>WATERBASED SYSTEM INTERIOR</v>
          </cell>
          <cell r="M3158" t="str">
            <v>111104</v>
          </cell>
          <cell r="N3158" t="str">
            <v>WATERBASED SYSTEM INTERIOR</v>
          </cell>
        </row>
        <row r="3159">
          <cell r="C3159" t="str">
            <v>100004534</v>
          </cell>
          <cell r="D3159" t="str">
            <v>PCA-31100 WD01 A TL VN-20LJ</v>
          </cell>
          <cell r="E3159" t="str">
            <v>ZFGD</v>
          </cell>
          <cell r="F3159" t="str">
            <v>PC</v>
          </cell>
          <cell r="G3159" t="str">
            <v>1</v>
          </cell>
          <cell r="H3159" t="str">
            <v>INDUSTRY</v>
          </cell>
          <cell r="I3159" t="str">
            <v>11</v>
          </cell>
          <cell r="J3159" t="str">
            <v>WOOD COATINGS</v>
          </cell>
          <cell r="K3159" t="str">
            <v>1118</v>
          </cell>
          <cell r="L3159" t="str">
            <v>COMPLEMENTARY</v>
          </cell>
          <cell r="M3159" t="str">
            <v>111807</v>
          </cell>
          <cell r="N3159" t="str">
            <v>PASTA</v>
          </cell>
        </row>
        <row r="3160">
          <cell r="C3160" t="str">
            <v>100004535</v>
          </cell>
          <cell r="D3160" t="str">
            <v>SST-11100 WD01 B TL VN-20LJ</v>
          </cell>
          <cell r="E3160" t="str">
            <v>ZFGD</v>
          </cell>
          <cell r="F3160" t="str">
            <v>PC</v>
          </cell>
          <cell r="G3160" t="str">
            <v>1</v>
          </cell>
          <cell r="H3160" t="str">
            <v>INDUSTRY</v>
          </cell>
          <cell r="I3160" t="str">
            <v>11</v>
          </cell>
          <cell r="J3160" t="str">
            <v>WOOD COATINGS</v>
          </cell>
          <cell r="K3160" t="str">
            <v>1109</v>
          </cell>
          <cell r="L3160" t="str">
            <v>STAIN &amp; GLAZE INTERIOR</v>
          </cell>
          <cell r="M3160" t="str">
            <v>110903</v>
          </cell>
          <cell r="N3160" t="str">
            <v>STAIN INTERIOR</v>
          </cell>
        </row>
        <row r="3161">
          <cell r="C3161" t="str">
            <v>100004536</v>
          </cell>
          <cell r="D3161" t="str">
            <v>SST-11100 WD02 A TL VN-20LJ</v>
          </cell>
          <cell r="E3161" t="str">
            <v>ZFGD</v>
          </cell>
          <cell r="F3161" t="str">
            <v>PC</v>
          </cell>
          <cell r="G3161" t="str">
            <v>1</v>
          </cell>
          <cell r="H3161" t="str">
            <v>INDUSTRY</v>
          </cell>
          <cell r="I3161" t="str">
            <v>11</v>
          </cell>
          <cell r="J3161" t="str">
            <v>WOOD COATINGS</v>
          </cell>
          <cell r="K3161" t="str">
            <v>1109</v>
          </cell>
          <cell r="L3161" t="str">
            <v>STAIN &amp; GLAZE INTERIOR</v>
          </cell>
          <cell r="M3161" t="str">
            <v>110903</v>
          </cell>
          <cell r="N3161" t="str">
            <v>STAIN INTERIOR</v>
          </cell>
        </row>
        <row r="3162">
          <cell r="C3162" t="str">
            <v>100004537</v>
          </cell>
          <cell r="D3162" t="str">
            <v>SST-11100 WD02 B TL VN-20LJ</v>
          </cell>
          <cell r="E3162" t="str">
            <v>ZFGD</v>
          </cell>
          <cell r="F3162" t="str">
            <v>PC</v>
          </cell>
          <cell r="G3162" t="str">
            <v>1</v>
          </cell>
          <cell r="H3162" t="str">
            <v>INDUSTRY</v>
          </cell>
          <cell r="I3162" t="str">
            <v>11</v>
          </cell>
          <cell r="J3162" t="str">
            <v>WOOD COATINGS</v>
          </cell>
          <cell r="K3162" t="str">
            <v>1109</v>
          </cell>
          <cell r="L3162" t="str">
            <v>STAIN &amp; GLAZE INTERIOR</v>
          </cell>
          <cell r="M3162" t="str">
            <v>110903</v>
          </cell>
          <cell r="N3162" t="str">
            <v>STAIN INTERIOR</v>
          </cell>
        </row>
        <row r="3163">
          <cell r="C3163" t="str">
            <v>100004538</v>
          </cell>
          <cell r="D3163" t="str">
            <v>PUC-54206 AC EX BLUE DL 05 MK VN-20KP</v>
          </cell>
          <cell r="E3163" t="str">
            <v>ZFGD</v>
          </cell>
          <cell r="F3163" t="str">
            <v>PC</v>
          </cell>
          <cell r="G3163" t="str">
            <v>1</v>
          </cell>
          <cell r="H3163" t="str">
            <v>INDUSTRY</v>
          </cell>
          <cell r="I3163" t="str">
            <v>11</v>
          </cell>
          <cell r="J3163" t="str">
            <v>WOOD COATINGS</v>
          </cell>
          <cell r="K3163" t="str">
            <v>1103</v>
          </cell>
          <cell r="L3163" t="str">
            <v>PU</v>
          </cell>
          <cell r="M3163" t="str">
            <v>110319</v>
          </cell>
          <cell r="N3163" t="str">
            <v>PU COLOR</v>
          </cell>
        </row>
        <row r="3164">
          <cell r="C3164" t="str">
            <v>100004539</v>
          </cell>
          <cell r="D3164" t="str">
            <v>PUC-54205 AC GLASS PL01 10 TL VN-20KP</v>
          </cell>
          <cell r="E3164" t="str">
            <v>ZFGD</v>
          </cell>
          <cell r="F3164" t="str">
            <v>PC</v>
          </cell>
          <cell r="G3164" t="str">
            <v>1</v>
          </cell>
          <cell r="H3164" t="str">
            <v>INDUSTRY</v>
          </cell>
          <cell r="I3164" t="str">
            <v>11</v>
          </cell>
          <cell r="J3164" t="str">
            <v>WOOD COATINGS</v>
          </cell>
          <cell r="K3164" t="str">
            <v>1103</v>
          </cell>
          <cell r="L3164" t="str">
            <v>PU</v>
          </cell>
          <cell r="M3164" t="str">
            <v>110319</v>
          </cell>
          <cell r="N3164" t="str">
            <v>PU COLOR</v>
          </cell>
        </row>
        <row r="3165">
          <cell r="C3165" t="str">
            <v>100004540</v>
          </cell>
          <cell r="D3165" t="str">
            <v>PCL-31300 PA 610 VN-25KZ</v>
          </cell>
          <cell r="E3165" t="str">
            <v>ZFGD</v>
          </cell>
          <cell r="F3165" t="str">
            <v>PC</v>
          </cell>
          <cell r="G3165" t="str">
            <v>1</v>
          </cell>
          <cell r="H3165" t="str">
            <v>INDUSTRY</v>
          </cell>
          <cell r="I3165" t="str">
            <v>11</v>
          </cell>
          <cell r="J3165" t="str">
            <v>WOOD COATINGS</v>
          </cell>
          <cell r="K3165" t="str">
            <v>1118</v>
          </cell>
          <cell r="L3165" t="str">
            <v>COMPLEMENTARY</v>
          </cell>
          <cell r="M3165" t="str">
            <v>111807</v>
          </cell>
          <cell r="N3165" t="str">
            <v>PASTA</v>
          </cell>
        </row>
        <row r="3166">
          <cell r="C3166" t="str">
            <v>100004541</v>
          </cell>
          <cell r="D3166" t="str">
            <v>THNC-2711-SD-AK-30LJ</v>
          </cell>
          <cell r="E3166" t="str">
            <v>ZFGD</v>
          </cell>
          <cell r="F3166" t="str">
            <v>PC</v>
          </cell>
          <cell r="G3166" t="str">
            <v>1</v>
          </cell>
          <cell r="H3166" t="str">
            <v>INDUSTRY</v>
          </cell>
          <cell r="I3166" t="str">
            <v>14</v>
          </cell>
          <cell r="J3166" t="str">
            <v>THINNER</v>
          </cell>
          <cell r="K3166" t="str">
            <v>1412</v>
          </cell>
          <cell r="L3166" t="str">
            <v>THINNER NC</v>
          </cell>
          <cell r="M3166" t="str">
            <v>141205</v>
          </cell>
          <cell r="N3166" t="str">
            <v>THINNER NC</v>
          </cell>
        </row>
        <row r="3167">
          <cell r="C3167" t="str">
            <v>100004542</v>
          </cell>
          <cell r="D3167" t="str">
            <v>THNC-71100 BC SS VN-30LJ</v>
          </cell>
          <cell r="E3167" t="str">
            <v>ZFGD</v>
          </cell>
          <cell r="F3167" t="str">
            <v>PC</v>
          </cell>
          <cell r="G3167" t="str">
            <v>1</v>
          </cell>
          <cell r="H3167" t="str">
            <v>INDUSTRY</v>
          </cell>
          <cell r="I3167" t="str">
            <v>14</v>
          </cell>
          <cell r="J3167" t="str">
            <v>THINNER</v>
          </cell>
          <cell r="K3167" t="str">
            <v>1412</v>
          </cell>
          <cell r="L3167" t="str">
            <v>THINNER NC</v>
          </cell>
          <cell r="M3167" t="str">
            <v>141205</v>
          </cell>
          <cell r="N3167" t="str">
            <v>THINNER NC</v>
          </cell>
        </row>
        <row r="3168">
          <cell r="C3168" t="str">
            <v>100004543</v>
          </cell>
          <cell r="D3168" t="str">
            <v>THNC-71100 BC VN-30LJ</v>
          </cell>
          <cell r="E3168" t="str">
            <v>ZFGD</v>
          </cell>
          <cell r="F3168" t="str">
            <v>PC</v>
          </cell>
          <cell r="G3168" t="str">
            <v>1</v>
          </cell>
          <cell r="H3168" t="str">
            <v>INDUSTRY</v>
          </cell>
          <cell r="I3168" t="str">
            <v>14</v>
          </cell>
          <cell r="J3168" t="str">
            <v>THINNER</v>
          </cell>
          <cell r="K3168" t="str">
            <v>1412</v>
          </cell>
          <cell r="L3168" t="str">
            <v>THINNER NC</v>
          </cell>
          <cell r="M3168" t="str">
            <v>141205</v>
          </cell>
          <cell r="N3168" t="str">
            <v>THINNER NC</v>
          </cell>
        </row>
        <row r="3169">
          <cell r="C3169" t="str">
            <v>100004544</v>
          </cell>
          <cell r="D3169" t="str">
            <v>THNC-71100 FD 01 VN-30LJ</v>
          </cell>
          <cell r="E3169" t="str">
            <v>ZFGD</v>
          </cell>
          <cell r="F3169" t="str">
            <v>PC</v>
          </cell>
          <cell r="G3169" t="str">
            <v>1</v>
          </cell>
          <cell r="H3169" t="str">
            <v>INDUSTRY</v>
          </cell>
          <cell r="I3169" t="str">
            <v>14</v>
          </cell>
          <cell r="J3169" t="str">
            <v>THINNER</v>
          </cell>
          <cell r="K3169" t="str">
            <v>1412</v>
          </cell>
          <cell r="L3169" t="str">
            <v>THINNER NC</v>
          </cell>
          <cell r="M3169" t="str">
            <v>141205</v>
          </cell>
          <cell r="N3169" t="str">
            <v>THINNER NC</v>
          </cell>
        </row>
        <row r="3170">
          <cell r="C3170" t="str">
            <v>100004545</v>
          </cell>
          <cell r="D3170" t="str">
            <v>THNC-71100 FD HT VN-30LJ</v>
          </cell>
          <cell r="E3170" t="str">
            <v>ZFGD</v>
          </cell>
          <cell r="F3170" t="str">
            <v>PC</v>
          </cell>
          <cell r="G3170" t="str">
            <v>1</v>
          </cell>
          <cell r="H3170" t="str">
            <v>INDUSTRY</v>
          </cell>
          <cell r="I3170" t="str">
            <v>14</v>
          </cell>
          <cell r="J3170" t="str">
            <v>THINNER</v>
          </cell>
          <cell r="K3170" t="str">
            <v>1412</v>
          </cell>
          <cell r="L3170" t="str">
            <v>THINNER NC</v>
          </cell>
          <cell r="M3170" t="str">
            <v>141205</v>
          </cell>
          <cell r="N3170" t="str">
            <v>THINNER NC</v>
          </cell>
        </row>
        <row r="3171">
          <cell r="C3171" t="str">
            <v>100004546</v>
          </cell>
          <cell r="D3171" t="str">
            <v>THNC-71100 RL VL VN-30LJ</v>
          </cell>
          <cell r="E3171" t="str">
            <v>ZFGD</v>
          </cell>
          <cell r="F3171" t="str">
            <v>PC</v>
          </cell>
          <cell r="G3171" t="str">
            <v>1</v>
          </cell>
          <cell r="H3171" t="str">
            <v>INDUSTRY</v>
          </cell>
          <cell r="I3171" t="str">
            <v>14</v>
          </cell>
          <cell r="J3171" t="str">
            <v>THINNER</v>
          </cell>
          <cell r="K3171" t="str">
            <v>1412</v>
          </cell>
          <cell r="L3171" t="str">
            <v>THINNER NC</v>
          </cell>
          <cell r="M3171" t="str">
            <v>141205</v>
          </cell>
          <cell r="N3171" t="str">
            <v>THINNER NC</v>
          </cell>
        </row>
        <row r="3172">
          <cell r="C3172" t="str">
            <v>100004547</v>
          </cell>
          <cell r="D3172" t="str">
            <v>THNC-71100 SD VN-30LJ</v>
          </cell>
          <cell r="E3172" t="str">
            <v>ZFGD</v>
          </cell>
          <cell r="F3172" t="str">
            <v>PC</v>
          </cell>
          <cell r="G3172" t="str">
            <v>1</v>
          </cell>
          <cell r="H3172" t="str">
            <v>INDUSTRY</v>
          </cell>
          <cell r="I3172" t="str">
            <v>14</v>
          </cell>
          <cell r="J3172" t="str">
            <v>THINNER</v>
          </cell>
          <cell r="K3172" t="str">
            <v>1412</v>
          </cell>
          <cell r="L3172" t="str">
            <v>THINNER NC</v>
          </cell>
          <cell r="M3172" t="str">
            <v>141205</v>
          </cell>
          <cell r="N3172" t="str">
            <v>THINNER NC</v>
          </cell>
        </row>
        <row r="3173">
          <cell r="C3173" t="str">
            <v>100004548</v>
          </cell>
          <cell r="D3173" t="str">
            <v>THNC-71150 VN-30LJ</v>
          </cell>
          <cell r="E3173" t="str">
            <v>ZFGD</v>
          </cell>
          <cell r="F3173" t="str">
            <v>PC</v>
          </cell>
          <cell r="G3173" t="str">
            <v>1</v>
          </cell>
          <cell r="H3173" t="str">
            <v>INDUSTRY</v>
          </cell>
          <cell r="I3173" t="str">
            <v>14</v>
          </cell>
          <cell r="J3173" t="str">
            <v>THINNER</v>
          </cell>
          <cell r="K3173" t="str">
            <v>1412</v>
          </cell>
          <cell r="L3173" t="str">
            <v>THINNER NC</v>
          </cell>
          <cell r="M3173" t="str">
            <v>141205</v>
          </cell>
          <cell r="N3173" t="str">
            <v>THINNER NC</v>
          </cell>
        </row>
        <row r="3174">
          <cell r="C3174" t="str">
            <v>100004549</v>
          </cell>
          <cell r="D3174" t="str">
            <v>THPU-2713-06-AK-30LJ</v>
          </cell>
          <cell r="E3174" t="str">
            <v>ZFGD</v>
          </cell>
          <cell r="F3174" t="str">
            <v>PC</v>
          </cell>
          <cell r="G3174" t="str">
            <v>1</v>
          </cell>
          <cell r="H3174" t="str">
            <v>INDUSTRY</v>
          </cell>
          <cell r="I3174" t="str">
            <v>14</v>
          </cell>
          <cell r="J3174" t="str">
            <v>THINNER</v>
          </cell>
          <cell r="K3174" t="str">
            <v>1411</v>
          </cell>
          <cell r="L3174" t="str">
            <v>THINNER PU</v>
          </cell>
          <cell r="M3174" t="str">
            <v>141101</v>
          </cell>
          <cell r="N3174" t="str">
            <v>THINNER PU</v>
          </cell>
        </row>
        <row r="3175">
          <cell r="C3175" t="str">
            <v>100004550</v>
          </cell>
          <cell r="D3175" t="str">
            <v>THPU-71300 SB VN-30LJ</v>
          </cell>
          <cell r="E3175" t="str">
            <v>ZFGD</v>
          </cell>
          <cell r="F3175" t="str">
            <v>PC</v>
          </cell>
          <cell r="G3175" t="str">
            <v>1</v>
          </cell>
          <cell r="H3175" t="str">
            <v>INDUSTRY</v>
          </cell>
          <cell r="I3175" t="str">
            <v>14</v>
          </cell>
          <cell r="J3175" t="str">
            <v>THINNER</v>
          </cell>
          <cell r="K3175" t="str">
            <v>1411</v>
          </cell>
          <cell r="L3175" t="str">
            <v>THINNER PU</v>
          </cell>
          <cell r="M3175" t="str">
            <v>141101</v>
          </cell>
          <cell r="N3175" t="str">
            <v>THINNER PU</v>
          </cell>
        </row>
        <row r="3176">
          <cell r="C3176" t="str">
            <v>100004551</v>
          </cell>
          <cell r="D3176" t="str">
            <v>THPU-71306 KD VN-30LJ</v>
          </cell>
          <cell r="E3176" t="str">
            <v>ZFGD</v>
          </cell>
          <cell r="F3176" t="str">
            <v>PC</v>
          </cell>
          <cell r="G3176" t="str">
            <v>1</v>
          </cell>
          <cell r="H3176" t="str">
            <v>INDUSTRY</v>
          </cell>
          <cell r="I3176" t="str">
            <v>14</v>
          </cell>
          <cell r="J3176" t="str">
            <v>THINNER</v>
          </cell>
          <cell r="K3176" t="str">
            <v>1411</v>
          </cell>
          <cell r="L3176" t="str">
            <v>THINNER PU</v>
          </cell>
          <cell r="M3176" t="str">
            <v>141101</v>
          </cell>
          <cell r="N3176" t="str">
            <v>THINNER PU</v>
          </cell>
        </row>
        <row r="3177">
          <cell r="C3177" t="str">
            <v>100004552</v>
          </cell>
          <cell r="D3177" t="str">
            <v>THPU-71306 PC VN-30LJ</v>
          </cell>
          <cell r="E3177" t="str">
            <v>ZFGD</v>
          </cell>
          <cell r="F3177" t="str">
            <v>PC</v>
          </cell>
          <cell r="G3177" t="str">
            <v>1</v>
          </cell>
          <cell r="H3177" t="str">
            <v>INDUSTRY</v>
          </cell>
          <cell r="I3177" t="str">
            <v>14</v>
          </cell>
          <cell r="J3177" t="str">
            <v>THINNER</v>
          </cell>
          <cell r="K3177" t="str">
            <v>1411</v>
          </cell>
          <cell r="L3177" t="str">
            <v>THINNER PU</v>
          </cell>
          <cell r="M3177" t="str">
            <v>141101</v>
          </cell>
          <cell r="N3177" t="str">
            <v>THINNER PU</v>
          </cell>
        </row>
        <row r="3178">
          <cell r="C3178" t="str">
            <v>100004553</v>
          </cell>
          <cell r="D3178" t="str">
            <v>THPU-71306 ST VN-30LJ</v>
          </cell>
          <cell r="E3178" t="str">
            <v>ZFGD</v>
          </cell>
          <cell r="F3178" t="str">
            <v>PC</v>
          </cell>
          <cell r="G3178" t="str">
            <v>1</v>
          </cell>
          <cell r="H3178" t="str">
            <v>INDUSTRY</v>
          </cell>
          <cell r="I3178" t="str">
            <v>14</v>
          </cell>
          <cell r="J3178" t="str">
            <v>THINNER</v>
          </cell>
          <cell r="K3178" t="str">
            <v>1411</v>
          </cell>
          <cell r="L3178" t="str">
            <v>THINNER PU</v>
          </cell>
          <cell r="M3178" t="str">
            <v>141101</v>
          </cell>
          <cell r="N3178" t="str">
            <v>THINNER PU</v>
          </cell>
        </row>
        <row r="3179">
          <cell r="C3179" t="str">
            <v>100004554</v>
          </cell>
          <cell r="D3179" t="str">
            <v>THPU-71306 VN-30LJ</v>
          </cell>
          <cell r="E3179" t="str">
            <v>ZFGD</v>
          </cell>
          <cell r="F3179" t="str">
            <v>PC</v>
          </cell>
          <cell r="G3179" t="str">
            <v>1</v>
          </cell>
          <cell r="H3179" t="str">
            <v>INDUSTRY</v>
          </cell>
          <cell r="I3179" t="str">
            <v>14</v>
          </cell>
          <cell r="J3179" t="str">
            <v>THINNER</v>
          </cell>
          <cell r="K3179" t="str">
            <v>1411</v>
          </cell>
          <cell r="L3179" t="str">
            <v>THINNER PU</v>
          </cell>
          <cell r="M3179" t="str">
            <v>141101</v>
          </cell>
          <cell r="N3179" t="str">
            <v>THINNER PU</v>
          </cell>
        </row>
        <row r="3180">
          <cell r="C3180" t="str">
            <v>100004555</v>
          </cell>
          <cell r="D3180" t="str">
            <v>THPU-71306-30LJ</v>
          </cell>
          <cell r="E3180" t="str">
            <v>ZFGD</v>
          </cell>
          <cell r="F3180" t="str">
            <v>PC</v>
          </cell>
          <cell r="G3180" t="str">
            <v>1</v>
          </cell>
          <cell r="H3180" t="str">
            <v>INDUSTRY</v>
          </cell>
          <cell r="I3180" t="str">
            <v>14</v>
          </cell>
          <cell r="J3180" t="str">
            <v>THINNER</v>
          </cell>
          <cell r="K3180" t="str">
            <v>1411</v>
          </cell>
          <cell r="L3180" t="str">
            <v>THINNER PU</v>
          </cell>
          <cell r="M3180" t="str">
            <v>141101</v>
          </cell>
          <cell r="N3180" t="str">
            <v>THINNER PU</v>
          </cell>
        </row>
        <row r="3181">
          <cell r="C3181" t="str">
            <v>100004556</v>
          </cell>
          <cell r="D3181" t="str">
            <v>THPU-71324 EST YJ VN-30LJ</v>
          </cell>
          <cell r="E3181" t="str">
            <v>ZFGD</v>
          </cell>
          <cell r="F3181" t="str">
            <v>PC</v>
          </cell>
          <cell r="G3181" t="str">
            <v>1</v>
          </cell>
          <cell r="H3181" t="str">
            <v>INDUSTRY</v>
          </cell>
          <cell r="I3181" t="str">
            <v>14</v>
          </cell>
          <cell r="J3181" t="str">
            <v>THINNER</v>
          </cell>
          <cell r="K3181" t="str">
            <v>1411</v>
          </cell>
          <cell r="L3181" t="str">
            <v>THINNER PU</v>
          </cell>
          <cell r="M3181" t="str">
            <v>141101</v>
          </cell>
          <cell r="N3181" t="str">
            <v>THINNER PU</v>
          </cell>
        </row>
        <row r="3182">
          <cell r="C3182" t="str">
            <v>100004557</v>
          </cell>
          <cell r="D3182" t="str">
            <v>THPU-71324-1 EST YJ VN-30LJ</v>
          </cell>
          <cell r="E3182" t="str">
            <v>ZFGD</v>
          </cell>
          <cell r="F3182" t="str">
            <v>PC</v>
          </cell>
          <cell r="G3182" t="str">
            <v>1</v>
          </cell>
          <cell r="H3182" t="str">
            <v>INDUSTRY</v>
          </cell>
          <cell r="I3182" t="str">
            <v>14</v>
          </cell>
          <cell r="J3182" t="str">
            <v>THINNER</v>
          </cell>
          <cell r="K3182" t="str">
            <v>1411</v>
          </cell>
          <cell r="L3182" t="str">
            <v>THINNER PU</v>
          </cell>
          <cell r="M3182" t="str">
            <v>141101</v>
          </cell>
          <cell r="N3182" t="str">
            <v>THINNER PU</v>
          </cell>
        </row>
        <row r="3183">
          <cell r="C3183" t="str">
            <v>100004558</v>
          </cell>
          <cell r="D3183" t="str">
            <v>11-26 WIPPING THINNER LC VN-30LJ</v>
          </cell>
          <cell r="E3183" t="str">
            <v>ZFGD</v>
          </cell>
          <cell r="F3183" t="str">
            <v>PC</v>
          </cell>
          <cell r="G3183" t="str">
            <v>1</v>
          </cell>
          <cell r="H3183" t="str">
            <v>INDUSTRY</v>
          </cell>
          <cell r="I3183" t="str">
            <v>14</v>
          </cell>
          <cell r="J3183" t="str">
            <v>THINNER</v>
          </cell>
          <cell r="K3183" t="str">
            <v>1411</v>
          </cell>
          <cell r="L3183" t="str">
            <v>THINNER PU</v>
          </cell>
          <cell r="M3183" t="str">
            <v>141102</v>
          </cell>
          <cell r="N3183" t="str">
            <v>UNION THINNER</v>
          </cell>
        </row>
        <row r="3184">
          <cell r="C3184" t="str">
            <v>100004559</v>
          </cell>
          <cell r="D3184" t="str">
            <v>11-260 AF PU THINNER HD-30LJ</v>
          </cell>
          <cell r="E3184" t="str">
            <v>ZFGD</v>
          </cell>
          <cell r="F3184" t="str">
            <v>PC</v>
          </cell>
          <cell r="G3184" t="str">
            <v>1</v>
          </cell>
          <cell r="H3184" t="str">
            <v>INDUSTRY</v>
          </cell>
          <cell r="I3184" t="str">
            <v>14</v>
          </cell>
          <cell r="J3184" t="str">
            <v>THINNER</v>
          </cell>
          <cell r="K3184" t="str">
            <v>1411</v>
          </cell>
          <cell r="L3184" t="str">
            <v>THINNER PU</v>
          </cell>
          <cell r="M3184" t="str">
            <v>141102</v>
          </cell>
          <cell r="N3184" t="str">
            <v>UNION THINNER</v>
          </cell>
        </row>
        <row r="3185">
          <cell r="C3185" t="str">
            <v>100004560</v>
          </cell>
          <cell r="D3185" t="str">
            <v>11-260 AF PU THINNER-30LJ</v>
          </cell>
          <cell r="E3185" t="str">
            <v>ZFGD</v>
          </cell>
          <cell r="F3185" t="str">
            <v>PC</v>
          </cell>
          <cell r="G3185" t="str">
            <v>1</v>
          </cell>
          <cell r="H3185" t="str">
            <v>INDUSTRY</v>
          </cell>
          <cell r="I3185" t="str">
            <v>14</v>
          </cell>
          <cell r="J3185" t="str">
            <v>THINNER</v>
          </cell>
          <cell r="K3185" t="str">
            <v>1411</v>
          </cell>
          <cell r="L3185" t="str">
            <v>THINNER PU</v>
          </cell>
          <cell r="M3185" t="str">
            <v>141102</v>
          </cell>
          <cell r="N3185" t="str">
            <v>UNION THINNER</v>
          </cell>
        </row>
        <row r="3186">
          <cell r="C3186" t="str">
            <v>100004561</v>
          </cell>
          <cell r="D3186" t="str">
            <v>11-260-1 AF PU THINNER-30LJ</v>
          </cell>
          <cell r="E3186" t="str">
            <v>ZFGD</v>
          </cell>
          <cell r="F3186" t="str">
            <v>PC</v>
          </cell>
          <cell r="G3186" t="str">
            <v>1</v>
          </cell>
          <cell r="H3186" t="str">
            <v>INDUSTRY</v>
          </cell>
          <cell r="I3186" t="str">
            <v>14</v>
          </cell>
          <cell r="J3186" t="str">
            <v>THINNER</v>
          </cell>
          <cell r="K3186" t="str">
            <v>1411</v>
          </cell>
          <cell r="L3186" t="str">
            <v>THINNER PU</v>
          </cell>
          <cell r="M3186" t="str">
            <v>141102</v>
          </cell>
          <cell r="N3186" t="str">
            <v>UNION THINNER</v>
          </cell>
        </row>
        <row r="3187">
          <cell r="C3187" t="str">
            <v>100004562</v>
          </cell>
          <cell r="D3187" t="str">
            <v>11-261 AF PU THINNER-30LJ</v>
          </cell>
          <cell r="E3187" t="str">
            <v>ZFGD</v>
          </cell>
          <cell r="F3187" t="str">
            <v>PC</v>
          </cell>
          <cell r="G3187" t="str">
            <v>1</v>
          </cell>
          <cell r="H3187" t="str">
            <v>INDUSTRY</v>
          </cell>
          <cell r="I3187" t="str">
            <v>14</v>
          </cell>
          <cell r="J3187" t="str">
            <v>THINNER</v>
          </cell>
          <cell r="K3187" t="str">
            <v>1411</v>
          </cell>
          <cell r="L3187" t="str">
            <v>THINNER PU</v>
          </cell>
          <cell r="M3187" t="str">
            <v>141102</v>
          </cell>
          <cell r="N3187" t="str">
            <v>UNION THINNER</v>
          </cell>
        </row>
        <row r="3188">
          <cell r="C3188" t="str">
            <v>100004563</v>
          </cell>
          <cell r="D3188" t="str">
            <v>THC-2731 103 AK-30LJ</v>
          </cell>
          <cell r="E3188" t="str">
            <v>ZFGD</v>
          </cell>
          <cell r="F3188" t="str">
            <v>PC</v>
          </cell>
          <cell r="G3188" t="str">
            <v>1</v>
          </cell>
          <cell r="H3188" t="str">
            <v>INDUSTRY</v>
          </cell>
          <cell r="I3188" t="str">
            <v>14</v>
          </cell>
          <cell r="J3188" t="str">
            <v>THINNER</v>
          </cell>
          <cell r="K3188" t="str">
            <v>1412</v>
          </cell>
          <cell r="L3188" t="str">
            <v>THINNER NC</v>
          </cell>
          <cell r="M3188" t="str">
            <v>141203</v>
          </cell>
          <cell r="N3188" t="str">
            <v>THINNER COMPLEMENTARY</v>
          </cell>
        </row>
        <row r="3189">
          <cell r="C3189" t="str">
            <v>100004564</v>
          </cell>
          <cell r="D3189" t="str">
            <v>THC-2731-402-AK-30LJ</v>
          </cell>
          <cell r="E3189" t="str">
            <v>ZFGD</v>
          </cell>
          <cell r="F3189" t="str">
            <v>PC</v>
          </cell>
          <cell r="G3189" t="str">
            <v>1</v>
          </cell>
          <cell r="H3189" t="str">
            <v>INDUSTRY</v>
          </cell>
          <cell r="I3189" t="str">
            <v>14</v>
          </cell>
          <cell r="J3189" t="str">
            <v>THINNER</v>
          </cell>
          <cell r="K3189" t="str">
            <v>1412</v>
          </cell>
          <cell r="L3189" t="str">
            <v>THINNER NC</v>
          </cell>
          <cell r="M3189" t="str">
            <v>141203</v>
          </cell>
          <cell r="N3189" t="str">
            <v>THINNER COMPLEMENTARY</v>
          </cell>
        </row>
        <row r="3190">
          <cell r="C3190" t="str">
            <v>100004565</v>
          </cell>
          <cell r="D3190" t="str">
            <v>THC-73100 101 VN-30LJ</v>
          </cell>
          <cell r="E3190" t="str">
            <v>ZFGD</v>
          </cell>
          <cell r="F3190" t="str">
            <v>PC</v>
          </cell>
          <cell r="G3190" t="str">
            <v>1</v>
          </cell>
          <cell r="H3190" t="str">
            <v>INDUSTRY</v>
          </cell>
          <cell r="I3190" t="str">
            <v>14</v>
          </cell>
          <cell r="J3190" t="str">
            <v>THINNER</v>
          </cell>
          <cell r="K3190" t="str">
            <v>1412</v>
          </cell>
          <cell r="L3190" t="str">
            <v>THINNER NC</v>
          </cell>
          <cell r="M3190" t="str">
            <v>141203</v>
          </cell>
          <cell r="N3190" t="str">
            <v>THINNER COMPLEMENTARY</v>
          </cell>
        </row>
        <row r="3191">
          <cell r="C3191" t="str">
            <v>100004566</v>
          </cell>
          <cell r="D3191" t="str">
            <v>THC-73100 102 VN-30LJ</v>
          </cell>
          <cell r="E3191" t="str">
            <v>ZFGD</v>
          </cell>
          <cell r="F3191" t="str">
            <v>PC</v>
          </cell>
          <cell r="G3191" t="str">
            <v>1</v>
          </cell>
          <cell r="H3191" t="str">
            <v>INDUSTRY</v>
          </cell>
          <cell r="I3191" t="str">
            <v>14</v>
          </cell>
          <cell r="J3191" t="str">
            <v>THINNER</v>
          </cell>
          <cell r="K3191" t="str">
            <v>1412</v>
          </cell>
          <cell r="L3191" t="str">
            <v>THINNER NC</v>
          </cell>
          <cell r="M3191" t="str">
            <v>141203</v>
          </cell>
          <cell r="N3191" t="str">
            <v>THINNER COMPLEMENTARY</v>
          </cell>
        </row>
        <row r="3192">
          <cell r="C3192" t="str">
            <v>100004567</v>
          </cell>
          <cell r="D3192" t="str">
            <v>THC-73100 109 VN-30LJ</v>
          </cell>
          <cell r="E3192" t="str">
            <v>ZFGD</v>
          </cell>
          <cell r="F3192" t="str">
            <v>PC</v>
          </cell>
          <cell r="G3192" t="str">
            <v>1</v>
          </cell>
          <cell r="H3192" t="str">
            <v>INDUSTRY</v>
          </cell>
          <cell r="I3192" t="str">
            <v>14</v>
          </cell>
          <cell r="J3192" t="str">
            <v>THINNER</v>
          </cell>
          <cell r="K3192" t="str">
            <v>1402</v>
          </cell>
          <cell r="L3192" t="str">
            <v>THINNER PLASTIC COATINGS</v>
          </cell>
          <cell r="M3192" t="str">
            <v>140201</v>
          </cell>
          <cell r="N3192" t="str">
            <v>THINNER PLASTIC COATINGS</v>
          </cell>
        </row>
        <row r="3193">
          <cell r="C3193" t="str">
            <v>100004568</v>
          </cell>
          <cell r="D3193" t="str">
            <v>THC-73100 1103 VN-30LJ</v>
          </cell>
          <cell r="E3193" t="str">
            <v>ZFGD</v>
          </cell>
          <cell r="F3193" t="str">
            <v>PC</v>
          </cell>
          <cell r="G3193" t="str">
            <v>1</v>
          </cell>
          <cell r="H3193" t="str">
            <v>INDUSTRY</v>
          </cell>
          <cell r="I3193" t="str">
            <v>14</v>
          </cell>
          <cell r="J3193" t="str">
            <v>THINNER</v>
          </cell>
          <cell r="K3193" t="str">
            <v>1412</v>
          </cell>
          <cell r="L3193" t="str">
            <v>THINNER NC</v>
          </cell>
          <cell r="M3193" t="str">
            <v>141203</v>
          </cell>
          <cell r="N3193" t="str">
            <v>THINNER COMPLEMENTARY</v>
          </cell>
        </row>
        <row r="3194">
          <cell r="C3194" t="str">
            <v>100004569</v>
          </cell>
          <cell r="D3194" t="str">
            <v>THC-73100 201 VN-30LJ</v>
          </cell>
          <cell r="E3194" t="str">
            <v>ZFGD</v>
          </cell>
          <cell r="F3194" t="str">
            <v>PC</v>
          </cell>
          <cell r="G3194" t="str">
            <v>1</v>
          </cell>
          <cell r="H3194" t="str">
            <v>INDUSTRY</v>
          </cell>
          <cell r="I3194" t="str">
            <v>14</v>
          </cell>
          <cell r="J3194" t="str">
            <v>THINNER</v>
          </cell>
          <cell r="K3194" t="str">
            <v>1412</v>
          </cell>
          <cell r="L3194" t="str">
            <v>THINNER NC</v>
          </cell>
          <cell r="M3194" t="str">
            <v>141203</v>
          </cell>
          <cell r="N3194" t="str">
            <v>THINNER COMPLEMENTARY</v>
          </cell>
        </row>
        <row r="3195">
          <cell r="C3195" t="str">
            <v>100004570</v>
          </cell>
          <cell r="D3195" t="str">
            <v>THC-73100 202 VN-30LJ</v>
          </cell>
          <cell r="E3195" t="str">
            <v>ZFGD</v>
          </cell>
          <cell r="F3195" t="str">
            <v>PC</v>
          </cell>
          <cell r="G3195" t="str">
            <v>1</v>
          </cell>
          <cell r="H3195" t="str">
            <v>INDUSTRY</v>
          </cell>
          <cell r="I3195" t="str">
            <v>14</v>
          </cell>
          <cell r="J3195" t="str">
            <v>THINNER</v>
          </cell>
          <cell r="K3195" t="str">
            <v>1412</v>
          </cell>
          <cell r="L3195" t="str">
            <v>THINNER NC</v>
          </cell>
          <cell r="M3195" t="str">
            <v>141203</v>
          </cell>
          <cell r="N3195" t="str">
            <v>THINNER COMPLEMENTARY</v>
          </cell>
        </row>
        <row r="3196">
          <cell r="C3196" t="str">
            <v>100004571</v>
          </cell>
          <cell r="D3196" t="str">
            <v>THC-73100 402 VN-30LJ</v>
          </cell>
          <cell r="E3196" t="str">
            <v>ZFGD</v>
          </cell>
          <cell r="F3196" t="str">
            <v>PC</v>
          </cell>
          <cell r="G3196" t="str">
            <v>1</v>
          </cell>
          <cell r="H3196" t="str">
            <v>INDUSTRY</v>
          </cell>
          <cell r="I3196" t="str">
            <v>14</v>
          </cell>
          <cell r="J3196" t="str">
            <v>THINNER</v>
          </cell>
          <cell r="K3196" t="str">
            <v>1412</v>
          </cell>
          <cell r="L3196" t="str">
            <v>THINNER NC</v>
          </cell>
          <cell r="M3196" t="str">
            <v>141203</v>
          </cell>
          <cell r="N3196" t="str">
            <v>THINNER COMPLEMENTARY</v>
          </cell>
        </row>
        <row r="3197">
          <cell r="C3197" t="str">
            <v>100004572</v>
          </cell>
          <cell r="D3197" t="str">
            <v>THC-73100 405 VN-30LJ</v>
          </cell>
          <cell r="E3197" t="str">
            <v>ZFGD</v>
          </cell>
          <cell r="F3197" t="str">
            <v>PC</v>
          </cell>
          <cell r="G3197" t="str">
            <v>1</v>
          </cell>
          <cell r="H3197" t="str">
            <v>INDUSTRY</v>
          </cell>
          <cell r="I3197" t="str">
            <v>14</v>
          </cell>
          <cell r="J3197" t="str">
            <v>THINNER</v>
          </cell>
          <cell r="K3197" t="str">
            <v>1412</v>
          </cell>
          <cell r="L3197" t="str">
            <v>THINNER NC</v>
          </cell>
          <cell r="M3197" t="str">
            <v>141203</v>
          </cell>
          <cell r="N3197" t="str">
            <v>THINNER COMPLEMENTARY</v>
          </cell>
        </row>
        <row r="3198">
          <cell r="C3198" t="str">
            <v>100004573</v>
          </cell>
          <cell r="D3198" t="str">
            <v>THC-73100 PLC 15-30LJ</v>
          </cell>
          <cell r="E3198" t="str">
            <v>ZFGD</v>
          </cell>
          <cell r="F3198" t="str">
            <v>PC</v>
          </cell>
          <cell r="G3198" t="str">
            <v>1</v>
          </cell>
          <cell r="H3198" t="str">
            <v>INDUSTRY</v>
          </cell>
          <cell r="I3198" t="str">
            <v>14</v>
          </cell>
          <cell r="J3198" t="str">
            <v>THINNER</v>
          </cell>
          <cell r="K3198" t="str">
            <v>1412</v>
          </cell>
          <cell r="L3198" t="str">
            <v>THINNER NC</v>
          </cell>
          <cell r="M3198" t="str">
            <v>141203</v>
          </cell>
          <cell r="N3198" t="str">
            <v>THINNER COMPLEMENTARY</v>
          </cell>
        </row>
        <row r="3199">
          <cell r="C3199" t="str">
            <v>100004574</v>
          </cell>
          <cell r="D3199" t="str">
            <v>THC-73100 ST VN-30LJ</v>
          </cell>
          <cell r="E3199" t="str">
            <v>ZFGD</v>
          </cell>
          <cell r="F3199" t="str">
            <v>PC</v>
          </cell>
          <cell r="G3199" t="str">
            <v>1</v>
          </cell>
          <cell r="H3199" t="str">
            <v>INDUSTRY</v>
          </cell>
          <cell r="I3199" t="str">
            <v>14</v>
          </cell>
          <cell r="J3199" t="str">
            <v>THINNER</v>
          </cell>
          <cell r="K3199" t="str">
            <v>1412</v>
          </cell>
          <cell r="L3199" t="str">
            <v>THINNER NC</v>
          </cell>
          <cell r="M3199" t="str">
            <v>141203</v>
          </cell>
          <cell r="N3199" t="str">
            <v>THINNER COMPLEMENTARY</v>
          </cell>
        </row>
        <row r="3200">
          <cell r="C3200" t="str">
            <v>100004575</v>
          </cell>
          <cell r="D3200" t="str">
            <v>THC-73100 007 VN-30LJ</v>
          </cell>
          <cell r="E3200" t="str">
            <v>ZFGD</v>
          </cell>
          <cell r="F3200" t="str">
            <v>PC</v>
          </cell>
          <cell r="G3200" t="str">
            <v>1</v>
          </cell>
          <cell r="H3200" t="str">
            <v>INDUSTRY</v>
          </cell>
          <cell r="I3200" t="str">
            <v>14</v>
          </cell>
          <cell r="J3200" t="str">
            <v>THINNER</v>
          </cell>
          <cell r="K3200" t="str">
            <v>1412</v>
          </cell>
          <cell r="L3200" t="str">
            <v>THINNER NC</v>
          </cell>
          <cell r="M3200" t="str">
            <v>141203</v>
          </cell>
          <cell r="N3200" t="str">
            <v>THINNER COMPLEMENTARY</v>
          </cell>
        </row>
        <row r="3201">
          <cell r="C3201" t="str">
            <v>100004576</v>
          </cell>
          <cell r="D3201" t="str">
            <v>THC-73100 1103 KD VN-30LJ</v>
          </cell>
          <cell r="E3201" t="str">
            <v>ZFGD</v>
          </cell>
          <cell r="F3201" t="str">
            <v>PC</v>
          </cell>
          <cell r="G3201" t="str">
            <v>1</v>
          </cell>
          <cell r="H3201" t="str">
            <v>INDUSTRY</v>
          </cell>
          <cell r="I3201" t="str">
            <v>14</v>
          </cell>
          <cell r="J3201" t="str">
            <v>THINNER</v>
          </cell>
          <cell r="K3201" t="str">
            <v>1412</v>
          </cell>
          <cell r="L3201" t="str">
            <v>THINNER NC</v>
          </cell>
          <cell r="M3201" t="str">
            <v>141203</v>
          </cell>
          <cell r="N3201" t="str">
            <v>THINNER COMPLEMENTARY</v>
          </cell>
        </row>
        <row r="3202">
          <cell r="C3202" t="str">
            <v>100004577</v>
          </cell>
          <cell r="D3202" t="str">
            <v>PUP-52133 MOD WHITE VN-20KP</v>
          </cell>
          <cell r="E3202" t="str">
            <v>ZFGD</v>
          </cell>
          <cell r="F3202" t="str">
            <v>PC</v>
          </cell>
          <cell r="G3202" t="str">
            <v>1</v>
          </cell>
          <cell r="H3202" t="str">
            <v>INDUSTRY</v>
          </cell>
          <cell r="I3202" t="str">
            <v>11</v>
          </cell>
          <cell r="J3202" t="str">
            <v>WOOD COATINGS</v>
          </cell>
          <cell r="K3202" t="str">
            <v>1103</v>
          </cell>
          <cell r="L3202" t="str">
            <v>PU</v>
          </cell>
          <cell r="M3202" t="str">
            <v>110322</v>
          </cell>
          <cell r="N3202" t="str">
            <v>PU PRIMER</v>
          </cell>
        </row>
        <row r="3203">
          <cell r="C3203" t="str">
            <v>100004578</v>
          </cell>
          <cell r="D3203" t="str">
            <v>THC-73100 1203 VN-30LJ</v>
          </cell>
          <cell r="E3203" t="str">
            <v>ZFGD</v>
          </cell>
          <cell r="F3203" t="str">
            <v>PC</v>
          </cell>
          <cell r="G3203" t="str">
            <v>1</v>
          </cell>
          <cell r="H3203" t="str">
            <v>INDUSTRY</v>
          </cell>
          <cell r="I3203" t="str">
            <v>14</v>
          </cell>
          <cell r="J3203" t="str">
            <v>THINNER</v>
          </cell>
          <cell r="K3203" t="str">
            <v>1412</v>
          </cell>
          <cell r="L3203" t="str">
            <v>THINNER NC</v>
          </cell>
          <cell r="M3203" t="str">
            <v>141203</v>
          </cell>
          <cell r="N3203" t="str">
            <v>THINNER COMPLEMENTARY</v>
          </cell>
        </row>
        <row r="3204">
          <cell r="C3204" t="str">
            <v>100004579</v>
          </cell>
          <cell r="D3204" t="str">
            <v>THC-73100 1703 VN-30LJ</v>
          </cell>
          <cell r="E3204" t="str">
            <v>ZFGD</v>
          </cell>
          <cell r="F3204" t="str">
            <v>PC</v>
          </cell>
          <cell r="G3204" t="str">
            <v>1</v>
          </cell>
          <cell r="H3204" t="str">
            <v>INDUSTRY</v>
          </cell>
          <cell r="I3204" t="str">
            <v>14</v>
          </cell>
          <cell r="J3204" t="str">
            <v>THINNER</v>
          </cell>
          <cell r="K3204" t="str">
            <v>1412</v>
          </cell>
          <cell r="L3204" t="str">
            <v>THINNER NC</v>
          </cell>
          <cell r="M3204" t="str">
            <v>141203</v>
          </cell>
          <cell r="N3204" t="str">
            <v>THINNER COMPLEMENTARY</v>
          </cell>
        </row>
        <row r="3205">
          <cell r="C3205" t="str">
            <v>100004580</v>
          </cell>
          <cell r="D3205" t="str">
            <v>PUC-54205 AC WHITE LC 10 VN-20KP</v>
          </cell>
          <cell r="E3205" t="str">
            <v>ZFGD</v>
          </cell>
          <cell r="F3205" t="str">
            <v>PC</v>
          </cell>
          <cell r="G3205" t="str">
            <v>1</v>
          </cell>
          <cell r="H3205" t="str">
            <v>INDUSTRY</v>
          </cell>
          <cell r="I3205" t="str">
            <v>11</v>
          </cell>
          <cell r="J3205" t="str">
            <v>WOOD COATINGS</v>
          </cell>
          <cell r="K3205" t="str">
            <v>1103</v>
          </cell>
          <cell r="L3205" t="str">
            <v>PU</v>
          </cell>
          <cell r="M3205" t="str">
            <v>110319</v>
          </cell>
          <cell r="N3205" t="str">
            <v>PU COLOR</v>
          </cell>
        </row>
        <row r="3206">
          <cell r="C3206" t="str">
            <v>100004581</v>
          </cell>
          <cell r="D3206" t="str">
            <v>THC-73100 209 VN-30LJ</v>
          </cell>
          <cell r="E3206" t="str">
            <v>ZFGD</v>
          </cell>
          <cell r="F3206" t="str">
            <v>PC</v>
          </cell>
          <cell r="G3206" t="str">
            <v>1</v>
          </cell>
          <cell r="H3206" t="str">
            <v>INDUSTRY</v>
          </cell>
          <cell r="I3206" t="str">
            <v>14</v>
          </cell>
          <cell r="J3206" t="str">
            <v>THINNER</v>
          </cell>
          <cell r="K3206" t="str">
            <v>1412</v>
          </cell>
          <cell r="L3206" t="str">
            <v>THINNER NC</v>
          </cell>
          <cell r="M3206" t="str">
            <v>141203</v>
          </cell>
          <cell r="N3206" t="str">
            <v>THINNER COMPLEMENTARY</v>
          </cell>
        </row>
        <row r="3207">
          <cell r="C3207" t="str">
            <v>100004582</v>
          </cell>
          <cell r="D3207" t="str">
            <v>THC-73100 252 VN-30LJ</v>
          </cell>
          <cell r="E3207" t="str">
            <v>ZFGD</v>
          </cell>
          <cell r="F3207" t="str">
            <v>PC</v>
          </cell>
          <cell r="G3207" t="str">
            <v>1</v>
          </cell>
          <cell r="H3207" t="str">
            <v>INDUSTRY</v>
          </cell>
          <cell r="I3207" t="str">
            <v>14</v>
          </cell>
          <cell r="J3207" t="str">
            <v>THINNER</v>
          </cell>
          <cell r="K3207" t="str">
            <v>1412</v>
          </cell>
          <cell r="L3207" t="str">
            <v>THINNER NC</v>
          </cell>
          <cell r="M3207" t="str">
            <v>141203</v>
          </cell>
          <cell r="N3207" t="str">
            <v>THINNER COMPLEMENTARY</v>
          </cell>
        </row>
        <row r="3208">
          <cell r="C3208" t="str">
            <v>100004583</v>
          </cell>
          <cell r="D3208" t="str">
            <v>THC-73100 452 VN-30LJ</v>
          </cell>
          <cell r="E3208" t="str">
            <v>ZFGD</v>
          </cell>
          <cell r="F3208" t="str">
            <v>PC</v>
          </cell>
          <cell r="G3208" t="str">
            <v>1</v>
          </cell>
          <cell r="H3208" t="str">
            <v>INDUSTRY</v>
          </cell>
          <cell r="I3208" t="str">
            <v>14</v>
          </cell>
          <cell r="J3208" t="str">
            <v>THINNER</v>
          </cell>
          <cell r="K3208" t="str">
            <v>1412</v>
          </cell>
          <cell r="L3208" t="str">
            <v>THINNER NC</v>
          </cell>
          <cell r="M3208" t="str">
            <v>141203</v>
          </cell>
          <cell r="N3208" t="str">
            <v>THINNER COMPLEMENTARY</v>
          </cell>
        </row>
        <row r="3209">
          <cell r="C3209" t="str">
            <v>100004584</v>
          </cell>
          <cell r="D3209" t="str">
            <v>THC-73100 552 VN-30LJ</v>
          </cell>
          <cell r="E3209" t="str">
            <v>ZFGD</v>
          </cell>
          <cell r="F3209" t="str">
            <v>PC</v>
          </cell>
          <cell r="G3209" t="str">
            <v>1</v>
          </cell>
          <cell r="H3209" t="str">
            <v>INDUSTRY</v>
          </cell>
          <cell r="I3209" t="str">
            <v>14</v>
          </cell>
          <cell r="J3209" t="str">
            <v>THINNER</v>
          </cell>
          <cell r="K3209" t="str">
            <v>1412</v>
          </cell>
          <cell r="L3209" t="str">
            <v>THINNER NC</v>
          </cell>
          <cell r="M3209" t="str">
            <v>141203</v>
          </cell>
          <cell r="N3209" t="str">
            <v>THINNER COMPLEMENTARY</v>
          </cell>
        </row>
        <row r="3210">
          <cell r="C3210" t="str">
            <v>100004585</v>
          </cell>
          <cell r="D3210" t="str">
            <v>THC-73100 602 VN-30LJ</v>
          </cell>
          <cell r="E3210" t="str">
            <v>ZFGD</v>
          </cell>
          <cell r="F3210" t="str">
            <v>PC</v>
          </cell>
          <cell r="G3210" t="str">
            <v>1</v>
          </cell>
          <cell r="H3210" t="str">
            <v>INDUSTRY</v>
          </cell>
          <cell r="I3210" t="str">
            <v>14</v>
          </cell>
          <cell r="J3210" t="str">
            <v>THINNER</v>
          </cell>
          <cell r="K3210" t="str">
            <v>1412</v>
          </cell>
          <cell r="L3210" t="str">
            <v>THINNER NC</v>
          </cell>
          <cell r="M3210" t="str">
            <v>141203</v>
          </cell>
          <cell r="N3210" t="str">
            <v>THINNER COMPLEMENTARY</v>
          </cell>
        </row>
        <row r="3211">
          <cell r="C3211" t="str">
            <v>100004586</v>
          </cell>
          <cell r="D3211" t="str">
            <v>THCC-70100 CANPAC VN-30LJ</v>
          </cell>
          <cell r="E3211" t="str">
            <v>ZFGD</v>
          </cell>
          <cell r="F3211" t="str">
            <v>PC</v>
          </cell>
          <cell r="G3211" t="str">
            <v>1</v>
          </cell>
          <cell r="H3211" t="str">
            <v>INDUSTRY</v>
          </cell>
          <cell r="I3211" t="str">
            <v>14</v>
          </cell>
          <cell r="J3211" t="str">
            <v>THINNER</v>
          </cell>
          <cell r="K3211" t="str">
            <v>1401</v>
          </cell>
          <cell r="L3211" t="str">
            <v>THINNER CAN COATINGS</v>
          </cell>
          <cell r="M3211" t="str">
            <v>140101</v>
          </cell>
          <cell r="N3211" t="str">
            <v>THINNER CAN COATINGS</v>
          </cell>
        </row>
        <row r="3212">
          <cell r="C3212" t="str">
            <v>100004587</v>
          </cell>
          <cell r="D3212" t="str">
            <v>WBC-62201 SL HS WHITE 50 VN-20KP</v>
          </cell>
          <cell r="E3212" t="str">
            <v>ZFGD</v>
          </cell>
          <cell r="F3212" t="str">
            <v>PC</v>
          </cell>
          <cell r="G3212" t="str">
            <v>1</v>
          </cell>
          <cell r="H3212" t="str">
            <v>INDUSTRY</v>
          </cell>
          <cell r="I3212" t="str">
            <v>11</v>
          </cell>
          <cell r="J3212" t="str">
            <v>WOOD COATINGS</v>
          </cell>
          <cell r="K3212" t="str">
            <v>1119</v>
          </cell>
          <cell r="L3212" t="str">
            <v>WATERBASED</v>
          </cell>
          <cell r="M3212" t="str">
            <v>111902</v>
          </cell>
          <cell r="N3212" t="str">
            <v>WATERBASED SYSTEM INTERIOR</v>
          </cell>
        </row>
        <row r="3213">
          <cell r="C3213" t="str">
            <v>100004588</v>
          </cell>
          <cell r="D3213" t="str">
            <v>WBC-62201 SL HS WHITE 50 VN-200KB</v>
          </cell>
          <cell r="E3213" t="str">
            <v>ZFGD</v>
          </cell>
          <cell r="F3213" t="str">
            <v>PC</v>
          </cell>
          <cell r="G3213" t="str">
            <v>1</v>
          </cell>
          <cell r="H3213" t="str">
            <v>INDUSTRY</v>
          </cell>
          <cell r="I3213" t="str">
            <v>11</v>
          </cell>
          <cell r="J3213" t="str">
            <v>WOOD COATINGS</v>
          </cell>
          <cell r="K3213" t="str">
            <v>1119</v>
          </cell>
          <cell r="L3213" t="str">
            <v>WATERBASED</v>
          </cell>
          <cell r="M3213" t="str">
            <v>111902</v>
          </cell>
          <cell r="N3213" t="str">
            <v>WATERBASED SYSTEM INTERIOR</v>
          </cell>
        </row>
        <row r="3214">
          <cell r="C3214" t="str">
            <v>100004589</v>
          </cell>
          <cell r="D3214" t="str">
            <v>DP-12129 LC BLACK VN-20KP</v>
          </cell>
          <cell r="E3214" t="str">
            <v>ZFGD</v>
          </cell>
          <cell r="F3214" t="str">
            <v>PC</v>
          </cell>
          <cell r="G3214" t="str">
            <v>1</v>
          </cell>
          <cell r="H3214" t="str">
            <v>INDUSTRY</v>
          </cell>
          <cell r="I3214" t="str">
            <v>11</v>
          </cell>
          <cell r="J3214" t="str">
            <v>WOOD COATINGS</v>
          </cell>
          <cell r="K3214" t="str">
            <v>1104</v>
          </cell>
          <cell r="L3214" t="str">
            <v>NC</v>
          </cell>
          <cell r="M3214" t="str">
            <v>110405</v>
          </cell>
          <cell r="N3214" t="str">
            <v>NC SYSTEM</v>
          </cell>
        </row>
        <row r="3215">
          <cell r="C3215" t="str">
            <v>100004590</v>
          </cell>
          <cell r="D3215" t="str">
            <v>SST-11100 WALNUT 01 TF VN-20LJ</v>
          </cell>
          <cell r="E3215" t="str">
            <v>ZFGD</v>
          </cell>
          <cell r="F3215" t="str">
            <v>PC</v>
          </cell>
          <cell r="G3215" t="str">
            <v>1</v>
          </cell>
          <cell r="H3215" t="str">
            <v>INDUSTRY</v>
          </cell>
          <cell r="I3215" t="str">
            <v>11</v>
          </cell>
          <cell r="J3215" t="str">
            <v>WOOD COATINGS</v>
          </cell>
          <cell r="K3215" t="str">
            <v>1109</v>
          </cell>
          <cell r="L3215" t="str">
            <v>STAIN &amp; GLAZE INTERIOR</v>
          </cell>
          <cell r="M3215" t="str">
            <v>110903</v>
          </cell>
          <cell r="N3215" t="str">
            <v>STAIN INTERIOR</v>
          </cell>
        </row>
        <row r="3216">
          <cell r="C3216" t="str">
            <v>100004591</v>
          </cell>
          <cell r="D3216" t="str">
            <v>PUL-51341 CLEAR 60 VN-18KP</v>
          </cell>
          <cell r="E3216" t="str">
            <v>ZFGD</v>
          </cell>
          <cell r="F3216" t="str">
            <v>PC</v>
          </cell>
          <cell r="G3216" t="str">
            <v>1</v>
          </cell>
          <cell r="H3216" t="str">
            <v>INDUSTRY</v>
          </cell>
          <cell r="I3216" t="str">
            <v>11</v>
          </cell>
          <cell r="J3216" t="str">
            <v>WOOD COATINGS</v>
          </cell>
          <cell r="K3216" t="str">
            <v>1103</v>
          </cell>
          <cell r="L3216" t="str">
            <v>PU</v>
          </cell>
          <cell r="M3216" t="str">
            <v>110321</v>
          </cell>
          <cell r="N3216" t="str">
            <v>PU LACQUER</v>
          </cell>
        </row>
        <row r="3217">
          <cell r="C3217" t="str">
            <v>100004592</v>
          </cell>
          <cell r="D3217" t="str">
            <v>PUL-53310 AC HD CLEAR 10 VN-18KP</v>
          </cell>
          <cell r="E3217" t="str">
            <v>ZFGD</v>
          </cell>
          <cell r="F3217" t="str">
            <v>PC</v>
          </cell>
          <cell r="G3217" t="str">
            <v>1</v>
          </cell>
          <cell r="H3217" t="str">
            <v>INDUSTRY</v>
          </cell>
          <cell r="I3217" t="str">
            <v>11</v>
          </cell>
          <cell r="J3217" t="str">
            <v>WOOD COATINGS</v>
          </cell>
          <cell r="K3217" t="str">
            <v>1103</v>
          </cell>
          <cell r="L3217" t="str">
            <v>PU</v>
          </cell>
          <cell r="M3217" t="str">
            <v>110321</v>
          </cell>
          <cell r="N3217" t="str">
            <v>PU LACQUER</v>
          </cell>
        </row>
        <row r="3218">
          <cell r="C3218" t="str">
            <v>100004594</v>
          </cell>
          <cell r="D3218" t="str">
            <v>SST-11100 GROVE I TL VN-20LJ</v>
          </cell>
          <cell r="E3218" t="str">
            <v>ZFGD</v>
          </cell>
          <cell r="F3218" t="str">
            <v>PC</v>
          </cell>
          <cell r="G3218" t="str">
            <v>1</v>
          </cell>
          <cell r="H3218" t="str">
            <v>INDUSTRY</v>
          </cell>
          <cell r="I3218" t="str">
            <v>11</v>
          </cell>
          <cell r="J3218" t="str">
            <v>WOOD COATINGS</v>
          </cell>
          <cell r="K3218" t="str">
            <v>1109</v>
          </cell>
          <cell r="L3218" t="str">
            <v>STAIN &amp; GLAZE INTERIOR</v>
          </cell>
          <cell r="M3218" t="str">
            <v>110903</v>
          </cell>
          <cell r="N3218" t="str">
            <v>STAIN INTERIOR</v>
          </cell>
        </row>
        <row r="3219">
          <cell r="C3219" t="str">
            <v>100004595</v>
          </cell>
          <cell r="D3219" t="str">
            <v>SST-11100 GROVE A TL VN-20LJ</v>
          </cell>
          <cell r="E3219" t="str">
            <v>ZFGD</v>
          </cell>
          <cell r="F3219" t="str">
            <v>PC</v>
          </cell>
          <cell r="G3219" t="str">
            <v>1</v>
          </cell>
          <cell r="H3219" t="str">
            <v>INDUSTRY</v>
          </cell>
          <cell r="I3219" t="str">
            <v>11</v>
          </cell>
          <cell r="J3219" t="str">
            <v>WOOD COATINGS</v>
          </cell>
          <cell r="K3219" t="str">
            <v>1109</v>
          </cell>
          <cell r="L3219" t="str">
            <v>STAIN &amp; GLAZE INTERIOR</v>
          </cell>
          <cell r="M3219" t="str">
            <v>110903</v>
          </cell>
          <cell r="N3219" t="str">
            <v>STAIN INTERIOR</v>
          </cell>
        </row>
        <row r="3220">
          <cell r="C3220" t="str">
            <v>100004596</v>
          </cell>
          <cell r="D3220" t="str">
            <v>PCA-31100 GROVE B TL VN-20LJ</v>
          </cell>
          <cell r="E3220" t="str">
            <v>ZFGD</v>
          </cell>
          <cell r="F3220" t="str">
            <v>PC</v>
          </cell>
          <cell r="G3220" t="str">
            <v>1</v>
          </cell>
          <cell r="H3220" t="str">
            <v>INDUSTRY</v>
          </cell>
          <cell r="I3220" t="str">
            <v>11</v>
          </cell>
          <cell r="J3220" t="str">
            <v>WOOD COATINGS</v>
          </cell>
          <cell r="K3220" t="str">
            <v>1118</v>
          </cell>
          <cell r="L3220" t="str">
            <v>COMPLEMENTARY</v>
          </cell>
          <cell r="M3220" t="str">
            <v>111807</v>
          </cell>
          <cell r="N3220" t="str">
            <v>PASTA</v>
          </cell>
        </row>
        <row r="3221">
          <cell r="C3221" t="str">
            <v>100004597</v>
          </cell>
          <cell r="D3221" t="str">
            <v>PCA-31100 GROVE C TL VN-20LJ</v>
          </cell>
          <cell r="E3221" t="str">
            <v>ZFGD</v>
          </cell>
          <cell r="F3221" t="str">
            <v>PC</v>
          </cell>
          <cell r="G3221" t="str">
            <v>1</v>
          </cell>
          <cell r="H3221" t="str">
            <v>INDUSTRY</v>
          </cell>
          <cell r="I3221" t="str">
            <v>11</v>
          </cell>
          <cell r="J3221" t="str">
            <v>WOOD COATINGS</v>
          </cell>
          <cell r="K3221" t="str">
            <v>1118</v>
          </cell>
          <cell r="L3221" t="str">
            <v>COMPLEMENTARY</v>
          </cell>
          <cell r="M3221" t="str">
            <v>111807</v>
          </cell>
          <cell r="N3221" t="str">
            <v>PASTA</v>
          </cell>
        </row>
        <row r="3222">
          <cell r="C3222" t="str">
            <v>100004598</v>
          </cell>
          <cell r="D3222" t="str">
            <v>WBL-61201 NF CLEAR 10 VN-20KP</v>
          </cell>
          <cell r="E3222" t="str">
            <v>ZFGD</v>
          </cell>
          <cell r="F3222" t="str">
            <v>PC</v>
          </cell>
          <cell r="G3222" t="str">
            <v>1</v>
          </cell>
          <cell r="H3222" t="str">
            <v>INDUSTRY</v>
          </cell>
          <cell r="I3222" t="str">
            <v>11</v>
          </cell>
          <cell r="J3222" t="str">
            <v>WOOD COATINGS</v>
          </cell>
          <cell r="K3222" t="str">
            <v>1119</v>
          </cell>
          <cell r="L3222" t="str">
            <v>WATERBASED</v>
          </cell>
          <cell r="M3222" t="str">
            <v>111902</v>
          </cell>
          <cell r="N3222" t="str">
            <v>WATERBASED SYSTEM INTERIOR</v>
          </cell>
        </row>
        <row r="3223">
          <cell r="C3223" t="str">
            <v>100004599</v>
          </cell>
          <cell r="D3223" t="str">
            <v>WBC-62201 NF GREY WASH 10 DP VN-20KP</v>
          </cell>
          <cell r="E3223" t="str">
            <v>ZFGD</v>
          </cell>
          <cell r="F3223" t="str">
            <v>PC</v>
          </cell>
          <cell r="G3223" t="str">
            <v>1</v>
          </cell>
          <cell r="H3223" t="str">
            <v>INDUSTRY</v>
          </cell>
          <cell r="I3223" t="str">
            <v>11</v>
          </cell>
          <cell r="J3223" t="str">
            <v>WOOD COATINGS</v>
          </cell>
          <cell r="K3223" t="str">
            <v>1119</v>
          </cell>
          <cell r="L3223" t="str">
            <v>WATERBASED</v>
          </cell>
          <cell r="M3223" t="str">
            <v>111902</v>
          </cell>
          <cell r="N3223" t="str">
            <v>WATERBASED SYSTEM INTERIOR</v>
          </cell>
        </row>
        <row r="3224">
          <cell r="C3224" t="str">
            <v>100004600</v>
          </cell>
          <cell r="D3224" t="str">
            <v>GZPU-21500 03 VC VN-18KP</v>
          </cell>
          <cell r="E3224" t="str">
            <v>ZFGD</v>
          </cell>
          <cell r="F3224" t="str">
            <v>PC</v>
          </cell>
          <cell r="G3224" t="str">
            <v>1</v>
          </cell>
          <cell r="H3224" t="str">
            <v>INDUSTRY</v>
          </cell>
          <cell r="I3224" t="str">
            <v>11</v>
          </cell>
          <cell r="J3224" t="str">
            <v>WOOD COATINGS</v>
          </cell>
          <cell r="K3224" t="str">
            <v>1103</v>
          </cell>
          <cell r="L3224" t="str">
            <v>PU</v>
          </cell>
          <cell r="M3224" t="str">
            <v>110302</v>
          </cell>
          <cell r="N3224" t="str">
            <v>GLAZE PU</v>
          </cell>
        </row>
        <row r="3225">
          <cell r="C3225" t="str">
            <v>100004601</v>
          </cell>
          <cell r="D3225" t="str">
            <v>GZPU-21500 04 VC VN-18KP</v>
          </cell>
          <cell r="E3225" t="str">
            <v>ZFGD</v>
          </cell>
          <cell r="F3225" t="str">
            <v>PC</v>
          </cell>
          <cell r="G3225" t="str">
            <v>1</v>
          </cell>
          <cell r="H3225" t="str">
            <v>INDUSTRY</v>
          </cell>
          <cell r="I3225" t="str">
            <v>11</v>
          </cell>
          <cell r="J3225" t="str">
            <v>WOOD COATINGS</v>
          </cell>
          <cell r="K3225" t="str">
            <v>1103</v>
          </cell>
          <cell r="L3225" t="str">
            <v>PU</v>
          </cell>
          <cell r="M3225" t="str">
            <v>110302</v>
          </cell>
          <cell r="N3225" t="str">
            <v>GLAZE PU</v>
          </cell>
        </row>
        <row r="3226">
          <cell r="C3226" t="str">
            <v>100004602</v>
          </cell>
          <cell r="D3226" t="str">
            <v>SST-11100 03 VC VN-20LJ</v>
          </cell>
          <cell r="E3226" t="str">
            <v>ZFGD</v>
          </cell>
          <cell r="F3226" t="str">
            <v>PC</v>
          </cell>
          <cell r="G3226" t="str">
            <v>1</v>
          </cell>
          <cell r="H3226" t="str">
            <v>INDUSTRY</v>
          </cell>
          <cell r="I3226" t="str">
            <v>11</v>
          </cell>
          <cell r="J3226" t="str">
            <v>WOOD COATINGS</v>
          </cell>
          <cell r="K3226" t="str">
            <v>1109</v>
          </cell>
          <cell r="L3226" t="str">
            <v>STAIN &amp; GLAZE INTERIOR</v>
          </cell>
          <cell r="M3226" t="str">
            <v>110903</v>
          </cell>
          <cell r="N3226" t="str">
            <v>STAIN INTERIOR</v>
          </cell>
        </row>
        <row r="3227">
          <cell r="C3227" t="str">
            <v>100004603</v>
          </cell>
          <cell r="D3227" t="str">
            <v>SST-11100 04 VC VN-20LJ</v>
          </cell>
          <cell r="E3227" t="str">
            <v>ZFGD</v>
          </cell>
          <cell r="F3227" t="str">
            <v>PC</v>
          </cell>
          <cell r="G3227" t="str">
            <v>1</v>
          </cell>
          <cell r="H3227" t="str">
            <v>INDUSTRY</v>
          </cell>
          <cell r="I3227" t="str">
            <v>11</v>
          </cell>
          <cell r="J3227" t="str">
            <v>WOOD COATINGS</v>
          </cell>
          <cell r="K3227" t="str">
            <v>1109</v>
          </cell>
          <cell r="L3227" t="str">
            <v>STAIN &amp; GLAZE INTERIOR</v>
          </cell>
          <cell r="M3227" t="str">
            <v>110903</v>
          </cell>
          <cell r="N3227" t="str">
            <v>STAIN INTERIOR</v>
          </cell>
        </row>
        <row r="3228">
          <cell r="C3228" t="str">
            <v>100004604</v>
          </cell>
          <cell r="D3228" t="str">
            <v>PUP-54106 AC EX L57 DB VN-20KP</v>
          </cell>
          <cell r="E3228" t="str">
            <v>ZFGD</v>
          </cell>
          <cell r="F3228" t="str">
            <v>PC</v>
          </cell>
          <cell r="G3228" t="str">
            <v>1</v>
          </cell>
          <cell r="H3228" t="str">
            <v>INDUSTRY</v>
          </cell>
          <cell r="I3228" t="str">
            <v>11</v>
          </cell>
          <cell r="J3228" t="str">
            <v>WOOD COATINGS</v>
          </cell>
          <cell r="K3228" t="str">
            <v>1103</v>
          </cell>
          <cell r="L3228" t="str">
            <v>PU</v>
          </cell>
          <cell r="M3228" t="str">
            <v>110322</v>
          </cell>
          <cell r="N3228" t="str">
            <v>PU PRIMER</v>
          </cell>
        </row>
        <row r="3229">
          <cell r="C3229" t="str">
            <v>100004605</v>
          </cell>
          <cell r="D3229" t="str">
            <v>PCA-31100 01 KP VN-20LJ</v>
          </cell>
          <cell r="E3229" t="str">
            <v>ZFGD</v>
          </cell>
          <cell r="F3229" t="str">
            <v>PC</v>
          </cell>
          <cell r="G3229" t="str">
            <v>1</v>
          </cell>
          <cell r="H3229" t="str">
            <v>INDUSTRY</v>
          </cell>
          <cell r="I3229" t="str">
            <v>11</v>
          </cell>
          <cell r="J3229" t="str">
            <v>WOOD COATINGS</v>
          </cell>
          <cell r="K3229" t="str">
            <v>1118</v>
          </cell>
          <cell r="L3229" t="str">
            <v>COMPLEMENTARY</v>
          </cell>
          <cell r="M3229" t="str">
            <v>111807</v>
          </cell>
          <cell r="N3229" t="str">
            <v>PASTA</v>
          </cell>
        </row>
        <row r="3230">
          <cell r="C3230" t="str">
            <v>100004606</v>
          </cell>
          <cell r="D3230" t="str">
            <v>SST-11100 05 VC VN-20LJ</v>
          </cell>
          <cell r="E3230" t="str">
            <v>ZFGD</v>
          </cell>
          <cell r="F3230" t="str">
            <v>PC</v>
          </cell>
          <cell r="G3230" t="str">
            <v>1</v>
          </cell>
          <cell r="H3230" t="str">
            <v>INDUSTRY</v>
          </cell>
          <cell r="I3230" t="str">
            <v>11</v>
          </cell>
          <cell r="J3230" t="str">
            <v>WOOD COATINGS</v>
          </cell>
          <cell r="K3230" t="str">
            <v>1109</v>
          </cell>
          <cell r="L3230" t="str">
            <v>STAIN &amp; GLAZE INTERIOR</v>
          </cell>
          <cell r="M3230" t="str">
            <v>110903</v>
          </cell>
          <cell r="N3230" t="str">
            <v>STAIN INTERIOR</v>
          </cell>
        </row>
        <row r="3231">
          <cell r="C3231" t="str">
            <v>100004607</v>
          </cell>
          <cell r="D3231" t="str">
            <v>PUP-54106 AC EX L56 DB VN-20KP</v>
          </cell>
          <cell r="E3231" t="str">
            <v>ZFGD</v>
          </cell>
          <cell r="F3231" t="str">
            <v>PC</v>
          </cell>
          <cell r="G3231" t="str">
            <v>1</v>
          </cell>
          <cell r="H3231" t="str">
            <v>INDUSTRY</v>
          </cell>
          <cell r="I3231" t="str">
            <v>11</v>
          </cell>
          <cell r="J3231" t="str">
            <v>WOOD COATINGS</v>
          </cell>
          <cell r="K3231" t="str">
            <v>1103</v>
          </cell>
          <cell r="L3231" t="str">
            <v>PU</v>
          </cell>
          <cell r="M3231" t="str">
            <v>110322</v>
          </cell>
          <cell r="N3231" t="str">
            <v>PU PRIMER</v>
          </cell>
        </row>
        <row r="3232">
          <cell r="C3232" t="str">
            <v>100004608</v>
          </cell>
          <cell r="D3232" t="str">
            <v>PUP-54106 AC EX L58 DB VN-20KP</v>
          </cell>
          <cell r="E3232" t="str">
            <v>ZFGD</v>
          </cell>
          <cell r="F3232" t="str">
            <v>PC</v>
          </cell>
          <cell r="G3232" t="str">
            <v>1</v>
          </cell>
          <cell r="H3232" t="str">
            <v>INDUSTRY</v>
          </cell>
          <cell r="I3232" t="str">
            <v>11</v>
          </cell>
          <cell r="J3232" t="str">
            <v>WOOD COATINGS</v>
          </cell>
          <cell r="K3232" t="str">
            <v>1103</v>
          </cell>
          <cell r="L3232" t="str">
            <v>PU</v>
          </cell>
          <cell r="M3232" t="str">
            <v>110322</v>
          </cell>
          <cell r="N3232" t="str">
            <v>PU PRIMER</v>
          </cell>
        </row>
        <row r="3233">
          <cell r="C3233" t="str">
            <v>100004609</v>
          </cell>
          <cell r="D3233" t="str">
            <v>SST-11100 03 VC VN-200LK</v>
          </cell>
          <cell r="E3233" t="str">
            <v>ZFGD</v>
          </cell>
          <cell r="F3233" t="str">
            <v>PC</v>
          </cell>
          <cell r="G3233" t="str">
            <v>1</v>
          </cell>
          <cell r="H3233" t="str">
            <v>INDUSTRY</v>
          </cell>
          <cell r="I3233" t="str">
            <v>11</v>
          </cell>
          <cell r="J3233" t="str">
            <v>WOOD COATINGS</v>
          </cell>
          <cell r="K3233" t="str">
            <v>1109</v>
          </cell>
          <cell r="L3233" t="str">
            <v>STAIN &amp; GLAZE INTERIOR</v>
          </cell>
          <cell r="M3233" t="str">
            <v>110903</v>
          </cell>
          <cell r="N3233" t="str">
            <v>STAIN INTERIOR</v>
          </cell>
        </row>
        <row r="3234">
          <cell r="C3234" t="str">
            <v>100004610</v>
          </cell>
          <cell r="D3234" t="str">
            <v>SST-11100 04 VC VN-200LK</v>
          </cell>
          <cell r="E3234" t="str">
            <v>ZFGD</v>
          </cell>
          <cell r="F3234" t="str">
            <v>PC</v>
          </cell>
          <cell r="G3234" t="str">
            <v>1</v>
          </cell>
          <cell r="H3234" t="str">
            <v>INDUSTRY</v>
          </cell>
          <cell r="I3234" t="str">
            <v>11</v>
          </cell>
          <cell r="J3234" t="str">
            <v>WOOD COATINGS</v>
          </cell>
          <cell r="K3234" t="str">
            <v>1109</v>
          </cell>
          <cell r="L3234" t="str">
            <v>STAIN &amp; GLAZE INTERIOR</v>
          </cell>
          <cell r="M3234" t="str">
            <v>110903</v>
          </cell>
          <cell r="N3234" t="str">
            <v>STAIN INTERIOR</v>
          </cell>
        </row>
        <row r="3235">
          <cell r="C3235" t="str">
            <v>100004611</v>
          </cell>
          <cell r="D3235" t="str">
            <v>SST-11100 05 VC VN-200LK</v>
          </cell>
          <cell r="E3235" t="str">
            <v>ZFGD</v>
          </cell>
          <cell r="F3235" t="str">
            <v>PC</v>
          </cell>
          <cell r="G3235" t="str">
            <v>1</v>
          </cell>
          <cell r="H3235" t="str">
            <v>INDUSTRY</v>
          </cell>
          <cell r="I3235" t="str">
            <v>11</v>
          </cell>
          <cell r="J3235" t="str">
            <v>WOOD COATINGS</v>
          </cell>
          <cell r="K3235" t="str">
            <v>1109</v>
          </cell>
          <cell r="L3235" t="str">
            <v>STAIN &amp; GLAZE INTERIOR</v>
          </cell>
          <cell r="M3235" t="str">
            <v>110903</v>
          </cell>
          <cell r="N3235" t="str">
            <v>STAIN INTERIOR</v>
          </cell>
        </row>
        <row r="3236">
          <cell r="C3236" t="str">
            <v>100004612</v>
          </cell>
          <cell r="D3236" t="str">
            <v>PUL-51333 CLEAR 40 VN-20KP</v>
          </cell>
          <cell r="E3236" t="str">
            <v>ZFGD</v>
          </cell>
          <cell r="F3236" t="str">
            <v>PC</v>
          </cell>
          <cell r="G3236" t="str">
            <v>1</v>
          </cell>
          <cell r="H3236" t="str">
            <v>INDUSTRY</v>
          </cell>
          <cell r="I3236" t="str">
            <v>11</v>
          </cell>
          <cell r="J3236" t="str">
            <v>WOOD COATINGS</v>
          </cell>
          <cell r="K3236" t="str">
            <v>1103</v>
          </cell>
          <cell r="L3236" t="str">
            <v>PU</v>
          </cell>
          <cell r="M3236" t="str">
            <v>110321</v>
          </cell>
          <cell r="N3236" t="str">
            <v>PU LACQUER</v>
          </cell>
        </row>
        <row r="3237">
          <cell r="C3237" t="str">
            <v>100004613</v>
          </cell>
          <cell r="D3237" t="str">
            <v>PUL-51333 CLEAR 60 VN-20KP</v>
          </cell>
          <cell r="E3237" t="str">
            <v>ZFGD</v>
          </cell>
          <cell r="F3237" t="str">
            <v>PC</v>
          </cell>
          <cell r="G3237" t="str">
            <v>1</v>
          </cell>
          <cell r="H3237" t="str">
            <v>INDUSTRY</v>
          </cell>
          <cell r="I3237" t="str">
            <v>11</v>
          </cell>
          <cell r="J3237" t="str">
            <v>WOOD COATINGS</v>
          </cell>
          <cell r="K3237" t="str">
            <v>1103</v>
          </cell>
          <cell r="L3237" t="str">
            <v>PU</v>
          </cell>
          <cell r="M3237" t="str">
            <v>110321</v>
          </cell>
          <cell r="N3237" t="str">
            <v>PU LACQUER</v>
          </cell>
        </row>
        <row r="3238">
          <cell r="C3238" t="str">
            <v>100004614</v>
          </cell>
          <cell r="D3238" t="str">
            <v>PUC-52239 168SX 10 TL VN-20KP</v>
          </cell>
          <cell r="E3238" t="str">
            <v>ZFGD</v>
          </cell>
          <cell r="F3238" t="str">
            <v>PC</v>
          </cell>
          <cell r="G3238" t="str">
            <v>1</v>
          </cell>
          <cell r="H3238" t="str">
            <v>INDUSTRY</v>
          </cell>
          <cell r="I3238" t="str">
            <v>11</v>
          </cell>
          <cell r="J3238" t="str">
            <v>WOOD COATINGS</v>
          </cell>
          <cell r="K3238" t="str">
            <v>1103</v>
          </cell>
          <cell r="L3238" t="str">
            <v>PU</v>
          </cell>
          <cell r="M3238" t="str">
            <v>110319</v>
          </cell>
          <cell r="N3238" t="str">
            <v>PU COLOR</v>
          </cell>
        </row>
        <row r="3239">
          <cell r="C3239" t="str">
            <v>100004615</v>
          </cell>
          <cell r="D3239" t="str">
            <v>64-56 MICRO FILLER 168SX TL VN-20KP</v>
          </cell>
          <cell r="E3239" t="str">
            <v>ZFGD</v>
          </cell>
          <cell r="F3239" t="str">
            <v>PC</v>
          </cell>
          <cell r="G3239" t="str">
            <v>1</v>
          </cell>
          <cell r="H3239" t="str">
            <v>INDUSTRY</v>
          </cell>
          <cell r="I3239" t="str">
            <v>11</v>
          </cell>
          <cell r="J3239" t="str">
            <v>WOOD COATINGS</v>
          </cell>
          <cell r="K3239" t="str">
            <v>1103</v>
          </cell>
          <cell r="L3239" t="str">
            <v>PU</v>
          </cell>
          <cell r="M3239" t="str">
            <v>110305</v>
          </cell>
          <cell r="N3239" t="str">
            <v>UNION FILLER</v>
          </cell>
        </row>
        <row r="3240">
          <cell r="C3240" t="str">
            <v>100004616</v>
          </cell>
          <cell r="D3240" t="str">
            <v>PCA-31100 168SX A TL VN-20LJ</v>
          </cell>
          <cell r="E3240" t="str">
            <v>ZFGD</v>
          </cell>
          <cell r="F3240" t="str">
            <v>PC</v>
          </cell>
          <cell r="G3240" t="str">
            <v>1</v>
          </cell>
          <cell r="H3240" t="str">
            <v>INDUSTRY</v>
          </cell>
          <cell r="I3240" t="str">
            <v>11</v>
          </cell>
          <cell r="J3240" t="str">
            <v>WOOD COATINGS</v>
          </cell>
          <cell r="K3240" t="str">
            <v>1118</v>
          </cell>
          <cell r="L3240" t="str">
            <v>COMPLEMENTARY</v>
          </cell>
          <cell r="M3240" t="str">
            <v>111807</v>
          </cell>
          <cell r="N3240" t="str">
            <v>PASTA</v>
          </cell>
        </row>
        <row r="3241">
          <cell r="C3241" t="str">
            <v>100004617</v>
          </cell>
          <cell r="D3241" t="str">
            <v>SST-11100 168SX B TL VN-20LJ</v>
          </cell>
          <cell r="E3241" t="str">
            <v>ZFGD</v>
          </cell>
          <cell r="F3241" t="str">
            <v>PC</v>
          </cell>
          <cell r="G3241" t="str">
            <v>1</v>
          </cell>
          <cell r="H3241" t="str">
            <v>INDUSTRY</v>
          </cell>
          <cell r="I3241" t="str">
            <v>11</v>
          </cell>
          <cell r="J3241" t="str">
            <v>WOOD COATINGS</v>
          </cell>
          <cell r="K3241" t="str">
            <v>1109</v>
          </cell>
          <cell r="L3241" t="str">
            <v>STAIN &amp; GLAZE INTERIOR</v>
          </cell>
          <cell r="M3241" t="str">
            <v>110903</v>
          </cell>
          <cell r="N3241" t="str">
            <v>STAIN INTERIOR</v>
          </cell>
        </row>
        <row r="3242">
          <cell r="C3242" t="str">
            <v>100004618</v>
          </cell>
          <cell r="D3242" t="str">
            <v>SST-11100 WALNUT SATIN KD MY-20LJ</v>
          </cell>
          <cell r="E3242" t="str">
            <v>ZFGD</v>
          </cell>
          <cell r="F3242" t="str">
            <v>PC</v>
          </cell>
          <cell r="G3242" t="str">
            <v>1</v>
          </cell>
          <cell r="H3242" t="str">
            <v>INDUSTRY</v>
          </cell>
          <cell r="I3242" t="str">
            <v>11</v>
          </cell>
          <cell r="J3242" t="str">
            <v>WOOD COATINGS</v>
          </cell>
          <cell r="K3242" t="str">
            <v>1109</v>
          </cell>
          <cell r="L3242" t="str">
            <v>STAIN &amp; GLAZE INTERIOR</v>
          </cell>
          <cell r="M3242" t="str">
            <v>110903</v>
          </cell>
          <cell r="N3242" t="str">
            <v>STAIN INTERIOR</v>
          </cell>
        </row>
        <row r="3243">
          <cell r="C3243" t="str">
            <v>100004620</v>
          </cell>
          <cell r="D3243" t="str">
            <v>2K ACRYLIC XÁM XINGFA MỜ VN-0.8K</v>
          </cell>
          <cell r="E3243" t="str">
            <v>ZFGD</v>
          </cell>
          <cell r="F3243" t="str">
            <v>PC</v>
          </cell>
          <cell r="G3243" t="str">
            <v>2</v>
          </cell>
          <cell r="H3243" t="str">
            <v>RETAIL</v>
          </cell>
          <cell r="I3243" t="str">
            <v>22</v>
          </cell>
          <cell r="J3243" t="str">
            <v>WF2</v>
          </cell>
          <cell r="K3243" t="str">
            <v>2216</v>
          </cell>
          <cell r="L3243" t="str">
            <v>PU MULTIPURPOSE</v>
          </cell>
          <cell r="M3243" t="str">
            <v>221601</v>
          </cell>
          <cell r="N3243" t="str">
            <v>PROPAN MP PU ACR RMX</v>
          </cell>
        </row>
        <row r="3244">
          <cell r="C3244" t="str">
            <v>100004623</v>
          </cell>
          <cell r="D3244" t="str">
            <v>2K ACRYLIC XÁM XINGFA MỜ VN-1KS</v>
          </cell>
          <cell r="E3244" t="str">
            <v>ZFGD</v>
          </cell>
          <cell r="F3244" t="str">
            <v>SET</v>
          </cell>
          <cell r="G3244" t="str">
            <v>2</v>
          </cell>
          <cell r="H3244" t="str">
            <v>RETAIL</v>
          </cell>
          <cell r="I3244" t="str">
            <v>22</v>
          </cell>
          <cell r="J3244" t="str">
            <v>WF2</v>
          </cell>
          <cell r="K3244" t="str">
            <v>2216</v>
          </cell>
          <cell r="L3244" t="str">
            <v>PU MULTIPURPOSE</v>
          </cell>
          <cell r="M3244" t="str">
            <v>221601</v>
          </cell>
          <cell r="N3244" t="str">
            <v>PROPAN MP PU ACR RMX</v>
          </cell>
        </row>
        <row r="3245">
          <cell r="C3245" t="str">
            <v>100004626</v>
          </cell>
          <cell r="D3245" t="str">
            <v>WBL-61202 CLEAR 15 VN-20KP</v>
          </cell>
          <cell r="E3245" t="str">
            <v>ZFGD</v>
          </cell>
          <cell r="F3245" t="str">
            <v>PC</v>
          </cell>
          <cell r="G3245" t="str">
            <v>1</v>
          </cell>
          <cell r="H3245" t="str">
            <v>INDUSTRY</v>
          </cell>
          <cell r="I3245" t="str">
            <v>11</v>
          </cell>
          <cell r="J3245" t="str">
            <v>WOOD COATINGS</v>
          </cell>
          <cell r="K3245" t="str">
            <v>1119</v>
          </cell>
          <cell r="L3245" t="str">
            <v>WATERBASED</v>
          </cell>
          <cell r="M3245" t="str">
            <v>111902</v>
          </cell>
          <cell r="N3245" t="str">
            <v>WATERBASED SYSTEM INTERIOR</v>
          </cell>
        </row>
        <row r="3246">
          <cell r="C3246" t="str">
            <v>100004627</v>
          </cell>
          <cell r="D3246" t="str">
            <v>PUL-1533-80-AK-18KP</v>
          </cell>
          <cell r="E3246" t="str">
            <v>ZFGD</v>
          </cell>
          <cell r="F3246" t="str">
            <v>PC</v>
          </cell>
          <cell r="G3246" t="str">
            <v>1</v>
          </cell>
          <cell r="H3246" t="str">
            <v>INDUSTRY</v>
          </cell>
          <cell r="I3246" t="str">
            <v>11</v>
          </cell>
          <cell r="J3246" t="str">
            <v>WOOD COATINGS</v>
          </cell>
          <cell r="K3246" t="str">
            <v>1103</v>
          </cell>
          <cell r="L3246" t="str">
            <v>PU</v>
          </cell>
          <cell r="M3246" t="str">
            <v>110321</v>
          </cell>
          <cell r="N3246" t="str">
            <v>PU LACQUER</v>
          </cell>
        </row>
        <row r="3247">
          <cell r="C3247" t="str">
            <v>100004628</v>
          </cell>
          <cell r="D3247" t="str">
            <v>THPU-71324-1 EST VN-30LJ</v>
          </cell>
          <cell r="E3247" t="str">
            <v>ZFGD</v>
          </cell>
          <cell r="F3247" t="str">
            <v>PC</v>
          </cell>
          <cell r="G3247" t="str">
            <v>1</v>
          </cell>
          <cell r="H3247" t="str">
            <v>INDUSTRY</v>
          </cell>
          <cell r="I3247" t="str">
            <v>14</v>
          </cell>
          <cell r="J3247" t="str">
            <v>THINNER</v>
          </cell>
          <cell r="K3247" t="str">
            <v>1411</v>
          </cell>
          <cell r="L3247" t="str">
            <v>THINNER PU</v>
          </cell>
          <cell r="M3247" t="str">
            <v>141101</v>
          </cell>
          <cell r="N3247" t="str">
            <v>THINNER PU</v>
          </cell>
        </row>
        <row r="3248">
          <cell r="C3248" t="str">
            <v>100004629</v>
          </cell>
          <cell r="D3248" t="str">
            <v>THPU-71324-1 EST VN-200LK</v>
          </cell>
          <cell r="E3248" t="str">
            <v>ZFGD</v>
          </cell>
          <cell r="F3248" t="str">
            <v>PC</v>
          </cell>
          <cell r="G3248" t="str">
            <v>1</v>
          </cell>
          <cell r="H3248" t="str">
            <v>INDUSTRY</v>
          </cell>
          <cell r="I3248" t="str">
            <v>14</v>
          </cell>
          <cell r="J3248" t="str">
            <v>THINNER</v>
          </cell>
          <cell r="K3248" t="str">
            <v>1411</v>
          </cell>
          <cell r="L3248" t="str">
            <v>THINNER PU</v>
          </cell>
          <cell r="M3248" t="str">
            <v>141101</v>
          </cell>
          <cell r="N3248" t="str">
            <v>THINNER PU</v>
          </cell>
        </row>
        <row r="3249">
          <cell r="C3249" t="str">
            <v>100004630</v>
          </cell>
          <cell r="D3249" t="str">
            <v>PST-12200 1K WAL SC VN-20LJ</v>
          </cell>
          <cell r="E3249" t="str">
            <v>ZFGD</v>
          </cell>
          <cell r="F3249" t="str">
            <v>PC</v>
          </cell>
          <cell r="G3249" t="str">
            <v>1</v>
          </cell>
          <cell r="H3249" t="str">
            <v>INDUSTRY</v>
          </cell>
          <cell r="I3249" t="str">
            <v>11</v>
          </cell>
          <cell r="J3249" t="str">
            <v>WOOD COATINGS</v>
          </cell>
          <cell r="K3249" t="str">
            <v>1101</v>
          </cell>
          <cell r="L3249" t="str">
            <v>ALKYD OIL</v>
          </cell>
          <cell r="M3249" t="str">
            <v>110102</v>
          </cell>
          <cell r="N3249" t="str">
            <v>STAIN EXTERIOR</v>
          </cell>
        </row>
        <row r="3250">
          <cell r="C3250" t="str">
            <v>100004631</v>
          </cell>
          <cell r="D3250" t="str">
            <v>PST-12200 1K DWA SC VN-20LJ</v>
          </cell>
          <cell r="E3250" t="str">
            <v>ZFGD</v>
          </cell>
          <cell r="F3250" t="str">
            <v>PC</v>
          </cell>
          <cell r="G3250" t="str">
            <v>1</v>
          </cell>
          <cell r="H3250" t="str">
            <v>INDUSTRY</v>
          </cell>
          <cell r="I3250" t="str">
            <v>11</v>
          </cell>
          <cell r="J3250" t="str">
            <v>WOOD COATINGS</v>
          </cell>
          <cell r="K3250" t="str">
            <v>1101</v>
          </cell>
          <cell r="L3250" t="str">
            <v>ALKYD OIL</v>
          </cell>
          <cell r="M3250" t="str">
            <v>110102</v>
          </cell>
          <cell r="N3250" t="str">
            <v>STAIN EXTERIOR</v>
          </cell>
        </row>
        <row r="3251">
          <cell r="C3251" t="str">
            <v>100004632</v>
          </cell>
          <cell r="D3251" t="str">
            <v>PUP-54111 AC L59 DB VN-20KP</v>
          </cell>
          <cell r="E3251" t="str">
            <v>ZFGD</v>
          </cell>
          <cell r="F3251" t="str">
            <v>PC</v>
          </cell>
          <cell r="G3251" t="str">
            <v>1</v>
          </cell>
          <cell r="H3251" t="str">
            <v>INDUSTRY</v>
          </cell>
          <cell r="I3251" t="str">
            <v>11</v>
          </cell>
          <cell r="J3251" t="str">
            <v>WOOD COATINGS</v>
          </cell>
          <cell r="K3251" t="str">
            <v>1103</v>
          </cell>
          <cell r="L3251" t="str">
            <v>PU</v>
          </cell>
          <cell r="M3251" t="str">
            <v>110322</v>
          </cell>
          <cell r="N3251" t="str">
            <v>PU PRIMER</v>
          </cell>
        </row>
        <row r="3252">
          <cell r="C3252" t="str">
            <v>100004633</v>
          </cell>
          <cell r="D3252" t="str">
            <v>PUP-54106 AC EX L60 DB VN-20KP</v>
          </cell>
          <cell r="E3252" t="str">
            <v>ZFGD</v>
          </cell>
          <cell r="F3252" t="str">
            <v>PC</v>
          </cell>
          <cell r="G3252" t="str">
            <v>1</v>
          </cell>
          <cell r="H3252" t="str">
            <v>INDUSTRY</v>
          </cell>
          <cell r="I3252" t="str">
            <v>11</v>
          </cell>
          <cell r="J3252" t="str">
            <v>WOOD COATINGS</v>
          </cell>
          <cell r="K3252" t="str">
            <v>1103</v>
          </cell>
          <cell r="L3252" t="str">
            <v>PU</v>
          </cell>
          <cell r="M3252" t="str">
            <v>110322</v>
          </cell>
          <cell r="N3252" t="str">
            <v>PU PRIMER</v>
          </cell>
        </row>
        <row r="3253">
          <cell r="C3253" t="str">
            <v>100004634</v>
          </cell>
          <cell r="D3253" t="str">
            <v>TOL-76301 P TC DWA SC VN-20LJ</v>
          </cell>
          <cell r="E3253" t="str">
            <v>ZFGD</v>
          </cell>
          <cell r="F3253" t="str">
            <v>PC</v>
          </cell>
          <cell r="G3253" t="str">
            <v>1</v>
          </cell>
          <cell r="H3253" t="str">
            <v>INDUSTRY</v>
          </cell>
          <cell r="I3253" t="str">
            <v>11</v>
          </cell>
          <cell r="J3253" t="str">
            <v>WOOD COATINGS</v>
          </cell>
          <cell r="K3253" t="str">
            <v>1101</v>
          </cell>
          <cell r="L3253" t="str">
            <v>ALKYD OIL</v>
          </cell>
          <cell r="M3253" t="str">
            <v>110101</v>
          </cell>
          <cell r="N3253" t="str">
            <v>ALKYD &amp; OIL SYSTEM</v>
          </cell>
        </row>
        <row r="3254">
          <cell r="C3254" t="str">
            <v>100004635</v>
          </cell>
          <cell r="D3254" t="str">
            <v>UVP-60503 EC WHT SC VN-20KP</v>
          </cell>
          <cell r="E3254" t="str">
            <v>ZFGD</v>
          </cell>
          <cell r="F3254" t="str">
            <v>PC</v>
          </cell>
          <cell r="G3254" t="str">
            <v>1</v>
          </cell>
          <cell r="H3254" t="str">
            <v>INDUSTRY</v>
          </cell>
          <cell r="I3254" t="str">
            <v>11</v>
          </cell>
          <cell r="J3254" t="str">
            <v>WOOD COATINGS</v>
          </cell>
          <cell r="K3254" t="str">
            <v>1106</v>
          </cell>
          <cell r="L3254" t="str">
            <v>UV</v>
          </cell>
          <cell r="M3254" t="str">
            <v>110604</v>
          </cell>
          <cell r="N3254" t="str">
            <v>UV PRIMER</v>
          </cell>
        </row>
        <row r="3255">
          <cell r="C3255" t="str">
            <v>100004636</v>
          </cell>
          <cell r="D3255" t="str">
            <v>UVP-60503 EC LTAP SC VN-20KP</v>
          </cell>
          <cell r="E3255" t="str">
            <v>ZFGD</v>
          </cell>
          <cell r="F3255" t="str">
            <v>PC</v>
          </cell>
          <cell r="G3255" t="str">
            <v>1</v>
          </cell>
          <cell r="H3255" t="str">
            <v>INDUSTRY</v>
          </cell>
          <cell r="I3255" t="str">
            <v>11</v>
          </cell>
          <cell r="J3255" t="str">
            <v>WOOD COATINGS</v>
          </cell>
          <cell r="K3255" t="str">
            <v>1106</v>
          </cell>
          <cell r="L3255" t="str">
            <v>UV</v>
          </cell>
          <cell r="M3255" t="str">
            <v>110604</v>
          </cell>
          <cell r="N3255" t="str">
            <v>UV PRIMER</v>
          </cell>
        </row>
        <row r="3256">
          <cell r="C3256" t="str">
            <v>100004637</v>
          </cell>
          <cell r="D3256" t="str">
            <v>UVP-60503 EC COG 01 SC VN-20KP</v>
          </cell>
          <cell r="E3256" t="str">
            <v>ZFGD</v>
          </cell>
          <cell r="F3256" t="str">
            <v>PC</v>
          </cell>
          <cell r="G3256" t="str">
            <v>1</v>
          </cell>
          <cell r="H3256" t="str">
            <v>INDUSTRY</v>
          </cell>
          <cell r="I3256" t="str">
            <v>11</v>
          </cell>
          <cell r="J3256" t="str">
            <v>WOOD COATINGS</v>
          </cell>
          <cell r="K3256" t="str">
            <v>1106</v>
          </cell>
          <cell r="L3256" t="str">
            <v>UV</v>
          </cell>
          <cell r="M3256" t="str">
            <v>110604</v>
          </cell>
          <cell r="N3256" t="str">
            <v>UV PRIMER</v>
          </cell>
        </row>
        <row r="3257">
          <cell r="C3257" t="str">
            <v>100004638</v>
          </cell>
          <cell r="D3257" t="str">
            <v>UVP-60503 EC CSN SC VN-20KP</v>
          </cell>
          <cell r="E3257" t="str">
            <v>ZFGD</v>
          </cell>
          <cell r="F3257" t="str">
            <v>PC</v>
          </cell>
          <cell r="G3257" t="str">
            <v>1</v>
          </cell>
          <cell r="H3257" t="str">
            <v>INDUSTRY</v>
          </cell>
          <cell r="I3257" t="str">
            <v>11</v>
          </cell>
          <cell r="J3257" t="str">
            <v>WOOD COATINGS</v>
          </cell>
          <cell r="K3257" t="str">
            <v>1106</v>
          </cell>
          <cell r="L3257" t="str">
            <v>UV</v>
          </cell>
          <cell r="M3257" t="str">
            <v>110604</v>
          </cell>
          <cell r="N3257" t="str">
            <v>UV PRIMER</v>
          </cell>
        </row>
        <row r="3258">
          <cell r="C3258" t="str">
            <v>100004639</v>
          </cell>
          <cell r="D3258" t="str">
            <v>UVP-60503 EC GMR SC VN-20KP</v>
          </cell>
          <cell r="E3258" t="str">
            <v>ZFGD</v>
          </cell>
          <cell r="F3258" t="str">
            <v>PC</v>
          </cell>
          <cell r="G3258" t="str">
            <v>1</v>
          </cell>
          <cell r="H3258" t="str">
            <v>INDUSTRY</v>
          </cell>
          <cell r="I3258" t="str">
            <v>11</v>
          </cell>
          <cell r="J3258" t="str">
            <v>WOOD COATINGS</v>
          </cell>
          <cell r="K3258" t="str">
            <v>1106</v>
          </cell>
          <cell r="L3258" t="str">
            <v>UV</v>
          </cell>
          <cell r="M3258" t="str">
            <v>110604</v>
          </cell>
          <cell r="N3258" t="str">
            <v>UV PRIMER</v>
          </cell>
        </row>
        <row r="3259">
          <cell r="C3259" t="str">
            <v>100004640</v>
          </cell>
          <cell r="D3259" t="str">
            <v>GP-98000 GREENISH-1K</v>
          </cell>
          <cell r="E3259" t="str">
            <v>ZFGD</v>
          </cell>
          <cell r="F3259" t="str">
            <v>PC</v>
          </cell>
          <cell r="G3259" t="str">
            <v>1</v>
          </cell>
          <cell r="H3259" t="str">
            <v>INDUSTRY</v>
          </cell>
          <cell r="I3259" t="str">
            <v>11</v>
          </cell>
          <cell r="J3259" t="str">
            <v>WOOD COATINGS</v>
          </cell>
          <cell r="K3259" t="str">
            <v>1118</v>
          </cell>
          <cell r="L3259" t="str">
            <v>COMPLEMENTARY</v>
          </cell>
          <cell r="M3259" t="str">
            <v>111802</v>
          </cell>
          <cell r="N3259" t="str">
            <v>ASOF : POWDER &amp; MATTING SOLUTION</v>
          </cell>
        </row>
        <row r="3260">
          <cell r="C3260" t="str">
            <v>100004641</v>
          </cell>
          <cell r="D3260" t="str">
            <v>PCA-31100 7965 A TL VN-20LJ</v>
          </cell>
          <cell r="E3260" t="str">
            <v>ZFGD</v>
          </cell>
          <cell r="F3260" t="str">
            <v>PC</v>
          </cell>
          <cell r="G3260" t="str">
            <v>1</v>
          </cell>
          <cell r="H3260" t="str">
            <v>INDUSTRY</v>
          </cell>
          <cell r="I3260" t="str">
            <v>11</v>
          </cell>
          <cell r="J3260" t="str">
            <v>WOOD COATINGS</v>
          </cell>
          <cell r="K3260" t="str">
            <v>1118</v>
          </cell>
          <cell r="L3260" t="str">
            <v>COMPLEMENTARY</v>
          </cell>
          <cell r="M3260" t="str">
            <v>111807</v>
          </cell>
          <cell r="N3260" t="str">
            <v>PASTA</v>
          </cell>
        </row>
        <row r="3261">
          <cell r="C3261" t="str">
            <v>100004642</v>
          </cell>
          <cell r="D3261" t="str">
            <v>PCA-31100 7965 B TL VN-20LJ</v>
          </cell>
          <cell r="E3261" t="str">
            <v>ZFGD</v>
          </cell>
          <cell r="F3261" t="str">
            <v>PC</v>
          </cell>
          <cell r="G3261" t="str">
            <v>1</v>
          </cell>
          <cell r="H3261" t="str">
            <v>INDUSTRY</v>
          </cell>
          <cell r="I3261" t="str">
            <v>11</v>
          </cell>
          <cell r="J3261" t="str">
            <v>WOOD COATINGS</v>
          </cell>
          <cell r="K3261" t="str">
            <v>1118</v>
          </cell>
          <cell r="L3261" t="str">
            <v>COMPLEMENTARY</v>
          </cell>
          <cell r="M3261" t="str">
            <v>111807</v>
          </cell>
          <cell r="N3261" t="str">
            <v>PASTA</v>
          </cell>
        </row>
        <row r="3262">
          <cell r="C3262" t="str">
            <v>100004643</v>
          </cell>
          <cell r="D3262" t="str">
            <v>GZPU-21500 WSA7943 TL VN-18KP</v>
          </cell>
          <cell r="E3262" t="str">
            <v>ZFGD</v>
          </cell>
          <cell r="F3262" t="str">
            <v>PC</v>
          </cell>
          <cell r="G3262" t="str">
            <v>1</v>
          </cell>
          <cell r="H3262" t="str">
            <v>INDUSTRY</v>
          </cell>
          <cell r="I3262" t="str">
            <v>11</v>
          </cell>
          <cell r="J3262" t="str">
            <v>WOOD COATINGS</v>
          </cell>
          <cell r="K3262" t="str">
            <v>1103</v>
          </cell>
          <cell r="L3262" t="str">
            <v>PU</v>
          </cell>
          <cell r="M3262" t="str">
            <v>110302</v>
          </cell>
          <cell r="N3262" t="str">
            <v>GLAZE PU</v>
          </cell>
        </row>
        <row r="3263">
          <cell r="C3263" t="str">
            <v>100004644</v>
          </cell>
          <cell r="D3263" t="str">
            <v>SST-11100 WSA7943 TL VN-20LJ</v>
          </cell>
          <cell r="E3263" t="str">
            <v>ZFGD</v>
          </cell>
          <cell r="F3263" t="str">
            <v>PC</v>
          </cell>
          <cell r="G3263" t="str">
            <v>1</v>
          </cell>
          <cell r="H3263" t="str">
            <v>INDUSTRY</v>
          </cell>
          <cell r="I3263" t="str">
            <v>11</v>
          </cell>
          <cell r="J3263" t="str">
            <v>WOOD COATINGS</v>
          </cell>
          <cell r="K3263" t="str">
            <v>1109</v>
          </cell>
          <cell r="L3263" t="str">
            <v>STAIN &amp; GLAZE INTERIOR</v>
          </cell>
          <cell r="M3263" t="str">
            <v>110903</v>
          </cell>
          <cell r="N3263" t="str">
            <v>STAIN INTERIOR</v>
          </cell>
        </row>
        <row r="3264">
          <cell r="C3264" t="str">
            <v>100004645</v>
          </cell>
          <cell r="D3264" t="str">
            <v>PST-12200 1K DWA SC VN-200LK</v>
          </cell>
          <cell r="E3264" t="str">
            <v>ZFGD</v>
          </cell>
          <cell r="F3264" t="str">
            <v>PC</v>
          </cell>
          <cell r="G3264" t="str">
            <v>1</v>
          </cell>
          <cell r="H3264" t="str">
            <v>INDUSTRY</v>
          </cell>
          <cell r="I3264" t="str">
            <v>11</v>
          </cell>
          <cell r="J3264" t="str">
            <v>WOOD COATINGS</v>
          </cell>
          <cell r="K3264" t="str">
            <v>1101</v>
          </cell>
          <cell r="L3264" t="str">
            <v>ALKYD OIL</v>
          </cell>
          <cell r="M3264" t="str">
            <v>110102</v>
          </cell>
          <cell r="N3264" t="str">
            <v>STAIN EXTERIOR</v>
          </cell>
        </row>
        <row r="3265">
          <cell r="C3265" t="str">
            <v>100004646</v>
          </cell>
          <cell r="D3265" t="str">
            <v>SST-11100 LSX010 A TL VN-20LJ</v>
          </cell>
          <cell r="E3265" t="str">
            <v>ZFGD</v>
          </cell>
          <cell r="F3265" t="str">
            <v>PC</v>
          </cell>
          <cell r="G3265" t="str">
            <v>1</v>
          </cell>
          <cell r="H3265" t="str">
            <v>INDUSTRY</v>
          </cell>
          <cell r="I3265" t="str">
            <v>11</v>
          </cell>
          <cell r="J3265" t="str">
            <v>WOOD COATINGS</v>
          </cell>
          <cell r="K3265" t="str">
            <v>1109</v>
          </cell>
          <cell r="L3265" t="str">
            <v>STAIN &amp; GLAZE INTERIOR</v>
          </cell>
          <cell r="M3265" t="str">
            <v>110903</v>
          </cell>
          <cell r="N3265" t="str">
            <v>STAIN INTERIOR</v>
          </cell>
        </row>
        <row r="3266">
          <cell r="C3266" t="str">
            <v>100004647</v>
          </cell>
          <cell r="D3266" t="str">
            <v>SST-11100 LSX010 B TL VN-20LJ</v>
          </cell>
          <cell r="E3266" t="str">
            <v>ZFGD</v>
          </cell>
          <cell r="F3266" t="str">
            <v>PC</v>
          </cell>
          <cell r="G3266" t="str">
            <v>1</v>
          </cell>
          <cell r="H3266" t="str">
            <v>INDUSTRY</v>
          </cell>
          <cell r="I3266" t="str">
            <v>11</v>
          </cell>
          <cell r="J3266" t="str">
            <v>WOOD COATINGS</v>
          </cell>
          <cell r="K3266" t="str">
            <v>1109</v>
          </cell>
          <cell r="L3266" t="str">
            <v>STAIN &amp; GLAZE INTERIOR</v>
          </cell>
          <cell r="M3266" t="str">
            <v>110903</v>
          </cell>
          <cell r="N3266" t="str">
            <v>STAIN INTERIOR</v>
          </cell>
        </row>
        <row r="3267">
          <cell r="C3267" t="str">
            <v>100004648</v>
          </cell>
          <cell r="D3267" t="str">
            <v>THC-73100 109 KD VN-30LJ</v>
          </cell>
          <cell r="E3267" t="str">
            <v>ZFGD</v>
          </cell>
          <cell r="F3267" t="str">
            <v>PC</v>
          </cell>
          <cell r="G3267" t="str">
            <v>1</v>
          </cell>
          <cell r="H3267" t="str">
            <v>INDUSTRY</v>
          </cell>
          <cell r="I3267" t="str">
            <v>14</v>
          </cell>
          <cell r="J3267" t="str">
            <v>THINNER</v>
          </cell>
          <cell r="K3267" t="str">
            <v>1412</v>
          </cell>
          <cell r="L3267" t="str">
            <v>THINNER NC</v>
          </cell>
          <cell r="M3267" t="str">
            <v>141203</v>
          </cell>
          <cell r="N3267" t="str">
            <v>THINNER COMPLEMENTARY</v>
          </cell>
        </row>
        <row r="3268">
          <cell r="C3268" t="str">
            <v>100004649</v>
          </cell>
          <cell r="D3268" t="str">
            <v>WBMG-97100-1 VN-20KJ</v>
          </cell>
          <cell r="E3268" t="str">
            <v>ZFGD</v>
          </cell>
          <cell r="F3268" t="str">
            <v>PC</v>
          </cell>
          <cell r="G3268" t="str">
            <v>1</v>
          </cell>
          <cell r="H3268" t="str">
            <v>INDUSTRY</v>
          </cell>
          <cell r="I3268" t="str">
            <v>11</v>
          </cell>
          <cell r="J3268" t="str">
            <v>WOOD COATINGS</v>
          </cell>
          <cell r="K3268" t="str">
            <v>1118</v>
          </cell>
          <cell r="L3268" t="str">
            <v>COMPLEMENTARY</v>
          </cell>
          <cell r="M3268" t="str">
            <v>111802</v>
          </cell>
          <cell r="N3268" t="str">
            <v>ASOF : POWDER &amp; MATTING SOLUTION</v>
          </cell>
        </row>
        <row r="3269">
          <cell r="C3269" t="str">
            <v>100004650</v>
          </cell>
          <cell r="D3269" t="str">
            <v>PUL-53306 AC EX CLEAR 10 AA VN-20LP</v>
          </cell>
          <cell r="E3269" t="str">
            <v>ZFGD</v>
          </cell>
          <cell r="F3269" t="str">
            <v>PC</v>
          </cell>
          <cell r="G3269" t="str">
            <v>1</v>
          </cell>
          <cell r="H3269" t="str">
            <v>INDUSTRY</v>
          </cell>
          <cell r="I3269" t="str">
            <v>11</v>
          </cell>
          <cell r="J3269" t="str">
            <v>WOOD COATINGS</v>
          </cell>
          <cell r="K3269" t="str">
            <v>1103</v>
          </cell>
          <cell r="L3269" t="str">
            <v>PU</v>
          </cell>
          <cell r="M3269" t="str">
            <v>110321</v>
          </cell>
          <cell r="N3269" t="str">
            <v>PU LACQUER</v>
          </cell>
        </row>
        <row r="3270">
          <cell r="C3270" t="str">
            <v>100004651</v>
          </cell>
          <cell r="D3270" t="str">
            <v>TOL-76301 P TC DWA SC VN-200LK</v>
          </cell>
          <cell r="E3270" t="str">
            <v>ZFGD</v>
          </cell>
          <cell r="F3270" t="str">
            <v>PC</v>
          </cell>
          <cell r="G3270" t="str">
            <v>1</v>
          </cell>
          <cell r="H3270" t="str">
            <v>INDUSTRY</v>
          </cell>
          <cell r="I3270" t="str">
            <v>11</v>
          </cell>
          <cell r="J3270" t="str">
            <v>WOOD COATINGS</v>
          </cell>
          <cell r="K3270" t="str">
            <v>1101</v>
          </cell>
          <cell r="L3270" t="str">
            <v>ALKYD OIL</v>
          </cell>
          <cell r="M3270" t="str">
            <v>110101</v>
          </cell>
          <cell r="N3270" t="str">
            <v>ALKYD &amp; OIL SYSTEM</v>
          </cell>
        </row>
        <row r="3271">
          <cell r="C3271" t="str">
            <v>100004652</v>
          </cell>
          <cell r="D3271" t="str">
            <v>PUP-52141 02 DH VN-20KP</v>
          </cell>
          <cell r="E3271" t="str">
            <v>ZFGD</v>
          </cell>
          <cell r="F3271" t="str">
            <v>PC</v>
          </cell>
          <cell r="G3271" t="str">
            <v>1</v>
          </cell>
          <cell r="H3271" t="str">
            <v>INDUSTRY</v>
          </cell>
          <cell r="I3271" t="str">
            <v>11</v>
          </cell>
          <cell r="J3271" t="str">
            <v>WOOD COATINGS</v>
          </cell>
          <cell r="K3271" t="str">
            <v>1103</v>
          </cell>
          <cell r="L3271" t="str">
            <v>PU</v>
          </cell>
          <cell r="M3271" t="str">
            <v>110322</v>
          </cell>
          <cell r="N3271" t="str">
            <v>PU PRIMER</v>
          </cell>
        </row>
        <row r="3272">
          <cell r="C3272" t="str">
            <v>100004653</v>
          </cell>
          <cell r="D3272" t="str">
            <v>PUC-52241 02 30 DH VN-20KP</v>
          </cell>
          <cell r="E3272" t="str">
            <v>ZFGD</v>
          </cell>
          <cell r="F3272" t="str">
            <v>PC</v>
          </cell>
          <cell r="G3272" t="str">
            <v>1</v>
          </cell>
          <cell r="H3272" t="str">
            <v>INDUSTRY</v>
          </cell>
          <cell r="I3272" t="str">
            <v>11</v>
          </cell>
          <cell r="J3272" t="str">
            <v>WOOD COATINGS</v>
          </cell>
          <cell r="K3272" t="str">
            <v>1103</v>
          </cell>
          <cell r="L3272" t="str">
            <v>PU</v>
          </cell>
          <cell r="M3272" t="str">
            <v>110319</v>
          </cell>
          <cell r="N3272" t="str">
            <v>PU COLOR</v>
          </cell>
        </row>
        <row r="3273">
          <cell r="C3273" t="str">
            <v>100004654</v>
          </cell>
          <cell r="D3273" t="str">
            <v>PUC-52239 01 30 DH VN-20KP</v>
          </cell>
          <cell r="E3273" t="str">
            <v>ZFGD</v>
          </cell>
          <cell r="F3273" t="str">
            <v>PC</v>
          </cell>
          <cell r="G3273" t="str">
            <v>1</v>
          </cell>
          <cell r="H3273" t="str">
            <v>INDUSTRY</v>
          </cell>
          <cell r="I3273" t="str">
            <v>11</v>
          </cell>
          <cell r="J3273" t="str">
            <v>WOOD COATINGS</v>
          </cell>
          <cell r="K3273" t="str">
            <v>1103</v>
          </cell>
          <cell r="L3273" t="str">
            <v>PU</v>
          </cell>
          <cell r="M3273" t="str">
            <v>110319</v>
          </cell>
          <cell r="N3273" t="str">
            <v>PU COLOR</v>
          </cell>
        </row>
        <row r="3274">
          <cell r="C3274" t="str">
            <v>100004655</v>
          </cell>
          <cell r="D3274" t="str">
            <v>THC-73100 109 KD VN-200LK</v>
          </cell>
          <cell r="E3274" t="str">
            <v>ZFGD</v>
          </cell>
          <cell r="F3274" t="str">
            <v>PC</v>
          </cell>
          <cell r="G3274" t="str">
            <v>1</v>
          </cell>
          <cell r="H3274" t="str">
            <v>INDUSTRY</v>
          </cell>
          <cell r="I3274" t="str">
            <v>14</v>
          </cell>
          <cell r="J3274" t="str">
            <v>THINNER</v>
          </cell>
          <cell r="K3274" t="str">
            <v>1412</v>
          </cell>
          <cell r="L3274" t="str">
            <v>THINNER NC</v>
          </cell>
          <cell r="M3274" t="str">
            <v>141203</v>
          </cell>
          <cell r="N3274" t="str">
            <v>THINNER COMPLEMENTARY</v>
          </cell>
        </row>
        <row r="3275">
          <cell r="C3275" t="str">
            <v>100004656</v>
          </cell>
          <cell r="D3275" t="str">
            <v>WBMG-97100-1 VN-4K</v>
          </cell>
          <cell r="E3275" t="str">
            <v>ZFGD</v>
          </cell>
          <cell r="F3275" t="str">
            <v>PC</v>
          </cell>
          <cell r="G3275" t="str">
            <v>1</v>
          </cell>
          <cell r="H3275" t="str">
            <v>INDUSTRY</v>
          </cell>
          <cell r="I3275" t="str">
            <v>11</v>
          </cell>
          <cell r="J3275" t="str">
            <v>WOOD COATINGS</v>
          </cell>
          <cell r="K3275" t="str">
            <v>1118</v>
          </cell>
          <cell r="L3275" t="str">
            <v>COMPLEMENTARY</v>
          </cell>
          <cell r="M3275" t="str">
            <v>111802</v>
          </cell>
          <cell r="N3275" t="str">
            <v>ASOF : POWDER &amp; MATTING SOLUTION</v>
          </cell>
        </row>
        <row r="3276">
          <cell r="C3276" t="str">
            <v>100004657</v>
          </cell>
          <cell r="D3276" t="str">
            <v>AP-98200 0220 KD VN-1K</v>
          </cell>
          <cell r="E3276" t="str">
            <v>ZFGD</v>
          </cell>
          <cell r="F3276" t="str">
            <v>PC</v>
          </cell>
          <cell r="G3276" t="str">
            <v>1</v>
          </cell>
          <cell r="H3276" t="str">
            <v>INDUSTRY</v>
          </cell>
          <cell r="I3276" t="str">
            <v>11</v>
          </cell>
          <cell r="J3276" t="str">
            <v>WOOD COATINGS</v>
          </cell>
          <cell r="K3276" t="str">
            <v>1118</v>
          </cell>
          <cell r="L3276" t="str">
            <v>COMPLEMENTARY</v>
          </cell>
          <cell r="M3276" t="str">
            <v>111802</v>
          </cell>
          <cell r="N3276" t="str">
            <v>ASOF : POWDER &amp; MATTING SOLUTION</v>
          </cell>
        </row>
        <row r="3277">
          <cell r="C3277" t="str">
            <v>100004658</v>
          </cell>
          <cell r="D3277" t="str">
            <v>SST-11100 YELLOW KD VN-16KJ</v>
          </cell>
          <cell r="E3277" t="str">
            <v>ZFGD</v>
          </cell>
          <cell r="F3277" t="str">
            <v>PC</v>
          </cell>
          <cell r="G3277" t="str">
            <v>1</v>
          </cell>
          <cell r="H3277" t="str">
            <v>INDUSTRY</v>
          </cell>
          <cell r="I3277" t="str">
            <v>11</v>
          </cell>
          <cell r="J3277" t="str">
            <v>WOOD COATINGS</v>
          </cell>
          <cell r="K3277" t="str">
            <v>1109</v>
          </cell>
          <cell r="L3277" t="str">
            <v>STAIN &amp; GLAZE INTERIOR</v>
          </cell>
          <cell r="M3277" t="str">
            <v>110903</v>
          </cell>
          <cell r="N3277" t="str">
            <v>STAIN INTERIOR</v>
          </cell>
        </row>
        <row r="3278">
          <cell r="C3278" t="str">
            <v>100004659</v>
          </cell>
          <cell r="D3278" t="str">
            <v>SST-11100 CACNAC 02 F1 VN-20LJ</v>
          </cell>
          <cell r="E3278" t="str">
            <v>ZFGD</v>
          </cell>
          <cell r="F3278" t="str">
            <v>PC</v>
          </cell>
          <cell r="G3278" t="str">
            <v>1</v>
          </cell>
          <cell r="H3278" t="str">
            <v>INDUSTRY</v>
          </cell>
          <cell r="I3278" t="str">
            <v>11</v>
          </cell>
          <cell r="J3278" t="str">
            <v>WOOD COATINGS</v>
          </cell>
          <cell r="K3278" t="str">
            <v>1109</v>
          </cell>
          <cell r="L3278" t="str">
            <v>STAIN &amp; GLAZE INTERIOR</v>
          </cell>
          <cell r="M3278" t="str">
            <v>110903</v>
          </cell>
          <cell r="N3278" t="str">
            <v>STAIN INTERIOR</v>
          </cell>
        </row>
        <row r="3279">
          <cell r="C3279" t="str">
            <v>100004660</v>
          </cell>
          <cell r="D3279" t="str">
            <v>PUC-54205 AC TALCO 08 MK VN-20KP</v>
          </cell>
          <cell r="E3279" t="str">
            <v>ZFGD</v>
          </cell>
          <cell r="F3279" t="str">
            <v>PC</v>
          </cell>
          <cell r="G3279" t="str">
            <v>1</v>
          </cell>
          <cell r="H3279" t="str">
            <v>INDUSTRY</v>
          </cell>
          <cell r="I3279" t="str">
            <v>11</v>
          </cell>
          <cell r="J3279" t="str">
            <v>WOOD COATINGS</v>
          </cell>
          <cell r="K3279" t="str">
            <v>1103</v>
          </cell>
          <cell r="L3279" t="str">
            <v>PU</v>
          </cell>
          <cell r="M3279" t="str">
            <v>110319</v>
          </cell>
          <cell r="N3279" t="str">
            <v>PU COLOR</v>
          </cell>
        </row>
        <row r="3280">
          <cell r="C3280" t="str">
            <v>100004661</v>
          </cell>
          <cell r="D3280" t="str">
            <v>PUC-54206 AC EX PIOMBO 05 MK VN-20KP</v>
          </cell>
          <cell r="E3280" t="str">
            <v>ZFGD</v>
          </cell>
          <cell r="F3280" t="str">
            <v>PC</v>
          </cell>
          <cell r="G3280" t="str">
            <v>1</v>
          </cell>
          <cell r="H3280" t="str">
            <v>INDUSTRY</v>
          </cell>
          <cell r="I3280" t="str">
            <v>11</v>
          </cell>
          <cell r="J3280" t="str">
            <v>WOOD COATINGS</v>
          </cell>
          <cell r="K3280" t="str">
            <v>1103</v>
          </cell>
          <cell r="L3280" t="str">
            <v>PU</v>
          </cell>
          <cell r="M3280" t="str">
            <v>110319</v>
          </cell>
          <cell r="N3280" t="str">
            <v>PU COLOR</v>
          </cell>
        </row>
        <row r="3281">
          <cell r="C3281" t="str">
            <v>100004662</v>
          </cell>
          <cell r="D3281" t="str">
            <v>PUP-52141 HARMONIE DB VN-20KP</v>
          </cell>
          <cell r="E3281" t="str">
            <v>ZFGD</v>
          </cell>
          <cell r="F3281" t="str">
            <v>PC</v>
          </cell>
          <cell r="G3281" t="str">
            <v>1</v>
          </cell>
          <cell r="H3281" t="str">
            <v>INDUSTRY</v>
          </cell>
          <cell r="I3281" t="str">
            <v>11</v>
          </cell>
          <cell r="J3281" t="str">
            <v>WOOD COATINGS</v>
          </cell>
          <cell r="K3281" t="str">
            <v>1103</v>
          </cell>
          <cell r="L3281" t="str">
            <v>PU</v>
          </cell>
          <cell r="M3281" t="str">
            <v>110322</v>
          </cell>
          <cell r="N3281" t="str">
            <v>PU PRIMER</v>
          </cell>
        </row>
        <row r="3282">
          <cell r="C3282" t="str">
            <v>100004663</v>
          </cell>
          <cell r="D3282" t="str">
            <v>PUC-54206 AC EX CUANDO 05 MK VN-20KP</v>
          </cell>
          <cell r="E3282" t="str">
            <v>ZFGD</v>
          </cell>
          <cell r="F3282" t="str">
            <v>PC</v>
          </cell>
          <cell r="G3282" t="str">
            <v>1</v>
          </cell>
          <cell r="H3282" t="str">
            <v>INDUSTRY</v>
          </cell>
          <cell r="I3282" t="str">
            <v>11</v>
          </cell>
          <cell r="J3282" t="str">
            <v>WOOD COATINGS</v>
          </cell>
          <cell r="K3282" t="str">
            <v>1103</v>
          </cell>
          <cell r="L3282" t="str">
            <v>PU</v>
          </cell>
          <cell r="M3282" t="str">
            <v>110319</v>
          </cell>
          <cell r="N3282" t="str">
            <v>PU COLOR</v>
          </cell>
        </row>
        <row r="3283">
          <cell r="C3283" t="str">
            <v>100004664</v>
          </cell>
          <cell r="D3283" t="str">
            <v>GZ-9127 716 AK-18KP</v>
          </cell>
          <cell r="E3283" t="str">
            <v>ZFGD</v>
          </cell>
          <cell r="F3283" t="str">
            <v>PC</v>
          </cell>
          <cell r="G3283" t="str">
            <v>1</v>
          </cell>
          <cell r="H3283" t="str">
            <v>INDUSTRY</v>
          </cell>
          <cell r="I3283" t="str">
            <v>11</v>
          </cell>
          <cell r="J3283" t="str">
            <v>WOOD COATINGS</v>
          </cell>
          <cell r="K3283" t="str">
            <v>1109</v>
          </cell>
          <cell r="L3283" t="str">
            <v>STAIN &amp; GLAZE INTERIOR</v>
          </cell>
          <cell r="M3283" t="str">
            <v>110901</v>
          </cell>
          <cell r="N3283" t="str">
            <v>ASOF : STAIN &amp; GLAZE</v>
          </cell>
        </row>
        <row r="3284">
          <cell r="C3284" t="str">
            <v>100004665</v>
          </cell>
          <cell r="D3284" t="str">
            <v>#NUPS-2151 716 AK-20LJ</v>
          </cell>
          <cell r="E3284" t="str">
            <v>ZFGD</v>
          </cell>
          <cell r="F3284" t="str">
            <v>PC</v>
          </cell>
          <cell r="G3284" t="str">
            <v>1</v>
          </cell>
          <cell r="H3284" t="str">
            <v>INDUSTRY</v>
          </cell>
          <cell r="I3284" t="str">
            <v>11</v>
          </cell>
          <cell r="J3284" t="str">
            <v>WOOD COATINGS</v>
          </cell>
          <cell r="K3284" t="str">
            <v>1109</v>
          </cell>
          <cell r="L3284" t="str">
            <v>STAIN &amp; GLAZE INTERIOR</v>
          </cell>
          <cell r="M3284" t="str">
            <v>110901</v>
          </cell>
          <cell r="N3284" t="str">
            <v>ASOF : STAIN &amp; GLAZE</v>
          </cell>
        </row>
        <row r="3285">
          <cell r="C3285" t="str">
            <v>100004666</v>
          </cell>
          <cell r="D3285" t="str">
            <v>#NUSST-2111 716BAK-20LJ</v>
          </cell>
          <cell r="E3285" t="str">
            <v>ZFGD</v>
          </cell>
          <cell r="F3285" t="str">
            <v>PC</v>
          </cell>
          <cell r="G3285" t="str">
            <v>1</v>
          </cell>
          <cell r="H3285" t="str">
            <v>INDUSTRY</v>
          </cell>
          <cell r="I3285" t="str">
            <v>11</v>
          </cell>
          <cell r="J3285" t="str">
            <v>WOOD COATINGS</v>
          </cell>
          <cell r="K3285" t="str">
            <v>1109</v>
          </cell>
          <cell r="L3285" t="str">
            <v>STAIN &amp; GLAZE INTERIOR</v>
          </cell>
          <cell r="M3285" t="str">
            <v>110903</v>
          </cell>
          <cell r="N3285" t="str">
            <v>STAIN INTERIOR</v>
          </cell>
        </row>
        <row r="3286">
          <cell r="C3286" t="str">
            <v>100004667</v>
          </cell>
          <cell r="D3286" t="str">
            <v>PS-2151 716 AK-16KJ</v>
          </cell>
          <cell r="E3286" t="str">
            <v>ZFGD</v>
          </cell>
          <cell r="F3286" t="str">
            <v>PC</v>
          </cell>
          <cell r="G3286" t="str">
            <v>1</v>
          </cell>
          <cell r="H3286" t="str">
            <v>INDUSTRY</v>
          </cell>
          <cell r="I3286" t="str">
            <v>11</v>
          </cell>
          <cell r="J3286" t="str">
            <v>WOOD COATINGS</v>
          </cell>
          <cell r="K3286" t="str">
            <v>1109</v>
          </cell>
          <cell r="L3286" t="str">
            <v>STAIN &amp; GLAZE INTERIOR</v>
          </cell>
          <cell r="M3286" t="str">
            <v>110901</v>
          </cell>
          <cell r="N3286" t="str">
            <v>ASOF : STAIN &amp; GLAZE</v>
          </cell>
        </row>
        <row r="3287">
          <cell r="C3287" t="str">
            <v>100004668</v>
          </cell>
          <cell r="D3287" t="str">
            <v>SST-2111 716BAK-16KJ</v>
          </cell>
          <cell r="E3287" t="str">
            <v>ZFGD</v>
          </cell>
          <cell r="F3287" t="str">
            <v>PC</v>
          </cell>
          <cell r="G3287" t="str">
            <v>1</v>
          </cell>
          <cell r="H3287" t="str">
            <v>INDUSTRY</v>
          </cell>
          <cell r="I3287" t="str">
            <v>11</v>
          </cell>
          <cell r="J3287" t="str">
            <v>WOOD COATINGS</v>
          </cell>
          <cell r="K3287" t="str">
            <v>1109</v>
          </cell>
          <cell r="L3287" t="str">
            <v>STAIN &amp; GLAZE INTERIOR</v>
          </cell>
          <cell r="M3287" t="str">
            <v>110903</v>
          </cell>
          <cell r="N3287" t="str">
            <v>STAIN INTERIOR</v>
          </cell>
        </row>
        <row r="3288">
          <cell r="C3288" t="str">
            <v>100004669</v>
          </cell>
          <cell r="D3288" t="str">
            <v>NCL-11329 LC CLEAR 80 VN-20LP</v>
          </cell>
          <cell r="E3288" t="str">
            <v>ZFGD</v>
          </cell>
          <cell r="F3288" t="str">
            <v>PC</v>
          </cell>
          <cell r="G3288" t="str">
            <v>1</v>
          </cell>
          <cell r="H3288" t="str">
            <v>INDUSTRY</v>
          </cell>
          <cell r="I3288" t="str">
            <v>11</v>
          </cell>
          <cell r="J3288" t="str">
            <v>WOOD COATINGS</v>
          </cell>
          <cell r="K3288" t="str">
            <v>1104</v>
          </cell>
          <cell r="L3288" t="str">
            <v>NC</v>
          </cell>
          <cell r="M3288" t="str">
            <v>110405</v>
          </cell>
          <cell r="N3288" t="str">
            <v>NC SYSTEM</v>
          </cell>
        </row>
        <row r="3289">
          <cell r="C3289" t="str">
            <v>100004670</v>
          </cell>
          <cell r="D3289" t="str">
            <v>PST-12200 1K DWA OP3.1 SC VN-20LJ</v>
          </cell>
          <cell r="E3289" t="str">
            <v>ZFGD</v>
          </cell>
          <cell r="F3289" t="str">
            <v>PC</v>
          </cell>
          <cell r="G3289" t="str">
            <v>1</v>
          </cell>
          <cell r="H3289" t="str">
            <v>INDUSTRY</v>
          </cell>
          <cell r="I3289" t="str">
            <v>11</v>
          </cell>
          <cell r="J3289" t="str">
            <v>WOOD COATINGS</v>
          </cell>
          <cell r="K3289" t="str">
            <v>1101</v>
          </cell>
          <cell r="L3289" t="str">
            <v>ALKYD OIL</v>
          </cell>
          <cell r="M3289" t="str">
            <v>110102</v>
          </cell>
          <cell r="N3289" t="str">
            <v>STAIN EXTERIOR</v>
          </cell>
        </row>
        <row r="3290">
          <cell r="C3290" t="str">
            <v>100004671</v>
          </cell>
          <cell r="D3290" t="str">
            <v>PST-12200 1K DWA OP3.3 SC VN-20LJ</v>
          </cell>
          <cell r="E3290" t="str">
            <v>ZFGD</v>
          </cell>
          <cell r="F3290" t="str">
            <v>PC</v>
          </cell>
          <cell r="G3290" t="str">
            <v>1</v>
          </cell>
          <cell r="H3290" t="str">
            <v>INDUSTRY</v>
          </cell>
          <cell r="I3290" t="str">
            <v>11</v>
          </cell>
          <cell r="J3290" t="str">
            <v>WOOD COATINGS</v>
          </cell>
          <cell r="K3290" t="str">
            <v>1101</v>
          </cell>
          <cell r="L3290" t="str">
            <v>ALKYD OIL</v>
          </cell>
          <cell r="M3290" t="str">
            <v>110102</v>
          </cell>
          <cell r="N3290" t="str">
            <v>STAIN EXTERIOR</v>
          </cell>
        </row>
        <row r="3291">
          <cell r="C3291" t="str">
            <v>100004672</v>
          </cell>
          <cell r="D3291" t="str">
            <v>PST-12200 1K DWA OP3.1 SC VN-200LK</v>
          </cell>
          <cell r="E3291" t="str">
            <v>ZFGD</v>
          </cell>
          <cell r="F3291" t="str">
            <v>PC</v>
          </cell>
          <cell r="G3291" t="str">
            <v>1</v>
          </cell>
          <cell r="H3291" t="str">
            <v>INDUSTRY</v>
          </cell>
          <cell r="I3291" t="str">
            <v>11</v>
          </cell>
          <cell r="J3291" t="str">
            <v>WOOD COATINGS</v>
          </cell>
          <cell r="K3291" t="str">
            <v>1101</v>
          </cell>
          <cell r="L3291" t="str">
            <v>ALKYD OIL</v>
          </cell>
          <cell r="M3291" t="str">
            <v>110102</v>
          </cell>
          <cell r="N3291" t="str">
            <v>STAIN EXTERIOR</v>
          </cell>
        </row>
        <row r="3292">
          <cell r="C3292" t="str">
            <v>100004673</v>
          </cell>
          <cell r="D3292" t="str">
            <v>PST-12200 1K DWA OP3.3 SC VN-200LK</v>
          </cell>
          <cell r="E3292" t="str">
            <v>ZFGD</v>
          </cell>
          <cell r="F3292" t="str">
            <v>PC</v>
          </cell>
          <cell r="G3292" t="str">
            <v>1</v>
          </cell>
          <cell r="H3292" t="str">
            <v>INDUSTRY</v>
          </cell>
          <cell r="I3292" t="str">
            <v>11</v>
          </cell>
          <cell r="J3292" t="str">
            <v>WOOD COATINGS</v>
          </cell>
          <cell r="K3292" t="str">
            <v>1101</v>
          </cell>
          <cell r="L3292" t="str">
            <v>ALKYD OIL</v>
          </cell>
          <cell r="M3292" t="str">
            <v>110102</v>
          </cell>
          <cell r="N3292" t="str">
            <v>STAIN EXTERIOR</v>
          </cell>
        </row>
        <row r="3293">
          <cell r="C3293" t="str">
            <v>100004674</v>
          </cell>
          <cell r="D3293" t="str">
            <v>PUL-53306 AC EX CLEAR 10 STB VN-20LP</v>
          </cell>
          <cell r="E3293" t="str">
            <v>ZFGD</v>
          </cell>
          <cell r="F3293" t="str">
            <v>PC</v>
          </cell>
          <cell r="G3293" t="str">
            <v>1</v>
          </cell>
          <cell r="H3293" t="str">
            <v>INDUSTRY</v>
          </cell>
          <cell r="I3293" t="str">
            <v>11</v>
          </cell>
          <cell r="J3293" t="str">
            <v>WOOD COATINGS</v>
          </cell>
          <cell r="K3293" t="str">
            <v>1103</v>
          </cell>
          <cell r="L3293" t="str">
            <v>PU</v>
          </cell>
          <cell r="M3293" t="str">
            <v>110321</v>
          </cell>
          <cell r="N3293" t="str">
            <v>PU LACQUER</v>
          </cell>
        </row>
        <row r="3294">
          <cell r="C3294" t="str">
            <v>100004676</v>
          </cell>
          <cell r="D3294" t="str">
            <v>AP-98200 GA 11 VN-1K</v>
          </cell>
          <cell r="E3294" t="str">
            <v>ZFGD</v>
          </cell>
          <cell r="F3294" t="str">
            <v>PC</v>
          </cell>
          <cell r="G3294" t="str">
            <v>1</v>
          </cell>
          <cell r="H3294" t="str">
            <v>INDUSTRY</v>
          </cell>
          <cell r="I3294" t="str">
            <v>11</v>
          </cell>
          <cell r="J3294" t="str">
            <v>WOOD COATINGS</v>
          </cell>
          <cell r="K3294" t="str">
            <v>1118</v>
          </cell>
          <cell r="L3294" t="str">
            <v>COMPLEMENTARY</v>
          </cell>
          <cell r="M3294" t="str">
            <v>111802</v>
          </cell>
          <cell r="N3294" t="str">
            <v>ASOF : POWDER &amp; MATTING SOLUTION</v>
          </cell>
        </row>
        <row r="3295">
          <cell r="C3295" t="str">
            <v>100004677</v>
          </cell>
          <cell r="D3295" t="str">
            <v>11-256 AF PU THINNER-30LJ</v>
          </cell>
          <cell r="E3295" t="str">
            <v>ZFGD</v>
          </cell>
          <cell r="F3295" t="str">
            <v>PC</v>
          </cell>
          <cell r="G3295" t="str">
            <v>1</v>
          </cell>
          <cell r="H3295" t="str">
            <v>INDUSTRY</v>
          </cell>
          <cell r="I3295" t="str">
            <v>14</v>
          </cell>
          <cell r="J3295" t="str">
            <v>THINNER</v>
          </cell>
          <cell r="K3295" t="str">
            <v>1411</v>
          </cell>
          <cell r="L3295" t="str">
            <v>THINNER PU</v>
          </cell>
          <cell r="M3295" t="str">
            <v>141102</v>
          </cell>
          <cell r="N3295" t="str">
            <v>UNION THINNER</v>
          </cell>
        </row>
        <row r="3296">
          <cell r="C3296" t="str">
            <v>100004678</v>
          </cell>
          <cell r="D3296" t="str">
            <v>11-256 AF PU THINNER-200LK</v>
          </cell>
          <cell r="E3296" t="str">
            <v>ZFGD</v>
          </cell>
          <cell r="F3296" t="str">
            <v>PC</v>
          </cell>
          <cell r="G3296" t="str">
            <v>1</v>
          </cell>
          <cell r="H3296" t="str">
            <v>INDUSTRY</v>
          </cell>
          <cell r="I3296" t="str">
            <v>14</v>
          </cell>
          <cell r="J3296" t="str">
            <v>THINNER</v>
          </cell>
          <cell r="K3296" t="str">
            <v>1411</v>
          </cell>
          <cell r="L3296" t="str">
            <v>THINNER PU</v>
          </cell>
          <cell r="M3296" t="str">
            <v>141102</v>
          </cell>
          <cell r="N3296" t="str">
            <v>UNION THINNER</v>
          </cell>
        </row>
        <row r="3297">
          <cell r="C3297" t="str">
            <v>100004679</v>
          </cell>
          <cell r="D3297" t="str">
            <v>WBL-61208 CLEAR 40 VN-20KP</v>
          </cell>
          <cell r="E3297" t="str">
            <v>ZFGD</v>
          </cell>
          <cell r="F3297" t="str">
            <v>PC</v>
          </cell>
          <cell r="G3297" t="str">
            <v>1</v>
          </cell>
          <cell r="H3297" t="str">
            <v>INDUSTRY</v>
          </cell>
          <cell r="I3297" t="str">
            <v>11</v>
          </cell>
          <cell r="J3297" t="str">
            <v>WOOD COATINGS</v>
          </cell>
          <cell r="K3297" t="str">
            <v>1119</v>
          </cell>
          <cell r="L3297" t="str">
            <v>WATERBASED</v>
          </cell>
          <cell r="M3297" t="str">
            <v>111902</v>
          </cell>
          <cell r="N3297" t="str">
            <v>WATERBASED SYSTEM INTERIOR</v>
          </cell>
        </row>
        <row r="3298">
          <cell r="C3298" t="str">
            <v>100004680</v>
          </cell>
          <cell r="D3298" t="str">
            <v>UVSS-40102 KN VN-20KP</v>
          </cell>
          <cell r="E3298" t="str">
            <v>ZFGD</v>
          </cell>
          <cell r="F3298" t="str">
            <v>PC</v>
          </cell>
          <cell r="G3298" t="str">
            <v>1</v>
          </cell>
          <cell r="H3298" t="str">
            <v>INDUSTRY</v>
          </cell>
          <cell r="I3298" t="str">
            <v>11</v>
          </cell>
          <cell r="J3298" t="str">
            <v>WOOD COATINGS</v>
          </cell>
          <cell r="K3298" t="str">
            <v>1106</v>
          </cell>
          <cell r="L3298" t="str">
            <v>UV</v>
          </cell>
          <cell r="M3298" t="str">
            <v>110605</v>
          </cell>
          <cell r="N3298" t="str">
            <v>UV SANDING SEALER</v>
          </cell>
        </row>
        <row r="3299">
          <cell r="C3299" t="str">
            <v>100004685</v>
          </cell>
          <cell r="D3299" t="str">
            <v>EQ-10200 0401 FA VN-20LJ</v>
          </cell>
          <cell r="E3299" t="str">
            <v>ZFGD</v>
          </cell>
          <cell r="F3299" t="str">
            <v>PC</v>
          </cell>
          <cell r="G3299" t="str">
            <v>1</v>
          </cell>
          <cell r="H3299" t="str">
            <v>INDUSTRY</v>
          </cell>
          <cell r="I3299" t="str">
            <v>11</v>
          </cell>
          <cell r="J3299" t="str">
            <v>WOOD COATINGS</v>
          </cell>
          <cell r="K3299" t="str">
            <v>1109</v>
          </cell>
          <cell r="L3299" t="str">
            <v>STAIN &amp; GLAZE INTERIOR</v>
          </cell>
          <cell r="M3299" t="str">
            <v>110901</v>
          </cell>
          <cell r="N3299" t="str">
            <v>ASOF : STAIN &amp; GLAZE</v>
          </cell>
        </row>
        <row r="3300">
          <cell r="C3300" t="str">
            <v>100004686</v>
          </cell>
          <cell r="D3300" t="str">
            <v>TOL-76301 N 0401 FA VN-20LJ</v>
          </cell>
          <cell r="E3300" t="str">
            <v>ZFGD</v>
          </cell>
          <cell r="F3300" t="str">
            <v>PC</v>
          </cell>
          <cell r="G3300" t="str">
            <v>1</v>
          </cell>
          <cell r="H3300" t="str">
            <v>INDUSTRY</v>
          </cell>
          <cell r="I3300" t="str">
            <v>11</v>
          </cell>
          <cell r="J3300" t="str">
            <v>WOOD COATINGS</v>
          </cell>
          <cell r="K3300" t="str">
            <v>1101</v>
          </cell>
          <cell r="L3300" t="str">
            <v>ALKYD OIL</v>
          </cell>
          <cell r="M3300" t="str">
            <v>110101</v>
          </cell>
          <cell r="N3300" t="str">
            <v>ALKYD &amp; OIL SYSTEM</v>
          </cell>
        </row>
        <row r="3301">
          <cell r="C3301" t="str">
            <v>100004687</v>
          </cell>
          <cell r="D3301" t="str">
            <v>TOL-76301 N GNH F1 VN-20LJ</v>
          </cell>
          <cell r="E3301" t="str">
            <v>ZFGD</v>
          </cell>
          <cell r="F3301" t="str">
            <v>PC</v>
          </cell>
          <cell r="G3301" t="str">
            <v>1</v>
          </cell>
          <cell r="H3301" t="str">
            <v>INDUSTRY</v>
          </cell>
          <cell r="I3301" t="str">
            <v>11</v>
          </cell>
          <cell r="J3301" t="str">
            <v>WOOD COATINGS</v>
          </cell>
          <cell r="K3301" t="str">
            <v>1101</v>
          </cell>
          <cell r="L3301" t="str">
            <v>ALKYD OIL</v>
          </cell>
          <cell r="M3301" t="str">
            <v>110101</v>
          </cell>
          <cell r="N3301" t="str">
            <v>ALKYD &amp; OIL SYSTEM</v>
          </cell>
        </row>
        <row r="3302">
          <cell r="C3302" t="str">
            <v>100004688</v>
          </cell>
          <cell r="D3302" t="str">
            <v>PUC-1542-1221AK-20KP</v>
          </cell>
          <cell r="E3302" t="str">
            <v>ZFGD</v>
          </cell>
          <cell r="F3302" t="str">
            <v>PC</v>
          </cell>
          <cell r="G3302" t="str">
            <v>1</v>
          </cell>
          <cell r="H3302" t="str">
            <v>INDUSTRY</v>
          </cell>
          <cell r="I3302" t="str">
            <v>11</v>
          </cell>
          <cell r="J3302" t="str">
            <v>WOOD COATINGS</v>
          </cell>
          <cell r="K3302" t="str">
            <v>1103</v>
          </cell>
          <cell r="L3302" t="str">
            <v>PU</v>
          </cell>
          <cell r="M3302" t="str">
            <v>110319</v>
          </cell>
          <cell r="N3302" t="str">
            <v>PU COLOR</v>
          </cell>
        </row>
        <row r="3303">
          <cell r="C3303" t="str">
            <v>100004689</v>
          </cell>
          <cell r="D3303" t="str">
            <v>NBC-9345 381 AK-20KP</v>
          </cell>
          <cell r="E3303" t="str">
            <v>ZFGD</v>
          </cell>
          <cell r="F3303" t="str">
            <v>PC</v>
          </cell>
          <cell r="G3303" t="str">
            <v>1</v>
          </cell>
          <cell r="H3303" t="str">
            <v>INDUSTRY</v>
          </cell>
          <cell r="I3303" t="str">
            <v>11</v>
          </cell>
          <cell r="J3303" t="str">
            <v>WOOD COATINGS</v>
          </cell>
          <cell r="K3303" t="str">
            <v>1104</v>
          </cell>
          <cell r="L3303" t="str">
            <v>NC</v>
          </cell>
          <cell r="M3303" t="str">
            <v>110403</v>
          </cell>
          <cell r="N3303" t="str">
            <v>ASOF : NC BASE COAT</v>
          </cell>
        </row>
        <row r="3304">
          <cell r="C3304" t="str">
            <v>100004690</v>
          </cell>
          <cell r="D3304" t="str">
            <v>NBC-9345 381 AK-200KB</v>
          </cell>
          <cell r="E3304" t="str">
            <v>ZFGD</v>
          </cell>
          <cell r="F3304" t="str">
            <v>PC</v>
          </cell>
          <cell r="G3304" t="str">
            <v>1</v>
          </cell>
          <cell r="H3304" t="str">
            <v>INDUSTRY</v>
          </cell>
          <cell r="I3304" t="str">
            <v>11</v>
          </cell>
          <cell r="J3304" t="str">
            <v>WOOD COATINGS</v>
          </cell>
          <cell r="K3304" t="str">
            <v>1104</v>
          </cell>
          <cell r="L3304" t="str">
            <v>NC</v>
          </cell>
          <cell r="M3304" t="str">
            <v>110403</v>
          </cell>
          <cell r="N3304" t="str">
            <v>ASOF : NC BASE COAT</v>
          </cell>
        </row>
        <row r="3305">
          <cell r="C3305" t="str">
            <v>100004691</v>
          </cell>
          <cell r="D3305" t="str">
            <v>PUH-1563-LY-AK-3.8K</v>
          </cell>
          <cell r="E3305" t="str">
            <v>ZFGD</v>
          </cell>
          <cell r="F3305" t="str">
            <v>PC</v>
          </cell>
          <cell r="G3305" t="str">
            <v>1</v>
          </cell>
          <cell r="H3305" t="str">
            <v>INDUSTRY</v>
          </cell>
          <cell r="I3305" t="str">
            <v>11</v>
          </cell>
          <cell r="J3305" t="str">
            <v>WOOD COATINGS</v>
          </cell>
          <cell r="K3305" t="str">
            <v>1103</v>
          </cell>
          <cell r="L3305" t="str">
            <v>PU</v>
          </cell>
          <cell r="M3305" t="str">
            <v>110320</v>
          </cell>
          <cell r="N3305" t="str">
            <v>PU HARDENER</v>
          </cell>
        </row>
        <row r="3306">
          <cell r="C3306" t="str">
            <v>100004692</v>
          </cell>
          <cell r="D3306" t="str">
            <v>PUC-1542-1221AK-200KB</v>
          </cell>
          <cell r="E3306" t="str">
            <v>ZFGD</v>
          </cell>
          <cell r="F3306" t="str">
            <v>PC</v>
          </cell>
          <cell r="G3306" t="str">
            <v>1</v>
          </cell>
          <cell r="H3306" t="str">
            <v>INDUSTRY</v>
          </cell>
          <cell r="I3306" t="str">
            <v>11</v>
          </cell>
          <cell r="J3306" t="str">
            <v>WOOD COATINGS</v>
          </cell>
          <cell r="K3306" t="str">
            <v>1103</v>
          </cell>
          <cell r="L3306" t="str">
            <v>PU</v>
          </cell>
          <cell r="M3306" t="str">
            <v>110319</v>
          </cell>
          <cell r="N3306" t="str">
            <v>PU COLOR</v>
          </cell>
        </row>
        <row r="3307">
          <cell r="C3307" t="str">
            <v>100004693</v>
          </cell>
          <cell r="D3307" t="str">
            <v>PUP-1521-650-AK-20KP</v>
          </cell>
          <cell r="E3307" t="str">
            <v>ZFGD</v>
          </cell>
          <cell r="F3307" t="str">
            <v>PC</v>
          </cell>
          <cell r="G3307" t="str">
            <v>1</v>
          </cell>
          <cell r="H3307" t="str">
            <v>INDUSTRY</v>
          </cell>
          <cell r="I3307" t="str">
            <v>11</v>
          </cell>
          <cell r="J3307" t="str">
            <v>WOOD COATINGS</v>
          </cell>
          <cell r="K3307" t="str">
            <v>1103</v>
          </cell>
          <cell r="L3307" t="str">
            <v>PU</v>
          </cell>
          <cell r="M3307" t="str">
            <v>110322</v>
          </cell>
          <cell r="N3307" t="str">
            <v>PU PRIMER</v>
          </cell>
        </row>
        <row r="3308">
          <cell r="C3308" t="str">
            <v>100004694</v>
          </cell>
          <cell r="D3308" t="str">
            <v>PUP-1521-650-AK-200KB</v>
          </cell>
          <cell r="E3308" t="str">
            <v>ZFGD</v>
          </cell>
          <cell r="F3308" t="str">
            <v>PC</v>
          </cell>
          <cell r="G3308" t="str">
            <v>1</v>
          </cell>
          <cell r="H3308" t="str">
            <v>INDUSTRY</v>
          </cell>
          <cell r="I3308" t="str">
            <v>11</v>
          </cell>
          <cell r="J3308" t="str">
            <v>WOOD COATINGS</v>
          </cell>
          <cell r="K3308" t="str">
            <v>1103</v>
          </cell>
          <cell r="L3308" t="str">
            <v>PU</v>
          </cell>
          <cell r="M3308" t="str">
            <v>110322</v>
          </cell>
          <cell r="N3308" t="str">
            <v>PU PRIMER</v>
          </cell>
        </row>
        <row r="3309">
          <cell r="C3309" t="str">
            <v>100004695</v>
          </cell>
          <cell r="D3309" t="str">
            <v>NCL-1113 AC60AK-18KP</v>
          </cell>
          <cell r="E3309" t="str">
            <v>ZFGD</v>
          </cell>
          <cell r="F3309" t="str">
            <v>PC</v>
          </cell>
          <cell r="G3309" t="str">
            <v>1</v>
          </cell>
          <cell r="H3309" t="str">
            <v>INDUSTRY</v>
          </cell>
          <cell r="I3309" t="str">
            <v>11</v>
          </cell>
          <cell r="J3309" t="str">
            <v>WOOD COATINGS</v>
          </cell>
          <cell r="K3309" t="str">
            <v>1104</v>
          </cell>
          <cell r="L3309" t="str">
            <v>NC</v>
          </cell>
          <cell r="M3309" t="str">
            <v>110405</v>
          </cell>
          <cell r="N3309" t="str">
            <v>NC SYSTEM</v>
          </cell>
        </row>
        <row r="3310">
          <cell r="C3310" t="str">
            <v>100004696</v>
          </cell>
          <cell r="D3310" t="str">
            <v>NCL-1113 AC60AK-180KB</v>
          </cell>
          <cell r="E3310" t="str">
            <v>ZFGD</v>
          </cell>
          <cell r="F3310" t="str">
            <v>PC</v>
          </cell>
          <cell r="G3310" t="str">
            <v>1</v>
          </cell>
          <cell r="H3310" t="str">
            <v>INDUSTRY</v>
          </cell>
          <cell r="I3310" t="str">
            <v>11</v>
          </cell>
          <cell r="J3310" t="str">
            <v>WOOD COATINGS</v>
          </cell>
          <cell r="K3310" t="str">
            <v>1104</v>
          </cell>
          <cell r="L3310" t="str">
            <v>NC</v>
          </cell>
          <cell r="M3310" t="str">
            <v>110405</v>
          </cell>
          <cell r="N3310" t="str">
            <v>NC SYSTEM</v>
          </cell>
        </row>
        <row r="3311">
          <cell r="C3311" t="str">
            <v>100004697</v>
          </cell>
          <cell r="D3311" t="str">
            <v>PST-12200 1K MUB AFB SC VN-20LJ</v>
          </cell>
          <cell r="E3311" t="str">
            <v>ZFGD</v>
          </cell>
          <cell r="F3311" t="str">
            <v>PC</v>
          </cell>
          <cell r="G3311" t="str">
            <v>1</v>
          </cell>
          <cell r="H3311" t="str">
            <v>INDUSTRY</v>
          </cell>
          <cell r="I3311" t="str">
            <v>11</v>
          </cell>
          <cell r="J3311" t="str">
            <v>WOOD COATINGS</v>
          </cell>
          <cell r="K3311" t="str">
            <v>1101</v>
          </cell>
          <cell r="L3311" t="str">
            <v>ALKYD OIL</v>
          </cell>
          <cell r="M3311" t="str">
            <v>110102</v>
          </cell>
          <cell r="N3311" t="str">
            <v>STAIN EXTERIOR</v>
          </cell>
        </row>
        <row r="3312">
          <cell r="C3312" t="str">
            <v>100004698</v>
          </cell>
          <cell r="D3312" t="str">
            <v>PST-12200 1K BROWN 01 AFB SC VN-20LJ</v>
          </cell>
          <cell r="E3312" t="str">
            <v>ZFGD</v>
          </cell>
          <cell r="F3312" t="str">
            <v>PC</v>
          </cell>
          <cell r="G3312" t="str">
            <v>1</v>
          </cell>
          <cell r="H3312" t="str">
            <v>INDUSTRY</v>
          </cell>
          <cell r="I3312" t="str">
            <v>11</v>
          </cell>
          <cell r="J3312" t="str">
            <v>WOOD COATINGS</v>
          </cell>
          <cell r="K3312" t="str">
            <v>1101</v>
          </cell>
          <cell r="L3312" t="str">
            <v>ALKYD OIL</v>
          </cell>
          <cell r="M3312" t="str">
            <v>110102</v>
          </cell>
          <cell r="N3312" t="str">
            <v>STAIN EXTERIOR</v>
          </cell>
        </row>
        <row r="3313">
          <cell r="C3313" t="str">
            <v>100004699</v>
          </cell>
          <cell r="D3313" t="str">
            <v>PST-12200 1K MUB AFB SC VN-200LK</v>
          </cell>
          <cell r="E3313" t="str">
            <v>ZFGD</v>
          </cell>
          <cell r="F3313" t="str">
            <v>PC</v>
          </cell>
          <cell r="G3313" t="str">
            <v>1</v>
          </cell>
          <cell r="H3313" t="str">
            <v>INDUSTRY</v>
          </cell>
          <cell r="I3313" t="str">
            <v>11</v>
          </cell>
          <cell r="J3313" t="str">
            <v>WOOD COATINGS</v>
          </cell>
          <cell r="K3313" t="str">
            <v>1101</v>
          </cell>
          <cell r="L3313" t="str">
            <v>ALKYD OIL</v>
          </cell>
          <cell r="M3313" t="str">
            <v>110102</v>
          </cell>
          <cell r="N3313" t="str">
            <v>STAIN EXTERIOR</v>
          </cell>
        </row>
        <row r="3314">
          <cell r="C3314" t="str">
            <v>100004700</v>
          </cell>
          <cell r="D3314" t="str">
            <v>PST-12200 1K BROWN 01 AFB SC VN-200LK</v>
          </cell>
          <cell r="E3314" t="str">
            <v>ZFGD</v>
          </cell>
          <cell r="F3314" t="str">
            <v>PC</v>
          </cell>
          <cell r="G3314" t="str">
            <v>1</v>
          </cell>
          <cell r="H3314" t="str">
            <v>INDUSTRY</v>
          </cell>
          <cell r="I3314" t="str">
            <v>11</v>
          </cell>
          <cell r="J3314" t="str">
            <v>WOOD COATINGS</v>
          </cell>
          <cell r="K3314" t="str">
            <v>1101</v>
          </cell>
          <cell r="L3314" t="str">
            <v>ALKYD OIL</v>
          </cell>
          <cell r="M3314" t="str">
            <v>110102</v>
          </cell>
          <cell r="N3314" t="str">
            <v>STAIN EXTERIOR</v>
          </cell>
        </row>
        <row r="3315">
          <cell r="C3315" t="str">
            <v>100004703</v>
          </cell>
          <cell r="D3315" t="str">
            <v>PST-12200 1K YEL BALAU AFB SC VN-20LJ</v>
          </cell>
          <cell r="E3315" t="str">
            <v>ZFGD</v>
          </cell>
          <cell r="F3315" t="str">
            <v>PC</v>
          </cell>
          <cell r="G3315" t="str">
            <v>1</v>
          </cell>
          <cell r="H3315" t="str">
            <v>INDUSTRY</v>
          </cell>
          <cell r="I3315" t="str">
            <v>11</v>
          </cell>
          <cell r="J3315" t="str">
            <v>WOOD COATINGS</v>
          </cell>
          <cell r="K3315" t="str">
            <v>1101</v>
          </cell>
          <cell r="L3315" t="str">
            <v>ALKYD OIL</v>
          </cell>
          <cell r="M3315" t="str">
            <v>110102</v>
          </cell>
          <cell r="N3315" t="str">
            <v>STAIN EXTERIOR</v>
          </cell>
        </row>
        <row r="3316">
          <cell r="C3316" t="str">
            <v>100004704</v>
          </cell>
          <cell r="D3316" t="str">
            <v>PST-12200 1K YEL BALAU AFB SC VN-200LK</v>
          </cell>
          <cell r="E3316" t="str">
            <v>ZFGD</v>
          </cell>
          <cell r="F3316" t="str">
            <v>PC</v>
          </cell>
          <cell r="G3316" t="str">
            <v>1</v>
          </cell>
          <cell r="H3316" t="str">
            <v>INDUSTRY</v>
          </cell>
          <cell r="I3316" t="str">
            <v>11</v>
          </cell>
          <cell r="J3316" t="str">
            <v>WOOD COATINGS</v>
          </cell>
          <cell r="K3316" t="str">
            <v>1101</v>
          </cell>
          <cell r="L3316" t="str">
            <v>ALKYD OIL</v>
          </cell>
          <cell r="M3316" t="str">
            <v>110102</v>
          </cell>
          <cell r="N3316" t="str">
            <v>STAIN EXTERIOR</v>
          </cell>
        </row>
        <row r="3317">
          <cell r="C3317" t="str">
            <v>100004705</v>
          </cell>
          <cell r="D3317" t="str">
            <v>UVP-60501 FHO SC VN-20KP</v>
          </cell>
          <cell r="E3317" t="str">
            <v>ZFGD</v>
          </cell>
          <cell r="F3317" t="str">
            <v>PC</v>
          </cell>
          <cell r="G3317" t="str">
            <v>1</v>
          </cell>
          <cell r="H3317" t="str">
            <v>INDUSTRY</v>
          </cell>
          <cell r="I3317" t="str">
            <v>11</v>
          </cell>
          <cell r="J3317" t="str">
            <v>WOOD COATINGS</v>
          </cell>
          <cell r="K3317" t="str">
            <v>1106</v>
          </cell>
          <cell r="L3317" t="str">
            <v>UV</v>
          </cell>
          <cell r="M3317" t="str">
            <v>110604</v>
          </cell>
          <cell r="N3317" t="str">
            <v>UV PRIMER</v>
          </cell>
        </row>
        <row r="3318">
          <cell r="C3318" t="str">
            <v>100004706</v>
          </cell>
          <cell r="D3318" t="str">
            <v>UVS-20600 FHO 01 SC VN-5K</v>
          </cell>
          <cell r="E3318" t="str">
            <v>ZFGD</v>
          </cell>
          <cell r="F3318" t="str">
            <v>PC</v>
          </cell>
          <cell r="G3318" t="str">
            <v>1</v>
          </cell>
          <cell r="H3318" t="str">
            <v>INDUSTRY</v>
          </cell>
          <cell r="I3318" t="str">
            <v>11</v>
          </cell>
          <cell r="J3318" t="str">
            <v>WOOD COATINGS</v>
          </cell>
          <cell r="K3318" t="str">
            <v>1106</v>
          </cell>
          <cell r="L3318" t="str">
            <v>UV</v>
          </cell>
          <cell r="M3318" t="str">
            <v>110606</v>
          </cell>
          <cell r="N3318" t="str">
            <v>UV STAIN</v>
          </cell>
        </row>
        <row r="3319">
          <cell r="C3319" t="str">
            <v>100004707</v>
          </cell>
          <cell r="D3319" t="str">
            <v>UVS-20600 FHO 02 SC VN-5K</v>
          </cell>
          <cell r="E3319" t="str">
            <v>ZFGD</v>
          </cell>
          <cell r="F3319" t="str">
            <v>PC</v>
          </cell>
          <cell r="G3319" t="str">
            <v>1</v>
          </cell>
          <cell r="H3319" t="str">
            <v>INDUSTRY</v>
          </cell>
          <cell r="I3319" t="str">
            <v>11</v>
          </cell>
          <cell r="J3319" t="str">
            <v>WOOD COATINGS</v>
          </cell>
          <cell r="K3319" t="str">
            <v>1106</v>
          </cell>
          <cell r="L3319" t="str">
            <v>UV</v>
          </cell>
          <cell r="M3319" t="str">
            <v>110606</v>
          </cell>
          <cell r="N3319" t="str">
            <v>UV STAIN</v>
          </cell>
        </row>
        <row r="3320">
          <cell r="C3320" t="str">
            <v>100004708</v>
          </cell>
          <cell r="D3320" t="str">
            <v>PUP-52141 01 H1 VN-20KP</v>
          </cell>
          <cell r="E3320" t="str">
            <v>ZFGD</v>
          </cell>
          <cell r="F3320" t="str">
            <v>PC</v>
          </cell>
          <cell r="G3320" t="str">
            <v>1</v>
          </cell>
          <cell r="H3320" t="str">
            <v>INDUSTRY</v>
          </cell>
          <cell r="I3320" t="str">
            <v>11</v>
          </cell>
          <cell r="J3320" t="str">
            <v>WOOD COATINGS</v>
          </cell>
          <cell r="K3320" t="str">
            <v>1103</v>
          </cell>
          <cell r="L3320" t="str">
            <v>PU</v>
          </cell>
          <cell r="M3320" t="str">
            <v>110322</v>
          </cell>
          <cell r="N3320" t="str">
            <v>PU PRIMER</v>
          </cell>
        </row>
        <row r="3321">
          <cell r="C3321" t="str">
            <v>100004709</v>
          </cell>
          <cell r="D3321" t="str">
            <v>PUC-54206 AC EX 01 05 H1 VN-18KP</v>
          </cell>
          <cell r="E3321" t="str">
            <v>ZFGD</v>
          </cell>
          <cell r="F3321" t="str">
            <v>PC</v>
          </cell>
          <cell r="G3321" t="str">
            <v>1</v>
          </cell>
          <cell r="H3321" t="str">
            <v>INDUSTRY</v>
          </cell>
          <cell r="I3321" t="str">
            <v>11</v>
          </cell>
          <cell r="J3321" t="str">
            <v>WOOD COATINGS</v>
          </cell>
          <cell r="K3321" t="str">
            <v>1103</v>
          </cell>
          <cell r="L3321" t="str">
            <v>PU</v>
          </cell>
          <cell r="M3321" t="str">
            <v>110319</v>
          </cell>
          <cell r="N3321" t="str">
            <v>PU COLOR</v>
          </cell>
        </row>
        <row r="3322">
          <cell r="C3322" t="str">
            <v>100004710</v>
          </cell>
          <cell r="D3322" t="str">
            <v>PUC-54205 AC 02 10 H1 VN-20KP</v>
          </cell>
          <cell r="E3322" t="str">
            <v>ZFGD</v>
          </cell>
          <cell r="F3322" t="str">
            <v>PC</v>
          </cell>
          <cell r="G3322" t="str">
            <v>1</v>
          </cell>
          <cell r="H3322" t="str">
            <v>INDUSTRY</v>
          </cell>
          <cell r="I3322" t="str">
            <v>11</v>
          </cell>
          <cell r="J3322" t="str">
            <v>WOOD COATINGS</v>
          </cell>
          <cell r="K3322" t="str">
            <v>1103</v>
          </cell>
          <cell r="L3322" t="str">
            <v>PU</v>
          </cell>
          <cell r="M3322" t="str">
            <v>110319</v>
          </cell>
          <cell r="N3322" t="str">
            <v>PU COLOR</v>
          </cell>
        </row>
        <row r="3323">
          <cell r="C3323" t="str">
            <v>100004711</v>
          </cell>
          <cell r="D3323" t="str">
            <v>PUC-54205 AC 03 10 H1 VN-20KP</v>
          </cell>
          <cell r="E3323" t="str">
            <v>ZFGD</v>
          </cell>
          <cell r="F3323" t="str">
            <v>PC</v>
          </cell>
          <cell r="G3323" t="str">
            <v>1</v>
          </cell>
          <cell r="H3323" t="str">
            <v>INDUSTRY</v>
          </cell>
          <cell r="I3323" t="str">
            <v>11</v>
          </cell>
          <cell r="J3323" t="str">
            <v>WOOD COATINGS</v>
          </cell>
          <cell r="K3323" t="str">
            <v>1103</v>
          </cell>
          <cell r="L3323" t="str">
            <v>PU</v>
          </cell>
          <cell r="M3323" t="str">
            <v>110319</v>
          </cell>
          <cell r="N3323" t="str">
            <v>PU COLOR</v>
          </cell>
        </row>
        <row r="3324">
          <cell r="C3324" t="str">
            <v>100004712</v>
          </cell>
          <cell r="D3324" t="str">
            <v>PUC-54205 AC 04 10 H1 VN-20KP</v>
          </cell>
          <cell r="E3324" t="str">
            <v>ZFGD</v>
          </cell>
          <cell r="F3324" t="str">
            <v>PC</v>
          </cell>
          <cell r="G3324" t="str">
            <v>1</v>
          </cell>
          <cell r="H3324" t="str">
            <v>INDUSTRY</v>
          </cell>
          <cell r="I3324" t="str">
            <v>11</v>
          </cell>
          <cell r="J3324" t="str">
            <v>WOOD COATINGS</v>
          </cell>
          <cell r="K3324" t="str">
            <v>1103</v>
          </cell>
          <cell r="L3324" t="str">
            <v>PU</v>
          </cell>
          <cell r="M3324" t="str">
            <v>110319</v>
          </cell>
          <cell r="N3324" t="str">
            <v>PU COLOR</v>
          </cell>
        </row>
        <row r="3325">
          <cell r="C3325" t="str">
            <v>100004716</v>
          </cell>
          <cell r="D3325" t="str">
            <v>SST-11100 01 A M1 VN-18KJ</v>
          </cell>
          <cell r="E3325" t="str">
            <v>ZFGD</v>
          </cell>
          <cell r="F3325" t="str">
            <v>PC</v>
          </cell>
          <cell r="G3325" t="str">
            <v>1</v>
          </cell>
          <cell r="H3325" t="str">
            <v>INDUSTRY</v>
          </cell>
          <cell r="I3325" t="str">
            <v>11</v>
          </cell>
          <cell r="J3325" t="str">
            <v>WOOD COATINGS</v>
          </cell>
          <cell r="K3325" t="str">
            <v>1109</v>
          </cell>
          <cell r="L3325" t="str">
            <v>STAIN &amp; GLAZE INTERIOR</v>
          </cell>
          <cell r="M3325" t="str">
            <v>110903</v>
          </cell>
          <cell r="N3325" t="str">
            <v>STAIN INTERIOR</v>
          </cell>
        </row>
        <row r="3326">
          <cell r="C3326" t="str">
            <v>100004717</v>
          </cell>
          <cell r="D3326" t="str">
            <v>SST-11100 01 B M1 VN-18KJ</v>
          </cell>
          <cell r="E3326" t="str">
            <v>ZFGD</v>
          </cell>
          <cell r="F3326" t="str">
            <v>PC</v>
          </cell>
          <cell r="G3326" t="str">
            <v>1</v>
          </cell>
          <cell r="H3326" t="str">
            <v>INDUSTRY</v>
          </cell>
          <cell r="I3326" t="str">
            <v>11</v>
          </cell>
          <cell r="J3326" t="str">
            <v>WOOD COATINGS</v>
          </cell>
          <cell r="K3326" t="str">
            <v>1109</v>
          </cell>
          <cell r="L3326" t="str">
            <v>STAIN &amp; GLAZE INTERIOR</v>
          </cell>
          <cell r="M3326" t="str">
            <v>110903</v>
          </cell>
          <cell r="N3326" t="str">
            <v>STAIN INTERIOR</v>
          </cell>
        </row>
        <row r="3327">
          <cell r="C3327" t="str">
            <v>100004718</v>
          </cell>
          <cell r="D3327" t="str">
            <v>PUSS-53206 AC EX SB VN-20KP</v>
          </cell>
          <cell r="E3327" t="str">
            <v>ZFGD</v>
          </cell>
          <cell r="F3327" t="str">
            <v>PC</v>
          </cell>
          <cell r="G3327" t="str">
            <v>1</v>
          </cell>
          <cell r="H3327" t="str">
            <v>INDUSTRY</v>
          </cell>
          <cell r="I3327" t="str">
            <v>11</v>
          </cell>
          <cell r="J3327" t="str">
            <v>WOOD COATINGS</v>
          </cell>
          <cell r="K3327" t="str">
            <v>1103</v>
          </cell>
          <cell r="L3327" t="str">
            <v>PU</v>
          </cell>
          <cell r="M3327" t="str">
            <v>110323</v>
          </cell>
          <cell r="N3327" t="str">
            <v>PU SANDING SEALER</v>
          </cell>
        </row>
        <row r="3328">
          <cell r="C3328" t="str">
            <v>100004719</v>
          </cell>
          <cell r="D3328" t="str">
            <v>PUL-53306 AC EX CLEAR 05 SB VN-18KP</v>
          </cell>
          <cell r="E3328" t="str">
            <v>ZFGD</v>
          </cell>
          <cell r="F3328" t="str">
            <v>PC</v>
          </cell>
          <cell r="G3328" t="str">
            <v>1</v>
          </cell>
          <cell r="H3328" t="str">
            <v>INDUSTRY</v>
          </cell>
          <cell r="I3328" t="str">
            <v>11</v>
          </cell>
          <cell r="J3328" t="str">
            <v>WOOD COATINGS</v>
          </cell>
          <cell r="K3328" t="str">
            <v>1103</v>
          </cell>
          <cell r="L3328" t="str">
            <v>PU</v>
          </cell>
          <cell r="M3328" t="str">
            <v>110321</v>
          </cell>
          <cell r="N3328" t="str">
            <v>PU LACQUER</v>
          </cell>
        </row>
        <row r="3329">
          <cell r="C3329" t="str">
            <v>100004720</v>
          </cell>
          <cell r="D3329" t="str">
            <v>WBP-62102 BR TRANG VN-20KP</v>
          </cell>
          <cell r="E3329" t="str">
            <v>ZFGD</v>
          </cell>
          <cell r="F3329" t="str">
            <v>PC</v>
          </cell>
          <cell r="G3329" t="str">
            <v>1</v>
          </cell>
          <cell r="H3329" t="str">
            <v>INDUSTRY</v>
          </cell>
          <cell r="I3329" t="str">
            <v>11</v>
          </cell>
          <cell r="J3329" t="str">
            <v>WOOD COATINGS</v>
          </cell>
          <cell r="K3329" t="str">
            <v>1119</v>
          </cell>
          <cell r="L3329" t="str">
            <v>WATERBASED</v>
          </cell>
          <cell r="M3329" t="str">
            <v>111902</v>
          </cell>
          <cell r="N3329" t="str">
            <v>WATERBASED SYSTEM INTERIOR</v>
          </cell>
        </row>
        <row r="3330">
          <cell r="C3330" t="str">
            <v>100004723</v>
          </cell>
          <cell r="D3330" t="str">
            <v>NBC-9345-716-AK-20KP</v>
          </cell>
          <cell r="E3330" t="str">
            <v>ZFGD</v>
          </cell>
          <cell r="F3330" t="str">
            <v>PC</v>
          </cell>
          <cell r="G3330" t="str">
            <v>1</v>
          </cell>
          <cell r="H3330" t="str">
            <v>INDUSTRY</v>
          </cell>
          <cell r="I3330" t="str">
            <v>11</v>
          </cell>
          <cell r="J3330" t="str">
            <v>WOOD COATINGS</v>
          </cell>
          <cell r="K3330" t="str">
            <v>1104</v>
          </cell>
          <cell r="L3330" t="str">
            <v>NC</v>
          </cell>
          <cell r="M3330" t="str">
            <v>110403</v>
          </cell>
          <cell r="N3330" t="str">
            <v>ASOF : NC BASE COAT</v>
          </cell>
        </row>
        <row r="3331">
          <cell r="C3331" t="str">
            <v>100004724</v>
          </cell>
          <cell r="D3331" t="str">
            <v>UVC-70101 TRANG 30 VN-20KP</v>
          </cell>
          <cell r="E3331" t="str">
            <v>ZFGD</v>
          </cell>
          <cell r="F3331" t="str">
            <v>PC</v>
          </cell>
          <cell r="G3331" t="str">
            <v>1</v>
          </cell>
          <cell r="H3331" t="str">
            <v>INDUSTRY</v>
          </cell>
          <cell r="I3331" t="str">
            <v>11</v>
          </cell>
          <cell r="J3331" t="str">
            <v>WOOD COATINGS</v>
          </cell>
          <cell r="K3331" t="str">
            <v>1106</v>
          </cell>
          <cell r="L3331" t="str">
            <v>UV</v>
          </cell>
          <cell r="M3331" t="str">
            <v>110608</v>
          </cell>
          <cell r="N3331" t="str">
            <v>UV TOP COAT COLOR</v>
          </cell>
        </row>
        <row r="3332">
          <cell r="C3332" t="str">
            <v>100004761</v>
          </cell>
          <cell r="D3332" t="str">
            <v>PUC-54205 AC K146 10 AT VN-20KP</v>
          </cell>
          <cell r="E3332" t="str">
            <v>ZFGD</v>
          </cell>
          <cell r="F3332" t="str">
            <v>PC</v>
          </cell>
          <cell r="G3332" t="str">
            <v>1</v>
          </cell>
          <cell r="H3332" t="str">
            <v>INDUSTRY</v>
          </cell>
          <cell r="I3332" t="str">
            <v>11</v>
          </cell>
          <cell r="J3332" t="str">
            <v>WOOD COATINGS</v>
          </cell>
          <cell r="K3332" t="str">
            <v>1103</v>
          </cell>
          <cell r="L3332" t="str">
            <v>PU</v>
          </cell>
          <cell r="M3332" t="str">
            <v>110319</v>
          </cell>
          <cell r="N3332" t="str">
            <v>PU COLOR</v>
          </cell>
        </row>
        <row r="3333">
          <cell r="C3333" t="str">
            <v>100004762</v>
          </cell>
          <cell r="D3333" t="str">
            <v>PUC-1522-0331AK-20KP</v>
          </cell>
          <cell r="E3333" t="str">
            <v>ZFGD</v>
          </cell>
          <cell r="F3333" t="str">
            <v>PC</v>
          </cell>
          <cell r="G3333" t="str">
            <v>1</v>
          </cell>
          <cell r="H3333" t="str">
            <v>INDUSTRY</v>
          </cell>
          <cell r="I3333" t="str">
            <v>11</v>
          </cell>
          <cell r="J3333" t="str">
            <v>WOOD COATINGS</v>
          </cell>
          <cell r="K3333" t="str">
            <v>1103</v>
          </cell>
          <cell r="L3333" t="str">
            <v>PU</v>
          </cell>
          <cell r="M3333" t="str">
            <v>110319</v>
          </cell>
          <cell r="N3333" t="str">
            <v>PU COLOR</v>
          </cell>
        </row>
        <row r="3334">
          <cell r="C3334" t="str">
            <v>100004763</v>
          </cell>
          <cell r="D3334" t="str">
            <v>PUC-1522-0325AK-20KP</v>
          </cell>
          <cell r="E3334" t="str">
            <v>ZFGD</v>
          </cell>
          <cell r="F3334" t="str">
            <v>PC</v>
          </cell>
          <cell r="G3334" t="str">
            <v>1</v>
          </cell>
          <cell r="H3334" t="str">
            <v>INDUSTRY</v>
          </cell>
          <cell r="I3334" t="str">
            <v>11</v>
          </cell>
          <cell r="J3334" t="str">
            <v>WOOD COATINGS</v>
          </cell>
          <cell r="K3334" t="str">
            <v>1103</v>
          </cell>
          <cell r="L3334" t="str">
            <v>PU</v>
          </cell>
          <cell r="M3334" t="str">
            <v>110319</v>
          </cell>
          <cell r="N3334" t="str">
            <v>PU COLOR</v>
          </cell>
        </row>
        <row r="3335">
          <cell r="C3335" t="str">
            <v>100004764</v>
          </cell>
          <cell r="D3335" t="str">
            <v>PUH-1561-39-AK-20KP</v>
          </cell>
          <cell r="E3335" t="str">
            <v>ZFGD</v>
          </cell>
          <cell r="F3335" t="str">
            <v>PC</v>
          </cell>
          <cell r="G3335" t="str">
            <v>1</v>
          </cell>
          <cell r="H3335" t="str">
            <v>INDUSTRY</v>
          </cell>
          <cell r="I3335" t="str">
            <v>11</v>
          </cell>
          <cell r="J3335" t="str">
            <v>WOOD COATINGS</v>
          </cell>
          <cell r="K3335" t="str">
            <v>1103</v>
          </cell>
          <cell r="L3335" t="str">
            <v>PU</v>
          </cell>
          <cell r="M3335" t="str">
            <v>110320</v>
          </cell>
          <cell r="N3335" t="str">
            <v>PU HARDENER</v>
          </cell>
        </row>
        <row r="3336">
          <cell r="C3336" t="str">
            <v>100004765</v>
          </cell>
          <cell r="D3336" t="str">
            <v>PUH-1561-41-AK-20KP</v>
          </cell>
          <cell r="E3336" t="str">
            <v>ZFGD</v>
          </cell>
          <cell r="F3336" t="str">
            <v>PC</v>
          </cell>
          <cell r="G3336" t="str">
            <v>1</v>
          </cell>
          <cell r="H3336" t="str">
            <v>INDUSTRY</v>
          </cell>
          <cell r="I3336" t="str">
            <v>11</v>
          </cell>
          <cell r="J3336" t="str">
            <v>WOOD COATINGS</v>
          </cell>
          <cell r="K3336" t="str">
            <v>1103</v>
          </cell>
          <cell r="L3336" t="str">
            <v>PU</v>
          </cell>
          <cell r="M3336" t="str">
            <v>110320</v>
          </cell>
          <cell r="N3336" t="str">
            <v>PU HARDENER</v>
          </cell>
        </row>
        <row r="3337">
          <cell r="C3337" t="str">
            <v>100004766</v>
          </cell>
          <cell r="D3337" t="str">
            <v>PUC-54205 AC K146 10 T2 VN-20KP</v>
          </cell>
          <cell r="E3337" t="str">
            <v>ZFGD</v>
          </cell>
          <cell r="F3337" t="str">
            <v>PC</v>
          </cell>
          <cell r="G3337" t="str">
            <v>1</v>
          </cell>
          <cell r="H3337" t="str">
            <v>INDUSTRY</v>
          </cell>
          <cell r="I3337" t="str">
            <v>11</v>
          </cell>
          <cell r="J3337" t="str">
            <v>WOOD COATINGS</v>
          </cell>
          <cell r="K3337" t="str">
            <v>1103</v>
          </cell>
          <cell r="L3337" t="str">
            <v>PU</v>
          </cell>
          <cell r="M3337" t="str">
            <v>110319</v>
          </cell>
          <cell r="N3337" t="str">
            <v>PU COLOR</v>
          </cell>
        </row>
        <row r="3338">
          <cell r="C3338" t="str">
            <v>100004767</v>
          </cell>
          <cell r="D3338" t="str">
            <v>PUP-54111 AC XAM TRO VH VN-20KP</v>
          </cell>
          <cell r="E3338" t="str">
            <v>ZFGD</v>
          </cell>
          <cell r="F3338" t="str">
            <v>PC</v>
          </cell>
          <cell r="G3338" t="str">
            <v>1</v>
          </cell>
          <cell r="H3338" t="str">
            <v>INDUSTRY</v>
          </cell>
          <cell r="I3338" t="str">
            <v>11</v>
          </cell>
          <cell r="J3338" t="str">
            <v>WOOD COATINGS</v>
          </cell>
          <cell r="K3338" t="str">
            <v>1103</v>
          </cell>
          <cell r="L3338" t="str">
            <v>PU</v>
          </cell>
          <cell r="M3338" t="str">
            <v>110322</v>
          </cell>
          <cell r="N3338" t="str">
            <v>PU PRIMER</v>
          </cell>
        </row>
        <row r="3339">
          <cell r="C3339" t="str">
            <v>100004768</v>
          </cell>
          <cell r="D3339" t="str">
            <v>PUC-54205 AC XAM TRO 30 VH VN-20KP</v>
          </cell>
          <cell r="E3339" t="str">
            <v>ZFGD</v>
          </cell>
          <cell r="F3339" t="str">
            <v>PC</v>
          </cell>
          <cell r="G3339" t="str">
            <v>1</v>
          </cell>
          <cell r="H3339" t="str">
            <v>INDUSTRY</v>
          </cell>
          <cell r="I3339" t="str">
            <v>11</v>
          </cell>
          <cell r="J3339" t="str">
            <v>WOOD COATINGS</v>
          </cell>
          <cell r="K3339" t="str">
            <v>1103</v>
          </cell>
          <cell r="L3339" t="str">
            <v>PU</v>
          </cell>
          <cell r="M3339" t="str">
            <v>110319</v>
          </cell>
          <cell r="N3339" t="str">
            <v>PU COLOR</v>
          </cell>
        </row>
        <row r="3340">
          <cell r="C3340" t="str">
            <v>100004769</v>
          </cell>
          <cell r="D3340" t="str">
            <v>PUP-54106 AC EX XAM DEN VH VN-20KP</v>
          </cell>
          <cell r="E3340" t="str">
            <v>ZFGD</v>
          </cell>
          <cell r="F3340" t="str">
            <v>PC</v>
          </cell>
          <cell r="G3340" t="str">
            <v>1</v>
          </cell>
          <cell r="H3340" t="str">
            <v>INDUSTRY</v>
          </cell>
          <cell r="I3340" t="str">
            <v>11</v>
          </cell>
          <cell r="J3340" t="str">
            <v>WOOD COATINGS</v>
          </cell>
          <cell r="K3340" t="str">
            <v>1103</v>
          </cell>
          <cell r="L3340" t="str">
            <v>PU</v>
          </cell>
          <cell r="M3340" t="str">
            <v>110322</v>
          </cell>
          <cell r="N3340" t="str">
            <v>PU PRIMER</v>
          </cell>
        </row>
        <row r="3341">
          <cell r="C3341" t="str">
            <v>100004770</v>
          </cell>
          <cell r="D3341" t="str">
            <v>PUC-54206 AC EX XAM DEN 30 VH VN-20KP</v>
          </cell>
          <cell r="E3341" t="str">
            <v>ZFGD</v>
          </cell>
          <cell r="F3341" t="str">
            <v>PC</v>
          </cell>
          <cell r="G3341" t="str">
            <v>1</v>
          </cell>
          <cell r="H3341" t="str">
            <v>INDUSTRY</v>
          </cell>
          <cell r="I3341" t="str">
            <v>11</v>
          </cell>
          <cell r="J3341" t="str">
            <v>WOOD COATINGS</v>
          </cell>
          <cell r="K3341" t="str">
            <v>1103</v>
          </cell>
          <cell r="L3341" t="str">
            <v>PU</v>
          </cell>
          <cell r="M3341" t="str">
            <v>110319</v>
          </cell>
          <cell r="N3341" t="str">
            <v>PU COLOR</v>
          </cell>
        </row>
        <row r="3342">
          <cell r="C3342" t="str">
            <v>100004771</v>
          </cell>
          <cell r="D3342" t="str">
            <v>PCA-31100 LSX74 TL VN-18KJ</v>
          </cell>
          <cell r="E3342" t="str">
            <v>ZFGD</v>
          </cell>
          <cell r="F3342" t="str">
            <v>PC</v>
          </cell>
          <cell r="G3342" t="str">
            <v>1</v>
          </cell>
          <cell r="H3342" t="str">
            <v>INDUSTRY</v>
          </cell>
          <cell r="I3342" t="str">
            <v>11</v>
          </cell>
          <cell r="J3342" t="str">
            <v>WOOD COATINGS</v>
          </cell>
          <cell r="K3342" t="str">
            <v>1118</v>
          </cell>
          <cell r="L3342" t="str">
            <v>COMPLEMENTARY</v>
          </cell>
          <cell r="M3342" t="str">
            <v>111807</v>
          </cell>
          <cell r="N3342" t="str">
            <v>PASTA</v>
          </cell>
        </row>
        <row r="3343">
          <cell r="C3343" t="str">
            <v>100004772</v>
          </cell>
          <cell r="D3343" t="str">
            <v>PUC-52239 LSX74 30 TL VN-20KP</v>
          </cell>
          <cell r="E3343" t="str">
            <v>ZFGD</v>
          </cell>
          <cell r="F3343" t="str">
            <v>PC</v>
          </cell>
          <cell r="G3343" t="str">
            <v>1</v>
          </cell>
          <cell r="H3343" t="str">
            <v>INDUSTRY</v>
          </cell>
          <cell r="I3343" t="str">
            <v>11</v>
          </cell>
          <cell r="J3343" t="str">
            <v>WOOD COATINGS</v>
          </cell>
          <cell r="K3343" t="str">
            <v>1103</v>
          </cell>
          <cell r="L3343" t="str">
            <v>PU</v>
          </cell>
          <cell r="M3343" t="str">
            <v>110319</v>
          </cell>
          <cell r="N3343" t="str">
            <v>PU COLOR</v>
          </cell>
        </row>
        <row r="3344">
          <cell r="C3344" t="str">
            <v>100004773</v>
          </cell>
          <cell r="D3344" t="str">
            <v>PUP-54111 AC XAM XANH VH VN-20KP</v>
          </cell>
          <cell r="E3344" t="str">
            <v>ZFGD</v>
          </cell>
          <cell r="F3344" t="str">
            <v>PC</v>
          </cell>
          <cell r="G3344" t="str">
            <v>1</v>
          </cell>
          <cell r="H3344" t="str">
            <v>INDUSTRY</v>
          </cell>
          <cell r="I3344" t="str">
            <v>11</v>
          </cell>
          <cell r="J3344" t="str">
            <v>WOOD COATINGS</v>
          </cell>
          <cell r="K3344" t="str">
            <v>1103</v>
          </cell>
          <cell r="L3344" t="str">
            <v>PU</v>
          </cell>
          <cell r="M3344" t="str">
            <v>110322</v>
          </cell>
          <cell r="N3344" t="str">
            <v>PU PRIMER</v>
          </cell>
        </row>
        <row r="3345">
          <cell r="C3345" t="str">
            <v>100004774</v>
          </cell>
          <cell r="D3345" t="str">
            <v>PUC-54206 AC EX XXANH 30 VH VN-20KP</v>
          </cell>
          <cell r="E3345" t="str">
            <v>ZFGD</v>
          </cell>
          <cell r="F3345" t="str">
            <v>PC</v>
          </cell>
          <cell r="G3345" t="str">
            <v>1</v>
          </cell>
          <cell r="H3345" t="str">
            <v>INDUSTRY</v>
          </cell>
          <cell r="I3345" t="str">
            <v>11</v>
          </cell>
          <cell r="J3345" t="str">
            <v>WOOD COATINGS</v>
          </cell>
          <cell r="K3345" t="str">
            <v>1103</v>
          </cell>
          <cell r="L3345" t="str">
            <v>PU</v>
          </cell>
          <cell r="M3345" t="str">
            <v>110319</v>
          </cell>
          <cell r="N3345" t="str">
            <v>PU COLOR</v>
          </cell>
        </row>
        <row r="3346">
          <cell r="C3346" t="str">
            <v>100004775</v>
          </cell>
          <cell r="D3346" t="str">
            <v>PP-98100 PEARL 13 VN-1K</v>
          </cell>
          <cell r="E3346" t="str">
            <v>ZFGD</v>
          </cell>
          <cell r="F3346" t="str">
            <v>PC</v>
          </cell>
          <cell r="G3346" t="str">
            <v>1</v>
          </cell>
          <cell r="H3346" t="str">
            <v>INDUSTRY</v>
          </cell>
          <cell r="I3346" t="str">
            <v>11</v>
          </cell>
          <cell r="J3346" t="str">
            <v>WOOD COATINGS</v>
          </cell>
          <cell r="K3346" t="str">
            <v>1118</v>
          </cell>
          <cell r="L3346" t="str">
            <v>COMPLEMENTARY</v>
          </cell>
          <cell r="M3346" t="str">
            <v>111802</v>
          </cell>
          <cell r="N3346" t="str">
            <v>ASOF : POWDER &amp; MATTING SOLUTION</v>
          </cell>
        </row>
        <row r="3347">
          <cell r="C3347" t="str">
            <v>100004776</v>
          </cell>
          <cell r="D3347" t="str">
            <v>PUC-52239 PT111 10 TL VN-20KP</v>
          </cell>
          <cell r="E3347" t="str">
            <v>ZFGD</v>
          </cell>
          <cell r="F3347" t="str">
            <v>PC</v>
          </cell>
          <cell r="G3347" t="str">
            <v>1</v>
          </cell>
          <cell r="H3347" t="str">
            <v>INDUSTRY</v>
          </cell>
          <cell r="I3347" t="str">
            <v>11</v>
          </cell>
          <cell r="J3347" t="str">
            <v>WOOD COATINGS</v>
          </cell>
          <cell r="K3347" t="str">
            <v>1103</v>
          </cell>
          <cell r="L3347" t="str">
            <v>PU</v>
          </cell>
          <cell r="M3347" t="str">
            <v>110319</v>
          </cell>
          <cell r="N3347" t="str">
            <v>PU COLOR</v>
          </cell>
        </row>
        <row r="3348">
          <cell r="C3348" t="str">
            <v>100004777</v>
          </cell>
          <cell r="D3348" t="str">
            <v>PUP-54106 AC EX L71 DB VN-20KP</v>
          </cell>
          <cell r="E3348" t="str">
            <v>ZFGD</v>
          </cell>
          <cell r="F3348" t="str">
            <v>PC</v>
          </cell>
          <cell r="G3348" t="str">
            <v>1</v>
          </cell>
          <cell r="H3348" t="str">
            <v>INDUSTRY</v>
          </cell>
          <cell r="I3348" t="str">
            <v>11</v>
          </cell>
          <cell r="J3348" t="str">
            <v>WOOD COATINGS</v>
          </cell>
          <cell r="K3348" t="str">
            <v>1103</v>
          </cell>
          <cell r="L3348" t="str">
            <v>PU</v>
          </cell>
          <cell r="M3348" t="str">
            <v>110322</v>
          </cell>
          <cell r="N3348" t="str">
            <v>PU PRIMER</v>
          </cell>
        </row>
        <row r="3349">
          <cell r="C3349" t="str">
            <v>100004778</v>
          </cell>
          <cell r="D3349" t="str">
            <v>82-5002 UE AF URT SFC WHITE A-16KP</v>
          </cell>
          <cell r="E3349" t="str">
            <v>ZFGD</v>
          </cell>
          <cell r="F3349" t="str">
            <v>PC</v>
          </cell>
          <cell r="G3349" t="str">
            <v>1</v>
          </cell>
          <cell r="H3349" t="str">
            <v>INDUSTRY</v>
          </cell>
          <cell r="I3349" t="str">
            <v>11</v>
          </cell>
          <cell r="J3349" t="str">
            <v>WOOD COATINGS</v>
          </cell>
          <cell r="K3349" t="str">
            <v>1103</v>
          </cell>
          <cell r="L3349" t="str">
            <v>PU</v>
          </cell>
          <cell r="M3349" t="str">
            <v>110312</v>
          </cell>
          <cell r="N3349" t="str">
            <v>UNION TOP COAT</v>
          </cell>
        </row>
        <row r="3350">
          <cell r="C3350" t="str">
            <v>100004779</v>
          </cell>
          <cell r="D3350" t="str">
            <v>THC-73100 102 VN-160KK</v>
          </cell>
          <cell r="E3350" t="str">
            <v>ZFGD</v>
          </cell>
          <cell r="F3350" t="str">
            <v>PC</v>
          </cell>
          <cell r="G3350" t="str">
            <v>1</v>
          </cell>
          <cell r="H3350" t="str">
            <v>INDUSTRY</v>
          </cell>
          <cell r="I3350" t="str">
            <v>14</v>
          </cell>
          <cell r="J3350" t="str">
            <v>THINNER</v>
          </cell>
          <cell r="K3350" t="str">
            <v>1412</v>
          </cell>
          <cell r="L3350" t="str">
            <v>THINNER NC</v>
          </cell>
          <cell r="M3350" t="str">
            <v>141203</v>
          </cell>
          <cell r="N3350" t="str">
            <v>THINNER COMPLEMENTARY</v>
          </cell>
        </row>
        <row r="3351">
          <cell r="C3351" t="str">
            <v>100004780</v>
          </cell>
          <cell r="D3351" t="str">
            <v>THC-73100 102 VN-25KJ</v>
          </cell>
          <cell r="E3351" t="str">
            <v>ZFGD</v>
          </cell>
          <cell r="F3351" t="str">
            <v>PC</v>
          </cell>
          <cell r="G3351" t="str">
            <v>1</v>
          </cell>
          <cell r="H3351" t="str">
            <v>INDUSTRY</v>
          </cell>
          <cell r="I3351" t="str">
            <v>14</v>
          </cell>
          <cell r="J3351" t="str">
            <v>THINNER</v>
          </cell>
          <cell r="K3351" t="str">
            <v>1412</v>
          </cell>
          <cell r="L3351" t="str">
            <v>THINNER NC</v>
          </cell>
          <cell r="M3351" t="str">
            <v>141203</v>
          </cell>
          <cell r="N3351" t="str">
            <v>THINNER COMPLEMENTARY</v>
          </cell>
        </row>
        <row r="3352">
          <cell r="C3352" t="str">
            <v>100004781</v>
          </cell>
          <cell r="D3352" t="str">
            <v>RD-2741-03-AK-25KJ</v>
          </cell>
          <cell r="E3352" t="str">
            <v>ZFGD</v>
          </cell>
          <cell r="F3352" t="str">
            <v>PC</v>
          </cell>
          <cell r="G3352" t="str">
            <v>1</v>
          </cell>
          <cell r="H3352" t="str">
            <v>INDUSTRY</v>
          </cell>
          <cell r="I3352" t="str">
            <v>11</v>
          </cell>
          <cell r="J3352" t="str">
            <v>WOOD COATINGS</v>
          </cell>
          <cell r="K3352" t="str">
            <v>1118</v>
          </cell>
          <cell r="L3352" t="str">
            <v>COMPLEMENTARY</v>
          </cell>
          <cell r="M3352" t="str">
            <v>111809</v>
          </cell>
          <cell r="N3352" t="str">
            <v>RETARDER</v>
          </cell>
        </row>
        <row r="3353">
          <cell r="C3353" t="str">
            <v>100004782</v>
          </cell>
          <cell r="D3353" t="str">
            <v>UVS-20600 WTEA 01 SC VN-5K</v>
          </cell>
          <cell r="E3353" t="str">
            <v>ZFGD</v>
          </cell>
          <cell r="F3353" t="str">
            <v>PC</v>
          </cell>
          <cell r="G3353" t="str">
            <v>1</v>
          </cell>
          <cell r="H3353" t="str">
            <v>INDUSTRY</v>
          </cell>
          <cell r="I3353" t="str">
            <v>11</v>
          </cell>
          <cell r="J3353" t="str">
            <v>WOOD COATINGS</v>
          </cell>
          <cell r="K3353" t="str">
            <v>1106</v>
          </cell>
          <cell r="L3353" t="str">
            <v>UV</v>
          </cell>
          <cell r="M3353" t="str">
            <v>110606</v>
          </cell>
          <cell r="N3353" t="str">
            <v>UV STAIN</v>
          </cell>
        </row>
        <row r="3354">
          <cell r="C3354" t="str">
            <v>100004783</v>
          </cell>
          <cell r="D3354" t="str">
            <v>UVS-20600 WTEA 02 SC VN-5K</v>
          </cell>
          <cell r="E3354" t="str">
            <v>ZFGD</v>
          </cell>
          <cell r="F3354" t="str">
            <v>PC</v>
          </cell>
          <cell r="G3354" t="str">
            <v>1</v>
          </cell>
          <cell r="H3354" t="str">
            <v>INDUSTRY</v>
          </cell>
          <cell r="I3354" t="str">
            <v>11</v>
          </cell>
          <cell r="J3354" t="str">
            <v>WOOD COATINGS</v>
          </cell>
          <cell r="K3354" t="str">
            <v>1106</v>
          </cell>
          <cell r="L3354" t="str">
            <v>UV</v>
          </cell>
          <cell r="M3354" t="str">
            <v>110606</v>
          </cell>
          <cell r="N3354" t="str">
            <v>UV STAIN</v>
          </cell>
        </row>
        <row r="3355">
          <cell r="C3355" t="str">
            <v>100004784</v>
          </cell>
          <cell r="D3355" t="str">
            <v>UVS-20600 WTEA 03 SC VN-5K</v>
          </cell>
          <cell r="E3355" t="str">
            <v>ZFGD</v>
          </cell>
          <cell r="F3355" t="str">
            <v>PC</v>
          </cell>
          <cell r="G3355" t="str">
            <v>1</v>
          </cell>
          <cell r="H3355" t="str">
            <v>INDUSTRY</v>
          </cell>
          <cell r="I3355" t="str">
            <v>11</v>
          </cell>
          <cell r="J3355" t="str">
            <v>WOOD COATINGS</v>
          </cell>
          <cell r="K3355" t="str">
            <v>1106</v>
          </cell>
          <cell r="L3355" t="str">
            <v>UV</v>
          </cell>
          <cell r="M3355" t="str">
            <v>110606</v>
          </cell>
          <cell r="N3355" t="str">
            <v>UV STAIN</v>
          </cell>
        </row>
        <row r="3356">
          <cell r="C3356" t="str">
            <v>100004785</v>
          </cell>
          <cell r="D3356" t="str">
            <v>THC-2731 201 AK-24KJ</v>
          </cell>
          <cell r="E3356" t="str">
            <v>ZFGD</v>
          </cell>
          <cell r="F3356" t="str">
            <v>PC</v>
          </cell>
          <cell r="G3356" t="str">
            <v>1</v>
          </cell>
          <cell r="H3356" t="str">
            <v>INDUSTRY</v>
          </cell>
          <cell r="I3356" t="str">
            <v>14</v>
          </cell>
          <cell r="J3356" t="str">
            <v>THINNER</v>
          </cell>
          <cell r="K3356" t="str">
            <v>1412</v>
          </cell>
          <cell r="L3356" t="str">
            <v>THINNER NC</v>
          </cell>
          <cell r="M3356" t="str">
            <v>141203</v>
          </cell>
          <cell r="N3356" t="str">
            <v>THINNER COMPLEMENTARY</v>
          </cell>
        </row>
        <row r="3357">
          <cell r="C3357" t="str">
            <v>100004786</v>
          </cell>
          <cell r="D3357" t="str">
            <v>NBC-34500 349 A HF VN-20KP</v>
          </cell>
          <cell r="E3357" t="str">
            <v>ZFGD</v>
          </cell>
          <cell r="F3357" t="str">
            <v>PC</v>
          </cell>
          <cell r="G3357" t="str">
            <v>1</v>
          </cell>
          <cell r="H3357" t="str">
            <v>INDUSTRY</v>
          </cell>
          <cell r="I3357" t="str">
            <v>11</v>
          </cell>
          <cell r="J3357" t="str">
            <v>WOOD COATINGS</v>
          </cell>
          <cell r="K3357" t="str">
            <v>1104</v>
          </cell>
          <cell r="L3357" t="str">
            <v>NC</v>
          </cell>
          <cell r="M3357" t="str">
            <v>110403</v>
          </cell>
          <cell r="N3357" t="str">
            <v>ASOF : NC BASE COAT</v>
          </cell>
        </row>
        <row r="3358">
          <cell r="C3358" t="str">
            <v>100004787</v>
          </cell>
          <cell r="D3358" t="str">
            <v>NCL-40800 BC CLEAR 10 VN-18KP</v>
          </cell>
          <cell r="E3358" t="str">
            <v>ZFGD</v>
          </cell>
          <cell r="F3358" t="str">
            <v>PC</v>
          </cell>
          <cell r="G3358" t="str">
            <v>1</v>
          </cell>
          <cell r="H3358" t="str">
            <v>INDUSTRY</v>
          </cell>
          <cell r="I3358" t="str">
            <v>11</v>
          </cell>
          <cell r="J3358" t="str">
            <v>WOOD COATINGS</v>
          </cell>
          <cell r="K3358" t="str">
            <v>1104</v>
          </cell>
          <cell r="L3358" t="str">
            <v>NC</v>
          </cell>
          <cell r="M3358" t="str">
            <v>110404</v>
          </cell>
          <cell r="N3358" t="str">
            <v>ASOF : NC TOP COAT</v>
          </cell>
        </row>
        <row r="3359">
          <cell r="C3359" t="str">
            <v>100004788</v>
          </cell>
          <cell r="D3359" t="str">
            <v>NCL-40800 BC CLEAR 10 VN-180KB</v>
          </cell>
          <cell r="E3359" t="str">
            <v>ZFGD</v>
          </cell>
          <cell r="F3359" t="str">
            <v>PC</v>
          </cell>
          <cell r="G3359" t="str">
            <v>1</v>
          </cell>
          <cell r="H3359" t="str">
            <v>INDUSTRY</v>
          </cell>
          <cell r="I3359" t="str">
            <v>11</v>
          </cell>
          <cell r="J3359" t="str">
            <v>WOOD COATINGS</v>
          </cell>
          <cell r="K3359" t="str">
            <v>1104</v>
          </cell>
          <cell r="L3359" t="str">
            <v>NC</v>
          </cell>
          <cell r="M3359" t="str">
            <v>110404</v>
          </cell>
          <cell r="N3359" t="str">
            <v>ASOF : NC TOP COAT</v>
          </cell>
        </row>
        <row r="3360">
          <cell r="C3360" t="str">
            <v>100004789</v>
          </cell>
          <cell r="D3360" t="str">
            <v>PUP-52141 WHITE 02 VN-20KP</v>
          </cell>
          <cell r="E3360" t="str">
            <v>ZFGD</v>
          </cell>
          <cell r="F3360" t="str">
            <v>PC</v>
          </cell>
          <cell r="G3360" t="str">
            <v>1</v>
          </cell>
          <cell r="H3360" t="str">
            <v>INDUSTRY</v>
          </cell>
          <cell r="I3360" t="str">
            <v>11</v>
          </cell>
          <cell r="J3360" t="str">
            <v>WOOD COATINGS</v>
          </cell>
          <cell r="K3360" t="str">
            <v>1103</v>
          </cell>
          <cell r="L3360" t="str">
            <v>PU</v>
          </cell>
          <cell r="M3360" t="str">
            <v>110322</v>
          </cell>
          <cell r="N3360" t="str">
            <v>PU PRIMER</v>
          </cell>
        </row>
        <row r="3361">
          <cell r="C3361" t="str">
            <v>100004790</v>
          </cell>
          <cell r="D3361" t="str">
            <v>PUP-52141 WHITE 02 VN-200KB</v>
          </cell>
          <cell r="E3361" t="str">
            <v>ZFGD</v>
          </cell>
          <cell r="F3361" t="str">
            <v>PC</v>
          </cell>
          <cell r="G3361" t="str">
            <v>1</v>
          </cell>
          <cell r="H3361" t="str">
            <v>INDUSTRY</v>
          </cell>
          <cell r="I3361" t="str">
            <v>11</v>
          </cell>
          <cell r="J3361" t="str">
            <v>WOOD COATINGS</v>
          </cell>
          <cell r="K3361" t="str">
            <v>1103</v>
          </cell>
          <cell r="L3361" t="str">
            <v>PU</v>
          </cell>
          <cell r="M3361" t="str">
            <v>110322</v>
          </cell>
          <cell r="N3361" t="str">
            <v>PU PRIMER</v>
          </cell>
        </row>
        <row r="3362">
          <cell r="C3362" t="str">
            <v>100004791</v>
          </cell>
          <cell r="D3362" t="str">
            <v>MS-61216 VN- 4K</v>
          </cell>
          <cell r="E3362" t="str">
            <v>ZFGD</v>
          </cell>
          <cell r="F3362" t="str">
            <v>PC</v>
          </cell>
          <cell r="G3362" t="str">
            <v>1</v>
          </cell>
          <cell r="H3362" t="str">
            <v>INDUSTRY</v>
          </cell>
          <cell r="I3362" t="str">
            <v>11</v>
          </cell>
          <cell r="J3362" t="str">
            <v>WOOD COATINGS</v>
          </cell>
          <cell r="K3362" t="str">
            <v>1118</v>
          </cell>
          <cell r="L3362" t="str">
            <v>COMPLEMENTARY</v>
          </cell>
          <cell r="M3362" t="str">
            <v>111801</v>
          </cell>
          <cell r="N3362" t="str">
            <v>ADDITIVES</v>
          </cell>
        </row>
        <row r="3363">
          <cell r="C3363" t="str">
            <v>100004792</v>
          </cell>
          <cell r="D3363" t="str">
            <v>PUC-52239 SW7551 20 TL VN-20KP</v>
          </cell>
          <cell r="E3363" t="str">
            <v>ZFGD</v>
          </cell>
          <cell r="F3363" t="str">
            <v>PC</v>
          </cell>
          <cell r="G3363" t="str">
            <v>1</v>
          </cell>
          <cell r="H3363" t="str">
            <v>INDUSTRY</v>
          </cell>
          <cell r="I3363" t="str">
            <v>11</v>
          </cell>
          <cell r="J3363" t="str">
            <v>WOOD COATINGS</v>
          </cell>
          <cell r="K3363" t="str">
            <v>1103</v>
          </cell>
          <cell r="L3363" t="str">
            <v>PU</v>
          </cell>
          <cell r="M3363" t="str">
            <v>110319</v>
          </cell>
          <cell r="N3363" t="str">
            <v>PU COLOR</v>
          </cell>
        </row>
        <row r="3364">
          <cell r="C3364" t="str">
            <v>100004799</v>
          </cell>
          <cell r="D3364" t="str">
            <v>64-56 MICRO FILLER 01 MK VN-20KP</v>
          </cell>
          <cell r="E3364" t="str">
            <v>ZFGD</v>
          </cell>
          <cell r="F3364" t="str">
            <v>PC</v>
          </cell>
          <cell r="G3364" t="str">
            <v>1</v>
          </cell>
          <cell r="H3364" t="str">
            <v>INDUSTRY</v>
          </cell>
          <cell r="I3364" t="str">
            <v>11</v>
          </cell>
          <cell r="J3364" t="str">
            <v>WOOD COATINGS</v>
          </cell>
          <cell r="K3364" t="str">
            <v>1103</v>
          </cell>
          <cell r="L3364" t="str">
            <v>PU</v>
          </cell>
          <cell r="M3364" t="str">
            <v>110305</v>
          </cell>
          <cell r="N3364" t="str">
            <v>UNION FILLER</v>
          </cell>
        </row>
        <row r="3365">
          <cell r="C3365" t="str">
            <v>100004800</v>
          </cell>
          <cell r="D3365" t="str">
            <v>PCA-31100 01 MK VN-18KJ</v>
          </cell>
          <cell r="E3365" t="str">
            <v>ZFGD</v>
          </cell>
          <cell r="F3365" t="str">
            <v>PC</v>
          </cell>
          <cell r="G3365" t="str">
            <v>1</v>
          </cell>
          <cell r="H3365" t="str">
            <v>INDUSTRY</v>
          </cell>
          <cell r="I3365" t="str">
            <v>11</v>
          </cell>
          <cell r="J3365" t="str">
            <v>WOOD COATINGS</v>
          </cell>
          <cell r="K3365" t="str">
            <v>1118</v>
          </cell>
          <cell r="L3365" t="str">
            <v>COMPLEMENTARY</v>
          </cell>
          <cell r="M3365" t="str">
            <v>111807</v>
          </cell>
          <cell r="N3365" t="str">
            <v>PASTA</v>
          </cell>
        </row>
        <row r="3366">
          <cell r="C3366" t="str">
            <v>100004801</v>
          </cell>
          <cell r="D3366" t="str">
            <v>64-56 MICRO FILLER 02 MK VN-20KP</v>
          </cell>
          <cell r="E3366" t="str">
            <v>ZFGD</v>
          </cell>
          <cell r="F3366" t="str">
            <v>PC</v>
          </cell>
          <cell r="G3366" t="str">
            <v>1</v>
          </cell>
          <cell r="H3366" t="str">
            <v>INDUSTRY</v>
          </cell>
          <cell r="I3366" t="str">
            <v>11</v>
          </cell>
          <cell r="J3366" t="str">
            <v>WOOD COATINGS</v>
          </cell>
          <cell r="K3366" t="str">
            <v>1103</v>
          </cell>
          <cell r="L3366" t="str">
            <v>PU</v>
          </cell>
          <cell r="M3366" t="str">
            <v>110305</v>
          </cell>
          <cell r="N3366" t="str">
            <v>UNION FILLER</v>
          </cell>
        </row>
        <row r="3367">
          <cell r="C3367" t="str">
            <v>100004802</v>
          </cell>
          <cell r="D3367" t="str">
            <v>SST-11100 02 MK VN-18KJ</v>
          </cell>
          <cell r="E3367" t="str">
            <v>ZFGD</v>
          </cell>
          <cell r="F3367" t="str">
            <v>PC</v>
          </cell>
          <cell r="G3367" t="str">
            <v>1</v>
          </cell>
          <cell r="H3367" t="str">
            <v>INDUSTRY</v>
          </cell>
          <cell r="I3367" t="str">
            <v>11</v>
          </cell>
          <cell r="J3367" t="str">
            <v>WOOD COATINGS</v>
          </cell>
          <cell r="K3367" t="str">
            <v>1109</v>
          </cell>
          <cell r="L3367" t="str">
            <v>STAIN &amp; GLAZE INTERIOR</v>
          </cell>
          <cell r="M3367" t="str">
            <v>110903</v>
          </cell>
          <cell r="N3367" t="str">
            <v>STAIN INTERIOR</v>
          </cell>
        </row>
        <row r="3368">
          <cell r="C3368" t="str">
            <v>100004803</v>
          </cell>
          <cell r="D3368" t="str">
            <v>PCA-31100 03 MK VN-18KJ</v>
          </cell>
          <cell r="E3368" t="str">
            <v>ZFGD</v>
          </cell>
          <cell r="F3368" t="str">
            <v>PC</v>
          </cell>
          <cell r="G3368" t="str">
            <v>1</v>
          </cell>
          <cell r="H3368" t="str">
            <v>INDUSTRY</v>
          </cell>
          <cell r="I3368" t="str">
            <v>11</v>
          </cell>
          <cell r="J3368" t="str">
            <v>WOOD COATINGS</v>
          </cell>
          <cell r="K3368" t="str">
            <v>1118</v>
          </cell>
          <cell r="L3368" t="str">
            <v>COMPLEMENTARY</v>
          </cell>
          <cell r="M3368" t="str">
            <v>111807</v>
          </cell>
          <cell r="N3368" t="str">
            <v>PASTA</v>
          </cell>
        </row>
        <row r="3369">
          <cell r="C3369" t="str">
            <v>100004804</v>
          </cell>
          <cell r="D3369" t="str">
            <v>SST-11100 03 MK VN-18KJ</v>
          </cell>
          <cell r="E3369" t="str">
            <v>ZFGD</v>
          </cell>
          <cell r="F3369" t="str">
            <v>PC</v>
          </cell>
          <cell r="G3369" t="str">
            <v>1</v>
          </cell>
          <cell r="H3369" t="str">
            <v>INDUSTRY</v>
          </cell>
          <cell r="I3369" t="str">
            <v>11</v>
          </cell>
          <cell r="J3369" t="str">
            <v>WOOD COATINGS</v>
          </cell>
          <cell r="K3369" t="str">
            <v>1109</v>
          </cell>
          <cell r="L3369" t="str">
            <v>STAIN &amp; GLAZE INTERIOR</v>
          </cell>
          <cell r="M3369" t="str">
            <v>110903</v>
          </cell>
          <cell r="N3369" t="str">
            <v>STAIN INTERIOR</v>
          </cell>
        </row>
        <row r="3370">
          <cell r="C3370" t="str">
            <v>100004805</v>
          </cell>
          <cell r="D3370" t="str">
            <v>PUC-54205 AC WHITE GLASS 10 VN-16KP</v>
          </cell>
          <cell r="E3370" t="str">
            <v>ZFGD</v>
          </cell>
          <cell r="F3370" t="str">
            <v>PC</v>
          </cell>
          <cell r="G3370" t="str">
            <v>1</v>
          </cell>
          <cell r="H3370" t="str">
            <v>INDUSTRY</v>
          </cell>
          <cell r="I3370" t="str">
            <v>11</v>
          </cell>
          <cell r="J3370" t="str">
            <v>WOOD COATINGS</v>
          </cell>
          <cell r="K3370" t="str">
            <v>1103</v>
          </cell>
          <cell r="L3370" t="str">
            <v>PU</v>
          </cell>
          <cell r="M3370" t="str">
            <v>110319</v>
          </cell>
          <cell r="N3370" t="str">
            <v>PU COLOR</v>
          </cell>
        </row>
        <row r="3371">
          <cell r="C3371" t="str">
            <v>100004806</v>
          </cell>
          <cell r="D3371" t="str">
            <v>PUL-53306 AC GLASS CLEAR 10 VN-16KP</v>
          </cell>
          <cell r="E3371" t="str">
            <v>ZFGD</v>
          </cell>
          <cell r="F3371" t="str">
            <v>PC</v>
          </cell>
          <cell r="G3371" t="str">
            <v>1</v>
          </cell>
          <cell r="H3371" t="str">
            <v>INDUSTRY</v>
          </cell>
          <cell r="I3371" t="str">
            <v>11</v>
          </cell>
          <cell r="J3371" t="str">
            <v>WOOD COATINGS</v>
          </cell>
          <cell r="K3371" t="str">
            <v>1103</v>
          </cell>
          <cell r="L3371" t="str">
            <v>PU</v>
          </cell>
          <cell r="M3371" t="str">
            <v>110321</v>
          </cell>
          <cell r="N3371" t="str">
            <v>PU LACQUER</v>
          </cell>
        </row>
        <row r="3372">
          <cell r="C3372" t="str">
            <v>100004807</v>
          </cell>
          <cell r="D3372" t="str">
            <v>PCA-31100 FF01 A TL VN-18KJ</v>
          </cell>
          <cell r="E3372" t="str">
            <v>ZFGD</v>
          </cell>
          <cell r="F3372" t="str">
            <v>PC</v>
          </cell>
          <cell r="G3372" t="str">
            <v>1</v>
          </cell>
          <cell r="H3372" t="str">
            <v>INDUSTRY</v>
          </cell>
          <cell r="I3372" t="str">
            <v>11</v>
          </cell>
          <cell r="J3372" t="str">
            <v>WOOD COATINGS</v>
          </cell>
          <cell r="K3372" t="str">
            <v>1118</v>
          </cell>
          <cell r="L3372" t="str">
            <v>COMPLEMENTARY</v>
          </cell>
          <cell r="M3372" t="str">
            <v>111807</v>
          </cell>
          <cell r="N3372" t="str">
            <v>PASTA</v>
          </cell>
        </row>
        <row r="3373">
          <cell r="C3373" t="str">
            <v>100004808</v>
          </cell>
          <cell r="D3373" t="str">
            <v>SST-11100 FF01 B TL VN-18KJ</v>
          </cell>
          <cell r="E3373" t="str">
            <v>ZFGD</v>
          </cell>
          <cell r="F3373" t="str">
            <v>PC</v>
          </cell>
          <cell r="G3373" t="str">
            <v>1</v>
          </cell>
          <cell r="H3373" t="str">
            <v>INDUSTRY</v>
          </cell>
          <cell r="I3373" t="str">
            <v>11</v>
          </cell>
          <cell r="J3373" t="str">
            <v>WOOD COATINGS</v>
          </cell>
          <cell r="K3373" t="str">
            <v>1109</v>
          </cell>
          <cell r="L3373" t="str">
            <v>STAIN &amp; GLAZE INTERIOR</v>
          </cell>
          <cell r="M3373" t="str">
            <v>110903</v>
          </cell>
          <cell r="N3373" t="str">
            <v>STAIN INTERIOR</v>
          </cell>
        </row>
        <row r="3374">
          <cell r="C3374" t="str">
            <v>100004809</v>
          </cell>
          <cell r="D3374" t="str">
            <v>PUC-52239 FF4 20 TL VN-20KP</v>
          </cell>
          <cell r="E3374" t="str">
            <v>ZFGD</v>
          </cell>
          <cell r="F3374" t="str">
            <v>PC</v>
          </cell>
          <cell r="G3374" t="str">
            <v>1</v>
          </cell>
          <cell r="H3374" t="str">
            <v>INDUSTRY</v>
          </cell>
          <cell r="I3374" t="str">
            <v>11</v>
          </cell>
          <cell r="J3374" t="str">
            <v>WOOD COATINGS</v>
          </cell>
          <cell r="K3374" t="str">
            <v>1103</v>
          </cell>
          <cell r="L3374" t="str">
            <v>PU</v>
          </cell>
          <cell r="M3374" t="str">
            <v>110319</v>
          </cell>
          <cell r="N3374" t="str">
            <v>PU COLOR</v>
          </cell>
        </row>
        <row r="3375">
          <cell r="C3375" t="str">
            <v>100004810</v>
          </cell>
          <cell r="D3375" t="str">
            <v>PUC-52239 FF7 20 TL VN-20KP</v>
          </cell>
          <cell r="E3375" t="str">
            <v>ZFGD</v>
          </cell>
          <cell r="F3375" t="str">
            <v>PC</v>
          </cell>
          <cell r="G3375" t="str">
            <v>1</v>
          </cell>
          <cell r="H3375" t="str">
            <v>INDUSTRY</v>
          </cell>
          <cell r="I3375" t="str">
            <v>11</v>
          </cell>
          <cell r="J3375" t="str">
            <v>WOOD COATINGS</v>
          </cell>
          <cell r="K3375" t="str">
            <v>1103</v>
          </cell>
          <cell r="L3375" t="str">
            <v>PU</v>
          </cell>
          <cell r="M3375" t="str">
            <v>110319</v>
          </cell>
          <cell r="N3375" t="str">
            <v>PU COLOR</v>
          </cell>
        </row>
        <row r="3376">
          <cell r="C3376" t="str">
            <v>100004811</v>
          </cell>
          <cell r="D3376" t="str">
            <v>64-56 MICRO FILLER FF13 TL VN-20KP</v>
          </cell>
          <cell r="E3376" t="str">
            <v>ZFGD</v>
          </cell>
          <cell r="F3376" t="str">
            <v>PC</v>
          </cell>
          <cell r="G3376" t="str">
            <v>1</v>
          </cell>
          <cell r="H3376" t="str">
            <v>INDUSTRY</v>
          </cell>
          <cell r="I3376" t="str">
            <v>11</v>
          </cell>
          <cell r="J3376" t="str">
            <v>WOOD COATINGS</v>
          </cell>
          <cell r="K3376" t="str">
            <v>1103</v>
          </cell>
          <cell r="L3376" t="str">
            <v>PU</v>
          </cell>
          <cell r="M3376" t="str">
            <v>110305</v>
          </cell>
          <cell r="N3376" t="str">
            <v>UNION FILLER</v>
          </cell>
        </row>
        <row r="3377">
          <cell r="C3377" t="str">
            <v>100004812</v>
          </cell>
          <cell r="D3377" t="str">
            <v>SST-11100 FF13 A TL VN-18KJ</v>
          </cell>
          <cell r="E3377" t="str">
            <v>ZFGD</v>
          </cell>
          <cell r="F3377" t="str">
            <v>PC</v>
          </cell>
          <cell r="G3377" t="str">
            <v>1</v>
          </cell>
          <cell r="H3377" t="str">
            <v>INDUSTRY</v>
          </cell>
          <cell r="I3377" t="str">
            <v>11</v>
          </cell>
          <cell r="J3377" t="str">
            <v>WOOD COATINGS</v>
          </cell>
          <cell r="K3377" t="str">
            <v>1109</v>
          </cell>
          <cell r="L3377" t="str">
            <v>STAIN &amp; GLAZE INTERIOR</v>
          </cell>
          <cell r="M3377" t="str">
            <v>110903</v>
          </cell>
          <cell r="N3377" t="str">
            <v>STAIN INTERIOR</v>
          </cell>
        </row>
        <row r="3378">
          <cell r="C3378" t="str">
            <v>100004813</v>
          </cell>
          <cell r="D3378" t="str">
            <v>SST-11100 FF13 B TL VN-18KJ</v>
          </cell>
          <cell r="E3378" t="str">
            <v>ZFGD</v>
          </cell>
          <cell r="F3378" t="str">
            <v>PC</v>
          </cell>
          <cell r="G3378" t="str">
            <v>1</v>
          </cell>
          <cell r="H3378" t="str">
            <v>INDUSTRY</v>
          </cell>
          <cell r="I3378" t="str">
            <v>11</v>
          </cell>
          <cell r="J3378" t="str">
            <v>WOOD COATINGS</v>
          </cell>
          <cell r="K3378" t="str">
            <v>1109</v>
          </cell>
          <cell r="L3378" t="str">
            <v>STAIN &amp; GLAZE INTERIOR</v>
          </cell>
          <cell r="M3378" t="str">
            <v>110903</v>
          </cell>
          <cell r="N3378" t="str">
            <v>STAIN INTERIOR</v>
          </cell>
        </row>
        <row r="3379">
          <cell r="C3379" t="str">
            <v>100004814</v>
          </cell>
          <cell r="D3379" t="str">
            <v>PUC-1522-BL05AK-20KP</v>
          </cell>
          <cell r="E3379" t="str">
            <v>ZFGD</v>
          </cell>
          <cell r="F3379" t="str">
            <v>PC</v>
          </cell>
          <cell r="G3379" t="str">
            <v>1</v>
          </cell>
          <cell r="H3379" t="str">
            <v>INDUSTRY</v>
          </cell>
          <cell r="I3379" t="str">
            <v>11</v>
          </cell>
          <cell r="J3379" t="str">
            <v>WOOD COATINGS</v>
          </cell>
          <cell r="K3379" t="str">
            <v>1103</v>
          </cell>
          <cell r="L3379" t="str">
            <v>PU</v>
          </cell>
          <cell r="M3379" t="str">
            <v>110319</v>
          </cell>
          <cell r="N3379" t="str">
            <v>PU COLOR</v>
          </cell>
        </row>
        <row r="3380">
          <cell r="C3380" t="str">
            <v>100004815</v>
          </cell>
          <cell r="D3380" t="str">
            <v>PUC-1522-WH10AK-20KP</v>
          </cell>
          <cell r="E3380" t="str">
            <v>ZFGD</v>
          </cell>
          <cell r="F3380" t="str">
            <v>PC</v>
          </cell>
          <cell r="G3380" t="str">
            <v>1</v>
          </cell>
          <cell r="H3380" t="str">
            <v>INDUSTRY</v>
          </cell>
          <cell r="I3380" t="str">
            <v>11</v>
          </cell>
          <cell r="J3380" t="str">
            <v>WOOD COATINGS</v>
          </cell>
          <cell r="K3380" t="str">
            <v>1103</v>
          </cell>
          <cell r="L3380" t="str">
            <v>PU</v>
          </cell>
          <cell r="M3380" t="str">
            <v>110319</v>
          </cell>
          <cell r="N3380" t="str">
            <v>PU COLOR</v>
          </cell>
        </row>
        <row r="3381">
          <cell r="C3381" t="str">
            <v>100004816</v>
          </cell>
          <cell r="D3381" t="str">
            <v>64-56 MICRO FILLER 01 IP VN-20KP</v>
          </cell>
          <cell r="E3381" t="str">
            <v>ZFGD</v>
          </cell>
          <cell r="F3381" t="str">
            <v>PC</v>
          </cell>
          <cell r="G3381" t="str">
            <v>1</v>
          </cell>
          <cell r="H3381" t="str">
            <v>INDUSTRY</v>
          </cell>
          <cell r="I3381" t="str">
            <v>11</v>
          </cell>
          <cell r="J3381" t="str">
            <v>WOOD COATINGS</v>
          </cell>
          <cell r="K3381" t="str">
            <v>1103</v>
          </cell>
          <cell r="L3381" t="str">
            <v>PU</v>
          </cell>
          <cell r="M3381" t="str">
            <v>110305</v>
          </cell>
          <cell r="N3381" t="str">
            <v>UNION FILLER</v>
          </cell>
        </row>
        <row r="3382">
          <cell r="C3382" t="str">
            <v>100004817</v>
          </cell>
          <cell r="D3382" t="str">
            <v>SST-11100 01 IP VN-18KJ</v>
          </cell>
          <cell r="E3382" t="str">
            <v>ZFGD</v>
          </cell>
          <cell r="F3382" t="str">
            <v>PC</v>
          </cell>
          <cell r="G3382" t="str">
            <v>1</v>
          </cell>
          <cell r="H3382" t="str">
            <v>INDUSTRY</v>
          </cell>
          <cell r="I3382" t="str">
            <v>11</v>
          </cell>
          <cell r="J3382" t="str">
            <v>WOOD COATINGS</v>
          </cell>
          <cell r="K3382" t="str">
            <v>1109</v>
          </cell>
          <cell r="L3382" t="str">
            <v>STAIN &amp; GLAZE INTERIOR</v>
          </cell>
          <cell r="M3382" t="str">
            <v>110903</v>
          </cell>
          <cell r="N3382" t="str">
            <v>STAIN INTERIOR</v>
          </cell>
        </row>
        <row r="3383">
          <cell r="C3383" t="str">
            <v>100004818</v>
          </cell>
          <cell r="D3383" t="str">
            <v>SST-11100 01 A IP VN-18KJ</v>
          </cell>
          <cell r="E3383" t="str">
            <v>ZFGD</v>
          </cell>
          <cell r="F3383" t="str">
            <v>PC</v>
          </cell>
          <cell r="G3383" t="str">
            <v>1</v>
          </cell>
          <cell r="H3383" t="str">
            <v>INDUSTRY</v>
          </cell>
          <cell r="I3383" t="str">
            <v>11</v>
          </cell>
          <cell r="J3383" t="str">
            <v>WOOD COATINGS</v>
          </cell>
          <cell r="K3383" t="str">
            <v>1109</v>
          </cell>
          <cell r="L3383" t="str">
            <v>STAIN &amp; GLAZE INTERIOR</v>
          </cell>
          <cell r="M3383" t="str">
            <v>110903</v>
          </cell>
          <cell r="N3383" t="str">
            <v>STAIN INTERIOR</v>
          </cell>
        </row>
        <row r="3384">
          <cell r="C3384" t="str">
            <v>100004819</v>
          </cell>
          <cell r="D3384" t="str">
            <v>PUP-52141 02 IP VN-20KP</v>
          </cell>
          <cell r="E3384" t="str">
            <v>ZFGD</v>
          </cell>
          <cell r="F3384" t="str">
            <v>PC</v>
          </cell>
          <cell r="G3384" t="str">
            <v>1</v>
          </cell>
          <cell r="H3384" t="str">
            <v>INDUSTRY</v>
          </cell>
          <cell r="I3384" t="str">
            <v>11</v>
          </cell>
          <cell r="J3384" t="str">
            <v>WOOD COATINGS</v>
          </cell>
          <cell r="K3384" t="str">
            <v>1103</v>
          </cell>
          <cell r="L3384" t="str">
            <v>PU</v>
          </cell>
          <cell r="M3384" t="str">
            <v>110322</v>
          </cell>
          <cell r="N3384" t="str">
            <v>PU PRIMER</v>
          </cell>
        </row>
        <row r="3385">
          <cell r="C3385" t="str">
            <v>100004820</v>
          </cell>
          <cell r="D3385" t="str">
            <v>PG-13900 02 IP VN-20KP</v>
          </cell>
          <cell r="E3385" t="str">
            <v>ZFGD</v>
          </cell>
          <cell r="F3385" t="str">
            <v>PC</v>
          </cell>
          <cell r="G3385" t="str">
            <v>1</v>
          </cell>
          <cell r="H3385" t="str">
            <v>INDUSTRY</v>
          </cell>
          <cell r="I3385" t="str">
            <v>11</v>
          </cell>
          <cell r="J3385" t="str">
            <v>WOOD COATINGS</v>
          </cell>
          <cell r="K3385" t="str">
            <v>1109</v>
          </cell>
          <cell r="L3385" t="str">
            <v>STAIN &amp; GLAZE INTERIOR</v>
          </cell>
          <cell r="M3385" t="str">
            <v>110901</v>
          </cell>
          <cell r="N3385" t="str">
            <v>ASOF : STAIN &amp; GLAZE</v>
          </cell>
        </row>
        <row r="3386">
          <cell r="C3386" t="str">
            <v>100004821</v>
          </cell>
          <cell r="D3386" t="str">
            <v>SST-11100 HUNGTHINH A TL VN-18KJ</v>
          </cell>
          <cell r="E3386" t="str">
            <v>ZFGD</v>
          </cell>
          <cell r="F3386" t="str">
            <v>PC</v>
          </cell>
          <cell r="G3386" t="str">
            <v>1</v>
          </cell>
          <cell r="H3386" t="str">
            <v>INDUSTRY</v>
          </cell>
          <cell r="I3386" t="str">
            <v>11</v>
          </cell>
          <cell r="J3386" t="str">
            <v>WOOD COATINGS</v>
          </cell>
          <cell r="K3386" t="str">
            <v>1109</v>
          </cell>
          <cell r="L3386" t="str">
            <v>STAIN &amp; GLAZE INTERIOR</v>
          </cell>
          <cell r="M3386" t="str">
            <v>110903</v>
          </cell>
          <cell r="N3386" t="str">
            <v>STAIN INTERIOR</v>
          </cell>
        </row>
        <row r="3387">
          <cell r="C3387" t="str">
            <v>100004822</v>
          </cell>
          <cell r="D3387" t="str">
            <v>SST-11100 HUNGTHINH B TL VN-18KJ</v>
          </cell>
          <cell r="E3387" t="str">
            <v>ZFGD</v>
          </cell>
          <cell r="F3387" t="str">
            <v>PC</v>
          </cell>
          <cell r="G3387" t="str">
            <v>1</v>
          </cell>
          <cell r="H3387" t="str">
            <v>INDUSTRY</v>
          </cell>
          <cell r="I3387" t="str">
            <v>11</v>
          </cell>
          <cell r="J3387" t="str">
            <v>WOOD COATINGS</v>
          </cell>
          <cell r="K3387" t="str">
            <v>1109</v>
          </cell>
          <cell r="L3387" t="str">
            <v>STAIN &amp; GLAZE INTERIOR</v>
          </cell>
          <cell r="M3387" t="str">
            <v>110903</v>
          </cell>
          <cell r="N3387" t="str">
            <v>STAIN INTERIOR</v>
          </cell>
        </row>
        <row r="3388">
          <cell r="C3388" t="str">
            <v>100004823</v>
          </cell>
          <cell r="D3388" t="str">
            <v>PUC-52239 HUNGTHINH 10 TL VN-20KP</v>
          </cell>
          <cell r="E3388" t="str">
            <v>ZFGD</v>
          </cell>
          <cell r="F3388" t="str">
            <v>PC</v>
          </cell>
          <cell r="G3388" t="str">
            <v>1</v>
          </cell>
          <cell r="H3388" t="str">
            <v>INDUSTRY</v>
          </cell>
          <cell r="I3388" t="str">
            <v>11</v>
          </cell>
          <cell r="J3388" t="str">
            <v>WOOD COATINGS</v>
          </cell>
          <cell r="K3388" t="str">
            <v>1103</v>
          </cell>
          <cell r="L3388" t="str">
            <v>PU</v>
          </cell>
          <cell r="M3388" t="str">
            <v>110319</v>
          </cell>
          <cell r="N3388" t="str">
            <v>PU COLOR</v>
          </cell>
        </row>
        <row r="3389">
          <cell r="C3389" t="str">
            <v>100004824</v>
          </cell>
          <cell r="D3389" t="str">
            <v>PUC-54206 AC EX VERDE 05 MK VN-20KP</v>
          </cell>
          <cell r="E3389" t="str">
            <v>ZFGD</v>
          </cell>
          <cell r="F3389" t="str">
            <v>PC</v>
          </cell>
          <cell r="G3389" t="str">
            <v>1</v>
          </cell>
          <cell r="H3389" t="str">
            <v>INDUSTRY</v>
          </cell>
          <cell r="I3389" t="str">
            <v>11</v>
          </cell>
          <cell r="J3389" t="str">
            <v>WOOD COATINGS</v>
          </cell>
          <cell r="K3389" t="str">
            <v>1103</v>
          </cell>
          <cell r="L3389" t="str">
            <v>PU</v>
          </cell>
          <cell r="M3389" t="str">
            <v>110319</v>
          </cell>
          <cell r="N3389" t="str">
            <v>PU COLOR</v>
          </cell>
        </row>
        <row r="3390">
          <cell r="C3390" t="str">
            <v>100004825</v>
          </cell>
          <cell r="D3390" t="str">
            <v>PUP-54106 AC EX L72 DB VN-20KP</v>
          </cell>
          <cell r="E3390" t="str">
            <v>ZFGD</v>
          </cell>
          <cell r="F3390" t="str">
            <v>PC</v>
          </cell>
          <cell r="G3390" t="str">
            <v>1</v>
          </cell>
          <cell r="H3390" t="str">
            <v>INDUSTRY</v>
          </cell>
          <cell r="I3390" t="str">
            <v>11</v>
          </cell>
          <cell r="J3390" t="str">
            <v>WOOD COATINGS</v>
          </cell>
          <cell r="K3390" t="str">
            <v>1103</v>
          </cell>
          <cell r="L3390" t="str">
            <v>PU</v>
          </cell>
          <cell r="M3390" t="str">
            <v>110322</v>
          </cell>
          <cell r="N3390" t="str">
            <v>PU PRIMER</v>
          </cell>
        </row>
        <row r="3391">
          <cell r="C3391" t="str">
            <v>100004826</v>
          </cell>
          <cell r="D3391" t="str">
            <v>PUC-54206 AC EX BLUE 90 TADT VN-16KP</v>
          </cell>
          <cell r="E3391" t="str">
            <v>ZFGD</v>
          </cell>
          <cell r="F3391" t="str">
            <v>PC</v>
          </cell>
          <cell r="G3391" t="str">
            <v>1</v>
          </cell>
          <cell r="H3391" t="str">
            <v>INDUSTRY</v>
          </cell>
          <cell r="I3391" t="str">
            <v>11</v>
          </cell>
          <cell r="J3391" t="str">
            <v>WOOD COATINGS</v>
          </cell>
          <cell r="K3391" t="str">
            <v>1103</v>
          </cell>
          <cell r="L3391" t="str">
            <v>PU</v>
          </cell>
          <cell r="M3391" t="str">
            <v>110319</v>
          </cell>
          <cell r="N3391" t="str">
            <v>PU COLOR</v>
          </cell>
        </row>
        <row r="3392">
          <cell r="C3392" t="str">
            <v>100004827</v>
          </cell>
          <cell r="D3392" t="str">
            <v>PUC-54205 AC BEIGE 05 MK VN-20KP</v>
          </cell>
          <cell r="E3392" t="str">
            <v>ZFGD</v>
          </cell>
          <cell r="F3392" t="str">
            <v>PC</v>
          </cell>
          <cell r="G3392" t="str">
            <v>1</v>
          </cell>
          <cell r="H3392" t="str">
            <v>INDUSTRY</v>
          </cell>
          <cell r="I3392" t="str">
            <v>11</v>
          </cell>
          <cell r="J3392" t="str">
            <v>WOOD COATINGS</v>
          </cell>
          <cell r="K3392" t="str">
            <v>1103</v>
          </cell>
          <cell r="L3392" t="str">
            <v>PU</v>
          </cell>
          <cell r="M3392" t="str">
            <v>110319</v>
          </cell>
          <cell r="N3392" t="str">
            <v>PU COLOR</v>
          </cell>
        </row>
        <row r="3393">
          <cell r="C3393" t="str">
            <v>100004833</v>
          </cell>
          <cell r="D3393" t="str">
            <v>THNC-71100 VT VN-180KK</v>
          </cell>
          <cell r="E3393" t="str">
            <v>ZFGD</v>
          </cell>
          <cell r="F3393" t="str">
            <v>PC</v>
          </cell>
          <cell r="G3393" t="str">
            <v>1</v>
          </cell>
          <cell r="H3393" t="str">
            <v>INDUSTRY</v>
          </cell>
          <cell r="I3393" t="str">
            <v>14</v>
          </cell>
          <cell r="J3393" t="str">
            <v>THINNER</v>
          </cell>
          <cell r="K3393" t="str">
            <v>1412</v>
          </cell>
          <cell r="L3393" t="str">
            <v>THINNER NC</v>
          </cell>
          <cell r="M3393" t="str">
            <v>141205</v>
          </cell>
          <cell r="N3393" t="str">
            <v>THINNER NC</v>
          </cell>
        </row>
        <row r="3394">
          <cell r="C3394" t="str">
            <v>100004834</v>
          </cell>
          <cell r="D3394" t="str">
            <v>NCL-11329 CLEAR 10 VT VN-18KP</v>
          </cell>
          <cell r="E3394" t="str">
            <v>ZFGD</v>
          </cell>
          <cell r="F3394" t="str">
            <v>PC</v>
          </cell>
          <cell r="G3394" t="str">
            <v>1</v>
          </cell>
          <cell r="H3394" t="str">
            <v>INDUSTRY</v>
          </cell>
          <cell r="I3394" t="str">
            <v>11</v>
          </cell>
          <cell r="J3394" t="str">
            <v>WOOD COATINGS</v>
          </cell>
          <cell r="K3394" t="str">
            <v>1104</v>
          </cell>
          <cell r="L3394" t="str">
            <v>NC</v>
          </cell>
          <cell r="M3394" t="str">
            <v>110405</v>
          </cell>
          <cell r="N3394" t="str">
            <v>NC SYSTEM</v>
          </cell>
        </row>
        <row r="3395">
          <cell r="C3395" t="str">
            <v>100004835</v>
          </cell>
          <cell r="D3395" t="str">
            <v>NCL-11329 CLEAR 20 VT VN-18KP</v>
          </cell>
          <cell r="E3395" t="str">
            <v>ZFGD</v>
          </cell>
          <cell r="F3395" t="str">
            <v>PC</v>
          </cell>
          <cell r="G3395" t="str">
            <v>1</v>
          </cell>
          <cell r="H3395" t="str">
            <v>INDUSTRY</v>
          </cell>
          <cell r="I3395" t="str">
            <v>11</v>
          </cell>
          <cell r="J3395" t="str">
            <v>WOOD COATINGS</v>
          </cell>
          <cell r="K3395" t="str">
            <v>1104</v>
          </cell>
          <cell r="L3395" t="str">
            <v>NC</v>
          </cell>
          <cell r="M3395" t="str">
            <v>110405</v>
          </cell>
          <cell r="N3395" t="str">
            <v>NC SYSTEM</v>
          </cell>
        </row>
        <row r="3396">
          <cell r="C3396" t="str">
            <v>100004836</v>
          </cell>
          <cell r="D3396" t="str">
            <v>NCL-11329 CLEAR 30 VT VN-18KP</v>
          </cell>
          <cell r="E3396" t="str">
            <v>ZFGD</v>
          </cell>
          <cell r="F3396" t="str">
            <v>PC</v>
          </cell>
          <cell r="G3396" t="str">
            <v>1</v>
          </cell>
          <cell r="H3396" t="str">
            <v>INDUSTRY</v>
          </cell>
          <cell r="I3396" t="str">
            <v>11</v>
          </cell>
          <cell r="J3396" t="str">
            <v>WOOD COATINGS</v>
          </cell>
          <cell r="K3396" t="str">
            <v>1104</v>
          </cell>
          <cell r="L3396" t="str">
            <v>NC</v>
          </cell>
          <cell r="M3396" t="str">
            <v>110405</v>
          </cell>
          <cell r="N3396" t="str">
            <v>NC SYSTEM</v>
          </cell>
        </row>
        <row r="3397">
          <cell r="C3397" t="str">
            <v>100004837</v>
          </cell>
          <cell r="D3397" t="str">
            <v>NCSS-11229 VT VN-18KP</v>
          </cell>
          <cell r="E3397" t="str">
            <v>ZFGD</v>
          </cell>
          <cell r="F3397" t="str">
            <v>PC</v>
          </cell>
          <cell r="G3397" t="str">
            <v>1</v>
          </cell>
          <cell r="H3397" t="str">
            <v>INDUSTRY</v>
          </cell>
          <cell r="I3397" t="str">
            <v>11</v>
          </cell>
          <cell r="J3397" t="str">
            <v>WOOD COATINGS</v>
          </cell>
          <cell r="K3397" t="str">
            <v>1104</v>
          </cell>
          <cell r="L3397" t="str">
            <v>NC</v>
          </cell>
          <cell r="M3397" t="str">
            <v>110405</v>
          </cell>
          <cell r="N3397" t="str">
            <v>NC SYSTEM</v>
          </cell>
        </row>
        <row r="3398">
          <cell r="C3398" t="str">
            <v>100004838</v>
          </cell>
          <cell r="D3398" t="str">
            <v>NCSS-11229 VT VN-180KB</v>
          </cell>
          <cell r="E3398" t="str">
            <v>ZFGD</v>
          </cell>
          <cell r="F3398" t="str">
            <v>PC</v>
          </cell>
          <cell r="G3398" t="str">
            <v>1</v>
          </cell>
          <cell r="H3398" t="str">
            <v>INDUSTRY</v>
          </cell>
          <cell r="I3398" t="str">
            <v>11</v>
          </cell>
          <cell r="J3398" t="str">
            <v>WOOD COATINGS</v>
          </cell>
          <cell r="K3398" t="str">
            <v>1104</v>
          </cell>
          <cell r="L3398" t="str">
            <v>NC</v>
          </cell>
          <cell r="M3398" t="str">
            <v>110405</v>
          </cell>
          <cell r="N3398" t="str">
            <v>NC SYSTEM</v>
          </cell>
        </row>
        <row r="3399">
          <cell r="C3399" t="str">
            <v>100004839</v>
          </cell>
          <cell r="D3399" t="str">
            <v>UVS-20602 BASE CLEAR VN-5K</v>
          </cell>
          <cell r="E3399" t="str">
            <v>ZFGD</v>
          </cell>
          <cell r="F3399" t="str">
            <v>PC</v>
          </cell>
          <cell r="G3399" t="str">
            <v>1</v>
          </cell>
          <cell r="H3399" t="str">
            <v>INDUSTRY</v>
          </cell>
          <cell r="I3399" t="str">
            <v>11</v>
          </cell>
          <cell r="J3399" t="str">
            <v>WOOD COATINGS</v>
          </cell>
          <cell r="K3399" t="str">
            <v>1106</v>
          </cell>
          <cell r="L3399" t="str">
            <v>UV</v>
          </cell>
          <cell r="M3399" t="str">
            <v>110606</v>
          </cell>
          <cell r="N3399" t="str">
            <v>UV STAIN</v>
          </cell>
        </row>
        <row r="3400">
          <cell r="C3400" t="str">
            <v>100004840</v>
          </cell>
          <cell r="D3400" t="str">
            <v>UVS-20602 BASE CLEAR VN-20KP</v>
          </cell>
          <cell r="E3400" t="str">
            <v>ZFGD</v>
          </cell>
          <cell r="F3400" t="str">
            <v>PC</v>
          </cell>
          <cell r="G3400" t="str">
            <v>1</v>
          </cell>
          <cell r="H3400" t="str">
            <v>INDUSTRY</v>
          </cell>
          <cell r="I3400" t="str">
            <v>11</v>
          </cell>
          <cell r="J3400" t="str">
            <v>WOOD COATINGS</v>
          </cell>
          <cell r="K3400" t="str">
            <v>1106</v>
          </cell>
          <cell r="L3400" t="str">
            <v>UV</v>
          </cell>
          <cell r="M3400" t="str">
            <v>110606</v>
          </cell>
          <cell r="N3400" t="str">
            <v>UV STAIN</v>
          </cell>
        </row>
        <row r="3401">
          <cell r="C3401" t="str">
            <v>100004841</v>
          </cell>
          <cell r="D3401" t="str">
            <v>UVS-20602 BASE BLACK VN-5K</v>
          </cell>
          <cell r="E3401" t="str">
            <v>ZFGD</v>
          </cell>
          <cell r="F3401" t="str">
            <v>PC</v>
          </cell>
          <cell r="G3401" t="str">
            <v>1</v>
          </cell>
          <cell r="H3401" t="str">
            <v>INDUSTRY</v>
          </cell>
          <cell r="I3401" t="str">
            <v>11</v>
          </cell>
          <cell r="J3401" t="str">
            <v>WOOD COATINGS</v>
          </cell>
          <cell r="K3401" t="str">
            <v>1106</v>
          </cell>
          <cell r="L3401" t="str">
            <v>UV</v>
          </cell>
          <cell r="M3401" t="str">
            <v>110606</v>
          </cell>
          <cell r="N3401" t="str">
            <v>UV STAIN</v>
          </cell>
        </row>
        <row r="3402">
          <cell r="C3402" t="str">
            <v>100004842</v>
          </cell>
          <cell r="D3402" t="str">
            <v>UVS-20602 BASE YELLOW VN-5K</v>
          </cell>
          <cell r="E3402" t="str">
            <v>ZFGD</v>
          </cell>
          <cell r="F3402" t="str">
            <v>PC</v>
          </cell>
          <cell r="G3402" t="str">
            <v>1</v>
          </cell>
          <cell r="H3402" t="str">
            <v>INDUSTRY</v>
          </cell>
          <cell r="I3402" t="str">
            <v>11</v>
          </cell>
          <cell r="J3402" t="str">
            <v>WOOD COATINGS</v>
          </cell>
          <cell r="K3402" t="str">
            <v>1106</v>
          </cell>
          <cell r="L3402" t="str">
            <v>UV</v>
          </cell>
          <cell r="M3402" t="str">
            <v>110606</v>
          </cell>
          <cell r="N3402" t="str">
            <v>UV STAIN</v>
          </cell>
        </row>
        <row r="3403">
          <cell r="C3403" t="str">
            <v>100004843</v>
          </cell>
          <cell r="D3403" t="str">
            <v>UVS-20602 BASE VIOLET VN-5K</v>
          </cell>
          <cell r="E3403" t="str">
            <v>ZFGD</v>
          </cell>
          <cell r="F3403" t="str">
            <v>PC</v>
          </cell>
          <cell r="G3403" t="str">
            <v>1</v>
          </cell>
          <cell r="H3403" t="str">
            <v>INDUSTRY</v>
          </cell>
          <cell r="I3403" t="str">
            <v>11</v>
          </cell>
          <cell r="J3403" t="str">
            <v>WOOD COATINGS</v>
          </cell>
          <cell r="K3403" t="str">
            <v>1106</v>
          </cell>
          <cell r="L3403" t="str">
            <v>UV</v>
          </cell>
          <cell r="M3403" t="str">
            <v>110606</v>
          </cell>
          <cell r="N3403" t="str">
            <v>UV STAIN</v>
          </cell>
        </row>
        <row r="3404">
          <cell r="C3404" t="str">
            <v>100004844</v>
          </cell>
          <cell r="D3404" t="str">
            <v>UVS-20602 BASE BLUE VN-5K</v>
          </cell>
          <cell r="E3404" t="str">
            <v>ZFGD</v>
          </cell>
          <cell r="F3404" t="str">
            <v>PC</v>
          </cell>
          <cell r="G3404" t="str">
            <v>1</v>
          </cell>
          <cell r="H3404" t="str">
            <v>INDUSTRY</v>
          </cell>
          <cell r="I3404" t="str">
            <v>11</v>
          </cell>
          <cell r="J3404" t="str">
            <v>WOOD COATINGS</v>
          </cell>
          <cell r="K3404" t="str">
            <v>1106</v>
          </cell>
          <cell r="L3404" t="str">
            <v>UV</v>
          </cell>
          <cell r="M3404" t="str">
            <v>110606</v>
          </cell>
          <cell r="N3404" t="str">
            <v>UV STAIN</v>
          </cell>
        </row>
        <row r="3405">
          <cell r="C3405" t="str">
            <v>100004845</v>
          </cell>
          <cell r="D3405" t="str">
            <v>UVS-20602 BASE WHITE VN-5K</v>
          </cell>
          <cell r="E3405" t="str">
            <v>ZFGD</v>
          </cell>
          <cell r="F3405" t="str">
            <v>PC</v>
          </cell>
          <cell r="G3405" t="str">
            <v>1</v>
          </cell>
          <cell r="H3405" t="str">
            <v>INDUSTRY</v>
          </cell>
          <cell r="I3405" t="str">
            <v>11</v>
          </cell>
          <cell r="J3405" t="str">
            <v>WOOD COATINGS</v>
          </cell>
          <cell r="K3405" t="str">
            <v>1106</v>
          </cell>
          <cell r="L3405" t="str">
            <v>UV</v>
          </cell>
          <cell r="M3405" t="str">
            <v>110606</v>
          </cell>
          <cell r="N3405" t="str">
            <v>UV STAIN</v>
          </cell>
        </row>
        <row r="3406">
          <cell r="C3406" t="str">
            <v>100004846</v>
          </cell>
          <cell r="D3406" t="str">
            <v>UVS-20602 BASE RED VN-5K</v>
          </cell>
          <cell r="E3406" t="str">
            <v>ZFGD</v>
          </cell>
          <cell r="F3406" t="str">
            <v>PC</v>
          </cell>
          <cell r="G3406" t="str">
            <v>1</v>
          </cell>
          <cell r="H3406" t="str">
            <v>INDUSTRY</v>
          </cell>
          <cell r="I3406" t="str">
            <v>11</v>
          </cell>
          <cell r="J3406" t="str">
            <v>WOOD COATINGS</v>
          </cell>
          <cell r="K3406" t="str">
            <v>1106</v>
          </cell>
          <cell r="L3406" t="str">
            <v>UV</v>
          </cell>
          <cell r="M3406" t="str">
            <v>110606</v>
          </cell>
          <cell r="N3406" t="str">
            <v>UV STAIN</v>
          </cell>
        </row>
        <row r="3407">
          <cell r="C3407" t="str">
            <v>100004847</v>
          </cell>
          <cell r="D3407" t="str">
            <v>UVS-20602 BASE BLACK VN-20KP</v>
          </cell>
          <cell r="E3407" t="str">
            <v>ZFGD</v>
          </cell>
          <cell r="F3407" t="str">
            <v>PC</v>
          </cell>
          <cell r="G3407" t="str">
            <v>1</v>
          </cell>
          <cell r="H3407" t="str">
            <v>INDUSTRY</v>
          </cell>
          <cell r="I3407" t="str">
            <v>11</v>
          </cell>
          <cell r="J3407" t="str">
            <v>WOOD COATINGS</v>
          </cell>
          <cell r="K3407" t="str">
            <v>1106</v>
          </cell>
          <cell r="L3407" t="str">
            <v>UV</v>
          </cell>
          <cell r="M3407" t="str">
            <v>110606</v>
          </cell>
          <cell r="N3407" t="str">
            <v>UV STAIN</v>
          </cell>
        </row>
        <row r="3408">
          <cell r="C3408" t="str">
            <v>100004848</v>
          </cell>
          <cell r="D3408" t="str">
            <v>UVS-20602 BASE YELLOW VN-20KP</v>
          </cell>
          <cell r="E3408" t="str">
            <v>ZFGD</v>
          </cell>
          <cell r="F3408" t="str">
            <v>PC</v>
          </cell>
          <cell r="G3408" t="str">
            <v>1</v>
          </cell>
          <cell r="H3408" t="str">
            <v>INDUSTRY</v>
          </cell>
          <cell r="I3408" t="str">
            <v>11</v>
          </cell>
          <cell r="J3408" t="str">
            <v>WOOD COATINGS</v>
          </cell>
          <cell r="K3408" t="str">
            <v>1106</v>
          </cell>
          <cell r="L3408" t="str">
            <v>UV</v>
          </cell>
          <cell r="M3408" t="str">
            <v>110606</v>
          </cell>
          <cell r="N3408" t="str">
            <v>UV STAIN</v>
          </cell>
        </row>
        <row r="3409">
          <cell r="C3409" t="str">
            <v>100004849</v>
          </cell>
          <cell r="D3409" t="str">
            <v>UVS-20602 BASE VIOLET VN-20KP</v>
          </cell>
          <cell r="E3409" t="str">
            <v>ZFGD</v>
          </cell>
          <cell r="F3409" t="str">
            <v>PC</v>
          </cell>
          <cell r="G3409" t="str">
            <v>1</v>
          </cell>
          <cell r="H3409" t="str">
            <v>INDUSTRY</v>
          </cell>
          <cell r="I3409" t="str">
            <v>11</v>
          </cell>
          <cell r="J3409" t="str">
            <v>WOOD COATINGS</v>
          </cell>
          <cell r="K3409" t="str">
            <v>1106</v>
          </cell>
          <cell r="L3409" t="str">
            <v>UV</v>
          </cell>
          <cell r="M3409" t="str">
            <v>110606</v>
          </cell>
          <cell r="N3409" t="str">
            <v>UV STAIN</v>
          </cell>
        </row>
        <row r="3410">
          <cell r="C3410" t="str">
            <v>100004850</v>
          </cell>
          <cell r="D3410" t="str">
            <v>UVS-20602 BASE BLUE VN-20KP</v>
          </cell>
          <cell r="E3410" t="str">
            <v>ZFGD</v>
          </cell>
          <cell r="F3410" t="str">
            <v>PC</v>
          </cell>
          <cell r="G3410" t="str">
            <v>1</v>
          </cell>
          <cell r="H3410" t="str">
            <v>INDUSTRY</v>
          </cell>
          <cell r="I3410" t="str">
            <v>11</v>
          </cell>
          <cell r="J3410" t="str">
            <v>WOOD COATINGS</v>
          </cell>
          <cell r="K3410" t="str">
            <v>1106</v>
          </cell>
          <cell r="L3410" t="str">
            <v>UV</v>
          </cell>
          <cell r="M3410" t="str">
            <v>110606</v>
          </cell>
          <cell r="N3410" t="str">
            <v>UV STAIN</v>
          </cell>
        </row>
        <row r="3411">
          <cell r="C3411" t="str">
            <v>100004851</v>
          </cell>
          <cell r="D3411" t="str">
            <v>UVS-20602 BASE WHITE VN-20KP</v>
          </cell>
          <cell r="E3411" t="str">
            <v>ZFGD</v>
          </cell>
          <cell r="F3411" t="str">
            <v>PC</v>
          </cell>
          <cell r="G3411" t="str">
            <v>1</v>
          </cell>
          <cell r="H3411" t="str">
            <v>INDUSTRY</v>
          </cell>
          <cell r="I3411" t="str">
            <v>11</v>
          </cell>
          <cell r="J3411" t="str">
            <v>WOOD COATINGS</v>
          </cell>
          <cell r="K3411" t="str">
            <v>1106</v>
          </cell>
          <cell r="L3411" t="str">
            <v>UV</v>
          </cell>
          <cell r="M3411" t="str">
            <v>110606</v>
          </cell>
          <cell r="N3411" t="str">
            <v>UV STAIN</v>
          </cell>
        </row>
        <row r="3412">
          <cell r="C3412" t="str">
            <v>100004852</v>
          </cell>
          <cell r="D3412" t="str">
            <v>UVS-20602 BASE RED VN-20KP</v>
          </cell>
          <cell r="E3412" t="str">
            <v>ZFGD</v>
          </cell>
          <cell r="F3412" t="str">
            <v>PC</v>
          </cell>
          <cell r="G3412" t="str">
            <v>1</v>
          </cell>
          <cell r="H3412" t="str">
            <v>INDUSTRY</v>
          </cell>
          <cell r="I3412" t="str">
            <v>11</v>
          </cell>
          <cell r="J3412" t="str">
            <v>WOOD COATINGS</v>
          </cell>
          <cell r="K3412" t="str">
            <v>1106</v>
          </cell>
          <cell r="L3412" t="str">
            <v>UV</v>
          </cell>
          <cell r="M3412" t="str">
            <v>110606</v>
          </cell>
          <cell r="N3412" t="str">
            <v>UV STAIN</v>
          </cell>
        </row>
        <row r="3413">
          <cell r="C3413" t="str">
            <v>100004853</v>
          </cell>
          <cell r="D3413" t="str">
            <v>PUC-54206 AC EX BLACK 05 VN-18KP</v>
          </cell>
          <cell r="E3413" t="str">
            <v>ZFGD</v>
          </cell>
          <cell r="F3413" t="str">
            <v>PC</v>
          </cell>
          <cell r="G3413" t="str">
            <v>1</v>
          </cell>
          <cell r="H3413" t="str">
            <v>INDUSTRY</v>
          </cell>
          <cell r="I3413" t="str">
            <v>11</v>
          </cell>
          <cell r="J3413" t="str">
            <v>WOOD COATINGS</v>
          </cell>
          <cell r="K3413" t="str">
            <v>1103</v>
          </cell>
          <cell r="L3413" t="str">
            <v>PU</v>
          </cell>
          <cell r="M3413" t="str">
            <v>110319</v>
          </cell>
          <cell r="N3413" t="str">
            <v>PU COLOR</v>
          </cell>
        </row>
        <row r="3414">
          <cell r="C3414" t="str">
            <v>100004854</v>
          </cell>
          <cell r="D3414" t="str">
            <v>PUP-54111 AC E109-3 LM VN-20KP</v>
          </cell>
          <cell r="E3414" t="str">
            <v>ZFGD</v>
          </cell>
          <cell r="F3414" t="str">
            <v>PC</v>
          </cell>
          <cell r="G3414" t="str">
            <v>1</v>
          </cell>
          <cell r="H3414" t="str">
            <v>INDUSTRY</v>
          </cell>
          <cell r="I3414" t="str">
            <v>11</v>
          </cell>
          <cell r="J3414" t="str">
            <v>WOOD COATINGS</v>
          </cell>
          <cell r="K3414" t="str">
            <v>1103</v>
          </cell>
          <cell r="L3414" t="str">
            <v>PU</v>
          </cell>
          <cell r="M3414" t="str">
            <v>110322</v>
          </cell>
          <cell r="N3414" t="str">
            <v>PU PRIMER</v>
          </cell>
        </row>
        <row r="3415">
          <cell r="C3415" t="str">
            <v>100004855</v>
          </cell>
          <cell r="D3415" t="str">
            <v>TOL-76301 N RUDO I F1 VN-16KP</v>
          </cell>
          <cell r="E3415" t="str">
            <v>ZFGD</v>
          </cell>
          <cell r="F3415" t="str">
            <v>PC</v>
          </cell>
          <cell r="G3415" t="str">
            <v>1</v>
          </cell>
          <cell r="H3415" t="str">
            <v>INDUSTRY</v>
          </cell>
          <cell r="I3415" t="str">
            <v>11</v>
          </cell>
          <cell r="J3415" t="str">
            <v>WOOD COATINGS</v>
          </cell>
          <cell r="K3415" t="str">
            <v>1101</v>
          </cell>
          <cell r="L3415" t="str">
            <v>ALKYD OIL</v>
          </cell>
          <cell r="M3415" t="str">
            <v>110101</v>
          </cell>
          <cell r="N3415" t="str">
            <v>ALKYD &amp; OIL SYSTEM</v>
          </cell>
        </row>
        <row r="3416">
          <cell r="C3416" t="str">
            <v>100004856</v>
          </cell>
          <cell r="D3416" t="str">
            <v>TOL-76301 N ML01  F1 VN-16KP</v>
          </cell>
          <cell r="E3416" t="str">
            <v>ZFGD</v>
          </cell>
          <cell r="F3416" t="str">
            <v>PC</v>
          </cell>
          <cell r="G3416" t="str">
            <v>1</v>
          </cell>
          <cell r="H3416" t="str">
            <v>INDUSTRY</v>
          </cell>
          <cell r="I3416" t="str">
            <v>11</v>
          </cell>
          <cell r="J3416" t="str">
            <v>WOOD COATINGS</v>
          </cell>
          <cell r="K3416" t="str">
            <v>1101</v>
          </cell>
          <cell r="L3416" t="str">
            <v>ALKYD OIL</v>
          </cell>
          <cell r="M3416" t="str">
            <v>110101</v>
          </cell>
          <cell r="N3416" t="str">
            <v>ALKYD &amp; OIL SYSTEM</v>
          </cell>
        </row>
        <row r="3417">
          <cell r="C3417" t="str">
            <v>100004857</v>
          </cell>
          <cell r="D3417" t="str">
            <v>TOL-76301 N ML12  F1 VN-16KP</v>
          </cell>
          <cell r="E3417" t="str">
            <v>ZFGD</v>
          </cell>
          <cell r="F3417" t="str">
            <v>PC</v>
          </cell>
          <cell r="G3417" t="str">
            <v>1</v>
          </cell>
          <cell r="H3417" t="str">
            <v>INDUSTRY</v>
          </cell>
          <cell r="I3417" t="str">
            <v>11</v>
          </cell>
          <cell r="J3417" t="str">
            <v>WOOD COATINGS</v>
          </cell>
          <cell r="K3417" t="str">
            <v>1101</v>
          </cell>
          <cell r="L3417" t="str">
            <v>ALKYD OIL</v>
          </cell>
          <cell r="M3417" t="str">
            <v>110101</v>
          </cell>
          <cell r="N3417" t="str">
            <v>ALKYD &amp; OIL SYSTEM</v>
          </cell>
        </row>
        <row r="3418">
          <cell r="C3418" t="str">
            <v>100004858</v>
          </cell>
          <cell r="D3418" t="str">
            <v>SST-11100 09 VC VN-180KK</v>
          </cell>
          <cell r="E3418" t="str">
            <v>ZFGD</v>
          </cell>
          <cell r="F3418" t="str">
            <v>PC</v>
          </cell>
          <cell r="G3418" t="str">
            <v>1</v>
          </cell>
          <cell r="H3418" t="str">
            <v>INDUSTRY</v>
          </cell>
          <cell r="I3418" t="str">
            <v>11</v>
          </cell>
          <cell r="J3418" t="str">
            <v>WOOD COATINGS</v>
          </cell>
          <cell r="K3418" t="str">
            <v>1109</v>
          </cell>
          <cell r="L3418" t="str">
            <v>STAIN &amp; GLAZE INTERIOR</v>
          </cell>
          <cell r="M3418" t="str">
            <v>110903</v>
          </cell>
          <cell r="N3418" t="str">
            <v>STAIN INTERIOR</v>
          </cell>
        </row>
        <row r="3419">
          <cell r="C3419" t="str">
            <v>100004859</v>
          </cell>
          <cell r="D3419" t="str">
            <v>TOL-76301 N 2C01 F1 VN-16KP</v>
          </cell>
          <cell r="E3419" t="str">
            <v>ZFGD</v>
          </cell>
          <cell r="F3419" t="str">
            <v>PC</v>
          </cell>
          <cell r="G3419" t="str">
            <v>1</v>
          </cell>
          <cell r="H3419" t="str">
            <v>INDUSTRY</v>
          </cell>
          <cell r="I3419" t="str">
            <v>11</v>
          </cell>
          <cell r="J3419" t="str">
            <v>WOOD COATINGS</v>
          </cell>
          <cell r="K3419" t="str">
            <v>1101</v>
          </cell>
          <cell r="L3419" t="str">
            <v>ALKYD OIL</v>
          </cell>
          <cell r="M3419" t="str">
            <v>110101</v>
          </cell>
          <cell r="N3419" t="str">
            <v>ALKYD &amp; OIL SYSTEM</v>
          </cell>
        </row>
        <row r="3420">
          <cell r="C3420" t="str">
            <v>100004860</v>
          </cell>
          <cell r="D3420" t="str">
            <v>SST-11100 NATURAL IP VN-180KK</v>
          </cell>
          <cell r="E3420" t="str">
            <v>ZFGD</v>
          </cell>
          <cell r="F3420" t="str">
            <v>PC</v>
          </cell>
          <cell r="G3420" t="str">
            <v>1</v>
          </cell>
          <cell r="H3420" t="str">
            <v>INDUSTRY</v>
          </cell>
          <cell r="I3420" t="str">
            <v>11</v>
          </cell>
          <cell r="J3420" t="str">
            <v>WOOD COATINGS</v>
          </cell>
          <cell r="K3420" t="str">
            <v>1109</v>
          </cell>
          <cell r="L3420" t="str">
            <v>STAIN &amp; GLAZE INTERIOR</v>
          </cell>
          <cell r="M3420" t="str">
            <v>110903</v>
          </cell>
          <cell r="N3420" t="str">
            <v>STAIN INTERIOR</v>
          </cell>
        </row>
        <row r="3421">
          <cell r="C3421" t="str">
            <v>100004861</v>
          </cell>
          <cell r="D3421" t="str">
            <v>PCL-31300 SI EW VN-18KJ</v>
          </cell>
          <cell r="E3421" t="str">
            <v>ZFGD</v>
          </cell>
          <cell r="F3421" t="str">
            <v>PC</v>
          </cell>
          <cell r="G3421" t="str">
            <v>1</v>
          </cell>
          <cell r="H3421" t="str">
            <v>INDUSTRY</v>
          </cell>
          <cell r="I3421" t="str">
            <v>11</v>
          </cell>
          <cell r="J3421" t="str">
            <v>WOOD COATINGS</v>
          </cell>
          <cell r="K3421" t="str">
            <v>1118</v>
          </cell>
          <cell r="L3421" t="str">
            <v>COMPLEMENTARY</v>
          </cell>
          <cell r="M3421" t="str">
            <v>111807</v>
          </cell>
          <cell r="N3421" t="str">
            <v>PASTA</v>
          </cell>
        </row>
        <row r="3422">
          <cell r="C3422" t="str">
            <v>100004862</v>
          </cell>
          <cell r="D3422" t="str">
            <v>DC-12229 LC BLACK 09 20 IP VN-20KP</v>
          </cell>
          <cell r="E3422" t="str">
            <v>ZFGD</v>
          </cell>
          <cell r="F3422" t="str">
            <v>PC</v>
          </cell>
          <cell r="G3422" t="str">
            <v>1</v>
          </cell>
          <cell r="H3422" t="str">
            <v>INDUSTRY</v>
          </cell>
          <cell r="I3422" t="str">
            <v>11</v>
          </cell>
          <cell r="J3422" t="str">
            <v>WOOD COATINGS</v>
          </cell>
          <cell r="K3422" t="str">
            <v>1104</v>
          </cell>
          <cell r="L3422" t="str">
            <v>NC</v>
          </cell>
          <cell r="M3422" t="str">
            <v>110405</v>
          </cell>
          <cell r="N3422" t="str">
            <v>NC SYSTEM</v>
          </cell>
        </row>
        <row r="3423">
          <cell r="C3423" t="str">
            <v>100004863</v>
          </cell>
          <cell r="D3423" t="str">
            <v>DC-12229 LC BLACK 15 BM VN-20KP</v>
          </cell>
          <cell r="E3423" t="str">
            <v>ZFGD</v>
          </cell>
          <cell r="F3423" t="str">
            <v>PC</v>
          </cell>
          <cell r="G3423" t="str">
            <v>1</v>
          </cell>
          <cell r="H3423" t="str">
            <v>INDUSTRY</v>
          </cell>
          <cell r="I3423" t="str">
            <v>11</v>
          </cell>
          <cell r="J3423" t="str">
            <v>WOOD COATINGS</v>
          </cell>
          <cell r="K3423" t="str">
            <v>1104</v>
          </cell>
          <cell r="L3423" t="str">
            <v>NC</v>
          </cell>
          <cell r="M3423" t="str">
            <v>110405</v>
          </cell>
          <cell r="N3423" t="str">
            <v>NC SYSTEM</v>
          </cell>
        </row>
        <row r="3424">
          <cell r="C3424" t="str">
            <v>100004864</v>
          </cell>
          <cell r="D3424" t="str">
            <v>PCA-31102 YELLOW TXY PASTE-4K</v>
          </cell>
          <cell r="E3424" t="str">
            <v>ZFGD</v>
          </cell>
          <cell r="F3424" t="str">
            <v>PC</v>
          </cell>
          <cell r="G3424" t="str">
            <v>1</v>
          </cell>
          <cell r="H3424" t="str">
            <v>INDUSTRY</v>
          </cell>
          <cell r="I3424" t="str">
            <v>11</v>
          </cell>
          <cell r="J3424" t="str">
            <v>WOOD COATINGS</v>
          </cell>
          <cell r="K3424" t="str">
            <v>1118</v>
          </cell>
          <cell r="L3424" t="str">
            <v>COMPLEMENTARY</v>
          </cell>
          <cell r="M3424" t="str">
            <v>111807</v>
          </cell>
          <cell r="N3424" t="str">
            <v>PASTA</v>
          </cell>
        </row>
        <row r="3425">
          <cell r="C3425" t="str">
            <v>100004865</v>
          </cell>
          <cell r="D3425" t="str">
            <v>THC-73100 1203 VN-160KK</v>
          </cell>
          <cell r="E3425" t="str">
            <v>ZFGD</v>
          </cell>
          <cell r="F3425" t="str">
            <v>PC</v>
          </cell>
          <cell r="G3425" t="str">
            <v>1</v>
          </cell>
          <cell r="H3425" t="str">
            <v>INDUSTRY</v>
          </cell>
          <cell r="I3425" t="str">
            <v>14</v>
          </cell>
          <cell r="J3425" t="str">
            <v>THINNER</v>
          </cell>
          <cell r="K3425" t="str">
            <v>1412</v>
          </cell>
          <cell r="L3425" t="str">
            <v>THINNER NC</v>
          </cell>
          <cell r="M3425" t="str">
            <v>141203</v>
          </cell>
          <cell r="N3425" t="str">
            <v>THINNER COMPLEMENTARY</v>
          </cell>
        </row>
        <row r="3426">
          <cell r="C3426" t="str">
            <v>100004866</v>
          </cell>
          <cell r="D3426" t="str">
            <v>WBSS-61103 RC VN-20KP</v>
          </cell>
          <cell r="E3426" t="str">
            <v>ZFGD</v>
          </cell>
          <cell r="F3426" t="str">
            <v>PC</v>
          </cell>
          <cell r="G3426" t="str">
            <v>1</v>
          </cell>
          <cell r="H3426" t="str">
            <v>INDUSTRY</v>
          </cell>
          <cell r="I3426" t="str">
            <v>11</v>
          </cell>
          <cell r="J3426" t="str">
            <v>WOOD COATINGS</v>
          </cell>
          <cell r="K3426" t="str">
            <v>1119</v>
          </cell>
          <cell r="L3426" t="str">
            <v>WATERBASED</v>
          </cell>
          <cell r="M3426" t="str">
            <v>111902</v>
          </cell>
          <cell r="N3426" t="str">
            <v>WATERBASED SYSTEM INTERIOR</v>
          </cell>
        </row>
        <row r="3427">
          <cell r="C3427" t="str">
            <v>100004867</v>
          </cell>
          <cell r="D3427" t="str">
            <v>WBL-61203 RC CLEAR 10 VN-20KP</v>
          </cell>
          <cell r="E3427" t="str">
            <v>ZFGD</v>
          </cell>
          <cell r="F3427" t="str">
            <v>PC</v>
          </cell>
          <cell r="G3427" t="str">
            <v>1</v>
          </cell>
          <cell r="H3427" t="str">
            <v>INDUSTRY</v>
          </cell>
          <cell r="I3427" t="str">
            <v>11</v>
          </cell>
          <cell r="J3427" t="str">
            <v>WOOD COATINGS</v>
          </cell>
          <cell r="K3427" t="str">
            <v>1119</v>
          </cell>
          <cell r="L3427" t="str">
            <v>WATERBASED</v>
          </cell>
          <cell r="M3427" t="str">
            <v>111902</v>
          </cell>
          <cell r="N3427" t="str">
            <v>WATERBASED SYSTEM INTERIOR</v>
          </cell>
        </row>
        <row r="3428">
          <cell r="C3428" t="str">
            <v>100004870</v>
          </cell>
          <cell r="D3428" t="str">
            <v>DC-12229 LC BLACK 10 AK VN-18KP</v>
          </cell>
          <cell r="E3428" t="str">
            <v>ZFGD</v>
          </cell>
          <cell r="F3428" t="str">
            <v>PC</v>
          </cell>
          <cell r="G3428" t="str">
            <v>1</v>
          </cell>
          <cell r="H3428" t="str">
            <v>INDUSTRY</v>
          </cell>
          <cell r="I3428" t="str">
            <v>11</v>
          </cell>
          <cell r="J3428" t="str">
            <v>WOOD COATINGS</v>
          </cell>
          <cell r="K3428" t="str">
            <v>1104</v>
          </cell>
          <cell r="L3428" t="str">
            <v>NC</v>
          </cell>
          <cell r="M3428" t="str">
            <v>110405</v>
          </cell>
          <cell r="N3428" t="str">
            <v>NC SYSTEM</v>
          </cell>
        </row>
        <row r="3429">
          <cell r="C3429" t="str">
            <v>100004871</v>
          </cell>
          <cell r="D3429" t="str">
            <v>TOL-76301 N 2C02 F1 VN-16KP</v>
          </cell>
          <cell r="E3429" t="str">
            <v>ZFGD</v>
          </cell>
          <cell r="F3429" t="str">
            <v>PC</v>
          </cell>
          <cell r="G3429" t="str">
            <v>1</v>
          </cell>
          <cell r="H3429" t="str">
            <v>INDUSTRY</v>
          </cell>
          <cell r="I3429" t="str">
            <v>11</v>
          </cell>
          <cell r="J3429" t="str">
            <v>WOOD COATINGS</v>
          </cell>
          <cell r="K3429" t="str">
            <v>1101</v>
          </cell>
          <cell r="L3429" t="str">
            <v>ALKYD OIL</v>
          </cell>
          <cell r="M3429" t="str">
            <v>110101</v>
          </cell>
          <cell r="N3429" t="str">
            <v>ALKYD &amp; OIL SYSTEM</v>
          </cell>
        </row>
        <row r="3430">
          <cell r="C3430" t="str">
            <v>100004872</v>
          </cell>
          <cell r="D3430" t="str">
            <v>PCA-31100 WHITEWASH IP VN-18KJ</v>
          </cell>
          <cell r="E3430" t="str">
            <v>ZFGD</v>
          </cell>
          <cell r="F3430" t="str">
            <v>PC</v>
          </cell>
          <cell r="G3430" t="str">
            <v>1</v>
          </cell>
          <cell r="H3430" t="str">
            <v>INDUSTRY</v>
          </cell>
          <cell r="I3430" t="str">
            <v>11</v>
          </cell>
          <cell r="J3430" t="str">
            <v>WOOD COATINGS</v>
          </cell>
          <cell r="K3430" t="str">
            <v>1118</v>
          </cell>
          <cell r="L3430" t="str">
            <v>COMPLEMENTARY</v>
          </cell>
          <cell r="M3430" t="str">
            <v>111807</v>
          </cell>
          <cell r="N3430" t="str">
            <v>PASTA</v>
          </cell>
        </row>
        <row r="3431">
          <cell r="C3431" t="str">
            <v>100004873</v>
          </cell>
          <cell r="D3431" t="str">
            <v>PG-13900 WHITEWASH IP VN-20KP</v>
          </cell>
          <cell r="E3431" t="str">
            <v>ZFGD</v>
          </cell>
          <cell r="F3431" t="str">
            <v>PC</v>
          </cell>
          <cell r="G3431" t="str">
            <v>1</v>
          </cell>
          <cell r="H3431" t="str">
            <v>INDUSTRY</v>
          </cell>
          <cell r="I3431" t="str">
            <v>11</v>
          </cell>
          <cell r="J3431" t="str">
            <v>WOOD COATINGS</v>
          </cell>
          <cell r="K3431" t="str">
            <v>1109</v>
          </cell>
          <cell r="L3431" t="str">
            <v>STAIN &amp; GLAZE INTERIOR</v>
          </cell>
          <cell r="M3431" t="str">
            <v>110901</v>
          </cell>
          <cell r="N3431" t="str">
            <v>ASOF : STAIN &amp; GLAZE</v>
          </cell>
        </row>
        <row r="3432">
          <cell r="C3432" t="str">
            <v>100004874</v>
          </cell>
          <cell r="D3432" t="str">
            <v>SST-11100 WHITEWASH IP VN-18KJ</v>
          </cell>
          <cell r="E3432" t="str">
            <v>ZFGD</v>
          </cell>
          <cell r="F3432" t="str">
            <v>PC</v>
          </cell>
          <cell r="G3432" t="str">
            <v>1</v>
          </cell>
          <cell r="H3432" t="str">
            <v>INDUSTRY</v>
          </cell>
          <cell r="I3432" t="str">
            <v>11</v>
          </cell>
          <cell r="J3432" t="str">
            <v>WOOD COATINGS</v>
          </cell>
          <cell r="K3432" t="str">
            <v>1109</v>
          </cell>
          <cell r="L3432" t="str">
            <v>STAIN &amp; GLAZE INTERIOR</v>
          </cell>
          <cell r="M3432" t="str">
            <v>110903</v>
          </cell>
          <cell r="N3432" t="str">
            <v>STAIN INTERIOR</v>
          </cell>
        </row>
        <row r="3433">
          <cell r="C3433" t="str">
            <v>100004875</v>
          </cell>
          <cell r="D3433" t="str">
            <v>DP-12123 LC WHITEWASH 01 IP VN-20KP</v>
          </cell>
          <cell r="E3433" t="str">
            <v>ZFGD</v>
          </cell>
          <cell r="F3433" t="str">
            <v>PC</v>
          </cell>
          <cell r="G3433" t="str">
            <v>1</v>
          </cell>
          <cell r="H3433" t="str">
            <v>INDUSTRY</v>
          </cell>
          <cell r="I3433" t="str">
            <v>11</v>
          </cell>
          <cell r="J3433" t="str">
            <v>WOOD COATINGS</v>
          </cell>
          <cell r="K3433" t="str">
            <v>1104</v>
          </cell>
          <cell r="L3433" t="str">
            <v>NC</v>
          </cell>
          <cell r="M3433" t="str">
            <v>110405</v>
          </cell>
          <cell r="N3433" t="str">
            <v>NC SYSTEM</v>
          </cell>
        </row>
        <row r="3434">
          <cell r="C3434" t="str">
            <v>100004876</v>
          </cell>
          <cell r="D3434" t="str">
            <v>SST-11100 WHITEWASH 01 IP VN-18KJ</v>
          </cell>
          <cell r="E3434" t="str">
            <v>ZFGD</v>
          </cell>
          <cell r="F3434" t="str">
            <v>PC</v>
          </cell>
          <cell r="G3434" t="str">
            <v>1</v>
          </cell>
          <cell r="H3434" t="str">
            <v>INDUSTRY</v>
          </cell>
          <cell r="I3434" t="str">
            <v>11</v>
          </cell>
          <cell r="J3434" t="str">
            <v>WOOD COATINGS</v>
          </cell>
          <cell r="K3434" t="str">
            <v>1109</v>
          </cell>
          <cell r="L3434" t="str">
            <v>STAIN &amp; GLAZE INTERIOR</v>
          </cell>
          <cell r="M3434" t="str">
            <v>110903</v>
          </cell>
          <cell r="N3434" t="str">
            <v>STAIN INTERIOR</v>
          </cell>
        </row>
        <row r="3435">
          <cell r="C3435" t="str">
            <v>100004877</v>
          </cell>
          <cell r="D3435" t="str">
            <v>DP-12123 BLACK YJ VN-20KP</v>
          </cell>
          <cell r="E3435" t="str">
            <v>ZFGD</v>
          </cell>
          <cell r="F3435" t="str">
            <v>PC</v>
          </cell>
          <cell r="G3435" t="str">
            <v>1</v>
          </cell>
          <cell r="H3435" t="str">
            <v>INDUSTRY</v>
          </cell>
          <cell r="I3435" t="str">
            <v>11</v>
          </cell>
          <cell r="J3435" t="str">
            <v>WOOD COATINGS</v>
          </cell>
          <cell r="K3435" t="str">
            <v>1104</v>
          </cell>
          <cell r="L3435" t="str">
            <v>NC</v>
          </cell>
          <cell r="M3435" t="str">
            <v>110405</v>
          </cell>
          <cell r="N3435" t="str">
            <v>NC SYSTEM</v>
          </cell>
        </row>
        <row r="3436">
          <cell r="C3436" t="str">
            <v>100004878</v>
          </cell>
          <cell r="D3436" t="str">
            <v>PCA-31100 WD103 A IP VN-18KJ</v>
          </cell>
          <cell r="E3436" t="str">
            <v>ZFGD</v>
          </cell>
          <cell r="F3436" t="str">
            <v>PC</v>
          </cell>
          <cell r="G3436" t="str">
            <v>1</v>
          </cell>
          <cell r="H3436" t="str">
            <v>INDUSTRY</v>
          </cell>
          <cell r="I3436" t="str">
            <v>11</v>
          </cell>
          <cell r="J3436" t="str">
            <v>WOOD COATINGS</v>
          </cell>
          <cell r="K3436" t="str">
            <v>1118</v>
          </cell>
          <cell r="L3436" t="str">
            <v>COMPLEMENTARY</v>
          </cell>
          <cell r="M3436" t="str">
            <v>111807</v>
          </cell>
          <cell r="N3436" t="str">
            <v>PASTA</v>
          </cell>
        </row>
        <row r="3437">
          <cell r="C3437" t="str">
            <v>100004879</v>
          </cell>
          <cell r="D3437" t="str">
            <v>PCA-31100 WD103 B IP VN-18KJ</v>
          </cell>
          <cell r="E3437" t="str">
            <v>ZFGD</v>
          </cell>
          <cell r="F3437" t="str">
            <v>PC</v>
          </cell>
          <cell r="G3437" t="str">
            <v>1</v>
          </cell>
          <cell r="H3437" t="str">
            <v>INDUSTRY</v>
          </cell>
          <cell r="I3437" t="str">
            <v>11</v>
          </cell>
          <cell r="J3437" t="str">
            <v>WOOD COATINGS</v>
          </cell>
          <cell r="K3437" t="str">
            <v>1118</v>
          </cell>
          <cell r="L3437" t="str">
            <v>COMPLEMENTARY</v>
          </cell>
          <cell r="M3437" t="str">
            <v>111807</v>
          </cell>
          <cell r="N3437" t="str">
            <v>PASTA</v>
          </cell>
        </row>
        <row r="3438">
          <cell r="C3438" t="str">
            <v>100004880</v>
          </cell>
          <cell r="D3438" t="str">
            <v>PCA-31100 BLACK MLY PASTE VN-4K</v>
          </cell>
          <cell r="E3438" t="str">
            <v>ZFGD</v>
          </cell>
          <cell r="F3438" t="str">
            <v>PC</v>
          </cell>
          <cell r="G3438" t="str">
            <v>1</v>
          </cell>
          <cell r="H3438" t="str">
            <v>INDUSTRY</v>
          </cell>
          <cell r="I3438" t="str">
            <v>11</v>
          </cell>
          <cell r="J3438" t="str">
            <v>WOOD COATINGS</v>
          </cell>
          <cell r="K3438" t="str">
            <v>1118</v>
          </cell>
          <cell r="L3438" t="str">
            <v>COMPLEMENTARY</v>
          </cell>
          <cell r="M3438" t="str">
            <v>111807</v>
          </cell>
          <cell r="N3438" t="str">
            <v>PASTA</v>
          </cell>
        </row>
        <row r="3439">
          <cell r="C3439" t="str">
            <v>100004881</v>
          </cell>
          <cell r="D3439" t="str">
            <v>WBC-62202 WHITE 20 VN-20KP</v>
          </cell>
          <cell r="E3439" t="str">
            <v>ZFGD</v>
          </cell>
          <cell r="F3439" t="str">
            <v>PC</v>
          </cell>
          <cell r="G3439" t="str">
            <v>1</v>
          </cell>
          <cell r="H3439" t="str">
            <v>INDUSTRY</v>
          </cell>
          <cell r="I3439" t="str">
            <v>11</v>
          </cell>
          <cell r="J3439" t="str">
            <v>WOOD COATINGS</v>
          </cell>
          <cell r="K3439" t="str">
            <v>1119</v>
          </cell>
          <cell r="L3439" t="str">
            <v>WATERBASED</v>
          </cell>
          <cell r="M3439" t="str">
            <v>111902</v>
          </cell>
          <cell r="N3439" t="str">
            <v>WATERBASED SYSTEM INTERIOR</v>
          </cell>
        </row>
        <row r="3440">
          <cell r="C3440" t="str">
            <v>100004882</v>
          </cell>
          <cell r="D3440" t="str">
            <v>PCL-31300 BROWN 645 PASTE AF VN-4K</v>
          </cell>
          <cell r="E3440" t="str">
            <v>ZFGD</v>
          </cell>
          <cell r="F3440" t="str">
            <v>PC</v>
          </cell>
          <cell r="G3440" t="str">
            <v>1</v>
          </cell>
          <cell r="H3440" t="str">
            <v>INDUSTRY</v>
          </cell>
          <cell r="I3440" t="str">
            <v>11</v>
          </cell>
          <cell r="J3440" t="str">
            <v>WOOD COATINGS</v>
          </cell>
          <cell r="K3440" t="str">
            <v>1118</v>
          </cell>
          <cell r="L3440" t="str">
            <v>COMPLEMENTARY</v>
          </cell>
          <cell r="M3440" t="str">
            <v>111807</v>
          </cell>
          <cell r="N3440" t="str">
            <v>PASTA</v>
          </cell>
        </row>
        <row r="3441">
          <cell r="C3441" t="str">
            <v>100004883</v>
          </cell>
          <cell r="D3441" t="str">
            <v>THC-2731-402-AK-16KJ</v>
          </cell>
          <cell r="E3441" t="str">
            <v>ZFGD</v>
          </cell>
          <cell r="F3441" t="str">
            <v>PC</v>
          </cell>
          <cell r="G3441" t="str">
            <v>1</v>
          </cell>
          <cell r="H3441" t="str">
            <v>INDUSTRY</v>
          </cell>
          <cell r="I3441" t="str">
            <v>14</v>
          </cell>
          <cell r="J3441" t="str">
            <v>THINNER</v>
          </cell>
          <cell r="K3441" t="str">
            <v>1412</v>
          </cell>
          <cell r="L3441" t="str">
            <v>THINNER NC</v>
          </cell>
          <cell r="M3441" t="str">
            <v>141203</v>
          </cell>
          <cell r="N3441" t="str">
            <v>THINNER COMPLEMENTARY</v>
          </cell>
        </row>
        <row r="3442">
          <cell r="C3442" t="str">
            <v>100004884</v>
          </cell>
          <cell r="D3442" t="str">
            <v>DC-12229 LC PINK 30 QI VN-20KP</v>
          </cell>
          <cell r="E3442" t="str">
            <v>ZFGD</v>
          </cell>
          <cell r="F3442" t="str">
            <v>PC</v>
          </cell>
          <cell r="G3442" t="str">
            <v>1</v>
          </cell>
          <cell r="H3442" t="str">
            <v>INDUSTRY</v>
          </cell>
          <cell r="I3442" t="str">
            <v>11</v>
          </cell>
          <cell r="J3442" t="str">
            <v>WOOD COATINGS</v>
          </cell>
          <cell r="K3442" t="str">
            <v>1104</v>
          </cell>
          <cell r="L3442" t="str">
            <v>NC</v>
          </cell>
          <cell r="M3442" t="str">
            <v>110405</v>
          </cell>
          <cell r="N3442" t="str">
            <v>NC SYSTEM</v>
          </cell>
        </row>
        <row r="3443">
          <cell r="C3443" t="str">
            <v>100004885</v>
          </cell>
          <cell r="D3443" t="str">
            <v>TOL-76301 N NH02 HU VN-16KP</v>
          </cell>
          <cell r="E3443" t="str">
            <v>ZFGD</v>
          </cell>
          <cell r="F3443" t="str">
            <v>PC</v>
          </cell>
          <cell r="G3443" t="str">
            <v>1</v>
          </cell>
          <cell r="H3443" t="str">
            <v>INDUSTRY</v>
          </cell>
          <cell r="I3443" t="str">
            <v>11</v>
          </cell>
          <cell r="J3443" t="str">
            <v>WOOD COATINGS</v>
          </cell>
          <cell r="K3443" t="str">
            <v>1101</v>
          </cell>
          <cell r="L3443" t="str">
            <v>ALKYD OIL</v>
          </cell>
          <cell r="M3443" t="str">
            <v>110101</v>
          </cell>
          <cell r="N3443" t="str">
            <v>ALKYD &amp; OIL SYSTEM</v>
          </cell>
        </row>
        <row r="3444">
          <cell r="C3444" t="str">
            <v>100004886</v>
          </cell>
          <cell r="D3444" t="str">
            <v>DC-12229 LC GREY 30 QI VN-20KP</v>
          </cell>
          <cell r="E3444" t="str">
            <v>ZFGD</v>
          </cell>
          <cell r="F3444" t="str">
            <v>PC</v>
          </cell>
          <cell r="G3444" t="str">
            <v>1</v>
          </cell>
          <cell r="H3444" t="str">
            <v>INDUSTRY</v>
          </cell>
          <cell r="I3444" t="str">
            <v>11</v>
          </cell>
          <cell r="J3444" t="str">
            <v>WOOD COATINGS</v>
          </cell>
          <cell r="K3444" t="str">
            <v>1104</v>
          </cell>
          <cell r="L3444" t="str">
            <v>NC</v>
          </cell>
          <cell r="M3444" t="str">
            <v>110405</v>
          </cell>
          <cell r="N3444" t="str">
            <v>NC SYSTEM</v>
          </cell>
        </row>
        <row r="3445">
          <cell r="C3445" t="str">
            <v>100004887</v>
          </cell>
          <cell r="D3445" t="str">
            <v>SST-11100 01 A N4 VN-18KJ</v>
          </cell>
          <cell r="E3445" t="str">
            <v>ZFGD</v>
          </cell>
          <cell r="F3445" t="str">
            <v>PC</v>
          </cell>
          <cell r="G3445" t="str">
            <v>1</v>
          </cell>
          <cell r="H3445" t="str">
            <v>INDUSTRY</v>
          </cell>
          <cell r="I3445" t="str">
            <v>11</v>
          </cell>
          <cell r="J3445" t="str">
            <v>WOOD COATINGS</v>
          </cell>
          <cell r="K3445" t="str">
            <v>1109</v>
          </cell>
          <cell r="L3445" t="str">
            <v>STAIN &amp; GLAZE INTERIOR</v>
          </cell>
          <cell r="M3445" t="str">
            <v>110903</v>
          </cell>
          <cell r="N3445" t="str">
            <v>STAIN INTERIOR</v>
          </cell>
        </row>
        <row r="3446">
          <cell r="C3446" t="str">
            <v>100004888</v>
          </cell>
          <cell r="D3446" t="str">
            <v>SST-11100 01 B N4 VN-18KJ</v>
          </cell>
          <cell r="E3446" t="str">
            <v>ZFGD</v>
          </cell>
          <cell r="F3446" t="str">
            <v>PC</v>
          </cell>
          <cell r="G3446" t="str">
            <v>1</v>
          </cell>
          <cell r="H3446" t="str">
            <v>INDUSTRY</v>
          </cell>
          <cell r="I3446" t="str">
            <v>11</v>
          </cell>
          <cell r="J3446" t="str">
            <v>WOOD COATINGS</v>
          </cell>
          <cell r="K3446" t="str">
            <v>1109</v>
          </cell>
          <cell r="L3446" t="str">
            <v>STAIN &amp; GLAZE INTERIOR</v>
          </cell>
          <cell r="M3446" t="str">
            <v>110903</v>
          </cell>
          <cell r="N3446" t="str">
            <v>STAIN INTERIOR</v>
          </cell>
        </row>
        <row r="3447">
          <cell r="C3447" t="str">
            <v>100004889</v>
          </cell>
          <cell r="D3447" t="str">
            <v>PCA-31100 02 NAU A N4 VN-18KJ</v>
          </cell>
          <cell r="E3447" t="str">
            <v>ZFGD</v>
          </cell>
          <cell r="F3447" t="str">
            <v>PC</v>
          </cell>
          <cell r="G3447" t="str">
            <v>1</v>
          </cell>
          <cell r="H3447" t="str">
            <v>INDUSTRY</v>
          </cell>
          <cell r="I3447" t="str">
            <v>11</v>
          </cell>
          <cell r="J3447" t="str">
            <v>WOOD COATINGS</v>
          </cell>
          <cell r="K3447" t="str">
            <v>1118</v>
          </cell>
          <cell r="L3447" t="str">
            <v>COMPLEMENTARY</v>
          </cell>
          <cell r="M3447" t="str">
            <v>111807</v>
          </cell>
          <cell r="N3447" t="str">
            <v>PASTA</v>
          </cell>
        </row>
        <row r="3448">
          <cell r="C3448" t="str">
            <v>100004890</v>
          </cell>
          <cell r="D3448" t="str">
            <v>SST-11100 02 NAU B N4 VN-18KJ</v>
          </cell>
          <cell r="E3448" t="str">
            <v>ZFGD</v>
          </cell>
          <cell r="F3448" t="str">
            <v>PC</v>
          </cell>
          <cell r="G3448" t="str">
            <v>1</v>
          </cell>
          <cell r="H3448" t="str">
            <v>INDUSTRY</v>
          </cell>
          <cell r="I3448" t="str">
            <v>11</v>
          </cell>
          <cell r="J3448" t="str">
            <v>WOOD COATINGS</v>
          </cell>
          <cell r="K3448" t="str">
            <v>1109</v>
          </cell>
          <cell r="L3448" t="str">
            <v>STAIN &amp; GLAZE INTERIOR</v>
          </cell>
          <cell r="M3448" t="str">
            <v>110903</v>
          </cell>
          <cell r="N3448" t="str">
            <v>STAIN INTERIOR</v>
          </cell>
        </row>
        <row r="3449">
          <cell r="C3449" t="str">
            <v>100004891</v>
          </cell>
          <cell r="D3449" t="str">
            <v>SST-11100 02 NAU C N4 VN-18KJ</v>
          </cell>
          <cell r="E3449" t="str">
            <v>ZFGD</v>
          </cell>
          <cell r="F3449" t="str">
            <v>PC</v>
          </cell>
          <cell r="G3449" t="str">
            <v>1</v>
          </cell>
          <cell r="H3449" t="str">
            <v>INDUSTRY</v>
          </cell>
          <cell r="I3449" t="str">
            <v>11</v>
          </cell>
          <cell r="J3449" t="str">
            <v>WOOD COATINGS</v>
          </cell>
          <cell r="K3449" t="str">
            <v>1109</v>
          </cell>
          <cell r="L3449" t="str">
            <v>STAIN &amp; GLAZE INTERIOR</v>
          </cell>
          <cell r="M3449" t="str">
            <v>110903</v>
          </cell>
          <cell r="N3449" t="str">
            <v>STAIN INTERIOR</v>
          </cell>
        </row>
        <row r="3450">
          <cell r="C3450" t="str">
            <v>100004892</v>
          </cell>
          <cell r="D3450" t="str">
            <v>EQ-10200 MV01 M2 VN-16KJ</v>
          </cell>
          <cell r="E3450" t="str">
            <v>ZFGD</v>
          </cell>
          <cell r="F3450" t="str">
            <v>PC</v>
          </cell>
          <cell r="G3450" t="str">
            <v>1</v>
          </cell>
          <cell r="H3450" t="str">
            <v>INDUSTRY</v>
          </cell>
          <cell r="I3450" t="str">
            <v>11</v>
          </cell>
          <cell r="J3450" t="str">
            <v>WOOD COATINGS</v>
          </cell>
          <cell r="K3450" t="str">
            <v>1109</v>
          </cell>
          <cell r="L3450" t="str">
            <v>STAIN &amp; GLAZE INTERIOR</v>
          </cell>
          <cell r="M3450" t="str">
            <v>110901</v>
          </cell>
          <cell r="N3450" t="str">
            <v>ASOF : STAIN &amp; GLAZE</v>
          </cell>
        </row>
        <row r="3451">
          <cell r="C3451" t="str">
            <v>100004893</v>
          </cell>
          <cell r="D3451" t="str">
            <v>TOL-76301 N MV01 M2 VN-16KJ</v>
          </cell>
          <cell r="E3451" t="str">
            <v>ZFGD</v>
          </cell>
          <cell r="F3451" t="str">
            <v>PC</v>
          </cell>
          <cell r="G3451" t="str">
            <v>1</v>
          </cell>
          <cell r="H3451" t="str">
            <v>INDUSTRY</v>
          </cell>
          <cell r="I3451" t="str">
            <v>11</v>
          </cell>
          <cell r="J3451" t="str">
            <v>WOOD COATINGS</v>
          </cell>
          <cell r="K3451" t="str">
            <v>1101</v>
          </cell>
          <cell r="L3451" t="str">
            <v>ALKYD OIL</v>
          </cell>
          <cell r="M3451" t="str">
            <v>110101</v>
          </cell>
          <cell r="N3451" t="str">
            <v>ALKYD &amp; OIL SYSTEM</v>
          </cell>
        </row>
        <row r="3452">
          <cell r="C3452" t="str">
            <v>100004894</v>
          </cell>
          <cell r="D3452" t="str">
            <v>SST-11100 NATURAL IP VN-18KJ</v>
          </cell>
          <cell r="E3452" t="str">
            <v>ZFGD</v>
          </cell>
          <cell r="F3452" t="str">
            <v>PC</v>
          </cell>
          <cell r="G3452" t="str">
            <v>1</v>
          </cell>
          <cell r="H3452" t="str">
            <v>INDUSTRY</v>
          </cell>
          <cell r="I3452" t="str">
            <v>11</v>
          </cell>
          <cell r="J3452" t="str">
            <v>WOOD COATINGS</v>
          </cell>
          <cell r="K3452" t="str">
            <v>1109</v>
          </cell>
          <cell r="L3452" t="str">
            <v>STAIN &amp; GLAZE INTERIOR</v>
          </cell>
          <cell r="M3452" t="str">
            <v>110903</v>
          </cell>
          <cell r="N3452" t="str">
            <v>STAIN INTERIOR</v>
          </cell>
        </row>
        <row r="3453">
          <cell r="C3453" t="str">
            <v>100004895</v>
          </cell>
          <cell r="D3453" t="str">
            <v>64-56 MICRO FILLER 08 IP VN-20KP</v>
          </cell>
          <cell r="E3453" t="str">
            <v>ZFGD</v>
          </cell>
          <cell r="F3453" t="str">
            <v>PC</v>
          </cell>
          <cell r="G3453" t="str">
            <v>1</v>
          </cell>
          <cell r="H3453" t="str">
            <v>INDUSTRY</v>
          </cell>
          <cell r="I3453" t="str">
            <v>11</v>
          </cell>
          <cell r="J3453" t="str">
            <v>WOOD COATINGS</v>
          </cell>
          <cell r="K3453" t="str">
            <v>1103</v>
          </cell>
          <cell r="L3453" t="str">
            <v>PU</v>
          </cell>
          <cell r="M3453" t="str">
            <v>110305</v>
          </cell>
          <cell r="N3453" t="str">
            <v>UNION FILLER</v>
          </cell>
        </row>
        <row r="3454">
          <cell r="C3454" t="str">
            <v>100004896</v>
          </cell>
          <cell r="D3454" t="str">
            <v>PCA-31100 08 A IP VN-18KJ</v>
          </cell>
          <cell r="E3454" t="str">
            <v>ZFGD</v>
          </cell>
          <cell r="F3454" t="str">
            <v>PC</v>
          </cell>
          <cell r="G3454" t="str">
            <v>1</v>
          </cell>
          <cell r="H3454" t="str">
            <v>INDUSTRY</v>
          </cell>
          <cell r="I3454" t="str">
            <v>11</v>
          </cell>
          <cell r="J3454" t="str">
            <v>WOOD COATINGS</v>
          </cell>
          <cell r="K3454" t="str">
            <v>1118</v>
          </cell>
          <cell r="L3454" t="str">
            <v>COMPLEMENTARY</v>
          </cell>
          <cell r="M3454" t="str">
            <v>111807</v>
          </cell>
          <cell r="N3454" t="str">
            <v>PASTA</v>
          </cell>
        </row>
        <row r="3455">
          <cell r="C3455" t="str">
            <v>100004897</v>
          </cell>
          <cell r="D3455" t="str">
            <v>SST-11100 08 B IP VN-18KJ</v>
          </cell>
          <cell r="E3455" t="str">
            <v>ZFGD</v>
          </cell>
          <cell r="F3455" t="str">
            <v>PC</v>
          </cell>
          <cell r="G3455" t="str">
            <v>1</v>
          </cell>
          <cell r="H3455" t="str">
            <v>INDUSTRY</v>
          </cell>
          <cell r="I3455" t="str">
            <v>11</v>
          </cell>
          <cell r="J3455" t="str">
            <v>WOOD COATINGS</v>
          </cell>
          <cell r="K3455" t="str">
            <v>1109</v>
          </cell>
          <cell r="L3455" t="str">
            <v>STAIN &amp; GLAZE INTERIOR</v>
          </cell>
          <cell r="M3455" t="str">
            <v>110903</v>
          </cell>
          <cell r="N3455" t="str">
            <v>STAIN INTERIOR</v>
          </cell>
        </row>
        <row r="3456">
          <cell r="C3456" t="str">
            <v>100004898</v>
          </cell>
          <cell r="D3456" t="str">
            <v>SST-11100 06 N4 VN-18KJ</v>
          </cell>
          <cell r="E3456" t="str">
            <v>ZFGD</v>
          </cell>
          <cell r="F3456" t="str">
            <v>PC</v>
          </cell>
          <cell r="G3456" t="str">
            <v>1</v>
          </cell>
          <cell r="H3456" t="str">
            <v>INDUSTRY</v>
          </cell>
          <cell r="I3456" t="str">
            <v>11</v>
          </cell>
          <cell r="J3456" t="str">
            <v>WOOD COATINGS</v>
          </cell>
          <cell r="K3456" t="str">
            <v>1109</v>
          </cell>
          <cell r="L3456" t="str">
            <v>STAIN &amp; GLAZE INTERIOR</v>
          </cell>
          <cell r="M3456" t="str">
            <v>110903</v>
          </cell>
          <cell r="N3456" t="str">
            <v>STAIN INTERIOR</v>
          </cell>
        </row>
        <row r="3457">
          <cell r="C3457" t="str">
            <v>100004899</v>
          </cell>
          <cell r="D3457" t="str">
            <v>EQ-10200 MV02 M2 VN-16KJ</v>
          </cell>
          <cell r="E3457" t="str">
            <v>ZFGD</v>
          </cell>
          <cell r="F3457" t="str">
            <v>PC</v>
          </cell>
          <cell r="G3457" t="str">
            <v>1</v>
          </cell>
          <cell r="H3457" t="str">
            <v>INDUSTRY</v>
          </cell>
          <cell r="I3457" t="str">
            <v>11</v>
          </cell>
          <cell r="J3457" t="str">
            <v>WOOD COATINGS</v>
          </cell>
          <cell r="K3457" t="str">
            <v>1109</v>
          </cell>
          <cell r="L3457" t="str">
            <v>STAIN &amp; GLAZE INTERIOR</v>
          </cell>
          <cell r="M3457" t="str">
            <v>110901</v>
          </cell>
          <cell r="N3457" t="str">
            <v>ASOF : STAIN &amp; GLAZE</v>
          </cell>
        </row>
        <row r="3458">
          <cell r="C3458" t="str">
            <v>100004900</v>
          </cell>
          <cell r="D3458" t="str">
            <v>TOL-76301 N MV02 M2 VN-16KJ</v>
          </cell>
          <cell r="E3458" t="str">
            <v>ZFGD</v>
          </cell>
          <cell r="F3458" t="str">
            <v>PC</v>
          </cell>
          <cell r="G3458" t="str">
            <v>1</v>
          </cell>
          <cell r="H3458" t="str">
            <v>INDUSTRY</v>
          </cell>
          <cell r="I3458" t="str">
            <v>11</v>
          </cell>
          <cell r="J3458" t="str">
            <v>WOOD COATINGS</v>
          </cell>
          <cell r="K3458" t="str">
            <v>1101</v>
          </cell>
          <cell r="L3458" t="str">
            <v>ALKYD OIL</v>
          </cell>
          <cell r="M3458" t="str">
            <v>110101</v>
          </cell>
          <cell r="N3458" t="str">
            <v>ALKYD &amp; OIL SYSTEM</v>
          </cell>
        </row>
        <row r="3459">
          <cell r="C3459" t="str">
            <v>100004901</v>
          </cell>
          <cell r="D3459" t="str">
            <v>WBC-64220 EX CA GREY30 NS VN-20KP</v>
          </cell>
          <cell r="E3459" t="str">
            <v>ZFGD</v>
          </cell>
          <cell r="F3459" t="str">
            <v>PC</v>
          </cell>
          <cell r="G3459" t="str">
            <v>1</v>
          </cell>
          <cell r="H3459" t="str">
            <v>INDUSTRY</v>
          </cell>
          <cell r="I3459" t="str">
            <v>11</v>
          </cell>
          <cell r="J3459" t="str">
            <v>WOOD COATINGS</v>
          </cell>
          <cell r="K3459" t="str">
            <v>1119</v>
          </cell>
          <cell r="L3459" t="str">
            <v>WATERBASED</v>
          </cell>
          <cell r="M3459" t="str">
            <v>111901</v>
          </cell>
          <cell r="N3459" t="str">
            <v>WATERBASED SYSTEM EXTERIOR</v>
          </cell>
        </row>
        <row r="3460">
          <cell r="C3460" t="str">
            <v>100004902</v>
          </cell>
          <cell r="D3460" t="str">
            <v>WBC-64220 EX CA GREY30 10% NS VN-20KP</v>
          </cell>
          <cell r="E3460" t="str">
            <v>ZFGD</v>
          </cell>
          <cell r="F3460" t="str">
            <v>PC</v>
          </cell>
          <cell r="G3460" t="str">
            <v>1</v>
          </cell>
          <cell r="H3460" t="str">
            <v>INDUSTRY</v>
          </cell>
          <cell r="I3460" t="str">
            <v>11</v>
          </cell>
          <cell r="J3460" t="str">
            <v>WOOD COATINGS</v>
          </cell>
          <cell r="K3460" t="str">
            <v>1119</v>
          </cell>
          <cell r="L3460" t="str">
            <v>WATERBASED</v>
          </cell>
          <cell r="M3460" t="str">
            <v>111901</v>
          </cell>
          <cell r="N3460" t="str">
            <v>WATERBASED SYSTEM EXTERIOR</v>
          </cell>
        </row>
        <row r="3461">
          <cell r="C3461" t="str">
            <v>100004903</v>
          </cell>
          <cell r="D3461" t="str">
            <v>WBC-64220 EX CA GREY30 20% NS VN-20KP</v>
          </cell>
          <cell r="E3461" t="str">
            <v>ZFGD</v>
          </cell>
          <cell r="F3461" t="str">
            <v>PC</v>
          </cell>
          <cell r="G3461" t="str">
            <v>1</v>
          </cell>
          <cell r="H3461" t="str">
            <v>INDUSTRY</v>
          </cell>
          <cell r="I3461" t="str">
            <v>11</v>
          </cell>
          <cell r="J3461" t="str">
            <v>WOOD COATINGS</v>
          </cell>
          <cell r="K3461" t="str">
            <v>1119</v>
          </cell>
          <cell r="L3461" t="str">
            <v>WATERBASED</v>
          </cell>
          <cell r="M3461" t="str">
            <v>111901</v>
          </cell>
          <cell r="N3461" t="str">
            <v>WATERBASED SYSTEM EXTERIOR</v>
          </cell>
        </row>
        <row r="3462">
          <cell r="C3462" t="str">
            <v>100004904</v>
          </cell>
          <cell r="D3462" t="str">
            <v>EQ-10200 MV03 A M2 VN-16KJ</v>
          </cell>
          <cell r="E3462" t="str">
            <v>ZFGD</v>
          </cell>
          <cell r="F3462" t="str">
            <v>PC</v>
          </cell>
          <cell r="G3462" t="str">
            <v>1</v>
          </cell>
          <cell r="H3462" t="str">
            <v>INDUSTRY</v>
          </cell>
          <cell r="I3462" t="str">
            <v>11</v>
          </cell>
          <cell r="J3462" t="str">
            <v>WOOD COATINGS</v>
          </cell>
          <cell r="K3462" t="str">
            <v>1109</v>
          </cell>
          <cell r="L3462" t="str">
            <v>STAIN &amp; GLAZE INTERIOR</v>
          </cell>
          <cell r="M3462" t="str">
            <v>110901</v>
          </cell>
          <cell r="N3462" t="str">
            <v>ASOF : STAIN &amp; GLAZE</v>
          </cell>
        </row>
        <row r="3463">
          <cell r="C3463" t="str">
            <v>100004905</v>
          </cell>
          <cell r="D3463" t="str">
            <v>EQ-10200 MV03 B M2 VN-18KJ</v>
          </cell>
          <cell r="E3463" t="str">
            <v>ZFGD</v>
          </cell>
          <cell r="F3463" t="str">
            <v>PC</v>
          </cell>
          <cell r="G3463" t="str">
            <v>1</v>
          </cell>
          <cell r="H3463" t="str">
            <v>INDUSTRY</v>
          </cell>
          <cell r="I3463" t="str">
            <v>11</v>
          </cell>
          <cell r="J3463" t="str">
            <v>WOOD COATINGS</v>
          </cell>
          <cell r="K3463" t="str">
            <v>1109</v>
          </cell>
          <cell r="L3463" t="str">
            <v>STAIN &amp; GLAZE INTERIOR</v>
          </cell>
          <cell r="M3463" t="str">
            <v>110901</v>
          </cell>
          <cell r="N3463" t="str">
            <v>ASOF : STAIN &amp; GLAZE</v>
          </cell>
        </row>
        <row r="3464">
          <cell r="C3464" t="str">
            <v>100004906</v>
          </cell>
          <cell r="D3464" t="str">
            <v>TOL-76301 N MV03 M2 VN-16KJ</v>
          </cell>
          <cell r="E3464" t="str">
            <v>ZFGD</v>
          </cell>
          <cell r="F3464" t="str">
            <v>PC</v>
          </cell>
          <cell r="G3464" t="str">
            <v>1</v>
          </cell>
          <cell r="H3464" t="str">
            <v>INDUSTRY</v>
          </cell>
          <cell r="I3464" t="str">
            <v>11</v>
          </cell>
          <cell r="J3464" t="str">
            <v>WOOD COATINGS</v>
          </cell>
          <cell r="K3464" t="str">
            <v>1101</v>
          </cell>
          <cell r="L3464" t="str">
            <v>ALKYD OIL</v>
          </cell>
          <cell r="M3464" t="str">
            <v>110101</v>
          </cell>
          <cell r="N3464" t="str">
            <v>ALKYD &amp; OIL SYSTEM</v>
          </cell>
        </row>
        <row r="3465">
          <cell r="C3465" t="str">
            <v>100004907</v>
          </cell>
          <cell r="D3465" t="str">
            <v>PUC-54205 AC GLASS MK3 10 TL VN-20KP</v>
          </cell>
          <cell r="E3465" t="str">
            <v>ZFGD</v>
          </cell>
          <cell r="F3465" t="str">
            <v>PC</v>
          </cell>
          <cell r="G3465" t="str">
            <v>1</v>
          </cell>
          <cell r="H3465" t="str">
            <v>INDUSTRY</v>
          </cell>
          <cell r="I3465" t="str">
            <v>11</v>
          </cell>
          <cell r="J3465" t="str">
            <v>WOOD COATINGS</v>
          </cell>
          <cell r="K3465" t="str">
            <v>1103</v>
          </cell>
          <cell r="L3465" t="str">
            <v>PU</v>
          </cell>
          <cell r="M3465" t="str">
            <v>110319</v>
          </cell>
          <cell r="N3465" t="str">
            <v>PU COLOR</v>
          </cell>
        </row>
        <row r="3466">
          <cell r="C3466" t="str">
            <v>100004908</v>
          </cell>
          <cell r="D3466" t="str">
            <v>SST-11100 BROWN AA VN-4K</v>
          </cell>
          <cell r="E3466" t="str">
            <v>ZFGD</v>
          </cell>
          <cell r="F3466" t="str">
            <v>PC</v>
          </cell>
          <cell r="G3466" t="str">
            <v>1</v>
          </cell>
          <cell r="H3466" t="str">
            <v>INDUSTRY</v>
          </cell>
          <cell r="I3466" t="str">
            <v>11</v>
          </cell>
          <cell r="J3466" t="str">
            <v>WOOD COATINGS</v>
          </cell>
          <cell r="K3466" t="str">
            <v>1109</v>
          </cell>
          <cell r="L3466" t="str">
            <v>STAIN &amp; GLAZE INTERIOR</v>
          </cell>
          <cell r="M3466" t="str">
            <v>110903</v>
          </cell>
          <cell r="N3466" t="str">
            <v>STAIN INTERIOR</v>
          </cell>
        </row>
        <row r="3467">
          <cell r="C3467" t="str">
            <v>100004909</v>
          </cell>
          <cell r="D3467" t="str">
            <v>#NUDP-12123 WHITE YJ VN-20KP</v>
          </cell>
          <cell r="E3467" t="str">
            <v>ZFGD</v>
          </cell>
          <cell r="F3467" t="str">
            <v>KG</v>
          </cell>
          <cell r="G3467" t="str">
            <v>1</v>
          </cell>
          <cell r="H3467" t="str">
            <v>INDUSTRY</v>
          </cell>
          <cell r="I3467" t="str">
            <v>11</v>
          </cell>
          <cell r="J3467" t="str">
            <v>WOOD COATINGS</v>
          </cell>
          <cell r="K3467" t="str">
            <v>1104</v>
          </cell>
          <cell r="L3467" t="str">
            <v>NC</v>
          </cell>
          <cell r="M3467" t="str">
            <v>110405</v>
          </cell>
          <cell r="N3467" t="str">
            <v>NC SYSTEM</v>
          </cell>
        </row>
        <row r="3468">
          <cell r="C3468" t="str">
            <v>100004910</v>
          </cell>
          <cell r="D3468" t="str">
            <v>DP-12129 BLACK  YJ VN-20KP</v>
          </cell>
          <cell r="E3468" t="str">
            <v>ZFGD</v>
          </cell>
          <cell r="F3468" t="str">
            <v>PC</v>
          </cell>
          <cell r="G3468" t="str">
            <v>1</v>
          </cell>
          <cell r="H3468" t="str">
            <v>INDUSTRY</v>
          </cell>
          <cell r="I3468" t="str">
            <v>11</v>
          </cell>
          <cell r="J3468" t="str">
            <v>WOOD COATINGS</v>
          </cell>
          <cell r="K3468" t="str">
            <v>1104</v>
          </cell>
          <cell r="L3468" t="str">
            <v>NC</v>
          </cell>
          <cell r="M3468" t="str">
            <v>110405</v>
          </cell>
          <cell r="N3468" t="str">
            <v>NC SYSTEM</v>
          </cell>
        </row>
        <row r="3469">
          <cell r="C3469" t="str">
            <v>100004911</v>
          </cell>
          <cell r="D3469" t="str">
            <v>DP-12123 WHITE YJ VN-20KP</v>
          </cell>
          <cell r="E3469" t="str">
            <v>ZFGD</v>
          </cell>
          <cell r="F3469" t="str">
            <v>PC</v>
          </cell>
          <cell r="G3469" t="str">
            <v>1</v>
          </cell>
          <cell r="H3469" t="str">
            <v>INDUSTRY</v>
          </cell>
          <cell r="I3469" t="str">
            <v>11</v>
          </cell>
          <cell r="J3469" t="str">
            <v>WOOD COATINGS</v>
          </cell>
          <cell r="K3469" t="str">
            <v>1104</v>
          </cell>
          <cell r="L3469" t="str">
            <v>NC</v>
          </cell>
          <cell r="M3469" t="str">
            <v>110405</v>
          </cell>
          <cell r="N3469" t="str">
            <v>NC SYSTEM</v>
          </cell>
        </row>
        <row r="3470">
          <cell r="C3470" t="str">
            <v>100004912</v>
          </cell>
          <cell r="D3470" t="str">
            <v>WBL-61201 NF CLEAR 35 VN-20KP</v>
          </cell>
          <cell r="E3470" t="str">
            <v>ZFGD</v>
          </cell>
          <cell r="F3470" t="str">
            <v>PC</v>
          </cell>
          <cell r="G3470" t="str">
            <v>1</v>
          </cell>
          <cell r="H3470" t="str">
            <v>INDUSTRY</v>
          </cell>
          <cell r="I3470" t="str">
            <v>11</v>
          </cell>
          <cell r="J3470" t="str">
            <v>WOOD COATINGS</v>
          </cell>
          <cell r="K3470" t="str">
            <v>1119</v>
          </cell>
          <cell r="L3470" t="str">
            <v>WATERBASED</v>
          </cell>
          <cell r="M3470" t="str">
            <v>111902</v>
          </cell>
          <cell r="N3470" t="str">
            <v>WATERBASED SYSTEM INTERIOR</v>
          </cell>
        </row>
        <row r="3471">
          <cell r="C3471" t="str">
            <v>100004913</v>
          </cell>
          <cell r="D3471" t="str">
            <v>WBL-61201 NF CLEAR 35 VN-200KB</v>
          </cell>
          <cell r="E3471" t="str">
            <v>ZFGD</v>
          </cell>
          <cell r="F3471" t="str">
            <v>PC</v>
          </cell>
          <cell r="G3471" t="str">
            <v>1</v>
          </cell>
          <cell r="H3471" t="str">
            <v>INDUSTRY</v>
          </cell>
          <cell r="I3471" t="str">
            <v>11</v>
          </cell>
          <cell r="J3471" t="str">
            <v>WOOD COATINGS</v>
          </cell>
          <cell r="K3471" t="str">
            <v>1119</v>
          </cell>
          <cell r="L3471" t="str">
            <v>WATERBASED</v>
          </cell>
          <cell r="M3471" t="str">
            <v>111902</v>
          </cell>
          <cell r="N3471" t="str">
            <v>WATERBASED SYSTEM INTERIOR</v>
          </cell>
        </row>
        <row r="3472">
          <cell r="C3472" t="str">
            <v>100004914</v>
          </cell>
          <cell r="D3472" t="str">
            <v>AP-98200 CA 01 VN-1K</v>
          </cell>
          <cell r="E3472" t="str">
            <v>ZFGD</v>
          </cell>
          <cell r="F3472" t="str">
            <v>PC</v>
          </cell>
          <cell r="G3472" t="str">
            <v>1</v>
          </cell>
          <cell r="H3472" t="str">
            <v>INDUSTRY</v>
          </cell>
          <cell r="I3472" t="str">
            <v>11</v>
          </cell>
          <cell r="J3472" t="str">
            <v>WOOD COATINGS</v>
          </cell>
          <cell r="K3472" t="str">
            <v>1118</v>
          </cell>
          <cell r="L3472" t="str">
            <v>COMPLEMENTARY</v>
          </cell>
          <cell r="M3472" t="str">
            <v>111802</v>
          </cell>
          <cell r="N3472" t="str">
            <v>ASOF : POWDER &amp; MATTING SOLUTION</v>
          </cell>
        </row>
        <row r="3473">
          <cell r="C3473" t="str">
            <v>100004915</v>
          </cell>
          <cell r="D3473" t="str">
            <v>PCL-31300 OVA S16 B 1 GE VN-18KJ</v>
          </cell>
          <cell r="E3473" t="str">
            <v>ZFGD</v>
          </cell>
          <cell r="F3473" t="str">
            <v>PC</v>
          </cell>
          <cell r="G3473" t="str">
            <v>1</v>
          </cell>
          <cell r="H3473" t="str">
            <v>INDUSTRY</v>
          </cell>
          <cell r="I3473" t="str">
            <v>11</v>
          </cell>
          <cell r="J3473" t="str">
            <v>WOOD COATINGS</v>
          </cell>
          <cell r="K3473" t="str">
            <v>1118</v>
          </cell>
          <cell r="L3473" t="str">
            <v>COMPLEMENTARY</v>
          </cell>
          <cell r="M3473" t="str">
            <v>111807</v>
          </cell>
          <cell r="N3473" t="str">
            <v>PASTA</v>
          </cell>
        </row>
        <row r="3474">
          <cell r="C3474" t="str">
            <v>100004916</v>
          </cell>
          <cell r="D3474" t="str">
            <v>PCL-31300 OVA S16 B 2 GE VN-18KJ</v>
          </cell>
          <cell r="E3474" t="str">
            <v>ZFGD</v>
          </cell>
          <cell r="F3474" t="str">
            <v>PC</v>
          </cell>
          <cell r="G3474" t="str">
            <v>1</v>
          </cell>
          <cell r="H3474" t="str">
            <v>INDUSTRY</v>
          </cell>
          <cell r="I3474" t="str">
            <v>11</v>
          </cell>
          <cell r="J3474" t="str">
            <v>WOOD COATINGS</v>
          </cell>
          <cell r="K3474" t="str">
            <v>1118</v>
          </cell>
          <cell r="L3474" t="str">
            <v>COMPLEMENTARY</v>
          </cell>
          <cell r="M3474" t="str">
            <v>111807</v>
          </cell>
          <cell r="N3474" t="str">
            <v>PASTA</v>
          </cell>
        </row>
        <row r="3475">
          <cell r="C3475" t="str">
            <v>100004917</v>
          </cell>
          <cell r="D3475" t="str">
            <v>PCL-31300 OVA S16 B 3 GE VN-18KJ</v>
          </cell>
          <cell r="E3475" t="str">
            <v>ZFGD</v>
          </cell>
          <cell r="F3475" t="str">
            <v>PC</v>
          </cell>
          <cell r="G3475" t="str">
            <v>1</v>
          </cell>
          <cell r="H3475" t="str">
            <v>INDUSTRY</v>
          </cell>
          <cell r="I3475" t="str">
            <v>11</v>
          </cell>
          <cell r="J3475" t="str">
            <v>WOOD COATINGS</v>
          </cell>
          <cell r="K3475" t="str">
            <v>1118</v>
          </cell>
          <cell r="L3475" t="str">
            <v>COMPLEMENTARY</v>
          </cell>
          <cell r="M3475" t="str">
            <v>111807</v>
          </cell>
          <cell r="N3475" t="str">
            <v>PASTA</v>
          </cell>
        </row>
        <row r="3476">
          <cell r="C3476" t="str">
            <v>100004918</v>
          </cell>
          <cell r="D3476" t="str">
            <v>PCL-31300 OVA S16 B 4 GE VN-18KJ</v>
          </cell>
          <cell r="E3476" t="str">
            <v>ZFGD</v>
          </cell>
          <cell r="F3476" t="str">
            <v>PC</v>
          </cell>
          <cell r="G3476" t="str">
            <v>1</v>
          </cell>
          <cell r="H3476" t="str">
            <v>INDUSTRY</v>
          </cell>
          <cell r="I3476" t="str">
            <v>11</v>
          </cell>
          <cell r="J3476" t="str">
            <v>WOOD COATINGS</v>
          </cell>
          <cell r="K3476" t="str">
            <v>1118</v>
          </cell>
          <cell r="L3476" t="str">
            <v>COMPLEMENTARY</v>
          </cell>
          <cell r="M3476" t="str">
            <v>111807</v>
          </cell>
          <cell r="N3476" t="str">
            <v>PASTA</v>
          </cell>
        </row>
        <row r="3477">
          <cell r="C3477" t="str">
            <v>100004919</v>
          </cell>
          <cell r="D3477" t="str">
            <v>PUC-54206 AC EX 03 05 TE VN-18KP</v>
          </cell>
          <cell r="E3477" t="str">
            <v>ZFGD</v>
          </cell>
          <cell r="F3477" t="str">
            <v>PC</v>
          </cell>
          <cell r="G3477" t="str">
            <v>1</v>
          </cell>
          <cell r="H3477" t="str">
            <v>INDUSTRY</v>
          </cell>
          <cell r="I3477" t="str">
            <v>11</v>
          </cell>
          <cell r="J3477" t="str">
            <v>WOOD COATINGS</v>
          </cell>
          <cell r="K3477" t="str">
            <v>1103</v>
          </cell>
          <cell r="L3477" t="str">
            <v>PU</v>
          </cell>
          <cell r="M3477" t="str">
            <v>110319</v>
          </cell>
          <cell r="N3477" t="str">
            <v>PU COLOR</v>
          </cell>
        </row>
        <row r="3478">
          <cell r="C3478" t="str">
            <v>100004920</v>
          </cell>
          <cell r="D3478" t="str">
            <v>DC-12229 LC KM01 05 K1 VN-20KP</v>
          </cell>
          <cell r="E3478" t="str">
            <v>ZFGD</v>
          </cell>
          <cell r="F3478" t="str">
            <v>PC</v>
          </cell>
          <cell r="G3478" t="str">
            <v>1</v>
          </cell>
          <cell r="H3478" t="str">
            <v>INDUSTRY</v>
          </cell>
          <cell r="I3478" t="str">
            <v>11</v>
          </cell>
          <cell r="J3478" t="str">
            <v>WOOD COATINGS</v>
          </cell>
          <cell r="K3478" t="str">
            <v>1104</v>
          </cell>
          <cell r="L3478" t="str">
            <v>NC</v>
          </cell>
          <cell r="M3478" t="str">
            <v>110405</v>
          </cell>
          <cell r="N3478" t="str">
            <v>NC SYSTEM</v>
          </cell>
        </row>
        <row r="3479">
          <cell r="C3479" t="str">
            <v>100004921</v>
          </cell>
          <cell r="D3479" t="str">
            <v>DC-12229 LC KM02 05 K1 VN-20KP</v>
          </cell>
          <cell r="E3479" t="str">
            <v>ZFGD</v>
          </cell>
          <cell r="F3479" t="str">
            <v>PC</v>
          </cell>
          <cell r="G3479" t="str">
            <v>1</v>
          </cell>
          <cell r="H3479" t="str">
            <v>INDUSTRY</v>
          </cell>
          <cell r="I3479" t="str">
            <v>11</v>
          </cell>
          <cell r="J3479" t="str">
            <v>WOOD COATINGS</v>
          </cell>
          <cell r="K3479" t="str">
            <v>1104</v>
          </cell>
          <cell r="L3479" t="str">
            <v>NC</v>
          </cell>
          <cell r="M3479" t="str">
            <v>110405</v>
          </cell>
          <cell r="N3479" t="str">
            <v>NC SYSTEM</v>
          </cell>
        </row>
        <row r="3480">
          <cell r="C3480" t="str">
            <v>100004922</v>
          </cell>
          <cell r="D3480" t="str">
            <v>WBP-62135 WHITE VN-20KP</v>
          </cell>
          <cell r="E3480" t="str">
            <v>ZFGD</v>
          </cell>
          <cell r="F3480" t="str">
            <v>PC</v>
          </cell>
          <cell r="G3480" t="str">
            <v>1</v>
          </cell>
          <cell r="H3480" t="str">
            <v>INDUSTRY</v>
          </cell>
          <cell r="I3480" t="str">
            <v>11</v>
          </cell>
          <cell r="J3480" t="str">
            <v>WOOD COATINGS</v>
          </cell>
          <cell r="K3480" t="str">
            <v>1119</v>
          </cell>
          <cell r="L3480" t="str">
            <v>WATERBASED</v>
          </cell>
          <cell r="M3480" t="str">
            <v>111902</v>
          </cell>
          <cell r="N3480" t="str">
            <v>WATERBASED SYSTEM INTERIOR</v>
          </cell>
        </row>
        <row r="3481">
          <cell r="C3481" t="str">
            <v>100004923</v>
          </cell>
          <cell r="D3481" t="str">
            <v>WBC-64220 EX ASK NS VN-20KP</v>
          </cell>
          <cell r="E3481" t="str">
            <v>ZFGD</v>
          </cell>
          <cell r="F3481" t="str">
            <v>PC</v>
          </cell>
          <cell r="G3481" t="str">
            <v>1</v>
          </cell>
          <cell r="H3481" t="str">
            <v>INDUSTRY</v>
          </cell>
          <cell r="I3481" t="str">
            <v>11</v>
          </cell>
          <cell r="J3481" t="str">
            <v>WOOD COATINGS</v>
          </cell>
          <cell r="K3481" t="str">
            <v>1119</v>
          </cell>
          <cell r="L3481" t="str">
            <v>WATERBASED</v>
          </cell>
          <cell r="M3481" t="str">
            <v>111901</v>
          </cell>
          <cell r="N3481" t="str">
            <v>WATERBASED SYSTEM EXTERIOR</v>
          </cell>
        </row>
        <row r="3482">
          <cell r="C3482" t="str">
            <v>100004924</v>
          </cell>
          <cell r="D3482" t="str">
            <v>PUP-1521-902-AK-200KB</v>
          </cell>
          <cell r="E3482" t="str">
            <v>ZFGD</v>
          </cell>
          <cell r="F3482" t="str">
            <v>PC</v>
          </cell>
          <cell r="G3482" t="str">
            <v>1</v>
          </cell>
          <cell r="H3482" t="str">
            <v>INDUSTRY</v>
          </cell>
          <cell r="I3482" t="str">
            <v>11</v>
          </cell>
          <cell r="J3482" t="str">
            <v>WOOD COATINGS</v>
          </cell>
          <cell r="K3482" t="str">
            <v>1103</v>
          </cell>
          <cell r="L3482" t="str">
            <v>PU</v>
          </cell>
          <cell r="M3482" t="str">
            <v>110322</v>
          </cell>
          <cell r="N3482" t="str">
            <v>PU PRIMER</v>
          </cell>
        </row>
        <row r="3483">
          <cell r="C3483" t="str">
            <v>100004925</v>
          </cell>
          <cell r="D3483" t="str">
            <v>PUP-1521-902-AK-20KP</v>
          </cell>
          <cell r="E3483" t="str">
            <v>ZFGD</v>
          </cell>
          <cell r="F3483" t="str">
            <v>PC</v>
          </cell>
          <cell r="G3483" t="str">
            <v>1</v>
          </cell>
          <cell r="H3483" t="str">
            <v>INDUSTRY</v>
          </cell>
          <cell r="I3483" t="str">
            <v>11</v>
          </cell>
          <cell r="J3483" t="str">
            <v>WOOD COATINGS</v>
          </cell>
          <cell r="K3483" t="str">
            <v>1103</v>
          </cell>
          <cell r="L3483" t="str">
            <v>PU</v>
          </cell>
          <cell r="M3483" t="str">
            <v>110322</v>
          </cell>
          <cell r="N3483" t="str">
            <v>PU PRIMER</v>
          </cell>
        </row>
        <row r="3484">
          <cell r="C3484" t="str">
            <v>100004926</v>
          </cell>
          <cell r="D3484" t="str">
            <v>UVS-20602 BASE YELLOW 154 VN-20KP</v>
          </cell>
          <cell r="E3484" t="str">
            <v>ZFGD</v>
          </cell>
          <cell r="F3484" t="str">
            <v>PC</v>
          </cell>
          <cell r="G3484" t="str">
            <v>1</v>
          </cell>
          <cell r="H3484" t="str">
            <v>INDUSTRY</v>
          </cell>
          <cell r="I3484" t="str">
            <v>11</v>
          </cell>
          <cell r="J3484" t="str">
            <v>WOOD COATINGS</v>
          </cell>
          <cell r="K3484" t="str">
            <v>1106</v>
          </cell>
          <cell r="L3484" t="str">
            <v>UV</v>
          </cell>
          <cell r="M3484" t="str">
            <v>110606</v>
          </cell>
          <cell r="N3484" t="str">
            <v>UV STAIN</v>
          </cell>
        </row>
        <row r="3485">
          <cell r="C3485" t="str">
            <v>100004927</v>
          </cell>
          <cell r="D3485" t="str">
            <v>UVS-20602 BASE YELLOW 154 VN-5K</v>
          </cell>
          <cell r="E3485" t="str">
            <v>ZFGD</v>
          </cell>
          <cell r="F3485" t="str">
            <v>PC</v>
          </cell>
          <cell r="G3485" t="str">
            <v>1</v>
          </cell>
          <cell r="H3485" t="str">
            <v>INDUSTRY</v>
          </cell>
          <cell r="I3485" t="str">
            <v>11</v>
          </cell>
          <cell r="J3485" t="str">
            <v>WOOD COATINGS</v>
          </cell>
          <cell r="K3485" t="str">
            <v>1106</v>
          </cell>
          <cell r="L3485" t="str">
            <v>UV</v>
          </cell>
          <cell r="M3485" t="str">
            <v>110606</v>
          </cell>
          <cell r="N3485" t="str">
            <v>UV STAIN</v>
          </cell>
        </row>
        <row r="3486">
          <cell r="C3486" t="str">
            <v>100004928</v>
          </cell>
          <cell r="D3486" t="str">
            <v>PFT-215 LEAF GREEN VN-18KP</v>
          </cell>
          <cell r="E3486" t="str">
            <v>ZFGD</v>
          </cell>
          <cell r="F3486" t="str">
            <v>PC</v>
          </cell>
          <cell r="G3486" t="str">
            <v>5</v>
          </cell>
          <cell r="H3486" t="str">
            <v>PROJECT</v>
          </cell>
          <cell r="I3486" t="str">
            <v>56</v>
          </cell>
          <cell r="J3486" t="str">
            <v>CPC1</v>
          </cell>
          <cell r="K3486" t="str">
            <v>5602</v>
          </cell>
          <cell r="L3486" t="str">
            <v>POLYFLOOR</v>
          </cell>
          <cell r="M3486" t="str">
            <v>560207</v>
          </cell>
          <cell r="N3486" t="str">
            <v>POLYFLOOR EPOXY SOLVENT FREE</v>
          </cell>
        </row>
        <row r="3487">
          <cell r="C3487" t="str">
            <v>100004929</v>
          </cell>
          <cell r="D3487" t="str">
            <v>PFT-215 LEAF GREEN VN-21KSP</v>
          </cell>
          <cell r="E3487" t="str">
            <v>ZFGD</v>
          </cell>
          <cell r="F3487" t="str">
            <v>SET</v>
          </cell>
          <cell r="G3487" t="str">
            <v>5</v>
          </cell>
          <cell r="H3487" t="str">
            <v>PROJECT</v>
          </cell>
          <cell r="I3487" t="str">
            <v>56</v>
          </cell>
          <cell r="J3487" t="str">
            <v>CPC1</v>
          </cell>
          <cell r="K3487" t="str">
            <v>5602</v>
          </cell>
          <cell r="L3487" t="str">
            <v>POLYFLOOR</v>
          </cell>
          <cell r="M3487" t="str">
            <v>560207</v>
          </cell>
          <cell r="N3487" t="str">
            <v>POLYFLOOR EPOXY SOLVENT FREE</v>
          </cell>
        </row>
        <row r="3488">
          <cell r="C3488" t="str">
            <v>100004930</v>
          </cell>
          <cell r="D3488" t="str">
            <v>WBL-61202 NF CLEAR 30 VN-20KP</v>
          </cell>
          <cell r="E3488" t="str">
            <v>ZFGD</v>
          </cell>
          <cell r="F3488" t="str">
            <v>PC</v>
          </cell>
          <cell r="G3488" t="str">
            <v>1</v>
          </cell>
          <cell r="H3488" t="str">
            <v>INDUSTRY</v>
          </cell>
          <cell r="I3488" t="str">
            <v>11</v>
          </cell>
          <cell r="J3488" t="str">
            <v>WOOD COATINGS</v>
          </cell>
          <cell r="K3488" t="str">
            <v>1119</v>
          </cell>
          <cell r="L3488" t="str">
            <v>WATERBASED</v>
          </cell>
          <cell r="M3488" t="str">
            <v>111902</v>
          </cell>
          <cell r="N3488" t="str">
            <v>WATERBASED SYSTEM INTERIOR</v>
          </cell>
        </row>
        <row r="3489">
          <cell r="C3489" t="str">
            <v>100004931</v>
          </cell>
          <cell r="D3489" t="str">
            <v>MEP-12003 YELLOW T&amp;T VN-20KP</v>
          </cell>
          <cell r="E3489" t="str">
            <v>ZFGD</v>
          </cell>
          <cell r="F3489" t="str">
            <v>PC</v>
          </cell>
          <cell r="G3489" t="str">
            <v>1</v>
          </cell>
          <cell r="H3489" t="str">
            <v>INDUSTRY</v>
          </cell>
          <cell r="I3489" t="str">
            <v>16</v>
          </cell>
          <cell r="J3489" t="str">
            <v>METAL COATINGS</v>
          </cell>
          <cell r="K3489" t="str">
            <v>1601</v>
          </cell>
          <cell r="L3489" t="str">
            <v>METAL COATINGS</v>
          </cell>
          <cell r="M3489" t="str">
            <v>160101</v>
          </cell>
          <cell r="N3489" t="str">
            <v>METAL COATINGS</v>
          </cell>
        </row>
        <row r="3490">
          <cell r="C3490" t="str">
            <v>100004932</v>
          </cell>
          <cell r="D3490" t="str">
            <v>PFT-253 GREEN RAL 6037-16KP</v>
          </cell>
          <cell r="E3490" t="str">
            <v>ZFGD</v>
          </cell>
          <cell r="F3490" t="str">
            <v>PC</v>
          </cell>
          <cell r="G3490" t="str">
            <v>5</v>
          </cell>
          <cell r="H3490" t="str">
            <v>PROJECT</v>
          </cell>
          <cell r="I3490" t="str">
            <v>56</v>
          </cell>
          <cell r="J3490" t="str">
            <v>CPC1</v>
          </cell>
          <cell r="K3490" t="str">
            <v>5602</v>
          </cell>
          <cell r="L3490" t="str">
            <v>POLYFLOOR</v>
          </cell>
          <cell r="M3490" t="str">
            <v>560202</v>
          </cell>
          <cell r="N3490" t="str">
            <v>POLYFLOOR EPOXY</v>
          </cell>
        </row>
        <row r="3491">
          <cell r="C3491" t="str">
            <v>100004934</v>
          </cell>
          <cell r="D3491" t="str">
            <v>PFT-253 GREEN RAL 6037-20KSP</v>
          </cell>
          <cell r="E3491" t="str">
            <v>ZFGD</v>
          </cell>
          <cell r="F3491" t="str">
            <v>SET</v>
          </cell>
          <cell r="G3491" t="str">
            <v>5</v>
          </cell>
          <cell r="H3491" t="str">
            <v>PROJECT</v>
          </cell>
          <cell r="I3491" t="str">
            <v>56</v>
          </cell>
          <cell r="J3491" t="str">
            <v>CPC1</v>
          </cell>
          <cell r="K3491" t="str">
            <v>5602</v>
          </cell>
          <cell r="L3491" t="str">
            <v>POLYFLOOR</v>
          </cell>
          <cell r="M3491" t="str">
            <v>560202</v>
          </cell>
          <cell r="N3491" t="str">
            <v>POLYFLOOR EPOXY</v>
          </cell>
        </row>
        <row r="3492">
          <cell r="C3492" t="str">
            <v>100004936</v>
          </cell>
          <cell r="D3492" t="str">
            <v>DC-12223 BLACK YJ 01 10 VN-20KP</v>
          </cell>
          <cell r="E3492" t="str">
            <v>ZFGD</v>
          </cell>
          <cell r="F3492" t="str">
            <v>PC</v>
          </cell>
          <cell r="G3492" t="str">
            <v>1</v>
          </cell>
          <cell r="H3492" t="str">
            <v>INDUSTRY</v>
          </cell>
          <cell r="I3492" t="str">
            <v>11</v>
          </cell>
          <cell r="J3492" t="str">
            <v>WOOD COATINGS</v>
          </cell>
          <cell r="K3492" t="str">
            <v>1104</v>
          </cell>
          <cell r="L3492" t="str">
            <v>NC</v>
          </cell>
          <cell r="M3492" t="str">
            <v>110405</v>
          </cell>
          <cell r="N3492" t="str">
            <v>NC SYSTEM</v>
          </cell>
        </row>
        <row r="3493">
          <cell r="C3493" t="str">
            <v>100004937</v>
          </cell>
          <cell r="D3493" t="str">
            <v>DP-12123 BLACK YJ 01 VN-20KP</v>
          </cell>
          <cell r="E3493" t="str">
            <v>ZFGD</v>
          </cell>
          <cell r="F3493" t="str">
            <v>PC</v>
          </cell>
          <cell r="G3493" t="str">
            <v>1</v>
          </cell>
          <cell r="H3493" t="str">
            <v>INDUSTRY</v>
          </cell>
          <cell r="I3493" t="str">
            <v>11</v>
          </cell>
          <cell r="J3493" t="str">
            <v>WOOD COATINGS</v>
          </cell>
          <cell r="K3493" t="str">
            <v>1104</v>
          </cell>
          <cell r="L3493" t="str">
            <v>NC</v>
          </cell>
          <cell r="M3493" t="str">
            <v>110405</v>
          </cell>
          <cell r="N3493" t="str">
            <v>NC SYSTEM</v>
          </cell>
        </row>
        <row r="3494">
          <cell r="C3494" t="str">
            <v>100004938</v>
          </cell>
          <cell r="D3494" t="str">
            <v>PUC-54205 AC AIRY BLUE 05 MK VN-20KP</v>
          </cell>
          <cell r="E3494" t="str">
            <v>ZFGD</v>
          </cell>
          <cell r="F3494" t="str">
            <v>PC</v>
          </cell>
          <cell r="G3494" t="str">
            <v>1</v>
          </cell>
          <cell r="H3494" t="str">
            <v>INDUSTRY</v>
          </cell>
          <cell r="I3494" t="str">
            <v>11</v>
          </cell>
          <cell r="J3494" t="str">
            <v>WOOD COATINGS</v>
          </cell>
          <cell r="K3494" t="str">
            <v>1103</v>
          </cell>
          <cell r="L3494" t="str">
            <v>PU</v>
          </cell>
          <cell r="M3494" t="str">
            <v>110319</v>
          </cell>
          <cell r="N3494" t="str">
            <v>PU COLOR</v>
          </cell>
        </row>
        <row r="3495">
          <cell r="C3495" t="str">
            <v>100004939</v>
          </cell>
          <cell r="D3495" t="str">
            <v>PUC-54205 AC ROSE 05 MK VN-20KP</v>
          </cell>
          <cell r="E3495" t="str">
            <v>ZFGD</v>
          </cell>
          <cell r="F3495" t="str">
            <v>PC</v>
          </cell>
          <cell r="G3495" t="str">
            <v>1</v>
          </cell>
          <cell r="H3495" t="str">
            <v>INDUSTRY</v>
          </cell>
          <cell r="I3495" t="str">
            <v>11</v>
          </cell>
          <cell r="J3495" t="str">
            <v>WOOD COATINGS</v>
          </cell>
          <cell r="K3495" t="str">
            <v>1103</v>
          </cell>
          <cell r="L3495" t="str">
            <v>PU</v>
          </cell>
          <cell r="M3495" t="str">
            <v>110319</v>
          </cell>
          <cell r="N3495" t="str">
            <v>PU COLOR</v>
          </cell>
        </row>
        <row r="3496">
          <cell r="C3496" t="str">
            <v>100004940</v>
          </cell>
          <cell r="D3496" t="str">
            <v>PUC-54205 AC TENDER 05 MK VN-20KP</v>
          </cell>
          <cell r="E3496" t="str">
            <v>ZFGD</v>
          </cell>
          <cell r="F3496" t="str">
            <v>PC</v>
          </cell>
          <cell r="G3496" t="str">
            <v>1</v>
          </cell>
          <cell r="H3496" t="str">
            <v>INDUSTRY</v>
          </cell>
          <cell r="I3496" t="str">
            <v>11</v>
          </cell>
          <cell r="J3496" t="str">
            <v>WOOD COATINGS</v>
          </cell>
          <cell r="K3496" t="str">
            <v>1103</v>
          </cell>
          <cell r="L3496" t="str">
            <v>PU</v>
          </cell>
          <cell r="M3496" t="str">
            <v>110319</v>
          </cell>
          <cell r="N3496" t="str">
            <v>PU COLOR</v>
          </cell>
        </row>
        <row r="3497">
          <cell r="C3497" t="str">
            <v>100004941</v>
          </cell>
          <cell r="D3497" t="str">
            <v>PUC-52241 U961PT 05 MK VN-20KP</v>
          </cell>
          <cell r="E3497" t="str">
            <v>ZFGD</v>
          </cell>
          <cell r="F3497" t="str">
            <v>PC</v>
          </cell>
          <cell r="G3497" t="str">
            <v>1</v>
          </cell>
          <cell r="H3497" t="str">
            <v>INDUSTRY</v>
          </cell>
          <cell r="I3497" t="str">
            <v>11</v>
          </cell>
          <cell r="J3497" t="str">
            <v>WOOD COATINGS</v>
          </cell>
          <cell r="K3497" t="str">
            <v>1103</v>
          </cell>
          <cell r="L3497" t="str">
            <v>PU</v>
          </cell>
          <cell r="M3497" t="str">
            <v>110319</v>
          </cell>
          <cell r="N3497" t="str">
            <v>PU COLOR</v>
          </cell>
        </row>
        <row r="3498">
          <cell r="C3498" t="str">
            <v>100004942</v>
          </cell>
          <cell r="D3498" t="str">
            <v>PUC-54206 AC EX NARCIS 05 MK VN-20KP</v>
          </cell>
          <cell r="E3498" t="str">
            <v>ZFGD</v>
          </cell>
          <cell r="F3498" t="str">
            <v>PC</v>
          </cell>
          <cell r="G3498" t="str">
            <v>1</v>
          </cell>
          <cell r="H3498" t="str">
            <v>INDUSTRY</v>
          </cell>
          <cell r="I3498" t="str">
            <v>11</v>
          </cell>
          <cell r="J3498" t="str">
            <v>WOOD COATINGS</v>
          </cell>
          <cell r="K3498" t="str">
            <v>1103</v>
          </cell>
          <cell r="L3498" t="str">
            <v>PU</v>
          </cell>
          <cell r="M3498" t="str">
            <v>110319</v>
          </cell>
          <cell r="N3498" t="str">
            <v>PU COLOR</v>
          </cell>
        </row>
        <row r="3499">
          <cell r="C3499" t="str">
            <v>100004943</v>
          </cell>
          <cell r="D3499" t="str">
            <v>PUC-54206 AC EX SWEET 05 MK VN-20KP</v>
          </cell>
          <cell r="E3499" t="str">
            <v>ZFGD</v>
          </cell>
          <cell r="F3499" t="str">
            <v>PC</v>
          </cell>
          <cell r="G3499" t="str">
            <v>1</v>
          </cell>
          <cell r="H3499" t="str">
            <v>INDUSTRY</v>
          </cell>
          <cell r="I3499" t="str">
            <v>11</v>
          </cell>
          <cell r="J3499" t="str">
            <v>WOOD COATINGS</v>
          </cell>
          <cell r="K3499" t="str">
            <v>1103</v>
          </cell>
          <cell r="L3499" t="str">
            <v>PU</v>
          </cell>
          <cell r="M3499" t="str">
            <v>110319</v>
          </cell>
          <cell r="N3499" t="str">
            <v>PU COLOR</v>
          </cell>
        </row>
        <row r="3500">
          <cell r="C3500" t="str">
            <v>100004944</v>
          </cell>
          <cell r="D3500" t="str">
            <v>UVS-20602 GMR 01 SC VN-20KP</v>
          </cell>
          <cell r="E3500" t="str">
            <v>ZFGD</v>
          </cell>
          <cell r="F3500" t="str">
            <v>PC</v>
          </cell>
          <cell r="G3500" t="str">
            <v>1</v>
          </cell>
          <cell r="H3500" t="str">
            <v>INDUSTRY</v>
          </cell>
          <cell r="I3500" t="str">
            <v>11</v>
          </cell>
          <cell r="J3500" t="str">
            <v>WOOD COATINGS</v>
          </cell>
          <cell r="K3500" t="str">
            <v>1106</v>
          </cell>
          <cell r="L3500" t="str">
            <v>UV</v>
          </cell>
          <cell r="M3500" t="str">
            <v>110606</v>
          </cell>
          <cell r="N3500" t="str">
            <v>UV STAIN</v>
          </cell>
        </row>
        <row r="3501">
          <cell r="C3501" t="str">
            <v>100004945</v>
          </cell>
          <cell r="D3501" t="str">
            <v>UVS-20602 GMR 02 SC VN-20KP</v>
          </cell>
          <cell r="E3501" t="str">
            <v>ZFGD</v>
          </cell>
          <cell r="F3501" t="str">
            <v>PC</v>
          </cell>
          <cell r="G3501" t="str">
            <v>1</v>
          </cell>
          <cell r="H3501" t="str">
            <v>INDUSTRY</v>
          </cell>
          <cell r="I3501" t="str">
            <v>11</v>
          </cell>
          <cell r="J3501" t="str">
            <v>WOOD COATINGS</v>
          </cell>
          <cell r="K3501" t="str">
            <v>1106</v>
          </cell>
          <cell r="L3501" t="str">
            <v>UV</v>
          </cell>
          <cell r="M3501" t="str">
            <v>110606</v>
          </cell>
          <cell r="N3501" t="str">
            <v>UV STAIN</v>
          </cell>
        </row>
        <row r="3502">
          <cell r="C3502" t="str">
            <v>100004946</v>
          </cell>
          <cell r="D3502" t="str">
            <v>UVP-60501 GMR SC VN-20KP</v>
          </cell>
          <cell r="E3502" t="str">
            <v>ZFGD</v>
          </cell>
          <cell r="F3502" t="str">
            <v>PC</v>
          </cell>
          <cell r="G3502" t="str">
            <v>1</v>
          </cell>
          <cell r="H3502" t="str">
            <v>INDUSTRY</v>
          </cell>
          <cell r="I3502" t="str">
            <v>11</v>
          </cell>
          <cell r="J3502" t="str">
            <v>WOOD COATINGS</v>
          </cell>
          <cell r="K3502" t="str">
            <v>1106</v>
          </cell>
          <cell r="L3502" t="str">
            <v>UV</v>
          </cell>
          <cell r="M3502" t="str">
            <v>110604</v>
          </cell>
          <cell r="N3502" t="str">
            <v>UV PRIMER</v>
          </cell>
        </row>
        <row r="3503">
          <cell r="C3503" t="str">
            <v>100004947</v>
          </cell>
          <cell r="D3503" t="str">
            <v>UVS-20602 SLP NEW 01 SC VN-20KP</v>
          </cell>
          <cell r="E3503" t="str">
            <v>ZFGD</v>
          </cell>
          <cell r="F3503" t="str">
            <v>PC</v>
          </cell>
          <cell r="G3503" t="str">
            <v>1</v>
          </cell>
          <cell r="H3503" t="str">
            <v>INDUSTRY</v>
          </cell>
          <cell r="I3503" t="str">
            <v>11</v>
          </cell>
          <cell r="J3503" t="str">
            <v>WOOD COATINGS</v>
          </cell>
          <cell r="K3503" t="str">
            <v>1106</v>
          </cell>
          <cell r="L3503" t="str">
            <v>UV</v>
          </cell>
          <cell r="M3503" t="str">
            <v>110606</v>
          </cell>
          <cell r="N3503" t="str">
            <v>UV STAIN</v>
          </cell>
        </row>
        <row r="3504">
          <cell r="C3504" t="str">
            <v>100004948</v>
          </cell>
          <cell r="D3504" t="str">
            <v>UVS-20602 SLP NEW 02 SC VN-20KP</v>
          </cell>
          <cell r="E3504" t="str">
            <v>ZFGD</v>
          </cell>
          <cell r="F3504" t="str">
            <v>PC</v>
          </cell>
          <cell r="G3504" t="str">
            <v>1</v>
          </cell>
          <cell r="H3504" t="str">
            <v>INDUSTRY</v>
          </cell>
          <cell r="I3504" t="str">
            <v>11</v>
          </cell>
          <cell r="J3504" t="str">
            <v>WOOD COATINGS</v>
          </cell>
          <cell r="K3504" t="str">
            <v>1106</v>
          </cell>
          <cell r="L3504" t="str">
            <v>UV</v>
          </cell>
          <cell r="M3504" t="str">
            <v>110606</v>
          </cell>
          <cell r="N3504" t="str">
            <v>UV STAIN</v>
          </cell>
        </row>
        <row r="3505">
          <cell r="C3505" t="str">
            <v>100004949</v>
          </cell>
          <cell r="D3505" t="str">
            <v>UVS-20602 SLP NEW 03 SC VN-20KP</v>
          </cell>
          <cell r="E3505" t="str">
            <v>ZFGD</v>
          </cell>
          <cell r="F3505" t="str">
            <v>PC</v>
          </cell>
          <cell r="G3505" t="str">
            <v>1</v>
          </cell>
          <cell r="H3505" t="str">
            <v>INDUSTRY</v>
          </cell>
          <cell r="I3505" t="str">
            <v>11</v>
          </cell>
          <cell r="J3505" t="str">
            <v>WOOD COATINGS</v>
          </cell>
          <cell r="K3505" t="str">
            <v>1106</v>
          </cell>
          <cell r="L3505" t="str">
            <v>UV</v>
          </cell>
          <cell r="M3505" t="str">
            <v>110606</v>
          </cell>
          <cell r="N3505" t="str">
            <v>UV STAIN</v>
          </cell>
        </row>
        <row r="3506">
          <cell r="C3506" t="str">
            <v>100004950</v>
          </cell>
          <cell r="D3506" t="str">
            <v>WBC-64220 EX RUN GREEN 50 NS VN-200KB</v>
          </cell>
          <cell r="E3506" t="str">
            <v>ZFGD</v>
          </cell>
          <cell r="F3506" t="str">
            <v>PC</v>
          </cell>
          <cell r="G3506" t="str">
            <v>1</v>
          </cell>
          <cell r="H3506" t="str">
            <v>INDUSTRY</v>
          </cell>
          <cell r="I3506" t="str">
            <v>11</v>
          </cell>
          <cell r="J3506" t="str">
            <v>WOOD COATINGS</v>
          </cell>
          <cell r="K3506" t="str">
            <v>1119</v>
          </cell>
          <cell r="L3506" t="str">
            <v>WATERBASED</v>
          </cell>
          <cell r="M3506" t="str">
            <v>111901</v>
          </cell>
          <cell r="N3506" t="str">
            <v>WATERBASED SYSTEM EXTERIOR</v>
          </cell>
        </row>
        <row r="3507">
          <cell r="C3507" t="str">
            <v>100004951</v>
          </cell>
          <cell r="D3507" t="str">
            <v>WBC-64220 EX RUN GREEN 60 NS VN-200KB</v>
          </cell>
          <cell r="E3507" t="str">
            <v>ZFGD</v>
          </cell>
          <cell r="F3507" t="str">
            <v>PC</v>
          </cell>
          <cell r="G3507" t="str">
            <v>1</v>
          </cell>
          <cell r="H3507" t="str">
            <v>INDUSTRY</v>
          </cell>
          <cell r="I3507" t="str">
            <v>11</v>
          </cell>
          <cell r="J3507" t="str">
            <v>WOOD COATINGS</v>
          </cell>
          <cell r="K3507" t="str">
            <v>1119</v>
          </cell>
          <cell r="L3507" t="str">
            <v>WATERBASED</v>
          </cell>
          <cell r="M3507" t="str">
            <v>111901</v>
          </cell>
          <cell r="N3507" t="str">
            <v>WATERBASED SYSTEM EXTERIOR</v>
          </cell>
        </row>
        <row r="3508">
          <cell r="C3508" t="str">
            <v>100004952</v>
          </cell>
          <cell r="D3508" t="str">
            <v>WBL-63226 EX ACACIA 15 NS VN-20KP</v>
          </cell>
          <cell r="E3508" t="str">
            <v>ZFGD</v>
          </cell>
          <cell r="F3508" t="str">
            <v>PC</v>
          </cell>
          <cell r="G3508" t="str">
            <v>1</v>
          </cell>
          <cell r="H3508" t="str">
            <v>INDUSTRY</v>
          </cell>
          <cell r="I3508" t="str">
            <v>11</v>
          </cell>
          <cell r="J3508" t="str">
            <v>WOOD COATINGS</v>
          </cell>
          <cell r="K3508" t="str">
            <v>1119</v>
          </cell>
          <cell r="L3508" t="str">
            <v>WATERBASED</v>
          </cell>
          <cell r="M3508" t="str">
            <v>111901</v>
          </cell>
          <cell r="N3508" t="str">
            <v>WATERBASED SYSTEM EXTERIOR</v>
          </cell>
        </row>
        <row r="3509">
          <cell r="C3509" t="str">
            <v>100004953</v>
          </cell>
          <cell r="D3509" t="str">
            <v>WBL-63226 EX ACACIA 15 NS VN-200KB</v>
          </cell>
          <cell r="E3509" t="str">
            <v>ZFGD</v>
          </cell>
          <cell r="F3509" t="str">
            <v>PC</v>
          </cell>
          <cell r="G3509" t="str">
            <v>1</v>
          </cell>
          <cell r="H3509" t="str">
            <v>INDUSTRY</v>
          </cell>
          <cell r="I3509" t="str">
            <v>11</v>
          </cell>
          <cell r="J3509" t="str">
            <v>WOOD COATINGS</v>
          </cell>
          <cell r="K3509" t="str">
            <v>1119</v>
          </cell>
          <cell r="L3509" t="str">
            <v>WATERBASED</v>
          </cell>
          <cell r="M3509" t="str">
            <v>111901</v>
          </cell>
          <cell r="N3509" t="str">
            <v>WATERBASED SYSTEM EXTERIOR</v>
          </cell>
        </row>
        <row r="3510">
          <cell r="C3510" t="str">
            <v>100004954</v>
          </cell>
          <cell r="D3510" t="str">
            <v>SST-11100 03 VC III VN-18KJ</v>
          </cell>
          <cell r="E3510" t="str">
            <v>ZFGD</v>
          </cell>
          <cell r="F3510" t="str">
            <v>PC</v>
          </cell>
          <cell r="G3510" t="str">
            <v>1</v>
          </cell>
          <cell r="H3510" t="str">
            <v>INDUSTRY</v>
          </cell>
          <cell r="I3510" t="str">
            <v>11</v>
          </cell>
          <cell r="J3510" t="str">
            <v>WOOD COATINGS</v>
          </cell>
          <cell r="K3510" t="str">
            <v>1109</v>
          </cell>
          <cell r="L3510" t="str">
            <v>STAIN &amp; GLAZE INTERIOR</v>
          </cell>
          <cell r="M3510" t="str">
            <v>110903</v>
          </cell>
          <cell r="N3510" t="str">
            <v>STAIN INTERIOR</v>
          </cell>
        </row>
        <row r="3511">
          <cell r="C3511" t="str">
            <v>100004955</v>
          </cell>
          <cell r="D3511" t="str">
            <v>SST-11100 04 VC III VN-18KJ</v>
          </cell>
          <cell r="E3511" t="str">
            <v>ZFGD</v>
          </cell>
          <cell r="F3511" t="str">
            <v>PC</v>
          </cell>
          <cell r="G3511" t="str">
            <v>1</v>
          </cell>
          <cell r="H3511" t="str">
            <v>INDUSTRY</v>
          </cell>
          <cell r="I3511" t="str">
            <v>11</v>
          </cell>
          <cell r="J3511" t="str">
            <v>WOOD COATINGS</v>
          </cell>
          <cell r="K3511" t="str">
            <v>1109</v>
          </cell>
          <cell r="L3511" t="str">
            <v>STAIN &amp; GLAZE INTERIOR</v>
          </cell>
          <cell r="M3511" t="str">
            <v>110903</v>
          </cell>
          <cell r="N3511" t="str">
            <v>STAIN INTERIOR</v>
          </cell>
        </row>
        <row r="3512">
          <cell r="C3512" t="str">
            <v>100004956</v>
          </cell>
          <cell r="D3512" t="str">
            <v>GZPU-21500 03 VC III VN-18KP</v>
          </cell>
          <cell r="E3512" t="str">
            <v>ZFGD</v>
          </cell>
          <cell r="F3512" t="str">
            <v>PC</v>
          </cell>
          <cell r="G3512" t="str">
            <v>1</v>
          </cell>
          <cell r="H3512" t="str">
            <v>INDUSTRY</v>
          </cell>
          <cell r="I3512" t="str">
            <v>11</v>
          </cell>
          <cell r="J3512" t="str">
            <v>WOOD COATINGS</v>
          </cell>
          <cell r="K3512" t="str">
            <v>1103</v>
          </cell>
          <cell r="L3512" t="str">
            <v>PU</v>
          </cell>
          <cell r="M3512" t="str">
            <v>110302</v>
          </cell>
          <cell r="N3512" t="str">
            <v>GLAZE PU</v>
          </cell>
        </row>
        <row r="3513">
          <cell r="C3513" t="str">
            <v>100004957</v>
          </cell>
          <cell r="D3513" t="str">
            <v>GZPU-21500 04 VC III VN-18KP</v>
          </cell>
          <cell r="E3513" t="str">
            <v>ZFGD</v>
          </cell>
          <cell r="F3513" t="str">
            <v>PC</v>
          </cell>
          <cell r="G3513" t="str">
            <v>1</v>
          </cell>
          <cell r="H3513" t="str">
            <v>INDUSTRY</v>
          </cell>
          <cell r="I3513" t="str">
            <v>11</v>
          </cell>
          <cell r="J3513" t="str">
            <v>WOOD COATINGS</v>
          </cell>
          <cell r="K3513" t="str">
            <v>1103</v>
          </cell>
          <cell r="L3513" t="str">
            <v>PU</v>
          </cell>
          <cell r="M3513" t="str">
            <v>110302</v>
          </cell>
          <cell r="N3513" t="str">
            <v>GLAZE PU</v>
          </cell>
        </row>
        <row r="3514">
          <cell r="C3514" t="str">
            <v>100004958</v>
          </cell>
          <cell r="D3514" t="str">
            <v>64-56 MICRO FILER DS02 IP VN-20KP</v>
          </cell>
          <cell r="E3514" t="str">
            <v>ZFGD</v>
          </cell>
          <cell r="F3514" t="str">
            <v>PC</v>
          </cell>
          <cell r="G3514" t="str">
            <v>1</v>
          </cell>
          <cell r="H3514" t="str">
            <v>INDUSTRY</v>
          </cell>
          <cell r="I3514" t="str">
            <v>11</v>
          </cell>
          <cell r="J3514" t="str">
            <v>WOOD COATINGS</v>
          </cell>
          <cell r="K3514" t="str">
            <v>1103</v>
          </cell>
          <cell r="L3514" t="str">
            <v>PU</v>
          </cell>
          <cell r="M3514" t="str">
            <v>110305</v>
          </cell>
          <cell r="N3514" t="str">
            <v>UNION FILLER</v>
          </cell>
        </row>
        <row r="3515">
          <cell r="C3515" t="str">
            <v>100004959</v>
          </cell>
          <cell r="D3515" t="str">
            <v>SST-11100 DS02 A IP VN-18KJ</v>
          </cell>
          <cell r="E3515" t="str">
            <v>ZFGD</v>
          </cell>
          <cell r="F3515" t="str">
            <v>PC</v>
          </cell>
          <cell r="G3515" t="str">
            <v>1</v>
          </cell>
          <cell r="H3515" t="str">
            <v>INDUSTRY</v>
          </cell>
          <cell r="I3515" t="str">
            <v>11</v>
          </cell>
          <cell r="J3515" t="str">
            <v>WOOD COATINGS</v>
          </cell>
          <cell r="K3515" t="str">
            <v>1109</v>
          </cell>
          <cell r="L3515" t="str">
            <v>STAIN &amp; GLAZE INTERIOR</v>
          </cell>
          <cell r="M3515" t="str">
            <v>110903</v>
          </cell>
          <cell r="N3515" t="str">
            <v>STAIN INTERIOR</v>
          </cell>
        </row>
        <row r="3516">
          <cell r="C3516" t="str">
            <v>100004960</v>
          </cell>
          <cell r="D3516" t="str">
            <v>SST-11100 DS02 B IP VN-18KJ</v>
          </cell>
          <cell r="E3516" t="str">
            <v>ZFGD</v>
          </cell>
          <cell r="F3516" t="str">
            <v>PC</v>
          </cell>
          <cell r="G3516" t="str">
            <v>1</v>
          </cell>
          <cell r="H3516" t="str">
            <v>INDUSTRY</v>
          </cell>
          <cell r="I3516" t="str">
            <v>11</v>
          </cell>
          <cell r="J3516" t="str">
            <v>WOOD COATINGS</v>
          </cell>
          <cell r="K3516" t="str">
            <v>1109</v>
          </cell>
          <cell r="L3516" t="str">
            <v>STAIN &amp; GLAZE INTERIOR</v>
          </cell>
          <cell r="M3516" t="str">
            <v>110903</v>
          </cell>
          <cell r="N3516" t="str">
            <v>STAIN INTERIOR</v>
          </cell>
        </row>
        <row r="3517">
          <cell r="C3517" t="str">
            <v>100004961</v>
          </cell>
          <cell r="D3517" t="str">
            <v>DP-12123 LC LK1173A IP VN-20KP</v>
          </cell>
          <cell r="E3517" t="str">
            <v>ZFGD</v>
          </cell>
          <cell r="F3517" t="str">
            <v>PC</v>
          </cell>
          <cell r="G3517" t="str">
            <v>1</v>
          </cell>
          <cell r="H3517" t="str">
            <v>INDUSTRY</v>
          </cell>
          <cell r="I3517" t="str">
            <v>11</v>
          </cell>
          <cell r="J3517" t="str">
            <v>WOOD COATINGS</v>
          </cell>
          <cell r="K3517" t="str">
            <v>1104</v>
          </cell>
          <cell r="L3517" t="str">
            <v>NC</v>
          </cell>
          <cell r="M3517" t="str">
            <v>110405</v>
          </cell>
          <cell r="N3517" t="str">
            <v>NC SYSTEM</v>
          </cell>
        </row>
        <row r="3518">
          <cell r="C3518" t="str">
            <v>100004962</v>
          </cell>
          <cell r="D3518" t="str">
            <v>DC-12223 LC LK1173A 05 IP VN-20KP</v>
          </cell>
          <cell r="E3518" t="str">
            <v>ZFGD</v>
          </cell>
          <cell r="F3518" t="str">
            <v>PC</v>
          </cell>
          <cell r="G3518" t="str">
            <v>1</v>
          </cell>
          <cell r="H3518" t="str">
            <v>INDUSTRY</v>
          </cell>
          <cell r="I3518" t="str">
            <v>11</v>
          </cell>
          <cell r="J3518" t="str">
            <v>WOOD COATINGS</v>
          </cell>
          <cell r="K3518" t="str">
            <v>1104</v>
          </cell>
          <cell r="L3518" t="str">
            <v>NC</v>
          </cell>
          <cell r="M3518" t="str">
            <v>110405</v>
          </cell>
          <cell r="N3518" t="str">
            <v>NC SYSTEM</v>
          </cell>
        </row>
        <row r="3519">
          <cell r="C3519" t="str">
            <v>100004963</v>
          </cell>
          <cell r="D3519" t="str">
            <v>SST-11100 05 VC III VN-180KK</v>
          </cell>
          <cell r="E3519" t="str">
            <v>ZFGD</v>
          </cell>
          <cell r="F3519" t="str">
            <v>PC</v>
          </cell>
          <cell r="G3519" t="str">
            <v>1</v>
          </cell>
          <cell r="H3519" t="str">
            <v>INDUSTRY</v>
          </cell>
          <cell r="I3519" t="str">
            <v>11</v>
          </cell>
          <cell r="J3519" t="str">
            <v>WOOD COATINGS</v>
          </cell>
          <cell r="K3519" t="str">
            <v>1109</v>
          </cell>
          <cell r="L3519" t="str">
            <v>STAIN &amp; GLAZE INTERIOR</v>
          </cell>
          <cell r="M3519" t="str">
            <v>110903</v>
          </cell>
          <cell r="N3519" t="str">
            <v>STAIN INTERIOR</v>
          </cell>
        </row>
        <row r="3520">
          <cell r="C3520" t="str">
            <v>100004964</v>
          </cell>
          <cell r="D3520" t="str">
            <v>SST-11100 03 VC III VN-180KK</v>
          </cell>
          <cell r="E3520" t="str">
            <v>ZFGD</v>
          </cell>
          <cell r="F3520" t="str">
            <v>PC</v>
          </cell>
          <cell r="G3520" t="str">
            <v>1</v>
          </cell>
          <cell r="H3520" t="str">
            <v>INDUSTRY</v>
          </cell>
          <cell r="I3520" t="str">
            <v>11</v>
          </cell>
          <cell r="J3520" t="str">
            <v>WOOD COATINGS</v>
          </cell>
          <cell r="K3520" t="str">
            <v>1109</v>
          </cell>
          <cell r="L3520" t="str">
            <v>STAIN &amp; GLAZE INTERIOR</v>
          </cell>
          <cell r="M3520" t="str">
            <v>110903</v>
          </cell>
          <cell r="N3520" t="str">
            <v>STAIN INTERIOR</v>
          </cell>
        </row>
        <row r="3521">
          <cell r="C3521" t="str">
            <v>100004965</v>
          </cell>
          <cell r="D3521" t="str">
            <v>SST-11100 04 VC III VN-180KK</v>
          </cell>
          <cell r="E3521" t="str">
            <v>ZFGD</v>
          </cell>
          <cell r="F3521" t="str">
            <v>PC</v>
          </cell>
          <cell r="G3521" t="str">
            <v>1</v>
          </cell>
          <cell r="H3521" t="str">
            <v>INDUSTRY</v>
          </cell>
          <cell r="I3521" t="str">
            <v>11</v>
          </cell>
          <cell r="J3521" t="str">
            <v>WOOD COATINGS</v>
          </cell>
          <cell r="K3521" t="str">
            <v>1109</v>
          </cell>
          <cell r="L3521" t="str">
            <v>STAIN &amp; GLAZE INTERIOR</v>
          </cell>
          <cell r="M3521" t="str">
            <v>110903</v>
          </cell>
          <cell r="N3521" t="str">
            <v>STAIN INTERIOR</v>
          </cell>
        </row>
        <row r="3522">
          <cell r="C3522" t="str">
            <v>100004966</v>
          </cell>
          <cell r="D3522" t="str">
            <v>MEP-12003 03 TE VN-18KP</v>
          </cell>
          <cell r="E3522" t="str">
            <v>ZFGD</v>
          </cell>
          <cell r="F3522" t="str">
            <v>PC</v>
          </cell>
          <cell r="G3522" t="str">
            <v>1</v>
          </cell>
          <cell r="H3522" t="str">
            <v>INDUSTRY</v>
          </cell>
          <cell r="I3522" t="str">
            <v>16</v>
          </cell>
          <cell r="J3522" t="str">
            <v>METAL COATINGS</v>
          </cell>
          <cell r="K3522" t="str">
            <v>1601</v>
          </cell>
          <cell r="L3522" t="str">
            <v>METAL COATINGS</v>
          </cell>
          <cell r="M3522" t="str">
            <v>160101</v>
          </cell>
          <cell r="N3522" t="str">
            <v>METAL COATINGS</v>
          </cell>
        </row>
        <row r="3523">
          <cell r="C3523" t="str">
            <v>100004967</v>
          </cell>
          <cell r="D3523" t="str">
            <v>DP-12129 LC Y69 A DH VN-18KP</v>
          </cell>
          <cell r="E3523" t="str">
            <v>ZFGD</v>
          </cell>
          <cell r="F3523" t="str">
            <v>PC</v>
          </cell>
          <cell r="G3523" t="str">
            <v>1</v>
          </cell>
          <cell r="H3523" t="str">
            <v>INDUSTRY</v>
          </cell>
          <cell r="I3523" t="str">
            <v>11</v>
          </cell>
          <cell r="J3523" t="str">
            <v>WOOD COATINGS</v>
          </cell>
          <cell r="K3523" t="str">
            <v>1104</v>
          </cell>
          <cell r="L3523" t="str">
            <v>NC</v>
          </cell>
          <cell r="M3523" t="str">
            <v>110405</v>
          </cell>
          <cell r="N3523" t="str">
            <v>NC SYSTEM</v>
          </cell>
        </row>
        <row r="3524">
          <cell r="C3524" t="str">
            <v>100004968</v>
          </cell>
          <cell r="D3524" t="str">
            <v>DP-12129 LC Y150 DH VN-18KP</v>
          </cell>
          <cell r="E3524" t="str">
            <v>ZFGD</v>
          </cell>
          <cell r="F3524" t="str">
            <v>PC</v>
          </cell>
          <cell r="G3524" t="str">
            <v>1</v>
          </cell>
          <cell r="H3524" t="str">
            <v>INDUSTRY</v>
          </cell>
          <cell r="I3524" t="str">
            <v>11</v>
          </cell>
          <cell r="J3524" t="str">
            <v>WOOD COATINGS</v>
          </cell>
          <cell r="K3524" t="str">
            <v>1104</v>
          </cell>
          <cell r="L3524" t="str">
            <v>NC</v>
          </cell>
          <cell r="M3524" t="str">
            <v>110405</v>
          </cell>
          <cell r="N3524" t="str">
            <v>NC SYSTEM</v>
          </cell>
        </row>
        <row r="3525">
          <cell r="C3525" t="str">
            <v>100004969</v>
          </cell>
          <cell r="D3525" t="str">
            <v>DP-12129 LC X80 DH VN-18KP</v>
          </cell>
          <cell r="E3525" t="str">
            <v>ZFGD</v>
          </cell>
          <cell r="F3525" t="str">
            <v>PC</v>
          </cell>
          <cell r="G3525" t="str">
            <v>1</v>
          </cell>
          <cell r="H3525" t="str">
            <v>INDUSTRY</v>
          </cell>
          <cell r="I3525" t="str">
            <v>11</v>
          </cell>
          <cell r="J3525" t="str">
            <v>WOOD COATINGS</v>
          </cell>
          <cell r="K3525" t="str">
            <v>1104</v>
          </cell>
          <cell r="L3525" t="str">
            <v>NC</v>
          </cell>
          <cell r="M3525" t="str">
            <v>110405</v>
          </cell>
          <cell r="N3525" t="str">
            <v>NC SYSTEM</v>
          </cell>
        </row>
        <row r="3526">
          <cell r="C3526" t="str">
            <v>100004970</v>
          </cell>
          <cell r="D3526" t="str">
            <v>PCA-31100 Y69 B DH VN-16KJ</v>
          </cell>
          <cell r="E3526" t="str">
            <v>ZFGD</v>
          </cell>
          <cell r="F3526" t="str">
            <v>PC</v>
          </cell>
          <cell r="G3526" t="str">
            <v>1</v>
          </cell>
          <cell r="H3526" t="str">
            <v>INDUSTRY</v>
          </cell>
          <cell r="I3526" t="str">
            <v>11</v>
          </cell>
          <cell r="J3526" t="str">
            <v>WOOD COATINGS</v>
          </cell>
          <cell r="K3526" t="str">
            <v>1118</v>
          </cell>
          <cell r="L3526" t="str">
            <v>COMPLEMENTARY</v>
          </cell>
          <cell r="M3526" t="str">
            <v>111807</v>
          </cell>
          <cell r="N3526" t="str">
            <v>PASTA</v>
          </cell>
        </row>
        <row r="3527">
          <cell r="C3527" t="str">
            <v>100004971</v>
          </cell>
          <cell r="D3527" t="str">
            <v>PUC-52235 BLACK 05 YJ VN-20KP</v>
          </cell>
          <cell r="E3527" t="str">
            <v>ZFGD</v>
          </cell>
          <cell r="F3527" t="str">
            <v>PC</v>
          </cell>
          <cell r="G3527" t="str">
            <v>1</v>
          </cell>
          <cell r="H3527" t="str">
            <v>INDUSTRY</v>
          </cell>
          <cell r="I3527" t="str">
            <v>11</v>
          </cell>
          <cell r="J3527" t="str">
            <v>WOOD COATINGS</v>
          </cell>
          <cell r="K3527" t="str">
            <v>1103</v>
          </cell>
          <cell r="L3527" t="str">
            <v>PU</v>
          </cell>
          <cell r="M3527" t="str">
            <v>110319</v>
          </cell>
          <cell r="N3527" t="str">
            <v>PU COLOR</v>
          </cell>
        </row>
        <row r="3528">
          <cell r="C3528" t="str">
            <v>100004972</v>
          </cell>
          <cell r="D3528" t="str">
            <v>UVS-20602 FHO 01 SC VN-20KP</v>
          </cell>
          <cell r="E3528" t="str">
            <v>ZFGD</v>
          </cell>
          <cell r="F3528" t="str">
            <v>PC</v>
          </cell>
          <cell r="G3528" t="str">
            <v>1</v>
          </cell>
          <cell r="H3528" t="str">
            <v>INDUSTRY</v>
          </cell>
          <cell r="I3528" t="str">
            <v>11</v>
          </cell>
          <cell r="J3528" t="str">
            <v>WOOD COATINGS</v>
          </cell>
          <cell r="K3528" t="str">
            <v>1106</v>
          </cell>
          <cell r="L3528" t="str">
            <v>UV</v>
          </cell>
          <cell r="M3528" t="str">
            <v>110606</v>
          </cell>
          <cell r="N3528" t="str">
            <v>UV STAIN</v>
          </cell>
        </row>
        <row r="3529">
          <cell r="C3529" t="str">
            <v>100004973</v>
          </cell>
          <cell r="D3529" t="str">
            <v>UVS-20602 FHO 02 SC VN-20KP</v>
          </cell>
          <cell r="E3529" t="str">
            <v>ZFGD</v>
          </cell>
          <cell r="F3529" t="str">
            <v>PC</v>
          </cell>
          <cell r="G3529" t="str">
            <v>1</v>
          </cell>
          <cell r="H3529" t="str">
            <v>INDUSTRY</v>
          </cell>
          <cell r="I3529" t="str">
            <v>11</v>
          </cell>
          <cell r="J3529" t="str">
            <v>WOOD COATINGS</v>
          </cell>
          <cell r="K3529" t="str">
            <v>1106</v>
          </cell>
          <cell r="L3529" t="str">
            <v>UV</v>
          </cell>
          <cell r="M3529" t="str">
            <v>110606</v>
          </cell>
          <cell r="N3529" t="str">
            <v>UV STAIN</v>
          </cell>
        </row>
        <row r="3530">
          <cell r="C3530" t="str">
            <v>100004975</v>
          </cell>
          <cell r="D3530" t="str">
            <v>TOL-76301 N FR01 F1 VN-16KJ</v>
          </cell>
          <cell r="E3530" t="str">
            <v>ZFGD</v>
          </cell>
          <cell r="F3530" t="str">
            <v>PC</v>
          </cell>
          <cell r="G3530" t="str">
            <v>1</v>
          </cell>
          <cell r="H3530" t="str">
            <v>INDUSTRY</v>
          </cell>
          <cell r="I3530" t="str">
            <v>11</v>
          </cell>
          <cell r="J3530" t="str">
            <v>WOOD COATINGS</v>
          </cell>
          <cell r="K3530" t="str">
            <v>1101</v>
          </cell>
          <cell r="L3530" t="str">
            <v>ALKYD OIL</v>
          </cell>
          <cell r="M3530" t="str">
            <v>110101</v>
          </cell>
          <cell r="N3530" t="str">
            <v>ALKYD &amp; OIL SYSTEM</v>
          </cell>
        </row>
        <row r="3531">
          <cell r="C3531" t="str">
            <v>100004977</v>
          </cell>
          <cell r="D3531" t="str">
            <v>PUC-54205 AC 03 10 SW VN-20KP</v>
          </cell>
          <cell r="E3531" t="str">
            <v>ZFGD</v>
          </cell>
          <cell r="F3531" t="str">
            <v>PC</v>
          </cell>
          <cell r="G3531" t="str">
            <v>1</v>
          </cell>
          <cell r="H3531" t="str">
            <v>INDUSTRY</v>
          </cell>
          <cell r="I3531" t="str">
            <v>11</v>
          </cell>
          <cell r="J3531" t="str">
            <v>WOOD COATINGS</v>
          </cell>
          <cell r="K3531" t="str">
            <v>1103</v>
          </cell>
          <cell r="L3531" t="str">
            <v>PU</v>
          </cell>
          <cell r="M3531" t="str">
            <v>110319</v>
          </cell>
          <cell r="N3531" t="str">
            <v>PU COLOR</v>
          </cell>
        </row>
        <row r="3532">
          <cell r="C3532" t="str">
            <v>100004978</v>
          </cell>
          <cell r="D3532" t="str">
            <v>PCWB-31601 GREEN OB PASTE-4K</v>
          </cell>
          <cell r="E3532" t="str">
            <v>ZFGD</v>
          </cell>
          <cell r="F3532" t="str">
            <v>PC</v>
          </cell>
          <cell r="G3532" t="str">
            <v>1</v>
          </cell>
          <cell r="H3532" t="str">
            <v>INDUSTRY</v>
          </cell>
          <cell r="I3532" t="str">
            <v>11</v>
          </cell>
          <cell r="J3532" t="str">
            <v>WOOD COATINGS</v>
          </cell>
          <cell r="K3532" t="str">
            <v>1118</v>
          </cell>
          <cell r="L3532" t="str">
            <v>COMPLEMENTARY</v>
          </cell>
          <cell r="M3532" t="str">
            <v>111807</v>
          </cell>
          <cell r="N3532" t="str">
            <v>PASTA</v>
          </cell>
        </row>
        <row r="3533">
          <cell r="C3533" t="str">
            <v>100004979</v>
          </cell>
          <cell r="D3533" t="str">
            <v>DC-12223 LC 03A 10 IP VN-20KP</v>
          </cell>
          <cell r="E3533" t="str">
            <v>ZFGD</v>
          </cell>
          <cell r="F3533" t="str">
            <v>PC</v>
          </cell>
          <cell r="G3533" t="str">
            <v>1</v>
          </cell>
          <cell r="H3533" t="str">
            <v>INDUSTRY</v>
          </cell>
          <cell r="I3533" t="str">
            <v>11</v>
          </cell>
          <cell r="J3533" t="str">
            <v>WOOD COATINGS</v>
          </cell>
          <cell r="K3533" t="str">
            <v>1104</v>
          </cell>
          <cell r="L3533" t="str">
            <v>NC</v>
          </cell>
          <cell r="M3533" t="str">
            <v>110405</v>
          </cell>
          <cell r="N3533" t="str">
            <v>NC SYSTEM</v>
          </cell>
        </row>
        <row r="3534">
          <cell r="C3534" t="str">
            <v>100004980</v>
          </cell>
          <cell r="D3534" t="str">
            <v>PUC-54205 AC 04 10 SW VN-20KP</v>
          </cell>
          <cell r="E3534" t="str">
            <v>ZFGD</v>
          </cell>
          <cell r="F3534" t="str">
            <v>PC</v>
          </cell>
          <cell r="G3534" t="str">
            <v>1</v>
          </cell>
          <cell r="H3534" t="str">
            <v>INDUSTRY</v>
          </cell>
          <cell r="I3534" t="str">
            <v>11</v>
          </cell>
          <cell r="J3534" t="str">
            <v>WOOD COATINGS</v>
          </cell>
          <cell r="K3534" t="str">
            <v>1103</v>
          </cell>
          <cell r="L3534" t="str">
            <v>PU</v>
          </cell>
          <cell r="M3534" t="str">
            <v>110319</v>
          </cell>
          <cell r="N3534" t="str">
            <v>PU COLOR</v>
          </cell>
        </row>
        <row r="3535">
          <cell r="C3535" t="str">
            <v>100004981</v>
          </cell>
          <cell r="D3535" t="str">
            <v>11-260-2 AF PU THINNER-26KJ</v>
          </cell>
          <cell r="E3535" t="str">
            <v>ZFGD</v>
          </cell>
          <cell r="F3535" t="str">
            <v>PC</v>
          </cell>
          <cell r="G3535" t="str">
            <v>1</v>
          </cell>
          <cell r="H3535" t="str">
            <v>INDUSTRY</v>
          </cell>
          <cell r="I3535" t="str">
            <v>14</v>
          </cell>
          <cell r="J3535" t="str">
            <v>THINNER</v>
          </cell>
          <cell r="K3535" t="str">
            <v>1411</v>
          </cell>
          <cell r="L3535" t="str">
            <v>THINNER PU</v>
          </cell>
          <cell r="M3535" t="str">
            <v>141102</v>
          </cell>
          <cell r="N3535" t="str">
            <v>UNION THINNER</v>
          </cell>
        </row>
        <row r="3536">
          <cell r="C3536" t="str">
            <v>100004982</v>
          </cell>
          <cell r="D3536" t="str">
            <v>WBC-1622 35 WHITE 30 VN-20KP</v>
          </cell>
          <cell r="E3536" t="str">
            <v>ZFGD</v>
          </cell>
          <cell r="F3536" t="str">
            <v>PC</v>
          </cell>
          <cell r="G3536" t="str">
            <v>1</v>
          </cell>
          <cell r="H3536" t="str">
            <v>INDUSTRY</v>
          </cell>
          <cell r="I3536" t="str">
            <v>11</v>
          </cell>
          <cell r="J3536" t="str">
            <v>WOOD COATINGS</v>
          </cell>
          <cell r="K3536" t="str">
            <v>1119</v>
          </cell>
          <cell r="L3536" t="str">
            <v>WATERBASED</v>
          </cell>
          <cell r="M3536" t="str">
            <v>111902</v>
          </cell>
          <cell r="N3536" t="str">
            <v>WATERBASED SYSTEM INTERIOR</v>
          </cell>
        </row>
        <row r="3537">
          <cell r="C3537" t="str">
            <v>100004985</v>
          </cell>
          <cell r="D3537" t="str">
            <v>UVS-20602 BASE BLACK 01 VN-5K</v>
          </cell>
          <cell r="E3537" t="str">
            <v>ZFGD</v>
          </cell>
          <cell r="F3537" t="str">
            <v>PC</v>
          </cell>
          <cell r="G3537" t="str">
            <v>1</v>
          </cell>
          <cell r="H3537" t="str">
            <v>INDUSTRY</v>
          </cell>
          <cell r="I3537" t="str">
            <v>11</v>
          </cell>
          <cell r="J3537" t="str">
            <v>WOOD COATINGS</v>
          </cell>
          <cell r="K3537" t="str">
            <v>1106</v>
          </cell>
          <cell r="L3537" t="str">
            <v>UV</v>
          </cell>
          <cell r="M3537" t="str">
            <v>110606</v>
          </cell>
          <cell r="N3537" t="str">
            <v>UV STAIN</v>
          </cell>
        </row>
        <row r="3538">
          <cell r="C3538" t="str">
            <v>100004986</v>
          </cell>
          <cell r="D3538" t="str">
            <v>UVS-20602 BASE BLACK 01 VN-20KP</v>
          </cell>
          <cell r="E3538" t="str">
            <v>ZFGD</v>
          </cell>
          <cell r="F3538" t="str">
            <v>PC</v>
          </cell>
          <cell r="G3538" t="str">
            <v>1</v>
          </cell>
          <cell r="H3538" t="str">
            <v>INDUSTRY</v>
          </cell>
          <cell r="I3538" t="str">
            <v>11</v>
          </cell>
          <cell r="J3538" t="str">
            <v>WOOD COATINGS</v>
          </cell>
          <cell r="K3538" t="str">
            <v>1106</v>
          </cell>
          <cell r="L3538" t="str">
            <v>UV</v>
          </cell>
          <cell r="M3538" t="str">
            <v>110606</v>
          </cell>
          <cell r="N3538" t="str">
            <v>UV STAIN</v>
          </cell>
        </row>
        <row r="3539">
          <cell r="C3539" t="str">
            <v>100004987</v>
          </cell>
          <cell r="D3539" t="str">
            <v>UVL-50563 LY CLEAR 05 VN-20KP</v>
          </cell>
          <cell r="E3539" t="str">
            <v>ZFGD</v>
          </cell>
          <cell r="F3539" t="str">
            <v>PC</v>
          </cell>
          <cell r="G3539" t="str">
            <v>1</v>
          </cell>
          <cell r="H3539" t="str">
            <v>INDUSTRY</v>
          </cell>
          <cell r="I3539" t="str">
            <v>11</v>
          </cell>
          <cell r="J3539" t="str">
            <v>WOOD COATINGS</v>
          </cell>
          <cell r="K3539" t="str">
            <v>1106</v>
          </cell>
          <cell r="L3539" t="str">
            <v>UV</v>
          </cell>
          <cell r="M3539" t="str">
            <v>110607</v>
          </cell>
          <cell r="N3539" t="str">
            <v>UV TOP COAT CLEAR</v>
          </cell>
        </row>
        <row r="3540">
          <cell r="C3540" t="str">
            <v>100004988</v>
          </cell>
          <cell r="D3540" t="str">
            <v>EQ-10200 01 TC VN-16KJ</v>
          </cell>
          <cell r="E3540" t="str">
            <v>ZFGD</v>
          </cell>
          <cell r="F3540" t="str">
            <v>PC</v>
          </cell>
          <cell r="G3540" t="str">
            <v>1</v>
          </cell>
          <cell r="H3540" t="str">
            <v>INDUSTRY</v>
          </cell>
          <cell r="I3540" t="str">
            <v>11</v>
          </cell>
          <cell r="J3540" t="str">
            <v>WOOD COATINGS</v>
          </cell>
          <cell r="K3540" t="str">
            <v>1109</v>
          </cell>
          <cell r="L3540" t="str">
            <v>STAIN &amp; GLAZE INTERIOR</v>
          </cell>
          <cell r="M3540" t="str">
            <v>110901</v>
          </cell>
          <cell r="N3540" t="str">
            <v>ASOF : STAIN &amp; GLAZE</v>
          </cell>
        </row>
        <row r="3541">
          <cell r="C3541" t="str">
            <v>100004989</v>
          </cell>
          <cell r="D3541" t="str">
            <v>TOL-76301 N PSCQN PI VN-16KJ</v>
          </cell>
          <cell r="E3541" t="str">
            <v>ZFGD</v>
          </cell>
          <cell r="F3541" t="str">
            <v>PC</v>
          </cell>
          <cell r="G3541" t="str">
            <v>1</v>
          </cell>
          <cell r="H3541" t="str">
            <v>INDUSTRY</v>
          </cell>
          <cell r="I3541" t="str">
            <v>11</v>
          </cell>
          <cell r="J3541" t="str">
            <v>WOOD COATINGS</v>
          </cell>
          <cell r="K3541" t="str">
            <v>1101</v>
          </cell>
          <cell r="L3541" t="str">
            <v>ALKYD OIL</v>
          </cell>
          <cell r="M3541" t="str">
            <v>110101</v>
          </cell>
          <cell r="N3541" t="str">
            <v>ALKYD &amp; OIL SYSTEM</v>
          </cell>
        </row>
        <row r="3542">
          <cell r="C3542" t="str">
            <v>100004990</v>
          </cell>
          <cell r="D3542" t="str">
            <v>11-260-2 AF PU THINNER-160KK</v>
          </cell>
          <cell r="E3542" t="str">
            <v>ZFGD</v>
          </cell>
          <cell r="F3542" t="str">
            <v>PC</v>
          </cell>
          <cell r="G3542" t="str">
            <v>1</v>
          </cell>
          <cell r="H3542" t="str">
            <v>INDUSTRY</v>
          </cell>
          <cell r="I3542" t="str">
            <v>11</v>
          </cell>
          <cell r="J3542" t="str">
            <v>WOOD COATINGS</v>
          </cell>
          <cell r="K3542" t="str">
            <v>1101</v>
          </cell>
          <cell r="L3542" t="str">
            <v>ALKYD OIL</v>
          </cell>
          <cell r="M3542" t="str">
            <v>110101</v>
          </cell>
          <cell r="N3542" t="str">
            <v>ALKYD &amp; OIL SYSTEM</v>
          </cell>
        </row>
        <row r="3543">
          <cell r="C3543" t="str">
            <v>100004991</v>
          </cell>
          <cell r="D3543" t="str">
            <v>NBC-9345-902NAK-20KP</v>
          </cell>
          <cell r="E3543" t="str">
            <v>ZFGD</v>
          </cell>
          <cell r="F3543" t="str">
            <v>PC</v>
          </cell>
          <cell r="G3543" t="str">
            <v>1</v>
          </cell>
          <cell r="H3543" t="str">
            <v>INDUSTRY</v>
          </cell>
          <cell r="I3543" t="str">
            <v>11</v>
          </cell>
          <cell r="J3543" t="str">
            <v>WOOD COATINGS</v>
          </cell>
          <cell r="K3543" t="str">
            <v>1104</v>
          </cell>
          <cell r="L3543" t="str">
            <v>NC</v>
          </cell>
          <cell r="M3543" t="str">
            <v>110403</v>
          </cell>
          <cell r="N3543" t="str">
            <v>ASOF : NC BASE COAT</v>
          </cell>
        </row>
        <row r="3544">
          <cell r="C3544" t="str">
            <v>100004992</v>
          </cell>
          <cell r="D3544" t="str">
            <v>NBC-9345-902NAK-200KB</v>
          </cell>
          <cell r="E3544" t="str">
            <v>ZFGD</v>
          </cell>
          <cell r="F3544" t="str">
            <v>PC</v>
          </cell>
          <cell r="G3544" t="str">
            <v>1</v>
          </cell>
          <cell r="H3544" t="str">
            <v>INDUSTRY</v>
          </cell>
          <cell r="I3544" t="str">
            <v>11</v>
          </cell>
          <cell r="J3544" t="str">
            <v>WOOD COATINGS</v>
          </cell>
          <cell r="K3544" t="str">
            <v>1104</v>
          </cell>
          <cell r="L3544" t="str">
            <v>NC</v>
          </cell>
          <cell r="M3544" t="str">
            <v>110403</v>
          </cell>
          <cell r="N3544" t="str">
            <v>ASOF : NC BASE COAT</v>
          </cell>
        </row>
        <row r="3545">
          <cell r="C3545" t="str">
            <v>100004993</v>
          </cell>
          <cell r="D3545" t="str">
            <v>TOL-76301 N PSCQN PI VN-160KK</v>
          </cell>
          <cell r="E3545" t="str">
            <v>ZFGD</v>
          </cell>
          <cell r="F3545" t="str">
            <v>PC</v>
          </cell>
          <cell r="G3545" t="str">
            <v>1</v>
          </cell>
          <cell r="H3545" t="str">
            <v>INDUSTRY</v>
          </cell>
          <cell r="I3545" t="str">
            <v>11</v>
          </cell>
          <cell r="J3545" t="str">
            <v>WOOD COATINGS</v>
          </cell>
          <cell r="K3545" t="str">
            <v>1101</v>
          </cell>
          <cell r="L3545" t="str">
            <v>ALKYD OIL</v>
          </cell>
          <cell r="M3545" t="str">
            <v>110101</v>
          </cell>
          <cell r="N3545" t="str">
            <v>ALKYD &amp; OIL SYSTEM</v>
          </cell>
        </row>
        <row r="3546">
          <cell r="C3546" t="str">
            <v>100004994</v>
          </cell>
          <cell r="D3546" t="str">
            <v>WBG-66900 IBW-210KB</v>
          </cell>
          <cell r="E3546" t="str">
            <v>ZFGD</v>
          </cell>
          <cell r="F3546" t="str">
            <v>PC</v>
          </cell>
          <cell r="G3546" t="str">
            <v>1</v>
          </cell>
          <cell r="H3546" t="str">
            <v>INDUSTRY</v>
          </cell>
          <cell r="I3546" t="str">
            <v>11</v>
          </cell>
          <cell r="J3546" t="str">
            <v>WOOD COATINGS</v>
          </cell>
          <cell r="K3546" t="str">
            <v>1111</v>
          </cell>
          <cell r="L3546" t="str">
            <v>WATERBASED SYSTEM INTERIOR</v>
          </cell>
          <cell r="M3546" t="str">
            <v>111104</v>
          </cell>
          <cell r="N3546" t="str">
            <v>WATERBASED SYSTEM INTERIOR</v>
          </cell>
        </row>
        <row r="3547">
          <cell r="C3547" t="str">
            <v>100004995</v>
          </cell>
          <cell r="D3547" t="str">
            <v>AP-98200 SILVER 6030 VN-1K</v>
          </cell>
          <cell r="E3547" t="str">
            <v>ZFGD</v>
          </cell>
          <cell r="F3547" t="str">
            <v>PC</v>
          </cell>
          <cell r="G3547" t="str">
            <v>1</v>
          </cell>
          <cell r="H3547" t="str">
            <v>INDUSTRY</v>
          </cell>
          <cell r="I3547" t="str">
            <v>11</v>
          </cell>
          <cell r="J3547" t="str">
            <v>WOOD COATINGS</v>
          </cell>
          <cell r="K3547" t="str">
            <v>1118</v>
          </cell>
          <cell r="L3547" t="str">
            <v>COMPLEMENTARY</v>
          </cell>
          <cell r="M3547" t="str">
            <v>111802</v>
          </cell>
          <cell r="N3547" t="str">
            <v>ASOF : POWDER &amp; MATTING SOLUTION</v>
          </cell>
        </row>
        <row r="3548">
          <cell r="C3548" t="str">
            <v>100004996</v>
          </cell>
          <cell r="D3548" t="str">
            <v>PCA-31100 01 A FA VN-16KJ</v>
          </cell>
          <cell r="E3548" t="str">
            <v>ZFGD</v>
          </cell>
          <cell r="F3548" t="str">
            <v>PC</v>
          </cell>
          <cell r="G3548" t="str">
            <v>1</v>
          </cell>
          <cell r="H3548" t="str">
            <v>INDUSTRY</v>
          </cell>
          <cell r="I3548" t="str">
            <v>11</v>
          </cell>
          <cell r="J3548" t="str">
            <v>WOOD COATINGS</v>
          </cell>
          <cell r="K3548" t="str">
            <v>1118</v>
          </cell>
          <cell r="L3548" t="str">
            <v>COMPLEMENTARY</v>
          </cell>
          <cell r="M3548" t="str">
            <v>111807</v>
          </cell>
          <cell r="N3548" t="str">
            <v>PASTA</v>
          </cell>
        </row>
        <row r="3549">
          <cell r="C3549" t="str">
            <v>100004997</v>
          </cell>
          <cell r="D3549" t="str">
            <v>PCA-31100 01 B FA VN-16KJ</v>
          </cell>
          <cell r="E3549" t="str">
            <v>ZFGD</v>
          </cell>
          <cell r="F3549" t="str">
            <v>PC</v>
          </cell>
          <cell r="G3549" t="str">
            <v>1</v>
          </cell>
          <cell r="H3549" t="str">
            <v>INDUSTRY</v>
          </cell>
          <cell r="I3549" t="str">
            <v>11</v>
          </cell>
          <cell r="J3549" t="str">
            <v>WOOD COATINGS</v>
          </cell>
          <cell r="K3549" t="str">
            <v>1118</v>
          </cell>
          <cell r="L3549" t="str">
            <v>COMPLEMENTARY</v>
          </cell>
          <cell r="M3549" t="str">
            <v>111807</v>
          </cell>
          <cell r="N3549" t="str">
            <v>PASTA</v>
          </cell>
        </row>
        <row r="3550">
          <cell r="C3550" t="str">
            <v>100004998</v>
          </cell>
          <cell r="D3550" t="str">
            <v>11-260-2 AF PU THINNER-30LJ</v>
          </cell>
          <cell r="E3550" t="str">
            <v>ZFGD</v>
          </cell>
          <cell r="F3550" t="str">
            <v>PC</v>
          </cell>
          <cell r="G3550" t="str">
            <v>1</v>
          </cell>
          <cell r="H3550" t="str">
            <v>INDUSTRY</v>
          </cell>
          <cell r="I3550" t="str">
            <v>14</v>
          </cell>
          <cell r="J3550" t="str">
            <v>THINNER</v>
          </cell>
          <cell r="K3550" t="str">
            <v>1411</v>
          </cell>
          <cell r="L3550" t="str">
            <v>THINNER PU</v>
          </cell>
          <cell r="M3550" t="str">
            <v>141102</v>
          </cell>
          <cell r="N3550" t="str">
            <v>UNION THINNER</v>
          </cell>
        </row>
        <row r="3551">
          <cell r="C3551" t="str">
            <v>100004999</v>
          </cell>
          <cell r="D3551" t="str">
            <v>11-260-2 AF PU THINNER-200LK</v>
          </cell>
          <cell r="E3551" t="str">
            <v>ZFGD</v>
          </cell>
          <cell r="F3551" t="str">
            <v>PC</v>
          </cell>
          <cell r="G3551" t="str">
            <v>1</v>
          </cell>
          <cell r="H3551" t="str">
            <v>INDUSTRY</v>
          </cell>
          <cell r="I3551" t="str">
            <v>14</v>
          </cell>
          <cell r="J3551" t="str">
            <v>THINNER</v>
          </cell>
          <cell r="K3551" t="str">
            <v>1411</v>
          </cell>
          <cell r="L3551" t="str">
            <v>THINNER PU</v>
          </cell>
          <cell r="M3551" t="str">
            <v>141102</v>
          </cell>
          <cell r="N3551" t="str">
            <v>UNION THINNER</v>
          </cell>
        </row>
        <row r="3552">
          <cell r="C3552" t="str">
            <v>100005000</v>
          </cell>
          <cell r="D3552" t="str">
            <v>NBC-9345 1190AK-20KP</v>
          </cell>
          <cell r="E3552" t="str">
            <v>ZFGD</v>
          </cell>
          <cell r="F3552" t="str">
            <v>PC</v>
          </cell>
          <cell r="G3552" t="str">
            <v>1</v>
          </cell>
          <cell r="H3552" t="str">
            <v>INDUSTRY</v>
          </cell>
          <cell r="I3552" t="str">
            <v>11</v>
          </cell>
          <cell r="J3552" t="str">
            <v>WOOD COATINGS</v>
          </cell>
          <cell r="K3552" t="str">
            <v>1104</v>
          </cell>
          <cell r="L3552" t="str">
            <v>NC</v>
          </cell>
          <cell r="M3552" t="str">
            <v>110403</v>
          </cell>
          <cell r="N3552" t="str">
            <v>ASOF : NC BASE COAT</v>
          </cell>
        </row>
        <row r="3553">
          <cell r="C3553" t="str">
            <v>100005001</v>
          </cell>
          <cell r="D3553" t="str">
            <v>NBC-9345 1191AK-20KP</v>
          </cell>
          <cell r="E3553" t="str">
            <v>ZFGD</v>
          </cell>
          <cell r="F3553" t="str">
            <v>PC</v>
          </cell>
          <cell r="G3553" t="str">
            <v>1</v>
          </cell>
          <cell r="H3553" t="str">
            <v>INDUSTRY</v>
          </cell>
          <cell r="I3553" t="str">
            <v>11</v>
          </cell>
          <cell r="J3553" t="str">
            <v>WOOD COATINGS</v>
          </cell>
          <cell r="K3553" t="str">
            <v>1104</v>
          </cell>
          <cell r="L3553" t="str">
            <v>NC</v>
          </cell>
          <cell r="M3553" t="str">
            <v>110403</v>
          </cell>
          <cell r="N3553" t="str">
            <v>ASOF : NC BASE COAT</v>
          </cell>
        </row>
        <row r="3554">
          <cell r="C3554" t="str">
            <v>100005002</v>
          </cell>
          <cell r="D3554" t="str">
            <v>NBC-9345 1190AK-200KB</v>
          </cell>
          <cell r="E3554" t="str">
            <v>ZFGD</v>
          </cell>
          <cell r="F3554" t="str">
            <v>PC</v>
          </cell>
          <cell r="G3554" t="str">
            <v>1</v>
          </cell>
          <cell r="H3554" t="str">
            <v>INDUSTRY</v>
          </cell>
          <cell r="I3554" t="str">
            <v>11</v>
          </cell>
          <cell r="J3554" t="str">
            <v>WOOD COATINGS</v>
          </cell>
          <cell r="K3554" t="str">
            <v>1104</v>
          </cell>
          <cell r="L3554" t="str">
            <v>NC</v>
          </cell>
          <cell r="M3554" t="str">
            <v>110403</v>
          </cell>
          <cell r="N3554" t="str">
            <v>ASOF : NC BASE COAT</v>
          </cell>
        </row>
        <row r="3555">
          <cell r="C3555" t="str">
            <v>100005003</v>
          </cell>
          <cell r="D3555" t="str">
            <v>NBC-9345 1191AK-200KB</v>
          </cell>
          <cell r="E3555" t="str">
            <v>ZFGD</v>
          </cell>
          <cell r="F3555" t="str">
            <v>PC</v>
          </cell>
          <cell r="G3555" t="str">
            <v>1</v>
          </cell>
          <cell r="H3555" t="str">
            <v>INDUSTRY</v>
          </cell>
          <cell r="I3555" t="str">
            <v>11</v>
          </cell>
          <cell r="J3555" t="str">
            <v>WOOD COATINGS</v>
          </cell>
          <cell r="K3555" t="str">
            <v>1104</v>
          </cell>
          <cell r="L3555" t="str">
            <v>NC</v>
          </cell>
          <cell r="M3555" t="str">
            <v>110403</v>
          </cell>
          <cell r="N3555" t="str">
            <v>ASOF : NC BASE COAT</v>
          </cell>
        </row>
        <row r="3556">
          <cell r="C3556" t="str">
            <v>100005004</v>
          </cell>
          <cell r="D3556" t="str">
            <v>NBC-9345 1192AK-20KP</v>
          </cell>
          <cell r="E3556" t="str">
            <v>ZFGD</v>
          </cell>
          <cell r="F3556" t="str">
            <v>PC</v>
          </cell>
          <cell r="G3556" t="str">
            <v>1</v>
          </cell>
          <cell r="H3556" t="str">
            <v>INDUSTRY</v>
          </cell>
          <cell r="I3556" t="str">
            <v>11</v>
          </cell>
          <cell r="J3556" t="str">
            <v>WOOD COATINGS</v>
          </cell>
          <cell r="K3556" t="str">
            <v>1104</v>
          </cell>
          <cell r="L3556" t="str">
            <v>NC</v>
          </cell>
          <cell r="M3556" t="str">
            <v>110403</v>
          </cell>
          <cell r="N3556" t="str">
            <v>ASOF : NC BASE COAT</v>
          </cell>
        </row>
        <row r="3557">
          <cell r="C3557" t="str">
            <v>100005005</v>
          </cell>
          <cell r="D3557" t="str">
            <v>NBC-9345 1192AK-200KB</v>
          </cell>
          <cell r="E3557" t="str">
            <v>ZFGD</v>
          </cell>
          <cell r="F3557" t="str">
            <v>PC</v>
          </cell>
          <cell r="G3557" t="str">
            <v>1</v>
          </cell>
          <cell r="H3557" t="str">
            <v>INDUSTRY</v>
          </cell>
          <cell r="I3557" t="str">
            <v>11</v>
          </cell>
          <cell r="J3557" t="str">
            <v>WOOD COATINGS</v>
          </cell>
          <cell r="K3557" t="str">
            <v>1104</v>
          </cell>
          <cell r="L3557" t="str">
            <v>NC</v>
          </cell>
          <cell r="M3557" t="str">
            <v>110403</v>
          </cell>
          <cell r="N3557" t="str">
            <v>ASOF : NC BASE COAT</v>
          </cell>
        </row>
        <row r="3558">
          <cell r="C3558" t="str">
            <v>100005006</v>
          </cell>
          <cell r="D3558" t="str">
            <v>TOL-76301 02 TC VN-16KJ</v>
          </cell>
          <cell r="E3558" t="str">
            <v>ZFGD</v>
          </cell>
          <cell r="F3558" t="str">
            <v>PC</v>
          </cell>
          <cell r="G3558" t="str">
            <v>1</v>
          </cell>
          <cell r="H3558" t="str">
            <v>INDUSTRY</v>
          </cell>
          <cell r="I3558" t="str">
            <v>11</v>
          </cell>
          <cell r="J3558" t="str">
            <v>WOOD COATINGS</v>
          </cell>
          <cell r="K3558" t="str">
            <v>1101</v>
          </cell>
          <cell r="L3558" t="str">
            <v>ALKYD OIL</v>
          </cell>
          <cell r="M3558" t="str">
            <v>110101</v>
          </cell>
          <cell r="N3558" t="str">
            <v>ALKYD &amp; OIL SYSTEM</v>
          </cell>
        </row>
        <row r="3559">
          <cell r="C3559" t="str">
            <v>100005007</v>
          </cell>
          <cell r="D3559" t="str">
            <v>TOL-76301 03 TC VN-16KJ</v>
          </cell>
          <cell r="E3559" t="str">
            <v>ZFGD</v>
          </cell>
          <cell r="F3559" t="str">
            <v>PC</v>
          </cell>
          <cell r="G3559" t="str">
            <v>1</v>
          </cell>
          <cell r="H3559" t="str">
            <v>INDUSTRY</v>
          </cell>
          <cell r="I3559" t="str">
            <v>11</v>
          </cell>
          <cell r="J3559" t="str">
            <v>WOOD COATINGS</v>
          </cell>
          <cell r="K3559" t="str">
            <v>1101</v>
          </cell>
          <cell r="L3559" t="str">
            <v>ALKYD OIL</v>
          </cell>
          <cell r="M3559" t="str">
            <v>110101</v>
          </cell>
          <cell r="N3559" t="str">
            <v>ALKYD &amp; OIL SYSTEM</v>
          </cell>
        </row>
        <row r="3560">
          <cell r="C3560" t="str">
            <v>100005008</v>
          </cell>
          <cell r="D3560" t="str">
            <v>WBL-63221 EX RC BROWN V-200KB</v>
          </cell>
          <cell r="E3560" t="str">
            <v>ZFGD</v>
          </cell>
          <cell r="F3560" t="str">
            <v>PC</v>
          </cell>
          <cell r="G3560" t="str">
            <v>1</v>
          </cell>
          <cell r="H3560" t="str">
            <v>INDUSTRY</v>
          </cell>
          <cell r="I3560" t="str">
            <v>11</v>
          </cell>
          <cell r="J3560" t="str">
            <v>WOOD COATINGS</v>
          </cell>
          <cell r="K3560" t="str">
            <v>1119</v>
          </cell>
          <cell r="L3560" t="str">
            <v>WATERBASED</v>
          </cell>
          <cell r="M3560" t="str">
            <v>111901</v>
          </cell>
          <cell r="N3560" t="str">
            <v>WATERBASED SYSTEM EXTERIOR</v>
          </cell>
        </row>
        <row r="3561">
          <cell r="C3561" t="str">
            <v>100005009</v>
          </cell>
          <cell r="D3561" t="str">
            <v>PUC-54206 AC EX BBM 20 TL VN-20KP</v>
          </cell>
          <cell r="E3561" t="str">
            <v>ZFGD</v>
          </cell>
          <cell r="F3561" t="str">
            <v>PC</v>
          </cell>
          <cell r="G3561" t="str">
            <v>1</v>
          </cell>
          <cell r="H3561" t="str">
            <v>INDUSTRY</v>
          </cell>
          <cell r="I3561" t="str">
            <v>11</v>
          </cell>
          <cell r="J3561" t="str">
            <v>WOOD COATINGS</v>
          </cell>
          <cell r="K3561" t="str">
            <v>1103</v>
          </cell>
          <cell r="L3561" t="str">
            <v>PU</v>
          </cell>
          <cell r="M3561" t="str">
            <v>110319</v>
          </cell>
          <cell r="N3561" t="str">
            <v>PU COLOR</v>
          </cell>
        </row>
        <row r="3562">
          <cell r="C3562" t="str">
            <v>100005012</v>
          </cell>
          <cell r="D3562" t="str">
            <v>LOL-1762-01-AK-180KK</v>
          </cell>
          <cell r="E3562" t="str">
            <v>ZFGD</v>
          </cell>
          <cell r="F3562" t="str">
            <v>PC</v>
          </cell>
          <cell r="G3562" t="str">
            <v>1</v>
          </cell>
          <cell r="H3562" t="str">
            <v>INDUSTRY</v>
          </cell>
          <cell r="I3562" t="str">
            <v>11</v>
          </cell>
          <cell r="J3562" t="str">
            <v>WOOD COATINGS</v>
          </cell>
          <cell r="K3562" t="str">
            <v>1101</v>
          </cell>
          <cell r="L3562" t="str">
            <v>ALKYD OIL</v>
          </cell>
          <cell r="M3562" t="str">
            <v>110101</v>
          </cell>
          <cell r="N3562" t="str">
            <v>ALKYD &amp; OIL SYSTEM</v>
          </cell>
        </row>
        <row r="3563">
          <cell r="C3563" t="str">
            <v>100005013</v>
          </cell>
          <cell r="D3563" t="str">
            <v>THPU-71306-01 VN-18KJ</v>
          </cell>
          <cell r="E3563" t="str">
            <v>ZFGD</v>
          </cell>
          <cell r="F3563" t="str">
            <v>PC</v>
          </cell>
          <cell r="G3563" t="str">
            <v>1</v>
          </cell>
          <cell r="H3563" t="str">
            <v>INDUSTRY</v>
          </cell>
          <cell r="I3563" t="str">
            <v>14</v>
          </cell>
          <cell r="J3563" t="str">
            <v>THINNER</v>
          </cell>
          <cell r="K3563" t="str">
            <v>1411</v>
          </cell>
          <cell r="L3563" t="str">
            <v>THINNER PU</v>
          </cell>
          <cell r="M3563" t="str">
            <v>141101</v>
          </cell>
          <cell r="N3563" t="str">
            <v>THINNER PU</v>
          </cell>
        </row>
        <row r="3564">
          <cell r="C3564" t="str">
            <v>100005014</v>
          </cell>
          <cell r="D3564" t="str">
            <v>THPU-71306-01 VN-180KK</v>
          </cell>
          <cell r="E3564" t="str">
            <v>ZFGD</v>
          </cell>
          <cell r="F3564" t="str">
            <v>PC</v>
          </cell>
          <cell r="G3564" t="str">
            <v>1</v>
          </cell>
          <cell r="H3564" t="str">
            <v>INDUSTRY</v>
          </cell>
          <cell r="I3564" t="str">
            <v>14</v>
          </cell>
          <cell r="J3564" t="str">
            <v>THINNER</v>
          </cell>
          <cell r="K3564" t="str">
            <v>1411</v>
          </cell>
          <cell r="L3564" t="str">
            <v>THINNER PU</v>
          </cell>
          <cell r="M3564" t="str">
            <v>141101</v>
          </cell>
          <cell r="N3564" t="str">
            <v>THINNER PU</v>
          </cell>
        </row>
        <row r="3565">
          <cell r="C3565" t="str">
            <v>100005015</v>
          </cell>
          <cell r="D3565" t="str">
            <v>PUP-1521-697-AK-20KP</v>
          </cell>
          <cell r="E3565" t="str">
            <v>ZFGD</v>
          </cell>
          <cell r="F3565" t="str">
            <v>PC</v>
          </cell>
          <cell r="G3565" t="str">
            <v>1</v>
          </cell>
          <cell r="H3565" t="str">
            <v>INDUSTRY</v>
          </cell>
          <cell r="I3565" t="str">
            <v>11</v>
          </cell>
          <cell r="J3565" t="str">
            <v>WOOD COATINGS</v>
          </cell>
          <cell r="K3565" t="str">
            <v>1103</v>
          </cell>
          <cell r="L3565" t="str">
            <v>PU</v>
          </cell>
          <cell r="M3565" t="str">
            <v>110322</v>
          </cell>
          <cell r="N3565" t="str">
            <v>PU PRIMER</v>
          </cell>
        </row>
        <row r="3566">
          <cell r="C3566" t="str">
            <v>100005016</v>
          </cell>
          <cell r="D3566" t="str">
            <v>PUP-1521-781-AK-20KP</v>
          </cell>
          <cell r="E3566" t="str">
            <v>ZFGD</v>
          </cell>
          <cell r="F3566" t="str">
            <v>PC</v>
          </cell>
          <cell r="G3566" t="str">
            <v>1</v>
          </cell>
          <cell r="H3566" t="str">
            <v>INDUSTRY</v>
          </cell>
          <cell r="I3566" t="str">
            <v>11</v>
          </cell>
          <cell r="J3566" t="str">
            <v>WOOD COATINGS</v>
          </cell>
          <cell r="K3566" t="str">
            <v>1103</v>
          </cell>
          <cell r="L3566" t="str">
            <v>PU</v>
          </cell>
          <cell r="M3566" t="str">
            <v>110322</v>
          </cell>
          <cell r="N3566" t="str">
            <v>PU PRIMER</v>
          </cell>
        </row>
        <row r="3567">
          <cell r="C3567" t="str">
            <v>100005017</v>
          </cell>
          <cell r="D3567" t="str">
            <v>PUP-1521-697-AK-200KB</v>
          </cell>
          <cell r="E3567" t="str">
            <v>ZFGD</v>
          </cell>
          <cell r="F3567" t="str">
            <v>PC</v>
          </cell>
          <cell r="G3567" t="str">
            <v>1</v>
          </cell>
          <cell r="H3567" t="str">
            <v>INDUSTRY</v>
          </cell>
          <cell r="I3567" t="str">
            <v>11</v>
          </cell>
          <cell r="J3567" t="str">
            <v>WOOD COATINGS</v>
          </cell>
          <cell r="K3567" t="str">
            <v>1103</v>
          </cell>
          <cell r="L3567" t="str">
            <v>PU</v>
          </cell>
          <cell r="M3567" t="str">
            <v>110322</v>
          </cell>
          <cell r="N3567" t="str">
            <v>PU PRIMER</v>
          </cell>
        </row>
        <row r="3568">
          <cell r="C3568" t="str">
            <v>100005018</v>
          </cell>
          <cell r="D3568" t="str">
            <v>PUP-1521-781-AK-200KB</v>
          </cell>
          <cell r="E3568" t="str">
            <v>ZFGD</v>
          </cell>
          <cell r="F3568" t="str">
            <v>PC</v>
          </cell>
          <cell r="G3568" t="str">
            <v>1</v>
          </cell>
          <cell r="H3568" t="str">
            <v>INDUSTRY</v>
          </cell>
          <cell r="I3568" t="str">
            <v>11</v>
          </cell>
          <cell r="J3568" t="str">
            <v>WOOD COATINGS</v>
          </cell>
          <cell r="K3568" t="str">
            <v>1103</v>
          </cell>
          <cell r="L3568" t="str">
            <v>PU</v>
          </cell>
          <cell r="M3568" t="str">
            <v>110322</v>
          </cell>
          <cell r="N3568" t="str">
            <v>PU PRIMER</v>
          </cell>
        </row>
        <row r="3569">
          <cell r="C3569" t="str">
            <v>100005019</v>
          </cell>
          <cell r="D3569" t="str">
            <v>VARNISH RS 20-200KB</v>
          </cell>
          <cell r="E3569" t="str">
            <v>ZFGD</v>
          </cell>
          <cell r="F3569" t="str">
            <v>PC</v>
          </cell>
          <cell r="G3569" t="str">
            <v>1</v>
          </cell>
          <cell r="H3569" t="str">
            <v>INDUSTRY</v>
          </cell>
          <cell r="I3569" t="str">
            <v>11</v>
          </cell>
          <cell r="J3569" t="str">
            <v>WOOD COATINGS</v>
          </cell>
          <cell r="K3569" t="str">
            <v>1104</v>
          </cell>
          <cell r="L3569" t="str">
            <v>NC</v>
          </cell>
          <cell r="M3569" t="str">
            <v>110405</v>
          </cell>
          <cell r="N3569" t="str">
            <v>NC SYSTEM</v>
          </cell>
        </row>
        <row r="3570">
          <cell r="C3570" t="str">
            <v>100005020</v>
          </cell>
          <cell r="D3570" t="str">
            <v>VARNISH RS 1/2 E40N-200KB</v>
          </cell>
          <cell r="E3570" t="str">
            <v>ZFGD</v>
          </cell>
          <cell r="F3570" t="str">
            <v>PC</v>
          </cell>
          <cell r="G3570" t="str">
            <v>1</v>
          </cell>
          <cell r="H3570" t="str">
            <v>INDUSTRY</v>
          </cell>
          <cell r="I3570" t="str">
            <v>11</v>
          </cell>
          <cell r="J3570" t="str">
            <v>WOOD COATINGS</v>
          </cell>
          <cell r="K3570" t="str">
            <v>1104</v>
          </cell>
          <cell r="L3570" t="str">
            <v>NC</v>
          </cell>
          <cell r="M3570" t="str">
            <v>110405</v>
          </cell>
          <cell r="N3570" t="str">
            <v>NC SYSTEM</v>
          </cell>
        </row>
        <row r="3571">
          <cell r="C3571" t="str">
            <v>100005021</v>
          </cell>
          <cell r="D3571" t="str">
            <v>VARNISH RS 1/4 A40N-200KB</v>
          </cell>
          <cell r="E3571" t="str">
            <v>ZFGD</v>
          </cell>
          <cell r="F3571" t="str">
            <v>PC</v>
          </cell>
          <cell r="G3571" t="str">
            <v>1</v>
          </cell>
          <cell r="H3571" t="str">
            <v>INDUSTRY</v>
          </cell>
          <cell r="I3571" t="str">
            <v>11</v>
          </cell>
          <cell r="J3571" t="str">
            <v>WOOD COATINGS</v>
          </cell>
          <cell r="K3571" t="str">
            <v>1104</v>
          </cell>
          <cell r="L3571" t="str">
            <v>NC</v>
          </cell>
          <cell r="M3571" t="str">
            <v>110405</v>
          </cell>
          <cell r="N3571" t="str">
            <v>NC SYSTEM</v>
          </cell>
        </row>
        <row r="3572">
          <cell r="C3572" t="str">
            <v>100005022</v>
          </cell>
          <cell r="D3572" t="str">
            <v>NBC-9345-754-1-AK-20KP</v>
          </cell>
          <cell r="E3572" t="str">
            <v>ZFGD</v>
          </cell>
          <cell r="F3572" t="str">
            <v>PC</v>
          </cell>
          <cell r="G3572" t="str">
            <v>1</v>
          </cell>
          <cell r="H3572" t="str">
            <v>INDUSTRY</v>
          </cell>
          <cell r="I3572" t="str">
            <v>11</v>
          </cell>
          <cell r="J3572" t="str">
            <v>WOOD COATINGS</v>
          </cell>
          <cell r="K3572" t="str">
            <v>1104</v>
          </cell>
          <cell r="L3572" t="str">
            <v>NC</v>
          </cell>
          <cell r="M3572" t="str">
            <v>110403</v>
          </cell>
          <cell r="N3572" t="str">
            <v>ASOF : NC BASE COAT</v>
          </cell>
        </row>
        <row r="3573">
          <cell r="C3573" t="str">
            <v>100005023</v>
          </cell>
          <cell r="D3573" t="str">
            <v>PUP-1521-754-AK-20KP</v>
          </cell>
          <cell r="E3573" t="str">
            <v>ZFGD</v>
          </cell>
          <cell r="F3573" t="str">
            <v>PC</v>
          </cell>
          <cell r="G3573" t="str">
            <v>1</v>
          </cell>
          <cell r="H3573" t="str">
            <v>INDUSTRY</v>
          </cell>
          <cell r="I3573" t="str">
            <v>11</v>
          </cell>
          <cell r="J3573" t="str">
            <v>WOOD COATINGS</v>
          </cell>
          <cell r="K3573" t="str">
            <v>1103</v>
          </cell>
          <cell r="L3573" t="str">
            <v>PU</v>
          </cell>
          <cell r="M3573" t="str">
            <v>110322</v>
          </cell>
          <cell r="N3573" t="str">
            <v>PU PRIMER</v>
          </cell>
        </row>
        <row r="3574">
          <cell r="C3574" t="str">
            <v>100005024</v>
          </cell>
          <cell r="D3574" t="str">
            <v>NBC-9345-754-1-AK-200KB</v>
          </cell>
          <cell r="E3574" t="str">
            <v>ZFGD</v>
          </cell>
          <cell r="F3574" t="str">
            <v>PC</v>
          </cell>
          <cell r="G3574" t="str">
            <v>1</v>
          </cell>
          <cell r="H3574" t="str">
            <v>INDUSTRY</v>
          </cell>
          <cell r="I3574" t="str">
            <v>11</v>
          </cell>
          <cell r="J3574" t="str">
            <v>WOOD COATINGS</v>
          </cell>
          <cell r="K3574" t="str">
            <v>1104</v>
          </cell>
          <cell r="L3574" t="str">
            <v>NC</v>
          </cell>
          <cell r="M3574" t="str">
            <v>110403</v>
          </cell>
          <cell r="N3574" t="str">
            <v>ASOF : NC BASE COAT</v>
          </cell>
        </row>
        <row r="3575">
          <cell r="C3575" t="str">
            <v>100005025</v>
          </cell>
          <cell r="D3575" t="str">
            <v>PUP-1521-754-AK-200KB</v>
          </cell>
          <cell r="E3575" t="str">
            <v>ZFGD</v>
          </cell>
          <cell r="F3575" t="str">
            <v>PC</v>
          </cell>
          <cell r="G3575" t="str">
            <v>1</v>
          </cell>
          <cell r="H3575" t="str">
            <v>INDUSTRY</v>
          </cell>
          <cell r="I3575" t="str">
            <v>11</v>
          </cell>
          <cell r="J3575" t="str">
            <v>WOOD COATINGS</v>
          </cell>
          <cell r="K3575" t="str">
            <v>1103</v>
          </cell>
          <cell r="L3575" t="str">
            <v>PU</v>
          </cell>
          <cell r="M3575" t="str">
            <v>110322</v>
          </cell>
          <cell r="N3575" t="str">
            <v>PU PRIMER</v>
          </cell>
        </row>
        <row r="3576">
          <cell r="C3576" t="str">
            <v>100005026</v>
          </cell>
          <cell r="D3576" t="str">
            <v>PUSS-53209 AC EX VN-20KP</v>
          </cell>
          <cell r="E3576" t="str">
            <v>ZFGD</v>
          </cell>
          <cell r="F3576" t="str">
            <v>PC</v>
          </cell>
          <cell r="G3576" t="str">
            <v>1</v>
          </cell>
          <cell r="H3576" t="str">
            <v>INDUSTRY</v>
          </cell>
          <cell r="I3576" t="str">
            <v>11</v>
          </cell>
          <cell r="J3576" t="str">
            <v>WOOD COATINGS</v>
          </cell>
          <cell r="K3576" t="str">
            <v>1103</v>
          </cell>
          <cell r="L3576" t="str">
            <v>PU</v>
          </cell>
          <cell r="M3576" t="str">
            <v>110323</v>
          </cell>
          <cell r="N3576" t="str">
            <v>PU SANDING SEALER</v>
          </cell>
        </row>
        <row r="3577">
          <cell r="C3577" t="str">
            <v>100005027</v>
          </cell>
          <cell r="D3577" t="str">
            <v>PUP-1521-716-AK-20KP</v>
          </cell>
          <cell r="E3577" t="str">
            <v>ZFGD</v>
          </cell>
          <cell r="F3577" t="str">
            <v>PC</v>
          </cell>
          <cell r="G3577" t="str">
            <v>1</v>
          </cell>
          <cell r="H3577" t="str">
            <v>INDUSTRY</v>
          </cell>
          <cell r="I3577" t="str">
            <v>11</v>
          </cell>
          <cell r="J3577" t="str">
            <v>WOOD COATINGS</v>
          </cell>
          <cell r="K3577" t="str">
            <v>1103</v>
          </cell>
          <cell r="L3577" t="str">
            <v>PU</v>
          </cell>
          <cell r="M3577" t="str">
            <v>110322</v>
          </cell>
          <cell r="N3577" t="str">
            <v>PU PRIMER</v>
          </cell>
        </row>
        <row r="3578">
          <cell r="C3578" t="str">
            <v>100005028</v>
          </cell>
          <cell r="D3578" t="str">
            <v>PUP-1521-716-AK-200KB</v>
          </cell>
          <cell r="E3578" t="str">
            <v>ZFGD</v>
          </cell>
          <cell r="F3578" t="str">
            <v>PC</v>
          </cell>
          <cell r="G3578" t="str">
            <v>1</v>
          </cell>
          <cell r="H3578" t="str">
            <v>INDUSTRY</v>
          </cell>
          <cell r="I3578" t="str">
            <v>11</v>
          </cell>
          <cell r="J3578" t="str">
            <v>WOOD COATINGS</v>
          </cell>
          <cell r="K3578" t="str">
            <v>1103</v>
          </cell>
          <cell r="L3578" t="str">
            <v>PU</v>
          </cell>
          <cell r="M3578" t="str">
            <v>110322</v>
          </cell>
          <cell r="N3578" t="str">
            <v>PU PRIMER</v>
          </cell>
        </row>
        <row r="3579">
          <cell r="C3579" t="str">
            <v>100005029</v>
          </cell>
          <cell r="D3579" t="str">
            <v>PUC-54207 AC WHITE 30 VN-20KP</v>
          </cell>
          <cell r="E3579" t="str">
            <v>ZFGD</v>
          </cell>
          <cell r="F3579" t="str">
            <v>PC</v>
          </cell>
          <cell r="G3579" t="str">
            <v>1</v>
          </cell>
          <cell r="H3579" t="str">
            <v>INDUSTRY</v>
          </cell>
          <cell r="I3579" t="str">
            <v>11</v>
          </cell>
          <cell r="J3579" t="str">
            <v>WOOD COATINGS</v>
          </cell>
          <cell r="K3579" t="str">
            <v>1103</v>
          </cell>
          <cell r="L3579" t="str">
            <v>PU</v>
          </cell>
          <cell r="M3579" t="str">
            <v>110319</v>
          </cell>
          <cell r="N3579" t="str">
            <v>PU COLOR</v>
          </cell>
        </row>
        <row r="3580">
          <cell r="C3580" t="str">
            <v>100005030</v>
          </cell>
          <cell r="D3580" t="str">
            <v>TOL-76301 N OAK IP VN-16KP</v>
          </cell>
          <cell r="E3580" t="str">
            <v>ZFGD</v>
          </cell>
          <cell r="F3580" t="str">
            <v>PC</v>
          </cell>
          <cell r="G3580" t="str">
            <v>1</v>
          </cell>
          <cell r="H3580" t="str">
            <v>INDUSTRY</v>
          </cell>
          <cell r="I3580" t="str">
            <v>11</v>
          </cell>
          <cell r="J3580" t="str">
            <v>WOOD COATINGS</v>
          </cell>
          <cell r="K3580" t="str">
            <v>1101</v>
          </cell>
          <cell r="L3580" t="str">
            <v>ALKYD OIL</v>
          </cell>
          <cell r="M3580" t="str">
            <v>110101</v>
          </cell>
          <cell r="N3580" t="str">
            <v>ALKYD &amp; OIL SYSTEM</v>
          </cell>
        </row>
        <row r="3581">
          <cell r="C3581" t="str">
            <v>100005031</v>
          </cell>
          <cell r="D3581" t="str">
            <v>TOL-76301 N TEAK IP VN-16KP</v>
          </cell>
          <cell r="E3581" t="str">
            <v>ZFGD</v>
          </cell>
          <cell r="F3581" t="str">
            <v>PC</v>
          </cell>
          <cell r="G3581" t="str">
            <v>1</v>
          </cell>
          <cell r="H3581" t="str">
            <v>INDUSTRY</v>
          </cell>
          <cell r="I3581" t="str">
            <v>11</v>
          </cell>
          <cell r="J3581" t="str">
            <v>WOOD COATINGS</v>
          </cell>
          <cell r="K3581" t="str">
            <v>1101</v>
          </cell>
          <cell r="L3581" t="str">
            <v>ALKYD OIL</v>
          </cell>
          <cell r="M3581" t="str">
            <v>110101</v>
          </cell>
          <cell r="N3581" t="str">
            <v>ALKYD &amp; OIL SYSTEM</v>
          </cell>
        </row>
        <row r="3582">
          <cell r="C3582" t="str">
            <v>100005032</v>
          </cell>
          <cell r="D3582" t="str">
            <v>DP-12129 LC GREY 338 IP VN-20KP</v>
          </cell>
          <cell r="E3582" t="str">
            <v>ZFGD</v>
          </cell>
          <cell r="F3582" t="str">
            <v>PC</v>
          </cell>
          <cell r="G3582" t="str">
            <v>1</v>
          </cell>
          <cell r="H3582" t="str">
            <v>INDUSTRY</v>
          </cell>
          <cell r="I3582" t="str">
            <v>11</v>
          </cell>
          <cell r="J3582" t="str">
            <v>WOOD COATINGS</v>
          </cell>
          <cell r="K3582" t="str">
            <v>1104</v>
          </cell>
          <cell r="L3582" t="str">
            <v>NC</v>
          </cell>
          <cell r="M3582" t="str">
            <v>110405</v>
          </cell>
          <cell r="N3582" t="str">
            <v>NC SYSTEM</v>
          </cell>
        </row>
        <row r="3583">
          <cell r="C3583" t="str">
            <v>100005033</v>
          </cell>
          <cell r="D3583" t="str">
            <v>DC-12229 LC GREY 338 05 IP VN-20KP</v>
          </cell>
          <cell r="E3583" t="str">
            <v>ZFGD</v>
          </cell>
          <cell r="F3583" t="str">
            <v>PC</v>
          </cell>
          <cell r="G3583" t="str">
            <v>1</v>
          </cell>
          <cell r="H3583" t="str">
            <v>INDUSTRY</v>
          </cell>
          <cell r="I3583" t="str">
            <v>11</v>
          </cell>
          <cell r="J3583" t="str">
            <v>WOOD COATINGS</v>
          </cell>
          <cell r="K3583" t="str">
            <v>1104</v>
          </cell>
          <cell r="L3583" t="str">
            <v>NC</v>
          </cell>
          <cell r="M3583" t="str">
            <v>110405</v>
          </cell>
          <cell r="N3583" t="str">
            <v>NC SYSTEM</v>
          </cell>
        </row>
        <row r="3584">
          <cell r="C3584" t="str">
            <v>100005034</v>
          </cell>
          <cell r="D3584" t="str">
            <v>DP-12129 LC BROWN 338 IP VN-20KP</v>
          </cell>
          <cell r="E3584" t="str">
            <v>ZFGD</v>
          </cell>
          <cell r="F3584" t="str">
            <v>PC</v>
          </cell>
          <cell r="G3584" t="str">
            <v>1</v>
          </cell>
          <cell r="H3584" t="str">
            <v>INDUSTRY</v>
          </cell>
          <cell r="I3584" t="str">
            <v>11</v>
          </cell>
          <cell r="J3584" t="str">
            <v>WOOD COATINGS</v>
          </cell>
          <cell r="K3584" t="str">
            <v>1104</v>
          </cell>
          <cell r="L3584" t="str">
            <v>NC</v>
          </cell>
          <cell r="M3584" t="str">
            <v>110405</v>
          </cell>
          <cell r="N3584" t="str">
            <v>NC SYSTEM</v>
          </cell>
        </row>
        <row r="3585">
          <cell r="C3585" t="str">
            <v>100005035</v>
          </cell>
          <cell r="D3585" t="str">
            <v>DC-12229 LC BROWN 338 05 IP VN-20KP</v>
          </cell>
          <cell r="E3585" t="str">
            <v>ZFGD</v>
          </cell>
          <cell r="F3585" t="str">
            <v>PC</v>
          </cell>
          <cell r="G3585" t="str">
            <v>1</v>
          </cell>
          <cell r="H3585" t="str">
            <v>INDUSTRY</v>
          </cell>
          <cell r="I3585" t="str">
            <v>11</v>
          </cell>
          <cell r="J3585" t="str">
            <v>WOOD COATINGS</v>
          </cell>
          <cell r="K3585" t="str">
            <v>1104</v>
          </cell>
          <cell r="L3585" t="str">
            <v>NC</v>
          </cell>
          <cell r="M3585" t="str">
            <v>110405</v>
          </cell>
          <cell r="N3585" t="str">
            <v>NC SYSTEM</v>
          </cell>
        </row>
        <row r="3586">
          <cell r="C3586" t="str">
            <v>100005036</v>
          </cell>
          <cell r="D3586" t="str">
            <v>11-261-1 AF PU THINNER-18KJ</v>
          </cell>
          <cell r="E3586" t="str">
            <v>ZFGD</v>
          </cell>
          <cell r="F3586" t="str">
            <v>PC</v>
          </cell>
          <cell r="G3586" t="str">
            <v>1</v>
          </cell>
          <cell r="H3586" t="str">
            <v>INDUSTRY</v>
          </cell>
          <cell r="I3586" t="str">
            <v>14</v>
          </cell>
          <cell r="J3586" t="str">
            <v>THINNER</v>
          </cell>
          <cell r="K3586" t="str">
            <v>1411</v>
          </cell>
          <cell r="L3586" t="str">
            <v>THINNER PU</v>
          </cell>
          <cell r="M3586" t="str">
            <v>141102</v>
          </cell>
          <cell r="N3586" t="str">
            <v>UNION THINNER</v>
          </cell>
        </row>
        <row r="3587">
          <cell r="C3587" t="str">
            <v>100005037</v>
          </cell>
          <cell r="D3587" t="str">
            <v>11-261-1 AF PU THINNER-28KJ</v>
          </cell>
          <cell r="E3587" t="str">
            <v>ZFGD</v>
          </cell>
          <cell r="F3587" t="str">
            <v>PC</v>
          </cell>
          <cell r="G3587" t="str">
            <v>1</v>
          </cell>
          <cell r="H3587" t="str">
            <v>INDUSTRY</v>
          </cell>
          <cell r="I3587" t="str">
            <v>14</v>
          </cell>
          <cell r="J3587" t="str">
            <v>THINNER</v>
          </cell>
          <cell r="K3587" t="str">
            <v>1411</v>
          </cell>
          <cell r="L3587" t="str">
            <v>THINNER PU</v>
          </cell>
          <cell r="M3587" t="str">
            <v>141102</v>
          </cell>
          <cell r="N3587" t="str">
            <v>UNION THINNER</v>
          </cell>
        </row>
        <row r="3588">
          <cell r="C3588" t="str">
            <v>100005038</v>
          </cell>
          <cell r="D3588" t="str">
            <v>11-261-1 AF PU THINNER-180KK</v>
          </cell>
          <cell r="E3588" t="str">
            <v>ZFGD</v>
          </cell>
          <cell r="F3588" t="str">
            <v>PC</v>
          </cell>
          <cell r="G3588" t="str">
            <v>1</v>
          </cell>
          <cell r="H3588" t="str">
            <v>INDUSTRY</v>
          </cell>
          <cell r="I3588" t="str">
            <v>14</v>
          </cell>
          <cell r="J3588" t="str">
            <v>THINNER</v>
          </cell>
          <cell r="K3588" t="str">
            <v>1411</v>
          </cell>
          <cell r="L3588" t="str">
            <v>THINNER PU</v>
          </cell>
          <cell r="M3588" t="str">
            <v>141102</v>
          </cell>
          <cell r="N3588" t="str">
            <v>UNION THINNER</v>
          </cell>
        </row>
        <row r="3589">
          <cell r="C3589" t="str">
            <v>100005039</v>
          </cell>
          <cell r="D3589" t="str">
            <v>THC-73100-SBP VN-20KJ</v>
          </cell>
          <cell r="E3589" t="str">
            <v>ZFGD</v>
          </cell>
          <cell r="F3589" t="str">
            <v>PC</v>
          </cell>
          <cell r="G3589" t="str">
            <v>1</v>
          </cell>
          <cell r="H3589" t="str">
            <v>INDUSTRY</v>
          </cell>
          <cell r="I3589" t="str">
            <v>14</v>
          </cell>
          <cell r="J3589" t="str">
            <v>THINNER</v>
          </cell>
          <cell r="K3589" t="str">
            <v>1412</v>
          </cell>
          <cell r="L3589" t="str">
            <v>THINNER NC</v>
          </cell>
          <cell r="M3589" t="str">
            <v>141203</v>
          </cell>
          <cell r="N3589" t="str">
            <v>THINNER COMPLEMENTARY</v>
          </cell>
        </row>
        <row r="3590">
          <cell r="C3590" t="str">
            <v>100005040</v>
          </cell>
          <cell r="D3590" t="str">
            <v>PG-13900 WHITE 02 VN-20KP</v>
          </cell>
          <cell r="E3590" t="str">
            <v>ZFGD</v>
          </cell>
          <cell r="F3590" t="str">
            <v>PC</v>
          </cell>
          <cell r="G3590" t="str">
            <v>1</v>
          </cell>
          <cell r="H3590" t="str">
            <v>INDUSTRY</v>
          </cell>
          <cell r="I3590" t="str">
            <v>11</v>
          </cell>
          <cell r="J3590" t="str">
            <v>WOOD COATINGS</v>
          </cell>
          <cell r="K3590" t="str">
            <v>1109</v>
          </cell>
          <cell r="L3590" t="str">
            <v>STAIN &amp; GLAZE INTERIOR</v>
          </cell>
          <cell r="M3590" t="str">
            <v>110901</v>
          </cell>
          <cell r="N3590" t="str">
            <v>ASOF : STAIN &amp; GLAZE</v>
          </cell>
        </row>
        <row r="3591">
          <cell r="C3591" t="str">
            <v>100005041</v>
          </cell>
          <cell r="D3591" t="str">
            <v>THC-73100-SBP VN-140KK</v>
          </cell>
          <cell r="E3591" t="str">
            <v>ZFGD</v>
          </cell>
          <cell r="F3591" t="str">
            <v>PC</v>
          </cell>
          <cell r="G3591" t="str">
            <v>1</v>
          </cell>
          <cell r="H3591" t="str">
            <v>INDUSTRY</v>
          </cell>
          <cell r="I3591" t="str">
            <v>14</v>
          </cell>
          <cell r="J3591" t="str">
            <v>THINNER</v>
          </cell>
          <cell r="K3591" t="str">
            <v>1412</v>
          </cell>
          <cell r="L3591" t="str">
            <v>THINNER NC</v>
          </cell>
          <cell r="M3591" t="str">
            <v>141203</v>
          </cell>
          <cell r="N3591" t="str">
            <v>THINNER COMPLEMENTARY</v>
          </cell>
        </row>
        <row r="3592">
          <cell r="C3592" t="str">
            <v>100005042</v>
          </cell>
          <cell r="D3592" t="str">
            <v>PUH-56107 VN-4K</v>
          </cell>
          <cell r="E3592" t="str">
            <v>ZFGD</v>
          </cell>
          <cell r="F3592" t="str">
            <v>PC</v>
          </cell>
          <cell r="G3592" t="str">
            <v>1</v>
          </cell>
          <cell r="H3592" t="str">
            <v>INDUSTRY</v>
          </cell>
          <cell r="I3592" t="str">
            <v>11</v>
          </cell>
          <cell r="J3592" t="str">
            <v>WOOD COATINGS</v>
          </cell>
          <cell r="K3592" t="str">
            <v>1103</v>
          </cell>
          <cell r="L3592" t="str">
            <v>PU</v>
          </cell>
          <cell r="M3592" t="str">
            <v>110320</v>
          </cell>
          <cell r="N3592" t="str">
            <v>PU HARDENER</v>
          </cell>
        </row>
        <row r="3593">
          <cell r="C3593" t="str">
            <v>100005043</v>
          </cell>
          <cell r="D3593" t="str">
            <v>PUH-56107 VN-20KP</v>
          </cell>
          <cell r="E3593" t="str">
            <v>ZFGD</v>
          </cell>
          <cell r="F3593" t="str">
            <v>PC</v>
          </cell>
          <cell r="G3593" t="str">
            <v>1</v>
          </cell>
          <cell r="H3593" t="str">
            <v>INDUSTRY</v>
          </cell>
          <cell r="I3593" t="str">
            <v>11</v>
          </cell>
          <cell r="J3593" t="str">
            <v>WOOD COATINGS</v>
          </cell>
          <cell r="K3593" t="str">
            <v>1103</v>
          </cell>
          <cell r="L3593" t="str">
            <v>PU</v>
          </cell>
          <cell r="M3593" t="str">
            <v>110320</v>
          </cell>
          <cell r="N3593" t="str">
            <v>PU HARDENER</v>
          </cell>
        </row>
        <row r="3594">
          <cell r="C3594" t="str">
            <v>100005044</v>
          </cell>
          <cell r="D3594" t="str">
            <v>PST-12200 1K DWA OP3.1 PMA SC VN-18KJ</v>
          </cell>
          <cell r="E3594" t="str">
            <v>ZFGD</v>
          </cell>
          <cell r="F3594" t="str">
            <v>PC</v>
          </cell>
          <cell r="G3594" t="str">
            <v>1</v>
          </cell>
          <cell r="H3594" t="str">
            <v>INDUSTRY</v>
          </cell>
          <cell r="I3594" t="str">
            <v>11</v>
          </cell>
          <cell r="J3594" t="str">
            <v>WOOD COATINGS</v>
          </cell>
          <cell r="K3594" t="str">
            <v>1101</v>
          </cell>
          <cell r="L3594" t="str">
            <v>ALKYD OIL</v>
          </cell>
          <cell r="M3594" t="str">
            <v>110102</v>
          </cell>
          <cell r="N3594" t="str">
            <v>STAIN EXTERIOR</v>
          </cell>
        </row>
        <row r="3595">
          <cell r="C3595" t="str">
            <v>100005045</v>
          </cell>
          <cell r="D3595" t="str">
            <v>PST-12200 1K BROWN 01 PMA SC VN-18KJ</v>
          </cell>
          <cell r="E3595" t="str">
            <v>ZFGD</v>
          </cell>
          <cell r="F3595" t="str">
            <v>PC</v>
          </cell>
          <cell r="G3595" t="str">
            <v>1</v>
          </cell>
          <cell r="H3595" t="str">
            <v>INDUSTRY</v>
          </cell>
          <cell r="I3595" t="str">
            <v>11</v>
          </cell>
          <cell r="J3595" t="str">
            <v>WOOD COATINGS</v>
          </cell>
          <cell r="K3595" t="str">
            <v>1101</v>
          </cell>
          <cell r="L3595" t="str">
            <v>ALKYD OIL</v>
          </cell>
          <cell r="M3595" t="str">
            <v>110102</v>
          </cell>
          <cell r="N3595" t="str">
            <v>STAIN EXTERIOR</v>
          </cell>
        </row>
        <row r="3596">
          <cell r="C3596" t="str">
            <v>100005046</v>
          </cell>
          <cell r="D3596" t="str">
            <v>PST-12200 1K YEL BALAU PMA SC VN-18KJ</v>
          </cell>
          <cell r="E3596" t="str">
            <v>ZFGD</v>
          </cell>
          <cell r="F3596" t="str">
            <v>PC</v>
          </cell>
          <cell r="G3596" t="str">
            <v>1</v>
          </cell>
          <cell r="H3596" t="str">
            <v>INDUSTRY</v>
          </cell>
          <cell r="I3596" t="str">
            <v>11</v>
          </cell>
          <cell r="J3596" t="str">
            <v>WOOD COATINGS</v>
          </cell>
          <cell r="K3596" t="str">
            <v>1101</v>
          </cell>
          <cell r="L3596" t="str">
            <v>ALKYD OIL</v>
          </cell>
          <cell r="M3596" t="str">
            <v>110102</v>
          </cell>
          <cell r="N3596" t="str">
            <v>STAIN EXTERIOR</v>
          </cell>
        </row>
        <row r="3597">
          <cell r="C3597" t="str">
            <v>100005047</v>
          </cell>
          <cell r="D3597" t="str">
            <v>PST-12200 1K MUB 01 PMA SC VN-18KJ</v>
          </cell>
          <cell r="E3597" t="str">
            <v>ZFGD</v>
          </cell>
          <cell r="F3597" t="str">
            <v>PC</v>
          </cell>
          <cell r="G3597" t="str">
            <v>1</v>
          </cell>
          <cell r="H3597" t="str">
            <v>INDUSTRY</v>
          </cell>
          <cell r="I3597" t="str">
            <v>11</v>
          </cell>
          <cell r="J3597" t="str">
            <v>WOOD COATINGS</v>
          </cell>
          <cell r="K3597" t="str">
            <v>1101</v>
          </cell>
          <cell r="L3597" t="str">
            <v>ALKYD OIL</v>
          </cell>
          <cell r="M3597" t="str">
            <v>110102</v>
          </cell>
          <cell r="N3597" t="str">
            <v>STAIN EXTERIOR</v>
          </cell>
        </row>
        <row r="3598">
          <cell r="C3598" t="str">
            <v>100005048</v>
          </cell>
          <cell r="D3598" t="str">
            <v>PST-12200 1K DWA OP3.1 PMA SC VN-180KK</v>
          </cell>
          <cell r="E3598" t="str">
            <v>ZFGD</v>
          </cell>
          <cell r="F3598" t="str">
            <v>PC</v>
          </cell>
          <cell r="G3598" t="str">
            <v>1</v>
          </cell>
          <cell r="H3598" t="str">
            <v>INDUSTRY</v>
          </cell>
          <cell r="I3598" t="str">
            <v>11</v>
          </cell>
          <cell r="J3598" t="str">
            <v>WOOD COATINGS</v>
          </cell>
          <cell r="K3598" t="str">
            <v>1101</v>
          </cell>
          <cell r="L3598" t="str">
            <v>ALKYD OIL</v>
          </cell>
          <cell r="M3598" t="str">
            <v>110102</v>
          </cell>
          <cell r="N3598" t="str">
            <v>STAIN EXTERIOR</v>
          </cell>
        </row>
        <row r="3599">
          <cell r="C3599" t="str">
            <v>100005049</v>
          </cell>
          <cell r="D3599" t="str">
            <v>PST-12200 1K BROWN 01 PMA SC VN-180KK</v>
          </cell>
          <cell r="E3599" t="str">
            <v>ZFGD</v>
          </cell>
          <cell r="F3599" t="str">
            <v>PC</v>
          </cell>
          <cell r="G3599" t="str">
            <v>1</v>
          </cell>
          <cell r="H3599" t="str">
            <v>INDUSTRY</v>
          </cell>
          <cell r="I3599" t="str">
            <v>11</v>
          </cell>
          <cell r="J3599" t="str">
            <v>WOOD COATINGS</v>
          </cell>
          <cell r="K3599" t="str">
            <v>1101</v>
          </cell>
          <cell r="L3599" t="str">
            <v>ALKYD OIL</v>
          </cell>
          <cell r="M3599" t="str">
            <v>110102</v>
          </cell>
          <cell r="N3599" t="str">
            <v>STAIN EXTERIOR</v>
          </cell>
        </row>
        <row r="3600">
          <cell r="C3600" t="str">
            <v>100005050</v>
          </cell>
          <cell r="D3600" t="str">
            <v>PST-12200 1K YEL BALAU PMA SC VN-180KK</v>
          </cell>
          <cell r="E3600" t="str">
            <v>ZFGD</v>
          </cell>
          <cell r="F3600" t="str">
            <v>PC</v>
          </cell>
          <cell r="G3600" t="str">
            <v>1</v>
          </cell>
          <cell r="H3600" t="str">
            <v>INDUSTRY</v>
          </cell>
          <cell r="I3600" t="str">
            <v>11</v>
          </cell>
          <cell r="J3600" t="str">
            <v>WOOD COATINGS</v>
          </cell>
          <cell r="K3600" t="str">
            <v>1101</v>
          </cell>
          <cell r="L3600" t="str">
            <v>ALKYD OIL</v>
          </cell>
          <cell r="M3600" t="str">
            <v>110102</v>
          </cell>
          <cell r="N3600" t="str">
            <v>STAIN EXTERIOR</v>
          </cell>
        </row>
        <row r="3601">
          <cell r="C3601" t="str">
            <v>100005051</v>
          </cell>
          <cell r="D3601" t="str">
            <v>PST-12200 1K MUB 01 PMA SC VN-180KK</v>
          </cell>
          <cell r="E3601" t="str">
            <v>ZFGD</v>
          </cell>
          <cell r="F3601" t="str">
            <v>PC</v>
          </cell>
          <cell r="G3601" t="str">
            <v>1</v>
          </cell>
          <cell r="H3601" t="str">
            <v>INDUSTRY</v>
          </cell>
          <cell r="I3601" t="str">
            <v>11</v>
          </cell>
          <cell r="J3601" t="str">
            <v>WOOD COATINGS</v>
          </cell>
          <cell r="K3601" t="str">
            <v>1101</v>
          </cell>
          <cell r="L3601" t="str">
            <v>ALKYD OIL</v>
          </cell>
          <cell r="M3601" t="str">
            <v>110102</v>
          </cell>
          <cell r="N3601" t="str">
            <v>STAIN EXTERIOR</v>
          </cell>
        </row>
        <row r="3602">
          <cell r="C3602" t="str">
            <v>100005052</v>
          </cell>
          <cell r="D3602" t="str">
            <v>MEP-12003 GLASS VN-18KP</v>
          </cell>
          <cell r="E3602" t="str">
            <v>ZFGD</v>
          </cell>
          <cell r="F3602" t="str">
            <v>PC</v>
          </cell>
          <cell r="G3602" t="str">
            <v>1</v>
          </cell>
          <cell r="H3602" t="str">
            <v>INDUSTRY</v>
          </cell>
          <cell r="I3602" t="str">
            <v>16</v>
          </cell>
          <cell r="J3602" t="str">
            <v>METAL COATINGS</v>
          </cell>
          <cell r="K3602" t="str">
            <v>1601</v>
          </cell>
          <cell r="L3602" t="str">
            <v>METAL COATINGS</v>
          </cell>
          <cell r="M3602" t="str">
            <v>160101</v>
          </cell>
          <cell r="N3602" t="str">
            <v>METAL COATINGS</v>
          </cell>
        </row>
        <row r="3603">
          <cell r="C3603" t="str">
            <v>100005053</v>
          </cell>
          <cell r="D3603" t="str">
            <v>PST-12200 1K DWA OP3.1 PMA SC VN-20LJ</v>
          </cell>
          <cell r="E3603" t="str">
            <v>ZFGD</v>
          </cell>
          <cell r="F3603" t="str">
            <v>PC</v>
          </cell>
          <cell r="G3603" t="str">
            <v>1</v>
          </cell>
          <cell r="H3603" t="str">
            <v>INDUSTRY</v>
          </cell>
          <cell r="I3603" t="str">
            <v>11</v>
          </cell>
          <cell r="J3603" t="str">
            <v>WOOD COATINGS</v>
          </cell>
          <cell r="K3603" t="str">
            <v>1101</v>
          </cell>
          <cell r="L3603" t="str">
            <v>ALKYD OIL</v>
          </cell>
          <cell r="M3603" t="str">
            <v>110102</v>
          </cell>
          <cell r="N3603" t="str">
            <v>STAIN EXTERIOR</v>
          </cell>
        </row>
        <row r="3604">
          <cell r="C3604" t="str">
            <v>100005054</v>
          </cell>
          <cell r="D3604" t="str">
            <v>PST-12200 1K BROWN 01 PMA SC VN-20LJ</v>
          </cell>
          <cell r="E3604" t="str">
            <v>ZFGD</v>
          </cell>
          <cell r="F3604" t="str">
            <v>PC</v>
          </cell>
          <cell r="G3604" t="str">
            <v>1</v>
          </cell>
          <cell r="H3604" t="str">
            <v>INDUSTRY</v>
          </cell>
          <cell r="I3604" t="str">
            <v>11</v>
          </cell>
          <cell r="J3604" t="str">
            <v>WOOD COATINGS</v>
          </cell>
          <cell r="K3604" t="str">
            <v>1101</v>
          </cell>
          <cell r="L3604" t="str">
            <v>ALKYD OIL</v>
          </cell>
          <cell r="M3604" t="str">
            <v>110102</v>
          </cell>
          <cell r="N3604" t="str">
            <v>STAIN EXTERIOR</v>
          </cell>
        </row>
        <row r="3605">
          <cell r="C3605" t="str">
            <v>100005055</v>
          </cell>
          <cell r="D3605" t="str">
            <v>PST-12200 1K YEL BALAU PMA SC VN-20LJ</v>
          </cell>
          <cell r="E3605" t="str">
            <v>ZFGD</v>
          </cell>
          <cell r="F3605" t="str">
            <v>PC</v>
          </cell>
          <cell r="G3605" t="str">
            <v>1</v>
          </cell>
          <cell r="H3605" t="str">
            <v>INDUSTRY</v>
          </cell>
          <cell r="I3605" t="str">
            <v>11</v>
          </cell>
          <cell r="J3605" t="str">
            <v>WOOD COATINGS</v>
          </cell>
          <cell r="K3605" t="str">
            <v>1101</v>
          </cell>
          <cell r="L3605" t="str">
            <v>ALKYD OIL</v>
          </cell>
          <cell r="M3605" t="str">
            <v>110102</v>
          </cell>
          <cell r="N3605" t="str">
            <v>STAIN EXTERIOR</v>
          </cell>
        </row>
        <row r="3606">
          <cell r="C3606" t="str">
            <v>100005056</v>
          </cell>
          <cell r="D3606" t="str">
            <v>PST-12200 1K MUB 01 PMA SC VN-20LJ</v>
          </cell>
          <cell r="E3606" t="str">
            <v>ZFGD</v>
          </cell>
          <cell r="F3606" t="str">
            <v>PC</v>
          </cell>
          <cell r="G3606" t="str">
            <v>1</v>
          </cell>
          <cell r="H3606" t="str">
            <v>INDUSTRY</v>
          </cell>
          <cell r="I3606" t="str">
            <v>11</v>
          </cell>
          <cell r="J3606" t="str">
            <v>WOOD COATINGS</v>
          </cell>
          <cell r="K3606" t="str">
            <v>1101</v>
          </cell>
          <cell r="L3606" t="str">
            <v>ALKYD OIL</v>
          </cell>
          <cell r="M3606" t="str">
            <v>110102</v>
          </cell>
          <cell r="N3606" t="str">
            <v>STAIN EXTERIOR</v>
          </cell>
        </row>
        <row r="3607">
          <cell r="C3607" t="str">
            <v>100005057</v>
          </cell>
          <cell r="D3607" t="str">
            <v>PST-12200 1K DWA OP3.1 PMA SC VN-200LK</v>
          </cell>
          <cell r="E3607" t="str">
            <v>ZFGD</v>
          </cell>
          <cell r="F3607" t="str">
            <v>PC</v>
          </cell>
          <cell r="G3607" t="str">
            <v>1</v>
          </cell>
          <cell r="H3607" t="str">
            <v>INDUSTRY</v>
          </cell>
          <cell r="I3607" t="str">
            <v>11</v>
          </cell>
          <cell r="J3607" t="str">
            <v>WOOD COATINGS</v>
          </cell>
          <cell r="K3607" t="str">
            <v>1101</v>
          </cell>
          <cell r="L3607" t="str">
            <v>ALKYD OIL</v>
          </cell>
          <cell r="M3607" t="str">
            <v>110102</v>
          </cell>
          <cell r="N3607" t="str">
            <v>STAIN EXTERIOR</v>
          </cell>
        </row>
        <row r="3608">
          <cell r="C3608" t="str">
            <v>100005058</v>
          </cell>
          <cell r="D3608" t="str">
            <v>PST-12200 1K BROWN 01 PMA SC VN-200LK</v>
          </cell>
          <cell r="E3608" t="str">
            <v>ZFGD</v>
          </cell>
          <cell r="F3608" t="str">
            <v>PC</v>
          </cell>
          <cell r="G3608" t="str">
            <v>1</v>
          </cell>
          <cell r="H3608" t="str">
            <v>INDUSTRY</v>
          </cell>
          <cell r="I3608" t="str">
            <v>11</v>
          </cell>
          <cell r="J3608" t="str">
            <v>WOOD COATINGS</v>
          </cell>
          <cell r="K3608" t="str">
            <v>1101</v>
          </cell>
          <cell r="L3608" t="str">
            <v>ALKYD OIL</v>
          </cell>
          <cell r="M3608" t="str">
            <v>110102</v>
          </cell>
          <cell r="N3608" t="str">
            <v>STAIN EXTERIOR</v>
          </cell>
        </row>
        <row r="3609">
          <cell r="C3609" t="str">
            <v>100005059</v>
          </cell>
          <cell r="D3609" t="str">
            <v>PST-12200 1K YEL BALAU PMA SC VN-200LK</v>
          </cell>
          <cell r="E3609" t="str">
            <v>ZFGD</v>
          </cell>
          <cell r="F3609" t="str">
            <v>PC</v>
          </cell>
          <cell r="G3609" t="str">
            <v>1</v>
          </cell>
          <cell r="H3609" t="str">
            <v>INDUSTRY</v>
          </cell>
          <cell r="I3609" t="str">
            <v>11</v>
          </cell>
          <cell r="J3609" t="str">
            <v>WOOD COATINGS</v>
          </cell>
          <cell r="K3609" t="str">
            <v>1101</v>
          </cell>
          <cell r="L3609" t="str">
            <v>ALKYD OIL</v>
          </cell>
          <cell r="M3609" t="str">
            <v>110102</v>
          </cell>
          <cell r="N3609" t="str">
            <v>STAIN EXTERIOR</v>
          </cell>
        </row>
        <row r="3610">
          <cell r="C3610" t="str">
            <v>100005060</v>
          </cell>
          <cell r="D3610" t="str">
            <v>PST-12200 1K MUB 01 PMA SC VN-200LK</v>
          </cell>
          <cell r="E3610" t="str">
            <v>ZFGD</v>
          </cell>
          <cell r="F3610" t="str">
            <v>PC</v>
          </cell>
          <cell r="G3610" t="str">
            <v>1</v>
          </cell>
          <cell r="H3610" t="str">
            <v>INDUSTRY</v>
          </cell>
          <cell r="I3610" t="str">
            <v>11</v>
          </cell>
          <cell r="J3610" t="str">
            <v>WOOD COATINGS</v>
          </cell>
          <cell r="K3610" t="str">
            <v>1101</v>
          </cell>
          <cell r="L3610" t="str">
            <v>ALKYD OIL</v>
          </cell>
          <cell r="M3610" t="str">
            <v>110102</v>
          </cell>
          <cell r="N3610" t="str">
            <v>STAIN EXTERIOR</v>
          </cell>
        </row>
        <row r="3611">
          <cell r="C3611" t="str">
            <v>100005061</v>
          </cell>
          <cell r="D3611" t="str">
            <v>THNC-71100-01 VN-160KK</v>
          </cell>
          <cell r="E3611" t="str">
            <v>ZFGD</v>
          </cell>
          <cell r="F3611" t="str">
            <v>PC</v>
          </cell>
          <cell r="G3611" t="str">
            <v>1</v>
          </cell>
          <cell r="H3611" t="str">
            <v>INDUSTRY</v>
          </cell>
          <cell r="I3611" t="str">
            <v>14</v>
          </cell>
          <cell r="J3611" t="str">
            <v>THINNER</v>
          </cell>
          <cell r="K3611" t="str">
            <v>1412</v>
          </cell>
          <cell r="L3611" t="str">
            <v>THINNER NC</v>
          </cell>
          <cell r="M3611" t="str">
            <v>141205</v>
          </cell>
          <cell r="N3611" t="str">
            <v>THINNER NC</v>
          </cell>
        </row>
        <row r="3612">
          <cell r="C3612" t="str">
            <v>100005062</v>
          </cell>
          <cell r="D3612" t="str">
            <v>THNC-71100-01 VN-16KJ</v>
          </cell>
          <cell r="E3612" t="str">
            <v>ZFGD</v>
          </cell>
          <cell r="F3612" t="str">
            <v>PC</v>
          </cell>
          <cell r="G3612" t="str">
            <v>1</v>
          </cell>
          <cell r="H3612" t="str">
            <v>INDUSTRY</v>
          </cell>
          <cell r="I3612" t="str">
            <v>14</v>
          </cell>
          <cell r="J3612" t="str">
            <v>THINNER</v>
          </cell>
          <cell r="K3612" t="str">
            <v>1412</v>
          </cell>
          <cell r="L3612" t="str">
            <v>THINNER NC</v>
          </cell>
          <cell r="M3612" t="str">
            <v>141205</v>
          </cell>
          <cell r="N3612" t="str">
            <v>THINNER NC</v>
          </cell>
        </row>
        <row r="3613">
          <cell r="C3613" t="str">
            <v>100005063</v>
          </cell>
          <cell r="D3613" t="str">
            <v>THNC-71100-01 VN-25KJ</v>
          </cell>
          <cell r="E3613" t="str">
            <v>ZFGD</v>
          </cell>
          <cell r="F3613" t="str">
            <v>PC</v>
          </cell>
          <cell r="G3613" t="str">
            <v>1</v>
          </cell>
          <cell r="H3613" t="str">
            <v>INDUSTRY</v>
          </cell>
          <cell r="I3613" t="str">
            <v>14</v>
          </cell>
          <cell r="J3613" t="str">
            <v>THINNER</v>
          </cell>
          <cell r="K3613" t="str">
            <v>1412</v>
          </cell>
          <cell r="L3613" t="str">
            <v>THINNER NC</v>
          </cell>
          <cell r="M3613" t="str">
            <v>141205</v>
          </cell>
          <cell r="N3613" t="str">
            <v>THINNER NC</v>
          </cell>
        </row>
        <row r="3614">
          <cell r="C3614" t="str">
            <v>100005064</v>
          </cell>
          <cell r="D3614" t="str">
            <v>THPU-71306 01 VN-16KJ</v>
          </cell>
          <cell r="E3614" t="str">
            <v>ZFGD</v>
          </cell>
          <cell r="F3614" t="str">
            <v>PC</v>
          </cell>
          <cell r="G3614" t="str">
            <v>1</v>
          </cell>
          <cell r="H3614" t="str">
            <v>INDUSTRY</v>
          </cell>
          <cell r="I3614" t="str">
            <v>14</v>
          </cell>
          <cell r="J3614" t="str">
            <v>THINNER</v>
          </cell>
          <cell r="K3614" t="str">
            <v>1411</v>
          </cell>
          <cell r="L3614" t="str">
            <v>THINNER PU</v>
          </cell>
          <cell r="M3614" t="str">
            <v>141101</v>
          </cell>
          <cell r="N3614" t="str">
            <v>THINNER PU</v>
          </cell>
        </row>
        <row r="3615">
          <cell r="C3615" t="str">
            <v>100005065</v>
          </cell>
          <cell r="D3615" t="str">
            <v>THPU-71306 01 VN-25KJ</v>
          </cell>
          <cell r="E3615" t="str">
            <v>ZFGD</v>
          </cell>
          <cell r="F3615" t="str">
            <v>PC</v>
          </cell>
          <cell r="G3615" t="str">
            <v>1</v>
          </cell>
          <cell r="H3615" t="str">
            <v>INDUSTRY</v>
          </cell>
          <cell r="I3615" t="str">
            <v>14</v>
          </cell>
          <cell r="J3615" t="str">
            <v>THINNER</v>
          </cell>
          <cell r="K3615" t="str">
            <v>1411</v>
          </cell>
          <cell r="L3615" t="str">
            <v>THINNER PU</v>
          </cell>
          <cell r="M3615" t="str">
            <v>141101</v>
          </cell>
          <cell r="N3615" t="str">
            <v>THINNER PU</v>
          </cell>
        </row>
        <row r="3616">
          <cell r="C3616" t="str">
            <v>100005066</v>
          </cell>
          <cell r="D3616" t="str">
            <v>THPU-71306 01 VN-160KK</v>
          </cell>
          <cell r="E3616" t="str">
            <v>ZFGD</v>
          </cell>
          <cell r="F3616" t="str">
            <v>PC</v>
          </cell>
          <cell r="G3616" t="str">
            <v>1</v>
          </cell>
          <cell r="H3616" t="str">
            <v>INDUSTRY</v>
          </cell>
          <cell r="I3616" t="str">
            <v>14</v>
          </cell>
          <cell r="J3616" t="str">
            <v>THINNER</v>
          </cell>
          <cell r="K3616" t="str">
            <v>1411</v>
          </cell>
          <cell r="L3616" t="str">
            <v>THINNER PU</v>
          </cell>
          <cell r="M3616" t="str">
            <v>141101</v>
          </cell>
          <cell r="N3616" t="str">
            <v>THINNER PU</v>
          </cell>
        </row>
        <row r="3617">
          <cell r="C3617" t="str">
            <v>100005067</v>
          </cell>
          <cell r="D3617" t="str">
            <v>WBP-64110 EX WHITE 01 VN-20KP</v>
          </cell>
          <cell r="E3617" t="str">
            <v>ZFGD</v>
          </cell>
          <cell r="F3617" t="str">
            <v>PC</v>
          </cell>
          <cell r="G3617" t="str">
            <v>1</v>
          </cell>
          <cell r="H3617" t="str">
            <v>INDUSTRY</v>
          </cell>
          <cell r="I3617" t="str">
            <v>11</v>
          </cell>
          <cell r="J3617" t="str">
            <v>WOOD COATINGS</v>
          </cell>
          <cell r="K3617" t="str">
            <v>1119</v>
          </cell>
          <cell r="L3617" t="str">
            <v>WATERBASED</v>
          </cell>
          <cell r="M3617" t="str">
            <v>111901</v>
          </cell>
          <cell r="N3617" t="str">
            <v>WATERBASED SYSTEM EXTERIOR</v>
          </cell>
        </row>
        <row r="3618">
          <cell r="C3618" t="str">
            <v>100005068</v>
          </cell>
          <cell r="D3618" t="str">
            <v>THNC-71100-01 VN-20LJ</v>
          </cell>
          <cell r="E3618" t="str">
            <v>ZFGD</v>
          </cell>
          <cell r="F3618" t="str">
            <v>PC</v>
          </cell>
          <cell r="G3618" t="str">
            <v>1</v>
          </cell>
          <cell r="H3618" t="str">
            <v>INDUSTRY</v>
          </cell>
          <cell r="I3618" t="str">
            <v>14</v>
          </cell>
          <cell r="J3618" t="str">
            <v>THINNER</v>
          </cell>
          <cell r="K3618" t="str">
            <v>1412</v>
          </cell>
          <cell r="L3618" t="str">
            <v>THINNER NC</v>
          </cell>
          <cell r="M3618" t="str">
            <v>141205</v>
          </cell>
          <cell r="N3618" t="str">
            <v>THINNER NC</v>
          </cell>
        </row>
        <row r="3619">
          <cell r="C3619" t="str">
            <v>100005069</v>
          </cell>
          <cell r="D3619" t="str">
            <v>THPU-71306 01 VN-20LJ</v>
          </cell>
          <cell r="E3619" t="str">
            <v>ZFGD</v>
          </cell>
          <cell r="F3619" t="str">
            <v>PC</v>
          </cell>
          <cell r="G3619" t="str">
            <v>1</v>
          </cell>
          <cell r="H3619" t="str">
            <v>INDUSTRY</v>
          </cell>
          <cell r="I3619" t="str">
            <v>14</v>
          </cell>
          <cell r="J3619" t="str">
            <v>THINNER</v>
          </cell>
          <cell r="K3619" t="str">
            <v>1411</v>
          </cell>
          <cell r="L3619" t="str">
            <v>THINNER PU</v>
          </cell>
          <cell r="M3619" t="str">
            <v>141101</v>
          </cell>
          <cell r="N3619" t="str">
            <v>THINNER PU</v>
          </cell>
        </row>
        <row r="3620">
          <cell r="C3620" t="str">
            <v>100005070</v>
          </cell>
          <cell r="D3620" t="str">
            <v>THNC-71100-01 VN-200LK</v>
          </cell>
          <cell r="E3620" t="str">
            <v>ZFGD</v>
          </cell>
          <cell r="F3620" t="str">
            <v>PC</v>
          </cell>
          <cell r="G3620" t="str">
            <v>1</v>
          </cell>
          <cell r="H3620" t="str">
            <v>INDUSTRY</v>
          </cell>
          <cell r="I3620" t="str">
            <v>14</v>
          </cell>
          <cell r="J3620" t="str">
            <v>THINNER</v>
          </cell>
          <cell r="K3620" t="str">
            <v>1412</v>
          </cell>
          <cell r="L3620" t="str">
            <v>THINNER NC</v>
          </cell>
          <cell r="M3620" t="str">
            <v>141205</v>
          </cell>
          <cell r="N3620" t="str">
            <v>THINNER NC</v>
          </cell>
        </row>
        <row r="3621">
          <cell r="C3621" t="str">
            <v>100005071</v>
          </cell>
          <cell r="D3621" t="str">
            <v>THPU-71306 01 VN-200LK</v>
          </cell>
          <cell r="E3621" t="str">
            <v>ZFGD</v>
          </cell>
          <cell r="F3621" t="str">
            <v>PC</v>
          </cell>
          <cell r="G3621" t="str">
            <v>1</v>
          </cell>
          <cell r="H3621" t="str">
            <v>INDUSTRY</v>
          </cell>
          <cell r="I3621" t="str">
            <v>14</v>
          </cell>
          <cell r="J3621" t="str">
            <v>THINNER</v>
          </cell>
          <cell r="K3621" t="str">
            <v>1411</v>
          </cell>
          <cell r="L3621" t="str">
            <v>THINNER PU</v>
          </cell>
          <cell r="M3621" t="str">
            <v>141101</v>
          </cell>
          <cell r="N3621" t="str">
            <v>THINNER PU</v>
          </cell>
        </row>
        <row r="3622">
          <cell r="C3622" t="str">
            <v>100005072</v>
          </cell>
          <cell r="D3622" t="str">
            <v>WBC-64220 EX BROWN 01 SC VN-20KP</v>
          </cell>
          <cell r="E3622" t="str">
            <v>ZFGD</v>
          </cell>
          <cell r="F3622" t="str">
            <v>PC</v>
          </cell>
          <cell r="G3622" t="str">
            <v>1</v>
          </cell>
          <cell r="H3622" t="str">
            <v>INDUSTRY</v>
          </cell>
          <cell r="I3622" t="str">
            <v>11</v>
          </cell>
          <cell r="J3622" t="str">
            <v>WOOD COATINGS</v>
          </cell>
          <cell r="K3622" t="str">
            <v>1119</v>
          </cell>
          <cell r="L3622" t="str">
            <v>WATERBASED</v>
          </cell>
          <cell r="M3622" t="str">
            <v>111901</v>
          </cell>
          <cell r="N3622" t="str">
            <v>WATERBASED SYSTEM EXTERIOR</v>
          </cell>
        </row>
        <row r="3623">
          <cell r="C3623" t="str">
            <v>100005073</v>
          </cell>
          <cell r="D3623" t="str">
            <v>PUP-54106 AC EX 002 MT VN-20KP</v>
          </cell>
          <cell r="E3623" t="str">
            <v>ZFGD</v>
          </cell>
          <cell r="F3623" t="str">
            <v>PC</v>
          </cell>
          <cell r="G3623" t="str">
            <v>1</v>
          </cell>
          <cell r="H3623" t="str">
            <v>INDUSTRY</v>
          </cell>
          <cell r="I3623" t="str">
            <v>11</v>
          </cell>
          <cell r="J3623" t="str">
            <v>WOOD COATINGS</v>
          </cell>
          <cell r="K3623" t="str">
            <v>1103</v>
          </cell>
          <cell r="L3623" t="str">
            <v>PU</v>
          </cell>
          <cell r="M3623" t="str">
            <v>110322</v>
          </cell>
          <cell r="N3623" t="str">
            <v>PU PRIMER</v>
          </cell>
        </row>
        <row r="3624">
          <cell r="C3624" t="str">
            <v>100005074</v>
          </cell>
          <cell r="D3624" t="str">
            <v>PCL-31300 002 MT VN-16KJ</v>
          </cell>
          <cell r="E3624" t="str">
            <v>ZFGD</v>
          </cell>
          <cell r="F3624" t="str">
            <v>PC</v>
          </cell>
          <cell r="G3624" t="str">
            <v>1</v>
          </cell>
          <cell r="H3624" t="str">
            <v>INDUSTRY</v>
          </cell>
          <cell r="I3624" t="str">
            <v>11</v>
          </cell>
          <cell r="J3624" t="str">
            <v>WOOD COATINGS</v>
          </cell>
          <cell r="K3624" t="str">
            <v>1118</v>
          </cell>
          <cell r="L3624" t="str">
            <v>COMPLEMENTARY</v>
          </cell>
          <cell r="M3624" t="str">
            <v>111807</v>
          </cell>
          <cell r="N3624" t="str">
            <v>PASTA</v>
          </cell>
        </row>
        <row r="3625">
          <cell r="C3625" t="str">
            <v>100005075</v>
          </cell>
          <cell r="D3625" t="str">
            <v>GZPU-21500-002 MT VN-18KP</v>
          </cell>
          <cell r="E3625" t="str">
            <v>ZFGD</v>
          </cell>
          <cell r="F3625" t="str">
            <v>PC</v>
          </cell>
          <cell r="G3625" t="str">
            <v>1</v>
          </cell>
          <cell r="H3625" t="str">
            <v>INDUSTRY</v>
          </cell>
          <cell r="I3625" t="str">
            <v>11</v>
          </cell>
          <cell r="J3625" t="str">
            <v>WOOD COATINGS</v>
          </cell>
          <cell r="K3625" t="str">
            <v>1103</v>
          </cell>
          <cell r="L3625" t="str">
            <v>PU</v>
          </cell>
          <cell r="M3625" t="str">
            <v>110302</v>
          </cell>
          <cell r="N3625" t="str">
            <v>GLAZE PU</v>
          </cell>
        </row>
        <row r="3626">
          <cell r="C3626" t="str">
            <v>100005076</v>
          </cell>
          <cell r="D3626" t="str">
            <v>GZPU-21500-002 MT VN-4K</v>
          </cell>
          <cell r="E3626" t="str">
            <v>ZFGD</v>
          </cell>
          <cell r="F3626" t="str">
            <v>PC</v>
          </cell>
          <cell r="G3626" t="str">
            <v>1</v>
          </cell>
          <cell r="H3626" t="str">
            <v>INDUSTRY</v>
          </cell>
          <cell r="I3626" t="str">
            <v>11</v>
          </cell>
          <cell r="J3626" t="str">
            <v>WOOD COATINGS</v>
          </cell>
          <cell r="K3626" t="str">
            <v>1103</v>
          </cell>
          <cell r="L3626" t="str">
            <v>PU</v>
          </cell>
          <cell r="M3626" t="str">
            <v>110302</v>
          </cell>
          <cell r="N3626" t="str">
            <v>GLAZE PU</v>
          </cell>
        </row>
        <row r="3627">
          <cell r="C3627" t="str">
            <v>100005077</v>
          </cell>
          <cell r="D3627" t="str">
            <v>PUP-52133 XAM NAU SA VN-20KP</v>
          </cell>
          <cell r="E3627" t="str">
            <v>ZFGD</v>
          </cell>
          <cell r="F3627" t="str">
            <v>PC</v>
          </cell>
          <cell r="G3627" t="str">
            <v>1</v>
          </cell>
          <cell r="H3627" t="str">
            <v>INDUSTRY</v>
          </cell>
          <cell r="I3627" t="str">
            <v>11</v>
          </cell>
          <cell r="J3627" t="str">
            <v>WOOD COATINGS</v>
          </cell>
          <cell r="K3627" t="str">
            <v>1103</v>
          </cell>
          <cell r="L3627" t="str">
            <v>PU</v>
          </cell>
          <cell r="M3627" t="str">
            <v>110322</v>
          </cell>
          <cell r="N3627" t="str">
            <v>PU PRIMER</v>
          </cell>
        </row>
        <row r="3628">
          <cell r="C3628" t="str">
            <v>100005078</v>
          </cell>
          <cell r="D3628" t="str">
            <v>UVSS-40104 VN-20KP</v>
          </cell>
          <cell r="E3628" t="str">
            <v>ZFGD</v>
          </cell>
          <cell r="F3628" t="str">
            <v>PC</v>
          </cell>
          <cell r="G3628" t="str">
            <v>1</v>
          </cell>
          <cell r="H3628" t="str">
            <v>INDUSTRY</v>
          </cell>
          <cell r="I3628" t="str">
            <v>11</v>
          </cell>
          <cell r="J3628" t="str">
            <v>WOOD COATINGS</v>
          </cell>
          <cell r="K3628" t="str">
            <v>1106</v>
          </cell>
          <cell r="L3628" t="str">
            <v>UV</v>
          </cell>
          <cell r="M3628" t="str">
            <v>110605</v>
          </cell>
          <cell r="N3628" t="str">
            <v>UV SANDING SEALER</v>
          </cell>
        </row>
        <row r="3629">
          <cell r="C3629" t="str">
            <v>100005079</v>
          </cell>
          <cell r="D3629" t="str">
            <v>DP-32-LY-221-AK-20KP</v>
          </cell>
          <cell r="E3629" t="str">
            <v>ZFGD</v>
          </cell>
          <cell r="F3629" t="str">
            <v>PC</v>
          </cell>
          <cell r="G3629" t="str">
            <v>1</v>
          </cell>
          <cell r="H3629" t="str">
            <v>INDUSTRY</v>
          </cell>
          <cell r="I3629" t="str">
            <v>11</v>
          </cell>
          <cell r="J3629" t="str">
            <v>WOOD COATINGS</v>
          </cell>
          <cell r="K3629" t="str">
            <v>1104</v>
          </cell>
          <cell r="L3629" t="str">
            <v>NC</v>
          </cell>
          <cell r="M3629" t="str">
            <v>110405</v>
          </cell>
          <cell r="N3629" t="str">
            <v>NC SYSTEM</v>
          </cell>
        </row>
        <row r="3630">
          <cell r="C3630" t="str">
            <v>100005080</v>
          </cell>
          <cell r="D3630" t="str">
            <v>DP-32-LY-WHI-AK-20KP</v>
          </cell>
          <cell r="E3630" t="str">
            <v>ZFGD</v>
          </cell>
          <cell r="F3630" t="str">
            <v>PC</v>
          </cell>
          <cell r="G3630" t="str">
            <v>1</v>
          </cell>
          <cell r="H3630" t="str">
            <v>INDUSTRY</v>
          </cell>
          <cell r="I3630" t="str">
            <v>11</v>
          </cell>
          <cell r="J3630" t="str">
            <v>WOOD COATINGS</v>
          </cell>
          <cell r="K3630" t="str">
            <v>1104</v>
          </cell>
          <cell r="L3630" t="str">
            <v>NC</v>
          </cell>
          <cell r="M3630" t="str">
            <v>110405</v>
          </cell>
          <cell r="N3630" t="str">
            <v>NC SYSTEM</v>
          </cell>
        </row>
        <row r="3631">
          <cell r="C3631" t="str">
            <v>100005081</v>
          </cell>
          <cell r="D3631" t="str">
            <v>NCL-32-LY-5-AK-18KP</v>
          </cell>
          <cell r="E3631" t="str">
            <v>ZFGD</v>
          </cell>
          <cell r="F3631" t="str">
            <v>PC</v>
          </cell>
          <cell r="G3631" t="str">
            <v>1</v>
          </cell>
          <cell r="H3631" t="str">
            <v>INDUSTRY</v>
          </cell>
          <cell r="I3631" t="str">
            <v>11</v>
          </cell>
          <cell r="J3631" t="str">
            <v>WOOD COATINGS</v>
          </cell>
          <cell r="K3631" t="str">
            <v>1104</v>
          </cell>
          <cell r="L3631" t="str">
            <v>NC</v>
          </cell>
          <cell r="M3631" t="str">
            <v>110405</v>
          </cell>
          <cell r="N3631" t="str">
            <v>NC SYSTEM</v>
          </cell>
        </row>
        <row r="3632">
          <cell r="C3632" t="str">
            <v>100005082</v>
          </cell>
          <cell r="D3632" t="str">
            <v>NCSS-32-LY-AK-18KP</v>
          </cell>
          <cell r="E3632" t="str">
            <v>ZFGD</v>
          </cell>
          <cell r="F3632" t="str">
            <v>PC</v>
          </cell>
          <cell r="G3632" t="str">
            <v>1</v>
          </cell>
          <cell r="H3632" t="str">
            <v>INDUSTRY</v>
          </cell>
          <cell r="I3632" t="str">
            <v>11</v>
          </cell>
          <cell r="J3632" t="str">
            <v>WOOD COATINGS</v>
          </cell>
          <cell r="K3632" t="str">
            <v>1104</v>
          </cell>
          <cell r="L3632" t="str">
            <v>NC</v>
          </cell>
          <cell r="M3632" t="str">
            <v>110405</v>
          </cell>
          <cell r="N3632" t="str">
            <v>NC SYSTEM</v>
          </cell>
        </row>
        <row r="3633">
          <cell r="C3633" t="str">
            <v>100005083</v>
          </cell>
          <cell r="D3633" t="str">
            <v>DP-32-LY-221-AK-200KB</v>
          </cell>
          <cell r="E3633" t="str">
            <v>ZFGD</v>
          </cell>
          <cell r="F3633" t="str">
            <v>PC</v>
          </cell>
          <cell r="G3633" t="str">
            <v>1</v>
          </cell>
          <cell r="H3633" t="str">
            <v>INDUSTRY</v>
          </cell>
          <cell r="I3633" t="str">
            <v>11</v>
          </cell>
          <cell r="J3633" t="str">
            <v>WOOD COATINGS</v>
          </cell>
          <cell r="K3633" t="str">
            <v>1104</v>
          </cell>
          <cell r="L3633" t="str">
            <v>NC</v>
          </cell>
          <cell r="M3633" t="str">
            <v>110405</v>
          </cell>
          <cell r="N3633" t="str">
            <v>NC SYSTEM</v>
          </cell>
        </row>
        <row r="3634">
          <cell r="C3634" t="str">
            <v>100005084</v>
          </cell>
          <cell r="D3634" t="str">
            <v>DP-32-LY-WHI-AK-200KB</v>
          </cell>
          <cell r="E3634" t="str">
            <v>ZFGD</v>
          </cell>
          <cell r="F3634" t="str">
            <v>PC</v>
          </cell>
          <cell r="G3634" t="str">
            <v>1</v>
          </cell>
          <cell r="H3634" t="str">
            <v>INDUSTRY</v>
          </cell>
          <cell r="I3634" t="str">
            <v>11</v>
          </cell>
          <cell r="J3634" t="str">
            <v>WOOD COATINGS</v>
          </cell>
          <cell r="K3634" t="str">
            <v>1104</v>
          </cell>
          <cell r="L3634" t="str">
            <v>NC</v>
          </cell>
          <cell r="M3634" t="str">
            <v>110405</v>
          </cell>
          <cell r="N3634" t="str">
            <v>NC SYSTEM</v>
          </cell>
        </row>
        <row r="3635">
          <cell r="C3635" t="str">
            <v>100005085</v>
          </cell>
          <cell r="D3635" t="str">
            <v>NCL-32-LY-5-AK-180KB</v>
          </cell>
          <cell r="E3635" t="str">
            <v>ZFGD</v>
          </cell>
          <cell r="F3635" t="str">
            <v>PC</v>
          </cell>
          <cell r="G3635" t="str">
            <v>1</v>
          </cell>
          <cell r="H3635" t="str">
            <v>INDUSTRY</v>
          </cell>
          <cell r="I3635" t="str">
            <v>11</v>
          </cell>
          <cell r="J3635" t="str">
            <v>WOOD COATINGS</v>
          </cell>
          <cell r="K3635" t="str">
            <v>1104</v>
          </cell>
          <cell r="L3635" t="str">
            <v>NC</v>
          </cell>
          <cell r="M3635" t="str">
            <v>110405</v>
          </cell>
          <cell r="N3635" t="str">
            <v>NC SYSTEM</v>
          </cell>
        </row>
        <row r="3636">
          <cell r="C3636" t="str">
            <v>100005086</v>
          </cell>
          <cell r="D3636" t="str">
            <v>NCSS-32-LY-AK-180KB</v>
          </cell>
          <cell r="E3636" t="str">
            <v>ZFGD</v>
          </cell>
          <cell r="F3636" t="str">
            <v>PC</v>
          </cell>
          <cell r="G3636" t="str">
            <v>1</v>
          </cell>
          <cell r="H3636" t="str">
            <v>INDUSTRY</v>
          </cell>
          <cell r="I3636" t="str">
            <v>11</v>
          </cell>
          <cell r="J3636" t="str">
            <v>WOOD COATINGS</v>
          </cell>
          <cell r="K3636" t="str">
            <v>1104</v>
          </cell>
          <cell r="L3636" t="str">
            <v>NC</v>
          </cell>
          <cell r="M3636" t="str">
            <v>110405</v>
          </cell>
          <cell r="N3636" t="str">
            <v>NC SYSTEM</v>
          </cell>
        </row>
        <row r="3637">
          <cell r="C3637" t="str">
            <v>100005087</v>
          </cell>
          <cell r="D3637" t="str">
            <v>DP-32-LY-446-AK-20KP</v>
          </cell>
          <cell r="E3637" t="str">
            <v>ZFGD</v>
          </cell>
          <cell r="F3637" t="str">
            <v>PC</v>
          </cell>
          <cell r="G3637" t="str">
            <v>1</v>
          </cell>
          <cell r="H3637" t="str">
            <v>INDUSTRY</v>
          </cell>
          <cell r="I3637" t="str">
            <v>11</v>
          </cell>
          <cell r="J3637" t="str">
            <v>WOOD COATINGS</v>
          </cell>
          <cell r="K3637" t="str">
            <v>1104</v>
          </cell>
          <cell r="L3637" t="str">
            <v>NC</v>
          </cell>
          <cell r="M3637" t="str">
            <v>110405</v>
          </cell>
          <cell r="N3637" t="str">
            <v>NC SYSTEM</v>
          </cell>
        </row>
        <row r="3638">
          <cell r="C3638" t="str">
            <v>100005088</v>
          </cell>
          <cell r="D3638" t="str">
            <v>DP-32-LY-446-AK-200KB</v>
          </cell>
          <cell r="E3638" t="str">
            <v>ZFGD</v>
          </cell>
          <cell r="F3638" t="str">
            <v>PC</v>
          </cell>
          <cell r="G3638" t="str">
            <v>1</v>
          </cell>
          <cell r="H3638" t="str">
            <v>INDUSTRY</v>
          </cell>
          <cell r="I3638" t="str">
            <v>11</v>
          </cell>
          <cell r="J3638" t="str">
            <v>WOOD COATINGS</v>
          </cell>
          <cell r="K3638" t="str">
            <v>1104</v>
          </cell>
          <cell r="L3638" t="str">
            <v>NC</v>
          </cell>
          <cell r="M3638" t="str">
            <v>110405</v>
          </cell>
          <cell r="N3638" t="str">
            <v>NC SYSTEM</v>
          </cell>
        </row>
        <row r="3639">
          <cell r="C3639" t="str">
            <v>100005089</v>
          </cell>
          <cell r="D3639" t="str">
            <v>EQ-10200-01 M2 VN-16KJ</v>
          </cell>
          <cell r="E3639" t="str">
            <v>ZFGD</v>
          </cell>
          <cell r="F3639" t="str">
            <v>PC</v>
          </cell>
          <cell r="G3639" t="str">
            <v>1</v>
          </cell>
          <cell r="H3639" t="str">
            <v>INDUSTRY</v>
          </cell>
          <cell r="I3639" t="str">
            <v>11</v>
          </cell>
          <cell r="J3639" t="str">
            <v>WOOD COATINGS</v>
          </cell>
          <cell r="K3639" t="str">
            <v>1109</v>
          </cell>
          <cell r="L3639" t="str">
            <v>STAIN &amp; GLAZE INTERIOR</v>
          </cell>
          <cell r="M3639" t="str">
            <v>110901</v>
          </cell>
          <cell r="N3639" t="str">
            <v>ASOF : STAIN &amp; GLAZE</v>
          </cell>
        </row>
        <row r="3640">
          <cell r="C3640" t="str">
            <v>100005090</v>
          </cell>
          <cell r="D3640" t="str">
            <v>2K ACRYLIC GREY MATT VN-16KP</v>
          </cell>
          <cell r="E3640" t="str">
            <v>ZFGD</v>
          </cell>
          <cell r="F3640" t="str">
            <v>PC</v>
          </cell>
          <cell r="G3640" t="str">
            <v>2</v>
          </cell>
          <cell r="H3640" t="str">
            <v>RETAIL</v>
          </cell>
          <cell r="I3640" t="str">
            <v>22</v>
          </cell>
          <cell r="J3640" t="str">
            <v>WF2</v>
          </cell>
          <cell r="K3640" t="str">
            <v>2216</v>
          </cell>
          <cell r="L3640" t="str">
            <v>PU MULTIPURPOSE</v>
          </cell>
          <cell r="M3640" t="str">
            <v>221601</v>
          </cell>
          <cell r="N3640" t="str">
            <v>PROPAN MP PU ACR RMX</v>
          </cell>
        </row>
        <row r="3641">
          <cell r="C3641" t="str">
            <v>100005091</v>
          </cell>
          <cell r="D3641" t="str">
            <v>2K ACRYLIC GREY MATT VN-20KSP</v>
          </cell>
          <cell r="E3641" t="str">
            <v>ZFGD</v>
          </cell>
          <cell r="F3641" t="str">
            <v>SET</v>
          </cell>
          <cell r="G3641" t="str">
            <v>2</v>
          </cell>
          <cell r="H3641" t="str">
            <v>RETAIL</v>
          </cell>
          <cell r="I3641" t="str">
            <v>22</v>
          </cell>
          <cell r="J3641" t="str">
            <v>WF2</v>
          </cell>
          <cell r="K3641" t="str">
            <v>2216</v>
          </cell>
          <cell r="L3641" t="str">
            <v>PU MULTIPURPOSE</v>
          </cell>
          <cell r="M3641" t="str">
            <v>221601</v>
          </cell>
          <cell r="N3641" t="str">
            <v>PROPAN MP PU ACR RMX</v>
          </cell>
        </row>
        <row r="3642">
          <cell r="C3642" t="str">
            <v>100005092</v>
          </cell>
          <cell r="D3642" t="str">
            <v>2K ACRYLIC  LIGHT CREAM MATT VN-16KP</v>
          </cell>
          <cell r="E3642" t="str">
            <v>ZFGD</v>
          </cell>
          <cell r="F3642" t="str">
            <v>PC</v>
          </cell>
          <cell r="G3642" t="str">
            <v>2</v>
          </cell>
          <cell r="H3642" t="str">
            <v>RETAIL</v>
          </cell>
          <cell r="I3642" t="str">
            <v>22</v>
          </cell>
          <cell r="J3642" t="str">
            <v>WF2</v>
          </cell>
          <cell r="K3642" t="str">
            <v>2216</v>
          </cell>
          <cell r="L3642" t="str">
            <v>PU MULTIPURPOSE</v>
          </cell>
          <cell r="M3642" t="str">
            <v>221601</v>
          </cell>
          <cell r="N3642" t="str">
            <v>PROPAN MP PU ACR RMX</v>
          </cell>
        </row>
        <row r="3643">
          <cell r="C3643" t="str">
            <v>100005093</v>
          </cell>
          <cell r="D3643" t="str">
            <v>2K ACRYLIC LIGHT CREAM MATT VN-20KSP</v>
          </cell>
          <cell r="E3643" t="str">
            <v>ZFGD</v>
          </cell>
          <cell r="F3643" t="str">
            <v>SET</v>
          </cell>
          <cell r="G3643" t="str">
            <v>2</v>
          </cell>
          <cell r="H3643" t="str">
            <v>RETAIL</v>
          </cell>
          <cell r="I3643" t="str">
            <v>22</v>
          </cell>
          <cell r="J3643" t="str">
            <v>WF2</v>
          </cell>
          <cell r="K3643" t="str">
            <v>2216</v>
          </cell>
          <cell r="L3643" t="str">
            <v>PU MULTIPURPOSE</v>
          </cell>
          <cell r="M3643" t="str">
            <v>221601</v>
          </cell>
          <cell r="N3643" t="str">
            <v>PROPAN MP PU ACR RMX</v>
          </cell>
        </row>
        <row r="3644">
          <cell r="C3644" t="str">
            <v>100005094</v>
          </cell>
          <cell r="D3644" t="str">
            <v>SST 11100-01 M3 VN-18KJ</v>
          </cell>
          <cell r="E3644" t="str">
            <v>ZFGD</v>
          </cell>
          <cell r="F3644" t="str">
            <v>PC</v>
          </cell>
          <cell r="G3644" t="str">
            <v>1</v>
          </cell>
          <cell r="H3644" t="str">
            <v>INDUSTRY</v>
          </cell>
          <cell r="I3644" t="str">
            <v>11</v>
          </cell>
          <cell r="J3644" t="str">
            <v>WOOD COATINGS</v>
          </cell>
          <cell r="K3644" t="str">
            <v>1109</v>
          </cell>
          <cell r="L3644" t="str">
            <v>STAIN &amp; GLAZE INTERIOR</v>
          </cell>
          <cell r="M3644" t="str">
            <v>110903</v>
          </cell>
          <cell r="N3644" t="str">
            <v>STAIN INTERIOR</v>
          </cell>
        </row>
        <row r="3645">
          <cell r="C3645" t="str">
            <v>100005095</v>
          </cell>
          <cell r="D3645" t="str">
            <v>DP 12123-01-M3 VN-20KP</v>
          </cell>
          <cell r="E3645" t="str">
            <v>ZFGD</v>
          </cell>
          <cell r="F3645" t="str">
            <v>PC</v>
          </cell>
          <cell r="G3645" t="str">
            <v>1</v>
          </cell>
          <cell r="H3645" t="str">
            <v>INDUSTRY</v>
          </cell>
          <cell r="I3645" t="str">
            <v>11</v>
          </cell>
          <cell r="J3645" t="str">
            <v>WOOD COATINGS</v>
          </cell>
          <cell r="K3645" t="str">
            <v>1104</v>
          </cell>
          <cell r="L3645" t="str">
            <v>NC</v>
          </cell>
          <cell r="M3645" t="str">
            <v>110405</v>
          </cell>
          <cell r="N3645" t="str">
            <v>NC SYSTEM</v>
          </cell>
        </row>
        <row r="3646">
          <cell r="C3646" t="str">
            <v>100005096</v>
          </cell>
          <cell r="D3646" t="str">
            <v>GZ-12700 N-01 M3 VN-18KP</v>
          </cell>
          <cell r="E3646" t="str">
            <v>ZFGD</v>
          </cell>
          <cell r="F3646" t="str">
            <v>PC</v>
          </cell>
          <cell r="G3646" t="str">
            <v>1</v>
          </cell>
          <cell r="H3646" t="str">
            <v>INDUSTRY</v>
          </cell>
          <cell r="I3646" t="str">
            <v>11</v>
          </cell>
          <cell r="J3646" t="str">
            <v>WOOD COATINGS</v>
          </cell>
          <cell r="K3646" t="str">
            <v>1109</v>
          </cell>
          <cell r="L3646" t="str">
            <v>STAIN &amp; GLAZE INTERIOR</v>
          </cell>
          <cell r="M3646" t="str">
            <v>110901</v>
          </cell>
          <cell r="N3646" t="str">
            <v>ASOF : STAIN &amp; GLAZE</v>
          </cell>
        </row>
        <row r="3647">
          <cell r="C3647" t="str">
            <v>100005097</v>
          </cell>
          <cell r="D3647" t="str">
            <v>PCA 31100-01 M3 VN-18KJ</v>
          </cell>
          <cell r="E3647" t="str">
            <v>ZFGD</v>
          </cell>
          <cell r="F3647" t="str">
            <v>PC</v>
          </cell>
          <cell r="G3647" t="str">
            <v>1</v>
          </cell>
          <cell r="H3647" t="str">
            <v>INDUSTRY</v>
          </cell>
          <cell r="I3647" t="str">
            <v>11</v>
          </cell>
          <cell r="J3647" t="str">
            <v>WOOD COATINGS</v>
          </cell>
          <cell r="K3647" t="str">
            <v>1118</v>
          </cell>
          <cell r="L3647" t="str">
            <v>COMPLEMENTARY</v>
          </cell>
          <cell r="M3647" t="str">
            <v>111807</v>
          </cell>
          <cell r="N3647" t="str">
            <v>PASTA</v>
          </cell>
        </row>
        <row r="3648">
          <cell r="C3648" t="str">
            <v>100005098</v>
          </cell>
          <cell r="D3648" t="str">
            <v>#NU PUC-54206 AC EX PULLMAN 90 TL VN-18K</v>
          </cell>
          <cell r="E3648" t="str">
            <v>ZFGD</v>
          </cell>
          <cell r="F3648" t="str">
            <v>PC</v>
          </cell>
          <cell r="G3648" t="str">
            <v>1</v>
          </cell>
          <cell r="H3648" t="str">
            <v>INDUSTRY</v>
          </cell>
          <cell r="I3648" t="str">
            <v>11</v>
          </cell>
          <cell r="J3648" t="str">
            <v>WOOD COATINGS</v>
          </cell>
          <cell r="K3648" t="str">
            <v>1103</v>
          </cell>
          <cell r="L3648" t="str">
            <v>PU</v>
          </cell>
          <cell r="M3648" t="str">
            <v>110319</v>
          </cell>
          <cell r="N3648" t="str">
            <v>PU COLOR</v>
          </cell>
        </row>
        <row r="3649">
          <cell r="C3649" t="str">
            <v>100005099</v>
          </cell>
          <cell r="D3649" t="str">
            <v>PUC-54206 AC EX PULLMAN 90 TL VN-20KP</v>
          </cell>
          <cell r="E3649" t="str">
            <v>ZFGD</v>
          </cell>
          <cell r="F3649" t="str">
            <v>PC</v>
          </cell>
          <cell r="G3649" t="str">
            <v>1</v>
          </cell>
          <cell r="H3649" t="str">
            <v>INDUSTRY</v>
          </cell>
          <cell r="I3649" t="str">
            <v>11</v>
          </cell>
          <cell r="J3649" t="str">
            <v>WOOD COATINGS</v>
          </cell>
          <cell r="K3649" t="str">
            <v>1103</v>
          </cell>
          <cell r="L3649" t="str">
            <v>PU</v>
          </cell>
          <cell r="M3649" t="str">
            <v>110319</v>
          </cell>
          <cell r="N3649" t="str">
            <v>PU COLOR</v>
          </cell>
        </row>
        <row r="3650">
          <cell r="C3650" t="str">
            <v>100005100</v>
          </cell>
          <cell r="D3650" t="str">
            <v>11-261-02  AF PU THINNER-18KJ</v>
          </cell>
          <cell r="E3650" t="str">
            <v>ZFGD</v>
          </cell>
          <cell r="F3650" t="str">
            <v>PC</v>
          </cell>
          <cell r="G3650" t="str">
            <v>1</v>
          </cell>
          <cell r="H3650" t="str">
            <v>INDUSTRY</v>
          </cell>
          <cell r="I3650" t="str">
            <v>14</v>
          </cell>
          <cell r="J3650" t="str">
            <v>THINNER</v>
          </cell>
          <cell r="K3650" t="str">
            <v>1411</v>
          </cell>
          <cell r="L3650" t="str">
            <v>THINNER PU</v>
          </cell>
          <cell r="M3650" t="str">
            <v>141102</v>
          </cell>
          <cell r="N3650" t="str">
            <v>UNION THINNER</v>
          </cell>
        </row>
        <row r="3651">
          <cell r="C3651" t="str">
            <v>100005101</v>
          </cell>
          <cell r="D3651" t="str">
            <v>11-261-02  AF PU THINNER-20LJ</v>
          </cell>
          <cell r="E3651" t="str">
            <v>ZFGD</v>
          </cell>
          <cell r="F3651" t="str">
            <v>PC</v>
          </cell>
          <cell r="G3651" t="str">
            <v>1</v>
          </cell>
          <cell r="H3651" t="str">
            <v>INDUSTRY</v>
          </cell>
          <cell r="I3651" t="str">
            <v>14</v>
          </cell>
          <cell r="J3651" t="str">
            <v>THINNER</v>
          </cell>
          <cell r="K3651" t="str">
            <v>1411</v>
          </cell>
          <cell r="L3651" t="str">
            <v>THINNER PU</v>
          </cell>
          <cell r="M3651" t="str">
            <v>141102</v>
          </cell>
          <cell r="N3651" t="str">
            <v>UNION THINNER</v>
          </cell>
        </row>
        <row r="3652">
          <cell r="C3652" t="str">
            <v>100005102</v>
          </cell>
          <cell r="D3652" t="str">
            <v>11-261-02  AF PU THINNER-30LJ</v>
          </cell>
          <cell r="E3652" t="str">
            <v>ZFGD</v>
          </cell>
          <cell r="F3652" t="str">
            <v>PC</v>
          </cell>
          <cell r="G3652" t="str">
            <v>1</v>
          </cell>
          <cell r="H3652" t="str">
            <v>INDUSTRY</v>
          </cell>
          <cell r="I3652" t="str">
            <v>14</v>
          </cell>
          <cell r="J3652" t="str">
            <v>THINNER</v>
          </cell>
          <cell r="K3652" t="str">
            <v>1411</v>
          </cell>
          <cell r="L3652" t="str">
            <v>THINNER PU</v>
          </cell>
          <cell r="M3652" t="str">
            <v>141102</v>
          </cell>
          <cell r="N3652" t="str">
            <v>UNION THINNER</v>
          </cell>
        </row>
        <row r="3653">
          <cell r="C3653" t="str">
            <v>100005103</v>
          </cell>
          <cell r="D3653" t="str">
            <v>11-261-02  AF PU THINNER-200LK</v>
          </cell>
          <cell r="E3653" t="str">
            <v>ZFGD</v>
          </cell>
          <cell r="F3653" t="str">
            <v>PC</v>
          </cell>
          <cell r="G3653" t="str">
            <v>1</v>
          </cell>
          <cell r="H3653" t="str">
            <v>INDUSTRY</v>
          </cell>
          <cell r="I3653" t="str">
            <v>14</v>
          </cell>
          <cell r="J3653" t="str">
            <v>THINNER</v>
          </cell>
          <cell r="K3653" t="str">
            <v>1411</v>
          </cell>
          <cell r="L3653" t="str">
            <v>THINNER PU</v>
          </cell>
          <cell r="M3653" t="str">
            <v>141102</v>
          </cell>
          <cell r="N3653" t="str">
            <v>UNION THINNER</v>
          </cell>
        </row>
        <row r="3654">
          <cell r="C3654" t="str">
            <v>100005104</v>
          </cell>
          <cell r="D3654" t="str">
            <v>RD-74107 VN-18KJ</v>
          </cell>
          <cell r="E3654" t="str">
            <v>ZFGD</v>
          </cell>
          <cell r="F3654" t="str">
            <v>PC</v>
          </cell>
          <cell r="G3654" t="str">
            <v>1</v>
          </cell>
          <cell r="H3654" t="str">
            <v>INDUSTRY</v>
          </cell>
          <cell r="I3654" t="str">
            <v>11</v>
          </cell>
          <cell r="J3654" t="str">
            <v>WOOD COATINGS</v>
          </cell>
          <cell r="K3654" t="str">
            <v>1118</v>
          </cell>
          <cell r="L3654" t="str">
            <v>COMPLEMENTARY</v>
          </cell>
          <cell r="M3654" t="str">
            <v>111809</v>
          </cell>
          <cell r="N3654" t="str">
            <v>RETARDER</v>
          </cell>
        </row>
        <row r="3655">
          <cell r="C3655" t="str">
            <v>100005105</v>
          </cell>
          <cell r="D3655" t="str">
            <v>RD-74107 VN-180KK</v>
          </cell>
          <cell r="E3655" t="str">
            <v>ZFGD</v>
          </cell>
          <cell r="F3655" t="str">
            <v>PC</v>
          </cell>
          <cell r="G3655" t="str">
            <v>1</v>
          </cell>
          <cell r="H3655" t="str">
            <v>INDUSTRY</v>
          </cell>
          <cell r="I3655" t="str">
            <v>11</v>
          </cell>
          <cell r="J3655" t="str">
            <v>WOOD COATINGS</v>
          </cell>
          <cell r="K3655" t="str">
            <v>1118</v>
          </cell>
          <cell r="L3655" t="str">
            <v>COMPLEMENTARY</v>
          </cell>
          <cell r="M3655" t="str">
            <v>111809</v>
          </cell>
          <cell r="N3655" t="str">
            <v>RETARDER</v>
          </cell>
        </row>
        <row r="3656">
          <cell r="C3656" t="str">
            <v>100005106</v>
          </cell>
          <cell r="D3656" t="str">
            <v>RD-74107 VN-20LJ</v>
          </cell>
          <cell r="E3656" t="str">
            <v>ZFGD</v>
          </cell>
          <cell r="F3656" t="str">
            <v>PC</v>
          </cell>
          <cell r="G3656" t="str">
            <v>1</v>
          </cell>
          <cell r="H3656" t="str">
            <v>INDUSTRY</v>
          </cell>
          <cell r="I3656" t="str">
            <v>11</v>
          </cell>
          <cell r="J3656" t="str">
            <v>WOOD COATINGS</v>
          </cell>
          <cell r="K3656" t="str">
            <v>1118</v>
          </cell>
          <cell r="L3656" t="str">
            <v>COMPLEMENTARY</v>
          </cell>
          <cell r="M3656" t="str">
            <v>111809</v>
          </cell>
          <cell r="N3656" t="str">
            <v>RETARDER</v>
          </cell>
        </row>
        <row r="3657">
          <cell r="C3657" t="str">
            <v>100005107</v>
          </cell>
          <cell r="D3657" t="str">
            <v>RD-74107 VN-200LK</v>
          </cell>
          <cell r="E3657" t="str">
            <v>ZFGD</v>
          </cell>
          <cell r="F3657" t="str">
            <v>PC</v>
          </cell>
          <cell r="G3657" t="str">
            <v>1</v>
          </cell>
          <cell r="H3657" t="str">
            <v>INDUSTRY</v>
          </cell>
          <cell r="I3657" t="str">
            <v>11</v>
          </cell>
          <cell r="J3657" t="str">
            <v>WOOD COATINGS</v>
          </cell>
          <cell r="K3657" t="str">
            <v>1112</v>
          </cell>
          <cell r="L3657" t="str">
            <v>OTHERS INDUSTRI</v>
          </cell>
          <cell r="M3657" t="str">
            <v>111203</v>
          </cell>
          <cell r="N3657" t="str">
            <v>RETARDER</v>
          </cell>
        </row>
        <row r="3658">
          <cell r="C3658" t="str">
            <v>100005108</v>
          </cell>
          <cell r="D3658" t="str">
            <v>WBL-63222 EX LIGHT BROWN V 08-200KB</v>
          </cell>
          <cell r="E3658" t="str">
            <v>ZFGD</v>
          </cell>
          <cell r="F3658" t="str">
            <v>PC</v>
          </cell>
          <cell r="G3658" t="str">
            <v>1</v>
          </cell>
          <cell r="H3658" t="str">
            <v>INDUSTRY</v>
          </cell>
          <cell r="I3658" t="str">
            <v>11</v>
          </cell>
          <cell r="J3658" t="str">
            <v>WOOD COATINGS</v>
          </cell>
          <cell r="K3658" t="str">
            <v>1119</v>
          </cell>
          <cell r="L3658" t="str">
            <v>WATERBASED</v>
          </cell>
          <cell r="M3658" t="str">
            <v>111901</v>
          </cell>
          <cell r="N3658" t="str">
            <v>WATERBASED SYSTEM EXTERIOR</v>
          </cell>
        </row>
        <row r="3659">
          <cell r="C3659" t="str">
            <v>100005109</v>
          </cell>
          <cell r="D3659" t="str">
            <v>WBL-63222 EX RC LIGHT BROWN V-200KB</v>
          </cell>
          <cell r="E3659" t="str">
            <v>ZFGD</v>
          </cell>
          <cell r="F3659" t="str">
            <v>PC</v>
          </cell>
          <cell r="G3659" t="str">
            <v>1</v>
          </cell>
          <cell r="H3659" t="str">
            <v>INDUSTRY</v>
          </cell>
          <cell r="I3659" t="str">
            <v>11</v>
          </cell>
          <cell r="J3659" t="str">
            <v>WOOD COATINGS</v>
          </cell>
          <cell r="K3659" t="str">
            <v>1119</v>
          </cell>
          <cell r="L3659" t="str">
            <v>WATERBASED</v>
          </cell>
          <cell r="M3659" t="str">
            <v>111901</v>
          </cell>
          <cell r="N3659" t="str">
            <v>WATERBASED SYSTEM EXTERIOR</v>
          </cell>
        </row>
        <row r="3660">
          <cell r="C3660" t="str">
            <v>100005110</v>
          </cell>
          <cell r="D3660" t="str">
            <v>WBL-63222 EX LIGHT BROWN V 08-20KP</v>
          </cell>
          <cell r="E3660" t="str">
            <v>ZFGD</v>
          </cell>
          <cell r="F3660" t="str">
            <v>PC</v>
          </cell>
          <cell r="G3660" t="str">
            <v>1</v>
          </cell>
          <cell r="H3660" t="str">
            <v>INDUSTRY</v>
          </cell>
          <cell r="I3660" t="str">
            <v>11</v>
          </cell>
          <cell r="J3660" t="str">
            <v>WOOD COATINGS</v>
          </cell>
          <cell r="K3660" t="str">
            <v>1119</v>
          </cell>
          <cell r="L3660" t="str">
            <v>WATERBASED</v>
          </cell>
          <cell r="M3660" t="str">
            <v>111901</v>
          </cell>
          <cell r="N3660" t="str">
            <v>WATERBASED SYSTEM EXTERIOR</v>
          </cell>
        </row>
        <row r="3661">
          <cell r="C3661" t="str">
            <v>100005111</v>
          </cell>
          <cell r="D3661" t="str">
            <v>WBL-63222 EX RC LIGHT BROWN V-20KP</v>
          </cell>
          <cell r="E3661" t="str">
            <v>ZFGD</v>
          </cell>
          <cell r="F3661" t="str">
            <v>PC</v>
          </cell>
          <cell r="G3661" t="str">
            <v>1</v>
          </cell>
          <cell r="H3661" t="str">
            <v>INDUSTRY</v>
          </cell>
          <cell r="I3661" t="str">
            <v>11</v>
          </cell>
          <cell r="J3661" t="str">
            <v>WOOD COATINGS</v>
          </cell>
          <cell r="K3661" t="str">
            <v>1119</v>
          </cell>
          <cell r="L3661" t="str">
            <v>WATERBASED</v>
          </cell>
          <cell r="M3661" t="str">
            <v>111901</v>
          </cell>
          <cell r="N3661" t="str">
            <v>WATERBASED SYSTEM EXTERIOR</v>
          </cell>
        </row>
        <row r="3662">
          <cell r="C3662" t="str">
            <v>100005112</v>
          </cell>
          <cell r="D3662" t="str">
            <v>WBL-63221 EX BASE BC 08-20KP</v>
          </cell>
          <cell r="E3662" t="str">
            <v>ZFGD</v>
          </cell>
          <cell r="F3662" t="str">
            <v>PC</v>
          </cell>
          <cell r="G3662" t="str">
            <v>1</v>
          </cell>
          <cell r="H3662" t="str">
            <v>INDUSTRY</v>
          </cell>
          <cell r="I3662" t="str">
            <v>11</v>
          </cell>
          <cell r="J3662" t="str">
            <v>WOOD COATINGS</v>
          </cell>
          <cell r="K3662" t="str">
            <v>1119</v>
          </cell>
          <cell r="L3662" t="str">
            <v>WATERBASED</v>
          </cell>
          <cell r="M3662" t="str">
            <v>111901</v>
          </cell>
          <cell r="N3662" t="str">
            <v>WATERBASED SYSTEM EXTERIOR</v>
          </cell>
        </row>
        <row r="3663">
          <cell r="C3663" t="str">
            <v>100005113</v>
          </cell>
          <cell r="D3663" t="str">
            <v>WBL BASE 22 EX RC CLEAR-20KP</v>
          </cell>
          <cell r="E3663" t="str">
            <v>ZFGD</v>
          </cell>
          <cell r="F3663" t="str">
            <v>PC</v>
          </cell>
          <cell r="G3663" t="str">
            <v>1</v>
          </cell>
          <cell r="H3663" t="str">
            <v>INDUSTRY</v>
          </cell>
          <cell r="I3663" t="str">
            <v>11</v>
          </cell>
          <cell r="J3663" t="str">
            <v>WOOD COATINGS</v>
          </cell>
          <cell r="K3663" t="str">
            <v>1119</v>
          </cell>
          <cell r="L3663" t="str">
            <v>WATERBASED</v>
          </cell>
          <cell r="M3663" t="str">
            <v>111901</v>
          </cell>
          <cell r="N3663" t="str">
            <v>WATERBASED SYSTEM EXTERIOR</v>
          </cell>
        </row>
        <row r="3664">
          <cell r="C3664" t="str">
            <v>100005114</v>
          </cell>
          <cell r="D3664" t="str">
            <v>WBL BASE 22 EX CLEAR 08-200KB</v>
          </cell>
          <cell r="E3664" t="str">
            <v>ZFGD</v>
          </cell>
          <cell r="F3664" t="str">
            <v>PC</v>
          </cell>
          <cell r="G3664" t="str">
            <v>1</v>
          </cell>
          <cell r="H3664" t="str">
            <v>INDUSTRY</v>
          </cell>
          <cell r="I3664" t="str">
            <v>11</v>
          </cell>
          <cell r="J3664" t="str">
            <v>WOOD COATINGS</v>
          </cell>
          <cell r="K3664" t="str">
            <v>1119</v>
          </cell>
          <cell r="L3664" t="str">
            <v>WATERBASED</v>
          </cell>
          <cell r="M3664" t="str">
            <v>111901</v>
          </cell>
          <cell r="N3664" t="str">
            <v>WATERBASED SYSTEM EXTERIOR</v>
          </cell>
        </row>
        <row r="3665">
          <cell r="C3665" t="str">
            <v>100005115</v>
          </cell>
          <cell r="D3665" t="str">
            <v>WBL BASE 22 EX RC CLEAR-200KB</v>
          </cell>
          <cell r="E3665" t="str">
            <v>ZFGD</v>
          </cell>
          <cell r="F3665" t="str">
            <v>PC</v>
          </cell>
          <cell r="G3665" t="str">
            <v>1</v>
          </cell>
          <cell r="H3665" t="str">
            <v>INDUSTRY</v>
          </cell>
          <cell r="I3665" t="str">
            <v>11</v>
          </cell>
          <cell r="J3665" t="str">
            <v>WOOD COATINGS</v>
          </cell>
          <cell r="K3665" t="str">
            <v>1119</v>
          </cell>
          <cell r="L3665" t="str">
            <v>WATERBASED</v>
          </cell>
          <cell r="M3665" t="str">
            <v>111901</v>
          </cell>
          <cell r="N3665" t="str">
            <v>WATERBASED SYSTEM EXTERIOR</v>
          </cell>
        </row>
        <row r="3666">
          <cell r="C3666" t="str">
            <v>100005116</v>
          </cell>
          <cell r="D3666" t="str">
            <v>NBC-9345-1358AK-20KP</v>
          </cell>
          <cell r="E3666" t="str">
            <v>ZFGD</v>
          </cell>
          <cell r="F3666" t="str">
            <v>PC</v>
          </cell>
          <cell r="G3666" t="str">
            <v>1</v>
          </cell>
          <cell r="H3666" t="str">
            <v>INDUSTRY</v>
          </cell>
          <cell r="I3666" t="str">
            <v>11</v>
          </cell>
          <cell r="J3666" t="str">
            <v>WOOD COATINGS</v>
          </cell>
          <cell r="K3666" t="str">
            <v>1104</v>
          </cell>
          <cell r="L3666" t="str">
            <v>NC</v>
          </cell>
          <cell r="M3666" t="str">
            <v>110403</v>
          </cell>
          <cell r="N3666" t="str">
            <v>ASOF : NC BASE COAT</v>
          </cell>
        </row>
        <row r="3667">
          <cell r="C3667" t="str">
            <v>100005117</v>
          </cell>
          <cell r="D3667" t="str">
            <v>NBC-9345-1358AK-200KB</v>
          </cell>
          <cell r="E3667" t="str">
            <v>ZFGD</v>
          </cell>
          <cell r="F3667" t="str">
            <v>PC</v>
          </cell>
          <cell r="G3667" t="str">
            <v>1</v>
          </cell>
          <cell r="H3667" t="str">
            <v>INDUSTRY</v>
          </cell>
          <cell r="I3667" t="str">
            <v>11</v>
          </cell>
          <cell r="J3667" t="str">
            <v>WOOD COATINGS</v>
          </cell>
          <cell r="K3667" t="str">
            <v>1104</v>
          </cell>
          <cell r="L3667" t="str">
            <v>NC</v>
          </cell>
          <cell r="M3667" t="str">
            <v>110403</v>
          </cell>
          <cell r="N3667" t="str">
            <v>ASOF : NC BASE COAT</v>
          </cell>
        </row>
        <row r="3668">
          <cell r="C3668" t="str">
            <v>100005118</v>
          </cell>
          <cell r="D3668" t="str">
            <v>MPUL-13700 10 VN-16KP</v>
          </cell>
          <cell r="E3668" t="str">
            <v>ZFGD</v>
          </cell>
          <cell r="F3668" t="str">
            <v>PC</v>
          </cell>
          <cell r="G3668" t="str">
            <v>1</v>
          </cell>
          <cell r="H3668" t="str">
            <v>INDUSTRY</v>
          </cell>
          <cell r="I3668" t="str">
            <v>16</v>
          </cell>
          <cell r="J3668" t="str">
            <v>METAL COATINGS</v>
          </cell>
          <cell r="K3668" t="str">
            <v>1601</v>
          </cell>
          <cell r="L3668" t="str">
            <v>METAL COATINGS</v>
          </cell>
          <cell r="M3668" t="str">
            <v>160101</v>
          </cell>
          <cell r="N3668" t="str">
            <v>METAL COATINGS</v>
          </cell>
        </row>
        <row r="3669">
          <cell r="C3669" t="str">
            <v>100005119</v>
          </cell>
          <cell r="D3669" t="str">
            <v>PUP-54111 AC 02 S2 VN-20KP</v>
          </cell>
          <cell r="E3669" t="str">
            <v>ZFGD</v>
          </cell>
          <cell r="F3669" t="str">
            <v>PC</v>
          </cell>
          <cell r="G3669" t="str">
            <v>1</v>
          </cell>
          <cell r="H3669" t="str">
            <v>INDUSTRY</v>
          </cell>
          <cell r="I3669" t="str">
            <v>11</v>
          </cell>
          <cell r="J3669" t="str">
            <v>WOOD COATINGS</v>
          </cell>
          <cell r="K3669" t="str">
            <v>1103</v>
          </cell>
          <cell r="L3669" t="str">
            <v>PU</v>
          </cell>
          <cell r="M3669" t="str">
            <v>110322</v>
          </cell>
          <cell r="N3669" t="str">
            <v>PU PRIMER</v>
          </cell>
        </row>
        <row r="3670">
          <cell r="C3670" t="str">
            <v>100005120</v>
          </cell>
          <cell r="D3670" t="str">
            <v>UVP-60501 DLG SC VN-20KP</v>
          </cell>
          <cell r="E3670" t="str">
            <v>ZFGD</v>
          </cell>
          <cell r="F3670" t="str">
            <v>PC</v>
          </cell>
          <cell r="G3670" t="str">
            <v>1</v>
          </cell>
          <cell r="H3670" t="str">
            <v>INDUSTRY</v>
          </cell>
          <cell r="I3670" t="str">
            <v>11</v>
          </cell>
          <cell r="J3670" t="str">
            <v>WOOD COATINGS</v>
          </cell>
          <cell r="K3670" t="str">
            <v>1106</v>
          </cell>
          <cell r="L3670" t="str">
            <v>UV</v>
          </cell>
          <cell r="M3670" t="str">
            <v>110604</v>
          </cell>
          <cell r="N3670" t="str">
            <v>UV PRIMER</v>
          </cell>
        </row>
        <row r="3671">
          <cell r="C3671" t="str">
            <v>100005121</v>
          </cell>
          <cell r="D3671" t="str">
            <v>PUP-52135 GREY ACA HN VN-20KP</v>
          </cell>
          <cell r="E3671" t="str">
            <v>ZFGD</v>
          </cell>
          <cell r="F3671" t="str">
            <v>PC</v>
          </cell>
          <cell r="G3671" t="str">
            <v>1</v>
          </cell>
          <cell r="H3671" t="str">
            <v>INDUSTRY</v>
          </cell>
          <cell r="I3671" t="str">
            <v>11</v>
          </cell>
          <cell r="J3671" t="str">
            <v>WOOD COATINGS</v>
          </cell>
          <cell r="K3671" t="str">
            <v>1103</v>
          </cell>
          <cell r="L3671" t="str">
            <v>PU</v>
          </cell>
          <cell r="M3671" t="str">
            <v>110322</v>
          </cell>
          <cell r="N3671" t="str">
            <v>PU PRIMER</v>
          </cell>
        </row>
        <row r="3672">
          <cell r="C3672" t="str">
            <v>100005122</v>
          </cell>
          <cell r="D3672" t="str">
            <v>DC-12223 LC IVORY 10 HN VN-20KP</v>
          </cell>
          <cell r="E3672" t="str">
            <v>ZFGD</v>
          </cell>
          <cell r="F3672" t="str">
            <v>PC</v>
          </cell>
          <cell r="G3672" t="str">
            <v>1</v>
          </cell>
          <cell r="H3672" t="str">
            <v>INDUSTRY</v>
          </cell>
          <cell r="I3672" t="str">
            <v>11</v>
          </cell>
          <cell r="J3672" t="str">
            <v>WOOD COATINGS</v>
          </cell>
          <cell r="K3672" t="str">
            <v>1104</v>
          </cell>
          <cell r="L3672" t="str">
            <v>NC</v>
          </cell>
          <cell r="M3672" t="str">
            <v>110405</v>
          </cell>
          <cell r="N3672" t="str">
            <v>NC SYSTEM</v>
          </cell>
        </row>
        <row r="3673">
          <cell r="C3673" t="str">
            <v>100005123</v>
          </cell>
          <cell r="D3673" t="str">
            <v>DC-12223 LC GREY CW 10 HN VN-20KP</v>
          </cell>
          <cell r="E3673" t="str">
            <v>ZFGD</v>
          </cell>
          <cell r="F3673" t="str">
            <v>PC</v>
          </cell>
          <cell r="G3673" t="str">
            <v>1</v>
          </cell>
          <cell r="H3673" t="str">
            <v>INDUSTRY</v>
          </cell>
          <cell r="I3673" t="str">
            <v>11</v>
          </cell>
          <cell r="J3673" t="str">
            <v>WOOD COATINGS</v>
          </cell>
          <cell r="K3673" t="str">
            <v>1104</v>
          </cell>
          <cell r="L3673" t="str">
            <v>NC</v>
          </cell>
          <cell r="M3673" t="str">
            <v>110405</v>
          </cell>
          <cell r="N3673" t="str">
            <v>NC SYSTEM</v>
          </cell>
        </row>
        <row r="3674">
          <cell r="C3674" t="str">
            <v>100005124</v>
          </cell>
          <cell r="D3674" t="str">
            <v>SST-11100 DARK BROWN HN VN-18KJ</v>
          </cell>
          <cell r="E3674" t="str">
            <v>ZFGD</v>
          </cell>
          <cell r="F3674" t="str">
            <v>PC</v>
          </cell>
          <cell r="G3674" t="str">
            <v>1</v>
          </cell>
          <cell r="H3674" t="str">
            <v>INDUSTRY</v>
          </cell>
          <cell r="I3674" t="str">
            <v>11</v>
          </cell>
          <cell r="J3674" t="str">
            <v>WOOD COATINGS</v>
          </cell>
          <cell r="K3674" t="str">
            <v>1109</v>
          </cell>
          <cell r="L3674" t="str">
            <v>STAIN &amp; GLAZE INTERIOR</v>
          </cell>
          <cell r="M3674" t="str">
            <v>110903</v>
          </cell>
          <cell r="N3674" t="str">
            <v>STAIN INTERIOR</v>
          </cell>
        </row>
        <row r="3675">
          <cell r="C3675" t="str">
            <v>100005125</v>
          </cell>
          <cell r="D3675" t="str">
            <v>PCA-31100 OAK HN VN-18KJ</v>
          </cell>
          <cell r="E3675" t="str">
            <v>ZFGD</v>
          </cell>
          <cell r="F3675" t="str">
            <v>PC</v>
          </cell>
          <cell r="G3675" t="str">
            <v>1</v>
          </cell>
          <cell r="H3675" t="str">
            <v>INDUSTRY</v>
          </cell>
          <cell r="I3675" t="str">
            <v>11</v>
          </cell>
          <cell r="J3675" t="str">
            <v>WOOD COATINGS</v>
          </cell>
          <cell r="K3675" t="str">
            <v>1118</v>
          </cell>
          <cell r="L3675" t="str">
            <v>COMPLEMENTARY</v>
          </cell>
          <cell r="M3675" t="str">
            <v>111807</v>
          </cell>
          <cell r="N3675" t="str">
            <v>PASTA</v>
          </cell>
        </row>
        <row r="3676">
          <cell r="C3676" t="str">
            <v>100005126</v>
          </cell>
          <cell r="D3676" t="str">
            <v>SST-11100 OAK HN VN-18KJ</v>
          </cell>
          <cell r="E3676" t="str">
            <v>ZFGD</v>
          </cell>
          <cell r="F3676" t="str">
            <v>PC</v>
          </cell>
          <cell r="G3676" t="str">
            <v>1</v>
          </cell>
          <cell r="H3676" t="str">
            <v>INDUSTRY</v>
          </cell>
          <cell r="I3676" t="str">
            <v>11</v>
          </cell>
          <cell r="J3676" t="str">
            <v>WOOD COATINGS</v>
          </cell>
          <cell r="K3676" t="str">
            <v>1109</v>
          </cell>
          <cell r="L3676" t="str">
            <v>STAIN &amp; GLAZE INTERIOR</v>
          </cell>
          <cell r="M3676" t="str">
            <v>110903</v>
          </cell>
          <cell r="N3676" t="str">
            <v>STAIN INTERIOR</v>
          </cell>
        </row>
        <row r="3677">
          <cell r="C3677" t="str">
            <v>100005127</v>
          </cell>
          <cell r="D3677" t="str">
            <v>PRCC-20312 POL VARNISH CANPAC-200KK</v>
          </cell>
          <cell r="E3677" t="str">
            <v>ZFGD</v>
          </cell>
          <cell r="F3677" t="str">
            <v>PC</v>
          </cell>
          <cell r="G3677" t="str">
            <v>1</v>
          </cell>
          <cell r="H3677" t="str">
            <v>INDUSTRY</v>
          </cell>
          <cell r="I3677" t="str">
            <v>12</v>
          </cell>
          <cell r="J3677" t="str">
            <v>CAN COATINGS</v>
          </cell>
          <cell r="K3677" t="str">
            <v>1201</v>
          </cell>
          <cell r="L3677" t="str">
            <v>CAN COATINGS</v>
          </cell>
          <cell r="M3677" t="str">
            <v>120101</v>
          </cell>
          <cell r="N3677" t="str">
            <v>CAN COATINGS</v>
          </cell>
        </row>
        <row r="3678">
          <cell r="C3678" t="str">
            <v>100005128</v>
          </cell>
          <cell r="D3678" t="str">
            <v>PRCC-20312 POL VARNISH CANPAC-20KP</v>
          </cell>
          <cell r="E3678" t="str">
            <v>ZFGD</v>
          </cell>
          <cell r="F3678" t="str">
            <v>PC</v>
          </cell>
          <cell r="G3678" t="str">
            <v>1</v>
          </cell>
          <cell r="H3678" t="str">
            <v>INDUSTRY</v>
          </cell>
          <cell r="I3678" t="str">
            <v>12</v>
          </cell>
          <cell r="J3678" t="str">
            <v>CAN COATINGS</v>
          </cell>
          <cell r="K3678" t="str">
            <v>1201</v>
          </cell>
          <cell r="L3678" t="str">
            <v>CAN COATINGS</v>
          </cell>
          <cell r="M3678" t="str">
            <v>120101</v>
          </cell>
          <cell r="N3678" t="str">
            <v>CAN COATINGS</v>
          </cell>
        </row>
        <row r="3679">
          <cell r="C3679" t="str">
            <v>100005129</v>
          </cell>
          <cell r="D3679" t="str">
            <v>PRCC-40102 CLEAR LACQUER-200KK</v>
          </cell>
          <cell r="E3679" t="str">
            <v>ZFGD</v>
          </cell>
          <cell r="F3679" t="str">
            <v>PC</v>
          </cell>
          <cell r="G3679" t="str">
            <v>1</v>
          </cell>
          <cell r="H3679" t="str">
            <v>INDUSTRY</v>
          </cell>
          <cell r="I3679" t="str">
            <v>12</v>
          </cell>
          <cell r="J3679" t="str">
            <v>CAN COATINGS</v>
          </cell>
          <cell r="K3679" t="str">
            <v>1201</v>
          </cell>
          <cell r="L3679" t="str">
            <v>CAN COATINGS</v>
          </cell>
          <cell r="M3679" t="str">
            <v>120101</v>
          </cell>
          <cell r="N3679" t="str">
            <v>CAN COATINGS</v>
          </cell>
        </row>
        <row r="3680">
          <cell r="C3680" t="str">
            <v>100005130</v>
          </cell>
          <cell r="D3680" t="str">
            <v>PRCC-40102 CLEAR LACQUER-20KP</v>
          </cell>
          <cell r="E3680" t="str">
            <v>ZFGD</v>
          </cell>
          <cell r="F3680" t="str">
            <v>PC</v>
          </cell>
          <cell r="G3680" t="str">
            <v>1</v>
          </cell>
          <cell r="H3680" t="str">
            <v>INDUSTRY</v>
          </cell>
          <cell r="I3680" t="str">
            <v>12</v>
          </cell>
          <cell r="J3680" t="str">
            <v>CAN COATINGS</v>
          </cell>
          <cell r="K3680" t="str">
            <v>1201</v>
          </cell>
          <cell r="L3680" t="str">
            <v>CAN COATINGS</v>
          </cell>
          <cell r="M3680" t="str">
            <v>120101</v>
          </cell>
          <cell r="N3680" t="str">
            <v>CAN COATINGS</v>
          </cell>
        </row>
        <row r="3681">
          <cell r="C3681" t="str">
            <v>100005131</v>
          </cell>
          <cell r="D3681" t="str">
            <v>PRCC-20101 ACRYLIC VARNISH-200KK</v>
          </cell>
          <cell r="E3681" t="str">
            <v>ZFGD</v>
          </cell>
          <cell r="F3681" t="str">
            <v>PC</v>
          </cell>
          <cell r="G3681" t="str">
            <v>1</v>
          </cell>
          <cell r="H3681" t="str">
            <v>INDUSTRY</v>
          </cell>
          <cell r="I3681" t="str">
            <v>12</v>
          </cell>
          <cell r="J3681" t="str">
            <v>CAN COATINGS</v>
          </cell>
          <cell r="K3681" t="str">
            <v>1201</v>
          </cell>
          <cell r="L3681" t="str">
            <v>CAN COATINGS</v>
          </cell>
          <cell r="M3681" t="str">
            <v>120101</v>
          </cell>
          <cell r="N3681" t="str">
            <v>CAN COATINGS</v>
          </cell>
        </row>
        <row r="3682">
          <cell r="C3682" t="str">
            <v>100005132</v>
          </cell>
          <cell r="D3682" t="str">
            <v>PRCC-20401 EECV-200KK</v>
          </cell>
          <cell r="E3682" t="str">
            <v>ZFGD</v>
          </cell>
          <cell r="F3682" t="str">
            <v>PC</v>
          </cell>
          <cell r="G3682" t="str">
            <v>1</v>
          </cell>
          <cell r="H3682" t="str">
            <v>INDUSTRY</v>
          </cell>
          <cell r="I3682" t="str">
            <v>12</v>
          </cell>
          <cell r="J3682" t="str">
            <v>CAN COATINGS</v>
          </cell>
          <cell r="K3682" t="str">
            <v>1201</v>
          </cell>
          <cell r="L3682" t="str">
            <v>CAN COATINGS</v>
          </cell>
          <cell r="M3682" t="str">
            <v>120101</v>
          </cell>
          <cell r="N3682" t="str">
            <v>CAN COATINGS</v>
          </cell>
        </row>
        <row r="3683">
          <cell r="C3683" t="str">
            <v>100005133</v>
          </cell>
          <cell r="D3683" t="str">
            <v>PRCC-10356 WBC NEW 54-250KK</v>
          </cell>
          <cell r="E3683" t="str">
            <v>ZFGD</v>
          </cell>
          <cell r="F3683" t="str">
            <v>PC</v>
          </cell>
          <cell r="G3683" t="str">
            <v>1</v>
          </cell>
          <cell r="H3683" t="str">
            <v>INDUSTRY</v>
          </cell>
          <cell r="I3683" t="str">
            <v>12</v>
          </cell>
          <cell r="J3683" t="str">
            <v>CAN COATINGS</v>
          </cell>
          <cell r="K3683" t="str">
            <v>1201</v>
          </cell>
          <cell r="L3683" t="str">
            <v>CAN COATINGS</v>
          </cell>
          <cell r="M3683" t="str">
            <v>120101</v>
          </cell>
          <cell r="N3683" t="str">
            <v>CAN COATINGS</v>
          </cell>
        </row>
        <row r="3684">
          <cell r="C3684" t="str">
            <v>100005134</v>
          </cell>
          <cell r="D3684" t="str">
            <v>SST-11100 01 BM VN-17KJ</v>
          </cell>
          <cell r="E3684" t="str">
            <v>ZFGD</v>
          </cell>
          <cell r="F3684" t="str">
            <v>PC</v>
          </cell>
          <cell r="G3684" t="str">
            <v>1</v>
          </cell>
          <cell r="H3684" t="str">
            <v>INDUSTRY</v>
          </cell>
          <cell r="I3684" t="str">
            <v>11</v>
          </cell>
          <cell r="J3684" t="str">
            <v>WOOD COATINGS</v>
          </cell>
          <cell r="K3684" t="str">
            <v>1109</v>
          </cell>
          <cell r="L3684" t="str">
            <v>STAIN &amp; GLAZE INTERIOR</v>
          </cell>
          <cell r="M3684" t="str">
            <v>110903</v>
          </cell>
          <cell r="N3684" t="str">
            <v>STAIN INTERIOR</v>
          </cell>
        </row>
        <row r="3685">
          <cell r="C3685" t="str">
            <v>100005135</v>
          </cell>
          <cell r="D3685" t="str">
            <v>UVL-50508 LY CLEAR 08 VN-20KP</v>
          </cell>
          <cell r="E3685" t="str">
            <v>ZFGD</v>
          </cell>
          <cell r="F3685" t="str">
            <v>PC</v>
          </cell>
          <cell r="G3685" t="str">
            <v>1</v>
          </cell>
          <cell r="H3685" t="str">
            <v>INDUSTRY</v>
          </cell>
          <cell r="I3685" t="str">
            <v>11</v>
          </cell>
          <cell r="J3685" t="str">
            <v>WOOD COATINGS</v>
          </cell>
          <cell r="K3685" t="str">
            <v>1106</v>
          </cell>
          <cell r="L3685" t="str">
            <v>UV</v>
          </cell>
          <cell r="M3685" t="str">
            <v>110607</v>
          </cell>
          <cell r="N3685" t="str">
            <v>UV TOP COAT CLEAR</v>
          </cell>
        </row>
        <row r="3686">
          <cell r="C3686" t="str">
            <v>100005136</v>
          </cell>
          <cell r="D3686" t="str">
            <v>UVSS-40502 LY VN-20KP</v>
          </cell>
          <cell r="E3686" t="str">
            <v>ZFGD</v>
          </cell>
          <cell r="F3686" t="str">
            <v>PC</v>
          </cell>
          <cell r="G3686" t="str">
            <v>1</v>
          </cell>
          <cell r="H3686" t="str">
            <v>INDUSTRY</v>
          </cell>
          <cell r="I3686" t="str">
            <v>11</v>
          </cell>
          <cell r="J3686" t="str">
            <v>WOOD COATINGS</v>
          </cell>
          <cell r="K3686" t="str">
            <v>1106</v>
          </cell>
          <cell r="L3686" t="str">
            <v>UV</v>
          </cell>
          <cell r="M3686" t="str">
            <v>110605</v>
          </cell>
          <cell r="N3686" t="str">
            <v>UV SANDING SEALER</v>
          </cell>
        </row>
        <row r="3687">
          <cell r="C3687" t="str">
            <v>100005137</v>
          </cell>
          <cell r="D3687" t="str">
            <v>UVF-10501 LY VN-20KP</v>
          </cell>
          <cell r="E3687" t="str">
            <v>ZFGD</v>
          </cell>
          <cell r="F3687" t="str">
            <v>PC</v>
          </cell>
          <cell r="G3687" t="str">
            <v>1</v>
          </cell>
          <cell r="H3687" t="str">
            <v>INDUSTRY</v>
          </cell>
          <cell r="I3687" t="str">
            <v>11</v>
          </cell>
          <cell r="J3687" t="str">
            <v>WOOD COATINGS</v>
          </cell>
          <cell r="K3687" t="str">
            <v>1106</v>
          </cell>
          <cell r="L3687" t="str">
            <v>UV</v>
          </cell>
          <cell r="M3687" t="str">
            <v>110603</v>
          </cell>
          <cell r="N3687" t="str">
            <v>UV FILLER</v>
          </cell>
        </row>
        <row r="3688">
          <cell r="C3688" t="str">
            <v>100005138</v>
          </cell>
          <cell r="D3688" t="str">
            <v>DP-12123 LC MT62 HM VN-20KP</v>
          </cell>
          <cell r="E3688" t="str">
            <v>ZFGD</v>
          </cell>
          <cell r="F3688" t="str">
            <v>PC</v>
          </cell>
          <cell r="G3688" t="str">
            <v>1</v>
          </cell>
          <cell r="H3688" t="str">
            <v>INDUSTRY</v>
          </cell>
          <cell r="I3688" t="str">
            <v>11</v>
          </cell>
          <cell r="J3688" t="str">
            <v>WOOD COATINGS</v>
          </cell>
          <cell r="K3688" t="str">
            <v>1104</v>
          </cell>
          <cell r="L3688" t="str">
            <v>NC</v>
          </cell>
          <cell r="M3688" t="str">
            <v>110405</v>
          </cell>
          <cell r="N3688" t="str">
            <v>NC SYSTEM</v>
          </cell>
        </row>
        <row r="3689">
          <cell r="C3689" t="str">
            <v>100005139</v>
          </cell>
          <cell r="D3689" t="str">
            <v>DP-12123 LC MT65 HM VN-20KP</v>
          </cell>
          <cell r="E3689" t="str">
            <v>ZFGD</v>
          </cell>
          <cell r="F3689" t="str">
            <v>PC</v>
          </cell>
          <cell r="G3689" t="str">
            <v>1</v>
          </cell>
          <cell r="H3689" t="str">
            <v>INDUSTRY</v>
          </cell>
          <cell r="I3689" t="str">
            <v>11</v>
          </cell>
          <cell r="J3689" t="str">
            <v>WOOD COATINGS</v>
          </cell>
          <cell r="K3689" t="str">
            <v>1104</v>
          </cell>
          <cell r="L3689" t="str">
            <v>NC</v>
          </cell>
          <cell r="M3689" t="str">
            <v>110405</v>
          </cell>
          <cell r="N3689" t="str">
            <v>NC SYSTEM</v>
          </cell>
        </row>
        <row r="3690">
          <cell r="C3690" t="str">
            <v>100005140</v>
          </cell>
          <cell r="D3690" t="str">
            <v>WPWB-81201 ML 1 VN-20KP</v>
          </cell>
          <cell r="E3690" t="str">
            <v>ZFGD</v>
          </cell>
          <cell r="F3690" t="str">
            <v>PC</v>
          </cell>
          <cell r="G3690" t="str">
            <v>1</v>
          </cell>
          <cell r="H3690" t="str">
            <v>INDUSTRY</v>
          </cell>
          <cell r="I3690" t="str">
            <v>11</v>
          </cell>
          <cell r="J3690" t="str">
            <v>WOOD COATINGS</v>
          </cell>
          <cell r="K3690" t="str">
            <v>1119</v>
          </cell>
          <cell r="L3690" t="str">
            <v>WATERBASED</v>
          </cell>
          <cell r="M3690" t="str">
            <v>111902</v>
          </cell>
          <cell r="N3690" t="str">
            <v>WATERBASED SYSTEM INTERIOR</v>
          </cell>
        </row>
        <row r="3691">
          <cell r="C3691" t="str">
            <v>100005141</v>
          </cell>
          <cell r="D3691" t="str">
            <v>LACQUER PUL-1513 KD 35 SHEEN MLY-20LP</v>
          </cell>
          <cell r="E3691" t="str">
            <v>ZFGD</v>
          </cell>
          <cell r="F3691" t="str">
            <v>PC</v>
          </cell>
          <cell r="G3691" t="str">
            <v>1</v>
          </cell>
          <cell r="H3691" t="str">
            <v>INDUSTRY</v>
          </cell>
          <cell r="I3691" t="str">
            <v>11</v>
          </cell>
          <cell r="J3691" t="str">
            <v>WOOD COATINGS</v>
          </cell>
          <cell r="K3691" t="str">
            <v>1103</v>
          </cell>
          <cell r="L3691" t="str">
            <v>PU</v>
          </cell>
          <cell r="M3691" t="str">
            <v>110321</v>
          </cell>
          <cell r="N3691" t="str">
            <v>PU LACQUER</v>
          </cell>
        </row>
        <row r="3692">
          <cell r="C3692" t="str">
            <v>100005142</v>
          </cell>
          <cell r="D3692" t="str">
            <v>WBC-62202 SL DARKBROWN 70 OR VN-20KP</v>
          </cell>
          <cell r="E3692" t="str">
            <v>ZFGD</v>
          </cell>
          <cell r="F3692" t="str">
            <v>PC</v>
          </cell>
          <cell r="G3692" t="str">
            <v>1</v>
          </cell>
          <cell r="H3692" t="str">
            <v>INDUSTRY</v>
          </cell>
          <cell r="I3692" t="str">
            <v>11</v>
          </cell>
          <cell r="J3692" t="str">
            <v>WOOD COATINGS</v>
          </cell>
          <cell r="K3692" t="str">
            <v>1103</v>
          </cell>
          <cell r="L3692" t="str">
            <v>PU</v>
          </cell>
          <cell r="M3692" t="str">
            <v>110321</v>
          </cell>
          <cell r="N3692" t="str">
            <v>PU LACQUER</v>
          </cell>
        </row>
        <row r="3693">
          <cell r="C3693" t="str">
            <v>100005143</v>
          </cell>
          <cell r="D3693" t="str">
            <v>WBC-62202 SL BRONZE 70 OR VN-20KP</v>
          </cell>
          <cell r="E3693" t="str">
            <v>ZFGD</v>
          </cell>
          <cell r="F3693" t="str">
            <v>PC</v>
          </cell>
          <cell r="G3693" t="str">
            <v>1</v>
          </cell>
          <cell r="H3693" t="str">
            <v>INDUSTRY</v>
          </cell>
          <cell r="I3693" t="str">
            <v>11</v>
          </cell>
          <cell r="J3693" t="str">
            <v>WOOD COATINGS</v>
          </cell>
          <cell r="K3693" t="str">
            <v>1103</v>
          </cell>
          <cell r="L3693" t="str">
            <v>PU</v>
          </cell>
          <cell r="M3693" t="str">
            <v>110321</v>
          </cell>
          <cell r="N3693" t="str">
            <v>PU LACQUER</v>
          </cell>
        </row>
        <row r="3694">
          <cell r="C3694" t="str">
            <v>100005144</v>
          </cell>
          <cell r="D3694" t="str">
            <v>MPUL-1370-20-AK-16KP</v>
          </cell>
          <cell r="E3694" t="str">
            <v>ZFGD</v>
          </cell>
          <cell r="F3694" t="str">
            <v>PC</v>
          </cell>
          <cell r="G3694" t="str">
            <v>1</v>
          </cell>
          <cell r="H3694" t="str">
            <v>INDUSTRY</v>
          </cell>
          <cell r="I3694" t="str">
            <v>16</v>
          </cell>
          <cell r="J3694" t="str">
            <v>METAL COATINGS</v>
          </cell>
          <cell r="K3694" t="str">
            <v>1601</v>
          </cell>
          <cell r="L3694" t="str">
            <v>METAL COATINGS</v>
          </cell>
          <cell r="M3694" t="str">
            <v>160101</v>
          </cell>
          <cell r="N3694" t="str">
            <v>METAL COATINGS</v>
          </cell>
        </row>
        <row r="3695">
          <cell r="C3695" t="str">
            <v>100005145</v>
          </cell>
          <cell r="D3695" t="str">
            <v>MPULH-1370-PS-AK-4K</v>
          </cell>
          <cell r="E3695" t="str">
            <v>ZFGD</v>
          </cell>
          <cell r="F3695" t="str">
            <v>PC</v>
          </cell>
          <cell r="G3695" t="str">
            <v>1</v>
          </cell>
          <cell r="H3695" t="str">
            <v>INDUSTRY</v>
          </cell>
          <cell r="I3695" t="str">
            <v>16</v>
          </cell>
          <cell r="J3695" t="str">
            <v>METAL COATINGS</v>
          </cell>
          <cell r="K3695" t="str">
            <v>1601</v>
          </cell>
          <cell r="L3695" t="str">
            <v>METAL COATINGS</v>
          </cell>
          <cell r="M3695" t="str">
            <v>160101</v>
          </cell>
          <cell r="N3695" t="str">
            <v>METAL COATINGS</v>
          </cell>
        </row>
        <row r="3696">
          <cell r="C3696" t="str">
            <v>100005146</v>
          </cell>
          <cell r="D3696" t="str">
            <v>PP-9810-13-AK-1K</v>
          </cell>
          <cell r="E3696" t="str">
            <v>ZFGD</v>
          </cell>
          <cell r="F3696" t="str">
            <v>PC</v>
          </cell>
          <cell r="G3696" t="str">
            <v>1</v>
          </cell>
          <cell r="H3696" t="str">
            <v>INDUSTRY</v>
          </cell>
          <cell r="I3696" t="str">
            <v>11</v>
          </cell>
          <cell r="J3696" t="str">
            <v>WOOD COATINGS</v>
          </cell>
          <cell r="K3696" t="str">
            <v>1118</v>
          </cell>
          <cell r="L3696" t="str">
            <v>COMPLEMENTARY</v>
          </cell>
          <cell r="M3696" t="str">
            <v>111802</v>
          </cell>
          <cell r="N3696" t="str">
            <v>ASOF : POWDER &amp; MATTING SOLUTION</v>
          </cell>
        </row>
        <row r="3697">
          <cell r="C3697" t="str">
            <v>100005147</v>
          </cell>
          <cell r="D3697" t="str">
            <v>PUC-54205 AC 603 20 LM VN-20KP</v>
          </cell>
          <cell r="E3697" t="str">
            <v>ZFGD</v>
          </cell>
          <cell r="F3697" t="str">
            <v>PC</v>
          </cell>
          <cell r="G3697" t="str">
            <v>1</v>
          </cell>
          <cell r="H3697" t="str">
            <v>INDUSTRY</v>
          </cell>
          <cell r="I3697" t="str">
            <v>11</v>
          </cell>
          <cell r="J3697" t="str">
            <v>WOOD COATINGS</v>
          </cell>
          <cell r="K3697" t="str">
            <v>1103</v>
          </cell>
          <cell r="L3697" t="str">
            <v>PU</v>
          </cell>
          <cell r="M3697" t="str">
            <v>110319</v>
          </cell>
          <cell r="N3697" t="str">
            <v>PU COLOR</v>
          </cell>
        </row>
        <row r="3698">
          <cell r="C3698" t="str">
            <v>100005148</v>
          </cell>
          <cell r="D3698" t="str">
            <v>PST-12200 1K GREY F1 VN-18KJ</v>
          </cell>
          <cell r="E3698" t="str">
            <v>ZFGD</v>
          </cell>
          <cell r="F3698" t="str">
            <v>PC</v>
          </cell>
          <cell r="G3698" t="str">
            <v>1</v>
          </cell>
          <cell r="H3698" t="str">
            <v>INDUSTRY</v>
          </cell>
          <cell r="I3698" t="str">
            <v>11</v>
          </cell>
          <cell r="J3698" t="str">
            <v>WOOD COATINGS</v>
          </cell>
          <cell r="K3698" t="str">
            <v>1101</v>
          </cell>
          <cell r="L3698" t="str">
            <v>ALKYD OIL</v>
          </cell>
          <cell r="M3698" t="str">
            <v>110102</v>
          </cell>
          <cell r="N3698" t="str">
            <v>STAIN EXTERIOR</v>
          </cell>
        </row>
        <row r="3699">
          <cell r="C3699" t="str">
            <v>100005149</v>
          </cell>
          <cell r="D3699" t="str">
            <v>TOL-76301 N GREY F1 VN-16KJ</v>
          </cell>
          <cell r="E3699" t="str">
            <v>ZFGD</v>
          </cell>
          <cell r="F3699" t="str">
            <v>PC</v>
          </cell>
          <cell r="G3699" t="str">
            <v>1</v>
          </cell>
          <cell r="H3699" t="str">
            <v>INDUSTRY</v>
          </cell>
          <cell r="I3699" t="str">
            <v>11</v>
          </cell>
          <cell r="J3699" t="str">
            <v>WOOD COATINGS</v>
          </cell>
          <cell r="K3699" t="str">
            <v>1101</v>
          </cell>
          <cell r="L3699" t="str">
            <v>ALKYD OIL</v>
          </cell>
          <cell r="M3699" t="str">
            <v>110101</v>
          </cell>
          <cell r="N3699" t="str">
            <v>ALKYD &amp; OIL SYSTEM</v>
          </cell>
        </row>
        <row r="3700">
          <cell r="C3700" t="str">
            <v>100005150</v>
          </cell>
          <cell r="D3700" t="str">
            <v>DP-12123 F127 M2 VN-20KP</v>
          </cell>
          <cell r="E3700" t="str">
            <v>ZFGD</v>
          </cell>
          <cell r="F3700" t="str">
            <v>PC</v>
          </cell>
          <cell r="G3700" t="str">
            <v>1</v>
          </cell>
          <cell r="H3700" t="str">
            <v>INDUSTRY</v>
          </cell>
          <cell r="I3700" t="str">
            <v>11</v>
          </cell>
          <cell r="J3700" t="str">
            <v>WOOD COATINGS</v>
          </cell>
          <cell r="K3700" t="str">
            <v>1104</v>
          </cell>
          <cell r="L3700" t="str">
            <v>NC</v>
          </cell>
          <cell r="M3700" t="str">
            <v>110405</v>
          </cell>
          <cell r="N3700" t="str">
            <v>NC SYSTEM</v>
          </cell>
        </row>
        <row r="3701">
          <cell r="C3701" t="str">
            <v>100005151</v>
          </cell>
          <cell r="D3701" t="str">
            <v>DC-12229 LC F127 05 M2 VN-20KP</v>
          </cell>
          <cell r="E3701" t="str">
            <v>ZFGD</v>
          </cell>
          <cell r="F3701" t="str">
            <v>PC</v>
          </cell>
          <cell r="G3701" t="str">
            <v>1</v>
          </cell>
          <cell r="H3701" t="str">
            <v>INDUSTRY</v>
          </cell>
          <cell r="I3701" t="str">
            <v>11</v>
          </cell>
          <cell r="J3701" t="str">
            <v>WOOD COATINGS</v>
          </cell>
          <cell r="K3701" t="str">
            <v>1104</v>
          </cell>
          <cell r="L3701" t="str">
            <v>NC</v>
          </cell>
          <cell r="M3701" t="str">
            <v>110405</v>
          </cell>
          <cell r="N3701" t="str">
            <v>NC SYSTEM</v>
          </cell>
        </row>
        <row r="3702">
          <cell r="C3702" t="str">
            <v>100005152</v>
          </cell>
          <cell r="D3702" t="str">
            <v>WBC-1622-B188AK-20KP</v>
          </cell>
          <cell r="E3702" t="str">
            <v>ZFGD</v>
          </cell>
          <cell r="F3702" t="str">
            <v>PC</v>
          </cell>
          <cell r="G3702" t="str">
            <v>1</v>
          </cell>
          <cell r="H3702" t="str">
            <v>INDUSTRY</v>
          </cell>
          <cell r="I3702" t="str">
            <v>11</v>
          </cell>
          <cell r="J3702" t="str">
            <v>WOOD COATINGS</v>
          </cell>
          <cell r="K3702" t="str">
            <v>1119</v>
          </cell>
          <cell r="L3702" t="str">
            <v>WATERBASED</v>
          </cell>
          <cell r="M3702" t="str">
            <v>111902</v>
          </cell>
          <cell r="N3702" t="str">
            <v>WATERBASED SYSTEM INTERIOR</v>
          </cell>
        </row>
        <row r="3703">
          <cell r="C3703" t="str">
            <v>100005153</v>
          </cell>
          <cell r="D3703" t="str">
            <v>DC-12223 LC P2-02 50 T3 VN-20KP</v>
          </cell>
          <cell r="E3703" t="str">
            <v>ZFGD</v>
          </cell>
          <cell r="F3703" t="str">
            <v>PC</v>
          </cell>
          <cell r="G3703" t="str">
            <v>1</v>
          </cell>
          <cell r="H3703" t="str">
            <v>INDUSTRY</v>
          </cell>
          <cell r="I3703" t="str">
            <v>11</v>
          </cell>
          <cell r="J3703" t="str">
            <v>WOOD COATINGS</v>
          </cell>
          <cell r="K3703" t="str">
            <v>1104</v>
          </cell>
          <cell r="L3703" t="str">
            <v>NC</v>
          </cell>
          <cell r="M3703" t="str">
            <v>110405</v>
          </cell>
          <cell r="N3703" t="str">
            <v>NC SYSTEM</v>
          </cell>
        </row>
        <row r="3704">
          <cell r="C3704" t="str">
            <v>100005154</v>
          </cell>
          <cell r="D3704" t="str">
            <v>DC-12223 LC P2-01 50 T3 VN-20KP</v>
          </cell>
          <cell r="E3704" t="str">
            <v>ZFGD</v>
          </cell>
          <cell r="F3704" t="str">
            <v>PC</v>
          </cell>
          <cell r="G3704" t="str">
            <v>1</v>
          </cell>
          <cell r="H3704" t="str">
            <v>INDUSTRY</v>
          </cell>
          <cell r="I3704" t="str">
            <v>11</v>
          </cell>
          <cell r="J3704" t="str">
            <v>WOOD COATINGS</v>
          </cell>
          <cell r="K3704" t="str">
            <v>1104</v>
          </cell>
          <cell r="L3704" t="str">
            <v>NC</v>
          </cell>
          <cell r="M3704" t="str">
            <v>110405</v>
          </cell>
          <cell r="N3704" t="str">
            <v>NC SYSTEM</v>
          </cell>
        </row>
        <row r="3705">
          <cell r="C3705" t="str">
            <v>100005155</v>
          </cell>
          <cell r="D3705" t="str">
            <v>NCL-1113-AC05AK-18KP</v>
          </cell>
          <cell r="E3705" t="str">
            <v>ZFGD</v>
          </cell>
          <cell r="F3705" t="str">
            <v>PC</v>
          </cell>
          <cell r="G3705" t="str">
            <v>1</v>
          </cell>
          <cell r="H3705" t="str">
            <v>INDUSTRY</v>
          </cell>
          <cell r="I3705" t="str">
            <v>11</v>
          </cell>
          <cell r="J3705" t="str">
            <v>WOOD COATINGS</v>
          </cell>
          <cell r="K3705" t="str">
            <v>1104</v>
          </cell>
          <cell r="L3705" t="str">
            <v>NC</v>
          </cell>
          <cell r="M3705" t="str">
            <v>110405</v>
          </cell>
          <cell r="N3705" t="str">
            <v>NC SYSTEM</v>
          </cell>
        </row>
        <row r="3706">
          <cell r="C3706" t="str">
            <v>100005156</v>
          </cell>
          <cell r="D3706" t="str">
            <v>DP-1221-211-AK-18KP</v>
          </cell>
          <cell r="E3706" t="str">
            <v>ZFGD</v>
          </cell>
          <cell r="F3706" t="str">
            <v>PC</v>
          </cell>
          <cell r="G3706" t="str">
            <v>1</v>
          </cell>
          <cell r="H3706" t="str">
            <v>INDUSTRY</v>
          </cell>
          <cell r="I3706" t="str">
            <v>11</v>
          </cell>
          <cell r="J3706" t="str">
            <v>WOOD COATINGS</v>
          </cell>
          <cell r="K3706" t="str">
            <v>1104</v>
          </cell>
          <cell r="L3706" t="str">
            <v>NC</v>
          </cell>
          <cell r="M3706" t="str">
            <v>110405</v>
          </cell>
          <cell r="N3706" t="str">
            <v>NC SYSTEM</v>
          </cell>
        </row>
        <row r="3707">
          <cell r="C3707" t="str">
            <v>100005157</v>
          </cell>
          <cell r="D3707" t="str">
            <v>DP-1221-211-AK-180KB</v>
          </cell>
          <cell r="E3707" t="str">
            <v>ZFGD</v>
          </cell>
          <cell r="F3707" t="str">
            <v>PC</v>
          </cell>
          <cell r="G3707" t="str">
            <v>1</v>
          </cell>
          <cell r="H3707" t="str">
            <v>INDUSTRY</v>
          </cell>
          <cell r="I3707" t="str">
            <v>11</v>
          </cell>
          <cell r="J3707" t="str">
            <v>WOOD COATINGS</v>
          </cell>
          <cell r="K3707" t="str">
            <v>1104</v>
          </cell>
          <cell r="L3707" t="str">
            <v>NC</v>
          </cell>
          <cell r="M3707" t="str">
            <v>110405</v>
          </cell>
          <cell r="N3707" t="str">
            <v>NC SYSTEM</v>
          </cell>
        </row>
        <row r="3708">
          <cell r="C3708" t="str">
            <v>100005158</v>
          </cell>
          <cell r="D3708" t="str">
            <v>PUC-52239 FIN04 30 TL VN-20KP</v>
          </cell>
          <cell r="E3708" t="str">
            <v>ZFGD</v>
          </cell>
          <cell r="F3708" t="str">
            <v>PC</v>
          </cell>
          <cell r="G3708" t="str">
            <v>1</v>
          </cell>
          <cell r="H3708" t="str">
            <v>INDUSTRY</v>
          </cell>
          <cell r="I3708" t="str">
            <v>11</v>
          </cell>
          <cell r="J3708" t="str">
            <v>WOOD COATINGS</v>
          </cell>
          <cell r="K3708" t="str">
            <v>1103</v>
          </cell>
          <cell r="L3708" t="str">
            <v>PU</v>
          </cell>
          <cell r="M3708" t="str">
            <v>110319</v>
          </cell>
          <cell r="N3708" t="str">
            <v>PU COLOR</v>
          </cell>
        </row>
        <row r="3709">
          <cell r="C3709" t="str">
            <v>100005159</v>
          </cell>
          <cell r="D3709" t="str">
            <v>PUC-52239 FIN07 30 TL VN-20KP</v>
          </cell>
          <cell r="E3709" t="str">
            <v>ZFGD</v>
          </cell>
          <cell r="F3709" t="str">
            <v>PC</v>
          </cell>
          <cell r="G3709" t="str">
            <v>1</v>
          </cell>
          <cell r="H3709" t="str">
            <v>INDUSTRY</v>
          </cell>
          <cell r="I3709" t="str">
            <v>11</v>
          </cell>
          <cell r="J3709" t="str">
            <v>WOOD COATINGS</v>
          </cell>
          <cell r="K3709" t="str">
            <v>1103</v>
          </cell>
          <cell r="L3709" t="str">
            <v>PU</v>
          </cell>
          <cell r="M3709" t="str">
            <v>110319</v>
          </cell>
          <cell r="N3709" t="str">
            <v>PU COLOR</v>
          </cell>
        </row>
        <row r="3710">
          <cell r="C3710" t="str">
            <v>100005160</v>
          </cell>
          <cell r="D3710" t="str">
            <v>PCL-31300 NHOM XD VN-18KJ</v>
          </cell>
          <cell r="E3710" t="str">
            <v>ZFGD</v>
          </cell>
          <cell r="F3710" t="str">
            <v>PC</v>
          </cell>
          <cell r="G3710" t="str">
            <v>1</v>
          </cell>
          <cell r="H3710" t="str">
            <v>INDUSTRY</v>
          </cell>
          <cell r="I3710" t="str">
            <v>11</v>
          </cell>
          <cell r="J3710" t="str">
            <v>WOOD COATINGS</v>
          </cell>
          <cell r="K3710" t="str">
            <v>1118</v>
          </cell>
          <cell r="L3710" t="str">
            <v>COMPLEMENTARY</v>
          </cell>
          <cell r="M3710" t="str">
            <v>111807</v>
          </cell>
          <cell r="N3710" t="str">
            <v>PASTA</v>
          </cell>
        </row>
        <row r="3711">
          <cell r="C3711" t="str">
            <v>100005161</v>
          </cell>
          <cell r="D3711" t="str">
            <v>THML-71200 G5 VN-156KK</v>
          </cell>
          <cell r="E3711" t="str">
            <v>ZFGD</v>
          </cell>
          <cell r="F3711" t="str">
            <v>PC</v>
          </cell>
          <cell r="G3711" t="str">
            <v>1</v>
          </cell>
          <cell r="H3711" t="str">
            <v>INDUSTRY</v>
          </cell>
          <cell r="I3711" t="str">
            <v>11</v>
          </cell>
          <cell r="J3711" t="str">
            <v>WOOD COATINGS</v>
          </cell>
          <cell r="K3711" t="str">
            <v>1102</v>
          </cell>
          <cell r="L3711" t="str">
            <v>MELAMINE</v>
          </cell>
          <cell r="M3711" t="str">
            <v>110201</v>
          </cell>
          <cell r="N3711" t="str">
            <v>MELAMINE SYSTEM</v>
          </cell>
        </row>
        <row r="3712">
          <cell r="C3712" t="str">
            <v>100005162</v>
          </cell>
          <cell r="D3712" t="str">
            <v>WBP-1621-WH-AK-20KP</v>
          </cell>
          <cell r="E3712" t="str">
            <v>ZFGD</v>
          </cell>
          <cell r="F3712" t="str">
            <v>PC</v>
          </cell>
          <cell r="G3712" t="str">
            <v>1</v>
          </cell>
          <cell r="H3712" t="str">
            <v>INDUSTRY</v>
          </cell>
          <cell r="I3712" t="str">
            <v>11</v>
          </cell>
          <cell r="J3712" t="str">
            <v>WOOD COATINGS</v>
          </cell>
          <cell r="K3712" t="str">
            <v>1119</v>
          </cell>
          <cell r="L3712" t="str">
            <v>WATERBASED</v>
          </cell>
          <cell r="M3712" t="str">
            <v>111902</v>
          </cell>
          <cell r="N3712" t="str">
            <v>WATERBASED SYSTEM INTERIOR</v>
          </cell>
        </row>
        <row r="3713">
          <cell r="C3713" t="str">
            <v>100005163</v>
          </cell>
          <cell r="D3713" t="str">
            <v>WBP-64115 GMR SC VN-20KP</v>
          </cell>
          <cell r="E3713" t="str">
            <v>ZFGD</v>
          </cell>
          <cell r="F3713" t="str">
            <v>PC</v>
          </cell>
          <cell r="G3713" t="str">
            <v>1</v>
          </cell>
          <cell r="H3713" t="str">
            <v>INDUSTRY</v>
          </cell>
          <cell r="I3713" t="str">
            <v>11</v>
          </cell>
          <cell r="J3713" t="str">
            <v>WOOD COATINGS</v>
          </cell>
          <cell r="K3713" t="str">
            <v>1119</v>
          </cell>
          <cell r="L3713" t="str">
            <v>WATERBASED</v>
          </cell>
          <cell r="M3713" t="str">
            <v>111901</v>
          </cell>
          <cell r="N3713" t="str">
            <v>WATERBASED SYSTEM EXTERIOR</v>
          </cell>
        </row>
        <row r="3714">
          <cell r="C3714" t="str">
            <v>100005164</v>
          </cell>
          <cell r="D3714" t="str">
            <v>WBL-63215 EX BASE VN-20KP</v>
          </cell>
          <cell r="E3714" t="str">
            <v>ZFGD</v>
          </cell>
          <cell r="F3714" t="str">
            <v>PC</v>
          </cell>
          <cell r="G3714" t="str">
            <v>1</v>
          </cell>
          <cell r="H3714" t="str">
            <v>INDUSTRY</v>
          </cell>
          <cell r="I3714" t="str">
            <v>11</v>
          </cell>
          <cell r="J3714" t="str">
            <v>WOOD COATINGS</v>
          </cell>
          <cell r="K3714" t="str">
            <v>1119</v>
          </cell>
          <cell r="L3714" t="str">
            <v>WATERBASED</v>
          </cell>
          <cell r="M3714" t="str">
            <v>111901</v>
          </cell>
          <cell r="N3714" t="str">
            <v>WATERBASED SYSTEM EXTERIOR</v>
          </cell>
        </row>
        <row r="3715">
          <cell r="C3715" t="str">
            <v>100005165</v>
          </cell>
          <cell r="D3715" t="str">
            <v>WBL-63215 EX CLEAR 20 VN-20KP</v>
          </cell>
          <cell r="E3715" t="str">
            <v>ZFGD</v>
          </cell>
          <cell r="F3715" t="str">
            <v>PC</v>
          </cell>
          <cell r="G3715" t="str">
            <v>1</v>
          </cell>
          <cell r="H3715" t="str">
            <v>INDUSTRY</v>
          </cell>
          <cell r="I3715" t="str">
            <v>11</v>
          </cell>
          <cell r="J3715" t="str">
            <v>WOOD COATINGS</v>
          </cell>
          <cell r="K3715" t="str">
            <v>1119</v>
          </cell>
          <cell r="L3715" t="str">
            <v>WATERBASED</v>
          </cell>
          <cell r="M3715" t="str">
            <v>111901</v>
          </cell>
          <cell r="N3715" t="str">
            <v>WATERBASED SYSTEM EXTERIOR</v>
          </cell>
        </row>
        <row r="3716">
          <cell r="C3716" t="str">
            <v>100005167</v>
          </cell>
          <cell r="D3716" t="str">
            <v>PCL-31300 FORENCIA F1 VN-16KJ</v>
          </cell>
          <cell r="E3716" t="str">
            <v>ZFGD</v>
          </cell>
          <cell r="F3716" t="str">
            <v>PC</v>
          </cell>
          <cell r="G3716" t="str">
            <v>1</v>
          </cell>
          <cell r="H3716" t="str">
            <v>INDUSTRY</v>
          </cell>
          <cell r="I3716" t="str">
            <v>11</v>
          </cell>
          <cell r="J3716" t="str">
            <v>WOOD COATINGS</v>
          </cell>
          <cell r="K3716" t="str">
            <v>1118</v>
          </cell>
          <cell r="L3716" t="str">
            <v>COMPLEMENTARY</v>
          </cell>
          <cell r="M3716" t="str">
            <v>111807</v>
          </cell>
          <cell r="N3716" t="str">
            <v>PASTA</v>
          </cell>
        </row>
        <row r="3717">
          <cell r="C3717" t="str">
            <v>100005168</v>
          </cell>
          <cell r="D3717" t="str">
            <v>PCL-31300 CLR FORENCIA F1 VN-16KJ</v>
          </cell>
          <cell r="E3717" t="str">
            <v>ZFGD</v>
          </cell>
          <cell r="F3717" t="str">
            <v>PC</v>
          </cell>
          <cell r="G3717" t="str">
            <v>1</v>
          </cell>
          <cell r="H3717" t="str">
            <v>INDUSTRY</v>
          </cell>
          <cell r="I3717" t="str">
            <v>11</v>
          </cell>
          <cell r="J3717" t="str">
            <v>WOOD COATINGS</v>
          </cell>
          <cell r="K3717" t="str">
            <v>1118</v>
          </cell>
          <cell r="L3717" t="str">
            <v>COMPLEMENTARY</v>
          </cell>
          <cell r="M3717" t="str">
            <v>111807</v>
          </cell>
          <cell r="N3717" t="str">
            <v>PASTA</v>
          </cell>
        </row>
        <row r="3718">
          <cell r="C3718" t="str">
            <v>100005169</v>
          </cell>
          <cell r="D3718" t="str">
            <v>GZ-12700 N BLACK38 YJ VN-16KP</v>
          </cell>
          <cell r="E3718" t="str">
            <v>ZFGD</v>
          </cell>
          <cell r="F3718" t="str">
            <v>PC</v>
          </cell>
          <cell r="G3718" t="str">
            <v>1</v>
          </cell>
          <cell r="H3718" t="str">
            <v>INDUSTRY</v>
          </cell>
          <cell r="I3718" t="str">
            <v>11</v>
          </cell>
          <cell r="J3718" t="str">
            <v>WOOD COATINGS</v>
          </cell>
          <cell r="K3718" t="str">
            <v>1109</v>
          </cell>
          <cell r="L3718" t="str">
            <v>STAIN &amp; GLAZE INTERIOR</v>
          </cell>
          <cell r="M3718" t="str">
            <v>110901</v>
          </cell>
          <cell r="N3718" t="str">
            <v>ASOF : STAIN &amp; GLAZE</v>
          </cell>
        </row>
        <row r="3719">
          <cell r="C3719" t="str">
            <v>100005170</v>
          </cell>
          <cell r="D3719" t="str">
            <v>DC-12229 LC BLACK 05 YJ VN-18KP</v>
          </cell>
          <cell r="E3719" t="str">
            <v>ZFGD</v>
          </cell>
          <cell r="F3719" t="str">
            <v>PC</v>
          </cell>
          <cell r="G3719" t="str">
            <v>1</v>
          </cell>
          <cell r="H3719" t="str">
            <v>INDUSTRY</v>
          </cell>
          <cell r="I3719" t="str">
            <v>11</v>
          </cell>
          <cell r="J3719" t="str">
            <v>WOOD COATINGS</v>
          </cell>
          <cell r="K3719" t="str">
            <v>1104</v>
          </cell>
          <cell r="L3719" t="str">
            <v>NC</v>
          </cell>
          <cell r="M3719" t="str">
            <v>110405</v>
          </cell>
          <cell r="N3719" t="str">
            <v>NC SYSTEM</v>
          </cell>
        </row>
        <row r="3720">
          <cell r="C3720" t="str">
            <v>100005171</v>
          </cell>
          <cell r="D3720" t="str">
            <v>DC-12229 LC BLACK 10 YJ VN-18KP</v>
          </cell>
          <cell r="E3720" t="str">
            <v>ZFGD</v>
          </cell>
          <cell r="F3720" t="str">
            <v>PC</v>
          </cell>
          <cell r="G3720" t="str">
            <v>1</v>
          </cell>
          <cell r="H3720" t="str">
            <v>INDUSTRY</v>
          </cell>
          <cell r="I3720" t="str">
            <v>11</v>
          </cell>
          <cell r="J3720" t="str">
            <v>WOOD COATINGS</v>
          </cell>
          <cell r="K3720" t="str">
            <v>1104</v>
          </cell>
          <cell r="L3720" t="str">
            <v>NC</v>
          </cell>
          <cell r="M3720" t="str">
            <v>110405</v>
          </cell>
          <cell r="N3720" t="str">
            <v>NC SYSTEM</v>
          </cell>
        </row>
        <row r="3721">
          <cell r="C3721" t="str">
            <v>100005172</v>
          </cell>
          <cell r="D3721" t="str">
            <v>WBP-64115 COG SC VN-20KP</v>
          </cell>
          <cell r="E3721" t="str">
            <v>ZFGD</v>
          </cell>
          <cell r="F3721" t="str">
            <v>PC</v>
          </cell>
          <cell r="G3721" t="str">
            <v>1</v>
          </cell>
          <cell r="H3721" t="str">
            <v>INDUSTRY</v>
          </cell>
          <cell r="I3721" t="str">
            <v>11</v>
          </cell>
          <cell r="J3721" t="str">
            <v>WOOD COATINGS</v>
          </cell>
          <cell r="K3721" t="str">
            <v>1119</v>
          </cell>
          <cell r="L3721" t="str">
            <v>WATERBASED</v>
          </cell>
          <cell r="M3721" t="str">
            <v>111901</v>
          </cell>
          <cell r="N3721" t="str">
            <v>WATERBASED SYSTEM EXTERIOR</v>
          </cell>
        </row>
        <row r="3722">
          <cell r="C3722" t="str">
            <v>100005173</v>
          </cell>
          <cell r="D3722" t="str">
            <v>DC-12229 LC BLACK 05 PM VN-20KP</v>
          </cell>
          <cell r="E3722" t="str">
            <v>ZFGD</v>
          </cell>
          <cell r="F3722" t="str">
            <v>PC</v>
          </cell>
          <cell r="G3722" t="str">
            <v>1</v>
          </cell>
          <cell r="H3722" t="str">
            <v>INDUSTRY</v>
          </cell>
          <cell r="I3722" t="str">
            <v>11</v>
          </cell>
          <cell r="J3722" t="str">
            <v>WOOD COATINGS</v>
          </cell>
          <cell r="K3722" t="str">
            <v>1104</v>
          </cell>
          <cell r="L3722" t="str">
            <v>NC</v>
          </cell>
          <cell r="M3722" t="str">
            <v>110405</v>
          </cell>
          <cell r="N3722" t="str">
            <v>NC SYSTEM</v>
          </cell>
        </row>
        <row r="3723">
          <cell r="C3723" t="str">
            <v>100005174</v>
          </cell>
          <cell r="D3723" t="str">
            <v>PCA-31100 RATTAN PM VN-16KJ</v>
          </cell>
          <cell r="E3723" t="str">
            <v>ZFGD</v>
          </cell>
          <cell r="F3723" t="str">
            <v>PC</v>
          </cell>
          <cell r="G3723" t="str">
            <v>1</v>
          </cell>
          <cell r="H3723" t="str">
            <v>INDUSTRY</v>
          </cell>
          <cell r="I3723" t="str">
            <v>11</v>
          </cell>
          <cell r="J3723" t="str">
            <v>WOOD COATINGS</v>
          </cell>
          <cell r="K3723" t="str">
            <v>1118</v>
          </cell>
          <cell r="L3723" t="str">
            <v>COMPLEMENTARY</v>
          </cell>
          <cell r="M3723" t="str">
            <v>111807</v>
          </cell>
          <cell r="N3723" t="str">
            <v>PASTA</v>
          </cell>
        </row>
        <row r="3724">
          <cell r="C3724" t="str">
            <v>100005182</v>
          </cell>
          <cell r="D3724" t="str">
            <v>NBC-9345-3200AK-20KP</v>
          </cell>
          <cell r="E3724" t="str">
            <v>ZFGD</v>
          </cell>
          <cell r="F3724" t="str">
            <v>PC</v>
          </cell>
          <cell r="G3724" t="str">
            <v>1</v>
          </cell>
          <cell r="H3724" t="str">
            <v>INDUSTRY</v>
          </cell>
          <cell r="I3724" t="str">
            <v>11</v>
          </cell>
          <cell r="J3724" t="str">
            <v>WOOD COATINGS</v>
          </cell>
          <cell r="K3724" t="str">
            <v>1104</v>
          </cell>
          <cell r="L3724" t="str">
            <v>NC</v>
          </cell>
          <cell r="M3724" t="str">
            <v>110403</v>
          </cell>
          <cell r="N3724" t="str">
            <v>ASOF : NC BASE COAT</v>
          </cell>
        </row>
        <row r="3725">
          <cell r="C3725" t="str">
            <v>100005183</v>
          </cell>
          <cell r="D3725" t="str">
            <v>NBC-9345-3200AK-200KB</v>
          </cell>
          <cell r="E3725" t="str">
            <v>ZFGD</v>
          </cell>
          <cell r="F3725" t="str">
            <v>PC</v>
          </cell>
          <cell r="G3725" t="str">
            <v>1</v>
          </cell>
          <cell r="H3725" t="str">
            <v>INDUSTRY</v>
          </cell>
          <cell r="I3725" t="str">
            <v>11</v>
          </cell>
          <cell r="J3725" t="str">
            <v>WOOD COATINGS</v>
          </cell>
          <cell r="K3725" t="str">
            <v>1104</v>
          </cell>
          <cell r="L3725" t="str">
            <v>NC</v>
          </cell>
          <cell r="M3725" t="str">
            <v>110403</v>
          </cell>
          <cell r="N3725" t="str">
            <v>ASOF : NC BASE COAT</v>
          </cell>
        </row>
        <row r="3726">
          <cell r="C3726" t="str">
            <v>100005184</v>
          </cell>
          <cell r="D3726" t="str">
            <v>NCL-40800 LY CLEAR 30 VN-18LP</v>
          </cell>
          <cell r="E3726" t="str">
            <v>ZFGD</v>
          </cell>
          <cell r="F3726" t="str">
            <v>PC</v>
          </cell>
          <cell r="G3726" t="str">
            <v>1</v>
          </cell>
          <cell r="H3726" t="str">
            <v>INDUSTRY</v>
          </cell>
          <cell r="I3726" t="str">
            <v>11</v>
          </cell>
          <cell r="J3726" t="str">
            <v>WOOD COATINGS</v>
          </cell>
          <cell r="K3726" t="str">
            <v>1104</v>
          </cell>
          <cell r="L3726" t="str">
            <v>NC</v>
          </cell>
          <cell r="M3726" t="str">
            <v>110404</v>
          </cell>
          <cell r="N3726" t="str">
            <v>ASOF : NC TOP COAT</v>
          </cell>
        </row>
        <row r="3727">
          <cell r="C3727" t="str">
            <v>100005185</v>
          </cell>
          <cell r="D3727" t="str">
            <v>WFPU-51000 MKG08 MK VN-20KP</v>
          </cell>
          <cell r="E3727" t="str">
            <v>ZFGD</v>
          </cell>
          <cell r="F3727" t="str">
            <v>PC</v>
          </cell>
          <cell r="G3727" t="str">
            <v>1</v>
          </cell>
          <cell r="H3727" t="str">
            <v>INDUSTRY</v>
          </cell>
          <cell r="I3727" t="str">
            <v>11</v>
          </cell>
          <cell r="J3727" t="str">
            <v>WOOD COATINGS</v>
          </cell>
          <cell r="K3727" t="str">
            <v>1103</v>
          </cell>
          <cell r="L3727" t="str">
            <v>PU</v>
          </cell>
          <cell r="M3727" t="str">
            <v>110313</v>
          </cell>
          <cell r="N3727" t="str">
            <v>WOOD FILLER PU</v>
          </cell>
        </row>
        <row r="3728">
          <cell r="C3728" t="str">
            <v>100005186</v>
          </cell>
          <cell r="D3728" t="str">
            <v>PCA-31100 MKG08 MK VN-16KJ</v>
          </cell>
          <cell r="E3728" t="str">
            <v>ZFGD</v>
          </cell>
          <cell r="F3728" t="str">
            <v>PC</v>
          </cell>
          <cell r="G3728" t="str">
            <v>1</v>
          </cell>
          <cell r="H3728" t="str">
            <v>INDUSTRY</v>
          </cell>
          <cell r="I3728" t="str">
            <v>11</v>
          </cell>
          <cell r="J3728" t="str">
            <v>WOOD COATINGS</v>
          </cell>
          <cell r="K3728" t="str">
            <v>1118</v>
          </cell>
          <cell r="L3728" t="str">
            <v>COMPLEMENTARY</v>
          </cell>
          <cell r="M3728" t="str">
            <v>111807</v>
          </cell>
          <cell r="N3728" t="str">
            <v>PASTA</v>
          </cell>
        </row>
        <row r="3729">
          <cell r="C3729" t="str">
            <v>100005187</v>
          </cell>
          <cell r="D3729" t="str">
            <v>GZPU-21500 MKG08 MK VN-18KP</v>
          </cell>
          <cell r="E3729" t="str">
            <v>ZFGD</v>
          </cell>
          <cell r="F3729" t="str">
            <v>PC</v>
          </cell>
          <cell r="G3729" t="str">
            <v>1</v>
          </cell>
          <cell r="H3729" t="str">
            <v>INDUSTRY</v>
          </cell>
          <cell r="I3729" t="str">
            <v>11</v>
          </cell>
          <cell r="J3729" t="str">
            <v>WOOD COATINGS</v>
          </cell>
          <cell r="K3729" t="str">
            <v>1103</v>
          </cell>
          <cell r="L3729" t="str">
            <v>PU</v>
          </cell>
          <cell r="M3729" t="str">
            <v>110302</v>
          </cell>
          <cell r="N3729" t="str">
            <v>GLAZE PU</v>
          </cell>
        </row>
        <row r="3730">
          <cell r="C3730" t="str">
            <v>100005188</v>
          </cell>
          <cell r="D3730" t="str">
            <v>UVP-60508 DGRY SC VN-20KP</v>
          </cell>
          <cell r="E3730" t="str">
            <v>ZFGD</v>
          </cell>
          <cell r="F3730" t="str">
            <v>PC</v>
          </cell>
          <cell r="G3730" t="str">
            <v>1</v>
          </cell>
          <cell r="H3730" t="str">
            <v>INDUSTRY</v>
          </cell>
          <cell r="I3730" t="str">
            <v>11</v>
          </cell>
          <cell r="J3730" t="str">
            <v>WOOD COATINGS</v>
          </cell>
          <cell r="K3730" t="str">
            <v>1106</v>
          </cell>
          <cell r="L3730" t="str">
            <v>UV</v>
          </cell>
          <cell r="M3730" t="str">
            <v>110604</v>
          </cell>
          <cell r="N3730" t="str">
            <v>UV PRIMER</v>
          </cell>
        </row>
        <row r="3731">
          <cell r="C3731" t="str">
            <v>100005189</v>
          </cell>
          <cell r="D3731" t="str">
            <v>THPU-71306 WP LC VN-20LJ</v>
          </cell>
          <cell r="E3731" t="str">
            <v>ZFGD</v>
          </cell>
          <cell r="F3731" t="str">
            <v>PC</v>
          </cell>
          <cell r="G3731" t="str">
            <v>1</v>
          </cell>
          <cell r="H3731" t="str">
            <v>INDUSTRY</v>
          </cell>
          <cell r="I3731" t="str">
            <v>14</v>
          </cell>
          <cell r="J3731" t="str">
            <v>THINNER</v>
          </cell>
          <cell r="K3731" t="str">
            <v>1411</v>
          </cell>
          <cell r="L3731" t="str">
            <v>THINNER PU</v>
          </cell>
          <cell r="M3731" t="str">
            <v>141101</v>
          </cell>
          <cell r="N3731" t="str">
            <v>THINNER PU</v>
          </cell>
        </row>
        <row r="3732">
          <cell r="C3732" t="str">
            <v>100005190</v>
          </cell>
          <cell r="D3732" t="str">
            <v>THPU-71306 WP LC VN-30LJ</v>
          </cell>
          <cell r="E3732" t="str">
            <v>ZFGD</v>
          </cell>
          <cell r="F3732" t="str">
            <v>PC</v>
          </cell>
          <cell r="G3732" t="str">
            <v>1</v>
          </cell>
          <cell r="H3732" t="str">
            <v>INDUSTRY</v>
          </cell>
          <cell r="I3732" t="str">
            <v>14</v>
          </cell>
          <cell r="J3732" t="str">
            <v>THINNER</v>
          </cell>
          <cell r="K3732" t="str">
            <v>1411</v>
          </cell>
          <cell r="L3732" t="str">
            <v>THINNER PU</v>
          </cell>
          <cell r="M3732" t="str">
            <v>141101</v>
          </cell>
          <cell r="N3732" t="str">
            <v>THINNER PU</v>
          </cell>
        </row>
        <row r="3733">
          <cell r="C3733" t="str">
            <v>100005191</v>
          </cell>
          <cell r="D3733" t="str">
            <v>THPU-71306 WP LC VN-200LK</v>
          </cell>
          <cell r="E3733" t="str">
            <v>ZFGD</v>
          </cell>
          <cell r="F3733" t="str">
            <v>PC</v>
          </cell>
          <cell r="G3733" t="str">
            <v>1</v>
          </cell>
          <cell r="H3733" t="str">
            <v>INDUSTRY</v>
          </cell>
          <cell r="I3733" t="str">
            <v>14</v>
          </cell>
          <cell r="J3733" t="str">
            <v>THINNER</v>
          </cell>
          <cell r="K3733" t="str">
            <v>1411</v>
          </cell>
          <cell r="L3733" t="str">
            <v>THINNER PU</v>
          </cell>
          <cell r="M3733" t="str">
            <v>141101</v>
          </cell>
          <cell r="N3733" t="str">
            <v>THINNER PU</v>
          </cell>
        </row>
        <row r="3734">
          <cell r="C3734" t="str">
            <v>100005192</v>
          </cell>
          <cell r="D3734" t="str">
            <v>WFPU-51000 VN-20KP</v>
          </cell>
          <cell r="E3734" t="str">
            <v>ZFGD</v>
          </cell>
          <cell r="F3734" t="str">
            <v>PC</v>
          </cell>
          <cell r="G3734" t="str">
            <v>1</v>
          </cell>
          <cell r="H3734" t="str">
            <v>INDUSTRY</v>
          </cell>
          <cell r="I3734" t="str">
            <v>11</v>
          </cell>
          <cell r="J3734" t="str">
            <v>WOOD COATINGS</v>
          </cell>
          <cell r="K3734" t="str">
            <v>1103</v>
          </cell>
          <cell r="L3734" t="str">
            <v>PU</v>
          </cell>
          <cell r="M3734" t="str">
            <v>110313</v>
          </cell>
          <cell r="N3734" t="str">
            <v>WOOD FILLER PU</v>
          </cell>
        </row>
        <row r="3735">
          <cell r="C3735" t="str">
            <v>100005193</v>
          </cell>
          <cell r="D3735" t="str">
            <v>11-262 AF PU THINNER-20LJ</v>
          </cell>
          <cell r="E3735" t="str">
            <v>ZFGD</v>
          </cell>
          <cell r="F3735" t="str">
            <v>PC</v>
          </cell>
          <cell r="G3735" t="str">
            <v>1</v>
          </cell>
          <cell r="H3735" t="str">
            <v>INDUSTRY</v>
          </cell>
          <cell r="I3735" t="str">
            <v>14</v>
          </cell>
          <cell r="J3735" t="str">
            <v>THINNER</v>
          </cell>
          <cell r="K3735" t="str">
            <v>1411</v>
          </cell>
          <cell r="L3735" t="str">
            <v>THINNER PU</v>
          </cell>
          <cell r="M3735" t="str">
            <v>141102</v>
          </cell>
          <cell r="N3735" t="str">
            <v>UNION THINNER</v>
          </cell>
        </row>
        <row r="3736">
          <cell r="C3736" t="str">
            <v>100005194</v>
          </cell>
          <cell r="D3736" t="str">
            <v>11-262 AF PU THINNER-30LJ</v>
          </cell>
          <cell r="E3736" t="str">
            <v>ZFGD</v>
          </cell>
          <cell r="F3736" t="str">
            <v>PC</v>
          </cell>
          <cell r="G3736" t="str">
            <v>1</v>
          </cell>
          <cell r="H3736" t="str">
            <v>INDUSTRY</v>
          </cell>
          <cell r="I3736" t="str">
            <v>14</v>
          </cell>
          <cell r="J3736" t="str">
            <v>THINNER</v>
          </cell>
          <cell r="K3736" t="str">
            <v>1411</v>
          </cell>
          <cell r="L3736" t="str">
            <v>THINNER PU</v>
          </cell>
          <cell r="M3736" t="str">
            <v>141102</v>
          </cell>
          <cell r="N3736" t="str">
            <v>UNION THINNER</v>
          </cell>
        </row>
        <row r="3737">
          <cell r="C3737" t="str">
            <v>100005195</v>
          </cell>
          <cell r="D3737" t="str">
            <v>11-262 AF PU THINNER-200LK</v>
          </cell>
          <cell r="E3737" t="str">
            <v>ZFGD</v>
          </cell>
          <cell r="F3737" t="str">
            <v>PC</v>
          </cell>
          <cell r="G3737" t="str">
            <v>1</v>
          </cell>
          <cell r="H3737" t="str">
            <v>INDUSTRY</v>
          </cell>
          <cell r="I3737" t="str">
            <v>14</v>
          </cell>
          <cell r="J3737" t="str">
            <v>THINNER</v>
          </cell>
          <cell r="K3737" t="str">
            <v>1411</v>
          </cell>
          <cell r="L3737" t="str">
            <v>THINNER PU</v>
          </cell>
          <cell r="M3737" t="str">
            <v>141102</v>
          </cell>
          <cell r="N3737" t="str">
            <v>UNION THINNER</v>
          </cell>
        </row>
        <row r="3738">
          <cell r="C3738" t="str">
            <v>100005196</v>
          </cell>
          <cell r="D3738" t="str">
            <v>11-263 AF PU THINNER-20LJ</v>
          </cell>
          <cell r="E3738" t="str">
            <v>ZFGD</v>
          </cell>
          <cell r="F3738" t="str">
            <v>PC</v>
          </cell>
          <cell r="G3738" t="str">
            <v>1</v>
          </cell>
          <cell r="H3738" t="str">
            <v>INDUSTRY</v>
          </cell>
          <cell r="I3738" t="str">
            <v>14</v>
          </cell>
          <cell r="J3738" t="str">
            <v>THINNER</v>
          </cell>
          <cell r="K3738" t="str">
            <v>1411</v>
          </cell>
          <cell r="L3738" t="str">
            <v>THINNER PU</v>
          </cell>
          <cell r="M3738" t="str">
            <v>141102</v>
          </cell>
          <cell r="N3738" t="str">
            <v>UNION THINNER</v>
          </cell>
        </row>
        <row r="3739">
          <cell r="C3739" t="str">
            <v>100005197</v>
          </cell>
          <cell r="D3739" t="str">
            <v>11-263 AF PU THINNER-30LJ</v>
          </cell>
          <cell r="E3739" t="str">
            <v>ZFGD</v>
          </cell>
          <cell r="F3739" t="str">
            <v>PC</v>
          </cell>
          <cell r="G3739" t="str">
            <v>1</v>
          </cell>
          <cell r="H3739" t="str">
            <v>INDUSTRY</v>
          </cell>
          <cell r="I3739" t="str">
            <v>14</v>
          </cell>
          <cell r="J3739" t="str">
            <v>THINNER</v>
          </cell>
          <cell r="K3739" t="str">
            <v>1411</v>
          </cell>
          <cell r="L3739" t="str">
            <v>THINNER PU</v>
          </cell>
          <cell r="M3739" t="str">
            <v>141102</v>
          </cell>
          <cell r="N3739" t="str">
            <v>UNION THINNER</v>
          </cell>
        </row>
        <row r="3740">
          <cell r="C3740" t="str">
            <v>100005198</v>
          </cell>
          <cell r="D3740" t="str">
            <v>11-263 AF PU THINNER-200LK</v>
          </cell>
          <cell r="E3740" t="str">
            <v>ZFGD</v>
          </cell>
          <cell r="F3740" t="str">
            <v>PC</v>
          </cell>
          <cell r="G3740" t="str">
            <v>1</v>
          </cell>
          <cell r="H3740" t="str">
            <v>INDUSTRY</v>
          </cell>
          <cell r="I3740" t="str">
            <v>14</v>
          </cell>
          <cell r="J3740" t="str">
            <v>THINNER</v>
          </cell>
          <cell r="K3740" t="str">
            <v>1411</v>
          </cell>
          <cell r="L3740" t="str">
            <v>THINNER PU</v>
          </cell>
          <cell r="M3740" t="str">
            <v>141102</v>
          </cell>
          <cell r="N3740" t="str">
            <v>UNION THINNER</v>
          </cell>
        </row>
        <row r="3741">
          <cell r="C3741" t="str">
            <v>100005199</v>
          </cell>
          <cell r="D3741" t="str">
            <v>11-264 AF PU THINNER-20LJ</v>
          </cell>
          <cell r="E3741" t="str">
            <v>ZFGD</v>
          </cell>
          <cell r="F3741" t="str">
            <v>PC</v>
          </cell>
          <cell r="G3741" t="str">
            <v>1</v>
          </cell>
          <cell r="H3741" t="str">
            <v>INDUSTRY</v>
          </cell>
          <cell r="I3741" t="str">
            <v>14</v>
          </cell>
          <cell r="J3741" t="str">
            <v>THINNER</v>
          </cell>
          <cell r="K3741" t="str">
            <v>1411</v>
          </cell>
          <cell r="L3741" t="str">
            <v>THINNER PU</v>
          </cell>
          <cell r="M3741" t="str">
            <v>141102</v>
          </cell>
          <cell r="N3741" t="str">
            <v>UNION THINNER</v>
          </cell>
        </row>
        <row r="3742">
          <cell r="C3742" t="str">
            <v>100005200</v>
          </cell>
          <cell r="D3742" t="str">
            <v>11-264 AF PU THINNER-30LJ</v>
          </cell>
          <cell r="E3742" t="str">
            <v>ZFGD</v>
          </cell>
          <cell r="F3742" t="str">
            <v>PC</v>
          </cell>
          <cell r="G3742" t="str">
            <v>1</v>
          </cell>
          <cell r="H3742" t="str">
            <v>INDUSTRY</v>
          </cell>
          <cell r="I3742" t="str">
            <v>14</v>
          </cell>
          <cell r="J3742" t="str">
            <v>THINNER</v>
          </cell>
          <cell r="K3742" t="str">
            <v>1411</v>
          </cell>
          <cell r="L3742" t="str">
            <v>THINNER PU</v>
          </cell>
          <cell r="M3742" t="str">
            <v>141102</v>
          </cell>
          <cell r="N3742" t="str">
            <v>UNION THINNER</v>
          </cell>
        </row>
        <row r="3743">
          <cell r="C3743" t="str">
            <v>100005201</v>
          </cell>
          <cell r="D3743" t="str">
            <v>11-264 AF PU THINNER-200LK</v>
          </cell>
          <cell r="E3743" t="str">
            <v>ZFGD</v>
          </cell>
          <cell r="F3743" t="str">
            <v>PC</v>
          </cell>
          <cell r="G3743" t="str">
            <v>1</v>
          </cell>
          <cell r="H3743" t="str">
            <v>INDUSTRY</v>
          </cell>
          <cell r="I3743" t="str">
            <v>14</v>
          </cell>
          <cell r="J3743" t="str">
            <v>THINNER</v>
          </cell>
          <cell r="K3743" t="str">
            <v>1411</v>
          </cell>
          <cell r="L3743" t="str">
            <v>THINNER PU</v>
          </cell>
          <cell r="M3743" t="str">
            <v>141102</v>
          </cell>
          <cell r="N3743" t="str">
            <v>UNION THINNER</v>
          </cell>
        </row>
        <row r="3744">
          <cell r="C3744" t="str">
            <v>100005202</v>
          </cell>
          <cell r="D3744" t="str">
            <v>11-266 AF PU THINNER-20LJ</v>
          </cell>
          <cell r="E3744" t="str">
            <v>ZFGD</v>
          </cell>
          <cell r="F3744" t="str">
            <v>PC</v>
          </cell>
          <cell r="G3744" t="str">
            <v>1</v>
          </cell>
          <cell r="H3744" t="str">
            <v>INDUSTRY</v>
          </cell>
          <cell r="I3744" t="str">
            <v>14</v>
          </cell>
          <cell r="J3744" t="str">
            <v>THINNER</v>
          </cell>
          <cell r="K3744" t="str">
            <v>1411</v>
          </cell>
          <cell r="L3744" t="str">
            <v>THINNER PU</v>
          </cell>
          <cell r="M3744" t="str">
            <v>141102</v>
          </cell>
          <cell r="N3744" t="str">
            <v>UNION THINNER</v>
          </cell>
        </row>
        <row r="3745">
          <cell r="C3745" t="str">
            <v>100005203</v>
          </cell>
          <cell r="D3745" t="str">
            <v>11-266 AF PU THINNER-30LJ</v>
          </cell>
          <cell r="E3745" t="str">
            <v>ZFGD</v>
          </cell>
          <cell r="F3745" t="str">
            <v>PC</v>
          </cell>
          <cell r="G3745" t="str">
            <v>1</v>
          </cell>
          <cell r="H3745" t="str">
            <v>INDUSTRY</v>
          </cell>
          <cell r="I3745" t="str">
            <v>14</v>
          </cell>
          <cell r="J3745" t="str">
            <v>THINNER</v>
          </cell>
          <cell r="K3745" t="str">
            <v>1411</v>
          </cell>
          <cell r="L3745" t="str">
            <v>THINNER PU</v>
          </cell>
          <cell r="M3745" t="str">
            <v>141102</v>
          </cell>
          <cell r="N3745" t="str">
            <v>UNION THINNER</v>
          </cell>
        </row>
        <row r="3746">
          <cell r="C3746" t="str">
            <v>100005204</v>
          </cell>
          <cell r="D3746" t="str">
            <v>11-266 AF PU THINNER-200LK</v>
          </cell>
          <cell r="E3746" t="str">
            <v>ZFGD</v>
          </cell>
          <cell r="F3746" t="str">
            <v>PC</v>
          </cell>
          <cell r="G3746" t="str">
            <v>1</v>
          </cell>
          <cell r="H3746" t="str">
            <v>INDUSTRY</v>
          </cell>
          <cell r="I3746" t="str">
            <v>14</v>
          </cell>
          <cell r="J3746" t="str">
            <v>THINNER</v>
          </cell>
          <cell r="K3746" t="str">
            <v>1411</v>
          </cell>
          <cell r="L3746" t="str">
            <v>THINNER PU</v>
          </cell>
          <cell r="M3746" t="str">
            <v>141102</v>
          </cell>
          <cell r="N3746" t="str">
            <v>UNION THINNER</v>
          </cell>
        </row>
        <row r="3747">
          <cell r="C3747" t="str">
            <v>100005205</v>
          </cell>
          <cell r="D3747" t="str">
            <v>11-265 AF PU THINNER-20LJ</v>
          </cell>
          <cell r="E3747" t="str">
            <v>ZFGD</v>
          </cell>
          <cell r="F3747" t="str">
            <v>PC</v>
          </cell>
          <cell r="G3747" t="str">
            <v>1</v>
          </cell>
          <cell r="H3747" t="str">
            <v>INDUSTRY</v>
          </cell>
          <cell r="I3747" t="str">
            <v>14</v>
          </cell>
          <cell r="J3747" t="str">
            <v>THINNER</v>
          </cell>
          <cell r="K3747" t="str">
            <v>1411</v>
          </cell>
          <cell r="L3747" t="str">
            <v>THINNER PU</v>
          </cell>
          <cell r="M3747" t="str">
            <v>141102</v>
          </cell>
          <cell r="N3747" t="str">
            <v>UNION THINNER</v>
          </cell>
        </row>
        <row r="3748">
          <cell r="C3748" t="str">
            <v>100005206</v>
          </cell>
          <cell r="D3748" t="str">
            <v>11-265 AF PU THINNER-30LJ</v>
          </cell>
          <cell r="E3748" t="str">
            <v>ZFGD</v>
          </cell>
          <cell r="F3748" t="str">
            <v>PC</v>
          </cell>
          <cell r="G3748" t="str">
            <v>1</v>
          </cell>
          <cell r="H3748" t="str">
            <v>INDUSTRY</v>
          </cell>
          <cell r="I3748" t="str">
            <v>14</v>
          </cell>
          <cell r="J3748" t="str">
            <v>THINNER</v>
          </cell>
          <cell r="K3748" t="str">
            <v>1411</v>
          </cell>
          <cell r="L3748" t="str">
            <v>THINNER PU</v>
          </cell>
          <cell r="M3748" t="str">
            <v>141102</v>
          </cell>
          <cell r="N3748" t="str">
            <v>UNION THINNER</v>
          </cell>
        </row>
        <row r="3749">
          <cell r="C3749" t="str">
            <v>100005207</v>
          </cell>
          <cell r="D3749" t="str">
            <v>11-265 AF PU THINNER-200LK</v>
          </cell>
          <cell r="E3749" t="str">
            <v>ZFGD</v>
          </cell>
          <cell r="F3749" t="str">
            <v>PC</v>
          </cell>
          <cell r="G3749" t="str">
            <v>1</v>
          </cell>
          <cell r="H3749" t="str">
            <v>INDUSTRY</v>
          </cell>
          <cell r="I3749" t="str">
            <v>14</v>
          </cell>
          <cell r="J3749" t="str">
            <v>THINNER</v>
          </cell>
          <cell r="K3749" t="str">
            <v>1411</v>
          </cell>
          <cell r="L3749" t="str">
            <v>THINNER PU</v>
          </cell>
          <cell r="M3749" t="str">
            <v>141102</v>
          </cell>
          <cell r="N3749" t="str">
            <v>UNION THINNER</v>
          </cell>
        </row>
        <row r="3750">
          <cell r="C3750" t="str">
            <v>100005208</v>
          </cell>
          <cell r="D3750" t="str">
            <v>82-5003 UE AF URT SFC COLOR A-16KP</v>
          </cell>
          <cell r="E3750" t="str">
            <v>ZFGD</v>
          </cell>
          <cell r="F3750" t="str">
            <v>PC</v>
          </cell>
          <cell r="G3750" t="str">
            <v>1</v>
          </cell>
          <cell r="H3750" t="str">
            <v>INDUSTRY</v>
          </cell>
          <cell r="I3750" t="str">
            <v>11</v>
          </cell>
          <cell r="J3750" t="str">
            <v>WOOD COATINGS</v>
          </cell>
          <cell r="K3750" t="str">
            <v>1103</v>
          </cell>
          <cell r="L3750" t="str">
            <v>PU</v>
          </cell>
          <cell r="M3750" t="str">
            <v>110312</v>
          </cell>
          <cell r="N3750" t="str">
            <v>UNION TOP COAT</v>
          </cell>
        </row>
        <row r="3751">
          <cell r="C3751" t="str">
            <v>100005209</v>
          </cell>
          <cell r="D3751" t="str">
            <v>26-1019 URT FLAT A-16KP</v>
          </cell>
          <cell r="E3751" t="str">
            <v>ZFGD</v>
          </cell>
          <cell r="F3751" t="str">
            <v>PC</v>
          </cell>
          <cell r="G3751" t="str">
            <v>1</v>
          </cell>
          <cell r="H3751" t="str">
            <v>INDUSTRY</v>
          </cell>
          <cell r="I3751" t="str">
            <v>11</v>
          </cell>
          <cell r="J3751" t="str">
            <v>WOOD COATINGS</v>
          </cell>
          <cell r="K3751" t="str">
            <v>1103</v>
          </cell>
          <cell r="L3751" t="str">
            <v>PU</v>
          </cell>
          <cell r="M3751" t="str">
            <v>110312</v>
          </cell>
          <cell r="N3751" t="str">
            <v>UNION TOP COAT</v>
          </cell>
        </row>
        <row r="3752">
          <cell r="C3752" t="str">
            <v>100005210</v>
          </cell>
          <cell r="D3752" t="str">
            <v>26-4059 URT BLACK A-16KP</v>
          </cell>
          <cell r="E3752" t="str">
            <v>ZFGD</v>
          </cell>
          <cell r="F3752" t="str">
            <v>PC</v>
          </cell>
          <cell r="G3752" t="str">
            <v>1</v>
          </cell>
          <cell r="H3752" t="str">
            <v>INDUSTRY</v>
          </cell>
          <cell r="I3752" t="str">
            <v>11</v>
          </cell>
          <cell r="J3752" t="str">
            <v>WOOD COATINGS</v>
          </cell>
          <cell r="K3752" t="str">
            <v>1103</v>
          </cell>
          <cell r="L3752" t="str">
            <v>PU</v>
          </cell>
          <cell r="M3752" t="str">
            <v>110312</v>
          </cell>
          <cell r="N3752" t="str">
            <v>UNION TOP COAT</v>
          </cell>
        </row>
        <row r="3753">
          <cell r="C3753" t="str">
            <v>100005211</v>
          </cell>
          <cell r="D3753" t="str">
            <v>AL-093 VN-4K</v>
          </cell>
          <cell r="E3753" t="str">
            <v>ZFGD</v>
          </cell>
          <cell r="F3753" t="str">
            <v>PC</v>
          </cell>
          <cell r="G3753" t="str">
            <v>1</v>
          </cell>
          <cell r="H3753" t="str">
            <v>INDUSTRY</v>
          </cell>
          <cell r="I3753" t="str">
            <v>11</v>
          </cell>
          <cell r="J3753" t="str">
            <v>WOOD COATINGS</v>
          </cell>
          <cell r="K3753" t="str">
            <v>1103</v>
          </cell>
          <cell r="L3753" t="str">
            <v>PU</v>
          </cell>
          <cell r="M3753" t="str">
            <v>110325</v>
          </cell>
          <cell r="N3753" t="str">
            <v>UNION HARDENER</v>
          </cell>
        </row>
        <row r="3754">
          <cell r="C3754" t="str">
            <v>100005212</v>
          </cell>
          <cell r="D3754" t="str">
            <v>AL-093 VN-20KP</v>
          </cell>
          <cell r="E3754" t="str">
            <v>ZFGD</v>
          </cell>
          <cell r="F3754" t="str">
            <v>PC</v>
          </cell>
          <cell r="G3754" t="str">
            <v>1</v>
          </cell>
          <cell r="H3754" t="str">
            <v>INDUSTRY</v>
          </cell>
          <cell r="I3754" t="str">
            <v>11</v>
          </cell>
          <cell r="J3754" t="str">
            <v>WOOD COATINGS</v>
          </cell>
          <cell r="K3754" t="str">
            <v>1103</v>
          </cell>
          <cell r="L3754" t="str">
            <v>PU</v>
          </cell>
          <cell r="M3754" t="str">
            <v>110325</v>
          </cell>
          <cell r="N3754" t="str">
            <v>UNION HARDENER</v>
          </cell>
        </row>
        <row r="3755">
          <cell r="C3755" t="str">
            <v>100005213</v>
          </cell>
          <cell r="D3755" t="str">
            <v>NCSS-11231 VN-18KP</v>
          </cell>
          <cell r="E3755" t="str">
            <v>ZFGD</v>
          </cell>
          <cell r="F3755" t="str">
            <v>PC</v>
          </cell>
          <cell r="G3755" t="str">
            <v>1</v>
          </cell>
          <cell r="H3755" t="str">
            <v>INDUSTRY</v>
          </cell>
          <cell r="I3755" t="str">
            <v>11</v>
          </cell>
          <cell r="J3755" t="str">
            <v>WOOD COATINGS</v>
          </cell>
          <cell r="K3755" t="str">
            <v>1104</v>
          </cell>
          <cell r="L3755" t="str">
            <v>NC</v>
          </cell>
          <cell r="M3755" t="str">
            <v>110405</v>
          </cell>
          <cell r="N3755" t="str">
            <v>NC SYSTEM</v>
          </cell>
        </row>
        <row r="3756">
          <cell r="C3756" t="str">
            <v>100005214</v>
          </cell>
          <cell r="D3756" t="str">
            <v>NCSS-11231 VN-180KB</v>
          </cell>
          <cell r="E3756" t="str">
            <v>ZFGD</v>
          </cell>
          <cell r="F3756" t="str">
            <v>PC</v>
          </cell>
          <cell r="G3756" t="str">
            <v>1</v>
          </cell>
          <cell r="H3756" t="str">
            <v>INDUSTRY</v>
          </cell>
          <cell r="I3756" t="str">
            <v>11</v>
          </cell>
          <cell r="J3756" t="str">
            <v>WOOD COATINGS</v>
          </cell>
          <cell r="K3756" t="str">
            <v>1104</v>
          </cell>
          <cell r="L3756" t="str">
            <v>NC</v>
          </cell>
          <cell r="M3756" t="str">
            <v>110405</v>
          </cell>
          <cell r="N3756" t="str">
            <v>NC SYSTEM</v>
          </cell>
        </row>
        <row r="3757">
          <cell r="C3757" t="str">
            <v>100005215</v>
          </cell>
          <cell r="D3757" t="str">
            <v>PUC-54205 AC MG 10 KD VN-20KP</v>
          </cell>
          <cell r="E3757" t="str">
            <v>ZFGD</v>
          </cell>
          <cell r="F3757" t="str">
            <v>PC</v>
          </cell>
          <cell r="G3757" t="str">
            <v>1</v>
          </cell>
          <cell r="H3757" t="str">
            <v>INDUSTRY</v>
          </cell>
          <cell r="I3757" t="str">
            <v>11</v>
          </cell>
          <cell r="J3757" t="str">
            <v>WOOD COATINGS</v>
          </cell>
          <cell r="K3757" t="str">
            <v>1103</v>
          </cell>
          <cell r="L3757" t="str">
            <v>PU</v>
          </cell>
          <cell r="M3757" t="str">
            <v>110319</v>
          </cell>
          <cell r="N3757" t="str">
            <v>PU COLOR</v>
          </cell>
        </row>
        <row r="3758">
          <cell r="C3758" t="str">
            <v>100005217</v>
          </cell>
          <cell r="D3758" t="str">
            <v>TOL-76301 N DN01 MU VN-16KJ</v>
          </cell>
          <cell r="E3758" t="str">
            <v>ZFGD</v>
          </cell>
          <cell r="F3758" t="str">
            <v>PC</v>
          </cell>
          <cell r="G3758" t="str">
            <v>1</v>
          </cell>
          <cell r="H3758" t="str">
            <v>INDUSTRY</v>
          </cell>
          <cell r="I3758" t="str">
            <v>11</v>
          </cell>
          <cell r="J3758" t="str">
            <v>WOOD COATINGS</v>
          </cell>
          <cell r="K3758" t="str">
            <v>1101</v>
          </cell>
          <cell r="L3758" t="str">
            <v>ALKYD OIL</v>
          </cell>
          <cell r="M3758" t="str">
            <v>110101</v>
          </cell>
          <cell r="N3758" t="str">
            <v>ALKYD &amp; OIL SYSTEM</v>
          </cell>
        </row>
        <row r="3759">
          <cell r="C3759" t="str">
            <v>100005218</v>
          </cell>
          <cell r="D3759" t="str">
            <v>TOL-76301 N LEVICO AQUA F1 VN-16KJ</v>
          </cell>
          <cell r="E3759" t="str">
            <v>ZFGD</v>
          </cell>
          <cell r="F3759" t="str">
            <v>PC</v>
          </cell>
          <cell r="G3759" t="str">
            <v>1</v>
          </cell>
          <cell r="H3759" t="str">
            <v>INDUSTRY</v>
          </cell>
          <cell r="I3759" t="str">
            <v>11</v>
          </cell>
          <cell r="J3759" t="str">
            <v>WOOD COATINGS</v>
          </cell>
          <cell r="K3759" t="str">
            <v>1101</v>
          </cell>
          <cell r="L3759" t="str">
            <v>ALKYD OIL</v>
          </cell>
          <cell r="M3759" t="str">
            <v>110101</v>
          </cell>
          <cell r="N3759" t="str">
            <v>ALKYD &amp; OIL SYSTEM</v>
          </cell>
        </row>
        <row r="3760">
          <cell r="C3760" t="str">
            <v>100005219</v>
          </cell>
          <cell r="D3760" t="str">
            <v>PUC-54206 AC EX MINK 05 MK VN-18KP</v>
          </cell>
          <cell r="E3760" t="str">
            <v>ZFGD</v>
          </cell>
          <cell r="F3760" t="str">
            <v>PC</v>
          </cell>
          <cell r="G3760" t="str">
            <v>1</v>
          </cell>
          <cell r="H3760" t="str">
            <v>INDUSTRY</v>
          </cell>
          <cell r="I3760" t="str">
            <v>11</v>
          </cell>
          <cell r="J3760" t="str">
            <v>WOOD COATINGS</v>
          </cell>
          <cell r="K3760" t="str">
            <v>1103</v>
          </cell>
          <cell r="L3760" t="str">
            <v>PU</v>
          </cell>
          <cell r="M3760" t="str">
            <v>110319</v>
          </cell>
          <cell r="N3760" t="str">
            <v>PU COLOR</v>
          </cell>
        </row>
        <row r="3761">
          <cell r="C3761" t="str">
            <v>100005220</v>
          </cell>
          <cell r="D3761" t="str">
            <v>TOL-76301 P DEAD MATT TD VN-16KJ</v>
          </cell>
          <cell r="E3761" t="str">
            <v>ZFGD</v>
          </cell>
          <cell r="F3761" t="str">
            <v>PC</v>
          </cell>
          <cell r="G3761" t="str">
            <v>1</v>
          </cell>
          <cell r="H3761" t="str">
            <v>INDUSTRY</v>
          </cell>
          <cell r="I3761" t="str">
            <v>11</v>
          </cell>
          <cell r="J3761" t="str">
            <v>WOOD COATINGS</v>
          </cell>
          <cell r="K3761" t="str">
            <v>1101</v>
          </cell>
          <cell r="L3761" t="str">
            <v>ALKYD OIL</v>
          </cell>
          <cell r="M3761" t="str">
            <v>110101</v>
          </cell>
          <cell r="N3761" t="str">
            <v>ALKYD &amp; OIL SYSTEM</v>
          </cell>
        </row>
        <row r="3762">
          <cell r="C3762" t="str">
            <v>100005221</v>
          </cell>
          <cell r="D3762" t="str">
            <v>PRCC-10351 WBC POLYESTER TOA-250KK</v>
          </cell>
          <cell r="E3762" t="str">
            <v>ZFGD</v>
          </cell>
          <cell r="F3762" t="str">
            <v>PC</v>
          </cell>
          <cell r="G3762" t="str">
            <v>1</v>
          </cell>
          <cell r="H3762" t="str">
            <v>INDUSTRY</v>
          </cell>
          <cell r="I3762" t="str">
            <v>12</v>
          </cell>
          <cell r="J3762" t="str">
            <v>CAN COATINGS</v>
          </cell>
          <cell r="K3762" t="str">
            <v>1201</v>
          </cell>
          <cell r="L3762" t="str">
            <v>CAN COATINGS</v>
          </cell>
          <cell r="M3762" t="str">
            <v>120101</v>
          </cell>
          <cell r="N3762" t="str">
            <v>CAN COATINGS</v>
          </cell>
        </row>
        <row r="3763">
          <cell r="C3763" t="str">
            <v>100005222</v>
          </cell>
          <cell r="D3763" t="str">
            <v>GZ-12700 N SOI A2 K1 VN-16KP</v>
          </cell>
          <cell r="E3763" t="str">
            <v>ZFGD</v>
          </cell>
          <cell r="F3763" t="str">
            <v>PC</v>
          </cell>
          <cell r="G3763" t="str">
            <v>1</v>
          </cell>
          <cell r="H3763" t="str">
            <v>INDUSTRY</v>
          </cell>
          <cell r="I3763" t="str">
            <v>11</v>
          </cell>
          <cell r="J3763" t="str">
            <v>WOOD COATINGS</v>
          </cell>
          <cell r="K3763" t="str">
            <v>1109</v>
          </cell>
          <cell r="L3763" t="str">
            <v>STAIN &amp; GLAZE INTERIOR</v>
          </cell>
          <cell r="M3763" t="str">
            <v>110901</v>
          </cell>
          <cell r="N3763" t="str">
            <v>ASOF : STAIN &amp; GLAZE</v>
          </cell>
        </row>
        <row r="3764">
          <cell r="C3764" t="str">
            <v>100005223</v>
          </cell>
          <cell r="D3764" t="str">
            <v>DC-12223 LC WHITE 01 25 VN-18KP</v>
          </cell>
          <cell r="E3764" t="str">
            <v>ZFGD</v>
          </cell>
          <cell r="F3764" t="str">
            <v>PC</v>
          </cell>
          <cell r="G3764" t="str">
            <v>1</v>
          </cell>
          <cell r="H3764" t="str">
            <v>INDUSTRY</v>
          </cell>
          <cell r="I3764" t="str">
            <v>11</v>
          </cell>
          <cell r="J3764" t="str">
            <v>WOOD COATINGS</v>
          </cell>
          <cell r="K3764" t="str">
            <v>1104</v>
          </cell>
          <cell r="L3764" t="str">
            <v>NC</v>
          </cell>
          <cell r="M3764" t="str">
            <v>110405</v>
          </cell>
          <cell r="N3764" t="str">
            <v>NC SYSTEM</v>
          </cell>
        </row>
        <row r="3765">
          <cell r="C3765" t="str">
            <v>100005224</v>
          </cell>
          <cell r="D3765" t="str">
            <v>DC-12223 BLACK YJ 01 10 VN-18KP</v>
          </cell>
          <cell r="E3765" t="str">
            <v>ZFGD</v>
          </cell>
          <cell r="F3765" t="str">
            <v>PC</v>
          </cell>
          <cell r="G3765" t="str">
            <v>1</v>
          </cell>
          <cell r="H3765" t="str">
            <v>INDUSTRY</v>
          </cell>
          <cell r="I3765" t="str">
            <v>11</v>
          </cell>
          <cell r="J3765" t="str">
            <v>WOOD COATINGS</v>
          </cell>
          <cell r="K3765" t="str">
            <v>1104</v>
          </cell>
          <cell r="L3765" t="str">
            <v>NC</v>
          </cell>
          <cell r="M3765" t="str">
            <v>110405</v>
          </cell>
          <cell r="N3765" t="str">
            <v>NC SYSTEM</v>
          </cell>
        </row>
        <row r="3766">
          <cell r="C3766" t="str">
            <v>100005225</v>
          </cell>
          <cell r="D3766" t="str">
            <v>PUC-54205 AC MT207 30 HM VN-20KP</v>
          </cell>
          <cell r="E3766" t="str">
            <v>ZFGD</v>
          </cell>
          <cell r="F3766" t="str">
            <v>PC</v>
          </cell>
          <cell r="G3766" t="str">
            <v>1</v>
          </cell>
          <cell r="H3766" t="str">
            <v>INDUSTRY</v>
          </cell>
          <cell r="I3766" t="str">
            <v>11</v>
          </cell>
          <cell r="J3766" t="str">
            <v>WOOD COATINGS</v>
          </cell>
          <cell r="K3766" t="str">
            <v>1103</v>
          </cell>
          <cell r="L3766" t="str">
            <v>PU</v>
          </cell>
          <cell r="M3766" t="str">
            <v>110319</v>
          </cell>
          <cell r="N3766" t="str">
            <v>PU COLOR</v>
          </cell>
        </row>
        <row r="3767">
          <cell r="C3767" t="str">
            <v>100005226</v>
          </cell>
          <cell r="D3767" t="str">
            <v>PCL-31300 WD03 A D4 VN-16KJ</v>
          </cell>
          <cell r="E3767" t="str">
            <v>ZFGD</v>
          </cell>
          <cell r="F3767" t="str">
            <v>PC</v>
          </cell>
          <cell r="G3767" t="str">
            <v>1</v>
          </cell>
          <cell r="H3767" t="str">
            <v>INDUSTRY</v>
          </cell>
          <cell r="I3767" t="str">
            <v>11</v>
          </cell>
          <cell r="J3767" t="str">
            <v>WOOD COATINGS</v>
          </cell>
          <cell r="K3767" t="str">
            <v>1118</v>
          </cell>
          <cell r="L3767" t="str">
            <v>COMPLEMENTARY</v>
          </cell>
          <cell r="M3767" t="str">
            <v>111807</v>
          </cell>
          <cell r="N3767" t="str">
            <v>PASTA</v>
          </cell>
        </row>
        <row r="3768">
          <cell r="C3768" t="str">
            <v>100005227</v>
          </cell>
          <cell r="D3768" t="str">
            <v>PCL-31300 WD03 B D4 VN-16KJ</v>
          </cell>
          <cell r="E3768" t="str">
            <v>ZFGD</v>
          </cell>
          <cell r="F3768" t="str">
            <v>PC</v>
          </cell>
          <cell r="G3768" t="str">
            <v>1</v>
          </cell>
          <cell r="H3768" t="str">
            <v>INDUSTRY</v>
          </cell>
          <cell r="I3768" t="str">
            <v>11</v>
          </cell>
          <cell r="J3768" t="str">
            <v>WOOD COATINGS</v>
          </cell>
          <cell r="K3768" t="str">
            <v>1118</v>
          </cell>
          <cell r="L3768" t="str">
            <v>COMPLEMENTARY</v>
          </cell>
          <cell r="M3768" t="str">
            <v>111807</v>
          </cell>
          <cell r="N3768" t="str">
            <v>PASTA</v>
          </cell>
        </row>
        <row r="3769">
          <cell r="C3769" t="str">
            <v>100005228</v>
          </cell>
          <cell r="D3769" t="str">
            <v>DC-12223 BLACK YJ 01 05 VN-18KP</v>
          </cell>
          <cell r="E3769" t="str">
            <v>ZFGD</v>
          </cell>
          <cell r="F3769" t="str">
            <v>PC</v>
          </cell>
          <cell r="G3769" t="str">
            <v>1</v>
          </cell>
          <cell r="H3769" t="str">
            <v>INDUSTRY</v>
          </cell>
          <cell r="I3769" t="str">
            <v>11</v>
          </cell>
          <cell r="J3769" t="str">
            <v>WOOD COATINGS</v>
          </cell>
          <cell r="K3769" t="str">
            <v>1104</v>
          </cell>
          <cell r="L3769" t="str">
            <v>NC</v>
          </cell>
          <cell r="M3769" t="str">
            <v>110405</v>
          </cell>
          <cell r="N3769" t="str">
            <v>NC SYSTEM</v>
          </cell>
        </row>
        <row r="3770">
          <cell r="C3770" t="str">
            <v>100005229</v>
          </cell>
          <cell r="D3770" t="str">
            <v>PUC-54205 AC MT211 10 HM VN-20KP</v>
          </cell>
          <cell r="E3770" t="str">
            <v>ZFGD</v>
          </cell>
          <cell r="F3770" t="str">
            <v>PC</v>
          </cell>
          <cell r="G3770" t="str">
            <v>1</v>
          </cell>
          <cell r="H3770" t="str">
            <v>INDUSTRY</v>
          </cell>
          <cell r="I3770" t="str">
            <v>11</v>
          </cell>
          <cell r="J3770" t="str">
            <v>WOOD COATINGS</v>
          </cell>
          <cell r="K3770" t="str">
            <v>1103</v>
          </cell>
          <cell r="L3770" t="str">
            <v>PU</v>
          </cell>
          <cell r="M3770" t="str">
            <v>110319</v>
          </cell>
          <cell r="N3770" t="str">
            <v>PU COLOR</v>
          </cell>
        </row>
        <row r="3771">
          <cell r="C3771" t="str">
            <v>100005230</v>
          </cell>
          <cell r="D3771" t="str">
            <v>PS-15100 BASE VN-20LJ</v>
          </cell>
          <cell r="E3771" t="str">
            <v>ZFGD</v>
          </cell>
          <cell r="F3771" t="str">
            <v>PC</v>
          </cell>
          <cell r="G3771" t="str">
            <v>1</v>
          </cell>
          <cell r="H3771" t="str">
            <v>INDUSTRY</v>
          </cell>
          <cell r="I3771" t="str">
            <v>11</v>
          </cell>
          <cell r="J3771" t="str">
            <v>WOOD COATINGS</v>
          </cell>
          <cell r="K3771" t="str">
            <v>1109</v>
          </cell>
          <cell r="L3771" t="str">
            <v>STAIN &amp; GLAZE INTERIOR</v>
          </cell>
          <cell r="M3771" t="str">
            <v>110901</v>
          </cell>
          <cell r="N3771" t="str">
            <v>ASOF : STAIN &amp; GLAZE</v>
          </cell>
        </row>
        <row r="3772">
          <cell r="C3772" t="str">
            <v>100005231</v>
          </cell>
          <cell r="D3772" t="str">
            <v>PUC-51339 03 20 DH VN-20KP</v>
          </cell>
          <cell r="E3772" t="str">
            <v>ZFGD</v>
          </cell>
          <cell r="F3772" t="str">
            <v>PC</v>
          </cell>
          <cell r="G3772" t="str">
            <v>1</v>
          </cell>
          <cell r="H3772" t="str">
            <v>INDUSTRY</v>
          </cell>
          <cell r="I3772" t="str">
            <v>11</v>
          </cell>
          <cell r="J3772" t="str">
            <v>WOOD COATINGS</v>
          </cell>
          <cell r="K3772" t="str">
            <v>1103</v>
          </cell>
          <cell r="L3772" t="str">
            <v>PU</v>
          </cell>
          <cell r="M3772" t="str">
            <v>110319</v>
          </cell>
          <cell r="N3772" t="str">
            <v>PU COLOR</v>
          </cell>
        </row>
        <row r="3773">
          <cell r="C3773" t="str">
            <v>100005232</v>
          </cell>
          <cell r="D3773" t="str">
            <v>PUC-52239 04 20 DH VN-20KP</v>
          </cell>
          <cell r="E3773" t="str">
            <v>ZFGD</v>
          </cell>
          <cell r="F3773" t="str">
            <v>PC</v>
          </cell>
          <cell r="G3773" t="str">
            <v>1</v>
          </cell>
          <cell r="H3773" t="str">
            <v>INDUSTRY</v>
          </cell>
          <cell r="I3773" t="str">
            <v>11</v>
          </cell>
          <cell r="J3773" t="str">
            <v>WOOD COATINGS</v>
          </cell>
          <cell r="K3773" t="str">
            <v>1103</v>
          </cell>
          <cell r="L3773" t="str">
            <v>PU</v>
          </cell>
          <cell r="M3773" t="str">
            <v>110319</v>
          </cell>
          <cell r="N3773" t="str">
            <v>PU COLOR</v>
          </cell>
        </row>
        <row r="3774">
          <cell r="C3774" t="str">
            <v>100005233</v>
          </cell>
          <cell r="D3774" t="str">
            <v>THC-73100 SMT VN-20LJ</v>
          </cell>
          <cell r="E3774" t="str">
            <v>ZFGD</v>
          </cell>
          <cell r="F3774" t="str">
            <v>PC</v>
          </cell>
          <cell r="G3774" t="str">
            <v>1</v>
          </cell>
          <cell r="H3774" t="str">
            <v>INDUSTRY</v>
          </cell>
          <cell r="I3774" t="str">
            <v>14</v>
          </cell>
          <cell r="J3774" t="str">
            <v>THINNER</v>
          </cell>
          <cell r="K3774" t="str">
            <v>1412</v>
          </cell>
          <cell r="L3774" t="str">
            <v>THINNER NC</v>
          </cell>
          <cell r="M3774" t="str">
            <v>141203</v>
          </cell>
          <cell r="N3774" t="str">
            <v>THINNER COMPLEMENTARY</v>
          </cell>
        </row>
        <row r="3775">
          <cell r="C3775" t="str">
            <v>100005234</v>
          </cell>
          <cell r="D3775" t="str">
            <v>THC-73100 SMT VN-200LK</v>
          </cell>
          <cell r="E3775" t="str">
            <v>ZFGD</v>
          </cell>
          <cell r="F3775" t="str">
            <v>PC</v>
          </cell>
          <cell r="G3775" t="str">
            <v>1</v>
          </cell>
          <cell r="H3775" t="str">
            <v>INDUSTRY</v>
          </cell>
          <cell r="I3775" t="str">
            <v>14</v>
          </cell>
          <cell r="J3775" t="str">
            <v>THINNER</v>
          </cell>
          <cell r="K3775" t="str">
            <v>1412</v>
          </cell>
          <cell r="L3775" t="str">
            <v>THINNER NC</v>
          </cell>
          <cell r="M3775" t="str">
            <v>141203</v>
          </cell>
          <cell r="N3775" t="str">
            <v>THINNER COMPLEMENTARY</v>
          </cell>
        </row>
        <row r="3776">
          <cell r="C3776" t="str">
            <v>100005235</v>
          </cell>
          <cell r="D3776" t="str">
            <v>PUP-52141 566C TL VN-20KP</v>
          </cell>
          <cell r="E3776" t="str">
            <v>ZFGD</v>
          </cell>
          <cell r="F3776" t="str">
            <v>PC</v>
          </cell>
          <cell r="G3776" t="str">
            <v>1</v>
          </cell>
          <cell r="H3776" t="str">
            <v>INDUSTRY</v>
          </cell>
          <cell r="I3776" t="str">
            <v>11</v>
          </cell>
          <cell r="J3776" t="str">
            <v>WOOD COATINGS</v>
          </cell>
          <cell r="K3776" t="str">
            <v>1103</v>
          </cell>
          <cell r="L3776" t="str">
            <v>PU</v>
          </cell>
          <cell r="M3776" t="str">
            <v>110322</v>
          </cell>
          <cell r="N3776" t="str">
            <v>PU PRIMER</v>
          </cell>
        </row>
        <row r="3777">
          <cell r="C3777" t="str">
            <v>100005236</v>
          </cell>
          <cell r="D3777" t="str">
            <v>DP-12123 LC 566C TL VN-18KP</v>
          </cell>
          <cell r="E3777" t="str">
            <v>ZFGD</v>
          </cell>
          <cell r="F3777" t="str">
            <v>PC</v>
          </cell>
          <cell r="G3777" t="str">
            <v>1</v>
          </cell>
          <cell r="H3777" t="str">
            <v>INDUSTRY</v>
          </cell>
          <cell r="I3777" t="str">
            <v>11</v>
          </cell>
          <cell r="J3777" t="str">
            <v>WOOD COATINGS</v>
          </cell>
          <cell r="K3777" t="str">
            <v>1104</v>
          </cell>
          <cell r="L3777" t="str">
            <v>NC</v>
          </cell>
          <cell r="M3777" t="str">
            <v>110405</v>
          </cell>
          <cell r="N3777" t="str">
            <v>NC SYSTEM</v>
          </cell>
        </row>
        <row r="3778">
          <cell r="C3778" t="str">
            <v>100005237</v>
          </cell>
          <cell r="D3778" t="str">
            <v>DC-12223 LC 566C 30 TL VN-18KP</v>
          </cell>
          <cell r="E3778" t="str">
            <v>ZFGD</v>
          </cell>
          <cell r="F3778" t="str">
            <v>PC</v>
          </cell>
          <cell r="G3778" t="str">
            <v>1</v>
          </cell>
          <cell r="H3778" t="str">
            <v>INDUSTRY</v>
          </cell>
          <cell r="I3778" t="str">
            <v>11</v>
          </cell>
          <cell r="J3778" t="str">
            <v>WOOD COATINGS</v>
          </cell>
          <cell r="K3778" t="str">
            <v>1104</v>
          </cell>
          <cell r="L3778" t="str">
            <v>NC</v>
          </cell>
          <cell r="M3778" t="str">
            <v>110405</v>
          </cell>
          <cell r="N3778" t="str">
            <v>NC SYSTEM</v>
          </cell>
        </row>
        <row r="3779">
          <cell r="C3779" t="str">
            <v>100005238</v>
          </cell>
          <cell r="D3779" t="str">
            <v>PUP-52141 7463C TL VN-20KP</v>
          </cell>
          <cell r="E3779" t="str">
            <v>ZFGD</v>
          </cell>
          <cell r="F3779" t="str">
            <v>PC</v>
          </cell>
          <cell r="G3779" t="str">
            <v>1</v>
          </cell>
          <cell r="H3779" t="str">
            <v>INDUSTRY</v>
          </cell>
          <cell r="I3779" t="str">
            <v>11</v>
          </cell>
          <cell r="J3779" t="str">
            <v>WOOD COATINGS</v>
          </cell>
          <cell r="K3779" t="str">
            <v>1103</v>
          </cell>
          <cell r="L3779" t="str">
            <v>PU</v>
          </cell>
          <cell r="M3779" t="str">
            <v>110322</v>
          </cell>
          <cell r="N3779" t="str">
            <v>PU PRIMER</v>
          </cell>
        </row>
        <row r="3780">
          <cell r="C3780" t="str">
            <v>100005239</v>
          </cell>
          <cell r="D3780" t="str">
            <v>DP-12129 LC 7463C TL VN-18KP</v>
          </cell>
          <cell r="E3780" t="str">
            <v>ZFGD</v>
          </cell>
          <cell r="F3780" t="str">
            <v>PC</v>
          </cell>
          <cell r="G3780" t="str">
            <v>1</v>
          </cell>
          <cell r="H3780" t="str">
            <v>INDUSTRY</v>
          </cell>
          <cell r="I3780" t="str">
            <v>11</v>
          </cell>
          <cell r="J3780" t="str">
            <v>WOOD COATINGS</v>
          </cell>
          <cell r="K3780" t="str">
            <v>1104</v>
          </cell>
          <cell r="L3780" t="str">
            <v>NC</v>
          </cell>
          <cell r="M3780" t="str">
            <v>110405</v>
          </cell>
          <cell r="N3780" t="str">
            <v>NC SYSTEM</v>
          </cell>
        </row>
        <row r="3781">
          <cell r="C3781" t="str">
            <v>100005240</v>
          </cell>
          <cell r="D3781" t="str">
            <v>DC-12229 LC 7463C 30 TL VN-18KP</v>
          </cell>
          <cell r="E3781" t="str">
            <v>ZFGD</v>
          </cell>
          <cell r="F3781" t="str">
            <v>PC</v>
          </cell>
          <cell r="G3781" t="str">
            <v>1</v>
          </cell>
          <cell r="H3781" t="str">
            <v>INDUSTRY</v>
          </cell>
          <cell r="I3781" t="str">
            <v>11</v>
          </cell>
          <cell r="J3781" t="str">
            <v>WOOD COATINGS</v>
          </cell>
          <cell r="K3781" t="str">
            <v>1104</v>
          </cell>
          <cell r="L3781" t="str">
            <v>NC</v>
          </cell>
          <cell r="M3781" t="str">
            <v>110405</v>
          </cell>
          <cell r="N3781" t="str">
            <v>NC SYSTEM</v>
          </cell>
        </row>
        <row r="3782">
          <cell r="C3782" t="str">
            <v>100005241</v>
          </cell>
          <cell r="D3782" t="str">
            <v>PUP-52141 151 TL VN-20KP</v>
          </cell>
          <cell r="E3782" t="str">
            <v>ZFGD</v>
          </cell>
          <cell r="F3782" t="str">
            <v>PC</v>
          </cell>
          <cell r="G3782" t="str">
            <v>1</v>
          </cell>
          <cell r="H3782" t="str">
            <v>INDUSTRY</v>
          </cell>
          <cell r="I3782" t="str">
            <v>11</v>
          </cell>
          <cell r="J3782" t="str">
            <v>WOOD COATINGS</v>
          </cell>
          <cell r="K3782" t="str">
            <v>1103</v>
          </cell>
          <cell r="L3782" t="str">
            <v>PU</v>
          </cell>
          <cell r="M3782" t="str">
            <v>110322</v>
          </cell>
          <cell r="N3782" t="str">
            <v>PU PRIMER</v>
          </cell>
        </row>
        <row r="3783">
          <cell r="C3783" t="str">
            <v>100005242</v>
          </cell>
          <cell r="D3783" t="str">
            <v>DP-12123 LC 151 TL VN-18KP</v>
          </cell>
          <cell r="E3783" t="str">
            <v>ZFGD</v>
          </cell>
          <cell r="F3783" t="str">
            <v>PC</v>
          </cell>
          <cell r="G3783" t="str">
            <v>1</v>
          </cell>
          <cell r="H3783" t="str">
            <v>INDUSTRY</v>
          </cell>
          <cell r="I3783" t="str">
            <v>11</v>
          </cell>
          <cell r="J3783" t="str">
            <v>WOOD COATINGS</v>
          </cell>
          <cell r="K3783" t="str">
            <v>1104</v>
          </cell>
          <cell r="L3783" t="str">
            <v>NC</v>
          </cell>
          <cell r="M3783" t="str">
            <v>110405</v>
          </cell>
          <cell r="N3783" t="str">
            <v>NC SYSTEM</v>
          </cell>
        </row>
        <row r="3784">
          <cell r="C3784" t="str">
            <v>100005243</v>
          </cell>
          <cell r="D3784" t="str">
            <v>DC-12223 LC 151 30 TL VN-18KP</v>
          </cell>
          <cell r="E3784" t="str">
            <v>ZFGD</v>
          </cell>
          <cell r="F3784" t="str">
            <v>PC</v>
          </cell>
          <cell r="G3784" t="str">
            <v>1</v>
          </cell>
          <cell r="H3784" t="str">
            <v>INDUSTRY</v>
          </cell>
          <cell r="I3784" t="str">
            <v>11</v>
          </cell>
          <cell r="J3784" t="str">
            <v>WOOD COATINGS</v>
          </cell>
          <cell r="K3784" t="str">
            <v>1104</v>
          </cell>
          <cell r="L3784" t="str">
            <v>NC</v>
          </cell>
          <cell r="M3784" t="str">
            <v>110405</v>
          </cell>
          <cell r="N3784" t="str">
            <v>NC SYSTEM</v>
          </cell>
        </row>
        <row r="3785">
          <cell r="C3785" t="str">
            <v>100005244</v>
          </cell>
          <cell r="D3785" t="str">
            <v>PUP-52141 2336C TL VN-20KP</v>
          </cell>
          <cell r="E3785" t="str">
            <v>ZFGD</v>
          </cell>
          <cell r="F3785" t="str">
            <v>PC</v>
          </cell>
          <cell r="G3785" t="str">
            <v>1</v>
          </cell>
          <cell r="H3785" t="str">
            <v>INDUSTRY</v>
          </cell>
          <cell r="I3785" t="str">
            <v>11</v>
          </cell>
          <cell r="J3785" t="str">
            <v>WOOD COATINGS</v>
          </cell>
          <cell r="K3785" t="str">
            <v>1103</v>
          </cell>
          <cell r="L3785" t="str">
            <v>PU</v>
          </cell>
          <cell r="M3785" t="str">
            <v>110322</v>
          </cell>
          <cell r="N3785" t="str">
            <v>PU PRIMER</v>
          </cell>
        </row>
        <row r="3786">
          <cell r="C3786" t="str">
            <v>100005245</v>
          </cell>
          <cell r="D3786" t="str">
            <v>DP-12129 LC 2336C TL VN-18KP</v>
          </cell>
          <cell r="E3786" t="str">
            <v>ZFGD</v>
          </cell>
          <cell r="F3786" t="str">
            <v>PC</v>
          </cell>
          <cell r="G3786" t="str">
            <v>1</v>
          </cell>
          <cell r="H3786" t="str">
            <v>INDUSTRY</v>
          </cell>
          <cell r="I3786" t="str">
            <v>11</v>
          </cell>
          <cell r="J3786" t="str">
            <v>WOOD COATINGS</v>
          </cell>
          <cell r="K3786" t="str">
            <v>1104</v>
          </cell>
          <cell r="L3786" t="str">
            <v>NC</v>
          </cell>
          <cell r="M3786" t="str">
            <v>110405</v>
          </cell>
          <cell r="N3786" t="str">
            <v>NC SYSTEM</v>
          </cell>
        </row>
        <row r="3787">
          <cell r="C3787" t="str">
            <v>100005246</v>
          </cell>
          <cell r="D3787" t="str">
            <v>DC-12229 LC 2336C 30 TL VN-18KP</v>
          </cell>
          <cell r="E3787" t="str">
            <v>ZFGD</v>
          </cell>
          <cell r="F3787" t="str">
            <v>PC</v>
          </cell>
          <cell r="G3787" t="str">
            <v>1</v>
          </cell>
          <cell r="H3787" t="str">
            <v>INDUSTRY</v>
          </cell>
          <cell r="I3787" t="str">
            <v>11</v>
          </cell>
          <cell r="J3787" t="str">
            <v>WOOD COATINGS</v>
          </cell>
          <cell r="K3787" t="str">
            <v>1104</v>
          </cell>
          <cell r="L3787" t="str">
            <v>NC</v>
          </cell>
          <cell r="M3787" t="str">
            <v>110405</v>
          </cell>
          <cell r="N3787" t="str">
            <v>NC SYSTEM</v>
          </cell>
        </row>
        <row r="3788">
          <cell r="C3788" t="str">
            <v>100005247</v>
          </cell>
          <cell r="D3788" t="str">
            <v>PUP-52141 400C TL VN-20KP</v>
          </cell>
          <cell r="E3788" t="str">
            <v>ZFGD</v>
          </cell>
          <cell r="F3788" t="str">
            <v>PC</v>
          </cell>
          <cell r="G3788" t="str">
            <v>1</v>
          </cell>
          <cell r="H3788" t="str">
            <v>INDUSTRY</v>
          </cell>
          <cell r="I3788" t="str">
            <v>11</v>
          </cell>
          <cell r="J3788" t="str">
            <v>WOOD COATINGS</v>
          </cell>
          <cell r="K3788" t="str">
            <v>1103</v>
          </cell>
          <cell r="L3788" t="str">
            <v>PU</v>
          </cell>
          <cell r="M3788" t="str">
            <v>110322</v>
          </cell>
          <cell r="N3788" t="str">
            <v>PU PRIMER</v>
          </cell>
        </row>
        <row r="3789">
          <cell r="C3789" t="str">
            <v>100005248</v>
          </cell>
          <cell r="D3789" t="str">
            <v>DP-12123 LC 400C TL VN-18KP</v>
          </cell>
          <cell r="E3789" t="str">
            <v>ZFGD</v>
          </cell>
          <cell r="F3789" t="str">
            <v>PC</v>
          </cell>
          <cell r="G3789" t="str">
            <v>1</v>
          </cell>
          <cell r="H3789" t="str">
            <v>INDUSTRY</v>
          </cell>
          <cell r="I3789" t="str">
            <v>11</v>
          </cell>
          <cell r="J3789" t="str">
            <v>WOOD COATINGS</v>
          </cell>
          <cell r="K3789" t="str">
            <v>1104</v>
          </cell>
          <cell r="L3789" t="str">
            <v>NC</v>
          </cell>
          <cell r="M3789" t="str">
            <v>110405</v>
          </cell>
          <cell r="N3789" t="str">
            <v>NC SYSTEM</v>
          </cell>
        </row>
        <row r="3790">
          <cell r="C3790" t="str">
            <v>100005249</v>
          </cell>
          <cell r="D3790" t="str">
            <v>DC-12223 LC 400C 30 TL VN-18KP</v>
          </cell>
          <cell r="E3790" t="str">
            <v>ZFGD</v>
          </cell>
          <cell r="F3790" t="str">
            <v>PC</v>
          </cell>
          <cell r="G3790" t="str">
            <v>1</v>
          </cell>
          <cell r="H3790" t="str">
            <v>INDUSTRY</v>
          </cell>
          <cell r="I3790" t="str">
            <v>11</v>
          </cell>
          <cell r="J3790" t="str">
            <v>WOOD COATINGS</v>
          </cell>
          <cell r="K3790" t="str">
            <v>1104</v>
          </cell>
          <cell r="L3790" t="str">
            <v>NC</v>
          </cell>
          <cell r="M3790" t="str">
            <v>110405</v>
          </cell>
          <cell r="N3790" t="str">
            <v>NC SYSTEM</v>
          </cell>
        </row>
        <row r="3791">
          <cell r="C3791" t="str">
            <v>100005250</v>
          </cell>
          <cell r="D3791" t="str">
            <v>PUP-52141 4031C TL VN-20KP</v>
          </cell>
          <cell r="E3791" t="str">
            <v>ZFGD</v>
          </cell>
          <cell r="F3791" t="str">
            <v>PC</v>
          </cell>
          <cell r="G3791" t="str">
            <v>1</v>
          </cell>
          <cell r="H3791" t="str">
            <v>INDUSTRY</v>
          </cell>
          <cell r="I3791" t="str">
            <v>11</v>
          </cell>
          <cell r="J3791" t="str">
            <v>WOOD COATINGS</v>
          </cell>
          <cell r="K3791" t="str">
            <v>1103</v>
          </cell>
          <cell r="L3791" t="str">
            <v>PU</v>
          </cell>
          <cell r="M3791" t="str">
            <v>110322</v>
          </cell>
          <cell r="N3791" t="str">
            <v>PU PRIMER</v>
          </cell>
        </row>
        <row r="3792">
          <cell r="C3792" t="str">
            <v>100005251</v>
          </cell>
          <cell r="D3792" t="str">
            <v>DP-12123 LC 4031C TL VN-18KP</v>
          </cell>
          <cell r="E3792" t="str">
            <v>ZFGD</v>
          </cell>
          <cell r="F3792" t="str">
            <v>PC</v>
          </cell>
          <cell r="G3792" t="str">
            <v>1</v>
          </cell>
          <cell r="H3792" t="str">
            <v>INDUSTRY</v>
          </cell>
          <cell r="I3792" t="str">
            <v>11</v>
          </cell>
          <cell r="J3792" t="str">
            <v>WOOD COATINGS</v>
          </cell>
          <cell r="K3792" t="str">
            <v>1104</v>
          </cell>
          <cell r="L3792" t="str">
            <v>NC</v>
          </cell>
          <cell r="M3792" t="str">
            <v>110405</v>
          </cell>
          <cell r="N3792" t="str">
            <v>NC SYSTEM</v>
          </cell>
        </row>
        <row r="3793">
          <cell r="C3793" t="str">
            <v>100005252</v>
          </cell>
          <cell r="D3793" t="str">
            <v>DC-12223 LC 4031C 30 TL VN-18KP</v>
          </cell>
          <cell r="E3793" t="str">
            <v>ZFGD</v>
          </cell>
          <cell r="F3793" t="str">
            <v>PC</v>
          </cell>
          <cell r="G3793" t="str">
            <v>1</v>
          </cell>
          <cell r="H3793" t="str">
            <v>INDUSTRY</v>
          </cell>
          <cell r="I3793" t="str">
            <v>11</v>
          </cell>
          <cell r="J3793" t="str">
            <v>WOOD COATINGS</v>
          </cell>
          <cell r="K3793" t="str">
            <v>1104</v>
          </cell>
          <cell r="L3793" t="str">
            <v>NC</v>
          </cell>
          <cell r="M3793" t="str">
            <v>110405</v>
          </cell>
          <cell r="N3793" t="str">
            <v>NC SYSTEM</v>
          </cell>
        </row>
        <row r="3794">
          <cell r="C3794" t="str">
            <v>100005253</v>
          </cell>
          <cell r="D3794" t="str">
            <v>THML-71200 G5 VN-150KK</v>
          </cell>
          <cell r="E3794" t="str">
            <v>ZFGD</v>
          </cell>
          <cell r="F3794" t="str">
            <v>PC</v>
          </cell>
          <cell r="G3794" t="str">
            <v>1</v>
          </cell>
          <cell r="H3794" t="str">
            <v>INDUSTRY</v>
          </cell>
          <cell r="I3794" t="str">
            <v>11</v>
          </cell>
          <cell r="J3794" t="str">
            <v>WOOD COATINGS</v>
          </cell>
          <cell r="K3794" t="str">
            <v>1102</v>
          </cell>
          <cell r="L3794" t="str">
            <v>MELAMINE</v>
          </cell>
          <cell r="M3794" t="str">
            <v>110201</v>
          </cell>
          <cell r="N3794" t="str">
            <v>MELAMINE SYSTEM</v>
          </cell>
        </row>
        <row r="3795">
          <cell r="C3795" t="str">
            <v>100005254</v>
          </cell>
          <cell r="D3795" t="str">
            <v>PUC-54205 AC WHITE K10595 10 AA VN-20KP</v>
          </cell>
          <cell r="E3795" t="str">
            <v>ZFGD</v>
          </cell>
          <cell r="F3795" t="str">
            <v>PC</v>
          </cell>
          <cell r="G3795" t="str">
            <v>1</v>
          </cell>
          <cell r="H3795" t="str">
            <v>INDUSTRY</v>
          </cell>
          <cell r="I3795" t="str">
            <v>11</v>
          </cell>
          <cell r="J3795" t="str">
            <v>WOOD COATINGS</v>
          </cell>
          <cell r="K3795" t="str">
            <v>1103</v>
          </cell>
          <cell r="L3795" t="str">
            <v>PU</v>
          </cell>
          <cell r="M3795" t="str">
            <v>110319</v>
          </cell>
          <cell r="N3795" t="str">
            <v>PU COLOR</v>
          </cell>
        </row>
        <row r="3796">
          <cell r="C3796" t="str">
            <v>100005255</v>
          </cell>
          <cell r="D3796" t="str">
            <v>PUC-54205 AC GREY K11758 10 AA VN-20KP</v>
          </cell>
          <cell r="E3796" t="str">
            <v>ZFGD</v>
          </cell>
          <cell r="F3796" t="str">
            <v>PC</v>
          </cell>
          <cell r="G3796" t="str">
            <v>1</v>
          </cell>
          <cell r="H3796" t="str">
            <v>INDUSTRY</v>
          </cell>
          <cell r="I3796" t="str">
            <v>11</v>
          </cell>
          <cell r="J3796" t="str">
            <v>WOOD COATINGS</v>
          </cell>
          <cell r="K3796" t="str">
            <v>1103</v>
          </cell>
          <cell r="L3796" t="str">
            <v>PU</v>
          </cell>
          <cell r="M3796" t="str">
            <v>110319</v>
          </cell>
          <cell r="N3796" t="str">
            <v>PU COLOR</v>
          </cell>
        </row>
        <row r="3797">
          <cell r="C3797" t="str">
            <v>100005262</v>
          </cell>
          <cell r="D3797" t="str">
            <v>DP-12129 LC MG RED K1 VN-18KP</v>
          </cell>
          <cell r="E3797" t="str">
            <v>ZFGD</v>
          </cell>
          <cell r="F3797" t="str">
            <v>PC</v>
          </cell>
          <cell r="G3797" t="str">
            <v>1</v>
          </cell>
          <cell r="H3797" t="str">
            <v>INDUSTRY</v>
          </cell>
          <cell r="I3797" t="str">
            <v>11</v>
          </cell>
          <cell r="J3797" t="str">
            <v>WOOD COATINGS</v>
          </cell>
          <cell r="K3797" t="str">
            <v>1104</v>
          </cell>
          <cell r="L3797" t="str">
            <v>NC</v>
          </cell>
          <cell r="M3797" t="str">
            <v>110405</v>
          </cell>
          <cell r="N3797" t="str">
            <v>NC SYSTEM</v>
          </cell>
        </row>
        <row r="3798">
          <cell r="C3798" t="str">
            <v>100005263</v>
          </cell>
          <cell r="D3798" t="str">
            <v>DC-12229 LC MG RED 05 K1 VN-18KP</v>
          </cell>
          <cell r="E3798" t="str">
            <v>ZFGD</v>
          </cell>
          <cell r="F3798" t="str">
            <v>PC</v>
          </cell>
          <cell r="G3798" t="str">
            <v>1</v>
          </cell>
          <cell r="H3798" t="str">
            <v>INDUSTRY</v>
          </cell>
          <cell r="I3798" t="str">
            <v>11</v>
          </cell>
          <cell r="J3798" t="str">
            <v>WOOD COATINGS</v>
          </cell>
          <cell r="K3798" t="str">
            <v>1104</v>
          </cell>
          <cell r="L3798" t="str">
            <v>NC</v>
          </cell>
          <cell r="M3798" t="str">
            <v>110405</v>
          </cell>
          <cell r="N3798" t="str">
            <v>NC SYSTEM</v>
          </cell>
        </row>
        <row r="3799">
          <cell r="C3799" t="str">
            <v>100005264</v>
          </cell>
          <cell r="D3799" t="str">
            <v>DC-12223 LC MG BLUE 10 K1 VN-18KP</v>
          </cell>
          <cell r="E3799" t="str">
            <v>ZFGD</v>
          </cell>
          <cell r="F3799" t="str">
            <v>PC</v>
          </cell>
          <cell r="G3799" t="str">
            <v>1</v>
          </cell>
          <cell r="H3799" t="str">
            <v>INDUSTRY</v>
          </cell>
          <cell r="I3799" t="str">
            <v>11</v>
          </cell>
          <cell r="J3799" t="str">
            <v>WOOD COATINGS</v>
          </cell>
          <cell r="K3799" t="str">
            <v>1104</v>
          </cell>
          <cell r="L3799" t="str">
            <v>NC</v>
          </cell>
          <cell r="M3799" t="str">
            <v>110405</v>
          </cell>
          <cell r="N3799" t="str">
            <v>NC SYSTEM</v>
          </cell>
        </row>
        <row r="3800">
          <cell r="C3800" t="str">
            <v>100005265</v>
          </cell>
          <cell r="D3800" t="str">
            <v>DC-12223 LC MG WHITE 10 K1 VN-18KP</v>
          </cell>
          <cell r="E3800" t="str">
            <v>ZFGD</v>
          </cell>
          <cell r="F3800" t="str">
            <v>PC</v>
          </cell>
          <cell r="G3800" t="str">
            <v>1</v>
          </cell>
          <cell r="H3800" t="str">
            <v>INDUSTRY</v>
          </cell>
          <cell r="I3800" t="str">
            <v>11</v>
          </cell>
          <cell r="J3800" t="str">
            <v>WOOD COATINGS</v>
          </cell>
          <cell r="K3800" t="str">
            <v>1104</v>
          </cell>
          <cell r="L3800" t="str">
            <v>NC</v>
          </cell>
          <cell r="M3800" t="str">
            <v>110405</v>
          </cell>
          <cell r="N3800" t="str">
            <v>NC SYSTEM</v>
          </cell>
        </row>
        <row r="3801">
          <cell r="C3801" t="str">
            <v>100005266</v>
          </cell>
          <cell r="D3801" t="str">
            <v>MEP-12003 WHITE GLASS VN-16KP</v>
          </cell>
          <cell r="E3801" t="str">
            <v>ZFGD</v>
          </cell>
          <cell r="F3801" t="str">
            <v>PC</v>
          </cell>
          <cell r="G3801" t="str">
            <v>1</v>
          </cell>
          <cell r="H3801" t="str">
            <v>INDUSTRY</v>
          </cell>
          <cell r="I3801" t="str">
            <v>16</v>
          </cell>
          <cell r="J3801" t="str">
            <v>METAL COATINGS</v>
          </cell>
          <cell r="K3801" t="str">
            <v>1601</v>
          </cell>
          <cell r="L3801" t="str">
            <v>METAL COATINGS</v>
          </cell>
          <cell r="M3801" t="str">
            <v>160101</v>
          </cell>
          <cell r="N3801" t="str">
            <v>METAL COATINGS</v>
          </cell>
        </row>
        <row r="3802">
          <cell r="C3802" t="str">
            <v>100005267</v>
          </cell>
          <cell r="D3802" t="str">
            <v>MEP-12003 BLACK GLASS VN-16KP</v>
          </cell>
          <cell r="E3802" t="str">
            <v>ZFGD</v>
          </cell>
          <cell r="F3802" t="str">
            <v>PC</v>
          </cell>
          <cell r="G3802" t="str">
            <v>1</v>
          </cell>
          <cell r="H3802" t="str">
            <v>INDUSTRY</v>
          </cell>
          <cell r="I3802" t="str">
            <v>16</v>
          </cell>
          <cell r="J3802" t="str">
            <v>METAL COATINGS</v>
          </cell>
          <cell r="K3802" t="str">
            <v>1601</v>
          </cell>
          <cell r="L3802" t="str">
            <v>METAL COATINGS</v>
          </cell>
          <cell r="M3802" t="str">
            <v>160101</v>
          </cell>
          <cell r="N3802" t="str">
            <v>METAL COATINGS</v>
          </cell>
        </row>
        <row r="3803">
          <cell r="C3803" t="str">
            <v>100005268</v>
          </cell>
          <cell r="D3803" t="str">
            <v>SST-11100 ACORN 01 KD VN-16KJ</v>
          </cell>
          <cell r="E3803" t="str">
            <v>ZFGD</v>
          </cell>
          <cell r="F3803" t="str">
            <v>PC</v>
          </cell>
          <cell r="G3803" t="str">
            <v>1</v>
          </cell>
          <cell r="H3803" t="str">
            <v>INDUSTRY</v>
          </cell>
          <cell r="I3803" t="str">
            <v>11</v>
          </cell>
          <cell r="J3803" t="str">
            <v>WOOD COATINGS</v>
          </cell>
          <cell r="K3803" t="str">
            <v>1109</v>
          </cell>
          <cell r="L3803" t="str">
            <v>STAIN &amp; GLAZE INTERIOR</v>
          </cell>
          <cell r="M3803" t="str">
            <v>110903</v>
          </cell>
          <cell r="N3803" t="str">
            <v>STAIN INTERIOR</v>
          </cell>
        </row>
        <row r="3804">
          <cell r="C3804" t="str">
            <v>100005269</v>
          </cell>
          <cell r="D3804" t="str">
            <v>SST-11100 ACORN 01 KD VN-160KK</v>
          </cell>
          <cell r="E3804" t="str">
            <v>ZFGD</v>
          </cell>
          <cell r="F3804" t="str">
            <v>PC</v>
          </cell>
          <cell r="G3804" t="str">
            <v>1</v>
          </cell>
          <cell r="H3804" t="str">
            <v>INDUSTRY</v>
          </cell>
          <cell r="I3804" t="str">
            <v>11</v>
          </cell>
          <cell r="J3804" t="str">
            <v>WOOD COATINGS</v>
          </cell>
          <cell r="K3804" t="str">
            <v>1109</v>
          </cell>
          <cell r="L3804" t="str">
            <v>STAIN &amp; GLAZE INTERIOR</v>
          </cell>
          <cell r="M3804" t="str">
            <v>110903</v>
          </cell>
          <cell r="N3804" t="str">
            <v>STAIN INTERIOR</v>
          </cell>
        </row>
        <row r="3805">
          <cell r="C3805" t="str">
            <v>100005270</v>
          </cell>
          <cell r="D3805" t="str">
            <v>SST-11100 ACORN 02 KD VN-16KJ</v>
          </cell>
          <cell r="E3805" t="str">
            <v>ZFGD</v>
          </cell>
          <cell r="F3805" t="str">
            <v>PC</v>
          </cell>
          <cell r="G3805" t="str">
            <v>1</v>
          </cell>
          <cell r="H3805" t="str">
            <v>INDUSTRY</v>
          </cell>
          <cell r="I3805" t="str">
            <v>11</v>
          </cell>
          <cell r="J3805" t="str">
            <v>WOOD COATINGS</v>
          </cell>
          <cell r="K3805" t="str">
            <v>1109</v>
          </cell>
          <cell r="L3805" t="str">
            <v>STAIN &amp; GLAZE INTERIOR</v>
          </cell>
          <cell r="M3805" t="str">
            <v>110903</v>
          </cell>
          <cell r="N3805" t="str">
            <v>STAIN INTERIOR</v>
          </cell>
        </row>
        <row r="3806">
          <cell r="C3806" t="str">
            <v>100005271</v>
          </cell>
          <cell r="D3806" t="str">
            <v>SST-11100 ACORN 02 KD VN-160KK</v>
          </cell>
          <cell r="E3806" t="str">
            <v>ZFGD</v>
          </cell>
          <cell r="F3806" t="str">
            <v>PC</v>
          </cell>
          <cell r="G3806" t="str">
            <v>1</v>
          </cell>
          <cell r="H3806" t="str">
            <v>INDUSTRY</v>
          </cell>
          <cell r="I3806" t="str">
            <v>11</v>
          </cell>
          <cell r="J3806" t="str">
            <v>WOOD COATINGS</v>
          </cell>
          <cell r="K3806" t="str">
            <v>1109</v>
          </cell>
          <cell r="L3806" t="str">
            <v>STAIN &amp; GLAZE INTERIOR</v>
          </cell>
          <cell r="M3806" t="str">
            <v>110903</v>
          </cell>
          <cell r="N3806" t="str">
            <v>STAIN INTERIOR</v>
          </cell>
        </row>
        <row r="3807">
          <cell r="C3807" t="str">
            <v>100005272</v>
          </cell>
          <cell r="D3807" t="str">
            <v>SST-11100 ACORN 03 KD VN-16KJ</v>
          </cell>
          <cell r="E3807" t="str">
            <v>ZFGD</v>
          </cell>
          <cell r="F3807" t="str">
            <v>PC</v>
          </cell>
          <cell r="G3807" t="str">
            <v>1</v>
          </cell>
          <cell r="H3807" t="str">
            <v>INDUSTRY</v>
          </cell>
          <cell r="I3807" t="str">
            <v>11</v>
          </cell>
          <cell r="J3807" t="str">
            <v>WOOD COATINGS</v>
          </cell>
          <cell r="K3807" t="str">
            <v>1109</v>
          </cell>
          <cell r="L3807" t="str">
            <v>STAIN &amp; GLAZE INTERIOR</v>
          </cell>
          <cell r="M3807" t="str">
            <v>110903</v>
          </cell>
          <cell r="N3807" t="str">
            <v>STAIN INTERIOR</v>
          </cell>
        </row>
        <row r="3808">
          <cell r="C3808" t="str">
            <v>100005273</v>
          </cell>
          <cell r="D3808" t="str">
            <v>SST-11100 ACORN 03 KD VN-160KK</v>
          </cell>
          <cell r="E3808" t="str">
            <v>ZFGD</v>
          </cell>
          <cell r="F3808" t="str">
            <v>PC</v>
          </cell>
          <cell r="G3808" t="str">
            <v>1</v>
          </cell>
          <cell r="H3808" t="str">
            <v>INDUSTRY</v>
          </cell>
          <cell r="I3808" t="str">
            <v>11</v>
          </cell>
          <cell r="J3808" t="str">
            <v>WOOD COATINGS</v>
          </cell>
          <cell r="K3808" t="str">
            <v>1109</v>
          </cell>
          <cell r="L3808" t="str">
            <v>STAIN &amp; GLAZE INTERIOR</v>
          </cell>
          <cell r="M3808" t="str">
            <v>110903</v>
          </cell>
          <cell r="N3808" t="str">
            <v>STAIN INTERIOR</v>
          </cell>
        </row>
        <row r="3809">
          <cell r="C3809" t="str">
            <v>100005274</v>
          </cell>
          <cell r="D3809" t="str">
            <v>PUP-52133 03 DH VN-20KP</v>
          </cell>
          <cell r="E3809" t="str">
            <v>ZFGD</v>
          </cell>
          <cell r="F3809" t="str">
            <v>PC</v>
          </cell>
          <cell r="G3809" t="str">
            <v>1</v>
          </cell>
          <cell r="H3809" t="str">
            <v>INDUSTRY</v>
          </cell>
          <cell r="I3809" t="str">
            <v>11</v>
          </cell>
          <cell r="J3809" t="str">
            <v>WOOD COATINGS</v>
          </cell>
          <cell r="K3809" t="str">
            <v>1103</v>
          </cell>
          <cell r="L3809" t="str">
            <v>PU</v>
          </cell>
          <cell r="M3809" t="str">
            <v>110322</v>
          </cell>
          <cell r="N3809" t="str">
            <v>PU PRIMER</v>
          </cell>
        </row>
        <row r="3810">
          <cell r="C3810" t="str">
            <v>100005275</v>
          </cell>
          <cell r="D3810" t="str">
            <v>PUC-52233 03 20 DH VN-20KP</v>
          </cell>
          <cell r="E3810" t="str">
            <v>ZFGD</v>
          </cell>
          <cell r="F3810" t="str">
            <v>PC</v>
          </cell>
          <cell r="G3810" t="str">
            <v>1</v>
          </cell>
          <cell r="H3810" t="str">
            <v>INDUSTRY</v>
          </cell>
          <cell r="I3810" t="str">
            <v>11</v>
          </cell>
          <cell r="J3810" t="str">
            <v>WOOD COATINGS</v>
          </cell>
          <cell r="K3810" t="str">
            <v>1103</v>
          </cell>
          <cell r="L3810" t="str">
            <v>PU</v>
          </cell>
          <cell r="M3810" t="str">
            <v>110319</v>
          </cell>
          <cell r="N3810" t="str">
            <v>PU COLOR</v>
          </cell>
        </row>
        <row r="3811">
          <cell r="C3811" t="str">
            <v>100005276</v>
          </cell>
          <cell r="D3811" t="str">
            <v>SST-11100 06 VC III VN-16KJ</v>
          </cell>
          <cell r="E3811" t="str">
            <v>ZFGD</v>
          </cell>
          <cell r="F3811" t="str">
            <v>PC</v>
          </cell>
          <cell r="G3811" t="str">
            <v>1</v>
          </cell>
          <cell r="H3811" t="str">
            <v>INDUSTRY</v>
          </cell>
          <cell r="I3811" t="str">
            <v>11</v>
          </cell>
          <cell r="J3811" t="str">
            <v>WOOD COATINGS</v>
          </cell>
          <cell r="K3811" t="str">
            <v>1109</v>
          </cell>
          <cell r="L3811" t="str">
            <v>STAIN &amp; GLAZE INTERIOR</v>
          </cell>
          <cell r="M3811" t="str">
            <v>110903</v>
          </cell>
          <cell r="N3811" t="str">
            <v>STAIN INTERIOR</v>
          </cell>
        </row>
        <row r="3812">
          <cell r="C3812" t="str">
            <v>100005277</v>
          </cell>
          <cell r="D3812" t="str">
            <v>SST-11100 06 VC III VN-160KK</v>
          </cell>
          <cell r="E3812" t="str">
            <v>ZFGD</v>
          </cell>
          <cell r="F3812" t="str">
            <v>PC</v>
          </cell>
          <cell r="G3812" t="str">
            <v>1</v>
          </cell>
          <cell r="H3812" t="str">
            <v>INDUSTRY</v>
          </cell>
          <cell r="I3812" t="str">
            <v>11</v>
          </cell>
          <cell r="J3812" t="str">
            <v>WOOD COATINGS</v>
          </cell>
          <cell r="K3812" t="str">
            <v>1109</v>
          </cell>
          <cell r="L3812" t="str">
            <v>STAIN &amp; GLAZE INTERIOR</v>
          </cell>
          <cell r="M3812" t="str">
            <v>110903</v>
          </cell>
          <cell r="N3812" t="str">
            <v>STAIN INTERIOR</v>
          </cell>
        </row>
        <row r="3813">
          <cell r="C3813" t="str">
            <v>100005278</v>
          </cell>
          <cell r="D3813" t="str">
            <v>NCSS-11230 NG VN-18KP</v>
          </cell>
          <cell r="E3813" t="str">
            <v>ZFGD</v>
          </cell>
          <cell r="F3813" t="str">
            <v>PC</v>
          </cell>
          <cell r="G3813" t="str">
            <v>1</v>
          </cell>
          <cell r="H3813" t="str">
            <v>INDUSTRY</v>
          </cell>
          <cell r="I3813" t="str">
            <v>11</v>
          </cell>
          <cell r="J3813" t="str">
            <v>WOOD COATINGS</v>
          </cell>
          <cell r="K3813" t="str">
            <v>1104</v>
          </cell>
          <cell r="L3813" t="str">
            <v>NC</v>
          </cell>
          <cell r="M3813" t="str">
            <v>110405</v>
          </cell>
          <cell r="N3813" t="str">
            <v>NC SYSTEM</v>
          </cell>
        </row>
        <row r="3814">
          <cell r="C3814" t="str">
            <v>100005279</v>
          </cell>
          <cell r="D3814" t="str">
            <v>NCSS-11230 NG VN-180KB</v>
          </cell>
          <cell r="E3814" t="str">
            <v>ZFGD</v>
          </cell>
          <cell r="F3814" t="str">
            <v>PC</v>
          </cell>
          <cell r="G3814" t="str">
            <v>1</v>
          </cell>
          <cell r="H3814" t="str">
            <v>INDUSTRY</v>
          </cell>
          <cell r="I3814" t="str">
            <v>11</v>
          </cell>
          <cell r="J3814" t="str">
            <v>WOOD COATINGS</v>
          </cell>
          <cell r="K3814" t="str">
            <v>1104</v>
          </cell>
          <cell r="L3814" t="str">
            <v>NC</v>
          </cell>
          <cell r="M3814" t="str">
            <v>110405</v>
          </cell>
          <cell r="N3814" t="str">
            <v>NC SYSTEM</v>
          </cell>
        </row>
        <row r="3815">
          <cell r="C3815" t="str">
            <v>100005280</v>
          </cell>
          <cell r="D3815" t="str">
            <v>NCL-11330 NG CLEAR 30 VN-18KP</v>
          </cell>
          <cell r="E3815" t="str">
            <v>ZFGD</v>
          </cell>
          <cell r="F3815" t="str">
            <v>PC</v>
          </cell>
          <cell r="G3815" t="str">
            <v>1</v>
          </cell>
          <cell r="H3815" t="str">
            <v>INDUSTRY</v>
          </cell>
          <cell r="I3815" t="str">
            <v>11</v>
          </cell>
          <cell r="J3815" t="str">
            <v>WOOD COATINGS</v>
          </cell>
          <cell r="K3815" t="str">
            <v>1104</v>
          </cell>
          <cell r="L3815" t="str">
            <v>NC</v>
          </cell>
          <cell r="M3815" t="str">
            <v>110405</v>
          </cell>
          <cell r="N3815" t="str">
            <v>NC SYSTEM</v>
          </cell>
        </row>
        <row r="3816">
          <cell r="C3816" t="str">
            <v>100005281</v>
          </cell>
          <cell r="D3816" t="str">
            <v>NCL-11330 NG CLEAR 30 VN-180KB</v>
          </cell>
          <cell r="E3816" t="str">
            <v>ZFGD</v>
          </cell>
          <cell r="F3816" t="str">
            <v>PC</v>
          </cell>
          <cell r="G3816" t="str">
            <v>1</v>
          </cell>
          <cell r="H3816" t="str">
            <v>INDUSTRY</v>
          </cell>
          <cell r="I3816" t="str">
            <v>11</v>
          </cell>
          <cell r="J3816" t="str">
            <v>WOOD COATINGS</v>
          </cell>
          <cell r="K3816" t="str">
            <v>1104</v>
          </cell>
          <cell r="L3816" t="str">
            <v>NC</v>
          </cell>
          <cell r="M3816" t="str">
            <v>110405</v>
          </cell>
          <cell r="N3816" t="str">
            <v>NC SYSTEM</v>
          </cell>
        </row>
        <row r="3817">
          <cell r="C3817" t="str">
            <v>100005284</v>
          </cell>
          <cell r="D3817" t="str">
            <v>DP-12130 7463C TL VN-18KP</v>
          </cell>
          <cell r="E3817" t="str">
            <v>ZFGD</v>
          </cell>
          <cell r="F3817" t="str">
            <v>PC</v>
          </cell>
          <cell r="G3817" t="str">
            <v>1</v>
          </cell>
          <cell r="H3817" t="str">
            <v>INDUSTRY</v>
          </cell>
          <cell r="I3817" t="str">
            <v>11</v>
          </cell>
          <cell r="J3817" t="str">
            <v>WOOD COATINGS</v>
          </cell>
          <cell r="K3817" t="str">
            <v>1104</v>
          </cell>
          <cell r="L3817" t="str">
            <v>NC</v>
          </cell>
          <cell r="M3817" t="str">
            <v>110405</v>
          </cell>
          <cell r="N3817" t="str">
            <v>NC SYSTEM</v>
          </cell>
        </row>
        <row r="3818">
          <cell r="C3818" t="str">
            <v>100005285</v>
          </cell>
          <cell r="D3818" t="str">
            <v>AP-98200 PEARL 01 PHALE VN-1K</v>
          </cell>
          <cell r="E3818" t="str">
            <v>ZFGD</v>
          </cell>
          <cell r="F3818" t="str">
            <v>PC</v>
          </cell>
          <cell r="G3818" t="str">
            <v>1</v>
          </cell>
          <cell r="H3818" t="str">
            <v>INDUSTRY</v>
          </cell>
          <cell r="I3818" t="str">
            <v>11</v>
          </cell>
          <cell r="J3818" t="str">
            <v>WOOD COATINGS</v>
          </cell>
          <cell r="K3818" t="str">
            <v>1118</v>
          </cell>
          <cell r="L3818" t="str">
            <v>COMPLEMENTARY</v>
          </cell>
          <cell r="M3818" t="str">
            <v>111802</v>
          </cell>
          <cell r="N3818" t="str">
            <v>ASOF : POWDER &amp; MATTING SOLUTION</v>
          </cell>
        </row>
        <row r="3819">
          <cell r="C3819" t="str">
            <v>100005286</v>
          </cell>
          <cell r="D3819" t="str">
            <v>AP-98200 PEARL 01 PHALE VN-4K</v>
          </cell>
          <cell r="E3819" t="str">
            <v>ZFGD</v>
          </cell>
          <cell r="F3819" t="str">
            <v>PC</v>
          </cell>
          <cell r="G3819" t="str">
            <v>1</v>
          </cell>
          <cell r="H3819" t="str">
            <v>INDUSTRY</v>
          </cell>
          <cell r="I3819" t="str">
            <v>11</v>
          </cell>
          <cell r="J3819" t="str">
            <v>WOOD COATINGS</v>
          </cell>
          <cell r="K3819" t="str">
            <v>1118</v>
          </cell>
          <cell r="L3819" t="str">
            <v>COMPLEMENTARY</v>
          </cell>
          <cell r="M3819" t="str">
            <v>111802</v>
          </cell>
          <cell r="N3819" t="str">
            <v>ASOF : POWDER &amp; MATTING SOLUTION</v>
          </cell>
        </row>
        <row r="3820">
          <cell r="C3820" t="str">
            <v>100005287</v>
          </cell>
          <cell r="D3820" t="str">
            <v>PRCC-10357 WBC POLYESTER BMC-250KK</v>
          </cell>
          <cell r="E3820" t="str">
            <v>ZFGD</v>
          </cell>
          <cell r="F3820" t="str">
            <v>PC</v>
          </cell>
          <cell r="G3820" t="str">
            <v>1</v>
          </cell>
          <cell r="H3820" t="str">
            <v>INDUSTRY</v>
          </cell>
          <cell r="I3820" t="str">
            <v>12</v>
          </cell>
          <cell r="J3820" t="str">
            <v>CAN COATINGS</v>
          </cell>
          <cell r="K3820" t="str">
            <v>1201</v>
          </cell>
          <cell r="L3820" t="str">
            <v>CAN COATINGS</v>
          </cell>
          <cell r="M3820" t="str">
            <v>120101</v>
          </cell>
          <cell r="N3820" t="str">
            <v>CAN COATINGS</v>
          </cell>
        </row>
        <row r="3821">
          <cell r="C3821" t="str">
            <v>100005290</v>
          </cell>
          <cell r="D3821" t="str">
            <v>DC-12223 LC WHITE 04 25 GR VN-18KP</v>
          </cell>
          <cell r="E3821" t="str">
            <v>ZFGD</v>
          </cell>
          <cell r="F3821" t="str">
            <v>PC</v>
          </cell>
          <cell r="G3821" t="str">
            <v>1</v>
          </cell>
          <cell r="H3821" t="str">
            <v>INDUSTRY</v>
          </cell>
          <cell r="I3821" t="str">
            <v>11</v>
          </cell>
          <cell r="J3821" t="str">
            <v>WOOD COATINGS</v>
          </cell>
          <cell r="K3821" t="str">
            <v>1104</v>
          </cell>
          <cell r="L3821" t="str">
            <v>NC</v>
          </cell>
          <cell r="M3821" t="str">
            <v>110405</v>
          </cell>
          <cell r="N3821" t="str">
            <v>NC SYSTEM</v>
          </cell>
        </row>
        <row r="3822">
          <cell r="C3822" t="str">
            <v>100005291</v>
          </cell>
          <cell r="D3822" t="str">
            <v>PCA-31102 BLUE OR PASTE-4K</v>
          </cell>
          <cell r="E3822" t="str">
            <v>ZFGD</v>
          </cell>
          <cell r="F3822" t="str">
            <v>PC</v>
          </cell>
          <cell r="G3822" t="str">
            <v>1</v>
          </cell>
          <cell r="H3822" t="str">
            <v>INDUSTRY</v>
          </cell>
          <cell r="I3822" t="str">
            <v>11</v>
          </cell>
          <cell r="J3822" t="str">
            <v>WOOD COATINGS</v>
          </cell>
          <cell r="K3822" t="str">
            <v>1118</v>
          </cell>
          <cell r="L3822" t="str">
            <v>COMPLEMENTARY</v>
          </cell>
          <cell r="M3822" t="str">
            <v>111807</v>
          </cell>
          <cell r="N3822" t="str">
            <v>PASTA</v>
          </cell>
        </row>
        <row r="3823">
          <cell r="C3823" t="str">
            <v>100005292</v>
          </cell>
          <cell r="D3823" t="str">
            <v>PRCC-20324 POLYESTER VARNISH-200KK</v>
          </cell>
          <cell r="E3823" t="str">
            <v>ZFGD</v>
          </cell>
          <cell r="F3823" t="str">
            <v>PC</v>
          </cell>
          <cell r="G3823" t="str">
            <v>1</v>
          </cell>
          <cell r="H3823" t="str">
            <v>INDUSTRY</v>
          </cell>
          <cell r="I3823" t="str">
            <v>12</v>
          </cell>
          <cell r="J3823" t="str">
            <v>CAN COATINGS</v>
          </cell>
          <cell r="K3823" t="str">
            <v>1201</v>
          </cell>
          <cell r="L3823" t="str">
            <v>CAN COATINGS</v>
          </cell>
          <cell r="M3823" t="str">
            <v>120101</v>
          </cell>
          <cell r="N3823" t="str">
            <v>CAN COATINGS</v>
          </cell>
        </row>
        <row r="3824">
          <cell r="C3824" t="str">
            <v>100005293</v>
          </cell>
          <cell r="D3824" t="str">
            <v>PUL-53306 AC EX CLEAR 20 DN VN-20LP</v>
          </cell>
          <cell r="E3824" t="str">
            <v>ZFGD</v>
          </cell>
          <cell r="F3824" t="str">
            <v>PC</v>
          </cell>
          <cell r="G3824" t="str">
            <v>1</v>
          </cell>
          <cell r="H3824" t="str">
            <v>INDUSTRY</v>
          </cell>
          <cell r="I3824" t="str">
            <v>11</v>
          </cell>
          <cell r="J3824" t="str">
            <v>WOOD COATINGS</v>
          </cell>
          <cell r="K3824" t="str">
            <v>1103</v>
          </cell>
          <cell r="L3824" t="str">
            <v>PU</v>
          </cell>
          <cell r="M3824" t="str">
            <v>110321</v>
          </cell>
          <cell r="N3824" t="str">
            <v>PU LACQUER</v>
          </cell>
        </row>
        <row r="3825">
          <cell r="C3825" t="str">
            <v>100005294</v>
          </cell>
          <cell r="D3825" t="str">
            <v>TOL-76301 WHITE OIL IP VN-16KJ</v>
          </cell>
          <cell r="E3825" t="str">
            <v>ZFGD</v>
          </cell>
          <cell r="F3825" t="str">
            <v>PC</v>
          </cell>
          <cell r="G3825" t="str">
            <v>1</v>
          </cell>
          <cell r="H3825" t="str">
            <v>INDUSTRY</v>
          </cell>
          <cell r="I3825" t="str">
            <v>11</v>
          </cell>
          <cell r="J3825" t="str">
            <v>WOOD COATINGS</v>
          </cell>
          <cell r="K3825" t="str">
            <v>1101</v>
          </cell>
          <cell r="L3825" t="str">
            <v>ALKYD OIL</v>
          </cell>
          <cell r="M3825" t="str">
            <v>110101</v>
          </cell>
          <cell r="N3825" t="str">
            <v>ALKYD &amp; OIL SYSTEM</v>
          </cell>
        </row>
        <row r="3826">
          <cell r="C3826" t="str">
            <v>100005295</v>
          </cell>
          <cell r="D3826" t="str">
            <v>PST-12100 WHITE OIL IP VN-16KJ</v>
          </cell>
          <cell r="E3826" t="str">
            <v>ZFGD</v>
          </cell>
          <cell r="F3826" t="str">
            <v>PC</v>
          </cell>
          <cell r="G3826" t="str">
            <v>1</v>
          </cell>
          <cell r="H3826" t="str">
            <v>INDUSTRY</v>
          </cell>
          <cell r="I3826" t="str">
            <v>11</v>
          </cell>
          <cell r="J3826" t="str">
            <v>WOOD COATINGS</v>
          </cell>
          <cell r="K3826" t="str">
            <v>1101</v>
          </cell>
          <cell r="L3826" t="str">
            <v>ALKYD OIL</v>
          </cell>
          <cell r="M3826" t="str">
            <v>110102</v>
          </cell>
          <cell r="N3826" t="str">
            <v>STAIN EXTERIOR</v>
          </cell>
        </row>
        <row r="3827">
          <cell r="C3827" t="str">
            <v>100005296</v>
          </cell>
          <cell r="D3827" t="str">
            <v>NCL-11329 SR CLEAR 30 VN-18KP</v>
          </cell>
          <cell r="E3827" t="str">
            <v>ZFGD</v>
          </cell>
          <cell r="F3827" t="str">
            <v>PC</v>
          </cell>
          <cell r="G3827" t="str">
            <v>1</v>
          </cell>
          <cell r="H3827" t="str">
            <v>INDUSTRY</v>
          </cell>
          <cell r="I3827" t="str">
            <v>11</v>
          </cell>
          <cell r="J3827" t="str">
            <v>WOOD COATINGS</v>
          </cell>
          <cell r="K3827" t="str">
            <v>1104</v>
          </cell>
          <cell r="L3827" t="str">
            <v>NC</v>
          </cell>
          <cell r="M3827" t="str">
            <v>110405</v>
          </cell>
          <cell r="N3827" t="str">
            <v>NC SYSTEM</v>
          </cell>
        </row>
        <row r="3828">
          <cell r="C3828" t="str">
            <v>100005297</v>
          </cell>
          <cell r="D3828" t="str">
            <v>DC-12230 NG 7463C TL VN-18KP</v>
          </cell>
          <cell r="E3828" t="str">
            <v>ZFGD</v>
          </cell>
          <cell r="F3828" t="str">
            <v>PC</v>
          </cell>
          <cell r="G3828" t="str">
            <v>1</v>
          </cell>
          <cell r="H3828" t="str">
            <v>INDUSTRY</v>
          </cell>
          <cell r="I3828" t="str">
            <v>11</v>
          </cell>
          <cell r="J3828" t="str">
            <v>WOOD COATINGS</v>
          </cell>
          <cell r="K3828" t="str">
            <v>1104</v>
          </cell>
          <cell r="L3828" t="str">
            <v>NC</v>
          </cell>
          <cell r="M3828" t="str">
            <v>110405</v>
          </cell>
          <cell r="N3828" t="str">
            <v>NC SYSTEM</v>
          </cell>
        </row>
        <row r="3829">
          <cell r="C3829" t="str">
            <v>100005298</v>
          </cell>
          <cell r="D3829" t="str">
            <v>THNC-31-20LJ</v>
          </cell>
          <cell r="E3829" t="str">
            <v>ZFGD</v>
          </cell>
          <cell r="F3829" t="str">
            <v>PC</v>
          </cell>
          <cell r="G3829" t="str">
            <v>1</v>
          </cell>
          <cell r="H3829" t="str">
            <v>INDUSTRY</v>
          </cell>
          <cell r="I3829" t="str">
            <v>14</v>
          </cell>
          <cell r="J3829" t="str">
            <v>THINNER</v>
          </cell>
          <cell r="K3829" t="str">
            <v>1412</v>
          </cell>
          <cell r="L3829" t="str">
            <v>THINNER NC</v>
          </cell>
          <cell r="M3829" t="str">
            <v>141205</v>
          </cell>
          <cell r="N3829" t="str">
            <v>THINNER NC</v>
          </cell>
        </row>
        <row r="3830">
          <cell r="C3830" t="str">
            <v>100005299</v>
          </cell>
          <cell r="D3830" t="str">
            <v>THNC-31-30LJ</v>
          </cell>
          <cell r="E3830" t="str">
            <v>ZFGD</v>
          </cell>
          <cell r="F3830" t="str">
            <v>PC</v>
          </cell>
          <cell r="G3830" t="str">
            <v>1</v>
          </cell>
          <cell r="H3830" t="str">
            <v>INDUSTRY</v>
          </cell>
          <cell r="I3830" t="str">
            <v>14</v>
          </cell>
          <cell r="J3830" t="str">
            <v>THINNER</v>
          </cell>
          <cell r="K3830" t="str">
            <v>1412</v>
          </cell>
          <cell r="L3830" t="str">
            <v>THINNER NC</v>
          </cell>
          <cell r="M3830" t="str">
            <v>141205</v>
          </cell>
          <cell r="N3830" t="str">
            <v>THINNER NC</v>
          </cell>
        </row>
        <row r="3831">
          <cell r="C3831" t="str">
            <v>100005300</v>
          </cell>
          <cell r="D3831" t="str">
            <v>THNC-31-200LK</v>
          </cell>
          <cell r="E3831" t="str">
            <v>ZFGD</v>
          </cell>
          <cell r="F3831" t="str">
            <v>PC</v>
          </cell>
          <cell r="G3831" t="str">
            <v>1</v>
          </cell>
          <cell r="H3831" t="str">
            <v>INDUSTRY</v>
          </cell>
          <cell r="I3831" t="str">
            <v>14</v>
          </cell>
          <cell r="J3831" t="str">
            <v>THINNER</v>
          </cell>
          <cell r="K3831" t="str">
            <v>1412</v>
          </cell>
          <cell r="L3831" t="str">
            <v>THINNER NC</v>
          </cell>
          <cell r="M3831" t="str">
            <v>141205</v>
          </cell>
          <cell r="N3831" t="str">
            <v>THINNER NC</v>
          </cell>
        </row>
        <row r="3832">
          <cell r="C3832" t="str">
            <v>100005301</v>
          </cell>
          <cell r="D3832" t="str">
            <v>THNC-35-20LJ</v>
          </cell>
          <cell r="E3832" t="str">
            <v>ZFGD</v>
          </cell>
          <cell r="F3832" t="str">
            <v>PC</v>
          </cell>
          <cell r="G3832" t="str">
            <v>1</v>
          </cell>
          <cell r="H3832" t="str">
            <v>INDUSTRY</v>
          </cell>
          <cell r="I3832" t="str">
            <v>14</v>
          </cell>
          <cell r="J3832" t="str">
            <v>THINNER</v>
          </cell>
          <cell r="K3832" t="str">
            <v>1412</v>
          </cell>
          <cell r="L3832" t="str">
            <v>THINNER NC</v>
          </cell>
          <cell r="M3832" t="str">
            <v>141205</v>
          </cell>
          <cell r="N3832" t="str">
            <v>THINNER NC</v>
          </cell>
        </row>
        <row r="3833">
          <cell r="C3833" t="str">
            <v>100005302</v>
          </cell>
          <cell r="D3833" t="str">
            <v>THNC-35-30LJ</v>
          </cell>
          <cell r="E3833" t="str">
            <v>ZFGD</v>
          </cell>
          <cell r="F3833" t="str">
            <v>PC</v>
          </cell>
          <cell r="G3833" t="str">
            <v>1</v>
          </cell>
          <cell r="H3833" t="str">
            <v>INDUSTRY</v>
          </cell>
          <cell r="I3833" t="str">
            <v>14</v>
          </cell>
          <cell r="J3833" t="str">
            <v>THINNER</v>
          </cell>
          <cell r="K3833" t="str">
            <v>1412</v>
          </cell>
          <cell r="L3833" t="str">
            <v>THINNER NC</v>
          </cell>
          <cell r="M3833" t="str">
            <v>141205</v>
          </cell>
          <cell r="N3833" t="str">
            <v>THINNER NC</v>
          </cell>
        </row>
        <row r="3834">
          <cell r="C3834" t="str">
            <v>100005303</v>
          </cell>
          <cell r="D3834" t="str">
            <v>THNC-35-200LK</v>
          </cell>
          <cell r="E3834" t="str">
            <v>ZFGD</v>
          </cell>
          <cell r="F3834" t="str">
            <v>PC</v>
          </cell>
          <cell r="G3834" t="str">
            <v>1</v>
          </cell>
          <cell r="H3834" t="str">
            <v>INDUSTRY</v>
          </cell>
          <cell r="I3834" t="str">
            <v>14</v>
          </cell>
          <cell r="J3834" t="str">
            <v>THINNER</v>
          </cell>
          <cell r="K3834" t="str">
            <v>1412</v>
          </cell>
          <cell r="L3834" t="str">
            <v>THINNER NC</v>
          </cell>
          <cell r="M3834" t="str">
            <v>141205</v>
          </cell>
          <cell r="N3834" t="str">
            <v>THINNER NC</v>
          </cell>
        </row>
        <row r="3835">
          <cell r="C3835" t="str">
            <v>100005304</v>
          </cell>
          <cell r="D3835" t="str">
            <v>THNC-51-20LJ</v>
          </cell>
          <cell r="E3835" t="str">
            <v>ZFGD</v>
          </cell>
          <cell r="F3835" t="str">
            <v>PC</v>
          </cell>
          <cell r="G3835" t="str">
            <v>1</v>
          </cell>
          <cell r="H3835" t="str">
            <v>INDUSTRY</v>
          </cell>
          <cell r="I3835" t="str">
            <v>14</v>
          </cell>
          <cell r="J3835" t="str">
            <v>THINNER</v>
          </cell>
          <cell r="K3835" t="str">
            <v>1412</v>
          </cell>
          <cell r="L3835" t="str">
            <v>THINNER NC</v>
          </cell>
          <cell r="M3835" t="str">
            <v>141205</v>
          </cell>
          <cell r="N3835" t="str">
            <v>THINNER NC</v>
          </cell>
        </row>
        <row r="3836">
          <cell r="C3836" t="str">
            <v>100005305</v>
          </cell>
          <cell r="D3836" t="str">
            <v>THNC-51-30LJ</v>
          </cell>
          <cell r="E3836" t="str">
            <v>ZFGD</v>
          </cell>
          <cell r="F3836" t="str">
            <v>PC</v>
          </cell>
          <cell r="G3836" t="str">
            <v>1</v>
          </cell>
          <cell r="H3836" t="str">
            <v>INDUSTRY</v>
          </cell>
          <cell r="I3836" t="str">
            <v>14</v>
          </cell>
          <cell r="J3836" t="str">
            <v>THINNER</v>
          </cell>
          <cell r="K3836" t="str">
            <v>1412</v>
          </cell>
          <cell r="L3836" t="str">
            <v>THINNER NC</v>
          </cell>
          <cell r="M3836" t="str">
            <v>141205</v>
          </cell>
          <cell r="N3836" t="str">
            <v>THINNER NC</v>
          </cell>
        </row>
        <row r="3837">
          <cell r="C3837" t="str">
            <v>100005306</v>
          </cell>
          <cell r="D3837" t="str">
            <v>THNC-51-200LK</v>
          </cell>
          <cell r="E3837" t="str">
            <v>ZFGD</v>
          </cell>
          <cell r="F3837" t="str">
            <v>PC</v>
          </cell>
          <cell r="G3837" t="str">
            <v>1</v>
          </cell>
          <cell r="H3837" t="str">
            <v>INDUSTRY</v>
          </cell>
          <cell r="I3837" t="str">
            <v>14</v>
          </cell>
          <cell r="J3837" t="str">
            <v>THINNER</v>
          </cell>
          <cell r="K3837" t="str">
            <v>1412</v>
          </cell>
          <cell r="L3837" t="str">
            <v>THINNER NC</v>
          </cell>
          <cell r="M3837" t="str">
            <v>141205</v>
          </cell>
          <cell r="N3837" t="str">
            <v>THINNER NC</v>
          </cell>
        </row>
        <row r="3838">
          <cell r="C3838" t="str">
            <v>100005307</v>
          </cell>
          <cell r="D3838" t="str">
            <v>DC-12230 WHITE 30 VN-18KP</v>
          </cell>
          <cell r="E3838" t="str">
            <v>ZFGD</v>
          </cell>
          <cell r="F3838" t="str">
            <v>PC</v>
          </cell>
          <cell r="G3838" t="str">
            <v>1</v>
          </cell>
          <cell r="H3838" t="str">
            <v>INDUSTRY</v>
          </cell>
          <cell r="I3838" t="str">
            <v>11</v>
          </cell>
          <cell r="J3838" t="str">
            <v>WOOD COATINGS</v>
          </cell>
          <cell r="K3838" t="str">
            <v>1104</v>
          </cell>
          <cell r="L3838" t="str">
            <v>NC</v>
          </cell>
          <cell r="M3838" t="str">
            <v>110405</v>
          </cell>
          <cell r="N3838" t="str">
            <v>NC SYSTEM</v>
          </cell>
        </row>
        <row r="3839">
          <cell r="C3839" t="str">
            <v>100005308</v>
          </cell>
          <cell r="D3839" t="str">
            <v>DC-12230 WHITE 30 VN-180KB</v>
          </cell>
          <cell r="E3839" t="str">
            <v>ZFGD</v>
          </cell>
          <cell r="F3839" t="str">
            <v>PC</v>
          </cell>
          <cell r="G3839" t="str">
            <v>1</v>
          </cell>
          <cell r="H3839" t="str">
            <v>INDUSTRY</v>
          </cell>
          <cell r="I3839" t="str">
            <v>11</v>
          </cell>
          <cell r="J3839" t="str">
            <v>WOOD COATINGS</v>
          </cell>
          <cell r="K3839" t="str">
            <v>1104</v>
          </cell>
          <cell r="L3839" t="str">
            <v>NC</v>
          </cell>
          <cell r="M3839" t="str">
            <v>110405</v>
          </cell>
          <cell r="N3839" t="str">
            <v>NC SYSTEM</v>
          </cell>
        </row>
        <row r="3840">
          <cell r="C3840" t="str">
            <v>100005309</v>
          </cell>
          <cell r="D3840" t="str">
            <v>DP-12130 WHITE VN-18KP</v>
          </cell>
          <cell r="E3840" t="str">
            <v>ZFGD</v>
          </cell>
          <cell r="F3840" t="str">
            <v>PC</v>
          </cell>
          <cell r="G3840" t="str">
            <v>1</v>
          </cell>
          <cell r="H3840" t="str">
            <v>INDUSTRY</v>
          </cell>
          <cell r="I3840" t="str">
            <v>11</v>
          </cell>
          <cell r="J3840" t="str">
            <v>WOOD COATINGS</v>
          </cell>
          <cell r="K3840" t="str">
            <v>1104</v>
          </cell>
          <cell r="L3840" t="str">
            <v>NC</v>
          </cell>
          <cell r="M3840" t="str">
            <v>110405</v>
          </cell>
          <cell r="N3840" t="str">
            <v>NC SYSTEM</v>
          </cell>
        </row>
        <row r="3841">
          <cell r="C3841" t="str">
            <v>100005310</v>
          </cell>
          <cell r="D3841" t="str">
            <v>DP-12130 WHITE VN-180KB</v>
          </cell>
          <cell r="E3841" t="str">
            <v>ZFGD</v>
          </cell>
          <cell r="F3841" t="str">
            <v>PC</v>
          </cell>
          <cell r="G3841" t="str">
            <v>1</v>
          </cell>
          <cell r="H3841" t="str">
            <v>INDUSTRY</v>
          </cell>
          <cell r="I3841" t="str">
            <v>11</v>
          </cell>
          <cell r="J3841" t="str">
            <v>WOOD COATINGS</v>
          </cell>
          <cell r="K3841" t="str">
            <v>1104</v>
          </cell>
          <cell r="L3841" t="str">
            <v>NC</v>
          </cell>
          <cell r="M3841" t="str">
            <v>110405</v>
          </cell>
          <cell r="N3841" t="str">
            <v>NC SYSTEM</v>
          </cell>
        </row>
        <row r="3842">
          <cell r="C3842" t="str">
            <v>100005311</v>
          </cell>
          <cell r="D3842" t="str">
            <v>WBP-64115 DLG SC VN-20KP</v>
          </cell>
          <cell r="E3842" t="str">
            <v>ZFGD</v>
          </cell>
          <cell r="F3842" t="str">
            <v>PC</v>
          </cell>
          <cell r="G3842" t="str">
            <v>1</v>
          </cell>
          <cell r="H3842" t="str">
            <v>INDUSTRY</v>
          </cell>
          <cell r="I3842" t="str">
            <v>11</v>
          </cell>
          <cell r="J3842" t="str">
            <v>WOOD COATINGS</v>
          </cell>
          <cell r="K3842" t="str">
            <v>1119</v>
          </cell>
          <cell r="L3842" t="str">
            <v>WATERBASED</v>
          </cell>
          <cell r="M3842" t="str">
            <v>111901</v>
          </cell>
          <cell r="N3842" t="str">
            <v>WATERBASED SYSTEM EXTERIOR</v>
          </cell>
        </row>
        <row r="3843">
          <cell r="C3843" t="str">
            <v>100005312</v>
          </cell>
          <cell r="D3843" t="str">
            <v>WBP-64115 LTAP SC VN-20KP</v>
          </cell>
          <cell r="E3843" t="str">
            <v>ZFGD</v>
          </cell>
          <cell r="F3843" t="str">
            <v>PC</v>
          </cell>
          <cell r="G3843" t="str">
            <v>1</v>
          </cell>
          <cell r="H3843" t="str">
            <v>INDUSTRY</v>
          </cell>
          <cell r="I3843" t="str">
            <v>11</v>
          </cell>
          <cell r="J3843" t="str">
            <v>WOOD COATINGS</v>
          </cell>
          <cell r="K3843" t="str">
            <v>1119</v>
          </cell>
          <cell r="L3843" t="str">
            <v>WATERBASED</v>
          </cell>
          <cell r="M3843" t="str">
            <v>111901</v>
          </cell>
          <cell r="N3843" t="str">
            <v>WATERBASED SYSTEM EXTERIOR</v>
          </cell>
        </row>
        <row r="3844">
          <cell r="C3844" t="str">
            <v>100005313</v>
          </cell>
          <cell r="D3844" t="str">
            <v>WBP-64115 CSN SC VN-20KP</v>
          </cell>
          <cell r="E3844" t="str">
            <v>ZFGD</v>
          </cell>
          <cell r="F3844" t="str">
            <v>PC</v>
          </cell>
          <cell r="G3844" t="str">
            <v>1</v>
          </cell>
          <cell r="H3844" t="str">
            <v>INDUSTRY</v>
          </cell>
          <cell r="I3844" t="str">
            <v>11</v>
          </cell>
          <cell r="J3844" t="str">
            <v>WOOD COATINGS</v>
          </cell>
          <cell r="K3844" t="str">
            <v>1119</v>
          </cell>
          <cell r="L3844" t="str">
            <v>WATERBASED</v>
          </cell>
          <cell r="M3844" t="str">
            <v>111901</v>
          </cell>
          <cell r="N3844" t="str">
            <v>WATERBASED SYSTEM EXTERIOR</v>
          </cell>
        </row>
        <row r="3845">
          <cell r="C3845" t="str">
            <v>100005314</v>
          </cell>
          <cell r="D3845" t="str">
            <v>SST-11100 BROWN TIH VN-16KJ</v>
          </cell>
          <cell r="E3845" t="str">
            <v>ZFGD</v>
          </cell>
          <cell r="F3845" t="str">
            <v>PC</v>
          </cell>
          <cell r="G3845" t="str">
            <v>1</v>
          </cell>
          <cell r="H3845" t="str">
            <v>INDUSTRY</v>
          </cell>
          <cell r="I3845" t="str">
            <v>11</v>
          </cell>
          <cell r="J3845" t="str">
            <v>WOOD COATINGS</v>
          </cell>
          <cell r="K3845" t="str">
            <v>1109</v>
          </cell>
          <cell r="L3845" t="str">
            <v>STAIN &amp; GLAZE INTERIOR</v>
          </cell>
          <cell r="M3845" t="str">
            <v>110903</v>
          </cell>
          <cell r="N3845" t="str">
            <v>STAIN INTERIOR</v>
          </cell>
        </row>
        <row r="3846">
          <cell r="C3846" t="str">
            <v>100005315</v>
          </cell>
          <cell r="D3846" t="str">
            <v>SST-11100 BROWN TIH VN-160KK</v>
          </cell>
          <cell r="E3846" t="str">
            <v>ZFGD</v>
          </cell>
          <cell r="F3846" t="str">
            <v>PC</v>
          </cell>
          <cell r="G3846" t="str">
            <v>1</v>
          </cell>
          <cell r="H3846" t="str">
            <v>INDUSTRY</v>
          </cell>
          <cell r="I3846" t="str">
            <v>11</v>
          </cell>
          <cell r="J3846" t="str">
            <v>WOOD COATINGS</v>
          </cell>
          <cell r="K3846" t="str">
            <v>1109</v>
          </cell>
          <cell r="L3846" t="str">
            <v>STAIN &amp; GLAZE INTERIOR</v>
          </cell>
          <cell r="M3846" t="str">
            <v>110903</v>
          </cell>
          <cell r="N3846" t="str">
            <v>STAIN INTERIOR</v>
          </cell>
        </row>
        <row r="3847">
          <cell r="C3847" t="str">
            <v>100005316</v>
          </cell>
          <cell r="D3847" t="str">
            <v>DC-12230 WHITE VHG 40 HF VN-18KP</v>
          </cell>
          <cell r="E3847" t="str">
            <v>ZFGD</v>
          </cell>
          <cell r="F3847" t="str">
            <v>PC</v>
          </cell>
          <cell r="G3847" t="str">
            <v>1</v>
          </cell>
          <cell r="H3847" t="str">
            <v>INDUSTRY</v>
          </cell>
          <cell r="I3847" t="str">
            <v>11</v>
          </cell>
          <cell r="J3847" t="str">
            <v>WOOD COATINGS</v>
          </cell>
          <cell r="K3847" t="str">
            <v>1104</v>
          </cell>
          <cell r="L3847" t="str">
            <v>NC</v>
          </cell>
          <cell r="M3847" t="str">
            <v>110405</v>
          </cell>
          <cell r="N3847" t="str">
            <v>NC SYSTEM</v>
          </cell>
        </row>
        <row r="3848">
          <cell r="C3848" t="str">
            <v>100005317</v>
          </cell>
          <cell r="D3848" t="str">
            <v>WBL-61201 NF CLEAR VN-20KP</v>
          </cell>
          <cell r="E3848" t="str">
            <v>ZFGD</v>
          </cell>
          <cell r="F3848" t="str">
            <v>PC</v>
          </cell>
          <cell r="G3848" t="str">
            <v>1</v>
          </cell>
          <cell r="H3848" t="str">
            <v>INDUSTRY</v>
          </cell>
          <cell r="I3848" t="str">
            <v>11</v>
          </cell>
          <cell r="J3848" t="str">
            <v>WOOD COATINGS</v>
          </cell>
          <cell r="K3848" t="str">
            <v>1119</v>
          </cell>
          <cell r="L3848" t="str">
            <v>WATERBASED</v>
          </cell>
          <cell r="M3848" t="str">
            <v>111902</v>
          </cell>
          <cell r="N3848" t="str">
            <v>WATERBASED SYSTEM INTERIOR</v>
          </cell>
        </row>
        <row r="3849">
          <cell r="C3849" t="str">
            <v>100005318</v>
          </cell>
          <cell r="D3849" t="str">
            <v>UVP-60501 XD GR VN-20KP</v>
          </cell>
          <cell r="E3849" t="str">
            <v>ZFGD</v>
          </cell>
          <cell r="F3849" t="str">
            <v>PC</v>
          </cell>
          <cell r="G3849" t="str">
            <v>1</v>
          </cell>
          <cell r="H3849" t="str">
            <v>INDUSTRY</v>
          </cell>
          <cell r="I3849" t="str">
            <v>11</v>
          </cell>
          <cell r="J3849" t="str">
            <v>WOOD COATINGS</v>
          </cell>
          <cell r="K3849" t="str">
            <v>1106</v>
          </cell>
          <cell r="L3849" t="str">
            <v>UV</v>
          </cell>
          <cell r="M3849" t="str">
            <v>110604</v>
          </cell>
          <cell r="N3849" t="str">
            <v>UV PRIMER</v>
          </cell>
        </row>
        <row r="3850">
          <cell r="C3850" t="str">
            <v>100005319</v>
          </cell>
          <cell r="D3850" t="str">
            <v>DC-12229 LC XD 01 20 GR VN-18KP</v>
          </cell>
          <cell r="E3850" t="str">
            <v>ZFGD</v>
          </cell>
          <cell r="F3850" t="str">
            <v>PC</v>
          </cell>
          <cell r="G3850" t="str">
            <v>1</v>
          </cell>
          <cell r="H3850" t="str">
            <v>INDUSTRY</v>
          </cell>
          <cell r="I3850" t="str">
            <v>11</v>
          </cell>
          <cell r="J3850" t="str">
            <v>WOOD COATINGS</v>
          </cell>
          <cell r="K3850" t="str">
            <v>1104</v>
          </cell>
          <cell r="L3850" t="str">
            <v>NC</v>
          </cell>
          <cell r="M3850" t="str">
            <v>110405</v>
          </cell>
          <cell r="N3850" t="str">
            <v>NC SYSTEM</v>
          </cell>
        </row>
        <row r="3851">
          <cell r="C3851" t="str">
            <v>100005320</v>
          </cell>
          <cell r="D3851" t="str">
            <v>PUC-54205 SW 7627 40 TL VN-20KP</v>
          </cell>
          <cell r="E3851" t="str">
            <v>ZFGD</v>
          </cell>
          <cell r="F3851" t="str">
            <v>PC</v>
          </cell>
          <cell r="G3851" t="str">
            <v>1</v>
          </cell>
          <cell r="H3851" t="str">
            <v>INDUSTRY</v>
          </cell>
          <cell r="I3851" t="str">
            <v>11</v>
          </cell>
          <cell r="J3851" t="str">
            <v>WOOD COATINGS</v>
          </cell>
          <cell r="K3851" t="str">
            <v>1103</v>
          </cell>
          <cell r="L3851" t="str">
            <v>PU</v>
          </cell>
          <cell r="M3851" t="str">
            <v>110319</v>
          </cell>
          <cell r="N3851" t="str">
            <v>PU COLOR</v>
          </cell>
        </row>
        <row r="3852">
          <cell r="C3852" t="str">
            <v>100005321</v>
          </cell>
          <cell r="D3852" t="str">
            <v>PUC-54206 AC EX SW 9150 40 TL VN-18KP</v>
          </cell>
          <cell r="E3852" t="str">
            <v>ZFGD</v>
          </cell>
          <cell r="F3852" t="str">
            <v>PC</v>
          </cell>
          <cell r="G3852" t="str">
            <v>1</v>
          </cell>
          <cell r="H3852" t="str">
            <v>INDUSTRY</v>
          </cell>
          <cell r="I3852" t="str">
            <v>11</v>
          </cell>
          <cell r="J3852" t="str">
            <v>WOOD COATINGS</v>
          </cell>
          <cell r="K3852" t="str">
            <v>1103</v>
          </cell>
          <cell r="L3852" t="str">
            <v>PU</v>
          </cell>
          <cell r="M3852" t="str">
            <v>110319</v>
          </cell>
          <cell r="N3852" t="str">
            <v>PU COLOR</v>
          </cell>
        </row>
        <row r="3853">
          <cell r="C3853" t="str">
            <v>100005322</v>
          </cell>
          <cell r="D3853" t="str">
            <v>PUC-54205 SW 7023 40 TL VN-20KP</v>
          </cell>
          <cell r="E3853" t="str">
            <v>ZFGD</v>
          </cell>
          <cell r="F3853" t="str">
            <v>PC</v>
          </cell>
          <cell r="G3853" t="str">
            <v>1</v>
          </cell>
          <cell r="H3853" t="str">
            <v>INDUSTRY</v>
          </cell>
          <cell r="I3853" t="str">
            <v>11</v>
          </cell>
          <cell r="J3853" t="str">
            <v>WOOD COATINGS</v>
          </cell>
          <cell r="K3853" t="str">
            <v>1103</v>
          </cell>
          <cell r="L3853" t="str">
            <v>PU</v>
          </cell>
          <cell r="M3853" t="str">
            <v>110319</v>
          </cell>
          <cell r="N3853" t="str">
            <v>PU COLOR</v>
          </cell>
        </row>
        <row r="3854">
          <cell r="C3854" t="str">
            <v>100005323</v>
          </cell>
          <cell r="D3854" t="str">
            <v>PUC-54206 AC EX SW 7069 40 TL VN-18KP</v>
          </cell>
          <cell r="E3854" t="str">
            <v>ZFGD</v>
          </cell>
          <cell r="F3854" t="str">
            <v>PC</v>
          </cell>
          <cell r="G3854" t="str">
            <v>1</v>
          </cell>
          <cell r="H3854" t="str">
            <v>INDUSTRY</v>
          </cell>
          <cell r="I3854" t="str">
            <v>11</v>
          </cell>
          <cell r="J3854" t="str">
            <v>WOOD COATINGS</v>
          </cell>
          <cell r="K3854" t="str">
            <v>1103</v>
          </cell>
          <cell r="L3854" t="str">
            <v>PU</v>
          </cell>
          <cell r="M3854" t="str">
            <v>110319</v>
          </cell>
          <cell r="N3854" t="str">
            <v>PU COLOR</v>
          </cell>
        </row>
        <row r="3855">
          <cell r="C3855" t="str">
            <v>100005324</v>
          </cell>
          <cell r="D3855" t="str">
            <v>PUC-52239 YELLOW STARBUCKS 10 IP VN-20KP</v>
          </cell>
          <cell r="E3855" t="str">
            <v>ZFGD</v>
          </cell>
          <cell r="F3855" t="str">
            <v>PC</v>
          </cell>
          <cell r="G3855" t="str">
            <v>1</v>
          </cell>
          <cell r="H3855" t="str">
            <v>INDUSTRY</v>
          </cell>
          <cell r="I3855" t="str">
            <v>11</v>
          </cell>
          <cell r="J3855" t="str">
            <v>WOOD COATINGS</v>
          </cell>
          <cell r="K3855" t="str">
            <v>1103</v>
          </cell>
          <cell r="L3855" t="str">
            <v>PU</v>
          </cell>
          <cell r="M3855" t="str">
            <v>110319</v>
          </cell>
          <cell r="N3855" t="str">
            <v>PU COLOR</v>
          </cell>
        </row>
        <row r="3856">
          <cell r="C3856" t="str">
            <v>100005325</v>
          </cell>
          <cell r="D3856" t="str">
            <v>PUC-52239 RED STARBUCKS 10 IP VN-20KP</v>
          </cell>
          <cell r="E3856" t="str">
            <v>ZFGD</v>
          </cell>
          <cell r="F3856" t="str">
            <v>PC</v>
          </cell>
          <cell r="G3856" t="str">
            <v>1</v>
          </cell>
          <cell r="H3856" t="str">
            <v>INDUSTRY</v>
          </cell>
          <cell r="I3856" t="str">
            <v>11</v>
          </cell>
          <cell r="J3856" t="str">
            <v>WOOD COATINGS</v>
          </cell>
          <cell r="K3856" t="str">
            <v>1103</v>
          </cell>
          <cell r="L3856" t="str">
            <v>PU</v>
          </cell>
          <cell r="M3856" t="str">
            <v>110319</v>
          </cell>
          <cell r="N3856" t="str">
            <v>PU COLOR</v>
          </cell>
        </row>
        <row r="3857">
          <cell r="C3857" t="str">
            <v>100005326</v>
          </cell>
          <cell r="D3857" t="str">
            <v>UVP-60501 BL GR VN-20KP</v>
          </cell>
          <cell r="E3857" t="str">
            <v>ZFGD</v>
          </cell>
          <cell r="F3857" t="str">
            <v>PC</v>
          </cell>
          <cell r="G3857" t="str">
            <v>1</v>
          </cell>
          <cell r="H3857" t="str">
            <v>INDUSTRY</v>
          </cell>
          <cell r="I3857" t="str">
            <v>11</v>
          </cell>
          <cell r="J3857" t="str">
            <v>WOOD COATINGS</v>
          </cell>
          <cell r="K3857" t="str">
            <v>1106</v>
          </cell>
          <cell r="L3857" t="str">
            <v>UV</v>
          </cell>
          <cell r="M3857" t="str">
            <v>110604</v>
          </cell>
          <cell r="N3857" t="str">
            <v>UV PRIMER</v>
          </cell>
        </row>
        <row r="3858">
          <cell r="C3858" t="str">
            <v>100005327</v>
          </cell>
          <cell r="D3858" t="str">
            <v>DC-12229 LC BK 01 20 GR VN-18KP</v>
          </cell>
          <cell r="E3858" t="str">
            <v>ZFGD</v>
          </cell>
          <cell r="F3858" t="str">
            <v>PC</v>
          </cell>
          <cell r="G3858" t="str">
            <v>1</v>
          </cell>
          <cell r="H3858" t="str">
            <v>INDUSTRY</v>
          </cell>
          <cell r="I3858" t="str">
            <v>11</v>
          </cell>
          <cell r="J3858" t="str">
            <v>WOOD COATINGS</v>
          </cell>
          <cell r="K3858" t="str">
            <v>1104</v>
          </cell>
          <cell r="L3858" t="str">
            <v>NC</v>
          </cell>
          <cell r="M3858" t="str">
            <v>110405</v>
          </cell>
          <cell r="N3858" t="str">
            <v>NC SYSTEM</v>
          </cell>
        </row>
        <row r="3859">
          <cell r="C3859" t="str">
            <v>100005328</v>
          </cell>
          <cell r="D3859" t="str">
            <v>UVP-60508 COOL GREY SC VN-20KP</v>
          </cell>
          <cell r="E3859" t="str">
            <v>ZFGD</v>
          </cell>
          <cell r="F3859" t="str">
            <v>PC</v>
          </cell>
          <cell r="G3859" t="str">
            <v>1</v>
          </cell>
          <cell r="H3859" t="str">
            <v>INDUSTRY</v>
          </cell>
          <cell r="I3859" t="str">
            <v>11</v>
          </cell>
          <cell r="J3859" t="str">
            <v>WOOD COATINGS</v>
          </cell>
          <cell r="K3859" t="str">
            <v>1106</v>
          </cell>
          <cell r="L3859" t="str">
            <v>UV</v>
          </cell>
          <cell r="M3859" t="str">
            <v>110604</v>
          </cell>
          <cell r="N3859" t="str">
            <v>UV PRIMER</v>
          </cell>
        </row>
        <row r="3860">
          <cell r="C3860" t="str">
            <v>100005329</v>
          </cell>
          <cell r="D3860" t="str">
            <v>UVP-60508 WHITE SC VN-20KP</v>
          </cell>
          <cell r="E3860" t="str">
            <v>ZFGD</v>
          </cell>
          <cell r="F3860" t="str">
            <v>PC</v>
          </cell>
          <cell r="G3860" t="str">
            <v>1</v>
          </cell>
          <cell r="H3860" t="str">
            <v>INDUSTRY</v>
          </cell>
          <cell r="I3860" t="str">
            <v>11</v>
          </cell>
          <cell r="J3860" t="str">
            <v>WOOD COATINGS</v>
          </cell>
          <cell r="K3860" t="str">
            <v>1106</v>
          </cell>
          <cell r="L3860" t="str">
            <v>UV</v>
          </cell>
          <cell r="M3860" t="str">
            <v>110604</v>
          </cell>
          <cell r="N3860" t="str">
            <v>UV PRIMER</v>
          </cell>
        </row>
        <row r="3861">
          <cell r="C3861" t="str">
            <v>100005330</v>
          </cell>
          <cell r="D3861" t="str">
            <v>UVP-60508 BLK 01 SC VN-20KP</v>
          </cell>
          <cell r="E3861" t="str">
            <v>ZFGD</v>
          </cell>
          <cell r="F3861" t="str">
            <v>PC</v>
          </cell>
          <cell r="G3861" t="str">
            <v>1</v>
          </cell>
          <cell r="H3861" t="str">
            <v>INDUSTRY</v>
          </cell>
          <cell r="I3861" t="str">
            <v>11</v>
          </cell>
          <cell r="J3861" t="str">
            <v>WOOD COATINGS</v>
          </cell>
          <cell r="K3861" t="str">
            <v>1106</v>
          </cell>
          <cell r="L3861" t="str">
            <v>UV</v>
          </cell>
          <cell r="M3861" t="str">
            <v>110604</v>
          </cell>
          <cell r="N3861" t="str">
            <v>UV PRIMER</v>
          </cell>
        </row>
        <row r="3862">
          <cell r="C3862" t="str">
            <v>100005331</v>
          </cell>
          <cell r="D3862" t="str">
            <v>UVP-60508 UGY SC VN-20KP</v>
          </cell>
          <cell r="E3862" t="str">
            <v>ZFGD</v>
          </cell>
          <cell r="F3862" t="str">
            <v>PC</v>
          </cell>
          <cell r="G3862" t="str">
            <v>1</v>
          </cell>
          <cell r="H3862" t="str">
            <v>INDUSTRY</v>
          </cell>
          <cell r="I3862" t="str">
            <v>11</v>
          </cell>
          <cell r="J3862" t="str">
            <v>WOOD COATINGS</v>
          </cell>
          <cell r="K3862" t="str">
            <v>1106</v>
          </cell>
          <cell r="L3862" t="str">
            <v>UV</v>
          </cell>
          <cell r="M3862" t="str">
            <v>110604</v>
          </cell>
          <cell r="N3862" t="str">
            <v>UV PRIMER</v>
          </cell>
        </row>
        <row r="3863">
          <cell r="C3863" t="str">
            <v>100005332</v>
          </cell>
          <cell r="D3863" t="str">
            <v>UVP-60508 COG 01 SC VN-20KP</v>
          </cell>
          <cell r="E3863" t="str">
            <v>ZFGD</v>
          </cell>
          <cell r="F3863" t="str">
            <v>PC</v>
          </cell>
          <cell r="G3863" t="str">
            <v>1</v>
          </cell>
          <cell r="H3863" t="str">
            <v>INDUSTRY</v>
          </cell>
          <cell r="I3863" t="str">
            <v>11</v>
          </cell>
          <cell r="J3863" t="str">
            <v>WOOD COATINGS</v>
          </cell>
          <cell r="K3863" t="str">
            <v>1106</v>
          </cell>
          <cell r="L3863" t="str">
            <v>UV</v>
          </cell>
          <cell r="M3863" t="str">
            <v>110604</v>
          </cell>
          <cell r="N3863" t="str">
            <v>UV PRIMER</v>
          </cell>
        </row>
        <row r="3864">
          <cell r="C3864" t="str">
            <v>100005333</v>
          </cell>
          <cell r="D3864" t="str">
            <v>UVP-60508 DEL SC VN-20KP</v>
          </cell>
          <cell r="E3864" t="str">
            <v>ZFGD</v>
          </cell>
          <cell r="F3864" t="str">
            <v>PC</v>
          </cell>
          <cell r="G3864" t="str">
            <v>1</v>
          </cell>
          <cell r="H3864" t="str">
            <v>INDUSTRY</v>
          </cell>
          <cell r="I3864" t="str">
            <v>11</v>
          </cell>
          <cell r="J3864" t="str">
            <v>WOOD COATINGS</v>
          </cell>
          <cell r="K3864" t="str">
            <v>1106</v>
          </cell>
          <cell r="L3864" t="str">
            <v>UV</v>
          </cell>
          <cell r="M3864" t="str">
            <v>110604</v>
          </cell>
          <cell r="N3864" t="str">
            <v>UV PRIMER</v>
          </cell>
        </row>
        <row r="3865">
          <cell r="C3865" t="str">
            <v>100005334</v>
          </cell>
          <cell r="D3865" t="str">
            <v>UVP-60508 LIGHT TEAK SC VN-20KP</v>
          </cell>
          <cell r="E3865" t="str">
            <v>ZFGD</v>
          </cell>
          <cell r="F3865" t="str">
            <v>PC</v>
          </cell>
          <cell r="G3865" t="str">
            <v>1</v>
          </cell>
          <cell r="H3865" t="str">
            <v>INDUSTRY</v>
          </cell>
          <cell r="I3865" t="str">
            <v>11</v>
          </cell>
          <cell r="J3865" t="str">
            <v>WOOD COATINGS</v>
          </cell>
          <cell r="K3865" t="str">
            <v>1106</v>
          </cell>
          <cell r="L3865" t="str">
            <v>UV</v>
          </cell>
          <cell r="M3865" t="str">
            <v>110604</v>
          </cell>
          <cell r="N3865" t="str">
            <v>UV PRIMER</v>
          </cell>
        </row>
        <row r="3866">
          <cell r="C3866" t="str">
            <v>100005335</v>
          </cell>
          <cell r="D3866" t="str">
            <v>UVP-60508 OAT SC VN-20KP</v>
          </cell>
          <cell r="E3866" t="str">
            <v>ZFGD</v>
          </cell>
          <cell r="F3866" t="str">
            <v>PC</v>
          </cell>
          <cell r="G3866" t="str">
            <v>1</v>
          </cell>
          <cell r="H3866" t="str">
            <v>INDUSTRY</v>
          </cell>
          <cell r="I3866" t="str">
            <v>11</v>
          </cell>
          <cell r="J3866" t="str">
            <v>WOOD COATINGS</v>
          </cell>
          <cell r="K3866" t="str">
            <v>1106</v>
          </cell>
          <cell r="L3866" t="str">
            <v>UV</v>
          </cell>
          <cell r="M3866" t="str">
            <v>110604</v>
          </cell>
          <cell r="N3866" t="str">
            <v>UV PRIMER</v>
          </cell>
        </row>
        <row r="3867">
          <cell r="C3867" t="str">
            <v>100005336</v>
          </cell>
          <cell r="D3867" t="str">
            <v>UVS-20602 WWL 02 SC VN-20KP</v>
          </cell>
          <cell r="E3867" t="str">
            <v>ZFGD</v>
          </cell>
          <cell r="F3867" t="str">
            <v>PC</v>
          </cell>
          <cell r="G3867" t="str">
            <v>1</v>
          </cell>
          <cell r="H3867" t="str">
            <v>INDUSTRY</v>
          </cell>
          <cell r="I3867" t="str">
            <v>11</v>
          </cell>
          <cell r="J3867" t="str">
            <v>WOOD COATINGS</v>
          </cell>
          <cell r="K3867" t="str">
            <v>1106</v>
          </cell>
          <cell r="L3867" t="str">
            <v>UV</v>
          </cell>
          <cell r="M3867" t="str">
            <v>110606</v>
          </cell>
          <cell r="N3867" t="str">
            <v>UV STAIN</v>
          </cell>
        </row>
        <row r="3868">
          <cell r="C3868" t="str">
            <v>100005337</v>
          </cell>
          <cell r="D3868" t="str">
            <v>UVS-20602 TSG 01 SC VN-20KP</v>
          </cell>
          <cell r="E3868" t="str">
            <v>ZFGD</v>
          </cell>
          <cell r="F3868" t="str">
            <v>PC</v>
          </cell>
          <cell r="G3868" t="str">
            <v>1</v>
          </cell>
          <cell r="H3868" t="str">
            <v>INDUSTRY</v>
          </cell>
          <cell r="I3868" t="str">
            <v>11</v>
          </cell>
          <cell r="J3868" t="str">
            <v>WOOD COATINGS</v>
          </cell>
          <cell r="K3868" t="str">
            <v>1106</v>
          </cell>
          <cell r="L3868" t="str">
            <v>UV</v>
          </cell>
          <cell r="M3868" t="str">
            <v>110606</v>
          </cell>
          <cell r="N3868" t="str">
            <v>UV STAIN</v>
          </cell>
        </row>
        <row r="3869">
          <cell r="C3869" t="str">
            <v>100005338</v>
          </cell>
          <cell r="D3869" t="str">
            <v>UVS-20602 TSG 02 SC VN-20KP</v>
          </cell>
          <cell r="E3869" t="str">
            <v>ZFGD</v>
          </cell>
          <cell r="F3869" t="str">
            <v>PC</v>
          </cell>
          <cell r="G3869" t="str">
            <v>1</v>
          </cell>
          <cell r="H3869" t="str">
            <v>INDUSTRY</v>
          </cell>
          <cell r="I3869" t="str">
            <v>11</v>
          </cell>
          <cell r="J3869" t="str">
            <v>WOOD COATINGS</v>
          </cell>
          <cell r="K3869" t="str">
            <v>1106</v>
          </cell>
          <cell r="L3869" t="str">
            <v>UV</v>
          </cell>
          <cell r="M3869" t="str">
            <v>110606</v>
          </cell>
          <cell r="N3869" t="str">
            <v>UV STAIN</v>
          </cell>
        </row>
        <row r="3870">
          <cell r="C3870" t="str">
            <v>100005339</v>
          </cell>
          <cell r="D3870" t="str">
            <v>UVS-20602 TSG 03 SC VN-20KP</v>
          </cell>
          <cell r="E3870" t="str">
            <v>ZFGD</v>
          </cell>
          <cell r="F3870" t="str">
            <v>PC</v>
          </cell>
          <cell r="G3870" t="str">
            <v>1</v>
          </cell>
          <cell r="H3870" t="str">
            <v>INDUSTRY</v>
          </cell>
          <cell r="I3870" t="str">
            <v>11</v>
          </cell>
          <cell r="J3870" t="str">
            <v>WOOD COATINGS</v>
          </cell>
          <cell r="K3870" t="str">
            <v>1106</v>
          </cell>
          <cell r="L3870" t="str">
            <v>UV</v>
          </cell>
          <cell r="M3870" t="str">
            <v>110606</v>
          </cell>
          <cell r="N3870" t="str">
            <v>UV STAIN</v>
          </cell>
        </row>
        <row r="3871">
          <cell r="C3871" t="str">
            <v>100005340</v>
          </cell>
          <cell r="D3871" t="str">
            <v>UVS-20602 WTEA 01 SC VN-20KP</v>
          </cell>
          <cell r="E3871" t="str">
            <v>ZFGD</v>
          </cell>
          <cell r="F3871" t="str">
            <v>PC</v>
          </cell>
          <cell r="G3871" t="str">
            <v>1</v>
          </cell>
          <cell r="H3871" t="str">
            <v>INDUSTRY</v>
          </cell>
          <cell r="I3871" t="str">
            <v>11</v>
          </cell>
          <cell r="J3871" t="str">
            <v>WOOD COATINGS</v>
          </cell>
          <cell r="K3871" t="str">
            <v>1106</v>
          </cell>
          <cell r="L3871" t="str">
            <v>UV</v>
          </cell>
          <cell r="M3871" t="str">
            <v>110606</v>
          </cell>
          <cell r="N3871" t="str">
            <v>UV STAIN</v>
          </cell>
        </row>
        <row r="3872">
          <cell r="C3872" t="str">
            <v>100005341</v>
          </cell>
          <cell r="D3872" t="str">
            <v>UVS-20602 WTEA 02 SC VN-20KP</v>
          </cell>
          <cell r="E3872" t="str">
            <v>ZFGD</v>
          </cell>
          <cell r="F3872" t="str">
            <v>PC</v>
          </cell>
          <cell r="G3872" t="str">
            <v>1</v>
          </cell>
          <cell r="H3872" t="str">
            <v>INDUSTRY</v>
          </cell>
          <cell r="I3872" t="str">
            <v>11</v>
          </cell>
          <cell r="J3872" t="str">
            <v>WOOD COATINGS</v>
          </cell>
          <cell r="K3872" t="str">
            <v>1106</v>
          </cell>
          <cell r="L3872" t="str">
            <v>UV</v>
          </cell>
          <cell r="M3872" t="str">
            <v>110606</v>
          </cell>
          <cell r="N3872" t="str">
            <v>UV STAIN</v>
          </cell>
        </row>
        <row r="3873">
          <cell r="C3873" t="str">
            <v>100005342</v>
          </cell>
          <cell r="D3873" t="str">
            <v>UVS-20602 WTEA 03 SC VN-20KP</v>
          </cell>
          <cell r="E3873" t="str">
            <v>ZFGD</v>
          </cell>
          <cell r="F3873" t="str">
            <v>PC</v>
          </cell>
          <cell r="G3873" t="str">
            <v>1</v>
          </cell>
          <cell r="H3873" t="str">
            <v>INDUSTRY</v>
          </cell>
          <cell r="I3873" t="str">
            <v>11</v>
          </cell>
          <cell r="J3873" t="str">
            <v>WOOD COATINGS</v>
          </cell>
          <cell r="K3873" t="str">
            <v>1106</v>
          </cell>
          <cell r="L3873" t="str">
            <v>UV</v>
          </cell>
          <cell r="M3873" t="str">
            <v>110606</v>
          </cell>
          <cell r="N3873" t="str">
            <v>UV STAIN</v>
          </cell>
        </row>
        <row r="3874">
          <cell r="C3874" t="str">
            <v>100005343</v>
          </cell>
          <cell r="D3874" t="str">
            <v>UVS-20602 DEL 01 SC VN-20KP</v>
          </cell>
          <cell r="E3874" t="str">
            <v>ZFGD</v>
          </cell>
          <cell r="F3874" t="str">
            <v>PC</v>
          </cell>
          <cell r="G3874" t="str">
            <v>1</v>
          </cell>
          <cell r="H3874" t="str">
            <v>INDUSTRY</v>
          </cell>
          <cell r="I3874" t="str">
            <v>11</v>
          </cell>
          <cell r="J3874" t="str">
            <v>WOOD COATINGS</v>
          </cell>
          <cell r="K3874" t="str">
            <v>1106</v>
          </cell>
          <cell r="L3874" t="str">
            <v>UV</v>
          </cell>
          <cell r="M3874" t="str">
            <v>110606</v>
          </cell>
          <cell r="N3874" t="str">
            <v>UV STAIN</v>
          </cell>
        </row>
        <row r="3875">
          <cell r="C3875" t="str">
            <v>100005344</v>
          </cell>
          <cell r="D3875" t="str">
            <v>UVS-20602 DEL 02 SC VN-20KP</v>
          </cell>
          <cell r="E3875" t="str">
            <v>ZFGD</v>
          </cell>
          <cell r="F3875" t="str">
            <v>PC</v>
          </cell>
          <cell r="G3875" t="str">
            <v>1</v>
          </cell>
          <cell r="H3875" t="str">
            <v>INDUSTRY</v>
          </cell>
          <cell r="I3875" t="str">
            <v>11</v>
          </cell>
          <cell r="J3875" t="str">
            <v>WOOD COATINGS</v>
          </cell>
          <cell r="K3875" t="str">
            <v>1106</v>
          </cell>
          <cell r="L3875" t="str">
            <v>UV</v>
          </cell>
          <cell r="M3875" t="str">
            <v>110606</v>
          </cell>
          <cell r="N3875" t="str">
            <v>UV STAIN</v>
          </cell>
        </row>
        <row r="3876">
          <cell r="C3876" t="str">
            <v>100005345</v>
          </cell>
          <cell r="D3876" t="str">
            <v>UVS-20602 SLP 01 SC VN-20KP</v>
          </cell>
          <cell r="E3876" t="str">
            <v>ZFGD</v>
          </cell>
          <cell r="F3876" t="str">
            <v>PC</v>
          </cell>
          <cell r="G3876" t="str">
            <v>1</v>
          </cell>
          <cell r="H3876" t="str">
            <v>INDUSTRY</v>
          </cell>
          <cell r="I3876" t="str">
            <v>11</v>
          </cell>
          <cell r="J3876" t="str">
            <v>WOOD COATINGS</v>
          </cell>
          <cell r="K3876" t="str">
            <v>1106</v>
          </cell>
          <cell r="L3876" t="str">
            <v>UV</v>
          </cell>
          <cell r="M3876" t="str">
            <v>110606</v>
          </cell>
          <cell r="N3876" t="str">
            <v>UV STAIN</v>
          </cell>
        </row>
        <row r="3877">
          <cell r="C3877" t="str">
            <v>100005346</v>
          </cell>
          <cell r="D3877" t="str">
            <v>UVS-20602 SLP 02 SC VN-20KP</v>
          </cell>
          <cell r="E3877" t="str">
            <v>ZFGD</v>
          </cell>
          <cell r="F3877" t="str">
            <v>PC</v>
          </cell>
          <cell r="G3877" t="str">
            <v>1</v>
          </cell>
          <cell r="H3877" t="str">
            <v>INDUSTRY</v>
          </cell>
          <cell r="I3877" t="str">
            <v>11</v>
          </cell>
          <cell r="J3877" t="str">
            <v>WOOD COATINGS</v>
          </cell>
          <cell r="K3877" t="str">
            <v>1106</v>
          </cell>
          <cell r="L3877" t="str">
            <v>UV</v>
          </cell>
          <cell r="M3877" t="str">
            <v>110606</v>
          </cell>
          <cell r="N3877" t="str">
            <v>UV STAIN</v>
          </cell>
        </row>
        <row r="3878">
          <cell r="C3878" t="str">
            <v>100005347</v>
          </cell>
          <cell r="D3878" t="str">
            <v>UVS-20602 SLP 03 SC VN-20KP</v>
          </cell>
          <cell r="E3878" t="str">
            <v>ZFGD</v>
          </cell>
          <cell r="F3878" t="str">
            <v>PC</v>
          </cell>
          <cell r="G3878" t="str">
            <v>1</v>
          </cell>
          <cell r="H3878" t="str">
            <v>INDUSTRY</v>
          </cell>
          <cell r="I3878" t="str">
            <v>11</v>
          </cell>
          <cell r="J3878" t="str">
            <v>WOOD COATINGS</v>
          </cell>
          <cell r="K3878" t="str">
            <v>1106</v>
          </cell>
          <cell r="L3878" t="str">
            <v>UV</v>
          </cell>
          <cell r="M3878" t="str">
            <v>110606</v>
          </cell>
          <cell r="N3878" t="str">
            <v>UV STAIN</v>
          </cell>
        </row>
        <row r="3879">
          <cell r="C3879" t="str">
            <v>100005348</v>
          </cell>
          <cell r="D3879" t="str">
            <v>UVS-20602 LIGHT TEAK 01 SC VN-20KP</v>
          </cell>
          <cell r="E3879" t="str">
            <v>ZFGD</v>
          </cell>
          <cell r="F3879" t="str">
            <v>PC</v>
          </cell>
          <cell r="G3879" t="str">
            <v>1</v>
          </cell>
          <cell r="H3879" t="str">
            <v>INDUSTRY</v>
          </cell>
          <cell r="I3879" t="str">
            <v>11</v>
          </cell>
          <cell r="J3879" t="str">
            <v>WOOD COATINGS</v>
          </cell>
          <cell r="K3879" t="str">
            <v>1106</v>
          </cell>
          <cell r="L3879" t="str">
            <v>UV</v>
          </cell>
          <cell r="M3879" t="str">
            <v>110606</v>
          </cell>
          <cell r="N3879" t="str">
            <v>UV STAIN</v>
          </cell>
        </row>
        <row r="3880">
          <cell r="C3880" t="str">
            <v>100005349</v>
          </cell>
          <cell r="D3880" t="str">
            <v>UVS-20602 LIGHT TEAK 02 SC VN-20KP</v>
          </cell>
          <cell r="E3880" t="str">
            <v>ZFGD</v>
          </cell>
          <cell r="F3880" t="str">
            <v>PC</v>
          </cell>
          <cell r="G3880" t="str">
            <v>1</v>
          </cell>
          <cell r="H3880" t="str">
            <v>INDUSTRY</v>
          </cell>
          <cell r="I3880" t="str">
            <v>11</v>
          </cell>
          <cell r="J3880" t="str">
            <v>WOOD COATINGS</v>
          </cell>
          <cell r="K3880" t="str">
            <v>1106</v>
          </cell>
          <cell r="L3880" t="str">
            <v>UV</v>
          </cell>
          <cell r="M3880" t="str">
            <v>110606</v>
          </cell>
          <cell r="N3880" t="str">
            <v>UV STAIN</v>
          </cell>
        </row>
        <row r="3881">
          <cell r="C3881" t="str">
            <v>100005350</v>
          </cell>
          <cell r="D3881" t="str">
            <v>UVS-20602 OAT SC VN-20KP</v>
          </cell>
          <cell r="E3881" t="str">
            <v>ZFGD</v>
          </cell>
          <cell r="F3881" t="str">
            <v>PC</v>
          </cell>
          <cell r="G3881" t="str">
            <v>1</v>
          </cell>
          <cell r="H3881" t="str">
            <v>INDUSTRY</v>
          </cell>
          <cell r="I3881" t="str">
            <v>11</v>
          </cell>
          <cell r="J3881" t="str">
            <v>WOOD COATINGS</v>
          </cell>
          <cell r="K3881" t="str">
            <v>1106</v>
          </cell>
          <cell r="L3881" t="str">
            <v>UV</v>
          </cell>
          <cell r="M3881" t="str">
            <v>110606</v>
          </cell>
          <cell r="N3881" t="str">
            <v>UV STAIN</v>
          </cell>
        </row>
        <row r="3882">
          <cell r="C3882" t="str">
            <v>100005351</v>
          </cell>
          <cell r="D3882" t="str">
            <v>PUC-54205 AC MA 46 08 PV VN-20KP</v>
          </cell>
          <cell r="E3882" t="str">
            <v>ZFGD</v>
          </cell>
          <cell r="F3882" t="str">
            <v>PC</v>
          </cell>
          <cell r="G3882" t="str">
            <v>1</v>
          </cell>
          <cell r="H3882" t="str">
            <v>INDUSTRY</v>
          </cell>
          <cell r="I3882" t="str">
            <v>11</v>
          </cell>
          <cell r="J3882" t="str">
            <v>WOOD COATINGS</v>
          </cell>
          <cell r="K3882" t="str">
            <v>1103</v>
          </cell>
          <cell r="L3882" t="str">
            <v>PU</v>
          </cell>
          <cell r="M3882" t="str">
            <v>110319</v>
          </cell>
          <cell r="N3882" t="str">
            <v>PU COLOR</v>
          </cell>
        </row>
        <row r="3883">
          <cell r="C3883" t="str">
            <v>100005352</v>
          </cell>
          <cell r="D3883" t="str">
            <v>PUC-54205 AC MA 47 08 PV VN-20KP</v>
          </cell>
          <cell r="E3883" t="str">
            <v>ZFGD</v>
          </cell>
          <cell r="F3883" t="str">
            <v>PC</v>
          </cell>
          <cell r="G3883" t="str">
            <v>1</v>
          </cell>
          <cell r="H3883" t="str">
            <v>INDUSTRY</v>
          </cell>
          <cell r="I3883" t="str">
            <v>11</v>
          </cell>
          <cell r="J3883" t="str">
            <v>WOOD COATINGS</v>
          </cell>
          <cell r="K3883" t="str">
            <v>1103</v>
          </cell>
          <cell r="L3883" t="str">
            <v>PU</v>
          </cell>
          <cell r="M3883" t="str">
            <v>110319</v>
          </cell>
          <cell r="N3883" t="str">
            <v>PU COLOR</v>
          </cell>
        </row>
        <row r="3884">
          <cell r="C3884" t="str">
            <v>100005353</v>
          </cell>
          <cell r="D3884" t="str">
            <v>PUC-54205 AC MA 45 08 PV VN-20KP</v>
          </cell>
          <cell r="E3884" t="str">
            <v>ZFGD</v>
          </cell>
          <cell r="F3884" t="str">
            <v>PC</v>
          </cell>
          <cell r="G3884" t="str">
            <v>1</v>
          </cell>
          <cell r="H3884" t="str">
            <v>INDUSTRY</v>
          </cell>
          <cell r="I3884" t="str">
            <v>11</v>
          </cell>
          <cell r="J3884" t="str">
            <v>WOOD COATINGS</v>
          </cell>
          <cell r="K3884" t="str">
            <v>1103</v>
          </cell>
          <cell r="L3884" t="str">
            <v>PU</v>
          </cell>
          <cell r="M3884" t="str">
            <v>110319</v>
          </cell>
          <cell r="N3884" t="str">
            <v>PU COLOR</v>
          </cell>
        </row>
        <row r="3885">
          <cell r="C3885" t="str">
            <v>100005354</v>
          </cell>
          <cell r="D3885" t="str">
            <v>PUC-54205 AC MA 56 08 PV VN-20KP</v>
          </cell>
          <cell r="E3885" t="str">
            <v>ZFGD</v>
          </cell>
          <cell r="F3885" t="str">
            <v>PC</v>
          </cell>
          <cell r="G3885" t="str">
            <v>1</v>
          </cell>
          <cell r="H3885" t="str">
            <v>INDUSTRY</v>
          </cell>
          <cell r="I3885" t="str">
            <v>11</v>
          </cell>
          <cell r="J3885" t="str">
            <v>WOOD COATINGS</v>
          </cell>
          <cell r="K3885" t="str">
            <v>1103</v>
          </cell>
          <cell r="L3885" t="str">
            <v>PU</v>
          </cell>
          <cell r="M3885" t="str">
            <v>110319</v>
          </cell>
          <cell r="N3885" t="str">
            <v>PU COLOR</v>
          </cell>
        </row>
        <row r="3886">
          <cell r="C3886" t="str">
            <v>100005355</v>
          </cell>
          <cell r="D3886" t="str">
            <v>PUC-54205 AC MA 48 08 PV VN-20KP</v>
          </cell>
          <cell r="E3886" t="str">
            <v>ZFGD</v>
          </cell>
          <cell r="F3886" t="str">
            <v>PC</v>
          </cell>
          <cell r="G3886" t="str">
            <v>1</v>
          </cell>
          <cell r="H3886" t="str">
            <v>INDUSTRY</v>
          </cell>
          <cell r="I3886" t="str">
            <v>11</v>
          </cell>
          <cell r="J3886" t="str">
            <v>WOOD COATINGS</v>
          </cell>
          <cell r="K3886" t="str">
            <v>1103</v>
          </cell>
          <cell r="L3886" t="str">
            <v>PU</v>
          </cell>
          <cell r="M3886" t="str">
            <v>110319</v>
          </cell>
          <cell r="N3886" t="str">
            <v>PU COLOR</v>
          </cell>
        </row>
        <row r="3887">
          <cell r="C3887" t="str">
            <v>100005356</v>
          </cell>
          <cell r="D3887" t="str">
            <v>PUC-54205 AC MA 50 08 PV VN-20KP</v>
          </cell>
          <cell r="E3887" t="str">
            <v>ZFGD</v>
          </cell>
          <cell r="F3887" t="str">
            <v>PC</v>
          </cell>
          <cell r="G3887" t="str">
            <v>1</v>
          </cell>
          <cell r="H3887" t="str">
            <v>INDUSTRY</v>
          </cell>
          <cell r="I3887" t="str">
            <v>11</v>
          </cell>
          <cell r="J3887" t="str">
            <v>WOOD COATINGS</v>
          </cell>
          <cell r="K3887" t="str">
            <v>1103</v>
          </cell>
          <cell r="L3887" t="str">
            <v>PU</v>
          </cell>
          <cell r="M3887" t="str">
            <v>110319</v>
          </cell>
          <cell r="N3887" t="str">
            <v>PU COLOR</v>
          </cell>
        </row>
        <row r="3888">
          <cell r="C3888" t="str">
            <v>100005357</v>
          </cell>
          <cell r="D3888" t="str">
            <v>PUC-54205 AC MA 53 08 PV VN-20KP</v>
          </cell>
          <cell r="E3888" t="str">
            <v>ZFGD</v>
          </cell>
          <cell r="F3888" t="str">
            <v>PC</v>
          </cell>
          <cell r="G3888" t="str">
            <v>1</v>
          </cell>
          <cell r="H3888" t="str">
            <v>INDUSTRY</v>
          </cell>
          <cell r="I3888" t="str">
            <v>11</v>
          </cell>
          <cell r="J3888" t="str">
            <v>WOOD COATINGS</v>
          </cell>
          <cell r="K3888" t="str">
            <v>1103</v>
          </cell>
          <cell r="L3888" t="str">
            <v>PU</v>
          </cell>
          <cell r="M3888" t="str">
            <v>110319</v>
          </cell>
          <cell r="N3888" t="str">
            <v>PU COLOR</v>
          </cell>
        </row>
        <row r="3889">
          <cell r="C3889" t="str">
            <v>100005358</v>
          </cell>
          <cell r="D3889" t="str">
            <v>PUC-54205 AC MA 54 08 PV VN-20KP</v>
          </cell>
          <cell r="E3889" t="str">
            <v>ZFGD</v>
          </cell>
          <cell r="F3889" t="str">
            <v>PC</v>
          </cell>
          <cell r="G3889" t="str">
            <v>1</v>
          </cell>
          <cell r="H3889" t="str">
            <v>INDUSTRY</v>
          </cell>
          <cell r="I3889" t="str">
            <v>11</v>
          </cell>
          <cell r="J3889" t="str">
            <v>WOOD COATINGS</v>
          </cell>
          <cell r="K3889" t="str">
            <v>1103</v>
          </cell>
          <cell r="L3889" t="str">
            <v>PU</v>
          </cell>
          <cell r="M3889" t="str">
            <v>110319</v>
          </cell>
          <cell r="N3889" t="str">
            <v>PU COLOR</v>
          </cell>
        </row>
        <row r="3890">
          <cell r="C3890" t="str">
            <v>100005359</v>
          </cell>
          <cell r="D3890" t="str">
            <v>PUC-54205 AC MA 49 08 PV VN-20KP</v>
          </cell>
          <cell r="E3890" t="str">
            <v>ZFGD</v>
          </cell>
          <cell r="F3890" t="str">
            <v>PC</v>
          </cell>
          <cell r="G3890" t="str">
            <v>1</v>
          </cell>
          <cell r="H3890" t="str">
            <v>INDUSTRY</v>
          </cell>
          <cell r="I3890" t="str">
            <v>11</v>
          </cell>
          <cell r="J3890" t="str">
            <v>WOOD COATINGS</v>
          </cell>
          <cell r="K3890" t="str">
            <v>1103</v>
          </cell>
          <cell r="L3890" t="str">
            <v>PU</v>
          </cell>
          <cell r="M3890" t="str">
            <v>110319</v>
          </cell>
          <cell r="N3890" t="str">
            <v>PU COLOR</v>
          </cell>
        </row>
        <row r="3891">
          <cell r="C3891" t="str">
            <v>100005360</v>
          </cell>
          <cell r="D3891" t="str">
            <v>PUC-54205 AC MA 51 08 PV VN-20KP</v>
          </cell>
          <cell r="E3891" t="str">
            <v>ZFGD</v>
          </cell>
          <cell r="F3891" t="str">
            <v>PC</v>
          </cell>
          <cell r="G3891" t="str">
            <v>1</v>
          </cell>
          <cell r="H3891" t="str">
            <v>INDUSTRY</v>
          </cell>
          <cell r="I3891" t="str">
            <v>11</v>
          </cell>
          <cell r="J3891" t="str">
            <v>WOOD COATINGS</v>
          </cell>
          <cell r="K3891" t="str">
            <v>1103</v>
          </cell>
          <cell r="L3891" t="str">
            <v>PU</v>
          </cell>
          <cell r="M3891" t="str">
            <v>110319</v>
          </cell>
          <cell r="N3891" t="str">
            <v>PU COLOR</v>
          </cell>
        </row>
        <row r="3892">
          <cell r="C3892" t="str">
            <v>100005361</v>
          </cell>
          <cell r="D3892" t="str">
            <v>PUC-54205 AC MA 44 08 PV VN-20KP</v>
          </cell>
          <cell r="E3892" t="str">
            <v>ZFGD</v>
          </cell>
          <cell r="F3892" t="str">
            <v>PC</v>
          </cell>
          <cell r="G3892" t="str">
            <v>1</v>
          </cell>
          <cell r="H3892" t="str">
            <v>INDUSTRY</v>
          </cell>
          <cell r="I3892" t="str">
            <v>11</v>
          </cell>
          <cell r="J3892" t="str">
            <v>WOOD COATINGS</v>
          </cell>
          <cell r="K3892" t="str">
            <v>1103</v>
          </cell>
          <cell r="L3892" t="str">
            <v>PU</v>
          </cell>
          <cell r="M3892" t="str">
            <v>110319</v>
          </cell>
          <cell r="N3892" t="str">
            <v>PU COLOR</v>
          </cell>
        </row>
        <row r="3893">
          <cell r="C3893" t="str">
            <v>100005362</v>
          </cell>
          <cell r="D3893" t="str">
            <v>PUC-54206 AC MA 42 05 PV VN-18KP</v>
          </cell>
          <cell r="E3893" t="str">
            <v>ZFGD</v>
          </cell>
          <cell r="F3893" t="str">
            <v>PC</v>
          </cell>
          <cell r="G3893" t="str">
            <v>1</v>
          </cell>
          <cell r="H3893" t="str">
            <v>INDUSTRY</v>
          </cell>
          <cell r="I3893" t="str">
            <v>11</v>
          </cell>
          <cell r="J3893" t="str">
            <v>WOOD COATINGS</v>
          </cell>
          <cell r="K3893" t="str">
            <v>1103</v>
          </cell>
          <cell r="L3893" t="str">
            <v>PU</v>
          </cell>
          <cell r="M3893" t="str">
            <v>110319</v>
          </cell>
          <cell r="N3893" t="str">
            <v>PU COLOR</v>
          </cell>
        </row>
        <row r="3894">
          <cell r="C3894" t="str">
            <v>100005363</v>
          </cell>
          <cell r="D3894" t="str">
            <v>PUC-54206 AC MA 43 05 PV VN-18KP</v>
          </cell>
          <cell r="E3894" t="str">
            <v>ZFGD</v>
          </cell>
          <cell r="F3894" t="str">
            <v>PC</v>
          </cell>
          <cell r="G3894" t="str">
            <v>1</v>
          </cell>
          <cell r="H3894" t="str">
            <v>INDUSTRY</v>
          </cell>
          <cell r="I3894" t="str">
            <v>11</v>
          </cell>
          <cell r="J3894" t="str">
            <v>WOOD COATINGS</v>
          </cell>
          <cell r="K3894" t="str">
            <v>1103</v>
          </cell>
          <cell r="L3894" t="str">
            <v>PU</v>
          </cell>
          <cell r="M3894" t="str">
            <v>110319</v>
          </cell>
          <cell r="N3894" t="str">
            <v>PU COLOR</v>
          </cell>
        </row>
        <row r="3895">
          <cell r="C3895" t="str">
            <v>100005364</v>
          </cell>
          <cell r="D3895" t="str">
            <v>PUC-54205 AC MA 52 08 PV VN-20KP</v>
          </cell>
          <cell r="E3895" t="str">
            <v>ZFGD</v>
          </cell>
          <cell r="F3895" t="str">
            <v>PC</v>
          </cell>
          <cell r="G3895" t="str">
            <v>1</v>
          </cell>
          <cell r="H3895" t="str">
            <v>INDUSTRY</v>
          </cell>
          <cell r="I3895" t="str">
            <v>11</v>
          </cell>
          <cell r="J3895" t="str">
            <v>WOOD COATINGS</v>
          </cell>
          <cell r="K3895" t="str">
            <v>1103</v>
          </cell>
          <cell r="L3895" t="str">
            <v>PU</v>
          </cell>
          <cell r="M3895" t="str">
            <v>110319</v>
          </cell>
          <cell r="N3895" t="str">
            <v>PU COLOR</v>
          </cell>
        </row>
        <row r="3896">
          <cell r="C3896" t="str">
            <v>100005365</v>
          </cell>
          <cell r="D3896" t="str">
            <v>PUC-54205 AC MA 57 08 PV VN-20KP</v>
          </cell>
          <cell r="E3896" t="str">
            <v>ZFGD</v>
          </cell>
          <cell r="F3896" t="str">
            <v>PC</v>
          </cell>
          <cell r="G3896" t="str">
            <v>1</v>
          </cell>
          <cell r="H3896" t="str">
            <v>INDUSTRY</v>
          </cell>
          <cell r="I3896" t="str">
            <v>11</v>
          </cell>
          <cell r="J3896" t="str">
            <v>WOOD COATINGS</v>
          </cell>
          <cell r="K3896" t="str">
            <v>1103</v>
          </cell>
          <cell r="L3896" t="str">
            <v>PU</v>
          </cell>
          <cell r="M3896" t="str">
            <v>110319</v>
          </cell>
          <cell r="N3896" t="str">
            <v>PU COLOR</v>
          </cell>
        </row>
        <row r="3897">
          <cell r="C3897" t="str">
            <v>100005366</v>
          </cell>
          <cell r="D3897" t="str">
            <v>UVS-20602 WWL 01 SC VN-20KP</v>
          </cell>
          <cell r="E3897" t="str">
            <v>ZFGD</v>
          </cell>
          <cell r="F3897" t="str">
            <v>PC</v>
          </cell>
          <cell r="G3897" t="str">
            <v>1</v>
          </cell>
          <cell r="H3897" t="str">
            <v>INDUSTRY</v>
          </cell>
          <cell r="I3897" t="str">
            <v>11</v>
          </cell>
          <cell r="J3897" t="str">
            <v>WOOD COATINGS</v>
          </cell>
          <cell r="K3897" t="str">
            <v>1106</v>
          </cell>
          <cell r="L3897" t="str">
            <v>UV</v>
          </cell>
          <cell r="M3897" t="str">
            <v>110606</v>
          </cell>
          <cell r="N3897" t="str">
            <v>UV STAIN</v>
          </cell>
        </row>
        <row r="3898">
          <cell r="C3898" t="str">
            <v>100005367</v>
          </cell>
          <cell r="D3898" t="str">
            <v>DC-12230 GREY VHG HF 30 VN-18KP</v>
          </cell>
          <cell r="E3898" t="str">
            <v>ZFGD</v>
          </cell>
          <cell r="F3898" t="str">
            <v>PC</v>
          </cell>
          <cell r="G3898" t="str">
            <v>1</v>
          </cell>
          <cell r="H3898" t="str">
            <v>INDUSTRY</v>
          </cell>
          <cell r="I3898" t="str">
            <v>11</v>
          </cell>
          <cell r="J3898" t="str">
            <v>WOOD COATINGS</v>
          </cell>
          <cell r="K3898" t="str">
            <v>1104</v>
          </cell>
          <cell r="L3898" t="str">
            <v>NC</v>
          </cell>
          <cell r="M3898" t="str">
            <v>110405</v>
          </cell>
          <cell r="N3898" t="str">
            <v>NC SYSTEM</v>
          </cell>
        </row>
        <row r="3899">
          <cell r="C3899" t="str">
            <v>100005368</v>
          </cell>
          <cell r="D3899" t="str">
            <v>DP-12130 GREY VHG HF VN-18KP</v>
          </cell>
          <cell r="E3899" t="str">
            <v>ZFGD</v>
          </cell>
          <cell r="F3899" t="str">
            <v>PC</v>
          </cell>
          <cell r="G3899" t="str">
            <v>1</v>
          </cell>
          <cell r="H3899" t="str">
            <v>INDUSTRY</v>
          </cell>
          <cell r="I3899" t="str">
            <v>11</v>
          </cell>
          <cell r="J3899" t="str">
            <v>WOOD COATINGS</v>
          </cell>
          <cell r="K3899" t="str">
            <v>1104</v>
          </cell>
          <cell r="L3899" t="str">
            <v>NC</v>
          </cell>
          <cell r="M3899" t="str">
            <v>110405</v>
          </cell>
          <cell r="N3899" t="str">
            <v>NC SYSTEM</v>
          </cell>
        </row>
        <row r="3900">
          <cell r="C3900" t="str">
            <v>100005369</v>
          </cell>
          <cell r="D3900" t="str">
            <v>PCA-31100 ĐEN01A CH VN-16KJ</v>
          </cell>
          <cell r="E3900" t="str">
            <v>ZFGD</v>
          </cell>
          <cell r="F3900" t="str">
            <v>PC</v>
          </cell>
          <cell r="G3900" t="str">
            <v>1</v>
          </cell>
          <cell r="H3900" t="str">
            <v>INDUSTRY</v>
          </cell>
          <cell r="I3900" t="str">
            <v>11</v>
          </cell>
          <cell r="J3900" t="str">
            <v>WOOD COATINGS</v>
          </cell>
          <cell r="K3900" t="str">
            <v>1118</v>
          </cell>
          <cell r="L3900" t="str">
            <v>COMPLEMENTARY</v>
          </cell>
          <cell r="M3900" t="str">
            <v>111807</v>
          </cell>
          <cell r="N3900" t="str">
            <v>PASTA</v>
          </cell>
        </row>
        <row r="3901">
          <cell r="C3901" t="str">
            <v>100005370</v>
          </cell>
          <cell r="D3901" t="str">
            <v>PCA-31100 ĐEN01B CH VN-16KJ</v>
          </cell>
          <cell r="E3901" t="str">
            <v>ZFGD</v>
          </cell>
          <cell r="F3901" t="str">
            <v>PC</v>
          </cell>
          <cell r="G3901" t="str">
            <v>1</v>
          </cell>
          <cell r="H3901" t="str">
            <v>INDUSTRY</v>
          </cell>
          <cell r="I3901" t="str">
            <v>11</v>
          </cell>
          <cell r="J3901" t="str">
            <v>WOOD COATINGS</v>
          </cell>
          <cell r="K3901" t="str">
            <v>1118</v>
          </cell>
          <cell r="L3901" t="str">
            <v>COMPLEMENTARY</v>
          </cell>
          <cell r="M3901" t="str">
            <v>111807</v>
          </cell>
          <cell r="N3901" t="str">
            <v>PASTA</v>
          </cell>
        </row>
        <row r="3902">
          <cell r="C3902" t="str">
            <v>100005371</v>
          </cell>
          <cell r="D3902" t="str">
            <v>NCL-11331 CLEAR 30 VN-18KP</v>
          </cell>
          <cell r="E3902" t="str">
            <v>ZFGD</v>
          </cell>
          <cell r="F3902" t="str">
            <v>PC</v>
          </cell>
          <cell r="G3902" t="str">
            <v>1</v>
          </cell>
          <cell r="H3902" t="str">
            <v>INDUSTRY</v>
          </cell>
          <cell r="I3902" t="str">
            <v>11</v>
          </cell>
          <cell r="J3902" t="str">
            <v>WOOD COATINGS</v>
          </cell>
          <cell r="K3902" t="str">
            <v>1104</v>
          </cell>
          <cell r="L3902" t="str">
            <v>NC</v>
          </cell>
          <cell r="M3902" t="str">
            <v>110405</v>
          </cell>
          <cell r="N3902" t="str">
            <v>NC SYSTEM</v>
          </cell>
        </row>
        <row r="3903">
          <cell r="C3903" t="str">
            <v>100005372</v>
          </cell>
          <cell r="D3903" t="str">
            <v>NCL-11331 CLEAR 30 VN-180KB</v>
          </cell>
          <cell r="E3903" t="str">
            <v>ZFGD</v>
          </cell>
          <cell r="F3903" t="str">
            <v>PC</v>
          </cell>
          <cell r="G3903" t="str">
            <v>1</v>
          </cell>
          <cell r="H3903" t="str">
            <v>INDUSTRY</v>
          </cell>
          <cell r="I3903" t="str">
            <v>11</v>
          </cell>
          <cell r="J3903" t="str">
            <v>WOOD COATINGS</v>
          </cell>
          <cell r="K3903" t="str">
            <v>1104</v>
          </cell>
          <cell r="L3903" t="str">
            <v>NC</v>
          </cell>
          <cell r="M3903" t="str">
            <v>110405</v>
          </cell>
          <cell r="N3903" t="str">
            <v>NC SYSTEM</v>
          </cell>
        </row>
        <row r="3904">
          <cell r="C3904" t="str">
            <v>100005373</v>
          </cell>
          <cell r="D3904" t="str">
            <v>THC-73100 201 SC VN-20LJ</v>
          </cell>
          <cell r="E3904" t="str">
            <v>ZFGD</v>
          </cell>
          <cell r="F3904" t="str">
            <v>PC</v>
          </cell>
          <cell r="G3904" t="str">
            <v>1</v>
          </cell>
          <cell r="H3904" t="str">
            <v>INDUSTRY</v>
          </cell>
          <cell r="I3904" t="str">
            <v>14</v>
          </cell>
          <cell r="J3904" t="str">
            <v>THINNER</v>
          </cell>
          <cell r="K3904" t="str">
            <v>1412</v>
          </cell>
          <cell r="L3904" t="str">
            <v>THINNER NC</v>
          </cell>
          <cell r="M3904" t="str">
            <v>141203</v>
          </cell>
          <cell r="N3904" t="str">
            <v>THINNER COMPLEMENTARY</v>
          </cell>
        </row>
        <row r="3905">
          <cell r="C3905" t="str">
            <v>100005374</v>
          </cell>
          <cell r="D3905" t="str">
            <v>THC-73100 201 SC VN-30LJ</v>
          </cell>
          <cell r="E3905" t="str">
            <v>ZFGD</v>
          </cell>
          <cell r="F3905" t="str">
            <v>PC</v>
          </cell>
          <cell r="G3905" t="str">
            <v>1</v>
          </cell>
          <cell r="H3905" t="str">
            <v>INDUSTRY</v>
          </cell>
          <cell r="I3905" t="str">
            <v>14</v>
          </cell>
          <cell r="J3905" t="str">
            <v>THINNER</v>
          </cell>
          <cell r="K3905" t="str">
            <v>1412</v>
          </cell>
          <cell r="L3905" t="str">
            <v>THINNER NC</v>
          </cell>
          <cell r="M3905" t="str">
            <v>141203</v>
          </cell>
          <cell r="N3905" t="str">
            <v>THINNER COMPLEMENTARY</v>
          </cell>
        </row>
        <row r="3906">
          <cell r="C3906" t="str">
            <v>100005375</v>
          </cell>
          <cell r="D3906" t="str">
            <v>THC-73100 201 SC VN-200LK</v>
          </cell>
          <cell r="E3906" t="str">
            <v>ZFGD</v>
          </cell>
          <cell r="F3906" t="str">
            <v>PC</v>
          </cell>
          <cell r="G3906" t="str">
            <v>1</v>
          </cell>
          <cell r="H3906" t="str">
            <v>INDUSTRY</v>
          </cell>
          <cell r="I3906" t="str">
            <v>14</v>
          </cell>
          <cell r="J3906" t="str">
            <v>THINNER</v>
          </cell>
          <cell r="K3906" t="str">
            <v>1412</v>
          </cell>
          <cell r="L3906" t="str">
            <v>THINNER NC</v>
          </cell>
          <cell r="M3906" t="str">
            <v>141203</v>
          </cell>
          <cell r="N3906" t="str">
            <v>THINNER COMPLEMENTARY</v>
          </cell>
        </row>
        <row r="3907">
          <cell r="C3907" t="str">
            <v>100005376</v>
          </cell>
          <cell r="D3907" t="str">
            <v>PRCC-40113 GL NAM VIET-180KK</v>
          </cell>
          <cell r="E3907" t="str">
            <v>ZFGD</v>
          </cell>
          <cell r="F3907" t="str">
            <v>PC</v>
          </cell>
          <cell r="G3907" t="str">
            <v>1</v>
          </cell>
          <cell r="H3907" t="str">
            <v>INDUSTRY</v>
          </cell>
          <cell r="I3907" t="str">
            <v>12</v>
          </cell>
          <cell r="J3907" t="str">
            <v>CAN COATINGS</v>
          </cell>
          <cell r="K3907" t="str">
            <v>1201</v>
          </cell>
          <cell r="L3907" t="str">
            <v>CAN COATINGS</v>
          </cell>
          <cell r="M3907" t="str">
            <v>120101</v>
          </cell>
          <cell r="N3907" t="str">
            <v>CAN COATINGS</v>
          </cell>
        </row>
        <row r="3908">
          <cell r="C3908" t="str">
            <v>100005377</v>
          </cell>
          <cell r="D3908" t="str">
            <v>PRCC-40233 GOLD LACQUER MUDA-180KK</v>
          </cell>
          <cell r="E3908" t="str">
            <v>ZFGD</v>
          </cell>
          <cell r="F3908" t="str">
            <v>PC</v>
          </cell>
          <cell r="G3908" t="str">
            <v>1</v>
          </cell>
          <cell r="H3908" t="str">
            <v>INDUSTRY</v>
          </cell>
          <cell r="I3908" t="str">
            <v>12</v>
          </cell>
          <cell r="J3908" t="str">
            <v>CAN COATINGS</v>
          </cell>
          <cell r="K3908" t="str">
            <v>1201</v>
          </cell>
          <cell r="L3908" t="str">
            <v>CAN COATINGS</v>
          </cell>
          <cell r="M3908" t="str">
            <v>120101</v>
          </cell>
          <cell r="N3908" t="str">
            <v>CAN COATINGS</v>
          </cell>
        </row>
        <row r="3909">
          <cell r="C3909" t="str">
            <v>100005378</v>
          </cell>
          <cell r="D3909" t="str">
            <v>PRCC-20616 EPOXY SIZE CHEN LAIN-180KK</v>
          </cell>
          <cell r="E3909" t="str">
            <v>ZFGD</v>
          </cell>
          <cell r="F3909" t="str">
            <v>PC</v>
          </cell>
          <cell r="G3909" t="str">
            <v>1</v>
          </cell>
          <cell r="H3909" t="str">
            <v>INDUSTRY</v>
          </cell>
          <cell r="I3909" t="str">
            <v>12</v>
          </cell>
          <cell r="J3909" t="str">
            <v>CAN COATINGS</v>
          </cell>
          <cell r="K3909" t="str">
            <v>1201</v>
          </cell>
          <cell r="L3909" t="str">
            <v>CAN COATINGS</v>
          </cell>
          <cell r="M3909" t="str">
            <v>120101</v>
          </cell>
          <cell r="N3909" t="str">
            <v>CAN COATINGS</v>
          </cell>
        </row>
        <row r="3910">
          <cell r="C3910" t="str">
            <v>100005379</v>
          </cell>
          <cell r="D3910" t="str">
            <v>PRCC-10358 WBC POLYESTER PWC 3823-250KK</v>
          </cell>
          <cell r="E3910" t="str">
            <v>ZFGD</v>
          </cell>
          <cell r="F3910" t="str">
            <v>PC</v>
          </cell>
          <cell r="G3910" t="str">
            <v>1</v>
          </cell>
          <cell r="H3910" t="str">
            <v>INDUSTRY</v>
          </cell>
          <cell r="I3910" t="str">
            <v>12</v>
          </cell>
          <cell r="J3910" t="str">
            <v>CAN COATINGS</v>
          </cell>
          <cell r="K3910" t="str">
            <v>1201</v>
          </cell>
          <cell r="L3910" t="str">
            <v>CAN COATINGS</v>
          </cell>
          <cell r="M3910" t="str">
            <v>120101</v>
          </cell>
          <cell r="N3910" t="str">
            <v>CAN COATINGS</v>
          </cell>
        </row>
        <row r="3911">
          <cell r="C3911" t="str">
            <v>100005380</v>
          </cell>
          <cell r="D3911" t="str">
            <v>DP-12130 LC XANH DEN-X80 DH VN-18KP</v>
          </cell>
          <cell r="E3911" t="str">
            <v>ZFGD</v>
          </cell>
          <cell r="F3911" t="str">
            <v>PC</v>
          </cell>
          <cell r="G3911" t="str">
            <v>1</v>
          </cell>
          <cell r="H3911" t="str">
            <v>INDUSTRY</v>
          </cell>
          <cell r="I3911" t="str">
            <v>11</v>
          </cell>
          <cell r="J3911" t="str">
            <v>WOOD COATINGS</v>
          </cell>
          <cell r="K3911" t="str">
            <v>1104</v>
          </cell>
          <cell r="L3911" t="str">
            <v>NC</v>
          </cell>
          <cell r="M3911" t="str">
            <v>110405</v>
          </cell>
          <cell r="N3911" t="str">
            <v>NC SYSTEM</v>
          </cell>
        </row>
        <row r="3912">
          <cell r="C3912" t="str">
            <v>100005381</v>
          </cell>
          <cell r="D3912" t="str">
            <v>DP-12130 LC VANG-Y154 DH VN-18KP</v>
          </cell>
          <cell r="E3912" t="str">
            <v>ZFGD</v>
          </cell>
          <cell r="F3912" t="str">
            <v>PC</v>
          </cell>
          <cell r="G3912" t="str">
            <v>1</v>
          </cell>
          <cell r="H3912" t="str">
            <v>INDUSTRY</v>
          </cell>
          <cell r="I3912" t="str">
            <v>11</v>
          </cell>
          <cell r="J3912" t="str">
            <v>WOOD COATINGS</v>
          </cell>
          <cell r="K3912" t="str">
            <v>1104</v>
          </cell>
          <cell r="L3912" t="str">
            <v>NC</v>
          </cell>
          <cell r="M3912" t="str">
            <v>110405</v>
          </cell>
          <cell r="N3912" t="str">
            <v>NC SYSTEM</v>
          </cell>
        </row>
        <row r="3913">
          <cell r="C3913" t="str">
            <v>100005382</v>
          </cell>
          <cell r="D3913" t="str">
            <v>DP-12130 NAU-Y69 DH VN-18KP</v>
          </cell>
          <cell r="E3913" t="str">
            <v>ZFGD</v>
          </cell>
          <cell r="F3913" t="str">
            <v>PC</v>
          </cell>
          <cell r="G3913" t="str">
            <v>1</v>
          </cell>
          <cell r="H3913" t="str">
            <v>INDUSTRY</v>
          </cell>
          <cell r="I3913" t="str">
            <v>11</v>
          </cell>
          <cell r="J3913" t="str">
            <v>WOOD COATINGS</v>
          </cell>
          <cell r="K3913" t="str">
            <v>1104</v>
          </cell>
          <cell r="L3913" t="str">
            <v>NC</v>
          </cell>
          <cell r="M3913" t="str">
            <v>110405</v>
          </cell>
          <cell r="N3913" t="str">
            <v>NC SYSTEM</v>
          </cell>
        </row>
        <row r="3914">
          <cell r="C3914" t="str">
            <v>100005383</v>
          </cell>
          <cell r="D3914" t="str">
            <v>PCA-31100 NAU-Y69 DH VN-16KJ</v>
          </cell>
          <cell r="E3914" t="str">
            <v>ZFGD</v>
          </cell>
          <cell r="F3914" t="str">
            <v>PC</v>
          </cell>
          <cell r="G3914" t="str">
            <v>1</v>
          </cell>
          <cell r="H3914" t="str">
            <v>INDUSTRY</v>
          </cell>
          <cell r="I3914" t="str">
            <v>11</v>
          </cell>
          <cell r="J3914" t="str">
            <v>WOOD COATINGS</v>
          </cell>
          <cell r="K3914" t="str">
            <v>1118</v>
          </cell>
          <cell r="L3914" t="str">
            <v>COMPLEMENTARY</v>
          </cell>
          <cell r="M3914" t="str">
            <v>111807</v>
          </cell>
          <cell r="N3914" t="str">
            <v>PASTA</v>
          </cell>
        </row>
        <row r="3915">
          <cell r="C3915" t="str">
            <v>100005384</v>
          </cell>
          <cell r="D3915" t="str">
            <v>NCL-11330 NG CLEAR 40 VN-18KP</v>
          </cell>
          <cell r="E3915" t="str">
            <v>ZFGD</v>
          </cell>
          <cell r="F3915" t="str">
            <v>PC</v>
          </cell>
          <cell r="G3915" t="str">
            <v>1</v>
          </cell>
          <cell r="H3915" t="str">
            <v>INDUSTRY</v>
          </cell>
          <cell r="I3915" t="str">
            <v>11</v>
          </cell>
          <cell r="J3915" t="str">
            <v>WOOD COATINGS</v>
          </cell>
          <cell r="K3915" t="str">
            <v>1104</v>
          </cell>
          <cell r="L3915" t="str">
            <v>NC</v>
          </cell>
          <cell r="M3915" t="str">
            <v>110405</v>
          </cell>
          <cell r="N3915" t="str">
            <v>NC SYSTEM</v>
          </cell>
        </row>
        <row r="3916">
          <cell r="C3916" t="str">
            <v>100005385</v>
          </cell>
          <cell r="D3916" t="str">
            <v>NCL-11330 NG CLEAR 40 VN-180KB</v>
          </cell>
          <cell r="E3916" t="str">
            <v>ZFGD</v>
          </cell>
          <cell r="F3916" t="str">
            <v>PC</v>
          </cell>
          <cell r="G3916" t="str">
            <v>1</v>
          </cell>
          <cell r="H3916" t="str">
            <v>INDUSTRY</v>
          </cell>
          <cell r="I3916" t="str">
            <v>11</v>
          </cell>
          <cell r="J3916" t="str">
            <v>WOOD COATINGS</v>
          </cell>
          <cell r="K3916" t="str">
            <v>1104</v>
          </cell>
          <cell r="L3916" t="str">
            <v>NC</v>
          </cell>
          <cell r="M3916" t="str">
            <v>110405</v>
          </cell>
          <cell r="N3916" t="str">
            <v>NC SYSTEM</v>
          </cell>
        </row>
        <row r="3917">
          <cell r="C3917" t="str">
            <v>100005386</v>
          </cell>
          <cell r="D3917" t="str">
            <v>WBL-61202 CLEAR 20 VN-20KP</v>
          </cell>
          <cell r="E3917" t="str">
            <v>ZFGD</v>
          </cell>
          <cell r="F3917" t="str">
            <v>PC</v>
          </cell>
          <cell r="G3917" t="str">
            <v>1</v>
          </cell>
          <cell r="H3917" t="str">
            <v>INDUSTRY</v>
          </cell>
          <cell r="I3917" t="str">
            <v>11</v>
          </cell>
          <cell r="J3917" t="str">
            <v>WOOD COATINGS</v>
          </cell>
          <cell r="K3917" t="str">
            <v>1119</v>
          </cell>
          <cell r="L3917" t="str">
            <v>WATERBASED</v>
          </cell>
          <cell r="M3917" t="str">
            <v>111902</v>
          </cell>
          <cell r="N3917" t="str">
            <v>WATERBASED SYSTEM INTERIOR</v>
          </cell>
        </row>
        <row r="3918">
          <cell r="C3918" t="str">
            <v>100005387</v>
          </cell>
          <cell r="D3918" t="str">
            <v>WBSS-61104 SIDE VN-20KP</v>
          </cell>
          <cell r="E3918" t="str">
            <v>ZFGD</v>
          </cell>
          <cell r="F3918" t="str">
            <v>PC</v>
          </cell>
          <cell r="G3918" t="str">
            <v>1</v>
          </cell>
          <cell r="H3918" t="str">
            <v>INDUSTRY</v>
          </cell>
          <cell r="I3918" t="str">
            <v>11</v>
          </cell>
          <cell r="J3918" t="str">
            <v>WOOD COATINGS</v>
          </cell>
          <cell r="K3918" t="str">
            <v>1119</v>
          </cell>
          <cell r="L3918" t="str">
            <v>WATERBASED</v>
          </cell>
          <cell r="M3918" t="str">
            <v>111902</v>
          </cell>
          <cell r="N3918" t="str">
            <v>WATERBASED SYSTEM INTERIOR</v>
          </cell>
        </row>
        <row r="3919">
          <cell r="C3919" t="str">
            <v>100005388</v>
          </cell>
          <cell r="D3919" t="str">
            <v>PUC-52239 BLACK 01 MK 05 VN-20KP</v>
          </cell>
          <cell r="E3919" t="str">
            <v>ZFGD</v>
          </cell>
          <cell r="F3919" t="str">
            <v>PC</v>
          </cell>
          <cell r="G3919" t="str">
            <v>1</v>
          </cell>
          <cell r="H3919" t="str">
            <v>INDUSTRY</v>
          </cell>
          <cell r="I3919" t="str">
            <v>11</v>
          </cell>
          <cell r="J3919" t="str">
            <v>WOOD COATINGS</v>
          </cell>
          <cell r="K3919" t="str">
            <v>1103</v>
          </cell>
          <cell r="L3919" t="str">
            <v>PU</v>
          </cell>
          <cell r="M3919" t="str">
            <v>110319</v>
          </cell>
          <cell r="N3919" t="str">
            <v>PU COLOR</v>
          </cell>
        </row>
        <row r="3920">
          <cell r="C3920" t="str">
            <v>100005389</v>
          </cell>
          <cell r="D3920" t="str">
            <v>PUC-54205 AC PT18-4220 MK 08 VN-20KP</v>
          </cell>
          <cell r="E3920" t="str">
            <v>ZFGD</v>
          </cell>
          <cell r="F3920" t="str">
            <v>PC</v>
          </cell>
          <cell r="G3920" t="str">
            <v>1</v>
          </cell>
          <cell r="H3920" t="str">
            <v>INDUSTRY</v>
          </cell>
          <cell r="I3920" t="str">
            <v>11</v>
          </cell>
          <cell r="J3920" t="str">
            <v>WOOD COATINGS</v>
          </cell>
          <cell r="K3920" t="str">
            <v>1103</v>
          </cell>
          <cell r="L3920" t="str">
            <v>PU</v>
          </cell>
          <cell r="M3920" t="str">
            <v>110319</v>
          </cell>
          <cell r="N3920" t="str">
            <v>PU COLOR</v>
          </cell>
        </row>
        <row r="3921">
          <cell r="C3921" t="str">
            <v>100005390</v>
          </cell>
          <cell r="D3921" t="str">
            <v>TOL-76301 N 2C-03  F1 VN-16KJ</v>
          </cell>
          <cell r="E3921" t="str">
            <v>ZFGD</v>
          </cell>
          <cell r="F3921" t="str">
            <v>PC</v>
          </cell>
          <cell r="G3921" t="str">
            <v>1</v>
          </cell>
          <cell r="H3921" t="str">
            <v>INDUSTRY</v>
          </cell>
          <cell r="I3921" t="str">
            <v>11</v>
          </cell>
          <cell r="J3921" t="str">
            <v>WOOD COATINGS</v>
          </cell>
          <cell r="K3921" t="str">
            <v>1101</v>
          </cell>
          <cell r="L3921" t="str">
            <v>ALKYD OIL</v>
          </cell>
          <cell r="M3921" t="str">
            <v>110101</v>
          </cell>
          <cell r="N3921" t="str">
            <v>ALKYD &amp; OIL SYSTEM</v>
          </cell>
        </row>
        <row r="3922">
          <cell r="C3922" t="str">
            <v>100005391</v>
          </cell>
          <cell r="D3922" t="str">
            <v>GZPU-21500 13 VC VN-18KP</v>
          </cell>
          <cell r="E3922" t="str">
            <v>ZFGD</v>
          </cell>
          <cell r="F3922" t="str">
            <v>PC</v>
          </cell>
          <cell r="G3922" t="str">
            <v>1</v>
          </cell>
          <cell r="H3922" t="str">
            <v>INDUSTRY</v>
          </cell>
          <cell r="I3922" t="str">
            <v>11</v>
          </cell>
          <cell r="J3922" t="str">
            <v>WOOD COATINGS</v>
          </cell>
          <cell r="K3922" t="str">
            <v>1103</v>
          </cell>
          <cell r="L3922" t="str">
            <v>PU</v>
          </cell>
          <cell r="M3922" t="str">
            <v>110302</v>
          </cell>
          <cell r="N3922" t="str">
            <v>GLAZE PU</v>
          </cell>
        </row>
        <row r="3923">
          <cell r="C3923" t="str">
            <v>100005392</v>
          </cell>
          <cell r="D3923" t="str">
            <v>SST-11100 13 VC VN-16KJ</v>
          </cell>
          <cell r="E3923" t="str">
            <v>ZFGD</v>
          </cell>
          <cell r="F3923" t="str">
            <v>PC</v>
          </cell>
          <cell r="G3923" t="str">
            <v>1</v>
          </cell>
          <cell r="H3923" t="str">
            <v>INDUSTRY</v>
          </cell>
          <cell r="I3923" t="str">
            <v>11</v>
          </cell>
          <cell r="J3923" t="str">
            <v>WOOD COATINGS</v>
          </cell>
          <cell r="K3923" t="str">
            <v>1109</v>
          </cell>
          <cell r="L3923" t="str">
            <v>STAIN &amp; GLAZE INTERIOR</v>
          </cell>
          <cell r="M3923" t="str">
            <v>110903</v>
          </cell>
          <cell r="N3923" t="str">
            <v>STAIN INTERIOR</v>
          </cell>
        </row>
        <row r="3924">
          <cell r="C3924" t="str">
            <v>100005393</v>
          </cell>
          <cell r="D3924" t="str">
            <v>SST-11100 13 VC VN-160KK</v>
          </cell>
          <cell r="E3924" t="str">
            <v>ZFGD</v>
          </cell>
          <cell r="F3924" t="str">
            <v>PC</v>
          </cell>
          <cell r="G3924" t="str">
            <v>1</v>
          </cell>
          <cell r="H3924" t="str">
            <v>INDUSTRY</v>
          </cell>
          <cell r="I3924" t="str">
            <v>11</v>
          </cell>
          <cell r="J3924" t="str">
            <v>WOOD COATINGS</v>
          </cell>
          <cell r="K3924" t="str">
            <v>1109</v>
          </cell>
          <cell r="L3924" t="str">
            <v>STAIN &amp; GLAZE INTERIOR</v>
          </cell>
          <cell r="M3924" t="str">
            <v>110903</v>
          </cell>
          <cell r="N3924" t="str">
            <v>STAIN INTERIOR</v>
          </cell>
        </row>
        <row r="3925">
          <cell r="C3925" t="str">
            <v>100005394</v>
          </cell>
          <cell r="D3925" t="str">
            <v>DP-32-1512BU-AK-18KP</v>
          </cell>
          <cell r="E3925" t="str">
            <v>ZFGD</v>
          </cell>
          <cell r="F3925" t="str">
            <v>PC</v>
          </cell>
          <cell r="G3925" t="str">
            <v>1</v>
          </cell>
          <cell r="H3925" t="str">
            <v>INDUSTRY</v>
          </cell>
          <cell r="I3925" t="str">
            <v>11</v>
          </cell>
          <cell r="J3925" t="str">
            <v>WOOD COATINGS</v>
          </cell>
          <cell r="K3925" t="str">
            <v>1104</v>
          </cell>
          <cell r="L3925" t="str">
            <v>NC</v>
          </cell>
          <cell r="M3925" t="str">
            <v>110405</v>
          </cell>
          <cell r="N3925" t="str">
            <v>NC SYSTEM</v>
          </cell>
        </row>
        <row r="3926">
          <cell r="C3926" t="str">
            <v>100005395</v>
          </cell>
          <cell r="D3926" t="str">
            <v>DP-32-1512BU-AK-180KB</v>
          </cell>
          <cell r="E3926" t="str">
            <v>ZFGD</v>
          </cell>
          <cell r="F3926" t="str">
            <v>PC</v>
          </cell>
          <cell r="G3926" t="str">
            <v>1</v>
          </cell>
          <cell r="H3926" t="str">
            <v>INDUSTRY</v>
          </cell>
          <cell r="I3926" t="str">
            <v>11</v>
          </cell>
          <cell r="J3926" t="str">
            <v>WOOD COATINGS</v>
          </cell>
          <cell r="K3926" t="str">
            <v>1104</v>
          </cell>
          <cell r="L3926" t="str">
            <v>NC</v>
          </cell>
          <cell r="M3926" t="str">
            <v>110405</v>
          </cell>
          <cell r="N3926" t="str">
            <v>NC SYSTEM</v>
          </cell>
        </row>
        <row r="3927">
          <cell r="C3927" t="str">
            <v>100005396</v>
          </cell>
          <cell r="D3927" t="str">
            <v>DP-32-1512YE-AK-18KP</v>
          </cell>
          <cell r="E3927" t="str">
            <v>ZFGD</v>
          </cell>
          <cell r="F3927" t="str">
            <v>PC</v>
          </cell>
          <cell r="G3927" t="str">
            <v>1</v>
          </cell>
          <cell r="H3927" t="str">
            <v>INDUSTRY</v>
          </cell>
          <cell r="I3927" t="str">
            <v>11</v>
          </cell>
          <cell r="J3927" t="str">
            <v>WOOD COATINGS</v>
          </cell>
          <cell r="K3927" t="str">
            <v>1104</v>
          </cell>
          <cell r="L3927" t="str">
            <v>NC</v>
          </cell>
          <cell r="M3927" t="str">
            <v>110405</v>
          </cell>
          <cell r="N3927" t="str">
            <v>NC SYSTEM</v>
          </cell>
        </row>
        <row r="3928">
          <cell r="C3928" t="str">
            <v>100005397</v>
          </cell>
          <cell r="D3928" t="str">
            <v>DP-32-1512YE-AK-180KB</v>
          </cell>
          <cell r="E3928" t="str">
            <v>ZFGD</v>
          </cell>
          <cell r="F3928" t="str">
            <v>PC</v>
          </cell>
          <cell r="G3928" t="str">
            <v>1</v>
          </cell>
          <cell r="H3928" t="str">
            <v>INDUSTRY</v>
          </cell>
          <cell r="I3928" t="str">
            <v>11</v>
          </cell>
          <cell r="J3928" t="str">
            <v>WOOD COATINGS</v>
          </cell>
          <cell r="K3928" t="str">
            <v>1104</v>
          </cell>
          <cell r="L3928" t="str">
            <v>NC</v>
          </cell>
          <cell r="M3928" t="str">
            <v>110405</v>
          </cell>
          <cell r="N3928" t="str">
            <v>NC SYSTEM</v>
          </cell>
        </row>
        <row r="3929">
          <cell r="C3929" t="str">
            <v>100005398</v>
          </cell>
          <cell r="D3929" t="str">
            <v>DP-32-1512WH-AK-18KP</v>
          </cell>
          <cell r="E3929" t="str">
            <v>ZFGD</v>
          </cell>
          <cell r="F3929" t="str">
            <v>PC</v>
          </cell>
          <cell r="G3929" t="str">
            <v>1</v>
          </cell>
          <cell r="H3929" t="str">
            <v>INDUSTRY</v>
          </cell>
          <cell r="I3929" t="str">
            <v>11</v>
          </cell>
          <cell r="J3929" t="str">
            <v>WOOD COATINGS</v>
          </cell>
          <cell r="K3929" t="str">
            <v>1104</v>
          </cell>
          <cell r="L3929" t="str">
            <v>NC</v>
          </cell>
          <cell r="M3929" t="str">
            <v>110405</v>
          </cell>
          <cell r="N3929" t="str">
            <v>NC SYSTEM</v>
          </cell>
        </row>
        <row r="3930">
          <cell r="C3930" t="str">
            <v>100005399</v>
          </cell>
          <cell r="D3930" t="str">
            <v>DP-32-1512WH-AK-180KB</v>
          </cell>
          <cell r="E3930" t="str">
            <v>ZFGD</v>
          </cell>
          <cell r="F3930" t="str">
            <v>PC</v>
          </cell>
          <cell r="G3930" t="str">
            <v>1</v>
          </cell>
          <cell r="H3930" t="str">
            <v>INDUSTRY</v>
          </cell>
          <cell r="I3930" t="str">
            <v>11</v>
          </cell>
          <cell r="J3930" t="str">
            <v>WOOD COATINGS</v>
          </cell>
          <cell r="K3930" t="str">
            <v>1104</v>
          </cell>
          <cell r="L3930" t="str">
            <v>NC</v>
          </cell>
          <cell r="M3930" t="str">
            <v>110405</v>
          </cell>
          <cell r="N3930" t="str">
            <v>NC SYSTEM</v>
          </cell>
        </row>
        <row r="3931">
          <cell r="C3931" t="str">
            <v>100005400</v>
          </cell>
          <cell r="D3931" t="str">
            <v>PUP-54111 AC DUNE KD VN-20KP</v>
          </cell>
          <cell r="E3931" t="str">
            <v>ZFGD</v>
          </cell>
          <cell r="F3931" t="str">
            <v>PC</v>
          </cell>
          <cell r="G3931" t="str">
            <v>1</v>
          </cell>
          <cell r="H3931" t="str">
            <v>INDUSTRY</v>
          </cell>
          <cell r="I3931" t="str">
            <v>11</v>
          </cell>
          <cell r="J3931" t="str">
            <v>WOOD COATINGS</v>
          </cell>
          <cell r="K3931" t="str">
            <v>1103</v>
          </cell>
          <cell r="L3931" t="str">
            <v>PU</v>
          </cell>
          <cell r="M3931" t="str">
            <v>110322</v>
          </cell>
          <cell r="N3931" t="str">
            <v>PU PRIMER</v>
          </cell>
        </row>
        <row r="3932">
          <cell r="C3932" t="str">
            <v>100005401</v>
          </cell>
          <cell r="D3932" t="str">
            <v>PCL-2313-YOK-AK-4K</v>
          </cell>
          <cell r="E3932" t="str">
            <v>ZFGD</v>
          </cell>
          <cell r="F3932" t="str">
            <v>PC</v>
          </cell>
          <cell r="G3932" t="str">
            <v>1</v>
          </cell>
          <cell r="H3932" t="str">
            <v>INDUSTRY</v>
          </cell>
          <cell r="I3932" t="str">
            <v>11</v>
          </cell>
          <cell r="J3932" t="str">
            <v>WOOD COATINGS</v>
          </cell>
          <cell r="K3932" t="str">
            <v>1118</v>
          </cell>
          <cell r="L3932" t="str">
            <v>COMPLEMENTARY</v>
          </cell>
          <cell r="M3932" t="str">
            <v>111807</v>
          </cell>
          <cell r="N3932" t="str">
            <v>PASTA</v>
          </cell>
        </row>
        <row r="3933">
          <cell r="C3933" t="str">
            <v>100005402</v>
          </cell>
          <cell r="D3933" t="str">
            <v>PCL-2313-BL-AK-4K</v>
          </cell>
          <cell r="E3933" t="str">
            <v>ZFGD</v>
          </cell>
          <cell r="F3933" t="str">
            <v>PC</v>
          </cell>
          <cell r="G3933" t="str">
            <v>1</v>
          </cell>
          <cell r="H3933" t="str">
            <v>INDUSTRY</v>
          </cell>
          <cell r="I3933" t="str">
            <v>11</v>
          </cell>
          <cell r="J3933" t="str">
            <v>WOOD COATINGS</v>
          </cell>
          <cell r="K3933" t="str">
            <v>1118</v>
          </cell>
          <cell r="L3933" t="str">
            <v>COMPLEMENTARY</v>
          </cell>
          <cell r="M3933" t="str">
            <v>111807</v>
          </cell>
          <cell r="N3933" t="str">
            <v>PASTA</v>
          </cell>
        </row>
        <row r="3934">
          <cell r="C3934" t="str">
            <v>100005403</v>
          </cell>
          <cell r="D3934" t="str">
            <v>PCL-2313-ROB-AK-4K</v>
          </cell>
          <cell r="E3934" t="str">
            <v>ZFGD</v>
          </cell>
          <cell r="F3934" t="str">
            <v>PC</v>
          </cell>
          <cell r="G3934" t="str">
            <v>1</v>
          </cell>
          <cell r="H3934" t="str">
            <v>INDUSTRY</v>
          </cell>
          <cell r="I3934" t="str">
            <v>11</v>
          </cell>
          <cell r="J3934" t="str">
            <v>WOOD COATINGS</v>
          </cell>
          <cell r="K3934" t="str">
            <v>1118</v>
          </cell>
          <cell r="L3934" t="str">
            <v>COMPLEMENTARY</v>
          </cell>
          <cell r="M3934" t="str">
            <v>111807</v>
          </cell>
          <cell r="N3934" t="str">
            <v>PASTA</v>
          </cell>
        </row>
        <row r="3935">
          <cell r="C3935" t="str">
            <v>100005404</v>
          </cell>
          <cell r="D3935" t="str">
            <v>PCL-2313-BOG-AK-4K</v>
          </cell>
          <cell r="E3935" t="str">
            <v>ZFGD</v>
          </cell>
          <cell r="F3935" t="str">
            <v>PC</v>
          </cell>
          <cell r="G3935" t="str">
            <v>1</v>
          </cell>
          <cell r="H3935" t="str">
            <v>INDUSTRY</v>
          </cell>
          <cell r="I3935" t="str">
            <v>11</v>
          </cell>
          <cell r="J3935" t="str">
            <v>WOOD COATINGS</v>
          </cell>
          <cell r="K3935" t="str">
            <v>1118</v>
          </cell>
          <cell r="L3935" t="str">
            <v>COMPLEMENTARY</v>
          </cell>
          <cell r="M3935" t="str">
            <v>111807</v>
          </cell>
          <cell r="N3935" t="str">
            <v>PASTA</v>
          </cell>
        </row>
        <row r="3936">
          <cell r="C3936" t="str">
            <v>100005405</v>
          </cell>
          <cell r="D3936" t="str">
            <v>UVP-60508 FHO SC VN-20KP</v>
          </cell>
          <cell r="E3936" t="str">
            <v>ZFGD</v>
          </cell>
          <cell r="F3936" t="str">
            <v>PC</v>
          </cell>
          <cell r="G3936" t="str">
            <v>1</v>
          </cell>
          <cell r="H3936" t="str">
            <v>INDUSTRY</v>
          </cell>
          <cell r="I3936" t="str">
            <v>11</v>
          </cell>
          <cell r="J3936" t="str">
            <v>WOOD COATINGS</v>
          </cell>
          <cell r="K3936" t="str">
            <v>1106</v>
          </cell>
          <cell r="L3936" t="str">
            <v>UV</v>
          </cell>
          <cell r="M3936" t="str">
            <v>110604</v>
          </cell>
          <cell r="N3936" t="str">
            <v>UV PRIMER</v>
          </cell>
        </row>
        <row r="3937">
          <cell r="C3937" t="str">
            <v>100005406</v>
          </cell>
          <cell r="D3937" t="str">
            <v>PRCC-20616 EPOXY SIZE CL-180KK</v>
          </cell>
          <cell r="E3937" t="str">
            <v>ZFGD</v>
          </cell>
          <cell r="F3937" t="str">
            <v>PC</v>
          </cell>
          <cell r="G3937" t="str">
            <v>1</v>
          </cell>
          <cell r="H3937" t="str">
            <v>INDUSTRY</v>
          </cell>
          <cell r="I3937" t="str">
            <v>12</v>
          </cell>
          <cell r="J3937" t="str">
            <v>CAN COATINGS</v>
          </cell>
          <cell r="K3937" t="str">
            <v>1201</v>
          </cell>
          <cell r="L3937" t="str">
            <v>CAN COATINGS</v>
          </cell>
          <cell r="M3937" t="str">
            <v>120101</v>
          </cell>
          <cell r="N3937" t="str">
            <v>CAN COATINGS</v>
          </cell>
        </row>
        <row r="3938">
          <cell r="C3938" t="str">
            <v>100005407</v>
          </cell>
          <cell r="D3938" t="str">
            <v>PUC-52239 AF 680 30 TL VN-20KP</v>
          </cell>
          <cell r="E3938" t="str">
            <v>ZFGD</v>
          </cell>
          <cell r="F3938" t="str">
            <v>PC</v>
          </cell>
          <cell r="G3938" t="str">
            <v>1</v>
          </cell>
          <cell r="H3938" t="str">
            <v>INDUSTRY</v>
          </cell>
          <cell r="I3938" t="str">
            <v>11</v>
          </cell>
          <cell r="J3938" t="str">
            <v>WOOD COATINGS</v>
          </cell>
          <cell r="K3938" t="str">
            <v>1103</v>
          </cell>
          <cell r="L3938" t="str">
            <v>PU</v>
          </cell>
          <cell r="M3938" t="str">
            <v>110319</v>
          </cell>
          <cell r="N3938" t="str">
            <v>PU COLOR</v>
          </cell>
        </row>
        <row r="3939">
          <cell r="C3939" t="str">
            <v>100005408</v>
          </cell>
          <cell r="D3939" t="str">
            <v>PUP-54111 AC GREY RDS VN-20KP</v>
          </cell>
          <cell r="E3939" t="str">
            <v>ZFGD</v>
          </cell>
          <cell r="F3939" t="str">
            <v>PC</v>
          </cell>
          <cell r="G3939" t="str">
            <v>1</v>
          </cell>
          <cell r="H3939" t="str">
            <v>INDUSTRY</v>
          </cell>
          <cell r="I3939" t="str">
            <v>11</v>
          </cell>
          <cell r="J3939" t="str">
            <v>WOOD COATINGS</v>
          </cell>
          <cell r="K3939" t="str">
            <v>1103</v>
          </cell>
          <cell r="L3939" t="str">
            <v>PU</v>
          </cell>
          <cell r="M3939" t="str">
            <v>110322</v>
          </cell>
          <cell r="N3939" t="str">
            <v>PU PRIMER</v>
          </cell>
        </row>
        <row r="3940">
          <cell r="C3940" t="str">
            <v>100005409</v>
          </cell>
          <cell r="D3940" t="str">
            <v>PUP-54111 AC GREY 1A RDS VN-20KP</v>
          </cell>
          <cell r="E3940" t="str">
            <v>ZFGD</v>
          </cell>
          <cell r="F3940" t="str">
            <v>PC</v>
          </cell>
          <cell r="G3940" t="str">
            <v>1</v>
          </cell>
          <cell r="H3940" t="str">
            <v>INDUSTRY</v>
          </cell>
          <cell r="I3940" t="str">
            <v>11</v>
          </cell>
          <cell r="J3940" t="str">
            <v>WOOD COATINGS</v>
          </cell>
          <cell r="K3940" t="str">
            <v>1103</v>
          </cell>
          <cell r="L3940" t="str">
            <v>PU</v>
          </cell>
          <cell r="M3940" t="str">
            <v>110322</v>
          </cell>
          <cell r="N3940" t="str">
            <v>PU PRIMER</v>
          </cell>
        </row>
        <row r="3941">
          <cell r="C3941" t="str">
            <v>100005410</v>
          </cell>
          <cell r="D3941" t="str">
            <v>WBP-62104 WHITE VN-20KP</v>
          </cell>
          <cell r="E3941" t="str">
            <v>ZFGD</v>
          </cell>
          <cell r="F3941" t="str">
            <v>PC</v>
          </cell>
          <cell r="G3941" t="str">
            <v>1</v>
          </cell>
          <cell r="H3941" t="str">
            <v>INDUSTRY</v>
          </cell>
          <cell r="I3941" t="str">
            <v>11</v>
          </cell>
          <cell r="J3941" t="str">
            <v>WOOD COATINGS</v>
          </cell>
          <cell r="K3941" t="str">
            <v>1119</v>
          </cell>
          <cell r="L3941" t="str">
            <v>WATERBASED</v>
          </cell>
          <cell r="M3941" t="str">
            <v>111902</v>
          </cell>
          <cell r="N3941" t="str">
            <v>WATERBASED SYSTEM INTERIOR</v>
          </cell>
        </row>
        <row r="3942">
          <cell r="C3942" t="str">
            <v>100005411</v>
          </cell>
          <cell r="D3942" t="str">
            <v>DC-12229 LC BLACK 00 20 GR VN-18KP</v>
          </cell>
          <cell r="E3942" t="str">
            <v>ZFGD</v>
          </cell>
          <cell r="F3942" t="str">
            <v>PC</v>
          </cell>
          <cell r="G3942" t="str">
            <v>1</v>
          </cell>
          <cell r="H3942" t="str">
            <v>INDUSTRY</v>
          </cell>
          <cell r="I3942" t="str">
            <v>11</v>
          </cell>
          <cell r="J3942" t="str">
            <v>WOOD COATINGS</v>
          </cell>
          <cell r="K3942" t="str">
            <v>1104</v>
          </cell>
          <cell r="L3942" t="str">
            <v>NC</v>
          </cell>
          <cell r="M3942" t="str">
            <v>110405</v>
          </cell>
          <cell r="N3942" t="str">
            <v>NC SYSTEM</v>
          </cell>
        </row>
        <row r="3943">
          <cell r="C3943" t="str">
            <v>100005412</v>
          </cell>
          <cell r="D3943" t="str">
            <v>DC-12223 LC GREY 00 25 GR VN-18KP</v>
          </cell>
          <cell r="E3943" t="str">
            <v>ZFGD</v>
          </cell>
          <cell r="F3943" t="str">
            <v>PC</v>
          </cell>
          <cell r="G3943" t="str">
            <v>1</v>
          </cell>
          <cell r="H3943" t="str">
            <v>INDUSTRY</v>
          </cell>
          <cell r="I3943" t="str">
            <v>11</v>
          </cell>
          <cell r="J3943" t="str">
            <v>WOOD COATINGS</v>
          </cell>
          <cell r="K3943" t="str">
            <v>1104</v>
          </cell>
          <cell r="L3943" t="str">
            <v>NC</v>
          </cell>
          <cell r="M3943" t="str">
            <v>110405</v>
          </cell>
          <cell r="N3943" t="str">
            <v>NC SYSTEM</v>
          </cell>
        </row>
        <row r="3944">
          <cell r="C3944" t="str">
            <v>100005413</v>
          </cell>
          <cell r="D3944" t="str">
            <v>DP-12123 LC GREY 00 GR VN-18KP</v>
          </cell>
          <cell r="E3944" t="str">
            <v>ZFGD</v>
          </cell>
          <cell r="F3944" t="str">
            <v>PC</v>
          </cell>
          <cell r="G3944" t="str">
            <v>1</v>
          </cell>
          <cell r="H3944" t="str">
            <v>INDUSTRY</v>
          </cell>
          <cell r="I3944" t="str">
            <v>11</v>
          </cell>
          <cell r="J3944" t="str">
            <v>WOOD COATINGS</v>
          </cell>
          <cell r="K3944" t="str">
            <v>1104</v>
          </cell>
          <cell r="L3944" t="str">
            <v>NC</v>
          </cell>
          <cell r="M3944" t="str">
            <v>110405</v>
          </cell>
          <cell r="N3944" t="str">
            <v>NC SYSTEM</v>
          </cell>
        </row>
        <row r="3945">
          <cell r="C3945" t="str">
            <v>100005414</v>
          </cell>
          <cell r="D3945" t="str">
            <v>UVS-20602 GMR 01 SC VN-5K</v>
          </cell>
          <cell r="E3945" t="str">
            <v>ZFGD</v>
          </cell>
          <cell r="F3945" t="str">
            <v>PC</v>
          </cell>
          <cell r="G3945" t="str">
            <v>1</v>
          </cell>
          <cell r="H3945" t="str">
            <v>INDUSTRY</v>
          </cell>
          <cell r="I3945" t="str">
            <v>11</v>
          </cell>
          <cell r="J3945" t="str">
            <v>WOOD COATINGS</v>
          </cell>
          <cell r="K3945" t="str">
            <v>1106</v>
          </cell>
          <cell r="L3945" t="str">
            <v>UV</v>
          </cell>
          <cell r="M3945" t="str">
            <v>110606</v>
          </cell>
          <cell r="N3945" t="str">
            <v>UV STAIN</v>
          </cell>
        </row>
        <row r="3946">
          <cell r="C3946" t="str">
            <v>100005415</v>
          </cell>
          <cell r="D3946" t="str">
            <v>UVS-20602 GMR 02 SC VN-5K</v>
          </cell>
          <cell r="E3946" t="str">
            <v>ZFGD</v>
          </cell>
          <cell r="F3946" t="str">
            <v>PC</v>
          </cell>
          <cell r="G3946" t="str">
            <v>1</v>
          </cell>
          <cell r="H3946" t="str">
            <v>INDUSTRY</v>
          </cell>
          <cell r="I3946" t="str">
            <v>11</v>
          </cell>
          <cell r="J3946" t="str">
            <v>WOOD COATINGS</v>
          </cell>
          <cell r="K3946" t="str">
            <v>1106</v>
          </cell>
          <cell r="L3946" t="str">
            <v>UV</v>
          </cell>
          <cell r="M3946" t="str">
            <v>110606</v>
          </cell>
          <cell r="N3946" t="str">
            <v>UV STAIN</v>
          </cell>
        </row>
        <row r="3947">
          <cell r="C3947" t="str">
            <v>100005416</v>
          </cell>
          <cell r="D3947" t="str">
            <v>UVS-20602 SLP NEW 01 SC VN-5K</v>
          </cell>
          <cell r="E3947" t="str">
            <v>ZFGD</v>
          </cell>
          <cell r="F3947" t="str">
            <v>PC</v>
          </cell>
          <cell r="G3947" t="str">
            <v>1</v>
          </cell>
          <cell r="H3947" t="str">
            <v>INDUSTRY</v>
          </cell>
          <cell r="I3947" t="str">
            <v>11</v>
          </cell>
          <cell r="J3947" t="str">
            <v>WOOD COATINGS</v>
          </cell>
          <cell r="K3947" t="str">
            <v>1106</v>
          </cell>
          <cell r="L3947" t="str">
            <v>UV</v>
          </cell>
          <cell r="M3947" t="str">
            <v>110606</v>
          </cell>
          <cell r="N3947" t="str">
            <v>UV STAIN</v>
          </cell>
        </row>
        <row r="3948">
          <cell r="C3948" t="str">
            <v>100005417</v>
          </cell>
          <cell r="D3948" t="str">
            <v>UVS-20602 SLP NEW 02 SC VN-5K</v>
          </cell>
          <cell r="E3948" t="str">
            <v>ZFGD</v>
          </cell>
          <cell r="F3948" t="str">
            <v>PC</v>
          </cell>
          <cell r="G3948" t="str">
            <v>1</v>
          </cell>
          <cell r="H3948" t="str">
            <v>INDUSTRY</v>
          </cell>
          <cell r="I3948" t="str">
            <v>11</v>
          </cell>
          <cell r="J3948" t="str">
            <v>WOOD COATINGS</v>
          </cell>
          <cell r="K3948" t="str">
            <v>1106</v>
          </cell>
          <cell r="L3948" t="str">
            <v>UV</v>
          </cell>
          <cell r="M3948" t="str">
            <v>110606</v>
          </cell>
          <cell r="N3948" t="str">
            <v>UV STAIN</v>
          </cell>
        </row>
        <row r="3949">
          <cell r="C3949" t="str">
            <v>100005418</v>
          </cell>
          <cell r="D3949" t="str">
            <v>UVS-20602 SLP NEW 03 SC VN-5K</v>
          </cell>
          <cell r="E3949" t="str">
            <v>ZFGD</v>
          </cell>
          <cell r="F3949" t="str">
            <v>PC</v>
          </cell>
          <cell r="G3949" t="str">
            <v>1</v>
          </cell>
          <cell r="H3949" t="str">
            <v>INDUSTRY</v>
          </cell>
          <cell r="I3949" t="str">
            <v>11</v>
          </cell>
          <cell r="J3949" t="str">
            <v>WOOD COATINGS</v>
          </cell>
          <cell r="K3949" t="str">
            <v>1106</v>
          </cell>
          <cell r="L3949" t="str">
            <v>UV</v>
          </cell>
          <cell r="M3949" t="str">
            <v>110606</v>
          </cell>
          <cell r="N3949" t="str">
            <v>UV STAIN</v>
          </cell>
        </row>
        <row r="3950">
          <cell r="C3950" t="str">
            <v>100005419</v>
          </cell>
          <cell r="D3950" t="str">
            <v>PUC-54206 AC EX CANAC 03 F1 VN-18KP</v>
          </cell>
          <cell r="E3950" t="str">
            <v>ZFGD</v>
          </cell>
          <cell r="F3950" t="str">
            <v>PC</v>
          </cell>
          <cell r="G3950" t="str">
            <v>1</v>
          </cell>
          <cell r="H3950" t="str">
            <v>INDUSTRY</v>
          </cell>
          <cell r="I3950" t="str">
            <v>11</v>
          </cell>
          <cell r="J3950" t="str">
            <v>WOOD COATINGS</v>
          </cell>
          <cell r="K3950" t="str">
            <v>1103</v>
          </cell>
          <cell r="L3950" t="str">
            <v>PU</v>
          </cell>
          <cell r="M3950" t="str">
            <v>110319</v>
          </cell>
          <cell r="N3950" t="str">
            <v>PU COLOR</v>
          </cell>
        </row>
        <row r="3951">
          <cell r="C3951" t="str">
            <v>100005420</v>
          </cell>
          <cell r="D3951" t="str">
            <v>PUC-52239 PL101 20 TL VN-20KP</v>
          </cell>
          <cell r="E3951" t="str">
            <v>ZFGD</v>
          </cell>
          <cell r="F3951" t="str">
            <v>PC</v>
          </cell>
          <cell r="G3951" t="str">
            <v>1</v>
          </cell>
          <cell r="H3951" t="str">
            <v>INDUSTRY</v>
          </cell>
          <cell r="I3951" t="str">
            <v>11</v>
          </cell>
          <cell r="J3951" t="str">
            <v>WOOD COATINGS</v>
          </cell>
          <cell r="K3951" t="str">
            <v>1103</v>
          </cell>
          <cell r="L3951" t="str">
            <v>PU</v>
          </cell>
          <cell r="M3951" t="str">
            <v>110319</v>
          </cell>
          <cell r="N3951" t="str">
            <v>PU COLOR</v>
          </cell>
        </row>
        <row r="3952">
          <cell r="C3952" t="str">
            <v>100005421</v>
          </cell>
          <cell r="D3952" t="str">
            <v>UVP-60508 BASE VN-20KP</v>
          </cell>
          <cell r="E3952" t="str">
            <v>ZFGD</v>
          </cell>
          <cell r="F3952" t="str">
            <v>PC</v>
          </cell>
          <cell r="G3952" t="str">
            <v>1</v>
          </cell>
          <cell r="H3952" t="str">
            <v>INDUSTRY</v>
          </cell>
          <cell r="I3952" t="str">
            <v>11</v>
          </cell>
          <cell r="J3952" t="str">
            <v>WOOD COATINGS</v>
          </cell>
          <cell r="K3952" t="str">
            <v>1106</v>
          </cell>
          <cell r="L3952" t="str">
            <v>UV</v>
          </cell>
          <cell r="M3952" t="str">
            <v>110604</v>
          </cell>
          <cell r="N3952" t="str">
            <v>UV PRIMER</v>
          </cell>
        </row>
        <row r="3953">
          <cell r="C3953" t="str">
            <v>100005422</v>
          </cell>
          <cell r="D3953" t="str">
            <v>UVP-60508 WHITE VN-20KP</v>
          </cell>
          <cell r="E3953" t="str">
            <v>ZFGD</v>
          </cell>
          <cell r="F3953" t="str">
            <v>PC</v>
          </cell>
          <cell r="G3953" t="str">
            <v>1</v>
          </cell>
          <cell r="H3953" t="str">
            <v>INDUSTRY</v>
          </cell>
          <cell r="I3953" t="str">
            <v>11</v>
          </cell>
          <cell r="J3953" t="str">
            <v>WOOD COATINGS</v>
          </cell>
          <cell r="K3953" t="str">
            <v>1106</v>
          </cell>
          <cell r="L3953" t="str">
            <v>UV</v>
          </cell>
          <cell r="M3953" t="str">
            <v>110604</v>
          </cell>
          <cell r="N3953" t="str">
            <v>UV PRIMER</v>
          </cell>
        </row>
        <row r="3954">
          <cell r="C3954" t="str">
            <v>100005423</v>
          </cell>
          <cell r="D3954" t="str">
            <v>UVP-60508 BLACK VN-20KP</v>
          </cell>
          <cell r="E3954" t="str">
            <v>ZFGD</v>
          </cell>
          <cell r="F3954" t="str">
            <v>PC</v>
          </cell>
          <cell r="G3954" t="str">
            <v>1</v>
          </cell>
          <cell r="H3954" t="str">
            <v>INDUSTRY</v>
          </cell>
          <cell r="I3954" t="str">
            <v>11</v>
          </cell>
          <cell r="J3954" t="str">
            <v>WOOD COATINGS</v>
          </cell>
          <cell r="K3954" t="str">
            <v>1106</v>
          </cell>
          <cell r="L3954" t="str">
            <v>UV</v>
          </cell>
          <cell r="M3954" t="str">
            <v>110604</v>
          </cell>
          <cell r="N3954" t="str">
            <v>UV PRIMER</v>
          </cell>
        </row>
        <row r="3955">
          <cell r="C3955" t="str">
            <v>100005424</v>
          </cell>
          <cell r="D3955" t="str">
            <v>UVP-60508 OAK SC VN-20KP</v>
          </cell>
          <cell r="E3955" t="str">
            <v>ZFGD</v>
          </cell>
          <cell r="F3955" t="str">
            <v>PC</v>
          </cell>
          <cell r="G3955" t="str">
            <v>1</v>
          </cell>
          <cell r="H3955" t="str">
            <v>INDUSTRY</v>
          </cell>
          <cell r="I3955" t="str">
            <v>11</v>
          </cell>
          <cell r="J3955" t="str">
            <v>WOOD COATINGS</v>
          </cell>
          <cell r="K3955" t="str">
            <v>1106</v>
          </cell>
          <cell r="L3955" t="str">
            <v>UV</v>
          </cell>
          <cell r="M3955" t="str">
            <v>110604</v>
          </cell>
          <cell r="N3955" t="str">
            <v>UV PRIMER</v>
          </cell>
        </row>
        <row r="3956">
          <cell r="C3956" t="str">
            <v>100005425</v>
          </cell>
          <cell r="D3956" t="str">
            <v>UVP-60508 DLG SC VN-20KP</v>
          </cell>
          <cell r="E3956" t="str">
            <v>ZFGD</v>
          </cell>
          <cell r="F3956" t="str">
            <v>PC</v>
          </cell>
          <cell r="G3956" t="str">
            <v>1</v>
          </cell>
          <cell r="H3956" t="str">
            <v>INDUSTRY</v>
          </cell>
          <cell r="I3956" t="str">
            <v>11</v>
          </cell>
          <cell r="J3956" t="str">
            <v>WOOD COATINGS</v>
          </cell>
          <cell r="K3956" t="str">
            <v>1106</v>
          </cell>
          <cell r="L3956" t="str">
            <v>UV</v>
          </cell>
          <cell r="M3956" t="str">
            <v>110604</v>
          </cell>
          <cell r="N3956" t="str">
            <v>UV PRIMER</v>
          </cell>
        </row>
        <row r="3957">
          <cell r="C3957" t="str">
            <v>100005426</v>
          </cell>
          <cell r="D3957" t="str">
            <v>UVS-20602 FHO 01 SC VN-5K</v>
          </cell>
          <cell r="E3957" t="str">
            <v>ZFGD</v>
          </cell>
          <cell r="F3957" t="str">
            <v>PC</v>
          </cell>
          <cell r="G3957" t="str">
            <v>1</v>
          </cell>
          <cell r="H3957" t="str">
            <v>INDUSTRY</v>
          </cell>
          <cell r="I3957" t="str">
            <v>11</v>
          </cell>
          <cell r="J3957" t="str">
            <v>WOOD COATINGS</v>
          </cell>
          <cell r="K3957" t="str">
            <v>1106</v>
          </cell>
          <cell r="L3957" t="str">
            <v>UV</v>
          </cell>
          <cell r="M3957" t="str">
            <v>110606</v>
          </cell>
          <cell r="N3957" t="str">
            <v>UV STAIN</v>
          </cell>
        </row>
        <row r="3958">
          <cell r="C3958" t="str">
            <v>100005427</v>
          </cell>
          <cell r="D3958" t="str">
            <v>UVS-20602 FHO 02 SC VN-5K</v>
          </cell>
          <cell r="E3958" t="str">
            <v>ZFGD</v>
          </cell>
          <cell r="F3958" t="str">
            <v>PC</v>
          </cell>
          <cell r="G3958" t="str">
            <v>1</v>
          </cell>
          <cell r="H3958" t="str">
            <v>INDUSTRY</v>
          </cell>
          <cell r="I3958" t="str">
            <v>11</v>
          </cell>
          <cell r="J3958" t="str">
            <v>WOOD COATINGS</v>
          </cell>
          <cell r="K3958" t="str">
            <v>1106</v>
          </cell>
          <cell r="L3958" t="str">
            <v>UV</v>
          </cell>
          <cell r="M3958" t="str">
            <v>110606</v>
          </cell>
          <cell r="N3958" t="str">
            <v>UV STAIN</v>
          </cell>
        </row>
        <row r="3959">
          <cell r="C3959" t="str">
            <v>100005428</v>
          </cell>
          <cell r="D3959" t="str">
            <v>UVS-20602 WWL 01 SC VN-5K</v>
          </cell>
          <cell r="E3959" t="str">
            <v>ZFGD</v>
          </cell>
          <cell r="F3959" t="str">
            <v>PC</v>
          </cell>
          <cell r="G3959" t="str">
            <v>1</v>
          </cell>
          <cell r="H3959" t="str">
            <v>INDUSTRY</v>
          </cell>
          <cell r="I3959" t="str">
            <v>11</v>
          </cell>
          <cell r="J3959" t="str">
            <v>WOOD COATINGS</v>
          </cell>
          <cell r="K3959" t="str">
            <v>1106</v>
          </cell>
          <cell r="L3959" t="str">
            <v>UV</v>
          </cell>
          <cell r="M3959" t="str">
            <v>110606</v>
          </cell>
          <cell r="N3959" t="str">
            <v>UV STAIN</v>
          </cell>
        </row>
        <row r="3960">
          <cell r="C3960" t="str">
            <v>100005429</v>
          </cell>
          <cell r="D3960" t="str">
            <v>UVS-20602 WWL 02 SC VN-5K</v>
          </cell>
          <cell r="E3960" t="str">
            <v>ZFGD</v>
          </cell>
          <cell r="F3960" t="str">
            <v>PC</v>
          </cell>
          <cell r="G3960" t="str">
            <v>1</v>
          </cell>
          <cell r="H3960" t="str">
            <v>INDUSTRY</v>
          </cell>
          <cell r="I3960" t="str">
            <v>11</v>
          </cell>
          <cell r="J3960" t="str">
            <v>WOOD COATINGS</v>
          </cell>
          <cell r="K3960" t="str">
            <v>1106</v>
          </cell>
          <cell r="L3960" t="str">
            <v>UV</v>
          </cell>
          <cell r="M3960" t="str">
            <v>110606</v>
          </cell>
          <cell r="N3960" t="str">
            <v>UV STAIN</v>
          </cell>
        </row>
        <row r="3961">
          <cell r="C3961" t="str">
            <v>100005430</v>
          </cell>
          <cell r="D3961" t="str">
            <v>UVS-20602 DEL 01 SC VN-5K</v>
          </cell>
          <cell r="E3961" t="str">
            <v>ZFGD</v>
          </cell>
          <cell r="F3961" t="str">
            <v>PC</v>
          </cell>
          <cell r="G3961" t="str">
            <v>1</v>
          </cell>
          <cell r="H3961" t="str">
            <v>INDUSTRY</v>
          </cell>
          <cell r="I3961" t="str">
            <v>11</v>
          </cell>
          <cell r="J3961" t="str">
            <v>WOOD COATINGS</v>
          </cell>
          <cell r="K3961" t="str">
            <v>1106</v>
          </cell>
          <cell r="L3961" t="str">
            <v>UV</v>
          </cell>
          <cell r="M3961" t="str">
            <v>110606</v>
          </cell>
          <cell r="N3961" t="str">
            <v>UV STAIN</v>
          </cell>
        </row>
        <row r="3962">
          <cell r="C3962" t="str">
            <v>100005431</v>
          </cell>
          <cell r="D3962" t="str">
            <v>UVS-20602 DEL 02 SC VN-5K</v>
          </cell>
          <cell r="E3962" t="str">
            <v>ZFGD</v>
          </cell>
          <cell r="F3962" t="str">
            <v>PC</v>
          </cell>
          <cell r="G3962" t="str">
            <v>1</v>
          </cell>
          <cell r="H3962" t="str">
            <v>INDUSTRY</v>
          </cell>
          <cell r="I3962" t="str">
            <v>11</v>
          </cell>
          <cell r="J3962" t="str">
            <v>WOOD COATINGS</v>
          </cell>
          <cell r="K3962" t="str">
            <v>1106</v>
          </cell>
          <cell r="L3962" t="str">
            <v>UV</v>
          </cell>
          <cell r="M3962" t="str">
            <v>110606</v>
          </cell>
          <cell r="N3962" t="str">
            <v>UV STAIN</v>
          </cell>
        </row>
        <row r="3963">
          <cell r="C3963" t="str">
            <v>100005432</v>
          </cell>
          <cell r="D3963" t="str">
            <v>UVS-20602 LIGHT TEAK 01 SC VN-5K</v>
          </cell>
          <cell r="E3963" t="str">
            <v>ZFGD</v>
          </cell>
          <cell r="F3963" t="str">
            <v>PC</v>
          </cell>
          <cell r="G3963" t="str">
            <v>1</v>
          </cell>
          <cell r="H3963" t="str">
            <v>INDUSTRY</v>
          </cell>
          <cell r="I3963" t="str">
            <v>11</v>
          </cell>
          <cell r="J3963" t="str">
            <v>WOOD COATINGS</v>
          </cell>
          <cell r="K3963" t="str">
            <v>1106</v>
          </cell>
          <cell r="L3963" t="str">
            <v>UV</v>
          </cell>
          <cell r="M3963" t="str">
            <v>110606</v>
          </cell>
          <cell r="N3963" t="str">
            <v>UV STAIN</v>
          </cell>
        </row>
        <row r="3964">
          <cell r="C3964" t="str">
            <v>100005433</v>
          </cell>
          <cell r="D3964" t="str">
            <v>UVS-20602 LIGHT TEAK 02 SC VN-5K</v>
          </cell>
          <cell r="E3964" t="str">
            <v>ZFGD</v>
          </cell>
          <cell r="F3964" t="str">
            <v>PC</v>
          </cell>
          <cell r="G3964" t="str">
            <v>1</v>
          </cell>
          <cell r="H3964" t="str">
            <v>INDUSTRY</v>
          </cell>
          <cell r="I3964" t="str">
            <v>11</v>
          </cell>
          <cell r="J3964" t="str">
            <v>WOOD COATINGS</v>
          </cell>
          <cell r="K3964" t="str">
            <v>1106</v>
          </cell>
          <cell r="L3964" t="str">
            <v>UV</v>
          </cell>
          <cell r="M3964" t="str">
            <v>110606</v>
          </cell>
          <cell r="N3964" t="str">
            <v>UV STAIN</v>
          </cell>
        </row>
        <row r="3965">
          <cell r="C3965" t="str">
            <v>100005434</v>
          </cell>
          <cell r="D3965" t="str">
            <v>UVS-20602 OAT SC VN-5K</v>
          </cell>
          <cell r="E3965" t="str">
            <v>ZFGD</v>
          </cell>
          <cell r="F3965" t="str">
            <v>PC</v>
          </cell>
          <cell r="G3965" t="str">
            <v>1</v>
          </cell>
          <cell r="H3965" t="str">
            <v>INDUSTRY</v>
          </cell>
          <cell r="I3965" t="str">
            <v>11</v>
          </cell>
          <cell r="J3965" t="str">
            <v>WOOD COATINGS</v>
          </cell>
          <cell r="K3965" t="str">
            <v>1106</v>
          </cell>
          <cell r="L3965" t="str">
            <v>UV</v>
          </cell>
          <cell r="M3965" t="str">
            <v>110606</v>
          </cell>
          <cell r="N3965" t="str">
            <v>UV STAIN</v>
          </cell>
        </row>
        <row r="3966">
          <cell r="C3966" t="str">
            <v>100005435</v>
          </cell>
          <cell r="D3966" t="str">
            <v>UVS-20602 SLP 01 SC VN-5K</v>
          </cell>
          <cell r="E3966" t="str">
            <v>ZFGD</v>
          </cell>
          <cell r="F3966" t="str">
            <v>PC</v>
          </cell>
          <cell r="G3966" t="str">
            <v>1</v>
          </cell>
          <cell r="H3966" t="str">
            <v>INDUSTRY</v>
          </cell>
          <cell r="I3966" t="str">
            <v>11</v>
          </cell>
          <cell r="J3966" t="str">
            <v>WOOD COATINGS</v>
          </cell>
          <cell r="K3966" t="str">
            <v>1106</v>
          </cell>
          <cell r="L3966" t="str">
            <v>UV</v>
          </cell>
          <cell r="M3966" t="str">
            <v>110606</v>
          </cell>
          <cell r="N3966" t="str">
            <v>UV STAIN</v>
          </cell>
        </row>
        <row r="3967">
          <cell r="C3967" t="str">
            <v>100005436</v>
          </cell>
          <cell r="D3967" t="str">
            <v>UVS-20602 SLP 02 SC VN-5K</v>
          </cell>
          <cell r="E3967" t="str">
            <v>ZFGD</v>
          </cell>
          <cell r="F3967" t="str">
            <v>PC</v>
          </cell>
          <cell r="G3967" t="str">
            <v>1</v>
          </cell>
          <cell r="H3967" t="str">
            <v>INDUSTRY</v>
          </cell>
          <cell r="I3967" t="str">
            <v>11</v>
          </cell>
          <cell r="J3967" t="str">
            <v>WOOD COATINGS</v>
          </cell>
          <cell r="K3967" t="str">
            <v>1106</v>
          </cell>
          <cell r="L3967" t="str">
            <v>UV</v>
          </cell>
          <cell r="M3967" t="str">
            <v>110606</v>
          </cell>
          <cell r="N3967" t="str">
            <v>UV STAIN</v>
          </cell>
        </row>
        <row r="3968">
          <cell r="C3968" t="str">
            <v>100005437</v>
          </cell>
          <cell r="D3968" t="str">
            <v>UVS-20602 SLP 03 SC VN-5K</v>
          </cell>
          <cell r="E3968" t="str">
            <v>ZFGD</v>
          </cell>
          <cell r="F3968" t="str">
            <v>PC</v>
          </cell>
          <cell r="G3968" t="str">
            <v>1</v>
          </cell>
          <cell r="H3968" t="str">
            <v>INDUSTRY</v>
          </cell>
          <cell r="I3968" t="str">
            <v>11</v>
          </cell>
          <cell r="J3968" t="str">
            <v>WOOD COATINGS</v>
          </cell>
          <cell r="K3968" t="str">
            <v>1106</v>
          </cell>
          <cell r="L3968" t="str">
            <v>UV</v>
          </cell>
          <cell r="M3968" t="str">
            <v>110606</v>
          </cell>
          <cell r="N3968" t="str">
            <v>UV STAIN</v>
          </cell>
        </row>
        <row r="3969">
          <cell r="C3969" t="str">
            <v>100005438</v>
          </cell>
          <cell r="D3969" t="str">
            <v>UVS-20602 TSG 01 SC VN-5K</v>
          </cell>
          <cell r="E3969" t="str">
            <v>ZFGD</v>
          </cell>
          <cell r="F3969" t="str">
            <v>PC</v>
          </cell>
          <cell r="G3969" t="str">
            <v>1</v>
          </cell>
          <cell r="H3969" t="str">
            <v>INDUSTRY</v>
          </cell>
          <cell r="I3969" t="str">
            <v>11</v>
          </cell>
          <cell r="J3969" t="str">
            <v>WOOD COATINGS</v>
          </cell>
          <cell r="K3969" t="str">
            <v>1106</v>
          </cell>
          <cell r="L3969" t="str">
            <v>UV</v>
          </cell>
          <cell r="M3969" t="str">
            <v>110606</v>
          </cell>
          <cell r="N3969" t="str">
            <v>UV STAIN</v>
          </cell>
        </row>
        <row r="3970">
          <cell r="C3970" t="str">
            <v>100005439</v>
          </cell>
          <cell r="D3970" t="str">
            <v>UVS-20602 TSG 02 SC VN-5K</v>
          </cell>
          <cell r="E3970" t="str">
            <v>ZFGD</v>
          </cell>
          <cell r="F3970" t="str">
            <v>PC</v>
          </cell>
          <cell r="G3970" t="str">
            <v>1</v>
          </cell>
          <cell r="H3970" t="str">
            <v>INDUSTRY</v>
          </cell>
          <cell r="I3970" t="str">
            <v>11</v>
          </cell>
          <cell r="J3970" t="str">
            <v>WOOD COATINGS</v>
          </cell>
          <cell r="K3970" t="str">
            <v>1106</v>
          </cell>
          <cell r="L3970" t="str">
            <v>UV</v>
          </cell>
          <cell r="M3970" t="str">
            <v>110606</v>
          </cell>
          <cell r="N3970" t="str">
            <v>UV STAIN</v>
          </cell>
        </row>
        <row r="3971">
          <cell r="C3971" t="str">
            <v>100005440</v>
          </cell>
          <cell r="D3971" t="str">
            <v>UVS-20602 TSG 03 SC VN-5K</v>
          </cell>
          <cell r="E3971" t="str">
            <v>ZFGD</v>
          </cell>
          <cell r="F3971" t="str">
            <v>PC</v>
          </cell>
          <cell r="G3971" t="str">
            <v>1</v>
          </cell>
          <cell r="H3971" t="str">
            <v>INDUSTRY</v>
          </cell>
          <cell r="I3971" t="str">
            <v>11</v>
          </cell>
          <cell r="J3971" t="str">
            <v>WOOD COATINGS</v>
          </cell>
          <cell r="K3971" t="str">
            <v>1106</v>
          </cell>
          <cell r="L3971" t="str">
            <v>UV</v>
          </cell>
          <cell r="M3971" t="str">
            <v>110606</v>
          </cell>
          <cell r="N3971" t="str">
            <v>UV STAIN</v>
          </cell>
        </row>
        <row r="3972">
          <cell r="C3972" t="str">
            <v>100005441</v>
          </cell>
          <cell r="D3972" t="str">
            <v>UVS-20602 WTEA 01 SC VN-5K</v>
          </cell>
          <cell r="E3972" t="str">
            <v>ZFGD</v>
          </cell>
          <cell r="F3972" t="str">
            <v>PC</v>
          </cell>
          <cell r="G3972" t="str">
            <v>1</v>
          </cell>
          <cell r="H3972" t="str">
            <v>INDUSTRY</v>
          </cell>
          <cell r="I3972" t="str">
            <v>11</v>
          </cell>
          <cell r="J3972" t="str">
            <v>WOOD COATINGS</v>
          </cell>
          <cell r="K3972" t="str">
            <v>1106</v>
          </cell>
          <cell r="L3972" t="str">
            <v>UV</v>
          </cell>
          <cell r="M3972" t="str">
            <v>110606</v>
          </cell>
          <cell r="N3972" t="str">
            <v>UV STAIN</v>
          </cell>
        </row>
        <row r="3973">
          <cell r="C3973" t="str">
            <v>100005442</v>
          </cell>
          <cell r="D3973" t="str">
            <v>UVS-20602 WTEA 02 SC VN-5K</v>
          </cell>
          <cell r="E3973" t="str">
            <v>ZFGD</v>
          </cell>
          <cell r="F3973" t="str">
            <v>PC</v>
          </cell>
          <cell r="G3973" t="str">
            <v>1</v>
          </cell>
          <cell r="H3973" t="str">
            <v>INDUSTRY</v>
          </cell>
          <cell r="I3973" t="str">
            <v>11</v>
          </cell>
          <cell r="J3973" t="str">
            <v>WOOD COATINGS</v>
          </cell>
          <cell r="K3973" t="str">
            <v>1106</v>
          </cell>
          <cell r="L3973" t="str">
            <v>UV</v>
          </cell>
          <cell r="M3973" t="str">
            <v>110606</v>
          </cell>
          <cell r="N3973" t="str">
            <v>UV STAIN</v>
          </cell>
        </row>
        <row r="3974">
          <cell r="C3974" t="str">
            <v>100005443</v>
          </cell>
          <cell r="D3974" t="str">
            <v>UVS-20602 WTEA 03 SC VN-5K</v>
          </cell>
          <cell r="E3974" t="str">
            <v>ZFGD</v>
          </cell>
          <cell r="F3974" t="str">
            <v>PC</v>
          </cell>
          <cell r="G3974" t="str">
            <v>1</v>
          </cell>
          <cell r="H3974" t="str">
            <v>INDUSTRY</v>
          </cell>
          <cell r="I3974" t="str">
            <v>11</v>
          </cell>
          <cell r="J3974" t="str">
            <v>WOOD COATINGS</v>
          </cell>
          <cell r="K3974" t="str">
            <v>1106</v>
          </cell>
          <cell r="L3974" t="str">
            <v>UV</v>
          </cell>
          <cell r="M3974" t="str">
            <v>110606</v>
          </cell>
          <cell r="N3974" t="str">
            <v>UV STAIN</v>
          </cell>
        </row>
        <row r="3975">
          <cell r="C3975" t="str">
            <v>100005444</v>
          </cell>
          <cell r="D3975" t="str">
            <v>UVS-20602 OAK 01 SC VN-5K</v>
          </cell>
          <cell r="E3975" t="str">
            <v>ZFGD</v>
          </cell>
          <cell r="F3975" t="str">
            <v>PC</v>
          </cell>
          <cell r="G3975" t="str">
            <v>1</v>
          </cell>
          <cell r="H3975" t="str">
            <v>INDUSTRY</v>
          </cell>
          <cell r="I3975" t="str">
            <v>11</v>
          </cell>
          <cell r="J3975" t="str">
            <v>WOOD COATINGS</v>
          </cell>
          <cell r="K3975" t="str">
            <v>1106</v>
          </cell>
          <cell r="L3975" t="str">
            <v>UV</v>
          </cell>
          <cell r="M3975" t="str">
            <v>110606</v>
          </cell>
          <cell r="N3975" t="str">
            <v>UV STAIN</v>
          </cell>
        </row>
        <row r="3976">
          <cell r="C3976" t="str">
            <v>100005445</v>
          </cell>
          <cell r="D3976" t="str">
            <v>UVS-20602 OAK 02 SC VN-5K</v>
          </cell>
          <cell r="E3976" t="str">
            <v>ZFGD</v>
          </cell>
          <cell r="F3976" t="str">
            <v>PC</v>
          </cell>
          <cell r="G3976" t="str">
            <v>1</v>
          </cell>
          <cell r="H3976" t="str">
            <v>INDUSTRY</v>
          </cell>
          <cell r="I3976" t="str">
            <v>11</v>
          </cell>
          <cell r="J3976" t="str">
            <v>WOOD COATINGS</v>
          </cell>
          <cell r="K3976" t="str">
            <v>1106</v>
          </cell>
          <cell r="L3976" t="str">
            <v>UV</v>
          </cell>
          <cell r="M3976" t="str">
            <v>110606</v>
          </cell>
          <cell r="N3976" t="str">
            <v>UV STAIN</v>
          </cell>
        </row>
        <row r="3977">
          <cell r="C3977" t="str">
            <v>100005446</v>
          </cell>
          <cell r="D3977" t="str">
            <v>UVS-20602 CEMENT 01 SC VN-20KP</v>
          </cell>
          <cell r="E3977" t="str">
            <v>ZFGD</v>
          </cell>
          <cell r="F3977" t="str">
            <v>PC</v>
          </cell>
          <cell r="G3977" t="str">
            <v>1</v>
          </cell>
          <cell r="H3977" t="str">
            <v>INDUSTRY</v>
          </cell>
          <cell r="I3977" t="str">
            <v>11</v>
          </cell>
          <cell r="J3977" t="str">
            <v>WOOD COATINGS</v>
          </cell>
          <cell r="K3977" t="str">
            <v>1106</v>
          </cell>
          <cell r="L3977" t="str">
            <v>UV</v>
          </cell>
          <cell r="M3977" t="str">
            <v>110606</v>
          </cell>
          <cell r="N3977" t="str">
            <v>UV STAIN</v>
          </cell>
        </row>
        <row r="3978">
          <cell r="C3978" t="str">
            <v>100005447</v>
          </cell>
          <cell r="D3978" t="str">
            <v>UVS-20602 CEMENT 01 SC VN-5K</v>
          </cell>
          <cell r="E3978" t="str">
            <v>ZFGD</v>
          </cell>
          <cell r="F3978" t="str">
            <v>PC</v>
          </cell>
          <cell r="G3978" t="str">
            <v>1</v>
          </cell>
          <cell r="H3978" t="str">
            <v>INDUSTRY</v>
          </cell>
          <cell r="I3978" t="str">
            <v>11</v>
          </cell>
          <cell r="J3978" t="str">
            <v>WOOD COATINGS</v>
          </cell>
          <cell r="K3978" t="str">
            <v>1106</v>
          </cell>
          <cell r="L3978" t="str">
            <v>UV</v>
          </cell>
          <cell r="M3978" t="str">
            <v>110606</v>
          </cell>
          <cell r="N3978" t="str">
            <v>UV STAIN</v>
          </cell>
        </row>
        <row r="3979">
          <cell r="C3979" t="str">
            <v>100005448</v>
          </cell>
          <cell r="D3979" t="str">
            <v>UVS-20602 CEMENT 02 SC VN-20KP</v>
          </cell>
          <cell r="E3979" t="str">
            <v>ZFGD</v>
          </cell>
          <cell r="F3979" t="str">
            <v>PC</v>
          </cell>
          <cell r="G3979" t="str">
            <v>1</v>
          </cell>
          <cell r="H3979" t="str">
            <v>INDUSTRY</v>
          </cell>
          <cell r="I3979" t="str">
            <v>11</v>
          </cell>
          <cell r="J3979" t="str">
            <v>WOOD COATINGS</v>
          </cell>
          <cell r="K3979" t="str">
            <v>1106</v>
          </cell>
          <cell r="L3979" t="str">
            <v>UV</v>
          </cell>
          <cell r="M3979" t="str">
            <v>110606</v>
          </cell>
          <cell r="N3979" t="str">
            <v>UV STAIN</v>
          </cell>
        </row>
        <row r="3980">
          <cell r="C3980" t="str">
            <v>100005449</v>
          </cell>
          <cell r="D3980" t="str">
            <v>UVS-20602 CEMENT 02 SC VN-5K</v>
          </cell>
          <cell r="E3980" t="str">
            <v>ZFGD</v>
          </cell>
          <cell r="F3980" t="str">
            <v>PC</v>
          </cell>
          <cell r="G3980" t="str">
            <v>1</v>
          </cell>
          <cell r="H3980" t="str">
            <v>INDUSTRY</v>
          </cell>
          <cell r="I3980" t="str">
            <v>11</v>
          </cell>
          <cell r="J3980" t="str">
            <v>WOOD COATINGS</v>
          </cell>
          <cell r="K3980" t="str">
            <v>1106</v>
          </cell>
          <cell r="L3980" t="str">
            <v>UV</v>
          </cell>
          <cell r="M3980" t="str">
            <v>110606</v>
          </cell>
          <cell r="N3980" t="str">
            <v>UV STAIN</v>
          </cell>
        </row>
        <row r="3981">
          <cell r="C3981" t="str">
            <v>100005450</v>
          </cell>
          <cell r="D3981" t="str">
            <v>UVS-20602 CONJYSK 01 SC VN-20KP</v>
          </cell>
          <cell r="E3981" t="str">
            <v>ZFGD</v>
          </cell>
          <cell r="F3981" t="str">
            <v>PC</v>
          </cell>
          <cell r="G3981" t="str">
            <v>1</v>
          </cell>
          <cell r="H3981" t="str">
            <v>INDUSTRY</v>
          </cell>
          <cell r="I3981" t="str">
            <v>11</v>
          </cell>
          <cell r="J3981" t="str">
            <v>WOOD COATINGS</v>
          </cell>
          <cell r="K3981" t="str">
            <v>1106</v>
          </cell>
          <cell r="L3981" t="str">
            <v>UV</v>
          </cell>
          <cell r="M3981" t="str">
            <v>110606</v>
          </cell>
          <cell r="N3981" t="str">
            <v>UV STAIN</v>
          </cell>
        </row>
        <row r="3982">
          <cell r="C3982" t="str">
            <v>100005451</v>
          </cell>
          <cell r="D3982" t="str">
            <v>UVS-20602 CONJYSK 01 SC VN-5K</v>
          </cell>
          <cell r="E3982" t="str">
            <v>ZFGD</v>
          </cell>
          <cell r="F3982" t="str">
            <v>PC</v>
          </cell>
          <cell r="G3982" t="str">
            <v>1</v>
          </cell>
          <cell r="H3982" t="str">
            <v>INDUSTRY</v>
          </cell>
          <cell r="I3982" t="str">
            <v>11</v>
          </cell>
          <cell r="J3982" t="str">
            <v>WOOD COATINGS</v>
          </cell>
          <cell r="K3982" t="str">
            <v>1106</v>
          </cell>
          <cell r="L3982" t="str">
            <v>UV</v>
          </cell>
          <cell r="M3982" t="str">
            <v>110606</v>
          </cell>
          <cell r="N3982" t="str">
            <v>UV STAIN</v>
          </cell>
        </row>
        <row r="3983">
          <cell r="C3983" t="str">
            <v>100005452</v>
          </cell>
          <cell r="D3983" t="str">
            <v>UVS-20602 CONJYSK 02 SC VN-20KP</v>
          </cell>
          <cell r="E3983" t="str">
            <v>ZFGD</v>
          </cell>
          <cell r="F3983" t="str">
            <v>PC</v>
          </cell>
          <cell r="G3983" t="str">
            <v>1</v>
          </cell>
          <cell r="H3983" t="str">
            <v>INDUSTRY</v>
          </cell>
          <cell r="I3983" t="str">
            <v>11</v>
          </cell>
          <cell r="J3983" t="str">
            <v>WOOD COATINGS</v>
          </cell>
          <cell r="K3983" t="str">
            <v>1106</v>
          </cell>
          <cell r="L3983" t="str">
            <v>UV</v>
          </cell>
          <cell r="M3983" t="str">
            <v>110606</v>
          </cell>
          <cell r="N3983" t="str">
            <v>UV STAIN</v>
          </cell>
        </row>
        <row r="3984">
          <cell r="C3984" t="str">
            <v>100005453</v>
          </cell>
          <cell r="D3984" t="str">
            <v>UVS-20602 CONJYSK 02 SC VN-5K</v>
          </cell>
          <cell r="E3984" t="str">
            <v>ZFGD</v>
          </cell>
          <cell r="F3984" t="str">
            <v>PC</v>
          </cell>
          <cell r="G3984" t="str">
            <v>1</v>
          </cell>
          <cell r="H3984" t="str">
            <v>INDUSTRY</v>
          </cell>
          <cell r="I3984" t="str">
            <v>11</v>
          </cell>
          <cell r="J3984" t="str">
            <v>WOOD COATINGS</v>
          </cell>
          <cell r="K3984" t="str">
            <v>1106</v>
          </cell>
          <cell r="L3984" t="str">
            <v>UV</v>
          </cell>
          <cell r="M3984" t="str">
            <v>110606</v>
          </cell>
          <cell r="N3984" t="str">
            <v>UV STAIN</v>
          </cell>
        </row>
        <row r="3985">
          <cell r="C3985" t="str">
            <v>100005454</v>
          </cell>
          <cell r="D3985" t="str">
            <v>UVS-20602 CONJYSK 03 SC VN-20KP</v>
          </cell>
          <cell r="E3985" t="str">
            <v>ZFGD</v>
          </cell>
          <cell r="F3985" t="str">
            <v>PC</v>
          </cell>
          <cell r="G3985" t="str">
            <v>1</v>
          </cell>
          <cell r="H3985" t="str">
            <v>INDUSTRY</v>
          </cell>
          <cell r="I3985" t="str">
            <v>11</v>
          </cell>
          <cell r="J3985" t="str">
            <v>WOOD COATINGS</v>
          </cell>
          <cell r="K3985" t="str">
            <v>1106</v>
          </cell>
          <cell r="L3985" t="str">
            <v>UV</v>
          </cell>
          <cell r="M3985" t="str">
            <v>110606</v>
          </cell>
          <cell r="N3985" t="str">
            <v>UV STAIN</v>
          </cell>
        </row>
        <row r="3986">
          <cell r="C3986" t="str">
            <v>100005455</v>
          </cell>
          <cell r="D3986" t="str">
            <v>UVS-20602 CONJYSK 03 SC VN-5K</v>
          </cell>
          <cell r="E3986" t="str">
            <v>ZFGD</v>
          </cell>
          <cell r="F3986" t="str">
            <v>PC</v>
          </cell>
          <cell r="G3986" t="str">
            <v>1</v>
          </cell>
          <cell r="H3986" t="str">
            <v>INDUSTRY</v>
          </cell>
          <cell r="I3986" t="str">
            <v>11</v>
          </cell>
          <cell r="J3986" t="str">
            <v>WOOD COATINGS</v>
          </cell>
          <cell r="K3986" t="str">
            <v>1106</v>
          </cell>
          <cell r="L3986" t="str">
            <v>UV</v>
          </cell>
          <cell r="M3986" t="str">
            <v>110606</v>
          </cell>
          <cell r="N3986" t="str">
            <v>UV STAIN</v>
          </cell>
        </row>
        <row r="3987">
          <cell r="C3987" t="str">
            <v>100005456</v>
          </cell>
          <cell r="D3987" t="str">
            <v>UVS-20602 CONJYSK 04 SC VN-20KP</v>
          </cell>
          <cell r="E3987" t="str">
            <v>ZFGD</v>
          </cell>
          <cell r="F3987" t="str">
            <v>PC</v>
          </cell>
          <cell r="G3987" t="str">
            <v>1</v>
          </cell>
          <cell r="H3987" t="str">
            <v>INDUSTRY</v>
          </cell>
          <cell r="I3987" t="str">
            <v>11</v>
          </cell>
          <cell r="J3987" t="str">
            <v>WOOD COATINGS</v>
          </cell>
          <cell r="K3987" t="str">
            <v>1106</v>
          </cell>
          <cell r="L3987" t="str">
            <v>UV</v>
          </cell>
          <cell r="M3987" t="str">
            <v>110606</v>
          </cell>
          <cell r="N3987" t="str">
            <v>UV STAIN</v>
          </cell>
        </row>
        <row r="3988">
          <cell r="C3988" t="str">
            <v>100005457</v>
          </cell>
          <cell r="D3988" t="str">
            <v>UVS-20602 CONJYSK 04 SC VN-5K</v>
          </cell>
          <cell r="E3988" t="str">
            <v>ZFGD</v>
          </cell>
          <cell r="F3988" t="str">
            <v>PC</v>
          </cell>
          <cell r="G3988" t="str">
            <v>1</v>
          </cell>
          <cell r="H3988" t="str">
            <v>INDUSTRY</v>
          </cell>
          <cell r="I3988" t="str">
            <v>11</v>
          </cell>
          <cell r="J3988" t="str">
            <v>WOOD COATINGS</v>
          </cell>
          <cell r="K3988" t="str">
            <v>1106</v>
          </cell>
          <cell r="L3988" t="str">
            <v>UV</v>
          </cell>
          <cell r="M3988" t="str">
            <v>110606</v>
          </cell>
          <cell r="N3988" t="str">
            <v>UV STAIN</v>
          </cell>
        </row>
        <row r="3989">
          <cell r="C3989" t="str">
            <v>100005458</v>
          </cell>
          <cell r="D3989" t="str">
            <v>UVS-20602 TEA GMR 01 SC VN-20KP</v>
          </cell>
          <cell r="E3989" t="str">
            <v>ZFGD</v>
          </cell>
          <cell r="F3989" t="str">
            <v>PC</v>
          </cell>
          <cell r="G3989" t="str">
            <v>1</v>
          </cell>
          <cell r="H3989" t="str">
            <v>INDUSTRY</v>
          </cell>
          <cell r="I3989" t="str">
            <v>11</v>
          </cell>
          <cell r="J3989" t="str">
            <v>WOOD COATINGS</v>
          </cell>
          <cell r="K3989" t="str">
            <v>1106</v>
          </cell>
          <cell r="L3989" t="str">
            <v>UV</v>
          </cell>
          <cell r="M3989" t="str">
            <v>110606</v>
          </cell>
          <cell r="N3989" t="str">
            <v>UV STAIN</v>
          </cell>
        </row>
        <row r="3990">
          <cell r="C3990" t="str">
            <v>100005459</v>
          </cell>
          <cell r="D3990" t="str">
            <v>UVS-20602 TEA GMR 01 SC VN-5K</v>
          </cell>
          <cell r="E3990" t="str">
            <v>ZFGD</v>
          </cell>
          <cell r="F3990" t="str">
            <v>PC</v>
          </cell>
          <cell r="G3990" t="str">
            <v>1</v>
          </cell>
          <cell r="H3990" t="str">
            <v>INDUSTRY</v>
          </cell>
          <cell r="I3990" t="str">
            <v>11</v>
          </cell>
          <cell r="J3990" t="str">
            <v>WOOD COATINGS</v>
          </cell>
          <cell r="K3990" t="str">
            <v>1106</v>
          </cell>
          <cell r="L3990" t="str">
            <v>UV</v>
          </cell>
          <cell r="M3990" t="str">
            <v>110606</v>
          </cell>
          <cell r="N3990" t="str">
            <v>UV STAIN</v>
          </cell>
        </row>
        <row r="3991">
          <cell r="C3991" t="str">
            <v>100005460</v>
          </cell>
          <cell r="D3991" t="str">
            <v>UVS-20602 TEA GMR 02 SC VN-20KP</v>
          </cell>
          <cell r="E3991" t="str">
            <v>ZFGD</v>
          </cell>
          <cell r="F3991" t="str">
            <v>PC</v>
          </cell>
          <cell r="G3991" t="str">
            <v>1</v>
          </cell>
          <cell r="H3991" t="str">
            <v>INDUSTRY</v>
          </cell>
          <cell r="I3991" t="str">
            <v>11</v>
          </cell>
          <cell r="J3991" t="str">
            <v>WOOD COATINGS</v>
          </cell>
          <cell r="K3991" t="str">
            <v>1106</v>
          </cell>
          <cell r="L3991" t="str">
            <v>UV</v>
          </cell>
          <cell r="M3991" t="str">
            <v>110606</v>
          </cell>
          <cell r="N3991" t="str">
            <v>UV STAIN</v>
          </cell>
        </row>
        <row r="3992">
          <cell r="C3992" t="str">
            <v>100005461</v>
          </cell>
          <cell r="D3992" t="str">
            <v>UVS-20602 TEA GMR 02 SC VN-5K</v>
          </cell>
          <cell r="E3992" t="str">
            <v>ZFGD</v>
          </cell>
          <cell r="F3992" t="str">
            <v>PC</v>
          </cell>
          <cell r="G3992" t="str">
            <v>1</v>
          </cell>
          <cell r="H3992" t="str">
            <v>INDUSTRY</v>
          </cell>
          <cell r="I3992" t="str">
            <v>11</v>
          </cell>
          <cell r="J3992" t="str">
            <v>WOOD COATINGS</v>
          </cell>
          <cell r="K3992" t="str">
            <v>1106</v>
          </cell>
          <cell r="L3992" t="str">
            <v>UV</v>
          </cell>
          <cell r="M3992" t="str">
            <v>110606</v>
          </cell>
          <cell r="N3992" t="str">
            <v>UV STAIN</v>
          </cell>
        </row>
        <row r="3993">
          <cell r="C3993" t="str">
            <v>100005462</v>
          </cell>
          <cell r="D3993" t="str">
            <v>UVS-20602 TEA GMR 03 SC VN-20KP</v>
          </cell>
          <cell r="E3993" t="str">
            <v>ZFGD</v>
          </cell>
          <cell r="F3993" t="str">
            <v>PC</v>
          </cell>
          <cell r="G3993" t="str">
            <v>1</v>
          </cell>
          <cell r="H3993" t="str">
            <v>INDUSTRY</v>
          </cell>
          <cell r="I3993" t="str">
            <v>11</v>
          </cell>
          <cell r="J3993" t="str">
            <v>WOOD COATINGS</v>
          </cell>
          <cell r="K3993" t="str">
            <v>1106</v>
          </cell>
          <cell r="L3993" t="str">
            <v>UV</v>
          </cell>
          <cell r="M3993" t="str">
            <v>110606</v>
          </cell>
          <cell r="N3993" t="str">
            <v>UV STAIN</v>
          </cell>
        </row>
        <row r="3994">
          <cell r="C3994" t="str">
            <v>100005463</v>
          </cell>
          <cell r="D3994" t="str">
            <v>UVS-20602 TEA GMR 03 SC VN-5K</v>
          </cell>
          <cell r="E3994" t="str">
            <v>ZFGD</v>
          </cell>
          <cell r="F3994" t="str">
            <v>PC</v>
          </cell>
          <cell r="G3994" t="str">
            <v>1</v>
          </cell>
          <cell r="H3994" t="str">
            <v>INDUSTRY</v>
          </cell>
          <cell r="I3994" t="str">
            <v>11</v>
          </cell>
          <cell r="J3994" t="str">
            <v>WOOD COATINGS</v>
          </cell>
          <cell r="K3994" t="str">
            <v>1106</v>
          </cell>
          <cell r="L3994" t="str">
            <v>UV</v>
          </cell>
          <cell r="M3994" t="str">
            <v>110606</v>
          </cell>
          <cell r="N3994" t="str">
            <v>UV STAIN</v>
          </cell>
        </row>
        <row r="3995">
          <cell r="C3995" t="str">
            <v>100005464</v>
          </cell>
          <cell r="D3995" t="str">
            <v>UVS-20602 TEA GRY 01 SC VN-20KP</v>
          </cell>
          <cell r="E3995" t="str">
            <v>ZFGD</v>
          </cell>
          <cell r="F3995" t="str">
            <v>PC</v>
          </cell>
          <cell r="G3995" t="str">
            <v>1</v>
          </cell>
          <cell r="H3995" t="str">
            <v>INDUSTRY</v>
          </cell>
          <cell r="I3995" t="str">
            <v>11</v>
          </cell>
          <cell r="J3995" t="str">
            <v>WOOD COATINGS</v>
          </cell>
          <cell r="K3995" t="str">
            <v>1106</v>
          </cell>
          <cell r="L3995" t="str">
            <v>UV</v>
          </cell>
          <cell r="M3995" t="str">
            <v>110606</v>
          </cell>
          <cell r="N3995" t="str">
            <v>UV STAIN</v>
          </cell>
        </row>
        <row r="3996">
          <cell r="C3996" t="str">
            <v>100005465</v>
          </cell>
          <cell r="D3996" t="str">
            <v>UVS-20602 TEA GRY 01 SC VN-5K</v>
          </cell>
          <cell r="E3996" t="str">
            <v>ZFGD</v>
          </cell>
          <cell r="F3996" t="str">
            <v>PC</v>
          </cell>
          <cell r="G3996" t="str">
            <v>1</v>
          </cell>
          <cell r="H3996" t="str">
            <v>INDUSTRY</v>
          </cell>
          <cell r="I3996" t="str">
            <v>11</v>
          </cell>
          <cell r="J3996" t="str">
            <v>WOOD COATINGS</v>
          </cell>
          <cell r="K3996" t="str">
            <v>1106</v>
          </cell>
          <cell r="L3996" t="str">
            <v>UV</v>
          </cell>
          <cell r="M3996" t="str">
            <v>110606</v>
          </cell>
          <cell r="N3996" t="str">
            <v>UV STAIN</v>
          </cell>
        </row>
        <row r="3997">
          <cell r="C3997" t="str">
            <v>100005466</v>
          </cell>
          <cell r="D3997" t="str">
            <v>UVS-20602 TEA GRY 02 SC VN-20KP</v>
          </cell>
          <cell r="E3997" t="str">
            <v>ZFGD</v>
          </cell>
          <cell r="F3997" t="str">
            <v>PC</v>
          </cell>
          <cell r="G3997" t="str">
            <v>1</v>
          </cell>
          <cell r="H3997" t="str">
            <v>INDUSTRY</v>
          </cell>
          <cell r="I3997" t="str">
            <v>11</v>
          </cell>
          <cell r="J3997" t="str">
            <v>WOOD COATINGS</v>
          </cell>
          <cell r="K3997" t="str">
            <v>1106</v>
          </cell>
          <cell r="L3997" t="str">
            <v>UV</v>
          </cell>
          <cell r="M3997" t="str">
            <v>110606</v>
          </cell>
          <cell r="N3997" t="str">
            <v>UV STAIN</v>
          </cell>
        </row>
        <row r="3998">
          <cell r="C3998" t="str">
            <v>100005467</v>
          </cell>
          <cell r="D3998" t="str">
            <v>UVS-20602 TEA GRY 02 SC VN-5K</v>
          </cell>
          <cell r="E3998" t="str">
            <v>ZFGD</v>
          </cell>
          <cell r="F3998" t="str">
            <v>PC</v>
          </cell>
          <cell r="G3998" t="str">
            <v>1</v>
          </cell>
          <cell r="H3998" t="str">
            <v>INDUSTRY</v>
          </cell>
          <cell r="I3998" t="str">
            <v>11</v>
          </cell>
          <cell r="J3998" t="str">
            <v>WOOD COATINGS</v>
          </cell>
          <cell r="K3998" t="str">
            <v>1106</v>
          </cell>
          <cell r="L3998" t="str">
            <v>UV</v>
          </cell>
          <cell r="M3998" t="str">
            <v>110606</v>
          </cell>
          <cell r="N3998" t="str">
            <v>UV STAIN</v>
          </cell>
        </row>
        <row r="3999">
          <cell r="C3999" t="str">
            <v>100005468</v>
          </cell>
          <cell r="D3999" t="str">
            <v>UVS-20602 TEA GRY 03 SC VN-20KP</v>
          </cell>
          <cell r="E3999" t="str">
            <v>ZFGD</v>
          </cell>
          <cell r="F3999" t="str">
            <v>PC</v>
          </cell>
          <cell r="G3999" t="str">
            <v>1</v>
          </cell>
          <cell r="H3999" t="str">
            <v>INDUSTRY</v>
          </cell>
          <cell r="I3999" t="str">
            <v>11</v>
          </cell>
          <cell r="J3999" t="str">
            <v>WOOD COATINGS</v>
          </cell>
          <cell r="K3999" t="str">
            <v>1106</v>
          </cell>
          <cell r="L3999" t="str">
            <v>UV</v>
          </cell>
          <cell r="M3999" t="str">
            <v>110606</v>
          </cell>
          <cell r="N3999" t="str">
            <v>UV STAIN</v>
          </cell>
        </row>
        <row r="4000">
          <cell r="C4000" t="str">
            <v>100005469</v>
          </cell>
          <cell r="D4000" t="str">
            <v>UVS-20602 TEA GRY 03 SC VN-5K</v>
          </cell>
          <cell r="E4000" t="str">
            <v>ZFGD</v>
          </cell>
          <cell r="F4000" t="str">
            <v>PC</v>
          </cell>
          <cell r="G4000" t="str">
            <v>1</v>
          </cell>
          <cell r="H4000" t="str">
            <v>INDUSTRY</v>
          </cell>
          <cell r="I4000" t="str">
            <v>11</v>
          </cell>
          <cell r="J4000" t="str">
            <v>WOOD COATINGS</v>
          </cell>
          <cell r="K4000" t="str">
            <v>1106</v>
          </cell>
          <cell r="L4000" t="str">
            <v>UV</v>
          </cell>
          <cell r="M4000" t="str">
            <v>110606</v>
          </cell>
          <cell r="N4000" t="str">
            <v>UV STAIN</v>
          </cell>
        </row>
        <row r="4001">
          <cell r="C4001" t="str">
            <v>100005470</v>
          </cell>
          <cell r="D4001" t="str">
            <v>UVP-60508 CSN SC VN-20KP</v>
          </cell>
          <cell r="E4001" t="str">
            <v>ZFGD</v>
          </cell>
          <cell r="F4001" t="str">
            <v>PC</v>
          </cell>
          <cell r="G4001" t="str">
            <v>1</v>
          </cell>
          <cell r="H4001" t="str">
            <v>INDUSTRY</v>
          </cell>
          <cell r="I4001" t="str">
            <v>11</v>
          </cell>
          <cell r="J4001" t="str">
            <v>WOOD COATINGS</v>
          </cell>
          <cell r="K4001" t="str">
            <v>1106</v>
          </cell>
          <cell r="L4001" t="str">
            <v>UV</v>
          </cell>
          <cell r="M4001" t="str">
            <v>110604</v>
          </cell>
          <cell r="N4001" t="str">
            <v>UV PRIMER</v>
          </cell>
        </row>
        <row r="4002">
          <cell r="C4002" t="str">
            <v>100005471</v>
          </cell>
          <cell r="D4002" t="str">
            <v>UVP-60508 LTAP SC VN-20KP</v>
          </cell>
          <cell r="E4002" t="str">
            <v>ZFGD</v>
          </cell>
          <cell r="F4002" t="str">
            <v>PC</v>
          </cell>
          <cell r="G4002" t="str">
            <v>1</v>
          </cell>
          <cell r="H4002" t="str">
            <v>INDUSTRY</v>
          </cell>
          <cell r="I4002" t="str">
            <v>11</v>
          </cell>
          <cell r="J4002" t="str">
            <v>WOOD COATINGS</v>
          </cell>
          <cell r="K4002" t="str">
            <v>1106</v>
          </cell>
          <cell r="L4002" t="str">
            <v>UV</v>
          </cell>
          <cell r="M4002" t="str">
            <v>110604</v>
          </cell>
          <cell r="N4002" t="str">
            <v>UV PRIMER</v>
          </cell>
        </row>
        <row r="4003">
          <cell r="C4003" t="str">
            <v>100005472</v>
          </cell>
          <cell r="D4003" t="str">
            <v>PUC-54206 AC EX SW 7602 20 TL VN-18KP</v>
          </cell>
          <cell r="E4003" t="str">
            <v>ZFGD</v>
          </cell>
          <cell r="F4003" t="str">
            <v>PC</v>
          </cell>
          <cell r="G4003" t="str">
            <v>1</v>
          </cell>
          <cell r="H4003" t="str">
            <v>INDUSTRY</v>
          </cell>
          <cell r="I4003" t="str">
            <v>11</v>
          </cell>
          <cell r="J4003" t="str">
            <v>WOOD COATINGS</v>
          </cell>
          <cell r="K4003" t="str">
            <v>1103</v>
          </cell>
          <cell r="L4003" t="str">
            <v>PU</v>
          </cell>
          <cell r="M4003" t="str">
            <v>110319</v>
          </cell>
          <cell r="N4003" t="str">
            <v>PU COLOR</v>
          </cell>
        </row>
        <row r="4004">
          <cell r="C4004" t="str">
            <v>100005473</v>
          </cell>
          <cell r="D4004" t="str">
            <v>PUC-52239 CABANA 10 TL VN-20KP</v>
          </cell>
          <cell r="E4004" t="str">
            <v>ZFGD</v>
          </cell>
          <cell r="F4004" t="str">
            <v>PC</v>
          </cell>
          <cell r="G4004" t="str">
            <v>1</v>
          </cell>
          <cell r="H4004" t="str">
            <v>INDUSTRY</v>
          </cell>
          <cell r="I4004" t="str">
            <v>11</v>
          </cell>
          <cell r="J4004" t="str">
            <v>WOOD COATINGS</v>
          </cell>
          <cell r="K4004" t="str">
            <v>1103</v>
          </cell>
          <cell r="L4004" t="str">
            <v>PU</v>
          </cell>
          <cell r="M4004" t="str">
            <v>110319</v>
          </cell>
          <cell r="N4004" t="str">
            <v>PU COLOR</v>
          </cell>
        </row>
        <row r="4005">
          <cell r="C4005" t="str">
            <v>100005474</v>
          </cell>
          <cell r="D4005" t="str">
            <v>PUC-52241 SW 7598 20 TL VN-20KP</v>
          </cell>
          <cell r="E4005" t="str">
            <v>ZFGD</v>
          </cell>
          <cell r="F4005" t="str">
            <v>PC</v>
          </cell>
          <cell r="G4005" t="str">
            <v>1</v>
          </cell>
          <cell r="H4005" t="str">
            <v>INDUSTRY</v>
          </cell>
          <cell r="I4005" t="str">
            <v>11</v>
          </cell>
          <cell r="J4005" t="str">
            <v>WOOD COATINGS</v>
          </cell>
          <cell r="K4005" t="str">
            <v>1103</v>
          </cell>
          <cell r="L4005" t="str">
            <v>PU</v>
          </cell>
          <cell r="M4005" t="str">
            <v>110319</v>
          </cell>
          <cell r="N4005" t="str">
            <v>PU COLOR</v>
          </cell>
        </row>
        <row r="4006">
          <cell r="C4006" t="str">
            <v>100005475</v>
          </cell>
          <cell r="D4006" t="str">
            <v>PUC-54205 AC HONG TC 90 NC VN-20KP</v>
          </cell>
          <cell r="E4006" t="str">
            <v>ZFGD</v>
          </cell>
          <cell r="F4006" t="str">
            <v>PC</v>
          </cell>
          <cell r="G4006" t="str">
            <v>1</v>
          </cell>
          <cell r="H4006" t="str">
            <v>INDUSTRY</v>
          </cell>
          <cell r="I4006" t="str">
            <v>11</v>
          </cell>
          <cell r="J4006" t="str">
            <v>WOOD COATINGS</v>
          </cell>
          <cell r="K4006" t="str">
            <v>1103</v>
          </cell>
          <cell r="L4006" t="str">
            <v>PU</v>
          </cell>
          <cell r="M4006" t="str">
            <v>110319</v>
          </cell>
          <cell r="N4006" t="str">
            <v>PU COLOR</v>
          </cell>
        </row>
        <row r="4007">
          <cell r="C4007" t="str">
            <v>100005476</v>
          </cell>
          <cell r="D4007" t="str">
            <v>PUC-53206 AC EX XANH TC 90 NC VN-18KP</v>
          </cell>
          <cell r="E4007" t="str">
            <v>ZFGD</v>
          </cell>
          <cell r="F4007" t="str">
            <v>PC</v>
          </cell>
          <cell r="G4007" t="str">
            <v>1</v>
          </cell>
          <cell r="H4007" t="str">
            <v>INDUSTRY</v>
          </cell>
          <cell r="I4007" t="str">
            <v>11</v>
          </cell>
          <cell r="J4007" t="str">
            <v>WOOD COATINGS</v>
          </cell>
          <cell r="K4007" t="str">
            <v>1103</v>
          </cell>
          <cell r="L4007" t="str">
            <v>PU</v>
          </cell>
          <cell r="M4007" t="str">
            <v>110319</v>
          </cell>
          <cell r="N4007" t="str">
            <v>PU COLOR</v>
          </cell>
        </row>
        <row r="4008">
          <cell r="C4008" t="str">
            <v>100005477</v>
          </cell>
          <cell r="D4008" t="str">
            <v>PUC-52239 HONG 90 NTC VN-20KP</v>
          </cell>
          <cell r="E4008" t="str">
            <v>ZFGD</v>
          </cell>
          <cell r="F4008" t="str">
            <v>PC</v>
          </cell>
          <cell r="G4008" t="str">
            <v>1</v>
          </cell>
          <cell r="H4008" t="str">
            <v>INDUSTRY</v>
          </cell>
          <cell r="I4008" t="str">
            <v>11</v>
          </cell>
          <cell r="J4008" t="str">
            <v>WOOD COATINGS</v>
          </cell>
          <cell r="K4008" t="str">
            <v>1103</v>
          </cell>
          <cell r="L4008" t="str">
            <v>PU</v>
          </cell>
          <cell r="M4008" t="str">
            <v>110319</v>
          </cell>
          <cell r="N4008" t="str">
            <v>PU COLOR</v>
          </cell>
        </row>
        <row r="4009">
          <cell r="C4009" t="str">
            <v>100005478</v>
          </cell>
          <cell r="D4009" t="str">
            <v>PUC-52235 XANH 90 NTC VN-20KP</v>
          </cell>
          <cell r="E4009" t="str">
            <v>ZFGD</v>
          </cell>
          <cell r="F4009" t="str">
            <v>PC</v>
          </cell>
          <cell r="G4009" t="str">
            <v>1</v>
          </cell>
          <cell r="H4009" t="str">
            <v>INDUSTRY</v>
          </cell>
          <cell r="I4009" t="str">
            <v>11</v>
          </cell>
          <cell r="J4009" t="str">
            <v>WOOD COATINGS</v>
          </cell>
          <cell r="K4009" t="str">
            <v>1103</v>
          </cell>
          <cell r="L4009" t="str">
            <v>PU</v>
          </cell>
          <cell r="M4009" t="str">
            <v>110319</v>
          </cell>
          <cell r="N4009" t="str">
            <v>PU COLOR</v>
          </cell>
        </row>
        <row r="4010">
          <cell r="C4010" t="str">
            <v>100005479</v>
          </cell>
          <cell r="D4010" t="str">
            <v>DC-12223 LC WHITE 00 25 GR VN-18KP</v>
          </cell>
          <cell r="E4010" t="str">
            <v>ZFGD</v>
          </cell>
          <cell r="F4010" t="str">
            <v>PC</v>
          </cell>
          <cell r="G4010" t="str">
            <v>1</v>
          </cell>
          <cell r="H4010" t="str">
            <v>INDUSTRY</v>
          </cell>
          <cell r="I4010" t="str">
            <v>11</v>
          </cell>
          <cell r="J4010" t="str">
            <v>WOOD COATINGS</v>
          </cell>
          <cell r="K4010" t="str">
            <v>1104</v>
          </cell>
          <cell r="L4010" t="str">
            <v>NC</v>
          </cell>
          <cell r="M4010" t="str">
            <v>110405</v>
          </cell>
          <cell r="N4010" t="str">
            <v>NC SYSTEM</v>
          </cell>
        </row>
        <row r="4011">
          <cell r="C4011" t="str">
            <v>100005480</v>
          </cell>
          <cell r="D4011" t="str">
            <v>PUC-52239 FIN 5 20 TL VN-20KP</v>
          </cell>
          <cell r="E4011" t="str">
            <v>ZFGD</v>
          </cell>
          <cell r="F4011" t="str">
            <v>PC</v>
          </cell>
          <cell r="G4011" t="str">
            <v>1</v>
          </cell>
          <cell r="H4011" t="str">
            <v>INDUSTRY</v>
          </cell>
          <cell r="I4011" t="str">
            <v>11</v>
          </cell>
          <cell r="J4011" t="str">
            <v>WOOD COATINGS</v>
          </cell>
          <cell r="K4011" t="str">
            <v>1103</v>
          </cell>
          <cell r="L4011" t="str">
            <v>PU</v>
          </cell>
          <cell r="M4011" t="str">
            <v>110319</v>
          </cell>
          <cell r="N4011" t="str">
            <v>PU COLOR</v>
          </cell>
        </row>
        <row r="4012">
          <cell r="C4012" t="str">
            <v>100005481</v>
          </cell>
          <cell r="D4012" t="str">
            <v>PUC-54205 FIN 6 40 TL VN-20KP</v>
          </cell>
          <cell r="E4012" t="str">
            <v>ZFGD</v>
          </cell>
          <cell r="F4012" t="str">
            <v>PC</v>
          </cell>
          <cell r="G4012" t="str">
            <v>1</v>
          </cell>
          <cell r="H4012" t="str">
            <v>INDUSTRY</v>
          </cell>
          <cell r="I4012" t="str">
            <v>11</v>
          </cell>
          <cell r="J4012" t="str">
            <v>WOOD COATINGS</v>
          </cell>
          <cell r="K4012" t="str">
            <v>1103</v>
          </cell>
          <cell r="L4012" t="str">
            <v>PU</v>
          </cell>
          <cell r="M4012" t="str">
            <v>110319</v>
          </cell>
          <cell r="N4012" t="str">
            <v>PU COLOR</v>
          </cell>
        </row>
        <row r="4013">
          <cell r="C4013" t="str">
            <v>100005482</v>
          </cell>
          <cell r="D4013" t="str">
            <v>NCL-11331 CLEAR 20 VN-18KP</v>
          </cell>
          <cell r="E4013" t="str">
            <v>ZFGD</v>
          </cell>
          <cell r="F4013" t="str">
            <v>PC</v>
          </cell>
          <cell r="G4013" t="str">
            <v>1</v>
          </cell>
          <cell r="H4013" t="str">
            <v>INDUSTRY</v>
          </cell>
          <cell r="I4013" t="str">
            <v>11</v>
          </cell>
          <cell r="J4013" t="str">
            <v>WOOD COATINGS</v>
          </cell>
          <cell r="K4013" t="str">
            <v>1104</v>
          </cell>
          <cell r="L4013" t="str">
            <v>NC</v>
          </cell>
          <cell r="M4013" t="str">
            <v>110405</v>
          </cell>
          <cell r="N4013" t="str">
            <v>NC SYSTEM</v>
          </cell>
        </row>
        <row r="4014">
          <cell r="C4014" t="str">
            <v>100005483</v>
          </cell>
          <cell r="D4014" t="str">
            <v>NCL-11331 CLEAR 20 VN-180KB</v>
          </cell>
          <cell r="E4014" t="str">
            <v>ZFGD</v>
          </cell>
          <cell r="F4014" t="str">
            <v>PC</v>
          </cell>
          <cell r="G4014" t="str">
            <v>1</v>
          </cell>
          <cell r="H4014" t="str">
            <v>INDUSTRY</v>
          </cell>
          <cell r="I4014" t="str">
            <v>11</v>
          </cell>
          <cell r="J4014" t="str">
            <v>WOOD COATINGS</v>
          </cell>
          <cell r="K4014" t="str">
            <v>1104</v>
          </cell>
          <cell r="L4014" t="str">
            <v>NC</v>
          </cell>
          <cell r="M4014" t="str">
            <v>110405</v>
          </cell>
          <cell r="N4014" t="str">
            <v>NC SYSTEM</v>
          </cell>
        </row>
        <row r="4015">
          <cell r="C4015" t="str">
            <v>100005484</v>
          </cell>
          <cell r="D4015" t="str">
            <v>PUC-52239 SW 7566 30 TL VN-20KP</v>
          </cell>
          <cell r="E4015" t="str">
            <v>ZFGD</v>
          </cell>
          <cell r="F4015" t="str">
            <v>PC</v>
          </cell>
          <cell r="G4015" t="str">
            <v>1</v>
          </cell>
          <cell r="H4015" t="str">
            <v>INDUSTRY</v>
          </cell>
          <cell r="I4015" t="str">
            <v>11</v>
          </cell>
          <cell r="J4015" t="str">
            <v>WOOD COATINGS</v>
          </cell>
          <cell r="K4015" t="str">
            <v>1103</v>
          </cell>
          <cell r="L4015" t="str">
            <v>PU</v>
          </cell>
          <cell r="M4015" t="str">
            <v>110319</v>
          </cell>
          <cell r="N4015" t="str">
            <v>PU COLOR</v>
          </cell>
        </row>
        <row r="4016">
          <cell r="C4016" t="str">
            <v>100005485</v>
          </cell>
          <cell r="D4016" t="str">
            <v>DC-12223 LC GREY 01 25 GR VN-18KP</v>
          </cell>
          <cell r="E4016" t="str">
            <v>ZFGD</v>
          </cell>
          <cell r="F4016" t="str">
            <v>PC</v>
          </cell>
          <cell r="G4016" t="str">
            <v>1</v>
          </cell>
          <cell r="H4016" t="str">
            <v>INDUSTRY</v>
          </cell>
          <cell r="I4016" t="str">
            <v>11</v>
          </cell>
          <cell r="J4016" t="str">
            <v>WOOD COATINGS</v>
          </cell>
          <cell r="K4016" t="str">
            <v>1104</v>
          </cell>
          <cell r="L4016" t="str">
            <v>NC</v>
          </cell>
          <cell r="M4016" t="str">
            <v>110405</v>
          </cell>
          <cell r="N4016" t="str">
            <v>NC SYSTEM</v>
          </cell>
        </row>
        <row r="4017">
          <cell r="C4017" t="str">
            <v>100005486</v>
          </cell>
          <cell r="D4017" t="str">
            <v>SST-11100 10 VC III VN-16KJ</v>
          </cell>
          <cell r="E4017" t="str">
            <v>ZFGD</v>
          </cell>
          <cell r="F4017" t="str">
            <v>PC</v>
          </cell>
          <cell r="G4017" t="str">
            <v>1</v>
          </cell>
          <cell r="H4017" t="str">
            <v>INDUSTRY</v>
          </cell>
          <cell r="I4017" t="str">
            <v>11</v>
          </cell>
          <cell r="J4017" t="str">
            <v>WOOD COATINGS</v>
          </cell>
          <cell r="K4017" t="str">
            <v>1109</v>
          </cell>
          <cell r="L4017" t="str">
            <v>STAIN &amp; GLAZE INTERIOR</v>
          </cell>
          <cell r="M4017" t="str">
            <v>110903</v>
          </cell>
          <cell r="N4017" t="str">
            <v>STAIN INTERIOR</v>
          </cell>
        </row>
        <row r="4018">
          <cell r="C4018" t="str">
            <v>100005487</v>
          </cell>
          <cell r="D4018" t="str">
            <v>SST-11100 10 VC III VN-160KK</v>
          </cell>
          <cell r="E4018" t="str">
            <v>ZFGD</v>
          </cell>
          <cell r="F4018" t="str">
            <v>PC</v>
          </cell>
          <cell r="G4018" t="str">
            <v>1</v>
          </cell>
          <cell r="H4018" t="str">
            <v>INDUSTRY</v>
          </cell>
          <cell r="I4018" t="str">
            <v>11</v>
          </cell>
          <cell r="J4018" t="str">
            <v>WOOD COATINGS</v>
          </cell>
          <cell r="K4018" t="str">
            <v>1109</v>
          </cell>
          <cell r="L4018" t="str">
            <v>STAIN &amp; GLAZE INTERIOR</v>
          </cell>
          <cell r="M4018" t="str">
            <v>110903</v>
          </cell>
          <cell r="N4018" t="str">
            <v>STAIN INTERIOR</v>
          </cell>
        </row>
        <row r="4019">
          <cell r="C4019" t="str">
            <v>100005488</v>
          </cell>
          <cell r="D4019" t="str">
            <v>PRCC-40114 GL 1398 VN-180KK</v>
          </cell>
          <cell r="E4019" t="str">
            <v>ZFGD</v>
          </cell>
          <cell r="F4019" t="str">
            <v>PC</v>
          </cell>
          <cell r="G4019" t="str">
            <v>1</v>
          </cell>
          <cell r="H4019" t="str">
            <v>INDUSTRY</v>
          </cell>
          <cell r="I4019" t="str">
            <v>12</v>
          </cell>
          <cell r="J4019" t="str">
            <v>CAN COATINGS</v>
          </cell>
          <cell r="K4019" t="str">
            <v>1201</v>
          </cell>
          <cell r="L4019" t="str">
            <v>CAN COATINGS</v>
          </cell>
          <cell r="M4019" t="str">
            <v>120101</v>
          </cell>
          <cell r="N4019" t="str">
            <v>CAN COATINGS</v>
          </cell>
        </row>
        <row r="4020">
          <cell r="C4020" t="str">
            <v>100005489</v>
          </cell>
          <cell r="D4020" t="str">
            <v>UVP-60508 GMR SC VN-20KP</v>
          </cell>
          <cell r="E4020" t="str">
            <v>ZFGD</v>
          </cell>
          <cell r="F4020" t="str">
            <v>PC</v>
          </cell>
          <cell r="G4020" t="str">
            <v>1</v>
          </cell>
          <cell r="H4020" t="str">
            <v>INDUSTRY</v>
          </cell>
          <cell r="I4020" t="str">
            <v>11</v>
          </cell>
          <cell r="J4020" t="str">
            <v>WOOD COATINGS</v>
          </cell>
          <cell r="K4020" t="str">
            <v>1106</v>
          </cell>
          <cell r="L4020" t="str">
            <v>UV</v>
          </cell>
          <cell r="M4020" t="str">
            <v>110604</v>
          </cell>
          <cell r="N4020" t="str">
            <v>UV PRIMER</v>
          </cell>
        </row>
        <row r="4021">
          <cell r="C4021" t="str">
            <v>100005490</v>
          </cell>
          <cell r="D4021" t="str">
            <v>UVP-60508 TSG SC VN-20KP</v>
          </cell>
          <cell r="E4021" t="str">
            <v>ZFGD</v>
          </cell>
          <cell r="F4021" t="str">
            <v>PC</v>
          </cell>
          <cell r="G4021" t="str">
            <v>1</v>
          </cell>
          <cell r="H4021" t="str">
            <v>INDUSTRY</v>
          </cell>
          <cell r="I4021" t="str">
            <v>11</v>
          </cell>
          <cell r="J4021" t="str">
            <v>WOOD COATINGS</v>
          </cell>
          <cell r="K4021" t="str">
            <v>1106</v>
          </cell>
          <cell r="L4021" t="str">
            <v>UV</v>
          </cell>
          <cell r="M4021" t="str">
            <v>110604</v>
          </cell>
          <cell r="N4021" t="str">
            <v>UV PRIMER</v>
          </cell>
        </row>
        <row r="4022">
          <cell r="C4022" t="str">
            <v>100005491</v>
          </cell>
          <cell r="D4022" t="str">
            <v>NCL-11330 NG CLEAR 10 VN-18KP</v>
          </cell>
          <cell r="E4022" t="str">
            <v>ZFGD</v>
          </cell>
          <cell r="F4022" t="str">
            <v>PC</v>
          </cell>
          <cell r="G4022" t="str">
            <v>1</v>
          </cell>
          <cell r="H4022" t="str">
            <v>INDUSTRY</v>
          </cell>
          <cell r="I4022" t="str">
            <v>11</v>
          </cell>
          <cell r="J4022" t="str">
            <v>WOOD COATINGS</v>
          </cell>
          <cell r="K4022" t="str">
            <v>1104</v>
          </cell>
          <cell r="L4022" t="str">
            <v>NC</v>
          </cell>
          <cell r="M4022" t="str">
            <v>110405</v>
          </cell>
          <cell r="N4022" t="str">
            <v>NC SYSTEM</v>
          </cell>
        </row>
        <row r="4023">
          <cell r="C4023" t="str">
            <v>100005492</v>
          </cell>
          <cell r="D4023" t="str">
            <v>NCL-11330 NG CLEAR 10 VN-180KB</v>
          </cell>
          <cell r="E4023" t="str">
            <v>ZFGD</v>
          </cell>
          <cell r="F4023" t="str">
            <v>PC</v>
          </cell>
          <cell r="G4023" t="str">
            <v>1</v>
          </cell>
          <cell r="H4023" t="str">
            <v>INDUSTRY</v>
          </cell>
          <cell r="I4023" t="str">
            <v>11</v>
          </cell>
          <cell r="J4023" t="str">
            <v>WOOD COATINGS</v>
          </cell>
          <cell r="K4023" t="str">
            <v>1104</v>
          </cell>
          <cell r="L4023" t="str">
            <v>NC</v>
          </cell>
          <cell r="M4023" t="str">
            <v>110405</v>
          </cell>
          <cell r="N4023" t="str">
            <v>NC SYSTEM</v>
          </cell>
        </row>
        <row r="4024">
          <cell r="C4024" t="str">
            <v>100005493</v>
          </cell>
          <cell r="D4024" t="str">
            <v>PRCC-40201 GL PHENOLIC PROPAN-180KK</v>
          </cell>
          <cell r="E4024" t="str">
            <v>ZFGD</v>
          </cell>
          <cell r="F4024" t="str">
            <v>PC</v>
          </cell>
          <cell r="G4024" t="str">
            <v>1</v>
          </cell>
          <cell r="H4024" t="str">
            <v>INDUSTRY</v>
          </cell>
          <cell r="I4024" t="str">
            <v>12</v>
          </cell>
          <cell r="J4024" t="str">
            <v>CAN COATINGS</v>
          </cell>
          <cell r="K4024" t="str">
            <v>1201</v>
          </cell>
          <cell r="L4024" t="str">
            <v>CAN COATINGS</v>
          </cell>
          <cell r="M4024" t="str">
            <v>120101</v>
          </cell>
          <cell r="N4024" t="str">
            <v>CAN COATINGS</v>
          </cell>
        </row>
        <row r="4025">
          <cell r="C4025" t="str">
            <v>100005494</v>
          </cell>
          <cell r="D4025" t="str">
            <v>PRCC-20508 VCV LINH KY-18KP</v>
          </cell>
          <cell r="E4025" t="str">
            <v>ZFGD</v>
          </cell>
          <cell r="F4025" t="str">
            <v>PC</v>
          </cell>
          <cell r="G4025" t="str">
            <v>1</v>
          </cell>
          <cell r="H4025" t="str">
            <v>INDUSTRY</v>
          </cell>
          <cell r="I4025" t="str">
            <v>12</v>
          </cell>
          <cell r="J4025" t="str">
            <v>CAN COATINGS</v>
          </cell>
          <cell r="K4025" t="str">
            <v>1201</v>
          </cell>
          <cell r="L4025" t="str">
            <v>CAN COATINGS</v>
          </cell>
          <cell r="M4025" t="str">
            <v>120101</v>
          </cell>
          <cell r="N4025" t="str">
            <v>CAN COATINGS</v>
          </cell>
        </row>
        <row r="4026">
          <cell r="C4026" t="str">
            <v>100005495</v>
          </cell>
          <cell r="D4026" t="str">
            <v>PRCC-20502 VINYL SIZE-18KP</v>
          </cell>
          <cell r="E4026" t="str">
            <v>ZFGD</v>
          </cell>
          <cell r="F4026" t="str">
            <v>PC</v>
          </cell>
          <cell r="G4026" t="str">
            <v>1</v>
          </cell>
          <cell r="H4026" t="str">
            <v>INDUSTRY</v>
          </cell>
          <cell r="I4026" t="str">
            <v>12</v>
          </cell>
          <cell r="J4026" t="str">
            <v>CAN COATINGS</v>
          </cell>
          <cell r="K4026" t="str">
            <v>1201</v>
          </cell>
          <cell r="L4026" t="str">
            <v>CAN COATINGS</v>
          </cell>
          <cell r="M4026" t="str">
            <v>120101</v>
          </cell>
          <cell r="N4026" t="str">
            <v>CAN COATINGS</v>
          </cell>
        </row>
        <row r="4027">
          <cell r="C4027" t="str">
            <v>100005496</v>
          </cell>
          <cell r="D4027" t="str">
            <v>PRCC-20102 SSV-3.8K</v>
          </cell>
          <cell r="E4027" t="str">
            <v>ZFGD</v>
          </cell>
          <cell r="F4027" t="str">
            <v>PC</v>
          </cell>
          <cell r="G4027" t="str">
            <v>1</v>
          </cell>
          <cell r="H4027" t="str">
            <v>INDUSTRY</v>
          </cell>
          <cell r="I4027" t="str">
            <v>12</v>
          </cell>
          <cell r="J4027" t="str">
            <v>CAN COATINGS</v>
          </cell>
          <cell r="K4027" t="str">
            <v>1201</v>
          </cell>
          <cell r="L4027" t="str">
            <v>CAN COATINGS</v>
          </cell>
          <cell r="M4027" t="str">
            <v>120101</v>
          </cell>
          <cell r="N4027" t="str">
            <v>CAN COATINGS</v>
          </cell>
        </row>
        <row r="4028">
          <cell r="C4028" t="str">
            <v>100005497</v>
          </cell>
          <cell r="D4028" t="str">
            <v>UVP-60508 SLP NEW SC VN-20KP</v>
          </cell>
          <cell r="E4028" t="str">
            <v>ZFGD</v>
          </cell>
          <cell r="F4028" t="str">
            <v>PC</v>
          </cell>
          <cell r="G4028" t="str">
            <v>1</v>
          </cell>
          <cell r="H4028" t="str">
            <v>INDUSTRY</v>
          </cell>
          <cell r="I4028" t="str">
            <v>11</v>
          </cell>
          <cell r="J4028" t="str">
            <v>WOOD COATINGS</v>
          </cell>
          <cell r="K4028" t="str">
            <v>1106</v>
          </cell>
          <cell r="L4028" t="str">
            <v>UV</v>
          </cell>
          <cell r="M4028" t="str">
            <v>110604</v>
          </cell>
          <cell r="N4028" t="str">
            <v>UV PRIMER</v>
          </cell>
        </row>
        <row r="4029">
          <cell r="C4029" t="str">
            <v>100005498</v>
          </cell>
          <cell r="D4029" t="str">
            <v>UVP-60508 WTEA SC VN-20KP</v>
          </cell>
          <cell r="E4029" t="str">
            <v>ZFGD</v>
          </cell>
          <cell r="F4029" t="str">
            <v>PC</v>
          </cell>
          <cell r="G4029" t="str">
            <v>1</v>
          </cell>
          <cell r="H4029" t="str">
            <v>INDUSTRY</v>
          </cell>
          <cell r="I4029" t="str">
            <v>11</v>
          </cell>
          <cell r="J4029" t="str">
            <v>WOOD COATINGS</v>
          </cell>
          <cell r="K4029" t="str">
            <v>1106</v>
          </cell>
          <cell r="L4029" t="str">
            <v>UV</v>
          </cell>
          <cell r="M4029" t="str">
            <v>110604</v>
          </cell>
          <cell r="N4029" t="str">
            <v>UV PRIMER</v>
          </cell>
        </row>
        <row r="4030">
          <cell r="C4030" t="str">
            <v>100005499</v>
          </cell>
          <cell r="D4030" t="str">
            <v>DC-12230 BLACK 10 VN-18KP</v>
          </cell>
          <cell r="E4030" t="str">
            <v>ZFGD</v>
          </cell>
          <cell r="F4030" t="str">
            <v>PC</v>
          </cell>
          <cell r="G4030" t="str">
            <v>1</v>
          </cell>
          <cell r="H4030" t="str">
            <v>INDUSTRY</v>
          </cell>
          <cell r="I4030" t="str">
            <v>11</v>
          </cell>
          <cell r="J4030" t="str">
            <v>WOOD COATINGS</v>
          </cell>
          <cell r="K4030" t="str">
            <v>1104</v>
          </cell>
          <cell r="L4030" t="str">
            <v>NC</v>
          </cell>
          <cell r="M4030" t="str">
            <v>110405</v>
          </cell>
          <cell r="N4030" t="str">
            <v>NC SYSTEM</v>
          </cell>
        </row>
        <row r="4031">
          <cell r="C4031" t="str">
            <v>100005500</v>
          </cell>
          <cell r="D4031" t="str">
            <v>DC-12230 BLACK 10 VN-180KB</v>
          </cell>
          <cell r="E4031" t="str">
            <v>ZFGD</v>
          </cell>
          <cell r="F4031" t="str">
            <v>PC</v>
          </cell>
          <cell r="G4031" t="str">
            <v>1</v>
          </cell>
          <cell r="H4031" t="str">
            <v>INDUSTRY</v>
          </cell>
          <cell r="I4031" t="str">
            <v>11</v>
          </cell>
          <cell r="J4031" t="str">
            <v>WOOD COATINGS</v>
          </cell>
          <cell r="K4031" t="str">
            <v>1104</v>
          </cell>
          <cell r="L4031" t="str">
            <v>NC</v>
          </cell>
          <cell r="M4031" t="str">
            <v>110405</v>
          </cell>
          <cell r="N4031" t="str">
            <v>NC SYSTEM</v>
          </cell>
        </row>
        <row r="4032">
          <cell r="C4032" t="str">
            <v>100005501</v>
          </cell>
          <cell r="D4032" t="str">
            <v>DC-12230 WHITE 60 VN-18KP</v>
          </cell>
          <cell r="E4032" t="str">
            <v>ZFGD</v>
          </cell>
          <cell r="F4032" t="str">
            <v>PC</v>
          </cell>
          <cell r="G4032" t="str">
            <v>1</v>
          </cell>
          <cell r="H4032" t="str">
            <v>INDUSTRY</v>
          </cell>
          <cell r="I4032" t="str">
            <v>11</v>
          </cell>
          <cell r="J4032" t="str">
            <v>WOOD COATINGS</v>
          </cell>
          <cell r="K4032" t="str">
            <v>1104</v>
          </cell>
          <cell r="L4032" t="str">
            <v>NC</v>
          </cell>
          <cell r="M4032" t="str">
            <v>110405</v>
          </cell>
          <cell r="N4032" t="str">
            <v>NC SYSTEM</v>
          </cell>
        </row>
        <row r="4033">
          <cell r="C4033" t="str">
            <v>100005502</v>
          </cell>
          <cell r="D4033" t="str">
            <v>DC-12230 WHITE 60 VN-180KB</v>
          </cell>
          <cell r="E4033" t="str">
            <v>ZFGD</v>
          </cell>
          <cell r="F4033" t="str">
            <v>PC</v>
          </cell>
          <cell r="G4033" t="str">
            <v>1</v>
          </cell>
          <cell r="H4033" t="str">
            <v>INDUSTRY</v>
          </cell>
          <cell r="I4033" t="str">
            <v>11</v>
          </cell>
          <cell r="J4033" t="str">
            <v>WOOD COATINGS</v>
          </cell>
          <cell r="K4033" t="str">
            <v>1104</v>
          </cell>
          <cell r="L4033" t="str">
            <v>NC</v>
          </cell>
          <cell r="M4033" t="str">
            <v>110405</v>
          </cell>
          <cell r="N4033" t="str">
            <v>NC SYSTEM</v>
          </cell>
        </row>
        <row r="4034">
          <cell r="C4034" t="str">
            <v>100005503</v>
          </cell>
          <cell r="D4034" t="str">
            <v>DP-12130 BLACK VN-18KP</v>
          </cell>
          <cell r="E4034" t="str">
            <v>ZFGD</v>
          </cell>
          <cell r="F4034" t="str">
            <v>PC</v>
          </cell>
          <cell r="G4034" t="str">
            <v>1</v>
          </cell>
          <cell r="H4034" t="str">
            <v>INDUSTRY</v>
          </cell>
          <cell r="I4034" t="str">
            <v>11</v>
          </cell>
          <cell r="J4034" t="str">
            <v>WOOD COATINGS</v>
          </cell>
          <cell r="K4034" t="str">
            <v>1104</v>
          </cell>
          <cell r="L4034" t="str">
            <v>NC</v>
          </cell>
          <cell r="M4034" t="str">
            <v>110405</v>
          </cell>
          <cell r="N4034" t="str">
            <v>NC SYSTEM</v>
          </cell>
        </row>
        <row r="4035">
          <cell r="C4035" t="str">
            <v>100005504</v>
          </cell>
          <cell r="D4035" t="str">
            <v>DP-12130 BLACK VN-180KB</v>
          </cell>
          <cell r="E4035" t="str">
            <v>ZFGD</v>
          </cell>
          <cell r="F4035" t="str">
            <v>PC</v>
          </cell>
          <cell r="G4035" t="str">
            <v>1</v>
          </cell>
          <cell r="H4035" t="str">
            <v>INDUSTRY</v>
          </cell>
          <cell r="I4035" t="str">
            <v>11</v>
          </cell>
          <cell r="J4035" t="str">
            <v>WOOD COATINGS</v>
          </cell>
          <cell r="K4035" t="str">
            <v>1104</v>
          </cell>
          <cell r="L4035" t="str">
            <v>NC</v>
          </cell>
          <cell r="M4035" t="str">
            <v>110405</v>
          </cell>
          <cell r="N4035" t="str">
            <v>NC SYSTEM</v>
          </cell>
        </row>
        <row r="4036">
          <cell r="C4036" t="str">
            <v>100005505</v>
          </cell>
          <cell r="D4036" t="str">
            <v>MEP-12003 BLACK KN VN-18KP</v>
          </cell>
          <cell r="E4036" t="str">
            <v>ZFGD</v>
          </cell>
          <cell r="F4036" t="str">
            <v>PC</v>
          </cell>
          <cell r="G4036" t="str">
            <v>1</v>
          </cell>
          <cell r="H4036" t="str">
            <v>INDUSTRY</v>
          </cell>
          <cell r="I4036" t="str">
            <v>16</v>
          </cell>
          <cell r="J4036" t="str">
            <v>METAL COATINGS</v>
          </cell>
          <cell r="K4036" t="str">
            <v>1601</v>
          </cell>
          <cell r="L4036" t="str">
            <v>METAL COATINGS</v>
          </cell>
          <cell r="M4036" t="str">
            <v>160101</v>
          </cell>
          <cell r="N4036" t="str">
            <v>METAL COATINGS</v>
          </cell>
        </row>
        <row r="4037">
          <cell r="C4037" t="str">
            <v>100005506</v>
          </cell>
          <cell r="D4037" t="str">
            <v>MEPH-12003 PS KN VN-2K</v>
          </cell>
          <cell r="E4037" t="str">
            <v>ZFGD</v>
          </cell>
          <cell r="F4037" t="str">
            <v>PC</v>
          </cell>
          <cell r="G4037" t="str">
            <v>1</v>
          </cell>
          <cell r="H4037" t="str">
            <v>INDUSTRY</v>
          </cell>
          <cell r="I4037" t="str">
            <v>16</v>
          </cell>
          <cell r="J4037" t="str">
            <v>METAL COATINGS</v>
          </cell>
          <cell r="K4037" t="str">
            <v>1601</v>
          </cell>
          <cell r="L4037" t="str">
            <v>METAL COATINGS</v>
          </cell>
          <cell r="M4037" t="str">
            <v>160101</v>
          </cell>
          <cell r="N4037" t="str">
            <v>METAL COATINGS</v>
          </cell>
        </row>
        <row r="4038">
          <cell r="C4038" t="str">
            <v>100005507</v>
          </cell>
          <cell r="D4038" t="str">
            <v>DC-12230 WHITE 40 VN-18KP</v>
          </cell>
          <cell r="E4038" t="str">
            <v>ZFGD</v>
          </cell>
          <cell r="F4038" t="str">
            <v>PC</v>
          </cell>
          <cell r="G4038" t="str">
            <v>1</v>
          </cell>
          <cell r="H4038" t="str">
            <v>INDUSTRY</v>
          </cell>
          <cell r="I4038" t="str">
            <v>11</v>
          </cell>
          <cell r="J4038" t="str">
            <v>WOOD COATINGS</v>
          </cell>
          <cell r="K4038" t="str">
            <v>1104</v>
          </cell>
          <cell r="L4038" t="str">
            <v>NC</v>
          </cell>
          <cell r="M4038" t="str">
            <v>110405</v>
          </cell>
          <cell r="N4038" t="str">
            <v>NC SYSTEM</v>
          </cell>
        </row>
        <row r="4039">
          <cell r="C4039" t="str">
            <v>100005508</v>
          </cell>
          <cell r="D4039" t="str">
            <v>DC-12230 WHITE 40 VN-180KB</v>
          </cell>
          <cell r="E4039" t="str">
            <v>ZFGD</v>
          </cell>
          <cell r="F4039" t="str">
            <v>PC</v>
          </cell>
          <cell r="G4039" t="str">
            <v>1</v>
          </cell>
          <cell r="H4039" t="str">
            <v>INDUSTRY</v>
          </cell>
          <cell r="I4039" t="str">
            <v>11</v>
          </cell>
          <cell r="J4039" t="str">
            <v>WOOD COATINGS</v>
          </cell>
          <cell r="K4039" t="str">
            <v>1104</v>
          </cell>
          <cell r="L4039" t="str">
            <v>NC</v>
          </cell>
          <cell r="M4039" t="str">
            <v>110405</v>
          </cell>
          <cell r="N4039" t="str">
            <v>NC SYSTEM</v>
          </cell>
        </row>
        <row r="4040">
          <cell r="C4040" t="str">
            <v>100005517</v>
          </cell>
          <cell r="D4040" t="str">
            <v>DC-12230 BLACK VHG 40 HF VN-18KP</v>
          </cell>
          <cell r="E4040" t="str">
            <v>ZFGD</v>
          </cell>
          <cell r="F4040" t="str">
            <v>PC</v>
          </cell>
          <cell r="G4040" t="str">
            <v>1</v>
          </cell>
          <cell r="H4040" t="str">
            <v>INDUSTRY</v>
          </cell>
          <cell r="I4040" t="str">
            <v>11</v>
          </cell>
          <cell r="J4040" t="str">
            <v>WOOD COATINGS</v>
          </cell>
          <cell r="K4040" t="str">
            <v>1104</v>
          </cell>
          <cell r="L4040" t="str">
            <v>NC</v>
          </cell>
          <cell r="M4040" t="str">
            <v>110405</v>
          </cell>
          <cell r="N4040" t="str">
            <v>NC SYSTEM</v>
          </cell>
        </row>
        <row r="4041">
          <cell r="C4041" t="str">
            <v>100005518</v>
          </cell>
          <cell r="D4041" t="str">
            <v>DP-12130 GREY 02 PTW VN-18KP</v>
          </cell>
          <cell r="E4041" t="str">
            <v>ZFGD</v>
          </cell>
          <cell r="F4041" t="str">
            <v>PC</v>
          </cell>
          <cell r="G4041" t="str">
            <v>1</v>
          </cell>
          <cell r="H4041" t="str">
            <v>INDUSTRY</v>
          </cell>
          <cell r="I4041" t="str">
            <v>11</v>
          </cell>
          <cell r="J4041" t="str">
            <v>WOOD COATINGS</v>
          </cell>
          <cell r="K4041" t="str">
            <v>1104</v>
          </cell>
          <cell r="L4041" t="str">
            <v>NC</v>
          </cell>
          <cell r="M4041" t="str">
            <v>110405</v>
          </cell>
          <cell r="N4041" t="str">
            <v>NC SYSTEM</v>
          </cell>
        </row>
        <row r="4042">
          <cell r="C4042" t="str">
            <v>100005519</v>
          </cell>
          <cell r="D4042" t="str">
            <v>DC-12230 GREY 01 10 PTW VN-18KP</v>
          </cell>
          <cell r="E4042" t="str">
            <v>ZFGD</v>
          </cell>
          <cell r="F4042" t="str">
            <v>PC</v>
          </cell>
          <cell r="G4042" t="str">
            <v>1</v>
          </cell>
          <cell r="H4042" t="str">
            <v>INDUSTRY</v>
          </cell>
          <cell r="I4042" t="str">
            <v>11</v>
          </cell>
          <cell r="J4042" t="str">
            <v>WOOD COATINGS</v>
          </cell>
          <cell r="K4042" t="str">
            <v>1104</v>
          </cell>
          <cell r="L4042" t="str">
            <v>NC</v>
          </cell>
          <cell r="M4042" t="str">
            <v>110405</v>
          </cell>
          <cell r="N4042" t="str">
            <v>NC SYSTEM</v>
          </cell>
        </row>
        <row r="4043">
          <cell r="C4043" t="str">
            <v>100005520</v>
          </cell>
          <cell r="D4043" t="str">
            <v>DC-12230 GREY OAT 00 10 GR VN-18KP</v>
          </cell>
          <cell r="E4043" t="str">
            <v>ZFGD</v>
          </cell>
          <cell r="F4043" t="str">
            <v>PC</v>
          </cell>
          <cell r="G4043" t="str">
            <v>1</v>
          </cell>
          <cell r="H4043" t="str">
            <v>INDUSTRY</v>
          </cell>
          <cell r="I4043" t="str">
            <v>11</v>
          </cell>
          <cell r="J4043" t="str">
            <v>WOOD COATINGS</v>
          </cell>
          <cell r="K4043" t="str">
            <v>1104</v>
          </cell>
          <cell r="L4043" t="str">
            <v>NC</v>
          </cell>
          <cell r="M4043" t="str">
            <v>110405</v>
          </cell>
          <cell r="N4043" t="str">
            <v>NC SYSTEM</v>
          </cell>
        </row>
        <row r="4044">
          <cell r="C4044" t="str">
            <v>100005521</v>
          </cell>
          <cell r="D4044" t="str">
            <v>DC-12230 WHITE 10 VN-18KP</v>
          </cell>
          <cell r="E4044" t="str">
            <v>ZFGD</v>
          </cell>
          <cell r="F4044" t="str">
            <v>PC</v>
          </cell>
          <cell r="G4044" t="str">
            <v>1</v>
          </cell>
          <cell r="H4044" t="str">
            <v>INDUSTRY</v>
          </cell>
          <cell r="I4044" t="str">
            <v>11</v>
          </cell>
          <cell r="J4044" t="str">
            <v>WOOD COATINGS</v>
          </cell>
          <cell r="K4044" t="str">
            <v>1104</v>
          </cell>
          <cell r="L4044" t="str">
            <v>NC</v>
          </cell>
          <cell r="M4044" t="str">
            <v>110405</v>
          </cell>
          <cell r="N4044" t="str">
            <v>NC SYSTEM</v>
          </cell>
        </row>
        <row r="4045">
          <cell r="C4045" t="str">
            <v>100005522</v>
          </cell>
          <cell r="D4045" t="str">
            <v>DC-12230 WHITE 10 VN-180KB</v>
          </cell>
          <cell r="E4045" t="str">
            <v>ZFGD</v>
          </cell>
          <cell r="F4045" t="str">
            <v>PC</v>
          </cell>
          <cell r="G4045" t="str">
            <v>1</v>
          </cell>
          <cell r="H4045" t="str">
            <v>INDUSTRY</v>
          </cell>
          <cell r="I4045" t="str">
            <v>11</v>
          </cell>
          <cell r="J4045" t="str">
            <v>WOOD COATINGS</v>
          </cell>
          <cell r="K4045" t="str">
            <v>1104</v>
          </cell>
          <cell r="L4045" t="str">
            <v>NC</v>
          </cell>
          <cell r="M4045" t="str">
            <v>110405</v>
          </cell>
          <cell r="N4045" t="str">
            <v>NC SYSTEM</v>
          </cell>
        </row>
        <row r="4046">
          <cell r="C4046" t="str">
            <v>100005523</v>
          </cell>
          <cell r="D4046" t="str">
            <v>PCWB-31601 RED BRIGHT PASTE-4K</v>
          </cell>
          <cell r="E4046" t="str">
            <v>ZFGD</v>
          </cell>
          <cell r="F4046" t="str">
            <v>PC</v>
          </cell>
          <cell r="G4046" t="str">
            <v>1</v>
          </cell>
          <cell r="H4046" t="str">
            <v>INDUSTRY</v>
          </cell>
          <cell r="I4046" t="str">
            <v>11</v>
          </cell>
          <cell r="J4046" t="str">
            <v>WOOD COATINGS</v>
          </cell>
          <cell r="K4046" t="str">
            <v>1118</v>
          </cell>
          <cell r="L4046" t="str">
            <v>COMPLEMENTARY</v>
          </cell>
          <cell r="M4046" t="str">
            <v>111807</v>
          </cell>
          <cell r="N4046" t="str">
            <v>PASTA</v>
          </cell>
        </row>
        <row r="4047">
          <cell r="C4047" t="str">
            <v>100005526</v>
          </cell>
          <cell r="D4047" t="str">
            <v>DP-12130 BLACK 01 GR VN-18KP</v>
          </cell>
          <cell r="E4047" t="str">
            <v>ZFGD</v>
          </cell>
          <cell r="F4047" t="str">
            <v>PC</v>
          </cell>
          <cell r="G4047" t="str">
            <v>1</v>
          </cell>
          <cell r="H4047" t="str">
            <v>INDUSTRY</v>
          </cell>
          <cell r="I4047" t="str">
            <v>11</v>
          </cell>
          <cell r="J4047" t="str">
            <v>WOOD COATINGS</v>
          </cell>
          <cell r="K4047" t="str">
            <v>1104</v>
          </cell>
          <cell r="L4047" t="str">
            <v>NC</v>
          </cell>
          <cell r="M4047" t="str">
            <v>110405</v>
          </cell>
          <cell r="N4047" t="str">
            <v>NC SYSTEM</v>
          </cell>
        </row>
        <row r="4048">
          <cell r="C4048" t="str">
            <v>100005527</v>
          </cell>
          <cell r="D4048" t="str">
            <v>DC-12230 NG BLACK 01 10 GR VN-18KP</v>
          </cell>
          <cell r="E4048" t="str">
            <v>ZFGD</v>
          </cell>
          <cell r="F4048" t="str">
            <v>PC</v>
          </cell>
          <cell r="G4048" t="str">
            <v>1</v>
          </cell>
          <cell r="H4048" t="str">
            <v>INDUSTRY</v>
          </cell>
          <cell r="I4048" t="str">
            <v>11</v>
          </cell>
          <cell r="J4048" t="str">
            <v>WOOD COATINGS</v>
          </cell>
          <cell r="K4048" t="str">
            <v>1104</v>
          </cell>
          <cell r="L4048" t="str">
            <v>NC</v>
          </cell>
          <cell r="M4048" t="str">
            <v>110405</v>
          </cell>
          <cell r="N4048" t="str">
            <v>NC SYSTEM</v>
          </cell>
        </row>
        <row r="4049">
          <cell r="C4049" t="str">
            <v>100005528</v>
          </cell>
          <cell r="D4049" t="str">
            <v>NCL-11331 CLEAR 05 VN-18KP</v>
          </cell>
          <cell r="E4049" t="str">
            <v>ZFGD</v>
          </cell>
          <cell r="F4049" t="str">
            <v>PC</v>
          </cell>
          <cell r="G4049" t="str">
            <v>1</v>
          </cell>
          <cell r="H4049" t="str">
            <v>INDUSTRY</v>
          </cell>
          <cell r="I4049" t="str">
            <v>11</v>
          </cell>
          <cell r="J4049" t="str">
            <v>WOOD COATINGS</v>
          </cell>
          <cell r="K4049" t="str">
            <v>1104</v>
          </cell>
          <cell r="L4049" t="str">
            <v>NC</v>
          </cell>
          <cell r="M4049" t="str">
            <v>110405</v>
          </cell>
          <cell r="N4049" t="str">
            <v>NC SYSTEM</v>
          </cell>
        </row>
        <row r="4050">
          <cell r="C4050" t="str">
            <v>100005529</v>
          </cell>
          <cell r="D4050" t="str">
            <v>NCL-11331 CLEAR 05 VN-180KB</v>
          </cell>
          <cell r="E4050" t="str">
            <v>ZFGD</v>
          </cell>
          <cell r="F4050" t="str">
            <v>PC</v>
          </cell>
          <cell r="G4050" t="str">
            <v>1</v>
          </cell>
          <cell r="H4050" t="str">
            <v>INDUSTRY</v>
          </cell>
          <cell r="I4050" t="str">
            <v>11</v>
          </cell>
          <cell r="J4050" t="str">
            <v>WOOD COATINGS</v>
          </cell>
          <cell r="K4050" t="str">
            <v>1104</v>
          </cell>
          <cell r="L4050" t="str">
            <v>NC</v>
          </cell>
          <cell r="M4050" t="str">
            <v>110405</v>
          </cell>
          <cell r="N4050" t="str">
            <v>NC SYSTEM</v>
          </cell>
        </row>
        <row r="4051">
          <cell r="C4051" t="str">
            <v>100005532</v>
          </cell>
          <cell r="D4051" t="str">
            <v>PUP-1521-660-AK-20KP</v>
          </cell>
          <cell r="E4051" t="str">
            <v>ZFGD</v>
          </cell>
          <cell r="F4051" t="str">
            <v>PC</v>
          </cell>
          <cell r="G4051" t="str">
            <v>1</v>
          </cell>
          <cell r="H4051" t="str">
            <v>INDUSTRY</v>
          </cell>
          <cell r="I4051" t="str">
            <v>11</v>
          </cell>
          <cell r="J4051" t="str">
            <v>WOOD COATINGS</v>
          </cell>
          <cell r="K4051" t="str">
            <v>1103</v>
          </cell>
          <cell r="L4051" t="str">
            <v>PU</v>
          </cell>
          <cell r="M4051" t="str">
            <v>110322</v>
          </cell>
          <cell r="N4051" t="str">
            <v>PU PRIMER</v>
          </cell>
        </row>
        <row r="4052">
          <cell r="C4052" t="str">
            <v>100005533</v>
          </cell>
          <cell r="D4052" t="str">
            <v>PUP-1521-660-AK-200KB</v>
          </cell>
          <cell r="E4052" t="str">
            <v>ZFGD</v>
          </cell>
          <cell r="F4052" t="str">
            <v>PC</v>
          </cell>
          <cell r="G4052" t="str">
            <v>1</v>
          </cell>
          <cell r="H4052" t="str">
            <v>INDUSTRY</v>
          </cell>
          <cell r="I4052" t="str">
            <v>11</v>
          </cell>
          <cell r="J4052" t="str">
            <v>WOOD COATINGS</v>
          </cell>
          <cell r="K4052" t="str">
            <v>1103</v>
          </cell>
          <cell r="L4052" t="str">
            <v>PU</v>
          </cell>
          <cell r="M4052" t="str">
            <v>110322</v>
          </cell>
          <cell r="N4052" t="str">
            <v>PU PRIMER</v>
          </cell>
        </row>
        <row r="4053">
          <cell r="C4053" t="str">
            <v>100005534</v>
          </cell>
          <cell r="D4053" t="str">
            <v>NBC-9345-660-AK-20KP</v>
          </cell>
          <cell r="E4053" t="str">
            <v>ZFGD</v>
          </cell>
          <cell r="F4053" t="str">
            <v>PC</v>
          </cell>
          <cell r="G4053" t="str">
            <v>1</v>
          </cell>
          <cell r="H4053" t="str">
            <v>INDUSTRY</v>
          </cell>
          <cell r="I4053" t="str">
            <v>11</v>
          </cell>
          <cell r="J4053" t="str">
            <v>WOOD COATINGS</v>
          </cell>
          <cell r="K4053" t="str">
            <v>1104</v>
          </cell>
          <cell r="L4053" t="str">
            <v>NC</v>
          </cell>
          <cell r="M4053" t="str">
            <v>110403</v>
          </cell>
          <cell r="N4053" t="str">
            <v>ASOF : NC BASE COAT</v>
          </cell>
        </row>
        <row r="4054">
          <cell r="C4054" t="str">
            <v>100005535</v>
          </cell>
          <cell r="D4054" t="str">
            <v>NBC-9345-660-AK-200KB</v>
          </cell>
          <cell r="E4054" t="str">
            <v>ZFGD</v>
          </cell>
          <cell r="F4054" t="str">
            <v>PC</v>
          </cell>
          <cell r="G4054" t="str">
            <v>1</v>
          </cell>
          <cell r="H4054" t="str">
            <v>INDUSTRY</v>
          </cell>
          <cell r="I4054" t="str">
            <v>11</v>
          </cell>
          <cell r="J4054" t="str">
            <v>WOOD COATINGS</v>
          </cell>
          <cell r="K4054" t="str">
            <v>1104</v>
          </cell>
          <cell r="L4054" t="str">
            <v>NC</v>
          </cell>
          <cell r="M4054" t="str">
            <v>110403</v>
          </cell>
          <cell r="N4054" t="str">
            <v>ASOF : NC BASE COAT</v>
          </cell>
        </row>
        <row r="4055">
          <cell r="C4055" t="str">
            <v>100005536</v>
          </cell>
          <cell r="D4055" t="str">
            <v>PST-12200 1K DARK WALNUT SC VN-20LJ</v>
          </cell>
          <cell r="E4055" t="str">
            <v>ZFGD</v>
          </cell>
          <cell r="F4055" t="str">
            <v>PC</v>
          </cell>
          <cell r="G4055" t="str">
            <v>1</v>
          </cell>
          <cell r="H4055" t="str">
            <v>INDUSTRY</v>
          </cell>
          <cell r="I4055" t="str">
            <v>11</v>
          </cell>
          <cell r="J4055" t="str">
            <v>WOOD COATINGS</v>
          </cell>
          <cell r="K4055" t="str">
            <v>1101</v>
          </cell>
          <cell r="L4055" t="str">
            <v>ALKYD OIL</v>
          </cell>
          <cell r="M4055" t="str">
            <v>110102</v>
          </cell>
          <cell r="N4055" t="str">
            <v>STAIN EXTERIOR</v>
          </cell>
        </row>
        <row r="4056">
          <cell r="C4056" t="str">
            <v>100005537</v>
          </cell>
          <cell r="D4056" t="str">
            <v>PST-12200 1K DARK WALNUT SC VN-200LK</v>
          </cell>
          <cell r="E4056" t="str">
            <v>ZFGD</v>
          </cell>
          <cell r="F4056" t="str">
            <v>PC</v>
          </cell>
          <cell r="G4056" t="str">
            <v>1</v>
          </cell>
          <cell r="H4056" t="str">
            <v>INDUSTRY</v>
          </cell>
          <cell r="I4056" t="str">
            <v>11</v>
          </cell>
          <cell r="J4056" t="str">
            <v>WOOD COATINGS</v>
          </cell>
          <cell r="K4056" t="str">
            <v>1101</v>
          </cell>
          <cell r="L4056" t="str">
            <v>ALKYD OIL</v>
          </cell>
          <cell r="M4056" t="str">
            <v>110102</v>
          </cell>
          <cell r="N4056" t="str">
            <v>STAIN EXTERIOR</v>
          </cell>
        </row>
        <row r="4057">
          <cell r="C4057" t="str">
            <v>100005538</v>
          </cell>
          <cell r="D4057" t="str">
            <v>PCL-31300 BROWN TP35 T5 VN-16KJ</v>
          </cell>
          <cell r="E4057" t="str">
            <v>ZFGD</v>
          </cell>
          <cell r="F4057" t="str">
            <v>PC</v>
          </cell>
          <cell r="G4057" t="str">
            <v>1</v>
          </cell>
          <cell r="H4057" t="str">
            <v>INDUSTRY</v>
          </cell>
          <cell r="I4057" t="str">
            <v>11</v>
          </cell>
          <cell r="J4057" t="str">
            <v>WOOD COATINGS</v>
          </cell>
          <cell r="K4057" t="str">
            <v>1118</v>
          </cell>
          <cell r="L4057" t="str">
            <v>COMPLEMENTARY</v>
          </cell>
          <cell r="M4057" t="str">
            <v>111807</v>
          </cell>
          <cell r="N4057" t="str">
            <v>PASTA</v>
          </cell>
        </row>
        <row r="4058">
          <cell r="C4058" t="str">
            <v>100005539</v>
          </cell>
          <cell r="D4058" t="str">
            <v>GZ-12700 N RED DKMT05 D1 VN-16KP</v>
          </cell>
          <cell r="E4058" t="str">
            <v>ZFGD</v>
          </cell>
          <cell r="F4058" t="str">
            <v>PC</v>
          </cell>
          <cell r="G4058" t="str">
            <v>1</v>
          </cell>
          <cell r="H4058" t="str">
            <v>INDUSTRY</v>
          </cell>
          <cell r="I4058" t="str">
            <v>11</v>
          </cell>
          <cell r="J4058" t="str">
            <v>WOOD COATINGS</v>
          </cell>
          <cell r="K4058" t="str">
            <v>1109</v>
          </cell>
          <cell r="L4058" t="str">
            <v>STAIN &amp; GLAZE INTERIOR</v>
          </cell>
          <cell r="M4058" t="str">
            <v>110901</v>
          </cell>
          <cell r="N4058" t="str">
            <v>ASOF : STAIN &amp; GLAZE</v>
          </cell>
        </row>
        <row r="4059">
          <cell r="C4059" t="str">
            <v>100005540</v>
          </cell>
          <cell r="D4059" t="str">
            <v>GZ-12700 N YELLOW DKMT05 D1 VN-16KP</v>
          </cell>
          <cell r="E4059" t="str">
            <v>ZFGD</v>
          </cell>
          <cell r="F4059" t="str">
            <v>PC</v>
          </cell>
          <cell r="G4059" t="str">
            <v>1</v>
          </cell>
          <cell r="H4059" t="str">
            <v>INDUSTRY</v>
          </cell>
          <cell r="I4059" t="str">
            <v>11</v>
          </cell>
          <cell r="J4059" t="str">
            <v>WOOD COATINGS</v>
          </cell>
          <cell r="K4059" t="str">
            <v>1109</v>
          </cell>
          <cell r="L4059" t="str">
            <v>STAIN &amp; GLAZE INTERIOR</v>
          </cell>
          <cell r="M4059" t="str">
            <v>110901</v>
          </cell>
          <cell r="N4059" t="str">
            <v>ASOF : STAIN &amp; GLAZE</v>
          </cell>
        </row>
        <row r="4060">
          <cell r="C4060" t="str">
            <v>100005541</v>
          </cell>
          <cell r="D4060" t="str">
            <v>UVSS-40102 RW VN-20KP</v>
          </cell>
          <cell r="E4060" t="str">
            <v>ZFGD</v>
          </cell>
          <cell r="F4060" t="str">
            <v>PC</v>
          </cell>
          <cell r="G4060" t="str">
            <v>1</v>
          </cell>
          <cell r="H4060" t="str">
            <v>INDUSTRY</v>
          </cell>
          <cell r="I4060" t="str">
            <v>11</v>
          </cell>
          <cell r="J4060" t="str">
            <v>WOOD COATINGS</v>
          </cell>
          <cell r="K4060" t="str">
            <v>1106</v>
          </cell>
          <cell r="L4060" t="str">
            <v>UV</v>
          </cell>
          <cell r="M4060" t="str">
            <v>110605</v>
          </cell>
          <cell r="N4060" t="str">
            <v>UV SANDING SEALER</v>
          </cell>
        </row>
        <row r="4061">
          <cell r="C4061" t="str">
            <v>100005542</v>
          </cell>
          <cell r="D4061" t="str">
            <v>MEP-12003 BROWN KM VN-18KP</v>
          </cell>
          <cell r="E4061" t="str">
            <v>ZFGD</v>
          </cell>
          <cell r="F4061" t="str">
            <v>PC</v>
          </cell>
          <cell r="G4061" t="str">
            <v>1</v>
          </cell>
          <cell r="H4061" t="str">
            <v>INDUSTRY</v>
          </cell>
          <cell r="I4061" t="str">
            <v>16</v>
          </cell>
          <cell r="J4061" t="str">
            <v>METAL COATINGS</v>
          </cell>
          <cell r="K4061" t="str">
            <v>1601</v>
          </cell>
          <cell r="L4061" t="str">
            <v>METAL COATINGS</v>
          </cell>
          <cell r="M4061" t="str">
            <v>160101</v>
          </cell>
          <cell r="N4061" t="str">
            <v>METAL COATINGS</v>
          </cell>
        </row>
        <row r="4062">
          <cell r="C4062" t="str">
            <v>100005543</v>
          </cell>
          <cell r="D4062" t="str">
            <v>PUC-54205 AC BLUE K11948 30 AT VN-20KP</v>
          </cell>
          <cell r="E4062" t="str">
            <v>ZFGD</v>
          </cell>
          <cell r="F4062" t="str">
            <v>PC</v>
          </cell>
          <cell r="G4062" t="str">
            <v>1</v>
          </cell>
          <cell r="H4062" t="str">
            <v>INDUSTRY</v>
          </cell>
          <cell r="I4062" t="str">
            <v>11</v>
          </cell>
          <cell r="J4062" t="str">
            <v>WOOD COATINGS</v>
          </cell>
          <cell r="K4062" t="str">
            <v>1103</v>
          </cell>
          <cell r="L4062" t="str">
            <v>PU</v>
          </cell>
          <cell r="M4062" t="str">
            <v>110319</v>
          </cell>
          <cell r="N4062" t="str">
            <v>PU COLOR</v>
          </cell>
        </row>
        <row r="4063">
          <cell r="C4063" t="str">
            <v>100005544</v>
          </cell>
          <cell r="D4063" t="str">
            <v>PUC-54205 AC WHITE K11415 10 AT VN-20KP</v>
          </cell>
          <cell r="E4063" t="str">
            <v>ZFGD</v>
          </cell>
          <cell r="F4063" t="str">
            <v>PC</v>
          </cell>
          <cell r="G4063" t="str">
            <v>1</v>
          </cell>
          <cell r="H4063" t="str">
            <v>INDUSTRY</v>
          </cell>
          <cell r="I4063" t="str">
            <v>11</v>
          </cell>
          <cell r="J4063" t="str">
            <v>WOOD COATINGS</v>
          </cell>
          <cell r="K4063" t="str">
            <v>1103</v>
          </cell>
          <cell r="L4063" t="str">
            <v>PU</v>
          </cell>
          <cell r="M4063" t="str">
            <v>110319</v>
          </cell>
          <cell r="N4063" t="str">
            <v>PU COLOR</v>
          </cell>
        </row>
        <row r="4064">
          <cell r="C4064" t="str">
            <v>100005545</v>
          </cell>
          <cell r="D4064" t="str">
            <v>PUC-54206 AC EX GRN K11947 30 ATVN-18KP</v>
          </cell>
          <cell r="E4064" t="str">
            <v>ZFGD</v>
          </cell>
          <cell r="F4064" t="str">
            <v>PC</v>
          </cell>
          <cell r="G4064" t="str">
            <v>1</v>
          </cell>
          <cell r="H4064" t="str">
            <v>INDUSTRY</v>
          </cell>
          <cell r="I4064" t="str">
            <v>11</v>
          </cell>
          <cell r="J4064" t="str">
            <v>WOOD COATINGS</v>
          </cell>
          <cell r="K4064" t="str">
            <v>1103</v>
          </cell>
          <cell r="L4064" t="str">
            <v>PU</v>
          </cell>
          <cell r="M4064" t="str">
            <v>110319</v>
          </cell>
          <cell r="N4064" t="str">
            <v>PU COLOR</v>
          </cell>
        </row>
        <row r="4065">
          <cell r="C4065" t="str">
            <v>100005546</v>
          </cell>
          <cell r="D4065" t="str">
            <v>DP-12130 WHITE 01 GR VN-18KP</v>
          </cell>
          <cell r="E4065" t="str">
            <v>ZFGD</v>
          </cell>
          <cell r="F4065" t="str">
            <v>PC</v>
          </cell>
          <cell r="G4065" t="str">
            <v>1</v>
          </cell>
          <cell r="H4065" t="str">
            <v>INDUSTRY</v>
          </cell>
          <cell r="I4065" t="str">
            <v>11</v>
          </cell>
          <cell r="J4065" t="str">
            <v>WOOD COATINGS</v>
          </cell>
          <cell r="K4065" t="str">
            <v>1104</v>
          </cell>
          <cell r="L4065" t="str">
            <v>NC</v>
          </cell>
          <cell r="M4065" t="str">
            <v>110405</v>
          </cell>
          <cell r="N4065" t="str">
            <v>NC SYSTEM</v>
          </cell>
        </row>
        <row r="4066">
          <cell r="C4066" t="str">
            <v>100005547</v>
          </cell>
          <cell r="D4066" t="str">
            <v>DC-12230 WHITE 01 20 GR VN-18KP</v>
          </cell>
          <cell r="E4066" t="str">
            <v>ZFGD</v>
          </cell>
          <cell r="F4066" t="str">
            <v>PC</v>
          </cell>
          <cell r="G4066" t="str">
            <v>1</v>
          </cell>
          <cell r="H4066" t="str">
            <v>INDUSTRY</v>
          </cell>
          <cell r="I4066" t="str">
            <v>11</v>
          </cell>
          <cell r="J4066" t="str">
            <v>WOOD COATINGS</v>
          </cell>
          <cell r="K4066" t="str">
            <v>1104</v>
          </cell>
          <cell r="L4066" t="str">
            <v>NC</v>
          </cell>
          <cell r="M4066" t="str">
            <v>110405</v>
          </cell>
          <cell r="N4066" t="str">
            <v>NC SYSTEM</v>
          </cell>
        </row>
        <row r="4067">
          <cell r="C4067" t="str">
            <v>100005548</v>
          </cell>
          <cell r="D4067" t="str">
            <v>DC-12230 GREY VHG06 10 HF VN-18KP</v>
          </cell>
          <cell r="E4067" t="str">
            <v>ZFGD</v>
          </cell>
          <cell r="F4067" t="str">
            <v>PC</v>
          </cell>
          <cell r="G4067" t="str">
            <v>1</v>
          </cell>
          <cell r="H4067" t="str">
            <v>INDUSTRY</v>
          </cell>
          <cell r="I4067" t="str">
            <v>11</v>
          </cell>
          <cell r="J4067" t="str">
            <v>WOOD COATINGS</v>
          </cell>
          <cell r="K4067" t="str">
            <v>1104</v>
          </cell>
          <cell r="L4067" t="str">
            <v>NC</v>
          </cell>
          <cell r="M4067" t="str">
            <v>110405</v>
          </cell>
          <cell r="N4067" t="str">
            <v>NC SYSTEM</v>
          </cell>
        </row>
        <row r="4068">
          <cell r="C4068" t="str">
            <v>100005549</v>
          </cell>
          <cell r="D4068" t="str">
            <v>DP-12130 GREY VHG07 HF VN-18KP</v>
          </cell>
          <cell r="E4068" t="str">
            <v>ZFGD</v>
          </cell>
          <cell r="F4068" t="str">
            <v>PC</v>
          </cell>
          <cell r="G4068" t="str">
            <v>1</v>
          </cell>
          <cell r="H4068" t="str">
            <v>INDUSTRY</v>
          </cell>
          <cell r="I4068" t="str">
            <v>11</v>
          </cell>
          <cell r="J4068" t="str">
            <v>WOOD COATINGS</v>
          </cell>
          <cell r="K4068" t="str">
            <v>1104</v>
          </cell>
          <cell r="L4068" t="str">
            <v>NC</v>
          </cell>
          <cell r="M4068" t="str">
            <v>110405</v>
          </cell>
          <cell r="N4068" t="str">
            <v>NC SYSTEM</v>
          </cell>
        </row>
        <row r="4069">
          <cell r="C4069" t="str">
            <v>100005550</v>
          </cell>
          <cell r="D4069" t="str">
            <v>DC-12230 BROWN VHG07 10 HF VN-18KP</v>
          </cell>
          <cell r="E4069" t="str">
            <v>ZFGD</v>
          </cell>
          <cell r="F4069" t="str">
            <v>PC</v>
          </cell>
          <cell r="G4069" t="str">
            <v>1</v>
          </cell>
          <cell r="H4069" t="str">
            <v>INDUSTRY</v>
          </cell>
          <cell r="I4069" t="str">
            <v>11</v>
          </cell>
          <cell r="J4069" t="str">
            <v>WOOD COATINGS</v>
          </cell>
          <cell r="K4069" t="str">
            <v>1104</v>
          </cell>
          <cell r="L4069" t="str">
            <v>NC</v>
          </cell>
          <cell r="M4069" t="str">
            <v>110405</v>
          </cell>
          <cell r="N4069" t="str">
            <v>NC SYSTEM</v>
          </cell>
        </row>
        <row r="4070">
          <cell r="C4070" t="str">
            <v>100005551</v>
          </cell>
          <cell r="D4070" t="str">
            <v>DC-12230 WHITE 20 VN-18KP</v>
          </cell>
          <cell r="E4070" t="str">
            <v>ZFGD</v>
          </cell>
          <cell r="F4070" t="str">
            <v>PC</v>
          </cell>
          <cell r="G4070" t="str">
            <v>1</v>
          </cell>
          <cell r="H4070" t="str">
            <v>INDUSTRY</v>
          </cell>
          <cell r="I4070" t="str">
            <v>11</v>
          </cell>
          <cell r="J4070" t="str">
            <v>WOOD COATINGS</v>
          </cell>
          <cell r="K4070" t="str">
            <v>1104</v>
          </cell>
          <cell r="L4070" t="str">
            <v>NC</v>
          </cell>
          <cell r="M4070" t="str">
            <v>110405</v>
          </cell>
          <cell r="N4070" t="str">
            <v>NC SYSTEM</v>
          </cell>
        </row>
        <row r="4071">
          <cell r="C4071" t="str">
            <v>100005552</v>
          </cell>
          <cell r="D4071" t="str">
            <v>DC-12230 WHITE 20 VN-180KB</v>
          </cell>
          <cell r="E4071" t="str">
            <v>ZFGD</v>
          </cell>
          <cell r="F4071" t="str">
            <v>PC</v>
          </cell>
          <cell r="G4071" t="str">
            <v>1</v>
          </cell>
          <cell r="H4071" t="str">
            <v>INDUSTRY</v>
          </cell>
          <cell r="I4071" t="str">
            <v>11</v>
          </cell>
          <cell r="J4071" t="str">
            <v>WOOD COATINGS</v>
          </cell>
          <cell r="K4071" t="str">
            <v>1104</v>
          </cell>
          <cell r="L4071" t="str">
            <v>NC</v>
          </cell>
          <cell r="M4071" t="str">
            <v>110405</v>
          </cell>
          <cell r="N4071" t="str">
            <v>NC SYSTEM</v>
          </cell>
        </row>
        <row r="4072">
          <cell r="C4072" t="str">
            <v>100005553</v>
          </cell>
          <cell r="D4072" t="str">
            <v>DP-12130 PINK ROSE00 GR VN-18KP</v>
          </cell>
          <cell r="E4072" t="str">
            <v>ZFGD</v>
          </cell>
          <cell r="F4072" t="str">
            <v>PC</v>
          </cell>
          <cell r="G4072" t="str">
            <v>1</v>
          </cell>
          <cell r="H4072" t="str">
            <v>INDUSTRY</v>
          </cell>
          <cell r="I4072" t="str">
            <v>11</v>
          </cell>
          <cell r="J4072" t="str">
            <v>WOOD COATINGS</v>
          </cell>
          <cell r="K4072" t="str">
            <v>1104</v>
          </cell>
          <cell r="L4072" t="str">
            <v>NC</v>
          </cell>
          <cell r="M4072" t="str">
            <v>110405</v>
          </cell>
          <cell r="N4072" t="str">
            <v>NC SYSTEM</v>
          </cell>
        </row>
        <row r="4073">
          <cell r="C4073" t="str">
            <v>100005554</v>
          </cell>
          <cell r="D4073" t="str">
            <v>DC-12230 PINK ROSE00 20 GR VN-18KP</v>
          </cell>
          <cell r="E4073" t="str">
            <v>ZFGD</v>
          </cell>
          <cell r="F4073" t="str">
            <v>PC</v>
          </cell>
          <cell r="G4073" t="str">
            <v>1</v>
          </cell>
          <cell r="H4073" t="str">
            <v>INDUSTRY</v>
          </cell>
          <cell r="I4073" t="str">
            <v>11</v>
          </cell>
          <cell r="J4073" t="str">
            <v>WOOD COATINGS</v>
          </cell>
          <cell r="K4073" t="str">
            <v>1104</v>
          </cell>
          <cell r="L4073" t="str">
            <v>NC</v>
          </cell>
          <cell r="M4073" t="str">
            <v>110405</v>
          </cell>
          <cell r="N4073" t="str">
            <v>NC SYSTEM</v>
          </cell>
        </row>
        <row r="4074">
          <cell r="C4074" t="str">
            <v>100005555</v>
          </cell>
          <cell r="D4074" t="str">
            <v>DP-12130 GREEN MINT00 GR VN-18KP</v>
          </cell>
          <cell r="E4074" t="str">
            <v>ZFGD</v>
          </cell>
          <cell r="F4074" t="str">
            <v>PC</v>
          </cell>
          <cell r="G4074" t="str">
            <v>1</v>
          </cell>
          <cell r="H4074" t="str">
            <v>INDUSTRY</v>
          </cell>
          <cell r="I4074" t="str">
            <v>11</v>
          </cell>
          <cell r="J4074" t="str">
            <v>WOOD COATINGS</v>
          </cell>
          <cell r="K4074" t="str">
            <v>1104</v>
          </cell>
          <cell r="L4074" t="str">
            <v>NC</v>
          </cell>
          <cell r="M4074" t="str">
            <v>110405</v>
          </cell>
          <cell r="N4074" t="str">
            <v>NC SYSTEM</v>
          </cell>
        </row>
        <row r="4075">
          <cell r="C4075" t="str">
            <v>100005556</v>
          </cell>
          <cell r="D4075" t="str">
            <v>DC-12230 GREEN MINT00 20 GR VN-18KP</v>
          </cell>
          <cell r="E4075" t="str">
            <v>ZFGD</v>
          </cell>
          <cell r="F4075" t="str">
            <v>PC</v>
          </cell>
          <cell r="G4075" t="str">
            <v>1</v>
          </cell>
          <cell r="H4075" t="str">
            <v>INDUSTRY</v>
          </cell>
          <cell r="I4075" t="str">
            <v>11</v>
          </cell>
          <cell r="J4075" t="str">
            <v>WOOD COATINGS</v>
          </cell>
          <cell r="K4075" t="str">
            <v>1104</v>
          </cell>
          <cell r="L4075" t="str">
            <v>NC</v>
          </cell>
          <cell r="M4075" t="str">
            <v>110405</v>
          </cell>
          <cell r="N4075" t="str">
            <v>NC SYSTEM</v>
          </cell>
        </row>
        <row r="4076">
          <cell r="C4076" t="str">
            <v>100005563</v>
          </cell>
          <cell r="D4076" t="str">
            <v>GZ-12700 N 64 HM VN-4K</v>
          </cell>
          <cell r="E4076" t="str">
            <v>ZFGD</v>
          </cell>
          <cell r="F4076" t="str">
            <v>PC</v>
          </cell>
          <cell r="G4076" t="str">
            <v>1</v>
          </cell>
          <cell r="H4076" t="str">
            <v>INDUSTRY</v>
          </cell>
          <cell r="I4076" t="str">
            <v>11</v>
          </cell>
          <cell r="J4076" t="str">
            <v>WOOD COATINGS</v>
          </cell>
          <cell r="K4076" t="str">
            <v>1109</v>
          </cell>
          <cell r="L4076" t="str">
            <v>STAIN &amp; GLAZE INTERIOR</v>
          </cell>
          <cell r="M4076" t="str">
            <v>110901</v>
          </cell>
          <cell r="N4076" t="str">
            <v>ASOF : STAIN &amp; GLAZE</v>
          </cell>
        </row>
        <row r="4077">
          <cell r="C4077" t="str">
            <v>100005564</v>
          </cell>
          <cell r="D4077" t="str">
            <v>PCL-31300 BROWN01 DB VN-16KJ</v>
          </cell>
          <cell r="E4077" t="str">
            <v>ZFGD</v>
          </cell>
          <cell r="F4077" t="str">
            <v>PC</v>
          </cell>
          <cell r="G4077" t="str">
            <v>1</v>
          </cell>
          <cell r="H4077" t="str">
            <v>INDUSTRY</v>
          </cell>
          <cell r="I4077" t="str">
            <v>11</v>
          </cell>
          <cell r="J4077" t="str">
            <v>WOOD COATINGS</v>
          </cell>
          <cell r="K4077" t="str">
            <v>1118</v>
          </cell>
          <cell r="L4077" t="str">
            <v>COMPLEMENTARY</v>
          </cell>
          <cell r="M4077" t="str">
            <v>111807</v>
          </cell>
          <cell r="N4077" t="str">
            <v>PASTA</v>
          </cell>
        </row>
        <row r="4078">
          <cell r="C4078" t="str">
            <v>100005565</v>
          </cell>
          <cell r="D4078" t="str">
            <v>PUC-54206 AC EX BROWN 20 KM VN-18KP</v>
          </cell>
          <cell r="E4078" t="str">
            <v>ZFGD</v>
          </cell>
          <cell r="F4078" t="str">
            <v>PC</v>
          </cell>
          <cell r="G4078" t="str">
            <v>1</v>
          </cell>
          <cell r="H4078" t="str">
            <v>INDUSTRY</v>
          </cell>
          <cell r="I4078" t="str">
            <v>11</v>
          </cell>
          <cell r="J4078" t="str">
            <v>WOOD COATINGS</v>
          </cell>
          <cell r="K4078" t="str">
            <v>1103</v>
          </cell>
          <cell r="L4078" t="str">
            <v>PU</v>
          </cell>
          <cell r="M4078" t="str">
            <v>110319</v>
          </cell>
          <cell r="N4078" t="str">
            <v>PU COLOR</v>
          </cell>
        </row>
        <row r="4079">
          <cell r="C4079" t="str">
            <v>100005566</v>
          </cell>
          <cell r="D4079" t="str">
            <v>MEP-12003 HC VN-18KP</v>
          </cell>
          <cell r="E4079" t="str">
            <v>ZFGD</v>
          </cell>
          <cell r="F4079" t="str">
            <v>PC</v>
          </cell>
          <cell r="G4079" t="str">
            <v>1</v>
          </cell>
          <cell r="H4079" t="str">
            <v>INDUSTRY</v>
          </cell>
          <cell r="I4079" t="str">
            <v>16</v>
          </cell>
          <cell r="J4079" t="str">
            <v>METAL COATINGS</v>
          </cell>
          <cell r="K4079" t="str">
            <v>1601</v>
          </cell>
          <cell r="L4079" t="str">
            <v>METAL COATINGS</v>
          </cell>
          <cell r="M4079" t="str">
            <v>160101</v>
          </cell>
          <cell r="N4079" t="str">
            <v>METAL COATINGS</v>
          </cell>
        </row>
        <row r="4080">
          <cell r="C4080" t="str">
            <v>100005567</v>
          </cell>
          <cell r="D4080" t="str">
            <v>THPU-71306 01 KD VN-20LJ</v>
          </cell>
          <cell r="E4080" t="str">
            <v>ZFGD</v>
          </cell>
          <cell r="F4080" t="str">
            <v>PC</v>
          </cell>
          <cell r="G4080" t="str">
            <v>1</v>
          </cell>
          <cell r="H4080" t="str">
            <v>INDUSTRY</v>
          </cell>
          <cell r="I4080" t="str">
            <v>14</v>
          </cell>
          <cell r="J4080" t="str">
            <v>THINNER</v>
          </cell>
          <cell r="K4080" t="str">
            <v>1411</v>
          </cell>
          <cell r="L4080" t="str">
            <v>THINNER PU</v>
          </cell>
          <cell r="M4080" t="str">
            <v>141101</v>
          </cell>
          <cell r="N4080" t="str">
            <v>THINNER PU</v>
          </cell>
        </row>
        <row r="4081">
          <cell r="C4081" t="str">
            <v>100005568</v>
          </cell>
          <cell r="D4081" t="str">
            <v>THPU-71306 01 KD VN-30LJ</v>
          </cell>
          <cell r="E4081" t="str">
            <v>ZFGD</v>
          </cell>
          <cell r="F4081" t="str">
            <v>PC</v>
          </cell>
          <cell r="G4081" t="str">
            <v>1</v>
          </cell>
          <cell r="H4081" t="str">
            <v>INDUSTRY</v>
          </cell>
          <cell r="I4081" t="str">
            <v>14</v>
          </cell>
          <cell r="J4081" t="str">
            <v>THINNER</v>
          </cell>
          <cell r="K4081" t="str">
            <v>1411</v>
          </cell>
          <cell r="L4081" t="str">
            <v>THINNER PU</v>
          </cell>
          <cell r="M4081" t="str">
            <v>141101</v>
          </cell>
          <cell r="N4081" t="str">
            <v>THINNER PU</v>
          </cell>
        </row>
        <row r="4082">
          <cell r="C4082" t="str">
            <v>100005569</v>
          </cell>
          <cell r="D4082" t="str">
            <v>THPU-71306 01 KD VN-200LK</v>
          </cell>
          <cell r="E4082" t="str">
            <v>ZFGD</v>
          </cell>
          <cell r="F4082" t="str">
            <v>PC</v>
          </cell>
          <cell r="G4082" t="str">
            <v>1</v>
          </cell>
          <cell r="H4082" t="str">
            <v>INDUSTRY</v>
          </cell>
          <cell r="I4082" t="str">
            <v>14</v>
          </cell>
          <cell r="J4082" t="str">
            <v>THINNER</v>
          </cell>
          <cell r="K4082" t="str">
            <v>1411</v>
          </cell>
          <cell r="L4082" t="str">
            <v>THINNER PU</v>
          </cell>
          <cell r="M4082" t="str">
            <v>141101</v>
          </cell>
          <cell r="N4082" t="str">
            <v>THINNER PU</v>
          </cell>
        </row>
        <row r="4083">
          <cell r="C4083" t="str">
            <v>100005570</v>
          </cell>
          <cell r="D4083" t="str">
            <v>SST-11100 YEL CANAC 05 F1 VN-16KJ</v>
          </cell>
          <cell r="E4083" t="str">
            <v>ZFGD</v>
          </cell>
          <cell r="F4083" t="str">
            <v>PC</v>
          </cell>
          <cell r="G4083" t="str">
            <v>1</v>
          </cell>
          <cell r="H4083" t="str">
            <v>INDUSTRY</v>
          </cell>
          <cell r="I4083" t="str">
            <v>11</v>
          </cell>
          <cell r="J4083" t="str">
            <v>WOOD COATINGS</v>
          </cell>
          <cell r="K4083" t="str">
            <v>1109</v>
          </cell>
          <cell r="L4083" t="str">
            <v>STAIN &amp; GLAZE INTERIOR</v>
          </cell>
          <cell r="M4083" t="str">
            <v>110903</v>
          </cell>
          <cell r="N4083" t="str">
            <v>STAIN INTERIOR</v>
          </cell>
        </row>
        <row r="4084">
          <cell r="C4084" t="str">
            <v>100005571</v>
          </cell>
          <cell r="D4084" t="str">
            <v>SST-11100 YEL CANAC 05 F1 VN-160KK</v>
          </cell>
          <cell r="E4084" t="str">
            <v>ZFGD</v>
          </cell>
          <cell r="F4084" t="str">
            <v>PC</v>
          </cell>
          <cell r="G4084" t="str">
            <v>1</v>
          </cell>
          <cell r="H4084" t="str">
            <v>INDUSTRY</v>
          </cell>
          <cell r="I4084" t="str">
            <v>11</v>
          </cell>
          <cell r="J4084" t="str">
            <v>WOOD COATINGS</v>
          </cell>
          <cell r="K4084" t="str">
            <v>1109</v>
          </cell>
          <cell r="L4084" t="str">
            <v>STAIN &amp; GLAZE INTERIOR</v>
          </cell>
          <cell r="M4084" t="str">
            <v>110903</v>
          </cell>
          <cell r="N4084" t="str">
            <v>STAIN INTERIOR</v>
          </cell>
        </row>
        <row r="4085">
          <cell r="C4085" t="str">
            <v>100005572</v>
          </cell>
          <cell r="D4085" t="str">
            <v>DC-12229 LC BLACK 50 VN-18KP</v>
          </cell>
          <cell r="E4085" t="str">
            <v>ZFGD</v>
          </cell>
          <cell r="F4085" t="str">
            <v>PC</v>
          </cell>
          <cell r="G4085" t="str">
            <v>1</v>
          </cell>
          <cell r="H4085" t="str">
            <v>INDUSTRY</v>
          </cell>
          <cell r="I4085" t="str">
            <v>11</v>
          </cell>
          <cell r="J4085" t="str">
            <v>WOOD COATINGS</v>
          </cell>
          <cell r="K4085" t="str">
            <v>1104</v>
          </cell>
          <cell r="L4085" t="str">
            <v>NC</v>
          </cell>
          <cell r="M4085" t="str">
            <v>110405</v>
          </cell>
          <cell r="N4085" t="str">
            <v>NC SYSTEM</v>
          </cell>
        </row>
        <row r="4086">
          <cell r="C4086" t="str">
            <v>100005573</v>
          </cell>
          <cell r="D4086" t="str">
            <v>DC-12230 WHITE00 20 GR VN-18KP</v>
          </cell>
          <cell r="E4086" t="str">
            <v>ZFGD</v>
          </cell>
          <cell r="F4086" t="str">
            <v>PC</v>
          </cell>
          <cell r="G4086" t="str">
            <v>1</v>
          </cell>
          <cell r="H4086" t="str">
            <v>INDUSTRY</v>
          </cell>
          <cell r="I4086" t="str">
            <v>11</v>
          </cell>
          <cell r="J4086" t="str">
            <v>WOOD COATINGS</v>
          </cell>
          <cell r="K4086" t="str">
            <v>1104</v>
          </cell>
          <cell r="L4086" t="str">
            <v>NC</v>
          </cell>
          <cell r="M4086" t="str">
            <v>110405</v>
          </cell>
          <cell r="N4086" t="str">
            <v>NC SYSTEM</v>
          </cell>
        </row>
        <row r="4087">
          <cell r="C4087" t="str">
            <v>100005574</v>
          </cell>
          <cell r="D4087" t="str">
            <v>PUC-54205 AC TRANG12284 10 AT VN-20KP</v>
          </cell>
          <cell r="E4087" t="str">
            <v>ZFGD</v>
          </cell>
          <cell r="F4087" t="str">
            <v>PC</v>
          </cell>
          <cell r="G4087" t="str">
            <v>1</v>
          </cell>
          <cell r="H4087" t="str">
            <v>INDUSTRY</v>
          </cell>
          <cell r="I4087" t="str">
            <v>11</v>
          </cell>
          <cell r="J4087" t="str">
            <v>WOOD COATINGS</v>
          </cell>
          <cell r="K4087" t="str">
            <v>1103</v>
          </cell>
          <cell r="L4087" t="str">
            <v>PU</v>
          </cell>
          <cell r="M4087" t="str">
            <v>110319</v>
          </cell>
          <cell r="N4087" t="str">
            <v>PU COLOR</v>
          </cell>
        </row>
        <row r="4088">
          <cell r="C4088" t="str">
            <v>100005575</v>
          </cell>
          <cell r="D4088" t="str">
            <v>PUC-54205 AC WHITE10595 10 AT VN-20KP</v>
          </cell>
          <cell r="E4088" t="str">
            <v>ZFGD</v>
          </cell>
          <cell r="F4088" t="str">
            <v>PC</v>
          </cell>
          <cell r="G4088" t="str">
            <v>1</v>
          </cell>
          <cell r="H4088" t="str">
            <v>INDUSTRY</v>
          </cell>
          <cell r="I4088" t="str">
            <v>11</v>
          </cell>
          <cell r="J4088" t="str">
            <v>WOOD COATINGS</v>
          </cell>
          <cell r="K4088" t="str">
            <v>1103</v>
          </cell>
          <cell r="L4088" t="str">
            <v>PU</v>
          </cell>
          <cell r="M4088" t="str">
            <v>110319</v>
          </cell>
          <cell r="N4088" t="str">
            <v>PU COLOR</v>
          </cell>
        </row>
        <row r="4089">
          <cell r="C4089" t="str">
            <v>100005576</v>
          </cell>
          <cell r="D4089" t="str">
            <v>DP-12130 BLACK 00 GR VN-18KP</v>
          </cell>
          <cell r="E4089" t="str">
            <v>ZFGD</v>
          </cell>
          <cell r="F4089" t="str">
            <v>PC</v>
          </cell>
          <cell r="G4089" t="str">
            <v>1</v>
          </cell>
          <cell r="H4089" t="str">
            <v>INDUSTRY</v>
          </cell>
          <cell r="I4089" t="str">
            <v>11</v>
          </cell>
          <cell r="J4089" t="str">
            <v>WOOD COATINGS</v>
          </cell>
          <cell r="K4089" t="str">
            <v>1104</v>
          </cell>
          <cell r="L4089" t="str">
            <v>NC</v>
          </cell>
          <cell r="M4089" t="str">
            <v>110405</v>
          </cell>
          <cell r="N4089" t="str">
            <v>NC SYSTEM</v>
          </cell>
        </row>
        <row r="4090">
          <cell r="C4090" t="str">
            <v>100005577</v>
          </cell>
          <cell r="D4090" t="str">
            <v>DC-12230 BLACK 00 20 GR VN-18KP</v>
          </cell>
          <cell r="E4090" t="str">
            <v>ZFGD</v>
          </cell>
          <cell r="F4090" t="str">
            <v>PC</v>
          </cell>
          <cell r="G4090" t="str">
            <v>1</v>
          </cell>
          <cell r="H4090" t="str">
            <v>INDUSTRY</v>
          </cell>
          <cell r="I4090" t="str">
            <v>11</v>
          </cell>
          <cell r="J4090" t="str">
            <v>WOOD COATINGS</v>
          </cell>
          <cell r="K4090" t="str">
            <v>1104</v>
          </cell>
          <cell r="L4090" t="str">
            <v>NC</v>
          </cell>
          <cell r="M4090" t="str">
            <v>110405</v>
          </cell>
          <cell r="N4090" t="str">
            <v>NC SYSTEM</v>
          </cell>
        </row>
        <row r="4091">
          <cell r="C4091" t="str">
            <v>100005578</v>
          </cell>
          <cell r="D4091" t="str">
            <v>PCL-31300 YELLOW 170 HR AF PASTE VN-4K</v>
          </cell>
          <cell r="E4091" t="str">
            <v>ZFGD</v>
          </cell>
          <cell r="F4091" t="str">
            <v>PC</v>
          </cell>
          <cell r="G4091" t="str">
            <v>1</v>
          </cell>
          <cell r="H4091" t="str">
            <v>INDUSTRY</v>
          </cell>
          <cell r="I4091" t="str">
            <v>11</v>
          </cell>
          <cell r="J4091" t="str">
            <v>WOOD COATINGS</v>
          </cell>
          <cell r="K4091" t="str">
            <v>1118</v>
          </cell>
          <cell r="L4091" t="str">
            <v>COMPLEMENTARY</v>
          </cell>
          <cell r="M4091" t="str">
            <v>111807</v>
          </cell>
          <cell r="N4091" t="str">
            <v>PASTA</v>
          </cell>
        </row>
        <row r="4092">
          <cell r="C4092" t="str">
            <v>100005579</v>
          </cell>
          <cell r="D4092" t="str">
            <v>WBP-1621-BK-AK-20KP</v>
          </cell>
          <cell r="E4092" t="str">
            <v>ZFGD</v>
          </cell>
          <cell r="F4092" t="str">
            <v>PC</v>
          </cell>
          <cell r="G4092" t="str">
            <v>1</v>
          </cell>
          <cell r="H4092" t="str">
            <v>INDUSTRY</v>
          </cell>
          <cell r="I4092" t="str">
            <v>11</v>
          </cell>
          <cell r="J4092" t="str">
            <v>WOOD COATINGS</v>
          </cell>
          <cell r="K4092" t="str">
            <v>1119</v>
          </cell>
          <cell r="L4092" t="str">
            <v>WATERBASED</v>
          </cell>
          <cell r="M4092" t="str">
            <v>111902</v>
          </cell>
          <cell r="N4092" t="str">
            <v>WATERBASED SYSTEM INTERIOR</v>
          </cell>
        </row>
        <row r="4093">
          <cell r="C4093" t="str">
            <v>100005580</v>
          </cell>
          <cell r="D4093" t="str">
            <v>WBC-1622-B10-AK-20KP</v>
          </cell>
          <cell r="E4093" t="str">
            <v>ZFGD</v>
          </cell>
          <cell r="F4093" t="str">
            <v>PC</v>
          </cell>
          <cell r="G4093" t="str">
            <v>1</v>
          </cell>
          <cell r="H4093" t="str">
            <v>INDUSTRY</v>
          </cell>
          <cell r="I4093" t="str">
            <v>11</v>
          </cell>
          <cell r="J4093" t="str">
            <v>WOOD COATINGS</v>
          </cell>
          <cell r="K4093" t="str">
            <v>1119</v>
          </cell>
          <cell r="L4093" t="str">
            <v>WATERBASED</v>
          </cell>
          <cell r="M4093" t="str">
            <v>111902</v>
          </cell>
          <cell r="N4093" t="str">
            <v>WATERBASED SYSTEM INTERIOR</v>
          </cell>
        </row>
        <row r="4094">
          <cell r="C4094" t="str">
            <v>100005581</v>
          </cell>
          <cell r="D4094" t="str">
            <v>DC-12229 LC BLACK 10 DPM VN-18KP</v>
          </cell>
          <cell r="E4094" t="str">
            <v>ZFGD</v>
          </cell>
          <cell r="F4094" t="str">
            <v>PC</v>
          </cell>
          <cell r="G4094" t="str">
            <v>1</v>
          </cell>
          <cell r="H4094" t="str">
            <v>INDUSTRY</v>
          </cell>
          <cell r="I4094" t="str">
            <v>11</v>
          </cell>
          <cell r="J4094" t="str">
            <v>WOOD COATINGS</v>
          </cell>
          <cell r="K4094" t="str">
            <v>1104</v>
          </cell>
          <cell r="L4094" t="str">
            <v>NC</v>
          </cell>
          <cell r="M4094" t="str">
            <v>110405</v>
          </cell>
          <cell r="N4094" t="str">
            <v>NC SYSTEM</v>
          </cell>
        </row>
        <row r="4095">
          <cell r="C4095" t="str">
            <v>100005582</v>
          </cell>
          <cell r="D4095" t="str">
            <v>DP-12129 LC GREEN DPM VN-18KP</v>
          </cell>
          <cell r="E4095" t="str">
            <v>ZFGD</v>
          </cell>
          <cell r="F4095" t="str">
            <v>PC</v>
          </cell>
          <cell r="G4095" t="str">
            <v>1</v>
          </cell>
          <cell r="H4095" t="str">
            <v>INDUSTRY</v>
          </cell>
          <cell r="I4095" t="str">
            <v>11</v>
          </cell>
          <cell r="J4095" t="str">
            <v>WOOD COATINGS</v>
          </cell>
          <cell r="K4095" t="str">
            <v>1104</v>
          </cell>
          <cell r="L4095" t="str">
            <v>NC</v>
          </cell>
          <cell r="M4095" t="str">
            <v>110405</v>
          </cell>
          <cell r="N4095" t="str">
            <v>NC SYSTEM</v>
          </cell>
        </row>
        <row r="4096">
          <cell r="C4096" t="str">
            <v>100005583</v>
          </cell>
          <cell r="D4096" t="str">
            <v>DC-12229 LC GREEN 10 DPM VN-18KP</v>
          </cell>
          <cell r="E4096" t="str">
            <v>ZFGD</v>
          </cell>
          <cell r="F4096" t="str">
            <v>PC</v>
          </cell>
          <cell r="G4096" t="str">
            <v>1</v>
          </cell>
          <cell r="H4096" t="str">
            <v>INDUSTRY</v>
          </cell>
          <cell r="I4096" t="str">
            <v>11</v>
          </cell>
          <cell r="J4096" t="str">
            <v>WOOD COATINGS</v>
          </cell>
          <cell r="K4096" t="str">
            <v>1104</v>
          </cell>
          <cell r="L4096" t="str">
            <v>NC</v>
          </cell>
          <cell r="M4096" t="str">
            <v>110405</v>
          </cell>
          <cell r="N4096" t="str">
            <v>NC SYSTEM</v>
          </cell>
        </row>
        <row r="4097">
          <cell r="C4097" t="str">
            <v>100005584</v>
          </cell>
          <cell r="D4097" t="str">
            <v>SST-11100 XANH BROWN XD VN-16KJ</v>
          </cell>
          <cell r="E4097" t="str">
            <v>ZFGD</v>
          </cell>
          <cell r="F4097" t="str">
            <v>PC</v>
          </cell>
          <cell r="G4097" t="str">
            <v>1</v>
          </cell>
          <cell r="H4097" t="str">
            <v>INDUSTRY</v>
          </cell>
          <cell r="I4097" t="str">
            <v>11</v>
          </cell>
          <cell r="J4097" t="str">
            <v>WOOD COATINGS</v>
          </cell>
          <cell r="K4097" t="str">
            <v>1109</v>
          </cell>
          <cell r="L4097" t="str">
            <v>STAIN &amp; GLAZE INTERIOR</v>
          </cell>
          <cell r="M4097" t="str">
            <v>110903</v>
          </cell>
          <cell r="N4097" t="str">
            <v>STAIN INTERIOR</v>
          </cell>
        </row>
        <row r="4098">
          <cell r="C4098" t="str">
            <v>100005589</v>
          </cell>
          <cell r="D4098" t="str">
            <v>DP-12130 BLUE02 GR VN-18KP</v>
          </cell>
          <cell r="E4098" t="str">
            <v>ZFGD</v>
          </cell>
          <cell r="F4098" t="str">
            <v>PC</v>
          </cell>
          <cell r="G4098" t="str">
            <v>1</v>
          </cell>
          <cell r="H4098" t="str">
            <v>INDUSTRY</v>
          </cell>
          <cell r="I4098" t="str">
            <v>11</v>
          </cell>
          <cell r="J4098" t="str">
            <v>WOOD COATINGS</v>
          </cell>
          <cell r="K4098" t="str">
            <v>1104</v>
          </cell>
          <cell r="L4098" t="str">
            <v>NC</v>
          </cell>
          <cell r="M4098" t="str">
            <v>110405</v>
          </cell>
          <cell r="N4098" t="str">
            <v>NC SYSTEM</v>
          </cell>
        </row>
        <row r="4099">
          <cell r="C4099" t="str">
            <v>100005590</v>
          </cell>
          <cell r="D4099" t="str">
            <v>DC-12230 BLUE02 20 GR VN-18KP</v>
          </cell>
          <cell r="E4099" t="str">
            <v>ZFGD</v>
          </cell>
          <cell r="F4099" t="str">
            <v>PC</v>
          </cell>
          <cell r="G4099" t="str">
            <v>1</v>
          </cell>
          <cell r="H4099" t="str">
            <v>INDUSTRY</v>
          </cell>
          <cell r="I4099" t="str">
            <v>11</v>
          </cell>
          <cell r="J4099" t="str">
            <v>WOOD COATINGS</v>
          </cell>
          <cell r="K4099" t="str">
            <v>1104</v>
          </cell>
          <cell r="L4099" t="str">
            <v>NC</v>
          </cell>
          <cell r="M4099" t="str">
            <v>110405</v>
          </cell>
          <cell r="N4099" t="str">
            <v>NC SYSTEM</v>
          </cell>
        </row>
        <row r="4100">
          <cell r="C4100" t="str">
            <v>100005591</v>
          </cell>
          <cell r="D4100" t="str">
            <v>DP-12130 WHITE02 GR VN-18KP</v>
          </cell>
          <cell r="E4100" t="str">
            <v>ZFGD</v>
          </cell>
          <cell r="F4100" t="str">
            <v>PC</v>
          </cell>
          <cell r="G4100" t="str">
            <v>1</v>
          </cell>
          <cell r="H4100" t="str">
            <v>INDUSTRY</v>
          </cell>
          <cell r="I4100" t="str">
            <v>11</v>
          </cell>
          <cell r="J4100" t="str">
            <v>WOOD COATINGS</v>
          </cell>
          <cell r="K4100" t="str">
            <v>1104</v>
          </cell>
          <cell r="L4100" t="str">
            <v>NC</v>
          </cell>
          <cell r="M4100" t="str">
            <v>110405</v>
          </cell>
          <cell r="N4100" t="str">
            <v>NC SYSTEM</v>
          </cell>
        </row>
        <row r="4101">
          <cell r="C4101" t="str">
            <v>100005592</v>
          </cell>
          <cell r="D4101" t="str">
            <v>DC-12230 WHITE02 20 GR VN-18KP</v>
          </cell>
          <cell r="E4101" t="str">
            <v>ZFGD</v>
          </cell>
          <cell r="F4101" t="str">
            <v>PC</v>
          </cell>
          <cell r="G4101" t="str">
            <v>1</v>
          </cell>
          <cell r="H4101" t="str">
            <v>INDUSTRY</v>
          </cell>
          <cell r="I4101" t="str">
            <v>11</v>
          </cell>
          <cell r="J4101" t="str">
            <v>WOOD COATINGS</v>
          </cell>
          <cell r="K4101" t="str">
            <v>1104</v>
          </cell>
          <cell r="L4101" t="str">
            <v>NC</v>
          </cell>
          <cell r="M4101" t="str">
            <v>110405</v>
          </cell>
          <cell r="N4101" t="str">
            <v>NC SYSTEM</v>
          </cell>
        </row>
        <row r="4102">
          <cell r="C4102" t="str">
            <v>100005593</v>
          </cell>
          <cell r="D4102" t="str">
            <v>SST-11100 NAU 21 VC VN-16KJ</v>
          </cell>
          <cell r="E4102" t="str">
            <v>ZFGD</v>
          </cell>
          <cell r="F4102" t="str">
            <v>PC</v>
          </cell>
          <cell r="G4102" t="str">
            <v>1</v>
          </cell>
          <cell r="H4102" t="str">
            <v>INDUSTRY</v>
          </cell>
          <cell r="I4102" t="str">
            <v>11</v>
          </cell>
          <cell r="J4102" t="str">
            <v>WOOD COATINGS</v>
          </cell>
          <cell r="K4102" t="str">
            <v>1109</v>
          </cell>
          <cell r="L4102" t="str">
            <v>STAIN &amp; GLAZE INTERIOR</v>
          </cell>
          <cell r="M4102" t="str">
            <v>110903</v>
          </cell>
          <cell r="N4102" t="str">
            <v>STAIN INTERIOR</v>
          </cell>
        </row>
        <row r="4103">
          <cell r="C4103" t="str">
            <v>100005594</v>
          </cell>
          <cell r="D4103" t="str">
            <v>SST-11100 NAU 21 VC VN-160KK</v>
          </cell>
          <cell r="E4103" t="str">
            <v>ZFGD</v>
          </cell>
          <cell r="F4103" t="str">
            <v>PC</v>
          </cell>
          <cell r="G4103" t="str">
            <v>1</v>
          </cell>
          <cell r="H4103" t="str">
            <v>INDUSTRY</v>
          </cell>
          <cell r="I4103" t="str">
            <v>11</v>
          </cell>
          <cell r="J4103" t="str">
            <v>WOOD COATINGS</v>
          </cell>
          <cell r="K4103" t="str">
            <v>1109</v>
          </cell>
          <cell r="L4103" t="str">
            <v>STAIN &amp; GLAZE INTERIOR</v>
          </cell>
          <cell r="M4103" t="str">
            <v>110903</v>
          </cell>
          <cell r="N4103" t="str">
            <v>STAIN INTERIOR</v>
          </cell>
        </row>
        <row r="4104">
          <cell r="C4104" t="str">
            <v>100005595</v>
          </cell>
          <cell r="D4104" t="str">
            <v>GZPU-21500 NAU WHITE01 QAP VN-18KP</v>
          </cell>
          <cell r="E4104" t="str">
            <v>ZFGD</v>
          </cell>
          <cell r="F4104" t="str">
            <v>PC</v>
          </cell>
          <cell r="G4104" t="str">
            <v>1</v>
          </cell>
          <cell r="H4104" t="str">
            <v>INDUSTRY</v>
          </cell>
          <cell r="I4104" t="str">
            <v>11</v>
          </cell>
          <cell r="J4104" t="str">
            <v>WOOD COATINGS</v>
          </cell>
          <cell r="K4104" t="str">
            <v>1103</v>
          </cell>
          <cell r="L4104" t="str">
            <v>PU</v>
          </cell>
          <cell r="M4104" t="str">
            <v>110302</v>
          </cell>
          <cell r="N4104" t="str">
            <v>GLAZE PU</v>
          </cell>
        </row>
        <row r="4105">
          <cell r="C4105" t="str">
            <v>100005596</v>
          </cell>
          <cell r="D4105" t="str">
            <v>NCL-11330 NG CLEAR 05 VN-18KP</v>
          </cell>
          <cell r="E4105" t="str">
            <v>ZFGD</v>
          </cell>
          <cell r="F4105" t="str">
            <v>PC</v>
          </cell>
          <cell r="G4105" t="str">
            <v>1</v>
          </cell>
          <cell r="H4105" t="str">
            <v>INDUSTRY</v>
          </cell>
          <cell r="I4105" t="str">
            <v>11</v>
          </cell>
          <cell r="J4105" t="str">
            <v>WOOD COATINGS</v>
          </cell>
          <cell r="K4105" t="str">
            <v>1104</v>
          </cell>
          <cell r="L4105" t="str">
            <v>NC</v>
          </cell>
          <cell r="M4105" t="str">
            <v>110405</v>
          </cell>
          <cell r="N4105" t="str">
            <v>NC SYSTEM</v>
          </cell>
        </row>
        <row r="4106">
          <cell r="C4106" t="str">
            <v>100005597</v>
          </cell>
          <cell r="D4106" t="str">
            <v>NCL-11330 NG CLEAR 05 VN-180KB</v>
          </cell>
          <cell r="E4106" t="str">
            <v>ZFGD</v>
          </cell>
          <cell r="F4106" t="str">
            <v>PC</v>
          </cell>
          <cell r="G4106" t="str">
            <v>1</v>
          </cell>
          <cell r="H4106" t="str">
            <v>INDUSTRY</v>
          </cell>
          <cell r="I4106" t="str">
            <v>11</v>
          </cell>
          <cell r="J4106" t="str">
            <v>WOOD COATINGS</v>
          </cell>
          <cell r="K4106" t="str">
            <v>1104</v>
          </cell>
          <cell r="L4106" t="str">
            <v>NC</v>
          </cell>
          <cell r="M4106" t="str">
            <v>110405</v>
          </cell>
          <cell r="N4106" t="str">
            <v>NC SYSTEM</v>
          </cell>
        </row>
        <row r="4107">
          <cell r="C4107" t="str">
            <v>100005598</v>
          </cell>
          <cell r="D4107" t="str">
            <v>NCL-11330 NG CLEAR 20 VN-18KP</v>
          </cell>
          <cell r="E4107" t="str">
            <v>ZFGD</v>
          </cell>
          <cell r="F4107" t="str">
            <v>PC</v>
          </cell>
          <cell r="G4107" t="str">
            <v>1</v>
          </cell>
          <cell r="H4107" t="str">
            <v>INDUSTRY</v>
          </cell>
          <cell r="I4107" t="str">
            <v>11</v>
          </cell>
          <cell r="J4107" t="str">
            <v>WOOD COATINGS</v>
          </cell>
          <cell r="K4107" t="str">
            <v>1104</v>
          </cell>
          <cell r="L4107" t="str">
            <v>NC</v>
          </cell>
          <cell r="M4107" t="str">
            <v>110405</v>
          </cell>
          <cell r="N4107" t="str">
            <v>NC SYSTEM</v>
          </cell>
        </row>
        <row r="4108">
          <cell r="C4108" t="str">
            <v>100005599</v>
          </cell>
          <cell r="D4108" t="str">
            <v>NCL-11330 NG CLEAR 20 VN-180KB</v>
          </cell>
          <cell r="E4108" t="str">
            <v>ZFGD</v>
          </cell>
          <cell r="F4108" t="str">
            <v>PC</v>
          </cell>
          <cell r="G4108" t="str">
            <v>1</v>
          </cell>
          <cell r="H4108" t="str">
            <v>INDUSTRY</v>
          </cell>
          <cell r="I4108" t="str">
            <v>11</v>
          </cell>
          <cell r="J4108" t="str">
            <v>WOOD COATINGS</v>
          </cell>
          <cell r="K4108" t="str">
            <v>1104</v>
          </cell>
          <cell r="L4108" t="str">
            <v>NC</v>
          </cell>
          <cell r="M4108" t="str">
            <v>110405</v>
          </cell>
          <cell r="N4108" t="str">
            <v>NC SYSTEM</v>
          </cell>
        </row>
        <row r="4109">
          <cell r="C4109" t="str">
            <v>100005600</v>
          </cell>
          <cell r="D4109" t="str">
            <v>PUC-54205 AC GREY OP5 20 AL VN-20KP</v>
          </cell>
          <cell r="E4109" t="str">
            <v>ZFGD</v>
          </cell>
          <cell r="F4109" t="str">
            <v>PC</v>
          </cell>
          <cell r="G4109" t="str">
            <v>1</v>
          </cell>
          <cell r="H4109" t="str">
            <v>INDUSTRY</v>
          </cell>
          <cell r="I4109" t="str">
            <v>11</v>
          </cell>
          <cell r="J4109" t="str">
            <v>WOOD COATINGS</v>
          </cell>
          <cell r="K4109" t="str">
            <v>1103</v>
          </cell>
          <cell r="L4109" t="str">
            <v>PU</v>
          </cell>
          <cell r="M4109" t="str">
            <v>110319</v>
          </cell>
          <cell r="N4109" t="str">
            <v>PU COLOR</v>
          </cell>
        </row>
        <row r="4110">
          <cell r="C4110" t="str">
            <v>100005603</v>
          </cell>
          <cell r="D4110" t="str">
            <v>DC-12230 WHITE 00 HOME 20 GR VN-18KP</v>
          </cell>
          <cell r="E4110" t="str">
            <v>ZFGD</v>
          </cell>
          <cell r="F4110" t="str">
            <v>PC</v>
          </cell>
          <cell r="G4110" t="str">
            <v>1</v>
          </cell>
          <cell r="H4110" t="str">
            <v>INDUSTRY</v>
          </cell>
          <cell r="I4110" t="str">
            <v>11</v>
          </cell>
          <cell r="J4110" t="str">
            <v>WOOD COATINGS</v>
          </cell>
          <cell r="K4110" t="str">
            <v>1104</v>
          </cell>
          <cell r="L4110" t="str">
            <v>NC</v>
          </cell>
          <cell r="M4110" t="str">
            <v>110405</v>
          </cell>
          <cell r="N4110" t="str">
            <v>NC SYSTEM</v>
          </cell>
        </row>
        <row r="4111">
          <cell r="C4111" t="str">
            <v>100005604</v>
          </cell>
          <cell r="D4111" t="str">
            <v>DC-12230 WHITE 00 GUMBI 20 GR VN-18KP</v>
          </cell>
          <cell r="E4111" t="str">
            <v>ZFGD</v>
          </cell>
          <cell r="F4111" t="str">
            <v>PC</v>
          </cell>
          <cell r="G4111" t="str">
            <v>1</v>
          </cell>
          <cell r="H4111" t="str">
            <v>INDUSTRY</v>
          </cell>
          <cell r="I4111" t="str">
            <v>11</v>
          </cell>
          <cell r="J4111" t="str">
            <v>WOOD COATINGS</v>
          </cell>
          <cell r="K4111" t="str">
            <v>1104</v>
          </cell>
          <cell r="L4111" t="str">
            <v>NC</v>
          </cell>
          <cell r="M4111" t="str">
            <v>110405</v>
          </cell>
          <cell r="N4111" t="str">
            <v>NC SYSTEM</v>
          </cell>
        </row>
        <row r="4112">
          <cell r="C4112" t="str">
            <v>100005608</v>
          </cell>
          <cell r="D4112" t="str">
            <v>WBL-61203 CLEAR 90-20KP</v>
          </cell>
          <cell r="E4112" t="str">
            <v>ZFGD</v>
          </cell>
          <cell r="F4112" t="str">
            <v>PC</v>
          </cell>
          <cell r="G4112" t="str">
            <v>1</v>
          </cell>
          <cell r="H4112" t="str">
            <v>INDUSTRY</v>
          </cell>
          <cell r="I4112" t="str">
            <v>11</v>
          </cell>
          <cell r="J4112" t="str">
            <v>WOOD COATINGS</v>
          </cell>
          <cell r="K4112" t="str">
            <v>1119</v>
          </cell>
          <cell r="L4112" t="str">
            <v>WATERBASED</v>
          </cell>
          <cell r="M4112" t="str">
            <v>111902</v>
          </cell>
          <cell r="N4112" t="str">
            <v>WATERBASED SYSTEM INTERIOR</v>
          </cell>
        </row>
        <row r="4113">
          <cell r="C4113" t="str">
            <v>100005609</v>
          </cell>
          <cell r="D4113" t="str">
            <v>PUC-54205 AC BEACH DAY 08 AT VN-20KP</v>
          </cell>
          <cell r="E4113" t="str">
            <v>ZFGD</v>
          </cell>
          <cell r="F4113" t="str">
            <v>PC</v>
          </cell>
          <cell r="G4113" t="str">
            <v>1</v>
          </cell>
          <cell r="H4113" t="str">
            <v>INDUSTRY</v>
          </cell>
          <cell r="I4113" t="str">
            <v>11</v>
          </cell>
          <cell r="J4113" t="str">
            <v>WOOD COATINGS</v>
          </cell>
          <cell r="K4113" t="str">
            <v>1103</v>
          </cell>
          <cell r="L4113" t="str">
            <v>PU</v>
          </cell>
          <cell r="M4113" t="str">
            <v>110319</v>
          </cell>
          <cell r="N4113" t="str">
            <v>PU COLOR</v>
          </cell>
        </row>
        <row r="4114">
          <cell r="C4114" t="str">
            <v>100005610</v>
          </cell>
          <cell r="D4114" t="str">
            <v>NCL-11329 LC CLEAR 03 VN-18KP</v>
          </cell>
          <cell r="E4114" t="str">
            <v>ZFGD</v>
          </cell>
          <cell r="F4114" t="str">
            <v>PC</v>
          </cell>
          <cell r="G4114" t="str">
            <v>1</v>
          </cell>
          <cell r="H4114" t="str">
            <v>INDUSTRY</v>
          </cell>
          <cell r="I4114" t="str">
            <v>11</v>
          </cell>
          <cell r="J4114" t="str">
            <v>WOOD COATINGS</v>
          </cell>
          <cell r="K4114" t="str">
            <v>1104</v>
          </cell>
          <cell r="L4114" t="str">
            <v>NC</v>
          </cell>
          <cell r="M4114" t="str">
            <v>110405</v>
          </cell>
          <cell r="N4114" t="str">
            <v>NC SYSTEM</v>
          </cell>
        </row>
        <row r="4115">
          <cell r="C4115" t="str">
            <v>100005611</v>
          </cell>
          <cell r="D4115" t="str">
            <v>PCL-31300 BLACK 90120 VN-4K</v>
          </cell>
          <cell r="E4115" t="str">
            <v>ZFGD</v>
          </cell>
          <cell r="F4115" t="str">
            <v>PC</v>
          </cell>
          <cell r="G4115" t="str">
            <v>1</v>
          </cell>
          <cell r="H4115" t="str">
            <v>INDUSTRY</v>
          </cell>
          <cell r="I4115" t="str">
            <v>11</v>
          </cell>
          <cell r="J4115" t="str">
            <v>WOOD COATINGS</v>
          </cell>
          <cell r="K4115" t="str">
            <v>1118</v>
          </cell>
          <cell r="L4115" t="str">
            <v>COMPLEMENTARY</v>
          </cell>
          <cell r="M4115" t="str">
            <v>111807</v>
          </cell>
          <cell r="N4115" t="str">
            <v>PASTA</v>
          </cell>
        </row>
        <row r="4116">
          <cell r="C4116" t="str">
            <v>100005612</v>
          </cell>
          <cell r="D4116" t="str">
            <v>PCA-31100 BROWN 01 THH VN-16KJ</v>
          </cell>
          <cell r="E4116" t="str">
            <v>ZFGD</v>
          </cell>
          <cell r="F4116" t="str">
            <v>PC</v>
          </cell>
          <cell r="G4116" t="str">
            <v>1</v>
          </cell>
          <cell r="H4116" t="str">
            <v>INDUSTRY</v>
          </cell>
          <cell r="I4116" t="str">
            <v>11</v>
          </cell>
          <cell r="J4116" t="str">
            <v>WOOD COATINGS</v>
          </cell>
          <cell r="K4116" t="str">
            <v>1118</v>
          </cell>
          <cell r="L4116" t="str">
            <v>COMPLEMENTARY</v>
          </cell>
          <cell r="M4116" t="str">
            <v>111807</v>
          </cell>
          <cell r="N4116" t="str">
            <v>PASTA</v>
          </cell>
        </row>
        <row r="4117">
          <cell r="C4117" t="str">
            <v>100005613</v>
          </cell>
          <cell r="D4117" t="str">
            <v>GZ-12700 BROWN 01 THH VN-16KP</v>
          </cell>
          <cell r="E4117" t="str">
            <v>ZFGD</v>
          </cell>
          <cell r="F4117" t="str">
            <v>PC</v>
          </cell>
          <cell r="G4117" t="str">
            <v>1</v>
          </cell>
          <cell r="H4117" t="str">
            <v>INDUSTRY</v>
          </cell>
          <cell r="I4117" t="str">
            <v>11</v>
          </cell>
          <cell r="J4117" t="str">
            <v>WOOD COATINGS</v>
          </cell>
          <cell r="K4117" t="str">
            <v>1109</v>
          </cell>
          <cell r="L4117" t="str">
            <v>STAIN &amp; GLAZE INTERIOR</v>
          </cell>
          <cell r="M4117" t="str">
            <v>110901</v>
          </cell>
          <cell r="N4117" t="str">
            <v>ASOF : STAIN &amp; GLAZE</v>
          </cell>
        </row>
        <row r="4118">
          <cell r="C4118" t="str">
            <v>100005614</v>
          </cell>
          <cell r="D4118" t="str">
            <v>TOL-76301 N 2C-04 F1 VN-16KJ</v>
          </cell>
          <cell r="E4118" t="str">
            <v>ZFGD</v>
          </cell>
          <cell r="F4118" t="str">
            <v>PC</v>
          </cell>
          <cell r="G4118" t="str">
            <v>1</v>
          </cell>
          <cell r="H4118" t="str">
            <v>INDUSTRY</v>
          </cell>
          <cell r="I4118" t="str">
            <v>11</v>
          </cell>
          <cell r="J4118" t="str">
            <v>WOOD COATINGS</v>
          </cell>
          <cell r="K4118" t="str">
            <v>1101</v>
          </cell>
          <cell r="L4118" t="str">
            <v>ALKYD OIL</v>
          </cell>
          <cell r="M4118" t="str">
            <v>110101</v>
          </cell>
          <cell r="N4118" t="str">
            <v>ALKYD &amp; OIL SYSTEM</v>
          </cell>
        </row>
        <row r="4119">
          <cell r="C4119" t="str">
            <v>100005615</v>
          </cell>
          <cell r="D4119" t="str">
            <v>PUC-52239 GREY PT04 10 TL VN-20KP</v>
          </cell>
          <cell r="E4119" t="str">
            <v>ZFGD</v>
          </cell>
          <cell r="F4119" t="str">
            <v>PC</v>
          </cell>
          <cell r="G4119" t="str">
            <v>1</v>
          </cell>
          <cell r="H4119" t="str">
            <v>INDUSTRY</v>
          </cell>
          <cell r="I4119" t="str">
            <v>11</v>
          </cell>
          <cell r="J4119" t="str">
            <v>WOOD COATINGS</v>
          </cell>
          <cell r="K4119" t="str">
            <v>1103</v>
          </cell>
          <cell r="L4119" t="str">
            <v>PU</v>
          </cell>
          <cell r="M4119" t="str">
            <v>110319</v>
          </cell>
          <cell r="N4119" t="str">
            <v>PU COLOR</v>
          </cell>
        </row>
        <row r="4120">
          <cell r="C4120" t="str">
            <v>100005616</v>
          </cell>
          <cell r="D4120" t="str">
            <v>GZPU-21500 BLACK 02 THH VN-18KP</v>
          </cell>
          <cell r="E4120" t="str">
            <v>ZFGD</v>
          </cell>
          <cell r="F4120" t="str">
            <v>PC</v>
          </cell>
          <cell r="G4120" t="str">
            <v>1</v>
          </cell>
          <cell r="H4120" t="str">
            <v>INDUSTRY</v>
          </cell>
          <cell r="I4120" t="str">
            <v>11</v>
          </cell>
          <cell r="J4120" t="str">
            <v>WOOD COATINGS</v>
          </cell>
          <cell r="K4120" t="str">
            <v>1103</v>
          </cell>
          <cell r="L4120" t="str">
            <v>PU</v>
          </cell>
          <cell r="M4120" t="str">
            <v>110302</v>
          </cell>
          <cell r="N4120" t="str">
            <v>GLAZE PU</v>
          </cell>
        </row>
        <row r="4121">
          <cell r="C4121" t="str">
            <v>100005617</v>
          </cell>
          <cell r="D4121" t="str">
            <v>PUC-54205 AC XAMK11758 10 AT VN-20KP</v>
          </cell>
          <cell r="E4121" t="str">
            <v>ZFGD</v>
          </cell>
          <cell r="F4121" t="str">
            <v>PC</v>
          </cell>
          <cell r="G4121" t="str">
            <v>1</v>
          </cell>
          <cell r="H4121" t="str">
            <v>INDUSTRY</v>
          </cell>
          <cell r="I4121" t="str">
            <v>11</v>
          </cell>
          <cell r="J4121" t="str">
            <v>WOOD COATINGS</v>
          </cell>
          <cell r="K4121" t="str">
            <v>1103</v>
          </cell>
          <cell r="L4121" t="str">
            <v>PU</v>
          </cell>
          <cell r="M4121" t="str">
            <v>110319</v>
          </cell>
          <cell r="N4121" t="str">
            <v>PU COLOR</v>
          </cell>
        </row>
        <row r="4122">
          <cell r="C4122" t="str">
            <v>100005618</v>
          </cell>
          <cell r="D4122" t="str">
            <v>TOL-76301 N BROWN 02 BM VN-16KJ</v>
          </cell>
          <cell r="E4122" t="str">
            <v>ZFGD</v>
          </cell>
          <cell r="F4122" t="str">
            <v>PC</v>
          </cell>
          <cell r="G4122" t="str">
            <v>1</v>
          </cell>
          <cell r="H4122" t="str">
            <v>INDUSTRY</v>
          </cell>
          <cell r="I4122" t="str">
            <v>11</v>
          </cell>
          <cell r="J4122" t="str">
            <v>WOOD COATINGS</v>
          </cell>
          <cell r="K4122" t="str">
            <v>1101</v>
          </cell>
          <cell r="L4122" t="str">
            <v>ALKYD OIL</v>
          </cell>
          <cell r="M4122" t="str">
            <v>110101</v>
          </cell>
          <cell r="N4122" t="str">
            <v>ALKYD &amp; OIL SYSTEM</v>
          </cell>
        </row>
        <row r="4123">
          <cell r="C4123" t="str">
            <v>100005619</v>
          </cell>
          <cell r="D4123" t="str">
            <v>DP-12130 GREY 05 GR VN-18KP</v>
          </cell>
          <cell r="E4123" t="str">
            <v>ZFGD</v>
          </cell>
          <cell r="F4123" t="str">
            <v>PC</v>
          </cell>
          <cell r="G4123" t="str">
            <v>1</v>
          </cell>
          <cell r="H4123" t="str">
            <v>INDUSTRY</v>
          </cell>
          <cell r="I4123" t="str">
            <v>11</v>
          </cell>
          <cell r="J4123" t="str">
            <v>WOOD COATINGS</v>
          </cell>
          <cell r="K4123" t="str">
            <v>1104</v>
          </cell>
          <cell r="L4123" t="str">
            <v>NC</v>
          </cell>
          <cell r="M4123" t="str">
            <v>110405</v>
          </cell>
          <cell r="N4123" t="str">
            <v>NC SYSTEM</v>
          </cell>
        </row>
        <row r="4124">
          <cell r="C4124" t="str">
            <v>100005620</v>
          </cell>
          <cell r="D4124" t="str">
            <v>DC-12230 GREY 05 20 GR VN-18KP</v>
          </cell>
          <cell r="E4124" t="str">
            <v>ZFGD</v>
          </cell>
          <cell r="F4124" t="str">
            <v>PC</v>
          </cell>
          <cell r="G4124" t="str">
            <v>1</v>
          </cell>
          <cell r="H4124" t="str">
            <v>INDUSTRY</v>
          </cell>
          <cell r="I4124" t="str">
            <v>11</v>
          </cell>
          <cell r="J4124" t="str">
            <v>WOOD COATINGS</v>
          </cell>
          <cell r="K4124" t="str">
            <v>1104</v>
          </cell>
          <cell r="L4124" t="str">
            <v>NC</v>
          </cell>
          <cell r="M4124" t="str">
            <v>110405</v>
          </cell>
          <cell r="N4124" t="str">
            <v>NC SYSTEM</v>
          </cell>
        </row>
        <row r="4125">
          <cell r="C4125" t="str">
            <v>100005621</v>
          </cell>
          <cell r="D4125" t="str">
            <v>GZ-12700 N VAN DYKE BROWN 01 VN-4K</v>
          </cell>
          <cell r="E4125" t="str">
            <v>ZFGD</v>
          </cell>
          <cell r="F4125" t="str">
            <v>PC</v>
          </cell>
          <cell r="G4125" t="str">
            <v>1</v>
          </cell>
          <cell r="H4125" t="str">
            <v>INDUSTRY</v>
          </cell>
          <cell r="I4125" t="str">
            <v>11</v>
          </cell>
          <cell r="J4125" t="str">
            <v>WOOD COATINGS</v>
          </cell>
          <cell r="K4125" t="str">
            <v>1109</v>
          </cell>
          <cell r="L4125" t="str">
            <v>STAIN &amp; GLAZE INTERIOR</v>
          </cell>
          <cell r="M4125" t="str">
            <v>110901</v>
          </cell>
          <cell r="N4125" t="str">
            <v>ASOF : STAIN &amp; GLAZE</v>
          </cell>
        </row>
        <row r="4126">
          <cell r="C4126" t="str">
            <v>100005622</v>
          </cell>
          <cell r="D4126" t="str">
            <v>GZ-12700 N VAN DYKE BROWN 01 VN-16KP</v>
          </cell>
          <cell r="E4126" t="str">
            <v>ZFGD</v>
          </cell>
          <cell r="F4126" t="str">
            <v>PC</v>
          </cell>
          <cell r="G4126" t="str">
            <v>1</v>
          </cell>
          <cell r="H4126" t="str">
            <v>INDUSTRY</v>
          </cell>
          <cell r="I4126" t="str">
            <v>11</v>
          </cell>
          <cell r="J4126" t="str">
            <v>WOOD COATINGS</v>
          </cell>
          <cell r="K4126" t="str">
            <v>1109</v>
          </cell>
          <cell r="L4126" t="str">
            <v>STAIN &amp; GLAZE INTERIOR</v>
          </cell>
          <cell r="M4126" t="str">
            <v>110901</v>
          </cell>
          <cell r="N4126" t="str">
            <v>ASOF : STAIN &amp; GLAZE</v>
          </cell>
        </row>
        <row r="4127">
          <cell r="C4127" t="str">
            <v>100005623</v>
          </cell>
          <cell r="D4127" t="str">
            <v>SST-11100 CAM 14 VC III VN-16KJ</v>
          </cell>
          <cell r="E4127" t="str">
            <v>ZFGD</v>
          </cell>
          <cell r="F4127" t="str">
            <v>PC</v>
          </cell>
          <cell r="G4127" t="str">
            <v>1</v>
          </cell>
          <cell r="H4127" t="str">
            <v>INDUSTRY</v>
          </cell>
          <cell r="I4127" t="str">
            <v>11</v>
          </cell>
          <cell r="J4127" t="str">
            <v>WOOD COATINGS</v>
          </cell>
          <cell r="K4127" t="str">
            <v>1109</v>
          </cell>
          <cell r="L4127" t="str">
            <v>STAIN &amp; GLAZE INTERIOR</v>
          </cell>
          <cell r="M4127" t="str">
            <v>110903</v>
          </cell>
          <cell r="N4127" t="str">
            <v>STAIN INTERIOR</v>
          </cell>
        </row>
        <row r="4128">
          <cell r="C4128" t="str">
            <v>100005624</v>
          </cell>
          <cell r="D4128" t="str">
            <v>SST-11100 CAM 14 VC III VN-160KK</v>
          </cell>
          <cell r="E4128" t="str">
            <v>ZFGD</v>
          </cell>
          <cell r="F4128" t="str">
            <v>PC</v>
          </cell>
          <cell r="G4128" t="str">
            <v>1</v>
          </cell>
          <cell r="H4128" t="str">
            <v>INDUSTRY</v>
          </cell>
          <cell r="I4128" t="str">
            <v>11</v>
          </cell>
          <cell r="J4128" t="str">
            <v>WOOD COATINGS</v>
          </cell>
          <cell r="K4128" t="str">
            <v>1109</v>
          </cell>
          <cell r="L4128" t="str">
            <v>STAIN &amp; GLAZE INTERIOR</v>
          </cell>
          <cell r="M4128" t="str">
            <v>110903</v>
          </cell>
          <cell r="N4128" t="str">
            <v>STAIN INTERIOR</v>
          </cell>
        </row>
        <row r="4129">
          <cell r="C4129" t="str">
            <v>100005625</v>
          </cell>
          <cell r="D4129" t="str">
            <v>DP-12123 LC BLONDE KD VN-18KP</v>
          </cell>
          <cell r="E4129" t="str">
            <v>ZFGD</v>
          </cell>
          <cell r="F4129" t="str">
            <v>PC</v>
          </cell>
          <cell r="G4129" t="str">
            <v>1</v>
          </cell>
          <cell r="H4129" t="str">
            <v>INDUSTRY</v>
          </cell>
          <cell r="I4129" t="str">
            <v>11</v>
          </cell>
          <cell r="J4129" t="str">
            <v>WOOD COATINGS</v>
          </cell>
          <cell r="K4129" t="str">
            <v>1104</v>
          </cell>
          <cell r="L4129" t="str">
            <v>NC</v>
          </cell>
          <cell r="M4129" t="str">
            <v>110405</v>
          </cell>
          <cell r="N4129" t="str">
            <v>NC SYSTEM</v>
          </cell>
        </row>
        <row r="4130">
          <cell r="C4130" t="str">
            <v>100005626</v>
          </cell>
          <cell r="D4130" t="str">
            <v>DP-12131 XANH 04 DX VN-18KP</v>
          </cell>
          <cell r="E4130" t="str">
            <v>ZFGD</v>
          </cell>
          <cell r="F4130" t="str">
            <v>PC</v>
          </cell>
          <cell r="G4130" t="str">
            <v>1</v>
          </cell>
          <cell r="H4130" t="str">
            <v>INDUSTRY</v>
          </cell>
          <cell r="I4130" t="str">
            <v>11</v>
          </cell>
          <cell r="J4130" t="str">
            <v>WOOD COATINGS</v>
          </cell>
          <cell r="K4130" t="str">
            <v>1104</v>
          </cell>
          <cell r="L4130" t="str">
            <v>NC</v>
          </cell>
          <cell r="M4130" t="str">
            <v>110405</v>
          </cell>
          <cell r="N4130" t="str">
            <v>NC SYSTEM</v>
          </cell>
        </row>
        <row r="4131">
          <cell r="C4131" t="str">
            <v>100005627</v>
          </cell>
          <cell r="D4131" t="str">
            <v>SST-11100 BROWN 03 THH VN-16KJ</v>
          </cell>
          <cell r="E4131" t="str">
            <v>ZFGD</v>
          </cell>
          <cell r="F4131" t="str">
            <v>PC</v>
          </cell>
          <cell r="G4131" t="str">
            <v>1</v>
          </cell>
          <cell r="H4131" t="str">
            <v>INDUSTRY</v>
          </cell>
          <cell r="I4131" t="str">
            <v>11</v>
          </cell>
          <cell r="J4131" t="str">
            <v>WOOD COATINGS</v>
          </cell>
          <cell r="K4131" t="str">
            <v>1109</v>
          </cell>
          <cell r="L4131" t="str">
            <v>STAIN &amp; GLAZE INTERIOR</v>
          </cell>
          <cell r="M4131" t="str">
            <v>110903</v>
          </cell>
          <cell r="N4131" t="str">
            <v>STAIN INTERIOR</v>
          </cell>
        </row>
        <row r="4132">
          <cell r="C4132" t="str">
            <v>100005628</v>
          </cell>
          <cell r="D4132" t="str">
            <v>SST-11100 BROWN 03 THH VN-160KK</v>
          </cell>
          <cell r="E4132" t="str">
            <v>ZFGD</v>
          </cell>
          <cell r="F4132" t="str">
            <v>PC</v>
          </cell>
          <cell r="G4132" t="str">
            <v>1</v>
          </cell>
          <cell r="H4132" t="str">
            <v>INDUSTRY</v>
          </cell>
          <cell r="I4132" t="str">
            <v>11</v>
          </cell>
          <cell r="J4132" t="str">
            <v>WOOD COATINGS</v>
          </cell>
          <cell r="K4132" t="str">
            <v>1109</v>
          </cell>
          <cell r="L4132" t="str">
            <v>STAIN &amp; GLAZE INTERIOR</v>
          </cell>
          <cell r="M4132" t="str">
            <v>110903</v>
          </cell>
          <cell r="N4132" t="str">
            <v>STAIN INTERIOR</v>
          </cell>
        </row>
        <row r="4133">
          <cell r="C4133" t="str">
            <v>100005629</v>
          </cell>
          <cell r="D4133" t="str">
            <v>PCA-31100 BROWN 03 THH VN-16KJ</v>
          </cell>
          <cell r="E4133" t="str">
            <v>ZFGD</v>
          </cell>
          <cell r="F4133" t="str">
            <v>PC</v>
          </cell>
          <cell r="G4133" t="str">
            <v>1</v>
          </cell>
          <cell r="H4133" t="str">
            <v>INDUSTRY</v>
          </cell>
          <cell r="I4133" t="str">
            <v>11</v>
          </cell>
          <cell r="J4133" t="str">
            <v>WOOD COATINGS</v>
          </cell>
          <cell r="K4133" t="str">
            <v>1118</v>
          </cell>
          <cell r="L4133" t="str">
            <v>COMPLEMENTARY</v>
          </cell>
          <cell r="M4133" t="str">
            <v>111807</v>
          </cell>
          <cell r="N4133" t="str">
            <v>PASTA</v>
          </cell>
        </row>
        <row r="4134">
          <cell r="C4134" t="str">
            <v>100005630</v>
          </cell>
          <cell r="D4134" t="str">
            <v>NBC-9345-553-AK-20KP</v>
          </cell>
          <cell r="E4134" t="str">
            <v>ZFGD</v>
          </cell>
          <cell r="F4134" t="str">
            <v>PC</v>
          </cell>
          <cell r="G4134" t="str">
            <v>1</v>
          </cell>
          <cell r="H4134" t="str">
            <v>INDUSTRY</v>
          </cell>
          <cell r="I4134" t="str">
            <v>11</v>
          </cell>
          <cell r="J4134" t="str">
            <v>WOOD COATINGS</v>
          </cell>
          <cell r="K4134" t="str">
            <v>1104</v>
          </cell>
          <cell r="L4134" t="str">
            <v>NC</v>
          </cell>
          <cell r="M4134" t="str">
            <v>110403</v>
          </cell>
          <cell r="N4134" t="str">
            <v>ASOF : NC BASE COAT</v>
          </cell>
        </row>
        <row r="4135">
          <cell r="C4135" t="str">
            <v>100005631</v>
          </cell>
          <cell r="D4135" t="str">
            <v>WFPU-51000 BLACK 04 THH VN-20KP</v>
          </cell>
          <cell r="E4135" t="str">
            <v>ZFGD</v>
          </cell>
          <cell r="F4135" t="str">
            <v>PC</v>
          </cell>
          <cell r="G4135" t="str">
            <v>1</v>
          </cell>
          <cell r="H4135" t="str">
            <v>INDUSTRY</v>
          </cell>
          <cell r="I4135" t="str">
            <v>11</v>
          </cell>
          <cell r="J4135" t="str">
            <v>WOOD COATINGS</v>
          </cell>
          <cell r="K4135" t="str">
            <v>1103</v>
          </cell>
          <cell r="L4135" t="str">
            <v>PU</v>
          </cell>
          <cell r="M4135" t="str">
            <v>110313</v>
          </cell>
          <cell r="N4135" t="str">
            <v>WOOD FILLER PU</v>
          </cell>
        </row>
        <row r="4136">
          <cell r="C4136" t="str">
            <v>100005632</v>
          </cell>
          <cell r="D4136" t="str">
            <v>SST-11100 BROWN 04 THH VN-16KJ</v>
          </cell>
          <cell r="E4136" t="str">
            <v>ZFGD</v>
          </cell>
          <cell r="F4136" t="str">
            <v>PC</v>
          </cell>
          <cell r="G4136" t="str">
            <v>1</v>
          </cell>
          <cell r="H4136" t="str">
            <v>INDUSTRY</v>
          </cell>
          <cell r="I4136" t="str">
            <v>11</v>
          </cell>
          <cell r="J4136" t="str">
            <v>WOOD COATINGS</v>
          </cell>
          <cell r="K4136" t="str">
            <v>1109</v>
          </cell>
          <cell r="L4136" t="str">
            <v>STAIN &amp; GLAZE INTERIOR</v>
          </cell>
          <cell r="M4136" t="str">
            <v>110903</v>
          </cell>
          <cell r="N4136" t="str">
            <v>STAIN INTERIOR</v>
          </cell>
        </row>
        <row r="4137">
          <cell r="C4137" t="str">
            <v>100005633</v>
          </cell>
          <cell r="D4137" t="str">
            <v>SST-11100 BROWN 04 THH VN-160KK</v>
          </cell>
          <cell r="E4137" t="str">
            <v>ZFGD</v>
          </cell>
          <cell r="F4137" t="str">
            <v>PC</v>
          </cell>
          <cell r="G4137" t="str">
            <v>1</v>
          </cell>
          <cell r="H4137" t="str">
            <v>INDUSTRY</v>
          </cell>
          <cell r="I4137" t="str">
            <v>11</v>
          </cell>
          <cell r="J4137" t="str">
            <v>WOOD COATINGS</v>
          </cell>
          <cell r="K4137" t="str">
            <v>1109</v>
          </cell>
          <cell r="L4137" t="str">
            <v>STAIN &amp; GLAZE INTERIOR</v>
          </cell>
          <cell r="M4137" t="str">
            <v>110903</v>
          </cell>
          <cell r="N4137" t="str">
            <v>STAIN INTERIOR</v>
          </cell>
        </row>
        <row r="4138">
          <cell r="C4138" t="str">
            <v>100005634</v>
          </cell>
          <cell r="D4138" t="str">
            <v>SST-11100 BROWN 05 THH VN-16KJ</v>
          </cell>
          <cell r="E4138" t="str">
            <v>ZFGD</v>
          </cell>
          <cell r="F4138" t="str">
            <v>PC</v>
          </cell>
          <cell r="G4138" t="str">
            <v>1</v>
          </cell>
          <cell r="H4138" t="str">
            <v>INDUSTRY</v>
          </cell>
          <cell r="I4138" t="str">
            <v>11</v>
          </cell>
          <cell r="J4138" t="str">
            <v>WOOD COATINGS</v>
          </cell>
          <cell r="K4138" t="str">
            <v>1109</v>
          </cell>
          <cell r="L4138" t="str">
            <v>STAIN &amp; GLAZE INTERIOR</v>
          </cell>
          <cell r="M4138" t="str">
            <v>110903</v>
          </cell>
          <cell r="N4138" t="str">
            <v>STAIN INTERIOR</v>
          </cell>
        </row>
        <row r="4139">
          <cell r="C4139" t="str">
            <v>100005635</v>
          </cell>
          <cell r="D4139" t="str">
            <v>SST-11100 BROWN 05 THH VN-160KK</v>
          </cell>
          <cell r="E4139" t="str">
            <v>ZFGD</v>
          </cell>
          <cell r="F4139" t="str">
            <v>PC</v>
          </cell>
          <cell r="G4139" t="str">
            <v>1</v>
          </cell>
          <cell r="H4139" t="str">
            <v>INDUSTRY</v>
          </cell>
          <cell r="I4139" t="str">
            <v>11</v>
          </cell>
          <cell r="J4139" t="str">
            <v>WOOD COATINGS</v>
          </cell>
          <cell r="K4139" t="str">
            <v>1109</v>
          </cell>
          <cell r="L4139" t="str">
            <v>STAIN &amp; GLAZE INTERIOR</v>
          </cell>
          <cell r="M4139" t="str">
            <v>110903</v>
          </cell>
          <cell r="N4139" t="str">
            <v>STAIN INTERIOR</v>
          </cell>
        </row>
        <row r="4140">
          <cell r="C4140" t="str">
            <v>100005636</v>
          </cell>
          <cell r="D4140" t="str">
            <v>GZ-12700 N GREY 05 THH VN-16KP</v>
          </cell>
          <cell r="E4140" t="str">
            <v>ZFGD</v>
          </cell>
          <cell r="F4140" t="str">
            <v>PC</v>
          </cell>
          <cell r="G4140" t="str">
            <v>1</v>
          </cell>
          <cell r="H4140" t="str">
            <v>INDUSTRY</v>
          </cell>
          <cell r="I4140" t="str">
            <v>11</v>
          </cell>
          <cell r="J4140" t="str">
            <v>WOOD COATINGS</v>
          </cell>
          <cell r="K4140" t="str">
            <v>1109</v>
          </cell>
          <cell r="L4140" t="str">
            <v>STAIN &amp; GLAZE INTERIOR</v>
          </cell>
          <cell r="M4140" t="str">
            <v>110901</v>
          </cell>
          <cell r="N4140" t="str">
            <v>ASOF : STAIN &amp; GLAZE</v>
          </cell>
        </row>
        <row r="4141">
          <cell r="C4141" t="str">
            <v>100005637</v>
          </cell>
          <cell r="D4141" t="str">
            <v>PUP-52141 BLUE WO02 IP VN-20KP</v>
          </cell>
          <cell r="E4141" t="str">
            <v>ZFGD</v>
          </cell>
          <cell r="F4141" t="str">
            <v>PC</v>
          </cell>
          <cell r="G4141" t="str">
            <v>1</v>
          </cell>
          <cell r="H4141" t="str">
            <v>INDUSTRY</v>
          </cell>
          <cell r="I4141" t="str">
            <v>11</v>
          </cell>
          <cell r="J4141" t="str">
            <v>WOOD COATINGS</v>
          </cell>
          <cell r="K4141" t="str">
            <v>1103</v>
          </cell>
          <cell r="L4141" t="str">
            <v>PU</v>
          </cell>
          <cell r="M4141" t="str">
            <v>110322</v>
          </cell>
          <cell r="N4141" t="str">
            <v>PU PRIMER</v>
          </cell>
        </row>
        <row r="4142">
          <cell r="C4142" t="str">
            <v>100005638</v>
          </cell>
          <cell r="D4142" t="str">
            <v>PUC-54205 AC BLUE WO02A 10 IP VN-20KP</v>
          </cell>
          <cell r="E4142" t="str">
            <v>ZFGD</v>
          </cell>
          <cell r="F4142" t="str">
            <v>PC</v>
          </cell>
          <cell r="G4142" t="str">
            <v>1</v>
          </cell>
          <cell r="H4142" t="str">
            <v>INDUSTRY</v>
          </cell>
          <cell r="I4142" t="str">
            <v>11</v>
          </cell>
          <cell r="J4142" t="str">
            <v>WOOD COATINGS</v>
          </cell>
          <cell r="K4142" t="str">
            <v>1103</v>
          </cell>
          <cell r="L4142" t="str">
            <v>PU</v>
          </cell>
          <cell r="M4142" t="str">
            <v>110319</v>
          </cell>
          <cell r="N4142" t="str">
            <v>PU COLOR</v>
          </cell>
        </row>
        <row r="4143">
          <cell r="C4143" t="str">
            <v>100005639</v>
          </cell>
          <cell r="D4143" t="str">
            <v>PUC-54205 AC BLUE WO02B 10 IP VN-20KP</v>
          </cell>
          <cell r="E4143" t="str">
            <v>ZFGD</v>
          </cell>
          <cell r="F4143" t="str">
            <v>PC</v>
          </cell>
          <cell r="G4143" t="str">
            <v>1</v>
          </cell>
          <cell r="H4143" t="str">
            <v>INDUSTRY</v>
          </cell>
          <cell r="I4143" t="str">
            <v>11</v>
          </cell>
          <cell r="J4143" t="str">
            <v>WOOD COATINGS</v>
          </cell>
          <cell r="K4143" t="str">
            <v>1103</v>
          </cell>
          <cell r="L4143" t="str">
            <v>PU</v>
          </cell>
          <cell r="M4143" t="str">
            <v>110319</v>
          </cell>
          <cell r="N4143" t="str">
            <v>PU COLOR</v>
          </cell>
        </row>
        <row r="4144">
          <cell r="C4144" t="str">
            <v>100005640</v>
          </cell>
          <cell r="D4144" t="str">
            <v>PUC-54205 AC TRANGWO03 10 IP VN-20KP</v>
          </cell>
          <cell r="E4144" t="str">
            <v>ZFGD</v>
          </cell>
          <cell r="F4144" t="str">
            <v>PC</v>
          </cell>
          <cell r="G4144" t="str">
            <v>1</v>
          </cell>
          <cell r="H4144" t="str">
            <v>INDUSTRY</v>
          </cell>
          <cell r="I4144" t="str">
            <v>11</v>
          </cell>
          <cell r="J4144" t="str">
            <v>WOOD COATINGS</v>
          </cell>
          <cell r="K4144" t="str">
            <v>1103</v>
          </cell>
          <cell r="L4144" t="str">
            <v>PU</v>
          </cell>
          <cell r="M4144" t="str">
            <v>110319</v>
          </cell>
          <cell r="N4144" t="str">
            <v>PU COLOR</v>
          </cell>
        </row>
        <row r="4145">
          <cell r="C4145" t="str">
            <v>100005641</v>
          </cell>
          <cell r="D4145" t="str">
            <v>PUC-54205 AC TRANGWO04 10 IP VN-20KP</v>
          </cell>
          <cell r="E4145" t="str">
            <v>ZFGD</v>
          </cell>
          <cell r="F4145" t="str">
            <v>PC</v>
          </cell>
          <cell r="G4145" t="str">
            <v>1</v>
          </cell>
          <cell r="H4145" t="str">
            <v>INDUSTRY</v>
          </cell>
          <cell r="I4145" t="str">
            <v>11</v>
          </cell>
          <cell r="J4145" t="str">
            <v>WOOD COATINGS</v>
          </cell>
          <cell r="K4145" t="str">
            <v>1103</v>
          </cell>
          <cell r="L4145" t="str">
            <v>PU</v>
          </cell>
          <cell r="M4145" t="str">
            <v>110319</v>
          </cell>
          <cell r="N4145" t="str">
            <v>PU COLOR</v>
          </cell>
        </row>
        <row r="4146">
          <cell r="C4146" t="str">
            <v>100005642</v>
          </cell>
          <cell r="D4146" t="str">
            <v>PUC-54205 AC TRANGWO05 10 IP VN-20KP</v>
          </cell>
          <cell r="E4146" t="str">
            <v>ZFGD</v>
          </cell>
          <cell r="F4146" t="str">
            <v>PC</v>
          </cell>
          <cell r="G4146" t="str">
            <v>1</v>
          </cell>
          <cell r="H4146" t="str">
            <v>INDUSTRY</v>
          </cell>
          <cell r="I4146" t="str">
            <v>11</v>
          </cell>
          <cell r="J4146" t="str">
            <v>WOOD COATINGS</v>
          </cell>
          <cell r="K4146" t="str">
            <v>1103</v>
          </cell>
          <cell r="L4146" t="str">
            <v>PU</v>
          </cell>
          <cell r="M4146" t="str">
            <v>110319</v>
          </cell>
          <cell r="N4146" t="str">
            <v>PU COLOR</v>
          </cell>
        </row>
        <row r="4147">
          <cell r="C4147" t="str">
            <v>100005643</v>
          </cell>
          <cell r="D4147" t="str">
            <v>PUP-52141 BLUE WO2C IP VN-20KP</v>
          </cell>
          <cell r="E4147" t="str">
            <v>ZFGD</v>
          </cell>
          <cell r="F4147" t="str">
            <v>PC</v>
          </cell>
          <cell r="G4147" t="str">
            <v>1</v>
          </cell>
          <cell r="H4147" t="str">
            <v>INDUSTRY</v>
          </cell>
          <cell r="I4147" t="str">
            <v>11</v>
          </cell>
          <cell r="J4147" t="str">
            <v>WOOD COATINGS</v>
          </cell>
          <cell r="K4147" t="str">
            <v>1103</v>
          </cell>
          <cell r="L4147" t="str">
            <v>PU</v>
          </cell>
          <cell r="M4147" t="str">
            <v>110322</v>
          </cell>
          <cell r="N4147" t="str">
            <v>PU PRIMER</v>
          </cell>
        </row>
        <row r="4148">
          <cell r="C4148" t="str">
            <v>100005644</v>
          </cell>
          <cell r="D4148" t="str">
            <v>PUC-54206 AC EX BLUWO2C 10 IP VN-18KP</v>
          </cell>
          <cell r="E4148" t="str">
            <v>ZFGD</v>
          </cell>
          <cell r="F4148" t="str">
            <v>PC</v>
          </cell>
          <cell r="G4148" t="str">
            <v>1</v>
          </cell>
          <cell r="H4148" t="str">
            <v>INDUSTRY</v>
          </cell>
          <cell r="I4148" t="str">
            <v>11</v>
          </cell>
          <cell r="J4148" t="str">
            <v>WOOD COATINGS</v>
          </cell>
          <cell r="K4148" t="str">
            <v>1103</v>
          </cell>
          <cell r="L4148" t="str">
            <v>PU</v>
          </cell>
          <cell r="M4148" t="str">
            <v>110319</v>
          </cell>
          <cell r="N4148" t="str">
            <v>PU COLOR</v>
          </cell>
        </row>
        <row r="4149">
          <cell r="C4149" t="str">
            <v>100005645</v>
          </cell>
          <cell r="D4149" t="str">
            <v>EQ-10200 YELLOW 01 BM VN-16KJ</v>
          </cell>
          <cell r="E4149" t="str">
            <v>ZFGD</v>
          </cell>
          <cell r="F4149" t="str">
            <v>PC</v>
          </cell>
          <cell r="G4149" t="str">
            <v>1</v>
          </cell>
          <cell r="H4149" t="str">
            <v>INDUSTRY</v>
          </cell>
          <cell r="I4149" t="str">
            <v>11</v>
          </cell>
          <cell r="J4149" t="str">
            <v>WOOD COATINGS</v>
          </cell>
          <cell r="K4149" t="str">
            <v>1109</v>
          </cell>
          <cell r="L4149" t="str">
            <v>STAIN &amp; GLAZE INTERIOR</v>
          </cell>
          <cell r="M4149" t="str">
            <v>110901</v>
          </cell>
          <cell r="N4149" t="str">
            <v>ASOF : STAIN &amp; GLAZE</v>
          </cell>
        </row>
        <row r="4150">
          <cell r="C4150" t="str">
            <v>100005646</v>
          </cell>
          <cell r="D4150" t="str">
            <v>NBC-9345-880-AK-20KP</v>
          </cell>
          <cell r="E4150" t="str">
            <v>ZFGD</v>
          </cell>
          <cell r="F4150" t="str">
            <v>PC</v>
          </cell>
          <cell r="G4150" t="str">
            <v>1</v>
          </cell>
          <cell r="H4150" t="str">
            <v>INDUSTRY</v>
          </cell>
          <cell r="I4150" t="str">
            <v>11</v>
          </cell>
          <cell r="J4150" t="str">
            <v>WOOD COATINGS</v>
          </cell>
          <cell r="K4150" t="str">
            <v>1104</v>
          </cell>
          <cell r="L4150" t="str">
            <v>NC</v>
          </cell>
          <cell r="M4150" t="str">
            <v>110403</v>
          </cell>
          <cell r="N4150" t="str">
            <v>ASOF : NC BASE COAT</v>
          </cell>
        </row>
        <row r="4151">
          <cell r="C4151" t="str">
            <v>100005647</v>
          </cell>
          <cell r="D4151" t="str">
            <v>DP-12130 GREY 00 GR VN-18KP</v>
          </cell>
          <cell r="E4151" t="str">
            <v>ZFGD</v>
          </cell>
          <cell r="F4151" t="str">
            <v>PC</v>
          </cell>
          <cell r="G4151" t="str">
            <v>1</v>
          </cell>
          <cell r="H4151" t="str">
            <v>INDUSTRY</v>
          </cell>
          <cell r="I4151" t="str">
            <v>11</v>
          </cell>
          <cell r="J4151" t="str">
            <v>WOOD COATINGS</v>
          </cell>
          <cell r="K4151" t="str">
            <v>1104</v>
          </cell>
          <cell r="L4151" t="str">
            <v>NC</v>
          </cell>
          <cell r="M4151" t="str">
            <v>110405</v>
          </cell>
          <cell r="N4151" t="str">
            <v>NC SYSTEM</v>
          </cell>
        </row>
        <row r="4152">
          <cell r="C4152" t="str">
            <v>100005648</v>
          </cell>
          <cell r="D4152" t="str">
            <v>DC-12230 GREY 00 20 GR VN-18KP</v>
          </cell>
          <cell r="E4152" t="str">
            <v>ZFGD</v>
          </cell>
          <cell r="F4152" t="str">
            <v>PC</v>
          </cell>
          <cell r="G4152" t="str">
            <v>1</v>
          </cell>
          <cell r="H4152" t="str">
            <v>INDUSTRY</v>
          </cell>
          <cell r="I4152" t="str">
            <v>11</v>
          </cell>
          <cell r="J4152" t="str">
            <v>WOOD COATINGS</v>
          </cell>
          <cell r="K4152" t="str">
            <v>1104</v>
          </cell>
          <cell r="L4152" t="str">
            <v>NC</v>
          </cell>
          <cell r="M4152" t="str">
            <v>110405</v>
          </cell>
          <cell r="N4152" t="str">
            <v>NC SYSTEM</v>
          </cell>
        </row>
        <row r="4153">
          <cell r="C4153" t="str">
            <v>100005650</v>
          </cell>
          <cell r="D4153" t="str">
            <v>NBC-9345-2444AK-20KP</v>
          </cell>
          <cell r="E4153" t="str">
            <v>ZFGD</v>
          </cell>
          <cell r="F4153" t="str">
            <v>PC</v>
          </cell>
          <cell r="G4153" t="str">
            <v>1</v>
          </cell>
          <cell r="H4153" t="str">
            <v>INDUSTRY</v>
          </cell>
          <cell r="I4153" t="str">
            <v>11</v>
          </cell>
          <cell r="J4153" t="str">
            <v>WOOD COATINGS</v>
          </cell>
          <cell r="K4153" t="str">
            <v>1104</v>
          </cell>
          <cell r="L4153" t="str">
            <v>NC</v>
          </cell>
          <cell r="M4153" t="str">
            <v>110403</v>
          </cell>
          <cell r="N4153" t="str">
            <v>ASOF : NC BASE COAT</v>
          </cell>
        </row>
        <row r="4154">
          <cell r="C4154" t="str">
            <v>100005651</v>
          </cell>
          <cell r="D4154" t="str">
            <v>NBC-9345-2444AK-200KB</v>
          </cell>
          <cell r="E4154" t="str">
            <v>ZFGD</v>
          </cell>
          <cell r="F4154" t="str">
            <v>PC</v>
          </cell>
          <cell r="G4154" t="str">
            <v>1</v>
          </cell>
          <cell r="H4154" t="str">
            <v>INDUSTRY</v>
          </cell>
          <cell r="I4154" t="str">
            <v>11</v>
          </cell>
          <cell r="J4154" t="str">
            <v>WOOD COATINGS</v>
          </cell>
          <cell r="K4154" t="str">
            <v>1104</v>
          </cell>
          <cell r="L4154" t="str">
            <v>NC</v>
          </cell>
          <cell r="M4154" t="str">
            <v>110403</v>
          </cell>
          <cell r="N4154" t="str">
            <v>ASOF : NC BASE COAT</v>
          </cell>
        </row>
        <row r="4155">
          <cell r="C4155" t="str">
            <v>100005652</v>
          </cell>
          <cell r="D4155" t="str">
            <v>AP-98200 170 VN-1K</v>
          </cell>
          <cell r="E4155" t="str">
            <v>ZFGD</v>
          </cell>
          <cell r="F4155" t="str">
            <v>PC</v>
          </cell>
          <cell r="G4155" t="str">
            <v>1</v>
          </cell>
          <cell r="H4155" t="str">
            <v>INDUSTRY</v>
          </cell>
          <cell r="I4155" t="str">
            <v>11</v>
          </cell>
          <cell r="J4155" t="str">
            <v>WOOD COATINGS</v>
          </cell>
          <cell r="K4155" t="str">
            <v>1118</v>
          </cell>
          <cell r="L4155" t="str">
            <v>COMPLEMENTARY</v>
          </cell>
          <cell r="M4155" t="str">
            <v>111802</v>
          </cell>
          <cell r="N4155" t="str">
            <v>ASOF : POWDER &amp; MATTING SOLUTION</v>
          </cell>
        </row>
        <row r="4156">
          <cell r="C4156" t="str">
            <v>100005653</v>
          </cell>
          <cell r="D4156" t="str">
            <v>PCA-31100 WHITE WO01A IP VN-16KJ</v>
          </cell>
          <cell r="E4156" t="str">
            <v>ZFGD</v>
          </cell>
          <cell r="F4156" t="str">
            <v>PC</v>
          </cell>
          <cell r="G4156" t="str">
            <v>1</v>
          </cell>
          <cell r="H4156" t="str">
            <v>INDUSTRY</v>
          </cell>
          <cell r="I4156" t="str">
            <v>11</v>
          </cell>
          <cell r="J4156" t="str">
            <v>WOOD COATINGS</v>
          </cell>
          <cell r="K4156" t="str">
            <v>1118</v>
          </cell>
          <cell r="L4156" t="str">
            <v>COMPLEMENTARY</v>
          </cell>
          <cell r="M4156" t="str">
            <v>111807</v>
          </cell>
          <cell r="N4156" t="str">
            <v>PASTA</v>
          </cell>
        </row>
        <row r="4157">
          <cell r="C4157" t="str">
            <v>100005654</v>
          </cell>
          <cell r="D4157" t="str">
            <v>PCA-31100 YELLOW WO01A IP VN-16KJ</v>
          </cell>
          <cell r="E4157" t="str">
            <v>ZFGD</v>
          </cell>
          <cell r="F4157" t="str">
            <v>PC</v>
          </cell>
          <cell r="G4157" t="str">
            <v>1</v>
          </cell>
          <cell r="H4157" t="str">
            <v>INDUSTRY</v>
          </cell>
          <cell r="I4157" t="str">
            <v>11</v>
          </cell>
          <cell r="J4157" t="str">
            <v>WOOD COATINGS</v>
          </cell>
          <cell r="K4157" t="str">
            <v>1118</v>
          </cell>
          <cell r="L4157" t="str">
            <v>COMPLEMENTARY</v>
          </cell>
          <cell r="M4157" t="str">
            <v>111807</v>
          </cell>
          <cell r="N4157" t="str">
            <v>PASTA</v>
          </cell>
        </row>
        <row r="4158">
          <cell r="C4158" t="str">
            <v>100005655</v>
          </cell>
          <cell r="D4158" t="str">
            <v>PCA-31100 YELLOW WO01A 1 IP VN-16KJ</v>
          </cell>
          <cell r="E4158" t="str">
            <v>ZFGD</v>
          </cell>
          <cell r="F4158" t="str">
            <v>PC</v>
          </cell>
          <cell r="G4158" t="str">
            <v>1</v>
          </cell>
          <cell r="H4158" t="str">
            <v>INDUSTRY</v>
          </cell>
          <cell r="I4158" t="str">
            <v>11</v>
          </cell>
          <cell r="J4158" t="str">
            <v>WOOD COATINGS</v>
          </cell>
          <cell r="K4158" t="str">
            <v>1118</v>
          </cell>
          <cell r="L4158" t="str">
            <v>COMPLEMENTARY</v>
          </cell>
          <cell r="M4158" t="str">
            <v>111807</v>
          </cell>
          <cell r="N4158" t="str">
            <v>PASTA</v>
          </cell>
        </row>
        <row r="4159">
          <cell r="C4159" t="str">
            <v>100005656</v>
          </cell>
          <cell r="D4159" t="str">
            <v>PCA-31100 YELLOW WO01A 2 IP VN-16KJ</v>
          </cell>
          <cell r="E4159" t="str">
            <v>ZFGD</v>
          </cell>
          <cell r="F4159" t="str">
            <v>PC</v>
          </cell>
          <cell r="G4159" t="str">
            <v>1</v>
          </cell>
          <cell r="H4159" t="str">
            <v>INDUSTRY</v>
          </cell>
          <cell r="I4159" t="str">
            <v>11</v>
          </cell>
          <cell r="J4159" t="str">
            <v>WOOD COATINGS</v>
          </cell>
          <cell r="K4159" t="str">
            <v>1118</v>
          </cell>
          <cell r="L4159" t="str">
            <v>COMPLEMENTARY</v>
          </cell>
          <cell r="M4159" t="str">
            <v>111807</v>
          </cell>
          <cell r="N4159" t="str">
            <v>PASTA</v>
          </cell>
        </row>
        <row r="4160">
          <cell r="C4160" t="str">
            <v>100005657</v>
          </cell>
          <cell r="D4160" t="str">
            <v>PUC-52239 BLUE 3 20 TL VN-20KP</v>
          </cell>
          <cell r="E4160" t="str">
            <v>ZFGD</v>
          </cell>
          <cell r="F4160" t="str">
            <v>PC</v>
          </cell>
          <cell r="G4160" t="str">
            <v>1</v>
          </cell>
          <cell r="H4160" t="str">
            <v>INDUSTRY</v>
          </cell>
          <cell r="I4160" t="str">
            <v>11</v>
          </cell>
          <cell r="J4160" t="str">
            <v>WOOD COATINGS</v>
          </cell>
          <cell r="K4160" t="str">
            <v>1103</v>
          </cell>
          <cell r="L4160" t="str">
            <v>PU</v>
          </cell>
          <cell r="M4160" t="str">
            <v>110319</v>
          </cell>
          <cell r="N4160" t="str">
            <v>PU COLOR</v>
          </cell>
        </row>
        <row r="4161">
          <cell r="C4161" t="str">
            <v>100005659</v>
          </cell>
          <cell r="D4161" t="str">
            <v>PS-15100 YELLOW 01 XD VN-16KJ</v>
          </cell>
          <cell r="E4161" t="str">
            <v>ZFGD</v>
          </cell>
          <cell r="F4161" t="str">
            <v>PC</v>
          </cell>
          <cell r="G4161" t="str">
            <v>1</v>
          </cell>
          <cell r="H4161" t="str">
            <v>INDUSTRY</v>
          </cell>
          <cell r="I4161" t="str">
            <v>11</v>
          </cell>
          <cell r="J4161" t="str">
            <v>WOOD COATINGS</v>
          </cell>
          <cell r="K4161" t="str">
            <v>1109</v>
          </cell>
          <cell r="L4161" t="str">
            <v>STAIN &amp; GLAZE INTERIOR</v>
          </cell>
          <cell r="M4161" t="str">
            <v>110901</v>
          </cell>
          <cell r="N4161" t="str">
            <v>ASOF : STAIN &amp; GLAZE</v>
          </cell>
        </row>
        <row r="4162">
          <cell r="C4162" t="str">
            <v>100005660</v>
          </cell>
          <cell r="D4162" t="str">
            <v>PS-15100 BLACK 3D 01 XD VN-16KJ</v>
          </cell>
          <cell r="E4162" t="str">
            <v>ZFGD</v>
          </cell>
          <cell r="F4162" t="str">
            <v>PC</v>
          </cell>
          <cell r="G4162" t="str">
            <v>1</v>
          </cell>
          <cell r="H4162" t="str">
            <v>INDUSTRY</v>
          </cell>
          <cell r="I4162" t="str">
            <v>11</v>
          </cell>
          <cell r="J4162" t="str">
            <v>WOOD COATINGS</v>
          </cell>
          <cell r="K4162" t="str">
            <v>1109</v>
          </cell>
          <cell r="L4162" t="str">
            <v>STAIN &amp; GLAZE INTERIOR</v>
          </cell>
          <cell r="M4162" t="str">
            <v>110901</v>
          </cell>
          <cell r="N4162" t="str">
            <v>ASOF : STAIN &amp; GLAZE</v>
          </cell>
        </row>
        <row r="4163">
          <cell r="C4163" t="str">
            <v>100005661</v>
          </cell>
          <cell r="D4163" t="str">
            <v>PUP-52141 XAM SILVERY KD VN-20KP</v>
          </cell>
          <cell r="E4163" t="str">
            <v>ZFGD</v>
          </cell>
          <cell r="F4163" t="str">
            <v>PC</v>
          </cell>
          <cell r="G4163" t="str">
            <v>1</v>
          </cell>
          <cell r="H4163" t="str">
            <v>INDUSTRY</v>
          </cell>
          <cell r="I4163" t="str">
            <v>11</v>
          </cell>
          <cell r="J4163" t="str">
            <v>WOOD COATINGS</v>
          </cell>
          <cell r="K4163" t="str">
            <v>1103</v>
          </cell>
          <cell r="L4163" t="str">
            <v>PU</v>
          </cell>
          <cell r="M4163" t="str">
            <v>110322</v>
          </cell>
          <cell r="N4163" t="str">
            <v>PU PRIMER</v>
          </cell>
        </row>
        <row r="4164">
          <cell r="C4164" t="str">
            <v>100005662</v>
          </cell>
          <cell r="D4164" t="str">
            <v>DC-12207 CAM 45 20 YJ VN-18KP</v>
          </cell>
          <cell r="E4164" t="str">
            <v>ZFGD</v>
          </cell>
          <cell r="F4164" t="str">
            <v>PC</v>
          </cell>
          <cell r="G4164" t="str">
            <v>1</v>
          </cell>
          <cell r="H4164" t="str">
            <v>INDUSTRY</v>
          </cell>
          <cell r="I4164" t="str">
            <v>11</v>
          </cell>
          <cell r="J4164" t="str">
            <v>WOOD COATINGS</v>
          </cell>
          <cell r="K4164" t="str">
            <v>1104</v>
          </cell>
          <cell r="L4164" t="str">
            <v>NC</v>
          </cell>
          <cell r="M4164" t="str">
            <v>110405</v>
          </cell>
          <cell r="N4164" t="str">
            <v>NC SYSTEM</v>
          </cell>
        </row>
        <row r="4165">
          <cell r="C4165" t="str">
            <v>100005663</v>
          </cell>
          <cell r="D4165" t="str">
            <v>DP-12130 GREY 01 GR VN-18KP</v>
          </cell>
          <cell r="E4165" t="str">
            <v>ZFGD</v>
          </cell>
          <cell r="F4165" t="str">
            <v>PC</v>
          </cell>
          <cell r="G4165" t="str">
            <v>1</v>
          </cell>
          <cell r="H4165" t="str">
            <v>INDUSTRY</v>
          </cell>
          <cell r="I4165" t="str">
            <v>11</v>
          </cell>
          <cell r="J4165" t="str">
            <v>WOOD COATINGS</v>
          </cell>
          <cell r="K4165" t="str">
            <v>1104</v>
          </cell>
          <cell r="L4165" t="str">
            <v>NC</v>
          </cell>
          <cell r="M4165" t="str">
            <v>110405</v>
          </cell>
          <cell r="N4165" t="str">
            <v>NC SYSTEM</v>
          </cell>
        </row>
        <row r="4166">
          <cell r="C4166" t="str">
            <v>100005664</v>
          </cell>
          <cell r="D4166" t="str">
            <v>DC-12230 GREY 01 20 GR VN-18KP</v>
          </cell>
          <cell r="E4166" t="str">
            <v>ZFGD</v>
          </cell>
          <cell r="F4166" t="str">
            <v>PC</v>
          </cell>
          <cell r="G4166" t="str">
            <v>1</v>
          </cell>
          <cell r="H4166" t="str">
            <v>INDUSTRY</v>
          </cell>
          <cell r="I4166" t="str">
            <v>11</v>
          </cell>
          <cell r="J4166" t="str">
            <v>WOOD COATINGS</v>
          </cell>
          <cell r="K4166" t="str">
            <v>1104</v>
          </cell>
          <cell r="L4166" t="str">
            <v>NC</v>
          </cell>
          <cell r="M4166" t="str">
            <v>110405</v>
          </cell>
          <cell r="N4166" t="str">
            <v>NC SYSTEM</v>
          </cell>
        </row>
        <row r="4167">
          <cell r="C4167" t="str">
            <v>100005665</v>
          </cell>
          <cell r="D4167" t="str">
            <v>DP-12130 GREY Y 154 DH VN-18KP</v>
          </cell>
          <cell r="E4167" t="str">
            <v>ZFGD</v>
          </cell>
          <cell r="F4167" t="str">
            <v>PC</v>
          </cell>
          <cell r="G4167" t="str">
            <v>1</v>
          </cell>
          <cell r="H4167" t="str">
            <v>INDUSTRY</v>
          </cell>
          <cell r="I4167" t="str">
            <v>11</v>
          </cell>
          <cell r="J4167" t="str">
            <v>WOOD COATINGS</v>
          </cell>
          <cell r="K4167" t="str">
            <v>1104</v>
          </cell>
          <cell r="L4167" t="str">
            <v>NC</v>
          </cell>
          <cell r="M4167" t="str">
            <v>110405</v>
          </cell>
          <cell r="N4167" t="str">
            <v>NC SYSTEM</v>
          </cell>
        </row>
        <row r="4168">
          <cell r="C4168" t="str">
            <v>100005666</v>
          </cell>
          <cell r="D4168" t="str">
            <v>DP-12130 BLACK X 80 DH VN-18KP</v>
          </cell>
          <cell r="E4168" t="str">
            <v>ZFGD</v>
          </cell>
          <cell r="F4168" t="str">
            <v>PC</v>
          </cell>
          <cell r="G4168" t="str">
            <v>1</v>
          </cell>
          <cell r="H4168" t="str">
            <v>INDUSTRY</v>
          </cell>
          <cell r="I4168" t="str">
            <v>11</v>
          </cell>
          <cell r="J4168" t="str">
            <v>WOOD COATINGS</v>
          </cell>
          <cell r="K4168" t="str">
            <v>1104</v>
          </cell>
          <cell r="L4168" t="str">
            <v>NC</v>
          </cell>
          <cell r="M4168" t="str">
            <v>110405</v>
          </cell>
          <cell r="N4168" t="str">
            <v>NC SYSTEM</v>
          </cell>
        </row>
        <row r="4169">
          <cell r="C4169" t="str">
            <v>100005667</v>
          </cell>
          <cell r="D4169" t="str">
            <v>PUC-54205 AC KEMK11392 10 AT VN-20KP</v>
          </cell>
          <cell r="E4169" t="str">
            <v>ZFGD</v>
          </cell>
          <cell r="F4169" t="str">
            <v>PC</v>
          </cell>
          <cell r="G4169" t="str">
            <v>1</v>
          </cell>
          <cell r="H4169" t="str">
            <v>INDUSTRY</v>
          </cell>
          <cell r="I4169" t="str">
            <v>11</v>
          </cell>
          <cell r="J4169" t="str">
            <v>WOOD COATINGS</v>
          </cell>
          <cell r="K4169" t="str">
            <v>1103</v>
          </cell>
          <cell r="L4169" t="str">
            <v>PU</v>
          </cell>
          <cell r="M4169" t="str">
            <v>110319</v>
          </cell>
          <cell r="N4169" t="str">
            <v>PU COLOR</v>
          </cell>
        </row>
        <row r="4170">
          <cell r="C4170" t="str">
            <v>100005668</v>
          </cell>
          <cell r="D4170" t="str">
            <v>PUC-54205 AC XAMK14075 10 AT VN-20KP</v>
          </cell>
          <cell r="E4170" t="str">
            <v>ZFGD</v>
          </cell>
          <cell r="F4170" t="str">
            <v>PC</v>
          </cell>
          <cell r="G4170" t="str">
            <v>1</v>
          </cell>
          <cell r="H4170" t="str">
            <v>INDUSTRY</v>
          </cell>
          <cell r="I4170" t="str">
            <v>11</v>
          </cell>
          <cell r="J4170" t="str">
            <v>WOOD COATINGS</v>
          </cell>
          <cell r="K4170" t="str">
            <v>1103</v>
          </cell>
          <cell r="L4170" t="str">
            <v>PU</v>
          </cell>
          <cell r="M4170" t="str">
            <v>110319</v>
          </cell>
          <cell r="N4170" t="str">
            <v>PU COLOR</v>
          </cell>
        </row>
        <row r="4171">
          <cell r="C4171" t="str">
            <v>100005669</v>
          </cell>
          <cell r="D4171" t="str">
            <v>PUC-54205 AC WH MARC101 90 PV VN-20KP</v>
          </cell>
          <cell r="E4171" t="str">
            <v>ZFGD</v>
          </cell>
          <cell r="F4171" t="str">
            <v>PC</v>
          </cell>
          <cell r="G4171" t="str">
            <v>1</v>
          </cell>
          <cell r="H4171" t="str">
            <v>INDUSTRY</v>
          </cell>
          <cell r="I4171" t="str">
            <v>11</v>
          </cell>
          <cell r="J4171" t="str">
            <v>WOOD COATINGS</v>
          </cell>
          <cell r="K4171" t="str">
            <v>1103</v>
          </cell>
          <cell r="L4171" t="str">
            <v>PU</v>
          </cell>
          <cell r="M4171" t="str">
            <v>110319</v>
          </cell>
          <cell r="N4171" t="str">
            <v>PU COLOR</v>
          </cell>
        </row>
        <row r="4172">
          <cell r="C4172" t="str">
            <v>100005670</v>
          </cell>
          <cell r="D4172" t="str">
            <v>MC-42210 WHITE 15 VN-20LP</v>
          </cell>
          <cell r="E4172" t="str">
            <v>ZFGD</v>
          </cell>
          <cell r="F4172" t="str">
            <v>PC</v>
          </cell>
          <cell r="G4172" t="str">
            <v>1</v>
          </cell>
          <cell r="H4172" t="str">
            <v>INDUSTRY</v>
          </cell>
          <cell r="I4172" t="str">
            <v>11</v>
          </cell>
          <cell r="J4172" t="str">
            <v>WOOD COATINGS</v>
          </cell>
          <cell r="K4172" t="str">
            <v>1102</v>
          </cell>
          <cell r="L4172" t="str">
            <v>MELAMINE</v>
          </cell>
          <cell r="M4172" t="str">
            <v>110202</v>
          </cell>
          <cell r="N4172" t="str">
            <v>MELAMINE COLOR</v>
          </cell>
        </row>
        <row r="4173">
          <cell r="C4173" t="str">
            <v>100005671</v>
          </cell>
          <cell r="D4173" t="str">
            <v>MC-42210 WHITE 30 VN-20LP</v>
          </cell>
          <cell r="E4173" t="str">
            <v>ZFGD</v>
          </cell>
          <cell r="F4173" t="str">
            <v>PC</v>
          </cell>
          <cell r="G4173" t="str">
            <v>1</v>
          </cell>
          <cell r="H4173" t="str">
            <v>INDUSTRY</v>
          </cell>
          <cell r="I4173" t="str">
            <v>11</v>
          </cell>
          <cell r="J4173" t="str">
            <v>WOOD COATINGS</v>
          </cell>
          <cell r="K4173" t="str">
            <v>1102</v>
          </cell>
          <cell r="L4173" t="str">
            <v>MELAMINE</v>
          </cell>
          <cell r="M4173" t="str">
            <v>110202</v>
          </cell>
          <cell r="N4173" t="str">
            <v>MELAMINE COLOR</v>
          </cell>
        </row>
        <row r="4174">
          <cell r="C4174" t="str">
            <v>100005672</v>
          </cell>
          <cell r="D4174" t="str">
            <v>MP-42122 WHITE VN-20LP</v>
          </cell>
          <cell r="E4174" t="str">
            <v>ZFGD</v>
          </cell>
          <cell r="F4174" t="str">
            <v>PC</v>
          </cell>
          <cell r="G4174" t="str">
            <v>1</v>
          </cell>
          <cell r="H4174" t="str">
            <v>INDUSTRY</v>
          </cell>
          <cell r="I4174" t="str">
            <v>11</v>
          </cell>
          <cell r="J4174" t="str">
            <v>WOOD COATINGS</v>
          </cell>
          <cell r="K4174" t="str">
            <v>1102</v>
          </cell>
          <cell r="L4174" t="str">
            <v>MELAMINE</v>
          </cell>
          <cell r="M4174" t="str">
            <v>110205</v>
          </cell>
          <cell r="N4174" t="str">
            <v>MELAMINE PRIMER</v>
          </cell>
        </row>
        <row r="4175">
          <cell r="C4175" t="str">
            <v>100005673</v>
          </cell>
          <cell r="D4175" t="str">
            <v>ML-41310 CLEAR 15 VN-20LP</v>
          </cell>
          <cell r="E4175" t="str">
            <v>ZFGD</v>
          </cell>
          <cell r="F4175" t="str">
            <v>PC</v>
          </cell>
          <cell r="G4175" t="str">
            <v>1</v>
          </cell>
          <cell r="H4175" t="str">
            <v>INDUSTRY</v>
          </cell>
          <cell r="I4175" t="str">
            <v>11</v>
          </cell>
          <cell r="J4175" t="str">
            <v>WOOD COATINGS</v>
          </cell>
          <cell r="K4175" t="str">
            <v>1102</v>
          </cell>
          <cell r="L4175" t="str">
            <v>MELAMINE</v>
          </cell>
          <cell r="M4175" t="str">
            <v>110201</v>
          </cell>
          <cell r="N4175" t="str">
            <v>MELAMINE SYSTEM</v>
          </cell>
        </row>
        <row r="4176">
          <cell r="C4176" t="str">
            <v>100005674</v>
          </cell>
          <cell r="D4176" t="str">
            <v>ML-41310 CLEAR 30 VN-20LP</v>
          </cell>
          <cell r="E4176" t="str">
            <v>ZFGD</v>
          </cell>
          <cell r="F4176" t="str">
            <v>PC</v>
          </cell>
          <cell r="G4176" t="str">
            <v>1</v>
          </cell>
          <cell r="H4176" t="str">
            <v>INDUSTRY</v>
          </cell>
          <cell r="I4176" t="str">
            <v>11</v>
          </cell>
          <cell r="J4176" t="str">
            <v>WOOD COATINGS</v>
          </cell>
          <cell r="K4176" t="str">
            <v>1102</v>
          </cell>
          <cell r="L4176" t="str">
            <v>MELAMINE</v>
          </cell>
          <cell r="M4176" t="str">
            <v>110201</v>
          </cell>
          <cell r="N4176" t="str">
            <v>MELAMINE SYSTEM</v>
          </cell>
        </row>
        <row r="4177">
          <cell r="C4177" t="str">
            <v>100005675</v>
          </cell>
          <cell r="D4177" t="str">
            <v>MSS-41212 VN-20LP</v>
          </cell>
          <cell r="E4177" t="str">
            <v>ZFGD</v>
          </cell>
          <cell r="F4177" t="str">
            <v>PC</v>
          </cell>
          <cell r="G4177" t="str">
            <v>1</v>
          </cell>
          <cell r="H4177" t="str">
            <v>INDUSTRY</v>
          </cell>
          <cell r="I4177" t="str">
            <v>11</v>
          </cell>
          <cell r="J4177" t="str">
            <v>WOOD COATINGS</v>
          </cell>
          <cell r="K4177" t="str">
            <v>1102</v>
          </cell>
          <cell r="L4177" t="str">
            <v>MELAMINE</v>
          </cell>
          <cell r="M4177" t="str">
            <v>110207</v>
          </cell>
          <cell r="N4177" t="str">
            <v>MELAMINE SANDING SEALER</v>
          </cell>
        </row>
        <row r="4178">
          <cell r="C4178" t="str">
            <v>100005676</v>
          </cell>
          <cell r="D4178" t="str">
            <v>MH-43100 A VN-20LJ</v>
          </cell>
          <cell r="E4178" t="str">
            <v>ZFGD</v>
          </cell>
          <cell r="F4178" t="str">
            <v>PC</v>
          </cell>
          <cell r="G4178" t="str">
            <v>1</v>
          </cell>
          <cell r="H4178" t="str">
            <v>INDUSTRY</v>
          </cell>
          <cell r="I4178" t="str">
            <v>11</v>
          </cell>
          <cell r="J4178" t="str">
            <v>WOOD COATINGS</v>
          </cell>
          <cell r="K4178" t="str">
            <v>1102</v>
          </cell>
          <cell r="L4178" t="str">
            <v>MELAMINE</v>
          </cell>
          <cell r="M4178" t="str">
            <v>110201</v>
          </cell>
          <cell r="N4178" t="str">
            <v>MELAMINE SYSTEM</v>
          </cell>
        </row>
        <row r="4179">
          <cell r="C4179" t="str">
            <v>100005677</v>
          </cell>
          <cell r="D4179" t="str">
            <v>WBST-13100 C10 BLACK-4K</v>
          </cell>
          <cell r="E4179" t="str">
            <v>ZFGD</v>
          </cell>
          <cell r="F4179" t="str">
            <v>PC</v>
          </cell>
          <cell r="G4179" t="str">
            <v>1</v>
          </cell>
          <cell r="H4179" t="str">
            <v>INDUSTRY</v>
          </cell>
          <cell r="I4179" t="str">
            <v>11</v>
          </cell>
          <cell r="J4179" t="str">
            <v>WOOD COATINGS</v>
          </cell>
          <cell r="K4179" t="str">
            <v>1119</v>
          </cell>
          <cell r="L4179" t="str">
            <v>WATERBASED</v>
          </cell>
          <cell r="M4179" t="str">
            <v>111902</v>
          </cell>
          <cell r="N4179" t="str">
            <v>WATERBASED SYSTEM INTERIOR</v>
          </cell>
        </row>
        <row r="4180">
          <cell r="C4180" t="str">
            <v>100005678</v>
          </cell>
          <cell r="D4180" t="str">
            <v>WBST-13100 C10 RED-4K</v>
          </cell>
          <cell r="E4180" t="str">
            <v>ZFGD</v>
          </cell>
          <cell r="F4180" t="str">
            <v>PC</v>
          </cell>
          <cell r="G4180" t="str">
            <v>1</v>
          </cell>
          <cell r="H4180" t="str">
            <v>INDUSTRY</v>
          </cell>
          <cell r="I4180" t="str">
            <v>11</v>
          </cell>
          <cell r="J4180" t="str">
            <v>WOOD COATINGS</v>
          </cell>
          <cell r="K4180" t="str">
            <v>1119</v>
          </cell>
          <cell r="L4180" t="str">
            <v>WATERBASED</v>
          </cell>
          <cell r="M4180" t="str">
            <v>111902</v>
          </cell>
          <cell r="N4180" t="str">
            <v>WATERBASED SYSTEM INTERIOR</v>
          </cell>
        </row>
        <row r="4181">
          <cell r="C4181" t="str">
            <v>100005679</v>
          </cell>
          <cell r="D4181" t="str">
            <v>WBST-13100 C10 YELLOW-4K</v>
          </cell>
          <cell r="E4181" t="str">
            <v>ZFGD</v>
          </cell>
          <cell r="F4181" t="str">
            <v>PC</v>
          </cell>
          <cell r="G4181" t="str">
            <v>1</v>
          </cell>
          <cell r="H4181" t="str">
            <v>INDUSTRY</v>
          </cell>
          <cell r="I4181" t="str">
            <v>11</v>
          </cell>
          <cell r="J4181" t="str">
            <v>WOOD COATINGS</v>
          </cell>
          <cell r="K4181" t="str">
            <v>1119</v>
          </cell>
          <cell r="L4181" t="str">
            <v>WATERBASED</v>
          </cell>
          <cell r="M4181" t="str">
            <v>111902</v>
          </cell>
          <cell r="N4181" t="str">
            <v>WATERBASED SYSTEM INTERIOR</v>
          </cell>
        </row>
        <row r="4182">
          <cell r="C4182" t="str">
            <v>100005680</v>
          </cell>
          <cell r="D4182" t="str">
            <v>WBST-13100 C10 BLUE-4K</v>
          </cell>
          <cell r="E4182" t="str">
            <v>ZFGD</v>
          </cell>
          <cell r="F4182" t="str">
            <v>PC</v>
          </cell>
          <cell r="G4182" t="str">
            <v>1</v>
          </cell>
          <cell r="H4182" t="str">
            <v>INDUSTRY</v>
          </cell>
          <cell r="I4182" t="str">
            <v>11</v>
          </cell>
          <cell r="J4182" t="str">
            <v>WOOD COATINGS</v>
          </cell>
          <cell r="K4182" t="str">
            <v>1119</v>
          </cell>
          <cell r="L4182" t="str">
            <v>WATERBASED</v>
          </cell>
          <cell r="M4182" t="str">
            <v>111902</v>
          </cell>
          <cell r="N4182" t="str">
            <v>WATERBASED SYSTEM INTERIOR</v>
          </cell>
        </row>
        <row r="4183">
          <cell r="C4183" t="str">
            <v>100005681</v>
          </cell>
          <cell r="D4183" t="str">
            <v>DC-12207 CAM 45 15 YJ VN-18KP</v>
          </cell>
          <cell r="E4183" t="str">
            <v>ZFGD</v>
          </cell>
          <cell r="F4183" t="str">
            <v>PC</v>
          </cell>
          <cell r="G4183" t="str">
            <v>1</v>
          </cell>
          <cell r="H4183" t="str">
            <v>INDUSTRY</v>
          </cell>
          <cell r="I4183" t="str">
            <v>11</v>
          </cell>
          <cell r="J4183" t="str">
            <v>WOOD COATINGS</v>
          </cell>
          <cell r="K4183" t="str">
            <v>1104</v>
          </cell>
          <cell r="L4183" t="str">
            <v>NC</v>
          </cell>
          <cell r="M4183" t="str">
            <v>110405</v>
          </cell>
          <cell r="N4183" t="str">
            <v>NC SYSTEM</v>
          </cell>
        </row>
        <row r="4184">
          <cell r="C4184" t="str">
            <v>100005682</v>
          </cell>
          <cell r="D4184" t="str">
            <v>PRCC-40233 GOLD LACQUER CL VN-180KK</v>
          </cell>
          <cell r="E4184" t="str">
            <v>ZFGD</v>
          </cell>
          <cell r="F4184" t="str">
            <v>PC</v>
          </cell>
          <cell r="G4184" t="str">
            <v>1</v>
          </cell>
          <cell r="H4184" t="str">
            <v>INDUSTRY</v>
          </cell>
          <cell r="I4184" t="str">
            <v>12</v>
          </cell>
          <cell r="J4184" t="str">
            <v>CAN COATINGS</v>
          </cell>
          <cell r="K4184" t="str">
            <v>1201</v>
          </cell>
          <cell r="L4184" t="str">
            <v>CAN COATINGS</v>
          </cell>
          <cell r="M4184" t="str">
            <v>120101</v>
          </cell>
          <cell r="N4184" t="str">
            <v>CAN COATINGS</v>
          </cell>
        </row>
        <row r="4185">
          <cell r="C4185" t="str">
            <v>100005683</v>
          </cell>
          <cell r="D4185" t="str">
            <v>PRCC-40233 GOLD LACQUER SDW VN-180KK</v>
          </cell>
          <cell r="E4185" t="str">
            <v>ZFGD</v>
          </cell>
          <cell r="F4185" t="str">
            <v>PC</v>
          </cell>
          <cell r="G4185" t="str">
            <v>1</v>
          </cell>
          <cell r="H4185" t="str">
            <v>INDUSTRY</v>
          </cell>
          <cell r="I4185" t="str">
            <v>12</v>
          </cell>
          <cell r="J4185" t="str">
            <v>CAN COATINGS</v>
          </cell>
          <cell r="K4185" t="str">
            <v>1201</v>
          </cell>
          <cell r="L4185" t="str">
            <v>CAN COATINGS</v>
          </cell>
          <cell r="M4185" t="str">
            <v>120101</v>
          </cell>
          <cell r="N4185" t="str">
            <v>CAN COATINGS</v>
          </cell>
        </row>
        <row r="4186">
          <cell r="C4186" t="str">
            <v>100005684</v>
          </cell>
          <cell r="D4186" t="str">
            <v>NBC-9345-W126AK-20KP</v>
          </cell>
          <cell r="E4186" t="str">
            <v>ZFGD</v>
          </cell>
          <cell r="F4186" t="str">
            <v>PC</v>
          </cell>
          <cell r="G4186" t="str">
            <v>1</v>
          </cell>
          <cell r="H4186" t="str">
            <v>INDUSTRY</v>
          </cell>
          <cell r="I4186" t="str">
            <v>11</v>
          </cell>
          <cell r="J4186" t="str">
            <v>WOOD COATINGS</v>
          </cell>
          <cell r="K4186" t="str">
            <v>1104</v>
          </cell>
          <cell r="L4186" t="str">
            <v>NC</v>
          </cell>
          <cell r="M4186" t="str">
            <v>110403</v>
          </cell>
          <cell r="N4186" t="str">
            <v>ASOF : NC BASE COAT</v>
          </cell>
        </row>
        <row r="4187">
          <cell r="C4187" t="str">
            <v>100005685</v>
          </cell>
          <cell r="D4187" t="str">
            <v>NBC-9345-W126AK-200KB</v>
          </cell>
          <cell r="E4187" t="str">
            <v>ZFGD</v>
          </cell>
          <cell r="F4187" t="str">
            <v>PC</v>
          </cell>
          <cell r="G4187" t="str">
            <v>1</v>
          </cell>
          <cell r="H4187" t="str">
            <v>INDUSTRY</v>
          </cell>
          <cell r="I4187" t="str">
            <v>11</v>
          </cell>
          <cell r="J4187" t="str">
            <v>WOOD COATINGS</v>
          </cell>
          <cell r="K4187" t="str">
            <v>1104</v>
          </cell>
          <cell r="L4187" t="str">
            <v>NC</v>
          </cell>
          <cell r="M4187" t="str">
            <v>110403</v>
          </cell>
          <cell r="N4187" t="str">
            <v>ASOF : NC BASE COAT</v>
          </cell>
        </row>
        <row r="4188">
          <cell r="C4188" t="str">
            <v>100005686</v>
          </cell>
          <cell r="D4188" t="str">
            <v>NBC-9345-1760AK-20KP</v>
          </cell>
          <cell r="E4188" t="str">
            <v>ZFGD</v>
          </cell>
          <cell r="F4188" t="str">
            <v>PC</v>
          </cell>
          <cell r="G4188" t="str">
            <v>1</v>
          </cell>
          <cell r="H4188" t="str">
            <v>INDUSTRY</v>
          </cell>
          <cell r="I4188" t="str">
            <v>11</v>
          </cell>
          <cell r="J4188" t="str">
            <v>WOOD COATINGS</v>
          </cell>
          <cell r="K4188" t="str">
            <v>1104</v>
          </cell>
          <cell r="L4188" t="str">
            <v>NC</v>
          </cell>
          <cell r="M4188" t="str">
            <v>110403</v>
          </cell>
          <cell r="N4188" t="str">
            <v>ASOF : NC BASE COAT</v>
          </cell>
        </row>
        <row r="4189">
          <cell r="C4189" t="str">
            <v>100005687</v>
          </cell>
          <cell r="D4189" t="str">
            <v>NBC-9345-1760AK-200KB</v>
          </cell>
          <cell r="E4189" t="str">
            <v>ZFGD</v>
          </cell>
          <cell r="F4189" t="str">
            <v>PC</v>
          </cell>
          <cell r="G4189" t="str">
            <v>1</v>
          </cell>
          <cell r="H4189" t="str">
            <v>INDUSTRY</v>
          </cell>
          <cell r="I4189" t="str">
            <v>11</v>
          </cell>
          <cell r="J4189" t="str">
            <v>WOOD COATINGS</v>
          </cell>
          <cell r="K4189" t="str">
            <v>1104</v>
          </cell>
          <cell r="L4189" t="str">
            <v>NC</v>
          </cell>
          <cell r="M4189" t="str">
            <v>110403</v>
          </cell>
          <cell r="N4189" t="str">
            <v>ASOF : NC BASE COAT</v>
          </cell>
        </row>
        <row r="4190">
          <cell r="C4190" t="str">
            <v>100005688</v>
          </cell>
          <cell r="D4190" t="str">
            <v>64-240 PU ANTI ABRASIVE-5K</v>
          </cell>
          <cell r="E4190" t="str">
            <v>ZFGD</v>
          </cell>
          <cell r="F4190" t="str">
            <v>PC</v>
          </cell>
          <cell r="G4190" t="str">
            <v>1</v>
          </cell>
          <cell r="H4190" t="str">
            <v>INDUSTRY</v>
          </cell>
          <cell r="I4190" t="str">
            <v>11</v>
          </cell>
          <cell r="J4190" t="str">
            <v>WOOD COATINGS</v>
          </cell>
          <cell r="K4190" t="str">
            <v>1103</v>
          </cell>
          <cell r="L4190" t="str">
            <v>PU</v>
          </cell>
          <cell r="M4190" t="str">
            <v>110305</v>
          </cell>
          <cell r="N4190" t="str">
            <v>UNION FILLER</v>
          </cell>
        </row>
        <row r="4191">
          <cell r="C4191" t="str">
            <v>100005689</v>
          </cell>
          <cell r="D4191" t="str">
            <v>SST-11100 BROWN 06 THH VN-16KJ</v>
          </cell>
          <cell r="E4191" t="str">
            <v>ZFGD</v>
          </cell>
          <cell r="F4191" t="str">
            <v>PC</v>
          </cell>
          <cell r="G4191" t="str">
            <v>1</v>
          </cell>
          <cell r="H4191" t="str">
            <v>INDUSTRY</v>
          </cell>
          <cell r="I4191" t="str">
            <v>11</v>
          </cell>
          <cell r="J4191" t="str">
            <v>WOOD COATINGS</v>
          </cell>
          <cell r="K4191" t="str">
            <v>1109</v>
          </cell>
          <cell r="L4191" t="str">
            <v>STAIN &amp; GLAZE INTERIOR</v>
          </cell>
          <cell r="M4191" t="str">
            <v>110903</v>
          </cell>
          <cell r="N4191" t="str">
            <v>STAIN INTERIOR</v>
          </cell>
        </row>
        <row r="4192">
          <cell r="C4192" t="str">
            <v>100005690</v>
          </cell>
          <cell r="D4192" t="str">
            <v>SST-11100 BROWN 06 THH VN-160KK</v>
          </cell>
          <cell r="E4192" t="str">
            <v>ZFGD</v>
          </cell>
          <cell r="F4192" t="str">
            <v>PC</v>
          </cell>
          <cell r="G4192" t="str">
            <v>1</v>
          </cell>
          <cell r="H4192" t="str">
            <v>INDUSTRY</v>
          </cell>
          <cell r="I4192" t="str">
            <v>11</v>
          </cell>
          <cell r="J4192" t="str">
            <v>WOOD COATINGS</v>
          </cell>
          <cell r="K4192" t="str">
            <v>1109</v>
          </cell>
          <cell r="L4192" t="str">
            <v>STAIN &amp; GLAZE INTERIOR</v>
          </cell>
          <cell r="M4192" t="str">
            <v>110903</v>
          </cell>
          <cell r="N4192" t="str">
            <v>STAIN INTERIOR</v>
          </cell>
        </row>
        <row r="4193">
          <cell r="C4193" t="str">
            <v>100005691</v>
          </cell>
          <cell r="D4193" t="str">
            <v>TOL-76301 N YELLOW 03 BM VN-16KJ</v>
          </cell>
          <cell r="E4193" t="str">
            <v>ZFGD</v>
          </cell>
          <cell r="F4193" t="str">
            <v>PC</v>
          </cell>
          <cell r="G4193" t="str">
            <v>1</v>
          </cell>
          <cell r="H4193" t="str">
            <v>INDUSTRY</v>
          </cell>
          <cell r="I4193" t="str">
            <v>11</v>
          </cell>
          <cell r="J4193" t="str">
            <v>WOOD COATINGS</v>
          </cell>
          <cell r="K4193" t="str">
            <v>1101</v>
          </cell>
          <cell r="L4193" t="str">
            <v>ALKYD OIL</v>
          </cell>
          <cell r="M4193" t="str">
            <v>110101</v>
          </cell>
          <cell r="N4193" t="str">
            <v>ALKYD &amp; OIL SYSTEM</v>
          </cell>
        </row>
        <row r="4194">
          <cell r="C4194" t="str">
            <v>100005692</v>
          </cell>
          <cell r="D4194" t="str">
            <v>PRCC-20616 EPOXY SIZE VN-180KK</v>
          </cell>
          <cell r="E4194" t="str">
            <v>ZFGD</v>
          </cell>
          <cell r="F4194" t="str">
            <v>PC</v>
          </cell>
          <cell r="G4194" t="str">
            <v>1</v>
          </cell>
          <cell r="H4194" t="str">
            <v>INDUSTRY</v>
          </cell>
          <cell r="I4194" t="str">
            <v>12</v>
          </cell>
          <cell r="J4194" t="str">
            <v>CAN COATINGS</v>
          </cell>
          <cell r="K4194" t="str">
            <v>1201</v>
          </cell>
          <cell r="L4194" t="str">
            <v>CAN COATINGS</v>
          </cell>
          <cell r="M4194" t="str">
            <v>120101</v>
          </cell>
          <cell r="N4194" t="str">
            <v>CAN COATINGS</v>
          </cell>
        </row>
        <row r="4195">
          <cell r="C4195" t="str">
            <v>100005693</v>
          </cell>
          <cell r="D4195" t="str">
            <v>WFPU-51000 BLACK TOASTED DA VN-20KP</v>
          </cell>
          <cell r="E4195" t="str">
            <v>ZFGD</v>
          </cell>
          <cell r="F4195" t="str">
            <v>PC</v>
          </cell>
          <cell r="G4195" t="str">
            <v>1</v>
          </cell>
          <cell r="H4195" t="str">
            <v>INDUSTRY</v>
          </cell>
          <cell r="I4195" t="str">
            <v>11</v>
          </cell>
          <cell r="J4195" t="str">
            <v>WOOD COATINGS</v>
          </cell>
          <cell r="K4195" t="str">
            <v>1103</v>
          </cell>
          <cell r="L4195" t="str">
            <v>PU</v>
          </cell>
          <cell r="M4195" t="str">
            <v>110313</v>
          </cell>
          <cell r="N4195" t="str">
            <v>WOOD FILLER PU</v>
          </cell>
        </row>
        <row r="4196">
          <cell r="C4196" t="str">
            <v>100005694</v>
          </cell>
          <cell r="D4196" t="str">
            <v>SST-11100 BLACK TOASTED DA VN-16KJ</v>
          </cell>
          <cell r="E4196" t="str">
            <v>ZFGD</v>
          </cell>
          <cell r="F4196" t="str">
            <v>PC</v>
          </cell>
          <cell r="G4196" t="str">
            <v>1</v>
          </cell>
          <cell r="H4196" t="str">
            <v>INDUSTRY</v>
          </cell>
          <cell r="I4196" t="str">
            <v>11</v>
          </cell>
          <cell r="J4196" t="str">
            <v>WOOD COATINGS</v>
          </cell>
          <cell r="K4196" t="str">
            <v>1109</v>
          </cell>
          <cell r="L4196" t="str">
            <v>STAIN &amp; GLAZE INTERIOR</v>
          </cell>
          <cell r="M4196" t="str">
            <v>110903</v>
          </cell>
          <cell r="N4196" t="str">
            <v>STAIN INTERIOR</v>
          </cell>
        </row>
        <row r="4197">
          <cell r="C4197" t="str">
            <v>100005695</v>
          </cell>
          <cell r="D4197" t="str">
            <v>SST-11100 BLACK TOASTED DA VN-160KK</v>
          </cell>
          <cell r="E4197" t="str">
            <v>ZFGD</v>
          </cell>
          <cell r="F4197" t="str">
            <v>PC</v>
          </cell>
          <cell r="G4197" t="str">
            <v>1</v>
          </cell>
          <cell r="H4197" t="str">
            <v>INDUSTRY</v>
          </cell>
          <cell r="I4197" t="str">
            <v>11</v>
          </cell>
          <cell r="J4197" t="str">
            <v>WOOD COATINGS</v>
          </cell>
          <cell r="K4197" t="str">
            <v>1109</v>
          </cell>
          <cell r="L4197" t="str">
            <v>STAIN &amp; GLAZE INTERIOR</v>
          </cell>
          <cell r="M4197" t="str">
            <v>110903</v>
          </cell>
          <cell r="N4197" t="str">
            <v>STAIN INTERIOR</v>
          </cell>
        </row>
        <row r="4198">
          <cell r="C4198" t="str">
            <v>100005696</v>
          </cell>
          <cell r="D4198" t="str">
            <v>PUC-52239 BLUE SW 9056 20 TL VN-20KP</v>
          </cell>
          <cell r="E4198" t="str">
            <v>ZFGD</v>
          </cell>
          <cell r="F4198" t="str">
            <v>PC</v>
          </cell>
          <cell r="G4198" t="str">
            <v>1</v>
          </cell>
          <cell r="H4198" t="str">
            <v>INDUSTRY</v>
          </cell>
          <cell r="I4198" t="str">
            <v>11</v>
          </cell>
          <cell r="J4198" t="str">
            <v>WOOD COATINGS</v>
          </cell>
          <cell r="K4198" t="str">
            <v>1103</v>
          </cell>
          <cell r="L4198" t="str">
            <v>PU</v>
          </cell>
          <cell r="M4198" t="str">
            <v>110319</v>
          </cell>
          <cell r="N4198" t="str">
            <v>PU COLOR</v>
          </cell>
        </row>
        <row r="4199">
          <cell r="C4199" t="str">
            <v>100005697</v>
          </cell>
          <cell r="D4199" t="str">
            <v>PUP-52141 WHITE OAK 2 TL VN-20KP</v>
          </cell>
          <cell r="E4199" t="str">
            <v>ZFGD</v>
          </cell>
          <cell r="F4199" t="str">
            <v>PC</v>
          </cell>
          <cell r="G4199" t="str">
            <v>1</v>
          </cell>
          <cell r="H4199" t="str">
            <v>INDUSTRY</v>
          </cell>
          <cell r="I4199" t="str">
            <v>11</v>
          </cell>
          <cell r="J4199" t="str">
            <v>WOOD COATINGS</v>
          </cell>
          <cell r="K4199" t="str">
            <v>1103</v>
          </cell>
          <cell r="L4199" t="str">
            <v>PU</v>
          </cell>
          <cell r="M4199" t="str">
            <v>110322</v>
          </cell>
          <cell r="N4199" t="str">
            <v>PU PRIMER</v>
          </cell>
        </row>
        <row r="4200">
          <cell r="C4200" t="str">
            <v>100005700</v>
          </cell>
          <cell r="D4200" t="str">
            <v>WBC-62202 WHITE 05 VN-20KP</v>
          </cell>
          <cell r="E4200" t="str">
            <v>ZFGD</v>
          </cell>
          <cell r="F4200" t="str">
            <v>PC</v>
          </cell>
          <cell r="G4200" t="str">
            <v>1</v>
          </cell>
          <cell r="H4200" t="str">
            <v>INDUSTRY</v>
          </cell>
          <cell r="I4200" t="str">
            <v>11</v>
          </cell>
          <cell r="J4200" t="str">
            <v>WOOD COATINGS</v>
          </cell>
          <cell r="K4200" t="str">
            <v>1119</v>
          </cell>
          <cell r="L4200" t="str">
            <v>WATERBASED</v>
          </cell>
          <cell r="M4200" t="str">
            <v>111902</v>
          </cell>
          <cell r="N4200" t="str">
            <v>WATERBASED SYSTEM INTERIOR</v>
          </cell>
        </row>
        <row r="4201">
          <cell r="C4201" t="str">
            <v>100005701</v>
          </cell>
          <cell r="D4201" t="str">
            <v>WBC-62202 WHITE 30 VN-20KP</v>
          </cell>
          <cell r="E4201" t="str">
            <v>ZFGD</v>
          </cell>
          <cell r="F4201" t="str">
            <v>PC</v>
          </cell>
          <cell r="G4201" t="str">
            <v>1</v>
          </cell>
          <cell r="H4201" t="str">
            <v>INDUSTRY</v>
          </cell>
          <cell r="I4201" t="str">
            <v>11</v>
          </cell>
          <cell r="J4201" t="str">
            <v>WOOD COATINGS</v>
          </cell>
          <cell r="K4201" t="str">
            <v>1119</v>
          </cell>
          <cell r="L4201" t="str">
            <v>WATERBASED</v>
          </cell>
          <cell r="M4201" t="str">
            <v>111902</v>
          </cell>
          <cell r="N4201" t="str">
            <v>WATERBASED SYSTEM INTERIOR</v>
          </cell>
        </row>
        <row r="4202">
          <cell r="C4202" t="str">
            <v>100005702</v>
          </cell>
          <cell r="D4202" t="str">
            <v>64-013 PU ANTI ABRASIVE-5K</v>
          </cell>
          <cell r="E4202" t="str">
            <v>ZFGD</v>
          </cell>
          <cell r="F4202" t="str">
            <v>PC</v>
          </cell>
          <cell r="G4202" t="str">
            <v>1</v>
          </cell>
          <cell r="H4202" t="str">
            <v>INDUSTRY</v>
          </cell>
          <cell r="I4202" t="str">
            <v>11</v>
          </cell>
          <cell r="J4202" t="str">
            <v>WOOD COATINGS</v>
          </cell>
          <cell r="K4202" t="str">
            <v>1103</v>
          </cell>
          <cell r="L4202" t="str">
            <v>PU</v>
          </cell>
          <cell r="M4202" t="str">
            <v>110307</v>
          </cell>
          <cell r="N4202" t="str">
            <v>UNION OTHERS</v>
          </cell>
        </row>
        <row r="4203">
          <cell r="C4203" t="str">
            <v>100005703</v>
          </cell>
          <cell r="D4203" t="str">
            <v>WBL-61202 CLEAR 05 VN-20KP</v>
          </cell>
          <cell r="E4203" t="str">
            <v>ZFGD</v>
          </cell>
          <cell r="F4203" t="str">
            <v>PC</v>
          </cell>
          <cell r="G4203" t="str">
            <v>1</v>
          </cell>
          <cell r="H4203" t="str">
            <v>INDUSTRY</v>
          </cell>
          <cell r="I4203" t="str">
            <v>11</v>
          </cell>
          <cell r="J4203" t="str">
            <v>WOOD COATINGS</v>
          </cell>
          <cell r="K4203" t="str">
            <v>1119</v>
          </cell>
          <cell r="L4203" t="str">
            <v>WATERBASED</v>
          </cell>
          <cell r="M4203" t="str">
            <v>111902</v>
          </cell>
          <cell r="N4203" t="str">
            <v>WATERBASED SYSTEM INTERIOR</v>
          </cell>
        </row>
        <row r="4204">
          <cell r="C4204" t="str">
            <v>100005704</v>
          </cell>
          <cell r="D4204" t="str">
            <v>PUC-54206 AC EX GREEN 10 MC VN-18KP</v>
          </cell>
          <cell r="E4204" t="str">
            <v>ZFGD</v>
          </cell>
          <cell r="F4204" t="str">
            <v>PC</v>
          </cell>
          <cell r="G4204" t="str">
            <v>1</v>
          </cell>
          <cell r="H4204" t="str">
            <v>INDUSTRY</v>
          </cell>
          <cell r="I4204" t="str">
            <v>11</v>
          </cell>
          <cell r="J4204" t="str">
            <v>WOOD COATINGS</v>
          </cell>
          <cell r="K4204" t="str">
            <v>1103</v>
          </cell>
          <cell r="L4204" t="str">
            <v>PU</v>
          </cell>
          <cell r="M4204" t="str">
            <v>110319</v>
          </cell>
          <cell r="N4204" t="str">
            <v>PU COLOR</v>
          </cell>
        </row>
        <row r="4205">
          <cell r="C4205" t="str">
            <v>100005705</v>
          </cell>
          <cell r="D4205" t="str">
            <v>DP-12123 LC BLONDE NEW KD VN-18KP</v>
          </cell>
          <cell r="E4205" t="str">
            <v>ZFGD</v>
          </cell>
          <cell r="F4205" t="str">
            <v>PC</v>
          </cell>
          <cell r="G4205" t="str">
            <v>1</v>
          </cell>
          <cell r="H4205" t="str">
            <v>INDUSTRY</v>
          </cell>
          <cell r="I4205" t="str">
            <v>11</v>
          </cell>
          <cell r="J4205" t="str">
            <v>WOOD COATINGS</v>
          </cell>
          <cell r="K4205" t="str">
            <v>1104</v>
          </cell>
          <cell r="L4205" t="str">
            <v>NC</v>
          </cell>
          <cell r="M4205" t="str">
            <v>110405</v>
          </cell>
          <cell r="N4205" t="str">
            <v>NC SYSTEM</v>
          </cell>
        </row>
        <row r="4206">
          <cell r="C4206" t="str">
            <v>100005706</v>
          </cell>
          <cell r="D4206" t="str">
            <v>PUP-1521-2270AK-20KP</v>
          </cell>
          <cell r="E4206" t="str">
            <v>ZFGD</v>
          </cell>
          <cell r="F4206" t="str">
            <v>PC</v>
          </cell>
          <cell r="G4206" t="str">
            <v>1</v>
          </cell>
          <cell r="H4206" t="str">
            <v>INDUSTRY</v>
          </cell>
          <cell r="I4206" t="str">
            <v>11</v>
          </cell>
          <cell r="J4206" t="str">
            <v>WOOD COATINGS</v>
          </cell>
          <cell r="K4206" t="str">
            <v>1103</v>
          </cell>
          <cell r="L4206" t="str">
            <v>PU</v>
          </cell>
          <cell r="M4206" t="str">
            <v>110322</v>
          </cell>
          <cell r="N4206" t="str">
            <v>PU PRIMER</v>
          </cell>
        </row>
        <row r="4207">
          <cell r="C4207" t="str">
            <v>100005707</v>
          </cell>
          <cell r="D4207" t="str">
            <v>PUP-1521-2270AK-200KB</v>
          </cell>
          <cell r="E4207" t="str">
            <v>ZFGD</v>
          </cell>
          <cell r="F4207" t="str">
            <v>PC</v>
          </cell>
          <cell r="G4207" t="str">
            <v>1</v>
          </cell>
          <cell r="H4207" t="str">
            <v>INDUSTRY</v>
          </cell>
          <cell r="I4207" t="str">
            <v>11</v>
          </cell>
          <cell r="J4207" t="str">
            <v>WOOD COATINGS</v>
          </cell>
          <cell r="K4207" t="str">
            <v>1103</v>
          </cell>
          <cell r="L4207" t="str">
            <v>PU</v>
          </cell>
          <cell r="M4207" t="str">
            <v>110322</v>
          </cell>
          <cell r="N4207" t="str">
            <v>PU PRIMER</v>
          </cell>
        </row>
        <row r="4208">
          <cell r="C4208" t="str">
            <v>100005708</v>
          </cell>
          <cell r="D4208" t="str">
            <v>PUP-1521-1187AK-20KP</v>
          </cell>
          <cell r="E4208" t="str">
            <v>ZFGD</v>
          </cell>
          <cell r="F4208" t="str">
            <v>PC</v>
          </cell>
          <cell r="G4208" t="str">
            <v>1</v>
          </cell>
          <cell r="H4208" t="str">
            <v>INDUSTRY</v>
          </cell>
          <cell r="I4208" t="str">
            <v>11</v>
          </cell>
          <cell r="J4208" t="str">
            <v>WOOD COATINGS</v>
          </cell>
          <cell r="K4208" t="str">
            <v>1103</v>
          </cell>
          <cell r="L4208" t="str">
            <v>PU</v>
          </cell>
          <cell r="M4208" t="str">
            <v>110322</v>
          </cell>
          <cell r="N4208" t="str">
            <v>PU PRIMER</v>
          </cell>
        </row>
        <row r="4209">
          <cell r="C4209" t="str">
            <v>100005709</v>
          </cell>
          <cell r="D4209" t="str">
            <v>PUP-1521-1187AK-200KB</v>
          </cell>
          <cell r="E4209" t="str">
            <v>ZFGD</v>
          </cell>
          <cell r="F4209" t="str">
            <v>PC</v>
          </cell>
          <cell r="G4209" t="str">
            <v>1</v>
          </cell>
          <cell r="H4209" t="str">
            <v>INDUSTRY</v>
          </cell>
          <cell r="I4209" t="str">
            <v>11</v>
          </cell>
          <cell r="J4209" t="str">
            <v>WOOD COATINGS</v>
          </cell>
          <cell r="K4209" t="str">
            <v>1103</v>
          </cell>
          <cell r="L4209" t="str">
            <v>PU</v>
          </cell>
          <cell r="M4209" t="str">
            <v>110322</v>
          </cell>
          <cell r="N4209" t="str">
            <v>PU PRIMER</v>
          </cell>
        </row>
        <row r="4210">
          <cell r="C4210" t="str">
            <v>100005710</v>
          </cell>
          <cell r="D4210" t="str">
            <v>PUP-1521-1864AK-20KP</v>
          </cell>
          <cell r="E4210" t="str">
            <v>ZFGD</v>
          </cell>
          <cell r="F4210" t="str">
            <v>PC</v>
          </cell>
          <cell r="G4210" t="str">
            <v>1</v>
          </cell>
          <cell r="H4210" t="str">
            <v>INDUSTRY</v>
          </cell>
          <cell r="I4210" t="str">
            <v>11</v>
          </cell>
          <cell r="J4210" t="str">
            <v>WOOD COATINGS</v>
          </cell>
          <cell r="K4210" t="str">
            <v>1103</v>
          </cell>
          <cell r="L4210" t="str">
            <v>PU</v>
          </cell>
          <cell r="M4210" t="str">
            <v>110322</v>
          </cell>
          <cell r="N4210" t="str">
            <v>PU PRIMER</v>
          </cell>
        </row>
        <row r="4211">
          <cell r="C4211" t="str">
            <v>100005711</v>
          </cell>
          <cell r="D4211" t="str">
            <v>PUP-1521-1864AK-200KB</v>
          </cell>
          <cell r="E4211" t="str">
            <v>ZFGD</v>
          </cell>
          <cell r="F4211" t="str">
            <v>PC</v>
          </cell>
          <cell r="G4211" t="str">
            <v>1</v>
          </cell>
          <cell r="H4211" t="str">
            <v>INDUSTRY</v>
          </cell>
          <cell r="I4211" t="str">
            <v>11</v>
          </cell>
          <cell r="J4211" t="str">
            <v>WOOD COATINGS</v>
          </cell>
          <cell r="K4211" t="str">
            <v>1103</v>
          </cell>
          <cell r="L4211" t="str">
            <v>PU</v>
          </cell>
          <cell r="M4211" t="str">
            <v>110322</v>
          </cell>
          <cell r="N4211" t="str">
            <v>PU PRIMER</v>
          </cell>
        </row>
        <row r="4212">
          <cell r="C4212" t="str">
            <v>100005712</v>
          </cell>
          <cell r="D4212" t="str">
            <v>WBG-66900 IBW VN-200KB</v>
          </cell>
          <cell r="E4212" t="str">
            <v>ZFGD</v>
          </cell>
          <cell r="F4212" t="str">
            <v>PC</v>
          </cell>
          <cell r="G4212" t="str">
            <v>1</v>
          </cell>
          <cell r="H4212" t="str">
            <v>INDUSTRY</v>
          </cell>
          <cell r="I4212" t="str">
            <v>11</v>
          </cell>
          <cell r="J4212" t="str">
            <v>WOOD COATINGS</v>
          </cell>
          <cell r="K4212" t="str">
            <v>1111</v>
          </cell>
          <cell r="L4212" t="str">
            <v>WATERBASED SYSTEM INTERIOR</v>
          </cell>
          <cell r="M4212" t="str">
            <v>111104</v>
          </cell>
          <cell r="N4212" t="str">
            <v>WATERBASED SYSTEM INTERIOR</v>
          </cell>
        </row>
        <row r="4213">
          <cell r="C4213" t="str">
            <v>100005713</v>
          </cell>
          <cell r="D4213" t="str">
            <v>SST-11100 NAU 15 VC III VN-16KJ</v>
          </cell>
          <cell r="E4213" t="str">
            <v>ZFGD</v>
          </cell>
          <cell r="F4213" t="str">
            <v>PC</v>
          </cell>
          <cell r="G4213" t="str">
            <v>1</v>
          </cell>
          <cell r="H4213" t="str">
            <v>INDUSTRY</v>
          </cell>
          <cell r="I4213" t="str">
            <v>11</v>
          </cell>
          <cell r="J4213" t="str">
            <v>WOOD COATINGS</v>
          </cell>
          <cell r="K4213" t="str">
            <v>1109</v>
          </cell>
          <cell r="L4213" t="str">
            <v>STAIN &amp; GLAZE INTERIOR</v>
          </cell>
          <cell r="M4213" t="str">
            <v>110903</v>
          </cell>
          <cell r="N4213" t="str">
            <v>STAIN INTERIOR</v>
          </cell>
        </row>
        <row r="4214">
          <cell r="C4214" t="str">
            <v>100005714</v>
          </cell>
          <cell r="D4214" t="str">
            <v>SST-11100 NAU 15 VC III VN-160KK</v>
          </cell>
          <cell r="E4214" t="str">
            <v>ZFGD</v>
          </cell>
          <cell r="F4214" t="str">
            <v>PC</v>
          </cell>
          <cell r="G4214" t="str">
            <v>1</v>
          </cell>
          <cell r="H4214" t="str">
            <v>INDUSTRY</v>
          </cell>
          <cell r="I4214" t="str">
            <v>11</v>
          </cell>
          <cell r="J4214" t="str">
            <v>WOOD COATINGS</v>
          </cell>
          <cell r="K4214" t="str">
            <v>1109</v>
          </cell>
          <cell r="L4214" t="str">
            <v>STAIN &amp; GLAZE INTERIOR</v>
          </cell>
          <cell r="M4214" t="str">
            <v>110903</v>
          </cell>
          <cell r="N4214" t="str">
            <v>STAIN INTERIOR</v>
          </cell>
        </row>
        <row r="4215">
          <cell r="C4215" t="str">
            <v>100005715</v>
          </cell>
          <cell r="D4215" t="str">
            <v>PCL-31300 BLUE OG PASTE AF VN-4K</v>
          </cell>
          <cell r="E4215" t="str">
            <v>ZFGD</v>
          </cell>
          <cell r="F4215" t="str">
            <v>PC</v>
          </cell>
          <cell r="G4215" t="str">
            <v>1</v>
          </cell>
          <cell r="H4215" t="str">
            <v>INDUSTRY</v>
          </cell>
          <cell r="I4215" t="str">
            <v>11</v>
          </cell>
          <cell r="J4215" t="str">
            <v>WOOD COATINGS</v>
          </cell>
          <cell r="K4215" t="str">
            <v>1118</v>
          </cell>
          <cell r="L4215" t="str">
            <v>COMPLEMENTARY</v>
          </cell>
          <cell r="M4215" t="str">
            <v>111807</v>
          </cell>
          <cell r="N4215" t="str">
            <v>PASTA</v>
          </cell>
        </row>
        <row r="4216">
          <cell r="C4216" t="str">
            <v>100005716</v>
          </cell>
          <cell r="D4216" t="str">
            <v>AD-2611-7000-AK-5KJ</v>
          </cell>
          <cell r="E4216" t="str">
            <v>ZFGD</v>
          </cell>
          <cell r="F4216" t="str">
            <v>PC</v>
          </cell>
          <cell r="G4216" t="str">
            <v>1</v>
          </cell>
          <cell r="H4216" t="str">
            <v>INDUSTRY</v>
          </cell>
          <cell r="I4216" t="str">
            <v>11</v>
          </cell>
          <cell r="J4216" t="str">
            <v>WOOD COATINGS</v>
          </cell>
          <cell r="K4216" t="str">
            <v>1118</v>
          </cell>
          <cell r="L4216" t="str">
            <v>COMPLEMENTARY</v>
          </cell>
          <cell r="M4216" t="str">
            <v>111801</v>
          </cell>
          <cell r="N4216" t="str">
            <v>ADDITIVES</v>
          </cell>
        </row>
        <row r="4217">
          <cell r="C4217" t="str">
            <v>100005717</v>
          </cell>
          <cell r="D4217" t="str">
            <v>WBC-62206 WHITE 00 20 GR VN-20KP</v>
          </cell>
          <cell r="E4217" t="str">
            <v>ZFGD</v>
          </cell>
          <cell r="F4217" t="str">
            <v>PC</v>
          </cell>
          <cell r="G4217" t="str">
            <v>1</v>
          </cell>
          <cell r="H4217" t="str">
            <v>INDUSTRY</v>
          </cell>
          <cell r="I4217" t="str">
            <v>11</v>
          </cell>
          <cell r="J4217" t="str">
            <v>WOOD COATINGS</v>
          </cell>
          <cell r="K4217" t="str">
            <v>1119</v>
          </cell>
          <cell r="L4217" t="str">
            <v>WATERBASED</v>
          </cell>
          <cell r="M4217" t="str">
            <v>111902</v>
          </cell>
          <cell r="N4217" t="str">
            <v>WATERBASED SYSTEM INTERIOR</v>
          </cell>
        </row>
        <row r="4218">
          <cell r="C4218" t="str">
            <v>100005718</v>
          </cell>
          <cell r="D4218" t="str">
            <v>WBC-62206 BLUE 02 20 GR VN-20KP</v>
          </cell>
          <cell r="E4218" t="str">
            <v>ZFGD</v>
          </cell>
          <cell r="F4218" t="str">
            <v>PC</v>
          </cell>
          <cell r="G4218" t="str">
            <v>1</v>
          </cell>
          <cell r="H4218" t="str">
            <v>INDUSTRY</v>
          </cell>
          <cell r="I4218" t="str">
            <v>11</v>
          </cell>
          <cell r="J4218" t="str">
            <v>WOOD COATINGS</v>
          </cell>
          <cell r="K4218" t="str">
            <v>1119</v>
          </cell>
          <cell r="L4218" t="str">
            <v>WATERBASED</v>
          </cell>
          <cell r="M4218" t="str">
            <v>111902</v>
          </cell>
          <cell r="N4218" t="str">
            <v>WATERBASED SYSTEM INTERIOR</v>
          </cell>
        </row>
        <row r="4219">
          <cell r="C4219" t="str">
            <v>100005719</v>
          </cell>
          <cell r="D4219" t="str">
            <v>WBP-62107 BLUE 02 GR VN-20KP</v>
          </cell>
          <cell r="E4219" t="str">
            <v>ZFGD</v>
          </cell>
          <cell r="F4219" t="str">
            <v>PC</v>
          </cell>
          <cell r="G4219" t="str">
            <v>1</v>
          </cell>
          <cell r="H4219" t="str">
            <v>INDUSTRY</v>
          </cell>
          <cell r="I4219" t="str">
            <v>11</v>
          </cell>
          <cell r="J4219" t="str">
            <v>WOOD COATINGS</v>
          </cell>
          <cell r="K4219" t="str">
            <v>1119</v>
          </cell>
          <cell r="L4219" t="str">
            <v>WATERBASED</v>
          </cell>
          <cell r="M4219" t="str">
            <v>111902</v>
          </cell>
          <cell r="N4219" t="str">
            <v>WATERBASED SYSTEM INTERIOR</v>
          </cell>
        </row>
        <row r="4220">
          <cell r="C4220" t="str">
            <v>100005720</v>
          </cell>
          <cell r="D4220" t="str">
            <v>PCL-31300 GREEN OB PASTE AF VN-4K</v>
          </cell>
          <cell r="E4220" t="str">
            <v>ZFGD</v>
          </cell>
          <cell r="F4220" t="str">
            <v>PC</v>
          </cell>
          <cell r="G4220" t="str">
            <v>1</v>
          </cell>
          <cell r="H4220" t="str">
            <v>INDUSTRY</v>
          </cell>
          <cell r="I4220" t="str">
            <v>11</v>
          </cell>
          <cell r="J4220" t="str">
            <v>WOOD COATINGS</v>
          </cell>
          <cell r="K4220" t="str">
            <v>1118</v>
          </cell>
          <cell r="L4220" t="str">
            <v>COMPLEMENTARY</v>
          </cell>
          <cell r="M4220" t="str">
            <v>111807</v>
          </cell>
          <cell r="N4220" t="str">
            <v>PASTA</v>
          </cell>
        </row>
        <row r="4221">
          <cell r="C4221" t="str">
            <v>100005723</v>
          </cell>
          <cell r="D4221" t="str">
            <v>SST-11100 MAU NAU 22 VC VN-16KJ</v>
          </cell>
          <cell r="E4221" t="str">
            <v>ZFGD</v>
          </cell>
          <cell r="F4221" t="str">
            <v>PC</v>
          </cell>
          <cell r="G4221" t="str">
            <v>1</v>
          </cell>
          <cell r="H4221" t="str">
            <v>INDUSTRY</v>
          </cell>
          <cell r="I4221" t="str">
            <v>11</v>
          </cell>
          <cell r="J4221" t="str">
            <v>WOOD COATINGS</v>
          </cell>
          <cell r="K4221" t="str">
            <v>1109</v>
          </cell>
          <cell r="L4221" t="str">
            <v>STAIN &amp; GLAZE INTERIOR</v>
          </cell>
          <cell r="M4221" t="str">
            <v>110903</v>
          </cell>
          <cell r="N4221" t="str">
            <v>STAIN INTERIOR</v>
          </cell>
        </row>
        <row r="4222">
          <cell r="C4222" t="str">
            <v>100005724</v>
          </cell>
          <cell r="D4222" t="str">
            <v>SST-11100 MAU NAU 22 VC VN-160KK</v>
          </cell>
          <cell r="E4222" t="str">
            <v>ZFGD</v>
          </cell>
          <cell r="F4222" t="str">
            <v>PC</v>
          </cell>
          <cell r="G4222" t="str">
            <v>1</v>
          </cell>
          <cell r="H4222" t="str">
            <v>INDUSTRY</v>
          </cell>
          <cell r="I4222" t="str">
            <v>11</v>
          </cell>
          <cell r="J4222" t="str">
            <v>WOOD COATINGS</v>
          </cell>
          <cell r="K4222" t="str">
            <v>1109</v>
          </cell>
          <cell r="L4222" t="str">
            <v>STAIN &amp; GLAZE INTERIOR</v>
          </cell>
          <cell r="M4222" t="str">
            <v>110903</v>
          </cell>
          <cell r="N4222" t="str">
            <v>STAIN INTERIOR</v>
          </cell>
        </row>
        <row r="4223">
          <cell r="C4223" t="str">
            <v>100005725</v>
          </cell>
          <cell r="D4223" t="str">
            <v>PCL-31300 RED PINK PASTE AF VN-4K</v>
          </cell>
          <cell r="E4223" t="str">
            <v>ZFGD</v>
          </cell>
          <cell r="F4223" t="str">
            <v>PC</v>
          </cell>
          <cell r="G4223" t="str">
            <v>1</v>
          </cell>
          <cell r="H4223" t="str">
            <v>INDUSTRY</v>
          </cell>
          <cell r="I4223" t="str">
            <v>11</v>
          </cell>
          <cell r="J4223" t="str">
            <v>WOOD COATINGS</v>
          </cell>
          <cell r="K4223" t="str">
            <v>1118</v>
          </cell>
          <cell r="L4223" t="str">
            <v>COMPLEMENTARY</v>
          </cell>
          <cell r="M4223" t="str">
            <v>111807</v>
          </cell>
          <cell r="N4223" t="str">
            <v>PASTA</v>
          </cell>
        </row>
        <row r="4224">
          <cell r="C4224" t="str">
            <v>100005726</v>
          </cell>
          <cell r="D4224" t="str">
            <v>DC-12223 FD BLACK YJ 05 VN-18KP</v>
          </cell>
          <cell r="E4224" t="str">
            <v>ZFGD</v>
          </cell>
          <cell r="F4224" t="str">
            <v>PC</v>
          </cell>
          <cell r="G4224" t="str">
            <v>1</v>
          </cell>
          <cell r="H4224" t="str">
            <v>INDUSTRY</v>
          </cell>
          <cell r="I4224" t="str">
            <v>11</v>
          </cell>
          <cell r="J4224" t="str">
            <v>WOOD COATINGS</v>
          </cell>
          <cell r="K4224" t="str">
            <v>1104</v>
          </cell>
          <cell r="L4224" t="str">
            <v>NC</v>
          </cell>
          <cell r="M4224" t="str">
            <v>110405</v>
          </cell>
          <cell r="N4224" t="str">
            <v>NC SYSTEM</v>
          </cell>
        </row>
        <row r="4225">
          <cell r="C4225" t="str">
            <v>100005727</v>
          </cell>
          <cell r="D4225" t="str">
            <v>DC-12223 FD BLACK YJ 10 VN-18KP</v>
          </cell>
          <cell r="E4225" t="str">
            <v>ZFGD</v>
          </cell>
          <cell r="F4225" t="str">
            <v>PC</v>
          </cell>
          <cell r="G4225" t="str">
            <v>1</v>
          </cell>
          <cell r="H4225" t="str">
            <v>INDUSTRY</v>
          </cell>
          <cell r="I4225" t="str">
            <v>11</v>
          </cell>
          <cell r="J4225" t="str">
            <v>WOOD COATINGS</v>
          </cell>
          <cell r="K4225" t="str">
            <v>1104</v>
          </cell>
          <cell r="L4225" t="str">
            <v>NC</v>
          </cell>
          <cell r="M4225" t="str">
            <v>110405</v>
          </cell>
          <cell r="N4225" t="str">
            <v>NC SYSTEM</v>
          </cell>
        </row>
        <row r="4226">
          <cell r="C4226" t="str">
            <v>100005728</v>
          </cell>
          <cell r="D4226" t="str">
            <v>SST-11100 CAM 01 VC I VN-16KJ</v>
          </cell>
          <cell r="E4226" t="str">
            <v>ZFGD</v>
          </cell>
          <cell r="F4226" t="str">
            <v>PC</v>
          </cell>
          <cell r="G4226" t="str">
            <v>1</v>
          </cell>
          <cell r="H4226" t="str">
            <v>INDUSTRY</v>
          </cell>
          <cell r="I4226" t="str">
            <v>11</v>
          </cell>
          <cell r="J4226" t="str">
            <v>WOOD COATINGS</v>
          </cell>
          <cell r="K4226" t="str">
            <v>1109</v>
          </cell>
          <cell r="L4226" t="str">
            <v>STAIN &amp; GLAZE INTERIOR</v>
          </cell>
          <cell r="M4226" t="str">
            <v>110903</v>
          </cell>
          <cell r="N4226" t="str">
            <v>STAIN INTERIOR</v>
          </cell>
        </row>
        <row r="4227">
          <cell r="C4227" t="str">
            <v>100005729</v>
          </cell>
          <cell r="D4227" t="str">
            <v>SST-11100 CAM 01 VC I VN-160KK</v>
          </cell>
          <cell r="E4227" t="str">
            <v>ZFGD</v>
          </cell>
          <cell r="F4227" t="str">
            <v>PC</v>
          </cell>
          <cell r="G4227" t="str">
            <v>1</v>
          </cell>
          <cell r="H4227" t="str">
            <v>INDUSTRY</v>
          </cell>
          <cell r="I4227" t="str">
            <v>11</v>
          </cell>
          <cell r="J4227" t="str">
            <v>WOOD COATINGS</v>
          </cell>
          <cell r="K4227" t="str">
            <v>1109</v>
          </cell>
          <cell r="L4227" t="str">
            <v>STAIN &amp; GLAZE INTERIOR</v>
          </cell>
          <cell r="M4227" t="str">
            <v>110903</v>
          </cell>
          <cell r="N4227" t="str">
            <v>STAIN INTERIOR</v>
          </cell>
        </row>
        <row r="4228">
          <cell r="C4228" t="str">
            <v>100005730</v>
          </cell>
          <cell r="D4228" t="str">
            <v>SST-11100 NAU 01 VC I VN-16KJ</v>
          </cell>
          <cell r="E4228" t="str">
            <v>ZFGD</v>
          </cell>
          <cell r="F4228" t="str">
            <v>PC</v>
          </cell>
          <cell r="G4228" t="str">
            <v>1</v>
          </cell>
          <cell r="H4228" t="str">
            <v>INDUSTRY</v>
          </cell>
          <cell r="I4228" t="str">
            <v>11</v>
          </cell>
          <cell r="J4228" t="str">
            <v>WOOD COATINGS</v>
          </cell>
          <cell r="K4228" t="str">
            <v>1109</v>
          </cell>
          <cell r="L4228" t="str">
            <v>STAIN &amp; GLAZE INTERIOR</v>
          </cell>
          <cell r="M4228" t="str">
            <v>110903</v>
          </cell>
          <cell r="N4228" t="str">
            <v>STAIN INTERIOR</v>
          </cell>
        </row>
        <row r="4229">
          <cell r="C4229" t="str">
            <v>100005731</v>
          </cell>
          <cell r="D4229" t="str">
            <v>SST-11100 NAU 01 VC I VN-160KK</v>
          </cell>
          <cell r="E4229" t="str">
            <v>ZFGD</v>
          </cell>
          <cell r="F4229" t="str">
            <v>PC</v>
          </cell>
          <cell r="G4229" t="str">
            <v>1</v>
          </cell>
          <cell r="H4229" t="str">
            <v>INDUSTRY</v>
          </cell>
          <cell r="I4229" t="str">
            <v>11</v>
          </cell>
          <cell r="J4229" t="str">
            <v>WOOD COATINGS</v>
          </cell>
          <cell r="K4229" t="str">
            <v>1109</v>
          </cell>
          <cell r="L4229" t="str">
            <v>STAIN &amp; GLAZE INTERIOR</v>
          </cell>
          <cell r="M4229" t="str">
            <v>110903</v>
          </cell>
          <cell r="N4229" t="str">
            <v>STAIN INTERIOR</v>
          </cell>
        </row>
        <row r="4230">
          <cell r="C4230" t="str">
            <v>100005732</v>
          </cell>
          <cell r="D4230" t="str">
            <v>DP-12123 LC GREY 16 DX VN-18KP</v>
          </cell>
          <cell r="E4230" t="str">
            <v>ZFGD</v>
          </cell>
          <cell r="F4230" t="str">
            <v>PC</v>
          </cell>
          <cell r="G4230" t="str">
            <v>1</v>
          </cell>
          <cell r="H4230" t="str">
            <v>INDUSTRY</v>
          </cell>
          <cell r="I4230" t="str">
            <v>11</v>
          </cell>
          <cell r="J4230" t="str">
            <v>WOOD COATINGS</v>
          </cell>
          <cell r="K4230" t="str">
            <v>1104</v>
          </cell>
          <cell r="L4230" t="str">
            <v>NC</v>
          </cell>
          <cell r="M4230" t="str">
            <v>110405</v>
          </cell>
          <cell r="N4230" t="str">
            <v>NC SYSTEM</v>
          </cell>
        </row>
        <row r="4231">
          <cell r="C4231" t="str">
            <v>100005733</v>
          </cell>
          <cell r="D4231" t="str">
            <v>DC-12223 LC GREY 16 20 DX VN-18KP</v>
          </cell>
          <cell r="E4231" t="str">
            <v>ZFGD</v>
          </cell>
          <cell r="F4231" t="str">
            <v>PC</v>
          </cell>
          <cell r="G4231" t="str">
            <v>1</v>
          </cell>
          <cell r="H4231" t="str">
            <v>INDUSTRY</v>
          </cell>
          <cell r="I4231" t="str">
            <v>11</v>
          </cell>
          <cell r="J4231" t="str">
            <v>WOOD COATINGS</v>
          </cell>
          <cell r="K4231" t="str">
            <v>1104</v>
          </cell>
          <cell r="L4231" t="str">
            <v>NC</v>
          </cell>
          <cell r="M4231" t="str">
            <v>110405</v>
          </cell>
          <cell r="N4231" t="str">
            <v>NC SYSTEM</v>
          </cell>
        </row>
        <row r="4232">
          <cell r="C4232" t="str">
            <v>100005734</v>
          </cell>
          <cell r="D4232" t="str">
            <v>WBC-1622 41 WHITE 00 20 GR VN-20KP</v>
          </cell>
          <cell r="E4232" t="str">
            <v>ZFGD</v>
          </cell>
          <cell r="F4232" t="str">
            <v>PC</v>
          </cell>
          <cell r="G4232" t="str">
            <v>1</v>
          </cell>
          <cell r="H4232" t="str">
            <v>INDUSTRY</v>
          </cell>
          <cell r="I4232" t="str">
            <v>11</v>
          </cell>
          <cell r="J4232" t="str">
            <v>WOOD COATINGS</v>
          </cell>
          <cell r="K4232" t="str">
            <v>1119</v>
          </cell>
          <cell r="L4232" t="str">
            <v>WATERBASED</v>
          </cell>
          <cell r="M4232" t="str">
            <v>111902</v>
          </cell>
          <cell r="N4232" t="str">
            <v>WATERBASED SYSTEM INTERIOR</v>
          </cell>
        </row>
        <row r="4233">
          <cell r="C4233" t="str">
            <v>100005735</v>
          </cell>
          <cell r="D4233" t="str">
            <v>WBC-1622 41 BLUE 02 20 GR VN-20KP</v>
          </cell>
          <cell r="E4233" t="str">
            <v>ZFGD</v>
          </cell>
          <cell r="F4233" t="str">
            <v>PC</v>
          </cell>
          <cell r="G4233" t="str">
            <v>1</v>
          </cell>
          <cell r="H4233" t="str">
            <v>INDUSTRY</v>
          </cell>
          <cell r="I4233" t="str">
            <v>11</v>
          </cell>
          <cell r="J4233" t="str">
            <v>WOOD COATINGS</v>
          </cell>
          <cell r="K4233" t="str">
            <v>1119</v>
          </cell>
          <cell r="L4233" t="str">
            <v>WATERBASED</v>
          </cell>
          <cell r="M4233" t="str">
            <v>111902</v>
          </cell>
          <cell r="N4233" t="str">
            <v>WATERBASED SYSTEM INTERIOR</v>
          </cell>
        </row>
        <row r="4234">
          <cell r="C4234" t="str">
            <v>100005736</v>
          </cell>
          <cell r="D4234" t="str">
            <v>WBP-1621 35 BLUE 02 GR VN-20KP</v>
          </cell>
          <cell r="E4234" t="str">
            <v>ZFGD</v>
          </cell>
          <cell r="F4234" t="str">
            <v>PC</v>
          </cell>
          <cell r="G4234" t="str">
            <v>1</v>
          </cell>
          <cell r="H4234" t="str">
            <v>INDUSTRY</v>
          </cell>
          <cell r="I4234" t="str">
            <v>11</v>
          </cell>
          <cell r="J4234" t="str">
            <v>WOOD COATINGS</v>
          </cell>
          <cell r="K4234" t="str">
            <v>1119</v>
          </cell>
          <cell r="L4234" t="str">
            <v>WATERBASED</v>
          </cell>
          <cell r="M4234" t="str">
            <v>111902</v>
          </cell>
          <cell r="N4234" t="str">
            <v>WATERBASED SYSTEM INTERIOR</v>
          </cell>
        </row>
        <row r="4235">
          <cell r="C4235" t="str">
            <v>100005737</v>
          </cell>
          <cell r="D4235" t="str">
            <v>WBC-1622 41 WHITE 05 VN-20KP</v>
          </cell>
          <cell r="E4235" t="str">
            <v>ZFGD</v>
          </cell>
          <cell r="F4235" t="str">
            <v>PC</v>
          </cell>
          <cell r="G4235" t="str">
            <v>1</v>
          </cell>
          <cell r="H4235" t="str">
            <v>INDUSTRY</v>
          </cell>
          <cell r="I4235" t="str">
            <v>11</v>
          </cell>
          <cell r="J4235" t="str">
            <v>WOOD COATINGS</v>
          </cell>
          <cell r="K4235" t="str">
            <v>1119</v>
          </cell>
          <cell r="L4235" t="str">
            <v>WATERBASED</v>
          </cell>
          <cell r="M4235" t="str">
            <v>111902</v>
          </cell>
          <cell r="N4235" t="str">
            <v>WATERBASED SYSTEM INTERIOR</v>
          </cell>
        </row>
        <row r="4236">
          <cell r="C4236" t="str">
            <v>100005738</v>
          </cell>
          <cell r="D4236" t="str">
            <v>WBC-1622 41 WHITE 10 VN-20KP</v>
          </cell>
          <cell r="E4236" t="str">
            <v>ZFGD</v>
          </cell>
          <cell r="F4236" t="str">
            <v>PC</v>
          </cell>
          <cell r="G4236" t="str">
            <v>1</v>
          </cell>
          <cell r="H4236" t="str">
            <v>INDUSTRY</v>
          </cell>
          <cell r="I4236" t="str">
            <v>11</v>
          </cell>
          <cell r="J4236" t="str">
            <v>WOOD COATINGS</v>
          </cell>
          <cell r="K4236" t="str">
            <v>1119</v>
          </cell>
          <cell r="L4236" t="str">
            <v>WATERBASED</v>
          </cell>
          <cell r="M4236" t="str">
            <v>111902</v>
          </cell>
          <cell r="N4236" t="str">
            <v>WATERBASED SYSTEM INTERIOR</v>
          </cell>
        </row>
        <row r="4237">
          <cell r="C4237" t="str">
            <v>100005739</v>
          </cell>
          <cell r="D4237" t="str">
            <v>WBC-1622 41 WHITE 20 VN-20KP</v>
          </cell>
          <cell r="E4237" t="str">
            <v>ZFGD</v>
          </cell>
          <cell r="F4237" t="str">
            <v>PC</v>
          </cell>
          <cell r="G4237" t="str">
            <v>1</v>
          </cell>
          <cell r="H4237" t="str">
            <v>INDUSTRY</v>
          </cell>
          <cell r="I4237" t="str">
            <v>11</v>
          </cell>
          <cell r="J4237" t="str">
            <v>WOOD COATINGS</v>
          </cell>
          <cell r="K4237" t="str">
            <v>1119</v>
          </cell>
          <cell r="L4237" t="str">
            <v>WATERBASED</v>
          </cell>
          <cell r="M4237" t="str">
            <v>111902</v>
          </cell>
          <cell r="N4237" t="str">
            <v>WATERBASED SYSTEM INTERIOR</v>
          </cell>
        </row>
        <row r="4238">
          <cell r="C4238" t="str">
            <v>100005740</v>
          </cell>
          <cell r="D4238" t="str">
            <v>WBC-1622 41 WHITE 30 VN-20KP</v>
          </cell>
          <cell r="E4238" t="str">
            <v>ZFGD</v>
          </cell>
          <cell r="F4238" t="str">
            <v>PC</v>
          </cell>
          <cell r="G4238" t="str">
            <v>1</v>
          </cell>
          <cell r="H4238" t="str">
            <v>INDUSTRY</v>
          </cell>
          <cell r="I4238" t="str">
            <v>11</v>
          </cell>
          <cell r="J4238" t="str">
            <v>WOOD COATINGS</v>
          </cell>
          <cell r="K4238" t="str">
            <v>1119</v>
          </cell>
          <cell r="L4238" t="str">
            <v>WATERBASED</v>
          </cell>
          <cell r="M4238" t="str">
            <v>111902</v>
          </cell>
          <cell r="N4238" t="str">
            <v>WATERBASED SYSTEM INTERIOR</v>
          </cell>
        </row>
        <row r="4239">
          <cell r="C4239" t="str">
            <v>100005741</v>
          </cell>
          <cell r="D4239" t="str">
            <v>WBC-1622 41 WHITE 50 VN-20KP</v>
          </cell>
          <cell r="E4239" t="str">
            <v>ZFGD</v>
          </cell>
          <cell r="F4239" t="str">
            <v>PC</v>
          </cell>
          <cell r="G4239" t="str">
            <v>1</v>
          </cell>
          <cell r="H4239" t="str">
            <v>INDUSTRY</v>
          </cell>
          <cell r="I4239" t="str">
            <v>11</v>
          </cell>
          <cell r="J4239" t="str">
            <v>WOOD COATINGS</v>
          </cell>
          <cell r="K4239" t="str">
            <v>1119</v>
          </cell>
          <cell r="L4239" t="str">
            <v>WATERBASED</v>
          </cell>
          <cell r="M4239" t="str">
            <v>111902</v>
          </cell>
          <cell r="N4239" t="str">
            <v>WATERBASED SYSTEM INTERIOR</v>
          </cell>
        </row>
        <row r="4240">
          <cell r="C4240" t="str">
            <v>100005742</v>
          </cell>
          <cell r="D4240" t="str">
            <v>UVL-50101 LY CLEAR 30 VN-20KP</v>
          </cell>
          <cell r="E4240" t="str">
            <v>ZFGD</v>
          </cell>
          <cell r="F4240" t="str">
            <v>PC</v>
          </cell>
          <cell r="G4240" t="str">
            <v>1</v>
          </cell>
          <cell r="H4240" t="str">
            <v>INDUSTRY</v>
          </cell>
          <cell r="I4240" t="str">
            <v>11</v>
          </cell>
          <cell r="J4240" t="str">
            <v>WOOD COATINGS</v>
          </cell>
          <cell r="K4240" t="str">
            <v>1106</v>
          </cell>
          <cell r="L4240" t="str">
            <v>UV</v>
          </cell>
          <cell r="M4240" t="str">
            <v>110607</v>
          </cell>
          <cell r="N4240" t="str">
            <v>UV TOP COAT CLEAR</v>
          </cell>
        </row>
        <row r="4241">
          <cell r="C4241" t="str">
            <v>100005743</v>
          </cell>
          <cell r="D4241" t="str">
            <v>PUC-54206 AC EX GREYFIN3 10 TLVN-18KP</v>
          </cell>
          <cell r="E4241" t="str">
            <v>ZFGD</v>
          </cell>
          <cell r="F4241" t="str">
            <v>PC</v>
          </cell>
          <cell r="G4241" t="str">
            <v>1</v>
          </cell>
          <cell r="H4241" t="str">
            <v>INDUSTRY</v>
          </cell>
          <cell r="I4241" t="str">
            <v>11</v>
          </cell>
          <cell r="J4241" t="str">
            <v>WOOD COATINGS</v>
          </cell>
          <cell r="K4241" t="str">
            <v>1103</v>
          </cell>
          <cell r="L4241" t="str">
            <v>PU</v>
          </cell>
          <cell r="M4241" t="str">
            <v>110319</v>
          </cell>
          <cell r="N4241" t="str">
            <v>PU COLOR</v>
          </cell>
        </row>
        <row r="4242">
          <cell r="C4242" t="str">
            <v>100005744</v>
          </cell>
          <cell r="D4242" t="str">
            <v>CBP-31301 NAKANURI VN-20KP</v>
          </cell>
          <cell r="E4242" t="str">
            <v>ZFGD</v>
          </cell>
          <cell r="F4242" t="str">
            <v>PC</v>
          </cell>
          <cell r="G4242" t="str">
            <v>1</v>
          </cell>
          <cell r="H4242" t="str">
            <v>INDUSTRY</v>
          </cell>
          <cell r="I4242" t="str">
            <v>11</v>
          </cell>
          <cell r="J4242" t="str">
            <v>WOOD COATINGS</v>
          </cell>
          <cell r="K4242" t="str">
            <v>1106</v>
          </cell>
          <cell r="L4242" t="str">
            <v>UV</v>
          </cell>
          <cell r="M4242" t="str">
            <v>110604</v>
          </cell>
          <cell r="N4242" t="str">
            <v>UV PRIMER</v>
          </cell>
        </row>
        <row r="4243">
          <cell r="C4243" t="str">
            <v>100005745</v>
          </cell>
          <cell r="D4243" t="str">
            <v>CBP-31301 MEDOME VN-20KP</v>
          </cell>
          <cell r="E4243" t="str">
            <v>ZFGD</v>
          </cell>
          <cell r="F4243" t="str">
            <v>PC</v>
          </cell>
          <cell r="G4243" t="str">
            <v>1</v>
          </cell>
          <cell r="H4243" t="str">
            <v>INDUSTRY</v>
          </cell>
          <cell r="I4243" t="str">
            <v>11</v>
          </cell>
          <cell r="J4243" t="str">
            <v>WOOD COATINGS</v>
          </cell>
          <cell r="K4243" t="str">
            <v>1106</v>
          </cell>
          <cell r="L4243" t="str">
            <v>UV</v>
          </cell>
          <cell r="M4243" t="str">
            <v>110604</v>
          </cell>
          <cell r="N4243" t="str">
            <v>UV PRIMER</v>
          </cell>
        </row>
        <row r="4244">
          <cell r="C4244" t="str">
            <v>100005746</v>
          </cell>
          <cell r="D4244" t="str">
            <v>PRCC-20310 POLYESTER VARNISH II VN-200KK</v>
          </cell>
          <cell r="E4244" t="str">
            <v>ZFGD</v>
          </cell>
          <cell r="F4244" t="str">
            <v>PC</v>
          </cell>
          <cell r="G4244" t="str">
            <v>1</v>
          </cell>
          <cell r="H4244" t="str">
            <v>INDUSTRY</v>
          </cell>
          <cell r="I4244" t="str">
            <v>12</v>
          </cell>
          <cell r="J4244" t="str">
            <v>CAN COATINGS</v>
          </cell>
          <cell r="K4244" t="str">
            <v>1201</v>
          </cell>
          <cell r="L4244" t="str">
            <v>CAN COATINGS</v>
          </cell>
          <cell r="M4244" t="str">
            <v>120101</v>
          </cell>
          <cell r="N4244" t="str">
            <v>CAN COATINGS</v>
          </cell>
        </row>
        <row r="4245">
          <cell r="C4245" t="str">
            <v>100005747</v>
          </cell>
          <cell r="D4245" t="str">
            <v>NBC-9345-1664AK-20KP</v>
          </cell>
          <cell r="E4245" t="str">
            <v>ZFGD</v>
          </cell>
          <cell r="F4245" t="str">
            <v>PC</v>
          </cell>
          <cell r="G4245" t="str">
            <v>1</v>
          </cell>
          <cell r="H4245" t="str">
            <v>INDUSTRY</v>
          </cell>
          <cell r="I4245" t="str">
            <v>11</v>
          </cell>
          <cell r="J4245" t="str">
            <v>WOOD COATINGS</v>
          </cell>
          <cell r="K4245" t="str">
            <v>1104</v>
          </cell>
          <cell r="L4245" t="str">
            <v>NC</v>
          </cell>
          <cell r="M4245" t="str">
            <v>110403</v>
          </cell>
          <cell r="N4245" t="str">
            <v>ASOF : NC BASE COAT</v>
          </cell>
        </row>
        <row r="4246">
          <cell r="C4246" t="str">
            <v>100005748</v>
          </cell>
          <cell r="D4246" t="str">
            <v>NBC-9345-1664AK-200KB</v>
          </cell>
          <cell r="E4246" t="str">
            <v>ZFGD</v>
          </cell>
          <cell r="F4246" t="str">
            <v>PC</v>
          </cell>
          <cell r="G4246" t="str">
            <v>1</v>
          </cell>
          <cell r="H4246" t="str">
            <v>INDUSTRY</v>
          </cell>
          <cell r="I4246" t="str">
            <v>11</v>
          </cell>
          <cell r="J4246" t="str">
            <v>WOOD COATINGS</v>
          </cell>
          <cell r="K4246" t="str">
            <v>1104</v>
          </cell>
          <cell r="L4246" t="str">
            <v>NC</v>
          </cell>
          <cell r="M4246" t="str">
            <v>110403</v>
          </cell>
          <cell r="N4246" t="str">
            <v>ASOF : NC BASE COAT</v>
          </cell>
        </row>
        <row r="4247">
          <cell r="C4247" t="str">
            <v>100005749</v>
          </cell>
          <cell r="D4247" t="str">
            <v>NBC-9345-2615AK-20KP</v>
          </cell>
          <cell r="E4247" t="str">
            <v>ZFGD</v>
          </cell>
          <cell r="F4247" t="str">
            <v>PC</v>
          </cell>
          <cell r="G4247" t="str">
            <v>1</v>
          </cell>
          <cell r="H4247" t="str">
            <v>INDUSTRY</v>
          </cell>
          <cell r="I4247" t="str">
            <v>11</v>
          </cell>
          <cell r="J4247" t="str">
            <v>WOOD COATINGS</v>
          </cell>
          <cell r="K4247" t="str">
            <v>1104</v>
          </cell>
          <cell r="L4247" t="str">
            <v>NC</v>
          </cell>
          <cell r="M4247" t="str">
            <v>110403</v>
          </cell>
          <cell r="N4247" t="str">
            <v>ASOF : NC BASE COAT</v>
          </cell>
        </row>
        <row r="4248">
          <cell r="C4248" t="str">
            <v>100005750</v>
          </cell>
          <cell r="D4248" t="str">
            <v>NBC-9345-2615AK-200KB</v>
          </cell>
          <cell r="E4248" t="str">
            <v>ZFGD</v>
          </cell>
          <cell r="F4248" t="str">
            <v>PC</v>
          </cell>
          <cell r="G4248" t="str">
            <v>1</v>
          </cell>
          <cell r="H4248" t="str">
            <v>INDUSTRY</v>
          </cell>
          <cell r="I4248" t="str">
            <v>11</v>
          </cell>
          <cell r="J4248" t="str">
            <v>WOOD COATINGS</v>
          </cell>
          <cell r="K4248" t="str">
            <v>1104</v>
          </cell>
          <cell r="L4248" t="str">
            <v>NC</v>
          </cell>
          <cell r="M4248" t="str">
            <v>110403</v>
          </cell>
          <cell r="N4248" t="str">
            <v>ASOF : NC BASE COAT</v>
          </cell>
        </row>
        <row r="4249">
          <cell r="C4249" t="str">
            <v>100005753</v>
          </cell>
          <cell r="D4249" t="str">
            <v>PCL-31300 PA 02196 VN-25KZ</v>
          </cell>
          <cell r="E4249" t="str">
            <v>ZFGD</v>
          </cell>
          <cell r="F4249" t="str">
            <v>PC</v>
          </cell>
          <cell r="G4249" t="str">
            <v>1</v>
          </cell>
          <cell r="H4249" t="str">
            <v>INDUSTRY</v>
          </cell>
          <cell r="I4249" t="str">
            <v>11</v>
          </cell>
          <cell r="J4249" t="str">
            <v>WOOD COATINGS</v>
          </cell>
          <cell r="K4249" t="str">
            <v>1118</v>
          </cell>
          <cell r="L4249" t="str">
            <v>COMPLEMENTARY</v>
          </cell>
          <cell r="M4249" t="str">
            <v>111807</v>
          </cell>
          <cell r="N4249" t="str">
            <v>PASTA</v>
          </cell>
        </row>
        <row r="4250">
          <cell r="C4250" t="str">
            <v>100005754</v>
          </cell>
          <cell r="D4250" t="str">
            <v>PUC-54206 AC EX XAM15710 50 ATVN-18KP</v>
          </cell>
          <cell r="E4250" t="str">
            <v>ZFGD</v>
          </cell>
          <cell r="F4250" t="str">
            <v>PC</v>
          </cell>
          <cell r="G4250" t="str">
            <v>1</v>
          </cell>
          <cell r="H4250" t="str">
            <v>INDUSTRY</v>
          </cell>
          <cell r="I4250" t="str">
            <v>11</v>
          </cell>
          <cell r="J4250" t="str">
            <v>WOOD COATINGS</v>
          </cell>
          <cell r="K4250" t="str">
            <v>1103</v>
          </cell>
          <cell r="L4250" t="str">
            <v>PU</v>
          </cell>
          <cell r="M4250" t="str">
            <v>110319</v>
          </cell>
          <cell r="N4250" t="str">
            <v>PU COLOR</v>
          </cell>
        </row>
        <row r="4251">
          <cell r="C4251" t="str">
            <v>100005755</v>
          </cell>
          <cell r="D4251" t="str">
            <v>PUC-54206 AC EX DO15709 50 AT VN-18KP</v>
          </cell>
          <cell r="E4251" t="str">
            <v>ZFGD</v>
          </cell>
          <cell r="F4251" t="str">
            <v>PC</v>
          </cell>
          <cell r="G4251" t="str">
            <v>1</v>
          </cell>
          <cell r="H4251" t="str">
            <v>INDUSTRY</v>
          </cell>
          <cell r="I4251" t="str">
            <v>11</v>
          </cell>
          <cell r="J4251" t="str">
            <v>WOOD COATINGS</v>
          </cell>
          <cell r="K4251" t="str">
            <v>1103</v>
          </cell>
          <cell r="L4251" t="str">
            <v>PU</v>
          </cell>
          <cell r="M4251" t="str">
            <v>110319</v>
          </cell>
          <cell r="N4251" t="str">
            <v>PU COLOR</v>
          </cell>
        </row>
        <row r="4252">
          <cell r="C4252" t="str">
            <v>100005756</v>
          </cell>
          <cell r="D4252" t="str">
            <v>PRCC-20324 POLYESTER CN VARNISH VN-200KK</v>
          </cell>
          <cell r="E4252" t="str">
            <v>ZFGD</v>
          </cell>
          <cell r="F4252" t="str">
            <v>PC</v>
          </cell>
          <cell r="G4252" t="str">
            <v>1</v>
          </cell>
          <cell r="H4252" t="str">
            <v>INDUSTRY</v>
          </cell>
          <cell r="I4252" t="str">
            <v>12</v>
          </cell>
          <cell r="J4252" t="str">
            <v>CAN COATINGS</v>
          </cell>
          <cell r="K4252" t="str">
            <v>1201</v>
          </cell>
          <cell r="L4252" t="str">
            <v>CAN COATINGS</v>
          </cell>
          <cell r="M4252" t="str">
            <v>120101</v>
          </cell>
          <cell r="N4252" t="str">
            <v>CAN COATINGS</v>
          </cell>
        </row>
        <row r="4253">
          <cell r="C4253" t="str">
            <v>100005757</v>
          </cell>
          <cell r="D4253" t="str">
            <v>WBC-1622-WG5AK-20KP</v>
          </cell>
          <cell r="E4253" t="str">
            <v>ZFGD</v>
          </cell>
          <cell r="F4253" t="str">
            <v>PC</v>
          </cell>
          <cell r="G4253" t="str">
            <v>1</v>
          </cell>
          <cell r="H4253" t="str">
            <v>INDUSTRY</v>
          </cell>
          <cell r="I4253" t="str">
            <v>11</v>
          </cell>
          <cell r="J4253" t="str">
            <v>WOOD COATINGS</v>
          </cell>
          <cell r="K4253" t="str">
            <v>1119</v>
          </cell>
          <cell r="L4253" t="str">
            <v>WATERBASED</v>
          </cell>
          <cell r="M4253" t="str">
            <v>111902</v>
          </cell>
          <cell r="N4253" t="str">
            <v>WATERBASED SYSTEM INTERIOR</v>
          </cell>
        </row>
        <row r="4254">
          <cell r="C4254" t="str">
            <v>100005758</v>
          </cell>
          <cell r="D4254" t="str">
            <v>WBC-1622-BC5AK-20KP</v>
          </cell>
          <cell r="E4254" t="str">
            <v>ZFGD</v>
          </cell>
          <cell r="F4254" t="str">
            <v>PC</v>
          </cell>
          <cell r="G4254" t="str">
            <v>1</v>
          </cell>
          <cell r="H4254" t="str">
            <v>INDUSTRY</v>
          </cell>
          <cell r="I4254" t="str">
            <v>11</v>
          </cell>
          <cell r="J4254" t="str">
            <v>WOOD COATINGS</v>
          </cell>
          <cell r="K4254" t="str">
            <v>1119</v>
          </cell>
          <cell r="L4254" t="str">
            <v>WATERBASED</v>
          </cell>
          <cell r="M4254" t="str">
            <v>111902</v>
          </cell>
          <cell r="N4254" t="str">
            <v>WATERBASED SYSTEM INTERIOR</v>
          </cell>
        </row>
        <row r="4255">
          <cell r="C4255" t="str">
            <v>100005759</v>
          </cell>
          <cell r="D4255" t="str">
            <v>WBC-1622-TV5AK-20KP</v>
          </cell>
          <cell r="E4255" t="str">
            <v>ZFGD</v>
          </cell>
          <cell r="F4255" t="str">
            <v>PC</v>
          </cell>
          <cell r="G4255" t="str">
            <v>1</v>
          </cell>
          <cell r="H4255" t="str">
            <v>INDUSTRY</v>
          </cell>
          <cell r="I4255" t="str">
            <v>11</v>
          </cell>
          <cell r="J4255" t="str">
            <v>WOOD COATINGS</v>
          </cell>
          <cell r="K4255" t="str">
            <v>1119</v>
          </cell>
          <cell r="L4255" t="str">
            <v>WATERBASED</v>
          </cell>
          <cell r="M4255" t="str">
            <v>111902</v>
          </cell>
          <cell r="N4255" t="str">
            <v>WATERBASED SYSTEM INTERIOR</v>
          </cell>
        </row>
        <row r="4256">
          <cell r="C4256" t="str">
            <v>100005760</v>
          </cell>
          <cell r="D4256" t="str">
            <v>PRCC-20616 EPOXY SIZE CL-18KP</v>
          </cell>
          <cell r="E4256" t="str">
            <v>ZFGD</v>
          </cell>
          <cell r="F4256" t="str">
            <v>PC</v>
          </cell>
          <cell r="G4256" t="str">
            <v>1</v>
          </cell>
          <cell r="H4256" t="str">
            <v>INDUSTRY</v>
          </cell>
          <cell r="I4256" t="str">
            <v>12</v>
          </cell>
          <cell r="J4256" t="str">
            <v>CAN COATINGS</v>
          </cell>
          <cell r="K4256" t="str">
            <v>1201</v>
          </cell>
          <cell r="L4256" t="str">
            <v>CAN COATINGS</v>
          </cell>
          <cell r="M4256" t="str">
            <v>120101</v>
          </cell>
          <cell r="N4256" t="str">
            <v>CAN COATINGS</v>
          </cell>
        </row>
        <row r="4257">
          <cell r="C4257" t="str">
            <v>100005761</v>
          </cell>
          <cell r="D4257" t="str">
            <v>PUC-52239 GREY 10 AM VN-20KP</v>
          </cell>
          <cell r="E4257" t="str">
            <v>ZFGD</v>
          </cell>
          <cell r="F4257" t="str">
            <v>PC</v>
          </cell>
          <cell r="G4257" t="str">
            <v>1</v>
          </cell>
          <cell r="H4257" t="str">
            <v>INDUSTRY</v>
          </cell>
          <cell r="I4257" t="str">
            <v>11</v>
          </cell>
          <cell r="J4257" t="str">
            <v>WOOD COATINGS</v>
          </cell>
          <cell r="K4257" t="str">
            <v>1103</v>
          </cell>
          <cell r="L4257" t="str">
            <v>PU</v>
          </cell>
          <cell r="M4257" t="str">
            <v>110319</v>
          </cell>
          <cell r="N4257" t="str">
            <v>PU COLOR</v>
          </cell>
        </row>
        <row r="4258">
          <cell r="C4258" t="str">
            <v>100005762</v>
          </cell>
          <cell r="D4258" t="str">
            <v>WBH-69100 EX-1L</v>
          </cell>
          <cell r="E4258" t="str">
            <v>ZFGD</v>
          </cell>
          <cell r="F4258" t="str">
            <v>PC</v>
          </cell>
          <cell r="G4258" t="str">
            <v>1</v>
          </cell>
          <cell r="H4258" t="str">
            <v>INDUSTRY</v>
          </cell>
          <cell r="I4258" t="str">
            <v>11</v>
          </cell>
          <cell r="J4258" t="str">
            <v>WOOD COATINGS</v>
          </cell>
          <cell r="K4258" t="str">
            <v>1119</v>
          </cell>
          <cell r="L4258" t="str">
            <v>WATERBASED</v>
          </cell>
          <cell r="M4258" t="str">
            <v>111902</v>
          </cell>
          <cell r="N4258" t="str">
            <v>WATERBASED SYSTEM INTERIOR</v>
          </cell>
        </row>
        <row r="4259">
          <cell r="C4259" t="str">
            <v>100005763</v>
          </cell>
          <cell r="D4259" t="str">
            <v>PST-12201 BROWN SC VN-20LJ</v>
          </cell>
          <cell r="E4259" t="str">
            <v>ZFGD</v>
          </cell>
          <cell r="F4259" t="str">
            <v>PC</v>
          </cell>
          <cell r="G4259" t="str">
            <v>1</v>
          </cell>
          <cell r="H4259" t="str">
            <v>INDUSTRY</v>
          </cell>
          <cell r="I4259" t="str">
            <v>11</v>
          </cell>
          <cell r="J4259" t="str">
            <v>WOOD COATINGS</v>
          </cell>
          <cell r="K4259" t="str">
            <v>1101</v>
          </cell>
          <cell r="L4259" t="str">
            <v>ALKYD OIL</v>
          </cell>
          <cell r="M4259" t="str">
            <v>110102</v>
          </cell>
          <cell r="N4259" t="str">
            <v>STAIN EXTERIOR</v>
          </cell>
        </row>
        <row r="4260">
          <cell r="C4260" t="str">
            <v>100005764</v>
          </cell>
          <cell r="D4260" t="str">
            <v>PST-12201 BROWN SC VN-200LK</v>
          </cell>
          <cell r="E4260" t="str">
            <v>ZFGD</v>
          </cell>
          <cell r="F4260" t="str">
            <v>PC</v>
          </cell>
          <cell r="G4260" t="str">
            <v>1</v>
          </cell>
          <cell r="H4260" t="str">
            <v>INDUSTRY</v>
          </cell>
          <cell r="I4260" t="str">
            <v>11</v>
          </cell>
          <cell r="J4260" t="str">
            <v>WOOD COATINGS</v>
          </cell>
          <cell r="K4260" t="str">
            <v>1101</v>
          </cell>
          <cell r="L4260" t="str">
            <v>ALKYD OIL</v>
          </cell>
          <cell r="M4260" t="str">
            <v>110102</v>
          </cell>
          <cell r="N4260" t="str">
            <v>STAIN EXTERIOR</v>
          </cell>
        </row>
        <row r="4261">
          <cell r="C4261" t="str">
            <v>100005765</v>
          </cell>
          <cell r="D4261" t="str">
            <v>PST-12201 MUB SC VN-20LJ</v>
          </cell>
          <cell r="E4261" t="str">
            <v>ZFGD</v>
          </cell>
          <cell r="F4261" t="str">
            <v>PC</v>
          </cell>
          <cell r="G4261" t="str">
            <v>1</v>
          </cell>
          <cell r="H4261" t="str">
            <v>INDUSTRY</v>
          </cell>
          <cell r="I4261" t="str">
            <v>11</v>
          </cell>
          <cell r="J4261" t="str">
            <v>WOOD COATINGS</v>
          </cell>
          <cell r="K4261" t="str">
            <v>1101</v>
          </cell>
          <cell r="L4261" t="str">
            <v>ALKYD OIL</v>
          </cell>
          <cell r="M4261" t="str">
            <v>110102</v>
          </cell>
          <cell r="N4261" t="str">
            <v>STAIN EXTERIOR</v>
          </cell>
        </row>
        <row r="4262">
          <cell r="C4262" t="str">
            <v>100005766</v>
          </cell>
          <cell r="D4262" t="str">
            <v>PST-12201 MUB SC VN-200LK</v>
          </cell>
          <cell r="E4262" t="str">
            <v>ZFGD</v>
          </cell>
          <cell r="F4262" t="str">
            <v>PC</v>
          </cell>
          <cell r="G4262" t="str">
            <v>1</v>
          </cell>
          <cell r="H4262" t="str">
            <v>INDUSTRY</v>
          </cell>
          <cell r="I4262" t="str">
            <v>11</v>
          </cell>
          <cell r="J4262" t="str">
            <v>WOOD COATINGS</v>
          </cell>
          <cell r="K4262" t="str">
            <v>1101</v>
          </cell>
          <cell r="L4262" t="str">
            <v>ALKYD OIL</v>
          </cell>
          <cell r="M4262" t="str">
            <v>110102</v>
          </cell>
          <cell r="N4262" t="str">
            <v>STAIN EXTERIOR</v>
          </cell>
        </row>
        <row r="4263">
          <cell r="C4263" t="str">
            <v>100005767</v>
          </cell>
          <cell r="D4263" t="str">
            <v>PST-12201 DWA SC VN-20LJ</v>
          </cell>
          <cell r="E4263" t="str">
            <v>ZFGD</v>
          </cell>
          <cell r="F4263" t="str">
            <v>PC</v>
          </cell>
          <cell r="G4263" t="str">
            <v>1</v>
          </cell>
          <cell r="H4263" t="str">
            <v>INDUSTRY</v>
          </cell>
          <cell r="I4263" t="str">
            <v>11</v>
          </cell>
          <cell r="J4263" t="str">
            <v>WOOD COATINGS</v>
          </cell>
          <cell r="K4263" t="str">
            <v>1101</v>
          </cell>
          <cell r="L4263" t="str">
            <v>ALKYD OIL</v>
          </cell>
          <cell r="M4263" t="str">
            <v>110102</v>
          </cell>
          <cell r="N4263" t="str">
            <v>STAIN EXTERIOR</v>
          </cell>
        </row>
        <row r="4264">
          <cell r="C4264" t="str">
            <v>100005768</v>
          </cell>
          <cell r="D4264" t="str">
            <v>PST-12201 DWA SC VN-200LK</v>
          </cell>
          <cell r="E4264" t="str">
            <v>ZFGD</v>
          </cell>
          <cell r="F4264" t="str">
            <v>PC</v>
          </cell>
          <cell r="G4264" t="str">
            <v>1</v>
          </cell>
          <cell r="H4264" t="str">
            <v>INDUSTRY</v>
          </cell>
          <cell r="I4264" t="str">
            <v>11</v>
          </cell>
          <cell r="J4264" t="str">
            <v>WOOD COATINGS</v>
          </cell>
          <cell r="K4264" t="str">
            <v>1101</v>
          </cell>
          <cell r="L4264" t="str">
            <v>ALKYD OIL</v>
          </cell>
          <cell r="M4264" t="str">
            <v>110102</v>
          </cell>
          <cell r="N4264" t="str">
            <v>STAIN EXTERIOR</v>
          </cell>
        </row>
        <row r="4265">
          <cell r="C4265" t="str">
            <v>100005769</v>
          </cell>
          <cell r="D4265" t="str">
            <v>PRCC-20310 POLYESTER VARNISH MB VN-200KK</v>
          </cell>
          <cell r="E4265" t="str">
            <v>ZFGD</v>
          </cell>
          <cell r="F4265" t="str">
            <v>PC</v>
          </cell>
          <cell r="G4265" t="str">
            <v>1</v>
          </cell>
          <cell r="H4265" t="str">
            <v>INDUSTRY</v>
          </cell>
          <cell r="I4265" t="str">
            <v>12</v>
          </cell>
          <cell r="J4265" t="str">
            <v>CAN COATINGS</v>
          </cell>
          <cell r="K4265" t="str">
            <v>1201</v>
          </cell>
          <cell r="L4265" t="str">
            <v>CAN COATINGS</v>
          </cell>
          <cell r="M4265" t="str">
            <v>120101</v>
          </cell>
          <cell r="N4265" t="str">
            <v>CAN COATINGS</v>
          </cell>
        </row>
        <row r="4266">
          <cell r="C4266" t="str">
            <v>100005770</v>
          </cell>
          <cell r="D4266" t="str">
            <v>TOL-76301 N BROWN ARC MH VN-16KJ</v>
          </cell>
          <cell r="E4266" t="str">
            <v>ZFGD</v>
          </cell>
          <cell r="F4266" t="str">
            <v>PC</v>
          </cell>
          <cell r="G4266" t="str">
            <v>1</v>
          </cell>
          <cell r="H4266" t="str">
            <v>INDUSTRY</v>
          </cell>
          <cell r="I4266" t="str">
            <v>11</v>
          </cell>
          <cell r="J4266" t="str">
            <v>WOOD COATINGS</v>
          </cell>
          <cell r="K4266" t="str">
            <v>1101</v>
          </cell>
          <cell r="L4266" t="str">
            <v>ALKYD OIL</v>
          </cell>
          <cell r="M4266" t="str">
            <v>110101</v>
          </cell>
          <cell r="N4266" t="str">
            <v>ALKYD &amp; OIL SYSTEM</v>
          </cell>
        </row>
        <row r="4267">
          <cell r="C4267" t="str">
            <v>100005771</v>
          </cell>
          <cell r="D4267" t="str">
            <v>PUC-54205 AC NYU PT 01 30 GE VN-20KP</v>
          </cell>
          <cell r="E4267" t="str">
            <v>ZFGD</v>
          </cell>
          <cell r="F4267" t="str">
            <v>PC</v>
          </cell>
          <cell r="G4267" t="str">
            <v>1</v>
          </cell>
          <cell r="H4267" t="str">
            <v>INDUSTRY</v>
          </cell>
          <cell r="I4267" t="str">
            <v>11</v>
          </cell>
          <cell r="J4267" t="str">
            <v>WOOD COATINGS</v>
          </cell>
          <cell r="K4267" t="str">
            <v>1103</v>
          </cell>
          <cell r="L4267" t="str">
            <v>PU</v>
          </cell>
          <cell r="M4267" t="str">
            <v>110319</v>
          </cell>
          <cell r="N4267" t="str">
            <v>PU COLOR</v>
          </cell>
        </row>
        <row r="4268">
          <cell r="C4268" t="str">
            <v>100005772</v>
          </cell>
          <cell r="D4268" t="str">
            <v>THGZ-72200 AA VN-20LJ</v>
          </cell>
          <cell r="E4268" t="str">
            <v>ZFGD</v>
          </cell>
          <cell r="F4268" t="str">
            <v>PC</v>
          </cell>
          <cell r="G4268" t="str">
            <v>1</v>
          </cell>
          <cell r="H4268" t="str">
            <v>INDUSTRY</v>
          </cell>
          <cell r="I4268" t="str">
            <v>14</v>
          </cell>
          <cell r="J4268" t="str">
            <v>THINNER</v>
          </cell>
          <cell r="K4268" t="str">
            <v>1412</v>
          </cell>
          <cell r="L4268" t="str">
            <v>THINNER NC</v>
          </cell>
          <cell r="M4268" t="str">
            <v>141204</v>
          </cell>
          <cell r="N4268" t="str">
            <v>THINNER GLAZE</v>
          </cell>
        </row>
        <row r="4269">
          <cell r="C4269" t="str">
            <v>100005773</v>
          </cell>
          <cell r="D4269" t="str">
            <v>THGZ-72200 AA VN-200LK</v>
          </cell>
          <cell r="E4269" t="str">
            <v>ZFGD</v>
          </cell>
          <cell r="F4269" t="str">
            <v>PC</v>
          </cell>
          <cell r="G4269" t="str">
            <v>1</v>
          </cell>
          <cell r="H4269" t="str">
            <v>INDUSTRY</v>
          </cell>
          <cell r="I4269" t="str">
            <v>14</v>
          </cell>
          <cell r="J4269" t="str">
            <v>THINNER</v>
          </cell>
          <cell r="K4269" t="str">
            <v>1412</v>
          </cell>
          <cell r="L4269" t="str">
            <v>THINNER NC</v>
          </cell>
          <cell r="M4269" t="str">
            <v>141204</v>
          </cell>
          <cell r="N4269" t="str">
            <v>THINNER GLAZE</v>
          </cell>
        </row>
        <row r="4270">
          <cell r="C4270" t="str">
            <v>100005774</v>
          </cell>
          <cell r="D4270" t="str">
            <v>PUP-52133 BLACK TC VN-20KP</v>
          </cell>
          <cell r="E4270" t="str">
            <v>ZFGD</v>
          </cell>
          <cell r="F4270" t="str">
            <v>PC</v>
          </cell>
          <cell r="G4270" t="str">
            <v>1</v>
          </cell>
          <cell r="H4270" t="str">
            <v>INDUSTRY</v>
          </cell>
          <cell r="I4270" t="str">
            <v>11</v>
          </cell>
          <cell r="J4270" t="str">
            <v>WOOD COATINGS</v>
          </cell>
          <cell r="K4270" t="str">
            <v>1103</v>
          </cell>
          <cell r="L4270" t="str">
            <v>PU</v>
          </cell>
          <cell r="M4270" t="str">
            <v>110322</v>
          </cell>
          <cell r="N4270" t="str">
            <v>PU PRIMER</v>
          </cell>
        </row>
        <row r="4271">
          <cell r="C4271" t="str">
            <v>100005775</v>
          </cell>
          <cell r="D4271" t="str">
            <v>PUC-52233 BLACK 20 TC VN-20KP</v>
          </cell>
          <cell r="E4271" t="str">
            <v>ZFGD</v>
          </cell>
          <cell r="F4271" t="str">
            <v>PC</v>
          </cell>
          <cell r="G4271" t="str">
            <v>1</v>
          </cell>
          <cell r="H4271" t="str">
            <v>INDUSTRY</v>
          </cell>
          <cell r="I4271" t="str">
            <v>11</v>
          </cell>
          <cell r="J4271" t="str">
            <v>WOOD COATINGS</v>
          </cell>
          <cell r="K4271" t="str">
            <v>1103</v>
          </cell>
          <cell r="L4271" t="str">
            <v>PU</v>
          </cell>
          <cell r="M4271" t="str">
            <v>110319</v>
          </cell>
          <cell r="N4271" t="str">
            <v>PU COLOR</v>
          </cell>
        </row>
        <row r="4272">
          <cell r="C4272" t="str">
            <v>100005776</v>
          </cell>
          <cell r="D4272" t="str">
            <v>PUC-54206 AC EX GRN6005 90 BI VN-18KP</v>
          </cell>
          <cell r="E4272" t="str">
            <v>ZFGD</v>
          </cell>
          <cell r="F4272" t="str">
            <v>PC</v>
          </cell>
          <cell r="G4272" t="str">
            <v>1</v>
          </cell>
          <cell r="H4272" t="str">
            <v>INDUSTRY</v>
          </cell>
          <cell r="I4272" t="str">
            <v>11</v>
          </cell>
          <cell r="J4272" t="str">
            <v>WOOD COATINGS</v>
          </cell>
          <cell r="K4272" t="str">
            <v>1103</v>
          </cell>
          <cell r="L4272" t="str">
            <v>PU</v>
          </cell>
          <cell r="M4272" t="str">
            <v>110319</v>
          </cell>
          <cell r="N4272" t="str">
            <v>PU COLOR</v>
          </cell>
        </row>
        <row r="4273">
          <cell r="C4273" t="str">
            <v>100005777</v>
          </cell>
          <cell r="D4273" t="str">
            <v>PUC-54206 AC EX RED3005 90 BI VN-18KP</v>
          </cell>
          <cell r="E4273" t="str">
            <v>ZFGD</v>
          </cell>
          <cell r="F4273" t="str">
            <v>PC</v>
          </cell>
          <cell r="G4273" t="str">
            <v>1</v>
          </cell>
          <cell r="H4273" t="str">
            <v>INDUSTRY</v>
          </cell>
          <cell r="I4273" t="str">
            <v>11</v>
          </cell>
          <cell r="J4273" t="str">
            <v>WOOD COATINGS</v>
          </cell>
          <cell r="K4273" t="str">
            <v>1103</v>
          </cell>
          <cell r="L4273" t="str">
            <v>PU</v>
          </cell>
          <cell r="M4273" t="str">
            <v>110319</v>
          </cell>
          <cell r="N4273" t="str">
            <v>PU COLOR</v>
          </cell>
        </row>
        <row r="4274">
          <cell r="C4274" t="str">
            <v>100005778</v>
          </cell>
          <cell r="D4274" t="str">
            <v>PRCC-40233 GOLD LACQUER PK VN-180KK</v>
          </cell>
          <cell r="E4274" t="str">
            <v>ZFGD</v>
          </cell>
          <cell r="F4274" t="str">
            <v>PC</v>
          </cell>
          <cell r="G4274" t="str">
            <v>1</v>
          </cell>
          <cell r="H4274" t="str">
            <v>INDUSTRY</v>
          </cell>
          <cell r="I4274" t="str">
            <v>12</v>
          </cell>
          <cell r="J4274" t="str">
            <v>CAN COATINGS</v>
          </cell>
          <cell r="K4274" t="str">
            <v>1201</v>
          </cell>
          <cell r="L4274" t="str">
            <v>CAN COATINGS</v>
          </cell>
          <cell r="M4274" t="str">
            <v>120101</v>
          </cell>
          <cell r="N4274" t="str">
            <v>CAN COATINGS</v>
          </cell>
        </row>
        <row r="4275">
          <cell r="C4275" t="str">
            <v>100005779</v>
          </cell>
          <cell r="D4275" t="str">
            <v>PS-15100 BROWN MD2819 MAI VN-16KJ</v>
          </cell>
          <cell r="E4275" t="str">
            <v>ZFGD</v>
          </cell>
          <cell r="F4275" t="str">
            <v>PC</v>
          </cell>
          <cell r="G4275" t="str">
            <v>1</v>
          </cell>
          <cell r="H4275" t="str">
            <v>INDUSTRY</v>
          </cell>
          <cell r="I4275" t="str">
            <v>11</v>
          </cell>
          <cell r="J4275" t="str">
            <v>WOOD COATINGS</v>
          </cell>
          <cell r="K4275" t="str">
            <v>1109</v>
          </cell>
          <cell r="L4275" t="str">
            <v>STAIN &amp; GLAZE INTERIOR</v>
          </cell>
          <cell r="M4275" t="str">
            <v>110901</v>
          </cell>
          <cell r="N4275" t="str">
            <v>ASOF : STAIN &amp; GLAZE</v>
          </cell>
        </row>
        <row r="4276">
          <cell r="C4276" t="str">
            <v>100005780</v>
          </cell>
          <cell r="D4276" t="str">
            <v>WBC-62202 VANG MO 19 05 MAI VN-20KP</v>
          </cell>
          <cell r="E4276" t="str">
            <v>ZFGD</v>
          </cell>
          <cell r="F4276" t="str">
            <v>PC</v>
          </cell>
          <cell r="G4276" t="str">
            <v>1</v>
          </cell>
          <cell r="H4276" t="str">
            <v>INDUSTRY</v>
          </cell>
          <cell r="I4276" t="str">
            <v>11</v>
          </cell>
          <cell r="J4276" t="str">
            <v>WOOD COATINGS</v>
          </cell>
          <cell r="K4276" t="str">
            <v>1119</v>
          </cell>
          <cell r="L4276" t="str">
            <v>WATERBASED</v>
          </cell>
          <cell r="M4276" t="str">
            <v>111902</v>
          </cell>
          <cell r="N4276" t="str">
            <v>WATERBASED SYSTEM INTERIOR</v>
          </cell>
        </row>
        <row r="4277">
          <cell r="C4277" t="str">
            <v>100005781</v>
          </cell>
          <cell r="D4277" t="str">
            <v>PCL-31300 BROWN 07 THH VN-16KJ</v>
          </cell>
          <cell r="E4277" t="str">
            <v>ZFGD</v>
          </cell>
          <cell r="F4277" t="str">
            <v>PC</v>
          </cell>
          <cell r="G4277" t="str">
            <v>1</v>
          </cell>
          <cell r="H4277" t="str">
            <v>INDUSTRY</v>
          </cell>
          <cell r="I4277" t="str">
            <v>11</v>
          </cell>
          <cell r="J4277" t="str">
            <v>WOOD COATINGS</v>
          </cell>
          <cell r="K4277" t="str">
            <v>1118</v>
          </cell>
          <cell r="L4277" t="str">
            <v>COMPLEMENTARY</v>
          </cell>
          <cell r="M4277" t="str">
            <v>111807</v>
          </cell>
          <cell r="N4277" t="str">
            <v>PASTA</v>
          </cell>
        </row>
        <row r="4278">
          <cell r="C4278" t="str">
            <v>100005782</v>
          </cell>
          <cell r="D4278" t="str">
            <v>MEP-12003 GREY 345 TKST VN-18KP</v>
          </cell>
          <cell r="E4278" t="str">
            <v>ZFGD</v>
          </cell>
          <cell r="F4278" t="str">
            <v>PC</v>
          </cell>
          <cell r="G4278" t="str">
            <v>1</v>
          </cell>
          <cell r="H4278" t="str">
            <v>INDUSTRY</v>
          </cell>
          <cell r="I4278" t="str">
            <v>16</v>
          </cell>
          <cell r="J4278" t="str">
            <v>METAL COATINGS</v>
          </cell>
          <cell r="K4278" t="str">
            <v>1601</v>
          </cell>
          <cell r="L4278" t="str">
            <v>METAL COATINGS</v>
          </cell>
          <cell r="M4278" t="str">
            <v>160101</v>
          </cell>
          <cell r="N4278" t="str">
            <v>METAL COATINGS</v>
          </cell>
        </row>
        <row r="4279">
          <cell r="C4279" t="str">
            <v>100005783</v>
          </cell>
          <cell r="D4279" t="str">
            <v>MEP-12003 RED 269 TKST VN-18KP</v>
          </cell>
          <cell r="E4279" t="str">
            <v>ZFGD</v>
          </cell>
          <cell r="F4279" t="str">
            <v>PC</v>
          </cell>
          <cell r="G4279" t="str">
            <v>1</v>
          </cell>
          <cell r="H4279" t="str">
            <v>INDUSTRY</v>
          </cell>
          <cell r="I4279" t="str">
            <v>16</v>
          </cell>
          <cell r="J4279" t="str">
            <v>METAL COATINGS</v>
          </cell>
          <cell r="K4279" t="str">
            <v>1601</v>
          </cell>
          <cell r="L4279" t="str">
            <v>METAL COATINGS</v>
          </cell>
          <cell r="M4279" t="str">
            <v>160101</v>
          </cell>
          <cell r="N4279" t="str">
            <v>METAL COATINGS</v>
          </cell>
        </row>
        <row r="4280">
          <cell r="C4280" t="str">
            <v>100005784</v>
          </cell>
          <cell r="D4280" t="str">
            <v>PUC-54206 AC EX BLUE7602 30 TL VN-18KP</v>
          </cell>
          <cell r="E4280" t="str">
            <v>ZFGD</v>
          </cell>
          <cell r="F4280" t="str">
            <v>PC</v>
          </cell>
          <cell r="G4280" t="str">
            <v>1</v>
          </cell>
          <cell r="H4280" t="str">
            <v>INDUSTRY</v>
          </cell>
          <cell r="I4280" t="str">
            <v>11</v>
          </cell>
          <cell r="J4280" t="str">
            <v>WOOD COATINGS</v>
          </cell>
          <cell r="K4280" t="str">
            <v>1103</v>
          </cell>
          <cell r="L4280" t="str">
            <v>PU</v>
          </cell>
          <cell r="M4280" t="str">
            <v>110319</v>
          </cell>
          <cell r="N4280" t="str">
            <v>PU COLOR</v>
          </cell>
        </row>
        <row r="4281">
          <cell r="C4281" t="str">
            <v>100005785</v>
          </cell>
          <cell r="D4281" t="str">
            <v>PCL-31300 VIOLET PASTE AF VN-4K</v>
          </cell>
          <cell r="E4281" t="str">
            <v>ZFGD</v>
          </cell>
          <cell r="F4281" t="str">
            <v>PC</v>
          </cell>
          <cell r="G4281" t="str">
            <v>1</v>
          </cell>
          <cell r="H4281" t="str">
            <v>INDUSTRY</v>
          </cell>
          <cell r="I4281" t="str">
            <v>11</v>
          </cell>
          <cell r="J4281" t="str">
            <v>WOOD COATINGS</v>
          </cell>
          <cell r="K4281" t="str">
            <v>1118</v>
          </cell>
          <cell r="L4281" t="str">
            <v>COMPLEMENTARY</v>
          </cell>
          <cell r="M4281" t="str">
            <v>111807</v>
          </cell>
          <cell r="N4281" t="str">
            <v>PASTA</v>
          </cell>
        </row>
        <row r="4282">
          <cell r="C4282" t="str">
            <v>100005786</v>
          </cell>
          <cell r="D4282" t="str">
            <v>SST-11100 AW19 RW 01 KD VN-16KJ</v>
          </cell>
          <cell r="E4282" t="str">
            <v>ZFGD</v>
          </cell>
          <cell r="F4282" t="str">
            <v>PC</v>
          </cell>
          <cell r="G4282" t="str">
            <v>1</v>
          </cell>
          <cell r="H4282" t="str">
            <v>INDUSTRY</v>
          </cell>
          <cell r="I4282" t="str">
            <v>11</v>
          </cell>
          <cell r="J4282" t="str">
            <v>WOOD COATINGS</v>
          </cell>
          <cell r="K4282" t="str">
            <v>1109</v>
          </cell>
          <cell r="L4282" t="str">
            <v>STAIN &amp; GLAZE INTERIOR</v>
          </cell>
          <cell r="M4282" t="str">
            <v>110903</v>
          </cell>
          <cell r="N4282" t="str">
            <v>STAIN INTERIOR</v>
          </cell>
        </row>
        <row r="4283">
          <cell r="C4283" t="str">
            <v>100005787</v>
          </cell>
          <cell r="D4283" t="str">
            <v>SST-11100 AW19 RW 01 KD VN-160KK</v>
          </cell>
          <cell r="E4283" t="str">
            <v>ZFGD</v>
          </cell>
          <cell r="F4283" t="str">
            <v>PC</v>
          </cell>
          <cell r="G4283" t="str">
            <v>1</v>
          </cell>
          <cell r="H4283" t="str">
            <v>INDUSTRY</v>
          </cell>
          <cell r="I4283" t="str">
            <v>11</v>
          </cell>
          <cell r="J4283" t="str">
            <v>WOOD COATINGS</v>
          </cell>
          <cell r="K4283" t="str">
            <v>1109</v>
          </cell>
          <cell r="L4283" t="str">
            <v>STAIN &amp; GLAZE INTERIOR</v>
          </cell>
          <cell r="M4283" t="str">
            <v>110903</v>
          </cell>
          <cell r="N4283" t="str">
            <v>STAIN INTERIOR</v>
          </cell>
        </row>
        <row r="4284">
          <cell r="C4284" t="str">
            <v>100005788</v>
          </cell>
          <cell r="D4284" t="str">
            <v>SST-11100 AW19 RW 02 KD VN-16KJ</v>
          </cell>
          <cell r="E4284" t="str">
            <v>ZFGD</v>
          </cell>
          <cell r="F4284" t="str">
            <v>PC</v>
          </cell>
          <cell r="G4284" t="str">
            <v>1</v>
          </cell>
          <cell r="H4284" t="str">
            <v>INDUSTRY</v>
          </cell>
          <cell r="I4284" t="str">
            <v>11</v>
          </cell>
          <cell r="J4284" t="str">
            <v>WOOD COATINGS</v>
          </cell>
          <cell r="K4284" t="str">
            <v>1109</v>
          </cell>
          <cell r="L4284" t="str">
            <v>STAIN &amp; GLAZE INTERIOR</v>
          </cell>
          <cell r="M4284" t="str">
            <v>110903</v>
          </cell>
          <cell r="N4284" t="str">
            <v>STAIN INTERIOR</v>
          </cell>
        </row>
        <row r="4285">
          <cell r="C4285" t="str">
            <v>100005789</v>
          </cell>
          <cell r="D4285" t="str">
            <v>SST-11100 AW19 RW 02 KD VN-160KK</v>
          </cell>
          <cell r="E4285" t="str">
            <v>ZFGD</v>
          </cell>
          <cell r="F4285" t="str">
            <v>PC</v>
          </cell>
          <cell r="G4285" t="str">
            <v>1</v>
          </cell>
          <cell r="H4285" t="str">
            <v>INDUSTRY</v>
          </cell>
          <cell r="I4285" t="str">
            <v>11</v>
          </cell>
          <cell r="J4285" t="str">
            <v>WOOD COATINGS</v>
          </cell>
          <cell r="K4285" t="str">
            <v>1109</v>
          </cell>
          <cell r="L4285" t="str">
            <v>STAIN &amp; GLAZE INTERIOR</v>
          </cell>
          <cell r="M4285" t="str">
            <v>110903</v>
          </cell>
          <cell r="N4285" t="str">
            <v>STAIN INTERIOR</v>
          </cell>
        </row>
        <row r="4286">
          <cell r="C4286" t="str">
            <v>100005790</v>
          </cell>
          <cell r="D4286" t="str">
            <v>SST-11100 AW19 RW 03 KD VN-16KJ</v>
          </cell>
          <cell r="E4286" t="str">
            <v>ZFGD</v>
          </cell>
          <cell r="F4286" t="str">
            <v>PC</v>
          </cell>
          <cell r="G4286" t="str">
            <v>1</v>
          </cell>
          <cell r="H4286" t="str">
            <v>INDUSTRY</v>
          </cell>
          <cell r="I4286" t="str">
            <v>11</v>
          </cell>
          <cell r="J4286" t="str">
            <v>WOOD COATINGS</v>
          </cell>
          <cell r="K4286" t="str">
            <v>1109</v>
          </cell>
          <cell r="L4286" t="str">
            <v>STAIN &amp; GLAZE INTERIOR</v>
          </cell>
          <cell r="M4286" t="str">
            <v>110903</v>
          </cell>
          <cell r="N4286" t="str">
            <v>STAIN INTERIOR</v>
          </cell>
        </row>
        <row r="4287">
          <cell r="C4287" t="str">
            <v>100005791</v>
          </cell>
          <cell r="D4287" t="str">
            <v>SST-11100 AW19 RW 03 KD VN-160KK</v>
          </cell>
          <cell r="E4287" t="str">
            <v>ZFGD</v>
          </cell>
          <cell r="F4287" t="str">
            <v>PC</v>
          </cell>
          <cell r="G4287" t="str">
            <v>1</v>
          </cell>
          <cell r="H4287" t="str">
            <v>INDUSTRY</v>
          </cell>
          <cell r="I4287" t="str">
            <v>11</v>
          </cell>
          <cell r="J4287" t="str">
            <v>WOOD COATINGS</v>
          </cell>
          <cell r="K4287" t="str">
            <v>1109</v>
          </cell>
          <cell r="L4287" t="str">
            <v>STAIN &amp; GLAZE INTERIOR</v>
          </cell>
          <cell r="M4287" t="str">
            <v>110903</v>
          </cell>
          <cell r="N4287" t="str">
            <v>STAIN INTERIOR</v>
          </cell>
        </row>
        <row r="4288">
          <cell r="C4288" t="str">
            <v>100005792</v>
          </cell>
          <cell r="D4288" t="str">
            <v>SST-11100 359 BGT 01 KD VN-16KJ</v>
          </cell>
          <cell r="E4288" t="str">
            <v>ZFGD</v>
          </cell>
          <cell r="F4288" t="str">
            <v>PC</v>
          </cell>
          <cell r="G4288" t="str">
            <v>1</v>
          </cell>
          <cell r="H4288" t="str">
            <v>INDUSTRY</v>
          </cell>
          <cell r="I4288" t="str">
            <v>11</v>
          </cell>
          <cell r="J4288" t="str">
            <v>WOOD COATINGS</v>
          </cell>
          <cell r="K4288" t="str">
            <v>1109</v>
          </cell>
          <cell r="L4288" t="str">
            <v>STAIN &amp; GLAZE INTERIOR</v>
          </cell>
          <cell r="M4288" t="str">
            <v>110903</v>
          </cell>
          <cell r="N4288" t="str">
            <v>STAIN INTERIOR</v>
          </cell>
        </row>
        <row r="4289">
          <cell r="C4289" t="str">
            <v>100005793</v>
          </cell>
          <cell r="D4289" t="str">
            <v>SST-11100 359 BGT 01 KD VN-160KK</v>
          </cell>
          <cell r="E4289" t="str">
            <v>ZFGD</v>
          </cell>
          <cell r="F4289" t="str">
            <v>PC</v>
          </cell>
          <cell r="G4289" t="str">
            <v>1</v>
          </cell>
          <cell r="H4289" t="str">
            <v>INDUSTRY</v>
          </cell>
          <cell r="I4289" t="str">
            <v>11</v>
          </cell>
          <cell r="J4289" t="str">
            <v>WOOD COATINGS</v>
          </cell>
          <cell r="K4289" t="str">
            <v>1109</v>
          </cell>
          <cell r="L4289" t="str">
            <v>STAIN &amp; GLAZE INTERIOR</v>
          </cell>
          <cell r="M4289" t="str">
            <v>110903</v>
          </cell>
          <cell r="N4289" t="str">
            <v>STAIN INTERIOR</v>
          </cell>
        </row>
        <row r="4290">
          <cell r="C4290" t="str">
            <v>100005794</v>
          </cell>
          <cell r="D4290" t="str">
            <v>SST-11100 359 BGT 02 KD VN-16KJ</v>
          </cell>
          <cell r="E4290" t="str">
            <v>ZFGD</v>
          </cell>
          <cell r="F4290" t="str">
            <v>PC</v>
          </cell>
          <cell r="G4290" t="str">
            <v>1</v>
          </cell>
          <cell r="H4290" t="str">
            <v>INDUSTRY</v>
          </cell>
          <cell r="I4290" t="str">
            <v>11</v>
          </cell>
          <cell r="J4290" t="str">
            <v>WOOD COATINGS</v>
          </cell>
          <cell r="K4290" t="str">
            <v>1109</v>
          </cell>
          <cell r="L4290" t="str">
            <v>STAIN &amp; GLAZE INTERIOR</v>
          </cell>
          <cell r="M4290" t="str">
            <v>110903</v>
          </cell>
          <cell r="N4290" t="str">
            <v>STAIN INTERIOR</v>
          </cell>
        </row>
        <row r="4291">
          <cell r="C4291" t="str">
            <v>100005795</v>
          </cell>
          <cell r="D4291" t="str">
            <v>SST-11100 359 BGT 02 KD VN-160KK</v>
          </cell>
          <cell r="E4291" t="str">
            <v>ZFGD</v>
          </cell>
          <cell r="F4291" t="str">
            <v>PC</v>
          </cell>
          <cell r="G4291" t="str">
            <v>1</v>
          </cell>
          <cell r="H4291" t="str">
            <v>INDUSTRY</v>
          </cell>
          <cell r="I4291" t="str">
            <v>11</v>
          </cell>
          <cell r="J4291" t="str">
            <v>WOOD COATINGS</v>
          </cell>
          <cell r="K4291" t="str">
            <v>1109</v>
          </cell>
          <cell r="L4291" t="str">
            <v>STAIN &amp; GLAZE INTERIOR</v>
          </cell>
          <cell r="M4291" t="str">
            <v>110903</v>
          </cell>
          <cell r="N4291" t="str">
            <v>STAIN INTERIOR</v>
          </cell>
        </row>
        <row r="4292">
          <cell r="C4292" t="str">
            <v>100005796</v>
          </cell>
          <cell r="D4292" t="str">
            <v>PP-98100 PEARL G24 VN-1K</v>
          </cell>
          <cell r="E4292" t="str">
            <v>ZFGD</v>
          </cell>
          <cell r="F4292" t="str">
            <v>PC</v>
          </cell>
          <cell r="G4292" t="str">
            <v>1</v>
          </cell>
          <cell r="H4292" t="str">
            <v>INDUSTRY</v>
          </cell>
          <cell r="I4292" t="str">
            <v>11</v>
          </cell>
          <cell r="J4292" t="str">
            <v>WOOD COATINGS</v>
          </cell>
          <cell r="K4292" t="str">
            <v>1118</v>
          </cell>
          <cell r="L4292" t="str">
            <v>COMPLEMENTARY</v>
          </cell>
          <cell r="M4292" t="str">
            <v>111802</v>
          </cell>
          <cell r="N4292" t="str">
            <v>ASOF : POWDER &amp; MATTING SOLUTION</v>
          </cell>
        </row>
        <row r="4293">
          <cell r="C4293" t="str">
            <v>100005797</v>
          </cell>
          <cell r="D4293" t="str">
            <v>PUC-54205 AC XAM 15752 10 AT VN-20KP</v>
          </cell>
          <cell r="E4293" t="str">
            <v>ZFGD</v>
          </cell>
          <cell r="F4293" t="str">
            <v>PC</v>
          </cell>
          <cell r="G4293" t="str">
            <v>1</v>
          </cell>
          <cell r="H4293" t="str">
            <v>INDUSTRY</v>
          </cell>
          <cell r="I4293" t="str">
            <v>11</v>
          </cell>
          <cell r="J4293" t="str">
            <v>WOOD COATINGS</v>
          </cell>
          <cell r="K4293" t="str">
            <v>1103</v>
          </cell>
          <cell r="L4293" t="str">
            <v>PU</v>
          </cell>
          <cell r="M4293" t="str">
            <v>110319</v>
          </cell>
          <cell r="N4293" t="str">
            <v>PU COLOR</v>
          </cell>
        </row>
        <row r="4294">
          <cell r="C4294" t="str">
            <v>100005798</v>
          </cell>
          <cell r="D4294" t="str">
            <v>WBL-61202 CLEAR 50 VN-20KP</v>
          </cell>
          <cell r="E4294" t="str">
            <v>ZFGD</v>
          </cell>
          <cell r="F4294" t="str">
            <v>PC</v>
          </cell>
          <cell r="G4294" t="str">
            <v>1</v>
          </cell>
          <cell r="H4294" t="str">
            <v>INDUSTRY</v>
          </cell>
          <cell r="I4294" t="str">
            <v>11</v>
          </cell>
          <cell r="J4294" t="str">
            <v>WOOD COATINGS</v>
          </cell>
          <cell r="K4294" t="str">
            <v>1119</v>
          </cell>
          <cell r="L4294" t="str">
            <v>WATERBASED</v>
          </cell>
          <cell r="M4294" t="str">
            <v>111902</v>
          </cell>
          <cell r="N4294" t="str">
            <v>WATERBASED SYSTEM INTERIOR</v>
          </cell>
        </row>
        <row r="4295">
          <cell r="C4295" t="str">
            <v>100005799</v>
          </cell>
          <cell r="D4295" t="str">
            <v>NCL-11329 SUPERMATT VN-18KP</v>
          </cell>
          <cell r="E4295" t="str">
            <v>ZFGD</v>
          </cell>
          <cell r="F4295" t="str">
            <v>PC</v>
          </cell>
          <cell r="G4295" t="str">
            <v>1</v>
          </cell>
          <cell r="H4295" t="str">
            <v>INDUSTRY</v>
          </cell>
          <cell r="I4295" t="str">
            <v>11</v>
          </cell>
          <cell r="J4295" t="str">
            <v>WOOD COATINGS</v>
          </cell>
          <cell r="K4295" t="str">
            <v>1104</v>
          </cell>
          <cell r="L4295" t="str">
            <v>NC</v>
          </cell>
          <cell r="M4295" t="str">
            <v>110405</v>
          </cell>
          <cell r="N4295" t="str">
            <v>NC SYSTEM</v>
          </cell>
        </row>
        <row r="4296">
          <cell r="C4296" t="str">
            <v>100005800</v>
          </cell>
          <cell r="D4296" t="str">
            <v>PUP-1521-2114AK-20KP</v>
          </cell>
          <cell r="E4296" t="str">
            <v>ZFGD</v>
          </cell>
          <cell r="F4296" t="str">
            <v>PC</v>
          </cell>
          <cell r="G4296" t="str">
            <v>1</v>
          </cell>
          <cell r="H4296" t="str">
            <v>INDUSTRY</v>
          </cell>
          <cell r="I4296" t="str">
            <v>11</v>
          </cell>
          <cell r="J4296" t="str">
            <v>WOOD COATINGS</v>
          </cell>
          <cell r="K4296" t="str">
            <v>1103</v>
          </cell>
          <cell r="L4296" t="str">
            <v>PU</v>
          </cell>
          <cell r="M4296" t="str">
            <v>110322</v>
          </cell>
          <cell r="N4296" t="str">
            <v>PU PRIMER</v>
          </cell>
        </row>
        <row r="4297">
          <cell r="C4297" t="str">
            <v>100005801</v>
          </cell>
          <cell r="D4297" t="str">
            <v>PUP-1521-2114AK-200KB</v>
          </cell>
          <cell r="E4297" t="str">
            <v>ZFGD</v>
          </cell>
          <cell r="F4297" t="str">
            <v>PC</v>
          </cell>
          <cell r="G4297" t="str">
            <v>1</v>
          </cell>
          <cell r="H4297" t="str">
            <v>INDUSTRY</v>
          </cell>
          <cell r="I4297" t="str">
            <v>11</v>
          </cell>
          <cell r="J4297" t="str">
            <v>WOOD COATINGS</v>
          </cell>
          <cell r="K4297" t="str">
            <v>1103</v>
          </cell>
          <cell r="L4297" t="str">
            <v>PU</v>
          </cell>
          <cell r="M4297" t="str">
            <v>110322</v>
          </cell>
          <cell r="N4297" t="str">
            <v>PU PRIMER</v>
          </cell>
        </row>
        <row r="4298">
          <cell r="C4298" t="str">
            <v>100005802</v>
          </cell>
          <cell r="D4298" t="str">
            <v>PUL-51335-90-AK-20KP</v>
          </cell>
          <cell r="E4298" t="str">
            <v>ZFGD</v>
          </cell>
          <cell r="F4298" t="str">
            <v>PC</v>
          </cell>
          <cell r="G4298" t="str">
            <v>1</v>
          </cell>
          <cell r="H4298" t="str">
            <v>INDUSTRY</v>
          </cell>
          <cell r="I4298" t="str">
            <v>11</v>
          </cell>
          <cell r="J4298" t="str">
            <v>WOOD COATINGS</v>
          </cell>
          <cell r="K4298" t="str">
            <v>1103</v>
          </cell>
          <cell r="L4298" t="str">
            <v>PU</v>
          </cell>
          <cell r="M4298" t="str">
            <v>110321</v>
          </cell>
          <cell r="N4298" t="str">
            <v>PU LACQUER</v>
          </cell>
        </row>
        <row r="4299">
          <cell r="C4299" t="str">
            <v>100005803</v>
          </cell>
          <cell r="D4299" t="str">
            <v>PUH-1561-35-AK-20KP</v>
          </cell>
          <cell r="E4299" t="str">
            <v>ZFGD</v>
          </cell>
          <cell r="F4299" t="str">
            <v>PC</v>
          </cell>
          <cell r="G4299" t="str">
            <v>1</v>
          </cell>
          <cell r="H4299" t="str">
            <v>INDUSTRY</v>
          </cell>
          <cell r="I4299" t="str">
            <v>11</v>
          </cell>
          <cell r="J4299" t="str">
            <v>WOOD COATINGS</v>
          </cell>
          <cell r="K4299" t="str">
            <v>1103</v>
          </cell>
          <cell r="L4299" t="str">
            <v>PU</v>
          </cell>
          <cell r="M4299" t="str">
            <v>110320</v>
          </cell>
          <cell r="N4299" t="str">
            <v>PU HARDENER</v>
          </cell>
        </row>
        <row r="4300">
          <cell r="C4300" t="str">
            <v>100005804</v>
          </cell>
          <cell r="D4300" t="str">
            <v>EQ-10200 BLACK 02 TH VN-16KJ</v>
          </cell>
          <cell r="E4300" t="str">
            <v>ZFGD</v>
          </cell>
          <cell r="F4300" t="str">
            <v>PC</v>
          </cell>
          <cell r="G4300" t="str">
            <v>1</v>
          </cell>
          <cell r="H4300" t="str">
            <v>INDUSTRY</v>
          </cell>
          <cell r="I4300" t="str">
            <v>11</v>
          </cell>
          <cell r="J4300" t="str">
            <v>WOOD COATINGS</v>
          </cell>
          <cell r="K4300" t="str">
            <v>1109</v>
          </cell>
          <cell r="L4300" t="str">
            <v>STAIN &amp; GLAZE INTERIOR</v>
          </cell>
          <cell r="M4300" t="str">
            <v>110901</v>
          </cell>
          <cell r="N4300" t="str">
            <v>ASOF : STAIN &amp; GLAZE</v>
          </cell>
        </row>
        <row r="4301">
          <cell r="C4301" t="str">
            <v>100005805</v>
          </cell>
          <cell r="D4301" t="str">
            <v>EQ-10200 BROWN 03 TH VN-16KJ</v>
          </cell>
          <cell r="E4301" t="str">
            <v>ZFGD</v>
          </cell>
          <cell r="F4301" t="str">
            <v>PC</v>
          </cell>
          <cell r="G4301" t="str">
            <v>1</v>
          </cell>
          <cell r="H4301" t="str">
            <v>INDUSTRY</v>
          </cell>
          <cell r="I4301" t="str">
            <v>11</v>
          </cell>
          <cell r="J4301" t="str">
            <v>WOOD COATINGS</v>
          </cell>
          <cell r="K4301" t="str">
            <v>1109</v>
          </cell>
          <cell r="L4301" t="str">
            <v>STAIN &amp; GLAZE INTERIOR</v>
          </cell>
          <cell r="M4301" t="str">
            <v>110901</v>
          </cell>
          <cell r="N4301" t="str">
            <v>ASOF : STAIN &amp; GLAZE</v>
          </cell>
        </row>
        <row r="4302">
          <cell r="C4302" t="str">
            <v>100005806</v>
          </cell>
          <cell r="D4302" t="str">
            <v>PRCC-40102 HV CLEAR LACQUER CL VN-200KK</v>
          </cell>
          <cell r="E4302" t="str">
            <v>ZFGD</v>
          </cell>
          <cell r="F4302" t="str">
            <v>PC</v>
          </cell>
          <cell r="G4302" t="str">
            <v>1</v>
          </cell>
          <cell r="H4302" t="str">
            <v>INDUSTRY</v>
          </cell>
          <cell r="I4302" t="str">
            <v>12</v>
          </cell>
          <cell r="J4302" t="str">
            <v>CAN COATINGS</v>
          </cell>
          <cell r="K4302" t="str">
            <v>1201</v>
          </cell>
          <cell r="L4302" t="str">
            <v>CAN COATINGS</v>
          </cell>
          <cell r="M4302" t="str">
            <v>120101</v>
          </cell>
          <cell r="N4302" t="str">
            <v>CAN COATINGS</v>
          </cell>
        </row>
        <row r="4303">
          <cell r="C4303" t="str">
            <v>100005807</v>
          </cell>
          <cell r="D4303" t="str">
            <v>PCL-31300 NAU WALNUT MK VN-16KJ</v>
          </cell>
          <cell r="E4303" t="str">
            <v>ZFGD</v>
          </cell>
          <cell r="F4303" t="str">
            <v>PC</v>
          </cell>
          <cell r="G4303" t="str">
            <v>1</v>
          </cell>
          <cell r="H4303" t="str">
            <v>INDUSTRY</v>
          </cell>
          <cell r="I4303" t="str">
            <v>11</v>
          </cell>
          <cell r="J4303" t="str">
            <v>WOOD COATINGS</v>
          </cell>
          <cell r="K4303" t="str">
            <v>1118</v>
          </cell>
          <cell r="L4303" t="str">
            <v>COMPLEMENTARY</v>
          </cell>
          <cell r="M4303" t="str">
            <v>111807</v>
          </cell>
          <cell r="N4303" t="str">
            <v>PASTA</v>
          </cell>
        </row>
        <row r="4304">
          <cell r="C4304" t="str">
            <v>100005808</v>
          </cell>
          <cell r="D4304" t="str">
            <v>UVL-50101 CLEAR 10 KN VN-20KP</v>
          </cell>
          <cell r="E4304" t="str">
            <v>ZFGD</v>
          </cell>
          <cell r="F4304" t="str">
            <v>PC</v>
          </cell>
          <cell r="G4304" t="str">
            <v>1</v>
          </cell>
          <cell r="H4304" t="str">
            <v>INDUSTRY</v>
          </cell>
          <cell r="I4304" t="str">
            <v>11</v>
          </cell>
          <cell r="J4304" t="str">
            <v>WOOD COATINGS</v>
          </cell>
          <cell r="K4304" t="str">
            <v>1106</v>
          </cell>
          <cell r="L4304" t="str">
            <v>UV</v>
          </cell>
          <cell r="M4304" t="str">
            <v>110607</v>
          </cell>
          <cell r="N4304" t="str">
            <v>UV TOP COAT CLEAR</v>
          </cell>
        </row>
        <row r="4305">
          <cell r="C4305" t="str">
            <v>100005814</v>
          </cell>
          <cell r="D4305" t="str">
            <v>PST-12100 C10 YELLOW VN-4K</v>
          </cell>
          <cell r="E4305" t="str">
            <v>ZFGD</v>
          </cell>
          <cell r="F4305" t="str">
            <v>PC</v>
          </cell>
          <cell r="G4305" t="str">
            <v>1</v>
          </cell>
          <cell r="H4305" t="str">
            <v>INDUSTRY</v>
          </cell>
          <cell r="I4305" t="str">
            <v>11</v>
          </cell>
          <cell r="J4305" t="str">
            <v>WOOD COATINGS</v>
          </cell>
          <cell r="K4305" t="str">
            <v>1109</v>
          </cell>
          <cell r="L4305" t="str">
            <v>STAIN &amp; GLAZE INTERIOR</v>
          </cell>
          <cell r="M4305" t="str">
            <v>110903</v>
          </cell>
          <cell r="N4305" t="str">
            <v>STAIN INTERIOR</v>
          </cell>
        </row>
        <row r="4306">
          <cell r="C4306" t="str">
            <v>100005815</v>
          </cell>
          <cell r="D4306" t="str">
            <v>DC-12223 LC WHITE DOVE 30 K1 VN-18KP</v>
          </cell>
          <cell r="E4306" t="str">
            <v>ZFGD</v>
          </cell>
          <cell r="F4306" t="str">
            <v>PC</v>
          </cell>
          <cell r="G4306" t="str">
            <v>1</v>
          </cell>
          <cell r="H4306" t="str">
            <v>INDUSTRY</v>
          </cell>
          <cell r="I4306" t="str">
            <v>11</v>
          </cell>
          <cell r="J4306" t="str">
            <v>WOOD COATINGS</v>
          </cell>
          <cell r="K4306" t="str">
            <v>1104</v>
          </cell>
          <cell r="L4306" t="str">
            <v>NC</v>
          </cell>
          <cell r="M4306" t="str">
            <v>110405</v>
          </cell>
          <cell r="N4306" t="str">
            <v>NC SYSTEM</v>
          </cell>
        </row>
        <row r="4307">
          <cell r="C4307" t="str">
            <v>100005816</v>
          </cell>
          <cell r="D4307" t="str">
            <v>DC-12207 WHITE DOVE 30 K1 VN-18KP</v>
          </cell>
          <cell r="E4307" t="str">
            <v>ZFGD</v>
          </cell>
          <cell r="F4307" t="str">
            <v>PC</v>
          </cell>
          <cell r="G4307" t="str">
            <v>1</v>
          </cell>
          <cell r="H4307" t="str">
            <v>INDUSTRY</v>
          </cell>
          <cell r="I4307" t="str">
            <v>11</v>
          </cell>
          <cell r="J4307" t="str">
            <v>WOOD COATINGS</v>
          </cell>
          <cell r="K4307" t="str">
            <v>1104</v>
          </cell>
          <cell r="L4307" t="str">
            <v>NC</v>
          </cell>
          <cell r="M4307" t="str">
            <v>110405</v>
          </cell>
          <cell r="N4307" t="str">
            <v>NC SYSTEM</v>
          </cell>
        </row>
        <row r="4308">
          <cell r="C4308" t="str">
            <v>100005817</v>
          </cell>
          <cell r="D4308" t="str">
            <v>PUC-52239 TRANG DIAMOND 50 IP VN-20KP</v>
          </cell>
          <cell r="E4308" t="str">
            <v>ZFGD</v>
          </cell>
          <cell r="F4308" t="str">
            <v>PC</v>
          </cell>
          <cell r="G4308" t="str">
            <v>1</v>
          </cell>
          <cell r="H4308" t="str">
            <v>INDUSTRY</v>
          </cell>
          <cell r="I4308" t="str">
            <v>11</v>
          </cell>
          <cell r="J4308" t="str">
            <v>WOOD COATINGS</v>
          </cell>
          <cell r="K4308" t="str">
            <v>1103</v>
          </cell>
          <cell r="L4308" t="str">
            <v>PU</v>
          </cell>
          <cell r="M4308" t="str">
            <v>110319</v>
          </cell>
          <cell r="N4308" t="str">
            <v>PU COLOR</v>
          </cell>
        </row>
        <row r="4309">
          <cell r="C4309" t="str">
            <v>100005818</v>
          </cell>
          <cell r="D4309" t="str">
            <v>WBC-62206 WHITE 20 VN-20KP</v>
          </cell>
          <cell r="E4309" t="str">
            <v>ZFGD</v>
          </cell>
          <cell r="F4309" t="str">
            <v>PC</v>
          </cell>
          <cell r="G4309" t="str">
            <v>1</v>
          </cell>
          <cell r="H4309" t="str">
            <v>INDUSTRY</v>
          </cell>
          <cell r="I4309" t="str">
            <v>11</v>
          </cell>
          <cell r="J4309" t="str">
            <v>WOOD COATINGS</v>
          </cell>
          <cell r="K4309" t="str">
            <v>1119</v>
          </cell>
          <cell r="L4309" t="str">
            <v>WATERBASED</v>
          </cell>
          <cell r="M4309" t="str">
            <v>111902</v>
          </cell>
          <cell r="N4309" t="str">
            <v>WATERBASED SYSTEM INTERIOR</v>
          </cell>
        </row>
        <row r="4310">
          <cell r="C4310" t="str">
            <v>100005819</v>
          </cell>
          <cell r="D4310" t="str">
            <v>TOL-76301 N LEVICO AQ F1 VN-16KJ</v>
          </cell>
          <cell r="E4310" t="str">
            <v>ZFGD</v>
          </cell>
          <cell r="F4310" t="str">
            <v>PC</v>
          </cell>
          <cell r="G4310" t="str">
            <v>1</v>
          </cell>
          <cell r="H4310" t="str">
            <v>INDUSTRY</v>
          </cell>
          <cell r="I4310" t="str">
            <v>11</v>
          </cell>
          <cell r="J4310" t="str">
            <v>WOOD COATINGS</v>
          </cell>
          <cell r="K4310" t="str">
            <v>1101</v>
          </cell>
          <cell r="L4310" t="str">
            <v>ALKYD OIL</v>
          </cell>
          <cell r="M4310" t="str">
            <v>110101</v>
          </cell>
          <cell r="N4310" t="str">
            <v>ALKYD &amp; OIL SYSTEM</v>
          </cell>
        </row>
        <row r="4311">
          <cell r="C4311" t="str">
            <v>100005820</v>
          </cell>
          <cell r="D4311" t="str">
            <v>PUC-52239 TRANG 30GY 20 ID VN-20KP</v>
          </cell>
          <cell r="E4311" t="str">
            <v>ZFGD</v>
          </cell>
          <cell r="F4311" t="str">
            <v>PC</v>
          </cell>
          <cell r="G4311" t="str">
            <v>1</v>
          </cell>
          <cell r="H4311" t="str">
            <v>INDUSTRY</v>
          </cell>
          <cell r="I4311" t="str">
            <v>11</v>
          </cell>
          <cell r="J4311" t="str">
            <v>WOOD COATINGS</v>
          </cell>
          <cell r="K4311" t="str">
            <v>1103</v>
          </cell>
          <cell r="L4311" t="str">
            <v>PU</v>
          </cell>
          <cell r="M4311" t="str">
            <v>110319</v>
          </cell>
          <cell r="N4311" t="str">
            <v>PU COLOR</v>
          </cell>
        </row>
        <row r="4312">
          <cell r="C4312" t="str">
            <v>100005821</v>
          </cell>
          <cell r="D4312" t="str">
            <v>WBP-1621-BR-AK-20KP</v>
          </cell>
          <cell r="E4312" t="str">
            <v>ZFGD</v>
          </cell>
          <cell r="F4312" t="str">
            <v>PC</v>
          </cell>
          <cell r="G4312" t="str">
            <v>1</v>
          </cell>
          <cell r="H4312" t="str">
            <v>INDUSTRY</v>
          </cell>
          <cell r="I4312" t="str">
            <v>11</v>
          </cell>
          <cell r="J4312" t="str">
            <v>WOOD COATINGS</v>
          </cell>
          <cell r="K4312" t="str">
            <v>1119</v>
          </cell>
          <cell r="L4312" t="str">
            <v>WATERBASED</v>
          </cell>
          <cell r="M4312" t="str">
            <v>111902</v>
          </cell>
          <cell r="N4312" t="str">
            <v>WATERBASED SYSTEM INTERIOR</v>
          </cell>
        </row>
        <row r="4313">
          <cell r="C4313" t="str">
            <v>100005822</v>
          </cell>
          <cell r="D4313" t="str">
            <v>WBC-1622-BR10AK-20KP</v>
          </cell>
          <cell r="E4313" t="str">
            <v>ZFGD</v>
          </cell>
          <cell r="F4313" t="str">
            <v>PC</v>
          </cell>
          <cell r="G4313" t="str">
            <v>1</v>
          </cell>
          <cell r="H4313" t="str">
            <v>INDUSTRY</v>
          </cell>
          <cell r="I4313" t="str">
            <v>11</v>
          </cell>
          <cell r="J4313" t="str">
            <v>WOOD COATINGS</v>
          </cell>
          <cell r="K4313" t="str">
            <v>1119</v>
          </cell>
          <cell r="L4313" t="str">
            <v>WATERBASED</v>
          </cell>
          <cell r="M4313" t="str">
            <v>111902</v>
          </cell>
          <cell r="N4313" t="str">
            <v>WATERBASED SYSTEM INTERIOR</v>
          </cell>
        </row>
        <row r="4314">
          <cell r="C4314" t="str">
            <v>100005824</v>
          </cell>
          <cell r="D4314" t="str">
            <v>WBP-1621-35W-AK-20KP</v>
          </cell>
          <cell r="E4314" t="str">
            <v>ZFGD</v>
          </cell>
          <cell r="F4314" t="str">
            <v>PC</v>
          </cell>
          <cell r="G4314" t="str">
            <v>1</v>
          </cell>
          <cell r="H4314" t="str">
            <v>INDUSTRY</v>
          </cell>
          <cell r="I4314" t="str">
            <v>11</v>
          </cell>
          <cell r="J4314" t="str">
            <v>WOOD COATINGS</v>
          </cell>
          <cell r="K4314" t="str">
            <v>1119</v>
          </cell>
          <cell r="L4314" t="str">
            <v>WATERBASED</v>
          </cell>
          <cell r="M4314" t="str">
            <v>111902</v>
          </cell>
          <cell r="N4314" t="str">
            <v>WATERBASED SYSTEM INTERIOR</v>
          </cell>
        </row>
        <row r="4315">
          <cell r="C4315" t="str">
            <v>100005825</v>
          </cell>
          <cell r="D4315" t="str">
            <v>WBC-1622-WH10AK-20KP</v>
          </cell>
          <cell r="E4315" t="str">
            <v>ZFGD</v>
          </cell>
          <cell r="F4315" t="str">
            <v>PC</v>
          </cell>
          <cell r="G4315" t="str">
            <v>1</v>
          </cell>
          <cell r="H4315" t="str">
            <v>INDUSTRY</v>
          </cell>
          <cell r="I4315" t="str">
            <v>11</v>
          </cell>
          <cell r="J4315" t="str">
            <v>WOOD COATINGS</v>
          </cell>
          <cell r="K4315" t="str">
            <v>1119</v>
          </cell>
          <cell r="L4315" t="str">
            <v>WATERBASED</v>
          </cell>
          <cell r="M4315" t="str">
            <v>111902</v>
          </cell>
          <cell r="N4315" t="str">
            <v>WATERBASED SYSTEM INTERIOR</v>
          </cell>
        </row>
        <row r="4316">
          <cell r="C4316" t="str">
            <v>100005826</v>
          </cell>
          <cell r="D4316" t="str">
            <v>WBP-1621-BL-AK-20KP</v>
          </cell>
          <cell r="E4316" t="str">
            <v>ZFGD</v>
          </cell>
          <cell r="F4316" t="str">
            <v>PC</v>
          </cell>
          <cell r="G4316" t="str">
            <v>1</v>
          </cell>
          <cell r="H4316" t="str">
            <v>INDUSTRY</v>
          </cell>
          <cell r="I4316" t="str">
            <v>11</v>
          </cell>
          <cell r="J4316" t="str">
            <v>WOOD COATINGS</v>
          </cell>
          <cell r="K4316" t="str">
            <v>1119</v>
          </cell>
          <cell r="L4316" t="str">
            <v>WATERBASED</v>
          </cell>
          <cell r="M4316" t="str">
            <v>111902</v>
          </cell>
          <cell r="N4316" t="str">
            <v>WATERBASED SYSTEM INTERIOR</v>
          </cell>
        </row>
        <row r="4317">
          <cell r="C4317" t="str">
            <v>100005827</v>
          </cell>
          <cell r="D4317" t="str">
            <v>WBC-1622-BL10AK-20KP</v>
          </cell>
          <cell r="E4317" t="str">
            <v>ZFGD</v>
          </cell>
          <cell r="F4317" t="str">
            <v>PC</v>
          </cell>
          <cell r="G4317" t="str">
            <v>1</v>
          </cell>
          <cell r="H4317" t="str">
            <v>INDUSTRY</v>
          </cell>
          <cell r="I4317" t="str">
            <v>11</v>
          </cell>
          <cell r="J4317" t="str">
            <v>WOOD COATINGS</v>
          </cell>
          <cell r="K4317" t="str">
            <v>1119</v>
          </cell>
          <cell r="L4317" t="str">
            <v>WATERBASED</v>
          </cell>
          <cell r="M4317" t="str">
            <v>111902</v>
          </cell>
          <cell r="N4317" t="str">
            <v>WATERBASED SYSTEM INTERIOR</v>
          </cell>
        </row>
        <row r="4318">
          <cell r="C4318" t="str">
            <v>100005838</v>
          </cell>
          <cell r="D4318" t="str">
            <v>DP-12123 LC BROWN 23 DX VN-18KP</v>
          </cell>
          <cell r="E4318" t="str">
            <v>ZFGD</v>
          </cell>
          <cell r="F4318" t="str">
            <v>PC</v>
          </cell>
          <cell r="G4318" t="str">
            <v>1</v>
          </cell>
          <cell r="H4318" t="str">
            <v>INDUSTRY</v>
          </cell>
          <cell r="I4318" t="str">
            <v>11</v>
          </cell>
          <cell r="J4318" t="str">
            <v>WOOD COATINGS</v>
          </cell>
          <cell r="K4318" t="str">
            <v>1104</v>
          </cell>
          <cell r="L4318" t="str">
            <v>NC</v>
          </cell>
          <cell r="M4318" t="str">
            <v>110405</v>
          </cell>
          <cell r="N4318" t="str">
            <v>NC SYSTEM</v>
          </cell>
        </row>
        <row r="4319">
          <cell r="C4319" t="str">
            <v>100005840</v>
          </cell>
          <cell r="D4319" t="str">
            <v>MEP-12003 GREY 3A VN-18KP</v>
          </cell>
          <cell r="E4319" t="str">
            <v>ZFGD</v>
          </cell>
          <cell r="F4319" t="str">
            <v>PC</v>
          </cell>
          <cell r="G4319" t="str">
            <v>1</v>
          </cell>
          <cell r="H4319" t="str">
            <v>INDUSTRY</v>
          </cell>
          <cell r="I4319" t="str">
            <v>16</v>
          </cell>
          <cell r="J4319" t="str">
            <v>METAL COATINGS</v>
          </cell>
          <cell r="K4319" t="str">
            <v>1601</v>
          </cell>
          <cell r="L4319" t="str">
            <v>METAL COATINGS</v>
          </cell>
          <cell r="M4319" t="str">
            <v>160101</v>
          </cell>
          <cell r="N4319" t="str">
            <v>METAL COATINGS</v>
          </cell>
        </row>
        <row r="4320">
          <cell r="C4320" t="str">
            <v>100005841</v>
          </cell>
          <cell r="D4320" t="str">
            <v>PUP-54106 AC EX NAU CL17 DB VN-20KP</v>
          </cell>
          <cell r="E4320" t="str">
            <v>ZFGD</v>
          </cell>
          <cell r="F4320" t="str">
            <v>PC</v>
          </cell>
          <cell r="G4320" t="str">
            <v>1</v>
          </cell>
          <cell r="H4320" t="str">
            <v>INDUSTRY</v>
          </cell>
          <cell r="I4320" t="str">
            <v>11</v>
          </cell>
          <cell r="J4320" t="str">
            <v>WOOD COATINGS</v>
          </cell>
          <cell r="K4320" t="str">
            <v>1103</v>
          </cell>
          <cell r="L4320" t="str">
            <v>PU</v>
          </cell>
          <cell r="M4320" t="str">
            <v>110322</v>
          </cell>
          <cell r="N4320" t="str">
            <v>PU PRIMER</v>
          </cell>
        </row>
        <row r="4321">
          <cell r="C4321" t="str">
            <v>100005846</v>
          </cell>
          <cell r="D4321" t="str">
            <v>THC-73100 304 VN-20LJ</v>
          </cell>
          <cell r="E4321" t="str">
            <v>ZFGD</v>
          </cell>
          <cell r="F4321" t="str">
            <v>PC</v>
          </cell>
          <cell r="G4321" t="str">
            <v>1</v>
          </cell>
          <cell r="H4321" t="str">
            <v>INDUSTRY</v>
          </cell>
          <cell r="I4321" t="str">
            <v>14</v>
          </cell>
          <cell r="J4321" t="str">
            <v>THINNER</v>
          </cell>
          <cell r="K4321" t="str">
            <v>1412</v>
          </cell>
          <cell r="L4321" t="str">
            <v>THINNER NC</v>
          </cell>
          <cell r="M4321" t="str">
            <v>141203</v>
          </cell>
          <cell r="N4321" t="str">
            <v>THINNER COMPLEMENTARY</v>
          </cell>
        </row>
        <row r="4322">
          <cell r="C4322" t="str">
            <v>100005848</v>
          </cell>
          <cell r="D4322" t="str">
            <v>SST-11100 YELLOW SA F1 VN-16KJ</v>
          </cell>
          <cell r="E4322" t="str">
            <v>ZFGD</v>
          </cell>
          <cell r="F4322" t="str">
            <v>PC</v>
          </cell>
          <cell r="G4322" t="str">
            <v>1</v>
          </cell>
          <cell r="H4322" t="str">
            <v>INDUSTRY</v>
          </cell>
          <cell r="I4322" t="str">
            <v>11</v>
          </cell>
          <cell r="J4322" t="str">
            <v>WOOD COATINGS</v>
          </cell>
          <cell r="K4322" t="str">
            <v>1109</v>
          </cell>
          <cell r="L4322" t="str">
            <v>STAIN &amp; GLAZE INTERIOR</v>
          </cell>
          <cell r="M4322" t="str">
            <v>110903</v>
          </cell>
          <cell r="N4322" t="str">
            <v>STAIN INTERIOR</v>
          </cell>
        </row>
        <row r="4323">
          <cell r="C4323" t="str">
            <v>100005849</v>
          </cell>
          <cell r="D4323" t="str">
            <v>SST-11100 YELLOW SA F1 VN-160KK</v>
          </cell>
          <cell r="E4323" t="str">
            <v>ZFGD</v>
          </cell>
          <cell r="F4323" t="str">
            <v>PC</v>
          </cell>
          <cell r="G4323" t="str">
            <v>1</v>
          </cell>
          <cell r="H4323" t="str">
            <v>INDUSTRY</v>
          </cell>
          <cell r="I4323" t="str">
            <v>11</v>
          </cell>
          <cell r="J4323" t="str">
            <v>WOOD COATINGS</v>
          </cell>
          <cell r="K4323" t="str">
            <v>1109</v>
          </cell>
          <cell r="L4323" t="str">
            <v>STAIN &amp; GLAZE INTERIOR</v>
          </cell>
          <cell r="M4323" t="str">
            <v>110903</v>
          </cell>
          <cell r="N4323" t="str">
            <v>STAIN INTERIOR</v>
          </cell>
        </row>
        <row r="4324">
          <cell r="C4324" t="str">
            <v>100005850</v>
          </cell>
          <cell r="D4324" t="str">
            <v>SST-11100 CLR YELLOW SA F1 VN-16KJ</v>
          </cell>
          <cell r="E4324" t="str">
            <v>ZFGD</v>
          </cell>
          <cell r="F4324" t="str">
            <v>PC</v>
          </cell>
          <cell r="G4324" t="str">
            <v>1</v>
          </cell>
          <cell r="H4324" t="str">
            <v>INDUSTRY</v>
          </cell>
          <cell r="I4324" t="str">
            <v>11</v>
          </cell>
          <cell r="J4324" t="str">
            <v>WOOD COATINGS</v>
          </cell>
          <cell r="K4324" t="str">
            <v>1109</v>
          </cell>
          <cell r="L4324" t="str">
            <v>STAIN &amp; GLAZE INTERIOR</v>
          </cell>
          <cell r="M4324" t="str">
            <v>110903</v>
          </cell>
          <cell r="N4324" t="str">
            <v>STAIN INTERIOR</v>
          </cell>
        </row>
        <row r="4325">
          <cell r="C4325" t="str">
            <v>100005851</v>
          </cell>
          <cell r="D4325" t="str">
            <v>SST-11100 CLR YELLOW SA F1 VN-160KK</v>
          </cell>
          <cell r="E4325" t="str">
            <v>ZFGD</v>
          </cell>
          <cell r="F4325" t="str">
            <v>PC</v>
          </cell>
          <cell r="G4325" t="str">
            <v>1</v>
          </cell>
          <cell r="H4325" t="str">
            <v>INDUSTRY</v>
          </cell>
          <cell r="I4325" t="str">
            <v>11</v>
          </cell>
          <cell r="J4325" t="str">
            <v>WOOD COATINGS</v>
          </cell>
          <cell r="K4325" t="str">
            <v>1109</v>
          </cell>
          <cell r="L4325" t="str">
            <v>STAIN &amp; GLAZE INTERIOR</v>
          </cell>
          <cell r="M4325" t="str">
            <v>110903</v>
          </cell>
          <cell r="N4325" t="str">
            <v>STAIN INTERIOR</v>
          </cell>
        </row>
        <row r="4326">
          <cell r="C4326" t="str">
            <v>100005852</v>
          </cell>
          <cell r="D4326" t="str">
            <v>SST-11100 EQ BROWN SA F1 VN-16KJ</v>
          </cell>
          <cell r="E4326" t="str">
            <v>ZFGD</v>
          </cell>
          <cell r="F4326" t="str">
            <v>PC</v>
          </cell>
          <cell r="G4326" t="str">
            <v>1</v>
          </cell>
          <cell r="H4326" t="str">
            <v>INDUSTRY</v>
          </cell>
          <cell r="I4326" t="str">
            <v>11</v>
          </cell>
          <cell r="J4326" t="str">
            <v>WOOD COATINGS</v>
          </cell>
          <cell r="K4326" t="str">
            <v>1109</v>
          </cell>
          <cell r="L4326" t="str">
            <v>STAIN &amp; GLAZE INTERIOR</v>
          </cell>
          <cell r="M4326" t="str">
            <v>110903</v>
          </cell>
          <cell r="N4326" t="str">
            <v>STAIN INTERIOR</v>
          </cell>
        </row>
        <row r="4327">
          <cell r="C4327" t="str">
            <v>100005853</v>
          </cell>
          <cell r="D4327" t="str">
            <v>SST-11100 EQ BROWN SA F1 VN-160KK</v>
          </cell>
          <cell r="E4327" t="str">
            <v>ZFGD</v>
          </cell>
          <cell r="F4327" t="str">
            <v>PC</v>
          </cell>
          <cell r="G4327" t="str">
            <v>1</v>
          </cell>
          <cell r="H4327" t="str">
            <v>INDUSTRY</v>
          </cell>
          <cell r="I4327" t="str">
            <v>11</v>
          </cell>
          <cell r="J4327" t="str">
            <v>WOOD COATINGS</v>
          </cell>
          <cell r="K4327" t="str">
            <v>1109</v>
          </cell>
          <cell r="L4327" t="str">
            <v>STAIN &amp; GLAZE INTERIOR</v>
          </cell>
          <cell r="M4327" t="str">
            <v>110903</v>
          </cell>
          <cell r="N4327" t="str">
            <v>STAIN INTERIOR</v>
          </cell>
        </row>
        <row r="4328">
          <cell r="C4328" t="str">
            <v>100005854</v>
          </cell>
          <cell r="D4328" t="str">
            <v>PG-13900 WHITE SA F1 VN-20KP</v>
          </cell>
          <cell r="E4328" t="str">
            <v>ZFGD</v>
          </cell>
          <cell r="F4328" t="str">
            <v>PC</v>
          </cell>
          <cell r="G4328" t="str">
            <v>1</v>
          </cell>
          <cell r="H4328" t="str">
            <v>INDUSTRY</v>
          </cell>
          <cell r="I4328" t="str">
            <v>11</v>
          </cell>
          <cell r="J4328" t="str">
            <v>WOOD COATINGS</v>
          </cell>
          <cell r="K4328" t="str">
            <v>1109</v>
          </cell>
          <cell r="L4328" t="str">
            <v>STAIN &amp; GLAZE INTERIOR</v>
          </cell>
          <cell r="M4328" t="str">
            <v>110901</v>
          </cell>
          <cell r="N4328" t="str">
            <v>ASOF : STAIN &amp; GLAZE</v>
          </cell>
        </row>
        <row r="4329">
          <cell r="C4329" t="str">
            <v>100005855</v>
          </cell>
          <cell r="D4329" t="str">
            <v>SST-11100 NAU 23 VC VN-16KJ</v>
          </cell>
          <cell r="E4329" t="str">
            <v>ZFGD</v>
          </cell>
          <cell r="F4329" t="str">
            <v>PC</v>
          </cell>
          <cell r="G4329" t="str">
            <v>1</v>
          </cell>
          <cell r="H4329" t="str">
            <v>INDUSTRY</v>
          </cell>
          <cell r="I4329" t="str">
            <v>11</v>
          </cell>
          <cell r="J4329" t="str">
            <v>WOOD COATINGS</v>
          </cell>
          <cell r="K4329" t="str">
            <v>1109</v>
          </cell>
          <cell r="L4329" t="str">
            <v>STAIN &amp; GLAZE INTERIOR</v>
          </cell>
          <cell r="M4329" t="str">
            <v>110903</v>
          </cell>
          <cell r="N4329" t="str">
            <v>STAIN INTERIOR</v>
          </cell>
        </row>
        <row r="4330">
          <cell r="C4330" t="str">
            <v>100005856</v>
          </cell>
          <cell r="D4330" t="str">
            <v>SST-11100 NAU 23 VC VN-160KK</v>
          </cell>
          <cell r="E4330" t="str">
            <v>ZFGD</v>
          </cell>
          <cell r="F4330" t="str">
            <v>PC</v>
          </cell>
          <cell r="G4330" t="str">
            <v>1</v>
          </cell>
          <cell r="H4330" t="str">
            <v>INDUSTRY</v>
          </cell>
          <cell r="I4330" t="str">
            <v>11</v>
          </cell>
          <cell r="J4330" t="str">
            <v>WOOD COATINGS</v>
          </cell>
          <cell r="K4330" t="str">
            <v>1109</v>
          </cell>
          <cell r="L4330" t="str">
            <v>STAIN &amp; GLAZE INTERIOR</v>
          </cell>
          <cell r="M4330" t="str">
            <v>110903</v>
          </cell>
          <cell r="N4330" t="str">
            <v>STAIN INTERIOR</v>
          </cell>
        </row>
        <row r="4331">
          <cell r="C4331" t="str">
            <v>100005857</v>
          </cell>
          <cell r="D4331" t="str">
            <v>GZPU-21500 NAU 23 VC VN-18KP</v>
          </cell>
          <cell r="E4331" t="str">
            <v>ZFGD</v>
          </cell>
          <cell r="F4331" t="str">
            <v>PC</v>
          </cell>
          <cell r="G4331" t="str">
            <v>1</v>
          </cell>
          <cell r="H4331" t="str">
            <v>INDUSTRY</v>
          </cell>
          <cell r="I4331" t="str">
            <v>11</v>
          </cell>
          <cell r="J4331" t="str">
            <v>WOOD COATINGS</v>
          </cell>
          <cell r="K4331" t="str">
            <v>1103</v>
          </cell>
          <cell r="L4331" t="str">
            <v>PU</v>
          </cell>
          <cell r="M4331" t="str">
            <v>110302</v>
          </cell>
          <cell r="N4331" t="str">
            <v>GLAZE PU</v>
          </cell>
        </row>
        <row r="4332">
          <cell r="C4332" t="str">
            <v>100005859</v>
          </cell>
          <cell r="D4332" t="str">
            <v>MEP-12003 VANG NEO XD VN-18KP</v>
          </cell>
          <cell r="E4332" t="str">
            <v>ZFGD</v>
          </cell>
          <cell r="F4332" t="str">
            <v>PC</v>
          </cell>
          <cell r="G4332" t="str">
            <v>1</v>
          </cell>
          <cell r="H4332" t="str">
            <v>INDUSTRY</v>
          </cell>
          <cell r="I4332" t="str">
            <v>16</v>
          </cell>
          <cell r="J4332" t="str">
            <v>METAL COATINGS</v>
          </cell>
          <cell r="K4332" t="str">
            <v>1601</v>
          </cell>
          <cell r="L4332" t="str">
            <v>METAL COATINGS</v>
          </cell>
          <cell r="M4332" t="str">
            <v>160101</v>
          </cell>
          <cell r="N4332" t="str">
            <v>METAL COATINGS</v>
          </cell>
        </row>
        <row r="4333">
          <cell r="C4333" t="str">
            <v>100005860</v>
          </cell>
          <cell r="D4333" t="str">
            <v>UVL-50101 CLEAR 60 VN-20KP</v>
          </cell>
          <cell r="E4333" t="str">
            <v>ZFGD</v>
          </cell>
          <cell r="F4333" t="str">
            <v>PC</v>
          </cell>
          <cell r="G4333" t="str">
            <v>1</v>
          </cell>
          <cell r="H4333" t="str">
            <v>INDUSTRY</v>
          </cell>
          <cell r="I4333" t="str">
            <v>11</v>
          </cell>
          <cell r="J4333" t="str">
            <v>WOOD COATINGS</v>
          </cell>
          <cell r="K4333" t="str">
            <v>1106</v>
          </cell>
          <cell r="L4333" t="str">
            <v>UV</v>
          </cell>
          <cell r="M4333" t="str">
            <v>110607</v>
          </cell>
          <cell r="N4333" t="str">
            <v>UV TOP COAT CLEAR</v>
          </cell>
        </row>
        <row r="4334">
          <cell r="C4334" t="str">
            <v>100005861</v>
          </cell>
          <cell r="D4334" t="str">
            <v>PUL-51339 CLEAR 40 VN-18KP</v>
          </cell>
          <cell r="E4334" t="str">
            <v>ZFGD</v>
          </cell>
          <cell r="F4334" t="str">
            <v>PC</v>
          </cell>
          <cell r="G4334" t="str">
            <v>1</v>
          </cell>
          <cell r="H4334" t="str">
            <v>INDUSTRY</v>
          </cell>
          <cell r="I4334" t="str">
            <v>11</v>
          </cell>
          <cell r="J4334" t="str">
            <v>WOOD COATINGS</v>
          </cell>
          <cell r="K4334" t="str">
            <v>1103</v>
          </cell>
          <cell r="L4334" t="str">
            <v>PU</v>
          </cell>
          <cell r="M4334" t="str">
            <v>110321</v>
          </cell>
          <cell r="N4334" t="str">
            <v>PU LACQUER</v>
          </cell>
        </row>
        <row r="4335">
          <cell r="C4335" t="str">
            <v>100005862</v>
          </cell>
          <cell r="D4335" t="str">
            <v>THC-73100-1103 KD VN-160KK</v>
          </cell>
          <cell r="E4335" t="str">
            <v>ZFGD</v>
          </cell>
          <cell r="F4335" t="str">
            <v>PC</v>
          </cell>
          <cell r="G4335" t="str">
            <v>1</v>
          </cell>
          <cell r="H4335" t="str">
            <v>INDUSTRY</v>
          </cell>
          <cell r="I4335" t="str">
            <v>14</v>
          </cell>
          <cell r="J4335" t="str">
            <v>THINNER</v>
          </cell>
          <cell r="K4335" t="str">
            <v>1412</v>
          </cell>
          <cell r="L4335" t="str">
            <v>THINNER NC</v>
          </cell>
          <cell r="M4335" t="str">
            <v>141203</v>
          </cell>
          <cell r="N4335" t="str">
            <v>THINNER COMPLEMENTARY</v>
          </cell>
        </row>
        <row r="4336">
          <cell r="C4336" t="str">
            <v>100005863</v>
          </cell>
          <cell r="D4336" t="str">
            <v>NBC-9345-W137AK-20KP</v>
          </cell>
          <cell r="E4336" t="str">
            <v>ZFGD</v>
          </cell>
          <cell r="F4336" t="str">
            <v>PC</v>
          </cell>
          <cell r="G4336" t="str">
            <v>1</v>
          </cell>
          <cell r="H4336" t="str">
            <v>INDUSTRY</v>
          </cell>
          <cell r="I4336" t="str">
            <v>11</v>
          </cell>
          <cell r="J4336" t="str">
            <v>WOOD COATINGS</v>
          </cell>
          <cell r="K4336" t="str">
            <v>1104</v>
          </cell>
          <cell r="L4336" t="str">
            <v>NC</v>
          </cell>
          <cell r="M4336" t="str">
            <v>110403</v>
          </cell>
          <cell r="N4336" t="str">
            <v>ASOF : NC BASE COAT</v>
          </cell>
        </row>
        <row r="4337">
          <cell r="C4337" t="str">
            <v>100005864</v>
          </cell>
          <cell r="D4337" t="str">
            <v>NBC-9345-W137AK-200KB</v>
          </cell>
          <cell r="E4337" t="str">
            <v>ZFGD</v>
          </cell>
          <cell r="F4337" t="str">
            <v>PC</v>
          </cell>
          <cell r="G4337" t="str">
            <v>1</v>
          </cell>
          <cell r="H4337" t="str">
            <v>INDUSTRY</v>
          </cell>
          <cell r="I4337" t="str">
            <v>11</v>
          </cell>
          <cell r="J4337" t="str">
            <v>WOOD COATINGS</v>
          </cell>
          <cell r="K4337" t="str">
            <v>1104</v>
          </cell>
          <cell r="L4337" t="str">
            <v>NC</v>
          </cell>
          <cell r="M4337" t="str">
            <v>110403</v>
          </cell>
          <cell r="N4337" t="str">
            <v>ASOF : NC BASE COAT</v>
          </cell>
        </row>
        <row r="4338">
          <cell r="C4338" t="str">
            <v>100005865</v>
          </cell>
          <cell r="D4338" t="str">
            <v>RD-74104 YJ VN-180KK</v>
          </cell>
          <cell r="E4338" t="str">
            <v>ZFGD</v>
          </cell>
          <cell r="F4338" t="str">
            <v>PC</v>
          </cell>
          <cell r="G4338" t="str">
            <v>1</v>
          </cell>
          <cell r="H4338" t="str">
            <v>INDUSTRY</v>
          </cell>
          <cell r="I4338" t="str">
            <v>11</v>
          </cell>
          <cell r="J4338" t="str">
            <v>WOOD COATINGS</v>
          </cell>
          <cell r="K4338" t="str">
            <v>1118</v>
          </cell>
          <cell r="L4338" t="str">
            <v>COMPLEMENTARY</v>
          </cell>
          <cell r="M4338" t="str">
            <v>111809</v>
          </cell>
          <cell r="N4338" t="str">
            <v>RETARDER</v>
          </cell>
        </row>
        <row r="4339">
          <cell r="C4339" t="str">
            <v>100005866</v>
          </cell>
          <cell r="D4339" t="str">
            <v>THPU-71324-2 EST YJ VN-200LK</v>
          </cell>
          <cell r="E4339" t="str">
            <v>ZFGD</v>
          </cell>
          <cell r="F4339" t="str">
            <v>PC</v>
          </cell>
          <cell r="G4339" t="str">
            <v>1</v>
          </cell>
          <cell r="H4339" t="str">
            <v>INDUSTRY</v>
          </cell>
          <cell r="I4339" t="str">
            <v>14</v>
          </cell>
          <cell r="J4339" t="str">
            <v>THINNER</v>
          </cell>
          <cell r="K4339" t="str">
            <v>1411</v>
          </cell>
          <cell r="L4339" t="str">
            <v>THINNER PU</v>
          </cell>
          <cell r="M4339" t="str">
            <v>141101</v>
          </cell>
          <cell r="N4339" t="str">
            <v>THINNER PU</v>
          </cell>
        </row>
        <row r="4340">
          <cell r="C4340" t="str">
            <v>100005867</v>
          </cell>
          <cell r="D4340" t="str">
            <v>NCL-11331 CLEAR 10 VN-18KP</v>
          </cell>
          <cell r="E4340" t="str">
            <v>ZFGD</v>
          </cell>
          <cell r="F4340" t="str">
            <v>PC</v>
          </cell>
          <cell r="G4340" t="str">
            <v>1</v>
          </cell>
          <cell r="H4340" t="str">
            <v>INDUSTRY</v>
          </cell>
          <cell r="I4340" t="str">
            <v>11</v>
          </cell>
          <cell r="J4340" t="str">
            <v>WOOD COATINGS</v>
          </cell>
          <cell r="K4340" t="str">
            <v>1104</v>
          </cell>
          <cell r="L4340" t="str">
            <v>NC</v>
          </cell>
          <cell r="M4340" t="str">
            <v>110405</v>
          </cell>
          <cell r="N4340" t="str">
            <v>NC SYSTEM</v>
          </cell>
        </row>
        <row r="4341">
          <cell r="C4341" t="str">
            <v>100005868</v>
          </cell>
          <cell r="D4341" t="str">
            <v>NCL-11331 CLEAR 10 VN-180KB</v>
          </cell>
          <cell r="E4341" t="str">
            <v>ZFGD</v>
          </cell>
          <cell r="F4341" t="str">
            <v>PC</v>
          </cell>
          <cell r="G4341" t="str">
            <v>1</v>
          </cell>
          <cell r="H4341" t="str">
            <v>INDUSTRY</v>
          </cell>
          <cell r="I4341" t="str">
            <v>11</v>
          </cell>
          <cell r="J4341" t="str">
            <v>WOOD COATINGS</v>
          </cell>
          <cell r="K4341" t="str">
            <v>1104</v>
          </cell>
          <cell r="L4341" t="str">
            <v>NC</v>
          </cell>
          <cell r="M4341" t="str">
            <v>110405</v>
          </cell>
          <cell r="N4341" t="str">
            <v>NC SYSTEM</v>
          </cell>
        </row>
        <row r="4342">
          <cell r="C4342" t="str">
            <v>100005869</v>
          </cell>
          <cell r="D4342" t="str">
            <v>DP-12123 LC KEM 01 VLP VN-18KP</v>
          </cell>
          <cell r="E4342" t="str">
            <v>ZFGD</v>
          </cell>
          <cell r="F4342" t="str">
            <v>PC</v>
          </cell>
          <cell r="G4342" t="str">
            <v>1</v>
          </cell>
          <cell r="H4342" t="str">
            <v>INDUSTRY</v>
          </cell>
          <cell r="I4342" t="str">
            <v>11</v>
          </cell>
          <cell r="J4342" t="str">
            <v>WOOD COATINGS</v>
          </cell>
          <cell r="K4342" t="str">
            <v>1104</v>
          </cell>
          <cell r="L4342" t="str">
            <v>NC</v>
          </cell>
          <cell r="M4342" t="str">
            <v>110405</v>
          </cell>
          <cell r="N4342" t="str">
            <v>NC SYSTEM</v>
          </cell>
        </row>
        <row r="4343">
          <cell r="C4343" t="str">
            <v>100005870</v>
          </cell>
          <cell r="D4343" t="str">
            <v>GZ-12700 N NAU 01 VLP VN-16KP</v>
          </cell>
          <cell r="E4343" t="str">
            <v>ZFGD</v>
          </cell>
          <cell r="F4343" t="str">
            <v>PC</v>
          </cell>
          <cell r="G4343" t="str">
            <v>1</v>
          </cell>
          <cell r="H4343" t="str">
            <v>INDUSTRY</v>
          </cell>
          <cell r="I4343" t="str">
            <v>11</v>
          </cell>
          <cell r="J4343" t="str">
            <v>WOOD COATINGS</v>
          </cell>
          <cell r="K4343" t="str">
            <v>1109</v>
          </cell>
          <cell r="L4343" t="str">
            <v>STAIN &amp; GLAZE INTERIOR</v>
          </cell>
          <cell r="M4343" t="str">
            <v>110901</v>
          </cell>
          <cell r="N4343" t="str">
            <v>ASOF : STAIN &amp; GLAZE</v>
          </cell>
        </row>
        <row r="4344">
          <cell r="C4344" t="str">
            <v>100005871</v>
          </cell>
          <cell r="D4344" t="str">
            <v>SST-11100 CAM 01 VLP VN-16KJ</v>
          </cell>
          <cell r="E4344" t="str">
            <v>ZFGD</v>
          </cell>
          <cell r="F4344" t="str">
            <v>PC</v>
          </cell>
          <cell r="G4344" t="str">
            <v>1</v>
          </cell>
          <cell r="H4344" t="str">
            <v>INDUSTRY</v>
          </cell>
          <cell r="I4344" t="str">
            <v>11</v>
          </cell>
          <cell r="J4344" t="str">
            <v>WOOD COATINGS</v>
          </cell>
          <cell r="K4344" t="str">
            <v>1109</v>
          </cell>
          <cell r="L4344" t="str">
            <v>STAIN &amp; GLAZE INTERIOR</v>
          </cell>
          <cell r="M4344" t="str">
            <v>110903</v>
          </cell>
          <cell r="N4344" t="str">
            <v>STAIN INTERIOR</v>
          </cell>
        </row>
        <row r="4345">
          <cell r="C4345" t="str">
            <v>100005872</v>
          </cell>
          <cell r="D4345" t="str">
            <v>WBL-61204 CLEAR 20-20LP</v>
          </cell>
          <cell r="E4345" t="str">
            <v>ZFGD</v>
          </cell>
          <cell r="F4345" t="str">
            <v>PC</v>
          </cell>
          <cell r="G4345" t="str">
            <v>1</v>
          </cell>
          <cell r="H4345" t="str">
            <v>INDUSTRY</v>
          </cell>
          <cell r="I4345" t="str">
            <v>11</v>
          </cell>
          <cell r="J4345" t="str">
            <v>WOOD COATINGS</v>
          </cell>
          <cell r="K4345" t="str">
            <v>1119</v>
          </cell>
          <cell r="L4345" t="str">
            <v>WATERBASED</v>
          </cell>
          <cell r="M4345" t="str">
            <v>111902</v>
          </cell>
          <cell r="N4345" t="str">
            <v>WATERBASED SYSTEM INTERIOR</v>
          </cell>
        </row>
        <row r="4346">
          <cell r="C4346" t="str">
            <v>100005873</v>
          </cell>
          <cell r="D4346" t="str">
            <v>WBL-61204 HV CLEAR 25 VN-20LP</v>
          </cell>
          <cell r="E4346" t="str">
            <v>ZFGD</v>
          </cell>
          <cell r="F4346" t="str">
            <v>PC</v>
          </cell>
          <cell r="G4346" t="str">
            <v>1</v>
          </cell>
          <cell r="H4346" t="str">
            <v>INDUSTRY</v>
          </cell>
          <cell r="I4346" t="str">
            <v>11</v>
          </cell>
          <cell r="J4346" t="str">
            <v>WOOD COATINGS</v>
          </cell>
          <cell r="K4346" t="str">
            <v>1119</v>
          </cell>
          <cell r="L4346" t="str">
            <v>WATERBASED</v>
          </cell>
          <cell r="M4346" t="str">
            <v>111902</v>
          </cell>
          <cell r="N4346" t="str">
            <v>WATERBASED SYSTEM INTERIOR</v>
          </cell>
        </row>
        <row r="4347">
          <cell r="C4347" t="str">
            <v>100005874</v>
          </cell>
          <cell r="D4347" t="str">
            <v>WBSS-61104 VN-20LP</v>
          </cell>
          <cell r="E4347" t="str">
            <v>ZFGD</v>
          </cell>
          <cell r="F4347" t="str">
            <v>PC</v>
          </cell>
          <cell r="G4347" t="str">
            <v>1</v>
          </cell>
          <cell r="H4347" t="str">
            <v>INDUSTRY</v>
          </cell>
          <cell r="I4347" t="str">
            <v>11</v>
          </cell>
          <cell r="J4347" t="str">
            <v>WOOD COATINGS</v>
          </cell>
          <cell r="K4347" t="str">
            <v>1119</v>
          </cell>
          <cell r="L4347" t="str">
            <v>WATERBASED</v>
          </cell>
          <cell r="M4347" t="str">
            <v>111902</v>
          </cell>
          <cell r="N4347" t="str">
            <v>WATERBASED SYSTEM INTERIOR</v>
          </cell>
        </row>
        <row r="4348">
          <cell r="C4348" t="str">
            <v>100005875</v>
          </cell>
          <cell r="D4348" t="str">
            <v>WBP-62104 LF WALNUT 01 B GR VN-20KP</v>
          </cell>
          <cell r="E4348" t="str">
            <v>ZFGD</v>
          </cell>
          <cell r="F4348" t="str">
            <v>PC</v>
          </cell>
          <cell r="G4348" t="str">
            <v>1</v>
          </cell>
          <cell r="H4348" t="str">
            <v>INDUSTRY</v>
          </cell>
          <cell r="I4348" t="str">
            <v>11</v>
          </cell>
          <cell r="J4348" t="str">
            <v>WOOD COATINGS</v>
          </cell>
          <cell r="K4348" t="str">
            <v>1119</v>
          </cell>
          <cell r="L4348" t="str">
            <v>WATERBASED</v>
          </cell>
          <cell r="M4348" t="str">
            <v>111902</v>
          </cell>
          <cell r="N4348" t="str">
            <v>WATERBASED SYSTEM INTERIOR</v>
          </cell>
        </row>
        <row r="4349">
          <cell r="C4349" t="str">
            <v>100005876</v>
          </cell>
          <cell r="D4349" t="str">
            <v>WBP-62104 LF WALNUT 02 B GR VN-20KP</v>
          </cell>
          <cell r="E4349" t="str">
            <v>ZFGD</v>
          </cell>
          <cell r="F4349" t="str">
            <v>PC</v>
          </cell>
          <cell r="G4349" t="str">
            <v>1</v>
          </cell>
          <cell r="H4349" t="str">
            <v>INDUSTRY</v>
          </cell>
          <cell r="I4349" t="str">
            <v>11</v>
          </cell>
          <cell r="J4349" t="str">
            <v>WOOD COATINGS</v>
          </cell>
          <cell r="K4349" t="str">
            <v>1119</v>
          </cell>
          <cell r="L4349" t="str">
            <v>WATERBASED</v>
          </cell>
          <cell r="M4349" t="str">
            <v>111902</v>
          </cell>
          <cell r="N4349" t="str">
            <v>WATERBASED SYSTEM INTERIOR</v>
          </cell>
        </row>
        <row r="4350">
          <cell r="C4350" t="str">
            <v>100005877</v>
          </cell>
          <cell r="D4350" t="str">
            <v>PS-15100 WALNUT 01 A GR VN-16KJ</v>
          </cell>
          <cell r="E4350" t="str">
            <v>ZFGD</v>
          </cell>
          <cell r="F4350" t="str">
            <v>PC</v>
          </cell>
          <cell r="G4350" t="str">
            <v>1</v>
          </cell>
          <cell r="H4350" t="str">
            <v>INDUSTRY</v>
          </cell>
          <cell r="I4350" t="str">
            <v>11</v>
          </cell>
          <cell r="J4350" t="str">
            <v>WOOD COATINGS</v>
          </cell>
          <cell r="K4350" t="str">
            <v>1109</v>
          </cell>
          <cell r="L4350" t="str">
            <v>STAIN &amp; GLAZE INTERIOR</v>
          </cell>
          <cell r="M4350" t="str">
            <v>110901</v>
          </cell>
          <cell r="N4350" t="str">
            <v>ASOF : STAIN &amp; GLAZE</v>
          </cell>
        </row>
        <row r="4351">
          <cell r="C4351" t="str">
            <v>100005878</v>
          </cell>
          <cell r="D4351" t="str">
            <v>PS-15100 WALNUT 02 A GR VN-16KJ</v>
          </cell>
          <cell r="E4351" t="str">
            <v>ZFGD</v>
          </cell>
          <cell r="F4351" t="str">
            <v>PC</v>
          </cell>
          <cell r="G4351" t="str">
            <v>1</v>
          </cell>
          <cell r="H4351" t="str">
            <v>INDUSTRY</v>
          </cell>
          <cell r="I4351" t="str">
            <v>11</v>
          </cell>
          <cell r="J4351" t="str">
            <v>WOOD COATINGS</v>
          </cell>
          <cell r="K4351" t="str">
            <v>1109</v>
          </cell>
          <cell r="L4351" t="str">
            <v>STAIN &amp; GLAZE INTERIOR</v>
          </cell>
          <cell r="M4351" t="str">
            <v>110901</v>
          </cell>
          <cell r="N4351" t="str">
            <v>ASOF : STAIN &amp; GLAZE</v>
          </cell>
        </row>
        <row r="4352">
          <cell r="C4352" t="str">
            <v>100005879</v>
          </cell>
          <cell r="D4352" t="str">
            <v>WBP-62104 LF BLACK 00 GR VN-20KP</v>
          </cell>
          <cell r="E4352" t="str">
            <v>ZFGD</v>
          </cell>
          <cell r="F4352" t="str">
            <v>PC</v>
          </cell>
          <cell r="G4352" t="str">
            <v>1</v>
          </cell>
          <cell r="H4352" t="str">
            <v>INDUSTRY</v>
          </cell>
          <cell r="I4352" t="str">
            <v>11</v>
          </cell>
          <cell r="J4352" t="str">
            <v>WOOD COATINGS</v>
          </cell>
          <cell r="K4352" t="str">
            <v>1119</v>
          </cell>
          <cell r="L4352" t="str">
            <v>WATERBASED</v>
          </cell>
          <cell r="M4352" t="str">
            <v>111902</v>
          </cell>
          <cell r="N4352" t="str">
            <v>WATERBASED SYSTEM INTERIOR</v>
          </cell>
        </row>
        <row r="4353">
          <cell r="C4353" t="str">
            <v>100005880</v>
          </cell>
          <cell r="D4353" t="str">
            <v>WBC-62204 BLACK 00 25 GR VN-20KP</v>
          </cell>
          <cell r="E4353" t="str">
            <v>ZFGD</v>
          </cell>
          <cell r="F4353" t="str">
            <v>PC</v>
          </cell>
          <cell r="G4353" t="str">
            <v>1</v>
          </cell>
          <cell r="H4353" t="str">
            <v>INDUSTRY</v>
          </cell>
          <cell r="I4353" t="str">
            <v>11</v>
          </cell>
          <cell r="J4353" t="str">
            <v>WOOD COATINGS</v>
          </cell>
          <cell r="K4353" t="str">
            <v>1119</v>
          </cell>
          <cell r="L4353" t="str">
            <v>WATERBASED</v>
          </cell>
          <cell r="M4353" t="str">
            <v>111902</v>
          </cell>
          <cell r="N4353" t="str">
            <v>WATERBASED SYSTEM INTERIOR</v>
          </cell>
        </row>
        <row r="4354">
          <cell r="C4354" t="str">
            <v>100005882</v>
          </cell>
          <cell r="D4354" t="str">
            <v>SST-11100 NAU 24 VC VN-16KJ</v>
          </cell>
          <cell r="E4354" t="str">
            <v>ZFGD</v>
          </cell>
          <cell r="F4354" t="str">
            <v>PC</v>
          </cell>
          <cell r="G4354" t="str">
            <v>1</v>
          </cell>
          <cell r="H4354" t="str">
            <v>INDUSTRY</v>
          </cell>
          <cell r="I4354" t="str">
            <v>11</v>
          </cell>
          <cell r="J4354" t="str">
            <v>WOOD COATINGS</v>
          </cell>
          <cell r="K4354" t="str">
            <v>1109</v>
          </cell>
          <cell r="L4354" t="str">
            <v>STAIN &amp; GLAZE INTERIOR</v>
          </cell>
          <cell r="M4354" t="str">
            <v>110903</v>
          </cell>
          <cell r="N4354" t="str">
            <v>STAIN INTERIOR</v>
          </cell>
        </row>
        <row r="4355">
          <cell r="C4355" t="str">
            <v>100005883</v>
          </cell>
          <cell r="D4355" t="str">
            <v>SST-11100 NAU 24 VC VN-160KK</v>
          </cell>
          <cell r="E4355" t="str">
            <v>ZFGD</v>
          </cell>
          <cell r="F4355" t="str">
            <v>PC</v>
          </cell>
          <cell r="G4355" t="str">
            <v>1</v>
          </cell>
          <cell r="H4355" t="str">
            <v>INDUSTRY</v>
          </cell>
          <cell r="I4355" t="str">
            <v>11</v>
          </cell>
          <cell r="J4355" t="str">
            <v>WOOD COATINGS</v>
          </cell>
          <cell r="K4355" t="str">
            <v>1109</v>
          </cell>
          <cell r="L4355" t="str">
            <v>STAIN &amp; GLAZE INTERIOR</v>
          </cell>
          <cell r="M4355" t="str">
            <v>110903</v>
          </cell>
          <cell r="N4355" t="str">
            <v>STAIN INTERIOR</v>
          </cell>
        </row>
        <row r="4356">
          <cell r="C4356" t="str">
            <v>100005884</v>
          </cell>
          <cell r="D4356" t="str">
            <v>SST-11100 YEL SA 01 F1 VN-16KJ</v>
          </cell>
          <cell r="E4356" t="str">
            <v>ZFGD</v>
          </cell>
          <cell r="F4356" t="str">
            <v>PC</v>
          </cell>
          <cell r="G4356" t="str">
            <v>1</v>
          </cell>
          <cell r="H4356" t="str">
            <v>INDUSTRY</v>
          </cell>
          <cell r="I4356" t="str">
            <v>11</v>
          </cell>
          <cell r="J4356" t="str">
            <v>WOOD COATINGS</v>
          </cell>
          <cell r="K4356" t="str">
            <v>1109</v>
          </cell>
          <cell r="L4356" t="str">
            <v>STAIN &amp; GLAZE INTERIOR</v>
          </cell>
          <cell r="M4356" t="str">
            <v>110903</v>
          </cell>
          <cell r="N4356" t="str">
            <v>STAIN INTERIOR</v>
          </cell>
        </row>
        <row r="4357">
          <cell r="C4357" t="str">
            <v>100005885</v>
          </cell>
          <cell r="D4357" t="str">
            <v>SST-11100 YEL SA 01 F1 VN-160KK</v>
          </cell>
          <cell r="E4357" t="str">
            <v>ZFGD</v>
          </cell>
          <cell r="F4357" t="str">
            <v>PC</v>
          </cell>
          <cell r="G4357" t="str">
            <v>1</v>
          </cell>
          <cell r="H4357" t="str">
            <v>INDUSTRY</v>
          </cell>
          <cell r="I4357" t="str">
            <v>11</v>
          </cell>
          <cell r="J4357" t="str">
            <v>WOOD COATINGS</v>
          </cell>
          <cell r="K4357" t="str">
            <v>1109</v>
          </cell>
          <cell r="L4357" t="str">
            <v>STAIN &amp; GLAZE INTERIOR</v>
          </cell>
          <cell r="M4357" t="str">
            <v>110903</v>
          </cell>
          <cell r="N4357" t="str">
            <v>STAIN INTERIOR</v>
          </cell>
        </row>
        <row r="4358">
          <cell r="C4358" t="str">
            <v>100005886</v>
          </cell>
          <cell r="D4358" t="str">
            <v>SST-11100 RED SA F1 VN-16KJ</v>
          </cell>
          <cell r="E4358" t="str">
            <v>ZFGD</v>
          </cell>
          <cell r="F4358" t="str">
            <v>PC</v>
          </cell>
          <cell r="G4358" t="str">
            <v>1</v>
          </cell>
          <cell r="H4358" t="str">
            <v>INDUSTRY</v>
          </cell>
          <cell r="I4358" t="str">
            <v>11</v>
          </cell>
          <cell r="J4358" t="str">
            <v>WOOD COATINGS</v>
          </cell>
          <cell r="K4358" t="str">
            <v>1109</v>
          </cell>
          <cell r="L4358" t="str">
            <v>STAIN &amp; GLAZE INTERIOR</v>
          </cell>
          <cell r="M4358" t="str">
            <v>110903</v>
          </cell>
          <cell r="N4358" t="str">
            <v>STAIN INTERIOR</v>
          </cell>
        </row>
        <row r="4359">
          <cell r="C4359" t="str">
            <v>100005887</v>
          </cell>
          <cell r="D4359" t="str">
            <v>SST-11100 RED SA F1 VN-160KK</v>
          </cell>
          <cell r="E4359" t="str">
            <v>ZFGD</v>
          </cell>
          <cell r="F4359" t="str">
            <v>PC</v>
          </cell>
          <cell r="G4359" t="str">
            <v>1</v>
          </cell>
          <cell r="H4359" t="str">
            <v>INDUSTRY</v>
          </cell>
          <cell r="I4359" t="str">
            <v>11</v>
          </cell>
          <cell r="J4359" t="str">
            <v>WOOD COATINGS</v>
          </cell>
          <cell r="K4359" t="str">
            <v>1109</v>
          </cell>
          <cell r="L4359" t="str">
            <v>STAIN &amp; GLAZE INTERIOR</v>
          </cell>
          <cell r="M4359" t="str">
            <v>110903</v>
          </cell>
          <cell r="N4359" t="str">
            <v>STAIN INTERIOR</v>
          </cell>
        </row>
        <row r="4360">
          <cell r="C4360" t="str">
            <v>100005888</v>
          </cell>
          <cell r="D4360" t="str">
            <v>PCWB-31600 WHITE 02196 PASTE VN-4K</v>
          </cell>
          <cell r="E4360" t="str">
            <v>ZFGD</v>
          </cell>
          <cell r="F4360" t="str">
            <v>PC</v>
          </cell>
          <cell r="G4360" t="str">
            <v>1</v>
          </cell>
          <cell r="H4360" t="str">
            <v>INDUSTRY</v>
          </cell>
          <cell r="I4360" t="str">
            <v>11</v>
          </cell>
          <cell r="J4360" t="str">
            <v>WOOD COATINGS</v>
          </cell>
          <cell r="K4360" t="str">
            <v>1118</v>
          </cell>
          <cell r="L4360" t="str">
            <v>COMPLEMENTARY</v>
          </cell>
          <cell r="M4360" t="str">
            <v>111807</v>
          </cell>
          <cell r="N4360" t="str">
            <v>PASTA</v>
          </cell>
        </row>
        <row r="4361">
          <cell r="C4361" t="str">
            <v>100005889</v>
          </cell>
          <cell r="D4361" t="str">
            <v>PCA-31100 XAM 03 VC V VN-16KJ</v>
          </cell>
          <cell r="E4361" t="str">
            <v>ZFGD</v>
          </cell>
          <cell r="F4361" t="str">
            <v>PC</v>
          </cell>
          <cell r="G4361" t="str">
            <v>1</v>
          </cell>
          <cell r="H4361" t="str">
            <v>INDUSTRY</v>
          </cell>
          <cell r="I4361" t="str">
            <v>11</v>
          </cell>
          <cell r="J4361" t="str">
            <v>WOOD COATINGS</v>
          </cell>
          <cell r="K4361" t="str">
            <v>1118</v>
          </cell>
          <cell r="L4361" t="str">
            <v>COMPLEMENTARY</v>
          </cell>
          <cell r="M4361" t="str">
            <v>111807</v>
          </cell>
          <cell r="N4361" t="str">
            <v>PASTA</v>
          </cell>
        </row>
        <row r="4362">
          <cell r="C4362" t="str">
            <v>100005890</v>
          </cell>
          <cell r="D4362" t="str">
            <v>PUH-56141 YJ VN-20KP</v>
          </cell>
          <cell r="E4362" t="str">
            <v>ZFGD</v>
          </cell>
          <cell r="F4362" t="str">
            <v>PC</v>
          </cell>
          <cell r="G4362" t="str">
            <v>1</v>
          </cell>
          <cell r="H4362" t="str">
            <v>INDUSTRY</v>
          </cell>
          <cell r="I4362" t="str">
            <v>11</v>
          </cell>
          <cell r="J4362" t="str">
            <v>WOOD COATINGS</v>
          </cell>
          <cell r="K4362" t="str">
            <v>1103</v>
          </cell>
          <cell r="L4362" t="str">
            <v>PU</v>
          </cell>
          <cell r="M4362" t="str">
            <v>110320</v>
          </cell>
          <cell r="N4362" t="str">
            <v>PU HARDENER</v>
          </cell>
        </row>
        <row r="4363">
          <cell r="C4363" t="str">
            <v>100005891</v>
          </cell>
          <cell r="D4363" t="str">
            <v>WBC-62201 SL XLC BLUE 50 VL VN-20KP</v>
          </cell>
          <cell r="E4363" t="str">
            <v>ZFGD</v>
          </cell>
          <cell r="F4363" t="str">
            <v>PC</v>
          </cell>
          <cell r="G4363" t="str">
            <v>1</v>
          </cell>
          <cell r="H4363" t="str">
            <v>INDUSTRY</v>
          </cell>
          <cell r="I4363" t="str">
            <v>11</v>
          </cell>
          <cell r="J4363" t="str">
            <v>WOOD COATINGS</v>
          </cell>
          <cell r="K4363" t="str">
            <v>1119</v>
          </cell>
          <cell r="L4363" t="str">
            <v>WATERBASED</v>
          </cell>
          <cell r="M4363" t="str">
            <v>111902</v>
          </cell>
          <cell r="N4363" t="str">
            <v>WATERBASED SYSTEM INTERIOR</v>
          </cell>
        </row>
        <row r="4364">
          <cell r="C4364" t="str">
            <v>100005892</v>
          </cell>
          <cell r="D4364" t="str">
            <v>WBC-62201 SL XLC BLUE 50 VL VN-200KB</v>
          </cell>
          <cell r="E4364" t="str">
            <v>ZFGD</v>
          </cell>
          <cell r="F4364" t="str">
            <v>PC</v>
          </cell>
          <cell r="G4364" t="str">
            <v>1</v>
          </cell>
          <cell r="H4364" t="str">
            <v>INDUSTRY</v>
          </cell>
          <cell r="I4364" t="str">
            <v>11</v>
          </cell>
          <cell r="J4364" t="str">
            <v>WOOD COATINGS</v>
          </cell>
          <cell r="K4364" t="str">
            <v>1119</v>
          </cell>
          <cell r="L4364" t="str">
            <v>WATERBASED</v>
          </cell>
          <cell r="M4364" t="str">
            <v>111902</v>
          </cell>
          <cell r="N4364" t="str">
            <v>WATERBASED SYSTEM INTERIOR</v>
          </cell>
        </row>
        <row r="4365">
          <cell r="C4365" t="str">
            <v>100005897</v>
          </cell>
          <cell r="D4365" t="str">
            <v>WBP-62104 LF 2 WALNUT 01 A GR VN-20KP</v>
          </cell>
          <cell r="E4365" t="str">
            <v>ZFGD</v>
          </cell>
          <cell r="F4365" t="str">
            <v>PC</v>
          </cell>
          <cell r="G4365" t="str">
            <v>1</v>
          </cell>
          <cell r="H4365" t="str">
            <v>INDUSTRY</v>
          </cell>
          <cell r="I4365" t="str">
            <v>11</v>
          </cell>
          <cell r="J4365" t="str">
            <v>WOOD COATINGS</v>
          </cell>
          <cell r="K4365" t="str">
            <v>1119</v>
          </cell>
          <cell r="L4365" t="str">
            <v>WATERBASED</v>
          </cell>
          <cell r="M4365" t="str">
            <v>111902</v>
          </cell>
          <cell r="N4365" t="str">
            <v>WATERBASED SYSTEM INTERIOR</v>
          </cell>
        </row>
        <row r="4366">
          <cell r="C4366" t="str">
            <v>100005898</v>
          </cell>
          <cell r="D4366" t="str">
            <v>WBP-62104 LF 2 WALNUT 01 B GR VN-20KP</v>
          </cell>
          <cell r="E4366" t="str">
            <v>ZFGD</v>
          </cell>
          <cell r="F4366" t="str">
            <v>PC</v>
          </cell>
          <cell r="G4366" t="str">
            <v>1</v>
          </cell>
          <cell r="H4366" t="str">
            <v>INDUSTRY</v>
          </cell>
          <cell r="I4366" t="str">
            <v>11</v>
          </cell>
          <cell r="J4366" t="str">
            <v>WOOD COATINGS</v>
          </cell>
          <cell r="K4366" t="str">
            <v>1119</v>
          </cell>
          <cell r="L4366" t="str">
            <v>WATERBASED</v>
          </cell>
          <cell r="M4366" t="str">
            <v>111902</v>
          </cell>
          <cell r="N4366" t="str">
            <v>WATERBASED SYSTEM INTERIOR</v>
          </cell>
        </row>
        <row r="4367">
          <cell r="C4367" t="str">
            <v>100005899</v>
          </cell>
          <cell r="D4367" t="str">
            <v>WBP-62104 LF 2 WALNUT 02 A GR VN-20KP</v>
          </cell>
          <cell r="E4367" t="str">
            <v>ZFGD</v>
          </cell>
          <cell r="F4367" t="str">
            <v>PC</v>
          </cell>
          <cell r="G4367" t="str">
            <v>1</v>
          </cell>
          <cell r="H4367" t="str">
            <v>INDUSTRY</v>
          </cell>
          <cell r="I4367" t="str">
            <v>11</v>
          </cell>
          <cell r="J4367" t="str">
            <v>WOOD COATINGS</v>
          </cell>
          <cell r="K4367" t="str">
            <v>1119</v>
          </cell>
          <cell r="L4367" t="str">
            <v>WATERBASED</v>
          </cell>
          <cell r="M4367" t="str">
            <v>111902</v>
          </cell>
          <cell r="N4367" t="str">
            <v>WATERBASED SYSTEM INTERIOR</v>
          </cell>
        </row>
        <row r="4368">
          <cell r="C4368" t="str">
            <v>100005900</v>
          </cell>
          <cell r="D4368" t="str">
            <v>WBP-62104 LF 2 WALNUT 02 B GR VN-20KP</v>
          </cell>
          <cell r="E4368" t="str">
            <v>ZFGD</v>
          </cell>
          <cell r="F4368" t="str">
            <v>PC</v>
          </cell>
          <cell r="G4368" t="str">
            <v>1</v>
          </cell>
          <cell r="H4368" t="str">
            <v>INDUSTRY</v>
          </cell>
          <cell r="I4368" t="str">
            <v>11</v>
          </cell>
          <cell r="J4368" t="str">
            <v>WOOD COATINGS</v>
          </cell>
          <cell r="K4368" t="str">
            <v>1119</v>
          </cell>
          <cell r="L4368" t="str">
            <v>WATERBASED</v>
          </cell>
          <cell r="M4368" t="str">
            <v>111902</v>
          </cell>
          <cell r="N4368" t="str">
            <v>WATERBASED SYSTEM INTERIOR</v>
          </cell>
        </row>
        <row r="4369">
          <cell r="C4369" t="str">
            <v>100005901</v>
          </cell>
          <cell r="D4369" t="str">
            <v>PUC-54206 AC EX NAU 02A 05 GS VN-18KP</v>
          </cell>
          <cell r="E4369" t="str">
            <v>ZFGD</v>
          </cell>
          <cell r="F4369" t="str">
            <v>PC</v>
          </cell>
          <cell r="G4369" t="str">
            <v>1</v>
          </cell>
          <cell r="H4369" t="str">
            <v>INDUSTRY</v>
          </cell>
          <cell r="I4369" t="str">
            <v>11</v>
          </cell>
          <cell r="J4369" t="str">
            <v>WOOD COATINGS</v>
          </cell>
          <cell r="K4369" t="str">
            <v>1103</v>
          </cell>
          <cell r="L4369" t="str">
            <v>PU</v>
          </cell>
          <cell r="M4369" t="str">
            <v>110319</v>
          </cell>
          <cell r="N4369" t="str">
            <v>PU COLOR</v>
          </cell>
        </row>
        <row r="4370">
          <cell r="C4370" t="str">
            <v>100005903</v>
          </cell>
          <cell r="D4370" t="str">
            <v>PW-2316-RAB-AK-4K</v>
          </cell>
          <cell r="E4370" t="str">
            <v>ZFGD</v>
          </cell>
          <cell r="F4370" t="str">
            <v>PC</v>
          </cell>
          <cell r="G4370" t="str">
            <v>1</v>
          </cell>
          <cell r="H4370" t="str">
            <v>INDUSTRY</v>
          </cell>
          <cell r="I4370" t="str">
            <v>11</v>
          </cell>
          <cell r="J4370" t="str">
            <v>WOOD COATINGS</v>
          </cell>
          <cell r="K4370" t="str">
            <v>1118</v>
          </cell>
          <cell r="L4370" t="str">
            <v>COMPLEMENTARY</v>
          </cell>
          <cell r="M4370" t="str">
            <v>111807</v>
          </cell>
          <cell r="N4370" t="str">
            <v>PASTA</v>
          </cell>
        </row>
        <row r="4371">
          <cell r="C4371" t="str">
            <v>100005904</v>
          </cell>
          <cell r="D4371" t="str">
            <v>PW-2316-WHI-AK-4K</v>
          </cell>
          <cell r="E4371" t="str">
            <v>ZFGD</v>
          </cell>
          <cell r="F4371" t="str">
            <v>PC</v>
          </cell>
          <cell r="G4371" t="str">
            <v>1</v>
          </cell>
          <cell r="H4371" t="str">
            <v>INDUSTRY</v>
          </cell>
          <cell r="I4371" t="str">
            <v>11</v>
          </cell>
          <cell r="J4371" t="str">
            <v>WOOD COATINGS</v>
          </cell>
          <cell r="K4371" t="str">
            <v>1118</v>
          </cell>
          <cell r="L4371" t="str">
            <v>COMPLEMENTARY</v>
          </cell>
          <cell r="M4371" t="str">
            <v>111807</v>
          </cell>
          <cell r="N4371" t="str">
            <v>PASTA</v>
          </cell>
        </row>
        <row r="4372">
          <cell r="C4372" t="str">
            <v>100005905</v>
          </cell>
          <cell r="D4372" t="str">
            <v>PW-2316-BLA-AK-4K</v>
          </cell>
          <cell r="E4372" t="str">
            <v>ZFGD</v>
          </cell>
          <cell r="F4372" t="str">
            <v>PC</v>
          </cell>
          <cell r="G4372" t="str">
            <v>1</v>
          </cell>
          <cell r="H4372" t="str">
            <v>INDUSTRY</v>
          </cell>
          <cell r="I4372" t="str">
            <v>11</v>
          </cell>
          <cell r="J4372" t="str">
            <v>WOOD COATINGS</v>
          </cell>
          <cell r="K4372" t="str">
            <v>1118</v>
          </cell>
          <cell r="L4372" t="str">
            <v>COMPLEMENTARY</v>
          </cell>
          <cell r="M4372" t="str">
            <v>111807</v>
          </cell>
          <cell r="N4372" t="str">
            <v>PASTA</v>
          </cell>
        </row>
        <row r="4373">
          <cell r="C4373" t="str">
            <v>100005906</v>
          </cell>
          <cell r="D4373" t="str">
            <v>WBL-61202-BC5AK-20KP</v>
          </cell>
          <cell r="E4373" t="str">
            <v>ZFGD</v>
          </cell>
          <cell r="F4373" t="str">
            <v>PC</v>
          </cell>
          <cell r="G4373" t="str">
            <v>1</v>
          </cell>
          <cell r="H4373" t="str">
            <v>INDUSTRY</v>
          </cell>
          <cell r="I4373" t="str">
            <v>11</v>
          </cell>
          <cell r="J4373" t="str">
            <v>WOOD COATINGS</v>
          </cell>
          <cell r="K4373" t="str">
            <v>1119</v>
          </cell>
          <cell r="L4373" t="str">
            <v>WATERBASED</v>
          </cell>
          <cell r="M4373" t="str">
            <v>111902</v>
          </cell>
          <cell r="N4373" t="str">
            <v>WATERBASED SYSTEM INTERIOR</v>
          </cell>
        </row>
        <row r="4374">
          <cell r="C4374" t="str">
            <v>100005907</v>
          </cell>
          <cell r="D4374" t="str">
            <v>WBC-62241-BW5AK-20KP</v>
          </cell>
          <cell r="E4374" t="str">
            <v>ZFGD</v>
          </cell>
          <cell r="F4374" t="str">
            <v>PC</v>
          </cell>
          <cell r="G4374" t="str">
            <v>1</v>
          </cell>
          <cell r="H4374" t="str">
            <v>INDUSTRY</v>
          </cell>
          <cell r="I4374" t="str">
            <v>11</v>
          </cell>
          <cell r="J4374" t="str">
            <v>WOOD COATINGS</v>
          </cell>
          <cell r="K4374" t="str">
            <v>1119</v>
          </cell>
          <cell r="L4374" t="str">
            <v>WATERBASED</v>
          </cell>
          <cell r="M4374" t="str">
            <v>111902</v>
          </cell>
          <cell r="N4374" t="str">
            <v>WATERBASED SYSTEM INTERIOR</v>
          </cell>
        </row>
        <row r="4375">
          <cell r="C4375" t="str">
            <v>100005908</v>
          </cell>
          <cell r="D4375" t="str">
            <v>SST-11100 CAM 02 VC I VN-16KJ</v>
          </cell>
          <cell r="E4375" t="str">
            <v>ZFGD</v>
          </cell>
          <cell r="F4375" t="str">
            <v>PC</v>
          </cell>
          <cell r="G4375" t="str">
            <v>1</v>
          </cell>
          <cell r="H4375" t="str">
            <v>INDUSTRY</v>
          </cell>
          <cell r="I4375" t="str">
            <v>11</v>
          </cell>
          <cell r="J4375" t="str">
            <v>WOOD COATINGS</v>
          </cell>
          <cell r="K4375" t="str">
            <v>1109</v>
          </cell>
          <cell r="L4375" t="str">
            <v>STAIN &amp; GLAZE INTERIOR</v>
          </cell>
          <cell r="M4375" t="str">
            <v>110903</v>
          </cell>
          <cell r="N4375" t="str">
            <v>STAIN INTERIOR</v>
          </cell>
        </row>
        <row r="4376">
          <cell r="C4376" t="str">
            <v>100005909</v>
          </cell>
          <cell r="D4376" t="str">
            <v>SST-11100 CAM 02 VC I VN-160KK</v>
          </cell>
          <cell r="E4376" t="str">
            <v>ZFGD</v>
          </cell>
          <cell r="F4376" t="str">
            <v>PC</v>
          </cell>
          <cell r="G4376" t="str">
            <v>1</v>
          </cell>
          <cell r="H4376" t="str">
            <v>INDUSTRY</v>
          </cell>
          <cell r="I4376" t="str">
            <v>11</v>
          </cell>
          <cell r="J4376" t="str">
            <v>WOOD COATINGS</v>
          </cell>
          <cell r="K4376" t="str">
            <v>1109</v>
          </cell>
          <cell r="L4376" t="str">
            <v>STAIN &amp; GLAZE INTERIOR</v>
          </cell>
          <cell r="M4376" t="str">
            <v>110903</v>
          </cell>
          <cell r="N4376" t="str">
            <v>STAIN INTERIOR</v>
          </cell>
        </row>
        <row r="4377">
          <cell r="C4377" t="str">
            <v>100005910</v>
          </cell>
          <cell r="D4377" t="str">
            <v>WBL-61204 HV CLEAR 25 VN-20KP</v>
          </cell>
          <cell r="E4377" t="str">
            <v>ZFGD</v>
          </cell>
          <cell r="F4377" t="str">
            <v>PC</v>
          </cell>
          <cell r="G4377" t="str">
            <v>1</v>
          </cell>
          <cell r="H4377" t="str">
            <v>INDUSTRY</v>
          </cell>
          <cell r="I4377" t="str">
            <v>11</v>
          </cell>
          <cell r="J4377" t="str">
            <v>WOOD COATINGS</v>
          </cell>
          <cell r="K4377" t="str">
            <v>1119</v>
          </cell>
          <cell r="L4377" t="str">
            <v>WATERBASED</v>
          </cell>
          <cell r="M4377" t="str">
            <v>111902</v>
          </cell>
          <cell r="N4377" t="str">
            <v>WATERBASED SYSTEM INTERIOR</v>
          </cell>
        </row>
        <row r="4378">
          <cell r="C4378" t="str">
            <v>100005911</v>
          </cell>
          <cell r="D4378" t="str">
            <v>WBC-62241 GREY 27 10 DX VN-20KP</v>
          </cell>
          <cell r="E4378" t="str">
            <v>ZFGD</v>
          </cell>
          <cell r="F4378" t="str">
            <v>PC</v>
          </cell>
          <cell r="G4378" t="str">
            <v>1</v>
          </cell>
          <cell r="H4378" t="str">
            <v>INDUSTRY</v>
          </cell>
          <cell r="I4378" t="str">
            <v>11</v>
          </cell>
          <cell r="J4378" t="str">
            <v>WOOD COATINGS</v>
          </cell>
          <cell r="K4378" t="str">
            <v>1119</v>
          </cell>
          <cell r="L4378" t="str">
            <v>WATERBASED</v>
          </cell>
          <cell r="M4378" t="str">
            <v>111902</v>
          </cell>
          <cell r="N4378" t="str">
            <v>WATERBASED SYSTEM INTERIOR</v>
          </cell>
        </row>
        <row r="4379">
          <cell r="C4379" t="str">
            <v>100005912</v>
          </cell>
          <cell r="D4379" t="str">
            <v>DC-12229 LC BLACK 05 VN-18KP</v>
          </cell>
          <cell r="E4379" t="str">
            <v>ZFGD</v>
          </cell>
          <cell r="F4379" t="str">
            <v>PC</v>
          </cell>
          <cell r="G4379" t="str">
            <v>1</v>
          </cell>
          <cell r="H4379" t="str">
            <v>INDUSTRY</v>
          </cell>
          <cell r="I4379" t="str">
            <v>11</v>
          </cell>
          <cell r="J4379" t="str">
            <v>WOOD COATINGS</v>
          </cell>
          <cell r="K4379" t="str">
            <v>1104</v>
          </cell>
          <cell r="L4379" t="str">
            <v>NC</v>
          </cell>
          <cell r="M4379" t="str">
            <v>110405</v>
          </cell>
          <cell r="N4379" t="str">
            <v>NC SYSTEM</v>
          </cell>
        </row>
        <row r="4380">
          <cell r="C4380" t="str">
            <v>100005913</v>
          </cell>
          <cell r="D4380" t="str">
            <v>PUP-52141 XAM TL VN-20KP</v>
          </cell>
          <cell r="E4380" t="str">
            <v>ZFGD</v>
          </cell>
          <cell r="F4380" t="str">
            <v>PC</v>
          </cell>
          <cell r="G4380" t="str">
            <v>1</v>
          </cell>
          <cell r="H4380" t="str">
            <v>INDUSTRY</v>
          </cell>
          <cell r="I4380" t="str">
            <v>11</v>
          </cell>
          <cell r="J4380" t="str">
            <v>WOOD COATINGS</v>
          </cell>
          <cell r="K4380" t="str">
            <v>1103</v>
          </cell>
          <cell r="L4380" t="str">
            <v>PU</v>
          </cell>
          <cell r="M4380" t="str">
            <v>110322</v>
          </cell>
          <cell r="N4380" t="str">
            <v>PU PRIMER</v>
          </cell>
        </row>
        <row r="4381">
          <cell r="C4381" t="str">
            <v>100005914</v>
          </cell>
          <cell r="D4381" t="str">
            <v>WBP-62104 LF 2 BLACK 00 GR VN-20KP</v>
          </cell>
          <cell r="E4381" t="str">
            <v>ZFGD</v>
          </cell>
          <cell r="F4381" t="str">
            <v>PC</v>
          </cell>
          <cell r="G4381" t="str">
            <v>1</v>
          </cell>
          <cell r="H4381" t="str">
            <v>INDUSTRY</v>
          </cell>
          <cell r="I4381" t="str">
            <v>11</v>
          </cell>
          <cell r="J4381" t="str">
            <v>WOOD COATINGS</v>
          </cell>
          <cell r="K4381" t="str">
            <v>1119</v>
          </cell>
          <cell r="L4381" t="str">
            <v>WATERBASED</v>
          </cell>
          <cell r="M4381" t="str">
            <v>111902</v>
          </cell>
          <cell r="N4381" t="str">
            <v>WATERBASED SYSTEM INTERIOR</v>
          </cell>
        </row>
        <row r="4382">
          <cell r="C4382" t="str">
            <v>100005915</v>
          </cell>
          <cell r="D4382" t="str">
            <v>SST-11100 403CO 01 KD VN-16KJ</v>
          </cell>
          <cell r="E4382" t="str">
            <v>ZFGD</v>
          </cell>
          <cell r="F4382" t="str">
            <v>PC</v>
          </cell>
          <cell r="G4382" t="str">
            <v>1</v>
          </cell>
          <cell r="H4382" t="str">
            <v>INDUSTRY</v>
          </cell>
          <cell r="I4382" t="str">
            <v>11</v>
          </cell>
          <cell r="J4382" t="str">
            <v>WOOD COATINGS</v>
          </cell>
          <cell r="K4382" t="str">
            <v>1109</v>
          </cell>
          <cell r="L4382" t="str">
            <v>STAIN &amp; GLAZE INTERIOR</v>
          </cell>
          <cell r="M4382" t="str">
            <v>110903</v>
          </cell>
          <cell r="N4382" t="str">
            <v>STAIN INTERIOR</v>
          </cell>
        </row>
        <row r="4383">
          <cell r="C4383" t="str">
            <v>100005916</v>
          </cell>
          <cell r="D4383" t="str">
            <v>SST-11100 403CO 02 KD VN-16KJ</v>
          </cell>
          <cell r="E4383" t="str">
            <v>ZFGD</v>
          </cell>
          <cell r="F4383" t="str">
            <v>PC</v>
          </cell>
          <cell r="G4383" t="str">
            <v>1</v>
          </cell>
          <cell r="H4383" t="str">
            <v>INDUSTRY</v>
          </cell>
          <cell r="I4383" t="str">
            <v>11</v>
          </cell>
          <cell r="J4383" t="str">
            <v>WOOD COATINGS</v>
          </cell>
          <cell r="K4383" t="str">
            <v>1109</v>
          </cell>
          <cell r="L4383" t="str">
            <v>STAIN &amp; GLAZE INTERIOR</v>
          </cell>
          <cell r="M4383" t="str">
            <v>110903</v>
          </cell>
          <cell r="N4383" t="str">
            <v>STAIN INTERIOR</v>
          </cell>
        </row>
        <row r="4384">
          <cell r="C4384" t="str">
            <v>100005917</v>
          </cell>
          <cell r="D4384" t="str">
            <v>SST-11100 355 BEECH 01 KD VN-16KJ</v>
          </cell>
          <cell r="E4384" t="str">
            <v>ZFGD</v>
          </cell>
          <cell r="F4384" t="str">
            <v>PC</v>
          </cell>
          <cell r="G4384" t="str">
            <v>1</v>
          </cell>
          <cell r="H4384" t="str">
            <v>INDUSTRY</v>
          </cell>
          <cell r="I4384" t="str">
            <v>11</v>
          </cell>
          <cell r="J4384" t="str">
            <v>WOOD COATINGS</v>
          </cell>
          <cell r="K4384" t="str">
            <v>1109</v>
          </cell>
          <cell r="L4384" t="str">
            <v>STAIN &amp; GLAZE INTERIOR</v>
          </cell>
          <cell r="M4384" t="str">
            <v>110903</v>
          </cell>
          <cell r="N4384" t="str">
            <v>STAIN INTERIOR</v>
          </cell>
        </row>
        <row r="4385">
          <cell r="C4385" t="str">
            <v>100005918</v>
          </cell>
          <cell r="D4385" t="str">
            <v>SST-11100 355 BEECH 02 KD VN-16KJ</v>
          </cell>
          <cell r="E4385" t="str">
            <v>ZFGD</v>
          </cell>
          <cell r="F4385" t="str">
            <v>PC</v>
          </cell>
          <cell r="G4385" t="str">
            <v>1</v>
          </cell>
          <cell r="H4385" t="str">
            <v>INDUSTRY</v>
          </cell>
          <cell r="I4385" t="str">
            <v>11</v>
          </cell>
          <cell r="J4385" t="str">
            <v>WOOD COATINGS</v>
          </cell>
          <cell r="K4385" t="str">
            <v>1109</v>
          </cell>
          <cell r="L4385" t="str">
            <v>STAIN &amp; GLAZE INTERIOR</v>
          </cell>
          <cell r="M4385" t="str">
            <v>110903</v>
          </cell>
          <cell r="N4385" t="str">
            <v>STAIN INTERIOR</v>
          </cell>
        </row>
        <row r="4386">
          <cell r="C4386" t="str">
            <v>100005919</v>
          </cell>
          <cell r="D4386" t="str">
            <v>SST-11100 DW 18 01 KD VN-16KJ</v>
          </cell>
          <cell r="E4386" t="str">
            <v>ZFGD</v>
          </cell>
          <cell r="F4386" t="str">
            <v>PC</v>
          </cell>
          <cell r="G4386" t="str">
            <v>1</v>
          </cell>
          <cell r="H4386" t="str">
            <v>INDUSTRY</v>
          </cell>
          <cell r="I4386" t="str">
            <v>11</v>
          </cell>
          <cell r="J4386" t="str">
            <v>WOOD COATINGS</v>
          </cell>
          <cell r="K4386" t="str">
            <v>1109</v>
          </cell>
          <cell r="L4386" t="str">
            <v>STAIN &amp; GLAZE INTERIOR</v>
          </cell>
          <cell r="M4386" t="str">
            <v>110903</v>
          </cell>
          <cell r="N4386" t="str">
            <v>STAIN INTERIOR</v>
          </cell>
        </row>
        <row r="4387">
          <cell r="C4387" t="str">
            <v>100005920</v>
          </cell>
          <cell r="D4387" t="str">
            <v>SST-11100 DW 18 02 KD VN-16KJ</v>
          </cell>
          <cell r="E4387" t="str">
            <v>ZFGD</v>
          </cell>
          <cell r="F4387" t="str">
            <v>PC</v>
          </cell>
          <cell r="G4387" t="str">
            <v>1</v>
          </cell>
          <cell r="H4387" t="str">
            <v>INDUSTRY</v>
          </cell>
          <cell r="I4387" t="str">
            <v>11</v>
          </cell>
          <cell r="J4387" t="str">
            <v>WOOD COATINGS</v>
          </cell>
          <cell r="K4387" t="str">
            <v>1109</v>
          </cell>
          <cell r="L4387" t="str">
            <v>STAIN &amp; GLAZE INTERIOR</v>
          </cell>
          <cell r="M4387" t="str">
            <v>110903</v>
          </cell>
          <cell r="N4387" t="str">
            <v>STAIN INTERIOR</v>
          </cell>
        </row>
        <row r="4388">
          <cell r="C4388" t="str">
            <v>100005921</v>
          </cell>
          <cell r="D4388" t="str">
            <v>SST-11100 SO 09 KD VN-16KJ</v>
          </cell>
          <cell r="E4388" t="str">
            <v>ZFGD</v>
          </cell>
          <cell r="F4388" t="str">
            <v>PC</v>
          </cell>
          <cell r="G4388" t="str">
            <v>1</v>
          </cell>
          <cell r="H4388" t="str">
            <v>INDUSTRY</v>
          </cell>
          <cell r="I4388" t="str">
            <v>11</v>
          </cell>
          <cell r="J4388" t="str">
            <v>WOOD COATINGS</v>
          </cell>
          <cell r="K4388" t="str">
            <v>1109</v>
          </cell>
          <cell r="L4388" t="str">
            <v>STAIN &amp; GLAZE INTERIOR</v>
          </cell>
          <cell r="M4388" t="str">
            <v>110903</v>
          </cell>
          <cell r="N4388" t="str">
            <v>STAIN INTERIOR</v>
          </cell>
        </row>
        <row r="4389">
          <cell r="C4389" t="str">
            <v>100005922</v>
          </cell>
          <cell r="D4389" t="str">
            <v>PUP-52141 DW 18 KD VN-20KP</v>
          </cell>
          <cell r="E4389" t="str">
            <v>ZFGD</v>
          </cell>
          <cell r="F4389" t="str">
            <v>PC</v>
          </cell>
          <cell r="G4389" t="str">
            <v>1</v>
          </cell>
          <cell r="H4389" t="str">
            <v>INDUSTRY</v>
          </cell>
          <cell r="I4389" t="str">
            <v>11</v>
          </cell>
          <cell r="J4389" t="str">
            <v>WOOD COATINGS</v>
          </cell>
          <cell r="K4389" t="str">
            <v>1103</v>
          </cell>
          <cell r="L4389" t="str">
            <v>PU</v>
          </cell>
          <cell r="M4389" t="str">
            <v>110322</v>
          </cell>
          <cell r="N4389" t="str">
            <v>PU PRIMER</v>
          </cell>
        </row>
        <row r="4390">
          <cell r="C4390" t="str">
            <v>100005923</v>
          </cell>
          <cell r="D4390" t="str">
            <v>PUP-52141 S009 KD VN-20KP</v>
          </cell>
          <cell r="E4390" t="str">
            <v>ZFGD</v>
          </cell>
          <cell r="F4390" t="str">
            <v>PC</v>
          </cell>
          <cell r="G4390" t="str">
            <v>1</v>
          </cell>
          <cell r="H4390" t="str">
            <v>INDUSTRY</v>
          </cell>
          <cell r="I4390" t="str">
            <v>11</v>
          </cell>
          <cell r="J4390" t="str">
            <v>WOOD COATINGS</v>
          </cell>
          <cell r="K4390" t="str">
            <v>1103</v>
          </cell>
          <cell r="L4390" t="str">
            <v>PU</v>
          </cell>
          <cell r="M4390" t="str">
            <v>110322</v>
          </cell>
          <cell r="N4390" t="str">
            <v>PU PRIMER</v>
          </cell>
        </row>
        <row r="4391">
          <cell r="C4391" t="str">
            <v>100005924</v>
          </cell>
          <cell r="D4391" t="str">
            <v>PUC-52239 BLACK 20 QI VN-18KP</v>
          </cell>
          <cell r="E4391" t="str">
            <v>ZFGD</v>
          </cell>
          <cell r="F4391" t="str">
            <v>PC</v>
          </cell>
          <cell r="G4391" t="str">
            <v>1</v>
          </cell>
          <cell r="H4391" t="str">
            <v>INDUSTRY</v>
          </cell>
          <cell r="I4391" t="str">
            <v>11</v>
          </cell>
          <cell r="J4391" t="str">
            <v>WOOD COATINGS</v>
          </cell>
          <cell r="K4391" t="str">
            <v>1103</v>
          </cell>
          <cell r="L4391" t="str">
            <v>PU</v>
          </cell>
          <cell r="M4391" t="str">
            <v>110319</v>
          </cell>
          <cell r="N4391" t="str">
            <v>PU COLOR</v>
          </cell>
        </row>
        <row r="4392">
          <cell r="C4392" t="str">
            <v>100005925</v>
          </cell>
          <cell r="D4392" t="str">
            <v>WBL-61204 CLEAR 10 VN-20KP</v>
          </cell>
          <cell r="E4392" t="str">
            <v>ZFGD</v>
          </cell>
          <cell r="F4392" t="str">
            <v>PC</v>
          </cell>
          <cell r="G4392" t="str">
            <v>1</v>
          </cell>
          <cell r="H4392" t="str">
            <v>INDUSTRY</v>
          </cell>
          <cell r="I4392" t="str">
            <v>11</v>
          </cell>
          <cell r="J4392" t="str">
            <v>WOOD COATINGS</v>
          </cell>
          <cell r="K4392" t="str">
            <v>1119</v>
          </cell>
          <cell r="L4392" t="str">
            <v>WATERBASED</v>
          </cell>
          <cell r="M4392" t="str">
            <v>111902</v>
          </cell>
          <cell r="N4392" t="str">
            <v>WATERBASED SYSTEM INTERIOR</v>
          </cell>
        </row>
        <row r="4393">
          <cell r="C4393" t="str">
            <v>100005926</v>
          </cell>
          <cell r="D4393" t="str">
            <v>PST-12202 BROWN SC VN-20LJ</v>
          </cell>
          <cell r="E4393" t="str">
            <v>ZFGD</v>
          </cell>
          <cell r="F4393" t="str">
            <v>PC</v>
          </cell>
          <cell r="G4393" t="str">
            <v>1</v>
          </cell>
          <cell r="H4393" t="str">
            <v>INDUSTRY</v>
          </cell>
          <cell r="I4393" t="str">
            <v>11</v>
          </cell>
          <cell r="J4393" t="str">
            <v>WOOD COATINGS</v>
          </cell>
          <cell r="K4393" t="str">
            <v>1101</v>
          </cell>
          <cell r="L4393" t="str">
            <v>ALKYD OIL</v>
          </cell>
          <cell r="M4393" t="str">
            <v>110102</v>
          </cell>
          <cell r="N4393" t="str">
            <v>STAIN EXTERIOR</v>
          </cell>
        </row>
        <row r="4394">
          <cell r="C4394" t="str">
            <v>100005927</v>
          </cell>
          <cell r="D4394" t="str">
            <v>PST-12202 BROWN SC VN-200LK</v>
          </cell>
          <cell r="E4394" t="str">
            <v>ZFGD</v>
          </cell>
          <cell r="F4394" t="str">
            <v>PC</v>
          </cell>
          <cell r="G4394" t="str">
            <v>1</v>
          </cell>
          <cell r="H4394" t="str">
            <v>INDUSTRY</v>
          </cell>
          <cell r="I4394" t="str">
            <v>11</v>
          </cell>
          <cell r="J4394" t="str">
            <v>WOOD COATINGS</v>
          </cell>
          <cell r="K4394" t="str">
            <v>1101</v>
          </cell>
          <cell r="L4394" t="str">
            <v>ALKYD OIL</v>
          </cell>
          <cell r="M4394" t="str">
            <v>110102</v>
          </cell>
          <cell r="N4394" t="str">
            <v>STAIN EXTERIOR</v>
          </cell>
        </row>
        <row r="4395">
          <cell r="C4395" t="str">
            <v>100005928</v>
          </cell>
          <cell r="D4395" t="str">
            <v>PST-12202 MUB SC VN-20LJ</v>
          </cell>
          <cell r="E4395" t="str">
            <v>ZFGD</v>
          </cell>
          <cell r="F4395" t="str">
            <v>PC</v>
          </cell>
          <cell r="G4395" t="str">
            <v>1</v>
          </cell>
          <cell r="H4395" t="str">
            <v>INDUSTRY</v>
          </cell>
          <cell r="I4395" t="str">
            <v>11</v>
          </cell>
          <cell r="J4395" t="str">
            <v>WOOD COATINGS</v>
          </cell>
          <cell r="K4395" t="str">
            <v>1101</v>
          </cell>
          <cell r="L4395" t="str">
            <v>ALKYD OIL</v>
          </cell>
          <cell r="M4395" t="str">
            <v>110102</v>
          </cell>
          <cell r="N4395" t="str">
            <v>STAIN EXTERIOR</v>
          </cell>
        </row>
        <row r="4396">
          <cell r="C4396" t="str">
            <v>100005929</v>
          </cell>
          <cell r="D4396" t="str">
            <v>PST-12202 MUB SC VN-200LK</v>
          </cell>
          <cell r="E4396" t="str">
            <v>ZFGD</v>
          </cell>
          <cell r="F4396" t="str">
            <v>PC</v>
          </cell>
          <cell r="G4396" t="str">
            <v>1</v>
          </cell>
          <cell r="H4396" t="str">
            <v>INDUSTRY</v>
          </cell>
          <cell r="I4396" t="str">
            <v>11</v>
          </cell>
          <cell r="J4396" t="str">
            <v>WOOD COATINGS</v>
          </cell>
          <cell r="K4396" t="str">
            <v>1101</v>
          </cell>
          <cell r="L4396" t="str">
            <v>ALKYD OIL</v>
          </cell>
          <cell r="M4396" t="str">
            <v>110102</v>
          </cell>
          <cell r="N4396" t="str">
            <v>STAIN EXTERIOR</v>
          </cell>
        </row>
        <row r="4397">
          <cell r="C4397" t="str">
            <v>100005930</v>
          </cell>
          <cell r="D4397" t="str">
            <v>PST-12202 DWA SC VN-20LJ</v>
          </cell>
          <cell r="E4397" t="str">
            <v>ZFGD</v>
          </cell>
          <cell r="F4397" t="str">
            <v>PC</v>
          </cell>
          <cell r="G4397" t="str">
            <v>1</v>
          </cell>
          <cell r="H4397" t="str">
            <v>INDUSTRY</v>
          </cell>
          <cell r="I4397" t="str">
            <v>11</v>
          </cell>
          <cell r="J4397" t="str">
            <v>WOOD COATINGS</v>
          </cell>
          <cell r="K4397" t="str">
            <v>1101</v>
          </cell>
          <cell r="L4397" t="str">
            <v>ALKYD OIL</v>
          </cell>
          <cell r="M4397" t="str">
            <v>110102</v>
          </cell>
          <cell r="N4397" t="str">
            <v>STAIN EXTERIOR</v>
          </cell>
        </row>
        <row r="4398">
          <cell r="C4398" t="str">
            <v>100005931</v>
          </cell>
          <cell r="D4398" t="str">
            <v>PST-12202 DWA SC VN-200LK</v>
          </cell>
          <cell r="E4398" t="str">
            <v>ZFGD</v>
          </cell>
          <cell r="F4398" t="str">
            <v>PC</v>
          </cell>
          <cell r="G4398" t="str">
            <v>1</v>
          </cell>
          <cell r="H4398" t="str">
            <v>INDUSTRY</v>
          </cell>
          <cell r="I4398" t="str">
            <v>11</v>
          </cell>
          <cell r="J4398" t="str">
            <v>WOOD COATINGS</v>
          </cell>
          <cell r="K4398" t="str">
            <v>1101</v>
          </cell>
          <cell r="L4398" t="str">
            <v>ALKYD OIL</v>
          </cell>
          <cell r="M4398" t="str">
            <v>110102</v>
          </cell>
          <cell r="N4398" t="str">
            <v>STAIN EXTERIOR</v>
          </cell>
        </row>
        <row r="4399">
          <cell r="C4399" t="str">
            <v>100005933</v>
          </cell>
          <cell r="D4399" t="str">
            <v>DP-12123 LC GREY 28 DX VN-18KP</v>
          </cell>
          <cell r="E4399" t="str">
            <v>ZFGD</v>
          </cell>
          <cell r="F4399" t="str">
            <v>PC</v>
          </cell>
          <cell r="G4399" t="str">
            <v>1</v>
          </cell>
          <cell r="H4399" t="str">
            <v>INDUSTRY</v>
          </cell>
          <cell r="I4399" t="str">
            <v>11</v>
          </cell>
          <cell r="J4399" t="str">
            <v>WOOD COATINGS</v>
          </cell>
          <cell r="K4399" t="str">
            <v>1104</v>
          </cell>
          <cell r="L4399" t="str">
            <v>NC</v>
          </cell>
          <cell r="M4399" t="str">
            <v>110405</v>
          </cell>
          <cell r="N4399" t="str">
            <v>NC SYSTEM</v>
          </cell>
        </row>
        <row r="4400">
          <cell r="C4400" t="str">
            <v>100005934</v>
          </cell>
          <cell r="D4400" t="str">
            <v>PUC-52241 XANH CHITRINH 10 MK VN-20KP</v>
          </cell>
          <cell r="E4400" t="str">
            <v>ZFGD</v>
          </cell>
          <cell r="F4400" t="str">
            <v>PC</v>
          </cell>
          <cell r="G4400" t="str">
            <v>1</v>
          </cell>
          <cell r="H4400" t="str">
            <v>INDUSTRY</v>
          </cell>
          <cell r="I4400" t="str">
            <v>11</v>
          </cell>
          <cell r="J4400" t="str">
            <v>WOOD COATINGS</v>
          </cell>
          <cell r="K4400" t="str">
            <v>1103</v>
          </cell>
          <cell r="L4400" t="str">
            <v>PU</v>
          </cell>
          <cell r="M4400" t="str">
            <v>110319</v>
          </cell>
          <cell r="N4400" t="str">
            <v>PU COLOR</v>
          </cell>
        </row>
        <row r="4401">
          <cell r="C4401" t="str">
            <v>100005935</v>
          </cell>
          <cell r="D4401" t="str">
            <v>WBL-63220 BROWN 2C01 N F1 VN-18KP</v>
          </cell>
          <cell r="E4401" t="str">
            <v>ZFGD</v>
          </cell>
          <cell r="F4401" t="str">
            <v>PC</v>
          </cell>
          <cell r="G4401" t="str">
            <v>1</v>
          </cell>
          <cell r="H4401" t="str">
            <v>INDUSTRY</v>
          </cell>
          <cell r="I4401" t="str">
            <v>11</v>
          </cell>
          <cell r="J4401" t="str">
            <v>WOOD COATINGS</v>
          </cell>
          <cell r="K4401" t="str">
            <v>1119</v>
          </cell>
          <cell r="L4401" t="str">
            <v>WATERBASED</v>
          </cell>
          <cell r="M4401" t="str">
            <v>111901</v>
          </cell>
          <cell r="N4401" t="str">
            <v>WATERBASED SYSTEM EXTERIOR</v>
          </cell>
        </row>
        <row r="4402">
          <cell r="C4402" t="str">
            <v>100005936</v>
          </cell>
          <cell r="D4402" t="str">
            <v>WBL-63220 BROWN 2C01 P F1 VN-18KP</v>
          </cell>
          <cell r="E4402" t="str">
            <v>ZFGD</v>
          </cell>
          <cell r="F4402" t="str">
            <v>PC</v>
          </cell>
          <cell r="G4402" t="str">
            <v>1</v>
          </cell>
          <cell r="H4402" t="str">
            <v>INDUSTRY</v>
          </cell>
          <cell r="I4402" t="str">
            <v>11</v>
          </cell>
          <cell r="J4402" t="str">
            <v>WOOD COATINGS</v>
          </cell>
          <cell r="K4402" t="str">
            <v>1119</v>
          </cell>
          <cell r="L4402" t="str">
            <v>WATERBASED</v>
          </cell>
          <cell r="M4402" t="str">
            <v>111901</v>
          </cell>
          <cell r="N4402" t="str">
            <v>WATERBASED SYSTEM EXTERIOR</v>
          </cell>
        </row>
        <row r="4403">
          <cell r="C4403" t="str">
            <v>100005937</v>
          </cell>
          <cell r="D4403" t="str">
            <v>THSE-29000 REDUCER MD-200LK</v>
          </cell>
          <cell r="E4403" t="str">
            <v>ZFGD</v>
          </cell>
          <cell r="F4403" t="str">
            <v>PC</v>
          </cell>
          <cell r="G4403" t="str">
            <v>1</v>
          </cell>
          <cell r="H4403" t="str">
            <v>INDUSTRY</v>
          </cell>
          <cell r="I4403" t="str">
            <v>14</v>
          </cell>
          <cell r="J4403" t="str">
            <v>THINNER</v>
          </cell>
          <cell r="K4403" t="str">
            <v>1407</v>
          </cell>
          <cell r="L4403" t="str">
            <v>THINNER METAL COATINGS</v>
          </cell>
          <cell r="M4403" t="str">
            <v>140702</v>
          </cell>
          <cell r="N4403" t="str">
            <v>THINNER METAL COATINGS</v>
          </cell>
        </row>
        <row r="4404">
          <cell r="C4404" t="str">
            <v>100005939</v>
          </cell>
          <cell r="D4404" t="str">
            <v>WBL-63220 BLACK 2C01 F1 VN-18KP</v>
          </cell>
          <cell r="E4404" t="str">
            <v>ZFGD</v>
          </cell>
          <cell r="F4404" t="str">
            <v>PC</v>
          </cell>
          <cell r="G4404" t="str">
            <v>1</v>
          </cell>
          <cell r="H4404" t="str">
            <v>INDUSTRY</v>
          </cell>
          <cell r="I4404" t="str">
            <v>11</v>
          </cell>
          <cell r="J4404" t="str">
            <v>WOOD COATINGS</v>
          </cell>
          <cell r="K4404" t="str">
            <v>1119</v>
          </cell>
          <cell r="L4404" t="str">
            <v>WATERBASED</v>
          </cell>
          <cell r="M4404" t="str">
            <v>111901</v>
          </cell>
          <cell r="N4404" t="str">
            <v>WATERBASED SYSTEM EXTERIOR</v>
          </cell>
        </row>
        <row r="4405">
          <cell r="C4405" t="str">
            <v>100005940</v>
          </cell>
          <cell r="D4405" t="str">
            <v>MPUL-13700 CL VN-16KP</v>
          </cell>
          <cell r="E4405" t="str">
            <v>ZFGD</v>
          </cell>
          <cell r="F4405" t="str">
            <v>PC</v>
          </cell>
          <cell r="G4405" t="str">
            <v>1</v>
          </cell>
          <cell r="H4405" t="str">
            <v>INDUSTRY</v>
          </cell>
          <cell r="I4405" t="str">
            <v>16</v>
          </cell>
          <cell r="J4405" t="str">
            <v>METAL COATINGS</v>
          </cell>
          <cell r="K4405" t="str">
            <v>1601</v>
          </cell>
          <cell r="L4405" t="str">
            <v>METAL COATINGS</v>
          </cell>
          <cell r="M4405" t="str">
            <v>160101</v>
          </cell>
          <cell r="N4405" t="str">
            <v>METAL COATINGS</v>
          </cell>
        </row>
        <row r="4406">
          <cell r="C4406" t="str">
            <v>100005941</v>
          </cell>
          <cell r="D4406" t="str">
            <v>PUP-52141 WHITE BL VN-20KP</v>
          </cell>
          <cell r="E4406" t="str">
            <v>ZFGD</v>
          </cell>
          <cell r="F4406" t="str">
            <v>PC</v>
          </cell>
          <cell r="G4406" t="str">
            <v>1</v>
          </cell>
          <cell r="H4406" t="str">
            <v>INDUSTRY</v>
          </cell>
          <cell r="I4406" t="str">
            <v>11</v>
          </cell>
          <cell r="J4406" t="str">
            <v>WOOD COATINGS</v>
          </cell>
          <cell r="K4406" t="str">
            <v>1103</v>
          </cell>
          <cell r="L4406" t="str">
            <v>PU</v>
          </cell>
          <cell r="M4406" t="str">
            <v>110322</v>
          </cell>
          <cell r="N4406" t="str">
            <v>PU PRIMER</v>
          </cell>
        </row>
        <row r="4407">
          <cell r="C4407" t="str">
            <v>100005942</v>
          </cell>
          <cell r="D4407" t="str">
            <v>PUC-52239 WHITE 09W 10 VHW VN-20KP</v>
          </cell>
          <cell r="E4407" t="str">
            <v>ZFGD</v>
          </cell>
          <cell r="F4407" t="str">
            <v>PC</v>
          </cell>
          <cell r="G4407" t="str">
            <v>1</v>
          </cell>
          <cell r="H4407" t="str">
            <v>INDUSTRY</v>
          </cell>
          <cell r="I4407" t="str">
            <v>11</v>
          </cell>
          <cell r="J4407" t="str">
            <v>WOOD COATINGS</v>
          </cell>
          <cell r="K4407" t="str">
            <v>1103</v>
          </cell>
          <cell r="L4407" t="str">
            <v>PU</v>
          </cell>
          <cell r="M4407" t="str">
            <v>110319</v>
          </cell>
          <cell r="N4407" t="str">
            <v>PU COLOR</v>
          </cell>
        </row>
        <row r="4408">
          <cell r="C4408" t="str">
            <v>100005943</v>
          </cell>
          <cell r="D4408" t="str">
            <v>PUP-52135 WA19 KD VN-20KP</v>
          </cell>
          <cell r="E4408" t="str">
            <v>ZFGD</v>
          </cell>
          <cell r="F4408" t="str">
            <v>PC</v>
          </cell>
          <cell r="G4408" t="str">
            <v>1</v>
          </cell>
          <cell r="H4408" t="str">
            <v>INDUSTRY</v>
          </cell>
          <cell r="I4408" t="str">
            <v>11</v>
          </cell>
          <cell r="J4408" t="str">
            <v>WOOD COATINGS</v>
          </cell>
          <cell r="K4408" t="str">
            <v>1103</v>
          </cell>
          <cell r="L4408" t="str">
            <v>PU</v>
          </cell>
          <cell r="M4408" t="str">
            <v>110322</v>
          </cell>
          <cell r="N4408" t="str">
            <v>PU PRIMER</v>
          </cell>
        </row>
        <row r="4409">
          <cell r="C4409" t="str">
            <v>100005944</v>
          </cell>
          <cell r="D4409" t="str">
            <v>PUP-52135 DW 18 KD VN-20KP</v>
          </cell>
          <cell r="E4409" t="str">
            <v>ZFGD</v>
          </cell>
          <cell r="F4409" t="str">
            <v>PC</v>
          </cell>
          <cell r="G4409" t="str">
            <v>1</v>
          </cell>
          <cell r="H4409" t="str">
            <v>INDUSTRY</v>
          </cell>
          <cell r="I4409" t="str">
            <v>11</v>
          </cell>
          <cell r="J4409" t="str">
            <v>WOOD COATINGS</v>
          </cell>
          <cell r="K4409" t="str">
            <v>1103</v>
          </cell>
          <cell r="L4409" t="str">
            <v>PU</v>
          </cell>
          <cell r="M4409" t="str">
            <v>110322</v>
          </cell>
          <cell r="N4409" t="str">
            <v>PU PRIMER</v>
          </cell>
        </row>
        <row r="4410">
          <cell r="C4410" t="str">
            <v>100005945</v>
          </cell>
          <cell r="D4410" t="str">
            <v>PUP-52135 SO 09 KD VN-20KP</v>
          </cell>
          <cell r="E4410" t="str">
            <v>ZFGD</v>
          </cell>
          <cell r="F4410" t="str">
            <v>PC</v>
          </cell>
          <cell r="G4410" t="str">
            <v>1</v>
          </cell>
          <cell r="H4410" t="str">
            <v>INDUSTRY</v>
          </cell>
          <cell r="I4410" t="str">
            <v>11</v>
          </cell>
          <cell r="J4410" t="str">
            <v>WOOD COATINGS</v>
          </cell>
          <cell r="K4410" t="str">
            <v>1103</v>
          </cell>
          <cell r="L4410" t="str">
            <v>PU</v>
          </cell>
          <cell r="M4410" t="str">
            <v>110322</v>
          </cell>
          <cell r="N4410" t="str">
            <v>PU PRIMER</v>
          </cell>
        </row>
        <row r="4411">
          <cell r="C4411" t="str">
            <v>100005946</v>
          </cell>
          <cell r="D4411" t="str">
            <v>WBSS-61135 VN-20KP</v>
          </cell>
          <cell r="E4411" t="str">
            <v>ZFGD</v>
          </cell>
          <cell r="F4411" t="str">
            <v>PC</v>
          </cell>
          <cell r="G4411" t="str">
            <v>1</v>
          </cell>
          <cell r="H4411" t="str">
            <v>INDUSTRY</v>
          </cell>
          <cell r="I4411" t="str">
            <v>11</v>
          </cell>
          <cell r="J4411" t="str">
            <v>WOOD COATINGS</v>
          </cell>
          <cell r="K4411" t="str">
            <v>1119</v>
          </cell>
          <cell r="L4411" t="str">
            <v>WATERBASED</v>
          </cell>
          <cell r="M4411" t="str">
            <v>111902</v>
          </cell>
          <cell r="N4411" t="str">
            <v>WATERBASED SYSTEM INTERIOR</v>
          </cell>
        </row>
        <row r="4412">
          <cell r="C4412" t="str">
            <v>100005947</v>
          </cell>
          <cell r="D4412" t="str">
            <v>WBP-62104 BLACK 01 TH VN-20KP</v>
          </cell>
          <cell r="E4412" t="str">
            <v>ZFGD</v>
          </cell>
          <cell r="F4412" t="str">
            <v>PC</v>
          </cell>
          <cell r="G4412" t="str">
            <v>1</v>
          </cell>
          <cell r="H4412" t="str">
            <v>INDUSTRY</v>
          </cell>
          <cell r="I4412" t="str">
            <v>11</v>
          </cell>
          <cell r="J4412" t="str">
            <v>WOOD COATINGS</v>
          </cell>
          <cell r="K4412" t="str">
            <v>1119</v>
          </cell>
          <cell r="L4412" t="str">
            <v>WATERBASED</v>
          </cell>
          <cell r="M4412" t="str">
            <v>111902</v>
          </cell>
          <cell r="N4412" t="str">
            <v>WATERBASED SYSTEM INTERIOR</v>
          </cell>
        </row>
        <row r="4413">
          <cell r="C4413" t="str">
            <v>100005948</v>
          </cell>
          <cell r="D4413" t="str">
            <v>WBC-62204 BLACK 01 10 TH VN-20KP</v>
          </cell>
          <cell r="E4413" t="str">
            <v>ZFGD</v>
          </cell>
          <cell r="F4413" t="str">
            <v>PC</v>
          </cell>
          <cell r="G4413" t="str">
            <v>1</v>
          </cell>
          <cell r="H4413" t="str">
            <v>INDUSTRY</v>
          </cell>
          <cell r="I4413" t="str">
            <v>11</v>
          </cell>
          <cell r="J4413" t="str">
            <v>WOOD COATINGS</v>
          </cell>
          <cell r="K4413" t="str">
            <v>1119</v>
          </cell>
          <cell r="L4413" t="str">
            <v>WATERBASED</v>
          </cell>
          <cell r="M4413" t="str">
            <v>111902</v>
          </cell>
          <cell r="N4413" t="str">
            <v>WATERBASED SYSTEM INTERIOR</v>
          </cell>
        </row>
        <row r="4414">
          <cell r="C4414" t="str">
            <v>100005949</v>
          </cell>
          <cell r="D4414" t="str">
            <v>WBST-13100 BLACK VN-4K</v>
          </cell>
          <cell r="E4414" t="str">
            <v>ZFGD</v>
          </cell>
          <cell r="F4414" t="str">
            <v>PC</v>
          </cell>
          <cell r="G4414" t="str">
            <v>1</v>
          </cell>
          <cell r="H4414" t="str">
            <v>INDUSTRY</v>
          </cell>
          <cell r="I4414" t="str">
            <v>11</v>
          </cell>
          <cell r="J4414" t="str">
            <v>WOOD COATINGS</v>
          </cell>
          <cell r="K4414" t="str">
            <v>1119</v>
          </cell>
          <cell r="L4414" t="str">
            <v>WATERBASED</v>
          </cell>
          <cell r="M4414" t="str">
            <v>111902</v>
          </cell>
          <cell r="N4414" t="str">
            <v>WATERBASED SYSTEM INTERIOR</v>
          </cell>
        </row>
        <row r="4415">
          <cell r="C4415" t="str">
            <v>100005950</v>
          </cell>
          <cell r="D4415" t="str">
            <v>WBST-13100 RED VN-4K</v>
          </cell>
          <cell r="E4415" t="str">
            <v>ZFGD</v>
          </cell>
          <cell r="F4415" t="str">
            <v>PC</v>
          </cell>
          <cell r="G4415" t="str">
            <v>1</v>
          </cell>
          <cell r="H4415" t="str">
            <v>INDUSTRY</v>
          </cell>
          <cell r="I4415" t="str">
            <v>11</v>
          </cell>
          <cell r="J4415" t="str">
            <v>WOOD COATINGS</v>
          </cell>
          <cell r="K4415" t="str">
            <v>1119</v>
          </cell>
          <cell r="L4415" t="str">
            <v>WATERBASED</v>
          </cell>
          <cell r="M4415" t="str">
            <v>111902</v>
          </cell>
          <cell r="N4415" t="str">
            <v>WATERBASED SYSTEM INTERIOR</v>
          </cell>
        </row>
        <row r="4416">
          <cell r="C4416" t="str">
            <v>100005951</v>
          </cell>
          <cell r="D4416" t="str">
            <v>WBST-13100 YELLOW VN-4K</v>
          </cell>
          <cell r="E4416" t="str">
            <v>ZFGD</v>
          </cell>
          <cell r="F4416" t="str">
            <v>PC</v>
          </cell>
          <cell r="G4416" t="str">
            <v>1</v>
          </cell>
          <cell r="H4416" t="str">
            <v>INDUSTRY</v>
          </cell>
          <cell r="I4416" t="str">
            <v>11</v>
          </cell>
          <cell r="J4416" t="str">
            <v>WOOD COATINGS</v>
          </cell>
          <cell r="K4416" t="str">
            <v>1119</v>
          </cell>
          <cell r="L4416" t="str">
            <v>WATERBASED</v>
          </cell>
          <cell r="M4416" t="str">
            <v>111902</v>
          </cell>
          <cell r="N4416" t="str">
            <v>WATERBASED SYSTEM INTERIOR</v>
          </cell>
        </row>
        <row r="4417">
          <cell r="C4417" t="str">
            <v>100005952</v>
          </cell>
          <cell r="D4417" t="str">
            <v>WBL-63220 EX BASE VN-18KP</v>
          </cell>
          <cell r="E4417" t="str">
            <v>ZFGD</v>
          </cell>
          <cell r="F4417" t="str">
            <v>PC</v>
          </cell>
          <cell r="G4417" t="str">
            <v>1</v>
          </cell>
          <cell r="H4417" t="str">
            <v>INDUSTRY</v>
          </cell>
          <cell r="I4417" t="str">
            <v>11</v>
          </cell>
          <cell r="J4417" t="str">
            <v>WOOD COATINGS</v>
          </cell>
          <cell r="K4417" t="str">
            <v>1119</v>
          </cell>
          <cell r="L4417" t="str">
            <v>WATERBASED</v>
          </cell>
          <cell r="M4417" t="str">
            <v>111901</v>
          </cell>
          <cell r="N4417" t="str">
            <v>WATERBASED SYSTEM EXTERIOR</v>
          </cell>
        </row>
        <row r="4418">
          <cell r="C4418" t="str">
            <v>100005953</v>
          </cell>
          <cell r="D4418" t="str">
            <v>DC-12229 LC BLACK 10 VHW VN-18KP</v>
          </cell>
          <cell r="E4418" t="str">
            <v>ZFGD</v>
          </cell>
          <cell r="F4418" t="str">
            <v>PC</v>
          </cell>
          <cell r="G4418" t="str">
            <v>1</v>
          </cell>
          <cell r="H4418" t="str">
            <v>INDUSTRY</v>
          </cell>
          <cell r="I4418" t="str">
            <v>11</v>
          </cell>
          <cell r="J4418" t="str">
            <v>WOOD COATINGS</v>
          </cell>
          <cell r="K4418" t="str">
            <v>1104</v>
          </cell>
          <cell r="L4418" t="str">
            <v>NC</v>
          </cell>
          <cell r="M4418" t="str">
            <v>110405</v>
          </cell>
          <cell r="N4418" t="str">
            <v>NC SYSTEM</v>
          </cell>
        </row>
        <row r="4419">
          <cell r="C4419" t="str">
            <v>100005954</v>
          </cell>
          <cell r="D4419" t="str">
            <v>UVP-60508 BLUE 0824 ALC VN-20KP</v>
          </cell>
          <cell r="E4419" t="str">
            <v>ZFGD</v>
          </cell>
          <cell r="F4419" t="str">
            <v>PC</v>
          </cell>
          <cell r="G4419" t="str">
            <v>1</v>
          </cell>
          <cell r="H4419" t="str">
            <v>INDUSTRY</v>
          </cell>
          <cell r="I4419" t="str">
            <v>11</v>
          </cell>
          <cell r="J4419" t="str">
            <v>WOOD COATINGS</v>
          </cell>
          <cell r="K4419" t="str">
            <v>1106</v>
          </cell>
          <cell r="L4419" t="str">
            <v>UV</v>
          </cell>
          <cell r="M4419" t="str">
            <v>110604</v>
          </cell>
          <cell r="N4419" t="str">
            <v>UV PRIMER</v>
          </cell>
        </row>
        <row r="4420">
          <cell r="C4420" t="str">
            <v>100005955</v>
          </cell>
          <cell r="D4420" t="str">
            <v>MC-42210 BLUE 0824 08 ALC VN-20KP</v>
          </cell>
          <cell r="E4420" t="str">
            <v>ZFGD</v>
          </cell>
          <cell r="F4420" t="str">
            <v>PC</v>
          </cell>
          <cell r="G4420" t="str">
            <v>1</v>
          </cell>
          <cell r="H4420" t="str">
            <v>INDUSTRY</v>
          </cell>
          <cell r="I4420" t="str">
            <v>11</v>
          </cell>
          <cell r="J4420" t="str">
            <v>WOOD COATINGS</v>
          </cell>
          <cell r="K4420" t="str">
            <v>1102</v>
          </cell>
          <cell r="L4420" t="str">
            <v>MELAMINE</v>
          </cell>
          <cell r="M4420" t="str">
            <v>110202</v>
          </cell>
          <cell r="N4420" t="str">
            <v>MELAMINE COLOR</v>
          </cell>
        </row>
        <row r="4421">
          <cell r="C4421" t="str">
            <v>100005956</v>
          </cell>
          <cell r="D4421" t="str">
            <v>PRCC-10358 WBC POLY V2600 SDW VN-250KK</v>
          </cell>
          <cell r="E4421" t="str">
            <v>ZFGD</v>
          </cell>
          <cell r="F4421" t="str">
            <v>PC</v>
          </cell>
          <cell r="G4421" t="str">
            <v>1</v>
          </cell>
          <cell r="H4421" t="str">
            <v>INDUSTRY</v>
          </cell>
          <cell r="I4421" t="str">
            <v>12</v>
          </cell>
          <cell r="J4421" t="str">
            <v>CAN COATINGS</v>
          </cell>
          <cell r="K4421" t="str">
            <v>1201</v>
          </cell>
          <cell r="L4421" t="str">
            <v>CAN COATINGS</v>
          </cell>
          <cell r="M4421" t="str">
            <v>120101</v>
          </cell>
          <cell r="N4421" t="str">
            <v>CAN COATINGS</v>
          </cell>
        </row>
        <row r="4422">
          <cell r="C4422" t="str">
            <v>100005957</v>
          </cell>
          <cell r="D4422" t="str">
            <v>THML-71200 G1-200LK</v>
          </cell>
          <cell r="E4422" t="str">
            <v>ZFGD</v>
          </cell>
          <cell r="F4422" t="str">
            <v>PC</v>
          </cell>
          <cell r="G4422" t="str">
            <v>1</v>
          </cell>
          <cell r="H4422" t="str">
            <v>INDUSTRY</v>
          </cell>
          <cell r="I4422" t="str">
            <v>11</v>
          </cell>
          <cell r="J4422" t="str">
            <v>WOOD COATINGS</v>
          </cell>
          <cell r="K4422" t="str">
            <v>1102</v>
          </cell>
          <cell r="L4422" t="str">
            <v>MELAMINE</v>
          </cell>
          <cell r="M4422" t="str">
            <v>110201</v>
          </cell>
          <cell r="N4422" t="str">
            <v>MELAMINE SYSTEM</v>
          </cell>
        </row>
        <row r="4423">
          <cell r="C4423" t="str">
            <v>100005958</v>
          </cell>
          <cell r="D4423" t="str">
            <v>THPU-2713-06-AK-25KJ</v>
          </cell>
          <cell r="E4423" t="str">
            <v>ZFGD</v>
          </cell>
          <cell r="F4423" t="str">
            <v>PC</v>
          </cell>
          <cell r="G4423" t="str">
            <v>1</v>
          </cell>
          <cell r="H4423" t="str">
            <v>INDUSTRY</v>
          </cell>
          <cell r="I4423" t="str">
            <v>14</v>
          </cell>
          <cell r="J4423" t="str">
            <v>THINNER</v>
          </cell>
          <cell r="K4423" t="str">
            <v>1411</v>
          </cell>
          <cell r="L4423" t="str">
            <v>THINNER PU</v>
          </cell>
          <cell r="M4423" t="str">
            <v>141101</v>
          </cell>
          <cell r="N4423" t="str">
            <v>THINNER PU</v>
          </cell>
        </row>
        <row r="4424">
          <cell r="C4424" t="str">
            <v>100005959</v>
          </cell>
          <cell r="D4424" t="str">
            <v>AP-98200 SILVER S9504 VN-1K</v>
          </cell>
          <cell r="E4424" t="str">
            <v>ZFGD</v>
          </cell>
          <cell r="F4424" t="str">
            <v>PC</v>
          </cell>
          <cell r="G4424" t="str">
            <v>1</v>
          </cell>
          <cell r="H4424" t="str">
            <v>INDUSTRY</v>
          </cell>
          <cell r="I4424" t="str">
            <v>11</v>
          </cell>
          <cell r="J4424" t="str">
            <v>WOOD COATINGS</v>
          </cell>
          <cell r="K4424" t="str">
            <v>1118</v>
          </cell>
          <cell r="L4424" t="str">
            <v>COMPLEMENTARY</v>
          </cell>
          <cell r="M4424" t="str">
            <v>111802</v>
          </cell>
          <cell r="N4424" t="str">
            <v>ASOF : POWDER &amp; MATTING SOLUTION</v>
          </cell>
        </row>
        <row r="4425">
          <cell r="C4425" t="str">
            <v>100005960</v>
          </cell>
          <cell r="D4425" t="str">
            <v>AP-98200 GOLD 303 VN-1K</v>
          </cell>
          <cell r="E4425" t="str">
            <v>ZFGD</v>
          </cell>
          <cell r="F4425" t="str">
            <v>PC</v>
          </cell>
          <cell r="G4425" t="str">
            <v>1</v>
          </cell>
          <cell r="H4425" t="str">
            <v>INDUSTRY</v>
          </cell>
          <cell r="I4425" t="str">
            <v>11</v>
          </cell>
          <cell r="J4425" t="str">
            <v>WOOD COATINGS</v>
          </cell>
          <cell r="K4425" t="str">
            <v>1118</v>
          </cell>
          <cell r="L4425" t="str">
            <v>COMPLEMENTARY</v>
          </cell>
          <cell r="M4425" t="str">
            <v>111802</v>
          </cell>
          <cell r="N4425" t="str">
            <v>ASOF : POWDER &amp; MATTING SOLUTION</v>
          </cell>
        </row>
        <row r="4426">
          <cell r="C4426" t="str">
            <v>100005961</v>
          </cell>
          <cell r="D4426" t="str">
            <v>PUC-52241 XAM ECV 30 IP VN-20KP</v>
          </cell>
          <cell r="E4426" t="str">
            <v>ZFGD</v>
          </cell>
          <cell r="F4426" t="str">
            <v>PC</v>
          </cell>
          <cell r="G4426" t="str">
            <v>1</v>
          </cell>
          <cell r="H4426" t="str">
            <v>INDUSTRY</v>
          </cell>
          <cell r="I4426" t="str">
            <v>11</v>
          </cell>
          <cell r="J4426" t="str">
            <v>WOOD COATINGS</v>
          </cell>
          <cell r="K4426" t="str">
            <v>1103</v>
          </cell>
          <cell r="L4426" t="str">
            <v>PU</v>
          </cell>
          <cell r="M4426" t="str">
            <v>110319</v>
          </cell>
          <cell r="N4426" t="str">
            <v>PU COLOR</v>
          </cell>
        </row>
        <row r="4427">
          <cell r="C4427" t="str">
            <v>100005962</v>
          </cell>
          <cell r="D4427" t="str">
            <v>PUC-54205 AC WHITE 0524 30 ALC VN-20KP</v>
          </cell>
          <cell r="E4427" t="str">
            <v>ZFGD</v>
          </cell>
          <cell r="F4427" t="str">
            <v>PC</v>
          </cell>
          <cell r="G4427" t="str">
            <v>1</v>
          </cell>
          <cell r="H4427" t="str">
            <v>INDUSTRY</v>
          </cell>
          <cell r="I4427" t="str">
            <v>11</v>
          </cell>
          <cell r="J4427" t="str">
            <v>WOOD COATINGS</v>
          </cell>
          <cell r="K4427" t="str">
            <v>1103</v>
          </cell>
          <cell r="L4427" t="str">
            <v>PU</v>
          </cell>
          <cell r="M4427" t="str">
            <v>110319</v>
          </cell>
          <cell r="N4427" t="str">
            <v>PU COLOR</v>
          </cell>
        </row>
        <row r="4428">
          <cell r="C4428" t="str">
            <v>100005963</v>
          </cell>
          <cell r="D4428" t="str">
            <v>PUC-54205 AC WHITE 0624 40 ALC VN-20KP</v>
          </cell>
          <cell r="E4428" t="str">
            <v>ZFGD</v>
          </cell>
          <cell r="F4428" t="str">
            <v>PC</v>
          </cell>
          <cell r="G4428" t="str">
            <v>1</v>
          </cell>
          <cell r="H4428" t="str">
            <v>INDUSTRY</v>
          </cell>
          <cell r="I4428" t="str">
            <v>11</v>
          </cell>
          <cell r="J4428" t="str">
            <v>WOOD COATINGS</v>
          </cell>
          <cell r="K4428" t="str">
            <v>1103</v>
          </cell>
          <cell r="L4428" t="str">
            <v>PU</v>
          </cell>
          <cell r="M4428" t="str">
            <v>110319</v>
          </cell>
          <cell r="N4428" t="str">
            <v>PU COLOR</v>
          </cell>
        </row>
        <row r="4429">
          <cell r="C4429" t="str">
            <v>100005964</v>
          </cell>
          <cell r="D4429" t="str">
            <v>PUC-54205 AC GREY 0724 40 ALC VN-20KP</v>
          </cell>
          <cell r="E4429" t="str">
            <v>ZFGD</v>
          </cell>
          <cell r="F4429" t="str">
            <v>PC</v>
          </cell>
          <cell r="G4429" t="str">
            <v>1</v>
          </cell>
          <cell r="H4429" t="str">
            <v>INDUSTRY</v>
          </cell>
          <cell r="I4429" t="str">
            <v>11</v>
          </cell>
          <cell r="J4429" t="str">
            <v>WOOD COATINGS</v>
          </cell>
          <cell r="K4429" t="str">
            <v>1103</v>
          </cell>
          <cell r="L4429" t="str">
            <v>PU</v>
          </cell>
          <cell r="M4429" t="str">
            <v>110319</v>
          </cell>
          <cell r="N4429" t="str">
            <v>PU COLOR</v>
          </cell>
        </row>
        <row r="4430">
          <cell r="C4430" t="str">
            <v>100005965</v>
          </cell>
          <cell r="D4430" t="str">
            <v>PUC-54205 AC BLUE 1024 40 ALC VN-20KP</v>
          </cell>
          <cell r="E4430" t="str">
            <v>ZFGD</v>
          </cell>
          <cell r="F4430" t="str">
            <v>PC</v>
          </cell>
          <cell r="G4430" t="str">
            <v>1</v>
          </cell>
          <cell r="H4430" t="str">
            <v>INDUSTRY</v>
          </cell>
          <cell r="I4430" t="str">
            <v>11</v>
          </cell>
          <cell r="J4430" t="str">
            <v>WOOD COATINGS</v>
          </cell>
          <cell r="K4430" t="str">
            <v>1103</v>
          </cell>
          <cell r="L4430" t="str">
            <v>PU</v>
          </cell>
          <cell r="M4430" t="str">
            <v>110319</v>
          </cell>
          <cell r="N4430" t="str">
            <v>PU COLOR</v>
          </cell>
        </row>
        <row r="4431">
          <cell r="C4431" t="str">
            <v>100005966</v>
          </cell>
          <cell r="D4431" t="str">
            <v>PUC-54206 AC EX RED1324 55 ALC VN-18KP</v>
          </cell>
          <cell r="E4431" t="str">
            <v>ZFGD</v>
          </cell>
          <cell r="F4431" t="str">
            <v>PC</v>
          </cell>
          <cell r="G4431" t="str">
            <v>1</v>
          </cell>
          <cell r="H4431" t="str">
            <v>INDUSTRY</v>
          </cell>
          <cell r="I4431" t="str">
            <v>11</v>
          </cell>
          <cell r="J4431" t="str">
            <v>WOOD COATINGS</v>
          </cell>
          <cell r="K4431" t="str">
            <v>1103</v>
          </cell>
          <cell r="L4431" t="str">
            <v>PU</v>
          </cell>
          <cell r="M4431" t="str">
            <v>110319</v>
          </cell>
          <cell r="N4431" t="str">
            <v>PU COLOR</v>
          </cell>
        </row>
        <row r="4432">
          <cell r="C4432" t="str">
            <v>100005967</v>
          </cell>
          <cell r="D4432" t="str">
            <v>CBP-31301 WHITE MEDOME-25KP</v>
          </cell>
          <cell r="E4432" t="str">
            <v>ZFGD</v>
          </cell>
          <cell r="F4432" t="str">
            <v>PC</v>
          </cell>
          <cell r="G4432" t="str">
            <v>1</v>
          </cell>
          <cell r="H4432" t="str">
            <v>INDUSTRY</v>
          </cell>
          <cell r="I4432" t="str">
            <v>11</v>
          </cell>
          <cell r="J4432" t="str">
            <v>WOOD COATINGS</v>
          </cell>
          <cell r="K4432" t="str">
            <v>1106</v>
          </cell>
          <cell r="L4432" t="str">
            <v>UV</v>
          </cell>
          <cell r="M4432" t="str">
            <v>110604</v>
          </cell>
          <cell r="N4432" t="str">
            <v>UV PRIMER</v>
          </cell>
        </row>
        <row r="4433">
          <cell r="C4433" t="str">
            <v>100005968</v>
          </cell>
          <cell r="D4433" t="str">
            <v>CBP-31301 WHITE NAKANURI-25KP</v>
          </cell>
          <cell r="E4433" t="str">
            <v>ZFGD</v>
          </cell>
          <cell r="F4433" t="str">
            <v>PC</v>
          </cell>
          <cell r="G4433" t="str">
            <v>1</v>
          </cell>
          <cell r="H4433" t="str">
            <v>INDUSTRY</v>
          </cell>
          <cell r="I4433" t="str">
            <v>11</v>
          </cell>
          <cell r="J4433" t="str">
            <v>WOOD COATINGS</v>
          </cell>
          <cell r="K4433" t="str">
            <v>1106</v>
          </cell>
          <cell r="L4433" t="str">
            <v>UV</v>
          </cell>
          <cell r="M4433" t="str">
            <v>110604</v>
          </cell>
          <cell r="N4433" t="str">
            <v>UV PRIMER</v>
          </cell>
        </row>
        <row r="4434">
          <cell r="C4434" t="str">
            <v>100005969</v>
          </cell>
          <cell r="D4434" t="str">
            <v>UVL-50563 LY CLEAR 30-20KP</v>
          </cell>
          <cell r="E4434" t="str">
            <v>ZFGD</v>
          </cell>
          <cell r="F4434" t="str">
            <v>PC</v>
          </cell>
          <cell r="G4434" t="str">
            <v>1</v>
          </cell>
          <cell r="H4434" t="str">
            <v>INDUSTRY</v>
          </cell>
          <cell r="I4434" t="str">
            <v>11</v>
          </cell>
          <cell r="J4434" t="str">
            <v>WOOD COATINGS</v>
          </cell>
          <cell r="K4434" t="str">
            <v>1106</v>
          </cell>
          <cell r="L4434" t="str">
            <v>UV</v>
          </cell>
          <cell r="M4434" t="str">
            <v>110607</v>
          </cell>
          <cell r="N4434" t="str">
            <v>UV TOP COAT CLEAR</v>
          </cell>
        </row>
        <row r="4435">
          <cell r="C4435" t="str">
            <v>100005970</v>
          </cell>
          <cell r="D4435" t="str">
            <v>PUC-54205 AC GREY 0924 55 ALC VN-20KP</v>
          </cell>
          <cell r="E4435" t="str">
            <v>ZFGD</v>
          </cell>
          <cell r="F4435" t="str">
            <v>PC</v>
          </cell>
          <cell r="G4435" t="str">
            <v>1</v>
          </cell>
          <cell r="H4435" t="str">
            <v>INDUSTRY</v>
          </cell>
          <cell r="I4435" t="str">
            <v>11</v>
          </cell>
          <cell r="J4435" t="str">
            <v>WOOD COATINGS</v>
          </cell>
          <cell r="K4435" t="str">
            <v>1103</v>
          </cell>
          <cell r="L4435" t="str">
            <v>PU</v>
          </cell>
          <cell r="M4435" t="str">
            <v>110319</v>
          </cell>
          <cell r="N4435" t="str">
            <v>PU COLOR</v>
          </cell>
        </row>
        <row r="4436">
          <cell r="C4436" t="str">
            <v>100005971</v>
          </cell>
          <cell r="D4436" t="str">
            <v>WBP-64115 DLG 01 SC VN-20KP</v>
          </cell>
          <cell r="E4436" t="str">
            <v>ZFGD</v>
          </cell>
          <cell r="F4436" t="str">
            <v>PC</v>
          </cell>
          <cell r="G4436" t="str">
            <v>1</v>
          </cell>
          <cell r="H4436" t="str">
            <v>INDUSTRY</v>
          </cell>
          <cell r="I4436" t="str">
            <v>11</v>
          </cell>
          <cell r="J4436" t="str">
            <v>WOOD COATINGS</v>
          </cell>
          <cell r="K4436" t="str">
            <v>1119</v>
          </cell>
          <cell r="L4436" t="str">
            <v>WATERBASED</v>
          </cell>
          <cell r="M4436" t="str">
            <v>111901</v>
          </cell>
          <cell r="N4436" t="str">
            <v>WATERBASED SYSTEM EXTERIOR</v>
          </cell>
        </row>
        <row r="4437">
          <cell r="C4437" t="str">
            <v>100005972</v>
          </cell>
          <cell r="D4437" t="str">
            <v>MC-42200 GREY 1824 08 ALC VN-20KP</v>
          </cell>
          <cell r="E4437" t="str">
            <v>ZFGD</v>
          </cell>
          <cell r="F4437" t="str">
            <v>PC</v>
          </cell>
          <cell r="G4437" t="str">
            <v>1</v>
          </cell>
          <cell r="H4437" t="str">
            <v>INDUSTRY</v>
          </cell>
          <cell r="I4437" t="str">
            <v>11</v>
          </cell>
          <cell r="J4437" t="str">
            <v>WOOD COATINGS</v>
          </cell>
          <cell r="K4437" t="str">
            <v>1102</v>
          </cell>
          <cell r="L4437" t="str">
            <v>MELAMINE</v>
          </cell>
          <cell r="M4437" t="str">
            <v>110202</v>
          </cell>
          <cell r="N4437" t="str">
            <v>MELAMINE COLOR</v>
          </cell>
        </row>
        <row r="4438">
          <cell r="C4438" t="str">
            <v>100005973</v>
          </cell>
          <cell r="D4438" t="str">
            <v>MC-42200 GREY 1924 08 ALC VN-20KP</v>
          </cell>
          <cell r="E4438" t="str">
            <v>ZFGD</v>
          </cell>
          <cell r="F4438" t="str">
            <v>PC</v>
          </cell>
          <cell r="G4438" t="str">
            <v>1</v>
          </cell>
          <cell r="H4438" t="str">
            <v>INDUSTRY</v>
          </cell>
          <cell r="I4438" t="str">
            <v>11</v>
          </cell>
          <cell r="J4438" t="str">
            <v>WOOD COATINGS</v>
          </cell>
          <cell r="K4438" t="str">
            <v>1102</v>
          </cell>
          <cell r="L4438" t="str">
            <v>MELAMINE</v>
          </cell>
          <cell r="M4438" t="str">
            <v>110202</v>
          </cell>
          <cell r="N4438" t="str">
            <v>MELAMINE COLOR</v>
          </cell>
        </row>
        <row r="4439">
          <cell r="C4439" t="str">
            <v>100005974</v>
          </cell>
          <cell r="D4439" t="str">
            <v>PUC-54205 AC WHITE 0324 10 ALC VN-20KP</v>
          </cell>
          <cell r="E4439" t="str">
            <v>ZFGD</v>
          </cell>
          <cell r="F4439" t="str">
            <v>PC</v>
          </cell>
          <cell r="G4439" t="str">
            <v>1</v>
          </cell>
          <cell r="H4439" t="str">
            <v>INDUSTRY</v>
          </cell>
          <cell r="I4439" t="str">
            <v>11</v>
          </cell>
          <cell r="J4439" t="str">
            <v>WOOD COATINGS</v>
          </cell>
          <cell r="K4439" t="str">
            <v>1103</v>
          </cell>
          <cell r="L4439" t="str">
            <v>PU</v>
          </cell>
          <cell r="M4439" t="str">
            <v>110319</v>
          </cell>
          <cell r="N4439" t="str">
            <v>PU COLOR</v>
          </cell>
        </row>
        <row r="4440">
          <cell r="C4440" t="str">
            <v>100005975</v>
          </cell>
          <cell r="D4440" t="str">
            <v>WBC-62206 HV WHITE 20 VN-20KP</v>
          </cell>
          <cell r="E4440" t="str">
            <v>ZFGD</v>
          </cell>
          <cell r="F4440" t="str">
            <v>PC</v>
          </cell>
          <cell r="G4440" t="str">
            <v>1</v>
          </cell>
          <cell r="H4440" t="str">
            <v>INDUSTRY</v>
          </cell>
          <cell r="I4440" t="str">
            <v>11</v>
          </cell>
          <cell r="J4440" t="str">
            <v>WOOD COATINGS</v>
          </cell>
          <cell r="K4440" t="str">
            <v>1119</v>
          </cell>
          <cell r="L4440" t="str">
            <v>WATERBASED</v>
          </cell>
          <cell r="M4440" t="str">
            <v>111902</v>
          </cell>
          <cell r="N4440" t="str">
            <v>WATERBASED SYSTEM INTERIOR</v>
          </cell>
        </row>
        <row r="4441">
          <cell r="C4441" t="str">
            <v>100005976</v>
          </cell>
          <cell r="D4441" t="str">
            <v>UVF-10301 VN-20KP</v>
          </cell>
          <cell r="E4441" t="str">
            <v>ZFGD</v>
          </cell>
          <cell r="F4441" t="str">
            <v>PC</v>
          </cell>
          <cell r="G4441" t="str">
            <v>1</v>
          </cell>
          <cell r="H4441" t="str">
            <v>INDUSTRY</v>
          </cell>
          <cell r="I4441" t="str">
            <v>11</v>
          </cell>
          <cell r="J4441" t="str">
            <v>WOOD COATINGS</v>
          </cell>
          <cell r="K4441" t="str">
            <v>1106</v>
          </cell>
          <cell r="L4441" t="str">
            <v>UV</v>
          </cell>
          <cell r="M4441" t="str">
            <v>110603</v>
          </cell>
          <cell r="N4441" t="str">
            <v>UV FILLER</v>
          </cell>
        </row>
        <row r="4442">
          <cell r="C4442" t="str">
            <v>100005977</v>
          </cell>
          <cell r="D4442" t="str">
            <v>PUC-54206 AC EX GRN3224 90 ALC VN-18KP</v>
          </cell>
          <cell r="E4442" t="str">
            <v>ZFGD</v>
          </cell>
          <cell r="F4442" t="str">
            <v>PC</v>
          </cell>
          <cell r="G4442" t="str">
            <v>1</v>
          </cell>
          <cell r="H4442" t="str">
            <v>INDUSTRY</v>
          </cell>
          <cell r="I4442" t="str">
            <v>11</v>
          </cell>
          <cell r="J4442" t="str">
            <v>WOOD COATINGS</v>
          </cell>
          <cell r="K4442" t="str">
            <v>1103</v>
          </cell>
          <cell r="L4442" t="str">
            <v>PU</v>
          </cell>
          <cell r="M4442" t="str">
            <v>110319</v>
          </cell>
          <cell r="N4442" t="str">
            <v>PU COLOR</v>
          </cell>
        </row>
        <row r="4443">
          <cell r="C4443" t="str">
            <v>100005978</v>
          </cell>
          <cell r="D4443" t="str">
            <v>PUC-54205 AC GRY2024 40 ALC VN-20KP</v>
          </cell>
          <cell r="E4443" t="str">
            <v>ZFGD</v>
          </cell>
          <cell r="F4443" t="str">
            <v>PC</v>
          </cell>
          <cell r="G4443" t="str">
            <v>1</v>
          </cell>
          <cell r="H4443" t="str">
            <v>INDUSTRY</v>
          </cell>
          <cell r="I4443" t="str">
            <v>11</v>
          </cell>
          <cell r="J4443" t="str">
            <v>WOOD COATINGS</v>
          </cell>
          <cell r="K4443" t="str">
            <v>1103</v>
          </cell>
          <cell r="L4443" t="str">
            <v>PU</v>
          </cell>
          <cell r="M4443" t="str">
            <v>110319</v>
          </cell>
          <cell r="N4443" t="str">
            <v>PU COLOR</v>
          </cell>
        </row>
        <row r="4444">
          <cell r="C4444" t="str">
            <v>100005979</v>
          </cell>
          <cell r="D4444" t="str">
            <v>PUC-54205 AC WHITE2124 20 ALC VN-20KP</v>
          </cell>
          <cell r="E4444" t="str">
            <v>ZFGD</v>
          </cell>
          <cell r="F4444" t="str">
            <v>PC</v>
          </cell>
          <cell r="G4444" t="str">
            <v>1</v>
          </cell>
          <cell r="H4444" t="str">
            <v>INDUSTRY</v>
          </cell>
          <cell r="I4444" t="str">
            <v>11</v>
          </cell>
          <cell r="J4444" t="str">
            <v>WOOD COATINGS</v>
          </cell>
          <cell r="K4444" t="str">
            <v>1103</v>
          </cell>
          <cell r="L4444" t="str">
            <v>PU</v>
          </cell>
          <cell r="M4444" t="str">
            <v>110319</v>
          </cell>
          <cell r="N4444" t="str">
            <v>PU COLOR</v>
          </cell>
        </row>
        <row r="4445">
          <cell r="C4445" t="str">
            <v>100005980</v>
          </cell>
          <cell r="D4445" t="str">
            <v>PUC-54206 AC EX BLK2324 20 ALC VN-18KP</v>
          </cell>
          <cell r="E4445" t="str">
            <v>ZFGD</v>
          </cell>
          <cell r="F4445" t="str">
            <v>PC</v>
          </cell>
          <cell r="G4445" t="str">
            <v>1</v>
          </cell>
          <cell r="H4445" t="str">
            <v>INDUSTRY</v>
          </cell>
          <cell r="I4445" t="str">
            <v>11</v>
          </cell>
          <cell r="J4445" t="str">
            <v>WOOD COATINGS</v>
          </cell>
          <cell r="K4445" t="str">
            <v>1103</v>
          </cell>
          <cell r="L4445" t="str">
            <v>PU</v>
          </cell>
          <cell r="M4445" t="str">
            <v>110319</v>
          </cell>
          <cell r="N4445" t="str">
            <v>PU COLOR</v>
          </cell>
        </row>
        <row r="4446">
          <cell r="C4446" t="str">
            <v>100005981</v>
          </cell>
          <cell r="D4446" t="str">
            <v>PUC-54205 AC GREY2524 55 ALC VN-20KP</v>
          </cell>
          <cell r="E4446" t="str">
            <v>ZFGD</v>
          </cell>
          <cell r="F4446" t="str">
            <v>PC</v>
          </cell>
          <cell r="G4446" t="str">
            <v>1</v>
          </cell>
          <cell r="H4446" t="str">
            <v>INDUSTRY</v>
          </cell>
          <cell r="I4446" t="str">
            <v>11</v>
          </cell>
          <cell r="J4446" t="str">
            <v>WOOD COATINGS</v>
          </cell>
          <cell r="K4446" t="str">
            <v>1103</v>
          </cell>
          <cell r="L4446" t="str">
            <v>PU</v>
          </cell>
          <cell r="M4446" t="str">
            <v>110319</v>
          </cell>
          <cell r="N4446" t="str">
            <v>PU COLOR</v>
          </cell>
        </row>
        <row r="4447">
          <cell r="C4447" t="str">
            <v>100005982</v>
          </cell>
          <cell r="D4447" t="str">
            <v>PUC-54206 AC EX BLU2624 55 ALC VN-18KP</v>
          </cell>
          <cell r="E4447" t="str">
            <v>ZFGD</v>
          </cell>
          <cell r="F4447" t="str">
            <v>PC</v>
          </cell>
          <cell r="G4447" t="str">
            <v>1</v>
          </cell>
          <cell r="H4447" t="str">
            <v>INDUSTRY</v>
          </cell>
          <cell r="I4447" t="str">
            <v>11</v>
          </cell>
          <cell r="J4447" t="str">
            <v>WOOD COATINGS</v>
          </cell>
          <cell r="K4447" t="str">
            <v>1103</v>
          </cell>
          <cell r="L4447" t="str">
            <v>PU</v>
          </cell>
          <cell r="M4447" t="str">
            <v>110319</v>
          </cell>
          <cell r="N4447" t="str">
            <v>PU COLOR</v>
          </cell>
        </row>
        <row r="4448">
          <cell r="C4448" t="str">
            <v>100005985</v>
          </cell>
          <cell r="D4448" t="str">
            <v>PUC-1542-2114AK-20KP</v>
          </cell>
          <cell r="E4448" t="str">
            <v>ZFGD</v>
          </cell>
          <cell r="F4448" t="str">
            <v>PC</v>
          </cell>
          <cell r="G4448" t="str">
            <v>1</v>
          </cell>
          <cell r="H4448" t="str">
            <v>INDUSTRY</v>
          </cell>
          <cell r="I4448" t="str">
            <v>11</v>
          </cell>
          <cell r="J4448" t="str">
            <v>WOOD COATINGS</v>
          </cell>
          <cell r="K4448" t="str">
            <v>1103</v>
          </cell>
          <cell r="L4448" t="str">
            <v>PU</v>
          </cell>
          <cell r="M4448" t="str">
            <v>110319</v>
          </cell>
          <cell r="N4448" t="str">
            <v>PU COLOR</v>
          </cell>
        </row>
        <row r="4449">
          <cell r="C4449" t="str">
            <v>100005986</v>
          </cell>
          <cell r="D4449" t="str">
            <v>PRCC-10358 WBC POLY V2600 SDW VN-20KP</v>
          </cell>
          <cell r="E4449" t="str">
            <v>ZFGD</v>
          </cell>
          <cell r="F4449" t="str">
            <v>PC</v>
          </cell>
          <cell r="G4449" t="str">
            <v>1</v>
          </cell>
          <cell r="H4449" t="str">
            <v>INDUSTRY</v>
          </cell>
          <cell r="I4449" t="str">
            <v>12</v>
          </cell>
          <cell r="J4449" t="str">
            <v>CAN COATINGS</v>
          </cell>
          <cell r="K4449" t="str">
            <v>1201</v>
          </cell>
          <cell r="L4449" t="str">
            <v>CAN COATINGS</v>
          </cell>
          <cell r="M4449" t="str">
            <v>120101</v>
          </cell>
          <cell r="N4449" t="str">
            <v>CAN COATINGS</v>
          </cell>
        </row>
        <row r="4450">
          <cell r="C4450" t="str">
            <v>100005989</v>
          </cell>
          <cell r="D4450" t="str">
            <v>UVL-50101 SR CLEAR 10 VN-20KP</v>
          </cell>
          <cell r="E4450" t="str">
            <v>ZFGD</v>
          </cell>
          <cell r="F4450" t="str">
            <v>PC</v>
          </cell>
          <cell r="G4450" t="str">
            <v>1</v>
          </cell>
          <cell r="H4450" t="str">
            <v>INDUSTRY</v>
          </cell>
          <cell r="I4450" t="str">
            <v>11</v>
          </cell>
          <cell r="J4450" t="str">
            <v>WOOD COATINGS</v>
          </cell>
          <cell r="K4450" t="str">
            <v>1106</v>
          </cell>
          <cell r="L4450" t="str">
            <v>UV</v>
          </cell>
          <cell r="M4450" t="str">
            <v>110607</v>
          </cell>
          <cell r="N4450" t="str">
            <v>UV TOP COAT CLEAR</v>
          </cell>
        </row>
        <row r="4451">
          <cell r="C4451" t="str">
            <v>100005990</v>
          </cell>
          <cell r="D4451" t="str">
            <v>UVL-50101 SR CLEAR 15 VN-20KP</v>
          </cell>
          <cell r="E4451" t="str">
            <v>ZFGD</v>
          </cell>
          <cell r="F4451" t="str">
            <v>PC</v>
          </cell>
          <cell r="G4451" t="str">
            <v>1</v>
          </cell>
          <cell r="H4451" t="str">
            <v>INDUSTRY</v>
          </cell>
          <cell r="I4451" t="str">
            <v>11</v>
          </cell>
          <cell r="J4451" t="str">
            <v>WOOD COATINGS</v>
          </cell>
          <cell r="K4451" t="str">
            <v>1106</v>
          </cell>
          <cell r="L4451" t="str">
            <v>UV</v>
          </cell>
          <cell r="M4451" t="str">
            <v>110607</v>
          </cell>
          <cell r="N4451" t="str">
            <v>UV TOP COAT CLEAR</v>
          </cell>
        </row>
        <row r="4452">
          <cell r="C4452" t="str">
            <v>100005991</v>
          </cell>
          <cell r="D4452" t="str">
            <v>PUC-54205 AC TRANG MAU1 10 IP VN-20KP</v>
          </cell>
          <cell r="E4452" t="str">
            <v>ZFGD</v>
          </cell>
          <cell r="F4452" t="str">
            <v>PC</v>
          </cell>
          <cell r="G4452" t="str">
            <v>1</v>
          </cell>
          <cell r="H4452" t="str">
            <v>INDUSTRY</v>
          </cell>
          <cell r="I4452" t="str">
            <v>11</v>
          </cell>
          <cell r="J4452" t="str">
            <v>WOOD COATINGS</v>
          </cell>
          <cell r="K4452" t="str">
            <v>1103</v>
          </cell>
          <cell r="L4452" t="str">
            <v>PU</v>
          </cell>
          <cell r="M4452" t="str">
            <v>110319</v>
          </cell>
          <cell r="N4452" t="str">
            <v>PU COLOR</v>
          </cell>
        </row>
        <row r="4453">
          <cell r="C4453" t="str">
            <v>100005992</v>
          </cell>
          <cell r="D4453" t="str">
            <v>PUC-54205 AC TRANG MAU2 10 IP VN-20KP</v>
          </cell>
          <cell r="E4453" t="str">
            <v>ZFGD</v>
          </cell>
          <cell r="F4453" t="str">
            <v>PC</v>
          </cell>
          <cell r="G4453" t="str">
            <v>1</v>
          </cell>
          <cell r="H4453" t="str">
            <v>INDUSTRY</v>
          </cell>
          <cell r="I4453" t="str">
            <v>11</v>
          </cell>
          <cell r="J4453" t="str">
            <v>WOOD COATINGS</v>
          </cell>
          <cell r="K4453" t="str">
            <v>1103</v>
          </cell>
          <cell r="L4453" t="str">
            <v>PU</v>
          </cell>
          <cell r="M4453" t="str">
            <v>110319</v>
          </cell>
          <cell r="N4453" t="str">
            <v>PU COLOR</v>
          </cell>
        </row>
        <row r="4454">
          <cell r="C4454" t="str">
            <v>100005993</v>
          </cell>
          <cell r="D4454" t="str">
            <v>PCA-31100 ORANGE GG PASTE VN-4K</v>
          </cell>
          <cell r="E4454" t="str">
            <v>ZFGD</v>
          </cell>
          <cell r="F4454" t="str">
            <v>PC</v>
          </cell>
          <cell r="G4454" t="str">
            <v>1</v>
          </cell>
          <cell r="H4454" t="str">
            <v>INDUSTRY</v>
          </cell>
          <cell r="I4454" t="str">
            <v>11</v>
          </cell>
          <cell r="J4454" t="str">
            <v>WOOD COATINGS</v>
          </cell>
          <cell r="K4454" t="str">
            <v>1118</v>
          </cell>
          <cell r="L4454" t="str">
            <v>COMPLEMENTARY</v>
          </cell>
          <cell r="M4454" t="str">
            <v>111807</v>
          </cell>
          <cell r="N4454" t="str">
            <v>PASTA</v>
          </cell>
        </row>
        <row r="4455">
          <cell r="C4455" t="str">
            <v>100005994</v>
          </cell>
          <cell r="D4455" t="str">
            <v>WBP-62104 LF 3 BLACK 00 GR VN-20KP</v>
          </cell>
          <cell r="E4455" t="str">
            <v>ZFGD</v>
          </cell>
          <cell r="F4455" t="str">
            <v>PC</v>
          </cell>
          <cell r="G4455" t="str">
            <v>1</v>
          </cell>
          <cell r="H4455" t="str">
            <v>INDUSTRY</v>
          </cell>
          <cell r="I4455" t="str">
            <v>11</v>
          </cell>
          <cell r="J4455" t="str">
            <v>WOOD COATINGS</v>
          </cell>
          <cell r="K4455" t="str">
            <v>1119</v>
          </cell>
          <cell r="L4455" t="str">
            <v>WATERBASED</v>
          </cell>
          <cell r="M4455" t="str">
            <v>111902</v>
          </cell>
          <cell r="N4455" t="str">
            <v>WATERBASED SYSTEM INTERIOR</v>
          </cell>
        </row>
        <row r="4456">
          <cell r="C4456" t="str">
            <v>100005995</v>
          </cell>
          <cell r="D4456" t="str">
            <v>WBC-62204 LF BLACK 00 20 GR VN-20KP</v>
          </cell>
          <cell r="E4456" t="str">
            <v>ZFGD</v>
          </cell>
          <cell r="F4456" t="str">
            <v>PC</v>
          </cell>
          <cell r="G4456" t="str">
            <v>1</v>
          </cell>
          <cell r="H4456" t="str">
            <v>INDUSTRY</v>
          </cell>
          <cell r="I4456" t="str">
            <v>11</v>
          </cell>
          <cell r="J4456" t="str">
            <v>WOOD COATINGS</v>
          </cell>
          <cell r="K4456" t="str">
            <v>1119</v>
          </cell>
          <cell r="L4456" t="str">
            <v>WATERBASED</v>
          </cell>
          <cell r="M4456" t="str">
            <v>111902</v>
          </cell>
          <cell r="N4456" t="str">
            <v>WATERBASED SYSTEM INTERIOR</v>
          </cell>
        </row>
        <row r="4457">
          <cell r="C4457" t="str">
            <v>100005996</v>
          </cell>
          <cell r="D4457" t="str">
            <v>WBC-62206 GREY 01 20 GR VN-20KP</v>
          </cell>
          <cell r="E4457" t="str">
            <v>ZFGD</v>
          </cell>
          <cell r="F4457" t="str">
            <v>PC</v>
          </cell>
          <cell r="G4457" t="str">
            <v>1</v>
          </cell>
          <cell r="H4457" t="str">
            <v>INDUSTRY</v>
          </cell>
          <cell r="I4457" t="str">
            <v>11</v>
          </cell>
          <cell r="J4457" t="str">
            <v>WOOD COATINGS</v>
          </cell>
          <cell r="K4457" t="str">
            <v>1119</v>
          </cell>
          <cell r="L4457" t="str">
            <v>WATERBASED</v>
          </cell>
          <cell r="M4457" t="str">
            <v>111902</v>
          </cell>
          <cell r="N4457" t="str">
            <v>WATERBASED SYSTEM INTERIOR</v>
          </cell>
        </row>
        <row r="4458">
          <cell r="C4458" t="str">
            <v>100005997</v>
          </cell>
          <cell r="D4458" t="str">
            <v>WBC-62206 WHI OATMEAL00 20 GR VN-20KP</v>
          </cell>
          <cell r="E4458" t="str">
            <v>ZFGD</v>
          </cell>
          <cell r="F4458" t="str">
            <v>PC</v>
          </cell>
          <cell r="G4458" t="str">
            <v>1</v>
          </cell>
          <cell r="H4458" t="str">
            <v>INDUSTRY</v>
          </cell>
          <cell r="I4458" t="str">
            <v>11</v>
          </cell>
          <cell r="J4458" t="str">
            <v>WOOD COATINGS</v>
          </cell>
          <cell r="K4458" t="str">
            <v>1119</v>
          </cell>
          <cell r="L4458" t="str">
            <v>WATERBASED</v>
          </cell>
          <cell r="M4458" t="str">
            <v>111902</v>
          </cell>
          <cell r="N4458" t="str">
            <v>WATERBASED SYSTEM INTERIOR</v>
          </cell>
        </row>
        <row r="4459">
          <cell r="C4459" t="str">
            <v>100005998</v>
          </cell>
          <cell r="D4459" t="str">
            <v>PUC-52235 BLACK 50 VN-20KP</v>
          </cell>
          <cell r="E4459" t="str">
            <v>ZFGD</v>
          </cell>
          <cell r="F4459" t="str">
            <v>PC</v>
          </cell>
          <cell r="G4459" t="str">
            <v>1</v>
          </cell>
          <cell r="H4459" t="str">
            <v>INDUSTRY</v>
          </cell>
          <cell r="I4459" t="str">
            <v>11</v>
          </cell>
          <cell r="J4459" t="str">
            <v>WOOD COATINGS</v>
          </cell>
          <cell r="K4459" t="str">
            <v>1103</v>
          </cell>
          <cell r="L4459" t="str">
            <v>PU</v>
          </cell>
          <cell r="M4459" t="str">
            <v>110319</v>
          </cell>
          <cell r="N4459" t="str">
            <v>PU COLOR</v>
          </cell>
        </row>
        <row r="4460">
          <cell r="C4460" t="str">
            <v>100005999</v>
          </cell>
          <cell r="D4460" t="str">
            <v>AP-98200 GOLD 99305 VN-1K</v>
          </cell>
          <cell r="E4460" t="str">
            <v>ZFGD</v>
          </cell>
          <cell r="F4460" t="str">
            <v>PC</v>
          </cell>
          <cell r="G4460" t="str">
            <v>1</v>
          </cell>
          <cell r="H4460" t="str">
            <v>INDUSTRY</v>
          </cell>
          <cell r="I4460" t="str">
            <v>11</v>
          </cell>
          <cell r="J4460" t="str">
            <v>WOOD COATINGS</v>
          </cell>
          <cell r="K4460" t="str">
            <v>1118</v>
          </cell>
          <cell r="L4460" t="str">
            <v>COMPLEMENTARY</v>
          </cell>
          <cell r="M4460" t="str">
            <v>111802</v>
          </cell>
          <cell r="N4460" t="str">
            <v>ASOF : POWDER &amp; MATTING SOLUTION</v>
          </cell>
        </row>
        <row r="4461">
          <cell r="C4461" t="str">
            <v>100006000</v>
          </cell>
          <cell r="D4461" t="str">
            <v>AP-98200 GOLD 9315 VN-1K</v>
          </cell>
          <cell r="E4461" t="str">
            <v>ZFGD</v>
          </cell>
          <cell r="F4461" t="str">
            <v>PC</v>
          </cell>
          <cell r="G4461" t="str">
            <v>1</v>
          </cell>
          <cell r="H4461" t="str">
            <v>INDUSTRY</v>
          </cell>
          <cell r="I4461" t="str">
            <v>11</v>
          </cell>
          <cell r="J4461" t="str">
            <v>WOOD COATINGS</v>
          </cell>
          <cell r="K4461" t="str">
            <v>1118</v>
          </cell>
          <cell r="L4461" t="str">
            <v>COMPLEMENTARY</v>
          </cell>
          <cell r="M4461" t="str">
            <v>111802</v>
          </cell>
          <cell r="N4461" t="str">
            <v>ASOF : POWDER &amp; MATTING SOLUTION</v>
          </cell>
        </row>
        <row r="4462">
          <cell r="C4462" t="str">
            <v>100006002</v>
          </cell>
          <cell r="D4462" t="str">
            <v>SST-11100 NAU 03 VC I VN-16KJ</v>
          </cell>
          <cell r="E4462" t="str">
            <v>ZFGD</v>
          </cell>
          <cell r="F4462" t="str">
            <v>PC</v>
          </cell>
          <cell r="G4462" t="str">
            <v>1</v>
          </cell>
          <cell r="H4462" t="str">
            <v>INDUSTRY</v>
          </cell>
          <cell r="I4462" t="str">
            <v>11</v>
          </cell>
          <cell r="J4462" t="str">
            <v>WOOD COATINGS</v>
          </cell>
          <cell r="K4462" t="str">
            <v>1109</v>
          </cell>
          <cell r="L4462" t="str">
            <v>STAIN &amp; GLAZE INTERIOR</v>
          </cell>
          <cell r="M4462" t="str">
            <v>110903</v>
          </cell>
          <cell r="N4462" t="str">
            <v>STAIN INTERIOR</v>
          </cell>
        </row>
        <row r="4463">
          <cell r="C4463" t="str">
            <v>100006003</v>
          </cell>
          <cell r="D4463" t="str">
            <v>SST-11100 NAU 03 VC I VN-160KK</v>
          </cell>
          <cell r="E4463" t="str">
            <v>ZFGD</v>
          </cell>
          <cell r="F4463" t="str">
            <v>PC</v>
          </cell>
          <cell r="G4463" t="str">
            <v>1</v>
          </cell>
          <cell r="H4463" t="str">
            <v>INDUSTRY</v>
          </cell>
          <cell r="I4463" t="str">
            <v>11</v>
          </cell>
          <cell r="J4463" t="str">
            <v>WOOD COATINGS</v>
          </cell>
          <cell r="K4463" t="str">
            <v>1109</v>
          </cell>
          <cell r="L4463" t="str">
            <v>STAIN &amp; GLAZE INTERIOR</v>
          </cell>
          <cell r="M4463" t="str">
            <v>110903</v>
          </cell>
          <cell r="N4463" t="str">
            <v>STAIN INTERIOR</v>
          </cell>
        </row>
        <row r="4464">
          <cell r="C4464" t="str">
            <v>100006004</v>
          </cell>
          <cell r="D4464" t="str">
            <v>AP-98200 GOLD 99305 VN-25KP</v>
          </cell>
          <cell r="E4464" t="str">
            <v>ZFGD</v>
          </cell>
          <cell r="F4464" t="str">
            <v>PC</v>
          </cell>
          <cell r="G4464" t="str">
            <v>1</v>
          </cell>
          <cell r="H4464" t="str">
            <v>INDUSTRY</v>
          </cell>
          <cell r="I4464" t="str">
            <v>11</v>
          </cell>
          <cell r="J4464" t="str">
            <v>WOOD COATINGS</v>
          </cell>
          <cell r="K4464" t="str">
            <v>1118</v>
          </cell>
          <cell r="L4464" t="str">
            <v>COMPLEMENTARY</v>
          </cell>
          <cell r="M4464" t="str">
            <v>111802</v>
          </cell>
          <cell r="N4464" t="str">
            <v>ASOF : POWDER &amp; MATTING SOLUTION</v>
          </cell>
        </row>
        <row r="4465">
          <cell r="C4465" t="str">
            <v>100006005</v>
          </cell>
          <cell r="D4465" t="str">
            <v>AP-98200 GOLD 9315 VN-25KP</v>
          </cell>
          <cell r="E4465" t="str">
            <v>ZFGD</v>
          </cell>
          <cell r="F4465" t="str">
            <v>PC</v>
          </cell>
          <cell r="G4465" t="str">
            <v>1</v>
          </cell>
          <cell r="H4465" t="str">
            <v>INDUSTRY</v>
          </cell>
          <cell r="I4465" t="str">
            <v>11</v>
          </cell>
          <cell r="J4465" t="str">
            <v>WOOD COATINGS</v>
          </cell>
          <cell r="K4465" t="str">
            <v>1118</v>
          </cell>
          <cell r="L4465" t="str">
            <v>COMPLEMENTARY</v>
          </cell>
          <cell r="M4465" t="str">
            <v>111802</v>
          </cell>
          <cell r="N4465" t="str">
            <v>ASOF : POWDER &amp; MATTING SOLUTION</v>
          </cell>
        </row>
        <row r="4466">
          <cell r="C4466" t="str">
            <v>100006006</v>
          </cell>
          <cell r="D4466" t="str">
            <v>AP-98200 SILVER S9504 VN-20KP</v>
          </cell>
          <cell r="E4466" t="str">
            <v>ZFGD</v>
          </cell>
          <cell r="F4466" t="str">
            <v>PC</v>
          </cell>
          <cell r="G4466" t="str">
            <v>1</v>
          </cell>
          <cell r="H4466" t="str">
            <v>INDUSTRY</v>
          </cell>
          <cell r="I4466" t="str">
            <v>11</v>
          </cell>
          <cell r="J4466" t="str">
            <v>WOOD COATINGS</v>
          </cell>
          <cell r="K4466" t="str">
            <v>1118</v>
          </cell>
          <cell r="L4466" t="str">
            <v>COMPLEMENTARY</v>
          </cell>
          <cell r="M4466" t="str">
            <v>111802</v>
          </cell>
          <cell r="N4466" t="str">
            <v>ASOF : POWDER &amp; MATTING SOLUTION</v>
          </cell>
        </row>
        <row r="4467">
          <cell r="C4467" t="str">
            <v>100006007</v>
          </cell>
          <cell r="D4467" t="str">
            <v>UVL-50101 SR CLEAR 20 VN-20KP</v>
          </cell>
          <cell r="E4467" t="str">
            <v>ZFGD</v>
          </cell>
          <cell r="F4467" t="str">
            <v>PC</v>
          </cell>
          <cell r="G4467" t="str">
            <v>1</v>
          </cell>
          <cell r="H4467" t="str">
            <v>INDUSTRY</v>
          </cell>
          <cell r="I4467" t="str">
            <v>11</v>
          </cell>
          <cell r="J4467" t="str">
            <v>WOOD COATINGS</v>
          </cell>
          <cell r="K4467" t="str">
            <v>1106</v>
          </cell>
          <cell r="L4467" t="str">
            <v>UV</v>
          </cell>
          <cell r="M4467" t="str">
            <v>110607</v>
          </cell>
          <cell r="N4467" t="str">
            <v>UV TOP COAT CLEAR</v>
          </cell>
        </row>
        <row r="4468">
          <cell r="C4468" t="str">
            <v>100006008</v>
          </cell>
          <cell r="D4468" t="str">
            <v>WBP-62107 MF GREEN 03 GR VN-20KP</v>
          </cell>
          <cell r="E4468" t="str">
            <v>ZFGD</v>
          </cell>
          <cell r="F4468" t="str">
            <v>PC</v>
          </cell>
          <cell r="G4468" t="str">
            <v>1</v>
          </cell>
          <cell r="H4468" t="str">
            <v>INDUSTRY</v>
          </cell>
          <cell r="I4468" t="str">
            <v>11</v>
          </cell>
          <cell r="J4468" t="str">
            <v>WOOD COATINGS</v>
          </cell>
          <cell r="K4468" t="str">
            <v>1119</v>
          </cell>
          <cell r="L4468" t="str">
            <v>WATERBASED</v>
          </cell>
          <cell r="M4468" t="str">
            <v>111902</v>
          </cell>
          <cell r="N4468" t="str">
            <v>WATERBASED SYSTEM INTERIOR</v>
          </cell>
        </row>
        <row r="4469">
          <cell r="C4469" t="str">
            <v>100006009</v>
          </cell>
          <cell r="D4469" t="str">
            <v>WBC-62206 HV GREEN 03 20 GR VN-20KP</v>
          </cell>
          <cell r="E4469" t="str">
            <v>ZFGD</v>
          </cell>
          <cell r="F4469" t="str">
            <v>PC</v>
          </cell>
          <cell r="G4469" t="str">
            <v>1</v>
          </cell>
          <cell r="H4469" t="str">
            <v>INDUSTRY</v>
          </cell>
          <cell r="I4469" t="str">
            <v>11</v>
          </cell>
          <cell r="J4469" t="str">
            <v>WOOD COATINGS</v>
          </cell>
          <cell r="K4469" t="str">
            <v>1119</v>
          </cell>
          <cell r="L4469" t="str">
            <v>WATERBASED</v>
          </cell>
          <cell r="M4469" t="str">
            <v>111902</v>
          </cell>
          <cell r="N4469" t="str">
            <v>WATERBASED SYSTEM INTERIOR</v>
          </cell>
        </row>
        <row r="4470">
          <cell r="C4470" t="str">
            <v>100006010</v>
          </cell>
          <cell r="D4470" t="str">
            <v>AP-98200 GOLD 3310 VN-1K</v>
          </cell>
          <cell r="E4470" t="str">
            <v>ZFGD</v>
          </cell>
          <cell r="F4470" t="str">
            <v>PC</v>
          </cell>
          <cell r="G4470" t="str">
            <v>1</v>
          </cell>
          <cell r="H4470" t="str">
            <v>INDUSTRY</v>
          </cell>
          <cell r="I4470" t="str">
            <v>11</v>
          </cell>
          <cell r="J4470" t="str">
            <v>WOOD COATINGS</v>
          </cell>
          <cell r="K4470" t="str">
            <v>1118</v>
          </cell>
          <cell r="L4470" t="str">
            <v>COMPLEMENTARY</v>
          </cell>
          <cell r="M4470" t="str">
            <v>111802</v>
          </cell>
          <cell r="N4470" t="str">
            <v>ASOF : POWDER &amp; MATTING SOLUTION</v>
          </cell>
        </row>
        <row r="4471">
          <cell r="C4471" t="str">
            <v>100006011</v>
          </cell>
          <cell r="D4471" t="str">
            <v>AP-98200 GOLD 3365 VN-1K</v>
          </cell>
          <cell r="E4471" t="str">
            <v>ZFGD</v>
          </cell>
          <cell r="F4471" t="str">
            <v>PC</v>
          </cell>
          <cell r="G4471" t="str">
            <v>1</v>
          </cell>
          <cell r="H4471" t="str">
            <v>INDUSTRY</v>
          </cell>
          <cell r="I4471" t="str">
            <v>11</v>
          </cell>
          <cell r="J4471" t="str">
            <v>WOOD COATINGS</v>
          </cell>
          <cell r="K4471" t="str">
            <v>1118</v>
          </cell>
          <cell r="L4471" t="str">
            <v>COMPLEMENTARY</v>
          </cell>
          <cell r="M4471" t="str">
            <v>111802</v>
          </cell>
          <cell r="N4471" t="str">
            <v>ASOF : POWDER &amp; MATTING SOLUTION</v>
          </cell>
        </row>
        <row r="4472">
          <cell r="C4472" t="str">
            <v>100006012</v>
          </cell>
          <cell r="D4472" t="str">
            <v>AP-98200 SILVER BACDEO VN-1K</v>
          </cell>
          <cell r="E4472" t="str">
            <v>ZFGD</v>
          </cell>
          <cell r="F4472" t="str">
            <v>PC</v>
          </cell>
          <cell r="G4472" t="str">
            <v>1</v>
          </cell>
          <cell r="H4472" t="str">
            <v>INDUSTRY</v>
          </cell>
          <cell r="I4472" t="str">
            <v>11</v>
          </cell>
          <cell r="J4472" t="str">
            <v>WOOD COATINGS</v>
          </cell>
          <cell r="K4472" t="str">
            <v>1118</v>
          </cell>
          <cell r="L4472" t="str">
            <v>COMPLEMENTARY</v>
          </cell>
          <cell r="M4472" t="str">
            <v>111802</v>
          </cell>
          <cell r="N4472" t="str">
            <v>ASOF : POWDER &amp; MATTING SOLUTION</v>
          </cell>
        </row>
        <row r="4473">
          <cell r="C4473" t="str">
            <v>100006013</v>
          </cell>
          <cell r="D4473" t="str">
            <v>PCWB-31600 BLACK 90400 R PASTE VN-4K</v>
          </cell>
          <cell r="E4473" t="str">
            <v>ZFGD</v>
          </cell>
          <cell r="F4473" t="str">
            <v>PC</v>
          </cell>
          <cell r="G4473" t="str">
            <v>1</v>
          </cell>
          <cell r="H4473" t="str">
            <v>INDUSTRY</v>
          </cell>
          <cell r="I4473" t="str">
            <v>11</v>
          </cell>
          <cell r="J4473" t="str">
            <v>WOOD COATINGS</v>
          </cell>
          <cell r="K4473" t="str">
            <v>1118</v>
          </cell>
          <cell r="L4473" t="str">
            <v>COMPLEMENTARY</v>
          </cell>
          <cell r="M4473" t="str">
            <v>111807</v>
          </cell>
          <cell r="N4473" t="str">
            <v>PASTA</v>
          </cell>
        </row>
        <row r="4474">
          <cell r="C4474" t="str">
            <v>100006014</v>
          </cell>
          <cell r="D4474" t="str">
            <v>PCWB-31600 YELLOW 154 PASTE VN-4K</v>
          </cell>
          <cell r="E4474" t="str">
            <v>ZFGD</v>
          </cell>
          <cell r="F4474" t="str">
            <v>PC</v>
          </cell>
          <cell r="G4474" t="str">
            <v>1</v>
          </cell>
          <cell r="H4474" t="str">
            <v>INDUSTRY</v>
          </cell>
          <cell r="I4474" t="str">
            <v>11</v>
          </cell>
          <cell r="J4474" t="str">
            <v>WOOD COATINGS</v>
          </cell>
          <cell r="K4474" t="str">
            <v>1118</v>
          </cell>
          <cell r="L4474" t="str">
            <v>COMPLEMENTARY</v>
          </cell>
          <cell r="M4474" t="str">
            <v>111807</v>
          </cell>
          <cell r="N4474" t="str">
            <v>PASTA</v>
          </cell>
        </row>
        <row r="4475">
          <cell r="C4475" t="str">
            <v>100006015</v>
          </cell>
          <cell r="D4475" t="str">
            <v>PCWB-31600 RED 30 FBB PASTE VN-4K</v>
          </cell>
          <cell r="E4475" t="str">
            <v>ZFGD</v>
          </cell>
          <cell r="F4475" t="str">
            <v>PC</v>
          </cell>
          <cell r="G4475" t="str">
            <v>1</v>
          </cell>
          <cell r="H4475" t="str">
            <v>INDUSTRY</v>
          </cell>
          <cell r="I4475" t="str">
            <v>11</v>
          </cell>
          <cell r="J4475" t="str">
            <v>WOOD COATINGS</v>
          </cell>
          <cell r="K4475" t="str">
            <v>1118</v>
          </cell>
          <cell r="L4475" t="str">
            <v>COMPLEMENTARY</v>
          </cell>
          <cell r="M4475" t="str">
            <v>111807</v>
          </cell>
          <cell r="N4475" t="str">
            <v>PASTA</v>
          </cell>
        </row>
        <row r="4476">
          <cell r="C4476" t="str">
            <v>100006016</v>
          </cell>
          <cell r="D4476" t="str">
            <v>PCWB-31600 RED 34597 PASTE VN-4K</v>
          </cell>
          <cell r="E4476" t="str">
            <v>ZFGD</v>
          </cell>
          <cell r="F4476" t="str">
            <v>PC</v>
          </cell>
          <cell r="G4476" t="str">
            <v>1</v>
          </cell>
          <cell r="H4476" t="str">
            <v>INDUSTRY</v>
          </cell>
          <cell r="I4476" t="str">
            <v>11</v>
          </cell>
          <cell r="J4476" t="str">
            <v>WOOD COATINGS</v>
          </cell>
          <cell r="K4476" t="str">
            <v>1118</v>
          </cell>
          <cell r="L4476" t="str">
            <v>COMPLEMENTARY</v>
          </cell>
          <cell r="M4476" t="str">
            <v>111807</v>
          </cell>
          <cell r="N4476" t="str">
            <v>PASTA</v>
          </cell>
        </row>
        <row r="4477">
          <cell r="C4477" t="str">
            <v>100006017</v>
          </cell>
          <cell r="D4477" t="str">
            <v>PCWB-31600 YELLOW 10313 PASTE VN-4K</v>
          </cell>
          <cell r="E4477" t="str">
            <v>ZFGD</v>
          </cell>
          <cell r="F4477" t="str">
            <v>PC</v>
          </cell>
          <cell r="G4477" t="str">
            <v>1</v>
          </cell>
          <cell r="H4477" t="str">
            <v>INDUSTRY</v>
          </cell>
          <cell r="I4477" t="str">
            <v>11</v>
          </cell>
          <cell r="J4477" t="str">
            <v>WOOD COATINGS</v>
          </cell>
          <cell r="K4477" t="str">
            <v>1118</v>
          </cell>
          <cell r="L4477" t="str">
            <v>COMPLEMENTARY</v>
          </cell>
          <cell r="M4477" t="str">
            <v>111807</v>
          </cell>
          <cell r="N4477" t="str">
            <v>PASTA</v>
          </cell>
        </row>
        <row r="4478">
          <cell r="C4478" t="str">
            <v>100006018</v>
          </cell>
          <cell r="D4478" t="str">
            <v>PCWB-31600 BROWN 645 PASTE VN-4K</v>
          </cell>
          <cell r="E4478" t="str">
            <v>ZFGD</v>
          </cell>
          <cell r="F4478" t="str">
            <v>PC</v>
          </cell>
          <cell r="G4478" t="str">
            <v>1</v>
          </cell>
          <cell r="H4478" t="str">
            <v>INDUSTRY</v>
          </cell>
          <cell r="I4478" t="str">
            <v>11</v>
          </cell>
          <cell r="J4478" t="str">
            <v>WOOD COATINGS</v>
          </cell>
          <cell r="K4478" t="str">
            <v>1118</v>
          </cell>
          <cell r="L4478" t="str">
            <v>COMPLEMENTARY</v>
          </cell>
          <cell r="M4478" t="str">
            <v>111807</v>
          </cell>
          <cell r="N4478" t="str">
            <v>PASTA</v>
          </cell>
        </row>
        <row r="4479">
          <cell r="C4479" t="str">
            <v>100006019</v>
          </cell>
          <cell r="D4479" t="str">
            <v>NBC-9345-429-AK-20KP</v>
          </cell>
          <cell r="E4479" t="str">
            <v>ZFGD</v>
          </cell>
          <cell r="F4479" t="str">
            <v>PC</v>
          </cell>
          <cell r="G4479" t="str">
            <v>1</v>
          </cell>
          <cell r="H4479" t="str">
            <v>INDUSTRY</v>
          </cell>
          <cell r="I4479" t="str">
            <v>11</v>
          </cell>
          <cell r="J4479" t="str">
            <v>WOOD COATINGS</v>
          </cell>
          <cell r="K4479" t="str">
            <v>1104</v>
          </cell>
          <cell r="L4479" t="str">
            <v>NC</v>
          </cell>
          <cell r="M4479" t="str">
            <v>110403</v>
          </cell>
          <cell r="N4479" t="str">
            <v>ASOF : NC BASE COAT</v>
          </cell>
        </row>
        <row r="4480">
          <cell r="C4480" t="str">
            <v>100006020</v>
          </cell>
          <cell r="D4480" t="str">
            <v>NBC-9345-429-AK-200KB</v>
          </cell>
          <cell r="E4480" t="str">
            <v>ZFGD</v>
          </cell>
          <cell r="F4480" t="str">
            <v>PC</v>
          </cell>
          <cell r="G4480" t="str">
            <v>1</v>
          </cell>
          <cell r="H4480" t="str">
            <v>INDUSTRY</v>
          </cell>
          <cell r="I4480" t="str">
            <v>11</v>
          </cell>
          <cell r="J4480" t="str">
            <v>WOOD COATINGS</v>
          </cell>
          <cell r="K4480" t="str">
            <v>1104</v>
          </cell>
          <cell r="L4480" t="str">
            <v>NC</v>
          </cell>
          <cell r="M4480" t="str">
            <v>110403</v>
          </cell>
          <cell r="N4480" t="str">
            <v>ASOF : NC BASE COAT</v>
          </cell>
        </row>
        <row r="4481">
          <cell r="C4481" t="str">
            <v>100006023</v>
          </cell>
          <cell r="D4481" t="str">
            <v>GZPU-21500 HV 03 VC VN-18KP</v>
          </cell>
          <cell r="E4481" t="str">
            <v>ZFGD</v>
          </cell>
          <cell r="F4481" t="str">
            <v>PC</v>
          </cell>
          <cell r="G4481" t="str">
            <v>1</v>
          </cell>
          <cell r="H4481" t="str">
            <v>INDUSTRY</v>
          </cell>
          <cell r="I4481" t="str">
            <v>11</v>
          </cell>
          <cell r="J4481" t="str">
            <v>WOOD COATINGS</v>
          </cell>
          <cell r="K4481" t="str">
            <v>1103</v>
          </cell>
          <cell r="L4481" t="str">
            <v>PU</v>
          </cell>
          <cell r="M4481" t="str">
            <v>110302</v>
          </cell>
          <cell r="N4481" t="str">
            <v>GLAZE PU</v>
          </cell>
        </row>
        <row r="4482">
          <cell r="C4482" t="str">
            <v>100006024</v>
          </cell>
          <cell r="D4482" t="str">
            <v>GZPU-21500 HV 03 VC III VN-18KP</v>
          </cell>
          <cell r="E4482" t="str">
            <v>ZFGD</v>
          </cell>
          <cell r="F4482" t="str">
            <v>PC</v>
          </cell>
          <cell r="G4482" t="str">
            <v>1</v>
          </cell>
          <cell r="H4482" t="str">
            <v>INDUSTRY</v>
          </cell>
          <cell r="I4482" t="str">
            <v>11</v>
          </cell>
          <cell r="J4482" t="str">
            <v>WOOD COATINGS</v>
          </cell>
          <cell r="K4482" t="str">
            <v>1103</v>
          </cell>
          <cell r="L4482" t="str">
            <v>PU</v>
          </cell>
          <cell r="M4482" t="str">
            <v>110302</v>
          </cell>
          <cell r="N4482" t="str">
            <v>GLAZE PU</v>
          </cell>
        </row>
        <row r="4483">
          <cell r="C4483" t="str">
            <v>100006025</v>
          </cell>
          <cell r="D4483" t="str">
            <v>GZPU-21500 HV 04 VC VN-18KP</v>
          </cell>
          <cell r="E4483" t="str">
            <v>ZFGD</v>
          </cell>
          <cell r="F4483" t="str">
            <v>PC</v>
          </cell>
          <cell r="G4483" t="str">
            <v>1</v>
          </cell>
          <cell r="H4483" t="str">
            <v>INDUSTRY</v>
          </cell>
          <cell r="I4483" t="str">
            <v>11</v>
          </cell>
          <cell r="J4483" t="str">
            <v>WOOD COATINGS</v>
          </cell>
          <cell r="K4483" t="str">
            <v>1103</v>
          </cell>
          <cell r="L4483" t="str">
            <v>PU</v>
          </cell>
          <cell r="M4483" t="str">
            <v>110302</v>
          </cell>
          <cell r="N4483" t="str">
            <v>GLAZE PU</v>
          </cell>
        </row>
        <row r="4484">
          <cell r="C4484" t="str">
            <v>100006026</v>
          </cell>
          <cell r="D4484" t="str">
            <v>GZPU-21500 HV 04 VC III VN-18KP</v>
          </cell>
          <cell r="E4484" t="str">
            <v>ZFGD</v>
          </cell>
          <cell r="F4484" t="str">
            <v>PC</v>
          </cell>
          <cell r="G4484" t="str">
            <v>1</v>
          </cell>
          <cell r="H4484" t="str">
            <v>INDUSTRY</v>
          </cell>
          <cell r="I4484" t="str">
            <v>11</v>
          </cell>
          <cell r="J4484" t="str">
            <v>WOOD COATINGS</v>
          </cell>
          <cell r="K4484" t="str">
            <v>1103</v>
          </cell>
          <cell r="L4484" t="str">
            <v>PU</v>
          </cell>
          <cell r="M4484" t="str">
            <v>110302</v>
          </cell>
          <cell r="N4484" t="str">
            <v>GLAZE PU</v>
          </cell>
        </row>
        <row r="4485">
          <cell r="C4485" t="str">
            <v>100006027</v>
          </cell>
          <cell r="D4485" t="str">
            <v>GZPU-21500 HV 13 VC VN-18KP</v>
          </cell>
          <cell r="E4485" t="str">
            <v>ZFGD</v>
          </cell>
          <cell r="F4485" t="str">
            <v>PC</v>
          </cell>
          <cell r="G4485" t="str">
            <v>1</v>
          </cell>
          <cell r="H4485" t="str">
            <v>INDUSTRY</v>
          </cell>
          <cell r="I4485" t="str">
            <v>11</v>
          </cell>
          <cell r="J4485" t="str">
            <v>WOOD COATINGS</v>
          </cell>
          <cell r="K4485" t="str">
            <v>1103</v>
          </cell>
          <cell r="L4485" t="str">
            <v>PU</v>
          </cell>
          <cell r="M4485" t="str">
            <v>110302</v>
          </cell>
          <cell r="N4485" t="str">
            <v>GLAZE PU</v>
          </cell>
        </row>
        <row r="4486">
          <cell r="C4486" t="str">
            <v>100006028</v>
          </cell>
          <cell r="D4486" t="str">
            <v>SST-11100 C10 BLACK WS-4K</v>
          </cell>
          <cell r="E4486" t="str">
            <v>ZFGD</v>
          </cell>
          <cell r="F4486" t="str">
            <v>PC</v>
          </cell>
          <cell r="G4486" t="str">
            <v>1</v>
          </cell>
          <cell r="H4486" t="str">
            <v>INDUSTRY</v>
          </cell>
          <cell r="I4486" t="str">
            <v>11</v>
          </cell>
          <cell r="J4486" t="str">
            <v>WOOD COATINGS</v>
          </cell>
          <cell r="K4486" t="str">
            <v>1109</v>
          </cell>
          <cell r="L4486" t="str">
            <v>STAIN &amp; GLAZE INTERIOR</v>
          </cell>
          <cell r="M4486" t="str">
            <v>110903</v>
          </cell>
          <cell r="N4486" t="str">
            <v>STAIN INTERIOR</v>
          </cell>
        </row>
        <row r="4487">
          <cell r="C4487" t="str">
            <v>100006029</v>
          </cell>
          <cell r="D4487" t="str">
            <v>SST-11100 C10 RED WS VN-4K</v>
          </cell>
          <cell r="E4487" t="str">
            <v>ZFGD</v>
          </cell>
          <cell r="F4487" t="str">
            <v>PC</v>
          </cell>
          <cell r="G4487" t="str">
            <v>1</v>
          </cell>
          <cell r="H4487" t="str">
            <v>INDUSTRY</v>
          </cell>
          <cell r="I4487" t="str">
            <v>11</v>
          </cell>
          <cell r="J4487" t="str">
            <v>WOOD COATINGS</v>
          </cell>
          <cell r="K4487" t="str">
            <v>1109</v>
          </cell>
          <cell r="L4487" t="str">
            <v>STAIN &amp; GLAZE INTERIOR</v>
          </cell>
          <cell r="M4487" t="str">
            <v>110903</v>
          </cell>
          <cell r="N4487" t="str">
            <v>STAIN INTERIOR</v>
          </cell>
        </row>
        <row r="4488">
          <cell r="C4488" t="str">
            <v>100006030</v>
          </cell>
          <cell r="D4488" t="str">
            <v>SST-11100 C10 YELLOW WS VN-4K</v>
          </cell>
          <cell r="E4488" t="str">
            <v>ZFGD</v>
          </cell>
          <cell r="F4488" t="str">
            <v>PC</v>
          </cell>
          <cell r="G4488" t="str">
            <v>1</v>
          </cell>
          <cell r="H4488" t="str">
            <v>INDUSTRY</v>
          </cell>
          <cell r="I4488" t="str">
            <v>11</v>
          </cell>
          <cell r="J4488" t="str">
            <v>WOOD COATINGS</v>
          </cell>
          <cell r="K4488" t="str">
            <v>1109</v>
          </cell>
          <cell r="L4488" t="str">
            <v>STAIN &amp; GLAZE INTERIOR</v>
          </cell>
          <cell r="M4488" t="str">
            <v>110903</v>
          </cell>
          <cell r="N4488" t="str">
            <v>STAIN INTERIOR</v>
          </cell>
        </row>
        <row r="4489">
          <cell r="C4489" t="str">
            <v>100006031</v>
          </cell>
          <cell r="D4489" t="str">
            <v>SST-11100 C10 BLUE WS VN-4K</v>
          </cell>
          <cell r="E4489" t="str">
            <v>ZFGD</v>
          </cell>
          <cell r="F4489" t="str">
            <v>PC</v>
          </cell>
          <cell r="G4489" t="str">
            <v>1</v>
          </cell>
          <cell r="H4489" t="str">
            <v>INDUSTRY</v>
          </cell>
          <cell r="I4489" t="str">
            <v>11</v>
          </cell>
          <cell r="J4489" t="str">
            <v>WOOD COATINGS</v>
          </cell>
          <cell r="K4489" t="str">
            <v>1109</v>
          </cell>
          <cell r="L4489" t="str">
            <v>STAIN &amp; GLAZE INTERIOR</v>
          </cell>
          <cell r="M4489" t="str">
            <v>110903</v>
          </cell>
          <cell r="N4489" t="str">
            <v>STAIN INTERIOR</v>
          </cell>
        </row>
        <row r="4490">
          <cell r="C4490" t="str">
            <v>100006032</v>
          </cell>
          <cell r="D4490" t="str">
            <v>WBST-13100 BLACK WS VN-4K</v>
          </cell>
          <cell r="E4490" t="str">
            <v>ZFGD</v>
          </cell>
          <cell r="F4490" t="str">
            <v>PC</v>
          </cell>
          <cell r="G4490" t="str">
            <v>1</v>
          </cell>
          <cell r="H4490" t="str">
            <v>INDUSTRY</v>
          </cell>
          <cell r="I4490" t="str">
            <v>11</v>
          </cell>
          <cell r="J4490" t="str">
            <v>WOOD COATINGS</v>
          </cell>
          <cell r="K4490" t="str">
            <v>1119</v>
          </cell>
          <cell r="L4490" t="str">
            <v>WATERBASED</v>
          </cell>
          <cell r="M4490" t="str">
            <v>111902</v>
          </cell>
          <cell r="N4490" t="str">
            <v>WATERBASED SYSTEM INTERIOR</v>
          </cell>
        </row>
        <row r="4491">
          <cell r="C4491" t="str">
            <v>100006033</v>
          </cell>
          <cell r="D4491" t="str">
            <v>WBST-13100 RED WS VN-4K</v>
          </cell>
          <cell r="E4491" t="str">
            <v>ZFGD</v>
          </cell>
          <cell r="F4491" t="str">
            <v>PC</v>
          </cell>
          <cell r="G4491" t="str">
            <v>1</v>
          </cell>
          <cell r="H4491" t="str">
            <v>INDUSTRY</v>
          </cell>
          <cell r="I4491" t="str">
            <v>11</v>
          </cell>
          <cell r="J4491" t="str">
            <v>WOOD COATINGS</v>
          </cell>
          <cell r="K4491" t="str">
            <v>1119</v>
          </cell>
          <cell r="L4491" t="str">
            <v>WATERBASED</v>
          </cell>
          <cell r="M4491" t="str">
            <v>111902</v>
          </cell>
          <cell r="N4491" t="str">
            <v>WATERBASED SYSTEM INTERIOR</v>
          </cell>
        </row>
        <row r="4492">
          <cell r="C4492" t="str">
            <v>100006034</v>
          </cell>
          <cell r="D4492" t="str">
            <v>WBST-13100 YELLOW WS VN-4K</v>
          </cell>
          <cell r="E4492" t="str">
            <v>ZFGD</v>
          </cell>
          <cell r="F4492" t="str">
            <v>PC</v>
          </cell>
          <cell r="G4492" t="str">
            <v>1</v>
          </cell>
          <cell r="H4492" t="str">
            <v>INDUSTRY</v>
          </cell>
          <cell r="I4492" t="str">
            <v>11</v>
          </cell>
          <cell r="J4492" t="str">
            <v>WOOD COATINGS</v>
          </cell>
          <cell r="K4492" t="str">
            <v>1119</v>
          </cell>
          <cell r="L4492" t="str">
            <v>WATERBASED</v>
          </cell>
          <cell r="M4492" t="str">
            <v>111902</v>
          </cell>
          <cell r="N4492" t="str">
            <v>WATERBASED SYSTEM INTERIOR</v>
          </cell>
        </row>
        <row r="4493">
          <cell r="C4493" t="str">
            <v>100006035</v>
          </cell>
          <cell r="D4493" t="str">
            <v>WBL-63210 EX-BALAU SC VN-18KP</v>
          </cell>
          <cell r="E4493" t="str">
            <v>ZFGD</v>
          </cell>
          <cell r="F4493" t="str">
            <v>PC</v>
          </cell>
          <cell r="G4493" t="str">
            <v>1</v>
          </cell>
          <cell r="H4493" t="str">
            <v>INDUSTRY</v>
          </cell>
          <cell r="I4493" t="str">
            <v>11</v>
          </cell>
          <cell r="J4493" t="str">
            <v>WOOD COATINGS</v>
          </cell>
          <cell r="K4493" t="str">
            <v>1119</v>
          </cell>
          <cell r="L4493" t="str">
            <v>WATERBASED</v>
          </cell>
          <cell r="M4493" t="str">
            <v>111901</v>
          </cell>
          <cell r="N4493" t="str">
            <v>WATERBASED SYSTEM EXTERIOR</v>
          </cell>
        </row>
        <row r="4494">
          <cell r="C4494" t="str">
            <v>100006037</v>
          </cell>
          <cell r="D4494" t="str">
            <v>WBST-13100 BROWN TH VN-20KP</v>
          </cell>
          <cell r="E4494" t="str">
            <v>ZFGD</v>
          </cell>
          <cell r="F4494" t="str">
            <v>PC</v>
          </cell>
          <cell r="G4494" t="str">
            <v>1</v>
          </cell>
          <cell r="H4494" t="str">
            <v>INDUSTRY</v>
          </cell>
          <cell r="I4494" t="str">
            <v>11</v>
          </cell>
          <cell r="J4494" t="str">
            <v>WOOD COATINGS</v>
          </cell>
          <cell r="K4494" t="str">
            <v>1119</v>
          </cell>
          <cell r="L4494" t="str">
            <v>WATERBASED</v>
          </cell>
          <cell r="M4494" t="str">
            <v>111902</v>
          </cell>
          <cell r="N4494" t="str">
            <v>WATERBASED SYSTEM INTERIOR</v>
          </cell>
        </row>
        <row r="4495">
          <cell r="C4495" t="str">
            <v>100006038</v>
          </cell>
          <cell r="D4495" t="str">
            <v>PCWB-31600 NATURAL TH VN-20KP</v>
          </cell>
          <cell r="E4495" t="str">
            <v>ZFGD</v>
          </cell>
          <cell r="F4495" t="str">
            <v>PC</v>
          </cell>
          <cell r="G4495" t="str">
            <v>1</v>
          </cell>
          <cell r="H4495" t="str">
            <v>INDUSTRY</v>
          </cell>
          <cell r="I4495" t="str">
            <v>11</v>
          </cell>
          <cell r="J4495" t="str">
            <v>WOOD COATINGS</v>
          </cell>
          <cell r="K4495" t="str">
            <v>1118</v>
          </cell>
          <cell r="L4495" t="str">
            <v>COMPLEMENTARY</v>
          </cell>
          <cell r="M4495" t="str">
            <v>111807</v>
          </cell>
          <cell r="N4495" t="str">
            <v>PASTA</v>
          </cell>
        </row>
        <row r="4496">
          <cell r="C4496" t="str">
            <v>100006039</v>
          </cell>
          <cell r="D4496" t="str">
            <v>WBSS-61104 VL VN-20KP</v>
          </cell>
          <cell r="E4496" t="str">
            <v>ZFGD</v>
          </cell>
          <cell r="F4496" t="str">
            <v>PC</v>
          </cell>
          <cell r="G4496" t="str">
            <v>1</v>
          </cell>
          <cell r="H4496" t="str">
            <v>INDUSTRY</v>
          </cell>
          <cell r="I4496" t="str">
            <v>11</v>
          </cell>
          <cell r="J4496" t="str">
            <v>WOOD COATINGS</v>
          </cell>
          <cell r="K4496" t="str">
            <v>1119</v>
          </cell>
          <cell r="L4496" t="str">
            <v>WATERBASED</v>
          </cell>
          <cell r="M4496" t="str">
            <v>111902</v>
          </cell>
          <cell r="N4496" t="str">
            <v>WATERBASED SYSTEM INTERIOR</v>
          </cell>
        </row>
        <row r="4497">
          <cell r="C4497" t="str">
            <v>100006040</v>
          </cell>
          <cell r="D4497" t="str">
            <v>WBL-61202 CLEAR 10 VL VN-20KP</v>
          </cell>
          <cell r="E4497" t="str">
            <v>ZFGD</v>
          </cell>
          <cell r="F4497" t="str">
            <v>PC</v>
          </cell>
          <cell r="G4497" t="str">
            <v>1</v>
          </cell>
          <cell r="H4497" t="str">
            <v>INDUSTRY</v>
          </cell>
          <cell r="I4497" t="str">
            <v>11</v>
          </cell>
          <cell r="J4497" t="str">
            <v>WOOD COATINGS</v>
          </cell>
          <cell r="K4497" t="str">
            <v>1119</v>
          </cell>
          <cell r="L4497" t="str">
            <v>WATERBASED</v>
          </cell>
          <cell r="M4497" t="str">
            <v>111902</v>
          </cell>
          <cell r="N4497" t="str">
            <v>WATERBASED SYSTEM INTERIOR</v>
          </cell>
        </row>
        <row r="4498">
          <cell r="C4498" t="str">
            <v>100006048</v>
          </cell>
          <cell r="D4498" t="str">
            <v>DP-12129 LC YEL DIVA F1 VN-18KP</v>
          </cell>
          <cell r="E4498" t="str">
            <v>ZFGD</v>
          </cell>
          <cell r="F4498" t="str">
            <v>PC</v>
          </cell>
          <cell r="G4498" t="str">
            <v>1</v>
          </cell>
          <cell r="H4498" t="str">
            <v>INDUSTRY</v>
          </cell>
          <cell r="I4498" t="str">
            <v>11</v>
          </cell>
          <cell r="J4498" t="str">
            <v>WOOD COATINGS</v>
          </cell>
          <cell r="K4498" t="str">
            <v>1104</v>
          </cell>
          <cell r="L4498" t="str">
            <v>NC</v>
          </cell>
          <cell r="M4498" t="str">
            <v>110405</v>
          </cell>
          <cell r="N4498" t="str">
            <v>NC SYSTEM</v>
          </cell>
        </row>
        <row r="4499">
          <cell r="C4499" t="str">
            <v>100006049</v>
          </cell>
          <cell r="D4499" t="str">
            <v>PG-13900 WHITE DIVA F1 VN-20KP</v>
          </cell>
          <cell r="E4499" t="str">
            <v>ZFGD</v>
          </cell>
          <cell r="F4499" t="str">
            <v>PC</v>
          </cell>
          <cell r="G4499" t="str">
            <v>1</v>
          </cell>
          <cell r="H4499" t="str">
            <v>INDUSTRY</v>
          </cell>
          <cell r="I4499" t="str">
            <v>11</v>
          </cell>
          <cell r="J4499" t="str">
            <v>WOOD COATINGS</v>
          </cell>
          <cell r="K4499" t="str">
            <v>1109</v>
          </cell>
          <cell r="L4499" t="str">
            <v>STAIN &amp; GLAZE INTERIOR</v>
          </cell>
          <cell r="M4499" t="str">
            <v>110901</v>
          </cell>
          <cell r="N4499" t="str">
            <v>ASOF : STAIN &amp; GLAZE</v>
          </cell>
        </row>
        <row r="4500">
          <cell r="C4500" t="str">
            <v>100006050</v>
          </cell>
          <cell r="D4500" t="str">
            <v>SST-11100 YEL DIVA F1 VN-16KJ</v>
          </cell>
          <cell r="E4500" t="str">
            <v>ZFGD</v>
          </cell>
          <cell r="F4500" t="str">
            <v>PC</v>
          </cell>
          <cell r="G4500" t="str">
            <v>1</v>
          </cell>
          <cell r="H4500" t="str">
            <v>INDUSTRY</v>
          </cell>
          <cell r="I4500" t="str">
            <v>11</v>
          </cell>
          <cell r="J4500" t="str">
            <v>WOOD COATINGS</v>
          </cell>
          <cell r="K4500" t="str">
            <v>1109</v>
          </cell>
          <cell r="L4500" t="str">
            <v>STAIN &amp; GLAZE INTERIOR</v>
          </cell>
          <cell r="M4500" t="str">
            <v>110903</v>
          </cell>
          <cell r="N4500" t="str">
            <v>STAIN INTERIOR</v>
          </cell>
        </row>
        <row r="4501">
          <cell r="C4501" t="str">
            <v>100006051</v>
          </cell>
          <cell r="D4501" t="str">
            <v>WBC-62204 BLACK 00 20 GR VN-20KP</v>
          </cell>
          <cell r="E4501" t="str">
            <v>ZFGD</v>
          </cell>
          <cell r="F4501" t="str">
            <v>PC</v>
          </cell>
          <cell r="G4501" t="str">
            <v>1</v>
          </cell>
          <cell r="H4501" t="str">
            <v>INDUSTRY</v>
          </cell>
          <cell r="I4501" t="str">
            <v>11</v>
          </cell>
          <cell r="J4501" t="str">
            <v>WOOD COATINGS</v>
          </cell>
          <cell r="K4501" t="str">
            <v>1119</v>
          </cell>
          <cell r="L4501" t="str">
            <v>WATERBASED</v>
          </cell>
          <cell r="M4501" t="str">
            <v>111902</v>
          </cell>
          <cell r="N4501" t="str">
            <v>WATERBASED SYSTEM INTERIOR</v>
          </cell>
        </row>
        <row r="4502">
          <cell r="C4502" t="str">
            <v>100006052</v>
          </cell>
          <cell r="D4502" t="str">
            <v>EQ-10200 YEL 2C05 F1 VN-16KJ</v>
          </cell>
          <cell r="E4502" t="str">
            <v>ZFGD</v>
          </cell>
          <cell r="F4502" t="str">
            <v>PC</v>
          </cell>
          <cell r="G4502" t="str">
            <v>1</v>
          </cell>
          <cell r="H4502" t="str">
            <v>INDUSTRY</v>
          </cell>
          <cell r="I4502" t="str">
            <v>11</v>
          </cell>
          <cell r="J4502" t="str">
            <v>WOOD COATINGS</v>
          </cell>
          <cell r="K4502" t="str">
            <v>1109</v>
          </cell>
          <cell r="L4502" t="str">
            <v>STAIN &amp; GLAZE INTERIOR</v>
          </cell>
          <cell r="M4502" t="str">
            <v>110901</v>
          </cell>
          <cell r="N4502" t="str">
            <v>ASOF : STAIN &amp; GLAZE</v>
          </cell>
        </row>
        <row r="4503">
          <cell r="C4503" t="str">
            <v>100006053</v>
          </cell>
          <cell r="D4503" t="str">
            <v>TOL-76301 N WHITE 2C05  F1 VN-16KJ</v>
          </cell>
          <cell r="E4503" t="str">
            <v>ZFGD</v>
          </cell>
          <cell r="F4503" t="str">
            <v>PC</v>
          </cell>
          <cell r="G4503" t="str">
            <v>1</v>
          </cell>
          <cell r="H4503" t="str">
            <v>INDUSTRY</v>
          </cell>
          <cell r="I4503" t="str">
            <v>11</v>
          </cell>
          <cell r="J4503" t="str">
            <v>WOOD COATINGS</v>
          </cell>
          <cell r="K4503" t="str">
            <v>1101</v>
          </cell>
          <cell r="L4503" t="str">
            <v>ALKYD OIL</v>
          </cell>
          <cell r="M4503" t="str">
            <v>110101</v>
          </cell>
          <cell r="N4503" t="str">
            <v>ALKYD &amp; OIL SYSTEM</v>
          </cell>
        </row>
        <row r="4504">
          <cell r="C4504" t="str">
            <v>100006054</v>
          </cell>
          <cell r="D4504" t="str">
            <v>WBL-63210 EX LOT SC VN-18KP</v>
          </cell>
          <cell r="E4504" t="str">
            <v>ZFGD</v>
          </cell>
          <cell r="F4504" t="str">
            <v>PC</v>
          </cell>
          <cell r="G4504" t="str">
            <v>1</v>
          </cell>
          <cell r="H4504" t="str">
            <v>INDUSTRY</v>
          </cell>
          <cell r="I4504" t="str">
            <v>11</v>
          </cell>
          <cell r="J4504" t="str">
            <v>WOOD COATINGS</v>
          </cell>
          <cell r="K4504" t="str">
            <v>1119</v>
          </cell>
          <cell r="L4504" t="str">
            <v>WATERBASED</v>
          </cell>
          <cell r="M4504" t="str">
            <v>111901</v>
          </cell>
          <cell r="N4504" t="str">
            <v>WATERBASED SYSTEM EXTERIOR</v>
          </cell>
        </row>
        <row r="4505">
          <cell r="C4505" t="str">
            <v>100006055</v>
          </cell>
          <cell r="D4505" t="str">
            <v>WBL-63210 EX CLEAR SC VN-18KP</v>
          </cell>
          <cell r="E4505" t="str">
            <v>ZFGD</v>
          </cell>
          <cell r="F4505" t="str">
            <v>PC</v>
          </cell>
          <cell r="G4505" t="str">
            <v>1</v>
          </cell>
          <cell r="H4505" t="str">
            <v>INDUSTRY</v>
          </cell>
          <cell r="I4505" t="str">
            <v>11</v>
          </cell>
          <cell r="J4505" t="str">
            <v>WOOD COATINGS</v>
          </cell>
          <cell r="K4505" t="str">
            <v>1119</v>
          </cell>
          <cell r="L4505" t="str">
            <v>WATERBASED</v>
          </cell>
          <cell r="M4505" t="str">
            <v>111901</v>
          </cell>
          <cell r="N4505" t="str">
            <v>WATERBASED SYSTEM EXTERIOR</v>
          </cell>
        </row>
        <row r="4506">
          <cell r="C4506" t="str">
            <v>100006056</v>
          </cell>
          <cell r="D4506" t="str">
            <v>WBST-13100 WALNUT 01 A GR VN-16KJ</v>
          </cell>
          <cell r="E4506" t="str">
            <v>ZFGD</v>
          </cell>
          <cell r="F4506" t="str">
            <v>PC</v>
          </cell>
          <cell r="G4506" t="str">
            <v>1</v>
          </cell>
          <cell r="H4506" t="str">
            <v>INDUSTRY</v>
          </cell>
          <cell r="I4506" t="str">
            <v>11</v>
          </cell>
          <cell r="J4506" t="str">
            <v>WOOD COATINGS</v>
          </cell>
          <cell r="K4506" t="str">
            <v>1119</v>
          </cell>
          <cell r="L4506" t="str">
            <v>WATERBASED</v>
          </cell>
          <cell r="M4506" t="str">
            <v>111902</v>
          </cell>
          <cell r="N4506" t="str">
            <v>WATERBASED SYSTEM INTERIOR</v>
          </cell>
        </row>
        <row r="4507">
          <cell r="C4507" t="str">
            <v>100006057</v>
          </cell>
          <cell r="D4507" t="str">
            <v>WBST-13100 WALNUT 01 B GR VN-16KJ</v>
          </cell>
          <cell r="E4507" t="str">
            <v>ZFGD</v>
          </cell>
          <cell r="F4507" t="str">
            <v>PC</v>
          </cell>
          <cell r="G4507" t="str">
            <v>1</v>
          </cell>
          <cell r="H4507" t="str">
            <v>INDUSTRY</v>
          </cell>
          <cell r="I4507" t="str">
            <v>11</v>
          </cell>
          <cell r="J4507" t="str">
            <v>WOOD COATINGS</v>
          </cell>
          <cell r="K4507" t="str">
            <v>1119</v>
          </cell>
          <cell r="L4507" t="str">
            <v>WATERBASED</v>
          </cell>
          <cell r="M4507" t="str">
            <v>111902</v>
          </cell>
          <cell r="N4507" t="str">
            <v>WATERBASED SYSTEM INTERIOR</v>
          </cell>
        </row>
        <row r="4508">
          <cell r="C4508" t="str">
            <v>100006058</v>
          </cell>
          <cell r="D4508" t="str">
            <v>WBST-13100 WALNUT 02 A GR VN-16KJ</v>
          </cell>
          <cell r="E4508" t="str">
            <v>ZFGD</v>
          </cell>
          <cell r="F4508" t="str">
            <v>PC</v>
          </cell>
          <cell r="G4508" t="str">
            <v>1</v>
          </cell>
          <cell r="H4508" t="str">
            <v>INDUSTRY</v>
          </cell>
          <cell r="I4508" t="str">
            <v>11</v>
          </cell>
          <cell r="J4508" t="str">
            <v>WOOD COATINGS</v>
          </cell>
          <cell r="K4508" t="str">
            <v>1119</v>
          </cell>
          <cell r="L4508" t="str">
            <v>WATERBASED</v>
          </cell>
          <cell r="M4508" t="str">
            <v>111902</v>
          </cell>
          <cell r="N4508" t="str">
            <v>WATERBASED SYSTEM INTERIOR</v>
          </cell>
        </row>
        <row r="4509">
          <cell r="C4509" t="str">
            <v>100006059</v>
          </cell>
          <cell r="D4509" t="str">
            <v>WBST-13100 WALNUT 02 B GR VN-16KJ</v>
          </cell>
          <cell r="E4509" t="str">
            <v>ZFGD</v>
          </cell>
          <cell r="F4509" t="str">
            <v>PC</v>
          </cell>
          <cell r="G4509" t="str">
            <v>1</v>
          </cell>
          <cell r="H4509" t="str">
            <v>INDUSTRY</v>
          </cell>
          <cell r="I4509" t="str">
            <v>11</v>
          </cell>
          <cell r="J4509" t="str">
            <v>WOOD COATINGS</v>
          </cell>
          <cell r="K4509" t="str">
            <v>1119</v>
          </cell>
          <cell r="L4509" t="str">
            <v>WATERBASED</v>
          </cell>
          <cell r="M4509" t="str">
            <v>111902</v>
          </cell>
          <cell r="N4509" t="str">
            <v>WATERBASED SYSTEM INTERIOR</v>
          </cell>
        </row>
        <row r="4510">
          <cell r="C4510" t="str">
            <v>100006060</v>
          </cell>
          <cell r="D4510" t="str">
            <v>PUP-52141 XAM 2767T IP VN-20KP</v>
          </cell>
          <cell r="E4510" t="str">
            <v>ZFGD</v>
          </cell>
          <cell r="F4510" t="str">
            <v>PC</v>
          </cell>
          <cell r="G4510" t="str">
            <v>1</v>
          </cell>
          <cell r="H4510" t="str">
            <v>INDUSTRY</v>
          </cell>
          <cell r="I4510" t="str">
            <v>11</v>
          </cell>
          <cell r="J4510" t="str">
            <v>WOOD COATINGS</v>
          </cell>
          <cell r="K4510" t="str">
            <v>1103</v>
          </cell>
          <cell r="L4510" t="str">
            <v>PU</v>
          </cell>
          <cell r="M4510" t="str">
            <v>110322</v>
          </cell>
          <cell r="N4510" t="str">
            <v>PU PRIMER</v>
          </cell>
        </row>
        <row r="4511">
          <cell r="C4511" t="str">
            <v>100006061</v>
          </cell>
          <cell r="D4511" t="str">
            <v>PUC-54205 AC XAM 2768D 10 IP VN-20KP</v>
          </cell>
          <cell r="E4511" t="str">
            <v>ZFGD</v>
          </cell>
          <cell r="F4511" t="str">
            <v>PC</v>
          </cell>
          <cell r="G4511" t="str">
            <v>1</v>
          </cell>
          <cell r="H4511" t="str">
            <v>INDUSTRY</v>
          </cell>
          <cell r="I4511" t="str">
            <v>11</v>
          </cell>
          <cell r="J4511" t="str">
            <v>WOOD COATINGS</v>
          </cell>
          <cell r="K4511" t="str">
            <v>1103</v>
          </cell>
          <cell r="L4511" t="str">
            <v>PU</v>
          </cell>
          <cell r="M4511" t="str">
            <v>110319</v>
          </cell>
          <cell r="N4511" t="str">
            <v>PU COLOR</v>
          </cell>
        </row>
        <row r="4512">
          <cell r="C4512" t="str">
            <v>100006062</v>
          </cell>
          <cell r="D4512" t="str">
            <v>PUC-54205 AC XAM 2767T 10 IP VN-20KP</v>
          </cell>
          <cell r="E4512" t="str">
            <v>ZFGD</v>
          </cell>
          <cell r="F4512" t="str">
            <v>PC</v>
          </cell>
          <cell r="G4512" t="str">
            <v>1</v>
          </cell>
          <cell r="H4512" t="str">
            <v>INDUSTRY</v>
          </cell>
          <cell r="I4512" t="str">
            <v>11</v>
          </cell>
          <cell r="J4512" t="str">
            <v>WOOD COATINGS</v>
          </cell>
          <cell r="K4512" t="str">
            <v>1103</v>
          </cell>
          <cell r="L4512" t="str">
            <v>PU</v>
          </cell>
          <cell r="M4512" t="str">
            <v>110319</v>
          </cell>
          <cell r="N4512" t="str">
            <v>PU COLOR</v>
          </cell>
        </row>
        <row r="4513">
          <cell r="C4513" t="str">
            <v>100006063</v>
          </cell>
          <cell r="D4513" t="str">
            <v>PUP-52141 XAM 1982D IP VN-20KP</v>
          </cell>
          <cell r="E4513" t="str">
            <v>ZFGD</v>
          </cell>
          <cell r="F4513" t="str">
            <v>PC</v>
          </cell>
          <cell r="G4513" t="str">
            <v>1</v>
          </cell>
          <cell r="H4513" t="str">
            <v>INDUSTRY</v>
          </cell>
          <cell r="I4513" t="str">
            <v>11</v>
          </cell>
          <cell r="J4513" t="str">
            <v>WOOD COATINGS</v>
          </cell>
          <cell r="K4513" t="str">
            <v>1103</v>
          </cell>
          <cell r="L4513" t="str">
            <v>PU</v>
          </cell>
          <cell r="M4513" t="str">
            <v>110322</v>
          </cell>
          <cell r="N4513" t="str">
            <v>PU PRIMER</v>
          </cell>
        </row>
        <row r="4514">
          <cell r="C4514" t="str">
            <v>100006064</v>
          </cell>
          <cell r="D4514" t="str">
            <v>PUC-54206 AC EX XAM1982D 10 IP VN-18KP</v>
          </cell>
          <cell r="E4514" t="str">
            <v>ZFGD</v>
          </cell>
          <cell r="F4514" t="str">
            <v>PC</v>
          </cell>
          <cell r="G4514" t="str">
            <v>1</v>
          </cell>
          <cell r="H4514" t="str">
            <v>INDUSTRY</v>
          </cell>
          <cell r="I4514" t="str">
            <v>11</v>
          </cell>
          <cell r="J4514" t="str">
            <v>WOOD COATINGS</v>
          </cell>
          <cell r="K4514" t="str">
            <v>1103</v>
          </cell>
          <cell r="L4514" t="str">
            <v>PU</v>
          </cell>
          <cell r="M4514" t="str">
            <v>110319</v>
          </cell>
          <cell r="N4514" t="str">
            <v>PU COLOR</v>
          </cell>
        </row>
        <row r="4515">
          <cell r="C4515" t="str">
            <v>100006065</v>
          </cell>
          <cell r="D4515" t="str">
            <v>PUP-52141 BLUE 2667D IP VN-20KP</v>
          </cell>
          <cell r="E4515" t="str">
            <v>ZFGD</v>
          </cell>
          <cell r="F4515" t="str">
            <v>PC</v>
          </cell>
          <cell r="G4515" t="str">
            <v>1</v>
          </cell>
          <cell r="H4515" t="str">
            <v>INDUSTRY</v>
          </cell>
          <cell r="I4515" t="str">
            <v>11</v>
          </cell>
          <cell r="J4515" t="str">
            <v>WOOD COATINGS</v>
          </cell>
          <cell r="K4515" t="str">
            <v>1103</v>
          </cell>
          <cell r="L4515" t="str">
            <v>PU</v>
          </cell>
          <cell r="M4515" t="str">
            <v>110322</v>
          </cell>
          <cell r="N4515" t="str">
            <v>PU PRIMER</v>
          </cell>
        </row>
        <row r="4516">
          <cell r="C4516" t="str">
            <v>100006066</v>
          </cell>
          <cell r="D4516" t="str">
            <v>PUC-54205 AC BLUE2667D 10 IP VN-20KP</v>
          </cell>
          <cell r="E4516" t="str">
            <v>ZFGD</v>
          </cell>
          <cell r="F4516" t="str">
            <v>PC</v>
          </cell>
          <cell r="G4516" t="str">
            <v>1</v>
          </cell>
          <cell r="H4516" t="str">
            <v>INDUSTRY</v>
          </cell>
          <cell r="I4516" t="str">
            <v>11</v>
          </cell>
          <cell r="J4516" t="str">
            <v>WOOD COATINGS</v>
          </cell>
          <cell r="K4516" t="str">
            <v>1103</v>
          </cell>
          <cell r="L4516" t="str">
            <v>PU</v>
          </cell>
          <cell r="M4516" t="str">
            <v>110319</v>
          </cell>
          <cell r="N4516" t="str">
            <v>PU COLOR</v>
          </cell>
        </row>
        <row r="4517">
          <cell r="C4517" t="str">
            <v>100006067</v>
          </cell>
          <cell r="D4517" t="str">
            <v>PUC-54205 AC WHI 3024P 10 IP VN-20KP</v>
          </cell>
          <cell r="E4517" t="str">
            <v>ZFGD</v>
          </cell>
          <cell r="F4517" t="str">
            <v>PC</v>
          </cell>
          <cell r="G4517" t="str">
            <v>1</v>
          </cell>
          <cell r="H4517" t="str">
            <v>INDUSTRY</v>
          </cell>
          <cell r="I4517" t="str">
            <v>11</v>
          </cell>
          <cell r="J4517" t="str">
            <v>WOOD COATINGS</v>
          </cell>
          <cell r="K4517" t="str">
            <v>1103</v>
          </cell>
          <cell r="L4517" t="str">
            <v>PU</v>
          </cell>
          <cell r="M4517" t="str">
            <v>110319</v>
          </cell>
          <cell r="N4517" t="str">
            <v>PU COLOR</v>
          </cell>
        </row>
        <row r="4518">
          <cell r="C4518" t="str">
            <v>100006068</v>
          </cell>
          <cell r="D4518" t="str">
            <v>PUC-54205 AC XANH2748P 10 IP VN-20KP</v>
          </cell>
          <cell r="E4518" t="str">
            <v>ZFGD</v>
          </cell>
          <cell r="F4518" t="str">
            <v>PC</v>
          </cell>
          <cell r="G4518" t="str">
            <v>1</v>
          </cell>
          <cell r="H4518" t="str">
            <v>INDUSTRY</v>
          </cell>
          <cell r="I4518" t="str">
            <v>11</v>
          </cell>
          <cell r="J4518" t="str">
            <v>WOOD COATINGS</v>
          </cell>
          <cell r="K4518" t="str">
            <v>1103</v>
          </cell>
          <cell r="L4518" t="str">
            <v>PU</v>
          </cell>
          <cell r="M4518" t="str">
            <v>110319</v>
          </cell>
          <cell r="N4518" t="str">
            <v>PU COLOR</v>
          </cell>
        </row>
        <row r="4519">
          <cell r="C4519" t="str">
            <v>100006069</v>
          </cell>
          <cell r="D4519" t="str">
            <v>PUC-54205 AC XANH1794T 10 IP VN-20KP</v>
          </cell>
          <cell r="E4519" t="str">
            <v>ZFGD</v>
          </cell>
          <cell r="F4519" t="str">
            <v>PC</v>
          </cell>
          <cell r="G4519" t="str">
            <v>1</v>
          </cell>
          <cell r="H4519" t="str">
            <v>INDUSTRY</v>
          </cell>
          <cell r="I4519" t="str">
            <v>11</v>
          </cell>
          <cell r="J4519" t="str">
            <v>WOOD COATINGS</v>
          </cell>
          <cell r="K4519" t="str">
            <v>1103</v>
          </cell>
          <cell r="L4519" t="str">
            <v>PU</v>
          </cell>
          <cell r="M4519" t="str">
            <v>110319</v>
          </cell>
          <cell r="N4519" t="str">
            <v>PU COLOR</v>
          </cell>
        </row>
        <row r="4520">
          <cell r="C4520" t="str">
            <v>100006070</v>
          </cell>
          <cell r="D4520" t="str">
            <v>PUP-52141 GREEN 1799A IP VN-20KP</v>
          </cell>
          <cell r="E4520" t="str">
            <v>ZFGD</v>
          </cell>
          <cell r="F4520" t="str">
            <v>PC</v>
          </cell>
          <cell r="G4520" t="str">
            <v>1</v>
          </cell>
          <cell r="H4520" t="str">
            <v>INDUSTRY</v>
          </cell>
          <cell r="I4520" t="str">
            <v>11</v>
          </cell>
          <cell r="J4520" t="str">
            <v>WOOD COATINGS</v>
          </cell>
          <cell r="K4520" t="str">
            <v>1103</v>
          </cell>
          <cell r="L4520" t="str">
            <v>PU</v>
          </cell>
          <cell r="M4520" t="str">
            <v>110322</v>
          </cell>
          <cell r="N4520" t="str">
            <v>PU PRIMER</v>
          </cell>
        </row>
        <row r="4521">
          <cell r="C4521" t="str">
            <v>100006071</v>
          </cell>
          <cell r="D4521" t="str">
            <v>PUC-54206 AC EX GRN1799A 10 IP VN-18KP</v>
          </cell>
          <cell r="E4521" t="str">
            <v>ZFGD</v>
          </cell>
          <cell r="F4521" t="str">
            <v>PC</v>
          </cell>
          <cell r="G4521" t="str">
            <v>1</v>
          </cell>
          <cell r="H4521" t="str">
            <v>INDUSTRY</v>
          </cell>
          <cell r="I4521" t="str">
            <v>11</v>
          </cell>
          <cell r="J4521" t="str">
            <v>WOOD COATINGS</v>
          </cell>
          <cell r="K4521" t="str">
            <v>1103</v>
          </cell>
          <cell r="L4521" t="str">
            <v>PU</v>
          </cell>
          <cell r="M4521" t="str">
            <v>110319</v>
          </cell>
          <cell r="N4521" t="str">
            <v>PU COLOR</v>
          </cell>
        </row>
        <row r="4522">
          <cell r="C4522" t="str">
            <v>100006072</v>
          </cell>
          <cell r="D4522" t="str">
            <v>DC-12229 LC BLACK 10 VN-18KP</v>
          </cell>
          <cell r="E4522" t="str">
            <v>ZFGD</v>
          </cell>
          <cell r="F4522" t="str">
            <v>PC</v>
          </cell>
          <cell r="G4522" t="str">
            <v>1</v>
          </cell>
          <cell r="H4522" t="str">
            <v>INDUSTRY</v>
          </cell>
          <cell r="I4522" t="str">
            <v>11</v>
          </cell>
          <cell r="J4522" t="str">
            <v>WOOD COATINGS</v>
          </cell>
          <cell r="K4522" t="str">
            <v>1104</v>
          </cell>
          <cell r="L4522" t="str">
            <v>NC</v>
          </cell>
          <cell r="M4522" t="str">
            <v>110405</v>
          </cell>
          <cell r="N4522" t="str">
            <v>NC SYSTEM</v>
          </cell>
        </row>
        <row r="4523">
          <cell r="C4523" t="str">
            <v>100006073</v>
          </cell>
          <cell r="D4523" t="str">
            <v>PCA-31100 BROWN M3062 IP VN-16KJ</v>
          </cell>
          <cell r="E4523" t="str">
            <v>ZFGD</v>
          </cell>
          <cell r="F4523" t="str">
            <v>PC</v>
          </cell>
          <cell r="G4523" t="str">
            <v>1</v>
          </cell>
          <cell r="H4523" t="str">
            <v>INDUSTRY</v>
          </cell>
          <cell r="I4523" t="str">
            <v>11</v>
          </cell>
          <cell r="J4523" t="str">
            <v>WOOD COATINGS</v>
          </cell>
          <cell r="K4523" t="str">
            <v>1118</v>
          </cell>
          <cell r="L4523" t="str">
            <v>COMPLEMENTARY</v>
          </cell>
          <cell r="M4523" t="str">
            <v>111807</v>
          </cell>
          <cell r="N4523" t="str">
            <v>PASTA</v>
          </cell>
        </row>
        <row r="4524">
          <cell r="C4524" t="str">
            <v>100006074</v>
          </cell>
          <cell r="D4524" t="str">
            <v>PUP-52141 BLUE 2846T IP VN-20KP</v>
          </cell>
          <cell r="E4524" t="str">
            <v>ZFGD</v>
          </cell>
          <cell r="F4524" t="str">
            <v>PC</v>
          </cell>
          <cell r="G4524" t="str">
            <v>1</v>
          </cell>
          <cell r="H4524" t="str">
            <v>INDUSTRY</v>
          </cell>
          <cell r="I4524" t="str">
            <v>11</v>
          </cell>
          <cell r="J4524" t="str">
            <v>WOOD COATINGS</v>
          </cell>
          <cell r="K4524" t="str">
            <v>1103</v>
          </cell>
          <cell r="L4524" t="str">
            <v>PU</v>
          </cell>
          <cell r="M4524" t="str">
            <v>110322</v>
          </cell>
          <cell r="N4524" t="str">
            <v>PU PRIMER</v>
          </cell>
        </row>
        <row r="4525">
          <cell r="C4525" t="str">
            <v>100006075</v>
          </cell>
          <cell r="D4525" t="str">
            <v>PUC-54205 AC BLUE2846T 10 IP VN-20KP</v>
          </cell>
          <cell r="E4525" t="str">
            <v>ZFGD</v>
          </cell>
          <cell r="F4525" t="str">
            <v>PC</v>
          </cell>
          <cell r="G4525" t="str">
            <v>1</v>
          </cell>
          <cell r="H4525" t="str">
            <v>INDUSTRY</v>
          </cell>
          <cell r="I4525" t="str">
            <v>11</v>
          </cell>
          <cell r="J4525" t="str">
            <v>WOOD COATINGS</v>
          </cell>
          <cell r="K4525" t="str">
            <v>1103</v>
          </cell>
          <cell r="L4525" t="str">
            <v>PU</v>
          </cell>
          <cell r="M4525" t="str">
            <v>110319</v>
          </cell>
          <cell r="N4525" t="str">
            <v>PU COLOR</v>
          </cell>
        </row>
        <row r="4526">
          <cell r="C4526" t="str">
            <v>100006076</v>
          </cell>
          <cell r="D4526" t="str">
            <v>PUP-52141 PINK 2395T IP VN-20KP</v>
          </cell>
          <cell r="E4526" t="str">
            <v>ZFGD</v>
          </cell>
          <cell r="F4526" t="str">
            <v>PC</v>
          </cell>
          <cell r="G4526" t="str">
            <v>1</v>
          </cell>
          <cell r="H4526" t="str">
            <v>INDUSTRY</v>
          </cell>
          <cell r="I4526" t="str">
            <v>11</v>
          </cell>
          <cell r="J4526" t="str">
            <v>WOOD COATINGS</v>
          </cell>
          <cell r="K4526" t="str">
            <v>1103</v>
          </cell>
          <cell r="L4526" t="str">
            <v>PU</v>
          </cell>
          <cell r="M4526" t="str">
            <v>110322</v>
          </cell>
          <cell r="N4526" t="str">
            <v>PU PRIMER</v>
          </cell>
        </row>
        <row r="4527">
          <cell r="C4527" t="str">
            <v>100006077</v>
          </cell>
          <cell r="D4527" t="str">
            <v>PUC-54206 AC EX PINK2395T 10 IPVN-18KP</v>
          </cell>
          <cell r="E4527" t="str">
            <v>ZFGD</v>
          </cell>
          <cell r="F4527" t="str">
            <v>PC</v>
          </cell>
          <cell r="G4527" t="str">
            <v>1</v>
          </cell>
          <cell r="H4527" t="str">
            <v>INDUSTRY</v>
          </cell>
          <cell r="I4527" t="str">
            <v>11</v>
          </cell>
          <cell r="J4527" t="str">
            <v>WOOD COATINGS</v>
          </cell>
          <cell r="K4527" t="str">
            <v>1103</v>
          </cell>
          <cell r="L4527" t="str">
            <v>PU</v>
          </cell>
          <cell r="M4527" t="str">
            <v>110319</v>
          </cell>
          <cell r="N4527" t="str">
            <v>PU COLOR</v>
          </cell>
        </row>
        <row r="4528">
          <cell r="C4528" t="str">
            <v>100006078</v>
          </cell>
          <cell r="D4528" t="str">
            <v>PRCC-20214 VARNISH AMC R3-200KK</v>
          </cell>
          <cell r="E4528" t="str">
            <v>ZFGD</v>
          </cell>
          <cell r="F4528" t="str">
            <v>PC</v>
          </cell>
          <cell r="G4528" t="str">
            <v>1</v>
          </cell>
          <cell r="H4528" t="str">
            <v>INDUSTRY</v>
          </cell>
          <cell r="I4528" t="str">
            <v>12</v>
          </cell>
          <cell r="J4528" t="str">
            <v>CAN COATINGS</v>
          </cell>
          <cell r="K4528" t="str">
            <v>1201</v>
          </cell>
          <cell r="L4528" t="str">
            <v>CAN COATINGS</v>
          </cell>
          <cell r="M4528" t="str">
            <v>120101</v>
          </cell>
          <cell r="N4528" t="str">
            <v>CAN COATINGS</v>
          </cell>
        </row>
        <row r="4529">
          <cell r="C4529" t="str">
            <v>100006079</v>
          </cell>
          <cell r="D4529" t="str">
            <v>WBL-63225 EX CLEAR DOF SC VN-18KP</v>
          </cell>
          <cell r="E4529" t="str">
            <v>ZFGD</v>
          </cell>
          <cell r="F4529" t="str">
            <v>PC</v>
          </cell>
          <cell r="G4529" t="str">
            <v>1</v>
          </cell>
          <cell r="H4529" t="str">
            <v>INDUSTRY</v>
          </cell>
          <cell r="I4529" t="str">
            <v>11</v>
          </cell>
          <cell r="J4529" t="str">
            <v>WOOD COATINGS</v>
          </cell>
          <cell r="K4529" t="str">
            <v>1119</v>
          </cell>
          <cell r="L4529" t="str">
            <v>WATERBASED</v>
          </cell>
          <cell r="M4529" t="str">
            <v>111901</v>
          </cell>
          <cell r="N4529" t="str">
            <v>WATERBASED SYSTEM EXTERIOR</v>
          </cell>
        </row>
        <row r="4530">
          <cell r="C4530" t="str">
            <v>100006082</v>
          </cell>
          <cell r="D4530" t="str">
            <v>SST-11100 C25 GREEN WS VN-16KJ</v>
          </cell>
          <cell r="E4530" t="str">
            <v>ZFGD</v>
          </cell>
          <cell r="F4530" t="str">
            <v>PC</v>
          </cell>
          <cell r="G4530" t="str">
            <v>1</v>
          </cell>
          <cell r="H4530" t="str">
            <v>INDUSTRY</v>
          </cell>
          <cell r="I4530" t="str">
            <v>11</v>
          </cell>
          <cell r="J4530" t="str">
            <v>WOOD COATINGS</v>
          </cell>
          <cell r="K4530" t="str">
            <v>1109</v>
          </cell>
          <cell r="L4530" t="str">
            <v>STAIN &amp; GLAZE INTERIOR</v>
          </cell>
          <cell r="M4530" t="str">
            <v>110903</v>
          </cell>
          <cell r="N4530" t="str">
            <v>STAIN INTERIOR</v>
          </cell>
        </row>
        <row r="4531">
          <cell r="C4531" t="str">
            <v>100006083</v>
          </cell>
          <cell r="D4531" t="str">
            <v>SST-11100 C25 GREEN WS VN-4K</v>
          </cell>
          <cell r="E4531" t="str">
            <v>ZFGD</v>
          </cell>
          <cell r="F4531" t="str">
            <v>PC</v>
          </cell>
          <cell r="G4531" t="str">
            <v>1</v>
          </cell>
          <cell r="H4531" t="str">
            <v>INDUSTRY</v>
          </cell>
          <cell r="I4531" t="str">
            <v>11</v>
          </cell>
          <cell r="J4531" t="str">
            <v>WOOD COATINGS</v>
          </cell>
          <cell r="K4531" t="str">
            <v>1109</v>
          </cell>
          <cell r="L4531" t="str">
            <v>STAIN &amp; GLAZE INTERIOR</v>
          </cell>
          <cell r="M4531" t="str">
            <v>110903</v>
          </cell>
          <cell r="N4531" t="str">
            <v>STAIN INTERIOR</v>
          </cell>
        </row>
        <row r="4532">
          <cell r="C4532" t="str">
            <v>100006084</v>
          </cell>
          <cell r="D4532" t="str">
            <v>SST-11100 C25 YELLOW WS VN-16KJ</v>
          </cell>
          <cell r="E4532" t="str">
            <v>ZFGD</v>
          </cell>
          <cell r="F4532" t="str">
            <v>PC</v>
          </cell>
          <cell r="G4532" t="str">
            <v>1</v>
          </cell>
          <cell r="H4532" t="str">
            <v>INDUSTRY</v>
          </cell>
          <cell r="I4532" t="str">
            <v>11</v>
          </cell>
          <cell r="J4532" t="str">
            <v>WOOD COATINGS</v>
          </cell>
          <cell r="K4532" t="str">
            <v>1109</v>
          </cell>
          <cell r="L4532" t="str">
            <v>STAIN &amp; GLAZE INTERIOR</v>
          </cell>
          <cell r="M4532" t="str">
            <v>110903</v>
          </cell>
          <cell r="N4532" t="str">
            <v>STAIN INTERIOR</v>
          </cell>
        </row>
        <row r="4533">
          <cell r="C4533" t="str">
            <v>100006085</v>
          </cell>
          <cell r="D4533" t="str">
            <v>SST-11100 C25 YELLOW WS VN-4K</v>
          </cell>
          <cell r="E4533" t="str">
            <v>ZFGD</v>
          </cell>
          <cell r="F4533" t="str">
            <v>PC</v>
          </cell>
          <cell r="G4533" t="str">
            <v>1</v>
          </cell>
          <cell r="H4533" t="str">
            <v>INDUSTRY</v>
          </cell>
          <cell r="I4533" t="str">
            <v>11</v>
          </cell>
          <cell r="J4533" t="str">
            <v>WOOD COATINGS</v>
          </cell>
          <cell r="K4533" t="str">
            <v>1109</v>
          </cell>
          <cell r="L4533" t="str">
            <v>STAIN &amp; GLAZE INTERIOR</v>
          </cell>
          <cell r="M4533" t="str">
            <v>110903</v>
          </cell>
          <cell r="N4533" t="str">
            <v>STAIN INTERIOR</v>
          </cell>
        </row>
        <row r="4534">
          <cell r="C4534" t="str">
            <v>100006086</v>
          </cell>
          <cell r="D4534" t="str">
            <v>SST-11100 C25 BLACK WS VN-16KJ</v>
          </cell>
          <cell r="E4534" t="str">
            <v>ZFGD</v>
          </cell>
          <cell r="F4534" t="str">
            <v>PC</v>
          </cell>
          <cell r="G4534" t="str">
            <v>1</v>
          </cell>
          <cell r="H4534" t="str">
            <v>INDUSTRY</v>
          </cell>
          <cell r="I4534" t="str">
            <v>11</v>
          </cell>
          <cell r="J4534" t="str">
            <v>WOOD COATINGS</v>
          </cell>
          <cell r="K4534" t="str">
            <v>1109</v>
          </cell>
          <cell r="L4534" t="str">
            <v>STAIN &amp; GLAZE INTERIOR</v>
          </cell>
          <cell r="M4534" t="str">
            <v>110903</v>
          </cell>
          <cell r="N4534" t="str">
            <v>STAIN INTERIOR</v>
          </cell>
        </row>
        <row r="4535">
          <cell r="C4535" t="str">
            <v>100006087</v>
          </cell>
          <cell r="D4535" t="str">
            <v>SST-11100 C25 BLACK WS VN-4K</v>
          </cell>
          <cell r="E4535" t="str">
            <v>ZFGD</v>
          </cell>
          <cell r="F4535" t="str">
            <v>PC</v>
          </cell>
          <cell r="G4535" t="str">
            <v>1</v>
          </cell>
          <cell r="H4535" t="str">
            <v>INDUSTRY</v>
          </cell>
          <cell r="I4535" t="str">
            <v>11</v>
          </cell>
          <cell r="J4535" t="str">
            <v>WOOD COATINGS</v>
          </cell>
          <cell r="K4535" t="str">
            <v>1109</v>
          </cell>
          <cell r="L4535" t="str">
            <v>STAIN &amp; GLAZE INTERIOR</v>
          </cell>
          <cell r="M4535" t="str">
            <v>110903</v>
          </cell>
          <cell r="N4535" t="str">
            <v>STAIN INTERIOR</v>
          </cell>
        </row>
        <row r="4536">
          <cell r="C4536" t="str">
            <v>100006088</v>
          </cell>
          <cell r="D4536" t="str">
            <v>NBC-9345-T429AK-20KP</v>
          </cell>
          <cell r="E4536" t="str">
            <v>ZFGD</v>
          </cell>
          <cell r="F4536" t="str">
            <v>PC</v>
          </cell>
          <cell r="G4536" t="str">
            <v>1</v>
          </cell>
          <cell r="H4536" t="str">
            <v>INDUSTRY</v>
          </cell>
          <cell r="I4536" t="str">
            <v>11</v>
          </cell>
          <cell r="J4536" t="str">
            <v>WOOD COATINGS</v>
          </cell>
          <cell r="K4536" t="str">
            <v>1104</v>
          </cell>
          <cell r="L4536" t="str">
            <v>NC</v>
          </cell>
          <cell r="M4536" t="str">
            <v>110403</v>
          </cell>
          <cell r="N4536" t="str">
            <v>ASOF : NC BASE COAT</v>
          </cell>
        </row>
        <row r="4537">
          <cell r="C4537" t="str">
            <v>100006089</v>
          </cell>
          <cell r="D4537" t="str">
            <v>NBC-9345-T429AK-200KB</v>
          </cell>
          <cell r="E4537" t="str">
            <v>ZFGD</v>
          </cell>
          <cell r="F4537" t="str">
            <v>PC</v>
          </cell>
          <cell r="G4537" t="str">
            <v>1</v>
          </cell>
          <cell r="H4537" t="str">
            <v>INDUSTRY</v>
          </cell>
          <cell r="I4537" t="str">
            <v>11</v>
          </cell>
          <cell r="J4537" t="str">
            <v>WOOD COATINGS</v>
          </cell>
          <cell r="K4537" t="str">
            <v>1104</v>
          </cell>
          <cell r="L4537" t="str">
            <v>NC</v>
          </cell>
          <cell r="M4537" t="str">
            <v>110403</v>
          </cell>
          <cell r="N4537" t="str">
            <v>ASOF : NC BASE COAT</v>
          </cell>
        </row>
        <row r="4538">
          <cell r="C4538" t="str">
            <v>100006090</v>
          </cell>
          <cell r="D4538" t="str">
            <v>NCL-1113-SR20AK-18KP</v>
          </cell>
          <cell r="E4538" t="str">
            <v>ZFGD</v>
          </cell>
          <cell r="F4538" t="str">
            <v>PC</v>
          </cell>
          <cell r="G4538" t="str">
            <v>1</v>
          </cell>
          <cell r="H4538" t="str">
            <v>INDUSTRY</v>
          </cell>
          <cell r="I4538" t="str">
            <v>11</v>
          </cell>
          <cell r="J4538" t="str">
            <v>WOOD COATINGS</v>
          </cell>
          <cell r="K4538" t="str">
            <v>1104</v>
          </cell>
          <cell r="L4538" t="str">
            <v>NC</v>
          </cell>
          <cell r="M4538" t="str">
            <v>110405</v>
          </cell>
          <cell r="N4538" t="str">
            <v>NC SYSTEM</v>
          </cell>
        </row>
        <row r="4539">
          <cell r="C4539" t="str">
            <v>100006091</v>
          </cell>
          <cell r="D4539" t="str">
            <v>NCL-1113-SR20AK-180KB</v>
          </cell>
          <cell r="E4539" t="str">
            <v>ZFGD</v>
          </cell>
          <cell r="F4539" t="str">
            <v>PC</v>
          </cell>
          <cell r="G4539" t="str">
            <v>1</v>
          </cell>
          <cell r="H4539" t="str">
            <v>INDUSTRY</v>
          </cell>
          <cell r="I4539" t="str">
            <v>11</v>
          </cell>
          <cell r="J4539" t="str">
            <v>WOOD COATINGS</v>
          </cell>
          <cell r="K4539" t="str">
            <v>1104</v>
          </cell>
          <cell r="L4539" t="str">
            <v>NC</v>
          </cell>
          <cell r="M4539" t="str">
            <v>110405</v>
          </cell>
          <cell r="N4539" t="str">
            <v>NC SYSTEM</v>
          </cell>
        </row>
        <row r="4540">
          <cell r="C4540" t="str">
            <v>100006092</v>
          </cell>
          <cell r="D4540" t="str">
            <v>SST-11100 C25 RED WS VN-16KJ</v>
          </cell>
          <cell r="E4540" t="str">
            <v>ZFGD</v>
          </cell>
          <cell r="F4540" t="str">
            <v>PC</v>
          </cell>
          <cell r="G4540" t="str">
            <v>1</v>
          </cell>
          <cell r="H4540" t="str">
            <v>INDUSTRY</v>
          </cell>
          <cell r="I4540" t="str">
            <v>11</v>
          </cell>
          <cell r="J4540" t="str">
            <v>WOOD COATINGS</v>
          </cell>
          <cell r="K4540" t="str">
            <v>1109</v>
          </cell>
          <cell r="L4540" t="str">
            <v>STAIN &amp; GLAZE INTERIOR</v>
          </cell>
          <cell r="M4540" t="str">
            <v>110903</v>
          </cell>
          <cell r="N4540" t="str">
            <v>STAIN INTERIOR</v>
          </cell>
        </row>
        <row r="4541">
          <cell r="C4541" t="str">
            <v>100006093</v>
          </cell>
          <cell r="D4541" t="str">
            <v>SST-11100 C25 RED WS VN-4K</v>
          </cell>
          <cell r="E4541" t="str">
            <v>ZFGD</v>
          </cell>
          <cell r="F4541" t="str">
            <v>PC</v>
          </cell>
          <cell r="G4541" t="str">
            <v>1</v>
          </cell>
          <cell r="H4541" t="str">
            <v>INDUSTRY</v>
          </cell>
          <cell r="I4541" t="str">
            <v>11</v>
          </cell>
          <cell r="J4541" t="str">
            <v>WOOD COATINGS</v>
          </cell>
          <cell r="K4541" t="str">
            <v>1109</v>
          </cell>
          <cell r="L4541" t="str">
            <v>STAIN &amp; GLAZE INTERIOR</v>
          </cell>
          <cell r="M4541" t="str">
            <v>110903</v>
          </cell>
          <cell r="N4541" t="str">
            <v>STAIN INTERIOR</v>
          </cell>
        </row>
        <row r="4542">
          <cell r="C4542" t="str">
            <v>100006094</v>
          </cell>
          <cell r="D4542" t="str">
            <v>WBST-13100 BLUE VN-4K</v>
          </cell>
          <cell r="E4542" t="str">
            <v>ZFGD</v>
          </cell>
          <cell r="F4542" t="str">
            <v>PC</v>
          </cell>
          <cell r="G4542" t="str">
            <v>1</v>
          </cell>
          <cell r="H4542" t="str">
            <v>INDUSTRY</v>
          </cell>
          <cell r="I4542" t="str">
            <v>11</v>
          </cell>
          <cell r="J4542" t="str">
            <v>WOOD COATINGS</v>
          </cell>
          <cell r="K4542" t="str">
            <v>1119</v>
          </cell>
          <cell r="L4542" t="str">
            <v>WATERBASED</v>
          </cell>
          <cell r="M4542" t="str">
            <v>111902</v>
          </cell>
          <cell r="N4542" t="str">
            <v>WATERBASED SYSTEM INTERIOR</v>
          </cell>
        </row>
        <row r="4543">
          <cell r="C4543" t="str">
            <v>100006095</v>
          </cell>
          <cell r="D4543" t="str">
            <v>PUP-52141 CAM M3077 IP VN-20KP</v>
          </cell>
          <cell r="E4543" t="str">
            <v>ZFGD</v>
          </cell>
          <cell r="F4543" t="str">
            <v>PC</v>
          </cell>
          <cell r="G4543" t="str">
            <v>1</v>
          </cell>
          <cell r="H4543" t="str">
            <v>INDUSTRY</v>
          </cell>
          <cell r="I4543" t="str">
            <v>11</v>
          </cell>
          <cell r="J4543" t="str">
            <v>WOOD COATINGS</v>
          </cell>
          <cell r="K4543" t="str">
            <v>1103</v>
          </cell>
          <cell r="L4543" t="str">
            <v>PU</v>
          </cell>
          <cell r="M4543" t="str">
            <v>110322</v>
          </cell>
          <cell r="N4543" t="str">
            <v>PU PRIMER</v>
          </cell>
        </row>
        <row r="4544">
          <cell r="C4544" t="str">
            <v>100006096</v>
          </cell>
          <cell r="D4544" t="str">
            <v>PUC-54206 AC EX CAM3077 10 IP VN-18KP</v>
          </cell>
          <cell r="E4544" t="str">
            <v>ZFGD</v>
          </cell>
          <cell r="F4544" t="str">
            <v>PC</v>
          </cell>
          <cell r="G4544" t="str">
            <v>1</v>
          </cell>
          <cell r="H4544" t="str">
            <v>INDUSTRY</v>
          </cell>
          <cell r="I4544" t="str">
            <v>11</v>
          </cell>
          <cell r="J4544" t="str">
            <v>WOOD COATINGS</v>
          </cell>
          <cell r="K4544" t="str">
            <v>1103</v>
          </cell>
          <cell r="L4544" t="str">
            <v>PU</v>
          </cell>
          <cell r="M4544" t="str">
            <v>110319</v>
          </cell>
          <cell r="N4544" t="str">
            <v>PU COLOR</v>
          </cell>
        </row>
        <row r="4545">
          <cell r="C4545" t="str">
            <v>100006097</v>
          </cell>
          <cell r="D4545" t="str">
            <v>PUP-52141 GREEN 1792A IP VN-20KP</v>
          </cell>
          <cell r="E4545" t="str">
            <v>ZFGD</v>
          </cell>
          <cell r="F4545" t="str">
            <v>PC</v>
          </cell>
          <cell r="G4545" t="str">
            <v>1</v>
          </cell>
          <cell r="H4545" t="str">
            <v>INDUSTRY</v>
          </cell>
          <cell r="I4545" t="str">
            <v>11</v>
          </cell>
          <cell r="J4545" t="str">
            <v>WOOD COATINGS</v>
          </cell>
          <cell r="K4545" t="str">
            <v>1103</v>
          </cell>
          <cell r="L4545" t="str">
            <v>PU</v>
          </cell>
          <cell r="M4545" t="str">
            <v>110322</v>
          </cell>
          <cell r="N4545" t="str">
            <v>PU PRIMER</v>
          </cell>
        </row>
        <row r="4546">
          <cell r="C4546" t="str">
            <v>100006098</v>
          </cell>
          <cell r="D4546" t="str">
            <v>PUC-54206 AC EX GRN1792A 10 IP VN-18KP</v>
          </cell>
          <cell r="E4546" t="str">
            <v>ZFGD</v>
          </cell>
          <cell r="F4546" t="str">
            <v>PC</v>
          </cell>
          <cell r="G4546" t="str">
            <v>1</v>
          </cell>
          <cell r="H4546" t="str">
            <v>INDUSTRY</v>
          </cell>
          <cell r="I4546" t="str">
            <v>11</v>
          </cell>
          <cell r="J4546" t="str">
            <v>WOOD COATINGS</v>
          </cell>
          <cell r="K4546" t="str">
            <v>1103</v>
          </cell>
          <cell r="L4546" t="str">
            <v>PU</v>
          </cell>
          <cell r="M4546" t="str">
            <v>110319</v>
          </cell>
          <cell r="N4546" t="str">
            <v>PU COLOR</v>
          </cell>
        </row>
        <row r="4547">
          <cell r="C4547" t="str">
            <v>100006099</v>
          </cell>
          <cell r="D4547" t="str">
            <v>PUP-52141 RED 2069A IP VN-20KP</v>
          </cell>
          <cell r="E4547" t="str">
            <v>ZFGD</v>
          </cell>
          <cell r="F4547" t="str">
            <v>PC</v>
          </cell>
          <cell r="G4547" t="str">
            <v>1</v>
          </cell>
          <cell r="H4547" t="str">
            <v>INDUSTRY</v>
          </cell>
          <cell r="I4547" t="str">
            <v>11</v>
          </cell>
          <cell r="J4547" t="str">
            <v>WOOD COATINGS</v>
          </cell>
          <cell r="K4547" t="str">
            <v>1103</v>
          </cell>
          <cell r="L4547" t="str">
            <v>PU</v>
          </cell>
          <cell r="M4547" t="str">
            <v>110322</v>
          </cell>
          <cell r="N4547" t="str">
            <v>PU PRIMER</v>
          </cell>
        </row>
        <row r="4548">
          <cell r="C4548" t="str">
            <v>100006100</v>
          </cell>
          <cell r="D4548" t="str">
            <v>PUC-54206 AC EX RED2069A 10 IP VN-18KP</v>
          </cell>
          <cell r="E4548" t="str">
            <v>ZFGD</v>
          </cell>
          <cell r="F4548" t="str">
            <v>PC</v>
          </cell>
          <cell r="G4548" t="str">
            <v>1</v>
          </cell>
          <cell r="H4548" t="str">
            <v>INDUSTRY</v>
          </cell>
          <cell r="I4548" t="str">
            <v>11</v>
          </cell>
          <cell r="J4548" t="str">
            <v>WOOD COATINGS</v>
          </cell>
          <cell r="K4548" t="str">
            <v>1103</v>
          </cell>
          <cell r="L4548" t="str">
            <v>PU</v>
          </cell>
          <cell r="M4548" t="str">
            <v>110319</v>
          </cell>
          <cell r="N4548" t="str">
            <v>PU COLOR</v>
          </cell>
        </row>
        <row r="4549">
          <cell r="C4549" t="str">
            <v>100006101</v>
          </cell>
          <cell r="D4549" t="str">
            <v>AP-98200 RK397 VN-1K</v>
          </cell>
          <cell r="E4549" t="str">
            <v>ZFGD</v>
          </cell>
          <cell r="F4549" t="str">
            <v>PC</v>
          </cell>
          <cell r="G4549" t="str">
            <v>1</v>
          </cell>
          <cell r="H4549" t="str">
            <v>INDUSTRY</v>
          </cell>
          <cell r="I4549" t="str">
            <v>11</v>
          </cell>
          <cell r="J4549" t="str">
            <v>WOOD COATINGS</v>
          </cell>
          <cell r="K4549" t="str">
            <v>1118</v>
          </cell>
          <cell r="L4549" t="str">
            <v>COMPLEMENTARY</v>
          </cell>
          <cell r="M4549" t="str">
            <v>111802</v>
          </cell>
          <cell r="N4549" t="str">
            <v>ASOF : POWDER &amp; MATTING SOLUTION</v>
          </cell>
        </row>
        <row r="4550">
          <cell r="C4550" t="str">
            <v>100006102</v>
          </cell>
          <cell r="D4550" t="str">
            <v>PUC-54205 AC GRN1789P 10 IP VN-20KP</v>
          </cell>
          <cell r="E4550" t="str">
            <v>ZFGD</v>
          </cell>
          <cell r="F4550" t="str">
            <v>PC</v>
          </cell>
          <cell r="G4550" t="str">
            <v>1</v>
          </cell>
          <cell r="H4550" t="str">
            <v>INDUSTRY</v>
          </cell>
          <cell r="I4550" t="str">
            <v>11</v>
          </cell>
          <cell r="J4550" t="str">
            <v>WOOD COATINGS</v>
          </cell>
          <cell r="K4550" t="str">
            <v>1103</v>
          </cell>
          <cell r="L4550" t="str">
            <v>PU</v>
          </cell>
          <cell r="M4550" t="str">
            <v>110319</v>
          </cell>
          <cell r="N4550" t="str">
            <v>PU COLOR</v>
          </cell>
        </row>
        <row r="4551">
          <cell r="C4551" t="str">
            <v>100006103</v>
          </cell>
          <cell r="D4551" t="str">
            <v>PUC-54205 AC YEL 2542P 10 IP VN-20KP</v>
          </cell>
          <cell r="E4551" t="str">
            <v>ZFGD</v>
          </cell>
          <cell r="F4551" t="str">
            <v>PC</v>
          </cell>
          <cell r="G4551" t="str">
            <v>1</v>
          </cell>
          <cell r="H4551" t="str">
            <v>INDUSTRY</v>
          </cell>
          <cell r="I4551" t="str">
            <v>11</v>
          </cell>
          <cell r="J4551" t="str">
            <v>WOOD COATINGS</v>
          </cell>
          <cell r="K4551" t="str">
            <v>1103</v>
          </cell>
          <cell r="L4551" t="str">
            <v>PU</v>
          </cell>
          <cell r="M4551" t="str">
            <v>110319</v>
          </cell>
          <cell r="N4551" t="str">
            <v>PU COLOR</v>
          </cell>
        </row>
        <row r="4552">
          <cell r="C4552" t="str">
            <v>100006104</v>
          </cell>
          <cell r="D4552" t="str">
            <v>PUC-54206 AC EX BLU2099A 10 IP VN-18KP</v>
          </cell>
          <cell r="E4552" t="str">
            <v>ZFGD</v>
          </cell>
          <cell r="F4552" t="str">
            <v>PC</v>
          </cell>
          <cell r="G4552" t="str">
            <v>1</v>
          </cell>
          <cell r="H4552" t="str">
            <v>INDUSTRY</v>
          </cell>
          <cell r="I4552" t="str">
            <v>11</v>
          </cell>
          <cell r="J4552" t="str">
            <v>WOOD COATINGS</v>
          </cell>
          <cell r="K4552" t="str">
            <v>1103</v>
          </cell>
          <cell r="L4552" t="str">
            <v>PU</v>
          </cell>
          <cell r="M4552" t="str">
            <v>110319</v>
          </cell>
          <cell r="N4552" t="str">
            <v>PU COLOR</v>
          </cell>
        </row>
        <row r="4553">
          <cell r="C4553" t="str">
            <v>100006105</v>
          </cell>
          <cell r="D4553" t="str">
            <v>PUC-54206 AC EX BLU1526A 10 IP VN-18KP</v>
          </cell>
          <cell r="E4553" t="str">
            <v>ZFGD</v>
          </cell>
          <cell r="F4553" t="str">
            <v>PC</v>
          </cell>
          <cell r="G4553" t="str">
            <v>1</v>
          </cell>
          <cell r="H4553" t="str">
            <v>INDUSTRY</v>
          </cell>
          <cell r="I4553" t="str">
            <v>11</v>
          </cell>
          <cell r="J4553" t="str">
            <v>WOOD COATINGS</v>
          </cell>
          <cell r="K4553" t="str">
            <v>1103</v>
          </cell>
          <cell r="L4553" t="str">
            <v>PU</v>
          </cell>
          <cell r="M4553" t="str">
            <v>110319</v>
          </cell>
          <cell r="N4553" t="str">
            <v>PU COLOR</v>
          </cell>
        </row>
        <row r="4554">
          <cell r="C4554" t="str">
            <v>100006106</v>
          </cell>
          <cell r="D4554" t="str">
            <v>PUP-52141 BLUE 1527D IP VN-20KP</v>
          </cell>
          <cell r="E4554" t="str">
            <v>ZFGD</v>
          </cell>
          <cell r="F4554" t="str">
            <v>PC</v>
          </cell>
          <cell r="G4554" t="str">
            <v>1</v>
          </cell>
          <cell r="H4554" t="str">
            <v>INDUSTRY</v>
          </cell>
          <cell r="I4554" t="str">
            <v>11</v>
          </cell>
          <cell r="J4554" t="str">
            <v>WOOD COATINGS</v>
          </cell>
          <cell r="K4554" t="str">
            <v>1103</v>
          </cell>
          <cell r="L4554" t="str">
            <v>PU</v>
          </cell>
          <cell r="M4554" t="str">
            <v>110322</v>
          </cell>
          <cell r="N4554" t="str">
            <v>PU PRIMER</v>
          </cell>
        </row>
        <row r="4555">
          <cell r="C4555" t="str">
            <v>100006107</v>
          </cell>
          <cell r="D4555" t="str">
            <v>PUC-54206 AC EX BLU1527D 10 IP VN-18KP</v>
          </cell>
          <cell r="E4555" t="str">
            <v>ZFGD</v>
          </cell>
          <cell r="F4555" t="str">
            <v>PC</v>
          </cell>
          <cell r="G4555" t="str">
            <v>1</v>
          </cell>
          <cell r="H4555" t="str">
            <v>INDUSTRY</v>
          </cell>
          <cell r="I4555" t="str">
            <v>11</v>
          </cell>
          <cell r="J4555" t="str">
            <v>WOOD COATINGS</v>
          </cell>
          <cell r="K4555" t="str">
            <v>1103</v>
          </cell>
          <cell r="L4555" t="str">
            <v>PU</v>
          </cell>
          <cell r="M4555" t="str">
            <v>110319</v>
          </cell>
          <cell r="N4555" t="str">
            <v>PU COLOR</v>
          </cell>
        </row>
        <row r="4556">
          <cell r="C4556" t="str">
            <v>100006108</v>
          </cell>
          <cell r="D4556" t="str">
            <v>PUP-52141 GREEN 2116A IP VN-20KP</v>
          </cell>
          <cell r="E4556" t="str">
            <v>ZFGD</v>
          </cell>
          <cell r="F4556" t="str">
            <v>PC</v>
          </cell>
          <cell r="G4556" t="str">
            <v>1</v>
          </cell>
          <cell r="H4556" t="str">
            <v>INDUSTRY</v>
          </cell>
          <cell r="I4556" t="str">
            <v>11</v>
          </cell>
          <cell r="J4556" t="str">
            <v>WOOD COATINGS</v>
          </cell>
          <cell r="K4556" t="str">
            <v>1103</v>
          </cell>
          <cell r="L4556" t="str">
            <v>PU</v>
          </cell>
          <cell r="M4556" t="str">
            <v>110322</v>
          </cell>
          <cell r="N4556" t="str">
            <v>PU PRIMER</v>
          </cell>
        </row>
        <row r="4557">
          <cell r="C4557" t="str">
            <v>100006109</v>
          </cell>
          <cell r="D4557" t="str">
            <v>PUC-54206 AC EX GRN2116A 10 IP VN-18KP</v>
          </cell>
          <cell r="E4557" t="str">
            <v>ZFGD</v>
          </cell>
          <cell r="F4557" t="str">
            <v>PC</v>
          </cell>
          <cell r="G4557" t="str">
            <v>1</v>
          </cell>
          <cell r="H4557" t="str">
            <v>INDUSTRY</v>
          </cell>
          <cell r="I4557" t="str">
            <v>11</v>
          </cell>
          <cell r="J4557" t="str">
            <v>WOOD COATINGS</v>
          </cell>
          <cell r="K4557" t="str">
            <v>1103</v>
          </cell>
          <cell r="L4557" t="str">
            <v>PU</v>
          </cell>
          <cell r="M4557" t="str">
            <v>110319</v>
          </cell>
          <cell r="N4557" t="str">
            <v>PU COLOR</v>
          </cell>
        </row>
        <row r="4558">
          <cell r="C4558" t="str">
            <v>100006110</v>
          </cell>
          <cell r="D4558" t="str">
            <v>PUC-54205 AC BLUE2874P 10 IP VN-20KP</v>
          </cell>
          <cell r="E4558" t="str">
            <v>ZFGD</v>
          </cell>
          <cell r="F4558" t="str">
            <v>PC</v>
          </cell>
          <cell r="G4558" t="str">
            <v>1</v>
          </cell>
          <cell r="H4558" t="str">
            <v>INDUSTRY</v>
          </cell>
          <cell r="I4558" t="str">
            <v>11</v>
          </cell>
          <cell r="J4558" t="str">
            <v>WOOD COATINGS</v>
          </cell>
          <cell r="K4558" t="str">
            <v>1103</v>
          </cell>
          <cell r="L4558" t="str">
            <v>PU</v>
          </cell>
          <cell r="M4558" t="str">
            <v>110319</v>
          </cell>
          <cell r="N4558" t="str">
            <v>PU COLOR</v>
          </cell>
        </row>
        <row r="4559">
          <cell r="C4559" t="str">
            <v>100006111</v>
          </cell>
          <cell r="D4559" t="str">
            <v>PUC-54205 AC RED 2341P 10 IP VN-20KP</v>
          </cell>
          <cell r="E4559" t="str">
            <v>ZFGD</v>
          </cell>
          <cell r="F4559" t="str">
            <v>PC</v>
          </cell>
          <cell r="G4559" t="str">
            <v>1</v>
          </cell>
          <cell r="H4559" t="str">
            <v>INDUSTRY</v>
          </cell>
          <cell r="I4559" t="str">
            <v>11</v>
          </cell>
          <cell r="J4559" t="str">
            <v>WOOD COATINGS</v>
          </cell>
          <cell r="K4559" t="str">
            <v>1103</v>
          </cell>
          <cell r="L4559" t="str">
            <v>PU</v>
          </cell>
          <cell r="M4559" t="str">
            <v>110319</v>
          </cell>
          <cell r="N4559" t="str">
            <v>PU COLOR</v>
          </cell>
        </row>
        <row r="4560">
          <cell r="C4560" t="str">
            <v>100006112</v>
          </cell>
          <cell r="D4560" t="str">
            <v>PUP-52141 YELLOW 2503A IP VN-20KP</v>
          </cell>
          <cell r="E4560" t="str">
            <v>ZFGD</v>
          </cell>
          <cell r="F4560" t="str">
            <v>PC</v>
          </cell>
          <cell r="G4560" t="str">
            <v>1</v>
          </cell>
          <cell r="H4560" t="str">
            <v>INDUSTRY</v>
          </cell>
          <cell r="I4560" t="str">
            <v>11</v>
          </cell>
          <cell r="J4560" t="str">
            <v>WOOD COATINGS</v>
          </cell>
          <cell r="K4560" t="str">
            <v>1103</v>
          </cell>
          <cell r="L4560" t="str">
            <v>PU</v>
          </cell>
          <cell r="M4560" t="str">
            <v>110322</v>
          </cell>
          <cell r="N4560" t="str">
            <v>PU PRIMER</v>
          </cell>
        </row>
        <row r="4561">
          <cell r="C4561" t="str">
            <v>100006113</v>
          </cell>
          <cell r="D4561" t="str">
            <v>PUC-54206 AC EX YEL2503A 10 IP VN-18KP</v>
          </cell>
          <cell r="E4561" t="str">
            <v>ZFGD</v>
          </cell>
          <cell r="F4561" t="str">
            <v>PC</v>
          </cell>
          <cell r="G4561" t="str">
            <v>1</v>
          </cell>
          <cell r="H4561" t="str">
            <v>INDUSTRY</v>
          </cell>
          <cell r="I4561" t="str">
            <v>11</v>
          </cell>
          <cell r="J4561" t="str">
            <v>WOOD COATINGS</v>
          </cell>
          <cell r="K4561" t="str">
            <v>1103</v>
          </cell>
          <cell r="L4561" t="str">
            <v>PU</v>
          </cell>
          <cell r="M4561" t="str">
            <v>110319</v>
          </cell>
          <cell r="N4561" t="str">
            <v>PU COLOR</v>
          </cell>
        </row>
        <row r="4562">
          <cell r="C4562" t="str">
            <v>100006114</v>
          </cell>
          <cell r="D4562" t="str">
            <v>PUP-52141 RED 1352D IP VN-20KP</v>
          </cell>
          <cell r="E4562" t="str">
            <v>ZFGD</v>
          </cell>
          <cell r="F4562" t="str">
            <v>PC</v>
          </cell>
          <cell r="G4562" t="str">
            <v>1</v>
          </cell>
          <cell r="H4562" t="str">
            <v>INDUSTRY</v>
          </cell>
          <cell r="I4562" t="str">
            <v>11</v>
          </cell>
          <cell r="J4562" t="str">
            <v>WOOD COATINGS</v>
          </cell>
          <cell r="K4562" t="str">
            <v>1103</v>
          </cell>
          <cell r="L4562" t="str">
            <v>PU</v>
          </cell>
          <cell r="M4562" t="str">
            <v>110322</v>
          </cell>
          <cell r="N4562" t="str">
            <v>PU PRIMER</v>
          </cell>
        </row>
        <row r="4563">
          <cell r="C4563" t="str">
            <v>100006115</v>
          </cell>
          <cell r="D4563" t="str">
            <v>PUC-54206 AC EX RED1352D 10 IP VN-18KP</v>
          </cell>
          <cell r="E4563" t="str">
            <v>ZFGD</v>
          </cell>
          <cell r="F4563" t="str">
            <v>PC</v>
          </cell>
          <cell r="G4563" t="str">
            <v>1</v>
          </cell>
          <cell r="H4563" t="str">
            <v>INDUSTRY</v>
          </cell>
          <cell r="I4563" t="str">
            <v>11</v>
          </cell>
          <cell r="J4563" t="str">
            <v>WOOD COATINGS</v>
          </cell>
          <cell r="K4563" t="str">
            <v>1103</v>
          </cell>
          <cell r="L4563" t="str">
            <v>PU</v>
          </cell>
          <cell r="M4563" t="str">
            <v>110319</v>
          </cell>
          <cell r="N4563" t="str">
            <v>PU COLOR</v>
          </cell>
        </row>
        <row r="4564">
          <cell r="C4564" t="str">
            <v>100006116</v>
          </cell>
          <cell r="D4564" t="str">
            <v>PUC-54206 AC EX YEL2545A 10 IP VN-18KP</v>
          </cell>
          <cell r="E4564" t="str">
            <v>ZFGD</v>
          </cell>
          <cell r="F4564" t="str">
            <v>PC</v>
          </cell>
          <cell r="G4564" t="str">
            <v>1</v>
          </cell>
          <cell r="H4564" t="str">
            <v>INDUSTRY</v>
          </cell>
          <cell r="I4564" t="str">
            <v>11</v>
          </cell>
          <cell r="J4564" t="str">
            <v>WOOD COATINGS</v>
          </cell>
          <cell r="K4564" t="str">
            <v>1103</v>
          </cell>
          <cell r="L4564" t="str">
            <v>PU</v>
          </cell>
          <cell r="M4564" t="str">
            <v>110319</v>
          </cell>
          <cell r="N4564" t="str">
            <v>PU COLOR</v>
          </cell>
        </row>
        <row r="4565">
          <cell r="C4565" t="str">
            <v>100006117</v>
          </cell>
          <cell r="D4565" t="str">
            <v>PUC-54206 AC EX GRNME01b 10 IP VN-18KP</v>
          </cell>
          <cell r="E4565" t="str">
            <v>ZFGD</v>
          </cell>
          <cell r="F4565" t="str">
            <v>PC</v>
          </cell>
          <cell r="G4565" t="str">
            <v>1</v>
          </cell>
          <cell r="H4565" t="str">
            <v>INDUSTRY</v>
          </cell>
          <cell r="I4565" t="str">
            <v>11</v>
          </cell>
          <cell r="J4565" t="str">
            <v>WOOD COATINGS</v>
          </cell>
          <cell r="K4565" t="str">
            <v>1103</v>
          </cell>
          <cell r="L4565" t="str">
            <v>PU</v>
          </cell>
          <cell r="M4565" t="str">
            <v>110319</v>
          </cell>
          <cell r="N4565" t="str">
            <v>PU COLOR</v>
          </cell>
        </row>
        <row r="4566">
          <cell r="C4566" t="str">
            <v>100006118</v>
          </cell>
          <cell r="D4566" t="str">
            <v>PUC-54206 AC EX CAMME01c 10 IP VN-18KP</v>
          </cell>
          <cell r="E4566" t="str">
            <v>ZFGD</v>
          </cell>
          <cell r="F4566" t="str">
            <v>PC</v>
          </cell>
          <cell r="G4566" t="str">
            <v>1</v>
          </cell>
          <cell r="H4566" t="str">
            <v>INDUSTRY</v>
          </cell>
          <cell r="I4566" t="str">
            <v>11</v>
          </cell>
          <cell r="J4566" t="str">
            <v>WOOD COATINGS</v>
          </cell>
          <cell r="K4566" t="str">
            <v>1103</v>
          </cell>
          <cell r="L4566" t="str">
            <v>PU</v>
          </cell>
          <cell r="M4566" t="str">
            <v>110319</v>
          </cell>
          <cell r="N4566" t="str">
            <v>PU COLOR</v>
          </cell>
        </row>
        <row r="4567">
          <cell r="C4567" t="str">
            <v>100006119</v>
          </cell>
          <cell r="D4567" t="str">
            <v>SST-11100 BROWN SS01 IP VN-16KJ</v>
          </cell>
          <cell r="E4567" t="str">
            <v>ZFGD</v>
          </cell>
          <cell r="F4567" t="str">
            <v>PC</v>
          </cell>
          <cell r="G4567" t="str">
            <v>1</v>
          </cell>
          <cell r="H4567" t="str">
            <v>INDUSTRY</v>
          </cell>
          <cell r="I4567" t="str">
            <v>11</v>
          </cell>
          <cell r="J4567" t="str">
            <v>WOOD COATINGS</v>
          </cell>
          <cell r="K4567" t="str">
            <v>1109</v>
          </cell>
          <cell r="L4567" t="str">
            <v>STAIN &amp; GLAZE INTERIOR</v>
          </cell>
          <cell r="M4567" t="str">
            <v>110903</v>
          </cell>
          <cell r="N4567" t="str">
            <v>STAIN INTERIOR</v>
          </cell>
        </row>
        <row r="4568">
          <cell r="C4568" t="str">
            <v>100006120</v>
          </cell>
          <cell r="D4568" t="str">
            <v>PUC-54205 AC WHITE 16 20 SKS VN-20KP</v>
          </cell>
          <cell r="E4568" t="str">
            <v>ZFGD</v>
          </cell>
          <cell r="F4568" t="str">
            <v>PC</v>
          </cell>
          <cell r="G4568" t="str">
            <v>1</v>
          </cell>
          <cell r="H4568" t="str">
            <v>INDUSTRY</v>
          </cell>
          <cell r="I4568" t="str">
            <v>11</v>
          </cell>
          <cell r="J4568" t="str">
            <v>WOOD COATINGS</v>
          </cell>
          <cell r="K4568" t="str">
            <v>1103</v>
          </cell>
          <cell r="L4568" t="str">
            <v>PU</v>
          </cell>
          <cell r="M4568" t="str">
            <v>110319</v>
          </cell>
          <cell r="N4568" t="str">
            <v>PU COLOR</v>
          </cell>
        </row>
        <row r="4569">
          <cell r="C4569" t="str">
            <v>100006121</v>
          </cell>
          <cell r="D4569" t="str">
            <v>NBC-9345-787-AK-20KP</v>
          </cell>
          <cell r="E4569" t="str">
            <v>ZFGD</v>
          </cell>
          <cell r="F4569" t="str">
            <v>PC</v>
          </cell>
          <cell r="G4569" t="str">
            <v>1</v>
          </cell>
          <cell r="H4569" t="str">
            <v>INDUSTRY</v>
          </cell>
          <cell r="I4569" t="str">
            <v>11</v>
          </cell>
          <cell r="J4569" t="str">
            <v>WOOD COATINGS</v>
          </cell>
          <cell r="K4569" t="str">
            <v>1104</v>
          </cell>
          <cell r="L4569" t="str">
            <v>NC</v>
          </cell>
          <cell r="M4569" t="str">
            <v>110403</v>
          </cell>
          <cell r="N4569" t="str">
            <v>ASOF : NC BASE COAT</v>
          </cell>
        </row>
        <row r="4570">
          <cell r="C4570" t="str">
            <v>100006122</v>
          </cell>
          <cell r="D4570" t="str">
            <v>NBC-9345-787-AK-200KB</v>
          </cell>
          <cell r="E4570" t="str">
            <v>ZFGD</v>
          </cell>
          <cell r="F4570" t="str">
            <v>PC</v>
          </cell>
          <cell r="G4570" t="str">
            <v>1</v>
          </cell>
          <cell r="H4570" t="str">
            <v>INDUSTRY</v>
          </cell>
          <cell r="I4570" t="str">
            <v>11</v>
          </cell>
          <cell r="J4570" t="str">
            <v>WOOD COATINGS</v>
          </cell>
          <cell r="K4570" t="str">
            <v>1104</v>
          </cell>
          <cell r="L4570" t="str">
            <v>NC</v>
          </cell>
          <cell r="M4570" t="str">
            <v>110403</v>
          </cell>
          <cell r="N4570" t="str">
            <v>ASOF : NC BASE COAT</v>
          </cell>
        </row>
        <row r="4571">
          <cell r="C4571" t="str">
            <v>100006129</v>
          </cell>
          <cell r="D4571" t="str">
            <v>WBL-63220 EX DWA SC VN-18KP</v>
          </cell>
          <cell r="E4571" t="str">
            <v>ZFGD</v>
          </cell>
          <cell r="F4571" t="str">
            <v>PC</v>
          </cell>
          <cell r="G4571" t="str">
            <v>1</v>
          </cell>
          <cell r="H4571" t="str">
            <v>INDUSTRY</v>
          </cell>
          <cell r="I4571" t="str">
            <v>11</v>
          </cell>
          <cell r="J4571" t="str">
            <v>WOOD COATINGS</v>
          </cell>
          <cell r="K4571" t="str">
            <v>1119</v>
          </cell>
          <cell r="L4571" t="str">
            <v>WATERBASED</v>
          </cell>
          <cell r="M4571" t="str">
            <v>111901</v>
          </cell>
          <cell r="N4571" t="str">
            <v>WATERBASED SYSTEM EXTERIOR</v>
          </cell>
        </row>
        <row r="4572">
          <cell r="C4572" t="str">
            <v>100006130</v>
          </cell>
          <cell r="D4572" t="str">
            <v>PST-12200 2K DWA SC VN-20LJ</v>
          </cell>
          <cell r="E4572" t="str">
            <v>ZFGD</v>
          </cell>
          <cell r="F4572" t="str">
            <v>PC</v>
          </cell>
          <cell r="G4572" t="str">
            <v>1</v>
          </cell>
          <cell r="H4572" t="str">
            <v>INDUSTRY</v>
          </cell>
          <cell r="I4572" t="str">
            <v>11</v>
          </cell>
          <cell r="J4572" t="str">
            <v>WOOD COATINGS</v>
          </cell>
          <cell r="K4572" t="str">
            <v>1101</v>
          </cell>
          <cell r="L4572" t="str">
            <v>ALKYD OIL</v>
          </cell>
          <cell r="M4572" t="str">
            <v>110102</v>
          </cell>
          <cell r="N4572" t="str">
            <v>STAIN EXTERIOR</v>
          </cell>
        </row>
        <row r="4573">
          <cell r="C4573" t="str">
            <v>100006131</v>
          </cell>
          <cell r="D4573" t="str">
            <v>PST-12200 2K DWA SC VN-200LK</v>
          </cell>
          <cell r="E4573" t="str">
            <v>ZFGD</v>
          </cell>
          <cell r="F4573" t="str">
            <v>PC</v>
          </cell>
          <cell r="G4573" t="str">
            <v>1</v>
          </cell>
          <cell r="H4573" t="str">
            <v>INDUSTRY</v>
          </cell>
          <cell r="I4573" t="str">
            <v>11</v>
          </cell>
          <cell r="J4573" t="str">
            <v>WOOD COATINGS</v>
          </cell>
          <cell r="K4573" t="str">
            <v>1101</v>
          </cell>
          <cell r="L4573" t="str">
            <v>ALKYD OIL</v>
          </cell>
          <cell r="M4573" t="str">
            <v>110102</v>
          </cell>
          <cell r="N4573" t="str">
            <v>STAIN EXTERIOR</v>
          </cell>
        </row>
        <row r="4574">
          <cell r="C4574" t="str">
            <v>100006132</v>
          </cell>
          <cell r="D4574" t="str">
            <v>WBL-63220 EX MUB SC VN-18KP</v>
          </cell>
          <cell r="E4574" t="str">
            <v>ZFGD</v>
          </cell>
          <cell r="F4574" t="str">
            <v>PC</v>
          </cell>
          <cell r="G4574" t="str">
            <v>1</v>
          </cell>
          <cell r="H4574" t="str">
            <v>INDUSTRY</v>
          </cell>
          <cell r="I4574" t="str">
            <v>11</v>
          </cell>
          <cell r="J4574" t="str">
            <v>WOOD COATINGS</v>
          </cell>
          <cell r="K4574" t="str">
            <v>1119</v>
          </cell>
          <cell r="L4574" t="str">
            <v>WATERBASED</v>
          </cell>
          <cell r="M4574" t="str">
            <v>111901</v>
          </cell>
          <cell r="N4574" t="str">
            <v>WATERBASED SYSTEM EXTERIOR</v>
          </cell>
        </row>
        <row r="4575">
          <cell r="C4575" t="str">
            <v>100006133</v>
          </cell>
          <cell r="D4575" t="str">
            <v>PST-12200 2K MUB SC VN-20LJ</v>
          </cell>
          <cell r="E4575" t="str">
            <v>ZFGD</v>
          </cell>
          <cell r="F4575" t="str">
            <v>PC</v>
          </cell>
          <cell r="G4575" t="str">
            <v>1</v>
          </cell>
          <cell r="H4575" t="str">
            <v>INDUSTRY</v>
          </cell>
          <cell r="I4575" t="str">
            <v>11</v>
          </cell>
          <cell r="J4575" t="str">
            <v>WOOD COATINGS</v>
          </cell>
          <cell r="K4575" t="str">
            <v>1101</v>
          </cell>
          <cell r="L4575" t="str">
            <v>ALKYD OIL</v>
          </cell>
          <cell r="M4575" t="str">
            <v>110102</v>
          </cell>
          <cell r="N4575" t="str">
            <v>STAIN EXTERIOR</v>
          </cell>
        </row>
        <row r="4576">
          <cell r="C4576" t="str">
            <v>100006134</v>
          </cell>
          <cell r="D4576" t="str">
            <v>PST-12200 2K MUB SC VN-200LK</v>
          </cell>
          <cell r="E4576" t="str">
            <v>ZFGD</v>
          </cell>
          <cell r="F4576" t="str">
            <v>PC</v>
          </cell>
          <cell r="G4576" t="str">
            <v>1</v>
          </cell>
          <cell r="H4576" t="str">
            <v>INDUSTRY</v>
          </cell>
          <cell r="I4576" t="str">
            <v>11</v>
          </cell>
          <cell r="J4576" t="str">
            <v>WOOD COATINGS</v>
          </cell>
          <cell r="K4576" t="str">
            <v>1101</v>
          </cell>
          <cell r="L4576" t="str">
            <v>ALKYD OIL</v>
          </cell>
          <cell r="M4576" t="str">
            <v>110102</v>
          </cell>
          <cell r="N4576" t="str">
            <v>STAIN EXTERIOR</v>
          </cell>
        </row>
        <row r="4577">
          <cell r="C4577" t="str">
            <v>100006137</v>
          </cell>
          <cell r="D4577" t="str">
            <v>UFM-930 LIGHT GREY VN-20KP</v>
          </cell>
          <cell r="E4577" t="str">
            <v>ZFGD</v>
          </cell>
          <cell r="F4577" t="str">
            <v>PC</v>
          </cell>
          <cell r="G4577" t="str">
            <v>5</v>
          </cell>
          <cell r="H4577" t="str">
            <v>PROJECT</v>
          </cell>
          <cell r="I4577" t="str">
            <v>57</v>
          </cell>
          <cell r="J4577" t="str">
            <v>CPC2</v>
          </cell>
          <cell r="K4577" t="str">
            <v>5701</v>
          </cell>
          <cell r="L4577" t="str">
            <v>WATERPROOFING</v>
          </cell>
          <cell r="M4577" t="str">
            <v>570107</v>
          </cell>
          <cell r="N4577" t="str">
            <v>ULTRAFLEX MEMBRANE</v>
          </cell>
        </row>
        <row r="4578">
          <cell r="C4578" t="str">
            <v>100006138</v>
          </cell>
          <cell r="D4578" t="str">
            <v>WBL-63220 EX BALAU SC VN-18KP</v>
          </cell>
          <cell r="E4578" t="str">
            <v>ZFGD</v>
          </cell>
          <cell r="F4578" t="str">
            <v>PC</v>
          </cell>
          <cell r="G4578" t="str">
            <v>1</v>
          </cell>
          <cell r="H4578" t="str">
            <v>INDUSTRY</v>
          </cell>
          <cell r="I4578" t="str">
            <v>11</v>
          </cell>
          <cell r="J4578" t="str">
            <v>WOOD COATINGS</v>
          </cell>
          <cell r="K4578" t="str">
            <v>1119</v>
          </cell>
          <cell r="L4578" t="str">
            <v>WATERBASED</v>
          </cell>
          <cell r="M4578" t="str">
            <v>111901</v>
          </cell>
          <cell r="N4578" t="str">
            <v>WATERBASED SYSTEM EXTERIOR</v>
          </cell>
        </row>
        <row r="4579">
          <cell r="C4579" t="str">
            <v>100006139</v>
          </cell>
          <cell r="D4579" t="str">
            <v>PST-12200 2K BALAU SC VN-20LJ</v>
          </cell>
          <cell r="E4579" t="str">
            <v>ZFGD</v>
          </cell>
          <cell r="F4579" t="str">
            <v>PC</v>
          </cell>
          <cell r="G4579" t="str">
            <v>1</v>
          </cell>
          <cell r="H4579" t="str">
            <v>INDUSTRY</v>
          </cell>
          <cell r="I4579" t="str">
            <v>11</v>
          </cell>
          <cell r="J4579" t="str">
            <v>WOOD COATINGS</v>
          </cell>
          <cell r="K4579" t="str">
            <v>1101</v>
          </cell>
          <cell r="L4579" t="str">
            <v>ALKYD OIL</v>
          </cell>
          <cell r="M4579" t="str">
            <v>110102</v>
          </cell>
          <cell r="N4579" t="str">
            <v>STAIN EXTERIOR</v>
          </cell>
        </row>
        <row r="4580">
          <cell r="C4580" t="str">
            <v>100006140</v>
          </cell>
          <cell r="D4580" t="str">
            <v>PST-12200 2K BALAU SC VN-200LK</v>
          </cell>
          <cell r="E4580" t="str">
            <v>ZFGD</v>
          </cell>
          <cell r="F4580" t="str">
            <v>PC</v>
          </cell>
          <cell r="G4580" t="str">
            <v>1</v>
          </cell>
          <cell r="H4580" t="str">
            <v>INDUSTRY</v>
          </cell>
          <cell r="I4580" t="str">
            <v>11</v>
          </cell>
          <cell r="J4580" t="str">
            <v>WOOD COATINGS</v>
          </cell>
          <cell r="K4580" t="str">
            <v>1101</v>
          </cell>
          <cell r="L4580" t="str">
            <v>ALKYD OIL</v>
          </cell>
          <cell r="M4580" t="str">
            <v>110102</v>
          </cell>
          <cell r="N4580" t="str">
            <v>STAIN EXTERIOR</v>
          </cell>
        </row>
        <row r="4581">
          <cell r="C4581" t="str">
            <v>100006141</v>
          </cell>
          <cell r="D4581" t="str">
            <v>PUP-52135 BLUE 14 SKS VN-20KP</v>
          </cell>
          <cell r="E4581" t="str">
            <v>ZFGD</v>
          </cell>
          <cell r="F4581" t="str">
            <v>PC</v>
          </cell>
          <cell r="G4581" t="str">
            <v>1</v>
          </cell>
          <cell r="H4581" t="str">
            <v>INDUSTRY</v>
          </cell>
          <cell r="I4581" t="str">
            <v>11</v>
          </cell>
          <cell r="J4581" t="str">
            <v>WOOD COATINGS</v>
          </cell>
          <cell r="K4581" t="str">
            <v>1103</v>
          </cell>
          <cell r="L4581" t="str">
            <v>PU</v>
          </cell>
          <cell r="M4581" t="str">
            <v>110322</v>
          </cell>
          <cell r="N4581" t="str">
            <v>PU PRIMER</v>
          </cell>
        </row>
        <row r="4582">
          <cell r="C4582" t="str">
            <v>100006142</v>
          </cell>
          <cell r="D4582" t="str">
            <v>PUP-54106 AC EX BLUE 15 SKS VN-20KP</v>
          </cell>
          <cell r="E4582" t="str">
            <v>ZFGD</v>
          </cell>
          <cell r="F4582" t="str">
            <v>PC</v>
          </cell>
          <cell r="G4582" t="str">
            <v>1</v>
          </cell>
          <cell r="H4582" t="str">
            <v>INDUSTRY</v>
          </cell>
          <cell r="I4582" t="str">
            <v>11</v>
          </cell>
          <cell r="J4582" t="str">
            <v>WOOD COATINGS</v>
          </cell>
          <cell r="K4582" t="str">
            <v>1103</v>
          </cell>
          <cell r="L4582" t="str">
            <v>PU</v>
          </cell>
          <cell r="M4582" t="str">
            <v>110322</v>
          </cell>
          <cell r="N4582" t="str">
            <v>PU PRIMER</v>
          </cell>
        </row>
        <row r="4583">
          <cell r="C4583" t="str">
            <v>100006143</v>
          </cell>
          <cell r="D4583" t="str">
            <v>PUP-52135 BLUE 15 SKS VN-20KP</v>
          </cell>
          <cell r="E4583" t="str">
            <v>ZFGD</v>
          </cell>
          <cell r="F4583" t="str">
            <v>PC</v>
          </cell>
          <cell r="G4583" t="str">
            <v>1</v>
          </cell>
          <cell r="H4583" t="str">
            <v>INDUSTRY</v>
          </cell>
          <cell r="I4583" t="str">
            <v>11</v>
          </cell>
          <cell r="J4583" t="str">
            <v>WOOD COATINGS</v>
          </cell>
          <cell r="K4583" t="str">
            <v>1103</v>
          </cell>
          <cell r="L4583" t="str">
            <v>PU</v>
          </cell>
          <cell r="M4583" t="str">
            <v>110322</v>
          </cell>
          <cell r="N4583" t="str">
            <v>PU PRIMER</v>
          </cell>
        </row>
        <row r="4584">
          <cell r="C4584" t="str">
            <v>100006144</v>
          </cell>
          <cell r="D4584" t="str">
            <v>PUP-54106 AC EX BLUE 14 SKS VN-20KP</v>
          </cell>
          <cell r="E4584" t="str">
            <v>ZFGD</v>
          </cell>
          <cell r="F4584" t="str">
            <v>PC</v>
          </cell>
          <cell r="G4584" t="str">
            <v>1</v>
          </cell>
          <cell r="H4584" t="str">
            <v>INDUSTRY</v>
          </cell>
          <cell r="I4584" t="str">
            <v>11</v>
          </cell>
          <cell r="J4584" t="str">
            <v>WOOD COATINGS</v>
          </cell>
          <cell r="K4584" t="str">
            <v>1103</v>
          </cell>
          <cell r="L4584" t="str">
            <v>PU</v>
          </cell>
          <cell r="M4584" t="str">
            <v>110322</v>
          </cell>
          <cell r="N4584" t="str">
            <v>PU PRIMER</v>
          </cell>
        </row>
        <row r="4585">
          <cell r="C4585" t="str">
            <v>100006145</v>
          </cell>
          <cell r="D4585" t="str">
            <v>SST-11100 C25 CHIC GREEN WS VN-16KJ</v>
          </cell>
          <cell r="E4585" t="str">
            <v>ZFGD</v>
          </cell>
          <cell r="F4585" t="str">
            <v>PC</v>
          </cell>
          <cell r="G4585" t="str">
            <v>1</v>
          </cell>
          <cell r="H4585" t="str">
            <v>INDUSTRY</v>
          </cell>
          <cell r="I4585" t="str">
            <v>11</v>
          </cell>
          <cell r="J4585" t="str">
            <v>WOOD COATINGS</v>
          </cell>
          <cell r="K4585" t="str">
            <v>1109</v>
          </cell>
          <cell r="L4585" t="str">
            <v>STAIN &amp; GLAZE INTERIOR</v>
          </cell>
          <cell r="M4585" t="str">
            <v>110903</v>
          </cell>
          <cell r="N4585" t="str">
            <v>STAIN INTERIOR</v>
          </cell>
        </row>
        <row r="4586">
          <cell r="C4586" t="str">
            <v>100006146</v>
          </cell>
          <cell r="D4586" t="str">
            <v>SST-11100 C25 CHIC GREEN WS VN-4K</v>
          </cell>
          <cell r="E4586" t="str">
            <v>ZFGD</v>
          </cell>
          <cell r="F4586" t="str">
            <v>PC</v>
          </cell>
          <cell r="G4586" t="str">
            <v>1</v>
          </cell>
          <cell r="H4586" t="str">
            <v>INDUSTRY</v>
          </cell>
          <cell r="I4586" t="str">
            <v>11</v>
          </cell>
          <cell r="J4586" t="str">
            <v>WOOD COATINGS</v>
          </cell>
          <cell r="K4586" t="str">
            <v>1109</v>
          </cell>
          <cell r="L4586" t="str">
            <v>STAIN &amp; GLAZE INTERIOR</v>
          </cell>
          <cell r="M4586" t="str">
            <v>110903</v>
          </cell>
          <cell r="N4586" t="str">
            <v>STAIN INTERIOR</v>
          </cell>
        </row>
        <row r="4587">
          <cell r="C4587" t="str">
            <v>100006154</v>
          </cell>
          <cell r="D4587" t="str">
            <v>WBP-62107 LF WHITE VN-20KP</v>
          </cell>
          <cell r="E4587" t="str">
            <v>ZFGD</v>
          </cell>
          <cell r="F4587" t="str">
            <v>PC</v>
          </cell>
          <cell r="G4587" t="str">
            <v>1</v>
          </cell>
          <cell r="H4587" t="str">
            <v>INDUSTRY</v>
          </cell>
          <cell r="I4587" t="str">
            <v>11</v>
          </cell>
          <cell r="J4587" t="str">
            <v>WOOD COATINGS</v>
          </cell>
          <cell r="K4587" t="str">
            <v>1119</v>
          </cell>
          <cell r="L4587" t="str">
            <v>WATERBASED</v>
          </cell>
          <cell r="M4587" t="str">
            <v>111902</v>
          </cell>
          <cell r="N4587" t="str">
            <v>WATERBASED SYSTEM INTERIOR</v>
          </cell>
        </row>
        <row r="4588">
          <cell r="C4588" t="str">
            <v>100006155</v>
          </cell>
          <cell r="D4588" t="str">
            <v>PUC-54205 AC KEM3424 90 ALC VN-20KP</v>
          </cell>
          <cell r="E4588" t="str">
            <v>ZFGD</v>
          </cell>
          <cell r="F4588" t="str">
            <v>PC</v>
          </cell>
          <cell r="G4588" t="str">
            <v>1</v>
          </cell>
          <cell r="H4588" t="str">
            <v>INDUSTRY</v>
          </cell>
          <cell r="I4588" t="str">
            <v>11</v>
          </cell>
          <cell r="J4588" t="str">
            <v>WOOD COATINGS</v>
          </cell>
          <cell r="K4588" t="str">
            <v>1103</v>
          </cell>
          <cell r="L4588" t="str">
            <v>PU</v>
          </cell>
          <cell r="M4588" t="str">
            <v>110319</v>
          </cell>
          <cell r="N4588" t="str">
            <v>PU COLOR</v>
          </cell>
        </row>
        <row r="4589">
          <cell r="C4589" t="str">
            <v>100006161</v>
          </cell>
          <cell r="D4589" t="str">
            <v>PUC-54205 AC KEM 01 90 SR VN-20KP</v>
          </cell>
          <cell r="E4589" t="str">
            <v>ZFGD</v>
          </cell>
          <cell r="F4589" t="str">
            <v>PC</v>
          </cell>
          <cell r="G4589" t="str">
            <v>1</v>
          </cell>
          <cell r="H4589" t="str">
            <v>INDUSTRY</v>
          </cell>
          <cell r="I4589" t="str">
            <v>11</v>
          </cell>
          <cell r="J4589" t="str">
            <v>WOOD COATINGS</v>
          </cell>
          <cell r="K4589" t="str">
            <v>1103</v>
          </cell>
          <cell r="L4589" t="str">
            <v>PU</v>
          </cell>
          <cell r="M4589" t="str">
            <v>110319</v>
          </cell>
          <cell r="N4589" t="str">
            <v>PU COLOR</v>
          </cell>
        </row>
        <row r="4590">
          <cell r="C4590" t="str">
            <v>100006162</v>
          </cell>
          <cell r="D4590" t="str">
            <v>THC-73100 101 GR VN-20LJ</v>
          </cell>
          <cell r="E4590" t="str">
            <v>ZFGD</v>
          </cell>
          <cell r="F4590" t="str">
            <v>PC</v>
          </cell>
          <cell r="G4590" t="str">
            <v>1</v>
          </cell>
          <cell r="H4590" t="str">
            <v>INDUSTRY</v>
          </cell>
          <cell r="I4590" t="str">
            <v>14</v>
          </cell>
          <cell r="J4590" t="str">
            <v>THINNER</v>
          </cell>
          <cell r="K4590" t="str">
            <v>1412</v>
          </cell>
          <cell r="L4590" t="str">
            <v>THINNER NC</v>
          </cell>
          <cell r="M4590" t="str">
            <v>141203</v>
          </cell>
          <cell r="N4590" t="str">
            <v>THINNER COMPLEMENTARY</v>
          </cell>
        </row>
        <row r="4591">
          <cell r="C4591" t="str">
            <v>100006163</v>
          </cell>
          <cell r="D4591" t="str">
            <v>PST-12200 2K WHITE WASH 01 SC VN-20LJ</v>
          </cell>
          <cell r="E4591" t="str">
            <v>ZFGD</v>
          </cell>
          <cell r="F4591" t="str">
            <v>PC</v>
          </cell>
          <cell r="G4591" t="str">
            <v>1</v>
          </cell>
          <cell r="H4591" t="str">
            <v>INDUSTRY</v>
          </cell>
          <cell r="I4591" t="str">
            <v>11</v>
          </cell>
          <cell r="J4591" t="str">
            <v>WOOD COATINGS</v>
          </cell>
          <cell r="K4591" t="str">
            <v>1101</v>
          </cell>
          <cell r="L4591" t="str">
            <v>ALKYD OIL</v>
          </cell>
          <cell r="M4591" t="str">
            <v>110102</v>
          </cell>
          <cell r="N4591" t="str">
            <v>STAIN EXTERIOR</v>
          </cell>
        </row>
        <row r="4592">
          <cell r="C4592" t="str">
            <v>100006164</v>
          </cell>
          <cell r="D4592" t="str">
            <v>PST-12200 2K WHITE WASH 01 SC VN-200LK</v>
          </cell>
          <cell r="E4592" t="str">
            <v>ZFGD</v>
          </cell>
          <cell r="F4592" t="str">
            <v>PC</v>
          </cell>
          <cell r="G4592" t="str">
            <v>1</v>
          </cell>
          <cell r="H4592" t="str">
            <v>INDUSTRY</v>
          </cell>
          <cell r="I4592" t="str">
            <v>11</v>
          </cell>
          <cell r="J4592" t="str">
            <v>WOOD COATINGS</v>
          </cell>
          <cell r="K4592" t="str">
            <v>1101</v>
          </cell>
          <cell r="L4592" t="str">
            <v>ALKYD OIL</v>
          </cell>
          <cell r="M4592" t="str">
            <v>110102</v>
          </cell>
          <cell r="N4592" t="str">
            <v>STAIN EXTERIOR</v>
          </cell>
        </row>
        <row r="4593">
          <cell r="C4593" t="str">
            <v>100006165</v>
          </cell>
          <cell r="D4593" t="str">
            <v>PST-12200 2K WHITE WASH 02 SC VN-20LJ</v>
          </cell>
          <cell r="E4593" t="str">
            <v>ZFGD</v>
          </cell>
          <cell r="F4593" t="str">
            <v>PC</v>
          </cell>
          <cell r="G4593" t="str">
            <v>1</v>
          </cell>
          <cell r="H4593" t="str">
            <v>INDUSTRY</v>
          </cell>
          <cell r="I4593" t="str">
            <v>11</v>
          </cell>
          <cell r="J4593" t="str">
            <v>WOOD COATINGS</v>
          </cell>
          <cell r="K4593" t="str">
            <v>1101</v>
          </cell>
          <cell r="L4593" t="str">
            <v>ALKYD OIL</v>
          </cell>
          <cell r="M4593" t="str">
            <v>110102</v>
          </cell>
          <cell r="N4593" t="str">
            <v>STAIN EXTERIOR</v>
          </cell>
        </row>
        <row r="4594">
          <cell r="C4594" t="str">
            <v>100006166</v>
          </cell>
          <cell r="D4594" t="str">
            <v>PST-12200 2K WHITE WASH 02 SC VN-200LK</v>
          </cell>
          <cell r="E4594" t="str">
            <v>ZFGD</v>
          </cell>
          <cell r="F4594" t="str">
            <v>PC</v>
          </cell>
          <cell r="G4594" t="str">
            <v>1</v>
          </cell>
          <cell r="H4594" t="str">
            <v>INDUSTRY</v>
          </cell>
          <cell r="I4594" t="str">
            <v>11</v>
          </cell>
          <cell r="J4594" t="str">
            <v>WOOD COATINGS</v>
          </cell>
          <cell r="K4594" t="str">
            <v>1101</v>
          </cell>
          <cell r="L4594" t="str">
            <v>ALKYD OIL</v>
          </cell>
          <cell r="M4594" t="str">
            <v>110102</v>
          </cell>
          <cell r="N4594" t="str">
            <v>STAIN EXTERIOR</v>
          </cell>
        </row>
        <row r="4595">
          <cell r="C4595" t="str">
            <v>100006167</v>
          </cell>
          <cell r="D4595" t="str">
            <v>PST-12200 2K WHITE WASH 03 SC VN-20LJ</v>
          </cell>
          <cell r="E4595" t="str">
            <v>ZFGD</v>
          </cell>
          <cell r="F4595" t="str">
            <v>PC</v>
          </cell>
          <cell r="G4595" t="str">
            <v>1</v>
          </cell>
          <cell r="H4595" t="str">
            <v>INDUSTRY</v>
          </cell>
          <cell r="I4595" t="str">
            <v>11</v>
          </cell>
          <cell r="J4595" t="str">
            <v>WOOD COATINGS</v>
          </cell>
          <cell r="K4595" t="str">
            <v>1101</v>
          </cell>
          <cell r="L4595" t="str">
            <v>ALKYD OIL</v>
          </cell>
          <cell r="M4595" t="str">
            <v>110102</v>
          </cell>
          <cell r="N4595" t="str">
            <v>STAIN EXTERIOR</v>
          </cell>
        </row>
        <row r="4596">
          <cell r="C4596" t="str">
            <v>100006168</v>
          </cell>
          <cell r="D4596" t="str">
            <v>PST-12200 2K WHITE WASH 03 SC VN-200LK</v>
          </cell>
          <cell r="E4596" t="str">
            <v>ZFGD</v>
          </cell>
          <cell r="F4596" t="str">
            <v>PC</v>
          </cell>
          <cell r="G4596" t="str">
            <v>1</v>
          </cell>
          <cell r="H4596" t="str">
            <v>INDUSTRY</v>
          </cell>
          <cell r="I4596" t="str">
            <v>11</v>
          </cell>
          <cell r="J4596" t="str">
            <v>WOOD COATINGS</v>
          </cell>
          <cell r="K4596" t="str">
            <v>1101</v>
          </cell>
          <cell r="L4596" t="str">
            <v>ALKYD OIL</v>
          </cell>
          <cell r="M4596" t="str">
            <v>110102</v>
          </cell>
          <cell r="N4596" t="str">
            <v>STAIN EXTERIOR</v>
          </cell>
        </row>
        <row r="4597">
          <cell r="C4597" t="str">
            <v>100006169</v>
          </cell>
          <cell r="D4597" t="str">
            <v>WBL-63230 EX WHITE WASH SC VN-18KP</v>
          </cell>
          <cell r="E4597" t="str">
            <v>ZFGD</v>
          </cell>
          <cell r="F4597" t="str">
            <v>PC</v>
          </cell>
          <cell r="G4597" t="str">
            <v>1</v>
          </cell>
          <cell r="H4597" t="str">
            <v>INDUSTRY</v>
          </cell>
          <cell r="I4597" t="str">
            <v>11</v>
          </cell>
          <cell r="J4597" t="str">
            <v>WOOD COATINGS</v>
          </cell>
          <cell r="K4597" t="str">
            <v>1119</v>
          </cell>
          <cell r="L4597" t="str">
            <v>WATERBASED</v>
          </cell>
          <cell r="M4597" t="str">
            <v>111901</v>
          </cell>
          <cell r="N4597" t="str">
            <v>WATERBASED SYSTEM EXTERIOR</v>
          </cell>
        </row>
        <row r="4598">
          <cell r="C4598" t="str">
            <v>100006170</v>
          </cell>
          <cell r="D4598" t="str">
            <v>WBSS-61106 HS VN-20KP</v>
          </cell>
          <cell r="E4598" t="str">
            <v>ZFGD</v>
          </cell>
          <cell r="F4598" t="str">
            <v>PC</v>
          </cell>
          <cell r="G4598" t="str">
            <v>1</v>
          </cell>
          <cell r="H4598" t="str">
            <v>INDUSTRY</v>
          </cell>
          <cell r="I4598" t="str">
            <v>11</v>
          </cell>
          <cell r="J4598" t="str">
            <v>WOOD COATINGS</v>
          </cell>
          <cell r="K4598" t="str">
            <v>1119</v>
          </cell>
          <cell r="L4598" t="str">
            <v>WATERBASED</v>
          </cell>
          <cell r="M4598" t="str">
            <v>111902</v>
          </cell>
          <cell r="N4598" t="str">
            <v>WATERBASED SYSTEM INTERIOR</v>
          </cell>
        </row>
        <row r="4599">
          <cell r="C4599" t="str">
            <v>100006171</v>
          </cell>
          <cell r="D4599" t="str">
            <v>WBL-61202 CLEAR 10 VW VN-20KP</v>
          </cell>
          <cell r="E4599" t="str">
            <v>ZFGD</v>
          </cell>
          <cell r="F4599" t="str">
            <v>PC</v>
          </cell>
          <cell r="G4599" t="str">
            <v>1</v>
          </cell>
          <cell r="H4599" t="str">
            <v>INDUSTRY</v>
          </cell>
          <cell r="I4599" t="str">
            <v>11</v>
          </cell>
          <cell r="J4599" t="str">
            <v>WOOD COATINGS</v>
          </cell>
          <cell r="K4599" t="str">
            <v>1119</v>
          </cell>
          <cell r="L4599" t="str">
            <v>WATERBASED</v>
          </cell>
          <cell r="M4599" t="str">
            <v>111902</v>
          </cell>
          <cell r="N4599" t="str">
            <v>WATERBASED SYSTEM INTERIOR</v>
          </cell>
        </row>
        <row r="4600">
          <cell r="C4600" t="str">
            <v>100006173</v>
          </cell>
          <cell r="D4600" t="str">
            <v>PUP-54111 AC BROWN 01 QT VN-20KP</v>
          </cell>
          <cell r="E4600" t="str">
            <v>ZFGD</v>
          </cell>
          <cell r="F4600" t="str">
            <v>PC</v>
          </cell>
          <cell r="G4600" t="str">
            <v>1</v>
          </cell>
          <cell r="H4600" t="str">
            <v>INDUSTRY</v>
          </cell>
          <cell r="I4600" t="str">
            <v>11</v>
          </cell>
          <cell r="J4600" t="str">
            <v>WOOD COATINGS</v>
          </cell>
          <cell r="K4600" t="str">
            <v>1103</v>
          </cell>
          <cell r="L4600" t="str">
            <v>PU</v>
          </cell>
          <cell r="M4600" t="str">
            <v>110322</v>
          </cell>
          <cell r="N4600" t="str">
            <v>PU PRIMER</v>
          </cell>
        </row>
        <row r="4601">
          <cell r="C4601" t="str">
            <v>100006174</v>
          </cell>
          <cell r="D4601" t="str">
            <v>PUP-54111 AC BROWN 02 QT VN-20KP</v>
          </cell>
          <cell r="E4601" t="str">
            <v>ZFGD</v>
          </cell>
          <cell r="F4601" t="str">
            <v>PC</v>
          </cell>
          <cell r="G4601" t="str">
            <v>1</v>
          </cell>
          <cell r="H4601" t="str">
            <v>INDUSTRY</v>
          </cell>
          <cell r="I4601" t="str">
            <v>11</v>
          </cell>
          <cell r="J4601" t="str">
            <v>WOOD COATINGS</v>
          </cell>
          <cell r="K4601" t="str">
            <v>1103</v>
          </cell>
          <cell r="L4601" t="str">
            <v>PU</v>
          </cell>
          <cell r="M4601" t="str">
            <v>110322</v>
          </cell>
          <cell r="N4601" t="str">
            <v>PU PRIMER</v>
          </cell>
        </row>
        <row r="4602">
          <cell r="C4602" t="str">
            <v>100006176</v>
          </cell>
          <cell r="D4602" t="str">
            <v>WBL-63230 EX LOT SC VN-18KP</v>
          </cell>
          <cell r="E4602" t="str">
            <v>ZFGD</v>
          </cell>
          <cell r="F4602" t="str">
            <v>PC</v>
          </cell>
          <cell r="G4602" t="str">
            <v>1</v>
          </cell>
          <cell r="H4602" t="str">
            <v>INDUSTRY</v>
          </cell>
          <cell r="I4602" t="str">
            <v>11</v>
          </cell>
          <cell r="J4602" t="str">
            <v>WOOD COATINGS</v>
          </cell>
          <cell r="K4602" t="str">
            <v>1119</v>
          </cell>
          <cell r="L4602" t="str">
            <v>WATERBASED</v>
          </cell>
          <cell r="M4602" t="str">
            <v>111901</v>
          </cell>
          <cell r="N4602" t="str">
            <v>WATERBASED SYSTEM EXTERIOR</v>
          </cell>
        </row>
        <row r="4603">
          <cell r="C4603" t="str">
            <v>100006177</v>
          </cell>
          <cell r="D4603" t="str">
            <v>PST-12200 2K LOT SC VN-20LJ</v>
          </cell>
          <cell r="E4603" t="str">
            <v>ZFGD</v>
          </cell>
          <cell r="F4603" t="str">
            <v>PC</v>
          </cell>
          <cell r="G4603" t="str">
            <v>1</v>
          </cell>
          <cell r="H4603" t="str">
            <v>INDUSTRY</v>
          </cell>
          <cell r="I4603" t="str">
            <v>11</v>
          </cell>
          <cell r="J4603" t="str">
            <v>WOOD COATINGS</v>
          </cell>
          <cell r="K4603" t="str">
            <v>1101</v>
          </cell>
          <cell r="L4603" t="str">
            <v>ALKYD OIL</v>
          </cell>
          <cell r="M4603" t="str">
            <v>110102</v>
          </cell>
          <cell r="N4603" t="str">
            <v>STAIN EXTERIOR</v>
          </cell>
        </row>
        <row r="4604">
          <cell r="C4604" t="str">
            <v>100006178</v>
          </cell>
          <cell r="D4604" t="str">
            <v>PST-12200 2K LOT SC VN-200LK</v>
          </cell>
          <cell r="E4604" t="str">
            <v>ZFGD</v>
          </cell>
          <cell r="F4604" t="str">
            <v>PC</v>
          </cell>
          <cell r="G4604" t="str">
            <v>1</v>
          </cell>
          <cell r="H4604" t="str">
            <v>INDUSTRY</v>
          </cell>
          <cell r="I4604" t="str">
            <v>11</v>
          </cell>
          <cell r="J4604" t="str">
            <v>WOOD COATINGS</v>
          </cell>
          <cell r="K4604" t="str">
            <v>1101</v>
          </cell>
          <cell r="L4604" t="str">
            <v>ALKYD OIL</v>
          </cell>
          <cell r="M4604" t="str">
            <v>110102</v>
          </cell>
          <cell r="N4604" t="str">
            <v>STAIN EXTERIOR</v>
          </cell>
        </row>
        <row r="4605">
          <cell r="C4605" t="str">
            <v>100006179</v>
          </cell>
          <cell r="D4605" t="str">
            <v>TOL-76301 LOT SC VN-16KJ</v>
          </cell>
          <cell r="E4605" t="str">
            <v>ZFGD</v>
          </cell>
          <cell r="F4605" t="str">
            <v>PC</v>
          </cell>
          <cell r="G4605" t="str">
            <v>1</v>
          </cell>
          <cell r="H4605" t="str">
            <v>INDUSTRY</v>
          </cell>
          <cell r="I4605" t="str">
            <v>11</v>
          </cell>
          <cell r="J4605" t="str">
            <v>WOOD COATINGS</v>
          </cell>
          <cell r="K4605" t="str">
            <v>1101</v>
          </cell>
          <cell r="L4605" t="str">
            <v>ALKYD OIL</v>
          </cell>
          <cell r="M4605" t="str">
            <v>110101</v>
          </cell>
          <cell r="N4605" t="str">
            <v>ALKYD &amp; OIL SYSTEM</v>
          </cell>
        </row>
        <row r="4606">
          <cell r="C4606" t="str">
            <v>100006180</v>
          </cell>
          <cell r="D4606" t="str">
            <v>TOL-76301 LOT SC VN-160KK</v>
          </cell>
          <cell r="E4606" t="str">
            <v>ZFGD</v>
          </cell>
          <cell r="F4606" t="str">
            <v>PC</v>
          </cell>
          <cell r="G4606" t="str">
            <v>1</v>
          </cell>
          <cell r="H4606" t="str">
            <v>INDUSTRY</v>
          </cell>
          <cell r="I4606" t="str">
            <v>11</v>
          </cell>
          <cell r="J4606" t="str">
            <v>WOOD COATINGS</v>
          </cell>
          <cell r="K4606" t="str">
            <v>1101</v>
          </cell>
          <cell r="L4606" t="str">
            <v>ALKYD OIL</v>
          </cell>
          <cell r="M4606" t="str">
            <v>110101</v>
          </cell>
          <cell r="N4606" t="str">
            <v>ALKYD &amp; OIL SYSTEM</v>
          </cell>
        </row>
        <row r="4607">
          <cell r="C4607" t="str">
            <v>100006181</v>
          </cell>
          <cell r="D4607" t="str">
            <v>PRCC-40233 GL CL VN-180KK</v>
          </cell>
          <cell r="E4607" t="str">
            <v>ZFGD</v>
          </cell>
          <cell r="F4607" t="str">
            <v>PC</v>
          </cell>
          <cell r="G4607" t="str">
            <v>1</v>
          </cell>
          <cell r="H4607" t="str">
            <v>INDUSTRY</v>
          </cell>
          <cell r="I4607" t="str">
            <v>12</v>
          </cell>
          <cell r="J4607" t="str">
            <v>CAN COATINGS</v>
          </cell>
          <cell r="K4607" t="str">
            <v>1201</v>
          </cell>
          <cell r="L4607" t="str">
            <v>CAN COATINGS</v>
          </cell>
          <cell r="M4607" t="str">
            <v>120101</v>
          </cell>
          <cell r="N4607" t="str">
            <v>CAN COATINGS</v>
          </cell>
        </row>
        <row r="4608">
          <cell r="C4608" t="str">
            <v>100006182</v>
          </cell>
          <cell r="D4608" t="str">
            <v>WBL-63230 EX MUB SC VN-18KP</v>
          </cell>
          <cell r="E4608" t="str">
            <v>ZFGD</v>
          </cell>
          <cell r="F4608" t="str">
            <v>PC</v>
          </cell>
          <cell r="G4608" t="str">
            <v>1</v>
          </cell>
          <cell r="H4608" t="str">
            <v>INDUSTRY</v>
          </cell>
          <cell r="I4608" t="str">
            <v>11</v>
          </cell>
          <cell r="J4608" t="str">
            <v>WOOD COATINGS</v>
          </cell>
          <cell r="K4608" t="str">
            <v>1119</v>
          </cell>
          <cell r="L4608" t="str">
            <v>WATERBASED</v>
          </cell>
          <cell r="M4608" t="str">
            <v>111901</v>
          </cell>
          <cell r="N4608" t="str">
            <v>WATERBASED SYSTEM EXTERIOR</v>
          </cell>
        </row>
        <row r="4609">
          <cell r="C4609" t="str">
            <v>100006183</v>
          </cell>
          <cell r="D4609" t="str">
            <v>TOL-76301 MUB SC VN-16KJ</v>
          </cell>
          <cell r="E4609" t="str">
            <v>ZFGD</v>
          </cell>
          <cell r="F4609" t="str">
            <v>PC</v>
          </cell>
          <cell r="G4609" t="str">
            <v>1</v>
          </cell>
          <cell r="H4609" t="str">
            <v>INDUSTRY</v>
          </cell>
          <cell r="I4609" t="str">
            <v>11</v>
          </cell>
          <cell r="J4609" t="str">
            <v>WOOD COATINGS</v>
          </cell>
          <cell r="K4609" t="str">
            <v>1101</v>
          </cell>
          <cell r="L4609" t="str">
            <v>ALKYD OIL</v>
          </cell>
          <cell r="M4609" t="str">
            <v>110101</v>
          </cell>
          <cell r="N4609" t="str">
            <v>ALKYD &amp; OIL SYSTEM</v>
          </cell>
        </row>
        <row r="4610">
          <cell r="C4610" t="str">
            <v>100006184</v>
          </cell>
          <cell r="D4610" t="str">
            <v>TOL-76301 MUB SC VN-160KK</v>
          </cell>
          <cell r="E4610" t="str">
            <v>ZFGD</v>
          </cell>
          <cell r="F4610" t="str">
            <v>PC</v>
          </cell>
          <cell r="G4610" t="str">
            <v>1</v>
          </cell>
          <cell r="H4610" t="str">
            <v>INDUSTRY</v>
          </cell>
          <cell r="I4610" t="str">
            <v>11</v>
          </cell>
          <cell r="J4610" t="str">
            <v>WOOD COATINGS</v>
          </cell>
          <cell r="K4610" t="str">
            <v>1101</v>
          </cell>
          <cell r="L4610" t="str">
            <v>ALKYD OIL</v>
          </cell>
          <cell r="M4610" t="str">
            <v>110101</v>
          </cell>
          <cell r="N4610" t="str">
            <v>ALKYD &amp; OIL SYSTEM</v>
          </cell>
        </row>
        <row r="4611">
          <cell r="C4611" t="str">
            <v>100006185</v>
          </cell>
          <cell r="D4611" t="str">
            <v>PST-12200 2K WHITE WASH OP3 SC VN-20LJ</v>
          </cell>
          <cell r="E4611" t="str">
            <v>ZFGD</v>
          </cell>
          <cell r="F4611" t="str">
            <v>PC</v>
          </cell>
          <cell r="G4611" t="str">
            <v>1</v>
          </cell>
          <cell r="H4611" t="str">
            <v>INDUSTRY</v>
          </cell>
          <cell r="I4611" t="str">
            <v>11</v>
          </cell>
          <cell r="J4611" t="str">
            <v>WOOD COATINGS</v>
          </cell>
          <cell r="K4611" t="str">
            <v>1101</v>
          </cell>
          <cell r="L4611" t="str">
            <v>ALKYD OIL</v>
          </cell>
          <cell r="M4611" t="str">
            <v>110102</v>
          </cell>
          <cell r="N4611" t="str">
            <v>STAIN EXTERIOR</v>
          </cell>
        </row>
        <row r="4612">
          <cell r="C4612" t="str">
            <v>100006186</v>
          </cell>
          <cell r="D4612" t="str">
            <v>PST-12200 2K WHITE WASH OP3 SC VN-200LK</v>
          </cell>
          <cell r="E4612" t="str">
            <v>ZFGD</v>
          </cell>
          <cell r="F4612" t="str">
            <v>PC</v>
          </cell>
          <cell r="G4612" t="str">
            <v>1</v>
          </cell>
          <cell r="H4612" t="str">
            <v>INDUSTRY</v>
          </cell>
          <cell r="I4612" t="str">
            <v>11</v>
          </cell>
          <cell r="J4612" t="str">
            <v>WOOD COATINGS</v>
          </cell>
          <cell r="K4612" t="str">
            <v>1101</v>
          </cell>
          <cell r="L4612" t="str">
            <v>ALKYD OIL</v>
          </cell>
          <cell r="M4612" t="str">
            <v>110102</v>
          </cell>
          <cell r="N4612" t="str">
            <v>STAIN EXTERIOR</v>
          </cell>
        </row>
        <row r="4613">
          <cell r="C4613" t="str">
            <v>100006187</v>
          </cell>
          <cell r="D4613" t="str">
            <v>PUH-56306 LY SR VN-20LP</v>
          </cell>
          <cell r="E4613" t="str">
            <v>ZFGD</v>
          </cell>
          <cell r="F4613" t="str">
            <v>PC</v>
          </cell>
          <cell r="G4613" t="str">
            <v>1</v>
          </cell>
          <cell r="H4613" t="str">
            <v>INDUSTRY</v>
          </cell>
          <cell r="I4613" t="str">
            <v>11</v>
          </cell>
          <cell r="J4613" t="str">
            <v>WOOD COATINGS</v>
          </cell>
          <cell r="K4613" t="str">
            <v>1103</v>
          </cell>
          <cell r="L4613" t="str">
            <v>PU</v>
          </cell>
          <cell r="M4613" t="str">
            <v>110320</v>
          </cell>
          <cell r="N4613" t="str">
            <v>PU HARDENER</v>
          </cell>
        </row>
        <row r="4614">
          <cell r="C4614" t="str">
            <v>100006188</v>
          </cell>
          <cell r="D4614" t="str">
            <v>WBL-63230 EX DWA SC VN-18KP</v>
          </cell>
          <cell r="E4614" t="str">
            <v>ZFGD</v>
          </cell>
          <cell r="F4614" t="str">
            <v>PC</v>
          </cell>
          <cell r="G4614" t="str">
            <v>1</v>
          </cell>
          <cell r="H4614" t="str">
            <v>INDUSTRY</v>
          </cell>
          <cell r="I4614" t="str">
            <v>11</v>
          </cell>
          <cell r="J4614" t="str">
            <v>WOOD COATINGS</v>
          </cell>
          <cell r="K4614" t="str">
            <v>1119</v>
          </cell>
          <cell r="L4614" t="str">
            <v>WATERBASED</v>
          </cell>
          <cell r="M4614" t="str">
            <v>111901</v>
          </cell>
          <cell r="N4614" t="str">
            <v>WATERBASED SYSTEM EXTERIOR</v>
          </cell>
        </row>
        <row r="4615">
          <cell r="C4615" t="str">
            <v>100006189</v>
          </cell>
          <cell r="D4615" t="str">
            <v>PUC-54205 AC WHITE 14 10 BOH VN-20KP</v>
          </cell>
          <cell r="E4615" t="str">
            <v>ZFGD</v>
          </cell>
          <cell r="F4615" t="str">
            <v>PC</v>
          </cell>
          <cell r="G4615" t="str">
            <v>1</v>
          </cell>
          <cell r="H4615" t="str">
            <v>INDUSTRY</v>
          </cell>
          <cell r="I4615" t="str">
            <v>11</v>
          </cell>
          <cell r="J4615" t="str">
            <v>WOOD COATINGS</v>
          </cell>
          <cell r="K4615" t="str">
            <v>1103</v>
          </cell>
          <cell r="L4615" t="str">
            <v>PU</v>
          </cell>
          <cell r="M4615" t="str">
            <v>110319</v>
          </cell>
          <cell r="N4615" t="str">
            <v>PU COLOR</v>
          </cell>
        </row>
        <row r="4616">
          <cell r="C4616" t="str">
            <v>100006191</v>
          </cell>
          <cell r="D4616" t="str">
            <v>PST-12200 2K WHITE WASH-C1 SC VN-20LJ</v>
          </cell>
          <cell r="E4616" t="str">
            <v>ZFGD</v>
          </cell>
          <cell r="F4616" t="str">
            <v>PC</v>
          </cell>
          <cell r="G4616" t="str">
            <v>1</v>
          </cell>
          <cell r="H4616" t="str">
            <v>INDUSTRY</v>
          </cell>
          <cell r="I4616" t="str">
            <v>11</v>
          </cell>
          <cell r="J4616" t="str">
            <v>WOOD COATINGS</v>
          </cell>
          <cell r="K4616" t="str">
            <v>1101</v>
          </cell>
          <cell r="L4616" t="str">
            <v>ALKYD OIL</v>
          </cell>
          <cell r="M4616" t="str">
            <v>110102</v>
          </cell>
          <cell r="N4616" t="str">
            <v>STAIN EXTERIOR</v>
          </cell>
        </row>
        <row r="4617">
          <cell r="C4617" t="str">
            <v>100006192</v>
          </cell>
          <cell r="D4617" t="str">
            <v>PST-12200 2K WHITE WASH-C1 SC VN-200LK</v>
          </cell>
          <cell r="E4617" t="str">
            <v>ZFGD</v>
          </cell>
          <cell r="F4617" t="str">
            <v>PC</v>
          </cell>
          <cell r="G4617" t="str">
            <v>1</v>
          </cell>
          <cell r="H4617" t="str">
            <v>INDUSTRY</v>
          </cell>
          <cell r="I4617" t="str">
            <v>11</v>
          </cell>
          <cell r="J4617" t="str">
            <v>WOOD COATINGS</v>
          </cell>
          <cell r="K4617" t="str">
            <v>1101</v>
          </cell>
          <cell r="L4617" t="str">
            <v>ALKYD OIL</v>
          </cell>
          <cell r="M4617" t="str">
            <v>110102</v>
          </cell>
          <cell r="N4617" t="str">
            <v>STAIN EXTERIOR</v>
          </cell>
        </row>
        <row r="4618">
          <cell r="C4618" t="str">
            <v>100006193</v>
          </cell>
          <cell r="D4618" t="str">
            <v>PST-12200 2K WHITE WASH-C2 SC VN-20LJ</v>
          </cell>
          <cell r="E4618" t="str">
            <v>ZFGD</v>
          </cell>
          <cell r="F4618" t="str">
            <v>PC</v>
          </cell>
          <cell r="G4618" t="str">
            <v>1</v>
          </cell>
          <cell r="H4618" t="str">
            <v>INDUSTRY</v>
          </cell>
          <cell r="I4618" t="str">
            <v>11</v>
          </cell>
          <cell r="J4618" t="str">
            <v>WOOD COATINGS</v>
          </cell>
          <cell r="K4618" t="str">
            <v>1101</v>
          </cell>
          <cell r="L4618" t="str">
            <v>ALKYD OIL</v>
          </cell>
          <cell r="M4618" t="str">
            <v>110102</v>
          </cell>
          <cell r="N4618" t="str">
            <v>STAIN EXTERIOR</v>
          </cell>
        </row>
        <row r="4619">
          <cell r="C4619" t="str">
            <v>100006194</v>
          </cell>
          <cell r="D4619" t="str">
            <v>PST-12200 2K WHITE WASH-C2 SC VN-200LK</v>
          </cell>
          <cell r="E4619" t="str">
            <v>ZFGD</v>
          </cell>
          <cell r="F4619" t="str">
            <v>PC</v>
          </cell>
          <cell r="G4619" t="str">
            <v>1</v>
          </cell>
          <cell r="H4619" t="str">
            <v>INDUSTRY</v>
          </cell>
          <cell r="I4619" t="str">
            <v>11</v>
          </cell>
          <cell r="J4619" t="str">
            <v>WOOD COATINGS</v>
          </cell>
          <cell r="K4619" t="str">
            <v>1101</v>
          </cell>
          <cell r="L4619" t="str">
            <v>ALKYD OIL</v>
          </cell>
          <cell r="M4619" t="str">
            <v>110102</v>
          </cell>
          <cell r="N4619" t="str">
            <v>STAIN EXTERIOR</v>
          </cell>
        </row>
        <row r="4620">
          <cell r="C4620" t="str">
            <v>100006195</v>
          </cell>
          <cell r="D4620" t="str">
            <v>PST-12200 2K WHITE WASH-C3 SC VN-20LJ</v>
          </cell>
          <cell r="E4620" t="str">
            <v>ZFGD</v>
          </cell>
          <cell r="F4620" t="str">
            <v>PC</v>
          </cell>
          <cell r="G4620" t="str">
            <v>1</v>
          </cell>
          <cell r="H4620" t="str">
            <v>INDUSTRY</v>
          </cell>
          <cell r="I4620" t="str">
            <v>11</v>
          </cell>
          <cell r="J4620" t="str">
            <v>WOOD COATINGS</v>
          </cell>
          <cell r="K4620" t="str">
            <v>1101</v>
          </cell>
          <cell r="L4620" t="str">
            <v>ALKYD OIL</v>
          </cell>
          <cell r="M4620" t="str">
            <v>110102</v>
          </cell>
          <cell r="N4620" t="str">
            <v>STAIN EXTERIOR</v>
          </cell>
        </row>
        <row r="4621">
          <cell r="C4621" t="str">
            <v>100006196</v>
          </cell>
          <cell r="D4621" t="str">
            <v>PST-12200 2K WHITE WASH-C3 SC VN-200LK</v>
          </cell>
          <cell r="E4621" t="str">
            <v>ZFGD</v>
          </cell>
          <cell r="F4621" t="str">
            <v>PC</v>
          </cell>
          <cell r="G4621" t="str">
            <v>1</v>
          </cell>
          <cell r="H4621" t="str">
            <v>INDUSTRY</v>
          </cell>
          <cell r="I4621" t="str">
            <v>11</v>
          </cell>
          <cell r="J4621" t="str">
            <v>WOOD COATINGS</v>
          </cell>
          <cell r="K4621" t="str">
            <v>1101</v>
          </cell>
          <cell r="L4621" t="str">
            <v>ALKYD OIL</v>
          </cell>
          <cell r="M4621" t="str">
            <v>110102</v>
          </cell>
          <cell r="N4621" t="str">
            <v>STAIN EXTERIOR</v>
          </cell>
        </row>
        <row r="4622">
          <cell r="C4622" t="str">
            <v>100006197</v>
          </cell>
          <cell r="D4622" t="str">
            <v>NBC-9345-1075AK-20KP</v>
          </cell>
          <cell r="E4622" t="str">
            <v>ZFGD</v>
          </cell>
          <cell r="F4622" t="str">
            <v>PC</v>
          </cell>
          <cell r="G4622" t="str">
            <v>1</v>
          </cell>
          <cell r="H4622" t="str">
            <v>INDUSTRY</v>
          </cell>
          <cell r="I4622" t="str">
            <v>11</v>
          </cell>
          <cell r="J4622" t="str">
            <v>WOOD COATINGS</v>
          </cell>
          <cell r="K4622" t="str">
            <v>1104</v>
          </cell>
          <cell r="L4622" t="str">
            <v>NC</v>
          </cell>
          <cell r="M4622" t="str">
            <v>110403</v>
          </cell>
          <cell r="N4622" t="str">
            <v>ASOF : NC BASE COAT</v>
          </cell>
        </row>
        <row r="4623">
          <cell r="C4623" t="str">
            <v>100006198</v>
          </cell>
          <cell r="D4623" t="str">
            <v>NBC-9345-1075AK-200KB</v>
          </cell>
          <cell r="E4623" t="str">
            <v>ZFGD</v>
          </cell>
          <cell r="F4623" t="str">
            <v>PC</v>
          </cell>
          <cell r="G4623" t="str">
            <v>1</v>
          </cell>
          <cell r="H4623" t="str">
            <v>INDUSTRY</v>
          </cell>
          <cell r="I4623" t="str">
            <v>11</v>
          </cell>
          <cell r="J4623" t="str">
            <v>WOOD COATINGS</v>
          </cell>
          <cell r="K4623" t="str">
            <v>1104</v>
          </cell>
          <cell r="L4623" t="str">
            <v>NC</v>
          </cell>
          <cell r="M4623" t="str">
            <v>110403</v>
          </cell>
          <cell r="N4623" t="str">
            <v>ASOF : NC BASE COAT</v>
          </cell>
        </row>
        <row r="4624">
          <cell r="C4624" t="str">
            <v>100006199</v>
          </cell>
          <cell r="D4624" t="str">
            <v>DP-1221-1075-AK-18KP</v>
          </cell>
          <cell r="E4624" t="str">
            <v>ZFGD</v>
          </cell>
          <cell r="F4624" t="str">
            <v>PC</v>
          </cell>
          <cell r="G4624" t="str">
            <v>1</v>
          </cell>
          <cell r="H4624" t="str">
            <v>INDUSTRY</v>
          </cell>
          <cell r="I4624" t="str">
            <v>11</v>
          </cell>
          <cell r="J4624" t="str">
            <v>WOOD COATINGS</v>
          </cell>
          <cell r="K4624" t="str">
            <v>1104</v>
          </cell>
          <cell r="L4624" t="str">
            <v>NC</v>
          </cell>
          <cell r="M4624" t="str">
            <v>110405</v>
          </cell>
          <cell r="N4624" t="str">
            <v>NC SYSTEM</v>
          </cell>
        </row>
        <row r="4625">
          <cell r="C4625" t="str">
            <v>100006200</v>
          </cell>
          <cell r="D4625" t="str">
            <v>DP-1221-1075-AK-180KB</v>
          </cell>
          <cell r="E4625" t="str">
            <v>ZFGD</v>
          </cell>
          <cell r="F4625" t="str">
            <v>PC</v>
          </cell>
          <cell r="G4625" t="str">
            <v>1</v>
          </cell>
          <cell r="H4625" t="str">
            <v>INDUSTRY</v>
          </cell>
          <cell r="I4625" t="str">
            <v>11</v>
          </cell>
          <cell r="J4625" t="str">
            <v>WOOD COATINGS</v>
          </cell>
          <cell r="K4625" t="str">
            <v>1104</v>
          </cell>
          <cell r="L4625" t="str">
            <v>NC</v>
          </cell>
          <cell r="M4625" t="str">
            <v>110405</v>
          </cell>
          <cell r="N4625" t="str">
            <v>NC SYSTEM</v>
          </cell>
        </row>
        <row r="4626">
          <cell r="C4626" t="str">
            <v>100006201</v>
          </cell>
          <cell r="D4626" t="str">
            <v>PUH-56306 LY SR VN-4L</v>
          </cell>
          <cell r="E4626" t="str">
            <v>ZFGD</v>
          </cell>
          <cell r="F4626" t="str">
            <v>PC</v>
          </cell>
          <cell r="G4626" t="str">
            <v>1</v>
          </cell>
          <cell r="H4626" t="str">
            <v>INDUSTRY</v>
          </cell>
          <cell r="I4626" t="str">
            <v>11</v>
          </cell>
          <cell r="J4626" t="str">
            <v>WOOD COATINGS</v>
          </cell>
          <cell r="K4626" t="str">
            <v>1103</v>
          </cell>
          <cell r="L4626" t="str">
            <v>PU</v>
          </cell>
          <cell r="M4626" t="str">
            <v>110320</v>
          </cell>
          <cell r="N4626" t="str">
            <v>PU HARDENER</v>
          </cell>
        </row>
        <row r="4627">
          <cell r="C4627" t="str">
            <v>100006202</v>
          </cell>
          <cell r="D4627" t="str">
            <v>DP-12132 LY WHITE VN-18KP</v>
          </cell>
          <cell r="E4627" t="str">
            <v>ZFGD</v>
          </cell>
          <cell r="F4627" t="str">
            <v>PC</v>
          </cell>
          <cell r="G4627" t="str">
            <v>1</v>
          </cell>
          <cell r="H4627" t="str">
            <v>INDUSTRY</v>
          </cell>
          <cell r="I4627" t="str">
            <v>11</v>
          </cell>
          <cell r="J4627" t="str">
            <v>WOOD COATINGS</v>
          </cell>
          <cell r="K4627" t="str">
            <v>1104</v>
          </cell>
          <cell r="L4627" t="str">
            <v>NC</v>
          </cell>
          <cell r="M4627" t="str">
            <v>110405</v>
          </cell>
          <cell r="N4627" t="str">
            <v>NC SYSTEM</v>
          </cell>
        </row>
        <row r="4628">
          <cell r="C4628" t="str">
            <v>100006203</v>
          </cell>
          <cell r="D4628" t="str">
            <v>NCSS-11232 LY VN-18KP</v>
          </cell>
          <cell r="E4628" t="str">
            <v>ZFGD</v>
          </cell>
          <cell r="F4628" t="str">
            <v>PC</v>
          </cell>
          <cell r="G4628" t="str">
            <v>1</v>
          </cell>
          <cell r="H4628" t="str">
            <v>INDUSTRY</v>
          </cell>
          <cell r="I4628" t="str">
            <v>11</v>
          </cell>
          <cell r="J4628" t="str">
            <v>WOOD COATINGS</v>
          </cell>
          <cell r="K4628" t="str">
            <v>1104</v>
          </cell>
          <cell r="L4628" t="str">
            <v>NC</v>
          </cell>
          <cell r="M4628" t="str">
            <v>110405</v>
          </cell>
          <cell r="N4628" t="str">
            <v>NC SYSTEM</v>
          </cell>
        </row>
        <row r="4629">
          <cell r="C4629" t="str">
            <v>100006204</v>
          </cell>
          <cell r="D4629" t="str">
            <v>NCL-11332 LY CLEAR 10 VN-18KP</v>
          </cell>
          <cell r="E4629" t="str">
            <v>ZFGD</v>
          </cell>
          <cell r="F4629" t="str">
            <v>PC</v>
          </cell>
          <cell r="G4629" t="str">
            <v>1</v>
          </cell>
          <cell r="H4629" t="str">
            <v>INDUSTRY</v>
          </cell>
          <cell r="I4629" t="str">
            <v>11</v>
          </cell>
          <cell r="J4629" t="str">
            <v>WOOD COATINGS</v>
          </cell>
          <cell r="K4629" t="str">
            <v>1104</v>
          </cell>
          <cell r="L4629" t="str">
            <v>NC</v>
          </cell>
          <cell r="M4629" t="str">
            <v>110405</v>
          </cell>
          <cell r="N4629" t="str">
            <v>NC SYSTEM</v>
          </cell>
        </row>
        <row r="4630">
          <cell r="C4630" t="str">
            <v>100006205</v>
          </cell>
          <cell r="D4630" t="str">
            <v>PCL-31300 BROWN ACA LG VN-16KJ</v>
          </cell>
          <cell r="E4630" t="str">
            <v>ZFGD</v>
          </cell>
          <cell r="F4630" t="str">
            <v>PC</v>
          </cell>
          <cell r="G4630" t="str">
            <v>1</v>
          </cell>
          <cell r="H4630" t="str">
            <v>INDUSTRY</v>
          </cell>
          <cell r="I4630" t="str">
            <v>11</v>
          </cell>
          <cell r="J4630" t="str">
            <v>WOOD COATINGS</v>
          </cell>
          <cell r="K4630" t="str">
            <v>1118</v>
          </cell>
          <cell r="L4630" t="str">
            <v>COMPLEMENTARY</v>
          </cell>
          <cell r="M4630" t="str">
            <v>111807</v>
          </cell>
          <cell r="N4630" t="str">
            <v>PASTA</v>
          </cell>
        </row>
        <row r="4631">
          <cell r="C4631" t="str">
            <v>100006206</v>
          </cell>
          <cell r="D4631" t="str">
            <v>PUP-54106 AC EX BROWN ACA LG VN-20KP</v>
          </cell>
          <cell r="E4631" t="str">
            <v>ZFGD</v>
          </cell>
          <cell r="F4631" t="str">
            <v>PC</v>
          </cell>
          <cell r="G4631" t="str">
            <v>1</v>
          </cell>
          <cell r="H4631" t="str">
            <v>INDUSTRY</v>
          </cell>
          <cell r="I4631" t="str">
            <v>11</v>
          </cell>
          <cell r="J4631" t="str">
            <v>WOOD COATINGS</v>
          </cell>
          <cell r="K4631" t="str">
            <v>1103</v>
          </cell>
          <cell r="L4631" t="str">
            <v>PU</v>
          </cell>
          <cell r="M4631" t="str">
            <v>110322</v>
          </cell>
          <cell r="N4631" t="str">
            <v>PU PRIMER</v>
          </cell>
        </row>
        <row r="4632">
          <cell r="C4632" t="str">
            <v>100006207</v>
          </cell>
          <cell r="D4632" t="str">
            <v>PUC-54205 AC WHT KVHOME 90 SR VN-20KP</v>
          </cell>
          <cell r="E4632" t="str">
            <v>ZFGD</v>
          </cell>
          <cell r="F4632" t="str">
            <v>PC</v>
          </cell>
          <cell r="G4632" t="str">
            <v>1</v>
          </cell>
          <cell r="H4632" t="str">
            <v>INDUSTRY</v>
          </cell>
          <cell r="I4632" t="str">
            <v>11</v>
          </cell>
          <cell r="J4632" t="str">
            <v>WOOD COATINGS</v>
          </cell>
          <cell r="K4632" t="str">
            <v>1103</v>
          </cell>
          <cell r="L4632" t="str">
            <v>PU</v>
          </cell>
          <cell r="M4632" t="str">
            <v>110319</v>
          </cell>
          <cell r="N4632" t="str">
            <v>PU COLOR</v>
          </cell>
        </row>
        <row r="4633">
          <cell r="C4633" t="str">
            <v>100006212</v>
          </cell>
          <cell r="D4633" t="str">
            <v>PUP-54111 AC GRN KAKIHOME SR VN-20KP</v>
          </cell>
          <cell r="E4633" t="str">
            <v>ZFGD</v>
          </cell>
          <cell r="F4633" t="str">
            <v>PC</v>
          </cell>
          <cell r="G4633" t="str">
            <v>1</v>
          </cell>
          <cell r="H4633" t="str">
            <v>INDUSTRY</v>
          </cell>
          <cell r="I4633" t="str">
            <v>11</v>
          </cell>
          <cell r="J4633" t="str">
            <v>WOOD COATINGS</v>
          </cell>
          <cell r="K4633" t="str">
            <v>1103</v>
          </cell>
          <cell r="L4633" t="str">
            <v>PU</v>
          </cell>
          <cell r="M4633" t="str">
            <v>110322</v>
          </cell>
          <cell r="N4633" t="str">
            <v>PU PRIMER</v>
          </cell>
        </row>
        <row r="4634">
          <cell r="C4634" t="str">
            <v>100006213</v>
          </cell>
          <cell r="D4634" t="str">
            <v>PUC-54206 AC EX GRNKAKI 90 SR VN-18KP</v>
          </cell>
          <cell r="E4634" t="str">
            <v>ZFGD</v>
          </cell>
          <cell r="F4634" t="str">
            <v>PC</v>
          </cell>
          <cell r="G4634" t="str">
            <v>1</v>
          </cell>
          <cell r="H4634" t="str">
            <v>INDUSTRY</v>
          </cell>
          <cell r="I4634" t="str">
            <v>11</v>
          </cell>
          <cell r="J4634" t="str">
            <v>WOOD COATINGS</v>
          </cell>
          <cell r="K4634" t="str">
            <v>1103</v>
          </cell>
          <cell r="L4634" t="str">
            <v>PU</v>
          </cell>
          <cell r="M4634" t="str">
            <v>110319</v>
          </cell>
          <cell r="N4634" t="str">
            <v>PU COLOR</v>
          </cell>
        </row>
        <row r="4635">
          <cell r="C4635" t="str">
            <v>100006215</v>
          </cell>
          <cell r="D4635" t="str">
            <v>PUC-54205 AC WHT OVAL T 08 SR VN-20KP</v>
          </cell>
          <cell r="E4635" t="str">
            <v>ZFGD</v>
          </cell>
          <cell r="F4635" t="str">
            <v>PC</v>
          </cell>
          <cell r="G4635" t="str">
            <v>1</v>
          </cell>
          <cell r="H4635" t="str">
            <v>INDUSTRY</v>
          </cell>
          <cell r="I4635" t="str">
            <v>11</v>
          </cell>
          <cell r="J4635" t="str">
            <v>WOOD COATINGS</v>
          </cell>
          <cell r="K4635" t="str">
            <v>1103</v>
          </cell>
          <cell r="L4635" t="str">
            <v>PU</v>
          </cell>
          <cell r="M4635" t="str">
            <v>110319</v>
          </cell>
          <cell r="N4635" t="str">
            <v>PU COLOR</v>
          </cell>
        </row>
        <row r="4636">
          <cell r="C4636" t="str">
            <v>100006216</v>
          </cell>
          <cell r="D4636" t="str">
            <v>UVP-60301 WHITE VN-20KP</v>
          </cell>
          <cell r="E4636" t="str">
            <v>ZFGD</v>
          </cell>
          <cell r="F4636" t="str">
            <v>PC</v>
          </cell>
          <cell r="G4636" t="str">
            <v>1</v>
          </cell>
          <cell r="H4636" t="str">
            <v>INDUSTRY</v>
          </cell>
          <cell r="I4636" t="str">
            <v>11</v>
          </cell>
          <cell r="J4636" t="str">
            <v>WOOD COATINGS</v>
          </cell>
          <cell r="K4636" t="str">
            <v>1106</v>
          </cell>
          <cell r="L4636" t="str">
            <v>UV</v>
          </cell>
          <cell r="M4636" t="str">
            <v>110604</v>
          </cell>
          <cell r="N4636" t="str">
            <v>UV PRIMER</v>
          </cell>
        </row>
        <row r="4637">
          <cell r="C4637" t="str">
            <v>100006217</v>
          </cell>
          <cell r="D4637" t="str">
            <v>SST-11100 BL AQ03 01 F1 VN-16KJ</v>
          </cell>
          <cell r="E4637" t="str">
            <v>ZFGD</v>
          </cell>
          <cell r="F4637" t="str">
            <v>PC</v>
          </cell>
          <cell r="G4637" t="str">
            <v>1</v>
          </cell>
          <cell r="H4637" t="str">
            <v>INDUSTRY</v>
          </cell>
          <cell r="I4637" t="str">
            <v>11</v>
          </cell>
          <cell r="J4637" t="str">
            <v>WOOD COATINGS</v>
          </cell>
          <cell r="K4637" t="str">
            <v>1109</v>
          </cell>
          <cell r="L4637" t="str">
            <v>STAIN &amp; GLAZE INTERIOR</v>
          </cell>
          <cell r="M4637" t="str">
            <v>110903</v>
          </cell>
          <cell r="N4637" t="str">
            <v>STAIN INTERIOR</v>
          </cell>
        </row>
        <row r="4638">
          <cell r="C4638" t="str">
            <v>100006218</v>
          </cell>
          <cell r="D4638" t="str">
            <v>SST-11100 BL AQ03 02 F1 VN-16KJ</v>
          </cell>
          <cell r="E4638" t="str">
            <v>ZFGD</v>
          </cell>
          <cell r="F4638" t="str">
            <v>PC</v>
          </cell>
          <cell r="G4638" t="str">
            <v>1</v>
          </cell>
          <cell r="H4638" t="str">
            <v>INDUSTRY</v>
          </cell>
          <cell r="I4638" t="str">
            <v>11</v>
          </cell>
          <cell r="J4638" t="str">
            <v>WOOD COATINGS</v>
          </cell>
          <cell r="K4638" t="str">
            <v>1109</v>
          </cell>
          <cell r="L4638" t="str">
            <v>STAIN &amp; GLAZE INTERIOR</v>
          </cell>
          <cell r="M4638" t="str">
            <v>110903</v>
          </cell>
          <cell r="N4638" t="str">
            <v>STAIN INTERIOR</v>
          </cell>
        </row>
        <row r="4639">
          <cell r="C4639" t="str">
            <v>100006219</v>
          </cell>
          <cell r="D4639" t="str">
            <v>PST-12100 RED AQ03 F1 VN-16KJ</v>
          </cell>
          <cell r="E4639" t="str">
            <v>ZFGD</v>
          </cell>
          <cell r="F4639" t="str">
            <v>PC</v>
          </cell>
          <cell r="G4639" t="str">
            <v>1</v>
          </cell>
          <cell r="H4639" t="str">
            <v>INDUSTRY</v>
          </cell>
          <cell r="I4639" t="str">
            <v>11</v>
          </cell>
          <cell r="J4639" t="str">
            <v>WOOD COATINGS</v>
          </cell>
          <cell r="K4639" t="str">
            <v>1109</v>
          </cell>
          <cell r="L4639" t="str">
            <v>STAIN &amp; GLAZE INTERIOR</v>
          </cell>
          <cell r="M4639" t="str">
            <v>110903</v>
          </cell>
          <cell r="N4639" t="str">
            <v>STAIN INTERIOR</v>
          </cell>
        </row>
        <row r="4640">
          <cell r="C4640" t="str">
            <v>100006220</v>
          </cell>
          <cell r="D4640" t="str">
            <v>PST-12100 YEL AQ23 01 F1 VN-16KJ</v>
          </cell>
          <cell r="E4640" t="str">
            <v>ZFGD</v>
          </cell>
          <cell r="F4640" t="str">
            <v>PC</v>
          </cell>
          <cell r="G4640" t="str">
            <v>1</v>
          </cell>
          <cell r="H4640" t="str">
            <v>INDUSTRY</v>
          </cell>
          <cell r="I4640" t="str">
            <v>11</v>
          </cell>
          <cell r="J4640" t="str">
            <v>WOOD COATINGS</v>
          </cell>
          <cell r="K4640" t="str">
            <v>1109</v>
          </cell>
          <cell r="L4640" t="str">
            <v>STAIN &amp; GLAZE INTERIOR</v>
          </cell>
          <cell r="M4640" t="str">
            <v>110903</v>
          </cell>
          <cell r="N4640" t="str">
            <v>STAIN INTERIOR</v>
          </cell>
        </row>
        <row r="4641">
          <cell r="C4641" t="str">
            <v>100006221</v>
          </cell>
          <cell r="D4641" t="str">
            <v>PST-12100 YEL AQ23 02 F1 VN-16KJ</v>
          </cell>
          <cell r="E4641" t="str">
            <v>ZFGD</v>
          </cell>
          <cell r="F4641" t="str">
            <v>PC</v>
          </cell>
          <cell r="G4641" t="str">
            <v>1</v>
          </cell>
          <cell r="H4641" t="str">
            <v>INDUSTRY</v>
          </cell>
          <cell r="I4641" t="str">
            <v>11</v>
          </cell>
          <cell r="J4641" t="str">
            <v>WOOD COATINGS</v>
          </cell>
          <cell r="K4641" t="str">
            <v>1109</v>
          </cell>
          <cell r="L4641" t="str">
            <v>STAIN &amp; GLAZE INTERIOR</v>
          </cell>
          <cell r="M4641" t="str">
            <v>110903</v>
          </cell>
          <cell r="N4641" t="str">
            <v>STAIN INTERIOR</v>
          </cell>
        </row>
        <row r="4642">
          <cell r="C4642" t="str">
            <v>100006222</v>
          </cell>
          <cell r="D4642" t="str">
            <v>PST-12100 YEL AQ25 01 F1 VN-16KJ</v>
          </cell>
          <cell r="E4642" t="str">
            <v>ZFGD</v>
          </cell>
          <cell r="F4642" t="str">
            <v>PC</v>
          </cell>
          <cell r="G4642" t="str">
            <v>1</v>
          </cell>
          <cell r="H4642" t="str">
            <v>INDUSTRY</v>
          </cell>
          <cell r="I4642" t="str">
            <v>11</v>
          </cell>
          <cell r="J4642" t="str">
            <v>WOOD COATINGS</v>
          </cell>
          <cell r="K4642" t="str">
            <v>1109</v>
          </cell>
          <cell r="L4642" t="str">
            <v>STAIN &amp; GLAZE INTERIOR</v>
          </cell>
          <cell r="M4642" t="str">
            <v>110903</v>
          </cell>
          <cell r="N4642" t="str">
            <v>STAIN INTERIOR</v>
          </cell>
        </row>
        <row r="4643">
          <cell r="C4643" t="str">
            <v>100006223</v>
          </cell>
          <cell r="D4643" t="str">
            <v>PST-12100 YEL AQ25 02 F1 VN-16KJ</v>
          </cell>
          <cell r="E4643" t="str">
            <v>ZFGD</v>
          </cell>
          <cell r="F4643" t="str">
            <v>PC</v>
          </cell>
          <cell r="G4643" t="str">
            <v>1</v>
          </cell>
          <cell r="H4643" t="str">
            <v>INDUSTRY</v>
          </cell>
          <cell r="I4643" t="str">
            <v>11</v>
          </cell>
          <cell r="J4643" t="str">
            <v>WOOD COATINGS</v>
          </cell>
          <cell r="K4643" t="str">
            <v>1109</v>
          </cell>
          <cell r="L4643" t="str">
            <v>STAIN &amp; GLAZE INTERIOR</v>
          </cell>
          <cell r="M4643" t="str">
            <v>110903</v>
          </cell>
          <cell r="N4643" t="str">
            <v>STAIN INTERIOR</v>
          </cell>
        </row>
        <row r="4644">
          <cell r="C4644" t="str">
            <v>100006224</v>
          </cell>
          <cell r="D4644" t="str">
            <v>TOL-76301 N YEL AQ 02 F1 VN-16KJ</v>
          </cell>
          <cell r="E4644" t="str">
            <v>ZFGD</v>
          </cell>
          <cell r="F4644" t="str">
            <v>PC</v>
          </cell>
          <cell r="G4644" t="str">
            <v>1</v>
          </cell>
          <cell r="H4644" t="str">
            <v>INDUSTRY</v>
          </cell>
          <cell r="I4644" t="str">
            <v>11</v>
          </cell>
          <cell r="J4644" t="str">
            <v>WOOD COATINGS</v>
          </cell>
          <cell r="K4644" t="str">
            <v>1101</v>
          </cell>
          <cell r="L4644" t="str">
            <v>ALKYD OIL</v>
          </cell>
          <cell r="M4644" t="str">
            <v>110101</v>
          </cell>
          <cell r="N4644" t="str">
            <v>ALKYD &amp; OIL SYSTEM</v>
          </cell>
        </row>
        <row r="4645">
          <cell r="C4645" t="str">
            <v>100006225</v>
          </cell>
          <cell r="D4645" t="str">
            <v>SST-11100 BRO AQ04 F1 VN-16KJ</v>
          </cell>
          <cell r="E4645" t="str">
            <v>ZFGD</v>
          </cell>
          <cell r="F4645" t="str">
            <v>PC</v>
          </cell>
          <cell r="G4645" t="str">
            <v>1</v>
          </cell>
          <cell r="H4645" t="str">
            <v>INDUSTRY</v>
          </cell>
          <cell r="I4645" t="str">
            <v>11</v>
          </cell>
          <cell r="J4645" t="str">
            <v>WOOD COATINGS</v>
          </cell>
          <cell r="K4645" t="str">
            <v>1109</v>
          </cell>
          <cell r="L4645" t="str">
            <v>STAIN &amp; GLAZE INTERIOR</v>
          </cell>
          <cell r="M4645" t="str">
            <v>110903</v>
          </cell>
          <cell r="N4645" t="str">
            <v>STAIN INTERIOR</v>
          </cell>
        </row>
        <row r="4646">
          <cell r="C4646" t="str">
            <v>100006226</v>
          </cell>
          <cell r="D4646" t="str">
            <v>SST-11100 BL AQ04 F1 VN-16KJ</v>
          </cell>
          <cell r="E4646" t="str">
            <v>ZFGD</v>
          </cell>
          <cell r="F4646" t="str">
            <v>PC</v>
          </cell>
          <cell r="G4646" t="str">
            <v>1</v>
          </cell>
          <cell r="H4646" t="str">
            <v>INDUSTRY</v>
          </cell>
          <cell r="I4646" t="str">
            <v>11</v>
          </cell>
          <cell r="J4646" t="str">
            <v>WOOD COATINGS</v>
          </cell>
          <cell r="K4646" t="str">
            <v>1109</v>
          </cell>
          <cell r="L4646" t="str">
            <v>STAIN &amp; GLAZE INTERIOR</v>
          </cell>
          <cell r="M4646" t="str">
            <v>110903</v>
          </cell>
          <cell r="N4646" t="str">
            <v>STAIN INTERIOR</v>
          </cell>
        </row>
        <row r="4647">
          <cell r="C4647" t="str">
            <v>100006227</v>
          </cell>
          <cell r="D4647" t="str">
            <v>PST-12100 BRO AQ01 F1 VN-16KJ</v>
          </cell>
          <cell r="E4647" t="str">
            <v>ZFGD</v>
          </cell>
          <cell r="F4647" t="str">
            <v>PC</v>
          </cell>
          <cell r="G4647" t="str">
            <v>1</v>
          </cell>
          <cell r="H4647" t="str">
            <v>INDUSTRY</v>
          </cell>
          <cell r="I4647" t="str">
            <v>11</v>
          </cell>
          <cell r="J4647" t="str">
            <v>WOOD COATINGS</v>
          </cell>
          <cell r="K4647" t="str">
            <v>1109</v>
          </cell>
          <cell r="L4647" t="str">
            <v>STAIN &amp; GLAZE INTERIOR</v>
          </cell>
          <cell r="M4647" t="str">
            <v>110903</v>
          </cell>
          <cell r="N4647" t="str">
            <v>STAIN INTERIOR</v>
          </cell>
        </row>
        <row r="4648">
          <cell r="C4648" t="str">
            <v>100006228</v>
          </cell>
          <cell r="D4648" t="str">
            <v>PST-12100 RED AQ01 F1 VN-16KJ</v>
          </cell>
          <cell r="E4648" t="str">
            <v>ZFGD</v>
          </cell>
          <cell r="F4648" t="str">
            <v>PC</v>
          </cell>
          <cell r="G4648" t="str">
            <v>1</v>
          </cell>
          <cell r="H4648" t="str">
            <v>INDUSTRY</v>
          </cell>
          <cell r="I4648" t="str">
            <v>11</v>
          </cell>
          <cell r="J4648" t="str">
            <v>WOOD COATINGS</v>
          </cell>
          <cell r="K4648" t="str">
            <v>1109</v>
          </cell>
          <cell r="L4648" t="str">
            <v>STAIN &amp; GLAZE INTERIOR</v>
          </cell>
          <cell r="M4648" t="str">
            <v>110903</v>
          </cell>
          <cell r="N4648" t="str">
            <v>STAIN INTERIOR</v>
          </cell>
        </row>
        <row r="4649">
          <cell r="C4649" t="str">
            <v>100006230</v>
          </cell>
          <cell r="D4649" t="str">
            <v>PUC-52239 GREY LSX015 20 TL VN-20KP</v>
          </cell>
          <cell r="E4649" t="str">
            <v>ZFGD</v>
          </cell>
          <cell r="F4649" t="str">
            <v>PC</v>
          </cell>
          <cell r="G4649" t="str">
            <v>1</v>
          </cell>
          <cell r="H4649" t="str">
            <v>INDUSTRY</v>
          </cell>
          <cell r="I4649" t="str">
            <v>11</v>
          </cell>
          <cell r="J4649" t="str">
            <v>WOOD COATINGS</v>
          </cell>
          <cell r="K4649" t="str">
            <v>1103</v>
          </cell>
          <cell r="L4649" t="str">
            <v>PU</v>
          </cell>
          <cell r="M4649" t="str">
            <v>110319</v>
          </cell>
          <cell r="N4649" t="str">
            <v>PU COLOR</v>
          </cell>
        </row>
        <row r="4650">
          <cell r="C4650" t="str">
            <v>100006231</v>
          </cell>
          <cell r="D4650" t="str">
            <v>PUC-52239 BE SW7524 20 TL VN-20KP</v>
          </cell>
          <cell r="E4650" t="str">
            <v>ZFGD</v>
          </cell>
          <cell r="F4650" t="str">
            <v>PC</v>
          </cell>
          <cell r="G4650" t="str">
            <v>1</v>
          </cell>
          <cell r="H4650" t="str">
            <v>INDUSTRY</v>
          </cell>
          <cell r="I4650" t="str">
            <v>11</v>
          </cell>
          <cell r="J4650" t="str">
            <v>WOOD COATINGS</v>
          </cell>
          <cell r="K4650" t="str">
            <v>1103</v>
          </cell>
          <cell r="L4650" t="str">
            <v>PU</v>
          </cell>
          <cell r="M4650" t="str">
            <v>110319</v>
          </cell>
          <cell r="N4650" t="str">
            <v>PU COLOR</v>
          </cell>
        </row>
        <row r="4651">
          <cell r="C4651" t="str">
            <v>100006232</v>
          </cell>
          <cell r="D4651" t="str">
            <v>PUC-54206 AC EX GRN6208 20 TL VN-18KP</v>
          </cell>
          <cell r="E4651" t="str">
            <v>ZFGD</v>
          </cell>
          <cell r="F4651" t="str">
            <v>PC</v>
          </cell>
          <cell r="G4651" t="str">
            <v>1</v>
          </cell>
          <cell r="H4651" t="str">
            <v>INDUSTRY</v>
          </cell>
          <cell r="I4651" t="str">
            <v>11</v>
          </cell>
          <cell r="J4651" t="str">
            <v>WOOD COATINGS</v>
          </cell>
          <cell r="K4651" t="str">
            <v>1103</v>
          </cell>
          <cell r="L4651" t="str">
            <v>PU</v>
          </cell>
          <cell r="M4651" t="str">
            <v>110319</v>
          </cell>
          <cell r="N4651" t="str">
            <v>PU COLOR</v>
          </cell>
        </row>
        <row r="4652">
          <cell r="C4652" t="str">
            <v>100006233</v>
          </cell>
          <cell r="D4652" t="str">
            <v>PUC-54206 AC EX XAM209 20 TL VN-18KP</v>
          </cell>
          <cell r="E4652" t="str">
            <v>ZFGD</v>
          </cell>
          <cell r="F4652" t="str">
            <v>PC</v>
          </cell>
          <cell r="G4652" t="str">
            <v>1</v>
          </cell>
          <cell r="H4652" t="str">
            <v>INDUSTRY</v>
          </cell>
          <cell r="I4652" t="str">
            <v>11</v>
          </cell>
          <cell r="J4652" t="str">
            <v>WOOD COATINGS</v>
          </cell>
          <cell r="K4652" t="str">
            <v>1103</v>
          </cell>
          <cell r="L4652" t="str">
            <v>PU</v>
          </cell>
          <cell r="M4652" t="str">
            <v>110319</v>
          </cell>
          <cell r="N4652" t="str">
            <v>PU COLOR</v>
          </cell>
        </row>
        <row r="4653">
          <cell r="C4653" t="str">
            <v>100006234</v>
          </cell>
          <cell r="D4653" t="str">
            <v>PUP-52141 BLACK RAL7021 TL VN-20KP</v>
          </cell>
          <cell r="E4653" t="str">
            <v>ZFGD</v>
          </cell>
          <cell r="F4653" t="str">
            <v>PC</v>
          </cell>
          <cell r="G4653" t="str">
            <v>1</v>
          </cell>
          <cell r="H4653" t="str">
            <v>INDUSTRY</v>
          </cell>
          <cell r="I4653" t="str">
            <v>11</v>
          </cell>
          <cell r="J4653" t="str">
            <v>WOOD COATINGS</v>
          </cell>
          <cell r="K4653" t="str">
            <v>1103</v>
          </cell>
          <cell r="L4653" t="str">
            <v>PU</v>
          </cell>
          <cell r="M4653" t="str">
            <v>110322</v>
          </cell>
          <cell r="N4653" t="str">
            <v>PU PRIMER</v>
          </cell>
        </row>
        <row r="4654">
          <cell r="C4654" t="str">
            <v>100006235</v>
          </cell>
          <cell r="D4654" t="str">
            <v>PUC-54206 AC EX DEN7021 60 TL VN-18KP</v>
          </cell>
          <cell r="E4654" t="str">
            <v>ZFGD</v>
          </cell>
          <cell r="F4654" t="str">
            <v>PC</v>
          </cell>
          <cell r="G4654" t="str">
            <v>1</v>
          </cell>
          <cell r="H4654" t="str">
            <v>INDUSTRY</v>
          </cell>
          <cell r="I4654" t="str">
            <v>11</v>
          </cell>
          <cell r="J4654" t="str">
            <v>WOOD COATINGS</v>
          </cell>
          <cell r="K4654" t="str">
            <v>1103</v>
          </cell>
          <cell r="L4654" t="str">
            <v>PU</v>
          </cell>
          <cell r="M4654" t="str">
            <v>110319</v>
          </cell>
          <cell r="N4654" t="str">
            <v>PU COLOR</v>
          </cell>
        </row>
        <row r="4655">
          <cell r="C4655" t="str">
            <v>100006236</v>
          </cell>
          <cell r="D4655" t="str">
            <v>PUC-54205 AC WHITE1015 60 TL VN-20KP</v>
          </cell>
          <cell r="E4655" t="str">
            <v>ZFGD</v>
          </cell>
          <cell r="F4655" t="str">
            <v>PC</v>
          </cell>
          <cell r="G4655" t="str">
            <v>1</v>
          </cell>
          <cell r="H4655" t="str">
            <v>INDUSTRY</v>
          </cell>
          <cell r="I4655" t="str">
            <v>11</v>
          </cell>
          <cell r="J4655" t="str">
            <v>WOOD COATINGS</v>
          </cell>
          <cell r="K4655" t="str">
            <v>1103</v>
          </cell>
          <cell r="L4655" t="str">
            <v>PU</v>
          </cell>
          <cell r="M4655" t="str">
            <v>110319</v>
          </cell>
          <cell r="N4655" t="str">
            <v>PU COLOR</v>
          </cell>
        </row>
        <row r="4656">
          <cell r="C4656" t="str">
            <v>100006237</v>
          </cell>
          <cell r="D4656" t="str">
            <v>PUC-54205 AC XAM 9170 60 TL VN-20KP</v>
          </cell>
          <cell r="E4656" t="str">
            <v>ZFGD</v>
          </cell>
          <cell r="F4656" t="str">
            <v>PC</v>
          </cell>
          <cell r="G4656" t="str">
            <v>1</v>
          </cell>
          <cell r="H4656" t="str">
            <v>INDUSTRY</v>
          </cell>
          <cell r="I4656" t="str">
            <v>11</v>
          </cell>
          <cell r="J4656" t="str">
            <v>WOOD COATINGS</v>
          </cell>
          <cell r="K4656" t="str">
            <v>1103</v>
          </cell>
          <cell r="L4656" t="str">
            <v>PU</v>
          </cell>
          <cell r="M4656" t="str">
            <v>110319</v>
          </cell>
          <cell r="N4656" t="str">
            <v>PU COLOR</v>
          </cell>
        </row>
        <row r="4657">
          <cell r="C4657" t="str">
            <v>100006238</v>
          </cell>
          <cell r="D4657" t="str">
            <v>DP-1221-211W-AK-18KP</v>
          </cell>
          <cell r="E4657" t="str">
            <v>ZFGD</v>
          </cell>
          <cell r="F4657" t="str">
            <v>PC</v>
          </cell>
          <cell r="G4657" t="str">
            <v>1</v>
          </cell>
          <cell r="H4657" t="str">
            <v>INDUSTRY</v>
          </cell>
          <cell r="I4657" t="str">
            <v>11</v>
          </cell>
          <cell r="J4657" t="str">
            <v>WOOD COATINGS</v>
          </cell>
          <cell r="K4657" t="str">
            <v>1104</v>
          </cell>
          <cell r="L4657" t="str">
            <v>NC</v>
          </cell>
          <cell r="M4657" t="str">
            <v>110405</v>
          </cell>
          <cell r="N4657" t="str">
            <v>NC SYSTEM</v>
          </cell>
        </row>
        <row r="4658">
          <cell r="C4658" t="str">
            <v>100006239</v>
          </cell>
          <cell r="D4658" t="str">
            <v>DP-1221-211W-AK-180KB</v>
          </cell>
          <cell r="E4658" t="str">
            <v>ZFGD</v>
          </cell>
          <cell r="F4658" t="str">
            <v>PC</v>
          </cell>
          <cell r="G4658" t="str">
            <v>1</v>
          </cell>
          <cell r="H4658" t="str">
            <v>INDUSTRY</v>
          </cell>
          <cell r="I4658" t="str">
            <v>11</v>
          </cell>
          <cell r="J4658" t="str">
            <v>WOOD COATINGS</v>
          </cell>
          <cell r="K4658" t="str">
            <v>1104</v>
          </cell>
          <cell r="L4658" t="str">
            <v>NC</v>
          </cell>
          <cell r="M4658" t="str">
            <v>110405</v>
          </cell>
          <cell r="N4658" t="str">
            <v>NC SYSTEM</v>
          </cell>
        </row>
        <row r="4659">
          <cell r="C4659" t="str">
            <v>100006240</v>
          </cell>
          <cell r="D4659" t="str">
            <v>PUC-54206 AC EX DO 02 90 VHW VN-18KP</v>
          </cell>
          <cell r="E4659" t="str">
            <v>ZFGD</v>
          </cell>
          <cell r="F4659" t="str">
            <v>PC</v>
          </cell>
          <cell r="G4659" t="str">
            <v>1</v>
          </cell>
          <cell r="H4659" t="str">
            <v>INDUSTRY</v>
          </cell>
          <cell r="I4659" t="str">
            <v>11</v>
          </cell>
          <cell r="J4659" t="str">
            <v>WOOD COATINGS</v>
          </cell>
          <cell r="K4659" t="str">
            <v>1103</v>
          </cell>
          <cell r="L4659" t="str">
            <v>PU</v>
          </cell>
          <cell r="M4659" t="str">
            <v>110319</v>
          </cell>
          <cell r="N4659" t="str">
            <v>PU COLOR</v>
          </cell>
        </row>
        <row r="4660">
          <cell r="C4660" t="str">
            <v>100006243</v>
          </cell>
          <cell r="D4660" t="str">
            <v>UVP-60301 XAM 209 TL VN-20KP</v>
          </cell>
          <cell r="E4660" t="str">
            <v>ZFGD</v>
          </cell>
          <cell r="F4660" t="str">
            <v>PC</v>
          </cell>
          <cell r="G4660" t="str">
            <v>1</v>
          </cell>
          <cell r="H4660" t="str">
            <v>INDUSTRY</v>
          </cell>
          <cell r="I4660" t="str">
            <v>11</v>
          </cell>
          <cell r="J4660" t="str">
            <v>WOOD COATINGS</v>
          </cell>
          <cell r="K4660" t="str">
            <v>1106</v>
          </cell>
          <cell r="L4660" t="str">
            <v>UV</v>
          </cell>
          <cell r="M4660" t="str">
            <v>110604</v>
          </cell>
          <cell r="N4660" t="str">
            <v>UV PRIMER</v>
          </cell>
        </row>
        <row r="4661">
          <cell r="C4661" t="str">
            <v>100006244</v>
          </cell>
          <cell r="D4661" t="str">
            <v>DC-12229 LC BLACK 20 YD VN-18KP</v>
          </cell>
          <cell r="E4661" t="str">
            <v>ZFGD</v>
          </cell>
          <cell r="F4661" t="str">
            <v>PC</v>
          </cell>
          <cell r="G4661" t="str">
            <v>1</v>
          </cell>
          <cell r="H4661" t="str">
            <v>INDUSTRY</v>
          </cell>
          <cell r="I4661" t="str">
            <v>11</v>
          </cell>
          <cell r="J4661" t="str">
            <v>WOOD COATINGS</v>
          </cell>
          <cell r="K4661" t="str">
            <v>1104</v>
          </cell>
          <cell r="L4661" t="str">
            <v>NC</v>
          </cell>
          <cell r="M4661" t="str">
            <v>110405</v>
          </cell>
          <cell r="N4661" t="str">
            <v>NC SYSTEM</v>
          </cell>
        </row>
        <row r="4662">
          <cell r="C4662" t="str">
            <v>100006245</v>
          </cell>
          <cell r="D4662" t="str">
            <v>PUL-51339 SR CLEAR 05 VN-18KP</v>
          </cell>
          <cell r="E4662" t="str">
            <v>ZFGD</v>
          </cell>
          <cell r="F4662" t="str">
            <v>PC</v>
          </cell>
          <cell r="G4662" t="str">
            <v>1</v>
          </cell>
          <cell r="H4662" t="str">
            <v>INDUSTRY</v>
          </cell>
          <cell r="I4662" t="str">
            <v>11</v>
          </cell>
          <cell r="J4662" t="str">
            <v>WOOD COATINGS</v>
          </cell>
          <cell r="K4662" t="str">
            <v>1103</v>
          </cell>
          <cell r="L4662" t="str">
            <v>PU</v>
          </cell>
          <cell r="M4662" t="str">
            <v>110321</v>
          </cell>
          <cell r="N4662" t="str">
            <v>PU LACQUER</v>
          </cell>
        </row>
        <row r="4663">
          <cell r="C4663" t="str">
            <v>100006246</v>
          </cell>
          <cell r="D4663" t="str">
            <v>NCL-11332 LY CLEAR 20 VN-18KP</v>
          </cell>
          <cell r="E4663" t="str">
            <v>ZFGD</v>
          </cell>
          <cell r="F4663" t="str">
            <v>PC</v>
          </cell>
          <cell r="G4663" t="str">
            <v>1</v>
          </cell>
          <cell r="H4663" t="str">
            <v>INDUSTRY</v>
          </cell>
          <cell r="I4663" t="str">
            <v>11</v>
          </cell>
          <cell r="J4663" t="str">
            <v>WOOD COATINGS</v>
          </cell>
          <cell r="K4663" t="str">
            <v>1104</v>
          </cell>
          <cell r="L4663" t="str">
            <v>NC</v>
          </cell>
          <cell r="M4663" t="str">
            <v>110405</v>
          </cell>
          <cell r="N4663" t="str">
            <v>NC SYSTEM</v>
          </cell>
        </row>
        <row r="4664">
          <cell r="C4664" t="str">
            <v>100006249</v>
          </cell>
          <cell r="D4664" t="str">
            <v>PUC-54205 AC WHT TITO 08 SR VN-20KP</v>
          </cell>
          <cell r="E4664" t="str">
            <v>ZFGD</v>
          </cell>
          <cell r="F4664" t="str">
            <v>PC</v>
          </cell>
          <cell r="G4664" t="str">
            <v>1</v>
          </cell>
          <cell r="H4664" t="str">
            <v>INDUSTRY</v>
          </cell>
          <cell r="I4664" t="str">
            <v>11</v>
          </cell>
          <cell r="J4664" t="str">
            <v>WOOD COATINGS</v>
          </cell>
          <cell r="K4664" t="str">
            <v>1103</v>
          </cell>
          <cell r="L4664" t="str">
            <v>PU</v>
          </cell>
          <cell r="M4664" t="str">
            <v>110319</v>
          </cell>
          <cell r="N4664" t="str">
            <v>PU COLOR</v>
          </cell>
        </row>
        <row r="4665">
          <cell r="C4665" t="str">
            <v>100006250</v>
          </cell>
          <cell r="D4665" t="str">
            <v>PUC-54206 AC EX YEL MN 05 SR VN-18KP</v>
          </cell>
          <cell r="E4665" t="str">
            <v>ZFGD</v>
          </cell>
          <cell r="F4665" t="str">
            <v>PC</v>
          </cell>
          <cell r="G4665" t="str">
            <v>1</v>
          </cell>
          <cell r="H4665" t="str">
            <v>INDUSTRY</v>
          </cell>
          <cell r="I4665" t="str">
            <v>11</v>
          </cell>
          <cell r="J4665" t="str">
            <v>WOOD COATINGS</v>
          </cell>
          <cell r="K4665" t="str">
            <v>1103</v>
          </cell>
          <cell r="L4665" t="str">
            <v>PU</v>
          </cell>
          <cell r="M4665" t="str">
            <v>110319</v>
          </cell>
          <cell r="N4665" t="str">
            <v>PU COLOR</v>
          </cell>
        </row>
        <row r="4666">
          <cell r="C4666" t="str">
            <v>100006251</v>
          </cell>
          <cell r="D4666" t="str">
            <v>PUC-54206 AC EX GRN MN 05 SR VN-18KP</v>
          </cell>
          <cell r="E4666" t="str">
            <v>ZFGD</v>
          </cell>
          <cell r="F4666" t="str">
            <v>PC</v>
          </cell>
          <cell r="G4666" t="str">
            <v>1</v>
          </cell>
          <cell r="H4666" t="str">
            <v>INDUSTRY</v>
          </cell>
          <cell r="I4666" t="str">
            <v>11</v>
          </cell>
          <cell r="J4666" t="str">
            <v>WOOD COATINGS</v>
          </cell>
          <cell r="K4666" t="str">
            <v>1103</v>
          </cell>
          <cell r="L4666" t="str">
            <v>PU</v>
          </cell>
          <cell r="M4666" t="str">
            <v>110319</v>
          </cell>
          <cell r="N4666" t="str">
            <v>PU COLOR</v>
          </cell>
        </row>
        <row r="4667">
          <cell r="C4667" t="str">
            <v>100006252</v>
          </cell>
          <cell r="D4667" t="str">
            <v>TOL-76301 P YELLOW 01 THH VN-16KJ</v>
          </cell>
          <cell r="E4667" t="str">
            <v>ZFGD</v>
          </cell>
          <cell r="F4667" t="str">
            <v>PC</v>
          </cell>
          <cell r="G4667" t="str">
            <v>1</v>
          </cell>
          <cell r="H4667" t="str">
            <v>INDUSTRY</v>
          </cell>
          <cell r="I4667" t="str">
            <v>11</v>
          </cell>
          <cell r="J4667" t="str">
            <v>WOOD COATINGS</v>
          </cell>
          <cell r="K4667" t="str">
            <v>1101</v>
          </cell>
          <cell r="L4667" t="str">
            <v>ALKYD OIL</v>
          </cell>
          <cell r="M4667" t="str">
            <v>110101</v>
          </cell>
          <cell r="N4667" t="str">
            <v>ALKYD &amp; OIL SYSTEM</v>
          </cell>
        </row>
        <row r="4668">
          <cell r="C4668" t="str">
            <v>100006255</v>
          </cell>
          <cell r="D4668" t="str">
            <v>PUC-54205 AC WHT TIMESD 90 SR VN-20KP</v>
          </cell>
          <cell r="E4668" t="str">
            <v>ZFGD</v>
          </cell>
          <cell r="F4668" t="str">
            <v>PC</v>
          </cell>
          <cell r="G4668" t="str">
            <v>1</v>
          </cell>
          <cell r="H4668" t="str">
            <v>INDUSTRY</v>
          </cell>
          <cell r="I4668" t="str">
            <v>11</v>
          </cell>
          <cell r="J4668" t="str">
            <v>WOOD COATINGS</v>
          </cell>
          <cell r="K4668" t="str">
            <v>1103</v>
          </cell>
          <cell r="L4668" t="str">
            <v>PU</v>
          </cell>
          <cell r="M4668" t="str">
            <v>110319</v>
          </cell>
          <cell r="N4668" t="str">
            <v>PU COLOR</v>
          </cell>
        </row>
        <row r="4669">
          <cell r="C4669" t="str">
            <v>100006256</v>
          </cell>
          <cell r="D4669" t="str">
            <v>PUC-54206 AC EX XAMOLVR 90 SR VN-18KP</v>
          </cell>
          <cell r="E4669" t="str">
            <v>ZFGD</v>
          </cell>
          <cell r="F4669" t="str">
            <v>PC</v>
          </cell>
          <cell r="G4669" t="str">
            <v>1</v>
          </cell>
          <cell r="H4669" t="str">
            <v>INDUSTRY</v>
          </cell>
          <cell r="I4669" t="str">
            <v>11</v>
          </cell>
          <cell r="J4669" t="str">
            <v>WOOD COATINGS</v>
          </cell>
          <cell r="K4669" t="str">
            <v>1103</v>
          </cell>
          <cell r="L4669" t="str">
            <v>PU</v>
          </cell>
          <cell r="M4669" t="str">
            <v>110319</v>
          </cell>
          <cell r="N4669" t="str">
            <v>PU COLOR</v>
          </cell>
        </row>
        <row r="4670">
          <cell r="C4670" t="str">
            <v>100006257</v>
          </cell>
          <cell r="D4670" t="str">
            <v>PUC-54206 AC EX GRN DV 90 SR VN-18KP</v>
          </cell>
          <cell r="E4670" t="str">
            <v>ZFGD</v>
          </cell>
          <cell r="F4670" t="str">
            <v>PC</v>
          </cell>
          <cell r="G4670" t="str">
            <v>1</v>
          </cell>
          <cell r="H4670" t="str">
            <v>INDUSTRY</v>
          </cell>
          <cell r="I4670" t="str">
            <v>11</v>
          </cell>
          <cell r="J4670" t="str">
            <v>WOOD COATINGS</v>
          </cell>
          <cell r="K4670" t="str">
            <v>1103</v>
          </cell>
          <cell r="L4670" t="str">
            <v>PU</v>
          </cell>
          <cell r="M4670" t="str">
            <v>110319</v>
          </cell>
          <cell r="N4670" t="str">
            <v>PU COLOR</v>
          </cell>
        </row>
        <row r="4671">
          <cell r="C4671" t="str">
            <v>100006258</v>
          </cell>
          <cell r="D4671" t="str">
            <v>NBC-9345-2447AK-20KP</v>
          </cell>
          <cell r="E4671" t="str">
            <v>ZFGD</v>
          </cell>
          <cell r="F4671" t="str">
            <v>PC</v>
          </cell>
          <cell r="G4671" t="str">
            <v>1</v>
          </cell>
          <cell r="H4671" t="str">
            <v>INDUSTRY</v>
          </cell>
          <cell r="I4671" t="str">
            <v>11</v>
          </cell>
          <cell r="J4671" t="str">
            <v>WOOD COATINGS</v>
          </cell>
          <cell r="K4671" t="str">
            <v>1104</v>
          </cell>
          <cell r="L4671" t="str">
            <v>NC</v>
          </cell>
          <cell r="M4671" t="str">
            <v>110403</v>
          </cell>
          <cell r="N4671" t="str">
            <v>ASOF : NC BASE COAT</v>
          </cell>
        </row>
        <row r="4672">
          <cell r="C4672" t="str">
            <v>100006259</v>
          </cell>
          <cell r="D4672" t="str">
            <v>NBC-9345-2447AK-200KB</v>
          </cell>
          <cell r="E4672" t="str">
            <v>ZFGD</v>
          </cell>
          <cell r="F4672" t="str">
            <v>PC</v>
          </cell>
          <cell r="G4672" t="str">
            <v>1</v>
          </cell>
          <cell r="H4672" t="str">
            <v>INDUSTRY</v>
          </cell>
          <cell r="I4672" t="str">
            <v>11</v>
          </cell>
          <cell r="J4672" t="str">
            <v>WOOD COATINGS</v>
          </cell>
          <cell r="K4672" t="str">
            <v>1104</v>
          </cell>
          <cell r="L4672" t="str">
            <v>NC</v>
          </cell>
          <cell r="M4672" t="str">
            <v>110403</v>
          </cell>
          <cell r="N4672" t="str">
            <v>ASOF : NC BASE COAT</v>
          </cell>
        </row>
        <row r="4673">
          <cell r="C4673" t="str">
            <v>100006260</v>
          </cell>
          <cell r="D4673" t="str">
            <v>PUC-54205 AC HONG5304 90 VHW VN-20KP</v>
          </cell>
          <cell r="E4673" t="str">
            <v>ZFGD</v>
          </cell>
          <cell r="F4673" t="str">
            <v>PC</v>
          </cell>
          <cell r="G4673" t="str">
            <v>1</v>
          </cell>
          <cell r="H4673" t="str">
            <v>INDUSTRY</v>
          </cell>
          <cell r="I4673" t="str">
            <v>11</v>
          </cell>
          <cell r="J4673" t="str">
            <v>WOOD COATINGS</v>
          </cell>
          <cell r="K4673" t="str">
            <v>1103</v>
          </cell>
          <cell r="L4673" t="str">
            <v>PU</v>
          </cell>
          <cell r="M4673" t="str">
            <v>110319</v>
          </cell>
          <cell r="N4673" t="str">
            <v>PU COLOR</v>
          </cell>
        </row>
        <row r="4674">
          <cell r="C4674" t="str">
            <v>100006261</v>
          </cell>
          <cell r="D4674" t="str">
            <v>PUC-54205 AC WHITE 90 VHW VN-20KP</v>
          </cell>
          <cell r="E4674" t="str">
            <v>ZFGD</v>
          </cell>
          <cell r="F4674" t="str">
            <v>PC</v>
          </cell>
          <cell r="G4674" t="str">
            <v>1</v>
          </cell>
          <cell r="H4674" t="str">
            <v>INDUSTRY</v>
          </cell>
          <cell r="I4674" t="str">
            <v>11</v>
          </cell>
          <cell r="J4674" t="str">
            <v>WOOD COATINGS</v>
          </cell>
          <cell r="K4674" t="str">
            <v>1103</v>
          </cell>
          <cell r="L4674" t="str">
            <v>PU</v>
          </cell>
          <cell r="M4674" t="str">
            <v>110319</v>
          </cell>
          <cell r="N4674" t="str">
            <v>PU COLOR</v>
          </cell>
        </row>
        <row r="4675">
          <cell r="C4675" t="str">
            <v>100006262</v>
          </cell>
          <cell r="D4675" t="str">
            <v>PUC-54206 AC EX GRN0316 90 VHW VN-18KP</v>
          </cell>
          <cell r="E4675" t="str">
            <v>ZFGD</v>
          </cell>
          <cell r="F4675" t="str">
            <v>PC</v>
          </cell>
          <cell r="G4675" t="str">
            <v>1</v>
          </cell>
          <cell r="H4675" t="str">
            <v>INDUSTRY</v>
          </cell>
          <cell r="I4675" t="str">
            <v>11</v>
          </cell>
          <cell r="J4675" t="str">
            <v>WOOD COATINGS</v>
          </cell>
          <cell r="K4675" t="str">
            <v>1103</v>
          </cell>
          <cell r="L4675" t="str">
            <v>PU</v>
          </cell>
          <cell r="M4675" t="str">
            <v>110319</v>
          </cell>
          <cell r="N4675" t="str">
            <v>PU COLOR</v>
          </cell>
        </row>
        <row r="4676">
          <cell r="C4676" t="str">
            <v>100006263</v>
          </cell>
          <cell r="D4676" t="str">
            <v>PUP-52141 GREEN 0316 VHW VN-20KP</v>
          </cell>
          <cell r="E4676" t="str">
            <v>ZFGD</v>
          </cell>
          <cell r="F4676" t="str">
            <v>PC</v>
          </cell>
          <cell r="G4676" t="str">
            <v>1</v>
          </cell>
          <cell r="H4676" t="str">
            <v>INDUSTRY</v>
          </cell>
          <cell r="I4676" t="str">
            <v>11</v>
          </cell>
          <cell r="J4676" t="str">
            <v>WOOD COATINGS</v>
          </cell>
          <cell r="K4676" t="str">
            <v>1103</v>
          </cell>
          <cell r="L4676" t="str">
            <v>PU</v>
          </cell>
          <cell r="M4676" t="str">
            <v>110322</v>
          </cell>
          <cell r="N4676" t="str">
            <v>PU PRIMER</v>
          </cell>
        </row>
        <row r="4677">
          <cell r="C4677" t="str">
            <v>100006264</v>
          </cell>
          <cell r="D4677" t="str">
            <v>NCS-11100 HOT STAMPING-20LP</v>
          </cell>
          <cell r="E4677" t="str">
            <v>ZFGD</v>
          </cell>
          <cell r="F4677" t="str">
            <v>PC</v>
          </cell>
          <cell r="G4677" t="str">
            <v>1</v>
          </cell>
          <cell r="H4677" t="str">
            <v>INDUSTRY</v>
          </cell>
          <cell r="I4677" t="str">
            <v>11</v>
          </cell>
          <cell r="J4677" t="str">
            <v>WOOD COATINGS</v>
          </cell>
          <cell r="K4677" t="str">
            <v>1104</v>
          </cell>
          <cell r="L4677" t="str">
            <v>NC</v>
          </cell>
          <cell r="M4677" t="str">
            <v>110405</v>
          </cell>
          <cell r="N4677" t="str">
            <v>NC SYSTEM</v>
          </cell>
        </row>
        <row r="4678">
          <cell r="C4678" t="str">
            <v>100006278</v>
          </cell>
          <cell r="D4678" t="str">
            <v>PRCC-40233 GOLD LACQUER SDW VN-18KP</v>
          </cell>
          <cell r="E4678" t="str">
            <v>ZFGD</v>
          </cell>
          <cell r="F4678" t="str">
            <v>PC</v>
          </cell>
          <cell r="G4678" t="str">
            <v>1</v>
          </cell>
          <cell r="H4678" t="str">
            <v>INDUSTRY</v>
          </cell>
          <cell r="I4678" t="str">
            <v>12</v>
          </cell>
          <cell r="J4678" t="str">
            <v>CAN COATINGS</v>
          </cell>
          <cell r="K4678" t="str">
            <v>1201</v>
          </cell>
          <cell r="L4678" t="str">
            <v>CAN COATINGS</v>
          </cell>
          <cell r="M4678" t="str">
            <v>120101</v>
          </cell>
          <cell r="N4678" t="str">
            <v>CAN COATINGS</v>
          </cell>
        </row>
        <row r="4679">
          <cell r="C4679" t="str">
            <v>100006279</v>
          </cell>
          <cell r="D4679" t="str">
            <v>PCL-31300 YEL DISCO 18 F1 VN-16KJ</v>
          </cell>
          <cell r="E4679" t="str">
            <v>ZFGD</v>
          </cell>
          <cell r="F4679" t="str">
            <v>PC</v>
          </cell>
          <cell r="G4679" t="str">
            <v>1</v>
          </cell>
          <cell r="H4679" t="str">
            <v>INDUSTRY</v>
          </cell>
          <cell r="I4679" t="str">
            <v>11</v>
          </cell>
          <cell r="J4679" t="str">
            <v>WOOD COATINGS</v>
          </cell>
          <cell r="K4679" t="str">
            <v>1118</v>
          </cell>
          <cell r="L4679" t="str">
            <v>COMPLEMENTARY</v>
          </cell>
          <cell r="M4679" t="str">
            <v>111807</v>
          </cell>
          <cell r="N4679" t="str">
            <v>PASTA</v>
          </cell>
        </row>
        <row r="4680">
          <cell r="C4680" t="str">
            <v>100006280</v>
          </cell>
          <cell r="D4680" t="str">
            <v>PCL-31300 RED DISCO 18 F1 VN-16KJ</v>
          </cell>
          <cell r="E4680" t="str">
            <v>ZFGD</v>
          </cell>
          <cell r="F4680" t="str">
            <v>PC</v>
          </cell>
          <cell r="G4680" t="str">
            <v>1</v>
          </cell>
          <cell r="H4680" t="str">
            <v>INDUSTRY</v>
          </cell>
          <cell r="I4680" t="str">
            <v>11</v>
          </cell>
          <cell r="J4680" t="str">
            <v>WOOD COATINGS</v>
          </cell>
          <cell r="K4680" t="str">
            <v>1118</v>
          </cell>
          <cell r="L4680" t="str">
            <v>COMPLEMENTARY</v>
          </cell>
          <cell r="M4680" t="str">
            <v>111807</v>
          </cell>
          <cell r="N4680" t="str">
            <v>PASTA</v>
          </cell>
        </row>
        <row r="4681">
          <cell r="C4681" t="str">
            <v>100006281</v>
          </cell>
          <cell r="D4681" t="str">
            <v>NBC-9345-2437AK-20KP</v>
          </cell>
          <cell r="E4681" t="str">
            <v>ZFGD</v>
          </cell>
          <cell r="F4681" t="str">
            <v>PC</v>
          </cell>
          <cell r="G4681" t="str">
            <v>1</v>
          </cell>
          <cell r="H4681" t="str">
            <v>INDUSTRY</v>
          </cell>
          <cell r="I4681" t="str">
            <v>11</v>
          </cell>
          <cell r="J4681" t="str">
            <v>WOOD COATINGS</v>
          </cell>
          <cell r="K4681" t="str">
            <v>1104</v>
          </cell>
          <cell r="L4681" t="str">
            <v>NC</v>
          </cell>
          <cell r="M4681" t="str">
            <v>110403</v>
          </cell>
          <cell r="N4681" t="str">
            <v>ASOF : NC BASE COAT</v>
          </cell>
        </row>
        <row r="4682">
          <cell r="C4682" t="str">
            <v>100006282</v>
          </cell>
          <cell r="D4682" t="str">
            <v>NBC-9345-2437AK-200KB</v>
          </cell>
          <cell r="E4682" t="str">
            <v>ZFGD</v>
          </cell>
          <cell r="F4682" t="str">
            <v>PC</v>
          </cell>
          <cell r="G4682" t="str">
            <v>1</v>
          </cell>
          <cell r="H4682" t="str">
            <v>INDUSTRY</v>
          </cell>
          <cell r="I4682" t="str">
            <v>11</v>
          </cell>
          <cell r="J4682" t="str">
            <v>WOOD COATINGS</v>
          </cell>
          <cell r="K4682" t="str">
            <v>1104</v>
          </cell>
          <cell r="L4682" t="str">
            <v>NC</v>
          </cell>
          <cell r="M4682" t="str">
            <v>110403</v>
          </cell>
          <cell r="N4682" t="str">
            <v>ASOF : NC BASE COAT</v>
          </cell>
        </row>
        <row r="4683">
          <cell r="C4683" t="str">
            <v>100006293</v>
          </cell>
          <cell r="D4683" t="str">
            <v>PRCC-40233 GOLD LACQUER CT VN-180KK</v>
          </cell>
          <cell r="E4683" t="str">
            <v>ZFGD</v>
          </cell>
          <cell r="F4683" t="str">
            <v>PC</v>
          </cell>
          <cell r="G4683" t="str">
            <v>1</v>
          </cell>
          <cell r="H4683" t="str">
            <v>INDUSTRY</v>
          </cell>
          <cell r="I4683" t="str">
            <v>12</v>
          </cell>
          <cell r="J4683" t="str">
            <v>CAN COATINGS</v>
          </cell>
          <cell r="K4683" t="str">
            <v>1201</v>
          </cell>
          <cell r="L4683" t="str">
            <v>CAN COATINGS</v>
          </cell>
          <cell r="M4683" t="str">
            <v>120101</v>
          </cell>
          <cell r="N4683" t="str">
            <v>CAN COATINGS</v>
          </cell>
        </row>
        <row r="4684">
          <cell r="C4684" t="str">
            <v>100006294</v>
          </cell>
          <cell r="D4684" t="str">
            <v>PRCC-40102 HV BLACK MIDEA CT VN-200KK</v>
          </cell>
          <cell r="E4684" t="str">
            <v>ZFGD</v>
          </cell>
          <cell r="F4684" t="str">
            <v>PC</v>
          </cell>
          <cell r="G4684" t="str">
            <v>1</v>
          </cell>
          <cell r="H4684" t="str">
            <v>INDUSTRY</v>
          </cell>
          <cell r="I4684" t="str">
            <v>12</v>
          </cell>
          <cell r="J4684" t="str">
            <v>CAN COATINGS</v>
          </cell>
          <cell r="K4684" t="str">
            <v>1201</v>
          </cell>
          <cell r="L4684" t="str">
            <v>CAN COATINGS</v>
          </cell>
          <cell r="M4684" t="str">
            <v>120101</v>
          </cell>
          <cell r="N4684" t="str">
            <v>CAN COATINGS</v>
          </cell>
        </row>
        <row r="4685">
          <cell r="C4685" t="str">
            <v>100006295</v>
          </cell>
          <cell r="D4685" t="str">
            <v>PUC-54205 AC GREY 26 08 BOH VN-20KP</v>
          </cell>
          <cell r="E4685" t="str">
            <v>ZFGD</v>
          </cell>
          <cell r="F4685" t="str">
            <v>PC</v>
          </cell>
          <cell r="G4685" t="str">
            <v>1</v>
          </cell>
          <cell r="H4685" t="str">
            <v>INDUSTRY</v>
          </cell>
          <cell r="I4685" t="str">
            <v>11</v>
          </cell>
          <cell r="J4685" t="str">
            <v>WOOD COATINGS</v>
          </cell>
          <cell r="K4685" t="str">
            <v>1103</v>
          </cell>
          <cell r="L4685" t="str">
            <v>PU</v>
          </cell>
          <cell r="M4685" t="str">
            <v>110319</v>
          </cell>
          <cell r="N4685" t="str">
            <v>PU COLOR</v>
          </cell>
        </row>
        <row r="4686">
          <cell r="C4686" t="str">
            <v>100006296</v>
          </cell>
          <cell r="D4686" t="str">
            <v>PUC-54205 AC WHT WD01 30 TTH VN-20KP</v>
          </cell>
          <cell r="E4686" t="str">
            <v>ZFGD</v>
          </cell>
          <cell r="F4686" t="str">
            <v>PC</v>
          </cell>
          <cell r="G4686" t="str">
            <v>1</v>
          </cell>
          <cell r="H4686" t="str">
            <v>INDUSTRY</v>
          </cell>
          <cell r="I4686" t="str">
            <v>11</v>
          </cell>
          <cell r="J4686" t="str">
            <v>WOOD COATINGS</v>
          </cell>
          <cell r="K4686" t="str">
            <v>1103</v>
          </cell>
          <cell r="L4686" t="str">
            <v>PU</v>
          </cell>
          <cell r="M4686" t="str">
            <v>110319</v>
          </cell>
          <cell r="N4686" t="str">
            <v>PU COLOR</v>
          </cell>
        </row>
        <row r="4687">
          <cell r="C4687" t="str">
            <v>100006297</v>
          </cell>
          <cell r="D4687" t="str">
            <v>PUC-54206 AC EX GRNWD02 30 TTH VN-18KP</v>
          </cell>
          <cell r="E4687" t="str">
            <v>ZFGD</v>
          </cell>
          <cell r="F4687" t="str">
            <v>PC</v>
          </cell>
          <cell r="G4687" t="str">
            <v>1</v>
          </cell>
          <cell r="H4687" t="str">
            <v>INDUSTRY</v>
          </cell>
          <cell r="I4687" t="str">
            <v>11</v>
          </cell>
          <cell r="J4687" t="str">
            <v>WOOD COATINGS</v>
          </cell>
          <cell r="K4687" t="str">
            <v>1103</v>
          </cell>
          <cell r="L4687" t="str">
            <v>PU</v>
          </cell>
          <cell r="M4687" t="str">
            <v>110319</v>
          </cell>
          <cell r="N4687" t="str">
            <v>PU COLOR</v>
          </cell>
        </row>
        <row r="4688">
          <cell r="C4688" t="str">
            <v>100006298</v>
          </cell>
          <cell r="D4688" t="str">
            <v>DC-12207 GREY TRF 10 K1 VN-18KP</v>
          </cell>
          <cell r="E4688" t="str">
            <v>ZFGD</v>
          </cell>
          <cell r="F4688" t="str">
            <v>PC</v>
          </cell>
          <cell r="G4688" t="str">
            <v>1</v>
          </cell>
          <cell r="H4688" t="str">
            <v>INDUSTRY</v>
          </cell>
          <cell r="I4688" t="str">
            <v>11</v>
          </cell>
          <cell r="J4688" t="str">
            <v>WOOD COATINGS</v>
          </cell>
          <cell r="K4688" t="str">
            <v>1104</v>
          </cell>
          <cell r="L4688" t="str">
            <v>NC</v>
          </cell>
          <cell r="M4688" t="str">
            <v>110405</v>
          </cell>
          <cell r="N4688" t="str">
            <v>NC SYSTEM</v>
          </cell>
        </row>
        <row r="4689">
          <cell r="C4689" t="str">
            <v>100006299</v>
          </cell>
          <cell r="D4689" t="str">
            <v>SST-11100 PO458 01 KD VN-16KJ</v>
          </cell>
          <cell r="E4689" t="str">
            <v>ZFGD</v>
          </cell>
          <cell r="F4689" t="str">
            <v>PC</v>
          </cell>
          <cell r="G4689" t="str">
            <v>1</v>
          </cell>
          <cell r="H4689" t="str">
            <v>INDUSTRY</v>
          </cell>
          <cell r="I4689" t="str">
            <v>11</v>
          </cell>
          <cell r="J4689" t="str">
            <v>WOOD COATINGS</v>
          </cell>
          <cell r="K4689" t="str">
            <v>1109</v>
          </cell>
          <cell r="L4689" t="str">
            <v>STAIN &amp; GLAZE INTERIOR</v>
          </cell>
          <cell r="M4689" t="str">
            <v>110903</v>
          </cell>
          <cell r="N4689" t="str">
            <v>STAIN INTERIOR</v>
          </cell>
        </row>
        <row r="4690">
          <cell r="C4690" t="str">
            <v>100006300</v>
          </cell>
          <cell r="D4690" t="str">
            <v>SST-11100 PO458 02 KD VN-16KJ</v>
          </cell>
          <cell r="E4690" t="str">
            <v>ZFGD</v>
          </cell>
          <cell r="F4690" t="str">
            <v>PC</v>
          </cell>
          <cell r="G4690" t="str">
            <v>1</v>
          </cell>
          <cell r="H4690" t="str">
            <v>INDUSTRY</v>
          </cell>
          <cell r="I4690" t="str">
            <v>11</v>
          </cell>
          <cell r="J4690" t="str">
            <v>WOOD COATINGS</v>
          </cell>
          <cell r="K4690" t="str">
            <v>1109</v>
          </cell>
          <cell r="L4690" t="str">
            <v>STAIN &amp; GLAZE INTERIOR</v>
          </cell>
          <cell r="M4690" t="str">
            <v>110903</v>
          </cell>
          <cell r="N4690" t="str">
            <v>STAIN INTERIOR</v>
          </cell>
        </row>
        <row r="4691">
          <cell r="C4691" t="str">
            <v>100006301</v>
          </cell>
          <cell r="D4691" t="str">
            <v>TOL-76301 N 2C-04 F1 VN-160KK</v>
          </cell>
          <cell r="E4691" t="str">
            <v>ZFGD</v>
          </cell>
          <cell r="F4691" t="str">
            <v>PC</v>
          </cell>
          <cell r="G4691" t="str">
            <v>1</v>
          </cell>
          <cell r="H4691" t="str">
            <v>INDUSTRY</v>
          </cell>
          <cell r="I4691" t="str">
            <v>11</v>
          </cell>
          <cell r="J4691" t="str">
            <v>WOOD COATINGS</v>
          </cell>
          <cell r="K4691" t="str">
            <v>1101</v>
          </cell>
          <cell r="L4691" t="str">
            <v>ALKYD OIL</v>
          </cell>
          <cell r="M4691" t="str">
            <v>110101</v>
          </cell>
          <cell r="N4691" t="str">
            <v>ALKYD &amp; OIL SYSTEM</v>
          </cell>
        </row>
        <row r="4692">
          <cell r="C4692" t="str">
            <v>100006304</v>
          </cell>
          <cell r="D4692" t="str">
            <v>THNC-52 VN-20LJ</v>
          </cell>
          <cell r="E4692" t="str">
            <v>ZFGD</v>
          </cell>
          <cell r="F4692" t="str">
            <v>PC</v>
          </cell>
          <cell r="G4692" t="str">
            <v>1</v>
          </cell>
          <cell r="H4692" t="str">
            <v>INDUSTRY</v>
          </cell>
          <cell r="I4692" t="str">
            <v>14</v>
          </cell>
          <cell r="J4692" t="str">
            <v>THINNER</v>
          </cell>
          <cell r="K4692" t="str">
            <v>1412</v>
          </cell>
          <cell r="L4692" t="str">
            <v>THINNER NC</v>
          </cell>
          <cell r="M4692" t="str">
            <v>141205</v>
          </cell>
          <cell r="N4692" t="str">
            <v>THINNER NC</v>
          </cell>
        </row>
        <row r="4693">
          <cell r="C4693" t="str">
            <v>100006305</v>
          </cell>
          <cell r="D4693" t="str">
            <v>THNC-52 VN-200LK</v>
          </cell>
          <cell r="E4693" t="str">
            <v>ZFGD</v>
          </cell>
          <cell r="F4693" t="str">
            <v>PC</v>
          </cell>
          <cell r="G4693" t="str">
            <v>1</v>
          </cell>
          <cell r="H4693" t="str">
            <v>INDUSTRY</v>
          </cell>
          <cell r="I4693" t="str">
            <v>14</v>
          </cell>
          <cell r="J4693" t="str">
            <v>THINNER</v>
          </cell>
          <cell r="K4693" t="str">
            <v>1412</v>
          </cell>
          <cell r="L4693" t="str">
            <v>THINNER NC</v>
          </cell>
          <cell r="M4693" t="str">
            <v>141205</v>
          </cell>
          <cell r="N4693" t="str">
            <v>THINNER NC</v>
          </cell>
        </row>
        <row r="4694">
          <cell r="C4694" t="str">
            <v>100006306</v>
          </cell>
          <cell r="D4694" t="str">
            <v>PRCC-40102 HV GOLD YANKEE CT VN-20KP</v>
          </cell>
          <cell r="E4694" t="str">
            <v>ZFGD</v>
          </cell>
          <cell r="F4694" t="str">
            <v>PC</v>
          </cell>
          <cell r="G4694" t="str">
            <v>1</v>
          </cell>
          <cell r="H4694" t="str">
            <v>INDUSTRY</v>
          </cell>
          <cell r="I4694" t="str">
            <v>12</v>
          </cell>
          <cell r="J4694" t="str">
            <v>CAN COATINGS</v>
          </cell>
          <cell r="K4694" t="str">
            <v>1201</v>
          </cell>
          <cell r="L4694" t="str">
            <v>CAN COATINGS</v>
          </cell>
          <cell r="M4694" t="str">
            <v>120101</v>
          </cell>
          <cell r="N4694" t="str">
            <v>CAN COATINGS</v>
          </cell>
        </row>
        <row r="4695">
          <cell r="C4695" t="str">
            <v>100006307</v>
          </cell>
          <cell r="D4695" t="str">
            <v>PRCC-40102 HV GOLD YANKEE CT VN-200KK</v>
          </cell>
          <cell r="E4695" t="str">
            <v>ZFGD</v>
          </cell>
          <cell r="F4695" t="str">
            <v>PC</v>
          </cell>
          <cell r="G4695" t="str">
            <v>1</v>
          </cell>
          <cell r="H4695" t="str">
            <v>INDUSTRY</v>
          </cell>
          <cell r="I4695" t="str">
            <v>12</v>
          </cell>
          <cell r="J4695" t="str">
            <v>CAN COATINGS</v>
          </cell>
          <cell r="K4695" t="str">
            <v>1201</v>
          </cell>
          <cell r="L4695" t="str">
            <v>CAN COATINGS</v>
          </cell>
          <cell r="M4695" t="str">
            <v>120101</v>
          </cell>
          <cell r="N4695" t="str">
            <v>CAN COATINGS</v>
          </cell>
        </row>
        <row r="4696">
          <cell r="C4696" t="str">
            <v>100006308</v>
          </cell>
          <cell r="D4696" t="str">
            <v>TOL-76301 N YEL VEN HLP VN-16KJ</v>
          </cell>
          <cell r="E4696" t="str">
            <v>ZFGD</v>
          </cell>
          <cell r="F4696" t="str">
            <v>PC</v>
          </cell>
          <cell r="G4696" t="str">
            <v>1</v>
          </cell>
          <cell r="H4696" t="str">
            <v>INDUSTRY</v>
          </cell>
          <cell r="I4696" t="str">
            <v>11</v>
          </cell>
          <cell r="J4696" t="str">
            <v>WOOD COATINGS</v>
          </cell>
          <cell r="K4696" t="str">
            <v>1101</v>
          </cell>
          <cell r="L4696" t="str">
            <v>ALKYD OIL</v>
          </cell>
          <cell r="M4696" t="str">
            <v>110101</v>
          </cell>
          <cell r="N4696" t="str">
            <v>ALKYD &amp; OIL SYSTEM</v>
          </cell>
        </row>
        <row r="4697">
          <cell r="C4697" t="str">
            <v>100006309</v>
          </cell>
          <cell r="D4697" t="str">
            <v>DP-12129 LC BROWN 458B KD VN-18KP</v>
          </cell>
          <cell r="E4697" t="str">
            <v>ZFGD</v>
          </cell>
          <cell r="F4697" t="str">
            <v>PC</v>
          </cell>
          <cell r="G4697" t="str">
            <v>1</v>
          </cell>
          <cell r="H4697" t="str">
            <v>INDUSTRY</v>
          </cell>
          <cell r="I4697" t="str">
            <v>11</v>
          </cell>
          <cell r="J4697" t="str">
            <v>WOOD COATINGS</v>
          </cell>
          <cell r="K4697" t="str">
            <v>1104</v>
          </cell>
          <cell r="L4697" t="str">
            <v>NC</v>
          </cell>
          <cell r="M4697" t="str">
            <v>110405</v>
          </cell>
          <cell r="N4697" t="str">
            <v>NC SYSTEM</v>
          </cell>
        </row>
        <row r="4698">
          <cell r="C4698" t="str">
            <v>100006310</v>
          </cell>
          <cell r="D4698" t="str">
            <v>TOL-76301 N YEL VEN HLP VN-160KK</v>
          </cell>
          <cell r="E4698" t="str">
            <v>ZFGD</v>
          </cell>
          <cell r="F4698" t="str">
            <v>PC</v>
          </cell>
          <cell r="G4698" t="str">
            <v>1</v>
          </cell>
          <cell r="H4698" t="str">
            <v>INDUSTRY</v>
          </cell>
          <cell r="I4698" t="str">
            <v>11</v>
          </cell>
          <cell r="J4698" t="str">
            <v>WOOD COATINGS</v>
          </cell>
          <cell r="K4698" t="str">
            <v>1101</v>
          </cell>
          <cell r="L4698" t="str">
            <v>ALKYD OIL</v>
          </cell>
          <cell r="M4698" t="str">
            <v>110101</v>
          </cell>
          <cell r="N4698" t="str">
            <v>ALKYD &amp; OIL SYSTEM</v>
          </cell>
        </row>
        <row r="4699">
          <cell r="C4699" t="str">
            <v>100006315</v>
          </cell>
          <cell r="D4699" t="str">
            <v>PCA-31100 YELLOW OKER PASTE AK VN-4K</v>
          </cell>
          <cell r="E4699" t="str">
            <v>ZFGD</v>
          </cell>
          <cell r="F4699" t="str">
            <v>PC</v>
          </cell>
          <cell r="G4699" t="str">
            <v>1</v>
          </cell>
          <cell r="H4699" t="str">
            <v>INDUSTRY</v>
          </cell>
          <cell r="I4699" t="str">
            <v>11</v>
          </cell>
          <cell r="J4699" t="str">
            <v>WOOD COATINGS</v>
          </cell>
          <cell r="K4699" t="str">
            <v>1118</v>
          </cell>
          <cell r="L4699" t="str">
            <v>COMPLEMENTARY</v>
          </cell>
          <cell r="M4699" t="str">
            <v>111807</v>
          </cell>
          <cell r="N4699" t="str">
            <v>PASTA</v>
          </cell>
        </row>
        <row r="4700">
          <cell r="C4700" t="str">
            <v>100006316</v>
          </cell>
          <cell r="D4700" t="str">
            <v>WBL-63220 BROWN 2C01 N F1 VN-150KB</v>
          </cell>
          <cell r="E4700" t="str">
            <v>ZFGD</v>
          </cell>
          <cell r="F4700" t="str">
            <v>PC</v>
          </cell>
          <cell r="G4700" t="str">
            <v>1</v>
          </cell>
          <cell r="H4700" t="str">
            <v>INDUSTRY</v>
          </cell>
          <cell r="I4700" t="str">
            <v>11</v>
          </cell>
          <cell r="J4700" t="str">
            <v>WOOD COATINGS</v>
          </cell>
          <cell r="K4700" t="str">
            <v>1119</v>
          </cell>
          <cell r="L4700" t="str">
            <v>WATERBASED</v>
          </cell>
          <cell r="M4700" t="str">
            <v>111901</v>
          </cell>
          <cell r="N4700" t="str">
            <v>WATERBASED SYSTEM EXTERIOR</v>
          </cell>
        </row>
        <row r="4701">
          <cell r="C4701" t="str">
            <v>100006317</v>
          </cell>
          <cell r="D4701" t="str">
            <v>WBL-63220 BLACK 2C01 F1 VN-150KB</v>
          </cell>
          <cell r="E4701" t="str">
            <v>ZFGD</v>
          </cell>
          <cell r="F4701" t="str">
            <v>PC</v>
          </cell>
          <cell r="G4701" t="str">
            <v>1</v>
          </cell>
          <cell r="H4701" t="str">
            <v>INDUSTRY</v>
          </cell>
          <cell r="I4701" t="str">
            <v>11</v>
          </cell>
          <cell r="J4701" t="str">
            <v>WOOD COATINGS</v>
          </cell>
          <cell r="K4701" t="str">
            <v>1119</v>
          </cell>
          <cell r="L4701" t="str">
            <v>WATERBASED</v>
          </cell>
          <cell r="M4701" t="str">
            <v>111901</v>
          </cell>
          <cell r="N4701" t="str">
            <v>WATERBASED SYSTEM EXTERIOR</v>
          </cell>
        </row>
        <row r="4702">
          <cell r="C4702" t="str">
            <v>100006318</v>
          </cell>
          <cell r="D4702" t="str">
            <v>WBL-63230 EX 2C VN-18KP</v>
          </cell>
          <cell r="E4702" t="str">
            <v>ZFGD</v>
          </cell>
          <cell r="F4702" t="str">
            <v>PC</v>
          </cell>
          <cell r="G4702" t="str">
            <v>1</v>
          </cell>
          <cell r="H4702" t="str">
            <v>INDUSTRY</v>
          </cell>
          <cell r="I4702" t="str">
            <v>11</v>
          </cell>
          <cell r="J4702" t="str">
            <v>WOOD COATINGS</v>
          </cell>
          <cell r="K4702" t="str">
            <v>1119</v>
          </cell>
          <cell r="L4702" t="str">
            <v>WATERBASED</v>
          </cell>
          <cell r="M4702" t="str">
            <v>111901</v>
          </cell>
          <cell r="N4702" t="str">
            <v>WATERBASED SYSTEM EXTERIOR</v>
          </cell>
        </row>
        <row r="4703">
          <cell r="C4703" t="str">
            <v>100006319</v>
          </cell>
          <cell r="D4703" t="str">
            <v>WBL-63230 EX 2C VN-150KB</v>
          </cell>
          <cell r="E4703" t="str">
            <v>ZFGD</v>
          </cell>
          <cell r="F4703" t="str">
            <v>PC</v>
          </cell>
          <cell r="G4703" t="str">
            <v>1</v>
          </cell>
          <cell r="H4703" t="str">
            <v>INDUSTRY</v>
          </cell>
          <cell r="I4703" t="str">
            <v>11</v>
          </cell>
          <cell r="J4703" t="str">
            <v>WOOD COATINGS</v>
          </cell>
          <cell r="K4703" t="str">
            <v>1119</v>
          </cell>
          <cell r="L4703" t="str">
            <v>WATERBASED</v>
          </cell>
          <cell r="M4703" t="str">
            <v>111901</v>
          </cell>
          <cell r="N4703" t="str">
            <v>WATERBASED SYSTEM EXTERIOR</v>
          </cell>
        </row>
        <row r="4704">
          <cell r="C4704" t="str">
            <v>100006320</v>
          </cell>
          <cell r="D4704" t="str">
            <v>WBP-64130 EX 2C-W.WASH VN-18KP</v>
          </cell>
          <cell r="E4704" t="str">
            <v>ZFGD</v>
          </cell>
          <cell r="F4704" t="str">
            <v>PC</v>
          </cell>
          <cell r="G4704" t="str">
            <v>1</v>
          </cell>
          <cell r="H4704" t="str">
            <v>INDUSTRY</v>
          </cell>
          <cell r="I4704" t="str">
            <v>11</v>
          </cell>
          <cell r="J4704" t="str">
            <v>WOOD COATINGS</v>
          </cell>
          <cell r="K4704" t="str">
            <v>1119</v>
          </cell>
          <cell r="L4704" t="str">
            <v>WATERBASED</v>
          </cell>
          <cell r="M4704" t="str">
            <v>111901</v>
          </cell>
          <cell r="N4704" t="str">
            <v>WATERBASED SYSTEM EXTERIOR</v>
          </cell>
        </row>
        <row r="4705">
          <cell r="C4705" t="str">
            <v>100006321</v>
          </cell>
          <cell r="D4705" t="str">
            <v>WBP-64130 EX 2C-W.WASH VN-150KB</v>
          </cell>
          <cell r="E4705" t="str">
            <v>ZFGD</v>
          </cell>
          <cell r="F4705" t="str">
            <v>PC</v>
          </cell>
          <cell r="G4705" t="str">
            <v>1</v>
          </cell>
          <cell r="H4705" t="str">
            <v>INDUSTRY</v>
          </cell>
          <cell r="I4705" t="str">
            <v>11</v>
          </cell>
          <cell r="J4705" t="str">
            <v>WOOD COATINGS</v>
          </cell>
          <cell r="K4705" t="str">
            <v>1119</v>
          </cell>
          <cell r="L4705" t="str">
            <v>WATERBASED</v>
          </cell>
          <cell r="M4705" t="str">
            <v>111901</v>
          </cell>
          <cell r="N4705" t="str">
            <v>WATERBASED SYSTEM EXTERIOR</v>
          </cell>
        </row>
        <row r="4706">
          <cell r="C4706" t="str">
            <v>100006322</v>
          </cell>
          <cell r="D4706" t="str">
            <v>WBC-64230 EX 2C-W.WASH 10 VN-18KP</v>
          </cell>
          <cell r="E4706" t="str">
            <v>ZFGD</v>
          </cell>
          <cell r="F4706" t="str">
            <v>PC</v>
          </cell>
          <cell r="G4706" t="str">
            <v>1</v>
          </cell>
          <cell r="H4706" t="str">
            <v>INDUSTRY</v>
          </cell>
          <cell r="I4706" t="str">
            <v>11</v>
          </cell>
          <cell r="J4706" t="str">
            <v>WOOD COATINGS</v>
          </cell>
          <cell r="K4706" t="str">
            <v>1119</v>
          </cell>
          <cell r="L4706" t="str">
            <v>WATERBASED</v>
          </cell>
          <cell r="M4706" t="str">
            <v>111901</v>
          </cell>
          <cell r="N4706" t="str">
            <v>WATERBASED SYSTEM EXTERIOR</v>
          </cell>
        </row>
        <row r="4707">
          <cell r="C4707" t="str">
            <v>100006323</v>
          </cell>
          <cell r="D4707" t="str">
            <v>WBC-64230 EX 2C-W.WASH 10 VN-150KB</v>
          </cell>
          <cell r="E4707" t="str">
            <v>ZFGD</v>
          </cell>
          <cell r="F4707" t="str">
            <v>PC</v>
          </cell>
          <cell r="G4707" t="str">
            <v>1</v>
          </cell>
          <cell r="H4707" t="str">
            <v>INDUSTRY</v>
          </cell>
          <cell r="I4707" t="str">
            <v>11</v>
          </cell>
          <cell r="J4707" t="str">
            <v>WOOD COATINGS</v>
          </cell>
          <cell r="K4707" t="str">
            <v>1119</v>
          </cell>
          <cell r="L4707" t="str">
            <v>WATERBASED</v>
          </cell>
          <cell r="M4707" t="str">
            <v>111901</v>
          </cell>
          <cell r="N4707" t="str">
            <v>WATERBASED SYSTEM EXTERIOR</v>
          </cell>
        </row>
        <row r="4708">
          <cell r="C4708" t="str">
            <v>100006324</v>
          </cell>
          <cell r="D4708" t="str">
            <v>PUC-54206 AC EX NAU369 40 TL VN-18KP</v>
          </cell>
          <cell r="E4708" t="str">
            <v>ZFGD</v>
          </cell>
          <cell r="F4708" t="str">
            <v>PC</v>
          </cell>
          <cell r="G4708" t="str">
            <v>1</v>
          </cell>
          <cell r="H4708" t="str">
            <v>INDUSTRY</v>
          </cell>
          <cell r="I4708" t="str">
            <v>11</v>
          </cell>
          <cell r="J4708" t="str">
            <v>WOOD COATINGS</v>
          </cell>
          <cell r="K4708" t="str">
            <v>1103</v>
          </cell>
          <cell r="L4708" t="str">
            <v>PU</v>
          </cell>
          <cell r="M4708" t="str">
            <v>110319</v>
          </cell>
          <cell r="N4708" t="str">
            <v>PU COLOR</v>
          </cell>
        </row>
        <row r="4709">
          <cell r="C4709" t="str">
            <v>100006331</v>
          </cell>
          <cell r="D4709" t="str">
            <v>UVP-60503 EC KAK SC VN-20KP</v>
          </cell>
          <cell r="E4709" t="str">
            <v>ZFGD</v>
          </cell>
          <cell r="F4709" t="str">
            <v>PC</v>
          </cell>
          <cell r="G4709" t="str">
            <v>1</v>
          </cell>
          <cell r="H4709" t="str">
            <v>INDUSTRY</v>
          </cell>
          <cell r="I4709" t="str">
            <v>11</v>
          </cell>
          <cell r="J4709" t="str">
            <v>WOOD COATINGS</v>
          </cell>
          <cell r="K4709" t="str">
            <v>1106</v>
          </cell>
          <cell r="L4709" t="str">
            <v>UV</v>
          </cell>
          <cell r="M4709" t="str">
            <v>110604</v>
          </cell>
          <cell r="N4709" t="str">
            <v>UV PRIMER</v>
          </cell>
        </row>
        <row r="4710">
          <cell r="C4710" t="str">
            <v>100006332</v>
          </cell>
          <cell r="D4710" t="str">
            <v>UVP-60503 EC SEG SC VN-20KP</v>
          </cell>
          <cell r="E4710" t="str">
            <v>ZFGD</v>
          </cell>
          <cell r="F4710" t="str">
            <v>PC</v>
          </cell>
          <cell r="G4710" t="str">
            <v>1</v>
          </cell>
          <cell r="H4710" t="str">
            <v>INDUSTRY</v>
          </cell>
          <cell r="I4710" t="str">
            <v>11</v>
          </cell>
          <cell r="J4710" t="str">
            <v>WOOD COATINGS</v>
          </cell>
          <cell r="K4710" t="str">
            <v>1106</v>
          </cell>
          <cell r="L4710" t="str">
            <v>UV</v>
          </cell>
          <cell r="M4710" t="str">
            <v>110604</v>
          </cell>
          <cell r="N4710" t="str">
            <v>UV PRIMER</v>
          </cell>
        </row>
        <row r="4711">
          <cell r="C4711" t="str">
            <v>100006345</v>
          </cell>
          <cell r="D4711" t="str">
            <v>WBP-64120 BROWN 2C01 F1 VN-18KP</v>
          </cell>
          <cell r="E4711" t="str">
            <v>ZFGD</v>
          </cell>
          <cell r="F4711" t="str">
            <v>PC</v>
          </cell>
          <cell r="G4711" t="str">
            <v>1</v>
          </cell>
          <cell r="H4711" t="str">
            <v>INDUSTRY</v>
          </cell>
          <cell r="I4711" t="str">
            <v>11</v>
          </cell>
          <cell r="J4711" t="str">
            <v>WOOD COATINGS</v>
          </cell>
          <cell r="K4711" t="str">
            <v>1119</v>
          </cell>
          <cell r="L4711" t="str">
            <v>WATERBASED</v>
          </cell>
          <cell r="M4711" t="str">
            <v>111901</v>
          </cell>
          <cell r="N4711" t="str">
            <v>WATERBASED SYSTEM EXTERIOR</v>
          </cell>
        </row>
        <row r="4712">
          <cell r="C4712" t="str">
            <v>100006346</v>
          </cell>
          <cell r="D4712" t="str">
            <v>WBP-64120 BROWN 2C01 F1 VN-150KB</v>
          </cell>
          <cell r="E4712" t="str">
            <v>ZFGD</v>
          </cell>
          <cell r="F4712" t="str">
            <v>PC</v>
          </cell>
          <cell r="G4712" t="str">
            <v>1</v>
          </cell>
          <cell r="H4712" t="str">
            <v>INDUSTRY</v>
          </cell>
          <cell r="I4712" t="str">
            <v>11</v>
          </cell>
          <cell r="J4712" t="str">
            <v>WOOD COATINGS</v>
          </cell>
          <cell r="K4712" t="str">
            <v>1119</v>
          </cell>
          <cell r="L4712" t="str">
            <v>WATERBASED</v>
          </cell>
          <cell r="M4712" t="str">
            <v>111901</v>
          </cell>
          <cell r="N4712" t="str">
            <v>WATERBASED SYSTEM EXTERIOR</v>
          </cell>
        </row>
        <row r="4713">
          <cell r="C4713" t="str">
            <v>100006351</v>
          </cell>
          <cell r="D4713" t="str">
            <v>AP-98200 NLT 01 VN-5K</v>
          </cell>
          <cell r="E4713" t="str">
            <v>ZFGD</v>
          </cell>
          <cell r="F4713" t="str">
            <v>PC</v>
          </cell>
          <cell r="G4713" t="str">
            <v>1</v>
          </cell>
          <cell r="H4713" t="str">
            <v>INDUSTRY</v>
          </cell>
          <cell r="I4713" t="str">
            <v>11</v>
          </cell>
          <cell r="J4713" t="str">
            <v>WOOD COATINGS</v>
          </cell>
          <cell r="K4713" t="str">
            <v>1118</v>
          </cell>
          <cell r="L4713" t="str">
            <v>COMPLEMENTARY</v>
          </cell>
          <cell r="M4713" t="str">
            <v>111802</v>
          </cell>
          <cell r="N4713" t="str">
            <v>ASOF : POWDER &amp; MATTING SOLUTION</v>
          </cell>
        </row>
        <row r="4714">
          <cell r="C4714" t="str">
            <v>100006352</v>
          </cell>
          <cell r="D4714" t="str">
            <v>GZ-12700 N STRATON KD VN-18KP</v>
          </cell>
          <cell r="E4714" t="str">
            <v>ZFGD</v>
          </cell>
          <cell r="F4714" t="str">
            <v>PC</v>
          </cell>
          <cell r="G4714" t="str">
            <v>1</v>
          </cell>
          <cell r="H4714" t="str">
            <v>INDUSTRY</v>
          </cell>
          <cell r="I4714" t="str">
            <v>11</v>
          </cell>
          <cell r="J4714" t="str">
            <v>WOOD COATINGS</v>
          </cell>
          <cell r="K4714" t="str">
            <v>1109</v>
          </cell>
          <cell r="L4714" t="str">
            <v>STAIN &amp; GLAZE INTERIOR</v>
          </cell>
          <cell r="M4714" t="str">
            <v>110901</v>
          </cell>
          <cell r="N4714" t="str">
            <v>ASOF : STAIN &amp; GLAZE</v>
          </cell>
        </row>
        <row r="4715">
          <cell r="C4715" t="str">
            <v>100006353</v>
          </cell>
          <cell r="D4715" t="str">
            <v>WBP-64115 KAK SC VN-20KP</v>
          </cell>
          <cell r="E4715" t="str">
            <v>ZFGD</v>
          </cell>
          <cell r="F4715" t="str">
            <v>PC</v>
          </cell>
          <cell r="G4715" t="str">
            <v>1</v>
          </cell>
          <cell r="H4715" t="str">
            <v>INDUSTRY</v>
          </cell>
          <cell r="I4715" t="str">
            <v>11</v>
          </cell>
          <cell r="J4715" t="str">
            <v>WOOD COATINGS</v>
          </cell>
          <cell r="K4715" t="str">
            <v>1119</v>
          </cell>
          <cell r="L4715" t="str">
            <v>WATERBASED</v>
          </cell>
          <cell r="M4715" t="str">
            <v>111901</v>
          </cell>
          <cell r="N4715" t="str">
            <v>WATERBASED SYSTEM EXTERIOR</v>
          </cell>
        </row>
        <row r="4716">
          <cell r="C4716" t="str">
            <v>100006354</v>
          </cell>
          <cell r="D4716" t="str">
            <v>WBP-64115 SEG SC VN-20KP</v>
          </cell>
          <cell r="E4716" t="str">
            <v>ZFGD</v>
          </cell>
          <cell r="F4716" t="str">
            <v>PC</v>
          </cell>
          <cell r="G4716" t="str">
            <v>1</v>
          </cell>
          <cell r="H4716" t="str">
            <v>INDUSTRY</v>
          </cell>
          <cell r="I4716" t="str">
            <v>11</v>
          </cell>
          <cell r="J4716" t="str">
            <v>WOOD COATINGS</v>
          </cell>
          <cell r="K4716" t="str">
            <v>1119</v>
          </cell>
          <cell r="L4716" t="str">
            <v>WATERBASED</v>
          </cell>
          <cell r="M4716" t="str">
            <v>111901</v>
          </cell>
          <cell r="N4716" t="str">
            <v>WATERBASED SYSTEM EXTERIOR</v>
          </cell>
        </row>
        <row r="4717">
          <cell r="C4717" t="str">
            <v>100006356</v>
          </cell>
          <cell r="D4717" t="str">
            <v>DP-12123 LC BLONDE NEW-1 KD VN-18KP</v>
          </cell>
          <cell r="E4717" t="str">
            <v>ZFGD</v>
          </cell>
          <cell r="F4717" t="str">
            <v>PC</v>
          </cell>
          <cell r="G4717" t="str">
            <v>1</v>
          </cell>
          <cell r="H4717" t="str">
            <v>INDUSTRY</v>
          </cell>
          <cell r="I4717" t="str">
            <v>11</v>
          </cell>
          <cell r="J4717" t="str">
            <v>WOOD COATINGS</v>
          </cell>
          <cell r="K4717" t="str">
            <v>1104</v>
          </cell>
          <cell r="L4717" t="str">
            <v>NC</v>
          </cell>
          <cell r="M4717" t="str">
            <v>110405</v>
          </cell>
          <cell r="N4717" t="str">
            <v>NC SYSTEM</v>
          </cell>
        </row>
        <row r="4718">
          <cell r="C4718" t="str">
            <v>100006357</v>
          </cell>
          <cell r="D4718" t="str">
            <v>PCA-31100 YELLOW PASTE AK VN-4K</v>
          </cell>
          <cell r="E4718" t="str">
            <v>ZFGD</v>
          </cell>
          <cell r="F4718" t="str">
            <v>PC</v>
          </cell>
          <cell r="G4718" t="str">
            <v>1</v>
          </cell>
          <cell r="H4718" t="str">
            <v>INDUSTRY</v>
          </cell>
          <cell r="I4718" t="str">
            <v>11</v>
          </cell>
          <cell r="J4718" t="str">
            <v>WOOD COATINGS</v>
          </cell>
          <cell r="K4718" t="str">
            <v>1118</v>
          </cell>
          <cell r="L4718" t="str">
            <v>COMPLEMENTARY</v>
          </cell>
          <cell r="M4718" t="str">
            <v>111807</v>
          </cell>
          <cell r="N4718" t="str">
            <v>PASTA</v>
          </cell>
        </row>
        <row r="4719">
          <cell r="C4719" t="str">
            <v>100006358</v>
          </cell>
          <cell r="D4719" t="str">
            <v>WBP-64120 EX BROWN 2C VN-18KP</v>
          </cell>
          <cell r="E4719" t="str">
            <v>ZFGD</v>
          </cell>
          <cell r="F4719" t="str">
            <v>PC</v>
          </cell>
          <cell r="G4719" t="str">
            <v>1</v>
          </cell>
          <cell r="H4719" t="str">
            <v>INDUSTRY</v>
          </cell>
          <cell r="I4719" t="str">
            <v>11</v>
          </cell>
          <cell r="J4719" t="str">
            <v>WOOD COATINGS</v>
          </cell>
          <cell r="K4719" t="str">
            <v>1119</v>
          </cell>
          <cell r="L4719" t="str">
            <v>WATERBASED</v>
          </cell>
          <cell r="M4719" t="str">
            <v>111901</v>
          </cell>
          <cell r="N4719" t="str">
            <v>WATERBASED SYSTEM EXTERIOR</v>
          </cell>
        </row>
        <row r="4720">
          <cell r="C4720" t="str">
            <v>100006359</v>
          </cell>
          <cell r="D4720" t="str">
            <v>WBP-64120 EX BROWN 2C VN-150KB</v>
          </cell>
          <cell r="E4720" t="str">
            <v>ZFGD</v>
          </cell>
          <cell r="F4720" t="str">
            <v>PC</v>
          </cell>
          <cell r="G4720" t="str">
            <v>1</v>
          </cell>
          <cell r="H4720" t="str">
            <v>INDUSTRY</v>
          </cell>
          <cell r="I4720" t="str">
            <v>11</v>
          </cell>
          <cell r="J4720" t="str">
            <v>WOOD COATINGS</v>
          </cell>
          <cell r="K4720" t="str">
            <v>1119</v>
          </cell>
          <cell r="L4720" t="str">
            <v>WATERBASED</v>
          </cell>
          <cell r="M4720" t="str">
            <v>111901</v>
          </cell>
          <cell r="N4720" t="str">
            <v>WATERBASED SYSTEM EXTERIOR</v>
          </cell>
        </row>
        <row r="4721">
          <cell r="C4721" t="str">
            <v>100006360</v>
          </cell>
          <cell r="D4721" t="str">
            <v>WFPU-51000 NAU MAHO BH VN-20KP</v>
          </cell>
          <cell r="E4721" t="str">
            <v>ZFGD</v>
          </cell>
          <cell r="F4721" t="str">
            <v>PC</v>
          </cell>
          <cell r="G4721" t="str">
            <v>1</v>
          </cell>
          <cell r="H4721" t="str">
            <v>INDUSTRY</v>
          </cell>
          <cell r="I4721" t="str">
            <v>11</v>
          </cell>
          <cell r="J4721" t="str">
            <v>WOOD COATINGS</v>
          </cell>
          <cell r="K4721" t="str">
            <v>1103</v>
          </cell>
          <cell r="L4721" t="str">
            <v>PU</v>
          </cell>
          <cell r="M4721" t="str">
            <v>110313</v>
          </cell>
          <cell r="N4721" t="str">
            <v>WOOD FILLER PU</v>
          </cell>
        </row>
        <row r="4722">
          <cell r="C4722" t="str">
            <v>100006361</v>
          </cell>
          <cell r="D4722" t="str">
            <v>SST-11100 NAU MAHO 01 BH VN-16KJ</v>
          </cell>
          <cell r="E4722" t="str">
            <v>ZFGD</v>
          </cell>
          <cell r="F4722" t="str">
            <v>PC</v>
          </cell>
          <cell r="G4722" t="str">
            <v>1</v>
          </cell>
          <cell r="H4722" t="str">
            <v>INDUSTRY</v>
          </cell>
          <cell r="I4722" t="str">
            <v>11</v>
          </cell>
          <cell r="J4722" t="str">
            <v>WOOD COATINGS</v>
          </cell>
          <cell r="K4722" t="str">
            <v>1109</v>
          </cell>
          <cell r="L4722" t="str">
            <v>STAIN &amp; GLAZE INTERIOR</v>
          </cell>
          <cell r="M4722" t="str">
            <v>110903</v>
          </cell>
          <cell r="N4722" t="str">
            <v>STAIN INTERIOR</v>
          </cell>
        </row>
        <row r="4723">
          <cell r="C4723" t="str">
            <v>100006362</v>
          </cell>
          <cell r="D4723" t="str">
            <v>SST-11100 NAU MAHO 02 BH VN-16KJ</v>
          </cell>
          <cell r="E4723" t="str">
            <v>ZFGD</v>
          </cell>
          <cell r="F4723" t="str">
            <v>PC</v>
          </cell>
          <cell r="G4723" t="str">
            <v>1</v>
          </cell>
          <cell r="H4723" t="str">
            <v>INDUSTRY</v>
          </cell>
          <cell r="I4723" t="str">
            <v>11</v>
          </cell>
          <cell r="J4723" t="str">
            <v>WOOD COATINGS</v>
          </cell>
          <cell r="K4723" t="str">
            <v>1109</v>
          </cell>
          <cell r="L4723" t="str">
            <v>STAIN &amp; GLAZE INTERIOR</v>
          </cell>
          <cell r="M4723" t="str">
            <v>110903</v>
          </cell>
          <cell r="N4723" t="str">
            <v>STAIN INTERIOR</v>
          </cell>
        </row>
        <row r="4724">
          <cell r="C4724" t="str">
            <v>100006365</v>
          </cell>
          <cell r="D4724" t="str">
            <v>NCL-1113-SR10AK-18KP</v>
          </cell>
          <cell r="E4724" t="str">
            <v>ZFGD</v>
          </cell>
          <cell r="F4724" t="str">
            <v>PC</v>
          </cell>
          <cell r="G4724" t="str">
            <v>1</v>
          </cell>
          <cell r="H4724" t="str">
            <v>INDUSTRY</v>
          </cell>
          <cell r="I4724" t="str">
            <v>11</v>
          </cell>
          <cell r="J4724" t="str">
            <v>WOOD COATINGS</v>
          </cell>
          <cell r="K4724" t="str">
            <v>1104</v>
          </cell>
          <cell r="L4724" t="str">
            <v>NC</v>
          </cell>
          <cell r="M4724" t="str">
            <v>110405</v>
          </cell>
          <cell r="N4724" t="str">
            <v>NC SYSTEM</v>
          </cell>
        </row>
        <row r="4725">
          <cell r="C4725" t="str">
            <v>100006366</v>
          </cell>
          <cell r="D4725" t="str">
            <v>NCL-1113-SR10AK-180KB</v>
          </cell>
          <cell r="E4725" t="str">
            <v>ZFGD</v>
          </cell>
          <cell r="F4725" t="str">
            <v>PC</v>
          </cell>
          <cell r="G4725" t="str">
            <v>1</v>
          </cell>
          <cell r="H4725" t="str">
            <v>INDUSTRY</v>
          </cell>
          <cell r="I4725" t="str">
            <v>11</v>
          </cell>
          <cell r="J4725" t="str">
            <v>WOOD COATINGS</v>
          </cell>
          <cell r="K4725" t="str">
            <v>1104</v>
          </cell>
          <cell r="L4725" t="str">
            <v>NC</v>
          </cell>
          <cell r="M4725" t="str">
            <v>110405</v>
          </cell>
          <cell r="N4725" t="str">
            <v>NC SYSTEM</v>
          </cell>
        </row>
        <row r="4726">
          <cell r="C4726" t="str">
            <v>100006369</v>
          </cell>
          <cell r="D4726" t="str">
            <v>THC-73100 202 VN-200LK</v>
          </cell>
          <cell r="E4726" t="str">
            <v>ZFGD</v>
          </cell>
          <cell r="F4726" t="str">
            <v>PC</v>
          </cell>
          <cell r="G4726" t="str">
            <v>1</v>
          </cell>
          <cell r="H4726" t="str">
            <v>INDUSTRY</v>
          </cell>
          <cell r="I4726" t="str">
            <v>14</v>
          </cell>
          <cell r="J4726" t="str">
            <v>THINNER</v>
          </cell>
          <cell r="K4726" t="str">
            <v>1412</v>
          </cell>
          <cell r="L4726" t="str">
            <v>THINNER NC</v>
          </cell>
          <cell r="M4726" t="str">
            <v>141203</v>
          </cell>
          <cell r="N4726" t="str">
            <v>THINNER COMPLEMENTARY</v>
          </cell>
        </row>
        <row r="4727">
          <cell r="C4727" t="str">
            <v>100006370</v>
          </cell>
          <cell r="D4727" t="str">
            <v>THC-73100 552 VN-200LK</v>
          </cell>
          <cell r="E4727" t="str">
            <v>ZFGD</v>
          </cell>
          <cell r="F4727" t="str">
            <v>PC</v>
          </cell>
          <cell r="G4727" t="str">
            <v>1</v>
          </cell>
          <cell r="H4727" t="str">
            <v>INDUSTRY</v>
          </cell>
          <cell r="I4727" t="str">
            <v>14</v>
          </cell>
          <cell r="J4727" t="str">
            <v>THINNER</v>
          </cell>
          <cell r="K4727" t="str">
            <v>1412</v>
          </cell>
          <cell r="L4727" t="str">
            <v>THINNER NC</v>
          </cell>
          <cell r="M4727" t="str">
            <v>141203</v>
          </cell>
          <cell r="N4727" t="str">
            <v>THINNER COMPLEMENTARY</v>
          </cell>
        </row>
        <row r="4728">
          <cell r="C4728" t="str">
            <v>100006375</v>
          </cell>
          <cell r="D4728" t="str">
            <v>SST-11100 NAU 27 VC VN-16KJ</v>
          </cell>
          <cell r="E4728" t="str">
            <v>ZFGD</v>
          </cell>
          <cell r="F4728" t="str">
            <v>PC</v>
          </cell>
          <cell r="G4728" t="str">
            <v>1</v>
          </cell>
          <cell r="H4728" t="str">
            <v>INDUSTRY</v>
          </cell>
          <cell r="I4728" t="str">
            <v>11</v>
          </cell>
          <cell r="J4728" t="str">
            <v>WOOD COATINGS</v>
          </cell>
          <cell r="K4728" t="str">
            <v>1109</v>
          </cell>
          <cell r="L4728" t="str">
            <v>STAIN &amp; GLAZE INTERIOR</v>
          </cell>
          <cell r="M4728" t="str">
            <v>110903</v>
          </cell>
          <cell r="N4728" t="str">
            <v>STAIN INTERIOR</v>
          </cell>
        </row>
        <row r="4729">
          <cell r="C4729" t="str">
            <v>100006376</v>
          </cell>
          <cell r="D4729" t="str">
            <v>SST-11100 NAU 27 VC VN-160KK</v>
          </cell>
          <cell r="E4729" t="str">
            <v>ZFGD</v>
          </cell>
          <cell r="F4729" t="str">
            <v>PC</v>
          </cell>
          <cell r="G4729" t="str">
            <v>1</v>
          </cell>
          <cell r="H4729" t="str">
            <v>INDUSTRY</v>
          </cell>
          <cell r="I4729" t="str">
            <v>11</v>
          </cell>
          <cell r="J4729" t="str">
            <v>WOOD COATINGS</v>
          </cell>
          <cell r="K4729" t="str">
            <v>1109</v>
          </cell>
          <cell r="L4729" t="str">
            <v>STAIN &amp; GLAZE INTERIOR</v>
          </cell>
          <cell r="M4729" t="str">
            <v>110903</v>
          </cell>
          <cell r="N4729" t="str">
            <v>STAIN INTERIOR</v>
          </cell>
        </row>
        <row r="4730">
          <cell r="C4730" t="str">
            <v>100006377</v>
          </cell>
          <cell r="D4730" t="str">
            <v>PCA-31100 TRANG 04VEN MK VN-16KJ</v>
          </cell>
          <cell r="E4730" t="str">
            <v>ZFGD</v>
          </cell>
          <cell r="F4730" t="str">
            <v>PC</v>
          </cell>
          <cell r="G4730" t="str">
            <v>1</v>
          </cell>
          <cell r="H4730" t="str">
            <v>INDUSTRY</v>
          </cell>
          <cell r="I4730" t="str">
            <v>11</v>
          </cell>
          <cell r="J4730" t="str">
            <v>WOOD COATINGS</v>
          </cell>
          <cell r="K4730" t="str">
            <v>1118</v>
          </cell>
          <cell r="L4730" t="str">
            <v>COMPLEMENTARY</v>
          </cell>
          <cell r="M4730" t="str">
            <v>111807</v>
          </cell>
          <cell r="N4730" t="str">
            <v>PASTA</v>
          </cell>
        </row>
        <row r="4731">
          <cell r="C4731" t="str">
            <v>100006378</v>
          </cell>
          <cell r="D4731" t="str">
            <v>PCA-31100 NAU 01VEN MK VN-16KJ</v>
          </cell>
          <cell r="E4731" t="str">
            <v>ZFGD</v>
          </cell>
          <cell r="F4731" t="str">
            <v>PC</v>
          </cell>
          <cell r="G4731" t="str">
            <v>1</v>
          </cell>
          <cell r="H4731" t="str">
            <v>INDUSTRY</v>
          </cell>
          <cell r="I4731" t="str">
            <v>11</v>
          </cell>
          <cell r="J4731" t="str">
            <v>WOOD COATINGS</v>
          </cell>
          <cell r="K4731" t="str">
            <v>1118</v>
          </cell>
          <cell r="L4731" t="str">
            <v>COMPLEMENTARY</v>
          </cell>
          <cell r="M4731" t="str">
            <v>111807</v>
          </cell>
          <cell r="N4731" t="str">
            <v>PASTA</v>
          </cell>
        </row>
        <row r="4732">
          <cell r="C4732" t="str">
            <v>100006379</v>
          </cell>
          <cell r="D4732" t="str">
            <v>WFPU-51000 NAU 01VEN MK VN-20KP</v>
          </cell>
          <cell r="E4732" t="str">
            <v>ZFGD</v>
          </cell>
          <cell r="F4732" t="str">
            <v>PC</v>
          </cell>
          <cell r="G4732" t="str">
            <v>1</v>
          </cell>
          <cell r="H4732" t="str">
            <v>INDUSTRY</v>
          </cell>
          <cell r="I4732" t="str">
            <v>11</v>
          </cell>
          <cell r="J4732" t="str">
            <v>WOOD COATINGS</v>
          </cell>
          <cell r="K4732" t="str">
            <v>1103</v>
          </cell>
          <cell r="L4732" t="str">
            <v>PU</v>
          </cell>
          <cell r="M4732" t="str">
            <v>110313</v>
          </cell>
          <cell r="N4732" t="str">
            <v>WOOD FILLER PU</v>
          </cell>
        </row>
        <row r="4733">
          <cell r="C4733" t="str">
            <v>100006380</v>
          </cell>
          <cell r="D4733" t="str">
            <v>SST-11100 CAM 02VEN MK VN-16KJ</v>
          </cell>
          <cell r="E4733" t="str">
            <v>ZFGD</v>
          </cell>
          <cell r="F4733" t="str">
            <v>PC</v>
          </cell>
          <cell r="G4733" t="str">
            <v>1</v>
          </cell>
          <cell r="H4733" t="str">
            <v>INDUSTRY</v>
          </cell>
          <cell r="I4733" t="str">
            <v>11</v>
          </cell>
          <cell r="J4733" t="str">
            <v>WOOD COATINGS</v>
          </cell>
          <cell r="K4733" t="str">
            <v>1109</v>
          </cell>
          <cell r="L4733" t="str">
            <v>STAIN &amp; GLAZE INTERIOR</v>
          </cell>
          <cell r="M4733" t="str">
            <v>110903</v>
          </cell>
          <cell r="N4733" t="str">
            <v>STAIN INTERIOR</v>
          </cell>
        </row>
        <row r="4734">
          <cell r="C4734" t="str">
            <v>100006381</v>
          </cell>
          <cell r="D4734" t="str">
            <v>PCA-31100 NAU 03VEN A MK VN-16KJ</v>
          </cell>
          <cell r="E4734" t="str">
            <v>ZFGD</v>
          </cell>
          <cell r="F4734" t="str">
            <v>PC</v>
          </cell>
          <cell r="G4734" t="str">
            <v>1</v>
          </cell>
          <cell r="H4734" t="str">
            <v>INDUSTRY</v>
          </cell>
          <cell r="I4734" t="str">
            <v>11</v>
          </cell>
          <cell r="J4734" t="str">
            <v>WOOD COATINGS</v>
          </cell>
          <cell r="K4734" t="str">
            <v>1118</v>
          </cell>
          <cell r="L4734" t="str">
            <v>COMPLEMENTARY</v>
          </cell>
          <cell r="M4734" t="str">
            <v>111807</v>
          </cell>
          <cell r="N4734" t="str">
            <v>PASTA</v>
          </cell>
        </row>
        <row r="4735">
          <cell r="C4735" t="str">
            <v>100006382</v>
          </cell>
          <cell r="D4735" t="str">
            <v>PCA-31100 CAM 03VEN B MK VN-16KJ</v>
          </cell>
          <cell r="E4735" t="str">
            <v>ZFGD</v>
          </cell>
          <cell r="F4735" t="str">
            <v>PC</v>
          </cell>
          <cell r="G4735" t="str">
            <v>1</v>
          </cell>
          <cell r="H4735" t="str">
            <v>INDUSTRY</v>
          </cell>
          <cell r="I4735" t="str">
            <v>11</v>
          </cell>
          <cell r="J4735" t="str">
            <v>WOOD COATINGS</v>
          </cell>
          <cell r="K4735" t="str">
            <v>1118</v>
          </cell>
          <cell r="L4735" t="str">
            <v>COMPLEMENTARY</v>
          </cell>
          <cell r="M4735" t="str">
            <v>111807</v>
          </cell>
          <cell r="N4735" t="str">
            <v>PASTA</v>
          </cell>
        </row>
        <row r="4736">
          <cell r="C4736" t="str">
            <v>100006383</v>
          </cell>
          <cell r="D4736" t="str">
            <v>GZPU-21500 DEN 03VEN MK VN-18KP</v>
          </cell>
          <cell r="E4736" t="str">
            <v>ZFGD</v>
          </cell>
          <cell r="F4736" t="str">
            <v>PC</v>
          </cell>
          <cell r="G4736" t="str">
            <v>1</v>
          </cell>
          <cell r="H4736" t="str">
            <v>INDUSTRY</v>
          </cell>
          <cell r="I4736" t="str">
            <v>11</v>
          </cell>
          <cell r="J4736" t="str">
            <v>WOOD COATINGS</v>
          </cell>
          <cell r="K4736" t="str">
            <v>1103</v>
          </cell>
          <cell r="L4736" t="str">
            <v>PU</v>
          </cell>
          <cell r="M4736" t="str">
            <v>110302</v>
          </cell>
          <cell r="N4736" t="str">
            <v>GLAZE PU</v>
          </cell>
        </row>
        <row r="4737">
          <cell r="C4737" t="str">
            <v>100006384</v>
          </cell>
          <cell r="D4737" t="str">
            <v>SST-11100 NAU NHAT MAHO BH VN-16KJ</v>
          </cell>
          <cell r="E4737" t="str">
            <v>ZFGD</v>
          </cell>
          <cell r="F4737" t="str">
            <v>PC</v>
          </cell>
          <cell r="G4737" t="str">
            <v>1</v>
          </cell>
          <cell r="H4737" t="str">
            <v>INDUSTRY</v>
          </cell>
          <cell r="I4737" t="str">
            <v>11</v>
          </cell>
          <cell r="J4737" t="str">
            <v>WOOD COATINGS</v>
          </cell>
          <cell r="K4737" t="str">
            <v>1109</v>
          </cell>
          <cell r="L4737" t="str">
            <v>STAIN &amp; GLAZE INTERIOR</v>
          </cell>
          <cell r="M4737" t="str">
            <v>110903</v>
          </cell>
          <cell r="N4737" t="str">
            <v>STAIN INTERIOR</v>
          </cell>
        </row>
        <row r="4738">
          <cell r="C4738" t="str">
            <v>100006385</v>
          </cell>
          <cell r="D4738" t="str">
            <v>THC-73100 552 VN-180KK</v>
          </cell>
          <cell r="E4738" t="str">
            <v>ZFGD</v>
          </cell>
          <cell r="F4738" t="str">
            <v>PC</v>
          </cell>
          <cell r="G4738" t="str">
            <v>1</v>
          </cell>
          <cell r="H4738" t="str">
            <v>INDUSTRY</v>
          </cell>
          <cell r="I4738" t="str">
            <v>14</v>
          </cell>
          <cell r="J4738" t="str">
            <v>THINNER</v>
          </cell>
          <cell r="K4738" t="str">
            <v>1412</v>
          </cell>
          <cell r="L4738" t="str">
            <v>THINNER NC</v>
          </cell>
          <cell r="M4738" t="str">
            <v>141203</v>
          </cell>
          <cell r="N4738" t="str">
            <v>THINNER COMPLEMENTARY</v>
          </cell>
        </row>
        <row r="4739">
          <cell r="C4739" t="str">
            <v>100006386</v>
          </cell>
          <cell r="D4739" t="str">
            <v>AL-088 VN-16KP</v>
          </cell>
          <cell r="E4739" t="str">
            <v>ZFGD</v>
          </cell>
          <cell r="F4739" t="str">
            <v>PC</v>
          </cell>
          <cell r="G4739" t="str">
            <v>1</v>
          </cell>
          <cell r="H4739" t="str">
            <v>INDUSTRY</v>
          </cell>
          <cell r="I4739" t="str">
            <v>11</v>
          </cell>
          <cell r="J4739" t="str">
            <v>WOOD COATINGS</v>
          </cell>
          <cell r="K4739" t="str">
            <v>1103</v>
          </cell>
          <cell r="L4739" t="str">
            <v>PU</v>
          </cell>
          <cell r="M4739" t="str">
            <v>110325</v>
          </cell>
          <cell r="N4739" t="str">
            <v>UNION HARDENER</v>
          </cell>
        </row>
        <row r="4740">
          <cell r="C4740" t="str">
            <v>100006387</v>
          </cell>
          <cell r="D4740" t="str">
            <v>AL-089 VN-16KP</v>
          </cell>
          <cell r="E4740" t="str">
            <v>ZFGD</v>
          </cell>
          <cell r="F4740" t="str">
            <v>PC</v>
          </cell>
          <cell r="G4740" t="str">
            <v>1</v>
          </cell>
          <cell r="H4740" t="str">
            <v>INDUSTRY</v>
          </cell>
          <cell r="I4740" t="str">
            <v>11</v>
          </cell>
          <cell r="J4740" t="str">
            <v>WOOD COATINGS</v>
          </cell>
          <cell r="K4740" t="str">
            <v>1103</v>
          </cell>
          <cell r="L4740" t="str">
            <v>PU</v>
          </cell>
          <cell r="M4740" t="str">
            <v>110325</v>
          </cell>
          <cell r="N4740" t="str">
            <v>UNION HARDENER</v>
          </cell>
        </row>
        <row r="4741">
          <cell r="C4741" t="str">
            <v>100006388</v>
          </cell>
          <cell r="D4741" t="str">
            <v>PUL-53306 AC EX SUPER MATT VN-18KP</v>
          </cell>
          <cell r="E4741" t="str">
            <v>ZFGD</v>
          </cell>
          <cell r="F4741" t="str">
            <v>PC</v>
          </cell>
          <cell r="G4741" t="str">
            <v>1</v>
          </cell>
          <cell r="H4741" t="str">
            <v>INDUSTRY</v>
          </cell>
          <cell r="I4741" t="str">
            <v>11</v>
          </cell>
          <cell r="J4741" t="str">
            <v>WOOD COATINGS</v>
          </cell>
          <cell r="K4741" t="str">
            <v>1103</v>
          </cell>
          <cell r="L4741" t="str">
            <v>PU</v>
          </cell>
          <cell r="M4741" t="str">
            <v>110321</v>
          </cell>
          <cell r="N4741" t="str">
            <v>PU LACQUER</v>
          </cell>
        </row>
        <row r="4742">
          <cell r="C4742" t="str">
            <v>100006398</v>
          </cell>
          <cell r="D4742" t="str">
            <v>NCL-1113-SR15AK-18KP</v>
          </cell>
          <cell r="E4742" t="str">
            <v>ZFGD</v>
          </cell>
          <cell r="F4742" t="str">
            <v>PC</v>
          </cell>
          <cell r="G4742" t="str">
            <v>1</v>
          </cell>
          <cell r="H4742" t="str">
            <v>INDUSTRY</v>
          </cell>
          <cell r="I4742" t="str">
            <v>11</v>
          </cell>
          <cell r="J4742" t="str">
            <v>WOOD COATINGS</v>
          </cell>
          <cell r="K4742" t="str">
            <v>1104</v>
          </cell>
          <cell r="L4742" t="str">
            <v>NC</v>
          </cell>
          <cell r="M4742" t="str">
            <v>110405</v>
          </cell>
          <cell r="N4742" t="str">
            <v>NC SYSTEM</v>
          </cell>
        </row>
        <row r="4743">
          <cell r="C4743" t="str">
            <v>100006399</v>
          </cell>
          <cell r="D4743" t="str">
            <v>NCL-1113-SR15AK-180KB</v>
          </cell>
          <cell r="E4743" t="str">
            <v>ZFGD</v>
          </cell>
          <cell r="F4743" t="str">
            <v>PC</v>
          </cell>
          <cell r="G4743" t="str">
            <v>1</v>
          </cell>
          <cell r="H4743" t="str">
            <v>INDUSTRY</v>
          </cell>
          <cell r="I4743" t="str">
            <v>11</v>
          </cell>
          <cell r="J4743" t="str">
            <v>WOOD COATINGS</v>
          </cell>
          <cell r="K4743" t="str">
            <v>1104</v>
          </cell>
          <cell r="L4743" t="str">
            <v>NC</v>
          </cell>
          <cell r="M4743" t="str">
            <v>110405</v>
          </cell>
          <cell r="N4743" t="str">
            <v>NC SYSTEM</v>
          </cell>
        </row>
        <row r="4744">
          <cell r="C4744" t="str">
            <v>100006400</v>
          </cell>
          <cell r="D4744" t="str">
            <v>WBP-64130 EX YEL PSCQN VN-18KP</v>
          </cell>
          <cell r="E4744" t="str">
            <v>ZFGD</v>
          </cell>
          <cell r="F4744" t="str">
            <v>PC</v>
          </cell>
          <cell r="G4744" t="str">
            <v>1</v>
          </cell>
          <cell r="H4744" t="str">
            <v>INDUSTRY</v>
          </cell>
          <cell r="I4744" t="str">
            <v>11</v>
          </cell>
          <cell r="J4744" t="str">
            <v>WOOD COATINGS</v>
          </cell>
          <cell r="K4744" t="str">
            <v>1119</v>
          </cell>
          <cell r="L4744" t="str">
            <v>WATERBASED</v>
          </cell>
          <cell r="M4744" t="str">
            <v>111901</v>
          </cell>
          <cell r="N4744" t="str">
            <v>WATERBASED SYSTEM EXTERIOR</v>
          </cell>
        </row>
        <row r="4745">
          <cell r="C4745" t="str">
            <v>100006401</v>
          </cell>
          <cell r="D4745" t="str">
            <v>WBP-64130 EX YEL PSCQN VN-150KB</v>
          </cell>
          <cell r="E4745" t="str">
            <v>ZFGD</v>
          </cell>
          <cell r="F4745" t="str">
            <v>PC</v>
          </cell>
          <cell r="G4745" t="str">
            <v>1</v>
          </cell>
          <cell r="H4745" t="str">
            <v>INDUSTRY</v>
          </cell>
          <cell r="I4745" t="str">
            <v>11</v>
          </cell>
          <cell r="J4745" t="str">
            <v>WOOD COATINGS</v>
          </cell>
          <cell r="K4745" t="str">
            <v>1119</v>
          </cell>
          <cell r="L4745" t="str">
            <v>WATERBASED</v>
          </cell>
          <cell r="M4745" t="str">
            <v>111901</v>
          </cell>
          <cell r="N4745" t="str">
            <v>WATERBASED SYSTEM EXTERIOR</v>
          </cell>
        </row>
        <row r="4746">
          <cell r="C4746" t="str">
            <v>100006402</v>
          </cell>
          <cell r="D4746" t="str">
            <v>WBC-64230 EX RED PSCQN VN-18KP</v>
          </cell>
          <cell r="E4746" t="str">
            <v>ZFGD</v>
          </cell>
          <cell r="F4746" t="str">
            <v>PC</v>
          </cell>
          <cell r="G4746" t="str">
            <v>1</v>
          </cell>
          <cell r="H4746" t="str">
            <v>INDUSTRY</v>
          </cell>
          <cell r="I4746" t="str">
            <v>11</v>
          </cell>
          <cell r="J4746" t="str">
            <v>WOOD COATINGS</v>
          </cell>
          <cell r="K4746" t="str">
            <v>1119</v>
          </cell>
          <cell r="L4746" t="str">
            <v>WATERBASED</v>
          </cell>
          <cell r="M4746" t="str">
            <v>111901</v>
          </cell>
          <cell r="N4746" t="str">
            <v>WATERBASED SYSTEM EXTERIOR</v>
          </cell>
        </row>
        <row r="4747">
          <cell r="C4747" t="str">
            <v>100006403</v>
          </cell>
          <cell r="D4747" t="str">
            <v>WBC-64230 EX RED PSCQN VN-150KB</v>
          </cell>
          <cell r="E4747" t="str">
            <v>ZFGD</v>
          </cell>
          <cell r="F4747" t="str">
            <v>PC</v>
          </cell>
          <cell r="G4747" t="str">
            <v>1</v>
          </cell>
          <cell r="H4747" t="str">
            <v>INDUSTRY</v>
          </cell>
          <cell r="I4747" t="str">
            <v>11</v>
          </cell>
          <cell r="J4747" t="str">
            <v>WOOD COATINGS</v>
          </cell>
          <cell r="K4747" t="str">
            <v>1119</v>
          </cell>
          <cell r="L4747" t="str">
            <v>WATERBASED</v>
          </cell>
          <cell r="M4747" t="str">
            <v>111901</v>
          </cell>
          <cell r="N4747" t="str">
            <v>WATERBASED SYSTEM EXTERIOR</v>
          </cell>
        </row>
        <row r="4748">
          <cell r="C4748" t="str">
            <v>100006404</v>
          </cell>
          <cell r="D4748" t="str">
            <v>WBL-63230 EX CLEAR 10 2C VN-18KP</v>
          </cell>
          <cell r="E4748" t="str">
            <v>ZFGD</v>
          </cell>
          <cell r="F4748" t="str">
            <v>PC</v>
          </cell>
          <cell r="G4748" t="str">
            <v>1</v>
          </cell>
          <cell r="H4748" t="str">
            <v>INDUSTRY</v>
          </cell>
          <cell r="I4748" t="str">
            <v>11</v>
          </cell>
          <cell r="J4748" t="str">
            <v>WOOD COATINGS</v>
          </cell>
          <cell r="K4748" t="str">
            <v>1119</v>
          </cell>
          <cell r="L4748" t="str">
            <v>WATERBASED</v>
          </cell>
          <cell r="M4748" t="str">
            <v>111901</v>
          </cell>
          <cell r="N4748" t="str">
            <v>WATERBASED SYSTEM EXTERIOR</v>
          </cell>
        </row>
        <row r="4749">
          <cell r="C4749" t="str">
            <v>100006405</v>
          </cell>
          <cell r="D4749" t="str">
            <v>NCL-11333 SR CLEAR 05 VN-18KP</v>
          </cell>
          <cell r="E4749" t="str">
            <v>ZFGD</v>
          </cell>
          <cell r="F4749" t="str">
            <v>PC</v>
          </cell>
          <cell r="G4749" t="str">
            <v>1</v>
          </cell>
          <cell r="H4749" t="str">
            <v>INDUSTRY</v>
          </cell>
          <cell r="I4749" t="str">
            <v>11</v>
          </cell>
          <cell r="J4749" t="str">
            <v>WOOD COATINGS</v>
          </cell>
          <cell r="K4749" t="str">
            <v>1104</v>
          </cell>
          <cell r="L4749" t="str">
            <v>NC</v>
          </cell>
          <cell r="M4749" t="str">
            <v>110405</v>
          </cell>
          <cell r="N4749" t="str">
            <v>NC SYSTEM</v>
          </cell>
        </row>
        <row r="4750">
          <cell r="C4750" t="str">
            <v>100006406</v>
          </cell>
          <cell r="D4750" t="str">
            <v>NCL-11333 SR CLEAR 05 VN-180KB</v>
          </cell>
          <cell r="E4750" t="str">
            <v>ZFGD</v>
          </cell>
          <cell r="F4750" t="str">
            <v>PC</v>
          </cell>
          <cell r="G4750" t="str">
            <v>1</v>
          </cell>
          <cell r="H4750" t="str">
            <v>INDUSTRY</v>
          </cell>
          <cell r="I4750" t="str">
            <v>11</v>
          </cell>
          <cell r="J4750" t="str">
            <v>WOOD COATINGS</v>
          </cell>
          <cell r="K4750" t="str">
            <v>1104</v>
          </cell>
          <cell r="L4750" t="str">
            <v>NC</v>
          </cell>
          <cell r="M4750" t="str">
            <v>110405</v>
          </cell>
          <cell r="N4750" t="str">
            <v>NC SYSTEM</v>
          </cell>
        </row>
        <row r="4751">
          <cell r="C4751" t="str">
            <v>100006407</v>
          </cell>
          <cell r="D4751" t="str">
            <v>NCL-11333 SR CLEAR 10 VN-18KP</v>
          </cell>
          <cell r="E4751" t="str">
            <v>ZFGD</v>
          </cell>
          <cell r="F4751" t="str">
            <v>PC</v>
          </cell>
          <cell r="G4751" t="str">
            <v>1</v>
          </cell>
          <cell r="H4751" t="str">
            <v>INDUSTRY</v>
          </cell>
          <cell r="I4751" t="str">
            <v>11</v>
          </cell>
          <cell r="J4751" t="str">
            <v>WOOD COATINGS</v>
          </cell>
          <cell r="K4751" t="str">
            <v>1104</v>
          </cell>
          <cell r="L4751" t="str">
            <v>NC</v>
          </cell>
          <cell r="M4751" t="str">
            <v>110405</v>
          </cell>
          <cell r="N4751" t="str">
            <v>NC SYSTEM</v>
          </cell>
        </row>
        <row r="4752">
          <cell r="C4752" t="str">
            <v>100006408</v>
          </cell>
          <cell r="D4752" t="str">
            <v>NCL-11333 SR CLEAR 10 VN-180KB</v>
          </cell>
          <cell r="E4752" t="str">
            <v>ZFGD</v>
          </cell>
          <cell r="F4752" t="str">
            <v>PC</v>
          </cell>
          <cell r="G4752" t="str">
            <v>1</v>
          </cell>
          <cell r="H4752" t="str">
            <v>INDUSTRY</v>
          </cell>
          <cell r="I4752" t="str">
            <v>11</v>
          </cell>
          <cell r="J4752" t="str">
            <v>WOOD COATINGS</v>
          </cell>
          <cell r="K4752" t="str">
            <v>1104</v>
          </cell>
          <cell r="L4752" t="str">
            <v>NC</v>
          </cell>
          <cell r="M4752" t="str">
            <v>110405</v>
          </cell>
          <cell r="N4752" t="str">
            <v>NC SYSTEM</v>
          </cell>
        </row>
        <row r="4753">
          <cell r="C4753" t="str">
            <v>100006409</v>
          </cell>
          <cell r="D4753" t="str">
            <v>NCL-11333 SR CLEAR 15 VN-18KP</v>
          </cell>
          <cell r="E4753" t="str">
            <v>ZFGD</v>
          </cell>
          <cell r="F4753" t="str">
            <v>PC</v>
          </cell>
          <cell r="G4753" t="str">
            <v>1</v>
          </cell>
          <cell r="H4753" t="str">
            <v>INDUSTRY</v>
          </cell>
          <cell r="I4753" t="str">
            <v>11</v>
          </cell>
          <cell r="J4753" t="str">
            <v>WOOD COATINGS</v>
          </cell>
          <cell r="K4753" t="str">
            <v>1104</v>
          </cell>
          <cell r="L4753" t="str">
            <v>NC</v>
          </cell>
          <cell r="M4753" t="str">
            <v>110405</v>
          </cell>
          <cell r="N4753" t="str">
            <v>NC SYSTEM</v>
          </cell>
        </row>
        <row r="4754">
          <cell r="C4754" t="str">
            <v>100006410</v>
          </cell>
          <cell r="D4754" t="str">
            <v>NCL-11333 SR CLEAR 15 VN-180KB</v>
          </cell>
          <cell r="E4754" t="str">
            <v>ZFGD</v>
          </cell>
          <cell r="F4754" t="str">
            <v>PC</v>
          </cell>
          <cell r="G4754" t="str">
            <v>1</v>
          </cell>
          <cell r="H4754" t="str">
            <v>INDUSTRY</v>
          </cell>
          <cell r="I4754" t="str">
            <v>11</v>
          </cell>
          <cell r="J4754" t="str">
            <v>WOOD COATINGS</v>
          </cell>
          <cell r="K4754" t="str">
            <v>1104</v>
          </cell>
          <cell r="L4754" t="str">
            <v>NC</v>
          </cell>
          <cell r="M4754" t="str">
            <v>110405</v>
          </cell>
          <cell r="N4754" t="str">
            <v>NC SYSTEM</v>
          </cell>
        </row>
        <row r="4755">
          <cell r="C4755" t="str">
            <v>100006411</v>
          </cell>
          <cell r="D4755" t="str">
            <v>NCL-11333 SR CLEAR 20 VN-18KP</v>
          </cell>
          <cell r="E4755" t="str">
            <v>ZFGD</v>
          </cell>
          <cell r="F4755" t="str">
            <v>PC</v>
          </cell>
          <cell r="G4755" t="str">
            <v>1</v>
          </cell>
          <cell r="H4755" t="str">
            <v>INDUSTRY</v>
          </cell>
          <cell r="I4755" t="str">
            <v>11</v>
          </cell>
          <cell r="J4755" t="str">
            <v>WOOD COATINGS</v>
          </cell>
          <cell r="K4755" t="str">
            <v>1104</v>
          </cell>
          <cell r="L4755" t="str">
            <v>NC</v>
          </cell>
          <cell r="M4755" t="str">
            <v>110405</v>
          </cell>
          <cell r="N4755" t="str">
            <v>NC SYSTEM</v>
          </cell>
        </row>
        <row r="4756">
          <cell r="C4756" t="str">
            <v>100006412</v>
          </cell>
          <cell r="D4756" t="str">
            <v>NCL-11333 SR CLEAR 20 VN-180KB</v>
          </cell>
          <cell r="E4756" t="str">
            <v>ZFGD</v>
          </cell>
          <cell r="F4756" t="str">
            <v>PC</v>
          </cell>
          <cell r="G4756" t="str">
            <v>1</v>
          </cell>
          <cell r="H4756" t="str">
            <v>INDUSTRY</v>
          </cell>
          <cell r="I4756" t="str">
            <v>11</v>
          </cell>
          <cell r="J4756" t="str">
            <v>WOOD COATINGS</v>
          </cell>
          <cell r="K4756" t="str">
            <v>1104</v>
          </cell>
          <cell r="L4756" t="str">
            <v>NC</v>
          </cell>
          <cell r="M4756" t="str">
            <v>110405</v>
          </cell>
          <cell r="N4756" t="str">
            <v>NC SYSTEM</v>
          </cell>
        </row>
        <row r="4757">
          <cell r="C4757" t="str">
            <v>100006416</v>
          </cell>
          <cell r="D4757" t="str">
            <v>TEWB-84306 WHITE MF VN-20KP</v>
          </cell>
          <cell r="E4757" t="str">
            <v>ZFGD</v>
          </cell>
          <cell r="F4757" t="str">
            <v>PC</v>
          </cell>
          <cell r="G4757" t="str">
            <v>1</v>
          </cell>
          <cell r="H4757" t="str">
            <v>INDUSTRY</v>
          </cell>
          <cell r="I4757" t="str">
            <v>11</v>
          </cell>
          <cell r="J4757" t="str">
            <v>WOOD COATINGS</v>
          </cell>
          <cell r="K4757" t="str">
            <v>1119</v>
          </cell>
          <cell r="L4757" t="str">
            <v>WATERBASED</v>
          </cell>
          <cell r="M4757" t="str">
            <v>111902</v>
          </cell>
          <cell r="N4757" t="str">
            <v>WATERBASED SYSTEM INTERIOR</v>
          </cell>
        </row>
        <row r="4758">
          <cell r="C4758" t="str">
            <v>100006417</v>
          </cell>
          <cell r="D4758" t="str">
            <v>THC-73100 1103 TP VN-20LJ</v>
          </cell>
          <cell r="E4758" t="str">
            <v>ZFGD</v>
          </cell>
          <cell r="F4758" t="str">
            <v>PC</v>
          </cell>
          <cell r="G4758" t="str">
            <v>1</v>
          </cell>
          <cell r="H4758" t="str">
            <v>INDUSTRY</v>
          </cell>
          <cell r="I4758" t="str">
            <v>14</v>
          </cell>
          <cell r="J4758" t="str">
            <v>THINNER</v>
          </cell>
          <cell r="K4758" t="str">
            <v>1412</v>
          </cell>
          <cell r="L4758" t="str">
            <v>THINNER NC</v>
          </cell>
          <cell r="M4758" t="str">
            <v>141203</v>
          </cell>
          <cell r="N4758" t="str">
            <v>THINNER COMPLEMENTARY</v>
          </cell>
        </row>
        <row r="4759">
          <cell r="C4759" t="str">
            <v>100006418</v>
          </cell>
          <cell r="D4759" t="str">
            <v>THC-73100 1103 TP VN-200LK</v>
          </cell>
          <cell r="E4759" t="str">
            <v>ZFGD</v>
          </cell>
          <cell r="F4759" t="str">
            <v>PC</v>
          </cell>
          <cell r="G4759" t="str">
            <v>1</v>
          </cell>
          <cell r="H4759" t="str">
            <v>INDUSTRY</v>
          </cell>
          <cell r="I4759" t="str">
            <v>14</v>
          </cell>
          <cell r="J4759" t="str">
            <v>THINNER</v>
          </cell>
          <cell r="K4759" t="str">
            <v>1412</v>
          </cell>
          <cell r="L4759" t="str">
            <v>THINNER NC</v>
          </cell>
          <cell r="M4759" t="str">
            <v>141203</v>
          </cell>
          <cell r="N4759" t="str">
            <v>THINNER COMPLEMENTARY</v>
          </cell>
        </row>
        <row r="4760">
          <cell r="C4760" t="str">
            <v>100006419</v>
          </cell>
          <cell r="D4760" t="str">
            <v>PUC-54205 AC AMALIE 90 SR VN-20KP</v>
          </cell>
          <cell r="E4760" t="str">
            <v>ZFGD</v>
          </cell>
          <cell r="F4760" t="str">
            <v>PC</v>
          </cell>
          <cell r="G4760" t="str">
            <v>1</v>
          </cell>
          <cell r="H4760" t="str">
            <v>INDUSTRY</v>
          </cell>
          <cell r="I4760" t="str">
            <v>11</v>
          </cell>
          <cell r="J4760" t="str">
            <v>WOOD COATINGS</v>
          </cell>
          <cell r="K4760" t="str">
            <v>1103</v>
          </cell>
          <cell r="L4760" t="str">
            <v>PU</v>
          </cell>
          <cell r="M4760" t="str">
            <v>110319</v>
          </cell>
          <cell r="N4760" t="str">
            <v>PU COLOR</v>
          </cell>
        </row>
        <row r="4761">
          <cell r="C4761" t="str">
            <v>100006422</v>
          </cell>
          <cell r="D4761" t="str">
            <v>PUC-52239 WHITE 05 VN-20KP</v>
          </cell>
          <cell r="E4761" t="str">
            <v>ZFGD</v>
          </cell>
          <cell r="F4761" t="str">
            <v>PC</v>
          </cell>
          <cell r="G4761" t="str">
            <v>1</v>
          </cell>
          <cell r="H4761" t="str">
            <v>INDUSTRY</v>
          </cell>
          <cell r="I4761" t="str">
            <v>11</v>
          </cell>
          <cell r="J4761" t="str">
            <v>WOOD COATINGS</v>
          </cell>
          <cell r="K4761" t="str">
            <v>1103</v>
          </cell>
          <cell r="L4761" t="str">
            <v>PU</v>
          </cell>
          <cell r="M4761" t="str">
            <v>110319</v>
          </cell>
          <cell r="N4761" t="str">
            <v>PU COLOR</v>
          </cell>
        </row>
        <row r="4762">
          <cell r="C4762" t="str">
            <v>100006423</v>
          </cell>
          <cell r="D4762" t="str">
            <v>PRCC-20312 POL VARNISH CL VN-200KK</v>
          </cell>
          <cell r="E4762" t="str">
            <v>ZFGD</v>
          </cell>
          <cell r="F4762" t="str">
            <v>PC</v>
          </cell>
          <cell r="G4762" t="str">
            <v>1</v>
          </cell>
          <cell r="H4762" t="str">
            <v>INDUSTRY</v>
          </cell>
          <cell r="I4762" t="str">
            <v>12</v>
          </cell>
          <cell r="J4762" t="str">
            <v>CAN COATINGS</v>
          </cell>
          <cell r="K4762" t="str">
            <v>1201</v>
          </cell>
          <cell r="L4762" t="str">
            <v>CAN COATINGS</v>
          </cell>
          <cell r="M4762" t="str">
            <v>120101</v>
          </cell>
          <cell r="N4762" t="str">
            <v>CAN COATINGS</v>
          </cell>
        </row>
        <row r="4763">
          <cell r="C4763" t="str">
            <v>100006424</v>
          </cell>
          <cell r="D4763" t="str">
            <v>DP-12129 LC BLACK HF VN-18KP</v>
          </cell>
          <cell r="E4763" t="str">
            <v>ZFGD</v>
          </cell>
          <cell r="F4763" t="str">
            <v>PC</v>
          </cell>
          <cell r="G4763" t="str">
            <v>1</v>
          </cell>
          <cell r="H4763" t="str">
            <v>INDUSTRY</v>
          </cell>
          <cell r="I4763" t="str">
            <v>11</v>
          </cell>
          <cell r="J4763" t="str">
            <v>WOOD COATINGS</v>
          </cell>
          <cell r="K4763" t="str">
            <v>1104</v>
          </cell>
          <cell r="L4763" t="str">
            <v>NC</v>
          </cell>
          <cell r="M4763" t="str">
            <v>110405</v>
          </cell>
          <cell r="N4763" t="str">
            <v>NC SYSTEM</v>
          </cell>
        </row>
        <row r="4764">
          <cell r="C4764" t="str">
            <v>100006425</v>
          </cell>
          <cell r="D4764" t="str">
            <v>DC-12229 LC BLK SUPERMATT HF VN-18KP</v>
          </cell>
          <cell r="E4764" t="str">
            <v>ZFGD</v>
          </cell>
          <cell r="F4764" t="str">
            <v>PC</v>
          </cell>
          <cell r="G4764" t="str">
            <v>1</v>
          </cell>
          <cell r="H4764" t="str">
            <v>INDUSTRY</v>
          </cell>
          <cell r="I4764" t="str">
            <v>11</v>
          </cell>
          <cell r="J4764" t="str">
            <v>WOOD COATINGS</v>
          </cell>
          <cell r="K4764" t="str">
            <v>1104</v>
          </cell>
          <cell r="L4764" t="str">
            <v>NC</v>
          </cell>
          <cell r="M4764" t="str">
            <v>110405</v>
          </cell>
          <cell r="N4764" t="str">
            <v>NC SYSTEM</v>
          </cell>
        </row>
        <row r="4765">
          <cell r="C4765" t="str">
            <v>100006426</v>
          </cell>
          <cell r="D4765" t="str">
            <v>PRCC-10361 WBC POL HV TQ VN-20KP</v>
          </cell>
          <cell r="E4765" t="str">
            <v>ZFGD</v>
          </cell>
          <cell r="F4765" t="str">
            <v>PC</v>
          </cell>
          <cell r="G4765" t="str">
            <v>1</v>
          </cell>
          <cell r="H4765" t="str">
            <v>INDUSTRY</v>
          </cell>
          <cell r="I4765" t="str">
            <v>12</v>
          </cell>
          <cell r="J4765" t="str">
            <v>CAN COATINGS</v>
          </cell>
          <cell r="K4765" t="str">
            <v>1201</v>
          </cell>
          <cell r="L4765" t="str">
            <v>CAN COATINGS</v>
          </cell>
          <cell r="M4765" t="str">
            <v>120101</v>
          </cell>
          <cell r="N4765" t="str">
            <v>CAN COATINGS</v>
          </cell>
        </row>
        <row r="4766">
          <cell r="C4766" t="str">
            <v>100006427</v>
          </cell>
          <cell r="D4766" t="str">
            <v>PUC-54205 AC KEM TULIP 10 AT VN-20KP</v>
          </cell>
          <cell r="E4766" t="str">
            <v>ZFGD</v>
          </cell>
          <cell r="F4766" t="str">
            <v>PC</v>
          </cell>
          <cell r="G4766" t="str">
            <v>1</v>
          </cell>
          <cell r="H4766" t="str">
            <v>INDUSTRY</v>
          </cell>
          <cell r="I4766" t="str">
            <v>11</v>
          </cell>
          <cell r="J4766" t="str">
            <v>WOOD COATINGS</v>
          </cell>
          <cell r="K4766" t="str">
            <v>1103</v>
          </cell>
          <cell r="L4766" t="str">
            <v>PU</v>
          </cell>
          <cell r="M4766" t="str">
            <v>110319</v>
          </cell>
          <cell r="N4766" t="str">
            <v>PU COLOR</v>
          </cell>
        </row>
        <row r="4767">
          <cell r="C4767" t="str">
            <v>100006432</v>
          </cell>
          <cell r="D4767" t="str">
            <v>UVF-10301 BLACK VN-20KP</v>
          </cell>
          <cell r="E4767" t="str">
            <v>ZFGD</v>
          </cell>
          <cell r="F4767" t="str">
            <v>PC</v>
          </cell>
          <cell r="G4767" t="str">
            <v>1</v>
          </cell>
          <cell r="H4767" t="str">
            <v>INDUSTRY</v>
          </cell>
          <cell r="I4767" t="str">
            <v>11</v>
          </cell>
          <cell r="J4767" t="str">
            <v>WOOD COATINGS</v>
          </cell>
          <cell r="K4767" t="str">
            <v>1106</v>
          </cell>
          <cell r="L4767" t="str">
            <v>UV</v>
          </cell>
          <cell r="M4767" t="str">
            <v>110603</v>
          </cell>
          <cell r="N4767" t="str">
            <v>UV FILLER</v>
          </cell>
        </row>
        <row r="4768">
          <cell r="C4768" t="str">
            <v>100006433</v>
          </cell>
          <cell r="D4768" t="str">
            <v>UVP-60301 BLACK VN-20KP</v>
          </cell>
          <cell r="E4768" t="str">
            <v>ZFGD</v>
          </cell>
          <cell r="F4768" t="str">
            <v>PC</v>
          </cell>
          <cell r="G4768" t="str">
            <v>1</v>
          </cell>
          <cell r="H4768" t="str">
            <v>INDUSTRY</v>
          </cell>
          <cell r="I4768" t="str">
            <v>11</v>
          </cell>
          <cell r="J4768" t="str">
            <v>WOOD COATINGS</v>
          </cell>
          <cell r="K4768" t="str">
            <v>1106</v>
          </cell>
          <cell r="L4768" t="str">
            <v>UV</v>
          </cell>
          <cell r="M4768" t="str">
            <v>110604</v>
          </cell>
          <cell r="N4768" t="str">
            <v>UV PRIMER</v>
          </cell>
        </row>
        <row r="4769">
          <cell r="C4769" t="str">
            <v>100006434</v>
          </cell>
          <cell r="D4769" t="str">
            <v>CBP-31301 WHITE DMY VN-20KP</v>
          </cell>
          <cell r="E4769" t="str">
            <v>ZFGD</v>
          </cell>
          <cell r="F4769" t="str">
            <v>PC</v>
          </cell>
          <cell r="G4769" t="str">
            <v>1</v>
          </cell>
          <cell r="H4769" t="str">
            <v>INDUSTRY</v>
          </cell>
          <cell r="I4769" t="str">
            <v>11</v>
          </cell>
          <cell r="J4769" t="str">
            <v>WOOD COATINGS</v>
          </cell>
          <cell r="K4769" t="str">
            <v>1106</v>
          </cell>
          <cell r="L4769" t="str">
            <v>UV</v>
          </cell>
          <cell r="M4769" t="str">
            <v>110604</v>
          </cell>
          <cell r="N4769" t="str">
            <v>UV PRIMER</v>
          </cell>
        </row>
        <row r="4770">
          <cell r="C4770" t="str">
            <v>100006435</v>
          </cell>
          <cell r="D4770" t="str">
            <v>UVC-70301 WHITE 90 DMY VN-20KP</v>
          </cell>
          <cell r="E4770" t="str">
            <v>ZFGD</v>
          </cell>
          <cell r="F4770" t="str">
            <v>PC</v>
          </cell>
          <cell r="G4770" t="str">
            <v>1</v>
          </cell>
          <cell r="H4770" t="str">
            <v>INDUSTRY</v>
          </cell>
          <cell r="I4770" t="str">
            <v>11</v>
          </cell>
          <cell r="J4770" t="str">
            <v>WOOD COATINGS</v>
          </cell>
          <cell r="K4770" t="str">
            <v>1106</v>
          </cell>
          <cell r="L4770" t="str">
            <v>UV</v>
          </cell>
          <cell r="M4770" t="str">
            <v>110608</v>
          </cell>
          <cell r="N4770" t="str">
            <v>UV TOP COAT COLOR</v>
          </cell>
        </row>
        <row r="4771">
          <cell r="C4771" t="str">
            <v>100006436</v>
          </cell>
          <cell r="D4771" t="str">
            <v>NCL-1113-SR05AK-18KP</v>
          </cell>
          <cell r="E4771" t="str">
            <v>ZFGD</v>
          </cell>
          <cell r="F4771" t="str">
            <v>PC</v>
          </cell>
          <cell r="G4771" t="str">
            <v>1</v>
          </cell>
          <cell r="H4771" t="str">
            <v>INDUSTRY</v>
          </cell>
          <cell r="I4771" t="str">
            <v>11</v>
          </cell>
          <cell r="J4771" t="str">
            <v>WOOD COATINGS</v>
          </cell>
          <cell r="K4771" t="str">
            <v>1104</v>
          </cell>
          <cell r="L4771" t="str">
            <v>NC</v>
          </cell>
          <cell r="M4771" t="str">
            <v>110405</v>
          </cell>
          <cell r="N4771" t="str">
            <v>NC SYSTEM</v>
          </cell>
        </row>
        <row r="4772">
          <cell r="C4772" t="str">
            <v>100006437</v>
          </cell>
          <cell r="D4772" t="str">
            <v>NCL-1113-SR05AK-180KB</v>
          </cell>
          <cell r="E4772" t="str">
            <v>ZFGD</v>
          </cell>
          <cell r="F4772" t="str">
            <v>PC</v>
          </cell>
          <cell r="G4772" t="str">
            <v>1</v>
          </cell>
          <cell r="H4772" t="str">
            <v>INDUSTRY</v>
          </cell>
          <cell r="I4772" t="str">
            <v>11</v>
          </cell>
          <cell r="J4772" t="str">
            <v>WOOD COATINGS</v>
          </cell>
          <cell r="K4772" t="str">
            <v>1104</v>
          </cell>
          <cell r="L4772" t="str">
            <v>NC</v>
          </cell>
          <cell r="M4772" t="str">
            <v>110405</v>
          </cell>
          <cell r="N4772" t="str">
            <v>NC SYSTEM</v>
          </cell>
        </row>
        <row r="4773">
          <cell r="C4773" t="str">
            <v>100006438</v>
          </cell>
          <cell r="D4773" t="str">
            <v>UVC-70301 WHITE 90 VN-20KP</v>
          </cell>
          <cell r="E4773" t="str">
            <v>ZFGD</v>
          </cell>
          <cell r="F4773" t="str">
            <v>PC</v>
          </cell>
          <cell r="G4773" t="str">
            <v>1</v>
          </cell>
          <cell r="H4773" t="str">
            <v>INDUSTRY</v>
          </cell>
          <cell r="I4773" t="str">
            <v>11</v>
          </cell>
          <cell r="J4773" t="str">
            <v>WOOD COATINGS</v>
          </cell>
          <cell r="K4773" t="str">
            <v>1106</v>
          </cell>
          <cell r="L4773" t="str">
            <v>UV</v>
          </cell>
          <cell r="M4773" t="str">
            <v>110608</v>
          </cell>
          <cell r="N4773" t="str">
            <v>UV TOP COAT COLOR</v>
          </cell>
        </row>
        <row r="4774">
          <cell r="C4774" t="str">
            <v>100006439</v>
          </cell>
          <cell r="D4774" t="str">
            <v>SST-11100 NAU 28 VC VN-16KJ</v>
          </cell>
          <cell r="E4774" t="str">
            <v>ZFGD</v>
          </cell>
          <cell r="F4774" t="str">
            <v>PC</v>
          </cell>
          <cell r="G4774" t="str">
            <v>1</v>
          </cell>
          <cell r="H4774" t="str">
            <v>INDUSTRY</v>
          </cell>
          <cell r="I4774" t="str">
            <v>11</v>
          </cell>
          <cell r="J4774" t="str">
            <v>WOOD COATINGS</v>
          </cell>
          <cell r="K4774" t="str">
            <v>1109</v>
          </cell>
          <cell r="L4774" t="str">
            <v>STAIN &amp; GLAZE INTERIOR</v>
          </cell>
          <cell r="M4774" t="str">
            <v>110903</v>
          </cell>
          <cell r="N4774" t="str">
            <v>STAIN INTERIOR</v>
          </cell>
        </row>
        <row r="4775">
          <cell r="C4775" t="str">
            <v>100006440</v>
          </cell>
          <cell r="D4775" t="str">
            <v>SST-11100 NAU 28 VC VN-160KK</v>
          </cell>
          <cell r="E4775" t="str">
            <v>ZFGD</v>
          </cell>
          <cell r="F4775" t="str">
            <v>PC</v>
          </cell>
          <cell r="G4775" t="str">
            <v>1</v>
          </cell>
          <cell r="H4775" t="str">
            <v>INDUSTRY</v>
          </cell>
          <cell r="I4775" t="str">
            <v>11</v>
          </cell>
          <cell r="J4775" t="str">
            <v>WOOD COATINGS</v>
          </cell>
          <cell r="K4775" t="str">
            <v>1109</v>
          </cell>
          <cell r="L4775" t="str">
            <v>STAIN &amp; GLAZE INTERIOR</v>
          </cell>
          <cell r="M4775" t="str">
            <v>110903</v>
          </cell>
          <cell r="N4775" t="str">
            <v>STAIN INTERIOR</v>
          </cell>
        </row>
        <row r="4776">
          <cell r="C4776" t="str">
            <v>100006441</v>
          </cell>
          <cell r="D4776" t="str">
            <v>DP-12129 LC BLACK HF VN-180KB</v>
          </cell>
          <cell r="E4776" t="str">
            <v>ZFGD</v>
          </cell>
          <cell r="F4776" t="str">
            <v>PC</v>
          </cell>
          <cell r="G4776" t="str">
            <v>1</v>
          </cell>
          <cell r="H4776" t="str">
            <v>INDUSTRY</v>
          </cell>
          <cell r="I4776" t="str">
            <v>11</v>
          </cell>
          <cell r="J4776" t="str">
            <v>WOOD COATINGS</v>
          </cell>
          <cell r="K4776" t="str">
            <v>1104</v>
          </cell>
          <cell r="L4776" t="str">
            <v>NC</v>
          </cell>
          <cell r="M4776" t="str">
            <v>110405</v>
          </cell>
          <cell r="N4776" t="str">
            <v>NC SYSTEM</v>
          </cell>
        </row>
        <row r="4777">
          <cell r="C4777" t="str">
            <v>100006442</v>
          </cell>
          <cell r="D4777" t="str">
            <v>PUC-54205 AC ASYM 90 SR VN-20KP</v>
          </cell>
          <cell r="E4777" t="str">
            <v>ZFGD</v>
          </cell>
          <cell r="F4777" t="str">
            <v>PC</v>
          </cell>
          <cell r="G4777" t="str">
            <v>1</v>
          </cell>
          <cell r="H4777" t="str">
            <v>INDUSTRY</v>
          </cell>
          <cell r="I4777" t="str">
            <v>11</v>
          </cell>
          <cell r="J4777" t="str">
            <v>WOOD COATINGS</v>
          </cell>
          <cell r="K4777" t="str">
            <v>1103</v>
          </cell>
          <cell r="L4777" t="str">
            <v>PU</v>
          </cell>
          <cell r="M4777" t="str">
            <v>110319</v>
          </cell>
          <cell r="N4777" t="str">
            <v>PU COLOR</v>
          </cell>
        </row>
        <row r="4778">
          <cell r="C4778" t="str">
            <v>100006443</v>
          </cell>
          <cell r="D4778" t="str">
            <v>PRCC-20312 POL VARNISH CV VN-200KK</v>
          </cell>
          <cell r="E4778" t="str">
            <v>ZFGD</v>
          </cell>
          <cell r="F4778" t="str">
            <v>PC</v>
          </cell>
          <cell r="G4778" t="str">
            <v>1</v>
          </cell>
          <cell r="H4778" t="str">
            <v>INDUSTRY</v>
          </cell>
          <cell r="I4778" t="str">
            <v>12</v>
          </cell>
          <cell r="J4778" t="str">
            <v>CAN COATINGS</v>
          </cell>
          <cell r="K4778" t="str">
            <v>1201</v>
          </cell>
          <cell r="L4778" t="str">
            <v>CAN COATINGS</v>
          </cell>
          <cell r="M4778" t="str">
            <v>120101</v>
          </cell>
          <cell r="N4778" t="str">
            <v>CAN COATINGS</v>
          </cell>
        </row>
        <row r="4779">
          <cell r="C4779" t="str">
            <v>100006444</v>
          </cell>
          <cell r="D4779" t="str">
            <v>PUC-54205 AC KEMLANGTAY 10 AA VN-20KP</v>
          </cell>
          <cell r="E4779" t="str">
            <v>ZFGD</v>
          </cell>
          <cell r="F4779" t="str">
            <v>PC</v>
          </cell>
          <cell r="G4779" t="str">
            <v>1</v>
          </cell>
          <cell r="H4779" t="str">
            <v>INDUSTRY</v>
          </cell>
          <cell r="I4779" t="str">
            <v>11</v>
          </cell>
          <cell r="J4779" t="str">
            <v>WOOD COATINGS</v>
          </cell>
          <cell r="K4779" t="str">
            <v>1103</v>
          </cell>
          <cell r="L4779" t="str">
            <v>PU</v>
          </cell>
          <cell r="M4779" t="str">
            <v>110319</v>
          </cell>
          <cell r="N4779" t="str">
            <v>PU COLOR</v>
          </cell>
        </row>
        <row r="4780">
          <cell r="C4780" t="str">
            <v>100006445</v>
          </cell>
          <cell r="D4780" t="str">
            <v>PUC-54206 AC EX XAM7069 20 TL VN-18KP</v>
          </cell>
          <cell r="E4780" t="str">
            <v>ZFGD</v>
          </cell>
          <cell r="F4780" t="str">
            <v>PC</v>
          </cell>
          <cell r="G4780" t="str">
            <v>1</v>
          </cell>
          <cell r="H4780" t="str">
            <v>INDUSTRY</v>
          </cell>
          <cell r="I4780" t="str">
            <v>11</v>
          </cell>
          <cell r="J4780" t="str">
            <v>WOOD COATINGS</v>
          </cell>
          <cell r="K4780" t="str">
            <v>1103</v>
          </cell>
          <cell r="L4780" t="str">
            <v>PU</v>
          </cell>
          <cell r="M4780" t="str">
            <v>110319</v>
          </cell>
          <cell r="N4780" t="str">
            <v>PU COLOR</v>
          </cell>
        </row>
        <row r="4781">
          <cell r="C4781" t="str">
            <v>100006446</v>
          </cell>
          <cell r="D4781" t="str">
            <v>PUC-52239 TRANG 7012 10 TL VN-20KP</v>
          </cell>
          <cell r="E4781" t="str">
            <v>ZFGD</v>
          </cell>
          <cell r="F4781" t="str">
            <v>PC</v>
          </cell>
          <cell r="G4781" t="str">
            <v>1</v>
          </cell>
          <cell r="H4781" t="str">
            <v>INDUSTRY</v>
          </cell>
          <cell r="I4781" t="str">
            <v>11</v>
          </cell>
          <cell r="J4781" t="str">
            <v>WOOD COATINGS</v>
          </cell>
          <cell r="K4781" t="str">
            <v>1103</v>
          </cell>
          <cell r="L4781" t="str">
            <v>PU</v>
          </cell>
          <cell r="M4781" t="str">
            <v>110319</v>
          </cell>
          <cell r="N4781" t="str">
            <v>PU COLOR</v>
          </cell>
        </row>
        <row r="4782">
          <cell r="C4782" t="str">
            <v>100006448</v>
          </cell>
          <cell r="D4782" t="str">
            <v>PUP-54111 AC XAM S411 PMT VN-20KP</v>
          </cell>
          <cell r="E4782" t="str">
            <v>ZFGD</v>
          </cell>
          <cell r="F4782" t="str">
            <v>PC</v>
          </cell>
          <cell r="G4782" t="str">
            <v>1</v>
          </cell>
          <cell r="H4782" t="str">
            <v>INDUSTRY</v>
          </cell>
          <cell r="I4782" t="str">
            <v>11</v>
          </cell>
          <cell r="J4782" t="str">
            <v>WOOD COATINGS</v>
          </cell>
          <cell r="K4782" t="str">
            <v>1103</v>
          </cell>
          <cell r="L4782" t="str">
            <v>PU</v>
          </cell>
          <cell r="M4782" t="str">
            <v>110322</v>
          </cell>
          <cell r="N4782" t="str">
            <v>PU PRIMER</v>
          </cell>
        </row>
        <row r="4783">
          <cell r="C4783" t="str">
            <v>100006449</v>
          </cell>
          <cell r="D4783" t="str">
            <v>SST-11100 NAU 04 VC I VN-16KJ</v>
          </cell>
          <cell r="E4783" t="str">
            <v>ZFGD</v>
          </cell>
          <cell r="F4783" t="str">
            <v>PC</v>
          </cell>
          <cell r="G4783" t="str">
            <v>1</v>
          </cell>
          <cell r="H4783" t="str">
            <v>INDUSTRY</v>
          </cell>
          <cell r="I4783" t="str">
            <v>11</v>
          </cell>
          <cell r="J4783" t="str">
            <v>WOOD COATINGS</v>
          </cell>
          <cell r="K4783" t="str">
            <v>1109</v>
          </cell>
          <cell r="L4783" t="str">
            <v>STAIN &amp; GLAZE INTERIOR</v>
          </cell>
          <cell r="M4783" t="str">
            <v>110903</v>
          </cell>
          <cell r="N4783" t="str">
            <v>STAIN INTERIOR</v>
          </cell>
        </row>
        <row r="4784">
          <cell r="C4784" t="str">
            <v>100006450</v>
          </cell>
          <cell r="D4784" t="str">
            <v>SST-11100 NAU 04 VC I VN-160KK</v>
          </cell>
          <cell r="E4784" t="str">
            <v>ZFGD</v>
          </cell>
          <cell r="F4784" t="str">
            <v>PC</v>
          </cell>
          <cell r="G4784" t="str">
            <v>1</v>
          </cell>
          <cell r="H4784" t="str">
            <v>INDUSTRY</v>
          </cell>
          <cell r="I4784" t="str">
            <v>11</v>
          </cell>
          <cell r="J4784" t="str">
            <v>WOOD COATINGS</v>
          </cell>
          <cell r="K4784" t="str">
            <v>1109</v>
          </cell>
          <cell r="L4784" t="str">
            <v>STAIN &amp; GLAZE INTERIOR</v>
          </cell>
          <cell r="M4784" t="str">
            <v>110903</v>
          </cell>
          <cell r="N4784" t="str">
            <v>STAIN INTERIOR</v>
          </cell>
        </row>
        <row r="4785">
          <cell r="C4785" t="str">
            <v>100006451</v>
          </cell>
          <cell r="D4785" t="str">
            <v>PRCC-10361 WBC POL HV DISP TQ VN-20KP</v>
          </cell>
          <cell r="E4785" t="str">
            <v>ZFGD</v>
          </cell>
          <cell r="F4785" t="str">
            <v>PC</v>
          </cell>
          <cell r="G4785" t="str">
            <v>1</v>
          </cell>
          <cell r="H4785" t="str">
            <v>INDUSTRY</v>
          </cell>
          <cell r="I4785" t="str">
            <v>12</v>
          </cell>
          <cell r="J4785" t="str">
            <v>CAN COATINGS</v>
          </cell>
          <cell r="K4785" t="str">
            <v>1201</v>
          </cell>
          <cell r="L4785" t="str">
            <v>CAN COATINGS</v>
          </cell>
          <cell r="M4785" t="str">
            <v>120101</v>
          </cell>
          <cell r="N4785" t="str">
            <v>CAN COATINGS</v>
          </cell>
        </row>
        <row r="4786">
          <cell r="C4786" t="str">
            <v>100006452</v>
          </cell>
          <cell r="D4786" t="str">
            <v>WBL-61204 CLEAR 15 VN-20KP</v>
          </cell>
          <cell r="E4786" t="str">
            <v>ZFGD</v>
          </cell>
          <cell r="F4786" t="str">
            <v>PC</v>
          </cell>
          <cell r="G4786" t="str">
            <v>1</v>
          </cell>
          <cell r="H4786" t="str">
            <v>INDUSTRY</v>
          </cell>
          <cell r="I4786" t="str">
            <v>11</v>
          </cell>
          <cell r="J4786" t="str">
            <v>WOOD COATINGS</v>
          </cell>
          <cell r="K4786" t="str">
            <v>1119</v>
          </cell>
          <cell r="L4786" t="str">
            <v>WATERBASED</v>
          </cell>
          <cell r="M4786" t="str">
            <v>111902</v>
          </cell>
          <cell r="N4786" t="str">
            <v>WATERBASED SYSTEM INTERIOR</v>
          </cell>
        </row>
        <row r="4787">
          <cell r="C4787" t="str">
            <v>100006453</v>
          </cell>
          <cell r="D4787" t="str">
            <v>WBL-61204 CLEAR 30 VN-20KP</v>
          </cell>
          <cell r="E4787" t="str">
            <v>ZFGD</v>
          </cell>
          <cell r="F4787" t="str">
            <v>PC</v>
          </cell>
          <cell r="G4787" t="str">
            <v>1</v>
          </cell>
          <cell r="H4787" t="str">
            <v>INDUSTRY</v>
          </cell>
          <cell r="I4787" t="str">
            <v>11</v>
          </cell>
          <cell r="J4787" t="str">
            <v>WOOD COATINGS</v>
          </cell>
          <cell r="K4787" t="str">
            <v>1119</v>
          </cell>
          <cell r="L4787" t="str">
            <v>WATERBASED</v>
          </cell>
          <cell r="M4787" t="str">
            <v>111902</v>
          </cell>
          <cell r="N4787" t="str">
            <v>WATERBASED SYSTEM INTERIOR</v>
          </cell>
        </row>
        <row r="4788">
          <cell r="C4788" t="str">
            <v>100006454</v>
          </cell>
          <cell r="D4788" t="str">
            <v>PUC-54205 AC KEM3234P 08 HPT VN-20KP</v>
          </cell>
          <cell r="E4788" t="str">
            <v>ZFGD</v>
          </cell>
          <cell r="F4788" t="str">
            <v>PC</v>
          </cell>
          <cell r="G4788" t="str">
            <v>1</v>
          </cell>
          <cell r="H4788" t="str">
            <v>INDUSTRY</v>
          </cell>
          <cell r="I4788" t="str">
            <v>11</v>
          </cell>
          <cell r="J4788" t="str">
            <v>WOOD COATINGS</v>
          </cell>
          <cell r="K4788" t="str">
            <v>1103</v>
          </cell>
          <cell r="L4788" t="str">
            <v>PU</v>
          </cell>
          <cell r="M4788" t="str">
            <v>110319</v>
          </cell>
          <cell r="N4788" t="str">
            <v>PU COLOR</v>
          </cell>
        </row>
        <row r="4789">
          <cell r="C4789" t="str">
            <v>100006455</v>
          </cell>
          <cell r="D4789" t="str">
            <v>PCL-31300 XAM VSHW11 LAU F1 VN-16KJ</v>
          </cell>
          <cell r="E4789" t="str">
            <v>ZFGD</v>
          </cell>
          <cell r="F4789" t="str">
            <v>PC</v>
          </cell>
          <cell r="G4789" t="str">
            <v>1</v>
          </cell>
          <cell r="H4789" t="str">
            <v>INDUSTRY</v>
          </cell>
          <cell r="I4789" t="str">
            <v>11</v>
          </cell>
          <cell r="J4789" t="str">
            <v>WOOD COATINGS</v>
          </cell>
          <cell r="K4789" t="str">
            <v>1118</v>
          </cell>
          <cell r="L4789" t="str">
            <v>COMPLEMENTARY</v>
          </cell>
          <cell r="M4789" t="str">
            <v>111807</v>
          </cell>
          <cell r="N4789" t="str">
            <v>PASTA</v>
          </cell>
        </row>
        <row r="4790">
          <cell r="C4790" t="str">
            <v>100006456</v>
          </cell>
          <cell r="D4790" t="str">
            <v>PCL-31300 WHITE VSHW11 DAM F1 VN-16KJ</v>
          </cell>
          <cell r="E4790" t="str">
            <v>ZFGD</v>
          </cell>
          <cell r="F4790" t="str">
            <v>PC</v>
          </cell>
          <cell r="G4790" t="str">
            <v>1</v>
          </cell>
          <cell r="H4790" t="str">
            <v>INDUSTRY</v>
          </cell>
          <cell r="I4790" t="str">
            <v>11</v>
          </cell>
          <cell r="J4790" t="str">
            <v>WOOD COATINGS</v>
          </cell>
          <cell r="K4790" t="str">
            <v>1118</v>
          </cell>
          <cell r="L4790" t="str">
            <v>COMPLEMENTARY</v>
          </cell>
          <cell r="M4790" t="str">
            <v>111807</v>
          </cell>
          <cell r="N4790" t="str">
            <v>PASTA</v>
          </cell>
        </row>
        <row r="4791">
          <cell r="C4791" t="str">
            <v>100006457</v>
          </cell>
          <cell r="D4791" t="str">
            <v>PST-12100 YEL W03 LAU F1 VN-16KJ</v>
          </cell>
          <cell r="E4791" t="str">
            <v>ZFGD</v>
          </cell>
          <cell r="F4791" t="str">
            <v>PC</v>
          </cell>
          <cell r="G4791" t="str">
            <v>1</v>
          </cell>
          <cell r="H4791" t="str">
            <v>INDUSTRY</v>
          </cell>
          <cell r="I4791" t="str">
            <v>11</v>
          </cell>
          <cell r="J4791" t="str">
            <v>WOOD COATINGS</v>
          </cell>
          <cell r="K4791" t="str">
            <v>1109</v>
          </cell>
          <cell r="L4791" t="str">
            <v>STAIN &amp; GLAZE INTERIOR</v>
          </cell>
          <cell r="M4791" t="str">
            <v>110903</v>
          </cell>
          <cell r="N4791" t="str">
            <v>STAIN INTERIOR</v>
          </cell>
        </row>
        <row r="4792">
          <cell r="C4792" t="str">
            <v>100006458</v>
          </cell>
          <cell r="D4792" t="str">
            <v>PST-12100 BRO W03 DAM F1 VN-16KJ</v>
          </cell>
          <cell r="E4792" t="str">
            <v>ZFGD</v>
          </cell>
          <cell r="F4792" t="str">
            <v>PC</v>
          </cell>
          <cell r="G4792" t="str">
            <v>1</v>
          </cell>
          <cell r="H4792" t="str">
            <v>INDUSTRY</v>
          </cell>
          <cell r="I4792" t="str">
            <v>11</v>
          </cell>
          <cell r="J4792" t="str">
            <v>WOOD COATINGS</v>
          </cell>
          <cell r="K4792" t="str">
            <v>1109</v>
          </cell>
          <cell r="L4792" t="str">
            <v>STAIN &amp; GLAZE INTERIOR</v>
          </cell>
          <cell r="M4792" t="str">
            <v>110903</v>
          </cell>
          <cell r="N4792" t="str">
            <v>STAIN INTERIOR</v>
          </cell>
        </row>
        <row r="4793">
          <cell r="C4793" t="str">
            <v>100006459</v>
          </cell>
          <cell r="D4793" t="str">
            <v>PG-13900 WHITE W03 F1 VN-20KP</v>
          </cell>
          <cell r="E4793" t="str">
            <v>ZFGD</v>
          </cell>
          <cell r="F4793" t="str">
            <v>PC</v>
          </cell>
          <cell r="G4793" t="str">
            <v>1</v>
          </cell>
          <cell r="H4793" t="str">
            <v>INDUSTRY</v>
          </cell>
          <cell r="I4793" t="str">
            <v>11</v>
          </cell>
          <cell r="J4793" t="str">
            <v>WOOD COATINGS</v>
          </cell>
          <cell r="K4793" t="str">
            <v>1109</v>
          </cell>
          <cell r="L4793" t="str">
            <v>STAIN &amp; GLAZE INTERIOR</v>
          </cell>
          <cell r="M4793" t="str">
            <v>110901</v>
          </cell>
          <cell r="N4793" t="str">
            <v>ASOF : STAIN &amp; GLAZE</v>
          </cell>
        </row>
        <row r="4794">
          <cell r="C4794" t="str">
            <v>100006460</v>
          </cell>
          <cell r="D4794" t="str">
            <v>NCL-11332 LY CLEAR 40 VN-18KP</v>
          </cell>
          <cell r="E4794" t="str">
            <v>ZFGD</v>
          </cell>
          <cell r="F4794" t="str">
            <v>PC</v>
          </cell>
          <cell r="G4794" t="str">
            <v>1</v>
          </cell>
          <cell r="H4794" t="str">
            <v>INDUSTRY</v>
          </cell>
          <cell r="I4794" t="str">
            <v>11</v>
          </cell>
          <cell r="J4794" t="str">
            <v>WOOD COATINGS</v>
          </cell>
          <cell r="K4794" t="str">
            <v>1104</v>
          </cell>
          <cell r="L4794" t="str">
            <v>NC</v>
          </cell>
          <cell r="M4794" t="str">
            <v>110405</v>
          </cell>
          <cell r="N4794" t="str">
            <v>NC SYSTEM</v>
          </cell>
        </row>
        <row r="4795">
          <cell r="C4795" t="str">
            <v>100006461</v>
          </cell>
          <cell r="D4795" t="str">
            <v>PRCC-40301 A SIDE STRIPE LACQUER-4K</v>
          </cell>
          <cell r="E4795" t="str">
            <v>ZFGD</v>
          </cell>
          <cell r="F4795" t="str">
            <v>PC</v>
          </cell>
          <cell r="G4795" t="str">
            <v>1</v>
          </cell>
          <cell r="H4795" t="str">
            <v>INDUSTRY</v>
          </cell>
          <cell r="I4795" t="str">
            <v>12</v>
          </cell>
          <cell r="J4795" t="str">
            <v>CAN COATINGS</v>
          </cell>
          <cell r="K4795" t="str">
            <v>1201</v>
          </cell>
          <cell r="L4795" t="str">
            <v>CAN COATINGS</v>
          </cell>
          <cell r="M4795" t="str">
            <v>120101</v>
          </cell>
          <cell r="N4795" t="str">
            <v>CAN COATINGS</v>
          </cell>
        </row>
        <row r="4796">
          <cell r="C4796" t="str">
            <v>100006462</v>
          </cell>
          <cell r="D4796" t="str">
            <v>PRCC-40301 B SIDE STRIPE LACQUER-2K</v>
          </cell>
          <cell r="E4796" t="str">
            <v>ZFGD</v>
          </cell>
          <cell r="F4796" t="str">
            <v>PC</v>
          </cell>
          <cell r="G4796" t="str">
            <v>1</v>
          </cell>
          <cell r="H4796" t="str">
            <v>INDUSTRY</v>
          </cell>
          <cell r="I4796" t="str">
            <v>12</v>
          </cell>
          <cell r="J4796" t="str">
            <v>CAN COATINGS</v>
          </cell>
          <cell r="K4796" t="str">
            <v>1201</v>
          </cell>
          <cell r="L4796" t="str">
            <v>CAN COATINGS</v>
          </cell>
          <cell r="M4796" t="str">
            <v>120101</v>
          </cell>
          <cell r="N4796" t="str">
            <v>CAN COATINGS</v>
          </cell>
        </row>
        <row r="4797">
          <cell r="C4797" t="str">
            <v>100006463</v>
          </cell>
          <cell r="D4797" t="str">
            <v>PUP-52135 RED 52 BOH VN-20KP</v>
          </cell>
          <cell r="E4797" t="str">
            <v>ZFGD</v>
          </cell>
          <cell r="F4797" t="str">
            <v>PC</v>
          </cell>
          <cell r="G4797" t="str">
            <v>1</v>
          </cell>
          <cell r="H4797" t="str">
            <v>INDUSTRY</v>
          </cell>
          <cell r="I4797" t="str">
            <v>11</v>
          </cell>
          <cell r="J4797" t="str">
            <v>WOOD COATINGS</v>
          </cell>
          <cell r="K4797" t="str">
            <v>1103</v>
          </cell>
          <cell r="L4797" t="str">
            <v>PU</v>
          </cell>
          <cell r="M4797" t="str">
            <v>110322</v>
          </cell>
          <cell r="N4797" t="str">
            <v>PU PRIMER</v>
          </cell>
        </row>
        <row r="4798">
          <cell r="C4798" t="str">
            <v>100006464</v>
          </cell>
          <cell r="D4798" t="str">
            <v>PUC-54206 AC EX RED 52 30 BOH VN-18KP</v>
          </cell>
          <cell r="E4798" t="str">
            <v>ZFGD</v>
          </cell>
          <cell r="F4798" t="str">
            <v>PC</v>
          </cell>
          <cell r="G4798" t="str">
            <v>1</v>
          </cell>
          <cell r="H4798" t="str">
            <v>INDUSTRY</v>
          </cell>
          <cell r="I4798" t="str">
            <v>11</v>
          </cell>
          <cell r="J4798" t="str">
            <v>WOOD COATINGS</v>
          </cell>
          <cell r="K4798" t="str">
            <v>1103</v>
          </cell>
          <cell r="L4798" t="str">
            <v>PU</v>
          </cell>
          <cell r="M4798" t="str">
            <v>110319</v>
          </cell>
          <cell r="N4798" t="str">
            <v>PU COLOR</v>
          </cell>
        </row>
        <row r="4799">
          <cell r="C4799" t="str">
            <v>100006465</v>
          </cell>
          <cell r="D4799" t="str">
            <v>PST-12100 BRO GD01 LAU F1 VN-16KJ</v>
          </cell>
          <cell r="E4799" t="str">
            <v>ZFGD</v>
          </cell>
          <cell r="F4799" t="str">
            <v>PC</v>
          </cell>
          <cell r="G4799" t="str">
            <v>1</v>
          </cell>
          <cell r="H4799" t="str">
            <v>INDUSTRY</v>
          </cell>
          <cell r="I4799" t="str">
            <v>11</v>
          </cell>
          <cell r="J4799" t="str">
            <v>WOOD COATINGS</v>
          </cell>
          <cell r="K4799" t="str">
            <v>1109</v>
          </cell>
          <cell r="L4799" t="str">
            <v>STAIN &amp; GLAZE INTERIOR</v>
          </cell>
          <cell r="M4799" t="str">
            <v>110903</v>
          </cell>
          <cell r="N4799" t="str">
            <v>STAIN INTERIOR</v>
          </cell>
        </row>
        <row r="4800">
          <cell r="C4800" t="str">
            <v>100006466</v>
          </cell>
          <cell r="D4800" t="str">
            <v>PUC-54206 AC EX HONGPT1 20 TL VN-18KP</v>
          </cell>
          <cell r="E4800" t="str">
            <v>ZFGD</v>
          </cell>
          <cell r="F4800" t="str">
            <v>PC</v>
          </cell>
          <cell r="G4800" t="str">
            <v>1</v>
          </cell>
          <cell r="H4800" t="str">
            <v>INDUSTRY</v>
          </cell>
          <cell r="I4800" t="str">
            <v>11</v>
          </cell>
          <cell r="J4800" t="str">
            <v>WOOD COATINGS</v>
          </cell>
          <cell r="K4800" t="str">
            <v>1103</v>
          </cell>
          <cell r="L4800" t="str">
            <v>PU</v>
          </cell>
          <cell r="M4800" t="str">
            <v>110319</v>
          </cell>
          <cell r="N4800" t="str">
            <v>PU COLOR</v>
          </cell>
        </row>
        <row r="4801">
          <cell r="C4801" t="str">
            <v>100006475</v>
          </cell>
          <cell r="D4801" t="str">
            <v>SST-11100 BROWN 102A HPT VN-16KJ</v>
          </cell>
          <cell r="E4801" t="str">
            <v>ZFGD</v>
          </cell>
          <cell r="F4801" t="str">
            <v>PC</v>
          </cell>
          <cell r="G4801" t="str">
            <v>1</v>
          </cell>
          <cell r="H4801" t="str">
            <v>INDUSTRY</v>
          </cell>
          <cell r="I4801" t="str">
            <v>11</v>
          </cell>
          <cell r="J4801" t="str">
            <v>WOOD COATINGS</v>
          </cell>
          <cell r="K4801" t="str">
            <v>1109</v>
          </cell>
          <cell r="L4801" t="str">
            <v>STAIN &amp; GLAZE INTERIOR</v>
          </cell>
          <cell r="M4801" t="str">
            <v>110903</v>
          </cell>
          <cell r="N4801" t="str">
            <v>STAIN INTERIOR</v>
          </cell>
        </row>
        <row r="4802">
          <cell r="C4802" t="str">
            <v>100006476</v>
          </cell>
          <cell r="D4802" t="str">
            <v>SST-11100 BLACK 102B HPT VN-16KJ</v>
          </cell>
          <cell r="E4802" t="str">
            <v>ZFGD</v>
          </cell>
          <cell r="F4802" t="str">
            <v>PC</v>
          </cell>
          <cell r="G4802" t="str">
            <v>1</v>
          </cell>
          <cell r="H4802" t="str">
            <v>INDUSTRY</v>
          </cell>
          <cell r="I4802" t="str">
            <v>11</v>
          </cell>
          <cell r="J4802" t="str">
            <v>WOOD COATINGS</v>
          </cell>
          <cell r="K4802" t="str">
            <v>1109</v>
          </cell>
          <cell r="L4802" t="str">
            <v>STAIN &amp; GLAZE INTERIOR</v>
          </cell>
          <cell r="M4802" t="str">
            <v>110903</v>
          </cell>
          <cell r="N4802" t="str">
            <v>STAIN INTERIOR</v>
          </cell>
        </row>
        <row r="4803">
          <cell r="C4803" t="str">
            <v>100006477</v>
          </cell>
          <cell r="D4803" t="str">
            <v>DP-12129 YEL GT09 KD VN-18KP</v>
          </cell>
          <cell r="E4803" t="str">
            <v>ZFGD</v>
          </cell>
          <cell r="F4803" t="str">
            <v>PC</v>
          </cell>
          <cell r="G4803" t="str">
            <v>1</v>
          </cell>
          <cell r="H4803" t="str">
            <v>INDUSTRY</v>
          </cell>
          <cell r="I4803" t="str">
            <v>11</v>
          </cell>
          <cell r="J4803" t="str">
            <v>WOOD COATINGS</v>
          </cell>
          <cell r="K4803" t="str">
            <v>1104</v>
          </cell>
          <cell r="L4803" t="str">
            <v>NC</v>
          </cell>
          <cell r="M4803" t="str">
            <v>110405</v>
          </cell>
          <cell r="N4803" t="str">
            <v>NC SYSTEM</v>
          </cell>
        </row>
        <row r="4804">
          <cell r="C4804" t="str">
            <v>100006478</v>
          </cell>
          <cell r="D4804" t="str">
            <v>AL-095 VN-4K</v>
          </cell>
          <cell r="E4804" t="str">
            <v>ZFGD</v>
          </cell>
          <cell r="F4804" t="str">
            <v>PC</v>
          </cell>
          <cell r="G4804" t="str">
            <v>1</v>
          </cell>
          <cell r="H4804" t="str">
            <v>INDUSTRY</v>
          </cell>
          <cell r="I4804" t="str">
            <v>11</v>
          </cell>
          <cell r="J4804" t="str">
            <v>WOOD COATINGS</v>
          </cell>
          <cell r="K4804" t="str">
            <v>1103</v>
          </cell>
          <cell r="L4804" t="str">
            <v>PU</v>
          </cell>
          <cell r="M4804" t="str">
            <v>110325</v>
          </cell>
          <cell r="N4804" t="str">
            <v>UNION HARDENER</v>
          </cell>
        </row>
        <row r="4805">
          <cell r="C4805" t="str">
            <v>100006494</v>
          </cell>
          <cell r="D4805" t="str">
            <v>PCL-31300 GREEN OB PASTE VN-4K</v>
          </cell>
          <cell r="E4805" t="str">
            <v>ZFGD</v>
          </cell>
          <cell r="F4805" t="str">
            <v>PC</v>
          </cell>
          <cell r="G4805" t="str">
            <v>1</v>
          </cell>
          <cell r="H4805" t="str">
            <v>INDUSTRY</v>
          </cell>
          <cell r="I4805" t="str">
            <v>11</v>
          </cell>
          <cell r="J4805" t="str">
            <v>WOOD COATINGS</v>
          </cell>
          <cell r="K4805" t="str">
            <v>1118</v>
          </cell>
          <cell r="L4805" t="str">
            <v>COMPLEMENTARY</v>
          </cell>
          <cell r="M4805" t="str">
            <v>111807</v>
          </cell>
          <cell r="N4805" t="str">
            <v>PASTA</v>
          </cell>
        </row>
        <row r="4806">
          <cell r="C4806" t="str">
            <v>100006499</v>
          </cell>
          <cell r="D4806" t="str">
            <v>PUP-52141 BLUE THH VN-20KP</v>
          </cell>
          <cell r="E4806" t="str">
            <v>ZFGD</v>
          </cell>
          <cell r="F4806" t="str">
            <v>PC</v>
          </cell>
          <cell r="G4806" t="str">
            <v>1</v>
          </cell>
          <cell r="H4806" t="str">
            <v>INDUSTRY</v>
          </cell>
          <cell r="I4806" t="str">
            <v>11</v>
          </cell>
          <cell r="J4806" t="str">
            <v>WOOD COATINGS</v>
          </cell>
          <cell r="K4806" t="str">
            <v>1103</v>
          </cell>
          <cell r="L4806" t="str">
            <v>PU</v>
          </cell>
          <cell r="M4806" t="str">
            <v>110322</v>
          </cell>
          <cell r="N4806" t="str">
            <v>PU PRIMER</v>
          </cell>
        </row>
        <row r="4807">
          <cell r="C4807" t="str">
            <v>100006500</v>
          </cell>
          <cell r="D4807" t="str">
            <v>PUC-52239 BLUE 10 THH VN-20KP</v>
          </cell>
          <cell r="E4807" t="str">
            <v>ZFGD</v>
          </cell>
          <cell r="F4807" t="str">
            <v>PC</v>
          </cell>
          <cell r="G4807" t="str">
            <v>1</v>
          </cell>
          <cell r="H4807" t="str">
            <v>INDUSTRY</v>
          </cell>
          <cell r="I4807" t="str">
            <v>11</v>
          </cell>
          <cell r="J4807" t="str">
            <v>WOOD COATINGS</v>
          </cell>
          <cell r="K4807" t="str">
            <v>1103</v>
          </cell>
          <cell r="L4807" t="str">
            <v>PU</v>
          </cell>
          <cell r="M4807" t="str">
            <v>110319</v>
          </cell>
          <cell r="N4807" t="str">
            <v>PU COLOR</v>
          </cell>
        </row>
        <row r="4808">
          <cell r="C4808" t="str">
            <v>100006501</v>
          </cell>
          <cell r="D4808" t="str">
            <v>PCA-31100 XAM 4008 HPT VN-16KJ</v>
          </cell>
          <cell r="E4808" t="str">
            <v>ZFGD</v>
          </cell>
          <cell r="F4808" t="str">
            <v>PC</v>
          </cell>
          <cell r="G4808" t="str">
            <v>1</v>
          </cell>
          <cell r="H4808" t="str">
            <v>INDUSTRY</v>
          </cell>
          <cell r="I4808" t="str">
            <v>11</v>
          </cell>
          <cell r="J4808" t="str">
            <v>WOOD COATINGS</v>
          </cell>
          <cell r="K4808" t="str">
            <v>1118</v>
          </cell>
          <cell r="L4808" t="str">
            <v>COMPLEMENTARY</v>
          </cell>
          <cell r="M4808" t="str">
            <v>111807</v>
          </cell>
          <cell r="N4808" t="str">
            <v>PASTA</v>
          </cell>
        </row>
        <row r="4809">
          <cell r="C4809" t="str">
            <v>100006502</v>
          </cell>
          <cell r="D4809" t="str">
            <v>PCA-31100 VANG 4008 HPT VN-16KJ</v>
          </cell>
          <cell r="E4809" t="str">
            <v>ZFGD</v>
          </cell>
          <cell r="F4809" t="str">
            <v>PC</v>
          </cell>
          <cell r="G4809" t="str">
            <v>1</v>
          </cell>
          <cell r="H4809" t="str">
            <v>INDUSTRY</v>
          </cell>
          <cell r="I4809" t="str">
            <v>11</v>
          </cell>
          <cell r="J4809" t="str">
            <v>WOOD COATINGS</v>
          </cell>
          <cell r="K4809" t="str">
            <v>1118</v>
          </cell>
          <cell r="L4809" t="str">
            <v>COMPLEMENTARY</v>
          </cell>
          <cell r="M4809" t="str">
            <v>111807</v>
          </cell>
          <cell r="N4809" t="str">
            <v>PASTA</v>
          </cell>
        </row>
        <row r="4810">
          <cell r="C4810" t="str">
            <v>100006503</v>
          </cell>
          <cell r="D4810" t="str">
            <v>GZPU-21500 NAU 4008 HPT VN-18KP</v>
          </cell>
          <cell r="E4810" t="str">
            <v>ZFGD</v>
          </cell>
          <cell r="F4810" t="str">
            <v>PC</v>
          </cell>
          <cell r="G4810" t="str">
            <v>1</v>
          </cell>
          <cell r="H4810" t="str">
            <v>INDUSTRY</v>
          </cell>
          <cell r="I4810" t="str">
            <v>11</v>
          </cell>
          <cell r="J4810" t="str">
            <v>WOOD COATINGS</v>
          </cell>
          <cell r="K4810" t="str">
            <v>1103</v>
          </cell>
          <cell r="L4810" t="str">
            <v>PU</v>
          </cell>
          <cell r="M4810" t="str">
            <v>110302</v>
          </cell>
          <cell r="N4810" t="str">
            <v>GLAZE PU</v>
          </cell>
        </row>
        <row r="4811">
          <cell r="C4811" t="str">
            <v>100006504</v>
          </cell>
          <cell r="D4811" t="str">
            <v>PUC-54205 AC WHITE89 30 TDU VN-20KP</v>
          </cell>
          <cell r="E4811" t="str">
            <v>ZFGD</v>
          </cell>
          <cell r="F4811" t="str">
            <v>PC</v>
          </cell>
          <cell r="G4811" t="str">
            <v>1</v>
          </cell>
          <cell r="H4811" t="str">
            <v>INDUSTRY</v>
          </cell>
          <cell r="I4811" t="str">
            <v>11</v>
          </cell>
          <cell r="J4811" t="str">
            <v>WOOD COATINGS</v>
          </cell>
          <cell r="K4811" t="str">
            <v>1103</v>
          </cell>
          <cell r="L4811" t="str">
            <v>PU</v>
          </cell>
          <cell r="M4811" t="str">
            <v>110319</v>
          </cell>
          <cell r="N4811" t="str">
            <v>PU COLOR</v>
          </cell>
        </row>
        <row r="4812">
          <cell r="C4812" t="str">
            <v>100006505</v>
          </cell>
          <cell r="D4812" t="str">
            <v>PUC-52241 BLACK 06 30 TDU VN-20KP</v>
          </cell>
          <cell r="E4812" t="str">
            <v>ZFGD</v>
          </cell>
          <cell r="F4812" t="str">
            <v>PC</v>
          </cell>
          <cell r="G4812" t="str">
            <v>1</v>
          </cell>
          <cell r="H4812" t="str">
            <v>INDUSTRY</v>
          </cell>
          <cell r="I4812" t="str">
            <v>11</v>
          </cell>
          <cell r="J4812" t="str">
            <v>WOOD COATINGS</v>
          </cell>
          <cell r="K4812" t="str">
            <v>1103</v>
          </cell>
          <cell r="L4812" t="str">
            <v>PU</v>
          </cell>
          <cell r="M4812" t="str">
            <v>110319</v>
          </cell>
          <cell r="N4812" t="str">
            <v>PU COLOR</v>
          </cell>
        </row>
        <row r="4813">
          <cell r="C4813" t="str">
            <v>100006507</v>
          </cell>
          <cell r="D4813" t="str">
            <v>DP-12123 LC GREEN HMU VN-18KP</v>
          </cell>
          <cell r="E4813" t="str">
            <v>ZFGD</v>
          </cell>
          <cell r="F4813" t="str">
            <v>PC</v>
          </cell>
          <cell r="G4813" t="str">
            <v>1</v>
          </cell>
          <cell r="H4813" t="str">
            <v>INDUSTRY</v>
          </cell>
          <cell r="I4813" t="str">
            <v>11</v>
          </cell>
          <cell r="J4813" t="str">
            <v>WOOD COATINGS</v>
          </cell>
          <cell r="K4813" t="str">
            <v>1104</v>
          </cell>
          <cell r="L4813" t="str">
            <v>NC</v>
          </cell>
          <cell r="M4813" t="str">
            <v>110405</v>
          </cell>
          <cell r="N4813" t="str">
            <v>NC SYSTEM</v>
          </cell>
        </row>
        <row r="4814">
          <cell r="C4814" t="str">
            <v>100006508</v>
          </cell>
          <cell r="D4814" t="str">
            <v>PCA-31100 NAU TI 101 HPT VN-16KJ</v>
          </cell>
          <cell r="E4814" t="str">
            <v>ZFGD</v>
          </cell>
          <cell r="F4814" t="str">
            <v>PC</v>
          </cell>
          <cell r="G4814" t="str">
            <v>1</v>
          </cell>
          <cell r="H4814" t="str">
            <v>INDUSTRY</v>
          </cell>
          <cell r="I4814" t="str">
            <v>11</v>
          </cell>
          <cell r="J4814" t="str">
            <v>WOOD COATINGS</v>
          </cell>
          <cell r="K4814" t="str">
            <v>1118</v>
          </cell>
          <cell r="L4814" t="str">
            <v>COMPLEMENTARY</v>
          </cell>
          <cell r="M4814" t="str">
            <v>111807</v>
          </cell>
          <cell r="N4814" t="str">
            <v>PASTA</v>
          </cell>
        </row>
        <row r="4815">
          <cell r="C4815" t="str">
            <v>100006509</v>
          </cell>
          <cell r="D4815" t="str">
            <v>PCA-31100 NAU 7188 A HPT VN-16KJ</v>
          </cell>
          <cell r="E4815" t="str">
            <v>ZFGD</v>
          </cell>
          <cell r="F4815" t="str">
            <v>PC</v>
          </cell>
          <cell r="G4815" t="str">
            <v>1</v>
          </cell>
          <cell r="H4815" t="str">
            <v>INDUSTRY</v>
          </cell>
          <cell r="I4815" t="str">
            <v>11</v>
          </cell>
          <cell r="J4815" t="str">
            <v>WOOD COATINGS</v>
          </cell>
          <cell r="K4815" t="str">
            <v>1118</v>
          </cell>
          <cell r="L4815" t="str">
            <v>COMPLEMENTARY</v>
          </cell>
          <cell r="M4815" t="str">
            <v>111807</v>
          </cell>
          <cell r="N4815" t="str">
            <v>PASTA</v>
          </cell>
        </row>
        <row r="4816">
          <cell r="C4816" t="str">
            <v>100006510</v>
          </cell>
          <cell r="D4816" t="str">
            <v>PCA-31100 CAM 7188 B HPT VN-16KJ</v>
          </cell>
          <cell r="E4816" t="str">
            <v>ZFGD</v>
          </cell>
          <cell r="F4816" t="str">
            <v>PC</v>
          </cell>
          <cell r="G4816" t="str">
            <v>1</v>
          </cell>
          <cell r="H4816" t="str">
            <v>INDUSTRY</v>
          </cell>
          <cell r="I4816" t="str">
            <v>11</v>
          </cell>
          <cell r="J4816" t="str">
            <v>WOOD COATINGS</v>
          </cell>
          <cell r="K4816" t="str">
            <v>1118</v>
          </cell>
          <cell r="L4816" t="str">
            <v>COMPLEMENTARY</v>
          </cell>
          <cell r="M4816" t="str">
            <v>111807</v>
          </cell>
          <cell r="N4816" t="str">
            <v>PASTA</v>
          </cell>
        </row>
        <row r="4817">
          <cell r="C4817" t="str">
            <v>100006511</v>
          </cell>
          <cell r="D4817" t="str">
            <v>PCA-31100 CAM TI301 A HPT VN-16KJ</v>
          </cell>
          <cell r="E4817" t="str">
            <v>ZFGD</v>
          </cell>
          <cell r="F4817" t="str">
            <v>PC</v>
          </cell>
          <cell r="G4817" t="str">
            <v>1</v>
          </cell>
          <cell r="H4817" t="str">
            <v>INDUSTRY</v>
          </cell>
          <cell r="I4817" t="str">
            <v>11</v>
          </cell>
          <cell r="J4817" t="str">
            <v>WOOD COATINGS</v>
          </cell>
          <cell r="K4817" t="str">
            <v>1118</v>
          </cell>
          <cell r="L4817" t="str">
            <v>COMPLEMENTARY</v>
          </cell>
          <cell r="M4817" t="str">
            <v>111807</v>
          </cell>
          <cell r="N4817" t="str">
            <v>PASTA</v>
          </cell>
        </row>
        <row r="4818">
          <cell r="C4818" t="str">
            <v>100006512</v>
          </cell>
          <cell r="D4818" t="str">
            <v>SST-11100 CAM TI301 B HPT VN-16KJ</v>
          </cell>
          <cell r="E4818" t="str">
            <v>ZFGD</v>
          </cell>
          <cell r="F4818" t="str">
            <v>PC</v>
          </cell>
          <cell r="G4818" t="str">
            <v>1</v>
          </cell>
          <cell r="H4818" t="str">
            <v>INDUSTRY</v>
          </cell>
          <cell r="I4818" t="str">
            <v>11</v>
          </cell>
          <cell r="J4818" t="str">
            <v>WOOD COATINGS</v>
          </cell>
          <cell r="K4818" t="str">
            <v>1109</v>
          </cell>
          <cell r="L4818" t="str">
            <v>STAIN &amp; GLAZE INTERIOR</v>
          </cell>
          <cell r="M4818" t="str">
            <v>110903</v>
          </cell>
          <cell r="N4818" t="str">
            <v>STAIN INTERIOR</v>
          </cell>
        </row>
        <row r="4819">
          <cell r="C4819" t="str">
            <v>100006513</v>
          </cell>
          <cell r="D4819" t="str">
            <v>PCL-31400 OXIDE YELLOW PASTE-4K</v>
          </cell>
          <cell r="E4819" t="str">
            <v>ZFGD</v>
          </cell>
          <cell r="F4819" t="str">
            <v>PC</v>
          </cell>
          <cell r="G4819" t="str">
            <v>1</v>
          </cell>
          <cell r="H4819" t="str">
            <v>INDUSTRY</v>
          </cell>
          <cell r="I4819" t="str">
            <v>11</v>
          </cell>
          <cell r="J4819" t="str">
            <v>WOOD COATINGS</v>
          </cell>
          <cell r="K4819" t="str">
            <v>1118</v>
          </cell>
          <cell r="L4819" t="str">
            <v>COMPLEMENTARY</v>
          </cell>
          <cell r="M4819" t="str">
            <v>111807</v>
          </cell>
          <cell r="N4819" t="str">
            <v>PASTA</v>
          </cell>
        </row>
        <row r="4820">
          <cell r="C4820" t="str">
            <v>100006514</v>
          </cell>
          <cell r="D4820" t="str">
            <v>PCL-31400 BLUE OR PASTE-4K</v>
          </cell>
          <cell r="E4820" t="str">
            <v>ZFGD</v>
          </cell>
          <cell r="F4820" t="str">
            <v>PC</v>
          </cell>
          <cell r="G4820" t="str">
            <v>1</v>
          </cell>
          <cell r="H4820" t="str">
            <v>INDUSTRY</v>
          </cell>
          <cell r="I4820" t="str">
            <v>11</v>
          </cell>
          <cell r="J4820" t="str">
            <v>WOOD COATINGS</v>
          </cell>
          <cell r="K4820" t="str">
            <v>1118</v>
          </cell>
          <cell r="L4820" t="str">
            <v>COMPLEMENTARY</v>
          </cell>
          <cell r="M4820" t="str">
            <v>111807</v>
          </cell>
          <cell r="N4820" t="str">
            <v>PASTA</v>
          </cell>
        </row>
        <row r="4821">
          <cell r="C4821" t="str">
            <v>100006515</v>
          </cell>
          <cell r="D4821" t="str">
            <v>PCL-31400 BLUE OG PASTE-4K</v>
          </cell>
          <cell r="E4821" t="str">
            <v>ZFGD</v>
          </cell>
          <cell r="F4821" t="str">
            <v>PC</v>
          </cell>
          <cell r="G4821" t="str">
            <v>1</v>
          </cell>
          <cell r="H4821" t="str">
            <v>INDUSTRY</v>
          </cell>
          <cell r="I4821" t="str">
            <v>11</v>
          </cell>
          <cell r="J4821" t="str">
            <v>WOOD COATINGS</v>
          </cell>
          <cell r="K4821" t="str">
            <v>1118</v>
          </cell>
          <cell r="L4821" t="str">
            <v>COMPLEMENTARY</v>
          </cell>
          <cell r="M4821" t="str">
            <v>111807</v>
          </cell>
          <cell r="N4821" t="str">
            <v>PASTA</v>
          </cell>
        </row>
        <row r="4822">
          <cell r="C4822" t="str">
            <v>100006516</v>
          </cell>
          <cell r="D4822" t="str">
            <v>PCL-31400 GREEN OY PASTE-4K</v>
          </cell>
          <cell r="E4822" t="str">
            <v>ZFGD</v>
          </cell>
          <cell r="F4822" t="str">
            <v>PC</v>
          </cell>
          <cell r="G4822" t="str">
            <v>1</v>
          </cell>
          <cell r="H4822" t="str">
            <v>INDUSTRY</v>
          </cell>
          <cell r="I4822" t="str">
            <v>11</v>
          </cell>
          <cell r="J4822" t="str">
            <v>WOOD COATINGS</v>
          </cell>
          <cell r="K4822" t="str">
            <v>1118</v>
          </cell>
          <cell r="L4822" t="str">
            <v>COMPLEMENTARY</v>
          </cell>
          <cell r="M4822" t="str">
            <v>111807</v>
          </cell>
          <cell r="N4822" t="str">
            <v>PASTA</v>
          </cell>
        </row>
        <row r="4823">
          <cell r="C4823" t="str">
            <v>100006517</v>
          </cell>
          <cell r="D4823" t="str">
            <v>PCL-31400 BLACK 15 PASTE-4K</v>
          </cell>
          <cell r="E4823" t="str">
            <v>ZFGD</v>
          </cell>
          <cell r="F4823" t="str">
            <v>PC</v>
          </cell>
          <cell r="G4823" t="str">
            <v>1</v>
          </cell>
          <cell r="H4823" t="str">
            <v>INDUSTRY</v>
          </cell>
          <cell r="I4823" t="str">
            <v>11</v>
          </cell>
          <cell r="J4823" t="str">
            <v>WOOD COATINGS</v>
          </cell>
          <cell r="K4823" t="str">
            <v>1118</v>
          </cell>
          <cell r="L4823" t="str">
            <v>COMPLEMENTARY</v>
          </cell>
          <cell r="M4823" t="str">
            <v>111807</v>
          </cell>
          <cell r="N4823" t="str">
            <v>PASTA</v>
          </cell>
        </row>
        <row r="4824">
          <cell r="C4824" t="str">
            <v>100006518</v>
          </cell>
          <cell r="D4824" t="str">
            <v>PCL-31400 RED PINK PASTE-4K</v>
          </cell>
          <cell r="E4824" t="str">
            <v>ZFGD</v>
          </cell>
          <cell r="F4824" t="str">
            <v>PC</v>
          </cell>
          <cell r="G4824" t="str">
            <v>1</v>
          </cell>
          <cell r="H4824" t="str">
            <v>INDUSTRY</v>
          </cell>
          <cell r="I4824" t="str">
            <v>11</v>
          </cell>
          <cell r="J4824" t="str">
            <v>WOOD COATINGS</v>
          </cell>
          <cell r="K4824" t="str">
            <v>1118</v>
          </cell>
          <cell r="L4824" t="str">
            <v>COMPLEMENTARY</v>
          </cell>
          <cell r="M4824" t="str">
            <v>111807</v>
          </cell>
          <cell r="N4824" t="str">
            <v>PASTA</v>
          </cell>
        </row>
        <row r="4825">
          <cell r="C4825" t="str">
            <v>100006519</v>
          </cell>
          <cell r="D4825" t="str">
            <v>PCL-31400 RED OY PASTE-4K</v>
          </cell>
          <cell r="E4825" t="str">
            <v>ZFGD</v>
          </cell>
          <cell r="F4825" t="str">
            <v>PC</v>
          </cell>
          <cell r="G4825" t="str">
            <v>1</v>
          </cell>
          <cell r="H4825" t="str">
            <v>INDUSTRY</v>
          </cell>
          <cell r="I4825" t="str">
            <v>11</v>
          </cell>
          <cell r="J4825" t="str">
            <v>WOOD COATINGS</v>
          </cell>
          <cell r="K4825" t="str">
            <v>1118</v>
          </cell>
          <cell r="L4825" t="str">
            <v>COMPLEMENTARY</v>
          </cell>
          <cell r="M4825" t="str">
            <v>111807</v>
          </cell>
          <cell r="N4825" t="str">
            <v>PASTA</v>
          </cell>
        </row>
        <row r="4826">
          <cell r="C4826" t="str">
            <v>100006520</v>
          </cell>
          <cell r="D4826" t="str">
            <v>PCL-31400 OXIDE RED PASTE-4K</v>
          </cell>
          <cell r="E4826" t="str">
            <v>ZFGD</v>
          </cell>
          <cell r="F4826" t="str">
            <v>PC</v>
          </cell>
          <cell r="G4826" t="str">
            <v>1</v>
          </cell>
          <cell r="H4826" t="str">
            <v>INDUSTRY</v>
          </cell>
          <cell r="I4826" t="str">
            <v>11</v>
          </cell>
          <cell r="J4826" t="str">
            <v>WOOD COATINGS</v>
          </cell>
          <cell r="K4826" t="str">
            <v>1118</v>
          </cell>
          <cell r="L4826" t="str">
            <v>COMPLEMENTARY</v>
          </cell>
          <cell r="M4826" t="str">
            <v>111807</v>
          </cell>
          <cell r="N4826" t="str">
            <v>PASTA</v>
          </cell>
        </row>
        <row r="4827">
          <cell r="C4827" t="str">
            <v>100006521</v>
          </cell>
          <cell r="D4827" t="str">
            <v>PCL-31400 VIOLET PASTE-4K</v>
          </cell>
          <cell r="E4827" t="str">
            <v>ZFGD</v>
          </cell>
          <cell r="F4827" t="str">
            <v>PC</v>
          </cell>
          <cell r="G4827" t="str">
            <v>1</v>
          </cell>
          <cell r="H4827" t="str">
            <v>INDUSTRY</v>
          </cell>
          <cell r="I4827" t="str">
            <v>11</v>
          </cell>
          <cell r="J4827" t="str">
            <v>WOOD COATINGS</v>
          </cell>
          <cell r="K4827" t="str">
            <v>1118</v>
          </cell>
          <cell r="L4827" t="str">
            <v>COMPLEMENTARY</v>
          </cell>
          <cell r="M4827" t="str">
            <v>111807</v>
          </cell>
          <cell r="N4827" t="str">
            <v>PASTA</v>
          </cell>
        </row>
        <row r="4828">
          <cell r="C4828" t="str">
            <v>100006522</v>
          </cell>
          <cell r="D4828" t="str">
            <v>PCL-31400 WHITE PASTE-4K</v>
          </cell>
          <cell r="E4828" t="str">
            <v>ZFGD</v>
          </cell>
          <cell r="F4828" t="str">
            <v>PC</v>
          </cell>
          <cell r="G4828" t="str">
            <v>1</v>
          </cell>
          <cell r="H4828" t="str">
            <v>INDUSTRY</v>
          </cell>
          <cell r="I4828" t="str">
            <v>11</v>
          </cell>
          <cell r="J4828" t="str">
            <v>WOOD COATINGS</v>
          </cell>
          <cell r="K4828" t="str">
            <v>1118</v>
          </cell>
          <cell r="L4828" t="str">
            <v>COMPLEMENTARY</v>
          </cell>
          <cell r="M4828" t="str">
            <v>111807</v>
          </cell>
          <cell r="N4828" t="str">
            <v>PASTA</v>
          </cell>
        </row>
        <row r="4829">
          <cell r="C4829" t="str">
            <v>100006523</v>
          </cell>
          <cell r="D4829" t="str">
            <v>PCL-31400 YELLOW OR PASTE-4K</v>
          </cell>
          <cell r="E4829" t="str">
            <v>ZFGD</v>
          </cell>
          <cell r="F4829" t="str">
            <v>PC</v>
          </cell>
          <cell r="G4829" t="str">
            <v>1</v>
          </cell>
          <cell r="H4829" t="str">
            <v>INDUSTRY</v>
          </cell>
          <cell r="I4829" t="str">
            <v>11</v>
          </cell>
          <cell r="J4829" t="str">
            <v>WOOD COATINGS</v>
          </cell>
          <cell r="K4829" t="str">
            <v>1118</v>
          </cell>
          <cell r="L4829" t="str">
            <v>COMPLEMENTARY</v>
          </cell>
          <cell r="M4829" t="str">
            <v>111807</v>
          </cell>
          <cell r="N4829" t="str">
            <v>PASTA</v>
          </cell>
        </row>
        <row r="4830">
          <cell r="C4830" t="str">
            <v>100006524</v>
          </cell>
          <cell r="D4830" t="str">
            <v>PCL-31400 YELLOW OG PASTE-4K</v>
          </cell>
          <cell r="E4830" t="str">
            <v>ZFGD</v>
          </cell>
          <cell r="F4830" t="str">
            <v>PC</v>
          </cell>
          <cell r="G4830" t="str">
            <v>1</v>
          </cell>
          <cell r="H4830" t="str">
            <v>INDUSTRY</v>
          </cell>
          <cell r="I4830" t="str">
            <v>11</v>
          </cell>
          <cell r="J4830" t="str">
            <v>WOOD COATINGS</v>
          </cell>
          <cell r="K4830" t="str">
            <v>1118</v>
          </cell>
          <cell r="L4830" t="str">
            <v>COMPLEMENTARY</v>
          </cell>
          <cell r="M4830" t="str">
            <v>111807</v>
          </cell>
          <cell r="N4830" t="str">
            <v>PASTA</v>
          </cell>
        </row>
        <row r="4831">
          <cell r="C4831" t="str">
            <v>100006525</v>
          </cell>
          <cell r="D4831" t="str">
            <v>PCL-31400 BLACK PASTE-4K</v>
          </cell>
          <cell r="E4831" t="str">
            <v>ZFGD</v>
          </cell>
          <cell r="F4831" t="str">
            <v>PC</v>
          </cell>
          <cell r="G4831" t="str">
            <v>1</v>
          </cell>
          <cell r="H4831" t="str">
            <v>INDUSTRY</v>
          </cell>
          <cell r="I4831" t="str">
            <v>11</v>
          </cell>
          <cell r="J4831" t="str">
            <v>WOOD COATINGS</v>
          </cell>
          <cell r="K4831" t="str">
            <v>1118</v>
          </cell>
          <cell r="L4831" t="str">
            <v>COMPLEMENTARY</v>
          </cell>
          <cell r="M4831" t="str">
            <v>111807</v>
          </cell>
          <cell r="N4831" t="str">
            <v>PASTA</v>
          </cell>
        </row>
        <row r="4832">
          <cell r="C4832" t="str">
            <v>100006526</v>
          </cell>
          <cell r="D4832" t="str">
            <v>PCL-31400 DEEP BLACK PASTE-4K</v>
          </cell>
          <cell r="E4832" t="str">
            <v>ZFGD</v>
          </cell>
          <cell r="F4832" t="str">
            <v>PC</v>
          </cell>
          <cell r="G4832" t="str">
            <v>1</v>
          </cell>
          <cell r="H4832" t="str">
            <v>INDUSTRY</v>
          </cell>
          <cell r="I4832" t="str">
            <v>11</v>
          </cell>
          <cell r="J4832" t="str">
            <v>WOOD COATINGS</v>
          </cell>
          <cell r="K4832" t="str">
            <v>1118</v>
          </cell>
          <cell r="L4832" t="str">
            <v>COMPLEMENTARY</v>
          </cell>
          <cell r="M4832" t="str">
            <v>111807</v>
          </cell>
          <cell r="N4832" t="str">
            <v>PASTA</v>
          </cell>
        </row>
        <row r="4833">
          <cell r="C4833" t="str">
            <v>100006527</v>
          </cell>
          <cell r="D4833" t="str">
            <v>PRCC-20312 POL VARNISH CV VN-20KP</v>
          </cell>
          <cell r="E4833" t="str">
            <v>ZFGD</v>
          </cell>
          <cell r="F4833" t="str">
            <v>PC</v>
          </cell>
          <cell r="G4833" t="str">
            <v>1</v>
          </cell>
          <cell r="H4833" t="str">
            <v>INDUSTRY</v>
          </cell>
          <cell r="I4833" t="str">
            <v>12</v>
          </cell>
          <cell r="J4833" t="str">
            <v>CAN COATINGS</v>
          </cell>
          <cell r="K4833" t="str">
            <v>1201</v>
          </cell>
          <cell r="L4833" t="str">
            <v>CAN COATINGS</v>
          </cell>
          <cell r="M4833" t="str">
            <v>120101</v>
          </cell>
          <cell r="N4833" t="str">
            <v>CAN COATINGS</v>
          </cell>
        </row>
        <row r="4834">
          <cell r="C4834" t="str">
            <v>100006528</v>
          </cell>
          <cell r="D4834" t="str">
            <v>PCA-31100 NAU WD103 HPT VN-16KJ</v>
          </cell>
          <cell r="E4834" t="str">
            <v>ZFGD</v>
          </cell>
          <cell r="F4834" t="str">
            <v>PC</v>
          </cell>
          <cell r="G4834" t="str">
            <v>1</v>
          </cell>
          <cell r="H4834" t="str">
            <v>INDUSTRY</v>
          </cell>
          <cell r="I4834" t="str">
            <v>11</v>
          </cell>
          <cell r="J4834" t="str">
            <v>WOOD COATINGS</v>
          </cell>
          <cell r="K4834" t="str">
            <v>1118</v>
          </cell>
          <cell r="L4834" t="str">
            <v>COMPLEMENTARY</v>
          </cell>
          <cell r="M4834" t="str">
            <v>111807</v>
          </cell>
          <cell r="N4834" t="str">
            <v>PASTA</v>
          </cell>
        </row>
        <row r="4835">
          <cell r="C4835" t="str">
            <v>100006529</v>
          </cell>
          <cell r="D4835" t="str">
            <v>PCA-31100 NAU WD306 A HPT VN-16KJ</v>
          </cell>
          <cell r="E4835" t="str">
            <v>ZFGD</v>
          </cell>
          <cell r="F4835" t="str">
            <v>PC</v>
          </cell>
          <cell r="G4835" t="str">
            <v>1</v>
          </cell>
          <cell r="H4835" t="str">
            <v>INDUSTRY</v>
          </cell>
          <cell r="I4835" t="str">
            <v>11</v>
          </cell>
          <cell r="J4835" t="str">
            <v>WOOD COATINGS</v>
          </cell>
          <cell r="K4835" t="str">
            <v>1118</v>
          </cell>
          <cell r="L4835" t="str">
            <v>COMPLEMENTARY</v>
          </cell>
          <cell r="M4835" t="str">
            <v>111807</v>
          </cell>
          <cell r="N4835" t="str">
            <v>PASTA</v>
          </cell>
        </row>
        <row r="4836">
          <cell r="C4836" t="str">
            <v>100006530</v>
          </cell>
          <cell r="D4836" t="str">
            <v>PCA-31100 NAU WD306 B HPT VN-16KJ</v>
          </cell>
          <cell r="E4836" t="str">
            <v>ZFGD</v>
          </cell>
          <cell r="F4836" t="str">
            <v>PC</v>
          </cell>
          <cell r="G4836" t="str">
            <v>1</v>
          </cell>
          <cell r="H4836" t="str">
            <v>INDUSTRY</v>
          </cell>
          <cell r="I4836" t="str">
            <v>11</v>
          </cell>
          <cell r="J4836" t="str">
            <v>WOOD COATINGS</v>
          </cell>
          <cell r="K4836" t="str">
            <v>1118</v>
          </cell>
          <cell r="L4836" t="str">
            <v>COMPLEMENTARY</v>
          </cell>
          <cell r="M4836" t="str">
            <v>111807</v>
          </cell>
          <cell r="N4836" t="str">
            <v>PASTA</v>
          </cell>
        </row>
        <row r="4837">
          <cell r="C4837" t="str">
            <v>100006531</v>
          </cell>
          <cell r="D4837" t="str">
            <v>PCA-31100 NAU WD308 A HPT VN-16KJ</v>
          </cell>
          <cell r="E4837" t="str">
            <v>ZFGD</v>
          </cell>
          <cell r="F4837" t="str">
            <v>PC</v>
          </cell>
          <cell r="G4837" t="str">
            <v>1</v>
          </cell>
          <cell r="H4837" t="str">
            <v>INDUSTRY</v>
          </cell>
          <cell r="I4837" t="str">
            <v>11</v>
          </cell>
          <cell r="J4837" t="str">
            <v>WOOD COATINGS</v>
          </cell>
          <cell r="K4837" t="str">
            <v>1118</v>
          </cell>
          <cell r="L4837" t="str">
            <v>COMPLEMENTARY</v>
          </cell>
          <cell r="M4837" t="str">
            <v>111807</v>
          </cell>
          <cell r="N4837" t="str">
            <v>PASTA</v>
          </cell>
        </row>
        <row r="4838">
          <cell r="C4838" t="str">
            <v>100006532</v>
          </cell>
          <cell r="D4838" t="str">
            <v>SST-11100 NAU WD308 B HPT VN-16KJ</v>
          </cell>
          <cell r="E4838" t="str">
            <v>ZFGD</v>
          </cell>
          <cell r="F4838" t="str">
            <v>PC</v>
          </cell>
          <cell r="G4838" t="str">
            <v>1</v>
          </cell>
          <cell r="H4838" t="str">
            <v>INDUSTRY</v>
          </cell>
          <cell r="I4838" t="str">
            <v>11</v>
          </cell>
          <cell r="J4838" t="str">
            <v>WOOD COATINGS</v>
          </cell>
          <cell r="K4838" t="str">
            <v>1109</v>
          </cell>
          <cell r="L4838" t="str">
            <v>STAIN &amp; GLAZE INTERIOR</v>
          </cell>
          <cell r="M4838" t="str">
            <v>110903</v>
          </cell>
          <cell r="N4838" t="str">
            <v>STAIN INTERIOR</v>
          </cell>
        </row>
        <row r="4839">
          <cell r="C4839" t="str">
            <v>100006533</v>
          </cell>
          <cell r="D4839" t="str">
            <v>PUP-52141 NAU WD102 HPT VN-20KP</v>
          </cell>
          <cell r="E4839" t="str">
            <v>ZFGD</v>
          </cell>
          <cell r="F4839" t="str">
            <v>PC</v>
          </cell>
          <cell r="G4839" t="str">
            <v>1</v>
          </cell>
          <cell r="H4839" t="str">
            <v>INDUSTRY</v>
          </cell>
          <cell r="I4839" t="str">
            <v>11</v>
          </cell>
          <cell r="J4839" t="str">
            <v>WOOD COATINGS</v>
          </cell>
          <cell r="K4839" t="str">
            <v>1103</v>
          </cell>
          <cell r="L4839" t="str">
            <v>PU</v>
          </cell>
          <cell r="M4839" t="str">
            <v>110322</v>
          </cell>
          <cell r="N4839" t="str">
            <v>PU PRIMER</v>
          </cell>
        </row>
        <row r="4840">
          <cell r="C4840" t="str">
            <v>100006534</v>
          </cell>
          <cell r="D4840" t="str">
            <v>PUC-52241 NAU WD102 10 HPT VN-20KP</v>
          </cell>
          <cell r="E4840" t="str">
            <v>ZFGD</v>
          </cell>
          <cell r="F4840" t="str">
            <v>PC</v>
          </cell>
          <cell r="G4840" t="str">
            <v>1</v>
          </cell>
          <cell r="H4840" t="str">
            <v>INDUSTRY</v>
          </cell>
          <cell r="I4840" t="str">
            <v>11</v>
          </cell>
          <cell r="J4840" t="str">
            <v>WOOD COATINGS</v>
          </cell>
          <cell r="K4840" t="str">
            <v>1103</v>
          </cell>
          <cell r="L4840" t="str">
            <v>PU</v>
          </cell>
          <cell r="M4840" t="str">
            <v>110319</v>
          </cell>
          <cell r="N4840" t="str">
            <v>PU COLOR</v>
          </cell>
        </row>
        <row r="4841">
          <cell r="C4841" t="str">
            <v>100006535</v>
          </cell>
          <cell r="D4841" t="str">
            <v>PUC-54205 AC CREAM 66 70 BOH VN-20KP</v>
          </cell>
          <cell r="E4841" t="str">
            <v>ZFGD</v>
          </cell>
          <cell r="F4841" t="str">
            <v>PC</v>
          </cell>
          <cell r="G4841" t="str">
            <v>1</v>
          </cell>
          <cell r="H4841" t="str">
            <v>INDUSTRY</v>
          </cell>
          <cell r="I4841" t="str">
            <v>11</v>
          </cell>
          <cell r="J4841" t="str">
            <v>WOOD COATINGS</v>
          </cell>
          <cell r="K4841" t="str">
            <v>1103</v>
          </cell>
          <cell r="L4841" t="str">
            <v>PU</v>
          </cell>
          <cell r="M4841" t="str">
            <v>110319</v>
          </cell>
          <cell r="N4841" t="str">
            <v>PU COLOR</v>
          </cell>
        </row>
        <row r="4842">
          <cell r="C4842" t="str">
            <v>100006536</v>
          </cell>
          <cell r="D4842" t="str">
            <v>PUC-54206 AC EX BROWN67 10 BOH VN-18KP</v>
          </cell>
          <cell r="E4842" t="str">
            <v>ZFGD</v>
          </cell>
          <cell r="F4842" t="str">
            <v>PC</v>
          </cell>
          <cell r="G4842" t="str">
            <v>1</v>
          </cell>
          <cell r="H4842" t="str">
            <v>INDUSTRY</v>
          </cell>
          <cell r="I4842" t="str">
            <v>11</v>
          </cell>
          <cell r="J4842" t="str">
            <v>WOOD COATINGS</v>
          </cell>
          <cell r="K4842" t="str">
            <v>1103</v>
          </cell>
          <cell r="L4842" t="str">
            <v>PU</v>
          </cell>
          <cell r="M4842" t="str">
            <v>110319</v>
          </cell>
          <cell r="N4842" t="str">
            <v>PU COLOR</v>
          </cell>
        </row>
        <row r="4843">
          <cell r="C4843" t="str">
            <v>100006537</v>
          </cell>
          <cell r="D4843" t="str">
            <v>PST-12100 YEL AQ05  LAU F1 VN-16KJ</v>
          </cell>
          <cell r="E4843" t="str">
            <v>ZFGD</v>
          </cell>
          <cell r="F4843" t="str">
            <v>PC</v>
          </cell>
          <cell r="G4843" t="str">
            <v>1</v>
          </cell>
          <cell r="H4843" t="str">
            <v>INDUSTRY</v>
          </cell>
          <cell r="I4843" t="str">
            <v>11</v>
          </cell>
          <cell r="J4843" t="str">
            <v>WOOD COATINGS</v>
          </cell>
          <cell r="K4843" t="str">
            <v>1109</v>
          </cell>
          <cell r="L4843" t="str">
            <v>STAIN &amp; GLAZE INTERIOR</v>
          </cell>
          <cell r="M4843" t="str">
            <v>110903</v>
          </cell>
          <cell r="N4843" t="str">
            <v>STAIN INTERIOR</v>
          </cell>
        </row>
        <row r="4844">
          <cell r="C4844" t="str">
            <v>100006538</v>
          </cell>
          <cell r="D4844" t="str">
            <v>PCL-31300 WHITE AQ05 DAM F1 VN-16KJ</v>
          </cell>
          <cell r="E4844" t="str">
            <v>ZFGD</v>
          </cell>
          <cell r="F4844" t="str">
            <v>PC</v>
          </cell>
          <cell r="G4844" t="str">
            <v>1</v>
          </cell>
          <cell r="H4844" t="str">
            <v>INDUSTRY</v>
          </cell>
          <cell r="I4844" t="str">
            <v>11</v>
          </cell>
          <cell r="J4844" t="str">
            <v>WOOD COATINGS</v>
          </cell>
          <cell r="K4844" t="str">
            <v>1118</v>
          </cell>
          <cell r="L4844" t="str">
            <v>COMPLEMENTARY</v>
          </cell>
          <cell r="M4844" t="str">
            <v>111807</v>
          </cell>
          <cell r="N4844" t="str">
            <v>PASTA</v>
          </cell>
        </row>
        <row r="4845">
          <cell r="C4845" t="str">
            <v>100006539</v>
          </cell>
          <cell r="D4845" t="str">
            <v>SST-11100 BROWN 112 SK VN-16KJ</v>
          </cell>
          <cell r="E4845" t="str">
            <v>ZFGD</v>
          </cell>
          <cell r="F4845" t="str">
            <v>PC</v>
          </cell>
          <cell r="G4845" t="str">
            <v>1</v>
          </cell>
          <cell r="H4845" t="str">
            <v>INDUSTRY</v>
          </cell>
          <cell r="I4845" t="str">
            <v>11</v>
          </cell>
          <cell r="J4845" t="str">
            <v>WOOD COATINGS</v>
          </cell>
          <cell r="K4845" t="str">
            <v>1109</v>
          </cell>
          <cell r="L4845" t="str">
            <v>STAIN &amp; GLAZE INTERIOR</v>
          </cell>
          <cell r="M4845" t="str">
            <v>110903</v>
          </cell>
          <cell r="N4845" t="str">
            <v>STAIN INTERIOR</v>
          </cell>
        </row>
        <row r="4846">
          <cell r="C4846" t="str">
            <v>100006540</v>
          </cell>
          <cell r="D4846" t="str">
            <v>SST-11100 BROWN 117 DO VN-16KJ</v>
          </cell>
          <cell r="E4846" t="str">
            <v>ZFGD</v>
          </cell>
          <cell r="F4846" t="str">
            <v>PC</v>
          </cell>
          <cell r="G4846" t="str">
            <v>1</v>
          </cell>
          <cell r="H4846" t="str">
            <v>INDUSTRY</v>
          </cell>
          <cell r="I4846" t="str">
            <v>11</v>
          </cell>
          <cell r="J4846" t="str">
            <v>WOOD COATINGS</v>
          </cell>
          <cell r="K4846" t="str">
            <v>1109</v>
          </cell>
          <cell r="L4846" t="str">
            <v>STAIN &amp; GLAZE INTERIOR</v>
          </cell>
          <cell r="M4846" t="str">
            <v>110903</v>
          </cell>
          <cell r="N4846" t="str">
            <v>STAIN INTERIOR</v>
          </cell>
        </row>
        <row r="4847">
          <cell r="C4847" t="str">
            <v>100006541</v>
          </cell>
          <cell r="D4847" t="str">
            <v>PUC-54205 AC WHITE 20 TCS VN-20KP</v>
          </cell>
          <cell r="E4847" t="str">
            <v>ZFGD</v>
          </cell>
          <cell r="F4847" t="str">
            <v>PC</v>
          </cell>
          <cell r="G4847" t="str">
            <v>1</v>
          </cell>
          <cell r="H4847" t="str">
            <v>INDUSTRY</v>
          </cell>
          <cell r="I4847" t="str">
            <v>11</v>
          </cell>
          <cell r="J4847" t="str">
            <v>WOOD COATINGS</v>
          </cell>
          <cell r="K4847" t="str">
            <v>1103</v>
          </cell>
          <cell r="L4847" t="str">
            <v>PU</v>
          </cell>
          <cell r="M4847" t="str">
            <v>110319</v>
          </cell>
          <cell r="N4847" t="str">
            <v>PU COLOR</v>
          </cell>
        </row>
        <row r="4848">
          <cell r="C4848" t="str">
            <v>100006542</v>
          </cell>
          <cell r="D4848" t="str">
            <v>PUC-54205 AC GREY 20 TCS VN-20KP</v>
          </cell>
          <cell r="E4848" t="str">
            <v>ZFGD</v>
          </cell>
          <cell r="F4848" t="str">
            <v>PC</v>
          </cell>
          <cell r="G4848" t="str">
            <v>1</v>
          </cell>
          <cell r="H4848" t="str">
            <v>INDUSTRY</v>
          </cell>
          <cell r="I4848" t="str">
            <v>11</v>
          </cell>
          <cell r="J4848" t="str">
            <v>WOOD COATINGS</v>
          </cell>
          <cell r="K4848" t="str">
            <v>1103</v>
          </cell>
          <cell r="L4848" t="str">
            <v>PU</v>
          </cell>
          <cell r="M4848" t="str">
            <v>110319</v>
          </cell>
          <cell r="N4848" t="str">
            <v>PU COLOR</v>
          </cell>
        </row>
        <row r="4849">
          <cell r="C4849" t="str">
            <v>100006543</v>
          </cell>
          <cell r="D4849" t="str">
            <v>PUP-52141 BLUE TCS VN-20KP</v>
          </cell>
          <cell r="E4849" t="str">
            <v>ZFGD</v>
          </cell>
          <cell r="F4849" t="str">
            <v>PC</v>
          </cell>
          <cell r="G4849" t="str">
            <v>1</v>
          </cell>
          <cell r="H4849" t="str">
            <v>INDUSTRY</v>
          </cell>
          <cell r="I4849" t="str">
            <v>11</v>
          </cell>
          <cell r="J4849" t="str">
            <v>WOOD COATINGS</v>
          </cell>
          <cell r="K4849" t="str">
            <v>1103</v>
          </cell>
          <cell r="L4849" t="str">
            <v>PU</v>
          </cell>
          <cell r="M4849" t="str">
            <v>110322</v>
          </cell>
          <cell r="N4849" t="str">
            <v>PU PRIMER</v>
          </cell>
        </row>
        <row r="4850">
          <cell r="C4850" t="str">
            <v>100006544</v>
          </cell>
          <cell r="D4850" t="str">
            <v>PUC-54206 AC EX BLUE 20 TCS VN-18KP</v>
          </cell>
          <cell r="E4850" t="str">
            <v>ZFGD</v>
          </cell>
          <cell r="F4850" t="str">
            <v>PC</v>
          </cell>
          <cell r="G4850" t="str">
            <v>1</v>
          </cell>
          <cell r="H4850" t="str">
            <v>INDUSTRY</v>
          </cell>
          <cell r="I4850" t="str">
            <v>11</v>
          </cell>
          <cell r="J4850" t="str">
            <v>WOOD COATINGS</v>
          </cell>
          <cell r="K4850" t="str">
            <v>1103</v>
          </cell>
          <cell r="L4850" t="str">
            <v>PU</v>
          </cell>
          <cell r="M4850" t="str">
            <v>110319</v>
          </cell>
          <cell r="N4850" t="str">
            <v>PU COLOR</v>
          </cell>
        </row>
        <row r="4851">
          <cell r="C4851" t="str">
            <v>100006546</v>
          </cell>
          <cell r="D4851" t="str">
            <v>PUC-54206 AC EX BLACK 15 VN-18KP</v>
          </cell>
          <cell r="E4851" t="str">
            <v>ZFGD</v>
          </cell>
          <cell r="F4851" t="str">
            <v>PC</v>
          </cell>
          <cell r="G4851" t="str">
            <v>1</v>
          </cell>
          <cell r="H4851" t="str">
            <v>INDUSTRY</v>
          </cell>
          <cell r="I4851" t="str">
            <v>11</v>
          </cell>
          <cell r="J4851" t="str">
            <v>WOOD COATINGS</v>
          </cell>
          <cell r="K4851" t="str">
            <v>1103</v>
          </cell>
          <cell r="L4851" t="str">
            <v>PU</v>
          </cell>
          <cell r="M4851" t="str">
            <v>110319</v>
          </cell>
          <cell r="N4851" t="str">
            <v>PU COLOR</v>
          </cell>
        </row>
        <row r="4852">
          <cell r="C4852" t="str">
            <v>100006547</v>
          </cell>
          <cell r="D4852" t="str">
            <v>PUP-52142 ACR BLACK SP VN-20KP</v>
          </cell>
          <cell r="E4852" t="str">
            <v>ZFGD</v>
          </cell>
          <cell r="F4852" t="str">
            <v>PC</v>
          </cell>
          <cell r="G4852" t="str">
            <v>1</v>
          </cell>
          <cell r="H4852" t="str">
            <v>INDUSTRY</v>
          </cell>
          <cell r="I4852" t="str">
            <v>11</v>
          </cell>
          <cell r="J4852" t="str">
            <v>WOOD COATINGS</v>
          </cell>
          <cell r="K4852" t="str">
            <v>1103</v>
          </cell>
          <cell r="L4852" t="str">
            <v>PU</v>
          </cell>
          <cell r="M4852" t="str">
            <v>110304</v>
          </cell>
          <cell r="N4852" t="str">
            <v>PU SYSTEM</v>
          </cell>
        </row>
        <row r="4853">
          <cell r="C4853" t="str">
            <v>100006548</v>
          </cell>
          <cell r="D4853" t="str">
            <v>PUP-52142 ACR WHITE SP VN-20KP</v>
          </cell>
          <cell r="E4853" t="str">
            <v>ZFGD</v>
          </cell>
          <cell r="F4853" t="str">
            <v>PC</v>
          </cell>
          <cell r="G4853" t="str">
            <v>1</v>
          </cell>
          <cell r="H4853" t="str">
            <v>INDUSTRY</v>
          </cell>
          <cell r="I4853" t="str">
            <v>11</v>
          </cell>
          <cell r="J4853" t="str">
            <v>WOOD COATINGS</v>
          </cell>
          <cell r="K4853" t="str">
            <v>1103</v>
          </cell>
          <cell r="L4853" t="str">
            <v>PU</v>
          </cell>
          <cell r="M4853" t="str">
            <v>110304</v>
          </cell>
          <cell r="N4853" t="str">
            <v>PU SYSTEM</v>
          </cell>
        </row>
        <row r="4854">
          <cell r="C4854" t="str">
            <v>100006549</v>
          </cell>
          <cell r="D4854" t="str">
            <v>PUH-56142 SP VN-20KP</v>
          </cell>
          <cell r="E4854" t="str">
            <v>ZFGD</v>
          </cell>
          <cell r="F4854" t="str">
            <v>PC</v>
          </cell>
          <cell r="G4854" t="str">
            <v>1</v>
          </cell>
          <cell r="H4854" t="str">
            <v>INDUSTRY</v>
          </cell>
          <cell r="I4854" t="str">
            <v>11</v>
          </cell>
          <cell r="J4854" t="str">
            <v>WOOD COATINGS</v>
          </cell>
          <cell r="K4854" t="str">
            <v>1103</v>
          </cell>
          <cell r="L4854" t="str">
            <v>PU</v>
          </cell>
          <cell r="M4854" t="str">
            <v>110320</v>
          </cell>
          <cell r="N4854" t="str">
            <v>PU HARDENER</v>
          </cell>
        </row>
        <row r="4855">
          <cell r="C4855" t="str">
            <v>100006551</v>
          </cell>
          <cell r="D4855" t="str">
            <v>NBC-9345-T660AK-20KP</v>
          </cell>
          <cell r="E4855" t="str">
            <v>ZFGD</v>
          </cell>
          <cell r="F4855" t="str">
            <v>PC</v>
          </cell>
          <cell r="G4855" t="str">
            <v>1</v>
          </cell>
          <cell r="H4855" t="str">
            <v>INDUSTRY</v>
          </cell>
          <cell r="I4855" t="str">
            <v>11</v>
          </cell>
          <cell r="J4855" t="str">
            <v>WOOD COATINGS</v>
          </cell>
          <cell r="K4855" t="str">
            <v>1104</v>
          </cell>
          <cell r="L4855" t="str">
            <v>NC</v>
          </cell>
          <cell r="M4855" t="str">
            <v>110403</v>
          </cell>
          <cell r="N4855" t="str">
            <v>ASOF : NC BASE COAT</v>
          </cell>
        </row>
        <row r="4856">
          <cell r="C4856" t="str">
            <v>100006552</v>
          </cell>
          <cell r="D4856" t="str">
            <v>NBC-9345-T660AK-200KB</v>
          </cell>
          <cell r="E4856" t="str">
            <v>ZFGD</v>
          </cell>
          <cell r="F4856" t="str">
            <v>PC</v>
          </cell>
          <cell r="G4856" t="str">
            <v>1</v>
          </cell>
          <cell r="H4856" t="str">
            <v>INDUSTRY</v>
          </cell>
          <cell r="I4856" t="str">
            <v>11</v>
          </cell>
          <cell r="J4856" t="str">
            <v>WOOD COATINGS</v>
          </cell>
          <cell r="K4856" t="str">
            <v>1104</v>
          </cell>
          <cell r="L4856" t="str">
            <v>NC</v>
          </cell>
          <cell r="M4856" t="str">
            <v>110403</v>
          </cell>
          <cell r="N4856" t="str">
            <v>ASOF : NC BASE COAT</v>
          </cell>
        </row>
        <row r="4857">
          <cell r="C4857" t="str">
            <v>100006553</v>
          </cell>
          <cell r="D4857" t="str">
            <v>VISKO PRIMER VP-4005 VN-21KP</v>
          </cell>
          <cell r="E4857" t="str">
            <v>ZFGD</v>
          </cell>
          <cell r="F4857" t="str">
            <v>PC</v>
          </cell>
          <cell r="G4857" t="str">
            <v>2</v>
          </cell>
          <cell r="H4857" t="str">
            <v>RETAIL</v>
          </cell>
          <cell r="I4857" t="str">
            <v>25</v>
          </cell>
          <cell r="J4857" t="str">
            <v>APCT1</v>
          </cell>
          <cell r="K4857" t="str">
            <v>2520</v>
          </cell>
          <cell r="L4857" t="str">
            <v>VISKO PRIMER</v>
          </cell>
          <cell r="M4857" t="str">
            <v>252001</v>
          </cell>
          <cell r="N4857" t="str">
            <v>VISKO PRIMER</v>
          </cell>
        </row>
        <row r="4858">
          <cell r="C4858" t="str">
            <v>100006554</v>
          </cell>
          <cell r="D4858" t="str">
            <v>VISKO TOP VT-4006 WHITE-9144 VN-25KP</v>
          </cell>
          <cell r="E4858" t="str">
            <v>ZFGD</v>
          </cell>
          <cell r="F4858" t="str">
            <v>PC</v>
          </cell>
          <cell r="G4858" t="str">
            <v>2</v>
          </cell>
          <cell r="H4858" t="str">
            <v>RETAIL</v>
          </cell>
          <cell r="I4858" t="str">
            <v>25</v>
          </cell>
          <cell r="J4858" t="str">
            <v>APCT1</v>
          </cell>
          <cell r="K4858" t="str">
            <v>2521</v>
          </cell>
          <cell r="L4858" t="str">
            <v>VISKO TOP</v>
          </cell>
          <cell r="M4858" t="str">
            <v>252101</v>
          </cell>
          <cell r="N4858" t="str">
            <v>VISKO TOP</v>
          </cell>
        </row>
        <row r="4859">
          <cell r="C4859" t="str">
            <v>100006555</v>
          </cell>
          <cell r="D4859" t="str">
            <v>VISKO TOP VT-4006 BASE A VN-25KP</v>
          </cell>
          <cell r="E4859" t="str">
            <v>ZFGD</v>
          </cell>
          <cell r="F4859" t="str">
            <v>PC</v>
          </cell>
          <cell r="G4859" t="str">
            <v>2</v>
          </cell>
          <cell r="H4859" t="str">
            <v>RETAIL</v>
          </cell>
          <cell r="I4859" t="str">
            <v>25</v>
          </cell>
          <cell r="J4859" t="str">
            <v>APCT1</v>
          </cell>
          <cell r="K4859" t="str">
            <v>2521</v>
          </cell>
          <cell r="L4859" t="str">
            <v>VISKO TOP</v>
          </cell>
          <cell r="M4859" t="str">
            <v>252101</v>
          </cell>
          <cell r="N4859" t="str">
            <v>VISKO TOP</v>
          </cell>
        </row>
        <row r="4860">
          <cell r="C4860" t="str">
            <v>100006556</v>
          </cell>
          <cell r="D4860" t="str">
            <v>PUC-54205 AC XAM2258K 10 TCS VN-20KP</v>
          </cell>
          <cell r="E4860" t="str">
            <v>ZFGD</v>
          </cell>
          <cell r="F4860" t="str">
            <v>PC</v>
          </cell>
          <cell r="G4860" t="str">
            <v>1</v>
          </cell>
          <cell r="H4860" t="str">
            <v>INDUSTRY</v>
          </cell>
          <cell r="I4860" t="str">
            <v>11</v>
          </cell>
          <cell r="J4860" t="str">
            <v>WOOD COATINGS</v>
          </cell>
          <cell r="K4860" t="str">
            <v>1103</v>
          </cell>
          <cell r="L4860" t="str">
            <v>PU</v>
          </cell>
          <cell r="M4860" t="str">
            <v>110319</v>
          </cell>
          <cell r="N4860" t="str">
            <v>PU COLOR</v>
          </cell>
        </row>
        <row r="4861">
          <cell r="C4861" t="str">
            <v>100006557</v>
          </cell>
          <cell r="D4861" t="str">
            <v>PUC-54205 AC XAM2262K 10 TCS VN-20KP</v>
          </cell>
          <cell r="E4861" t="str">
            <v>ZFGD</v>
          </cell>
          <cell r="F4861" t="str">
            <v>PC</v>
          </cell>
          <cell r="G4861" t="str">
            <v>1</v>
          </cell>
          <cell r="H4861" t="str">
            <v>INDUSTRY</v>
          </cell>
          <cell r="I4861" t="str">
            <v>11</v>
          </cell>
          <cell r="J4861" t="str">
            <v>WOOD COATINGS</v>
          </cell>
          <cell r="K4861" t="str">
            <v>1103</v>
          </cell>
          <cell r="L4861" t="str">
            <v>PU</v>
          </cell>
          <cell r="M4861" t="str">
            <v>110319</v>
          </cell>
          <cell r="N4861" t="str">
            <v>PU COLOR</v>
          </cell>
        </row>
        <row r="4862">
          <cell r="C4862" t="str">
            <v>100006558</v>
          </cell>
          <cell r="D4862" t="str">
            <v>PUC-54205 AC XAM2254K 10 TCS VN-20KP</v>
          </cell>
          <cell r="E4862" t="str">
            <v>ZFGD</v>
          </cell>
          <cell r="F4862" t="str">
            <v>PC</v>
          </cell>
          <cell r="G4862" t="str">
            <v>1</v>
          </cell>
          <cell r="H4862" t="str">
            <v>INDUSTRY</v>
          </cell>
          <cell r="I4862" t="str">
            <v>11</v>
          </cell>
          <cell r="J4862" t="str">
            <v>WOOD COATINGS</v>
          </cell>
          <cell r="K4862" t="str">
            <v>1103</v>
          </cell>
          <cell r="L4862" t="str">
            <v>PU</v>
          </cell>
          <cell r="M4862" t="str">
            <v>110319</v>
          </cell>
          <cell r="N4862" t="str">
            <v>PU COLOR</v>
          </cell>
        </row>
        <row r="4863">
          <cell r="C4863" t="str">
            <v>100006559</v>
          </cell>
          <cell r="D4863" t="str">
            <v>PUP-54111 AC BROWN LANA SR VN-20KP</v>
          </cell>
          <cell r="E4863" t="str">
            <v>ZFGD</v>
          </cell>
          <cell r="F4863" t="str">
            <v>PC</v>
          </cell>
          <cell r="G4863" t="str">
            <v>1</v>
          </cell>
          <cell r="H4863" t="str">
            <v>INDUSTRY</v>
          </cell>
          <cell r="I4863" t="str">
            <v>11</v>
          </cell>
          <cell r="J4863" t="str">
            <v>WOOD COATINGS</v>
          </cell>
          <cell r="K4863" t="str">
            <v>1103</v>
          </cell>
          <cell r="L4863" t="str">
            <v>PU</v>
          </cell>
          <cell r="M4863" t="str">
            <v>110322</v>
          </cell>
          <cell r="N4863" t="str">
            <v>PU PRIMER</v>
          </cell>
        </row>
        <row r="4864">
          <cell r="C4864" t="str">
            <v>100006560</v>
          </cell>
          <cell r="D4864" t="str">
            <v>PUC-54205 AC WHT2252K 10 TCS VN-20KP</v>
          </cell>
          <cell r="E4864" t="str">
            <v>ZFGD</v>
          </cell>
          <cell r="F4864" t="str">
            <v>PC</v>
          </cell>
          <cell r="G4864" t="str">
            <v>1</v>
          </cell>
          <cell r="H4864" t="str">
            <v>INDUSTRY</v>
          </cell>
          <cell r="I4864" t="str">
            <v>11</v>
          </cell>
          <cell r="J4864" t="str">
            <v>WOOD COATINGS</v>
          </cell>
          <cell r="K4864" t="str">
            <v>1103</v>
          </cell>
          <cell r="L4864" t="str">
            <v>PU</v>
          </cell>
          <cell r="M4864" t="str">
            <v>110319</v>
          </cell>
          <cell r="N4864" t="str">
            <v>PU COLOR</v>
          </cell>
        </row>
        <row r="4865">
          <cell r="C4865" t="str">
            <v>100006561</v>
          </cell>
          <cell r="D4865" t="str">
            <v>PUC-54205 AC XAM2263K 10 TCS VN-20KP</v>
          </cell>
          <cell r="E4865" t="str">
            <v>ZFGD</v>
          </cell>
          <cell r="F4865" t="str">
            <v>PC</v>
          </cell>
          <cell r="G4865" t="str">
            <v>1</v>
          </cell>
          <cell r="H4865" t="str">
            <v>INDUSTRY</v>
          </cell>
          <cell r="I4865" t="str">
            <v>11</v>
          </cell>
          <cell r="J4865" t="str">
            <v>WOOD COATINGS</v>
          </cell>
          <cell r="K4865" t="str">
            <v>1103</v>
          </cell>
          <cell r="L4865" t="str">
            <v>PU</v>
          </cell>
          <cell r="M4865" t="str">
            <v>110319</v>
          </cell>
          <cell r="N4865" t="str">
            <v>PU COLOR</v>
          </cell>
        </row>
        <row r="4866">
          <cell r="C4866" t="str">
            <v>100006562</v>
          </cell>
          <cell r="D4866" t="str">
            <v>PUC-54206 AC EX BLUE2264 10 TCSVN-18KP</v>
          </cell>
          <cell r="E4866" t="str">
            <v>ZFGD</v>
          </cell>
          <cell r="F4866" t="str">
            <v>PC</v>
          </cell>
          <cell r="G4866" t="str">
            <v>1</v>
          </cell>
          <cell r="H4866" t="str">
            <v>INDUSTRY</v>
          </cell>
          <cell r="I4866" t="str">
            <v>11</v>
          </cell>
          <cell r="J4866" t="str">
            <v>WOOD COATINGS</v>
          </cell>
          <cell r="K4866" t="str">
            <v>1103</v>
          </cell>
          <cell r="L4866" t="str">
            <v>PU</v>
          </cell>
          <cell r="M4866" t="str">
            <v>110319</v>
          </cell>
          <cell r="N4866" t="str">
            <v>PU COLOR</v>
          </cell>
        </row>
        <row r="4867">
          <cell r="C4867" t="str">
            <v>100006563</v>
          </cell>
          <cell r="D4867" t="str">
            <v>PUL-53306 AC EX CLEAR 20 PMT VN-18KP</v>
          </cell>
          <cell r="E4867" t="str">
            <v>ZFGD</v>
          </cell>
          <cell r="F4867" t="str">
            <v>PC</v>
          </cell>
          <cell r="G4867" t="str">
            <v>1</v>
          </cell>
          <cell r="H4867" t="str">
            <v>INDUSTRY</v>
          </cell>
          <cell r="I4867" t="str">
            <v>11</v>
          </cell>
          <cell r="J4867" t="str">
            <v>WOOD COATINGS</v>
          </cell>
          <cell r="K4867" t="str">
            <v>1103</v>
          </cell>
          <cell r="L4867" t="str">
            <v>PU</v>
          </cell>
          <cell r="M4867" t="str">
            <v>110321</v>
          </cell>
          <cell r="N4867" t="str">
            <v>PU LACQUER</v>
          </cell>
        </row>
        <row r="4868">
          <cell r="C4868" t="str">
            <v>100006564</v>
          </cell>
          <cell r="D4868" t="str">
            <v>SST-11100 CS YELLOW WS VN-16KJ</v>
          </cell>
          <cell r="E4868" t="str">
            <v>ZFGD</v>
          </cell>
          <cell r="F4868" t="str">
            <v>PC</v>
          </cell>
          <cell r="G4868" t="str">
            <v>1</v>
          </cell>
          <cell r="H4868" t="str">
            <v>INDUSTRY</v>
          </cell>
          <cell r="I4868" t="str">
            <v>11</v>
          </cell>
          <cell r="J4868" t="str">
            <v>WOOD COATINGS</v>
          </cell>
          <cell r="K4868" t="str">
            <v>1109</v>
          </cell>
          <cell r="L4868" t="str">
            <v>STAIN &amp; GLAZE INTERIOR</v>
          </cell>
          <cell r="M4868" t="str">
            <v>110903</v>
          </cell>
          <cell r="N4868" t="str">
            <v>STAIN INTERIOR</v>
          </cell>
        </row>
        <row r="4869">
          <cell r="C4869" t="str">
            <v>100006565</v>
          </cell>
          <cell r="D4869" t="str">
            <v>SST-11100 YN 701 YELLOW WS VN-16KJ</v>
          </cell>
          <cell r="E4869" t="str">
            <v>ZFGD</v>
          </cell>
          <cell r="F4869" t="str">
            <v>PC</v>
          </cell>
          <cell r="G4869" t="str">
            <v>1</v>
          </cell>
          <cell r="H4869" t="str">
            <v>INDUSTRY</v>
          </cell>
          <cell r="I4869" t="str">
            <v>11</v>
          </cell>
          <cell r="J4869" t="str">
            <v>WOOD COATINGS</v>
          </cell>
          <cell r="K4869" t="str">
            <v>1109</v>
          </cell>
          <cell r="L4869" t="str">
            <v>STAIN &amp; GLAZE INTERIOR</v>
          </cell>
          <cell r="M4869" t="str">
            <v>110903</v>
          </cell>
          <cell r="N4869" t="str">
            <v>STAIN INTERIOR</v>
          </cell>
        </row>
        <row r="4870">
          <cell r="C4870" t="str">
            <v>100006566</v>
          </cell>
          <cell r="D4870" t="str">
            <v>PCL-31300 BLUE OR 50 PASTE VN-4K</v>
          </cell>
          <cell r="E4870" t="str">
            <v>ZFGD</v>
          </cell>
          <cell r="F4870" t="str">
            <v>PC</v>
          </cell>
          <cell r="G4870" t="str">
            <v>1</v>
          </cell>
          <cell r="H4870" t="str">
            <v>INDUSTRY</v>
          </cell>
          <cell r="I4870" t="str">
            <v>11</v>
          </cell>
          <cell r="J4870" t="str">
            <v>WOOD COATINGS</v>
          </cell>
          <cell r="K4870" t="str">
            <v>1118</v>
          </cell>
          <cell r="L4870" t="str">
            <v>COMPLEMENTARY</v>
          </cell>
          <cell r="M4870" t="str">
            <v>111807</v>
          </cell>
          <cell r="N4870" t="str">
            <v>PASTA</v>
          </cell>
        </row>
        <row r="4871">
          <cell r="C4871" t="str">
            <v>100006567</v>
          </cell>
          <cell r="D4871" t="str">
            <v>THPU-71324-1 EST YJ VN-20LJ</v>
          </cell>
          <cell r="E4871" t="str">
            <v>ZFGD</v>
          </cell>
          <cell r="F4871" t="str">
            <v>PC</v>
          </cell>
          <cell r="G4871" t="str">
            <v>1</v>
          </cell>
          <cell r="H4871" t="str">
            <v>INDUSTRY</v>
          </cell>
          <cell r="I4871" t="str">
            <v>14</v>
          </cell>
          <cell r="J4871" t="str">
            <v>THINNER</v>
          </cell>
          <cell r="K4871" t="str">
            <v>1411</v>
          </cell>
          <cell r="L4871" t="str">
            <v>THINNER PU</v>
          </cell>
          <cell r="M4871" t="str">
            <v>141101</v>
          </cell>
          <cell r="N4871" t="str">
            <v>THINNER PU</v>
          </cell>
        </row>
        <row r="4872">
          <cell r="C4872" t="str">
            <v>100006572</v>
          </cell>
          <cell r="D4872" t="str">
            <v>PRCC-40102 HV GOLD T350 CT VN-200KK</v>
          </cell>
          <cell r="E4872" t="str">
            <v>ZFGD</v>
          </cell>
          <cell r="F4872" t="str">
            <v>PC</v>
          </cell>
          <cell r="G4872" t="str">
            <v>1</v>
          </cell>
          <cell r="H4872" t="str">
            <v>INDUSTRY</v>
          </cell>
          <cell r="I4872" t="str">
            <v>12</v>
          </cell>
          <cell r="J4872" t="str">
            <v>CAN COATINGS</v>
          </cell>
          <cell r="K4872" t="str">
            <v>1201</v>
          </cell>
          <cell r="L4872" t="str">
            <v>CAN COATINGS</v>
          </cell>
          <cell r="M4872" t="str">
            <v>120101</v>
          </cell>
          <cell r="N4872" t="str">
            <v>CAN COATINGS</v>
          </cell>
        </row>
        <row r="4873">
          <cell r="C4873" t="str">
            <v>100006574</v>
          </cell>
          <cell r="D4873" t="str">
            <v>PST-12100 C10 RED VN-4K</v>
          </cell>
          <cell r="E4873" t="str">
            <v>ZFGD</v>
          </cell>
          <cell r="F4873" t="str">
            <v>PC</v>
          </cell>
          <cell r="G4873" t="str">
            <v>1</v>
          </cell>
          <cell r="H4873" t="str">
            <v>INDUSTRY</v>
          </cell>
          <cell r="I4873" t="str">
            <v>11</v>
          </cell>
          <cell r="J4873" t="str">
            <v>WOOD COATINGS</v>
          </cell>
          <cell r="K4873" t="str">
            <v>1109</v>
          </cell>
          <cell r="L4873" t="str">
            <v>STAIN &amp; GLAZE INTERIOR</v>
          </cell>
          <cell r="M4873" t="str">
            <v>110903</v>
          </cell>
          <cell r="N4873" t="str">
            <v>STAIN INTERIOR</v>
          </cell>
        </row>
        <row r="4874">
          <cell r="C4874" t="str">
            <v>100006575</v>
          </cell>
          <cell r="D4874" t="str">
            <v>DW-500 NT 740 DELICIOUS -18LP</v>
          </cell>
          <cell r="E4874" t="str">
            <v>ZFGD</v>
          </cell>
          <cell r="F4874" t="str">
            <v>PC</v>
          </cell>
          <cell r="G4874" t="str">
            <v>2</v>
          </cell>
          <cell r="H4874" t="str">
            <v>RETAIL</v>
          </cell>
          <cell r="I4874" t="str">
            <v>25</v>
          </cell>
          <cell r="J4874" t="str">
            <v>APCT1</v>
          </cell>
          <cell r="K4874" t="str">
            <v>2502</v>
          </cell>
          <cell r="L4874" t="str">
            <v>DECOR</v>
          </cell>
          <cell r="M4874" t="str">
            <v>250203</v>
          </cell>
          <cell r="N4874" t="str">
            <v>DECORSHIELD RMX</v>
          </cell>
        </row>
        <row r="4875">
          <cell r="C4875" t="str">
            <v>120000102</v>
          </cell>
          <cell r="D4875" t="str">
            <v>UPR-960 HARVEST 3404 VN</v>
          </cell>
          <cell r="E4875" t="str">
            <v>ZSFG</v>
          </cell>
          <cell r="F4875" t="str">
            <v>KG</v>
          </cell>
          <cell r="G4875" t="str">
            <v>2</v>
          </cell>
          <cell r="H4875" t="str">
            <v>RETAIL</v>
          </cell>
          <cell r="I4875" t="str">
            <v>2D</v>
          </cell>
          <cell r="J4875" t="str">
            <v>APCT2</v>
          </cell>
          <cell r="K4875" t="str">
            <v>2D01</v>
          </cell>
          <cell r="L4875" t="str">
            <v>ULTRAPROOF</v>
          </cell>
          <cell r="M4875" t="str">
            <v>2D0101</v>
          </cell>
          <cell r="N4875" t="str">
            <v>ULTRAPROOF RMX</v>
          </cell>
        </row>
        <row r="4876">
          <cell r="C4876" t="str">
            <v>120000127</v>
          </cell>
          <cell r="D4876" t="str">
            <v>US-970 AVOCADO 1107 VN</v>
          </cell>
          <cell r="E4876" t="str">
            <v>ZSFG</v>
          </cell>
          <cell r="F4876" t="str">
            <v>KG</v>
          </cell>
          <cell r="G4876" t="str">
            <v>2</v>
          </cell>
          <cell r="H4876" t="str">
            <v>RETAIL</v>
          </cell>
          <cell r="I4876" t="str">
            <v>28</v>
          </cell>
          <cell r="J4876" t="str">
            <v>CPC2</v>
          </cell>
          <cell r="K4876" t="str">
            <v>2807</v>
          </cell>
          <cell r="L4876" t="str">
            <v>ULTRASEAL</v>
          </cell>
          <cell r="M4876" t="str">
            <v>280701</v>
          </cell>
          <cell r="N4876" t="str">
            <v>ULTRASEAL</v>
          </cell>
        </row>
        <row r="4877">
          <cell r="C4877" t="str">
            <v>120000139</v>
          </cell>
          <cell r="D4877" t="str">
            <v>US-970 GREEN LANE 8124 VN</v>
          </cell>
          <cell r="E4877" t="str">
            <v>ZSFG</v>
          </cell>
          <cell r="F4877" t="str">
            <v>KG</v>
          </cell>
          <cell r="G4877" t="str">
            <v>2</v>
          </cell>
          <cell r="H4877" t="str">
            <v>RETAIL</v>
          </cell>
          <cell r="I4877" t="str">
            <v>28</v>
          </cell>
          <cell r="J4877" t="str">
            <v>CPC2</v>
          </cell>
          <cell r="K4877" t="str">
            <v>2807</v>
          </cell>
          <cell r="L4877" t="str">
            <v>ULTRASEAL</v>
          </cell>
          <cell r="M4877" t="str">
            <v>280701</v>
          </cell>
          <cell r="N4877" t="str">
            <v>ULTRASEAL</v>
          </cell>
        </row>
        <row r="4878">
          <cell r="C4878" t="str">
            <v>120000142</v>
          </cell>
          <cell r="D4878" t="str">
            <v>US-970 LIME GREEN 8125 VN</v>
          </cell>
          <cell r="E4878" t="str">
            <v>ZSFG</v>
          </cell>
          <cell r="F4878" t="str">
            <v>KG</v>
          </cell>
          <cell r="G4878" t="str">
            <v>2</v>
          </cell>
          <cell r="H4878" t="str">
            <v>RETAIL</v>
          </cell>
          <cell r="I4878" t="str">
            <v>28</v>
          </cell>
          <cell r="J4878" t="str">
            <v>CPC2</v>
          </cell>
          <cell r="K4878" t="str">
            <v>2807</v>
          </cell>
          <cell r="L4878" t="str">
            <v>ULTRASEAL</v>
          </cell>
          <cell r="M4878" t="str">
            <v>280701</v>
          </cell>
          <cell r="N4878" t="str">
            <v>ULTRASEAL</v>
          </cell>
        </row>
        <row r="4879">
          <cell r="C4879" t="str">
            <v>120000146</v>
          </cell>
          <cell r="D4879" t="str">
            <v>US-970 WHITE SHADOW 2112 VN</v>
          </cell>
          <cell r="E4879" t="str">
            <v>ZSFG</v>
          </cell>
          <cell r="F4879" t="str">
            <v>KG</v>
          </cell>
          <cell r="G4879" t="str">
            <v>2</v>
          </cell>
          <cell r="H4879" t="str">
            <v>RETAIL</v>
          </cell>
          <cell r="I4879" t="str">
            <v>28</v>
          </cell>
          <cell r="J4879" t="str">
            <v>CPC2</v>
          </cell>
          <cell r="K4879" t="str">
            <v>2807</v>
          </cell>
          <cell r="L4879" t="str">
            <v>ULTRASEAL</v>
          </cell>
          <cell r="M4879" t="str">
            <v>280701</v>
          </cell>
          <cell r="N4879" t="str">
            <v>ULTRASEAL</v>
          </cell>
        </row>
        <row r="4880">
          <cell r="C4880" t="str">
            <v>120000271</v>
          </cell>
          <cell r="D4880" t="str">
            <v>HARDENER MX-94 VN</v>
          </cell>
          <cell r="E4880" t="str">
            <v>ZSFG</v>
          </cell>
          <cell r="F4880" t="str">
            <v>KG</v>
          </cell>
          <cell r="G4880" t="str">
            <v>5</v>
          </cell>
          <cell r="H4880" t="str">
            <v>PROJECT</v>
          </cell>
          <cell r="I4880" t="str">
            <v>56</v>
          </cell>
          <cell r="J4880" t="str">
            <v>CPC1</v>
          </cell>
          <cell r="K4880" t="str">
            <v>5603</v>
          </cell>
          <cell r="L4880" t="str">
            <v>MULTIPOX</v>
          </cell>
          <cell r="M4880" t="str">
            <v>560301</v>
          </cell>
          <cell r="N4880" t="str">
            <v>MULTIPOX</v>
          </cell>
        </row>
        <row r="4881">
          <cell r="C4881" t="str">
            <v>120000832</v>
          </cell>
          <cell r="D4881" t="str">
            <v>THC-73100 602 RB VN</v>
          </cell>
          <cell r="E4881" t="str">
            <v>ZSFG</v>
          </cell>
          <cell r="F4881" t="str">
            <v>KG</v>
          </cell>
          <cell r="G4881" t="str">
            <v>1</v>
          </cell>
          <cell r="H4881" t="str">
            <v>INDUSTRY</v>
          </cell>
          <cell r="I4881" t="str">
            <v>14</v>
          </cell>
          <cell r="J4881" t="str">
            <v>THINNER</v>
          </cell>
          <cell r="K4881" t="str">
            <v>1412</v>
          </cell>
          <cell r="L4881" t="str">
            <v>THINNER NC</v>
          </cell>
          <cell r="M4881" t="str">
            <v>141203</v>
          </cell>
          <cell r="N4881" t="str">
            <v>THINNER COMPLEMENTARY</v>
          </cell>
        </row>
        <row r="4882">
          <cell r="C4882" t="str">
            <v>120001728</v>
          </cell>
          <cell r="D4882" t="str">
            <v>SYNTHETIC 2000 RIVER BLUE VN</v>
          </cell>
          <cell r="E4882" t="str">
            <v>ZSFG</v>
          </cell>
          <cell r="F4882" t="str">
            <v>KG</v>
          </cell>
          <cell r="G4882" t="str">
            <v>5</v>
          </cell>
          <cell r="H4882" t="str">
            <v>PROJECT</v>
          </cell>
          <cell r="I4882" t="str">
            <v>59</v>
          </cell>
          <cell r="J4882" t="str">
            <v>MPC</v>
          </cell>
          <cell r="K4882" t="str">
            <v>5902</v>
          </cell>
          <cell r="L4882" t="str">
            <v>SYNTHETIC ENAMEL SB</v>
          </cell>
          <cell r="M4882" t="str">
            <v>590202</v>
          </cell>
          <cell r="N4882" t="str">
            <v>SYNTHETIC 2000</v>
          </cell>
        </row>
        <row r="4883">
          <cell r="C4883" t="str">
            <v>120001737</v>
          </cell>
          <cell r="D4883" t="str">
            <v>SYNTHETIC 2000 GENTIAN BLUE VN</v>
          </cell>
          <cell r="E4883" t="str">
            <v>ZSFG</v>
          </cell>
          <cell r="F4883" t="str">
            <v>KG</v>
          </cell>
          <cell r="G4883" t="str">
            <v>5</v>
          </cell>
          <cell r="H4883" t="str">
            <v>PROJECT</v>
          </cell>
          <cell r="I4883" t="str">
            <v>59</v>
          </cell>
          <cell r="J4883" t="str">
            <v>MPC</v>
          </cell>
          <cell r="K4883" t="str">
            <v>5902</v>
          </cell>
          <cell r="L4883" t="str">
            <v>SYNTHETIC ENAMEL SB</v>
          </cell>
          <cell r="M4883" t="str">
            <v>590202</v>
          </cell>
          <cell r="N4883" t="str">
            <v>SYNTHETIC 2000</v>
          </cell>
        </row>
        <row r="4884">
          <cell r="C4884" t="str">
            <v>120001930</v>
          </cell>
          <cell r="D4884" t="str">
            <v>PCWB-31600 BLACK AY PASTE</v>
          </cell>
          <cell r="E4884" t="str">
            <v>ZSFG</v>
          </cell>
          <cell r="F4884" t="str">
            <v>KG</v>
          </cell>
          <cell r="G4884" t="str">
            <v>1</v>
          </cell>
          <cell r="H4884" t="str">
            <v>INDUSTRY</v>
          </cell>
          <cell r="I4884" t="str">
            <v>11</v>
          </cell>
          <cell r="J4884" t="str">
            <v>WOOD COATINGS</v>
          </cell>
          <cell r="K4884" t="str">
            <v>1118</v>
          </cell>
          <cell r="L4884" t="str">
            <v>COMPLEMENTARY</v>
          </cell>
          <cell r="M4884" t="str">
            <v>111807</v>
          </cell>
          <cell r="N4884" t="str">
            <v>PASTA</v>
          </cell>
        </row>
        <row r="4885">
          <cell r="C4885" t="str">
            <v>120002046</v>
          </cell>
          <cell r="D4885" t="str">
            <v>PUC-54205 AC 41 10 PF VN</v>
          </cell>
          <cell r="E4885" t="str">
            <v>ZSFG</v>
          </cell>
          <cell r="F4885" t="str">
            <v>KG</v>
          </cell>
          <cell r="G4885" t="str">
            <v>1</v>
          </cell>
          <cell r="H4885" t="str">
            <v>INDUSTRY</v>
          </cell>
          <cell r="I4885" t="str">
            <v>11</v>
          </cell>
          <cell r="J4885" t="str">
            <v>WOOD COATINGS</v>
          </cell>
          <cell r="K4885" t="str">
            <v>1103</v>
          </cell>
          <cell r="L4885" t="str">
            <v>PU</v>
          </cell>
          <cell r="M4885" t="str">
            <v>110319</v>
          </cell>
          <cell r="N4885" t="str">
            <v>PU COLOR</v>
          </cell>
        </row>
        <row r="4886">
          <cell r="C4886" t="str">
            <v>120002146</v>
          </cell>
          <cell r="D4886" t="str">
            <v>PUC-54205 AC WHITE CT 30 VN</v>
          </cell>
          <cell r="E4886" t="str">
            <v>ZSFG</v>
          </cell>
          <cell r="F4886" t="str">
            <v>KG</v>
          </cell>
          <cell r="G4886" t="str">
            <v>1</v>
          </cell>
          <cell r="H4886" t="str">
            <v>INDUSTRY</v>
          </cell>
          <cell r="I4886" t="str">
            <v>11</v>
          </cell>
          <cell r="J4886" t="str">
            <v>WOOD COATINGS</v>
          </cell>
          <cell r="K4886" t="str">
            <v>1103</v>
          </cell>
          <cell r="L4886" t="str">
            <v>PU</v>
          </cell>
          <cell r="M4886" t="str">
            <v>110319</v>
          </cell>
          <cell r="N4886" t="str">
            <v>PU COLOR</v>
          </cell>
        </row>
        <row r="4887">
          <cell r="C4887" t="str">
            <v>120002147</v>
          </cell>
          <cell r="D4887" t="str">
            <v>PUP-52135 DS 07 DS VN</v>
          </cell>
          <cell r="E4887" t="str">
            <v>ZSFG</v>
          </cell>
          <cell r="F4887" t="str">
            <v>KG</v>
          </cell>
          <cell r="G4887" t="str">
            <v>1</v>
          </cell>
          <cell r="H4887" t="str">
            <v>INDUSTRY</v>
          </cell>
          <cell r="I4887" t="str">
            <v>11</v>
          </cell>
          <cell r="J4887" t="str">
            <v>WOOD COATINGS</v>
          </cell>
          <cell r="K4887" t="str">
            <v>1103</v>
          </cell>
          <cell r="L4887" t="str">
            <v>PU</v>
          </cell>
          <cell r="M4887" t="str">
            <v>110322</v>
          </cell>
          <cell r="N4887" t="str">
            <v>PU PRIMER</v>
          </cell>
        </row>
        <row r="4888">
          <cell r="C4888" t="str">
            <v>120002148</v>
          </cell>
          <cell r="D4888" t="str">
            <v>PUC-52235 DS 07 20 DS VN</v>
          </cell>
          <cell r="E4888" t="str">
            <v>ZSFG</v>
          </cell>
          <cell r="F4888" t="str">
            <v>KG</v>
          </cell>
          <cell r="G4888" t="str">
            <v>1</v>
          </cell>
          <cell r="H4888" t="str">
            <v>INDUSTRY</v>
          </cell>
          <cell r="I4888" t="str">
            <v>11</v>
          </cell>
          <cell r="J4888" t="str">
            <v>WOOD COATINGS</v>
          </cell>
          <cell r="K4888" t="str">
            <v>1103</v>
          </cell>
          <cell r="L4888" t="str">
            <v>PU</v>
          </cell>
          <cell r="M4888" t="str">
            <v>110319</v>
          </cell>
          <cell r="N4888" t="str">
            <v>PU COLOR</v>
          </cell>
        </row>
        <row r="4889">
          <cell r="C4889" t="str">
            <v>120002149</v>
          </cell>
          <cell r="D4889" t="str">
            <v>WBL-61201 CLEAR 50 HN VN</v>
          </cell>
          <cell r="E4889" t="str">
            <v>ZSFG</v>
          </cell>
          <cell r="F4889" t="str">
            <v>KG</v>
          </cell>
          <cell r="G4889" t="str">
            <v>1</v>
          </cell>
          <cell r="H4889" t="str">
            <v>INDUSTRY</v>
          </cell>
          <cell r="I4889" t="str">
            <v>11</v>
          </cell>
          <cell r="J4889" t="str">
            <v>WOOD COATINGS</v>
          </cell>
          <cell r="K4889" t="str">
            <v>1119</v>
          </cell>
          <cell r="L4889" t="str">
            <v>WATERBASED</v>
          </cell>
          <cell r="M4889" t="str">
            <v>111902</v>
          </cell>
          <cell r="N4889" t="str">
            <v>WATERBASED SYSTEM INTERIOR</v>
          </cell>
        </row>
        <row r="4890">
          <cell r="C4890" t="str">
            <v>120002150</v>
          </cell>
          <cell r="D4890" t="str">
            <v>UVL-50101 CLEAR 20 VN</v>
          </cell>
          <cell r="E4890" t="str">
            <v>ZSFG</v>
          </cell>
          <cell r="F4890" t="str">
            <v>KG</v>
          </cell>
          <cell r="G4890" t="str">
            <v>1</v>
          </cell>
          <cell r="H4890" t="str">
            <v>INDUSTRY</v>
          </cell>
          <cell r="I4890" t="str">
            <v>11</v>
          </cell>
          <cell r="J4890" t="str">
            <v>WOOD COATINGS</v>
          </cell>
          <cell r="K4890" t="str">
            <v>1106</v>
          </cell>
          <cell r="L4890" t="str">
            <v>UV</v>
          </cell>
          <cell r="M4890" t="str">
            <v>110607</v>
          </cell>
          <cell r="N4890" t="str">
            <v>UV TOP COAT CLEAR</v>
          </cell>
        </row>
        <row r="4891">
          <cell r="C4891" t="str">
            <v>120002167</v>
          </cell>
          <cell r="D4891" t="str">
            <v>WBC-64217 EX GMR 08 SC VN</v>
          </cell>
          <cell r="E4891" t="str">
            <v>ZSFG</v>
          </cell>
          <cell r="F4891" t="str">
            <v>KG</v>
          </cell>
          <cell r="G4891" t="str">
            <v>1</v>
          </cell>
          <cell r="H4891" t="str">
            <v>INDUSTRY</v>
          </cell>
          <cell r="I4891" t="str">
            <v>11</v>
          </cell>
          <cell r="J4891" t="str">
            <v>WOOD COATINGS</v>
          </cell>
          <cell r="K4891" t="str">
            <v>1119</v>
          </cell>
          <cell r="L4891" t="str">
            <v>WATERBASED</v>
          </cell>
          <cell r="M4891" t="str">
            <v>111901</v>
          </cell>
          <cell r="N4891" t="str">
            <v>WATERBASED SYSTEM EXTERIOR</v>
          </cell>
        </row>
        <row r="4892">
          <cell r="C4892" t="str">
            <v>120002264</v>
          </cell>
          <cell r="D4892" t="str">
            <v>SYNTHETIC 3000 RX BLACK DOF 9406D VN</v>
          </cell>
          <cell r="E4892" t="str">
            <v>ZSFG</v>
          </cell>
          <cell r="F4892" t="str">
            <v>KG</v>
          </cell>
          <cell r="G4892" t="str">
            <v>2</v>
          </cell>
          <cell r="H4892" t="str">
            <v>RETAIL</v>
          </cell>
          <cell r="I4892" t="str">
            <v>29</v>
          </cell>
          <cell r="J4892" t="str">
            <v>MPC</v>
          </cell>
          <cell r="K4892" t="str">
            <v>2902</v>
          </cell>
          <cell r="L4892" t="str">
            <v>SYNTHETIC ENAMEL SB</v>
          </cell>
          <cell r="M4892" t="str">
            <v>290203</v>
          </cell>
          <cell r="N4892" t="str">
            <v>SYNTHETIC 3000</v>
          </cell>
        </row>
        <row r="4893">
          <cell r="C4893" t="str">
            <v>120002460</v>
          </cell>
          <cell r="D4893" t="str">
            <v>SYNTHETIC 2000 TRAFFIC GREEN VN</v>
          </cell>
          <cell r="E4893" t="str">
            <v>ZSFG</v>
          </cell>
          <cell r="F4893" t="str">
            <v>KG</v>
          </cell>
          <cell r="G4893" t="str">
            <v>5</v>
          </cell>
          <cell r="H4893" t="str">
            <v>PROJECT</v>
          </cell>
          <cell r="I4893" t="str">
            <v>59</v>
          </cell>
          <cell r="J4893" t="str">
            <v>MPC</v>
          </cell>
          <cell r="K4893" t="str">
            <v>5902</v>
          </cell>
          <cell r="L4893" t="str">
            <v>SYNTHETIC ENAMEL SB</v>
          </cell>
          <cell r="M4893" t="str">
            <v>590202</v>
          </cell>
          <cell r="N4893" t="str">
            <v>SYNTHETIC 2000</v>
          </cell>
        </row>
        <row r="4894">
          <cell r="C4894" t="str">
            <v>120002864</v>
          </cell>
          <cell r="D4894" t="str">
            <v>THC-73100 602 VN</v>
          </cell>
          <cell r="E4894" t="str">
            <v>ZSFG</v>
          </cell>
          <cell r="F4894" t="str">
            <v>KG</v>
          </cell>
          <cell r="G4894" t="str">
            <v>1</v>
          </cell>
          <cell r="H4894" t="str">
            <v>INDUSTRY</v>
          </cell>
          <cell r="I4894" t="str">
            <v>14</v>
          </cell>
          <cell r="J4894" t="str">
            <v>THINNER</v>
          </cell>
          <cell r="K4894" t="str">
            <v>1412</v>
          </cell>
          <cell r="L4894" t="str">
            <v>THINNER NC</v>
          </cell>
          <cell r="M4894" t="str">
            <v>141203</v>
          </cell>
          <cell r="N4894" t="str">
            <v>THINNER COMPLEMENTARY</v>
          </cell>
        </row>
        <row r="4895">
          <cell r="C4895" t="str">
            <v>120002947</v>
          </cell>
          <cell r="D4895" t="str">
            <v>SRB 4 F</v>
          </cell>
          <cell r="E4895" t="str">
            <v>ZSFG</v>
          </cell>
          <cell r="F4895" t="str">
            <v>KG</v>
          </cell>
          <cell r="G4895" t="str">
            <v>1</v>
          </cell>
          <cell r="H4895" t="str">
            <v>INDUSTRY</v>
          </cell>
          <cell r="I4895" t="str">
            <v>11</v>
          </cell>
          <cell r="J4895" t="str">
            <v>WOOD COATINGS</v>
          </cell>
          <cell r="K4895" t="str">
            <v>1103</v>
          </cell>
          <cell r="L4895" t="str">
            <v>PU</v>
          </cell>
          <cell r="M4895" t="str">
            <v>110320</v>
          </cell>
          <cell r="N4895" t="str">
            <v>PU HARDENER</v>
          </cell>
        </row>
        <row r="4896">
          <cell r="C4896" t="str">
            <v>120003106</v>
          </cell>
          <cell r="D4896" t="str">
            <v>PUP-52135 DARK BLUE AT VN</v>
          </cell>
          <cell r="E4896" t="str">
            <v>ZSFG</v>
          </cell>
          <cell r="F4896" t="str">
            <v>KG</v>
          </cell>
          <cell r="G4896" t="str">
            <v>1</v>
          </cell>
          <cell r="H4896" t="str">
            <v>INDUSTRY</v>
          </cell>
          <cell r="I4896" t="str">
            <v>11</v>
          </cell>
          <cell r="J4896" t="str">
            <v>WOOD COATINGS</v>
          </cell>
          <cell r="K4896" t="str">
            <v>1103</v>
          </cell>
          <cell r="L4896" t="str">
            <v>PU</v>
          </cell>
          <cell r="M4896" t="str">
            <v>110322</v>
          </cell>
          <cell r="N4896" t="str">
            <v>PU PRIMER</v>
          </cell>
        </row>
        <row r="4897">
          <cell r="C4897" t="str">
            <v>120003107</v>
          </cell>
          <cell r="D4897" t="str">
            <v>PUC-52241 DARK BLUE 10 AT VN</v>
          </cell>
          <cell r="E4897" t="str">
            <v>ZSFG</v>
          </cell>
          <cell r="F4897" t="str">
            <v>KG</v>
          </cell>
          <cell r="G4897" t="str">
            <v>1</v>
          </cell>
          <cell r="H4897" t="str">
            <v>INDUSTRY</v>
          </cell>
          <cell r="I4897" t="str">
            <v>11</v>
          </cell>
          <cell r="J4897" t="str">
            <v>WOOD COATINGS</v>
          </cell>
          <cell r="K4897" t="str">
            <v>1103</v>
          </cell>
          <cell r="L4897" t="str">
            <v>PU</v>
          </cell>
          <cell r="M4897" t="str">
            <v>110319</v>
          </cell>
          <cell r="N4897" t="str">
            <v>PU COLOR</v>
          </cell>
        </row>
        <row r="4898">
          <cell r="C4898" t="str">
            <v>120003108</v>
          </cell>
          <cell r="D4898" t="str">
            <v>PUC-52241 MATT BLACK 10 KD VN</v>
          </cell>
          <cell r="E4898" t="str">
            <v>ZSFG</v>
          </cell>
          <cell r="F4898" t="str">
            <v>KG</v>
          </cell>
          <cell r="G4898" t="str">
            <v>1</v>
          </cell>
          <cell r="H4898" t="str">
            <v>INDUSTRY</v>
          </cell>
          <cell r="I4898" t="str">
            <v>11</v>
          </cell>
          <cell r="J4898" t="str">
            <v>WOOD COATINGS</v>
          </cell>
          <cell r="K4898" t="str">
            <v>1103</v>
          </cell>
          <cell r="L4898" t="str">
            <v>PU</v>
          </cell>
          <cell r="M4898" t="str">
            <v>110319</v>
          </cell>
          <cell r="N4898" t="str">
            <v>PU COLOR</v>
          </cell>
        </row>
        <row r="4899">
          <cell r="C4899" t="str">
            <v>120003109</v>
          </cell>
          <cell r="D4899" t="str">
            <v>WBP-62102 MF RAL 5008 KC VN</v>
          </cell>
          <cell r="E4899" t="str">
            <v>ZSFG</v>
          </cell>
          <cell r="F4899" t="str">
            <v>KG</v>
          </cell>
          <cell r="G4899" t="str">
            <v>1</v>
          </cell>
          <cell r="H4899" t="str">
            <v>INDUSTRY</v>
          </cell>
          <cell r="I4899" t="str">
            <v>11</v>
          </cell>
          <cell r="J4899" t="str">
            <v>WOOD COATINGS</v>
          </cell>
          <cell r="K4899" t="str">
            <v>1119</v>
          </cell>
          <cell r="L4899" t="str">
            <v>WATERBASED</v>
          </cell>
          <cell r="M4899" t="str">
            <v>111902</v>
          </cell>
          <cell r="N4899" t="str">
            <v>WATERBASED SYSTEM INTERIOR</v>
          </cell>
        </row>
        <row r="4900">
          <cell r="C4900" t="str">
            <v>120003110</v>
          </cell>
          <cell r="D4900" t="str">
            <v>WBC-62202 HS RAL 5008 10 KC VN</v>
          </cell>
          <cell r="E4900" t="str">
            <v>ZSFG</v>
          </cell>
          <cell r="F4900" t="str">
            <v>KG</v>
          </cell>
          <cell r="G4900" t="str">
            <v>1</v>
          </cell>
          <cell r="H4900" t="str">
            <v>INDUSTRY</v>
          </cell>
          <cell r="I4900" t="str">
            <v>11</v>
          </cell>
          <cell r="J4900" t="str">
            <v>WOOD COATINGS</v>
          </cell>
          <cell r="K4900" t="str">
            <v>1119</v>
          </cell>
          <cell r="L4900" t="str">
            <v>WATERBASED</v>
          </cell>
          <cell r="M4900" t="str">
            <v>111902</v>
          </cell>
          <cell r="N4900" t="str">
            <v>WATERBASED SYSTEM INTERIOR</v>
          </cell>
        </row>
        <row r="4901">
          <cell r="C4901" t="str">
            <v>120003111</v>
          </cell>
          <cell r="D4901" t="str">
            <v>82-1040 UE AF URT FLAT A</v>
          </cell>
          <cell r="E4901" t="str">
            <v>ZSFG</v>
          </cell>
          <cell r="F4901" t="str">
            <v>KG</v>
          </cell>
          <cell r="G4901" t="str">
            <v>1</v>
          </cell>
          <cell r="H4901" t="str">
            <v>INDUSTRY</v>
          </cell>
          <cell r="I4901" t="str">
            <v>11</v>
          </cell>
          <cell r="J4901" t="str">
            <v>WOOD COATINGS</v>
          </cell>
          <cell r="K4901" t="str">
            <v>1103</v>
          </cell>
          <cell r="L4901" t="str">
            <v>PU</v>
          </cell>
          <cell r="M4901" t="str">
            <v>110312</v>
          </cell>
          <cell r="N4901" t="str">
            <v>UNION TOP COAT</v>
          </cell>
        </row>
        <row r="4902">
          <cell r="C4902" t="str">
            <v>120003112</v>
          </cell>
          <cell r="D4902" t="str">
            <v>PUP-52135 DGE GREY AT VN</v>
          </cell>
          <cell r="E4902" t="str">
            <v>ZSFG</v>
          </cell>
          <cell r="F4902" t="str">
            <v>KG</v>
          </cell>
          <cell r="G4902" t="str">
            <v>1</v>
          </cell>
          <cell r="H4902" t="str">
            <v>INDUSTRY</v>
          </cell>
          <cell r="I4902" t="str">
            <v>11</v>
          </cell>
          <cell r="J4902" t="str">
            <v>WOOD COATINGS</v>
          </cell>
          <cell r="K4902" t="str">
            <v>1103</v>
          </cell>
          <cell r="L4902" t="str">
            <v>PU</v>
          </cell>
          <cell r="M4902" t="str">
            <v>110322</v>
          </cell>
          <cell r="N4902" t="str">
            <v>PU PRIMER</v>
          </cell>
        </row>
        <row r="4903">
          <cell r="C4903" t="str">
            <v>120003113</v>
          </cell>
          <cell r="D4903" t="str">
            <v>PUC-54205 AC DGE GREY 10 AT VN</v>
          </cell>
          <cell r="E4903" t="str">
            <v>ZSFG</v>
          </cell>
          <cell r="F4903" t="str">
            <v>KG</v>
          </cell>
          <cell r="G4903" t="str">
            <v>1</v>
          </cell>
          <cell r="H4903" t="str">
            <v>INDUSTRY</v>
          </cell>
          <cell r="I4903" t="str">
            <v>11</v>
          </cell>
          <cell r="J4903" t="str">
            <v>WOOD COATINGS</v>
          </cell>
          <cell r="K4903" t="str">
            <v>1103</v>
          </cell>
          <cell r="L4903" t="str">
            <v>PU</v>
          </cell>
          <cell r="M4903" t="str">
            <v>110319</v>
          </cell>
          <cell r="N4903" t="str">
            <v>PU COLOR</v>
          </cell>
        </row>
        <row r="4904">
          <cell r="C4904" t="str">
            <v>120003114</v>
          </cell>
          <cell r="D4904" t="str">
            <v>WBP-62102 MF RAL 7016 KC VN</v>
          </cell>
          <cell r="E4904" t="str">
            <v>ZSFG</v>
          </cell>
          <cell r="F4904" t="str">
            <v>KG</v>
          </cell>
          <cell r="G4904" t="str">
            <v>1</v>
          </cell>
          <cell r="H4904" t="str">
            <v>INDUSTRY</v>
          </cell>
          <cell r="I4904" t="str">
            <v>11</v>
          </cell>
          <cell r="J4904" t="str">
            <v>WOOD COATINGS</v>
          </cell>
          <cell r="K4904" t="str">
            <v>1119</v>
          </cell>
          <cell r="L4904" t="str">
            <v>WATERBASED</v>
          </cell>
          <cell r="M4904" t="str">
            <v>111902</v>
          </cell>
          <cell r="N4904" t="str">
            <v>WATERBASED SYSTEM INTERIOR</v>
          </cell>
        </row>
        <row r="4905">
          <cell r="C4905" t="str">
            <v>120003115</v>
          </cell>
          <cell r="D4905" t="str">
            <v>WBC-62202 HS RAL 7016 10 KC VN</v>
          </cell>
          <cell r="E4905" t="str">
            <v>ZSFG</v>
          </cell>
          <cell r="F4905" t="str">
            <v>KG</v>
          </cell>
          <cell r="G4905" t="str">
            <v>1</v>
          </cell>
          <cell r="H4905" t="str">
            <v>INDUSTRY</v>
          </cell>
          <cell r="I4905" t="str">
            <v>11</v>
          </cell>
          <cell r="J4905" t="str">
            <v>WOOD COATINGS</v>
          </cell>
          <cell r="K4905" t="str">
            <v>1119</v>
          </cell>
          <cell r="L4905" t="str">
            <v>WATERBASED</v>
          </cell>
          <cell r="M4905" t="str">
            <v>111902</v>
          </cell>
          <cell r="N4905" t="str">
            <v>WATERBASED SYSTEM INTERIOR</v>
          </cell>
        </row>
        <row r="4906">
          <cell r="C4906" t="str">
            <v>120003116</v>
          </cell>
          <cell r="D4906" t="str">
            <v>WBC-62202 HS RAL 7047 10 KC VN</v>
          </cell>
          <cell r="E4906" t="str">
            <v>ZSFG</v>
          </cell>
          <cell r="F4906" t="str">
            <v>KG</v>
          </cell>
          <cell r="G4906" t="str">
            <v>1</v>
          </cell>
          <cell r="H4906" t="str">
            <v>INDUSTRY</v>
          </cell>
          <cell r="I4906" t="str">
            <v>11</v>
          </cell>
          <cell r="J4906" t="str">
            <v>WOOD COATINGS</v>
          </cell>
          <cell r="K4906" t="str">
            <v>1119</v>
          </cell>
          <cell r="L4906" t="str">
            <v>WATERBASED</v>
          </cell>
          <cell r="M4906" t="str">
            <v>111902</v>
          </cell>
          <cell r="N4906" t="str">
            <v>WATERBASED SYSTEM INTERIOR</v>
          </cell>
        </row>
        <row r="4907">
          <cell r="C4907" t="str">
            <v>120003117</v>
          </cell>
          <cell r="D4907" t="str">
            <v>WBC-62202 HS RAL 9002 10 KC VN</v>
          </cell>
          <cell r="E4907" t="str">
            <v>ZSFG</v>
          </cell>
          <cell r="F4907" t="str">
            <v>KG</v>
          </cell>
          <cell r="G4907" t="str">
            <v>1</v>
          </cell>
          <cell r="H4907" t="str">
            <v>INDUSTRY</v>
          </cell>
          <cell r="I4907" t="str">
            <v>11</v>
          </cell>
          <cell r="J4907" t="str">
            <v>WOOD COATINGS</v>
          </cell>
          <cell r="K4907" t="str">
            <v>1119</v>
          </cell>
          <cell r="L4907" t="str">
            <v>WATERBASED</v>
          </cell>
          <cell r="M4907" t="str">
            <v>111902</v>
          </cell>
          <cell r="N4907" t="str">
            <v>WATERBASED SYSTEM INTERIOR</v>
          </cell>
        </row>
        <row r="4908">
          <cell r="C4908" t="str">
            <v>120003118</v>
          </cell>
          <cell r="D4908" t="str">
            <v>WBC-62202 HS RAL 7044 10 KC VN</v>
          </cell>
          <cell r="E4908" t="str">
            <v>ZSFG</v>
          </cell>
          <cell r="F4908" t="str">
            <v>KG</v>
          </cell>
          <cell r="G4908" t="str">
            <v>1</v>
          </cell>
          <cell r="H4908" t="str">
            <v>INDUSTRY</v>
          </cell>
          <cell r="I4908" t="str">
            <v>11</v>
          </cell>
          <cell r="J4908" t="str">
            <v>WOOD COATINGS</v>
          </cell>
          <cell r="K4908" t="str">
            <v>1119</v>
          </cell>
          <cell r="L4908" t="str">
            <v>WATERBASED</v>
          </cell>
          <cell r="M4908" t="str">
            <v>111902</v>
          </cell>
          <cell r="N4908" t="str">
            <v>WATERBASED SYSTEM INTERIOR</v>
          </cell>
        </row>
        <row r="4909">
          <cell r="C4909" t="str">
            <v>120003119</v>
          </cell>
          <cell r="D4909" t="str">
            <v>WBC-62202 HS RAL 9003 10 KC VN</v>
          </cell>
          <cell r="E4909" t="str">
            <v>ZSFG</v>
          </cell>
          <cell r="F4909" t="str">
            <v>KG</v>
          </cell>
          <cell r="G4909" t="str">
            <v>1</v>
          </cell>
          <cell r="H4909" t="str">
            <v>INDUSTRY</v>
          </cell>
          <cell r="I4909" t="str">
            <v>11</v>
          </cell>
          <cell r="J4909" t="str">
            <v>WOOD COATINGS</v>
          </cell>
          <cell r="K4909" t="str">
            <v>1119</v>
          </cell>
          <cell r="L4909" t="str">
            <v>WATERBASED</v>
          </cell>
          <cell r="M4909" t="str">
            <v>111902</v>
          </cell>
          <cell r="N4909" t="str">
            <v>WATERBASED SYSTEM INTERIOR</v>
          </cell>
        </row>
        <row r="4910">
          <cell r="C4910" t="str">
            <v>120003120</v>
          </cell>
          <cell r="D4910" t="str">
            <v>PUL-R PUL 06 VN</v>
          </cell>
          <cell r="E4910" t="str">
            <v>ZSFG</v>
          </cell>
          <cell r="F4910" t="str">
            <v>KG</v>
          </cell>
          <cell r="G4910" t="str">
            <v>9</v>
          </cell>
          <cell r="H4910" t="str">
            <v>OTHERS</v>
          </cell>
          <cell r="I4910" t="str">
            <v>91</v>
          </cell>
          <cell r="J4910" t="str">
            <v>SEMI FINISHED GOODS</v>
          </cell>
          <cell r="K4910" t="str">
            <v>9101</v>
          </cell>
          <cell r="L4910" t="str">
            <v>SEMI FINISHED GOODS</v>
          </cell>
          <cell r="M4910" t="str">
            <v>910104</v>
          </cell>
          <cell r="N4910" t="str">
            <v>BASE</v>
          </cell>
        </row>
        <row r="4911">
          <cell r="C4911" t="str">
            <v>120003121</v>
          </cell>
          <cell r="D4911" t="str">
            <v>PUP-54106 AC EX PAT1 DB VN</v>
          </cell>
          <cell r="E4911" t="str">
            <v>ZSFG</v>
          </cell>
          <cell r="F4911" t="str">
            <v>KG</v>
          </cell>
          <cell r="G4911" t="str">
            <v>1</v>
          </cell>
          <cell r="H4911" t="str">
            <v>INDUSTRY</v>
          </cell>
          <cell r="I4911" t="str">
            <v>11</v>
          </cell>
          <cell r="J4911" t="str">
            <v>WOOD COATINGS</v>
          </cell>
          <cell r="K4911" t="str">
            <v>1103</v>
          </cell>
          <cell r="L4911" t="str">
            <v>PU</v>
          </cell>
          <cell r="M4911" t="str">
            <v>110322</v>
          </cell>
          <cell r="N4911" t="str">
            <v>PU PRIMER</v>
          </cell>
        </row>
        <row r="4912">
          <cell r="C4912" t="str">
            <v>120003122</v>
          </cell>
          <cell r="D4912" t="str">
            <v>SST-11100 113 FS VN</v>
          </cell>
          <cell r="E4912" t="str">
            <v>ZSFG</v>
          </cell>
          <cell r="F4912" t="str">
            <v>KG</v>
          </cell>
          <cell r="G4912" t="str">
            <v>1</v>
          </cell>
          <cell r="H4912" t="str">
            <v>INDUSTRY</v>
          </cell>
          <cell r="I4912" t="str">
            <v>11</v>
          </cell>
          <cell r="J4912" t="str">
            <v>WOOD COATINGS</v>
          </cell>
          <cell r="K4912" t="str">
            <v>1109</v>
          </cell>
          <cell r="L4912" t="str">
            <v>STAIN &amp; GLAZE INTERIOR</v>
          </cell>
          <cell r="M4912" t="str">
            <v>110903</v>
          </cell>
          <cell r="N4912" t="str">
            <v>STAIN INTERIOR</v>
          </cell>
        </row>
        <row r="4913">
          <cell r="C4913" t="str">
            <v>120003123</v>
          </cell>
          <cell r="D4913" t="str">
            <v>WBC-62202 HS RAL 5014 10 KC VN</v>
          </cell>
          <cell r="E4913" t="str">
            <v>ZSFG</v>
          </cell>
          <cell r="F4913" t="str">
            <v>KG</v>
          </cell>
          <cell r="G4913" t="str">
            <v>1</v>
          </cell>
          <cell r="H4913" t="str">
            <v>INDUSTRY</v>
          </cell>
          <cell r="I4913" t="str">
            <v>11</v>
          </cell>
          <cell r="J4913" t="str">
            <v>WOOD COATINGS</v>
          </cell>
          <cell r="K4913" t="str">
            <v>1119</v>
          </cell>
          <cell r="L4913" t="str">
            <v>WATERBASED</v>
          </cell>
          <cell r="M4913" t="str">
            <v>111902</v>
          </cell>
          <cell r="N4913" t="str">
            <v>WATERBASED SYSTEM INTERIOR</v>
          </cell>
        </row>
        <row r="4914">
          <cell r="C4914" t="str">
            <v>120003124</v>
          </cell>
          <cell r="D4914" t="str">
            <v>NBC-9345 813 AK</v>
          </cell>
          <cell r="E4914" t="str">
            <v>ZSFG</v>
          </cell>
          <cell r="F4914" t="str">
            <v>KG</v>
          </cell>
          <cell r="G4914" t="str">
            <v>1</v>
          </cell>
          <cell r="H4914" t="str">
            <v>INDUSTRY</v>
          </cell>
          <cell r="I4914" t="str">
            <v>11</v>
          </cell>
          <cell r="J4914" t="str">
            <v>WOOD COATINGS</v>
          </cell>
          <cell r="K4914" t="str">
            <v>1104</v>
          </cell>
          <cell r="L4914" t="str">
            <v>NC</v>
          </cell>
          <cell r="M4914" t="str">
            <v>110403</v>
          </cell>
          <cell r="N4914" t="str">
            <v>ASOF : NC BASE COAT</v>
          </cell>
        </row>
        <row r="4915">
          <cell r="C4915" t="str">
            <v>120003125</v>
          </cell>
          <cell r="D4915" t="str">
            <v>MPUL-13700 90 VN</v>
          </cell>
          <cell r="E4915" t="str">
            <v>ZSFG</v>
          </cell>
          <cell r="F4915" t="str">
            <v>KG</v>
          </cell>
          <cell r="G4915" t="str">
            <v>1</v>
          </cell>
          <cell r="H4915" t="str">
            <v>INDUSTRY</v>
          </cell>
          <cell r="I4915" t="str">
            <v>16</v>
          </cell>
          <cell r="J4915" t="str">
            <v>METAL COATINGS</v>
          </cell>
          <cell r="K4915" t="str">
            <v>1601</v>
          </cell>
          <cell r="L4915" t="str">
            <v>METAL COATINGS</v>
          </cell>
          <cell r="M4915" t="str">
            <v>160101</v>
          </cell>
          <cell r="N4915" t="str">
            <v>METAL COATINGS</v>
          </cell>
        </row>
        <row r="4916">
          <cell r="C4916" t="str">
            <v>120003126</v>
          </cell>
          <cell r="D4916" t="str">
            <v>DC-12207 WHITE 20 VN</v>
          </cell>
          <cell r="E4916" t="str">
            <v>ZSFG</v>
          </cell>
          <cell r="F4916" t="str">
            <v>KG</v>
          </cell>
          <cell r="G4916" t="str">
            <v>1</v>
          </cell>
          <cell r="H4916" t="str">
            <v>INDUSTRY</v>
          </cell>
          <cell r="I4916" t="str">
            <v>11</v>
          </cell>
          <cell r="J4916" t="str">
            <v>WOOD COATINGS</v>
          </cell>
          <cell r="K4916" t="str">
            <v>1109</v>
          </cell>
          <cell r="L4916" t="str">
            <v>STAIN &amp; GLAZE INTERIOR</v>
          </cell>
          <cell r="M4916" t="str">
            <v>110903</v>
          </cell>
          <cell r="N4916" t="str">
            <v>STAIN INTERIOR</v>
          </cell>
        </row>
        <row r="4917">
          <cell r="C4917" t="str">
            <v>120003127</v>
          </cell>
          <cell r="D4917" t="str">
            <v>WBP-62102 MF RAL 5014 KC VN</v>
          </cell>
          <cell r="E4917" t="str">
            <v>ZSFG</v>
          </cell>
          <cell r="F4917" t="str">
            <v>KG</v>
          </cell>
          <cell r="G4917" t="str">
            <v>1</v>
          </cell>
          <cell r="H4917" t="str">
            <v>INDUSTRY</v>
          </cell>
          <cell r="I4917" t="str">
            <v>11</v>
          </cell>
          <cell r="J4917" t="str">
            <v>WOOD COATINGS</v>
          </cell>
          <cell r="K4917" t="str">
            <v>1119</v>
          </cell>
          <cell r="L4917" t="str">
            <v>WATERBASED</v>
          </cell>
          <cell r="M4917" t="str">
            <v>111902</v>
          </cell>
          <cell r="N4917" t="str">
            <v>WATERBASED SYSTEM INTERIOR</v>
          </cell>
        </row>
        <row r="4918">
          <cell r="C4918" t="str">
            <v>120003128</v>
          </cell>
          <cell r="D4918" t="str">
            <v>WBP-62102 MF RAL 7044 KC VN</v>
          </cell>
          <cell r="E4918" t="str">
            <v>ZSFG</v>
          </cell>
          <cell r="F4918" t="str">
            <v>KG</v>
          </cell>
          <cell r="G4918" t="str">
            <v>1</v>
          </cell>
          <cell r="H4918" t="str">
            <v>INDUSTRY</v>
          </cell>
          <cell r="I4918" t="str">
            <v>11</v>
          </cell>
          <cell r="J4918" t="str">
            <v>WOOD COATINGS</v>
          </cell>
          <cell r="K4918" t="str">
            <v>1119</v>
          </cell>
          <cell r="L4918" t="str">
            <v>WATERBASED</v>
          </cell>
          <cell r="M4918" t="str">
            <v>111902</v>
          </cell>
          <cell r="N4918" t="str">
            <v>WATERBASED SYSTEM INTERIOR</v>
          </cell>
        </row>
        <row r="4919">
          <cell r="C4919" t="str">
            <v>120003129</v>
          </cell>
          <cell r="D4919" t="str">
            <v>WBP-62102 MF RAL 7047 KC VN</v>
          </cell>
          <cell r="E4919" t="str">
            <v>ZSFG</v>
          </cell>
          <cell r="F4919" t="str">
            <v>KG</v>
          </cell>
          <cell r="G4919" t="str">
            <v>1</v>
          </cell>
          <cell r="H4919" t="str">
            <v>INDUSTRY</v>
          </cell>
          <cell r="I4919" t="str">
            <v>11</v>
          </cell>
          <cell r="J4919" t="str">
            <v>WOOD COATINGS</v>
          </cell>
          <cell r="K4919" t="str">
            <v>1119</v>
          </cell>
          <cell r="L4919" t="str">
            <v>WATERBASED</v>
          </cell>
          <cell r="M4919" t="str">
            <v>111902</v>
          </cell>
          <cell r="N4919" t="str">
            <v>WATERBASED SYSTEM INTERIOR</v>
          </cell>
        </row>
        <row r="4920">
          <cell r="C4920" t="str">
            <v>120003130</v>
          </cell>
          <cell r="D4920" t="str">
            <v>SST-11100 ML 02 F1 VN</v>
          </cell>
          <cell r="E4920" t="str">
            <v>ZSFG</v>
          </cell>
          <cell r="F4920" t="str">
            <v>KG</v>
          </cell>
          <cell r="G4920" t="str">
            <v>1</v>
          </cell>
          <cell r="H4920" t="str">
            <v>INDUSTRY</v>
          </cell>
          <cell r="I4920" t="str">
            <v>11</v>
          </cell>
          <cell r="J4920" t="str">
            <v>WOOD COATINGS</v>
          </cell>
          <cell r="K4920" t="str">
            <v>1109</v>
          </cell>
          <cell r="L4920" t="str">
            <v>STAIN &amp; GLAZE INTERIOR</v>
          </cell>
          <cell r="M4920" t="str">
            <v>110903</v>
          </cell>
          <cell r="N4920" t="str">
            <v>STAIN INTERIOR</v>
          </cell>
        </row>
        <row r="4921">
          <cell r="C4921" t="str">
            <v>120003131</v>
          </cell>
          <cell r="D4921" t="str">
            <v>PG-13900 ML 02 F1 VN</v>
          </cell>
          <cell r="E4921" t="str">
            <v>ZSFG</v>
          </cell>
          <cell r="F4921" t="str">
            <v>KG</v>
          </cell>
          <cell r="G4921" t="str">
            <v>1</v>
          </cell>
          <cell r="H4921" t="str">
            <v>INDUSTRY</v>
          </cell>
          <cell r="I4921" t="str">
            <v>11</v>
          </cell>
          <cell r="J4921" t="str">
            <v>WOOD COATINGS</v>
          </cell>
          <cell r="K4921" t="str">
            <v>1109</v>
          </cell>
          <cell r="L4921" t="str">
            <v>STAIN &amp; GLAZE INTERIOR</v>
          </cell>
          <cell r="M4921" t="str">
            <v>110901</v>
          </cell>
          <cell r="N4921" t="str">
            <v>ASOF : STAIN &amp; GLAZE</v>
          </cell>
        </row>
        <row r="4922">
          <cell r="C4922" t="str">
            <v>120003132</v>
          </cell>
          <cell r="D4922" t="str">
            <v>SST-11100 CLR ML 02 F1 VN</v>
          </cell>
          <cell r="E4922" t="str">
            <v>ZSFG</v>
          </cell>
          <cell r="F4922" t="str">
            <v>KG</v>
          </cell>
          <cell r="G4922" t="str">
            <v>1</v>
          </cell>
          <cell r="H4922" t="str">
            <v>INDUSTRY</v>
          </cell>
          <cell r="I4922" t="str">
            <v>11</v>
          </cell>
          <cell r="J4922" t="str">
            <v>WOOD COATINGS</v>
          </cell>
          <cell r="K4922" t="str">
            <v>1109</v>
          </cell>
          <cell r="L4922" t="str">
            <v>STAIN &amp; GLAZE INTERIOR</v>
          </cell>
          <cell r="M4922" t="str">
            <v>110903</v>
          </cell>
          <cell r="N4922" t="str">
            <v>STAIN INTERIOR</v>
          </cell>
        </row>
        <row r="4923">
          <cell r="C4923" t="str">
            <v>120003133</v>
          </cell>
          <cell r="D4923" t="str">
            <v>WBL-61201 CLEAR 50 VN</v>
          </cell>
          <cell r="E4923" t="str">
            <v>ZSFG</v>
          </cell>
          <cell r="F4923" t="str">
            <v>KG</v>
          </cell>
          <cell r="G4923" t="str">
            <v>1</v>
          </cell>
          <cell r="H4923" t="str">
            <v>INDUSTRY</v>
          </cell>
          <cell r="I4923" t="str">
            <v>11</v>
          </cell>
          <cell r="J4923" t="str">
            <v>WOOD COATINGS</v>
          </cell>
          <cell r="K4923" t="str">
            <v>1119</v>
          </cell>
          <cell r="L4923" t="str">
            <v>WATERBASED</v>
          </cell>
          <cell r="M4923" t="str">
            <v>111902</v>
          </cell>
          <cell r="N4923" t="str">
            <v>WATERBASED SYSTEM INTERIOR</v>
          </cell>
        </row>
        <row r="4924">
          <cell r="C4924" t="str">
            <v>120003134</v>
          </cell>
          <cell r="D4924" t="str">
            <v>SST-11100 WWD01 A GE VN</v>
          </cell>
          <cell r="E4924" t="str">
            <v>ZSFG</v>
          </cell>
          <cell r="F4924" t="str">
            <v>KG</v>
          </cell>
          <cell r="G4924" t="str">
            <v>1</v>
          </cell>
          <cell r="H4924" t="str">
            <v>INDUSTRY</v>
          </cell>
          <cell r="I4924" t="str">
            <v>11</v>
          </cell>
          <cell r="J4924" t="str">
            <v>WOOD COATINGS</v>
          </cell>
          <cell r="K4924" t="str">
            <v>1109</v>
          </cell>
          <cell r="L4924" t="str">
            <v>STAIN &amp; GLAZE INTERIOR</v>
          </cell>
          <cell r="M4924" t="str">
            <v>110903</v>
          </cell>
          <cell r="N4924" t="str">
            <v>STAIN INTERIOR</v>
          </cell>
        </row>
        <row r="4925">
          <cell r="C4925" t="str">
            <v>120003135</v>
          </cell>
          <cell r="D4925" t="str">
            <v>SST-11100 WWD01 B GE VN</v>
          </cell>
          <cell r="E4925" t="str">
            <v>ZSFG</v>
          </cell>
          <cell r="F4925" t="str">
            <v>KG</v>
          </cell>
          <cell r="G4925" t="str">
            <v>1</v>
          </cell>
          <cell r="H4925" t="str">
            <v>INDUSTRY</v>
          </cell>
          <cell r="I4925" t="str">
            <v>11</v>
          </cell>
          <cell r="J4925" t="str">
            <v>WOOD COATINGS</v>
          </cell>
          <cell r="K4925" t="str">
            <v>1109</v>
          </cell>
          <cell r="L4925" t="str">
            <v>STAIN &amp; GLAZE INTERIOR</v>
          </cell>
          <cell r="M4925" t="str">
            <v>110903</v>
          </cell>
          <cell r="N4925" t="str">
            <v>STAIN INTERIOR</v>
          </cell>
        </row>
        <row r="4926">
          <cell r="C4926" t="str">
            <v>120003136</v>
          </cell>
          <cell r="D4926" t="str">
            <v>PUP-R PUP 11 WHITE VN</v>
          </cell>
          <cell r="E4926" t="str">
            <v>ZSFG</v>
          </cell>
          <cell r="F4926" t="str">
            <v>KG</v>
          </cell>
          <cell r="G4926" t="str">
            <v>9</v>
          </cell>
          <cell r="H4926" t="str">
            <v>OTHERS</v>
          </cell>
          <cell r="I4926" t="str">
            <v>91</v>
          </cell>
          <cell r="J4926" t="str">
            <v>SEMI FINISHED GOODS</v>
          </cell>
          <cell r="K4926" t="str">
            <v>9101</v>
          </cell>
          <cell r="L4926" t="str">
            <v>SEMI FINISHED GOODS</v>
          </cell>
          <cell r="M4926" t="str">
            <v>910104</v>
          </cell>
          <cell r="N4926" t="str">
            <v>BASE</v>
          </cell>
        </row>
        <row r="4927">
          <cell r="C4927" t="str">
            <v>120003137</v>
          </cell>
          <cell r="D4927" t="str">
            <v>PUC-R PUC 05 VN</v>
          </cell>
          <cell r="E4927" t="str">
            <v>ZSFG</v>
          </cell>
          <cell r="F4927" t="str">
            <v>KG</v>
          </cell>
          <cell r="G4927" t="str">
            <v>9</v>
          </cell>
          <cell r="H4927" t="str">
            <v>OTHERS</v>
          </cell>
          <cell r="I4927" t="str">
            <v>91</v>
          </cell>
          <cell r="J4927" t="str">
            <v>SEMI FINISHED GOODS</v>
          </cell>
          <cell r="K4927" t="str">
            <v>9101</v>
          </cell>
          <cell r="L4927" t="str">
            <v>SEMI FINISHED GOODS</v>
          </cell>
          <cell r="M4927" t="str">
            <v>910104</v>
          </cell>
          <cell r="N4927" t="str">
            <v>BASE</v>
          </cell>
        </row>
        <row r="4928">
          <cell r="C4928" t="str">
            <v>120003138</v>
          </cell>
          <cell r="D4928" t="str">
            <v>TOL-76301 N ML10 F1 VN</v>
          </cell>
          <cell r="E4928" t="str">
            <v>ZSFG</v>
          </cell>
          <cell r="F4928" t="str">
            <v>KG</v>
          </cell>
          <cell r="G4928" t="str">
            <v>1</v>
          </cell>
          <cell r="H4928" t="str">
            <v>INDUSTRY</v>
          </cell>
          <cell r="I4928" t="str">
            <v>11</v>
          </cell>
          <cell r="J4928" t="str">
            <v>WOOD COATINGS</v>
          </cell>
          <cell r="K4928" t="str">
            <v>1101</v>
          </cell>
          <cell r="L4928" t="str">
            <v>ALKYD OIL</v>
          </cell>
          <cell r="M4928" t="str">
            <v>110101</v>
          </cell>
          <cell r="N4928" t="str">
            <v>ALKYD &amp; OIL SYSTEM</v>
          </cell>
        </row>
        <row r="4929">
          <cell r="C4929" t="str">
            <v>120003139</v>
          </cell>
          <cell r="D4929" t="str">
            <v>NCSS-1112 AC AK</v>
          </cell>
          <cell r="E4929" t="str">
            <v>ZSFG</v>
          </cell>
          <cell r="F4929" t="str">
            <v>KG</v>
          </cell>
          <cell r="G4929" t="str">
            <v>1</v>
          </cell>
          <cell r="H4929" t="str">
            <v>INDUSTRY</v>
          </cell>
          <cell r="I4929" t="str">
            <v>11</v>
          </cell>
          <cell r="J4929" t="str">
            <v>WOOD COATINGS</v>
          </cell>
          <cell r="K4929" t="str">
            <v>1104</v>
          </cell>
          <cell r="L4929" t="str">
            <v>NC</v>
          </cell>
          <cell r="M4929" t="str">
            <v>110405</v>
          </cell>
          <cell r="N4929" t="str">
            <v>NC SYSTEM</v>
          </cell>
        </row>
        <row r="4930">
          <cell r="C4930" t="str">
            <v>120003140</v>
          </cell>
          <cell r="D4930" t="str">
            <v>NCL-1113 AC80AK</v>
          </cell>
          <cell r="E4930" t="str">
            <v>ZSFG</v>
          </cell>
          <cell r="F4930" t="str">
            <v>KG</v>
          </cell>
          <cell r="G4930" t="str">
            <v>1</v>
          </cell>
          <cell r="H4930" t="str">
            <v>INDUSTRY</v>
          </cell>
          <cell r="I4930" t="str">
            <v>11</v>
          </cell>
          <cell r="J4930" t="str">
            <v>WOOD COATINGS</v>
          </cell>
          <cell r="K4930" t="str">
            <v>1104</v>
          </cell>
          <cell r="L4930" t="str">
            <v>NC</v>
          </cell>
          <cell r="M4930" t="str">
            <v>110405</v>
          </cell>
          <cell r="N4930" t="str">
            <v>NC SYSTEM</v>
          </cell>
        </row>
        <row r="4931">
          <cell r="C4931" t="str">
            <v>120003141</v>
          </cell>
          <cell r="D4931" t="str">
            <v>PUP-52141 BK AK VN</v>
          </cell>
          <cell r="E4931" t="str">
            <v>ZSFG</v>
          </cell>
          <cell r="F4931" t="str">
            <v>KG</v>
          </cell>
          <cell r="G4931" t="str">
            <v>1</v>
          </cell>
          <cell r="H4931" t="str">
            <v>INDUSTRY</v>
          </cell>
          <cell r="I4931" t="str">
            <v>11</v>
          </cell>
          <cell r="J4931" t="str">
            <v>WOOD COATINGS</v>
          </cell>
          <cell r="K4931" t="str">
            <v>1103</v>
          </cell>
          <cell r="L4931" t="str">
            <v>PU</v>
          </cell>
          <cell r="M4931" t="str">
            <v>110322</v>
          </cell>
          <cell r="N4931" t="str">
            <v>PU PRIMER</v>
          </cell>
        </row>
        <row r="4932">
          <cell r="C4932" t="str">
            <v>120003142</v>
          </cell>
          <cell r="D4932" t="str">
            <v>64-56 MICRO FILLER KD VN</v>
          </cell>
          <cell r="E4932" t="str">
            <v>ZSFG</v>
          </cell>
          <cell r="F4932" t="str">
            <v>KG</v>
          </cell>
          <cell r="G4932" t="str">
            <v>1</v>
          </cell>
          <cell r="H4932" t="str">
            <v>INDUSTRY</v>
          </cell>
          <cell r="I4932" t="str">
            <v>11</v>
          </cell>
          <cell r="J4932" t="str">
            <v>WOOD COATINGS</v>
          </cell>
          <cell r="K4932" t="str">
            <v>1103</v>
          </cell>
          <cell r="L4932" t="str">
            <v>PU</v>
          </cell>
          <cell r="M4932" t="str">
            <v>110305</v>
          </cell>
          <cell r="N4932" t="str">
            <v>UNION FILLER</v>
          </cell>
        </row>
        <row r="4933">
          <cell r="C4933" t="str">
            <v>120003143</v>
          </cell>
          <cell r="D4933" t="str">
            <v>L NC 12 EA VN</v>
          </cell>
          <cell r="E4933" t="str">
            <v>ZSFG</v>
          </cell>
          <cell r="F4933" t="str">
            <v>KG</v>
          </cell>
          <cell r="G4933" t="str">
            <v>9</v>
          </cell>
          <cell r="H4933" t="str">
            <v>OTHERS</v>
          </cell>
          <cell r="I4933" t="str">
            <v>91</v>
          </cell>
          <cell r="J4933" t="str">
            <v>SEMI FINISHED GOODS</v>
          </cell>
          <cell r="K4933" t="str">
            <v>9101</v>
          </cell>
          <cell r="L4933" t="str">
            <v>SEMI FINISHED GOODS</v>
          </cell>
          <cell r="M4933" t="str">
            <v>910105</v>
          </cell>
          <cell r="N4933" t="str">
            <v>LARUTAN</v>
          </cell>
        </row>
        <row r="4934">
          <cell r="C4934" t="str">
            <v>120003144</v>
          </cell>
          <cell r="D4934" t="str">
            <v>DC BASE 70 VN</v>
          </cell>
          <cell r="E4934" t="str">
            <v>ZSFG</v>
          </cell>
          <cell r="F4934" t="str">
            <v>KG</v>
          </cell>
          <cell r="G4934" t="str">
            <v>9</v>
          </cell>
          <cell r="H4934" t="str">
            <v>OTHERS</v>
          </cell>
          <cell r="I4934" t="str">
            <v>91</v>
          </cell>
          <cell r="J4934" t="str">
            <v>SEMI FINISHED GOODS</v>
          </cell>
          <cell r="K4934" t="str">
            <v>9101</v>
          </cell>
          <cell r="L4934" t="str">
            <v>SEMI FINISHED GOODS</v>
          </cell>
          <cell r="M4934" t="str">
            <v>910104</v>
          </cell>
          <cell r="N4934" t="str">
            <v>BASE</v>
          </cell>
        </row>
        <row r="4935">
          <cell r="C4935" t="str">
            <v>120003145</v>
          </cell>
          <cell r="D4935" t="str">
            <v>SST-11100 WD 01 B GE VN</v>
          </cell>
          <cell r="E4935" t="str">
            <v>ZSFG</v>
          </cell>
          <cell r="F4935" t="str">
            <v>KG</v>
          </cell>
          <cell r="G4935" t="str">
            <v>1</v>
          </cell>
          <cell r="H4935" t="str">
            <v>INDUSTRY</v>
          </cell>
          <cell r="I4935" t="str">
            <v>11</v>
          </cell>
          <cell r="J4935" t="str">
            <v>WOOD COATINGS</v>
          </cell>
          <cell r="K4935" t="str">
            <v>1109</v>
          </cell>
          <cell r="L4935" t="str">
            <v>STAIN &amp; GLAZE INTERIOR</v>
          </cell>
          <cell r="M4935" t="str">
            <v>110903</v>
          </cell>
          <cell r="N4935" t="str">
            <v>STAIN INTERIOR</v>
          </cell>
        </row>
        <row r="4936">
          <cell r="C4936" t="str">
            <v>120003146</v>
          </cell>
          <cell r="D4936" t="str">
            <v>WBP-62102 MF RAL 5003 KC VN</v>
          </cell>
          <cell r="E4936" t="str">
            <v>ZSFG</v>
          </cell>
          <cell r="F4936" t="str">
            <v>KG</v>
          </cell>
          <cell r="G4936" t="str">
            <v>1</v>
          </cell>
          <cell r="H4936" t="str">
            <v>INDUSTRY</v>
          </cell>
          <cell r="I4936" t="str">
            <v>11</v>
          </cell>
          <cell r="J4936" t="str">
            <v>WOOD COATINGS</v>
          </cell>
          <cell r="K4936" t="str">
            <v>1119</v>
          </cell>
          <cell r="L4936" t="str">
            <v>WATERBASED</v>
          </cell>
          <cell r="M4936" t="str">
            <v>111902</v>
          </cell>
          <cell r="N4936" t="str">
            <v>WATERBASED SYSTEM INTERIOR</v>
          </cell>
        </row>
        <row r="4937">
          <cell r="C4937" t="str">
            <v>120003147</v>
          </cell>
          <cell r="D4937" t="str">
            <v>WBP-62102 MF RAL 7032 KC VN</v>
          </cell>
          <cell r="E4937" t="str">
            <v>ZSFG</v>
          </cell>
          <cell r="F4937" t="str">
            <v>KG</v>
          </cell>
          <cell r="G4937" t="str">
            <v>1</v>
          </cell>
          <cell r="H4937" t="str">
            <v>INDUSTRY</v>
          </cell>
          <cell r="I4937" t="str">
            <v>11</v>
          </cell>
          <cell r="J4937" t="str">
            <v>WOOD COATINGS</v>
          </cell>
          <cell r="K4937" t="str">
            <v>1119</v>
          </cell>
          <cell r="L4937" t="str">
            <v>WATERBASED</v>
          </cell>
          <cell r="M4937" t="str">
            <v>111902</v>
          </cell>
          <cell r="N4937" t="str">
            <v>WATERBASED SYSTEM INTERIOR</v>
          </cell>
        </row>
        <row r="4938">
          <cell r="C4938" t="str">
            <v>120003148</v>
          </cell>
          <cell r="D4938" t="str">
            <v>WBC-62202 HS RAL 5003 10 KC VN</v>
          </cell>
          <cell r="E4938" t="str">
            <v>ZSFG</v>
          </cell>
          <cell r="F4938" t="str">
            <v>KG</v>
          </cell>
          <cell r="G4938" t="str">
            <v>1</v>
          </cell>
          <cell r="H4938" t="str">
            <v>INDUSTRY</v>
          </cell>
          <cell r="I4938" t="str">
            <v>11</v>
          </cell>
          <cell r="J4938" t="str">
            <v>WOOD COATINGS</v>
          </cell>
          <cell r="K4938" t="str">
            <v>1119</v>
          </cell>
          <cell r="L4938" t="str">
            <v>WATERBASED</v>
          </cell>
          <cell r="M4938" t="str">
            <v>111902</v>
          </cell>
          <cell r="N4938" t="str">
            <v>WATERBASED SYSTEM INTERIOR</v>
          </cell>
        </row>
        <row r="4939">
          <cell r="C4939" t="str">
            <v>120003149</v>
          </cell>
          <cell r="D4939" t="str">
            <v>WBC-62202 HS RAL 7032 10 KC VN</v>
          </cell>
          <cell r="E4939" t="str">
            <v>ZSFG</v>
          </cell>
          <cell r="F4939" t="str">
            <v>KG</v>
          </cell>
          <cell r="G4939" t="str">
            <v>1</v>
          </cell>
          <cell r="H4939" t="str">
            <v>INDUSTRY</v>
          </cell>
          <cell r="I4939" t="str">
            <v>11</v>
          </cell>
          <cell r="J4939" t="str">
            <v>WOOD COATINGS</v>
          </cell>
          <cell r="K4939" t="str">
            <v>1119</v>
          </cell>
          <cell r="L4939" t="str">
            <v>WATERBASED</v>
          </cell>
          <cell r="M4939" t="str">
            <v>111902</v>
          </cell>
          <cell r="N4939" t="str">
            <v>WATERBASED SYSTEM INTERIOR</v>
          </cell>
        </row>
        <row r="4940">
          <cell r="C4940" t="str">
            <v>120003150</v>
          </cell>
          <cell r="D4940" t="str">
            <v>PCL-31300 WHITE PASTE SC</v>
          </cell>
          <cell r="E4940" t="str">
            <v>ZSFG</v>
          </cell>
          <cell r="F4940" t="str">
            <v>KG</v>
          </cell>
          <cell r="G4940" t="str">
            <v>1</v>
          </cell>
          <cell r="H4940" t="str">
            <v>INDUSTRY</v>
          </cell>
          <cell r="I4940" t="str">
            <v>11</v>
          </cell>
          <cell r="J4940" t="str">
            <v>WOOD COATINGS</v>
          </cell>
          <cell r="K4940" t="str">
            <v>1118</v>
          </cell>
          <cell r="L4940" t="str">
            <v>COMPLEMENTARY</v>
          </cell>
          <cell r="M4940" t="str">
            <v>111807</v>
          </cell>
          <cell r="N4940" t="str">
            <v>PASTA</v>
          </cell>
        </row>
        <row r="4941">
          <cell r="C4941" t="str">
            <v>120003151</v>
          </cell>
          <cell r="D4941" t="str">
            <v>PCL-31300 OXIDE RED PASTE SC</v>
          </cell>
          <cell r="E4941" t="str">
            <v>ZSFG</v>
          </cell>
          <cell r="F4941" t="str">
            <v>KG</v>
          </cell>
          <cell r="G4941" t="str">
            <v>1</v>
          </cell>
          <cell r="H4941" t="str">
            <v>INDUSTRY</v>
          </cell>
          <cell r="I4941" t="str">
            <v>11</v>
          </cell>
          <cell r="J4941" t="str">
            <v>WOOD COATINGS</v>
          </cell>
          <cell r="K4941" t="str">
            <v>1118</v>
          </cell>
          <cell r="L4941" t="str">
            <v>COMPLEMENTARY</v>
          </cell>
          <cell r="M4941" t="str">
            <v>111807</v>
          </cell>
          <cell r="N4941" t="str">
            <v>PASTA</v>
          </cell>
        </row>
        <row r="4942">
          <cell r="C4942" t="str">
            <v>120003152</v>
          </cell>
          <cell r="D4942" t="str">
            <v>PCL-31300 BLUE OG PASTE SC</v>
          </cell>
          <cell r="E4942" t="str">
            <v>ZSFG</v>
          </cell>
          <cell r="F4942" t="str">
            <v>KG</v>
          </cell>
          <cell r="G4942" t="str">
            <v>1</v>
          </cell>
          <cell r="H4942" t="str">
            <v>INDUSTRY</v>
          </cell>
          <cell r="I4942" t="str">
            <v>11</v>
          </cell>
          <cell r="J4942" t="str">
            <v>WOOD COATINGS</v>
          </cell>
          <cell r="K4942" t="str">
            <v>1118</v>
          </cell>
          <cell r="L4942" t="str">
            <v>COMPLEMENTARY</v>
          </cell>
          <cell r="M4942" t="str">
            <v>111807</v>
          </cell>
          <cell r="N4942" t="str">
            <v>PASTA</v>
          </cell>
        </row>
        <row r="4943">
          <cell r="C4943" t="str">
            <v>120003153</v>
          </cell>
          <cell r="D4943" t="str">
            <v>PCL-31300 BLACK PASTE SC</v>
          </cell>
          <cell r="E4943" t="str">
            <v>ZSFG</v>
          </cell>
          <cell r="F4943" t="str">
            <v>KG</v>
          </cell>
          <cell r="G4943" t="str">
            <v>1</v>
          </cell>
          <cell r="H4943" t="str">
            <v>INDUSTRY</v>
          </cell>
          <cell r="I4943" t="str">
            <v>11</v>
          </cell>
          <cell r="J4943" t="str">
            <v>WOOD COATINGS</v>
          </cell>
          <cell r="K4943" t="str">
            <v>1118</v>
          </cell>
          <cell r="L4943" t="str">
            <v>COMPLEMENTARY</v>
          </cell>
          <cell r="M4943" t="str">
            <v>111807</v>
          </cell>
          <cell r="N4943" t="str">
            <v>PASTA</v>
          </cell>
        </row>
        <row r="4944">
          <cell r="C4944" t="str">
            <v>120003154</v>
          </cell>
          <cell r="D4944" t="str">
            <v>PCL-31300 VIOLET PASTE SC</v>
          </cell>
          <cell r="E4944" t="str">
            <v>ZSFG</v>
          </cell>
          <cell r="F4944" t="str">
            <v>KG</v>
          </cell>
          <cell r="G4944" t="str">
            <v>1</v>
          </cell>
          <cell r="H4944" t="str">
            <v>INDUSTRY</v>
          </cell>
          <cell r="I4944" t="str">
            <v>11</v>
          </cell>
          <cell r="J4944" t="str">
            <v>WOOD COATINGS</v>
          </cell>
          <cell r="K4944" t="str">
            <v>1118</v>
          </cell>
          <cell r="L4944" t="str">
            <v>COMPLEMENTARY</v>
          </cell>
          <cell r="M4944" t="str">
            <v>111807</v>
          </cell>
          <cell r="N4944" t="str">
            <v>PASTA</v>
          </cell>
        </row>
        <row r="4945">
          <cell r="C4945" t="str">
            <v>120003155</v>
          </cell>
          <cell r="D4945" t="str">
            <v>PCL-31300 YELLOW OKER PASTE SC</v>
          </cell>
          <cell r="E4945" t="str">
            <v>ZSFG</v>
          </cell>
          <cell r="F4945" t="str">
            <v>KG</v>
          </cell>
          <cell r="G4945" t="str">
            <v>1</v>
          </cell>
          <cell r="H4945" t="str">
            <v>INDUSTRY</v>
          </cell>
          <cell r="I4945" t="str">
            <v>11</v>
          </cell>
          <cell r="J4945" t="str">
            <v>WOOD COATINGS</v>
          </cell>
          <cell r="K4945" t="str">
            <v>1118</v>
          </cell>
          <cell r="L4945" t="str">
            <v>COMPLEMENTARY</v>
          </cell>
          <cell r="M4945" t="str">
            <v>111807</v>
          </cell>
          <cell r="N4945" t="str">
            <v>PASTA</v>
          </cell>
        </row>
        <row r="4946">
          <cell r="C4946" t="str">
            <v>120003156</v>
          </cell>
          <cell r="D4946" t="str">
            <v>NBC-9345-302-AK</v>
          </cell>
          <cell r="E4946" t="str">
            <v>ZSFG</v>
          </cell>
          <cell r="F4946" t="str">
            <v>KG</v>
          </cell>
          <cell r="G4946" t="str">
            <v>1</v>
          </cell>
          <cell r="H4946" t="str">
            <v>INDUSTRY</v>
          </cell>
          <cell r="I4946" t="str">
            <v>11</v>
          </cell>
          <cell r="J4946" t="str">
            <v>WOOD COATINGS</v>
          </cell>
          <cell r="K4946" t="str">
            <v>1104</v>
          </cell>
          <cell r="L4946" t="str">
            <v>NC</v>
          </cell>
          <cell r="M4946" t="str">
            <v>110403</v>
          </cell>
          <cell r="N4946" t="str">
            <v>ASOF : NC BASE COAT</v>
          </cell>
        </row>
        <row r="4947">
          <cell r="C4947" t="str">
            <v>120003157</v>
          </cell>
          <cell r="D4947" t="str">
            <v>64-56 MICRO FILLER BROWN 1 MK VN</v>
          </cell>
          <cell r="E4947" t="str">
            <v>ZSFG</v>
          </cell>
          <cell r="F4947" t="str">
            <v>KG</v>
          </cell>
          <cell r="G4947" t="str">
            <v>1</v>
          </cell>
          <cell r="H4947" t="str">
            <v>INDUSTRY</v>
          </cell>
          <cell r="I4947" t="str">
            <v>11</v>
          </cell>
          <cell r="J4947" t="str">
            <v>WOOD COATINGS</v>
          </cell>
          <cell r="K4947" t="str">
            <v>1103</v>
          </cell>
          <cell r="L4947" t="str">
            <v>PU</v>
          </cell>
          <cell r="M4947" t="str">
            <v>110305</v>
          </cell>
          <cell r="N4947" t="str">
            <v>UNION FILLER</v>
          </cell>
        </row>
        <row r="4948">
          <cell r="C4948" t="str">
            <v>120003158</v>
          </cell>
          <cell r="D4948" t="str">
            <v>PCL-31300 BROWN 1 MK VN</v>
          </cell>
          <cell r="E4948" t="str">
            <v>ZSFG</v>
          </cell>
          <cell r="F4948" t="str">
            <v>KG</v>
          </cell>
          <cell r="G4948" t="str">
            <v>1</v>
          </cell>
          <cell r="H4948" t="str">
            <v>INDUSTRY</v>
          </cell>
          <cell r="I4948" t="str">
            <v>11</v>
          </cell>
          <cell r="J4948" t="str">
            <v>WOOD COATINGS</v>
          </cell>
          <cell r="K4948" t="str">
            <v>1118</v>
          </cell>
          <cell r="L4948" t="str">
            <v>COMPLEMENTARY</v>
          </cell>
          <cell r="M4948" t="str">
            <v>111807</v>
          </cell>
          <cell r="N4948" t="str">
            <v>PASTA</v>
          </cell>
        </row>
        <row r="4949">
          <cell r="C4949" t="str">
            <v>120003159</v>
          </cell>
          <cell r="D4949" t="str">
            <v>64-56 MICRO FILLER BROWN 2 MK VN</v>
          </cell>
          <cell r="E4949" t="str">
            <v>ZSFG</v>
          </cell>
          <cell r="F4949" t="str">
            <v>KG</v>
          </cell>
          <cell r="G4949" t="str">
            <v>1</v>
          </cell>
          <cell r="H4949" t="str">
            <v>INDUSTRY</v>
          </cell>
          <cell r="I4949" t="str">
            <v>11</v>
          </cell>
          <cell r="J4949" t="str">
            <v>WOOD COATINGS</v>
          </cell>
          <cell r="K4949" t="str">
            <v>1103</v>
          </cell>
          <cell r="L4949" t="str">
            <v>PU</v>
          </cell>
          <cell r="M4949" t="str">
            <v>110305</v>
          </cell>
          <cell r="N4949" t="str">
            <v>UNION FILLER</v>
          </cell>
        </row>
        <row r="4950">
          <cell r="C4950" t="str">
            <v>120003160</v>
          </cell>
          <cell r="D4950" t="str">
            <v>PCL-31300 BROWN 2 MK VN</v>
          </cell>
          <cell r="E4950" t="str">
            <v>ZSFG</v>
          </cell>
          <cell r="F4950" t="str">
            <v>KG</v>
          </cell>
          <cell r="G4950" t="str">
            <v>1</v>
          </cell>
          <cell r="H4950" t="str">
            <v>INDUSTRY</v>
          </cell>
          <cell r="I4950" t="str">
            <v>11</v>
          </cell>
          <cell r="J4950" t="str">
            <v>WOOD COATINGS</v>
          </cell>
          <cell r="K4950" t="str">
            <v>1118</v>
          </cell>
          <cell r="L4950" t="str">
            <v>COMPLEMENTARY</v>
          </cell>
          <cell r="M4950" t="str">
            <v>111807</v>
          </cell>
          <cell r="N4950" t="str">
            <v>PASTA</v>
          </cell>
        </row>
        <row r="4951">
          <cell r="C4951" t="str">
            <v>120003161</v>
          </cell>
          <cell r="D4951" t="str">
            <v>SST-11100 SMOKE GREY BLACK KD MY</v>
          </cell>
          <cell r="E4951" t="str">
            <v>ZSFG</v>
          </cell>
          <cell r="F4951" t="str">
            <v>KG</v>
          </cell>
          <cell r="G4951" t="str">
            <v>1</v>
          </cell>
          <cell r="H4951" t="str">
            <v>INDUSTRY</v>
          </cell>
          <cell r="I4951" t="str">
            <v>11</v>
          </cell>
          <cell r="J4951" t="str">
            <v>WOOD COATINGS</v>
          </cell>
          <cell r="K4951" t="str">
            <v>1109</v>
          </cell>
          <cell r="L4951" t="str">
            <v>STAIN &amp; GLAZE INTERIOR</v>
          </cell>
          <cell r="M4951" t="str">
            <v>110903</v>
          </cell>
          <cell r="N4951" t="str">
            <v>STAIN INTERIOR</v>
          </cell>
        </row>
        <row r="4952">
          <cell r="C4952" t="str">
            <v>120003162</v>
          </cell>
          <cell r="D4952" t="str">
            <v>PCA-31100 NATURAL KD MY</v>
          </cell>
          <cell r="E4952" t="str">
            <v>ZSFG</v>
          </cell>
          <cell r="F4952" t="str">
            <v>KG</v>
          </cell>
          <cell r="G4952" t="str">
            <v>1</v>
          </cell>
          <cell r="H4952" t="str">
            <v>INDUSTRY</v>
          </cell>
          <cell r="I4952" t="str">
            <v>11</v>
          </cell>
          <cell r="J4952" t="str">
            <v>WOOD COATINGS</v>
          </cell>
          <cell r="K4952" t="str">
            <v>1118</v>
          </cell>
          <cell r="L4952" t="str">
            <v>COMPLEMENTARY</v>
          </cell>
          <cell r="M4952" t="str">
            <v>111807</v>
          </cell>
          <cell r="N4952" t="str">
            <v>PASTA</v>
          </cell>
        </row>
        <row r="4953">
          <cell r="C4953" t="str">
            <v>120003163</v>
          </cell>
          <cell r="D4953" t="str">
            <v>PCA-31100 ACCORN KD MY</v>
          </cell>
          <cell r="E4953" t="str">
            <v>ZSFG</v>
          </cell>
          <cell r="F4953" t="str">
            <v>KG</v>
          </cell>
          <cell r="G4953" t="str">
            <v>1</v>
          </cell>
          <cell r="H4953" t="str">
            <v>INDUSTRY</v>
          </cell>
          <cell r="I4953" t="str">
            <v>11</v>
          </cell>
          <cell r="J4953" t="str">
            <v>WOOD COATINGS</v>
          </cell>
          <cell r="K4953" t="str">
            <v>1118</v>
          </cell>
          <cell r="L4953" t="str">
            <v>COMPLEMENTARY</v>
          </cell>
          <cell r="M4953" t="str">
            <v>111807</v>
          </cell>
          <cell r="N4953" t="str">
            <v>PASTA</v>
          </cell>
        </row>
        <row r="4954">
          <cell r="C4954" t="str">
            <v>120003164</v>
          </cell>
          <cell r="D4954" t="str">
            <v>PCA-31100 DARK GREY OAK KD MY</v>
          </cell>
          <cell r="E4954" t="str">
            <v>ZSFG</v>
          </cell>
          <cell r="F4954" t="str">
            <v>KG</v>
          </cell>
          <cell r="G4954" t="str">
            <v>1</v>
          </cell>
          <cell r="H4954" t="str">
            <v>INDUSTRY</v>
          </cell>
          <cell r="I4954" t="str">
            <v>11</v>
          </cell>
          <cell r="J4954" t="str">
            <v>WOOD COATINGS</v>
          </cell>
          <cell r="K4954" t="str">
            <v>1118</v>
          </cell>
          <cell r="L4954" t="str">
            <v>COMPLEMENTARY</v>
          </cell>
          <cell r="M4954" t="str">
            <v>111807</v>
          </cell>
          <cell r="N4954" t="str">
            <v>PASTA</v>
          </cell>
        </row>
        <row r="4955">
          <cell r="C4955" t="str">
            <v>120003165</v>
          </cell>
          <cell r="D4955" t="str">
            <v>PCA-31100 MATT BLACK KD MY</v>
          </cell>
          <cell r="E4955" t="str">
            <v>ZSFG</v>
          </cell>
          <cell r="F4955" t="str">
            <v>KG</v>
          </cell>
          <cell r="G4955" t="str">
            <v>1</v>
          </cell>
          <cell r="H4955" t="str">
            <v>INDUSTRY</v>
          </cell>
          <cell r="I4955" t="str">
            <v>11</v>
          </cell>
          <cell r="J4955" t="str">
            <v>WOOD COATINGS</v>
          </cell>
          <cell r="K4955" t="str">
            <v>1118</v>
          </cell>
          <cell r="L4955" t="str">
            <v>COMPLEMENTARY</v>
          </cell>
          <cell r="M4955" t="str">
            <v>111807</v>
          </cell>
          <cell r="N4955" t="str">
            <v>PASTA</v>
          </cell>
        </row>
        <row r="4956">
          <cell r="C4956" t="str">
            <v>120003166</v>
          </cell>
          <cell r="D4956" t="str">
            <v>PCA-31100 SMOKE GREY BLACK KD MY</v>
          </cell>
          <cell r="E4956" t="str">
            <v>ZSFG</v>
          </cell>
          <cell r="F4956" t="str">
            <v>KG</v>
          </cell>
          <cell r="G4956" t="str">
            <v>1</v>
          </cell>
          <cell r="H4956" t="str">
            <v>INDUSTRY</v>
          </cell>
          <cell r="I4956" t="str">
            <v>11</v>
          </cell>
          <cell r="J4956" t="str">
            <v>WOOD COATINGS</v>
          </cell>
          <cell r="K4956" t="str">
            <v>1118</v>
          </cell>
          <cell r="L4956" t="str">
            <v>COMPLEMENTARY</v>
          </cell>
          <cell r="M4956" t="str">
            <v>111807</v>
          </cell>
          <cell r="N4956" t="str">
            <v>PASTA</v>
          </cell>
        </row>
        <row r="4957">
          <cell r="C4957" t="str">
            <v>120003167</v>
          </cell>
          <cell r="D4957" t="str">
            <v>SST-11100 MT04I 1 GE VN</v>
          </cell>
          <cell r="E4957" t="str">
            <v>ZSFG</v>
          </cell>
          <cell r="F4957" t="str">
            <v>KG</v>
          </cell>
          <cell r="G4957" t="str">
            <v>1</v>
          </cell>
          <cell r="H4957" t="str">
            <v>INDUSTRY</v>
          </cell>
          <cell r="I4957" t="str">
            <v>11</v>
          </cell>
          <cell r="J4957" t="str">
            <v>WOOD COATINGS</v>
          </cell>
          <cell r="K4957" t="str">
            <v>1109</v>
          </cell>
          <cell r="L4957" t="str">
            <v>STAIN &amp; GLAZE INTERIOR</v>
          </cell>
          <cell r="M4957" t="str">
            <v>110903</v>
          </cell>
          <cell r="N4957" t="str">
            <v>STAIN INTERIOR</v>
          </cell>
        </row>
        <row r="4958">
          <cell r="C4958" t="str">
            <v>120003168</v>
          </cell>
          <cell r="D4958" t="str">
            <v>SST-11100 MT04I 2 GE VN</v>
          </cell>
          <cell r="E4958" t="str">
            <v>ZSFG</v>
          </cell>
          <cell r="F4958" t="str">
            <v>KG</v>
          </cell>
          <cell r="G4958" t="str">
            <v>1</v>
          </cell>
          <cell r="H4958" t="str">
            <v>INDUSTRY</v>
          </cell>
          <cell r="I4958" t="str">
            <v>11</v>
          </cell>
          <cell r="J4958" t="str">
            <v>WOOD COATINGS</v>
          </cell>
          <cell r="K4958" t="str">
            <v>1109</v>
          </cell>
          <cell r="L4958" t="str">
            <v>STAIN &amp; GLAZE INTERIOR</v>
          </cell>
          <cell r="M4958" t="str">
            <v>110903</v>
          </cell>
          <cell r="N4958" t="str">
            <v>STAIN INTERIOR</v>
          </cell>
        </row>
        <row r="4959">
          <cell r="C4959" t="str">
            <v>120003169</v>
          </cell>
          <cell r="D4959" t="str">
            <v>PCL-31300 MT04I 3 GE VN</v>
          </cell>
          <cell r="E4959" t="str">
            <v>ZSFG</v>
          </cell>
          <cell r="F4959" t="str">
            <v>KG</v>
          </cell>
          <cell r="G4959" t="str">
            <v>1</v>
          </cell>
          <cell r="H4959" t="str">
            <v>INDUSTRY</v>
          </cell>
          <cell r="I4959" t="str">
            <v>11</v>
          </cell>
          <cell r="J4959" t="str">
            <v>WOOD COATINGS</v>
          </cell>
          <cell r="K4959" t="str">
            <v>1118</v>
          </cell>
          <cell r="L4959" t="str">
            <v>COMPLEMENTARY</v>
          </cell>
          <cell r="M4959" t="str">
            <v>111807</v>
          </cell>
          <cell r="N4959" t="str">
            <v>PASTA</v>
          </cell>
        </row>
        <row r="4960">
          <cell r="C4960" t="str">
            <v>120003170</v>
          </cell>
          <cell r="D4960" t="str">
            <v>PASTA PCA 01 BLACK 90SP5 VN</v>
          </cell>
          <cell r="E4960" t="str">
            <v>ZSFG</v>
          </cell>
          <cell r="F4960" t="str">
            <v>KG</v>
          </cell>
          <cell r="G4960" t="str">
            <v>9</v>
          </cell>
          <cell r="H4960" t="str">
            <v>OTHERS</v>
          </cell>
          <cell r="I4960" t="str">
            <v>91</v>
          </cell>
          <cell r="J4960" t="str">
            <v>SEMI FINISHED GOODS</v>
          </cell>
          <cell r="K4960" t="str">
            <v>9101</v>
          </cell>
          <cell r="L4960" t="str">
            <v>SEMI FINISHED GOODS</v>
          </cell>
          <cell r="M4960" t="str">
            <v>910101</v>
          </cell>
          <cell r="N4960" t="str">
            <v>PASTA</v>
          </cell>
        </row>
        <row r="4961">
          <cell r="C4961" t="str">
            <v>120003171</v>
          </cell>
          <cell r="D4961" t="str">
            <v>WBP-62102 MF RAL 7021 KC VN</v>
          </cell>
          <cell r="E4961" t="str">
            <v>ZSFG</v>
          </cell>
          <cell r="F4961" t="str">
            <v>KG</v>
          </cell>
          <cell r="G4961" t="str">
            <v>1</v>
          </cell>
          <cell r="H4961" t="str">
            <v>INDUSTRY</v>
          </cell>
          <cell r="I4961" t="str">
            <v>11</v>
          </cell>
          <cell r="J4961" t="str">
            <v>WOOD COATINGS</v>
          </cell>
          <cell r="K4961" t="str">
            <v>1119</v>
          </cell>
          <cell r="L4961" t="str">
            <v>WATERBASED</v>
          </cell>
          <cell r="M4961" t="str">
            <v>111902</v>
          </cell>
          <cell r="N4961" t="str">
            <v>WATERBASED SYSTEM INTERIOR</v>
          </cell>
        </row>
        <row r="4962">
          <cell r="C4962" t="str">
            <v>120003172</v>
          </cell>
          <cell r="D4962" t="str">
            <v>WBP-62102 MF RAL 7046 KC VN</v>
          </cell>
          <cell r="E4962" t="str">
            <v>ZSFG</v>
          </cell>
          <cell r="F4962" t="str">
            <v>KG</v>
          </cell>
          <cell r="G4962" t="str">
            <v>1</v>
          </cell>
          <cell r="H4962" t="str">
            <v>INDUSTRY</v>
          </cell>
          <cell r="I4962" t="str">
            <v>11</v>
          </cell>
          <cell r="J4962" t="str">
            <v>WOOD COATINGS</v>
          </cell>
          <cell r="K4962" t="str">
            <v>1119</v>
          </cell>
          <cell r="L4962" t="str">
            <v>WATERBASED</v>
          </cell>
          <cell r="M4962" t="str">
            <v>111902</v>
          </cell>
          <cell r="N4962" t="str">
            <v>WATERBASED SYSTEM INTERIOR</v>
          </cell>
        </row>
        <row r="4963">
          <cell r="C4963" t="str">
            <v>120003173</v>
          </cell>
          <cell r="D4963" t="str">
            <v>WBC-62202 HS RAL 7021 10 KC VN</v>
          </cell>
          <cell r="E4963" t="str">
            <v>ZSFG</v>
          </cell>
          <cell r="F4963" t="str">
            <v>KG</v>
          </cell>
          <cell r="G4963" t="str">
            <v>1</v>
          </cell>
          <cell r="H4963" t="str">
            <v>INDUSTRY</v>
          </cell>
          <cell r="I4963" t="str">
            <v>11</v>
          </cell>
          <cell r="J4963" t="str">
            <v>WOOD COATINGS</v>
          </cell>
          <cell r="K4963" t="str">
            <v>1119</v>
          </cell>
          <cell r="L4963" t="str">
            <v>WATERBASED</v>
          </cell>
          <cell r="M4963" t="str">
            <v>111902</v>
          </cell>
          <cell r="N4963" t="str">
            <v>WATERBASED SYSTEM INTERIOR</v>
          </cell>
        </row>
        <row r="4964">
          <cell r="C4964" t="str">
            <v>120003174</v>
          </cell>
          <cell r="D4964" t="str">
            <v>WBC-62202 HS RAL 7046 10 KC VN</v>
          </cell>
          <cell r="E4964" t="str">
            <v>ZSFG</v>
          </cell>
          <cell r="F4964" t="str">
            <v>KG</v>
          </cell>
          <cell r="G4964" t="str">
            <v>1</v>
          </cell>
          <cell r="H4964" t="str">
            <v>INDUSTRY</v>
          </cell>
          <cell r="I4964" t="str">
            <v>11</v>
          </cell>
          <cell r="J4964" t="str">
            <v>WOOD COATINGS</v>
          </cell>
          <cell r="K4964" t="str">
            <v>1119</v>
          </cell>
          <cell r="L4964" t="str">
            <v>WATERBASED</v>
          </cell>
          <cell r="M4964" t="str">
            <v>111902</v>
          </cell>
          <cell r="N4964" t="str">
            <v>WATERBASED SYSTEM INTERIOR</v>
          </cell>
        </row>
        <row r="4965">
          <cell r="C4965" t="str">
            <v>120003175</v>
          </cell>
          <cell r="D4965" t="str">
            <v>WBC-62202 HS RAL 9001 10 KC VN</v>
          </cell>
          <cell r="E4965" t="str">
            <v>ZSFG</v>
          </cell>
          <cell r="F4965" t="str">
            <v>KG</v>
          </cell>
          <cell r="G4965" t="str">
            <v>1</v>
          </cell>
          <cell r="H4965" t="str">
            <v>INDUSTRY</v>
          </cell>
          <cell r="I4965" t="str">
            <v>11</v>
          </cell>
          <cell r="J4965" t="str">
            <v>WOOD COATINGS</v>
          </cell>
          <cell r="K4965" t="str">
            <v>1119</v>
          </cell>
          <cell r="L4965" t="str">
            <v>WATERBASED</v>
          </cell>
          <cell r="M4965" t="str">
            <v>111902</v>
          </cell>
          <cell r="N4965" t="str">
            <v>WATERBASED SYSTEM INTERIOR</v>
          </cell>
        </row>
        <row r="4966">
          <cell r="C4966" t="str">
            <v>120003176</v>
          </cell>
          <cell r="D4966" t="str">
            <v>PUP-52135 GREENGRAY AT VN</v>
          </cell>
          <cell r="E4966" t="str">
            <v>ZSFG</v>
          </cell>
          <cell r="F4966" t="str">
            <v>KG</v>
          </cell>
          <cell r="G4966" t="str">
            <v>1</v>
          </cell>
          <cell r="H4966" t="str">
            <v>INDUSTRY</v>
          </cell>
          <cell r="I4966" t="str">
            <v>11</v>
          </cell>
          <cell r="J4966" t="str">
            <v>WOOD COATINGS</v>
          </cell>
          <cell r="K4966" t="str">
            <v>1103</v>
          </cell>
          <cell r="L4966" t="str">
            <v>PU</v>
          </cell>
          <cell r="M4966" t="str">
            <v>110322</v>
          </cell>
          <cell r="N4966" t="str">
            <v>PU PRIMER</v>
          </cell>
        </row>
        <row r="4967">
          <cell r="C4967" t="str">
            <v>120003177</v>
          </cell>
          <cell r="D4967" t="str">
            <v>PUC-54205 AC GREENGRAY 10 AT VN</v>
          </cell>
          <cell r="E4967" t="str">
            <v>ZSFG</v>
          </cell>
          <cell r="F4967" t="str">
            <v>KG</v>
          </cell>
          <cell r="G4967" t="str">
            <v>1</v>
          </cell>
          <cell r="H4967" t="str">
            <v>INDUSTRY</v>
          </cell>
          <cell r="I4967" t="str">
            <v>11</v>
          </cell>
          <cell r="J4967" t="str">
            <v>WOOD COATINGS</v>
          </cell>
          <cell r="K4967" t="str">
            <v>1103</v>
          </cell>
          <cell r="L4967" t="str">
            <v>PU</v>
          </cell>
          <cell r="M4967" t="str">
            <v>110319</v>
          </cell>
          <cell r="N4967" t="str">
            <v>PU COLOR</v>
          </cell>
        </row>
        <row r="4968">
          <cell r="C4968" t="str">
            <v>120003178</v>
          </cell>
          <cell r="D4968" t="str">
            <v>UVP-60105 WHITE VC VN</v>
          </cell>
          <cell r="E4968" t="str">
            <v>ZSFG</v>
          </cell>
          <cell r="F4968" t="str">
            <v>KG</v>
          </cell>
          <cell r="G4968" t="str">
            <v>1</v>
          </cell>
          <cell r="H4968" t="str">
            <v>INDUSTRY</v>
          </cell>
          <cell r="I4968" t="str">
            <v>11</v>
          </cell>
          <cell r="J4968" t="str">
            <v>WOOD COATINGS</v>
          </cell>
          <cell r="K4968" t="str">
            <v>1106</v>
          </cell>
          <cell r="L4968" t="str">
            <v>UV</v>
          </cell>
          <cell r="M4968" t="str">
            <v>110604</v>
          </cell>
          <cell r="N4968" t="str">
            <v>UV PRIMER</v>
          </cell>
        </row>
        <row r="4969">
          <cell r="C4969" t="str">
            <v>120003179</v>
          </cell>
          <cell r="D4969" t="str">
            <v>US-970 SUNNY YELLOW 8454 VN</v>
          </cell>
          <cell r="E4969" t="str">
            <v>ZSFG</v>
          </cell>
          <cell r="F4969" t="str">
            <v>KG</v>
          </cell>
          <cell r="G4969" t="str">
            <v>2</v>
          </cell>
          <cell r="H4969" t="str">
            <v>RETAIL</v>
          </cell>
          <cell r="I4969" t="str">
            <v>28</v>
          </cell>
          <cell r="J4969" t="str">
            <v>CPC2</v>
          </cell>
          <cell r="K4969" t="str">
            <v>2807</v>
          </cell>
          <cell r="L4969" t="str">
            <v>ULTRASEAL</v>
          </cell>
          <cell r="M4969" t="str">
            <v>280701</v>
          </cell>
          <cell r="N4969" t="str">
            <v>ULTRASEAL</v>
          </cell>
        </row>
        <row r="4970">
          <cell r="C4970" t="str">
            <v>120003180</v>
          </cell>
          <cell r="D4970" t="str">
            <v>MEP-12003 BLUE VN</v>
          </cell>
          <cell r="E4970" t="str">
            <v>ZSFG</v>
          </cell>
          <cell r="F4970" t="str">
            <v>KG</v>
          </cell>
          <cell r="G4970" t="str">
            <v>1</v>
          </cell>
          <cell r="H4970" t="str">
            <v>INDUSTRY</v>
          </cell>
          <cell r="I4970" t="str">
            <v>16</v>
          </cell>
          <cell r="J4970" t="str">
            <v>METAL COATINGS</v>
          </cell>
          <cell r="K4970" t="str">
            <v>1601</v>
          </cell>
          <cell r="L4970" t="str">
            <v>METAL COATINGS</v>
          </cell>
          <cell r="M4970" t="str">
            <v>160101</v>
          </cell>
          <cell r="N4970" t="str">
            <v>METAL COATINGS</v>
          </cell>
        </row>
        <row r="4971">
          <cell r="C4971" t="str">
            <v>120003181</v>
          </cell>
          <cell r="D4971" t="str">
            <v>MEP-12003 YELLOW OXIDE VN</v>
          </cell>
          <cell r="E4971" t="str">
            <v>ZSFG</v>
          </cell>
          <cell r="F4971" t="str">
            <v>KG</v>
          </cell>
          <cell r="G4971" t="str">
            <v>1</v>
          </cell>
          <cell r="H4971" t="str">
            <v>INDUSTRY</v>
          </cell>
          <cell r="I4971" t="str">
            <v>16</v>
          </cell>
          <cell r="J4971" t="str">
            <v>METAL COATINGS</v>
          </cell>
          <cell r="K4971" t="str">
            <v>1601</v>
          </cell>
          <cell r="L4971" t="str">
            <v>METAL COATINGS</v>
          </cell>
          <cell r="M4971" t="str">
            <v>160101</v>
          </cell>
          <cell r="N4971" t="str">
            <v>METAL COATINGS</v>
          </cell>
        </row>
        <row r="4972">
          <cell r="C4972" t="str">
            <v>120003182</v>
          </cell>
          <cell r="D4972" t="str">
            <v>PCL-31300 MIXING REWORK VN</v>
          </cell>
          <cell r="E4972" t="str">
            <v>ZSFG</v>
          </cell>
          <cell r="F4972" t="str">
            <v>KG</v>
          </cell>
          <cell r="G4972" t="str">
            <v>9</v>
          </cell>
          <cell r="H4972" t="str">
            <v>OTHERS</v>
          </cell>
          <cell r="I4972" t="str">
            <v>91</v>
          </cell>
          <cell r="J4972" t="str">
            <v>SEMI FINISHED GOODS</v>
          </cell>
          <cell r="K4972" t="str">
            <v>9101</v>
          </cell>
          <cell r="L4972" t="str">
            <v>SEMI FINISHED GOODS</v>
          </cell>
          <cell r="M4972" t="str">
            <v>910101</v>
          </cell>
          <cell r="N4972" t="str">
            <v>PASTA</v>
          </cell>
        </row>
        <row r="4973">
          <cell r="C4973" t="str">
            <v>120003183</v>
          </cell>
          <cell r="D4973" t="str">
            <v>UVP-60107 WHITE VN</v>
          </cell>
          <cell r="E4973" t="str">
            <v>ZSFG</v>
          </cell>
          <cell r="F4973" t="str">
            <v>KG</v>
          </cell>
          <cell r="G4973" t="str">
            <v>1</v>
          </cell>
          <cell r="H4973" t="str">
            <v>INDUSTRY</v>
          </cell>
          <cell r="I4973" t="str">
            <v>11</v>
          </cell>
          <cell r="J4973" t="str">
            <v>WOOD COATINGS</v>
          </cell>
          <cell r="K4973" t="str">
            <v>1106</v>
          </cell>
          <cell r="L4973" t="str">
            <v>UV</v>
          </cell>
          <cell r="M4973" t="str">
            <v>110604</v>
          </cell>
          <cell r="N4973" t="str">
            <v>UV PRIMER</v>
          </cell>
        </row>
        <row r="4974">
          <cell r="C4974" t="str">
            <v>120003184</v>
          </cell>
          <cell r="D4974" t="str">
            <v>UVP-60105 WHITE HV VN</v>
          </cell>
          <cell r="E4974" t="str">
            <v>ZSFG</v>
          </cell>
          <cell r="F4974" t="str">
            <v>KG</v>
          </cell>
          <cell r="G4974" t="str">
            <v>1</v>
          </cell>
          <cell r="H4974" t="str">
            <v>INDUSTRY</v>
          </cell>
          <cell r="I4974" t="str">
            <v>11</v>
          </cell>
          <cell r="J4974" t="str">
            <v>WOOD COATINGS</v>
          </cell>
          <cell r="K4974" t="str">
            <v>1106</v>
          </cell>
          <cell r="L4974" t="str">
            <v>UV</v>
          </cell>
          <cell r="M4974" t="str">
            <v>110604</v>
          </cell>
          <cell r="N4974" t="str">
            <v>UV PRIMER</v>
          </cell>
        </row>
        <row r="4975">
          <cell r="C4975" t="str">
            <v>120003185</v>
          </cell>
          <cell r="D4975" t="str">
            <v>NBC-9345 818 AK</v>
          </cell>
          <cell r="E4975" t="str">
            <v>ZSFG</v>
          </cell>
          <cell r="F4975" t="str">
            <v>KG</v>
          </cell>
          <cell r="G4975" t="str">
            <v>1</v>
          </cell>
          <cell r="H4975" t="str">
            <v>INDUSTRY</v>
          </cell>
          <cell r="I4975" t="str">
            <v>11</v>
          </cell>
          <cell r="J4975" t="str">
            <v>WOOD COATINGS</v>
          </cell>
          <cell r="K4975" t="str">
            <v>1104</v>
          </cell>
          <cell r="L4975" t="str">
            <v>NC</v>
          </cell>
          <cell r="M4975" t="str">
            <v>110403</v>
          </cell>
          <cell r="N4975" t="str">
            <v>ASOF : NC BASE COAT</v>
          </cell>
        </row>
        <row r="4976">
          <cell r="C4976" t="str">
            <v>120003186</v>
          </cell>
          <cell r="D4976" t="str">
            <v>WBL-61202 BR VN</v>
          </cell>
          <cell r="E4976" t="str">
            <v>ZSFG</v>
          </cell>
          <cell r="F4976" t="str">
            <v>KG</v>
          </cell>
          <cell r="G4976" t="str">
            <v>1</v>
          </cell>
          <cell r="H4976" t="str">
            <v>INDUSTRY</v>
          </cell>
          <cell r="I4976" t="str">
            <v>11</v>
          </cell>
          <cell r="J4976" t="str">
            <v>WOOD COATINGS</v>
          </cell>
          <cell r="K4976" t="str">
            <v>1119</v>
          </cell>
          <cell r="L4976" t="str">
            <v>WATERBASED</v>
          </cell>
          <cell r="M4976" t="str">
            <v>111902</v>
          </cell>
          <cell r="N4976" t="str">
            <v>WATERBASED SYSTEM INTERIOR</v>
          </cell>
        </row>
        <row r="4977">
          <cell r="C4977" t="str">
            <v>120003187</v>
          </cell>
          <cell r="D4977" t="str">
            <v>PCL-31300 WHITE OAK STB KD VN</v>
          </cell>
          <cell r="E4977" t="str">
            <v>ZSFG</v>
          </cell>
          <cell r="F4977" t="str">
            <v>KG</v>
          </cell>
          <cell r="G4977" t="str">
            <v>1</v>
          </cell>
          <cell r="H4977" t="str">
            <v>INDUSTRY</v>
          </cell>
          <cell r="I4977" t="str">
            <v>11</v>
          </cell>
          <cell r="J4977" t="str">
            <v>WOOD COATINGS</v>
          </cell>
          <cell r="K4977" t="str">
            <v>1118</v>
          </cell>
          <cell r="L4977" t="str">
            <v>COMPLEMENTARY</v>
          </cell>
          <cell r="M4977" t="str">
            <v>111807</v>
          </cell>
          <cell r="N4977" t="str">
            <v>PASTA</v>
          </cell>
        </row>
        <row r="4978">
          <cell r="C4978" t="str">
            <v>120003188</v>
          </cell>
          <cell r="D4978" t="str">
            <v>PUL-53306 AC EX CLEAR 05 STB VN</v>
          </cell>
          <cell r="E4978" t="str">
            <v>ZSFG</v>
          </cell>
          <cell r="F4978" t="str">
            <v>KG</v>
          </cell>
          <cell r="G4978" t="str">
            <v>1</v>
          </cell>
          <cell r="H4978" t="str">
            <v>INDUSTRY</v>
          </cell>
          <cell r="I4978" t="str">
            <v>11</v>
          </cell>
          <cell r="J4978" t="str">
            <v>WOOD COATINGS</v>
          </cell>
          <cell r="K4978" t="str">
            <v>1103</v>
          </cell>
          <cell r="L4978" t="str">
            <v>PU</v>
          </cell>
          <cell r="M4978" t="str">
            <v>110321</v>
          </cell>
          <cell r="N4978" t="str">
            <v>PU LACQUER</v>
          </cell>
        </row>
        <row r="4979">
          <cell r="C4979" t="str">
            <v>120003189</v>
          </cell>
          <cell r="D4979" t="str">
            <v>PUSS-53206 AC EX STB VN</v>
          </cell>
          <cell r="E4979" t="str">
            <v>ZSFG</v>
          </cell>
          <cell r="F4979" t="str">
            <v>KG</v>
          </cell>
          <cell r="G4979" t="str">
            <v>1</v>
          </cell>
          <cell r="H4979" t="str">
            <v>INDUSTRY</v>
          </cell>
          <cell r="I4979" t="str">
            <v>11</v>
          </cell>
          <cell r="J4979" t="str">
            <v>WOOD COATINGS</v>
          </cell>
          <cell r="K4979" t="str">
            <v>1103</v>
          </cell>
          <cell r="L4979" t="str">
            <v>PU</v>
          </cell>
          <cell r="M4979" t="str">
            <v>110323</v>
          </cell>
          <cell r="N4979" t="str">
            <v>PU SANDING SEALER</v>
          </cell>
        </row>
        <row r="4980">
          <cell r="C4980" t="str">
            <v>120003190</v>
          </cell>
          <cell r="D4980" t="str">
            <v>PUP-54106 AC EX BLACK STB KD VN</v>
          </cell>
          <cell r="E4980" t="str">
            <v>ZSFG</v>
          </cell>
          <cell r="F4980" t="str">
            <v>KG</v>
          </cell>
          <cell r="G4980" t="str">
            <v>1</v>
          </cell>
          <cell r="H4980" t="str">
            <v>INDUSTRY</v>
          </cell>
          <cell r="I4980" t="str">
            <v>11</v>
          </cell>
          <cell r="J4980" t="str">
            <v>WOOD COATINGS</v>
          </cell>
          <cell r="K4980" t="str">
            <v>1103</v>
          </cell>
          <cell r="L4980" t="str">
            <v>PU</v>
          </cell>
          <cell r="M4980" t="str">
            <v>110322</v>
          </cell>
          <cell r="N4980" t="str">
            <v>PU PRIMER</v>
          </cell>
        </row>
        <row r="4981">
          <cell r="C4981" t="str">
            <v>120003191</v>
          </cell>
          <cell r="D4981" t="str">
            <v>PUC-54206 AC EX BLACK STB 05 KD VN</v>
          </cell>
          <cell r="E4981" t="str">
            <v>ZSFG</v>
          </cell>
          <cell r="F4981" t="str">
            <v>KG</v>
          </cell>
          <cell r="G4981" t="str">
            <v>1</v>
          </cell>
          <cell r="H4981" t="str">
            <v>INDUSTRY</v>
          </cell>
          <cell r="I4981" t="str">
            <v>11</v>
          </cell>
          <cell r="J4981" t="str">
            <v>WOOD COATINGS</v>
          </cell>
          <cell r="K4981" t="str">
            <v>1103</v>
          </cell>
          <cell r="L4981" t="str">
            <v>PU</v>
          </cell>
          <cell r="M4981" t="str">
            <v>110319</v>
          </cell>
          <cell r="N4981" t="str">
            <v>PU COLOR</v>
          </cell>
        </row>
        <row r="4982">
          <cell r="C4982" t="str">
            <v>120003192</v>
          </cell>
          <cell r="D4982" t="str">
            <v>PASTA PCL 81 BLACK 95599 VN</v>
          </cell>
          <cell r="E4982" t="str">
            <v>ZSFG</v>
          </cell>
          <cell r="F4982" t="str">
            <v>KG</v>
          </cell>
          <cell r="G4982" t="str">
            <v>9</v>
          </cell>
          <cell r="H4982" t="str">
            <v>OTHERS</v>
          </cell>
          <cell r="I4982" t="str">
            <v>91</v>
          </cell>
          <cell r="J4982" t="str">
            <v>SEMI FINISHED GOODS</v>
          </cell>
          <cell r="K4982" t="str">
            <v>9101</v>
          </cell>
          <cell r="L4982" t="str">
            <v>SEMI FINISHED GOODS</v>
          </cell>
          <cell r="M4982" t="str">
            <v>910101</v>
          </cell>
          <cell r="N4982" t="str">
            <v>PASTA</v>
          </cell>
        </row>
        <row r="4983">
          <cell r="C4983" t="str">
            <v>120003193</v>
          </cell>
          <cell r="D4983" t="str">
            <v>PFT-253 RAL 6032 VN</v>
          </cell>
          <cell r="E4983" t="str">
            <v>ZSFG</v>
          </cell>
          <cell r="F4983" t="str">
            <v>KG</v>
          </cell>
          <cell r="G4983" t="str">
            <v>5</v>
          </cell>
          <cell r="H4983" t="str">
            <v>PROJECT</v>
          </cell>
          <cell r="I4983" t="str">
            <v>56</v>
          </cell>
          <cell r="J4983" t="str">
            <v>CPC1</v>
          </cell>
          <cell r="K4983" t="str">
            <v>5602</v>
          </cell>
          <cell r="L4983" t="str">
            <v>POLYFLOOR</v>
          </cell>
          <cell r="M4983" t="str">
            <v>560202</v>
          </cell>
          <cell r="N4983" t="str">
            <v>POLYFLOOR EPOXY</v>
          </cell>
        </row>
        <row r="4984">
          <cell r="C4984" t="str">
            <v>120003194</v>
          </cell>
          <cell r="D4984" t="str">
            <v>PUL-53306 AC BASE GLASS 10</v>
          </cell>
          <cell r="E4984" t="str">
            <v>ZSFG</v>
          </cell>
          <cell r="F4984" t="str">
            <v>KG</v>
          </cell>
          <cell r="G4984" t="str">
            <v>9</v>
          </cell>
          <cell r="H4984" t="str">
            <v>OTHERS</v>
          </cell>
          <cell r="I4984" t="str">
            <v>91</v>
          </cell>
          <cell r="J4984" t="str">
            <v>SEMI FINISHED GOODS</v>
          </cell>
          <cell r="K4984" t="str">
            <v>9101</v>
          </cell>
          <cell r="L4984" t="str">
            <v>SEMI FINISHED GOODS</v>
          </cell>
          <cell r="M4984" t="str">
            <v>910104</v>
          </cell>
          <cell r="N4984" t="str">
            <v>BASE</v>
          </cell>
        </row>
        <row r="4985">
          <cell r="C4985" t="str">
            <v>120003195</v>
          </cell>
          <cell r="D4985" t="str">
            <v>#NUPUC-54206 AC GLASS MAR 10 TL VN</v>
          </cell>
          <cell r="E4985" t="str">
            <v>ZSFG</v>
          </cell>
          <cell r="F4985" t="str">
            <v>PC</v>
          </cell>
          <cell r="G4985" t="str">
            <v>1</v>
          </cell>
          <cell r="H4985" t="str">
            <v>INDUSTRY</v>
          </cell>
          <cell r="I4985" t="str">
            <v>11</v>
          </cell>
          <cell r="J4985" t="str">
            <v>WOOD COATINGS</v>
          </cell>
          <cell r="K4985" t="str">
            <v>1103</v>
          </cell>
          <cell r="L4985" t="str">
            <v>PU</v>
          </cell>
          <cell r="M4985" t="str">
            <v>110304</v>
          </cell>
          <cell r="N4985" t="str">
            <v>PU SYSTEM</v>
          </cell>
        </row>
        <row r="4986">
          <cell r="C4986" t="str">
            <v>120003196</v>
          </cell>
          <cell r="D4986" t="str">
            <v>PUC-54206 AC GLASS MAR 10 TL VN</v>
          </cell>
          <cell r="E4986" t="str">
            <v>ZSFG</v>
          </cell>
          <cell r="F4986" t="str">
            <v>KG</v>
          </cell>
          <cell r="G4986" t="str">
            <v>1</v>
          </cell>
          <cell r="H4986" t="str">
            <v>INDUSTRY</v>
          </cell>
          <cell r="I4986" t="str">
            <v>11</v>
          </cell>
          <cell r="J4986" t="str">
            <v>WOOD COATINGS</v>
          </cell>
          <cell r="K4986" t="str">
            <v>1103</v>
          </cell>
          <cell r="L4986" t="str">
            <v>PU</v>
          </cell>
          <cell r="M4986" t="str">
            <v>110319</v>
          </cell>
          <cell r="N4986" t="str">
            <v>PU COLOR</v>
          </cell>
        </row>
        <row r="4987">
          <cell r="C4987" t="str">
            <v>120003197</v>
          </cell>
          <cell r="D4987" t="str">
            <v>EQ-10200 GREEN WOOD C SN VN</v>
          </cell>
          <cell r="E4987" t="str">
            <v>ZSFG</v>
          </cell>
          <cell r="F4987" t="str">
            <v>KG</v>
          </cell>
          <cell r="G4987" t="str">
            <v>1</v>
          </cell>
          <cell r="H4987" t="str">
            <v>INDUSTRY</v>
          </cell>
          <cell r="I4987" t="str">
            <v>11</v>
          </cell>
          <cell r="J4987" t="str">
            <v>WOOD COATINGS</v>
          </cell>
          <cell r="K4987" t="str">
            <v>1109</v>
          </cell>
          <cell r="L4987" t="str">
            <v>STAIN &amp; GLAZE INTERIOR</v>
          </cell>
          <cell r="M4987" t="str">
            <v>110901</v>
          </cell>
          <cell r="N4987" t="str">
            <v>ASOF : STAIN &amp; GLAZE</v>
          </cell>
        </row>
        <row r="4988">
          <cell r="C4988" t="str">
            <v>120003198</v>
          </cell>
          <cell r="D4988" t="str">
            <v>EQ-10200 RED WOOD C SN VN</v>
          </cell>
          <cell r="E4988" t="str">
            <v>ZSFG</v>
          </cell>
          <cell r="F4988" t="str">
            <v>KG</v>
          </cell>
          <cell r="G4988" t="str">
            <v>1</v>
          </cell>
          <cell r="H4988" t="str">
            <v>INDUSTRY</v>
          </cell>
          <cell r="I4988" t="str">
            <v>11</v>
          </cell>
          <cell r="J4988" t="str">
            <v>WOOD COATINGS</v>
          </cell>
          <cell r="K4988" t="str">
            <v>1109</v>
          </cell>
          <cell r="L4988" t="str">
            <v>STAIN &amp; GLAZE INTERIOR</v>
          </cell>
          <cell r="M4988" t="str">
            <v>110901</v>
          </cell>
          <cell r="N4988" t="str">
            <v>ASOF : STAIN &amp; GLAZE</v>
          </cell>
        </row>
        <row r="4989">
          <cell r="C4989" t="str">
            <v>120003199</v>
          </cell>
          <cell r="D4989" t="str">
            <v>PST-12100 BLACK SN VN</v>
          </cell>
          <cell r="E4989" t="str">
            <v>ZSFG</v>
          </cell>
          <cell r="F4989" t="str">
            <v>KG</v>
          </cell>
          <cell r="G4989" t="str">
            <v>1</v>
          </cell>
          <cell r="H4989" t="str">
            <v>INDUSTRY</v>
          </cell>
          <cell r="I4989" t="str">
            <v>11</v>
          </cell>
          <cell r="J4989" t="str">
            <v>WOOD COATINGS</v>
          </cell>
          <cell r="K4989" t="str">
            <v>1109</v>
          </cell>
          <cell r="L4989" t="str">
            <v>STAIN &amp; GLAZE INTERIOR</v>
          </cell>
          <cell r="M4989" t="str">
            <v>110903</v>
          </cell>
          <cell r="N4989" t="str">
            <v>STAIN INTERIOR</v>
          </cell>
        </row>
        <row r="4990">
          <cell r="C4990" t="str">
            <v>120003200</v>
          </cell>
          <cell r="D4990" t="str">
            <v>TOL-76301 P BLACK SN VN</v>
          </cell>
          <cell r="E4990" t="str">
            <v>ZSFG</v>
          </cell>
          <cell r="F4990" t="str">
            <v>KG</v>
          </cell>
          <cell r="G4990" t="str">
            <v>1</v>
          </cell>
          <cell r="H4990" t="str">
            <v>INDUSTRY</v>
          </cell>
          <cell r="I4990" t="str">
            <v>11</v>
          </cell>
          <cell r="J4990" t="str">
            <v>WOOD COATINGS</v>
          </cell>
          <cell r="K4990" t="str">
            <v>1101</v>
          </cell>
          <cell r="L4990" t="str">
            <v>ALKYD OIL</v>
          </cell>
          <cell r="M4990" t="str">
            <v>110101</v>
          </cell>
          <cell r="N4990" t="str">
            <v>ALKYD &amp; OIL SYSTEM</v>
          </cell>
        </row>
        <row r="4991">
          <cell r="C4991" t="str">
            <v>120003201</v>
          </cell>
          <cell r="D4991" t="str">
            <v>TOL-76301 P WOOD C CLR SN VN</v>
          </cell>
          <cell r="E4991" t="str">
            <v>ZSFG</v>
          </cell>
          <cell r="F4991" t="str">
            <v>KG</v>
          </cell>
          <cell r="G4991" t="str">
            <v>1</v>
          </cell>
          <cell r="H4991" t="str">
            <v>INDUSTRY</v>
          </cell>
          <cell r="I4991" t="str">
            <v>11</v>
          </cell>
          <cell r="J4991" t="str">
            <v>WOOD COATINGS</v>
          </cell>
          <cell r="K4991" t="str">
            <v>1101</v>
          </cell>
          <cell r="L4991" t="str">
            <v>ALKYD OIL</v>
          </cell>
          <cell r="M4991" t="str">
            <v>110101</v>
          </cell>
          <cell r="N4991" t="str">
            <v>ALKYD &amp; OIL SYSTEM</v>
          </cell>
        </row>
        <row r="4992">
          <cell r="C4992" t="str">
            <v>120003202</v>
          </cell>
          <cell r="D4992" t="str">
            <v>TOL-76301 N WOOD C SN VN</v>
          </cell>
          <cell r="E4992" t="str">
            <v>ZSFG</v>
          </cell>
          <cell r="F4992" t="str">
            <v>KG</v>
          </cell>
          <cell r="G4992" t="str">
            <v>1</v>
          </cell>
          <cell r="H4992" t="str">
            <v>INDUSTRY</v>
          </cell>
          <cell r="I4992" t="str">
            <v>11</v>
          </cell>
          <cell r="J4992" t="str">
            <v>WOOD COATINGS</v>
          </cell>
          <cell r="K4992" t="str">
            <v>1101</v>
          </cell>
          <cell r="L4992" t="str">
            <v>ALKYD OIL</v>
          </cell>
          <cell r="M4992" t="str">
            <v>110101</v>
          </cell>
          <cell r="N4992" t="str">
            <v>ALKYD &amp; OIL SYSTEM</v>
          </cell>
        </row>
        <row r="4993">
          <cell r="C4993" t="str">
            <v>120003203</v>
          </cell>
          <cell r="D4993" t="str">
            <v>TOL-76301 P BASE DEAD MATT TD</v>
          </cell>
          <cell r="E4993" t="str">
            <v>ZSFG</v>
          </cell>
          <cell r="F4993" t="str">
            <v>KG</v>
          </cell>
          <cell r="G4993" t="str">
            <v>9</v>
          </cell>
          <cell r="H4993" t="str">
            <v>OTHERS</v>
          </cell>
          <cell r="I4993" t="str">
            <v>91</v>
          </cell>
          <cell r="J4993" t="str">
            <v>SEMI FINISHED GOODS</v>
          </cell>
          <cell r="K4993" t="str">
            <v>9101</v>
          </cell>
          <cell r="L4993" t="str">
            <v>SEMI FINISHED GOODS</v>
          </cell>
          <cell r="M4993" t="str">
            <v>910104</v>
          </cell>
          <cell r="N4993" t="str">
            <v>BASE</v>
          </cell>
        </row>
        <row r="4994">
          <cell r="C4994" t="str">
            <v>120003204</v>
          </cell>
          <cell r="D4994" t="str">
            <v>PCL-31300 WDC03 A GE VN</v>
          </cell>
          <cell r="E4994" t="str">
            <v>ZSFG</v>
          </cell>
          <cell r="F4994" t="str">
            <v>KG</v>
          </cell>
          <cell r="G4994" t="str">
            <v>1</v>
          </cell>
          <cell r="H4994" t="str">
            <v>INDUSTRY</v>
          </cell>
          <cell r="I4994" t="str">
            <v>11</v>
          </cell>
          <cell r="J4994" t="str">
            <v>WOOD COATINGS</v>
          </cell>
          <cell r="K4994" t="str">
            <v>1118</v>
          </cell>
          <cell r="L4994" t="str">
            <v>COMPLEMENTARY</v>
          </cell>
          <cell r="M4994" t="str">
            <v>111807</v>
          </cell>
          <cell r="N4994" t="str">
            <v>PASTA</v>
          </cell>
        </row>
        <row r="4995">
          <cell r="C4995" t="str">
            <v>120003205</v>
          </cell>
          <cell r="D4995" t="str">
            <v>PCL-31300 WDC03 B GE VN</v>
          </cell>
          <cell r="E4995" t="str">
            <v>ZSFG</v>
          </cell>
          <cell r="F4995" t="str">
            <v>KG</v>
          </cell>
          <cell r="G4995" t="str">
            <v>1</v>
          </cell>
          <cell r="H4995" t="str">
            <v>INDUSTRY</v>
          </cell>
          <cell r="I4995" t="str">
            <v>11</v>
          </cell>
          <cell r="J4995" t="str">
            <v>WOOD COATINGS</v>
          </cell>
          <cell r="K4995" t="str">
            <v>1118</v>
          </cell>
          <cell r="L4995" t="str">
            <v>COMPLEMENTARY</v>
          </cell>
          <cell r="M4995" t="str">
            <v>111807</v>
          </cell>
          <cell r="N4995" t="str">
            <v>PASTA</v>
          </cell>
        </row>
        <row r="4996">
          <cell r="C4996" t="str">
            <v>120003206</v>
          </cell>
          <cell r="D4996" t="str">
            <v>PCL-31300 WDC03 C GE VN</v>
          </cell>
          <cell r="E4996" t="str">
            <v>ZSFG</v>
          </cell>
          <cell r="F4996" t="str">
            <v>KG</v>
          </cell>
          <cell r="G4996" t="str">
            <v>1</v>
          </cell>
          <cell r="H4996" t="str">
            <v>INDUSTRY</v>
          </cell>
          <cell r="I4996" t="str">
            <v>11</v>
          </cell>
          <cell r="J4996" t="str">
            <v>WOOD COATINGS</v>
          </cell>
          <cell r="K4996" t="str">
            <v>1118</v>
          </cell>
          <cell r="L4996" t="str">
            <v>COMPLEMENTARY</v>
          </cell>
          <cell r="M4996" t="str">
            <v>111807</v>
          </cell>
          <cell r="N4996" t="str">
            <v>PASTA</v>
          </cell>
        </row>
        <row r="4997">
          <cell r="C4997" t="str">
            <v>120003207</v>
          </cell>
          <cell r="D4997" t="str">
            <v>PCL-31300 WDC03 D GE VN</v>
          </cell>
          <cell r="E4997" t="str">
            <v>ZSFG</v>
          </cell>
          <cell r="F4997" t="str">
            <v>KG</v>
          </cell>
          <cell r="G4997" t="str">
            <v>1</v>
          </cell>
          <cell r="H4997" t="str">
            <v>INDUSTRY</v>
          </cell>
          <cell r="I4997" t="str">
            <v>11</v>
          </cell>
          <cell r="J4997" t="str">
            <v>WOOD COATINGS</v>
          </cell>
          <cell r="K4997" t="str">
            <v>1118</v>
          </cell>
          <cell r="L4997" t="str">
            <v>COMPLEMENTARY</v>
          </cell>
          <cell r="M4997" t="str">
            <v>111807</v>
          </cell>
          <cell r="N4997" t="str">
            <v>PASTA</v>
          </cell>
        </row>
        <row r="4998">
          <cell r="C4998" t="str">
            <v>120003208</v>
          </cell>
          <cell r="D4998" t="str">
            <v>PG-13900 WDC03 GE VN</v>
          </cell>
          <cell r="E4998" t="str">
            <v>ZSFG</v>
          </cell>
          <cell r="F4998" t="str">
            <v>KG</v>
          </cell>
          <cell r="G4998" t="str">
            <v>1</v>
          </cell>
          <cell r="H4998" t="str">
            <v>INDUSTRY</v>
          </cell>
          <cell r="I4998" t="str">
            <v>11</v>
          </cell>
          <cell r="J4998" t="str">
            <v>WOOD COATINGS</v>
          </cell>
          <cell r="K4998" t="str">
            <v>1109</v>
          </cell>
          <cell r="L4998" t="str">
            <v>STAIN &amp; GLAZE INTERIOR</v>
          </cell>
          <cell r="M4998" t="str">
            <v>110901</v>
          </cell>
          <cell r="N4998" t="str">
            <v>ASOF : STAIN &amp; GLAZE</v>
          </cell>
        </row>
        <row r="4999">
          <cell r="C4999" t="str">
            <v>120003209</v>
          </cell>
          <cell r="D4999" t="str">
            <v>UVC-70101 WHITE 20 VN</v>
          </cell>
          <cell r="E4999" t="str">
            <v>ZSFG</v>
          </cell>
          <cell r="F4999" t="str">
            <v>KG</v>
          </cell>
          <cell r="G4999" t="str">
            <v>1</v>
          </cell>
          <cell r="H4999" t="str">
            <v>INDUSTRY</v>
          </cell>
          <cell r="I4999" t="str">
            <v>11</v>
          </cell>
          <cell r="J4999" t="str">
            <v>WOOD COATINGS</v>
          </cell>
          <cell r="K4999" t="str">
            <v>1106</v>
          </cell>
          <cell r="L4999" t="str">
            <v>UV</v>
          </cell>
          <cell r="M4999" t="str">
            <v>110608</v>
          </cell>
          <cell r="N4999" t="str">
            <v>UV TOP COAT COLOR</v>
          </cell>
        </row>
        <row r="5000">
          <cell r="C5000" t="str">
            <v>120003210</v>
          </cell>
          <cell r="D5000" t="str">
            <v>UVSS-40115 KW VN</v>
          </cell>
          <cell r="E5000" t="str">
            <v>ZSFG</v>
          </cell>
          <cell r="F5000" t="str">
            <v>KG</v>
          </cell>
          <cell r="G5000" t="str">
            <v>1</v>
          </cell>
          <cell r="H5000" t="str">
            <v>INDUSTRY</v>
          </cell>
          <cell r="I5000" t="str">
            <v>11</v>
          </cell>
          <cell r="J5000" t="str">
            <v>WOOD COATINGS</v>
          </cell>
          <cell r="K5000" t="str">
            <v>1106</v>
          </cell>
          <cell r="L5000" t="str">
            <v>UV</v>
          </cell>
          <cell r="M5000" t="str">
            <v>110605</v>
          </cell>
          <cell r="N5000" t="str">
            <v>UV SANDING SEALER</v>
          </cell>
        </row>
        <row r="5001">
          <cell r="C5001" t="str">
            <v>120003211</v>
          </cell>
          <cell r="D5001" t="str">
            <v>GZ-9127 BASE WS AK</v>
          </cell>
          <cell r="E5001" t="str">
            <v>ZSFG</v>
          </cell>
          <cell r="F5001" t="str">
            <v>KG</v>
          </cell>
          <cell r="G5001" t="str">
            <v>9</v>
          </cell>
          <cell r="H5001" t="str">
            <v>OTHERS</v>
          </cell>
          <cell r="I5001" t="str">
            <v>91</v>
          </cell>
          <cell r="J5001" t="str">
            <v>SEMI FINISHED GOODS</v>
          </cell>
          <cell r="K5001" t="str">
            <v>9101</v>
          </cell>
          <cell r="L5001" t="str">
            <v>SEMI FINISHED GOODS</v>
          </cell>
          <cell r="M5001" t="str">
            <v>910104</v>
          </cell>
          <cell r="N5001" t="str">
            <v>BASE</v>
          </cell>
        </row>
        <row r="5002">
          <cell r="C5002" t="str">
            <v>120003212</v>
          </cell>
          <cell r="D5002" t="str">
            <v>GZ-12700 N 275 HF VN</v>
          </cell>
          <cell r="E5002" t="str">
            <v>ZSFG</v>
          </cell>
          <cell r="F5002" t="str">
            <v>KG</v>
          </cell>
          <cell r="G5002" t="str">
            <v>1</v>
          </cell>
          <cell r="H5002" t="str">
            <v>INDUSTRY</v>
          </cell>
          <cell r="I5002" t="str">
            <v>11</v>
          </cell>
          <cell r="J5002" t="str">
            <v>WOOD COATINGS</v>
          </cell>
          <cell r="K5002" t="str">
            <v>1109</v>
          </cell>
          <cell r="L5002" t="str">
            <v>STAIN &amp; GLAZE INTERIOR</v>
          </cell>
          <cell r="M5002" t="str">
            <v>110901</v>
          </cell>
          <cell r="N5002" t="str">
            <v>ASOF : STAIN &amp; GLAZE</v>
          </cell>
        </row>
        <row r="5003">
          <cell r="C5003" t="str">
            <v>120003213</v>
          </cell>
          <cell r="D5003" t="str">
            <v>GZ-12700 N 287 HF VN</v>
          </cell>
          <cell r="E5003" t="str">
            <v>ZSFG</v>
          </cell>
          <cell r="F5003" t="str">
            <v>KG</v>
          </cell>
          <cell r="G5003" t="str">
            <v>1</v>
          </cell>
          <cell r="H5003" t="str">
            <v>INDUSTRY</v>
          </cell>
          <cell r="I5003" t="str">
            <v>11</v>
          </cell>
          <cell r="J5003" t="str">
            <v>WOOD COATINGS</v>
          </cell>
          <cell r="K5003" t="str">
            <v>1109</v>
          </cell>
          <cell r="L5003" t="str">
            <v>STAIN &amp; GLAZE INTERIOR</v>
          </cell>
          <cell r="M5003" t="str">
            <v>110901</v>
          </cell>
          <cell r="N5003" t="str">
            <v>ASOF : STAIN &amp; GLAZE</v>
          </cell>
        </row>
        <row r="5004">
          <cell r="C5004" t="str">
            <v>120003214</v>
          </cell>
          <cell r="D5004" t="str">
            <v>SST-11100 MD 275 HF VN</v>
          </cell>
          <cell r="E5004" t="str">
            <v>ZSFG</v>
          </cell>
          <cell r="F5004" t="str">
            <v>KG</v>
          </cell>
          <cell r="G5004" t="str">
            <v>1</v>
          </cell>
          <cell r="H5004" t="str">
            <v>INDUSTRY</v>
          </cell>
          <cell r="I5004" t="str">
            <v>11</v>
          </cell>
          <cell r="J5004" t="str">
            <v>WOOD COATINGS</v>
          </cell>
          <cell r="K5004" t="str">
            <v>1109</v>
          </cell>
          <cell r="L5004" t="str">
            <v>STAIN &amp; GLAZE INTERIOR</v>
          </cell>
          <cell r="M5004" t="str">
            <v>110903</v>
          </cell>
          <cell r="N5004" t="str">
            <v>STAIN INTERIOR</v>
          </cell>
        </row>
        <row r="5005">
          <cell r="C5005" t="str">
            <v>120003215</v>
          </cell>
          <cell r="D5005" t="str">
            <v>PCA-31100 275 HF VN</v>
          </cell>
          <cell r="E5005" t="str">
            <v>ZSFG</v>
          </cell>
          <cell r="F5005" t="str">
            <v>KG</v>
          </cell>
          <cell r="G5005" t="str">
            <v>1</v>
          </cell>
          <cell r="H5005" t="str">
            <v>INDUSTRY</v>
          </cell>
          <cell r="I5005" t="str">
            <v>11</v>
          </cell>
          <cell r="J5005" t="str">
            <v>WOOD COATINGS</v>
          </cell>
          <cell r="K5005" t="str">
            <v>1118</v>
          </cell>
          <cell r="L5005" t="str">
            <v>COMPLEMENTARY</v>
          </cell>
          <cell r="M5005" t="str">
            <v>111807</v>
          </cell>
          <cell r="N5005" t="str">
            <v>PASTA</v>
          </cell>
        </row>
        <row r="5006">
          <cell r="C5006" t="str">
            <v>120003216</v>
          </cell>
          <cell r="D5006" t="str">
            <v>PCA-31100 287 HF VN</v>
          </cell>
          <cell r="E5006" t="str">
            <v>ZSFG</v>
          </cell>
          <cell r="F5006" t="str">
            <v>KG</v>
          </cell>
          <cell r="G5006" t="str">
            <v>1</v>
          </cell>
          <cell r="H5006" t="str">
            <v>INDUSTRY</v>
          </cell>
          <cell r="I5006" t="str">
            <v>11</v>
          </cell>
          <cell r="J5006" t="str">
            <v>WOOD COATINGS</v>
          </cell>
          <cell r="K5006" t="str">
            <v>1118</v>
          </cell>
          <cell r="L5006" t="str">
            <v>COMPLEMENTARY</v>
          </cell>
          <cell r="M5006" t="str">
            <v>111807</v>
          </cell>
          <cell r="N5006" t="str">
            <v>PASTA</v>
          </cell>
        </row>
        <row r="5007">
          <cell r="C5007" t="str">
            <v>120003217</v>
          </cell>
          <cell r="D5007" t="str">
            <v>NCL-11329 BC CLEAR 20 VN</v>
          </cell>
          <cell r="E5007" t="str">
            <v>ZSFG</v>
          </cell>
          <cell r="F5007" t="str">
            <v>KG</v>
          </cell>
          <cell r="G5007" t="str">
            <v>1</v>
          </cell>
          <cell r="H5007" t="str">
            <v>INDUSTRY</v>
          </cell>
          <cell r="I5007" t="str">
            <v>11</v>
          </cell>
          <cell r="J5007" t="str">
            <v>WOOD COATINGS</v>
          </cell>
          <cell r="K5007" t="str">
            <v>1104</v>
          </cell>
          <cell r="L5007" t="str">
            <v>NC</v>
          </cell>
          <cell r="M5007" t="str">
            <v>110405</v>
          </cell>
          <cell r="N5007" t="str">
            <v>NC SYSTEM</v>
          </cell>
        </row>
        <row r="5008">
          <cell r="C5008" t="str">
            <v>120003218</v>
          </cell>
          <cell r="D5008" t="str">
            <v>PASTA UVS YELLOW 104 HR VN</v>
          </cell>
          <cell r="E5008" t="str">
            <v>ZSFG</v>
          </cell>
          <cell r="F5008" t="str">
            <v>KG</v>
          </cell>
          <cell r="G5008" t="str">
            <v>9</v>
          </cell>
          <cell r="H5008" t="str">
            <v>OTHERS</v>
          </cell>
          <cell r="I5008" t="str">
            <v>91</v>
          </cell>
          <cell r="J5008" t="str">
            <v>SEMI FINISHED GOODS</v>
          </cell>
          <cell r="K5008" t="str">
            <v>9101</v>
          </cell>
          <cell r="L5008" t="str">
            <v>SEMI FINISHED GOODS</v>
          </cell>
          <cell r="M5008" t="str">
            <v>910101</v>
          </cell>
          <cell r="N5008" t="str">
            <v>PASTA</v>
          </cell>
        </row>
        <row r="5009">
          <cell r="C5009" t="str">
            <v>120003219</v>
          </cell>
          <cell r="D5009" t="str">
            <v>PUL-53306 AC EX BASE 80</v>
          </cell>
          <cell r="E5009" t="str">
            <v>ZSFG</v>
          </cell>
          <cell r="F5009" t="str">
            <v>KG</v>
          </cell>
          <cell r="G5009" t="str">
            <v>9</v>
          </cell>
          <cell r="H5009" t="str">
            <v>OTHERS</v>
          </cell>
          <cell r="I5009" t="str">
            <v>91</v>
          </cell>
          <cell r="J5009" t="str">
            <v>SEMI FINISHED GOODS</v>
          </cell>
          <cell r="K5009" t="str">
            <v>9101</v>
          </cell>
          <cell r="L5009" t="str">
            <v>SEMI FINISHED GOODS</v>
          </cell>
          <cell r="M5009" t="str">
            <v>910104</v>
          </cell>
          <cell r="N5009" t="str">
            <v>BASE</v>
          </cell>
        </row>
        <row r="5010">
          <cell r="C5010" t="str">
            <v>120003221</v>
          </cell>
          <cell r="D5010" t="str">
            <v>UVC-70101 WHITE 90 VN</v>
          </cell>
          <cell r="E5010" t="str">
            <v>ZSFG</v>
          </cell>
          <cell r="F5010" t="str">
            <v>KG</v>
          </cell>
          <cell r="G5010" t="str">
            <v>1</v>
          </cell>
          <cell r="H5010" t="str">
            <v>INDUSTRY</v>
          </cell>
          <cell r="I5010" t="str">
            <v>11</v>
          </cell>
          <cell r="J5010" t="str">
            <v>WOOD COATINGS</v>
          </cell>
          <cell r="K5010" t="str">
            <v>1106</v>
          </cell>
          <cell r="L5010" t="str">
            <v>UV</v>
          </cell>
          <cell r="M5010" t="str">
            <v>110608</v>
          </cell>
          <cell r="N5010" t="str">
            <v>UV TOP COAT COLOR</v>
          </cell>
        </row>
        <row r="5011">
          <cell r="C5011" t="str">
            <v>120003222</v>
          </cell>
          <cell r="D5011" t="str">
            <v>DC-12207 WHITE 30 VN</v>
          </cell>
          <cell r="E5011" t="str">
            <v>ZSFG</v>
          </cell>
          <cell r="F5011" t="str">
            <v>KG</v>
          </cell>
          <cell r="G5011" t="str">
            <v>1</v>
          </cell>
          <cell r="H5011" t="str">
            <v>INDUSTRY</v>
          </cell>
          <cell r="I5011" t="str">
            <v>11</v>
          </cell>
          <cell r="J5011" t="str">
            <v>WOOD COATINGS</v>
          </cell>
          <cell r="K5011" t="str">
            <v>1104</v>
          </cell>
          <cell r="L5011" t="str">
            <v>NC</v>
          </cell>
          <cell r="M5011" t="str">
            <v>110405</v>
          </cell>
          <cell r="N5011" t="str">
            <v>NC SYSTEM</v>
          </cell>
        </row>
        <row r="5012">
          <cell r="C5012" t="str">
            <v>120003223</v>
          </cell>
          <cell r="D5012" t="str">
            <v>PASTA UVS RED 30 FBB VN</v>
          </cell>
          <cell r="E5012" t="str">
            <v>ZSFG</v>
          </cell>
          <cell r="F5012" t="str">
            <v>KG</v>
          </cell>
          <cell r="G5012" t="str">
            <v>9</v>
          </cell>
          <cell r="H5012" t="str">
            <v>OTHERS</v>
          </cell>
          <cell r="I5012" t="str">
            <v>91</v>
          </cell>
          <cell r="J5012" t="str">
            <v>SEMI FINISHED GOODS</v>
          </cell>
          <cell r="K5012" t="str">
            <v>9101</v>
          </cell>
          <cell r="L5012" t="str">
            <v>SEMI FINISHED GOODS</v>
          </cell>
          <cell r="M5012" t="str">
            <v>910101</v>
          </cell>
          <cell r="N5012" t="str">
            <v>PASTA</v>
          </cell>
        </row>
        <row r="5013">
          <cell r="C5013" t="str">
            <v>120003224</v>
          </cell>
          <cell r="D5013" t="str">
            <v>DP-12123 BC 01 UA VN</v>
          </cell>
          <cell r="E5013" t="str">
            <v>ZSFG</v>
          </cell>
          <cell r="F5013" t="str">
            <v>KG</v>
          </cell>
          <cell r="G5013" t="str">
            <v>1</v>
          </cell>
          <cell r="H5013" t="str">
            <v>INDUSTRY</v>
          </cell>
          <cell r="I5013" t="str">
            <v>11</v>
          </cell>
          <cell r="J5013" t="str">
            <v>WOOD COATINGS</v>
          </cell>
          <cell r="K5013" t="str">
            <v>1104</v>
          </cell>
          <cell r="L5013" t="str">
            <v>NC</v>
          </cell>
          <cell r="M5013" t="str">
            <v>110405</v>
          </cell>
          <cell r="N5013" t="str">
            <v>NC SYSTEM</v>
          </cell>
        </row>
        <row r="5014">
          <cell r="C5014" t="str">
            <v>120003225</v>
          </cell>
          <cell r="D5014" t="str">
            <v>DP-12123 BC 02 UA VN</v>
          </cell>
          <cell r="E5014" t="str">
            <v>ZSFG</v>
          </cell>
          <cell r="F5014" t="str">
            <v>KG</v>
          </cell>
          <cell r="G5014" t="str">
            <v>1</v>
          </cell>
          <cell r="H5014" t="str">
            <v>INDUSTRY</v>
          </cell>
          <cell r="I5014" t="str">
            <v>11</v>
          </cell>
          <cell r="J5014" t="str">
            <v>WOOD COATINGS</v>
          </cell>
          <cell r="K5014" t="str">
            <v>1104</v>
          </cell>
          <cell r="L5014" t="str">
            <v>NC</v>
          </cell>
          <cell r="M5014" t="str">
            <v>110405</v>
          </cell>
          <cell r="N5014" t="str">
            <v>NC SYSTEM</v>
          </cell>
        </row>
        <row r="5015">
          <cell r="C5015" t="str">
            <v>120003226</v>
          </cell>
          <cell r="D5015" t="str">
            <v>GZ-12700 N 02 UA VN</v>
          </cell>
          <cell r="E5015" t="str">
            <v>ZSFG</v>
          </cell>
          <cell r="F5015" t="str">
            <v>KG</v>
          </cell>
          <cell r="G5015" t="str">
            <v>1</v>
          </cell>
          <cell r="H5015" t="str">
            <v>INDUSTRY</v>
          </cell>
          <cell r="I5015" t="str">
            <v>11</v>
          </cell>
          <cell r="J5015" t="str">
            <v>WOOD COATINGS</v>
          </cell>
          <cell r="K5015" t="str">
            <v>1109</v>
          </cell>
          <cell r="L5015" t="str">
            <v>STAIN &amp; GLAZE INTERIOR</v>
          </cell>
          <cell r="M5015" t="str">
            <v>110901</v>
          </cell>
          <cell r="N5015" t="str">
            <v>ASOF : STAIN &amp; GLAZE</v>
          </cell>
        </row>
        <row r="5016">
          <cell r="C5016" t="str">
            <v>120003227</v>
          </cell>
          <cell r="D5016" t="str">
            <v>UVS-20600 BWH SC VN</v>
          </cell>
          <cell r="E5016" t="str">
            <v>ZSFG</v>
          </cell>
          <cell r="F5016" t="str">
            <v>KG</v>
          </cell>
          <cell r="G5016" t="str">
            <v>1</v>
          </cell>
          <cell r="H5016" t="str">
            <v>INDUSTRY</v>
          </cell>
          <cell r="I5016" t="str">
            <v>11</v>
          </cell>
          <cell r="J5016" t="str">
            <v>WOOD COATINGS</v>
          </cell>
          <cell r="K5016" t="str">
            <v>1106</v>
          </cell>
          <cell r="L5016" t="str">
            <v>UV</v>
          </cell>
          <cell r="M5016" t="str">
            <v>110606</v>
          </cell>
          <cell r="N5016" t="str">
            <v>UV STAIN</v>
          </cell>
        </row>
        <row r="5017">
          <cell r="C5017" t="str">
            <v>120003228</v>
          </cell>
          <cell r="D5017" t="str">
            <v>UVP-60501 BWH SC VN</v>
          </cell>
          <cell r="E5017" t="str">
            <v>ZSFG</v>
          </cell>
          <cell r="F5017" t="str">
            <v>KG</v>
          </cell>
          <cell r="G5017" t="str">
            <v>1</v>
          </cell>
          <cell r="H5017" t="str">
            <v>INDUSTRY</v>
          </cell>
          <cell r="I5017" t="str">
            <v>11</v>
          </cell>
          <cell r="J5017" t="str">
            <v>WOOD COATINGS</v>
          </cell>
          <cell r="K5017" t="str">
            <v>1106</v>
          </cell>
          <cell r="L5017" t="str">
            <v>UV</v>
          </cell>
          <cell r="M5017" t="str">
            <v>110604</v>
          </cell>
          <cell r="N5017" t="str">
            <v>UV PRIMER</v>
          </cell>
        </row>
        <row r="5018">
          <cell r="C5018" t="str">
            <v>120003229</v>
          </cell>
          <cell r="D5018" t="str">
            <v>PUL-745 2K MỜ 90% VN</v>
          </cell>
          <cell r="E5018" t="str">
            <v>ZSFG</v>
          </cell>
          <cell r="F5018" t="str">
            <v>KG</v>
          </cell>
          <cell r="G5018" t="str">
            <v>2</v>
          </cell>
          <cell r="H5018" t="str">
            <v>RETAIL</v>
          </cell>
          <cell r="I5018" t="str">
            <v>22</v>
          </cell>
          <cell r="J5018" t="str">
            <v>WF2</v>
          </cell>
          <cell r="K5018" t="str">
            <v>2212</v>
          </cell>
          <cell r="L5018" t="str">
            <v>PU EASY TO USE</v>
          </cell>
          <cell r="M5018" t="str">
            <v>221201</v>
          </cell>
          <cell r="N5018" t="str">
            <v>PROPAN EASY TO USE PU</v>
          </cell>
        </row>
        <row r="5019">
          <cell r="C5019" t="str">
            <v>120003230</v>
          </cell>
          <cell r="D5019" t="str">
            <v>PUL-745 2K BÓNG 100% VN</v>
          </cell>
          <cell r="E5019" t="str">
            <v>ZSFG</v>
          </cell>
          <cell r="F5019" t="str">
            <v>KG</v>
          </cell>
          <cell r="G5019" t="str">
            <v>2</v>
          </cell>
          <cell r="H5019" t="str">
            <v>RETAIL</v>
          </cell>
          <cell r="I5019" t="str">
            <v>22</v>
          </cell>
          <cell r="J5019" t="str">
            <v>WF2</v>
          </cell>
          <cell r="K5019" t="str">
            <v>2212</v>
          </cell>
          <cell r="L5019" t="str">
            <v>PU EASY TO USE</v>
          </cell>
          <cell r="M5019" t="str">
            <v>221201</v>
          </cell>
          <cell r="N5019" t="str">
            <v>PROPAN EASY TO USE PU</v>
          </cell>
        </row>
        <row r="5020">
          <cell r="C5020" t="str">
            <v>120003231</v>
          </cell>
          <cell r="D5020" t="str">
            <v>PUL-745 2K MỜ 70% VN</v>
          </cell>
          <cell r="E5020" t="str">
            <v>ZSFG</v>
          </cell>
          <cell r="F5020" t="str">
            <v>KG</v>
          </cell>
          <cell r="G5020" t="str">
            <v>2</v>
          </cell>
          <cell r="H5020" t="str">
            <v>RETAIL</v>
          </cell>
          <cell r="I5020" t="str">
            <v>22</v>
          </cell>
          <cell r="J5020" t="str">
            <v>WF2</v>
          </cell>
          <cell r="K5020" t="str">
            <v>2212</v>
          </cell>
          <cell r="L5020" t="str">
            <v>PU EASY TO USE</v>
          </cell>
          <cell r="M5020" t="str">
            <v>221201</v>
          </cell>
          <cell r="N5020" t="str">
            <v>PROPAN EASY TO USE PU</v>
          </cell>
        </row>
        <row r="5021">
          <cell r="C5021" t="str">
            <v>120003232</v>
          </cell>
          <cell r="D5021" t="str">
            <v>PUL-745 2K MỜ 100% VN</v>
          </cell>
          <cell r="E5021" t="str">
            <v>ZSFG</v>
          </cell>
          <cell r="F5021" t="str">
            <v>KG</v>
          </cell>
          <cell r="G5021" t="str">
            <v>2</v>
          </cell>
          <cell r="H5021" t="str">
            <v>RETAIL</v>
          </cell>
          <cell r="I5021" t="str">
            <v>22</v>
          </cell>
          <cell r="J5021" t="str">
            <v>WF2</v>
          </cell>
          <cell r="K5021" t="str">
            <v>2212</v>
          </cell>
          <cell r="L5021" t="str">
            <v>PU EASY TO USE</v>
          </cell>
          <cell r="M5021" t="str">
            <v>221201</v>
          </cell>
          <cell r="N5021" t="str">
            <v>PROPAN EASY TO USE PU</v>
          </cell>
        </row>
        <row r="5022">
          <cell r="C5022" t="str">
            <v>120003233</v>
          </cell>
          <cell r="D5022" t="str">
            <v>PUL-745 2K MỜ 50% VN</v>
          </cell>
          <cell r="E5022" t="str">
            <v>ZSFG</v>
          </cell>
          <cell r="F5022" t="str">
            <v>KG</v>
          </cell>
          <cell r="G5022" t="str">
            <v>2</v>
          </cell>
          <cell r="H5022" t="str">
            <v>RETAIL</v>
          </cell>
          <cell r="I5022" t="str">
            <v>22</v>
          </cell>
          <cell r="J5022" t="str">
            <v>WF2</v>
          </cell>
          <cell r="K5022" t="str">
            <v>2212</v>
          </cell>
          <cell r="L5022" t="str">
            <v>PU EASY TO USE</v>
          </cell>
          <cell r="M5022" t="str">
            <v>221201</v>
          </cell>
          <cell r="N5022" t="str">
            <v>PROPAN EASY TO USE PU</v>
          </cell>
        </row>
        <row r="5023">
          <cell r="C5023" t="str">
            <v>120003234</v>
          </cell>
          <cell r="D5023" t="str">
            <v>PUL-747 2K MỜ 100% VN</v>
          </cell>
          <cell r="E5023" t="str">
            <v>ZSFG</v>
          </cell>
          <cell r="F5023" t="str">
            <v>KG</v>
          </cell>
          <cell r="G5023" t="str">
            <v>2</v>
          </cell>
          <cell r="H5023" t="str">
            <v>RETAIL</v>
          </cell>
          <cell r="I5023" t="str">
            <v>22</v>
          </cell>
          <cell r="J5023" t="str">
            <v>WF2</v>
          </cell>
          <cell r="K5023" t="str">
            <v>2201</v>
          </cell>
          <cell r="L5023" t="str">
            <v>PU COATING</v>
          </cell>
          <cell r="M5023" t="str">
            <v>220117</v>
          </cell>
          <cell r="N5023" t="str">
            <v>PROPAN PU</v>
          </cell>
        </row>
        <row r="5024">
          <cell r="C5024" t="str">
            <v>120003235</v>
          </cell>
          <cell r="D5024" t="str">
            <v>PUL-747 2K BÓNG 100% VN</v>
          </cell>
          <cell r="E5024" t="str">
            <v>ZSFG</v>
          </cell>
          <cell r="F5024" t="str">
            <v>KG</v>
          </cell>
          <cell r="G5024" t="str">
            <v>2</v>
          </cell>
          <cell r="H5024" t="str">
            <v>RETAIL</v>
          </cell>
          <cell r="I5024" t="str">
            <v>22</v>
          </cell>
          <cell r="J5024" t="str">
            <v>WF2</v>
          </cell>
          <cell r="K5024" t="str">
            <v>2201</v>
          </cell>
          <cell r="L5024" t="str">
            <v>PU COATING</v>
          </cell>
          <cell r="M5024" t="str">
            <v>220117</v>
          </cell>
          <cell r="N5024" t="str">
            <v>PROPAN PU</v>
          </cell>
        </row>
        <row r="5025">
          <cell r="C5025" t="str">
            <v>120003236</v>
          </cell>
          <cell r="D5025" t="str">
            <v>PUL-747 2K MỜ 70% VN</v>
          </cell>
          <cell r="E5025" t="str">
            <v>ZSFG</v>
          </cell>
          <cell r="F5025" t="str">
            <v>KG</v>
          </cell>
          <cell r="G5025" t="str">
            <v>2</v>
          </cell>
          <cell r="H5025" t="str">
            <v>RETAIL</v>
          </cell>
          <cell r="I5025" t="str">
            <v>22</v>
          </cell>
          <cell r="J5025" t="str">
            <v>WF2</v>
          </cell>
          <cell r="K5025" t="str">
            <v>2201</v>
          </cell>
          <cell r="L5025" t="str">
            <v>PU COATING</v>
          </cell>
          <cell r="M5025" t="str">
            <v>220117</v>
          </cell>
          <cell r="N5025" t="str">
            <v>PROPAN PU</v>
          </cell>
        </row>
        <row r="5026">
          <cell r="C5026" t="str">
            <v>120003237</v>
          </cell>
          <cell r="D5026" t="str">
            <v>PUL-747 2K MỜ 50% VN</v>
          </cell>
          <cell r="E5026" t="str">
            <v>ZSFG</v>
          </cell>
          <cell r="F5026" t="str">
            <v>KG</v>
          </cell>
          <cell r="G5026" t="str">
            <v>2</v>
          </cell>
          <cell r="H5026" t="str">
            <v>RETAIL</v>
          </cell>
          <cell r="I5026" t="str">
            <v>22</v>
          </cell>
          <cell r="J5026" t="str">
            <v>WF2</v>
          </cell>
          <cell r="K5026" t="str">
            <v>2201</v>
          </cell>
          <cell r="L5026" t="str">
            <v>PU COATING</v>
          </cell>
          <cell r="M5026" t="str">
            <v>220117</v>
          </cell>
          <cell r="N5026" t="str">
            <v>PROPAN PU</v>
          </cell>
        </row>
        <row r="5027">
          <cell r="C5027" t="str">
            <v>120003238</v>
          </cell>
          <cell r="D5027" t="str">
            <v>PUL-747 2K MỜ 30% VN</v>
          </cell>
          <cell r="E5027" t="str">
            <v>ZSFG</v>
          </cell>
          <cell r="F5027" t="str">
            <v>KG</v>
          </cell>
          <cell r="G5027" t="str">
            <v>2</v>
          </cell>
          <cell r="H5027" t="str">
            <v>RETAIL</v>
          </cell>
          <cell r="I5027" t="str">
            <v>22</v>
          </cell>
          <cell r="J5027" t="str">
            <v>WF2</v>
          </cell>
          <cell r="K5027" t="str">
            <v>2201</v>
          </cell>
          <cell r="L5027" t="str">
            <v>PU COATING</v>
          </cell>
          <cell r="M5027" t="str">
            <v>220117</v>
          </cell>
          <cell r="N5027" t="str">
            <v>PROPAN PU</v>
          </cell>
        </row>
        <row r="5028">
          <cell r="C5028" t="str">
            <v>120003239</v>
          </cell>
          <cell r="D5028" t="str">
            <v>PUL-765 2K BÓNG 100% VN</v>
          </cell>
          <cell r="E5028" t="str">
            <v>ZSFG</v>
          </cell>
          <cell r="F5028" t="str">
            <v>KG</v>
          </cell>
          <cell r="G5028" t="str">
            <v>2</v>
          </cell>
          <cell r="H5028" t="str">
            <v>RETAIL</v>
          </cell>
          <cell r="I5028" t="str">
            <v>22</v>
          </cell>
          <cell r="J5028" t="str">
            <v>WF2</v>
          </cell>
          <cell r="K5028" t="str">
            <v>2216</v>
          </cell>
          <cell r="L5028" t="str">
            <v>PU MULTIPURPOSE</v>
          </cell>
          <cell r="M5028" t="str">
            <v>221601</v>
          </cell>
          <cell r="N5028" t="str">
            <v>PROPAN MP PU ACR RMX</v>
          </cell>
        </row>
        <row r="5029">
          <cell r="C5029" t="str">
            <v>120003240</v>
          </cell>
          <cell r="D5029" t="str">
            <v>PUL-765 2K MỜ 50% VN</v>
          </cell>
          <cell r="E5029" t="str">
            <v>ZSFG</v>
          </cell>
          <cell r="F5029" t="str">
            <v>KG</v>
          </cell>
          <cell r="G5029" t="str">
            <v>2</v>
          </cell>
          <cell r="H5029" t="str">
            <v>RETAIL</v>
          </cell>
          <cell r="I5029" t="str">
            <v>22</v>
          </cell>
          <cell r="J5029" t="str">
            <v>WF2</v>
          </cell>
          <cell r="K5029" t="str">
            <v>2216</v>
          </cell>
          <cell r="L5029" t="str">
            <v>PU MULTIPURPOSE</v>
          </cell>
          <cell r="M5029" t="str">
            <v>221601</v>
          </cell>
          <cell r="N5029" t="str">
            <v>PROPAN MP PU ACR RMX</v>
          </cell>
        </row>
        <row r="5030">
          <cell r="C5030" t="str">
            <v>120003241</v>
          </cell>
          <cell r="D5030" t="str">
            <v>PUL-765 2K MỜ 70% VN</v>
          </cell>
          <cell r="E5030" t="str">
            <v>ZSFG</v>
          </cell>
          <cell r="F5030" t="str">
            <v>KG</v>
          </cell>
          <cell r="G5030" t="str">
            <v>2</v>
          </cell>
          <cell r="H5030" t="str">
            <v>RETAIL</v>
          </cell>
          <cell r="I5030" t="str">
            <v>22</v>
          </cell>
          <cell r="J5030" t="str">
            <v>WF2</v>
          </cell>
          <cell r="K5030" t="str">
            <v>2216</v>
          </cell>
          <cell r="L5030" t="str">
            <v>PU MULTIPURPOSE</v>
          </cell>
          <cell r="M5030" t="str">
            <v>221601</v>
          </cell>
          <cell r="N5030" t="str">
            <v>PROPAN MP PU ACR RMX</v>
          </cell>
        </row>
        <row r="5031">
          <cell r="C5031" t="str">
            <v>120003242</v>
          </cell>
          <cell r="D5031" t="str">
            <v>PUL-765 2K MỜ 90% VN</v>
          </cell>
          <cell r="E5031" t="str">
            <v>ZSFG</v>
          </cell>
          <cell r="F5031" t="str">
            <v>KG</v>
          </cell>
          <cell r="G5031" t="str">
            <v>2</v>
          </cell>
          <cell r="H5031" t="str">
            <v>RETAIL</v>
          </cell>
          <cell r="I5031" t="str">
            <v>22</v>
          </cell>
          <cell r="J5031" t="str">
            <v>WF2</v>
          </cell>
          <cell r="K5031" t="str">
            <v>2216</v>
          </cell>
          <cell r="L5031" t="str">
            <v>PU MULTIPURPOSE</v>
          </cell>
          <cell r="M5031" t="str">
            <v>221601</v>
          </cell>
          <cell r="N5031" t="str">
            <v>PROPAN MP PU ACR RMX</v>
          </cell>
        </row>
        <row r="5032">
          <cell r="C5032" t="str">
            <v>120003243</v>
          </cell>
          <cell r="D5032" t="str">
            <v>PUC-786 2K ÐEN BÓNG SK012 VN</v>
          </cell>
          <cell r="E5032" t="str">
            <v>ZSFG</v>
          </cell>
          <cell r="F5032" t="str">
            <v>KG</v>
          </cell>
          <cell r="G5032" t="str">
            <v>2</v>
          </cell>
          <cell r="H5032" t="str">
            <v>RETAIL</v>
          </cell>
          <cell r="I5032" t="str">
            <v>22</v>
          </cell>
          <cell r="J5032" t="str">
            <v>WF2</v>
          </cell>
          <cell r="K5032" t="str">
            <v>2216</v>
          </cell>
          <cell r="L5032" t="str">
            <v>PU MULTIPURPOSE</v>
          </cell>
          <cell r="M5032" t="str">
            <v>221601</v>
          </cell>
          <cell r="N5032" t="str">
            <v>PROPAN MP PU ACR RMX</v>
          </cell>
        </row>
        <row r="5033">
          <cell r="C5033" t="str">
            <v>120003244</v>
          </cell>
          <cell r="D5033" t="str">
            <v>PUC-786 2K CHILI RED GLOSS VN</v>
          </cell>
          <cell r="E5033" t="str">
            <v>ZSFG</v>
          </cell>
          <cell r="F5033" t="str">
            <v>KG</v>
          </cell>
          <cell r="G5033" t="str">
            <v>2</v>
          </cell>
          <cell r="H5033" t="str">
            <v>RETAIL</v>
          </cell>
          <cell r="I5033" t="str">
            <v>22</v>
          </cell>
          <cell r="J5033" t="str">
            <v>WF2</v>
          </cell>
          <cell r="K5033" t="str">
            <v>2216</v>
          </cell>
          <cell r="L5033" t="str">
            <v>PU MULTIPURPOSE</v>
          </cell>
          <cell r="M5033" t="str">
            <v>221601</v>
          </cell>
          <cell r="N5033" t="str">
            <v>PROPAN MP PU ACR RMX</v>
          </cell>
        </row>
        <row r="5034">
          <cell r="C5034" t="str">
            <v>120003245</v>
          </cell>
          <cell r="D5034" t="str">
            <v>PUC-786 2K KEM LỢT SK002 VN</v>
          </cell>
          <cell r="E5034" t="str">
            <v>ZSFG</v>
          </cell>
          <cell r="F5034" t="str">
            <v>KG</v>
          </cell>
          <cell r="G5034" t="str">
            <v>2</v>
          </cell>
          <cell r="H5034" t="str">
            <v>RETAIL</v>
          </cell>
          <cell r="I5034" t="str">
            <v>22</v>
          </cell>
          <cell r="J5034" t="str">
            <v>WF2</v>
          </cell>
          <cell r="K5034" t="str">
            <v>2216</v>
          </cell>
          <cell r="L5034" t="str">
            <v>PU MULTIPURPOSE</v>
          </cell>
          <cell r="M5034" t="str">
            <v>221601</v>
          </cell>
          <cell r="N5034" t="str">
            <v>PROPAN MP PU ACR RMX</v>
          </cell>
        </row>
        <row r="5035">
          <cell r="C5035" t="str">
            <v>120003246</v>
          </cell>
          <cell r="D5035" t="str">
            <v>PUC-786 2K TRẮNG BÓNG SK006 VN</v>
          </cell>
          <cell r="E5035" t="str">
            <v>ZSFG</v>
          </cell>
          <cell r="F5035" t="str">
            <v>KG</v>
          </cell>
          <cell r="G5035" t="str">
            <v>2</v>
          </cell>
          <cell r="H5035" t="str">
            <v>RETAIL</v>
          </cell>
          <cell r="I5035" t="str">
            <v>22</v>
          </cell>
          <cell r="J5035" t="str">
            <v>WF2</v>
          </cell>
          <cell r="K5035" t="str">
            <v>2216</v>
          </cell>
          <cell r="L5035" t="str">
            <v>PU MULTIPURPOSE</v>
          </cell>
          <cell r="M5035" t="str">
            <v>221601</v>
          </cell>
          <cell r="N5035" t="str">
            <v>PROPAN MP PU ACR RMX</v>
          </cell>
        </row>
        <row r="5036">
          <cell r="C5036" t="str">
            <v>120003247</v>
          </cell>
          <cell r="D5036" t="str">
            <v>PUC-786 2K LEMON YELLOW GLOSS VN</v>
          </cell>
          <cell r="E5036" t="str">
            <v>ZSFG</v>
          </cell>
          <cell r="F5036" t="str">
            <v>KG</v>
          </cell>
          <cell r="G5036" t="str">
            <v>2</v>
          </cell>
          <cell r="H5036" t="str">
            <v>RETAIL</v>
          </cell>
          <cell r="I5036" t="str">
            <v>22</v>
          </cell>
          <cell r="J5036" t="str">
            <v>WF2</v>
          </cell>
          <cell r="K5036" t="str">
            <v>2216</v>
          </cell>
          <cell r="L5036" t="str">
            <v>PU MULTIPURPOSE</v>
          </cell>
          <cell r="M5036" t="str">
            <v>221601</v>
          </cell>
          <cell r="N5036" t="str">
            <v>PROPAN MP PU ACR RMX</v>
          </cell>
        </row>
        <row r="5037">
          <cell r="C5037" t="str">
            <v>120003248</v>
          </cell>
          <cell r="D5037" t="str">
            <v>PUC-786 2K XÁM ĐẬM SK004 VN</v>
          </cell>
          <cell r="E5037" t="str">
            <v>ZSFG</v>
          </cell>
          <cell r="F5037" t="str">
            <v>KG</v>
          </cell>
          <cell r="G5037" t="str">
            <v>2</v>
          </cell>
          <cell r="H5037" t="str">
            <v>RETAIL</v>
          </cell>
          <cell r="I5037" t="str">
            <v>22</v>
          </cell>
          <cell r="J5037" t="str">
            <v>WF2</v>
          </cell>
          <cell r="K5037" t="str">
            <v>2216</v>
          </cell>
          <cell r="L5037" t="str">
            <v>PU MULTIPURPOSE</v>
          </cell>
          <cell r="M5037" t="str">
            <v>221601</v>
          </cell>
          <cell r="N5037" t="str">
            <v>PROPAN MP PU ACR RMX</v>
          </cell>
        </row>
        <row r="5038">
          <cell r="C5038" t="str">
            <v>120003249</v>
          </cell>
          <cell r="D5038" t="str">
            <v>PUC-786 2K XÁM NHẠT SK011 VN</v>
          </cell>
          <cell r="E5038" t="str">
            <v>ZSFG</v>
          </cell>
          <cell r="F5038" t="str">
            <v>KG</v>
          </cell>
          <cell r="G5038" t="str">
            <v>2</v>
          </cell>
          <cell r="H5038" t="str">
            <v>RETAIL</v>
          </cell>
          <cell r="I5038" t="str">
            <v>22</v>
          </cell>
          <cell r="J5038" t="str">
            <v>WF2</v>
          </cell>
          <cell r="K5038" t="str">
            <v>2216</v>
          </cell>
          <cell r="L5038" t="str">
            <v>PU MULTIPURPOSE</v>
          </cell>
          <cell r="M5038" t="str">
            <v>221601</v>
          </cell>
          <cell r="N5038" t="str">
            <v>PROPAN MP PU ACR RMX</v>
          </cell>
        </row>
        <row r="5039">
          <cell r="C5039" t="str">
            <v>120003250</v>
          </cell>
          <cell r="D5039" t="str">
            <v>PUC-786 2K XANH CHUỐI SK005 VN</v>
          </cell>
          <cell r="E5039" t="str">
            <v>ZSFG</v>
          </cell>
          <cell r="F5039" t="str">
            <v>KG</v>
          </cell>
          <cell r="G5039" t="str">
            <v>2</v>
          </cell>
          <cell r="H5039" t="str">
            <v>RETAIL</v>
          </cell>
          <cell r="I5039" t="str">
            <v>22</v>
          </cell>
          <cell r="J5039" t="str">
            <v>WF2</v>
          </cell>
          <cell r="K5039" t="str">
            <v>2216</v>
          </cell>
          <cell r="L5039" t="str">
            <v>PU MULTIPURPOSE</v>
          </cell>
          <cell r="M5039" t="str">
            <v>221601</v>
          </cell>
          <cell r="N5039" t="str">
            <v>PROPAN MP PU ACR RMX</v>
          </cell>
        </row>
        <row r="5040">
          <cell r="C5040" t="str">
            <v>120003251</v>
          </cell>
          <cell r="D5040" t="str">
            <v>PUC-786 2K XANH DA TRỜI SK007 VN</v>
          </cell>
          <cell r="E5040" t="str">
            <v>ZSFG</v>
          </cell>
          <cell r="F5040" t="str">
            <v>KG</v>
          </cell>
          <cell r="G5040" t="str">
            <v>2</v>
          </cell>
          <cell r="H5040" t="str">
            <v>RETAIL</v>
          </cell>
          <cell r="I5040" t="str">
            <v>22</v>
          </cell>
          <cell r="J5040" t="str">
            <v>WF2</v>
          </cell>
          <cell r="K5040" t="str">
            <v>2216</v>
          </cell>
          <cell r="L5040" t="str">
            <v>PU MULTIPURPOSE</v>
          </cell>
          <cell r="M5040" t="str">
            <v>221601</v>
          </cell>
          <cell r="N5040" t="str">
            <v>PROPAN MP PU ACR RMX</v>
          </cell>
        </row>
        <row r="5041">
          <cell r="C5041" t="str">
            <v>120003252</v>
          </cell>
          <cell r="D5041" t="str">
            <v>PUC-786 2K XANH ĐẬM SK009 VN</v>
          </cell>
          <cell r="E5041" t="str">
            <v>ZSFG</v>
          </cell>
          <cell r="F5041" t="str">
            <v>KG</v>
          </cell>
          <cell r="G5041" t="str">
            <v>2</v>
          </cell>
          <cell r="H5041" t="str">
            <v>RETAIL</v>
          </cell>
          <cell r="I5041" t="str">
            <v>22</v>
          </cell>
          <cell r="J5041" t="str">
            <v>WF2</v>
          </cell>
          <cell r="K5041" t="str">
            <v>2216</v>
          </cell>
          <cell r="L5041" t="str">
            <v>PU MULTIPURPOSE</v>
          </cell>
          <cell r="M5041" t="str">
            <v>221601</v>
          </cell>
          <cell r="N5041" t="str">
            <v>PROPAN MP PU ACR RMX</v>
          </cell>
        </row>
        <row r="5042">
          <cell r="C5042" t="str">
            <v>120003253</v>
          </cell>
          <cell r="D5042" t="str">
            <v>PUC-786 2K XANH DƯƠNG SK008 VN</v>
          </cell>
          <cell r="E5042" t="str">
            <v>ZSFG</v>
          </cell>
          <cell r="F5042" t="str">
            <v>KG</v>
          </cell>
          <cell r="G5042" t="str">
            <v>2</v>
          </cell>
          <cell r="H5042" t="str">
            <v>RETAIL</v>
          </cell>
          <cell r="I5042" t="str">
            <v>22</v>
          </cell>
          <cell r="J5042" t="str">
            <v>WF2</v>
          </cell>
          <cell r="K5042" t="str">
            <v>2216</v>
          </cell>
          <cell r="L5042" t="str">
            <v>PU MULTIPURPOSE</v>
          </cell>
          <cell r="M5042" t="str">
            <v>221601</v>
          </cell>
          <cell r="N5042" t="str">
            <v>PROPAN MP PU ACR RMX</v>
          </cell>
        </row>
        <row r="5043">
          <cell r="C5043" t="str">
            <v>120003254</v>
          </cell>
          <cell r="D5043" t="str">
            <v>PUC-786 2K XANH NGỌC SK010 VN</v>
          </cell>
          <cell r="E5043" t="str">
            <v>ZSFG</v>
          </cell>
          <cell r="F5043" t="str">
            <v>KG</v>
          </cell>
          <cell r="G5043" t="str">
            <v>2</v>
          </cell>
          <cell r="H5043" t="str">
            <v>RETAIL</v>
          </cell>
          <cell r="I5043" t="str">
            <v>22</v>
          </cell>
          <cell r="J5043" t="str">
            <v>WF2</v>
          </cell>
          <cell r="K5043" t="str">
            <v>2216</v>
          </cell>
          <cell r="L5043" t="str">
            <v>PU MULTIPURPOSE</v>
          </cell>
          <cell r="M5043" t="str">
            <v>221601</v>
          </cell>
          <cell r="N5043" t="str">
            <v>PROPAN MP PU ACR RMX</v>
          </cell>
        </row>
        <row r="5044">
          <cell r="C5044" t="str">
            <v>120003255</v>
          </cell>
          <cell r="D5044" t="str">
            <v>PUSS-760 2K LÓT TRONG VN</v>
          </cell>
          <cell r="E5044" t="str">
            <v>ZSFG</v>
          </cell>
          <cell r="F5044" t="str">
            <v>KG</v>
          </cell>
          <cell r="G5044" t="str">
            <v>2</v>
          </cell>
          <cell r="H5044" t="str">
            <v>RETAIL</v>
          </cell>
          <cell r="I5044" t="str">
            <v>22</v>
          </cell>
          <cell r="J5044" t="str">
            <v>WF2</v>
          </cell>
          <cell r="K5044" t="str">
            <v>2216</v>
          </cell>
          <cell r="L5044" t="str">
            <v>PU MULTIPURPOSE</v>
          </cell>
          <cell r="M5044" t="str">
            <v>221601</v>
          </cell>
          <cell r="N5044" t="str">
            <v>PROPAN MP PU ACR RMX</v>
          </cell>
        </row>
        <row r="5045">
          <cell r="C5045" t="str">
            <v>120003256</v>
          </cell>
          <cell r="D5045" t="str">
            <v>PUSF-781 2K LÓT TRẮNG VN</v>
          </cell>
          <cell r="E5045" t="str">
            <v>ZSFG</v>
          </cell>
          <cell r="F5045" t="str">
            <v>KG</v>
          </cell>
          <cell r="G5045" t="str">
            <v>2</v>
          </cell>
          <cell r="H5045" t="str">
            <v>RETAIL</v>
          </cell>
          <cell r="I5045" t="str">
            <v>22</v>
          </cell>
          <cell r="J5045" t="str">
            <v>WF2</v>
          </cell>
          <cell r="K5045" t="str">
            <v>2216</v>
          </cell>
          <cell r="L5045" t="str">
            <v>PU MULTIPURPOSE</v>
          </cell>
          <cell r="M5045" t="str">
            <v>221601</v>
          </cell>
          <cell r="N5045" t="str">
            <v>PROPAN MP PU ACR RMX</v>
          </cell>
        </row>
        <row r="5046">
          <cell r="C5046" t="str">
            <v>120003329</v>
          </cell>
          <cell r="D5046" t="str">
            <v>THC-73100 102 RB VN (METHYL ACETATE)</v>
          </cell>
          <cell r="E5046" t="str">
            <v>ZSFG</v>
          </cell>
          <cell r="F5046" t="str">
            <v>KG</v>
          </cell>
          <cell r="G5046" t="str">
            <v>1</v>
          </cell>
          <cell r="H5046" t="str">
            <v>INDUSTRY</v>
          </cell>
          <cell r="I5046" t="str">
            <v>14</v>
          </cell>
          <cell r="J5046" t="str">
            <v>THINNER</v>
          </cell>
          <cell r="K5046" t="str">
            <v>1412</v>
          </cell>
          <cell r="L5046" t="str">
            <v>THINNER NC</v>
          </cell>
          <cell r="M5046" t="str">
            <v>141203</v>
          </cell>
          <cell r="N5046" t="str">
            <v>THINNER COMPLEMENTARY</v>
          </cell>
        </row>
        <row r="5047">
          <cell r="C5047" t="str">
            <v>120003688</v>
          </cell>
          <cell r="D5047" t="str">
            <v>WBH-69100 EX VN</v>
          </cell>
          <cell r="E5047" t="str">
            <v>ZSFG</v>
          </cell>
          <cell r="F5047" t="str">
            <v>KG</v>
          </cell>
          <cell r="G5047" t="str">
            <v>1</v>
          </cell>
          <cell r="H5047" t="str">
            <v>INDUSTRY</v>
          </cell>
          <cell r="I5047" t="str">
            <v>11</v>
          </cell>
          <cell r="J5047" t="str">
            <v>WOOD COATINGS</v>
          </cell>
          <cell r="K5047" t="str">
            <v>1119</v>
          </cell>
          <cell r="L5047" t="str">
            <v>WATERBASED</v>
          </cell>
          <cell r="M5047" t="str">
            <v>111902</v>
          </cell>
          <cell r="N5047" t="str">
            <v>WATERBASED SYSTEM INTERIOR</v>
          </cell>
        </row>
        <row r="5048">
          <cell r="C5048" t="str">
            <v>120004050</v>
          </cell>
          <cell r="D5048" t="str">
            <v>THC-73100 5527 RB VN</v>
          </cell>
          <cell r="E5048" t="str">
            <v>ZSFG</v>
          </cell>
          <cell r="F5048" t="str">
            <v>KG</v>
          </cell>
          <cell r="G5048" t="str">
            <v>1</v>
          </cell>
          <cell r="H5048" t="str">
            <v>INDUSTRY</v>
          </cell>
          <cell r="I5048" t="str">
            <v>14</v>
          </cell>
          <cell r="J5048" t="str">
            <v>THINNER</v>
          </cell>
          <cell r="K5048" t="str">
            <v>1412</v>
          </cell>
          <cell r="L5048" t="str">
            <v>THINNER NC</v>
          </cell>
          <cell r="M5048" t="str">
            <v>141203</v>
          </cell>
          <cell r="N5048" t="str">
            <v>THINNER COMPLEMENTARY</v>
          </cell>
        </row>
        <row r="5049">
          <cell r="C5049" t="str">
            <v>120004705</v>
          </cell>
          <cell r="D5049" t="str">
            <v>WBSS-61104 MF VN</v>
          </cell>
          <cell r="E5049" t="str">
            <v>ZSFG</v>
          </cell>
          <cell r="F5049" t="str">
            <v>KG</v>
          </cell>
          <cell r="G5049" t="str">
            <v>1</v>
          </cell>
          <cell r="H5049" t="str">
            <v>INDUSTRY</v>
          </cell>
          <cell r="I5049" t="str">
            <v>11</v>
          </cell>
          <cell r="J5049" t="str">
            <v>WOOD COATINGS</v>
          </cell>
          <cell r="K5049" t="str">
            <v>1119</v>
          </cell>
          <cell r="L5049" t="str">
            <v>WATERBASED</v>
          </cell>
          <cell r="M5049" t="str">
            <v>111902</v>
          </cell>
          <cell r="N5049" t="str">
            <v>WATERBASED SYSTEM INTERIOR</v>
          </cell>
        </row>
        <row r="5050">
          <cell r="C5050" t="str">
            <v>120004706</v>
          </cell>
          <cell r="D5050" t="str">
            <v>WBL-61204 CLEAR 20 MF VN</v>
          </cell>
          <cell r="E5050" t="str">
            <v>ZSFG</v>
          </cell>
          <cell r="F5050" t="str">
            <v>KG</v>
          </cell>
          <cell r="G5050" t="str">
            <v>1</v>
          </cell>
          <cell r="H5050" t="str">
            <v>INDUSTRY</v>
          </cell>
          <cell r="I5050" t="str">
            <v>11</v>
          </cell>
          <cell r="J5050" t="str">
            <v>WOOD COATINGS</v>
          </cell>
          <cell r="K5050" t="str">
            <v>1119</v>
          </cell>
          <cell r="L5050" t="str">
            <v>WATERBASED</v>
          </cell>
          <cell r="M5050" t="str">
            <v>111902</v>
          </cell>
          <cell r="N5050" t="str">
            <v>WATERBASED SYSTEM INTERIOR</v>
          </cell>
        </row>
        <row r="5051">
          <cell r="C5051" t="str">
            <v>120004707</v>
          </cell>
          <cell r="D5051" t="str">
            <v>WBP-62107 MF WHITE MF VN</v>
          </cell>
          <cell r="E5051" t="str">
            <v>ZSFG</v>
          </cell>
          <cell r="F5051" t="str">
            <v>KG</v>
          </cell>
          <cell r="G5051" t="str">
            <v>1</v>
          </cell>
          <cell r="H5051" t="str">
            <v>INDUSTRY</v>
          </cell>
          <cell r="I5051" t="str">
            <v>11</v>
          </cell>
          <cell r="J5051" t="str">
            <v>WOOD COATINGS</v>
          </cell>
          <cell r="K5051" t="str">
            <v>1119</v>
          </cell>
          <cell r="L5051" t="str">
            <v>WATERBASED</v>
          </cell>
          <cell r="M5051" t="str">
            <v>111902</v>
          </cell>
          <cell r="N5051" t="str">
            <v>WATERBASED SYSTEM INTERIOR</v>
          </cell>
        </row>
        <row r="5052">
          <cell r="C5052" t="str">
            <v>120004708</v>
          </cell>
          <cell r="D5052" t="str">
            <v>WBC-62206 WHITE 20 MF VN</v>
          </cell>
          <cell r="E5052" t="str">
            <v>ZSFG</v>
          </cell>
          <cell r="F5052" t="str">
            <v>KG</v>
          </cell>
          <cell r="G5052" t="str">
            <v>1</v>
          </cell>
          <cell r="H5052" t="str">
            <v>INDUSTRY</v>
          </cell>
          <cell r="I5052" t="str">
            <v>11</v>
          </cell>
          <cell r="J5052" t="str">
            <v>WOOD COATINGS</v>
          </cell>
          <cell r="K5052" t="str">
            <v>1119</v>
          </cell>
          <cell r="L5052" t="str">
            <v>WATERBASED</v>
          </cell>
          <cell r="M5052" t="str">
            <v>111902</v>
          </cell>
          <cell r="N5052" t="str">
            <v>WATERBASED SYSTEM INTERIOR</v>
          </cell>
        </row>
        <row r="5053">
          <cell r="C5053" t="str">
            <v>120004712</v>
          </cell>
          <cell r="D5053" t="str">
            <v>WBH-69100 EX MF VN</v>
          </cell>
          <cell r="E5053" t="str">
            <v>ZSFG</v>
          </cell>
          <cell r="F5053" t="str">
            <v>KG</v>
          </cell>
          <cell r="G5053" t="str">
            <v>1</v>
          </cell>
          <cell r="H5053" t="str">
            <v>INDUSTRY</v>
          </cell>
          <cell r="I5053" t="str">
            <v>11</v>
          </cell>
          <cell r="J5053" t="str">
            <v>WOOD COATINGS</v>
          </cell>
          <cell r="K5053" t="str">
            <v>1119</v>
          </cell>
          <cell r="L5053" t="str">
            <v>WATERBASED</v>
          </cell>
          <cell r="M5053" t="str">
            <v>111902</v>
          </cell>
          <cell r="N5053" t="str">
            <v>WATERBASED SYSTEM INTERIOR</v>
          </cell>
        </row>
        <row r="5054">
          <cell r="C5054" t="str">
            <v>120004771</v>
          </cell>
          <cell r="D5054" t="str">
            <v>WBC-62206 CREAM MK07 20 MF VN</v>
          </cell>
          <cell r="E5054" t="str">
            <v>ZSFG</v>
          </cell>
          <cell r="F5054" t="str">
            <v>KG</v>
          </cell>
          <cell r="G5054" t="str">
            <v>1</v>
          </cell>
          <cell r="H5054" t="str">
            <v>INDUSTRY</v>
          </cell>
          <cell r="I5054" t="str">
            <v>11</v>
          </cell>
          <cell r="J5054" t="str">
            <v>WOOD COATINGS</v>
          </cell>
          <cell r="K5054" t="str">
            <v>1119</v>
          </cell>
          <cell r="L5054" t="str">
            <v>WATERBASED</v>
          </cell>
          <cell r="M5054" t="str">
            <v>111902</v>
          </cell>
          <cell r="N5054" t="str">
            <v>WATERBASED SYSTEM INTERIOR</v>
          </cell>
        </row>
        <row r="5055">
          <cell r="C5055" t="str">
            <v>120004772</v>
          </cell>
          <cell r="D5055" t="str">
            <v>TEWB-84306 WHITE MF VN</v>
          </cell>
          <cell r="E5055" t="str">
            <v>ZSFG</v>
          </cell>
          <cell r="F5055" t="str">
            <v>KG</v>
          </cell>
          <cell r="G5055" t="str">
            <v>1</v>
          </cell>
          <cell r="H5055" t="str">
            <v>INDUSTRY</v>
          </cell>
          <cell r="I5055" t="str">
            <v>11</v>
          </cell>
          <cell r="J5055" t="str">
            <v>WOOD COATINGS</v>
          </cell>
          <cell r="K5055" t="str">
            <v>1119</v>
          </cell>
          <cell r="L5055" t="str">
            <v>WATERBASED</v>
          </cell>
          <cell r="M5055" t="str">
            <v>111902</v>
          </cell>
          <cell r="N5055" t="str">
            <v>WATERBASED SYSTEM INTERIOR</v>
          </cell>
        </row>
        <row r="5056">
          <cell r="C5056" t="str">
            <v>120004774</v>
          </cell>
          <cell r="D5056" t="str">
            <v>WBP-62107 GREEN MK10 MF VN</v>
          </cell>
          <cell r="E5056" t="str">
            <v>ZSFG</v>
          </cell>
          <cell r="F5056" t="str">
            <v>KG</v>
          </cell>
          <cell r="G5056" t="str">
            <v>1</v>
          </cell>
          <cell r="H5056" t="str">
            <v>INDUSTRY</v>
          </cell>
          <cell r="I5056" t="str">
            <v>11</v>
          </cell>
          <cell r="J5056" t="str">
            <v>WOOD COATINGS</v>
          </cell>
          <cell r="K5056" t="str">
            <v>1119</v>
          </cell>
          <cell r="L5056" t="str">
            <v>WATERBASED</v>
          </cell>
          <cell r="M5056" t="str">
            <v>111902</v>
          </cell>
          <cell r="N5056" t="str">
            <v>WATERBASED SYSTEM INTERIOR</v>
          </cell>
        </row>
        <row r="5057">
          <cell r="C5057" t="str">
            <v>120004775</v>
          </cell>
          <cell r="D5057" t="str">
            <v>WBC-62204 GREEN MK10 20 MF VN</v>
          </cell>
          <cell r="E5057" t="str">
            <v>ZSFG</v>
          </cell>
          <cell r="F5057" t="str">
            <v>KG</v>
          </cell>
          <cell r="G5057" t="str">
            <v>1</v>
          </cell>
          <cell r="H5057" t="str">
            <v>INDUSTRY</v>
          </cell>
          <cell r="I5057" t="str">
            <v>11</v>
          </cell>
          <cell r="J5057" t="str">
            <v>WOOD COATINGS</v>
          </cell>
          <cell r="K5057" t="str">
            <v>1119</v>
          </cell>
          <cell r="L5057" t="str">
            <v>WATERBASED</v>
          </cell>
          <cell r="M5057" t="str">
            <v>111902</v>
          </cell>
          <cell r="N5057" t="str">
            <v>WATERBASED SYSTEM INTERIOR</v>
          </cell>
        </row>
        <row r="5058">
          <cell r="C5058" t="str">
            <v>120004776</v>
          </cell>
          <cell r="D5058" t="str">
            <v>FLX-66300 WB MF VN</v>
          </cell>
          <cell r="E5058" t="str">
            <v>ZSFG</v>
          </cell>
          <cell r="F5058" t="str">
            <v>KG</v>
          </cell>
          <cell r="G5058" t="str">
            <v>1</v>
          </cell>
          <cell r="H5058" t="str">
            <v>INDUSTRY</v>
          </cell>
          <cell r="I5058" t="str">
            <v>11</v>
          </cell>
          <cell r="J5058" t="str">
            <v>WOOD COATINGS</v>
          </cell>
          <cell r="K5058" t="str">
            <v>1119</v>
          </cell>
          <cell r="L5058" t="str">
            <v>WATERBASED</v>
          </cell>
          <cell r="M5058" t="str">
            <v>111902</v>
          </cell>
          <cell r="N5058" t="str">
            <v>WATERBASED SYSTEM INTERIOR</v>
          </cell>
        </row>
        <row r="5059">
          <cell r="C5059" t="str">
            <v>120004777</v>
          </cell>
          <cell r="D5059" t="str">
            <v>WBST-13100 CAM MK11 MF VN</v>
          </cell>
          <cell r="E5059" t="str">
            <v>ZSFG</v>
          </cell>
          <cell r="F5059" t="str">
            <v>KG</v>
          </cell>
          <cell r="G5059" t="str">
            <v>1</v>
          </cell>
          <cell r="H5059" t="str">
            <v>INDUSTRY</v>
          </cell>
          <cell r="I5059" t="str">
            <v>11</v>
          </cell>
          <cell r="J5059" t="str">
            <v>WOOD COATINGS</v>
          </cell>
          <cell r="K5059" t="str">
            <v>1119</v>
          </cell>
          <cell r="L5059" t="str">
            <v>WATERBASED</v>
          </cell>
          <cell r="M5059" t="str">
            <v>111902</v>
          </cell>
          <cell r="N5059" t="str">
            <v>WATERBASED SYSTEM INTERIOR</v>
          </cell>
        </row>
        <row r="5060">
          <cell r="C5060" t="str">
            <v>120004787</v>
          </cell>
          <cell r="D5060" t="str">
            <v>WBC-62206 CREAM MK12 20 MF VN</v>
          </cell>
          <cell r="E5060" t="str">
            <v>ZSFG</v>
          </cell>
          <cell r="F5060" t="str">
            <v>KG</v>
          </cell>
          <cell r="G5060" t="str">
            <v>1</v>
          </cell>
          <cell r="H5060" t="str">
            <v>INDUSTRY</v>
          </cell>
          <cell r="I5060" t="str">
            <v>11</v>
          </cell>
          <cell r="J5060" t="str">
            <v>WOOD COATINGS</v>
          </cell>
          <cell r="K5060" t="str">
            <v>1119</v>
          </cell>
          <cell r="L5060" t="str">
            <v>WATERBASED</v>
          </cell>
          <cell r="M5060" t="str">
            <v>111902</v>
          </cell>
          <cell r="N5060" t="str">
            <v>WATERBASED SYSTEM INTERIOR</v>
          </cell>
        </row>
        <row r="5061">
          <cell r="C5061" t="str">
            <v>120004791</v>
          </cell>
          <cell r="D5061" t="str">
            <v>WBP-62107 MF GREEN MK13 MF VN</v>
          </cell>
          <cell r="E5061" t="str">
            <v>ZSFG</v>
          </cell>
          <cell r="F5061" t="str">
            <v>KG</v>
          </cell>
          <cell r="G5061" t="str">
            <v>1</v>
          </cell>
          <cell r="H5061" t="str">
            <v>INDUSTRY</v>
          </cell>
          <cell r="I5061" t="str">
            <v>11</v>
          </cell>
          <cell r="J5061" t="str">
            <v>WOOD COATINGS</v>
          </cell>
          <cell r="K5061" t="str">
            <v>1119</v>
          </cell>
          <cell r="L5061" t="str">
            <v>WATERBASED</v>
          </cell>
          <cell r="M5061" t="str">
            <v>111902</v>
          </cell>
          <cell r="N5061" t="str">
            <v>WATERBASED SYSTEM INTERIOR</v>
          </cell>
        </row>
        <row r="5062">
          <cell r="C5062" t="str">
            <v>120004792</v>
          </cell>
          <cell r="D5062" t="str">
            <v>WBC-62204 GREEN MK13 20 MF VN</v>
          </cell>
          <cell r="E5062" t="str">
            <v>ZSFG</v>
          </cell>
          <cell r="F5062" t="str">
            <v>KG</v>
          </cell>
          <cell r="G5062" t="str">
            <v>1</v>
          </cell>
          <cell r="H5062" t="str">
            <v>INDUSTRY</v>
          </cell>
          <cell r="I5062" t="str">
            <v>11</v>
          </cell>
          <cell r="J5062" t="str">
            <v>WOOD COATINGS</v>
          </cell>
          <cell r="K5062" t="str">
            <v>1119</v>
          </cell>
          <cell r="L5062" t="str">
            <v>WATERBASED</v>
          </cell>
          <cell r="M5062" t="str">
            <v>111902</v>
          </cell>
          <cell r="N5062" t="str">
            <v>WATERBASED SYSTEM INTERIOR</v>
          </cell>
        </row>
        <row r="5063">
          <cell r="C5063" t="str">
            <v>120004793</v>
          </cell>
          <cell r="D5063" t="str">
            <v>WBC-62206 PINK MK22 20 MF VN</v>
          </cell>
          <cell r="E5063" t="str">
            <v>ZSFG</v>
          </cell>
          <cell r="F5063" t="str">
            <v>KG</v>
          </cell>
          <cell r="G5063" t="str">
            <v>1</v>
          </cell>
          <cell r="H5063" t="str">
            <v>INDUSTRY</v>
          </cell>
          <cell r="I5063" t="str">
            <v>11</v>
          </cell>
          <cell r="J5063" t="str">
            <v>WOOD COATINGS</v>
          </cell>
          <cell r="K5063" t="str">
            <v>1119</v>
          </cell>
          <cell r="L5063" t="str">
            <v>WATERBASED</v>
          </cell>
          <cell r="M5063" t="str">
            <v>111902</v>
          </cell>
          <cell r="N5063" t="str">
            <v>WATERBASED SYSTEM INTERIOR</v>
          </cell>
        </row>
        <row r="5064">
          <cell r="C5064" t="str">
            <v>120004794</v>
          </cell>
          <cell r="D5064" t="str">
            <v>WBP-62107 MF GREY MK14 MF VN</v>
          </cell>
          <cell r="E5064" t="str">
            <v>ZSFG</v>
          </cell>
          <cell r="F5064" t="str">
            <v>KG</v>
          </cell>
          <cell r="G5064" t="str">
            <v>1</v>
          </cell>
          <cell r="H5064" t="str">
            <v>INDUSTRY</v>
          </cell>
          <cell r="I5064" t="str">
            <v>11</v>
          </cell>
          <cell r="J5064" t="str">
            <v>WOOD COATINGS</v>
          </cell>
          <cell r="K5064" t="str">
            <v>1119</v>
          </cell>
          <cell r="L5064" t="str">
            <v>WATERBASED</v>
          </cell>
          <cell r="M5064" t="str">
            <v>111902</v>
          </cell>
          <cell r="N5064" t="str">
            <v>WATERBASED SYSTEM INTERIOR</v>
          </cell>
        </row>
        <row r="5065">
          <cell r="C5065" t="str">
            <v>120004795</v>
          </cell>
          <cell r="D5065" t="str">
            <v>WBC-62204 GREY MK14 20 MF VN</v>
          </cell>
          <cell r="E5065" t="str">
            <v>ZSFG</v>
          </cell>
          <cell r="F5065" t="str">
            <v>KG</v>
          </cell>
          <cell r="G5065" t="str">
            <v>1</v>
          </cell>
          <cell r="H5065" t="str">
            <v>INDUSTRY</v>
          </cell>
          <cell r="I5065" t="str">
            <v>11</v>
          </cell>
          <cell r="J5065" t="str">
            <v>WOOD COATINGS</v>
          </cell>
          <cell r="K5065" t="str">
            <v>1119</v>
          </cell>
          <cell r="L5065" t="str">
            <v>WATERBASED</v>
          </cell>
          <cell r="M5065" t="str">
            <v>111902</v>
          </cell>
          <cell r="N5065" t="str">
            <v>WATERBASED SYSTEM INTERIOR</v>
          </cell>
        </row>
        <row r="5066">
          <cell r="C5066" t="str">
            <v>120004796</v>
          </cell>
          <cell r="D5066" t="str">
            <v>WBP-62107 MF GREY MK17 MF VN</v>
          </cell>
          <cell r="E5066" t="str">
            <v>ZSFG</v>
          </cell>
          <cell r="F5066" t="str">
            <v>KG</v>
          </cell>
          <cell r="G5066" t="str">
            <v>1</v>
          </cell>
          <cell r="H5066" t="str">
            <v>INDUSTRY</v>
          </cell>
          <cell r="I5066" t="str">
            <v>11</v>
          </cell>
          <cell r="J5066" t="str">
            <v>WOOD COATINGS</v>
          </cell>
          <cell r="K5066" t="str">
            <v>1119</v>
          </cell>
          <cell r="L5066" t="str">
            <v>WATERBASED</v>
          </cell>
          <cell r="M5066" t="str">
            <v>111902</v>
          </cell>
          <cell r="N5066" t="str">
            <v>WATERBASED SYSTEM INTERIOR</v>
          </cell>
        </row>
        <row r="5067">
          <cell r="C5067" t="str">
            <v>120004797</v>
          </cell>
          <cell r="D5067" t="str">
            <v>WBC-62206 GREY MK17 20 MF VN</v>
          </cell>
          <cell r="E5067" t="str">
            <v>ZSFG</v>
          </cell>
          <cell r="F5067" t="str">
            <v>KG</v>
          </cell>
          <cell r="G5067" t="str">
            <v>1</v>
          </cell>
          <cell r="H5067" t="str">
            <v>INDUSTRY</v>
          </cell>
          <cell r="I5067" t="str">
            <v>11</v>
          </cell>
          <cell r="J5067" t="str">
            <v>WOOD COATINGS</v>
          </cell>
          <cell r="K5067" t="str">
            <v>1119</v>
          </cell>
          <cell r="L5067" t="str">
            <v>WATERBASED</v>
          </cell>
          <cell r="M5067" t="str">
            <v>111902</v>
          </cell>
          <cell r="N5067" t="str">
            <v>WATERBASED SYSTEM INTERIOR</v>
          </cell>
        </row>
        <row r="5068">
          <cell r="C5068" t="str">
            <v>120004798</v>
          </cell>
          <cell r="D5068" t="str">
            <v>WBP-62107 MF RED MK23 MF VN</v>
          </cell>
          <cell r="E5068" t="str">
            <v>ZSFG</v>
          </cell>
          <cell r="F5068" t="str">
            <v>KG</v>
          </cell>
          <cell r="G5068" t="str">
            <v>1</v>
          </cell>
          <cell r="H5068" t="str">
            <v>INDUSTRY</v>
          </cell>
          <cell r="I5068" t="str">
            <v>11</v>
          </cell>
          <cell r="J5068" t="str">
            <v>WOOD COATINGS</v>
          </cell>
          <cell r="K5068" t="str">
            <v>1119</v>
          </cell>
          <cell r="L5068" t="str">
            <v>WATERBASED</v>
          </cell>
          <cell r="M5068" t="str">
            <v>111902</v>
          </cell>
          <cell r="N5068" t="str">
            <v>WATERBASED SYSTEM INTERIOR</v>
          </cell>
        </row>
        <row r="5069">
          <cell r="C5069" t="str">
            <v>120004799</v>
          </cell>
          <cell r="D5069" t="str">
            <v>WBC-62204 RED MK23 20 MF VN</v>
          </cell>
          <cell r="E5069" t="str">
            <v>ZSFG</v>
          </cell>
          <cell r="F5069" t="str">
            <v>KG</v>
          </cell>
          <cell r="G5069" t="str">
            <v>1</v>
          </cell>
          <cell r="H5069" t="str">
            <v>INDUSTRY</v>
          </cell>
          <cell r="I5069" t="str">
            <v>11</v>
          </cell>
          <cell r="J5069" t="str">
            <v>WOOD COATINGS</v>
          </cell>
          <cell r="K5069" t="str">
            <v>1119</v>
          </cell>
          <cell r="L5069" t="str">
            <v>WATERBASED</v>
          </cell>
          <cell r="M5069" t="str">
            <v>111902</v>
          </cell>
          <cell r="N5069" t="str">
            <v>WATERBASED SYSTEM INTERIOR</v>
          </cell>
        </row>
        <row r="5070">
          <cell r="C5070" t="str">
            <v>120004808</v>
          </cell>
          <cell r="D5070" t="str">
            <v>WBP-62107 MF GREEN MK28 MF VN</v>
          </cell>
          <cell r="E5070" t="str">
            <v>ZSFG</v>
          </cell>
          <cell r="F5070" t="str">
            <v>KG</v>
          </cell>
          <cell r="G5070" t="str">
            <v>1</v>
          </cell>
          <cell r="H5070" t="str">
            <v>INDUSTRY</v>
          </cell>
          <cell r="I5070" t="str">
            <v>11</v>
          </cell>
          <cell r="J5070" t="str">
            <v>WOOD COATINGS</v>
          </cell>
          <cell r="K5070" t="str">
            <v>1119</v>
          </cell>
          <cell r="L5070" t="str">
            <v>WATERBASED</v>
          </cell>
          <cell r="M5070" t="str">
            <v>111902</v>
          </cell>
          <cell r="N5070" t="str">
            <v>WATERBASED SYSTEM INTERIOR</v>
          </cell>
        </row>
        <row r="5071">
          <cell r="C5071" t="str">
            <v>120004809</v>
          </cell>
          <cell r="D5071" t="str">
            <v>WBC-62204 GREEN MK28 20 MF VN</v>
          </cell>
          <cell r="E5071" t="str">
            <v>ZSFG</v>
          </cell>
          <cell r="F5071" t="str">
            <v>KG</v>
          </cell>
          <cell r="G5071" t="str">
            <v>1</v>
          </cell>
          <cell r="H5071" t="str">
            <v>INDUSTRY</v>
          </cell>
          <cell r="I5071" t="str">
            <v>11</v>
          </cell>
          <cell r="J5071" t="str">
            <v>WOOD COATINGS</v>
          </cell>
          <cell r="K5071" t="str">
            <v>1119</v>
          </cell>
          <cell r="L5071" t="str">
            <v>WATERBASED</v>
          </cell>
          <cell r="M5071" t="str">
            <v>111902</v>
          </cell>
          <cell r="N5071" t="str">
            <v>WATERBASED SYSTEM INTERIOR</v>
          </cell>
        </row>
        <row r="5072">
          <cell r="C5072" t="str">
            <v>120004810</v>
          </cell>
          <cell r="D5072" t="str">
            <v>WBP-62104 LF BLACK MK32 MF VN</v>
          </cell>
          <cell r="E5072" t="str">
            <v>ZSFG</v>
          </cell>
          <cell r="F5072" t="str">
            <v>KG</v>
          </cell>
          <cell r="G5072" t="str">
            <v>1</v>
          </cell>
          <cell r="H5072" t="str">
            <v>INDUSTRY</v>
          </cell>
          <cell r="I5072" t="str">
            <v>11</v>
          </cell>
          <cell r="J5072" t="str">
            <v>WOOD COATINGS</v>
          </cell>
          <cell r="K5072" t="str">
            <v>1119</v>
          </cell>
          <cell r="L5072" t="str">
            <v>WATERBASED</v>
          </cell>
          <cell r="M5072" t="str">
            <v>111902</v>
          </cell>
          <cell r="N5072" t="str">
            <v>WATERBASED SYSTEM INTERIOR</v>
          </cell>
        </row>
        <row r="5073">
          <cell r="C5073" t="str">
            <v>120004811</v>
          </cell>
          <cell r="D5073" t="str">
            <v>WBC-62204 BLACK MK32 20 MF VN</v>
          </cell>
          <cell r="E5073" t="str">
            <v>ZSFG</v>
          </cell>
          <cell r="F5073" t="str">
            <v>KG</v>
          </cell>
          <cell r="G5073" t="str">
            <v>1</v>
          </cell>
          <cell r="H5073" t="str">
            <v>INDUSTRY</v>
          </cell>
          <cell r="I5073" t="str">
            <v>11</v>
          </cell>
          <cell r="J5073" t="str">
            <v>WOOD COATINGS</v>
          </cell>
          <cell r="K5073" t="str">
            <v>1119</v>
          </cell>
          <cell r="L5073" t="str">
            <v>WATERBASED</v>
          </cell>
          <cell r="M5073" t="str">
            <v>111902</v>
          </cell>
          <cell r="N5073" t="str">
            <v>WATERBASED SYSTEM INTERIOR</v>
          </cell>
        </row>
        <row r="5074">
          <cell r="C5074" t="str">
            <v>120004812</v>
          </cell>
          <cell r="D5074" t="str">
            <v>WBC-62206 OFF WHITE MK33 20 MF VN</v>
          </cell>
          <cell r="E5074" t="str">
            <v>ZSFG</v>
          </cell>
          <cell r="F5074" t="str">
            <v>KG</v>
          </cell>
          <cell r="G5074" t="str">
            <v>1</v>
          </cell>
          <cell r="H5074" t="str">
            <v>INDUSTRY</v>
          </cell>
          <cell r="I5074" t="str">
            <v>11</v>
          </cell>
          <cell r="J5074" t="str">
            <v>WOOD COATINGS</v>
          </cell>
          <cell r="K5074" t="str">
            <v>1119</v>
          </cell>
          <cell r="L5074" t="str">
            <v>WATERBASED</v>
          </cell>
          <cell r="M5074" t="str">
            <v>111902</v>
          </cell>
          <cell r="N5074" t="str">
            <v>WATERBASED SYSTEM INTERIOR</v>
          </cell>
        </row>
        <row r="5075">
          <cell r="C5075" t="str">
            <v>120004813</v>
          </cell>
          <cell r="D5075" t="str">
            <v>WBP-62107 MF ORANGE MK34 MF VN</v>
          </cell>
          <cell r="E5075" t="str">
            <v>ZSFG</v>
          </cell>
          <cell r="F5075" t="str">
            <v>KG</v>
          </cell>
          <cell r="G5075" t="str">
            <v>1</v>
          </cell>
          <cell r="H5075" t="str">
            <v>INDUSTRY</v>
          </cell>
          <cell r="I5075" t="str">
            <v>11</v>
          </cell>
          <cell r="J5075" t="str">
            <v>WOOD COATINGS</v>
          </cell>
          <cell r="K5075" t="str">
            <v>1119</v>
          </cell>
          <cell r="L5075" t="str">
            <v>WATERBASED</v>
          </cell>
          <cell r="M5075" t="str">
            <v>111902</v>
          </cell>
          <cell r="N5075" t="str">
            <v>WATERBASED SYSTEM INTERIOR</v>
          </cell>
        </row>
        <row r="5076">
          <cell r="C5076" t="str">
            <v>120004814</v>
          </cell>
          <cell r="D5076" t="str">
            <v>WBC-62204 ORANGE MK34 20 MF VN</v>
          </cell>
          <cell r="E5076" t="str">
            <v>ZSFG</v>
          </cell>
          <cell r="F5076" t="str">
            <v>KG</v>
          </cell>
          <cell r="G5076" t="str">
            <v>1</v>
          </cell>
          <cell r="H5076" t="str">
            <v>INDUSTRY</v>
          </cell>
          <cell r="I5076" t="str">
            <v>11</v>
          </cell>
          <cell r="J5076" t="str">
            <v>WOOD COATINGS</v>
          </cell>
          <cell r="K5076" t="str">
            <v>1119</v>
          </cell>
          <cell r="L5076" t="str">
            <v>WATERBASED</v>
          </cell>
          <cell r="M5076" t="str">
            <v>111902</v>
          </cell>
          <cell r="N5076" t="str">
            <v>WATERBASED SYSTEM INTERIOR</v>
          </cell>
        </row>
        <row r="5077">
          <cell r="C5077" t="str">
            <v>120004818</v>
          </cell>
          <cell r="D5077" t="str">
            <v>WBP-62107 MF GREEN MK18 MF VN</v>
          </cell>
          <cell r="E5077" t="str">
            <v>ZSFG</v>
          </cell>
          <cell r="F5077" t="str">
            <v>KG</v>
          </cell>
          <cell r="G5077" t="str">
            <v>1</v>
          </cell>
          <cell r="H5077" t="str">
            <v>INDUSTRY</v>
          </cell>
          <cell r="I5077" t="str">
            <v>11</v>
          </cell>
          <cell r="J5077" t="str">
            <v>WOOD COATINGS</v>
          </cell>
          <cell r="K5077" t="str">
            <v>1119</v>
          </cell>
          <cell r="L5077" t="str">
            <v>WATERBASED</v>
          </cell>
          <cell r="M5077" t="str">
            <v>111902</v>
          </cell>
          <cell r="N5077" t="str">
            <v>WATERBASED SYSTEM INTERIOR</v>
          </cell>
        </row>
        <row r="5078">
          <cell r="C5078" t="str">
            <v>120004819</v>
          </cell>
          <cell r="D5078" t="str">
            <v>TEWB-84306 GREEN MK18 MF VN</v>
          </cell>
          <cell r="E5078" t="str">
            <v>ZSFG</v>
          </cell>
          <cell r="F5078" t="str">
            <v>KG</v>
          </cell>
          <cell r="G5078" t="str">
            <v>1</v>
          </cell>
          <cell r="H5078" t="str">
            <v>INDUSTRY</v>
          </cell>
          <cell r="I5078" t="str">
            <v>11</v>
          </cell>
          <cell r="J5078" t="str">
            <v>WOOD COATINGS</v>
          </cell>
          <cell r="K5078" t="str">
            <v>1119</v>
          </cell>
          <cell r="L5078" t="str">
            <v>WATERBASED</v>
          </cell>
          <cell r="M5078" t="str">
            <v>111902</v>
          </cell>
          <cell r="N5078" t="str">
            <v>WATERBASED SYSTEM INTERIOR</v>
          </cell>
        </row>
        <row r="5079">
          <cell r="C5079" t="str">
            <v>120004820</v>
          </cell>
          <cell r="D5079" t="str">
            <v>WBC-62204 GREEN MK18 20 MF VN</v>
          </cell>
          <cell r="E5079" t="str">
            <v>ZSFG</v>
          </cell>
          <cell r="F5079" t="str">
            <v>KG</v>
          </cell>
          <cell r="G5079" t="str">
            <v>1</v>
          </cell>
          <cell r="H5079" t="str">
            <v>INDUSTRY</v>
          </cell>
          <cell r="I5079" t="str">
            <v>11</v>
          </cell>
          <cell r="J5079" t="str">
            <v>WOOD COATINGS</v>
          </cell>
          <cell r="K5079" t="str">
            <v>1119</v>
          </cell>
          <cell r="L5079" t="str">
            <v>WATERBASED</v>
          </cell>
          <cell r="M5079" t="str">
            <v>111902</v>
          </cell>
          <cell r="N5079" t="str">
            <v>WATERBASED SYSTEM INTERIOR</v>
          </cell>
        </row>
        <row r="5080">
          <cell r="C5080" t="str">
            <v>120004821</v>
          </cell>
          <cell r="D5080" t="str">
            <v>WBP-62107 MF GREY MK20 MF VN</v>
          </cell>
          <cell r="E5080" t="str">
            <v>ZSFG</v>
          </cell>
          <cell r="F5080" t="str">
            <v>KG</v>
          </cell>
          <cell r="G5080" t="str">
            <v>1</v>
          </cell>
          <cell r="H5080" t="str">
            <v>INDUSTRY</v>
          </cell>
          <cell r="I5080" t="str">
            <v>11</v>
          </cell>
          <cell r="J5080" t="str">
            <v>WOOD COATINGS</v>
          </cell>
          <cell r="K5080" t="str">
            <v>1119</v>
          </cell>
          <cell r="L5080" t="str">
            <v>WATERBASED</v>
          </cell>
          <cell r="M5080" t="str">
            <v>111902</v>
          </cell>
          <cell r="N5080" t="str">
            <v>WATERBASED SYSTEM INTERIOR</v>
          </cell>
        </row>
        <row r="5081">
          <cell r="C5081" t="str">
            <v>120004822</v>
          </cell>
          <cell r="D5081" t="str">
            <v>TEWB-84306 GREY MK20 MF VN</v>
          </cell>
          <cell r="E5081" t="str">
            <v>ZSFG</v>
          </cell>
          <cell r="F5081" t="str">
            <v>KG</v>
          </cell>
          <cell r="G5081" t="str">
            <v>1</v>
          </cell>
          <cell r="H5081" t="str">
            <v>INDUSTRY</v>
          </cell>
          <cell r="I5081" t="str">
            <v>11</v>
          </cell>
          <cell r="J5081" t="str">
            <v>WOOD COATINGS</v>
          </cell>
          <cell r="K5081" t="str">
            <v>1119</v>
          </cell>
          <cell r="L5081" t="str">
            <v>WATERBASED</v>
          </cell>
          <cell r="M5081" t="str">
            <v>111902</v>
          </cell>
          <cell r="N5081" t="str">
            <v>WATERBASED SYSTEM INTERIOR</v>
          </cell>
        </row>
        <row r="5082">
          <cell r="C5082" t="str">
            <v>120004823</v>
          </cell>
          <cell r="D5082" t="str">
            <v>WBC-62204 GREY MK20 20 MF VN</v>
          </cell>
          <cell r="E5082" t="str">
            <v>ZSFG</v>
          </cell>
          <cell r="F5082" t="str">
            <v>KG</v>
          </cell>
          <cell r="G5082" t="str">
            <v>1</v>
          </cell>
          <cell r="H5082" t="str">
            <v>INDUSTRY</v>
          </cell>
          <cell r="I5082" t="str">
            <v>11</v>
          </cell>
          <cell r="J5082" t="str">
            <v>WOOD COATINGS</v>
          </cell>
          <cell r="K5082" t="str">
            <v>1119</v>
          </cell>
          <cell r="L5082" t="str">
            <v>WATERBASED</v>
          </cell>
          <cell r="M5082" t="str">
            <v>111902</v>
          </cell>
          <cell r="N5082" t="str">
            <v>WATERBASED SYSTEM INTERIOR</v>
          </cell>
        </row>
        <row r="5083">
          <cell r="C5083" t="str">
            <v>120004824</v>
          </cell>
          <cell r="D5083" t="str">
            <v>WBP-62107 MF GREEN MK21 MF VN</v>
          </cell>
          <cell r="E5083" t="str">
            <v>ZSFG</v>
          </cell>
          <cell r="F5083" t="str">
            <v>KG</v>
          </cell>
          <cell r="G5083" t="str">
            <v>1</v>
          </cell>
          <cell r="H5083" t="str">
            <v>INDUSTRY</v>
          </cell>
          <cell r="I5083" t="str">
            <v>11</v>
          </cell>
          <cell r="J5083" t="str">
            <v>WOOD COATINGS</v>
          </cell>
          <cell r="K5083" t="str">
            <v>1119</v>
          </cell>
          <cell r="L5083" t="str">
            <v>WATERBASED</v>
          </cell>
          <cell r="M5083" t="str">
            <v>111902</v>
          </cell>
          <cell r="N5083" t="str">
            <v>WATERBASED SYSTEM INTERIOR</v>
          </cell>
        </row>
        <row r="5084">
          <cell r="C5084" t="str">
            <v>120004825</v>
          </cell>
          <cell r="D5084" t="str">
            <v>TEWB-84306 GREEN MK21 MF VN</v>
          </cell>
          <cell r="E5084" t="str">
            <v>ZSFG</v>
          </cell>
          <cell r="F5084" t="str">
            <v>KG</v>
          </cell>
          <cell r="G5084" t="str">
            <v>1</v>
          </cell>
          <cell r="H5084" t="str">
            <v>INDUSTRY</v>
          </cell>
          <cell r="I5084" t="str">
            <v>11</v>
          </cell>
          <cell r="J5084" t="str">
            <v>WOOD COATINGS</v>
          </cell>
          <cell r="K5084" t="str">
            <v>1119</v>
          </cell>
          <cell r="L5084" t="str">
            <v>WATERBASED</v>
          </cell>
          <cell r="M5084" t="str">
            <v>111902</v>
          </cell>
          <cell r="N5084" t="str">
            <v>WATERBASED SYSTEM INTERIOR</v>
          </cell>
        </row>
        <row r="5085">
          <cell r="C5085" t="str">
            <v>120004826</v>
          </cell>
          <cell r="D5085" t="str">
            <v>WBC-62204 GREEN MK21 20 MF VN</v>
          </cell>
          <cell r="E5085" t="str">
            <v>ZSFG</v>
          </cell>
          <cell r="F5085" t="str">
            <v>KG</v>
          </cell>
          <cell r="G5085" t="str">
            <v>1</v>
          </cell>
          <cell r="H5085" t="str">
            <v>INDUSTRY</v>
          </cell>
          <cell r="I5085" t="str">
            <v>11</v>
          </cell>
          <cell r="J5085" t="str">
            <v>WOOD COATINGS</v>
          </cell>
          <cell r="K5085" t="str">
            <v>1119</v>
          </cell>
          <cell r="L5085" t="str">
            <v>WATERBASED</v>
          </cell>
          <cell r="M5085" t="str">
            <v>111902</v>
          </cell>
          <cell r="N5085" t="str">
            <v>WATERBASED SYSTEM INTERIOR</v>
          </cell>
        </row>
        <row r="5086">
          <cell r="C5086" t="str">
            <v>120004827</v>
          </cell>
          <cell r="D5086" t="str">
            <v>WBP-62107 MF GREEN MK24 MF VN</v>
          </cell>
          <cell r="E5086" t="str">
            <v>ZSFG</v>
          </cell>
          <cell r="F5086" t="str">
            <v>KG</v>
          </cell>
          <cell r="G5086" t="str">
            <v>1</v>
          </cell>
          <cell r="H5086" t="str">
            <v>INDUSTRY</v>
          </cell>
          <cell r="I5086" t="str">
            <v>11</v>
          </cell>
          <cell r="J5086" t="str">
            <v>WOOD COATINGS</v>
          </cell>
          <cell r="K5086" t="str">
            <v>1119</v>
          </cell>
          <cell r="L5086" t="str">
            <v>WATERBASED</v>
          </cell>
          <cell r="M5086" t="str">
            <v>111902</v>
          </cell>
          <cell r="N5086" t="str">
            <v>WATERBASED SYSTEM INTERIOR</v>
          </cell>
        </row>
        <row r="5087">
          <cell r="C5087" t="str">
            <v>120004828</v>
          </cell>
          <cell r="D5087" t="str">
            <v>WBC-62204 GREEN MK24 20 MF VN</v>
          </cell>
          <cell r="E5087" t="str">
            <v>ZSFG</v>
          </cell>
          <cell r="F5087" t="str">
            <v>KG</v>
          </cell>
          <cell r="G5087" t="str">
            <v>1</v>
          </cell>
          <cell r="H5087" t="str">
            <v>INDUSTRY</v>
          </cell>
          <cell r="I5087" t="str">
            <v>11</v>
          </cell>
          <cell r="J5087" t="str">
            <v>WOOD COATINGS</v>
          </cell>
          <cell r="K5087" t="str">
            <v>1119</v>
          </cell>
          <cell r="L5087" t="str">
            <v>WATERBASED</v>
          </cell>
          <cell r="M5087" t="str">
            <v>111902</v>
          </cell>
          <cell r="N5087" t="str">
            <v>WATERBASED SYSTEM INTERIOR</v>
          </cell>
        </row>
        <row r="5088">
          <cell r="C5088" t="str">
            <v>120004829</v>
          </cell>
          <cell r="D5088" t="str">
            <v>WBP-62107 MF BLUE MK25 MF VN</v>
          </cell>
          <cell r="E5088" t="str">
            <v>ZSFG</v>
          </cell>
          <cell r="F5088" t="str">
            <v>KG</v>
          </cell>
          <cell r="G5088" t="str">
            <v>1</v>
          </cell>
          <cell r="H5088" t="str">
            <v>INDUSTRY</v>
          </cell>
          <cell r="I5088" t="str">
            <v>11</v>
          </cell>
          <cell r="J5088" t="str">
            <v>WOOD COATINGS</v>
          </cell>
          <cell r="K5088" t="str">
            <v>1119</v>
          </cell>
          <cell r="L5088" t="str">
            <v>WATERBASED</v>
          </cell>
          <cell r="M5088" t="str">
            <v>111902</v>
          </cell>
          <cell r="N5088" t="str">
            <v>WATERBASED SYSTEM INTERIOR</v>
          </cell>
        </row>
        <row r="5089">
          <cell r="C5089" t="str">
            <v>120004830</v>
          </cell>
          <cell r="D5089" t="str">
            <v>WBC-62204 BLUE MK25 20 MF VN</v>
          </cell>
          <cell r="E5089" t="str">
            <v>ZSFG</v>
          </cell>
          <cell r="F5089" t="str">
            <v>KG</v>
          </cell>
          <cell r="G5089" t="str">
            <v>1</v>
          </cell>
          <cell r="H5089" t="str">
            <v>INDUSTRY</v>
          </cell>
          <cell r="I5089" t="str">
            <v>11</v>
          </cell>
          <cell r="J5089" t="str">
            <v>WOOD COATINGS</v>
          </cell>
          <cell r="K5089" t="str">
            <v>1119</v>
          </cell>
          <cell r="L5089" t="str">
            <v>WATERBASED</v>
          </cell>
          <cell r="M5089" t="str">
            <v>111902</v>
          </cell>
          <cell r="N5089" t="str">
            <v>WATERBASED SYSTEM INTERIOR</v>
          </cell>
        </row>
        <row r="5090">
          <cell r="C5090" t="str">
            <v>120004831</v>
          </cell>
          <cell r="D5090" t="str">
            <v>WBP-62107 MF GREEN MK29 MF VN</v>
          </cell>
          <cell r="E5090" t="str">
            <v>ZSFG</v>
          </cell>
          <cell r="F5090" t="str">
            <v>KG</v>
          </cell>
          <cell r="G5090" t="str">
            <v>1</v>
          </cell>
          <cell r="H5090" t="str">
            <v>INDUSTRY</v>
          </cell>
          <cell r="I5090" t="str">
            <v>11</v>
          </cell>
          <cell r="J5090" t="str">
            <v>WOOD COATINGS</v>
          </cell>
          <cell r="K5090" t="str">
            <v>1119</v>
          </cell>
          <cell r="L5090" t="str">
            <v>WATERBASED</v>
          </cell>
          <cell r="M5090" t="str">
            <v>111902</v>
          </cell>
          <cell r="N5090" t="str">
            <v>WATERBASED SYSTEM INTERIOR</v>
          </cell>
        </row>
        <row r="5091">
          <cell r="C5091" t="str">
            <v>120004832</v>
          </cell>
          <cell r="D5091" t="str">
            <v>WBC-62206 GREEN MK29 20 MF VN</v>
          </cell>
          <cell r="E5091" t="str">
            <v>ZSFG</v>
          </cell>
          <cell r="F5091" t="str">
            <v>KG</v>
          </cell>
          <cell r="G5091" t="str">
            <v>1</v>
          </cell>
          <cell r="H5091" t="str">
            <v>INDUSTRY</v>
          </cell>
          <cell r="I5091" t="str">
            <v>11</v>
          </cell>
          <cell r="J5091" t="str">
            <v>WOOD COATINGS</v>
          </cell>
          <cell r="K5091" t="str">
            <v>1119</v>
          </cell>
          <cell r="L5091" t="str">
            <v>WATERBASED</v>
          </cell>
          <cell r="M5091" t="str">
            <v>111902</v>
          </cell>
          <cell r="N5091" t="str">
            <v>WATERBASED SYSTEM INTERIOR</v>
          </cell>
        </row>
        <row r="5092">
          <cell r="C5092" t="str">
            <v>120004833</v>
          </cell>
          <cell r="D5092" t="str">
            <v>WBP-62107 MF GREEN MK31 MF VN</v>
          </cell>
          <cell r="E5092" t="str">
            <v>ZSFG</v>
          </cell>
          <cell r="F5092" t="str">
            <v>KG</v>
          </cell>
          <cell r="G5092" t="str">
            <v>1</v>
          </cell>
          <cell r="H5092" t="str">
            <v>INDUSTRY</v>
          </cell>
          <cell r="I5092" t="str">
            <v>11</v>
          </cell>
          <cell r="J5092" t="str">
            <v>WOOD COATINGS</v>
          </cell>
          <cell r="K5092" t="str">
            <v>1119</v>
          </cell>
          <cell r="L5092" t="str">
            <v>WATERBASED</v>
          </cell>
          <cell r="M5092" t="str">
            <v>111902</v>
          </cell>
          <cell r="N5092" t="str">
            <v>WATERBASED SYSTEM INTERIOR</v>
          </cell>
        </row>
        <row r="5093">
          <cell r="C5093" t="str">
            <v>120004834</v>
          </cell>
          <cell r="D5093" t="str">
            <v>WBC-62206 GREEN MK31 20 MF VN</v>
          </cell>
          <cell r="E5093" t="str">
            <v>ZSFG</v>
          </cell>
          <cell r="F5093" t="str">
            <v>KG</v>
          </cell>
          <cell r="G5093" t="str">
            <v>1</v>
          </cell>
          <cell r="H5093" t="str">
            <v>INDUSTRY</v>
          </cell>
          <cell r="I5093" t="str">
            <v>11</v>
          </cell>
          <cell r="J5093" t="str">
            <v>WOOD COATINGS</v>
          </cell>
          <cell r="K5093" t="str">
            <v>1119</v>
          </cell>
          <cell r="L5093" t="str">
            <v>WATERBASED</v>
          </cell>
          <cell r="M5093" t="str">
            <v>111902</v>
          </cell>
          <cell r="N5093" t="str">
            <v>WATERBASED SYSTEM INTERIOR</v>
          </cell>
        </row>
        <row r="5094">
          <cell r="C5094" t="str">
            <v>120004835</v>
          </cell>
          <cell r="D5094" t="str">
            <v>WBP-62107 MF GREEN MK35 MF VN</v>
          </cell>
          <cell r="E5094" t="str">
            <v>ZSFG</v>
          </cell>
          <cell r="F5094" t="str">
            <v>KG</v>
          </cell>
          <cell r="G5094" t="str">
            <v>1</v>
          </cell>
          <cell r="H5094" t="str">
            <v>INDUSTRY</v>
          </cell>
          <cell r="I5094" t="str">
            <v>11</v>
          </cell>
          <cell r="J5094" t="str">
            <v>WOOD COATINGS</v>
          </cell>
          <cell r="K5094" t="str">
            <v>1119</v>
          </cell>
          <cell r="L5094" t="str">
            <v>WATERBASED</v>
          </cell>
          <cell r="M5094" t="str">
            <v>111902</v>
          </cell>
          <cell r="N5094" t="str">
            <v>WATERBASED SYSTEM INTERIOR</v>
          </cell>
        </row>
        <row r="5095">
          <cell r="C5095" t="str">
            <v>120004836</v>
          </cell>
          <cell r="D5095" t="str">
            <v>WBC-62204 GREEN MK35 20 MF VN</v>
          </cell>
          <cell r="E5095" t="str">
            <v>ZSFG</v>
          </cell>
          <cell r="F5095" t="str">
            <v>KG</v>
          </cell>
          <cell r="G5095" t="str">
            <v>1</v>
          </cell>
          <cell r="H5095" t="str">
            <v>INDUSTRY</v>
          </cell>
          <cell r="I5095" t="str">
            <v>11</v>
          </cell>
          <cell r="J5095" t="str">
            <v>WOOD COATINGS</v>
          </cell>
          <cell r="K5095" t="str">
            <v>1119</v>
          </cell>
          <cell r="L5095" t="str">
            <v>WATERBASED</v>
          </cell>
          <cell r="M5095" t="str">
            <v>111902</v>
          </cell>
          <cell r="N5095" t="str">
            <v>WATERBASED SYSTEM INTERIOR</v>
          </cell>
        </row>
        <row r="5096">
          <cell r="C5096" t="str">
            <v>120004837</v>
          </cell>
          <cell r="D5096" t="str">
            <v>WBC-62206 CREAM MK37 20 MF VN</v>
          </cell>
          <cell r="E5096" t="str">
            <v>ZSFG</v>
          </cell>
          <cell r="F5096" t="str">
            <v>KG</v>
          </cell>
          <cell r="G5096" t="str">
            <v>1</v>
          </cell>
          <cell r="H5096" t="str">
            <v>INDUSTRY</v>
          </cell>
          <cell r="I5096" t="str">
            <v>11</v>
          </cell>
          <cell r="J5096" t="str">
            <v>WOOD COATINGS</v>
          </cell>
          <cell r="K5096" t="str">
            <v>1119</v>
          </cell>
          <cell r="L5096" t="str">
            <v>WATERBASED</v>
          </cell>
          <cell r="M5096" t="str">
            <v>111902</v>
          </cell>
          <cell r="N5096" t="str">
            <v>WATERBASED SYSTEM INTERIOR</v>
          </cell>
        </row>
        <row r="5097">
          <cell r="C5097" t="str">
            <v>120004838</v>
          </cell>
          <cell r="D5097" t="str">
            <v>WBP-62107 MF PINK MK30 MF VN</v>
          </cell>
          <cell r="E5097" t="str">
            <v>ZSFG</v>
          </cell>
          <cell r="F5097" t="str">
            <v>KG</v>
          </cell>
          <cell r="G5097" t="str">
            <v>1</v>
          </cell>
          <cell r="H5097" t="str">
            <v>INDUSTRY</v>
          </cell>
          <cell r="I5097" t="str">
            <v>11</v>
          </cell>
          <cell r="J5097" t="str">
            <v>WOOD COATINGS</v>
          </cell>
          <cell r="K5097" t="str">
            <v>1119</v>
          </cell>
          <cell r="L5097" t="str">
            <v>WATERBASED</v>
          </cell>
          <cell r="M5097" t="str">
            <v>111902</v>
          </cell>
          <cell r="N5097" t="str">
            <v>WATERBASED SYSTEM INTERIOR</v>
          </cell>
        </row>
        <row r="5098">
          <cell r="C5098" t="str">
            <v>120004839</v>
          </cell>
          <cell r="D5098" t="str">
            <v>TEWB-84306 PINK MK30 MF VN</v>
          </cell>
          <cell r="E5098" t="str">
            <v>ZSFG</v>
          </cell>
          <cell r="F5098" t="str">
            <v>KG</v>
          </cell>
          <cell r="G5098" t="str">
            <v>1</v>
          </cell>
          <cell r="H5098" t="str">
            <v>INDUSTRY</v>
          </cell>
          <cell r="I5098" t="str">
            <v>11</v>
          </cell>
          <cell r="J5098" t="str">
            <v>WOOD COATINGS</v>
          </cell>
          <cell r="K5098" t="str">
            <v>1119</v>
          </cell>
          <cell r="L5098" t="str">
            <v>WATERBASED</v>
          </cell>
          <cell r="M5098" t="str">
            <v>111902</v>
          </cell>
          <cell r="N5098" t="str">
            <v>WATERBASED SYSTEM INTERIOR</v>
          </cell>
        </row>
        <row r="5099">
          <cell r="C5099" t="str">
            <v>120004840</v>
          </cell>
          <cell r="D5099" t="str">
            <v>WBC-62206 PINK MK30 20 MF VN</v>
          </cell>
          <cell r="E5099" t="str">
            <v>ZSFG</v>
          </cell>
          <cell r="F5099" t="str">
            <v>KG</v>
          </cell>
          <cell r="G5099" t="str">
            <v>1</v>
          </cell>
          <cell r="H5099" t="str">
            <v>INDUSTRY</v>
          </cell>
          <cell r="I5099" t="str">
            <v>11</v>
          </cell>
          <cell r="J5099" t="str">
            <v>WOOD COATINGS</v>
          </cell>
          <cell r="K5099" t="str">
            <v>1119</v>
          </cell>
          <cell r="L5099" t="str">
            <v>WATERBASED</v>
          </cell>
          <cell r="M5099" t="str">
            <v>111902</v>
          </cell>
          <cell r="N5099" t="str">
            <v>WATERBASED SYSTEM INTERIOR</v>
          </cell>
        </row>
        <row r="5100">
          <cell r="C5100" t="str">
            <v>120004841</v>
          </cell>
          <cell r="D5100" t="str">
            <v>WBP-62107 MF RED MK36 MF VN</v>
          </cell>
          <cell r="E5100" t="str">
            <v>ZSFG</v>
          </cell>
          <cell r="F5100" t="str">
            <v>KG</v>
          </cell>
          <cell r="G5100" t="str">
            <v>1</v>
          </cell>
          <cell r="H5100" t="str">
            <v>INDUSTRY</v>
          </cell>
          <cell r="I5100" t="str">
            <v>11</v>
          </cell>
          <cell r="J5100" t="str">
            <v>WOOD COATINGS</v>
          </cell>
          <cell r="K5100" t="str">
            <v>1119</v>
          </cell>
          <cell r="L5100" t="str">
            <v>WATERBASED</v>
          </cell>
          <cell r="M5100" t="str">
            <v>111902</v>
          </cell>
          <cell r="N5100" t="str">
            <v>WATERBASED SYSTEM INTERIOR</v>
          </cell>
        </row>
        <row r="5101">
          <cell r="C5101" t="str">
            <v>120004842</v>
          </cell>
          <cell r="D5101" t="str">
            <v>TEWB-84306 RED MK36 MF VN</v>
          </cell>
          <cell r="E5101" t="str">
            <v>ZSFG</v>
          </cell>
          <cell r="F5101" t="str">
            <v>KG</v>
          </cell>
          <cell r="G5101" t="str">
            <v>1</v>
          </cell>
          <cell r="H5101" t="str">
            <v>INDUSTRY</v>
          </cell>
          <cell r="I5101" t="str">
            <v>11</v>
          </cell>
          <cell r="J5101" t="str">
            <v>WOOD COATINGS</v>
          </cell>
          <cell r="K5101" t="str">
            <v>1119</v>
          </cell>
          <cell r="L5101" t="str">
            <v>WATERBASED</v>
          </cell>
          <cell r="M5101" t="str">
            <v>111902</v>
          </cell>
          <cell r="N5101" t="str">
            <v>WATERBASED SYSTEM INTERIOR</v>
          </cell>
        </row>
        <row r="5102">
          <cell r="C5102" t="str">
            <v>120004843</v>
          </cell>
          <cell r="D5102" t="str">
            <v>WBC-62204 RED MK36 20 MF VN</v>
          </cell>
          <cell r="E5102" t="str">
            <v>ZSFG</v>
          </cell>
          <cell r="F5102" t="str">
            <v>KG</v>
          </cell>
          <cell r="G5102" t="str">
            <v>1</v>
          </cell>
          <cell r="H5102" t="str">
            <v>INDUSTRY</v>
          </cell>
          <cell r="I5102" t="str">
            <v>11</v>
          </cell>
          <cell r="J5102" t="str">
            <v>WOOD COATINGS</v>
          </cell>
          <cell r="K5102" t="str">
            <v>1119</v>
          </cell>
          <cell r="L5102" t="str">
            <v>WATERBASED</v>
          </cell>
          <cell r="M5102" t="str">
            <v>111902</v>
          </cell>
          <cell r="N5102" t="str">
            <v>WATERBASED SYSTEM INTERIOR</v>
          </cell>
        </row>
        <row r="5103">
          <cell r="C5103" t="str">
            <v>120004844</v>
          </cell>
          <cell r="D5103" t="str">
            <v>WBP-62107 MF BLUE MK38 MF VN</v>
          </cell>
          <cell r="E5103" t="str">
            <v>ZSFG</v>
          </cell>
          <cell r="F5103" t="str">
            <v>KG</v>
          </cell>
          <cell r="G5103" t="str">
            <v>1</v>
          </cell>
          <cell r="H5103" t="str">
            <v>INDUSTRY</v>
          </cell>
          <cell r="I5103" t="str">
            <v>11</v>
          </cell>
          <cell r="J5103" t="str">
            <v>WOOD COATINGS</v>
          </cell>
          <cell r="K5103" t="str">
            <v>1119</v>
          </cell>
          <cell r="L5103" t="str">
            <v>WATERBASED</v>
          </cell>
          <cell r="M5103" t="str">
            <v>111902</v>
          </cell>
          <cell r="N5103" t="str">
            <v>WATERBASED SYSTEM INTERIOR</v>
          </cell>
        </row>
        <row r="5104">
          <cell r="C5104" t="str">
            <v>120004845</v>
          </cell>
          <cell r="D5104" t="str">
            <v>WBC-62204 BLUE MK38 20 MF VN</v>
          </cell>
          <cell r="E5104" t="str">
            <v>ZSFG</v>
          </cell>
          <cell r="F5104" t="str">
            <v>KG</v>
          </cell>
          <cell r="G5104" t="str">
            <v>1</v>
          </cell>
          <cell r="H5104" t="str">
            <v>INDUSTRY</v>
          </cell>
          <cell r="I5104" t="str">
            <v>11</v>
          </cell>
          <cell r="J5104" t="str">
            <v>WOOD COATINGS</v>
          </cell>
          <cell r="K5104" t="str">
            <v>1119</v>
          </cell>
          <cell r="L5104" t="str">
            <v>WATERBASED</v>
          </cell>
          <cell r="M5104" t="str">
            <v>111902</v>
          </cell>
          <cell r="N5104" t="str">
            <v>WATERBASED SYSTEM INTERIOR</v>
          </cell>
        </row>
        <row r="5105">
          <cell r="C5105" t="str">
            <v>120004846</v>
          </cell>
          <cell r="D5105" t="str">
            <v>WBP-62107 MF GREEN MK39 MF VN</v>
          </cell>
          <cell r="E5105" t="str">
            <v>ZSFG</v>
          </cell>
          <cell r="F5105" t="str">
            <v>KG</v>
          </cell>
          <cell r="G5105" t="str">
            <v>1</v>
          </cell>
          <cell r="H5105" t="str">
            <v>INDUSTRY</v>
          </cell>
          <cell r="I5105" t="str">
            <v>11</v>
          </cell>
          <cell r="J5105" t="str">
            <v>WOOD COATINGS</v>
          </cell>
          <cell r="K5105" t="str">
            <v>1119</v>
          </cell>
          <cell r="L5105" t="str">
            <v>WATERBASED</v>
          </cell>
          <cell r="M5105" t="str">
            <v>111902</v>
          </cell>
          <cell r="N5105" t="str">
            <v>WATERBASED SYSTEM INTERIOR</v>
          </cell>
        </row>
        <row r="5106">
          <cell r="C5106" t="str">
            <v>120004847</v>
          </cell>
          <cell r="D5106" t="str">
            <v>TEWB-84306 GREEN MK39 MF VN</v>
          </cell>
          <cell r="E5106" t="str">
            <v>ZSFG</v>
          </cell>
          <cell r="F5106" t="str">
            <v>KG</v>
          </cell>
          <cell r="G5106" t="str">
            <v>1</v>
          </cell>
          <cell r="H5106" t="str">
            <v>INDUSTRY</v>
          </cell>
          <cell r="I5106" t="str">
            <v>11</v>
          </cell>
          <cell r="J5106" t="str">
            <v>WOOD COATINGS</v>
          </cell>
          <cell r="K5106" t="str">
            <v>1119</v>
          </cell>
          <cell r="L5106" t="str">
            <v>WATERBASED</v>
          </cell>
          <cell r="M5106" t="str">
            <v>111902</v>
          </cell>
          <cell r="N5106" t="str">
            <v>WATERBASED SYSTEM INTERIOR</v>
          </cell>
        </row>
        <row r="5107">
          <cell r="C5107" t="str">
            <v>120004848</v>
          </cell>
          <cell r="D5107" t="str">
            <v>WBP-62104 LF GREEN MK39 MF VN</v>
          </cell>
          <cell r="E5107" t="str">
            <v>ZSFG</v>
          </cell>
          <cell r="F5107" t="str">
            <v>KG</v>
          </cell>
          <cell r="G5107" t="str">
            <v>1</v>
          </cell>
          <cell r="H5107" t="str">
            <v>INDUSTRY</v>
          </cell>
          <cell r="I5107" t="str">
            <v>11</v>
          </cell>
          <cell r="J5107" t="str">
            <v>WOOD COATINGS</v>
          </cell>
          <cell r="K5107" t="str">
            <v>1119</v>
          </cell>
          <cell r="L5107" t="str">
            <v>WATERBASED</v>
          </cell>
          <cell r="M5107" t="str">
            <v>111902</v>
          </cell>
          <cell r="N5107" t="str">
            <v>WATERBASED SYSTEM INTERIOR</v>
          </cell>
        </row>
        <row r="5108">
          <cell r="C5108" t="str">
            <v>120004849</v>
          </cell>
          <cell r="D5108" t="str">
            <v>WBC-62204 GREEN MK39 20 MF VN</v>
          </cell>
          <cell r="E5108" t="str">
            <v>ZSFG</v>
          </cell>
          <cell r="F5108" t="str">
            <v>KG</v>
          </cell>
          <cell r="G5108" t="str">
            <v>1</v>
          </cell>
          <cell r="H5108" t="str">
            <v>INDUSTRY</v>
          </cell>
          <cell r="I5108" t="str">
            <v>11</v>
          </cell>
          <cell r="J5108" t="str">
            <v>WOOD COATINGS</v>
          </cell>
          <cell r="K5108" t="str">
            <v>1119</v>
          </cell>
          <cell r="L5108" t="str">
            <v>WATERBASED</v>
          </cell>
          <cell r="M5108" t="str">
            <v>111902</v>
          </cell>
          <cell r="N5108" t="str">
            <v>WATERBASED SYSTEM INTERIOR</v>
          </cell>
        </row>
        <row r="5109">
          <cell r="C5109" t="str">
            <v>120004853</v>
          </cell>
          <cell r="D5109" t="str">
            <v>WBL-67300 2K PU CLEAR 18 MF VN</v>
          </cell>
          <cell r="E5109" t="str">
            <v>ZSFG</v>
          </cell>
          <cell r="F5109" t="str">
            <v>KG</v>
          </cell>
          <cell r="G5109" t="str">
            <v>1</v>
          </cell>
          <cell r="H5109" t="str">
            <v>INDUSTRY</v>
          </cell>
          <cell r="I5109" t="str">
            <v>11</v>
          </cell>
          <cell r="J5109" t="str">
            <v>WOOD COATINGS</v>
          </cell>
          <cell r="K5109" t="str">
            <v>1103</v>
          </cell>
          <cell r="L5109" t="str">
            <v>PU</v>
          </cell>
          <cell r="M5109" t="str">
            <v>110316</v>
          </cell>
          <cell r="N5109" t="str">
            <v>WATERBASED PU 2K</v>
          </cell>
        </row>
        <row r="5110">
          <cell r="C5110" t="str">
            <v>120004854</v>
          </cell>
          <cell r="D5110" t="str">
            <v>WBH-69300 2K PU NY MF VN</v>
          </cell>
          <cell r="E5110" t="str">
            <v>ZSFG</v>
          </cell>
          <cell r="F5110" t="str">
            <v>KG</v>
          </cell>
          <cell r="G5110" t="str">
            <v>1</v>
          </cell>
          <cell r="H5110" t="str">
            <v>INDUSTRY</v>
          </cell>
          <cell r="I5110" t="str">
            <v>11</v>
          </cell>
          <cell r="J5110" t="str">
            <v>WOOD COATINGS</v>
          </cell>
          <cell r="K5110" t="str">
            <v>1103</v>
          </cell>
          <cell r="L5110" t="str">
            <v>PU</v>
          </cell>
          <cell r="M5110" t="str">
            <v>110316</v>
          </cell>
          <cell r="N5110" t="str">
            <v>WATERBASED PU 2K</v>
          </cell>
        </row>
        <row r="5111">
          <cell r="C5111" t="str">
            <v>120004857</v>
          </cell>
          <cell r="D5111" t="str">
            <v>WBP-62107 MF BLUE MK41 MF VN</v>
          </cell>
          <cell r="E5111" t="str">
            <v>ZSFG</v>
          </cell>
          <cell r="F5111" t="str">
            <v>KG</v>
          </cell>
          <cell r="G5111" t="str">
            <v>1</v>
          </cell>
          <cell r="H5111" t="str">
            <v>INDUSTRY</v>
          </cell>
          <cell r="I5111" t="str">
            <v>11</v>
          </cell>
          <cell r="J5111" t="str">
            <v>WOOD COATINGS</v>
          </cell>
          <cell r="K5111" t="str">
            <v>1119</v>
          </cell>
          <cell r="L5111" t="str">
            <v>WATERBASED</v>
          </cell>
          <cell r="M5111" t="str">
            <v>111902</v>
          </cell>
          <cell r="N5111" t="str">
            <v>WATERBASED SYSTEM INTERIOR</v>
          </cell>
        </row>
        <row r="5112">
          <cell r="C5112" t="str">
            <v>120004858</v>
          </cell>
          <cell r="D5112" t="str">
            <v>WBC-62206 BLUE MK41 20 MF VN</v>
          </cell>
          <cell r="E5112" t="str">
            <v>ZSFG</v>
          </cell>
          <cell r="F5112" t="str">
            <v>KG</v>
          </cell>
          <cell r="G5112" t="str">
            <v>1</v>
          </cell>
          <cell r="H5112" t="str">
            <v>INDUSTRY</v>
          </cell>
          <cell r="I5112" t="str">
            <v>11</v>
          </cell>
          <cell r="J5112" t="str">
            <v>WOOD COATINGS</v>
          </cell>
          <cell r="K5112" t="str">
            <v>1119</v>
          </cell>
          <cell r="L5112" t="str">
            <v>WATERBASED</v>
          </cell>
          <cell r="M5112" t="str">
            <v>111902</v>
          </cell>
          <cell r="N5112" t="str">
            <v>WATERBASED SYSTEM INTERIOR</v>
          </cell>
        </row>
        <row r="5113">
          <cell r="C5113" t="str">
            <v>120004859</v>
          </cell>
          <cell r="D5113" t="str">
            <v>WBP-62107 MF YELLOW MK42 MF VN</v>
          </cell>
          <cell r="E5113" t="str">
            <v>ZSFG</v>
          </cell>
          <cell r="F5113" t="str">
            <v>KG</v>
          </cell>
          <cell r="G5113" t="str">
            <v>1</v>
          </cell>
          <cell r="H5113" t="str">
            <v>INDUSTRY</v>
          </cell>
          <cell r="I5113" t="str">
            <v>11</v>
          </cell>
          <cell r="J5113" t="str">
            <v>WOOD COATINGS</v>
          </cell>
          <cell r="K5113" t="str">
            <v>1119</v>
          </cell>
          <cell r="L5113" t="str">
            <v>WATERBASED</v>
          </cell>
          <cell r="M5113" t="str">
            <v>111902</v>
          </cell>
          <cell r="N5113" t="str">
            <v>WATERBASED SYSTEM INTERIOR</v>
          </cell>
        </row>
        <row r="5114">
          <cell r="C5114" t="str">
            <v>120004860</v>
          </cell>
          <cell r="D5114" t="str">
            <v>WBC-62204 YELLOW MK42 20 MF VN</v>
          </cell>
          <cell r="E5114" t="str">
            <v>ZSFG</v>
          </cell>
          <cell r="F5114" t="str">
            <v>KG</v>
          </cell>
          <cell r="G5114" t="str">
            <v>1</v>
          </cell>
          <cell r="H5114" t="str">
            <v>INDUSTRY</v>
          </cell>
          <cell r="I5114" t="str">
            <v>11</v>
          </cell>
          <cell r="J5114" t="str">
            <v>WOOD COATINGS</v>
          </cell>
          <cell r="K5114" t="str">
            <v>1119</v>
          </cell>
          <cell r="L5114" t="str">
            <v>WATERBASED</v>
          </cell>
          <cell r="M5114" t="str">
            <v>111902</v>
          </cell>
          <cell r="N5114" t="str">
            <v>WATERBASED SYSTEM INTERIOR</v>
          </cell>
        </row>
        <row r="5115">
          <cell r="C5115" t="str">
            <v>120004861</v>
          </cell>
          <cell r="D5115" t="str">
            <v>WBC-62206 CREAM MK43 20 MF VN</v>
          </cell>
          <cell r="E5115" t="str">
            <v>ZSFG</v>
          </cell>
          <cell r="F5115" t="str">
            <v>KG</v>
          </cell>
          <cell r="G5115" t="str">
            <v>1</v>
          </cell>
          <cell r="H5115" t="str">
            <v>INDUSTRY</v>
          </cell>
          <cell r="I5115" t="str">
            <v>11</v>
          </cell>
          <cell r="J5115" t="str">
            <v>WOOD COATINGS</v>
          </cell>
          <cell r="K5115" t="str">
            <v>1119</v>
          </cell>
          <cell r="L5115" t="str">
            <v>WATERBASED</v>
          </cell>
          <cell r="M5115" t="str">
            <v>111902</v>
          </cell>
          <cell r="N5115" t="str">
            <v>WATERBASED SYSTEM INTERIOR</v>
          </cell>
        </row>
        <row r="5116">
          <cell r="C5116" t="str">
            <v>120004862</v>
          </cell>
          <cell r="D5116" t="str">
            <v>WBP-62107 MF GREY MK44 MF VN</v>
          </cell>
          <cell r="E5116" t="str">
            <v>ZSFG</v>
          </cell>
          <cell r="F5116" t="str">
            <v>KG</v>
          </cell>
          <cell r="G5116" t="str">
            <v>1</v>
          </cell>
          <cell r="H5116" t="str">
            <v>INDUSTRY</v>
          </cell>
          <cell r="I5116" t="str">
            <v>11</v>
          </cell>
          <cell r="J5116" t="str">
            <v>WOOD COATINGS</v>
          </cell>
          <cell r="K5116" t="str">
            <v>1119</v>
          </cell>
          <cell r="L5116" t="str">
            <v>WATERBASED</v>
          </cell>
          <cell r="M5116" t="str">
            <v>111902</v>
          </cell>
          <cell r="N5116" t="str">
            <v>WATERBASED SYSTEM INTERIOR</v>
          </cell>
        </row>
        <row r="5117">
          <cell r="C5117" t="str">
            <v>120004863</v>
          </cell>
          <cell r="D5117" t="str">
            <v>WBC-62204 GREY MK44 20 MF VN</v>
          </cell>
          <cell r="E5117" t="str">
            <v>ZSFG</v>
          </cell>
          <cell r="F5117" t="str">
            <v>KG</v>
          </cell>
          <cell r="G5117" t="str">
            <v>1</v>
          </cell>
          <cell r="H5117" t="str">
            <v>INDUSTRY</v>
          </cell>
          <cell r="I5117" t="str">
            <v>11</v>
          </cell>
          <cell r="J5117" t="str">
            <v>WOOD COATINGS</v>
          </cell>
          <cell r="K5117" t="str">
            <v>1119</v>
          </cell>
          <cell r="L5117" t="str">
            <v>WATERBASED</v>
          </cell>
          <cell r="M5117" t="str">
            <v>111902</v>
          </cell>
          <cell r="N5117" t="str">
            <v>WATERBASED SYSTEM INTERIOR</v>
          </cell>
        </row>
        <row r="5118">
          <cell r="C5118" t="str">
            <v>120004864</v>
          </cell>
          <cell r="D5118" t="str">
            <v>WBP-62107 MF YELLOW MK45 MF VN</v>
          </cell>
          <cell r="E5118" t="str">
            <v>ZSFG</v>
          </cell>
          <cell r="F5118" t="str">
            <v>KG</v>
          </cell>
          <cell r="G5118" t="str">
            <v>1</v>
          </cell>
          <cell r="H5118" t="str">
            <v>INDUSTRY</v>
          </cell>
          <cell r="I5118" t="str">
            <v>11</v>
          </cell>
          <cell r="J5118" t="str">
            <v>WOOD COATINGS</v>
          </cell>
          <cell r="K5118" t="str">
            <v>1119</v>
          </cell>
          <cell r="L5118" t="str">
            <v>WATERBASED</v>
          </cell>
          <cell r="M5118" t="str">
            <v>111902</v>
          </cell>
          <cell r="N5118" t="str">
            <v>WATERBASED SYSTEM INTERIOR</v>
          </cell>
        </row>
        <row r="5119">
          <cell r="C5119" t="str">
            <v>120004865</v>
          </cell>
          <cell r="D5119" t="str">
            <v>WBC-62204 YELOW MK45 20 MF VN</v>
          </cell>
          <cell r="E5119" t="str">
            <v>ZSFG</v>
          </cell>
          <cell r="F5119" t="str">
            <v>KG</v>
          </cell>
          <cell r="G5119" t="str">
            <v>1</v>
          </cell>
          <cell r="H5119" t="str">
            <v>INDUSTRY</v>
          </cell>
          <cell r="I5119" t="str">
            <v>11</v>
          </cell>
          <cell r="J5119" t="str">
            <v>WOOD COATINGS</v>
          </cell>
          <cell r="K5119" t="str">
            <v>1119</v>
          </cell>
          <cell r="L5119" t="str">
            <v>WATERBASED</v>
          </cell>
          <cell r="M5119" t="str">
            <v>111902</v>
          </cell>
          <cell r="N5119" t="str">
            <v>WATERBASED SYSTEM INTERIOR</v>
          </cell>
        </row>
        <row r="5120">
          <cell r="C5120" t="str">
            <v>120004866</v>
          </cell>
          <cell r="D5120" t="str">
            <v>WBP-62107 MF BLACK MK46 MF VN</v>
          </cell>
          <cell r="E5120" t="str">
            <v>ZSFG</v>
          </cell>
          <cell r="F5120" t="str">
            <v>KG</v>
          </cell>
          <cell r="G5120" t="str">
            <v>1</v>
          </cell>
          <cell r="H5120" t="str">
            <v>INDUSTRY</v>
          </cell>
          <cell r="I5120" t="str">
            <v>11</v>
          </cell>
          <cell r="J5120" t="str">
            <v>WOOD COATINGS</v>
          </cell>
          <cell r="K5120" t="str">
            <v>1119</v>
          </cell>
          <cell r="L5120" t="str">
            <v>WATERBASED</v>
          </cell>
          <cell r="M5120" t="str">
            <v>111902</v>
          </cell>
          <cell r="N5120" t="str">
            <v>WATERBASED SYSTEM INTERIOR</v>
          </cell>
        </row>
        <row r="5121">
          <cell r="C5121" t="str">
            <v>120004867</v>
          </cell>
          <cell r="D5121" t="str">
            <v>TEWB-84306 BLACK MK46 MF VN</v>
          </cell>
          <cell r="E5121" t="str">
            <v>ZSFG</v>
          </cell>
          <cell r="F5121" t="str">
            <v>KG</v>
          </cell>
          <cell r="G5121" t="str">
            <v>1</v>
          </cell>
          <cell r="H5121" t="str">
            <v>INDUSTRY</v>
          </cell>
          <cell r="I5121" t="str">
            <v>11</v>
          </cell>
          <cell r="J5121" t="str">
            <v>WOOD COATINGS</v>
          </cell>
          <cell r="K5121" t="str">
            <v>1119</v>
          </cell>
          <cell r="L5121" t="str">
            <v>WATERBASED</v>
          </cell>
          <cell r="M5121" t="str">
            <v>111902</v>
          </cell>
          <cell r="N5121" t="str">
            <v>WATERBASED SYSTEM INTERIOR</v>
          </cell>
        </row>
        <row r="5122">
          <cell r="C5122" t="str">
            <v>120004868</v>
          </cell>
          <cell r="D5122" t="str">
            <v>WBP-62104 MF BLACK MK46 MF VN</v>
          </cell>
          <cell r="E5122" t="str">
            <v>ZSFG</v>
          </cell>
          <cell r="F5122" t="str">
            <v>KG</v>
          </cell>
          <cell r="G5122" t="str">
            <v>1</v>
          </cell>
          <cell r="H5122" t="str">
            <v>INDUSTRY</v>
          </cell>
          <cell r="I5122" t="str">
            <v>11</v>
          </cell>
          <cell r="J5122" t="str">
            <v>WOOD COATINGS</v>
          </cell>
          <cell r="K5122" t="str">
            <v>1119</v>
          </cell>
          <cell r="L5122" t="str">
            <v>WATERBASED</v>
          </cell>
          <cell r="M5122" t="str">
            <v>111902</v>
          </cell>
          <cell r="N5122" t="str">
            <v>WATERBASED SYSTEM INTERIOR</v>
          </cell>
        </row>
        <row r="5123">
          <cell r="C5123" t="str">
            <v>120004869</v>
          </cell>
          <cell r="D5123" t="str">
            <v>WBC-62204 BLACK MK46 20 MF VN</v>
          </cell>
          <cell r="E5123" t="str">
            <v>ZSFG</v>
          </cell>
          <cell r="F5123" t="str">
            <v>KG</v>
          </cell>
          <cell r="G5123" t="str">
            <v>1</v>
          </cell>
          <cell r="H5123" t="str">
            <v>INDUSTRY</v>
          </cell>
          <cell r="I5123" t="str">
            <v>11</v>
          </cell>
          <cell r="J5123" t="str">
            <v>WOOD COATINGS</v>
          </cell>
          <cell r="K5123" t="str">
            <v>1119</v>
          </cell>
          <cell r="L5123" t="str">
            <v>WATERBASED</v>
          </cell>
          <cell r="M5123" t="str">
            <v>111902</v>
          </cell>
          <cell r="N5123" t="str">
            <v>WATERBASED SYSTEM INTERIOR</v>
          </cell>
        </row>
        <row r="5124">
          <cell r="C5124" t="str">
            <v>120004876</v>
          </cell>
          <cell r="D5124" t="str">
            <v>WBP-62107 MF BLACK MK40 MF VN</v>
          </cell>
          <cell r="E5124" t="str">
            <v>ZSFG</v>
          </cell>
          <cell r="F5124" t="str">
            <v>KG</v>
          </cell>
          <cell r="G5124" t="str">
            <v>1</v>
          </cell>
          <cell r="H5124" t="str">
            <v>INDUSTRY</v>
          </cell>
          <cell r="I5124" t="str">
            <v>11</v>
          </cell>
          <cell r="J5124" t="str">
            <v>WOOD COATINGS</v>
          </cell>
          <cell r="K5124" t="str">
            <v>1119</v>
          </cell>
          <cell r="L5124" t="str">
            <v>WATERBASED</v>
          </cell>
          <cell r="M5124" t="str">
            <v>111902</v>
          </cell>
          <cell r="N5124" t="str">
            <v>WATERBASED SYSTEM INTERIOR</v>
          </cell>
        </row>
        <row r="5125">
          <cell r="C5125" t="str">
            <v>120004877</v>
          </cell>
          <cell r="D5125" t="str">
            <v>TEWB-84306 BLACK MK40 MF VN</v>
          </cell>
          <cell r="E5125" t="str">
            <v>ZSFG</v>
          </cell>
          <cell r="F5125" t="str">
            <v>KG</v>
          </cell>
          <cell r="G5125" t="str">
            <v>1</v>
          </cell>
          <cell r="H5125" t="str">
            <v>INDUSTRY</v>
          </cell>
          <cell r="I5125" t="str">
            <v>11</v>
          </cell>
          <cell r="J5125" t="str">
            <v>WOOD COATINGS</v>
          </cell>
          <cell r="K5125" t="str">
            <v>1119</v>
          </cell>
          <cell r="L5125" t="str">
            <v>WATERBASED</v>
          </cell>
          <cell r="M5125" t="str">
            <v>111902</v>
          </cell>
          <cell r="N5125" t="str">
            <v>WATERBASED SYSTEM INTERIOR</v>
          </cell>
        </row>
        <row r="5126">
          <cell r="C5126" t="str">
            <v>120004878</v>
          </cell>
          <cell r="D5126" t="str">
            <v>WBP-62104 LF BLACK MK40 MF VN</v>
          </cell>
          <cell r="E5126" t="str">
            <v>ZSFG</v>
          </cell>
          <cell r="F5126" t="str">
            <v>KG</v>
          </cell>
          <cell r="G5126" t="str">
            <v>1</v>
          </cell>
          <cell r="H5126" t="str">
            <v>INDUSTRY</v>
          </cell>
          <cell r="I5126" t="str">
            <v>11</v>
          </cell>
          <cell r="J5126" t="str">
            <v>WOOD COATINGS</v>
          </cell>
          <cell r="K5126" t="str">
            <v>1119</v>
          </cell>
          <cell r="L5126" t="str">
            <v>WATERBASED</v>
          </cell>
          <cell r="M5126" t="str">
            <v>111902</v>
          </cell>
          <cell r="N5126" t="str">
            <v>WATERBASED SYSTEM INTERIOR</v>
          </cell>
        </row>
        <row r="5127">
          <cell r="C5127" t="str">
            <v>120004879</v>
          </cell>
          <cell r="D5127" t="str">
            <v>WBC-62204 BLACK MK40 20 MF VN</v>
          </cell>
          <cell r="E5127" t="str">
            <v>ZSFG</v>
          </cell>
          <cell r="F5127" t="str">
            <v>KG</v>
          </cell>
          <cell r="G5127" t="str">
            <v>1</v>
          </cell>
          <cell r="H5127" t="str">
            <v>INDUSTRY</v>
          </cell>
          <cell r="I5127" t="str">
            <v>11</v>
          </cell>
          <cell r="J5127" t="str">
            <v>WOOD COATINGS</v>
          </cell>
          <cell r="K5127" t="str">
            <v>1119</v>
          </cell>
          <cell r="L5127" t="str">
            <v>WATERBASED</v>
          </cell>
          <cell r="M5127" t="str">
            <v>111902</v>
          </cell>
          <cell r="N5127" t="str">
            <v>WATERBASED SYSTEM INTERIOR</v>
          </cell>
        </row>
        <row r="5128">
          <cell r="C5128" t="str">
            <v>120004880</v>
          </cell>
          <cell r="D5128" t="str">
            <v>WBST-13100 RED MF VN</v>
          </cell>
          <cell r="E5128" t="str">
            <v>ZSFG</v>
          </cell>
          <cell r="F5128" t="str">
            <v>KG</v>
          </cell>
          <cell r="G5128" t="str">
            <v>1</v>
          </cell>
          <cell r="H5128" t="str">
            <v>INDUSTRY</v>
          </cell>
          <cell r="I5128" t="str">
            <v>11</v>
          </cell>
          <cell r="J5128" t="str">
            <v>WOOD COATINGS</v>
          </cell>
          <cell r="K5128" t="str">
            <v>1119</v>
          </cell>
          <cell r="L5128" t="str">
            <v>WATERBASED</v>
          </cell>
          <cell r="M5128" t="str">
            <v>111902</v>
          </cell>
          <cell r="N5128" t="str">
            <v>WATERBASED SYSTEM INTERIOR</v>
          </cell>
        </row>
        <row r="5129">
          <cell r="C5129" t="str">
            <v>120004881</v>
          </cell>
          <cell r="D5129" t="str">
            <v>WBST-13100 YELLOW MF VN</v>
          </cell>
          <cell r="E5129" t="str">
            <v>ZSFG</v>
          </cell>
          <cell r="F5129" t="str">
            <v>KG</v>
          </cell>
          <cell r="G5129" t="str">
            <v>1</v>
          </cell>
          <cell r="H5129" t="str">
            <v>INDUSTRY</v>
          </cell>
          <cell r="I5129" t="str">
            <v>11</v>
          </cell>
          <cell r="J5129" t="str">
            <v>WOOD COATINGS</v>
          </cell>
          <cell r="K5129" t="str">
            <v>1119</v>
          </cell>
          <cell r="L5129" t="str">
            <v>WATERBASED</v>
          </cell>
          <cell r="M5129" t="str">
            <v>111902</v>
          </cell>
          <cell r="N5129" t="str">
            <v>WATERBASED SYSTEM INTERIOR</v>
          </cell>
        </row>
        <row r="5130">
          <cell r="C5130" t="str">
            <v>120004882</v>
          </cell>
          <cell r="D5130" t="str">
            <v>WBST-13100 BLACK MF VN</v>
          </cell>
          <cell r="E5130" t="str">
            <v>ZSFG</v>
          </cell>
          <cell r="F5130" t="str">
            <v>KG</v>
          </cell>
          <cell r="G5130" t="str">
            <v>1</v>
          </cell>
          <cell r="H5130" t="str">
            <v>INDUSTRY</v>
          </cell>
          <cell r="I5130" t="str">
            <v>11</v>
          </cell>
          <cell r="J5130" t="str">
            <v>WOOD COATINGS</v>
          </cell>
          <cell r="K5130" t="str">
            <v>1119</v>
          </cell>
          <cell r="L5130" t="str">
            <v>WATERBASED</v>
          </cell>
          <cell r="M5130" t="str">
            <v>111902</v>
          </cell>
          <cell r="N5130" t="str">
            <v>WATERBASED SYSTEM INTERIOR</v>
          </cell>
        </row>
        <row r="5131">
          <cell r="C5131" t="str">
            <v>120004883</v>
          </cell>
          <cell r="D5131" t="str">
            <v>PCWB-31601 WHITE PASTE MF VN</v>
          </cell>
          <cell r="E5131" t="str">
            <v>ZSFG</v>
          </cell>
          <cell r="F5131" t="str">
            <v>KG</v>
          </cell>
          <cell r="G5131" t="str">
            <v>1</v>
          </cell>
          <cell r="H5131" t="str">
            <v>INDUSTRY</v>
          </cell>
          <cell r="I5131" t="str">
            <v>11</v>
          </cell>
          <cell r="J5131" t="str">
            <v>WOOD COATINGS</v>
          </cell>
          <cell r="K5131" t="str">
            <v>1118</v>
          </cell>
          <cell r="L5131" t="str">
            <v>COMPLEMENTARY</v>
          </cell>
          <cell r="M5131" t="str">
            <v>111807</v>
          </cell>
          <cell r="N5131" t="str">
            <v>PASTA</v>
          </cell>
        </row>
        <row r="5132">
          <cell r="C5132" t="str">
            <v>120004884</v>
          </cell>
          <cell r="D5132" t="str">
            <v>GZWB-21409 PG EW WHITE MF VN</v>
          </cell>
          <cell r="E5132" t="str">
            <v>ZSFG</v>
          </cell>
          <cell r="F5132" t="str">
            <v>KG</v>
          </cell>
          <cell r="G5132" t="str">
            <v>1</v>
          </cell>
          <cell r="H5132" t="str">
            <v>INDUSTRY</v>
          </cell>
          <cell r="I5132" t="str">
            <v>11</v>
          </cell>
          <cell r="J5132" t="str">
            <v>WOOD COATINGS</v>
          </cell>
          <cell r="K5132" t="str">
            <v>1119</v>
          </cell>
          <cell r="L5132" t="str">
            <v>WATERBASED</v>
          </cell>
          <cell r="M5132" t="str">
            <v>111901</v>
          </cell>
          <cell r="N5132" t="str">
            <v>WATERBASED SYSTEM EXTERIOR</v>
          </cell>
        </row>
        <row r="5133">
          <cell r="C5133" t="str">
            <v>120004901</v>
          </cell>
          <cell r="D5133" t="str">
            <v>WBP-62107 LF WHITE MF VN</v>
          </cell>
          <cell r="E5133" t="str">
            <v>ZSFG</v>
          </cell>
          <cell r="F5133" t="str">
            <v>KG</v>
          </cell>
          <cell r="G5133" t="str">
            <v>1</v>
          </cell>
          <cell r="H5133" t="str">
            <v>INDUSTRY</v>
          </cell>
          <cell r="I5133" t="str">
            <v>11</v>
          </cell>
          <cell r="J5133" t="str">
            <v>WOOD COATINGS</v>
          </cell>
          <cell r="K5133" t="str">
            <v>1119</v>
          </cell>
          <cell r="L5133" t="str">
            <v>WATERBASED</v>
          </cell>
          <cell r="M5133" t="str">
            <v>111902</v>
          </cell>
          <cell r="N5133" t="str">
            <v>WATERBASED SYSTEM INTERIOR</v>
          </cell>
        </row>
        <row r="5134">
          <cell r="C5134" t="str">
            <v>120004906</v>
          </cell>
          <cell r="D5134" t="str">
            <v>WBP-62107 LF CREAM MK07 MF VN</v>
          </cell>
          <cell r="E5134" t="str">
            <v>ZSFG</v>
          </cell>
          <cell r="F5134" t="str">
            <v>KG</v>
          </cell>
          <cell r="G5134" t="str">
            <v>1</v>
          </cell>
          <cell r="H5134" t="str">
            <v>INDUSTRY</v>
          </cell>
          <cell r="I5134" t="str">
            <v>11</v>
          </cell>
          <cell r="J5134" t="str">
            <v>WOOD COATINGS</v>
          </cell>
          <cell r="K5134" t="str">
            <v>1119</v>
          </cell>
          <cell r="L5134" t="str">
            <v>WATERBASED</v>
          </cell>
          <cell r="M5134" t="str">
            <v>111902</v>
          </cell>
          <cell r="N5134" t="str">
            <v>WATERBASED SYSTEM INTERIOR</v>
          </cell>
        </row>
        <row r="5135">
          <cell r="C5135" t="str">
            <v>120004907</v>
          </cell>
          <cell r="D5135" t="str">
            <v>WBP-62107 LF GREEN MK10 MF VN</v>
          </cell>
          <cell r="E5135" t="str">
            <v>ZSFG</v>
          </cell>
          <cell r="F5135" t="str">
            <v>KG</v>
          </cell>
          <cell r="G5135" t="str">
            <v>1</v>
          </cell>
          <cell r="H5135" t="str">
            <v>INDUSTRY</v>
          </cell>
          <cell r="I5135" t="str">
            <v>11</v>
          </cell>
          <cell r="J5135" t="str">
            <v>WOOD COATINGS</v>
          </cell>
          <cell r="K5135" t="str">
            <v>1119</v>
          </cell>
          <cell r="L5135" t="str">
            <v>WATERBASED</v>
          </cell>
          <cell r="M5135" t="str">
            <v>111902</v>
          </cell>
          <cell r="N5135" t="str">
            <v>WATERBASED SYSTEM INTERIOR</v>
          </cell>
        </row>
        <row r="5136">
          <cell r="C5136" t="str">
            <v>120004931</v>
          </cell>
          <cell r="D5136" t="str">
            <v>WBP-62116 LF WHITE MF VN</v>
          </cell>
          <cell r="E5136" t="str">
            <v>ZSFG</v>
          </cell>
          <cell r="F5136" t="str">
            <v>KG</v>
          </cell>
          <cell r="G5136" t="str">
            <v>1</v>
          </cell>
          <cell r="H5136" t="str">
            <v>INDUSTRY</v>
          </cell>
          <cell r="I5136" t="str">
            <v>11</v>
          </cell>
          <cell r="J5136" t="str">
            <v>WOOD COATINGS</v>
          </cell>
          <cell r="K5136" t="str">
            <v>1119</v>
          </cell>
          <cell r="L5136" t="str">
            <v>WATERBASED</v>
          </cell>
          <cell r="M5136" t="str">
            <v>111902</v>
          </cell>
          <cell r="N5136" t="str">
            <v>WATERBASED SYSTEM INTERIOR</v>
          </cell>
        </row>
        <row r="5137">
          <cell r="C5137" t="str">
            <v>120004932</v>
          </cell>
          <cell r="D5137" t="str">
            <v>WBL-61206 HS CLEAR 20 MF VN</v>
          </cell>
          <cell r="E5137" t="str">
            <v>ZSFG</v>
          </cell>
          <cell r="F5137" t="str">
            <v>KG</v>
          </cell>
          <cell r="G5137" t="str">
            <v>1</v>
          </cell>
          <cell r="H5137" t="str">
            <v>INDUSTRY</v>
          </cell>
          <cell r="I5137" t="str">
            <v>11</v>
          </cell>
          <cell r="J5137" t="str">
            <v>WOOD COATINGS</v>
          </cell>
          <cell r="K5137" t="str">
            <v>1119</v>
          </cell>
          <cell r="L5137" t="str">
            <v>WATERBASED</v>
          </cell>
          <cell r="M5137" t="str">
            <v>111902</v>
          </cell>
          <cell r="N5137" t="str">
            <v>WATERBASED SYSTEM INTERIOR</v>
          </cell>
        </row>
        <row r="5138">
          <cell r="C5138" t="str">
            <v>150000367</v>
          </cell>
          <cell r="D5138" t="str">
            <v>REA 20016</v>
          </cell>
          <cell r="E5138" t="str">
            <v>ZRMA</v>
          </cell>
          <cell r="F5138" t="str">
            <v>KG</v>
          </cell>
          <cell r="G5138" t="str">
            <v>9</v>
          </cell>
          <cell r="H5138" t="str">
            <v>OTHERS</v>
          </cell>
          <cell r="I5138" t="str">
            <v>92</v>
          </cell>
          <cell r="J5138" t="str">
            <v>RAW MATERIAL</v>
          </cell>
          <cell r="K5138" t="str">
            <v>9201</v>
          </cell>
          <cell r="L5138" t="str">
            <v>RAW MATERIAL</v>
          </cell>
          <cell r="M5138" t="str">
            <v>920101</v>
          </cell>
          <cell r="N5138" t="str">
            <v>RAW MATERIAL</v>
          </cell>
        </row>
        <row r="5139">
          <cell r="C5139" t="str">
            <v>150001391</v>
          </cell>
          <cell r="D5139" t="str">
            <v>PASTA PC 8K2</v>
          </cell>
          <cell r="E5139" t="str">
            <v>ZRMA</v>
          </cell>
          <cell r="F5139" t="str">
            <v>KG</v>
          </cell>
          <cell r="G5139" t="str">
            <v>9</v>
          </cell>
          <cell r="H5139" t="str">
            <v>OTHERS</v>
          </cell>
          <cell r="I5139" t="str">
            <v>92</v>
          </cell>
          <cell r="J5139" t="str">
            <v>RAW MATERIAL</v>
          </cell>
          <cell r="K5139" t="str">
            <v>9201</v>
          </cell>
          <cell r="L5139" t="str">
            <v>RAW MATERIAL</v>
          </cell>
          <cell r="M5139" t="str">
            <v>920101</v>
          </cell>
          <cell r="N5139" t="str">
            <v>RAW MATERIAL</v>
          </cell>
        </row>
        <row r="5140">
          <cell r="C5140" t="str">
            <v>150001392</v>
          </cell>
          <cell r="D5140" t="str">
            <v>PASTA PC 8R1</v>
          </cell>
          <cell r="E5140" t="str">
            <v>ZRMA</v>
          </cell>
          <cell r="F5140" t="str">
            <v>KG</v>
          </cell>
          <cell r="G5140" t="str">
            <v>9</v>
          </cell>
          <cell r="H5140" t="str">
            <v>OTHERS</v>
          </cell>
          <cell r="I5140" t="str">
            <v>92</v>
          </cell>
          <cell r="J5140" t="str">
            <v>RAW MATERIAL</v>
          </cell>
          <cell r="K5140" t="str">
            <v>9201</v>
          </cell>
          <cell r="L5140" t="str">
            <v>RAW MATERIAL</v>
          </cell>
          <cell r="M5140" t="str">
            <v>920101</v>
          </cell>
          <cell r="N5140" t="str">
            <v>RAW MATERIAL</v>
          </cell>
        </row>
        <row r="5141">
          <cell r="C5141" t="str">
            <v>150001393</v>
          </cell>
          <cell r="D5141" t="str">
            <v>PASTA PC 8R2</v>
          </cell>
          <cell r="E5141" t="str">
            <v>ZRMA</v>
          </cell>
          <cell r="F5141" t="str">
            <v>KG</v>
          </cell>
          <cell r="G5141" t="str">
            <v>9</v>
          </cell>
          <cell r="H5141" t="str">
            <v>OTHERS</v>
          </cell>
          <cell r="I5141" t="str">
            <v>92</v>
          </cell>
          <cell r="J5141" t="str">
            <v>RAW MATERIAL</v>
          </cell>
          <cell r="K5141" t="str">
            <v>9201</v>
          </cell>
          <cell r="L5141" t="str">
            <v>RAW MATERIAL</v>
          </cell>
          <cell r="M5141" t="str">
            <v>920101</v>
          </cell>
          <cell r="N5141" t="str">
            <v>RAW MATERIAL</v>
          </cell>
        </row>
        <row r="5142">
          <cell r="C5142" t="str">
            <v>150001394</v>
          </cell>
          <cell r="D5142" t="str">
            <v>PASTA PC 8R3</v>
          </cell>
          <cell r="E5142" t="str">
            <v>ZRMA</v>
          </cell>
          <cell r="F5142" t="str">
            <v>KG</v>
          </cell>
          <cell r="G5142" t="str">
            <v>9</v>
          </cell>
          <cell r="H5142" t="str">
            <v>OTHERS</v>
          </cell>
          <cell r="I5142" t="str">
            <v>92</v>
          </cell>
          <cell r="J5142" t="str">
            <v>RAW MATERIAL</v>
          </cell>
          <cell r="K5142" t="str">
            <v>9201</v>
          </cell>
          <cell r="L5142" t="str">
            <v>RAW MATERIAL</v>
          </cell>
          <cell r="M5142" t="str">
            <v>920101</v>
          </cell>
          <cell r="N5142" t="str">
            <v>RAW MATERIAL</v>
          </cell>
        </row>
        <row r="5143">
          <cell r="C5143" t="str">
            <v>150001395</v>
          </cell>
          <cell r="D5143" t="str">
            <v>PASTA PC 8Y1</v>
          </cell>
          <cell r="E5143" t="str">
            <v>ZRMA</v>
          </cell>
          <cell r="F5143" t="str">
            <v>KG</v>
          </cell>
          <cell r="G5143" t="str">
            <v>9</v>
          </cell>
          <cell r="H5143" t="str">
            <v>OTHERS</v>
          </cell>
          <cell r="I5143" t="str">
            <v>92</v>
          </cell>
          <cell r="J5143" t="str">
            <v>RAW MATERIAL</v>
          </cell>
          <cell r="K5143" t="str">
            <v>9201</v>
          </cell>
          <cell r="L5143" t="str">
            <v>RAW MATERIAL</v>
          </cell>
          <cell r="M5143" t="str">
            <v>920101</v>
          </cell>
          <cell r="N5143" t="str">
            <v>RAW MATERIAL</v>
          </cell>
        </row>
        <row r="5144">
          <cell r="C5144" t="str">
            <v>150001396</v>
          </cell>
          <cell r="D5144" t="str">
            <v>PASTA PC 8Y2</v>
          </cell>
          <cell r="E5144" t="str">
            <v>ZRMA</v>
          </cell>
          <cell r="F5144" t="str">
            <v>KG</v>
          </cell>
          <cell r="G5144" t="str">
            <v>9</v>
          </cell>
          <cell r="H5144" t="str">
            <v>OTHERS</v>
          </cell>
          <cell r="I5144" t="str">
            <v>92</v>
          </cell>
          <cell r="J5144" t="str">
            <v>RAW MATERIAL</v>
          </cell>
          <cell r="K5144" t="str">
            <v>9201</v>
          </cell>
          <cell r="L5144" t="str">
            <v>RAW MATERIAL</v>
          </cell>
          <cell r="M5144" t="str">
            <v>920101</v>
          </cell>
          <cell r="N5144" t="str">
            <v>RAW MATERIAL</v>
          </cell>
        </row>
        <row r="5145">
          <cell r="C5145" t="str">
            <v>150001397</v>
          </cell>
          <cell r="D5145" t="str">
            <v>PASTA PC 8Y3</v>
          </cell>
          <cell r="E5145" t="str">
            <v>ZRMA</v>
          </cell>
          <cell r="F5145" t="str">
            <v>KG</v>
          </cell>
          <cell r="G5145" t="str">
            <v>9</v>
          </cell>
          <cell r="H5145" t="str">
            <v>OTHERS</v>
          </cell>
          <cell r="I5145" t="str">
            <v>92</v>
          </cell>
          <cell r="J5145" t="str">
            <v>RAW MATERIAL</v>
          </cell>
          <cell r="K5145" t="str">
            <v>9201</v>
          </cell>
          <cell r="L5145" t="str">
            <v>RAW MATERIAL</v>
          </cell>
          <cell r="M5145" t="str">
            <v>920101</v>
          </cell>
          <cell r="N5145" t="str">
            <v>RAW MATERIAL</v>
          </cell>
        </row>
        <row r="5146">
          <cell r="C5146" t="str">
            <v>150001398</v>
          </cell>
          <cell r="D5146" t="str">
            <v>PASTA PC 8Y4</v>
          </cell>
          <cell r="E5146" t="str">
            <v>ZRMA</v>
          </cell>
          <cell r="F5146" t="str">
            <v>KG</v>
          </cell>
          <cell r="G5146" t="str">
            <v>9</v>
          </cell>
          <cell r="H5146" t="str">
            <v>OTHERS</v>
          </cell>
          <cell r="I5146" t="str">
            <v>92</v>
          </cell>
          <cell r="J5146" t="str">
            <v>RAW MATERIAL</v>
          </cell>
          <cell r="K5146" t="str">
            <v>9201</v>
          </cell>
          <cell r="L5146" t="str">
            <v>RAW MATERIAL</v>
          </cell>
          <cell r="M5146" t="str">
            <v>920101</v>
          </cell>
          <cell r="N5146" t="str">
            <v>RAW MATERIAL</v>
          </cell>
        </row>
        <row r="5147">
          <cell r="C5147" t="str">
            <v>150001399</v>
          </cell>
          <cell r="D5147" t="str">
            <v>PASTA PC 8W1</v>
          </cell>
          <cell r="E5147" t="str">
            <v>ZRMA</v>
          </cell>
          <cell r="F5147" t="str">
            <v>KG</v>
          </cell>
          <cell r="G5147" t="str">
            <v>9</v>
          </cell>
          <cell r="H5147" t="str">
            <v>OTHERS</v>
          </cell>
          <cell r="I5147" t="str">
            <v>92</v>
          </cell>
          <cell r="J5147" t="str">
            <v>RAW MATERIAL</v>
          </cell>
          <cell r="K5147" t="str">
            <v>9201</v>
          </cell>
          <cell r="L5147" t="str">
            <v>RAW MATERIAL</v>
          </cell>
          <cell r="M5147" t="str">
            <v>920101</v>
          </cell>
          <cell r="N5147" t="str">
            <v>RAW MATERIAL</v>
          </cell>
        </row>
        <row r="5148">
          <cell r="C5148" t="str">
            <v>150001400</v>
          </cell>
          <cell r="D5148" t="str">
            <v>PASTA PC 8V1</v>
          </cell>
          <cell r="E5148" t="str">
            <v>ZRMA</v>
          </cell>
          <cell r="F5148" t="str">
            <v>KG</v>
          </cell>
          <cell r="G5148" t="str">
            <v>9</v>
          </cell>
          <cell r="H5148" t="str">
            <v>OTHERS</v>
          </cell>
          <cell r="I5148" t="str">
            <v>92</v>
          </cell>
          <cell r="J5148" t="str">
            <v>RAW MATERIAL</v>
          </cell>
          <cell r="K5148" t="str">
            <v>9201</v>
          </cell>
          <cell r="L5148" t="str">
            <v>RAW MATERIAL</v>
          </cell>
          <cell r="M5148" t="str">
            <v>920101</v>
          </cell>
          <cell r="N5148" t="str">
            <v>RAW MATERIAL</v>
          </cell>
        </row>
        <row r="5149">
          <cell r="C5149" t="str">
            <v>150001401</v>
          </cell>
          <cell r="D5149" t="str">
            <v>PASTA PC 8B1</v>
          </cell>
          <cell r="E5149" t="str">
            <v>ZRMA</v>
          </cell>
          <cell r="F5149" t="str">
            <v>KG</v>
          </cell>
          <cell r="G5149" t="str">
            <v>9</v>
          </cell>
          <cell r="H5149" t="str">
            <v>OTHERS</v>
          </cell>
          <cell r="I5149" t="str">
            <v>92</v>
          </cell>
          <cell r="J5149" t="str">
            <v>RAW MATERIAL</v>
          </cell>
          <cell r="K5149" t="str">
            <v>9201</v>
          </cell>
          <cell r="L5149" t="str">
            <v>RAW MATERIAL</v>
          </cell>
          <cell r="M5149" t="str">
            <v>920101</v>
          </cell>
          <cell r="N5149" t="str">
            <v>RAW MATERIAL</v>
          </cell>
        </row>
        <row r="5150">
          <cell r="C5150" t="str">
            <v>150001402</v>
          </cell>
          <cell r="D5150" t="str">
            <v>PASTA PC 8B2</v>
          </cell>
          <cell r="E5150" t="str">
            <v>ZRMA</v>
          </cell>
          <cell r="F5150" t="str">
            <v>KG</v>
          </cell>
          <cell r="G5150" t="str">
            <v>9</v>
          </cell>
          <cell r="H5150" t="str">
            <v>OTHERS</v>
          </cell>
          <cell r="I5150" t="str">
            <v>92</v>
          </cell>
          <cell r="J5150" t="str">
            <v>RAW MATERIAL</v>
          </cell>
          <cell r="K5150" t="str">
            <v>9201</v>
          </cell>
          <cell r="L5150" t="str">
            <v>RAW MATERIAL</v>
          </cell>
          <cell r="M5150" t="str">
            <v>920101</v>
          </cell>
          <cell r="N5150" t="str">
            <v>RAW MATERIAL</v>
          </cell>
        </row>
        <row r="5151">
          <cell r="C5151" t="str">
            <v>150001403</v>
          </cell>
          <cell r="D5151" t="str">
            <v>PASTA PC 8G1</v>
          </cell>
          <cell r="E5151" t="str">
            <v>ZRMA</v>
          </cell>
          <cell r="F5151" t="str">
            <v>KG</v>
          </cell>
          <cell r="G5151" t="str">
            <v>9</v>
          </cell>
          <cell r="H5151" t="str">
            <v>OTHERS</v>
          </cell>
          <cell r="I5151" t="str">
            <v>92</v>
          </cell>
          <cell r="J5151" t="str">
            <v>RAW MATERIAL</v>
          </cell>
          <cell r="K5151" t="str">
            <v>9201</v>
          </cell>
          <cell r="L5151" t="str">
            <v>RAW MATERIAL</v>
          </cell>
          <cell r="M5151" t="str">
            <v>920101</v>
          </cell>
          <cell r="N5151" t="str">
            <v>RAW MATERIAL</v>
          </cell>
        </row>
        <row r="5152">
          <cell r="C5152" t="str">
            <v>150001404</v>
          </cell>
          <cell r="D5152" t="str">
            <v>DST 1000 R VN</v>
          </cell>
          <cell r="E5152" t="str">
            <v>ZRMA</v>
          </cell>
          <cell r="F5152" t="str">
            <v>KG</v>
          </cell>
          <cell r="G5152" t="str">
            <v>9</v>
          </cell>
          <cell r="H5152" t="str">
            <v>OTHERS</v>
          </cell>
          <cell r="I5152" t="str">
            <v>92</v>
          </cell>
          <cell r="J5152" t="str">
            <v>RAW MATERIAL</v>
          </cell>
          <cell r="K5152" t="str">
            <v>9201</v>
          </cell>
          <cell r="L5152" t="str">
            <v>RAW MATERIAL</v>
          </cell>
          <cell r="M5152" t="str">
            <v>920101</v>
          </cell>
          <cell r="N5152" t="str">
            <v>RAW MATERIAL</v>
          </cell>
        </row>
        <row r="5153">
          <cell r="C5153" t="str">
            <v>150001405</v>
          </cell>
          <cell r="D5153" t="str">
            <v>DZ 20272 VN</v>
          </cell>
          <cell r="E5153" t="str">
            <v>ZRMA</v>
          </cell>
          <cell r="F5153" t="str">
            <v>KG</v>
          </cell>
          <cell r="G5153" t="str">
            <v>9</v>
          </cell>
          <cell r="H5153" t="str">
            <v>OTHERS</v>
          </cell>
          <cell r="I5153" t="str">
            <v>92</v>
          </cell>
          <cell r="J5153" t="str">
            <v>RAW MATERIAL</v>
          </cell>
          <cell r="K5153" t="str">
            <v>9201</v>
          </cell>
          <cell r="L5153" t="str">
            <v>RAW MATERIAL</v>
          </cell>
          <cell r="M5153" t="str">
            <v>920101</v>
          </cell>
          <cell r="N5153" t="str">
            <v>RAW MATERIAL</v>
          </cell>
        </row>
        <row r="5154">
          <cell r="C5154" t="str">
            <v>150001406</v>
          </cell>
          <cell r="D5154" t="str">
            <v>DZ 300 BE VN</v>
          </cell>
          <cell r="E5154" t="str">
            <v>ZRMA</v>
          </cell>
          <cell r="F5154" t="str">
            <v>KG</v>
          </cell>
          <cell r="G5154" t="str">
            <v>9</v>
          </cell>
          <cell r="H5154" t="str">
            <v>OTHERS</v>
          </cell>
          <cell r="I5154" t="str">
            <v>92</v>
          </cell>
          <cell r="J5154" t="str">
            <v>RAW MATERIAL</v>
          </cell>
          <cell r="K5154" t="str">
            <v>9201</v>
          </cell>
          <cell r="L5154" t="str">
            <v>RAW MATERIAL</v>
          </cell>
          <cell r="M5154" t="str">
            <v>920101</v>
          </cell>
          <cell r="N5154" t="str">
            <v>RAW MATERIAL</v>
          </cell>
        </row>
        <row r="5155">
          <cell r="C5155" t="str">
            <v>150001407</v>
          </cell>
          <cell r="D5155" t="str">
            <v>DST 90 YRL VN</v>
          </cell>
          <cell r="E5155" t="str">
            <v>ZRMA</v>
          </cell>
          <cell r="F5155" t="str">
            <v>KG</v>
          </cell>
          <cell r="G5155" t="str">
            <v>9</v>
          </cell>
          <cell r="H5155" t="str">
            <v>OTHERS</v>
          </cell>
          <cell r="I5155" t="str">
            <v>92</v>
          </cell>
          <cell r="J5155" t="str">
            <v>RAW MATERIAL</v>
          </cell>
          <cell r="K5155" t="str">
            <v>9201</v>
          </cell>
          <cell r="L5155" t="str">
            <v>RAW MATERIAL</v>
          </cell>
          <cell r="M5155" t="str">
            <v>920101</v>
          </cell>
          <cell r="N5155" t="str">
            <v>RAW MATERIAL</v>
          </cell>
        </row>
        <row r="5156">
          <cell r="C5156" t="str">
            <v>150001408</v>
          </cell>
          <cell r="D5156" t="str">
            <v>RESIN UVS-20601 CLEAR BASE</v>
          </cell>
          <cell r="E5156" t="str">
            <v>ZRMA</v>
          </cell>
          <cell r="F5156" t="str">
            <v>KG</v>
          </cell>
          <cell r="G5156" t="str">
            <v>9</v>
          </cell>
          <cell r="H5156" t="str">
            <v>OTHERS</v>
          </cell>
          <cell r="I5156" t="str">
            <v>92</v>
          </cell>
          <cell r="J5156" t="str">
            <v>RAW MATERIAL</v>
          </cell>
          <cell r="K5156" t="str">
            <v>9201</v>
          </cell>
          <cell r="L5156" t="str">
            <v>RAW MATERIAL</v>
          </cell>
          <cell r="M5156" t="str">
            <v>920101</v>
          </cell>
          <cell r="N5156" t="str">
            <v>RAW MATERIAL</v>
          </cell>
        </row>
        <row r="5157">
          <cell r="C5157" t="str">
            <v>150001409</v>
          </cell>
          <cell r="D5157" t="str">
            <v>NC COTTON 1/2 VN</v>
          </cell>
          <cell r="E5157" t="str">
            <v>ZRMA</v>
          </cell>
          <cell r="F5157" t="str">
            <v>KG</v>
          </cell>
          <cell r="G5157" t="str">
            <v>9</v>
          </cell>
          <cell r="H5157" t="str">
            <v>OTHERS</v>
          </cell>
          <cell r="I5157" t="str">
            <v>92</v>
          </cell>
          <cell r="J5157" t="str">
            <v>RAW MATERIAL</v>
          </cell>
          <cell r="K5157" t="str">
            <v>9201</v>
          </cell>
          <cell r="L5157" t="str">
            <v>RAW MATERIAL</v>
          </cell>
          <cell r="M5157" t="str">
            <v>920101</v>
          </cell>
          <cell r="N5157" t="str">
            <v>RAW MATERIAL</v>
          </cell>
        </row>
        <row r="5158">
          <cell r="C5158" t="str">
            <v>150001410</v>
          </cell>
          <cell r="D5158" t="str">
            <v>PE 01030 MC</v>
          </cell>
          <cell r="E5158" t="str">
            <v>ZRMA</v>
          </cell>
          <cell r="F5158" t="str">
            <v>KG</v>
          </cell>
          <cell r="G5158" t="str">
            <v>9</v>
          </cell>
          <cell r="H5158" t="str">
            <v>OTHERS</v>
          </cell>
          <cell r="I5158" t="str">
            <v>92</v>
          </cell>
          <cell r="J5158" t="str">
            <v>RAW MATERIAL</v>
          </cell>
          <cell r="K5158" t="str">
            <v>9201</v>
          </cell>
          <cell r="L5158" t="str">
            <v>RAW MATERIAL</v>
          </cell>
          <cell r="M5158" t="str">
            <v>920101</v>
          </cell>
          <cell r="N5158" t="str">
            <v>RAW MATERIAL</v>
          </cell>
        </row>
        <row r="5159">
          <cell r="C5159" t="str">
            <v>150001411</v>
          </cell>
          <cell r="D5159" t="str">
            <v>AD 30 E 25</v>
          </cell>
          <cell r="E5159" t="str">
            <v>ZRMA</v>
          </cell>
          <cell r="F5159" t="str">
            <v>KG</v>
          </cell>
          <cell r="G5159" t="str">
            <v>9</v>
          </cell>
          <cell r="H5159" t="str">
            <v>OTHERS</v>
          </cell>
          <cell r="I5159" t="str">
            <v>92</v>
          </cell>
          <cell r="J5159" t="str">
            <v>RAW MATERIAL</v>
          </cell>
          <cell r="K5159" t="str">
            <v>9201</v>
          </cell>
          <cell r="L5159" t="str">
            <v>RAW MATERIAL</v>
          </cell>
          <cell r="M5159" t="str">
            <v>920101</v>
          </cell>
          <cell r="N5159" t="str">
            <v>RAW MATERIAL</v>
          </cell>
        </row>
        <row r="5160">
          <cell r="C5160" t="str">
            <v>150001412</v>
          </cell>
          <cell r="D5160" t="str">
            <v>PE 00 BSP</v>
          </cell>
          <cell r="E5160" t="str">
            <v>ZRMA</v>
          </cell>
          <cell r="F5160" t="str">
            <v>KG</v>
          </cell>
          <cell r="G5160" t="str">
            <v>9</v>
          </cell>
          <cell r="H5160" t="str">
            <v>OTHERS</v>
          </cell>
          <cell r="I5160" t="str">
            <v>92</v>
          </cell>
          <cell r="J5160" t="str">
            <v>RAW MATERIAL</v>
          </cell>
          <cell r="K5160" t="str">
            <v>9201</v>
          </cell>
          <cell r="L5160" t="str">
            <v>RAW MATERIAL</v>
          </cell>
          <cell r="M5160" t="str">
            <v>920101</v>
          </cell>
          <cell r="N5160" t="str">
            <v>RAW MATERIAL</v>
          </cell>
        </row>
        <row r="5161">
          <cell r="C5161" t="str">
            <v>150001413</v>
          </cell>
          <cell r="D5161" t="str">
            <v>SRA 91186</v>
          </cell>
          <cell r="E5161" t="str">
            <v>ZRMA</v>
          </cell>
          <cell r="F5161" t="str">
            <v>KG</v>
          </cell>
          <cell r="G5161" t="str">
            <v>9</v>
          </cell>
          <cell r="H5161" t="str">
            <v>OTHERS</v>
          </cell>
          <cell r="I5161" t="str">
            <v>92</v>
          </cell>
          <cell r="J5161" t="str">
            <v>RAW MATERIAL</v>
          </cell>
          <cell r="K5161" t="str">
            <v>9201</v>
          </cell>
          <cell r="L5161" t="str">
            <v>RAW MATERIAL</v>
          </cell>
          <cell r="M5161" t="str">
            <v>920101</v>
          </cell>
          <cell r="N5161" t="str">
            <v>RAW MATERIAL</v>
          </cell>
        </row>
        <row r="5162">
          <cell r="C5162" t="str">
            <v>150001414</v>
          </cell>
          <cell r="D5162" t="str">
            <v>SRB 4 H</v>
          </cell>
          <cell r="E5162" t="str">
            <v>ZRMA</v>
          </cell>
          <cell r="F5162" t="str">
            <v>KG</v>
          </cell>
          <cell r="G5162" t="str">
            <v>9</v>
          </cell>
          <cell r="H5162" t="str">
            <v>OTHERS</v>
          </cell>
          <cell r="I5162" t="str">
            <v>92</v>
          </cell>
          <cell r="J5162" t="str">
            <v>RAW MATERIAL</v>
          </cell>
          <cell r="K5162" t="str">
            <v>9201</v>
          </cell>
          <cell r="L5162" t="str">
            <v>RAW MATERIAL</v>
          </cell>
          <cell r="M5162" t="str">
            <v>920101</v>
          </cell>
          <cell r="N5162" t="str">
            <v>RAW MATERIAL</v>
          </cell>
        </row>
        <row r="5163">
          <cell r="C5163" t="str">
            <v>150001415</v>
          </cell>
          <cell r="D5163" t="str">
            <v>RE 0351</v>
          </cell>
          <cell r="E5163" t="str">
            <v>ZRMA</v>
          </cell>
          <cell r="F5163" t="str">
            <v>KG</v>
          </cell>
          <cell r="G5163" t="str">
            <v>9</v>
          </cell>
          <cell r="H5163" t="str">
            <v>OTHERS</v>
          </cell>
          <cell r="I5163" t="str">
            <v>92</v>
          </cell>
          <cell r="J5163" t="str">
            <v>RAW MATERIAL</v>
          </cell>
          <cell r="K5163" t="str">
            <v>9201</v>
          </cell>
          <cell r="L5163" t="str">
            <v>RAW MATERIAL</v>
          </cell>
          <cell r="M5163" t="str">
            <v>920101</v>
          </cell>
          <cell r="N5163" t="str">
            <v>RAW MATERIAL</v>
          </cell>
        </row>
        <row r="5164">
          <cell r="C5164" t="str">
            <v>150001416</v>
          </cell>
          <cell r="D5164" t="str">
            <v>RD 90364</v>
          </cell>
          <cell r="E5164" t="str">
            <v>ZRMA</v>
          </cell>
          <cell r="F5164" t="str">
            <v>KG</v>
          </cell>
          <cell r="G5164" t="str">
            <v>9</v>
          </cell>
          <cell r="H5164" t="str">
            <v>OTHERS</v>
          </cell>
          <cell r="I5164" t="str">
            <v>92</v>
          </cell>
          <cell r="J5164" t="str">
            <v>RAW MATERIAL</v>
          </cell>
          <cell r="K5164" t="str">
            <v>9201</v>
          </cell>
          <cell r="L5164" t="str">
            <v>RAW MATERIAL</v>
          </cell>
          <cell r="M5164" t="str">
            <v>920101</v>
          </cell>
          <cell r="N5164" t="str">
            <v>RAW MATERIAL</v>
          </cell>
        </row>
        <row r="5165">
          <cell r="C5165" t="str">
            <v>150001417</v>
          </cell>
          <cell r="D5165" t="str">
            <v>RESIN 82-4020 UE AF URT WHITE A</v>
          </cell>
          <cell r="E5165" t="str">
            <v>ZRMA</v>
          </cell>
          <cell r="F5165" t="str">
            <v>KG</v>
          </cell>
          <cell r="G5165" t="str">
            <v>9</v>
          </cell>
          <cell r="H5165" t="str">
            <v>OTHERS</v>
          </cell>
          <cell r="I5165" t="str">
            <v>92</v>
          </cell>
          <cell r="J5165" t="str">
            <v>RAW MATERIAL</v>
          </cell>
          <cell r="K5165" t="str">
            <v>9201</v>
          </cell>
          <cell r="L5165" t="str">
            <v>RAW MATERIAL</v>
          </cell>
          <cell r="M5165" t="str">
            <v>920101</v>
          </cell>
          <cell r="N5165" t="str">
            <v>RAW MATERIAL</v>
          </cell>
        </row>
        <row r="5166">
          <cell r="C5166" t="str">
            <v>150001418</v>
          </cell>
          <cell r="D5166" t="str">
            <v>REM 30510 VN</v>
          </cell>
          <cell r="E5166" t="str">
            <v>ZRMA</v>
          </cell>
          <cell r="F5166" t="str">
            <v>KG</v>
          </cell>
          <cell r="G5166" t="str">
            <v>9</v>
          </cell>
          <cell r="H5166" t="str">
            <v>OTHERS</v>
          </cell>
          <cell r="I5166" t="str">
            <v>92</v>
          </cell>
          <cell r="J5166" t="str">
            <v>RAW MATERIAL</v>
          </cell>
          <cell r="K5166" t="str">
            <v>9201</v>
          </cell>
          <cell r="L5166" t="str">
            <v>RAW MATERIAL</v>
          </cell>
          <cell r="M5166" t="str">
            <v>920101</v>
          </cell>
          <cell r="N5166" t="str">
            <v>RAW MATERIAL</v>
          </cell>
        </row>
        <row r="5167">
          <cell r="C5167" t="str">
            <v>150001419</v>
          </cell>
          <cell r="D5167" t="str">
            <v>A 1000 VN BASE A</v>
          </cell>
          <cell r="E5167" t="str">
            <v>ZRMA</v>
          </cell>
          <cell r="F5167" t="str">
            <v>KG</v>
          </cell>
          <cell r="G5167" t="str">
            <v>9</v>
          </cell>
          <cell r="H5167" t="str">
            <v>OTHERS</v>
          </cell>
          <cell r="I5167" t="str">
            <v>92</v>
          </cell>
          <cell r="J5167" t="str">
            <v>RAW MATERIAL</v>
          </cell>
          <cell r="K5167" t="str">
            <v>9201</v>
          </cell>
          <cell r="L5167" t="str">
            <v>RAW MATERIAL</v>
          </cell>
          <cell r="M5167" t="str">
            <v>920101</v>
          </cell>
          <cell r="N5167" t="str">
            <v>RAW MATERIAL</v>
          </cell>
        </row>
        <row r="5168">
          <cell r="C5168" t="str">
            <v>150001420</v>
          </cell>
          <cell r="D5168" t="str">
            <v>A 1000 VN BASE B</v>
          </cell>
          <cell r="E5168" t="str">
            <v>ZRMA</v>
          </cell>
          <cell r="F5168" t="str">
            <v>KG</v>
          </cell>
          <cell r="G5168" t="str">
            <v>9</v>
          </cell>
          <cell r="H5168" t="str">
            <v>OTHERS</v>
          </cell>
          <cell r="I5168" t="str">
            <v>92</v>
          </cell>
          <cell r="J5168" t="str">
            <v>RAW MATERIAL</v>
          </cell>
          <cell r="K5168" t="str">
            <v>9201</v>
          </cell>
          <cell r="L5168" t="str">
            <v>RAW MATERIAL</v>
          </cell>
          <cell r="M5168" t="str">
            <v>920101</v>
          </cell>
          <cell r="N5168" t="str">
            <v>RAW MATERIAL</v>
          </cell>
        </row>
        <row r="5169">
          <cell r="C5169" t="str">
            <v>150001421</v>
          </cell>
          <cell r="D5169" t="str">
            <v>A 1000 VN BASE D</v>
          </cell>
          <cell r="E5169" t="str">
            <v>ZRMA</v>
          </cell>
          <cell r="F5169" t="str">
            <v>KG</v>
          </cell>
          <cell r="G5169" t="str">
            <v>9</v>
          </cell>
          <cell r="H5169" t="str">
            <v>OTHERS</v>
          </cell>
          <cell r="I5169" t="str">
            <v>92</v>
          </cell>
          <cell r="J5169" t="str">
            <v>RAW MATERIAL</v>
          </cell>
          <cell r="K5169" t="str">
            <v>9201</v>
          </cell>
          <cell r="L5169" t="str">
            <v>RAW MATERIAL</v>
          </cell>
          <cell r="M5169" t="str">
            <v>920101</v>
          </cell>
          <cell r="N5169" t="str">
            <v>RAW MATERIAL</v>
          </cell>
        </row>
        <row r="5170">
          <cell r="C5170" t="str">
            <v>150001422</v>
          </cell>
          <cell r="D5170" t="str">
            <v>AD 7500S VN</v>
          </cell>
          <cell r="E5170" t="str">
            <v>ZRMA</v>
          </cell>
          <cell r="F5170" t="str">
            <v>KG</v>
          </cell>
          <cell r="G5170" t="str">
            <v>9</v>
          </cell>
          <cell r="H5170" t="str">
            <v>OTHERS</v>
          </cell>
          <cell r="I5170" t="str">
            <v>92</v>
          </cell>
          <cell r="J5170" t="str">
            <v>RAW MATERIAL</v>
          </cell>
          <cell r="K5170" t="str">
            <v>9201</v>
          </cell>
          <cell r="L5170" t="str">
            <v>RAW MATERIAL</v>
          </cell>
          <cell r="M5170" t="str">
            <v>920101</v>
          </cell>
          <cell r="N5170" t="str">
            <v>RAW MATERIAL</v>
          </cell>
        </row>
        <row r="5171">
          <cell r="C5171" t="str">
            <v>150001423</v>
          </cell>
          <cell r="D5171" t="str">
            <v>PA 95599 VN</v>
          </cell>
          <cell r="E5171" t="str">
            <v>ZRMA</v>
          </cell>
          <cell r="F5171" t="str">
            <v>KG</v>
          </cell>
          <cell r="G5171" t="str">
            <v>9</v>
          </cell>
          <cell r="H5171" t="str">
            <v>OTHERS</v>
          </cell>
          <cell r="I5171" t="str">
            <v>92</v>
          </cell>
          <cell r="J5171" t="str">
            <v>RAW MATERIAL</v>
          </cell>
          <cell r="K5171" t="str">
            <v>9201</v>
          </cell>
          <cell r="L5171" t="str">
            <v>RAW MATERIAL</v>
          </cell>
          <cell r="M5171" t="str">
            <v>920101</v>
          </cell>
          <cell r="N5171" t="str">
            <v>RAW MATERIAL</v>
          </cell>
        </row>
        <row r="5172">
          <cell r="C5172" t="str">
            <v>150001424</v>
          </cell>
          <cell r="D5172" t="str">
            <v>AD 70904 S VN</v>
          </cell>
          <cell r="E5172" t="str">
            <v>ZRMA</v>
          </cell>
          <cell r="F5172" t="str">
            <v>KG</v>
          </cell>
          <cell r="G5172" t="str">
            <v>9</v>
          </cell>
          <cell r="H5172" t="str">
            <v>OTHERS</v>
          </cell>
          <cell r="I5172" t="str">
            <v>92</v>
          </cell>
          <cell r="J5172" t="str">
            <v>RAW MATERIAL</v>
          </cell>
          <cell r="K5172" t="str">
            <v>9201</v>
          </cell>
          <cell r="L5172" t="str">
            <v>RAW MATERIAL</v>
          </cell>
          <cell r="M5172" t="str">
            <v>920101</v>
          </cell>
          <cell r="N5172" t="str">
            <v>RAW MATERIAL</v>
          </cell>
        </row>
        <row r="5173">
          <cell r="C5173" t="str">
            <v>150001425</v>
          </cell>
          <cell r="D5173" t="str">
            <v>AD 00819</v>
          </cell>
          <cell r="E5173" t="str">
            <v>ZRMA</v>
          </cell>
          <cell r="F5173" t="str">
            <v>KG</v>
          </cell>
          <cell r="G5173" t="str">
            <v>9</v>
          </cell>
          <cell r="H5173" t="str">
            <v>OTHERS</v>
          </cell>
          <cell r="I5173" t="str">
            <v>92</v>
          </cell>
          <cell r="J5173" t="str">
            <v>RAW MATERIAL</v>
          </cell>
          <cell r="K5173" t="str">
            <v>9201</v>
          </cell>
          <cell r="L5173" t="str">
            <v>RAW MATERIAL</v>
          </cell>
          <cell r="M5173" t="str">
            <v>920101</v>
          </cell>
          <cell r="N5173" t="str">
            <v>RAW MATERIAL</v>
          </cell>
        </row>
        <row r="5174">
          <cell r="C5174" t="str">
            <v>150001426</v>
          </cell>
          <cell r="D5174" t="str">
            <v>L AD 05811</v>
          </cell>
          <cell r="E5174" t="str">
            <v>ZRMA</v>
          </cell>
          <cell r="F5174" t="str">
            <v>KG</v>
          </cell>
          <cell r="G5174" t="str">
            <v>9</v>
          </cell>
          <cell r="H5174" t="str">
            <v>OTHERS</v>
          </cell>
          <cell r="I5174" t="str">
            <v>92</v>
          </cell>
          <cell r="J5174" t="str">
            <v>RAW MATERIAL</v>
          </cell>
          <cell r="K5174" t="str">
            <v>9201</v>
          </cell>
          <cell r="L5174" t="str">
            <v>RAW MATERIAL</v>
          </cell>
          <cell r="M5174" t="str">
            <v>920101</v>
          </cell>
          <cell r="N5174" t="str">
            <v>RAW MATERIAL</v>
          </cell>
        </row>
        <row r="5175">
          <cell r="C5175" t="str">
            <v>150001427</v>
          </cell>
          <cell r="D5175" t="str">
            <v>#NUAD 00819 VN</v>
          </cell>
          <cell r="E5175" t="str">
            <v>ZRMA</v>
          </cell>
          <cell r="F5175" t="str">
            <v>KG</v>
          </cell>
          <cell r="G5175" t="str">
            <v>9</v>
          </cell>
          <cell r="H5175" t="str">
            <v>OTHERS</v>
          </cell>
          <cell r="I5175" t="str">
            <v>92</v>
          </cell>
          <cell r="J5175" t="str">
            <v>RAW MATERIAL</v>
          </cell>
          <cell r="K5175" t="str">
            <v>9201</v>
          </cell>
          <cell r="L5175" t="str">
            <v>RAW MATERIAL</v>
          </cell>
          <cell r="M5175" t="str">
            <v>920101</v>
          </cell>
          <cell r="N5175" t="str">
            <v>RAW MATERIAL</v>
          </cell>
        </row>
        <row r="5176">
          <cell r="C5176" t="str">
            <v>150001428</v>
          </cell>
          <cell r="D5176" t="str">
            <v>AD 00819 VN</v>
          </cell>
          <cell r="E5176" t="str">
            <v>ZRMA</v>
          </cell>
          <cell r="F5176" t="str">
            <v>KG</v>
          </cell>
          <cell r="G5176" t="str">
            <v>9</v>
          </cell>
          <cell r="H5176" t="str">
            <v>OTHERS</v>
          </cell>
          <cell r="I5176" t="str">
            <v>92</v>
          </cell>
          <cell r="J5176" t="str">
            <v>RAW MATERIAL</v>
          </cell>
          <cell r="K5176" t="str">
            <v>9201</v>
          </cell>
          <cell r="L5176" t="str">
            <v>RAW MATERIAL</v>
          </cell>
          <cell r="M5176" t="str">
            <v>920101</v>
          </cell>
          <cell r="N5176" t="str">
            <v>RAW MATERIAL</v>
          </cell>
        </row>
        <row r="5177">
          <cell r="C5177" t="str">
            <v>150001429</v>
          </cell>
          <cell r="D5177" t="str">
            <v>PO 50 NCF VN</v>
          </cell>
          <cell r="E5177" t="str">
            <v>ZRMA</v>
          </cell>
          <cell r="F5177" t="str">
            <v>KG</v>
          </cell>
          <cell r="G5177" t="str">
            <v>9</v>
          </cell>
          <cell r="H5177" t="str">
            <v>OTHERS</v>
          </cell>
          <cell r="I5177" t="str">
            <v>92</v>
          </cell>
          <cell r="J5177" t="str">
            <v>RAW MATERIAL</v>
          </cell>
          <cell r="K5177" t="str">
            <v>9201</v>
          </cell>
          <cell r="L5177" t="str">
            <v>RAW MATERIAL</v>
          </cell>
          <cell r="M5177" t="str">
            <v>920101</v>
          </cell>
          <cell r="N5177" t="str">
            <v>RAW MATERIAL</v>
          </cell>
        </row>
        <row r="5178">
          <cell r="C5178" t="str">
            <v>150001430</v>
          </cell>
          <cell r="D5178" t="str">
            <v>AD PD TPO VN</v>
          </cell>
          <cell r="E5178" t="str">
            <v>ZRMA</v>
          </cell>
          <cell r="F5178" t="str">
            <v>KG</v>
          </cell>
          <cell r="G5178" t="str">
            <v>9</v>
          </cell>
          <cell r="H5178" t="str">
            <v>OTHERS</v>
          </cell>
          <cell r="I5178" t="str">
            <v>92</v>
          </cell>
          <cell r="J5178" t="str">
            <v>RAW MATERIAL</v>
          </cell>
          <cell r="K5178" t="str">
            <v>9201</v>
          </cell>
          <cell r="L5178" t="str">
            <v>RAW MATERIAL</v>
          </cell>
          <cell r="M5178" t="str">
            <v>920101</v>
          </cell>
          <cell r="N5178" t="str">
            <v>RAW MATERIAL</v>
          </cell>
        </row>
        <row r="5179">
          <cell r="C5179" t="str">
            <v>160000015</v>
          </cell>
          <cell r="D5179" t="str">
            <v>CAN &amp; CAP 4 LT WHITE BM</v>
          </cell>
          <cell r="E5179" t="str">
            <v>ZPCK</v>
          </cell>
          <cell r="F5179" t="str">
            <v>PC</v>
          </cell>
          <cell r="G5179" t="str">
            <v>3</v>
          </cell>
          <cell r="H5179" t="str">
            <v>TRADING</v>
          </cell>
          <cell r="I5179" t="str">
            <v>36</v>
          </cell>
          <cell r="J5179" t="str">
            <v>PACKAGING</v>
          </cell>
          <cell r="K5179" t="str">
            <v>3601</v>
          </cell>
          <cell r="L5179" t="str">
            <v>CAN</v>
          </cell>
          <cell r="M5179" t="str">
            <v>360101</v>
          </cell>
          <cell r="N5179" t="str">
            <v>CAN MTL</v>
          </cell>
        </row>
        <row r="5180">
          <cell r="C5180" t="str">
            <v>160000027</v>
          </cell>
          <cell r="D5180" t="str">
            <v>CAN &amp; CAP 1 LT WHITE BM</v>
          </cell>
          <cell r="E5180" t="str">
            <v>ZPCK</v>
          </cell>
          <cell r="F5180" t="str">
            <v>PC</v>
          </cell>
          <cell r="G5180" t="str">
            <v>3</v>
          </cell>
          <cell r="H5180" t="str">
            <v>TRADING</v>
          </cell>
          <cell r="I5180" t="str">
            <v>36</v>
          </cell>
          <cell r="J5180" t="str">
            <v>PACKAGING</v>
          </cell>
          <cell r="K5180" t="str">
            <v>3601</v>
          </cell>
          <cell r="L5180" t="str">
            <v>CAN</v>
          </cell>
          <cell r="M5180" t="str">
            <v>360101</v>
          </cell>
          <cell r="N5180" t="str">
            <v>CAN MTL</v>
          </cell>
        </row>
        <row r="5181">
          <cell r="C5181" t="str">
            <v>160000183</v>
          </cell>
          <cell r="D5181" t="str">
            <v>CAP 1 LT PURPLE</v>
          </cell>
          <cell r="E5181" t="str">
            <v>ZPCK</v>
          </cell>
          <cell r="F5181" t="str">
            <v>PC</v>
          </cell>
          <cell r="G5181" t="str">
            <v>3</v>
          </cell>
          <cell r="H5181" t="str">
            <v>TRADING</v>
          </cell>
          <cell r="I5181" t="str">
            <v>36</v>
          </cell>
          <cell r="J5181" t="str">
            <v>PACKAGING</v>
          </cell>
          <cell r="K5181" t="str">
            <v>3601</v>
          </cell>
          <cell r="L5181" t="str">
            <v>CAN</v>
          </cell>
          <cell r="M5181" t="str">
            <v>360101</v>
          </cell>
          <cell r="N5181" t="str">
            <v>CAN MTL</v>
          </cell>
        </row>
        <row r="5182">
          <cell r="C5182" t="str">
            <v>160000184</v>
          </cell>
          <cell r="D5182" t="str">
            <v>LB 0.8 LT DECORSHIELD DW-500</v>
          </cell>
          <cell r="E5182" t="str">
            <v>ZPCK</v>
          </cell>
          <cell r="F5182" t="str">
            <v>PC</v>
          </cell>
          <cell r="G5182" t="str">
            <v>3</v>
          </cell>
          <cell r="H5182" t="str">
            <v>TRADING</v>
          </cell>
          <cell r="I5182" t="str">
            <v>36</v>
          </cell>
          <cell r="J5182" t="str">
            <v>PACKAGING</v>
          </cell>
          <cell r="K5182" t="str">
            <v>3604</v>
          </cell>
          <cell r="L5182" t="str">
            <v>LABEL</v>
          </cell>
          <cell r="M5182" t="str">
            <v>360401</v>
          </cell>
          <cell r="N5182" t="str">
            <v>LABEL</v>
          </cell>
        </row>
        <row r="5183">
          <cell r="C5183" t="str">
            <v>160000185</v>
          </cell>
          <cell r="D5183" t="str">
            <v>LB 0.8 LT DECORLOTUS DI-400</v>
          </cell>
          <cell r="E5183" t="str">
            <v>ZPCK</v>
          </cell>
          <cell r="F5183" t="str">
            <v>PC</v>
          </cell>
          <cell r="G5183" t="str">
            <v>3</v>
          </cell>
          <cell r="H5183" t="str">
            <v>TRADING</v>
          </cell>
          <cell r="I5183" t="str">
            <v>36</v>
          </cell>
          <cell r="J5183" t="str">
            <v>PACKAGING</v>
          </cell>
          <cell r="K5183" t="str">
            <v>3604</v>
          </cell>
          <cell r="L5183" t="str">
            <v>LABEL</v>
          </cell>
          <cell r="M5183" t="str">
            <v>360401</v>
          </cell>
          <cell r="N5183" t="str">
            <v>LABEL</v>
          </cell>
        </row>
        <row r="5184">
          <cell r="C5184" t="str">
            <v>160000186</v>
          </cell>
          <cell r="D5184" t="str">
            <v>CAN &amp; CAP 5 LT DECORSHIELD DW-500</v>
          </cell>
          <cell r="E5184" t="str">
            <v>ZPCK</v>
          </cell>
          <cell r="F5184" t="str">
            <v>PC</v>
          </cell>
          <cell r="G5184" t="str">
            <v>3</v>
          </cell>
          <cell r="H5184" t="str">
            <v>TRADING</v>
          </cell>
          <cell r="I5184" t="str">
            <v>36</v>
          </cell>
          <cell r="J5184" t="str">
            <v>PACKAGING</v>
          </cell>
          <cell r="K5184" t="str">
            <v>3601</v>
          </cell>
          <cell r="L5184" t="str">
            <v>CAN</v>
          </cell>
          <cell r="M5184" t="str">
            <v>360102</v>
          </cell>
          <cell r="N5184" t="str">
            <v>CAN PLS</v>
          </cell>
        </row>
        <row r="5185">
          <cell r="C5185" t="str">
            <v>160000187</v>
          </cell>
          <cell r="D5185" t="str">
            <v>CAN &amp; CAP 5 LT DECORLOTUS DI-400</v>
          </cell>
          <cell r="E5185" t="str">
            <v>ZPCK</v>
          </cell>
          <cell r="F5185" t="str">
            <v>PC</v>
          </cell>
          <cell r="G5185" t="str">
            <v>3</v>
          </cell>
          <cell r="H5185" t="str">
            <v>TRADING</v>
          </cell>
          <cell r="I5185" t="str">
            <v>36</v>
          </cell>
          <cell r="J5185" t="str">
            <v>PACKAGING</v>
          </cell>
          <cell r="K5185" t="str">
            <v>3601</v>
          </cell>
          <cell r="L5185" t="str">
            <v>CAN</v>
          </cell>
          <cell r="M5185" t="str">
            <v>360102</v>
          </cell>
          <cell r="N5185" t="str">
            <v>CAN PLS</v>
          </cell>
        </row>
        <row r="5186">
          <cell r="C5186" t="str">
            <v>160000188</v>
          </cell>
          <cell r="D5186" t="str">
            <v>CAN &amp; CAP 5 LT DECORMAX DM-4010</v>
          </cell>
          <cell r="E5186" t="str">
            <v>ZPCK</v>
          </cell>
          <cell r="F5186" t="str">
            <v>PC</v>
          </cell>
          <cell r="G5186" t="str">
            <v>3</v>
          </cell>
          <cell r="H5186" t="str">
            <v>TRADING</v>
          </cell>
          <cell r="I5186" t="str">
            <v>36</v>
          </cell>
          <cell r="J5186" t="str">
            <v>PACKAGING</v>
          </cell>
          <cell r="K5186" t="str">
            <v>3601</v>
          </cell>
          <cell r="L5186" t="str">
            <v>CAN</v>
          </cell>
          <cell r="M5186" t="str">
            <v>360102</v>
          </cell>
          <cell r="N5186" t="str">
            <v>CAN PLS</v>
          </cell>
        </row>
        <row r="5187">
          <cell r="C5187" t="str">
            <v>160000189</v>
          </cell>
          <cell r="D5187" t="str">
            <v>CAN &amp; CAP 5 LT PRIMER AR-300</v>
          </cell>
          <cell r="E5187" t="str">
            <v>ZPCK</v>
          </cell>
          <cell r="F5187" t="str">
            <v>PC</v>
          </cell>
          <cell r="G5187" t="str">
            <v>3</v>
          </cell>
          <cell r="H5187" t="str">
            <v>TRADING</v>
          </cell>
          <cell r="I5187" t="str">
            <v>36</v>
          </cell>
          <cell r="J5187" t="str">
            <v>PACKAGING</v>
          </cell>
          <cell r="K5187" t="str">
            <v>3601</v>
          </cell>
          <cell r="L5187" t="str">
            <v>CAN</v>
          </cell>
          <cell r="M5187" t="str">
            <v>360102</v>
          </cell>
          <cell r="N5187" t="str">
            <v>CAN PLS</v>
          </cell>
        </row>
        <row r="5188">
          <cell r="C5188" t="str">
            <v>160000190</v>
          </cell>
          <cell r="D5188" t="str">
            <v>CARTON BOX 5 LT WALLPAINT</v>
          </cell>
          <cell r="E5188" t="str">
            <v>ZPCK</v>
          </cell>
          <cell r="F5188" t="str">
            <v>PC</v>
          </cell>
          <cell r="G5188" t="str">
            <v>3</v>
          </cell>
          <cell r="H5188" t="str">
            <v>TRADING</v>
          </cell>
          <cell r="I5188" t="str">
            <v>36</v>
          </cell>
          <cell r="J5188" t="str">
            <v>PACKAGING</v>
          </cell>
          <cell r="K5188" t="str">
            <v>3603</v>
          </cell>
          <cell r="L5188" t="str">
            <v>BOX</v>
          </cell>
          <cell r="M5188" t="str">
            <v>360301</v>
          </cell>
          <cell r="N5188" t="str">
            <v>BOX</v>
          </cell>
        </row>
        <row r="5189">
          <cell r="C5189" t="str">
            <v>160000191</v>
          </cell>
          <cell r="D5189" t="str">
            <v>CAN &amp; CAP 5 LT UPR-960 NEW</v>
          </cell>
          <cell r="E5189" t="str">
            <v>ZPCK</v>
          </cell>
          <cell r="F5189" t="str">
            <v>PC</v>
          </cell>
          <cell r="G5189" t="str">
            <v>3</v>
          </cell>
          <cell r="H5189" t="str">
            <v>TRADING</v>
          </cell>
          <cell r="I5189" t="str">
            <v>36</v>
          </cell>
          <cell r="J5189" t="str">
            <v>PACKAGING</v>
          </cell>
          <cell r="K5189" t="str">
            <v>3601</v>
          </cell>
          <cell r="L5189" t="str">
            <v>CAN</v>
          </cell>
          <cell r="M5189" t="str">
            <v>360102</v>
          </cell>
          <cell r="N5189" t="str">
            <v>CAN PLS</v>
          </cell>
        </row>
        <row r="5190">
          <cell r="C5190" t="str">
            <v>160000192</v>
          </cell>
          <cell r="D5190" t="str">
            <v>CAN &amp; CAP 20 KG UPR-960 NEW</v>
          </cell>
          <cell r="E5190" t="str">
            <v>ZPCK</v>
          </cell>
          <cell r="F5190" t="str">
            <v>PC</v>
          </cell>
          <cell r="G5190" t="str">
            <v>3</v>
          </cell>
          <cell r="H5190" t="str">
            <v>TRADING</v>
          </cell>
          <cell r="I5190" t="str">
            <v>36</v>
          </cell>
          <cell r="J5190" t="str">
            <v>PACKAGING</v>
          </cell>
          <cell r="K5190" t="str">
            <v>3601</v>
          </cell>
          <cell r="L5190" t="str">
            <v>CAN</v>
          </cell>
          <cell r="M5190" t="str">
            <v>360104</v>
          </cell>
          <cell r="N5190" t="str">
            <v>CAN PAIL PLS</v>
          </cell>
        </row>
        <row r="5191">
          <cell r="C5191" t="str">
            <v>160000193</v>
          </cell>
          <cell r="D5191" t="str">
            <v>CAN &amp; CAP 18 LT PRIMER EAR-4001</v>
          </cell>
          <cell r="E5191" t="str">
            <v>ZPCK</v>
          </cell>
          <cell r="F5191" t="str">
            <v>PC</v>
          </cell>
          <cell r="G5191" t="str">
            <v>3</v>
          </cell>
          <cell r="H5191" t="str">
            <v>TRADING</v>
          </cell>
          <cell r="I5191" t="str">
            <v>36</v>
          </cell>
          <cell r="J5191" t="str">
            <v>PACKAGING</v>
          </cell>
          <cell r="K5191" t="str">
            <v>3601</v>
          </cell>
          <cell r="L5191" t="str">
            <v>CAN</v>
          </cell>
          <cell r="M5191" t="str">
            <v>360104</v>
          </cell>
          <cell r="N5191" t="str">
            <v>CAN PAIL PLS</v>
          </cell>
        </row>
        <row r="5192">
          <cell r="C5192" t="str">
            <v>160000194</v>
          </cell>
          <cell r="D5192" t="str">
            <v>CAN &amp; CAP 5 LT PRIMER EAR-4001</v>
          </cell>
          <cell r="E5192" t="str">
            <v>ZPCK</v>
          </cell>
          <cell r="F5192" t="str">
            <v>PC</v>
          </cell>
          <cell r="G5192" t="str">
            <v>3</v>
          </cell>
          <cell r="H5192" t="str">
            <v>TRADING</v>
          </cell>
          <cell r="I5192" t="str">
            <v>36</v>
          </cell>
          <cell r="J5192" t="str">
            <v>PACKAGING</v>
          </cell>
          <cell r="K5192" t="str">
            <v>3601</v>
          </cell>
          <cell r="L5192" t="str">
            <v>CAN</v>
          </cell>
          <cell r="M5192" t="str">
            <v>360102</v>
          </cell>
          <cell r="N5192" t="str">
            <v>CAN PLS</v>
          </cell>
        </row>
        <row r="5193">
          <cell r="C5193" t="str">
            <v>160000195</v>
          </cell>
          <cell r="D5193" t="str">
            <v>CAN &amp; CAP 18 LT DECORSHIELD DW-500</v>
          </cell>
          <cell r="E5193" t="str">
            <v>ZPCK</v>
          </cell>
          <cell r="F5193" t="str">
            <v>PC</v>
          </cell>
          <cell r="G5193" t="str">
            <v>3</v>
          </cell>
          <cell r="H5193" t="str">
            <v>TRADING</v>
          </cell>
          <cell r="I5193" t="str">
            <v>36</v>
          </cell>
          <cell r="J5193" t="str">
            <v>PACKAGING</v>
          </cell>
          <cell r="K5193" t="str">
            <v>3601</v>
          </cell>
          <cell r="L5193" t="str">
            <v>CAN</v>
          </cell>
          <cell r="M5193" t="str">
            <v>360104</v>
          </cell>
          <cell r="N5193" t="str">
            <v>CAN PAIL PLS</v>
          </cell>
        </row>
        <row r="5194">
          <cell r="C5194" t="str">
            <v>170000000</v>
          </cell>
          <cell r="D5194" t="str">
            <v>NCL-11300 ALC CLEAR 20-200LB</v>
          </cell>
          <cell r="E5194" t="str">
            <v>ZTRD</v>
          </cell>
          <cell r="F5194" t="str">
            <v>PC</v>
          </cell>
          <cell r="G5194" t="str">
            <v>W</v>
          </cell>
          <cell r="H5194" t="str">
            <v>TRD INDUSTRY</v>
          </cell>
          <cell r="I5194" t="str">
            <v>W1</v>
          </cell>
          <cell r="J5194" t="str">
            <v>WOOD COATINGS</v>
          </cell>
          <cell r="K5194" t="str">
            <v>W104</v>
          </cell>
          <cell r="L5194" t="str">
            <v>NC</v>
          </cell>
          <cell r="M5194" t="str">
            <v>W10405</v>
          </cell>
          <cell r="N5194" t="str">
            <v>NC SYSTEM</v>
          </cell>
        </row>
        <row r="5195">
          <cell r="C5195" t="str">
            <v>170000001</v>
          </cell>
          <cell r="D5195" t="str">
            <v>EE-4011 SUPER WHITE-4L</v>
          </cell>
          <cell r="E5195" t="str">
            <v>ZTRD</v>
          </cell>
          <cell r="F5195" t="str">
            <v>PC</v>
          </cell>
          <cell r="G5195" t="str">
            <v>X</v>
          </cell>
          <cell r="H5195" t="str">
            <v>TRD RETAIL</v>
          </cell>
          <cell r="I5195" t="str">
            <v>X5</v>
          </cell>
          <cell r="J5195" t="str">
            <v>APCT1</v>
          </cell>
          <cell r="K5195" t="str">
            <v>X501</v>
          </cell>
          <cell r="L5195" t="str">
            <v>ECO</v>
          </cell>
          <cell r="M5195" t="str">
            <v>X50101</v>
          </cell>
          <cell r="N5195" t="str">
            <v>ECO EMULSION RMX</v>
          </cell>
        </row>
        <row r="5196">
          <cell r="C5196" t="str">
            <v>170000002</v>
          </cell>
          <cell r="D5196" t="str">
            <v>SYNTHETIC 3000 RX BLACK-9406-0.8L</v>
          </cell>
          <cell r="E5196" t="str">
            <v>ZTRD</v>
          </cell>
          <cell r="F5196" t="str">
            <v>PC</v>
          </cell>
          <cell r="G5196" t="str">
            <v>X</v>
          </cell>
          <cell r="H5196" t="str">
            <v>TRD RETAIL</v>
          </cell>
          <cell r="I5196" t="str">
            <v>X7</v>
          </cell>
          <cell r="J5196" t="str">
            <v>CPC1</v>
          </cell>
          <cell r="K5196" t="str">
            <v>X703</v>
          </cell>
          <cell r="L5196" t="str">
            <v>MULTIPOX</v>
          </cell>
          <cell r="M5196" t="str">
            <v>X70302</v>
          </cell>
          <cell r="N5196" t="str">
            <v>MULTIPOX BASE</v>
          </cell>
        </row>
        <row r="5197">
          <cell r="C5197" t="str">
            <v>170000003</v>
          </cell>
          <cell r="D5197" t="str">
            <v>#NOT USED YNTHETIC 3000 RX SILVER-9106-0</v>
          </cell>
          <cell r="E5197" t="str">
            <v>ZTRD</v>
          </cell>
          <cell r="F5197" t="str">
            <v>PC</v>
          </cell>
          <cell r="G5197" t="str">
            <v>5</v>
          </cell>
          <cell r="H5197" t="str">
            <v>PROJECT</v>
          </cell>
          <cell r="I5197" t="str">
            <v>51</v>
          </cell>
          <cell r="J5197" t="str">
            <v>A&amp;S</v>
          </cell>
          <cell r="K5197" t="str">
            <v>5109</v>
          </cell>
          <cell r="L5197" t="str">
            <v/>
          </cell>
          <cell r="M5197" t="str">
            <v>510901</v>
          </cell>
          <cell r="N5197" t="str">
            <v/>
          </cell>
        </row>
        <row r="5198">
          <cell r="C5198" t="str">
            <v>170000004</v>
          </cell>
          <cell r="D5198" t="str">
            <v>SYNTHETIC 3000 RX WHITE DOF-9101D-5L</v>
          </cell>
          <cell r="E5198" t="str">
            <v>ZTRD</v>
          </cell>
          <cell r="F5198" t="str">
            <v>PC</v>
          </cell>
          <cell r="G5198" t="str">
            <v>X</v>
          </cell>
          <cell r="H5198" t="str">
            <v>TRD RETAIL</v>
          </cell>
          <cell r="I5198" t="str">
            <v>X7</v>
          </cell>
          <cell r="J5198" t="str">
            <v>CPC1</v>
          </cell>
          <cell r="K5198" t="str">
            <v>X703</v>
          </cell>
          <cell r="L5198" t="str">
            <v>MULTIPOX</v>
          </cell>
          <cell r="M5198" t="str">
            <v>X70302</v>
          </cell>
          <cell r="N5198" t="str">
            <v>MULTIPOX BASE</v>
          </cell>
        </row>
        <row r="5199">
          <cell r="C5199" t="str">
            <v>170000005</v>
          </cell>
          <cell r="D5199" t="str">
            <v>SYNTHETIC 3000 RX BLACK DOF-9406D-0.8L</v>
          </cell>
          <cell r="E5199" t="str">
            <v>ZTRD</v>
          </cell>
          <cell r="F5199" t="str">
            <v>PC</v>
          </cell>
          <cell r="G5199" t="str">
            <v>X</v>
          </cell>
          <cell r="H5199" t="str">
            <v>TRD RETAIL</v>
          </cell>
          <cell r="I5199" t="str">
            <v>X7</v>
          </cell>
          <cell r="J5199" t="str">
            <v>CPC1</v>
          </cell>
          <cell r="K5199" t="str">
            <v>X703</v>
          </cell>
          <cell r="L5199" t="str">
            <v>MULTIPOX</v>
          </cell>
          <cell r="M5199" t="str">
            <v>X70302</v>
          </cell>
          <cell r="N5199" t="str">
            <v>MULTIPOX BASE</v>
          </cell>
        </row>
        <row r="5200">
          <cell r="C5200" t="str">
            <v>170000006</v>
          </cell>
          <cell r="D5200" t="str">
            <v>SYNTHETIC 3000 RX WHITE-9101-0.8L</v>
          </cell>
          <cell r="E5200" t="str">
            <v>ZTRD</v>
          </cell>
          <cell r="F5200" t="str">
            <v>PC</v>
          </cell>
          <cell r="G5200" t="str">
            <v>X</v>
          </cell>
          <cell r="H5200" t="str">
            <v>TRD RETAIL</v>
          </cell>
          <cell r="I5200" t="str">
            <v>X7</v>
          </cell>
          <cell r="J5200" t="str">
            <v>CPC1</v>
          </cell>
          <cell r="K5200" t="str">
            <v>X703</v>
          </cell>
          <cell r="L5200" t="str">
            <v>MULTIPOX</v>
          </cell>
          <cell r="M5200" t="str">
            <v>X70302</v>
          </cell>
          <cell r="N5200" t="str">
            <v>MULTIPOX BASE</v>
          </cell>
        </row>
        <row r="5201">
          <cell r="C5201" t="str">
            <v>170000007</v>
          </cell>
          <cell r="D5201" t="str">
            <v>UVSS-40101 F-20KP</v>
          </cell>
          <cell r="E5201" t="str">
            <v>ZTRD</v>
          </cell>
          <cell r="F5201" t="str">
            <v>PC</v>
          </cell>
          <cell r="G5201" t="str">
            <v>W</v>
          </cell>
          <cell r="H5201" t="str">
            <v>TRD INDUSTRY</v>
          </cell>
          <cell r="I5201" t="str">
            <v>W1</v>
          </cell>
          <cell r="J5201" t="str">
            <v>WOOD COATINGS</v>
          </cell>
          <cell r="K5201" t="str">
            <v>W106</v>
          </cell>
          <cell r="L5201" t="str">
            <v>UV</v>
          </cell>
          <cell r="M5201" t="str">
            <v>W10605</v>
          </cell>
          <cell r="N5201" t="str">
            <v>UV SANDING SEALER</v>
          </cell>
        </row>
        <row r="5202">
          <cell r="C5202" t="str">
            <v>170000008</v>
          </cell>
          <cell r="D5202" t="str">
            <v>UVSS-40115 RW-20KP</v>
          </cell>
          <cell r="E5202" t="str">
            <v>ZTRD</v>
          </cell>
          <cell r="F5202" t="str">
            <v>PC</v>
          </cell>
          <cell r="G5202" t="str">
            <v>W</v>
          </cell>
          <cell r="H5202" t="str">
            <v>TRD INDUSTRY</v>
          </cell>
          <cell r="I5202" t="str">
            <v>W1</v>
          </cell>
          <cell r="J5202" t="str">
            <v>WOOD COATINGS</v>
          </cell>
          <cell r="K5202" t="str">
            <v>W106</v>
          </cell>
          <cell r="L5202" t="str">
            <v>UV</v>
          </cell>
          <cell r="M5202" t="str">
            <v>W10605</v>
          </cell>
          <cell r="N5202" t="str">
            <v>UV SANDING SEALER</v>
          </cell>
        </row>
        <row r="5203">
          <cell r="C5203" t="str">
            <v>170000009</v>
          </cell>
          <cell r="D5203" t="str">
            <v>UVSS-40524-20KP</v>
          </cell>
          <cell r="E5203" t="str">
            <v>ZTRD</v>
          </cell>
          <cell r="F5203" t="str">
            <v>PC</v>
          </cell>
          <cell r="G5203" t="str">
            <v>W</v>
          </cell>
          <cell r="H5203" t="str">
            <v>TRD INDUSTRY</v>
          </cell>
          <cell r="I5203" t="str">
            <v>W1</v>
          </cell>
          <cell r="J5203" t="str">
            <v>WOOD COATINGS</v>
          </cell>
          <cell r="K5203" t="str">
            <v>W106</v>
          </cell>
          <cell r="L5203" t="str">
            <v>UV</v>
          </cell>
          <cell r="M5203" t="str">
            <v>W10605</v>
          </cell>
          <cell r="N5203" t="str">
            <v>UV SANDING SEALER</v>
          </cell>
        </row>
        <row r="5204">
          <cell r="C5204" t="str">
            <v>170000010</v>
          </cell>
          <cell r="D5204" t="str">
            <v>UVSS-40535 LY-20KP</v>
          </cell>
          <cell r="E5204" t="str">
            <v>ZTRD</v>
          </cell>
          <cell r="F5204" t="str">
            <v>PC</v>
          </cell>
          <cell r="G5204" t="str">
            <v>W</v>
          </cell>
          <cell r="H5204" t="str">
            <v>TRD INDUSTRY</v>
          </cell>
          <cell r="I5204" t="str">
            <v>W1</v>
          </cell>
          <cell r="J5204" t="str">
            <v>WOOD COATINGS</v>
          </cell>
          <cell r="K5204" t="str">
            <v>W106</v>
          </cell>
          <cell r="L5204" t="str">
            <v>UV</v>
          </cell>
          <cell r="M5204" t="str">
            <v>W10605</v>
          </cell>
          <cell r="N5204" t="str">
            <v>UV SANDING SEALER</v>
          </cell>
        </row>
        <row r="5205">
          <cell r="C5205" t="str">
            <v>170000011</v>
          </cell>
          <cell r="D5205" t="str">
            <v>GZWB-21407 VAN DICK BROWN-20KP</v>
          </cell>
          <cell r="E5205" t="str">
            <v>ZTRD</v>
          </cell>
          <cell r="F5205" t="str">
            <v>PC</v>
          </cell>
          <cell r="G5205" t="str">
            <v>W</v>
          </cell>
          <cell r="H5205" t="str">
            <v>TRD INDUSTRY</v>
          </cell>
          <cell r="I5205" t="str">
            <v>W1</v>
          </cell>
          <cell r="J5205" t="str">
            <v>WOOD COATINGS</v>
          </cell>
          <cell r="K5205" t="str">
            <v>W119</v>
          </cell>
          <cell r="L5205" t="str">
            <v>WATERBASED</v>
          </cell>
          <cell r="M5205" t="str">
            <v>W11902</v>
          </cell>
          <cell r="N5205" t="str">
            <v>WATERBASED SYSTEM INTERIOR</v>
          </cell>
        </row>
        <row r="5206">
          <cell r="C5206" t="str">
            <v>170000012</v>
          </cell>
          <cell r="D5206" t="str">
            <v>PRCC-10209 WBC ALK MMD 622-250KK</v>
          </cell>
          <cell r="E5206" t="str">
            <v>ZTRD</v>
          </cell>
          <cell r="F5206" t="str">
            <v>PC</v>
          </cell>
          <cell r="G5206" t="str">
            <v>W</v>
          </cell>
          <cell r="H5206" t="str">
            <v>TRD INDUSTRY</v>
          </cell>
          <cell r="I5206" t="str">
            <v>W2</v>
          </cell>
          <cell r="J5206" t="str">
            <v>CAN COATINGS</v>
          </cell>
          <cell r="K5206" t="str">
            <v>W201</v>
          </cell>
          <cell r="L5206" t="str">
            <v>CAN COATINGS</v>
          </cell>
          <cell r="M5206" t="str">
            <v>W20101</v>
          </cell>
          <cell r="N5206" t="str">
            <v>CAN COATINGS</v>
          </cell>
        </row>
        <row r="5207">
          <cell r="C5207" t="str">
            <v>170000013</v>
          </cell>
          <cell r="D5207" t="str">
            <v>PRCC-10218 WBC ALKYD TOA-250KK</v>
          </cell>
          <cell r="E5207" t="str">
            <v>ZTRD</v>
          </cell>
          <cell r="F5207" t="str">
            <v>PC</v>
          </cell>
          <cell r="G5207" t="str">
            <v>W</v>
          </cell>
          <cell r="H5207" t="str">
            <v>TRD INDUSTRY</v>
          </cell>
          <cell r="I5207" t="str">
            <v>W2</v>
          </cell>
          <cell r="J5207" t="str">
            <v>CAN COATINGS</v>
          </cell>
          <cell r="K5207" t="str">
            <v>W201</v>
          </cell>
          <cell r="L5207" t="str">
            <v>CAN COATINGS</v>
          </cell>
          <cell r="M5207" t="str">
            <v>W20101</v>
          </cell>
          <cell r="N5207" t="str">
            <v>CAN COATINGS</v>
          </cell>
        </row>
        <row r="5208">
          <cell r="C5208" t="str">
            <v>170000014</v>
          </cell>
          <cell r="D5208" t="str">
            <v>PRCC-10219 WBC ALK URAI-250KK</v>
          </cell>
          <cell r="E5208" t="str">
            <v>ZTRD</v>
          </cell>
          <cell r="F5208" t="str">
            <v>PC</v>
          </cell>
          <cell r="G5208" t="str">
            <v>W</v>
          </cell>
          <cell r="H5208" t="str">
            <v>TRD INDUSTRY</v>
          </cell>
          <cell r="I5208" t="str">
            <v>W2</v>
          </cell>
          <cell r="J5208" t="str">
            <v>CAN COATINGS</v>
          </cell>
          <cell r="K5208" t="str">
            <v>W201</v>
          </cell>
          <cell r="L5208" t="str">
            <v>CAN COATINGS</v>
          </cell>
          <cell r="M5208" t="str">
            <v>W20101</v>
          </cell>
          <cell r="N5208" t="str">
            <v>CAN COATINGS</v>
          </cell>
        </row>
        <row r="5209">
          <cell r="C5209" t="str">
            <v>170000015</v>
          </cell>
          <cell r="D5209" t="str">
            <v>PRCC-10317 WBC POL 1152-250KK</v>
          </cell>
          <cell r="E5209" t="str">
            <v>ZTRD</v>
          </cell>
          <cell r="F5209" t="str">
            <v>PC</v>
          </cell>
          <cell r="G5209" t="str">
            <v>W</v>
          </cell>
          <cell r="H5209" t="str">
            <v>TRD INDUSTRY</v>
          </cell>
          <cell r="I5209" t="str">
            <v>W2</v>
          </cell>
          <cell r="J5209" t="str">
            <v>CAN COATINGS</v>
          </cell>
          <cell r="K5209" t="str">
            <v>W201</v>
          </cell>
          <cell r="L5209" t="str">
            <v>CAN COATINGS</v>
          </cell>
          <cell r="M5209" t="str">
            <v>W20101</v>
          </cell>
          <cell r="N5209" t="str">
            <v>CAN COATINGS</v>
          </cell>
        </row>
        <row r="5210">
          <cell r="C5210" t="str">
            <v>170000016</v>
          </cell>
          <cell r="D5210" t="str">
            <v>PRCC-10319 WBC POL 1154-250KK</v>
          </cell>
          <cell r="E5210" t="str">
            <v>ZTRD</v>
          </cell>
          <cell r="F5210" t="str">
            <v>PC</v>
          </cell>
          <cell r="G5210" t="str">
            <v>W</v>
          </cell>
          <cell r="H5210" t="str">
            <v>TRD INDUSTRY</v>
          </cell>
          <cell r="I5210" t="str">
            <v>W2</v>
          </cell>
          <cell r="J5210" t="str">
            <v>CAN COATINGS</v>
          </cell>
          <cell r="K5210" t="str">
            <v>W201</v>
          </cell>
          <cell r="L5210" t="str">
            <v>CAN COATINGS</v>
          </cell>
          <cell r="M5210" t="str">
            <v>W20101</v>
          </cell>
          <cell r="N5210" t="str">
            <v>CAN COATINGS</v>
          </cell>
        </row>
        <row r="5211">
          <cell r="C5211" t="str">
            <v>170000017</v>
          </cell>
          <cell r="D5211" t="str">
            <v>PRCC-20102 SSV-4K</v>
          </cell>
          <cell r="E5211" t="str">
            <v>ZTRD</v>
          </cell>
          <cell r="F5211" t="str">
            <v>PC</v>
          </cell>
          <cell r="G5211" t="str">
            <v>W</v>
          </cell>
          <cell r="H5211" t="str">
            <v>TRD INDUSTRY</v>
          </cell>
          <cell r="I5211" t="str">
            <v>W2</v>
          </cell>
          <cell r="J5211" t="str">
            <v>CAN COATINGS</v>
          </cell>
          <cell r="K5211" t="str">
            <v>W201</v>
          </cell>
          <cell r="L5211" t="str">
            <v>CAN COATINGS</v>
          </cell>
          <cell r="M5211" t="str">
            <v>W20101</v>
          </cell>
          <cell r="N5211" t="str">
            <v>CAN COATINGS</v>
          </cell>
        </row>
        <row r="5212">
          <cell r="C5212" t="str">
            <v>170000018</v>
          </cell>
          <cell r="D5212" t="str">
            <v>PRCC-20210 VARNISH CANPAC-200KK</v>
          </cell>
          <cell r="E5212" t="str">
            <v>ZTRD</v>
          </cell>
          <cell r="F5212" t="str">
            <v>PC</v>
          </cell>
          <cell r="G5212" t="str">
            <v>W</v>
          </cell>
          <cell r="H5212" t="str">
            <v>TRD INDUSTRY</v>
          </cell>
          <cell r="I5212" t="str">
            <v>W2</v>
          </cell>
          <cell r="J5212" t="str">
            <v>CAN COATINGS</v>
          </cell>
          <cell r="K5212" t="str">
            <v>W201</v>
          </cell>
          <cell r="L5212" t="str">
            <v>CAN COATINGS</v>
          </cell>
          <cell r="M5212" t="str">
            <v>W20101</v>
          </cell>
          <cell r="N5212" t="str">
            <v>CAN COATINGS</v>
          </cell>
        </row>
        <row r="5213">
          <cell r="C5213" t="str">
            <v>170000019</v>
          </cell>
          <cell r="D5213" t="str">
            <v>PRCC-20401 EECV-200KK</v>
          </cell>
          <cell r="E5213" t="str">
            <v>ZTRD</v>
          </cell>
          <cell r="F5213" t="str">
            <v>PC</v>
          </cell>
          <cell r="G5213" t="str">
            <v>W</v>
          </cell>
          <cell r="H5213" t="str">
            <v>TRD INDUSTRY</v>
          </cell>
          <cell r="I5213" t="str">
            <v>W2</v>
          </cell>
          <cell r="J5213" t="str">
            <v>CAN COATINGS</v>
          </cell>
          <cell r="K5213" t="str">
            <v>W201</v>
          </cell>
          <cell r="L5213" t="str">
            <v>CAN COATINGS</v>
          </cell>
          <cell r="M5213" t="str">
            <v>W20101</v>
          </cell>
          <cell r="N5213" t="str">
            <v>CAN COATINGS</v>
          </cell>
        </row>
        <row r="5214">
          <cell r="C5214" t="str">
            <v>170000020</v>
          </cell>
          <cell r="D5214" t="str">
            <v>PRCC-20502 VINYL SIZE-18KP</v>
          </cell>
          <cell r="E5214" t="str">
            <v>ZTRD</v>
          </cell>
          <cell r="F5214" t="str">
            <v>PC</v>
          </cell>
          <cell r="G5214" t="str">
            <v>W</v>
          </cell>
          <cell r="H5214" t="str">
            <v>TRD INDUSTRY</v>
          </cell>
          <cell r="I5214" t="str">
            <v>W2</v>
          </cell>
          <cell r="J5214" t="str">
            <v>CAN COATINGS</v>
          </cell>
          <cell r="K5214" t="str">
            <v>W201</v>
          </cell>
          <cell r="L5214" t="str">
            <v>CAN COATINGS</v>
          </cell>
          <cell r="M5214" t="str">
            <v>W20101</v>
          </cell>
          <cell r="N5214" t="str">
            <v>CAN COATINGS</v>
          </cell>
        </row>
        <row r="5215">
          <cell r="C5215" t="str">
            <v>170000021</v>
          </cell>
          <cell r="D5215" t="str">
            <v>PRCC-20508 VCV LINH KY-20KP</v>
          </cell>
          <cell r="E5215" t="str">
            <v>ZTRD</v>
          </cell>
          <cell r="F5215" t="str">
            <v>PC</v>
          </cell>
          <cell r="G5215" t="str">
            <v>W</v>
          </cell>
          <cell r="H5215" t="str">
            <v>TRD INDUSTRY</v>
          </cell>
          <cell r="I5215" t="str">
            <v>W2</v>
          </cell>
          <cell r="J5215" t="str">
            <v>CAN COATINGS</v>
          </cell>
          <cell r="K5215" t="str">
            <v>W201</v>
          </cell>
          <cell r="L5215" t="str">
            <v>CAN COATINGS</v>
          </cell>
          <cell r="M5215" t="str">
            <v>W20101</v>
          </cell>
          <cell r="N5215" t="str">
            <v>CAN COATINGS</v>
          </cell>
        </row>
        <row r="5216">
          <cell r="C5216" t="str">
            <v>170000022</v>
          </cell>
          <cell r="D5216" t="str">
            <v>PRCC-20601 EPOXY SIZE-180KK</v>
          </cell>
          <cell r="E5216" t="str">
            <v>ZTRD</v>
          </cell>
          <cell r="F5216" t="str">
            <v>PC</v>
          </cell>
          <cell r="G5216" t="str">
            <v>W</v>
          </cell>
          <cell r="H5216" t="str">
            <v>TRD INDUSTRY</v>
          </cell>
          <cell r="I5216" t="str">
            <v>W2</v>
          </cell>
          <cell r="J5216" t="str">
            <v>CAN COATINGS</v>
          </cell>
          <cell r="K5216" t="str">
            <v>W201</v>
          </cell>
          <cell r="L5216" t="str">
            <v>CAN COATINGS</v>
          </cell>
          <cell r="M5216" t="str">
            <v>W20101</v>
          </cell>
          <cell r="N5216" t="str">
            <v>CAN COATINGS</v>
          </cell>
        </row>
        <row r="5217">
          <cell r="C5217" t="str">
            <v>170000023</v>
          </cell>
          <cell r="D5217" t="str">
            <v>#NOT USED 0102 CLEAR LACQUER-200KK</v>
          </cell>
          <cell r="E5217" t="str">
            <v>ZTRD</v>
          </cell>
          <cell r="F5217" t="str">
            <v>PC</v>
          </cell>
          <cell r="G5217" t="str">
            <v>5</v>
          </cell>
          <cell r="H5217" t="str">
            <v>PROJECT</v>
          </cell>
          <cell r="I5217" t="str">
            <v>52</v>
          </cell>
          <cell r="J5217" t="str">
            <v>APCT1</v>
          </cell>
          <cell r="K5217" t="str">
            <v>5201</v>
          </cell>
          <cell r="L5217" t="str">
            <v>ECO</v>
          </cell>
          <cell r="M5217" t="str">
            <v>520101</v>
          </cell>
          <cell r="N5217" t="str">
            <v>ECO EMULSION RMX</v>
          </cell>
        </row>
        <row r="5218">
          <cell r="C5218" t="str">
            <v>170000024</v>
          </cell>
          <cell r="D5218" t="str">
            <v>#NOT USED 0113 GL NAM VIET-200KK</v>
          </cell>
          <cell r="E5218" t="str">
            <v>ZTRD</v>
          </cell>
          <cell r="F5218" t="str">
            <v>PC</v>
          </cell>
          <cell r="G5218" t="str">
            <v>5</v>
          </cell>
          <cell r="H5218" t="str">
            <v>PROJECT</v>
          </cell>
          <cell r="I5218" t="str">
            <v>52</v>
          </cell>
          <cell r="J5218" t="str">
            <v>APCT1</v>
          </cell>
          <cell r="K5218" t="str">
            <v>5201</v>
          </cell>
          <cell r="L5218" t="str">
            <v>ECO</v>
          </cell>
          <cell r="M5218" t="str">
            <v>520101</v>
          </cell>
          <cell r="N5218" t="str">
            <v>ECO EMULSION RMX</v>
          </cell>
        </row>
        <row r="5219">
          <cell r="C5219" t="str">
            <v>170000025</v>
          </cell>
          <cell r="D5219" t="str">
            <v>PRCC-40201 GL PHENOLIC PROPAN-200KK</v>
          </cell>
          <cell r="E5219" t="str">
            <v>ZTRD</v>
          </cell>
          <cell r="F5219" t="str">
            <v>PC</v>
          </cell>
          <cell r="G5219" t="str">
            <v>W</v>
          </cell>
          <cell r="H5219" t="str">
            <v>TRD INDUSTRY</v>
          </cell>
          <cell r="I5219" t="str">
            <v>W2</v>
          </cell>
          <cell r="J5219" t="str">
            <v>CAN COATINGS</v>
          </cell>
          <cell r="K5219" t="str">
            <v>W201</v>
          </cell>
          <cell r="L5219" t="str">
            <v>CAN COATINGS</v>
          </cell>
          <cell r="M5219" t="str">
            <v>W20101</v>
          </cell>
          <cell r="N5219" t="str">
            <v>CAN COATINGS</v>
          </cell>
        </row>
        <row r="5220">
          <cell r="C5220" t="str">
            <v>170000026</v>
          </cell>
          <cell r="D5220" t="str">
            <v>#NOT USED 0301 A SIDE STRIPE LACQUER-5KJ</v>
          </cell>
          <cell r="E5220" t="str">
            <v>ZTRD</v>
          </cell>
          <cell r="F5220" t="str">
            <v>PC</v>
          </cell>
          <cell r="G5220" t="str">
            <v>5</v>
          </cell>
          <cell r="H5220" t="str">
            <v>PROJECT</v>
          </cell>
          <cell r="I5220" t="str">
            <v>52</v>
          </cell>
          <cell r="J5220" t="str">
            <v>APCT1</v>
          </cell>
          <cell r="K5220" t="str">
            <v>5201</v>
          </cell>
          <cell r="L5220" t="str">
            <v>ECO</v>
          </cell>
          <cell r="M5220" t="str">
            <v>520101</v>
          </cell>
          <cell r="N5220" t="str">
            <v>ECO EMULSION RMX</v>
          </cell>
        </row>
        <row r="5221">
          <cell r="C5221" t="str">
            <v>170000027</v>
          </cell>
          <cell r="D5221" t="str">
            <v>#NOT USED 0301 B SIDE STRIPE LACQUER-5KJ</v>
          </cell>
          <cell r="E5221" t="str">
            <v>ZTRD</v>
          </cell>
          <cell r="F5221" t="str">
            <v>PC</v>
          </cell>
          <cell r="G5221" t="str">
            <v>5</v>
          </cell>
          <cell r="H5221" t="str">
            <v>PROJECT</v>
          </cell>
          <cell r="I5221" t="str">
            <v>52</v>
          </cell>
          <cell r="J5221" t="str">
            <v>APCT1</v>
          </cell>
          <cell r="K5221" t="str">
            <v>5201</v>
          </cell>
          <cell r="L5221" t="str">
            <v>ECO</v>
          </cell>
          <cell r="M5221" t="str">
            <v>520101</v>
          </cell>
          <cell r="N5221" t="str">
            <v>ECO EMULSION RMX</v>
          </cell>
        </row>
        <row r="5222">
          <cell r="C5222" t="str">
            <v>170000028</v>
          </cell>
          <cell r="D5222" t="str">
            <v>AL-087-5L</v>
          </cell>
          <cell r="E5222" t="str">
            <v>ZTRD</v>
          </cell>
          <cell r="F5222" t="str">
            <v>PC</v>
          </cell>
          <cell r="G5222" t="str">
            <v>W</v>
          </cell>
          <cell r="H5222" t="str">
            <v>TRD INDUSTRY</v>
          </cell>
          <cell r="I5222" t="str">
            <v>W1</v>
          </cell>
          <cell r="J5222" t="str">
            <v>WOOD COATINGS</v>
          </cell>
          <cell r="K5222" t="str">
            <v>W103</v>
          </cell>
          <cell r="L5222" t="str">
            <v>PU</v>
          </cell>
          <cell r="M5222" t="str">
            <v>W10325</v>
          </cell>
          <cell r="N5222" t="str">
            <v>UNION HARDENER</v>
          </cell>
        </row>
        <row r="5223">
          <cell r="C5223" t="str">
            <v>170000030</v>
          </cell>
          <cell r="D5223" t="str">
            <v>PROPAN PFW-333 NATURAL-1K</v>
          </cell>
          <cell r="E5223" t="str">
            <v>ZTRD</v>
          </cell>
          <cell r="F5223" t="str">
            <v>PC</v>
          </cell>
          <cell r="G5223" t="str">
            <v>X</v>
          </cell>
          <cell r="H5223" t="str">
            <v>TRD RETAIL</v>
          </cell>
          <cell r="I5223" t="str">
            <v>X1</v>
          </cell>
          <cell r="J5223" t="str">
            <v>WF1</v>
          </cell>
          <cell r="K5223" t="str">
            <v>X107</v>
          </cell>
          <cell r="L5223" t="str">
            <v>FURNITURE WAX</v>
          </cell>
          <cell r="M5223" t="str">
            <v>X10701</v>
          </cell>
          <cell r="N5223" t="str">
            <v>PROPAN FURNITURE WAX</v>
          </cell>
        </row>
        <row r="5224">
          <cell r="C5224" t="str">
            <v>170000034</v>
          </cell>
          <cell r="D5224" t="str">
            <v>PROPAN PPR-730-1K</v>
          </cell>
          <cell r="E5224" t="str">
            <v>ZTRD</v>
          </cell>
          <cell r="F5224" t="str">
            <v>PC</v>
          </cell>
          <cell r="G5224" t="str">
            <v>X</v>
          </cell>
          <cell r="H5224" t="str">
            <v>TRD RETAIL</v>
          </cell>
          <cell r="I5224" t="str">
            <v>X4</v>
          </cell>
          <cell r="J5224" t="str">
            <v>WF3</v>
          </cell>
          <cell r="K5224" t="str">
            <v>X405</v>
          </cell>
          <cell r="L5224" t="str">
            <v>PAINT REMOVER</v>
          </cell>
          <cell r="M5224" t="str">
            <v>X40501</v>
          </cell>
          <cell r="N5224" t="str">
            <v>PROPAN PAINT REMOVER</v>
          </cell>
        </row>
        <row r="5225">
          <cell r="C5225" t="str">
            <v>170000039</v>
          </cell>
          <cell r="D5225" t="str">
            <v>DECOR DAE-550 TEAL-5412-2.5K</v>
          </cell>
          <cell r="E5225" t="str">
            <v>ZTRD</v>
          </cell>
          <cell r="F5225" t="str">
            <v>PC</v>
          </cell>
          <cell r="G5225" t="str">
            <v>Y</v>
          </cell>
          <cell r="H5225" t="str">
            <v>TRD PROJECT</v>
          </cell>
          <cell r="I5225" t="str">
            <v>Y2</v>
          </cell>
          <cell r="J5225" t="str">
            <v>APCT1</v>
          </cell>
          <cell r="K5225" t="str">
            <v>Y202</v>
          </cell>
          <cell r="L5225" t="str">
            <v>DECOR</v>
          </cell>
          <cell r="M5225" t="str">
            <v>Y20204</v>
          </cell>
          <cell r="N5225" t="str">
            <v>DECOR ACR ENAMEL SB RMX</v>
          </cell>
        </row>
        <row r="5226">
          <cell r="C5226" t="str">
            <v>170000041</v>
          </cell>
          <cell r="D5226" t="str">
            <v>IMPRA BOND IBW-630-10K</v>
          </cell>
          <cell r="E5226" t="str">
            <v>ZTRD</v>
          </cell>
          <cell r="F5226" t="str">
            <v>PC</v>
          </cell>
          <cell r="G5226" t="str">
            <v>X</v>
          </cell>
          <cell r="H5226" t="str">
            <v>TRD RETAIL</v>
          </cell>
          <cell r="I5226" t="str">
            <v>XB</v>
          </cell>
          <cell r="J5226" t="str">
            <v>A&amp;S</v>
          </cell>
          <cell r="K5226" t="str">
            <v>XB05</v>
          </cell>
          <cell r="L5226" t="str">
            <v>IMPRA BOND</v>
          </cell>
          <cell r="M5226" t="str">
            <v>XB0501</v>
          </cell>
          <cell r="N5226" t="str">
            <v>IMPRA BOND</v>
          </cell>
        </row>
        <row r="5227">
          <cell r="C5227" t="str">
            <v>170000043</v>
          </cell>
          <cell r="D5227" t="str">
            <v>SICOSOL-1L</v>
          </cell>
          <cell r="E5227" t="str">
            <v>ZTRD</v>
          </cell>
          <cell r="F5227" t="str">
            <v>PC</v>
          </cell>
          <cell r="G5227" t="str">
            <v>X</v>
          </cell>
          <cell r="H5227" t="str">
            <v>TRD RETAIL</v>
          </cell>
          <cell r="I5227" t="str">
            <v>X6</v>
          </cell>
          <cell r="J5227" t="str">
            <v>SFC</v>
          </cell>
          <cell r="K5227" t="str">
            <v>X601</v>
          </cell>
          <cell r="L5227" t="str">
            <v>STONE CARE</v>
          </cell>
          <cell r="M5227" t="str">
            <v>X60104</v>
          </cell>
          <cell r="N5227" t="str">
            <v>SICOSOL</v>
          </cell>
        </row>
        <row r="5228">
          <cell r="C5228" t="str">
            <v>170000049</v>
          </cell>
          <cell r="D5228" t="str">
            <v>PLP-11103 PP 2DN133-20LJ</v>
          </cell>
          <cell r="E5228" t="str">
            <v>ZTRD</v>
          </cell>
          <cell r="F5228" t="str">
            <v>PC</v>
          </cell>
          <cell r="G5228" t="str">
            <v>W</v>
          </cell>
          <cell r="H5228" t="str">
            <v>TRD INDUSTRY</v>
          </cell>
          <cell r="I5228" t="str">
            <v>W3</v>
          </cell>
          <cell r="J5228" t="str">
            <v>PLASTIC COATINGS</v>
          </cell>
          <cell r="K5228" t="str">
            <v>W301</v>
          </cell>
          <cell r="L5228" t="str">
            <v>PLASTIC COATINGS</v>
          </cell>
          <cell r="M5228" t="str">
            <v>W30101</v>
          </cell>
          <cell r="N5228" t="str">
            <v>PLASTIC COATINGS</v>
          </cell>
        </row>
        <row r="5229">
          <cell r="C5229" t="str">
            <v>170000050</v>
          </cell>
          <cell r="D5229" t="str">
            <v>#NOT USED 205 BUFF LACQUER-200KK</v>
          </cell>
          <cell r="E5229" t="str">
            <v>ZTRD</v>
          </cell>
          <cell r="F5229" t="str">
            <v>PC</v>
          </cell>
          <cell r="G5229" t="str">
            <v>5</v>
          </cell>
          <cell r="H5229" t="str">
            <v>PROJECT</v>
          </cell>
          <cell r="I5229" t="str">
            <v>52</v>
          </cell>
          <cell r="J5229" t="str">
            <v>APCT1</v>
          </cell>
          <cell r="K5229" t="str">
            <v>5201</v>
          </cell>
          <cell r="L5229" t="str">
            <v>ECO</v>
          </cell>
          <cell r="M5229" t="str">
            <v>520101</v>
          </cell>
          <cell r="N5229" t="str">
            <v>ECO EMULSION RMX</v>
          </cell>
        </row>
        <row r="5230">
          <cell r="C5230" t="str">
            <v>170000051</v>
          </cell>
          <cell r="D5230" t="str">
            <v>UVL-50563 LY CLEAR 08-20KP</v>
          </cell>
          <cell r="E5230" t="str">
            <v>ZTRD</v>
          </cell>
          <cell r="F5230" t="str">
            <v>PC</v>
          </cell>
          <cell r="G5230" t="str">
            <v>W</v>
          </cell>
          <cell r="H5230" t="str">
            <v>TRD INDUSTRY</v>
          </cell>
          <cell r="I5230" t="str">
            <v>W1</v>
          </cell>
          <cell r="J5230" t="str">
            <v>WOOD COATINGS</v>
          </cell>
          <cell r="K5230" t="str">
            <v>W106</v>
          </cell>
          <cell r="L5230" t="str">
            <v>UV</v>
          </cell>
          <cell r="M5230" t="str">
            <v>W10607</v>
          </cell>
          <cell r="N5230" t="str">
            <v>UV TOP COAT CLEAR</v>
          </cell>
        </row>
        <row r="5231">
          <cell r="C5231" t="str">
            <v>170000052</v>
          </cell>
          <cell r="D5231" t="str">
            <v>UVP-60501 WHITE-20KP</v>
          </cell>
          <cell r="E5231" t="str">
            <v>ZTRD</v>
          </cell>
          <cell r="F5231" t="str">
            <v>PC</v>
          </cell>
          <cell r="G5231" t="str">
            <v>W</v>
          </cell>
          <cell r="H5231" t="str">
            <v>TRD INDUSTRY</v>
          </cell>
          <cell r="I5231" t="str">
            <v>W1</v>
          </cell>
          <cell r="J5231" t="str">
            <v>WOOD COATINGS</v>
          </cell>
          <cell r="K5231" t="str">
            <v>W106</v>
          </cell>
          <cell r="L5231" t="str">
            <v>UV</v>
          </cell>
          <cell r="M5231" t="str">
            <v>W10604</v>
          </cell>
          <cell r="N5231" t="str">
            <v>UV PRIMER</v>
          </cell>
        </row>
        <row r="5232">
          <cell r="C5232" t="str">
            <v>170000053</v>
          </cell>
          <cell r="D5232" t="str">
            <v>UVSS-40402 WB-20KP</v>
          </cell>
          <cell r="E5232" t="str">
            <v>ZTRD</v>
          </cell>
          <cell r="F5232" t="str">
            <v>PC</v>
          </cell>
          <cell r="G5232" t="str">
            <v>W</v>
          </cell>
          <cell r="H5232" t="str">
            <v>TRD INDUSTRY</v>
          </cell>
          <cell r="I5232" t="str">
            <v>W1</v>
          </cell>
          <cell r="J5232" t="str">
            <v>WOOD COATINGS</v>
          </cell>
          <cell r="K5232" t="str">
            <v>W106</v>
          </cell>
          <cell r="L5232" t="str">
            <v>UV</v>
          </cell>
          <cell r="M5232" t="str">
            <v>W10605</v>
          </cell>
          <cell r="N5232" t="str">
            <v>UV SANDING SEALER</v>
          </cell>
        </row>
        <row r="5233">
          <cell r="C5233" t="str">
            <v>170000060</v>
          </cell>
          <cell r="D5233" t="str">
            <v>#NOT USED 0423 EE CLEAR VARNISH-200KK</v>
          </cell>
          <cell r="E5233" t="str">
            <v>ZTRD</v>
          </cell>
          <cell r="F5233" t="str">
            <v>PC</v>
          </cell>
          <cell r="G5233" t="str">
            <v>5</v>
          </cell>
          <cell r="H5233" t="str">
            <v>PROJECT</v>
          </cell>
          <cell r="I5233" t="str">
            <v>52</v>
          </cell>
          <cell r="J5233" t="str">
            <v>APCT1</v>
          </cell>
          <cell r="K5233" t="str">
            <v>5201</v>
          </cell>
          <cell r="L5233" t="str">
            <v>ECO</v>
          </cell>
          <cell r="M5233" t="str">
            <v>520101</v>
          </cell>
          <cell r="N5233" t="str">
            <v>ECO EMULSION RMX</v>
          </cell>
        </row>
        <row r="5234">
          <cell r="C5234" t="str">
            <v>170000061</v>
          </cell>
          <cell r="D5234" t="str">
            <v>#NUUVP-60501 COOL GREY SC-20KP</v>
          </cell>
          <cell r="E5234" t="str">
            <v>ZTRD</v>
          </cell>
          <cell r="F5234" t="str">
            <v>PC</v>
          </cell>
          <cell r="G5234" t="str">
            <v>W</v>
          </cell>
          <cell r="H5234" t="str">
            <v>TRD INDUSTRY</v>
          </cell>
          <cell r="I5234" t="str">
            <v>W1</v>
          </cell>
          <cell r="J5234" t="str">
            <v>WOOD COATINGS</v>
          </cell>
          <cell r="K5234" t="str">
            <v>W106</v>
          </cell>
          <cell r="L5234" t="str">
            <v>UV</v>
          </cell>
          <cell r="M5234" t="str">
            <v>W10604</v>
          </cell>
          <cell r="N5234" t="str">
            <v>UV PRIMER</v>
          </cell>
        </row>
        <row r="5235">
          <cell r="C5235" t="str">
            <v>170000062</v>
          </cell>
          <cell r="D5235" t="str">
            <v>UVP-60501 WHITE SC-20KP</v>
          </cell>
          <cell r="E5235" t="str">
            <v>ZTRD</v>
          </cell>
          <cell r="F5235" t="str">
            <v>PC</v>
          </cell>
          <cell r="G5235" t="str">
            <v>W</v>
          </cell>
          <cell r="H5235" t="str">
            <v>TRD INDUSTRY</v>
          </cell>
          <cell r="I5235" t="str">
            <v>W1</v>
          </cell>
          <cell r="J5235" t="str">
            <v>WOOD COATINGS</v>
          </cell>
          <cell r="K5235" t="str">
            <v>W106</v>
          </cell>
          <cell r="L5235" t="str">
            <v>UV</v>
          </cell>
          <cell r="M5235" t="str">
            <v>W10604</v>
          </cell>
          <cell r="N5235" t="str">
            <v>UV PRIMER</v>
          </cell>
        </row>
        <row r="5236">
          <cell r="C5236" t="str">
            <v>170000063</v>
          </cell>
          <cell r="D5236" t="str">
            <v>#NU UVB-30400 E-20KP</v>
          </cell>
          <cell r="E5236" t="str">
            <v>ZTRD</v>
          </cell>
          <cell r="F5236" t="str">
            <v>PC</v>
          </cell>
          <cell r="G5236" t="str">
            <v>5</v>
          </cell>
          <cell r="H5236" t="str">
            <v>PROJECT</v>
          </cell>
          <cell r="I5236" t="str">
            <v>51</v>
          </cell>
          <cell r="J5236" t="str">
            <v>A&amp;S</v>
          </cell>
          <cell r="K5236" t="str">
            <v>5106</v>
          </cell>
          <cell r="L5236" t="str">
            <v>ADHESIVE</v>
          </cell>
          <cell r="M5236" t="str">
            <v>510601</v>
          </cell>
          <cell r="N5236" t="str">
            <v>ARALDITE EPOXY BOND</v>
          </cell>
        </row>
        <row r="5237">
          <cell r="C5237" t="str">
            <v>170000064</v>
          </cell>
          <cell r="D5237" t="str">
            <v>#NU UVSS-40535 LY E-20KP</v>
          </cell>
          <cell r="E5237" t="str">
            <v>ZTRD</v>
          </cell>
          <cell r="F5237" t="str">
            <v>PC</v>
          </cell>
          <cell r="G5237" t="str">
            <v>5</v>
          </cell>
          <cell r="H5237" t="str">
            <v>PROJECT</v>
          </cell>
          <cell r="I5237" t="str">
            <v>51</v>
          </cell>
          <cell r="J5237" t="str">
            <v>A&amp;S</v>
          </cell>
          <cell r="K5237" t="str">
            <v>5106</v>
          </cell>
          <cell r="L5237" t="str">
            <v>ADHESIVE</v>
          </cell>
          <cell r="M5237" t="str">
            <v>510605</v>
          </cell>
          <cell r="N5237" t="str">
            <v/>
          </cell>
        </row>
        <row r="5238">
          <cell r="C5238" t="str">
            <v>170000065</v>
          </cell>
          <cell r="D5238" t="str">
            <v>UVP-60501 YELLOW TEAK SC-20KP</v>
          </cell>
          <cell r="E5238" t="str">
            <v>ZTRD</v>
          </cell>
          <cell r="F5238" t="str">
            <v>PC</v>
          </cell>
          <cell r="G5238" t="str">
            <v>W</v>
          </cell>
          <cell r="H5238" t="str">
            <v>TRD INDUSTRY</v>
          </cell>
          <cell r="I5238" t="str">
            <v>W1</v>
          </cell>
          <cell r="J5238" t="str">
            <v>WOOD COATINGS</v>
          </cell>
          <cell r="K5238" t="str">
            <v>W106</v>
          </cell>
          <cell r="L5238" t="str">
            <v>UV</v>
          </cell>
          <cell r="M5238" t="str">
            <v>W10604</v>
          </cell>
          <cell r="N5238" t="str">
            <v>UV PRIMER</v>
          </cell>
        </row>
        <row r="5239">
          <cell r="C5239" t="str">
            <v>170000076</v>
          </cell>
          <cell r="D5239" t="str">
            <v>WBL-63211 EX CLEAR 08-200LB</v>
          </cell>
          <cell r="E5239" t="str">
            <v>ZTRD</v>
          </cell>
          <cell r="F5239" t="str">
            <v>PC</v>
          </cell>
          <cell r="G5239" t="str">
            <v>5</v>
          </cell>
          <cell r="H5239" t="str">
            <v>PROJECT</v>
          </cell>
          <cell r="I5239" t="str">
            <v>51</v>
          </cell>
          <cell r="J5239" t="str">
            <v>A&amp;S</v>
          </cell>
          <cell r="K5239" t="str">
            <v>5110</v>
          </cell>
          <cell r="L5239" t="str">
            <v/>
          </cell>
          <cell r="M5239" t="str">
            <v>511003</v>
          </cell>
          <cell r="N5239" t="str">
            <v/>
          </cell>
        </row>
        <row r="5240">
          <cell r="C5240" t="str">
            <v>170000077</v>
          </cell>
          <cell r="D5240" t="str">
            <v>WBH-69100 EX-1L</v>
          </cell>
          <cell r="E5240" t="str">
            <v>ZTRD</v>
          </cell>
          <cell r="F5240" t="str">
            <v>PC</v>
          </cell>
          <cell r="G5240" t="str">
            <v>W</v>
          </cell>
          <cell r="H5240" t="str">
            <v>TRD INDUSTRY</v>
          </cell>
          <cell r="I5240" t="str">
            <v>W1</v>
          </cell>
          <cell r="J5240" t="str">
            <v>WOOD COATINGS</v>
          </cell>
          <cell r="K5240" t="str">
            <v>W119</v>
          </cell>
          <cell r="L5240" t="str">
            <v>WATERBASED</v>
          </cell>
          <cell r="M5240" t="str">
            <v>W11902</v>
          </cell>
          <cell r="N5240" t="str">
            <v>WATERBASED SYSTEM INTERIOR</v>
          </cell>
        </row>
        <row r="5241">
          <cell r="C5241" t="str">
            <v>170000080</v>
          </cell>
          <cell r="D5241" t="str">
            <v>UVP-60102 WHITE-20KP</v>
          </cell>
          <cell r="E5241" t="str">
            <v>ZTRD</v>
          </cell>
          <cell r="F5241" t="str">
            <v>PC</v>
          </cell>
          <cell r="G5241" t="str">
            <v>W</v>
          </cell>
          <cell r="H5241" t="str">
            <v>TRD INDUSTRY</v>
          </cell>
          <cell r="I5241" t="str">
            <v>W1</v>
          </cell>
          <cell r="J5241" t="str">
            <v>WOOD COATINGS</v>
          </cell>
          <cell r="K5241" t="str">
            <v>W106</v>
          </cell>
          <cell r="L5241" t="str">
            <v>UV</v>
          </cell>
          <cell r="M5241" t="str">
            <v>W10604</v>
          </cell>
          <cell r="N5241" t="str">
            <v>UV PRIMER</v>
          </cell>
        </row>
        <row r="5242">
          <cell r="C5242" t="str">
            <v>170000081</v>
          </cell>
          <cell r="D5242" t="str">
            <v>PRCC-20616 EPOXY SIZE CHEN LAIN-180KK</v>
          </cell>
          <cell r="E5242" t="str">
            <v>ZTRD</v>
          </cell>
          <cell r="F5242" t="str">
            <v>PC</v>
          </cell>
          <cell r="G5242" t="str">
            <v>W</v>
          </cell>
          <cell r="H5242" t="str">
            <v>TRD INDUSTRY</v>
          </cell>
          <cell r="I5242" t="str">
            <v>W2</v>
          </cell>
          <cell r="J5242" t="str">
            <v>CAN COATINGS</v>
          </cell>
          <cell r="K5242" t="str">
            <v>W201</v>
          </cell>
          <cell r="L5242" t="str">
            <v>CAN COATINGS</v>
          </cell>
          <cell r="M5242" t="str">
            <v>W20101</v>
          </cell>
          <cell r="N5242" t="str">
            <v>CAN COATINGS</v>
          </cell>
        </row>
        <row r="5243">
          <cell r="C5243" t="str">
            <v>170000087</v>
          </cell>
          <cell r="D5243" t="str">
            <v>PRCC-20312 POL VARNISH CANPAC-200KK</v>
          </cell>
          <cell r="E5243" t="str">
            <v>ZTRD</v>
          </cell>
          <cell r="F5243" t="str">
            <v>PC</v>
          </cell>
          <cell r="G5243" t="str">
            <v>W</v>
          </cell>
          <cell r="H5243" t="str">
            <v>TRD INDUSTRY</v>
          </cell>
          <cell r="I5243" t="str">
            <v>W2</v>
          </cell>
          <cell r="J5243" t="str">
            <v>CAN COATINGS</v>
          </cell>
          <cell r="K5243" t="str">
            <v>W201</v>
          </cell>
          <cell r="L5243" t="str">
            <v>CAN COATINGS</v>
          </cell>
          <cell r="M5243" t="str">
            <v>W20101</v>
          </cell>
          <cell r="N5243" t="str">
            <v>CAN COATINGS</v>
          </cell>
        </row>
        <row r="5244">
          <cell r="C5244" t="str">
            <v>170000088</v>
          </cell>
          <cell r="D5244" t="str">
            <v>UVS-20600 YELLOW 10920-20KP</v>
          </cell>
          <cell r="E5244" t="str">
            <v>ZTRD</v>
          </cell>
          <cell r="F5244" t="str">
            <v>PC</v>
          </cell>
          <cell r="G5244" t="str">
            <v>W</v>
          </cell>
          <cell r="H5244" t="str">
            <v>TRD INDUSTRY</v>
          </cell>
          <cell r="I5244" t="str">
            <v>W1</v>
          </cell>
          <cell r="J5244" t="str">
            <v>WOOD COATINGS</v>
          </cell>
          <cell r="K5244" t="str">
            <v>W106</v>
          </cell>
          <cell r="L5244" t="str">
            <v>UV</v>
          </cell>
          <cell r="M5244" t="str">
            <v>W10606</v>
          </cell>
          <cell r="N5244" t="str">
            <v>UV STAIN</v>
          </cell>
        </row>
        <row r="5245">
          <cell r="C5245" t="str">
            <v>170000089</v>
          </cell>
          <cell r="D5245" t="str">
            <v>UVS-20600 RED 30130-20KP</v>
          </cell>
          <cell r="E5245" t="str">
            <v>ZTRD</v>
          </cell>
          <cell r="F5245" t="str">
            <v>PC</v>
          </cell>
          <cell r="G5245" t="str">
            <v>W</v>
          </cell>
          <cell r="H5245" t="str">
            <v>TRD INDUSTRY</v>
          </cell>
          <cell r="I5245" t="str">
            <v>W1</v>
          </cell>
          <cell r="J5245" t="str">
            <v>WOOD COATINGS</v>
          </cell>
          <cell r="K5245" t="str">
            <v>W106</v>
          </cell>
          <cell r="L5245" t="str">
            <v>UV</v>
          </cell>
          <cell r="M5245" t="str">
            <v>W10606</v>
          </cell>
          <cell r="N5245" t="str">
            <v>UV STAIN</v>
          </cell>
        </row>
        <row r="5246">
          <cell r="C5246" t="str">
            <v>170000090</v>
          </cell>
          <cell r="D5246" t="str">
            <v>UVS-20600 WHITE 02310-20KP</v>
          </cell>
          <cell r="E5246" t="str">
            <v>ZTRD</v>
          </cell>
          <cell r="F5246" t="str">
            <v>PC</v>
          </cell>
          <cell r="G5246" t="str">
            <v>W</v>
          </cell>
          <cell r="H5246" t="str">
            <v>TRD INDUSTRY</v>
          </cell>
          <cell r="I5246" t="str">
            <v>W1</v>
          </cell>
          <cell r="J5246" t="str">
            <v>WOOD COATINGS</v>
          </cell>
          <cell r="K5246" t="str">
            <v>W106</v>
          </cell>
          <cell r="L5246" t="str">
            <v>UV</v>
          </cell>
          <cell r="M5246" t="str">
            <v>W10606</v>
          </cell>
          <cell r="N5246" t="str">
            <v>UV STAIN</v>
          </cell>
        </row>
        <row r="5247">
          <cell r="C5247" t="str">
            <v>170000091</v>
          </cell>
          <cell r="D5247" t="str">
            <v>UVS-20600 BLACK 90200-20KP</v>
          </cell>
          <cell r="E5247" t="str">
            <v>ZTRD</v>
          </cell>
          <cell r="F5247" t="str">
            <v>PC</v>
          </cell>
          <cell r="G5247" t="str">
            <v>W</v>
          </cell>
          <cell r="H5247" t="str">
            <v>TRD INDUSTRY</v>
          </cell>
          <cell r="I5247" t="str">
            <v>W1</v>
          </cell>
          <cell r="J5247" t="str">
            <v>WOOD COATINGS</v>
          </cell>
          <cell r="K5247" t="str">
            <v>W106</v>
          </cell>
          <cell r="L5247" t="str">
            <v>UV</v>
          </cell>
          <cell r="M5247" t="str">
            <v>W10606</v>
          </cell>
          <cell r="N5247" t="str">
            <v>UV STAIN</v>
          </cell>
        </row>
        <row r="5248">
          <cell r="C5248" t="str">
            <v>170000092</v>
          </cell>
          <cell r="D5248" t="str">
            <v>UVS-20600 CLEAR BASE-20KP</v>
          </cell>
          <cell r="E5248" t="str">
            <v>ZTRD</v>
          </cell>
          <cell r="F5248" t="str">
            <v>PC</v>
          </cell>
          <cell r="G5248" t="str">
            <v>W</v>
          </cell>
          <cell r="H5248" t="str">
            <v>TRD INDUSTRY</v>
          </cell>
          <cell r="I5248" t="str">
            <v>W1</v>
          </cell>
          <cell r="J5248" t="str">
            <v>WOOD COATINGS</v>
          </cell>
          <cell r="K5248" t="str">
            <v>W106</v>
          </cell>
          <cell r="L5248" t="str">
            <v>UV</v>
          </cell>
          <cell r="M5248" t="str">
            <v>W10606</v>
          </cell>
          <cell r="N5248" t="str">
            <v>UV STAIN</v>
          </cell>
        </row>
        <row r="5249">
          <cell r="C5249" t="str">
            <v>170000093</v>
          </cell>
          <cell r="D5249" t="str">
            <v>PRCC-10351 WBC POLYESTER TOA-250KK</v>
          </cell>
          <cell r="E5249" t="str">
            <v>ZTRD</v>
          </cell>
          <cell r="F5249" t="str">
            <v>PC</v>
          </cell>
          <cell r="G5249" t="str">
            <v>W</v>
          </cell>
          <cell r="H5249" t="str">
            <v>TRD INDUSTRY</v>
          </cell>
          <cell r="I5249" t="str">
            <v>W2</v>
          </cell>
          <cell r="J5249" t="str">
            <v>CAN COATINGS</v>
          </cell>
          <cell r="K5249" t="str">
            <v>W201</v>
          </cell>
          <cell r="L5249" t="str">
            <v>CAN COATINGS</v>
          </cell>
          <cell r="M5249" t="str">
            <v>W20101</v>
          </cell>
          <cell r="N5249" t="str">
            <v>CAN COATINGS</v>
          </cell>
        </row>
        <row r="5250">
          <cell r="C5250" t="str">
            <v>170000094</v>
          </cell>
          <cell r="D5250" t="str">
            <v>WBL-63217 EX CC CLEAR 15-200LB</v>
          </cell>
          <cell r="E5250" t="str">
            <v>ZTRD</v>
          </cell>
          <cell r="F5250" t="str">
            <v>PC</v>
          </cell>
          <cell r="G5250" t="str">
            <v>W</v>
          </cell>
          <cell r="H5250" t="str">
            <v>TRD INDUSTRY</v>
          </cell>
          <cell r="I5250" t="str">
            <v>W1</v>
          </cell>
          <cell r="J5250" t="str">
            <v>WOOD COATINGS</v>
          </cell>
          <cell r="K5250" t="str">
            <v>W119</v>
          </cell>
          <cell r="L5250" t="str">
            <v>WATERBASED</v>
          </cell>
          <cell r="M5250" t="str">
            <v>W11901</v>
          </cell>
          <cell r="N5250" t="str">
            <v>WATERBASED SYSTEM EXTERIOR</v>
          </cell>
        </row>
        <row r="5251">
          <cell r="C5251" t="str">
            <v>170000095</v>
          </cell>
          <cell r="D5251" t="str">
            <v>DP-4011 PRIMER-18LP</v>
          </cell>
          <cell r="E5251" t="str">
            <v>ZTRD</v>
          </cell>
          <cell r="F5251" t="str">
            <v>PC</v>
          </cell>
          <cell r="G5251" t="str">
            <v>3</v>
          </cell>
          <cell r="H5251" t="str">
            <v>TRADING</v>
          </cell>
          <cell r="I5251" t="str">
            <v>38</v>
          </cell>
          <cell r="J5251" t="str">
            <v>ALKANA TRADING</v>
          </cell>
          <cell r="K5251" t="str">
            <v>3801</v>
          </cell>
          <cell r="L5251" t="str">
            <v>COATING</v>
          </cell>
          <cell r="M5251" t="str">
            <v>380101</v>
          </cell>
          <cell r="N5251" t="str">
            <v>DECOR PLAST</v>
          </cell>
        </row>
        <row r="5252">
          <cell r="C5252" t="str">
            <v>170000099</v>
          </cell>
          <cell r="D5252" t="str">
            <v>DP-4010 BLOSSOM 1149-18LP</v>
          </cell>
          <cell r="E5252" t="str">
            <v>ZTRD</v>
          </cell>
          <cell r="F5252" t="str">
            <v>PC</v>
          </cell>
          <cell r="G5252" t="str">
            <v>3</v>
          </cell>
          <cell r="H5252" t="str">
            <v>TRADING</v>
          </cell>
          <cell r="I5252" t="str">
            <v>38</v>
          </cell>
          <cell r="J5252" t="str">
            <v>ALKANA TRADING</v>
          </cell>
          <cell r="K5252" t="str">
            <v>3801</v>
          </cell>
          <cell r="L5252" t="str">
            <v>COATING</v>
          </cell>
          <cell r="M5252" t="str">
            <v>380101</v>
          </cell>
          <cell r="N5252" t="str">
            <v>DECOR PLAST</v>
          </cell>
        </row>
        <row r="5253">
          <cell r="C5253" t="str">
            <v>170000105</v>
          </cell>
          <cell r="D5253" t="str">
            <v>DP-4010 PRIME WHITE 5105-18LP</v>
          </cell>
          <cell r="E5253" t="str">
            <v>ZTRD</v>
          </cell>
          <cell r="F5253" t="str">
            <v>PC</v>
          </cell>
          <cell r="G5253" t="str">
            <v>3</v>
          </cell>
          <cell r="H5253" t="str">
            <v>TRADING</v>
          </cell>
          <cell r="I5253" t="str">
            <v>38</v>
          </cell>
          <cell r="J5253" t="str">
            <v>ALKANA TRADING</v>
          </cell>
          <cell r="K5253" t="str">
            <v>3801</v>
          </cell>
          <cell r="L5253" t="str">
            <v>COATING</v>
          </cell>
          <cell r="M5253" t="str">
            <v>380101</v>
          </cell>
          <cell r="N5253" t="str">
            <v>DECOR PLAST</v>
          </cell>
        </row>
        <row r="5254">
          <cell r="C5254" t="str">
            <v>170000109</v>
          </cell>
          <cell r="D5254" t="str">
            <v>DP-4010 ICE AGE 6114-18LP</v>
          </cell>
          <cell r="E5254" t="str">
            <v>ZTRD</v>
          </cell>
          <cell r="F5254" t="str">
            <v>PC</v>
          </cell>
          <cell r="G5254" t="str">
            <v>3</v>
          </cell>
          <cell r="H5254" t="str">
            <v>TRADING</v>
          </cell>
          <cell r="I5254" t="str">
            <v>38</v>
          </cell>
          <cell r="J5254" t="str">
            <v>ALKANA TRADING</v>
          </cell>
          <cell r="K5254" t="str">
            <v>3801</v>
          </cell>
          <cell r="L5254" t="str">
            <v>COATING</v>
          </cell>
          <cell r="M5254" t="str">
            <v>380101</v>
          </cell>
          <cell r="N5254" t="str">
            <v>DECOR PLAST</v>
          </cell>
        </row>
        <row r="5255">
          <cell r="C5255" t="str">
            <v>170000121</v>
          </cell>
          <cell r="D5255" t="str">
            <v>DP-4010 WHITE 9101-18LP</v>
          </cell>
          <cell r="E5255" t="str">
            <v>ZTRD</v>
          </cell>
          <cell r="F5255" t="str">
            <v>PC</v>
          </cell>
          <cell r="G5255" t="str">
            <v>3</v>
          </cell>
          <cell r="H5255" t="str">
            <v>TRADING</v>
          </cell>
          <cell r="I5255" t="str">
            <v>38</v>
          </cell>
          <cell r="J5255" t="str">
            <v>ALKANA TRADING</v>
          </cell>
          <cell r="K5255" t="str">
            <v>3801</v>
          </cell>
          <cell r="L5255" t="str">
            <v>COATING</v>
          </cell>
          <cell r="M5255" t="str">
            <v>380101</v>
          </cell>
          <cell r="N5255" t="str">
            <v>DECOR PLAST</v>
          </cell>
        </row>
        <row r="5256">
          <cell r="C5256" t="str">
            <v>170000172</v>
          </cell>
          <cell r="D5256" t="str">
            <v>DP-4010 GREAT WHITE 0601-18LP</v>
          </cell>
          <cell r="E5256" t="str">
            <v>ZTRD</v>
          </cell>
          <cell r="F5256" t="str">
            <v>PC</v>
          </cell>
          <cell r="G5256" t="str">
            <v>3</v>
          </cell>
          <cell r="H5256" t="str">
            <v>TRADING</v>
          </cell>
          <cell r="I5256" t="str">
            <v>38</v>
          </cell>
          <cell r="J5256" t="str">
            <v>ALKANA TRADING</v>
          </cell>
          <cell r="K5256" t="str">
            <v>3801</v>
          </cell>
          <cell r="L5256" t="str">
            <v>COATING</v>
          </cell>
          <cell r="M5256" t="str">
            <v>380101</v>
          </cell>
          <cell r="N5256" t="str">
            <v>DECOR PLAST</v>
          </cell>
        </row>
        <row r="5257">
          <cell r="C5257" t="str">
            <v>170000187</v>
          </cell>
          <cell r="D5257" t="str">
            <v>ULTRAMAS-40KZ</v>
          </cell>
          <cell r="E5257" t="str">
            <v>ZTRD</v>
          </cell>
          <cell r="F5257" t="str">
            <v>PC</v>
          </cell>
          <cell r="G5257" t="str">
            <v>3</v>
          </cell>
          <cell r="H5257" t="str">
            <v>TRADING</v>
          </cell>
          <cell r="I5257" t="str">
            <v>38</v>
          </cell>
          <cell r="J5257" t="str">
            <v>ALKANA TRADING</v>
          </cell>
          <cell r="K5257" t="str">
            <v>3801</v>
          </cell>
          <cell r="L5257" t="str">
            <v>COATING</v>
          </cell>
          <cell r="M5257" t="str">
            <v>380102</v>
          </cell>
          <cell r="N5257" t="str">
            <v>ULTRAMAS</v>
          </cell>
        </row>
        <row r="5258">
          <cell r="C5258" t="str">
            <v>170000189</v>
          </cell>
          <cell r="D5258" t="str">
            <v>UVF-10514 NM-20KP</v>
          </cell>
          <cell r="E5258" t="str">
            <v>ZTRD</v>
          </cell>
          <cell r="F5258" t="str">
            <v>PC</v>
          </cell>
          <cell r="G5258" t="str">
            <v>W</v>
          </cell>
          <cell r="H5258" t="str">
            <v>TRD INDUSTRY</v>
          </cell>
          <cell r="I5258" t="str">
            <v>W1</v>
          </cell>
          <cell r="J5258" t="str">
            <v>WOOD COATINGS</v>
          </cell>
          <cell r="K5258" t="str">
            <v>W106</v>
          </cell>
          <cell r="L5258" t="str">
            <v>UV</v>
          </cell>
          <cell r="M5258" t="str">
            <v>W10603</v>
          </cell>
          <cell r="N5258" t="str">
            <v>UV FILLER</v>
          </cell>
        </row>
        <row r="5259">
          <cell r="C5259" t="str">
            <v>170000192</v>
          </cell>
          <cell r="D5259" t="str">
            <v>UVB-30500-20KP</v>
          </cell>
          <cell r="E5259" t="str">
            <v>ZTRD</v>
          </cell>
          <cell r="F5259" t="str">
            <v>PC</v>
          </cell>
          <cell r="G5259" t="str">
            <v>W</v>
          </cell>
          <cell r="H5259" t="str">
            <v>TRD INDUSTRY</v>
          </cell>
          <cell r="I5259" t="str">
            <v>W1</v>
          </cell>
          <cell r="J5259" t="str">
            <v>WOOD COATINGS</v>
          </cell>
          <cell r="K5259" t="str">
            <v>W106</v>
          </cell>
          <cell r="L5259" t="str">
            <v>UV</v>
          </cell>
          <cell r="M5259" t="str">
            <v>W10601</v>
          </cell>
          <cell r="N5259" t="str">
            <v>UV BARRIER</v>
          </cell>
        </row>
        <row r="5260">
          <cell r="C5260" t="str">
            <v>170000229</v>
          </cell>
          <cell r="D5260" t="str">
            <v>SICOSOL-2.5L</v>
          </cell>
          <cell r="E5260" t="str">
            <v>ZTRD</v>
          </cell>
          <cell r="F5260" t="str">
            <v>PC</v>
          </cell>
          <cell r="G5260" t="str">
            <v>X</v>
          </cell>
          <cell r="H5260" t="str">
            <v>TRD RETAIL</v>
          </cell>
          <cell r="I5260" t="str">
            <v>X6</v>
          </cell>
          <cell r="J5260" t="str">
            <v>SFC</v>
          </cell>
          <cell r="K5260" t="str">
            <v>X601</v>
          </cell>
          <cell r="L5260" t="str">
            <v>STONE CARE</v>
          </cell>
          <cell r="M5260" t="str">
            <v>X60104</v>
          </cell>
          <cell r="N5260" t="str">
            <v>SICOSOL</v>
          </cell>
        </row>
        <row r="5261">
          <cell r="C5261" t="str">
            <v>170000232</v>
          </cell>
          <cell r="D5261" t="str">
            <v>ULTRAN USE-60 CLEAR GLOSS-1LS</v>
          </cell>
          <cell r="E5261" t="str">
            <v>ZTRD</v>
          </cell>
          <cell r="F5261" t="str">
            <v>SET</v>
          </cell>
          <cell r="G5261" t="str">
            <v>X</v>
          </cell>
          <cell r="H5261" t="str">
            <v>TRD RETAIL</v>
          </cell>
          <cell r="I5261" t="str">
            <v>X9</v>
          </cell>
          <cell r="J5261" t="str">
            <v>MPC</v>
          </cell>
          <cell r="K5261" t="str">
            <v>X903</v>
          </cell>
          <cell r="L5261" t="str">
            <v>ULTRAN SUPER ENAMEL</v>
          </cell>
          <cell r="M5261" t="str">
            <v>X90301</v>
          </cell>
          <cell r="N5261" t="str">
            <v>ULTRAN SUPER ENAMEL</v>
          </cell>
        </row>
        <row r="5262">
          <cell r="C5262" t="str">
            <v>170000233</v>
          </cell>
          <cell r="D5262" t="str">
            <v>STONKOTE SFC-633 CLEAR GLOSS-1LS</v>
          </cell>
          <cell r="E5262" t="str">
            <v>ZTRD</v>
          </cell>
          <cell r="F5262" t="str">
            <v>SET</v>
          </cell>
          <cell r="G5262" t="str">
            <v>X</v>
          </cell>
          <cell r="H5262" t="str">
            <v>TRD RETAIL</v>
          </cell>
          <cell r="I5262" t="str">
            <v>X6</v>
          </cell>
          <cell r="J5262" t="str">
            <v>SFC</v>
          </cell>
          <cell r="K5262" t="str">
            <v>X601</v>
          </cell>
          <cell r="L5262" t="str">
            <v>STONE CARE</v>
          </cell>
          <cell r="M5262" t="str">
            <v>X60106</v>
          </cell>
          <cell r="N5262" t="str">
            <v>STONKOTE</v>
          </cell>
        </row>
        <row r="5263">
          <cell r="C5263" t="str">
            <v>170000311</v>
          </cell>
          <cell r="D5263" t="str">
            <v>NYSS-21100 AC-20LP</v>
          </cell>
          <cell r="E5263" t="str">
            <v>ZTRD</v>
          </cell>
          <cell r="F5263" t="str">
            <v>PC</v>
          </cell>
          <cell r="G5263" t="str">
            <v>W</v>
          </cell>
          <cell r="H5263" t="str">
            <v>TRD INDUSTRY</v>
          </cell>
          <cell r="I5263" t="str">
            <v>W1</v>
          </cell>
          <cell r="J5263" t="str">
            <v>WOOD COATINGS</v>
          </cell>
          <cell r="K5263" t="str">
            <v>W104</v>
          </cell>
          <cell r="L5263" t="str">
            <v>NC</v>
          </cell>
          <cell r="M5263" t="str">
            <v>W10406</v>
          </cell>
          <cell r="N5263" t="str">
            <v>NON YELLOWING SYSTEM</v>
          </cell>
        </row>
        <row r="5264">
          <cell r="C5264" t="str">
            <v>170000312</v>
          </cell>
          <cell r="D5264" t="str">
            <v>NYL-21200 AC CLEAR 10-20LP</v>
          </cell>
          <cell r="E5264" t="str">
            <v>ZTRD</v>
          </cell>
          <cell r="F5264" t="str">
            <v>PC</v>
          </cell>
          <cell r="G5264" t="str">
            <v>W</v>
          </cell>
          <cell r="H5264" t="str">
            <v>TRD INDUSTRY</v>
          </cell>
          <cell r="I5264" t="str">
            <v>W1</v>
          </cell>
          <cell r="J5264" t="str">
            <v>WOOD COATINGS</v>
          </cell>
          <cell r="K5264" t="str">
            <v>W104</v>
          </cell>
          <cell r="L5264" t="str">
            <v>NC</v>
          </cell>
          <cell r="M5264" t="str">
            <v>W10406</v>
          </cell>
          <cell r="N5264" t="str">
            <v>NON YELLOWING SYSTEM</v>
          </cell>
        </row>
        <row r="5265">
          <cell r="C5265" t="str">
            <v>170000313</v>
          </cell>
          <cell r="D5265" t="str">
            <v>MDC-23700 SILVER 07850-20KP</v>
          </cell>
          <cell r="E5265" t="str">
            <v>ZTRD</v>
          </cell>
          <cell r="F5265" t="str">
            <v>PC</v>
          </cell>
          <cell r="G5265" t="str">
            <v>W</v>
          </cell>
          <cell r="H5265" t="str">
            <v>TRD INDUSTRY</v>
          </cell>
          <cell r="I5265" t="str">
            <v>W6</v>
          </cell>
          <cell r="J5265" t="str">
            <v>METAL COATINGS</v>
          </cell>
          <cell r="K5265" t="str">
            <v>W601</v>
          </cell>
          <cell r="L5265" t="str">
            <v>METAL COATINGS</v>
          </cell>
          <cell r="M5265" t="str">
            <v>W60101</v>
          </cell>
          <cell r="N5265" t="str">
            <v>METAL COATINGS</v>
          </cell>
        </row>
        <row r="5266">
          <cell r="C5266" t="str">
            <v>170000314</v>
          </cell>
          <cell r="D5266" t="str">
            <v>PRCC-40301 A SIDE STRIPE LACQUER-5K</v>
          </cell>
          <cell r="E5266" t="str">
            <v>ZTRD</v>
          </cell>
          <cell r="F5266" t="str">
            <v>PC</v>
          </cell>
          <cell r="G5266" t="str">
            <v>W</v>
          </cell>
          <cell r="H5266" t="str">
            <v>TRD INDUSTRY</v>
          </cell>
          <cell r="I5266" t="str">
            <v>W2</v>
          </cell>
          <cell r="J5266" t="str">
            <v>CAN COATINGS</v>
          </cell>
          <cell r="K5266" t="str">
            <v>W201</v>
          </cell>
          <cell r="L5266" t="str">
            <v>CAN COATINGS</v>
          </cell>
          <cell r="M5266" t="str">
            <v>W20101</v>
          </cell>
          <cell r="N5266" t="str">
            <v>CAN COATINGS</v>
          </cell>
        </row>
        <row r="5267">
          <cell r="C5267" t="str">
            <v>170000315</v>
          </cell>
          <cell r="D5267" t="str">
            <v>PRCC-40301 B SIDE STRIPE LACQUER-5K</v>
          </cell>
          <cell r="E5267" t="str">
            <v>ZTRD</v>
          </cell>
          <cell r="F5267" t="str">
            <v>PC</v>
          </cell>
          <cell r="G5267" t="str">
            <v>W</v>
          </cell>
          <cell r="H5267" t="str">
            <v>TRD INDUSTRY</v>
          </cell>
          <cell r="I5267" t="str">
            <v>W2</v>
          </cell>
          <cell r="J5267" t="str">
            <v>CAN COATINGS</v>
          </cell>
          <cell r="K5267" t="str">
            <v>W201</v>
          </cell>
          <cell r="L5267" t="str">
            <v>CAN COATINGS</v>
          </cell>
          <cell r="M5267" t="str">
            <v>W20101</v>
          </cell>
          <cell r="N5267" t="str">
            <v>CAN COATINGS</v>
          </cell>
        </row>
        <row r="5268">
          <cell r="C5268" t="str">
            <v>170000316</v>
          </cell>
          <cell r="D5268" t="str">
            <v>PRCC-10208 WBC ALK MMD 310-250KK</v>
          </cell>
          <cell r="E5268" t="str">
            <v>ZTRD</v>
          </cell>
          <cell r="F5268" t="str">
            <v>PC</v>
          </cell>
          <cell r="G5268" t="str">
            <v>W</v>
          </cell>
          <cell r="H5268" t="str">
            <v>TRD INDUSTRY</v>
          </cell>
          <cell r="I5268" t="str">
            <v>W2</v>
          </cell>
          <cell r="J5268" t="str">
            <v>CAN COATINGS</v>
          </cell>
          <cell r="K5268" t="str">
            <v>W201</v>
          </cell>
          <cell r="L5268" t="str">
            <v>CAN COATINGS</v>
          </cell>
          <cell r="M5268" t="str">
            <v>W20101</v>
          </cell>
          <cell r="N5268" t="str">
            <v>CAN COATINGS</v>
          </cell>
        </row>
        <row r="5269">
          <cell r="C5269" t="str">
            <v>170000317</v>
          </cell>
          <cell r="D5269" t="str">
            <v>PRCC-20306 POLYESTER VARNISH-200KK</v>
          </cell>
          <cell r="E5269" t="str">
            <v>ZTRD</v>
          </cell>
          <cell r="F5269" t="str">
            <v>PC</v>
          </cell>
          <cell r="G5269" t="str">
            <v>W</v>
          </cell>
          <cell r="H5269" t="str">
            <v>TRD INDUSTRY</v>
          </cell>
          <cell r="I5269" t="str">
            <v>W2</v>
          </cell>
          <cell r="J5269" t="str">
            <v>CAN COATINGS</v>
          </cell>
          <cell r="K5269" t="str">
            <v>W201</v>
          </cell>
          <cell r="L5269" t="str">
            <v>CAN COATINGS</v>
          </cell>
          <cell r="M5269" t="str">
            <v>W20101</v>
          </cell>
          <cell r="N5269" t="str">
            <v>CAN COATINGS</v>
          </cell>
        </row>
        <row r="5270">
          <cell r="C5270" t="str">
            <v>170000318</v>
          </cell>
          <cell r="D5270" t="str">
            <v>PRCC-30301 INTERNAL KEY LACQUER-200KK</v>
          </cell>
          <cell r="E5270" t="str">
            <v>ZTRD</v>
          </cell>
          <cell r="F5270" t="str">
            <v>PC</v>
          </cell>
          <cell r="G5270" t="str">
            <v>W</v>
          </cell>
          <cell r="H5270" t="str">
            <v>TRD INDUSTRY</v>
          </cell>
          <cell r="I5270" t="str">
            <v>W2</v>
          </cell>
          <cell r="J5270" t="str">
            <v>CAN COATINGS</v>
          </cell>
          <cell r="K5270" t="str">
            <v>W201</v>
          </cell>
          <cell r="L5270" t="str">
            <v>CAN COATINGS</v>
          </cell>
          <cell r="M5270" t="str">
            <v>W20101</v>
          </cell>
          <cell r="N5270" t="str">
            <v>CAN COATINGS</v>
          </cell>
        </row>
        <row r="5271">
          <cell r="C5271" t="str">
            <v>170000319</v>
          </cell>
          <cell r="D5271" t="str">
            <v>PRCC-10311 WBC POL QH-250KK</v>
          </cell>
          <cell r="E5271" t="str">
            <v>ZTRD</v>
          </cell>
          <cell r="F5271" t="str">
            <v>PC</v>
          </cell>
          <cell r="G5271" t="str">
            <v>W</v>
          </cell>
          <cell r="H5271" t="str">
            <v>TRD INDUSTRY</v>
          </cell>
          <cell r="I5271" t="str">
            <v>W2</v>
          </cell>
          <cell r="J5271" t="str">
            <v>CAN COATINGS</v>
          </cell>
          <cell r="K5271" t="str">
            <v>W201</v>
          </cell>
          <cell r="L5271" t="str">
            <v>CAN COATINGS</v>
          </cell>
          <cell r="M5271" t="str">
            <v>W20101</v>
          </cell>
          <cell r="N5271" t="str">
            <v>CAN COATINGS</v>
          </cell>
        </row>
        <row r="5272">
          <cell r="C5272" t="str">
            <v>170000320</v>
          </cell>
          <cell r="D5272" t="str">
            <v>PRCC-20424 EE CLEAR VARNISH-200KK</v>
          </cell>
          <cell r="E5272" t="str">
            <v>ZTRD</v>
          </cell>
          <cell r="F5272" t="str">
            <v>PC</v>
          </cell>
          <cell r="G5272" t="str">
            <v>W</v>
          </cell>
          <cell r="H5272" t="str">
            <v>TRD INDUSTRY</v>
          </cell>
          <cell r="I5272" t="str">
            <v>W2</v>
          </cell>
          <cell r="J5272" t="str">
            <v>CAN COATINGS</v>
          </cell>
          <cell r="K5272" t="str">
            <v>W201</v>
          </cell>
          <cell r="L5272" t="str">
            <v>CAN COATINGS</v>
          </cell>
          <cell r="M5272" t="str">
            <v>W20101</v>
          </cell>
          <cell r="N5272" t="str">
            <v>CAN COATINGS</v>
          </cell>
        </row>
        <row r="5273">
          <cell r="C5273" t="str">
            <v>170000328</v>
          </cell>
          <cell r="D5273" t="str">
            <v>DP-4010 SUPER WHITE 9102 A-18LP</v>
          </cell>
          <cell r="E5273" t="str">
            <v>ZTRD</v>
          </cell>
          <cell r="F5273" t="str">
            <v>PC</v>
          </cell>
          <cell r="G5273" t="str">
            <v>3</v>
          </cell>
          <cell r="H5273" t="str">
            <v>TRADING</v>
          </cell>
          <cell r="I5273" t="str">
            <v>38</v>
          </cell>
          <cell r="J5273" t="str">
            <v>ALKANA TRADING</v>
          </cell>
          <cell r="K5273" t="str">
            <v>3801</v>
          </cell>
          <cell r="L5273" t="str">
            <v>COATING</v>
          </cell>
          <cell r="M5273" t="str">
            <v>380101</v>
          </cell>
          <cell r="N5273" t="str">
            <v>DECOR PLAST</v>
          </cell>
        </row>
        <row r="5274">
          <cell r="C5274" t="str">
            <v>170000329</v>
          </cell>
          <cell r="D5274" t="str">
            <v>DP-4010 PAPER LACE 1102-18LP</v>
          </cell>
          <cell r="E5274" t="str">
            <v>ZTRD</v>
          </cell>
          <cell r="F5274" t="str">
            <v>PC</v>
          </cell>
          <cell r="G5274" t="str">
            <v>3</v>
          </cell>
          <cell r="H5274" t="str">
            <v>TRADING</v>
          </cell>
          <cell r="I5274" t="str">
            <v>38</v>
          </cell>
          <cell r="J5274" t="str">
            <v>ALKANA TRADING</v>
          </cell>
          <cell r="K5274" t="str">
            <v>3801</v>
          </cell>
          <cell r="L5274" t="str">
            <v>COATING</v>
          </cell>
          <cell r="M5274" t="str">
            <v>380101</v>
          </cell>
          <cell r="N5274" t="str">
            <v>DECOR PLAST</v>
          </cell>
        </row>
        <row r="5275">
          <cell r="C5275" t="str">
            <v>170000388</v>
          </cell>
          <cell r="D5275" t="str">
            <v>SYNTHETIC 3000 RX SILVER-9106-0.8L</v>
          </cell>
          <cell r="E5275" t="str">
            <v>ZTRD</v>
          </cell>
          <cell r="F5275" t="str">
            <v>PC</v>
          </cell>
          <cell r="G5275" t="str">
            <v>X</v>
          </cell>
          <cell r="H5275" t="str">
            <v>TRD RETAIL</v>
          </cell>
          <cell r="I5275" t="str">
            <v>X9</v>
          </cell>
          <cell r="J5275" t="str">
            <v>MPC</v>
          </cell>
          <cell r="K5275" t="str">
            <v>X902</v>
          </cell>
          <cell r="L5275" t="str">
            <v>SYNTHETIC ENAMEL SB</v>
          </cell>
          <cell r="M5275" t="str">
            <v>X90203</v>
          </cell>
          <cell r="N5275" t="str">
            <v>SYNTHETIC 3000</v>
          </cell>
        </row>
        <row r="5276">
          <cell r="C5276" t="str">
            <v>170000403</v>
          </cell>
          <cell r="D5276" t="str">
            <v>UPL-77 E CLEAR GLOSS-3LS</v>
          </cell>
          <cell r="E5276" t="str">
            <v>ZTRD</v>
          </cell>
          <cell r="F5276" t="str">
            <v>SET</v>
          </cell>
          <cell r="G5276" t="str">
            <v>X</v>
          </cell>
          <cell r="H5276" t="str">
            <v>TRD RETAIL</v>
          </cell>
          <cell r="I5276" t="str">
            <v>X4</v>
          </cell>
          <cell r="J5276" t="str">
            <v>WF3</v>
          </cell>
          <cell r="K5276" t="str">
            <v>X413</v>
          </cell>
          <cell r="L5276" t="str">
            <v>ULTRAN</v>
          </cell>
          <cell r="M5276" t="str">
            <v>X41301</v>
          </cell>
          <cell r="N5276" t="str">
            <v>ULTRAN PARQUET LACK</v>
          </cell>
        </row>
        <row r="5277">
          <cell r="C5277" t="str">
            <v>170000404</v>
          </cell>
          <cell r="D5277" t="str">
            <v>UPL-77 E CLEAR MATT-3LS</v>
          </cell>
          <cell r="E5277" t="str">
            <v>ZTRD</v>
          </cell>
          <cell r="F5277" t="str">
            <v>SET</v>
          </cell>
          <cell r="G5277" t="str">
            <v>X</v>
          </cell>
          <cell r="H5277" t="str">
            <v>TRD RETAIL</v>
          </cell>
          <cell r="I5277" t="str">
            <v>X4</v>
          </cell>
          <cell r="J5277" t="str">
            <v>WF3</v>
          </cell>
          <cell r="K5277" t="str">
            <v>X413</v>
          </cell>
          <cell r="L5277" t="str">
            <v>ULTRAN</v>
          </cell>
          <cell r="M5277" t="str">
            <v>X41301</v>
          </cell>
          <cell r="N5277" t="str">
            <v>ULTRAN PARQUET LACK</v>
          </cell>
        </row>
        <row r="5278">
          <cell r="C5278" t="str">
            <v>170000405</v>
          </cell>
          <cell r="D5278" t="str">
            <v>UPL-77 E SEMI GLOSS-3LS</v>
          </cell>
          <cell r="E5278" t="str">
            <v>ZTRD</v>
          </cell>
          <cell r="F5278" t="str">
            <v>SET</v>
          </cell>
          <cell r="G5278" t="str">
            <v>X</v>
          </cell>
          <cell r="H5278" t="str">
            <v>TRD RETAIL</v>
          </cell>
          <cell r="I5278" t="str">
            <v>X4</v>
          </cell>
          <cell r="J5278" t="str">
            <v>WF3</v>
          </cell>
          <cell r="K5278" t="str">
            <v>X413</v>
          </cell>
          <cell r="L5278" t="str">
            <v>ULTRAN</v>
          </cell>
          <cell r="M5278" t="str">
            <v>X41301</v>
          </cell>
          <cell r="N5278" t="str">
            <v>ULTRAN PARQUET LACK</v>
          </cell>
        </row>
        <row r="5279">
          <cell r="C5279" t="str">
            <v>170000411</v>
          </cell>
          <cell r="D5279" t="str">
            <v>DP-4010 LEMON LIGHT 1156-3.8L</v>
          </cell>
          <cell r="E5279" t="str">
            <v>ZTRD</v>
          </cell>
          <cell r="F5279" t="str">
            <v>PC</v>
          </cell>
          <cell r="G5279" t="str">
            <v>3</v>
          </cell>
          <cell r="H5279" t="str">
            <v>TRADING</v>
          </cell>
          <cell r="I5279" t="str">
            <v>38</v>
          </cell>
          <cell r="J5279" t="str">
            <v>ALKANA TRADING</v>
          </cell>
          <cell r="K5279" t="str">
            <v>3801</v>
          </cell>
          <cell r="L5279" t="str">
            <v>COATING</v>
          </cell>
          <cell r="M5279" t="str">
            <v>380101</v>
          </cell>
          <cell r="N5279" t="str">
            <v>DECOR PLAST</v>
          </cell>
        </row>
        <row r="5280">
          <cell r="C5280" t="str">
            <v>170000414</v>
          </cell>
          <cell r="D5280" t="str">
            <v>DP-4010 ICE AGE 6114-3.8L</v>
          </cell>
          <cell r="E5280" t="str">
            <v>ZTRD</v>
          </cell>
          <cell r="F5280" t="str">
            <v>PC</v>
          </cell>
          <cell r="G5280" t="str">
            <v>3</v>
          </cell>
          <cell r="H5280" t="str">
            <v>TRADING</v>
          </cell>
          <cell r="I5280" t="str">
            <v>38</v>
          </cell>
          <cell r="J5280" t="str">
            <v>ALKANA TRADING</v>
          </cell>
          <cell r="K5280" t="str">
            <v>3801</v>
          </cell>
          <cell r="L5280" t="str">
            <v>COATING</v>
          </cell>
          <cell r="M5280" t="str">
            <v>380101</v>
          </cell>
          <cell r="N5280" t="str">
            <v>DECOR PLAST</v>
          </cell>
        </row>
        <row r="5281">
          <cell r="C5281" t="str">
            <v>170000428</v>
          </cell>
          <cell r="D5281" t="str">
            <v>PRCC-30205 BUFF LACQUER-200KK</v>
          </cell>
          <cell r="E5281" t="str">
            <v>ZTRD</v>
          </cell>
          <cell r="F5281" t="str">
            <v>PC</v>
          </cell>
          <cell r="G5281" t="str">
            <v>W</v>
          </cell>
          <cell r="H5281" t="str">
            <v>TRD INDUSTRY</v>
          </cell>
          <cell r="I5281" t="str">
            <v>W2</v>
          </cell>
          <cell r="J5281" t="str">
            <v>CAN COATINGS</v>
          </cell>
          <cell r="K5281" t="str">
            <v>W201</v>
          </cell>
          <cell r="L5281" t="str">
            <v>CAN COATINGS</v>
          </cell>
          <cell r="M5281" t="str">
            <v>W20101</v>
          </cell>
          <cell r="N5281" t="str">
            <v>CAN COATINGS</v>
          </cell>
        </row>
        <row r="5282">
          <cell r="C5282" t="str">
            <v>170000429</v>
          </cell>
          <cell r="D5282" t="str">
            <v>PRCC-40102 CLEAR LACQUER-200KK</v>
          </cell>
          <cell r="E5282" t="str">
            <v>ZTRD</v>
          </cell>
          <cell r="F5282" t="str">
            <v>PC</v>
          </cell>
          <cell r="G5282" t="str">
            <v>W</v>
          </cell>
          <cell r="H5282" t="str">
            <v>TRD INDUSTRY</v>
          </cell>
          <cell r="I5282" t="str">
            <v>W2</v>
          </cell>
          <cell r="J5282" t="str">
            <v>CAN COATINGS</v>
          </cell>
          <cell r="K5282" t="str">
            <v>W201</v>
          </cell>
          <cell r="L5282" t="str">
            <v>CAN COATINGS</v>
          </cell>
          <cell r="M5282" t="str">
            <v>W20101</v>
          </cell>
          <cell r="N5282" t="str">
            <v>CAN COATINGS</v>
          </cell>
        </row>
        <row r="5283">
          <cell r="C5283" t="str">
            <v>170000430</v>
          </cell>
          <cell r="D5283" t="str">
            <v>PRCC-40113 GL NAM VIET-200KK</v>
          </cell>
          <cell r="E5283" t="str">
            <v>ZTRD</v>
          </cell>
          <cell r="F5283" t="str">
            <v>PC</v>
          </cell>
          <cell r="G5283" t="str">
            <v>W</v>
          </cell>
          <cell r="H5283" t="str">
            <v>TRD INDUSTRY</v>
          </cell>
          <cell r="I5283" t="str">
            <v>W2</v>
          </cell>
          <cell r="J5283" t="str">
            <v>CAN COATINGS</v>
          </cell>
          <cell r="K5283" t="str">
            <v>W201</v>
          </cell>
          <cell r="L5283" t="str">
            <v>CAN COATINGS</v>
          </cell>
          <cell r="M5283" t="str">
            <v>W20101</v>
          </cell>
          <cell r="N5283" t="str">
            <v>CAN COATINGS</v>
          </cell>
        </row>
        <row r="5284">
          <cell r="C5284" t="str">
            <v>170000431</v>
          </cell>
          <cell r="D5284" t="str">
            <v>DECOR DAE-550 SIGNAL RED-3312-2.5K</v>
          </cell>
          <cell r="E5284" t="str">
            <v>ZTRD</v>
          </cell>
          <cell r="F5284" t="str">
            <v>PC</v>
          </cell>
          <cell r="G5284" t="str">
            <v>Y</v>
          </cell>
          <cell r="H5284" t="str">
            <v>TRD PROJECT</v>
          </cell>
          <cell r="I5284" t="str">
            <v>Y2</v>
          </cell>
          <cell r="J5284" t="str">
            <v>APCT1</v>
          </cell>
          <cell r="K5284" t="str">
            <v>Y202</v>
          </cell>
          <cell r="L5284" t="str">
            <v>DECOR</v>
          </cell>
          <cell r="M5284" t="str">
            <v>Y20204</v>
          </cell>
          <cell r="N5284" t="str">
            <v>DECOR ACR ENAMEL SB RMX</v>
          </cell>
        </row>
        <row r="5285">
          <cell r="C5285" t="str">
            <v>170000435</v>
          </cell>
          <cell r="D5285" t="str">
            <v>UVS-20600 BLUE 50830-20KP</v>
          </cell>
          <cell r="E5285" t="str">
            <v>ZTRD</v>
          </cell>
          <cell r="F5285" t="str">
            <v>PC</v>
          </cell>
          <cell r="G5285" t="str">
            <v>W</v>
          </cell>
          <cell r="H5285" t="str">
            <v>TRD INDUSTRY</v>
          </cell>
          <cell r="I5285" t="str">
            <v>W1</v>
          </cell>
          <cell r="J5285" t="str">
            <v>WOOD COATINGS</v>
          </cell>
          <cell r="K5285" t="str">
            <v>W106</v>
          </cell>
          <cell r="L5285" t="str">
            <v>UV</v>
          </cell>
          <cell r="M5285" t="str">
            <v>W10606</v>
          </cell>
          <cell r="N5285" t="str">
            <v>UV STAIN</v>
          </cell>
        </row>
        <row r="5286">
          <cell r="C5286" t="str">
            <v>170000436</v>
          </cell>
          <cell r="D5286" t="str">
            <v>UVH-00900-1K</v>
          </cell>
          <cell r="E5286" t="str">
            <v>ZTRD</v>
          </cell>
          <cell r="F5286" t="str">
            <v>PC</v>
          </cell>
          <cell r="G5286" t="str">
            <v>W</v>
          </cell>
          <cell r="H5286" t="str">
            <v>TRD INDUSTRY</v>
          </cell>
          <cell r="I5286" t="str">
            <v>W1</v>
          </cell>
          <cell r="J5286" t="str">
            <v>WOOD COATINGS</v>
          </cell>
          <cell r="K5286" t="str">
            <v>W106</v>
          </cell>
          <cell r="L5286" t="str">
            <v>UV</v>
          </cell>
          <cell r="M5286" t="str">
            <v>W10602</v>
          </cell>
          <cell r="N5286" t="str">
            <v>UV COMPLEMENTARY</v>
          </cell>
        </row>
        <row r="5287">
          <cell r="C5287" t="str">
            <v>170000437</v>
          </cell>
          <cell r="D5287" t="str">
            <v>DECOR DAE-550 WHITE 9101-2.5K</v>
          </cell>
          <cell r="E5287" t="str">
            <v>ZTRD</v>
          </cell>
          <cell r="F5287" t="str">
            <v>PC</v>
          </cell>
          <cell r="G5287" t="str">
            <v>Y</v>
          </cell>
          <cell r="H5287" t="str">
            <v>TRD PROJECT</v>
          </cell>
          <cell r="I5287" t="str">
            <v>Y2</v>
          </cell>
          <cell r="J5287" t="str">
            <v>APCT1</v>
          </cell>
          <cell r="K5287" t="str">
            <v>Y202</v>
          </cell>
          <cell r="L5287" t="str">
            <v>DECOR</v>
          </cell>
          <cell r="M5287" t="str">
            <v>Y20204</v>
          </cell>
          <cell r="N5287" t="str">
            <v>DECOR ACR ENAMEL SB RMX</v>
          </cell>
        </row>
        <row r="5288">
          <cell r="C5288" t="str">
            <v>170000438</v>
          </cell>
          <cell r="D5288" t="str">
            <v>DECOR DAE-550 TRAFFIC YELLOW 1204-2.5K</v>
          </cell>
          <cell r="E5288" t="str">
            <v>ZTRD</v>
          </cell>
          <cell r="F5288" t="str">
            <v>PC</v>
          </cell>
          <cell r="G5288" t="str">
            <v>Y</v>
          </cell>
          <cell r="H5288" t="str">
            <v>TRD PROJECT</v>
          </cell>
          <cell r="I5288" t="str">
            <v>Y2</v>
          </cell>
          <cell r="J5288" t="str">
            <v>APCT1</v>
          </cell>
          <cell r="K5288" t="str">
            <v>Y202</v>
          </cell>
          <cell r="L5288" t="str">
            <v>DECOR</v>
          </cell>
          <cell r="M5288" t="str">
            <v>Y20204</v>
          </cell>
          <cell r="N5288" t="str">
            <v>DECOR ACR ENAMEL SB RMX</v>
          </cell>
        </row>
        <row r="5289">
          <cell r="C5289" t="str">
            <v>170000439</v>
          </cell>
          <cell r="D5289" t="str">
            <v>NCL-11300 ALC 20 SHEEN-200LB</v>
          </cell>
          <cell r="E5289" t="str">
            <v>ZTRD</v>
          </cell>
          <cell r="F5289" t="str">
            <v>PC</v>
          </cell>
          <cell r="G5289" t="str">
            <v>W</v>
          </cell>
          <cell r="H5289" t="str">
            <v>TRD INDUSTRY</v>
          </cell>
          <cell r="I5289" t="str">
            <v>W1</v>
          </cell>
          <cell r="J5289" t="str">
            <v>WOOD COATINGS</v>
          </cell>
          <cell r="K5289" t="str">
            <v>W104</v>
          </cell>
          <cell r="L5289" t="str">
            <v>NC</v>
          </cell>
          <cell r="M5289" t="str">
            <v>W10405</v>
          </cell>
          <cell r="N5289" t="str">
            <v>NC SYSTEM</v>
          </cell>
        </row>
        <row r="5290">
          <cell r="C5290" t="str">
            <v>170000440</v>
          </cell>
          <cell r="D5290" t="str">
            <v>PRCC-40145 GOLD LACQUER-200KK</v>
          </cell>
          <cell r="E5290" t="str">
            <v>ZTRD</v>
          </cell>
          <cell r="F5290" t="str">
            <v>PC</v>
          </cell>
          <cell r="G5290" t="str">
            <v>W</v>
          </cell>
          <cell r="H5290" t="str">
            <v>TRD INDUSTRY</v>
          </cell>
          <cell r="I5290" t="str">
            <v>W2</v>
          </cell>
          <cell r="J5290" t="str">
            <v>CAN COATINGS</v>
          </cell>
          <cell r="K5290" t="str">
            <v>W201</v>
          </cell>
          <cell r="L5290" t="str">
            <v>CAN COATINGS</v>
          </cell>
          <cell r="M5290" t="str">
            <v>W20101</v>
          </cell>
          <cell r="N5290" t="str">
            <v>CAN COATINGS</v>
          </cell>
        </row>
        <row r="5291">
          <cell r="C5291" t="str">
            <v>170000441</v>
          </cell>
          <cell r="D5291" t="str">
            <v>PRCC-20323 POL VARNISH-200KK</v>
          </cell>
          <cell r="E5291" t="str">
            <v>ZTRD</v>
          </cell>
          <cell r="F5291" t="str">
            <v>PC</v>
          </cell>
          <cell r="G5291" t="str">
            <v>W</v>
          </cell>
          <cell r="H5291" t="str">
            <v>TRD INDUSTRY</v>
          </cell>
          <cell r="I5291" t="str">
            <v>W2</v>
          </cell>
          <cell r="J5291" t="str">
            <v>CAN COATINGS</v>
          </cell>
          <cell r="K5291" t="str">
            <v>W201</v>
          </cell>
          <cell r="L5291" t="str">
            <v>CAN COATINGS</v>
          </cell>
          <cell r="M5291" t="str">
            <v>W20101</v>
          </cell>
          <cell r="N5291" t="str">
            <v>CAN COATINGS</v>
          </cell>
        </row>
        <row r="5292">
          <cell r="C5292" t="str">
            <v>170000446</v>
          </cell>
          <cell r="D5292" t="str">
            <v>PFT-613 MF BLUE-27.8KSZ</v>
          </cell>
          <cell r="E5292" t="str">
            <v>ZTRD</v>
          </cell>
          <cell r="F5292" t="str">
            <v>SET</v>
          </cell>
          <cell r="G5292" t="str">
            <v>Y</v>
          </cell>
          <cell r="H5292" t="str">
            <v>TRD PROJECT</v>
          </cell>
          <cell r="I5292" t="str">
            <v>Y6</v>
          </cell>
          <cell r="J5292" t="str">
            <v>CPC1</v>
          </cell>
          <cell r="K5292" t="str">
            <v>Y602</v>
          </cell>
          <cell r="L5292" t="str">
            <v>POLYFLOOR</v>
          </cell>
          <cell r="M5292" t="str">
            <v>Y60203</v>
          </cell>
          <cell r="N5292" t="str">
            <v>POLYFLOOR PU</v>
          </cell>
        </row>
        <row r="5293">
          <cell r="C5293" t="str">
            <v>170000447</v>
          </cell>
          <cell r="D5293" t="str">
            <v>WBH-69300 2K PU NY-1L</v>
          </cell>
          <cell r="E5293" t="str">
            <v>ZTRD</v>
          </cell>
          <cell r="F5293" t="str">
            <v>PC</v>
          </cell>
          <cell r="G5293" t="str">
            <v>W</v>
          </cell>
          <cell r="H5293" t="str">
            <v>TRD INDUSTRY</v>
          </cell>
          <cell r="I5293" t="str">
            <v>W1</v>
          </cell>
          <cell r="J5293" t="str">
            <v>WOOD COATINGS</v>
          </cell>
          <cell r="K5293" t="str">
            <v>W103</v>
          </cell>
          <cell r="L5293" t="str">
            <v>PU</v>
          </cell>
          <cell r="M5293" t="str">
            <v>W10316</v>
          </cell>
          <cell r="N5293" t="str">
            <v>WATERBASED PU 2K</v>
          </cell>
        </row>
        <row r="5294">
          <cell r="C5294" t="str">
            <v>170000448</v>
          </cell>
          <cell r="D5294" t="str">
            <v>PUAS-620-2K WB BLUE-20KSP</v>
          </cell>
          <cell r="E5294" t="str">
            <v>ZTRD</v>
          </cell>
          <cell r="F5294" t="str">
            <v>SET</v>
          </cell>
          <cell r="G5294" t="str">
            <v>Y</v>
          </cell>
          <cell r="H5294" t="str">
            <v>TRD PROJECT</v>
          </cell>
          <cell r="I5294" t="str">
            <v>Y6</v>
          </cell>
          <cell r="J5294" t="str">
            <v>CPC1</v>
          </cell>
          <cell r="K5294" t="str">
            <v>Y602</v>
          </cell>
          <cell r="L5294" t="str">
            <v>POLYFLOOR</v>
          </cell>
          <cell r="M5294" t="str">
            <v>Y60212</v>
          </cell>
          <cell r="N5294" t="str">
            <v>TOP SEAL</v>
          </cell>
        </row>
        <row r="5295">
          <cell r="C5295" t="str">
            <v>170000449</v>
          </cell>
          <cell r="D5295" t="str">
            <v>DP-4010 INDIAN 2412-18LP</v>
          </cell>
          <cell r="E5295" t="str">
            <v>ZTRD</v>
          </cell>
          <cell r="F5295" t="str">
            <v>PC</v>
          </cell>
          <cell r="G5295" t="str">
            <v>3</v>
          </cell>
          <cell r="H5295" t="str">
            <v>TRADING</v>
          </cell>
          <cell r="I5295" t="str">
            <v>38</v>
          </cell>
          <cell r="J5295" t="str">
            <v>ALKANA TRADING</v>
          </cell>
          <cell r="K5295" t="str">
            <v>3801</v>
          </cell>
          <cell r="L5295" t="str">
            <v>COATING</v>
          </cell>
          <cell r="M5295" t="str">
            <v>380101</v>
          </cell>
          <cell r="N5295" t="str">
            <v>DECOR PLAST</v>
          </cell>
        </row>
        <row r="5296">
          <cell r="C5296" t="str">
            <v>170000450</v>
          </cell>
          <cell r="D5296" t="str">
            <v>PRCC-10356 WBC NEW 54-250KK</v>
          </cell>
          <cell r="E5296" t="str">
            <v>ZTRD</v>
          </cell>
          <cell r="F5296" t="str">
            <v>PC</v>
          </cell>
          <cell r="G5296" t="str">
            <v>W</v>
          </cell>
          <cell r="H5296" t="str">
            <v>TRD INDUSTRY</v>
          </cell>
          <cell r="I5296" t="str">
            <v>W2</v>
          </cell>
          <cell r="J5296" t="str">
            <v>CAN COATINGS</v>
          </cell>
          <cell r="K5296" t="str">
            <v>W201</v>
          </cell>
          <cell r="L5296" t="str">
            <v>CAN COATINGS</v>
          </cell>
          <cell r="M5296" t="str">
            <v>W20101</v>
          </cell>
          <cell r="N5296" t="str">
            <v>CAN COATINGS</v>
          </cell>
        </row>
        <row r="5297">
          <cell r="C5297" t="str">
            <v>170000451</v>
          </cell>
          <cell r="D5297" t="str">
            <v>PRCC-40102 CLEAR LACQUER-20KP</v>
          </cell>
          <cell r="E5297" t="str">
            <v>ZTRD</v>
          </cell>
          <cell r="F5297" t="str">
            <v>PC</v>
          </cell>
          <cell r="G5297" t="str">
            <v>W</v>
          </cell>
          <cell r="H5297" t="str">
            <v>TRD INDUSTRY</v>
          </cell>
          <cell r="I5297" t="str">
            <v>W2</v>
          </cell>
          <cell r="J5297" t="str">
            <v>CAN COATINGS</v>
          </cell>
          <cell r="K5297" t="str">
            <v>W201</v>
          </cell>
          <cell r="L5297" t="str">
            <v>CAN COATINGS</v>
          </cell>
          <cell r="M5297" t="str">
            <v>W20101</v>
          </cell>
          <cell r="N5297" t="str">
            <v>CAN COATINGS</v>
          </cell>
        </row>
        <row r="5298">
          <cell r="C5298" t="str">
            <v>170000469</v>
          </cell>
          <cell r="D5298" t="str">
            <v>CERAKOTE CTP-980 WB-5KS</v>
          </cell>
          <cell r="E5298" t="str">
            <v>ZTRD</v>
          </cell>
          <cell r="F5298" t="str">
            <v>SET</v>
          </cell>
          <cell r="G5298" t="str">
            <v>Y</v>
          </cell>
          <cell r="H5298" t="str">
            <v>TRD PROJECT</v>
          </cell>
          <cell r="I5298" t="str">
            <v>Y6</v>
          </cell>
          <cell r="J5298" t="str">
            <v>CPC1</v>
          </cell>
          <cell r="K5298" t="str">
            <v>Y604</v>
          </cell>
          <cell r="L5298" t="str">
            <v>CERAKOTE</v>
          </cell>
          <cell r="M5298" t="str">
            <v>Y60401</v>
          </cell>
          <cell r="N5298" t="str">
            <v>CERAKOTE</v>
          </cell>
        </row>
        <row r="5299">
          <cell r="C5299" t="str">
            <v>170000470</v>
          </cell>
          <cell r="D5299" t="str">
            <v>#NU82-4020 UE AF URT WHITE A-16KP</v>
          </cell>
          <cell r="E5299" t="str">
            <v>ZTRD</v>
          </cell>
          <cell r="F5299" t="str">
            <v>PC</v>
          </cell>
          <cell r="G5299" t="str">
            <v>5</v>
          </cell>
          <cell r="H5299" t="str">
            <v>PROJECT</v>
          </cell>
          <cell r="I5299" t="str">
            <v>51</v>
          </cell>
          <cell r="J5299" t="str">
            <v>A&amp;S</v>
          </cell>
          <cell r="K5299" t="str">
            <v>5103</v>
          </cell>
          <cell r="L5299" t="str">
            <v>PU SYSTEM</v>
          </cell>
          <cell r="M5299" t="str">
            <v>510312</v>
          </cell>
          <cell r="N5299" t="str">
            <v>UNION TOP COAT</v>
          </cell>
        </row>
        <row r="5300">
          <cell r="C5300" t="str">
            <v>170000667</v>
          </cell>
          <cell r="D5300" t="str">
            <v>PC 04 BA-1L</v>
          </cell>
          <cell r="E5300" t="str">
            <v>ZTRD</v>
          </cell>
          <cell r="F5300" t="str">
            <v>PC</v>
          </cell>
          <cell r="G5300" t="str">
            <v>X</v>
          </cell>
          <cell r="H5300" t="str">
            <v>TRD RETAIL</v>
          </cell>
          <cell r="I5300" t="str">
            <v>XF</v>
          </cell>
          <cell r="J5300" t="str">
            <v>TINTING</v>
          </cell>
          <cell r="K5300" t="str">
            <v>XF04</v>
          </cell>
          <cell r="L5300" t="str">
            <v>PASTA</v>
          </cell>
          <cell r="M5300" t="str">
            <v>XF0403</v>
          </cell>
          <cell r="N5300" t="str">
            <v>PASTA SB</v>
          </cell>
        </row>
        <row r="5301">
          <cell r="C5301" t="str">
            <v>170000668</v>
          </cell>
          <cell r="D5301" t="str">
            <v>PC 04 BB-1L</v>
          </cell>
          <cell r="E5301" t="str">
            <v>ZTRD</v>
          </cell>
          <cell r="F5301" t="str">
            <v>PC</v>
          </cell>
          <cell r="G5301" t="str">
            <v>X</v>
          </cell>
          <cell r="H5301" t="str">
            <v>TRD RETAIL</v>
          </cell>
          <cell r="I5301" t="str">
            <v>XF</v>
          </cell>
          <cell r="J5301" t="str">
            <v>TINTING</v>
          </cell>
          <cell r="K5301" t="str">
            <v>XF04</v>
          </cell>
          <cell r="L5301" t="str">
            <v>PASTA</v>
          </cell>
          <cell r="M5301" t="str">
            <v>XF0403</v>
          </cell>
          <cell r="N5301" t="str">
            <v>PASTA SB</v>
          </cell>
        </row>
        <row r="5302">
          <cell r="C5302" t="str">
            <v>170000669</v>
          </cell>
          <cell r="D5302" t="str">
            <v>PC 04 GA-1L</v>
          </cell>
          <cell r="E5302" t="str">
            <v>ZTRD</v>
          </cell>
          <cell r="F5302" t="str">
            <v>PC</v>
          </cell>
          <cell r="G5302" t="str">
            <v>X</v>
          </cell>
          <cell r="H5302" t="str">
            <v>TRD RETAIL</v>
          </cell>
          <cell r="I5302" t="str">
            <v>XF</v>
          </cell>
          <cell r="J5302" t="str">
            <v>TINTING</v>
          </cell>
          <cell r="K5302" t="str">
            <v>XF04</v>
          </cell>
          <cell r="L5302" t="str">
            <v>PASTA</v>
          </cell>
          <cell r="M5302" t="str">
            <v>XF0403</v>
          </cell>
          <cell r="N5302" t="str">
            <v>PASTA SB</v>
          </cell>
        </row>
        <row r="5303">
          <cell r="C5303" t="str">
            <v>170000670</v>
          </cell>
          <cell r="D5303" t="str">
            <v>PC 04 KA-1L</v>
          </cell>
          <cell r="E5303" t="str">
            <v>ZTRD</v>
          </cell>
          <cell r="F5303" t="str">
            <v>PC</v>
          </cell>
          <cell r="G5303" t="str">
            <v>X</v>
          </cell>
          <cell r="H5303" t="str">
            <v>TRD RETAIL</v>
          </cell>
          <cell r="I5303" t="str">
            <v>XF</v>
          </cell>
          <cell r="J5303" t="str">
            <v>TINTING</v>
          </cell>
          <cell r="K5303" t="str">
            <v>XF04</v>
          </cell>
          <cell r="L5303" t="str">
            <v>PASTA</v>
          </cell>
          <cell r="M5303" t="str">
            <v>XF0403</v>
          </cell>
          <cell r="N5303" t="str">
            <v>PASTA SB</v>
          </cell>
        </row>
        <row r="5304">
          <cell r="C5304" t="str">
            <v>170000671</v>
          </cell>
          <cell r="D5304" t="str">
            <v>PC 04 RA-1L</v>
          </cell>
          <cell r="E5304" t="str">
            <v>ZTRD</v>
          </cell>
          <cell r="F5304" t="str">
            <v>PC</v>
          </cell>
          <cell r="G5304" t="str">
            <v>X</v>
          </cell>
          <cell r="H5304" t="str">
            <v>TRD RETAIL</v>
          </cell>
          <cell r="I5304" t="str">
            <v>XF</v>
          </cell>
          <cell r="J5304" t="str">
            <v>TINTING</v>
          </cell>
          <cell r="K5304" t="str">
            <v>XF04</v>
          </cell>
          <cell r="L5304" t="str">
            <v>PASTA</v>
          </cell>
          <cell r="M5304" t="str">
            <v>XF0403</v>
          </cell>
          <cell r="N5304" t="str">
            <v>PASTA SB</v>
          </cell>
        </row>
        <row r="5305">
          <cell r="C5305" t="str">
            <v>170000672</v>
          </cell>
          <cell r="D5305" t="str">
            <v>PC 04 RB-1L</v>
          </cell>
          <cell r="E5305" t="str">
            <v>ZTRD</v>
          </cell>
          <cell r="F5305" t="str">
            <v>PC</v>
          </cell>
          <cell r="G5305" t="str">
            <v>X</v>
          </cell>
          <cell r="H5305" t="str">
            <v>TRD RETAIL</v>
          </cell>
          <cell r="I5305" t="str">
            <v>XF</v>
          </cell>
          <cell r="J5305" t="str">
            <v>TINTING</v>
          </cell>
          <cell r="K5305" t="str">
            <v>XF04</v>
          </cell>
          <cell r="L5305" t="str">
            <v>PASTA</v>
          </cell>
          <cell r="M5305" t="str">
            <v>XF0403</v>
          </cell>
          <cell r="N5305" t="str">
            <v>PASTA SB</v>
          </cell>
        </row>
        <row r="5306">
          <cell r="C5306" t="str">
            <v>170000673</v>
          </cell>
          <cell r="D5306" t="str">
            <v>PC 04 RC-1L</v>
          </cell>
          <cell r="E5306" t="str">
            <v>ZTRD</v>
          </cell>
          <cell r="F5306" t="str">
            <v>PC</v>
          </cell>
          <cell r="G5306" t="str">
            <v>X</v>
          </cell>
          <cell r="H5306" t="str">
            <v>TRD RETAIL</v>
          </cell>
          <cell r="I5306" t="str">
            <v>XF</v>
          </cell>
          <cell r="J5306" t="str">
            <v>TINTING</v>
          </cell>
          <cell r="K5306" t="str">
            <v>XF04</v>
          </cell>
          <cell r="L5306" t="str">
            <v>PASTA</v>
          </cell>
          <cell r="M5306" t="str">
            <v>XF0403</v>
          </cell>
          <cell r="N5306" t="str">
            <v>PASTA SB</v>
          </cell>
        </row>
        <row r="5307">
          <cell r="C5307" t="str">
            <v>170000674</v>
          </cell>
          <cell r="D5307" t="str">
            <v>PC 04 VA-1L</v>
          </cell>
          <cell r="E5307" t="str">
            <v>ZTRD</v>
          </cell>
          <cell r="F5307" t="str">
            <v>PC</v>
          </cell>
          <cell r="G5307" t="str">
            <v>X</v>
          </cell>
          <cell r="H5307" t="str">
            <v>TRD RETAIL</v>
          </cell>
          <cell r="I5307" t="str">
            <v>XF</v>
          </cell>
          <cell r="J5307" t="str">
            <v>TINTING</v>
          </cell>
          <cell r="K5307" t="str">
            <v>XF04</v>
          </cell>
          <cell r="L5307" t="str">
            <v>PASTA</v>
          </cell>
          <cell r="M5307" t="str">
            <v>XF0403</v>
          </cell>
          <cell r="N5307" t="str">
            <v>PASTA SB</v>
          </cell>
        </row>
        <row r="5308">
          <cell r="C5308" t="str">
            <v>170000675</v>
          </cell>
          <cell r="D5308" t="str">
            <v>PC 04 WA-1L</v>
          </cell>
          <cell r="E5308" t="str">
            <v>ZTRD</v>
          </cell>
          <cell r="F5308" t="str">
            <v>PC</v>
          </cell>
          <cell r="G5308" t="str">
            <v>X</v>
          </cell>
          <cell r="H5308" t="str">
            <v>TRD RETAIL</v>
          </cell>
          <cell r="I5308" t="str">
            <v>XF</v>
          </cell>
          <cell r="J5308" t="str">
            <v>TINTING</v>
          </cell>
          <cell r="K5308" t="str">
            <v>XF04</v>
          </cell>
          <cell r="L5308" t="str">
            <v>PASTA</v>
          </cell>
          <cell r="M5308" t="str">
            <v>XF0403</v>
          </cell>
          <cell r="N5308" t="str">
            <v>PASTA SB</v>
          </cell>
        </row>
        <row r="5309">
          <cell r="C5309" t="str">
            <v>170000676</v>
          </cell>
          <cell r="D5309" t="str">
            <v>PC 04 YA-1L</v>
          </cell>
          <cell r="E5309" t="str">
            <v>ZTRD</v>
          </cell>
          <cell r="F5309" t="str">
            <v>PC</v>
          </cell>
          <cell r="G5309" t="str">
            <v>X</v>
          </cell>
          <cell r="H5309" t="str">
            <v>TRD RETAIL</v>
          </cell>
          <cell r="I5309" t="str">
            <v>XF</v>
          </cell>
          <cell r="J5309" t="str">
            <v>TINTING</v>
          </cell>
          <cell r="K5309" t="str">
            <v>XF04</v>
          </cell>
          <cell r="L5309" t="str">
            <v>PASTA</v>
          </cell>
          <cell r="M5309" t="str">
            <v>XF0403</v>
          </cell>
          <cell r="N5309" t="str">
            <v>PASTA SB</v>
          </cell>
        </row>
        <row r="5310">
          <cell r="C5310" t="str">
            <v>170000677</v>
          </cell>
          <cell r="D5310" t="str">
            <v>PC 04 YB-1L</v>
          </cell>
          <cell r="E5310" t="str">
            <v>ZTRD</v>
          </cell>
          <cell r="F5310" t="str">
            <v>PC</v>
          </cell>
          <cell r="G5310" t="str">
            <v>X</v>
          </cell>
          <cell r="H5310" t="str">
            <v>TRD RETAIL</v>
          </cell>
          <cell r="I5310" t="str">
            <v>XF</v>
          </cell>
          <cell r="J5310" t="str">
            <v>TINTING</v>
          </cell>
          <cell r="K5310" t="str">
            <v>XF04</v>
          </cell>
          <cell r="L5310" t="str">
            <v>PASTA</v>
          </cell>
          <cell r="M5310" t="str">
            <v>XF0403</v>
          </cell>
          <cell r="N5310" t="str">
            <v>PASTA SB</v>
          </cell>
        </row>
        <row r="5311">
          <cell r="C5311" t="str">
            <v>170000678</v>
          </cell>
          <cell r="D5311" t="str">
            <v>PC 04 YC-1L</v>
          </cell>
          <cell r="E5311" t="str">
            <v>ZTRD</v>
          </cell>
          <cell r="F5311" t="str">
            <v>PC</v>
          </cell>
          <cell r="G5311" t="str">
            <v>X</v>
          </cell>
          <cell r="H5311" t="str">
            <v>TRD RETAIL</v>
          </cell>
          <cell r="I5311" t="str">
            <v>XF</v>
          </cell>
          <cell r="J5311" t="str">
            <v>TINTING</v>
          </cell>
          <cell r="K5311" t="str">
            <v>XF04</v>
          </cell>
          <cell r="L5311" t="str">
            <v>PASTA</v>
          </cell>
          <cell r="M5311" t="str">
            <v>XF0403</v>
          </cell>
          <cell r="N5311" t="str">
            <v>PASTA SB</v>
          </cell>
        </row>
        <row r="5312">
          <cell r="C5312" t="str">
            <v>170000803</v>
          </cell>
          <cell r="D5312" t="str">
            <v>PUC-786-2K DOF BASE A-1LS</v>
          </cell>
          <cell r="E5312" t="str">
            <v>ZTRD</v>
          </cell>
          <cell r="F5312" t="str">
            <v>SET</v>
          </cell>
          <cell r="G5312" t="str">
            <v>X</v>
          </cell>
          <cell r="H5312" t="str">
            <v>TRD RETAIL</v>
          </cell>
          <cell r="I5312" t="str">
            <v>X2</v>
          </cell>
          <cell r="J5312" t="str">
            <v>WF2</v>
          </cell>
          <cell r="K5312" t="str">
            <v>X216</v>
          </cell>
          <cell r="L5312" t="str">
            <v>PU MULTIPURPOSE</v>
          </cell>
          <cell r="M5312" t="str">
            <v>X21601</v>
          </cell>
          <cell r="N5312" t="str">
            <v>PROPAN MP PU ACR RMX</v>
          </cell>
        </row>
        <row r="5313">
          <cell r="C5313" t="str">
            <v>170000806</v>
          </cell>
          <cell r="D5313" t="str">
            <v>PUC-786-2K DOF BASE B-1LS</v>
          </cell>
          <cell r="E5313" t="str">
            <v>ZTRD</v>
          </cell>
          <cell r="F5313" t="str">
            <v>SET</v>
          </cell>
          <cell r="G5313" t="str">
            <v>X</v>
          </cell>
          <cell r="H5313" t="str">
            <v>TRD RETAIL</v>
          </cell>
          <cell r="I5313" t="str">
            <v>X2</v>
          </cell>
          <cell r="J5313" t="str">
            <v>WF2</v>
          </cell>
          <cell r="K5313" t="str">
            <v>X216</v>
          </cell>
          <cell r="L5313" t="str">
            <v>PU MULTIPURPOSE</v>
          </cell>
          <cell r="M5313" t="str">
            <v>X21601</v>
          </cell>
          <cell r="N5313" t="str">
            <v>PROPAN MP PU ACR RMX</v>
          </cell>
        </row>
        <row r="5314">
          <cell r="C5314" t="str">
            <v>170000830</v>
          </cell>
          <cell r="D5314" t="str">
            <v>PUL-765-2K DOF BASE D-1LS</v>
          </cell>
          <cell r="E5314" t="str">
            <v>ZTRD</v>
          </cell>
          <cell r="F5314" t="str">
            <v>SET</v>
          </cell>
          <cell r="G5314" t="str">
            <v>X</v>
          </cell>
          <cell r="H5314" t="str">
            <v>TRD RETAIL</v>
          </cell>
          <cell r="I5314" t="str">
            <v>X2</v>
          </cell>
          <cell r="J5314" t="str">
            <v>WF2</v>
          </cell>
          <cell r="K5314" t="str">
            <v>X216</v>
          </cell>
          <cell r="L5314" t="str">
            <v>PU MULTIPURPOSE</v>
          </cell>
          <cell r="M5314" t="str">
            <v>X21601</v>
          </cell>
          <cell r="N5314" t="str">
            <v>PROPAN MP PU ACR RMX</v>
          </cell>
        </row>
        <row r="5315">
          <cell r="C5315" t="str">
            <v>170000976</v>
          </cell>
          <cell r="D5315" t="str">
            <v>TENNOKOTE 1020 WA SEALER-20KP</v>
          </cell>
          <cell r="E5315" t="str">
            <v>ZTRD</v>
          </cell>
          <cell r="F5315" t="str">
            <v>PC</v>
          </cell>
          <cell r="G5315" t="str">
            <v>X</v>
          </cell>
          <cell r="H5315" t="str">
            <v>TRD RETAIL</v>
          </cell>
          <cell r="I5315" t="str">
            <v>X7</v>
          </cell>
          <cell r="J5315" t="str">
            <v>CPC1</v>
          </cell>
          <cell r="K5315" t="str">
            <v>X701</v>
          </cell>
          <cell r="L5315" t="str">
            <v>TENNOKOTE</v>
          </cell>
          <cell r="M5315" t="str">
            <v>X70101</v>
          </cell>
          <cell r="N5315" t="str">
            <v>TENNOKOTE</v>
          </cell>
        </row>
        <row r="5316">
          <cell r="C5316" t="str">
            <v>170001024</v>
          </cell>
          <cell r="D5316" t="str">
            <v>ULTRAN UPL-77 E CLEAR MATT-3LS</v>
          </cell>
          <cell r="E5316" t="str">
            <v>ZTRD</v>
          </cell>
          <cell r="F5316" t="str">
            <v>SET</v>
          </cell>
          <cell r="G5316" t="str">
            <v>X</v>
          </cell>
          <cell r="H5316" t="str">
            <v>TRD RETAIL</v>
          </cell>
          <cell r="I5316" t="str">
            <v>X4</v>
          </cell>
          <cell r="J5316" t="str">
            <v>WF3</v>
          </cell>
          <cell r="K5316" t="str">
            <v>X413</v>
          </cell>
          <cell r="L5316" t="str">
            <v>ULTRAN</v>
          </cell>
          <cell r="M5316" t="str">
            <v>X41301</v>
          </cell>
          <cell r="N5316" t="str">
            <v>ULTRAN PARQUET LACK</v>
          </cell>
        </row>
        <row r="5317">
          <cell r="C5317" t="str">
            <v>170001108</v>
          </cell>
          <cell r="D5317" t="str">
            <v>PC 04 BA-CC</v>
          </cell>
          <cell r="E5317" t="str">
            <v>ZTRD</v>
          </cell>
          <cell r="F5317" t="str">
            <v>CC</v>
          </cell>
          <cell r="G5317" t="str">
            <v>X</v>
          </cell>
          <cell r="H5317" t="str">
            <v>TRD RETAIL</v>
          </cell>
          <cell r="I5317" t="str">
            <v>XF</v>
          </cell>
          <cell r="J5317" t="str">
            <v>TINTING</v>
          </cell>
          <cell r="K5317" t="str">
            <v>XF04</v>
          </cell>
          <cell r="L5317" t="str">
            <v>PASTA</v>
          </cell>
          <cell r="M5317" t="str">
            <v>XF0403</v>
          </cell>
          <cell r="N5317" t="str">
            <v>PASTA SB</v>
          </cell>
        </row>
        <row r="5318">
          <cell r="C5318" t="str">
            <v>170001109</v>
          </cell>
          <cell r="D5318" t="str">
            <v>PC 04 BB-CC</v>
          </cell>
          <cell r="E5318" t="str">
            <v>ZTRD</v>
          </cell>
          <cell r="F5318" t="str">
            <v>CC</v>
          </cell>
          <cell r="G5318" t="str">
            <v>X</v>
          </cell>
          <cell r="H5318" t="str">
            <v>TRD RETAIL</v>
          </cell>
          <cell r="I5318" t="str">
            <v>XF</v>
          </cell>
          <cell r="J5318" t="str">
            <v>TINTING</v>
          </cell>
          <cell r="K5318" t="str">
            <v>XF04</v>
          </cell>
          <cell r="L5318" t="str">
            <v>PASTA</v>
          </cell>
          <cell r="M5318" t="str">
            <v>XF0403</v>
          </cell>
          <cell r="N5318" t="str">
            <v>PASTA SB</v>
          </cell>
        </row>
        <row r="5319">
          <cell r="C5319" t="str">
            <v>170001110</v>
          </cell>
          <cell r="D5319" t="str">
            <v>PC 04 GA-CC</v>
          </cell>
          <cell r="E5319" t="str">
            <v>ZTRD</v>
          </cell>
          <cell r="F5319" t="str">
            <v>CC</v>
          </cell>
          <cell r="G5319" t="str">
            <v>X</v>
          </cell>
          <cell r="H5319" t="str">
            <v>TRD RETAIL</v>
          </cell>
          <cell r="I5319" t="str">
            <v>XF</v>
          </cell>
          <cell r="J5319" t="str">
            <v>TINTING</v>
          </cell>
          <cell r="K5319" t="str">
            <v>XF04</v>
          </cell>
          <cell r="L5319" t="str">
            <v>PASTA</v>
          </cell>
          <cell r="M5319" t="str">
            <v>XF0403</v>
          </cell>
          <cell r="N5319" t="str">
            <v>PASTA SB</v>
          </cell>
        </row>
        <row r="5320">
          <cell r="C5320" t="str">
            <v>170001111</v>
          </cell>
          <cell r="D5320" t="str">
            <v>PC 04 KA-CC</v>
          </cell>
          <cell r="E5320" t="str">
            <v>ZTRD</v>
          </cell>
          <cell r="F5320" t="str">
            <v>CC</v>
          </cell>
          <cell r="G5320" t="str">
            <v>X</v>
          </cell>
          <cell r="H5320" t="str">
            <v>TRD RETAIL</v>
          </cell>
          <cell r="I5320" t="str">
            <v>XF</v>
          </cell>
          <cell r="J5320" t="str">
            <v>TINTING</v>
          </cell>
          <cell r="K5320" t="str">
            <v>XF04</v>
          </cell>
          <cell r="L5320" t="str">
            <v>PASTA</v>
          </cell>
          <cell r="M5320" t="str">
            <v>XF0403</v>
          </cell>
          <cell r="N5320" t="str">
            <v>PASTA SB</v>
          </cell>
        </row>
        <row r="5321">
          <cell r="C5321" t="str">
            <v>170001112</v>
          </cell>
          <cell r="D5321" t="str">
            <v>PC 04 RA-CC</v>
          </cell>
          <cell r="E5321" t="str">
            <v>ZTRD</v>
          </cell>
          <cell r="F5321" t="str">
            <v>CC</v>
          </cell>
          <cell r="G5321" t="str">
            <v>X</v>
          </cell>
          <cell r="H5321" t="str">
            <v>TRD RETAIL</v>
          </cell>
          <cell r="I5321" t="str">
            <v>XF</v>
          </cell>
          <cell r="J5321" t="str">
            <v>TINTING</v>
          </cell>
          <cell r="K5321" t="str">
            <v>XF04</v>
          </cell>
          <cell r="L5321" t="str">
            <v>PASTA</v>
          </cell>
          <cell r="M5321" t="str">
            <v>XF0403</v>
          </cell>
          <cell r="N5321" t="str">
            <v>PASTA SB</v>
          </cell>
        </row>
        <row r="5322">
          <cell r="C5322" t="str">
            <v>170001113</v>
          </cell>
          <cell r="D5322" t="str">
            <v>PC 04 RB-CC</v>
          </cell>
          <cell r="E5322" t="str">
            <v>ZTRD</v>
          </cell>
          <cell r="F5322" t="str">
            <v>CC</v>
          </cell>
          <cell r="G5322" t="str">
            <v>X</v>
          </cell>
          <cell r="H5322" t="str">
            <v>TRD RETAIL</v>
          </cell>
          <cell r="I5322" t="str">
            <v>XF</v>
          </cell>
          <cell r="J5322" t="str">
            <v>TINTING</v>
          </cell>
          <cell r="K5322" t="str">
            <v>XF04</v>
          </cell>
          <cell r="L5322" t="str">
            <v>PASTA</v>
          </cell>
          <cell r="M5322" t="str">
            <v>XF0403</v>
          </cell>
          <cell r="N5322" t="str">
            <v>PASTA SB</v>
          </cell>
        </row>
        <row r="5323">
          <cell r="C5323" t="str">
            <v>170001114</v>
          </cell>
          <cell r="D5323" t="str">
            <v>PC 04 RC-CC</v>
          </cell>
          <cell r="E5323" t="str">
            <v>ZTRD</v>
          </cell>
          <cell r="F5323" t="str">
            <v>CC</v>
          </cell>
          <cell r="G5323" t="str">
            <v>X</v>
          </cell>
          <cell r="H5323" t="str">
            <v>TRD RETAIL</v>
          </cell>
          <cell r="I5323" t="str">
            <v>XF</v>
          </cell>
          <cell r="J5323" t="str">
            <v>TINTING</v>
          </cell>
          <cell r="K5323" t="str">
            <v>XF04</v>
          </cell>
          <cell r="L5323" t="str">
            <v>PASTA</v>
          </cell>
          <cell r="M5323" t="str">
            <v>XF0403</v>
          </cell>
          <cell r="N5323" t="str">
            <v>PASTA SB</v>
          </cell>
        </row>
        <row r="5324">
          <cell r="C5324" t="str">
            <v>170001115</v>
          </cell>
          <cell r="D5324" t="str">
            <v>PC 04 VA-CC</v>
          </cell>
          <cell r="E5324" t="str">
            <v>ZTRD</v>
          </cell>
          <cell r="F5324" t="str">
            <v>CC</v>
          </cell>
          <cell r="G5324" t="str">
            <v>X</v>
          </cell>
          <cell r="H5324" t="str">
            <v>TRD RETAIL</v>
          </cell>
          <cell r="I5324" t="str">
            <v>XF</v>
          </cell>
          <cell r="J5324" t="str">
            <v>TINTING</v>
          </cell>
          <cell r="K5324" t="str">
            <v>XF04</v>
          </cell>
          <cell r="L5324" t="str">
            <v>PASTA</v>
          </cell>
          <cell r="M5324" t="str">
            <v>XF0403</v>
          </cell>
          <cell r="N5324" t="str">
            <v>PASTA SB</v>
          </cell>
        </row>
        <row r="5325">
          <cell r="C5325" t="str">
            <v>170001116</v>
          </cell>
          <cell r="D5325" t="str">
            <v>PC 04 WA-CC</v>
          </cell>
          <cell r="E5325" t="str">
            <v>ZTRD</v>
          </cell>
          <cell r="F5325" t="str">
            <v>CC</v>
          </cell>
          <cell r="G5325" t="str">
            <v>X</v>
          </cell>
          <cell r="H5325" t="str">
            <v>TRD RETAIL</v>
          </cell>
          <cell r="I5325" t="str">
            <v>XF</v>
          </cell>
          <cell r="J5325" t="str">
            <v>TINTING</v>
          </cell>
          <cell r="K5325" t="str">
            <v>XF04</v>
          </cell>
          <cell r="L5325" t="str">
            <v>PASTA</v>
          </cell>
          <cell r="M5325" t="str">
            <v>XF0403</v>
          </cell>
          <cell r="N5325" t="str">
            <v>PASTA SB</v>
          </cell>
        </row>
        <row r="5326">
          <cell r="C5326" t="str">
            <v>170001117</v>
          </cell>
          <cell r="D5326" t="str">
            <v>PC 04 YA-CC</v>
          </cell>
          <cell r="E5326" t="str">
            <v>ZTRD</v>
          </cell>
          <cell r="F5326" t="str">
            <v>CC</v>
          </cell>
          <cell r="G5326" t="str">
            <v>X</v>
          </cell>
          <cell r="H5326" t="str">
            <v>TRD RETAIL</v>
          </cell>
          <cell r="I5326" t="str">
            <v>XF</v>
          </cell>
          <cell r="J5326" t="str">
            <v>TINTING</v>
          </cell>
          <cell r="K5326" t="str">
            <v>XF04</v>
          </cell>
          <cell r="L5326" t="str">
            <v>PASTA</v>
          </cell>
          <cell r="M5326" t="str">
            <v>XF0403</v>
          </cell>
          <cell r="N5326" t="str">
            <v>PASTA SB</v>
          </cell>
        </row>
        <row r="5327">
          <cell r="C5327" t="str">
            <v>170001118</v>
          </cell>
          <cell r="D5327" t="str">
            <v>PC 04 YB-CC</v>
          </cell>
          <cell r="E5327" t="str">
            <v>ZTRD</v>
          </cell>
          <cell r="F5327" t="str">
            <v>CC</v>
          </cell>
          <cell r="G5327" t="str">
            <v>X</v>
          </cell>
          <cell r="H5327" t="str">
            <v>TRD RETAIL</v>
          </cell>
          <cell r="I5327" t="str">
            <v>XF</v>
          </cell>
          <cell r="J5327" t="str">
            <v>TINTING</v>
          </cell>
          <cell r="K5327" t="str">
            <v>XF04</v>
          </cell>
          <cell r="L5327" t="str">
            <v>PASTA</v>
          </cell>
          <cell r="M5327" t="str">
            <v>XF0403</v>
          </cell>
          <cell r="N5327" t="str">
            <v>PASTA SB</v>
          </cell>
        </row>
        <row r="5328">
          <cell r="C5328" t="str">
            <v>170001119</v>
          </cell>
          <cell r="D5328" t="str">
            <v>PC 04 YC-CC</v>
          </cell>
          <cell r="E5328" t="str">
            <v>ZTRD</v>
          </cell>
          <cell r="F5328" t="str">
            <v>CC</v>
          </cell>
          <cell r="G5328" t="str">
            <v>X</v>
          </cell>
          <cell r="H5328" t="str">
            <v>TRD RETAIL</v>
          </cell>
          <cell r="I5328" t="str">
            <v>XF</v>
          </cell>
          <cell r="J5328" t="str">
            <v>TINTING</v>
          </cell>
          <cell r="K5328" t="str">
            <v>XF04</v>
          </cell>
          <cell r="L5328" t="str">
            <v>PASTA</v>
          </cell>
          <cell r="M5328" t="str">
            <v>XF0403</v>
          </cell>
          <cell r="N5328" t="str">
            <v>PASTA SB</v>
          </cell>
        </row>
        <row r="5329">
          <cell r="C5329" t="str">
            <v>170001142</v>
          </cell>
          <cell r="D5329" t="str">
            <v>AP-201 ZINC CHROMATE-5K</v>
          </cell>
          <cell r="E5329" t="str">
            <v>ZTRD</v>
          </cell>
          <cell r="F5329" t="str">
            <v>PC</v>
          </cell>
          <cell r="G5329" t="str">
            <v>Y</v>
          </cell>
          <cell r="H5329" t="str">
            <v>TRD PROJECT</v>
          </cell>
          <cell r="I5329" t="str">
            <v>Y9</v>
          </cell>
          <cell r="J5329" t="str">
            <v>MPC</v>
          </cell>
          <cell r="K5329" t="str">
            <v>Y904</v>
          </cell>
          <cell r="L5329" t="str">
            <v>METALKOTE</v>
          </cell>
          <cell r="M5329" t="str">
            <v>Y90401</v>
          </cell>
          <cell r="N5329" t="str">
            <v>METALKOTE-ALKYD SYS</v>
          </cell>
        </row>
        <row r="5330">
          <cell r="C5330" t="str">
            <v>170001143</v>
          </cell>
          <cell r="D5330" t="str">
            <v>DECOR DTX-250 WHITE-4K</v>
          </cell>
          <cell r="E5330" t="str">
            <v>ZTRD</v>
          </cell>
          <cell r="F5330" t="str">
            <v>PC</v>
          </cell>
          <cell r="G5330" t="str">
            <v>X</v>
          </cell>
          <cell r="H5330" t="str">
            <v>TRD RETAIL</v>
          </cell>
          <cell r="I5330" t="str">
            <v>X5</v>
          </cell>
          <cell r="J5330" t="str">
            <v>APCT1</v>
          </cell>
          <cell r="K5330" t="str">
            <v>X502</v>
          </cell>
          <cell r="L5330" t="str">
            <v>DECOR</v>
          </cell>
          <cell r="M5330" t="str">
            <v>X50213</v>
          </cell>
          <cell r="N5330" t="str">
            <v>DECORTEX</v>
          </cell>
        </row>
        <row r="5331">
          <cell r="C5331" t="str">
            <v>170001144</v>
          </cell>
          <cell r="D5331" t="str">
            <v>DECOR DTX-270-2.5L</v>
          </cell>
          <cell r="E5331" t="str">
            <v>ZTRD</v>
          </cell>
          <cell r="F5331" t="str">
            <v>PC</v>
          </cell>
          <cell r="G5331" t="str">
            <v>X</v>
          </cell>
          <cell r="H5331" t="str">
            <v>TRD RETAIL</v>
          </cell>
          <cell r="I5331" t="str">
            <v>X5</v>
          </cell>
          <cell r="J5331" t="str">
            <v>APCT1</v>
          </cell>
          <cell r="K5331" t="str">
            <v>X502</v>
          </cell>
          <cell r="L5331" t="str">
            <v>DECOR</v>
          </cell>
          <cell r="M5331" t="str">
            <v>X50213</v>
          </cell>
          <cell r="N5331" t="str">
            <v>DECORTEX</v>
          </cell>
        </row>
        <row r="5332">
          <cell r="C5332" t="str">
            <v>170001145</v>
          </cell>
          <cell r="D5332" t="str">
            <v>DECOR DTX-280-4K</v>
          </cell>
          <cell r="E5332" t="str">
            <v>ZTRD</v>
          </cell>
          <cell r="F5332" t="str">
            <v>PC</v>
          </cell>
          <cell r="G5332" t="str">
            <v>X</v>
          </cell>
          <cell r="H5332" t="str">
            <v>TRD RETAIL</v>
          </cell>
          <cell r="I5332" t="str">
            <v>X5</v>
          </cell>
          <cell r="J5332" t="str">
            <v>APCT1</v>
          </cell>
          <cell r="K5332" t="str">
            <v>X502</v>
          </cell>
          <cell r="L5332" t="str">
            <v>DECOR</v>
          </cell>
          <cell r="M5332" t="str">
            <v>X50213</v>
          </cell>
          <cell r="N5332" t="str">
            <v>DECORTEX</v>
          </cell>
        </row>
        <row r="5333">
          <cell r="C5333" t="str">
            <v>170001146</v>
          </cell>
          <cell r="D5333" t="str">
            <v>DECOR DWF-200-4K</v>
          </cell>
          <cell r="E5333" t="str">
            <v>ZTRD</v>
          </cell>
          <cell r="F5333" t="str">
            <v>PC</v>
          </cell>
          <cell r="G5333" t="str">
            <v>X</v>
          </cell>
          <cell r="H5333" t="str">
            <v>TRD RETAIL</v>
          </cell>
          <cell r="I5333" t="str">
            <v>X5</v>
          </cell>
          <cell r="J5333" t="str">
            <v>APCT1</v>
          </cell>
          <cell r="K5333" t="str">
            <v>X502</v>
          </cell>
          <cell r="L5333" t="str">
            <v>DECOR</v>
          </cell>
          <cell r="M5333" t="str">
            <v>X50210</v>
          </cell>
          <cell r="N5333" t="str">
            <v>DECOR WALL FILLER</v>
          </cell>
        </row>
        <row r="5334">
          <cell r="C5334" t="str">
            <v>170001147</v>
          </cell>
          <cell r="D5334" t="str">
            <v>ECO PLAMUR ECP-4030-5K</v>
          </cell>
          <cell r="E5334" t="str">
            <v>ZTRD</v>
          </cell>
          <cell r="F5334" t="str">
            <v>PC</v>
          </cell>
          <cell r="G5334" t="str">
            <v>X</v>
          </cell>
          <cell r="H5334" t="str">
            <v>TRD RETAIL</v>
          </cell>
          <cell r="I5334" t="str">
            <v>X5</v>
          </cell>
          <cell r="J5334" t="str">
            <v>APCT1</v>
          </cell>
          <cell r="K5334" t="str">
            <v>X501</v>
          </cell>
          <cell r="L5334" t="str">
            <v>ECO</v>
          </cell>
          <cell r="M5334" t="str">
            <v>X50104</v>
          </cell>
          <cell r="N5334" t="str">
            <v>ECO PLAMUR</v>
          </cell>
        </row>
        <row r="5335">
          <cell r="C5335" t="str">
            <v>170001148</v>
          </cell>
          <cell r="D5335" t="str">
            <v>PRCC-10185 WBC AC PURE WHITE-250KK</v>
          </cell>
          <cell r="E5335" t="str">
            <v>ZTRD</v>
          </cell>
          <cell r="F5335" t="str">
            <v>PC</v>
          </cell>
          <cell r="G5335" t="str">
            <v>W</v>
          </cell>
          <cell r="H5335" t="str">
            <v>TRD INDUSTRY</v>
          </cell>
          <cell r="I5335" t="str">
            <v>W2</v>
          </cell>
          <cell r="J5335" t="str">
            <v>CAN COATINGS</v>
          </cell>
          <cell r="K5335" t="str">
            <v>W201</v>
          </cell>
          <cell r="L5335" t="str">
            <v>CAN COATINGS</v>
          </cell>
          <cell r="M5335" t="str">
            <v>W20101</v>
          </cell>
          <cell r="N5335" t="str">
            <v>CAN COATINGS</v>
          </cell>
        </row>
        <row r="5336">
          <cell r="C5336" t="str">
            <v>170001230</v>
          </cell>
          <cell r="D5336" t="str">
            <v>PUH-31 NY FD-1L</v>
          </cell>
          <cell r="E5336" t="str">
            <v>ZTRD</v>
          </cell>
          <cell r="F5336" t="str">
            <v>PC</v>
          </cell>
          <cell r="G5336" t="str">
            <v>W</v>
          </cell>
          <cell r="H5336" t="str">
            <v>TRD INDUSTRY</v>
          </cell>
          <cell r="I5336" t="str">
            <v>W1</v>
          </cell>
          <cell r="J5336" t="str">
            <v>WOOD COATINGS</v>
          </cell>
          <cell r="K5336" t="str">
            <v>W103</v>
          </cell>
          <cell r="L5336" t="str">
            <v>PU</v>
          </cell>
          <cell r="M5336" t="str">
            <v>W10320</v>
          </cell>
          <cell r="N5336" t="str">
            <v>PU HARDENER</v>
          </cell>
        </row>
        <row r="5337">
          <cell r="C5337" t="str">
            <v>170001232</v>
          </cell>
          <cell r="D5337" t="str">
            <v>PRCC-20324 POLYESTER VARNISH-200KK</v>
          </cell>
          <cell r="E5337" t="str">
            <v>ZTRD</v>
          </cell>
          <cell r="F5337" t="str">
            <v>PC</v>
          </cell>
          <cell r="G5337" t="str">
            <v>W</v>
          </cell>
          <cell r="H5337" t="str">
            <v>TRD INDUSTRY</v>
          </cell>
          <cell r="I5337" t="str">
            <v>W2</v>
          </cell>
          <cell r="J5337" t="str">
            <v>CAN COATINGS</v>
          </cell>
          <cell r="K5337" t="str">
            <v>W201</v>
          </cell>
          <cell r="L5337" t="str">
            <v>CAN COATINGS</v>
          </cell>
          <cell r="M5337" t="str">
            <v>W20101</v>
          </cell>
          <cell r="N5337" t="str">
            <v>CAN COATINGS</v>
          </cell>
        </row>
        <row r="5338">
          <cell r="C5338" t="str">
            <v>170001233</v>
          </cell>
          <cell r="D5338" t="str">
            <v>MSS-41210-30LP</v>
          </cell>
          <cell r="E5338" t="str">
            <v>ZTRD</v>
          </cell>
          <cell r="F5338" t="str">
            <v>PC</v>
          </cell>
          <cell r="G5338" t="str">
            <v>W</v>
          </cell>
          <cell r="H5338" t="str">
            <v>TRD INDUSTRY</v>
          </cell>
          <cell r="I5338" t="str">
            <v>W1</v>
          </cell>
          <cell r="J5338" t="str">
            <v>WOOD COATINGS</v>
          </cell>
          <cell r="K5338" t="str">
            <v>W102</v>
          </cell>
          <cell r="L5338" t="str">
            <v>MELAMINE</v>
          </cell>
          <cell r="M5338" t="str">
            <v>W10207</v>
          </cell>
          <cell r="N5338" t="str">
            <v>MELAMINE SANDING SEALER</v>
          </cell>
        </row>
        <row r="5339">
          <cell r="C5339" t="str">
            <v>170001234</v>
          </cell>
          <cell r="D5339" t="str">
            <v>MH-43100 A-2L</v>
          </cell>
          <cell r="E5339" t="str">
            <v>ZTRD</v>
          </cell>
          <cell r="F5339" t="str">
            <v>PC</v>
          </cell>
          <cell r="G5339" t="str">
            <v>W</v>
          </cell>
          <cell r="H5339" t="str">
            <v>TRD INDUSTRY</v>
          </cell>
          <cell r="I5339" t="str">
            <v>W1</v>
          </cell>
          <cell r="J5339" t="str">
            <v>WOOD COATINGS</v>
          </cell>
          <cell r="K5339" t="str">
            <v>W102</v>
          </cell>
          <cell r="L5339" t="str">
            <v>MELAMINE</v>
          </cell>
          <cell r="M5339" t="str">
            <v>W10201</v>
          </cell>
          <cell r="N5339" t="str">
            <v>MELAMINE SYSTEM</v>
          </cell>
        </row>
        <row r="5340">
          <cell r="C5340" t="str">
            <v>170001235</v>
          </cell>
          <cell r="D5340" t="str">
            <v>ML-41310 CLEAR 30-30LP</v>
          </cell>
          <cell r="E5340" t="str">
            <v>ZTRD</v>
          </cell>
          <cell r="F5340" t="str">
            <v>PC</v>
          </cell>
          <cell r="G5340" t="str">
            <v>W</v>
          </cell>
          <cell r="H5340" t="str">
            <v>TRD INDUSTRY</v>
          </cell>
          <cell r="I5340" t="str">
            <v>W1</v>
          </cell>
          <cell r="J5340" t="str">
            <v>WOOD COATINGS</v>
          </cell>
          <cell r="K5340" t="str">
            <v>W102</v>
          </cell>
          <cell r="L5340" t="str">
            <v>MELAMINE</v>
          </cell>
          <cell r="M5340" t="str">
            <v>W10201</v>
          </cell>
          <cell r="N5340" t="str">
            <v>MELAMINE SYSTEM</v>
          </cell>
        </row>
        <row r="5341">
          <cell r="C5341" t="str">
            <v>170001236</v>
          </cell>
          <cell r="D5341" t="str">
            <v>PRCC-20101 ACRYLIC VARNISH-200KK</v>
          </cell>
          <cell r="E5341" t="str">
            <v>ZTRD</v>
          </cell>
          <cell r="F5341" t="str">
            <v>PC</v>
          </cell>
          <cell r="G5341" t="str">
            <v>W</v>
          </cell>
          <cell r="H5341" t="str">
            <v>TRD INDUSTRY</v>
          </cell>
          <cell r="I5341" t="str">
            <v>W2</v>
          </cell>
          <cell r="J5341" t="str">
            <v>CAN COATINGS</v>
          </cell>
          <cell r="K5341" t="str">
            <v>W201</v>
          </cell>
          <cell r="L5341" t="str">
            <v>CAN COATINGS</v>
          </cell>
          <cell r="M5341" t="str">
            <v>W20101</v>
          </cell>
          <cell r="N5341" t="str">
            <v>CAN COATINGS</v>
          </cell>
        </row>
        <row r="5342">
          <cell r="C5342" t="str">
            <v>170001237</v>
          </cell>
          <cell r="D5342" t="str">
            <v>GP-98000 GREENISH-1K</v>
          </cell>
          <cell r="E5342" t="str">
            <v>ZTRD</v>
          </cell>
          <cell r="F5342" t="str">
            <v>PC</v>
          </cell>
          <cell r="G5342" t="str">
            <v>W</v>
          </cell>
          <cell r="H5342" t="str">
            <v>TRD INDUSTRY</v>
          </cell>
          <cell r="I5342" t="str">
            <v>W1</v>
          </cell>
          <cell r="J5342" t="str">
            <v>WOOD COATINGS</v>
          </cell>
          <cell r="K5342" t="str">
            <v>W113</v>
          </cell>
          <cell r="L5342" t="str">
            <v>LAIN-LAIN WF I</v>
          </cell>
          <cell r="M5342" t="str">
            <v>W11303</v>
          </cell>
          <cell r="N5342" t="str">
            <v>ASOF : POWDER &amp; MATTING SOLUTION</v>
          </cell>
        </row>
        <row r="5343">
          <cell r="C5343" t="str">
            <v>170001286</v>
          </cell>
          <cell r="D5343" t="str">
            <v>NCL-11300 ALC 20 SHEEN-20LP</v>
          </cell>
          <cell r="E5343" t="str">
            <v>ZTRD</v>
          </cell>
          <cell r="F5343" t="str">
            <v>PC</v>
          </cell>
          <cell r="G5343" t="str">
            <v>W</v>
          </cell>
          <cell r="H5343" t="str">
            <v>TRD INDUSTRY</v>
          </cell>
          <cell r="I5343" t="str">
            <v>W1</v>
          </cell>
          <cell r="J5343" t="str">
            <v>WOOD COATINGS</v>
          </cell>
          <cell r="K5343" t="str">
            <v>W104</v>
          </cell>
          <cell r="L5343" t="str">
            <v>NC</v>
          </cell>
          <cell r="M5343" t="str">
            <v>W10405</v>
          </cell>
          <cell r="N5343" t="str">
            <v>NC SYSTEM</v>
          </cell>
        </row>
        <row r="5344">
          <cell r="C5344" t="str">
            <v>170001299</v>
          </cell>
          <cell r="D5344" t="str">
            <v>GP-98000 GREENISH-20KP</v>
          </cell>
          <cell r="E5344" t="str">
            <v>ZTRD</v>
          </cell>
          <cell r="F5344" t="str">
            <v>PC</v>
          </cell>
          <cell r="G5344" t="str">
            <v>W</v>
          </cell>
          <cell r="H5344" t="str">
            <v>TRD INDUSTRY</v>
          </cell>
          <cell r="I5344" t="str">
            <v>W1</v>
          </cell>
          <cell r="J5344" t="str">
            <v>WOOD COATINGS</v>
          </cell>
          <cell r="K5344" t="str">
            <v>W113</v>
          </cell>
          <cell r="L5344" t="str">
            <v>LAIN-LAIN WF I</v>
          </cell>
          <cell r="M5344" t="str">
            <v>W11303</v>
          </cell>
          <cell r="N5344" t="str">
            <v>ASOF : POWDER &amp; MATTING SOLUTION</v>
          </cell>
        </row>
        <row r="5345">
          <cell r="C5345" t="str">
            <v>170001308</v>
          </cell>
          <cell r="D5345" t="str">
            <v>UVB-30400-20KP</v>
          </cell>
          <cell r="E5345" t="str">
            <v>ZTRD</v>
          </cell>
          <cell r="F5345" t="str">
            <v>PC</v>
          </cell>
          <cell r="G5345" t="str">
            <v>W</v>
          </cell>
          <cell r="H5345" t="str">
            <v>TRD INDUSTRY</v>
          </cell>
          <cell r="I5345" t="str">
            <v>W1</v>
          </cell>
          <cell r="J5345" t="str">
            <v>WOOD COATINGS</v>
          </cell>
          <cell r="K5345" t="str">
            <v>W106</v>
          </cell>
          <cell r="L5345" t="str">
            <v>UV</v>
          </cell>
          <cell r="M5345" t="str">
            <v>W10601</v>
          </cell>
          <cell r="N5345" t="str">
            <v>UV BARRIER</v>
          </cell>
        </row>
        <row r="5346">
          <cell r="C5346" t="str">
            <v>170001309</v>
          </cell>
          <cell r="D5346" t="str">
            <v>NCL-11300 ALC 20 SHEEN-150KB</v>
          </cell>
          <cell r="E5346" t="str">
            <v>ZTRD</v>
          </cell>
          <cell r="F5346" t="str">
            <v>PC</v>
          </cell>
          <cell r="G5346" t="str">
            <v>W</v>
          </cell>
          <cell r="H5346" t="str">
            <v>TRD INDUSTRY</v>
          </cell>
          <cell r="I5346" t="str">
            <v>W1</v>
          </cell>
          <cell r="J5346" t="str">
            <v>WOOD COATINGS</v>
          </cell>
          <cell r="K5346" t="str">
            <v>W104</v>
          </cell>
          <cell r="L5346" t="str">
            <v>NC</v>
          </cell>
          <cell r="M5346" t="str">
            <v>W10405</v>
          </cell>
          <cell r="N5346" t="str">
            <v>NC SYSTEM</v>
          </cell>
        </row>
        <row r="5347">
          <cell r="C5347" t="str">
            <v>170001310</v>
          </cell>
          <cell r="D5347" t="str">
            <v>WBL-63221 EX RC BROWN V-200LB</v>
          </cell>
          <cell r="E5347" t="str">
            <v>ZTRD</v>
          </cell>
          <cell r="F5347" t="str">
            <v>PC</v>
          </cell>
          <cell r="G5347" t="str">
            <v>W</v>
          </cell>
          <cell r="H5347" t="str">
            <v>TRD INDUSTRY</v>
          </cell>
          <cell r="I5347" t="str">
            <v>W1</v>
          </cell>
          <cell r="J5347" t="str">
            <v>WOOD COATINGS</v>
          </cell>
          <cell r="K5347" t="str">
            <v>W119</v>
          </cell>
          <cell r="L5347" t="str">
            <v>WATERBASED</v>
          </cell>
          <cell r="M5347" t="str">
            <v>W11901</v>
          </cell>
          <cell r="N5347" t="str">
            <v>WATERBASED SYSTEM EXTERIOR</v>
          </cell>
        </row>
        <row r="5348">
          <cell r="C5348" t="str">
            <v>170001311</v>
          </cell>
          <cell r="D5348" t="str">
            <v>WBL-63221 EX BROWN V 08-200LB</v>
          </cell>
          <cell r="E5348" t="str">
            <v>ZTRD</v>
          </cell>
          <cell r="F5348" t="str">
            <v>PC</v>
          </cell>
          <cell r="G5348" t="str">
            <v>W</v>
          </cell>
          <cell r="H5348" t="str">
            <v>TRD INDUSTRY</v>
          </cell>
          <cell r="I5348" t="str">
            <v>W1</v>
          </cell>
          <cell r="J5348" t="str">
            <v>WOOD COATINGS</v>
          </cell>
          <cell r="K5348" t="str">
            <v>W119</v>
          </cell>
          <cell r="L5348" t="str">
            <v>WATERBASED</v>
          </cell>
          <cell r="M5348" t="str">
            <v>W11901</v>
          </cell>
          <cell r="N5348" t="str">
            <v>WATERBASED SYSTEM EXTERIOR</v>
          </cell>
        </row>
        <row r="5349">
          <cell r="C5349" t="str">
            <v>170001312</v>
          </cell>
          <cell r="D5349" t="str">
            <v>WBH-69100 EX-25KP</v>
          </cell>
          <cell r="E5349" t="str">
            <v>ZTRD</v>
          </cell>
          <cell r="F5349" t="str">
            <v>PC</v>
          </cell>
          <cell r="G5349" t="str">
            <v>W</v>
          </cell>
          <cell r="H5349" t="str">
            <v>TRD INDUSTRY</v>
          </cell>
          <cell r="I5349" t="str">
            <v>W1</v>
          </cell>
          <cell r="J5349" t="str">
            <v>WOOD COATINGS</v>
          </cell>
          <cell r="K5349" t="str">
            <v>W119</v>
          </cell>
          <cell r="L5349" t="str">
            <v>WATERBASED</v>
          </cell>
          <cell r="M5349" t="str">
            <v>W11902</v>
          </cell>
          <cell r="N5349" t="str">
            <v>WATERBASED SYSTEM INTERIOR</v>
          </cell>
        </row>
        <row r="5350">
          <cell r="C5350" t="str">
            <v>170001315</v>
          </cell>
          <cell r="D5350" t="str">
            <v>EC-973-2K-15LS</v>
          </cell>
          <cell r="E5350" t="str">
            <v>ZTRD</v>
          </cell>
          <cell r="F5350" t="str">
            <v>PC</v>
          </cell>
          <cell r="G5350" t="str">
            <v>X</v>
          </cell>
          <cell r="H5350" t="str">
            <v>TRD RETAIL</v>
          </cell>
          <cell r="I5350" t="str">
            <v>X2</v>
          </cell>
          <cell r="J5350" t="str">
            <v>WF2</v>
          </cell>
          <cell r="K5350" t="str">
            <v>X211</v>
          </cell>
          <cell r="L5350" t="str">
            <v>EPOXY CAST</v>
          </cell>
          <cell r="M5350" t="str">
            <v>X21101</v>
          </cell>
          <cell r="N5350" t="str">
            <v>PROPAN EPOXY CAST</v>
          </cell>
        </row>
        <row r="5351">
          <cell r="C5351" t="str">
            <v>170001316</v>
          </cell>
          <cell r="D5351" t="str">
            <v>WBL-63221 EX RC BROWN V-200KB</v>
          </cell>
          <cell r="E5351" t="str">
            <v>ZTRD</v>
          </cell>
          <cell r="F5351" t="str">
            <v>PC</v>
          </cell>
          <cell r="G5351" t="str">
            <v>W</v>
          </cell>
          <cell r="H5351" t="str">
            <v>TRD INDUSTRY</v>
          </cell>
          <cell r="I5351" t="str">
            <v>W1</v>
          </cell>
          <cell r="J5351" t="str">
            <v>WOOD COATINGS</v>
          </cell>
          <cell r="K5351" t="str">
            <v>W119</v>
          </cell>
          <cell r="L5351" t="str">
            <v>WATERBASED</v>
          </cell>
          <cell r="M5351" t="str">
            <v>W11901</v>
          </cell>
          <cell r="N5351" t="str">
            <v>WATERBASED SYSTEM EXTERIOR</v>
          </cell>
        </row>
        <row r="5352">
          <cell r="C5352" t="str">
            <v>170001317</v>
          </cell>
          <cell r="D5352" t="str">
            <v>WBL-63221 EX BROWN V 08-200KB</v>
          </cell>
          <cell r="E5352" t="str">
            <v>ZTRD</v>
          </cell>
          <cell r="F5352" t="str">
            <v>PC</v>
          </cell>
          <cell r="G5352" t="str">
            <v>W</v>
          </cell>
          <cell r="H5352" t="str">
            <v>TRD INDUSTRY</v>
          </cell>
          <cell r="I5352" t="str">
            <v>W1</v>
          </cell>
          <cell r="J5352" t="str">
            <v>WOOD COATINGS</v>
          </cell>
          <cell r="K5352" t="str">
            <v>W119</v>
          </cell>
          <cell r="L5352" t="str">
            <v>WATERBASED</v>
          </cell>
          <cell r="M5352" t="str">
            <v>W11901</v>
          </cell>
          <cell r="N5352" t="str">
            <v>WATERBASED SYSTEM EXTERIOR</v>
          </cell>
        </row>
        <row r="5353">
          <cell r="C5353" t="str">
            <v>170001374</v>
          </cell>
          <cell r="D5353" t="str">
            <v>TRAFFIKOTE 108 WB YELLOW-20KP</v>
          </cell>
          <cell r="E5353" t="str">
            <v>ZTRD</v>
          </cell>
          <cell r="F5353" t="str">
            <v>PC</v>
          </cell>
          <cell r="G5353" t="str">
            <v>X</v>
          </cell>
          <cell r="H5353" t="str">
            <v>TRD RETAIL</v>
          </cell>
          <cell r="I5353" t="str">
            <v>X7</v>
          </cell>
          <cell r="J5353" t="str">
            <v>CPC1</v>
          </cell>
          <cell r="K5353" t="str">
            <v>X706</v>
          </cell>
          <cell r="L5353" t="str">
            <v>TRAFFIKOTE</v>
          </cell>
          <cell r="M5353" t="str">
            <v>X70603</v>
          </cell>
          <cell r="N5353" t="str">
            <v>TRAFFIKOTE WATER BASE</v>
          </cell>
        </row>
        <row r="5354">
          <cell r="C5354" t="str">
            <v>170001397</v>
          </cell>
          <cell r="D5354" t="str">
            <v>WBL-63221 EX BROWN V 08-20KP</v>
          </cell>
          <cell r="E5354" t="str">
            <v>ZTRD</v>
          </cell>
          <cell r="F5354" t="str">
            <v>PC</v>
          </cell>
          <cell r="G5354" t="str">
            <v>W</v>
          </cell>
          <cell r="H5354" t="str">
            <v>TRD INDUSTRY</v>
          </cell>
          <cell r="I5354" t="str">
            <v>W1</v>
          </cell>
          <cell r="J5354" t="str">
            <v>WOOD COATINGS</v>
          </cell>
          <cell r="K5354" t="str">
            <v>W119</v>
          </cell>
          <cell r="L5354" t="str">
            <v>WATERBASED</v>
          </cell>
          <cell r="M5354" t="str">
            <v>W11901</v>
          </cell>
          <cell r="N5354" t="str">
            <v>WATERBASED SYSTEM EXTERIOR</v>
          </cell>
        </row>
        <row r="5355">
          <cell r="C5355" t="str">
            <v>170001408</v>
          </cell>
          <cell r="D5355" t="str">
            <v>PRCC-20312 POL VARNISH CANPAC-20KP</v>
          </cell>
          <cell r="E5355" t="str">
            <v>ZTRD</v>
          </cell>
          <cell r="F5355" t="str">
            <v>PC</v>
          </cell>
          <cell r="G5355" t="str">
            <v>W</v>
          </cell>
          <cell r="H5355" t="str">
            <v>TRD INDUSTRY</v>
          </cell>
          <cell r="I5355" t="str">
            <v>W2</v>
          </cell>
          <cell r="J5355" t="str">
            <v>CAN COATINGS</v>
          </cell>
          <cell r="K5355" t="str">
            <v>W201</v>
          </cell>
          <cell r="L5355" t="str">
            <v>CAN COATINGS</v>
          </cell>
          <cell r="M5355" t="str">
            <v>W20101</v>
          </cell>
          <cell r="N5355" t="str">
            <v>CAN COATINGS</v>
          </cell>
        </row>
        <row r="5356">
          <cell r="C5356" t="str">
            <v>170001409</v>
          </cell>
          <cell r="D5356" t="str">
            <v>PUH-31 NY FD-1K</v>
          </cell>
          <cell r="E5356" t="str">
            <v>ZTRD</v>
          </cell>
          <cell r="F5356" t="str">
            <v>PC</v>
          </cell>
          <cell r="G5356" t="str">
            <v>W</v>
          </cell>
          <cell r="H5356" t="str">
            <v>TRD INDUSTRY</v>
          </cell>
          <cell r="I5356" t="str">
            <v>W1</v>
          </cell>
          <cell r="J5356" t="str">
            <v>WOOD COATINGS</v>
          </cell>
          <cell r="K5356" t="str">
            <v>W103</v>
          </cell>
          <cell r="L5356" t="str">
            <v>PU</v>
          </cell>
          <cell r="M5356" t="str">
            <v>W10320</v>
          </cell>
          <cell r="N5356" t="str">
            <v>PU HARDENER</v>
          </cell>
        </row>
        <row r="5357">
          <cell r="C5357" t="str">
            <v>170001412</v>
          </cell>
          <cell r="D5357" t="str">
            <v>WBH-69100 EX-20KJ</v>
          </cell>
          <cell r="E5357" t="str">
            <v>ZTRD</v>
          </cell>
          <cell r="F5357" t="str">
            <v>PC</v>
          </cell>
          <cell r="G5357" t="str">
            <v>W</v>
          </cell>
          <cell r="H5357" t="str">
            <v>TRD INDUSTRY</v>
          </cell>
          <cell r="I5357" t="str">
            <v>W1</v>
          </cell>
          <cell r="J5357" t="str">
            <v>WOOD COATINGS</v>
          </cell>
          <cell r="K5357" t="str">
            <v>W119</v>
          </cell>
          <cell r="L5357" t="str">
            <v>WATERBASED</v>
          </cell>
          <cell r="M5357" t="str">
            <v>W11902</v>
          </cell>
          <cell r="N5357" t="str">
            <v>WATERBASED SYSTEM INTERIOR</v>
          </cell>
        </row>
        <row r="5358">
          <cell r="C5358" t="str">
            <v>170001414</v>
          </cell>
          <cell r="D5358" t="str">
            <v>GO FAST PRIMER LIGHT GREY-7114-20KP</v>
          </cell>
          <cell r="E5358" t="str">
            <v>ZTRD</v>
          </cell>
          <cell r="F5358" t="str">
            <v>PC</v>
          </cell>
          <cell r="G5358" t="str">
            <v>X</v>
          </cell>
          <cell r="H5358" t="str">
            <v>TRD RETAIL</v>
          </cell>
          <cell r="I5358" t="str">
            <v>X9</v>
          </cell>
          <cell r="J5358" t="str">
            <v>MPC</v>
          </cell>
          <cell r="K5358" t="str">
            <v>X909</v>
          </cell>
          <cell r="L5358" t="str">
            <v>GO FAST</v>
          </cell>
          <cell r="M5358" t="str">
            <v>X90903</v>
          </cell>
          <cell r="N5358" t="str">
            <v>GO FAST PRIMER</v>
          </cell>
        </row>
        <row r="5359">
          <cell r="C5359" t="str">
            <v>170001416</v>
          </cell>
          <cell r="D5359" t="str">
            <v>ZEBRA GRF BLACK MATT 000-2-0.4L</v>
          </cell>
          <cell r="E5359" t="str">
            <v>ZTRD</v>
          </cell>
          <cell r="F5359" t="str">
            <v>PC</v>
          </cell>
          <cell r="G5359" t="str">
            <v>X</v>
          </cell>
          <cell r="H5359" t="str">
            <v>TRD RETAIL</v>
          </cell>
          <cell r="I5359" t="str">
            <v>XA</v>
          </cell>
          <cell r="J5359" t="str">
            <v>PCR</v>
          </cell>
          <cell r="K5359" t="str">
            <v>XA03</v>
          </cell>
          <cell r="L5359" t="str">
            <v>AEROSOL</v>
          </cell>
          <cell r="M5359" t="str">
            <v>XA0302</v>
          </cell>
          <cell r="N5359" t="str">
            <v>ZEBRA GRAFFITI</v>
          </cell>
        </row>
        <row r="5360">
          <cell r="C5360" t="str">
            <v>170001417</v>
          </cell>
          <cell r="D5360" t="str">
            <v>ZEBRA GRF BLUE 120-1-0.4L</v>
          </cell>
          <cell r="E5360" t="str">
            <v>ZTRD</v>
          </cell>
          <cell r="F5360" t="str">
            <v>PC</v>
          </cell>
          <cell r="G5360" t="str">
            <v>X</v>
          </cell>
          <cell r="H5360" t="str">
            <v>TRD RETAIL</v>
          </cell>
          <cell r="I5360" t="str">
            <v>XA</v>
          </cell>
          <cell r="J5360" t="str">
            <v>PCR</v>
          </cell>
          <cell r="K5360" t="str">
            <v>XA03</v>
          </cell>
          <cell r="L5360" t="str">
            <v>AEROSOL</v>
          </cell>
          <cell r="M5360" t="str">
            <v>XA0302</v>
          </cell>
          <cell r="N5360" t="str">
            <v>ZEBRA GRAFFITI</v>
          </cell>
        </row>
        <row r="5361">
          <cell r="C5361" t="str">
            <v>170001418</v>
          </cell>
          <cell r="D5361" t="str">
            <v>ZEBRA GRF BLUE 120-2-0.4L</v>
          </cell>
          <cell r="E5361" t="str">
            <v>ZTRD</v>
          </cell>
          <cell r="F5361" t="str">
            <v>PC</v>
          </cell>
          <cell r="G5361" t="str">
            <v>X</v>
          </cell>
          <cell r="H5361" t="str">
            <v>TRD RETAIL</v>
          </cell>
          <cell r="I5361" t="str">
            <v>XA</v>
          </cell>
          <cell r="J5361" t="str">
            <v>PCR</v>
          </cell>
          <cell r="K5361" t="str">
            <v>XA03</v>
          </cell>
          <cell r="L5361" t="str">
            <v>AEROSOL</v>
          </cell>
          <cell r="M5361" t="str">
            <v>XA0302</v>
          </cell>
          <cell r="N5361" t="str">
            <v>ZEBRA GRAFFITI</v>
          </cell>
        </row>
        <row r="5362">
          <cell r="C5362" t="str">
            <v>170001419</v>
          </cell>
          <cell r="D5362" t="str">
            <v>ZEBRA GRF BLUE 120-3-0.4L</v>
          </cell>
          <cell r="E5362" t="str">
            <v>ZTRD</v>
          </cell>
          <cell r="F5362" t="str">
            <v>PC</v>
          </cell>
          <cell r="G5362" t="str">
            <v>X</v>
          </cell>
          <cell r="H5362" t="str">
            <v>TRD RETAIL</v>
          </cell>
          <cell r="I5362" t="str">
            <v>XA</v>
          </cell>
          <cell r="J5362" t="str">
            <v>PCR</v>
          </cell>
          <cell r="K5362" t="str">
            <v>XA03</v>
          </cell>
          <cell r="L5362" t="str">
            <v>AEROSOL</v>
          </cell>
          <cell r="M5362" t="str">
            <v>XA0302</v>
          </cell>
          <cell r="N5362" t="str">
            <v>ZEBRA GRAFFITI</v>
          </cell>
        </row>
        <row r="5363">
          <cell r="C5363" t="str">
            <v>170001420</v>
          </cell>
          <cell r="D5363" t="str">
            <v>ZEBRA GRF BLUE 120-4-0.4L</v>
          </cell>
          <cell r="E5363" t="str">
            <v>ZTRD</v>
          </cell>
          <cell r="F5363" t="str">
            <v>PC</v>
          </cell>
          <cell r="G5363" t="str">
            <v>X</v>
          </cell>
          <cell r="H5363" t="str">
            <v>TRD RETAIL</v>
          </cell>
          <cell r="I5363" t="str">
            <v>XA</v>
          </cell>
          <cell r="J5363" t="str">
            <v>PCR</v>
          </cell>
          <cell r="K5363" t="str">
            <v>XA03</v>
          </cell>
          <cell r="L5363" t="str">
            <v>AEROSOL</v>
          </cell>
          <cell r="M5363" t="str">
            <v>XA0302</v>
          </cell>
          <cell r="N5363" t="str">
            <v>ZEBRA GRAFFITI</v>
          </cell>
        </row>
        <row r="5364">
          <cell r="C5364" t="str">
            <v>170001421</v>
          </cell>
          <cell r="D5364" t="str">
            <v>ZEBRA GRF EMERALD 140-1-0.4L</v>
          </cell>
          <cell r="E5364" t="str">
            <v>ZTRD</v>
          </cell>
          <cell r="F5364" t="str">
            <v>PC</v>
          </cell>
          <cell r="G5364" t="str">
            <v>X</v>
          </cell>
          <cell r="H5364" t="str">
            <v>TRD RETAIL</v>
          </cell>
          <cell r="I5364" t="str">
            <v>XA</v>
          </cell>
          <cell r="J5364" t="str">
            <v>PCR</v>
          </cell>
          <cell r="K5364" t="str">
            <v>XA03</v>
          </cell>
          <cell r="L5364" t="str">
            <v>AEROSOL</v>
          </cell>
          <cell r="M5364" t="str">
            <v>XA0302</v>
          </cell>
          <cell r="N5364" t="str">
            <v>ZEBRA GRAFFITI</v>
          </cell>
        </row>
        <row r="5365">
          <cell r="C5365" t="str">
            <v>170001422</v>
          </cell>
          <cell r="D5365" t="str">
            <v>ZEBRA GRF EMERALD 140-2-0.4L</v>
          </cell>
          <cell r="E5365" t="str">
            <v>ZTRD</v>
          </cell>
          <cell r="F5365" t="str">
            <v>PC</v>
          </cell>
          <cell r="G5365" t="str">
            <v>X</v>
          </cell>
          <cell r="H5365" t="str">
            <v>TRD RETAIL</v>
          </cell>
          <cell r="I5365" t="str">
            <v>XA</v>
          </cell>
          <cell r="J5365" t="str">
            <v>PCR</v>
          </cell>
          <cell r="K5365" t="str">
            <v>XA03</v>
          </cell>
          <cell r="L5365" t="str">
            <v>AEROSOL</v>
          </cell>
          <cell r="M5365" t="str">
            <v>XA0302</v>
          </cell>
          <cell r="N5365" t="str">
            <v>ZEBRA GRAFFITI</v>
          </cell>
        </row>
        <row r="5366">
          <cell r="C5366" t="str">
            <v>170001423</v>
          </cell>
          <cell r="D5366" t="str">
            <v>ZEBRA GRF EMERALD 140-3-0.4L</v>
          </cell>
          <cell r="E5366" t="str">
            <v>ZTRD</v>
          </cell>
          <cell r="F5366" t="str">
            <v>PC</v>
          </cell>
          <cell r="G5366" t="str">
            <v>X</v>
          </cell>
          <cell r="H5366" t="str">
            <v>TRD RETAIL</v>
          </cell>
          <cell r="I5366" t="str">
            <v>XA</v>
          </cell>
          <cell r="J5366" t="str">
            <v>PCR</v>
          </cell>
          <cell r="K5366" t="str">
            <v>XA03</v>
          </cell>
          <cell r="L5366" t="str">
            <v>AEROSOL</v>
          </cell>
          <cell r="M5366" t="str">
            <v>XA0302</v>
          </cell>
          <cell r="N5366" t="str">
            <v>ZEBRA GRAFFITI</v>
          </cell>
        </row>
        <row r="5367">
          <cell r="C5367" t="str">
            <v>170001424</v>
          </cell>
          <cell r="D5367" t="str">
            <v>ZEBRA GRF FLUORESCENT 000-1-0.4L</v>
          </cell>
          <cell r="E5367" t="str">
            <v>ZTRD</v>
          </cell>
          <cell r="F5367" t="str">
            <v>PC</v>
          </cell>
          <cell r="G5367" t="str">
            <v>X</v>
          </cell>
          <cell r="H5367" t="str">
            <v>TRD RETAIL</v>
          </cell>
          <cell r="I5367" t="str">
            <v>XA</v>
          </cell>
          <cell r="J5367" t="str">
            <v>PCR</v>
          </cell>
          <cell r="K5367" t="str">
            <v>XA03</v>
          </cell>
          <cell r="L5367" t="str">
            <v>AEROSOL</v>
          </cell>
          <cell r="M5367" t="str">
            <v>XA0302</v>
          </cell>
          <cell r="N5367" t="str">
            <v>ZEBRA GRAFFITI</v>
          </cell>
        </row>
        <row r="5368">
          <cell r="C5368" t="str">
            <v>170001425</v>
          </cell>
          <cell r="D5368" t="str">
            <v>ZEBRA GRF FLUORESCENT 000-2-0.4L</v>
          </cell>
          <cell r="E5368" t="str">
            <v>ZTRD</v>
          </cell>
          <cell r="F5368" t="str">
            <v>PC</v>
          </cell>
          <cell r="G5368" t="str">
            <v>X</v>
          </cell>
          <cell r="H5368" t="str">
            <v>TRD RETAIL</v>
          </cell>
          <cell r="I5368" t="str">
            <v>XA</v>
          </cell>
          <cell r="J5368" t="str">
            <v>PCR</v>
          </cell>
          <cell r="K5368" t="str">
            <v>XA03</v>
          </cell>
          <cell r="L5368" t="str">
            <v>AEROSOL</v>
          </cell>
          <cell r="M5368" t="str">
            <v>XA0302</v>
          </cell>
          <cell r="N5368" t="str">
            <v>ZEBRA GRAFFITI</v>
          </cell>
        </row>
        <row r="5369">
          <cell r="C5369" t="str">
            <v>170001426</v>
          </cell>
          <cell r="D5369" t="str">
            <v>ZEBRA GRF FLUORESCENT 000-3-0.4L</v>
          </cell>
          <cell r="E5369" t="str">
            <v>ZTRD</v>
          </cell>
          <cell r="F5369" t="str">
            <v>PC</v>
          </cell>
          <cell r="G5369" t="str">
            <v>X</v>
          </cell>
          <cell r="H5369" t="str">
            <v>TRD RETAIL</v>
          </cell>
          <cell r="I5369" t="str">
            <v>XA</v>
          </cell>
          <cell r="J5369" t="str">
            <v>PCR</v>
          </cell>
          <cell r="K5369" t="str">
            <v>XA03</v>
          </cell>
          <cell r="L5369" t="str">
            <v>AEROSOL</v>
          </cell>
          <cell r="M5369" t="str">
            <v>XA0302</v>
          </cell>
          <cell r="N5369" t="str">
            <v>ZEBRA GRAFFITI</v>
          </cell>
        </row>
        <row r="5370">
          <cell r="C5370" t="str">
            <v>170001427</v>
          </cell>
          <cell r="D5370" t="str">
            <v>ZEBRA GRF FLUORESCENT 000-4-0.4L</v>
          </cell>
          <cell r="E5370" t="str">
            <v>ZTRD</v>
          </cell>
          <cell r="F5370" t="str">
            <v>PC</v>
          </cell>
          <cell r="G5370" t="str">
            <v>X</v>
          </cell>
          <cell r="H5370" t="str">
            <v>TRD RETAIL</v>
          </cell>
          <cell r="I5370" t="str">
            <v>XA</v>
          </cell>
          <cell r="J5370" t="str">
            <v>PCR</v>
          </cell>
          <cell r="K5370" t="str">
            <v>XA03</v>
          </cell>
          <cell r="L5370" t="str">
            <v>AEROSOL</v>
          </cell>
          <cell r="M5370" t="str">
            <v>XA0302</v>
          </cell>
          <cell r="N5370" t="str">
            <v>ZEBRA GRAFFITI</v>
          </cell>
        </row>
        <row r="5371">
          <cell r="C5371" t="str">
            <v>170001428</v>
          </cell>
          <cell r="D5371" t="str">
            <v>ZEBRA GRF FUCHSIA 090-1-0.4L</v>
          </cell>
          <cell r="E5371" t="str">
            <v>ZTRD</v>
          </cell>
          <cell r="F5371" t="str">
            <v>PC</v>
          </cell>
          <cell r="G5371" t="str">
            <v>X</v>
          </cell>
          <cell r="H5371" t="str">
            <v>TRD RETAIL</v>
          </cell>
          <cell r="I5371" t="str">
            <v>XA</v>
          </cell>
          <cell r="J5371" t="str">
            <v>PCR</v>
          </cell>
          <cell r="K5371" t="str">
            <v>XA03</v>
          </cell>
          <cell r="L5371" t="str">
            <v>AEROSOL</v>
          </cell>
          <cell r="M5371" t="str">
            <v>XA0302</v>
          </cell>
          <cell r="N5371" t="str">
            <v>ZEBRA GRAFFITI</v>
          </cell>
        </row>
        <row r="5372">
          <cell r="C5372" t="str">
            <v>170001429</v>
          </cell>
          <cell r="D5372" t="str">
            <v>ZEBRA GRF FUCHSIA 090-2-0.4L</v>
          </cell>
          <cell r="E5372" t="str">
            <v>ZTRD</v>
          </cell>
          <cell r="F5372" t="str">
            <v>PC</v>
          </cell>
          <cell r="G5372" t="str">
            <v>X</v>
          </cell>
          <cell r="H5372" t="str">
            <v>TRD RETAIL</v>
          </cell>
          <cell r="I5372" t="str">
            <v>XA</v>
          </cell>
          <cell r="J5372" t="str">
            <v>PCR</v>
          </cell>
          <cell r="K5372" t="str">
            <v>XA03</v>
          </cell>
          <cell r="L5372" t="str">
            <v>AEROSOL</v>
          </cell>
          <cell r="M5372" t="str">
            <v>XA0302</v>
          </cell>
          <cell r="N5372" t="str">
            <v>ZEBRA GRAFFITI</v>
          </cell>
        </row>
        <row r="5373">
          <cell r="C5373" t="str">
            <v>170001430</v>
          </cell>
          <cell r="D5373" t="str">
            <v>ZEBRA GRF GREEN 150-1-0.4L</v>
          </cell>
          <cell r="E5373" t="str">
            <v>ZTRD</v>
          </cell>
          <cell r="F5373" t="str">
            <v>PC</v>
          </cell>
          <cell r="G5373" t="str">
            <v>X</v>
          </cell>
          <cell r="H5373" t="str">
            <v>TRD RETAIL</v>
          </cell>
          <cell r="I5373" t="str">
            <v>XA</v>
          </cell>
          <cell r="J5373" t="str">
            <v>PCR</v>
          </cell>
          <cell r="K5373" t="str">
            <v>XA03</v>
          </cell>
          <cell r="L5373" t="str">
            <v>AEROSOL</v>
          </cell>
          <cell r="M5373" t="str">
            <v>XA0302</v>
          </cell>
          <cell r="N5373" t="str">
            <v>ZEBRA GRAFFITI</v>
          </cell>
        </row>
        <row r="5374">
          <cell r="C5374" t="str">
            <v>170001431</v>
          </cell>
          <cell r="D5374" t="str">
            <v>ZEBRA GRF GREEN 150-2-0.4L</v>
          </cell>
          <cell r="E5374" t="str">
            <v>ZTRD</v>
          </cell>
          <cell r="F5374" t="str">
            <v>PC</v>
          </cell>
          <cell r="G5374" t="str">
            <v>X</v>
          </cell>
          <cell r="H5374" t="str">
            <v>TRD RETAIL</v>
          </cell>
          <cell r="I5374" t="str">
            <v>XA</v>
          </cell>
          <cell r="J5374" t="str">
            <v>PCR</v>
          </cell>
          <cell r="K5374" t="str">
            <v>XA03</v>
          </cell>
          <cell r="L5374" t="str">
            <v>AEROSOL</v>
          </cell>
          <cell r="M5374" t="str">
            <v>XA0302</v>
          </cell>
          <cell r="N5374" t="str">
            <v>ZEBRA GRAFFITI</v>
          </cell>
        </row>
        <row r="5375">
          <cell r="C5375" t="str">
            <v>170001432</v>
          </cell>
          <cell r="D5375" t="str">
            <v>ZEBRA GRF GREEN 150-3-0.4L</v>
          </cell>
          <cell r="E5375" t="str">
            <v>ZTRD</v>
          </cell>
          <cell r="F5375" t="str">
            <v>PC</v>
          </cell>
          <cell r="G5375" t="str">
            <v>X</v>
          </cell>
          <cell r="H5375" t="str">
            <v>TRD RETAIL</v>
          </cell>
          <cell r="I5375" t="str">
            <v>XA</v>
          </cell>
          <cell r="J5375" t="str">
            <v>PCR</v>
          </cell>
          <cell r="K5375" t="str">
            <v>XA03</v>
          </cell>
          <cell r="L5375" t="str">
            <v>AEROSOL</v>
          </cell>
          <cell r="M5375" t="str">
            <v>XA0302</v>
          </cell>
          <cell r="N5375" t="str">
            <v>ZEBRA GRAFFITI</v>
          </cell>
        </row>
        <row r="5376">
          <cell r="C5376" t="str">
            <v>170001433</v>
          </cell>
          <cell r="D5376" t="str">
            <v>ZEBRA GRF GREY 010-1-0.4L</v>
          </cell>
          <cell r="E5376" t="str">
            <v>ZTRD</v>
          </cell>
          <cell r="F5376" t="str">
            <v>PC</v>
          </cell>
          <cell r="G5376" t="str">
            <v>X</v>
          </cell>
          <cell r="H5376" t="str">
            <v>TRD RETAIL</v>
          </cell>
          <cell r="I5376" t="str">
            <v>XA</v>
          </cell>
          <cell r="J5376" t="str">
            <v>PCR</v>
          </cell>
          <cell r="K5376" t="str">
            <v>XA03</v>
          </cell>
          <cell r="L5376" t="str">
            <v>AEROSOL</v>
          </cell>
          <cell r="M5376" t="str">
            <v>XA0302</v>
          </cell>
          <cell r="N5376" t="str">
            <v>ZEBRA GRAFFITI</v>
          </cell>
        </row>
        <row r="5377">
          <cell r="C5377" t="str">
            <v>170001434</v>
          </cell>
          <cell r="D5377" t="str">
            <v>ZEBRA GRF GREY 010-3-0.4L</v>
          </cell>
          <cell r="E5377" t="str">
            <v>ZTRD</v>
          </cell>
          <cell r="F5377" t="str">
            <v>PC</v>
          </cell>
          <cell r="G5377" t="str">
            <v>X</v>
          </cell>
          <cell r="H5377" t="str">
            <v>TRD RETAIL</v>
          </cell>
          <cell r="I5377" t="str">
            <v>XA</v>
          </cell>
          <cell r="J5377" t="str">
            <v>PCR</v>
          </cell>
          <cell r="K5377" t="str">
            <v>XA03</v>
          </cell>
          <cell r="L5377" t="str">
            <v>AEROSOL</v>
          </cell>
          <cell r="M5377" t="str">
            <v>XA0302</v>
          </cell>
          <cell r="N5377" t="str">
            <v>ZEBRA GRAFFITI</v>
          </cell>
        </row>
        <row r="5378">
          <cell r="C5378" t="str">
            <v>170001435</v>
          </cell>
          <cell r="D5378" t="str">
            <v>ZEBRA GRF GREY 010-4-0.4L</v>
          </cell>
          <cell r="E5378" t="str">
            <v>ZTRD</v>
          </cell>
          <cell r="F5378" t="str">
            <v>PC</v>
          </cell>
          <cell r="G5378" t="str">
            <v>X</v>
          </cell>
          <cell r="H5378" t="str">
            <v>TRD RETAIL</v>
          </cell>
          <cell r="I5378" t="str">
            <v>XA</v>
          </cell>
          <cell r="J5378" t="str">
            <v>PCR</v>
          </cell>
          <cell r="K5378" t="str">
            <v>XA03</v>
          </cell>
          <cell r="L5378" t="str">
            <v>AEROSOL</v>
          </cell>
          <cell r="M5378" t="str">
            <v>XA0302</v>
          </cell>
          <cell r="N5378" t="str">
            <v>ZEBRA GRAFFITI</v>
          </cell>
        </row>
        <row r="5379">
          <cell r="C5379" t="str">
            <v>170001436</v>
          </cell>
          <cell r="D5379" t="str">
            <v>ZEBRA GRF INDIGO 130-1-0.4L</v>
          </cell>
          <cell r="E5379" t="str">
            <v>ZTRD</v>
          </cell>
          <cell r="F5379" t="str">
            <v>PC</v>
          </cell>
          <cell r="G5379" t="str">
            <v>X</v>
          </cell>
          <cell r="H5379" t="str">
            <v>TRD RETAIL</v>
          </cell>
          <cell r="I5379" t="str">
            <v>XA</v>
          </cell>
          <cell r="J5379" t="str">
            <v>PCR</v>
          </cell>
          <cell r="K5379" t="str">
            <v>XA03</v>
          </cell>
          <cell r="L5379" t="str">
            <v>AEROSOL</v>
          </cell>
          <cell r="M5379" t="str">
            <v>XA0302</v>
          </cell>
          <cell r="N5379" t="str">
            <v>ZEBRA GRAFFITI</v>
          </cell>
        </row>
        <row r="5380">
          <cell r="C5380" t="str">
            <v>170001437</v>
          </cell>
          <cell r="D5380" t="str">
            <v>ZEBRA GRF INDIGO 130-2-0.4L</v>
          </cell>
          <cell r="E5380" t="str">
            <v>ZTRD</v>
          </cell>
          <cell r="F5380" t="str">
            <v>PC</v>
          </cell>
          <cell r="G5380" t="str">
            <v>X</v>
          </cell>
          <cell r="H5380" t="str">
            <v>TRD RETAIL</v>
          </cell>
          <cell r="I5380" t="str">
            <v>XA</v>
          </cell>
          <cell r="J5380" t="str">
            <v>PCR</v>
          </cell>
          <cell r="K5380" t="str">
            <v>XA03</v>
          </cell>
          <cell r="L5380" t="str">
            <v>AEROSOL</v>
          </cell>
          <cell r="M5380" t="str">
            <v>XA0302</v>
          </cell>
          <cell r="N5380" t="str">
            <v>ZEBRA GRAFFITI</v>
          </cell>
        </row>
        <row r="5381">
          <cell r="C5381" t="str">
            <v>170001438</v>
          </cell>
          <cell r="D5381" t="str">
            <v>ZEBRA GRF LEMON 040-1-0.4L</v>
          </cell>
          <cell r="E5381" t="str">
            <v>ZTRD</v>
          </cell>
          <cell r="F5381" t="str">
            <v>PC</v>
          </cell>
          <cell r="G5381" t="str">
            <v>X</v>
          </cell>
          <cell r="H5381" t="str">
            <v>TRD RETAIL</v>
          </cell>
          <cell r="I5381" t="str">
            <v>XA</v>
          </cell>
          <cell r="J5381" t="str">
            <v>PCR</v>
          </cell>
          <cell r="K5381" t="str">
            <v>XA03</v>
          </cell>
          <cell r="L5381" t="str">
            <v>AEROSOL</v>
          </cell>
          <cell r="M5381" t="str">
            <v>XA0302</v>
          </cell>
          <cell r="N5381" t="str">
            <v>ZEBRA GRAFFITI</v>
          </cell>
        </row>
        <row r="5382">
          <cell r="C5382" t="str">
            <v>170001439</v>
          </cell>
          <cell r="D5382" t="str">
            <v>ZEBRA GRF LEMON 040-2-0.4L</v>
          </cell>
          <cell r="E5382" t="str">
            <v>ZTRD</v>
          </cell>
          <cell r="F5382" t="str">
            <v>PC</v>
          </cell>
          <cell r="G5382" t="str">
            <v>X</v>
          </cell>
          <cell r="H5382" t="str">
            <v>TRD RETAIL</v>
          </cell>
          <cell r="I5382" t="str">
            <v>XA</v>
          </cell>
          <cell r="J5382" t="str">
            <v>PCR</v>
          </cell>
          <cell r="K5382" t="str">
            <v>XA03</v>
          </cell>
          <cell r="L5382" t="str">
            <v>AEROSOL</v>
          </cell>
          <cell r="M5382" t="str">
            <v>XA0302</v>
          </cell>
          <cell r="N5382" t="str">
            <v>ZEBRA GRAFFITI</v>
          </cell>
        </row>
        <row r="5383">
          <cell r="C5383" t="str">
            <v>170001440</v>
          </cell>
          <cell r="D5383" t="str">
            <v>ZEBRA GRF LEMON 040-3-0.4L</v>
          </cell>
          <cell r="E5383" t="str">
            <v>ZTRD</v>
          </cell>
          <cell r="F5383" t="str">
            <v>PC</v>
          </cell>
          <cell r="G5383" t="str">
            <v>X</v>
          </cell>
          <cell r="H5383" t="str">
            <v>TRD RETAIL</v>
          </cell>
          <cell r="I5383" t="str">
            <v>XA</v>
          </cell>
          <cell r="J5383" t="str">
            <v>PCR</v>
          </cell>
          <cell r="K5383" t="str">
            <v>XA03</v>
          </cell>
          <cell r="L5383" t="str">
            <v>AEROSOL</v>
          </cell>
          <cell r="M5383" t="str">
            <v>XA0302</v>
          </cell>
          <cell r="N5383" t="str">
            <v>ZEBRA GRAFFITI</v>
          </cell>
        </row>
        <row r="5384">
          <cell r="C5384" t="str">
            <v>170001441</v>
          </cell>
          <cell r="D5384" t="str">
            <v>ZEBRA GRF MAGENTA 099-1-0.4L</v>
          </cell>
          <cell r="E5384" t="str">
            <v>ZTRD</v>
          </cell>
          <cell r="F5384" t="str">
            <v>PC</v>
          </cell>
          <cell r="G5384" t="str">
            <v>X</v>
          </cell>
          <cell r="H5384" t="str">
            <v>TRD RETAIL</v>
          </cell>
          <cell r="I5384" t="str">
            <v>XA</v>
          </cell>
          <cell r="J5384" t="str">
            <v>PCR</v>
          </cell>
          <cell r="K5384" t="str">
            <v>XA03</v>
          </cell>
          <cell r="L5384" t="str">
            <v>AEROSOL</v>
          </cell>
          <cell r="M5384" t="str">
            <v>XA0302</v>
          </cell>
          <cell r="N5384" t="str">
            <v>ZEBRA GRAFFITI</v>
          </cell>
        </row>
        <row r="5385">
          <cell r="C5385" t="str">
            <v>170001442</v>
          </cell>
          <cell r="D5385" t="str">
            <v>ZEBRA GRF MAGENTA 099-2-0.4L</v>
          </cell>
          <cell r="E5385" t="str">
            <v>ZTRD</v>
          </cell>
          <cell r="F5385" t="str">
            <v>PC</v>
          </cell>
          <cell r="G5385" t="str">
            <v>X</v>
          </cell>
          <cell r="H5385" t="str">
            <v>TRD RETAIL</v>
          </cell>
          <cell r="I5385" t="str">
            <v>XA</v>
          </cell>
          <cell r="J5385" t="str">
            <v>PCR</v>
          </cell>
          <cell r="K5385" t="str">
            <v>XA03</v>
          </cell>
          <cell r="L5385" t="str">
            <v>AEROSOL</v>
          </cell>
          <cell r="M5385" t="str">
            <v>XA0302</v>
          </cell>
          <cell r="N5385" t="str">
            <v>ZEBRA GRAFFITI</v>
          </cell>
        </row>
        <row r="5386">
          <cell r="C5386" t="str">
            <v>170001443</v>
          </cell>
          <cell r="D5386" t="str">
            <v>ZEBRA GRF MAGENTA 099-3-0.4L</v>
          </cell>
          <cell r="E5386" t="str">
            <v>ZTRD</v>
          </cell>
          <cell r="F5386" t="str">
            <v>PC</v>
          </cell>
          <cell r="G5386" t="str">
            <v>X</v>
          </cell>
          <cell r="H5386" t="str">
            <v>TRD RETAIL</v>
          </cell>
          <cell r="I5386" t="str">
            <v>XA</v>
          </cell>
          <cell r="J5386" t="str">
            <v>PCR</v>
          </cell>
          <cell r="K5386" t="str">
            <v>XA03</v>
          </cell>
          <cell r="L5386" t="str">
            <v>AEROSOL</v>
          </cell>
          <cell r="M5386" t="str">
            <v>XA0302</v>
          </cell>
          <cell r="N5386" t="str">
            <v>ZEBRA GRAFFITI</v>
          </cell>
        </row>
        <row r="5387">
          <cell r="C5387" t="str">
            <v>170001444</v>
          </cell>
          <cell r="D5387" t="str">
            <v>ZEBRA GRF MAGENTA 099-4-0.4L</v>
          </cell>
          <cell r="E5387" t="str">
            <v>ZTRD</v>
          </cell>
          <cell r="F5387" t="str">
            <v>PC</v>
          </cell>
          <cell r="G5387" t="str">
            <v>X</v>
          </cell>
          <cell r="H5387" t="str">
            <v>TRD RETAIL</v>
          </cell>
          <cell r="I5387" t="str">
            <v>XA</v>
          </cell>
          <cell r="J5387" t="str">
            <v>PCR</v>
          </cell>
          <cell r="K5387" t="str">
            <v>XA03</v>
          </cell>
          <cell r="L5387" t="str">
            <v>AEROSOL</v>
          </cell>
          <cell r="M5387" t="str">
            <v>XA0302</v>
          </cell>
          <cell r="N5387" t="str">
            <v>ZEBRA GRAFFITI</v>
          </cell>
        </row>
        <row r="5388">
          <cell r="C5388" t="str">
            <v>170001445</v>
          </cell>
          <cell r="D5388" t="str">
            <v>ZEBRA GRF NAVY 110-1-0.4L</v>
          </cell>
          <cell r="E5388" t="str">
            <v>ZTRD</v>
          </cell>
          <cell r="F5388" t="str">
            <v>PC</v>
          </cell>
          <cell r="G5388" t="str">
            <v>X</v>
          </cell>
          <cell r="H5388" t="str">
            <v>TRD RETAIL</v>
          </cell>
          <cell r="I5388" t="str">
            <v>XA</v>
          </cell>
          <cell r="J5388" t="str">
            <v>PCR</v>
          </cell>
          <cell r="K5388" t="str">
            <v>XA03</v>
          </cell>
          <cell r="L5388" t="str">
            <v>AEROSOL</v>
          </cell>
          <cell r="M5388" t="str">
            <v>XA0302</v>
          </cell>
          <cell r="N5388" t="str">
            <v>ZEBRA GRAFFITI</v>
          </cell>
        </row>
        <row r="5389">
          <cell r="C5389" t="str">
            <v>170001446</v>
          </cell>
          <cell r="D5389" t="str">
            <v>ZEBRA GRF NAVY 110-2-0.4L</v>
          </cell>
          <cell r="E5389" t="str">
            <v>ZTRD</v>
          </cell>
          <cell r="F5389" t="str">
            <v>PC</v>
          </cell>
          <cell r="G5389" t="str">
            <v>X</v>
          </cell>
          <cell r="H5389" t="str">
            <v>TRD RETAIL</v>
          </cell>
          <cell r="I5389" t="str">
            <v>XA</v>
          </cell>
          <cell r="J5389" t="str">
            <v>PCR</v>
          </cell>
          <cell r="K5389" t="str">
            <v>XA03</v>
          </cell>
          <cell r="L5389" t="str">
            <v>AEROSOL</v>
          </cell>
          <cell r="M5389" t="str">
            <v>XA0302</v>
          </cell>
          <cell r="N5389" t="str">
            <v>ZEBRA GRAFFITI</v>
          </cell>
        </row>
        <row r="5390">
          <cell r="C5390" t="str">
            <v>170001447</v>
          </cell>
          <cell r="D5390" t="str">
            <v>ZEBRA GRF NAVY 110-3-0.4L</v>
          </cell>
          <cell r="E5390" t="str">
            <v>ZTRD</v>
          </cell>
          <cell r="F5390" t="str">
            <v>PC</v>
          </cell>
          <cell r="G5390" t="str">
            <v>X</v>
          </cell>
          <cell r="H5390" t="str">
            <v>TRD RETAIL</v>
          </cell>
          <cell r="I5390" t="str">
            <v>XA</v>
          </cell>
          <cell r="J5390" t="str">
            <v>PCR</v>
          </cell>
          <cell r="K5390" t="str">
            <v>XA03</v>
          </cell>
          <cell r="L5390" t="str">
            <v>AEROSOL</v>
          </cell>
          <cell r="M5390" t="str">
            <v>XA0302</v>
          </cell>
          <cell r="N5390" t="str">
            <v>ZEBRA GRAFFITI</v>
          </cell>
        </row>
        <row r="5391">
          <cell r="C5391" t="str">
            <v>170001448</v>
          </cell>
          <cell r="D5391" t="str">
            <v>ZEBRA GRF ORANGE 060-1-0.4L</v>
          </cell>
          <cell r="E5391" t="str">
            <v>ZTRD</v>
          </cell>
          <cell r="F5391" t="str">
            <v>PC</v>
          </cell>
          <cell r="G5391" t="str">
            <v>X</v>
          </cell>
          <cell r="H5391" t="str">
            <v>TRD RETAIL</v>
          </cell>
          <cell r="I5391" t="str">
            <v>XA</v>
          </cell>
          <cell r="J5391" t="str">
            <v>PCR</v>
          </cell>
          <cell r="K5391" t="str">
            <v>XA03</v>
          </cell>
          <cell r="L5391" t="str">
            <v>AEROSOL</v>
          </cell>
          <cell r="M5391" t="str">
            <v>XA0302</v>
          </cell>
          <cell r="N5391" t="str">
            <v>ZEBRA GRAFFITI</v>
          </cell>
        </row>
        <row r="5392">
          <cell r="C5392" t="str">
            <v>170001449</v>
          </cell>
          <cell r="D5392" t="str">
            <v>ZEBRA GRF ORANGE 060-2-0.4L</v>
          </cell>
          <cell r="E5392" t="str">
            <v>ZTRD</v>
          </cell>
          <cell r="F5392" t="str">
            <v>PC</v>
          </cell>
          <cell r="G5392" t="str">
            <v>X</v>
          </cell>
          <cell r="H5392" t="str">
            <v>TRD RETAIL</v>
          </cell>
          <cell r="I5392" t="str">
            <v>XA</v>
          </cell>
          <cell r="J5392" t="str">
            <v>PCR</v>
          </cell>
          <cell r="K5392" t="str">
            <v>XA03</v>
          </cell>
          <cell r="L5392" t="str">
            <v>AEROSOL</v>
          </cell>
          <cell r="M5392" t="str">
            <v>XA0302</v>
          </cell>
          <cell r="N5392" t="str">
            <v>ZEBRA GRAFFITI</v>
          </cell>
        </row>
        <row r="5393">
          <cell r="C5393" t="str">
            <v>170001450</v>
          </cell>
          <cell r="D5393" t="str">
            <v>ZEBRA GRF ORANGE 060-3-0.4L</v>
          </cell>
          <cell r="E5393" t="str">
            <v>ZTRD</v>
          </cell>
          <cell r="F5393" t="str">
            <v>PC</v>
          </cell>
          <cell r="G5393" t="str">
            <v>X</v>
          </cell>
          <cell r="H5393" t="str">
            <v>TRD RETAIL</v>
          </cell>
          <cell r="I5393" t="str">
            <v>XA</v>
          </cell>
          <cell r="J5393" t="str">
            <v>PCR</v>
          </cell>
          <cell r="K5393" t="str">
            <v>XA03</v>
          </cell>
          <cell r="L5393" t="str">
            <v>AEROSOL</v>
          </cell>
          <cell r="M5393" t="str">
            <v>XA0302</v>
          </cell>
          <cell r="N5393" t="str">
            <v>ZEBRA GRAFFITI</v>
          </cell>
        </row>
        <row r="5394">
          <cell r="C5394" t="str">
            <v>170001451</v>
          </cell>
          <cell r="D5394" t="str">
            <v>ZEBRA GRF ORANGE 060-4-0.4L</v>
          </cell>
          <cell r="E5394" t="str">
            <v>ZTRD</v>
          </cell>
          <cell r="F5394" t="str">
            <v>PC</v>
          </cell>
          <cell r="G5394" t="str">
            <v>X</v>
          </cell>
          <cell r="H5394" t="str">
            <v>TRD RETAIL</v>
          </cell>
          <cell r="I5394" t="str">
            <v>XA</v>
          </cell>
          <cell r="J5394" t="str">
            <v>PCR</v>
          </cell>
          <cell r="K5394" t="str">
            <v>XA03</v>
          </cell>
          <cell r="L5394" t="str">
            <v>AEROSOL</v>
          </cell>
          <cell r="M5394" t="str">
            <v>XA0302</v>
          </cell>
          <cell r="N5394" t="str">
            <v>ZEBRA GRAFFITI</v>
          </cell>
        </row>
        <row r="5395">
          <cell r="C5395" t="str">
            <v>170001452</v>
          </cell>
          <cell r="D5395" t="str">
            <v>ZEBRA GRF PLUM 030-1-0.4L</v>
          </cell>
          <cell r="E5395" t="str">
            <v>ZTRD</v>
          </cell>
          <cell r="F5395" t="str">
            <v>PC</v>
          </cell>
          <cell r="G5395" t="str">
            <v>X</v>
          </cell>
          <cell r="H5395" t="str">
            <v>TRD RETAIL</v>
          </cell>
          <cell r="I5395" t="str">
            <v>XA</v>
          </cell>
          <cell r="J5395" t="str">
            <v>PCR</v>
          </cell>
          <cell r="K5395" t="str">
            <v>XA03</v>
          </cell>
          <cell r="L5395" t="str">
            <v>AEROSOL</v>
          </cell>
          <cell r="M5395" t="str">
            <v>XA0302</v>
          </cell>
          <cell r="N5395" t="str">
            <v>ZEBRA GRAFFITI</v>
          </cell>
        </row>
        <row r="5396">
          <cell r="C5396" t="str">
            <v>170001453</v>
          </cell>
          <cell r="D5396" t="str">
            <v>ZEBRA GRF PLUM 030-2-0.4L</v>
          </cell>
          <cell r="E5396" t="str">
            <v>ZTRD</v>
          </cell>
          <cell r="F5396" t="str">
            <v>PC</v>
          </cell>
          <cell r="G5396" t="str">
            <v>X</v>
          </cell>
          <cell r="H5396" t="str">
            <v>TRD RETAIL</v>
          </cell>
          <cell r="I5396" t="str">
            <v>XA</v>
          </cell>
          <cell r="J5396" t="str">
            <v>PCR</v>
          </cell>
          <cell r="K5396" t="str">
            <v>XA03</v>
          </cell>
          <cell r="L5396" t="str">
            <v>AEROSOL</v>
          </cell>
          <cell r="M5396" t="str">
            <v>XA0302</v>
          </cell>
          <cell r="N5396" t="str">
            <v>ZEBRA GRAFFITI</v>
          </cell>
        </row>
        <row r="5397">
          <cell r="C5397" t="str">
            <v>170001454</v>
          </cell>
          <cell r="D5397" t="str">
            <v>ZEBRA GRF PLUM 030-3-0.4L</v>
          </cell>
          <cell r="E5397" t="str">
            <v>ZTRD</v>
          </cell>
          <cell r="F5397" t="str">
            <v>PC</v>
          </cell>
          <cell r="G5397" t="str">
            <v>X</v>
          </cell>
          <cell r="H5397" t="str">
            <v>TRD RETAIL</v>
          </cell>
          <cell r="I5397" t="str">
            <v>XA</v>
          </cell>
          <cell r="J5397" t="str">
            <v>PCR</v>
          </cell>
          <cell r="K5397" t="str">
            <v>XA03</v>
          </cell>
          <cell r="L5397" t="str">
            <v>AEROSOL</v>
          </cell>
          <cell r="M5397" t="str">
            <v>XA0302</v>
          </cell>
          <cell r="N5397" t="str">
            <v>ZEBRA GRAFFITI</v>
          </cell>
        </row>
        <row r="5398">
          <cell r="C5398" t="str">
            <v>170001455</v>
          </cell>
          <cell r="D5398" t="str">
            <v>ZEBRA GRF PURPLE 100-1-0.4L</v>
          </cell>
          <cell r="E5398" t="str">
            <v>ZTRD</v>
          </cell>
          <cell r="F5398" t="str">
            <v>PC</v>
          </cell>
          <cell r="G5398" t="str">
            <v>X</v>
          </cell>
          <cell r="H5398" t="str">
            <v>TRD RETAIL</v>
          </cell>
          <cell r="I5398" t="str">
            <v>XA</v>
          </cell>
          <cell r="J5398" t="str">
            <v>PCR</v>
          </cell>
          <cell r="K5398" t="str">
            <v>XA03</v>
          </cell>
          <cell r="L5398" t="str">
            <v>AEROSOL</v>
          </cell>
          <cell r="M5398" t="str">
            <v>XA0302</v>
          </cell>
          <cell r="N5398" t="str">
            <v>ZEBRA GRAFFITI</v>
          </cell>
        </row>
        <row r="5399">
          <cell r="C5399" t="str">
            <v>170001456</v>
          </cell>
          <cell r="D5399" t="str">
            <v>ZEBRA GRF PURPLE 100-2-0.4L</v>
          </cell>
          <cell r="E5399" t="str">
            <v>ZTRD</v>
          </cell>
          <cell r="F5399" t="str">
            <v>PC</v>
          </cell>
          <cell r="G5399" t="str">
            <v>X</v>
          </cell>
          <cell r="H5399" t="str">
            <v>TRD RETAIL</v>
          </cell>
          <cell r="I5399" t="str">
            <v>XA</v>
          </cell>
          <cell r="J5399" t="str">
            <v>PCR</v>
          </cell>
          <cell r="K5399" t="str">
            <v>XA03</v>
          </cell>
          <cell r="L5399" t="str">
            <v>AEROSOL</v>
          </cell>
          <cell r="M5399" t="str">
            <v>XA0302</v>
          </cell>
          <cell r="N5399" t="str">
            <v>ZEBRA GRAFFITI</v>
          </cell>
        </row>
        <row r="5400">
          <cell r="C5400" t="str">
            <v>170001457</v>
          </cell>
          <cell r="D5400" t="str">
            <v>ZEBRA GRF PURPLE 100-3-0.4L</v>
          </cell>
          <cell r="E5400" t="str">
            <v>ZTRD</v>
          </cell>
          <cell r="F5400" t="str">
            <v>PC</v>
          </cell>
          <cell r="G5400" t="str">
            <v>X</v>
          </cell>
          <cell r="H5400" t="str">
            <v>TRD RETAIL</v>
          </cell>
          <cell r="I5400" t="str">
            <v>XA</v>
          </cell>
          <cell r="J5400" t="str">
            <v>PCR</v>
          </cell>
          <cell r="K5400" t="str">
            <v>XA03</v>
          </cell>
          <cell r="L5400" t="str">
            <v>AEROSOL</v>
          </cell>
          <cell r="M5400" t="str">
            <v>XA0302</v>
          </cell>
          <cell r="N5400" t="str">
            <v>ZEBRA GRAFFITI</v>
          </cell>
        </row>
        <row r="5401">
          <cell r="C5401" t="str">
            <v>170001458</v>
          </cell>
          <cell r="D5401" t="str">
            <v>ZEBRA GRF PURPLE 100-4-0.4L</v>
          </cell>
          <cell r="E5401" t="str">
            <v>ZTRD</v>
          </cell>
          <cell r="F5401" t="str">
            <v>PC</v>
          </cell>
          <cell r="G5401" t="str">
            <v>X</v>
          </cell>
          <cell r="H5401" t="str">
            <v>TRD RETAIL</v>
          </cell>
          <cell r="I5401" t="str">
            <v>XA</v>
          </cell>
          <cell r="J5401" t="str">
            <v>PCR</v>
          </cell>
          <cell r="K5401" t="str">
            <v>XA03</v>
          </cell>
          <cell r="L5401" t="str">
            <v>AEROSOL</v>
          </cell>
          <cell r="M5401" t="str">
            <v>XA0302</v>
          </cell>
          <cell r="N5401" t="str">
            <v>ZEBRA GRAFFITI</v>
          </cell>
        </row>
        <row r="5402">
          <cell r="C5402" t="str">
            <v>170001459</v>
          </cell>
          <cell r="D5402" t="str">
            <v>ZEBRA GRF RED 070-1-0.4L</v>
          </cell>
          <cell r="E5402" t="str">
            <v>ZTRD</v>
          </cell>
          <cell r="F5402" t="str">
            <v>PC</v>
          </cell>
          <cell r="G5402" t="str">
            <v>X</v>
          </cell>
          <cell r="H5402" t="str">
            <v>TRD RETAIL</v>
          </cell>
          <cell r="I5402" t="str">
            <v>XA</v>
          </cell>
          <cell r="J5402" t="str">
            <v>PCR</v>
          </cell>
          <cell r="K5402" t="str">
            <v>XA03</v>
          </cell>
          <cell r="L5402" t="str">
            <v>AEROSOL</v>
          </cell>
          <cell r="M5402" t="str">
            <v>XA0302</v>
          </cell>
          <cell r="N5402" t="str">
            <v>ZEBRA GRAFFITI</v>
          </cell>
        </row>
        <row r="5403">
          <cell r="C5403" t="str">
            <v>170001460</v>
          </cell>
          <cell r="D5403" t="str">
            <v>ZEBRA GRF RED 070-2-0.4L</v>
          </cell>
          <cell r="E5403" t="str">
            <v>ZTRD</v>
          </cell>
          <cell r="F5403" t="str">
            <v>PC</v>
          </cell>
          <cell r="G5403" t="str">
            <v>X</v>
          </cell>
          <cell r="H5403" t="str">
            <v>TRD RETAIL</v>
          </cell>
          <cell r="I5403" t="str">
            <v>XA</v>
          </cell>
          <cell r="J5403" t="str">
            <v>PCR</v>
          </cell>
          <cell r="K5403" t="str">
            <v>XA03</v>
          </cell>
          <cell r="L5403" t="str">
            <v>AEROSOL</v>
          </cell>
          <cell r="M5403" t="str">
            <v>XA0302</v>
          </cell>
          <cell r="N5403" t="str">
            <v>ZEBRA GRAFFITI</v>
          </cell>
        </row>
        <row r="5404">
          <cell r="C5404" t="str">
            <v>170001461</v>
          </cell>
          <cell r="D5404" t="str">
            <v>ZEBRA GRF RED 070-3-0.4L</v>
          </cell>
          <cell r="E5404" t="str">
            <v>ZTRD</v>
          </cell>
          <cell r="F5404" t="str">
            <v>PC</v>
          </cell>
          <cell r="G5404" t="str">
            <v>X</v>
          </cell>
          <cell r="H5404" t="str">
            <v>TRD RETAIL</v>
          </cell>
          <cell r="I5404" t="str">
            <v>XA</v>
          </cell>
          <cell r="J5404" t="str">
            <v>PCR</v>
          </cell>
          <cell r="K5404" t="str">
            <v>XA03</v>
          </cell>
          <cell r="L5404" t="str">
            <v>AEROSOL</v>
          </cell>
          <cell r="M5404" t="str">
            <v>XA0302</v>
          </cell>
          <cell r="N5404" t="str">
            <v>ZEBRA GRAFFITI</v>
          </cell>
        </row>
        <row r="5405">
          <cell r="C5405" t="str">
            <v>170001462</v>
          </cell>
          <cell r="D5405" t="str">
            <v>ZEBRA GRF RED 070-4-0.4L</v>
          </cell>
          <cell r="E5405" t="str">
            <v>ZTRD</v>
          </cell>
          <cell r="F5405" t="str">
            <v>PC</v>
          </cell>
          <cell r="G5405" t="str">
            <v>X</v>
          </cell>
          <cell r="H5405" t="str">
            <v>TRD RETAIL</v>
          </cell>
          <cell r="I5405" t="str">
            <v>XA</v>
          </cell>
          <cell r="J5405" t="str">
            <v>PCR</v>
          </cell>
          <cell r="K5405" t="str">
            <v>XA03</v>
          </cell>
          <cell r="L5405" t="str">
            <v>AEROSOL</v>
          </cell>
          <cell r="M5405" t="str">
            <v>XA0302</v>
          </cell>
          <cell r="N5405" t="str">
            <v>ZEBRA GRAFFITI</v>
          </cell>
        </row>
        <row r="5406">
          <cell r="C5406" t="str">
            <v>170001463</v>
          </cell>
          <cell r="D5406" t="str">
            <v>ZEBRA GRF WALNUT 080-1-0.4L</v>
          </cell>
          <cell r="E5406" t="str">
            <v>ZTRD</v>
          </cell>
          <cell r="F5406" t="str">
            <v>PC</v>
          </cell>
          <cell r="G5406" t="str">
            <v>X</v>
          </cell>
          <cell r="H5406" t="str">
            <v>TRD RETAIL</v>
          </cell>
          <cell r="I5406" t="str">
            <v>XA</v>
          </cell>
          <cell r="J5406" t="str">
            <v>PCR</v>
          </cell>
          <cell r="K5406" t="str">
            <v>XA03</v>
          </cell>
          <cell r="L5406" t="str">
            <v>AEROSOL</v>
          </cell>
          <cell r="M5406" t="str">
            <v>XA0302</v>
          </cell>
          <cell r="N5406" t="str">
            <v>ZEBRA GRAFFITI</v>
          </cell>
        </row>
        <row r="5407">
          <cell r="C5407" t="str">
            <v>170001464</v>
          </cell>
          <cell r="D5407" t="str">
            <v>ZEBRA GRF WALNUT 080-2-0.4L</v>
          </cell>
          <cell r="E5407" t="str">
            <v>ZTRD</v>
          </cell>
          <cell r="F5407" t="str">
            <v>PC</v>
          </cell>
          <cell r="G5407" t="str">
            <v>X</v>
          </cell>
          <cell r="H5407" t="str">
            <v>TRD RETAIL</v>
          </cell>
          <cell r="I5407" t="str">
            <v>XA</v>
          </cell>
          <cell r="J5407" t="str">
            <v>PCR</v>
          </cell>
          <cell r="K5407" t="str">
            <v>XA03</v>
          </cell>
          <cell r="L5407" t="str">
            <v>AEROSOL</v>
          </cell>
          <cell r="M5407" t="str">
            <v>XA0302</v>
          </cell>
          <cell r="N5407" t="str">
            <v>ZEBRA GRAFFITI</v>
          </cell>
        </row>
        <row r="5408">
          <cell r="C5408" t="str">
            <v>170001465</v>
          </cell>
          <cell r="D5408" t="str">
            <v>ZEBRA GRF WALNUT 080-3-0.4L</v>
          </cell>
          <cell r="E5408" t="str">
            <v>ZTRD</v>
          </cell>
          <cell r="F5408" t="str">
            <v>PC</v>
          </cell>
          <cell r="G5408" t="str">
            <v>X</v>
          </cell>
          <cell r="H5408" t="str">
            <v>TRD RETAIL</v>
          </cell>
          <cell r="I5408" t="str">
            <v>XA</v>
          </cell>
          <cell r="J5408" t="str">
            <v>PCR</v>
          </cell>
          <cell r="K5408" t="str">
            <v>XA03</v>
          </cell>
          <cell r="L5408" t="str">
            <v>AEROSOL</v>
          </cell>
          <cell r="M5408" t="str">
            <v>XA0302</v>
          </cell>
          <cell r="N5408" t="str">
            <v>ZEBRA GRAFFITI</v>
          </cell>
        </row>
        <row r="5409">
          <cell r="C5409" t="str">
            <v>170001466</v>
          </cell>
          <cell r="D5409" t="str">
            <v>ZEBRA GRF WALNUT 080-4-0.4L</v>
          </cell>
          <cell r="E5409" t="str">
            <v>ZTRD</v>
          </cell>
          <cell r="F5409" t="str">
            <v>PC</v>
          </cell>
          <cell r="G5409" t="str">
            <v>X</v>
          </cell>
          <cell r="H5409" t="str">
            <v>TRD RETAIL</v>
          </cell>
          <cell r="I5409" t="str">
            <v>XA</v>
          </cell>
          <cell r="J5409" t="str">
            <v>PCR</v>
          </cell>
          <cell r="K5409" t="str">
            <v>XA03</v>
          </cell>
          <cell r="L5409" t="str">
            <v>AEROSOL</v>
          </cell>
          <cell r="M5409" t="str">
            <v>XA0302</v>
          </cell>
          <cell r="N5409" t="str">
            <v>ZEBRA GRAFFITI</v>
          </cell>
        </row>
        <row r="5410">
          <cell r="C5410" t="str">
            <v>170001467</v>
          </cell>
          <cell r="D5410" t="str">
            <v>ZEBRA GRF WALNUT 080-5-0.4L</v>
          </cell>
          <cell r="E5410" t="str">
            <v>ZTRD</v>
          </cell>
          <cell r="F5410" t="str">
            <v>PC</v>
          </cell>
          <cell r="G5410" t="str">
            <v>X</v>
          </cell>
          <cell r="H5410" t="str">
            <v>TRD RETAIL</v>
          </cell>
          <cell r="I5410" t="str">
            <v>XA</v>
          </cell>
          <cell r="J5410" t="str">
            <v>PCR</v>
          </cell>
          <cell r="K5410" t="str">
            <v>XA03</v>
          </cell>
          <cell r="L5410" t="str">
            <v>AEROSOL</v>
          </cell>
          <cell r="M5410" t="str">
            <v>XA0302</v>
          </cell>
          <cell r="N5410" t="str">
            <v>ZEBRA GRAFFITI</v>
          </cell>
        </row>
        <row r="5411">
          <cell r="C5411" t="str">
            <v>170001468</v>
          </cell>
          <cell r="D5411" t="str">
            <v>ZEBRA GRF WHITE 000-1-0.4L</v>
          </cell>
          <cell r="E5411" t="str">
            <v>ZTRD</v>
          </cell>
          <cell r="F5411" t="str">
            <v>PC</v>
          </cell>
          <cell r="G5411" t="str">
            <v>X</v>
          </cell>
          <cell r="H5411" t="str">
            <v>TRD RETAIL</v>
          </cell>
          <cell r="I5411" t="str">
            <v>XA</v>
          </cell>
          <cell r="J5411" t="str">
            <v>PCR</v>
          </cell>
          <cell r="K5411" t="str">
            <v>XA03</v>
          </cell>
          <cell r="L5411" t="str">
            <v>AEROSOL</v>
          </cell>
          <cell r="M5411" t="str">
            <v>XA0302</v>
          </cell>
          <cell r="N5411" t="str">
            <v>ZEBRA GRAFFITI</v>
          </cell>
        </row>
        <row r="5412">
          <cell r="C5412" t="str">
            <v>170001469</v>
          </cell>
          <cell r="D5412" t="str">
            <v>ZEBRA GRF YELLOW 050-1-0.4L</v>
          </cell>
          <cell r="E5412" t="str">
            <v>ZTRD</v>
          </cell>
          <cell r="F5412" t="str">
            <v>PC</v>
          </cell>
          <cell r="G5412" t="str">
            <v>X</v>
          </cell>
          <cell r="H5412" t="str">
            <v>TRD RETAIL</v>
          </cell>
          <cell r="I5412" t="str">
            <v>XA</v>
          </cell>
          <cell r="J5412" t="str">
            <v>PCR</v>
          </cell>
          <cell r="K5412" t="str">
            <v>XA03</v>
          </cell>
          <cell r="L5412" t="str">
            <v>AEROSOL</v>
          </cell>
          <cell r="M5412" t="str">
            <v>XA0302</v>
          </cell>
          <cell r="N5412" t="str">
            <v>ZEBRA GRAFFITI</v>
          </cell>
        </row>
        <row r="5413">
          <cell r="C5413" t="str">
            <v>170001470</v>
          </cell>
          <cell r="D5413" t="str">
            <v>ZEBRA GRF YELLOW 050-2-0.4L</v>
          </cell>
          <cell r="E5413" t="str">
            <v>ZTRD</v>
          </cell>
          <cell r="F5413" t="str">
            <v>PC</v>
          </cell>
          <cell r="G5413" t="str">
            <v>X</v>
          </cell>
          <cell r="H5413" t="str">
            <v>TRD RETAIL</v>
          </cell>
          <cell r="I5413" t="str">
            <v>XA</v>
          </cell>
          <cell r="J5413" t="str">
            <v>PCR</v>
          </cell>
          <cell r="K5413" t="str">
            <v>XA03</v>
          </cell>
          <cell r="L5413" t="str">
            <v>AEROSOL</v>
          </cell>
          <cell r="M5413" t="str">
            <v>XA0302</v>
          </cell>
          <cell r="N5413" t="str">
            <v>ZEBRA GRAFFITI</v>
          </cell>
        </row>
        <row r="5414">
          <cell r="C5414" t="str">
            <v>170001471</v>
          </cell>
          <cell r="D5414" t="str">
            <v>ZEBRA GRF YELLOW 050-3-0.4L</v>
          </cell>
          <cell r="E5414" t="str">
            <v>ZTRD</v>
          </cell>
          <cell r="F5414" t="str">
            <v>PC</v>
          </cell>
          <cell r="G5414" t="str">
            <v>X</v>
          </cell>
          <cell r="H5414" t="str">
            <v>TRD RETAIL</v>
          </cell>
          <cell r="I5414" t="str">
            <v>XA</v>
          </cell>
          <cell r="J5414" t="str">
            <v>PCR</v>
          </cell>
          <cell r="K5414" t="str">
            <v>XA03</v>
          </cell>
          <cell r="L5414" t="str">
            <v>AEROSOL</v>
          </cell>
          <cell r="M5414" t="str">
            <v>XA0302</v>
          </cell>
          <cell r="N5414" t="str">
            <v>ZEBRA GRAFFITI</v>
          </cell>
        </row>
        <row r="5415">
          <cell r="C5415" t="str">
            <v>170001472</v>
          </cell>
          <cell r="D5415" t="str">
            <v>ZEBRA GRF AQUA MARINE-7321-0.3L</v>
          </cell>
          <cell r="E5415" t="str">
            <v>ZTRD</v>
          </cell>
          <cell r="F5415" t="str">
            <v>PC</v>
          </cell>
          <cell r="G5415" t="str">
            <v>X</v>
          </cell>
          <cell r="H5415" t="str">
            <v>TRD RETAIL</v>
          </cell>
          <cell r="I5415" t="str">
            <v>XA</v>
          </cell>
          <cell r="J5415" t="str">
            <v>PCR</v>
          </cell>
          <cell r="K5415" t="str">
            <v>XA03</v>
          </cell>
          <cell r="L5415" t="str">
            <v>AEROSOL</v>
          </cell>
          <cell r="M5415" t="str">
            <v>XA0302</v>
          </cell>
          <cell r="N5415" t="str">
            <v>ZEBRA GRAFFITI</v>
          </cell>
        </row>
        <row r="5416">
          <cell r="C5416" t="str">
            <v>170001473</v>
          </cell>
          <cell r="D5416" t="str">
            <v>ZEBRA GRF BLUSH-4440-0.3L</v>
          </cell>
          <cell r="E5416" t="str">
            <v>ZTRD</v>
          </cell>
          <cell r="F5416" t="str">
            <v>PC</v>
          </cell>
          <cell r="G5416" t="str">
            <v>X</v>
          </cell>
          <cell r="H5416" t="str">
            <v>TRD RETAIL</v>
          </cell>
          <cell r="I5416" t="str">
            <v>XA</v>
          </cell>
          <cell r="J5416" t="str">
            <v>PCR</v>
          </cell>
          <cell r="K5416" t="str">
            <v>XA03</v>
          </cell>
          <cell r="L5416" t="str">
            <v>AEROSOL</v>
          </cell>
          <cell r="M5416" t="str">
            <v>XA0302</v>
          </cell>
          <cell r="N5416" t="str">
            <v>ZEBRA GRAFFITI</v>
          </cell>
        </row>
        <row r="5417">
          <cell r="C5417" t="str">
            <v>170001474</v>
          </cell>
          <cell r="D5417" t="str">
            <v>ZEBRA GRF BRICK BROWN-3469-0.3L</v>
          </cell>
          <cell r="E5417" t="str">
            <v>ZTRD</v>
          </cell>
          <cell r="F5417" t="str">
            <v>PC</v>
          </cell>
          <cell r="G5417" t="str">
            <v>X</v>
          </cell>
          <cell r="H5417" t="str">
            <v>TRD RETAIL</v>
          </cell>
          <cell r="I5417" t="str">
            <v>XA</v>
          </cell>
          <cell r="J5417" t="str">
            <v>PCR</v>
          </cell>
          <cell r="K5417" t="str">
            <v>XA03</v>
          </cell>
          <cell r="L5417" t="str">
            <v>AEROSOL</v>
          </cell>
          <cell r="M5417" t="str">
            <v>XA0302</v>
          </cell>
          <cell r="N5417" t="str">
            <v>ZEBRA GRAFFITI</v>
          </cell>
        </row>
        <row r="5418">
          <cell r="C5418" t="str">
            <v>170001475</v>
          </cell>
          <cell r="D5418" t="str">
            <v>ZEBRA GRF CHOCOLATE-3468-0.3L</v>
          </cell>
          <cell r="E5418" t="str">
            <v>ZTRD</v>
          </cell>
          <cell r="F5418" t="str">
            <v>PC</v>
          </cell>
          <cell r="G5418" t="str">
            <v>X</v>
          </cell>
          <cell r="H5418" t="str">
            <v>TRD RETAIL</v>
          </cell>
          <cell r="I5418" t="str">
            <v>XA</v>
          </cell>
          <cell r="J5418" t="str">
            <v>PCR</v>
          </cell>
          <cell r="K5418" t="str">
            <v>XA03</v>
          </cell>
          <cell r="L5418" t="str">
            <v>AEROSOL</v>
          </cell>
          <cell r="M5418" t="str">
            <v>XA0302</v>
          </cell>
          <cell r="N5418" t="str">
            <v>ZEBRA GRAFFITI</v>
          </cell>
        </row>
        <row r="5419">
          <cell r="C5419" t="str">
            <v>170001476</v>
          </cell>
          <cell r="D5419" t="str">
            <v>ZEBRA GRF CHROMA GREY-94109-0.3L</v>
          </cell>
          <cell r="E5419" t="str">
            <v>ZTRD</v>
          </cell>
          <cell r="F5419" t="str">
            <v>PC</v>
          </cell>
          <cell r="G5419" t="str">
            <v>X</v>
          </cell>
          <cell r="H5419" t="str">
            <v>TRD RETAIL</v>
          </cell>
          <cell r="I5419" t="str">
            <v>XA</v>
          </cell>
          <cell r="J5419" t="str">
            <v>PCR</v>
          </cell>
          <cell r="K5419" t="str">
            <v>XA03</v>
          </cell>
          <cell r="L5419" t="str">
            <v>AEROSOL</v>
          </cell>
          <cell r="M5419" t="str">
            <v>XA0302</v>
          </cell>
          <cell r="N5419" t="str">
            <v>ZEBRA GRAFFITI</v>
          </cell>
        </row>
        <row r="5420">
          <cell r="C5420" t="str">
            <v>170001477</v>
          </cell>
          <cell r="D5420" t="str">
            <v>ZEBRA GRF FOREST GREEN-7447-0.3L</v>
          </cell>
          <cell r="E5420" t="str">
            <v>ZTRD</v>
          </cell>
          <cell r="F5420" t="str">
            <v>PC</v>
          </cell>
          <cell r="G5420" t="str">
            <v>X</v>
          </cell>
          <cell r="H5420" t="str">
            <v>TRD RETAIL</v>
          </cell>
          <cell r="I5420" t="str">
            <v>XA</v>
          </cell>
          <cell r="J5420" t="str">
            <v>PCR</v>
          </cell>
          <cell r="K5420" t="str">
            <v>XA03</v>
          </cell>
          <cell r="L5420" t="str">
            <v>AEROSOL</v>
          </cell>
          <cell r="M5420" t="str">
            <v>XA0302</v>
          </cell>
          <cell r="N5420" t="str">
            <v>ZEBRA GRAFFITI</v>
          </cell>
        </row>
        <row r="5421">
          <cell r="C5421" t="str">
            <v>170001478</v>
          </cell>
          <cell r="D5421" t="str">
            <v>ZEBRA GRF LATTE-2439-0.3L</v>
          </cell>
          <cell r="E5421" t="str">
            <v>ZTRD</v>
          </cell>
          <cell r="F5421" t="str">
            <v>PC</v>
          </cell>
          <cell r="G5421" t="str">
            <v>X</v>
          </cell>
          <cell r="H5421" t="str">
            <v>TRD RETAIL</v>
          </cell>
          <cell r="I5421" t="str">
            <v>XA</v>
          </cell>
          <cell r="J5421" t="str">
            <v>PCR</v>
          </cell>
          <cell r="K5421" t="str">
            <v>XA03</v>
          </cell>
          <cell r="L5421" t="str">
            <v>AEROSOL</v>
          </cell>
          <cell r="M5421" t="str">
            <v>XA0302</v>
          </cell>
          <cell r="N5421" t="str">
            <v>ZEBRA GRAFFITI</v>
          </cell>
        </row>
        <row r="5422">
          <cell r="C5422" t="str">
            <v>170001479</v>
          </cell>
          <cell r="D5422" t="str">
            <v>ZEBRA GRF LIGHT GREY-9143-0.3L</v>
          </cell>
          <cell r="E5422" t="str">
            <v>ZTRD</v>
          </cell>
          <cell r="F5422" t="str">
            <v>PC</v>
          </cell>
          <cell r="G5422" t="str">
            <v>X</v>
          </cell>
          <cell r="H5422" t="str">
            <v>TRD RETAIL</v>
          </cell>
          <cell r="I5422" t="str">
            <v>XA</v>
          </cell>
          <cell r="J5422" t="str">
            <v>PCR</v>
          </cell>
          <cell r="K5422" t="str">
            <v>XA03</v>
          </cell>
          <cell r="L5422" t="str">
            <v>AEROSOL</v>
          </cell>
          <cell r="M5422" t="str">
            <v>XA0302</v>
          </cell>
          <cell r="N5422" t="str">
            <v>ZEBRA GRAFFITI</v>
          </cell>
        </row>
        <row r="5423">
          <cell r="C5423" t="str">
            <v>170001480</v>
          </cell>
          <cell r="D5423" t="str">
            <v>ZEBRA GRF MISTY GREY-5484-0.3L</v>
          </cell>
          <cell r="E5423" t="str">
            <v>ZTRD</v>
          </cell>
          <cell r="F5423" t="str">
            <v>PC</v>
          </cell>
          <cell r="G5423" t="str">
            <v>X</v>
          </cell>
          <cell r="H5423" t="str">
            <v>TRD RETAIL</v>
          </cell>
          <cell r="I5423" t="str">
            <v>XA</v>
          </cell>
          <cell r="J5423" t="str">
            <v>PCR</v>
          </cell>
          <cell r="K5423" t="str">
            <v>XA03</v>
          </cell>
          <cell r="L5423" t="str">
            <v>AEROSOL</v>
          </cell>
          <cell r="M5423" t="str">
            <v>XA0302</v>
          </cell>
          <cell r="N5423" t="str">
            <v>ZEBRA GRAFFITI</v>
          </cell>
        </row>
        <row r="5424">
          <cell r="C5424" t="str">
            <v>170001481</v>
          </cell>
          <cell r="D5424" t="str">
            <v>ZEBRA GRF MULBERRY-4438-0.3L</v>
          </cell>
          <cell r="E5424" t="str">
            <v>ZTRD</v>
          </cell>
          <cell r="F5424" t="str">
            <v>PC</v>
          </cell>
          <cell r="G5424" t="str">
            <v>X</v>
          </cell>
          <cell r="H5424" t="str">
            <v>TRD RETAIL</v>
          </cell>
          <cell r="I5424" t="str">
            <v>XA</v>
          </cell>
          <cell r="J5424" t="str">
            <v>PCR</v>
          </cell>
          <cell r="K5424" t="str">
            <v>XA03</v>
          </cell>
          <cell r="L5424" t="str">
            <v>AEROSOL</v>
          </cell>
          <cell r="M5424" t="str">
            <v>XA0302</v>
          </cell>
          <cell r="N5424" t="str">
            <v>ZEBRA GRAFFITI</v>
          </cell>
        </row>
        <row r="5425">
          <cell r="C5425" t="str">
            <v>170001482</v>
          </cell>
          <cell r="D5425" t="str">
            <v>ZEBRA GRF MUSTARD-1234-0.3L</v>
          </cell>
          <cell r="E5425" t="str">
            <v>ZTRD</v>
          </cell>
          <cell r="F5425" t="str">
            <v>PC</v>
          </cell>
          <cell r="G5425" t="str">
            <v>X</v>
          </cell>
          <cell r="H5425" t="str">
            <v>TRD RETAIL</v>
          </cell>
          <cell r="I5425" t="str">
            <v>XA</v>
          </cell>
          <cell r="J5425" t="str">
            <v>PCR</v>
          </cell>
          <cell r="K5425" t="str">
            <v>XA03</v>
          </cell>
          <cell r="L5425" t="str">
            <v>AEROSOL</v>
          </cell>
          <cell r="M5425" t="str">
            <v>XA0302</v>
          </cell>
          <cell r="N5425" t="str">
            <v>ZEBRA GRAFFITI</v>
          </cell>
        </row>
        <row r="5426">
          <cell r="C5426" t="str">
            <v>170001483</v>
          </cell>
          <cell r="D5426" t="str">
            <v>ZEBRA GRF PLUM-4439-0.3L</v>
          </cell>
          <cell r="E5426" t="str">
            <v>ZTRD</v>
          </cell>
          <cell r="F5426" t="str">
            <v>PC</v>
          </cell>
          <cell r="G5426" t="str">
            <v>X</v>
          </cell>
          <cell r="H5426" t="str">
            <v>TRD RETAIL</v>
          </cell>
          <cell r="I5426" t="str">
            <v>XA</v>
          </cell>
          <cell r="J5426" t="str">
            <v>PCR</v>
          </cell>
          <cell r="K5426" t="str">
            <v>XA03</v>
          </cell>
          <cell r="L5426" t="str">
            <v>AEROSOL</v>
          </cell>
          <cell r="M5426" t="str">
            <v>XA0302</v>
          </cell>
          <cell r="N5426" t="str">
            <v>ZEBRA GRAFFITI</v>
          </cell>
        </row>
        <row r="5427">
          <cell r="C5427" t="str">
            <v>170001492</v>
          </cell>
          <cell r="D5427" t="str">
            <v>UFM-930 LIGHT GREY-4K</v>
          </cell>
          <cell r="E5427" t="str">
            <v>ZTRD</v>
          </cell>
          <cell r="F5427" t="str">
            <v>PC</v>
          </cell>
          <cell r="G5427" t="str">
            <v>X</v>
          </cell>
          <cell r="H5427" t="str">
            <v>TRD RETAIL</v>
          </cell>
          <cell r="I5427" t="str">
            <v>X8</v>
          </cell>
          <cell r="J5427" t="str">
            <v>CPC2</v>
          </cell>
          <cell r="K5427" t="str">
            <v>X801</v>
          </cell>
          <cell r="L5427" t="str">
            <v>WATERPROOFING</v>
          </cell>
          <cell r="M5427" t="str">
            <v>X80108</v>
          </cell>
          <cell r="N5427" t="str">
            <v>ULTRAFLEX MEMBRANE</v>
          </cell>
        </row>
        <row r="5428">
          <cell r="C5428" t="str">
            <v>170001504</v>
          </cell>
          <cell r="D5428" t="str">
            <v>WBL-61204 CLEAR 10-20LP</v>
          </cell>
          <cell r="E5428" t="str">
            <v>ZTRD</v>
          </cell>
          <cell r="F5428" t="str">
            <v>PC</v>
          </cell>
          <cell r="G5428" t="str">
            <v>W</v>
          </cell>
          <cell r="H5428" t="str">
            <v>TRD INDUSTRY</v>
          </cell>
          <cell r="I5428" t="str">
            <v>W1</v>
          </cell>
          <cell r="J5428" t="str">
            <v>WOOD COATINGS</v>
          </cell>
          <cell r="K5428" t="str">
            <v>W119</v>
          </cell>
          <cell r="L5428" t="str">
            <v>WATERBASED</v>
          </cell>
          <cell r="M5428" t="str">
            <v>W11902</v>
          </cell>
          <cell r="N5428" t="str">
            <v>WATERBASED SYSTEM INTERIOR</v>
          </cell>
        </row>
        <row r="5429">
          <cell r="C5429" t="str">
            <v>170001505</v>
          </cell>
          <cell r="D5429" t="str">
            <v>WBL-61204 CLEAR 90-20LP</v>
          </cell>
          <cell r="E5429" t="str">
            <v>ZTRD</v>
          </cell>
          <cell r="F5429" t="str">
            <v>PC</v>
          </cell>
          <cell r="G5429" t="str">
            <v>W</v>
          </cell>
          <cell r="H5429" t="str">
            <v>TRD INDUSTRY</v>
          </cell>
          <cell r="I5429" t="str">
            <v>W1</v>
          </cell>
          <cell r="J5429" t="str">
            <v>WOOD COATINGS</v>
          </cell>
          <cell r="K5429" t="str">
            <v>W119</v>
          </cell>
          <cell r="L5429" t="str">
            <v>WATERBASED</v>
          </cell>
          <cell r="M5429" t="str">
            <v>W11902</v>
          </cell>
          <cell r="N5429" t="str">
            <v>WATERBASED SYSTEM INTERIOR</v>
          </cell>
        </row>
        <row r="5430">
          <cell r="C5430" t="str">
            <v>170001506</v>
          </cell>
          <cell r="D5430" t="str">
            <v>WBSS-61104-20LP</v>
          </cell>
          <cell r="E5430" t="str">
            <v>ZTRD</v>
          </cell>
          <cell r="F5430" t="str">
            <v>PC</v>
          </cell>
          <cell r="G5430" t="str">
            <v>W</v>
          </cell>
          <cell r="H5430" t="str">
            <v>TRD INDUSTRY</v>
          </cell>
          <cell r="I5430" t="str">
            <v>W1</v>
          </cell>
          <cell r="J5430" t="str">
            <v>WOOD COATINGS</v>
          </cell>
          <cell r="K5430" t="str">
            <v>W119</v>
          </cell>
          <cell r="L5430" t="str">
            <v>WATERBASED</v>
          </cell>
          <cell r="M5430" t="str">
            <v>W11902</v>
          </cell>
          <cell r="N5430" t="str">
            <v>WATERBASED SYSTEM INTERIOR</v>
          </cell>
        </row>
        <row r="5431">
          <cell r="C5431" t="str">
            <v>170001507</v>
          </cell>
          <cell r="D5431" t="str">
            <v>GZWB-21408 BURNT UMBER-5K</v>
          </cell>
          <cell r="E5431" t="str">
            <v>ZTRD</v>
          </cell>
          <cell r="F5431" t="str">
            <v>PC</v>
          </cell>
          <cell r="G5431" t="str">
            <v>W</v>
          </cell>
          <cell r="H5431" t="str">
            <v>TRD INDUSTRY</v>
          </cell>
          <cell r="I5431" t="str">
            <v>W1</v>
          </cell>
          <cell r="J5431" t="str">
            <v>WOOD COATINGS</v>
          </cell>
          <cell r="K5431" t="str">
            <v>W119</v>
          </cell>
          <cell r="L5431" t="str">
            <v>WATERBASED</v>
          </cell>
          <cell r="M5431" t="str">
            <v>W11902</v>
          </cell>
          <cell r="N5431" t="str">
            <v>WATERBASED SYSTEM INTERIOR</v>
          </cell>
        </row>
        <row r="5432">
          <cell r="C5432" t="str">
            <v>170001508</v>
          </cell>
          <cell r="D5432" t="str">
            <v>GZWB-21408 BURNT UMBER-20KP</v>
          </cell>
          <cell r="E5432" t="str">
            <v>ZTRD</v>
          </cell>
          <cell r="F5432" t="str">
            <v>PC</v>
          </cell>
          <cell r="G5432" t="str">
            <v>W</v>
          </cell>
          <cell r="H5432" t="str">
            <v>TRD INDUSTRY</v>
          </cell>
          <cell r="I5432" t="str">
            <v>W1</v>
          </cell>
          <cell r="J5432" t="str">
            <v>WOOD COATINGS</v>
          </cell>
          <cell r="K5432" t="str">
            <v>W119</v>
          </cell>
          <cell r="L5432" t="str">
            <v>WATERBASED</v>
          </cell>
          <cell r="M5432" t="str">
            <v>W11902</v>
          </cell>
          <cell r="N5432" t="str">
            <v>WATERBASED SYSTEM INTERIOR</v>
          </cell>
        </row>
        <row r="5433">
          <cell r="C5433" t="str">
            <v>170001509</v>
          </cell>
          <cell r="D5433" t="str">
            <v>GZWB-21408 BLACK-5K</v>
          </cell>
          <cell r="E5433" t="str">
            <v>ZTRD</v>
          </cell>
          <cell r="F5433" t="str">
            <v>PC</v>
          </cell>
          <cell r="G5433" t="str">
            <v>W</v>
          </cell>
          <cell r="H5433" t="str">
            <v>TRD INDUSTRY</v>
          </cell>
          <cell r="I5433" t="str">
            <v>W1</v>
          </cell>
          <cell r="J5433" t="str">
            <v>WOOD COATINGS</v>
          </cell>
          <cell r="K5433" t="str">
            <v>W119</v>
          </cell>
          <cell r="L5433" t="str">
            <v>WATERBASED</v>
          </cell>
          <cell r="M5433" t="str">
            <v>W11902</v>
          </cell>
          <cell r="N5433" t="str">
            <v>WATERBASED SYSTEM INTERIOR</v>
          </cell>
        </row>
        <row r="5434">
          <cell r="C5434" t="str">
            <v>170001510</v>
          </cell>
          <cell r="D5434" t="str">
            <v>GZWB-21408 VAN DYKE BRO NEW-20KP</v>
          </cell>
          <cell r="E5434" t="str">
            <v>ZTRD</v>
          </cell>
          <cell r="F5434" t="str">
            <v>PC</v>
          </cell>
          <cell r="G5434" t="str">
            <v>W</v>
          </cell>
          <cell r="H5434" t="str">
            <v>TRD INDUSTRY</v>
          </cell>
          <cell r="I5434" t="str">
            <v>W1</v>
          </cell>
          <cell r="J5434" t="str">
            <v>WOOD COATINGS</v>
          </cell>
          <cell r="K5434" t="str">
            <v>W119</v>
          </cell>
          <cell r="L5434" t="str">
            <v>WATERBASED</v>
          </cell>
          <cell r="M5434" t="str">
            <v>W11902</v>
          </cell>
          <cell r="N5434" t="str">
            <v>WATERBASED SYSTEM INTERIOR</v>
          </cell>
        </row>
        <row r="5435">
          <cell r="C5435" t="str">
            <v>170001511</v>
          </cell>
          <cell r="D5435" t="str">
            <v>GZWB-21408 VAN DYKE BRO NEW-5K</v>
          </cell>
          <cell r="E5435" t="str">
            <v>ZTRD</v>
          </cell>
          <cell r="F5435" t="str">
            <v>PC</v>
          </cell>
          <cell r="G5435" t="str">
            <v>W</v>
          </cell>
          <cell r="H5435" t="str">
            <v>TRD INDUSTRY</v>
          </cell>
          <cell r="I5435" t="str">
            <v>W1</v>
          </cell>
          <cell r="J5435" t="str">
            <v>WOOD COATINGS</v>
          </cell>
          <cell r="K5435" t="str">
            <v>W119</v>
          </cell>
          <cell r="L5435" t="str">
            <v>WATERBASED</v>
          </cell>
          <cell r="M5435" t="str">
            <v>W11902</v>
          </cell>
          <cell r="N5435" t="str">
            <v>WATERBASED SYSTEM INTERIOR</v>
          </cell>
        </row>
        <row r="5436">
          <cell r="C5436" t="str">
            <v>170001512</v>
          </cell>
          <cell r="D5436" t="str">
            <v>GZWB-21409 PG EW WHITE-20KP</v>
          </cell>
          <cell r="E5436" t="str">
            <v>ZTRD</v>
          </cell>
          <cell r="F5436" t="str">
            <v>PC</v>
          </cell>
          <cell r="G5436" t="str">
            <v>W</v>
          </cell>
          <cell r="H5436" t="str">
            <v>TRD INDUSTRY</v>
          </cell>
          <cell r="I5436" t="str">
            <v>W1</v>
          </cell>
          <cell r="J5436" t="str">
            <v>WOOD COATINGS</v>
          </cell>
          <cell r="K5436" t="str">
            <v>W119</v>
          </cell>
          <cell r="L5436" t="str">
            <v>WATERBASED</v>
          </cell>
          <cell r="M5436" t="str">
            <v>W11902</v>
          </cell>
          <cell r="N5436" t="str">
            <v>WATERBASED SYSTEM INTERIOR</v>
          </cell>
        </row>
        <row r="5437">
          <cell r="C5437" t="str">
            <v>170001539</v>
          </cell>
          <cell r="D5437" t="str">
            <v>MP-42122 WHITE-20LP</v>
          </cell>
          <cell r="E5437" t="str">
            <v>ZTRD</v>
          </cell>
          <cell r="F5437" t="str">
            <v>PC</v>
          </cell>
          <cell r="G5437" t="str">
            <v>W</v>
          </cell>
          <cell r="H5437" t="str">
            <v>TRD INDUSTRY</v>
          </cell>
          <cell r="I5437" t="str">
            <v>W1</v>
          </cell>
          <cell r="J5437" t="str">
            <v>WOOD COATINGS</v>
          </cell>
          <cell r="K5437" t="str">
            <v>W102</v>
          </cell>
          <cell r="L5437" t="str">
            <v>MELAMINE</v>
          </cell>
          <cell r="M5437" t="str">
            <v>W10205</v>
          </cell>
          <cell r="N5437" t="str">
            <v>MELAMINE PRIMER</v>
          </cell>
        </row>
        <row r="5438">
          <cell r="C5438" t="str">
            <v>170001540</v>
          </cell>
          <cell r="D5438" t="str">
            <v>MC-42210 WHITE 20-20LP</v>
          </cell>
          <cell r="E5438" t="str">
            <v>ZTRD</v>
          </cell>
          <cell r="F5438" t="str">
            <v>PC</v>
          </cell>
          <cell r="G5438" t="str">
            <v>W</v>
          </cell>
          <cell r="H5438" t="str">
            <v>TRD INDUSTRY</v>
          </cell>
          <cell r="I5438" t="str">
            <v>W1</v>
          </cell>
          <cell r="J5438" t="str">
            <v>WOOD COATINGS</v>
          </cell>
          <cell r="K5438" t="str">
            <v>W102</v>
          </cell>
          <cell r="L5438" t="str">
            <v>MELAMINE</v>
          </cell>
          <cell r="M5438" t="str">
            <v>W10202</v>
          </cell>
          <cell r="N5438" t="str">
            <v>MELAMINE COLOR</v>
          </cell>
        </row>
        <row r="5439">
          <cell r="C5439" t="str">
            <v>170001541</v>
          </cell>
          <cell r="D5439" t="str">
            <v>UVP-60103 HF WHITE-30KP</v>
          </cell>
          <cell r="E5439" t="str">
            <v>ZTRD</v>
          </cell>
          <cell r="F5439" t="str">
            <v>PC</v>
          </cell>
          <cell r="G5439" t="str">
            <v>W</v>
          </cell>
          <cell r="H5439" t="str">
            <v>TRD INDUSTRY</v>
          </cell>
          <cell r="I5439" t="str">
            <v>W1</v>
          </cell>
          <cell r="J5439" t="str">
            <v>WOOD COATINGS</v>
          </cell>
          <cell r="K5439" t="str">
            <v>W106</v>
          </cell>
          <cell r="L5439" t="str">
            <v>UV</v>
          </cell>
          <cell r="M5439" t="str">
            <v>W10604</v>
          </cell>
          <cell r="N5439" t="str">
            <v>UV PRIMER</v>
          </cell>
        </row>
        <row r="5440">
          <cell r="C5440" t="str">
            <v>170001542</v>
          </cell>
          <cell r="D5440" t="str">
            <v>WBL-61204 CLEAR 20-20LP</v>
          </cell>
          <cell r="E5440" t="str">
            <v>ZTRD</v>
          </cell>
          <cell r="F5440" t="str">
            <v>PC</v>
          </cell>
          <cell r="G5440" t="str">
            <v>W</v>
          </cell>
          <cell r="H5440" t="str">
            <v>TRD INDUSTRY</v>
          </cell>
          <cell r="I5440" t="str">
            <v>W1</v>
          </cell>
          <cell r="J5440" t="str">
            <v>WOOD COATINGS</v>
          </cell>
          <cell r="K5440" t="str">
            <v>W119</v>
          </cell>
          <cell r="L5440" t="str">
            <v>WATERBASED</v>
          </cell>
          <cell r="M5440" t="str">
            <v>W11902</v>
          </cell>
          <cell r="N5440" t="str">
            <v>WATERBASED SYSTEM INTERIOR</v>
          </cell>
        </row>
        <row r="5441">
          <cell r="C5441" t="str">
            <v>170001549</v>
          </cell>
          <cell r="D5441" t="str">
            <v>SCT-33000 AL-20LP</v>
          </cell>
          <cell r="E5441" t="str">
            <v>ZTRD</v>
          </cell>
          <cell r="F5441" t="str">
            <v>PC</v>
          </cell>
          <cell r="G5441" t="str">
            <v>W</v>
          </cell>
          <cell r="H5441" t="str">
            <v>TRD INDUSTRY</v>
          </cell>
          <cell r="I5441" t="str">
            <v>W5</v>
          </cell>
          <cell r="J5441" t="str">
            <v>MARINE COATINGS</v>
          </cell>
          <cell r="K5441" t="str">
            <v>W501</v>
          </cell>
          <cell r="L5441" t="str">
            <v>MARINE COATINGS</v>
          </cell>
          <cell r="M5441" t="str">
            <v>W50110</v>
          </cell>
          <cell r="N5441" t="str">
            <v>SILICONE</v>
          </cell>
        </row>
        <row r="5442">
          <cell r="C5442" t="str">
            <v>170001550</v>
          </cell>
          <cell r="D5442" t="str">
            <v>SCT-33000 AL-5L</v>
          </cell>
          <cell r="E5442" t="str">
            <v>ZTRD</v>
          </cell>
          <cell r="F5442" t="str">
            <v>PC</v>
          </cell>
          <cell r="G5442" t="str">
            <v>W</v>
          </cell>
          <cell r="H5442" t="str">
            <v>TRD INDUSTRY</v>
          </cell>
          <cell r="I5442" t="str">
            <v>W5</v>
          </cell>
          <cell r="J5442" t="str">
            <v>MARINE COATINGS</v>
          </cell>
          <cell r="K5442" t="str">
            <v>W501</v>
          </cell>
          <cell r="L5442" t="str">
            <v>MARINE COATINGS</v>
          </cell>
          <cell r="M5442" t="str">
            <v>W50110</v>
          </cell>
          <cell r="N5442" t="str">
            <v>SILICONE</v>
          </cell>
        </row>
        <row r="5443">
          <cell r="C5443" t="str">
            <v>170001551</v>
          </cell>
          <cell r="D5443" t="str">
            <v>SCT-66000 AL-20LP</v>
          </cell>
          <cell r="E5443" t="str">
            <v>ZTRD</v>
          </cell>
          <cell r="F5443" t="str">
            <v>PC</v>
          </cell>
          <cell r="G5443" t="str">
            <v>W</v>
          </cell>
          <cell r="H5443" t="str">
            <v>TRD INDUSTRY</v>
          </cell>
          <cell r="I5443" t="str">
            <v>W5</v>
          </cell>
          <cell r="J5443" t="str">
            <v>MARINE COATINGS</v>
          </cell>
          <cell r="K5443" t="str">
            <v>W501</v>
          </cell>
          <cell r="L5443" t="str">
            <v>MARINE COATINGS</v>
          </cell>
          <cell r="M5443" t="str">
            <v>W50110</v>
          </cell>
          <cell r="N5443" t="str">
            <v>SILICONE</v>
          </cell>
        </row>
        <row r="5444">
          <cell r="C5444" t="str">
            <v>170001552</v>
          </cell>
          <cell r="D5444" t="str">
            <v>SCT-66000 AL-5L</v>
          </cell>
          <cell r="E5444" t="str">
            <v>ZTRD</v>
          </cell>
          <cell r="F5444" t="str">
            <v>PC</v>
          </cell>
          <cell r="G5444" t="str">
            <v>W</v>
          </cell>
          <cell r="H5444" t="str">
            <v>TRD INDUSTRY</v>
          </cell>
          <cell r="I5444" t="str">
            <v>W5</v>
          </cell>
          <cell r="J5444" t="str">
            <v>MARINE COATINGS</v>
          </cell>
          <cell r="K5444" t="str">
            <v>W501</v>
          </cell>
          <cell r="L5444" t="str">
            <v>MARINE COATINGS</v>
          </cell>
          <cell r="M5444" t="str">
            <v>W50110</v>
          </cell>
          <cell r="N5444" t="str">
            <v>SILICONE</v>
          </cell>
        </row>
        <row r="5445">
          <cell r="C5445" t="str">
            <v>170001553</v>
          </cell>
          <cell r="D5445" t="str">
            <v>SCP-20300 GREY-20LP</v>
          </cell>
          <cell r="E5445" t="str">
            <v>ZTRD</v>
          </cell>
          <cell r="F5445" t="str">
            <v>PC</v>
          </cell>
          <cell r="G5445" t="str">
            <v>W</v>
          </cell>
          <cell r="H5445" t="str">
            <v>TRD INDUSTRY</v>
          </cell>
          <cell r="I5445" t="str">
            <v>W5</v>
          </cell>
          <cell r="J5445" t="str">
            <v>MARINE COATINGS</v>
          </cell>
          <cell r="K5445" t="str">
            <v>W501</v>
          </cell>
          <cell r="L5445" t="str">
            <v>MARINE COATINGS</v>
          </cell>
          <cell r="M5445" t="str">
            <v>W50110</v>
          </cell>
          <cell r="N5445" t="str">
            <v>SILICONE</v>
          </cell>
        </row>
        <row r="5446">
          <cell r="C5446" t="str">
            <v>170001554</v>
          </cell>
          <cell r="D5446" t="str">
            <v>SCP-20300 GREY-5L</v>
          </cell>
          <cell r="E5446" t="str">
            <v>ZTRD</v>
          </cell>
          <cell r="F5446" t="str">
            <v>PC</v>
          </cell>
          <cell r="G5446" t="str">
            <v>W</v>
          </cell>
          <cell r="H5446" t="str">
            <v>TRD INDUSTRY</v>
          </cell>
          <cell r="I5446" t="str">
            <v>W5</v>
          </cell>
          <cell r="J5446" t="str">
            <v>MARINE COATINGS</v>
          </cell>
          <cell r="K5446" t="str">
            <v>W501</v>
          </cell>
          <cell r="L5446" t="str">
            <v>MARINE COATINGS</v>
          </cell>
          <cell r="M5446" t="str">
            <v>W50110</v>
          </cell>
          <cell r="N5446" t="str">
            <v>SILICONE</v>
          </cell>
        </row>
        <row r="5447">
          <cell r="C5447" t="str">
            <v>170001572</v>
          </cell>
          <cell r="D5447" t="str">
            <v>WBSS-61105-20LP</v>
          </cell>
          <cell r="E5447" t="str">
            <v>ZTRD</v>
          </cell>
          <cell r="F5447" t="str">
            <v>PC</v>
          </cell>
          <cell r="G5447" t="str">
            <v>W</v>
          </cell>
          <cell r="H5447" t="str">
            <v>TRD INDUSTRY</v>
          </cell>
          <cell r="I5447" t="str">
            <v>W1</v>
          </cell>
          <cell r="J5447" t="str">
            <v>WOOD COATINGS</v>
          </cell>
          <cell r="K5447" t="str">
            <v>W119</v>
          </cell>
          <cell r="L5447" t="str">
            <v>WATERBASED</v>
          </cell>
          <cell r="M5447" t="str">
            <v>W11902</v>
          </cell>
          <cell r="N5447" t="str">
            <v>WATERBASED SYSTEM INTERIOR</v>
          </cell>
        </row>
        <row r="5448">
          <cell r="C5448" t="str">
            <v>170001603</v>
          </cell>
          <cell r="D5448" t="str">
            <v>PUS-51107-1L</v>
          </cell>
          <cell r="E5448" t="str">
            <v>ZTRD</v>
          </cell>
          <cell r="F5448" t="str">
            <v>PC</v>
          </cell>
          <cell r="G5448" t="str">
            <v>W</v>
          </cell>
          <cell r="H5448" t="str">
            <v>TRD INDUSTRY</v>
          </cell>
          <cell r="I5448" t="str">
            <v>W1</v>
          </cell>
          <cell r="J5448" t="str">
            <v>WOOD COATINGS</v>
          </cell>
          <cell r="K5448" t="str">
            <v>W103</v>
          </cell>
          <cell r="L5448" t="str">
            <v>PU</v>
          </cell>
          <cell r="M5448" t="str">
            <v>W10324</v>
          </cell>
          <cell r="N5448" t="str">
            <v>PU SEALER</v>
          </cell>
        </row>
        <row r="5449">
          <cell r="C5449" t="str">
            <v>170001604</v>
          </cell>
          <cell r="D5449" t="str">
            <v>PUP-54102 AC BASE A-20LP</v>
          </cell>
          <cell r="E5449" t="str">
            <v>ZTRD</v>
          </cell>
          <cell r="F5449" t="str">
            <v>PC</v>
          </cell>
          <cell r="G5449" t="str">
            <v>W</v>
          </cell>
          <cell r="H5449" t="str">
            <v>TRD INDUSTRY</v>
          </cell>
          <cell r="I5449" t="str">
            <v>W1</v>
          </cell>
          <cell r="J5449" t="str">
            <v>WOOD COATINGS</v>
          </cell>
          <cell r="K5449" t="str">
            <v>W103</v>
          </cell>
          <cell r="L5449" t="str">
            <v>PU</v>
          </cell>
          <cell r="M5449" t="str">
            <v>W10322</v>
          </cell>
          <cell r="N5449" t="str">
            <v>PU PRIMER</v>
          </cell>
        </row>
        <row r="5450">
          <cell r="C5450" t="str">
            <v>170001605</v>
          </cell>
          <cell r="D5450" t="str">
            <v>PUP-54102 AC BASE D-20LP</v>
          </cell>
          <cell r="E5450" t="str">
            <v>ZTRD</v>
          </cell>
          <cell r="F5450" t="str">
            <v>PC</v>
          </cell>
          <cell r="G5450" t="str">
            <v>W</v>
          </cell>
          <cell r="H5450" t="str">
            <v>TRD INDUSTRY</v>
          </cell>
          <cell r="I5450" t="str">
            <v>W1</v>
          </cell>
          <cell r="J5450" t="str">
            <v>WOOD COATINGS</v>
          </cell>
          <cell r="K5450" t="str">
            <v>W103</v>
          </cell>
          <cell r="L5450" t="str">
            <v>PU</v>
          </cell>
          <cell r="M5450" t="str">
            <v>W10322</v>
          </cell>
          <cell r="N5450" t="str">
            <v>PU PRIMER</v>
          </cell>
        </row>
        <row r="5451">
          <cell r="C5451" t="str">
            <v>170001606</v>
          </cell>
          <cell r="D5451" t="str">
            <v>PUC-930 AC SFD SHEEN08 BASE A-4L</v>
          </cell>
          <cell r="E5451" t="str">
            <v>ZTRD</v>
          </cell>
          <cell r="F5451" t="str">
            <v>PC</v>
          </cell>
          <cell r="G5451" t="str">
            <v>W</v>
          </cell>
          <cell r="H5451" t="str">
            <v>TRD INDUSTRY</v>
          </cell>
          <cell r="I5451" t="str">
            <v>W1</v>
          </cell>
          <cell r="J5451" t="str">
            <v>WOOD COATINGS</v>
          </cell>
          <cell r="K5451" t="str">
            <v>W103</v>
          </cell>
          <cell r="L5451" t="str">
            <v>PU</v>
          </cell>
          <cell r="M5451" t="str">
            <v>W10319</v>
          </cell>
          <cell r="N5451" t="str">
            <v>PU COLOR</v>
          </cell>
        </row>
        <row r="5452">
          <cell r="C5452" t="str">
            <v>170001607</v>
          </cell>
          <cell r="D5452" t="str">
            <v>PUC-931 AC HG BASE A-5L</v>
          </cell>
          <cell r="E5452" t="str">
            <v>ZTRD</v>
          </cell>
          <cell r="F5452" t="str">
            <v>PC</v>
          </cell>
          <cell r="G5452" t="str">
            <v>W</v>
          </cell>
          <cell r="H5452" t="str">
            <v>TRD INDUSTRY</v>
          </cell>
          <cell r="I5452" t="str">
            <v>W1</v>
          </cell>
          <cell r="J5452" t="str">
            <v>WOOD COATINGS</v>
          </cell>
          <cell r="K5452" t="str">
            <v>W103</v>
          </cell>
          <cell r="L5452" t="str">
            <v>PU</v>
          </cell>
          <cell r="M5452" t="str">
            <v>W10319</v>
          </cell>
          <cell r="N5452" t="str">
            <v>PU COLOR</v>
          </cell>
        </row>
        <row r="5453">
          <cell r="C5453" t="str">
            <v>170001608</v>
          </cell>
          <cell r="D5453" t="str">
            <v>PUL-931 AC HG BASE D-5L</v>
          </cell>
          <cell r="E5453" t="str">
            <v>ZTRD</v>
          </cell>
          <cell r="F5453" t="str">
            <v>PC</v>
          </cell>
          <cell r="G5453" t="str">
            <v>W</v>
          </cell>
          <cell r="H5453" t="str">
            <v>TRD INDUSTRY</v>
          </cell>
          <cell r="I5453" t="str">
            <v>W1</v>
          </cell>
          <cell r="J5453" t="str">
            <v>WOOD COATINGS</v>
          </cell>
          <cell r="K5453" t="str">
            <v>W103</v>
          </cell>
          <cell r="L5453" t="str">
            <v>PU</v>
          </cell>
          <cell r="M5453" t="str">
            <v>W10321</v>
          </cell>
          <cell r="N5453" t="str">
            <v>PU LACQUER</v>
          </cell>
        </row>
        <row r="5454">
          <cell r="C5454" t="str">
            <v>170001609</v>
          </cell>
          <cell r="D5454" t="str">
            <v>PUH-21 LY FD-1L</v>
          </cell>
          <cell r="E5454" t="str">
            <v>ZTRD</v>
          </cell>
          <cell r="F5454" t="str">
            <v>PC</v>
          </cell>
          <cell r="G5454" t="str">
            <v>W</v>
          </cell>
          <cell r="H5454" t="str">
            <v>TRD INDUSTRY</v>
          </cell>
          <cell r="I5454" t="str">
            <v>W1</v>
          </cell>
          <cell r="J5454" t="str">
            <v>WOOD COATINGS</v>
          </cell>
          <cell r="K5454" t="str">
            <v>W103</v>
          </cell>
          <cell r="L5454" t="str">
            <v>PU</v>
          </cell>
          <cell r="M5454" t="str">
            <v>W10320</v>
          </cell>
          <cell r="N5454" t="str">
            <v>PU HARDENER</v>
          </cell>
        </row>
        <row r="5455">
          <cell r="C5455" t="str">
            <v>170001610</v>
          </cell>
          <cell r="D5455" t="str">
            <v>SS-700 STAINLESS BLACK STAIN-0.2L</v>
          </cell>
          <cell r="E5455" t="str">
            <v>ZTRD</v>
          </cell>
          <cell r="F5455" t="str">
            <v>PC</v>
          </cell>
          <cell r="G5455" t="str">
            <v>W</v>
          </cell>
          <cell r="H5455" t="str">
            <v>TRD INDUSTRY</v>
          </cell>
          <cell r="I5455" t="str">
            <v>W1</v>
          </cell>
          <cell r="J5455" t="str">
            <v>WOOD COATINGS</v>
          </cell>
          <cell r="K5455" t="str">
            <v>W118</v>
          </cell>
          <cell r="L5455" t="str">
            <v>COMPLEMENTARY</v>
          </cell>
          <cell r="M5455" t="str">
            <v>W11812</v>
          </cell>
          <cell r="N5455" t="str">
            <v>COMPLEMENTARY STAIN WORKSHOP</v>
          </cell>
        </row>
        <row r="5456">
          <cell r="C5456" t="str">
            <v>170001611</v>
          </cell>
          <cell r="D5456" t="str">
            <v>SS-700 STAINLESS BRONZE STAIN-0.2L</v>
          </cell>
          <cell r="E5456" t="str">
            <v>ZTRD</v>
          </cell>
          <cell r="F5456" t="str">
            <v>PC</v>
          </cell>
          <cell r="G5456" t="str">
            <v>W</v>
          </cell>
          <cell r="H5456" t="str">
            <v>TRD INDUSTRY</v>
          </cell>
          <cell r="I5456" t="str">
            <v>W1</v>
          </cell>
          <cell r="J5456" t="str">
            <v>WOOD COATINGS</v>
          </cell>
          <cell r="K5456" t="str">
            <v>W118</v>
          </cell>
          <cell r="L5456" t="str">
            <v>COMPLEMENTARY</v>
          </cell>
          <cell r="M5456" t="str">
            <v>W11812</v>
          </cell>
          <cell r="N5456" t="str">
            <v>COMPLEMENTARY STAIN WORKSHOP</v>
          </cell>
        </row>
        <row r="5457">
          <cell r="C5457" t="str">
            <v>170001612</v>
          </cell>
          <cell r="D5457" t="str">
            <v>SS-700 STAINLESS GOLD STAIN-0.2L</v>
          </cell>
          <cell r="E5457" t="str">
            <v>ZTRD</v>
          </cell>
          <cell r="F5457" t="str">
            <v>PC</v>
          </cell>
          <cell r="G5457" t="str">
            <v>W</v>
          </cell>
          <cell r="H5457" t="str">
            <v>TRD INDUSTRY</v>
          </cell>
          <cell r="I5457" t="str">
            <v>W1</v>
          </cell>
          <cell r="J5457" t="str">
            <v>WOOD COATINGS</v>
          </cell>
          <cell r="K5457" t="str">
            <v>W118</v>
          </cell>
          <cell r="L5457" t="str">
            <v>COMPLEMENTARY</v>
          </cell>
          <cell r="M5457" t="str">
            <v>W11812</v>
          </cell>
          <cell r="N5457" t="str">
            <v>COMPLEMENTARY STAIN WORKSHOP</v>
          </cell>
        </row>
        <row r="5458">
          <cell r="C5458" t="str">
            <v>170001613</v>
          </cell>
          <cell r="D5458" t="str">
            <v>SS-700 STAINLESS ROSE GOLD STAIN-0.2L</v>
          </cell>
          <cell r="E5458" t="str">
            <v>ZTRD</v>
          </cell>
          <cell r="F5458" t="str">
            <v>PC</v>
          </cell>
          <cell r="G5458" t="str">
            <v>W</v>
          </cell>
          <cell r="H5458" t="str">
            <v>TRD INDUSTRY</v>
          </cell>
          <cell r="I5458" t="str">
            <v>W1</v>
          </cell>
          <cell r="J5458" t="str">
            <v>WOOD COATINGS</v>
          </cell>
          <cell r="K5458" t="str">
            <v>W118</v>
          </cell>
          <cell r="L5458" t="str">
            <v>COMPLEMENTARY</v>
          </cell>
          <cell r="M5458" t="str">
            <v>W11812</v>
          </cell>
          <cell r="N5458" t="str">
            <v>COMPLEMENTARY STAIN WORKSHOP</v>
          </cell>
        </row>
        <row r="5459">
          <cell r="C5459" t="str">
            <v>170001614</v>
          </cell>
          <cell r="D5459" t="str">
            <v>ULTRAN USE-60 CLEAR DOF-1LS</v>
          </cell>
          <cell r="E5459" t="str">
            <v>ZTRD</v>
          </cell>
          <cell r="F5459" t="str">
            <v>SET</v>
          </cell>
          <cell r="G5459" t="str">
            <v>X</v>
          </cell>
          <cell r="H5459" t="str">
            <v>TRD RETAIL</v>
          </cell>
          <cell r="I5459" t="str">
            <v>X9</v>
          </cell>
          <cell r="J5459" t="str">
            <v>MPC</v>
          </cell>
          <cell r="K5459" t="str">
            <v>X903</v>
          </cell>
          <cell r="L5459" t="str">
            <v>ULTRAN SUPER ENAMEL</v>
          </cell>
          <cell r="M5459" t="str">
            <v>X90301</v>
          </cell>
          <cell r="N5459" t="str">
            <v>ULTRAN SUPER ENAMEL</v>
          </cell>
        </row>
        <row r="5460">
          <cell r="C5460" t="str">
            <v>170001615</v>
          </cell>
          <cell r="D5460" t="str">
            <v>WBP-670 WHITE-1K</v>
          </cell>
          <cell r="E5460" t="str">
            <v>ZTRD</v>
          </cell>
          <cell r="F5460" t="str">
            <v>PC</v>
          </cell>
          <cell r="G5460" t="str">
            <v>W</v>
          </cell>
          <cell r="H5460" t="str">
            <v>TRD INDUSTRY</v>
          </cell>
          <cell r="I5460" t="str">
            <v>W1</v>
          </cell>
          <cell r="J5460" t="str">
            <v>WOOD COATINGS</v>
          </cell>
          <cell r="K5460" t="str">
            <v>W103</v>
          </cell>
          <cell r="L5460" t="str">
            <v>PU</v>
          </cell>
          <cell r="M5460" t="str">
            <v>W10329</v>
          </cell>
          <cell r="N5460" t="str">
            <v>WB PU WORKSHOP</v>
          </cell>
        </row>
        <row r="5461">
          <cell r="C5461" t="str">
            <v>170001616</v>
          </cell>
          <cell r="D5461" t="str">
            <v>WB PU HYGIENE-680 CLEAR SHEEN08-1LS</v>
          </cell>
          <cell r="E5461" t="str">
            <v>ZTRD</v>
          </cell>
          <cell r="F5461" t="str">
            <v>SET</v>
          </cell>
          <cell r="G5461" t="str">
            <v>W</v>
          </cell>
          <cell r="H5461" t="str">
            <v>TRD INDUSTRY</v>
          </cell>
          <cell r="I5461" t="str">
            <v>W1</v>
          </cell>
          <cell r="J5461" t="str">
            <v>WOOD COATINGS</v>
          </cell>
          <cell r="K5461" t="str">
            <v>W103</v>
          </cell>
          <cell r="L5461" t="str">
            <v>PU</v>
          </cell>
          <cell r="M5461" t="str">
            <v>W10329</v>
          </cell>
          <cell r="N5461" t="str">
            <v>WB PU WORKSHOP</v>
          </cell>
        </row>
        <row r="5462">
          <cell r="C5462" t="str">
            <v>170001617</v>
          </cell>
          <cell r="D5462" t="str">
            <v>WB PU HYGIENE-680 CLEAR SHEEN30-1LS</v>
          </cell>
          <cell r="E5462" t="str">
            <v>ZTRD</v>
          </cell>
          <cell r="F5462" t="str">
            <v>SET</v>
          </cell>
          <cell r="G5462" t="str">
            <v>W</v>
          </cell>
          <cell r="H5462" t="str">
            <v>TRD INDUSTRY</v>
          </cell>
          <cell r="I5462" t="str">
            <v>W1</v>
          </cell>
          <cell r="J5462" t="str">
            <v>WOOD COATINGS</v>
          </cell>
          <cell r="K5462" t="str">
            <v>W103</v>
          </cell>
          <cell r="L5462" t="str">
            <v>PU</v>
          </cell>
          <cell r="M5462" t="str">
            <v>W10329</v>
          </cell>
          <cell r="N5462" t="str">
            <v>WB PU WORKSHOP</v>
          </cell>
        </row>
        <row r="5463">
          <cell r="C5463" t="str">
            <v>170001618</v>
          </cell>
          <cell r="D5463" t="str">
            <v>WB PU HYGIENE-680 SHEEN08 BASE D-1LS</v>
          </cell>
          <cell r="E5463" t="str">
            <v>ZTRD</v>
          </cell>
          <cell r="F5463" t="str">
            <v>SET</v>
          </cell>
          <cell r="G5463" t="str">
            <v>W</v>
          </cell>
          <cell r="H5463" t="str">
            <v>TRD INDUSTRY</v>
          </cell>
          <cell r="I5463" t="str">
            <v>W1</v>
          </cell>
          <cell r="J5463" t="str">
            <v>WOOD COATINGS</v>
          </cell>
          <cell r="K5463" t="str">
            <v>W103</v>
          </cell>
          <cell r="L5463" t="str">
            <v>PU</v>
          </cell>
          <cell r="M5463" t="str">
            <v>W10329</v>
          </cell>
          <cell r="N5463" t="str">
            <v>WB PU WORKSHOP</v>
          </cell>
        </row>
        <row r="5464">
          <cell r="C5464" t="str">
            <v>170001619</v>
          </cell>
          <cell r="D5464" t="str">
            <v>WB PU HYGIENE-680 SHEEN08 BASE A-1LS</v>
          </cell>
          <cell r="E5464" t="str">
            <v>ZTRD</v>
          </cell>
          <cell r="F5464" t="str">
            <v>SET</v>
          </cell>
          <cell r="G5464" t="str">
            <v>W</v>
          </cell>
          <cell r="H5464" t="str">
            <v>TRD INDUSTRY</v>
          </cell>
          <cell r="I5464" t="str">
            <v>W1</v>
          </cell>
          <cell r="J5464" t="str">
            <v>WOOD COATINGS</v>
          </cell>
          <cell r="K5464" t="str">
            <v>W103</v>
          </cell>
          <cell r="L5464" t="str">
            <v>PU</v>
          </cell>
          <cell r="M5464" t="str">
            <v>W10329</v>
          </cell>
          <cell r="N5464" t="str">
            <v>WB PU WORKSHOP</v>
          </cell>
        </row>
        <row r="5465">
          <cell r="C5465" t="str">
            <v>170001620</v>
          </cell>
          <cell r="D5465" t="str">
            <v>WB PU HYGIENE-680 SHEEN30 BASE A-1LS</v>
          </cell>
          <cell r="E5465" t="str">
            <v>ZTRD</v>
          </cell>
          <cell r="F5465" t="str">
            <v>SET</v>
          </cell>
          <cell r="G5465" t="str">
            <v>W</v>
          </cell>
          <cell r="H5465" t="str">
            <v>TRD INDUSTRY</v>
          </cell>
          <cell r="I5465" t="str">
            <v>W1</v>
          </cell>
          <cell r="J5465" t="str">
            <v>WOOD COATINGS</v>
          </cell>
          <cell r="K5465" t="str">
            <v>W103</v>
          </cell>
          <cell r="L5465" t="str">
            <v>PU</v>
          </cell>
          <cell r="M5465" t="str">
            <v>W10329</v>
          </cell>
          <cell r="N5465" t="str">
            <v>WB PU WORKSHOP</v>
          </cell>
        </row>
        <row r="5466">
          <cell r="C5466" t="str">
            <v>170001621</v>
          </cell>
          <cell r="D5466" t="str">
            <v>WB PU HYGIENE-680 SHEEN30 BASE D-1LS</v>
          </cell>
          <cell r="E5466" t="str">
            <v>ZTRD</v>
          </cell>
          <cell r="F5466" t="str">
            <v>SET</v>
          </cell>
          <cell r="G5466" t="str">
            <v>W</v>
          </cell>
          <cell r="H5466" t="str">
            <v>TRD INDUSTRY</v>
          </cell>
          <cell r="I5466" t="str">
            <v>W1</v>
          </cell>
          <cell r="J5466" t="str">
            <v>WOOD COATINGS</v>
          </cell>
          <cell r="K5466" t="str">
            <v>W103</v>
          </cell>
          <cell r="L5466" t="str">
            <v>PU</v>
          </cell>
          <cell r="M5466" t="str">
            <v>W10329</v>
          </cell>
          <cell r="N5466" t="str">
            <v>WB PU WORKSHOP</v>
          </cell>
        </row>
        <row r="5467">
          <cell r="C5467" t="str">
            <v>170001622</v>
          </cell>
          <cell r="D5467" t="str">
            <v>WBMG-97100-0.5L</v>
          </cell>
          <cell r="E5467" t="str">
            <v>ZTRD</v>
          </cell>
          <cell r="F5467" t="str">
            <v>PC</v>
          </cell>
          <cell r="G5467" t="str">
            <v>W</v>
          </cell>
          <cell r="H5467" t="str">
            <v>TRD INDUSTRY</v>
          </cell>
          <cell r="I5467" t="str">
            <v>W1</v>
          </cell>
          <cell r="J5467" t="str">
            <v>WOOD COATINGS</v>
          </cell>
          <cell r="K5467" t="str">
            <v>W118</v>
          </cell>
          <cell r="L5467" t="str">
            <v>COMPLEMENTARY</v>
          </cell>
          <cell r="M5467" t="str">
            <v>W11802</v>
          </cell>
          <cell r="N5467" t="str">
            <v>ASOF : POWDER &amp; MATTING SOLUTION</v>
          </cell>
        </row>
        <row r="5468">
          <cell r="C5468" t="str">
            <v>170001623</v>
          </cell>
          <cell r="D5468" t="str">
            <v>EC-973-2K-1.5LS</v>
          </cell>
          <cell r="E5468" t="str">
            <v>ZTRD</v>
          </cell>
          <cell r="F5468" t="str">
            <v>SET</v>
          </cell>
          <cell r="G5468" t="str">
            <v>X</v>
          </cell>
          <cell r="H5468" t="str">
            <v>TRD RETAIL</v>
          </cell>
          <cell r="I5468" t="str">
            <v>X2</v>
          </cell>
          <cell r="J5468" t="str">
            <v>WF2</v>
          </cell>
          <cell r="K5468" t="str">
            <v>X211</v>
          </cell>
          <cell r="L5468" t="str">
            <v>EPOXY CAST</v>
          </cell>
          <cell r="M5468" t="str">
            <v>X21101</v>
          </cell>
          <cell r="N5468" t="str">
            <v>PROPAN EPOXY CAST</v>
          </cell>
        </row>
        <row r="5469">
          <cell r="C5469" t="str">
            <v>170001635</v>
          </cell>
          <cell r="D5469" t="str">
            <v>WBL-61203 CLEAR 90-20KP</v>
          </cell>
          <cell r="E5469" t="str">
            <v>ZTRD</v>
          </cell>
          <cell r="F5469" t="str">
            <v>PC</v>
          </cell>
          <cell r="G5469" t="str">
            <v>W</v>
          </cell>
          <cell r="H5469" t="str">
            <v>TRD INDUSTRY</v>
          </cell>
          <cell r="I5469" t="str">
            <v>W1</v>
          </cell>
          <cell r="J5469" t="str">
            <v>WOOD COATINGS</v>
          </cell>
          <cell r="K5469" t="str">
            <v>W119</v>
          </cell>
          <cell r="L5469" t="str">
            <v>WATERBASED</v>
          </cell>
          <cell r="M5469" t="str">
            <v>W11902</v>
          </cell>
          <cell r="N5469" t="str">
            <v>WATERBASED SYSTEM INTERIOR</v>
          </cell>
        </row>
        <row r="5470">
          <cell r="C5470" t="str">
            <v>170001636</v>
          </cell>
          <cell r="D5470" t="str">
            <v>EASL-243-2K SF CLEAR-5KS</v>
          </cell>
          <cell r="E5470" t="str">
            <v>ZTRD</v>
          </cell>
          <cell r="F5470" t="str">
            <v>SET</v>
          </cell>
          <cell r="G5470" t="str">
            <v>X</v>
          </cell>
          <cell r="H5470" t="str">
            <v>TRD RETAIL</v>
          </cell>
          <cell r="I5470" t="str">
            <v>X7</v>
          </cell>
          <cell r="J5470" t="str">
            <v>CPC1</v>
          </cell>
          <cell r="K5470" t="str">
            <v>X704</v>
          </cell>
          <cell r="L5470" t="str">
            <v>CERAKOTE</v>
          </cell>
          <cell r="M5470" t="str">
            <v>X70402</v>
          </cell>
          <cell r="N5470" t="str">
            <v>ANTI SLIP COATINGS</v>
          </cell>
        </row>
        <row r="5471">
          <cell r="C5471" t="str">
            <v>170001640</v>
          </cell>
          <cell r="D5471" t="str">
            <v>3D GEL STAIN WS-300 LIGHT BROWN-0.9L</v>
          </cell>
          <cell r="E5471" t="str">
            <v>ZTRD</v>
          </cell>
          <cell r="F5471" t="str">
            <v>PC</v>
          </cell>
          <cell r="G5471" t="str">
            <v>X</v>
          </cell>
          <cell r="H5471" t="str">
            <v>TRD RETAIL</v>
          </cell>
          <cell r="I5471" t="str">
            <v>X1</v>
          </cell>
          <cell r="J5471" t="str">
            <v>WF1</v>
          </cell>
          <cell r="K5471" t="str">
            <v>X116</v>
          </cell>
          <cell r="L5471" t="str">
            <v>ANTIQUE FINISH</v>
          </cell>
          <cell r="M5471" t="str">
            <v>X11602</v>
          </cell>
          <cell r="N5471" t="str">
            <v>PROPAN ANTIQUE GLAZE</v>
          </cell>
        </row>
        <row r="5472">
          <cell r="C5472" t="str">
            <v>170001641</v>
          </cell>
          <cell r="D5472" t="str">
            <v>UVP-60103 HF BLACK-30KP</v>
          </cell>
          <cell r="E5472" t="str">
            <v>ZTRD</v>
          </cell>
          <cell r="F5472" t="str">
            <v>PC</v>
          </cell>
          <cell r="G5472" t="str">
            <v>W</v>
          </cell>
          <cell r="H5472" t="str">
            <v>TRD INDUSTRY</v>
          </cell>
          <cell r="I5472" t="str">
            <v>W1</v>
          </cell>
          <cell r="J5472" t="str">
            <v>WOOD COATINGS</v>
          </cell>
          <cell r="K5472" t="str">
            <v>W106</v>
          </cell>
          <cell r="L5472" t="str">
            <v>UV</v>
          </cell>
          <cell r="M5472" t="str">
            <v>W10604</v>
          </cell>
          <cell r="N5472" t="str">
            <v>UV PRIMER</v>
          </cell>
        </row>
        <row r="5473">
          <cell r="C5473" t="str">
            <v>170001642</v>
          </cell>
          <cell r="D5473" t="str">
            <v>CBP-31306 WHITE-20KP</v>
          </cell>
          <cell r="E5473" t="str">
            <v>ZTRD</v>
          </cell>
          <cell r="F5473" t="str">
            <v>PC</v>
          </cell>
          <cell r="G5473" t="str">
            <v>W</v>
          </cell>
          <cell r="H5473" t="str">
            <v>TRD INDUSTRY</v>
          </cell>
          <cell r="I5473" t="str">
            <v>W1</v>
          </cell>
          <cell r="J5473" t="str">
            <v>WOOD COATINGS</v>
          </cell>
          <cell r="K5473" t="str">
            <v>W106</v>
          </cell>
          <cell r="L5473" t="str">
            <v>UV</v>
          </cell>
          <cell r="M5473" t="str">
            <v>W10604</v>
          </cell>
          <cell r="N5473" t="str">
            <v>UV PRIMER</v>
          </cell>
        </row>
        <row r="5474">
          <cell r="C5474" t="str">
            <v>170001644</v>
          </cell>
          <cell r="D5474" t="str">
            <v>PUC-786-2K DOF BASE A*-1LS</v>
          </cell>
          <cell r="E5474" t="str">
            <v>ZTRD</v>
          </cell>
          <cell r="F5474" t="str">
            <v>SET</v>
          </cell>
          <cell r="G5474" t="str">
            <v>X</v>
          </cell>
          <cell r="H5474" t="str">
            <v>TRD RETAIL</v>
          </cell>
          <cell r="I5474" t="str">
            <v>X2</v>
          </cell>
          <cell r="J5474" t="str">
            <v>WF2</v>
          </cell>
          <cell r="K5474" t="str">
            <v>X216</v>
          </cell>
          <cell r="L5474" t="str">
            <v>PU MULTIPURPOSE</v>
          </cell>
          <cell r="M5474" t="str">
            <v>X21602</v>
          </cell>
          <cell r="N5474" t="str">
            <v>PROPAN MP PU ACR BASE</v>
          </cell>
        </row>
        <row r="5475">
          <cell r="C5475" t="str">
            <v>170001645</v>
          </cell>
          <cell r="D5475" t="str">
            <v>PUC-786-2K DOF BASE B*-1LS</v>
          </cell>
          <cell r="E5475" t="str">
            <v>ZTRD</v>
          </cell>
          <cell r="F5475" t="str">
            <v>SET</v>
          </cell>
          <cell r="G5475" t="str">
            <v>X</v>
          </cell>
          <cell r="H5475" t="str">
            <v>TRD RETAIL</v>
          </cell>
          <cell r="I5475" t="str">
            <v>X2</v>
          </cell>
          <cell r="J5475" t="str">
            <v>WF2</v>
          </cell>
          <cell r="K5475" t="str">
            <v>X216</v>
          </cell>
          <cell r="L5475" t="str">
            <v>PU MULTIPURPOSE</v>
          </cell>
          <cell r="M5475" t="str">
            <v>X21602</v>
          </cell>
          <cell r="N5475" t="str">
            <v>PROPAN MP PU ACR BASE</v>
          </cell>
        </row>
        <row r="5476">
          <cell r="C5476" t="str">
            <v>170001646</v>
          </cell>
          <cell r="D5476" t="str">
            <v>3D GEL STAIN WS-300 BLACK-0.9L</v>
          </cell>
          <cell r="E5476" t="str">
            <v>ZTRD</v>
          </cell>
          <cell r="F5476" t="str">
            <v>PC</v>
          </cell>
          <cell r="G5476" t="str">
            <v>X</v>
          </cell>
          <cell r="H5476" t="str">
            <v>TRD RETAIL</v>
          </cell>
          <cell r="I5476" t="str">
            <v>X1</v>
          </cell>
          <cell r="J5476" t="str">
            <v>WF1</v>
          </cell>
          <cell r="K5476" t="str">
            <v>X116</v>
          </cell>
          <cell r="L5476" t="str">
            <v>ANTIQUE FINISH</v>
          </cell>
          <cell r="M5476" t="str">
            <v>X11602</v>
          </cell>
          <cell r="N5476" t="str">
            <v>PROPAN ANTIQUE GLAZE</v>
          </cell>
        </row>
        <row r="5477">
          <cell r="C5477" t="str">
            <v>170001647</v>
          </cell>
          <cell r="D5477" t="str">
            <v>KRYPTOCOAT KC-689 CLEAR 90-1LS</v>
          </cell>
          <cell r="E5477" t="str">
            <v>ZTRD</v>
          </cell>
          <cell r="F5477" t="str">
            <v>SET</v>
          </cell>
          <cell r="G5477" t="str">
            <v>W</v>
          </cell>
          <cell r="H5477" t="str">
            <v>TRD INDUSTRY</v>
          </cell>
          <cell r="I5477" t="str">
            <v>W1</v>
          </cell>
          <cell r="J5477" t="str">
            <v>WOOD COATINGS</v>
          </cell>
          <cell r="K5477" t="str">
            <v>W103</v>
          </cell>
          <cell r="L5477" t="str">
            <v>PU</v>
          </cell>
          <cell r="M5477" t="str">
            <v>W10330</v>
          </cell>
          <cell r="N5477" t="str">
            <v>PU WORKSHOP</v>
          </cell>
        </row>
        <row r="5478">
          <cell r="C5478" t="str">
            <v>170001648</v>
          </cell>
          <cell r="D5478" t="str">
            <v>PROPAN HWO-558-1L</v>
          </cell>
          <cell r="E5478" t="str">
            <v>ZTRD</v>
          </cell>
          <cell r="F5478" t="str">
            <v>PC</v>
          </cell>
          <cell r="G5478" t="str">
            <v>X</v>
          </cell>
          <cell r="H5478" t="str">
            <v>TRD RETAIL</v>
          </cell>
          <cell r="I5478" t="str">
            <v>X4</v>
          </cell>
          <cell r="J5478" t="str">
            <v>WF3</v>
          </cell>
          <cell r="K5478" t="str">
            <v>X414</v>
          </cell>
          <cell r="L5478" t="str">
            <v>PROPAN HARDWAX OIL</v>
          </cell>
          <cell r="M5478" t="str">
            <v>X41401</v>
          </cell>
          <cell r="N5478" t="str">
            <v>PROPAN HARDWAX OIL</v>
          </cell>
        </row>
        <row r="5479">
          <cell r="C5479" t="str">
            <v>170001651</v>
          </cell>
          <cell r="D5479" t="str">
            <v>VL-25002 KA CLEAR 10-200LB</v>
          </cell>
          <cell r="E5479" t="str">
            <v>ZTRD</v>
          </cell>
          <cell r="F5479" t="str">
            <v>PC</v>
          </cell>
          <cell r="G5479" t="str">
            <v>W</v>
          </cell>
          <cell r="H5479" t="str">
            <v>TRD INDUSTRY</v>
          </cell>
          <cell r="I5479" t="str">
            <v>W1</v>
          </cell>
          <cell r="J5479" t="str">
            <v>WOOD COATINGS</v>
          </cell>
          <cell r="K5479" t="str">
            <v>W104</v>
          </cell>
          <cell r="L5479" t="str">
            <v>NC</v>
          </cell>
          <cell r="M5479" t="str">
            <v>W10402</v>
          </cell>
          <cell r="N5479" t="str">
            <v>ASOF : IMPREGNATING SEALER &amp; VINYL</v>
          </cell>
        </row>
        <row r="5480">
          <cell r="C5480" t="str">
            <v>170001652</v>
          </cell>
          <cell r="D5480" t="str">
            <v>VL-25002 KA CLEAR 10-20LP</v>
          </cell>
          <cell r="E5480" t="str">
            <v>ZTRD</v>
          </cell>
          <cell r="F5480" t="str">
            <v>PC</v>
          </cell>
          <cell r="G5480" t="str">
            <v>W</v>
          </cell>
          <cell r="H5480" t="str">
            <v>TRD INDUSTRY</v>
          </cell>
          <cell r="I5480" t="str">
            <v>W1</v>
          </cell>
          <cell r="J5480" t="str">
            <v>WOOD COATINGS</v>
          </cell>
          <cell r="K5480" t="str">
            <v>W104</v>
          </cell>
          <cell r="L5480" t="str">
            <v>NC</v>
          </cell>
          <cell r="M5480" t="str">
            <v>W10402</v>
          </cell>
          <cell r="N5480" t="str">
            <v>ASOF : IMPREGNATING SEALER &amp; VINYL</v>
          </cell>
        </row>
        <row r="5481">
          <cell r="C5481" t="str">
            <v>170001653</v>
          </cell>
          <cell r="D5481" t="str">
            <v>VS-94102 KA-200LB</v>
          </cell>
          <cell r="E5481" t="str">
            <v>ZTRD</v>
          </cell>
          <cell r="F5481" t="str">
            <v>PC</v>
          </cell>
          <cell r="G5481" t="str">
            <v>W</v>
          </cell>
          <cell r="H5481" t="str">
            <v>TRD INDUSTRY</v>
          </cell>
          <cell r="I5481" t="str">
            <v>W1</v>
          </cell>
          <cell r="J5481" t="str">
            <v>WOOD COATINGS</v>
          </cell>
          <cell r="K5481" t="str">
            <v>W104</v>
          </cell>
          <cell r="L5481" t="str">
            <v>NC</v>
          </cell>
          <cell r="M5481" t="str">
            <v>W10402</v>
          </cell>
          <cell r="N5481" t="str">
            <v>ASOF : IMPREGNATING SEALER &amp; VINYL</v>
          </cell>
        </row>
        <row r="5482">
          <cell r="C5482" t="str">
            <v>170001654</v>
          </cell>
          <cell r="D5482" t="str">
            <v>VS-94102 KA-20LP</v>
          </cell>
          <cell r="E5482" t="str">
            <v>ZTRD</v>
          </cell>
          <cell r="F5482" t="str">
            <v>PC</v>
          </cell>
          <cell r="G5482" t="str">
            <v>W</v>
          </cell>
          <cell r="H5482" t="str">
            <v>TRD INDUSTRY</v>
          </cell>
          <cell r="I5482" t="str">
            <v>W1</v>
          </cell>
          <cell r="J5482" t="str">
            <v>WOOD COATINGS</v>
          </cell>
          <cell r="K5482" t="str">
            <v>W104</v>
          </cell>
          <cell r="L5482" t="str">
            <v>NC</v>
          </cell>
          <cell r="M5482" t="str">
            <v>W10402</v>
          </cell>
          <cell r="N5482" t="str">
            <v>ASOF : IMPREGNATING SEALER &amp; VINYL</v>
          </cell>
        </row>
        <row r="5483">
          <cell r="C5483" t="str">
            <v>170001660</v>
          </cell>
          <cell r="D5483" t="str">
            <v>WBP-62107 MF WHITE-20KP</v>
          </cell>
          <cell r="E5483" t="str">
            <v>ZTRD</v>
          </cell>
          <cell r="F5483" t="str">
            <v>PC</v>
          </cell>
          <cell r="G5483" t="str">
            <v>W</v>
          </cell>
          <cell r="H5483" t="str">
            <v>TRD INDUSTRY</v>
          </cell>
          <cell r="I5483" t="str">
            <v>W1</v>
          </cell>
          <cell r="J5483" t="str">
            <v>WOOD COATINGS</v>
          </cell>
          <cell r="K5483" t="str">
            <v>W119</v>
          </cell>
          <cell r="L5483" t="str">
            <v>WATERBASED</v>
          </cell>
          <cell r="M5483" t="str">
            <v>W11902</v>
          </cell>
          <cell r="N5483" t="str">
            <v>WATERBASED SYSTEM INTERIOR</v>
          </cell>
        </row>
        <row r="5484">
          <cell r="C5484" t="str">
            <v>170001661</v>
          </cell>
          <cell r="D5484" t="str">
            <v>WBC-62206 WHITE 20-20KP</v>
          </cell>
          <cell r="E5484" t="str">
            <v>ZTRD</v>
          </cell>
          <cell r="F5484" t="str">
            <v>PC</v>
          </cell>
          <cell r="G5484" t="str">
            <v>W</v>
          </cell>
          <cell r="H5484" t="str">
            <v>TRD INDUSTRY</v>
          </cell>
          <cell r="I5484" t="str">
            <v>W1</v>
          </cell>
          <cell r="J5484" t="str">
            <v>WOOD COATINGS</v>
          </cell>
          <cell r="K5484" t="str">
            <v>W119</v>
          </cell>
          <cell r="L5484" t="str">
            <v>WATERBASED</v>
          </cell>
          <cell r="M5484" t="str">
            <v>W11902</v>
          </cell>
          <cell r="N5484" t="str">
            <v>WATERBASED SYSTEM INTERIOR</v>
          </cell>
        </row>
        <row r="5485">
          <cell r="C5485" t="str">
            <v>170001662</v>
          </cell>
          <cell r="D5485" t="str">
            <v>WBC-62206 WHITE 30-20KP</v>
          </cell>
          <cell r="E5485" t="str">
            <v>ZTRD</v>
          </cell>
          <cell r="F5485" t="str">
            <v>PC</v>
          </cell>
          <cell r="G5485" t="str">
            <v>W</v>
          </cell>
          <cell r="H5485" t="str">
            <v>TRD INDUSTRY</v>
          </cell>
          <cell r="I5485" t="str">
            <v>W1</v>
          </cell>
          <cell r="J5485" t="str">
            <v>WOOD COATINGS</v>
          </cell>
          <cell r="K5485" t="str">
            <v>W119</v>
          </cell>
          <cell r="L5485" t="str">
            <v>WATERBASED</v>
          </cell>
          <cell r="M5485" t="str">
            <v>W11902</v>
          </cell>
          <cell r="N5485" t="str">
            <v>WATERBASED SYSTEM INTERIOR</v>
          </cell>
        </row>
        <row r="5486">
          <cell r="C5486" t="str">
            <v>170001663</v>
          </cell>
          <cell r="D5486" t="str">
            <v>CBP-31304 WHITE-20KP</v>
          </cell>
          <cell r="E5486" t="str">
            <v>ZTRD</v>
          </cell>
          <cell r="F5486" t="str">
            <v>PC</v>
          </cell>
          <cell r="G5486" t="str">
            <v>W</v>
          </cell>
          <cell r="H5486" t="str">
            <v>TRD INDUSTRY</v>
          </cell>
          <cell r="I5486" t="str">
            <v>W1</v>
          </cell>
          <cell r="J5486" t="str">
            <v>WOOD COATINGS</v>
          </cell>
          <cell r="K5486" t="str">
            <v>W106</v>
          </cell>
          <cell r="L5486" t="str">
            <v>UV</v>
          </cell>
          <cell r="M5486" t="str">
            <v>W10604</v>
          </cell>
          <cell r="N5486" t="str">
            <v>UV PRIMER</v>
          </cell>
        </row>
        <row r="5487">
          <cell r="C5487" t="str">
            <v>170001664</v>
          </cell>
          <cell r="D5487" t="str">
            <v>UVL-50702 TBF CLEAR 30-20KP</v>
          </cell>
          <cell r="E5487" t="str">
            <v>ZTRD</v>
          </cell>
          <cell r="F5487" t="str">
            <v>PC</v>
          </cell>
          <cell r="G5487" t="str">
            <v>W</v>
          </cell>
          <cell r="H5487" t="str">
            <v>TRD INDUSTRY</v>
          </cell>
          <cell r="I5487" t="str">
            <v>W1</v>
          </cell>
          <cell r="J5487" t="str">
            <v>WOOD COATINGS</v>
          </cell>
          <cell r="K5487" t="str">
            <v>W106</v>
          </cell>
          <cell r="L5487" t="str">
            <v>UV</v>
          </cell>
          <cell r="M5487" t="str">
            <v>W10607</v>
          </cell>
          <cell r="N5487" t="str">
            <v>UV TOP COAT CLEAR</v>
          </cell>
        </row>
        <row r="5488">
          <cell r="C5488" t="str">
            <v>170001665</v>
          </cell>
          <cell r="D5488" t="str">
            <v>AKL-73200 HWO-20LP</v>
          </cell>
          <cell r="E5488" t="str">
            <v>ZTRD</v>
          </cell>
          <cell r="F5488" t="str">
            <v>PC</v>
          </cell>
          <cell r="G5488" t="str">
            <v>W</v>
          </cell>
          <cell r="H5488" t="str">
            <v>TRD INDUSTRY</v>
          </cell>
          <cell r="I5488" t="str">
            <v>W1</v>
          </cell>
          <cell r="J5488" t="str">
            <v>WOOD COATINGS</v>
          </cell>
          <cell r="K5488" t="str">
            <v>W101</v>
          </cell>
          <cell r="L5488" t="str">
            <v>ALKYD OIL</v>
          </cell>
          <cell r="M5488" t="str">
            <v>W10101</v>
          </cell>
          <cell r="N5488" t="str">
            <v>ALKYD &amp; OIL SYSTEM</v>
          </cell>
        </row>
        <row r="5489">
          <cell r="C5489" t="str">
            <v>170001681</v>
          </cell>
          <cell r="D5489" t="str">
            <v>WBL-61207 HV CLEAR 70-20KP</v>
          </cell>
          <cell r="E5489" t="str">
            <v>ZTRD</v>
          </cell>
          <cell r="F5489" t="str">
            <v>PC</v>
          </cell>
          <cell r="G5489" t="str">
            <v>W</v>
          </cell>
          <cell r="H5489" t="str">
            <v>TRD INDUSTRY</v>
          </cell>
          <cell r="I5489" t="str">
            <v>W1</v>
          </cell>
          <cell r="J5489" t="str">
            <v>WOOD COATINGS</v>
          </cell>
          <cell r="K5489" t="str">
            <v>W119</v>
          </cell>
          <cell r="L5489" t="str">
            <v>WATERBASED</v>
          </cell>
          <cell r="M5489" t="str">
            <v>W11902</v>
          </cell>
          <cell r="N5489" t="str">
            <v>WATERBASED SYSTEM INTERIOR</v>
          </cell>
        </row>
        <row r="5490">
          <cell r="C5490" t="str">
            <v>170001682</v>
          </cell>
          <cell r="D5490" t="str">
            <v>UVL-50563 LY CLEAR 30-20KP</v>
          </cell>
          <cell r="E5490" t="str">
            <v>ZTRD</v>
          </cell>
          <cell r="F5490" t="str">
            <v>PC</v>
          </cell>
          <cell r="G5490" t="str">
            <v>W</v>
          </cell>
          <cell r="H5490" t="str">
            <v>TRD INDUSTRY</v>
          </cell>
          <cell r="I5490" t="str">
            <v>W1</v>
          </cell>
          <cell r="J5490" t="str">
            <v>WOOD COATINGS</v>
          </cell>
          <cell r="K5490" t="str">
            <v>W106</v>
          </cell>
          <cell r="L5490" t="str">
            <v>UV</v>
          </cell>
          <cell r="M5490" t="str">
            <v>W10607</v>
          </cell>
          <cell r="N5490" t="str">
            <v>UV TOP COAT CLEAR</v>
          </cell>
        </row>
        <row r="5491">
          <cell r="C5491" t="str">
            <v>170001683</v>
          </cell>
          <cell r="D5491" t="str">
            <v>CBP-31304 WHITE HV-20KP</v>
          </cell>
          <cell r="E5491" t="str">
            <v>ZTRD</v>
          </cell>
          <cell r="F5491" t="str">
            <v>PC</v>
          </cell>
          <cell r="G5491" t="str">
            <v>W</v>
          </cell>
          <cell r="H5491" t="str">
            <v>TRD INDUSTRY</v>
          </cell>
          <cell r="I5491" t="str">
            <v>W1</v>
          </cell>
          <cell r="J5491" t="str">
            <v>WOOD COATINGS</v>
          </cell>
          <cell r="K5491" t="str">
            <v>W106</v>
          </cell>
          <cell r="L5491" t="str">
            <v>UV</v>
          </cell>
          <cell r="M5491" t="str">
            <v>W10604</v>
          </cell>
          <cell r="N5491" t="str">
            <v>UV PRIMER</v>
          </cell>
        </row>
        <row r="5492">
          <cell r="C5492" t="str">
            <v>170001684</v>
          </cell>
          <cell r="D5492" t="str">
            <v>CBP-31304 ADHESION PROMOTOR-20KP</v>
          </cell>
          <cell r="E5492" t="str">
            <v>ZTRD</v>
          </cell>
          <cell r="F5492" t="str">
            <v>PC</v>
          </cell>
          <cell r="G5492" t="str">
            <v>W</v>
          </cell>
          <cell r="H5492" t="str">
            <v>TRD INDUSTRY</v>
          </cell>
          <cell r="I5492" t="str">
            <v>W1</v>
          </cell>
          <cell r="J5492" t="str">
            <v>WOOD COATINGS</v>
          </cell>
          <cell r="K5492" t="str">
            <v>W106</v>
          </cell>
          <cell r="L5492" t="str">
            <v>UV</v>
          </cell>
          <cell r="M5492" t="str">
            <v>W10604</v>
          </cell>
          <cell r="N5492" t="str">
            <v>UV PRIMER</v>
          </cell>
        </row>
        <row r="5493">
          <cell r="C5493" t="str">
            <v>170001688</v>
          </cell>
          <cell r="D5493" t="str">
            <v>WBL-61204 CLEAR 30-20LP</v>
          </cell>
          <cell r="E5493" t="str">
            <v>ZTRD</v>
          </cell>
          <cell r="F5493" t="str">
            <v>PC</v>
          </cell>
          <cell r="G5493" t="str">
            <v>W</v>
          </cell>
          <cell r="H5493" t="str">
            <v>TRD INDUSTRY</v>
          </cell>
          <cell r="I5493" t="str">
            <v>W1</v>
          </cell>
          <cell r="J5493" t="str">
            <v>WOOD COATINGS</v>
          </cell>
          <cell r="K5493" t="str">
            <v>W119</v>
          </cell>
          <cell r="L5493" t="str">
            <v>WATERBASED</v>
          </cell>
          <cell r="M5493" t="str">
            <v>W11902</v>
          </cell>
          <cell r="N5493" t="str">
            <v>WATERBASED SYSTEM INTERIOR</v>
          </cell>
        </row>
        <row r="5494">
          <cell r="C5494" t="str">
            <v>170001689</v>
          </cell>
          <cell r="D5494" t="str">
            <v>#NUPUC-786-2K SATIN BASE D*-5LS</v>
          </cell>
          <cell r="E5494" t="str">
            <v>ZTRD</v>
          </cell>
          <cell r="F5494" t="str">
            <v>SET</v>
          </cell>
          <cell r="G5494" t="str">
            <v>X</v>
          </cell>
          <cell r="H5494" t="str">
            <v>TRD RETAIL</v>
          </cell>
          <cell r="I5494" t="str">
            <v>X2</v>
          </cell>
          <cell r="J5494" t="str">
            <v>WF2</v>
          </cell>
          <cell r="K5494" t="str">
            <v>X216</v>
          </cell>
          <cell r="L5494" t="str">
            <v>PU MULTIPURPOSE</v>
          </cell>
          <cell r="M5494" t="str">
            <v>X21602</v>
          </cell>
          <cell r="N5494" t="str">
            <v>PROPAN MP PU ACR BASE</v>
          </cell>
        </row>
        <row r="5495">
          <cell r="C5495" t="str">
            <v>170001690</v>
          </cell>
          <cell r="D5495" t="str">
            <v>#NUPUC-786-2K SATIN BASE D*-1LS</v>
          </cell>
          <cell r="E5495" t="str">
            <v>ZTRD</v>
          </cell>
          <cell r="F5495" t="str">
            <v>SET</v>
          </cell>
          <cell r="G5495" t="str">
            <v>X</v>
          </cell>
          <cell r="H5495" t="str">
            <v>TRD RETAIL</v>
          </cell>
          <cell r="I5495" t="str">
            <v>X2</v>
          </cell>
          <cell r="J5495" t="str">
            <v>WF2</v>
          </cell>
          <cell r="K5495" t="str">
            <v>X216</v>
          </cell>
          <cell r="L5495" t="str">
            <v>PU MULTIPURPOSE</v>
          </cell>
          <cell r="M5495" t="str">
            <v>X21602</v>
          </cell>
          <cell r="N5495" t="str">
            <v>PROPAN MP PU ACR BASE</v>
          </cell>
        </row>
        <row r="5496">
          <cell r="C5496" t="str">
            <v>170001692</v>
          </cell>
          <cell r="D5496" t="str">
            <v>UVF-10106-20KP</v>
          </cell>
          <cell r="E5496" t="str">
            <v>ZTRD</v>
          </cell>
          <cell r="F5496" t="str">
            <v>PC</v>
          </cell>
          <cell r="G5496" t="str">
            <v>W</v>
          </cell>
          <cell r="H5496" t="str">
            <v>TRD INDUSTRY</v>
          </cell>
          <cell r="I5496" t="str">
            <v>W1</v>
          </cell>
          <cell r="J5496" t="str">
            <v>WOOD COATINGS</v>
          </cell>
          <cell r="K5496" t="str">
            <v>W106</v>
          </cell>
          <cell r="L5496" t="str">
            <v>UV</v>
          </cell>
          <cell r="M5496" t="str">
            <v>W10603</v>
          </cell>
          <cell r="N5496" t="str">
            <v>UV FILLER</v>
          </cell>
        </row>
        <row r="5497">
          <cell r="C5497" t="str">
            <v>170001693</v>
          </cell>
          <cell r="D5497" t="str">
            <v>UVP-60101 NM WHITE-20KP</v>
          </cell>
          <cell r="E5497" t="str">
            <v>ZTRD</v>
          </cell>
          <cell r="F5497" t="str">
            <v>PC</v>
          </cell>
          <cell r="G5497" t="str">
            <v>W</v>
          </cell>
          <cell r="H5497" t="str">
            <v>TRD INDUSTRY</v>
          </cell>
          <cell r="I5497" t="str">
            <v>W1</v>
          </cell>
          <cell r="J5497" t="str">
            <v>WOOD COATINGS</v>
          </cell>
          <cell r="K5497" t="str">
            <v>W106</v>
          </cell>
          <cell r="L5497" t="str">
            <v>UV</v>
          </cell>
          <cell r="M5497" t="str">
            <v>W10604</v>
          </cell>
          <cell r="N5497" t="str">
            <v>UV PRIMER</v>
          </cell>
        </row>
        <row r="5498">
          <cell r="C5498" t="str">
            <v>170001694</v>
          </cell>
          <cell r="D5498" t="str">
            <v>UVC-70102 WHITE 20-20KP</v>
          </cell>
          <cell r="E5498" t="str">
            <v>ZTRD</v>
          </cell>
          <cell r="F5498" t="str">
            <v>PC</v>
          </cell>
          <cell r="G5498" t="str">
            <v>W</v>
          </cell>
          <cell r="H5498" t="str">
            <v>TRD INDUSTRY</v>
          </cell>
          <cell r="I5498" t="str">
            <v>W1</v>
          </cell>
          <cell r="J5498" t="str">
            <v>WOOD COATINGS</v>
          </cell>
          <cell r="K5498" t="str">
            <v>W106</v>
          </cell>
          <cell r="L5498" t="str">
            <v>UV</v>
          </cell>
          <cell r="M5498" t="str">
            <v>W10608</v>
          </cell>
          <cell r="N5498" t="str">
            <v>UV TOP COAT COLOR</v>
          </cell>
        </row>
        <row r="5499">
          <cell r="C5499" t="str">
            <v>170001695</v>
          </cell>
          <cell r="D5499" t="str">
            <v>MC-42212 WHITE 22-20LP</v>
          </cell>
          <cell r="E5499" t="str">
            <v>ZTRD</v>
          </cell>
          <cell r="F5499" t="str">
            <v>PC</v>
          </cell>
          <cell r="G5499" t="str">
            <v>W</v>
          </cell>
          <cell r="H5499" t="str">
            <v>TRD INDUSTRY</v>
          </cell>
          <cell r="I5499" t="str">
            <v>W1</v>
          </cell>
          <cell r="J5499" t="str">
            <v>WOOD COATINGS</v>
          </cell>
          <cell r="K5499" t="str">
            <v>W102</v>
          </cell>
          <cell r="L5499" t="str">
            <v>MELAMINE</v>
          </cell>
          <cell r="M5499" t="str">
            <v>W10202</v>
          </cell>
          <cell r="N5499" t="str">
            <v>MELAMINE COLOR</v>
          </cell>
        </row>
        <row r="5500">
          <cell r="C5500" t="str">
            <v>170001696</v>
          </cell>
          <cell r="D5500" t="str">
            <v>UVSS-40701 VC-20KP</v>
          </cell>
          <cell r="E5500" t="str">
            <v>ZTRD</v>
          </cell>
          <cell r="F5500" t="str">
            <v>PC</v>
          </cell>
          <cell r="G5500" t="str">
            <v>W</v>
          </cell>
          <cell r="H5500" t="str">
            <v>TRD INDUSTRY</v>
          </cell>
          <cell r="I5500" t="str">
            <v>W1</v>
          </cell>
          <cell r="J5500" t="str">
            <v>WOOD COATINGS</v>
          </cell>
          <cell r="K5500" t="str">
            <v>W106</v>
          </cell>
          <cell r="L5500" t="str">
            <v>UV</v>
          </cell>
          <cell r="M5500" t="str">
            <v>W10605</v>
          </cell>
          <cell r="N5500" t="str">
            <v>UV SANDING SEALER</v>
          </cell>
        </row>
        <row r="5501">
          <cell r="C5501" t="str">
            <v>170001697</v>
          </cell>
          <cell r="D5501" t="str">
            <v>UVP-60706 VC WHITE-20KP</v>
          </cell>
          <cell r="E5501" t="str">
            <v>ZTRD</v>
          </cell>
          <cell r="F5501" t="str">
            <v>PC</v>
          </cell>
          <cell r="G5501" t="str">
            <v>W</v>
          </cell>
          <cell r="H5501" t="str">
            <v>TRD INDUSTRY</v>
          </cell>
          <cell r="I5501" t="str">
            <v>W1</v>
          </cell>
          <cell r="J5501" t="str">
            <v>WOOD COATINGS</v>
          </cell>
          <cell r="K5501" t="str">
            <v>W106</v>
          </cell>
          <cell r="L5501" t="str">
            <v>UV</v>
          </cell>
          <cell r="M5501" t="str">
            <v>W10604</v>
          </cell>
          <cell r="N5501" t="str">
            <v>UV PRIMER</v>
          </cell>
        </row>
        <row r="5502">
          <cell r="C5502" t="str">
            <v>170001698</v>
          </cell>
          <cell r="D5502" t="str">
            <v>UVC-70701 VC WHITE 20-20KP</v>
          </cell>
          <cell r="E5502" t="str">
            <v>ZTRD</v>
          </cell>
          <cell r="F5502" t="str">
            <v>PC</v>
          </cell>
          <cell r="G5502" t="str">
            <v>W</v>
          </cell>
          <cell r="H5502" t="str">
            <v>TRD INDUSTRY</v>
          </cell>
          <cell r="I5502" t="str">
            <v>W1</v>
          </cell>
          <cell r="J5502" t="str">
            <v>WOOD COATINGS</v>
          </cell>
          <cell r="K5502" t="str">
            <v>W106</v>
          </cell>
          <cell r="L5502" t="str">
            <v>UV</v>
          </cell>
          <cell r="M5502" t="str">
            <v>W10608</v>
          </cell>
          <cell r="N5502" t="str">
            <v>UV TOP COAT COLOR</v>
          </cell>
        </row>
        <row r="5503">
          <cell r="C5503" t="str">
            <v>170001699</v>
          </cell>
          <cell r="D5503" t="str">
            <v>PUL-53320 AC CLEAR 10-20LP</v>
          </cell>
          <cell r="E5503" t="str">
            <v>ZTRD</v>
          </cell>
          <cell r="F5503" t="str">
            <v>PC</v>
          </cell>
          <cell r="G5503" t="str">
            <v>W</v>
          </cell>
          <cell r="H5503" t="str">
            <v>TRD INDUSTRY</v>
          </cell>
          <cell r="I5503" t="str">
            <v>W1</v>
          </cell>
          <cell r="J5503" t="str">
            <v>WOOD COATINGS</v>
          </cell>
          <cell r="K5503" t="str">
            <v>W103</v>
          </cell>
          <cell r="L5503" t="str">
            <v>PU</v>
          </cell>
          <cell r="M5503" t="str">
            <v>W10321</v>
          </cell>
          <cell r="N5503" t="str">
            <v>PU LACQUER</v>
          </cell>
        </row>
        <row r="5504">
          <cell r="C5504" t="str">
            <v>170001701</v>
          </cell>
          <cell r="D5504" t="str">
            <v>WBL-61204 HV CLEAR 25-20LP</v>
          </cell>
          <cell r="E5504" t="str">
            <v>ZTRD</v>
          </cell>
          <cell r="F5504" t="str">
            <v>PC</v>
          </cell>
          <cell r="G5504" t="str">
            <v>W</v>
          </cell>
          <cell r="H5504" t="str">
            <v>TRD INDUSTRY</v>
          </cell>
          <cell r="I5504" t="str">
            <v>W1</v>
          </cell>
          <cell r="J5504" t="str">
            <v>WOOD COATINGS</v>
          </cell>
          <cell r="K5504" t="str">
            <v>W119</v>
          </cell>
          <cell r="L5504" t="str">
            <v>WATERBASED</v>
          </cell>
          <cell r="M5504" t="str">
            <v>W11902</v>
          </cell>
          <cell r="N5504" t="str">
            <v>WATERBASED SYSTEM INTERIOR</v>
          </cell>
        </row>
        <row r="5505">
          <cell r="C5505" t="str">
            <v>170001702</v>
          </cell>
          <cell r="D5505" t="str">
            <v>WBC-62206 HV WHITE 20-20KP</v>
          </cell>
          <cell r="E5505" t="str">
            <v>ZTRD</v>
          </cell>
          <cell r="F5505" t="str">
            <v>PC</v>
          </cell>
          <cell r="G5505" t="str">
            <v>W</v>
          </cell>
          <cell r="H5505" t="str">
            <v>TRD INDUSTRY</v>
          </cell>
          <cell r="I5505" t="str">
            <v>W1</v>
          </cell>
          <cell r="J5505" t="str">
            <v>WOOD COATINGS</v>
          </cell>
          <cell r="K5505" t="str">
            <v>W119</v>
          </cell>
          <cell r="L5505" t="str">
            <v>WATERBASED</v>
          </cell>
          <cell r="M5505" t="str">
            <v>W11902</v>
          </cell>
          <cell r="N5505" t="str">
            <v>WATERBASED SYSTEM INTERIOR</v>
          </cell>
        </row>
        <row r="5506">
          <cell r="C5506" t="str">
            <v>170001704</v>
          </cell>
          <cell r="D5506" t="str">
            <v>PUL-53320 AC CLEAR 15-20LP</v>
          </cell>
          <cell r="E5506" t="str">
            <v>ZTRD</v>
          </cell>
          <cell r="F5506" t="str">
            <v>PC</v>
          </cell>
          <cell r="G5506" t="str">
            <v>W</v>
          </cell>
          <cell r="H5506" t="str">
            <v>TRD INDUSTRY</v>
          </cell>
          <cell r="I5506" t="str">
            <v>W1</v>
          </cell>
          <cell r="J5506" t="str">
            <v>WOOD COATINGS</v>
          </cell>
          <cell r="K5506" t="str">
            <v>W103</v>
          </cell>
          <cell r="L5506" t="str">
            <v>PU</v>
          </cell>
          <cell r="M5506" t="str">
            <v>W10321</v>
          </cell>
          <cell r="N5506" t="str">
            <v>PU LACQUER</v>
          </cell>
        </row>
        <row r="5507">
          <cell r="C5507" t="str">
            <v>170001705</v>
          </cell>
          <cell r="D5507" t="str">
            <v>#NUMEP-12003 CLEAR BASE VN-18KP</v>
          </cell>
          <cell r="E5507" t="str">
            <v>ZTRD</v>
          </cell>
          <cell r="F5507" t="str">
            <v>PC</v>
          </cell>
          <cell r="G5507" t="str">
            <v>W</v>
          </cell>
          <cell r="H5507" t="str">
            <v>TRD INDUSTRY</v>
          </cell>
          <cell r="I5507" t="str">
            <v>W6</v>
          </cell>
          <cell r="J5507" t="str">
            <v>METAL COATINGS</v>
          </cell>
          <cell r="K5507" t="str">
            <v>W601</v>
          </cell>
          <cell r="L5507" t="str">
            <v>METAL COATINGS</v>
          </cell>
          <cell r="M5507" t="str">
            <v>W60101</v>
          </cell>
          <cell r="N5507" t="str">
            <v>METAL COATINGS</v>
          </cell>
        </row>
        <row r="5508">
          <cell r="C5508" t="str">
            <v>170001706</v>
          </cell>
          <cell r="D5508" t="str">
            <v>#NUMEPH-12003 PS VN-2K</v>
          </cell>
          <cell r="E5508" t="str">
            <v>ZTRD</v>
          </cell>
          <cell r="F5508" t="str">
            <v>PC</v>
          </cell>
          <cell r="G5508" t="str">
            <v>W</v>
          </cell>
          <cell r="H5508" t="str">
            <v>TRD INDUSTRY</v>
          </cell>
          <cell r="I5508" t="str">
            <v>W6</v>
          </cell>
          <cell r="J5508" t="str">
            <v>METAL COATINGS</v>
          </cell>
          <cell r="K5508" t="str">
            <v>W601</v>
          </cell>
          <cell r="L5508" t="str">
            <v>METAL COATINGS</v>
          </cell>
          <cell r="M5508" t="str">
            <v>W60101</v>
          </cell>
          <cell r="N5508" t="str">
            <v>METAL COATINGS</v>
          </cell>
        </row>
        <row r="5509">
          <cell r="C5509" t="str">
            <v>170001707</v>
          </cell>
          <cell r="D5509" t="str">
            <v>#NUPCL-31300 BLACK PASTE-4K</v>
          </cell>
          <cell r="E5509" t="str">
            <v>ZTRD</v>
          </cell>
          <cell r="F5509" t="str">
            <v>PC</v>
          </cell>
          <cell r="G5509" t="str">
            <v>W</v>
          </cell>
          <cell r="H5509" t="str">
            <v>TRD INDUSTRY</v>
          </cell>
          <cell r="I5509" t="str">
            <v>W1</v>
          </cell>
          <cell r="J5509" t="str">
            <v>WOOD COATINGS</v>
          </cell>
          <cell r="K5509" t="str">
            <v>W118</v>
          </cell>
          <cell r="L5509" t="str">
            <v>COMPLEMENTARY</v>
          </cell>
          <cell r="M5509" t="str">
            <v>W11807</v>
          </cell>
          <cell r="N5509" t="str">
            <v>PASTA</v>
          </cell>
        </row>
        <row r="5510">
          <cell r="C5510" t="str">
            <v>170001708</v>
          </cell>
          <cell r="D5510" t="str">
            <v>#NUPCL-31300 BLUE OG PASTE-4K</v>
          </cell>
          <cell r="E5510" t="str">
            <v>ZTRD</v>
          </cell>
          <cell r="F5510" t="str">
            <v>PC</v>
          </cell>
          <cell r="G5510" t="str">
            <v>W</v>
          </cell>
          <cell r="H5510" t="str">
            <v>TRD INDUSTRY</v>
          </cell>
          <cell r="I5510" t="str">
            <v>W1</v>
          </cell>
          <cell r="J5510" t="str">
            <v>WOOD COATINGS</v>
          </cell>
          <cell r="K5510" t="str">
            <v>W118</v>
          </cell>
          <cell r="L5510" t="str">
            <v>COMPLEMENTARY</v>
          </cell>
          <cell r="M5510" t="str">
            <v>W11807</v>
          </cell>
          <cell r="N5510" t="str">
            <v>PASTA</v>
          </cell>
        </row>
        <row r="5511">
          <cell r="C5511" t="str">
            <v>170001709</v>
          </cell>
          <cell r="D5511" t="str">
            <v>#NUPCL-31300 BROWN PASTE VN-4K</v>
          </cell>
          <cell r="E5511" t="str">
            <v>ZTRD</v>
          </cell>
          <cell r="F5511" t="str">
            <v>PC</v>
          </cell>
          <cell r="G5511" t="str">
            <v>W</v>
          </cell>
          <cell r="H5511" t="str">
            <v>TRD INDUSTRY</v>
          </cell>
          <cell r="I5511" t="str">
            <v>W1</v>
          </cell>
          <cell r="J5511" t="str">
            <v>WOOD COATINGS</v>
          </cell>
          <cell r="K5511" t="str">
            <v>W118</v>
          </cell>
          <cell r="L5511" t="str">
            <v>COMPLEMENTARY</v>
          </cell>
          <cell r="M5511" t="str">
            <v>W11807</v>
          </cell>
          <cell r="N5511" t="str">
            <v>PASTA</v>
          </cell>
        </row>
        <row r="5512">
          <cell r="C5512" t="str">
            <v>170001710</v>
          </cell>
          <cell r="D5512" t="str">
            <v>#NUPCL-31300 GREEN OB PASTE-4K</v>
          </cell>
          <cell r="E5512" t="str">
            <v>ZTRD</v>
          </cell>
          <cell r="F5512" t="str">
            <v>PC</v>
          </cell>
          <cell r="G5512" t="str">
            <v>W</v>
          </cell>
          <cell r="H5512" t="str">
            <v>TRD INDUSTRY</v>
          </cell>
          <cell r="I5512" t="str">
            <v>W1</v>
          </cell>
          <cell r="J5512" t="str">
            <v>WOOD COATINGS</v>
          </cell>
          <cell r="K5512" t="str">
            <v>W118</v>
          </cell>
          <cell r="L5512" t="str">
            <v>COMPLEMENTARY</v>
          </cell>
          <cell r="M5512" t="str">
            <v>W11807</v>
          </cell>
          <cell r="N5512" t="str">
            <v>PASTA</v>
          </cell>
        </row>
        <row r="5513">
          <cell r="C5513" t="str">
            <v>170001711</v>
          </cell>
          <cell r="D5513" t="str">
            <v>#NUPCL-31300 RED OB 35 PASTE-4K</v>
          </cell>
          <cell r="E5513" t="str">
            <v>ZTRD</v>
          </cell>
          <cell r="F5513" t="str">
            <v>PC</v>
          </cell>
          <cell r="G5513" t="str">
            <v>W</v>
          </cell>
          <cell r="H5513" t="str">
            <v>TRD INDUSTRY</v>
          </cell>
          <cell r="I5513" t="str">
            <v>W1</v>
          </cell>
          <cell r="J5513" t="str">
            <v>WOOD COATINGS</v>
          </cell>
          <cell r="K5513" t="str">
            <v>W118</v>
          </cell>
          <cell r="L5513" t="str">
            <v>COMPLEMENTARY</v>
          </cell>
          <cell r="M5513" t="str">
            <v>W11807</v>
          </cell>
          <cell r="N5513" t="str">
            <v>PASTA</v>
          </cell>
        </row>
        <row r="5514">
          <cell r="C5514" t="str">
            <v>170001712</v>
          </cell>
          <cell r="D5514" t="str">
            <v>#NUPCL-31300 WHITE PASTE-4K</v>
          </cell>
          <cell r="E5514" t="str">
            <v>ZTRD</v>
          </cell>
          <cell r="F5514" t="str">
            <v>PC</v>
          </cell>
          <cell r="G5514" t="str">
            <v>W</v>
          </cell>
          <cell r="H5514" t="str">
            <v>TRD INDUSTRY</v>
          </cell>
          <cell r="I5514" t="str">
            <v>W1</v>
          </cell>
          <cell r="J5514" t="str">
            <v>WOOD COATINGS</v>
          </cell>
          <cell r="K5514" t="str">
            <v>W118</v>
          </cell>
          <cell r="L5514" t="str">
            <v>COMPLEMENTARY</v>
          </cell>
          <cell r="M5514" t="str">
            <v>W11807</v>
          </cell>
          <cell r="N5514" t="str">
            <v>PASTA</v>
          </cell>
        </row>
        <row r="5515">
          <cell r="C5515" t="str">
            <v>170001713</v>
          </cell>
          <cell r="D5515" t="str">
            <v>#NUPCL-31300 YELLOW OG 16 PASTE-4K</v>
          </cell>
          <cell r="E5515" t="str">
            <v>ZTRD</v>
          </cell>
          <cell r="F5515" t="str">
            <v>PC</v>
          </cell>
          <cell r="G5515" t="str">
            <v>W</v>
          </cell>
          <cell r="H5515" t="str">
            <v>TRD INDUSTRY</v>
          </cell>
          <cell r="I5515" t="str">
            <v>W1</v>
          </cell>
          <cell r="J5515" t="str">
            <v>WOOD COATINGS</v>
          </cell>
          <cell r="K5515" t="str">
            <v>W118</v>
          </cell>
          <cell r="L5515" t="str">
            <v>COMPLEMENTARY</v>
          </cell>
          <cell r="M5515" t="str">
            <v>W11807</v>
          </cell>
          <cell r="N5515" t="str">
            <v>PASTA</v>
          </cell>
        </row>
        <row r="5516">
          <cell r="C5516" t="str">
            <v>170001714</v>
          </cell>
          <cell r="D5516" t="str">
            <v>#NUPUL-53306 AC EX CLEAR 20 VN-20LP</v>
          </cell>
          <cell r="E5516" t="str">
            <v>ZTRD</v>
          </cell>
          <cell r="F5516" t="str">
            <v>PC</v>
          </cell>
          <cell r="G5516" t="str">
            <v>W</v>
          </cell>
          <cell r="H5516" t="str">
            <v>TRD INDUSTRY</v>
          </cell>
          <cell r="I5516" t="str">
            <v>W1</v>
          </cell>
          <cell r="J5516" t="str">
            <v>WOOD COATINGS</v>
          </cell>
          <cell r="K5516" t="str">
            <v>W103</v>
          </cell>
          <cell r="L5516" t="str">
            <v>PU</v>
          </cell>
          <cell r="M5516" t="str">
            <v>W10321</v>
          </cell>
          <cell r="N5516" t="str">
            <v>PU LACQUER</v>
          </cell>
        </row>
        <row r="5517">
          <cell r="C5517" t="str">
            <v>170001715</v>
          </cell>
          <cell r="D5517" t="str">
            <v>#NUPUL-53306 AC EX CLEAR 30 VN-20LP</v>
          </cell>
          <cell r="E5517" t="str">
            <v>ZTRD</v>
          </cell>
          <cell r="F5517" t="str">
            <v>PC</v>
          </cell>
          <cell r="G5517" t="str">
            <v>W</v>
          </cell>
          <cell r="H5517" t="str">
            <v>TRD INDUSTRY</v>
          </cell>
          <cell r="I5517" t="str">
            <v>W1</v>
          </cell>
          <cell r="J5517" t="str">
            <v>WOOD COATINGS</v>
          </cell>
          <cell r="K5517" t="str">
            <v>W103</v>
          </cell>
          <cell r="L5517" t="str">
            <v>PU</v>
          </cell>
          <cell r="M5517" t="str">
            <v>W10321</v>
          </cell>
          <cell r="N5517" t="str">
            <v>PU LACQUER</v>
          </cell>
        </row>
        <row r="5518">
          <cell r="C5518" t="str">
            <v>170001716</v>
          </cell>
          <cell r="D5518" t="str">
            <v>#NUPUL-53306 AC EX CLEAR 90 VN-20LP</v>
          </cell>
          <cell r="E5518" t="str">
            <v>ZTRD</v>
          </cell>
          <cell r="F5518" t="str">
            <v>PC</v>
          </cell>
          <cell r="G5518" t="str">
            <v>W</v>
          </cell>
          <cell r="H5518" t="str">
            <v>TRD INDUSTRY</v>
          </cell>
          <cell r="I5518" t="str">
            <v>W1</v>
          </cell>
          <cell r="J5518" t="str">
            <v>WOOD COATINGS</v>
          </cell>
          <cell r="K5518" t="str">
            <v>W103</v>
          </cell>
          <cell r="L5518" t="str">
            <v>PU</v>
          </cell>
          <cell r="M5518" t="str">
            <v>W10321</v>
          </cell>
          <cell r="N5518" t="str">
            <v>PU LACQUER</v>
          </cell>
        </row>
        <row r="5519">
          <cell r="C5519" t="str">
            <v>170001717</v>
          </cell>
          <cell r="D5519" t="str">
            <v>#NUPUP-54111 AC WHITE VN-20KP</v>
          </cell>
          <cell r="E5519" t="str">
            <v>ZTRD</v>
          </cell>
          <cell r="F5519" t="str">
            <v>PC</v>
          </cell>
          <cell r="G5519" t="str">
            <v>W</v>
          </cell>
          <cell r="H5519" t="str">
            <v>TRD INDUSTRY</v>
          </cell>
          <cell r="I5519" t="str">
            <v>W1</v>
          </cell>
          <cell r="J5519" t="str">
            <v>WOOD COATINGS</v>
          </cell>
          <cell r="K5519" t="str">
            <v>W103</v>
          </cell>
          <cell r="L5519" t="str">
            <v>PU</v>
          </cell>
          <cell r="M5519" t="str">
            <v>W10322</v>
          </cell>
          <cell r="N5519" t="str">
            <v>PU PRIMER</v>
          </cell>
        </row>
        <row r="5520">
          <cell r="C5520" t="str">
            <v>170001718</v>
          </cell>
          <cell r="D5520" t="str">
            <v>#NUPUSS-53206 AC EX VN-20KP</v>
          </cell>
          <cell r="E5520" t="str">
            <v>ZTRD</v>
          </cell>
          <cell r="F5520" t="str">
            <v>PC</v>
          </cell>
          <cell r="G5520" t="str">
            <v>W</v>
          </cell>
          <cell r="H5520" t="str">
            <v>TRD INDUSTRY</v>
          </cell>
          <cell r="I5520" t="str">
            <v>W1</v>
          </cell>
          <cell r="J5520" t="str">
            <v>WOOD COATINGS</v>
          </cell>
          <cell r="K5520" t="str">
            <v>W103</v>
          </cell>
          <cell r="L5520" t="str">
            <v>PU</v>
          </cell>
          <cell r="M5520" t="str">
            <v>W10323</v>
          </cell>
          <cell r="N5520" t="str">
            <v>PU SANDING SEALER</v>
          </cell>
        </row>
        <row r="5521">
          <cell r="C5521" t="str">
            <v>170001719</v>
          </cell>
          <cell r="D5521" t="str">
            <v>#NUTHC-73100 402 VN-20LJ</v>
          </cell>
          <cell r="E5521" t="str">
            <v>ZTRD</v>
          </cell>
          <cell r="F5521" t="str">
            <v>PC</v>
          </cell>
          <cell r="G5521" t="str">
            <v>W</v>
          </cell>
          <cell r="H5521" t="str">
            <v>TRD INDUSTRY</v>
          </cell>
          <cell r="I5521" t="str">
            <v>W4</v>
          </cell>
          <cell r="J5521" t="str">
            <v>THINNER</v>
          </cell>
          <cell r="K5521" t="str">
            <v>W412</v>
          </cell>
          <cell r="L5521" t="str">
            <v>THINNER NC</v>
          </cell>
          <cell r="M5521" t="str">
            <v>W41203</v>
          </cell>
          <cell r="N5521" t="str">
            <v>THINNER COMPLEMENTARY</v>
          </cell>
        </row>
        <row r="5522">
          <cell r="C5522" t="str">
            <v>170001720</v>
          </cell>
          <cell r="D5522" t="str">
            <v>#NUTHNC-71100 SD VN-20LJ</v>
          </cell>
          <cell r="E5522" t="str">
            <v>ZTRD</v>
          </cell>
          <cell r="F5522" t="str">
            <v>PC</v>
          </cell>
          <cell r="G5522" t="str">
            <v>W</v>
          </cell>
          <cell r="H5522" t="str">
            <v>TRD INDUSTRY</v>
          </cell>
          <cell r="I5522" t="str">
            <v>W4</v>
          </cell>
          <cell r="J5522" t="str">
            <v>THINNER</v>
          </cell>
          <cell r="K5522" t="str">
            <v>W412</v>
          </cell>
          <cell r="L5522" t="str">
            <v>THINNER NC</v>
          </cell>
          <cell r="M5522" t="str">
            <v>W41205</v>
          </cell>
          <cell r="N5522" t="str">
            <v>THINNER NC</v>
          </cell>
        </row>
        <row r="5523">
          <cell r="C5523" t="str">
            <v>170001721</v>
          </cell>
          <cell r="D5523" t="str">
            <v>TEWB-84305 M-20KP</v>
          </cell>
          <cell r="E5523" t="str">
            <v>ZTRD</v>
          </cell>
          <cell r="F5523" t="str">
            <v>PC</v>
          </cell>
          <cell r="G5523" t="str">
            <v>W</v>
          </cell>
          <cell r="H5523" t="str">
            <v>TRD INDUSTRY</v>
          </cell>
          <cell r="I5523" t="str">
            <v>W1</v>
          </cell>
          <cell r="J5523" t="str">
            <v>WOOD COATINGS</v>
          </cell>
          <cell r="K5523" t="str">
            <v>W119</v>
          </cell>
          <cell r="L5523" t="str">
            <v>WATERBASED</v>
          </cell>
          <cell r="M5523" t="str">
            <v>W11902</v>
          </cell>
          <cell r="N5523" t="str">
            <v>WATERBASED SYSTEM INTERIOR</v>
          </cell>
        </row>
        <row r="5524">
          <cell r="C5524" t="str">
            <v>170001722</v>
          </cell>
          <cell r="D5524" t="str">
            <v>MSS-41210-20LP</v>
          </cell>
          <cell r="E5524" t="str">
            <v>ZTRD</v>
          </cell>
          <cell r="F5524" t="str">
            <v>PC</v>
          </cell>
          <cell r="G5524" t="str">
            <v>W</v>
          </cell>
          <cell r="H5524" t="str">
            <v>TRD INDUSTRY</v>
          </cell>
          <cell r="I5524" t="str">
            <v>W1</v>
          </cell>
          <cell r="J5524" t="str">
            <v>WOOD COATINGS</v>
          </cell>
          <cell r="K5524" t="str">
            <v>W102</v>
          </cell>
          <cell r="L5524" t="str">
            <v>MELAMINE</v>
          </cell>
          <cell r="M5524" t="str">
            <v>W10207</v>
          </cell>
          <cell r="N5524" t="str">
            <v>MELAMINE SANDING SEALER</v>
          </cell>
        </row>
        <row r="5525">
          <cell r="C5525" t="str">
            <v>170001723</v>
          </cell>
          <cell r="D5525" t="str">
            <v>ML-41310 CLEAR 15-20LP</v>
          </cell>
          <cell r="E5525" t="str">
            <v>ZTRD</v>
          </cell>
          <cell r="F5525" t="str">
            <v>PC</v>
          </cell>
          <cell r="G5525" t="str">
            <v>W</v>
          </cell>
          <cell r="H5525" t="str">
            <v>TRD INDUSTRY</v>
          </cell>
          <cell r="I5525" t="str">
            <v>W1</v>
          </cell>
          <cell r="J5525" t="str">
            <v>WOOD COATINGS</v>
          </cell>
          <cell r="K5525" t="str">
            <v>W102</v>
          </cell>
          <cell r="L5525" t="str">
            <v>MELAMINE</v>
          </cell>
          <cell r="M5525" t="str">
            <v>W10201</v>
          </cell>
          <cell r="N5525" t="str">
            <v>MELAMINE SYSTEM</v>
          </cell>
        </row>
        <row r="5526">
          <cell r="C5526" t="str">
            <v>170001724</v>
          </cell>
          <cell r="D5526" t="str">
            <v>PRCC-20310 POLYESTER VARNISH HG-200KK</v>
          </cell>
          <cell r="E5526" t="str">
            <v>ZTRD</v>
          </cell>
          <cell r="F5526" t="str">
            <v>PC</v>
          </cell>
          <cell r="G5526" t="str">
            <v>W</v>
          </cell>
          <cell r="H5526" t="str">
            <v>TRD INDUSTRY</v>
          </cell>
          <cell r="I5526" t="str">
            <v>W2</v>
          </cell>
          <cell r="J5526" t="str">
            <v>CAN COATINGS</v>
          </cell>
          <cell r="K5526" t="str">
            <v>W201</v>
          </cell>
          <cell r="L5526" t="str">
            <v>CAN COATINGS</v>
          </cell>
          <cell r="M5526" t="str">
            <v>W20101</v>
          </cell>
          <cell r="N5526" t="str">
            <v>CAN COATINGS</v>
          </cell>
        </row>
        <row r="5527">
          <cell r="C5527" t="str">
            <v>170001725</v>
          </cell>
          <cell r="D5527" t="str">
            <v>CBP-31301 WHITE MEDOME-25KP</v>
          </cell>
          <cell r="E5527" t="str">
            <v>ZTRD</v>
          </cell>
          <cell r="F5527" t="str">
            <v>PC</v>
          </cell>
          <cell r="G5527" t="str">
            <v>W</v>
          </cell>
          <cell r="H5527" t="str">
            <v>TRD INDUSTRY</v>
          </cell>
          <cell r="I5527" t="str">
            <v>W1</v>
          </cell>
          <cell r="J5527" t="str">
            <v>WOOD COATINGS</v>
          </cell>
          <cell r="K5527" t="str">
            <v>W106</v>
          </cell>
          <cell r="L5527" t="str">
            <v>UV</v>
          </cell>
          <cell r="M5527" t="str">
            <v>W10604</v>
          </cell>
          <cell r="N5527" t="str">
            <v>UV PRIMER</v>
          </cell>
        </row>
        <row r="5528">
          <cell r="C5528" t="str">
            <v>170001726</v>
          </cell>
          <cell r="D5528" t="str">
            <v>CBP-31301 WHITE NAKANURI-25KP</v>
          </cell>
          <cell r="E5528" t="str">
            <v>ZTRD</v>
          </cell>
          <cell r="F5528" t="str">
            <v>PC</v>
          </cell>
          <cell r="G5528" t="str">
            <v>W</v>
          </cell>
          <cell r="H5528" t="str">
            <v>TRD INDUSTRY</v>
          </cell>
          <cell r="I5528" t="str">
            <v>W1</v>
          </cell>
          <cell r="J5528" t="str">
            <v>WOOD COATINGS</v>
          </cell>
          <cell r="K5528" t="str">
            <v>W106</v>
          </cell>
          <cell r="L5528" t="str">
            <v>UV</v>
          </cell>
          <cell r="M5528" t="str">
            <v>W10604</v>
          </cell>
          <cell r="N5528" t="str">
            <v>UV PRIMER</v>
          </cell>
        </row>
        <row r="5529">
          <cell r="C5529" t="str">
            <v>170001728</v>
          </cell>
          <cell r="D5529" t="str">
            <v>WBL-63222 EX RC LIGHT BROWN V-200KB</v>
          </cell>
          <cell r="E5529" t="str">
            <v>ZTRD</v>
          </cell>
          <cell r="F5529" t="str">
            <v>PC</v>
          </cell>
          <cell r="G5529" t="str">
            <v>W</v>
          </cell>
          <cell r="H5529" t="str">
            <v>TRD INDUSTRY</v>
          </cell>
          <cell r="I5529" t="str">
            <v>W1</v>
          </cell>
          <cell r="J5529" t="str">
            <v>WOOD COATINGS</v>
          </cell>
          <cell r="K5529" t="str">
            <v>W119</v>
          </cell>
          <cell r="L5529" t="str">
            <v>WATERBASED</v>
          </cell>
          <cell r="M5529" t="str">
            <v>W11901</v>
          </cell>
          <cell r="N5529" t="str">
            <v>WATERBASED SYSTEM EXTERIOR</v>
          </cell>
        </row>
        <row r="5530">
          <cell r="C5530" t="str">
            <v>170001729</v>
          </cell>
          <cell r="D5530" t="str">
            <v>WBL-63222 EX LIGHT BROWN V 08-200KB</v>
          </cell>
          <cell r="E5530" t="str">
            <v>ZTRD</v>
          </cell>
          <cell r="F5530" t="str">
            <v>PC</v>
          </cell>
          <cell r="G5530" t="str">
            <v>W</v>
          </cell>
          <cell r="H5530" t="str">
            <v>TRD INDUSTRY</v>
          </cell>
          <cell r="I5530" t="str">
            <v>W1</v>
          </cell>
          <cell r="J5530" t="str">
            <v>WOOD COATINGS</v>
          </cell>
          <cell r="K5530" t="str">
            <v>W119</v>
          </cell>
          <cell r="L5530" t="str">
            <v>WATERBASED</v>
          </cell>
          <cell r="M5530" t="str">
            <v>W11901</v>
          </cell>
          <cell r="N5530" t="str">
            <v>WATERBASED SYSTEM EXTERIOR</v>
          </cell>
        </row>
        <row r="5531">
          <cell r="C5531" t="str">
            <v>170001734</v>
          </cell>
          <cell r="D5531" t="str">
            <v>GZ-12200 CLEAR BASE-20LP</v>
          </cell>
          <cell r="E5531" t="str">
            <v>ZTRD</v>
          </cell>
          <cell r="F5531" t="str">
            <v>PC</v>
          </cell>
          <cell r="G5531" t="str">
            <v>W</v>
          </cell>
          <cell r="H5531" t="str">
            <v>TRD INDUSTRY</v>
          </cell>
          <cell r="I5531" t="str">
            <v>W1</v>
          </cell>
          <cell r="J5531" t="str">
            <v>WOOD COATINGS</v>
          </cell>
          <cell r="K5531" t="str">
            <v>W109</v>
          </cell>
          <cell r="L5531" t="str">
            <v>STAIN &amp; GLAZE INTERIOR</v>
          </cell>
          <cell r="M5531" t="str">
            <v>W10901</v>
          </cell>
          <cell r="N5531" t="str">
            <v>ASOF : STAIN &amp; GLAZE</v>
          </cell>
        </row>
        <row r="5532">
          <cell r="C5532" t="str">
            <v>170001735</v>
          </cell>
          <cell r="D5532" t="str">
            <v>GZ-12200 VAN DICK BRO-20LP</v>
          </cell>
          <cell r="E5532" t="str">
            <v>ZTRD</v>
          </cell>
          <cell r="F5532" t="str">
            <v>PC</v>
          </cell>
          <cell r="G5532" t="str">
            <v>W</v>
          </cell>
          <cell r="H5532" t="str">
            <v>TRD INDUSTRY</v>
          </cell>
          <cell r="I5532" t="str">
            <v>W1</v>
          </cell>
          <cell r="J5532" t="str">
            <v>WOOD COATINGS</v>
          </cell>
          <cell r="K5532" t="str">
            <v>W109</v>
          </cell>
          <cell r="L5532" t="str">
            <v>STAIN &amp; GLAZE INTERIOR</v>
          </cell>
          <cell r="M5532" t="str">
            <v>W10901</v>
          </cell>
          <cell r="N5532" t="str">
            <v>ASOF : STAIN &amp; GLAZE</v>
          </cell>
        </row>
        <row r="5533">
          <cell r="C5533" t="str">
            <v>170001736</v>
          </cell>
          <cell r="D5533" t="str">
            <v>GZ-12200 BLACK-20LP</v>
          </cell>
          <cell r="E5533" t="str">
            <v>ZTRD</v>
          </cell>
          <cell r="F5533" t="str">
            <v>PC</v>
          </cell>
          <cell r="G5533" t="str">
            <v>W</v>
          </cell>
          <cell r="H5533" t="str">
            <v>TRD INDUSTRY</v>
          </cell>
          <cell r="I5533" t="str">
            <v>W1</v>
          </cell>
          <cell r="J5533" t="str">
            <v>WOOD COATINGS</v>
          </cell>
          <cell r="K5533" t="str">
            <v>W109</v>
          </cell>
          <cell r="L5533" t="str">
            <v>STAIN &amp; GLAZE INTERIOR</v>
          </cell>
          <cell r="M5533" t="str">
            <v>W10901</v>
          </cell>
          <cell r="N5533" t="str">
            <v>ASOF : STAIN &amp; GLAZE</v>
          </cell>
        </row>
        <row r="5534">
          <cell r="C5534" t="str">
            <v>170001737</v>
          </cell>
          <cell r="D5534" t="str">
            <v>UVP-60101 NM BLACK-20KP</v>
          </cell>
          <cell r="E5534" t="str">
            <v>ZTRD</v>
          </cell>
          <cell r="F5534" t="str">
            <v>PC</v>
          </cell>
          <cell r="G5534" t="str">
            <v>W</v>
          </cell>
          <cell r="H5534" t="str">
            <v>TRD INDUSTRY</v>
          </cell>
          <cell r="I5534" t="str">
            <v>W1</v>
          </cell>
          <cell r="J5534" t="str">
            <v>WOOD COATINGS</v>
          </cell>
          <cell r="K5534" t="str">
            <v>W106</v>
          </cell>
          <cell r="L5534" t="str">
            <v>UV</v>
          </cell>
          <cell r="M5534" t="str">
            <v>W10604</v>
          </cell>
          <cell r="N5534" t="str">
            <v>UV PRIMER</v>
          </cell>
        </row>
        <row r="5535">
          <cell r="C5535" t="str">
            <v>170001748</v>
          </cell>
          <cell r="D5535" t="str">
            <v>GZWB-21408 BLACK-20KP</v>
          </cell>
          <cell r="E5535" t="str">
            <v>ZTRD</v>
          </cell>
          <cell r="F5535" t="str">
            <v>PC</v>
          </cell>
          <cell r="G5535" t="str">
            <v>W</v>
          </cell>
          <cell r="H5535" t="str">
            <v>TRD INDUSTRY</v>
          </cell>
          <cell r="I5535" t="str">
            <v>W1</v>
          </cell>
          <cell r="J5535" t="str">
            <v>WOOD COATINGS</v>
          </cell>
          <cell r="K5535" t="str">
            <v>W119</v>
          </cell>
          <cell r="L5535" t="str">
            <v>WATERBASED</v>
          </cell>
          <cell r="M5535" t="str">
            <v>W11902</v>
          </cell>
          <cell r="N5535" t="str">
            <v>WATERBASED SYSTEM INTERIOR</v>
          </cell>
        </row>
        <row r="5536">
          <cell r="C5536" t="str">
            <v>830000049</v>
          </cell>
          <cell r="D5536" t="str">
            <v>#NUSST-11100 109 DB VN</v>
          </cell>
          <cell r="E5536" t="str">
            <v>ZNSS</v>
          </cell>
          <cell r="F5536" t="str">
            <v>KG</v>
          </cell>
          <cell r="G5536" t="str">
            <v>1</v>
          </cell>
          <cell r="H5536" t="str">
            <v>INDUSTRY</v>
          </cell>
          <cell r="I5536" t="str">
            <v>11</v>
          </cell>
          <cell r="J5536" t="str">
            <v>WOOD COATINGS</v>
          </cell>
          <cell r="K5536" t="str">
            <v>1109</v>
          </cell>
          <cell r="L5536" t="str">
            <v>STAIN &amp; GLAZE INTERIOR</v>
          </cell>
          <cell r="M5536" t="str">
            <v>110903</v>
          </cell>
          <cell r="N5536" t="str">
            <v>STAIN INTERIOR</v>
          </cell>
        </row>
        <row r="5537">
          <cell r="C5537" t="str">
            <v>850000025</v>
          </cell>
          <cell r="D5537" t="str">
            <v>#NUPUP-52141 BLACK GM VN-20KP</v>
          </cell>
          <cell r="E5537" t="str">
            <v>ZNSF</v>
          </cell>
          <cell r="F5537" t="str">
            <v>PC</v>
          </cell>
          <cell r="G5537" t="str">
            <v>1</v>
          </cell>
          <cell r="H5537" t="str">
            <v>INDUSTRY</v>
          </cell>
          <cell r="I5537" t="str">
            <v>11</v>
          </cell>
          <cell r="J5537" t="str">
            <v>WOOD COATINGS</v>
          </cell>
          <cell r="K5537" t="str">
            <v>1103</v>
          </cell>
          <cell r="L5537" t="str">
            <v>PU</v>
          </cell>
          <cell r="M5537" t="str">
            <v>110304</v>
          </cell>
          <cell r="N5537" t="str">
            <v>PU SYSTEM</v>
          </cell>
        </row>
        <row r="5538">
          <cell r="C5538" t="str">
            <v>850000028</v>
          </cell>
          <cell r="D5538" t="str">
            <v>#NUPUC-52241 BLACK 30 GM VN-20KP</v>
          </cell>
          <cell r="E5538" t="str">
            <v>ZNSF</v>
          </cell>
          <cell r="F5538" t="str">
            <v>PC</v>
          </cell>
          <cell r="G5538" t="str">
            <v>1</v>
          </cell>
          <cell r="H5538" t="str">
            <v>INDUSTRY</v>
          </cell>
          <cell r="I5538" t="str">
            <v>11</v>
          </cell>
          <cell r="J5538" t="str">
            <v>WOOD COATINGS</v>
          </cell>
          <cell r="K5538" t="str">
            <v>1103</v>
          </cell>
          <cell r="L5538" t="str">
            <v>PU</v>
          </cell>
          <cell r="M5538" t="str">
            <v>110304</v>
          </cell>
          <cell r="N5538" t="str">
            <v>PU SYSTEM</v>
          </cell>
        </row>
        <row r="5539">
          <cell r="C5539" t="str">
            <v>850000032</v>
          </cell>
          <cell r="D5539" t="str">
            <v>#NUSST-11100 237 TL VN-20LJ</v>
          </cell>
          <cell r="E5539" t="str">
            <v>ZNSF</v>
          </cell>
          <cell r="F5539" t="str">
            <v>PC</v>
          </cell>
          <cell r="G5539" t="str">
            <v>1</v>
          </cell>
          <cell r="H5539" t="str">
            <v>INDUSTRY</v>
          </cell>
          <cell r="I5539" t="str">
            <v>11</v>
          </cell>
          <cell r="J5539" t="str">
            <v>WOOD COATINGS</v>
          </cell>
          <cell r="K5539" t="str">
            <v>1109</v>
          </cell>
          <cell r="L5539" t="str">
            <v>STAIN &amp; GLAZE INTERIOR</v>
          </cell>
          <cell r="M5539" t="str">
            <v>110903</v>
          </cell>
          <cell r="N5539" t="str">
            <v>STAIN INTERIOR</v>
          </cell>
        </row>
        <row r="5540">
          <cell r="C5540" t="str">
            <v>850000033</v>
          </cell>
          <cell r="D5540" t="str">
            <v>#NUSST-11100 109 DB VN-20LJ</v>
          </cell>
          <cell r="E5540" t="str">
            <v>ZNSF</v>
          </cell>
          <cell r="F5540" t="str">
            <v>PC</v>
          </cell>
          <cell r="G5540" t="str">
            <v>1</v>
          </cell>
          <cell r="H5540" t="str">
            <v>INDUSTRY</v>
          </cell>
          <cell r="I5540" t="str">
            <v>11</v>
          </cell>
          <cell r="J5540" t="str">
            <v>WOOD COATINGS</v>
          </cell>
          <cell r="K5540" t="str">
            <v>1109</v>
          </cell>
          <cell r="L5540" t="str">
            <v>STAIN &amp; GLAZE INTERIOR</v>
          </cell>
          <cell r="M5540" t="str">
            <v>110903</v>
          </cell>
          <cell r="N5540" t="str">
            <v>STAIN INTERIOR</v>
          </cell>
        </row>
        <row r="5541">
          <cell r="C5541" t="str">
            <v>850000034</v>
          </cell>
          <cell r="D5541" t="str">
            <v>#NUPUP-54106 AC EX L48 DB VN-20KP</v>
          </cell>
          <cell r="E5541" t="str">
            <v>ZNSF</v>
          </cell>
          <cell r="F5541" t="str">
            <v>PC</v>
          </cell>
          <cell r="G5541" t="str">
            <v>1</v>
          </cell>
          <cell r="H5541" t="str">
            <v>INDUSTRY</v>
          </cell>
          <cell r="I5541" t="str">
            <v>11</v>
          </cell>
          <cell r="J5541" t="str">
            <v>WOOD COATINGS</v>
          </cell>
          <cell r="K5541" t="str">
            <v>1103</v>
          </cell>
          <cell r="L5541" t="str">
            <v>PU</v>
          </cell>
          <cell r="M5541" t="str">
            <v>110304</v>
          </cell>
          <cell r="N5541" t="str">
            <v>PU SYSTEM</v>
          </cell>
        </row>
        <row r="5542">
          <cell r="C5542" t="str">
            <v>850000035</v>
          </cell>
          <cell r="D5542" t="str">
            <v>#NUPUP-54106 AC EX L45 DB VN-20KP</v>
          </cell>
          <cell r="E5542" t="str">
            <v>ZNSF</v>
          </cell>
          <cell r="F5542" t="str">
            <v>PC</v>
          </cell>
          <cell r="G5542" t="str">
            <v>1</v>
          </cell>
          <cell r="H5542" t="str">
            <v>INDUSTRY</v>
          </cell>
          <cell r="I5542" t="str">
            <v>11</v>
          </cell>
          <cell r="J5542" t="str">
            <v>WOOD COATINGS</v>
          </cell>
          <cell r="K5542" t="str">
            <v>1103</v>
          </cell>
          <cell r="L5542" t="str">
            <v>PU</v>
          </cell>
          <cell r="M5542" t="str">
            <v>110304</v>
          </cell>
          <cell r="N5542" t="str">
            <v>PU SYSTEM</v>
          </cell>
        </row>
        <row r="5543">
          <cell r="C5543" t="str">
            <v>850000036</v>
          </cell>
          <cell r="D5543" t="str">
            <v>#NUPUP-54106 AC EX L50 DB VN-20KP</v>
          </cell>
          <cell r="E5543" t="str">
            <v>ZNSF</v>
          </cell>
          <cell r="F5543" t="str">
            <v>PC</v>
          </cell>
          <cell r="G5543" t="str">
            <v>1</v>
          </cell>
          <cell r="H5543" t="str">
            <v>INDUSTRY</v>
          </cell>
          <cell r="I5543" t="str">
            <v>11</v>
          </cell>
          <cell r="J5543" t="str">
            <v>WOOD COATINGS</v>
          </cell>
          <cell r="K5543" t="str">
            <v>1103</v>
          </cell>
          <cell r="L5543" t="str">
            <v>PU</v>
          </cell>
          <cell r="M5543" t="str">
            <v>110304</v>
          </cell>
          <cell r="N5543" t="str">
            <v>PU SYSTEM</v>
          </cell>
        </row>
        <row r="5544">
          <cell r="C5544" t="str">
            <v>850000037</v>
          </cell>
          <cell r="D5544" t="str">
            <v>#NUPUP-54106 AC EX L47 DB VN-20KP</v>
          </cell>
          <cell r="E5544" t="str">
            <v>ZNSF</v>
          </cell>
          <cell r="F5544" t="str">
            <v>PC</v>
          </cell>
          <cell r="G5544" t="str">
            <v>1</v>
          </cell>
          <cell r="H5544" t="str">
            <v>INDUSTRY</v>
          </cell>
          <cell r="I5544" t="str">
            <v>11</v>
          </cell>
          <cell r="J5544" t="str">
            <v>WOOD COATINGS</v>
          </cell>
          <cell r="K5544" t="str">
            <v>1103</v>
          </cell>
          <cell r="L5544" t="str">
            <v>PU</v>
          </cell>
          <cell r="M5544" t="str">
            <v>110304</v>
          </cell>
          <cell r="N5544" t="str">
            <v>PU SYSTEM</v>
          </cell>
        </row>
        <row r="5545">
          <cell r="C5545" t="str">
            <v>850000041</v>
          </cell>
          <cell r="D5545" t="str">
            <v>#NUSST-11100 874C DB VN-20LJ</v>
          </cell>
          <cell r="E5545" t="str">
            <v>ZNSF</v>
          </cell>
          <cell r="F5545" t="str">
            <v>PC</v>
          </cell>
          <cell r="G5545" t="str">
            <v>1</v>
          </cell>
          <cell r="H5545" t="str">
            <v>INDUSTRY</v>
          </cell>
          <cell r="I5545" t="str">
            <v>11</v>
          </cell>
          <cell r="J5545" t="str">
            <v>WOOD COATINGS</v>
          </cell>
          <cell r="K5545" t="str">
            <v>1109</v>
          </cell>
          <cell r="L5545" t="str">
            <v>STAIN &amp; GLAZE INTERIOR</v>
          </cell>
          <cell r="M5545" t="str">
            <v>110903</v>
          </cell>
          <cell r="N5545" t="str">
            <v>STAIN INTERIOR</v>
          </cell>
        </row>
        <row r="5546">
          <cell r="C5546" t="str">
            <v>850000042</v>
          </cell>
          <cell r="D5546" t="str">
            <v>#NUPUP-54106 AC EX L46 DB VN-20KP</v>
          </cell>
          <cell r="E5546" t="str">
            <v>ZNSF</v>
          </cell>
          <cell r="F5546" t="str">
            <v>PC</v>
          </cell>
          <cell r="G5546" t="str">
            <v>1</v>
          </cell>
          <cell r="H5546" t="str">
            <v>INDUSTRY</v>
          </cell>
          <cell r="I5546" t="str">
            <v>11</v>
          </cell>
          <cell r="J5546" t="str">
            <v>WOOD COATINGS</v>
          </cell>
          <cell r="K5546" t="str">
            <v>1103</v>
          </cell>
          <cell r="L5546" t="str">
            <v>PU</v>
          </cell>
          <cell r="M5546" t="str">
            <v>110304</v>
          </cell>
          <cell r="N5546" t="str">
            <v>PU SYSTEM</v>
          </cell>
        </row>
        <row r="5547">
          <cell r="C5547" t="str">
            <v>850000046</v>
          </cell>
          <cell r="D5547" t="str">
            <v>#NUPUC-54205 AC MRPARK06 10 CP VN-20KP</v>
          </cell>
          <cell r="E5547" t="str">
            <v>ZNSF</v>
          </cell>
          <cell r="F5547" t="str">
            <v>PC</v>
          </cell>
          <cell r="G5547" t="str">
            <v>1</v>
          </cell>
          <cell r="H5547" t="str">
            <v>INDUSTRY</v>
          </cell>
          <cell r="I5547" t="str">
            <v>11</v>
          </cell>
          <cell r="J5547" t="str">
            <v>WOOD COATINGS</v>
          </cell>
          <cell r="K5547" t="str">
            <v>1103</v>
          </cell>
          <cell r="L5547" t="str">
            <v>PU</v>
          </cell>
          <cell r="M5547" t="str">
            <v>110304</v>
          </cell>
          <cell r="N5547" t="str">
            <v>PU SYSTEM</v>
          </cell>
        </row>
        <row r="5548">
          <cell r="C5548" t="str">
            <v>850000047</v>
          </cell>
          <cell r="D5548" t="str">
            <v>#NUPUC-54205 AC FL1 01 90 TR VN-20KP</v>
          </cell>
          <cell r="E5548" t="str">
            <v>ZNSF</v>
          </cell>
          <cell r="F5548" t="str">
            <v>PC</v>
          </cell>
          <cell r="G5548" t="str">
            <v>1</v>
          </cell>
          <cell r="H5548" t="str">
            <v>INDUSTRY</v>
          </cell>
          <cell r="I5548" t="str">
            <v>11</v>
          </cell>
          <cell r="J5548" t="str">
            <v>WOOD COATINGS</v>
          </cell>
          <cell r="K5548" t="str">
            <v>1103</v>
          </cell>
          <cell r="L5548" t="str">
            <v>PU</v>
          </cell>
          <cell r="M5548" t="str">
            <v>110304</v>
          </cell>
          <cell r="N5548" t="str">
            <v>PU SYSTEM</v>
          </cell>
        </row>
        <row r="5549">
          <cell r="C5549" t="str">
            <v>850000048</v>
          </cell>
          <cell r="D5549" t="str">
            <v>#NUPUC-54205 AC SVT 02 40 TR VN-20 KP</v>
          </cell>
          <cell r="E5549" t="str">
            <v>ZNSF</v>
          </cell>
          <cell r="F5549" t="str">
            <v>PC</v>
          </cell>
          <cell r="G5549" t="str">
            <v>1</v>
          </cell>
          <cell r="H5549" t="str">
            <v>INDUSTRY</v>
          </cell>
          <cell r="I5549" t="str">
            <v>11</v>
          </cell>
          <cell r="J5549" t="str">
            <v>WOOD COATINGS</v>
          </cell>
          <cell r="K5549" t="str">
            <v>1103</v>
          </cell>
          <cell r="L5549" t="str">
            <v>PU</v>
          </cell>
          <cell r="M5549" t="str">
            <v>110304</v>
          </cell>
          <cell r="N5549" t="str">
            <v>PU SYSTEM</v>
          </cell>
        </row>
        <row r="5550">
          <cell r="C5550" t="str">
            <v>850000050</v>
          </cell>
          <cell r="D5550" t="str">
            <v>#NUPUC-54205 AC T1700 70 KD VN-20KP</v>
          </cell>
          <cell r="E5550" t="str">
            <v>ZNSF</v>
          </cell>
          <cell r="F5550" t="str">
            <v>PC</v>
          </cell>
          <cell r="G5550" t="str">
            <v>1</v>
          </cell>
          <cell r="H5550" t="str">
            <v>INDUSTRY</v>
          </cell>
          <cell r="I5550" t="str">
            <v>11</v>
          </cell>
          <cell r="J5550" t="str">
            <v>WOOD COATINGS</v>
          </cell>
          <cell r="K5550" t="str">
            <v>1103</v>
          </cell>
          <cell r="L5550" t="str">
            <v>PU</v>
          </cell>
          <cell r="M5550" t="str">
            <v>110304</v>
          </cell>
          <cell r="N5550" t="str">
            <v>PU SYSTEM</v>
          </cell>
        </row>
        <row r="5551">
          <cell r="C5551" t="str">
            <v>850000053</v>
          </cell>
          <cell r="D5551" t="str">
            <v>#NUPUC-54206 AC EX MRPARK05 10 CPVN-20KP</v>
          </cell>
          <cell r="E5551" t="str">
            <v>ZNSF</v>
          </cell>
          <cell r="F5551" t="str">
            <v>PC</v>
          </cell>
          <cell r="G5551" t="str">
            <v>1</v>
          </cell>
          <cell r="H5551" t="str">
            <v>INDUSTRY</v>
          </cell>
          <cell r="I5551" t="str">
            <v>11</v>
          </cell>
          <cell r="J5551" t="str">
            <v>WOOD COATINGS</v>
          </cell>
          <cell r="K5551" t="str">
            <v>1103</v>
          </cell>
          <cell r="L5551" t="str">
            <v>PU</v>
          </cell>
          <cell r="M5551" t="str">
            <v>110304</v>
          </cell>
          <cell r="N5551" t="str">
            <v>PU SYSTEM</v>
          </cell>
        </row>
        <row r="5552">
          <cell r="C5552" t="str">
            <v>850000054</v>
          </cell>
          <cell r="D5552" t="str">
            <v>#NUPCA-31100 WD6 TL VN-20LJ</v>
          </cell>
          <cell r="E5552" t="str">
            <v>ZNSF</v>
          </cell>
          <cell r="F5552" t="str">
            <v>PC</v>
          </cell>
          <cell r="G5552" t="str">
            <v>1</v>
          </cell>
          <cell r="H5552" t="str">
            <v>INDUSTRY</v>
          </cell>
          <cell r="I5552" t="str">
            <v>11</v>
          </cell>
          <cell r="J5552" t="str">
            <v>WOOD COATINGS</v>
          </cell>
          <cell r="K5552" t="str">
            <v>1113</v>
          </cell>
          <cell r="L5552" t="str">
            <v>LAIN-LAIN WF I</v>
          </cell>
          <cell r="M5552" t="str">
            <v>111305</v>
          </cell>
          <cell r="N5552" t="str">
            <v>PASTA</v>
          </cell>
        </row>
        <row r="5553">
          <cell r="C5553" t="str">
            <v>850000055</v>
          </cell>
          <cell r="D5553" t="str">
            <v>#NUSST-11100 WD3 1A TL VN-20LJ</v>
          </cell>
          <cell r="E5553" t="str">
            <v>ZNSF</v>
          </cell>
          <cell r="F5553" t="str">
            <v>PC</v>
          </cell>
          <cell r="G5553" t="str">
            <v>1</v>
          </cell>
          <cell r="H5553" t="str">
            <v>INDUSTRY</v>
          </cell>
          <cell r="I5553" t="str">
            <v>11</v>
          </cell>
          <cell r="J5553" t="str">
            <v>WOOD COATINGS</v>
          </cell>
          <cell r="K5553" t="str">
            <v>1109</v>
          </cell>
          <cell r="L5553" t="str">
            <v>STAIN &amp; GLAZE INTERIOR</v>
          </cell>
          <cell r="M5553" t="str">
            <v>110903</v>
          </cell>
          <cell r="N5553" t="str">
            <v>STAIN INTERIOR</v>
          </cell>
        </row>
        <row r="5554">
          <cell r="C5554" t="str">
            <v>850000056</v>
          </cell>
          <cell r="D5554" t="str">
            <v>#NUPCA-31100 WD3 1B TL VN-20LJ</v>
          </cell>
          <cell r="E5554" t="str">
            <v>ZNSF</v>
          </cell>
          <cell r="F5554" t="str">
            <v>PC</v>
          </cell>
          <cell r="G5554" t="str">
            <v>1</v>
          </cell>
          <cell r="H5554" t="str">
            <v>INDUSTRY</v>
          </cell>
          <cell r="I5554" t="str">
            <v>11</v>
          </cell>
          <cell r="J5554" t="str">
            <v>WOOD COATINGS</v>
          </cell>
          <cell r="K5554" t="str">
            <v>1113</v>
          </cell>
          <cell r="L5554" t="str">
            <v>LAIN-LAIN WF I</v>
          </cell>
          <cell r="M5554" t="str">
            <v>111305</v>
          </cell>
          <cell r="N5554" t="str">
            <v>PASTA</v>
          </cell>
        </row>
        <row r="5555">
          <cell r="C5555" t="str">
            <v>850000058</v>
          </cell>
          <cell r="D5555" t="str">
            <v>#NUPCA-31100 WD4 TL VN-20LJ</v>
          </cell>
          <cell r="E5555" t="str">
            <v>ZNSF</v>
          </cell>
          <cell r="F5555" t="str">
            <v>PC</v>
          </cell>
          <cell r="G5555" t="str">
            <v>1</v>
          </cell>
          <cell r="H5555" t="str">
            <v>INDUSTRY</v>
          </cell>
          <cell r="I5555" t="str">
            <v>11</v>
          </cell>
          <cell r="J5555" t="str">
            <v>WOOD COATINGS</v>
          </cell>
          <cell r="K5555" t="str">
            <v>1113</v>
          </cell>
          <cell r="L5555" t="str">
            <v>LAIN-LAIN WF I</v>
          </cell>
          <cell r="M5555" t="str">
            <v>111305</v>
          </cell>
          <cell r="N5555" t="str">
            <v>PASTA</v>
          </cell>
        </row>
        <row r="5556">
          <cell r="C5556" t="str">
            <v>850000059</v>
          </cell>
          <cell r="D5556" t="str">
            <v>#NU64-56 MICRO FILLER WD4 TL VN-20KP</v>
          </cell>
          <cell r="E5556" t="str">
            <v>ZNSF</v>
          </cell>
          <cell r="F5556" t="str">
            <v>PC</v>
          </cell>
          <cell r="G5556" t="str">
            <v>1</v>
          </cell>
          <cell r="H5556" t="str">
            <v>INDUSTRY</v>
          </cell>
          <cell r="I5556" t="str">
            <v>11</v>
          </cell>
          <cell r="J5556" t="str">
            <v>WOOD COATINGS</v>
          </cell>
          <cell r="K5556" t="str">
            <v>1103</v>
          </cell>
          <cell r="L5556" t="str">
            <v>PU</v>
          </cell>
          <cell r="M5556" t="str">
            <v>110305</v>
          </cell>
          <cell r="N5556" t="str">
            <v>UNION FILLER</v>
          </cell>
        </row>
        <row r="5557">
          <cell r="C5557" t="str">
            <v>850000060</v>
          </cell>
          <cell r="D5557" t="str">
            <v>#NUPUC-54205 AC VLC 01 30 TR VN-20 KP</v>
          </cell>
          <cell r="E5557" t="str">
            <v>ZNSF</v>
          </cell>
          <cell r="F5557" t="str">
            <v>PC</v>
          </cell>
          <cell r="G5557" t="str">
            <v>1</v>
          </cell>
          <cell r="H5557" t="str">
            <v>INDUSTRY</v>
          </cell>
          <cell r="I5557" t="str">
            <v>11</v>
          </cell>
          <cell r="J5557" t="str">
            <v>WOOD COATINGS</v>
          </cell>
          <cell r="K5557" t="str">
            <v>1103</v>
          </cell>
          <cell r="L5557" t="str">
            <v>PU</v>
          </cell>
          <cell r="M5557" t="str">
            <v>110304</v>
          </cell>
          <cell r="N5557" t="str">
            <v>PU SYSTEM</v>
          </cell>
        </row>
        <row r="5558">
          <cell r="C5558" t="str">
            <v>850000061</v>
          </cell>
          <cell r="D5558" t="str">
            <v>#NUPUC-54205 AC 10A 90 MK VN-20KG</v>
          </cell>
          <cell r="E5558" t="str">
            <v>ZNSF</v>
          </cell>
          <cell r="F5558" t="str">
            <v>PC</v>
          </cell>
          <cell r="G5558" t="str">
            <v>1</v>
          </cell>
          <cell r="H5558" t="str">
            <v>INDUSTRY</v>
          </cell>
          <cell r="I5558" t="str">
            <v>11</v>
          </cell>
          <cell r="J5558" t="str">
            <v>WOOD COATINGS</v>
          </cell>
          <cell r="K5558" t="str">
            <v>1103</v>
          </cell>
          <cell r="L5558" t="str">
            <v>PU</v>
          </cell>
          <cell r="M5558" t="str">
            <v>110304</v>
          </cell>
          <cell r="N5558" t="str">
            <v>PU SYSTEM</v>
          </cell>
        </row>
        <row r="5559">
          <cell r="C5559" t="str">
            <v>850000062</v>
          </cell>
          <cell r="D5559" t="str">
            <v>#NUPUC-54205 AC 10B 05 MK VN-20KG</v>
          </cell>
          <cell r="E5559" t="str">
            <v>ZNSF</v>
          </cell>
          <cell r="F5559" t="str">
            <v>PC</v>
          </cell>
          <cell r="G5559" t="str">
            <v>1</v>
          </cell>
          <cell r="H5559" t="str">
            <v>INDUSTRY</v>
          </cell>
          <cell r="I5559" t="str">
            <v>11</v>
          </cell>
          <cell r="J5559" t="str">
            <v>WOOD COATINGS</v>
          </cell>
          <cell r="K5559" t="str">
            <v>1103</v>
          </cell>
          <cell r="L5559" t="str">
            <v>PU</v>
          </cell>
          <cell r="M5559" t="str">
            <v>110304</v>
          </cell>
          <cell r="N5559" t="str">
            <v>PU SYSTEM</v>
          </cell>
        </row>
        <row r="5560">
          <cell r="C5560" t="str">
            <v>850000066</v>
          </cell>
          <cell r="D5560" t="str">
            <v>#NUPUC-52239 BLUE 20 TK VN-20KG</v>
          </cell>
          <cell r="E5560" t="str">
            <v>ZNSF</v>
          </cell>
          <cell r="F5560" t="str">
            <v>PC</v>
          </cell>
          <cell r="G5560" t="str">
            <v>1</v>
          </cell>
          <cell r="H5560" t="str">
            <v>INDUSTRY</v>
          </cell>
          <cell r="I5560" t="str">
            <v>11</v>
          </cell>
          <cell r="J5560" t="str">
            <v>WOOD COATINGS</v>
          </cell>
          <cell r="K5560" t="str">
            <v>1103</v>
          </cell>
          <cell r="L5560" t="str">
            <v>PU</v>
          </cell>
          <cell r="M5560" t="str">
            <v>110304</v>
          </cell>
          <cell r="N5560" t="str">
            <v>PU SYSTEM</v>
          </cell>
        </row>
        <row r="5561">
          <cell r="C5561" t="str">
            <v>850000067</v>
          </cell>
          <cell r="D5561" t="str">
            <v>#NUPUC-52239 PINK 20 TK VN-20KG</v>
          </cell>
          <cell r="E5561" t="str">
            <v>ZNSF</v>
          </cell>
          <cell r="F5561" t="str">
            <v>PC</v>
          </cell>
          <cell r="G5561" t="str">
            <v>1</v>
          </cell>
          <cell r="H5561" t="str">
            <v>INDUSTRY</v>
          </cell>
          <cell r="I5561" t="str">
            <v>11</v>
          </cell>
          <cell r="J5561" t="str">
            <v>WOOD COATINGS</v>
          </cell>
          <cell r="K5561" t="str">
            <v>1103</v>
          </cell>
          <cell r="L5561" t="str">
            <v>PU</v>
          </cell>
          <cell r="M5561" t="str">
            <v>110304</v>
          </cell>
          <cell r="N5561" t="str">
            <v>PU SYSTEM</v>
          </cell>
        </row>
        <row r="5562">
          <cell r="C5562" t="str">
            <v>850000069</v>
          </cell>
          <cell r="D5562" t="str">
            <v>#NUPUC-54206 AC GLASS BLK 10 VN-16KP</v>
          </cell>
          <cell r="E5562" t="str">
            <v>ZNSF</v>
          </cell>
          <cell r="F5562" t="str">
            <v>PC</v>
          </cell>
          <cell r="G5562" t="str">
            <v>1</v>
          </cell>
          <cell r="H5562" t="str">
            <v>INDUSTRY</v>
          </cell>
          <cell r="I5562" t="str">
            <v>11</v>
          </cell>
          <cell r="J5562" t="str">
            <v>WOOD COATINGS</v>
          </cell>
          <cell r="K5562" t="str">
            <v>1103</v>
          </cell>
          <cell r="L5562" t="str">
            <v>PU</v>
          </cell>
          <cell r="M5562" t="str">
            <v>110304</v>
          </cell>
          <cell r="N5562" t="str">
            <v>PU SYSTEM</v>
          </cell>
        </row>
        <row r="5563">
          <cell r="C5563" t="str">
            <v>850000070</v>
          </cell>
          <cell r="D5563" t="str">
            <v>#NUSST-11100 PCF 54 PF VN-20LJ</v>
          </cell>
          <cell r="E5563" t="str">
            <v>ZNSF</v>
          </cell>
          <cell r="F5563" t="str">
            <v>PC</v>
          </cell>
          <cell r="G5563" t="str">
            <v>1</v>
          </cell>
          <cell r="H5563" t="str">
            <v>INDUSTRY</v>
          </cell>
          <cell r="I5563" t="str">
            <v>11</v>
          </cell>
          <cell r="J5563" t="str">
            <v>WOOD COATINGS</v>
          </cell>
          <cell r="K5563" t="str">
            <v>1109</v>
          </cell>
          <cell r="L5563" t="str">
            <v>STAIN &amp; GLAZE INTERIOR</v>
          </cell>
          <cell r="M5563" t="str">
            <v>110903</v>
          </cell>
          <cell r="N5563" t="str">
            <v>STAIN INTERIOR</v>
          </cell>
        </row>
        <row r="5564">
          <cell r="C5564" t="str">
            <v>850000071</v>
          </cell>
          <cell r="D5564" t="str">
            <v>#NU64-56 MICRO FILLER PCF 54 PF VN-20KP</v>
          </cell>
          <cell r="E5564" t="str">
            <v>ZNSF</v>
          </cell>
          <cell r="F5564" t="str">
            <v>PC</v>
          </cell>
          <cell r="G5564" t="str">
            <v>1</v>
          </cell>
          <cell r="H5564" t="str">
            <v>INDUSTRY</v>
          </cell>
          <cell r="I5564" t="str">
            <v>11</v>
          </cell>
          <cell r="J5564" t="str">
            <v>WOOD COATINGS</v>
          </cell>
          <cell r="K5564" t="str">
            <v>1103</v>
          </cell>
          <cell r="L5564" t="str">
            <v>PU</v>
          </cell>
          <cell r="M5564" t="str">
            <v>110305</v>
          </cell>
          <cell r="N5564" t="str">
            <v>UNION FILLER</v>
          </cell>
        </row>
        <row r="5565">
          <cell r="C5565" t="str">
            <v>850000072</v>
          </cell>
          <cell r="D5565" t="str">
            <v>#NUSST-11100 PCF 53 PF VN-20LJ</v>
          </cell>
          <cell r="E5565" t="str">
            <v>ZNSF</v>
          </cell>
          <cell r="F5565" t="str">
            <v>PC</v>
          </cell>
          <cell r="G5565" t="str">
            <v>1</v>
          </cell>
          <cell r="H5565" t="str">
            <v>INDUSTRY</v>
          </cell>
          <cell r="I5565" t="str">
            <v>11</v>
          </cell>
          <cell r="J5565" t="str">
            <v>WOOD COATINGS</v>
          </cell>
          <cell r="K5565" t="str">
            <v>1109</v>
          </cell>
          <cell r="L5565" t="str">
            <v>STAIN &amp; GLAZE INTERIOR</v>
          </cell>
          <cell r="M5565" t="str">
            <v>110903</v>
          </cell>
          <cell r="N5565" t="str">
            <v>STAIN INTERIOR</v>
          </cell>
        </row>
        <row r="5566">
          <cell r="C5566" t="str">
            <v>850000074</v>
          </cell>
          <cell r="D5566" t="str">
            <v>#NUPUC-52239 NAVY 20 TK VN-20KP</v>
          </cell>
          <cell r="E5566" t="str">
            <v>ZNSF</v>
          </cell>
          <cell r="F5566" t="str">
            <v>PC</v>
          </cell>
          <cell r="G5566" t="str">
            <v>1</v>
          </cell>
          <cell r="H5566" t="str">
            <v>INDUSTRY</v>
          </cell>
          <cell r="I5566" t="str">
            <v>11</v>
          </cell>
          <cell r="J5566" t="str">
            <v>WOOD COATINGS</v>
          </cell>
          <cell r="K5566" t="str">
            <v>1103</v>
          </cell>
          <cell r="L5566" t="str">
            <v>PU</v>
          </cell>
          <cell r="M5566" t="str">
            <v>110304</v>
          </cell>
          <cell r="N5566" t="str">
            <v>PU SYSTEM</v>
          </cell>
        </row>
        <row r="5567">
          <cell r="C5567" t="str">
            <v>850000090</v>
          </cell>
          <cell r="D5567" t="str">
            <v>#NUGZWB-21408 01 QM VN-20KP</v>
          </cell>
          <cell r="E5567" t="str">
            <v>ZNSF</v>
          </cell>
          <cell r="F5567" t="str">
            <v>PC</v>
          </cell>
          <cell r="G5567" t="str">
            <v>1</v>
          </cell>
          <cell r="H5567" t="str">
            <v>INDUSTRY</v>
          </cell>
          <cell r="I5567" t="str">
            <v>11</v>
          </cell>
          <cell r="J5567" t="str">
            <v>WOOD COATINGS</v>
          </cell>
          <cell r="K5567" t="str">
            <v>1106</v>
          </cell>
          <cell r="L5567" t="str">
            <v>UV</v>
          </cell>
          <cell r="M5567" t="str">
            <v>110606</v>
          </cell>
          <cell r="N5567" t="str">
            <v>UV STAIN</v>
          </cell>
        </row>
        <row r="5568">
          <cell r="C5568" t="str">
            <v>850000100</v>
          </cell>
          <cell r="D5568" t="str">
            <v>#NUPCA-31100 WD3 2A TL VN-20LJ</v>
          </cell>
          <cell r="E5568" t="str">
            <v>ZNSF</v>
          </cell>
          <cell r="F5568" t="str">
            <v>PC</v>
          </cell>
          <cell r="G5568" t="str">
            <v>1</v>
          </cell>
          <cell r="H5568" t="str">
            <v>INDUSTRY</v>
          </cell>
          <cell r="I5568" t="str">
            <v>11</v>
          </cell>
          <cell r="J5568" t="str">
            <v>WOOD COATINGS</v>
          </cell>
          <cell r="K5568" t="str">
            <v>1113</v>
          </cell>
          <cell r="L5568" t="str">
            <v>LAIN-LAIN WF I</v>
          </cell>
          <cell r="M5568" t="str">
            <v>111305</v>
          </cell>
          <cell r="N5568" t="str">
            <v>PASTA</v>
          </cell>
        </row>
        <row r="5569">
          <cell r="C5569" t="str">
            <v>850000101</v>
          </cell>
          <cell r="D5569" t="str">
            <v>#NUPCA-31100 WD3 2B TL VN-20LJ</v>
          </cell>
          <cell r="E5569" t="str">
            <v>ZNSF</v>
          </cell>
          <cell r="F5569" t="str">
            <v>PC</v>
          </cell>
          <cell r="G5569" t="str">
            <v>1</v>
          </cell>
          <cell r="H5569" t="str">
            <v>INDUSTRY</v>
          </cell>
          <cell r="I5569" t="str">
            <v>11</v>
          </cell>
          <cell r="J5569" t="str">
            <v>WOOD COATINGS</v>
          </cell>
          <cell r="K5569" t="str">
            <v>1113</v>
          </cell>
          <cell r="L5569" t="str">
            <v>LAIN-LAIN WF I</v>
          </cell>
          <cell r="M5569" t="str">
            <v>111305</v>
          </cell>
          <cell r="N5569" t="str">
            <v>PASTA</v>
          </cell>
        </row>
        <row r="5570">
          <cell r="C5570" t="str">
            <v>850000110</v>
          </cell>
          <cell r="D5570" t="str">
            <v>#NUPCA-31100 WD2 TL VN-20LJ</v>
          </cell>
          <cell r="E5570" t="str">
            <v>ZNSF</v>
          </cell>
          <cell r="F5570" t="str">
            <v>PC</v>
          </cell>
          <cell r="G5570" t="str">
            <v>1</v>
          </cell>
          <cell r="H5570" t="str">
            <v>INDUSTRY</v>
          </cell>
          <cell r="I5570" t="str">
            <v>11</v>
          </cell>
          <cell r="J5570" t="str">
            <v>WOOD COATINGS</v>
          </cell>
          <cell r="K5570" t="str">
            <v>1113</v>
          </cell>
          <cell r="L5570" t="str">
            <v>LAIN-LAIN WF I</v>
          </cell>
          <cell r="M5570" t="str">
            <v>111305</v>
          </cell>
          <cell r="N5570" t="str">
            <v>PASTA</v>
          </cell>
        </row>
        <row r="5571">
          <cell r="C5571" t="str">
            <v>850000112</v>
          </cell>
          <cell r="D5571" t="str">
            <v>#NUPUC-54205 AC PP WHITE 10 SC VN-20KP</v>
          </cell>
          <cell r="E5571" t="str">
            <v>ZNSF</v>
          </cell>
          <cell r="F5571" t="str">
            <v>PC</v>
          </cell>
          <cell r="G5571" t="str">
            <v>1</v>
          </cell>
          <cell r="H5571" t="str">
            <v>INDUSTRY</v>
          </cell>
          <cell r="I5571" t="str">
            <v>11</v>
          </cell>
          <cell r="J5571" t="str">
            <v>WOOD COATINGS</v>
          </cell>
          <cell r="K5571" t="str">
            <v>1103</v>
          </cell>
          <cell r="L5571" t="str">
            <v>PU</v>
          </cell>
          <cell r="M5571" t="str">
            <v>110304</v>
          </cell>
          <cell r="N5571" t="str">
            <v>PU SYSTEM</v>
          </cell>
        </row>
        <row r="5572">
          <cell r="C5572" t="str">
            <v>850000115</v>
          </cell>
          <cell r="D5572" t="str">
            <v>#NUPCWB-31600 KDW KI VN-1K</v>
          </cell>
          <cell r="E5572" t="str">
            <v>ZNSF</v>
          </cell>
          <cell r="F5572" t="str">
            <v>PC</v>
          </cell>
          <cell r="G5572" t="str">
            <v>1</v>
          </cell>
          <cell r="H5572" t="str">
            <v>INDUSTRY</v>
          </cell>
          <cell r="I5572" t="str">
            <v>11</v>
          </cell>
          <cell r="J5572" t="str">
            <v>WOOD COATINGS</v>
          </cell>
          <cell r="K5572" t="str">
            <v>1113</v>
          </cell>
          <cell r="L5572" t="str">
            <v>LAIN-LAIN WF I</v>
          </cell>
          <cell r="M5572" t="str">
            <v>111305</v>
          </cell>
          <cell r="N5572" t="str">
            <v>PASTA</v>
          </cell>
        </row>
        <row r="5573">
          <cell r="C5573" t="str">
            <v>850000118</v>
          </cell>
          <cell r="D5573" t="str">
            <v>#NUPUP-54106 AC EX L50 DB VN-20KP</v>
          </cell>
          <cell r="E5573" t="str">
            <v>ZNSF</v>
          </cell>
          <cell r="F5573" t="str">
            <v>PC</v>
          </cell>
          <cell r="G5573" t="str">
            <v>1</v>
          </cell>
          <cell r="H5573" t="str">
            <v>INDUSTRY</v>
          </cell>
          <cell r="I5573" t="str">
            <v>11</v>
          </cell>
          <cell r="J5573" t="str">
            <v>WOOD COATINGS</v>
          </cell>
          <cell r="K5573" t="str">
            <v>1103</v>
          </cell>
          <cell r="L5573" t="str">
            <v>PU</v>
          </cell>
          <cell r="M5573" t="str">
            <v>110304</v>
          </cell>
          <cell r="N5573" t="str">
            <v>PU SYSTEM</v>
          </cell>
        </row>
        <row r="5574">
          <cell r="C5574" t="str">
            <v>850000120</v>
          </cell>
          <cell r="D5574" t="str">
            <v>#NUPUP-54106 AC EX L51 DB VN-20KP</v>
          </cell>
          <cell r="E5574" t="str">
            <v>ZNSF</v>
          </cell>
          <cell r="F5574" t="str">
            <v>PC</v>
          </cell>
          <cell r="G5574" t="str">
            <v>1</v>
          </cell>
          <cell r="H5574" t="str">
            <v>INDUSTRY</v>
          </cell>
          <cell r="I5574" t="str">
            <v>11</v>
          </cell>
          <cell r="J5574" t="str">
            <v>WOOD COATINGS</v>
          </cell>
          <cell r="K5574" t="str">
            <v>1103</v>
          </cell>
          <cell r="L5574" t="str">
            <v>PU</v>
          </cell>
          <cell r="M5574" t="str">
            <v>110304</v>
          </cell>
          <cell r="N5574" t="str">
            <v>PU SYSTEM</v>
          </cell>
        </row>
        <row r="5575">
          <cell r="C5575" t="str">
            <v>850000122</v>
          </cell>
          <cell r="D5575" t="str">
            <v>#NUPUC-54206 AC EX PP GREY 10 SC VN-20KP</v>
          </cell>
          <cell r="E5575" t="str">
            <v>ZNSF</v>
          </cell>
          <cell r="F5575" t="str">
            <v>PC</v>
          </cell>
          <cell r="G5575" t="str">
            <v>1</v>
          </cell>
          <cell r="H5575" t="str">
            <v>INDUSTRY</v>
          </cell>
          <cell r="I5575" t="str">
            <v>11</v>
          </cell>
          <cell r="J5575" t="str">
            <v>WOOD COATINGS</v>
          </cell>
          <cell r="K5575" t="str">
            <v>1103</v>
          </cell>
          <cell r="L5575" t="str">
            <v>PU</v>
          </cell>
          <cell r="M5575" t="str">
            <v>110304</v>
          </cell>
          <cell r="N5575" t="str">
            <v>PU SYSTEM</v>
          </cell>
        </row>
        <row r="5576">
          <cell r="C5576" t="str">
            <v>850000123</v>
          </cell>
          <cell r="D5576" t="str">
            <v>#NUPUC-54205 AC GRAY JUDE 08 NS VN-20KP</v>
          </cell>
          <cell r="E5576" t="str">
            <v>ZNSF</v>
          </cell>
          <cell r="F5576" t="str">
            <v>PC</v>
          </cell>
          <cell r="G5576" t="str">
            <v>1</v>
          </cell>
          <cell r="H5576" t="str">
            <v>INDUSTRY</v>
          </cell>
          <cell r="I5576" t="str">
            <v>11</v>
          </cell>
          <cell r="J5576" t="str">
            <v>WOOD COATINGS</v>
          </cell>
          <cell r="K5576" t="str">
            <v>1103</v>
          </cell>
          <cell r="L5576" t="str">
            <v>PU</v>
          </cell>
          <cell r="M5576" t="str">
            <v>110304</v>
          </cell>
          <cell r="N5576" t="str">
            <v>PU SYSTEM</v>
          </cell>
        </row>
        <row r="5577">
          <cell r="C5577" t="str">
            <v>850000130</v>
          </cell>
          <cell r="D5577" t="str">
            <v>#NUNBC-9345 316 AK-200KB</v>
          </cell>
          <cell r="E5577" t="str">
            <v>ZNSF</v>
          </cell>
          <cell r="F5577" t="str">
            <v>PC</v>
          </cell>
          <cell r="G5577" t="str">
            <v>1</v>
          </cell>
          <cell r="H5577" t="str">
            <v>INDUSTRY</v>
          </cell>
          <cell r="I5577" t="str">
            <v>11</v>
          </cell>
          <cell r="J5577" t="str">
            <v>WOOD COATINGS</v>
          </cell>
          <cell r="K5577" t="str">
            <v>1104</v>
          </cell>
          <cell r="L5577" t="str">
            <v>NC</v>
          </cell>
          <cell r="M5577" t="str">
            <v>110403</v>
          </cell>
          <cell r="N5577" t="str">
            <v>ASOF : NC BASE COAT</v>
          </cell>
        </row>
        <row r="5578">
          <cell r="C5578" t="str">
            <v>850000131</v>
          </cell>
          <cell r="D5578" t="str">
            <v>#NUNBC-9345 716 AK-200KB</v>
          </cell>
          <cell r="E5578" t="str">
            <v>ZNSF</v>
          </cell>
          <cell r="F5578" t="str">
            <v>PC</v>
          </cell>
          <cell r="G5578" t="str">
            <v>1</v>
          </cell>
          <cell r="H5578" t="str">
            <v>INDUSTRY</v>
          </cell>
          <cell r="I5578" t="str">
            <v>11</v>
          </cell>
          <cell r="J5578" t="str">
            <v>WOOD COATINGS</v>
          </cell>
          <cell r="K5578" t="str">
            <v>1104</v>
          </cell>
          <cell r="L5578" t="str">
            <v>NC</v>
          </cell>
          <cell r="M5578" t="str">
            <v>110403</v>
          </cell>
          <cell r="N5578" t="str">
            <v>ASOF : NC BASE COAT</v>
          </cell>
        </row>
        <row r="5579">
          <cell r="C5579" t="str">
            <v>850000140</v>
          </cell>
          <cell r="D5579" t="str">
            <v>#NU64-56 MICRO FILLER BROWN DA VN-20KP</v>
          </cell>
          <cell r="E5579" t="str">
            <v>ZNSF</v>
          </cell>
          <cell r="F5579" t="str">
            <v>PC</v>
          </cell>
          <cell r="G5579" t="str">
            <v>1</v>
          </cell>
          <cell r="H5579" t="str">
            <v>INDUSTRY</v>
          </cell>
          <cell r="I5579" t="str">
            <v>11</v>
          </cell>
          <cell r="J5579" t="str">
            <v>WOOD COATINGS</v>
          </cell>
          <cell r="K5579" t="str">
            <v>1103</v>
          </cell>
          <cell r="L5579" t="str">
            <v>PU</v>
          </cell>
          <cell r="M5579" t="str">
            <v>110305</v>
          </cell>
          <cell r="N5579" t="str">
            <v>UNION FILLER</v>
          </cell>
        </row>
        <row r="5580">
          <cell r="C5580" t="str">
            <v>850000141</v>
          </cell>
          <cell r="D5580" t="str">
            <v>#NUSST-11100 CLR DA VN-20LJ</v>
          </cell>
          <cell r="E5580" t="str">
            <v>ZNSF</v>
          </cell>
          <cell r="F5580" t="str">
            <v>PC</v>
          </cell>
          <cell r="G5580" t="str">
            <v>1</v>
          </cell>
          <cell r="H5580" t="str">
            <v>INDUSTRY</v>
          </cell>
          <cell r="I5580" t="str">
            <v>11</v>
          </cell>
          <cell r="J5580" t="str">
            <v>WOOD COATINGS</v>
          </cell>
          <cell r="K5580" t="str">
            <v>1109</v>
          </cell>
          <cell r="L5580" t="str">
            <v>STAIN &amp; GLAZE INTERIOR</v>
          </cell>
          <cell r="M5580" t="str">
            <v>110903</v>
          </cell>
          <cell r="N5580" t="str">
            <v>STAIN INTERIOR</v>
          </cell>
        </row>
        <row r="5581">
          <cell r="C5581" t="str">
            <v>850000150</v>
          </cell>
          <cell r="D5581" t="str">
            <v>#NUPUC-54205 AC 122MW127 70 GE VN-20KP</v>
          </cell>
          <cell r="E5581" t="str">
            <v>ZNSF</v>
          </cell>
          <cell r="F5581" t="str">
            <v>PC</v>
          </cell>
          <cell r="G5581" t="str">
            <v>1</v>
          </cell>
          <cell r="H5581" t="str">
            <v>INDUSTRY</v>
          </cell>
          <cell r="I5581" t="str">
            <v>11</v>
          </cell>
          <cell r="J5581" t="str">
            <v>WOOD COATINGS</v>
          </cell>
          <cell r="K5581" t="str">
            <v>1103</v>
          </cell>
          <cell r="L5581" t="str">
            <v>PU</v>
          </cell>
          <cell r="M5581" t="str">
            <v>110304</v>
          </cell>
          <cell r="N5581" t="str">
            <v>PU SYSTEM</v>
          </cell>
        </row>
        <row r="5582">
          <cell r="C5582" t="str">
            <v>850000151</v>
          </cell>
          <cell r="D5582" t="str">
            <v>#NUPUC-54206 AC EX 122E23 05 GE VN-20KP</v>
          </cell>
          <cell r="E5582" t="str">
            <v>ZNSF</v>
          </cell>
          <cell r="F5582" t="str">
            <v>PC</v>
          </cell>
          <cell r="G5582" t="str">
            <v>1</v>
          </cell>
          <cell r="H5582" t="str">
            <v>INDUSTRY</v>
          </cell>
          <cell r="I5582" t="str">
            <v>11</v>
          </cell>
          <cell r="J5582" t="str">
            <v>WOOD COATINGS</v>
          </cell>
          <cell r="K5582" t="str">
            <v>1103</v>
          </cell>
          <cell r="L5582" t="str">
            <v>PU</v>
          </cell>
          <cell r="M5582" t="str">
            <v>110304</v>
          </cell>
          <cell r="N5582" t="str">
            <v>PU SYSTEM</v>
          </cell>
        </row>
        <row r="5583">
          <cell r="C5583" t="str">
            <v>850000152</v>
          </cell>
          <cell r="D5583" t="str">
            <v>#NU64-56 MICRO FILLER 26 SI VN-20KP</v>
          </cell>
          <cell r="E5583" t="str">
            <v>ZNSF</v>
          </cell>
          <cell r="F5583" t="str">
            <v>PC</v>
          </cell>
          <cell r="G5583" t="str">
            <v>1</v>
          </cell>
          <cell r="H5583" t="str">
            <v>INDUSTRY</v>
          </cell>
          <cell r="I5583" t="str">
            <v>11</v>
          </cell>
          <cell r="J5583" t="str">
            <v>WOOD COATINGS</v>
          </cell>
          <cell r="K5583" t="str">
            <v>1103</v>
          </cell>
          <cell r="L5583" t="str">
            <v>PU</v>
          </cell>
          <cell r="M5583" t="str">
            <v>110305</v>
          </cell>
          <cell r="N5583" t="str">
            <v>UNION FILLER</v>
          </cell>
        </row>
        <row r="5584">
          <cell r="C5584" t="str">
            <v>850000154</v>
          </cell>
          <cell r="D5584" t="str">
            <v>#NUSST-11100 26 SI VN-20LJ</v>
          </cell>
          <cell r="E5584" t="str">
            <v>ZNSF</v>
          </cell>
          <cell r="F5584" t="str">
            <v>PC</v>
          </cell>
          <cell r="G5584" t="str">
            <v>1</v>
          </cell>
          <cell r="H5584" t="str">
            <v>INDUSTRY</v>
          </cell>
          <cell r="I5584" t="str">
            <v>11</v>
          </cell>
          <cell r="J5584" t="str">
            <v>WOOD COATINGS</v>
          </cell>
          <cell r="K5584" t="str">
            <v>1109</v>
          </cell>
          <cell r="L5584" t="str">
            <v>STAIN &amp; GLAZE INTERIOR</v>
          </cell>
          <cell r="M5584" t="str">
            <v>110903</v>
          </cell>
          <cell r="N5584" t="str">
            <v>STAIN INTERIOR</v>
          </cell>
        </row>
        <row r="5585">
          <cell r="C5585" t="str">
            <v>100000067</v>
          </cell>
          <cell r="D5585" t="str">
            <v>64-56 MICRO FILLER VN-20KP</v>
          </cell>
          <cell r="E5585" t="str">
            <v>ZFGD</v>
          </cell>
          <cell r="F5585" t="str">
            <v>PC</v>
          </cell>
          <cell r="G5585" t="str">
            <v>1</v>
          </cell>
          <cell r="H5585" t="str">
            <v>INDUSTRY</v>
          </cell>
          <cell r="I5585" t="str">
            <v>11</v>
          </cell>
          <cell r="J5585" t="str">
            <v>WOOD COATINGS</v>
          </cell>
          <cell r="K5585" t="str">
            <v>1103</v>
          </cell>
          <cell r="L5585" t="str">
            <v>PU</v>
          </cell>
          <cell r="M5585" t="str">
            <v>110305</v>
          </cell>
          <cell r="N5585" t="str">
            <v>UNION FILLER</v>
          </cell>
        </row>
        <row r="5586">
          <cell r="C5586" t="str">
            <v>100000077</v>
          </cell>
          <cell r="D5586" t="str">
            <v>FLX-66300 WB CLEAR VN-20KP</v>
          </cell>
          <cell r="E5586" t="str">
            <v>ZFGD</v>
          </cell>
          <cell r="F5586" t="str">
            <v>PC</v>
          </cell>
          <cell r="G5586" t="str">
            <v>1</v>
          </cell>
          <cell r="H5586" t="str">
            <v>INDUSTRY</v>
          </cell>
          <cell r="I5586" t="str">
            <v>11</v>
          </cell>
          <cell r="J5586" t="str">
            <v>WOOD COATINGS</v>
          </cell>
          <cell r="K5586" t="str">
            <v>1119</v>
          </cell>
          <cell r="L5586" t="str">
            <v>WATERBASED</v>
          </cell>
          <cell r="M5586" t="str">
            <v>111902</v>
          </cell>
          <cell r="N5586" t="str">
            <v>WATERBASED SYSTEM INTERIOR</v>
          </cell>
        </row>
        <row r="5587">
          <cell r="C5587" t="str">
            <v>100000100</v>
          </cell>
          <cell r="D5587" t="str">
            <v>GZPU-21500 BLACK VN-18KP</v>
          </cell>
          <cell r="E5587" t="str">
            <v>ZFGD</v>
          </cell>
          <cell r="F5587" t="str">
            <v>PC</v>
          </cell>
          <cell r="G5587" t="str">
            <v>1</v>
          </cell>
          <cell r="H5587" t="str">
            <v>INDUSTRY</v>
          </cell>
          <cell r="I5587" t="str">
            <v>11</v>
          </cell>
          <cell r="J5587" t="str">
            <v>WOOD COATINGS</v>
          </cell>
          <cell r="K5587" t="str">
            <v>1103</v>
          </cell>
          <cell r="L5587" t="str">
            <v>PU</v>
          </cell>
          <cell r="M5587" t="str">
            <v>110302</v>
          </cell>
          <cell r="N5587" t="str">
            <v>GLAZE PU</v>
          </cell>
        </row>
        <row r="5588">
          <cell r="C5588" t="str">
            <v>100000210</v>
          </cell>
          <cell r="D5588" t="str">
            <v>PCA-31100 BLACK PASTE VN-4K</v>
          </cell>
          <cell r="E5588" t="str">
            <v>ZFGD</v>
          </cell>
          <cell r="F5588" t="str">
            <v>PC</v>
          </cell>
          <cell r="G5588" t="str">
            <v>1</v>
          </cell>
          <cell r="H5588" t="str">
            <v>INDUSTRY</v>
          </cell>
          <cell r="I5588" t="str">
            <v>11</v>
          </cell>
          <cell r="J5588" t="str">
            <v>WOOD COATINGS</v>
          </cell>
          <cell r="K5588" t="str">
            <v>1118</v>
          </cell>
          <cell r="L5588" t="str">
            <v>COMPLEMENTARY</v>
          </cell>
          <cell r="M5588" t="str">
            <v>111807</v>
          </cell>
          <cell r="N5588" t="str">
            <v>PASTA</v>
          </cell>
        </row>
        <row r="5589">
          <cell r="C5589" t="str">
            <v>100000211</v>
          </cell>
          <cell r="D5589" t="str">
            <v>PCA-31100 BLUE OG PASTE VN-4K</v>
          </cell>
          <cell r="E5589" t="str">
            <v>ZFGD</v>
          </cell>
          <cell r="F5589" t="str">
            <v>PC</v>
          </cell>
          <cell r="G5589" t="str">
            <v>1</v>
          </cell>
          <cell r="H5589" t="str">
            <v>INDUSTRY</v>
          </cell>
          <cell r="I5589" t="str">
            <v>11</v>
          </cell>
          <cell r="J5589" t="str">
            <v>WOOD COATINGS</v>
          </cell>
          <cell r="K5589" t="str">
            <v>1118</v>
          </cell>
          <cell r="L5589" t="str">
            <v>COMPLEMENTARY</v>
          </cell>
          <cell r="M5589" t="str">
            <v>111807</v>
          </cell>
          <cell r="N5589" t="str">
            <v>PASTA</v>
          </cell>
        </row>
        <row r="5590">
          <cell r="C5590" t="str">
            <v>100000213</v>
          </cell>
          <cell r="D5590" t="str">
            <v>PCA-31100 BLUE OR PASTE VN-4K</v>
          </cell>
          <cell r="E5590" t="str">
            <v>ZFGD</v>
          </cell>
          <cell r="F5590" t="str">
            <v>PC</v>
          </cell>
          <cell r="G5590" t="str">
            <v>1</v>
          </cell>
          <cell r="H5590" t="str">
            <v>INDUSTRY</v>
          </cell>
          <cell r="I5590" t="str">
            <v>11</v>
          </cell>
          <cell r="J5590" t="str">
            <v>WOOD COATINGS</v>
          </cell>
          <cell r="K5590" t="str">
            <v>1118</v>
          </cell>
          <cell r="L5590" t="str">
            <v>COMPLEMENTARY</v>
          </cell>
          <cell r="M5590" t="str">
            <v>111807</v>
          </cell>
          <cell r="N5590" t="str">
            <v>PASTA</v>
          </cell>
        </row>
        <row r="5591">
          <cell r="C5591" t="str">
            <v>100000214</v>
          </cell>
          <cell r="D5591" t="str">
            <v>PCA-31100 BROWN 645 PASTE VN-4K</v>
          </cell>
          <cell r="E5591" t="str">
            <v>ZFGD</v>
          </cell>
          <cell r="F5591" t="str">
            <v>PC</v>
          </cell>
          <cell r="G5591" t="str">
            <v>1</v>
          </cell>
          <cell r="H5591" t="str">
            <v>INDUSTRY</v>
          </cell>
          <cell r="I5591" t="str">
            <v>11</v>
          </cell>
          <cell r="J5591" t="str">
            <v>WOOD COATINGS</v>
          </cell>
          <cell r="K5591" t="str">
            <v>1118</v>
          </cell>
          <cell r="L5591" t="str">
            <v>COMPLEMENTARY</v>
          </cell>
          <cell r="M5591" t="str">
            <v>111807</v>
          </cell>
          <cell r="N5591" t="str">
            <v>PASTA</v>
          </cell>
        </row>
        <row r="5592">
          <cell r="C5592" t="str">
            <v>100000223</v>
          </cell>
          <cell r="D5592" t="str">
            <v>PCA-31100 GREEN OB PASTE VN-4K</v>
          </cell>
          <cell r="E5592" t="str">
            <v>ZFGD</v>
          </cell>
          <cell r="F5592" t="str">
            <v>PC</v>
          </cell>
          <cell r="G5592" t="str">
            <v>1</v>
          </cell>
          <cell r="H5592" t="str">
            <v>INDUSTRY</v>
          </cell>
          <cell r="I5592" t="str">
            <v>11</v>
          </cell>
          <cell r="J5592" t="str">
            <v>WOOD COATINGS</v>
          </cell>
          <cell r="K5592" t="str">
            <v>1118</v>
          </cell>
          <cell r="L5592" t="str">
            <v>COMPLEMENTARY</v>
          </cell>
          <cell r="M5592" t="str">
            <v>111807</v>
          </cell>
          <cell r="N5592" t="str">
            <v>PASTA</v>
          </cell>
        </row>
        <row r="5593">
          <cell r="C5593" t="str">
            <v>100000233</v>
          </cell>
          <cell r="D5593" t="str">
            <v>PCA-31100 ORANGE PASTE VN-4K</v>
          </cell>
          <cell r="E5593" t="str">
            <v>ZFGD</v>
          </cell>
          <cell r="F5593" t="str">
            <v>PC</v>
          </cell>
          <cell r="G5593" t="str">
            <v>1</v>
          </cell>
          <cell r="H5593" t="str">
            <v>INDUSTRY</v>
          </cell>
          <cell r="I5593" t="str">
            <v>11</v>
          </cell>
          <cell r="J5593" t="str">
            <v>WOOD COATINGS</v>
          </cell>
          <cell r="K5593" t="str">
            <v>1118</v>
          </cell>
          <cell r="L5593" t="str">
            <v>COMPLEMENTARY</v>
          </cell>
          <cell r="M5593" t="str">
            <v>111807</v>
          </cell>
          <cell r="N5593" t="str">
            <v>PASTA</v>
          </cell>
        </row>
        <row r="5594">
          <cell r="C5594" t="str">
            <v>100000235</v>
          </cell>
          <cell r="D5594" t="str">
            <v>PCA-31100 OXIDE RED PASTE VN-4K</v>
          </cell>
          <cell r="E5594" t="str">
            <v>ZFGD</v>
          </cell>
          <cell r="F5594" t="str">
            <v>PC</v>
          </cell>
          <cell r="G5594" t="str">
            <v>1</v>
          </cell>
          <cell r="H5594" t="str">
            <v>INDUSTRY</v>
          </cell>
          <cell r="I5594" t="str">
            <v>11</v>
          </cell>
          <cell r="J5594" t="str">
            <v>WOOD COATINGS</v>
          </cell>
          <cell r="K5594" t="str">
            <v>1118</v>
          </cell>
          <cell r="L5594" t="str">
            <v>COMPLEMENTARY</v>
          </cell>
          <cell r="M5594" t="str">
            <v>111807</v>
          </cell>
          <cell r="N5594" t="str">
            <v>PASTA</v>
          </cell>
        </row>
        <row r="5595">
          <cell r="C5595" t="str">
            <v>100000236</v>
          </cell>
          <cell r="D5595" t="str">
            <v>PCA-31100 RED OB 35 PASTE VN-4K</v>
          </cell>
          <cell r="E5595" t="str">
            <v>ZFGD</v>
          </cell>
          <cell r="F5595" t="str">
            <v>PC</v>
          </cell>
          <cell r="G5595" t="str">
            <v>1</v>
          </cell>
          <cell r="H5595" t="str">
            <v>INDUSTRY</v>
          </cell>
          <cell r="I5595" t="str">
            <v>11</v>
          </cell>
          <cell r="J5595" t="str">
            <v>WOOD COATINGS</v>
          </cell>
          <cell r="K5595" t="str">
            <v>1118</v>
          </cell>
          <cell r="L5595" t="str">
            <v>COMPLEMENTARY</v>
          </cell>
          <cell r="M5595" t="str">
            <v>111807</v>
          </cell>
          <cell r="N5595" t="str">
            <v>PASTA</v>
          </cell>
        </row>
        <row r="5596">
          <cell r="C5596" t="str">
            <v>100000245</v>
          </cell>
          <cell r="D5596" t="str">
            <v>PCA-31100 RX C50 BLACK VN-4K</v>
          </cell>
          <cell r="E5596" t="str">
            <v>ZFGD</v>
          </cell>
          <cell r="F5596" t="str">
            <v>PC</v>
          </cell>
          <cell r="G5596" t="str">
            <v>1</v>
          </cell>
          <cell r="H5596" t="str">
            <v>INDUSTRY</v>
          </cell>
          <cell r="I5596" t="str">
            <v>11</v>
          </cell>
          <cell r="J5596" t="str">
            <v>WOOD COATINGS</v>
          </cell>
          <cell r="K5596" t="str">
            <v>1118</v>
          </cell>
          <cell r="L5596" t="str">
            <v>COMPLEMENTARY</v>
          </cell>
          <cell r="M5596" t="str">
            <v>111807</v>
          </cell>
          <cell r="N5596" t="str">
            <v>PASTA</v>
          </cell>
        </row>
        <row r="5597">
          <cell r="C5597" t="str">
            <v>100000273</v>
          </cell>
          <cell r="D5597" t="str">
            <v>PCA-31100 WHITE PASTE VN-4K</v>
          </cell>
          <cell r="E5597" t="str">
            <v>ZFGD</v>
          </cell>
          <cell r="F5597" t="str">
            <v>PC</v>
          </cell>
          <cell r="G5597" t="str">
            <v>1</v>
          </cell>
          <cell r="H5597" t="str">
            <v>INDUSTRY</v>
          </cell>
          <cell r="I5597" t="str">
            <v>11</v>
          </cell>
          <cell r="J5597" t="str">
            <v>WOOD COATINGS</v>
          </cell>
          <cell r="K5597" t="str">
            <v>1118</v>
          </cell>
          <cell r="L5597" t="str">
            <v>COMPLEMENTARY</v>
          </cell>
          <cell r="M5597" t="str">
            <v>111807</v>
          </cell>
          <cell r="N5597" t="str">
            <v>PASTA</v>
          </cell>
        </row>
        <row r="5598">
          <cell r="C5598" t="str">
            <v>100000275</v>
          </cell>
          <cell r="D5598" t="str">
            <v>PCA-31100 YELLOW HR PASTE VN-4K</v>
          </cell>
          <cell r="E5598" t="str">
            <v>ZFGD</v>
          </cell>
          <cell r="F5598" t="str">
            <v>PC</v>
          </cell>
          <cell r="G5598" t="str">
            <v>1</v>
          </cell>
          <cell r="H5598" t="str">
            <v>INDUSTRY</v>
          </cell>
          <cell r="I5598" t="str">
            <v>11</v>
          </cell>
          <cell r="J5598" t="str">
            <v>WOOD COATINGS</v>
          </cell>
          <cell r="K5598" t="str">
            <v>1118</v>
          </cell>
          <cell r="L5598" t="str">
            <v>COMPLEMENTARY</v>
          </cell>
          <cell r="M5598" t="str">
            <v>111807</v>
          </cell>
          <cell r="N5598" t="str">
            <v>PASTA</v>
          </cell>
        </row>
        <row r="5599">
          <cell r="C5599" t="str">
            <v>100000276</v>
          </cell>
          <cell r="D5599" t="str">
            <v>PCA-31100 YELLOW OG 16 PASTE VN-4K</v>
          </cell>
          <cell r="E5599" t="str">
            <v>ZFGD</v>
          </cell>
          <cell r="F5599" t="str">
            <v>PC</v>
          </cell>
          <cell r="G5599" t="str">
            <v>1</v>
          </cell>
          <cell r="H5599" t="str">
            <v>INDUSTRY</v>
          </cell>
          <cell r="I5599" t="str">
            <v>11</v>
          </cell>
          <cell r="J5599" t="str">
            <v>WOOD COATINGS</v>
          </cell>
          <cell r="K5599" t="str">
            <v>1118</v>
          </cell>
          <cell r="L5599" t="str">
            <v>COMPLEMENTARY</v>
          </cell>
          <cell r="M5599" t="str">
            <v>111807</v>
          </cell>
          <cell r="N5599" t="str">
            <v>PASTA</v>
          </cell>
        </row>
        <row r="5600">
          <cell r="C5600" t="str">
            <v>100000277</v>
          </cell>
          <cell r="D5600" t="str">
            <v>PCA-31100 YELLOW OKER PASTE VN-4K</v>
          </cell>
          <cell r="E5600" t="str">
            <v>ZFGD</v>
          </cell>
          <cell r="F5600" t="str">
            <v>PC</v>
          </cell>
          <cell r="G5600" t="str">
            <v>1</v>
          </cell>
          <cell r="H5600" t="str">
            <v>INDUSTRY</v>
          </cell>
          <cell r="I5600" t="str">
            <v>11</v>
          </cell>
          <cell r="J5600" t="str">
            <v>WOOD COATINGS</v>
          </cell>
          <cell r="K5600" t="str">
            <v>1118</v>
          </cell>
          <cell r="L5600" t="str">
            <v>COMPLEMENTARY</v>
          </cell>
          <cell r="M5600" t="str">
            <v>111807</v>
          </cell>
          <cell r="N5600" t="str">
            <v>PASTA</v>
          </cell>
        </row>
        <row r="5601">
          <cell r="C5601" t="str">
            <v>100000279</v>
          </cell>
          <cell r="D5601" t="str">
            <v>PCA-31102 BLACK OB PASTE-4K</v>
          </cell>
          <cell r="E5601" t="str">
            <v>ZFGD</v>
          </cell>
          <cell r="F5601" t="str">
            <v>PC</v>
          </cell>
          <cell r="G5601" t="str">
            <v>1</v>
          </cell>
          <cell r="H5601" t="str">
            <v>INDUSTRY</v>
          </cell>
          <cell r="I5601" t="str">
            <v>11</v>
          </cell>
          <cell r="J5601" t="str">
            <v>WOOD COATINGS</v>
          </cell>
          <cell r="K5601" t="str">
            <v>1118</v>
          </cell>
          <cell r="L5601" t="str">
            <v>COMPLEMENTARY</v>
          </cell>
          <cell r="M5601" t="str">
            <v>111807</v>
          </cell>
          <cell r="N5601" t="str">
            <v>PASTA</v>
          </cell>
        </row>
        <row r="5602">
          <cell r="C5602" t="str">
            <v>100000280</v>
          </cell>
          <cell r="D5602" t="str">
            <v>PCA-31102 OXIDE RED 45 PASTE-4K</v>
          </cell>
          <cell r="E5602" t="str">
            <v>ZFGD</v>
          </cell>
          <cell r="F5602" t="str">
            <v>PC</v>
          </cell>
          <cell r="G5602" t="str">
            <v>1</v>
          </cell>
          <cell r="H5602" t="str">
            <v>INDUSTRY</v>
          </cell>
          <cell r="I5602" t="str">
            <v>11</v>
          </cell>
          <cell r="J5602" t="str">
            <v>WOOD COATINGS</v>
          </cell>
          <cell r="K5602" t="str">
            <v>1118</v>
          </cell>
          <cell r="L5602" t="str">
            <v>COMPLEMENTARY</v>
          </cell>
          <cell r="M5602" t="str">
            <v>111807</v>
          </cell>
          <cell r="N5602" t="str">
            <v>PASTA</v>
          </cell>
        </row>
        <row r="5603">
          <cell r="C5603" t="str">
            <v>100000281</v>
          </cell>
          <cell r="D5603" t="str">
            <v>PCA-31102 RED OY PASTE-4K</v>
          </cell>
          <cell r="E5603" t="str">
            <v>ZFGD</v>
          </cell>
          <cell r="F5603" t="str">
            <v>PC</v>
          </cell>
          <cell r="G5603" t="str">
            <v>1</v>
          </cell>
          <cell r="H5603" t="str">
            <v>INDUSTRY</v>
          </cell>
          <cell r="I5603" t="str">
            <v>11</v>
          </cell>
          <cell r="J5603" t="str">
            <v>WOOD COATINGS</v>
          </cell>
          <cell r="K5603" t="str">
            <v>1118</v>
          </cell>
          <cell r="L5603" t="str">
            <v>COMPLEMENTARY</v>
          </cell>
          <cell r="M5603" t="str">
            <v>111807</v>
          </cell>
          <cell r="N5603" t="str">
            <v>PASTA</v>
          </cell>
        </row>
        <row r="5604">
          <cell r="C5604" t="str">
            <v>100000282</v>
          </cell>
          <cell r="D5604" t="str">
            <v>PCA-31102 YELLOW OKER 13 PASTE-4K</v>
          </cell>
          <cell r="E5604" t="str">
            <v>ZFGD</v>
          </cell>
          <cell r="F5604" t="str">
            <v>PC</v>
          </cell>
          <cell r="G5604" t="str">
            <v>1</v>
          </cell>
          <cell r="H5604" t="str">
            <v>INDUSTRY</v>
          </cell>
          <cell r="I5604" t="str">
            <v>11</v>
          </cell>
          <cell r="J5604" t="str">
            <v>WOOD COATINGS</v>
          </cell>
          <cell r="K5604" t="str">
            <v>1118</v>
          </cell>
          <cell r="L5604" t="str">
            <v>COMPLEMENTARY</v>
          </cell>
          <cell r="M5604" t="str">
            <v>111807</v>
          </cell>
          <cell r="N5604" t="str">
            <v>PASTA</v>
          </cell>
        </row>
        <row r="5605">
          <cell r="C5605" t="str">
            <v>100000288</v>
          </cell>
          <cell r="D5605" t="str">
            <v>PCL-31300 BLACK PASTE-4K</v>
          </cell>
          <cell r="E5605" t="str">
            <v>ZFGD</v>
          </cell>
          <cell r="F5605" t="str">
            <v>PC</v>
          </cell>
          <cell r="G5605" t="str">
            <v>1</v>
          </cell>
          <cell r="H5605" t="str">
            <v>INDUSTRY</v>
          </cell>
          <cell r="I5605" t="str">
            <v>11</v>
          </cell>
          <cell r="J5605" t="str">
            <v>WOOD COATINGS</v>
          </cell>
          <cell r="K5605" t="str">
            <v>1118</v>
          </cell>
          <cell r="L5605" t="str">
            <v>COMPLEMENTARY</v>
          </cell>
          <cell r="M5605" t="str">
            <v>111807</v>
          </cell>
          <cell r="N5605" t="str">
            <v>PASTA</v>
          </cell>
        </row>
        <row r="5606">
          <cell r="C5606" t="str">
            <v>100000290</v>
          </cell>
          <cell r="D5606" t="str">
            <v>PCL-31300 BLUE OG PASTE-4K</v>
          </cell>
          <cell r="E5606" t="str">
            <v>ZFGD</v>
          </cell>
          <cell r="F5606" t="str">
            <v>PC</v>
          </cell>
          <cell r="G5606" t="str">
            <v>1</v>
          </cell>
          <cell r="H5606" t="str">
            <v>INDUSTRY</v>
          </cell>
          <cell r="I5606" t="str">
            <v>11</v>
          </cell>
          <cell r="J5606" t="str">
            <v>WOOD COATINGS</v>
          </cell>
          <cell r="K5606" t="str">
            <v>1118</v>
          </cell>
          <cell r="L5606" t="str">
            <v>COMPLEMENTARY</v>
          </cell>
          <cell r="M5606" t="str">
            <v>111807</v>
          </cell>
          <cell r="N5606" t="str">
            <v>PASTA</v>
          </cell>
        </row>
        <row r="5607">
          <cell r="C5607" t="str">
            <v>100000300</v>
          </cell>
          <cell r="D5607" t="str">
            <v>PCL-31300 GREEN OB PASTE-4K</v>
          </cell>
          <cell r="E5607" t="str">
            <v>ZFGD</v>
          </cell>
          <cell r="F5607" t="str">
            <v>PC</v>
          </cell>
          <cell r="G5607" t="str">
            <v>1</v>
          </cell>
          <cell r="H5607" t="str">
            <v>INDUSTRY</v>
          </cell>
          <cell r="I5607" t="str">
            <v>11</v>
          </cell>
          <cell r="J5607" t="str">
            <v>WOOD COATINGS</v>
          </cell>
          <cell r="K5607" t="str">
            <v>1118</v>
          </cell>
          <cell r="L5607" t="str">
            <v>COMPLEMENTARY</v>
          </cell>
          <cell r="M5607" t="str">
            <v>111807</v>
          </cell>
          <cell r="N5607" t="str">
            <v>PASTA</v>
          </cell>
        </row>
        <row r="5608">
          <cell r="C5608" t="str">
            <v>100000303</v>
          </cell>
          <cell r="D5608" t="str">
            <v>PCL-31300 OXIDE RED PASTE-4K</v>
          </cell>
          <cell r="E5608" t="str">
            <v>ZFGD</v>
          </cell>
          <cell r="F5608" t="str">
            <v>PC</v>
          </cell>
          <cell r="G5608" t="str">
            <v>1</v>
          </cell>
          <cell r="H5608" t="str">
            <v>INDUSTRY</v>
          </cell>
          <cell r="I5608" t="str">
            <v>11</v>
          </cell>
          <cell r="J5608" t="str">
            <v>WOOD COATINGS</v>
          </cell>
          <cell r="K5608" t="str">
            <v>1118</v>
          </cell>
          <cell r="L5608" t="str">
            <v>COMPLEMENTARY</v>
          </cell>
          <cell r="M5608" t="str">
            <v>111807</v>
          </cell>
          <cell r="N5608" t="str">
            <v>PASTA</v>
          </cell>
        </row>
        <row r="5609">
          <cell r="C5609" t="str">
            <v>100000305</v>
          </cell>
          <cell r="D5609" t="str">
            <v>PCL-31300 RED OB 35 PASTE-4K</v>
          </cell>
          <cell r="E5609" t="str">
            <v>ZFGD</v>
          </cell>
          <cell r="F5609" t="str">
            <v>PC</v>
          </cell>
          <cell r="G5609" t="str">
            <v>1</v>
          </cell>
          <cell r="H5609" t="str">
            <v>INDUSTRY</v>
          </cell>
          <cell r="I5609" t="str">
            <v>11</v>
          </cell>
          <cell r="J5609" t="str">
            <v>WOOD COATINGS</v>
          </cell>
          <cell r="K5609" t="str">
            <v>1118</v>
          </cell>
          <cell r="L5609" t="str">
            <v>COMPLEMENTARY</v>
          </cell>
          <cell r="M5609" t="str">
            <v>111807</v>
          </cell>
          <cell r="N5609" t="str">
            <v>PASTA</v>
          </cell>
        </row>
        <row r="5610">
          <cell r="C5610" t="str">
            <v>100000308</v>
          </cell>
          <cell r="D5610" t="str">
            <v>PCL-31300 RED PINK PASTE-4K</v>
          </cell>
          <cell r="E5610" t="str">
            <v>ZFGD</v>
          </cell>
          <cell r="F5610" t="str">
            <v>PC</v>
          </cell>
          <cell r="G5610" t="str">
            <v>1</v>
          </cell>
          <cell r="H5610" t="str">
            <v>INDUSTRY</v>
          </cell>
          <cell r="I5610" t="str">
            <v>11</v>
          </cell>
          <cell r="J5610" t="str">
            <v>WOOD COATINGS</v>
          </cell>
          <cell r="K5610" t="str">
            <v>1118</v>
          </cell>
          <cell r="L5610" t="str">
            <v>COMPLEMENTARY</v>
          </cell>
          <cell r="M5610" t="str">
            <v>111807</v>
          </cell>
          <cell r="N5610" t="str">
            <v>PASTA</v>
          </cell>
        </row>
        <row r="5611">
          <cell r="C5611" t="str">
            <v>100000322</v>
          </cell>
          <cell r="D5611" t="str">
            <v>PCL-31300 VIOLET PASTE-4K</v>
          </cell>
          <cell r="E5611" t="str">
            <v>ZFGD</v>
          </cell>
          <cell r="F5611" t="str">
            <v>PC</v>
          </cell>
          <cell r="G5611" t="str">
            <v>1</v>
          </cell>
          <cell r="H5611" t="str">
            <v>INDUSTRY</v>
          </cell>
          <cell r="I5611" t="str">
            <v>11</v>
          </cell>
          <cell r="J5611" t="str">
            <v>WOOD COATINGS</v>
          </cell>
          <cell r="K5611" t="str">
            <v>1118</v>
          </cell>
          <cell r="L5611" t="str">
            <v>COMPLEMENTARY</v>
          </cell>
          <cell r="M5611" t="str">
            <v>111807</v>
          </cell>
          <cell r="N5611" t="str">
            <v>PASTA</v>
          </cell>
        </row>
        <row r="5612">
          <cell r="C5612" t="str">
            <v>100000323</v>
          </cell>
          <cell r="D5612" t="str">
            <v>PCL-31300 WHITE PASTE-4K</v>
          </cell>
          <cell r="E5612" t="str">
            <v>ZFGD</v>
          </cell>
          <cell r="F5612" t="str">
            <v>PC</v>
          </cell>
          <cell r="G5612" t="str">
            <v>1</v>
          </cell>
          <cell r="H5612" t="str">
            <v>INDUSTRY</v>
          </cell>
          <cell r="I5612" t="str">
            <v>11</v>
          </cell>
          <cell r="J5612" t="str">
            <v>WOOD COATINGS</v>
          </cell>
          <cell r="K5612" t="str">
            <v>1118</v>
          </cell>
          <cell r="L5612" t="str">
            <v>COMPLEMENTARY</v>
          </cell>
          <cell r="M5612" t="str">
            <v>111807</v>
          </cell>
          <cell r="N5612" t="str">
            <v>PASTA</v>
          </cell>
        </row>
        <row r="5613">
          <cell r="C5613" t="str">
            <v>100000325</v>
          </cell>
          <cell r="D5613" t="str">
            <v>PCL-31300 YELLOW OG 16 PASTE-4K</v>
          </cell>
          <cell r="E5613" t="str">
            <v>ZFGD</v>
          </cell>
          <cell r="F5613" t="str">
            <v>PC</v>
          </cell>
          <cell r="G5613" t="str">
            <v>1</v>
          </cell>
          <cell r="H5613" t="str">
            <v>INDUSTRY</v>
          </cell>
          <cell r="I5613" t="str">
            <v>11</v>
          </cell>
          <cell r="J5613" t="str">
            <v>WOOD COATINGS</v>
          </cell>
          <cell r="K5613" t="str">
            <v>1118</v>
          </cell>
          <cell r="L5613" t="str">
            <v>COMPLEMENTARY</v>
          </cell>
          <cell r="M5613" t="str">
            <v>111807</v>
          </cell>
          <cell r="N5613" t="str">
            <v>PASTA</v>
          </cell>
        </row>
        <row r="5614">
          <cell r="C5614" t="str">
            <v>100000326</v>
          </cell>
          <cell r="D5614" t="str">
            <v>PCL-31300 YELLOW OKER PASTE-4K</v>
          </cell>
          <cell r="E5614" t="str">
            <v>ZFGD</v>
          </cell>
          <cell r="F5614" t="str">
            <v>PC</v>
          </cell>
          <cell r="G5614" t="str">
            <v>1</v>
          </cell>
          <cell r="H5614" t="str">
            <v>INDUSTRY</v>
          </cell>
          <cell r="I5614" t="str">
            <v>11</v>
          </cell>
          <cell r="J5614" t="str">
            <v>WOOD COATINGS</v>
          </cell>
          <cell r="K5614" t="str">
            <v>1118</v>
          </cell>
          <cell r="L5614" t="str">
            <v>COMPLEMENTARY</v>
          </cell>
          <cell r="M5614" t="str">
            <v>111807</v>
          </cell>
          <cell r="N5614" t="str">
            <v>PASTA</v>
          </cell>
        </row>
        <row r="5615">
          <cell r="C5615" t="str">
            <v>100000334</v>
          </cell>
          <cell r="D5615" t="str">
            <v>PCWB-31600 TRANSPARANT YELLOW PASTE-4K</v>
          </cell>
          <cell r="E5615" t="str">
            <v>ZFGD</v>
          </cell>
          <cell r="F5615" t="str">
            <v>PC</v>
          </cell>
          <cell r="G5615" t="str">
            <v>1</v>
          </cell>
          <cell r="H5615" t="str">
            <v>INDUSTRY</v>
          </cell>
          <cell r="I5615" t="str">
            <v>11</v>
          </cell>
          <cell r="J5615" t="str">
            <v>WOOD COATINGS</v>
          </cell>
          <cell r="K5615" t="str">
            <v>1118</v>
          </cell>
          <cell r="L5615" t="str">
            <v>COMPLEMENTARY</v>
          </cell>
          <cell r="M5615" t="str">
            <v>111807</v>
          </cell>
          <cell r="N5615" t="str">
            <v>PASTA</v>
          </cell>
        </row>
        <row r="5616">
          <cell r="C5616" t="str">
            <v>100000338</v>
          </cell>
          <cell r="D5616" t="str">
            <v>PCWB-31601 BLACK OB PASTE-4K</v>
          </cell>
          <cell r="E5616" t="str">
            <v>ZFGD</v>
          </cell>
          <cell r="F5616" t="str">
            <v>PC</v>
          </cell>
          <cell r="G5616" t="str">
            <v>1</v>
          </cell>
          <cell r="H5616" t="str">
            <v>INDUSTRY</v>
          </cell>
          <cell r="I5616" t="str">
            <v>11</v>
          </cell>
          <cell r="J5616" t="str">
            <v>WOOD COATINGS</v>
          </cell>
          <cell r="K5616" t="str">
            <v>1118</v>
          </cell>
          <cell r="L5616" t="str">
            <v>COMPLEMENTARY</v>
          </cell>
          <cell r="M5616" t="str">
            <v>111807</v>
          </cell>
          <cell r="N5616" t="str">
            <v>PASTA</v>
          </cell>
        </row>
        <row r="5617">
          <cell r="C5617" t="str">
            <v>100000340</v>
          </cell>
          <cell r="D5617" t="str">
            <v>PCWB-31601 TRANS OXIDE RED PASTE-4K</v>
          </cell>
          <cell r="E5617" t="str">
            <v>ZFGD</v>
          </cell>
          <cell r="F5617" t="str">
            <v>PC</v>
          </cell>
          <cell r="G5617" t="str">
            <v>1</v>
          </cell>
          <cell r="H5617" t="str">
            <v>INDUSTRY</v>
          </cell>
          <cell r="I5617" t="str">
            <v>11</v>
          </cell>
          <cell r="J5617" t="str">
            <v>WOOD COATINGS</v>
          </cell>
          <cell r="K5617" t="str">
            <v>1118</v>
          </cell>
          <cell r="L5617" t="str">
            <v>COMPLEMENTARY</v>
          </cell>
          <cell r="M5617" t="str">
            <v>111807</v>
          </cell>
          <cell r="N5617" t="str">
            <v>PASTA</v>
          </cell>
        </row>
        <row r="5618">
          <cell r="C5618" t="str">
            <v>100000341</v>
          </cell>
          <cell r="D5618" t="str">
            <v>PCWB-31601 YELLOW 100 OR PASTE-4K</v>
          </cell>
          <cell r="E5618" t="str">
            <v>ZFGD</v>
          </cell>
          <cell r="F5618" t="str">
            <v>PC</v>
          </cell>
          <cell r="G5618" t="str">
            <v>1</v>
          </cell>
          <cell r="H5618" t="str">
            <v>INDUSTRY</v>
          </cell>
          <cell r="I5618" t="str">
            <v>11</v>
          </cell>
          <cell r="J5618" t="str">
            <v>WOOD COATINGS</v>
          </cell>
          <cell r="K5618" t="str">
            <v>1118</v>
          </cell>
          <cell r="L5618" t="str">
            <v>COMPLEMENTARY</v>
          </cell>
          <cell r="M5618" t="str">
            <v>111807</v>
          </cell>
          <cell r="N5618" t="str">
            <v>PASTA</v>
          </cell>
        </row>
        <row r="5619">
          <cell r="C5619" t="str">
            <v>100000355</v>
          </cell>
          <cell r="D5619" t="str">
            <v>PG-13900 WHITE 01 VN-20KP</v>
          </cell>
          <cell r="E5619" t="str">
            <v>ZFGD</v>
          </cell>
          <cell r="F5619" t="str">
            <v>PC</v>
          </cell>
          <cell r="G5619" t="str">
            <v>1</v>
          </cell>
          <cell r="H5619" t="str">
            <v>INDUSTRY</v>
          </cell>
          <cell r="I5619" t="str">
            <v>11</v>
          </cell>
          <cell r="J5619" t="str">
            <v>WOOD COATINGS</v>
          </cell>
          <cell r="K5619" t="str">
            <v>1109</v>
          </cell>
          <cell r="L5619" t="str">
            <v>STAIN &amp; GLAZE INTERIOR</v>
          </cell>
          <cell r="M5619" t="str">
            <v>110901</v>
          </cell>
          <cell r="N5619" t="str">
            <v>ASOF : STAIN &amp; GLAZE</v>
          </cell>
        </row>
        <row r="5620">
          <cell r="C5620" t="str">
            <v>100000443</v>
          </cell>
          <cell r="D5620" t="str">
            <v>PUC-54205 AC WHITE 10 VN-20KP</v>
          </cell>
          <cell r="E5620" t="str">
            <v>ZFGD</v>
          </cell>
          <cell r="F5620" t="str">
            <v>PC</v>
          </cell>
          <cell r="G5620" t="str">
            <v>1</v>
          </cell>
          <cell r="H5620" t="str">
            <v>INDUSTRY</v>
          </cell>
          <cell r="I5620" t="str">
            <v>11</v>
          </cell>
          <cell r="J5620" t="str">
            <v>WOOD COATINGS</v>
          </cell>
          <cell r="K5620" t="str">
            <v>1103</v>
          </cell>
          <cell r="L5620" t="str">
            <v>PU</v>
          </cell>
          <cell r="M5620" t="str">
            <v>110319</v>
          </cell>
          <cell r="N5620" t="str">
            <v>PU COLOR</v>
          </cell>
        </row>
        <row r="5621">
          <cell r="C5621" t="str">
            <v>100000493</v>
          </cell>
          <cell r="D5621" t="str">
            <v>PUH-56306 LY VN-4L</v>
          </cell>
          <cell r="E5621" t="str">
            <v>ZFGD</v>
          </cell>
          <cell r="F5621" t="str">
            <v>PC</v>
          </cell>
          <cell r="G5621" t="str">
            <v>1</v>
          </cell>
          <cell r="H5621" t="str">
            <v>INDUSTRY</v>
          </cell>
          <cell r="I5621" t="str">
            <v>11</v>
          </cell>
          <cell r="J5621" t="str">
            <v>WOOD COATINGS</v>
          </cell>
          <cell r="K5621" t="str">
            <v>1103</v>
          </cell>
          <cell r="L5621" t="str">
            <v>PU</v>
          </cell>
          <cell r="M5621" t="str">
            <v>110320</v>
          </cell>
          <cell r="N5621" t="str">
            <v>PU HARDENER</v>
          </cell>
        </row>
        <row r="5622">
          <cell r="C5622" t="str">
            <v>100000494</v>
          </cell>
          <cell r="D5622" t="str">
            <v>PUH-56306 LY VN-20LP</v>
          </cell>
          <cell r="E5622" t="str">
            <v>ZFGD</v>
          </cell>
          <cell r="F5622" t="str">
            <v>PC</v>
          </cell>
          <cell r="G5622" t="str">
            <v>1</v>
          </cell>
          <cell r="H5622" t="str">
            <v>INDUSTRY</v>
          </cell>
          <cell r="I5622" t="str">
            <v>11</v>
          </cell>
          <cell r="J5622" t="str">
            <v>WOOD COATINGS</v>
          </cell>
          <cell r="K5622" t="str">
            <v>1103</v>
          </cell>
          <cell r="L5622" t="str">
            <v>PU</v>
          </cell>
          <cell r="M5622" t="str">
            <v>110320</v>
          </cell>
          <cell r="N5622" t="str">
            <v>PU HARDENER</v>
          </cell>
        </row>
        <row r="5623">
          <cell r="C5623" t="str">
            <v>100000499</v>
          </cell>
          <cell r="D5623" t="str">
            <v>PUL-51339 CLEAR 30 VN-20LP</v>
          </cell>
          <cell r="E5623" t="str">
            <v>ZFGD</v>
          </cell>
          <cell r="F5623" t="str">
            <v>PC</v>
          </cell>
          <cell r="G5623" t="str">
            <v>1</v>
          </cell>
          <cell r="H5623" t="str">
            <v>INDUSTRY</v>
          </cell>
          <cell r="I5623" t="str">
            <v>11</v>
          </cell>
          <cell r="J5623" t="str">
            <v>WOOD COATINGS</v>
          </cell>
          <cell r="K5623" t="str">
            <v>1103</v>
          </cell>
          <cell r="L5623" t="str">
            <v>PU</v>
          </cell>
          <cell r="M5623" t="str">
            <v>110321</v>
          </cell>
          <cell r="N5623" t="str">
            <v>PU LACQUER</v>
          </cell>
        </row>
        <row r="5624">
          <cell r="C5624" t="str">
            <v>100000501</v>
          </cell>
          <cell r="D5624" t="str">
            <v>PUL-51339 CLEAR 50 VN-20LP</v>
          </cell>
          <cell r="E5624" t="str">
            <v>ZFGD</v>
          </cell>
          <cell r="F5624" t="str">
            <v>PC</v>
          </cell>
          <cell r="G5624" t="str">
            <v>1</v>
          </cell>
          <cell r="H5624" t="str">
            <v>INDUSTRY</v>
          </cell>
          <cell r="I5624" t="str">
            <v>11</v>
          </cell>
          <cell r="J5624" t="str">
            <v>WOOD COATINGS</v>
          </cell>
          <cell r="K5624" t="str">
            <v>1103</v>
          </cell>
          <cell r="L5624" t="str">
            <v>PU</v>
          </cell>
          <cell r="M5624" t="str">
            <v>110321</v>
          </cell>
          <cell r="N5624" t="str">
            <v>PU LACQUER</v>
          </cell>
        </row>
        <row r="5625">
          <cell r="C5625" t="str">
            <v>100000532</v>
          </cell>
          <cell r="D5625" t="str">
            <v>PUP-52141 WHITE 01 VN-20KP</v>
          </cell>
          <cell r="E5625" t="str">
            <v>ZFGD</v>
          </cell>
          <cell r="F5625" t="str">
            <v>PC</v>
          </cell>
          <cell r="G5625" t="str">
            <v>1</v>
          </cell>
          <cell r="H5625" t="str">
            <v>INDUSTRY</v>
          </cell>
          <cell r="I5625" t="str">
            <v>11</v>
          </cell>
          <cell r="J5625" t="str">
            <v>WOOD COATINGS</v>
          </cell>
          <cell r="K5625" t="str">
            <v>1103</v>
          </cell>
          <cell r="L5625" t="str">
            <v>PU</v>
          </cell>
          <cell r="M5625" t="str">
            <v>110322</v>
          </cell>
          <cell r="N5625" t="str">
            <v>PU PRIMER</v>
          </cell>
        </row>
        <row r="5626">
          <cell r="C5626" t="str">
            <v>100000557</v>
          </cell>
          <cell r="D5626" t="str">
            <v>PUSS-51241 VN-20KP</v>
          </cell>
          <cell r="E5626" t="str">
            <v>ZFGD</v>
          </cell>
          <cell r="F5626" t="str">
            <v>PC</v>
          </cell>
          <cell r="G5626" t="str">
            <v>1</v>
          </cell>
          <cell r="H5626" t="str">
            <v>INDUSTRY</v>
          </cell>
          <cell r="I5626" t="str">
            <v>11</v>
          </cell>
          <cell r="J5626" t="str">
            <v>WOOD COATINGS</v>
          </cell>
          <cell r="K5626" t="str">
            <v>1103</v>
          </cell>
          <cell r="L5626" t="str">
            <v>PU</v>
          </cell>
          <cell r="M5626" t="str">
            <v>110323</v>
          </cell>
          <cell r="N5626" t="str">
            <v>PU SANDING SEALER</v>
          </cell>
        </row>
        <row r="5627">
          <cell r="C5627" t="str">
            <v>100000634</v>
          </cell>
          <cell r="D5627" t="str">
            <v>SST-11100 C10 BLACK-4K</v>
          </cell>
          <cell r="E5627" t="str">
            <v>ZFGD</v>
          </cell>
          <cell r="F5627" t="str">
            <v>PC</v>
          </cell>
          <cell r="G5627" t="str">
            <v>1</v>
          </cell>
          <cell r="H5627" t="str">
            <v>INDUSTRY</v>
          </cell>
          <cell r="I5627" t="str">
            <v>11</v>
          </cell>
          <cell r="J5627" t="str">
            <v>WOOD COATINGS</v>
          </cell>
          <cell r="K5627" t="str">
            <v>1109</v>
          </cell>
          <cell r="L5627" t="str">
            <v>STAIN &amp; GLAZE INTERIOR</v>
          </cell>
          <cell r="M5627" t="str">
            <v>110903</v>
          </cell>
          <cell r="N5627" t="str">
            <v>STAIN INTERIOR</v>
          </cell>
        </row>
        <row r="5628">
          <cell r="C5628" t="str">
            <v>100000635</v>
          </cell>
          <cell r="D5628" t="str">
            <v>SST-11100 C10 BLUE-4K</v>
          </cell>
          <cell r="E5628" t="str">
            <v>ZFGD</v>
          </cell>
          <cell r="F5628" t="str">
            <v>PC</v>
          </cell>
          <cell r="G5628" t="str">
            <v>1</v>
          </cell>
          <cell r="H5628" t="str">
            <v>INDUSTRY</v>
          </cell>
          <cell r="I5628" t="str">
            <v>11</v>
          </cell>
          <cell r="J5628" t="str">
            <v>WOOD COATINGS</v>
          </cell>
          <cell r="K5628" t="str">
            <v>1109</v>
          </cell>
          <cell r="L5628" t="str">
            <v>STAIN &amp; GLAZE INTERIOR</v>
          </cell>
          <cell r="M5628" t="str">
            <v>110903</v>
          </cell>
          <cell r="N5628" t="str">
            <v>STAIN INTERIOR</v>
          </cell>
        </row>
        <row r="5629">
          <cell r="C5629" t="str">
            <v>100000636</v>
          </cell>
          <cell r="D5629" t="str">
            <v>SST-11100 C10 ORANGE-4K</v>
          </cell>
          <cell r="E5629" t="str">
            <v>ZFGD</v>
          </cell>
          <cell r="F5629" t="str">
            <v>PC</v>
          </cell>
          <cell r="G5629" t="str">
            <v>1</v>
          </cell>
          <cell r="H5629" t="str">
            <v>INDUSTRY</v>
          </cell>
          <cell r="I5629" t="str">
            <v>11</v>
          </cell>
          <cell r="J5629" t="str">
            <v>WOOD COATINGS</v>
          </cell>
          <cell r="K5629" t="str">
            <v>1109</v>
          </cell>
          <cell r="L5629" t="str">
            <v>STAIN &amp; GLAZE INTERIOR</v>
          </cell>
          <cell r="M5629" t="str">
            <v>110903</v>
          </cell>
          <cell r="N5629" t="str">
            <v>STAIN INTERIOR</v>
          </cell>
        </row>
        <row r="5630">
          <cell r="C5630" t="str">
            <v>100000637</v>
          </cell>
          <cell r="D5630" t="str">
            <v>SST-11100 C10 RED-4K</v>
          </cell>
          <cell r="E5630" t="str">
            <v>ZFGD</v>
          </cell>
          <cell r="F5630" t="str">
            <v>PC</v>
          </cell>
          <cell r="G5630" t="str">
            <v>1</v>
          </cell>
          <cell r="H5630" t="str">
            <v>INDUSTRY</v>
          </cell>
          <cell r="I5630" t="str">
            <v>11</v>
          </cell>
          <cell r="J5630" t="str">
            <v>WOOD COATINGS</v>
          </cell>
          <cell r="K5630" t="str">
            <v>1109</v>
          </cell>
          <cell r="L5630" t="str">
            <v>STAIN &amp; GLAZE INTERIOR</v>
          </cell>
          <cell r="M5630" t="str">
            <v>110903</v>
          </cell>
          <cell r="N5630" t="str">
            <v>STAIN INTERIOR</v>
          </cell>
        </row>
        <row r="5631">
          <cell r="C5631" t="str">
            <v>100000638</v>
          </cell>
          <cell r="D5631" t="str">
            <v>SST-11100 C10 YELLOW-4K</v>
          </cell>
          <cell r="E5631" t="str">
            <v>ZFGD</v>
          </cell>
          <cell r="F5631" t="str">
            <v>PC</v>
          </cell>
          <cell r="G5631" t="str">
            <v>1</v>
          </cell>
          <cell r="H5631" t="str">
            <v>INDUSTRY</v>
          </cell>
          <cell r="I5631" t="str">
            <v>11</v>
          </cell>
          <cell r="J5631" t="str">
            <v>WOOD COATINGS</v>
          </cell>
          <cell r="K5631" t="str">
            <v>1109</v>
          </cell>
          <cell r="L5631" t="str">
            <v>STAIN &amp; GLAZE INTERIOR</v>
          </cell>
          <cell r="M5631" t="str">
            <v>110903</v>
          </cell>
          <cell r="N5631" t="str">
            <v>STAIN INTERIOR</v>
          </cell>
        </row>
        <row r="5632">
          <cell r="C5632" t="str">
            <v>100000867</v>
          </cell>
          <cell r="D5632" t="str">
            <v>THC-73100-552 VN-18KJ</v>
          </cell>
          <cell r="E5632" t="str">
            <v>ZFGD</v>
          </cell>
          <cell r="F5632" t="str">
            <v>PC</v>
          </cell>
          <cell r="G5632" t="str">
            <v>1</v>
          </cell>
          <cell r="H5632" t="str">
            <v>INDUSTRY</v>
          </cell>
          <cell r="I5632" t="str">
            <v>14</v>
          </cell>
          <cell r="J5632" t="str">
            <v>THINNER</v>
          </cell>
          <cell r="K5632" t="str">
            <v>1412</v>
          </cell>
          <cell r="L5632" t="str">
            <v>THINNER NC</v>
          </cell>
          <cell r="M5632" t="str">
            <v>141203</v>
          </cell>
          <cell r="N5632" t="str">
            <v>THINNER COMPLEMENTARY</v>
          </cell>
        </row>
        <row r="5633">
          <cell r="C5633" t="str">
            <v>100000872</v>
          </cell>
          <cell r="D5633" t="str">
            <v>THGZ-72200 VN-20LJ</v>
          </cell>
          <cell r="E5633" t="str">
            <v>ZFGD</v>
          </cell>
          <cell r="F5633" t="str">
            <v>PC</v>
          </cell>
          <cell r="G5633" t="str">
            <v>1</v>
          </cell>
          <cell r="H5633" t="str">
            <v>INDUSTRY</v>
          </cell>
          <cell r="I5633" t="str">
            <v>14</v>
          </cell>
          <cell r="J5633" t="str">
            <v>THINNER</v>
          </cell>
          <cell r="K5633" t="str">
            <v>1412</v>
          </cell>
          <cell r="L5633" t="str">
            <v>THINNER NC</v>
          </cell>
          <cell r="M5633" t="str">
            <v>141204</v>
          </cell>
          <cell r="N5633" t="str">
            <v>THINNER GLAZE</v>
          </cell>
        </row>
        <row r="5634">
          <cell r="C5634" t="str">
            <v>100000877</v>
          </cell>
          <cell r="D5634" t="str">
            <v>THNC-71100 SD VN-200LK</v>
          </cell>
          <cell r="E5634" t="str">
            <v>ZFGD</v>
          </cell>
          <cell r="F5634" t="str">
            <v>PC</v>
          </cell>
          <cell r="G5634" t="str">
            <v>1</v>
          </cell>
          <cell r="H5634" t="str">
            <v>INDUSTRY</v>
          </cell>
          <cell r="I5634" t="str">
            <v>14</v>
          </cell>
          <cell r="J5634" t="str">
            <v>THINNER</v>
          </cell>
          <cell r="K5634" t="str">
            <v>1412</v>
          </cell>
          <cell r="L5634" t="str">
            <v>THINNER NC</v>
          </cell>
          <cell r="M5634" t="str">
            <v>141205</v>
          </cell>
          <cell r="N5634" t="str">
            <v>THINNER NC</v>
          </cell>
        </row>
        <row r="5635">
          <cell r="C5635" t="str">
            <v>100000971</v>
          </cell>
          <cell r="D5635" t="str">
            <v>WBL-61202 SL CLEAR 70 VN-200KB</v>
          </cell>
          <cell r="E5635" t="str">
            <v>ZFGD</v>
          </cell>
          <cell r="F5635" t="str">
            <v>PC</v>
          </cell>
          <cell r="G5635" t="str">
            <v>1</v>
          </cell>
          <cell r="H5635" t="str">
            <v>INDUSTRY</v>
          </cell>
          <cell r="I5635" t="str">
            <v>11</v>
          </cell>
          <cell r="J5635" t="str">
            <v>WOOD COATINGS</v>
          </cell>
          <cell r="K5635" t="str">
            <v>1119</v>
          </cell>
          <cell r="L5635" t="str">
            <v>WATERBASED</v>
          </cell>
          <cell r="M5635" t="str">
            <v>111902</v>
          </cell>
          <cell r="N5635" t="str">
            <v>WATERBASED SYSTEM INTERIOR</v>
          </cell>
        </row>
        <row r="5636">
          <cell r="C5636" t="str">
            <v>100001002</v>
          </cell>
          <cell r="D5636" t="str">
            <v>PFP-241 VN-3.5K</v>
          </cell>
          <cell r="E5636" t="str">
            <v>ZFGD</v>
          </cell>
          <cell r="F5636" t="str">
            <v>PC</v>
          </cell>
          <cell r="G5636" t="str">
            <v>5</v>
          </cell>
          <cell r="H5636" t="str">
            <v>PROJECT</v>
          </cell>
          <cell r="I5636" t="str">
            <v>56</v>
          </cell>
          <cell r="J5636" t="str">
            <v>CPC1</v>
          </cell>
          <cell r="K5636" t="str">
            <v>5602</v>
          </cell>
          <cell r="L5636" t="str">
            <v>POLYFLOOR</v>
          </cell>
          <cell r="M5636" t="str">
            <v>560202</v>
          </cell>
          <cell r="N5636" t="str">
            <v>POLYFLOOR EPOXY</v>
          </cell>
        </row>
        <row r="5637">
          <cell r="C5637" t="str">
            <v>100001915</v>
          </cell>
          <cell r="D5637" t="str">
            <v>GZ-12700 N BLACK VN-18KP</v>
          </cell>
          <cell r="E5637" t="str">
            <v>ZFGD</v>
          </cell>
          <cell r="F5637" t="str">
            <v>PC</v>
          </cell>
          <cell r="G5637" t="str">
            <v>1</v>
          </cell>
          <cell r="H5637" t="str">
            <v>INDUSTRY</v>
          </cell>
          <cell r="I5637" t="str">
            <v>11</v>
          </cell>
          <cell r="J5637" t="str">
            <v>WOOD COATINGS</v>
          </cell>
          <cell r="K5637" t="str">
            <v>1109</v>
          </cell>
          <cell r="L5637" t="str">
            <v>STAIN &amp; GLAZE INTERIOR</v>
          </cell>
          <cell r="M5637" t="str">
            <v>110901</v>
          </cell>
          <cell r="N5637" t="str">
            <v>ASOF : STAIN &amp; GLAZE</v>
          </cell>
        </row>
        <row r="5638">
          <cell r="C5638" t="str">
            <v>100002005</v>
          </cell>
          <cell r="D5638" t="str">
            <v>HARDENER PUH-1511 A5 MLY-20LJ</v>
          </cell>
          <cell r="E5638" t="str">
            <v>ZFGD</v>
          </cell>
          <cell r="F5638" t="str">
            <v>PC</v>
          </cell>
          <cell r="G5638" t="str">
            <v>1</v>
          </cell>
          <cell r="H5638" t="str">
            <v>INDUSTRY</v>
          </cell>
          <cell r="I5638" t="str">
            <v>11</v>
          </cell>
          <cell r="J5638" t="str">
            <v>WOOD COATINGS</v>
          </cell>
          <cell r="K5638" t="str">
            <v>1103</v>
          </cell>
          <cell r="L5638" t="str">
            <v>PU</v>
          </cell>
          <cell r="M5638" t="str">
            <v>110320</v>
          </cell>
          <cell r="N5638" t="str">
            <v>PU HARDENER</v>
          </cell>
        </row>
        <row r="5639">
          <cell r="C5639" t="str">
            <v>100002006</v>
          </cell>
          <cell r="D5639" t="str">
            <v>LACQUER PUL-1513 KD 5 SHEEN A37 MLY-20LP</v>
          </cell>
          <cell r="E5639" t="str">
            <v>ZFGD</v>
          </cell>
          <cell r="F5639" t="str">
            <v>PC</v>
          </cell>
          <cell r="G5639" t="str">
            <v>1</v>
          </cell>
          <cell r="H5639" t="str">
            <v>INDUSTRY</v>
          </cell>
          <cell r="I5639" t="str">
            <v>11</v>
          </cell>
          <cell r="J5639" t="str">
            <v>WOOD COATINGS</v>
          </cell>
          <cell r="K5639" t="str">
            <v>1103</v>
          </cell>
          <cell r="L5639" t="str">
            <v>PU</v>
          </cell>
          <cell r="M5639" t="str">
            <v>110321</v>
          </cell>
          <cell r="N5639" t="str">
            <v>PU LACQUER</v>
          </cell>
        </row>
        <row r="5640">
          <cell r="C5640" t="str">
            <v>100002007</v>
          </cell>
          <cell r="D5640" t="str">
            <v>LACQUERPUL-1513 KD 10 SHEEN A36 MLY-20LP</v>
          </cell>
          <cell r="E5640" t="str">
            <v>ZFGD</v>
          </cell>
          <cell r="F5640" t="str">
            <v>PC</v>
          </cell>
          <cell r="G5640" t="str">
            <v>1</v>
          </cell>
          <cell r="H5640" t="str">
            <v>INDUSTRY</v>
          </cell>
          <cell r="I5640" t="str">
            <v>11</v>
          </cell>
          <cell r="J5640" t="str">
            <v>WOOD COATINGS</v>
          </cell>
          <cell r="K5640" t="str">
            <v>1103</v>
          </cell>
          <cell r="L5640" t="str">
            <v>PU</v>
          </cell>
          <cell r="M5640" t="str">
            <v>110321</v>
          </cell>
          <cell r="N5640" t="str">
            <v>PU LACQUER</v>
          </cell>
        </row>
        <row r="5641">
          <cell r="C5641" t="str">
            <v>100002033</v>
          </cell>
          <cell r="D5641" t="str">
            <v>AKS-71100 WP NATURAL VN-20KP</v>
          </cell>
          <cell r="E5641" t="str">
            <v>ZFGD</v>
          </cell>
          <cell r="F5641" t="str">
            <v>PC</v>
          </cell>
          <cell r="G5641" t="str">
            <v>1</v>
          </cell>
          <cell r="H5641" t="str">
            <v>INDUSTRY</v>
          </cell>
          <cell r="I5641" t="str">
            <v>11</v>
          </cell>
          <cell r="J5641" t="str">
            <v>WOOD COATINGS</v>
          </cell>
          <cell r="K5641" t="str">
            <v>1101</v>
          </cell>
          <cell r="L5641" t="str">
            <v>ALKYD OIL</v>
          </cell>
          <cell r="M5641" t="str">
            <v>110101</v>
          </cell>
          <cell r="N5641" t="str">
            <v>ALKYD &amp; OIL SYSTEM</v>
          </cell>
        </row>
        <row r="5642">
          <cell r="C5642" t="str">
            <v>100002336</v>
          </cell>
          <cell r="D5642" t="str">
            <v>NCL-1113-29 LC 10 AK-20LP</v>
          </cell>
          <cell r="E5642" t="str">
            <v>ZFGD</v>
          </cell>
          <cell r="F5642" t="str">
            <v>PC</v>
          </cell>
          <cell r="G5642" t="str">
            <v>1</v>
          </cell>
          <cell r="H5642" t="str">
            <v>INDUSTRY</v>
          </cell>
          <cell r="I5642" t="str">
            <v>11</v>
          </cell>
          <cell r="J5642" t="str">
            <v>WOOD COATINGS</v>
          </cell>
          <cell r="K5642" t="str">
            <v>1104</v>
          </cell>
          <cell r="L5642" t="str">
            <v>NC</v>
          </cell>
          <cell r="M5642" t="str">
            <v>110405</v>
          </cell>
          <cell r="N5642" t="str">
            <v>NC SYSTEM</v>
          </cell>
        </row>
        <row r="5643">
          <cell r="C5643" t="str">
            <v>100002337</v>
          </cell>
          <cell r="D5643" t="str">
            <v>NCL-1113-29 LC 15 AK-20LP</v>
          </cell>
          <cell r="E5643" t="str">
            <v>ZFGD</v>
          </cell>
          <cell r="F5643" t="str">
            <v>PC</v>
          </cell>
          <cell r="G5643" t="str">
            <v>1</v>
          </cell>
          <cell r="H5643" t="str">
            <v>INDUSTRY</v>
          </cell>
          <cell r="I5643" t="str">
            <v>11</v>
          </cell>
          <cell r="J5643" t="str">
            <v>WOOD COATINGS</v>
          </cell>
          <cell r="K5643" t="str">
            <v>1104</v>
          </cell>
          <cell r="L5643" t="str">
            <v>NC</v>
          </cell>
          <cell r="M5643" t="str">
            <v>110405</v>
          </cell>
          <cell r="N5643" t="str">
            <v>NC SYSTEM</v>
          </cell>
        </row>
        <row r="5644">
          <cell r="C5644" t="str">
            <v>100002342</v>
          </cell>
          <cell r="D5644" t="str">
            <v>NCL-1113-29 LC 5 AK-20LP</v>
          </cell>
          <cell r="E5644" t="str">
            <v>ZFGD</v>
          </cell>
          <cell r="F5644" t="str">
            <v>PC</v>
          </cell>
          <cell r="G5644" t="str">
            <v>1</v>
          </cell>
          <cell r="H5644" t="str">
            <v>INDUSTRY</v>
          </cell>
          <cell r="I5644" t="str">
            <v>11</v>
          </cell>
          <cell r="J5644" t="str">
            <v>WOOD COATINGS</v>
          </cell>
          <cell r="K5644" t="str">
            <v>1104</v>
          </cell>
          <cell r="L5644" t="str">
            <v>NC</v>
          </cell>
          <cell r="M5644" t="str">
            <v>110405</v>
          </cell>
          <cell r="N5644" t="str">
            <v>NC SYSTEM</v>
          </cell>
        </row>
        <row r="5645">
          <cell r="C5645" t="str">
            <v>100002359</v>
          </cell>
          <cell r="D5645" t="str">
            <v>NCSS-1112-29 LC AK-200LB</v>
          </cell>
          <cell r="E5645" t="str">
            <v>ZFGD</v>
          </cell>
          <cell r="F5645" t="str">
            <v>PC</v>
          </cell>
          <cell r="G5645" t="str">
            <v>1</v>
          </cell>
          <cell r="H5645" t="str">
            <v>INDUSTRY</v>
          </cell>
          <cell r="I5645" t="str">
            <v>11</v>
          </cell>
          <cell r="J5645" t="str">
            <v>WOOD COATINGS</v>
          </cell>
          <cell r="K5645" t="str">
            <v>1104</v>
          </cell>
          <cell r="L5645" t="str">
            <v>NC</v>
          </cell>
          <cell r="M5645" t="str">
            <v>110405</v>
          </cell>
          <cell r="N5645" t="str">
            <v>NC SYSTEM</v>
          </cell>
        </row>
        <row r="5646">
          <cell r="C5646" t="str">
            <v>100002372</v>
          </cell>
          <cell r="D5646" t="str">
            <v>PSV-76000 SB HC MY VN-20LJ</v>
          </cell>
          <cell r="E5646" t="str">
            <v>ZFGD</v>
          </cell>
          <cell r="F5646" t="str">
            <v>PC</v>
          </cell>
          <cell r="G5646" t="str">
            <v>1</v>
          </cell>
          <cell r="H5646" t="str">
            <v>INDUSTRY</v>
          </cell>
          <cell r="I5646" t="str">
            <v>11</v>
          </cell>
          <cell r="J5646" t="str">
            <v>WOOD COATINGS</v>
          </cell>
          <cell r="K5646" t="str">
            <v>1101</v>
          </cell>
          <cell r="L5646" t="str">
            <v>ALKYD OIL</v>
          </cell>
          <cell r="M5646" t="str">
            <v>110101</v>
          </cell>
          <cell r="N5646" t="str">
            <v>ALKYD &amp; OIL SYSTEM</v>
          </cell>
        </row>
        <row r="5647">
          <cell r="C5647" t="str">
            <v>100002420</v>
          </cell>
          <cell r="D5647" t="str">
            <v>PUC-52239 WHITE 20 VN-20KP</v>
          </cell>
          <cell r="E5647" t="str">
            <v>ZFGD</v>
          </cell>
          <cell r="F5647" t="str">
            <v>PC</v>
          </cell>
          <cell r="G5647" t="str">
            <v>1</v>
          </cell>
          <cell r="H5647" t="str">
            <v>INDUSTRY</v>
          </cell>
          <cell r="I5647" t="str">
            <v>11</v>
          </cell>
          <cell r="J5647" t="str">
            <v>WOOD COATINGS</v>
          </cell>
          <cell r="K5647" t="str">
            <v>1103</v>
          </cell>
          <cell r="L5647" t="str">
            <v>PU</v>
          </cell>
          <cell r="M5647" t="str">
            <v>110319</v>
          </cell>
          <cell r="N5647" t="str">
            <v>PU COLOR</v>
          </cell>
        </row>
        <row r="5648">
          <cell r="C5648" t="str">
            <v>100002422</v>
          </cell>
          <cell r="D5648" t="str">
            <v>PUC-52239 WHITE 30 VN-20KP</v>
          </cell>
          <cell r="E5648" t="str">
            <v>ZFGD</v>
          </cell>
          <cell r="F5648" t="str">
            <v>PC</v>
          </cell>
          <cell r="G5648" t="str">
            <v>1</v>
          </cell>
          <cell r="H5648" t="str">
            <v>INDUSTRY</v>
          </cell>
          <cell r="I5648" t="str">
            <v>11</v>
          </cell>
          <cell r="J5648" t="str">
            <v>WOOD COATINGS</v>
          </cell>
          <cell r="K5648" t="str">
            <v>1103</v>
          </cell>
          <cell r="L5648" t="str">
            <v>PU</v>
          </cell>
          <cell r="M5648" t="str">
            <v>110319</v>
          </cell>
          <cell r="N5648" t="str">
            <v>PU COLOR</v>
          </cell>
        </row>
        <row r="5649">
          <cell r="C5649" t="str">
            <v>100002433</v>
          </cell>
          <cell r="D5649" t="str">
            <v>PUH-56133 HG VN-4K</v>
          </cell>
          <cell r="E5649" t="str">
            <v>ZFGD</v>
          </cell>
          <cell r="F5649" t="str">
            <v>PC</v>
          </cell>
          <cell r="G5649" t="str">
            <v>1</v>
          </cell>
          <cell r="H5649" t="str">
            <v>INDUSTRY</v>
          </cell>
          <cell r="I5649" t="str">
            <v>11</v>
          </cell>
          <cell r="J5649" t="str">
            <v>WOOD COATINGS</v>
          </cell>
          <cell r="K5649" t="str">
            <v>1103</v>
          </cell>
          <cell r="L5649" t="str">
            <v>PU</v>
          </cell>
          <cell r="M5649" t="str">
            <v>110320</v>
          </cell>
          <cell r="N5649" t="str">
            <v>PU HARDENER</v>
          </cell>
        </row>
        <row r="5650">
          <cell r="C5650" t="str">
            <v>100002437</v>
          </cell>
          <cell r="D5650" t="str">
            <v>PUH-56135 S VN-4K</v>
          </cell>
          <cell r="E5650" t="str">
            <v>ZFGD</v>
          </cell>
          <cell r="F5650" t="str">
            <v>PC</v>
          </cell>
          <cell r="G5650" t="str">
            <v>1</v>
          </cell>
          <cell r="H5650" t="str">
            <v>INDUSTRY</v>
          </cell>
          <cell r="I5650" t="str">
            <v>11</v>
          </cell>
          <cell r="J5650" t="str">
            <v>WOOD COATINGS</v>
          </cell>
          <cell r="K5650" t="str">
            <v>1103</v>
          </cell>
          <cell r="L5650" t="str">
            <v>PU</v>
          </cell>
          <cell r="M5650" t="str">
            <v>110320</v>
          </cell>
          <cell r="N5650" t="str">
            <v>PU HARDENER</v>
          </cell>
        </row>
        <row r="5651">
          <cell r="C5651" t="str">
            <v>100002449</v>
          </cell>
          <cell r="D5651" t="str">
            <v>PUL-51333 CLEAR 90 VN-20KP</v>
          </cell>
          <cell r="E5651" t="str">
            <v>ZFGD</v>
          </cell>
          <cell r="F5651" t="str">
            <v>PC</v>
          </cell>
          <cell r="G5651" t="str">
            <v>1</v>
          </cell>
          <cell r="H5651" t="str">
            <v>INDUSTRY</v>
          </cell>
          <cell r="I5651" t="str">
            <v>11</v>
          </cell>
          <cell r="J5651" t="str">
            <v>WOOD COATINGS</v>
          </cell>
          <cell r="K5651" t="str">
            <v>1103</v>
          </cell>
          <cell r="L5651" t="str">
            <v>PU</v>
          </cell>
          <cell r="M5651" t="str">
            <v>110321</v>
          </cell>
          <cell r="N5651" t="str">
            <v>PU LACQUER</v>
          </cell>
        </row>
        <row r="5652">
          <cell r="C5652" t="str">
            <v>100002456</v>
          </cell>
          <cell r="D5652" t="str">
            <v>PUL-51335 CLEAR 90 VN-20KP</v>
          </cell>
          <cell r="E5652" t="str">
            <v>ZFGD</v>
          </cell>
          <cell r="F5652" t="str">
            <v>PC</v>
          </cell>
          <cell r="G5652" t="str">
            <v>1</v>
          </cell>
          <cell r="H5652" t="str">
            <v>INDUSTRY</v>
          </cell>
          <cell r="I5652" t="str">
            <v>11</v>
          </cell>
          <cell r="J5652" t="str">
            <v>WOOD COATINGS</v>
          </cell>
          <cell r="K5652" t="str">
            <v>1103</v>
          </cell>
          <cell r="L5652" t="str">
            <v>PU</v>
          </cell>
          <cell r="M5652" t="str">
            <v>110321</v>
          </cell>
          <cell r="N5652" t="str">
            <v>PU LACQUER</v>
          </cell>
        </row>
        <row r="5653">
          <cell r="C5653" t="str">
            <v>100002620</v>
          </cell>
          <cell r="D5653" t="str">
            <v>GZPU-21500 BLACK VN-4K</v>
          </cell>
          <cell r="E5653" t="str">
            <v>ZFGD</v>
          </cell>
          <cell r="F5653" t="str">
            <v>PC</v>
          </cell>
          <cell r="G5653" t="str">
            <v>1</v>
          </cell>
          <cell r="H5653" t="str">
            <v>INDUSTRY</v>
          </cell>
          <cell r="I5653" t="str">
            <v>11</v>
          </cell>
          <cell r="J5653" t="str">
            <v>WOOD COATINGS</v>
          </cell>
          <cell r="K5653" t="str">
            <v>1103</v>
          </cell>
          <cell r="L5653" t="str">
            <v>PU</v>
          </cell>
          <cell r="M5653" t="str">
            <v>110302</v>
          </cell>
          <cell r="N5653" t="str">
            <v>GLAZE PU</v>
          </cell>
        </row>
        <row r="5654">
          <cell r="C5654" t="str">
            <v>100002623</v>
          </cell>
          <cell r="D5654" t="str">
            <v>GZ-12700 N RED VN-4K</v>
          </cell>
          <cell r="E5654" t="str">
            <v>ZFGD</v>
          </cell>
          <cell r="F5654" t="str">
            <v>PC</v>
          </cell>
          <cell r="G5654" t="str">
            <v>1</v>
          </cell>
          <cell r="H5654" t="str">
            <v>INDUSTRY</v>
          </cell>
          <cell r="I5654" t="str">
            <v>11</v>
          </cell>
          <cell r="J5654" t="str">
            <v>WOOD COATINGS</v>
          </cell>
          <cell r="K5654" t="str">
            <v>1109</v>
          </cell>
          <cell r="L5654" t="str">
            <v>STAIN &amp; GLAZE INTERIOR</v>
          </cell>
          <cell r="M5654" t="str">
            <v>110901</v>
          </cell>
          <cell r="N5654" t="str">
            <v>ASOF : STAIN &amp; GLAZE</v>
          </cell>
        </row>
        <row r="5655">
          <cell r="C5655" t="str">
            <v>100002624</v>
          </cell>
          <cell r="D5655" t="str">
            <v>GZ-12700 N YELLOW-4K</v>
          </cell>
          <cell r="E5655" t="str">
            <v>ZFGD</v>
          </cell>
          <cell r="F5655" t="str">
            <v>PC</v>
          </cell>
          <cell r="G5655" t="str">
            <v>1</v>
          </cell>
          <cell r="H5655" t="str">
            <v>INDUSTRY</v>
          </cell>
          <cell r="I5655" t="str">
            <v>11</v>
          </cell>
          <cell r="J5655" t="str">
            <v>WOOD COATINGS</v>
          </cell>
          <cell r="K5655" t="str">
            <v>1109</v>
          </cell>
          <cell r="L5655" t="str">
            <v>STAIN &amp; GLAZE INTERIOR</v>
          </cell>
          <cell r="M5655" t="str">
            <v>110901</v>
          </cell>
          <cell r="N5655" t="str">
            <v>ASOF : STAIN &amp; GLAZE</v>
          </cell>
        </row>
        <row r="5656">
          <cell r="C5656" t="str">
            <v>100002631</v>
          </cell>
          <cell r="D5656" t="str">
            <v>SST-11100 C10 BLUE-16KJ</v>
          </cell>
          <cell r="E5656" t="str">
            <v>ZFGD</v>
          </cell>
          <cell r="F5656" t="str">
            <v>PC</v>
          </cell>
          <cell r="G5656" t="str">
            <v>1</v>
          </cell>
          <cell r="H5656" t="str">
            <v>INDUSTRY</v>
          </cell>
          <cell r="I5656" t="str">
            <v>11</v>
          </cell>
          <cell r="J5656" t="str">
            <v>WOOD COATINGS</v>
          </cell>
          <cell r="K5656" t="str">
            <v>1109</v>
          </cell>
          <cell r="L5656" t="str">
            <v>STAIN &amp; GLAZE INTERIOR</v>
          </cell>
          <cell r="M5656" t="str">
            <v>110903</v>
          </cell>
          <cell r="N5656" t="str">
            <v>STAIN INTERIOR</v>
          </cell>
        </row>
        <row r="5657">
          <cell r="C5657" t="str">
            <v>100002634</v>
          </cell>
          <cell r="D5657" t="str">
            <v>GZ-12700 N VAN DYKE BROWN VN-4K</v>
          </cell>
          <cell r="E5657" t="str">
            <v>ZFGD</v>
          </cell>
          <cell r="F5657" t="str">
            <v>PC</v>
          </cell>
          <cell r="G5657" t="str">
            <v>1</v>
          </cell>
          <cell r="H5657" t="str">
            <v>INDUSTRY</v>
          </cell>
          <cell r="I5657" t="str">
            <v>11</v>
          </cell>
          <cell r="J5657" t="str">
            <v>WOOD COATINGS</v>
          </cell>
          <cell r="K5657" t="str">
            <v>1109</v>
          </cell>
          <cell r="L5657" t="str">
            <v>STAIN &amp; GLAZE INTERIOR</v>
          </cell>
          <cell r="M5657" t="str">
            <v>110901</v>
          </cell>
          <cell r="N5657" t="str">
            <v>ASOF : STAIN &amp; GLAZE</v>
          </cell>
        </row>
        <row r="5658">
          <cell r="C5658" t="str">
            <v>100002669</v>
          </cell>
          <cell r="D5658" t="str">
            <v>THINNER EPOXY VN-3.8L</v>
          </cell>
          <cell r="E5658" t="str">
            <v>ZFGD</v>
          </cell>
          <cell r="F5658" t="str">
            <v>PC</v>
          </cell>
          <cell r="G5658" t="str">
            <v>2</v>
          </cell>
          <cell r="H5658" t="str">
            <v>RETAIL</v>
          </cell>
          <cell r="I5658" t="str">
            <v>29</v>
          </cell>
          <cell r="J5658" t="str">
            <v>MPC</v>
          </cell>
          <cell r="K5658" t="str">
            <v>2915</v>
          </cell>
          <cell r="L5658" t="str">
            <v>THINNER</v>
          </cell>
          <cell r="M5658" t="str">
            <v>291502</v>
          </cell>
          <cell r="N5658" t="str">
            <v>THINNER MPC</v>
          </cell>
        </row>
        <row r="5659">
          <cell r="C5659" t="str">
            <v>100002756</v>
          </cell>
          <cell r="D5659" t="str">
            <v>HARDENER PUH-1511 A5 MLY-4L</v>
          </cell>
          <cell r="E5659" t="str">
            <v>ZFGD</v>
          </cell>
          <cell r="F5659" t="str">
            <v>PC</v>
          </cell>
          <cell r="G5659" t="str">
            <v>1</v>
          </cell>
          <cell r="H5659" t="str">
            <v>INDUSTRY</v>
          </cell>
          <cell r="I5659" t="str">
            <v>11</v>
          </cell>
          <cell r="J5659" t="str">
            <v>WOOD COATINGS</v>
          </cell>
          <cell r="K5659" t="str">
            <v>1103</v>
          </cell>
          <cell r="L5659" t="str">
            <v>PU</v>
          </cell>
          <cell r="M5659" t="str">
            <v>110320</v>
          </cell>
          <cell r="N5659" t="str">
            <v>PU HARDENER</v>
          </cell>
        </row>
        <row r="5660">
          <cell r="C5660" t="str">
            <v>100002757</v>
          </cell>
          <cell r="D5660" t="str">
            <v>SEALER PUSS-1512 KD A3 MLY-20LP</v>
          </cell>
          <cell r="E5660" t="str">
            <v>ZFGD</v>
          </cell>
          <cell r="F5660" t="str">
            <v>PC</v>
          </cell>
          <cell r="G5660" t="str">
            <v>1</v>
          </cell>
          <cell r="H5660" t="str">
            <v>INDUSTRY</v>
          </cell>
          <cell r="I5660" t="str">
            <v>11</v>
          </cell>
          <cell r="J5660" t="str">
            <v>WOOD COATINGS</v>
          </cell>
          <cell r="K5660" t="str">
            <v>1103</v>
          </cell>
          <cell r="L5660" t="str">
            <v>PU</v>
          </cell>
          <cell r="M5660" t="str">
            <v>110323</v>
          </cell>
          <cell r="N5660" t="str">
            <v>PU SANDING SEALER</v>
          </cell>
        </row>
        <row r="5661">
          <cell r="C5661" t="str">
            <v>100002758</v>
          </cell>
          <cell r="D5661" t="str">
            <v>LACQUER PUL-51330 SR KD 10 MY-20LP</v>
          </cell>
          <cell r="E5661" t="str">
            <v>ZFGD</v>
          </cell>
          <cell r="F5661" t="str">
            <v>PC</v>
          </cell>
          <cell r="G5661" t="str">
            <v>1</v>
          </cell>
          <cell r="H5661" t="str">
            <v>INDUSTRY</v>
          </cell>
          <cell r="I5661" t="str">
            <v>11</v>
          </cell>
          <cell r="J5661" t="str">
            <v>WOOD COATINGS</v>
          </cell>
          <cell r="K5661" t="str">
            <v>1103</v>
          </cell>
          <cell r="L5661" t="str">
            <v>PU</v>
          </cell>
          <cell r="M5661" t="str">
            <v>110321</v>
          </cell>
          <cell r="N5661" t="str">
            <v>PU LACQUER</v>
          </cell>
        </row>
        <row r="5662">
          <cell r="C5662" t="str">
            <v>100002759</v>
          </cell>
          <cell r="D5662" t="str">
            <v>LACQUER PUL-51330 SR KD 20 MY-20LP</v>
          </cell>
          <cell r="E5662" t="str">
            <v>ZFGD</v>
          </cell>
          <cell r="F5662" t="str">
            <v>PC</v>
          </cell>
          <cell r="G5662" t="str">
            <v>1</v>
          </cell>
          <cell r="H5662" t="str">
            <v>INDUSTRY</v>
          </cell>
          <cell r="I5662" t="str">
            <v>11</v>
          </cell>
          <cell r="J5662" t="str">
            <v>WOOD COATINGS</v>
          </cell>
          <cell r="K5662" t="str">
            <v>1103</v>
          </cell>
          <cell r="L5662" t="str">
            <v>PU</v>
          </cell>
          <cell r="M5662" t="str">
            <v>110321</v>
          </cell>
          <cell r="N5662" t="str">
            <v>PU LACQUER</v>
          </cell>
        </row>
        <row r="5663">
          <cell r="C5663" t="str">
            <v>100002760</v>
          </cell>
          <cell r="D5663" t="str">
            <v>LACQUERPUL-1513 KD 20 SHEEN A35 MLY-20LP</v>
          </cell>
          <cell r="E5663" t="str">
            <v>ZFGD</v>
          </cell>
          <cell r="F5663" t="str">
            <v>PC</v>
          </cell>
          <cell r="G5663" t="str">
            <v>1</v>
          </cell>
          <cell r="H5663" t="str">
            <v>INDUSTRY</v>
          </cell>
          <cell r="I5663" t="str">
            <v>11</v>
          </cell>
          <cell r="J5663" t="str">
            <v>WOOD COATINGS</v>
          </cell>
          <cell r="K5663" t="str">
            <v>1103</v>
          </cell>
          <cell r="L5663" t="str">
            <v>PU</v>
          </cell>
          <cell r="M5663" t="str">
            <v>110321</v>
          </cell>
          <cell r="N5663" t="str">
            <v>PU LACQUER</v>
          </cell>
        </row>
        <row r="5664">
          <cell r="C5664" t="str">
            <v>100002814</v>
          </cell>
          <cell r="D5664" t="str">
            <v>LACQUER PUL-51330 SR KD 05 MY-20LP</v>
          </cell>
          <cell r="E5664" t="str">
            <v>ZFGD</v>
          </cell>
          <cell r="F5664" t="str">
            <v>PC</v>
          </cell>
          <cell r="G5664" t="str">
            <v>1</v>
          </cell>
          <cell r="H5664" t="str">
            <v>INDUSTRY</v>
          </cell>
          <cell r="I5664" t="str">
            <v>11</v>
          </cell>
          <cell r="J5664" t="str">
            <v>WOOD COATINGS</v>
          </cell>
          <cell r="K5664" t="str">
            <v>1103</v>
          </cell>
          <cell r="L5664" t="str">
            <v>PU</v>
          </cell>
          <cell r="M5664" t="str">
            <v>110321</v>
          </cell>
          <cell r="N5664" t="str">
            <v>PU LACQUER</v>
          </cell>
        </row>
        <row r="5665">
          <cell r="C5665" t="str">
            <v>100002821</v>
          </cell>
          <cell r="D5665" t="str">
            <v>PUP-52141 CANARY KD VN-20KP</v>
          </cell>
          <cell r="E5665" t="str">
            <v>ZFGD</v>
          </cell>
          <cell r="F5665" t="str">
            <v>PC</v>
          </cell>
          <cell r="G5665" t="str">
            <v>1</v>
          </cell>
          <cell r="H5665" t="str">
            <v>INDUSTRY</v>
          </cell>
          <cell r="I5665" t="str">
            <v>11</v>
          </cell>
          <cell r="J5665" t="str">
            <v>WOOD COATINGS</v>
          </cell>
          <cell r="K5665" t="str">
            <v>1103</v>
          </cell>
          <cell r="L5665" t="str">
            <v>PU</v>
          </cell>
          <cell r="M5665" t="str">
            <v>110322</v>
          </cell>
          <cell r="N5665" t="str">
            <v>PU PRIMER</v>
          </cell>
        </row>
        <row r="5666">
          <cell r="C5666" t="str">
            <v>100002822</v>
          </cell>
          <cell r="D5666" t="str">
            <v>PUC-52241 CANARY 30 KD VN-20KP</v>
          </cell>
          <cell r="E5666" t="str">
            <v>ZFGD</v>
          </cell>
          <cell r="F5666" t="str">
            <v>PC</v>
          </cell>
          <cell r="G5666" t="str">
            <v>1</v>
          </cell>
          <cell r="H5666" t="str">
            <v>INDUSTRY</v>
          </cell>
          <cell r="I5666" t="str">
            <v>11</v>
          </cell>
          <cell r="J5666" t="str">
            <v>WOOD COATINGS</v>
          </cell>
          <cell r="K5666" t="str">
            <v>1103</v>
          </cell>
          <cell r="L5666" t="str">
            <v>PU</v>
          </cell>
          <cell r="M5666" t="str">
            <v>110319</v>
          </cell>
          <cell r="N5666" t="str">
            <v>PU COLOR</v>
          </cell>
        </row>
        <row r="5667">
          <cell r="C5667" t="str">
            <v>100002823</v>
          </cell>
          <cell r="D5667" t="str">
            <v>PUP-52135 WG KD VN-20KP</v>
          </cell>
          <cell r="E5667" t="str">
            <v>ZFGD</v>
          </cell>
          <cell r="F5667" t="str">
            <v>PC</v>
          </cell>
          <cell r="G5667" t="str">
            <v>1</v>
          </cell>
          <cell r="H5667" t="str">
            <v>INDUSTRY</v>
          </cell>
          <cell r="I5667" t="str">
            <v>11</v>
          </cell>
          <cell r="J5667" t="str">
            <v>WOOD COATINGS</v>
          </cell>
          <cell r="K5667" t="str">
            <v>1103</v>
          </cell>
          <cell r="L5667" t="str">
            <v>PU</v>
          </cell>
          <cell r="M5667" t="str">
            <v>110322</v>
          </cell>
          <cell r="N5667" t="str">
            <v>PU PRIMER</v>
          </cell>
        </row>
        <row r="5668">
          <cell r="C5668" t="str">
            <v>100002824</v>
          </cell>
          <cell r="D5668" t="str">
            <v>PUC-54206 AC EX WG 30 KD VN-20KP</v>
          </cell>
          <cell r="E5668" t="str">
            <v>ZFGD</v>
          </cell>
          <cell r="F5668" t="str">
            <v>PC</v>
          </cell>
          <cell r="G5668" t="str">
            <v>1</v>
          </cell>
          <cell r="H5668" t="str">
            <v>INDUSTRY</v>
          </cell>
          <cell r="I5668" t="str">
            <v>11</v>
          </cell>
          <cell r="J5668" t="str">
            <v>WOOD COATINGS</v>
          </cell>
          <cell r="K5668" t="str">
            <v>1103</v>
          </cell>
          <cell r="L5668" t="str">
            <v>PU</v>
          </cell>
          <cell r="M5668" t="str">
            <v>110319</v>
          </cell>
          <cell r="N5668" t="str">
            <v>PU COLOR</v>
          </cell>
        </row>
        <row r="5669">
          <cell r="C5669" t="str">
            <v>100002825</v>
          </cell>
          <cell r="D5669" t="str">
            <v>PUP-52135 WHITE 30 KD VN-20KP</v>
          </cell>
          <cell r="E5669" t="str">
            <v>ZFGD</v>
          </cell>
          <cell r="F5669" t="str">
            <v>PC</v>
          </cell>
          <cell r="G5669" t="str">
            <v>1</v>
          </cell>
          <cell r="H5669" t="str">
            <v>INDUSTRY</v>
          </cell>
          <cell r="I5669" t="str">
            <v>11</v>
          </cell>
          <cell r="J5669" t="str">
            <v>WOOD COATINGS</v>
          </cell>
          <cell r="K5669" t="str">
            <v>1103</v>
          </cell>
          <cell r="L5669" t="str">
            <v>PU</v>
          </cell>
          <cell r="M5669" t="str">
            <v>110322</v>
          </cell>
          <cell r="N5669" t="str">
            <v>PU PRIMER</v>
          </cell>
        </row>
        <row r="5670">
          <cell r="C5670" t="str">
            <v>100002826</v>
          </cell>
          <cell r="D5670" t="str">
            <v>PUC-54205 AC WHITE 30 30 KD VN-20KP</v>
          </cell>
          <cell r="E5670" t="str">
            <v>ZFGD</v>
          </cell>
          <cell r="F5670" t="str">
            <v>PC</v>
          </cell>
          <cell r="G5670" t="str">
            <v>1</v>
          </cell>
          <cell r="H5670" t="str">
            <v>INDUSTRY</v>
          </cell>
          <cell r="I5670" t="str">
            <v>11</v>
          </cell>
          <cell r="J5670" t="str">
            <v>WOOD COATINGS</v>
          </cell>
          <cell r="K5670" t="str">
            <v>1103</v>
          </cell>
          <cell r="L5670" t="str">
            <v>PU</v>
          </cell>
          <cell r="M5670" t="str">
            <v>110319</v>
          </cell>
          <cell r="N5670" t="str">
            <v>PU COLOR</v>
          </cell>
        </row>
        <row r="5671">
          <cell r="C5671" t="str">
            <v>100002827</v>
          </cell>
          <cell r="D5671" t="str">
            <v>PUP-52141 BLACK 30 KD VN-20KP</v>
          </cell>
          <cell r="E5671" t="str">
            <v>ZFGD</v>
          </cell>
          <cell r="F5671" t="str">
            <v>PC</v>
          </cell>
          <cell r="G5671" t="str">
            <v>1</v>
          </cell>
          <cell r="H5671" t="str">
            <v>INDUSTRY</v>
          </cell>
          <cell r="I5671" t="str">
            <v>11</v>
          </cell>
          <cell r="J5671" t="str">
            <v>WOOD COATINGS</v>
          </cell>
          <cell r="K5671" t="str">
            <v>1103</v>
          </cell>
          <cell r="L5671" t="str">
            <v>PU</v>
          </cell>
          <cell r="M5671" t="str">
            <v>110322</v>
          </cell>
          <cell r="N5671" t="str">
            <v>PU PRIMER</v>
          </cell>
        </row>
        <row r="5672">
          <cell r="C5672" t="str">
            <v>100002828</v>
          </cell>
          <cell r="D5672" t="str">
            <v>PUC-52241 BLACK 30 30 KD VN-20KP</v>
          </cell>
          <cell r="E5672" t="str">
            <v>ZFGD</v>
          </cell>
          <cell r="F5672" t="str">
            <v>PC</v>
          </cell>
          <cell r="G5672" t="str">
            <v>1</v>
          </cell>
          <cell r="H5672" t="str">
            <v>INDUSTRY</v>
          </cell>
          <cell r="I5672" t="str">
            <v>11</v>
          </cell>
          <cell r="J5672" t="str">
            <v>WOOD COATINGS</v>
          </cell>
          <cell r="K5672" t="str">
            <v>1103</v>
          </cell>
          <cell r="L5672" t="str">
            <v>PU</v>
          </cell>
          <cell r="M5672" t="str">
            <v>110319</v>
          </cell>
          <cell r="N5672" t="str">
            <v>PU COLOR</v>
          </cell>
        </row>
        <row r="5673">
          <cell r="C5673" t="str">
            <v>100002835</v>
          </cell>
          <cell r="D5673" t="str">
            <v>UVSS-40115 KW VN-20KP</v>
          </cell>
          <cell r="E5673" t="str">
            <v>ZFGD</v>
          </cell>
          <cell r="F5673" t="str">
            <v>PC</v>
          </cell>
          <cell r="G5673" t="str">
            <v>1</v>
          </cell>
          <cell r="H5673" t="str">
            <v>INDUSTRY</v>
          </cell>
          <cell r="I5673" t="str">
            <v>11</v>
          </cell>
          <cell r="J5673" t="str">
            <v>WOOD COATINGS</v>
          </cell>
          <cell r="K5673" t="str">
            <v>1106</v>
          </cell>
          <cell r="L5673" t="str">
            <v>UV</v>
          </cell>
          <cell r="M5673" t="str">
            <v>110605</v>
          </cell>
          <cell r="N5673" t="str">
            <v>UV SANDING SEALER</v>
          </cell>
        </row>
        <row r="5674">
          <cell r="C5674" t="str">
            <v>100002871</v>
          </cell>
          <cell r="D5674" t="str">
            <v>DC-12200 CKF EXTRUDE WHITE 30 SH MY-20KP</v>
          </cell>
          <cell r="E5674" t="str">
            <v>ZFGD</v>
          </cell>
          <cell r="F5674" t="str">
            <v>PC</v>
          </cell>
          <cell r="G5674" t="str">
            <v>1</v>
          </cell>
          <cell r="H5674" t="str">
            <v>INDUSTRY</v>
          </cell>
          <cell r="I5674" t="str">
            <v>11</v>
          </cell>
          <cell r="J5674" t="str">
            <v>WOOD COATINGS</v>
          </cell>
          <cell r="K5674" t="str">
            <v>1104</v>
          </cell>
          <cell r="L5674" t="str">
            <v>NC</v>
          </cell>
          <cell r="M5674" t="str">
            <v>110405</v>
          </cell>
          <cell r="N5674" t="str">
            <v>NC SYSTEM</v>
          </cell>
        </row>
        <row r="5675">
          <cell r="C5675" t="str">
            <v>100002874</v>
          </cell>
          <cell r="D5675" t="str">
            <v>DC-12200 CKF DIP EXT WHITE 30SH MY-20KP</v>
          </cell>
          <cell r="E5675" t="str">
            <v>ZFGD</v>
          </cell>
          <cell r="F5675" t="str">
            <v>PC</v>
          </cell>
          <cell r="G5675" t="str">
            <v>1</v>
          </cell>
          <cell r="H5675" t="str">
            <v>INDUSTRY</v>
          </cell>
          <cell r="I5675" t="str">
            <v>11</v>
          </cell>
          <cell r="J5675" t="str">
            <v>WOOD COATINGS</v>
          </cell>
          <cell r="K5675" t="str">
            <v>1104</v>
          </cell>
          <cell r="L5675" t="str">
            <v>NC</v>
          </cell>
          <cell r="M5675" t="str">
            <v>110405</v>
          </cell>
          <cell r="N5675" t="str">
            <v>NC SYSTEM</v>
          </cell>
        </row>
        <row r="5676">
          <cell r="C5676" t="str">
            <v>100002931</v>
          </cell>
          <cell r="D5676" t="str">
            <v>PUH-1511 A1 MLY-4L</v>
          </cell>
          <cell r="E5676" t="str">
            <v>ZFGD</v>
          </cell>
          <cell r="F5676" t="str">
            <v>PC</v>
          </cell>
          <cell r="G5676" t="str">
            <v>1</v>
          </cell>
          <cell r="H5676" t="str">
            <v>INDUSTRY</v>
          </cell>
          <cell r="I5676" t="str">
            <v>11</v>
          </cell>
          <cell r="J5676" t="str">
            <v>WOOD COATINGS</v>
          </cell>
          <cell r="K5676" t="str">
            <v>1103</v>
          </cell>
          <cell r="L5676" t="str">
            <v>PU</v>
          </cell>
          <cell r="M5676" t="str">
            <v>110320</v>
          </cell>
          <cell r="N5676" t="str">
            <v>PU HARDENER</v>
          </cell>
        </row>
        <row r="5677">
          <cell r="C5677" t="str">
            <v>100002932</v>
          </cell>
          <cell r="D5677" t="str">
            <v>DP-1121 HV WHITE A4 MLY-20KP</v>
          </cell>
          <cell r="E5677" t="str">
            <v>ZFGD</v>
          </cell>
          <cell r="F5677" t="str">
            <v>PC</v>
          </cell>
          <cell r="G5677" t="str">
            <v>1</v>
          </cell>
          <cell r="H5677" t="str">
            <v>INDUSTRY</v>
          </cell>
          <cell r="I5677" t="str">
            <v>11</v>
          </cell>
          <cell r="J5677" t="str">
            <v>WOOD COATINGS</v>
          </cell>
          <cell r="K5677" t="str">
            <v>1104</v>
          </cell>
          <cell r="L5677" t="str">
            <v>NC</v>
          </cell>
          <cell r="M5677" t="str">
            <v>110405</v>
          </cell>
          <cell r="N5677" t="str">
            <v>NC SYSTEM</v>
          </cell>
        </row>
        <row r="5678">
          <cell r="C5678" t="str">
            <v>100002933</v>
          </cell>
          <cell r="D5678" t="str">
            <v>DC-12200 CKF DIP HP WHITE 30 MY-20KP</v>
          </cell>
          <cell r="E5678" t="str">
            <v>ZFGD</v>
          </cell>
          <cell r="F5678" t="str">
            <v>PC</v>
          </cell>
          <cell r="G5678" t="str">
            <v>1</v>
          </cell>
          <cell r="H5678" t="str">
            <v>INDUSTRY</v>
          </cell>
          <cell r="I5678" t="str">
            <v>11</v>
          </cell>
          <cell r="J5678" t="str">
            <v>WOOD COATINGS</v>
          </cell>
          <cell r="K5678" t="str">
            <v>1104</v>
          </cell>
          <cell r="L5678" t="str">
            <v>NC</v>
          </cell>
          <cell r="M5678" t="str">
            <v>110405</v>
          </cell>
          <cell r="N5678" t="str">
            <v>NC SYSTEM</v>
          </cell>
        </row>
        <row r="5679">
          <cell r="C5679" t="str">
            <v>100002934</v>
          </cell>
          <cell r="D5679" t="str">
            <v>DC-12200 CKF DIP HP WHITE 30 MY-200KB</v>
          </cell>
          <cell r="E5679" t="str">
            <v>ZFGD</v>
          </cell>
          <cell r="F5679" t="str">
            <v>PC</v>
          </cell>
          <cell r="G5679" t="str">
            <v>1</v>
          </cell>
          <cell r="H5679" t="str">
            <v>INDUSTRY</v>
          </cell>
          <cell r="I5679" t="str">
            <v>11</v>
          </cell>
          <cell r="J5679" t="str">
            <v>WOOD COATINGS</v>
          </cell>
          <cell r="K5679" t="str">
            <v>1104</v>
          </cell>
          <cell r="L5679" t="str">
            <v>NC</v>
          </cell>
          <cell r="M5679" t="str">
            <v>110405</v>
          </cell>
          <cell r="N5679" t="str">
            <v>NC SYSTEM</v>
          </cell>
        </row>
        <row r="5680">
          <cell r="C5680" t="str">
            <v>100002935</v>
          </cell>
          <cell r="D5680" t="str">
            <v>DC-1122 CKF WHITE BASE 10SH A15 MY-200KB</v>
          </cell>
          <cell r="E5680" t="str">
            <v>ZFGD</v>
          </cell>
          <cell r="F5680" t="str">
            <v>PC</v>
          </cell>
          <cell r="G5680" t="str">
            <v>1</v>
          </cell>
          <cell r="H5680" t="str">
            <v>INDUSTRY</v>
          </cell>
          <cell r="I5680" t="str">
            <v>11</v>
          </cell>
          <cell r="J5680" t="str">
            <v>WOOD COATINGS</v>
          </cell>
          <cell r="K5680" t="str">
            <v>1104</v>
          </cell>
          <cell r="L5680" t="str">
            <v>NC</v>
          </cell>
          <cell r="M5680" t="str">
            <v>110405</v>
          </cell>
          <cell r="N5680" t="str">
            <v>NC SYSTEM</v>
          </cell>
        </row>
        <row r="5681">
          <cell r="C5681" t="str">
            <v>100002936</v>
          </cell>
          <cell r="D5681" t="str">
            <v>PUSS-1512 HF A8 MLY-20KP</v>
          </cell>
          <cell r="E5681" t="str">
            <v>ZFGD</v>
          </cell>
          <cell r="F5681" t="str">
            <v>PC</v>
          </cell>
          <cell r="G5681" t="str">
            <v>1</v>
          </cell>
          <cell r="H5681" t="str">
            <v>INDUSTRY</v>
          </cell>
          <cell r="I5681" t="str">
            <v>11</v>
          </cell>
          <cell r="J5681" t="str">
            <v>WOOD COATINGS</v>
          </cell>
          <cell r="K5681" t="str">
            <v>1103</v>
          </cell>
          <cell r="L5681" t="str">
            <v>PU</v>
          </cell>
          <cell r="M5681" t="str">
            <v>110323</v>
          </cell>
          <cell r="N5681" t="str">
            <v>PU SANDING SEALER</v>
          </cell>
        </row>
        <row r="5682">
          <cell r="C5682" t="str">
            <v>100002937</v>
          </cell>
          <cell r="D5682" t="str">
            <v>PUP-1541 ACR SFC CLEAR BASE A8 MLY-200KB</v>
          </cell>
          <cell r="E5682" t="str">
            <v>ZFGD</v>
          </cell>
          <cell r="F5682" t="str">
            <v>PC</v>
          </cell>
          <cell r="G5682" t="str">
            <v>1</v>
          </cell>
          <cell r="H5682" t="str">
            <v>INDUSTRY</v>
          </cell>
          <cell r="I5682" t="str">
            <v>11</v>
          </cell>
          <cell r="J5682" t="str">
            <v>WOOD COATINGS</v>
          </cell>
          <cell r="K5682" t="str">
            <v>1103</v>
          </cell>
          <cell r="L5682" t="str">
            <v>PU</v>
          </cell>
          <cell r="M5682" t="str">
            <v>110322</v>
          </cell>
          <cell r="N5682" t="str">
            <v>PU PRIMER</v>
          </cell>
        </row>
        <row r="5683">
          <cell r="C5683" t="str">
            <v>100002938</v>
          </cell>
          <cell r="D5683" t="str">
            <v>PUP-1541-02 ACR CLEAR BASE MLY-200KB</v>
          </cell>
          <cell r="E5683" t="str">
            <v>ZFGD</v>
          </cell>
          <cell r="F5683" t="str">
            <v>PC</v>
          </cell>
          <cell r="G5683" t="str">
            <v>1</v>
          </cell>
          <cell r="H5683" t="str">
            <v>INDUSTRY</v>
          </cell>
          <cell r="I5683" t="str">
            <v>11</v>
          </cell>
          <cell r="J5683" t="str">
            <v>WOOD COATINGS</v>
          </cell>
          <cell r="K5683" t="str">
            <v>1103</v>
          </cell>
          <cell r="L5683" t="str">
            <v>PU</v>
          </cell>
          <cell r="M5683" t="str">
            <v>110322</v>
          </cell>
          <cell r="N5683" t="str">
            <v>PU PRIMER</v>
          </cell>
        </row>
        <row r="5684">
          <cell r="C5684" t="str">
            <v>100002939</v>
          </cell>
          <cell r="D5684" t="str">
            <v>PUP-1541-02 ACR WHITE MLY-20KP</v>
          </cell>
          <cell r="E5684" t="str">
            <v>ZFGD</v>
          </cell>
          <cell r="F5684" t="str">
            <v>PC</v>
          </cell>
          <cell r="G5684" t="str">
            <v>1</v>
          </cell>
          <cell r="H5684" t="str">
            <v>INDUSTRY</v>
          </cell>
          <cell r="I5684" t="str">
            <v>11</v>
          </cell>
          <cell r="J5684" t="str">
            <v>WOOD COATINGS</v>
          </cell>
          <cell r="K5684" t="str">
            <v>1103</v>
          </cell>
          <cell r="L5684" t="str">
            <v>PU</v>
          </cell>
          <cell r="M5684" t="str">
            <v>110322</v>
          </cell>
          <cell r="N5684" t="str">
            <v>PU PRIMER</v>
          </cell>
        </row>
        <row r="5685">
          <cell r="C5685" t="str">
            <v>100002940</v>
          </cell>
          <cell r="D5685" t="str">
            <v>PUP-1541-02 ACR WHITE MLY-200KB</v>
          </cell>
          <cell r="E5685" t="str">
            <v>ZFGD</v>
          </cell>
          <cell r="F5685" t="str">
            <v>PC</v>
          </cell>
          <cell r="G5685" t="str">
            <v>1</v>
          </cell>
          <cell r="H5685" t="str">
            <v>INDUSTRY</v>
          </cell>
          <cell r="I5685" t="str">
            <v>11</v>
          </cell>
          <cell r="J5685" t="str">
            <v>WOOD COATINGS</v>
          </cell>
          <cell r="K5685" t="str">
            <v>1103</v>
          </cell>
          <cell r="L5685" t="str">
            <v>PU</v>
          </cell>
          <cell r="M5685" t="str">
            <v>110322</v>
          </cell>
          <cell r="N5685" t="str">
            <v>PU PRIMER</v>
          </cell>
        </row>
        <row r="5686">
          <cell r="C5686" t="str">
            <v>100002941</v>
          </cell>
          <cell r="D5686" t="str">
            <v>PUC-1542-07 ACR WHITE GLOSS MLY-20KP</v>
          </cell>
          <cell r="E5686" t="str">
            <v>ZFGD</v>
          </cell>
          <cell r="F5686" t="str">
            <v>PC</v>
          </cell>
          <cell r="G5686" t="str">
            <v>1</v>
          </cell>
          <cell r="H5686" t="str">
            <v>INDUSTRY</v>
          </cell>
          <cell r="I5686" t="str">
            <v>11</v>
          </cell>
          <cell r="J5686" t="str">
            <v>WOOD COATINGS</v>
          </cell>
          <cell r="K5686" t="str">
            <v>1103</v>
          </cell>
          <cell r="L5686" t="str">
            <v>PU</v>
          </cell>
          <cell r="M5686" t="str">
            <v>110319</v>
          </cell>
          <cell r="N5686" t="str">
            <v>PU COLOR</v>
          </cell>
        </row>
        <row r="5687">
          <cell r="C5687" t="str">
            <v>100002942</v>
          </cell>
          <cell r="D5687" t="str">
            <v>PUC-1542-07 ACR WHITE GLOSS MLY-200KB</v>
          </cell>
          <cell r="E5687" t="str">
            <v>ZFGD</v>
          </cell>
          <cell r="F5687" t="str">
            <v>PC</v>
          </cell>
          <cell r="G5687" t="str">
            <v>1</v>
          </cell>
          <cell r="H5687" t="str">
            <v>INDUSTRY</v>
          </cell>
          <cell r="I5687" t="str">
            <v>11</v>
          </cell>
          <cell r="J5687" t="str">
            <v>WOOD COATINGS</v>
          </cell>
          <cell r="K5687" t="str">
            <v>1103</v>
          </cell>
          <cell r="L5687" t="str">
            <v>PU</v>
          </cell>
          <cell r="M5687" t="str">
            <v>110319</v>
          </cell>
          <cell r="N5687" t="str">
            <v>PU COLOR</v>
          </cell>
        </row>
        <row r="5688">
          <cell r="C5688" t="str">
            <v>100002943</v>
          </cell>
          <cell r="D5688" t="str">
            <v>PUL-1533-15 ACR CLEAR GLOSS MLY-20LP</v>
          </cell>
          <cell r="E5688" t="str">
            <v>ZFGD</v>
          </cell>
          <cell r="F5688" t="str">
            <v>PC</v>
          </cell>
          <cell r="G5688" t="str">
            <v>1</v>
          </cell>
          <cell r="H5688" t="str">
            <v>INDUSTRY</v>
          </cell>
          <cell r="I5688" t="str">
            <v>11</v>
          </cell>
          <cell r="J5688" t="str">
            <v>WOOD COATINGS</v>
          </cell>
          <cell r="K5688" t="str">
            <v>1103</v>
          </cell>
          <cell r="L5688" t="str">
            <v>PU</v>
          </cell>
          <cell r="M5688" t="str">
            <v>110321</v>
          </cell>
          <cell r="N5688" t="str">
            <v>PU LACQUER</v>
          </cell>
        </row>
        <row r="5689">
          <cell r="C5689" t="str">
            <v>100002944</v>
          </cell>
          <cell r="D5689" t="str">
            <v>PUL-1513 50 SHEEN A7 MLY-20KP</v>
          </cell>
          <cell r="E5689" t="str">
            <v>ZFGD</v>
          </cell>
          <cell r="F5689" t="str">
            <v>PC</v>
          </cell>
          <cell r="G5689" t="str">
            <v>1</v>
          </cell>
          <cell r="H5689" t="str">
            <v>INDUSTRY</v>
          </cell>
          <cell r="I5689" t="str">
            <v>11</v>
          </cell>
          <cell r="J5689" t="str">
            <v>WOOD COATINGS</v>
          </cell>
          <cell r="K5689" t="str">
            <v>1103</v>
          </cell>
          <cell r="L5689" t="str">
            <v>PU</v>
          </cell>
          <cell r="M5689" t="str">
            <v>110321</v>
          </cell>
          <cell r="N5689" t="str">
            <v>PU LACQUER</v>
          </cell>
        </row>
        <row r="5690">
          <cell r="C5690" t="str">
            <v>100002945</v>
          </cell>
          <cell r="D5690" t="str">
            <v>82-2025 UE AF URT SANDING A MLY-16KP</v>
          </cell>
          <cell r="E5690" t="str">
            <v>ZFGD</v>
          </cell>
          <cell r="F5690" t="str">
            <v>PC</v>
          </cell>
          <cell r="G5690" t="str">
            <v>1</v>
          </cell>
          <cell r="H5690" t="str">
            <v>INDUSTRY</v>
          </cell>
          <cell r="I5690" t="str">
            <v>11</v>
          </cell>
          <cell r="J5690" t="str">
            <v>WOOD COATINGS</v>
          </cell>
          <cell r="K5690" t="str">
            <v>1103</v>
          </cell>
          <cell r="L5690" t="str">
            <v>PU</v>
          </cell>
          <cell r="M5690" t="str">
            <v>110308</v>
          </cell>
          <cell r="N5690" t="str">
            <v>UNION SANDING SEALER</v>
          </cell>
        </row>
        <row r="5691">
          <cell r="C5691" t="str">
            <v>100002946</v>
          </cell>
          <cell r="D5691" t="str">
            <v>82-1029 UE AF URT FLAT A MLY-16KP</v>
          </cell>
          <cell r="E5691" t="str">
            <v>ZFGD</v>
          </cell>
          <cell r="F5691" t="str">
            <v>PC</v>
          </cell>
          <cell r="G5691" t="str">
            <v>1</v>
          </cell>
          <cell r="H5691" t="str">
            <v>INDUSTRY</v>
          </cell>
          <cell r="I5691" t="str">
            <v>11</v>
          </cell>
          <cell r="J5691" t="str">
            <v>WOOD COATINGS</v>
          </cell>
          <cell r="K5691" t="str">
            <v>1103</v>
          </cell>
          <cell r="L5691" t="str">
            <v>PU</v>
          </cell>
          <cell r="M5691" t="str">
            <v>110312</v>
          </cell>
          <cell r="N5691" t="str">
            <v>UNION TOP COAT</v>
          </cell>
        </row>
        <row r="5692">
          <cell r="C5692" t="str">
            <v>100002947</v>
          </cell>
          <cell r="D5692" t="str">
            <v>AL 085 MLY-16LP</v>
          </cell>
          <cell r="E5692" t="str">
            <v>ZFGD</v>
          </cell>
          <cell r="F5692" t="str">
            <v>PC</v>
          </cell>
          <cell r="G5692" t="str">
            <v>1</v>
          </cell>
          <cell r="H5692" t="str">
            <v>INDUSTRY</v>
          </cell>
          <cell r="I5692" t="str">
            <v>11</v>
          </cell>
          <cell r="J5692" t="str">
            <v>WOOD COATINGS</v>
          </cell>
          <cell r="K5692" t="str">
            <v>1103</v>
          </cell>
          <cell r="L5692" t="str">
            <v>PU</v>
          </cell>
          <cell r="M5692" t="str">
            <v>110325</v>
          </cell>
          <cell r="N5692" t="str">
            <v>UNION HARDENER</v>
          </cell>
        </row>
        <row r="5693">
          <cell r="C5693" t="str">
            <v>100002948</v>
          </cell>
          <cell r="D5693" t="str">
            <v>64-08 OLPHA STAIN BROWN-5LJ</v>
          </cell>
          <cell r="E5693" t="str">
            <v>ZFGD</v>
          </cell>
          <cell r="F5693" t="str">
            <v>PC</v>
          </cell>
          <cell r="G5693" t="str">
            <v>1</v>
          </cell>
          <cell r="H5693" t="str">
            <v>INDUSTRY</v>
          </cell>
          <cell r="I5693" t="str">
            <v>11</v>
          </cell>
          <cell r="J5693" t="str">
            <v>WOOD COATINGS</v>
          </cell>
          <cell r="K5693" t="str">
            <v>1103</v>
          </cell>
          <cell r="L5693" t="str">
            <v>PU</v>
          </cell>
          <cell r="M5693" t="str">
            <v>110311</v>
          </cell>
          <cell r="N5693" t="str">
            <v>UNION STAIN</v>
          </cell>
        </row>
        <row r="5694">
          <cell r="C5694" t="str">
            <v>100002949</v>
          </cell>
          <cell r="D5694" t="str">
            <v>64-07 OLPHA STAIN YELLOW-5LJ</v>
          </cell>
          <cell r="E5694" t="str">
            <v>ZFGD</v>
          </cell>
          <cell r="F5694" t="str">
            <v>PC</v>
          </cell>
          <cell r="G5694" t="str">
            <v>1</v>
          </cell>
          <cell r="H5694" t="str">
            <v>INDUSTRY</v>
          </cell>
          <cell r="I5694" t="str">
            <v>11</v>
          </cell>
          <cell r="J5694" t="str">
            <v>WOOD COATINGS</v>
          </cell>
          <cell r="K5694" t="str">
            <v>1103</v>
          </cell>
          <cell r="L5694" t="str">
            <v>PU</v>
          </cell>
          <cell r="M5694" t="str">
            <v>110311</v>
          </cell>
          <cell r="N5694" t="str">
            <v>UNION STAIN</v>
          </cell>
        </row>
        <row r="5695">
          <cell r="C5695" t="str">
            <v>100002950</v>
          </cell>
          <cell r="D5695" t="str">
            <v>64-09 OLPHA STAIN WHITE-5KJ</v>
          </cell>
          <cell r="E5695" t="str">
            <v>ZFGD</v>
          </cell>
          <cell r="F5695" t="str">
            <v>PC</v>
          </cell>
          <cell r="G5695" t="str">
            <v>1</v>
          </cell>
          <cell r="H5695" t="str">
            <v>INDUSTRY</v>
          </cell>
          <cell r="I5695" t="str">
            <v>11</v>
          </cell>
          <cell r="J5695" t="str">
            <v>WOOD COATINGS</v>
          </cell>
          <cell r="K5695" t="str">
            <v>1103</v>
          </cell>
          <cell r="L5695" t="str">
            <v>PU</v>
          </cell>
          <cell r="M5695" t="str">
            <v>110311</v>
          </cell>
          <cell r="N5695" t="str">
            <v>UNION STAIN</v>
          </cell>
        </row>
        <row r="5696">
          <cell r="C5696" t="str">
            <v>100002951</v>
          </cell>
          <cell r="D5696" t="str">
            <v>64-01 OLPHA STAIN BLACK-5LJ</v>
          </cell>
          <cell r="E5696" t="str">
            <v>ZFGD</v>
          </cell>
          <cell r="F5696" t="str">
            <v>PC</v>
          </cell>
          <cell r="G5696" t="str">
            <v>1</v>
          </cell>
          <cell r="H5696" t="str">
            <v>INDUSTRY</v>
          </cell>
          <cell r="I5696" t="str">
            <v>11</v>
          </cell>
          <cell r="J5696" t="str">
            <v>WOOD COATINGS</v>
          </cell>
          <cell r="K5696" t="str">
            <v>1103</v>
          </cell>
          <cell r="L5696" t="str">
            <v>PU</v>
          </cell>
          <cell r="M5696" t="str">
            <v>110311</v>
          </cell>
          <cell r="N5696" t="str">
            <v>UNION STAIN</v>
          </cell>
        </row>
        <row r="5697">
          <cell r="C5697" t="str">
            <v>100002952</v>
          </cell>
          <cell r="D5697" t="str">
            <v>64-04 OLPHA STAIN RED-5LJ</v>
          </cell>
          <cell r="E5697" t="str">
            <v>ZFGD</v>
          </cell>
          <cell r="F5697" t="str">
            <v>PC</v>
          </cell>
          <cell r="G5697" t="str">
            <v>1</v>
          </cell>
          <cell r="H5697" t="str">
            <v>INDUSTRY</v>
          </cell>
          <cell r="I5697" t="str">
            <v>11</v>
          </cell>
          <cell r="J5697" t="str">
            <v>WOOD COATINGS</v>
          </cell>
          <cell r="K5697" t="str">
            <v>1103</v>
          </cell>
          <cell r="L5697" t="str">
            <v>PU</v>
          </cell>
          <cell r="M5697" t="str">
            <v>110311</v>
          </cell>
          <cell r="N5697" t="str">
            <v>UNION STAIN</v>
          </cell>
        </row>
        <row r="5698">
          <cell r="C5698" t="str">
            <v>100002953</v>
          </cell>
          <cell r="D5698" t="str">
            <v>PUC-52239 WHITE 15 VN-20KP</v>
          </cell>
          <cell r="E5698" t="str">
            <v>ZFGD</v>
          </cell>
          <cell r="F5698" t="str">
            <v>PC</v>
          </cell>
          <cell r="G5698" t="str">
            <v>1</v>
          </cell>
          <cell r="H5698" t="str">
            <v>INDUSTRY</v>
          </cell>
          <cell r="I5698" t="str">
            <v>11</v>
          </cell>
          <cell r="J5698" t="str">
            <v>WOOD COATINGS</v>
          </cell>
          <cell r="K5698" t="str">
            <v>1103</v>
          </cell>
          <cell r="L5698" t="str">
            <v>PU</v>
          </cell>
          <cell r="M5698" t="str">
            <v>110319</v>
          </cell>
          <cell r="N5698" t="str">
            <v>PU COLOR</v>
          </cell>
        </row>
        <row r="5699">
          <cell r="C5699" t="str">
            <v>100002954</v>
          </cell>
          <cell r="D5699" t="str">
            <v>PCL-31300 YELLOW HR PASTE-4K</v>
          </cell>
          <cell r="E5699" t="str">
            <v>ZFGD</v>
          </cell>
          <cell r="F5699" t="str">
            <v>PC</v>
          </cell>
          <cell r="G5699" t="str">
            <v>1</v>
          </cell>
          <cell r="H5699" t="str">
            <v>INDUSTRY</v>
          </cell>
          <cell r="I5699" t="str">
            <v>11</v>
          </cell>
          <cell r="J5699" t="str">
            <v>WOOD COATINGS</v>
          </cell>
          <cell r="K5699" t="str">
            <v>1118</v>
          </cell>
          <cell r="L5699" t="str">
            <v>COMPLEMENTARY</v>
          </cell>
          <cell r="M5699" t="str">
            <v>111807</v>
          </cell>
          <cell r="N5699" t="str">
            <v>PASTA</v>
          </cell>
        </row>
        <row r="5700">
          <cell r="C5700" t="str">
            <v>100002955</v>
          </cell>
          <cell r="D5700" t="str">
            <v>PCL-31300 RED 31701 PASTE-4K</v>
          </cell>
          <cell r="E5700" t="str">
            <v>ZFGD</v>
          </cell>
          <cell r="F5700" t="str">
            <v>PC</v>
          </cell>
          <cell r="G5700" t="str">
            <v>1</v>
          </cell>
          <cell r="H5700" t="str">
            <v>INDUSTRY</v>
          </cell>
          <cell r="I5700" t="str">
            <v>11</v>
          </cell>
          <cell r="J5700" t="str">
            <v>WOOD COATINGS</v>
          </cell>
          <cell r="K5700" t="str">
            <v>1118</v>
          </cell>
          <cell r="L5700" t="str">
            <v>COMPLEMENTARY</v>
          </cell>
          <cell r="M5700" t="str">
            <v>111807</v>
          </cell>
          <cell r="N5700" t="str">
            <v>PASTA</v>
          </cell>
        </row>
        <row r="5701">
          <cell r="C5701" t="str">
            <v>100002956</v>
          </cell>
          <cell r="D5701" t="str">
            <v>PCA-31100 RED 31701 PASTE-4K</v>
          </cell>
          <cell r="E5701" t="str">
            <v>ZFGD</v>
          </cell>
          <cell r="F5701" t="str">
            <v>PC</v>
          </cell>
          <cell r="G5701" t="str">
            <v>1</v>
          </cell>
          <cell r="H5701" t="str">
            <v>INDUSTRY</v>
          </cell>
          <cell r="I5701" t="str">
            <v>11</v>
          </cell>
          <cell r="J5701" t="str">
            <v>WOOD COATINGS</v>
          </cell>
          <cell r="K5701" t="str">
            <v>1118</v>
          </cell>
          <cell r="L5701" t="str">
            <v>COMPLEMENTARY</v>
          </cell>
          <cell r="M5701" t="str">
            <v>111807</v>
          </cell>
          <cell r="N5701" t="str">
            <v>PASTA</v>
          </cell>
        </row>
        <row r="5702">
          <cell r="C5702" t="str">
            <v>100002957</v>
          </cell>
          <cell r="D5702" t="str">
            <v>PCA-31100 YELLOW 11032 PASTE-4K</v>
          </cell>
          <cell r="E5702" t="str">
            <v>ZFGD</v>
          </cell>
          <cell r="F5702" t="str">
            <v>PC</v>
          </cell>
          <cell r="G5702" t="str">
            <v>1</v>
          </cell>
          <cell r="H5702" t="str">
            <v>INDUSTRY</v>
          </cell>
          <cell r="I5702" t="str">
            <v>11</v>
          </cell>
          <cell r="J5702" t="str">
            <v>WOOD COATINGS</v>
          </cell>
          <cell r="K5702" t="str">
            <v>1118</v>
          </cell>
          <cell r="L5702" t="str">
            <v>COMPLEMENTARY</v>
          </cell>
          <cell r="M5702" t="str">
            <v>111807</v>
          </cell>
          <cell r="N5702" t="str">
            <v>PASTA</v>
          </cell>
        </row>
        <row r="5703">
          <cell r="C5703" t="str">
            <v>100002958</v>
          </cell>
          <cell r="D5703" t="str">
            <v>PCA-31100 RED 33122 PASTE-4K</v>
          </cell>
          <cell r="E5703" t="str">
            <v>ZFGD</v>
          </cell>
          <cell r="F5703" t="str">
            <v>PC</v>
          </cell>
          <cell r="G5703" t="str">
            <v>1</v>
          </cell>
          <cell r="H5703" t="str">
            <v>INDUSTRY</v>
          </cell>
          <cell r="I5703" t="str">
            <v>11</v>
          </cell>
          <cell r="J5703" t="str">
            <v>WOOD COATINGS</v>
          </cell>
          <cell r="K5703" t="str">
            <v>1118</v>
          </cell>
          <cell r="L5703" t="str">
            <v>COMPLEMENTARY</v>
          </cell>
          <cell r="M5703" t="str">
            <v>111807</v>
          </cell>
          <cell r="N5703" t="str">
            <v>PASTA</v>
          </cell>
        </row>
        <row r="5704">
          <cell r="C5704" t="str">
            <v>100002961</v>
          </cell>
          <cell r="D5704" t="str">
            <v>PCA-31102 BURNT UMBER HP PASTE-4K</v>
          </cell>
          <cell r="E5704" t="str">
            <v>ZFGD</v>
          </cell>
          <cell r="F5704" t="str">
            <v>PC</v>
          </cell>
          <cell r="G5704" t="str">
            <v>1</v>
          </cell>
          <cell r="H5704" t="str">
            <v>INDUSTRY</v>
          </cell>
          <cell r="I5704" t="str">
            <v>11</v>
          </cell>
          <cell r="J5704" t="str">
            <v>WOOD COATINGS</v>
          </cell>
          <cell r="K5704" t="str">
            <v>1118</v>
          </cell>
          <cell r="L5704" t="str">
            <v>COMPLEMENTARY</v>
          </cell>
          <cell r="M5704" t="str">
            <v>111807</v>
          </cell>
          <cell r="N5704" t="str">
            <v>PASTA</v>
          </cell>
        </row>
        <row r="5705">
          <cell r="C5705" t="str">
            <v>100002962</v>
          </cell>
          <cell r="D5705" t="str">
            <v>PCO-31200 WHITE PASTE-4K</v>
          </cell>
          <cell r="E5705" t="str">
            <v>ZFGD</v>
          </cell>
          <cell r="F5705" t="str">
            <v>PC</v>
          </cell>
          <cell r="G5705" t="str">
            <v>1</v>
          </cell>
          <cell r="H5705" t="str">
            <v>INDUSTRY</v>
          </cell>
          <cell r="I5705" t="str">
            <v>11</v>
          </cell>
          <cell r="J5705" t="str">
            <v>WOOD COATINGS</v>
          </cell>
          <cell r="K5705" t="str">
            <v>1118</v>
          </cell>
          <cell r="L5705" t="str">
            <v>COMPLEMENTARY</v>
          </cell>
          <cell r="M5705" t="str">
            <v>111807</v>
          </cell>
          <cell r="N5705" t="str">
            <v>PASTA</v>
          </cell>
        </row>
        <row r="5706">
          <cell r="C5706" t="str">
            <v>100002963</v>
          </cell>
          <cell r="D5706" t="str">
            <v>PCA-31102 VAN DYKE BROWN HCP PASTE-4K</v>
          </cell>
          <cell r="E5706" t="str">
            <v>ZFGD</v>
          </cell>
          <cell r="F5706" t="str">
            <v>PC</v>
          </cell>
          <cell r="G5706" t="str">
            <v>1</v>
          </cell>
          <cell r="H5706" t="str">
            <v>INDUSTRY</v>
          </cell>
          <cell r="I5706" t="str">
            <v>11</v>
          </cell>
          <cell r="J5706" t="str">
            <v>WOOD COATINGS</v>
          </cell>
          <cell r="K5706" t="str">
            <v>1118</v>
          </cell>
          <cell r="L5706" t="str">
            <v>COMPLEMENTARY</v>
          </cell>
          <cell r="M5706" t="str">
            <v>111807</v>
          </cell>
          <cell r="N5706" t="str">
            <v>PASTA</v>
          </cell>
        </row>
        <row r="5707">
          <cell r="C5707" t="str">
            <v>100002964</v>
          </cell>
          <cell r="D5707" t="str">
            <v>PCA-31102 RED 32633 PASTE-4K</v>
          </cell>
          <cell r="E5707" t="str">
            <v>ZFGD</v>
          </cell>
          <cell r="F5707" t="str">
            <v>PC</v>
          </cell>
          <cell r="G5707" t="str">
            <v>1</v>
          </cell>
          <cell r="H5707" t="str">
            <v>INDUSTRY</v>
          </cell>
          <cell r="I5707" t="str">
            <v>11</v>
          </cell>
          <cell r="J5707" t="str">
            <v>WOOD COATINGS</v>
          </cell>
          <cell r="K5707" t="str">
            <v>1118</v>
          </cell>
          <cell r="L5707" t="str">
            <v>COMPLEMENTARY</v>
          </cell>
          <cell r="M5707" t="str">
            <v>111807</v>
          </cell>
          <cell r="N5707" t="str">
            <v>PASTA</v>
          </cell>
        </row>
        <row r="5708">
          <cell r="C5708" t="str">
            <v>100002965</v>
          </cell>
          <cell r="D5708" t="str">
            <v>GZ-12700 VAN DYKE BROWN 20-4K</v>
          </cell>
          <cell r="E5708" t="str">
            <v>ZFGD</v>
          </cell>
          <cell r="F5708" t="str">
            <v>PC</v>
          </cell>
          <cell r="G5708" t="str">
            <v>1</v>
          </cell>
          <cell r="H5708" t="str">
            <v>INDUSTRY</v>
          </cell>
          <cell r="I5708" t="str">
            <v>11</v>
          </cell>
          <cell r="J5708" t="str">
            <v>WOOD COATINGS</v>
          </cell>
          <cell r="K5708" t="str">
            <v>1109</v>
          </cell>
          <cell r="L5708" t="str">
            <v>STAIN &amp; GLAZE INTERIOR</v>
          </cell>
          <cell r="M5708" t="str">
            <v>110901</v>
          </cell>
          <cell r="N5708" t="str">
            <v>ASOF : STAIN &amp; GLAZE</v>
          </cell>
        </row>
        <row r="5709">
          <cell r="C5709" t="str">
            <v>100002966</v>
          </cell>
          <cell r="D5709" t="str">
            <v>GZ-12700 BURNT UMBER 20-4K</v>
          </cell>
          <cell r="E5709" t="str">
            <v>ZFGD</v>
          </cell>
          <cell r="F5709" t="str">
            <v>PC</v>
          </cell>
          <cell r="G5709" t="str">
            <v>1</v>
          </cell>
          <cell r="H5709" t="str">
            <v>INDUSTRY</v>
          </cell>
          <cell r="I5709" t="str">
            <v>11</v>
          </cell>
          <cell r="J5709" t="str">
            <v>WOOD COATINGS</v>
          </cell>
          <cell r="K5709" t="str">
            <v>1109</v>
          </cell>
          <cell r="L5709" t="str">
            <v>STAIN &amp; GLAZE INTERIOR</v>
          </cell>
          <cell r="M5709" t="str">
            <v>110901</v>
          </cell>
          <cell r="N5709" t="str">
            <v>ASOF : STAIN &amp; GLAZE</v>
          </cell>
        </row>
        <row r="5710">
          <cell r="C5710" t="str">
            <v>100002967</v>
          </cell>
          <cell r="D5710" t="str">
            <v>GZ-12700 RED OXIDE 20-4K</v>
          </cell>
          <cell r="E5710" t="str">
            <v>ZFGD</v>
          </cell>
          <cell r="F5710" t="str">
            <v>PC</v>
          </cell>
          <cell r="G5710" t="str">
            <v>1</v>
          </cell>
          <cell r="H5710" t="str">
            <v>INDUSTRY</v>
          </cell>
          <cell r="I5710" t="str">
            <v>11</v>
          </cell>
          <cell r="J5710" t="str">
            <v>WOOD COATINGS</v>
          </cell>
          <cell r="K5710" t="str">
            <v>1109</v>
          </cell>
          <cell r="L5710" t="str">
            <v>STAIN &amp; GLAZE INTERIOR</v>
          </cell>
          <cell r="M5710" t="str">
            <v>110901</v>
          </cell>
          <cell r="N5710" t="str">
            <v>ASOF : STAIN &amp; GLAZE</v>
          </cell>
        </row>
        <row r="5711">
          <cell r="C5711" t="str">
            <v>100002968</v>
          </cell>
          <cell r="D5711" t="str">
            <v>GZWB BASE 08 VN-20KP</v>
          </cell>
          <cell r="E5711" t="str">
            <v>ZFGD</v>
          </cell>
          <cell r="F5711" t="str">
            <v>PC</v>
          </cell>
          <cell r="G5711" t="str">
            <v>1</v>
          </cell>
          <cell r="H5711" t="str">
            <v>INDUSTRY</v>
          </cell>
          <cell r="I5711" t="str">
            <v>11</v>
          </cell>
          <cell r="J5711" t="str">
            <v>WOOD COATINGS</v>
          </cell>
          <cell r="K5711" t="str">
            <v>1119</v>
          </cell>
          <cell r="L5711" t="str">
            <v>WATERBASED</v>
          </cell>
          <cell r="M5711" t="str">
            <v>111902</v>
          </cell>
          <cell r="N5711" t="str">
            <v>WATERBASED SYSTEM INTERIOR</v>
          </cell>
        </row>
        <row r="5712">
          <cell r="C5712" t="str">
            <v>100002977</v>
          </cell>
          <cell r="D5712" t="str">
            <v>PUC-1542-07 ACR BEIGE 50SH P1480MLY-20KP</v>
          </cell>
          <cell r="E5712" t="str">
            <v>ZFGD</v>
          </cell>
          <cell r="F5712" t="str">
            <v>PC</v>
          </cell>
          <cell r="G5712" t="str">
            <v>1</v>
          </cell>
          <cell r="H5712" t="str">
            <v>INDUSTRY</v>
          </cell>
          <cell r="I5712" t="str">
            <v>11</v>
          </cell>
          <cell r="J5712" t="str">
            <v>WOOD COATINGS</v>
          </cell>
          <cell r="K5712" t="str">
            <v>1103</v>
          </cell>
          <cell r="L5712" t="str">
            <v>PU</v>
          </cell>
          <cell r="M5712" t="str">
            <v>110319</v>
          </cell>
          <cell r="N5712" t="str">
            <v>PU COLOR</v>
          </cell>
        </row>
        <row r="5713">
          <cell r="C5713" t="str">
            <v>100002978</v>
          </cell>
          <cell r="D5713" t="str">
            <v>PUP-1541-02 ACR BEIGE P1480 MLY-20KP</v>
          </cell>
          <cell r="E5713" t="str">
            <v>ZFGD</v>
          </cell>
          <cell r="F5713" t="str">
            <v>PC</v>
          </cell>
          <cell r="G5713" t="str">
            <v>1</v>
          </cell>
          <cell r="H5713" t="str">
            <v>INDUSTRY</v>
          </cell>
          <cell r="I5713" t="str">
            <v>11</v>
          </cell>
          <cell r="J5713" t="str">
            <v>WOOD COATINGS</v>
          </cell>
          <cell r="K5713" t="str">
            <v>1103</v>
          </cell>
          <cell r="L5713" t="str">
            <v>PU</v>
          </cell>
          <cell r="M5713" t="str">
            <v>110322</v>
          </cell>
          <cell r="N5713" t="str">
            <v>PU PRIMER</v>
          </cell>
        </row>
        <row r="5714">
          <cell r="C5714" t="str">
            <v>100002984</v>
          </cell>
          <cell r="D5714" t="str">
            <v>PUP-52100 HS BLACK MY-20KP</v>
          </cell>
          <cell r="E5714" t="str">
            <v>ZFGD</v>
          </cell>
          <cell r="F5714" t="str">
            <v>PC</v>
          </cell>
          <cell r="G5714" t="str">
            <v>1</v>
          </cell>
          <cell r="H5714" t="str">
            <v>INDUSTRY</v>
          </cell>
          <cell r="I5714" t="str">
            <v>11</v>
          </cell>
          <cell r="J5714" t="str">
            <v>WOOD COATINGS</v>
          </cell>
          <cell r="K5714" t="str">
            <v>1103</v>
          </cell>
          <cell r="L5714" t="str">
            <v>PU</v>
          </cell>
          <cell r="M5714" t="str">
            <v>110322</v>
          </cell>
          <cell r="N5714" t="str">
            <v>PU PRIMER</v>
          </cell>
        </row>
        <row r="5715">
          <cell r="C5715" t="str">
            <v>100002985</v>
          </cell>
          <cell r="D5715" t="str">
            <v>PUC-1522 BLACK 20SHEEN A13 MLY-20KP</v>
          </cell>
          <cell r="E5715" t="str">
            <v>ZFGD</v>
          </cell>
          <cell r="F5715" t="str">
            <v>PC</v>
          </cell>
          <cell r="G5715" t="str">
            <v>1</v>
          </cell>
          <cell r="H5715" t="str">
            <v>INDUSTRY</v>
          </cell>
          <cell r="I5715" t="str">
            <v>11</v>
          </cell>
          <cell r="J5715" t="str">
            <v>WOOD COATINGS</v>
          </cell>
          <cell r="K5715" t="str">
            <v>1103</v>
          </cell>
          <cell r="L5715" t="str">
            <v>PU</v>
          </cell>
          <cell r="M5715" t="str">
            <v>110319</v>
          </cell>
          <cell r="N5715" t="str">
            <v>PU COLOR</v>
          </cell>
        </row>
        <row r="5716">
          <cell r="C5716" t="str">
            <v>100003023</v>
          </cell>
          <cell r="D5716" t="str">
            <v>WBL-76500 EX N LOK SC VN-200KB</v>
          </cell>
          <cell r="E5716" t="str">
            <v>ZFGD</v>
          </cell>
          <cell r="F5716" t="str">
            <v>PC</v>
          </cell>
          <cell r="G5716" t="str">
            <v>1</v>
          </cell>
          <cell r="H5716" t="str">
            <v>INDUSTRY</v>
          </cell>
          <cell r="I5716" t="str">
            <v>11</v>
          </cell>
          <cell r="J5716" t="str">
            <v>WOOD COATINGS</v>
          </cell>
          <cell r="K5716" t="str">
            <v>1101</v>
          </cell>
          <cell r="L5716" t="str">
            <v>ALKYD OIL</v>
          </cell>
          <cell r="M5716" t="str">
            <v>110103</v>
          </cell>
          <cell r="N5716" t="str">
            <v>WATERBASED SYSTEM EXTERIOR</v>
          </cell>
        </row>
        <row r="5717">
          <cell r="C5717" t="str">
            <v>100003026</v>
          </cell>
          <cell r="D5717" t="str">
            <v>WBL-63211 EX CLEAR 08-200KB</v>
          </cell>
          <cell r="E5717" t="str">
            <v>ZFGD</v>
          </cell>
          <cell r="F5717" t="str">
            <v>PC</v>
          </cell>
          <cell r="G5717" t="str">
            <v>1</v>
          </cell>
          <cell r="H5717" t="str">
            <v>INDUSTRY</v>
          </cell>
          <cell r="I5717" t="str">
            <v>11</v>
          </cell>
          <cell r="J5717" t="str">
            <v>WOOD COATINGS</v>
          </cell>
          <cell r="K5717" t="str">
            <v>1119</v>
          </cell>
          <cell r="L5717" t="str">
            <v>WATERBASED</v>
          </cell>
          <cell r="M5717" t="str">
            <v>111901</v>
          </cell>
          <cell r="N5717" t="str">
            <v>WATERBASED SYSTEM EXTERIOR</v>
          </cell>
        </row>
        <row r="5718">
          <cell r="C5718" t="str">
            <v>100003027</v>
          </cell>
          <cell r="D5718" t="str">
            <v>WBL-63217 EX HS BASE VN-200KB</v>
          </cell>
          <cell r="E5718" t="str">
            <v>ZFGD</v>
          </cell>
          <cell r="F5718" t="str">
            <v>PC</v>
          </cell>
          <cell r="G5718" t="str">
            <v>1</v>
          </cell>
          <cell r="H5718" t="str">
            <v>INDUSTRY</v>
          </cell>
          <cell r="I5718" t="str">
            <v>11</v>
          </cell>
          <cell r="J5718" t="str">
            <v>WOOD COATINGS</v>
          </cell>
          <cell r="K5718" t="str">
            <v>1119</v>
          </cell>
          <cell r="L5718" t="str">
            <v>WATERBASED</v>
          </cell>
          <cell r="M5718" t="str">
            <v>111901</v>
          </cell>
          <cell r="N5718" t="str">
            <v>WATERBASED SYSTEM EXTERIOR</v>
          </cell>
        </row>
        <row r="5719">
          <cell r="C5719" t="str">
            <v>100003035</v>
          </cell>
          <cell r="D5719" t="str">
            <v>DP-1121 HV WHITE A4 MLY-20LP</v>
          </cell>
          <cell r="E5719" t="str">
            <v>ZFGD</v>
          </cell>
          <cell r="F5719" t="str">
            <v>PC</v>
          </cell>
          <cell r="G5719" t="str">
            <v>1</v>
          </cell>
          <cell r="H5719" t="str">
            <v>INDUSTRY</v>
          </cell>
          <cell r="I5719" t="str">
            <v>11</v>
          </cell>
          <cell r="J5719" t="str">
            <v>WOOD COATINGS</v>
          </cell>
          <cell r="K5719" t="str">
            <v>1104</v>
          </cell>
          <cell r="L5719" t="str">
            <v>NC</v>
          </cell>
          <cell r="M5719" t="str">
            <v>110405</v>
          </cell>
          <cell r="N5719" t="str">
            <v>NC SYSTEM</v>
          </cell>
        </row>
        <row r="5720">
          <cell r="C5720" t="str">
            <v>100003036</v>
          </cell>
          <cell r="D5720" t="str">
            <v>DC-12200 CKF DIP HP WHITE 30 MY-20LP</v>
          </cell>
          <cell r="E5720" t="str">
            <v>ZFGD</v>
          </cell>
          <cell r="F5720" t="str">
            <v>PC</v>
          </cell>
          <cell r="G5720" t="str">
            <v>1</v>
          </cell>
          <cell r="H5720" t="str">
            <v>INDUSTRY</v>
          </cell>
          <cell r="I5720" t="str">
            <v>11</v>
          </cell>
          <cell r="J5720" t="str">
            <v>WOOD COATINGS</v>
          </cell>
          <cell r="K5720" t="str">
            <v>1104</v>
          </cell>
          <cell r="L5720" t="str">
            <v>NC</v>
          </cell>
          <cell r="M5720" t="str">
            <v>110405</v>
          </cell>
          <cell r="N5720" t="str">
            <v>NC SYSTEM</v>
          </cell>
        </row>
        <row r="5721">
          <cell r="C5721" t="str">
            <v>100003037</v>
          </cell>
          <cell r="D5721" t="str">
            <v>DC-12200 CKF DIP HP WHITE 30 MY-200LB</v>
          </cell>
          <cell r="E5721" t="str">
            <v>ZFGD</v>
          </cell>
          <cell r="F5721" t="str">
            <v>PC</v>
          </cell>
          <cell r="G5721" t="str">
            <v>1</v>
          </cell>
          <cell r="H5721" t="str">
            <v>INDUSTRY</v>
          </cell>
          <cell r="I5721" t="str">
            <v>11</v>
          </cell>
          <cell r="J5721" t="str">
            <v>WOOD COATINGS</v>
          </cell>
          <cell r="K5721" t="str">
            <v>1104</v>
          </cell>
          <cell r="L5721" t="str">
            <v>NC</v>
          </cell>
          <cell r="M5721" t="str">
            <v>110405</v>
          </cell>
          <cell r="N5721" t="str">
            <v>NC SYSTEM</v>
          </cell>
        </row>
        <row r="5722">
          <cell r="C5722" t="str">
            <v>100003038</v>
          </cell>
          <cell r="D5722" t="str">
            <v>DC-1122 CKF WHITE BASE 10SH A15 MY-200LB</v>
          </cell>
          <cell r="E5722" t="str">
            <v>ZFGD</v>
          </cell>
          <cell r="F5722" t="str">
            <v>PC</v>
          </cell>
          <cell r="G5722" t="str">
            <v>1</v>
          </cell>
          <cell r="H5722" t="str">
            <v>INDUSTRY</v>
          </cell>
          <cell r="I5722" t="str">
            <v>11</v>
          </cell>
          <cell r="J5722" t="str">
            <v>WOOD COATINGS</v>
          </cell>
          <cell r="K5722" t="str">
            <v>1104</v>
          </cell>
          <cell r="L5722" t="str">
            <v>NC</v>
          </cell>
          <cell r="M5722" t="str">
            <v>110405</v>
          </cell>
          <cell r="N5722" t="str">
            <v>NC SYSTEM</v>
          </cell>
        </row>
        <row r="5723">
          <cell r="C5723" t="str">
            <v>100003039</v>
          </cell>
          <cell r="D5723" t="str">
            <v>PUSS-1512 HF A8 MLY-20LP</v>
          </cell>
          <cell r="E5723" t="str">
            <v>ZFGD</v>
          </cell>
          <cell r="F5723" t="str">
            <v>PC</v>
          </cell>
          <cell r="G5723" t="str">
            <v>1</v>
          </cell>
          <cell r="H5723" t="str">
            <v>INDUSTRY</v>
          </cell>
          <cell r="I5723" t="str">
            <v>11</v>
          </cell>
          <cell r="J5723" t="str">
            <v>WOOD COATINGS</v>
          </cell>
          <cell r="K5723" t="str">
            <v>1103</v>
          </cell>
          <cell r="L5723" t="str">
            <v>PU</v>
          </cell>
          <cell r="M5723" t="str">
            <v>110323</v>
          </cell>
          <cell r="N5723" t="str">
            <v>PU SANDING SEALER</v>
          </cell>
        </row>
        <row r="5724">
          <cell r="C5724" t="str">
            <v>100003040</v>
          </cell>
          <cell r="D5724" t="str">
            <v>PUP-1541 ACR SFC CLEAR BASE A8 MLY-200LB</v>
          </cell>
          <cell r="E5724" t="str">
            <v>ZFGD</v>
          </cell>
          <cell r="F5724" t="str">
            <v>PC</v>
          </cell>
          <cell r="G5724" t="str">
            <v>1</v>
          </cell>
          <cell r="H5724" t="str">
            <v>INDUSTRY</v>
          </cell>
          <cell r="I5724" t="str">
            <v>11</v>
          </cell>
          <cell r="J5724" t="str">
            <v>WOOD COATINGS</v>
          </cell>
          <cell r="K5724" t="str">
            <v>1103</v>
          </cell>
          <cell r="L5724" t="str">
            <v>PU</v>
          </cell>
          <cell r="M5724" t="str">
            <v>110322</v>
          </cell>
          <cell r="N5724" t="str">
            <v>PU PRIMER</v>
          </cell>
        </row>
        <row r="5725">
          <cell r="C5725" t="str">
            <v>100003041</v>
          </cell>
          <cell r="D5725" t="str">
            <v>PUP-1541-02 ACR CLEAR BASE MLY-200LB</v>
          </cell>
          <cell r="E5725" t="str">
            <v>ZFGD</v>
          </cell>
          <cell r="F5725" t="str">
            <v>PC</v>
          </cell>
          <cell r="G5725" t="str">
            <v>1</v>
          </cell>
          <cell r="H5725" t="str">
            <v>INDUSTRY</v>
          </cell>
          <cell r="I5725" t="str">
            <v>11</v>
          </cell>
          <cell r="J5725" t="str">
            <v>WOOD COATINGS</v>
          </cell>
          <cell r="K5725" t="str">
            <v>1103</v>
          </cell>
          <cell r="L5725" t="str">
            <v>PU</v>
          </cell>
          <cell r="M5725" t="str">
            <v>110322</v>
          </cell>
          <cell r="N5725" t="str">
            <v>PU PRIMER</v>
          </cell>
        </row>
        <row r="5726">
          <cell r="C5726" t="str">
            <v>100003042</v>
          </cell>
          <cell r="D5726" t="str">
            <v>PUP-1541-02 ACR WHITE MLY-20LP</v>
          </cell>
          <cell r="E5726" t="str">
            <v>ZFGD</v>
          </cell>
          <cell r="F5726" t="str">
            <v>PC</v>
          </cell>
          <cell r="G5726" t="str">
            <v>1</v>
          </cell>
          <cell r="H5726" t="str">
            <v>INDUSTRY</v>
          </cell>
          <cell r="I5726" t="str">
            <v>11</v>
          </cell>
          <cell r="J5726" t="str">
            <v>WOOD COATINGS</v>
          </cell>
          <cell r="K5726" t="str">
            <v>1103</v>
          </cell>
          <cell r="L5726" t="str">
            <v>PU</v>
          </cell>
          <cell r="M5726" t="str">
            <v>110322</v>
          </cell>
          <cell r="N5726" t="str">
            <v>PU PRIMER</v>
          </cell>
        </row>
        <row r="5727">
          <cell r="C5727" t="str">
            <v>100003043</v>
          </cell>
          <cell r="D5727" t="str">
            <v>PUP-1541-02 ACR WHITE MLY-200LB</v>
          </cell>
          <cell r="E5727" t="str">
            <v>ZFGD</v>
          </cell>
          <cell r="F5727" t="str">
            <v>PC</v>
          </cell>
          <cell r="G5727" t="str">
            <v>1</v>
          </cell>
          <cell r="H5727" t="str">
            <v>INDUSTRY</v>
          </cell>
          <cell r="I5727" t="str">
            <v>11</v>
          </cell>
          <cell r="J5727" t="str">
            <v>WOOD COATINGS</v>
          </cell>
          <cell r="K5727" t="str">
            <v>1103</v>
          </cell>
          <cell r="L5727" t="str">
            <v>PU</v>
          </cell>
          <cell r="M5727" t="str">
            <v>110322</v>
          </cell>
          <cell r="N5727" t="str">
            <v>PU PRIMER</v>
          </cell>
        </row>
        <row r="5728">
          <cell r="C5728" t="str">
            <v>100003044</v>
          </cell>
          <cell r="D5728" t="str">
            <v>PUC-1542-07 ACR WHITE GLOSS MLY-20LP</v>
          </cell>
          <cell r="E5728" t="str">
            <v>ZFGD</v>
          </cell>
          <cell r="F5728" t="str">
            <v>PC</v>
          </cell>
          <cell r="G5728" t="str">
            <v>1</v>
          </cell>
          <cell r="H5728" t="str">
            <v>INDUSTRY</v>
          </cell>
          <cell r="I5728" t="str">
            <v>11</v>
          </cell>
          <cell r="J5728" t="str">
            <v>WOOD COATINGS</v>
          </cell>
          <cell r="K5728" t="str">
            <v>1103</v>
          </cell>
          <cell r="L5728" t="str">
            <v>PU</v>
          </cell>
          <cell r="M5728" t="str">
            <v>110319</v>
          </cell>
          <cell r="N5728" t="str">
            <v>PU COLOR</v>
          </cell>
        </row>
        <row r="5729">
          <cell r="C5729" t="str">
            <v>100003045</v>
          </cell>
          <cell r="D5729" t="str">
            <v>PUC-1542-07 ACR WHITE GLOSS MLY-200LB</v>
          </cell>
          <cell r="E5729" t="str">
            <v>ZFGD</v>
          </cell>
          <cell r="F5729" t="str">
            <v>PC</v>
          </cell>
          <cell r="G5729" t="str">
            <v>1</v>
          </cell>
          <cell r="H5729" t="str">
            <v>INDUSTRY</v>
          </cell>
          <cell r="I5729" t="str">
            <v>11</v>
          </cell>
          <cell r="J5729" t="str">
            <v>WOOD COATINGS</v>
          </cell>
          <cell r="K5729" t="str">
            <v>1103</v>
          </cell>
          <cell r="L5729" t="str">
            <v>PU</v>
          </cell>
          <cell r="M5729" t="str">
            <v>110319</v>
          </cell>
          <cell r="N5729" t="str">
            <v>PU COLOR</v>
          </cell>
        </row>
        <row r="5730">
          <cell r="C5730" t="str">
            <v>100003046</v>
          </cell>
          <cell r="D5730" t="str">
            <v>PUL-1513 50 SHEEN A7 MLY-20LP</v>
          </cell>
          <cell r="E5730" t="str">
            <v>ZFGD</v>
          </cell>
          <cell r="F5730" t="str">
            <v>PC</v>
          </cell>
          <cell r="G5730" t="str">
            <v>1</v>
          </cell>
          <cell r="H5730" t="str">
            <v>INDUSTRY</v>
          </cell>
          <cell r="I5730" t="str">
            <v>11</v>
          </cell>
          <cell r="J5730" t="str">
            <v>WOOD COATINGS</v>
          </cell>
          <cell r="K5730" t="str">
            <v>1103</v>
          </cell>
          <cell r="L5730" t="str">
            <v>PU</v>
          </cell>
          <cell r="M5730" t="str">
            <v>110321</v>
          </cell>
          <cell r="N5730" t="str">
            <v>PU LACQUER</v>
          </cell>
        </row>
        <row r="5731">
          <cell r="C5731" t="str">
            <v>100003047</v>
          </cell>
          <cell r="D5731" t="str">
            <v>PUC-1542-07 ACR WHITE 20SH A11 MY-20KP</v>
          </cell>
          <cell r="E5731" t="str">
            <v>ZFGD</v>
          </cell>
          <cell r="F5731" t="str">
            <v>PC</v>
          </cell>
          <cell r="G5731" t="str">
            <v>1</v>
          </cell>
          <cell r="H5731" t="str">
            <v>INDUSTRY</v>
          </cell>
          <cell r="I5731" t="str">
            <v>11</v>
          </cell>
          <cell r="J5731" t="str">
            <v>WOOD COATINGS</v>
          </cell>
          <cell r="K5731" t="str">
            <v>1103</v>
          </cell>
          <cell r="L5731" t="str">
            <v>PU</v>
          </cell>
          <cell r="M5731" t="str">
            <v>110319</v>
          </cell>
          <cell r="N5731" t="str">
            <v>PU COLOR</v>
          </cell>
        </row>
        <row r="5732">
          <cell r="C5732" t="str">
            <v>100003050</v>
          </cell>
          <cell r="D5732" t="str">
            <v>PUC-1542-07 ACR BEIGE 50SH P1480MLY-20LP</v>
          </cell>
          <cell r="E5732" t="str">
            <v>ZFGD</v>
          </cell>
          <cell r="F5732" t="str">
            <v>PC</v>
          </cell>
          <cell r="G5732" t="str">
            <v>1</v>
          </cell>
          <cell r="H5732" t="str">
            <v>INDUSTRY</v>
          </cell>
          <cell r="I5732" t="str">
            <v>11</v>
          </cell>
          <cell r="J5732" t="str">
            <v>WOOD COATINGS</v>
          </cell>
          <cell r="K5732" t="str">
            <v>1103</v>
          </cell>
          <cell r="L5732" t="str">
            <v>PU</v>
          </cell>
          <cell r="M5732" t="str">
            <v>110319</v>
          </cell>
          <cell r="N5732" t="str">
            <v>PU COLOR</v>
          </cell>
        </row>
        <row r="5733">
          <cell r="C5733" t="str">
            <v>100003051</v>
          </cell>
          <cell r="D5733" t="str">
            <v>PUP-1541-02 ACR BEIGE P1480 MLY-20LP</v>
          </cell>
          <cell r="E5733" t="str">
            <v>ZFGD</v>
          </cell>
          <cell r="F5733" t="str">
            <v>PC</v>
          </cell>
          <cell r="G5733" t="str">
            <v>1</v>
          </cell>
          <cell r="H5733" t="str">
            <v>INDUSTRY</v>
          </cell>
          <cell r="I5733" t="str">
            <v>11</v>
          </cell>
          <cell r="J5733" t="str">
            <v>WOOD COATINGS</v>
          </cell>
          <cell r="K5733" t="str">
            <v>1103</v>
          </cell>
          <cell r="L5733" t="str">
            <v>PU</v>
          </cell>
          <cell r="M5733" t="str">
            <v>110322</v>
          </cell>
          <cell r="N5733" t="str">
            <v>PU PRIMER</v>
          </cell>
        </row>
        <row r="5734">
          <cell r="C5734" t="str">
            <v>100003052</v>
          </cell>
          <cell r="D5734" t="str">
            <v>WBL-63211 EX CLEAR 08 VN-208KB</v>
          </cell>
          <cell r="E5734" t="str">
            <v>ZFGD</v>
          </cell>
          <cell r="F5734" t="str">
            <v>PC</v>
          </cell>
          <cell r="G5734" t="str">
            <v>1</v>
          </cell>
          <cell r="H5734" t="str">
            <v>INDUSTRY</v>
          </cell>
          <cell r="I5734" t="str">
            <v>11</v>
          </cell>
          <cell r="J5734" t="str">
            <v>WOOD COATINGS</v>
          </cell>
          <cell r="K5734" t="str">
            <v>1119</v>
          </cell>
          <cell r="L5734" t="str">
            <v>WATERBASED</v>
          </cell>
          <cell r="M5734" t="str">
            <v>111901</v>
          </cell>
          <cell r="N5734" t="str">
            <v>WATERBASED SYSTEM EXTERIOR</v>
          </cell>
        </row>
        <row r="5735">
          <cell r="C5735" t="str">
            <v>100003053</v>
          </cell>
          <cell r="D5735" t="str">
            <v>WBL-63217 EX HS BASE VN-180KB</v>
          </cell>
          <cell r="E5735" t="str">
            <v>ZFGD</v>
          </cell>
          <cell r="F5735" t="str">
            <v>PC</v>
          </cell>
          <cell r="G5735" t="str">
            <v>1</v>
          </cell>
          <cell r="H5735" t="str">
            <v>INDUSTRY</v>
          </cell>
          <cell r="I5735" t="str">
            <v>11</v>
          </cell>
          <cell r="J5735" t="str">
            <v>WOOD COATINGS</v>
          </cell>
          <cell r="K5735" t="str">
            <v>1119</v>
          </cell>
          <cell r="L5735" t="str">
            <v>WATERBASED</v>
          </cell>
          <cell r="M5735" t="str">
            <v>111901</v>
          </cell>
          <cell r="N5735" t="str">
            <v>WATERBASED SYSTEM EXTERIOR</v>
          </cell>
        </row>
        <row r="5736">
          <cell r="C5736" t="str">
            <v>100003058</v>
          </cell>
          <cell r="D5736" t="str">
            <v>NCSS-1112 TUMBLER A11 MLY-20LP</v>
          </cell>
          <cell r="E5736" t="str">
            <v>ZFGD</v>
          </cell>
          <cell r="F5736" t="str">
            <v>PC</v>
          </cell>
          <cell r="G5736" t="str">
            <v>1</v>
          </cell>
          <cell r="H5736" t="str">
            <v>INDUSTRY</v>
          </cell>
          <cell r="I5736" t="str">
            <v>11</v>
          </cell>
          <cell r="J5736" t="str">
            <v>WOOD COATINGS</v>
          </cell>
          <cell r="K5736" t="str">
            <v>1104</v>
          </cell>
          <cell r="L5736" t="str">
            <v>NC</v>
          </cell>
          <cell r="M5736" t="str">
            <v>110405</v>
          </cell>
          <cell r="N5736" t="str">
            <v>NC SYSTEM</v>
          </cell>
        </row>
        <row r="5737">
          <cell r="C5737" t="str">
            <v>100003059</v>
          </cell>
          <cell r="D5737" t="str">
            <v>NCSS-1112 TUMBLER A11 MLY-200LB</v>
          </cell>
          <cell r="E5737" t="str">
            <v>ZFGD</v>
          </cell>
          <cell r="F5737" t="str">
            <v>PC</v>
          </cell>
          <cell r="G5737" t="str">
            <v>1</v>
          </cell>
          <cell r="H5737" t="str">
            <v>INDUSTRY</v>
          </cell>
          <cell r="I5737" t="str">
            <v>11</v>
          </cell>
          <cell r="J5737" t="str">
            <v>WOOD COATINGS</v>
          </cell>
          <cell r="K5737" t="str">
            <v>1104</v>
          </cell>
          <cell r="L5737" t="str">
            <v>NC</v>
          </cell>
          <cell r="M5737" t="str">
            <v>110405</v>
          </cell>
          <cell r="N5737" t="str">
            <v>NC SYSTEM</v>
          </cell>
        </row>
        <row r="5738">
          <cell r="C5738" t="str">
            <v>100003088</v>
          </cell>
          <cell r="D5738" t="str">
            <v>DP-12123 BLACK KH MY-200LB</v>
          </cell>
          <cell r="E5738" t="str">
            <v>ZFGD</v>
          </cell>
          <cell r="F5738" t="str">
            <v>PC</v>
          </cell>
          <cell r="G5738" t="str">
            <v>1</v>
          </cell>
          <cell r="H5738" t="str">
            <v>INDUSTRY</v>
          </cell>
          <cell r="I5738" t="str">
            <v>11</v>
          </cell>
          <cell r="J5738" t="str">
            <v>WOOD COATINGS</v>
          </cell>
          <cell r="K5738" t="str">
            <v>1104</v>
          </cell>
          <cell r="L5738" t="str">
            <v>NC</v>
          </cell>
          <cell r="M5738" t="str">
            <v>110405</v>
          </cell>
          <cell r="N5738" t="str">
            <v>NC SYSTEM</v>
          </cell>
        </row>
        <row r="5739">
          <cell r="C5739" t="str">
            <v>100003158</v>
          </cell>
          <cell r="D5739" t="str">
            <v>NCS-11100 HOT STAMPING MY-20LP</v>
          </cell>
          <cell r="E5739" t="str">
            <v>ZFGD</v>
          </cell>
          <cell r="F5739" t="str">
            <v>PC</v>
          </cell>
          <cell r="G5739" t="str">
            <v>1</v>
          </cell>
          <cell r="H5739" t="str">
            <v>INDUSTRY</v>
          </cell>
          <cell r="I5739" t="str">
            <v>11</v>
          </cell>
          <cell r="J5739" t="str">
            <v>WOOD COATINGS</v>
          </cell>
          <cell r="K5739" t="str">
            <v>1104</v>
          </cell>
          <cell r="L5739" t="str">
            <v>NC</v>
          </cell>
          <cell r="M5739" t="str">
            <v>110405</v>
          </cell>
          <cell r="N5739" t="str">
            <v>NC SYSTEM</v>
          </cell>
        </row>
        <row r="5740">
          <cell r="C5740" t="str">
            <v>100003159</v>
          </cell>
          <cell r="D5740" t="str">
            <v>SST-2111 C10 SIG BLACK MLY-20LP</v>
          </cell>
          <cell r="E5740" t="str">
            <v>ZFGD</v>
          </cell>
          <cell r="F5740" t="str">
            <v>PC</v>
          </cell>
          <cell r="G5740" t="str">
            <v>1</v>
          </cell>
          <cell r="H5740" t="str">
            <v>INDUSTRY</v>
          </cell>
          <cell r="I5740" t="str">
            <v>11</v>
          </cell>
          <cell r="J5740" t="str">
            <v>WOOD COATINGS</v>
          </cell>
          <cell r="K5740" t="str">
            <v>1109</v>
          </cell>
          <cell r="L5740" t="str">
            <v>STAIN &amp; GLAZE INTERIOR</v>
          </cell>
          <cell r="M5740" t="str">
            <v>110903</v>
          </cell>
          <cell r="N5740" t="str">
            <v>STAIN INTERIOR</v>
          </cell>
        </row>
        <row r="5741">
          <cell r="C5741" t="str">
            <v>100003160</v>
          </cell>
          <cell r="D5741" t="str">
            <v>SST-2111 C10 SIG RED MLY-20LP</v>
          </cell>
          <cell r="E5741" t="str">
            <v>ZFGD</v>
          </cell>
          <cell r="F5741" t="str">
            <v>PC</v>
          </cell>
          <cell r="G5741" t="str">
            <v>1</v>
          </cell>
          <cell r="H5741" t="str">
            <v>INDUSTRY</v>
          </cell>
          <cell r="I5741" t="str">
            <v>11</v>
          </cell>
          <cell r="J5741" t="str">
            <v>WOOD COATINGS</v>
          </cell>
          <cell r="K5741" t="str">
            <v>1109</v>
          </cell>
          <cell r="L5741" t="str">
            <v>STAIN &amp; GLAZE INTERIOR</v>
          </cell>
          <cell r="M5741" t="str">
            <v>110903</v>
          </cell>
          <cell r="N5741" t="str">
            <v>STAIN INTERIOR</v>
          </cell>
        </row>
        <row r="5742">
          <cell r="C5742" t="str">
            <v>100003161</v>
          </cell>
          <cell r="D5742" t="str">
            <v>SST-2111 C10 SIG YELLOW MLY-20LP</v>
          </cell>
          <cell r="E5742" t="str">
            <v>ZFGD</v>
          </cell>
          <cell r="F5742" t="str">
            <v>PC</v>
          </cell>
          <cell r="G5742" t="str">
            <v>1</v>
          </cell>
          <cell r="H5742" t="str">
            <v>INDUSTRY</v>
          </cell>
          <cell r="I5742" t="str">
            <v>11</v>
          </cell>
          <cell r="J5742" t="str">
            <v>WOOD COATINGS</v>
          </cell>
          <cell r="K5742" t="str">
            <v>1109</v>
          </cell>
          <cell r="L5742" t="str">
            <v>STAIN &amp; GLAZE INTERIOR</v>
          </cell>
          <cell r="M5742" t="str">
            <v>110903</v>
          </cell>
          <cell r="N5742" t="str">
            <v>STAIN INTERIOR</v>
          </cell>
        </row>
        <row r="5743">
          <cell r="C5743" t="str">
            <v>100003221</v>
          </cell>
          <cell r="D5743" t="str">
            <v>PUP-1521-03 WHITE MLY-20KP</v>
          </cell>
          <cell r="E5743" t="str">
            <v>ZFGD</v>
          </cell>
          <cell r="F5743" t="str">
            <v>PC</v>
          </cell>
          <cell r="G5743" t="str">
            <v>1</v>
          </cell>
          <cell r="H5743" t="str">
            <v>INDUSTRY</v>
          </cell>
          <cell r="I5743" t="str">
            <v>11</v>
          </cell>
          <cell r="J5743" t="str">
            <v>WOOD COATINGS</v>
          </cell>
          <cell r="K5743" t="str">
            <v>1103</v>
          </cell>
          <cell r="L5743" t="str">
            <v>PU</v>
          </cell>
          <cell r="M5743" t="str">
            <v>110322</v>
          </cell>
          <cell r="N5743" t="str">
            <v>PU PRIMER</v>
          </cell>
        </row>
        <row r="5744">
          <cell r="C5744" t="str">
            <v>100003232</v>
          </cell>
          <cell r="D5744" t="str">
            <v>THINNER THNC-71100 ALC MY-20LJ</v>
          </cell>
          <cell r="E5744" t="str">
            <v>ZFGD</v>
          </cell>
          <cell r="F5744" t="str">
            <v>PC</v>
          </cell>
          <cell r="G5744" t="str">
            <v>1</v>
          </cell>
          <cell r="H5744" t="str">
            <v>INDUSTRY</v>
          </cell>
          <cell r="I5744" t="str">
            <v>14</v>
          </cell>
          <cell r="J5744" t="str">
            <v>THINNER</v>
          </cell>
          <cell r="K5744" t="str">
            <v>1412</v>
          </cell>
          <cell r="L5744" t="str">
            <v>THINNER NC</v>
          </cell>
          <cell r="M5744" t="str">
            <v>141205</v>
          </cell>
          <cell r="N5744" t="str">
            <v>THINNER NC</v>
          </cell>
        </row>
        <row r="5745">
          <cell r="C5745" t="str">
            <v>100003233</v>
          </cell>
          <cell r="D5745" t="str">
            <v>LACQUER NCL-11300 ALC 20 SHEEN-18LP</v>
          </cell>
          <cell r="E5745" t="str">
            <v>ZFGD</v>
          </cell>
          <cell r="F5745" t="str">
            <v>PC</v>
          </cell>
          <cell r="G5745" t="str">
            <v>1</v>
          </cell>
          <cell r="H5745" t="str">
            <v>INDUSTRY</v>
          </cell>
          <cell r="I5745" t="str">
            <v>11</v>
          </cell>
          <cell r="J5745" t="str">
            <v>WOOD COATINGS</v>
          </cell>
          <cell r="K5745" t="str">
            <v>1104</v>
          </cell>
          <cell r="L5745" t="str">
            <v>NC</v>
          </cell>
          <cell r="M5745" t="str">
            <v>110405</v>
          </cell>
          <cell r="N5745" t="str">
            <v>NC SYSTEM</v>
          </cell>
        </row>
        <row r="5746">
          <cell r="C5746" t="str">
            <v>100003283</v>
          </cell>
          <cell r="D5746" t="str">
            <v>AP-9982-SY30-AK-1K</v>
          </cell>
          <cell r="E5746" t="str">
            <v>ZFGD</v>
          </cell>
          <cell r="F5746" t="str">
            <v>PC</v>
          </cell>
          <cell r="G5746" t="str">
            <v>1</v>
          </cell>
          <cell r="H5746" t="str">
            <v>INDUSTRY</v>
          </cell>
          <cell r="I5746" t="str">
            <v>11</v>
          </cell>
          <cell r="J5746" t="str">
            <v>WOOD COATINGS</v>
          </cell>
          <cell r="K5746" t="str">
            <v>1118</v>
          </cell>
          <cell r="L5746" t="str">
            <v>COMPLEMENTARY</v>
          </cell>
          <cell r="M5746" t="str">
            <v>111802</v>
          </cell>
          <cell r="N5746" t="str">
            <v>ASOF : POWDER &amp; MATTING SOLUTION</v>
          </cell>
        </row>
        <row r="5747">
          <cell r="C5747" t="str">
            <v>100003295</v>
          </cell>
          <cell r="D5747" t="str">
            <v>SST-11100 C10 RBE-4K</v>
          </cell>
          <cell r="E5747" t="str">
            <v>ZFGD</v>
          </cell>
          <cell r="F5747" t="str">
            <v>PC</v>
          </cell>
          <cell r="G5747" t="str">
            <v>1</v>
          </cell>
          <cell r="H5747" t="str">
            <v>INDUSTRY</v>
          </cell>
          <cell r="I5747" t="str">
            <v>11</v>
          </cell>
          <cell r="J5747" t="str">
            <v>WOOD COATINGS</v>
          </cell>
          <cell r="K5747" t="str">
            <v>1109</v>
          </cell>
          <cell r="L5747" t="str">
            <v>STAIN &amp; GLAZE INTERIOR</v>
          </cell>
          <cell r="M5747" t="str">
            <v>110903</v>
          </cell>
          <cell r="N5747" t="str">
            <v>STAIN INTERIOR</v>
          </cell>
        </row>
        <row r="5748">
          <cell r="C5748" t="str">
            <v>100003460</v>
          </cell>
          <cell r="D5748" t="str">
            <v>WBMG-97100 VN-20KJ</v>
          </cell>
          <cell r="E5748" t="str">
            <v>ZFGD</v>
          </cell>
          <cell r="F5748" t="str">
            <v>PC</v>
          </cell>
          <cell r="G5748" t="str">
            <v>1</v>
          </cell>
          <cell r="H5748" t="str">
            <v>INDUSTRY</v>
          </cell>
          <cell r="I5748" t="str">
            <v>11</v>
          </cell>
          <cell r="J5748" t="str">
            <v>WOOD COATINGS</v>
          </cell>
          <cell r="K5748" t="str">
            <v>1118</v>
          </cell>
          <cell r="L5748" t="str">
            <v>COMPLEMENTARY</v>
          </cell>
          <cell r="M5748" t="str">
            <v>111802</v>
          </cell>
          <cell r="N5748" t="str">
            <v>ASOF : POWDER &amp; MATTING SOLUTION</v>
          </cell>
        </row>
        <row r="5749">
          <cell r="C5749" t="str">
            <v>100003631</v>
          </cell>
          <cell r="D5749" t="str">
            <v>PUP-52100 HS BLACK VN-20KP</v>
          </cell>
          <cell r="E5749" t="str">
            <v>ZFGD</v>
          </cell>
          <cell r="F5749" t="str">
            <v>PC</v>
          </cell>
          <cell r="G5749" t="str">
            <v>1</v>
          </cell>
          <cell r="H5749" t="str">
            <v>INDUSTRY</v>
          </cell>
          <cell r="I5749" t="str">
            <v>11</v>
          </cell>
          <cell r="J5749" t="str">
            <v>WOOD COATINGS</v>
          </cell>
          <cell r="K5749" t="str">
            <v>1103</v>
          </cell>
          <cell r="L5749" t="str">
            <v>PU</v>
          </cell>
          <cell r="M5749" t="str">
            <v>110322</v>
          </cell>
          <cell r="N5749" t="str">
            <v>PU PRIMER</v>
          </cell>
        </row>
        <row r="5750">
          <cell r="C5750" t="str">
            <v>100003632</v>
          </cell>
          <cell r="D5750" t="str">
            <v>PUC-52200 BLACK A13 20 VN-20KP</v>
          </cell>
          <cell r="E5750" t="str">
            <v>ZFGD</v>
          </cell>
          <cell r="F5750" t="str">
            <v>PC</v>
          </cell>
          <cell r="G5750" t="str">
            <v>1</v>
          </cell>
          <cell r="H5750" t="str">
            <v>INDUSTRY</v>
          </cell>
          <cell r="I5750" t="str">
            <v>11</v>
          </cell>
          <cell r="J5750" t="str">
            <v>WOOD COATINGS</v>
          </cell>
          <cell r="K5750" t="str">
            <v>1103</v>
          </cell>
          <cell r="L5750" t="str">
            <v>PU</v>
          </cell>
          <cell r="M5750" t="str">
            <v>110319</v>
          </cell>
          <cell r="N5750" t="str">
            <v>PU COLOR</v>
          </cell>
        </row>
        <row r="5751">
          <cell r="C5751" t="str">
            <v>100003633</v>
          </cell>
          <cell r="D5751" t="str">
            <v>PUP-54102 AC WHITE VN-200KB</v>
          </cell>
          <cell r="E5751" t="str">
            <v>ZFGD</v>
          </cell>
          <cell r="F5751" t="str">
            <v>PC</v>
          </cell>
          <cell r="G5751" t="str">
            <v>1</v>
          </cell>
          <cell r="H5751" t="str">
            <v>INDUSTRY</v>
          </cell>
          <cell r="I5751" t="str">
            <v>11</v>
          </cell>
          <cell r="J5751" t="str">
            <v>WOOD COATINGS</v>
          </cell>
          <cell r="K5751" t="str">
            <v>1103</v>
          </cell>
          <cell r="L5751" t="str">
            <v>PU</v>
          </cell>
          <cell r="M5751" t="str">
            <v>110322</v>
          </cell>
          <cell r="N5751" t="str">
            <v>PU PRIMER</v>
          </cell>
        </row>
        <row r="5752">
          <cell r="C5752" t="str">
            <v>100003634</v>
          </cell>
          <cell r="D5752" t="str">
            <v>PUP-54102 AC WHITE VN-20KP</v>
          </cell>
          <cell r="E5752" t="str">
            <v>ZFGD</v>
          </cell>
          <cell r="F5752" t="str">
            <v>PC</v>
          </cell>
          <cell r="G5752" t="str">
            <v>1</v>
          </cell>
          <cell r="H5752" t="str">
            <v>INDUSTRY</v>
          </cell>
          <cell r="I5752" t="str">
            <v>11</v>
          </cell>
          <cell r="J5752" t="str">
            <v>WOOD COATINGS</v>
          </cell>
          <cell r="K5752" t="str">
            <v>1103</v>
          </cell>
          <cell r="L5752" t="str">
            <v>PU</v>
          </cell>
          <cell r="M5752" t="str">
            <v>110322</v>
          </cell>
          <cell r="N5752" t="str">
            <v>PU PRIMER</v>
          </cell>
        </row>
        <row r="5753">
          <cell r="C5753" t="str">
            <v>100003635</v>
          </cell>
          <cell r="D5753" t="str">
            <v>PUC-54207 AC WHITE A11 20 VN-20KP</v>
          </cell>
          <cell r="E5753" t="str">
            <v>ZFGD</v>
          </cell>
          <cell r="F5753" t="str">
            <v>PC</v>
          </cell>
          <cell r="G5753" t="str">
            <v>1</v>
          </cell>
          <cell r="H5753" t="str">
            <v>INDUSTRY</v>
          </cell>
          <cell r="I5753" t="str">
            <v>11</v>
          </cell>
          <cell r="J5753" t="str">
            <v>WOOD COATINGS</v>
          </cell>
          <cell r="K5753" t="str">
            <v>1103</v>
          </cell>
          <cell r="L5753" t="str">
            <v>PU</v>
          </cell>
          <cell r="M5753" t="str">
            <v>110319</v>
          </cell>
          <cell r="N5753" t="str">
            <v>PU COLOR</v>
          </cell>
        </row>
        <row r="5754">
          <cell r="C5754" t="str">
            <v>100003636</v>
          </cell>
          <cell r="D5754" t="str">
            <v>PUH-51100 A1 VN-16LJ</v>
          </cell>
          <cell r="E5754" t="str">
            <v>ZFGD</v>
          </cell>
          <cell r="F5754" t="str">
            <v>PC</v>
          </cell>
          <cell r="G5754" t="str">
            <v>1</v>
          </cell>
          <cell r="H5754" t="str">
            <v>INDUSTRY</v>
          </cell>
          <cell r="I5754" t="str">
            <v>11</v>
          </cell>
          <cell r="J5754" t="str">
            <v>WOOD COATINGS</v>
          </cell>
          <cell r="K5754" t="str">
            <v>1103</v>
          </cell>
          <cell r="L5754" t="str">
            <v>PU</v>
          </cell>
          <cell r="M5754" t="str">
            <v>110320</v>
          </cell>
          <cell r="N5754" t="str">
            <v>PU HARDENER</v>
          </cell>
        </row>
        <row r="5755">
          <cell r="C5755" t="str">
            <v>100003637</v>
          </cell>
          <cell r="D5755" t="str">
            <v>PUH-51100 A1 VN-4L</v>
          </cell>
          <cell r="E5755" t="str">
            <v>ZFGD</v>
          </cell>
          <cell r="F5755" t="str">
            <v>PC</v>
          </cell>
          <cell r="G5755" t="str">
            <v>1</v>
          </cell>
          <cell r="H5755" t="str">
            <v>INDUSTRY</v>
          </cell>
          <cell r="I5755" t="str">
            <v>11</v>
          </cell>
          <cell r="J5755" t="str">
            <v>WOOD COATINGS</v>
          </cell>
          <cell r="K5755" t="str">
            <v>1103</v>
          </cell>
          <cell r="L5755" t="str">
            <v>PU</v>
          </cell>
          <cell r="M5755" t="str">
            <v>110320</v>
          </cell>
          <cell r="N5755" t="str">
            <v>PU HARDENER</v>
          </cell>
        </row>
        <row r="5756">
          <cell r="C5756" t="str">
            <v>100003663</v>
          </cell>
          <cell r="D5756" t="str">
            <v>PUL-51300 QI CLEAR 30 VN-4K</v>
          </cell>
          <cell r="E5756" t="str">
            <v>ZFGD</v>
          </cell>
          <cell r="F5756" t="str">
            <v>PC</v>
          </cell>
          <cell r="G5756" t="str">
            <v>1</v>
          </cell>
          <cell r="H5756" t="str">
            <v>INDUSTRY</v>
          </cell>
          <cell r="I5756" t="str">
            <v>11</v>
          </cell>
          <cell r="J5756" t="str">
            <v>WOOD COATINGS</v>
          </cell>
          <cell r="K5756" t="str">
            <v>1103</v>
          </cell>
          <cell r="L5756" t="str">
            <v>PU</v>
          </cell>
          <cell r="M5756" t="str">
            <v>110321</v>
          </cell>
          <cell r="N5756" t="str">
            <v>PU LACQUER</v>
          </cell>
        </row>
        <row r="5757">
          <cell r="C5757" t="str">
            <v>100003664</v>
          </cell>
          <cell r="D5757" t="str">
            <v>PUL-51300 QI CLEAR 50 VN-4K</v>
          </cell>
          <cell r="E5757" t="str">
            <v>ZFGD</v>
          </cell>
          <cell r="F5757" t="str">
            <v>PC</v>
          </cell>
          <cell r="G5757" t="str">
            <v>1</v>
          </cell>
          <cell r="H5757" t="str">
            <v>INDUSTRY</v>
          </cell>
          <cell r="I5757" t="str">
            <v>11</v>
          </cell>
          <cell r="J5757" t="str">
            <v>WOOD COATINGS</v>
          </cell>
          <cell r="K5757" t="str">
            <v>1103</v>
          </cell>
          <cell r="L5757" t="str">
            <v>PU</v>
          </cell>
          <cell r="M5757" t="str">
            <v>110321</v>
          </cell>
          <cell r="N5757" t="str">
            <v>PU LACQUER</v>
          </cell>
        </row>
        <row r="5758">
          <cell r="C5758" t="str">
            <v>100003926</v>
          </cell>
          <cell r="D5758" t="str">
            <v>PUL-51300 QI CLEAR 90 VN-20KP</v>
          </cell>
          <cell r="E5758" t="str">
            <v>ZFGD</v>
          </cell>
          <cell r="F5758" t="str">
            <v>PC</v>
          </cell>
          <cell r="G5758" t="str">
            <v>1</v>
          </cell>
          <cell r="H5758" t="str">
            <v>INDUSTRY</v>
          </cell>
          <cell r="I5758" t="str">
            <v>11</v>
          </cell>
          <cell r="J5758" t="str">
            <v>WOOD COATINGS</v>
          </cell>
          <cell r="K5758" t="str">
            <v>1103</v>
          </cell>
          <cell r="L5758" t="str">
            <v>PU</v>
          </cell>
          <cell r="M5758" t="str">
            <v>110321</v>
          </cell>
          <cell r="N5758" t="str">
            <v>PU LACQUER</v>
          </cell>
        </row>
        <row r="5759">
          <cell r="C5759" t="str">
            <v>100003927</v>
          </cell>
          <cell r="D5759" t="str">
            <v>PUL-51300 QI CLEAR 30 VN-20KP</v>
          </cell>
          <cell r="E5759" t="str">
            <v>ZFGD</v>
          </cell>
          <cell r="F5759" t="str">
            <v>PC</v>
          </cell>
          <cell r="G5759" t="str">
            <v>1</v>
          </cell>
          <cell r="H5759" t="str">
            <v>INDUSTRY</v>
          </cell>
          <cell r="I5759" t="str">
            <v>11</v>
          </cell>
          <cell r="J5759" t="str">
            <v>WOOD COATINGS</v>
          </cell>
          <cell r="K5759" t="str">
            <v>1103</v>
          </cell>
          <cell r="L5759" t="str">
            <v>PU</v>
          </cell>
          <cell r="M5759" t="str">
            <v>110321</v>
          </cell>
          <cell r="N5759" t="str">
            <v>PU LACQUER</v>
          </cell>
        </row>
        <row r="5760">
          <cell r="C5760" t="str">
            <v>100003928</v>
          </cell>
          <cell r="D5760" t="str">
            <v>PUL-51300 QI CLEAR 50 VN-20KP</v>
          </cell>
          <cell r="E5760" t="str">
            <v>ZFGD</v>
          </cell>
          <cell r="F5760" t="str">
            <v>PC</v>
          </cell>
          <cell r="G5760" t="str">
            <v>1</v>
          </cell>
          <cell r="H5760" t="str">
            <v>INDUSTRY</v>
          </cell>
          <cell r="I5760" t="str">
            <v>11</v>
          </cell>
          <cell r="J5760" t="str">
            <v>WOOD COATINGS</v>
          </cell>
          <cell r="K5760" t="str">
            <v>1103</v>
          </cell>
          <cell r="L5760" t="str">
            <v>PU</v>
          </cell>
          <cell r="M5760" t="str">
            <v>110321</v>
          </cell>
          <cell r="N5760" t="str">
            <v>PU LACQUER</v>
          </cell>
        </row>
        <row r="5761">
          <cell r="C5761" t="str">
            <v>100004040</v>
          </cell>
          <cell r="D5761" t="str">
            <v>#NUWBL-61202 CLEAR 10 VN-20KP</v>
          </cell>
          <cell r="E5761" t="str">
            <v>ZFGD</v>
          </cell>
          <cell r="F5761" t="str">
            <v>PC</v>
          </cell>
          <cell r="G5761" t="str">
            <v>1</v>
          </cell>
          <cell r="H5761" t="str">
            <v>INDUSTRY</v>
          </cell>
          <cell r="I5761" t="str">
            <v>11</v>
          </cell>
          <cell r="J5761" t="str">
            <v>WOOD COATINGS</v>
          </cell>
          <cell r="K5761" t="str">
            <v>1111</v>
          </cell>
          <cell r="L5761" t="str">
            <v>WATERBASED SYSTEM INTERIOR</v>
          </cell>
          <cell r="M5761" t="str">
            <v>111104</v>
          </cell>
          <cell r="N5761" t="str">
            <v>WATERBASED SYSTEM INTERIOR</v>
          </cell>
        </row>
        <row r="5762">
          <cell r="C5762" t="str">
            <v>100004041</v>
          </cell>
          <cell r="D5762" t="str">
            <v>WBL-61202 CLEAR 10 VN-20KP</v>
          </cell>
          <cell r="E5762" t="str">
            <v>ZFGD</v>
          </cell>
          <cell r="F5762" t="str">
            <v>PC</v>
          </cell>
          <cell r="G5762" t="str">
            <v>1</v>
          </cell>
          <cell r="H5762" t="str">
            <v>INDUSTRY</v>
          </cell>
          <cell r="I5762" t="str">
            <v>11</v>
          </cell>
          <cell r="J5762" t="str">
            <v>WOOD COATINGS</v>
          </cell>
          <cell r="K5762" t="str">
            <v>1119</v>
          </cell>
          <cell r="L5762" t="str">
            <v>WATERBASED</v>
          </cell>
          <cell r="M5762" t="str">
            <v>111902</v>
          </cell>
          <cell r="N5762" t="str">
            <v>WATERBASED SYSTEM INTERIOR</v>
          </cell>
        </row>
        <row r="5763">
          <cell r="C5763" t="str">
            <v>100004046</v>
          </cell>
          <cell r="D5763" t="str">
            <v>PUC-52200 P2451 SLATE 05 MY-20KP</v>
          </cell>
          <cell r="E5763" t="str">
            <v>ZFGD</v>
          </cell>
          <cell r="F5763" t="str">
            <v>PC</v>
          </cell>
          <cell r="G5763" t="str">
            <v>1</v>
          </cell>
          <cell r="H5763" t="str">
            <v>INDUSTRY</v>
          </cell>
          <cell r="I5763" t="str">
            <v>11</v>
          </cell>
          <cell r="J5763" t="str">
            <v>WOOD COATINGS</v>
          </cell>
          <cell r="K5763" t="str">
            <v>1103</v>
          </cell>
          <cell r="L5763" t="str">
            <v>PU</v>
          </cell>
          <cell r="M5763" t="str">
            <v>110319</v>
          </cell>
          <cell r="N5763" t="str">
            <v>PU COLOR</v>
          </cell>
        </row>
        <row r="5764">
          <cell r="C5764" t="str">
            <v>100004051</v>
          </cell>
          <cell r="D5764" t="str">
            <v>PCA-31100 NG18 NITORI DBR KD MY-4K</v>
          </cell>
          <cell r="E5764" t="str">
            <v>ZFGD</v>
          </cell>
          <cell r="F5764" t="str">
            <v>PC</v>
          </cell>
          <cell r="G5764" t="str">
            <v>1</v>
          </cell>
          <cell r="H5764" t="str">
            <v>INDUSTRY</v>
          </cell>
          <cell r="I5764" t="str">
            <v>11</v>
          </cell>
          <cell r="J5764" t="str">
            <v>WOOD COATINGS</v>
          </cell>
          <cell r="K5764" t="str">
            <v>1118</v>
          </cell>
          <cell r="L5764" t="str">
            <v>COMPLEMENTARY</v>
          </cell>
          <cell r="M5764" t="str">
            <v>111807</v>
          </cell>
          <cell r="N5764" t="str">
            <v>PASTA</v>
          </cell>
        </row>
        <row r="5765">
          <cell r="C5765" t="str">
            <v>100004052</v>
          </cell>
          <cell r="D5765" t="str">
            <v>SST-11100 SU 08 WALNUT SATIN KD MY-4K</v>
          </cell>
          <cell r="E5765" t="str">
            <v>ZFGD</v>
          </cell>
          <cell r="F5765" t="str">
            <v>PC</v>
          </cell>
          <cell r="G5765" t="str">
            <v>1</v>
          </cell>
          <cell r="H5765" t="str">
            <v>INDUSTRY</v>
          </cell>
          <cell r="I5765" t="str">
            <v>11</v>
          </cell>
          <cell r="J5765" t="str">
            <v>WOOD COATINGS</v>
          </cell>
          <cell r="K5765" t="str">
            <v>1109</v>
          </cell>
          <cell r="L5765" t="str">
            <v>STAIN &amp; GLAZE INTERIOR</v>
          </cell>
          <cell r="M5765" t="str">
            <v>110903</v>
          </cell>
          <cell r="N5765" t="str">
            <v>STAIN INTERIOR</v>
          </cell>
        </row>
        <row r="5766">
          <cell r="C5766" t="str">
            <v>100004132</v>
          </cell>
          <cell r="D5766" t="str">
            <v>SST-11100 SMOKE GREY BLACK KD MY-4K</v>
          </cell>
          <cell r="E5766" t="str">
            <v>ZFGD</v>
          </cell>
          <cell r="F5766" t="str">
            <v>PC</v>
          </cell>
          <cell r="G5766" t="str">
            <v>1</v>
          </cell>
          <cell r="H5766" t="str">
            <v>INDUSTRY</v>
          </cell>
          <cell r="I5766" t="str">
            <v>11</v>
          </cell>
          <cell r="J5766" t="str">
            <v>WOOD COATINGS</v>
          </cell>
          <cell r="K5766" t="str">
            <v>1109</v>
          </cell>
          <cell r="L5766" t="str">
            <v>STAIN &amp; GLAZE INTERIOR</v>
          </cell>
          <cell r="M5766" t="str">
            <v>110903</v>
          </cell>
          <cell r="N5766" t="str">
            <v>STAIN INTERIOR</v>
          </cell>
        </row>
        <row r="5767">
          <cell r="C5767" t="str">
            <v>100004133</v>
          </cell>
          <cell r="D5767" t="str">
            <v>PCA-31100 NATURAL KD MY-4K</v>
          </cell>
          <cell r="E5767" t="str">
            <v>ZFGD</v>
          </cell>
          <cell r="F5767" t="str">
            <v>PC</v>
          </cell>
          <cell r="G5767" t="str">
            <v>1</v>
          </cell>
          <cell r="H5767" t="str">
            <v>INDUSTRY</v>
          </cell>
          <cell r="I5767" t="str">
            <v>11</v>
          </cell>
          <cell r="J5767" t="str">
            <v>WOOD COATINGS</v>
          </cell>
          <cell r="K5767" t="str">
            <v>1118</v>
          </cell>
          <cell r="L5767" t="str">
            <v>COMPLEMENTARY</v>
          </cell>
          <cell r="M5767" t="str">
            <v>111807</v>
          </cell>
          <cell r="N5767" t="str">
            <v>PASTA</v>
          </cell>
        </row>
        <row r="5768">
          <cell r="C5768" t="str">
            <v>100004134</v>
          </cell>
          <cell r="D5768" t="str">
            <v>PCA-31100 ACCORN KD MY-4K</v>
          </cell>
          <cell r="E5768" t="str">
            <v>ZFGD</v>
          </cell>
          <cell r="F5768" t="str">
            <v>PC</v>
          </cell>
          <cell r="G5768" t="str">
            <v>1</v>
          </cell>
          <cell r="H5768" t="str">
            <v>INDUSTRY</v>
          </cell>
          <cell r="I5768" t="str">
            <v>11</v>
          </cell>
          <cell r="J5768" t="str">
            <v>WOOD COATINGS</v>
          </cell>
          <cell r="K5768" t="str">
            <v>1118</v>
          </cell>
          <cell r="L5768" t="str">
            <v>COMPLEMENTARY</v>
          </cell>
          <cell r="M5768" t="str">
            <v>111807</v>
          </cell>
          <cell r="N5768" t="str">
            <v>PASTA</v>
          </cell>
        </row>
        <row r="5769">
          <cell r="C5769" t="str">
            <v>100004135</v>
          </cell>
          <cell r="D5769" t="str">
            <v>PCA-31100 DARK GREY OAK KD MY-4K</v>
          </cell>
          <cell r="E5769" t="str">
            <v>ZFGD</v>
          </cell>
          <cell r="F5769" t="str">
            <v>PC</v>
          </cell>
          <cell r="G5769" t="str">
            <v>1</v>
          </cell>
          <cell r="H5769" t="str">
            <v>INDUSTRY</v>
          </cell>
          <cell r="I5769" t="str">
            <v>11</v>
          </cell>
          <cell r="J5769" t="str">
            <v>WOOD COATINGS</v>
          </cell>
          <cell r="K5769" t="str">
            <v>1118</v>
          </cell>
          <cell r="L5769" t="str">
            <v>COMPLEMENTARY</v>
          </cell>
          <cell r="M5769" t="str">
            <v>111807</v>
          </cell>
          <cell r="N5769" t="str">
            <v>PASTA</v>
          </cell>
        </row>
        <row r="5770">
          <cell r="C5770" t="str">
            <v>100004136</v>
          </cell>
          <cell r="D5770" t="str">
            <v>PCA-31100 MATT BLACK KD MY-4K</v>
          </cell>
          <cell r="E5770" t="str">
            <v>ZFGD</v>
          </cell>
          <cell r="F5770" t="str">
            <v>PC</v>
          </cell>
          <cell r="G5770" t="str">
            <v>1</v>
          </cell>
          <cell r="H5770" t="str">
            <v>INDUSTRY</v>
          </cell>
          <cell r="I5770" t="str">
            <v>11</v>
          </cell>
          <cell r="J5770" t="str">
            <v>WOOD COATINGS</v>
          </cell>
          <cell r="K5770" t="str">
            <v>1118</v>
          </cell>
          <cell r="L5770" t="str">
            <v>COMPLEMENTARY</v>
          </cell>
          <cell r="M5770" t="str">
            <v>111807</v>
          </cell>
          <cell r="N5770" t="str">
            <v>PASTA</v>
          </cell>
        </row>
        <row r="5771">
          <cell r="C5771" t="str">
            <v>100004137</v>
          </cell>
          <cell r="D5771" t="str">
            <v>PCA-31100 SMOKE GREY BLACK KD MY-4K</v>
          </cell>
          <cell r="E5771" t="str">
            <v>ZFGD</v>
          </cell>
          <cell r="F5771" t="str">
            <v>PC</v>
          </cell>
          <cell r="G5771" t="str">
            <v>1</v>
          </cell>
          <cell r="H5771" t="str">
            <v>INDUSTRY</v>
          </cell>
          <cell r="I5771" t="str">
            <v>11</v>
          </cell>
          <cell r="J5771" t="str">
            <v>WOOD COATINGS</v>
          </cell>
          <cell r="K5771" t="str">
            <v>1118</v>
          </cell>
          <cell r="L5771" t="str">
            <v>COMPLEMENTARY</v>
          </cell>
          <cell r="M5771" t="str">
            <v>111807</v>
          </cell>
          <cell r="N5771" t="str">
            <v>PASTA</v>
          </cell>
        </row>
        <row r="5772">
          <cell r="C5772" t="str">
            <v>100004365</v>
          </cell>
          <cell r="D5772" t="str">
            <v>PG-13900 LIME WASH KD MY-20KP</v>
          </cell>
          <cell r="E5772" t="str">
            <v>ZFGD</v>
          </cell>
          <cell r="F5772" t="str">
            <v>PC</v>
          </cell>
          <cell r="G5772" t="str">
            <v>1</v>
          </cell>
          <cell r="H5772" t="str">
            <v>INDUSTRY</v>
          </cell>
          <cell r="I5772" t="str">
            <v>11</v>
          </cell>
          <cell r="J5772" t="str">
            <v>WOOD COATINGS</v>
          </cell>
          <cell r="K5772" t="str">
            <v>1109</v>
          </cell>
          <cell r="L5772" t="str">
            <v>STAIN &amp; GLAZE INTERIOR</v>
          </cell>
          <cell r="M5772" t="str">
            <v>110901</v>
          </cell>
          <cell r="N5772" t="str">
            <v>ASOF : STAIN &amp; GLAZE</v>
          </cell>
        </row>
        <row r="5773">
          <cell r="C5773" t="str">
            <v>100004410</v>
          </cell>
          <cell r="D5773" t="str">
            <v>PUC-52200 P2453 STORM 05 MY-20KP</v>
          </cell>
          <cell r="E5773" t="str">
            <v>ZFGD</v>
          </cell>
          <cell r="F5773" t="str">
            <v>PC</v>
          </cell>
          <cell r="G5773" t="str">
            <v>1</v>
          </cell>
          <cell r="H5773" t="str">
            <v>INDUSTRY</v>
          </cell>
          <cell r="I5773" t="str">
            <v>11</v>
          </cell>
          <cell r="J5773" t="str">
            <v>WOOD COATINGS</v>
          </cell>
          <cell r="K5773" t="str">
            <v>1103</v>
          </cell>
          <cell r="L5773" t="str">
            <v>PU</v>
          </cell>
          <cell r="M5773" t="str">
            <v>110319</v>
          </cell>
          <cell r="N5773" t="str">
            <v>PU COLOR</v>
          </cell>
        </row>
        <row r="5774">
          <cell r="C5774" t="str">
            <v>100004486</v>
          </cell>
          <cell r="D5774" t="str">
            <v>PCA-31100 BLACK PD VN-10K</v>
          </cell>
          <cell r="E5774" t="str">
            <v>ZFGD</v>
          </cell>
          <cell r="F5774" t="str">
            <v>PC</v>
          </cell>
          <cell r="G5774" t="str">
            <v>1</v>
          </cell>
          <cell r="H5774" t="str">
            <v>INDUSTRY</v>
          </cell>
          <cell r="I5774" t="str">
            <v>11</v>
          </cell>
          <cell r="J5774" t="str">
            <v>WOOD COATINGS</v>
          </cell>
          <cell r="K5774" t="str">
            <v>1118</v>
          </cell>
          <cell r="L5774" t="str">
            <v>COMPLEMENTARY</v>
          </cell>
          <cell r="M5774" t="str">
            <v>111807</v>
          </cell>
          <cell r="N5774" t="str">
            <v>PASTA</v>
          </cell>
        </row>
        <row r="5775">
          <cell r="C5775" t="str">
            <v>100004513</v>
          </cell>
          <cell r="D5775" t="str">
            <v>PUH-56141 VN-20KP</v>
          </cell>
          <cell r="E5775" t="str">
            <v>ZFGD</v>
          </cell>
          <cell r="F5775" t="str">
            <v>PC</v>
          </cell>
          <cell r="G5775" t="str">
            <v>1</v>
          </cell>
          <cell r="H5775" t="str">
            <v>INDUSTRY</v>
          </cell>
          <cell r="I5775" t="str">
            <v>11</v>
          </cell>
          <cell r="J5775" t="str">
            <v>WOOD COATINGS</v>
          </cell>
          <cell r="K5775" t="str">
            <v>1103</v>
          </cell>
          <cell r="L5775" t="str">
            <v>PU</v>
          </cell>
          <cell r="M5775" t="str">
            <v>110320</v>
          </cell>
          <cell r="N5775" t="str">
            <v>PU HARDENER</v>
          </cell>
        </row>
        <row r="5776">
          <cell r="C5776" t="str">
            <v>100004593</v>
          </cell>
          <cell r="D5776" t="str">
            <v>TOL-76114 W KD VN-20LJ</v>
          </cell>
          <cell r="E5776" t="str">
            <v>ZFGD</v>
          </cell>
          <cell r="F5776" t="str">
            <v>PC</v>
          </cell>
          <cell r="G5776" t="str">
            <v>1</v>
          </cell>
          <cell r="H5776" t="str">
            <v>INDUSTRY</v>
          </cell>
          <cell r="I5776" t="str">
            <v>11</v>
          </cell>
          <cell r="J5776" t="str">
            <v>WOOD COATINGS</v>
          </cell>
          <cell r="K5776" t="str">
            <v>1101</v>
          </cell>
          <cell r="L5776" t="str">
            <v>ALKYD OIL</v>
          </cell>
          <cell r="M5776" t="str">
            <v>110101</v>
          </cell>
          <cell r="N5776" t="str">
            <v>ALKYD &amp; OIL SYSTEM</v>
          </cell>
        </row>
        <row r="5777">
          <cell r="C5777" t="str">
            <v>100004619</v>
          </cell>
          <cell r="D5777" t="str">
            <v>SST-11100 WALNUT SATIN KD MY-4K</v>
          </cell>
          <cell r="E5777" t="str">
            <v>ZFGD</v>
          </cell>
          <cell r="F5777" t="str">
            <v>PC</v>
          </cell>
          <cell r="G5777" t="str">
            <v>1</v>
          </cell>
          <cell r="H5777" t="str">
            <v>INDUSTRY</v>
          </cell>
          <cell r="I5777" t="str">
            <v>11</v>
          </cell>
          <cell r="J5777" t="str">
            <v>WOOD COATINGS</v>
          </cell>
          <cell r="K5777" t="str">
            <v>1109</v>
          </cell>
          <cell r="L5777" t="str">
            <v>STAIN &amp; GLAZE INTERIOR</v>
          </cell>
          <cell r="M5777" t="str">
            <v>110903</v>
          </cell>
          <cell r="N5777" t="str">
            <v>STAIN INTERIOR</v>
          </cell>
        </row>
        <row r="5778">
          <cell r="C5778" t="str">
            <v>100004676</v>
          </cell>
          <cell r="D5778" t="str">
            <v>AP-98200 GA 11 VN-1K</v>
          </cell>
          <cell r="E5778" t="str">
            <v>ZFGD</v>
          </cell>
          <cell r="F5778" t="str">
            <v>PC</v>
          </cell>
          <cell r="G5778" t="str">
            <v>1</v>
          </cell>
          <cell r="H5778" t="str">
            <v>INDUSTRY</v>
          </cell>
          <cell r="I5778" t="str">
            <v>11</v>
          </cell>
          <cell r="J5778" t="str">
            <v>WOOD COATINGS</v>
          </cell>
          <cell r="K5778" t="str">
            <v>1118</v>
          </cell>
          <cell r="L5778" t="str">
            <v>COMPLEMENTARY</v>
          </cell>
          <cell r="M5778" t="str">
            <v>111802</v>
          </cell>
          <cell r="N5778" t="str">
            <v>ASOF : POWDER &amp; MATTING SOLUTION</v>
          </cell>
        </row>
        <row r="5779">
          <cell r="C5779" t="str">
            <v>100004791</v>
          </cell>
          <cell r="D5779" t="str">
            <v>MS-61216 VN- 4K</v>
          </cell>
          <cell r="E5779" t="str">
            <v>ZFGD</v>
          </cell>
          <cell r="F5779" t="str">
            <v>PC</v>
          </cell>
          <cell r="G5779" t="str">
            <v>1</v>
          </cell>
          <cell r="H5779" t="str">
            <v>INDUSTRY</v>
          </cell>
          <cell r="I5779" t="str">
            <v>11</v>
          </cell>
          <cell r="J5779" t="str">
            <v>WOOD COATINGS</v>
          </cell>
          <cell r="K5779" t="str">
            <v>1118</v>
          </cell>
          <cell r="L5779" t="str">
            <v>COMPLEMENTARY</v>
          </cell>
          <cell r="M5779" t="str">
            <v>111801</v>
          </cell>
          <cell r="N5779" t="str">
            <v>ADDITIVES</v>
          </cell>
        </row>
        <row r="5780">
          <cell r="C5780" t="str">
            <v>100004884</v>
          </cell>
          <cell r="D5780" t="str">
            <v>DC-12229 LC PINK 30 QI VN-20KP</v>
          </cell>
          <cell r="E5780" t="str">
            <v>ZFGD</v>
          </cell>
          <cell r="F5780" t="str">
            <v>PC</v>
          </cell>
          <cell r="G5780" t="str">
            <v>1</v>
          </cell>
          <cell r="H5780" t="str">
            <v>INDUSTRY</v>
          </cell>
          <cell r="I5780" t="str">
            <v>11</v>
          </cell>
          <cell r="J5780" t="str">
            <v>WOOD COATINGS</v>
          </cell>
          <cell r="K5780" t="str">
            <v>1104</v>
          </cell>
          <cell r="L5780" t="str">
            <v>NC</v>
          </cell>
          <cell r="M5780" t="str">
            <v>110405</v>
          </cell>
          <cell r="N5780" t="str">
            <v>NC SYSTEM</v>
          </cell>
        </row>
        <row r="5781">
          <cell r="C5781" t="str">
            <v>100004886</v>
          </cell>
          <cell r="D5781" t="str">
            <v>DC-12229 LC GREY 30 QI VN-20KP</v>
          </cell>
          <cell r="E5781" t="str">
            <v>ZFGD</v>
          </cell>
          <cell r="F5781" t="str">
            <v>PC</v>
          </cell>
          <cell r="G5781" t="str">
            <v>1</v>
          </cell>
          <cell r="H5781" t="str">
            <v>INDUSTRY</v>
          </cell>
          <cell r="I5781" t="str">
            <v>11</v>
          </cell>
          <cell r="J5781" t="str">
            <v>WOOD COATINGS</v>
          </cell>
          <cell r="K5781" t="str">
            <v>1104</v>
          </cell>
          <cell r="L5781" t="str">
            <v>NC</v>
          </cell>
          <cell r="M5781" t="str">
            <v>110405</v>
          </cell>
          <cell r="N5781" t="str">
            <v>NC SYSTEM</v>
          </cell>
        </row>
        <row r="5782">
          <cell r="C5782" t="str">
            <v>100005078</v>
          </cell>
          <cell r="D5782" t="str">
            <v>UVSS-40104 VN-20KP</v>
          </cell>
          <cell r="E5782" t="str">
            <v>ZFGD</v>
          </cell>
          <cell r="F5782" t="str">
            <v>PC</v>
          </cell>
          <cell r="G5782" t="str">
            <v>1</v>
          </cell>
          <cell r="H5782" t="str">
            <v>INDUSTRY</v>
          </cell>
          <cell r="I5782" t="str">
            <v>11</v>
          </cell>
          <cell r="J5782" t="str">
            <v>WOOD COATINGS</v>
          </cell>
          <cell r="K5782" t="str">
            <v>1106</v>
          </cell>
          <cell r="L5782" t="str">
            <v>UV</v>
          </cell>
          <cell r="M5782" t="str">
            <v>110605</v>
          </cell>
          <cell r="N5782" t="str">
            <v>UV SANDING SEALER</v>
          </cell>
        </row>
        <row r="5783">
          <cell r="C5783" t="str">
            <v>100005141</v>
          </cell>
          <cell r="D5783" t="str">
            <v>LACQUER PUL-1513 KD 35 SHEEN MLY-20LP</v>
          </cell>
          <cell r="E5783" t="str">
            <v>ZFGD</v>
          </cell>
          <cell r="F5783" t="str">
            <v>PC</v>
          </cell>
          <cell r="G5783" t="str">
            <v>1</v>
          </cell>
          <cell r="H5783" t="str">
            <v>INDUSTRY</v>
          </cell>
          <cell r="I5783" t="str">
            <v>11</v>
          </cell>
          <cell r="J5783" t="str">
            <v>WOOD COATINGS</v>
          </cell>
          <cell r="K5783" t="str">
            <v>1103</v>
          </cell>
          <cell r="L5783" t="str">
            <v>PU</v>
          </cell>
          <cell r="M5783" t="str">
            <v>110321</v>
          </cell>
          <cell r="N5783" t="str">
            <v>PU LACQUER</v>
          </cell>
        </row>
        <row r="5784">
          <cell r="C5784" t="str">
            <v>100005189</v>
          </cell>
          <cell r="D5784" t="str">
            <v>THPU-71306 WP LC VN-20LJ</v>
          </cell>
          <cell r="E5784" t="str">
            <v>ZFGD</v>
          </cell>
          <cell r="F5784" t="str">
            <v>PC</v>
          </cell>
          <cell r="G5784" t="str">
            <v>1</v>
          </cell>
          <cell r="H5784" t="str">
            <v>INDUSTRY</v>
          </cell>
          <cell r="I5784" t="str">
            <v>14</v>
          </cell>
          <cell r="J5784" t="str">
            <v>THINNER</v>
          </cell>
          <cell r="K5784" t="str">
            <v>1411</v>
          </cell>
          <cell r="L5784" t="str">
            <v>THINNER PU</v>
          </cell>
          <cell r="M5784" t="str">
            <v>141101</v>
          </cell>
          <cell r="N5784" t="str">
            <v>THINNER PU</v>
          </cell>
        </row>
        <row r="5785">
          <cell r="C5785" t="str">
            <v>100005192</v>
          </cell>
          <cell r="D5785" t="str">
            <v>WFPU-51000 VN-20KP</v>
          </cell>
          <cell r="E5785" t="str">
            <v>ZFGD</v>
          </cell>
          <cell r="F5785" t="str">
            <v>PC</v>
          </cell>
          <cell r="G5785" t="str">
            <v>1</v>
          </cell>
          <cell r="H5785" t="str">
            <v>INDUSTRY</v>
          </cell>
          <cell r="I5785" t="str">
            <v>11</v>
          </cell>
          <cell r="J5785" t="str">
            <v>WOOD COATINGS</v>
          </cell>
          <cell r="K5785" t="str">
            <v>1103</v>
          </cell>
          <cell r="L5785" t="str">
            <v>PU</v>
          </cell>
          <cell r="M5785" t="str">
            <v>110313</v>
          </cell>
          <cell r="N5785" t="str">
            <v>WOOD FILLER PU</v>
          </cell>
        </row>
        <row r="5786">
          <cell r="C5786" t="str">
            <v>100005572</v>
          </cell>
          <cell r="D5786" t="str">
            <v>DC-12229 LC BLACK 50 VN-18KP</v>
          </cell>
          <cell r="E5786" t="str">
            <v>ZFGD</v>
          </cell>
          <cell r="F5786" t="str">
            <v>PC</v>
          </cell>
          <cell r="G5786" t="str">
            <v>1</v>
          </cell>
          <cell r="H5786" t="str">
            <v>INDUSTRY</v>
          </cell>
          <cell r="I5786" t="str">
            <v>11</v>
          </cell>
          <cell r="J5786" t="str">
            <v>WOOD COATINGS</v>
          </cell>
          <cell r="K5786" t="str">
            <v>1104</v>
          </cell>
          <cell r="L5786" t="str">
            <v>NC</v>
          </cell>
          <cell r="M5786" t="str">
            <v>110405</v>
          </cell>
          <cell r="N5786" t="str">
            <v>NC SYSTEM</v>
          </cell>
        </row>
        <row r="5787">
          <cell r="C5787" t="str">
            <v>100005881</v>
          </cell>
          <cell r="D5787" t="str">
            <v>PUC-52239 BLACK 20 VN-18KP</v>
          </cell>
          <cell r="E5787" t="str">
            <v>ZFGD</v>
          </cell>
          <cell r="F5787" t="str">
            <v>PC</v>
          </cell>
          <cell r="G5787" t="str">
            <v>1</v>
          </cell>
          <cell r="H5787" t="str">
            <v>INDUSTRY</v>
          </cell>
          <cell r="I5787" t="str">
            <v>11</v>
          </cell>
          <cell r="J5787" t="str">
            <v>WOOD COATINGS</v>
          </cell>
          <cell r="K5787" t="str">
            <v>1103</v>
          </cell>
          <cell r="L5787" t="str">
            <v>PU</v>
          </cell>
          <cell r="M5787" t="str">
            <v>110319</v>
          </cell>
          <cell r="N5787" t="str">
            <v>PU COLOR</v>
          </cell>
        </row>
        <row r="5788">
          <cell r="C5788" t="str">
            <v>100005924</v>
          </cell>
          <cell r="D5788" t="str">
            <v>PUC-52239 BLACK 20 QI VN-18KP</v>
          </cell>
          <cell r="E5788" t="str">
            <v>ZFGD</v>
          </cell>
          <cell r="F5788" t="str">
            <v>PC</v>
          </cell>
          <cell r="G5788" t="str">
            <v>1</v>
          </cell>
          <cell r="H5788" t="str">
            <v>INDUSTRY</v>
          </cell>
          <cell r="I5788" t="str">
            <v>11</v>
          </cell>
          <cell r="J5788" t="str">
            <v>WOOD COATINGS</v>
          </cell>
          <cell r="K5788" t="str">
            <v>1103</v>
          </cell>
          <cell r="L5788" t="str">
            <v>PU</v>
          </cell>
          <cell r="M5788" t="str">
            <v>110319</v>
          </cell>
          <cell r="N5788" t="str">
            <v>PU COLOR</v>
          </cell>
        </row>
        <row r="5789">
          <cell r="C5789" t="str">
            <v>100006245</v>
          </cell>
          <cell r="D5789" t="str">
            <v>PUL-51339 SR CLEAR 05 VN-18KP</v>
          </cell>
          <cell r="E5789" t="str">
            <v>ZFGD</v>
          </cell>
          <cell r="F5789" t="str">
            <v>PC</v>
          </cell>
          <cell r="G5789" t="str">
            <v>1</v>
          </cell>
          <cell r="H5789" t="str">
            <v>INDUSTRY</v>
          </cell>
          <cell r="I5789" t="str">
            <v>11</v>
          </cell>
          <cell r="J5789" t="str">
            <v>WOOD COATINGS</v>
          </cell>
          <cell r="K5789" t="str">
            <v>1103</v>
          </cell>
          <cell r="L5789" t="str">
            <v>PU</v>
          </cell>
          <cell r="M5789" t="str">
            <v>110321</v>
          </cell>
          <cell r="N5789" t="str">
            <v>PU LACQUER</v>
          </cell>
        </row>
        <row r="5790">
          <cell r="C5790" t="str">
            <v>100006264</v>
          </cell>
          <cell r="D5790" t="str">
            <v>NCS-11100 HOT STAMPING-20LP</v>
          </cell>
          <cell r="E5790" t="str">
            <v>ZFGD</v>
          </cell>
          <cell r="F5790" t="str">
            <v>PC</v>
          </cell>
          <cell r="G5790" t="str">
            <v>1</v>
          </cell>
          <cell r="H5790" t="str">
            <v>INDUSTRY</v>
          </cell>
          <cell r="I5790" t="str">
            <v>11</v>
          </cell>
          <cell r="J5790" t="str">
            <v>WOOD COATINGS</v>
          </cell>
          <cell r="K5790" t="str">
            <v>1104</v>
          </cell>
          <cell r="L5790" t="str">
            <v>NC</v>
          </cell>
          <cell r="M5790" t="str">
            <v>110405</v>
          </cell>
          <cell r="N5790" t="str">
            <v>NC SYSTEM</v>
          </cell>
        </row>
        <row r="5791">
          <cell r="C5791" t="str">
            <v>100006365</v>
          </cell>
          <cell r="D5791" t="str">
            <v>NCL-1113-SR10AK-18KP</v>
          </cell>
          <cell r="E5791" t="str">
            <v>ZFGD</v>
          </cell>
          <cell r="F5791" t="str">
            <v>PC</v>
          </cell>
          <cell r="G5791" t="str">
            <v>1</v>
          </cell>
          <cell r="H5791" t="str">
            <v>INDUSTRY</v>
          </cell>
          <cell r="I5791" t="str">
            <v>11</v>
          </cell>
          <cell r="J5791" t="str">
            <v>WOOD COATINGS</v>
          </cell>
          <cell r="K5791" t="str">
            <v>1104</v>
          </cell>
          <cell r="L5791" t="str">
            <v>NC</v>
          </cell>
          <cell r="M5791" t="str">
            <v>110405</v>
          </cell>
          <cell r="N5791" t="str">
            <v>NC SYSTEM</v>
          </cell>
        </row>
        <row r="5792">
          <cell r="C5792" t="str">
            <v>120002947</v>
          </cell>
          <cell r="D5792" t="str">
            <v>SRB 4 F</v>
          </cell>
          <cell r="E5792" t="str">
            <v>ZSFG</v>
          </cell>
          <cell r="F5792" t="str">
            <v>KG</v>
          </cell>
          <cell r="G5792" t="str">
            <v>1</v>
          </cell>
          <cell r="H5792" t="str">
            <v>INDUSTRY</v>
          </cell>
          <cell r="I5792" t="str">
            <v>11</v>
          </cell>
          <cell r="J5792" t="str">
            <v>WOOD COATINGS</v>
          </cell>
          <cell r="K5792" t="str">
            <v>1103</v>
          </cell>
          <cell r="L5792" t="str">
            <v>PU</v>
          </cell>
          <cell r="M5792" t="str">
            <v>110320</v>
          </cell>
          <cell r="N5792" t="str">
            <v>PU HARDENER</v>
          </cell>
        </row>
        <row r="5793">
          <cell r="C5793" t="str">
            <v>170000008</v>
          </cell>
          <cell r="D5793" t="str">
            <v>UVSS-40115 RW-20KP</v>
          </cell>
          <cell r="E5793" t="str">
            <v>ZTRD</v>
          </cell>
          <cell r="F5793" t="str">
            <v>PC</v>
          </cell>
          <cell r="G5793" t="str">
            <v>W</v>
          </cell>
          <cell r="H5793" t="str">
            <v>TRD INDUSTRY</v>
          </cell>
          <cell r="I5793" t="str">
            <v>W1</v>
          </cell>
          <cell r="J5793" t="str">
            <v>WOOD COATINGS</v>
          </cell>
          <cell r="K5793" t="str">
            <v>W106</v>
          </cell>
          <cell r="L5793" t="str">
            <v>UV</v>
          </cell>
          <cell r="M5793" t="str">
            <v>W10605</v>
          </cell>
          <cell r="N5793" t="str">
            <v>UV SANDING SEALER</v>
          </cell>
        </row>
        <row r="5794">
          <cell r="C5794" t="str">
            <v>170000030</v>
          </cell>
          <cell r="D5794" t="str">
            <v>PROPAN PFW-333 NATURAL-1K</v>
          </cell>
          <cell r="E5794" t="str">
            <v>ZTRD</v>
          </cell>
          <cell r="F5794" t="str">
            <v>PC</v>
          </cell>
          <cell r="G5794" t="str">
            <v>X</v>
          </cell>
          <cell r="H5794" t="str">
            <v>TRD RETAIL</v>
          </cell>
          <cell r="I5794" t="str">
            <v>X1</v>
          </cell>
          <cell r="J5794" t="str">
            <v>WF1</v>
          </cell>
          <cell r="K5794" t="str">
            <v>X107</v>
          </cell>
          <cell r="L5794" t="str">
            <v>FURNITURE WAX</v>
          </cell>
          <cell r="M5794" t="str">
            <v>X10701</v>
          </cell>
          <cell r="N5794" t="str">
            <v>PROPAN FURNITURE WAX</v>
          </cell>
        </row>
        <row r="5795">
          <cell r="C5795" t="str">
            <v>170000467</v>
          </cell>
          <cell r="D5795" t="str">
            <v>26-1005 URT FLAT A VN-220KK</v>
          </cell>
          <cell r="E5795" t="str">
            <v>ZTRD</v>
          </cell>
          <cell r="F5795" t="str">
            <v>PC</v>
          </cell>
          <cell r="G5795" t="str">
            <v>W</v>
          </cell>
          <cell r="H5795" t="str">
            <v>TRD INDUSTRY</v>
          </cell>
          <cell r="I5795" t="str">
            <v>W1</v>
          </cell>
          <cell r="J5795" t="str">
            <v>WOOD COATINGS</v>
          </cell>
          <cell r="K5795" t="str">
            <v>W103</v>
          </cell>
          <cell r="L5795" t="str">
            <v>PU</v>
          </cell>
          <cell r="M5795" t="str">
            <v>W10312</v>
          </cell>
          <cell r="N5795" t="str">
            <v>UNION TOP COAT</v>
          </cell>
        </row>
        <row r="5796">
          <cell r="C5796" t="str">
            <v>170000468</v>
          </cell>
          <cell r="D5796" t="str">
            <v>16-2005 URT SANDING A VN-200KB</v>
          </cell>
          <cell r="E5796" t="str">
            <v>ZTRD</v>
          </cell>
          <cell r="F5796" t="str">
            <v>PC</v>
          </cell>
          <cell r="G5796" t="str">
            <v>W</v>
          </cell>
          <cell r="H5796" t="str">
            <v>TRD INDUSTRY</v>
          </cell>
          <cell r="I5796" t="str">
            <v>W1</v>
          </cell>
          <cell r="J5796" t="str">
            <v>WOOD COATINGS</v>
          </cell>
          <cell r="K5796" t="str">
            <v>W103</v>
          </cell>
          <cell r="L5796" t="str">
            <v>PU</v>
          </cell>
          <cell r="M5796" t="str">
            <v>W10308</v>
          </cell>
          <cell r="N5796" t="str">
            <v>UNION SANDING SEALER</v>
          </cell>
        </row>
        <row r="5797">
          <cell r="C5797" t="str">
            <v>170000470</v>
          </cell>
          <cell r="D5797" t="str">
            <v>#NU82-4020 UE AF URT WHITE A-16KP</v>
          </cell>
          <cell r="E5797" t="str">
            <v>ZTRD</v>
          </cell>
          <cell r="F5797" t="str">
            <v>PC</v>
          </cell>
          <cell r="G5797" t="str">
            <v>5</v>
          </cell>
          <cell r="H5797" t="str">
            <v>PROJECT</v>
          </cell>
          <cell r="I5797" t="str">
            <v>51</v>
          </cell>
          <cell r="J5797" t="str">
            <v>A&amp;S</v>
          </cell>
          <cell r="K5797" t="str">
            <v>5103</v>
          </cell>
          <cell r="L5797" t="str">
            <v>PU SYSTEM</v>
          </cell>
          <cell r="M5797" t="str">
            <v>510312</v>
          </cell>
          <cell r="N5797" t="str">
            <v>UNION TOP COAT</v>
          </cell>
        </row>
        <row r="5798">
          <cell r="C5798" t="str">
            <v>170001232</v>
          </cell>
          <cell r="D5798" t="str">
            <v>PRCC-20324 POLYESTER VARNISH-200KK</v>
          </cell>
          <cell r="E5798" t="str">
            <v>ZTRD</v>
          </cell>
          <cell r="F5798" t="str">
            <v>PC</v>
          </cell>
          <cell r="G5798" t="str">
            <v>W</v>
          </cell>
          <cell r="H5798" t="str">
            <v>TRD INDUSTRY</v>
          </cell>
          <cell r="I5798" t="str">
            <v>W2</v>
          </cell>
          <cell r="J5798" t="str">
            <v>CAN COATINGS</v>
          </cell>
          <cell r="K5798" t="str">
            <v>W201</v>
          </cell>
          <cell r="L5798" t="str">
            <v>CAN COATINGS</v>
          </cell>
          <cell r="M5798" t="str">
            <v>W20101</v>
          </cell>
          <cell r="N5798" t="str">
            <v>CAN COATINGS</v>
          </cell>
        </row>
        <row r="5799">
          <cell r="C5799" t="str">
            <v>170001286</v>
          </cell>
          <cell r="D5799" t="str">
            <v>NCL-11300 ALC 20 SHEEN-20LP</v>
          </cell>
          <cell r="E5799" t="str">
            <v>ZTRD</v>
          </cell>
          <cell r="F5799" t="str">
            <v>PC</v>
          </cell>
          <cell r="G5799" t="str">
            <v>W</v>
          </cell>
          <cell r="H5799" t="str">
            <v>TRD INDUSTRY</v>
          </cell>
          <cell r="I5799" t="str">
            <v>W1</v>
          </cell>
          <cell r="J5799" t="str">
            <v>WOOD COATINGS</v>
          </cell>
          <cell r="K5799" t="str">
            <v>W104</v>
          </cell>
          <cell r="L5799" t="str">
            <v>NC</v>
          </cell>
          <cell r="M5799" t="str">
            <v>W10405</v>
          </cell>
          <cell r="N5799" t="str">
            <v>NC SYSTEM</v>
          </cell>
        </row>
        <row r="5800">
          <cell r="C5800" t="str">
            <v>170001640</v>
          </cell>
          <cell r="D5800" t="str">
            <v>3D GEL STAIN WS-300 LIGHT BROWN-0.9L</v>
          </cell>
          <cell r="E5800" t="str">
            <v>ZTRD</v>
          </cell>
          <cell r="F5800" t="str">
            <v>PC</v>
          </cell>
          <cell r="G5800" t="str">
            <v>X</v>
          </cell>
          <cell r="H5800" t="str">
            <v>TRD RETAIL</v>
          </cell>
          <cell r="I5800" t="str">
            <v>X1</v>
          </cell>
          <cell r="J5800" t="str">
            <v>WF1</v>
          </cell>
          <cell r="K5800" t="str">
            <v>X116</v>
          </cell>
          <cell r="L5800" t="str">
            <v>ANTIQUE FINISH</v>
          </cell>
          <cell r="M5800" t="str">
            <v>X11602</v>
          </cell>
          <cell r="N5800" t="str">
            <v>PROPAN ANTIQUE GLAZE</v>
          </cell>
        </row>
        <row r="5801">
          <cell r="C5801" t="str">
            <v>170001727</v>
          </cell>
          <cell r="D5801" t="str">
            <v>NCS-11100 HOT STAMPING-20LP</v>
          </cell>
          <cell r="E5801" t="str">
            <v>ZTRD</v>
          </cell>
          <cell r="F5801" t="str">
            <v>PC</v>
          </cell>
          <cell r="G5801" t="str">
            <v>W</v>
          </cell>
          <cell r="H5801" t="str">
            <v>TRD INDUSTRY</v>
          </cell>
          <cell r="I5801" t="str">
            <v>W1</v>
          </cell>
          <cell r="J5801" t="str">
            <v>WOOD COATINGS</v>
          </cell>
          <cell r="K5801" t="str">
            <v>W104</v>
          </cell>
          <cell r="L5801" t="str">
            <v>NC</v>
          </cell>
          <cell r="M5801" t="str">
            <v>W10405</v>
          </cell>
          <cell r="N5801" t="str">
            <v>NC SYSTEM</v>
          </cell>
        </row>
        <row r="5802">
          <cell r="C5802" t="str">
            <v>180000000</v>
          </cell>
          <cell r="D5802" t="str">
            <v>Pallet (Handling Unit)</v>
          </cell>
          <cell r="E5802" t="str">
            <v>ZSSV</v>
          </cell>
          <cell r="F5802" t="str">
            <v>EA</v>
          </cell>
          <cell r="G5802" t="str">
            <v>9</v>
          </cell>
          <cell r="H5802" t="str">
            <v>OTHERS</v>
          </cell>
          <cell r="I5802" t="str">
            <v>93</v>
          </cell>
          <cell r="J5802" t="str">
            <v>OTHERS</v>
          </cell>
          <cell r="K5802" t="str">
            <v>9301</v>
          </cell>
          <cell r="L5802" t="str">
            <v>COATING LINE</v>
          </cell>
          <cell r="M5802" t="str">
            <v>930101</v>
          </cell>
          <cell r="N5802" t="str">
            <v>JASA COATING LINE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Material Code</v>
          </cell>
          <cell r="D1" t="str">
            <v>Mat. Description</v>
          </cell>
          <cell r="E1" t="str">
            <v>Mat. Type</v>
          </cell>
          <cell r="F1" t="str">
            <v>UOM</v>
          </cell>
          <cell r="G1" t="str">
            <v>PH 1</v>
          </cell>
          <cell r="H1" t="str">
            <v>Division</v>
          </cell>
          <cell r="I1" t="str">
            <v>PH 2</v>
          </cell>
          <cell r="J1" t="str">
            <v>Business</v>
          </cell>
          <cell r="K1" t="str">
            <v>PH 3</v>
          </cell>
          <cell r="L1" t="str">
            <v>Sub Business</v>
          </cell>
          <cell r="M1" t="str">
            <v>PH 4</v>
          </cell>
          <cell r="N1" t="str">
            <v>Product Group</v>
          </cell>
        </row>
        <row r="2">
          <cell r="C2" t="str">
            <v>100000123</v>
          </cell>
          <cell r="D2" t="str">
            <v>MEP-12003 CLEAR BASE VN-18KP</v>
          </cell>
          <cell r="E2" t="str">
            <v>ZFGD</v>
          </cell>
          <cell r="F2" t="str">
            <v>PC</v>
          </cell>
          <cell r="G2" t="str">
            <v>1</v>
          </cell>
          <cell r="H2" t="str">
            <v>INDUSTRY</v>
          </cell>
          <cell r="I2" t="str">
            <v>16</v>
          </cell>
          <cell r="J2" t="str">
            <v>METAL COATINGS</v>
          </cell>
          <cell r="K2" t="str">
            <v>1601</v>
          </cell>
          <cell r="L2" t="str">
            <v>METAL COATINGS</v>
          </cell>
          <cell r="M2" t="str">
            <v>160101</v>
          </cell>
          <cell r="N2" t="str">
            <v>METAL COATINGS</v>
          </cell>
        </row>
        <row r="3">
          <cell r="C3" t="str">
            <v>100000210</v>
          </cell>
          <cell r="D3" t="str">
            <v>PCA-31100 BLACK PASTE VN-4K</v>
          </cell>
          <cell r="E3" t="str">
            <v>ZFGD</v>
          </cell>
          <cell r="F3" t="str">
            <v>PC</v>
          </cell>
          <cell r="G3" t="str">
            <v>1</v>
          </cell>
          <cell r="H3" t="str">
            <v>INDUSTRY</v>
          </cell>
          <cell r="I3" t="str">
            <v>11</v>
          </cell>
          <cell r="J3" t="str">
            <v>WOOD COATINGS</v>
          </cell>
          <cell r="K3" t="str">
            <v>1118</v>
          </cell>
          <cell r="L3" t="str">
            <v>COMPLEMENTARY</v>
          </cell>
          <cell r="M3" t="str">
            <v>111807</v>
          </cell>
          <cell r="N3" t="str">
            <v>PASTA</v>
          </cell>
        </row>
        <row r="4">
          <cell r="C4" t="str">
            <v>100000273</v>
          </cell>
          <cell r="D4" t="str">
            <v>PCA-31100 WHITE PASTE VN-4K</v>
          </cell>
          <cell r="E4" t="str">
            <v>ZFGD</v>
          </cell>
          <cell r="F4" t="str">
            <v>PC</v>
          </cell>
          <cell r="G4" t="str">
            <v>1</v>
          </cell>
          <cell r="H4" t="str">
            <v>INDUSTRY</v>
          </cell>
          <cell r="I4" t="str">
            <v>11</v>
          </cell>
          <cell r="J4" t="str">
            <v>WOOD COATINGS</v>
          </cell>
          <cell r="K4" t="str">
            <v>1118</v>
          </cell>
          <cell r="L4" t="str">
            <v>COMPLEMENTARY</v>
          </cell>
          <cell r="M4" t="str">
            <v>111807</v>
          </cell>
          <cell r="N4" t="str">
            <v>PASTA</v>
          </cell>
        </row>
        <row r="5">
          <cell r="C5" t="str">
            <v>100000512</v>
          </cell>
          <cell r="D5" t="str">
            <v>PUL-53306 AC EX CLEAR 10 VN-20LP</v>
          </cell>
          <cell r="E5" t="str">
            <v>ZFGD</v>
          </cell>
          <cell r="F5" t="str">
            <v>PC</v>
          </cell>
          <cell r="G5" t="str">
            <v>1</v>
          </cell>
          <cell r="H5" t="str">
            <v>INDUSTRY</v>
          </cell>
          <cell r="I5" t="str">
            <v>11</v>
          </cell>
          <cell r="J5" t="str">
            <v>WOOD COATINGS</v>
          </cell>
          <cell r="K5" t="str">
            <v>1103</v>
          </cell>
          <cell r="L5" t="str">
            <v>PU</v>
          </cell>
          <cell r="M5" t="str">
            <v>110321</v>
          </cell>
          <cell r="N5" t="str">
            <v>PU LACQUER</v>
          </cell>
        </row>
        <row r="6">
          <cell r="C6" t="str">
            <v>100000527</v>
          </cell>
          <cell r="D6" t="str">
            <v>PUP-52122 PUTTY VN-20KP</v>
          </cell>
          <cell r="E6" t="str">
            <v>ZFGD</v>
          </cell>
          <cell r="F6" t="str">
            <v>PC</v>
          </cell>
          <cell r="G6" t="str">
            <v>1</v>
          </cell>
          <cell r="H6" t="str">
            <v>INDUSTRY</v>
          </cell>
          <cell r="I6" t="str">
            <v>11</v>
          </cell>
          <cell r="J6" t="str">
            <v>WOOD COATINGS</v>
          </cell>
          <cell r="K6" t="str">
            <v>1103</v>
          </cell>
          <cell r="L6" t="str">
            <v>PU</v>
          </cell>
          <cell r="M6" t="str">
            <v>110322</v>
          </cell>
          <cell r="N6" t="str">
            <v>PU PRIMER</v>
          </cell>
        </row>
        <row r="7">
          <cell r="C7" t="str">
            <v>100000634</v>
          </cell>
          <cell r="D7" t="str">
            <v>SST-11100 C10 BLACK-4K</v>
          </cell>
          <cell r="E7" t="str">
            <v>ZFGD</v>
          </cell>
          <cell r="F7" t="str">
            <v>PC</v>
          </cell>
          <cell r="G7" t="str">
            <v>1</v>
          </cell>
          <cell r="H7" t="str">
            <v>INDUSTRY</v>
          </cell>
          <cell r="I7" t="str">
            <v>11</v>
          </cell>
          <cell r="J7" t="str">
            <v>WOOD COATINGS</v>
          </cell>
          <cell r="K7" t="str">
            <v>1109</v>
          </cell>
          <cell r="L7" t="str">
            <v>STAIN &amp; GLAZE INTERIOR</v>
          </cell>
          <cell r="M7" t="str">
            <v>110903</v>
          </cell>
          <cell r="N7" t="str">
            <v>STAIN INTERIOR</v>
          </cell>
        </row>
        <row r="8">
          <cell r="C8" t="str">
            <v>100000635</v>
          </cell>
          <cell r="D8" t="str">
            <v>SST-11100 C10 BLUE-4K</v>
          </cell>
          <cell r="E8" t="str">
            <v>ZFGD</v>
          </cell>
          <cell r="F8" t="str">
            <v>PC</v>
          </cell>
          <cell r="G8" t="str">
            <v>1</v>
          </cell>
          <cell r="H8" t="str">
            <v>INDUSTRY</v>
          </cell>
          <cell r="I8" t="str">
            <v>11</v>
          </cell>
          <cell r="J8" t="str">
            <v>WOOD COATINGS</v>
          </cell>
          <cell r="K8" t="str">
            <v>1109</v>
          </cell>
          <cell r="L8" t="str">
            <v>STAIN &amp; GLAZE INTERIOR</v>
          </cell>
          <cell r="M8" t="str">
            <v>110903</v>
          </cell>
          <cell r="N8" t="str">
            <v>STAIN INTERIOR</v>
          </cell>
        </row>
        <row r="9">
          <cell r="C9" t="str">
            <v>100000637</v>
          </cell>
          <cell r="D9" t="str">
            <v>SST-11100 C10 RED-4K</v>
          </cell>
          <cell r="E9" t="str">
            <v>ZFGD</v>
          </cell>
          <cell r="F9" t="str">
            <v>PC</v>
          </cell>
          <cell r="G9" t="str">
            <v>1</v>
          </cell>
          <cell r="H9" t="str">
            <v>INDUSTRY</v>
          </cell>
          <cell r="I9" t="str">
            <v>11</v>
          </cell>
          <cell r="J9" t="str">
            <v>WOOD COATINGS</v>
          </cell>
          <cell r="K9" t="str">
            <v>1109</v>
          </cell>
          <cell r="L9" t="str">
            <v>STAIN &amp; GLAZE INTERIOR</v>
          </cell>
          <cell r="M9" t="str">
            <v>110903</v>
          </cell>
          <cell r="N9" t="str">
            <v>STAIN INTERIOR</v>
          </cell>
        </row>
        <row r="10">
          <cell r="C10" t="str">
            <v>100000638</v>
          </cell>
          <cell r="D10" t="str">
            <v>SST-11100 C10 YELLOW-4K</v>
          </cell>
          <cell r="E10" t="str">
            <v>ZFGD</v>
          </cell>
          <cell r="F10" t="str">
            <v>PC</v>
          </cell>
          <cell r="G10" t="str">
            <v>1</v>
          </cell>
          <cell r="H10" t="str">
            <v>INDUSTRY</v>
          </cell>
          <cell r="I10" t="str">
            <v>11</v>
          </cell>
          <cell r="J10" t="str">
            <v>WOOD COATINGS</v>
          </cell>
          <cell r="K10" t="str">
            <v>1109</v>
          </cell>
          <cell r="L10" t="str">
            <v>STAIN &amp; GLAZE INTERIOR</v>
          </cell>
          <cell r="M10" t="str">
            <v>110903</v>
          </cell>
          <cell r="N10" t="str">
            <v>STAIN INTERIOR</v>
          </cell>
        </row>
        <row r="11">
          <cell r="C11" t="str">
            <v>100000997</v>
          </cell>
          <cell r="D11" t="str">
            <v>PFP-261 VN-5KS</v>
          </cell>
          <cell r="E11" t="str">
            <v>ZFGD</v>
          </cell>
          <cell r="F11" t="str">
            <v>SET</v>
          </cell>
          <cell r="G11" t="str">
            <v>5</v>
          </cell>
          <cell r="H11" t="str">
            <v>PROJECT</v>
          </cell>
          <cell r="I11" t="str">
            <v>56</v>
          </cell>
          <cell r="J11" t="str">
            <v>CPC1</v>
          </cell>
          <cell r="K11" t="str">
            <v>5602</v>
          </cell>
          <cell r="L11" t="str">
            <v>POLYFLOOR</v>
          </cell>
          <cell r="M11" t="str">
            <v>560202</v>
          </cell>
          <cell r="N11" t="str">
            <v>POLYFLOOR EPOXY</v>
          </cell>
        </row>
        <row r="12">
          <cell r="C12" t="str">
            <v>100000998</v>
          </cell>
          <cell r="D12" t="str">
            <v>PFP-261 VN-4.5K</v>
          </cell>
          <cell r="E12" t="str">
            <v>ZFGD</v>
          </cell>
          <cell r="F12" t="str">
            <v>PC</v>
          </cell>
          <cell r="G12" t="str">
            <v>5</v>
          </cell>
          <cell r="H12" t="str">
            <v>PROJECT</v>
          </cell>
          <cell r="I12" t="str">
            <v>56</v>
          </cell>
          <cell r="J12" t="str">
            <v>CPC1</v>
          </cell>
          <cell r="K12" t="str">
            <v>5602</v>
          </cell>
          <cell r="L12" t="str">
            <v>POLYFLOOR</v>
          </cell>
          <cell r="M12" t="str">
            <v>560202</v>
          </cell>
          <cell r="N12" t="str">
            <v>POLYFLOOR EPOXY</v>
          </cell>
        </row>
        <row r="13">
          <cell r="C13" t="str">
            <v>100000999</v>
          </cell>
          <cell r="D13" t="str">
            <v>PFP-261 VN-20KSP</v>
          </cell>
          <cell r="E13" t="str">
            <v>ZFGD</v>
          </cell>
          <cell r="F13" t="str">
            <v>SET</v>
          </cell>
          <cell r="G13" t="str">
            <v>5</v>
          </cell>
          <cell r="H13" t="str">
            <v>PROJECT</v>
          </cell>
          <cell r="I13" t="str">
            <v>56</v>
          </cell>
          <cell r="J13" t="str">
            <v>CPC1</v>
          </cell>
          <cell r="K13" t="str">
            <v>5602</v>
          </cell>
          <cell r="L13" t="str">
            <v>POLYFLOOR</v>
          </cell>
          <cell r="M13" t="str">
            <v>560202</v>
          </cell>
          <cell r="N13" t="str">
            <v>POLYFLOOR EPOXY</v>
          </cell>
        </row>
        <row r="14">
          <cell r="C14" t="str">
            <v>100001000</v>
          </cell>
          <cell r="D14" t="str">
            <v>PFP-261 VN-18KP</v>
          </cell>
          <cell r="E14" t="str">
            <v>ZFGD</v>
          </cell>
          <cell r="F14" t="str">
            <v>PC</v>
          </cell>
          <cell r="G14" t="str">
            <v>5</v>
          </cell>
          <cell r="H14" t="str">
            <v>PROJECT</v>
          </cell>
          <cell r="I14" t="str">
            <v>56</v>
          </cell>
          <cell r="J14" t="str">
            <v>CPC1</v>
          </cell>
          <cell r="K14" t="str">
            <v>5602</v>
          </cell>
          <cell r="L14" t="str">
            <v>POLYFLOOR</v>
          </cell>
          <cell r="M14" t="str">
            <v>560202</v>
          </cell>
          <cell r="N14" t="str">
            <v>POLYFLOOR EPOXY</v>
          </cell>
        </row>
        <row r="15">
          <cell r="C15" t="str">
            <v>100001001</v>
          </cell>
          <cell r="D15" t="str">
            <v>PFP-241 VN-4KS</v>
          </cell>
          <cell r="E15" t="str">
            <v>ZFGD</v>
          </cell>
          <cell r="F15" t="str">
            <v>SET</v>
          </cell>
          <cell r="G15" t="str">
            <v>5</v>
          </cell>
          <cell r="H15" t="str">
            <v>PROJECT</v>
          </cell>
          <cell r="I15" t="str">
            <v>56</v>
          </cell>
          <cell r="J15" t="str">
            <v>CPC1</v>
          </cell>
          <cell r="K15" t="str">
            <v>5602</v>
          </cell>
          <cell r="L15" t="str">
            <v>POLYFLOOR</v>
          </cell>
          <cell r="M15" t="str">
            <v>560202</v>
          </cell>
          <cell r="N15" t="str">
            <v>POLYFLOOR EPOXY</v>
          </cell>
        </row>
        <row r="16">
          <cell r="C16" t="str">
            <v>100001002</v>
          </cell>
          <cell r="D16" t="str">
            <v>PFP-241 VN-3.5K</v>
          </cell>
          <cell r="E16" t="str">
            <v>ZFGD</v>
          </cell>
          <cell r="F16" t="str">
            <v>PC</v>
          </cell>
          <cell r="G16" t="str">
            <v>5</v>
          </cell>
          <cell r="H16" t="str">
            <v>PROJECT</v>
          </cell>
          <cell r="I16" t="str">
            <v>56</v>
          </cell>
          <cell r="J16" t="str">
            <v>CPC1</v>
          </cell>
          <cell r="K16" t="str">
            <v>5602</v>
          </cell>
          <cell r="L16" t="str">
            <v>POLYFLOOR</v>
          </cell>
          <cell r="M16" t="str">
            <v>560202</v>
          </cell>
          <cell r="N16" t="str">
            <v>POLYFLOOR EPOXY</v>
          </cell>
        </row>
        <row r="17">
          <cell r="C17" t="str">
            <v>100001003</v>
          </cell>
          <cell r="D17" t="str">
            <v>PFP-241 VN-20KSP</v>
          </cell>
          <cell r="E17" t="str">
            <v>ZFGD</v>
          </cell>
          <cell r="F17" t="str">
            <v>SET</v>
          </cell>
          <cell r="G17" t="str">
            <v>5</v>
          </cell>
          <cell r="H17" t="str">
            <v>PROJECT</v>
          </cell>
          <cell r="I17" t="str">
            <v>56</v>
          </cell>
          <cell r="J17" t="str">
            <v>CPC1</v>
          </cell>
          <cell r="K17" t="str">
            <v>5602</v>
          </cell>
          <cell r="L17" t="str">
            <v>POLYFLOOR</v>
          </cell>
          <cell r="M17" t="str">
            <v>560202</v>
          </cell>
          <cell r="N17" t="str">
            <v>POLYFLOOR EPOXY</v>
          </cell>
        </row>
        <row r="18">
          <cell r="C18" t="str">
            <v>100001004</v>
          </cell>
          <cell r="D18" t="str">
            <v>PFP-241 VN-17.5KP</v>
          </cell>
          <cell r="E18" t="str">
            <v>ZFGD</v>
          </cell>
          <cell r="F18" t="str">
            <v>PC</v>
          </cell>
          <cell r="G18" t="str">
            <v>5</v>
          </cell>
          <cell r="H18" t="str">
            <v>PROJECT</v>
          </cell>
          <cell r="I18" t="str">
            <v>56</v>
          </cell>
          <cell r="J18" t="str">
            <v>CPC1</v>
          </cell>
          <cell r="K18" t="str">
            <v>5602</v>
          </cell>
          <cell r="L18" t="str">
            <v>POLYFLOOR</v>
          </cell>
          <cell r="M18" t="str">
            <v>560202</v>
          </cell>
          <cell r="N18" t="str">
            <v>POLYFLOOR EPOXY</v>
          </cell>
        </row>
        <row r="19">
          <cell r="C19" t="str">
            <v>100001005</v>
          </cell>
          <cell r="D19" t="str">
            <v>FILLER PFT-253-3K VN-10KZ</v>
          </cell>
          <cell r="E19" t="str">
            <v>ZFGD</v>
          </cell>
          <cell r="F19" t="str">
            <v>PC</v>
          </cell>
          <cell r="G19" t="str">
            <v>5</v>
          </cell>
          <cell r="H19" t="str">
            <v>PROJECT</v>
          </cell>
          <cell r="I19" t="str">
            <v>56</v>
          </cell>
          <cell r="J19" t="str">
            <v>CPC1</v>
          </cell>
          <cell r="K19" t="str">
            <v>5602</v>
          </cell>
          <cell r="L19" t="str">
            <v>POLYFLOOR</v>
          </cell>
          <cell r="M19" t="str">
            <v>560202</v>
          </cell>
          <cell r="N19" t="str">
            <v>POLYFLOOR EPOXY</v>
          </cell>
        </row>
        <row r="20">
          <cell r="C20" t="str">
            <v>100001006</v>
          </cell>
          <cell r="D20" t="str">
            <v>PFT-253 3K GREY VN-20KSP</v>
          </cell>
          <cell r="E20" t="str">
            <v>ZFGD</v>
          </cell>
          <cell r="F20" t="str">
            <v>SET</v>
          </cell>
          <cell r="G20" t="str">
            <v>5</v>
          </cell>
          <cell r="H20" t="str">
            <v>PROJECT</v>
          </cell>
          <cell r="I20" t="str">
            <v>56</v>
          </cell>
          <cell r="J20" t="str">
            <v>CPC1</v>
          </cell>
          <cell r="K20" t="str">
            <v>5602</v>
          </cell>
          <cell r="L20" t="str">
            <v>POLYFLOOR</v>
          </cell>
          <cell r="M20" t="str">
            <v>560202</v>
          </cell>
          <cell r="N20" t="str">
            <v>POLYFLOOR EPOXY</v>
          </cell>
        </row>
        <row r="21">
          <cell r="C21" t="str">
            <v>100001007</v>
          </cell>
          <cell r="D21" t="str">
            <v>PFT-253 3K GREY VN-8K</v>
          </cell>
          <cell r="E21" t="str">
            <v>ZFGD</v>
          </cell>
          <cell r="F21" t="str">
            <v>PC</v>
          </cell>
          <cell r="G21" t="str">
            <v>5</v>
          </cell>
          <cell r="H21" t="str">
            <v>PROJECT</v>
          </cell>
          <cell r="I21" t="str">
            <v>56</v>
          </cell>
          <cell r="J21" t="str">
            <v>CPC1</v>
          </cell>
          <cell r="K21" t="str">
            <v>5602</v>
          </cell>
          <cell r="L21" t="str">
            <v>POLYFLOOR</v>
          </cell>
          <cell r="M21" t="str">
            <v>560202</v>
          </cell>
          <cell r="N21" t="str">
            <v>POLYFLOOR EPOXY</v>
          </cell>
        </row>
        <row r="22">
          <cell r="C22" t="str">
            <v>100001008</v>
          </cell>
          <cell r="D22" t="str">
            <v>PFT-253 3K GREEN VN-20KSP</v>
          </cell>
          <cell r="E22" t="str">
            <v>ZFGD</v>
          </cell>
          <cell r="F22" t="str">
            <v>SET</v>
          </cell>
          <cell r="G22" t="str">
            <v>5</v>
          </cell>
          <cell r="H22" t="str">
            <v>PROJECT</v>
          </cell>
          <cell r="I22" t="str">
            <v>56</v>
          </cell>
          <cell r="J22" t="str">
            <v>CPC1</v>
          </cell>
          <cell r="K22" t="str">
            <v>5602</v>
          </cell>
          <cell r="L22" t="str">
            <v>POLYFLOOR</v>
          </cell>
          <cell r="M22" t="str">
            <v>560202</v>
          </cell>
          <cell r="N22" t="str">
            <v>POLYFLOOR EPOXY</v>
          </cell>
        </row>
        <row r="23">
          <cell r="C23" t="str">
            <v>100001009</v>
          </cell>
          <cell r="D23" t="str">
            <v>PFT-253 3K GREEN VN-8K</v>
          </cell>
          <cell r="E23" t="str">
            <v>ZFGD</v>
          </cell>
          <cell r="F23" t="str">
            <v>PC</v>
          </cell>
          <cell r="G23" t="str">
            <v>5</v>
          </cell>
          <cell r="H23" t="str">
            <v>PROJECT</v>
          </cell>
          <cell r="I23" t="str">
            <v>56</v>
          </cell>
          <cell r="J23" t="str">
            <v>CPC1</v>
          </cell>
          <cell r="K23" t="str">
            <v>5602</v>
          </cell>
          <cell r="L23" t="str">
            <v>POLYFLOOR</v>
          </cell>
          <cell r="M23" t="str">
            <v>560202</v>
          </cell>
          <cell r="N23" t="str">
            <v>POLYFLOOR EPOXY</v>
          </cell>
        </row>
        <row r="24">
          <cell r="C24" t="str">
            <v>100001010</v>
          </cell>
          <cell r="D24" t="str">
            <v>PFT-253 3K LEAF GREEN VN-20KSP</v>
          </cell>
          <cell r="E24" t="str">
            <v>ZFGD</v>
          </cell>
          <cell r="F24" t="str">
            <v>SET</v>
          </cell>
          <cell r="G24" t="str">
            <v>5</v>
          </cell>
          <cell r="H24" t="str">
            <v>PROJECT</v>
          </cell>
          <cell r="I24" t="str">
            <v>56</v>
          </cell>
          <cell r="J24" t="str">
            <v>CPC1</v>
          </cell>
          <cell r="K24" t="str">
            <v>5602</v>
          </cell>
          <cell r="L24" t="str">
            <v>POLYFLOOR</v>
          </cell>
          <cell r="M24" t="str">
            <v>560202</v>
          </cell>
          <cell r="N24" t="str">
            <v>POLYFLOOR EPOXY</v>
          </cell>
        </row>
        <row r="25">
          <cell r="C25" t="str">
            <v>100001011</v>
          </cell>
          <cell r="D25" t="str">
            <v>PFT-253 3K LEAF GREEN VN-8K</v>
          </cell>
          <cell r="E25" t="str">
            <v>ZFGD</v>
          </cell>
          <cell r="F25" t="str">
            <v>PC</v>
          </cell>
          <cell r="G25" t="str">
            <v>5</v>
          </cell>
          <cell r="H25" t="str">
            <v>PROJECT</v>
          </cell>
          <cell r="I25" t="str">
            <v>56</v>
          </cell>
          <cell r="J25" t="str">
            <v>CPC1</v>
          </cell>
          <cell r="K25" t="str">
            <v>5602</v>
          </cell>
          <cell r="L25" t="str">
            <v>POLYFLOOR</v>
          </cell>
          <cell r="M25" t="str">
            <v>560202</v>
          </cell>
          <cell r="N25" t="str">
            <v>POLYFLOOR EPOXY</v>
          </cell>
        </row>
        <row r="26">
          <cell r="C26" t="str">
            <v>100001012</v>
          </cell>
          <cell r="D26" t="str">
            <v>PFT-253 3K LIGHT GREY VN-20KSP</v>
          </cell>
          <cell r="E26" t="str">
            <v>ZFGD</v>
          </cell>
          <cell r="F26" t="str">
            <v>SET</v>
          </cell>
          <cell r="G26" t="str">
            <v>5</v>
          </cell>
          <cell r="H26" t="str">
            <v>PROJECT</v>
          </cell>
          <cell r="I26" t="str">
            <v>56</v>
          </cell>
          <cell r="J26" t="str">
            <v>CPC1</v>
          </cell>
          <cell r="K26" t="str">
            <v>5602</v>
          </cell>
          <cell r="L26" t="str">
            <v>POLYFLOOR</v>
          </cell>
          <cell r="M26" t="str">
            <v>560202</v>
          </cell>
          <cell r="N26" t="str">
            <v>POLYFLOOR EPOXY</v>
          </cell>
        </row>
        <row r="27">
          <cell r="C27" t="str">
            <v>100001013</v>
          </cell>
          <cell r="D27" t="str">
            <v>PFT-253 3K LIGHT GREY VN-8K</v>
          </cell>
          <cell r="E27" t="str">
            <v>ZFGD</v>
          </cell>
          <cell r="F27" t="str">
            <v>PC</v>
          </cell>
          <cell r="G27" t="str">
            <v>5</v>
          </cell>
          <cell r="H27" t="str">
            <v>PROJECT</v>
          </cell>
          <cell r="I27" t="str">
            <v>56</v>
          </cell>
          <cell r="J27" t="str">
            <v>CPC1</v>
          </cell>
          <cell r="K27" t="str">
            <v>5602</v>
          </cell>
          <cell r="L27" t="str">
            <v>POLYFLOOR</v>
          </cell>
          <cell r="M27" t="str">
            <v>560202</v>
          </cell>
          <cell r="N27" t="str">
            <v>POLYFLOOR EPOXY</v>
          </cell>
        </row>
        <row r="28">
          <cell r="C28" t="str">
            <v>100001014</v>
          </cell>
          <cell r="D28" t="str">
            <v>PFT-253 3K PALE GREEN VN-20KSP</v>
          </cell>
          <cell r="E28" t="str">
            <v>ZFGD</v>
          </cell>
          <cell r="F28" t="str">
            <v>SET</v>
          </cell>
          <cell r="G28" t="str">
            <v>5</v>
          </cell>
          <cell r="H28" t="str">
            <v>PROJECT</v>
          </cell>
          <cell r="I28" t="str">
            <v>56</v>
          </cell>
          <cell r="J28" t="str">
            <v>CPC1</v>
          </cell>
          <cell r="K28" t="str">
            <v>5602</v>
          </cell>
          <cell r="L28" t="str">
            <v>POLYFLOOR</v>
          </cell>
          <cell r="M28" t="str">
            <v>560202</v>
          </cell>
          <cell r="N28" t="str">
            <v>POLYFLOOR EPOXY</v>
          </cell>
        </row>
        <row r="29">
          <cell r="C29" t="str">
            <v>100001015</v>
          </cell>
          <cell r="D29" t="str">
            <v>PFT-253 3K PALE GREEN VN-8K</v>
          </cell>
          <cell r="E29" t="str">
            <v>ZFGD</v>
          </cell>
          <cell r="F29" t="str">
            <v>PC</v>
          </cell>
          <cell r="G29" t="str">
            <v>5</v>
          </cell>
          <cell r="H29" t="str">
            <v>PROJECT</v>
          </cell>
          <cell r="I29" t="str">
            <v>56</v>
          </cell>
          <cell r="J29" t="str">
            <v>CPC1</v>
          </cell>
          <cell r="K29" t="str">
            <v>5602</v>
          </cell>
          <cell r="L29" t="str">
            <v>POLYFLOOR</v>
          </cell>
          <cell r="M29" t="str">
            <v>560202</v>
          </cell>
          <cell r="N29" t="str">
            <v>POLYFLOOR EPOXY</v>
          </cell>
        </row>
        <row r="30">
          <cell r="C30" t="str">
            <v>100001016</v>
          </cell>
          <cell r="D30" t="str">
            <v>PFT-253 3K DARK GREEN VN-20KSP</v>
          </cell>
          <cell r="E30" t="str">
            <v>ZFGD</v>
          </cell>
          <cell r="F30" t="str">
            <v>SET</v>
          </cell>
          <cell r="G30" t="str">
            <v>5</v>
          </cell>
          <cell r="H30" t="str">
            <v>PROJECT</v>
          </cell>
          <cell r="I30" t="str">
            <v>56</v>
          </cell>
          <cell r="J30" t="str">
            <v>CPC1</v>
          </cell>
          <cell r="K30" t="str">
            <v>5602</v>
          </cell>
          <cell r="L30" t="str">
            <v>POLYFLOOR</v>
          </cell>
          <cell r="M30" t="str">
            <v>560202</v>
          </cell>
          <cell r="N30" t="str">
            <v>POLYFLOOR EPOXY</v>
          </cell>
        </row>
        <row r="31">
          <cell r="C31" t="str">
            <v>100001017</v>
          </cell>
          <cell r="D31" t="str">
            <v>PFT-253 3K DARK GREEN VN-8K</v>
          </cell>
          <cell r="E31" t="str">
            <v>ZFGD</v>
          </cell>
          <cell r="F31" t="str">
            <v>PC</v>
          </cell>
          <cell r="G31" t="str">
            <v>5</v>
          </cell>
          <cell r="H31" t="str">
            <v>PROJECT</v>
          </cell>
          <cell r="I31" t="str">
            <v>56</v>
          </cell>
          <cell r="J31" t="str">
            <v>CPC1</v>
          </cell>
          <cell r="K31" t="str">
            <v>5602</v>
          </cell>
          <cell r="L31" t="str">
            <v>POLYFLOOR</v>
          </cell>
          <cell r="M31" t="str">
            <v>560202</v>
          </cell>
          <cell r="N31" t="str">
            <v>POLYFLOOR EPOXY</v>
          </cell>
        </row>
        <row r="32">
          <cell r="C32" t="str">
            <v>100001018</v>
          </cell>
          <cell r="D32" t="str">
            <v>PFT-253 3K GENTIAN BLUE VN-20KSP</v>
          </cell>
          <cell r="E32" t="str">
            <v>ZFGD</v>
          </cell>
          <cell r="F32" t="str">
            <v>SET</v>
          </cell>
          <cell r="G32" t="str">
            <v>5</v>
          </cell>
          <cell r="H32" t="str">
            <v>PROJECT</v>
          </cell>
          <cell r="I32" t="str">
            <v>56</v>
          </cell>
          <cell r="J32" t="str">
            <v>CPC1</v>
          </cell>
          <cell r="K32" t="str">
            <v>5602</v>
          </cell>
          <cell r="L32" t="str">
            <v>POLYFLOOR</v>
          </cell>
          <cell r="M32" t="str">
            <v>560202</v>
          </cell>
          <cell r="N32" t="str">
            <v>POLYFLOOR EPOXY</v>
          </cell>
        </row>
        <row r="33">
          <cell r="C33" t="str">
            <v>100001019</v>
          </cell>
          <cell r="D33" t="str">
            <v>PFT-253 3K GENTIAN BLUE VN-8K</v>
          </cell>
          <cell r="E33" t="str">
            <v>ZFGD</v>
          </cell>
          <cell r="F33" t="str">
            <v>PC</v>
          </cell>
          <cell r="G33" t="str">
            <v>5</v>
          </cell>
          <cell r="H33" t="str">
            <v>PROJECT</v>
          </cell>
          <cell r="I33" t="str">
            <v>56</v>
          </cell>
          <cell r="J33" t="str">
            <v>CPC1</v>
          </cell>
          <cell r="K33" t="str">
            <v>5602</v>
          </cell>
          <cell r="L33" t="str">
            <v>POLYFLOOR</v>
          </cell>
          <cell r="M33" t="str">
            <v>560202</v>
          </cell>
          <cell r="N33" t="str">
            <v>POLYFLOOR EPOXY</v>
          </cell>
        </row>
        <row r="34">
          <cell r="C34" t="str">
            <v>100001020</v>
          </cell>
          <cell r="D34" t="str">
            <v>PFT-253 3K LIGHT GREY TVT VN-20KSP</v>
          </cell>
          <cell r="E34" t="str">
            <v>ZFGD</v>
          </cell>
          <cell r="F34" t="str">
            <v>SET</v>
          </cell>
          <cell r="G34" t="str">
            <v>5</v>
          </cell>
          <cell r="H34" t="str">
            <v>PROJECT</v>
          </cell>
          <cell r="I34" t="str">
            <v>56</v>
          </cell>
          <cell r="J34" t="str">
            <v>CPC1</v>
          </cell>
          <cell r="K34" t="str">
            <v>5602</v>
          </cell>
          <cell r="L34" t="str">
            <v>POLYFLOOR</v>
          </cell>
          <cell r="M34" t="str">
            <v>560202</v>
          </cell>
          <cell r="N34" t="str">
            <v>POLYFLOOR EPOXY</v>
          </cell>
        </row>
        <row r="35">
          <cell r="C35" t="str">
            <v>100001021</v>
          </cell>
          <cell r="D35" t="str">
            <v>PFT-253 3K LIGHT GREY TVT VN-8K</v>
          </cell>
          <cell r="E35" t="str">
            <v>ZFGD</v>
          </cell>
          <cell r="F35" t="str">
            <v>PC</v>
          </cell>
          <cell r="G35" t="str">
            <v>5</v>
          </cell>
          <cell r="H35" t="str">
            <v>PROJECT</v>
          </cell>
          <cell r="I35" t="str">
            <v>56</v>
          </cell>
          <cell r="J35" t="str">
            <v>CPC1</v>
          </cell>
          <cell r="K35" t="str">
            <v>5602</v>
          </cell>
          <cell r="L35" t="str">
            <v>POLYFLOOR</v>
          </cell>
          <cell r="M35" t="str">
            <v>560202</v>
          </cell>
          <cell r="N35" t="str">
            <v>POLYFLOOR EPOXY</v>
          </cell>
        </row>
        <row r="36">
          <cell r="C36" t="str">
            <v>100001022</v>
          </cell>
          <cell r="D36" t="str">
            <v>PFT-253 3K MAGNOLIA VN-20KSP</v>
          </cell>
          <cell r="E36" t="str">
            <v>ZFGD</v>
          </cell>
          <cell r="F36" t="str">
            <v>SET</v>
          </cell>
          <cell r="G36" t="str">
            <v>5</v>
          </cell>
          <cell r="H36" t="str">
            <v>PROJECT</v>
          </cell>
          <cell r="I36" t="str">
            <v>56</v>
          </cell>
          <cell r="J36" t="str">
            <v>CPC1</v>
          </cell>
          <cell r="K36" t="str">
            <v>5602</v>
          </cell>
          <cell r="L36" t="str">
            <v>POLYFLOOR</v>
          </cell>
          <cell r="M36" t="str">
            <v>560202</v>
          </cell>
          <cell r="N36" t="str">
            <v>POLYFLOOR EPOXY</v>
          </cell>
        </row>
        <row r="37">
          <cell r="C37" t="str">
            <v>100001023</v>
          </cell>
          <cell r="D37" t="str">
            <v>PFT-253 3K MAGNOLIA VN-8K</v>
          </cell>
          <cell r="E37" t="str">
            <v>ZFGD</v>
          </cell>
          <cell r="F37" t="str">
            <v>PC</v>
          </cell>
          <cell r="G37" t="str">
            <v>5</v>
          </cell>
          <cell r="H37" t="str">
            <v>PROJECT</v>
          </cell>
          <cell r="I37" t="str">
            <v>56</v>
          </cell>
          <cell r="J37" t="str">
            <v>CPC1</v>
          </cell>
          <cell r="K37" t="str">
            <v>5602</v>
          </cell>
          <cell r="L37" t="str">
            <v>POLYFLOOR</v>
          </cell>
          <cell r="M37" t="str">
            <v>560202</v>
          </cell>
          <cell r="N37" t="str">
            <v>POLYFLOOR EPOXY</v>
          </cell>
        </row>
        <row r="38">
          <cell r="C38" t="str">
            <v>100001024</v>
          </cell>
          <cell r="D38" t="str">
            <v>PFT-253 3K CLIPPER BLUE VN-20KSP</v>
          </cell>
          <cell r="E38" t="str">
            <v>ZFGD</v>
          </cell>
          <cell r="F38" t="str">
            <v>SET</v>
          </cell>
          <cell r="G38" t="str">
            <v>5</v>
          </cell>
          <cell r="H38" t="str">
            <v>PROJECT</v>
          </cell>
          <cell r="I38" t="str">
            <v>56</v>
          </cell>
          <cell r="J38" t="str">
            <v>CPC1</v>
          </cell>
          <cell r="K38" t="str">
            <v>5602</v>
          </cell>
          <cell r="L38" t="str">
            <v>POLYFLOOR</v>
          </cell>
          <cell r="M38" t="str">
            <v>560202</v>
          </cell>
          <cell r="N38" t="str">
            <v>POLYFLOOR EPOXY</v>
          </cell>
        </row>
        <row r="39">
          <cell r="C39" t="str">
            <v>100001025</v>
          </cell>
          <cell r="D39" t="str">
            <v>PFT-253 3K CLIPPER BLUE VN-8K</v>
          </cell>
          <cell r="E39" t="str">
            <v>ZFGD</v>
          </cell>
          <cell r="F39" t="str">
            <v>PC</v>
          </cell>
          <cell r="G39" t="str">
            <v>5</v>
          </cell>
          <cell r="H39" t="str">
            <v>PROJECT</v>
          </cell>
          <cell r="I39" t="str">
            <v>56</v>
          </cell>
          <cell r="J39" t="str">
            <v>CPC1</v>
          </cell>
          <cell r="K39" t="str">
            <v>5602</v>
          </cell>
          <cell r="L39" t="str">
            <v>POLYFLOOR</v>
          </cell>
          <cell r="M39" t="str">
            <v>560202</v>
          </cell>
          <cell r="N39" t="str">
            <v>POLYFLOOR EPOXY</v>
          </cell>
        </row>
        <row r="40">
          <cell r="C40" t="str">
            <v>100001026</v>
          </cell>
          <cell r="D40" t="str">
            <v>PFT-253 3K SGT LIGHT GREY VN-20KSP</v>
          </cell>
          <cell r="E40" t="str">
            <v>ZFGD</v>
          </cell>
          <cell r="F40" t="str">
            <v>SET</v>
          </cell>
          <cell r="G40" t="str">
            <v>5</v>
          </cell>
          <cell r="H40" t="str">
            <v>PROJECT</v>
          </cell>
          <cell r="I40" t="str">
            <v>56</v>
          </cell>
          <cell r="J40" t="str">
            <v>CPC1</v>
          </cell>
          <cell r="K40" t="str">
            <v>5602</v>
          </cell>
          <cell r="L40" t="str">
            <v>POLYFLOOR</v>
          </cell>
          <cell r="M40" t="str">
            <v>560202</v>
          </cell>
          <cell r="N40" t="str">
            <v>POLYFLOOR EPOXY</v>
          </cell>
        </row>
        <row r="41">
          <cell r="C41" t="str">
            <v>100001027</v>
          </cell>
          <cell r="D41" t="str">
            <v>PFT-253 3K SGT LIGHT GREY VN-8K</v>
          </cell>
          <cell r="E41" t="str">
            <v>ZFGD</v>
          </cell>
          <cell r="F41" t="str">
            <v>PC</v>
          </cell>
          <cell r="G41" t="str">
            <v>5</v>
          </cell>
          <cell r="H41" t="str">
            <v>PROJECT</v>
          </cell>
          <cell r="I41" t="str">
            <v>56</v>
          </cell>
          <cell r="J41" t="str">
            <v>CPC1</v>
          </cell>
          <cell r="K41" t="str">
            <v>5602</v>
          </cell>
          <cell r="L41" t="str">
            <v>POLYFLOOR</v>
          </cell>
          <cell r="M41" t="str">
            <v>560202</v>
          </cell>
          <cell r="N41" t="str">
            <v>POLYFLOOR EPOXY</v>
          </cell>
        </row>
        <row r="42">
          <cell r="C42" t="str">
            <v>100001028</v>
          </cell>
          <cell r="D42" t="str">
            <v>PFT-253 DARK GREEN VN-20KSP</v>
          </cell>
          <cell r="E42" t="str">
            <v>ZFGD</v>
          </cell>
          <cell r="F42" t="str">
            <v>SET</v>
          </cell>
          <cell r="G42" t="str">
            <v>5</v>
          </cell>
          <cell r="H42" t="str">
            <v>PROJECT</v>
          </cell>
          <cell r="I42" t="str">
            <v>56</v>
          </cell>
          <cell r="J42" t="str">
            <v>CPC1</v>
          </cell>
          <cell r="K42" t="str">
            <v>5602</v>
          </cell>
          <cell r="L42" t="str">
            <v>POLYFLOOR</v>
          </cell>
          <cell r="M42" t="str">
            <v>560202</v>
          </cell>
          <cell r="N42" t="str">
            <v>POLYFLOOR EPOXY</v>
          </cell>
        </row>
        <row r="43">
          <cell r="C43" t="str">
            <v>100001029</v>
          </cell>
          <cell r="D43" t="str">
            <v>PFT-253 DARK GREEN VN-16KP</v>
          </cell>
          <cell r="E43" t="str">
            <v>ZFGD</v>
          </cell>
          <cell r="F43" t="str">
            <v>PC</v>
          </cell>
          <cell r="G43" t="str">
            <v>5</v>
          </cell>
          <cell r="H43" t="str">
            <v>PROJECT</v>
          </cell>
          <cell r="I43" t="str">
            <v>56</v>
          </cell>
          <cell r="J43" t="str">
            <v>CPC1</v>
          </cell>
          <cell r="K43" t="str">
            <v>5602</v>
          </cell>
          <cell r="L43" t="str">
            <v>POLYFLOOR</v>
          </cell>
          <cell r="M43" t="str">
            <v>560202</v>
          </cell>
          <cell r="N43" t="str">
            <v>POLYFLOOR EPOXY</v>
          </cell>
        </row>
        <row r="44">
          <cell r="C44" t="str">
            <v>100001030</v>
          </cell>
          <cell r="D44" t="str">
            <v>PFT-253 DARK GREEN VN-5KS</v>
          </cell>
          <cell r="E44" t="str">
            <v>ZFGD</v>
          </cell>
          <cell r="F44" t="str">
            <v>SET</v>
          </cell>
          <cell r="G44" t="str">
            <v>5</v>
          </cell>
          <cell r="H44" t="str">
            <v>PROJECT</v>
          </cell>
          <cell r="I44" t="str">
            <v>56</v>
          </cell>
          <cell r="J44" t="str">
            <v>CPC1</v>
          </cell>
          <cell r="K44" t="str">
            <v>5602</v>
          </cell>
          <cell r="L44" t="str">
            <v>POLYFLOOR</v>
          </cell>
          <cell r="M44" t="str">
            <v>560202</v>
          </cell>
          <cell r="N44" t="str">
            <v>POLYFLOOR EPOXY</v>
          </cell>
        </row>
        <row r="45">
          <cell r="C45" t="str">
            <v>100001031</v>
          </cell>
          <cell r="D45" t="str">
            <v>PFT-253 DARK GREEN VN-4K</v>
          </cell>
          <cell r="E45" t="str">
            <v>ZFGD</v>
          </cell>
          <cell r="F45" t="str">
            <v>PC</v>
          </cell>
          <cell r="G45" t="str">
            <v>5</v>
          </cell>
          <cell r="H45" t="str">
            <v>PROJECT</v>
          </cell>
          <cell r="I45" t="str">
            <v>56</v>
          </cell>
          <cell r="J45" t="str">
            <v>CPC1</v>
          </cell>
          <cell r="K45" t="str">
            <v>5602</v>
          </cell>
          <cell r="L45" t="str">
            <v>POLYFLOOR</v>
          </cell>
          <cell r="M45" t="str">
            <v>560202</v>
          </cell>
          <cell r="N45" t="str">
            <v>POLYFLOOR EPOXY</v>
          </cell>
        </row>
        <row r="46">
          <cell r="C46" t="str">
            <v>100001032</v>
          </cell>
          <cell r="D46" t="str">
            <v>PFT-253 GERANIUM VN-20KSP</v>
          </cell>
          <cell r="E46" t="str">
            <v>ZFGD</v>
          </cell>
          <cell r="F46" t="str">
            <v>SET</v>
          </cell>
          <cell r="G46" t="str">
            <v>5</v>
          </cell>
          <cell r="H46" t="str">
            <v>PROJECT</v>
          </cell>
          <cell r="I46" t="str">
            <v>56</v>
          </cell>
          <cell r="J46" t="str">
            <v>CPC1</v>
          </cell>
          <cell r="K46" t="str">
            <v>5602</v>
          </cell>
          <cell r="L46" t="str">
            <v>POLYFLOOR</v>
          </cell>
          <cell r="M46" t="str">
            <v>560202</v>
          </cell>
          <cell r="N46" t="str">
            <v>POLYFLOOR EPOXY</v>
          </cell>
        </row>
        <row r="47">
          <cell r="C47" t="str">
            <v>100001033</v>
          </cell>
          <cell r="D47" t="str">
            <v>PFT-253 GERANIUM VN-16KP</v>
          </cell>
          <cell r="E47" t="str">
            <v>ZFGD</v>
          </cell>
          <cell r="F47" t="str">
            <v>PC</v>
          </cell>
          <cell r="G47" t="str">
            <v>5</v>
          </cell>
          <cell r="H47" t="str">
            <v>PROJECT</v>
          </cell>
          <cell r="I47" t="str">
            <v>56</v>
          </cell>
          <cell r="J47" t="str">
            <v>CPC1</v>
          </cell>
          <cell r="K47" t="str">
            <v>5602</v>
          </cell>
          <cell r="L47" t="str">
            <v>POLYFLOOR</v>
          </cell>
          <cell r="M47" t="str">
            <v>560202</v>
          </cell>
          <cell r="N47" t="str">
            <v>POLYFLOOR EPOXY</v>
          </cell>
        </row>
        <row r="48">
          <cell r="C48" t="str">
            <v>100001034</v>
          </cell>
          <cell r="D48" t="str">
            <v>PFT-253 GERANIUM VN-5KS</v>
          </cell>
          <cell r="E48" t="str">
            <v>ZFGD</v>
          </cell>
          <cell r="F48" t="str">
            <v>SET</v>
          </cell>
          <cell r="G48" t="str">
            <v>5</v>
          </cell>
          <cell r="H48" t="str">
            <v>PROJECT</v>
          </cell>
          <cell r="I48" t="str">
            <v>56</v>
          </cell>
          <cell r="J48" t="str">
            <v>CPC1</v>
          </cell>
          <cell r="K48" t="str">
            <v>5602</v>
          </cell>
          <cell r="L48" t="str">
            <v>POLYFLOOR</v>
          </cell>
          <cell r="M48" t="str">
            <v>560202</v>
          </cell>
          <cell r="N48" t="str">
            <v>POLYFLOOR EPOXY</v>
          </cell>
        </row>
        <row r="49">
          <cell r="C49" t="str">
            <v>100001035</v>
          </cell>
          <cell r="D49" t="str">
            <v>PFT-253 GERANIUM VN-4K</v>
          </cell>
          <cell r="E49" t="str">
            <v>ZFGD</v>
          </cell>
          <cell r="F49" t="str">
            <v>PC</v>
          </cell>
          <cell r="G49" t="str">
            <v>5</v>
          </cell>
          <cell r="H49" t="str">
            <v>PROJECT</v>
          </cell>
          <cell r="I49" t="str">
            <v>56</v>
          </cell>
          <cell r="J49" t="str">
            <v>CPC1</v>
          </cell>
          <cell r="K49" t="str">
            <v>5602</v>
          </cell>
          <cell r="L49" t="str">
            <v>POLYFLOOR</v>
          </cell>
          <cell r="M49" t="str">
            <v>560202</v>
          </cell>
          <cell r="N49" t="str">
            <v>POLYFLOOR EPOXY</v>
          </cell>
        </row>
        <row r="50">
          <cell r="C50" t="str">
            <v>100001036</v>
          </cell>
          <cell r="D50" t="str">
            <v>PFT-253 IVORY VN-20KSP</v>
          </cell>
          <cell r="E50" t="str">
            <v>ZFGD</v>
          </cell>
          <cell r="F50" t="str">
            <v>SET</v>
          </cell>
          <cell r="G50" t="str">
            <v>5</v>
          </cell>
          <cell r="H50" t="str">
            <v>PROJECT</v>
          </cell>
          <cell r="I50" t="str">
            <v>56</v>
          </cell>
          <cell r="J50" t="str">
            <v>CPC1</v>
          </cell>
          <cell r="K50" t="str">
            <v>5602</v>
          </cell>
          <cell r="L50" t="str">
            <v>POLYFLOOR</v>
          </cell>
          <cell r="M50" t="str">
            <v>560202</v>
          </cell>
          <cell r="N50" t="str">
            <v>POLYFLOOR EPOXY</v>
          </cell>
        </row>
        <row r="51">
          <cell r="C51" t="str">
            <v>100001037</v>
          </cell>
          <cell r="D51" t="str">
            <v>PFT-253 IVORY VN-16KP</v>
          </cell>
          <cell r="E51" t="str">
            <v>ZFGD</v>
          </cell>
          <cell r="F51" t="str">
            <v>PC</v>
          </cell>
          <cell r="G51" t="str">
            <v>5</v>
          </cell>
          <cell r="H51" t="str">
            <v>PROJECT</v>
          </cell>
          <cell r="I51" t="str">
            <v>56</v>
          </cell>
          <cell r="J51" t="str">
            <v>CPC1</v>
          </cell>
          <cell r="K51" t="str">
            <v>5602</v>
          </cell>
          <cell r="L51" t="str">
            <v>POLYFLOOR</v>
          </cell>
          <cell r="M51" t="str">
            <v>560202</v>
          </cell>
          <cell r="N51" t="str">
            <v>POLYFLOOR EPOXY</v>
          </cell>
        </row>
        <row r="52">
          <cell r="C52" t="str">
            <v>100001038</v>
          </cell>
          <cell r="D52" t="str">
            <v>PFT-253 IVORY VN-5KS</v>
          </cell>
          <cell r="E52" t="str">
            <v>ZFGD</v>
          </cell>
          <cell r="F52" t="str">
            <v>SET</v>
          </cell>
          <cell r="G52" t="str">
            <v>5</v>
          </cell>
          <cell r="H52" t="str">
            <v>PROJECT</v>
          </cell>
          <cell r="I52" t="str">
            <v>56</v>
          </cell>
          <cell r="J52" t="str">
            <v>CPC1</v>
          </cell>
          <cell r="K52" t="str">
            <v>5602</v>
          </cell>
          <cell r="L52" t="str">
            <v>POLYFLOOR</v>
          </cell>
          <cell r="M52" t="str">
            <v>560202</v>
          </cell>
          <cell r="N52" t="str">
            <v>POLYFLOOR EPOXY</v>
          </cell>
        </row>
        <row r="53">
          <cell r="C53" t="str">
            <v>100001039</v>
          </cell>
          <cell r="D53" t="str">
            <v>PFT-253 IVORY VN-4K</v>
          </cell>
          <cell r="E53" t="str">
            <v>ZFGD</v>
          </cell>
          <cell r="F53" t="str">
            <v>PC</v>
          </cell>
          <cell r="G53" t="str">
            <v>5</v>
          </cell>
          <cell r="H53" t="str">
            <v>PROJECT</v>
          </cell>
          <cell r="I53" t="str">
            <v>56</v>
          </cell>
          <cell r="J53" t="str">
            <v>CPC1</v>
          </cell>
          <cell r="K53" t="str">
            <v>5602</v>
          </cell>
          <cell r="L53" t="str">
            <v>POLYFLOOR</v>
          </cell>
          <cell r="M53" t="str">
            <v>560202</v>
          </cell>
          <cell r="N53" t="str">
            <v>POLYFLOOR EPOXY</v>
          </cell>
        </row>
        <row r="54">
          <cell r="C54" t="str">
            <v>100001040</v>
          </cell>
          <cell r="D54" t="str">
            <v>PFT-253 GREY VN-20KSP</v>
          </cell>
          <cell r="E54" t="str">
            <v>ZFGD</v>
          </cell>
          <cell r="F54" t="str">
            <v>SET</v>
          </cell>
          <cell r="G54" t="str">
            <v>5</v>
          </cell>
          <cell r="H54" t="str">
            <v>PROJECT</v>
          </cell>
          <cell r="I54" t="str">
            <v>56</v>
          </cell>
          <cell r="J54" t="str">
            <v>CPC1</v>
          </cell>
          <cell r="K54" t="str">
            <v>5602</v>
          </cell>
          <cell r="L54" t="str">
            <v>POLYFLOOR</v>
          </cell>
          <cell r="M54" t="str">
            <v>560202</v>
          </cell>
          <cell r="N54" t="str">
            <v>POLYFLOOR EPOXY</v>
          </cell>
        </row>
        <row r="55">
          <cell r="C55" t="str">
            <v>100001041</v>
          </cell>
          <cell r="D55" t="str">
            <v>PFT-253 GREY VN-16KP</v>
          </cell>
          <cell r="E55" t="str">
            <v>ZFGD</v>
          </cell>
          <cell r="F55" t="str">
            <v>PC</v>
          </cell>
          <cell r="G55" t="str">
            <v>5</v>
          </cell>
          <cell r="H55" t="str">
            <v>PROJECT</v>
          </cell>
          <cell r="I55" t="str">
            <v>56</v>
          </cell>
          <cell r="J55" t="str">
            <v>CPC1</v>
          </cell>
          <cell r="K55" t="str">
            <v>5602</v>
          </cell>
          <cell r="L55" t="str">
            <v>POLYFLOOR</v>
          </cell>
          <cell r="M55" t="str">
            <v>560202</v>
          </cell>
          <cell r="N55" t="str">
            <v>POLYFLOOR EPOXY</v>
          </cell>
        </row>
        <row r="56">
          <cell r="C56" t="str">
            <v>100001042</v>
          </cell>
          <cell r="D56" t="str">
            <v>PFT-253 GREY VN-5KS</v>
          </cell>
          <cell r="E56" t="str">
            <v>ZFGD</v>
          </cell>
          <cell r="F56" t="str">
            <v>SET</v>
          </cell>
          <cell r="G56" t="str">
            <v>5</v>
          </cell>
          <cell r="H56" t="str">
            <v>PROJECT</v>
          </cell>
          <cell r="I56" t="str">
            <v>56</v>
          </cell>
          <cell r="J56" t="str">
            <v>CPC1</v>
          </cell>
          <cell r="K56" t="str">
            <v>5602</v>
          </cell>
          <cell r="L56" t="str">
            <v>POLYFLOOR</v>
          </cell>
          <cell r="M56" t="str">
            <v>560202</v>
          </cell>
          <cell r="N56" t="str">
            <v>POLYFLOOR EPOXY</v>
          </cell>
        </row>
        <row r="57">
          <cell r="C57" t="str">
            <v>100001043</v>
          </cell>
          <cell r="D57" t="str">
            <v>PFT-253 GREY VN-4K</v>
          </cell>
          <cell r="E57" t="str">
            <v>ZFGD</v>
          </cell>
          <cell r="F57" t="str">
            <v>PC</v>
          </cell>
          <cell r="G57" t="str">
            <v>5</v>
          </cell>
          <cell r="H57" t="str">
            <v>PROJECT</v>
          </cell>
          <cell r="I57" t="str">
            <v>56</v>
          </cell>
          <cell r="J57" t="str">
            <v>CPC1</v>
          </cell>
          <cell r="K57" t="str">
            <v>5602</v>
          </cell>
          <cell r="L57" t="str">
            <v>POLYFLOOR</v>
          </cell>
          <cell r="M57" t="str">
            <v>560202</v>
          </cell>
          <cell r="N57" t="str">
            <v>POLYFLOOR EPOXY</v>
          </cell>
        </row>
        <row r="58">
          <cell r="C58" t="str">
            <v>100001044</v>
          </cell>
          <cell r="D58" t="str">
            <v>PFT-253 LEAF GREEN VN-20KSP</v>
          </cell>
          <cell r="E58" t="str">
            <v>ZFGD</v>
          </cell>
          <cell r="F58" t="str">
            <v>SET</v>
          </cell>
          <cell r="G58" t="str">
            <v>5</v>
          </cell>
          <cell r="H58" t="str">
            <v>PROJECT</v>
          </cell>
          <cell r="I58" t="str">
            <v>56</v>
          </cell>
          <cell r="J58" t="str">
            <v>CPC1</v>
          </cell>
          <cell r="K58" t="str">
            <v>5602</v>
          </cell>
          <cell r="L58" t="str">
            <v>POLYFLOOR</v>
          </cell>
          <cell r="M58" t="str">
            <v>560202</v>
          </cell>
          <cell r="N58" t="str">
            <v>POLYFLOOR EPOXY</v>
          </cell>
        </row>
        <row r="59">
          <cell r="C59" t="str">
            <v>100001045</v>
          </cell>
          <cell r="D59" t="str">
            <v>PFT-253 LEAF GREEN VN-16KP</v>
          </cell>
          <cell r="E59" t="str">
            <v>ZFGD</v>
          </cell>
          <cell r="F59" t="str">
            <v>PC</v>
          </cell>
          <cell r="G59" t="str">
            <v>5</v>
          </cell>
          <cell r="H59" t="str">
            <v>PROJECT</v>
          </cell>
          <cell r="I59" t="str">
            <v>56</v>
          </cell>
          <cell r="J59" t="str">
            <v>CPC1</v>
          </cell>
          <cell r="K59" t="str">
            <v>5602</v>
          </cell>
          <cell r="L59" t="str">
            <v>POLYFLOOR</v>
          </cell>
          <cell r="M59" t="str">
            <v>560202</v>
          </cell>
          <cell r="N59" t="str">
            <v>POLYFLOOR EPOXY</v>
          </cell>
        </row>
        <row r="60">
          <cell r="C60" t="str">
            <v>100001046</v>
          </cell>
          <cell r="D60" t="str">
            <v>PFT-253 LEAF GREEN VN-5KS</v>
          </cell>
          <cell r="E60" t="str">
            <v>ZFGD</v>
          </cell>
          <cell r="F60" t="str">
            <v>SET</v>
          </cell>
          <cell r="G60" t="str">
            <v>5</v>
          </cell>
          <cell r="H60" t="str">
            <v>PROJECT</v>
          </cell>
          <cell r="I60" t="str">
            <v>56</v>
          </cell>
          <cell r="J60" t="str">
            <v>CPC1</v>
          </cell>
          <cell r="K60" t="str">
            <v>5602</v>
          </cell>
          <cell r="L60" t="str">
            <v>POLYFLOOR</v>
          </cell>
          <cell r="M60" t="str">
            <v>560202</v>
          </cell>
          <cell r="N60" t="str">
            <v>POLYFLOOR EPOXY</v>
          </cell>
        </row>
        <row r="61">
          <cell r="C61" t="str">
            <v>100001047</v>
          </cell>
          <cell r="D61" t="str">
            <v>PFT-253 LEAF GREEN VN-4K</v>
          </cell>
          <cell r="E61" t="str">
            <v>ZFGD</v>
          </cell>
          <cell r="F61" t="str">
            <v>PC</v>
          </cell>
          <cell r="G61" t="str">
            <v>5</v>
          </cell>
          <cell r="H61" t="str">
            <v>PROJECT</v>
          </cell>
          <cell r="I61" t="str">
            <v>56</v>
          </cell>
          <cell r="J61" t="str">
            <v>CPC1</v>
          </cell>
          <cell r="K61" t="str">
            <v>5602</v>
          </cell>
          <cell r="L61" t="str">
            <v>POLYFLOOR</v>
          </cell>
          <cell r="M61" t="str">
            <v>560202</v>
          </cell>
          <cell r="N61" t="str">
            <v>POLYFLOOR EPOXY</v>
          </cell>
        </row>
        <row r="62">
          <cell r="C62" t="str">
            <v>100001048</v>
          </cell>
          <cell r="D62" t="str">
            <v>PFT-253 LIGHT ALABASTER VN-20KSP</v>
          </cell>
          <cell r="E62" t="str">
            <v>ZFGD</v>
          </cell>
          <cell r="F62" t="str">
            <v>SET</v>
          </cell>
          <cell r="G62" t="str">
            <v>5</v>
          </cell>
          <cell r="H62" t="str">
            <v>PROJECT</v>
          </cell>
          <cell r="I62" t="str">
            <v>56</v>
          </cell>
          <cell r="J62" t="str">
            <v>CPC1</v>
          </cell>
          <cell r="K62" t="str">
            <v>5602</v>
          </cell>
          <cell r="L62" t="str">
            <v>POLYFLOOR</v>
          </cell>
          <cell r="M62" t="str">
            <v>560202</v>
          </cell>
          <cell r="N62" t="str">
            <v>POLYFLOOR EPOXY</v>
          </cell>
        </row>
        <row r="63">
          <cell r="C63" t="str">
            <v>100001049</v>
          </cell>
          <cell r="D63" t="str">
            <v>PFT-253 LIGHT ALABASTER VN-16KP</v>
          </cell>
          <cell r="E63" t="str">
            <v>ZFGD</v>
          </cell>
          <cell r="F63" t="str">
            <v>PC</v>
          </cell>
          <cell r="G63" t="str">
            <v>5</v>
          </cell>
          <cell r="H63" t="str">
            <v>PROJECT</v>
          </cell>
          <cell r="I63" t="str">
            <v>56</v>
          </cell>
          <cell r="J63" t="str">
            <v>CPC1</v>
          </cell>
          <cell r="K63" t="str">
            <v>5602</v>
          </cell>
          <cell r="L63" t="str">
            <v>POLYFLOOR</v>
          </cell>
          <cell r="M63" t="str">
            <v>560202</v>
          </cell>
          <cell r="N63" t="str">
            <v>POLYFLOOR EPOXY</v>
          </cell>
        </row>
        <row r="64">
          <cell r="C64" t="str">
            <v>100001050</v>
          </cell>
          <cell r="D64" t="str">
            <v>PFT-253 LIGHT ALABASTER VN-5KS</v>
          </cell>
          <cell r="E64" t="str">
            <v>ZFGD</v>
          </cell>
          <cell r="F64" t="str">
            <v>SET</v>
          </cell>
          <cell r="G64" t="str">
            <v>5</v>
          </cell>
          <cell r="H64" t="str">
            <v>PROJECT</v>
          </cell>
          <cell r="I64" t="str">
            <v>56</v>
          </cell>
          <cell r="J64" t="str">
            <v>CPC1</v>
          </cell>
          <cell r="K64" t="str">
            <v>5602</v>
          </cell>
          <cell r="L64" t="str">
            <v>POLYFLOOR</v>
          </cell>
          <cell r="M64" t="str">
            <v>560202</v>
          </cell>
          <cell r="N64" t="str">
            <v>POLYFLOOR EPOXY</v>
          </cell>
        </row>
        <row r="65">
          <cell r="C65" t="str">
            <v>100001051</v>
          </cell>
          <cell r="D65" t="str">
            <v>PFT-253 LIGHT ALABASTER VN-4K</v>
          </cell>
          <cell r="E65" t="str">
            <v>ZFGD</v>
          </cell>
          <cell r="F65" t="str">
            <v>PC</v>
          </cell>
          <cell r="G65" t="str">
            <v>5</v>
          </cell>
          <cell r="H65" t="str">
            <v>PROJECT</v>
          </cell>
          <cell r="I65" t="str">
            <v>56</v>
          </cell>
          <cell r="J65" t="str">
            <v>CPC1</v>
          </cell>
          <cell r="K65" t="str">
            <v>5602</v>
          </cell>
          <cell r="L65" t="str">
            <v>POLYFLOOR</v>
          </cell>
          <cell r="M65" t="str">
            <v>560202</v>
          </cell>
          <cell r="N65" t="str">
            <v>POLYFLOOR EPOXY</v>
          </cell>
        </row>
        <row r="66">
          <cell r="C66" t="str">
            <v>100001052</v>
          </cell>
          <cell r="D66" t="str">
            <v>PFT-253 PALE GREEN VN-20KSP</v>
          </cell>
          <cell r="E66" t="str">
            <v>ZFGD</v>
          </cell>
          <cell r="F66" t="str">
            <v>SET</v>
          </cell>
          <cell r="G66" t="str">
            <v>5</v>
          </cell>
          <cell r="H66" t="str">
            <v>PROJECT</v>
          </cell>
          <cell r="I66" t="str">
            <v>56</v>
          </cell>
          <cell r="J66" t="str">
            <v>CPC1</v>
          </cell>
          <cell r="K66" t="str">
            <v>5602</v>
          </cell>
          <cell r="L66" t="str">
            <v>POLYFLOOR</v>
          </cell>
          <cell r="M66" t="str">
            <v>560202</v>
          </cell>
          <cell r="N66" t="str">
            <v>POLYFLOOR EPOXY</v>
          </cell>
        </row>
        <row r="67">
          <cell r="C67" t="str">
            <v>100001053</v>
          </cell>
          <cell r="D67" t="str">
            <v>PFT-253 PALE GREEN VN-16KP</v>
          </cell>
          <cell r="E67" t="str">
            <v>ZFGD</v>
          </cell>
          <cell r="F67" t="str">
            <v>PC</v>
          </cell>
          <cell r="G67" t="str">
            <v>5</v>
          </cell>
          <cell r="H67" t="str">
            <v>PROJECT</v>
          </cell>
          <cell r="I67" t="str">
            <v>56</v>
          </cell>
          <cell r="J67" t="str">
            <v>CPC1</v>
          </cell>
          <cell r="K67" t="str">
            <v>5602</v>
          </cell>
          <cell r="L67" t="str">
            <v>POLYFLOOR</v>
          </cell>
          <cell r="M67" t="str">
            <v>560202</v>
          </cell>
          <cell r="N67" t="str">
            <v>POLYFLOOR EPOXY</v>
          </cell>
        </row>
        <row r="68">
          <cell r="C68" t="str">
            <v>100001054</v>
          </cell>
          <cell r="D68" t="str">
            <v>PFT-253 PALE GREEN VN-5KS</v>
          </cell>
          <cell r="E68" t="str">
            <v>ZFGD</v>
          </cell>
          <cell r="F68" t="str">
            <v>SET</v>
          </cell>
          <cell r="G68" t="str">
            <v>5</v>
          </cell>
          <cell r="H68" t="str">
            <v>PROJECT</v>
          </cell>
          <cell r="I68" t="str">
            <v>56</v>
          </cell>
          <cell r="J68" t="str">
            <v>CPC1</v>
          </cell>
          <cell r="K68" t="str">
            <v>5602</v>
          </cell>
          <cell r="L68" t="str">
            <v>POLYFLOOR</v>
          </cell>
          <cell r="M68" t="str">
            <v>560202</v>
          </cell>
          <cell r="N68" t="str">
            <v>POLYFLOOR EPOXY</v>
          </cell>
        </row>
        <row r="69">
          <cell r="C69" t="str">
            <v>100001055</v>
          </cell>
          <cell r="D69" t="str">
            <v>PFT-253 PALE GREEN VN-4K</v>
          </cell>
          <cell r="E69" t="str">
            <v>ZFGD</v>
          </cell>
          <cell r="F69" t="str">
            <v>PC</v>
          </cell>
          <cell r="G69" t="str">
            <v>5</v>
          </cell>
          <cell r="H69" t="str">
            <v>PROJECT</v>
          </cell>
          <cell r="I69" t="str">
            <v>56</v>
          </cell>
          <cell r="J69" t="str">
            <v>CPC1</v>
          </cell>
          <cell r="K69" t="str">
            <v>5602</v>
          </cell>
          <cell r="L69" t="str">
            <v>POLYFLOOR</v>
          </cell>
          <cell r="M69" t="str">
            <v>560202</v>
          </cell>
          <cell r="N69" t="str">
            <v>POLYFLOOR EPOXY</v>
          </cell>
        </row>
        <row r="70">
          <cell r="C70" t="str">
            <v>100001056</v>
          </cell>
          <cell r="D70" t="str">
            <v>PFT-253 LIGHT GREY VN-20KSP</v>
          </cell>
          <cell r="E70" t="str">
            <v>ZFGD</v>
          </cell>
          <cell r="F70" t="str">
            <v>SET</v>
          </cell>
          <cell r="G70" t="str">
            <v>5</v>
          </cell>
          <cell r="H70" t="str">
            <v>PROJECT</v>
          </cell>
          <cell r="I70" t="str">
            <v>56</v>
          </cell>
          <cell r="J70" t="str">
            <v>CPC1</v>
          </cell>
          <cell r="K70" t="str">
            <v>5602</v>
          </cell>
          <cell r="L70" t="str">
            <v>POLYFLOOR</v>
          </cell>
          <cell r="M70" t="str">
            <v>560202</v>
          </cell>
          <cell r="N70" t="str">
            <v>POLYFLOOR EPOXY</v>
          </cell>
        </row>
        <row r="71">
          <cell r="C71" t="str">
            <v>100001057</v>
          </cell>
          <cell r="D71" t="str">
            <v>PFT-253 LIGHT GREY VN-16KP</v>
          </cell>
          <cell r="E71" t="str">
            <v>ZFGD</v>
          </cell>
          <cell r="F71" t="str">
            <v>PC</v>
          </cell>
          <cell r="G71" t="str">
            <v>5</v>
          </cell>
          <cell r="H71" t="str">
            <v>PROJECT</v>
          </cell>
          <cell r="I71" t="str">
            <v>56</v>
          </cell>
          <cell r="J71" t="str">
            <v>CPC1</v>
          </cell>
          <cell r="K71" t="str">
            <v>5602</v>
          </cell>
          <cell r="L71" t="str">
            <v>POLYFLOOR</v>
          </cell>
          <cell r="M71" t="str">
            <v>560202</v>
          </cell>
          <cell r="N71" t="str">
            <v>POLYFLOOR EPOXY</v>
          </cell>
        </row>
        <row r="72">
          <cell r="C72" t="str">
            <v>100001058</v>
          </cell>
          <cell r="D72" t="str">
            <v>PFT-253 LIGHT GREY VN-5KS</v>
          </cell>
          <cell r="E72" t="str">
            <v>ZFGD</v>
          </cell>
          <cell r="F72" t="str">
            <v>SET</v>
          </cell>
          <cell r="G72" t="str">
            <v>5</v>
          </cell>
          <cell r="H72" t="str">
            <v>PROJECT</v>
          </cell>
          <cell r="I72" t="str">
            <v>56</v>
          </cell>
          <cell r="J72" t="str">
            <v>CPC1</v>
          </cell>
          <cell r="K72" t="str">
            <v>5602</v>
          </cell>
          <cell r="L72" t="str">
            <v>POLYFLOOR</v>
          </cell>
          <cell r="M72" t="str">
            <v>560202</v>
          </cell>
          <cell r="N72" t="str">
            <v>POLYFLOOR EPOXY</v>
          </cell>
        </row>
        <row r="73">
          <cell r="C73" t="str">
            <v>100001059</v>
          </cell>
          <cell r="D73" t="str">
            <v>PFT-253 LIGHT GREY VN-4K</v>
          </cell>
          <cell r="E73" t="str">
            <v>ZFGD</v>
          </cell>
          <cell r="F73" t="str">
            <v>PC</v>
          </cell>
          <cell r="G73" t="str">
            <v>5</v>
          </cell>
          <cell r="H73" t="str">
            <v>PROJECT</v>
          </cell>
          <cell r="I73" t="str">
            <v>56</v>
          </cell>
          <cell r="J73" t="str">
            <v>CPC1</v>
          </cell>
          <cell r="K73" t="str">
            <v>5602</v>
          </cell>
          <cell r="L73" t="str">
            <v>POLYFLOOR</v>
          </cell>
          <cell r="M73" t="str">
            <v>560202</v>
          </cell>
          <cell r="N73" t="str">
            <v>POLYFLOOR EPOXY</v>
          </cell>
        </row>
        <row r="74">
          <cell r="C74" t="str">
            <v>100001060</v>
          </cell>
          <cell r="D74" t="str">
            <v>PFT-253 LIGHT BLUE VN-20KSP</v>
          </cell>
          <cell r="E74" t="str">
            <v>ZFGD</v>
          </cell>
          <cell r="F74" t="str">
            <v>SET</v>
          </cell>
          <cell r="G74" t="str">
            <v>5</v>
          </cell>
          <cell r="H74" t="str">
            <v>PROJECT</v>
          </cell>
          <cell r="I74" t="str">
            <v>56</v>
          </cell>
          <cell r="J74" t="str">
            <v>CPC1</v>
          </cell>
          <cell r="K74" t="str">
            <v>5602</v>
          </cell>
          <cell r="L74" t="str">
            <v>POLYFLOOR</v>
          </cell>
          <cell r="M74" t="str">
            <v>560202</v>
          </cell>
          <cell r="N74" t="str">
            <v>POLYFLOOR EPOXY</v>
          </cell>
        </row>
        <row r="75">
          <cell r="C75" t="str">
            <v>100001061</v>
          </cell>
          <cell r="D75" t="str">
            <v>PFT-253 LIGHT BLUE VN-16KP</v>
          </cell>
          <cell r="E75" t="str">
            <v>ZFGD</v>
          </cell>
          <cell r="F75" t="str">
            <v>PC</v>
          </cell>
          <cell r="G75" t="str">
            <v>5</v>
          </cell>
          <cell r="H75" t="str">
            <v>PROJECT</v>
          </cell>
          <cell r="I75" t="str">
            <v>56</v>
          </cell>
          <cell r="J75" t="str">
            <v>CPC1</v>
          </cell>
          <cell r="K75" t="str">
            <v>5602</v>
          </cell>
          <cell r="L75" t="str">
            <v>POLYFLOOR</v>
          </cell>
          <cell r="M75" t="str">
            <v>560202</v>
          </cell>
          <cell r="N75" t="str">
            <v>POLYFLOOR EPOXY</v>
          </cell>
        </row>
        <row r="76">
          <cell r="C76" t="str">
            <v>100001062</v>
          </cell>
          <cell r="D76" t="str">
            <v>PFT-253 LIGHT BLUE VN-5KS</v>
          </cell>
          <cell r="E76" t="str">
            <v>ZFGD</v>
          </cell>
          <cell r="F76" t="str">
            <v>SET</v>
          </cell>
          <cell r="G76" t="str">
            <v>5</v>
          </cell>
          <cell r="H76" t="str">
            <v>PROJECT</v>
          </cell>
          <cell r="I76" t="str">
            <v>56</v>
          </cell>
          <cell r="J76" t="str">
            <v>CPC1</v>
          </cell>
          <cell r="K76" t="str">
            <v>5602</v>
          </cell>
          <cell r="L76" t="str">
            <v>POLYFLOOR</v>
          </cell>
          <cell r="M76" t="str">
            <v>560202</v>
          </cell>
          <cell r="N76" t="str">
            <v>POLYFLOOR EPOXY</v>
          </cell>
        </row>
        <row r="77">
          <cell r="C77" t="str">
            <v>100001063</v>
          </cell>
          <cell r="D77" t="str">
            <v>PFT-253 LIGHT BLUE VN-4K</v>
          </cell>
          <cell r="E77" t="str">
            <v>ZFGD</v>
          </cell>
          <cell r="F77" t="str">
            <v>PC</v>
          </cell>
          <cell r="G77" t="str">
            <v>5</v>
          </cell>
          <cell r="H77" t="str">
            <v>PROJECT</v>
          </cell>
          <cell r="I77" t="str">
            <v>56</v>
          </cell>
          <cell r="J77" t="str">
            <v>CPC1</v>
          </cell>
          <cell r="K77" t="str">
            <v>5602</v>
          </cell>
          <cell r="L77" t="str">
            <v>POLYFLOOR</v>
          </cell>
          <cell r="M77" t="str">
            <v>560202</v>
          </cell>
          <cell r="N77" t="str">
            <v>POLYFLOOR EPOXY</v>
          </cell>
        </row>
        <row r="78">
          <cell r="C78" t="str">
            <v>100001064</v>
          </cell>
          <cell r="D78" t="str">
            <v>PFT-253 WHITE VN-20KSP</v>
          </cell>
          <cell r="E78" t="str">
            <v>ZFGD</v>
          </cell>
          <cell r="F78" t="str">
            <v>SET</v>
          </cell>
          <cell r="G78" t="str">
            <v>5</v>
          </cell>
          <cell r="H78" t="str">
            <v>PROJECT</v>
          </cell>
          <cell r="I78" t="str">
            <v>56</v>
          </cell>
          <cell r="J78" t="str">
            <v>CPC1</v>
          </cell>
          <cell r="K78" t="str">
            <v>5602</v>
          </cell>
          <cell r="L78" t="str">
            <v>POLYFLOOR</v>
          </cell>
          <cell r="M78" t="str">
            <v>560202</v>
          </cell>
          <cell r="N78" t="str">
            <v>POLYFLOOR EPOXY</v>
          </cell>
        </row>
        <row r="79">
          <cell r="C79" t="str">
            <v>100001065</v>
          </cell>
          <cell r="D79" t="str">
            <v>PFT-253 WHITE VN-16KP</v>
          </cell>
          <cell r="E79" t="str">
            <v>ZFGD</v>
          </cell>
          <cell r="F79" t="str">
            <v>PC</v>
          </cell>
          <cell r="G79" t="str">
            <v>5</v>
          </cell>
          <cell r="H79" t="str">
            <v>PROJECT</v>
          </cell>
          <cell r="I79" t="str">
            <v>56</v>
          </cell>
          <cell r="J79" t="str">
            <v>CPC1</v>
          </cell>
          <cell r="K79" t="str">
            <v>5602</v>
          </cell>
          <cell r="L79" t="str">
            <v>POLYFLOOR</v>
          </cell>
          <cell r="M79" t="str">
            <v>560202</v>
          </cell>
          <cell r="N79" t="str">
            <v>POLYFLOOR EPOXY</v>
          </cell>
        </row>
        <row r="80">
          <cell r="C80" t="str">
            <v>100001066</v>
          </cell>
          <cell r="D80" t="str">
            <v>PFT-253 WHITE VN-5KS</v>
          </cell>
          <cell r="E80" t="str">
            <v>ZFGD</v>
          </cell>
          <cell r="F80" t="str">
            <v>SET</v>
          </cell>
          <cell r="G80" t="str">
            <v>5</v>
          </cell>
          <cell r="H80" t="str">
            <v>PROJECT</v>
          </cell>
          <cell r="I80" t="str">
            <v>56</v>
          </cell>
          <cell r="J80" t="str">
            <v>CPC1</v>
          </cell>
          <cell r="K80" t="str">
            <v>5602</v>
          </cell>
          <cell r="L80" t="str">
            <v>POLYFLOOR</v>
          </cell>
          <cell r="M80" t="str">
            <v>560202</v>
          </cell>
          <cell r="N80" t="str">
            <v>POLYFLOOR EPOXY</v>
          </cell>
        </row>
        <row r="81">
          <cell r="C81" t="str">
            <v>100001067</v>
          </cell>
          <cell r="D81" t="str">
            <v>PFT-253 WHITE VN-4K</v>
          </cell>
          <cell r="E81" t="str">
            <v>ZFGD</v>
          </cell>
          <cell r="F81" t="str">
            <v>PC</v>
          </cell>
          <cell r="G81" t="str">
            <v>5</v>
          </cell>
          <cell r="H81" t="str">
            <v>PROJECT</v>
          </cell>
          <cell r="I81" t="str">
            <v>56</v>
          </cell>
          <cell r="J81" t="str">
            <v>CPC1</v>
          </cell>
          <cell r="K81" t="str">
            <v>5602</v>
          </cell>
          <cell r="L81" t="str">
            <v>POLYFLOOR</v>
          </cell>
          <cell r="M81" t="str">
            <v>560202</v>
          </cell>
          <cell r="N81" t="str">
            <v>POLYFLOOR EPOXY</v>
          </cell>
        </row>
        <row r="82">
          <cell r="C82" t="str">
            <v>100001068</v>
          </cell>
          <cell r="D82" t="str">
            <v>PFT-253 AVOCADO VN-20KSP</v>
          </cell>
          <cell r="E82" t="str">
            <v>ZFGD</v>
          </cell>
          <cell r="F82" t="str">
            <v>SET</v>
          </cell>
          <cell r="G82" t="str">
            <v>5</v>
          </cell>
          <cell r="H82" t="str">
            <v>PROJECT</v>
          </cell>
          <cell r="I82" t="str">
            <v>56</v>
          </cell>
          <cell r="J82" t="str">
            <v>CPC1</v>
          </cell>
          <cell r="K82" t="str">
            <v>5602</v>
          </cell>
          <cell r="L82" t="str">
            <v>POLYFLOOR</v>
          </cell>
          <cell r="M82" t="str">
            <v>560202</v>
          </cell>
          <cell r="N82" t="str">
            <v>POLYFLOOR EPOXY</v>
          </cell>
        </row>
        <row r="83">
          <cell r="C83" t="str">
            <v>100001069</v>
          </cell>
          <cell r="D83" t="str">
            <v>PFT-253 AVOCADO VN-16KP</v>
          </cell>
          <cell r="E83" t="str">
            <v>ZFGD</v>
          </cell>
          <cell r="F83" t="str">
            <v>PC</v>
          </cell>
          <cell r="G83" t="str">
            <v>5</v>
          </cell>
          <cell r="H83" t="str">
            <v>PROJECT</v>
          </cell>
          <cell r="I83" t="str">
            <v>56</v>
          </cell>
          <cell r="J83" t="str">
            <v>CPC1</v>
          </cell>
          <cell r="K83" t="str">
            <v>5602</v>
          </cell>
          <cell r="L83" t="str">
            <v>POLYFLOOR</v>
          </cell>
          <cell r="M83" t="str">
            <v>560202</v>
          </cell>
          <cell r="N83" t="str">
            <v>POLYFLOOR EPOXY</v>
          </cell>
        </row>
        <row r="84">
          <cell r="C84" t="str">
            <v>100001070</v>
          </cell>
          <cell r="D84" t="str">
            <v>PFT-253 AVOCADO VN-5KS</v>
          </cell>
          <cell r="E84" t="str">
            <v>ZFGD</v>
          </cell>
          <cell r="F84" t="str">
            <v>SET</v>
          </cell>
          <cell r="G84" t="str">
            <v>5</v>
          </cell>
          <cell r="H84" t="str">
            <v>PROJECT</v>
          </cell>
          <cell r="I84" t="str">
            <v>56</v>
          </cell>
          <cell r="J84" t="str">
            <v>CPC1</v>
          </cell>
          <cell r="K84" t="str">
            <v>5602</v>
          </cell>
          <cell r="L84" t="str">
            <v>POLYFLOOR</v>
          </cell>
          <cell r="M84" t="str">
            <v>560202</v>
          </cell>
          <cell r="N84" t="str">
            <v>POLYFLOOR EPOXY</v>
          </cell>
        </row>
        <row r="85">
          <cell r="C85" t="str">
            <v>100001071</v>
          </cell>
          <cell r="D85" t="str">
            <v>PFT-253 AVOCADO VN-4K</v>
          </cell>
          <cell r="E85" t="str">
            <v>ZFGD</v>
          </cell>
          <cell r="F85" t="str">
            <v>PC</v>
          </cell>
          <cell r="G85" t="str">
            <v>5</v>
          </cell>
          <cell r="H85" t="str">
            <v>PROJECT</v>
          </cell>
          <cell r="I85" t="str">
            <v>56</v>
          </cell>
          <cell r="J85" t="str">
            <v>CPC1</v>
          </cell>
          <cell r="K85" t="str">
            <v>5602</v>
          </cell>
          <cell r="L85" t="str">
            <v>POLYFLOOR</v>
          </cell>
          <cell r="M85" t="str">
            <v>560202</v>
          </cell>
          <cell r="N85" t="str">
            <v>POLYFLOOR EPOXY</v>
          </cell>
        </row>
        <row r="86">
          <cell r="C86" t="str">
            <v>100001072</v>
          </cell>
          <cell r="D86" t="str">
            <v>PFT-253 RAL 5012 LIGHT BLUE VN-20KSP</v>
          </cell>
          <cell r="E86" t="str">
            <v>ZFGD</v>
          </cell>
          <cell r="F86" t="str">
            <v>SET</v>
          </cell>
          <cell r="G86" t="str">
            <v>5</v>
          </cell>
          <cell r="H86" t="str">
            <v>PROJECT</v>
          </cell>
          <cell r="I86" t="str">
            <v>56</v>
          </cell>
          <cell r="J86" t="str">
            <v>CPC1</v>
          </cell>
          <cell r="K86" t="str">
            <v>5602</v>
          </cell>
          <cell r="L86" t="str">
            <v>POLYFLOOR</v>
          </cell>
          <cell r="M86" t="str">
            <v>560202</v>
          </cell>
          <cell r="N86" t="str">
            <v>POLYFLOOR EPOXY</v>
          </cell>
        </row>
        <row r="87">
          <cell r="C87" t="str">
            <v>100001073</v>
          </cell>
          <cell r="D87" t="str">
            <v>PFT-253 RAL 5012 LIGHT BLUE VN-16KP</v>
          </cell>
          <cell r="E87" t="str">
            <v>ZFGD</v>
          </cell>
          <cell r="F87" t="str">
            <v>PC</v>
          </cell>
          <cell r="G87" t="str">
            <v>5</v>
          </cell>
          <cell r="H87" t="str">
            <v>PROJECT</v>
          </cell>
          <cell r="I87" t="str">
            <v>56</v>
          </cell>
          <cell r="J87" t="str">
            <v>CPC1</v>
          </cell>
          <cell r="K87" t="str">
            <v>5602</v>
          </cell>
          <cell r="L87" t="str">
            <v>POLYFLOOR</v>
          </cell>
          <cell r="M87" t="str">
            <v>560202</v>
          </cell>
          <cell r="N87" t="str">
            <v>POLYFLOOR EPOXY</v>
          </cell>
        </row>
        <row r="88">
          <cell r="C88" t="str">
            <v>100001074</v>
          </cell>
          <cell r="D88" t="str">
            <v>PFT-253 RAL 5012 LIGHT BLUE VN-5KS</v>
          </cell>
          <cell r="E88" t="str">
            <v>ZFGD</v>
          </cell>
          <cell r="F88" t="str">
            <v>SET</v>
          </cell>
          <cell r="G88" t="str">
            <v>5</v>
          </cell>
          <cell r="H88" t="str">
            <v>PROJECT</v>
          </cell>
          <cell r="I88" t="str">
            <v>56</v>
          </cell>
          <cell r="J88" t="str">
            <v>CPC1</v>
          </cell>
          <cell r="K88" t="str">
            <v>5602</v>
          </cell>
          <cell r="L88" t="str">
            <v>POLYFLOOR</v>
          </cell>
          <cell r="M88" t="str">
            <v>560202</v>
          </cell>
          <cell r="N88" t="str">
            <v>POLYFLOOR EPOXY</v>
          </cell>
        </row>
        <row r="89">
          <cell r="C89" t="str">
            <v>100001075</v>
          </cell>
          <cell r="D89" t="str">
            <v>PFT-253 RAL 5012 LIGHT BLUE VN-4K</v>
          </cell>
          <cell r="E89" t="str">
            <v>ZFGD</v>
          </cell>
          <cell r="F89" t="str">
            <v>PC</v>
          </cell>
          <cell r="G89" t="str">
            <v>5</v>
          </cell>
          <cell r="H89" t="str">
            <v>PROJECT</v>
          </cell>
          <cell r="I89" t="str">
            <v>56</v>
          </cell>
          <cell r="J89" t="str">
            <v>CPC1</v>
          </cell>
          <cell r="K89" t="str">
            <v>5602</v>
          </cell>
          <cell r="L89" t="str">
            <v>POLYFLOOR</v>
          </cell>
          <cell r="M89" t="str">
            <v>560202</v>
          </cell>
          <cell r="N89" t="str">
            <v>POLYFLOOR EPOXY</v>
          </cell>
        </row>
        <row r="90">
          <cell r="C90" t="str">
            <v>100001076</v>
          </cell>
          <cell r="D90" t="str">
            <v>PFT-253 GENTIAN BLUE VN-20KSP</v>
          </cell>
          <cell r="E90" t="str">
            <v>ZFGD</v>
          </cell>
          <cell r="F90" t="str">
            <v>SET</v>
          </cell>
          <cell r="G90" t="str">
            <v>5</v>
          </cell>
          <cell r="H90" t="str">
            <v>PROJECT</v>
          </cell>
          <cell r="I90" t="str">
            <v>56</v>
          </cell>
          <cell r="J90" t="str">
            <v>CPC1</v>
          </cell>
          <cell r="K90" t="str">
            <v>5602</v>
          </cell>
          <cell r="L90" t="str">
            <v>POLYFLOOR</v>
          </cell>
          <cell r="M90" t="str">
            <v>560202</v>
          </cell>
          <cell r="N90" t="str">
            <v>POLYFLOOR EPOXY</v>
          </cell>
        </row>
        <row r="91">
          <cell r="C91" t="str">
            <v>100001077</v>
          </cell>
          <cell r="D91" t="str">
            <v>PFT-253 GENTIAN BLUE VN-16KP</v>
          </cell>
          <cell r="E91" t="str">
            <v>ZFGD</v>
          </cell>
          <cell r="F91" t="str">
            <v>PC</v>
          </cell>
          <cell r="G91" t="str">
            <v>5</v>
          </cell>
          <cell r="H91" t="str">
            <v>PROJECT</v>
          </cell>
          <cell r="I91" t="str">
            <v>56</v>
          </cell>
          <cell r="J91" t="str">
            <v>CPC1</v>
          </cell>
          <cell r="K91" t="str">
            <v>5602</v>
          </cell>
          <cell r="L91" t="str">
            <v>POLYFLOOR</v>
          </cell>
          <cell r="M91" t="str">
            <v>560202</v>
          </cell>
          <cell r="N91" t="str">
            <v>POLYFLOOR EPOXY</v>
          </cell>
        </row>
        <row r="92">
          <cell r="C92" t="str">
            <v>100001078</v>
          </cell>
          <cell r="D92" t="str">
            <v>PFT-253 GENTIAN BLUE VN-5KS</v>
          </cell>
          <cell r="E92" t="str">
            <v>ZFGD</v>
          </cell>
          <cell r="F92" t="str">
            <v>SET</v>
          </cell>
          <cell r="G92" t="str">
            <v>5</v>
          </cell>
          <cell r="H92" t="str">
            <v>PROJECT</v>
          </cell>
          <cell r="I92" t="str">
            <v>56</v>
          </cell>
          <cell r="J92" t="str">
            <v>CPC1</v>
          </cell>
          <cell r="K92" t="str">
            <v>5602</v>
          </cell>
          <cell r="L92" t="str">
            <v>POLYFLOOR</v>
          </cell>
          <cell r="M92" t="str">
            <v>560202</v>
          </cell>
          <cell r="N92" t="str">
            <v>POLYFLOOR EPOXY</v>
          </cell>
        </row>
        <row r="93">
          <cell r="C93" t="str">
            <v>100001079</v>
          </cell>
          <cell r="D93" t="str">
            <v>PFT-253 GENTIAN BLUE VN-4K</v>
          </cell>
          <cell r="E93" t="str">
            <v>ZFGD</v>
          </cell>
          <cell r="F93" t="str">
            <v>PC</v>
          </cell>
          <cell r="G93" t="str">
            <v>5</v>
          </cell>
          <cell r="H93" t="str">
            <v>PROJECT</v>
          </cell>
          <cell r="I93" t="str">
            <v>56</v>
          </cell>
          <cell r="J93" t="str">
            <v>CPC1</v>
          </cell>
          <cell r="K93" t="str">
            <v>5602</v>
          </cell>
          <cell r="L93" t="str">
            <v>POLYFLOOR</v>
          </cell>
          <cell r="M93" t="str">
            <v>560202</v>
          </cell>
          <cell r="N93" t="str">
            <v>POLYFLOOR EPOXY</v>
          </cell>
        </row>
        <row r="94">
          <cell r="C94" t="str">
            <v>100001080</v>
          </cell>
          <cell r="D94" t="str">
            <v>PFT-253 GREY AL VN-20KSP</v>
          </cell>
          <cell r="E94" t="str">
            <v>ZFGD</v>
          </cell>
          <cell r="F94" t="str">
            <v>SET</v>
          </cell>
          <cell r="G94" t="str">
            <v>5</v>
          </cell>
          <cell r="H94" t="str">
            <v>PROJECT</v>
          </cell>
          <cell r="I94" t="str">
            <v>56</v>
          </cell>
          <cell r="J94" t="str">
            <v>CPC1</v>
          </cell>
          <cell r="K94" t="str">
            <v>5602</v>
          </cell>
          <cell r="L94" t="str">
            <v>POLYFLOOR</v>
          </cell>
          <cell r="M94" t="str">
            <v>560202</v>
          </cell>
          <cell r="N94" t="str">
            <v>POLYFLOOR EPOXY</v>
          </cell>
        </row>
        <row r="95">
          <cell r="C95" t="str">
            <v>100001081</v>
          </cell>
          <cell r="D95" t="str">
            <v>PFT-253 GREY AL VN-16KP</v>
          </cell>
          <cell r="E95" t="str">
            <v>ZFGD</v>
          </cell>
          <cell r="F95" t="str">
            <v>PC</v>
          </cell>
          <cell r="G95" t="str">
            <v>5</v>
          </cell>
          <cell r="H95" t="str">
            <v>PROJECT</v>
          </cell>
          <cell r="I95" t="str">
            <v>56</v>
          </cell>
          <cell r="J95" t="str">
            <v>CPC1</v>
          </cell>
          <cell r="K95" t="str">
            <v>5602</v>
          </cell>
          <cell r="L95" t="str">
            <v>POLYFLOOR</v>
          </cell>
          <cell r="M95" t="str">
            <v>560202</v>
          </cell>
          <cell r="N95" t="str">
            <v>POLYFLOOR EPOXY</v>
          </cell>
        </row>
        <row r="96">
          <cell r="C96" t="str">
            <v>100001082</v>
          </cell>
          <cell r="D96" t="str">
            <v>PFT-253 GREY AL VN-5KS</v>
          </cell>
          <cell r="E96" t="str">
            <v>ZFGD</v>
          </cell>
          <cell r="F96" t="str">
            <v>SET</v>
          </cell>
          <cell r="G96" t="str">
            <v>5</v>
          </cell>
          <cell r="H96" t="str">
            <v>PROJECT</v>
          </cell>
          <cell r="I96" t="str">
            <v>56</v>
          </cell>
          <cell r="J96" t="str">
            <v>CPC1</v>
          </cell>
          <cell r="K96" t="str">
            <v>5602</v>
          </cell>
          <cell r="L96" t="str">
            <v>POLYFLOOR</v>
          </cell>
          <cell r="M96" t="str">
            <v>560202</v>
          </cell>
          <cell r="N96" t="str">
            <v>POLYFLOOR EPOXY</v>
          </cell>
        </row>
        <row r="97">
          <cell r="C97" t="str">
            <v>100001083</v>
          </cell>
          <cell r="D97" t="str">
            <v>PFT-253 GREY AL VN-4K</v>
          </cell>
          <cell r="E97" t="str">
            <v>ZFGD</v>
          </cell>
          <cell r="F97" t="str">
            <v>PC</v>
          </cell>
          <cell r="G97" t="str">
            <v>5</v>
          </cell>
          <cell r="H97" t="str">
            <v>PROJECT</v>
          </cell>
          <cell r="I97" t="str">
            <v>56</v>
          </cell>
          <cell r="J97" t="str">
            <v>CPC1</v>
          </cell>
          <cell r="K97" t="str">
            <v>5602</v>
          </cell>
          <cell r="L97" t="str">
            <v>POLYFLOOR</v>
          </cell>
          <cell r="M97" t="str">
            <v>560202</v>
          </cell>
          <cell r="N97" t="str">
            <v>POLYFLOOR EPOXY</v>
          </cell>
        </row>
        <row r="98">
          <cell r="C98" t="str">
            <v>100001084</v>
          </cell>
          <cell r="D98" t="str">
            <v>PFT-253 GREY RAL 7035 VN-20KSP</v>
          </cell>
          <cell r="E98" t="str">
            <v>ZFGD</v>
          </cell>
          <cell r="F98" t="str">
            <v>SET</v>
          </cell>
          <cell r="G98" t="str">
            <v>5</v>
          </cell>
          <cell r="H98" t="str">
            <v>PROJECT</v>
          </cell>
          <cell r="I98" t="str">
            <v>56</v>
          </cell>
          <cell r="J98" t="str">
            <v>CPC1</v>
          </cell>
          <cell r="K98" t="str">
            <v>5602</v>
          </cell>
          <cell r="L98" t="str">
            <v>POLYFLOOR</v>
          </cell>
          <cell r="M98" t="str">
            <v>560202</v>
          </cell>
          <cell r="N98" t="str">
            <v>POLYFLOOR EPOXY</v>
          </cell>
        </row>
        <row r="99">
          <cell r="C99" t="str">
            <v>100001085</v>
          </cell>
          <cell r="D99" t="str">
            <v>PFT-253 GREY RAL 7035 VN-16KP</v>
          </cell>
          <cell r="E99" t="str">
            <v>ZFGD</v>
          </cell>
          <cell r="F99" t="str">
            <v>PC</v>
          </cell>
          <cell r="G99" t="str">
            <v>5</v>
          </cell>
          <cell r="H99" t="str">
            <v>PROJECT</v>
          </cell>
          <cell r="I99" t="str">
            <v>56</v>
          </cell>
          <cell r="J99" t="str">
            <v>CPC1</v>
          </cell>
          <cell r="K99" t="str">
            <v>5602</v>
          </cell>
          <cell r="L99" t="str">
            <v>POLYFLOOR</v>
          </cell>
          <cell r="M99" t="str">
            <v>560202</v>
          </cell>
          <cell r="N99" t="str">
            <v>POLYFLOOR EPOXY</v>
          </cell>
        </row>
        <row r="100">
          <cell r="C100" t="str">
            <v>100001086</v>
          </cell>
          <cell r="D100" t="str">
            <v>PFT-253 GREY RAL 7035 VN-5KS</v>
          </cell>
          <cell r="E100" t="str">
            <v>ZFGD</v>
          </cell>
          <cell r="F100" t="str">
            <v>SET</v>
          </cell>
          <cell r="G100" t="str">
            <v>5</v>
          </cell>
          <cell r="H100" t="str">
            <v>PROJECT</v>
          </cell>
          <cell r="I100" t="str">
            <v>56</v>
          </cell>
          <cell r="J100" t="str">
            <v>CPC1</v>
          </cell>
          <cell r="K100" t="str">
            <v>5602</v>
          </cell>
          <cell r="L100" t="str">
            <v>POLYFLOOR</v>
          </cell>
          <cell r="M100" t="str">
            <v>560202</v>
          </cell>
          <cell r="N100" t="str">
            <v>POLYFLOOR EPOXY</v>
          </cell>
        </row>
        <row r="101">
          <cell r="C101" t="str">
            <v>100001087</v>
          </cell>
          <cell r="D101" t="str">
            <v>PFT-253 GREY RAL 7035 VN-4K</v>
          </cell>
          <cell r="E101" t="str">
            <v>ZFGD</v>
          </cell>
          <cell r="F101" t="str">
            <v>PC</v>
          </cell>
          <cell r="G101" t="str">
            <v>5</v>
          </cell>
          <cell r="H101" t="str">
            <v>PROJECT</v>
          </cell>
          <cell r="I101" t="str">
            <v>56</v>
          </cell>
          <cell r="J101" t="str">
            <v>CPC1</v>
          </cell>
          <cell r="K101" t="str">
            <v>5602</v>
          </cell>
          <cell r="L101" t="str">
            <v>POLYFLOOR</v>
          </cell>
          <cell r="M101" t="str">
            <v>560202</v>
          </cell>
          <cell r="N101" t="str">
            <v>POLYFLOOR EPOXY</v>
          </cell>
        </row>
        <row r="102">
          <cell r="C102" t="str">
            <v>100001088</v>
          </cell>
          <cell r="D102" t="str">
            <v>PFT-253 BLUE RAL 5015 VN-20KSP</v>
          </cell>
          <cell r="E102" t="str">
            <v>ZFGD</v>
          </cell>
          <cell r="F102" t="str">
            <v>SET</v>
          </cell>
          <cell r="G102" t="str">
            <v>5</v>
          </cell>
          <cell r="H102" t="str">
            <v>PROJECT</v>
          </cell>
          <cell r="I102" t="str">
            <v>56</v>
          </cell>
          <cell r="J102" t="str">
            <v>CPC1</v>
          </cell>
          <cell r="K102" t="str">
            <v>5602</v>
          </cell>
          <cell r="L102" t="str">
            <v>POLYFLOOR</v>
          </cell>
          <cell r="M102" t="str">
            <v>560202</v>
          </cell>
          <cell r="N102" t="str">
            <v>POLYFLOOR EPOXY</v>
          </cell>
        </row>
        <row r="103">
          <cell r="C103" t="str">
            <v>100001089</v>
          </cell>
          <cell r="D103" t="str">
            <v>PFT-253 BLUE RAL 5015 VN-16KP</v>
          </cell>
          <cell r="E103" t="str">
            <v>ZFGD</v>
          </cell>
          <cell r="F103" t="str">
            <v>PC</v>
          </cell>
          <cell r="G103" t="str">
            <v>5</v>
          </cell>
          <cell r="H103" t="str">
            <v>PROJECT</v>
          </cell>
          <cell r="I103" t="str">
            <v>56</v>
          </cell>
          <cell r="J103" t="str">
            <v>CPC1</v>
          </cell>
          <cell r="K103" t="str">
            <v>5602</v>
          </cell>
          <cell r="L103" t="str">
            <v>POLYFLOOR</v>
          </cell>
          <cell r="M103" t="str">
            <v>560202</v>
          </cell>
          <cell r="N103" t="str">
            <v>POLYFLOOR EPOXY</v>
          </cell>
        </row>
        <row r="104">
          <cell r="C104" t="str">
            <v>100001090</v>
          </cell>
          <cell r="D104" t="str">
            <v>PFT-253 BLUE RAL 5015 VN-5KS</v>
          </cell>
          <cell r="E104" t="str">
            <v>ZFGD</v>
          </cell>
          <cell r="F104" t="str">
            <v>SET</v>
          </cell>
          <cell r="G104" t="str">
            <v>5</v>
          </cell>
          <cell r="H104" t="str">
            <v>PROJECT</v>
          </cell>
          <cell r="I104" t="str">
            <v>56</v>
          </cell>
          <cell r="J104" t="str">
            <v>CPC1</v>
          </cell>
          <cell r="K104" t="str">
            <v>5602</v>
          </cell>
          <cell r="L104" t="str">
            <v>POLYFLOOR</v>
          </cell>
          <cell r="M104" t="str">
            <v>560202</v>
          </cell>
          <cell r="N104" t="str">
            <v>POLYFLOOR EPOXY</v>
          </cell>
        </row>
        <row r="105">
          <cell r="C105" t="str">
            <v>100001091</v>
          </cell>
          <cell r="D105" t="str">
            <v>PFT-253 BLUE RAL 5015 VN-4K</v>
          </cell>
          <cell r="E105" t="str">
            <v>ZFGD</v>
          </cell>
          <cell r="F105" t="str">
            <v>PC</v>
          </cell>
          <cell r="G105" t="str">
            <v>5</v>
          </cell>
          <cell r="H105" t="str">
            <v>PROJECT</v>
          </cell>
          <cell r="I105" t="str">
            <v>56</v>
          </cell>
          <cell r="J105" t="str">
            <v>CPC1</v>
          </cell>
          <cell r="K105" t="str">
            <v>5602</v>
          </cell>
          <cell r="L105" t="str">
            <v>POLYFLOOR</v>
          </cell>
          <cell r="M105" t="str">
            <v>560202</v>
          </cell>
          <cell r="N105" t="str">
            <v>POLYFLOOR EPOXY</v>
          </cell>
        </row>
        <row r="106">
          <cell r="C106" t="str">
            <v>100001092</v>
          </cell>
          <cell r="D106" t="str">
            <v>PFT-253 GREEN RAL 6019 VN-20KSP</v>
          </cell>
          <cell r="E106" t="str">
            <v>ZFGD</v>
          </cell>
          <cell r="F106" t="str">
            <v>SET</v>
          </cell>
          <cell r="G106" t="str">
            <v>5</v>
          </cell>
          <cell r="H106" t="str">
            <v>PROJECT</v>
          </cell>
          <cell r="I106" t="str">
            <v>56</v>
          </cell>
          <cell r="J106" t="str">
            <v>CPC1</v>
          </cell>
          <cell r="K106" t="str">
            <v>5602</v>
          </cell>
          <cell r="L106" t="str">
            <v>POLYFLOOR</v>
          </cell>
          <cell r="M106" t="str">
            <v>560202</v>
          </cell>
          <cell r="N106" t="str">
            <v>POLYFLOOR EPOXY</v>
          </cell>
        </row>
        <row r="107">
          <cell r="C107" t="str">
            <v>100001093</v>
          </cell>
          <cell r="D107" t="str">
            <v>PFT-253 GREEN RAL 6019 VN-16KP</v>
          </cell>
          <cell r="E107" t="str">
            <v>ZFGD</v>
          </cell>
          <cell r="F107" t="str">
            <v>PC</v>
          </cell>
          <cell r="G107" t="str">
            <v>5</v>
          </cell>
          <cell r="H107" t="str">
            <v>PROJECT</v>
          </cell>
          <cell r="I107" t="str">
            <v>56</v>
          </cell>
          <cell r="J107" t="str">
            <v>CPC1</v>
          </cell>
          <cell r="K107" t="str">
            <v>5602</v>
          </cell>
          <cell r="L107" t="str">
            <v>POLYFLOOR</v>
          </cell>
          <cell r="M107" t="str">
            <v>560202</v>
          </cell>
          <cell r="N107" t="str">
            <v>POLYFLOOR EPOXY</v>
          </cell>
        </row>
        <row r="108">
          <cell r="C108" t="str">
            <v>100001094</v>
          </cell>
          <cell r="D108" t="str">
            <v>PFT-253 GREEN RAL 6019 VN-5KS</v>
          </cell>
          <cell r="E108" t="str">
            <v>ZFGD</v>
          </cell>
          <cell r="F108" t="str">
            <v>SET</v>
          </cell>
          <cell r="G108" t="str">
            <v>5</v>
          </cell>
          <cell r="H108" t="str">
            <v>PROJECT</v>
          </cell>
          <cell r="I108" t="str">
            <v>56</v>
          </cell>
          <cell r="J108" t="str">
            <v>CPC1</v>
          </cell>
          <cell r="K108" t="str">
            <v>5602</v>
          </cell>
          <cell r="L108" t="str">
            <v>POLYFLOOR</v>
          </cell>
          <cell r="M108" t="str">
            <v>560202</v>
          </cell>
          <cell r="N108" t="str">
            <v>POLYFLOOR EPOXY</v>
          </cell>
        </row>
        <row r="109">
          <cell r="C109" t="str">
            <v>100001095</v>
          </cell>
          <cell r="D109" t="str">
            <v>PFT-253 GREEN RAL 6019 VN-4K</v>
          </cell>
          <cell r="E109" t="str">
            <v>ZFGD</v>
          </cell>
          <cell r="F109" t="str">
            <v>PC</v>
          </cell>
          <cell r="G109" t="str">
            <v>5</v>
          </cell>
          <cell r="H109" t="str">
            <v>PROJECT</v>
          </cell>
          <cell r="I109" t="str">
            <v>56</v>
          </cell>
          <cell r="J109" t="str">
            <v>CPC1</v>
          </cell>
          <cell r="K109" t="str">
            <v>5602</v>
          </cell>
          <cell r="L109" t="str">
            <v>POLYFLOOR</v>
          </cell>
          <cell r="M109" t="str">
            <v>560202</v>
          </cell>
          <cell r="N109" t="str">
            <v>POLYFLOOR EPOXY</v>
          </cell>
        </row>
        <row r="110">
          <cell r="C110" t="str">
            <v>100001096</v>
          </cell>
          <cell r="D110" t="str">
            <v>PFT-253 TRAFFIC YELLOW VN-20KSP</v>
          </cell>
          <cell r="E110" t="str">
            <v>ZFGD</v>
          </cell>
          <cell r="F110" t="str">
            <v>SET</v>
          </cell>
          <cell r="G110" t="str">
            <v>5</v>
          </cell>
          <cell r="H110" t="str">
            <v>PROJECT</v>
          </cell>
          <cell r="I110" t="str">
            <v>56</v>
          </cell>
          <cell r="J110" t="str">
            <v>CPC1</v>
          </cell>
          <cell r="K110" t="str">
            <v>5602</v>
          </cell>
          <cell r="L110" t="str">
            <v>POLYFLOOR</v>
          </cell>
          <cell r="M110" t="str">
            <v>560202</v>
          </cell>
          <cell r="N110" t="str">
            <v>POLYFLOOR EPOXY</v>
          </cell>
        </row>
        <row r="111">
          <cell r="C111" t="str">
            <v>100001097</v>
          </cell>
          <cell r="D111" t="str">
            <v>PFT-253 TRAFFIC YELLOW VN-16KP</v>
          </cell>
          <cell r="E111" t="str">
            <v>ZFGD</v>
          </cell>
          <cell r="F111" t="str">
            <v>PC</v>
          </cell>
          <cell r="G111" t="str">
            <v>5</v>
          </cell>
          <cell r="H111" t="str">
            <v>PROJECT</v>
          </cell>
          <cell r="I111" t="str">
            <v>56</v>
          </cell>
          <cell r="J111" t="str">
            <v>CPC1</v>
          </cell>
          <cell r="K111" t="str">
            <v>5602</v>
          </cell>
          <cell r="L111" t="str">
            <v>POLYFLOOR</v>
          </cell>
          <cell r="M111" t="str">
            <v>560202</v>
          </cell>
          <cell r="N111" t="str">
            <v>POLYFLOOR EPOXY</v>
          </cell>
        </row>
        <row r="112">
          <cell r="C112" t="str">
            <v>100001098</v>
          </cell>
          <cell r="D112" t="str">
            <v>PFT-253 TRAFFIC YELLOW VN-5KS</v>
          </cell>
          <cell r="E112" t="str">
            <v>ZFGD</v>
          </cell>
          <cell r="F112" t="str">
            <v>SET</v>
          </cell>
          <cell r="G112" t="str">
            <v>5</v>
          </cell>
          <cell r="H112" t="str">
            <v>PROJECT</v>
          </cell>
          <cell r="I112" t="str">
            <v>56</v>
          </cell>
          <cell r="J112" t="str">
            <v>CPC1</v>
          </cell>
          <cell r="K112" t="str">
            <v>5602</v>
          </cell>
          <cell r="L112" t="str">
            <v>POLYFLOOR</v>
          </cell>
          <cell r="M112" t="str">
            <v>560202</v>
          </cell>
          <cell r="N112" t="str">
            <v>POLYFLOOR EPOXY</v>
          </cell>
        </row>
        <row r="113">
          <cell r="C113" t="str">
            <v>100001099</v>
          </cell>
          <cell r="D113" t="str">
            <v>PFT-253 TRAFFIC YELLOW VN-4K</v>
          </cell>
          <cell r="E113" t="str">
            <v>ZFGD</v>
          </cell>
          <cell r="F113" t="str">
            <v>PC</v>
          </cell>
          <cell r="G113" t="str">
            <v>5</v>
          </cell>
          <cell r="H113" t="str">
            <v>PROJECT</v>
          </cell>
          <cell r="I113" t="str">
            <v>56</v>
          </cell>
          <cell r="J113" t="str">
            <v>CPC1</v>
          </cell>
          <cell r="K113" t="str">
            <v>5602</v>
          </cell>
          <cell r="L113" t="str">
            <v>POLYFLOOR</v>
          </cell>
          <cell r="M113" t="str">
            <v>560202</v>
          </cell>
          <cell r="N113" t="str">
            <v>POLYFLOOR EPOXY</v>
          </cell>
        </row>
        <row r="114">
          <cell r="C114" t="str">
            <v>100001100</v>
          </cell>
          <cell r="D114" t="str">
            <v>PFT-253 GREEN AT VN-20KSP</v>
          </cell>
          <cell r="E114" t="str">
            <v>ZFGD</v>
          </cell>
          <cell r="F114" t="str">
            <v>SET</v>
          </cell>
          <cell r="G114" t="str">
            <v>5</v>
          </cell>
          <cell r="H114" t="str">
            <v>PROJECT</v>
          </cell>
          <cell r="I114" t="str">
            <v>56</v>
          </cell>
          <cell r="J114" t="str">
            <v>CPC1</v>
          </cell>
          <cell r="K114" t="str">
            <v>5602</v>
          </cell>
          <cell r="L114" t="str">
            <v>POLYFLOOR</v>
          </cell>
          <cell r="M114" t="str">
            <v>560202</v>
          </cell>
          <cell r="N114" t="str">
            <v>POLYFLOOR EPOXY</v>
          </cell>
        </row>
        <row r="115">
          <cell r="C115" t="str">
            <v>100001101</v>
          </cell>
          <cell r="D115" t="str">
            <v>PFT-253 GREEN AT VN-16KP</v>
          </cell>
          <cell r="E115" t="str">
            <v>ZFGD</v>
          </cell>
          <cell r="F115" t="str">
            <v>PC</v>
          </cell>
          <cell r="G115" t="str">
            <v>5</v>
          </cell>
          <cell r="H115" t="str">
            <v>PROJECT</v>
          </cell>
          <cell r="I115" t="str">
            <v>56</v>
          </cell>
          <cell r="J115" t="str">
            <v>CPC1</v>
          </cell>
          <cell r="K115" t="str">
            <v>5602</v>
          </cell>
          <cell r="L115" t="str">
            <v>POLYFLOOR</v>
          </cell>
          <cell r="M115" t="str">
            <v>560202</v>
          </cell>
          <cell r="N115" t="str">
            <v>POLYFLOOR EPOXY</v>
          </cell>
        </row>
        <row r="116">
          <cell r="C116" t="str">
            <v>100001102</v>
          </cell>
          <cell r="D116" t="str">
            <v>PFT-253 GREEN AT VN-5KS</v>
          </cell>
          <cell r="E116" t="str">
            <v>ZFGD</v>
          </cell>
          <cell r="F116" t="str">
            <v>SET</v>
          </cell>
          <cell r="G116" t="str">
            <v>5</v>
          </cell>
          <cell r="H116" t="str">
            <v>PROJECT</v>
          </cell>
          <cell r="I116" t="str">
            <v>56</v>
          </cell>
          <cell r="J116" t="str">
            <v>CPC1</v>
          </cell>
          <cell r="K116" t="str">
            <v>5602</v>
          </cell>
          <cell r="L116" t="str">
            <v>POLYFLOOR</v>
          </cell>
          <cell r="M116" t="str">
            <v>560202</v>
          </cell>
          <cell r="N116" t="str">
            <v>POLYFLOOR EPOXY</v>
          </cell>
        </row>
        <row r="117">
          <cell r="C117" t="str">
            <v>100001103</v>
          </cell>
          <cell r="D117" t="str">
            <v>PFT-253 GREEN AT VN-4K</v>
          </cell>
          <cell r="E117" t="str">
            <v>ZFGD</v>
          </cell>
          <cell r="F117" t="str">
            <v>PC</v>
          </cell>
          <cell r="G117" t="str">
            <v>5</v>
          </cell>
          <cell r="H117" t="str">
            <v>PROJECT</v>
          </cell>
          <cell r="I117" t="str">
            <v>56</v>
          </cell>
          <cell r="J117" t="str">
            <v>CPC1</v>
          </cell>
          <cell r="K117" t="str">
            <v>5602</v>
          </cell>
          <cell r="L117" t="str">
            <v>POLYFLOOR</v>
          </cell>
          <cell r="M117" t="str">
            <v>560202</v>
          </cell>
          <cell r="N117" t="str">
            <v>POLYFLOOR EPOXY</v>
          </cell>
        </row>
        <row r="118">
          <cell r="C118" t="str">
            <v>100001104</v>
          </cell>
          <cell r="D118" t="str">
            <v>PFT-253 DARK GREEN MH 02 VN-20KSP</v>
          </cell>
          <cell r="E118" t="str">
            <v>ZFGD</v>
          </cell>
          <cell r="F118" t="str">
            <v>SET</v>
          </cell>
          <cell r="G118" t="str">
            <v>5</v>
          </cell>
          <cell r="H118" t="str">
            <v>PROJECT</v>
          </cell>
          <cell r="I118" t="str">
            <v>56</v>
          </cell>
          <cell r="J118" t="str">
            <v>CPC1</v>
          </cell>
          <cell r="K118" t="str">
            <v>5602</v>
          </cell>
          <cell r="L118" t="str">
            <v>POLYFLOOR</v>
          </cell>
          <cell r="M118" t="str">
            <v>560202</v>
          </cell>
          <cell r="N118" t="str">
            <v>POLYFLOOR EPOXY</v>
          </cell>
        </row>
        <row r="119">
          <cell r="C119" t="str">
            <v>100001105</v>
          </cell>
          <cell r="D119" t="str">
            <v>PFT-253 DARK GREEN MH 02 VN-16K</v>
          </cell>
          <cell r="E119" t="str">
            <v>ZFGD</v>
          </cell>
          <cell r="F119" t="str">
            <v>PC</v>
          </cell>
          <cell r="G119" t="str">
            <v>5</v>
          </cell>
          <cell r="H119" t="str">
            <v>PROJECT</v>
          </cell>
          <cell r="I119" t="str">
            <v>56</v>
          </cell>
          <cell r="J119" t="str">
            <v>CPC1</v>
          </cell>
          <cell r="K119" t="str">
            <v>5602</v>
          </cell>
          <cell r="L119" t="str">
            <v>POLYFLOOR</v>
          </cell>
          <cell r="M119" t="str">
            <v>560202</v>
          </cell>
          <cell r="N119" t="str">
            <v>POLYFLOOR EPOXY</v>
          </cell>
        </row>
        <row r="120">
          <cell r="C120" t="str">
            <v>100001106</v>
          </cell>
          <cell r="D120" t="str">
            <v>PFT-253 DARK GREEN MH 02 VN-5KS</v>
          </cell>
          <cell r="E120" t="str">
            <v>ZFGD</v>
          </cell>
          <cell r="F120" t="str">
            <v>SET</v>
          </cell>
          <cell r="G120" t="str">
            <v>5</v>
          </cell>
          <cell r="H120" t="str">
            <v>PROJECT</v>
          </cell>
          <cell r="I120" t="str">
            <v>56</v>
          </cell>
          <cell r="J120" t="str">
            <v>CPC1</v>
          </cell>
          <cell r="K120" t="str">
            <v>5602</v>
          </cell>
          <cell r="L120" t="str">
            <v>POLYFLOOR</v>
          </cell>
          <cell r="M120" t="str">
            <v>560202</v>
          </cell>
          <cell r="N120" t="str">
            <v>POLYFLOOR EPOXY</v>
          </cell>
        </row>
        <row r="121">
          <cell r="C121" t="str">
            <v>100001107</v>
          </cell>
          <cell r="D121" t="str">
            <v>PFT-253 DARK GREEN MH 02 VN-4K</v>
          </cell>
          <cell r="E121" t="str">
            <v>ZFGD</v>
          </cell>
          <cell r="F121" t="str">
            <v>PC</v>
          </cell>
          <cell r="G121" t="str">
            <v>5</v>
          </cell>
          <cell r="H121" t="str">
            <v>PROJECT</v>
          </cell>
          <cell r="I121" t="str">
            <v>56</v>
          </cell>
          <cell r="J121" t="str">
            <v>CPC1</v>
          </cell>
          <cell r="K121" t="str">
            <v>5602</v>
          </cell>
          <cell r="L121" t="str">
            <v>POLYFLOOR</v>
          </cell>
          <cell r="M121" t="str">
            <v>560202</v>
          </cell>
          <cell r="N121" t="str">
            <v>POLYFLOOR EPOXY</v>
          </cell>
        </row>
        <row r="122">
          <cell r="C122" t="str">
            <v>100001108</v>
          </cell>
          <cell r="D122" t="str">
            <v>PFT-253 DARK GREEN MH 03 VN-20KSP</v>
          </cell>
          <cell r="E122" t="str">
            <v>ZFGD</v>
          </cell>
          <cell r="F122" t="str">
            <v>SET</v>
          </cell>
          <cell r="G122" t="str">
            <v>5</v>
          </cell>
          <cell r="H122" t="str">
            <v>PROJECT</v>
          </cell>
          <cell r="I122" t="str">
            <v>56</v>
          </cell>
          <cell r="J122" t="str">
            <v>CPC1</v>
          </cell>
          <cell r="K122" t="str">
            <v>5602</v>
          </cell>
          <cell r="L122" t="str">
            <v>POLYFLOOR</v>
          </cell>
          <cell r="M122" t="str">
            <v>560202</v>
          </cell>
          <cell r="N122" t="str">
            <v>POLYFLOOR EPOXY</v>
          </cell>
        </row>
        <row r="123">
          <cell r="C123" t="str">
            <v>100001109</v>
          </cell>
          <cell r="D123" t="str">
            <v>PFT-253 DARK GREEN MH 03 VN-16KP</v>
          </cell>
          <cell r="E123" t="str">
            <v>ZFGD</v>
          </cell>
          <cell r="F123" t="str">
            <v>PC</v>
          </cell>
          <cell r="G123" t="str">
            <v>5</v>
          </cell>
          <cell r="H123" t="str">
            <v>PROJECT</v>
          </cell>
          <cell r="I123" t="str">
            <v>56</v>
          </cell>
          <cell r="J123" t="str">
            <v>CPC1</v>
          </cell>
          <cell r="K123" t="str">
            <v>5602</v>
          </cell>
          <cell r="L123" t="str">
            <v>POLYFLOOR</v>
          </cell>
          <cell r="M123" t="str">
            <v>560202</v>
          </cell>
          <cell r="N123" t="str">
            <v>POLYFLOOR EPOXY</v>
          </cell>
        </row>
        <row r="124">
          <cell r="C124" t="str">
            <v>100001110</v>
          </cell>
          <cell r="D124" t="str">
            <v>PFT-253 DARK GREEN MH 03 VN-5KS</v>
          </cell>
          <cell r="E124" t="str">
            <v>ZFGD</v>
          </cell>
          <cell r="F124" t="str">
            <v>SET</v>
          </cell>
          <cell r="G124" t="str">
            <v>5</v>
          </cell>
          <cell r="H124" t="str">
            <v>PROJECT</v>
          </cell>
          <cell r="I124" t="str">
            <v>56</v>
          </cell>
          <cell r="J124" t="str">
            <v>CPC1</v>
          </cell>
          <cell r="K124" t="str">
            <v>5602</v>
          </cell>
          <cell r="L124" t="str">
            <v>POLYFLOOR</v>
          </cell>
          <cell r="M124" t="str">
            <v>560202</v>
          </cell>
          <cell r="N124" t="str">
            <v>POLYFLOOR EPOXY</v>
          </cell>
        </row>
        <row r="125">
          <cell r="C125" t="str">
            <v>100001111</v>
          </cell>
          <cell r="D125" t="str">
            <v>PFT-253 DARK GREEN MH 03 VN-4K</v>
          </cell>
          <cell r="E125" t="str">
            <v>ZFGD</v>
          </cell>
          <cell r="F125" t="str">
            <v>PC</v>
          </cell>
          <cell r="G125" t="str">
            <v>5</v>
          </cell>
          <cell r="H125" t="str">
            <v>PROJECT</v>
          </cell>
          <cell r="I125" t="str">
            <v>56</v>
          </cell>
          <cell r="J125" t="str">
            <v>CPC1</v>
          </cell>
          <cell r="K125" t="str">
            <v>5602</v>
          </cell>
          <cell r="L125" t="str">
            <v>POLYFLOOR</v>
          </cell>
          <cell r="M125" t="str">
            <v>560202</v>
          </cell>
          <cell r="N125" t="str">
            <v>POLYFLOOR EPOXY</v>
          </cell>
        </row>
        <row r="126">
          <cell r="C126" t="str">
            <v>100001112</v>
          </cell>
          <cell r="D126" t="str">
            <v>PFT-253 BLUE DKH 01 VN-20KSP</v>
          </cell>
          <cell r="E126" t="str">
            <v>ZFGD</v>
          </cell>
          <cell r="F126" t="str">
            <v>SET</v>
          </cell>
          <cell r="G126" t="str">
            <v>5</v>
          </cell>
          <cell r="H126" t="str">
            <v>PROJECT</v>
          </cell>
          <cell r="I126" t="str">
            <v>56</v>
          </cell>
          <cell r="J126" t="str">
            <v>CPC1</v>
          </cell>
          <cell r="K126" t="str">
            <v>5602</v>
          </cell>
          <cell r="L126" t="str">
            <v>POLYFLOOR</v>
          </cell>
          <cell r="M126" t="str">
            <v>560202</v>
          </cell>
          <cell r="N126" t="str">
            <v>POLYFLOOR EPOXY</v>
          </cell>
        </row>
        <row r="127">
          <cell r="C127" t="str">
            <v>100001113</v>
          </cell>
          <cell r="D127" t="str">
            <v>PFT-253 BLUE DKH 01 VN-16KP</v>
          </cell>
          <cell r="E127" t="str">
            <v>ZFGD</v>
          </cell>
          <cell r="F127" t="str">
            <v>PC</v>
          </cell>
          <cell r="G127" t="str">
            <v>5</v>
          </cell>
          <cell r="H127" t="str">
            <v>PROJECT</v>
          </cell>
          <cell r="I127" t="str">
            <v>56</v>
          </cell>
          <cell r="J127" t="str">
            <v>CPC1</v>
          </cell>
          <cell r="K127" t="str">
            <v>5602</v>
          </cell>
          <cell r="L127" t="str">
            <v>POLYFLOOR</v>
          </cell>
          <cell r="M127" t="str">
            <v>560202</v>
          </cell>
          <cell r="N127" t="str">
            <v>POLYFLOOR EPOXY</v>
          </cell>
        </row>
        <row r="128">
          <cell r="C128" t="str">
            <v>100001114</v>
          </cell>
          <cell r="D128" t="str">
            <v>PFT-253 BLUE DKH 01 VN-5KS</v>
          </cell>
          <cell r="E128" t="str">
            <v>ZFGD</v>
          </cell>
          <cell r="F128" t="str">
            <v>SET</v>
          </cell>
          <cell r="G128" t="str">
            <v>5</v>
          </cell>
          <cell r="H128" t="str">
            <v>PROJECT</v>
          </cell>
          <cell r="I128" t="str">
            <v>56</v>
          </cell>
          <cell r="J128" t="str">
            <v>CPC1</v>
          </cell>
          <cell r="K128" t="str">
            <v>5602</v>
          </cell>
          <cell r="L128" t="str">
            <v>POLYFLOOR</v>
          </cell>
          <cell r="M128" t="str">
            <v>560202</v>
          </cell>
          <cell r="N128" t="str">
            <v>POLYFLOOR EPOXY</v>
          </cell>
        </row>
        <row r="129">
          <cell r="C129" t="str">
            <v>100001115</v>
          </cell>
          <cell r="D129" t="str">
            <v>PFT-253 BLUE DKH 01 VN-4K</v>
          </cell>
          <cell r="E129" t="str">
            <v>ZFGD</v>
          </cell>
          <cell r="F129" t="str">
            <v>PC</v>
          </cell>
          <cell r="G129" t="str">
            <v>5</v>
          </cell>
          <cell r="H129" t="str">
            <v>PROJECT</v>
          </cell>
          <cell r="I129" t="str">
            <v>56</v>
          </cell>
          <cell r="J129" t="str">
            <v>CPC1</v>
          </cell>
          <cell r="K129" t="str">
            <v>5602</v>
          </cell>
          <cell r="L129" t="str">
            <v>POLYFLOOR</v>
          </cell>
          <cell r="M129" t="str">
            <v>560202</v>
          </cell>
          <cell r="N129" t="str">
            <v>POLYFLOOR EPOXY</v>
          </cell>
        </row>
        <row r="130">
          <cell r="C130" t="str">
            <v>100001116</v>
          </cell>
          <cell r="D130" t="str">
            <v>PFT-253 GREY DRG 115 VN-20KSP</v>
          </cell>
          <cell r="E130" t="str">
            <v>ZFGD</v>
          </cell>
          <cell r="F130" t="str">
            <v>SET</v>
          </cell>
          <cell r="G130" t="str">
            <v>5</v>
          </cell>
          <cell r="H130" t="str">
            <v>PROJECT</v>
          </cell>
          <cell r="I130" t="str">
            <v>56</v>
          </cell>
          <cell r="J130" t="str">
            <v>CPC1</v>
          </cell>
          <cell r="K130" t="str">
            <v>5602</v>
          </cell>
          <cell r="L130" t="str">
            <v>POLYFLOOR</v>
          </cell>
          <cell r="M130" t="str">
            <v>560202</v>
          </cell>
          <cell r="N130" t="str">
            <v>POLYFLOOR EPOXY</v>
          </cell>
        </row>
        <row r="131">
          <cell r="C131" t="str">
            <v>100001117</v>
          </cell>
          <cell r="D131" t="str">
            <v>PFT-253 GREY DRG 115 VN-16KP</v>
          </cell>
          <cell r="E131" t="str">
            <v>ZFGD</v>
          </cell>
          <cell r="F131" t="str">
            <v>PC</v>
          </cell>
          <cell r="G131" t="str">
            <v>5</v>
          </cell>
          <cell r="H131" t="str">
            <v>PROJECT</v>
          </cell>
          <cell r="I131" t="str">
            <v>56</v>
          </cell>
          <cell r="J131" t="str">
            <v>CPC1</v>
          </cell>
          <cell r="K131" t="str">
            <v>5602</v>
          </cell>
          <cell r="L131" t="str">
            <v>POLYFLOOR</v>
          </cell>
          <cell r="M131" t="str">
            <v>560202</v>
          </cell>
          <cell r="N131" t="str">
            <v>POLYFLOOR EPOXY</v>
          </cell>
        </row>
        <row r="132">
          <cell r="C132" t="str">
            <v>100001118</v>
          </cell>
          <cell r="D132" t="str">
            <v>PFT-253 GREY DRG 115 VN-5KS</v>
          </cell>
          <cell r="E132" t="str">
            <v>ZFGD</v>
          </cell>
          <cell r="F132" t="str">
            <v>SET</v>
          </cell>
          <cell r="G132" t="str">
            <v>5</v>
          </cell>
          <cell r="H132" t="str">
            <v>PROJECT</v>
          </cell>
          <cell r="I132" t="str">
            <v>56</v>
          </cell>
          <cell r="J132" t="str">
            <v>CPC1</v>
          </cell>
          <cell r="K132" t="str">
            <v>5602</v>
          </cell>
          <cell r="L132" t="str">
            <v>POLYFLOOR</v>
          </cell>
          <cell r="M132" t="str">
            <v>560202</v>
          </cell>
          <cell r="N132" t="str">
            <v>POLYFLOOR EPOXY</v>
          </cell>
        </row>
        <row r="133">
          <cell r="C133" t="str">
            <v>100001119</v>
          </cell>
          <cell r="D133" t="str">
            <v>PFT-253 GREY DRG 115 VN-4K</v>
          </cell>
          <cell r="E133" t="str">
            <v>ZFGD</v>
          </cell>
          <cell r="F133" t="str">
            <v>PC</v>
          </cell>
          <cell r="G133" t="str">
            <v>5</v>
          </cell>
          <cell r="H133" t="str">
            <v>PROJECT</v>
          </cell>
          <cell r="I133" t="str">
            <v>56</v>
          </cell>
          <cell r="J133" t="str">
            <v>CPC1</v>
          </cell>
          <cell r="K133" t="str">
            <v>5602</v>
          </cell>
          <cell r="L133" t="str">
            <v>POLYFLOOR</v>
          </cell>
          <cell r="M133" t="str">
            <v>560202</v>
          </cell>
          <cell r="N133" t="str">
            <v>POLYFLOOR EPOXY</v>
          </cell>
        </row>
        <row r="134">
          <cell r="C134" t="str">
            <v>100001120</v>
          </cell>
          <cell r="D134" t="str">
            <v>PFT-253 SGT LIGHT GREY VN-20KSP</v>
          </cell>
          <cell r="E134" t="str">
            <v>ZFGD</v>
          </cell>
          <cell r="F134" t="str">
            <v>SET</v>
          </cell>
          <cell r="G134" t="str">
            <v>5</v>
          </cell>
          <cell r="H134" t="str">
            <v>PROJECT</v>
          </cell>
          <cell r="I134" t="str">
            <v>56</v>
          </cell>
          <cell r="J134" t="str">
            <v>CPC1</v>
          </cell>
          <cell r="K134" t="str">
            <v>5602</v>
          </cell>
          <cell r="L134" t="str">
            <v>POLYFLOOR</v>
          </cell>
          <cell r="M134" t="str">
            <v>560202</v>
          </cell>
          <cell r="N134" t="str">
            <v>POLYFLOOR EPOXY</v>
          </cell>
        </row>
        <row r="135">
          <cell r="C135" t="str">
            <v>100001121</v>
          </cell>
          <cell r="D135" t="str">
            <v>PFT-253 SGT LIGHT GREY VN-16KP</v>
          </cell>
          <cell r="E135" t="str">
            <v>ZFGD</v>
          </cell>
          <cell r="F135" t="str">
            <v>PC</v>
          </cell>
          <cell r="G135" t="str">
            <v>5</v>
          </cell>
          <cell r="H135" t="str">
            <v>PROJECT</v>
          </cell>
          <cell r="I135" t="str">
            <v>56</v>
          </cell>
          <cell r="J135" t="str">
            <v>CPC1</v>
          </cell>
          <cell r="K135" t="str">
            <v>5602</v>
          </cell>
          <cell r="L135" t="str">
            <v>POLYFLOOR</v>
          </cell>
          <cell r="M135" t="str">
            <v>560202</v>
          </cell>
          <cell r="N135" t="str">
            <v>POLYFLOOR EPOXY</v>
          </cell>
        </row>
        <row r="136">
          <cell r="C136" t="str">
            <v>100001122</v>
          </cell>
          <cell r="D136" t="str">
            <v>PFT-253 SGT LIGHT GREY VN-5KS</v>
          </cell>
          <cell r="E136" t="str">
            <v>ZFGD</v>
          </cell>
          <cell r="F136" t="str">
            <v>SET</v>
          </cell>
          <cell r="G136" t="str">
            <v>5</v>
          </cell>
          <cell r="H136" t="str">
            <v>PROJECT</v>
          </cell>
          <cell r="I136" t="str">
            <v>56</v>
          </cell>
          <cell r="J136" t="str">
            <v>CPC1</v>
          </cell>
          <cell r="K136" t="str">
            <v>5602</v>
          </cell>
          <cell r="L136" t="str">
            <v>POLYFLOOR</v>
          </cell>
          <cell r="M136" t="str">
            <v>560202</v>
          </cell>
          <cell r="N136" t="str">
            <v>POLYFLOOR EPOXY</v>
          </cell>
        </row>
        <row r="137">
          <cell r="C137" t="str">
            <v>100001123</v>
          </cell>
          <cell r="D137" t="str">
            <v>PFT-253 SGT LIGHT GREY VN-4K</v>
          </cell>
          <cell r="E137" t="str">
            <v>ZFGD</v>
          </cell>
          <cell r="F137" t="str">
            <v>PC</v>
          </cell>
          <cell r="G137" t="str">
            <v>5</v>
          </cell>
          <cell r="H137" t="str">
            <v>PROJECT</v>
          </cell>
          <cell r="I137" t="str">
            <v>56</v>
          </cell>
          <cell r="J137" t="str">
            <v>CPC1</v>
          </cell>
          <cell r="K137" t="str">
            <v>5602</v>
          </cell>
          <cell r="L137" t="str">
            <v>POLYFLOOR</v>
          </cell>
          <cell r="M137" t="str">
            <v>560202</v>
          </cell>
          <cell r="N137" t="str">
            <v>POLYFLOOR EPOXY</v>
          </cell>
        </row>
        <row r="138">
          <cell r="C138" t="str">
            <v>100001124</v>
          </cell>
          <cell r="D138" t="str">
            <v>PFT-253 GREEN RAL 6027 VN-20KSP</v>
          </cell>
          <cell r="E138" t="str">
            <v>ZFGD</v>
          </cell>
          <cell r="F138" t="str">
            <v>SET</v>
          </cell>
          <cell r="G138" t="str">
            <v>5</v>
          </cell>
          <cell r="H138" t="str">
            <v>PROJECT</v>
          </cell>
          <cell r="I138" t="str">
            <v>56</v>
          </cell>
          <cell r="J138" t="str">
            <v>CPC1</v>
          </cell>
          <cell r="K138" t="str">
            <v>5602</v>
          </cell>
          <cell r="L138" t="str">
            <v>POLYFLOOR</v>
          </cell>
          <cell r="M138" t="str">
            <v>560202</v>
          </cell>
          <cell r="N138" t="str">
            <v>POLYFLOOR EPOXY</v>
          </cell>
        </row>
        <row r="139">
          <cell r="C139" t="str">
            <v>100001125</v>
          </cell>
          <cell r="D139" t="str">
            <v>PFT-253 GREEN RAL 6027 VN-16KP</v>
          </cell>
          <cell r="E139" t="str">
            <v>ZFGD</v>
          </cell>
          <cell r="F139" t="str">
            <v>PC</v>
          </cell>
          <cell r="G139" t="str">
            <v>5</v>
          </cell>
          <cell r="H139" t="str">
            <v>PROJECT</v>
          </cell>
          <cell r="I139" t="str">
            <v>56</v>
          </cell>
          <cell r="J139" t="str">
            <v>CPC1</v>
          </cell>
          <cell r="K139" t="str">
            <v>5602</v>
          </cell>
          <cell r="L139" t="str">
            <v>POLYFLOOR</v>
          </cell>
          <cell r="M139" t="str">
            <v>560202</v>
          </cell>
          <cell r="N139" t="str">
            <v>POLYFLOOR EPOXY</v>
          </cell>
        </row>
        <row r="140">
          <cell r="C140" t="str">
            <v>100001126</v>
          </cell>
          <cell r="D140" t="str">
            <v>PFT-253 GREEN RAL 6027 VN-5KS</v>
          </cell>
          <cell r="E140" t="str">
            <v>ZFGD</v>
          </cell>
          <cell r="F140" t="str">
            <v>SET</v>
          </cell>
          <cell r="G140" t="str">
            <v>5</v>
          </cell>
          <cell r="H140" t="str">
            <v>PROJECT</v>
          </cell>
          <cell r="I140" t="str">
            <v>56</v>
          </cell>
          <cell r="J140" t="str">
            <v>CPC1</v>
          </cell>
          <cell r="K140" t="str">
            <v>5602</v>
          </cell>
          <cell r="L140" t="str">
            <v>POLYFLOOR</v>
          </cell>
          <cell r="M140" t="str">
            <v>560202</v>
          </cell>
          <cell r="N140" t="str">
            <v>POLYFLOOR EPOXY</v>
          </cell>
        </row>
        <row r="141">
          <cell r="C141" t="str">
            <v>100001127</v>
          </cell>
          <cell r="D141" t="str">
            <v>PFT-253 GREEN RAL 6027 VN-4K</v>
          </cell>
          <cell r="E141" t="str">
            <v>ZFGD</v>
          </cell>
          <cell r="F141" t="str">
            <v>PC</v>
          </cell>
          <cell r="G141" t="str">
            <v>5</v>
          </cell>
          <cell r="H141" t="str">
            <v>PROJECT</v>
          </cell>
          <cell r="I141" t="str">
            <v>56</v>
          </cell>
          <cell r="J141" t="str">
            <v>CPC1</v>
          </cell>
          <cell r="K141" t="str">
            <v>5602</v>
          </cell>
          <cell r="L141" t="str">
            <v>POLYFLOOR</v>
          </cell>
          <cell r="M141" t="str">
            <v>560202</v>
          </cell>
          <cell r="N141" t="str">
            <v>POLYFLOOR EPOXY</v>
          </cell>
        </row>
        <row r="142">
          <cell r="C142" t="str">
            <v>100001128</v>
          </cell>
          <cell r="D142" t="str">
            <v>PFT-253 BLUE RAL 5017 VN-20KSP</v>
          </cell>
          <cell r="E142" t="str">
            <v>ZFGD</v>
          </cell>
          <cell r="F142" t="str">
            <v>SET</v>
          </cell>
          <cell r="G142" t="str">
            <v>5</v>
          </cell>
          <cell r="H142" t="str">
            <v>PROJECT</v>
          </cell>
          <cell r="I142" t="str">
            <v>56</v>
          </cell>
          <cell r="J142" t="str">
            <v>CPC1</v>
          </cell>
          <cell r="K142" t="str">
            <v>5602</v>
          </cell>
          <cell r="L142" t="str">
            <v>POLYFLOOR</v>
          </cell>
          <cell r="M142" t="str">
            <v>560202</v>
          </cell>
          <cell r="N142" t="str">
            <v>POLYFLOOR EPOXY</v>
          </cell>
        </row>
        <row r="143">
          <cell r="C143" t="str">
            <v>100001129</v>
          </cell>
          <cell r="D143" t="str">
            <v>PFT-253 BLUE RAL 5017 VN-16KP</v>
          </cell>
          <cell r="E143" t="str">
            <v>ZFGD</v>
          </cell>
          <cell r="F143" t="str">
            <v>PC</v>
          </cell>
          <cell r="G143" t="str">
            <v>5</v>
          </cell>
          <cell r="H143" t="str">
            <v>PROJECT</v>
          </cell>
          <cell r="I143" t="str">
            <v>56</v>
          </cell>
          <cell r="J143" t="str">
            <v>CPC1</v>
          </cell>
          <cell r="K143" t="str">
            <v>5602</v>
          </cell>
          <cell r="L143" t="str">
            <v>POLYFLOOR</v>
          </cell>
          <cell r="M143" t="str">
            <v>560202</v>
          </cell>
          <cell r="N143" t="str">
            <v>POLYFLOOR EPOXY</v>
          </cell>
        </row>
        <row r="144">
          <cell r="C144" t="str">
            <v>100001130</v>
          </cell>
          <cell r="D144" t="str">
            <v>PFT-253 BLUE RAL 5017 VN-5KS</v>
          </cell>
          <cell r="E144" t="str">
            <v>ZFGD</v>
          </cell>
          <cell r="F144" t="str">
            <v>SET</v>
          </cell>
          <cell r="G144" t="str">
            <v>5</v>
          </cell>
          <cell r="H144" t="str">
            <v>PROJECT</v>
          </cell>
          <cell r="I144" t="str">
            <v>56</v>
          </cell>
          <cell r="J144" t="str">
            <v>CPC1</v>
          </cell>
          <cell r="K144" t="str">
            <v>5602</v>
          </cell>
          <cell r="L144" t="str">
            <v>POLYFLOOR</v>
          </cell>
          <cell r="M144" t="str">
            <v>560202</v>
          </cell>
          <cell r="N144" t="str">
            <v>POLYFLOOR EPOXY</v>
          </cell>
        </row>
        <row r="145">
          <cell r="C145" t="str">
            <v>100001131</v>
          </cell>
          <cell r="D145" t="str">
            <v>PFT-253 BLUE RAL 5017 VN-4K</v>
          </cell>
          <cell r="E145" t="str">
            <v>ZFGD</v>
          </cell>
          <cell r="F145" t="str">
            <v>PC</v>
          </cell>
          <cell r="G145" t="str">
            <v>5</v>
          </cell>
          <cell r="H145" t="str">
            <v>PROJECT</v>
          </cell>
          <cell r="I145" t="str">
            <v>56</v>
          </cell>
          <cell r="J145" t="str">
            <v>CPC1</v>
          </cell>
          <cell r="K145" t="str">
            <v>5602</v>
          </cell>
          <cell r="L145" t="str">
            <v>POLYFLOOR</v>
          </cell>
          <cell r="M145" t="str">
            <v>560202</v>
          </cell>
          <cell r="N145" t="str">
            <v>POLYFLOOR EPOXY</v>
          </cell>
        </row>
        <row r="146">
          <cell r="C146" t="str">
            <v>100001132</v>
          </cell>
          <cell r="D146" t="str">
            <v>PFT-253 KIA WHITE VN-20KSP</v>
          </cell>
          <cell r="E146" t="str">
            <v>ZFGD</v>
          </cell>
          <cell r="F146" t="str">
            <v>SET</v>
          </cell>
          <cell r="G146" t="str">
            <v>5</v>
          </cell>
          <cell r="H146" t="str">
            <v>PROJECT</v>
          </cell>
          <cell r="I146" t="str">
            <v>56</v>
          </cell>
          <cell r="J146" t="str">
            <v>CPC1</v>
          </cell>
          <cell r="K146" t="str">
            <v>5602</v>
          </cell>
          <cell r="L146" t="str">
            <v>POLYFLOOR</v>
          </cell>
          <cell r="M146" t="str">
            <v>560202</v>
          </cell>
          <cell r="N146" t="str">
            <v>POLYFLOOR EPOXY</v>
          </cell>
        </row>
        <row r="147">
          <cell r="C147" t="str">
            <v>100001133</v>
          </cell>
          <cell r="D147" t="str">
            <v>PFT-253 KIA WHITE VN-16KP</v>
          </cell>
          <cell r="E147" t="str">
            <v>ZFGD</v>
          </cell>
          <cell r="F147" t="str">
            <v>PC</v>
          </cell>
          <cell r="G147" t="str">
            <v>5</v>
          </cell>
          <cell r="H147" t="str">
            <v>PROJECT</v>
          </cell>
          <cell r="I147" t="str">
            <v>56</v>
          </cell>
          <cell r="J147" t="str">
            <v>CPC1</v>
          </cell>
          <cell r="K147" t="str">
            <v>5602</v>
          </cell>
          <cell r="L147" t="str">
            <v>POLYFLOOR</v>
          </cell>
          <cell r="M147" t="str">
            <v>560202</v>
          </cell>
          <cell r="N147" t="str">
            <v>POLYFLOOR EPOXY</v>
          </cell>
        </row>
        <row r="148">
          <cell r="C148" t="str">
            <v>100001134</v>
          </cell>
          <cell r="D148" t="str">
            <v>PFT-253 KIA WHITE VN-5KS</v>
          </cell>
          <cell r="E148" t="str">
            <v>ZFGD</v>
          </cell>
          <cell r="F148" t="str">
            <v>SET</v>
          </cell>
          <cell r="G148" t="str">
            <v>5</v>
          </cell>
          <cell r="H148" t="str">
            <v>PROJECT</v>
          </cell>
          <cell r="I148" t="str">
            <v>56</v>
          </cell>
          <cell r="J148" t="str">
            <v>CPC1</v>
          </cell>
          <cell r="K148" t="str">
            <v>5602</v>
          </cell>
          <cell r="L148" t="str">
            <v>POLYFLOOR</v>
          </cell>
          <cell r="M148" t="str">
            <v>560202</v>
          </cell>
          <cell r="N148" t="str">
            <v>POLYFLOOR EPOXY</v>
          </cell>
        </row>
        <row r="149">
          <cell r="C149" t="str">
            <v>100001135</v>
          </cell>
          <cell r="D149" t="str">
            <v>PFT-253 KIA WHITE VN-4K</v>
          </cell>
          <cell r="E149" t="str">
            <v>ZFGD</v>
          </cell>
          <cell r="F149" t="str">
            <v>PC</v>
          </cell>
          <cell r="G149" t="str">
            <v>5</v>
          </cell>
          <cell r="H149" t="str">
            <v>PROJECT</v>
          </cell>
          <cell r="I149" t="str">
            <v>56</v>
          </cell>
          <cell r="J149" t="str">
            <v>CPC1</v>
          </cell>
          <cell r="K149" t="str">
            <v>5602</v>
          </cell>
          <cell r="L149" t="str">
            <v>POLYFLOOR</v>
          </cell>
          <cell r="M149" t="str">
            <v>560202</v>
          </cell>
          <cell r="N149" t="str">
            <v>POLYFLOOR EPOXY</v>
          </cell>
        </row>
        <row r="150">
          <cell r="C150" t="str">
            <v>100001136</v>
          </cell>
          <cell r="D150" t="str">
            <v>PFT-253 BLACK VN-20KSP</v>
          </cell>
          <cell r="E150" t="str">
            <v>ZFGD</v>
          </cell>
          <cell r="F150" t="str">
            <v>SET</v>
          </cell>
          <cell r="G150" t="str">
            <v>5</v>
          </cell>
          <cell r="H150" t="str">
            <v>PROJECT</v>
          </cell>
          <cell r="I150" t="str">
            <v>56</v>
          </cell>
          <cell r="J150" t="str">
            <v>CPC1</v>
          </cell>
          <cell r="K150" t="str">
            <v>5602</v>
          </cell>
          <cell r="L150" t="str">
            <v>POLYFLOOR</v>
          </cell>
          <cell r="M150" t="str">
            <v>560202</v>
          </cell>
          <cell r="N150" t="str">
            <v>POLYFLOOR EPOXY</v>
          </cell>
        </row>
        <row r="151">
          <cell r="C151" t="str">
            <v>100001137</v>
          </cell>
          <cell r="D151" t="str">
            <v>PFT-253 BLACK VN-16KP</v>
          </cell>
          <cell r="E151" t="str">
            <v>ZFGD</v>
          </cell>
          <cell r="F151" t="str">
            <v>PC</v>
          </cell>
          <cell r="G151" t="str">
            <v>5</v>
          </cell>
          <cell r="H151" t="str">
            <v>PROJECT</v>
          </cell>
          <cell r="I151" t="str">
            <v>56</v>
          </cell>
          <cell r="J151" t="str">
            <v>CPC1</v>
          </cell>
          <cell r="K151" t="str">
            <v>5602</v>
          </cell>
          <cell r="L151" t="str">
            <v>POLYFLOOR</v>
          </cell>
          <cell r="M151" t="str">
            <v>560202</v>
          </cell>
          <cell r="N151" t="str">
            <v>POLYFLOOR EPOXY</v>
          </cell>
        </row>
        <row r="152">
          <cell r="C152" t="str">
            <v>100001138</v>
          </cell>
          <cell r="D152" t="str">
            <v>PFT-253 BLACK VN-5KS</v>
          </cell>
          <cell r="E152" t="str">
            <v>ZFGD</v>
          </cell>
          <cell r="F152" t="str">
            <v>SET</v>
          </cell>
          <cell r="G152" t="str">
            <v>5</v>
          </cell>
          <cell r="H152" t="str">
            <v>PROJECT</v>
          </cell>
          <cell r="I152" t="str">
            <v>56</v>
          </cell>
          <cell r="J152" t="str">
            <v>CPC1</v>
          </cell>
          <cell r="K152" t="str">
            <v>5602</v>
          </cell>
          <cell r="L152" t="str">
            <v>POLYFLOOR</v>
          </cell>
          <cell r="M152" t="str">
            <v>560202</v>
          </cell>
          <cell r="N152" t="str">
            <v>POLYFLOOR EPOXY</v>
          </cell>
        </row>
        <row r="153">
          <cell r="C153" t="str">
            <v>100001139</v>
          </cell>
          <cell r="D153" t="str">
            <v>PFT-253 BLACK VN-4K</v>
          </cell>
          <cell r="E153" t="str">
            <v>ZFGD</v>
          </cell>
          <cell r="F153" t="str">
            <v>PC</v>
          </cell>
          <cell r="G153" t="str">
            <v>5</v>
          </cell>
          <cell r="H153" t="str">
            <v>PROJECT</v>
          </cell>
          <cell r="I153" t="str">
            <v>56</v>
          </cell>
          <cell r="J153" t="str">
            <v>CPC1</v>
          </cell>
          <cell r="K153" t="str">
            <v>5602</v>
          </cell>
          <cell r="L153" t="str">
            <v>POLYFLOOR</v>
          </cell>
          <cell r="M153" t="str">
            <v>560202</v>
          </cell>
          <cell r="N153" t="str">
            <v>POLYFLOOR EPOXY</v>
          </cell>
        </row>
        <row r="154">
          <cell r="C154" t="str">
            <v>100001140</v>
          </cell>
          <cell r="D154" t="str">
            <v>PFT-253 PLATINUM GREY VN-20KSP</v>
          </cell>
          <cell r="E154" t="str">
            <v>ZFGD</v>
          </cell>
          <cell r="F154" t="str">
            <v>SET</v>
          </cell>
          <cell r="G154" t="str">
            <v>5</v>
          </cell>
          <cell r="H154" t="str">
            <v>PROJECT</v>
          </cell>
          <cell r="I154" t="str">
            <v>56</v>
          </cell>
          <cell r="J154" t="str">
            <v>CPC1</v>
          </cell>
          <cell r="K154" t="str">
            <v>5602</v>
          </cell>
          <cell r="L154" t="str">
            <v>POLYFLOOR</v>
          </cell>
          <cell r="M154" t="str">
            <v>560202</v>
          </cell>
          <cell r="N154" t="str">
            <v>POLYFLOOR EPOXY</v>
          </cell>
        </row>
        <row r="155">
          <cell r="C155" t="str">
            <v>100001141</v>
          </cell>
          <cell r="D155" t="str">
            <v>PFT-253 PLATINUM GREY VN-16KP</v>
          </cell>
          <cell r="E155" t="str">
            <v>ZFGD</v>
          </cell>
          <cell r="F155" t="str">
            <v>PC</v>
          </cell>
          <cell r="G155" t="str">
            <v>5</v>
          </cell>
          <cell r="H155" t="str">
            <v>PROJECT</v>
          </cell>
          <cell r="I155" t="str">
            <v>56</v>
          </cell>
          <cell r="J155" t="str">
            <v>CPC1</v>
          </cell>
          <cell r="K155" t="str">
            <v>5602</v>
          </cell>
          <cell r="L155" t="str">
            <v>POLYFLOOR</v>
          </cell>
          <cell r="M155" t="str">
            <v>560202</v>
          </cell>
          <cell r="N155" t="str">
            <v>POLYFLOOR EPOXY</v>
          </cell>
        </row>
        <row r="156">
          <cell r="C156" t="str">
            <v>100001142</v>
          </cell>
          <cell r="D156" t="str">
            <v>PFT-253 PLATINUM GREY VN-5KS</v>
          </cell>
          <cell r="E156" t="str">
            <v>ZFGD</v>
          </cell>
          <cell r="F156" t="str">
            <v>SET</v>
          </cell>
          <cell r="G156" t="str">
            <v>5</v>
          </cell>
          <cell r="H156" t="str">
            <v>PROJECT</v>
          </cell>
          <cell r="I156" t="str">
            <v>56</v>
          </cell>
          <cell r="J156" t="str">
            <v>CPC1</v>
          </cell>
          <cell r="K156" t="str">
            <v>5602</v>
          </cell>
          <cell r="L156" t="str">
            <v>POLYFLOOR</v>
          </cell>
          <cell r="M156" t="str">
            <v>560202</v>
          </cell>
          <cell r="N156" t="str">
            <v>POLYFLOOR EPOXY</v>
          </cell>
        </row>
        <row r="157">
          <cell r="C157" t="str">
            <v>100001143</v>
          </cell>
          <cell r="D157" t="str">
            <v>PFT-253 PLATINUM GREY VN-4K</v>
          </cell>
          <cell r="E157" t="str">
            <v>ZFGD</v>
          </cell>
          <cell r="F157" t="str">
            <v>PC</v>
          </cell>
          <cell r="G157" t="str">
            <v>5</v>
          </cell>
          <cell r="H157" t="str">
            <v>PROJECT</v>
          </cell>
          <cell r="I157" t="str">
            <v>56</v>
          </cell>
          <cell r="J157" t="str">
            <v>CPC1</v>
          </cell>
          <cell r="K157" t="str">
            <v>5602</v>
          </cell>
          <cell r="L157" t="str">
            <v>POLYFLOOR</v>
          </cell>
          <cell r="M157" t="str">
            <v>560202</v>
          </cell>
          <cell r="N157" t="str">
            <v>POLYFLOOR EPOXY</v>
          </cell>
        </row>
        <row r="158">
          <cell r="C158" t="str">
            <v>100001144</v>
          </cell>
          <cell r="D158" t="str">
            <v>PFT-253 LEAF GREEN SCN VN-20KSP</v>
          </cell>
          <cell r="E158" t="str">
            <v>ZFGD</v>
          </cell>
          <cell r="F158" t="str">
            <v>SET</v>
          </cell>
          <cell r="G158" t="str">
            <v>5</v>
          </cell>
          <cell r="H158" t="str">
            <v>PROJECT</v>
          </cell>
          <cell r="I158" t="str">
            <v>56</v>
          </cell>
          <cell r="J158" t="str">
            <v>CPC1</v>
          </cell>
          <cell r="K158" t="str">
            <v>5602</v>
          </cell>
          <cell r="L158" t="str">
            <v>POLYFLOOR</v>
          </cell>
          <cell r="M158" t="str">
            <v>560202</v>
          </cell>
          <cell r="N158" t="str">
            <v>POLYFLOOR EPOXY</v>
          </cell>
        </row>
        <row r="159">
          <cell r="C159" t="str">
            <v>100001145</v>
          </cell>
          <cell r="D159" t="str">
            <v>PFT-253 LEAF GREEN SCN VN-16KP</v>
          </cell>
          <cell r="E159" t="str">
            <v>ZFGD</v>
          </cell>
          <cell r="F159" t="str">
            <v>PC</v>
          </cell>
          <cell r="G159" t="str">
            <v>5</v>
          </cell>
          <cell r="H159" t="str">
            <v>PROJECT</v>
          </cell>
          <cell r="I159" t="str">
            <v>56</v>
          </cell>
          <cell r="J159" t="str">
            <v>CPC1</v>
          </cell>
          <cell r="K159" t="str">
            <v>5602</v>
          </cell>
          <cell r="L159" t="str">
            <v>POLYFLOOR</v>
          </cell>
          <cell r="M159" t="str">
            <v>560202</v>
          </cell>
          <cell r="N159" t="str">
            <v>POLYFLOOR EPOXY</v>
          </cell>
        </row>
        <row r="160">
          <cell r="C160" t="str">
            <v>100001146</v>
          </cell>
          <cell r="D160" t="str">
            <v>PFT-253 LEAF GREEN SCN VN-5KS</v>
          </cell>
          <cell r="E160" t="str">
            <v>ZFGD</v>
          </cell>
          <cell r="F160" t="str">
            <v>SET</v>
          </cell>
          <cell r="G160" t="str">
            <v>5</v>
          </cell>
          <cell r="H160" t="str">
            <v>PROJECT</v>
          </cell>
          <cell r="I160" t="str">
            <v>56</v>
          </cell>
          <cell r="J160" t="str">
            <v>CPC1</v>
          </cell>
          <cell r="K160" t="str">
            <v>5602</v>
          </cell>
          <cell r="L160" t="str">
            <v>POLYFLOOR</v>
          </cell>
          <cell r="M160" t="str">
            <v>560202</v>
          </cell>
          <cell r="N160" t="str">
            <v>POLYFLOOR EPOXY</v>
          </cell>
        </row>
        <row r="161">
          <cell r="C161" t="str">
            <v>100001147</v>
          </cell>
          <cell r="D161" t="str">
            <v>PFT-253 LEAF GREEN SCN VN-4K</v>
          </cell>
          <cell r="E161" t="str">
            <v>ZFGD</v>
          </cell>
          <cell r="F161" t="str">
            <v>PC</v>
          </cell>
          <cell r="G161" t="str">
            <v>5</v>
          </cell>
          <cell r="H161" t="str">
            <v>PROJECT</v>
          </cell>
          <cell r="I161" t="str">
            <v>56</v>
          </cell>
          <cell r="J161" t="str">
            <v>CPC1</v>
          </cell>
          <cell r="K161" t="str">
            <v>5602</v>
          </cell>
          <cell r="L161" t="str">
            <v>POLYFLOOR</v>
          </cell>
          <cell r="M161" t="str">
            <v>560202</v>
          </cell>
          <cell r="N161" t="str">
            <v>POLYFLOOR EPOXY</v>
          </cell>
        </row>
        <row r="162">
          <cell r="C162" t="str">
            <v>100001148</v>
          </cell>
          <cell r="D162" t="str">
            <v>PFT-253 RAL 6010 VN-20KSP</v>
          </cell>
          <cell r="E162" t="str">
            <v>ZFGD</v>
          </cell>
          <cell r="F162" t="str">
            <v>SET</v>
          </cell>
          <cell r="G162" t="str">
            <v>5</v>
          </cell>
          <cell r="H162" t="str">
            <v>PROJECT</v>
          </cell>
          <cell r="I162" t="str">
            <v>56</v>
          </cell>
          <cell r="J162" t="str">
            <v>CPC1</v>
          </cell>
          <cell r="K162" t="str">
            <v>5602</v>
          </cell>
          <cell r="L162" t="str">
            <v>POLYFLOOR</v>
          </cell>
          <cell r="M162" t="str">
            <v>560202</v>
          </cell>
          <cell r="N162" t="str">
            <v>POLYFLOOR EPOXY</v>
          </cell>
        </row>
        <row r="163">
          <cell r="C163" t="str">
            <v>100001149</v>
          </cell>
          <cell r="D163" t="str">
            <v>PFT-253 RAL 6010 VN-16KP</v>
          </cell>
          <cell r="E163" t="str">
            <v>ZFGD</v>
          </cell>
          <cell r="F163" t="str">
            <v>PC</v>
          </cell>
          <cell r="G163" t="str">
            <v>5</v>
          </cell>
          <cell r="H163" t="str">
            <v>PROJECT</v>
          </cell>
          <cell r="I163" t="str">
            <v>56</v>
          </cell>
          <cell r="J163" t="str">
            <v>CPC1</v>
          </cell>
          <cell r="K163" t="str">
            <v>5602</v>
          </cell>
          <cell r="L163" t="str">
            <v>POLYFLOOR</v>
          </cell>
          <cell r="M163" t="str">
            <v>560202</v>
          </cell>
          <cell r="N163" t="str">
            <v>POLYFLOOR EPOXY</v>
          </cell>
        </row>
        <row r="164">
          <cell r="C164" t="str">
            <v>100001150</v>
          </cell>
          <cell r="D164" t="str">
            <v>PFT-253 RAL 6010 VN-5KS</v>
          </cell>
          <cell r="E164" t="str">
            <v>ZFGD</v>
          </cell>
          <cell r="F164" t="str">
            <v>SET</v>
          </cell>
          <cell r="G164" t="str">
            <v>5</v>
          </cell>
          <cell r="H164" t="str">
            <v>PROJECT</v>
          </cell>
          <cell r="I164" t="str">
            <v>56</v>
          </cell>
          <cell r="J164" t="str">
            <v>CPC1</v>
          </cell>
          <cell r="K164" t="str">
            <v>5602</v>
          </cell>
          <cell r="L164" t="str">
            <v>POLYFLOOR</v>
          </cell>
          <cell r="M164" t="str">
            <v>560202</v>
          </cell>
          <cell r="N164" t="str">
            <v>POLYFLOOR EPOXY</v>
          </cell>
        </row>
        <row r="165">
          <cell r="C165" t="str">
            <v>100001151</v>
          </cell>
          <cell r="D165" t="str">
            <v>PFT-253 RAL 6010 VN-4K</v>
          </cell>
          <cell r="E165" t="str">
            <v>ZFGD</v>
          </cell>
          <cell r="F165" t="str">
            <v>PC</v>
          </cell>
          <cell r="G165" t="str">
            <v>5</v>
          </cell>
          <cell r="H165" t="str">
            <v>PROJECT</v>
          </cell>
          <cell r="I165" t="str">
            <v>56</v>
          </cell>
          <cell r="J165" t="str">
            <v>CPC1</v>
          </cell>
          <cell r="K165" t="str">
            <v>5602</v>
          </cell>
          <cell r="L165" t="str">
            <v>POLYFLOOR</v>
          </cell>
          <cell r="M165" t="str">
            <v>560202</v>
          </cell>
          <cell r="N165" t="str">
            <v>POLYFLOOR EPOXY</v>
          </cell>
        </row>
        <row r="166">
          <cell r="C166" t="str">
            <v>100001152</v>
          </cell>
          <cell r="D166" t="str">
            <v>PFT-253 DARK BLUE MH 01 VN-20KSP</v>
          </cell>
          <cell r="E166" t="str">
            <v>ZFGD</v>
          </cell>
          <cell r="F166" t="str">
            <v>SET</v>
          </cell>
          <cell r="G166" t="str">
            <v>5</v>
          </cell>
          <cell r="H166" t="str">
            <v>PROJECT</v>
          </cell>
          <cell r="I166" t="str">
            <v>56</v>
          </cell>
          <cell r="J166" t="str">
            <v>CPC1</v>
          </cell>
          <cell r="K166" t="str">
            <v>5602</v>
          </cell>
          <cell r="L166" t="str">
            <v>POLYFLOOR</v>
          </cell>
          <cell r="M166" t="str">
            <v>560202</v>
          </cell>
          <cell r="N166" t="str">
            <v>POLYFLOOR EPOXY</v>
          </cell>
        </row>
        <row r="167">
          <cell r="C167" t="str">
            <v>100001153</v>
          </cell>
          <cell r="D167" t="str">
            <v>PFT-253 DARK BLUE MH 01 VN-16KP</v>
          </cell>
          <cell r="E167" t="str">
            <v>ZFGD</v>
          </cell>
          <cell r="F167" t="str">
            <v>PC</v>
          </cell>
          <cell r="G167" t="str">
            <v>5</v>
          </cell>
          <cell r="H167" t="str">
            <v>PROJECT</v>
          </cell>
          <cell r="I167" t="str">
            <v>56</v>
          </cell>
          <cell r="J167" t="str">
            <v>CPC1</v>
          </cell>
          <cell r="K167" t="str">
            <v>5602</v>
          </cell>
          <cell r="L167" t="str">
            <v>POLYFLOOR</v>
          </cell>
          <cell r="M167" t="str">
            <v>560202</v>
          </cell>
          <cell r="N167" t="str">
            <v>POLYFLOOR EPOXY</v>
          </cell>
        </row>
        <row r="168">
          <cell r="C168" t="str">
            <v>100001154</v>
          </cell>
          <cell r="D168" t="str">
            <v>PFT-253 DARK BLUE MH 01 VN-5KS</v>
          </cell>
          <cell r="E168" t="str">
            <v>ZFGD</v>
          </cell>
          <cell r="F168" t="str">
            <v>SET</v>
          </cell>
          <cell r="G168" t="str">
            <v>5</v>
          </cell>
          <cell r="H168" t="str">
            <v>PROJECT</v>
          </cell>
          <cell r="I168" t="str">
            <v>56</v>
          </cell>
          <cell r="J168" t="str">
            <v>CPC1</v>
          </cell>
          <cell r="K168" t="str">
            <v>5602</v>
          </cell>
          <cell r="L168" t="str">
            <v>POLYFLOOR</v>
          </cell>
          <cell r="M168" t="str">
            <v>560202</v>
          </cell>
          <cell r="N168" t="str">
            <v>POLYFLOOR EPOXY</v>
          </cell>
        </row>
        <row r="169">
          <cell r="C169" t="str">
            <v>100001155</v>
          </cell>
          <cell r="D169" t="str">
            <v>PFT-253 DARK BLUE MH 01 VN-4K</v>
          </cell>
          <cell r="E169" t="str">
            <v>ZFGD</v>
          </cell>
          <cell r="F169" t="str">
            <v>PC</v>
          </cell>
          <cell r="G169" t="str">
            <v>5</v>
          </cell>
          <cell r="H169" t="str">
            <v>PROJECT</v>
          </cell>
          <cell r="I169" t="str">
            <v>56</v>
          </cell>
          <cell r="J169" t="str">
            <v>CPC1</v>
          </cell>
          <cell r="K169" t="str">
            <v>5602</v>
          </cell>
          <cell r="L169" t="str">
            <v>POLYFLOOR</v>
          </cell>
          <cell r="M169" t="str">
            <v>560202</v>
          </cell>
          <cell r="N169" t="str">
            <v>POLYFLOOR EPOXY</v>
          </cell>
        </row>
        <row r="170">
          <cell r="C170" t="str">
            <v>100001156</v>
          </cell>
          <cell r="D170" t="str">
            <v>PFT-253 BLUE TDC VN-20KSP</v>
          </cell>
          <cell r="E170" t="str">
            <v>ZFGD</v>
          </cell>
          <cell r="F170" t="str">
            <v>SET</v>
          </cell>
          <cell r="G170" t="str">
            <v>5</v>
          </cell>
          <cell r="H170" t="str">
            <v>PROJECT</v>
          </cell>
          <cell r="I170" t="str">
            <v>56</v>
          </cell>
          <cell r="J170" t="str">
            <v>CPC1</v>
          </cell>
          <cell r="K170" t="str">
            <v>5602</v>
          </cell>
          <cell r="L170" t="str">
            <v>POLYFLOOR</v>
          </cell>
          <cell r="M170" t="str">
            <v>560202</v>
          </cell>
          <cell r="N170" t="str">
            <v>POLYFLOOR EPOXY</v>
          </cell>
        </row>
        <row r="171">
          <cell r="C171" t="str">
            <v>100001157</v>
          </cell>
          <cell r="D171" t="str">
            <v>PFT-253 BLUE TDC VN-16KP</v>
          </cell>
          <cell r="E171" t="str">
            <v>ZFGD</v>
          </cell>
          <cell r="F171" t="str">
            <v>PC</v>
          </cell>
          <cell r="G171" t="str">
            <v>5</v>
          </cell>
          <cell r="H171" t="str">
            <v>PROJECT</v>
          </cell>
          <cell r="I171" t="str">
            <v>56</v>
          </cell>
          <cell r="J171" t="str">
            <v>CPC1</v>
          </cell>
          <cell r="K171" t="str">
            <v>5602</v>
          </cell>
          <cell r="L171" t="str">
            <v>POLYFLOOR</v>
          </cell>
          <cell r="M171" t="str">
            <v>560202</v>
          </cell>
          <cell r="N171" t="str">
            <v>POLYFLOOR EPOXY</v>
          </cell>
        </row>
        <row r="172">
          <cell r="C172" t="str">
            <v>100001158</v>
          </cell>
          <cell r="D172" t="str">
            <v>PFT-253 BLUE TDC VN-5KS</v>
          </cell>
          <cell r="E172" t="str">
            <v>ZFGD</v>
          </cell>
          <cell r="F172" t="str">
            <v>SET</v>
          </cell>
          <cell r="G172" t="str">
            <v>5</v>
          </cell>
          <cell r="H172" t="str">
            <v>PROJECT</v>
          </cell>
          <cell r="I172" t="str">
            <v>56</v>
          </cell>
          <cell r="J172" t="str">
            <v>CPC1</v>
          </cell>
          <cell r="K172" t="str">
            <v>5602</v>
          </cell>
          <cell r="L172" t="str">
            <v>POLYFLOOR</v>
          </cell>
          <cell r="M172" t="str">
            <v>560202</v>
          </cell>
          <cell r="N172" t="str">
            <v>POLYFLOOR EPOXY</v>
          </cell>
        </row>
        <row r="173">
          <cell r="C173" t="str">
            <v>100001159</v>
          </cell>
          <cell r="D173" t="str">
            <v>PFT-253 BLUE TDC VN-4K</v>
          </cell>
          <cell r="E173" t="str">
            <v>ZFGD</v>
          </cell>
          <cell r="F173" t="str">
            <v>PC</v>
          </cell>
          <cell r="G173" t="str">
            <v>5</v>
          </cell>
          <cell r="H173" t="str">
            <v>PROJECT</v>
          </cell>
          <cell r="I173" t="str">
            <v>56</v>
          </cell>
          <cell r="J173" t="str">
            <v>CPC1</v>
          </cell>
          <cell r="K173" t="str">
            <v>5602</v>
          </cell>
          <cell r="L173" t="str">
            <v>POLYFLOOR</v>
          </cell>
          <cell r="M173" t="str">
            <v>560202</v>
          </cell>
          <cell r="N173" t="str">
            <v>POLYFLOOR EPOXY</v>
          </cell>
        </row>
        <row r="174">
          <cell r="C174" t="str">
            <v>100001160</v>
          </cell>
          <cell r="D174" t="str">
            <v>PFT-253 DARK GREEN TDC VN-20KSP</v>
          </cell>
          <cell r="E174" t="str">
            <v>ZFGD</v>
          </cell>
          <cell r="F174" t="str">
            <v>SET</v>
          </cell>
          <cell r="G174" t="str">
            <v>5</v>
          </cell>
          <cell r="H174" t="str">
            <v>PROJECT</v>
          </cell>
          <cell r="I174" t="str">
            <v>56</v>
          </cell>
          <cell r="J174" t="str">
            <v>CPC1</v>
          </cell>
          <cell r="K174" t="str">
            <v>5602</v>
          </cell>
          <cell r="L174" t="str">
            <v>POLYFLOOR</v>
          </cell>
          <cell r="M174" t="str">
            <v>560202</v>
          </cell>
          <cell r="N174" t="str">
            <v>POLYFLOOR EPOXY</v>
          </cell>
        </row>
        <row r="175">
          <cell r="C175" t="str">
            <v>100001161</v>
          </cell>
          <cell r="D175" t="str">
            <v>PFT-253 DARK GREEN TDC VN-16KP</v>
          </cell>
          <cell r="E175" t="str">
            <v>ZFGD</v>
          </cell>
          <cell r="F175" t="str">
            <v>PC</v>
          </cell>
          <cell r="G175" t="str">
            <v>5</v>
          </cell>
          <cell r="H175" t="str">
            <v>PROJECT</v>
          </cell>
          <cell r="I175" t="str">
            <v>56</v>
          </cell>
          <cell r="J175" t="str">
            <v>CPC1</v>
          </cell>
          <cell r="K175" t="str">
            <v>5602</v>
          </cell>
          <cell r="L175" t="str">
            <v>POLYFLOOR</v>
          </cell>
          <cell r="M175" t="str">
            <v>560202</v>
          </cell>
          <cell r="N175" t="str">
            <v>POLYFLOOR EPOXY</v>
          </cell>
        </row>
        <row r="176">
          <cell r="C176" t="str">
            <v>100001162</v>
          </cell>
          <cell r="D176" t="str">
            <v>PFT-253 DARK GREEN TDC VN-5KS</v>
          </cell>
          <cell r="E176" t="str">
            <v>ZFGD</v>
          </cell>
          <cell r="F176" t="str">
            <v>SET</v>
          </cell>
          <cell r="G176" t="str">
            <v>5</v>
          </cell>
          <cell r="H176" t="str">
            <v>PROJECT</v>
          </cell>
          <cell r="I176" t="str">
            <v>56</v>
          </cell>
          <cell r="J176" t="str">
            <v>CPC1</v>
          </cell>
          <cell r="K176" t="str">
            <v>5602</v>
          </cell>
          <cell r="L176" t="str">
            <v>POLYFLOOR</v>
          </cell>
          <cell r="M176" t="str">
            <v>560202</v>
          </cell>
          <cell r="N176" t="str">
            <v>POLYFLOOR EPOXY</v>
          </cell>
        </row>
        <row r="177">
          <cell r="C177" t="str">
            <v>100001163</v>
          </cell>
          <cell r="D177" t="str">
            <v>PFT-253 DARK GREEN TDC VN-4K</v>
          </cell>
          <cell r="E177" t="str">
            <v>ZFGD</v>
          </cell>
          <cell r="F177" t="str">
            <v>PC</v>
          </cell>
          <cell r="G177" t="str">
            <v>5</v>
          </cell>
          <cell r="H177" t="str">
            <v>PROJECT</v>
          </cell>
          <cell r="I177" t="str">
            <v>56</v>
          </cell>
          <cell r="J177" t="str">
            <v>CPC1</v>
          </cell>
          <cell r="K177" t="str">
            <v>5602</v>
          </cell>
          <cell r="L177" t="str">
            <v>POLYFLOOR</v>
          </cell>
          <cell r="M177" t="str">
            <v>560202</v>
          </cell>
          <cell r="N177" t="str">
            <v>POLYFLOOR EPOXY</v>
          </cell>
        </row>
        <row r="178">
          <cell r="C178" t="str">
            <v>100001164</v>
          </cell>
          <cell r="D178" t="str">
            <v>PFT-253-01 GREY VN-20KSP</v>
          </cell>
          <cell r="E178" t="str">
            <v>ZFGD</v>
          </cell>
          <cell r="F178" t="str">
            <v>SET</v>
          </cell>
          <cell r="G178" t="str">
            <v>5</v>
          </cell>
          <cell r="H178" t="str">
            <v>PROJECT</v>
          </cell>
          <cell r="I178" t="str">
            <v>56</v>
          </cell>
          <cell r="J178" t="str">
            <v>CPC1</v>
          </cell>
          <cell r="K178" t="str">
            <v>5602</v>
          </cell>
          <cell r="L178" t="str">
            <v>POLYFLOOR</v>
          </cell>
          <cell r="M178" t="str">
            <v>560202</v>
          </cell>
          <cell r="N178" t="str">
            <v>POLYFLOOR EPOXY</v>
          </cell>
        </row>
        <row r="179">
          <cell r="C179" t="str">
            <v>100001165</v>
          </cell>
          <cell r="D179" t="str">
            <v>PFT-253-01 GREY VN-16KP</v>
          </cell>
          <cell r="E179" t="str">
            <v>ZFGD</v>
          </cell>
          <cell r="F179" t="str">
            <v>PC</v>
          </cell>
          <cell r="G179" t="str">
            <v>5</v>
          </cell>
          <cell r="H179" t="str">
            <v>PROJECT</v>
          </cell>
          <cell r="I179" t="str">
            <v>56</v>
          </cell>
          <cell r="J179" t="str">
            <v>CPC1</v>
          </cell>
          <cell r="K179" t="str">
            <v>5602</v>
          </cell>
          <cell r="L179" t="str">
            <v>POLYFLOOR</v>
          </cell>
          <cell r="M179" t="str">
            <v>560202</v>
          </cell>
          <cell r="N179" t="str">
            <v>POLYFLOOR EPOXY</v>
          </cell>
        </row>
        <row r="180">
          <cell r="C180" t="str">
            <v>100001166</v>
          </cell>
          <cell r="D180" t="str">
            <v>PFT-253-01 GREY VN-5KS</v>
          </cell>
          <cell r="E180" t="str">
            <v>ZFGD</v>
          </cell>
          <cell r="F180" t="str">
            <v>SET</v>
          </cell>
          <cell r="G180" t="str">
            <v>5</v>
          </cell>
          <cell r="H180" t="str">
            <v>PROJECT</v>
          </cell>
          <cell r="I180" t="str">
            <v>56</v>
          </cell>
          <cell r="J180" t="str">
            <v>CPC1</v>
          </cell>
          <cell r="K180" t="str">
            <v>5602</v>
          </cell>
          <cell r="L180" t="str">
            <v>POLYFLOOR</v>
          </cell>
          <cell r="M180" t="str">
            <v>560202</v>
          </cell>
          <cell r="N180" t="str">
            <v>POLYFLOOR EPOXY</v>
          </cell>
        </row>
        <row r="181">
          <cell r="C181" t="str">
            <v>100001167</v>
          </cell>
          <cell r="D181" t="str">
            <v>PFT-253-01 GREY VN-4K</v>
          </cell>
          <cell r="E181" t="str">
            <v>ZFGD</v>
          </cell>
          <cell r="F181" t="str">
            <v>PC</v>
          </cell>
          <cell r="G181" t="str">
            <v>5</v>
          </cell>
          <cell r="H181" t="str">
            <v>PROJECT</v>
          </cell>
          <cell r="I181" t="str">
            <v>56</v>
          </cell>
          <cell r="J181" t="str">
            <v>CPC1</v>
          </cell>
          <cell r="K181" t="str">
            <v>5602</v>
          </cell>
          <cell r="L181" t="str">
            <v>POLYFLOOR</v>
          </cell>
          <cell r="M181" t="str">
            <v>560202</v>
          </cell>
          <cell r="N181" t="str">
            <v>POLYFLOOR EPOXY</v>
          </cell>
        </row>
        <row r="182">
          <cell r="C182" t="str">
            <v>100001168</v>
          </cell>
          <cell r="D182" t="str">
            <v>UPR-960 BLACK 9406 VN-4K</v>
          </cell>
          <cell r="E182" t="str">
            <v>ZFGD</v>
          </cell>
          <cell r="F182" t="str">
            <v>PC</v>
          </cell>
          <cell r="G182" t="str">
            <v>2</v>
          </cell>
          <cell r="H182" t="str">
            <v>RETAIL</v>
          </cell>
          <cell r="I182" t="str">
            <v>2D</v>
          </cell>
          <cell r="J182" t="str">
            <v>APCT2</v>
          </cell>
          <cell r="K182" t="str">
            <v>2D01</v>
          </cell>
          <cell r="L182" t="str">
            <v>ULTRAPROOF</v>
          </cell>
          <cell r="M182" t="str">
            <v>2D0101</v>
          </cell>
          <cell r="N182" t="str">
            <v>ULTRAPROOF RMX</v>
          </cell>
        </row>
        <row r="183">
          <cell r="C183" t="str">
            <v>100001169</v>
          </cell>
          <cell r="D183" t="str">
            <v>UPR-960 BLACK 9406 VN-20KP</v>
          </cell>
          <cell r="E183" t="str">
            <v>ZFGD</v>
          </cell>
          <cell r="F183" t="str">
            <v>PC</v>
          </cell>
          <cell r="G183" t="str">
            <v>2</v>
          </cell>
          <cell r="H183" t="str">
            <v>RETAIL</v>
          </cell>
          <cell r="I183" t="str">
            <v>2D</v>
          </cell>
          <cell r="J183" t="str">
            <v>APCT2</v>
          </cell>
          <cell r="K183" t="str">
            <v>2D01</v>
          </cell>
          <cell r="L183" t="str">
            <v>ULTRAPROOF</v>
          </cell>
          <cell r="M183" t="str">
            <v>2D0101</v>
          </cell>
          <cell r="N183" t="str">
            <v>ULTRAPROOF RMX</v>
          </cell>
        </row>
        <row r="184">
          <cell r="C184" t="str">
            <v>100001170</v>
          </cell>
          <cell r="D184" t="str">
            <v>UPR-960 DARK BROWN 2406 VN-4K</v>
          </cell>
          <cell r="E184" t="str">
            <v>ZFGD</v>
          </cell>
          <cell r="F184" t="str">
            <v>PC</v>
          </cell>
          <cell r="G184" t="str">
            <v>2</v>
          </cell>
          <cell r="H184" t="str">
            <v>RETAIL</v>
          </cell>
          <cell r="I184" t="str">
            <v>2D</v>
          </cell>
          <cell r="J184" t="str">
            <v>APCT2</v>
          </cell>
          <cell r="K184" t="str">
            <v>2D01</v>
          </cell>
          <cell r="L184" t="str">
            <v>ULTRAPROOF</v>
          </cell>
          <cell r="M184" t="str">
            <v>2D0101</v>
          </cell>
          <cell r="N184" t="str">
            <v>ULTRAPROOF RMX</v>
          </cell>
        </row>
        <row r="185">
          <cell r="C185" t="str">
            <v>100001171</v>
          </cell>
          <cell r="D185" t="str">
            <v>UPR-960 DARK BROWN 2406 VN-20KP</v>
          </cell>
          <cell r="E185" t="str">
            <v>ZFGD</v>
          </cell>
          <cell r="F185" t="str">
            <v>PC</v>
          </cell>
          <cell r="G185" t="str">
            <v>2</v>
          </cell>
          <cell r="H185" t="str">
            <v>RETAIL</v>
          </cell>
          <cell r="I185" t="str">
            <v>2D</v>
          </cell>
          <cell r="J185" t="str">
            <v>APCT2</v>
          </cell>
          <cell r="K185" t="str">
            <v>2D01</v>
          </cell>
          <cell r="L185" t="str">
            <v>ULTRAPROOF</v>
          </cell>
          <cell r="M185" t="str">
            <v>2D0101</v>
          </cell>
          <cell r="N185" t="str">
            <v>ULTRAPROOF RMX</v>
          </cell>
        </row>
        <row r="186">
          <cell r="C186" t="str">
            <v>100001172</v>
          </cell>
          <cell r="D186" t="str">
            <v>UPR-960 HARVEST 3404 VN-4K</v>
          </cell>
          <cell r="E186" t="str">
            <v>ZFGD</v>
          </cell>
          <cell r="F186" t="str">
            <v>PC</v>
          </cell>
          <cell r="G186" t="str">
            <v>2</v>
          </cell>
          <cell r="H186" t="str">
            <v>RETAIL</v>
          </cell>
          <cell r="I186" t="str">
            <v>2D</v>
          </cell>
          <cell r="J186" t="str">
            <v>APCT2</v>
          </cell>
          <cell r="K186" t="str">
            <v>2D01</v>
          </cell>
          <cell r="L186" t="str">
            <v>ULTRAPROOF</v>
          </cell>
          <cell r="M186" t="str">
            <v>2D0101</v>
          </cell>
          <cell r="N186" t="str">
            <v>ULTRAPROOF RMX</v>
          </cell>
        </row>
        <row r="187">
          <cell r="C187" t="str">
            <v>100001173</v>
          </cell>
          <cell r="D187" t="str">
            <v>UPR-960 HARVEST 3404 VN-20KP</v>
          </cell>
          <cell r="E187" t="str">
            <v>ZFGD</v>
          </cell>
          <cell r="F187" t="str">
            <v>PC</v>
          </cell>
          <cell r="G187" t="str">
            <v>2</v>
          </cell>
          <cell r="H187" t="str">
            <v>RETAIL</v>
          </cell>
          <cell r="I187" t="str">
            <v>2D</v>
          </cell>
          <cell r="J187" t="str">
            <v>APCT2</v>
          </cell>
          <cell r="K187" t="str">
            <v>2D01</v>
          </cell>
          <cell r="L187" t="str">
            <v>ULTRAPROOF</v>
          </cell>
          <cell r="M187" t="str">
            <v>2D0101</v>
          </cell>
          <cell r="N187" t="str">
            <v>ULTRAPROOF RMX</v>
          </cell>
        </row>
        <row r="188">
          <cell r="C188" t="str">
            <v>100001174</v>
          </cell>
          <cell r="D188" t="str">
            <v>UPR-960 LIGHT GREY 7114 VN-4K</v>
          </cell>
          <cell r="E188" t="str">
            <v>ZFGD</v>
          </cell>
          <cell r="F188" t="str">
            <v>PC</v>
          </cell>
          <cell r="G188" t="str">
            <v>2</v>
          </cell>
          <cell r="H188" t="str">
            <v>RETAIL</v>
          </cell>
          <cell r="I188" t="str">
            <v>2D</v>
          </cell>
          <cell r="J188" t="str">
            <v>APCT2</v>
          </cell>
          <cell r="K188" t="str">
            <v>2D01</v>
          </cell>
          <cell r="L188" t="str">
            <v>ULTRAPROOF</v>
          </cell>
          <cell r="M188" t="str">
            <v>2D0101</v>
          </cell>
          <cell r="N188" t="str">
            <v>ULTRAPROOF RMX</v>
          </cell>
        </row>
        <row r="189">
          <cell r="C189" t="str">
            <v>100001175</v>
          </cell>
          <cell r="D189" t="str">
            <v>UPR-960 LIGHT GREY 7114 VN-20KP</v>
          </cell>
          <cell r="E189" t="str">
            <v>ZFGD</v>
          </cell>
          <cell r="F189" t="str">
            <v>PC</v>
          </cell>
          <cell r="G189" t="str">
            <v>2</v>
          </cell>
          <cell r="H189" t="str">
            <v>RETAIL</v>
          </cell>
          <cell r="I189" t="str">
            <v>2D</v>
          </cell>
          <cell r="J189" t="str">
            <v>APCT2</v>
          </cell>
          <cell r="K189" t="str">
            <v>2D01</v>
          </cell>
          <cell r="L189" t="str">
            <v>ULTRAPROOF</v>
          </cell>
          <cell r="M189" t="str">
            <v>2D0101</v>
          </cell>
          <cell r="N189" t="str">
            <v>ULTRAPROOF RMX</v>
          </cell>
        </row>
        <row r="190">
          <cell r="C190" t="str">
            <v>100001176</v>
          </cell>
          <cell r="D190" t="str">
            <v>UPR-960 WHITE 9101 VN-4K</v>
          </cell>
          <cell r="E190" t="str">
            <v>ZFGD</v>
          </cell>
          <cell r="F190" t="str">
            <v>PC</v>
          </cell>
          <cell r="G190" t="str">
            <v>2</v>
          </cell>
          <cell r="H190" t="str">
            <v>RETAIL</v>
          </cell>
          <cell r="I190" t="str">
            <v>2D</v>
          </cell>
          <cell r="J190" t="str">
            <v>APCT2</v>
          </cell>
          <cell r="K190" t="str">
            <v>2D01</v>
          </cell>
          <cell r="L190" t="str">
            <v>ULTRAPROOF</v>
          </cell>
          <cell r="M190" t="str">
            <v>2D0101</v>
          </cell>
          <cell r="N190" t="str">
            <v>ULTRAPROOF RMX</v>
          </cell>
        </row>
        <row r="191">
          <cell r="C191" t="str">
            <v>100001177</v>
          </cell>
          <cell r="D191" t="str">
            <v>UPR-960 WHITE 9101 VN-20KP</v>
          </cell>
          <cell r="E191" t="str">
            <v>ZFGD</v>
          </cell>
          <cell r="F191" t="str">
            <v>PC</v>
          </cell>
          <cell r="G191" t="str">
            <v>2</v>
          </cell>
          <cell r="H191" t="str">
            <v>RETAIL</v>
          </cell>
          <cell r="I191" t="str">
            <v>2D</v>
          </cell>
          <cell r="J191" t="str">
            <v>APCT2</v>
          </cell>
          <cell r="K191" t="str">
            <v>2D01</v>
          </cell>
          <cell r="L191" t="str">
            <v>ULTRAPROOF</v>
          </cell>
          <cell r="M191" t="str">
            <v>2D0101</v>
          </cell>
          <cell r="N191" t="str">
            <v>ULTRAPROOF RMX</v>
          </cell>
        </row>
        <row r="192">
          <cell r="C192" t="str">
            <v>100001178</v>
          </cell>
          <cell r="D192" t="str">
            <v>UPR-960 ARMY GREEN 7414 VN-4K</v>
          </cell>
          <cell r="E192" t="str">
            <v>ZFGD</v>
          </cell>
          <cell r="F192" t="str">
            <v>PC</v>
          </cell>
          <cell r="G192" t="str">
            <v>2</v>
          </cell>
          <cell r="H192" t="str">
            <v>RETAIL</v>
          </cell>
          <cell r="I192" t="str">
            <v>2D</v>
          </cell>
          <cell r="J192" t="str">
            <v>APCT2</v>
          </cell>
          <cell r="K192" t="str">
            <v>2D01</v>
          </cell>
          <cell r="L192" t="str">
            <v>ULTRAPROOF</v>
          </cell>
          <cell r="M192" t="str">
            <v>2D0101</v>
          </cell>
          <cell r="N192" t="str">
            <v>ULTRAPROOF RMX</v>
          </cell>
        </row>
        <row r="193">
          <cell r="C193" t="str">
            <v>100001179</v>
          </cell>
          <cell r="D193" t="str">
            <v>UPR-960 ARMY GREEN 7414 VN-20KP</v>
          </cell>
          <cell r="E193" t="str">
            <v>ZFGD</v>
          </cell>
          <cell r="F193" t="str">
            <v>PC</v>
          </cell>
          <cell r="G193" t="str">
            <v>2</v>
          </cell>
          <cell r="H193" t="str">
            <v>RETAIL</v>
          </cell>
          <cell r="I193" t="str">
            <v>2D</v>
          </cell>
          <cell r="J193" t="str">
            <v>APCT2</v>
          </cell>
          <cell r="K193" t="str">
            <v>2D01</v>
          </cell>
          <cell r="L193" t="str">
            <v>ULTRAPROOF</v>
          </cell>
          <cell r="M193" t="str">
            <v>2D0101</v>
          </cell>
          <cell r="N193" t="str">
            <v>ULTRAPROOF RMX</v>
          </cell>
        </row>
        <row r="194">
          <cell r="C194" t="str">
            <v>100001180</v>
          </cell>
          <cell r="D194" t="str">
            <v>UPR-960 PASTEL GREY 8403 VN-4K</v>
          </cell>
          <cell r="E194" t="str">
            <v>ZFGD</v>
          </cell>
          <cell r="F194" t="str">
            <v>PC</v>
          </cell>
          <cell r="G194" t="str">
            <v>2</v>
          </cell>
          <cell r="H194" t="str">
            <v>RETAIL</v>
          </cell>
          <cell r="I194" t="str">
            <v>2D</v>
          </cell>
          <cell r="J194" t="str">
            <v>APCT2</v>
          </cell>
          <cell r="K194" t="str">
            <v>2D01</v>
          </cell>
          <cell r="L194" t="str">
            <v>ULTRAPROOF</v>
          </cell>
          <cell r="M194" t="str">
            <v>2D0101</v>
          </cell>
          <cell r="N194" t="str">
            <v>ULTRAPROOF RMX</v>
          </cell>
        </row>
        <row r="195">
          <cell r="C195" t="str">
            <v>100001181</v>
          </cell>
          <cell r="D195" t="str">
            <v>UPR-960 PASTEL GREY 8403 VN-20KP</v>
          </cell>
          <cell r="E195" t="str">
            <v>ZFGD</v>
          </cell>
          <cell r="F195" t="str">
            <v>PC</v>
          </cell>
          <cell r="G195" t="str">
            <v>2</v>
          </cell>
          <cell r="H195" t="str">
            <v>RETAIL</v>
          </cell>
          <cell r="I195" t="str">
            <v>2D</v>
          </cell>
          <cell r="J195" t="str">
            <v>APCT2</v>
          </cell>
          <cell r="K195" t="str">
            <v>2D01</v>
          </cell>
          <cell r="L195" t="str">
            <v>ULTRAPROOF</v>
          </cell>
          <cell r="M195" t="str">
            <v>2D0101</v>
          </cell>
          <cell r="N195" t="str">
            <v>ULTRAPROOF RMX</v>
          </cell>
        </row>
        <row r="196">
          <cell r="C196" t="str">
            <v>100001182</v>
          </cell>
          <cell r="D196" t="str">
            <v>UPR-960 APRICOT 1141 VN-4K</v>
          </cell>
          <cell r="E196" t="str">
            <v>ZFGD</v>
          </cell>
          <cell r="F196" t="str">
            <v>PC</v>
          </cell>
          <cell r="G196" t="str">
            <v>2</v>
          </cell>
          <cell r="H196" t="str">
            <v>RETAIL</v>
          </cell>
          <cell r="I196" t="str">
            <v>2D</v>
          </cell>
          <cell r="J196" t="str">
            <v>APCT2</v>
          </cell>
          <cell r="K196" t="str">
            <v>2D01</v>
          </cell>
          <cell r="L196" t="str">
            <v>ULTRAPROOF</v>
          </cell>
          <cell r="M196" t="str">
            <v>2D0101</v>
          </cell>
          <cell r="N196" t="str">
            <v>ULTRAPROOF RMX</v>
          </cell>
        </row>
        <row r="197">
          <cell r="C197" t="str">
            <v>100001183</v>
          </cell>
          <cell r="D197" t="str">
            <v>UPR-960 APRICOT 1141 VN-20KP</v>
          </cell>
          <cell r="E197" t="str">
            <v>ZFGD</v>
          </cell>
          <cell r="F197" t="str">
            <v>PC</v>
          </cell>
          <cell r="G197" t="str">
            <v>2</v>
          </cell>
          <cell r="H197" t="str">
            <v>RETAIL</v>
          </cell>
          <cell r="I197" t="str">
            <v>2D</v>
          </cell>
          <cell r="J197" t="str">
            <v>APCT2</v>
          </cell>
          <cell r="K197" t="str">
            <v>2D01</v>
          </cell>
          <cell r="L197" t="str">
            <v>ULTRAPROOF</v>
          </cell>
          <cell r="M197" t="str">
            <v>2D0101</v>
          </cell>
          <cell r="N197" t="str">
            <v>ULTRAPROOF RMX</v>
          </cell>
        </row>
        <row r="198">
          <cell r="C198" t="str">
            <v>100001184</v>
          </cell>
          <cell r="D198" t="str">
            <v>UPR-960 SKY BLUE 7101 VN-4K</v>
          </cell>
          <cell r="E198" t="str">
            <v>ZFGD</v>
          </cell>
          <cell r="F198" t="str">
            <v>PC</v>
          </cell>
          <cell r="G198" t="str">
            <v>2</v>
          </cell>
          <cell r="H198" t="str">
            <v>RETAIL</v>
          </cell>
          <cell r="I198" t="str">
            <v>2D</v>
          </cell>
          <cell r="J198" t="str">
            <v>APCT2</v>
          </cell>
          <cell r="K198" t="str">
            <v>2D01</v>
          </cell>
          <cell r="L198" t="str">
            <v>ULTRAPROOF</v>
          </cell>
          <cell r="M198" t="str">
            <v>2D0101</v>
          </cell>
          <cell r="N198" t="str">
            <v>ULTRAPROOF RMX</v>
          </cell>
        </row>
        <row r="199">
          <cell r="C199" t="str">
            <v>100001185</v>
          </cell>
          <cell r="D199" t="str">
            <v>UPR-960 SKY BLUE 7101 VN-20KP</v>
          </cell>
          <cell r="E199" t="str">
            <v>ZFGD</v>
          </cell>
          <cell r="F199" t="str">
            <v>PC</v>
          </cell>
          <cell r="G199" t="str">
            <v>2</v>
          </cell>
          <cell r="H199" t="str">
            <v>RETAIL</v>
          </cell>
          <cell r="I199" t="str">
            <v>2D</v>
          </cell>
          <cell r="J199" t="str">
            <v>APCT2</v>
          </cell>
          <cell r="K199" t="str">
            <v>2D01</v>
          </cell>
          <cell r="L199" t="str">
            <v>ULTRAPROOF</v>
          </cell>
          <cell r="M199" t="str">
            <v>2D0101</v>
          </cell>
          <cell r="N199" t="str">
            <v>ULTRAPROOF RMX</v>
          </cell>
        </row>
        <row r="200">
          <cell r="C200" t="str">
            <v>100001186</v>
          </cell>
          <cell r="D200" t="str">
            <v>UPR-960 MARINE GREEN 7107 VN-4K</v>
          </cell>
          <cell r="E200" t="str">
            <v>ZFGD</v>
          </cell>
          <cell r="F200" t="str">
            <v>PC</v>
          </cell>
          <cell r="G200" t="str">
            <v>2</v>
          </cell>
          <cell r="H200" t="str">
            <v>RETAIL</v>
          </cell>
          <cell r="I200" t="str">
            <v>2D</v>
          </cell>
          <cell r="J200" t="str">
            <v>APCT2</v>
          </cell>
          <cell r="K200" t="str">
            <v>2D01</v>
          </cell>
          <cell r="L200" t="str">
            <v>ULTRAPROOF</v>
          </cell>
          <cell r="M200" t="str">
            <v>2D0101</v>
          </cell>
          <cell r="N200" t="str">
            <v>ULTRAPROOF RMX</v>
          </cell>
        </row>
        <row r="201">
          <cell r="C201" t="str">
            <v>100001187</v>
          </cell>
          <cell r="D201" t="str">
            <v>UPR-960 MARINE GREEN 7107 VN-20KP</v>
          </cell>
          <cell r="E201" t="str">
            <v>ZFGD</v>
          </cell>
          <cell r="F201" t="str">
            <v>PC</v>
          </cell>
          <cell r="G201" t="str">
            <v>2</v>
          </cell>
          <cell r="H201" t="str">
            <v>RETAIL</v>
          </cell>
          <cell r="I201" t="str">
            <v>2D</v>
          </cell>
          <cell r="J201" t="str">
            <v>APCT2</v>
          </cell>
          <cell r="K201" t="str">
            <v>2D01</v>
          </cell>
          <cell r="L201" t="str">
            <v>ULTRAPROOF</v>
          </cell>
          <cell r="M201" t="str">
            <v>2D0101</v>
          </cell>
          <cell r="N201" t="str">
            <v>ULTRAPROOF RMX</v>
          </cell>
        </row>
        <row r="202">
          <cell r="C202" t="str">
            <v>100001188</v>
          </cell>
          <cell r="D202" t="str">
            <v>UPR-960 BLUE MYSTERY 0041 VN-4K</v>
          </cell>
          <cell r="E202" t="str">
            <v>ZFGD</v>
          </cell>
          <cell r="F202" t="str">
            <v>PC</v>
          </cell>
          <cell r="G202" t="str">
            <v>2</v>
          </cell>
          <cell r="H202" t="str">
            <v>RETAIL</v>
          </cell>
          <cell r="I202" t="str">
            <v>2D</v>
          </cell>
          <cell r="J202" t="str">
            <v>APCT2</v>
          </cell>
          <cell r="K202" t="str">
            <v>2D01</v>
          </cell>
          <cell r="L202" t="str">
            <v>ULTRAPROOF</v>
          </cell>
          <cell r="M202" t="str">
            <v>2D0101</v>
          </cell>
          <cell r="N202" t="str">
            <v>ULTRAPROOF RMX</v>
          </cell>
        </row>
        <row r="203">
          <cell r="C203" t="str">
            <v>100001189</v>
          </cell>
          <cell r="D203" t="str">
            <v>UPR-960 BLUE MYSTERY 0041 VN-20KP</v>
          </cell>
          <cell r="E203" t="str">
            <v>ZFGD</v>
          </cell>
          <cell r="F203" t="str">
            <v>PC</v>
          </cell>
          <cell r="G203" t="str">
            <v>2</v>
          </cell>
          <cell r="H203" t="str">
            <v>RETAIL</v>
          </cell>
          <cell r="I203" t="str">
            <v>2D</v>
          </cell>
          <cell r="J203" t="str">
            <v>APCT2</v>
          </cell>
          <cell r="K203" t="str">
            <v>2D01</v>
          </cell>
          <cell r="L203" t="str">
            <v>ULTRAPROOF</v>
          </cell>
          <cell r="M203" t="str">
            <v>2D0101</v>
          </cell>
          <cell r="N203" t="str">
            <v>ULTRAPROOF RMX</v>
          </cell>
        </row>
        <row r="204">
          <cell r="C204" t="str">
            <v>100001190</v>
          </cell>
          <cell r="D204" t="str">
            <v>UPR-960 PRIME GREY 0044 VN-4K</v>
          </cell>
          <cell r="E204" t="str">
            <v>ZFGD</v>
          </cell>
          <cell r="F204" t="str">
            <v>PC</v>
          </cell>
          <cell r="G204" t="str">
            <v>2</v>
          </cell>
          <cell r="H204" t="str">
            <v>RETAIL</v>
          </cell>
          <cell r="I204" t="str">
            <v>2D</v>
          </cell>
          <cell r="J204" t="str">
            <v>APCT2</v>
          </cell>
          <cell r="K204" t="str">
            <v>2D01</v>
          </cell>
          <cell r="L204" t="str">
            <v>ULTRAPROOF</v>
          </cell>
          <cell r="M204" t="str">
            <v>2D0101</v>
          </cell>
          <cell r="N204" t="str">
            <v>ULTRAPROOF RMX</v>
          </cell>
        </row>
        <row r="205">
          <cell r="C205" t="str">
            <v>100001191</v>
          </cell>
          <cell r="D205" t="str">
            <v>UPR-960 PRIME GREY 0044 VN-20KP</v>
          </cell>
          <cell r="E205" t="str">
            <v>ZFGD</v>
          </cell>
          <cell r="F205" t="str">
            <v>PC</v>
          </cell>
          <cell r="G205" t="str">
            <v>2</v>
          </cell>
          <cell r="H205" t="str">
            <v>RETAIL</v>
          </cell>
          <cell r="I205" t="str">
            <v>2D</v>
          </cell>
          <cell r="J205" t="str">
            <v>APCT2</v>
          </cell>
          <cell r="K205" t="str">
            <v>2D01</v>
          </cell>
          <cell r="L205" t="str">
            <v>ULTRAPROOF</v>
          </cell>
          <cell r="M205" t="str">
            <v>2D0101</v>
          </cell>
          <cell r="N205" t="str">
            <v>ULTRAPROOF RMX</v>
          </cell>
        </row>
        <row r="206">
          <cell r="C206" t="str">
            <v>100001192</v>
          </cell>
          <cell r="D206" t="str">
            <v>UPR-960 SAND STONE 0045 VN-4K</v>
          </cell>
          <cell r="E206" t="str">
            <v>ZFGD</v>
          </cell>
          <cell r="F206" t="str">
            <v>PC</v>
          </cell>
          <cell r="G206" t="str">
            <v>2</v>
          </cell>
          <cell r="H206" t="str">
            <v>RETAIL</v>
          </cell>
          <cell r="I206" t="str">
            <v>2D</v>
          </cell>
          <cell r="J206" t="str">
            <v>APCT2</v>
          </cell>
          <cell r="K206" t="str">
            <v>2D01</v>
          </cell>
          <cell r="L206" t="str">
            <v>ULTRAPROOF</v>
          </cell>
          <cell r="M206" t="str">
            <v>2D0101</v>
          </cell>
          <cell r="N206" t="str">
            <v>ULTRAPROOF RMX</v>
          </cell>
        </row>
        <row r="207">
          <cell r="C207" t="str">
            <v>100001193</v>
          </cell>
          <cell r="D207" t="str">
            <v>UPR-960 SAND STONE 0045 VN-20KP</v>
          </cell>
          <cell r="E207" t="str">
            <v>ZFGD</v>
          </cell>
          <cell r="F207" t="str">
            <v>PC</v>
          </cell>
          <cell r="G207" t="str">
            <v>2</v>
          </cell>
          <cell r="H207" t="str">
            <v>RETAIL</v>
          </cell>
          <cell r="I207" t="str">
            <v>2D</v>
          </cell>
          <cell r="J207" t="str">
            <v>APCT2</v>
          </cell>
          <cell r="K207" t="str">
            <v>2D01</v>
          </cell>
          <cell r="L207" t="str">
            <v>ULTRAPROOF</v>
          </cell>
          <cell r="M207" t="str">
            <v>2D0101</v>
          </cell>
          <cell r="N207" t="str">
            <v>ULTRAPROOF RMX</v>
          </cell>
        </row>
        <row r="208">
          <cell r="C208" t="str">
            <v>100001194</v>
          </cell>
          <cell r="D208" t="str">
            <v>UPR-960 SUNKISS 0046 VN-4K</v>
          </cell>
          <cell r="E208" t="str">
            <v>ZFGD</v>
          </cell>
          <cell r="F208" t="str">
            <v>PC</v>
          </cell>
          <cell r="G208" t="str">
            <v>2</v>
          </cell>
          <cell r="H208" t="str">
            <v>RETAIL</v>
          </cell>
          <cell r="I208" t="str">
            <v>2D</v>
          </cell>
          <cell r="J208" t="str">
            <v>APCT2</v>
          </cell>
          <cell r="K208" t="str">
            <v>2D01</v>
          </cell>
          <cell r="L208" t="str">
            <v>ULTRAPROOF</v>
          </cell>
          <cell r="M208" t="str">
            <v>2D0101</v>
          </cell>
          <cell r="N208" t="str">
            <v>ULTRAPROOF RMX</v>
          </cell>
        </row>
        <row r="209">
          <cell r="C209" t="str">
            <v>100001195</v>
          </cell>
          <cell r="D209" t="str">
            <v>UPR-960 SUNKISS 0046 VN-20KP</v>
          </cell>
          <cell r="E209" t="str">
            <v>ZFGD</v>
          </cell>
          <cell r="F209" t="str">
            <v>PC</v>
          </cell>
          <cell r="G209" t="str">
            <v>2</v>
          </cell>
          <cell r="H209" t="str">
            <v>RETAIL</v>
          </cell>
          <cell r="I209" t="str">
            <v>2D</v>
          </cell>
          <cell r="J209" t="str">
            <v>APCT2</v>
          </cell>
          <cell r="K209" t="str">
            <v>2D01</v>
          </cell>
          <cell r="L209" t="str">
            <v>ULTRAPROOF</v>
          </cell>
          <cell r="M209" t="str">
            <v>2D0101</v>
          </cell>
          <cell r="N209" t="str">
            <v>ULTRAPROOF RMX</v>
          </cell>
        </row>
        <row r="210">
          <cell r="C210" t="str">
            <v>100001196</v>
          </cell>
          <cell r="D210" t="str">
            <v>UPR-960 SUMMER SALAD 0065 VN-4K</v>
          </cell>
          <cell r="E210" t="str">
            <v>ZFGD</v>
          </cell>
          <cell r="F210" t="str">
            <v>PC</v>
          </cell>
          <cell r="G210" t="str">
            <v>2</v>
          </cell>
          <cell r="H210" t="str">
            <v>RETAIL</v>
          </cell>
          <cell r="I210" t="str">
            <v>2D</v>
          </cell>
          <cell r="J210" t="str">
            <v>APCT2</v>
          </cell>
          <cell r="K210" t="str">
            <v>2D01</v>
          </cell>
          <cell r="L210" t="str">
            <v>ULTRAPROOF</v>
          </cell>
          <cell r="M210" t="str">
            <v>2D0101</v>
          </cell>
          <cell r="N210" t="str">
            <v>ULTRAPROOF RMX</v>
          </cell>
        </row>
        <row r="211">
          <cell r="C211" t="str">
            <v>100001197</v>
          </cell>
          <cell r="D211" t="str">
            <v>UPR-960 SUMMER SALAD 0065 VN-20KP</v>
          </cell>
          <cell r="E211" t="str">
            <v>ZFGD</v>
          </cell>
          <cell r="F211" t="str">
            <v>PC</v>
          </cell>
          <cell r="G211" t="str">
            <v>2</v>
          </cell>
          <cell r="H211" t="str">
            <v>RETAIL</v>
          </cell>
          <cell r="I211" t="str">
            <v>2D</v>
          </cell>
          <cell r="J211" t="str">
            <v>APCT2</v>
          </cell>
          <cell r="K211" t="str">
            <v>2D01</v>
          </cell>
          <cell r="L211" t="str">
            <v>ULTRAPROOF</v>
          </cell>
          <cell r="M211" t="str">
            <v>2D0101</v>
          </cell>
          <cell r="N211" t="str">
            <v>ULTRAPROOF RMX</v>
          </cell>
        </row>
        <row r="212">
          <cell r="C212" t="str">
            <v>100001198</v>
          </cell>
          <cell r="D212" t="str">
            <v>UPR-960 CAPPUCINO 0067 VN-4K</v>
          </cell>
          <cell r="E212" t="str">
            <v>ZFGD</v>
          </cell>
          <cell r="F212" t="str">
            <v>PC</v>
          </cell>
          <cell r="G212" t="str">
            <v>2</v>
          </cell>
          <cell r="H212" t="str">
            <v>RETAIL</v>
          </cell>
          <cell r="I212" t="str">
            <v>2D</v>
          </cell>
          <cell r="J212" t="str">
            <v>APCT2</v>
          </cell>
          <cell r="K212" t="str">
            <v>2D01</v>
          </cell>
          <cell r="L212" t="str">
            <v>ULTRAPROOF</v>
          </cell>
          <cell r="M212" t="str">
            <v>2D0101</v>
          </cell>
          <cell r="N212" t="str">
            <v>ULTRAPROOF RMX</v>
          </cell>
        </row>
        <row r="213">
          <cell r="C213" t="str">
            <v>100001199</v>
          </cell>
          <cell r="D213" t="str">
            <v>UPR-960 CAPPUCINO 0067 VN-20KP</v>
          </cell>
          <cell r="E213" t="str">
            <v>ZFGD</v>
          </cell>
          <cell r="F213" t="str">
            <v>PC</v>
          </cell>
          <cell r="G213" t="str">
            <v>2</v>
          </cell>
          <cell r="H213" t="str">
            <v>RETAIL</v>
          </cell>
          <cell r="I213" t="str">
            <v>2D</v>
          </cell>
          <cell r="J213" t="str">
            <v>APCT2</v>
          </cell>
          <cell r="K213" t="str">
            <v>2D01</v>
          </cell>
          <cell r="L213" t="str">
            <v>ULTRAPROOF</v>
          </cell>
          <cell r="M213" t="str">
            <v>2D0101</v>
          </cell>
          <cell r="N213" t="str">
            <v>ULTRAPROOF RMX</v>
          </cell>
        </row>
        <row r="214">
          <cell r="C214" t="str">
            <v>100001200</v>
          </cell>
          <cell r="D214" t="str">
            <v>US-970 APRICOT 1141 VN-1K</v>
          </cell>
          <cell r="E214" t="str">
            <v>ZFGD</v>
          </cell>
          <cell r="F214" t="str">
            <v>PC</v>
          </cell>
          <cell r="G214" t="str">
            <v>2</v>
          </cell>
          <cell r="H214" t="str">
            <v>RETAIL</v>
          </cell>
          <cell r="I214" t="str">
            <v>28</v>
          </cell>
          <cell r="J214" t="str">
            <v>CPC2</v>
          </cell>
          <cell r="K214" t="str">
            <v>2807</v>
          </cell>
          <cell r="L214" t="str">
            <v>ULTRASEAL</v>
          </cell>
          <cell r="M214" t="str">
            <v>280701</v>
          </cell>
          <cell r="N214" t="str">
            <v>ULTRASEAL</v>
          </cell>
        </row>
        <row r="215">
          <cell r="C215" t="str">
            <v>100001201</v>
          </cell>
          <cell r="D215" t="str">
            <v>US-970 APRICOT 1141 VN-4K</v>
          </cell>
          <cell r="E215" t="str">
            <v>ZFGD</v>
          </cell>
          <cell r="F215" t="str">
            <v>PC</v>
          </cell>
          <cell r="G215" t="str">
            <v>2</v>
          </cell>
          <cell r="H215" t="str">
            <v>RETAIL</v>
          </cell>
          <cell r="I215" t="str">
            <v>28</v>
          </cell>
          <cell r="J215" t="str">
            <v>CPC2</v>
          </cell>
          <cell r="K215" t="str">
            <v>2807</v>
          </cell>
          <cell r="L215" t="str">
            <v>ULTRASEAL</v>
          </cell>
          <cell r="M215" t="str">
            <v>280701</v>
          </cell>
          <cell r="N215" t="str">
            <v>ULTRASEAL</v>
          </cell>
        </row>
        <row r="216">
          <cell r="C216" t="str">
            <v>100001202</v>
          </cell>
          <cell r="D216" t="str">
            <v>US-970 APRICOT 1141 VN-20KP</v>
          </cell>
          <cell r="E216" t="str">
            <v>ZFGD</v>
          </cell>
          <cell r="F216" t="str">
            <v>PC</v>
          </cell>
          <cell r="G216" t="str">
            <v>2</v>
          </cell>
          <cell r="H216" t="str">
            <v>RETAIL</v>
          </cell>
          <cell r="I216" t="str">
            <v>28</v>
          </cell>
          <cell r="J216" t="str">
            <v>CPC2</v>
          </cell>
          <cell r="K216" t="str">
            <v>2807</v>
          </cell>
          <cell r="L216" t="str">
            <v>ULTRASEAL</v>
          </cell>
          <cell r="M216" t="str">
            <v>280701</v>
          </cell>
          <cell r="N216" t="str">
            <v>ULTRASEAL</v>
          </cell>
        </row>
        <row r="217">
          <cell r="C217" t="str">
            <v>100001203</v>
          </cell>
          <cell r="D217" t="str">
            <v>US-970 LOTUS 1134 VN-1K</v>
          </cell>
          <cell r="E217" t="str">
            <v>ZFGD</v>
          </cell>
          <cell r="F217" t="str">
            <v>PC</v>
          </cell>
          <cell r="G217" t="str">
            <v>2</v>
          </cell>
          <cell r="H217" t="str">
            <v>RETAIL</v>
          </cell>
          <cell r="I217" t="str">
            <v>28</v>
          </cell>
          <cell r="J217" t="str">
            <v>CPC2</v>
          </cell>
          <cell r="K217" t="str">
            <v>2807</v>
          </cell>
          <cell r="L217" t="str">
            <v>ULTRASEAL</v>
          </cell>
          <cell r="M217" t="str">
            <v>280701</v>
          </cell>
          <cell r="N217" t="str">
            <v>ULTRASEAL</v>
          </cell>
        </row>
        <row r="218">
          <cell r="C218" t="str">
            <v>100001204</v>
          </cell>
          <cell r="D218" t="str">
            <v>US-970 LOTUS 1134 VN-4K</v>
          </cell>
          <cell r="E218" t="str">
            <v>ZFGD</v>
          </cell>
          <cell r="F218" t="str">
            <v>PC</v>
          </cell>
          <cell r="G218" t="str">
            <v>2</v>
          </cell>
          <cell r="H218" t="str">
            <v>RETAIL</v>
          </cell>
          <cell r="I218" t="str">
            <v>28</v>
          </cell>
          <cell r="J218" t="str">
            <v>CPC2</v>
          </cell>
          <cell r="K218" t="str">
            <v>2807</v>
          </cell>
          <cell r="L218" t="str">
            <v>ULTRASEAL</v>
          </cell>
          <cell r="M218" t="str">
            <v>280701</v>
          </cell>
          <cell r="N218" t="str">
            <v>ULTRASEAL</v>
          </cell>
        </row>
        <row r="219">
          <cell r="C219" t="str">
            <v>100001205</v>
          </cell>
          <cell r="D219" t="str">
            <v>US-970 LOTUS 1134 VN-20KP</v>
          </cell>
          <cell r="E219" t="str">
            <v>ZFGD</v>
          </cell>
          <cell r="F219" t="str">
            <v>PC</v>
          </cell>
          <cell r="G219" t="str">
            <v>2</v>
          </cell>
          <cell r="H219" t="str">
            <v>RETAIL</v>
          </cell>
          <cell r="I219" t="str">
            <v>28</v>
          </cell>
          <cell r="J219" t="str">
            <v>CPC2</v>
          </cell>
          <cell r="K219" t="str">
            <v>2807</v>
          </cell>
          <cell r="L219" t="str">
            <v>ULTRASEAL</v>
          </cell>
          <cell r="M219" t="str">
            <v>280701</v>
          </cell>
          <cell r="N219" t="str">
            <v>ULTRASEAL</v>
          </cell>
        </row>
        <row r="220">
          <cell r="C220" t="str">
            <v>100001206</v>
          </cell>
          <cell r="D220" t="str">
            <v>US-970 MARINE GREEN 7107 VN-1K</v>
          </cell>
          <cell r="E220" t="str">
            <v>ZFGD</v>
          </cell>
          <cell r="F220" t="str">
            <v>PC</v>
          </cell>
          <cell r="G220" t="str">
            <v>2</v>
          </cell>
          <cell r="H220" t="str">
            <v>RETAIL</v>
          </cell>
          <cell r="I220" t="str">
            <v>28</v>
          </cell>
          <cell r="J220" t="str">
            <v>CPC2</v>
          </cell>
          <cell r="K220" t="str">
            <v>2807</v>
          </cell>
          <cell r="L220" t="str">
            <v>ULTRASEAL</v>
          </cell>
          <cell r="M220" t="str">
            <v>280701</v>
          </cell>
          <cell r="N220" t="str">
            <v>ULTRASEAL</v>
          </cell>
        </row>
        <row r="221">
          <cell r="C221" t="str">
            <v>100001207</v>
          </cell>
          <cell r="D221" t="str">
            <v>US-970 MARINE GREEN 7107 VN-4K</v>
          </cell>
          <cell r="E221" t="str">
            <v>ZFGD</v>
          </cell>
          <cell r="F221" t="str">
            <v>PC</v>
          </cell>
          <cell r="G221" t="str">
            <v>2</v>
          </cell>
          <cell r="H221" t="str">
            <v>RETAIL</v>
          </cell>
          <cell r="I221" t="str">
            <v>28</v>
          </cell>
          <cell r="J221" t="str">
            <v>CPC2</v>
          </cell>
          <cell r="K221" t="str">
            <v>2807</v>
          </cell>
          <cell r="L221" t="str">
            <v>ULTRASEAL</v>
          </cell>
          <cell r="M221" t="str">
            <v>280701</v>
          </cell>
          <cell r="N221" t="str">
            <v>ULTRASEAL</v>
          </cell>
        </row>
        <row r="222">
          <cell r="C222" t="str">
            <v>100001208</v>
          </cell>
          <cell r="D222" t="str">
            <v>US-970 MARINE GREEN 7107 VN-20KP</v>
          </cell>
          <cell r="E222" t="str">
            <v>ZFGD</v>
          </cell>
          <cell r="F222" t="str">
            <v>PC</v>
          </cell>
          <cell r="G222" t="str">
            <v>2</v>
          </cell>
          <cell r="H222" t="str">
            <v>RETAIL</v>
          </cell>
          <cell r="I222" t="str">
            <v>28</v>
          </cell>
          <cell r="J222" t="str">
            <v>CPC2</v>
          </cell>
          <cell r="K222" t="str">
            <v>2807</v>
          </cell>
          <cell r="L222" t="str">
            <v>ULTRASEAL</v>
          </cell>
          <cell r="M222" t="str">
            <v>280701</v>
          </cell>
          <cell r="N222" t="str">
            <v>ULTRASEAL</v>
          </cell>
        </row>
        <row r="223">
          <cell r="C223" t="str">
            <v>100001209</v>
          </cell>
          <cell r="D223" t="str">
            <v>US-970 PASTEL GREY 8403 VN-1K</v>
          </cell>
          <cell r="E223" t="str">
            <v>ZFGD</v>
          </cell>
          <cell r="F223" t="str">
            <v>PC</v>
          </cell>
          <cell r="G223" t="str">
            <v>2</v>
          </cell>
          <cell r="H223" t="str">
            <v>RETAIL</v>
          </cell>
          <cell r="I223" t="str">
            <v>28</v>
          </cell>
          <cell r="J223" t="str">
            <v>CPC2</v>
          </cell>
          <cell r="K223" t="str">
            <v>2807</v>
          </cell>
          <cell r="L223" t="str">
            <v>ULTRASEAL</v>
          </cell>
          <cell r="M223" t="str">
            <v>280701</v>
          </cell>
          <cell r="N223" t="str">
            <v>ULTRASEAL</v>
          </cell>
        </row>
        <row r="224">
          <cell r="C224" t="str">
            <v>100001210</v>
          </cell>
          <cell r="D224" t="str">
            <v>US-970 PASTEL GREY 8403 VN-4K</v>
          </cell>
          <cell r="E224" t="str">
            <v>ZFGD</v>
          </cell>
          <cell r="F224" t="str">
            <v>PC</v>
          </cell>
          <cell r="G224" t="str">
            <v>2</v>
          </cell>
          <cell r="H224" t="str">
            <v>RETAIL</v>
          </cell>
          <cell r="I224" t="str">
            <v>28</v>
          </cell>
          <cell r="J224" t="str">
            <v>CPC2</v>
          </cell>
          <cell r="K224" t="str">
            <v>2807</v>
          </cell>
          <cell r="L224" t="str">
            <v>ULTRASEAL</v>
          </cell>
          <cell r="M224" t="str">
            <v>280701</v>
          </cell>
          <cell r="N224" t="str">
            <v>ULTRASEAL</v>
          </cell>
        </row>
        <row r="225">
          <cell r="C225" t="str">
            <v>100001211</v>
          </cell>
          <cell r="D225" t="str">
            <v>US-970 PASTEL GREY 8403 VN-20KP</v>
          </cell>
          <cell r="E225" t="str">
            <v>ZFGD</v>
          </cell>
          <cell r="F225" t="str">
            <v>PC</v>
          </cell>
          <cell r="G225" t="str">
            <v>2</v>
          </cell>
          <cell r="H225" t="str">
            <v>RETAIL</v>
          </cell>
          <cell r="I225" t="str">
            <v>28</v>
          </cell>
          <cell r="J225" t="str">
            <v>CPC2</v>
          </cell>
          <cell r="K225" t="str">
            <v>2807</v>
          </cell>
          <cell r="L225" t="str">
            <v>ULTRASEAL</v>
          </cell>
          <cell r="M225" t="str">
            <v>280701</v>
          </cell>
          <cell r="N225" t="str">
            <v>ULTRASEAL</v>
          </cell>
        </row>
        <row r="226">
          <cell r="C226" t="str">
            <v>100001212</v>
          </cell>
          <cell r="D226" t="str">
            <v>US-970 PRIME GREY 9401 VN-1K</v>
          </cell>
          <cell r="E226" t="str">
            <v>ZFGD</v>
          </cell>
          <cell r="F226" t="str">
            <v>PC</v>
          </cell>
          <cell r="G226" t="str">
            <v>2</v>
          </cell>
          <cell r="H226" t="str">
            <v>RETAIL</v>
          </cell>
          <cell r="I226" t="str">
            <v>28</v>
          </cell>
          <cell r="J226" t="str">
            <v>CPC2</v>
          </cell>
          <cell r="K226" t="str">
            <v>2807</v>
          </cell>
          <cell r="L226" t="str">
            <v>ULTRASEAL</v>
          </cell>
          <cell r="M226" t="str">
            <v>280701</v>
          </cell>
          <cell r="N226" t="str">
            <v>ULTRASEAL</v>
          </cell>
        </row>
        <row r="227">
          <cell r="C227" t="str">
            <v>100001213</v>
          </cell>
          <cell r="D227" t="str">
            <v>#NOT USED  PRIME GREY 9401 VN-4K</v>
          </cell>
          <cell r="E227" t="str">
            <v>ZFGD</v>
          </cell>
          <cell r="F227" t="str">
            <v>PC</v>
          </cell>
          <cell r="G227" t="str">
            <v>2</v>
          </cell>
          <cell r="H227" t="str">
            <v>RETAIL</v>
          </cell>
          <cell r="I227" t="str">
            <v>28</v>
          </cell>
          <cell r="J227" t="str">
            <v>CPC2</v>
          </cell>
          <cell r="K227" t="str">
            <v>2801</v>
          </cell>
          <cell r="L227" t="str">
            <v>WATERPROOFING</v>
          </cell>
          <cell r="M227" t="str">
            <v>280104</v>
          </cell>
          <cell r="N227" t="str">
            <v>ULTRASEAL</v>
          </cell>
        </row>
        <row r="228">
          <cell r="C228" t="str">
            <v>100001214</v>
          </cell>
          <cell r="D228" t="str">
            <v>US-970 PRIME GREY 9401 VN-20KP</v>
          </cell>
          <cell r="E228" t="str">
            <v>ZFGD</v>
          </cell>
          <cell r="F228" t="str">
            <v>PC</v>
          </cell>
          <cell r="G228" t="str">
            <v>2</v>
          </cell>
          <cell r="H228" t="str">
            <v>RETAIL</v>
          </cell>
          <cell r="I228" t="str">
            <v>28</v>
          </cell>
          <cell r="J228" t="str">
            <v>CPC2</v>
          </cell>
          <cell r="K228" t="str">
            <v>2807</v>
          </cell>
          <cell r="L228" t="str">
            <v>ULTRASEAL</v>
          </cell>
          <cell r="M228" t="str">
            <v>280701</v>
          </cell>
          <cell r="N228" t="str">
            <v>ULTRASEAL</v>
          </cell>
        </row>
        <row r="229">
          <cell r="C229" t="str">
            <v>100001215</v>
          </cell>
          <cell r="D229" t="str">
            <v>US-970 TILE BROWN 3406 VN-1K</v>
          </cell>
          <cell r="E229" t="str">
            <v>ZFGD</v>
          </cell>
          <cell r="F229" t="str">
            <v>PC</v>
          </cell>
          <cell r="G229" t="str">
            <v>2</v>
          </cell>
          <cell r="H229" t="str">
            <v>RETAIL</v>
          </cell>
          <cell r="I229" t="str">
            <v>28</v>
          </cell>
          <cell r="J229" t="str">
            <v>CPC2</v>
          </cell>
          <cell r="K229" t="str">
            <v>2807</v>
          </cell>
          <cell r="L229" t="str">
            <v>ULTRASEAL</v>
          </cell>
          <cell r="M229" t="str">
            <v>280701</v>
          </cell>
          <cell r="N229" t="str">
            <v>ULTRASEAL</v>
          </cell>
        </row>
        <row r="230">
          <cell r="C230" t="str">
            <v>100001216</v>
          </cell>
          <cell r="D230" t="str">
            <v>US-970 TILE BROWN 3406 VN-4K</v>
          </cell>
          <cell r="E230" t="str">
            <v>ZFGD</v>
          </cell>
          <cell r="F230" t="str">
            <v>PC</v>
          </cell>
          <cell r="G230" t="str">
            <v>2</v>
          </cell>
          <cell r="H230" t="str">
            <v>RETAIL</v>
          </cell>
          <cell r="I230" t="str">
            <v>28</v>
          </cell>
          <cell r="J230" t="str">
            <v>CPC2</v>
          </cell>
          <cell r="K230" t="str">
            <v>2807</v>
          </cell>
          <cell r="L230" t="str">
            <v>ULTRASEAL</v>
          </cell>
          <cell r="M230" t="str">
            <v>280701</v>
          </cell>
          <cell r="N230" t="str">
            <v>ULTRASEAL</v>
          </cell>
        </row>
        <row r="231">
          <cell r="C231" t="str">
            <v>100001217</v>
          </cell>
          <cell r="D231" t="str">
            <v>US-970 TILE BROWN 3406 VN-20KP</v>
          </cell>
          <cell r="E231" t="str">
            <v>ZFGD</v>
          </cell>
          <cell r="F231" t="str">
            <v>PC</v>
          </cell>
          <cell r="G231" t="str">
            <v>2</v>
          </cell>
          <cell r="H231" t="str">
            <v>RETAIL</v>
          </cell>
          <cell r="I231" t="str">
            <v>28</v>
          </cell>
          <cell r="J231" t="str">
            <v>CPC2</v>
          </cell>
          <cell r="K231" t="str">
            <v>2807</v>
          </cell>
          <cell r="L231" t="str">
            <v>ULTRASEAL</v>
          </cell>
          <cell r="M231" t="str">
            <v>280701</v>
          </cell>
          <cell r="N231" t="str">
            <v>ULTRASEAL</v>
          </cell>
        </row>
        <row r="232">
          <cell r="C232" t="str">
            <v>100001218</v>
          </cell>
          <cell r="D232" t="str">
            <v>US-970 TROPICAL GREEN 7411 VN-1K</v>
          </cell>
          <cell r="E232" t="str">
            <v>ZFGD</v>
          </cell>
          <cell r="F232" t="str">
            <v>PC</v>
          </cell>
          <cell r="G232" t="str">
            <v>2</v>
          </cell>
          <cell r="H232" t="str">
            <v>RETAIL</v>
          </cell>
          <cell r="I232" t="str">
            <v>28</v>
          </cell>
          <cell r="J232" t="str">
            <v>CPC2</v>
          </cell>
          <cell r="K232" t="str">
            <v>2807</v>
          </cell>
          <cell r="L232" t="str">
            <v>ULTRASEAL</v>
          </cell>
          <cell r="M232" t="str">
            <v>280701</v>
          </cell>
          <cell r="N232" t="str">
            <v>ULTRASEAL</v>
          </cell>
        </row>
        <row r="233">
          <cell r="C233" t="str">
            <v>100001219</v>
          </cell>
          <cell r="D233" t="str">
            <v>US-970 TROPICAL GREEN 7411 VN-4K</v>
          </cell>
          <cell r="E233" t="str">
            <v>ZFGD</v>
          </cell>
          <cell r="F233" t="str">
            <v>PC</v>
          </cell>
          <cell r="G233" t="str">
            <v>2</v>
          </cell>
          <cell r="H233" t="str">
            <v>RETAIL</v>
          </cell>
          <cell r="I233" t="str">
            <v>28</v>
          </cell>
          <cell r="J233" t="str">
            <v>CPC2</v>
          </cell>
          <cell r="K233" t="str">
            <v>2807</v>
          </cell>
          <cell r="L233" t="str">
            <v>ULTRASEAL</v>
          </cell>
          <cell r="M233" t="str">
            <v>280701</v>
          </cell>
          <cell r="N233" t="str">
            <v>ULTRASEAL</v>
          </cell>
        </row>
        <row r="234">
          <cell r="C234" t="str">
            <v>100001220</v>
          </cell>
          <cell r="D234" t="str">
            <v>US-970 TROPICAL GREEN 7411 VN-20KP</v>
          </cell>
          <cell r="E234" t="str">
            <v>ZFGD</v>
          </cell>
          <cell r="F234" t="str">
            <v>PC</v>
          </cell>
          <cell r="G234" t="str">
            <v>2</v>
          </cell>
          <cell r="H234" t="str">
            <v>RETAIL</v>
          </cell>
          <cell r="I234" t="str">
            <v>28</v>
          </cell>
          <cell r="J234" t="str">
            <v>CPC2</v>
          </cell>
          <cell r="K234" t="str">
            <v>2807</v>
          </cell>
          <cell r="L234" t="str">
            <v>ULTRASEAL</v>
          </cell>
          <cell r="M234" t="str">
            <v>280701</v>
          </cell>
          <cell r="N234" t="str">
            <v>ULTRASEAL</v>
          </cell>
        </row>
        <row r="235">
          <cell r="C235" t="str">
            <v>100001221</v>
          </cell>
          <cell r="D235" t="str">
            <v>US-970 WHITE 9101 VN-1K</v>
          </cell>
          <cell r="E235" t="str">
            <v>ZFGD</v>
          </cell>
          <cell r="F235" t="str">
            <v>PC</v>
          </cell>
          <cell r="G235" t="str">
            <v>2</v>
          </cell>
          <cell r="H235" t="str">
            <v>RETAIL</v>
          </cell>
          <cell r="I235" t="str">
            <v>28</v>
          </cell>
          <cell r="J235" t="str">
            <v>CPC2</v>
          </cell>
          <cell r="K235" t="str">
            <v>2807</v>
          </cell>
          <cell r="L235" t="str">
            <v>ULTRASEAL</v>
          </cell>
          <cell r="M235" t="str">
            <v>280701</v>
          </cell>
          <cell r="N235" t="str">
            <v>ULTRASEAL</v>
          </cell>
        </row>
        <row r="236">
          <cell r="C236" t="str">
            <v>100001222</v>
          </cell>
          <cell r="D236" t="str">
            <v>US-970 WHITE 9101 VN-4K</v>
          </cell>
          <cell r="E236" t="str">
            <v>ZFGD</v>
          </cell>
          <cell r="F236" t="str">
            <v>PC</v>
          </cell>
          <cell r="G236" t="str">
            <v>2</v>
          </cell>
          <cell r="H236" t="str">
            <v>RETAIL</v>
          </cell>
          <cell r="I236" t="str">
            <v>28</v>
          </cell>
          <cell r="J236" t="str">
            <v>CPC2</v>
          </cell>
          <cell r="K236" t="str">
            <v>2807</v>
          </cell>
          <cell r="L236" t="str">
            <v>ULTRASEAL</v>
          </cell>
          <cell r="M236" t="str">
            <v>280701</v>
          </cell>
          <cell r="N236" t="str">
            <v>ULTRASEAL</v>
          </cell>
        </row>
        <row r="237">
          <cell r="C237" t="str">
            <v>100001223</v>
          </cell>
          <cell r="D237" t="str">
            <v>US-970 WHITE 9101 VN-20KP</v>
          </cell>
          <cell r="E237" t="str">
            <v>ZFGD</v>
          </cell>
          <cell r="F237" t="str">
            <v>PC</v>
          </cell>
          <cell r="G237" t="str">
            <v>2</v>
          </cell>
          <cell r="H237" t="str">
            <v>RETAIL</v>
          </cell>
          <cell r="I237" t="str">
            <v>28</v>
          </cell>
          <cell r="J237" t="str">
            <v>CPC2</v>
          </cell>
          <cell r="K237" t="str">
            <v>2807</v>
          </cell>
          <cell r="L237" t="str">
            <v>ULTRASEAL</v>
          </cell>
          <cell r="M237" t="str">
            <v>280701</v>
          </cell>
          <cell r="N237" t="str">
            <v>ULTRASEAL</v>
          </cell>
        </row>
        <row r="238">
          <cell r="C238" t="str">
            <v>100001224</v>
          </cell>
          <cell r="D238" t="str">
            <v>US-970 CRYSTAL BLUE 7104 VN-1K</v>
          </cell>
          <cell r="E238" t="str">
            <v>ZFGD</v>
          </cell>
          <cell r="F238" t="str">
            <v>PC</v>
          </cell>
          <cell r="G238" t="str">
            <v>2</v>
          </cell>
          <cell r="H238" t="str">
            <v>RETAIL</v>
          </cell>
          <cell r="I238" t="str">
            <v>28</v>
          </cell>
          <cell r="J238" t="str">
            <v>CPC2</v>
          </cell>
          <cell r="K238" t="str">
            <v>2807</v>
          </cell>
          <cell r="L238" t="str">
            <v>ULTRASEAL</v>
          </cell>
          <cell r="M238" t="str">
            <v>280701</v>
          </cell>
          <cell r="N238" t="str">
            <v>ULTRASEAL</v>
          </cell>
        </row>
        <row r="239">
          <cell r="C239" t="str">
            <v>100001225</v>
          </cell>
          <cell r="D239" t="str">
            <v>US-970 CRYSTAL BLUE 7104 VN-4K</v>
          </cell>
          <cell r="E239" t="str">
            <v>ZFGD</v>
          </cell>
          <cell r="F239" t="str">
            <v>PC</v>
          </cell>
          <cell r="G239" t="str">
            <v>2</v>
          </cell>
          <cell r="H239" t="str">
            <v>RETAIL</v>
          </cell>
          <cell r="I239" t="str">
            <v>28</v>
          </cell>
          <cell r="J239" t="str">
            <v>CPC2</v>
          </cell>
          <cell r="K239" t="str">
            <v>2807</v>
          </cell>
          <cell r="L239" t="str">
            <v>ULTRASEAL</v>
          </cell>
          <cell r="M239" t="str">
            <v>280701</v>
          </cell>
          <cell r="N239" t="str">
            <v>ULTRASEAL</v>
          </cell>
        </row>
        <row r="240">
          <cell r="C240" t="str">
            <v>100001226</v>
          </cell>
          <cell r="D240" t="str">
            <v>US-970 CRYSTAL BLUE 7104 VN-20KP</v>
          </cell>
          <cell r="E240" t="str">
            <v>ZFGD</v>
          </cell>
          <cell r="F240" t="str">
            <v>PC</v>
          </cell>
          <cell r="G240" t="str">
            <v>2</v>
          </cell>
          <cell r="H240" t="str">
            <v>RETAIL</v>
          </cell>
          <cell r="I240" t="str">
            <v>28</v>
          </cell>
          <cell r="J240" t="str">
            <v>CPC2</v>
          </cell>
          <cell r="K240" t="str">
            <v>2807</v>
          </cell>
          <cell r="L240" t="str">
            <v>ULTRASEAL</v>
          </cell>
          <cell r="M240" t="str">
            <v>280701</v>
          </cell>
          <cell r="N240" t="str">
            <v>ULTRASEAL</v>
          </cell>
        </row>
        <row r="241">
          <cell r="C241" t="str">
            <v>100001227</v>
          </cell>
          <cell r="D241" t="str">
            <v>US-970 MORNING STAR 1109 VN-1K</v>
          </cell>
          <cell r="E241" t="str">
            <v>ZFGD</v>
          </cell>
          <cell r="F241" t="str">
            <v>PC</v>
          </cell>
          <cell r="G241" t="str">
            <v>2</v>
          </cell>
          <cell r="H241" t="str">
            <v>RETAIL</v>
          </cell>
          <cell r="I241" t="str">
            <v>28</v>
          </cell>
          <cell r="J241" t="str">
            <v>CPC2</v>
          </cell>
          <cell r="K241" t="str">
            <v>2807</v>
          </cell>
          <cell r="L241" t="str">
            <v>ULTRASEAL</v>
          </cell>
          <cell r="M241" t="str">
            <v>280701</v>
          </cell>
          <cell r="N241" t="str">
            <v>ULTRASEAL</v>
          </cell>
        </row>
        <row r="242">
          <cell r="C242" t="str">
            <v>100001228</v>
          </cell>
          <cell r="D242" t="str">
            <v>US-970 MORNING STAR 1109 VN-4K</v>
          </cell>
          <cell r="E242" t="str">
            <v>ZFGD</v>
          </cell>
          <cell r="F242" t="str">
            <v>PC</v>
          </cell>
          <cell r="G242" t="str">
            <v>2</v>
          </cell>
          <cell r="H242" t="str">
            <v>RETAIL</v>
          </cell>
          <cell r="I242" t="str">
            <v>28</v>
          </cell>
          <cell r="J242" t="str">
            <v>CPC2</v>
          </cell>
          <cell r="K242" t="str">
            <v>2807</v>
          </cell>
          <cell r="L242" t="str">
            <v>ULTRASEAL</v>
          </cell>
          <cell r="M242" t="str">
            <v>280701</v>
          </cell>
          <cell r="N242" t="str">
            <v>ULTRASEAL</v>
          </cell>
        </row>
        <row r="243">
          <cell r="C243" t="str">
            <v>100001229</v>
          </cell>
          <cell r="D243" t="str">
            <v>US-970 MORNING STAR 1109 VN-20KP</v>
          </cell>
          <cell r="E243" t="str">
            <v>ZFGD</v>
          </cell>
          <cell r="F243" t="str">
            <v>PC</v>
          </cell>
          <cell r="G243" t="str">
            <v>2</v>
          </cell>
          <cell r="H243" t="str">
            <v>RETAIL</v>
          </cell>
          <cell r="I243" t="str">
            <v>28</v>
          </cell>
          <cell r="J243" t="str">
            <v>CPC2</v>
          </cell>
          <cell r="K243" t="str">
            <v>2807</v>
          </cell>
          <cell r="L243" t="str">
            <v>ULTRASEAL</v>
          </cell>
          <cell r="M243" t="str">
            <v>280701</v>
          </cell>
          <cell r="N243" t="str">
            <v>ULTRASEAL</v>
          </cell>
        </row>
        <row r="244">
          <cell r="C244" t="str">
            <v>100001230</v>
          </cell>
          <cell r="D244" t="str">
            <v>US-970 INDIAN RED 2412 VN-1K</v>
          </cell>
          <cell r="E244" t="str">
            <v>ZFGD</v>
          </cell>
          <cell r="F244" t="str">
            <v>PC</v>
          </cell>
          <cell r="G244" t="str">
            <v>2</v>
          </cell>
          <cell r="H244" t="str">
            <v>RETAIL</v>
          </cell>
          <cell r="I244" t="str">
            <v>28</v>
          </cell>
          <cell r="J244" t="str">
            <v>CPC2</v>
          </cell>
          <cell r="K244" t="str">
            <v>2807</v>
          </cell>
          <cell r="L244" t="str">
            <v>ULTRASEAL</v>
          </cell>
          <cell r="M244" t="str">
            <v>280701</v>
          </cell>
          <cell r="N244" t="str">
            <v>ULTRASEAL</v>
          </cell>
        </row>
        <row r="245">
          <cell r="C245" t="str">
            <v>100001231</v>
          </cell>
          <cell r="D245" t="str">
            <v>US-970 INDIAN RED 2412 VN-4K</v>
          </cell>
          <cell r="E245" t="str">
            <v>ZFGD</v>
          </cell>
          <cell r="F245" t="str">
            <v>PC</v>
          </cell>
          <cell r="G245" t="str">
            <v>2</v>
          </cell>
          <cell r="H245" t="str">
            <v>RETAIL</v>
          </cell>
          <cell r="I245" t="str">
            <v>28</v>
          </cell>
          <cell r="J245" t="str">
            <v>CPC2</v>
          </cell>
          <cell r="K245" t="str">
            <v>2807</v>
          </cell>
          <cell r="L245" t="str">
            <v>ULTRASEAL</v>
          </cell>
          <cell r="M245" t="str">
            <v>280701</v>
          </cell>
          <cell r="N245" t="str">
            <v>ULTRASEAL</v>
          </cell>
        </row>
        <row r="246">
          <cell r="C246" t="str">
            <v>100001232</v>
          </cell>
          <cell r="D246" t="str">
            <v>US-970 INDIAN RED 2412 VN-20KP</v>
          </cell>
          <cell r="E246" t="str">
            <v>ZFGD</v>
          </cell>
          <cell r="F246" t="str">
            <v>PC</v>
          </cell>
          <cell r="G246" t="str">
            <v>2</v>
          </cell>
          <cell r="H246" t="str">
            <v>RETAIL</v>
          </cell>
          <cell r="I246" t="str">
            <v>28</v>
          </cell>
          <cell r="J246" t="str">
            <v>CPC2</v>
          </cell>
          <cell r="K246" t="str">
            <v>2807</v>
          </cell>
          <cell r="L246" t="str">
            <v>ULTRASEAL</v>
          </cell>
          <cell r="M246" t="str">
            <v>280701</v>
          </cell>
          <cell r="N246" t="str">
            <v>ULTRASEAL</v>
          </cell>
        </row>
        <row r="247">
          <cell r="C247" t="str">
            <v>100001233</v>
          </cell>
          <cell r="D247" t="str">
            <v>US-970 AVOCADO 1107 VN-1K</v>
          </cell>
          <cell r="E247" t="str">
            <v>ZFGD</v>
          </cell>
          <cell r="F247" t="str">
            <v>PC</v>
          </cell>
          <cell r="G247" t="str">
            <v>2</v>
          </cell>
          <cell r="H247" t="str">
            <v>RETAIL</v>
          </cell>
          <cell r="I247" t="str">
            <v>28</v>
          </cell>
          <cell r="J247" t="str">
            <v>CPC2</v>
          </cell>
          <cell r="K247" t="str">
            <v>2807</v>
          </cell>
          <cell r="L247" t="str">
            <v>ULTRASEAL</v>
          </cell>
          <cell r="M247" t="str">
            <v>280701</v>
          </cell>
          <cell r="N247" t="str">
            <v>ULTRASEAL</v>
          </cell>
        </row>
        <row r="248">
          <cell r="C248" t="str">
            <v>100001234</v>
          </cell>
          <cell r="D248" t="str">
            <v>US-970 AVOCADO 1107 VN-4K</v>
          </cell>
          <cell r="E248" t="str">
            <v>ZFGD</v>
          </cell>
          <cell r="F248" t="str">
            <v>PC</v>
          </cell>
          <cell r="G248" t="str">
            <v>2</v>
          </cell>
          <cell r="H248" t="str">
            <v>RETAIL</v>
          </cell>
          <cell r="I248" t="str">
            <v>28</v>
          </cell>
          <cell r="J248" t="str">
            <v>CPC2</v>
          </cell>
          <cell r="K248" t="str">
            <v>2807</v>
          </cell>
          <cell r="L248" t="str">
            <v>ULTRASEAL</v>
          </cell>
          <cell r="M248" t="str">
            <v>280701</v>
          </cell>
          <cell r="N248" t="str">
            <v>ULTRASEAL</v>
          </cell>
        </row>
        <row r="249">
          <cell r="C249" t="str">
            <v>100001235</v>
          </cell>
          <cell r="D249" t="str">
            <v>US-970 AVOCADO 1107 VN-20KP</v>
          </cell>
          <cell r="E249" t="str">
            <v>ZFGD</v>
          </cell>
          <cell r="F249" t="str">
            <v>PC</v>
          </cell>
          <cell r="G249" t="str">
            <v>2</v>
          </cell>
          <cell r="H249" t="str">
            <v>RETAIL</v>
          </cell>
          <cell r="I249" t="str">
            <v>28</v>
          </cell>
          <cell r="J249" t="str">
            <v>CPC2</v>
          </cell>
          <cell r="K249" t="str">
            <v>2807</v>
          </cell>
          <cell r="L249" t="str">
            <v>ULTRASEAL</v>
          </cell>
          <cell r="M249" t="str">
            <v>280701</v>
          </cell>
          <cell r="N249" t="str">
            <v>ULTRASEAL</v>
          </cell>
        </row>
        <row r="250">
          <cell r="C250" t="str">
            <v>100001236</v>
          </cell>
          <cell r="D250" t="str">
            <v>US-970 SAVOY BLUE 6401 VN-1K</v>
          </cell>
          <cell r="E250" t="str">
            <v>ZFGD</v>
          </cell>
          <cell r="F250" t="str">
            <v>PC</v>
          </cell>
          <cell r="G250" t="str">
            <v>2</v>
          </cell>
          <cell r="H250" t="str">
            <v>RETAIL</v>
          </cell>
          <cell r="I250" t="str">
            <v>28</v>
          </cell>
          <cell r="J250" t="str">
            <v>CPC2</v>
          </cell>
          <cell r="K250" t="str">
            <v>2807</v>
          </cell>
          <cell r="L250" t="str">
            <v>ULTRASEAL</v>
          </cell>
          <cell r="M250" t="str">
            <v>280701</v>
          </cell>
          <cell r="N250" t="str">
            <v>ULTRASEAL</v>
          </cell>
        </row>
        <row r="251">
          <cell r="C251" t="str">
            <v>100001237</v>
          </cell>
          <cell r="D251" t="str">
            <v>US-970 SAVOY BLUE 6401 VN-4K</v>
          </cell>
          <cell r="E251" t="str">
            <v>ZFGD</v>
          </cell>
          <cell r="F251" t="str">
            <v>PC</v>
          </cell>
          <cell r="G251" t="str">
            <v>2</v>
          </cell>
          <cell r="H251" t="str">
            <v>RETAIL</v>
          </cell>
          <cell r="I251" t="str">
            <v>28</v>
          </cell>
          <cell r="J251" t="str">
            <v>CPC2</v>
          </cell>
          <cell r="K251" t="str">
            <v>2807</v>
          </cell>
          <cell r="L251" t="str">
            <v>ULTRASEAL</v>
          </cell>
          <cell r="M251" t="str">
            <v>280701</v>
          </cell>
          <cell r="N251" t="str">
            <v>ULTRASEAL</v>
          </cell>
        </row>
        <row r="252">
          <cell r="C252" t="str">
            <v>100001238</v>
          </cell>
          <cell r="D252" t="str">
            <v>US-970 SAVOY BLUE 6401 VN-20KP</v>
          </cell>
          <cell r="E252" t="str">
            <v>ZFGD</v>
          </cell>
          <cell r="F252" t="str">
            <v>PC</v>
          </cell>
          <cell r="G252" t="str">
            <v>2</v>
          </cell>
          <cell r="H252" t="str">
            <v>RETAIL</v>
          </cell>
          <cell r="I252" t="str">
            <v>28</v>
          </cell>
          <cell r="J252" t="str">
            <v>CPC2</v>
          </cell>
          <cell r="K252" t="str">
            <v>2807</v>
          </cell>
          <cell r="L252" t="str">
            <v>ULTRASEAL</v>
          </cell>
          <cell r="M252" t="str">
            <v>280701</v>
          </cell>
          <cell r="N252" t="str">
            <v>ULTRASEAL</v>
          </cell>
        </row>
        <row r="253">
          <cell r="C253" t="str">
            <v>100001239</v>
          </cell>
          <cell r="D253" t="str">
            <v>US-970 CARITA 1137 VN-1K</v>
          </cell>
          <cell r="E253" t="str">
            <v>ZFGD</v>
          </cell>
          <cell r="F253" t="str">
            <v>PC</v>
          </cell>
          <cell r="G253" t="str">
            <v>2</v>
          </cell>
          <cell r="H253" t="str">
            <v>RETAIL</v>
          </cell>
          <cell r="I253" t="str">
            <v>28</v>
          </cell>
          <cell r="J253" t="str">
            <v>CPC2</v>
          </cell>
          <cell r="K253" t="str">
            <v>2807</v>
          </cell>
          <cell r="L253" t="str">
            <v>ULTRASEAL</v>
          </cell>
          <cell r="M253" t="str">
            <v>280701</v>
          </cell>
          <cell r="N253" t="str">
            <v>ULTRASEAL</v>
          </cell>
        </row>
        <row r="254">
          <cell r="C254" t="str">
            <v>100001240</v>
          </cell>
          <cell r="D254" t="str">
            <v>US-970 CARITA 1137 VN-4K</v>
          </cell>
          <cell r="E254" t="str">
            <v>ZFGD</v>
          </cell>
          <cell r="F254" t="str">
            <v>PC</v>
          </cell>
          <cell r="G254" t="str">
            <v>2</v>
          </cell>
          <cell r="H254" t="str">
            <v>RETAIL</v>
          </cell>
          <cell r="I254" t="str">
            <v>28</v>
          </cell>
          <cell r="J254" t="str">
            <v>CPC2</v>
          </cell>
          <cell r="K254" t="str">
            <v>2807</v>
          </cell>
          <cell r="L254" t="str">
            <v>ULTRASEAL</v>
          </cell>
          <cell r="M254" t="str">
            <v>280701</v>
          </cell>
          <cell r="N254" t="str">
            <v>ULTRASEAL</v>
          </cell>
        </row>
        <row r="255">
          <cell r="C255" t="str">
            <v>100001241</v>
          </cell>
          <cell r="D255" t="str">
            <v>US-970 CARITA 1137 VN-20KP</v>
          </cell>
          <cell r="E255" t="str">
            <v>ZFGD</v>
          </cell>
          <cell r="F255" t="str">
            <v>PC</v>
          </cell>
          <cell r="G255" t="str">
            <v>2</v>
          </cell>
          <cell r="H255" t="str">
            <v>RETAIL</v>
          </cell>
          <cell r="I255" t="str">
            <v>28</v>
          </cell>
          <cell r="J255" t="str">
            <v>CPC2</v>
          </cell>
          <cell r="K255" t="str">
            <v>2807</v>
          </cell>
          <cell r="L255" t="str">
            <v>ULTRASEAL</v>
          </cell>
          <cell r="M255" t="str">
            <v>280701</v>
          </cell>
          <cell r="N255" t="str">
            <v>ULTRASEAL</v>
          </cell>
        </row>
        <row r="256">
          <cell r="C256" t="str">
            <v>100001242</v>
          </cell>
          <cell r="D256" t="str">
            <v>US-970 DAY BREAK 9104 VN-1K</v>
          </cell>
          <cell r="E256" t="str">
            <v>ZFGD</v>
          </cell>
          <cell r="F256" t="str">
            <v>PC</v>
          </cell>
          <cell r="G256" t="str">
            <v>2</v>
          </cell>
          <cell r="H256" t="str">
            <v>RETAIL</v>
          </cell>
          <cell r="I256" t="str">
            <v>28</v>
          </cell>
          <cell r="J256" t="str">
            <v>CPC2</v>
          </cell>
          <cell r="K256" t="str">
            <v>2807</v>
          </cell>
          <cell r="L256" t="str">
            <v>ULTRASEAL</v>
          </cell>
          <cell r="M256" t="str">
            <v>280701</v>
          </cell>
          <cell r="N256" t="str">
            <v>ULTRASEAL</v>
          </cell>
        </row>
        <row r="257">
          <cell r="C257" t="str">
            <v>100001243</v>
          </cell>
          <cell r="D257" t="str">
            <v>US-970 DAY BREAK 9104 VN-4K</v>
          </cell>
          <cell r="E257" t="str">
            <v>ZFGD</v>
          </cell>
          <cell r="F257" t="str">
            <v>PC</v>
          </cell>
          <cell r="G257" t="str">
            <v>2</v>
          </cell>
          <cell r="H257" t="str">
            <v>RETAIL</v>
          </cell>
          <cell r="I257" t="str">
            <v>28</v>
          </cell>
          <cell r="J257" t="str">
            <v>CPC2</v>
          </cell>
          <cell r="K257" t="str">
            <v>2807</v>
          </cell>
          <cell r="L257" t="str">
            <v>ULTRASEAL</v>
          </cell>
          <cell r="M257" t="str">
            <v>280701</v>
          </cell>
          <cell r="N257" t="str">
            <v>ULTRASEAL</v>
          </cell>
        </row>
        <row r="258">
          <cell r="C258" t="str">
            <v>100001244</v>
          </cell>
          <cell r="D258" t="str">
            <v>US-970 DAY BREAK 9104 VN-20KP</v>
          </cell>
          <cell r="E258" t="str">
            <v>ZFGD</v>
          </cell>
          <cell r="F258" t="str">
            <v>PC</v>
          </cell>
          <cell r="G258" t="str">
            <v>2</v>
          </cell>
          <cell r="H258" t="str">
            <v>RETAIL</v>
          </cell>
          <cell r="I258" t="str">
            <v>28</v>
          </cell>
          <cell r="J258" t="str">
            <v>CPC2</v>
          </cell>
          <cell r="K258" t="str">
            <v>2807</v>
          </cell>
          <cell r="L258" t="str">
            <v>ULTRASEAL</v>
          </cell>
          <cell r="M258" t="str">
            <v>280701</v>
          </cell>
          <cell r="N258" t="str">
            <v>ULTRASEAL</v>
          </cell>
        </row>
        <row r="259">
          <cell r="C259" t="str">
            <v>100001245</v>
          </cell>
          <cell r="D259" t="str">
            <v>US-970 SAND STONE 1136 VN-1K</v>
          </cell>
          <cell r="E259" t="str">
            <v>ZFGD</v>
          </cell>
          <cell r="F259" t="str">
            <v>PC</v>
          </cell>
          <cell r="G259" t="str">
            <v>2</v>
          </cell>
          <cell r="H259" t="str">
            <v>RETAIL</v>
          </cell>
          <cell r="I259" t="str">
            <v>28</v>
          </cell>
          <cell r="J259" t="str">
            <v>CPC2</v>
          </cell>
          <cell r="K259" t="str">
            <v>2807</v>
          </cell>
          <cell r="L259" t="str">
            <v>ULTRASEAL</v>
          </cell>
          <cell r="M259" t="str">
            <v>280701</v>
          </cell>
          <cell r="N259" t="str">
            <v>ULTRASEAL</v>
          </cell>
        </row>
        <row r="260">
          <cell r="C260" t="str">
            <v>100001246</v>
          </cell>
          <cell r="D260" t="str">
            <v>US-970 SAND STONE 1136 VN-4K</v>
          </cell>
          <cell r="E260" t="str">
            <v>ZFGD</v>
          </cell>
          <cell r="F260" t="str">
            <v>PC</v>
          </cell>
          <cell r="G260" t="str">
            <v>2</v>
          </cell>
          <cell r="H260" t="str">
            <v>RETAIL</v>
          </cell>
          <cell r="I260" t="str">
            <v>28</v>
          </cell>
          <cell r="J260" t="str">
            <v>CPC2</v>
          </cell>
          <cell r="K260" t="str">
            <v>2807</v>
          </cell>
          <cell r="L260" t="str">
            <v>ULTRASEAL</v>
          </cell>
          <cell r="M260" t="str">
            <v>280701</v>
          </cell>
          <cell r="N260" t="str">
            <v>ULTRASEAL</v>
          </cell>
        </row>
        <row r="261">
          <cell r="C261" t="str">
            <v>100001247</v>
          </cell>
          <cell r="D261" t="str">
            <v>US-970 SAND STONE 1136 VN-20KP</v>
          </cell>
          <cell r="E261" t="str">
            <v>ZFGD</v>
          </cell>
          <cell r="F261" t="str">
            <v>PC</v>
          </cell>
          <cell r="G261" t="str">
            <v>2</v>
          </cell>
          <cell r="H261" t="str">
            <v>RETAIL</v>
          </cell>
          <cell r="I261" t="str">
            <v>28</v>
          </cell>
          <cell r="J261" t="str">
            <v>CPC2</v>
          </cell>
          <cell r="K261" t="str">
            <v>2807</v>
          </cell>
          <cell r="L261" t="str">
            <v>ULTRASEAL</v>
          </cell>
          <cell r="M261" t="str">
            <v>280701</v>
          </cell>
          <cell r="N261" t="str">
            <v>ULTRASEAL</v>
          </cell>
        </row>
        <row r="262">
          <cell r="C262" t="str">
            <v>100001248</v>
          </cell>
          <cell r="D262" t="str">
            <v>US-970 FRESH GREY 8127 VN-1K</v>
          </cell>
          <cell r="E262" t="str">
            <v>ZFGD</v>
          </cell>
          <cell r="F262" t="str">
            <v>PC</v>
          </cell>
          <cell r="G262" t="str">
            <v>2</v>
          </cell>
          <cell r="H262" t="str">
            <v>RETAIL</v>
          </cell>
          <cell r="I262" t="str">
            <v>28</v>
          </cell>
          <cell r="J262" t="str">
            <v>CPC2</v>
          </cell>
          <cell r="K262" t="str">
            <v>2807</v>
          </cell>
          <cell r="L262" t="str">
            <v>ULTRASEAL</v>
          </cell>
          <cell r="M262" t="str">
            <v>280701</v>
          </cell>
          <cell r="N262" t="str">
            <v>ULTRASEAL</v>
          </cell>
        </row>
        <row r="263">
          <cell r="C263" t="str">
            <v>100001249</v>
          </cell>
          <cell r="D263" t="str">
            <v>US-970 FRESH GREY 8127 VN-4K</v>
          </cell>
          <cell r="E263" t="str">
            <v>ZFGD</v>
          </cell>
          <cell r="F263" t="str">
            <v>PC</v>
          </cell>
          <cell r="G263" t="str">
            <v>2</v>
          </cell>
          <cell r="H263" t="str">
            <v>RETAIL</v>
          </cell>
          <cell r="I263" t="str">
            <v>28</v>
          </cell>
          <cell r="J263" t="str">
            <v>CPC2</v>
          </cell>
          <cell r="K263" t="str">
            <v>2807</v>
          </cell>
          <cell r="L263" t="str">
            <v>ULTRASEAL</v>
          </cell>
          <cell r="M263" t="str">
            <v>280701</v>
          </cell>
          <cell r="N263" t="str">
            <v>ULTRASEAL</v>
          </cell>
        </row>
        <row r="264">
          <cell r="C264" t="str">
            <v>100001250</v>
          </cell>
          <cell r="D264" t="str">
            <v>US-970 FRESH GREY 8127 VN-20KP</v>
          </cell>
          <cell r="E264" t="str">
            <v>ZFGD</v>
          </cell>
          <cell r="F264" t="str">
            <v>PC</v>
          </cell>
          <cell r="G264" t="str">
            <v>2</v>
          </cell>
          <cell r="H264" t="str">
            <v>RETAIL</v>
          </cell>
          <cell r="I264" t="str">
            <v>28</v>
          </cell>
          <cell r="J264" t="str">
            <v>CPC2</v>
          </cell>
          <cell r="K264" t="str">
            <v>2807</v>
          </cell>
          <cell r="L264" t="str">
            <v>ULTRASEAL</v>
          </cell>
          <cell r="M264" t="str">
            <v>280701</v>
          </cell>
          <cell r="N264" t="str">
            <v>ULTRASEAL</v>
          </cell>
        </row>
        <row r="265">
          <cell r="C265" t="str">
            <v>100001251</v>
          </cell>
          <cell r="D265" t="str">
            <v>US-970 BLUE MYSTERY 6108 VN-1K</v>
          </cell>
          <cell r="E265" t="str">
            <v>ZFGD</v>
          </cell>
          <cell r="F265" t="str">
            <v>PC</v>
          </cell>
          <cell r="G265" t="str">
            <v>2</v>
          </cell>
          <cell r="H265" t="str">
            <v>RETAIL</v>
          </cell>
          <cell r="I265" t="str">
            <v>28</v>
          </cell>
          <cell r="J265" t="str">
            <v>CPC2</v>
          </cell>
          <cell r="K265" t="str">
            <v>2807</v>
          </cell>
          <cell r="L265" t="str">
            <v>ULTRASEAL</v>
          </cell>
          <cell r="M265" t="str">
            <v>280701</v>
          </cell>
          <cell r="N265" t="str">
            <v>ULTRASEAL</v>
          </cell>
        </row>
        <row r="266">
          <cell r="C266" t="str">
            <v>100001252</v>
          </cell>
          <cell r="D266" t="str">
            <v>US-970 BLUE MYSTERY 6108 VN-4K</v>
          </cell>
          <cell r="E266" t="str">
            <v>ZFGD</v>
          </cell>
          <cell r="F266" t="str">
            <v>PC</v>
          </cell>
          <cell r="G266" t="str">
            <v>2</v>
          </cell>
          <cell r="H266" t="str">
            <v>RETAIL</v>
          </cell>
          <cell r="I266" t="str">
            <v>28</v>
          </cell>
          <cell r="J266" t="str">
            <v>CPC2</v>
          </cell>
          <cell r="K266" t="str">
            <v>2807</v>
          </cell>
          <cell r="L266" t="str">
            <v>ULTRASEAL</v>
          </cell>
          <cell r="M266" t="str">
            <v>280701</v>
          </cell>
          <cell r="N266" t="str">
            <v>ULTRASEAL</v>
          </cell>
        </row>
        <row r="267">
          <cell r="C267" t="str">
            <v>100001253</v>
          </cell>
          <cell r="D267" t="str">
            <v>US-970 BLUE MYSTERY 6108 VN-20KP</v>
          </cell>
          <cell r="E267" t="str">
            <v>ZFGD</v>
          </cell>
          <cell r="F267" t="str">
            <v>PC</v>
          </cell>
          <cell r="G267" t="str">
            <v>2</v>
          </cell>
          <cell r="H267" t="str">
            <v>RETAIL</v>
          </cell>
          <cell r="I267" t="str">
            <v>28</v>
          </cell>
          <cell r="J267" t="str">
            <v>CPC2</v>
          </cell>
          <cell r="K267" t="str">
            <v>2807</v>
          </cell>
          <cell r="L267" t="str">
            <v>ULTRASEAL</v>
          </cell>
          <cell r="M267" t="str">
            <v>280701</v>
          </cell>
          <cell r="N267" t="str">
            <v>ULTRASEAL</v>
          </cell>
        </row>
        <row r="268">
          <cell r="C268" t="str">
            <v>100001254</v>
          </cell>
          <cell r="D268" t="str">
            <v>US-970 CAPPUCCINO 2111 VN-1K</v>
          </cell>
          <cell r="E268" t="str">
            <v>ZFGD</v>
          </cell>
          <cell r="F268" t="str">
            <v>PC</v>
          </cell>
          <cell r="G268" t="str">
            <v>2</v>
          </cell>
          <cell r="H268" t="str">
            <v>RETAIL</v>
          </cell>
          <cell r="I268" t="str">
            <v>28</v>
          </cell>
          <cell r="J268" t="str">
            <v>CPC2</v>
          </cell>
          <cell r="K268" t="str">
            <v>2807</v>
          </cell>
          <cell r="L268" t="str">
            <v>ULTRASEAL</v>
          </cell>
          <cell r="M268" t="str">
            <v>280701</v>
          </cell>
          <cell r="N268" t="str">
            <v>ULTRASEAL</v>
          </cell>
        </row>
        <row r="269">
          <cell r="C269" t="str">
            <v>100001255</v>
          </cell>
          <cell r="D269" t="str">
            <v>#NOT USED  CAPPUCCINO 2111 VN-4K</v>
          </cell>
          <cell r="E269" t="str">
            <v>ZFGD</v>
          </cell>
          <cell r="F269" t="str">
            <v>PC</v>
          </cell>
          <cell r="G269" t="str">
            <v>2</v>
          </cell>
          <cell r="H269" t="str">
            <v>RETAIL</v>
          </cell>
          <cell r="I269" t="str">
            <v>28</v>
          </cell>
          <cell r="J269" t="str">
            <v>CPC2</v>
          </cell>
          <cell r="K269" t="str">
            <v>2801</v>
          </cell>
          <cell r="L269" t="str">
            <v>WATERPROOFING</v>
          </cell>
          <cell r="M269" t="str">
            <v>280104</v>
          </cell>
          <cell r="N269" t="str">
            <v>ULTRASEAL</v>
          </cell>
        </row>
        <row r="270">
          <cell r="C270" t="str">
            <v>100001256</v>
          </cell>
          <cell r="D270" t="str">
            <v>US-970 CAPPUCCINO 2111 VN-20KP</v>
          </cell>
          <cell r="E270" t="str">
            <v>ZFGD</v>
          </cell>
          <cell r="F270" t="str">
            <v>PC</v>
          </cell>
          <cell r="G270" t="str">
            <v>2</v>
          </cell>
          <cell r="H270" t="str">
            <v>RETAIL</v>
          </cell>
          <cell r="I270" t="str">
            <v>28</v>
          </cell>
          <cell r="J270" t="str">
            <v>CPC2</v>
          </cell>
          <cell r="K270" t="str">
            <v>2807</v>
          </cell>
          <cell r="L270" t="str">
            <v>ULTRASEAL</v>
          </cell>
          <cell r="M270" t="str">
            <v>280701</v>
          </cell>
          <cell r="N270" t="str">
            <v>ULTRASEAL</v>
          </cell>
        </row>
        <row r="271">
          <cell r="C271" t="str">
            <v>100001257</v>
          </cell>
          <cell r="D271" t="str">
            <v>US-970 FAIR FARMINGTON 6112 VN-1K</v>
          </cell>
          <cell r="E271" t="str">
            <v>ZFGD</v>
          </cell>
          <cell r="F271" t="str">
            <v>PC</v>
          </cell>
          <cell r="G271" t="str">
            <v>2</v>
          </cell>
          <cell r="H271" t="str">
            <v>RETAIL</v>
          </cell>
          <cell r="I271" t="str">
            <v>28</v>
          </cell>
          <cell r="J271" t="str">
            <v>CPC2</v>
          </cell>
          <cell r="K271" t="str">
            <v>2807</v>
          </cell>
          <cell r="L271" t="str">
            <v>ULTRASEAL</v>
          </cell>
          <cell r="M271" t="str">
            <v>280701</v>
          </cell>
          <cell r="N271" t="str">
            <v>ULTRASEAL</v>
          </cell>
        </row>
        <row r="272">
          <cell r="C272" t="str">
            <v>100001258</v>
          </cell>
          <cell r="D272" t="str">
            <v>US-970 FAIR FARMINGTON 6112 VN-4K</v>
          </cell>
          <cell r="E272" t="str">
            <v>ZFGD</v>
          </cell>
          <cell r="F272" t="str">
            <v>PC</v>
          </cell>
          <cell r="G272" t="str">
            <v>2</v>
          </cell>
          <cell r="H272" t="str">
            <v>RETAIL</v>
          </cell>
          <cell r="I272" t="str">
            <v>28</v>
          </cell>
          <cell r="J272" t="str">
            <v>CPC2</v>
          </cell>
          <cell r="K272" t="str">
            <v>2807</v>
          </cell>
          <cell r="L272" t="str">
            <v>ULTRASEAL</v>
          </cell>
          <cell r="M272" t="str">
            <v>280701</v>
          </cell>
          <cell r="N272" t="str">
            <v>ULTRASEAL</v>
          </cell>
        </row>
        <row r="273">
          <cell r="C273" t="str">
            <v>100001259</v>
          </cell>
          <cell r="D273" t="str">
            <v>US-970 FAIR FARMINGTON 6112 VN-20KP</v>
          </cell>
          <cell r="E273" t="str">
            <v>ZFGD</v>
          </cell>
          <cell r="F273" t="str">
            <v>PC</v>
          </cell>
          <cell r="G273" t="str">
            <v>2</v>
          </cell>
          <cell r="H273" t="str">
            <v>RETAIL</v>
          </cell>
          <cell r="I273" t="str">
            <v>28</v>
          </cell>
          <cell r="J273" t="str">
            <v>CPC2</v>
          </cell>
          <cell r="K273" t="str">
            <v>2807</v>
          </cell>
          <cell r="L273" t="str">
            <v>ULTRASEAL</v>
          </cell>
          <cell r="M273" t="str">
            <v>280701</v>
          </cell>
          <cell r="N273" t="str">
            <v>ULTRASEAL</v>
          </cell>
        </row>
        <row r="274">
          <cell r="C274" t="str">
            <v>100001260</v>
          </cell>
          <cell r="D274" t="str">
            <v>US-970 GARLAND BLUE 6109 VN-1K</v>
          </cell>
          <cell r="E274" t="str">
            <v>ZFGD</v>
          </cell>
          <cell r="F274" t="str">
            <v>PC</v>
          </cell>
          <cell r="G274" t="str">
            <v>2</v>
          </cell>
          <cell r="H274" t="str">
            <v>RETAIL</v>
          </cell>
          <cell r="I274" t="str">
            <v>28</v>
          </cell>
          <cell r="J274" t="str">
            <v>CPC2</v>
          </cell>
          <cell r="K274" t="str">
            <v>2807</v>
          </cell>
          <cell r="L274" t="str">
            <v>ULTRASEAL</v>
          </cell>
          <cell r="M274" t="str">
            <v>280701</v>
          </cell>
          <cell r="N274" t="str">
            <v>ULTRASEAL</v>
          </cell>
        </row>
        <row r="275">
          <cell r="C275" t="str">
            <v>100001261</v>
          </cell>
          <cell r="D275" t="str">
            <v>US-970 GARLAND BLUE 6109 VN-4K</v>
          </cell>
          <cell r="E275" t="str">
            <v>ZFGD</v>
          </cell>
          <cell r="F275" t="str">
            <v>PC</v>
          </cell>
          <cell r="G275" t="str">
            <v>2</v>
          </cell>
          <cell r="H275" t="str">
            <v>RETAIL</v>
          </cell>
          <cell r="I275" t="str">
            <v>28</v>
          </cell>
          <cell r="J275" t="str">
            <v>CPC2</v>
          </cell>
          <cell r="K275" t="str">
            <v>2807</v>
          </cell>
          <cell r="L275" t="str">
            <v>ULTRASEAL</v>
          </cell>
          <cell r="M275" t="str">
            <v>280701</v>
          </cell>
          <cell r="N275" t="str">
            <v>ULTRASEAL</v>
          </cell>
        </row>
        <row r="276">
          <cell r="C276" t="str">
            <v>100001262</v>
          </cell>
          <cell r="D276" t="str">
            <v>US-970 GARLAND BLUE 6109 VN-20KP</v>
          </cell>
          <cell r="E276" t="str">
            <v>ZFGD</v>
          </cell>
          <cell r="F276" t="str">
            <v>PC</v>
          </cell>
          <cell r="G276" t="str">
            <v>2</v>
          </cell>
          <cell r="H276" t="str">
            <v>RETAIL</v>
          </cell>
          <cell r="I276" t="str">
            <v>28</v>
          </cell>
          <cell r="J276" t="str">
            <v>CPC2</v>
          </cell>
          <cell r="K276" t="str">
            <v>2807</v>
          </cell>
          <cell r="L276" t="str">
            <v>ULTRASEAL</v>
          </cell>
          <cell r="M276" t="str">
            <v>280701</v>
          </cell>
          <cell r="N276" t="str">
            <v>ULTRASEAL</v>
          </cell>
        </row>
        <row r="277">
          <cell r="C277" t="str">
            <v>100001263</v>
          </cell>
          <cell r="D277" t="str">
            <v>US-970 GLACIER 6111 VN-1K</v>
          </cell>
          <cell r="E277" t="str">
            <v>ZFGD</v>
          </cell>
          <cell r="F277" t="str">
            <v>PC</v>
          </cell>
          <cell r="G277" t="str">
            <v>2</v>
          </cell>
          <cell r="H277" t="str">
            <v>RETAIL</v>
          </cell>
          <cell r="I277" t="str">
            <v>28</v>
          </cell>
          <cell r="J277" t="str">
            <v>CPC2</v>
          </cell>
          <cell r="K277" t="str">
            <v>2807</v>
          </cell>
          <cell r="L277" t="str">
            <v>ULTRASEAL</v>
          </cell>
          <cell r="M277" t="str">
            <v>280701</v>
          </cell>
          <cell r="N277" t="str">
            <v>ULTRASEAL</v>
          </cell>
        </row>
        <row r="278">
          <cell r="C278" t="str">
            <v>100001264</v>
          </cell>
          <cell r="D278" t="str">
            <v>US-970 GLACIER 6111 VN-4K</v>
          </cell>
          <cell r="E278" t="str">
            <v>ZFGD</v>
          </cell>
          <cell r="F278" t="str">
            <v>PC</v>
          </cell>
          <cell r="G278" t="str">
            <v>2</v>
          </cell>
          <cell r="H278" t="str">
            <v>RETAIL</v>
          </cell>
          <cell r="I278" t="str">
            <v>28</v>
          </cell>
          <cell r="J278" t="str">
            <v>CPC2</v>
          </cell>
          <cell r="K278" t="str">
            <v>2807</v>
          </cell>
          <cell r="L278" t="str">
            <v>ULTRASEAL</v>
          </cell>
          <cell r="M278" t="str">
            <v>280701</v>
          </cell>
          <cell r="N278" t="str">
            <v>ULTRASEAL</v>
          </cell>
        </row>
        <row r="279">
          <cell r="C279" t="str">
            <v>100001265</v>
          </cell>
          <cell r="D279" t="str">
            <v>US-970 GLACIER 6111 VN-20KP</v>
          </cell>
          <cell r="E279" t="str">
            <v>ZFGD</v>
          </cell>
          <cell r="F279" t="str">
            <v>PC</v>
          </cell>
          <cell r="G279" t="str">
            <v>2</v>
          </cell>
          <cell r="H279" t="str">
            <v>RETAIL</v>
          </cell>
          <cell r="I279" t="str">
            <v>28</v>
          </cell>
          <cell r="J279" t="str">
            <v>CPC2</v>
          </cell>
          <cell r="K279" t="str">
            <v>2807</v>
          </cell>
          <cell r="L279" t="str">
            <v>ULTRASEAL</v>
          </cell>
          <cell r="M279" t="str">
            <v>280701</v>
          </cell>
          <cell r="N279" t="str">
            <v>ULTRASEAL</v>
          </cell>
        </row>
        <row r="280">
          <cell r="C280" t="str">
            <v>100001266</v>
          </cell>
          <cell r="D280" t="str">
            <v>US-970 GLACIER BLUE 5113 VN-1K</v>
          </cell>
          <cell r="E280" t="str">
            <v>ZFGD</v>
          </cell>
          <cell r="F280" t="str">
            <v>PC</v>
          </cell>
          <cell r="G280" t="str">
            <v>2</v>
          </cell>
          <cell r="H280" t="str">
            <v>RETAIL</v>
          </cell>
          <cell r="I280" t="str">
            <v>28</v>
          </cell>
          <cell r="J280" t="str">
            <v>CPC2</v>
          </cell>
          <cell r="K280" t="str">
            <v>2807</v>
          </cell>
          <cell r="L280" t="str">
            <v>ULTRASEAL</v>
          </cell>
          <cell r="M280" t="str">
            <v>280701</v>
          </cell>
          <cell r="N280" t="str">
            <v>ULTRASEAL</v>
          </cell>
        </row>
        <row r="281">
          <cell r="C281" t="str">
            <v>100001267</v>
          </cell>
          <cell r="D281" t="str">
            <v>US-970 GLACIER BLUE 5113 VN-4K</v>
          </cell>
          <cell r="E281" t="str">
            <v>ZFGD</v>
          </cell>
          <cell r="F281" t="str">
            <v>PC</v>
          </cell>
          <cell r="G281" t="str">
            <v>2</v>
          </cell>
          <cell r="H281" t="str">
            <v>RETAIL</v>
          </cell>
          <cell r="I281" t="str">
            <v>28</v>
          </cell>
          <cell r="J281" t="str">
            <v>CPC2</v>
          </cell>
          <cell r="K281" t="str">
            <v>2807</v>
          </cell>
          <cell r="L281" t="str">
            <v>ULTRASEAL</v>
          </cell>
          <cell r="M281" t="str">
            <v>280701</v>
          </cell>
          <cell r="N281" t="str">
            <v>ULTRASEAL</v>
          </cell>
        </row>
        <row r="282">
          <cell r="C282" t="str">
            <v>100001268</v>
          </cell>
          <cell r="D282" t="str">
            <v>US-970 GLACIER BLUE 5113 VN-20KP</v>
          </cell>
          <cell r="E282" t="str">
            <v>ZFGD</v>
          </cell>
          <cell r="F282" t="str">
            <v>PC</v>
          </cell>
          <cell r="G282" t="str">
            <v>2</v>
          </cell>
          <cell r="H282" t="str">
            <v>RETAIL</v>
          </cell>
          <cell r="I282" t="str">
            <v>28</v>
          </cell>
          <cell r="J282" t="str">
            <v>CPC2</v>
          </cell>
          <cell r="K282" t="str">
            <v>2807</v>
          </cell>
          <cell r="L282" t="str">
            <v>ULTRASEAL</v>
          </cell>
          <cell r="M282" t="str">
            <v>280701</v>
          </cell>
          <cell r="N282" t="str">
            <v>ULTRASEAL</v>
          </cell>
        </row>
        <row r="283">
          <cell r="C283" t="str">
            <v>100001269</v>
          </cell>
          <cell r="D283" t="str">
            <v>US-970 GREEN LANE 8124 VN-1K</v>
          </cell>
          <cell r="E283" t="str">
            <v>ZFGD</v>
          </cell>
          <cell r="F283" t="str">
            <v>PC</v>
          </cell>
          <cell r="G283" t="str">
            <v>2</v>
          </cell>
          <cell r="H283" t="str">
            <v>RETAIL</v>
          </cell>
          <cell r="I283" t="str">
            <v>28</v>
          </cell>
          <cell r="J283" t="str">
            <v>CPC2</v>
          </cell>
          <cell r="K283" t="str">
            <v>2807</v>
          </cell>
          <cell r="L283" t="str">
            <v>ULTRASEAL</v>
          </cell>
          <cell r="M283" t="str">
            <v>280701</v>
          </cell>
          <cell r="N283" t="str">
            <v>ULTRASEAL</v>
          </cell>
        </row>
        <row r="284">
          <cell r="C284" t="str">
            <v>100001270</v>
          </cell>
          <cell r="D284" t="str">
            <v>US-970 GREEN LANE 8124 VN-4K</v>
          </cell>
          <cell r="E284" t="str">
            <v>ZFGD</v>
          </cell>
          <cell r="F284" t="str">
            <v>PC</v>
          </cell>
          <cell r="G284" t="str">
            <v>2</v>
          </cell>
          <cell r="H284" t="str">
            <v>RETAIL</v>
          </cell>
          <cell r="I284" t="str">
            <v>28</v>
          </cell>
          <cell r="J284" t="str">
            <v>CPC2</v>
          </cell>
          <cell r="K284" t="str">
            <v>2807</v>
          </cell>
          <cell r="L284" t="str">
            <v>ULTRASEAL</v>
          </cell>
          <cell r="M284" t="str">
            <v>280701</v>
          </cell>
          <cell r="N284" t="str">
            <v>ULTRASEAL</v>
          </cell>
        </row>
        <row r="285">
          <cell r="C285" t="str">
            <v>100001271</v>
          </cell>
          <cell r="D285" t="str">
            <v>US-970 GREEN LANE 8124 VN-20KP</v>
          </cell>
          <cell r="E285" t="str">
            <v>ZFGD</v>
          </cell>
          <cell r="F285" t="str">
            <v>PC</v>
          </cell>
          <cell r="G285" t="str">
            <v>2</v>
          </cell>
          <cell r="H285" t="str">
            <v>RETAIL</v>
          </cell>
          <cell r="I285" t="str">
            <v>28</v>
          </cell>
          <cell r="J285" t="str">
            <v>CPC2</v>
          </cell>
          <cell r="K285" t="str">
            <v>2807</v>
          </cell>
          <cell r="L285" t="str">
            <v>ULTRASEAL</v>
          </cell>
          <cell r="M285" t="str">
            <v>280701</v>
          </cell>
          <cell r="N285" t="str">
            <v>ULTRASEAL</v>
          </cell>
        </row>
        <row r="286">
          <cell r="C286" t="str">
            <v>100001272</v>
          </cell>
          <cell r="D286" t="str">
            <v>US-970 GREY FUCHSIA 3109 VN-1K</v>
          </cell>
          <cell r="E286" t="str">
            <v>ZFGD</v>
          </cell>
          <cell r="F286" t="str">
            <v>PC</v>
          </cell>
          <cell r="G286" t="str">
            <v>2</v>
          </cell>
          <cell r="H286" t="str">
            <v>RETAIL</v>
          </cell>
          <cell r="I286" t="str">
            <v>28</v>
          </cell>
          <cell r="J286" t="str">
            <v>CPC2</v>
          </cell>
          <cell r="K286" t="str">
            <v>2807</v>
          </cell>
          <cell r="L286" t="str">
            <v>ULTRASEAL</v>
          </cell>
          <cell r="M286" t="str">
            <v>280701</v>
          </cell>
          <cell r="N286" t="str">
            <v>ULTRASEAL</v>
          </cell>
        </row>
        <row r="287">
          <cell r="C287" t="str">
            <v>100001273</v>
          </cell>
          <cell r="D287" t="str">
            <v>US-970 GREY FUCHSIA 3109 VN-4K</v>
          </cell>
          <cell r="E287" t="str">
            <v>ZFGD</v>
          </cell>
          <cell r="F287" t="str">
            <v>PC</v>
          </cell>
          <cell r="G287" t="str">
            <v>2</v>
          </cell>
          <cell r="H287" t="str">
            <v>RETAIL</v>
          </cell>
          <cell r="I287" t="str">
            <v>28</v>
          </cell>
          <cell r="J287" t="str">
            <v>CPC2</v>
          </cell>
          <cell r="K287" t="str">
            <v>2807</v>
          </cell>
          <cell r="L287" t="str">
            <v>ULTRASEAL</v>
          </cell>
          <cell r="M287" t="str">
            <v>280701</v>
          </cell>
          <cell r="N287" t="str">
            <v>ULTRASEAL</v>
          </cell>
        </row>
        <row r="288">
          <cell r="C288" t="str">
            <v>100001274</v>
          </cell>
          <cell r="D288" t="str">
            <v>US-970 GREY FUCHSIA 3109 VN-20KP</v>
          </cell>
          <cell r="E288" t="str">
            <v>ZFGD</v>
          </cell>
          <cell r="F288" t="str">
            <v>PC</v>
          </cell>
          <cell r="G288" t="str">
            <v>2</v>
          </cell>
          <cell r="H288" t="str">
            <v>RETAIL</v>
          </cell>
          <cell r="I288" t="str">
            <v>28</v>
          </cell>
          <cell r="J288" t="str">
            <v>CPC2</v>
          </cell>
          <cell r="K288" t="str">
            <v>2807</v>
          </cell>
          <cell r="L288" t="str">
            <v>ULTRASEAL</v>
          </cell>
          <cell r="M288" t="str">
            <v>280701</v>
          </cell>
          <cell r="N288" t="str">
            <v>ULTRASEAL</v>
          </cell>
        </row>
        <row r="289">
          <cell r="C289" t="str">
            <v>100001275</v>
          </cell>
          <cell r="D289" t="str">
            <v>US-970 GREY LEAF 6110 VN-1K</v>
          </cell>
          <cell r="E289" t="str">
            <v>ZFGD</v>
          </cell>
          <cell r="F289" t="str">
            <v>PC</v>
          </cell>
          <cell r="G289" t="str">
            <v>2</v>
          </cell>
          <cell r="H289" t="str">
            <v>RETAIL</v>
          </cell>
          <cell r="I289" t="str">
            <v>28</v>
          </cell>
          <cell r="J289" t="str">
            <v>CPC2</v>
          </cell>
          <cell r="K289" t="str">
            <v>2807</v>
          </cell>
          <cell r="L289" t="str">
            <v>ULTRASEAL</v>
          </cell>
          <cell r="M289" t="str">
            <v>280701</v>
          </cell>
          <cell r="N289" t="str">
            <v>ULTRASEAL</v>
          </cell>
        </row>
        <row r="290">
          <cell r="C290" t="str">
            <v>100001276</v>
          </cell>
          <cell r="D290" t="str">
            <v>US-970 GREY LEAF 6110 VN-4K</v>
          </cell>
          <cell r="E290" t="str">
            <v>ZFGD</v>
          </cell>
          <cell r="F290" t="str">
            <v>PC</v>
          </cell>
          <cell r="G290" t="str">
            <v>2</v>
          </cell>
          <cell r="H290" t="str">
            <v>RETAIL</v>
          </cell>
          <cell r="I290" t="str">
            <v>28</v>
          </cell>
          <cell r="J290" t="str">
            <v>CPC2</v>
          </cell>
          <cell r="K290" t="str">
            <v>2807</v>
          </cell>
          <cell r="L290" t="str">
            <v>ULTRASEAL</v>
          </cell>
          <cell r="M290" t="str">
            <v>280701</v>
          </cell>
          <cell r="N290" t="str">
            <v>ULTRASEAL</v>
          </cell>
        </row>
        <row r="291">
          <cell r="C291" t="str">
            <v>100001277</v>
          </cell>
          <cell r="D291" t="str">
            <v>US-970 GREY LEAF 6110 VN-20KP</v>
          </cell>
          <cell r="E291" t="str">
            <v>ZFGD</v>
          </cell>
          <cell r="F291" t="str">
            <v>PC</v>
          </cell>
          <cell r="G291" t="str">
            <v>2</v>
          </cell>
          <cell r="H291" t="str">
            <v>RETAIL</v>
          </cell>
          <cell r="I291" t="str">
            <v>28</v>
          </cell>
          <cell r="J291" t="str">
            <v>CPC2</v>
          </cell>
          <cell r="K291" t="str">
            <v>2807</v>
          </cell>
          <cell r="L291" t="str">
            <v>ULTRASEAL</v>
          </cell>
          <cell r="M291" t="str">
            <v>280701</v>
          </cell>
          <cell r="N291" t="str">
            <v>ULTRASEAL</v>
          </cell>
        </row>
        <row r="292">
          <cell r="C292" t="str">
            <v>100001278</v>
          </cell>
          <cell r="D292" t="str">
            <v>US-970 LIME GREEN 8125 VN-1K</v>
          </cell>
          <cell r="E292" t="str">
            <v>ZFGD</v>
          </cell>
          <cell r="F292" t="str">
            <v>PC</v>
          </cell>
          <cell r="G292" t="str">
            <v>2</v>
          </cell>
          <cell r="H292" t="str">
            <v>RETAIL</v>
          </cell>
          <cell r="I292" t="str">
            <v>28</v>
          </cell>
          <cell r="J292" t="str">
            <v>CPC2</v>
          </cell>
          <cell r="K292" t="str">
            <v>2807</v>
          </cell>
          <cell r="L292" t="str">
            <v>ULTRASEAL</v>
          </cell>
          <cell r="M292" t="str">
            <v>280701</v>
          </cell>
          <cell r="N292" t="str">
            <v>ULTRASEAL</v>
          </cell>
        </row>
        <row r="293">
          <cell r="C293" t="str">
            <v>100001279</v>
          </cell>
          <cell r="D293" t="str">
            <v>US-970 LIME GREEN 8125 VN-4K</v>
          </cell>
          <cell r="E293" t="str">
            <v>ZFGD</v>
          </cell>
          <cell r="F293" t="str">
            <v>PC</v>
          </cell>
          <cell r="G293" t="str">
            <v>2</v>
          </cell>
          <cell r="H293" t="str">
            <v>RETAIL</v>
          </cell>
          <cell r="I293" t="str">
            <v>28</v>
          </cell>
          <cell r="J293" t="str">
            <v>CPC2</v>
          </cell>
          <cell r="K293" t="str">
            <v>2807</v>
          </cell>
          <cell r="L293" t="str">
            <v>ULTRASEAL</v>
          </cell>
          <cell r="M293" t="str">
            <v>280701</v>
          </cell>
          <cell r="N293" t="str">
            <v>ULTRASEAL</v>
          </cell>
        </row>
        <row r="294">
          <cell r="C294" t="str">
            <v>100001280</v>
          </cell>
          <cell r="D294" t="str">
            <v>US-970 LIME GREEN 8125 VN-20KP</v>
          </cell>
          <cell r="E294" t="str">
            <v>ZFGD</v>
          </cell>
          <cell r="F294" t="str">
            <v>PC</v>
          </cell>
          <cell r="G294" t="str">
            <v>2</v>
          </cell>
          <cell r="H294" t="str">
            <v>RETAIL</v>
          </cell>
          <cell r="I294" t="str">
            <v>28</v>
          </cell>
          <cell r="J294" t="str">
            <v>CPC2</v>
          </cell>
          <cell r="K294" t="str">
            <v>2807</v>
          </cell>
          <cell r="L294" t="str">
            <v>ULTRASEAL</v>
          </cell>
          <cell r="M294" t="str">
            <v>280701</v>
          </cell>
          <cell r="N294" t="str">
            <v>ULTRASEAL</v>
          </cell>
        </row>
        <row r="295">
          <cell r="C295" t="str">
            <v>100001281</v>
          </cell>
          <cell r="D295" t="str">
            <v>US-970 LIVELY LAVENDER 5427 VN-1K</v>
          </cell>
          <cell r="E295" t="str">
            <v>ZFGD</v>
          </cell>
          <cell r="F295" t="str">
            <v>PC</v>
          </cell>
          <cell r="G295" t="str">
            <v>2</v>
          </cell>
          <cell r="H295" t="str">
            <v>RETAIL</v>
          </cell>
          <cell r="I295" t="str">
            <v>28</v>
          </cell>
          <cell r="J295" t="str">
            <v>CPC2</v>
          </cell>
          <cell r="K295" t="str">
            <v>2807</v>
          </cell>
          <cell r="L295" t="str">
            <v>ULTRASEAL</v>
          </cell>
          <cell r="M295" t="str">
            <v>280701</v>
          </cell>
          <cell r="N295" t="str">
            <v>ULTRASEAL</v>
          </cell>
        </row>
        <row r="296">
          <cell r="C296" t="str">
            <v>100001282</v>
          </cell>
          <cell r="D296" t="str">
            <v>US-970 LIVELY LAVENDER 5427 VN-4K</v>
          </cell>
          <cell r="E296" t="str">
            <v>ZFGD</v>
          </cell>
          <cell r="F296" t="str">
            <v>PC</v>
          </cell>
          <cell r="G296" t="str">
            <v>2</v>
          </cell>
          <cell r="H296" t="str">
            <v>RETAIL</v>
          </cell>
          <cell r="I296" t="str">
            <v>28</v>
          </cell>
          <cell r="J296" t="str">
            <v>CPC2</v>
          </cell>
          <cell r="K296" t="str">
            <v>2807</v>
          </cell>
          <cell r="L296" t="str">
            <v>ULTRASEAL</v>
          </cell>
          <cell r="M296" t="str">
            <v>280701</v>
          </cell>
          <cell r="N296" t="str">
            <v>ULTRASEAL</v>
          </cell>
        </row>
        <row r="297">
          <cell r="C297" t="str">
            <v>100001283</v>
          </cell>
          <cell r="D297" t="str">
            <v>US-970 LIVELY LAVENDER 5427 VN-20KP</v>
          </cell>
          <cell r="E297" t="str">
            <v>ZFGD</v>
          </cell>
          <cell r="F297" t="str">
            <v>PC</v>
          </cell>
          <cell r="G297" t="str">
            <v>2</v>
          </cell>
          <cell r="H297" t="str">
            <v>RETAIL</v>
          </cell>
          <cell r="I297" t="str">
            <v>28</v>
          </cell>
          <cell r="J297" t="str">
            <v>CPC2</v>
          </cell>
          <cell r="K297" t="str">
            <v>2807</v>
          </cell>
          <cell r="L297" t="str">
            <v>ULTRASEAL</v>
          </cell>
          <cell r="M297" t="str">
            <v>280701</v>
          </cell>
          <cell r="N297" t="str">
            <v>ULTRASEAL</v>
          </cell>
        </row>
        <row r="298">
          <cell r="C298" t="str">
            <v>100001284</v>
          </cell>
          <cell r="D298" t="str">
            <v>US-970 EMBARRASSED PINK 8126 VN-1K</v>
          </cell>
          <cell r="E298" t="str">
            <v>ZFGD</v>
          </cell>
          <cell r="F298" t="str">
            <v>PC</v>
          </cell>
          <cell r="G298" t="str">
            <v>2</v>
          </cell>
          <cell r="H298" t="str">
            <v>RETAIL</v>
          </cell>
          <cell r="I298" t="str">
            <v>28</v>
          </cell>
          <cell r="J298" t="str">
            <v>CPC2</v>
          </cell>
          <cell r="K298" t="str">
            <v>2807</v>
          </cell>
          <cell r="L298" t="str">
            <v>ULTRASEAL</v>
          </cell>
          <cell r="M298" t="str">
            <v>280701</v>
          </cell>
          <cell r="N298" t="str">
            <v>ULTRASEAL</v>
          </cell>
        </row>
        <row r="299">
          <cell r="C299" t="str">
            <v>100001285</v>
          </cell>
          <cell r="D299" t="str">
            <v>US-970 EMBARRASSED PINK 8126 VN-4K</v>
          </cell>
          <cell r="E299" t="str">
            <v>ZFGD</v>
          </cell>
          <cell r="F299" t="str">
            <v>PC</v>
          </cell>
          <cell r="G299" t="str">
            <v>2</v>
          </cell>
          <cell r="H299" t="str">
            <v>RETAIL</v>
          </cell>
          <cell r="I299" t="str">
            <v>28</v>
          </cell>
          <cell r="J299" t="str">
            <v>CPC2</v>
          </cell>
          <cell r="K299" t="str">
            <v>2807</v>
          </cell>
          <cell r="L299" t="str">
            <v>ULTRASEAL</v>
          </cell>
          <cell r="M299" t="str">
            <v>280701</v>
          </cell>
          <cell r="N299" t="str">
            <v>ULTRASEAL</v>
          </cell>
        </row>
        <row r="300">
          <cell r="C300" t="str">
            <v>100001286</v>
          </cell>
          <cell r="D300" t="str">
            <v>US-970 EMBARRASSED PINK 8126 VN-20KP</v>
          </cell>
          <cell r="E300" t="str">
            <v>ZFGD</v>
          </cell>
          <cell r="F300" t="str">
            <v>PC</v>
          </cell>
          <cell r="G300" t="str">
            <v>2</v>
          </cell>
          <cell r="H300" t="str">
            <v>RETAIL</v>
          </cell>
          <cell r="I300" t="str">
            <v>28</v>
          </cell>
          <cell r="J300" t="str">
            <v>CPC2</v>
          </cell>
          <cell r="K300" t="str">
            <v>2807</v>
          </cell>
          <cell r="L300" t="str">
            <v>ULTRASEAL</v>
          </cell>
          <cell r="M300" t="str">
            <v>280701</v>
          </cell>
          <cell r="N300" t="str">
            <v>ULTRASEAL</v>
          </cell>
        </row>
        <row r="301">
          <cell r="C301" t="str">
            <v>100001287</v>
          </cell>
          <cell r="D301" t="str">
            <v>US-970 VALENTINE 3108 VN-1K</v>
          </cell>
          <cell r="E301" t="str">
            <v>ZFGD</v>
          </cell>
          <cell r="F301" t="str">
            <v>PC</v>
          </cell>
          <cell r="G301" t="str">
            <v>2</v>
          </cell>
          <cell r="H301" t="str">
            <v>RETAIL</v>
          </cell>
          <cell r="I301" t="str">
            <v>28</v>
          </cell>
          <cell r="J301" t="str">
            <v>CPC2</v>
          </cell>
          <cell r="K301" t="str">
            <v>2807</v>
          </cell>
          <cell r="L301" t="str">
            <v>ULTRASEAL</v>
          </cell>
          <cell r="M301" t="str">
            <v>280701</v>
          </cell>
          <cell r="N301" t="str">
            <v>ULTRASEAL</v>
          </cell>
        </row>
        <row r="302">
          <cell r="C302" t="str">
            <v>100001288</v>
          </cell>
          <cell r="D302" t="str">
            <v>US-970 VALENTINE 3108 VN-4K</v>
          </cell>
          <cell r="E302" t="str">
            <v>ZFGD</v>
          </cell>
          <cell r="F302" t="str">
            <v>PC</v>
          </cell>
          <cell r="G302" t="str">
            <v>2</v>
          </cell>
          <cell r="H302" t="str">
            <v>RETAIL</v>
          </cell>
          <cell r="I302" t="str">
            <v>28</v>
          </cell>
          <cell r="J302" t="str">
            <v>CPC2</v>
          </cell>
          <cell r="K302" t="str">
            <v>2807</v>
          </cell>
          <cell r="L302" t="str">
            <v>ULTRASEAL</v>
          </cell>
          <cell r="M302" t="str">
            <v>280701</v>
          </cell>
          <cell r="N302" t="str">
            <v>ULTRASEAL</v>
          </cell>
        </row>
        <row r="303">
          <cell r="C303" t="str">
            <v>100001289</v>
          </cell>
          <cell r="D303" t="str">
            <v>US-970 VALENTINE 3108 VN-20KP</v>
          </cell>
          <cell r="E303" t="str">
            <v>ZFGD</v>
          </cell>
          <cell r="F303" t="str">
            <v>PC</v>
          </cell>
          <cell r="G303" t="str">
            <v>2</v>
          </cell>
          <cell r="H303" t="str">
            <v>RETAIL</v>
          </cell>
          <cell r="I303" t="str">
            <v>28</v>
          </cell>
          <cell r="J303" t="str">
            <v>CPC2</v>
          </cell>
          <cell r="K303" t="str">
            <v>2807</v>
          </cell>
          <cell r="L303" t="str">
            <v>ULTRASEAL</v>
          </cell>
          <cell r="M303" t="str">
            <v>280701</v>
          </cell>
          <cell r="N303" t="str">
            <v>ULTRASEAL</v>
          </cell>
        </row>
        <row r="304">
          <cell r="C304" t="str">
            <v>100001290</v>
          </cell>
          <cell r="D304" t="str">
            <v>US-970 WHITE SHADOW 2112 VN-1K</v>
          </cell>
          <cell r="E304" t="str">
            <v>ZFGD</v>
          </cell>
          <cell r="F304" t="str">
            <v>PC</v>
          </cell>
          <cell r="G304" t="str">
            <v>2</v>
          </cell>
          <cell r="H304" t="str">
            <v>RETAIL</v>
          </cell>
          <cell r="I304" t="str">
            <v>28</v>
          </cell>
          <cell r="J304" t="str">
            <v>CPC2</v>
          </cell>
          <cell r="K304" t="str">
            <v>2807</v>
          </cell>
          <cell r="L304" t="str">
            <v>ULTRASEAL</v>
          </cell>
          <cell r="M304" t="str">
            <v>280701</v>
          </cell>
          <cell r="N304" t="str">
            <v>ULTRASEAL</v>
          </cell>
        </row>
        <row r="305">
          <cell r="C305" t="str">
            <v>100001291</v>
          </cell>
          <cell r="D305" t="str">
            <v>US-970 WHITE SHADOW 2112 VN-4K</v>
          </cell>
          <cell r="E305" t="str">
            <v>ZFGD</v>
          </cell>
          <cell r="F305" t="str">
            <v>PC</v>
          </cell>
          <cell r="G305" t="str">
            <v>2</v>
          </cell>
          <cell r="H305" t="str">
            <v>RETAIL</v>
          </cell>
          <cell r="I305" t="str">
            <v>28</v>
          </cell>
          <cell r="J305" t="str">
            <v>CPC2</v>
          </cell>
          <cell r="K305" t="str">
            <v>2807</v>
          </cell>
          <cell r="L305" t="str">
            <v>ULTRASEAL</v>
          </cell>
          <cell r="M305" t="str">
            <v>280701</v>
          </cell>
          <cell r="N305" t="str">
            <v>ULTRASEAL</v>
          </cell>
        </row>
        <row r="306">
          <cell r="C306" t="str">
            <v>100001292</v>
          </cell>
          <cell r="D306" t="str">
            <v>US-970 WHITE SHADOW 2112 VN-20KP</v>
          </cell>
          <cell r="E306" t="str">
            <v>ZFGD</v>
          </cell>
          <cell r="F306" t="str">
            <v>PC</v>
          </cell>
          <cell r="G306" t="str">
            <v>2</v>
          </cell>
          <cell r="H306" t="str">
            <v>RETAIL</v>
          </cell>
          <cell r="I306" t="str">
            <v>28</v>
          </cell>
          <cell r="J306" t="str">
            <v>CPC2</v>
          </cell>
          <cell r="K306" t="str">
            <v>2807</v>
          </cell>
          <cell r="L306" t="str">
            <v>ULTRASEAL</v>
          </cell>
          <cell r="M306" t="str">
            <v>280701</v>
          </cell>
          <cell r="N306" t="str">
            <v>ULTRASEAL</v>
          </cell>
        </row>
        <row r="307">
          <cell r="C307" t="str">
            <v>100001293</v>
          </cell>
          <cell r="D307" t="str">
            <v>US-970 WILTON BLUE 6414 VN-1K</v>
          </cell>
          <cell r="E307" t="str">
            <v>ZFGD</v>
          </cell>
          <cell r="F307" t="str">
            <v>PC</v>
          </cell>
          <cell r="G307" t="str">
            <v>2</v>
          </cell>
          <cell r="H307" t="str">
            <v>RETAIL</v>
          </cell>
          <cell r="I307" t="str">
            <v>28</v>
          </cell>
          <cell r="J307" t="str">
            <v>CPC2</v>
          </cell>
          <cell r="K307" t="str">
            <v>2807</v>
          </cell>
          <cell r="L307" t="str">
            <v>ULTRASEAL</v>
          </cell>
          <cell r="M307" t="str">
            <v>280701</v>
          </cell>
          <cell r="N307" t="str">
            <v>ULTRASEAL</v>
          </cell>
        </row>
        <row r="308">
          <cell r="C308" t="str">
            <v>100001294</v>
          </cell>
          <cell r="D308" t="str">
            <v>US-970 WILTON BLUE 6414 VN-4K</v>
          </cell>
          <cell r="E308" t="str">
            <v>ZFGD</v>
          </cell>
          <cell r="F308" t="str">
            <v>PC</v>
          </cell>
          <cell r="G308" t="str">
            <v>2</v>
          </cell>
          <cell r="H308" t="str">
            <v>RETAIL</v>
          </cell>
          <cell r="I308" t="str">
            <v>28</v>
          </cell>
          <cell r="J308" t="str">
            <v>CPC2</v>
          </cell>
          <cell r="K308" t="str">
            <v>2807</v>
          </cell>
          <cell r="L308" t="str">
            <v>ULTRASEAL</v>
          </cell>
          <cell r="M308" t="str">
            <v>280701</v>
          </cell>
          <cell r="N308" t="str">
            <v>ULTRASEAL</v>
          </cell>
        </row>
        <row r="309">
          <cell r="C309" t="str">
            <v>100001295</v>
          </cell>
          <cell r="D309" t="str">
            <v>US-970 WILTON BLUE 6414 VN-20KP</v>
          </cell>
          <cell r="E309" t="str">
            <v>ZFGD</v>
          </cell>
          <cell r="F309" t="str">
            <v>PC</v>
          </cell>
          <cell r="G309" t="str">
            <v>2</v>
          </cell>
          <cell r="H309" t="str">
            <v>RETAIL</v>
          </cell>
          <cell r="I309" t="str">
            <v>28</v>
          </cell>
          <cell r="J309" t="str">
            <v>CPC2</v>
          </cell>
          <cell r="K309" t="str">
            <v>2807</v>
          </cell>
          <cell r="L309" t="str">
            <v>ULTRASEAL</v>
          </cell>
          <cell r="M309" t="str">
            <v>280701</v>
          </cell>
          <cell r="N309" t="str">
            <v>ULTRASEAL</v>
          </cell>
        </row>
        <row r="310">
          <cell r="C310" t="str">
            <v>100001296</v>
          </cell>
          <cell r="D310" t="str">
            <v>MX-94 CLEAR GLOSS VN-5KS</v>
          </cell>
          <cell r="E310" t="str">
            <v>ZFGD</v>
          </cell>
          <cell r="F310" t="str">
            <v>SET</v>
          </cell>
          <cell r="G310" t="str">
            <v>5</v>
          </cell>
          <cell r="H310" t="str">
            <v>PROJECT</v>
          </cell>
          <cell r="I310" t="str">
            <v>56</v>
          </cell>
          <cell r="J310" t="str">
            <v>CPC1</v>
          </cell>
          <cell r="K310" t="str">
            <v>5603</v>
          </cell>
          <cell r="L310" t="str">
            <v>MULTIPOX</v>
          </cell>
          <cell r="M310" t="str">
            <v>560301</v>
          </cell>
          <cell r="N310" t="str">
            <v>MULTIPOX</v>
          </cell>
        </row>
        <row r="311">
          <cell r="C311" t="str">
            <v>100001297</v>
          </cell>
          <cell r="D311" t="str">
            <v>MX-94 CLEAR GLOSS VN-4K</v>
          </cell>
          <cell r="E311" t="str">
            <v>ZFGD</v>
          </cell>
          <cell r="F311" t="str">
            <v>PC</v>
          </cell>
          <cell r="G311" t="str">
            <v>5</v>
          </cell>
          <cell r="H311" t="str">
            <v>PROJECT</v>
          </cell>
          <cell r="I311" t="str">
            <v>56</v>
          </cell>
          <cell r="J311" t="str">
            <v>CPC1</v>
          </cell>
          <cell r="K311" t="str">
            <v>5603</v>
          </cell>
          <cell r="L311" t="str">
            <v>MULTIPOX</v>
          </cell>
          <cell r="M311" t="str">
            <v>560301</v>
          </cell>
          <cell r="N311" t="str">
            <v>MULTIPOX</v>
          </cell>
        </row>
        <row r="312">
          <cell r="C312" t="str">
            <v>100001298</v>
          </cell>
          <cell r="D312" t="str">
            <v>MX-94 CLEAR GLOSS VN-20KSP</v>
          </cell>
          <cell r="E312" t="str">
            <v>ZFGD</v>
          </cell>
          <cell r="F312" t="str">
            <v>SET</v>
          </cell>
          <cell r="G312" t="str">
            <v>5</v>
          </cell>
          <cell r="H312" t="str">
            <v>PROJECT</v>
          </cell>
          <cell r="I312" t="str">
            <v>56</v>
          </cell>
          <cell r="J312" t="str">
            <v>CPC1</v>
          </cell>
          <cell r="K312" t="str">
            <v>5603</v>
          </cell>
          <cell r="L312" t="str">
            <v>MULTIPOX</v>
          </cell>
          <cell r="M312" t="str">
            <v>560301</v>
          </cell>
          <cell r="N312" t="str">
            <v>MULTIPOX</v>
          </cell>
        </row>
        <row r="313">
          <cell r="C313" t="str">
            <v>100001299</v>
          </cell>
          <cell r="D313" t="str">
            <v>MX-94 CLEAR GLOSS VN-16KP</v>
          </cell>
          <cell r="E313" t="str">
            <v>ZFGD</v>
          </cell>
          <cell r="F313" t="str">
            <v>PC</v>
          </cell>
          <cell r="G313" t="str">
            <v>5</v>
          </cell>
          <cell r="H313" t="str">
            <v>PROJECT</v>
          </cell>
          <cell r="I313" t="str">
            <v>56</v>
          </cell>
          <cell r="J313" t="str">
            <v>CPC1</v>
          </cell>
          <cell r="K313" t="str">
            <v>5603</v>
          </cell>
          <cell r="L313" t="str">
            <v>MULTIPOX</v>
          </cell>
          <cell r="M313" t="str">
            <v>560301</v>
          </cell>
          <cell r="N313" t="str">
            <v>MULTIPOX</v>
          </cell>
        </row>
        <row r="314">
          <cell r="C314" t="str">
            <v>100001300</v>
          </cell>
          <cell r="D314" t="str">
            <v>MX-94 LEAF GREEN VN-5KS</v>
          </cell>
          <cell r="E314" t="str">
            <v>ZFGD</v>
          </cell>
          <cell r="F314" t="str">
            <v>SET</v>
          </cell>
          <cell r="G314" t="str">
            <v>5</v>
          </cell>
          <cell r="H314" t="str">
            <v>PROJECT</v>
          </cell>
          <cell r="I314" t="str">
            <v>56</v>
          </cell>
          <cell r="J314" t="str">
            <v>CPC1</v>
          </cell>
          <cell r="K314" t="str">
            <v>5603</v>
          </cell>
          <cell r="L314" t="str">
            <v>MULTIPOX</v>
          </cell>
          <cell r="M314" t="str">
            <v>560301</v>
          </cell>
          <cell r="N314" t="str">
            <v>MULTIPOX</v>
          </cell>
        </row>
        <row r="315">
          <cell r="C315" t="str">
            <v>100001301</v>
          </cell>
          <cell r="D315" t="str">
            <v>MX-94 LEAF GREEN VN-4K</v>
          </cell>
          <cell r="E315" t="str">
            <v>ZFGD</v>
          </cell>
          <cell r="F315" t="str">
            <v>PC</v>
          </cell>
          <cell r="G315" t="str">
            <v>5</v>
          </cell>
          <cell r="H315" t="str">
            <v>PROJECT</v>
          </cell>
          <cell r="I315" t="str">
            <v>56</v>
          </cell>
          <cell r="J315" t="str">
            <v>CPC1</v>
          </cell>
          <cell r="K315" t="str">
            <v>5603</v>
          </cell>
          <cell r="L315" t="str">
            <v>MULTIPOX</v>
          </cell>
          <cell r="M315" t="str">
            <v>560301</v>
          </cell>
          <cell r="N315" t="str">
            <v>MULTIPOX</v>
          </cell>
        </row>
        <row r="316">
          <cell r="C316" t="str">
            <v>100001302</v>
          </cell>
          <cell r="D316" t="str">
            <v>MX-94 LEAF GREEN VN-20KSP</v>
          </cell>
          <cell r="E316" t="str">
            <v>ZFGD</v>
          </cell>
          <cell r="F316" t="str">
            <v>SET</v>
          </cell>
          <cell r="G316" t="str">
            <v>5</v>
          </cell>
          <cell r="H316" t="str">
            <v>PROJECT</v>
          </cell>
          <cell r="I316" t="str">
            <v>56</v>
          </cell>
          <cell r="J316" t="str">
            <v>CPC1</v>
          </cell>
          <cell r="K316" t="str">
            <v>5603</v>
          </cell>
          <cell r="L316" t="str">
            <v>MULTIPOX</v>
          </cell>
          <cell r="M316" t="str">
            <v>560301</v>
          </cell>
          <cell r="N316" t="str">
            <v>MULTIPOX</v>
          </cell>
        </row>
        <row r="317">
          <cell r="C317" t="str">
            <v>100001303</v>
          </cell>
          <cell r="D317" t="str">
            <v>MX-94 LEAF GREEN VN-16KP</v>
          </cell>
          <cell r="E317" t="str">
            <v>ZFGD</v>
          </cell>
          <cell r="F317" t="str">
            <v>PC</v>
          </cell>
          <cell r="G317" t="str">
            <v>5</v>
          </cell>
          <cell r="H317" t="str">
            <v>PROJECT</v>
          </cell>
          <cell r="I317" t="str">
            <v>56</v>
          </cell>
          <cell r="J317" t="str">
            <v>CPC1</v>
          </cell>
          <cell r="K317" t="str">
            <v>5603</v>
          </cell>
          <cell r="L317" t="str">
            <v>MULTIPOX</v>
          </cell>
          <cell r="M317" t="str">
            <v>560301</v>
          </cell>
          <cell r="N317" t="str">
            <v>MULTIPOX</v>
          </cell>
        </row>
        <row r="318">
          <cell r="C318" t="str">
            <v>100001304</v>
          </cell>
          <cell r="D318" t="str">
            <v>MX-94 BEIGE VN-5KS</v>
          </cell>
          <cell r="E318" t="str">
            <v>ZFGD</v>
          </cell>
          <cell r="F318" t="str">
            <v>SET</v>
          </cell>
          <cell r="G318" t="str">
            <v>5</v>
          </cell>
          <cell r="H318" t="str">
            <v>PROJECT</v>
          </cell>
          <cell r="I318" t="str">
            <v>56</v>
          </cell>
          <cell r="J318" t="str">
            <v>CPC1</v>
          </cell>
          <cell r="K318" t="str">
            <v>5603</v>
          </cell>
          <cell r="L318" t="str">
            <v>MULTIPOX</v>
          </cell>
          <cell r="M318" t="str">
            <v>560301</v>
          </cell>
          <cell r="N318" t="str">
            <v>MULTIPOX</v>
          </cell>
        </row>
        <row r="319">
          <cell r="C319" t="str">
            <v>100001305</v>
          </cell>
          <cell r="D319" t="str">
            <v>MX-94 BEIGE VN-4K</v>
          </cell>
          <cell r="E319" t="str">
            <v>ZFGD</v>
          </cell>
          <cell r="F319" t="str">
            <v>PC</v>
          </cell>
          <cell r="G319" t="str">
            <v>5</v>
          </cell>
          <cell r="H319" t="str">
            <v>PROJECT</v>
          </cell>
          <cell r="I319" t="str">
            <v>56</v>
          </cell>
          <cell r="J319" t="str">
            <v>CPC1</v>
          </cell>
          <cell r="K319" t="str">
            <v>5603</v>
          </cell>
          <cell r="L319" t="str">
            <v>MULTIPOX</v>
          </cell>
          <cell r="M319" t="str">
            <v>560301</v>
          </cell>
          <cell r="N319" t="str">
            <v>MULTIPOX</v>
          </cell>
        </row>
        <row r="320">
          <cell r="C320" t="str">
            <v>100001306</v>
          </cell>
          <cell r="D320" t="str">
            <v>MX-94 BEIGE VN-20KSP</v>
          </cell>
          <cell r="E320" t="str">
            <v>ZFGD</v>
          </cell>
          <cell r="F320" t="str">
            <v>SET</v>
          </cell>
          <cell r="G320" t="str">
            <v>5</v>
          </cell>
          <cell r="H320" t="str">
            <v>PROJECT</v>
          </cell>
          <cell r="I320" t="str">
            <v>56</v>
          </cell>
          <cell r="J320" t="str">
            <v>CPC1</v>
          </cell>
          <cell r="K320" t="str">
            <v>5603</v>
          </cell>
          <cell r="L320" t="str">
            <v>MULTIPOX</v>
          </cell>
          <cell r="M320" t="str">
            <v>560301</v>
          </cell>
          <cell r="N320" t="str">
            <v>MULTIPOX</v>
          </cell>
        </row>
        <row r="321">
          <cell r="C321" t="str">
            <v>100001307</v>
          </cell>
          <cell r="D321" t="str">
            <v>MX-94 BEIGE VN-16KP</v>
          </cell>
          <cell r="E321" t="str">
            <v>ZFGD</v>
          </cell>
          <cell r="F321" t="str">
            <v>PC</v>
          </cell>
          <cell r="G321" t="str">
            <v>5</v>
          </cell>
          <cell r="H321" t="str">
            <v>PROJECT</v>
          </cell>
          <cell r="I321" t="str">
            <v>56</v>
          </cell>
          <cell r="J321" t="str">
            <v>CPC1</v>
          </cell>
          <cell r="K321" t="str">
            <v>5603</v>
          </cell>
          <cell r="L321" t="str">
            <v>MULTIPOX</v>
          </cell>
          <cell r="M321" t="str">
            <v>560301</v>
          </cell>
          <cell r="N321" t="str">
            <v>MULTIPOX</v>
          </cell>
        </row>
        <row r="322">
          <cell r="C322" t="str">
            <v>100001308</v>
          </cell>
          <cell r="D322" t="str">
            <v>MX-94 VC TRAFFIC YELLOW VN-5KS</v>
          </cell>
          <cell r="E322" t="str">
            <v>ZFGD</v>
          </cell>
          <cell r="F322" t="str">
            <v>SET</v>
          </cell>
          <cell r="G322" t="str">
            <v>5</v>
          </cell>
          <cell r="H322" t="str">
            <v>PROJECT</v>
          </cell>
          <cell r="I322" t="str">
            <v>56</v>
          </cell>
          <cell r="J322" t="str">
            <v>CPC1</v>
          </cell>
          <cell r="K322" t="str">
            <v>5603</v>
          </cell>
          <cell r="L322" t="str">
            <v>MULTIPOX</v>
          </cell>
          <cell r="M322" t="str">
            <v>560301</v>
          </cell>
          <cell r="N322" t="str">
            <v>MULTIPOX</v>
          </cell>
        </row>
        <row r="323">
          <cell r="C323" t="str">
            <v>100001309</v>
          </cell>
          <cell r="D323" t="str">
            <v>MX-94 VC TRAFFIC YELLOW VN-4K</v>
          </cell>
          <cell r="E323" t="str">
            <v>ZFGD</v>
          </cell>
          <cell r="F323" t="str">
            <v>PC</v>
          </cell>
          <cell r="G323" t="str">
            <v>5</v>
          </cell>
          <cell r="H323" t="str">
            <v>PROJECT</v>
          </cell>
          <cell r="I323" t="str">
            <v>56</v>
          </cell>
          <cell r="J323" t="str">
            <v>CPC1</v>
          </cell>
          <cell r="K323" t="str">
            <v>5603</v>
          </cell>
          <cell r="L323" t="str">
            <v>MULTIPOX</v>
          </cell>
          <cell r="M323" t="str">
            <v>560301</v>
          </cell>
          <cell r="N323" t="str">
            <v>MULTIPOX</v>
          </cell>
        </row>
        <row r="324">
          <cell r="C324" t="str">
            <v>100001310</v>
          </cell>
          <cell r="D324" t="str">
            <v>MX-94 VC TRAFFIC YELLOW VN-20KSP</v>
          </cell>
          <cell r="E324" t="str">
            <v>ZFGD</v>
          </cell>
          <cell r="F324" t="str">
            <v>SET</v>
          </cell>
          <cell r="G324" t="str">
            <v>5</v>
          </cell>
          <cell r="H324" t="str">
            <v>PROJECT</v>
          </cell>
          <cell r="I324" t="str">
            <v>56</v>
          </cell>
          <cell r="J324" t="str">
            <v>CPC1</v>
          </cell>
          <cell r="K324" t="str">
            <v>5603</v>
          </cell>
          <cell r="L324" t="str">
            <v>MULTIPOX</v>
          </cell>
          <cell r="M324" t="str">
            <v>560301</v>
          </cell>
          <cell r="N324" t="str">
            <v>MULTIPOX</v>
          </cell>
        </row>
        <row r="325">
          <cell r="C325" t="str">
            <v>100001311</v>
          </cell>
          <cell r="D325" t="str">
            <v>MX-94 VC TRAFFIC YELLOW VN-16KP</v>
          </cell>
          <cell r="E325" t="str">
            <v>ZFGD</v>
          </cell>
          <cell r="F325" t="str">
            <v>PC</v>
          </cell>
          <cell r="G325" t="str">
            <v>5</v>
          </cell>
          <cell r="H325" t="str">
            <v>PROJECT</v>
          </cell>
          <cell r="I325" t="str">
            <v>56</v>
          </cell>
          <cell r="J325" t="str">
            <v>CPC1</v>
          </cell>
          <cell r="K325" t="str">
            <v>5603</v>
          </cell>
          <cell r="L325" t="str">
            <v>MULTIPOX</v>
          </cell>
          <cell r="M325" t="str">
            <v>560301</v>
          </cell>
          <cell r="N325" t="str">
            <v>MULTIPOX</v>
          </cell>
        </row>
        <row r="326">
          <cell r="C326" t="str">
            <v>100001312</v>
          </cell>
          <cell r="D326" t="str">
            <v>MX-94 GENTIAN BLUE VN-5KS</v>
          </cell>
          <cell r="E326" t="str">
            <v>ZFGD</v>
          </cell>
          <cell r="F326" t="str">
            <v>SET</v>
          </cell>
          <cell r="G326" t="str">
            <v>5</v>
          </cell>
          <cell r="H326" t="str">
            <v>PROJECT</v>
          </cell>
          <cell r="I326" t="str">
            <v>56</v>
          </cell>
          <cell r="J326" t="str">
            <v>CPC1</v>
          </cell>
          <cell r="K326" t="str">
            <v>5603</v>
          </cell>
          <cell r="L326" t="str">
            <v>MULTIPOX</v>
          </cell>
          <cell r="M326" t="str">
            <v>560301</v>
          </cell>
          <cell r="N326" t="str">
            <v>MULTIPOX</v>
          </cell>
        </row>
        <row r="327">
          <cell r="C327" t="str">
            <v>100001313</v>
          </cell>
          <cell r="D327" t="str">
            <v>MX-94 GENTIAN BLUE VN-4K</v>
          </cell>
          <cell r="E327" t="str">
            <v>ZFGD</v>
          </cell>
          <cell r="F327" t="str">
            <v>PC</v>
          </cell>
          <cell r="G327" t="str">
            <v>5</v>
          </cell>
          <cell r="H327" t="str">
            <v>PROJECT</v>
          </cell>
          <cell r="I327" t="str">
            <v>56</v>
          </cell>
          <cell r="J327" t="str">
            <v>CPC1</v>
          </cell>
          <cell r="K327" t="str">
            <v>5603</v>
          </cell>
          <cell r="L327" t="str">
            <v>MULTIPOX</v>
          </cell>
          <cell r="M327" t="str">
            <v>560301</v>
          </cell>
          <cell r="N327" t="str">
            <v>MULTIPOX</v>
          </cell>
        </row>
        <row r="328">
          <cell r="C328" t="str">
            <v>100001314</v>
          </cell>
          <cell r="D328" t="str">
            <v>MX-94 GENTIAN BLUE VN-20KSP</v>
          </cell>
          <cell r="E328" t="str">
            <v>ZFGD</v>
          </cell>
          <cell r="F328" t="str">
            <v>SET</v>
          </cell>
          <cell r="G328" t="str">
            <v>5</v>
          </cell>
          <cell r="H328" t="str">
            <v>PROJECT</v>
          </cell>
          <cell r="I328" t="str">
            <v>56</v>
          </cell>
          <cell r="J328" t="str">
            <v>CPC1</v>
          </cell>
          <cell r="K328" t="str">
            <v>5603</v>
          </cell>
          <cell r="L328" t="str">
            <v>MULTIPOX</v>
          </cell>
          <cell r="M328" t="str">
            <v>560301</v>
          </cell>
          <cell r="N328" t="str">
            <v>MULTIPOX</v>
          </cell>
        </row>
        <row r="329">
          <cell r="C329" t="str">
            <v>100001315</v>
          </cell>
          <cell r="D329" t="str">
            <v>MX-94 GENTIAN BLUE VN-16KP</v>
          </cell>
          <cell r="E329" t="str">
            <v>ZFGD</v>
          </cell>
          <cell r="F329" t="str">
            <v>PC</v>
          </cell>
          <cell r="G329" t="str">
            <v>5</v>
          </cell>
          <cell r="H329" t="str">
            <v>PROJECT</v>
          </cell>
          <cell r="I329" t="str">
            <v>56</v>
          </cell>
          <cell r="J329" t="str">
            <v>CPC1</v>
          </cell>
          <cell r="K329" t="str">
            <v>5603</v>
          </cell>
          <cell r="L329" t="str">
            <v>MULTIPOX</v>
          </cell>
          <cell r="M329" t="str">
            <v>560301</v>
          </cell>
          <cell r="N329" t="str">
            <v>MULTIPOX</v>
          </cell>
        </row>
        <row r="330">
          <cell r="C330" t="str">
            <v>100001316</v>
          </cell>
          <cell r="D330" t="str">
            <v>MX-94 LIGHT GREY VN-5KS</v>
          </cell>
          <cell r="E330" t="str">
            <v>ZFGD</v>
          </cell>
          <cell r="F330" t="str">
            <v>SET</v>
          </cell>
          <cell r="G330" t="str">
            <v>5</v>
          </cell>
          <cell r="H330" t="str">
            <v>PROJECT</v>
          </cell>
          <cell r="I330" t="str">
            <v>56</v>
          </cell>
          <cell r="J330" t="str">
            <v>CPC1</v>
          </cell>
          <cell r="K330" t="str">
            <v>5603</v>
          </cell>
          <cell r="L330" t="str">
            <v>MULTIPOX</v>
          </cell>
          <cell r="M330" t="str">
            <v>560301</v>
          </cell>
          <cell r="N330" t="str">
            <v>MULTIPOX</v>
          </cell>
        </row>
        <row r="331">
          <cell r="C331" t="str">
            <v>100001317</v>
          </cell>
          <cell r="D331" t="str">
            <v>MX-94 LIGHT GREY VN-4K</v>
          </cell>
          <cell r="E331" t="str">
            <v>ZFGD</v>
          </cell>
          <cell r="F331" t="str">
            <v>PC</v>
          </cell>
          <cell r="G331" t="str">
            <v>5</v>
          </cell>
          <cell r="H331" t="str">
            <v>PROJECT</v>
          </cell>
          <cell r="I331" t="str">
            <v>56</v>
          </cell>
          <cell r="J331" t="str">
            <v>CPC1</v>
          </cell>
          <cell r="K331" t="str">
            <v>5603</v>
          </cell>
          <cell r="L331" t="str">
            <v>MULTIPOX</v>
          </cell>
          <cell r="M331" t="str">
            <v>560301</v>
          </cell>
          <cell r="N331" t="str">
            <v>MULTIPOX</v>
          </cell>
        </row>
        <row r="332">
          <cell r="C332" t="str">
            <v>100001318</v>
          </cell>
          <cell r="D332" t="str">
            <v>MX-94 LIGHT GREY VN-20KSP</v>
          </cell>
          <cell r="E332" t="str">
            <v>ZFGD</v>
          </cell>
          <cell r="F332" t="str">
            <v>SET</v>
          </cell>
          <cell r="G332" t="str">
            <v>5</v>
          </cell>
          <cell r="H332" t="str">
            <v>PROJECT</v>
          </cell>
          <cell r="I332" t="str">
            <v>56</v>
          </cell>
          <cell r="J332" t="str">
            <v>CPC1</v>
          </cell>
          <cell r="K332" t="str">
            <v>5603</v>
          </cell>
          <cell r="L332" t="str">
            <v>MULTIPOX</v>
          </cell>
          <cell r="M332" t="str">
            <v>560301</v>
          </cell>
          <cell r="N332" t="str">
            <v>MULTIPOX</v>
          </cell>
        </row>
        <row r="333">
          <cell r="C333" t="str">
            <v>100001319</v>
          </cell>
          <cell r="D333" t="str">
            <v>MX-94 LIGHT GREY VN-16KP</v>
          </cell>
          <cell r="E333" t="str">
            <v>ZFGD</v>
          </cell>
          <cell r="F333" t="str">
            <v>PC</v>
          </cell>
          <cell r="G333" t="str">
            <v>5</v>
          </cell>
          <cell r="H333" t="str">
            <v>PROJECT</v>
          </cell>
          <cell r="I333" t="str">
            <v>56</v>
          </cell>
          <cell r="J333" t="str">
            <v>CPC1</v>
          </cell>
          <cell r="K333" t="str">
            <v>5603</v>
          </cell>
          <cell r="L333" t="str">
            <v>MULTIPOX</v>
          </cell>
          <cell r="M333" t="str">
            <v>560301</v>
          </cell>
          <cell r="N333" t="str">
            <v>MULTIPOX</v>
          </cell>
        </row>
        <row r="334">
          <cell r="C334" t="str">
            <v>100001320</v>
          </cell>
          <cell r="D334" t="str">
            <v>MX-94 BLACK VN-5KS</v>
          </cell>
          <cell r="E334" t="str">
            <v>ZFGD</v>
          </cell>
          <cell r="F334" t="str">
            <v>SET</v>
          </cell>
          <cell r="G334" t="str">
            <v>5</v>
          </cell>
          <cell r="H334" t="str">
            <v>PROJECT</v>
          </cell>
          <cell r="I334" t="str">
            <v>56</v>
          </cell>
          <cell r="J334" t="str">
            <v>CPC1</v>
          </cell>
          <cell r="K334" t="str">
            <v>5603</v>
          </cell>
          <cell r="L334" t="str">
            <v>MULTIPOX</v>
          </cell>
          <cell r="M334" t="str">
            <v>560301</v>
          </cell>
          <cell r="N334" t="str">
            <v>MULTIPOX</v>
          </cell>
        </row>
        <row r="335">
          <cell r="C335" t="str">
            <v>100001321</v>
          </cell>
          <cell r="D335" t="str">
            <v>MX-94 BLACK VN-4K</v>
          </cell>
          <cell r="E335" t="str">
            <v>ZFGD</v>
          </cell>
          <cell r="F335" t="str">
            <v>PC</v>
          </cell>
          <cell r="G335" t="str">
            <v>5</v>
          </cell>
          <cell r="H335" t="str">
            <v>PROJECT</v>
          </cell>
          <cell r="I335" t="str">
            <v>56</v>
          </cell>
          <cell r="J335" t="str">
            <v>CPC1</v>
          </cell>
          <cell r="K335" t="str">
            <v>5603</v>
          </cell>
          <cell r="L335" t="str">
            <v>MULTIPOX</v>
          </cell>
          <cell r="M335" t="str">
            <v>560301</v>
          </cell>
          <cell r="N335" t="str">
            <v>MULTIPOX</v>
          </cell>
        </row>
        <row r="336">
          <cell r="C336" t="str">
            <v>100001322</v>
          </cell>
          <cell r="D336" t="str">
            <v>MX-94 BLACK VN-20KSP</v>
          </cell>
          <cell r="E336" t="str">
            <v>ZFGD</v>
          </cell>
          <cell r="F336" t="str">
            <v>SET</v>
          </cell>
          <cell r="G336" t="str">
            <v>5</v>
          </cell>
          <cell r="H336" t="str">
            <v>PROJECT</v>
          </cell>
          <cell r="I336" t="str">
            <v>56</v>
          </cell>
          <cell r="J336" t="str">
            <v>CPC1</v>
          </cell>
          <cell r="K336" t="str">
            <v>5603</v>
          </cell>
          <cell r="L336" t="str">
            <v>MULTIPOX</v>
          </cell>
          <cell r="M336" t="str">
            <v>560301</v>
          </cell>
          <cell r="N336" t="str">
            <v>MULTIPOX</v>
          </cell>
        </row>
        <row r="337">
          <cell r="C337" t="str">
            <v>100001323</v>
          </cell>
          <cell r="D337" t="str">
            <v>MX-94 BLACK VN-16KP</v>
          </cell>
          <cell r="E337" t="str">
            <v>ZFGD</v>
          </cell>
          <cell r="F337" t="str">
            <v>PC</v>
          </cell>
          <cell r="G337" t="str">
            <v>5</v>
          </cell>
          <cell r="H337" t="str">
            <v>PROJECT</v>
          </cell>
          <cell r="I337" t="str">
            <v>56</v>
          </cell>
          <cell r="J337" t="str">
            <v>CPC1</v>
          </cell>
          <cell r="K337" t="str">
            <v>5603</v>
          </cell>
          <cell r="L337" t="str">
            <v>MULTIPOX</v>
          </cell>
          <cell r="M337" t="str">
            <v>560301</v>
          </cell>
          <cell r="N337" t="str">
            <v>MULTIPOX</v>
          </cell>
        </row>
        <row r="338">
          <cell r="C338" t="str">
            <v>100001324</v>
          </cell>
          <cell r="D338" t="str">
            <v>MX-94 IVORY VN-5KS</v>
          </cell>
          <cell r="E338" t="str">
            <v>ZFGD</v>
          </cell>
          <cell r="F338" t="str">
            <v>SET</v>
          </cell>
          <cell r="G338" t="str">
            <v>5</v>
          </cell>
          <cell r="H338" t="str">
            <v>PROJECT</v>
          </cell>
          <cell r="I338" t="str">
            <v>56</v>
          </cell>
          <cell r="J338" t="str">
            <v>CPC1</v>
          </cell>
          <cell r="K338" t="str">
            <v>5603</v>
          </cell>
          <cell r="L338" t="str">
            <v>MULTIPOX</v>
          </cell>
          <cell r="M338" t="str">
            <v>560301</v>
          </cell>
          <cell r="N338" t="str">
            <v>MULTIPOX</v>
          </cell>
        </row>
        <row r="339">
          <cell r="C339" t="str">
            <v>100001325</v>
          </cell>
          <cell r="D339" t="str">
            <v>MX-94 IVORY VN-4K</v>
          </cell>
          <cell r="E339" t="str">
            <v>ZFGD</v>
          </cell>
          <cell r="F339" t="str">
            <v>PC</v>
          </cell>
          <cell r="G339" t="str">
            <v>5</v>
          </cell>
          <cell r="H339" t="str">
            <v>PROJECT</v>
          </cell>
          <cell r="I339" t="str">
            <v>56</v>
          </cell>
          <cell r="J339" t="str">
            <v>CPC1</v>
          </cell>
          <cell r="K339" t="str">
            <v>5603</v>
          </cell>
          <cell r="L339" t="str">
            <v>MULTIPOX</v>
          </cell>
          <cell r="M339" t="str">
            <v>560301</v>
          </cell>
          <cell r="N339" t="str">
            <v>MULTIPOX</v>
          </cell>
        </row>
        <row r="340">
          <cell r="C340" t="str">
            <v>100001326</v>
          </cell>
          <cell r="D340" t="str">
            <v>MX-94 IVORY VN-20KSP</v>
          </cell>
          <cell r="E340" t="str">
            <v>ZFGD</v>
          </cell>
          <cell r="F340" t="str">
            <v>SET</v>
          </cell>
          <cell r="G340" t="str">
            <v>5</v>
          </cell>
          <cell r="H340" t="str">
            <v>PROJECT</v>
          </cell>
          <cell r="I340" t="str">
            <v>56</v>
          </cell>
          <cell r="J340" t="str">
            <v>CPC1</v>
          </cell>
          <cell r="K340" t="str">
            <v>5603</v>
          </cell>
          <cell r="L340" t="str">
            <v>MULTIPOX</v>
          </cell>
          <cell r="M340" t="str">
            <v>560301</v>
          </cell>
          <cell r="N340" t="str">
            <v>MULTIPOX</v>
          </cell>
        </row>
        <row r="341">
          <cell r="C341" t="str">
            <v>100001327</v>
          </cell>
          <cell r="D341" t="str">
            <v>MX-94 IVORY VN-16KP</v>
          </cell>
          <cell r="E341" t="str">
            <v>ZFGD</v>
          </cell>
          <cell r="F341" t="str">
            <v>PC</v>
          </cell>
          <cell r="G341" t="str">
            <v>5</v>
          </cell>
          <cell r="H341" t="str">
            <v>PROJECT</v>
          </cell>
          <cell r="I341" t="str">
            <v>56</v>
          </cell>
          <cell r="J341" t="str">
            <v>CPC1</v>
          </cell>
          <cell r="K341" t="str">
            <v>5603</v>
          </cell>
          <cell r="L341" t="str">
            <v>MULTIPOX</v>
          </cell>
          <cell r="M341" t="str">
            <v>560301</v>
          </cell>
          <cell r="N341" t="str">
            <v>MULTIPOX</v>
          </cell>
        </row>
        <row r="342">
          <cell r="C342" t="str">
            <v>100001328</v>
          </cell>
          <cell r="D342" t="str">
            <v>MX-94 LIGHT ALABASTER VN-5KS</v>
          </cell>
          <cell r="E342" t="str">
            <v>ZFGD</v>
          </cell>
          <cell r="F342" t="str">
            <v>SET</v>
          </cell>
          <cell r="G342" t="str">
            <v>5</v>
          </cell>
          <cell r="H342" t="str">
            <v>PROJECT</v>
          </cell>
          <cell r="I342" t="str">
            <v>56</v>
          </cell>
          <cell r="J342" t="str">
            <v>CPC1</v>
          </cell>
          <cell r="K342" t="str">
            <v>5603</v>
          </cell>
          <cell r="L342" t="str">
            <v>MULTIPOX</v>
          </cell>
          <cell r="M342" t="str">
            <v>560301</v>
          </cell>
          <cell r="N342" t="str">
            <v>MULTIPOX</v>
          </cell>
        </row>
        <row r="343">
          <cell r="C343" t="str">
            <v>100001329</v>
          </cell>
          <cell r="D343" t="str">
            <v>MX-94 LIGHT ALABASTER VN-4K</v>
          </cell>
          <cell r="E343" t="str">
            <v>ZFGD</v>
          </cell>
          <cell r="F343" t="str">
            <v>PC</v>
          </cell>
          <cell r="G343" t="str">
            <v>5</v>
          </cell>
          <cell r="H343" t="str">
            <v>PROJECT</v>
          </cell>
          <cell r="I343" t="str">
            <v>56</v>
          </cell>
          <cell r="J343" t="str">
            <v>CPC1</v>
          </cell>
          <cell r="K343" t="str">
            <v>5603</v>
          </cell>
          <cell r="L343" t="str">
            <v>MULTIPOX</v>
          </cell>
          <cell r="M343" t="str">
            <v>560301</v>
          </cell>
          <cell r="N343" t="str">
            <v>MULTIPOX</v>
          </cell>
        </row>
        <row r="344">
          <cell r="C344" t="str">
            <v>100001330</v>
          </cell>
          <cell r="D344" t="str">
            <v>MX-94 LIGHT ALABASTER VN-20KSP</v>
          </cell>
          <cell r="E344" t="str">
            <v>ZFGD</v>
          </cell>
          <cell r="F344" t="str">
            <v>SET</v>
          </cell>
          <cell r="G344" t="str">
            <v>5</v>
          </cell>
          <cell r="H344" t="str">
            <v>PROJECT</v>
          </cell>
          <cell r="I344" t="str">
            <v>56</v>
          </cell>
          <cell r="J344" t="str">
            <v>CPC1</v>
          </cell>
          <cell r="K344" t="str">
            <v>5603</v>
          </cell>
          <cell r="L344" t="str">
            <v>MULTIPOX</v>
          </cell>
          <cell r="M344" t="str">
            <v>560301</v>
          </cell>
          <cell r="N344" t="str">
            <v>MULTIPOX</v>
          </cell>
        </row>
        <row r="345">
          <cell r="C345" t="str">
            <v>100001331</v>
          </cell>
          <cell r="D345" t="str">
            <v>MX-94 LIGHT ALABASTER VN-16KP</v>
          </cell>
          <cell r="E345" t="str">
            <v>ZFGD</v>
          </cell>
          <cell r="F345" t="str">
            <v>PC</v>
          </cell>
          <cell r="G345" t="str">
            <v>5</v>
          </cell>
          <cell r="H345" t="str">
            <v>PROJECT</v>
          </cell>
          <cell r="I345" t="str">
            <v>56</v>
          </cell>
          <cell r="J345" t="str">
            <v>CPC1</v>
          </cell>
          <cell r="K345" t="str">
            <v>5603</v>
          </cell>
          <cell r="L345" t="str">
            <v>MULTIPOX</v>
          </cell>
          <cell r="M345" t="str">
            <v>560301</v>
          </cell>
          <cell r="N345" t="str">
            <v>MULTIPOX</v>
          </cell>
        </row>
        <row r="346">
          <cell r="C346" t="str">
            <v>100001332</v>
          </cell>
          <cell r="D346" t="str">
            <v>MX-94 PALE GREEN VN-5KS</v>
          </cell>
          <cell r="E346" t="str">
            <v>ZFGD</v>
          </cell>
          <cell r="F346" t="str">
            <v>SET</v>
          </cell>
          <cell r="G346" t="str">
            <v>5</v>
          </cell>
          <cell r="H346" t="str">
            <v>PROJECT</v>
          </cell>
          <cell r="I346" t="str">
            <v>56</v>
          </cell>
          <cell r="J346" t="str">
            <v>CPC1</v>
          </cell>
          <cell r="K346" t="str">
            <v>5603</v>
          </cell>
          <cell r="L346" t="str">
            <v>MULTIPOX</v>
          </cell>
          <cell r="M346" t="str">
            <v>560301</v>
          </cell>
          <cell r="N346" t="str">
            <v>MULTIPOX</v>
          </cell>
        </row>
        <row r="347">
          <cell r="C347" t="str">
            <v>100001333</v>
          </cell>
          <cell r="D347" t="str">
            <v>MX-94 PALE GREEN VN-4K</v>
          </cell>
          <cell r="E347" t="str">
            <v>ZFGD</v>
          </cell>
          <cell r="F347" t="str">
            <v>PC</v>
          </cell>
          <cell r="G347" t="str">
            <v>5</v>
          </cell>
          <cell r="H347" t="str">
            <v>PROJECT</v>
          </cell>
          <cell r="I347" t="str">
            <v>56</v>
          </cell>
          <cell r="J347" t="str">
            <v>CPC1</v>
          </cell>
          <cell r="K347" t="str">
            <v>5603</v>
          </cell>
          <cell r="L347" t="str">
            <v>MULTIPOX</v>
          </cell>
          <cell r="M347" t="str">
            <v>560301</v>
          </cell>
          <cell r="N347" t="str">
            <v>MULTIPOX</v>
          </cell>
        </row>
        <row r="348">
          <cell r="C348" t="str">
            <v>100001334</v>
          </cell>
          <cell r="D348" t="str">
            <v>MX-94 PALE GREEN VN-20KSP</v>
          </cell>
          <cell r="E348" t="str">
            <v>ZFGD</v>
          </cell>
          <cell r="F348" t="str">
            <v>SET</v>
          </cell>
          <cell r="G348" t="str">
            <v>5</v>
          </cell>
          <cell r="H348" t="str">
            <v>PROJECT</v>
          </cell>
          <cell r="I348" t="str">
            <v>56</v>
          </cell>
          <cell r="J348" t="str">
            <v>CPC1</v>
          </cell>
          <cell r="K348" t="str">
            <v>5603</v>
          </cell>
          <cell r="L348" t="str">
            <v>MULTIPOX</v>
          </cell>
          <cell r="M348" t="str">
            <v>560301</v>
          </cell>
          <cell r="N348" t="str">
            <v>MULTIPOX</v>
          </cell>
        </row>
        <row r="349">
          <cell r="C349" t="str">
            <v>100001335</v>
          </cell>
          <cell r="D349" t="str">
            <v>MX-94 PALE GREEN VN-16KP</v>
          </cell>
          <cell r="E349" t="str">
            <v>ZFGD</v>
          </cell>
          <cell r="F349" t="str">
            <v>PC</v>
          </cell>
          <cell r="G349" t="str">
            <v>5</v>
          </cell>
          <cell r="H349" t="str">
            <v>PROJECT</v>
          </cell>
          <cell r="I349" t="str">
            <v>56</v>
          </cell>
          <cell r="J349" t="str">
            <v>CPC1</v>
          </cell>
          <cell r="K349" t="str">
            <v>5603</v>
          </cell>
          <cell r="L349" t="str">
            <v>MULTIPOX</v>
          </cell>
          <cell r="M349" t="str">
            <v>560301</v>
          </cell>
          <cell r="N349" t="str">
            <v>MULTIPOX</v>
          </cell>
        </row>
        <row r="350">
          <cell r="C350" t="str">
            <v>100001336</v>
          </cell>
          <cell r="D350" t="str">
            <v>MX-94 LIGHT BLUE VN-5KS</v>
          </cell>
          <cell r="E350" t="str">
            <v>ZFGD</v>
          </cell>
          <cell r="F350" t="str">
            <v>SET</v>
          </cell>
          <cell r="G350" t="str">
            <v>5</v>
          </cell>
          <cell r="H350" t="str">
            <v>PROJECT</v>
          </cell>
          <cell r="I350" t="str">
            <v>56</v>
          </cell>
          <cell r="J350" t="str">
            <v>CPC1</v>
          </cell>
          <cell r="K350" t="str">
            <v>5603</v>
          </cell>
          <cell r="L350" t="str">
            <v>MULTIPOX</v>
          </cell>
          <cell r="M350" t="str">
            <v>560301</v>
          </cell>
          <cell r="N350" t="str">
            <v>MULTIPOX</v>
          </cell>
        </row>
        <row r="351">
          <cell r="C351" t="str">
            <v>100001337</v>
          </cell>
          <cell r="D351" t="str">
            <v>MX-94 LIGHT BLUE VN-4K</v>
          </cell>
          <cell r="E351" t="str">
            <v>ZFGD</v>
          </cell>
          <cell r="F351" t="str">
            <v>PC</v>
          </cell>
          <cell r="G351" t="str">
            <v>5</v>
          </cell>
          <cell r="H351" t="str">
            <v>PROJECT</v>
          </cell>
          <cell r="I351" t="str">
            <v>56</v>
          </cell>
          <cell r="J351" t="str">
            <v>CPC1</v>
          </cell>
          <cell r="K351" t="str">
            <v>5603</v>
          </cell>
          <cell r="L351" t="str">
            <v>MULTIPOX</v>
          </cell>
          <cell r="M351" t="str">
            <v>560301</v>
          </cell>
          <cell r="N351" t="str">
            <v>MULTIPOX</v>
          </cell>
        </row>
        <row r="352">
          <cell r="C352" t="str">
            <v>100001338</v>
          </cell>
          <cell r="D352" t="str">
            <v>MX-94 LIGHT BLUE VN-20KSP</v>
          </cell>
          <cell r="E352" t="str">
            <v>ZFGD</v>
          </cell>
          <cell r="F352" t="str">
            <v>SET</v>
          </cell>
          <cell r="G352" t="str">
            <v>5</v>
          </cell>
          <cell r="H352" t="str">
            <v>PROJECT</v>
          </cell>
          <cell r="I352" t="str">
            <v>56</v>
          </cell>
          <cell r="J352" t="str">
            <v>CPC1</v>
          </cell>
          <cell r="K352" t="str">
            <v>5603</v>
          </cell>
          <cell r="L352" t="str">
            <v>MULTIPOX</v>
          </cell>
          <cell r="M352" t="str">
            <v>560301</v>
          </cell>
          <cell r="N352" t="str">
            <v>MULTIPOX</v>
          </cell>
        </row>
        <row r="353">
          <cell r="C353" t="str">
            <v>100001339</v>
          </cell>
          <cell r="D353" t="str">
            <v>MX-94 LIGHT BLUE VN-16KP</v>
          </cell>
          <cell r="E353" t="str">
            <v>ZFGD</v>
          </cell>
          <cell r="F353" t="str">
            <v>PC</v>
          </cell>
          <cell r="G353" t="str">
            <v>5</v>
          </cell>
          <cell r="H353" t="str">
            <v>PROJECT</v>
          </cell>
          <cell r="I353" t="str">
            <v>56</v>
          </cell>
          <cell r="J353" t="str">
            <v>CPC1</v>
          </cell>
          <cell r="K353" t="str">
            <v>5603</v>
          </cell>
          <cell r="L353" t="str">
            <v>MULTIPOX</v>
          </cell>
          <cell r="M353" t="str">
            <v>560301</v>
          </cell>
          <cell r="N353" t="str">
            <v>MULTIPOX</v>
          </cell>
        </row>
        <row r="354">
          <cell r="C354" t="str">
            <v>100001340</v>
          </cell>
          <cell r="D354" t="str">
            <v>MX-94 GERANIUM VN-5KS</v>
          </cell>
          <cell r="E354" t="str">
            <v>ZFGD</v>
          </cell>
          <cell r="F354" t="str">
            <v>SET</v>
          </cell>
          <cell r="G354" t="str">
            <v>5</v>
          </cell>
          <cell r="H354" t="str">
            <v>PROJECT</v>
          </cell>
          <cell r="I354" t="str">
            <v>56</v>
          </cell>
          <cell r="J354" t="str">
            <v>CPC1</v>
          </cell>
          <cell r="K354" t="str">
            <v>5603</v>
          </cell>
          <cell r="L354" t="str">
            <v>MULTIPOX</v>
          </cell>
          <cell r="M354" t="str">
            <v>560301</v>
          </cell>
          <cell r="N354" t="str">
            <v>MULTIPOX</v>
          </cell>
        </row>
        <row r="355">
          <cell r="C355" t="str">
            <v>100001341</v>
          </cell>
          <cell r="D355" t="str">
            <v>MX-94 GERANIUM VN-4K</v>
          </cell>
          <cell r="E355" t="str">
            <v>ZFGD</v>
          </cell>
          <cell r="F355" t="str">
            <v>PC</v>
          </cell>
          <cell r="G355" t="str">
            <v>5</v>
          </cell>
          <cell r="H355" t="str">
            <v>PROJECT</v>
          </cell>
          <cell r="I355" t="str">
            <v>56</v>
          </cell>
          <cell r="J355" t="str">
            <v>CPC1</v>
          </cell>
          <cell r="K355" t="str">
            <v>5603</v>
          </cell>
          <cell r="L355" t="str">
            <v>MULTIPOX</v>
          </cell>
          <cell r="M355" t="str">
            <v>560301</v>
          </cell>
          <cell r="N355" t="str">
            <v>MULTIPOX</v>
          </cell>
        </row>
        <row r="356">
          <cell r="C356" t="str">
            <v>100001342</v>
          </cell>
          <cell r="D356" t="str">
            <v>MX-94 GERANIUM VN-20KSP</v>
          </cell>
          <cell r="E356" t="str">
            <v>ZFGD</v>
          </cell>
          <cell r="F356" t="str">
            <v>SET</v>
          </cell>
          <cell r="G356" t="str">
            <v>5</v>
          </cell>
          <cell r="H356" t="str">
            <v>PROJECT</v>
          </cell>
          <cell r="I356" t="str">
            <v>56</v>
          </cell>
          <cell r="J356" t="str">
            <v>CPC1</v>
          </cell>
          <cell r="K356" t="str">
            <v>5603</v>
          </cell>
          <cell r="L356" t="str">
            <v>MULTIPOX</v>
          </cell>
          <cell r="M356" t="str">
            <v>560301</v>
          </cell>
          <cell r="N356" t="str">
            <v>MULTIPOX</v>
          </cell>
        </row>
        <row r="357">
          <cell r="C357" t="str">
            <v>100001343</v>
          </cell>
          <cell r="D357" t="str">
            <v>MX-94 GERANIUM VN-16KP</v>
          </cell>
          <cell r="E357" t="str">
            <v>ZFGD</v>
          </cell>
          <cell r="F357" t="str">
            <v>PC</v>
          </cell>
          <cell r="G357" t="str">
            <v>5</v>
          </cell>
          <cell r="H357" t="str">
            <v>PROJECT</v>
          </cell>
          <cell r="I357" t="str">
            <v>56</v>
          </cell>
          <cell r="J357" t="str">
            <v>CPC1</v>
          </cell>
          <cell r="K357" t="str">
            <v>5603</v>
          </cell>
          <cell r="L357" t="str">
            <v>MULTIPOX</v>
          </cell>
          <cell r="M357" t="str">
            <v>560301</v>
          </cell>
          <cell r="N357" t="str">
            <v>MULTIPOX</v>
          </cell>
        </row>
        <row r="358">
          <cell r="C358" t="str">
            <v>100001344</v>
          </cell>
          <cell r="D358" t="str">
            <v>MX-94 GREY VN-5KS</v>
          </cell>
          <cell r="E358" t="str">
            <v>ZFGD</v>
          </cell>
          <cell r="F358" t="str">
            <v>SET</v>
          </cell>
          <cell r="G358" t="str">
            <v>5</v>
          </cell>
          <cell r="H358" t="str">
            <v>PROJECT</v>
          </cell>
          <cell r="I358" t="str">
            <v>56</v>
          </cell>
          <cell r="J358" t="str">
            <v>CPC1</v>
          </cell>
          <cell r="K358" t="str">
            <v>5603</v>
          </cell>
          <cell r="L358" t="str">
            <v>MULTIPOX</v>
          </cell>
          <cell r="M358" t="str">
            <v>560301</v>
          </cell>
          <cell r="N358" t="str">
            <v>MULTIPOX</v>
          </cell>
        </row>
        <row r="359">
          <cell r="C359" t="str">
            <v>100001345</v>
          </cell>
          <cell r="D359" t="str">
            <v>MX-94 GREY VN-4K</v>
          </cell>
          <cell r="E359" t="str">
            <v>ZFGD</v>
          </cell>
          <cell r="F359" t="str">
            <v>PC</v>
          </cell>
          <cell r="G359" t="str">
            <v>5</v>
          </cell>
          <cell r="H359" t="str">
            <v>PROJECT</v>
          </cell>
          <cell r="I359" t="str">
            <v>56</v>
          </cell>
          <cell r="J359" t="str">
            <v>CPC1</v>
          </cell>
          <cell r="K359" t="str">
            <v>5603</v>
          </cell>
          <cell r="L359" t="str">
            <v>MULTIPOX</v>
          </cell>
          <cell r="M359" t="str">
            <v>560301</v>
          </cell>
          <cell r="N359" t="str">
            <v>MULTIPOX</v>
          </cell>
        </row>
        <row r="360">
          <cell r="C360" t="str">
            <v>100001346</v>
          </cell>
          <cell r="D360" t="str">
            <v>MX-94 GREY VN-20KSP</v>
          </cell>
          <cell r="E360" t="str">
            <v>ZFGD</v>
          </cell>
          <cell r="F360" t="str">
            <v>SET</v>
          </cell>
          <cell r="G360" t="str">
            <v>5</v>
          </cell>
          <cell r="H360" t="str">
            <v>PROJECT</v>
          </cell>
          <cell r="I360" t="str">
            <v>56</v>
          </cell>
          <cell r="J360" t="str">
            <v>CPC1</v>
          </cell>
          <cell r="K360" t="str">
            <v>5603</v>
          </cell>
          <cell r="L360" t="str">
            <v>MULTIPOX</v>
          </cell>
          <cell r="M360" t="str">
            <v>560301</v>
          </cell>
          <cell r="N360" t="str">
            <v>MULTIPOX</v>
          </cell>
        </row>
        <row r="361">
          <cell r="C361" t="str">
            <v>100001347</v>
          </cell>
          <cell r="D361" t="str">
            <v>MX-94 GREY VN-16KP</v>
          </cell>
          <cell r="E361" t="str">
            <v>ZFGD</v>
          </cell>
          <cell r="F361" t="str">
            <v>PC</v>
          </cell>
          <cell r="G361" t="str">
            <v>5</v>
          </cell>
          <cell r="H361" t="str">
            <v>PROJECT</v>
          </cell>
          <cell r="I361" t="str">
            <v>56</v>
          </cell>
          <cell r="J361" t="str">
            <v>CPC1</v>
          </cell>
          <cell r="K361" t="str">
            <v>5603</v>
          </cell>
          <cell r="L361" t="str">
            <v>MULTIPOX</v>
          </cell>
          <cell r="M361" t="str">
            <v>560301</v>
          </cell>
          <cell r="N361" t="str">
            <v>MULTIPOX</v>
          </cell>
        </row>
        <row r="362">
          <cell r="C362" t="str">
            <v>100001348</v>
          </cell>
          <cell r="D362" t="str">
            <v>MX-94 DARK GREEN VN-5KS</v>
          </cell>
          <cell r="E362" t="str">
            <v>ZFGD</v>
          </cell>
          <cell r="F362" t="str">
            <v>SET</v>
          </cell>
          <cell r="G362" t="str">
            <v>5</v>
          </cell>
          <cell r="H362" t="str">
            <v>PROJECT</v>
          </cell>
          <cell r="I362" t="str">
            <v>56</v>
          </cell>
          <cell r="J362" t="str">
            <v>CPC1</v>
          </cell>
          <cell r="K362" t="str">
            <v>5603</v>
          </cell>
          <cell r="L362" t="str">
            <v>MULTIPOX</v>
          </cell>
          <cell r="M362" t="str">
            <v>560301</v>
          </cell>
          <cell r="N362" t="str">
            <v>MULTIPOX</v>
          </cell>
        </row>
        <row r="363">
          <cell r="C363" t="str">
            <v>100001349</v>
          </cell>
          <cell r="D363" t="str">
            <v>MX-94 DARK GREEN VN-4K</v>
          </cell>
          <cell r="E363" t="str">
            <v>ZFGD</v>
          </cell>
          <cell r="F363" t="str">
            <v>PC</v>
          </cell>
          <cell r="G363" t="str">
            <v>5</v>
          </cell>
          <cell r="H363" t="str">
            <v>PROJECT</v>
          </cell>
          <cell r="I363" t="str">
            <v>56</v>
          </cell>
          <cell r="J363" t="str">
            <v>CPC1</v>
          </cell>
          <cell r="K363" t="str">
            <v>5603</v>
          </cell>
          <cell r="L363" t="str">
            <v>MULTIPOX</v>
          </cell>
          <cell r="M363" t="str">
            <v>560301</v>
          </cell>
          <cell r="N363" t="str">
            <v>MULTIPOX</v>
          </cell>
        </row>
        <row r="364">
          <cell r="C364" t="str">
            <v>100001350</v>
          </cell>
          <cell r="D364" t="str">
            <v>MX-94 DARK GREEN VN-20KSP</v>
          </cell>
          <cell r="E364" t="str">
            <v>ZFGD</v>
          </cell>
          <cell r="F364" t="str">
            <v>SET</v>
          </cell>
          <cell r="G364" t="str">
            <v>5</v>
          </cell>
          <cell r="H364" t="str">
            <v>PROJECT</v>
          </cell>
          <cell r="I364" t="str">
            <v>56</v>
          </cell>
          <cell r="J364" t="str">
            <v>CPC1</v>
          </cell>
          <cell r="K364" t="str">
            <v>5603</v>
          </cell>
          <cell r="L364" t="str">
            <v>MULTIPOX</v>
          </cell>
          <cell r="M364" t="str">
            <v>560301</v>
          </cell>
          <cell r="N364" t="str">
            <v>MULTIPOX</v>
          </cell>
        </row>
        <row r="365">
          <cell r="C365" t="str">
            <v>100001351</v>
          </cell>
          <cell r="D365" t="str">
            <v>MX-94 DARK GREEN VN-16KP</v>
          </cell>
          <cell r="E365" t="str">
            <v>ZFGD</v>
          </cell>
          <cell r="F365" t="str">
            <v>PC</v>
          </cell>
          <cell r="G365" t="str">
            <v>5</v>
          </cell>
          <cell r="H365" t="str">
            <v>PROJECT</v>
          </cell>
          <cell r="I365" t="str">
            <v>56</v>
          </cell>
          <cell r="J365" t="str">
            <v>CPC1</v>
          </cell>
          <cell r="K365" t="str">
            <v>5603</v>
          </cell>
          <cell r="L365" t="str">
            <v>MULTIPOX</v>
          </cell>
          <cell r="M365" t="str">
            <v>560301</v>
          </cell>
          <cell r="N365" t="str">
            <v>MULTIPOX</v>
          </cell>
        </row>
        <row r="366">
          <cell r="C366" t="str">
            <v>100001352</v>
          </cell>
          <cell r="D366" t="str">
            <v>MX-94 WHITE VN-5KS</v>
          </cell>
          <cell r="E366" t="str">
            <v>ZFGD</v>
          </cell>
          <cell r="F366" t="str">
            <v>SET</v>
          </cell>
          <cell r="G366" t="str">
            <v>5</v>
          </cell>
          <cell r="H366" t="str">
            <v>PROJECT</v>
          </cell>
          <cell r="I366" t="str">
            <v>56</v>
          </cell>
          <cell r="J366" t="str">
            <v>CPC1</v>
          </cell>
          <cell r="K366" t="str">
            <v>5603</v>
          </cell>
          <cell r="L366" t="str">
            <v>MULTIPOX</v>
          </cell>
          <cell r="M366" t="str">
            <v>560301</v>
          </cell>
          <cell r="N366" t="str">
            <v>MULTIPOX</v>
          </cell>
        </row>
        <row r="367">
          <cell r="C367" t="str">
            <v>100001353</v>
          </cell>
          <cell r="D367" t="str">
            <v>MX-94 WHITE VN-4K</v>
          </cell>
          <cell r="E367" t="str">
            <v>ZFGD</v>
          </cell>
          <cell r="F367" t="str">
            <v>PC</v>
          </cell>
          <cell r="G367" t="str">
            <v>5</v>
          </cell>
          <cell r="H367" t="str">
            <v>PROJECT</v>
          </cell>
          <cell r="I367" t="str">
            <v>56</v>
          </cell>
          <cell r="J367" t="str">
            <v>CPC1</v>
          </cell>
          <cell r="K367" t="str">
            <v>5603</v>
          </cell>
          <cell r="L367" t="str">
            <v>MULTIPOX</v>
          </cell>
          <cell r="M367" t="str">
            <v>560301</v>
          </cell>
          <cell r="N367" t="str">
            <v>MULTIPOX</v>
          </cell>
        </row>
        <row r="368">
          <cell r="C368" t="str">
            <v>100001354</v>
          </cell>
          <cell r="D368" t="str">
            <v>MX-94 WHITE VN-20KSP</v>
          </cell>
          <cell r="E368" t="str">
            <v>ZFGD</v>
          </cell>
          <cell r="F368" t="str">
            <v>SET</v>
          </cell>
          <cell r="G368" t="str">
            <v>5</v>
          </cell>
          <cell r="H368" t="str">
            <v>PROJECT</v>
          </cell>
          <cell r="I368" t="str">
            <v>56</v>
          </cell>
          <cell r="J368" t="str">
            <v>CPC1</v>
          </cell>
          <cell r="K368" t="str">
            <v>5603</v>
          </cell>
          <cell r="L368" t="str">
            <v>MULTIPOX</v>
          </cell>
          <cell r="M368" t="str">
            <v>560301</v>
          </cell>
          <cell r="N368" t="str">
            <v>MULTIPOX</v>
          </cell>
        </row>
        <row r="369">
          <cell r="C369" t="str">
            <v>100001355</v>
          </cell>
          <cell r="D369" t="str">
            <v>MX-94 WHITE VN-16KP</v>
          </cell>
          <cell r="E369" t="str">
            <v>ZFGD</v>
          </cell>
          <cell r="F369" t="str">
            <v>PC</v>
          </cell>
          <cell r="G369" t="str">
            <v>5</v>
          </cell>
          <cell r="H369" t="str">
            <v>PROJECT</v>
          </cell>
          <cell r="I369" t="str">
            <v>56</v>
          </cell>
          <cell r="J369" t="str">
            <v>CPC1</v>
          </cell>
          <cell r="K369" t="str">
            <v>5603</v>
          </cell>
          <cell r="L369" t="str">
            <v>MULTIPOX</v>
          </cell>
          <cell r="M369" t="str">
            <v>560301</v>
          </cell>
          <cell r="N369" t="str">
            <v>MULTIPOX</v>
          </cell>
        </row>
        <row r="370">
          <cell r="C370" t="str">
            <v>100001356</v>
          </cell>
          <cell r="D370" t="str">
            <v>MX-94 AT LIGHT GREEN VN-5KS</v>
          </cell>
          <cell r="E370" t="str">
            <v>ZFGD</v>
          </cell>
          <cell r="F370" t="str">
            <v>SET</v>
          </cell>
          <cell r="G370" t="str">
            <v>5</v>
          </cell>
          <cell r="H370" t="str">
            <v>PROJECT</v>
          </cell>
          <cell r="I370" t="str">
            <v>56</v>
          </cell>
          <cell r="J370" t="str">
            <v>CPC1</v>
          </cell>
          <cell r="K370" t="str">
            <v>5603</v>
          </cell>
          <cell r="L370" t="str">
            <v>MULTIPOX</v>
          </cell>
          <cell r="M370" t="str">
            <v>560301</v>
          </cell>
          <cell r="N370" t="str">
            <v>MULTIPOX</v>
          </cell>
        </row>
        <row r="371">
          <cell r="C371" t="str">
            <v>100001357</v>
          </cell>
          <cell r="D371" t="str">
            <v>MX-94 AT LIGHT GREEN VN-4K</v>
          </cell>
          <cell r="E371" t="str">
            <v>ZFGD</v>
          </cell>
          <cell r="F371" t="str">
            <v>PC</v>
          </cell>
          <cell r="G371" t="str">
            <v>5</v>
          </cell>
          <cell r="H371" t="str">
            <v>PROJECT</v>
          </cell>
          <cell r="I371" t="str">
            <v>56</v>
          </cell>
          <cell r="J371" t="str">
            <v>CPC1</v>
          </cell>
          <cell r="K371" t="str">
            <v>5603</v>
          </cell>
          <cell r="L371" t="str">
            <v>MULTIPOX</v>
          </cell>
          <cell r="M371" t="str">
            <v>560301</v>
          </cell>
          <cell r="N371" t="str">
            <v>MULTIPOX</v>
          </cell>
        </row>
        <row r="372">
          <cell r="C372" t="str">
            <v>100001358</v>
          </cell>
          <cell r="D372" t="str">
            <v>MX-94 AT LIGHT GREEN VN-20KSP</v>
          </cell>
          <cell r="E372" t="str">
            <v>ZFGD</v>
          </cell>
          <cell r="F372" t="str">
            <v>SET</v>
          </cell>
          <cell r="G372" t="str">
            <v>5</v>
          </cell>
          <cell r="H372" t="str">
            <v>PROJECT</v>
          </cell>
          <cell r="I372" t="str">
            <v>56</v>
          </cell>
          <cell r="J372" t="str">
            <v>CPC1</v>
          </cell>
          <cell r="K372" t="str">
            <v>5603</v>
          </cell>
          <cell r="L372" t="str">
            <v>MULTIPOX</v>
          </cell>
          <cell r="M372" t="str">
            <v>560301</v>
          </cell>
          <cell r="N372" t="str">
            <v>MULTIPOX</v>
          </cell>
        </row>
        <row r="373">
          <cell r="C373" t="str">
            <v>100001359</v>
          </cell>
          <cell r="D373" t="str">
            <v>MX-94 AT LIGHT GREEN VN-16KP</v>
          </cell>
          <cell r="E373" t="str">
            <v>ZFGD</v>
          </cell>
          <cell r="F373" t="str">
            <v>PC</v>
          </cell>
          <cell r="G373" t="str">
            <v>5</v>
          </cell>
          <cell r="H373" t="str">
            <v>PROJECT</v>
          </cell>
          <cell r="I373" t="str">
            <v>56</v>
          </cell>
          <cell r="J373" t="str">
            <v>CPC1</v>
          </cell>
          <cell r="K373" t="str">
            <v>5603</v>
          </cell>
          <cell r="L373" t="str">
            <v>MULTIPOX</v>
          </cell>
          <cell r="M373" t="str">
            <v>560301</v>
          </cell>
          <cell r="N373" t="str">
            <v>MULTIPOX</v>
          </cell>
        </row>
        <row r="374">
          <cell r="C374" t="str">
            <v>100001360</v>
          </cell>
          <cell r="D374" t="str">
            <v>MX-94 LIGHT GREY UCT 01 VN-5KS</v>
          </cell>
          <cell r="E374" t="str">
            <v>ZFGD</v>
          </cell>
          <cell r="F374" t="str">
            <v>SET</v>
          </cell>
          <cell r="G374" t="str">
            <v>5</v>
          </cell>
          <cell r="H374" t="str">
            <v>PROJECT</v>
          </cell>
          <cell r="I374" t="str">
            <v>56</v>
          </cell>
          <cell r="J374" t="str">
            <v>CPC1</v>
          </cell>
          <cell r="K374" t="str">
            <v>5603</v>
          </cell>
          <cell r="L374" t="str">
            <v>MULTIPOX</v>
          </cell>
          <cell r="M374" t="str">
            <v>560301</v>
          </cell>
          <cell r="N374" t="str">
            <v>MULTIPOX</v>
          </cell>
        </row>
        <row r="375">
          <cell r="C375" t="str">
            <v>100001361</v>
          </cell>
          <cell r="D375" t="str">
            <v>MX-94 LIGHT GREY UCT 01 VN-4K</v>
          </cell>
          <cell r="E375" t="str">
            <v>ZFGD</v>
          </cell>
          <cell r="F375" t="str">
            <v>PC</v>
          </cell>
          <cell r="G375" t="str">
            <v>5</v>
          </cell>
          <cell r="H375" t="str">
            <v>PROJECT</v>
          </cell>
          <cell r="I375" t="str">
            <v>56</v>
          </cell>
          <cell r="J375" t="str">
            <v>CPC1</v>
          </cell>
          <cell r="K375" t="str">
            <v>5603</v>
          </cell>
          <cell r="L375" t="str">
            <v>MULTIPOX</v>
          </cell>
          <cell r="M375" t="str">
            <v>560301</v>
          </cell>
          <cell r="N375" t="str">
            <v>MULTIPOX</v>
          </cell>
        </row>
        <row r="376">
          <cell r="C376" t="str">
            <v>100001362</v>
          </cell>
          <cell r="D376" t="str">
            <v>MX-94 LIGHT GREY UCT 01 VN-20KSP</v>
          </cell>
          <cell r="E376" t="str">
            <v>ZFGD</v>
          </cell>
          <cell r="F376" t="str">
            <v>SET</v>
          </cell>
          <cell r="G376" t="str">
            <v>5</v>
          </cell>
          <cell r="H376" t="str">
            <v>PROJECT</v>
          </cell>
          <cell r="I376" t="str">
            <v>56</v>
          </cell>
          <cell r="J376" t="str">
            <v>CPC1</v>
          </cell>
          <cell r="K376" t="str">
            <v>5603</v>
          </cell>
          <cell r="L376" t="str">
            <v>MULTIPOX</v>
          </cell>
          <cell r="M376" t="str">
            <v>560301</v>
          </cell>
          <cell r="N376" t="str">
            <v>MULTIPOX</v>
          </cell>
        </row>
        <row r="377">
          <cell r="C377" t="str">
            <v>100001363</v>
          </cell>
          <cell r="D377" t="str">
            <v>MX-94 LIGHT GREY UCT 01 VN-16KP</v>
          </cell>
          <cell r="E377" t="str">
            <v>ZFGD</v>
          </cell>
          <cell r="F377" t="str">
            <v>PC</v>
          </cell>
          <cell r="G377" t="str">
            <v>5</v>
          </cell>
          <cell r="H377" t="str">
            <v>PROJECT</v>
          </cell>
          <cell r="I377" t="str">
            <v>56</v>
          </cell>
          <cell r="J377" t="str">
            <v>CPC1</v>
          </cell>
          <cell r="K377" t="str">
            <v>5603</v>
          </cell>
          <cell r="L377" t="str">
            <v>MULTIPOX</v>
          </cell>
          <cell r="M377" t="str">
            <v>560301</v>
          </cell>
          <cell r="N377" t="str">
            <v>MULTIPOX</v>
          </cell>
        </row>
        <row r="378">
          <cell r="C378" t="str">
            <v>100001364</v>
          </cell>
          <cell r="D378" t="str">
            <v>MX-94 PEPPER VN-5KS</v>
          </cell>
          <cell r="E378" t="str">
            <v>ZFGD</v>
          </cell>
          <cell r="F378" t="str">
            <v>SET</v>
          </cell>
          <cell r="G378" t="str">
            <v>5</v>
          </cell>
          <cell r="H378" t="str">
            <v>PROJECT</v>
          </cell>
          <cell r="I378" t="str">
            <v>56</v>
          </cell>
          <cell r="J378" t="str">
            <v>CPC1</v>
          </cell>
          <cell r="K378" t="str">
            <v>5603</v>
          </cell>
          <cell r="L378" t="str">
            <v>MULTIPOX</v>
          </cell>
          <cell r="M378" t="str">
            <v>560301</v>
          </cell>
          <cell r="N378" t="str">
            <v>MULTIPOX</v>
          </cell>
        </row>
        <row r="379">
          <cell r="C379" t="str">
            <v>100001365</v>
          </cell>
          <cell r="D379" t="str">
            <v>MX-94 PEPPER VN-4K</v>
          </cell>
          <cell r="E379" t="str">
            <v>ZFGD</v>
          </cell>
          <cell r="F379" t="str">
            <v>PC</v>
          </cell>
          <cell r="G379" t="str">
            <v>5</v>
          </cell>
          <cell r="H379" t="str">
            <v>PROJECT</v>
          </cell>
          <cell r="I379" t="str">
            <v>56</v>
          </cell>
          <cell r="J379" t="str">
            <v>CPC1</v>
          </cell>
          <cell r="K379" t="str">
            <v>5603</v>
          </cell>
          <cell r="L379" t="str">
            <v>MULTIPOX</v>
          </cell>
          <cell r="M379" t="str">
            <v>560301</v>
          </cell>
          <cell r="N379" t="str">
            <v>MULTIPOX</v>
          </cell>
        </row>
        <row r="380">
          <cell r="C380" t="str">
            <v>100001366</v>
          </cell>
          <cell r="D380" t="str">
            <v>MX-94 PEPPER VN-20KSP</v>
          </cell>
          <cell r="E380" t="str">
            <v>ZFGD</v>
          </cell>
          <cell r="F380" t="str">
            <v>SET</v>
          </cell>
          <cell r="G380" t="str">
            <v>5</v>
          </cell>
          <cell r="H380" t="str">
            <v>PROJECT</v>
          </cell>
          <cell r="I380" t="str">
            <v>56</v>
          </cell>
          <cell r="J380" t="str">
            <v>CPC1</v>
          </cell>
          <cell r="K380" t="str">
            <v>5603</v>
          </cell>
          <cell r="L380" t="str">
            <v>MULTIPOX</v>
          </cell>
          <cell r="M380" t="str">
            <v>560301</v>
          </cell>
          <cell r="N380" t="str">
            <v>MULTIPOX</v>
          </cell>
        </row>
        <row r="381">
          <cell r="C381" t="str">
            <v>100001367</v>
          </cell>
          <cell r="D381" t="str">
            <v>MX-94 PEPPER VN-16KP</v>
          </cell>
          <cell r="E381" t="str">
            <v>ZFGD</v>
          </cell>
          <cell r="F381" t="str">
            <v>PC</v>
          </cell>
          <cell r="G381" t="str">
            <v>5</v>
          </cell>
          <cell r="H381" t="str">
            <v>PROJECT</v>
          </cell>
          <cell r="I381" t="str">
            <v>56</v>
          </cell>
          <cell r="J381" t="str">
            <v>CPC1</v>
          </cell>
          <cell r="K381" t="str">
            <v>5603</v>
          </cell>
          <cell r="L381" t="str">
            <v>MULTIPOX</v>
          </cell>
          <cell r="M381" t="str">
            <v>560301</v>
          </cell>
          <cell r="N381" t="str">
            <v>MULTIPOX</v>
          </cell>
        </row>
        <row r="382">
          <cell r="C382" t="str">
            <v>100001368</v>
          </cell>
          <cell r="D382" t="str">
            <v>MX-94 RAL 5012 LIGHT BLUE VN-5KS</v>
          </cell>
          <cell r="E382" t="str">
            <v>ZFGD</v>
          </cell>
          <cell r="F382" t="str">
            <v>SET</v>
          </cell>
          <cell r="G382" t="str">
            <v>5</v>
          </cell>
          <cell r="H382" t="str">
            <v>PROJECT</v>
          </cell>
          <cell r="I382" t="str">
            <v>56</v>
          </cell>
          <cell r="J382" t="str">
            <v>CPC1</v>
          </cell>
          <cell r="K382" t="str">
            <v>5603</v>
          </cell>
          <cell r="L382" t="str">
            <v>MULTIPOX</v>
          </cell>
          <cell r="M382" t="str">
            <v>560301</v>
          </cell>
          <cell r="N382" t="str">
            <v>MULTIPOX</v>
          </cell>
        </row>
        <row r="383">
          <cell r="C383" t="str">
            <v>100001369</v>
          </cell>
          <cell r="D383" t="str">
            <v>MX-94 RAL 5012 LIGHT BLUE VN-4K</v>
          </cell>
          <cell r="E383" t="str">
            <v>ZFGD</v>
          </cell>
          <cell r="F383" t="str">
            <v>PC</v>
          </cell>
          <cell r="G383" t="str">
            <v>5</v>
          </cell>
          <cell r="H383" t="str">
            <v>PROJECT</v>
          </cell>
          <cell r="I383" t="str">
            <v>56</v>
          </cell>
          <cell r="J383" t="str">
            <v>CPC1</v>
          </cell>
          <cell r="K383" t="str">
            <v>5603</v>
          </cell>
          <cell r="L383" t="str">
            <v>MULTIPOX</v>
          </cell>
          <cell r="M383" t="str">
            <v>560301</v>
          </cell>
          <cell r="N383" t="str">
            <v>MULTIPOX</v>
          </cell>
        </row>
        <row r="384">
          <cell r="C384" t="str">
            <v>100001370</v>
          </cell>
          <cell r="D384" t="str">
            <v>MX-94 RAL 5012 LIGHT BLUE VN-20KSP</v>
          </cell>
          <cell r="E384" t="str">
            <v>ZFGD</v>
          </cell>
          <cell r="F384" t="str">
            <v>SET</v>
          </cell>
          <cell r="G384" t="str">
            <v>5</v>
          </cell>
          <cell r="H384" t="str">
            <v>PROJECT</v>
          </cell>
          <cell r="I384" t="str">
            <v>56</v>
          </cell>
          <cell r="J384" t="str">
            <v>CPC1</v>
          </cell>
          <cell r="K384" t="str">
            <v>5603</v>
          </cell>
          <cell r="L384" t="str">
            <v>MULTIPOX</v>
          </cell>
          <cell r="M384" t="str">
            <v>560301</v>
          </cell>
          <cell r="N384" t="str">
            <v>MULTIPOX</v>
          </cell>
        </row>
        <row r="385">
          <cell r="C385" t="str">
            <v>100001371</v>
          </cell>
          <cell r="D385" t="str">
            <v>MX-94 RAL 5012 LIGHT BLUE VN-16KP</v>
          </cell>
          <cell r="E385" t="str">
            <v>ZFGD</v>
          </cell>
          <cell r="F385" t="str">
            <v>PC</v>
          </cell>
          <cell r="G385" t="str">
            <v>5</v>
          </cell>
          <cell r="H385" t="str">
            <v>PROJECT</v>
          </cell>
          <cell r="I385" t="str">
            <v>56</v>
          </cell>
          <cell r="J385" t="str">
            <v>CPC1</v>
          </cell>
          <cell r="K385" t="str">
            <v>5603</v>
          </cell>
          <cell r="L385" t="str">
            <v>MULTIPOX</v>
          </cell>
          <cell r="M385" t="str">
            <v>560301</v>
          </cell>
          <cell r="N385" t="str">
            <v>MULTIPOX</v>
          </cell>
        </row>
        <row r="386">
          <cell r="C386" t="str">
            <v>100001372</v>
          </cell>
          <cell r="D386" t="str">
            <v>MX-94 GRAPHITE GREY VN-5KS</v>
          </cell>
          <cell r="E386" t="str">
            <v>ZFGD</v>
          </cell>
          <cell r="F386" t="str">
            <v>SET</v>
          </cell>
          <cell r="G386" t="str">
            <v>5</v>
          </cell>
          <cell r="H386" t="str">
            <v>PROJECT</v>
          </cell>
          <cell r="I386" t="str">
            <v>56</v>
          </cell>
          <cell r="J386" t="str">
            <v>CPC1</v>
          </cell>
          <cell r="K386" t="str">
            <v>5603</v>
          </cell>
          <cell r="L386" t="str">
            <v>MULTIPOX</v>
          </cell>
          <cell r="M386" t="str">
            <v>560301</v>
          </cell>
          <cell r="N386" t="str">
            <v>MULTIPOX</v>
          </cell>
        </row>
        <row r="387">
          <cell r="C387" t="str">
            <v>100001373</v>
          </cell>
          <cell r="D387" t="str">
            <v>MX-94 GRAPHITE GREY VN-4K</v>
          </cell>
          <cell r="E387" t="str">
            <v>ZFGD</v>
          </cell>
          <cell r="F387" t="str">
            <v>PC</v>
          </cell>
          <cell r="G387" t="str">
            <v>5</v>
          </cell>
          <cell r="H387" t="str">
            <v>PROJECT</v>
          </cell>
          <cell r="I387" t="str">
            <v>56</v>
          </cell>
          <cell r="J387" t="str">
            <v>CPC1</v>
          </cell>
          <cell r="K387" t="str">
            <v>5603</v>
          </cell>
          <cell r="L387" t="str">
            <v>MULTIPOX</v>
          </cell>
          <cell r="M387" t="str">
            <v>560301</v>
          </cell>
          <cell r="N387" t="str">
            <v>MULTIPOX</v>
          </cell>
        </row>
        <row r="388">
          <cell r="C388" t="str">
            <v>100001374</v>
          </cell>
          <cell r="D388" t="str">
            <v>MX-94 GRAPHITE GREY VN-20KSP</v>
          </cell>
          <cell r="E388" t="str">
            <v>ZFGD</v>
          </cell>
          <cell r="F388" t="str">
            <v>SET</v>
          </cell>
          <cell r="G388" t="str">
            <v>5</v>
          </cell>
          <cell r="H388" t="str">
            <v>PROJECT</v>
          </cell>
          <cell r="I388" t="str">
            <v>56</v>
          </cell>
          <cell r="J388" t="str">
            <v>CPC1</v>
          </cell>
          <cell r="K388" t="str">
            <v>5603</v>
          </cell>
          <cell r="L388" t="str">
            <v>MULTIPOX</v>
          </cell>
          <cell r="M388" t="str">
            <v>560301</v>
          </cell>
          <cell r="N388" t="str">
            <v>MULTIPOX</v>
          </cell>
        </row>
        <row r="389">
          <cell r="C389" t="str">
            <v>100001375</v>
          </cell>
          <cell r="D389" t="str">
            <v>MX-94 GRAPHITE GREY VN-16KP</v>
          </cell>
          <cell r="E389" t="str">
            <v>ZFGD</v>
          </cell>
          <cell r="F389" t="str">
            <v>PC</v>
          </cell>
          <cell r="G389" t="str">
            <v>5</v>
          </cell>
          <cell r="H389" t="str">
            <v>PROJECT</v>
          </cell>
          <cell r="I389" t="str">
            <v>56</v>
          </cell>
          <cell r="J389" t="str">
            <v>CPC1</v>
          </cell>
          <cell r="K389" t="str">
            <v>5603</v>
          </cell>
          <cell r="L389" t="str">
            <v>MULTIPOX</v>
          </cell>
          <cell r="M389" t="str">
            <v>560301</v>
          </cell>
          <cell r="N389" t="str">
            <v>MULTIPOX</v>
          </cell>
        </row>
        <row r="390">
          <cell r="C390" t="str">
            <v>100001376</v>
          </cell>
          <cell r="D390" t="str">
            <v>MX-94 GREY RAL 7032 VN-5KS</v>
          </cell>
          <cell r="E390" t="str">
            <v>ZFGD</v>
          </cell>
          <cell r="F390" t="str">
            <v>SET</v>
          </cell>
          <cell r="G390" t="str">
            <v>5</v>
          </cell>
          <cell r="H390" t="str">
            <v>PROJECT</v>
          </cell>
          <cell r="I390" t="str">
            <v>56</v>
          </cell>
          <cell r="J390" t="str">
            <v>CPC1</v>
          </cell>
          <cell r="K390" t="str">
            <v>5603</v>
          </cell>
          <cell r="L390" t="str">
            <v>MULTIPOX</v>
          </cell>
          <cell r="M390" t="str">
            <v>560301</v>
          </cell>
          <cell r="N390" t="str">
            <v>MULTIPOX</v>
          </cell>
        </row>
        <row r="391">
          <cell r="C391" t="str">
            <v>100001377</v>
          </cell>
          <cell r="D391" t="str">
            <v>MX-94 GREY RAL 7032 VN-4K</v>
          </cell>
          <cell r="E391" t="str">
            <v>ZFGD</v>
          </cell>
          <cell r="F391" t="str">
            <v>PC</v>
          </cell>
          <cell r="G391" t="str">
            <v>5</v>
          </cell>
          <cell r="H391" t="str">
            <v>PROJECT</v>
          </cell>
          <cell r="I391" t="str">
            <v>56</v>
          </cell>
          <cell r="J391" t="str">
            <v>CPC1</v>
          </cell>
          <cell r="K391" t="str">
            <v>5603</v>
          </cell>
          <cell r="L391" t="str">
            <v>MULTIPOX</v>
          </cell>
          <cell r="M391" t="str">
            <v>560301</v>
          </cell>
          <cell r="N391" t="str">
            <v>MULTIPOX</v>
          </cell>
        </row>
        <row r="392">
          <cell r="C392" t="str">
            <v>100001378</v>
          </cell>
          <cell r="D392" t="str">
            <v>MX-94 GREY RAL 7032 VN-20KSP</v>
          </cell>
          <cell r="E392" t="str">
            <v>ZFGD</v>
          </cell>
          <cell r="F392" t="str">
            <v>SET</v>
          </cell>
          <cell r="G392" t="str">
            <v>5</v>
          </cell>
          <cell r="H392" t="str">
            <v>PROJECT</v>
          </cell>
          <cell r="I392" t="str">
            <v>56</v>
          </cell>
          <cell r="J392" t="str">
            <v>CPC1</v>
          </cell>
          <cell r="K392" t="str">
            <v>5603</v>
          </cell>
          <cell r="L392" t="str">
            <v>MULTIPOX</v>
          </cell>
          <cell r="M392" t="str">
            <v>560301</v>
          </cell>
          <cell r="N392" t="str">
            <v>MULTIPOX</v>
          </cell>
        </row>
        <row r="393">
          <cell r="C393" t="str">
            <v>100001379</v>
          </cell>
          <cell r="D393" t="str">
            <v>MX-94 GREY RAL 7032 VN-16KP</v>
          </cell>
          <cell r="E393" t="str">
            <v>ZFGD</v>
          </cell>
          <cell r="F393" t="str">
            <v>PC</v>
          </cell>
          <cell r="G393" t="str">
            <v>5</v>
          </cell>
          <cell r="H393" t="str">
            <v>PROJECT</v>
          </cell>
          <cell r="I393" t="str">
            <v>56</v>
          </cell>
          <cell r="J393" t="str">
            <v>CPC1</v>
          </cell>
          <cell r="K393" t="str">
            <v>5603</v>
          </cell>
          <cell r="L393" t="str">
            <v>MULTIPOX</v>
          </cell>
          <cell r="M393" t="str">
            <v>560301</v>
          </cell>
          <cell r="N393" t="str">
            <v>MULTIPOX</v>
          </cell>
        </row>
        <row r="394">
          <cell r="C394" t="str">
            <v>100001380</v>
          </cell>
          <cell r="D394" t="str">
            <v>MX-94 GREY COOP VN-5KS</v>
          </cell>
          <cell r="E394" t="str">
            <v>ZFGD</v>
          </cell>
          <cell r="F394" t="str">
            <v>SET</v>
          </cell>
          <cell r="G394" t="str">
            <v>5</v>
          </cell>
          <cell r="H394" t="str">
            <v>PROJECT</v>
          </cell>
          <cell r="I394" t="str">
            <v>56</v>
          </cell>
          <cell r="J394" t="str">
            <v>CPC1</v>
          </cell>
          <cell r="K394" t="str">
            <v>5603</v>
          </cell>
          <cell r="L394" t="str">
            <v>MULTIPOX</v>
          </cell>
          <cell r="M394" t="str">
            <v>560301</v>
          </cell>
          <cell r="N394" t="str">
            <v>MULTIPOX</v>
          </cell>
        </row>
        <row r="395">
          <cell r="C395" t="str">
            <v>100001381</v>
          </cell>
          <cell r="D395" t="str">
            <v>MX-94 GREY COOP VN-4K</v>
          </cell>
          <cell r="E395" t="str">
            <v>ZFGD</v>
          </cell>
          <cell r="F395" t="str">
            <v>PC</v>
          </cell>
          <cell r="G395" t="str">
            <v>5</v>
          </cell>
          <cell r="H395" t="str">
            <v>PROJECT</v>
          </cell>
          <cell r="I395" t="str">
            <v>56</v>
          </cell>
          <cell r="J395" t="str">
            <v>CPC1</v>
          </cell>
          <cell r="K395" t="str">
            <v>5603</v>
          </cell>
          <cell r="L395" t="str">
            <v>MULTIPOX</v>
          </cell>
          <cell r="M395" t="str">
            <v>560301</v>
          </cell>
          <cell r="N395" t="str">
            <v>MULTIPOX</v>
          </cell>
        </row>
        <row r="396">
          <cell r="C396" t="str">
            <v>100001382</v>
          </cell>
          <cell r="D396" t="str">
            <v>MX-94 GREY COOP VN-20KSP</v>
          </cell>
          <cell r="E396" t="str">
            <v>ZFGD</v>
          </cell>
          <cell r="F396" t="str">
            <v>SET</v>
          </cell>
          <cell r="G396" t="str">
            <v>5</v>
          </cell>
          <cell r="H396" t="str">
            <v>PROJECT</v>
          </cell>
          <cell r="I396" t="str">
            <v>56</v>
          </cell>
          <cell r="J396" t="str">
            <v>CPC1</v>
          </cell>
          <cell r="K396" t="str">
            <v>5603</v>
          </cell>
          <cell r="L396" t="str">
            <v>MULTIPOX</v>
          </cell>
          <cell r="M396" t="str">
            <v>560301</v>
          </cell>
          <cell r="N396" t="str">
            <v>MULTIPOX</v>
          </cell>
        </row>
        <row r="397">
          <cell r="C397" t="str">
            <v>100001383</v>
          </cell>
          <cell r="D397" t="str">
            <v>MX-94 GREY COOP VN-16KP</v>
          </cell>
          <cell r="E397" t="str">
            <v>ZFGD</v>
          </cell>
          <cell r="F397" t="str">
            <v>PC</v>
          </cell>
          <cell r="G397" t="str">
            <v>5</v>
          </cell>
          <cell r="H397" t="str">
            <v>PROJECT</v>
          </cell>
          <cell r="I397" t="str">
            <v>56</v>
          </cell>
          <cell r="J397" t="str">
            <v>CPC1</v>
          </cell>
          <cell r="K397" t="str">
            <v>5603</v>
          </cell>
          <cell r="L397" t="str">
            <v>MULTIPOX</v>
          </cell>
          <cell r="M397" t="str">
            <v>560301</v>
          </cell>
          <cell r="N397" t="str">
            <v>MULTIPOX</v>
          </cell>
        </row>
        <row r="398">
          <cell r="C398" t="str">
            <v>100001384</v>
          </cell>
          <cell r="D398" t="str">
            <v>MX-94 KIA WHITE VN-5KS</v>
          </cell>
          <cell r="E398" t="str">
            <v>ZFGD</v>
          </cell>
          <cell r="F398" t="str">
            <v>SET</v>
          </cell>
          <cell r="G398" t="str">
            <v>5</v>
          </cell>
          <cell r="H398" t="str">
            <v>PROJECT</v>
          </cell>
          <cell r="I398" t="str">
            <v>56</v>
          </cell>
          <cell r="J398" t="str">
            <v>CPC1</v>
          </cell>
          <cell r="K398" t="str">
            <v>5603</v>
          </cell>
          <cell r="L398" t="str">
            <v>MULTIPOX</v>
          </cell>
          <cell r="M398" t="str">
            <v>560301</v>
          </cell>
          <cell r="N398" t="str">
            <v>MULTIPOX</v>
          </cell>
        </row>
        <row r="399">
          <cell r="C399" t="str">
            <v>100001385</v>
          </cell>
          <cell r="D399" t="str">
            <v>MX-94 KIA WHITE VN-4K</v>
          </cell>
          <cell r="E399" t="str">
            <v>ZFGD</v>
          </cell>
          <cell r="F399" t="str">
            <v>PC</v>
          </cell>
          <cell r="G399" t="str">
            <v>5</v>
          </cell>
          <cell r="H399" t="str">
            <v>PROJECT</v>
          </cell>
          <cell r="I399" t="str">
            <v>56</v>
          </cell>
          <cell r="J399" t="str">
            <v>CPC1</v>
          </cell>
          <cell r="K399" t="str">
            <v>5603</v>
          </cell>
          <cell r="L399" t="str">
            <v>MULTIPOX</v>
          </cell>
          <cell r="M399" t="str">
            <v>560301</v>
          </cell>
          <cell r="N399" t="str">
            <v>MULTIPOX</v>
          </cell>
        </row>
        <row r="400">
          <cell r="C400" t="str">
            <v>100001386</v>
          </cell>
          <cell r="D400" t="str">
            <v>MX-94 KIA WHITE VN-20KSP</v>
          </cell>
          <cell r="E400" t="str">
            <v>ZFGD</v>
          </cell>
          <cell r="F400" t="str">
            <v>SET</v>
          </cell>
          <cell r="G400" t="str">
            <v>5</v>
          </cell>
          <cell r="H400" t="str">
            <v>PROJECT</v>
          </cell>
          <cell r="I400" t="str">
            <v>56</v>
          </cell>
          <cell r="J400" t="str">
            <v>CPC1</v>
          </cell>
          <cell r="K400" t="str">
            <v>5603</v>
          </cell>
          <cell r="L400" t="str">
            <v>MULTIPOX</v>
          </cell>
          <cell r="M400" t="str">
            <v>560301</v>
          </cell>
          <cell r="N400" t="str">
            <v>MULTIPOX</v>
          </cell>
        </row>
        <row r="401">
          <cell r="C401" t="str">
            <v>100001387</v>
          </cell>
          <cell r="D401" t="str">
            <v>MX-94 KIA WHITE VN-16KP</v>
          </cell>
          <cell r="E401" t="str">
            <v>ZFGD</v>
          </cell>
          <cell r="F401" t="str">
            <v>PC</v>
          </cell>
          <cell r="G401" t="str">
            <v>5</v>
          </cell>
          <cell r="H401" t="str">
            <v>PROJECT</v>
          </cell>
          <cell r="I401" t="str">
            <v>56</v>
          </cell>
          <cell r="J401" t="str">
            <v>CPC1</v>
          </cell>
          <cell r="K401" t="str">
            <v>5603</v>
          </cell>
          <cell r="L401" t="str">
            <v>MULTIPOX</v>
          </cell>
          <cell r="M401" t="str">
            <v>560301</v>
          </cell>
          <cell r="N401" t="str">
            <v>MULTIPOX</v>
          </cell>
        </row>
        <row r="402">
          <cell r="C402" t="str">
            <v>100001388</v>
          </cell>
          <cell r="D402" t="str">
            <v>MX-94 GREY RAL 7035 VN-5KS</v>
          </cell>
          <cell r="E402" t="str">
            <v>ZFGD</v>
          </cell>
          <cell r="F402" t="str">
            <v>SET</v>
          </cell>
          <cell r="G402" t="str">
            <v>5</v>
          </cell>
          <cell r="H402" t="str">
            <v>PROJECT</v>
          </cell>
          <cell r="I402" t="str">
            <v>56</v>
          </cell>
          <cell r="J402" t="str">
            <v>CPC1</v>
          </cell>
          <cell r="K402" t="str">
            <v>5603</v>
          </cell>
          <cell r="L402" t="str">
            <v>MULTIPOX</v>
          </cell>
          <cell r="M402" t="str">
            <v>560301</v>
          </cell>
          <cell r="N402" t="str">
            <v>MULTIPOX</v>
          </cell>
        </row>
        <row r="403">
          <cell r="C403" t="str">
            <v>100001389</v>
          </cell>
          <cell r="D403" t="str">
            <v>MX-94 GREY RAL 7035 VN-4K</v>
          </cell>
          <cell r="E403" t="str">
            <v>ZFGD</v>
          </cell>
          <cell r="F403" t="str">
            <v>PC</v>
          </cell>
          <cell r="G403" t="str">
            <v>5</v>
          </cell>
          <cell r="H403" t="str">
            <v>PROJECT</v>
          </cell>
          <cell r="I403" t="str">
            <v>56</v>
          </cell>
          <cell r="J403" t="str">
            <v>CPC1</v>
          </cell>
          <cell r="K403" t="str">
            <v>5603</v>
          </cell>
          <cell r="L403" t="str">
            <v>MULTIPOX</v>
          </cell>
          <cell r="M403" t="str">
            <v>560301</v>
          </cell>
          <cell r="N403" t="str">
            <v>MULTIPOX</v>
          </cell>
        </row>
        <row r="404">
          <cell r="C404" t="str">
            <v>100001390</v>
          </cell>
          <cell r="D404" t="str">
            <v>MX-94 GREY RAL 7035 VN-20KSP</v>
          </cell>
          <cell r="E404" t="str">
            <v>ZFGD</v>
          </cell>
          <cell r="F404" t="str">
            <v>SET</v>
          </cell>
          <cell r="G404" t="str">
            <v>5</v>
          </cell>
          <cell r="H404" t="str">
            <v>PROJECT</v>
          </cell>
          <cell r="I404" t="str">
            <v>56</v>
          </cell>
          <cell r="J404" t="str">
            <v>CPC1</v>
          </cell>
          <cell r="K404" t="str">
            <v>5603</v>
          </cell>
          <cell r="L404" t="str">
            <v>MULTIPOX</v>
          </cell>
          <cell r="M404" t="str">
            <v>560301</v>
          </cell>
          <cell r="N404" t="str">
            <v>MULTIPOX</v>
          </cell>
        </row>
        <row r="405">
          <cell r="C405" t="str">
            <v>100001391</v>
          </cell>
          <cell r="D405" t="str">
            <v>MX-94 GREY RAL 7035 VN-16KP</v>
          </cell>
          <cell r="E405" t="str">
            <v>ZFGD</v>
          </cell>
          <cell r="F405" t="str">
            <v>PC</v>
          </cell>
          <cell r="G405" t="str">
            <v>5</v>
          </cell>
          <cell r="H405" t="str">
            <v>PROJECT</v>
          </cell>
          <cell r="I405" t="str">
            <v>56</v>
          </cell>
          <cell r="J405" t="str">
            <v>CPC1</v>
          </cell>
          <cell r="K405" t="str">
            <v>5603</v>
          </cell>
          <cell r="L405" t="str">
            <v>MULTIPOX</v>
          </cell>
          <cell r="M405" t="str">
            <v>560301</v>
          </cell>
          <cell r="N405" t="str">
            <v>MULTIPOX</v>
          </cell>
        </row>
        <row r="406">
          <cell r="C406" t="str">
            <v>100001392</v>
          </cell>
          <cell r="D406" t="str">
            <v>MX-94 ACACIA VN-5KS</v>
          </cell>
          <cell r="E406" t="str">
            <v>ZFGD</v>
          </cell>
          <cell r="F406" t="str">
            <v>SET</v>
          </cell>
          <cell r="G406" t="str">
            <v>5</v>
          </cell>
          <cell r="H406" t="str">
            <v>PROJECT</v>
          </cell>
          <cell r="I406" t="str">
            <v>56</v>
          </cell>
          <cell r="J406" t="str">
            <v>CPC1</v>
          </cell>
          <cell r="K406" t="str">
            <v>5603</v>
          </cell>
          <cell r="L406" t="str">
            <v>MULTIPOX</v>
          </cell>
          <cell r="M406" t="str">
            <v>560301</v>
          </cell>
          <cell r="N406" t="str">
            <v>MULTIPOX</v>
          </cell>
        </row>
        <row r="407">
          <cell r="C407" t="str">
            <v>100001393</v>
          </cell>
          <cell r="D407" t="str">
            <v>MX-94 ACACIA VN-4K</v>
          </cell>
          <cell r="E407" t="str">
            <v>ZFGD</v>
          </cell>
          <cell r="F407" t="str">
            <v>PC</v>
          </cell>
          <cell r="G407" t="str">
            <v>5</v>
          </cell>
          <cell r="H407" t="str">
            <v>PROJECT</v>
          </cell>
          <cell r="I407" t="str">
            <v>56</v>
          </cell>
          <cell r="J407" t="str">
            <v>CPC1</v>
          </cell>
          <cell r="K407" t="str">
            <v>5603</v>
          </cell>
          <cell r="L407" t="str">
            <v>MULTIPOX</v>
          </cell>
          <cell r="M407" t="str">
            <v>560301</v>
          </cell>
          <cell r="N407" t="str">
            <v>MULTIPOX</v>
          </cell>
        </row>
        <row r="408">
          <cell r="C408" t="str">
            <v>100001394</v>
          </cell>
          <cell r="D408" t="str">
            <v>MX-94 ACACIA VN-20KSP</v>
          </cell>
          <cell r="E408" t="str">
            <v>ZFGD</v>
          </cell>
          <cell r="F408" t="str">
            <v>SET</v>
          </cell>
          <cell r="G408" t="str">
            <v>5</v>
          </cell>
          <cell r="H408" t="str">
            <v>PROJECT</v>
          </cell>
          <cell r="I408" t="str">
            <v>56</v>
          </cell>
          <cell r="J408" t="str">
            <v>CPC1</v>
          </cell>
          <cell r="K408" t="str">
            <v>5603</v>
          </cell>
          <cell r="L408" t="str">
            <v>MULTIPOX</v>
          </cell>
          <cell r="M408" t="str">
            <v>560301</v>
          </cell>
          <cell r="N408" t="str">
            <v>MULTIPOX</v>
          </cell>
        </row>
        <row r="409">
          <cell r="C409" t="str">
            <v>100001395</v>
          </cell>
          <cell r="D409" t="str">
            <v>MX-94 ACACIA VN-16KP</v>
          </cell>
          <cell r="E409" t="str">
            <v>ZFGD</v>
          </cell>
          <cell r="F409" t="str">
            <v>PC</v>
          </cell>
          <cell r="G409" t="str">
            <v>5</v>
          </cell>
          <cell r="H409" t="str">
            <v>PROJECT</v>
          </cell>
          <cell r="I409" t="str">
            <v>56</v>
          </cell>
          <cell r="J409" t="str">
            <v>CPC1</v>
          </cell>
          <cell r="K409" t="str">
            <v>5603</v>
          </cell>
          <cell r="L409" t="str">
            <v>MULTIPOX</v>
          </cell>
          <cell r="M409" t="str">
            <v>560301</v>
          </cell>
          <cell r="N409" t="str">
            <v>MULTIPOX</v>
          </cell>
        </row>
        <row r="410">
          <cell r="C410" t="str">
            <v>100001396</v>
          </cell>
          <cell r="D410" t="str">
            <v>MX-94 GREY RAL 7037 VN-5KS</v>
          </cell>
          <cell r="E410" t="str">
            <v>ZFGD</v>
          </cell>
          <cell r="F410" t="str">
            <v>SET</v>
          </cell>
          <cell r="G410" t="str">
            <v>5</v>
          </cell>
          <cell r="H410" t="str">
            <v>PROJECT</v>
          </cell>
          <cell r="I410" t="str">
            <v>56</v>
          </cell>
          <cell r="J410" t="str">
            <v>CPC1</v>
          </cell>
          <cell r="K410" t="str">
            <v>5603</v>
          </cell>
          <cell r="L410" t="str">
            <v>MULTIPOX</v>
          </cell>
          <cell r="M410" t="str">
            <v>560301</v>
          </cell>
          <cell r="N410" t="str">
            <v>MULTIPOX</v>
          </cell>
        </row>
        <row r="411">
          <cell r="C411" t="str">
            <v>100001397</v>
          </cell>
          <cell r="D411" t="str">
            <v>MX-94 GREY RAL 7037 VN-4K</v>
          </cell>
          <cell r="E411" t="str">
            <v>ZFGD</v>
          </cell>
          <cell r="F411" t="str">
            <v>PC</v>
          </cell>
          <cell r="G411" t="str">
            <v>5</v>
          </cell>
          <cell r="H411" t="str">
            <v>PROJECT</v>
          </cell>
          <cell r="I411" t="str">
            <v>56</v>
          </cell>
          <cell r="J411" t="str">
            <v>CPC1</v>
          </cell>
          <cell r="K411" t="str">
            <v>5603</v>
          </cell>
          <cell r="L411" t="str">
            <v>MULTIPOX</v>
          </cell>
          <cell r="M411" t="str">
            <v>560301</v>
          </cell>
          <cell r="N411" t="str">
            <v>MULTIPOX</v>
          </cell>
        </row>
        <row r="412">
          <cell r="C412" t="str">
            <v>100001398</v>
          </cell>
          <cell r="D412" t="str">
            <v>MX-94 GREY RAL 7037 VN-20KSP</v>
          </cell>
          <cell r="E412" t="str">
            <v>ZFGD</v>
          </cell>
          <cell r="F412" t="str">
            <v>SET</v>
          </cell>
          <cell r="G412" t="str">
            <v>5</v>
          </cell>
          <cell r="H412" t="str">
            <v>PROJECT</v>
          </cell>
          <cell r="I412" t="str">
            <v>56</v>
          </cell>
          <cell r="J412" t="str">
            <v>CPC1</v>
          </cell>
          <cell r="K412" t="str">
            <v>5603</v>
          </cell>
          <cell r="L412" t="str">
            <v>MULTIPOX</v>
          </cell>
          <cell r="M412" t="str">
            <v>560301</v>
          </cell>
          <cell r="N412" t="str">
            <v>MULTIPOX</v>
          </cell>
        </row>
        <row r="413">
          <cell r="C413" t="str">
            <v>100001399</v>
          </cell>
          <cell r="D413" t="str">
            <v>MX-94 GREY RAL 7037 VN-16KP</v>
          </cell>
          <cell r="E413" t="str">
            <v>ZFGD</v>
          </cell>
          <cell r="F413" t="str">
            <v>PC</v>
          </cell>
          <cell r="G413" t="str">
            <v>5</v>
          </cell>
          <cell r="H413" t="str">
            <v>PROJECT</v>
          </cell>
          <cell r="I413" t="str">
            <v>56</v>
          </cell>
          <cell r="J413" t="str">
            <v>CPC1</v>
          </cell>
          <cell r="K413" t="str">
            <v>5603</v>
          </cell>
          <cell r="L413" t="str">
            <v>MULTIPOX</v>
          </cell>
          <cell r="M413" t="str">
            <v>560301</v>
          </cell>
          <cell r="N413" t="str">
            <v>MULTIPOX</v>
          </cell>
        </row>
        <row r="414">
          <cell r="C414" t="str">
            <v>100001400</v>
          </cell>
          <cell r="D414" t="str">
            <v>MX-94 GREEN RAL 6029 VN-5KS</v>
          </cell>
          <cell r="E414" t="str">
            <v>ZFGD</v>
          </cell>
          <cell r="F414" t="str">
            <v>SET</v>
          </cell>
          <cell r="G414" t="str">
            <v>5</v>
          </cell>
          <cell r="H414" t="str">
            <v>PROJECT</v>
          </cell>
          <cell r="I414" t="str">
            <v>56</v>
          </cell>
          <cell r="J414" t="str">
            <v>CPC1</v>
          </cell>
          <cell r="K414" t="str">
            <v>5603</v>
          </cell>
          <cell r="L414" t="str">
            <v>MULTIPOX</v>
          </cell>
          <cell r="M414" t="str">
            <v>560301</v>
          </cell>
          <cell r="N414" t="str">
            <v>MULTIPOX</v>
          </cell>
        </row>
        <row r="415">
          <cell r="C415" t="str">
            <v>100001401</v>
          </cell>
          <cell r="D415" t="str">
            <v>MX-94 GREEN RAL 6029 VN-4K</v>
          </cell>
          <cell r="E415" t="str">
            <v>ZFGD</v>
          </cell>
          <cell r="F415" t="str">
            <v>PC</v>
          </cell>
          <cell r="G415" t="str">
            <v>5</v>
          </cell>
          <cell r="H415" t="str">
            <v>PROJECT</v>
          </cell>
          <cell r="I415" t="str">
            <v>56</v>
          </cell>
          <cell r="J415" t="str">
            <v>CPC1</v>
          </cell>
          <cell r="K415" t="str">
            <v>5603</v>
          </cell>
          <cell r="L415" t="str">
            <v>MULTIPOX</v>
          </cell>
          <cell r="M415" t="str">
            <v>560301</v>
          </cell>
          <cell r="N415" t="str">
            <v>MULTIPOX</v>
          </cell>
        </row>
        <row r="416">
          <cell r="C416" t="str">
            <v>100001402</v>
          </cell>
          <cell r="D416" t="str">
            <v>MX-94 GREEN RAL 6029 VN-20KSP</v>
          </cell>
          <cell r="E416" t="str">
            <v>ZFGD</v>
          </cell>
          <cell r="F416" t="str">
            <v>SET</v>
          </cell>
          <cell r="G416" t="str">
            <v>5</v>
          </cell>
          <cell r="H416" t="str">
            <v>PROJECT</v>
          </cell>
          <cell r="I416" t="str">
            <v>56</v>
          </cell>
          <cell r="J416" t="str">
            <v>CPC1</v>
          </cell>
          <cell r="K416" t="str">
            <v>5603</v>
          </cell>
          <cell r="L416" t="str">
            <v>MULTIPOX</v>
          </cell>
          <cell r="M416" t="str">
            <v>560301</v>
          </cell>
          <cell r="N416" t="str">
            <v>MULTIPOX</v>
          </cell>
        </row>
        <row r="417">
          <cell r="C417" t="str">
            <v>100001403</v>
          </cell>
          <cell r="D417" t="str">
            <v>MX-94 GREEN RAL 6029 VN-16KP</v>
          </cell>
          <cell r="E417" t="str">
            <v>ZFGD</v>
          </cell>
          <cell r="F417" t="str">
            <v>PC</v>
          </cell>
          <cell r="G417" t="str">
            <v>5</v>
          </cell>
          <cell r="H417" t="str">
            <v>PROJECT</v>
          </cell>
          <cell r="I417" t="str">
            <v>56</v>
          </cell>
          <cell r="J417" t="str">
            <v>CPC1</v>
          </cell>
          <cell r="K417" t="str">
            <v>5603</v>
          </cell>
          <cell r="L417" t="str">
            <v>MULTIPOX</v>
          </cell>
          <cell r="M417" t="str">
            <v>560301</v>
          </cell>
          <cell r="N417" t="str">
            <v>MULTIPOX</v>
          </cell>
        </row>
        <row r="418">
          <cell r="C418" t="str">
            <v>100001404</v>
          </cell>
          <cell r="D418" t="str">
            <v>MX-94 GREEN VN-5KS</v>
          </cell>
          <cell r="E418" t="str">
            <v>ZFGD</v>
          </cell>
          <cell r="F418" t="str">
            <v>SET</v>
          </cell>
          <cell r="G418" t="str">
            <v>5</v>
          </cell>
          <cell r="H418" t="str">
            <v>PROJECT</v>
          </cell>
          <cell r="I418" t="str">
            <v>56</v>
          </cell>
          <cell r="J418" t="str">
            <v>CPC1</v>
          </cell>
          <cell r="K418" t="str">
            <v>5603</v>
          </cell>
          <cell r="L418" t="str">
            <v>MULTIPOX</v>
          </cell>
          <cell r="M418" t="str">
            <v>560301</v>
          </cell>
          <cell r="N418" t="str">
            <v>MULTIPOX</v>
          </cell>
        </row>
        <row r="419">
          <cell r="C419" t="str">
            <v>100001405</v>
          </cell>
          <cell r="D419" t="str">
            <v>MX-94 GREEN VN-4K</v>
          </cell>
          <cell r="E419" t="str">
            <v>ZFGD</v>
          </cell>
          <cell r="F419" t="str">
            <v>PC</v>
          </cell>
          <cell r="G419" t="str">
            <v>5</v>
          </cell>
          <cell r="H419" t="str">
            <v>PROJECT</v>
          </cell>
          <cell r="I419" t="str">
            <v>56</v>
          </cell>
          <cell r="J419" t="str">
            <v>CPC1</v>
          </cell>
          <cell r="K419" t="str">
            <v>5603</v>
          </cell>
          <cell r="L419" t="str">
            <v>MULTIPOX</v>
          </cell>
          <cell r="M419" t="str">
            <v>560301</v>
          </cell>
          <cell r="N419" t="str">
            <v>MULTIPOX</v>
          </cell>
        </row>
        <row r="420">
          <cell r="C420" t="str">
            <v>100001406</v>
          </cell>
          <cell r="D420" t="str">
            <v>MX-94 GREEN VN-20KSP</v>
          </cell>
          <cell r="E420" t="str">
            <v>ZFGD</v>
          </cell>
          <cell r="F420" t="str">
            <v>SET</v>
          </cell>
          <cell r="G420" t="str">
            <v>5</v>
          </cell>
          <cell r="H420" t="str">
            <v>PROJECT</v>
          </cell>
          <cell r="I420" t="str">
            <v>56</v>
          </cell>
          <cell r="J420" t="str">
            <v>CPC1</v>
          </cell>
          <cell r="K420" t="str">
            <v>5603</v>
          </cell>
          <cell r="L420" t="str">
            <v>MULTIPOX</v>
          </cell>
          <cell r="M420" t="str">
            <v>560301</v>
          </cell>
          <cell r="N420" t="str">
            <v>MULTIPOX</v>
          </cell>
        </row>
        <row r="421">
          <cell r="C421" t="str">
            <v>100001407</v>
          </cell>
          <cell r="D421" t="str">
            <v>MX-94 GREEN VN-16KP</v>
          </cell>
          <cell r="E421" t="str">
            <v>ZFGD</v>
          </cell>
          <cell r="F421" t="str">
            <v>PC</v>
          </cell>
          <cell r="G421" t="str">
            <v>5</v>
          </cell>
          <cell r="H421" t="str">
            <v>PROJECT</v>
          </cell>
          <cell r="I421" t="str">
            <v>56</v>
          </cell>
          <cell r="J421" t="str">
            <v>CPC1</v>
          </cell>
          <cell r="K421" t="str">
            <v>5603</v>
          </cell>
          <cell r="L421" t="str">
            <v>MULTIPOX</v>
          </cell>
          <cell r="M421" t="str">
            <v>560301</v>
          </cell>
          <cell r="N421" t="str">
            <v>MULTIPOX</v>
          </cell>
        </row>
        <row r="422">
          <cell r="C422" t="str">
            <v>100001408</v>
          </cell>
          <cell r="D422" t="str">
            <v>MX-94 GREEN MH 0106 VN-5KS</v>
          </cell>
          <cell r="E422" t="str">
            <v>ZFGD</v>
          </cell>
          <cell r="F422" t="str">
            <v>SET</v>
          </cell>
          <cell r="G422" t="str">
            <v>5</v>
          </cell>
          <cell r="H422" t="str">
            <v>PROJECT</v>
          </cell>
          <cell r="I422" t="str">
            <v>56</v>
          </cell>
          <cell r="J422" t="str">
            <v>CPC1</v>
          </cell>
          <cell r="K422" t="str">
            <v>5603</v>
          </cell>
          <cell r="L422" t="str">
            <v>MULTIPOX</v>
          </cell>
          <cell r="M422" t="str">
            <v>560301</v>
          </cell>
          <cell r="N422" t="str">
            <v>MULTIPOX</v>
          </cell>
        </row>
        <row r="423">
          <cell r="C423" t="str">
            <v>100001409</v>
          </cell>
          <cell r="D423" t="str">
            <v>MX-94 GREEN MH 0106 VN-4K</v>
          </cell>
          <cell r="E423" t="str">
            <v>ZFGD</v>
          </cell>
          <cell r="F423" t="str">
            <v>PC</v>
          </cell>
          <cell r="G423" t="str">
            <v>5</v>
          </cell>
          <cell r="H423" t="str">
            <v>PROJECT</v>
          </cell>
          <cell r="I423" t="str">
            <v>56</v>
          </cell>
          <cell r="J423" t="str">
            <v>CPC1</v>
          </cell>
          <cell r="K423" t="str">
            <v>5603</v>
          </cell>
          <cell r="L423" t="str">
            <v>MULTIPOX</v>
          </cell>
          <cell r="M423" t="str">
            <v>560301</v>
          </cell>
          <cell r="N423" t="str">
            <v>MULTIPOX</v>
          </cell>
        </row>
        <row r="424">
          <cell r="C424" t="str">
            <v>100001410</v>
          </cell>
          <cell r="D424" t="str">
            <v>MX-94 GREEN MH 0106 VN-20KSP</v>
          </cell>
          <cell r="E424" t="str">
            <v>ZFGD</v>
          </cell>
          <cell r="F424" t="str">
            <v>SET</v>
          </cell>
          <cell r="G424" t="str">
            <v>5</v>
          </cell>
          <cell r="H424" t="str">
            <v>PROJECT</v>
          </cell>
          <cell r="I424" t="str">
            <v>56</v>
          </cell>
          <cell r="J424" t="str">
            <v>CPC1</v>
          </cell>
          <cell r="K424" t="str">
            <v>5603</v>
          </cell>
          <cell r="L424" t="str">
            <v>MULTIPOX</v>
          </cell>
          <cell r="M424" t="str">
            <v>560301</v>
          </cell>
          <cell r="N424" t="str">
            <v>MULTIPOX</v>
          </cell>
        </row>
        <row r="425">
          <cell r="C425" t="str">
            <v>100001411</v>
          </cell>
          <cell r="D425" t="str">
            <v>MX-94 GREEN MH 0106 VN-16KP</v>
          </cell>
          <cell r="E425" t="str">
            <v>ZFGD</v>
          </cell>
          <cell r="F425" t="str">
            <v>PC</v>
          </cell>
          <cell r="G425" t="str">
            <v>5</v>
          </cell>
          <cell r="H425" t="str">
            <v>PROJECT</v>
          </cell>
          <cell r="I425" t="str">
            <v>56</v>
          </cell>
          <cell r="J425" t="str">
            <v>CPC1</v>
          </cell>
          <cell r="K425" t="str">
            <v>5603</v>
          </cell>
          <cell r="L425" t="str">
            <v>MULTIPOX</v>
          </cell>
          <cell r="M425" t="str">
            <v>560301</v>
          </cell>
          <cell r="N425" t="str">
            <v>MULTIPOX</v>
          </cell>
        </row>
        <row r="426">
          <cell r="C426" t="str">
            <v>100001412</v>
          </cell>
          <cell r="D426" t="str">
            <v>MX-94 BLUE MH 0106 VN-5KS</v>
          </cell>
          <cell r="E426" t="str">
            <v>ZFGD</v>
          </cell>
          <cell r="F426" t="str">
            <v>SET</v>
          </cell>
          <cell r="G426" t="str">
            <v>5</v>
          </cell>
          <cell r="H426" t="str">
            <v>PROJECT</v>
          </cell>
          <cell r="I426" t="str">
            <v>56</v>
          </cell>
          <cell r="J426" t="str">
            <v>CPC1</v>
          </cell>
          <cell r="K426" t="str">
            <v>5603</v>
          </cell>
          <cell r="L426" t="str">
            <v>MULTIPOX</v>
          </cell>
          <cell r="M426" t="str">
            <v>560301</v>
          </cell>
          <cell r="N426" t="str">
            <v>MULTIPOX</v>
          </cell>
        </row>
        <row r="427">
          <cell r="C427" t="str">
            <v>100001413</v>
          </cell>
          <cell r="D427" t="str">
            <v>MX-94 BLUE MH 0106 VN-4K</v>
          </cell>
          <cell r="E427" t="str">
            <v>ZFGD</v>
          </cell>
          <cell r="F427" t="str">
            <v>PC</v>
          </cell>
          <cell r="G427" t="str">
            <v>5</v>
          </cell>
          <cell r="H427" t="str">
            <v>PROJECT</v>
          </cell>
          <cell r="I427" t="str">
            <v>56</v>
          </cell>
          <cell r="J427" t="str">
            <v>CPC1</v>
          </cell>
          <cell r="K427" t="str">
            <v>5603</v>
          </cell>
          <cell r="L427" t="str">
            <v>MULTIPOX</v>
          </cell>
          <cell r="M427" t="str">
            <v>560301</v>
          </cell>
          <cell r="N427" t="str">
            <v>MULTIPOX</v>
          </cell>
        </row>
        <row r="428">
          <cell r="C428" t="str">
            <v>100001414</v>
          </cell>
          <cell r="D428" t="str">
            <v>MX-94 BLUE MH 0106 VN-20KSP</v>
          </cell>
          <cell r="E428" t="str">
            <v>ZFGD</v>
          </cell>
          <cell r="F428" t="str">
            <v>SET</v>
          </cell>
          <cell r="G428" t="str">
            <v>5</v>
          </cell>
          <cell r="H428" t="str">
            <v>PROJECT</v>
          </cell>
          <cell r="I428" t="str">
            <v>56</v>
          </cell>
          <cell r="J428" t="str">
            <v>CPC1</v>
          </cell>
          <cell r="K428" t="str">
            <v>5603</v>
          </cell>
          <cell r="L428" t="str">
            <v>MULTIPOX</v>
          </cell>
          <cell r="M428" t="str">
            <v>560301</v>
          </cell>
          <cell r="N428" t="str">
            <v>MULTIPOX</v>
          </cell>
        </row>
        <row r="429">
          <cell r="C429" t="str">
            <v>100001415</v>
          </cell>
          <cell r="D429" t="str">
            <v>MX-94 BLUE MH 0106 VN-16KP</v>
          </cell>
          <cell r="E429" t="str">
            <v>ZFGD</v>
          </cell>
          <cell r="F429" t="str">
            <v>PC</v>
          </cell>
          <cell r="G429" t="str">
            <v>5</v>
          </cell>
          <cell r="H429" t="str">
            <v>PROJECT</v>
          </cell>
          <cell r="I429" t="str">
            <v>56</v>
          </cell>
          <cell r="J429" t="str">
            <v>CPC1</v>
          </cell>
          <cell r="K429" t="str">
            <v>5603</v>
          </cell>
          <cell r="L429" t="str">
            <v>MULTIPOX</v>
          </cell>
          <cell r="M429" t="str">
            <v>560301</v>
          </cell>
          <cell r="N429" t="str">
            <v>MULTIPOX</v>
          </cell>
        </row>
        <row r="430">
          <cell r="C430" t="str">
            <v>100001416</v>
          </cell>
          <cell r="D430" t="str">
            <v>MX-94 BLUE TDC VN-5KS</v>
          </cell>
          <cell r="E430" t="str">
            <v>ZFGD</v>
          </cell>
          <cell r="F430" t="str">
            <v>SET</v>
          </cell>
          <cell r="G430" t="str">
            <v>5</v>
          </cell>
          <cell r="H430" t="str">
            <v>PROJECT</v>
          </cell>
          <cell r="I430" t="str">
            <v>56</v>
          </cell>
          <cell r="J430" t="str">
            <v>CPC1</v>
          </cell>
          <cell r="K430" t="str">
            <v>5603</v>
          </cell>
          <cell r="L430" t="str">
            <v>MULTIPOX</v>
          </cell>
          <cell r="M430" t="str">
            <v>560301</v>
          </cell>
          <cell r="N430" t="str">
            <v>MULTIPOX</v>
          </cell>
        </row>
        <row r="431">
          <cell r="C431" t="str">
            <v>100001417</v>
          </cell>
          <cell r="D431" t="str">
            <v>MX-94 BLUE TDC VN-4K</v>
          </cell>
          <cell r="E431" t="str">
            <v>ZFGD</v>
          </cell>
          <cell r="F431" t="str">
            <v>PC</v>
          </cell>
          <cell r="G431" t="str">
            <v>5</v>
          </cell>
          <cell r="H431" t="str">
            <v>PROJECT</v>
          </cell>
          <cell r="I431" t="str">
            <v>56</v>
          </cell>
          <cell r="J431" t="str">
            <v>CPC1</v>
          </cell>
          <cell r="K431" t="str">
            <v>5603</v>
          </cell>
          <cell r="L431" t="str">
            <v>MULTIPOX</v>
          </cell>
          <cell r="M431" t="str">
            <v>560301</v>
          </cell>
          <cell r="N431" t="str">
            <v>MULTIPOX</v>
          </cell>
        </row>
        <row r="432">
          <cell r="C432" t="str">
            <v>100001418</v>
          </cell>
          <cell r="D432" t="str">
            <v>MX-94 BLUE TDC VN-20KSP</v>
          </cell>
          <cell r="E432" t="str">
            <v>ZFGD</v>
          </cell>
          <cell r="F432" t="str">
            <v>SET</v>
          </cell>
          <cell r="G432" t="str">
            <v>5</v>
          </cell>
          <cell r="H432" t="str">
            <v>PROJECT</v>
          </cell>
          <cell r="I432" t="str">
            <v>56</v>
          </cell>
          <cell r="J432" t="str">
            <v>CPC1</v>
          </cell>
          <cell r="K432" t="str">
            <v>5603</v>
          </cell>
          <cell r="L432" t="str">
            <v>MULTIPOX</v>
          </cell>
          <cell r="M432" t="str">
            <v>560301</v>
          </cell>
          <cell r="N432" t="str">
            <v>MULTIPOX</v>
          </cell>
        </row>
        <row r="433">
          <cell r="C433" t="str">
            <v>100001419</v>
          </cell>
          <cell r="D433" t="str">
            <v>MX-94 BLUE TDC VN-16KP</v>
          </cell>
          <cell r="E433" t="str">
            <v>ZFGD</v>
          </cell>
          <cell r="F433" t="str">
            <v>PC</v>
          </cell>
          <cell r="G433" t="str">
            <v>5</v>
          </cell>
          <cell r="H433" t="str">
            <v>PROJECT</v>
          </cell>
          <cell r="I433" t="str">
            <v>56</v>
          </cell>
          <cell r="J433" t="str">
            <v>CPC1</v>
          </cell>
          <cell r="K433" t="str">
            <v>5603</v>
          </cell>
          <cell r="L433" t="str">
            <v>MULTIPOX</v>
          </cell>
          <cell r="M433" t="str">
            <v>560301</v>
          </cell>
          <cell r="N433" t="str">
            <v>MULTIPOX</v>
          </cell>
        </row>
        <row r="434">
          <cell r="C434" t="str">
            <v>100001420</v>
          </cell>
          <cell r="D434" t="str">
            <v>MX-94 GREEN RAL 6019 VN-5KS</v>
          </cell>
          <cell r="E434" t="str">
            <v>ZFGD</v>
          </cell>
          <cell r="F434" t="str">
            <v>SET</v>
          </cell>
          <cell r="G434" t="str">
            <v>5</v>
          </cell>
          <cell r="H434" t="str">
            <v>PROJECT</v>
          </cell>
          <cell r="I434" t="str">
            <v>56</v>
          </cell>
          <cell r="J434" t="str">
            <v>CPC1</v>
          </cell>
          <cell r="K434" t="str">
            <v>5603</v>
          </cell>
          <cell r="L434" t="str">
            <v>MULTIPOX</v>
          </cell>
          <cell r="M434" t="str">
            <v>560301</v>
          </cell>
          <cell r="N434" t="str">
            <v>MULTIPOX</v>
          </cell>
        </row>
        <row r="435">
          <cell r="C435" t="str">
            <v>100001421</v>
          </cell>
          <cell r="D435" t="str">
            <v>MX-94 GREEN RAL 6019 VN-4K</v>
          </cell>
          <cell r="E435" t="str">
            <v>ZFGD</v>
          </cell>
          <cell r="F435" t="str">
            <v>PC</v>
          </cell>
          <cell r="G435" t="str">
            <v>5</v>
          </cell>
          <cell r="H435" t="str">
            <v>PROJECT</v>
          </cell>
          <cell r="I435" t="str">
            <v>56</v>
          </cell>
          <cell r="J435" t="str">
            <v>CPC1</v>
          </cell>
          <cell r="K435" t="str">
            <v>5603</v>
          </cell>
          <cell r="L435" t="str">
            <v>MULTIPOX</v>
          </cell>
          <cell r="M435" t="str">
            <v>560301</v>
          </cell>
          <cell r="N435" t="str">
            <v>MULTIPOX</v>
          </cell>
        </row>
        <row r="436">
          <cell r="C436" t="str">
            <v>100001422</v>
          </cell>
          <cell r="D436" t="str">
            <v>MX-94 GREEN RAL 6019 VN-20KSP</v>
          </cell>
          <cell r="E436" t="str">
            <v>ZFGD</v>
          </cell>
          <cell r="F436" t="str">
            <v>SET</v>
          </cell>
          <cell r="G436" t="str">
            <v>5</v>
          </cell>
          <cell r="H436" t="str">
            <v>PROJECT</v>
          </cell>
          <cell r="I436" t="str">
            <v>56</v>
          </cell>
          <cell r="J436" t="str">
            <v>CPC1</v>
          </cell>
          <cell r="K436" t="str">
            <v>5603</v>
          </cell>
          <cell r="L436" t="str">
            <v>MULTIPOX</v>
          </cell>
          <cell r="M436" t="str">
            <v>560301</v>
          </cell>
          <cell r="N436" t="str">
            <v>MULTIPOX</v>
          </cell>
        </row>
        <row r="437">
          <cell r="C437" t="str">
            <v>100001423</v>
          </cell>
          <cell r="D437" t="str">
            <v>MX-94 GREEN RAL 6019 VN-16KP</v>
          </cell>
          <cell r="E437" t="str">
            <v>ZFGD</v>
          </cell>
          <cell r="F437" t="str">
            <v>PC</v>
          </cell>
          <cell r="G437" t="str">
            <v>5</v>
          </cell>
          <cell r="H437" t="str">
            <v>PROJECT</v>
          </cell>
          <cell r="I437" t="str">
            <v>56</v>
          </cell>
          <cell r="J437" t="str">
            <v>CPC1</v>
          </cell>
          <cell r="K437" t="str">
            <v>5603</v>
          </cell>
          <cell r="L437" t="str">
            <v>MULTIPOX</v>
          </cell>
          <cell r="M437" t="str">
            <v>560301</v>
          </cell>
          <cell r="N437" t="str">
            <v>MULTIPOX</v>
          </cell>
        </row>
        <row r="438">
          <cell r="C438" t="str">
            <v>100001424</v>
          </cell>
          <cell r="D438" t="str">
            <v>MX-94 RAL 7040 VN-5KS</v>
          </cell>
          <cell r="E438" t="str">
            <v>ZFGD</v>
          </cell>
          <cell r="F438" t="str">
            <v>SET</v>
          </cell>
          <cell r="G438" t="str">
            <v>5</v>
          </cell>
          <cell r="H438" t="str">
            <v>PROJECT</v>
          </cell>
          <cell r="I438" t="str">
            <v>56</v>
          </cell>
          <cell r="J438" t="str">
            <v>CPC1</v>
          </cell>
          <cell r="K438" t="str">
            <v>5603</v>
          </cell>
          <cell r="L438" t="str">
            <v>MULTIPOX</v>
          </cell>
          <cell r="M438" t="str">
            <v>560301</v>
          </cell>
          <cell r="N438" t="str">
            <v>MULTIPOX</v>
          </cell>
        </row>
        <row r="439">
          <cell r="C439" t="str">
            <v>100001425</v>
          </cell>
          <cell r="D439" t="str">
            <v>MX-94 RAL 7040 VN-4K</v>
          </cell>
          <cell r="E439" t="str">
            <v>ZFGD</v>
          </cell>
          <cell r="F439" t="str">
            <v>PC</v>
          </cell>
          <cell r="G439" t="str">
            <v>5</v>
          </cell>
          <cell r="H439" t="str">
            <v>PROJECT</v>
          </cell>
          <cell r="I439" t="str">
            <v>56</v>
          </cell>
          <cell r="J439" t="str">
            <v>CPC1</v>
          </cell>
          <cell r="K439" t="str">
            <v>5603</v>
          </cell>
          <cell r="L439" t="str">
            <v>MULTIPOX</v>
          </cell>
          <cell r="M439" t="str">
            <v>560301</v>
          </cell>
          <cell r="N439" t="str">
            <v>MULTIPOX</v>
          </cell>
        </row>
        <row r="440">
          <cell r="C440" t="str">
            <v>100001426</v>
          </cell>
          <cell r="D440" t="str">
            <v>MX-94 RAL 7040 VN-20KSP</v>
          </cell>
          <cell r="E440" t="str">
            <v>ZFGD</v>
          </cell>
          <cell r="F440" t="str">
            <v>SET</v>
          </cell>
          <cell r="G440" t="str">
            <v>5</v>
          </cell>
          <cell r="H440" t="str">
            <v>PROJECT</v>
          </cell>
          <cell r="I440" t="str">
            <v>56</v>
          </cell>
          <cell r="J440" t="str">
            <v>CPC1</v>
          </cell>
          <cell r="K440" t="str">
            <v>5603</v>
          </cell>
          <cell r="L440" t="str">
            <v>MULTIPOX</v>
          </cell>
          <cell r="M440" t="str">
            <v>560301</v>
          </cell>
          <cell r="N440" t="str">
            <v>MULTIPOX</v>
          </cell>
        </row>
        <row r="441">
          <cell r="C441" t="str">
            <v>100001427</v>
          </cell>
          <cell r="D441" t="str">
            <v>MX-94 RAL 7040 VN-16KP</v>
          </cell>
          <cell r="E441" t="str">
            <v>ZFGD</v>
          </cell>
          <cell r="F441" t="str">
            <v>PC</v>
          </cell>
          <cell r="G441" t="str">
            <v>5</v>
          </cell>
          <cell r="H441" t="str">
            <v>PROJECT</v>
          </cell>
          <cell r="I441" t="str">
            <v>56</v>
          </cell>
          <cell r="J441" t="str">
            <v>CPC1</v>
          </cell>
          <cell r="K441" t="str">
            <v>5603</v>
          </cell>
          <cell r="L441" t="str">
            <v>MULTIPOX</v>
          </cell>
          <cell r="M441" t="str">
            <v>560301</v>
          </cell>
          <cell r="N441" t="str">
            <v>MULTIPOX</v>
          </cell>
        </row>
        <row r="442">
          <cell r="C442" t="str">
            <v>100001428</v>
          </cell>
          <cell r="D442" t="str">
            <v>MX-94 BLUE RAL 5015 VN-5KS</v>
          </cell>
          <cell r="E442" t="str">
            <v>ZFGD</v>
          </cell>
          <cell r="F442" t="str">
            <v>SET</v>
          </cell>
          <cell r="G442" t="str">
            <v>5</v>
          </cell>
          <cell r="H442" t="str">
            <v>PROJECT</v>
          </cell>
          <cell r="I442" t="str">
            <v>56</v>
          </cell>
          <cell r="J442" t="str">
            <v>CPC1</v>
          </cell>
          <cell r="K442" t="str">
            <v>5603</v>
          </cell>
          <cell r="L442" t="str">
            <v>MULTIPOX</v>
          </cell>
          <cell r="M442" t="str">
            <v>560301</v>
          </cell>
          <cell r="N442" t="str">
            <v>MULTIPOX</v>
          </cell>
        </row>
        <row r="443">
          <cell r="C443" t="str">
            <v>100001429</v>
          </cell>
          <cell r="D443" t="str">
            <v>MX-94 BLUE RAL 5015 VN-4K</v>
          </cell>
          <cell r="E443" t="str">
            <v>ZFGD</v>
          </cell>
          <cell r="F443" t="str">
            <v>PC</v>
          </cell>
          <cell r="G443" t="str">
            <v>5</v>
          </cell>
          <cell r="H443" t="str">
            <v>PROJECT</v>
          </cell>
          <cell r="I443" t="str">
            <v>56</v>
          </cell>
          <cell r="J443" t="str">
            <v>CPC1</v>
          </cell>
          <cell r="K443" t="str">
            <v>5603</v>
          </cell>
          <cell r="L443" t="str">
            <v>MULTIPOX</v>
          </cell>
          <cell r="M443" t="str">
            <v>560301</v>
          </cell>
          <cell r="N443" t="str">
            <v>MULTIPOX</v>
          </cell>
        </row>
        <row r="444">
          <cell r="C444" t="str">
            <v>100001430</v>
          </cell>
          <cell r="D444" t="str">
            <v>MX-94 BLUE RAL 5015 VN-20KSP</v>
          </cell>
          <cell r="E444" t="str">
            <v>ZFGD</v>
          </cell>
          <cell r="F444" t="str">
            <v>SET</v>
          </cell>
          <cell r="G444" t="str">
            <v>5</v>
          </cell>
          <cell r="H444" t="str">
            <v>PROJECT</v>
          </cell>
          <cell r="I444" t="str">
            <v>56</v>
          </cell>
          <cell r="J444" t="str">
            <v>CPC1</v>
          </cell>
          <cell r="K444" t="str">
            <v>5603</v>
          </cell>
          <cell r="L444" t="str">
            <v>MULTIPOX</v>
          </cell>
          <cell r="M444" t="str">
            <v>560301</v>
          </cell>
          <cell r="N444" t="str">
            <v>MULTIPOX</v>
          </cell>
        </row>
        <row r="445">
          <cell r="C445" t="str">
            <v>100001431</v>
          </cell>
          <cell r="D445" t="str">
            <v>MX-94 BLUE RAL 5015 VN-16KP</v>
          </cell>
          <cell r="E445" t="str">
            <v>ZFGD</v>
          </cell>
          <cell r="F445" t="str">
            <v>PC</v>
          </cell>
          <cell r="G445" t="str">
            <v>5</v>
          </cell>
          <cell r="H445" t="str">
            <v>PROJECT</v>
          </cell>
          <cell r="I445" t="str">
            <v>56</v>
          </cell>
          <cell r="J445" t="str">
            <v>CPC1</v>
          </cell>
          <cell r="K445" t="str">
            <v>5603</v>
          </cell>
          <cell r="L445" t="str">
            <v>MULTIPOX</v>
          </cell>
          <cell r="M445" t="str">
            <v>560301</v>
          </cell>
          <cell r="N445" t="str">
            <v>MULTIPOX</v>
          </cell>
        </row>
        <row r="446">
          <cell r="C446" t="str">
            <v>100001432</v>
          </cell>
          <cell r="D446" t="str">
            <v>MX-94 PUMPKIN TDC VN-5KS</v>
          </cell>
          <cell r="E446" t="str">
            <v>ZFGD</v>
          </cell>
          <cell r="F446" t="str">
            <v>SET</v>
          </cell>
          <cell r="G446" t="str">
            <v>5</v>
          </cell>
          <cell r="H446" t="str">
            <v>PROJECT</v>
          </cell>
          <cell r="I446" t="str">
            <v>56</v>
          </cell>
          <cell r="J446" t="str">
            <v>CPC1</v>
          </cell>
          <cell r="K446" t="str">
            <v>5603</v>
          </cell>
          <cell r="L446" t="str">
            <v>MULTIPOX</v>
          </cell>
          <cell r="M446" t="str">
            <v>560301</v>
          </cell>
          <cell r="N446" t="str">
            <v>MULTIPOX</v>
          </cell>
        </row>
        <row r="447">
          <cell r="C447" t="str">
            <v>100001433</v>
          </cell>
          <cell r="D447" t="str">
            <v>MX-94 PUMPKIN TDC VN-4K</v>
          </cell>
          <cell r="E447" t="str">
            <v>ZFGD</v>
          </cell>
          <cell r="F447" t="str">
            <v>PC</v>
          </cell>
          <cell r="G447" t="str">
            <v>5</v>
          </cell>
          <cell r="H447" t="str">
            <v>PROJECT</v>
          </cell>
          <cell r="I447" t="str">
            <v>56</v>
          </cell>
          <cell r="J447" t="str">
            <v>CPC1</v>
          </cell>
          <cell r="K447" t="str">
            <v>5603</v>
          </cell>
          <cell r="L447" t="str">
            <v>MULTIPOX</v>
          </cell>
          <cell r="M447" t="str">
            <v>560301</v>
          </cell>
          <cell r="N447" t="str">
            <v>MULTIPOX</v>
          </cell>
        </row>
        <row r="448">
          <cell r="C448" t="str">
            <v>100001434</v>
          </cell>
          <cell r="D448" t="str">
            <v>MX-94 PUMPKIN TDC VN-20KSP</v>
          </cell>
          <cell r="E448" t="str">
            <v>ZFGD</v>
          </cell>
          <cell r="F448" t="str">
            <v>SET</v>
          </cell>
          <cell r="G448" t="str">
            <v>5</v>
          </cell>
          <cell r="H448" t="str">
            <v>PROJECT</v>
          </cell>
          <cell r="I448" t="str">
            <v>56</v>
          </cell>
          <cell r="J448" t="str">
            <v>CPC1</v>
          </cell>
          <cell r="K448" t="str">
            <v>5603</v>
          </cell>
          <cell r="L448" t="str">
            <v>MULTIPOX</v>
          </cell>
          <cell r="M448" t="str">
            <v>560301</v>
          </cell>
          <cell r="N448" t="str">
            <v>MULTIPOX</v>
          </cell>
        </row>
        <row r="449">
          <cell r="C449" t="str">
            <v>100001435</v>
          </cell>
          <cell r="D449" t="str">
            <v>MX-94 PUMPKIN TDC VN-16KP</v>
          </cell>
          <cell r="E449" t="str">
            <v>ZFGD</v>
          </cell>
          <cell r="F449" t="str">
            <v>PC</v>
          </cell>
          <cell r="G449" t="str">
            <v>5</v>
          </cell>
          <cell r="H449" t="str">
            <v>PROJECT</v>
          </cell>
          <cell r="I449" t="str">
            <v>56</v>
          </cell>
          <cell r="J449" t="str">
            <v>CPC1</v>
          </cell>
          <cell r="K449" t="str">
            <v>5603</v>
          </cell>
          <cell r="L449" t="str">
            <v>MULTIPOX</v>
          </cell>
          <cell r="M449" t="str">
            <v>560301</v>
          </cell>
          <cell r="N449" t="str">
            <v>MULTIPOX</v>
          </cell>
        </row>
        <row r="450">
          <cell r="C450" t="str">
            <v>100001436</v>
          </cell>
          <cell r="D450" t="str">
            <v>MX-94 DARK GREEN TDC VN-5KS</v>
          </cell>
          <cell r="E450" t="str">
            <v>ZFGD</v>
          </cell>
          <cell r="F450" t="str">
            <v>SET</v>
          </cell>
          <cell r="G450" t="str">
            <v>5</v>
          </cell>
          <cell r="H450" t="str">
            <v>PROJECT</v>
          </cell>
          <cell r="I450" t="str">
            <v>56</v>
          </cell>
          <cell r="J450" t="str">
            <v>CPC1</v>
          </cell>
          <cell r="K450" t="str">
            <v>5603</v>
          </cell>
          <cell r="L450" t="str">
            <v>MULTIPOX</v>
          </cell>
          <cell r="M450" t="str">
            <v>560301</v>
          </cell>
          <cell r="N450" t="str">
            <v>MULTIPOX</v>
          </cell>
        </row>
        <row r="451">
          <cell r="C451" t="str">
            <v>100001437</v>
          </cell>
          <cell r="D451" t="str">
            <v>MX-94 DARK GREEN TDC VN-4K</v>
          </cell>
          <cell r="E451" t="str">
            <v>ZFGD</v>
          </cell>
          <cell r="F451" t="str">
            <v>PC</v>
          </cell>
          <cell r="G451" t="str">
            <v>5</v>
          </cell>
          <cell r="H451" t="str">
            <v>PROJECT</v>
          </cell>
          <cell r="I451" t="str">
            <v>56</v>
          </cell>
          <cell r="J451" t="str">
            <v>CPC1</v>
          </cell>
          <cell r="K451" t="str">
            <v>5603</v>
          </cell>
          <cell r="L451" t="str">
            <v>MULTIPOX</v>
          </cell>
          <cell r="M451" t="str">
            <v>560301</v>
          </cell>
          <cell r="N451" t="str">
            <v>MULTIPOX</v>
          </cell>
        </row>
        <row r="452">
          <cell r="C452" t="str">
            <v>100001438</v>
          </cell>
          <cell r="D452" t="str">
            <v>MX-94 DARK GREEN TDC VN-20KSP</v>
          </cell>
          <cell r="E452" t="str">
            <v>ZFGD</v>
          </cell>
          <cell r="F452" t="str">
            <v>SET</v>
          </cell>
          <cell r="G452" t="str">
            <v>5</v>
          </cell>
          <cell r="H452" t="str">
            <v>PROJECT</v>
          </cell>
          <cell r="I452" t="str">
            <v>56</v>
          </cell>
          <cell r="J452" t="str">
            <v>CPC1</v>
          </cell>
          <cell r="K452" t="str">
            <v>5603</v>
          </cell>
          <cell r="L452" t="str">
            <v>MULTIPOX</v>
          </cell>
          <cell r="M452" t="str">
            <v>560301</v>
          </cell>
          <cell r="N452" t="str">
            <v>MULTIPOX</v>
          </cell>
        </row>
        <row r="453">
          <cell r="C453" t="str">
            <v>100001439</v>
          </cell>
          <cell r="D453" t="str">
            <v>MX-94 DARK GREEN TDC VN-16KP</v>
          </cell>
          <cell r="E453" t="str">
            <v>ZFGD</v>
          </cell>
          <cell r="F453" t="str">
            <v>PC</v>
          </cell>
          <cell r="G453" t="str">
            <v>5</v>
          </cell>
          <cell r="H453" t="str">
            <v>PROJECT</v>
          </cell>
          <cell r="I453" t="str">
            <v>56</v>
          </cell>
          <cell r="J453" t="str">
            <v>CPC1</v>
          </cell>
          <cell r="K453" t="str">
            <v>5603</v>
          </cell>
          <cell r="L453" t="str">
            <v>MULTIPOX</v>
          </cell>
          <cell r="M453" t="str">
            <v>560301</v>
          </cell>
          <cell r="N453" t="str">
            <v>MULTIPOX</v>
          </cell>
        </row>
        <row r="454">
          <cell r="C454" t="str">
            <v>100001440</v>
          </cell>
          <cell r="D454" t="str">
            <v>MX-94 VC YELLOW VN-5KS</v>
          </cell>
          <cell r="E454" t="str">
            <v>ZFGD</v>
          </cell>
          <cell r="F454" t="str">
            <v>SET</v>
          </cell>
          <cell r="G454" t="str">
            <v>5</v>
          </cell>
          <cell r="H454" t="str">
            <v>PROJECT</v>
          </cell>
          <cell r="I454" t="str">
            <v>56</v>
          </cell>
          <cell r="J454" t="str">
            <v>CPC1</v>
          </cell>
          <cell r="K454" t="str">
            <v>5603</v>
          </cell>
          <cell r="L454" t="str">
            <v>MULTIPOX</v>
          </cell>
          <cell r="M454" t="str">
            <v>560301</v>
          </cell>
          <cell r="N454" t="str">
            <v>MULTIPOX</v>
          </cell>
        </row>
        <row r="455">
          <cell r="C455" t="str">
            <v>100001441</v>
          </cell>
          <cell r="D455" t="str">
            <v>MX-94 VC YELLOW VN-4K</v>
          </cell>
          <cell r="E455" t="str">
            <v>ZFGD</v>
          </cell>
          <cell r="F455" t="str">
            <v>PC</v>
          </cell>
          <cell r="G455" t="str">
            <v>5</v>
          </cell>
          <cell r="H455" t="str">
            <v>PROJECT</v>
          </cell>
          <cell r="I455" t="str">
            <v>56</v>
          </cell>
          <cell r="J455" t="str">
            <v>CPC1</v>
          </cell>
          <cell r="K455" t="str">
            <v>5603</v>
          </cell>
          <cell r="L455" t="str">
            <v>MULTIPOX</v>
          </cell>
          <cell r="M455" t="str">
            <v>560301</v>
          </cell>
          <cell r="N455" t="str">
            <v>MULTIPOX</v>
          </cell>
        </row>
        <row r="456">
          <cell r="C456" t="str">
            <v>100001442</v>
          </cell>
          <cell r="D456" t="str">
            <v>MX-94 VC YELLOW VN-20KSP</v>
          </cell>
          <cell r="E456" t="str">
            <v>ZFGD</v>
          </cell>
          <cell r="F456" t="str">
            <v>SET</v>
          </cell>
          <cell r="G456" t="str">
            <v>5</v>
          </cell>
          <cell r="H456" t="str">
            <v>PROJECT</v>
          </cell>
          <cell r="I456" t="str">
            <v>56</v>
          </cell>
          <cell r="J456" t="str">
            <v>CPC1</v>
          </cell>
          <cell r="K456" t="str">
            <v>5603</v>
          </cell>
          <cell r="L456" t="str">
            <v>MULTIPOX</v>
          </cell>
          <cell r="M456" t="str">
            <v>560301</v>
          </cell>
          <cell r="N456" t="str">
            <v>MULTIPOX</v>
          </cell>
        </row>
        <row r="457">
          <cell r="C457" t="str">
            <v>100001443</v>
          </cell>
          <cell r="D457" t="str">
            <v>MX-94 VC YELLOW VN-16KP</v>
          </cell>
          <cell r="E457" t="str">
            <v>ZFGD</v>
          </cell>
          <cell r="F457" t="str">
            <v>PC</v>
          </cell>
          <cell r="G457" t="str">
            <v>5</v>
          </cell>
          <cell r="H457" t="str">
            <v>PROJECT</v>
          </cell>
          <cell r="I457" t="str">
            <v>56</v>
          </cell>
          <cell r="J457" t="str">
            <v>CPC1</v>
          </cell>
          <cell r="K457" t="str">
            <v>5603</v>
          </cell>
          <cell r="L457" t="str">
            <v>MULTIPOX</v>
          </cell>
          <cell r="M457" t="str">
            <v>560301</v>
          </cell>
          <cell r="N457" t="str">
            <v>MULTIPOX</v>
          </cell>
        </row>
        <row r="458">
          <cell r="C458" t="str">
            <v>100001444</v>
          </cell>
          <cell r="D458" t="str">
            <v>MX-94 RAL 1023 VN-5KS</v>
          </cell>
          <cell r="E458" t="str">
            <v>ZFGD</v>
          </cell>
          <cell r="F458" t="str">
            <v>SET</v>
          </cell>
          <cell r="G458" t="str">
            <v>5</v>
          </cell>
          <cell r="H458" t="str">
            <v>PROJECT</v>
          </cell>
          <cell r="I458" t="str">
            <v>56</v>
          </cell>
          <cell r="J458" t="str">
            <v>CPC1</v>
          </cell>
          <cell r="K458" t="str">
            <v>5603</v>
          </cell>
          <cell r="L458" t="str">
            <v>MULTIPOX</v>
          </cell>
          <cell r="M458" t="str">
            <v>560301</v>
          </cell>
          <cell r="N458" t="str">
            <v>MULTIPOX</v>
          </cell>
        </row>
        <row r="459">
          <cell r="C459" t="str">
            <v>100001445</v>
          </cell>
          <cell r="D459" t="str">
            <v>MX-94 RAL 1023 VN-4K</v>
          </cell>
          <cell r="E459" t="str">
            <v>ZFGD</v>
          </cell>
          <cell r="F459" t="str">
            <v>PC</v>
          </cell>
          <cell r="G459" t="str">
            <v>5</v>
          </cell>
          <cell r="H459" t="str">
            <v>PROJECT</v>
          </cell>
          <cell r="I459" t="str">
            <v>56</v>
          </cell>
          <cell r="J459" t="str">
            <v>CPC1</v>
          </cell>
          <cell r="K459" t="str">
            <v>5603</v>
          </cell>
          <cell r="L459" t="str">
            <v>MULTIPOX</v>
          </cell>
          <cell r="M459" t="str">
            <v>560301</v>
          </cell>
          <cell r="N459" t="str">
            <v>MULTIPOX</v>
          </cell>
        </row>
        <row r="460">
          <cell r="C460" t="str">
            <v>100001446</v>
          </cell>
          <cell r="D460" t="str">
            <v>MX-94 RAL 1023 VN-20KSP</v>
          </cell>
          <cell r="E460" t="str">
            <v>ZFGD</v>
          </cell>
          <cell r="F460" t="str">
            <v>SET</v>
          </cell>
          <cell r="G460" t="str">
            <v>5</v>
          </cell>
          <cell r="H460" t="str">
            <v>PROJECT</v>
          </cell>
          <cell r="I460" t="str">
            <v>56</v>
          </cell>
          <cell r="J460" t="str">
            <v>CPC1</v>
          </cell>
          <cell r="K460" t="str">
            <v>5603</v>
          </cell>
          <cell r="L460" t="str">
            <v>MULTIPOX</v>
          </cell>
          <cell r="M460" t="str">
            <v>560301</v>
          </cell>
          <cell r="N460" t="str">
            <v>MULTIPOX</v>
          </cell>
        </row>
        <row r="461">
          <cell r="C461" t="str">
            <v>100001447</v>
          </cell>
          <cell r="D461" t="str">
            <v>MX-94 RAL 1023 VN-16KP</v>
          </cell>
          <cell r="E461" t="str">
            <v>ZFGD</v>
          </cell>
          <cell r="F461" t="str">
            <v>PC</v>
          </cell>
          <cell r="G461" t="str">
            <v>5</v>
          </cell>
          <cell r="H461" t="str">
            <v>PROJECT</v>
          </cell>
          <cell r="I461" t="str">
            <v>56</v>
          </cell>
          <cell r="J461" t="str">
            <v>CPC1</v>
          </cell>
          <cell r="K461" t="str">
            <v>5603</v>
          </cell>
          <cell r="L461" t="str">
            <v>MULTIPOX</v>
          </cell>
          <cell r="M461" t="str">
            <v>560301</v>
          </cell>
          <cell r="N461" t="str">
            <v>MULTIPOX</v>
          </cell>
        </row>
        <row r="462">
          <cell r="C462" t="str">
            <v>100001448</v>
          </cell>
          <cell r="D462" t="str">
            <v>MX-94 RAL 7042 VN-5KS</v>
          </cell>
          <cell r="E462" t="str">
            <v>ZFGD</v>
          </cell>
          <cell r="F462" t="str">
            <v>SET</v>
          </cell>
          <cell r="G462" t="str">
            <v>5</v>
          </cell>
          <cell r="H462" t="str">
            <v>PROJECT</v>
          </cell>
          <cell r="I462" t="str">
            <v>56</v>
          </cell>
          <cell r="J462" t="str">
            <v>CPC1</v>
          </cell>
          <cell r="K462" t="str">
            <v>5603</v>
          </cell>
          <cell r="L462" t="str">
            <v>MULTIPOX</v>
          </cell>
          <cell r="M462" t="str">
            <v>560301</v>
          </cell>
          <cell r="N462" t="str">
            <v>MULTIPOX</v>
          </cell>
        </row>
        <row r="463">
          <cell r="C463" t="str">
            <v>100001449</v>
          </cell>
          <cell r="D463" t="str">
            <v>MX-94 RAL 7042 VN-4K</v>
          </cell>
          <cell r="E463" t="str">
            <v>ZFGD</v>
          </cell>
          <cell r="F463" t="str">
            <v>PC</v>
          </cell>
          <cell r="G463" t="str">
            <v>5</v>
          </cell>
          <cell r="H463" t="str">
            <v>PROJECT</v>
          </cell>
          <cell r="I463" t="str">
            <v>56</v>
          </cell>
          <cell r="J463" t="str">
            <v>CPC1</v>
          </cell>
          <cell r="K463" t="str">
            <v>5603</v>
          </cell>
          <cell r="L463" t="str">
            <v>MULTIPOX</v>
          </cell>
          <cell r="M463" t="str">
            <v>560301</v>
          </cell>
          <cell r="N463" t="str">
            <v>MULTIPOX</v>
          </cell>
        </row>
        <row r="464">
          <cell r="C464" t="str">
            <v>100001450</v>
          </cell>
          <cell r="D464" t="str">
            <v>MX-94 RAL 7042 VN-20KSP</v>
          </cell>
          <cell r="E464" t="str">
            <v>ZFGD</v>
          </cell>
          <cell r="F464" t="str">
            <v>SET</v>
          </cell>
          <cell r="G464" t="str">
            <v>5</v>
          </cell>
          <cell r="H464" t="str">
            <v>PROJECT</v>
          </cell>
          <cell r="I464" t="str">
            <v>56</v>
          </cell>
          <cell r="J464" t="str">
            <v>CPC1</v>
          </cell>
          <cell r="K464" t="str">
            <v>5603</v>
          </cell>
          <cell r="L464" t="str">
            <v>MULTIPOX</v>
          </cell>
          <cell r="M464" t="str">
            <v>560301</v>
          </cell>
          <cell r="N464" t="str">
            <v>MULTIPOX</v>
          </cell>
        </row>
        <row r="465">
          <cell r="C465" t="str">
            <v>100001451</v>
          </cell>
          <cell r="D465" t="str">
            <v>MX-94 RAL 7042 VN-16KP</v>
          </cell>
          <cell r="E465" t="str">
            <v>ZFGD</v>
          </cell>
          <cell r="F465" t="str">
            <v>PC</v>
          </cell>
          <cell r="G465" t="str">
            <v>5</v>
          </cell>
          <cell r="H465" t="str">
            <v>PROJECT</v>
          </cell>
          <cell r="I465" t="str">
            <v>56</v>
          </cell>
          <cell r="J465" t="str">
            <v>CPC1</v>
          </cell>
          <cell r="K465" t="str">
            <v>5603</v>
          </cell>
          <cell r="L465" t="str">
            <v>MULTIPOX</v>
          </cell>
          <cell r="M465" t="str">
            <v>560301</v>
          </cell>
          <cell r="N465" t="str">
            <v>MULTIPOX</v>
          </cell>
        </row>
        <row r="466">
          <cell r="C466" t="str">
            <v>100001452</v>
          </cell>
          <cell r="D466" t="str">
            <v>MX-94 RAL 6001 VN-5KS</v>
          </cell>
          <cell r="E466" t="str">
            <v>ZFGD</v>
          </cell>
          <cell r="F466" t="str">
            <v>SET</v>
          </cell>
          <cell r="G466" t="str">
            <v>5</v>
          </cell>
          <cell r="H466" t="str">
            <v>PROJECT</v>
          </cell>
          <cell r="I466" t="str">
            <v>56</v>
          </cell>
          <cell r="J466" t="str">
            <v>CPC1</v>
          </cell>
          <cell r="K466" t="str">
            <v>5603</v>
          </cell>
          <cell r="L466" t="str">
            <v>MULTIPOX</v>
          </cell>
          <cell r="M466" t="str">
            <v>560301</v>
          </cell>
          <cell r="N466" t="str">
            <v>MULTIPOX</v>
          </cell>
        </row>
        <row r="467">
          <cell r="C467" t="str">
            <v>100001453</v>
          </cell>
          <cell r="D467" t="str">
            <v>MX-94 RAL 6001 VN-4K</v>
          </cell>
          <cell r="E467" t="str">
            <v>ZFGD</v>
          </cell>
          <cell r="F467" t="str">
            <v>PC</v>
          </cell>
          <cell r="G467" t="str">
            <v>5</v>
          </cell>
          <cell r="H467" t="str">
            <v>PROJECT</v>
          </cell>
          <cell r="I467" t="str">
            <v>56</v>
          </cell>
          <cell r="J467" t="str">
            <v>CPC1</v>
          </cell>
          <cell r="K467" t="str">
            <v>5603</v>
          </cell>
          <cell r="L467" t="str">
            <v>MULTIPOX</v>
          </cell>
          <cell r="M467" t="str">
            <v>560301</v>
          </cell>
          <cell r="N467" t="str">
            <v>MULTIPOX</v>
          </cell>
        </row>
        <row r="468">
          <cell r="C468" t="str">
            <v>100001454</v>
          </cell>
          <cell r="D468" t="str">
            <v>MX-94 RAL 6001 VN-20KSP</v>
          </cell>
          <cell r="E468" t="str">
            <v>ZFGD</v>
          </cell>
          <cell r="F468" t="str">
            <v>SET</v>
          </cell>
          <cell r="G468" t="str">
            <v>5</v>
          </cell>
          <cell r="H468" t="str">
            <v>PROJECT</v>
          </cell>
          <cell r="I468" t="str">
            <v>56</v>
          </cell>
          <cell r="J468" t="str">
            <v>CPC1</v>
          </cell>
          <cell r="K468" t="str">
            <v>5603</v>
          </cell>
          <cell r="L468" t="str">
            <v>MULTIPOX</v>
          </cell>
          <cell r="M468" t="str">
            <v>560301</v>
          </cell>
          <cell r="N468" t="str">
            <v>MULTIPOX</v>
          </cell>
        </row>
        <row r="469">
          <cell r="C469" t="str">
            <v>100001455</v>
          </cell>
          <cell r="D469" t="str">
            <v>MX-94 RAL 6001 VN-16KP</v>
          </cell>
          <cell r="E469" t="str">
            <v>ZFGD</v>
          </cell>
          <cell r="F469" t="str">
            <v>PC</v>
          </cell>
          <cell r="G469" t="str">
            <v>5</v>
          </cell>
          <cell r="H469" t="str">
            <v>PROJECT</v>
          </cell>
          <cell r="I469" t="str">
            <v>56</v>
          </cell>
          <cell r="J469" t="str">
            <v>CPC1</v>
          </cell>
          <cell r="K469" t="str">
            <v>5603</v>
          </cell>
          <cell r="L469" t="str">
            <v>MULTIPOX</v>
          </cell>
          <cell r="M469" t="str">
            <v>560301</v>
          </cell>
          <cell r="N469" t="str">
            <v>MULTIPOX</v>
          </cell>
        </row>
        <row r="470">
          <cell r="C470" t="str">
            <v>100001456</v>
          </cell>
          <cell r="D470" t="str">
            <v>MX-94 AVOCADO VN-5KS</v>
          </cell>
          <cell r="E470" t="str">
            <v>ZFGD</v>
          </cell>
          <cell r="F470" t="str">
            <v>SET</v>
          </cell>
          <cell r="G470" t="str">
            <v>5</v>
          </cell>
          <cell r="H470" t="str">
            <v>PROJECT</v>
          </cell>
          <cell r="I470" t="str">
            <v>56</v>
          </cell>
          <cell r="J470" t="str">
            <v>CPC1</v>
          </cell>
          <cell r="K470" t="str">
            <v>5603</v>
          </cell>
          <cell r="L470" t="str">
            <v>MULTIPOX</v>
          </cell>
          <cell r="M470" t="str">
            <v>560301</v>
          </cell>
          <cell r="N470" t="str">
            <v>MULTIPOX</v>
          </cell>
        </row>
        <row r="471">
          <cell r="C471" t="str">
            <v>100001457</v>
          </cell>
          <cell r="D471" t="str">
            <v>MX-94 AVOCADO VN-4K</v>
          </cell>
          <cell r="E471" t="str">
            <v>ZFGD</v>
          </cell>
          <cell r="F471" t="str">
            <v>PC</v>
          </cell>
          <cell r="G471" t="str">
            <v>5</v>
          </cell>
          <cell r="H471" t="str">
            <v>PROJECT</v>
          </cell>
          <cell r="I471" t="str">
            <v>56</v>
          </cell>
          <cell r="J471" t="str">
            <v>CPC1</v>
          </cell>
          <cell r="K471" t="str">
            <v>5603</v>
          </cell>
          <cell r="L471" t="str">
            <v>MULTIPOX</v>
          </cell>
          <cell r="M471" t="str">
            <v>560301</v>
          </cell>
          <cell r="N471" t="str">
            <v>MULTIPOX</v>
          </cell>
        </row>
        <row r="472">
          <cell r="C472" t="str">
            <v>100001458</v>
          </cell>
          <cell r="D472" t="str">
            <v>MX-94 AVOCADO VN-20KSP</v>
          </cell>
          <cell r="E472" t="str">
            <v>ZFGD</v>
          </cell>
          <cell r="F472" t="str">
            <v>SET</v>
          </cell>
          <cell r="G472" t="str">
            <v>5</v>
          </cell>
          <cell r="H472" t="str">
            <v>PROJECT</v>
          </cell>
          <cell r="I472" t="str">
            <v>56</v>
          </cell>
          <cell r="J472" t="str">
            <v>CPC1</v>
          </cell>
          <cell r="K472" t="str">
            <v>5603</v>
          </cell>
          <cell r="L472" t="str">
            <v>MULTIPOX</v>
          </cell>
          <cell r="M472" t="str">
            <v>560301</v>
          </cell>
          <cell r="N472" t="str">
            <v>MULTIPOX</v>
          </cell>
        </row>
        <row r="473">
          <cell r="C473" t="str">
            <v>100001459</v>
          </cell>
          <cell r="D473" t="str">
            <v>MX-94 AVOCADO VN-16KP</v>
          </cell>
          <cell r="E473" t="str">
            <v>ZFGD</v>
          </cell>
          <cell r="F473" t="str">
            <v>PC</v>
          </cell>
          <cell r="G473" t="str">
            <v>5</v>
          </cell>
          <cell r="H473" t="str">
            <v>PROJECT</v>
          </cell>
          <cell r="I473" t="str">
            <v>56</v>
          </cell>
          <cell r="J473" t="str">
            <v>CPC1</v>
          </cell>
          <cell r="K473" t="str">
            <v>5603</v>
          </cell>
          <cell r="L473" t="str">
            <v>MULTIPOX</v>
          </cell>
          <cell r="M473" t="str">
            <v>560301</v>
          </cell>
          <cell r="N473" t="str">
            <v>MULTIPOX</v>
          </cell>
        </row>
        <row r="474">
          <cell r="C474" t="str">
            <v>100001460</v>
          </cell>
          <cell r="D474" t="str">
            <v>MX-99 BLACK VN-1KS</v>
          </cell>
          <cell r="E474" t="str">
            <v>ZFGD</v>
          </cell>
          <cell r="F474" t="str">
            <v>SET</v>
          </cell>
          <cell r="G474" t="str">
            <v>2</v>
          </cell>
          <cell r="H474" t="str">
            <v>RETAIL</v>
          </cell>
          <cell r="I474" t="str">
            <v>27</v>
          </cell>
          <cell r="J474" t="str">
            <v>CPC1</v>
          </cell>
          <cell r="K474" t="str">
            <v>2703</v>
          </cell>
          <cell r="L474" t="str">
            <v>MULTIPOX</v>
          </cell>
          <cell r="M474" t="str">
            <v>270302</v>
          </cell>
          <cell r="N474" t="str">
            <v>MULTIPOX BASE</v>
          </cell>
        </row>
        <row r="475">
          <cell r="C475" t="str">
            <v>100001461</v>
          </cell>
          <cell r="D475" t="str">
            <v>MX-99 BLACK VN-0.6K</v>
          </cell>
          <cell r="E475" t="str">
            <v>ZFGD</v>
          </cell>
          <cell r="F475" t="str">
            <v>PC</v>
          </cell>
          <cell r="G475" t="str">
            <v>2</v>
          </cell>
          <cell r="H475" t="str">
            <v>RETAIL</v>
          </cell>
          <cell r="I475" t="str">
            <v>27</v>
          </cell>
          <cell r="J475" t="str">
            <v>CPC1</v>
          </cell>
          <cell r="K475" t="str">
            <v>2703</v>
          </cell>
          <cell r="L475" t="str">
            <v>MULTIPOX</v>
          </cell>
          <cell r="M475" t="str">
            <v>270302</v>
          </cell>
          <cell r="N475" t="str">
            <v>MULTIPOX BASE</v>
          </cell>
        </row>
        <row r="476">
          <cell r="C476" t="str">
            <v>100001462</v>
          </cell>
          <cell r="D476" t="str">
            <v>MX-99 BLACK VN-4KS</v>
          </cell>
          <cell r="E476" t="str">
            <v>ZFGD</v>
          </cell>
          <cell r="F476" t="str">
            <v>SET</v>
          </cell>
          <cell r="G476" t="str">
            <v>2</v>
          </cell>
          <cell r="H476" t="str">
            <v>RETAIL</v>
          </cell>
          <cell r="I476" t="str">
            <v>27</v>
          </cell>
          <cell r="J476" t="str">
            <v>CPC1</v>
          </cell>
          <cell r="K476" t="str">
            <v>2703</v>
          </cell>
          <cell r="L476" t="str">
            <v>MULTIPOX</v>
          </cell>
          <cell r="M476" t="str">
            <v>270302</v>
          </cell>
          <cell r="N476" t="str">
            <v>MULTIPOX BASE</v>
          </cell>
        </row>
        <row r="477">
          <cell r="C477" t="str">
            <v>100001463</v>
          </cell>
          <cell r="D477" t="str">
            <v>MX-99 BLACK VN-3K</v>
          </cell>
          <cell r="E477" t="str">
            <v>ZFGD</v>
          </cell>
          <cell r="F477" t="str">
            <v>PC</v>
          </cell>
          <cell r="G477" t="str">
            <v>2</v>
          </cell>
          <cell r="H477" t="str">
            <v>RETAIL</v>
          </cell>
          <cell r="I477" t="str">
            <v>27</v>
          </cell>
          <cell r="J477" t="str">
            <v>CPC1</v>
          </cell>
          <cell r="K477" t="str">
            <v>2703</v>
          </cell>
          <cell r="L477" t="str">
            <v>MULTIPOX</v>
          </cell>
          <cell r="M477" t="str">
            <v>270302</v>
          </cell>
          <cell r="N477" t="str">
            <v>MULTIPOX BASE</v>
          </cell>
        </row>
        <row r="478">
          <cell r="C478" t="str">
            <v>100001464</v>
          </cell>
          <cell r="D478" t="str">
            <v>MX-99 BLACK VN-20KSP</v>
          </cell>
          <cell r="E478" t="str">
            <v>ZFGD</v>
          </cell>
          <cell r="F478" t="str">
            <v>SET</v>
          </cell>
          <cell r="G478" t="str">
            <v>2</v>
          </cell>
          <cell r="H478" t="str">
            <v>RETAIL</v>
          </cell>
          <cell r="I478" t="str">
            <v>27</v>
          </cell>
          <cell r="J478" t="str">
            <v>CPC1</v>
          </cell>
          <cell r="K478" t="str">
            <v>2703</v>
          </cell>
          <cell r="L478" t="str">
            <v>MULTIPOX</v>
          </cell>
          <cell r="M478" t="str">
            <v>270302</v>
          </cell>
          <cell r="N478" t="str">
            <v>MULTIPOX BASE</v>
          </cell>
        </row>
        <row r="479">
          <cell r="C479" t="str">
            <v>100001465</v>
          </cell>
          <cell r="D479" t="str">
            <v>MX-99 BLACK VN-15KP</v>
          </cell>
          <cell r="E479" t="str">
            <v>ZFGD</v>
          </cell>
          <cell r="F479" t="str">
            <v>PC</v>
          </cell>
          <cell r="G479" t="str">
            <v>2</v>
          </cell>
          <cell r="H479" t="str">
            <v>RETAIL</v>
          </cell>
          <cell r="I479" t="str">
            <v>27</v>
          </cell>
          <cell r="J479" t="str">
            <v>CPC1</v>
          </cell>
          <cell r="K479" t="str">
            <v>2703</v>
          </cell>
          <cell r="L479" t="str">
            <v>MULTIPOX</v>
          </cell>
          <cell r="M479" t="str">
            <v>270302</v>
          </cell>
          <cell r="N479" t="str">
            <v>MULTIPOX BASE</v>
          </cell>
        </row>
        <row r="480">
          <cell r="C480" t="str">
            <v>100001466</v>
          </cell>
          <cell r="D480" t="str">
            <v>MX-99 BLACK VN-30KSP</v>
          </cell>
          <cell r="E480" t="str">
            <v>ZFGD</v>
          </cell>
          <cell r="F480" t="str">
            <v>SET</v>
          </cell>
          <cell r="G480" t="str">
            <v>2</v>
          </cell>
          <cell r="H480" t="str">
            <v>RETAIL</v>
          </cell>
          <cell r="I480" t="str">
            <v>27</v>
          </cell>
          <cell r="J480" t="str">
            <v>CPC1</v>
          </cell>
          <cell r="K480" t="str">
            <v>2703</v>
          </cell>
          <cell r="L480" t="str">
            <v>MULTIPOX</v>
          </cell>
          <cell r="M480" t="str">
            <v>270302</v>
          </cell>
          <cell r="N480" t="str">
            <v>MULTIPOX BASE</v>
          </cell>
        </row>
        <row r="481">
          <cell r="C481" t="str">
            <v>100001467</v>
          </cell>
          <cell r="D481" t="str">
            <v>MX-99 BLACK VN-22.5KP</v>
          </cell>
          <cell r="E481" t="str">
            <v>ZFGD</v>
          </cell>
          <cell r="F481" t="str">
            <v>PC</v>
          </cell>
          <cell r="G481" t="str">
            <v>2</v>
          </cell>
          <cell r="H481" t="str">
            <v>RETAIL</v>
          </cell>
          <cell r="I481" t="str">
            <v>27</v>
          </cell>
          <cell r="J481" t="str">
            <v>CPC1</v>
          </cell>
          <cell r="K481" t="str">
            <v>2703</v>
          </cell>
          <cell r="L481" t="str">
            <v>MULTIPOX</v>
          </cell>
          <cell r="M481" t="str">
            <v>270302</v>
          </cell>
          <cell r="N481" t="str">
            <v>MULTIPOX BASE</v>
          </cell>
        </row>
        <row r="482">
          <cell r="C482" t="str">
            <v>100001468</v>
          </cell>
          <cell r="D482" t="str">
            <v>MX-99 GENTIAN BLUE VN-1KS</v>
          </cell>
          <cell r="E482" t="str">
            <v>ZFGD</v>
          </cell>
          <cell r="F482" t="str">
            <v>SET</v>
          </cell>
          <cell r="G482" t="str">
            <v>2</v>
          </cell>
          <cell r="H482" t="str">
            <v>RETAIL</v>
          </cell>
          <cell r="I482" t="str">
            <v>27</v>
          </cell>
          <cell r="J482" t="str">
            <v>CPC1</v>
          </cell>
          <cell r="K482" t="str">
            <v>2703</v>
          </cell>
          <cell r="L482" t="str">
            <v>MULTIPOX</v>
          </cell>
          <cell r="M482" t="str">
            <v>270302</v>
          </cell>
          <cell r="N482" t="str">
            <v>MULTIPOX BASE</v>
          </cell>
        </row>
        <row r="483">
          <cell r="C483" t="str">
            <v>100001469</v>
          </cell>
          <cell r="D483" t="str">
            <v>MX-99 GENTIAN BLUE VN-0.6K</v>
          </cell>
          <cell r="E483" t="str">
            <v>ZFGD</v>
          </cell>
          <cell r="F483" t="str">
            <v>PC</v>
          </cell>
          <cell r="G483" t="str">
            <v>2</v>
          </cell>
          <cell r="H483" t="str">
            <v>RETAIL</v>
          </cell>
          <cell r="I483" t="str">
            <v>27</v>
          </cell>
          <cell r="J483" t="str">
            <v>CPC1</v>
          </cell>
          <cell r="K483" t="str">
            <v>2703</v>
          </cell>
          <cell r="L483" t="str">
            <v>MULTIPOX</v>
          </cell>
          <cell r="M483" t="str">
            <v>270302</v>
          </cell>
          <cell r="N483" t="str">
            <v>MULTIPOX BASE</v>
          </cell>
        </row>
        <row r="484">
          <cell r="C484" t="str">
            <v>100001470</v>
          </cell>
          <cell r="D484" t="str">
            <v>MX-99 GENTIAN BLUE VN-4KS</v>
          </cell>
          <cell r="E484" t="str">
            <v>ZFGD</v>
          </cell>
          <cell r="F484" t="str">
            <v>SET</v>
          </cell>
          <cell r="G484" t="str">
            <v>2</v>
          </cell>
          <cell r="H484" t="str">
            <v>RETAIL</v>
          </cell>
          <cell r="I484" t="str">
            <v>27</v>
          </cell>
          <cell r="J484" t="str">
            <v>CPC1</v>
          </cell>
          <cell r="K484" t="str">
            <v>2703</v>
          </cell>
          <cell r="L484" t="str">
            <v>MULTIPOX</v>
          </cell>
          <cell r="M484" t="str">
            <v>270302</v>
          </cell>
          <cell r="N484" t="str">
            <v>MULTIPOX BASE</v>
          </cell>
        </row>
        <row r="485">
          <cell r="C485" t="str">
            <v>100001471</v>
          </cell>
          <cell r="D485" t="str">
            <v>MX-99 GENTIAN BLUE VN-3K</v>
          </cell>
          <cell r="E485" t="str">
            <v>ZFGD</v>
          </cell>
          <cell r="F485" t="str">
            <v>PC</v>
          </cell>
          <cell r="G485" t="str">
            <v>2</v>
          </cell>
          <cell r="H485" t="str">
            <v>RETAIL</v>
          </cell>
          <cell r="I485" t="str">
            <v>27</v>
          </cell>
          <cell r="J485" t="str">
            <v>CPC1</v>
          </cell>
          <cell r="K485" t="str">
            <v>2703</v>
          </cell>
          <cell r="L485" t="str">
            <v>MULTIPOX</v>
          </cell>
          <cell r="M485" t="str">
            <v>270302</v>
          </cell>
          <cell r="N485" t="str">
            <v>MULTIPOX BASE</v>
          </cell>
        </row>
        <row r="486">
          <cell r="C486" t="str">
            <v>100001472</v>
          </cell>
          <cell r="D486" t="str">
            <v>MX-99 GENTIAN BLUE VN-20KSP</v>
          </cell>
          <cell r="E486" t="str">
            <v>ZFGD</v>
          </cell>
          <cell r="F486" t="str">
            <v>SET</v>
          </cell>
          <cell r="G486" t="str">
            <v>2</v>
          </cell>
          <cell r="H486" t="str">
            <v>RETAIL</v>
          </cell>
          <cell r="I486" t="str">
            <v>27</v>
          </cell>
          <cell r="J486" t="str">
            <v>CPC1</v>
          </cell>
          <cell r="K486" t="str">
            <v>2703</v>
          </cell>
          <cell r="L486" t="str">
            <v>MULTIPOX</v>
          </cell>
          <cell r="M486" t="str">
            <v>270302</v>
          </cell>
          <cell r="N486" t="str">
            <v>MULTIPOX BASE</v>
          </cell>
        </row>
        <row r="487">
          <cell r="C487" t="str">
            <v>100001473</v>
          </cell>
          <cell r="D487" t="str">
            <v>MX-99 GENTIAN BLUE VN-15KP</v>
          </cell>
          <cell r="E487" t="str">
            <v>ZFGD</v>
          </cell>
          <cell r="F487" t="str">
            <v>PC</v>
          </cell>
          <cell r="G487" t="str">
            <v>2</v>
          </cell>
          <cell r="H487" t="str">
            <v>RETAIL</v>
          </cell>
          <cell r="I487" t="str">
            <v>27</v>
          </cell>
          <cell r="J487" t="str">
            <v>CPC1</v>
          </cell>
          <cell r="K487" t="str">
            <v>2703</v>
          </cell>
          <cell r="L487" t="str">
            <v>MULTIPOX</v>
          </cell>
          <cell r="M487" t="str">
            <v>270302</v>
          </cell>
          <cell r="N487" t="str">
            <v>MULTIPOX BASE</v>
          </cell>
        </row>
        <row r="488">
          <cell r="C488" t="str">
            <v>100001474</v>
          </cell>
          <cell r="D488" t="str">
            <v>MX-99 GENTIAN BLUE VN-30KSP</v>
          </cell>
          <cell r="E488" t="str">
            <v>ZFGD</v>
          </cell>
          <cell r="F488" t="str">
            <v>SET</v>
          </cell>
          <cell r="G488" t="str">
            <v>2</v>
          </cell>
          <cell r="H488" t="str">
            <v>RETAIL</v>
          </cell>
          <cell r="I488" t="str">
            <v>27</v>
          </cell>
          <cell r="J488" t="str">
            <v>CPC1</v>
          </cell>
          <cell r="K488" t="str">
            <v>2703</v>
          </cell>
          <cell r="L488" t="str">
            <v>MULTIPOX</v>
          </cell>
          <cell r="M488" t="str">
            <v>270302</v>
          </cell>
          <cell r="N488" t="str">
            <v>MULTIPOX BASE</v>
          </cell>
        </row>
        <row r="489">
          <cell r="C489" t="str">
            <v>100001475</v>
          </cell>
          <cell r="D489" t="str">
            <v>MX-99 GENTIAN BLUE VN-22.5KP</v>
          </cell>
          <cell r="E489" t="str">
            <v>ZFGD</v>
          </cell>
          <cell r="F489" t="str">
            <v>PC</v>
          </cell>
          <cell r="G489" t="str">
            <v>2</v>
          </cell>
          <cell r="H489" t="str">
            <v>RETAIL</v>
          </cell>
          <cell r="I489" t="str">
            <v>27</v>
          </cell>
          <cell r="J489" t="str">
            <v>CPC1</v>
          </cell>
          <cell r="K489" t="str">
            <v>2703</v>
          </cell>
          <cell r="L489" t="str">
            <v>MULTIPOX</v>
          </cell>
          <cell r="M489" t="str">
            <v>270302</v>
          </cell>
          <cell r="N489" t="str">
            <v>MULTIPOX BASE</v>
          </cell>
        </row>
        <row r="490">
          <cell r="C490" t="str">
            <v>100001476</v>
          </cell>
          <cell r="D490" t="str">
            <v>MX-99 IVORY VN-1KS</v>
          </cell>
          <cell r="E490" t="str">
            <v>ZFGD</v>
          </cell>
          <cell r="F490" t="str">
            <v>SET</v>
          </cell>
          <cell r="G490" t="str">
            <v>2</v>
          </cell>
          <cell r="H490" t="str">
            <v>RETAIL</v>
          </cell>
          <cell r="I490" t="str">
            <v>27</v>
          </cell>
          <cell r="J490" t="str">
            <v>CPC1</v>
          </cell>
          <cell r="K490" t="str">
            <v>2703</v>
          </cell>
          <cell r="L490" t="str">
            <v>MULTIPOX</v>
          </cell>
          <cell r="M490" t="str">
            <v>270302</v>
          </cell>
          <cell r="N490" t="str">
            <v>MULTIPOX BASE</v>
          </cell>
        </row>
        <row r="491">
          <cell r="C491" t="str">
            <v>100001477</v>
          </cell>
          <cell r="D491" t="str">
            <v>MX-99 IVORY VN-0.6K</v>
          </cell>
          <cell r="E491" t="str">
            <v>ZFGD</v>
          </cell>
          <cell r="F491" t="str">
            <v>PC</v>
          </cell>
          <cell r="G491" t="str">
            <v>2</v>
          </cell>
          <cell r="H491" t="str">
            <v>RETAIL</v>
          </cell>
          <cell r="I491" t="str">
            <v>27</v>
          </cell>
          <cell r="J491" t="str">
            <v>CPC1</v>
          </cell>
          <cell r="K491" t="str">
            <v>2703</v>
          </cell>
          <cell r="L491" t="str">
            <v>MULTIPOX</v>
          </cell>
          <cell r="M491" t="str">
            <v>270302</v>
          </cell>
          <cell r="N491" t="str">
            <v>MULTIPOX BASE</v>
          </cell>
        </row>
        <row r="492">
          <cell r="C492" t="str">
            <v>100001478</v>
          </cell>
          <cell r="D492" t="str">
            <v>MX-99 IVORY VN-4KS</v>
          </cell>
          <cell r="E492" t="str">
            <v>ZFGD</v>
          </cell>
          <cell r="F492" t="str">
            <v>SET</v>
          </cell>
          <cell r="G492" t="str">
            <v>2</v>
          </cell>
          <cell r="H492" t="str">
            <v>RETAIL</v>
          </cell>
          <cell r="I492" t="str">
            <v>27</v>
          </cell>
          <cell r="J492" t="str">
            <v>CPC1</v>
          </cell>
          <cell r="K492" t="str">
            <v>2703</v>
          </cell>
          <cell r="L492" t="str">
            <v>MULTIPOX</v>
          </cell>
          <cell r="M492" t="str">
            <v>270302</v>
          </cell>
          <cell r="N492" t="str">
            <v>MULTIPOX BASE</v>
          </cell>
        </row>
        <row r="493">
          <cell r="C493" t="str">
            <v>100001479</v>
          </cell>
          <cell r="D493" t="str">
            <v>MX-99 IVORY VN-3K</v>
          </cell>
          <cell r="E493" t="str">
            <v>ZFGD</v>
          </cell>
          <cell r="F493" t="str">
            <v>PC</v>
          </cell>
          <cell r="G493" t="str">
            <v>2</v>
          </cell>
          <cell r="H493" t="str">
            <v>RETAIL</v>
          </cell>
          <cell r="I493" t="str">
            <v>27</v>
          </cell>
          <cell r="J493" t="str">
            <v>CPC1</v>
          </cell>
          <cell r="K493" t="str">
            <v>2703</v>
          </cell>
          <cell r="L493" t="str">
            <v>MULTIPOX</v>
          </cell>
          <cell r="M493" t="str">
            <v>270302</v>
          </cell>
          <cell r="N493" t="str">
            <v>MULTIPOX BASE</v>
          </cell>
        </row>
        <row r="494">
          <cell r="C494" t="str">
            <v>100001480</v>
          </cell>
          <cell r="D494" t="str">
            <v>MX-99 IVORY VN-20KSP</v>
          </cell>
          <cell r="E494" t="str">
            <v>ZFGD</v>
          </cell>
          <cell r="F494" t="str">
            <v>SET</v>
          </cell>
          <cell r="G494" t="str">
            <v>2</v>
          </cell>
          <cell r="H494" t="str">
            <v>RETAIL</v>
          </cell>
          <cell r="I494" t="str">
            <v>27</v>
          </cell>
          <cell r="J494" t="str">
            <v>CPC1</v>
          </cell>
          <cell r="K494" t="str">
            <v>2703</v>
          </cell>
          <cell r="L494" t="str">
            <v>MULTIPOX</v>
          </cell>
          <cell r="M494" t="str">
            <v>270302</v>
          </cell>
          <cell r="N494" t="str">
            <v>MULTIPOX BASE</v>
          </cell>
        </row>
        <row r="495">
          <cell r="C495" t="str">
            <v>100001481</v>
          </cell>
          <cell r="D495" t="str">
            <v>MX-99 IVORY VN-15KP</v>
          </cell>
          <cell r="E495" t="str">
            <v>ZFGD</v>
          </cell>
          <cell r="F495" t="str">
            <v>PC</v>
          </cell>
          <cell r="G495" t="str">
            <v>2</v>
          </cell>
          <cell r="H495" t="str">
            <v>RETAIL</v>
          </cell>
          <cell r="I495" t="str">
            <v>27</v>
          </cell>
          <cell r="J495" t="str">
            <v>CPC1</v>
          </cell>
          <cell r="K495" t="str">
            <v>2703</v>
          </cell>
          <cell r="L495" t="str">
            <v>MULTIPOX</v>
          </cell>
          <cell r="M495" t="str">
            <v>270302</v>
          </cell>
          <cell r="N495" t="str">
            <v>MULTIPOX BASE</v>
          </cell>
        </row>
        <row r="496">
          <cell r="C496" t="str">
            <v>100001482</v>
          </cell>
          <cell r="D496" t="str">
            <v>MX-99 IVORY VN-30KSP</v>
          </cell>
          <cell r="E496" t="str">
            <v>ZFGD</v>
          </cell>
          <cell r="F496" t="str">
            <v>SET</v>
          </cell>
          <cell r="G496" t="str">
            <v>2</v>
          </cell>
          <cell r="H496" t="str">
            <v>RETAIL</v>
          </cell>
          <cell r="I496" t="str">
            <v>27</v>
          </cell>
          <cell r="J496" t="str">
            <v>CPC1</v>
          </cell>
          <cell r="K496" t="str">
            <v>2703</v>
          </cell>
          <cell r="L496" t="str">
            <v>MULTIPOX</v>
          </cell>
          <cell r="M496" t="str">
            <v>270302</v>
          </cell>
          <cell r="N496" t="str">
            <v>MULTIPOX BASE</v>
          </cell>
        </row>
        <row r="497">
          <cell r="C497" t="str">
            <v>100001483</v>
          </cell>
          <cell r="D497" t="str">
            <v>MX-99 IVORY VN-22.5KP</v>
          </cell>
          <cell r="E497" t="str">
            <v>ZFGD</v>
          </cell>
          <cell r="F497" t="str">
            <v>PC</v>
          </cell>
          <cell r="G497" t="str">
            <v>2</v>
          </cell>
          <cell r="H497" t="str">
            <v>RETAIL</v>
          </cell>
          <cell r="I497" t="str">
            <v>27</v>
          </cell>
          <cell r="J497" t="str">
            <v>CPC1</v>
          </cell>
          <cell r="K497" t="str">
            <v>2703</v>
          </cell>
          <cell r="L497" t="str">
            <v>MULTIPOX</v>
          </cell>
          <cell r="M497" t="str">
            <v>270302</v>
          </cell>
          <cell r="N497" t="str">
            <v>MULTIPOX BASE</v>
          </cell>
        </row>
        <row r="498">
          <cell r="C498" t="str">
            <v>100001484</v>
          </cell>
          <cell r="D498" t="str">
            <v>MX-99 LEAF GREEN VN-1KS</v>
          </cell>
          <cell r="E498" t="str">
            <v>ZFGD</v>
          </cell>
          <cell r="F498" t="str">
            <v>SET</v>
          </cell>
          <cell r="G498" t="str">
            <v>2</v>
          </cell>
          <cell r="H498" t="str">
            <v>RETAIL</v>
          </cell>
          <cell r="I498" t="str">
            <v>27</v>
          </cell>
          <cell r="J498" t="str">
            <v>CPC1</v>
          </cell>
          <cell r="K498" t="str">
            <v>2703</v>
          </cell>
          <cell r="L498" t="str">
            <v>MULTIPOX</v>
          </cell>
          <cell r="M498" t="str">
            <v>270302</v>
          </cell>
          <cell r="N498" t="str">
            <v>MULTIPOX BASE</v>
          </cell>
        </row>
        <row r="499">
          <cell r="C499" t="str">
            <v>100001485</v>
          </cell>
          <cell r="D499" t="str">
            <v>MX-99 LEAF GREEN VN-0.6K</v>
          </cell>
          <cell r="E499" t="str">
            <v>ZFGD</v>
          </cell>
          <cell r="F499" t="str">
            <v>PC</v>
          </cell>
          <cell r="G499" t="str">
            <v>2</v>
          </cell>
          <cell r="H499" t="str">
            <v>RETAIL</v>
          </cell>
          <cell r="I499" t="str">
            <v>27</v>
          </cell>
          <cell r="J499" t="str">
            <v>CPC1</v>
          </cell>
          <cell r="K499" t="str">
            <v>2703</v>
          </cell>
          <cell r="L499" t="str">
            <v>MULTIPOX</v>
          </cell>
          <cell r="M499" t="str">
            <v>270302</v>
          </cell>
          <cell r="N499" t="str">
            <v>MULTIPOX BASE</v>
          </cell>
        </row>
        <row r="500">
          <cell r="C500" t="str">
            <v>100001486</v>
          </cell>
          <cell r="D500" t="str">
            <v>MX-99 LEAF GREEN VN-4KS</v>
          </cell>
          <cell r="E500" t="str">
            <v>ZFGD</v>
          </cell>
          <cell r="F500" t="str">
            <v>SET</v>
          </cell>
          <cell r="G500" t="str">
            <v>2</v>
          </cell>
          <cell r="H500" t="str">
            <v>RETAIL</v>
          </cell>
          <cell r="I500" t="str">
            <v>27</v>
          </cell>
          <cell r="J500" t="str">
            <v>CPC1</v>
          </cell>
          <cell r="K500" t="str">
            <v>2703</v>
          </cell>
          <cell r="L500" t="str">
            <v>MULTIPOX</v>
          </cell>
          <cell r="M500" t="str">
            <v>270302</v>
          </cell>
          <cell r="N500" t="str">
            <v>MULTIPOX BASE</v>
          </cell>
        </row>
        <row r="501">
          <cell r="C501" t="str">
            <v>100001487</v>
          </cell>
          <cell r="D501" t="str">
            <v>MX-99 LEAF GREEN VN-3K</v>
          </cell>
          <cell r="E501" t="str">
            <v>ZFGD</v>
          </cell>
          <cell r="F501" t="str">
            <v>PC</v>
          </cell>
          <cell r="G501" t="str">
            <v>2</v>
          </cell>
          <cell r="H501" t="str">
            <v>RETAIL</v>
          </cell>
          <cell r="I501" t="str">
            <v>27</v>
          </cell>
          <cell r="J501" t="str">
            <v>CPC1</v>
          </cell>
          <cell r="K501" t="str">
            <v>2703</v>
          </cell>
          <cell r="L501" t="str">
            <v>MULTIPOX</v>
          </cell>
          <cell r="M501" t="str">
            <v>270302</v>
          </cell>
          <cell r="N501" t="str">
            <v>MULTIPOX BASE</v>
          </cell>
        </row>
        <row r="502">
          <cell r="C502" t="str">
            <v>100001488</v>
          </cell>
          <cell r="D502" t="str">
            <v>MX-99 LEAF GREEN VN-20KSP</v>
          </cell>
          <cell r="E502" t="str">
            <v>ZFGD</v>
          </cell>
          <cell r="F502" t="str">
            <v>SET</v>
          </cell>
          <cell r="G502" t="str">
            <v>2</v>
          </cell>
          <cell r="H502" t="str">
            <v>RETAIL</v>
          </cell>
          <cell r="I502" t="str">
            <v>27</v>
          </cell>
          <cell r="J502" t="str">
            <v>CPC1</v>
          </cell>
          <cell r="K502" t="str">
            <v>2703</v>
          </cell>
          <cell r="L502" t="str">
            <v>MULTIPOX</v>
          </cell>
          <cell r="M502" t="str">
            <v>270302</v>
          </cell>
          <cell r="N502" t="str">
            <v>MULTIPOX BASE</v>
          </cell>
        </row>
        <row r="503">
          <cell r="C503" t="str">
            <v>100001489</v>
          </cell>
          <cell r="D503" t="str">
            <v>MX-99 LEAF GREEN VN-15KP</v>
          </cell>
          <cell r="E503" t="str">
            <v>ZFGD</v>
          </cell>
          <cell r="F503" t="str">
            <v>PC</v>
          </cell>
          <cell r="G503" t="str">
            <v>2</v>
          </cell>
          <cell r="H503" t="str">
            <v>RETAIL</v>
          </cell>
          <cell r="I503" t="str">
            <v>27</v>
          </cell>
          <cell r="J503" t="str">
            <v>CPC1</v>
          </cell>
          <cell r="K503" t="str">
            <v>2703</v>
          </cell>
          <cell r="L503" t="str">
            <v>MULTIPOX</v>
          </cell>
          <cell r="M503" t="str">
            <v>270302</v>
          </cell>
          <cell r="N503" t="str">
            <v>MULTIPOX BASE</v>
          </cell>
        </row>
        <row r="504">
          <cell r="C504" t="str">
            <v>100001490</v>
          </cell>
          <cell r="D504" t="str">
            <v>MX-99 LEAF GREEN VN-30KSP</v>
          </cell>
          <cell r="E504" t="str">
            <v>ZFGD</v>
          </cell>
          <cell r="F504" t="str">
            <v>SET</v>
          </cell>
          <cell r="G504" t="str">
            <v>2</v>
          </cell>
          <cell r="H504" t="str">
            <v>RETAIL</v>
          </cell>
          <cell r="I504" t="str">
            <v>27</v>
          </cell>
          <cell r="J504" t="str">
            <v>CPC1</v>
          </cell>
          <cell r="K504" t="str">
            <v>2703</v>
          </cell>
          <cell r="L504" t="str">
            <v>MULTIPOX</v>
          </cell>
          <cell r="M504" t="str">
            <v>270302</v>
          </cell>
          <cell r="N504" t="str">
            <v>MULTIPOX BASE</v>
          </cell>
        </row>
        <row r="505">
          <cell r="C505" t="str">
            <v>100001491</v>
          </cell>
          <cell r="D505" t="str">
            <v>MX-99 LEAF GREEN VN-22.5KP</v>
          </cell>
          <cell r="E505" t="str">
            <v>ZFGD</v>
          </cell>
          <cell r="F505" t="str">
            <v>PC</v>
          </cell>
          <cell r="G505" t="str">
            <v>2</v>
          </cell>
          <cell r="H505" t="str">
            <v>RETAIL</v>
          </cell>
          <cell r="I505" t="str">
            <v>27</v>
          </cell>
          <cell r="J505" t="str">
            <v>CPC1</v>
          </cell>
          <cell r="K505" t="str">
            <v>2703</v>
          </cell>
          <cell r="L505" t="str">
            <v>MULTIPOX</v>
          </cell>
          <cell r="M505" t="str">
            <v>270302</v>
          </cell>
          <cell r="N505" t="str">
            <v>MULTIPOX BASE</v>
          </cell>
        </row>
        <row r="506">
          <cell r="C506" t="str">
            <v>100001492</v>
          </cell>
          <cell r="D506" t="str">
            <v>MX-99 LIGHT GREY VN-1KS</v>
          </cell>
          <cell r="E506" t="str">
            <v>ZFGD</v>
          </cell>
          <cell r="F506" t="str">
            <v>SET</v>
          </cell>
          <cell r="G506" t="str">
            <v>2</v>
          </cell>
          <cell r="H506" t="str">
            <v>RETAIL</v>
          </cell>
          <cell r="I506" t="str">
            <v>27</v>
          </cell>
          <cell r="J506" t="str">
            <v>CPC1</v>
          </cell>
          <cell r="K506" t="str">
            <v>2703</v>
          </cell>
          <cell r="L506" t="str">
            <v>MULTIPOX</v>
          </cell>
          <cell r="M506" t="str">
            <v>270302</v>
          </cell>
          <cell r="N506" t="str">
            <v>MULTIPOX BASE</v>
          </cell>
        </row>
        <row r="507">
          <cell r="C507" t="str">
            <v>100001493</v>
          </cell>
          <cell r="D507" t="str">
            <v>MX-99 LIGHT GREY VN-0.6K</v>
          </cell>
          <cell r="E507" t="str">
            <v>ZFGD</v>
          </cell>
          <cell r="F507" t="str">
            <v>PC</v>
          </cell>
          <cell r="G507" t="str">
            <v>2</v>
          </cell>
          <cell r="H507" t="str">
            <v>RETAIL</v>
          </cell>
          <cell r="I507" t="str">
            <v>27</v>
          </cell>
          <cell r="J507" t="str">
            <v>CPC1</v>
          </cell>
          <cell r="K507" t="str">
            <v>2703</v>
          </cell>
          <cell r="L507" t="str">
            <v>MULTIPOX</v>
          </cell>
          <cell r="M507" t="str">
            <v>270302</v>
          </cell>
          <cell r="N507" t="str">
            <v>MULTIPOX BASE</v>
          </cell>
        </row>
        <row r="508">
          <cell r="C508" t="str">
            <v>100001494</v>
          </cell>
          <cell r="D508" t="str">
            <v>MX-99 LIGHT GREY VN-4KS</v>
          </cell>
          <cell r="E508" t="str">
            <v>ZFGD</v>
          </cell>
          <cell r="F508" t="str">
            <v>SET</v>
          </cell>
          <cell r="G508" t="str">
            <v>2</v>
          </cell>
          <cell r="H508" t="str">
            <v>RETAIL</v>
          </cell>
          <cell r="I508" t="str">
            <v>27</v>
          </cell>
          <cell r="J508" t="str">
            <v>CPC1</v>
          </cell>
          <cell r="K508" t="str">
            <v>2703</v>
          </cell>
          <cell r="L508" t="str">
            <v>MULTIPOX</v>
          </cell>
          <cell r="M508" t="str">
            <v>270302</v>
          </cell>
          <cell r="N508" t="str">
            <v>MULTIPOX BASE</v>
          </cell>
        </row>
        <row r="509">
          <cell r="C509" t="str">
            <v>100001495</v>
          </cell>
          <cell r="D509" t="str">
            <v>MX-99 LIGHT GREY VN-3K</v>
          </cell>
          <cell r="E509" t="str">
            <v>ZFGD</v>
          </cell>
          <cell r="F509" t="str">
            <v>PC</v>
          </cell>
          <cell r="G509" t="str">
            <v>2</v>
          </cell>
          <cell r="H509" t="str">
            <v>RETAIL</v>
          </cell>
          <cell r="I509" t="str">
            <v>27</v>
          </cell>
          <cell r="J509" t="str">
            <v>CPC1</v>
          </cell>
          <cell r="K509" t="str">
            <v>2703</v>
          </cell>
          <cell r="L509" t="str">
            <v>MULTIPOX</v>
          </cell>
          <cell r="M509" t="str">
            <v>270302</v>
          </cell>
          <cell r="N509" t="str">
            <v>MULTIPOX BASE</v>
          </cell>
        </row>
        <row r="510">
          <cell r="C510" t="str">
            <v>100001496</v>
          </cell>
          <cell r="D510" t="str">
            <v>MX-99 LIGHT GREY VN-20KSP</v>
          </cell>
          <cell r="E510" t="str">
            <v>ZFGD</v>
          </cell>
          <cell r="F510" t="str">
            <v>SET</v>
          </cell>
          <cell r="G510" t="str">
            <v>2</v>
          </cell>
          <cell r="H510" t="str">
            <v>RETAIL</v>
          </cell>
          <cell r="I510" t="str">
            <v>27</v>
          </cell>
          <cell r="J510" t="str">
            <v>CPC1</v>
          </cell>
          <cell r="K510" t="str">
            <v>2703</v>
          </cell>
          <cell r="L510" t="str">
            <v>MULTIPOX</v>
          </cell>
          <cell r="M510" t="str">
            <v>270302</v>
          </cell>
          <cell r="N510" t="str">
            <v>MULTIPOX BASE</v>
          </cell>
        </row>
        <row r="511">
          <cell r="C511" t="str">
            <v>100001497</v>
          </cell>
          <cell r="D511" t="str">
            <v>MX-99 LIGHT GREY VN-15KP</v>
          </cell>
          <cell r="E511" t="str">
            <v>ZFGD</v>
          </cell>
          <cell r="F511" t="str">
            <v>PC</v>
          </cell>
          <cell r="G511" t="str">
            <v>2</v>
          </cell>
          <cell r="H511" t="str">
            <v>RETAIL</v>
          </cell>
          <cell r="I511" t="str">
            <v>27</v>
          </cell>
          <cell r="J511" t="str">
            <v>CPC1</v>
          </cell>
          <cell r="K511" t="str">
            <v>2703</v>
          </cell>
          <cell r="L511" t="str">
            <v>MULTIPOX</v>
          </cell>
          <cell r="M511" t="str">
            <v>270302</v>
          </cell>
          <cell r="N511" t="str">
            <v>MULTIPOX BASE</v>
          </cell>
        </row>
        <row r="512">
          <cell r="C512" t="str">
            <v>100001498</v>
          </cell>
          <cell r="D512" t="str">
            <v>MX-99 LIGHT GREY VN-30KSP</v>
          </cell>
          <cell r="E512" t="str">
            <v>ZFGD</v>
          </cell>
          <cell r="F512" t="str">
            <v>SET</v>
          </cell>
          <cell r="G512" t="str">
            <v>2</v>
          </cell>
          <cell r="H512" t="str">
            <v>RETAIL</v>
          </cell>
          <cell r="I512" t="str">
            <v>27</v>
          </cell>
          <cell r="J512" t="str">
            <v>CPC1</v>
          </cell>
          <cell r="K512" t="str">
            <v>2703</v>
          </cell>
          <cell r="L512" t="str">
            <v>MULTIPOX</v>
          </cell>
          <cell r="M512" t="str">
            <v>270302</v>
          </cell>
          <cell r="N512" t="str">
            <v>MULTIPOX BASE</v>
          </cell>
        </row>
        <row r="513">
          <cell r="C513" t="str">
            <v>100001499</v>
          </cell>
          <cell r="D513" t="str">
            <v>MX-99 LIGHT GREY VN-22.5KP</v>
          </cell>
          <cell r="E513" t="str">
            <v>ZFGD</v>
          </cell>
          <cell r="F513" t="str">
            <v>PC</v>
          </cell>
          <cell r="G513" t="str">
            <v>2</v>
          </cell>
          <cell r="H513" t="str">
            <v>RETAIL</v>
          </cell>
          <cell r="I513" t="str">
            <v>27</v>
          </cell>
          <cell r="J513" t="str">
            <v>CPC1</v>
          </cell>
          <cell r="K513" t="str">
            <v>2703</v>
          </cell>
          <cell r="L513" t="str">
            <v>MULTIPOX</v>
          </cell>
          <cell r="M513" t="str">
            <v>270302</v>
          </cell>
          <cell r="N513" t="str">
            <v>MULTIPOX BASE</v>
          </cell>
        </row>
        <row r="514">
          <cell r="C514" t="str">
            <v>100001500</v>
          </cell>
          <cell r="D514" t="str">
            <v>MX-99 TRAFFIC YELLOW VN-1KS</v>
          </cell>
          <cell r="E514" t="str">
            <v>ZFGD</v>
          </cell>
          <cell r="F514" t="str">
            <v>SET</v>
          </cell>
          <cell r="G514" t="str">
            <v>2</v>
          </cell>
          <cell r="H514" t="str">
            <v>RETAIL</v>
          </cell>
          <cell r="I514" t="str">
            <v>27</v>
          </cell>
          <cell r="J514" t="str">
            <v>CPC1</v>
          </cell>
          <cell r="K514" t="str">
            <v>2703</v>
          </cell>
          <cell r="L514" t="str">
            <v>MULTIPOX</v>
          </cell>
          <cell r="M514" t="str">
            <v>270302</v>
          </cell>
          <cell r="N514" t="str">
            <v>MULTIPOX BASE</v>
          </cell>
        </row>
        <row r="515">
          <cell r="C515" t="str">
            <v>100001501</v>
          </cell>
          <cell r="D515" t="str">
            <v>MX-99 TRAFFIC YELLOW VN-0.6K</v>
          </cell>
          <cell r="E515" t="str">
            <v>ZFGD</v>
          </cell>
          <cell r="F515" t="str">
            <v>PC</v>
          </cell>
          <cell r="G515" t="str">
            <v>2</v>
          </cell>
          <cell r="H515" t="str">
            <v>RETAIL</v>
          </cell>
          <cell r="I515" t="str">
            <v>27</v>
          </cell>
          <cell r="J515" t="str">
            <v>CPC1</v>
          </cell>
          <cell r="K515" t="str">
            <v>2703</v>
          </cell>
          <cell r="L515" t="str">
            <v>MULTIPOX</v>
          </cell>
          <cell r="M515" t="str">
            <v>270302</v>
          </cell>
          <cell r="N515" t="str">
            <v>MULTIPOX BASE</v>
          </cell>
        </row>
        <row r="516">
          <cell r="C516" t="str">
            <v>100001502</v>
          </cell>
          <cell r="D516" t="str">
            <v>MX-99 TRAFFIC YELLOW VN-4KS</v>
          </cell>
          <cell r="E516" t="str">
            <v>ZFGD</v>
          </cell>
          <cell r="F516" t="str">
            <v>SET</v>
          </cell>
          <cell r="G516" t="str">
            <v>2</v>
          </cell>
          <cell r="H516" t="str">
            <v>RETAIL</v>
          </cell>
          <cell r="I516" t="str">
            <v>27</v>
          </cell>
          <cell r="J516" t="str">
            <v>CPC1</v>
          </cell>
          <cell r="K516" t="str">
            <v>2703</v>
          </cell>
          <cell r="L516" t="str">
            <v>MULTIPOX</v>
          </cell>
          <cell r="M516" t="str">
            <v>270302</v>
          </cell>
          <cell r="N516" t="str">
            <v>MULTIPOX BASE</v>
          </cell>
        </row>
        <row r="517">
          <cell r="C517" t="str">
            <v>100001503</v>
          </cell>
          <cell r="D517" t="str">
            <v>MX-99 TRAFFIC YELLOW VN-3K</v>
          </cell>
          <cell r="E517" t="str">
            <v>ZFGD</v>
          </cell>
          <cell r="F517" t="str">
            <v>PC</v>
          </cell>
          <cell r="G517" t="str">
            <v>2</v>
          </cell>
          <cell r="H517" t="str">
            <v>RETAIL</v>
          </cell>
          <cell r="I517" t="str">
            <v>27</v>
          </cell>
          <cell r="J517" t="str">
            <v>CPC1</v>
          </cell>
          <cell r="K517" t="str">
            <v>2703</v>
          </cell>
          <cell r="L517" t="str">
            <v>MULTIPOX</v>
          </cell>
          <cell r="M517" t="str">
            <v>270302</v>
          </cell>
          <cell r="N517" t="str">
            <v>MULTIPOX BASE</v>
          </cell>
        </row>
        <row r="518">
          <cell r="C518" t="str">
            <v>100001504</v>
          </cell>
          <cell r="D518" t="str">
            <v>MX-99 TRAFFIC YELLOW VN-20KSP</v>
          </cell>
          <cell r="E518" t="str">
            <v>ZFGD</v>
          </cell>
          <cell r="F518" t="str">
            <v>SET</v>
          </cell>
          <cell r="G518" t="str">
            <v>2</v>
          </cell>
          <cell r="H518" t="str">
            <v>RETAIL</v>
          </cell>
          <cell r="I518" t="str">
            <v>27</v>
          </cell>
          <cell r="J518" t="str">
            <v>CPC1</v>
          </cell>
          <cell r="K518" t="str">
            <v>2703</v>
          </cell>
          <cell r="L518" t="str">
            <v>MULTIPOX</v>
          </cell>
          <cell r="M518" t="str">
            <v>270302</v>
          </cell>
          <cell r="N518" t="str">
            <v>MULTIPOX BASE</v>
          </cell>
        </row>
        <row r="519">
          <cell r="C519" t="str">
            <v>100001505</v>
          </cell>
          <cell r="D519" t="str">
            <v>MX-99 TRAFFIC YELLOW VN-15KP</v>
          </cell>
          <cell r="E519" t="str">
            <v>ZFGD</v>
          </cell>
          <cell r="F519" t="str">
            <v>PC</v>
          </cell>
          <cell r="G519" t="str">
            <v>2</v>
          </cell>
          <cell r="H519" t="str">
            <v>RETAIL</v>
          </cell>
          <cell r="I519" t="str">
            <v>27</v>
          </cell>
          <cell r="J519" t="str">
            <v>CPC1</v>
          </cell>
          <cell r="K519" t="str">
            <v>2703</v>
          </cell>
          <cell r="L519" t="str">
            <v>MULTIPOX</v>
          </cell>
          <cell r="M519" t="str">
            <v>270302</v>
          </cell>
          <cell r="N519" t="str">
            <v>MULTIPOX BASE</v>
          </cell>
        </row>
        <row r="520">
          <cell r="C520" t="str">
            <v>100001506</v>
          </cell>
          <cell r="D520" t="str">
            <v>MX-99 TRAFFIC YELLOW VN-30KSP</v>
          </cell>
          <cell r="E520" t="str">
            <v>ZFGD</v>
          </cell>
          <cell r="F520" t="str">
            <v>SET</v>
          </cell>
          <cell r="G520" t="str">
            <v>2</v>
          </cell>
          <cell r="H520" t="str">
            <v>RETAIL</v>
          </cell>
          <cell r="I520" t="str">
            <v>27</v>
          </cell>
          <cell r="J520" t="str">
            <v>CPC1</v>
          </cell>
          <cell r="K520" t="str">
            <v>2703</v>
          </cell>
          <cell r="L520" t="str">
            <v>MULTIPOX</v>
          </cell>
          <cell r="M520" t="str">
            <v>270302</v>
          </cell>
          <cell r="N520" t="str">
            <v>MULTIPOX BASE</v>
          </cell>
        </row>
        <row r="521">
          <cell r="C521" t="str">
            <v>100001507</v>
          </cell>
          <cell r="D521" t="str">
            <v>MX-99 TRAFFIC YELLOW VN-22.5KP</v>
          </cell>
          <cell r="E521" t="str">
            <v>ZFGD</v>
          </cell>
          <cell r="F521" t="str">
            <v>PC</v>
          </cell>
          <cell r="G521" t="str">
            <v>2</v>
          </cell>
          <cell r="H521" t="str">
            <v>RETAIL</v>
          </cell>
          <cell r="I521" t="str">
            <v>27</v>
          </cell>
          <cell r="J521" t="str">
            <v>CPC1</v>
          </cell>
          <cell r="K521" t="str">
            <v>2703</v>
          </cell>
          <cell r="L521" t="str">
            <v>MULTIPOX</v>
          </cell>
          <cell r="M521" t="str">
            <v>270302</v>
          </cell>
          <cell r="N521" t="str">
            <v>MULTIPOX BASE</v>
          </cell>
        </row>
        <row r="522">
          <cell r="C522" t="str">
            <v>100001508</v>
          </cell>
          <cell r="D522" t="str">
            <v>MX-99 WHITE VN-1KS</v>
          </cell>
          <cell r="E522" t="str">
            <v>ZFGD</v>
          </cell>
          <cell r="F522" t="str">
            <v>SET</v>
          </cell>
          <cell r="G522" t="str">
            <v>2</v>
          </cell>
          <cell r="H522" t="str">
            <v>RETAIL</v>
          </cell>
          <cell r="I522" t="str">
            <v>27</v>
          </cell>
          <cell r="J522" t="str">
            <v>CPC1</v>
          </cell>
          <cell r="K522" t="str">
            <v>2703</v>
          </cell>
          <cell r="L522" t="str">
            <v>MULTIPOX</v>
          </cell>
          <cell r="M522" t="str">
            <v>270302</v>
          </cell>
          <cell r="N522" t="str">
            <v>MULTIPOX BASE</v>
          </cell>
        </row>
        <row r="523">
          <cell r="C523" t="str">
            <v>100001509</v>
          </cell>
          <cell r="D523" t="str">
            <v>MX-99 WHITE VN-0.6K</v>
          </cell>
          <cell r="E523" t="str">
            <v>ZFGD</v>
          </cell>
          <cell r="F523" t="str">
            <v>PC</v>
          </cell>
          <cell r="G523" t="str">
            <v>2</v>
          </cell>
          <cell r="H523" t="str">
            <v>RETAIL</v>
          </cell>
          <cell r="I523" t="str">
            <v>27</v>
          </cell>
          <cell r="J523" t="str">
            <v>CPC1</v>
          </cell>
          <cell r="K523" t="str">
            <v>2703</v>
          </cell>
          <cell r="L523" t="str">
            <v>MULTIPOX</v>
          </cell>
          <cell r="M523" t="str">
            <v>270302</v>
          </cell>
          <cell r="N523" t="str">
            <v>MULTIPOX BASE</v>
          </cell>
        </row>
        <row r="524">
          <cell r="C524" t="str">
            <v>100001510</v>
          </cell>
          <cell r="D524" t="str">
            <v>MX-99 WHITE VN-4KS</v>
          </cell>
          <cell r="E524" t="str">
            <v>ZFGD</v>
          </cell>
          <cell r="F524" t="str">
            <v>SET</v>
          </cell>
          <cell r="G524" t="str">
            <v>2</v>
          </cell>
          <cell r="H524" t="str">
            <v>RETAIL</v>
          </cell>
          <cell r="I524" t="str">
            <v>27</v>
          </cell>
          <cell r="J524" t="str">
            <v>CPC1</v>
          </cell>
          <cell r="K524" t="str">
            <v>2703</v>
          </cell>
          <cell r="L524" t="str">
            <v>MULTIPOX</v>
          </cell>
          <cell r="M524" t="str">
            <v>270302</v>
          </cell>
          <cell r="N524" t="str">
            <v>MULTIPOX BASE</v>
          </cell>
        </row>
        <row r="525">
          <cell r="C525" t="str">
            <v>100001511</v>
          </cell>
          <cell r="D525" t="str">
            <v>MX-99 WHITE VN-3K</v>
          </cell>
          <cell r="E525" t="str">
            <v>ZFGD</v>
          </cell>
          <cell r="F525" t="str">
            <v>PC</v>
          </cell>
          <cell r="G525" t="str">
            <v>2</v>
          </cell>
          <cell r="H525" t="str">
            <v>RETAIL</v>
          </cell>
          <cell r="I525" t="str">
            <v>27</v>
          </cell>
          <cell r="J525" t="str">
            <v>CPC1</v>
          </cell>
          <cell r="K525" t="str">
            <v>2703</v>
          </cell>
          <cell r="L525" t="str">
            <v>MULTIPOX</v>
          </cell>
          <cell r="M525" t="str">
            <v>270302</v>
          </cell>
          <cell r="N525" t="str">
            <v>MULTIPOX BASE</v>
          </cell>
        </row>
        <row r="526">
          <cell r="C526" t="str">
            <v>100001512</v>
          </cell>
          <cell r="D526" t="str">
            <v>MX-99 WHITE VN-20KSP</v>
          </cell>
          <cell r="E526" t="str">
            <v>ZFGD</v>
          </cell>
          <cell r="F526" t="str">
            <v>SET</v>
          </cell>
          <cell r="G526" t="str">
            <v>2</v>
          </cell>
          <cell r="H526" t="str">
            <v>RETAIL</v>
          </cell>
          <cell r="I526" t="str">
            <v>27</v>
          </cell>
          <cell r="J526" t="str">
            <v>CPC1</v>
          </cell>
          <cell r="K526" t="str">
            <v>2703</v>
          </cell>
          <cell r="L526" t="str">
            <v>MULTIPOX</v>
          </cell>
          <cell r="M526" t="str">
            <v>270302</v>
          </cell>
          <cell r="N526" t="str">
            <v>MULTIPOX BASE</v>
          </cell>
        </row>
        <row r="527">
          <cell r="C527" t="str">
            <v>100001513</v>
          </cell>
          <cell r="D527" t="str">
            <v>MX-99 WHITE VN-15KP</v>
          </cell>
          <cell r="E527" t="str">
            <v>ZFGD</v>
          </cell>
          <cell r="F527" t="str">
            <v>PC</v>
          </cell>
          <cell r="G527" t="str">
            <v>2</v>
          </cell>
          <cell r="H527" t="str">
            <v>RETAIL</v>
          </cell>
          <cell r="I527" t="str">
            <v>27</v>
          </cell>
          <cell r="J527" t="str">
            <v>CPC1</v>
          </cell>
          <cell r="K527" t="str">
            <v>2703</v>
          </cell>
          <cell r="L527" t="str">
            <v>MULTIPOX</v>
          </cell>
          <cell r="M527" t="str">
            <v>270302</v>
          </cell>
          <cell r="N527" t="str">
            <v>MULTIPOX BASE</v>
          </cell>
        </row>
        <row r="528">
          <cell r="C528" t="str">
            <v>100001514</v>
          </cell>
          <cell r="D528" t="str">
            <v>MX-99 WHITE VN-30KSP</v>
          </cell>
          <cell r="E528" t="str">
            <v>ZFGD</v>
          </cell>
          <cell r="F528" t="str">
            <v>SET</v>
          </cell>
          <cell r="G528" t="str">
            <v>2</v>
          </cell>
          <cell r="H528" t="str">
            <v>RETAIL</v>
          </cell>
          <cell r="I528" t="str">
            <v>27</v>
          </cell>
          <cell r="J528" t="str">
            <v>CPC1</v>
          </cell>
          <cell r="K528" t="str">
            <v>2703</v>
          </cell>
          <cell r="L528" t="str">
            <v>MULTIPOX</v>
          </cell>
          <cell r="M528" t="str">
            <v>270302</v>
          </cell>
          <cell r="N528" t="str">
            <v>MULTIPOX BASE</v>
          </cell>
        </row>
        <row r="529">
          <cell r="C529" t="str">
            <v>100001515</v>
          </cell>
          <cell r="D529" t="str">
            <v>MX-99 WHITE VN-22.5KP</v>
          </cell>
          <cell r="E529" t="str">
            <v>ZFGD</v>
          </cell>
          <cell r="F529" t="str">
            <v>PC</v>
          </cell>
          <cell r="G529" t="str">
            <v>2</v>
          </cell>
          <cell r="H529" t="str">
            <v>RETAIL</v>
          </cell>
          <cell r="I529" t="str">
            <v>27</v>
          </cell>
          <cell r="J529" t="str">
            <v>CPC1</v>
          </cell>
          <cell r="K529" t="str">
            <v>2703</v>
          </cell>
          <cell r="L529" t="str">
            <v>MULTIPOX</v>
          </cell>
          <cell r="M529" t="str">
            <v>270302</v>
          </cell>
          <cell r="N529" t="str">
            <v>MULTIPOX BASE</v>
          </cell>
        </row>
        <row r="530">
          <cell r="C530" t="str">
            <v>100001516</v>
          </cell>
          <cell r="D530" t="str">
            <v>MX-99 BEIGE VN-1KS</v>
          </cell>
          <cell r="E530" t="str">
            <v>ZFGD</v>
          </cell>
          <cell r="F530" t="str">
            <v>SET</v>
          </cell>
          <cell r="G530" t="str">
            <v>2</v>
          </cell>
          <cell r="H530" t="str">
            <v>RETAIL</v>
          </cell>
          <cell r="I530" t="str">
            <v>27</v>
          </cell>
          <cell r="J530" t="str">
            <v>CPC1</v>
          </cell>
          <cell r="K530" t="str">
            <v>2703</v>
          </cell>
          <cell r="L530" t="str">
            <v>MULTIPOX</v>
          </cell>
          <cell r="M530" t="str">
            <v>270302</v>
          </cell>
          <cell r="N530" t="str">
            <v>MULTIPOX BASE</v>
          </cell>
        </row>
        <row r="531">
          <cell r="C531" t="str">
            <v>100001517</v>
          </cell>
          <cell r="D531" t="str">
            <v>MX-99 BEIGE VN-0.6K</v>
          </cell>
          <cell r="E531" t="str">
            <v>ZFGD</v>
          </cell>
          <cell r="F531" t="str">
            <v>PC</v>
          </cell>
          <cell r="G531" t="str">
            <v>2</v>
          </cell>
          <cell r="H531" t="str">
            <v>RETAIL</v>
          </cell>
          <cell r="I531" t="str">
            <v>27</v>
          </cell>
          <cell r="J531" t="str">
            <v>CPC1</v>
          </cell>
          <cell r="K531" t="str">
            <v>2703</v>
          </cell>
          <cell r="L531" t="str">
            <v>MULTIPOX</v>
          </cell>
          <cell r="M531" t="str">
            <v>270302</v>
          </cell>
          <cell r="N531" t="str">
            <v>MULTIPOX BASE</v>
          </cell>
        </row>
        <row r="532">
          <cell r="C532" t="str">
            <v>100001518</v>
          </cell>
          <cell r="D532" t="str">
            <v>MX-99 BEIGE VN-4KS</v>
          </cell>
          <cell r="E532" t="str">
            <v>ZFGD</v>
          </cell>
          <cell r="F532" t="str">
            <v>SET</v>
          </cell>
          <cell r="G532" t="str">
            <v>2</v>
          </cell>
          <cell r="H532" t="str">
            <v>RETAIL</v>
          </cell>
          <cell r="I532" t="str">
            <v>27</v>
          </cell>
          <cell r="J532" t="str">
            <v>CPC1</v>
          </cell>
          <cell r="K532" t="str">
            <v>2703</v>
          </cell>
          <cell r="L532" t="str">
            <v>MULTIPOX</v>
          </cell>
          <cell r="M532" t="str">
            <v>270302</v>
          </cell>
          <cell r="N532" t="str">
            <v>MULTIPOX BASE</v>
          </cell>
        </row>
        <row r="533">
          <cell r="C533" t="str">
            <v>100001519</v>
          </cell>
          <cell r="D533" t="str">
            <v>MX-99 BEIGE VN-3K</v>
          </cell>
          <cell r="E533" t="str">
            <v>ZFGD</v>
          </cell>
          <cell r="F533" t="str">
            <v>PC</v>
          </cell>
          <cell r="G533" t="str">
            <v>2</v>
          </cell>
          <cell r="H533" t="str">
            <v>RETAIL</v>
          </cell>
          <cell r="I533" t="str">
            <v>27</v>
          </cell>
          <cell r="J533" t="str">
            <v>CPC1</v>
          </cell>
          <cell r="K533" t="str">
            <v>2703</v>
          </cell>
          <cell r="L533" t="str">
            <v>MULTIPOX</v>
          </cell>
          <cell r="M533" t="str">
            <v>270302</v>
          </cell>
          <cell r="N533" t="str">
            <v>MULTIPOX BASE</v>
          </cell>
        </row>
        <row r="534">
          <cell r="C534" t="str">
            <v>100001520</v>
          </cell>
          <cell r="D534" t="str">
            <v>MX-99 BEIGE VN-20KSP</v>
          </cell>
          <cell r="E534" t="str">
            <v>ZFGD</v>
          </cell>
          <cell r="F534" t="str">
            <v>SET</v>
          </cell>
          <cell r="G534" t="str">
            <v>2</v>
          </cell>
          <cell r="H534" t="str">
            <v>RETAIL</v>
          </cell>
          <cell r="I534" t="str">
            <v>27</v>
          </cell>
          <cell r="J534" t="str">
            <v>CPC1</v>
          </cell>
          <cell r="K534" t="str">
            <v>2703</v>
          </cell>
          <cell r="L534" t="str">
            <v>MULTIPOX</v>
          </cell>
          <cell r="M534" t="str">
            <v>270302</v>
          </cell>
          <cell r="N534" t="str">
            <v>MULTIPOX BASE</v>
          </cell>
        </row>
        <row r="535">
          <cell r="C535" t="str">
            <v>100001521</v>
          </cell>
          <cell r="D535" t="str">
            <v>MX-99 BEIGE VN-15KP</v>
          </cell>
          <cell r="E535" t="str">
            <v>ZFGD</v>
          </cell>
          <cell r="F535" t="str">
            <v>PC</v>
          </cell>
          <cell r="G535" t="str">
            <v>2</v>
          </cell>
          <cell r="H535" t="str">
            <v>RETAIL</v>
          </cell>
          <cell r="I535" t="str">
            <v>27</v>
          </cell>
          <cell r="J535" t="str">
            <v>CPC1</v>
          </cell>
          <cell r="K535" t="str">
            <v>2703</v>
          </cell>
          <cell r="L535" t="str">
            <v>MULTIPOX</v>
          </cell>
          <cell r="M535" t="str">
            <v>270302</v>
          </cell>
          <cell r="N535" t="str">
            <v>MULTIPOX BASE</v>
          </cell>
        </row>
        <row r="536">
          <cell r="C536" t="str">
            <v>100001522</v>
          </cell>
          <cell r="D536" t="str">
            <v>MX-99 BEIGE VN-30KSP</v>
          </cell>
          <cell r="E536" t="str">
            <v>ZFGD</v>
          </cell>
          <cell r="F536" t="str">
            <v>SET</v>
          </cell>
          <cell r="G536" t="str">
            <v>2</v>
          </cell>
          <cell r="H536" t="str">
            <v>RETAIL</v>
          </cell>
          <cell r="I536" t="str">
            <v>27</v>
          </cell>
          <cell r="J536" t="str">
            <v>CPC1</v>
          </cell>
          <cell r="K536" t="str">
            <v>2703</v>
          </cell>
          <cell r="L536" t="str">
            <v>MULTIPOX</v>
          </cell>
          <cell r="M536" t="str">
            <v>270302</v>
          </cell>
          <cell r="N536" t="str">
            <v>MULTIPOX BASE</v>
          </cell>
        </row>
        <row r="537">
          <cell r="C537" t="str">
            <v>100001523</v>
          </cell>
          <cell r="D537" t="str">
            <v>MX-99 BEIGE VN-22.5KP</v>
          </cell>
          <cell r="E537" t="str">
            <v>ZFGD</v>
          </cell>
          <cell r="F537" t="str">
            <v>PC</v>
          </cell>
          <cell r="G537" t="str">
            <v>2</v>
          </cell>
          <cell r="H537" t="str">
            <v>RETAIL</v>
          </cell>
          <cell r="I537" t="str">
            <v>27</v>
          </cell>
          <cell r="J537" t="str">
            <v>CPC1</v>
          </cell>
          <cell r="K537" t="str">
            <v>2703</v>
          </cell>
          <cell r="L537" t="str">
            <v>MULTIPOX</v>
          </cell>
          <cell r="M537" t="str">
            <v>270302</v>
          </cell>
          <cell r="N537" t="str">
            <v>MULTIPOX BASE</v>
          </cell>
        </row>
        <row r="538">
          <cell r="C538" t="str">
            <v>100001524</v>
          </cell>
          <cell r="D538" t="str">
            <v>MX-99 GERANIUM VN-1KS</v>
          </cell>
          <cell r="E538" t="str">
            <v>ZFGD</v>
          </cell>
          <cell r="F538" t="str">
            <v>SET</v>
          </cell>
          <cell r="G538" t="str">
            <v>2</v>
          </cell>
          <cell r="H538" t="str">
            <v>RETAIL</v>
          </cell>
          <cell r="I538" t="str">
            <v>27</v>
          </cell>
          <cell r="J538" t="str">
            <v>CPC1</v>
          </cell>
          <cell r="K538" t="str">
            <v>2703</v>
          </cell>
          <cell r="L538" t="str">
            <v>MULTIPOX</v>
          </cell>
          <cell r="M538" t="str">
            <v>270302</v>
          </cell>
          <cell r="N538" t="str">
            <v>MULTIPOX BASE</v>
          </cell>
        </row>
        <row r="539">
          <cell r="C539" t="str">
            <v>100001525</v>
          </cell>
          <cell r="D539" t="str">
            <v>MX-99 GERANIUM VN-0.6K</v>
          </cell>
          <cell r="E539" t="str">
            <v>ZFGD</v>
          </cell>
          <cell r="F539" t="str">
            <v>PC</v>
          </cell>
          <cell r="G539" t="str">
            <v>2</v>
          </cell>
          <cell r="H539" t="str">
            <v>RETAIL</v>
          </cell>
          <cell r="I539" t="str">
            <v>27</v>
          </cell>
          <cell r="J539" t="str">
            <v>CPC1</v>
          </cell>
          <cell r="K539" t="str">
            <v>2703</v>
          </cell>
          <cell r="L539" t="str">
            <v>MULTIPOX</v>
          </cell>
          <cell r="M539" t="str">
            <v>270302</v>
          </cell>
          <cell r="N539" t="str">
            <v>MULTIPOX BASE</v>
          </cell>
        </row>
        <row r="540">
          <cell r="C540" t="str">
            <v>100001526</v>
          </cell>
          <cell r="D540" t="str">
            <v>MX-99 GERANIUM VN-4KS</v>
          </cell>
          <cell r="E540" t="str">
            <v>ZFGD</v>
          </cell>
          <cell r="F540" t="str">
            <v>SET</v>
          </cell>
          <cell r="G540" t="str">
            <v>2</v>
          </cell>
          <cell r="H540" t="str">
            <v>RETAIL</v>
          </cell>
          <cell r="I540" t="str">
            <v>27</v>
          </cell>
          <cell r="J540" t="str">
            <v>CPC1</v>
          </cell>
          <cell r="K540" t="str">
            <v>2703</v>
          </cell>
          <cell r="L540" t="str">
            <v>MULTIPOX</v>
          </cell>
          <cell r="M540" t="str">
            <v>270302</v>
          </cell>
          <cell r="N540" t="str">
            <v>MULTIPOX BASE</v>
          </cell>
        </row>
        <row r="541">
          <cell r="C541" t="str">
            <v>100001527</v>
          </cell>
          <cell r="D541" t="str">
            <v>MX-99 GERANIUM VN-3K</v>
          </cell>
          <cell r="E541" t="str">
            <v>ZFGD</v>
          </cell>
          <cell r="F541" t="str">
            <v>PC</v>
          </cell>
          <cell r="G541" t="str">
            <v>2</v>
          </cell>
          <cell r="H541" t="str">
            <v>RETAIL</v>
          </cell>
          <cell r="I541" t="str">
            <v>27</v>
          </cell>
          <cell r="J541" t="str">
            <v>CPC1</v>
          </cell>
          <cell r="K541" t="str">
            <v>2703</v>
          </cell>
          <cell r="L541" t="str">
            <v>MULTIPOX</v>
          </cell>
          <cell r="M541" t="str">
            <v>270302</v>
          </cell>
          <cell r="N541" t="str">
            <v>MULTIPOX BASE</v>
          </cell>
        </row>
        <row r="542">
          <cell r="C542" t="str">
            <v>100001528</v>
          </cell>
          <cell r="D542" t="str">
            <v>MX-99 GERANIUM VN-20KSP</v>
          </cell>
          <cell r="E542" t="str">
            <v>ZFGD</v>
          </cell>
          <cell r="F542" t="str">
            <v>SET</v>
          </cell>
          <cell r="G542" t="str">
            <v>2</v>
          </cell>
          <cell r="H542" t="str">
            <v>RETAIL</v>
          </cell>
          <cell r="I542" t="str">
            <v>27</v>
          </cell>
          <cell r="J542" t="str">
            <v>CPC1</v>
          </cell>
          <cell r="K542" t="str">
            <v>2703</v>
          </cell>
          <cell r="L542" t="str">
            <v>MULTIPOX</v>
          </cell>
          <cell r="M542" t="str">
            <v>270302</v>
          </cell>
          <cell r="N542" t="str">
            <v>MULTIPOX BASE</v>
          </cell>
        </row>
        <row r="543">
          <cell r="C543" t="str">
            <v>100001529</v>
          </cell>
          <cell r="D543" t="str">
            <v>MX-99 GERANIUM VN-15KP</v>
          </cell>
          <cell r="E543" t="str">
            <v>ZFGD</v>
          </cell>
          <cell r="F543" t="str">
            <v>PC</v>
          </cell>
          <cell r="G543" t="str">
            <v>2</v>
          </cell>
          <cell r="H543" t="str">
            <v>RETAIL</v>
          </cell>
          <cell r="I543" t="str">
            <v>27</v>
          </cell>
          <cell r="J543" t="str">
            <v>CPC1</v>
          </cell>
          <cell r="K543" t="str">
            <v>2703</v>
          </cell>
          <cell r="L543" t="str">
            <v>MULTIPOX</v>
          </cell>
          <cell r="M543" t="str">
            <v>270302</v>
          </cell>
          <cell r="N543" t="str">
            <v>MULTIPOX BASE</v>
          </cell>
        </row>
        <row r="544">
          <cell r="C544" t="str">
            <v>100001530</v>
          </cell>
          <cell r="D544" t="str">
            <v>MX-99 GERANIUM VN-30KSP</v>
          </cell>
          <cell r="E544" t="str">
            <v>ZFGD</v>
          </cell>
          <cell r="F544" t="str">
            <v>SET</v>
          </cell>
          <cell r="G544" t="str">
            <v>2</v>
          </cell>
          <cell r="H544" t="str">
            <v>RETAIL</v>
          </cell>
          <cell r="I544" t="str">
            <v>27</v>
          </cell>
          <cell r="J544" t="str">
            <v>CPC1</v>
          </cell>
          <cell r="K544" t="str">
            <v>2703</v>
          </cell>
          <cell r="L544" t="str">
            <v>MULTIPOX</v>
          </cell>
          <cell r="M544" t="str">
            <v>270302</v>
          </cell>
          <cell r="N544" t="str">
            <v>MULTIPOX BASE</v>
          </cell>
        </row>
        <row r="545">
          <cell r="C545" t="str">
            <v>100001531</v>
          </cell>
          <cell r="D545" t="str">
            <v>MX-99 GERANIUM VN-22.5KP</v>
          </cell>
          <cell r="E545" t="str">
            <v>ZFGD</v>
          </cell>
          <cell r="F545" t="str">
            <v>PC</v>
          </cell>
          <cell r="G545" t="str">
            <v>2</v>
          </cell>
          <cell r="H545" t="str">
            <v>RETAIL</v>
          </cell>
          <cell r="I545" t="str">
            <v>27</v>
          </cell>
          <cell r="J545" t="str">
            <v>CPC1</v>
          </cell>
          <cell r="K545" t="str">
            <v>2703</v>
          </cell>
          <cell r="L545" t="str">
            <v>MULTIPOX</v>
          </cell>
          <cell r="M545" t="str">
            <v>270302</v>
          </cell>
          <cell r="N545" t="str">
            <v>MULTIPOX BASE</v>
          </cell>
        </row>
        <row r="546">
          <cell r="C546" t="str">
            <v>100001532</v>
          </cell>
          <cell r="D546" t="str">
            <v>MX-99 LIGHT ALABASTAR VN-1KS</v>
          </cell>
          <cell r="E546" t="str">
            <v>ZFGD</v>
          </cell>
          <cell r="F546" t="str">
            <v>SET</v>
          </cell>
          <cell r="G546" t="str">
            <v>2</v>
          </cell>
          <cell r="H546" t="str">
            <v>RETAIL</v>
          </cell>
          <cell r="I546" t="str">
            <v>27</v>
          </cell>
          <cell r="J546" t="str">
            <v>CPC1</v>
          </cell>
          <cell r="K546" t="str">
            <v>2703</v>
          </cell>
          <cell r="L546" t="str">
            <v>MULTIPOX</v>
          </cell>
          <cell r="M546" t="str">
            <v>270302</v>
          </cell>
          <cell r="N546" t="str">
            <v>MULTIPOX BASE</v>
          </cell>
        </row>
        <row r="547">
          <cell r="C547" t="str">
            <v>100001533</v>
          </cell>
          <cell r="D547" t="str">
            <v>MX-99 LIGHT ALABASTAR VN-0.6K</v>
          </cell>
          <cell r="E547" t="str">
            <v>ZFGD</v>
          </cell>
          <cell r="F547" t="str">
            <v>PC</v>
          </cell>
          <cell r="G547" t="str">
            <v>2</v>
          </cell>
          <cell r="H547" t="str">
            <v>RETAIL</v>
          </cell>
          <cell r="I547" t="str">
            <v>27</v>
          </cell>
          <cell r="J547" t="str">
            <v>CPC1</v>
          </cell>
          <cell r="K547" t="str">
            <v>2703</v>
          </cell>
          <cell r="L547" t="str">
            <v>MULTIPOX</v>
          </cell>
          <cell r="M547" t="str">
            <v>270302</v>
          </cell>
          <cell r="N547" t="str">
            <v>MULTIPOX BASE</v>
          </cell>
        </row>
        <row r="548">
          <cell r="C548" t="str">
            <v>100001534</v>
          </cell>
          <cell r="D548" t="str">
            <v>MX-99 LIGHT ALABASTAR VN-4KS</v>
          </cell>
          <cell r="E548" t="str">
            <v>ZFGD</v>
          </cell>
          <cell r="F548" t="str">
            <v>SET</v>
          </cell>
          <cell r="G548" t="str">
            <v>2</v>
          </cell>
          <cell r="H548" t="str">
            <v>RETAIL</v>
          </cell>
          <cell r="I548" t="str">
            <v>27</v>
          </cell>
          <cell r="J548" t="str">
            <v>CPC1</v>
          </cell>
          <cell r="K548" t="str">
            <v>2703</v>
          </cell>
          <cell r="L548" t="str">
            <v>MULTIPOX</v>
          </cell>
          <cell r="M548" t="str">
            <v>270302</v>
          </cell>
          <cell r="N548" t="str">
            <v>MULTIPOX BASE</v>
          </cell>
        </row>
        <row r="549">
          <cell r="C549" t="str">
            <v>100001535</v>
          </cell>
          <cell r="D549" t="str">
            <v>MX-99 LIGHT ALABASTAR VN-3K</v>
          </cell>
          <cell r="E549" t="str">
            <v>ZFGD</v>
          </cell>
          <cell r="F549" t="str">
            <v>PC</v>
          </cell>
          <cell r="G549" t="str">
            <v>2</v>
          </cell>
          <cell r="H549" t="str">
            <v>RETAIL</v>
          </cell>
          <cell r="I549" t="str">
            <v>27</v>
          </cell>
          <cell r="J549" t="str">
            <v>CPC1</v>
          </cell>
          <cell r="K549" t="str">
            <v>2703</v>
          </cell>
          <cell r="L549" t="str">
            <v>MULTIPOX</v>
          </cell>
          <cell r="M549" t="str">
            <v>270302</v>
          </cell>
          <cell r="N549" t="str">
            <v>MULTIPOX BASE</v>
          </cell>
        </row>
        <row r="550">
          <cell r="C550" t="str">
            <v>100001536</v>
          </cell>
          <cell r="D550" t="str">
            <v>MX-99 LIGHT ALABASTAR VN-20KSP</v>
          </cell>
          <cell r="E550" t="str">
            <v>ZFGD</v>
          </cell>
          <cell r="F550" t="str">
            <v>SET</v>
          </cell>
          <cell r="G550" t="str">
            <v>2</v>
          </cell>
          <cell r="H550" t="str">
            <v>RETAIL</v>
          </cell>
          <cell r="I550" t="str">
            <v>27</v>
          </cell>
          <cell r="J550" t="str">
            <v>CPC1</v>
          </cell>
          <cell r="K550" t="str">
            <v>2703</v>
          </cell>
          <cell r="L550" t="str">
            <v>MULTIPOX</v>
          </cell>
          <cell r="M550" t="str">
            <v>270302</v>
          </cell>
          <cell r="N550" t="str">
            <v>MULTIPOX BASE</v>
          </cell>
        </row>
        <row r="551">
          <cell r="C551" t="str">
            <v>100001537</v>
          </cell>
          <cell r="D551" t="str">
            <v>MX-99 LIGHT ALABASTAR VN-15KP</v>
          </cell>
          <cell r="E551" t="str">
            <v>ZFGD</v>
          </cell>
          <cell r="F551" t="str">
            <v>PC</v>
          </cell>
          <cell r="G551" t="str">
            <v>2</v>
          </cell>
          <cell r="H551" t="str">
            <v>RETAIL</v>
          </cell>
          <cell r="I551" t="str">
            <v>27</v>
          </cell>
          <cell r="J551" t="str">
            <v>CPC1</v>
          </cell>
          <cell r="K551" t="str">
            <v>2703</v>
          </cell>
          <cell r="L551" t="str">
            <v>MULTIPOX</v>
          </cell>
          <cell r="M551" t="str">
            <v>270302</v>
          </cell>
          <cell r="N551" t="str">
            <v>MULTIPOX BASE</v>
          </cell>
        </row>
        <row r="552">
          <cell r="C552" t="str">
            <v>100001538</v>
          </cell>
          <cell r="D552" t="str">
            <v>MX-99 LIGHT ALABASTAR VN-30KSP</v>
          </cell>
          <cell r="E552" t="str">
            <v>ZFGD</v>
          </cell>
          <cell r="F552" t="str">
            <v>SET</v>
          </cell>
          <cell r="G552" t="str">
            <v>2</v>
          </cell>
          <cell r="H552" t="str">
            <v>RETAIL</v>
          </cell>
          <cell r="I552" t="str">
            <v>27</v>
          </cell>
          <cell r="J552" t="str">
            <v>CPC1</v>
          </cell>
          <cell r="K552" t="str">
            <v>2703</v>
          </cell>
          <cell r="L552" t="str">
            <v>MULTIPOX</v>
          </cell>
          <cell r="M552" t="str">
            <v>270302</v>
          </cell>
          <cell r="N552" t="str">
            <v>MULTIPOX BASE</v>
          </cell>
        </row>
        <row r="553">
          <cell r="C553" t="str">
            <v>100001539</v>
          </cell>
          <cell r="D553" t="str">
            <v>MX-99 LIGHT ALABASTAR VN-22.5KP</v>
          </cell>
          <cell r="E553" t="str">
            <v>ZFGD</v>
          </cell>
          <cell r="F553" t="str">
            <v>PC</v>
          </cell>
          <cell r="G553" t="str">
            <v>2</v>
          </cell>
          <cell r="H553" t="str">
            <v>RETAIL</v>
          </cell>
          <cell r="I553" t="str">
            <v>27</v>
          </cell>
          <cell r="J553" t="str">
            <v>CPC1</v>
          </cell>
          <cell r="K553" t="str">
            <v>2703</v>
          </cell>
          <cell r="L553" t="str">
            <v>MULTIPOX</v>
          </cell>
          <cell r="M553" t="str">
            <v>270302</v>
          </cell>
          <cell r="N553" t="str">
            <v>MULTIPOX BASE</v>
          </cell>
        </row>
        <row r="554">
          <cell r="C554" t="str">
            <v>100001540</v>
          </cell>
          <cell r="D554" t="str">
            <v>MX-99 LIGHT BLUE VN-1KS</v>
          </cell>
          <cell r="E554" t="str">
            <v>ZFGD</v>
          </cell>
          <cell r="F554" t="str">
            <v>SET</v>
          </cell>
          <cell r="G554" t="str">
            <v>2</v>
          </cell>
          <cell r="H554" t="str">
            <v>RETAIL</v>
          </cell>
          <cell r="I554" t="str">
            <v>27</v>
          </cell>
          <cell r="J554" t="str">
            <v>CPC1</v>
          </cell>
          <cell r="K554" t="str">
            <v>2703</v>
          </cell>
          <cell r="L554" t="str">
            <v>MULTIPOX</v>
          </cell>
          <cell r="M554" t="str">
            <v>270302</v>
          </cell>
          <cell r="N554" t="str">
            <v>MULTIPOX BASE</v>
          </cell>
        </row>
        <row r="555">
          <cell r="C555" t="str">
            <v>100001541</v>
          </cell>
          <cell r="D555" t="str">
            <v>MX-99 LIGHT BLUE VN-0.6K</v>
          </cell>
          <cell r="E555" t="str">
            <v>ZFGD</v>
          </cell>
          <cell r="F555" t="str">
            <v>PC</v>
          </cell>
          <cell r="G555" t="str">
            <v>2</v>
          </cell>
          <cell r="H555" t="str">
            <v>RETAIL</v>
          </cell>
          <cell r="I555" t="str">
            <v>27</v>
          </cell>
          <cell r="J555" t="str">
            <v>CPC1</v>
          </cell>
          <cell r="K555" t="str">
            <v>2703</v>
          </cell>
          <cell r="L555" t="str">
            <v>MULTIPOX</v>
          </cell>
          <cell r="M555" t="str">
            <v>270302</v>
          </cell>
          <cell r="N555" t="str">
            <v>MULTIPOX BASE</v>
          </cell>
        </row>
        <row r="556">
          <cell r="C556" t="str">
            <v>100001542</v>
          </cell>
          <cell r="D556" t="str">
            <v>MX-99 LIGHT BLUE VN-4KS</v>
          </cell>
          <cell r="E556" t="str">
            <v>ZFGD</v>
          </cell>
          <cell r="F556" t="str">
            <v>SET</v>
          </cell>
          <cell r="G556" t="str">
            <v>2</v>
          </cell>
          <cell r="H556" t="str">
            <v>RETAIL</v>
          </cell>
          <cell r="I556" t="str">
            <v>27</v>
          </cell>
          <cell r="J556" t="str">
            <v>CPC1</v>
          </cell>
          <cell r="K556" t="str">
            <v>2703</v>
          </cell>
          <cell r="L556" t="str">
            <v>MULTIPOX</v>
          </cell>
          <cell r="M556" t="str">
            <v>270302</v>
          </cell>
          <cell r="N556" t="str">
            <v>MULTIPOX BASE</v>
          </cell>
        </row>
        <row r="557">
          <cell r="C557" t="str">
            <v>100001543</v>
          </cell>
          <cell r="D557" t="str">
            <v>MX-99 LIGHT BLUE VN-3K</v>
          </cell>
          <cell r="E557" t="str">
            <v>ZFGD</v>
          </cell>
          <cell r="F557" t="str">
            <v>PC</v>
          </cell>
          <cell r="G557" t="str">
            <v>2</v>
          </cell>
          <cell r="H557" t="str">
            <v>RETAIL</v>
          </cell>
          <cell r="I557" t="str">
            <v>27</v>
          </cell>
          <cell r="J557" t="str">
            <v>CPC1</v>
          </cell>
          <cell r="K557" t="str">
            <v>2703</v>
          </cell>
          <cell r="L557" t="str">
            <v>MULTIPOX</v>
          </cell>
          <cell r="M557" t="str">
            <v>270302</v>
          </cell>
          <cell r="N557" t="str">
            <v>MULTIPOX BASE</v>
          </cell>
        </row>
        <row r="558">
          <cell r="C558" t="str">
            <v>100001544</v>
          </cell>
          <cell r="D558" t="str">
            <v>MX-99 LIGHT BLUE VN-20KSP</v>
          </cell>
          <cell r="E558" t="str">
            <v>ZFGD</v>
          </cell>
          <cell r="F558" t="str">
            <v>SET</v>
          </cell>
          <cell r="G558" t="str">
            <v>2</v>
          </cell>
          <cell r="H558" t="str">
            <v>RETAIL</v>
          </cell>
          <cell r="I558" t="str">
            <v>27</v>
          </cell>
          <cell r="J558" t="str">
            <v>CPC1</v>
          </cell>
          <cell r="K558" t="str">
            <v>2703</v>
          </cell>
          <cell r="L558" t="str">
            <v>MULTIPOX</v>
          </cell>
          <cell r="M558" t="str">
            <v>270302</v>
          </cell>
          <cell r="N558" t="str">
            <v>MULTIPOX BASE</v>
          </cell>
        </row>
        <row r="559">
          <cell r="C559" t="str">
            <v>100001545</v>
          </cell>
          <cell r="D559" t="str">
            <v>MX-99 LIGHT BLUE VN-15KP</v>
          </cell>
          <cell r="E559" t="str">
            <v>ZFGD</v>
          </cell>
          <cell r="F559" t="str">
            <v>PC</v>
          </cell>
          <cell r="G559" t="str">
            <v>2</v>
          </cell>
          <cell r="H559" t="str">
            <v>RETAIL</v>
          </cell>
          <cell r="I559" t="str">
            <v>27</v>
          </cell>
          <cell r="J559" t="str">
            <v>CPC1</v>
          </cell>
          <cell r="K559" t="str">
            <v>2703</v>
          </cell>
          <cell r="L559" t="str">
            <v>MULTIPOX</v>
          </cell>
          <cell r="M559" t="str">
            <v>270302</v>
          </cell>
          <cell r="N559" t="str">
            <v>MULTIPOX BASE</v>
          </cell>
        </row>
        <row r="560">
          <cell r="C560" t="str">
            <v>100001546</v>
          </cell>
          <cell r="D560" t="str">
            <v>MX-99 LIGHT BLUE VN-30KSP</v>
          </cell>
          <cell r="E560" t="str">
            <v>ZFGD</v>
          </cell>
          <cell r="F560" t="str">
            <v>SET</v>
          </cell>
          <cell r="G560" t="str">
            <v>2</v>
          </cell>
          <cell r="H560" t="str">
            <v>RETAIL</v>
          </cell>
          <cell r="I560" t="str">
            <v>27</v>
          </cell>
          <cell r="J560" t="str">
            <v>CPC1</v>
          </cell>
          <cell r="K560" t="str">
            <v>2703</v>
          </cell>
          <cell r="L560" t="str">
            <v>MULTIPOX</v>
          </cell>
          <cell r="M560" t="str">
            <v>270302</v>
          </cell>
          <cell r="N560" t="str">
            <v>MULTIPOX BASE</v>
          </cell>
        </row>
        <row r="561">
          <cell r="C561" t="str">
            <v>100001547</v>
          </cell>
          <cell r="D561" t="str">
            <v>MX-99 LIGHT BLUE VN-22.5KP</v>
          </cell>
          <cell r="E561" t="str">
            <v>ZFGD</v>
          </cell>
          <cell r="F561" t="str">
            <v>PC</v>
          </cell>
          <cell r="G561" t="str">
            <v>2</v>
          </cell>
          <cell r="H561" t="str">
            <v>RETAIL</v>
          </cell>
          <cell r="I561" t="str">
            <v>27</v>
          </cell>
          <cell r="J561" t="str">
            <v>CPC1</v>
          </cell>
          <cell r="K561" t="str">
            <v>2703</v>
          </cell>
          <cell r="L561" t="str">
            <v>MULTIPOX</v>
          </cell>
          <cell r="M561" t="str">
            <v>270302</v>
          </cell>
          <cell r="N561" t="str">
            <v>MULTIPOX BASE</v>
          </cell>
        </row>
        <row r="562">
          <cell r="C562" t="str">
            <v>100001548</v>
          </cell>
          <cell r="D562" t="str">
            <v>MX-99 PALE GREEN VN-1KS</v>
          </cell>
          <cell r="E562" t="str">
            <v>ZFGD</v>
          </cell>
          <cell r="F562" t="str">
            <v>SET</v>
          </cell>
          <cell r="G562" t="str">
            <v>2</v>
          </cell>
          <cell r="H562" t="str">
            <v>RETAIL</v>
          </cell>
          <cell r="I562" t="str">
            <v>27</v>
          </cell>
          <cell r="J562" t="str">
            <v>CPC1</v>
          </cell>
          <cell r="K562" t="str">
            <v>2703</v>
          </cell>
          <cell r="L562" t="str">
            <v>MULTIPOX</v>
          </cell>
          <cell r="M562" t="str">
            <v>270302</v>
          </cell>
          <cell r="N562" t="str">
            <v>MULTIPOX BASE</v>
          </cell>
        </row>
        <row r="563">
          <cell r="C563" t="str">
            <v>100001549</v>
          </cell>
          <cell r="D563" t="str">
            <v>MX-99 PALE GREEN VN-0.6K</v>
          </cell>
          <cell r="E563" t="str">
            <v>ZFGD</v>
          </cell>
          <cell r="F563" t="str">
            <v>PC</v>
          </cell>
          <cell r="G563" t="str">
            <v>2</v>
          </cell>
          <cell r="H563" t="str">
            <v>RETAIL</v>
          </cell>
          <cell r="I563" t="str">
            <v>27</v>
          </cell>
          <cell r="J563" t="str">
            <v>CPC1</v>
          </cell>
          <cell r="K563" t="str">
            <v>2703</v>
          </cell>
          <cell r="L563" t="str">
            <v>MULTIPOX</v>
          </cell>
          <cell r="M563" t="str">
            <v>270302</v>
          </cell>
          <cell r="N563" t="str">
            <v>MULTIPOX BASE</v>
          </cell>
        </row>
        <row r="564">
          <cell r="C564" t="str">
            <v>100001550</v>
          </cell>
          <cell r="D564" t="str">
            <v>MX-99 PALE GREEN VN-4KS</v>
          </cell>
          <cell r="E564" t="str">
            <v>ZFGD</v>
          </cell>
          <cell r="F564" t="str">
            <v>SET</v>
          </cell>
          <cell r="G564" t="str">
            <v>2</v>
          </cell>
          <cell r="H564" t="str">
            <v>RETAIL</v>
          </cell>
          <cell r="I564" t="str">
            <v>27</v>
          </cell>
          <cell r="J564" t="str">
            <v>CPC1</v>
          </cell>
          <cell r="K564" t="str">
            <v>2703</v>
          </cell>
          <cell r="L564" t="str">
            <v>MULTIPOX</v>
          </cell>
          <cell r="M564" t="str">
            <v>270302</v>
          </cell>
          <cell r="N564" t="str">
            <v>MULTIPOX BASE</v>
          </cell>
        </row>
        <row r="565">
          <cell r="C565" t="str">
            <v>100001551</v>
          </cell>
          <cell r="D565" t="str">
            <v>MX-99 PALE GREEN VN-3K</v>
          </cell>
          <cell r="E565" t="str">
            <v>ZFGD</v>
          </cell>
          <cell r="F565" t="str">
            <v>PC</v>
          </cell>
          <cell r="G565" t="str">
            <v>2</v>
          </cell>
          <cell r="H565" t="str">
            <v>RETAIL</v>
          </cell>
          <cell r="I565" t="str">
            <v>27</v>
          </cell>
          <cell r="J565" t="str">
            <v>CPC1</v>
          </cell>
          <cell r="K565" t="str">
            <v>2703</v>
          </cell>
          <cell r="L565" t="str">
            <v>MULTIPOX</v>
          </cell>
          <cell r="M565" t="str">
            <v>270302</v>
          </cell>
          <cell r="N565" t="str">
            <v>MULTIPOX BASE</v>
          </cell>
        </row>
        <row r="566">
          <cell r="C566" t="str">
            <v>100001552</v>
          </cell>
          <cell r="D566" t="str">
            <v>MX-99 PALE GREEN VN-20KSP</v>
          </cell>
          <cell r="E566" t="str">
            <v>ZFGD</v>
          </cell>
          <cell r="F566" t="str">
            <v>SET</v>
          </cell>
          <cell r="G566" t="str">
            <v>2</v>
          </cell>
          <cell r="H566" t="str">
            <v>RETAIL</v>
          </cell>
          <cell r="I566" t="str">
            <v>27</v>
          </cell>
          <cell r="J566" t="str">
            <v>CPC1</v>
          </cell>
          <cell r="K566" t="str">
            <v>2703</v>
          </cell>
          <cell r="L566" t="str">
            <v>MULTIPOX</v>
          </cell>
          <cell r="M566" t="str">
            <v>270302</v>
          </cell>
          <cell r="N566" t="str">
            <v>MULTIPOX BASE</v>
          </cell>
        </row>
        <row r="567">
          <cell r="C567" t="str">
            <v>100001553</v>
          </cell>
          <cell r="D567" t="str">
            <v>MX-99 PALE GREEN VN-15KP</v>
          </cell>
          <cell r="E567" t="str">
            <v>ZFGD</v>
          </cell>
          <cell r="F567" t="str">
            <v>PC</v>
          </cell>
          <cell r="G567" t="str">
            <v>2</v>
          </cell>
          <cell r="H567" t="str">
            <v>RETAIL</v>
          </cell>
          <cell r="I567" t="str">
            <v>27</v>
          </cell>
          <cell r="J567" t="str">
            <v>CPC1</v>
          </cell>
          <cell r="K567" t="str">
            <v>2703</v>
          </cell>
          <cell r="L567" t="str">
            <v>MULTIPOX</v>
          </cell>
          <cell r="M567" t="str">
            <v>270302</v>
          </cell>
          <cell r="N567" t="str">
            <v>MULTIPOX BASE</v>
          </cell>
        </row>
        <row r="568">
          <cell r="C568" t="str">
            <v>100001554</v>
          </cell>
          <cell r="D568" t="str">
            <v>MX-99 PALE GREEN VN-30KSP</v>
          </cell>
          <cell r="E568" t="str">
            <v>ZFGD</v>
          </cell>
          <cell r="F568" t="str">
            <v>SET</v>
          </cell>
          <cell r="G568" t="str">
            <v>2</v>
          </cell>
          <cell r="H568" t="str">
            <v>RETAIL</v>
          </cell>
          <cell r="I568" t="str">
            <v>27</v>
          </cell>
          <cell r="J568" t="str">
            <v>CPC1</v>
          </cell>
          <cell r="K568" t="str">
            <v>2703</v>
          </cell>
          <cell r="L568" t="str">
            <v>MULTIPOX</v>
          </cell>
          <cell r="M568" t="str">
            <v>270302</v>
          </cell>
          <cell r="N568" t="str">
            <v>MULTIPOX BASE</v>
          </cell>
        </row>
        <row r="569">
          <cell r="C569" t="str">
            <v>100001555</v>
          </cell>
          <cell r="D569" t="str">
            <v>MX-99 PALE GREEN VN-22.5KP</v>
          </cell>
          <cell r="E569" t="str">
            <v>ZFGD</v>
          </cell>
          <cell r="F569" t="str">
            <v>PC</v>
          </cell>
          <cell r="G569" t="str">
            <v>2</v>
          </cell>
          <cell r="H569" t="str">
            <v>RETAIL</v>
          </cell>
          <cell r="I569" t="str">
            <v>27</v>
          </cell>
          <cell r="J569" t="str">
            <v>CPC1</v>
          </cell>
          <cell r="K569" t="str">
            <v>2703</v>
          </cell>
          <cell r="L569" t="str">
            <v>MULTIPOX</v>
          </cell>
          <cell r="M569" t="str">
            <v>270302</v>
          </cell>
          <cell r="N569" t="str">
            <v>MULTIPOX BASE</v>
          </cell>
        </row>
        <row r="570">
          <cell r="C570" t="str">
            <v>100001556</v>
          </cell>
          <cell r="D570" t="str">
            <v>MX-99 CLEAR GLOSS VN-1KS</v>
          </cell>
          <cell r="E570" t="str">
            <v>ZFGD</v>
          </cell>
          <cell r="F570" t="str">
            <v>SET</v>
          </cell>
          <cell r="G570" t="str">
            <v>2</v>
          </cell>
          <cell r="H570" t="str">
            <v>RETAIL</v>
          </cell>
          <cell r="I570" t="str">
            <v>27</v>
          </cell>
          <cell r="J570" t="str">
            <v>CPC1</v>
          </cell>
          <cell r="K570" t="str">
            <v>2703</v>
          </cell>
          <cell r="L570" t="str">
            <v>MULTIPOX</v>
          </cell>
          <cell r="M570" t="str">
            <v>270302</v>
          </cell>
          <cell r="N570" t="str">
            <v>MULTIPOX BASE</v>
          </cell>
        </row>
        <row r="571">
          <cell r="C571" t="str">
            <v>100001557</v>
          </cell>
          <cell r="D571" t="str">
            <v>MX-99 CLEAR GLOSS VN-0.6K</v>
          </cell>
          <cell r="E571" t="str">
            <v>ZFGD</v>
          </cell>
          <cell r="F571" t="str">
            <v>PC</v>
          </cell>
          <cell r="G571" t="str">
            <v>2</v>
          </cell>
          <cell r="H571" t="str">
            <v>RETAIL</v>
          </cell>
          <cell r="I571" t="str">
            <v>27</v>
          </cell>
          <cell r="J571" t="str">
            <v>CPC1</v>
          </cell>
          <cell r="K571" t="str">
            <v>2703</v>
          </cell>
          <cell r="L571" t="str">
            <v>MULTIPOX</v>
          </cell>
          <cell r="M571" t="str">
            <v>270302</v>
          </cell>
          <cell r="N571" t="str">
            <v>MULTIPOX BASE</v>
          </cell>
        </row>
        <row r="572">
          <cell r="C572" t="str">
            <v>100001558</v>
          </cell>
          <cell r="D572" t="str">
            <v>MX-99 CLEAR GLOSS VN-4KS</v>
          </cell>
          <cell r="E572" t="str">
            <v>ZFGD</v>
          </cell>
          <cell r="F572" t="str">
            <v>SET</v>
          </cell>
          <cell r="G572" t="str">
            <v>2</v>
          </cell>
          <cell r="H572" t="str">
            <v>RETAIL</v>
          </cell>
          <cell r="I572" t="str">
            <v>27</v>
          </cell>
          <cell r="J572" t="str">
            <v>CPC1</v>
          </cell>
          <cell r="K572" t="str">
            <v>2703</v>
          </cell>
          <cell r="L572" t="str">
            <v>MULTIPOX</v>
          </cell>
          <cell r="M572" t="str">
            <v>270302</v>
          </cell>
          <cell r="N572" t="str">
            <v>MULTIPOX BASE</v>
          </cell>
        </row>
        <row r="573">
          <cell r="C573" t="str">
            <v>100001559</v>
          </cell>
          <cell r="D573" t="str">
            <v>MX-99 CLEAR GLOSS VN-3K</v>
          </cell>
          <cell r="E573" t="str">
            <v>ZFGD</v>
          </cell>
          <cell r="F573" t="str">
            <v>PC</v>
          </cell>
          <cell r="G573" t="str">
            <v>2</v>
          </cell>
          <cell r="H573" t="str">
            <v>RETAIL</v>
          </cell>
          <cell r="I573" t="str">
            <v>27</v>
          </cell>
          <cell r="J573" t="str">
            <v>CPC1</v>
          </cell>
          <cell r="K573" t="str">
            <v>2703</v>
          </cell>
          <cell r="L573" t="str">
            <v>MULTIPOX</v>
          </cell>
          <cell r="M573" t="str">
            <v>270302</v>
          </cell>
          <cell r="N573" t="str">
            <v>MULTIPOX BASE</v>
          </cell>
        </row>
        <row r="574">
          <cell r="C574" t="str">
            <v>100001560</v>
          </cell>
          <cell r="D574" t="str">
            <v>MX-99 CLEAR GLOSS VN-20KSP</v>
          </cell>
          <cell r="E574" t="str">
            <v>ZFGD</v>
          </cell>
          <cell r="F574" t="str">
            <v>SET</v>
          </cell>
          <cell r="G574" t="str">
            <v>2</v>
          </cell>
          <cell r="H574" t="str">
            <v>RETAIL</v>
          </cell>
          <cell r="I574" t="str">
            <v>27</v>
          </cell>
          <cell r="J574" t="str">
            <v>CPC1</v>
          </cell>
          <cell r="K574" t="str">
            <v>2703</v>
          </cell>
          <cell r="L574" t="str">
            <v>MULTIPOX</v>
          </cell>
          <cell r="M574" t="str">
            <v>270302</v>
          </cell>
          <cell r="N574" t="str">
            <v>MULTIPOX BASE</v>
          </cell>
        </row>
        <row r="575">
          <cell r="C575" t="str">
            <v>100001561</v>
          </cell>
          <cell r="D575" t="str">
            <v>MX-99 CLEAR GLOSS VN-15KP</v>
          </cell>
          <cell r="E575" t="str">
            <v>ZFGD</v>
          </cell>
          <cell r="F575" t="str">
            <v>PC</v>
          </cell>
          <cell r="G575" t="str">
            <v>2</v>
          </cell>
          <cell r="H575" t="str">
            <v>RETAIL</v>
          </cell>
          <cell r="I575" t="str">
            <v>27</v>
          </cell>
          <cell r="J575" t="str">
            <v>CPC1</v>
          </cell>
          <cell r="K575" t="str">
            <v>2703</v>
          </cell>
          <cell r="L575" t="str">
            <v>MULTIPOX</v>
          </cell>
          <cell r="M575" t="str">
            <v>270302</v>
          </cell>
          <cell r="N575" t="str">
            <v>MULTIPOX BASE</v>
          </cell>
        </row>
        <row r="576">
          <cell r="C576" t="str">
            <v>100001562</v>
          </cell>
          <cell r="D576" t="str">
            <v>MX-99 CLEAR GLOSS VN-30KSP</v>
          </cell>
          <cell r="E576" t="str">
            <v>ZFGD</v>
          </cell>
          <cell r="F576" t="str">
            <v>SET</v>
          </cell>
          <cell r="G576" t="str">
            <v>2</v>
          </cell>
          <cell r="H576" t="str">
            <v>RETAIL</v>
          </cell>
          <cell r="I576" t="str">
            <v>27</v>
          </cell>
          <cell r="J576" t="str">
            <v>CPC1</v>
          </cell>
          <cell r="K576" t="str">
            <v>2703</v>
          </cell>
          <cell r="L576" t="str">
            <v>MULTIPOX</v>
          </cell>
          <cell r="M576" t="str">
            <v>270302</v>
          </cell>
          <cell r="N576" t="str">
            <v>MULTIPOX BASE</v>
          </cell>
        </row>
        <row r="577">
          <cell r="C577" t="str">
            <v>100001563</v>
          </cell>
          <cell r="D577" t="str">
            <v>MX-99 CLEAR GLOSS VN-22.5KP</v>
          </cell>
          <cell r="E577" t="str">
            <v>ZFGD</v>
          </cell>
          <cell r="F577" t="str">
            <v>PC</v>
          </cell>
          <cell r="G577" t="str">
            <v>2</v>
          </cell>
          <cell r="H577" t="str">
            <v>RETAIL</v>
          </cell>
          <cell r="I577" t="str">
            <v>27</v>
          </cell>
          <cell r="J577" t="str">
            <v>CPC1</v>
          </cell>
          <cell r="K577" t="str">
            <v>2703</v>
          </cell>
          <cell r="L577" t="str">
            <v>MULTIPOX</v>
          </cell>
          <cell r="M577" t="str">
            <v>270302</v>
          </cell>
          <cell r="N577" t="str">
            <v>MULTIPOX BASE</v>
          </cell>
        </row>
        <row r="578">
          <cell r="C578" t="str">
            <v>100001564</v>
          </cell>
          <cell r="D578" t="str">
            <v>MX-99 GREY VN-1KS</v>
          </cell>
          <cell r="E578" t="str">
            <v>ZFGD</v>
          </cell>
          <cell r="F578" t="str">
            <v>SET</v>
          </cell>
          <cell r="G578" t="str">
            <v>2</v>
          </cell>
          <cell r="H578" t="str">
            <v>RETAIL</v>
          </cell>
          <cell r="I578" t="str">
            <v>27</v>
          </cell>
          <cell r="J578" t="str">
            <v>CPC1</v>
          </cell>
          <cell r="K578" t="str">
            <v>2703</v>
          </cell>
          <cell r="L578" t="str">
            <v>MULTIPOX</v>
          </cell>
          <cell r="M578" t="str">
            <v>270302</v>
          </cell>
          <cell r="N578" t="str">
            <v>MULTIPOX BASE</v>
          </cell>
        </row>
        <row r="579">
          <cell r="C579" t="str">
            <v>100001565</v>
          </cell>
          <cell r="D579" t="str">
            <v>MX-99 GREY VN-0.6K</v>
          </cell>
          <cell r="E579" t="str">
            <v>ZFGD</v>
          </cell>
          <cell r="F579" t="str">
            <v>PC</v>
          </cell>
          <cell r="G579" t="str">
            <v>2</v>
          </cell>
          <cell r="H579" t="str">
            <v>RETAIL</v>
          </cell>
          <cell r="I579" t="str">
            <v>27</v>
          </cell>
          <cell r="J579" t="str">
            <v>CPC1</v>
          </cell>
          <cell r="K579" t="str">
            <v>2703</v>
          </cell>
          <cell r="L579" t="str">
            <v>MULTIPOX</v>
          </cell>
          <cell r="M579" t="str">
            <v>270302</v>
          </cell>
          <cell r="N579" t="str">
            <v>MULTIPOX BASE</v>
          </cell>
        </row>
        <row r="580">
          <cell r="C580" t="str">
            <v>100001566</v>
          </cell>
          <cell r="D580" t="str">
            <v>MX-99 GREY VN-4KS</v>
          </cell>
          <cell r="E580" t="str">
            <v>ZFGD</v>
          </cell>
          <cell r="F580" t="str">
            <v>SET</v>
          </cell>
          <cell r="G580" t="str">
            <v>2</v>
          </cell>
          <cell r="H580" t="str">
            <v>RETAIL</v>
          </cell>
          <cell r="I580" t="str">
            <v>27</v>
          </cell>
          <cell r="J580" t="str">
            <v>CPC1</v>
          </cell>
          <cell r="K580" t="str">
            <v>2703</v>
          </cell>
          <cell r="L580" t="str">
            <v>MULTIPOX</v>
          </cell>
          <cell r="M580" t="str">
            <v>270302</v>
          </cell>
          <cell r="N580" t="str">
            <v>MULTIPOX BASE</v>
          </cell>
        </row>
        <row r="581">
          <cell r="C581" t="str">
            <v>100001567</v>
          </cell>
          <cell r="D581" t="str">
            <v>MX-99 GREY VN-3K</v>
          </cell>
          <cell r="E581" t="str">
            <v>ZFGD</v>
          </cell>
          <cell r="F581" t="str">
            <v>PC</v>
          </cell>
          <cell r="G581" t="str">
            <v>2</v>
          </cell>
          <cell r="H581" t="str">
            <v>RETAIL</v>
          </cell>
          <cell r="I581" t="str">
            <v>27</v>
          </cell>
          <cell r="J581" t="str">
            <v>CPC1</v>
          </cell>
          <cell r="K581" t="str">
            <v>2703</v>
          </cell>
          <cell r="L581" t="str">
            <v>MULTIPOX</v>
          </cell>
          <cell r="M581" t="str">
            <v>270302</v>
          </cell>
          <cell r="N581" t="str">
            <v>MULTIPOX BASE</v>
          </cell>
        </row>
        <row r="582">
          <cell r="C582" t="str">
            <v>100001568</v>
          </cell>
          <cell r="D582" t="str">
            <v>MX-99 GREY VN-20KSP</v>
          </cell>
          <cell r="E582" t="str">
            <v>ZFGD</v>
          </cell>
          <cell r="F582" t="str">
            <v>SET</v>
          </cell>
          <cell r="G582" t="str">
            <v>2</v>
          </cell>
          <cell r="H582" t="str">
            <v>RETAIL</v>
          </cell>
          <cell r="I582" t="str">
            <v>27</v>
          </cell>
          <cell r="J582" t="str">
            <v>CPC1</v>
          </cell>
          <cell r="K582" t="str">
            <v>2703</v>
          </cell>
          <cell r="L582" t="str">
            <v>MULTIPOX</v>
          </cell>
          <cell r="M582" t="str">
            <v>270302</v>
          </cell>
          <cell r="N582" t="str">
            <v>MULTIPOX BASE</v>
          </cell>
        </row>
        <row r="583">
          <cell r="C583" t="str">
            <v>100001569</v>
          </cell>
          <cell r="D583" t="str">
            <v>MX-99 GREY VN-15KP</v>
          </cell>
          <cell r="E583" t="str">
            <v>ZFGD</v>
          </cell>
          <cell r="F583" t="str">
            <v>PC</v>
          </cell>
          <cell r="G583" t="str">
            <v>2</v>
          </cell>
          <cell r="H583" t="str">
            <v>RETAIL</v>
          </cell>
          <cell r="I583" t="str">
            <v>27</v>
          </cell>
          <cell r="J583" t="str">
            <v>CPC1</v>
          </cell>
          <cell r="K583" t="str">
            <v>2703</v>
          </cell>
          <cell r="L583" t="str">
            <v>MULTIPOX</v>
          </cell>
          <cell r="M583" t="str">
            <v>270302</v>
          </cell>
          <cell r="N583" t="str">
            <v>MULTIPOX BASE</v>
          </cell>
        </row>
        <row r="584">
          <cell r="C584" t="str">
            <v>100001570</v>
          </cell>
          <cell r="D584" t="str">
            <v>MX-99 GREY VN-30KSP</v>
          </cell>
          <cell r="E584" t="str">
            <v>ZFGD</v>
          </cell>
          <cell r="F584" t="str">
            <v>SET</v>
          </cell>
          <cell r="G584" t="str">
            <v>2</v>
          </cell>
          <cell r="H584" t="str">
            <v>RETAIL</v>
          </cell>
          <cell r="I584" t="str">
            <v>27</v>
          </cell>
          <cell r="J584" t="str">
            <v>CPC1</v>
          </cell>
          <cell r="K584" t="str">
            <v>2703</v>
          </cell>
          <cell r="L584" t="str">
            <v>MULTIPOX</v>
          </cell>
          <cell r="M584" t="str">
            <v>270302</v>
          </cell>
          <cell r="N584" t="str">
            <v>MULTIPOX BASE</v>
          </cell>
        </row>
        <row r="585">
          <cell r="C585" t="str">
            <v>100001571</v>
          </cell>
          <cell r="D585" t="str">
            <v>MX-99 GREY VN-22.5KP</v>
          </cell>
          <cell r="E585" t="str">
            <v>ZFGD</v>
          </cell>
          <cell r="F585" t="str">
            <v>PC</v>
          </cell>
          <cell r="G585" t="str">
            <v>2</v>
          </cell>
          <cell r="H585" t="str">
            <v>RETAIL</v>
          </cell>
          <cell r="I585" t="str">
            <v>27</v>
          </cell>
          <cell r="J585" t="str">
            <v>CPC1</v>
          </cell>
          <cell r="K585" t="str">
            <v>2703</v>
          </cell>
          <cell r="L585" t="str">
            <v>MULTIPOX</v>
          </cell>
          <cell r="M585" t="str">
            <v>270302</v>
          </cell>
          <cell r="N585" t="str">
            <v>MULTIPOX BASE</v>
          </cell>
        </row>
        <row r="586">
          <cell r="C586" t="str">
            <v>100001572</v>
          </cell>
          <cell r="D586" t="str">
            <v>MX-99 GREY COOP VN-1KS</v>
          </cell>
          <cell r="E586" t="str">
            <v>ZFGD</v>
          </cell>
          <cell r="F586" t="str">
            <v>SET</v>
          </cell>
          <cell r="G586" t="str">
            <v>2</v>
          </cell>
          <cell r="H586" t="str">
            <v>RETAIL</v>
          </cell>
          <cell r="I586" t="str">
            <v>27</v>
          </cell>
          <cell r="J586" t="str">
            <v>CPC1</v>
          </cell>
          <cell r="K586" t="str">
            <v>2703</v>
          </cell>
          <cell r="L586" t="str">
            <v>MULTIPOX</v>
          </cell>
          <cell r="M586" t="str">
            <v>270302</v>
          </cell>
          <cell r="N586" t="str">
            <v>MULTIPOX BASE</v>
          </cell>
        </row>
        <row r="587">
          <cell r="C587" t="str">
            <v>100001573</v>
          </cell>
          <cell r="D587" t="str">
            <v>MX-99 GREY COOP VN-0.6K</v>
          </cell>
          <cell r="E587" t="str">
            <v>ZFGD</v>
          </cell>
          <cell r="F587" t="str">
            <v>PC</v>
          </cell>
          <cell r="G587" t="str">
            <v>2</v>
          </cell>
          <cell r="H587" t="str">
            <v>RETAIL</v>
          </cell>
          <cell r="I587" t="str">
            <v>27</v>
          </cell>
          <cell r="J587" t="str">
            <v>CPC1</v>
          </cell>
          <cell r="K587" t="str">
            <v>2703</v>
          </cell>
          <cell r="L587" t="str">
            <v>MULTIPOX</v>
          </cell>
          <cell r="M587" t="str">
            <v>270302</v>
          </cell>
          <cell r="N587" t="str">
            <v>MULTIPOX BASE</v>
          </cell>
        </row>
        <row r="588">
          <cell r="C588" t="str">
            <v>100001574</v>
          </cell>
          <cell r="D588" t="str">
            <v>MX-99 GREY COOP VN-4KS</v>
          </cell>
          <cell r="E588" t="str">
            <v>ZFGD</v>
          </cell>
          <cell r="F588" t="str">
            <v>SET</v>
          </cell>
          <cell r="G588" t="str">
            <v>2</v>
          </cell>
          <cell r="H588" t="str">
            <v>RETAIL</v>
          </cell>
          <cell r="I588" t="str">
            <v>27</v>
          </cell>
          <cell r="J588" t="str">
            <v>CPC1</v>
          </cell>
          <cell r="K588" t="str">
            <v>2703</v>
          </cell>
          <cell r="L588" t="str">
            <v>MULTIPOX</v>
          </cell>
          <cell r="M588" t="str">
            <v>270302</v>
          </cell>
          <cell r="N588" t="str">
            <v>MULTIPOX BASE</v>
          </cell>
        </row>
        <row r="589">
          <cell r="C589" t="str">
            <v>100001575</v>
          </cell>
          <cell r="D589" t="str">
            <v>MX-99 GREY COOP VN-3K</v>
          </cell>
          <cell r="E589" t="str">
            <v>ZFGD</v>
          </cell>
          <cell r="F589" t="str">
            <v>PC</v>
          </cell>
          <cell r="G589" t="str">
            <v>2</v>
          </cell>
          <cell r="H589" t="str">
            <v>RETAIL</v>
          </cell>
          <cell r="I589" t="str">
            <v>27</v>
          </cell>
          <cell r="J589" t="str">
            <v>CPC1</v>
          </cell>
          <cell r="K589" t="str">
            <v>2703</v>
          </cell>
          <cell r="L589" t="str">
            <v>MULTIPOX</v>
          </cell>
          <cell r="M589" t="str">
            <v>270302</v>
          </cell>
          <cell r="N589" t="str">
            <v>MULTIPOX BASE</v>
          </cell>
        </row>
        <row r="590">
          <cell r="C590" t="str">
            <v>100001576</v>
          </cell>
          <cell r="D590" t="str">
            <v>MX-99 GREY COOP VN-20KSP</v>
          </cell>
          <cell r="E590" t="str">
            <v>ZFGD</v>
          </cell>
          <cell r="F590" t="str">
            <v>SET</v>
          </cell>
          <cell r="G590" t="str">
            <v>2</v>
          </cell>
          <cell r="H590" t="str">
            <v>RETAIL</v>
          </cell>
          <cell r="I590" t="str">
            <v>27</v>
          </cell>
          <cell r="J590" t="str">
            <v>CPC1</v>
          </cell>
          <cell r="K590" t="str">
            <v>2703</v>
          </cell>
          <cell r="L590" t="str">
            <v>MULTIPOX</v>
          </cell>
          <cell r="M590" t="str">
            <v>270302</v>
          </cell>
          <cell r="N590" t="str">
            <v>MULTIPOX BASE</v>
          </cell>
        </row>
        <row r="591">
          <cell r="C591" t="str">
            <v>100001577</v>
          </cell>
          <cell r="D591" t="str">
            <v>MX-99 GREY COOP VN-15KP</v>
          </cell>
          <cell r="E591" t="str">
            <v>ZFGD</v>
          </cell>
          <cell r="F591" t="str">
            <v>PC</v>
          </cell>
          <cell r="G591" t="str">
            <v>2</v>
          </cell>
          <cell r="H591" t="str">
            <v>RETAIL</v>
          </cell>
          <cell r="I591" t="str">
            <v>27</v>
          </cell>
          <cell r="J591" t="str">
            <v>CPC1</v>
          </cell>
          <cell r="K591" t="str">
            <v>2703</v>
          </cell>
          <cell r="L591" t="str">
            <v>MULTIPOX</v>
          </cell>
          <cell r="M591" t="str">
            <v>270302</v>
          </cell>
          <cell r="N591" t="str">
            <v>MULTIPOX BASE</v>
          </cell>
        </row>
        <row r="592">
          <cell r="C592" t="str">
            <v>100001578</v>
          </cell>
          <cell r="D592" t="str">
            <v>MX-99 GREY COOP VN-30KSP</v>
          </cell>
          <cell r="E592" t="str">
            <v>ZFGD</v>
          </cell>
          <cell r="F592" t="str">
            <v>SET</v>
          </cell>
          <cell r="G592" t="str">
            <v>2</v>
          </cell>
          <cell r="H592" t="str">
            <v>RETAIL</v>
          </cell>
          <cell r="I592" t="str">
            <v>27</v>
          </cell>
          <cell r="J592" t="str">
            <v>CPC1</v>
          </cell>
          <cell r="K592" t="str">
            <v>2703</v>
          </cell>
          <cell r="L592" t="str">
            <v>MULTIPOX</v>
          </cell>
          <cell r="M592" t="str">
            <v>270302</v>
          </cell>
          <cell r="N592" t="str">
            <v>MULTIPOX BASE</v>
          </cell>
        </row>
        <row r="593">
          <cell r="C593" t="str">
            <v>100001579</v>
          </cell>
          <cell r="D593" t="str">
            <v>MX-99 GREY COOP VN-22.5KP</v>
          </cell>
          <cell r="E593" t="str">
            <v>ZFGD</v>
          </cell>
          <cell r="F593" t="str">
            <v>PC</v>
          </cell>
          <cell r="G593" t="str">
            <v>2</v>
          </cell>
          <cell r="H593" t="str">
            <v>RETAIL</v>
          </cell>
          <cell r="I593" t="str">
            <v>27</v>
          </cell>
          <cell r="J593" t="str">
            <v>CPC1</v>
          </cell>
          <cell r="K593" t="str">
            <v>2703</v>
          </cell>
          <cell r="L593" t="str">
            <v>MULTIPOX</v>
          </cell>
          <cell r="M593" t="str">
            <v>270302</v>
          </cell>
          <cell r="N593" t="str">
            <v>MULTIPOX BASE</v>
          </cell>
        </row>
        <row r="594">
          <cell r="C594" t="str">
            <v>100001580</v>
          </cell>
          <cell r="D594" t="str">
            <v>MX-99 PEPPER VN-1KS</v>
          </cell>
          <cell r="E594" t="str">
            <v>ZFGD</v>
          </cell>
          <cell r="F594" t="str">
            <v>SET</v>
          </cell>
          <cell r="G594" t="str">
            <v>2</v>
          </cell>
          <cell r="H594" t="str">
            <v>RETAIL</v>
          </cell>
          <cell r="I594" t="str">
            <v>27</v>
          </cell>
          <cell r="J594" t="str">
            <v>CPC1</v>
          </cell>
          <cell r="K594" t="str">
            <v>2703</v>
          </cell>
          <cell r="L594" t="str">
            <v>MULTIPOX</v>
          </cell>
          <cell r="M594" t="str">
            <v>270302</v>
          </cell>
          <cell r="N594" t="str">
            <v>MULTIPOX BASE</v>
          </cell>
        </row>
        <row r="595">
          <cell r="C595" t="str">
            <v>100001581</v>
          </cell>
          <cell r="D595" t="str">
            <v>MX-99 PEPPER VN-0.6K</v>
          </cell>
          <cell r="E595" t="str">
            <v>ZFGD</v>
          </cell>
          <cell r="F595" t="str">
            <v>PC</v>
          </cell>
          <cell r="G595" t="str">
            <v>2</v>
          </cell>
          <cell r="H595" t="str">
            <v>RETAIL</v>
          </cell>
          <cell r="I595" t="str">
            <v>27</v>
          </cell>
          <cell r="J595" t="str">
            <v>CPC1</v>
          </cell>
          <cell r="K595" t="str">
            <v>2703</v>
          </cell>
          <cell r="L595" t="str">
            <v>MULTIPOX</v>
          </cell>
          <cell r="M595" t="str">
            <v>270302</v>
          </cell>
          <cell r="N595" t="str">
            <v>MULTIPOX BASE</v>
          </cell>
        </row>
        <row r="596">
          <cell r="C596" t="str">
            <v>100001582</v>
          </cell>
          <cell r="D596" t="str">
            <v>MX-99 PEPPER VN-4KS</v>
          </cell>
          <cell r="E596" t="str">
            <v>ZFGD</v>
          </cell>
          <cell r="F596" t="str">
            <v>SET</v>
          </cell>
          <cell r="G596" t="str">
            <v>2</v>
          </cell>
          <cell r="H596" t="str">
            <v>RETAIL</v>
          </cell>
          <cell r="I596" t="str">
            <v>27</v>
          </cell>
          <cell r="J596" t="str">
            <v>CPC1</v>
          </cell>
          <cell r="K596" t="str">
            <v>2703</v>
          </cell>
          <cell r="L596" t="str">
            <v>MULTIPOX</v>
          </cell>
          <cell r="M596" t="str">
            <v>270302</v>
          </cell>
          <cell r="N596" t="str">
            <v>MULTIPOX BASE</v>
          </cell>
        </row>
        <row r="597">
          <cell r="C597" t="str">
            <v>100001583</v>
          </cell>
          <cell r="D597" t="str">
            <v>MX-99 PEPPER VN-3K</v>
          </cell>
          <cell r="E597" t="str">
            <v>ZFGD</v>
          </cell>
          <cell r="F597" t="str">
            <v>PC</v>
          </cell>
          <cell r="G597" t="str">
            <v>2</v>
          </cell>
          <cell r="H597" t="str">
            <v>RETAIL</v>
          </cell>
          <cell r="I597" t="str">
            <v>27</v>
          </cell>
          <cell r="J597" t="str">
            <v>CPC1</v>
          </cell>
          <cell r="K597" t="str">
            <v>2703</v>
          </cell>
          <cell r="L597" t="str">
            <v>MULTIPOX</v>
          </cell>
          <cell r="M597" t="str">
            <v>270302</v>
          </cell>
          <cell r="N597" t="str">
            <v>MULTIPOX BASE</v>
          </cell>
        </row>
        <row r="598">
          <cell r="C598" t="str">
            <v>100001584</v>
          </cell>
          <cell r="D598" t="str">
            <v>MX-99 PEPPER VN-20KSP</v>
          </cell>
          <cell r="E598" t="str">
            <v>ZFGD</v>
          </cell>
          <cell r="F598" t="str">
            <v>SET</v>
          </cell>
          <cell r="G598" t="str">
            <v>2</v>
          </cell>
          <cell r="H598" t="str">
            <v>RETAIL</v>
          </cell>
          <cell r="I598" t="str">
            <v>27</v>
          </cell>
          <cell r="J598" t="str">
            <v>CPC1</v>
          </cell>
          <cell r="K598" t="str">
            <v>2703</v>
          </cell>
          <cell r="L598" t="str">
            <v>MULTIPOX</v>
          </cell>
          <cell r="M598" t="str">
            <v>270302</v>
          </cell>
          <cell r="N598" t="str">
            <v>MULTIPOX BASE</v>
          </cell>
        </row>
        <row r="599">
          <cell r="C599" t="str">
            <v>100001585</v>
          </cell>
          <cell r="D599" t="str">
            <v>MX-99 PEPPER VN-15KP</v>
          </cell>
          <cell r="E599" t="str">
            <v>ZFGD</v>
          </cell>
          <cell r="F599" t="str">
            <v>PC</v>
          </cell>
          <cell r="G599" t="str">
            <v>2</v>
          </cell>
          <cell r="H599" t="str">
            <v>RETAIL</v>
          </cell>
          <cell r="I599" t="str">
            <v>27</v>
          </cell>
          <cell r="J599" t="str">
            <v>CPC1</v>
          </cell>
          <cell r="K599" t="str">
            <v>2703</v>
          </cell>
          <cell r="L599" t="str">
            <v>MULTIPOX</v>
          </cell>
          <cell r="M599" t="str">
            <v>270302</v>
          </cell>
          <cell r="N599" t="str">
            <v>MULTIPOX BASE</v>
          </cell>
        </row>
        <row r="600">
          <cell r="C600" t="str">
            <v>100001586</v>
          </cell>
          <cell r="D600" t="str">
            <v>MX-99 PEPPER VN-30KSP</v>
          </cell>
          <cell r="E600" t="str">
            <v>ZFGD</v>
          </cell>
          <cell r="F600" t="str">
            <v>SET</v>
          </cell>
          <cell r="G600" t="str">
            <v>2</v>
          </cell>
          <cell r="H600" t="str">
            <v>RETAIL</v>
          </cell>
          <cell r="I600" t="str">
            <v>27</v>
          </cell>
          <cell r="J600" t="str">
            <v>CPC1</v>
          </cell>
          <cell r="K600" t="str">
            <v>2703</v>
          </cell>
          <cell r="L600" t="str">
            <v>MULTIPOX</v>
          </cell>
          <cell r="M600" t="str">
            <v>270302</v>
          </cell>
          <cell r="N600" t="str">
            <v>MULTIPOX BASE</v>
          </cell>
        </row>
        <row r="601">
          <cell r="C601" t="str">
            <v>100001587</v>
          </cell>
          <cell r="D601" t="str">
            <v>MX-99 PEPPER VN-22.5KP</v>
          </cell>
          <cell r="E601" t="str">
            <v>ZFGD</v>
          </cell>
          <cell r="F601" t="str">
            <v>PC</v>
          </cell>
          <cell r="G601" t="str">
            <v>2</v>
          </cell>
          <cell r="H601" t="str">
            <v>RETAIL</v>
          </cell>
          <cell r="I601" t="str">
            <v>27</v>
          </cell>
          <cell r="J601" t="str">
            <v>CPC1</v>
          </cell>
          <cell r="K601" t="str">
            <v>2703</v>
          </cell>
          <cell r="L601" t="str">
            <v>MULTIPOX</v>
          </cell>
          <cell r="M601" t="str">
            <v>270302</v>
          </cell>
          <cell r="N601" t="str">
            <v>MULTIPOX BASE</v>
          </cell>
        </row>
        <row r="602">
          <cell r="C602" t="str">
            <v>100001588</v>
          </cell>
          <cell r="D602" t="str">
            <v>MX-99 IRISH WHITE VN-1KS</v>
          </cell>
          <cell r="E602" t="str">
            <v>ZFGD</v>
          </cell>
          <cell r="F602" t="str">
            <v>SET</v>
          </cell>
          <cell r="G602" t="str">
            <v>2</v>
          </cell>
          <cell r="H602" t="str">
            <v>RETAIL</v>
          </cell>
          <cell r="I602" t="str">
            <v>27</v>
          </cell>
          <cell r="J602" t="str">
            <v>CPC1</v>
          </cell>
          <cell r="K602" t="str">
            <v>2703</v>
          </cell>
          <cell r="L602" t="str">
            <v>MULTIPOX</v>
          </cell>
          <cell r="M602" t="str">
            <v>270302</v>
          </cell>
          <cell r="N602" t="str">
            <v>MULTIPOX BASE</v>
          </cell>
        </row>
        <row r="603">
          <cell r="C603" t="str">
            <v>100001589</v>
          </cell>
          <cell r="D603" t="str">
            <v>MX-99 IRISH WHITE VN-0.6K</v>
          </cell>
          <cell r="E603" t="str">
            <v>ZFGD</v>
          </cell>
          <cell r="F603" t="str">
            <v>PC</v>
          </cell>
          <cell r="G603" t="str">
            <v>2</v>
          </cell>
          <cell r="H603" t="str">
            <v>RETAIL</v>
          </cell>
          <cell r="I603" t="str">
            <v>27</v>
          </cell>
          <cell r="J603" t="str">
            <v>CPC1</v>
          </cell>
          <cell r="K603" t="str">
            <v>2703</v>
          </cell>
          <cell r="L603" t="str">
            <v>MULTIPOX</v>
          </cell>
          <cell r="M603" t="str">
            <v>270302</v>
          </cell>
          <cell r="N603" t="str">
            <v>MULTIPOX BASE</v>
          </cell>
        </row>
        <row r="604">
          <cell r="C604" t="str">
            <v>100001590</v>
          </cell>
          <cell r="D604" t="str">
            <v>MX-99 IRISH WHITE VN-4KS</v>
          </cell>
          <cell r="E604" t="str">
            <v>ZFGD</v>
          </cell>
          <cell r="F604" t="str">
            <v>SET</v>
          </cell>
          <cell r="G604" t="str">
            <v>2</v>
          </cell>
          <cell r="H604" t="str">
            <v>RETAIL</v>
          </cell>
          <cell r="I604" t="str">
            <v>27</v>
          </cell>
          <cell r="J604" t="str">
            <v>CPC1</v>
          </cell>
          <cell r="K604" t="str">
            <v>2703</v>
          </cell>
          <cell r="L604" t="str">
            <v>MULTIPOX</v>
          </cell>
          <cell r="M604" t="str">
            <v>270302</v>
          </cell>
          <cell r="N604" t="str">
            <v>MULTIPOX BASE</v>
          </cell>
        </row>
        <row r="605">
          <cell r="C605" t="str">
            <v>100001591</v>
          </cell>
          <cell r="D605" t="str">
            <v>MX-99 IRISH WHITE VN-3K</v>
          </cell>
          <cell r="E605" t="str">
            <v>ZFGD</v>
          </cell>
          <cell r="F605" t="str">
            <v>PC</v>
          </cell>
          <cell r="G605" t="str">
            <v>2</v>
          </cell>
          <cell r="H605" t="str">
            <v>RETAIL</v>
          </cell>
          <cell r="I605" t="str">
            <v>27</v>
          </cell>
          <cell r="J605" t="str">
            <v>CPC1</v>
          </cell>
          <cell r="K605" t="str">
            <v>2703</v>
          </cell>
          <cell r="L605" t="str">
            <v>MULTIPOX</v>
          </cell>
          <cell r="M605" t="str">
            <v>270302</v>
          </cell>
          <cell r="N605" t="str">
            <v>MULTIPOX BASE</v>
          </cell>
        </row>
        <row r="606">
          <cell r="C606" t="str">
            <v>100001592</v>
          </cell>
          <cell r="D606" t="str">
            <v>MX-99 IRISH WHITE VN-20KSP</v>
          </cell>
          <cell r="E606" t="str">
            <v>ZFGD</v>
          </cell>
          <cell r="F606" t="str">
            <v>SET</v>
          </cell>
          <cell r="G606" t="str">
            <v>2</v>
          </cell>
          <cell r="H606" t="str">
            <v>RETAIL</v>
          </cell>
          <cell r="I606" t="str">
            <v>27</v>
          </cell>
          <cell r="J606" t="str">
            <v>CPC1</v>
          </cell>
          <cell r="K606" t="str">
            <v>2703</v>
          </cell>
          <cell r="L606" t="str">
            <v>MULTIPOX</v>
          </cell>
          <cell r="M606" t="str">
            <v>270302</v>
          </cell>
          <cell r="N606" t="str">
            <v>MULTIPOX BASE</v>
          </cell>
        </row>
        <row r="607">
          <cell r="C607" t="str">
            <v>100001593</v>
          </cell>
          <cell r="D607" t="str">
            <v>MX-99 IRISH WHITE VN-15KP</v>
          </cell>
          <cell r="E607" t="str">
            <v>ZFGD</v>
          </cell>
          <cell r="F607" t="str">
            <v>PC</v>
          </cell>
          <cell r="G607" t="str">
            <v>2</v>
          </cell>
          <cell r="H607" t="str">
            <v>RETAIL</v>
          </cell>
          <cell r="I607" t="str">
            <v>27</v>
          </cell>
          <cell r="J607" t="str">
            <v>CPC1</v>
          </cell>
          <cell r="K607" t="str">
            <v>2703</v>
          </cell>
          <cell r="L607" t="str">
            <v>MULTIPOX</v>
          </cell>
          <cell r="M607" t="str">
            <v>270302</v>
          </cell>
          <cell r="N607" t="str">
            <v>MULTIPOX BASE</v>
          </cell>
        </row>
        <row r="608">
          <cell r="C608" t="str">
            <v>100001594</v>
          </cell>
          <cell r="D608" t="str">
            <v>MX-99 IRISH WHITE VN-30KSP</v>
          </cell>
          <cell r="E608" t="str">
            <v>ZFGD</v>
          </cell>
          <cell r="F608" t="str">
            <v>SET</v>
          </cell>
          <cell r="G608" t="str">
            <v>2</v>
          </cell>
          <cell r="H608" t="str">
            <v>RETAIL</v>
          </cell>
          <cell r="I608" t="str">
            <v>27</v>
          </cell>
          <cell r="J608" t="str">
            <v>CPC1</v>
          </cell>
          <cell r="K608" t="str">
            <v>2703</v>
          </cell>
          <cell r="L608" t="str">
            <v>MULTIPOX</v>
          </cell>
          <cell r="M608" t="str">
            <v>270302</v>
          </cell>
          <cell r="N608" t="str">
            <v>MULTIPOX BASE</v>
          </cell>
        </row>
        <row r="609">
          <cell r="C609" t="str">
            <v>100001595</v>
          </cell>
          <cell r="D609" t="str">
            <v>MX-99 IRISH WHITE VN-22.5KP</v>
          </cell>
          <cell r="E609" t="str">
            <v>ZFGD</v>
          </cell>
          <cell r="F609" t="str">
            <v>PC</v>
          </cell>
          <cell r="G609" t="str">
            <v>2</v>
          </cell>
          <cell r="H609" t="str">
            <v>RETAIL</v>
          </cell>
          <cell r="I609" t="str">
            <v>27</v>
          </cell>
          <cell r="J609" t="str">
            <v>CPC1</v>
          </cell>
          <cell r="K609" t="str">
            <v>2703</v>
          </cell>
          <cell r="L609" t="str">
            <v>MULTIPOX</v>
          </cell>
          <cell r="M609" t="str">
            <v>270302</v>
          </cell>
          <cell r="N609" t="str">
            <v>MULTIPOX BASE</v>
          </cell>
        </row>
        <row r="610">
          <cell r="C610" t="str">
            <v>100001596</v>
          </cell>
          <cell r="D610" t="str">
            <v>MX-99 RAL 1028 YELLOW ORANGE VN-1KS</v>
          </cell>
          <cell r="E610" t="str">
            <v>ZFGD</v>
          </cell>
          <cell r="F610" t="str">
            <v>SET</v>
          </cell>
          <cell r="G610" t="str">
            <v>2</v>
          </cell>
          <cell r="H610" t="str">
            <v>RETAIL</v>
          </cell>
          <cell r="I610" t="str">
            <v>27</v>
          </cell>
          <cell r="J610" t="str">
            <v>CPC1</v>
          </cell>
          <cell r="K610" t="str">
            <v>2703</v>
          </cell>
          <cell r="L610" t="str">
            <v>MULTIPOX</v>
          </cell>
          <cell r="M610" t="str">
            <v>270302</v>
          </cell>
          <cell r="N610" t="str">
            <v>MULTIPOX BASE</v>
          </cell>
        </row>
        <row r="611">
          <cell r="C611" t="str">
            <v>100001597</v>
          </cell>
          <cell r="D611" t="str">
            <v>MX-99 RAL 1028 YELLOW ORANGE VN-0.6K</v>
          </cell>
          <cell r="E611" t="str">
            <v>ZFGD</v>
          </cell>
          <cell r="F611" t="str">
            <v>PC</v>
          </cell>
          <cell r="G611" t="str">
            <v>2</v>
          </cell>
          <cell r="H611" t="str">
            <v>RETAIL</v>
          </cell>
          <cell r="I611" t="str">
            <v>27</v>
          </cell>
          <cell r="J611" t="str">
            <v>CPC1</v>
          </cell>
          <cell r="K611" t="str">
            <v>2703</v>
          </cell>
          <cell r="L611" t="str">
            <v>MULTIPOX</v>
          </cell>
          <cell r="M611" t="str">
            <v>270302</v>
          </cell>
          <cell r="N611" t="str">
            <v>MULTIPOX BASE</v>
          </cell>
        </row>
        <row r="612">
          <cell r="C612" t="str">
            <v>100001598</v>
          </cell>
          <cell r="D612" t="str">
            <v>MX-99 RAL 1028 YELLOW ORANGE VN-4KS</v>
          </cell>
          <cell r="E612" t="str">
            <v>ZFGD</v>
          </cell>
          <cell r="F612" t="str">
            <v>SET</v>
          </cell>
          <cell r="G612" t="str">
            <v>2</v>
          </cell>
          <cell r="H612" t="str">
            <v>RETAIL</v>
          </cell>
          <cell r="I612" t="str">
            <v>27</v>
          </cell>
          <cell r="J612" t="str">
            <v>CPC1</v>
          </cell>
          <cell r="K612" t="str">
            <v>2703</v>
          </cell>
          <cell r="L612" t="str">
            <v>MULTIPOX</v>
          </cell>
          <cell r="M612" t="str">
            <v>270302</v>
          </cell>
          <cell r="N612" t="str">
            <v>MULTIPOX BASE</v>
          </cell>
        </row>
        <row r="613">
          <cell r="C613" t="str">
            <v>100001599</v>
          </cell>
          <cell r="D613" t="str">
            <v>MX-99 RAL 1028 YELLOW ORANGE VN-3K</v>
          </cell>
          <cell r="E613" t="str">
            <v>ZFGD</v>
          </cell>
          <cell r="F613" t="str">
            <v>PC</v>
          </cell>
          <cell r="G613" t="str">
            <v>2</v>
          </cell>
          <cell r="H613" t="str">
            <v>RETAIL</v>
          </cell>
          <cell r="I613" t="str">
            <v>27</v>
          </cell>
          <cell r="J613" t="str">
            <v>CPC1</v>
          </cell>
          <cell r="K613" t="str">
            <v>2703</v>
          </cell>
          <cell r="L613" t="str">
            <v>MULTIPOX</v>
          </cell>
          <cell r="M613" t="str">
            <v>270302</v>
          </cell>
          <cell r="N613" t="str">
            <v>MULTIPOX BASE</v>
          </cell>
        </row>
        <row r="614">
          <cell r="C614" t="str">
            <v>100001600</v>
          </cell>
          <cell r="D614" t="str">
            <v>MX-99 RAL 1028 YELLOW ORANGE VN-20KSP</v>
          </cell>
          <cell r="E614" t="str">
            <v>ZFGD</v>
          </cell>
          <cell r="F614" t="str">
            <v>SET</v>
          </cell>
          <cell r="G614" t="str">
            <v>2</v>
          </cell>
          <cell r="H614" t="str">
            <v>RETAIL</v>
          </cell>
          <cell r="I614" t="str">
            <v>27</v>
          </cell>
          <cell r="J614" t="str">
            <v>CPC1</v>
          </cell>
          <cell r="K614" t="str">
            <v>2703</v>
          </cell>
          <cell r="L614" t="str">
            <v>MULTIPOX</v>
          </cell>
          <cell r="M614" t="str">
            <v>270302</v>
          </cell>
          <cell r="N614" t="str">
            <v>MULTIPOX BASE</v>
          </cell>
        </row>
        <row r="615">
          <cell r="C615" t="str">
            <v>100001601</v>
          </cell>
          <cell r="D615" t="str">
            <v>MX-99 RAL 1028 YELLOW ORANGE VN-15KP</v>
          </cell>
          <cell r="E615" t="str">
            <v>ZFGD</v>
          </cell>
          <cell r="F615" t="str">
            <v>PC</v>
          </cell>
          <cell r="G615" t="str">
            <v>2</v>
          </cell>
          <cell r="H615" t="str">
            <v>RETAIL</v>
          </cell>
          <cell r="I615" t="str">
            <v>27</v>
          </cell>
          <cell r="J615" t="str">
            <v>CPC1</v>
          </cell>
          <cell r="K615" t="str">
            <v>2703</v>
          </cell>
          <cell r="L615" t="str">
            <v>MULTIPOX</v>
          </cell>
          <cell r="M615" t="str">
            <v>270302</v>
          </cell>
          <cell r="N615" t="str">
            <v>MULTIPOX BASE</v>
          </cell>
        </row>
        <row r="616">
          <cell r="C616" t="str">
            <v>100001602</v>
          </cell>
          <cell r="D616" t="str">
            <v>MX-99 RAL 1028 YELLOW ORANGE VN-30KSP</v>
          </cell>
          <cell r="E616" t="str">
            <v>ZFGD</v>
          </cell>
          <cell r="F616" t="str">
            <v>SET</v>
          </cell>
          <cell r="G616" t="str">
            <v>2</v>
          </cell>
          <cell r="H616" t="str">
            <v>RETAIL</v>
          </cell>
          <cell r="I616" t="str">
            <v>27</v>
          </cell>
          <cell r="J616" t="str">
            <v>CPC1</v>
          </cell>
          <cell r="K616" t="str">
            <v>2703</v>
          </cell>
          <cell r="L616" t="str">
            <v>MULTIPOX</v>
          </cell>
          <cell r="M616" t="str">
            <v>270302</v>
          </cell>
          <cell r="N616" t="str">
            <v>MULTIPOX BASE</v>
          </cell>
        </row>
        <row r="617">
          <cell r="C617" t="str">
            <v>100001603</v>
          </cell>
          <cell r="D617" t="str">
            <v>MX-99 RAL 1028 YELLOW ORANGE VN-22.5KP</v>
          </cell>
          <cell r="E617" t="str">
            <v>ZFGD</v>
          </cell>
          <cell r="F617" t="str">
            <v>PC</v>
          </cell>
          <cell r="G617" t="str">
            <v>2</v>
          </cell>
          <cell r="H617" t="str">
            <v>RETAIL</v>
          </cell>
          <cell r="I617" t="str">
            <v>27</v>
          </cell>
          <cell r="J617" t="str">
            <v>CPC1</v>
          </cell>
          <cell r="K617" t="str">
            <v>2703</v>
          </cell>
          <cell r="L617" t="str">
            <v>MULTIPOX</v>
          </cell>
          <cell r="M617" t="str">
            <v>270302</v>
          </cell>
          <cell r="N617" t="str">
            <v>MULTIPOX BASE</v>
          </cell>
        </row>
        <row r="618">
          <cell r="C618" t="str">
            <v>100001604</v>
          </cell>
          <cell r="D618" t="str">
            <v>MX-99 5775 BLUE VN-1KS</v>
          </cell>
          <cell r="E618" t="str">
            <v>ZFGD</v>
          </cell>
          <cell r="F618" t="str">
            <v>SET</v>
          </cell>
          <cell r="G618" t="str">
            <v>2</v>
          </cell>
          <cell r="H618" t="str">
            <v>RETAIL</v>
          </cell>
          <cell r="I618" t="str">
            <v>27</v>
          </cell>
          <cell r="J618" t="str">
            <v>CPC1</v>
          </cell>
          <cell r="K618" t="str">
            <v>2703</v>
          </cell>
          <cell r="L618" t="str">
            <v>MULTIPOX</v>
          </cell>
          <cell r="M618" t="str">
            <v>270302</v>
          </cell>
          <cell r="N618" t="str">
            <v>MULTIPOX BASE</v>
          </cell>
        </row>
        <row r="619">
          <cell r="C619" t="str">
            <v>100001605</v>
          </cell>
          <cell r="D619" t="str">
            <v>MX-99 5775 BLUE VN-0.6K</v>
          </cell>
          <cell r="E619" t="str">
            <v>ZFGD</v>
          </cell>
          <cell r="F619" t="str">
            <v>PC</v>
          </cell>
          <cell r="G619" t="str">
            <v>2</v>
          </cell>
          <cell r="H619" t="str">
            <v>RETAIL</v>
          </cell>
          <cell r="I619" t="str">
            <v>27</v>
          </cell>
          <cell r="J619" t="str">
            <v>CPC1</v>
          </cell>
          <cell r="K619" t="str">
            <v>2703</v>
          </cell>
          <cell r="L619" t="str">
            <v>MULTIPOX</v>
          </cell>
          <cell r="M619" t="str">
            <v>270302</v>
          </cell>
          <cell r="N619" t="str">
            <v>MULTIPOX BASE</v>
          </cell>
        </row>
        <row r="620">
          <cell r="C620" t="str">
            <v>100001606</v>
          </cell>
          <cell r="D620" t="str">
            <v>MX-99 5775 BLUE VN-4KS</v>
          </cell>
          <cell r="E620" t="str">
            <v>ZFGD</v>
          </cell>
          <cell r="F620" t="str">
            <v>SET</v>
          </cell>
          <cell r="G620" t="str">
            <v>2</v>
          </cell>
          <cell r="H620" t="str">
            <v>RETAIL</v>
          </cell>
          <cell r="I620" t="str">
            <v>27</v>
          </cell>
          <cell r="J620" t="str">
            <v>CPC1</v>
          </cell>
          <cell r="K620" t="str">
            <v>2703</v>
          </cell>
          <cell r="L620" t="str">
            <v>MULTIPOX</v>
          </cell>
          <cell r="M620" t="str">
            <v>270302</v>
          </cell>
          <cell r="N620" t="str">
            <v>MULTIPOX BASE</v>
          </cell>
        </row>
        <row r="621">
          <cell r="C621" t="str">
            <v>100001607</v>
          </cell>
          <cell r="D621" t="str">
            <v>MX-99 5775 BLUE VN-3K</v>
          </cell>
          <cell r="E621" t="str">
            <v>ZFGD</v>
          </cell>
          <cell r="F621" t="str">
            <v>PC</v>
          </cell>
          <cell r="G621" t="str">
            <v>2</v>
          </cell>
          <cell r="H621" t="str">
            <v>RETAIL</v>
          </cell>
          <cell r="I621" t="str">
            <v>27</v>
          </cell>
          <cell r="J621" t="str">
            <v>CPC1</v>
          </cell>
          <cell r="K621" t="str">
            <v>2703</v>
          </cell>
          <cell r="L621" t="str">
            <v>MULTIPOX</v>
          </cell>
          <cell r="M621" t="str">
            <v>270302</v>
          </cell>
          <cell r="N621" t="str">
            <v>MULTIPOX BASE</v>
          </cell>
        </row>
        <row r="622">
          <cell r="C622" t="str">
            <v>100001608</v>
          </cell>
          <cell r="D622" t="str">
            <v>MX-99 5775 BLUE VN-20KSP</v>
          </cell>
          <cell r="E622" t="str">
            <v>ZFGD</v>
          </cell>
          <cell r="F622" t="str">
            <v>SET</v>
          </cell>
          <cell r="G622" t="str">
            <v>2</v>
          </cell>
          <cell r="H622" t="str">
            <v>RETAIL</v>
          </cell>
          <cell r="I622" t="str">
            <v>27</v>
          </cell>
          <cell r="J622" t="str">
            <v>CPC1</v>
          </cell>
          <cell r="K622" t="str">
            <v>2703</v>
          </cell>
          <cell r="L622" t="str">
            <v>MULTIPOX</v>
          </cell>
          <cell r="M622" t="str">
            <v>270302</v>
          </cell>
          <cell r="N622" t="str">
            <v>MULTIPOX BASE</v>
          </cell>
        </row>
        <row r="623">
          <cell r="C623" t="str">
            <v>100001609</v>
          </cell>
          <cell r="D623" t="str">
            <v>MX-99 5775 BLUE VN-15KP</v>
          </cell>
          <cell r="E623" t="str">
            <v>ZFGD</v>
          </cell>
          <cell r="F623" t="str">
            <v>PC</v>
          </cell>
          <cell r="G623" t="str">
            <v>2</v>
          </cell>
          <cell r="H623" t="str">
            <v>RETAIL</v>
          </cell>
          <cell r="I623" t="str">
            <v>27</v>
          </cell>
          <cell r="J623" t="str">
            <v>CPC1</v>
          </cell>
          <cell r="K623" t="str">
            <v>2703</v>
          </cell>
          <cell r="L623" t="str">
            <v>MULTIPOX</v>
          </cell>
          <cell r="M623" t="str">
            <v>270302</v>
          </cell>
          <cell r="N623" t="str">
            <v>MULTIPOX BASE</v>
          </cell>
        </row>
        <row r="624">
          <cell r="C624" t="str">
            <v>100001610</v>
          </cell>
          <cell r="D624" t="str">
            <v>MX-99 5775 BLUE VN-30KSP</v>
          </cell>
          <cell r="E624" t="str">
            <v>ZFGD</v>
          </cell>
          <cell r="F624" t="str">
            <v>SET</v>
          </cell>
          <cell r="G624" t="str">
            <v>2</v>
          </cell>
          <cell r="H624" t="str">
            <v>RETAIL</v>
          </cell>
          <cell r="I624" t="str">
            <v>27</v>
          </cell>
          <cell r="J624" t="str">
            <v>CPC1</v>
          </cell>
          <cell r="K624" t="str">
            <v>2703</v>
          </cell>
          <cell r="L624" t="str">
            <v>MULTIPOX</v>
          </cell>
          <cell r="M624" t="str">
            <v>270302</v>
          </cell>
          <cell r="N624" t="str">
            <v>MULTIPOX BASE</v>
          </cell>
        </row>
        <row r="625">
          <cell r="C625" t="str">
            <v>100001611</v>
          </cell>
          <cell r="D625" t="str">
            <v>MX-99 5775 BLUE VN-22.5KP</v>
          </cell>
          <cell r="E625" t="str">
            <v>ZFGD</v>
          </cell>
          <cell r="F625" t="str">
            <v>PC</v>
          </cell>
          <cell r="G625" t="str">
            <v>2</v>
          </cell>
          <cell r="H625" t="str">
            <v>RETAIL</v>
          </cell>
          <cell r="I625" t="str">
            <v>27</v>
          </cell>
          <cell r="J625" t="str">
            <v>CPC1</v>
          </cell>
          <cell r="K625" t="str">
            <v>2703</v>
          </cell>
          <cell r="L625" t="str">
            <v>MULTIPOX</v>
          </cell>
          <cell r="M625" t="str">
            <v>270302</v>
          </cell>
          <cell r="N625" t="str">
            <v>MULTIPOX BASE</v>
          </cell>
        </row>
        <row r="626">
          <cell r="C626" t="str">
            <v>100001612</v>
          </cell>
          <cell r="D626" t="str">
            <v>MX-99 YELLOW VC VN-1KS</v>
          </cell>
          <cell r="E626" t="str">
            <v>ZFGD</v>
          </cell>
          <cell r="F626" t="str">
            <v>SET</v>
          </cell>
          <cell r="G626" t="str">
            <v>2</v>
          </cell>
          <cell r="H626" t="str">
            <v>RETAIL</v>
          </cell>
          <cell r="I626" t="str">
            <v>27</v>
          </cell>
          <cell r="J626" t="str">
            <v>CPC1</v>
          </cell>
          <cell r="K626" t="str">
            <v>2703</v>
          </cell>
          <cell r="L626" t="str">
            <v>MULTIPOX</v>
          </cell>
          <cell r="M626" t="str">
            <v>270302</v>
          </cell>
          <cell r="N626" t="str">
            <v>MULTIPOX BASE</v>
          </cell>
        </row>
        <row r="627">
          <cell r="C627" t="str">
            <v>100001613</v>
          </cell>
          <cell r="D627" t="str">
            <v>MX-99 YELLOW VC VN-0.6K</v>
          </cell>
          <cell r="E627" t="str">
            <v>ZFGD</v>
          </cell>
          <cell r="F627" t="str">
            <v>PC</v>
          </cell>
          <cell r="G627" t="str">
            <v>2</v>
          </cell>
          <cell r="H627" t="str">
            <v>RETAIL</v>
          </cell>
          <cell r="I627" t="str">
            <v>27</v>
          </cell>
          <cell r="J627" t="str">
            <v>CPC1</v>
          </cell>
          <cell r="K627" t="str">
            <v>2703</v>
          </cell>
          <cell r="L627" t="str">
            <v>MULTIPOX</v>
          </cell>
          <cell r="M627" t="str">
            <v>270302</v>
          </cell>
          <cell r="N627" t="str">
            <v>MULTIPOX BASE</v>
          </cell>
        </row>
        <row r="628">
          <cell r="C628" t="str">
            <v>100001614</v>
          </cell>
          <cell r="D628" t="str">
            <v>MX-99 YELLOW VC VN-4KS</v>
          </cell>
          <cell r="E628" t="str">
            <v>ZFGD</v>
          </cell>
          <cell r="F628" t="str">
            <v>SET</v>
          </cell>
          <cell r="G628" t="str">
            <v>2</v>
          </cell>
          <cell r="H628" t="str">
            <v>RETAIL</v>
          </cell>
          <cell r="I628" t="str">
            <v>27</v>
          </cell>
          <cell r="J628" t="str">
            <v>CPC1</v>
          </cell>
          <cell r="K628" t="str">
            <v>2703</v>
          </cell>
          <cell r="L628" t="str">
            <v>MULTIPOX</v>
          </cell>
          <cell r="M628" t="str">
            <v>270302</v>
          </cell>
          <cell r="N628" t="str">
            <v>MULTIPOX BASE</v>
          </cell>
        </row>
        <row r="629">
          <cell r="C629" t="str">
            <v>100001615</v>
          </cell>
          <cell r="D629" t="str">
            <v>MX-99 YELLOW VC VN-3K</v>
          </cell>
          <cell r="E629" t="str">
            <v>ZFGD</v>
          </cell>
          <cell r="F629" t="str">
            <v>PC</v>
          </cell>
          <cell r="G629" t="str">
            <v>2</v>
          </cell>
          <cell r="H629" t="str">
            <v>RETAIL</v>
          </cell>
          <cell r="I629" t="str">
            <v>27</v>
          </cell>
          <cell r="J629" t="str">
            <v>CPC1</v>
          </cell>
          <cell r="K629" t="str">
            <v>2703</v>
          </cell>
          <cell r="L629" t="str">
            <v>MULTIPOX</v>
          </cell>
          <cell r="M629" t="str">
            <v>270302</v>
          </cell>
          <cell r="N629" t="str">
            <v>MULTIPOX BASE</v>
          </cell>
        </row>
        <row r="630">
          <cell r="C630" t="str">
            <v>100001616</v>
          </cell>
          <cell r="D630" t="str">
            <v>MX-99 YELLOW VC VN-20KSP</v>
          </cell>
          <cell r="E630" t="str">
            <v>ZFGD</v>
          </cell>
          <cell r="F630" t="str">
            <v>SET</v>
          </cell>
          <cell r="G630" t="str">
            <v>2</v>
          </cell>
          <cell r="H630" t="str">
            <v>RETAIL</v>
          </cell>
          <cell r="I630" t="str">
            <v>27</v>
          </cell>
          <cell r="J630" t="str">
            <v>CPC1</v>
          </cell>
          <cell r="K630" t="str">
            <v>2703</v>
          </cell>
          <cell r="L630" t="str">
            <v>MULTIPOX</v>
          </cell>
          <cell r="M630" t="str">
            <v>270302</v>
          </cell>
          <cell r="N630" t="str">
            <v>MULTIPOX BASE</v>
          </cell>
        </row>
        <row r="631">
          <cell r="C631" t="str">
            <v>100001617</v>
          </cell>
          <cell r="D631" t="str">
            <v>MX-99 YELLOW VC VN-15KP</v>
          </cell>
          <cell r="E631" t="str">
            <v>ZFGD</v>
          </cell>
          <cell r="F631" t="str">
            <v>PC</v>
          </cell>
          <cell r="G631" t="str">
            <v>2</v>
          </cell>
          <cell r="H631" t="str">
            <v>RETAIL</v>
          </cell>
          <cell r="I631" t="str">
            <v>27</v>
          </cell>
          <cell r="J631" t="str">
            <v>CPC1</v>
          </cell>
          <cell r="K631" t="str">
            <v>2703</v>
          </cell>
          <cell r="L631" t="str">
            <v>MULTIPOX</v>
          </cell>
          <cell r="M631" t="str">
            <v>270302</v>
          </cell>
          <cell r="N631" t="str">
            <v>MULTIPOX BASE</v>
          </cell>
        </row>
        <row r="632">
          <cell r="C632" t="str">
            <v>100001618</v>
          </cell>
          <cell r="D632" t="str">
            <v>MX-99 YELLOW VC VN-30KSP</v>
          </cell>
          <cell r="E632" t="str">
            <v>ZFGD</v>
          </cell>
          <cell r="F632" t="str">
            <v>SET</v>
          </cell>
          <cell r="G632" t="str">
            <v>2</v>
          </cell>
          <cell r="H632" t="str">
            <v>RETAIL</v>
          </cell>
          <cell r="I632" t="str">
            <v>27</v>
          </cell>
          <cell r="J632" t="str">
            <v>CPC1</v>
          </cell>
          <cell r="K632" t="str">
            <v>2703</v>
          </cell>
          <cell r="L632" t="str">
            <v>MULTIPOX</v>
          </cell>
          <cell r="M632" t="str">
            <v>270302</v>
          </cell>
          <cell r="N632" t="str">
            <v>MULTIPOX BASE</v>
          </cell>
        </row>
        <row r="633">
          <cell r="C633" t="str">
            <v>100001619</v>
          </cell>
          <cell r="D633" t="str">
            <v>MX-99 YELLOW VC VN-22.5KP</v>
          </cell>
          <cell r="E633" t="str">
            <v>ZFGD</v>
          </cell>
          <cell r="F633" t="str">
            <v>PC</v>
          </cell>
          <cell r="G633" t="str">
            <v>2</v>
          </cell>
          <cell r="H633" t="str">
            <v>RETAIL</v>
          </cell>
          <cell r="I633" t="str">
            <v>27</v>
          </cell>
          <cell r="J633" t="str">
            <v>CPC1</v>
          </cell>
          <cell r="K633" t="str">
            <v>2703</v>
          </cell>
          <cell r="L633" t="str">
            <v>MULTIPOX</v>
          </cell>
          <cell r="M633" t="str">
            <v>270302</v>
          </cell>
          <cell r="N633" t="str">
            <v>MULTIPOX BASE</v>
          </cell>
        </row>
        <row r="634">
          <cell r="C634" t="str">
            <v>100001620</v>
          </cell>
          <cell r="D634" t="str">
            <v>PROPAN STONE CARE SC-50 SB VN-1L</v>
          </cell>
          <cell r="E634" t="str">
            <v>ZFGD</v>
          </cell>
          <cell r="F634" t="str">
            <v>PC</v>
          </cell>
          <cell r="G634" t="str">
            <v>2</v>
          </cell>
          <cell r="H634" t="str">
            <v>RETAIL</v>
          </cell>
          <cell r="I634" t="str">
            <v>26</v>
          </cell>
          <cell r="J634" t="str">
            <v>SFC</v>
          </cell>
          <cell r="K634" t="str">
            <v>2601</v>
          </cell>
          <cell r="L634" t="str">
            <v>STONE CARE</v>
          </cell>
          <cell r="M634" t="str">
            <v>260101</v>
          </cell>
          <cell r="N634" t="str">
            <v>PROPAN STONE CARE</v>
          </cell>
        </row>
        <row r="635">
          <cell r="C635" t="str">
            <v>100001621</v>
          </cell>
          <cell r="D635" t="str">
            <v>AP-281 OXIDE RED VN-0.8K</v>
          </cell>
          <cell r="E635" t="str">
            <v>ZFGD</v>
          </cell>
          <cell r="F635" t="str">
            <v>PC</v>
          </cell>
          <cell r="G635" t="str">
            <v>5</v>
          </cell>
          <cell r="H635" t="str">
            <v>PROJECT</v>
          </cell>
          <cell r="I635" t="str">
            <v>59</v>
          </cell>
          <cell r="J635" t="str">
            <v>MPC</v>
          </cell>
          <cell r="K635" t="str">
            <v>5904</v>
          </cell>
          <cell r="L635" t="str">
            <v>METALKOTE</v>
          </cell>
          <cell r="M635" t="str">
            <v>590401</v>
          </cell>
          <cell r="N635" t="str">
            <v>METALKOTE-ALKYD SYS</v>
          </cell>
        </row>
        <row r="636">
          <cell r="C636" t="str">
            <v>100001622</v>
          </cell>
          <cell r="D636" t="str">
            <v>#NOT USED AP-281 OXIDE RED VN-3K</v>
          </cell>
          <cell r="E636" t="str">
            <v>ZFGD</v>
          </cell>
          <cell r="F636" t="str">
            <v>PC</v>
          </cell>
          <cell r="G636" t="str">
            <v>2</v>
          </cell>
          <cell r="H636" t="str">
            <v>RETAIL</v>
          </cell>
          <cell r="I636" t="str">
            <v>29</v>
          </cell>
          <cell r="J636" t="str">
            <v>MPC</v>
          </cell>
          <cell r="K636" t="str">
            <v>2901</v>
          </cell>
          <cell r="L636" t="str">
            <v>METALKOTE</v>
          </cell>
          <cell r="M636" t="str">
            <v>290101</v>
          </cell>
          <cell r="N636" t="str">
            <v>METALKOTE-ALKYD SYS</v>
          </cell>
        </row>
        <row r="637">
          <cell r="C637" t="str">
            <v>100001623</v>
          </cell>
          <cell r="D637" t="str">
            <v>AP-281-01 ZINC PHOSPHATE VN-0.8K</v>
          </cell>
          <cell r="E637" t="str">
            <v>ZFGD</v>
          </cell>
          <cell r="F637" t="str">
            <v>PC</v>
          </cell>
          <cell r="G637" t="str">
            <v>5</v>
          </cell>
          <cell r="H637" t="str">
            <v>PROJECT</v>
          </cell>
          <cell r="I637" t="str">
            <v>59</v>
          </cell>
          <cell r="J637" t="str">
            <v>MPC</v>
          </cell>
          <cell r="K637" t="str">
            <v>5904</v>
          </cell>
          <cell r="L637" t="str">
            <v>METALKOTE</v>
          </cell>
          <cell r="M637" t="str">
            <v>590401</v>
          </cell>
          <cell r="N637" t="str">
            <v>METALKOTE-ALKYD SYS</v>
          </cell>
        </row>
        <row r="638">
          <cell r="C638" t="str">
            <v>100001624</v>
          </cell>
          <cell r="D638" t="str">
            <v>AP-281-01 ZINC PHOSPHATE VN-3K</v>
          </cell>
          <cell r="E638" t="str">
            <v>ZFGD</v>
          </cell>
          <cell r="F638" t="str">
            <v>PC</v>
          </cell>
          <cell r="G638" t="str">
            <v>5</v>
          </cell>
          <cell r="H638" t="str">
            <v>PROJECT</v>
          </cell>
          <cell r="I638" t="str">
            <v>59</v>
          </cell>
          <cell r="J638" t="str">
            <v>MPC</v>
          </cell>
          <cell r="K638" t="str">
            <v>5904</v>
          </cell>
          <cell r="L638" t="str">
            <v>METALKOTE</v>
          </cell>
          <cell r="M638" t="str">
            <v>590401</v>
          </cell>
          <cell r="N638" t="str">
            <v>METALKOTE-ALKYD SYS</v>
          </cell>
        </row>
        <row r="639">
          <cell r="C639" t="str">
            <v>100001625</v>
          </cell>
          <cell r="D639" t="str">
            <v>AP-281-01 RED OXIDE VN-0.8K</v>
          </cell>
          <cell r="E639" t="str">
            <v>ZFGD</v>
          </cell>
          <cell r="F639" t="str">
            <v>PC</v>
          </cell>
          <cell r="G639" t="str">
            <v>5</v>
          </cell>
          <cell r="H639" t="str">
            <v>PROJECT</v>
          </cell>
          <cell r="I639" t="str">
            <v>59</v>
          </cell>
          <cell r="J639" t="str">
            <v>MPC</v>
          </cell>
          <cell r="K639" t="str">
            <v>5904</v>
          </cell>
          <cell r="L639" t="str">
            <v>METALKOTE</v>
          </cell>
          <cell r="M639" t="str">
            <v>590401</v>
          </cell>
          <cell r="N639" t="str">
            <v>METALKOTE-ALKYD SYS</v>
          </cell>
        </row>
        <row r="640">
          <cell r="C640" t="str">
            <v>100001626</v>
          </cell>
          <cell r="D640" t="str">
            <v>AP-281-01 RED OXIDE VN-3K</v>
          </cell>
          <cell r="E640" t="str">
            <v>ZFGD</v>
          </cell>
          <cell r="F640" t="str">
            <v>PC</v>
          </cell>
          <cell r="G640" t="str">
            <v>5</v>
          </cell>
          <cell r="H640" t="str">
            <v>PROJECT</v>
          </cell>
          <cell r="I640" t="str">
            <v>59</v>
          </cell>
          <cell r="J640" t="str">
            <v>MPC</v>
          </cell>
          <cell r="K640" t="str">
            <v>5904</v>
          </cell>
          <cell r="L640" t="str">
            <v>METALKOTE</v>
          </cell>
          <cell r="M640" t="str">
            <v>590401</v>
          </cell>
          <cell r="N640" t="str">
            <v>METALKOTE-ALKYD SYS</v>
          </cell>
        </row>
        <row r="641">
          <cell r="C641" t="str">
            <v>100001627</v>
          </cell>
          <cell r="D641" t="str">
            <v>NOT USED EDP-551 ZINC PHOSPHATE VN-1KS</v>
          </cell>
          <cell r="E641" t="str">
            <v>ZFGD</v>
          </cell>
          <cell r="F641" t="str">
            <v>SET</v>
          </cell>
          <cell r="G641" t="str">
            <v>2</v>
          </cell>
          <cell r="H641" t="str">
            <v>RETAIL</v>
          </cell>
          <cell r="I641" t="str">
            <v>29</v>
          </cell>
          <cell r="J641" t="str">
            <v>MPC</v>
          </cell>
          <cell r="K641" t="str">
            <v>2901</v>
          </cell>
          <cell r="L641" t="str">
            <v>METALKOTE</v>
          </cell>
          <cell r="M641" t="str">
            <v>290102</v>
          </cell>
          <cell r="N641" t="str">
            <v>METALKOTE-EPOXY SYS</v>
          </cell>
        </row>
        <row r="642">
          <cell r="C642" t="str">
            <v>100001628</v>
          </cell>
          <cell r="D642" t="str">
            <v>EDP-551 ZINC PHOSPHATE (XÁM) VN-0.9K</v>
          </cell>
          <cell r="E642" t="str">
            <v>ZFGD</v>
          </cell>
          <cell r="F642" t="str">
            <v>PC</v>
          </cell>
          <cell r="G642" t="str">
            <v>5</v>
          </cell>
          <cell r="H642" t="str">
            <v>PROJECT</v>
          </cell>
          <cell r="I642" t="str">
            <v>59</v>
          </cell>
          <cell r="J642" t="str">
            <v>MPC</v>
          </cell>
          <cell r="K642" t="str">
            <v>5904</v>
          </cell>
          <cell r="L642" t="str">
            <v>METALKOTE</v>
          </cell>
          <cell r="M642" t="str">
            <v>590402</v>
          </cell>
          <cell r="N642" t="str">
            <v>METALKOTE-EPOXY SYS</v>
          </cell>
        </row>
        <row r="643">
          <cell r="C643" t="str">
            <v>100001629</v>
          </cell>
          <cell r="D643" t="str">
            <v>EDP-551 ZINC PHOSPHATE (XÁM) VN-5KS</v>
          </cell>
          <cell r="E643" t="str">
            <v>ZFGD</v>
          </cell>
          <cell r="F643" t="str">
            <v>SET</v>
          </cell>
          <cell r="G643" t="str">
            <v>5</v>
          </cell>
          <cell r="H643" t="str">
            <v>PROJECT</v>
          </cell>
          <cell r="I643" t="str">
            <v>59</v>
          </cell>
          <cell r="J643" t="str">
            <v>MPC</v>
          </cell>
          <cell r="K643" t="str">
            <v>5904</v>
          </cell>
          <cell r="L643" t="str">
            <v>METALKOTE</v>
          </cell>
          <cell r="M643" t="str">
            <v>590402</v>
          </cell>
          <cell r="N643" t="str">
            <v>METALKOTE-EPOXY SYS</v>
          </cell>
        </row>
        <row r="644">
          <cell r="C644" t="str">
            <v>100001630</v>
          </cell>
          <cell r="D644" t="str">
            <v>EDP-551 ZINC PHOSPHATE (XÁM) VN-4.5K</v>
          </cell>
          <cell r="E644" t="str">
            <v>ZFGD</v>
          </cell>
          <cell r="F644" t="str">
            <v>PC</v>
          </cell>
          <cell r="G644" t="str">
            <v>5</v>
          </cell>
          <cell r="H644" t="str">
            <v>PROJECT</v>
          </cell>
          <cell r="I644" t="str">
            <v>59</v>
          </cell>
          <cell r="J644" t="str">
            <v>MPC</v>
          </cell>
          <cell r="K644" t="str">
            <v>5904</v>
          </cell>
          <cell r="L644" t="str">
            <v>METALKOTE</v>
          </cell>
          <cell r="M644" t="str">
            <v>590402</v>
          </cell>
          <cell r="N644" t="str">
            <v>METALKOTE-EPOXY SYS</v>
          </cell>
        </row>
        <row r="645">
          <cell r="C645" t="str">
            <v>100001631</v>
          </cell>
          <cell r="D645" t="str">
            <v>EDP-551 ZINC PHOSPHATE (XÁM) VN-20KSP</v>
          </cell>
          <cell r="E645" t="str">
            <v>ZFGD</v>
          </cell>
          <cell r="F645" t="str">
            <v>SET</v>
          </cell>
          <cell r="G645" t="str">
            <v>5</v>
          </cell>
          <cell r="H645" t="str">
            <v>PROJECT</v>
          </cell>
          <cell r="I645" t="str">
            <v>59</v>
          </cell>
          <cell r="J645" t="str">
            <v>MPC</v>
          </cell>
          <cell r="K645" t="str">
            <v>5904</v>
          </cell>
          <cell r="L645" t="str">
            <v>METALKOTE</v>
          </cell>
          <cell r="M645" t="str">
            <v>590402</v>
          </cell>
          <cell r="N645" t="str">
            <v>METALKOTE-EPOXY SYS</v>
          </cell>
        </row>
        <row r="646">
          <cell r="C646" t="str">
            <v>100001632</v>
          </cell>
          <cell r="D646" t="str">
            <v>EDP-551 ZINC PHOSPHATE (XÁM) VN-18KP</v>
          </cell>
          <cell r="E646" t="str">
            <v>ZFGD</v>
          </cell>
          <cell r="F646" t="str">
            <v>PC</v>
          </cell>
          <cell r="G646" t="str">
            <v>5</v>
          </cell>
          <cell r="H646" t="str">
            <v>PROJECT</v>
          </cell>
          <cell r="I646" t="str">
            <v>59</v>
          </cell>
          <cell r="J646" t="str">
            <v>MPC</v>
          </cell>
          <cell r="K646" t="str">
            <v>5904</v>
          </cell>
          <cell r="L646" t="str">
            <v>METALKOTE</v>
          </cell>
          <cell r="M646" t="str">
            <v>590402</v>
          </cell>
          <cell r="N646" t="str">
            <v>METALKOTE-EPOXY SYS</v>
          </cell>
        </row>
        <row r="647">
          <cell r="C647" t="str">
            <v>100001633</v>
          </cell>
          <cell r="D647" t="str">
            <v>#NOT USED EDP-551 ZINC CHROMATE VN-1KS</v>
          </cell>
          <cell r="E647" t="str">
            <v>ZFGD</v>
          </cell>
          <cell r="F647" t="str">
            <v>SET</v>
          </cell>
          <cell r="G647" t="str">
            <v>2</v>
          </cell>
          <cell r="H647" t="str">
            <v>RETAIL</v>
          </cell>
          <cell r="I647" t="str">
            <v>29</v>
          </cell>
          <cell r="J647" t="str">
            <v>MPC</v>
          </cell>
          <cell r="K647" t="str">
            <v>2901</v>
          </cell>
          <cell r="L647" t="str">
            <v>METALKOTE</v>
          </cell>
          <cell r="M647" t="str">
            <v>290102</v>
          </cell>
          <cell r="N647" t="str">
            <v>METALKOTE-EPOXY SYS</v>
          </cell>
        </row>
        <row r="648">
          <cell r="C648" t="str">
            <v>100001634</v>
          </cell>
          <cell r="D648" t="str">
            <v>EDP-551 ZINC CHROMATE (XANH) VN-0.9K</v>
          </cell>
          <cell r="E648" t="str">
            <v>ZFGD</v>
          </cell>
          <cell r="F648" t="str">
            <v>PC</v>
          </cell>
          <cell r="G648" t="str">
            <v>5</v>
          </cell>
          <cell r="H648" t="str">
            <v>PROJECT</v>
          </cell>
          <cell r="I648" t="str">
            <v>59</v>
          </cell>
          <cell r="J648" t="str">
            <v>MPC</v>
          </cell>
          <cell r="K648" t="str">
            <v>5904</v>
          </cell>
          <cell r="L648" t="str">
            <v>METALKOTE</v>
          </cell>
          <cell r="M648" t="str">
            <v>590402</v>
          </cell>
          <cell r="N648" t="str">
            <v>METALKOTE-EPOXY SYS</v>
          </cell>
        </row>
        <row r="649">
          <cell r="C649" t="str">
            <v>100001635</v>
          </cell>
          <cell r="D649" t="str">
            <v>EDP-551 ZINC CHROMATE (XANH) VN-5KS</v>
          </cell>
          <cell r="E649" t="str">
            <v>ZFGD</v>
          </cell>
          <cell r="F649" t="str">
            <v>SET</v>
          </cell>
          <cell r="G649" t="str">
            <v>5</v>
          </cell>
          <cell r="H649" t="str">
            <v>PROJECT</v>
          </cell>
          <cell r="I649" t="str">
            <v>59</v>
          </cell>
          <cell r="J649" t="str">
            <v>MPC</v>
          </cell>
          <cell r="K649" t="str">
            <v>5904</v>
          </cell>
          <cell r="L649" t="str">
            <v>METALKOTE</v>
          </cell>
          <cell r="M649" t="str">
            <v>590402</v>
          </cell>
          <cell r="N649" t="str">
            <v>METALKOTE-EPOXY SYS</v>
          </cell>
        </row>
        <row r="650">
          <cell r="C650" t="str">
            <v>100001636</v>
          </cell>
          <cell r="D650" t="str">
            <v>EDP-551 ZINC CHROMATE (XANH) VN-4.5K</v>
          </cell>
          <cell r="E650" t="str">
            <v>ZFGD</v>
          </cell>
          <cell r="F650" t="str">
            <v>PC</v>
          </cell>
          <cell r="G650" t="str">
            <v>5</v>
          </cell>
          <cell r="H650" t="str">
            <v>PROJECT</v>
          </cell>
          <cell r="I650" t="str">
            <v>59</v>
          </cell>
          <cell r="J650" t="str">
            <v>MPC</v>
          </cell>
          <cell r="K650" t="str">
            <v>5904</v>
          </cell>
          <cell r="L650" t="str">
            <v>METALKOTE</v>
          </cell>
          <cell r="M650" t="str">
            <v>590402</v>
          </cell>
          <cell r="N650" t="str">
            <v>METALKOTE-EPOXY SYS</v>
          </cell>
        </row>
        <row r="651">
          <cell r="C651" t="str">
            <v>100001637</v>
          </cell>
          <cell r="D651" t="str">
            <v>EDP-551 ZINC CHROMATE (XANH) VN-20KSP</v>
          </cell>
          <cell r="E651" t="str">
            <v>ZFGD</v>
          </cell>
          <cell r="F651" t="str">
            <v>SET</v>
          </cell>
          <cell r="G651" t="str">
            <v>5</v>
          </cell>
          <cell r="H651" t="str">
            <v>PROJECT</v>
          </cell>
          <cell r="I651" t="str">
            <v>59</v>
          </cell>
          <cell r="J651" t="str">
            <v>MPC</v>
          </cell>
          <cell r="K651" t="str">
            <v>5904</v>
          </cell>
          <cell r="L651" t="str">
            <v>METALKOTE</v>
          </cell>
          <cell r="M651" t="str">
            <v>590402</v>
          </cell>
          <cell r="N651" t="str">
            <v>METALKOTE-EPOXY SYS</v>
          </cell>
        </row>
        <row r="652">
          <cell r="C652" t="str">
            <v>100001638</v>
          </cell>
          <cell r="D652" t="str">
            <v>EDP-551 ZINC CHROMATE (XANH) VN-18KP</v>
          </cell>
          <cell r="E652" t="str">
            <v>ZFGD</v>
          </cell>
          <cell r="F652" t="str">
            <v>PC</v>
          </cell>
          <cell r="G652" t="str">
            <v>5</v>
          </cell>
          <cell r="H652" t="str">
            <v>PROJECT</v>
          </cell>
          <cell r="I652" t="str">
            <v>59</v>
          </cell>
          <cell r="J652" t="str">
            <v>MPC</v>
          </cell>
          <cell r="K652" t="str">
            <v>5904</v>
          </cell>
          <cell r="L652" t="str">
            <v>METALKOTE</v>
          </cell>
          <cell r="M652" t="str">
            <v>590402</v>
          </cell>
          <cell r="N652" t="str">
            <v>METALKOTE-EPOXY SYS</v>
          </cell>
        </row>
        <row r="653">
          <cell r="C653" t="str">
            <v>100001639</v>
          </cell>
          <cell r="D653" t="str">
            <v>NOT USED EDP-551 RED OXIDE VN-1KS</v>
          </cell>
          <cell r="E653" t="str">
            <v>ZFGD</v>
          </cell>
          <cell r="F653" t="str">
            <v>SET</v>
          </cell>
          <cell r="G653" t="str">
            <v>2</v>
          </cell>
          <cell r="H653" t="str">
            <v>RETAIL</v>
          </cell>
          <cell r="I653" t="str">
            <v>29</v>
          </cell>
          <cell r="J653" t="str">
            <v>MPC</v>
          </cell>
          <cell r="K653" t="str">
            <v>2901</v>
          </cell>
          <cell r="L653" t="str">
            <v>METALKOTE</v>
          </cell>
          <cell r="M653" t="str">
            <v>290102</v>
          </cell>
          <cell r="N653" t="str">
            <v>METALKOTE-EPOXY SYS</v>
          </cell>
        </row>
        <row r="654">
          <cell r="C654" t="str">
            <v>100001640</v>
          </cell>
          <cell r="D654" t="str">
            <v>EDP-551 RED OXIDE (ĐỎ) VN-0.9K</v>
          </cell>
          <cell r="E654" t="str">
            <v>ZFGD</v>
          </cell>
          <cell r="F654" t="str">
            <v>PC</v>
          </cell>
          <cell r="G654" t="str">
            <v>5</v>
          </cell>
          <cell r="H654" t="str">
            <v>PROJECT</v>
          </cell>
          <cell r="I654" t="str">
            <v>59</v>
          </cell>
          <cell r="J654" t="str">
            <v>MPC</v>
          </cell>
          <cell r="K654" t="str">
            <v>5904</v>
          </cell>
          <cell r="L654" t="str">
            <v>METALKOTE</v>
          </cell>
          <cell r="M654" t="str">
            <v>590402</v>
          </cell>
          <cell r="N654" t="str">
            <v>METALKOTE-EPOXY SYS</v>
          </cell>
        </row>
        <row r="655">
          <cell r="C655" t="str">
            <v>100001641</v>
          </cell>
          <cell r="D655" t="str">
            <v>EDP-551 RED OXIDE (ĐỎ) VN-5KS</v>
          </cell>
          <cell r="E655" t="str">
            <v>ZFGD</v>
          </cell>
          <cell r="F655" t="str">
            <v>SET</v>
          </cell>
          <cell r="G655" t="str">
            <v>5</v>
          </cell>
          <cell r="H655" t="str">
            <v>PROJECT</v>
          </cell>
          <cell r="I655" t="str">
            <v>59</v>
          </cell>
          <cell r="J655" t="str">
            <v>MPC</v>
          </cell>
          <cell r="K655" t="str">
            <v>5904</v>
          </cell>
          <cell r="L655" t="str">
            <v>METALKOTE</v>
          </cell>
          <cell r="M655" t="str">
            <v>590402</v>
          </cell>
          <cell r="N655" t="str">
            <v>METALKOTE-EPOXY SYS</v>
          </cell>
        </row>
        <row r="656">
          <cell r="C656" t="str">
            <v>100001642</v>
          </cell>
          <cell r="D656" t="str">
            <v>EDP-551 RED OXIDE (ĐỎ) VN-4.5K</v>
          </cell>
          <cell r="E656" t="str">
            <v>ZFGD</v>
          </cell>
          <cell r="F656" t="str">
            <v>PC</v>
          </cell>
          <cell r="G656" t="str">
            <v>5</v>
          </cell>
          <cell r="H656" t="str">
            <v>PROJECT</v>
          </cell>
          <cell r="I656" t="str">
            <v>59</v>
          </cell>
          <cell r="J656" t="str">
            <v>MPC</v>
          </cell>
          <cell r="K656" t="str">
            <v>5904</v>
          </cell>
          <cell r="L656" t="str">
            <v>METALKOTE</v>
          </cell>
          <cell r="M656" t="str">
            <v>590402</v>
          </cell>
          <cell r="N656" t="str">
            <v>METALKOTE-EPOXY SYS</v>
          </cell>
        </row>
        <row r="657">
          <cell r="C657" t="str">
            <v>100001643</v>
          </cell>
          <cell r="D657" t="str">
            <v>EDP-551 RED OXIDE (ĐỎ) VN-20KSP</v>
          </cell>
          <cell r="E657" t="str">
            <v>ZFGD</v>
          </cell>
          <cell r="F657" t="str">
            <v>SET</v>
          </cell>
          <cell r="G657" t="str">
            <v>5</v>
          </cell>
          <cell r="H657" t="str">
            <v>PROJECT</v>
          </cell>
          <cell r="I657" t="str">
            <v>59</v>
          </cell>
          <cell r="J657" t="str">
            <v>MPC</v>
          </cell>
          <cell r="K657" t="str">
            <v>5904</v>
          </cell>
          <cell r="L657" t="str">
            <v>METALKOTE</v>
          </cell>
          <cell r="M657" t="str">
            <v>590402</v>
          </cell>
          <cell r="N657" t="str">
            <v>METALKOTE-EPOXY SYS</v>
          </cell>
        </row>
        <row r="658">
          <cell r="C658" t="str">
            <v>100001644</v>
          </cell>
          <cell r="D658" t="str">
            <v>EDP-551 RED OXIDE (ĐỎ) VN-18KP</v>
          </cell>
          <cell r="E658" t="str">
            <v>ZFGD</v>
          </cell>
          <cell r="F658" t="str">
            <v>PC</v>
          </cell>
          <cell r="G658" t="str">
            <v>5</v>
          </cell>
          <cell r="H658" t="str">
            <v>PROJECT</v>
          </cell>
          <cell r="I658" t="str">
            <v>59</v>
          </cell>
          <cell r="J658" t="str">
            <v>MPC</v>
          </cell>
          <cell r="K658" t="str">
            <v>5904</v>
          </cell>
          <cell r="L658" t="str">
            <v>METALKOTE</v>
          </cell>
          <cell r="M658" t="str">
            <v>590402</v>
          </cell>
          <cell r="N658" t="str">
            <v>METALKOTE-EPOXY SYS</v>
          </cell>
        </row>
        <row r="659">
          <cell r="C659" t="str">
            <v>100001645</v>
          </cell>
          <cell r="D659" t="str">
            <v>#NOT USED EDP-551 WHITE VN-1KS</v>
          </cell>
          <cell r="E659" t="str">
            <v>ZFGD</v>
          </cell>
          <cell r="F659" t="str">
            <v>SET</v>
          </cell>
          <cell r="G659" t="str">
            <v>2</v>
          </cell>
          <cell r="H659" t="str">
            <v>RETAIL</v>
          </cell>
          <cell r="I659" t="str">
            <v>29</v>
          </cell>
          <cell r="J659" t="str">
            <v>MPC</v>
          </cell>
          <cell r="K659" t="str">
            <v>2901</v>
          </cell>
          <cell r="L659" t="str">
            <v>METALKOTE</v>
          </cell>
          <cell r="M659" t="str">
            <v>290102</v>
          </cell>
          <cell r="N659" t="str">
            <v>METALKOTE-EPOXY SYS</v>
          </cell>
        </row>
        <row r="660">
          <cell r="C660" t="str">
            <v>100001646</v>
          </cell>
          <cell r="D660" t="str">
            <v>EDP-551 WHITE (TRẮNG) VN-0.9K</v>
          </cell>
          <cell r="E660" t="str">
            <v>ZFGD</v>
          </cell>
          <cell r="F660" t="str">
            <v>PC</v>
          </cell>
          <cell r="G660" t="str">
            <v>5</v>
          </cell>
          <cell r="H660" t="str">
            <v>PROJECT</v>
          </cell>
          <cell r="I660" t="str">
            <v>59</v>
          </cell>
          <cell r="J660" t="str">
            <v>MPC</v>
          </cell>
          <cell r="K660" t="str">
            <v>5904</v>
          </cell>
          <cell r="L660" t="str">
            <v>METALKOTE</v>
          </cell>
          <cell r="M660" t="str">
            <v>590402</v>
          </cell>
          <cell r="N660" t="str">
            <v>METALKOTE-EPOXY SYS</v>
          </cell>
        </row>
        <row r="661">
          <cell r="C661" t="str">
            <v>100001647</v>
          </cell>
          <cell r="D661" t="str">
            <v>EDP-551 WHITE (TRẮNG) VN-5KS</v>
          </cell>
          <cell r="E661" t="str">
            <v>ZFGD</v>
          </cell>
          <cell r="F661" t="str">
            <v>SET</v>
          </cell>
          <cell r="G661" t="str">
            <v>5</v>
          </cell>
          <cell r="H661" t="str">
            <v>PROJECT</v>
          </cell>
          <cell r="I661" t="str">
            <v>59</v>
          </cell>
          <cell r="J661" t="str">
            <v>MPC</v>
          </cell>
          <cell r="K661" t="str">
            <v>5904</v>
          </cell>
          <cell r="L661" t="str">
            <v>METALKOTE</v>
          </cell>
          <cell r="M661" t="str">
            <v>590402</v>
          </cell>
          <cell r="N661" t="str">
            <v>METALKOTE-EPOXY SYS</v>
          </cell>
        </row>
        <row r="662">
          <cell r="C662" t="str">
            <v>100001648</v>
          </cell>
          <cell r="D662" t="str">
            <v>EDP-551 WHITE (TRẮNG) VN-4.5K</v>
          </cell>
          <cell r="E662" t="str">
            <v>ZFGD</v>
          </cell>
          <cell r="F662" t="str">
            <v>PC</v>
          </cell>
          <cell r="G662" t="str">
            <v>5</v>
          </cell>
          <cell r="H662" t="str">
            <v>PROJECT</v>
          </cell>
          <cell r="I662" t="str">
            <v>59</v>
          </cell>
          <cell r="J662" t="str">
            <v>MPC</v>
          </cell>
          <cell r="K662" t="str">
            <v>5904</v>
          </cell>
          <cell r="L662" t="str">
            <v>METALKOTE</v>
          </cell>
          <cell r="M662" t="str">
            <v>590402</v>
          </cell>
          <cell r="N662" t="str">
            <v>METALKOTE-EPOXY SYS</v>
          </cell>
        </row>
        <row r="663">
          <cell r="C663" t="str">
            <v>100001649</v>
          </cell>
          <cell r="D663" t="str">
            <v>EDP-551 WHITE (TRẮNG) VN-20KSP</v>
          </cell>
          <cell r="E663" t="str">
            <v>ZFGD</v>
          </cell>
          <cell r="F663" t="str">
            <v>SET</v>
          </cell>
          <cell r="G663" t="str">
            <v>5</v>
          </cell>
          <cell r="H663" t="str">
            <v>PROJECT</v>
          </cell>
          <cell r="I663" t="str">
            <v>59</v>
          </cell>
          <cell r="J663" t="str">
            <v>MPC</v>
          </cell>
          <cell r="K663" t="str">
            <v>5904</v>
          </cell>
          <cell r="L663" t="str">
            <v>METALKOTE</v>
          </cell>
          <cell r="M663" t="str">
            <v>590402</v>
          </cell>
          <cell r="N663" t="str">
            <v>METALKOTE-EPOXY SYS</v>
          </cell>
        </row>
        <row r="664">
          <cell r="C664" t="str">
            <v>100001650</v>
          </cell>
          <cell r="D664" t="str">
            <v>EDP-551 WHITE (TRẮNG) VN-18KP</v>
          </cell>
          <cell r="E664" t="str">
            <v>ZFGD</v>
          </cell>
          <cell r="F664" t="str">
            <v>PC</v>
          </cell>
          <cell r="G664" t="str">
            <v>5</v>
          </cell>
          <cell r="H664" t="str">
            <v>PROJECT</v>
          </cell>
          <cell r="I664" t="str">
            <v>59</v>
          </cell>
          <cell r="J664" t="str">
            <v>MPC</v>
          </cell>
          <cell r="K664" t="str">
            <v>5904</v>
          </cell>
          <cell r="L664" t="str">
            <v>METALKOTE</v>
          </cell>
          <cell r="M664" t="str">
            <v>590402</v>
          </cell>
          <cell r="N664" t="str">
            <v>METALKOTE-EPOXY SYS</v>
          </cell>
        </row>
        <row r="665">
          <cell r="C665" t="str">
            <v>100001651</v>
          </cell>
          <cell r="D665" t="str">
            <v>NOT USED EDP-551 BLACK VN-1KS</v>
          </cell>
          <cell r="E665" t="str">
            <v>ZFGD</v>
          </cell>
          <cell r="F665" t="str">
            <v>SET</v>
          </cell>
          <cell r="G665" t="str">
            <v>2</v>
          </cell>
          <cell r="H665" t="str">
            <v>RETAIL</v>
          </cell>
          <cell r="I665" t="str">
            <v>29</v>
          </cell>
          <cell r="J665" t="str">
            <v>MPC</v>
          </cell>
          <cell r="K665" t="str">
            <v>2901</v>
          </cell>
          <cell r="L665" t="str">
            <v>METALKOTE</v>
          </cell>
          <cell r="M665" t="str">
            <v>290102</v>
          </cell>
          <cell r="N665" t="str">
            <v>METALKOTE-EPOXY SYS</v>
          </cell>
        </row>
        <row r="666">
          <cell r="C666" t="str">
            <v>100001652</v>
          </cell>
          <cell r="D666" t="str">
            <v>EDP-551 BLACK (ĐEN) VN-0.9K</v>
          </cell>
          <cell r="E666" t="str">
            <v>ZFGD</v>
          </cell>
          <cell r="F666" t="str">
            <v>PC</v>
          </cell>
          <cell r="G666" t="str">
            <v>5</v>
          </cell>
          <cell r="H666" t="str">
            <v>PROJECT</v>
          </cell>
          <cell r="I666" t="str">
            <v>59</v>
          </cell>
          <cell r="J666" t="str">
            <v>MPC</v>
          </cell>
          <cell r="K666" t="str">
            <v>5904</v>
          </cell>
          <cell r="L666" t="str">
            <v>METALKOTE</v>
          </cell>
          <cell r="M666" t="str">
            <v>590402</v>
          </cell>
          <cell r="N666" t="str">
            <v>METALKOTE-EPOXY SYS</v>
          </cell>
        </row>
        <row r="667">
          <cell r="C667" t="str">
            <v>100001653</v>
          </cell>
          <cell r="D667" t="str">
            <v>EDP-551 BLACK (ĐEN) VN-5KS</v>
          </cell>
          <cell r="E667" t="str">
            <v>ZFGD</v>
          </cell>
          <cell r="F667" t="str">
            <v>SET</v>
          </cell>
          <cell r="G667" t="str">
            <v>5</v>
          </cell>
          <cell r="H667" t="str">
            <v>PROJECT</v>
          </cell>
          <cell r="I667" t="str">
            <v>59</v>
          </cell>
          <cell r="J667" t="str">
            <v>MPC</v>
          </cell>
          <cell r="K667" t="str">
            <v>5904</v>
          </cell>
          <cell r="L667" t="str">
            <v>METALKOTE</v>
          </cell>
          <cell r="M667" t="str">
            <v>590402</v>
          </cell>
          <cell r="N667" t="str">
            <v>METALKOTE-EPOXY SYS</v>
          </cell>
        </row>
        <row r="668">
          <cell r="C668" t="str">
            <v>100001654</v>
          </cell>
          <cell r="D668" t="str">
            <v>EDP-551 BLACK (ĐEN) VN-4.5K</v>
          </cell>
          <cell r="E668" t="str">
            <v>ZFGD</v>
          </cell>
          <cell r="F668" t="str">
            <v>PC</v>
          </cell>
          <cell r="G668" t="str">
            <v>5</v>
          </cell>
          <cell r="H668" t="str">
            <v>PROJECT</v>
          </cell>
          <cell r="I668" t="str">
            <v>59</v>
          </cell>
          <cell r="J668" t="str">
            <v>MPC</v>
          </cell>
          <cell r="K668" t="str">
            <v>5904</v>
          </cell>
          <cell r="L668" t="str">
            <v>METALKOTE</v>
          </cell>
          <cell r="M668" t="str">
            <v>590402</v>
          </cell>
          <cell r="N668" t="str">
            <v>METALKOTE-EPOXY SYS</v>
          </cell>
        </row>
        <row r="669">
          <cell r="C669" t="str">
            <v>100001655</v>
          </cell>
          <cell r="D669" t="str">
            <v>EDP-551 BLACK (ĐEN) VN-20KSP</v>
          </cell>
          <cell r="E669" t="str">
            <v>ZFGD</v>
          </cell>
          <cell r="F669" t="str">
            <v>SET</v>
          </cell>
          <cell r="G669" t="str">
            <v>5</v>
          </cell>
          <cell r="H669" t="str">
            <v>PROJECT</v>
          </cell>
          <cell r="I669" t="str">
            <v>59</v>
          </cell>
          <cell r="J669" t="str">
            <v>MPC</v>
          </cell>
          <cell r="K669" t="str">
            <v>5904</v>
          </cell>
          <cell r="L669" t="str">
            <v>METALKOTE</v>
          </cell>
          <cell r="M669" t="str">
            <v>590402</v>
          </cell>
          <cell r="N669" t="str">
            <v>METALKOTE-EPOXY SYS</v>
          </cell>
        </row>
        <row r="670">
          <cell r="C670" t="str">
            <v>100001656</v>
          </cell>
          <cell r="D670" t="str">
            <v>EDP-551 BLACK (ĐEN) VN-18KP</v>
          </cell>
          <cell r="E670" t="str">
            <v>ZFGD</v>
          </cell>
          <cell r="F670" t="str">
            <v>PC</v>
          </cell>
          <cell r="G670" t="str">
            <v>5</v>
          </cell>
          <cell r="H670" t="str">
            <v>PROJECT</v>
          </cell>
          <cell r="I670" t="str">
            <v>59</v>
          </cell>
          <cell r="J670" t="str">
            <v>MPC</v>
          </cell>
          <cell r="K670" t="str">
            <v>5904</v>
          </cell>
          <cell r="L670" t="str">
            <v>METALKOTE</v>
          </cell>
          <cell r="M670" t="str">
            <v>590402</v>
          </cell>
          <cell r="N670" t="str">
            <v>METALKOTE-EPOXY SYS</v>
          </cell>
        </row>
        <row r="671">
          <cell r="C671" t="str">
            <v>100001657</v>
          </cell>
          <cell r="D671" t="str">
            <v>PT-88 APPLE GREEN VN-18KP</v>
          </cell>
          <cell r="E671" t="str">
            <v>ZFGD</v>
          </cell>
          <cell r="F671" t="str">
            <v>PC</v>
          </cell>
          <cell r="G671" t="str">
            <v>5</v>
          </cell>
          <cell r="H671" t="str">
            <v>PROJECT</v>
          </cell>
          <cell r="I671" t="str">
            <v>59</v>
          </cell>
          <cell r="J671" t="str">
            <v>MPC</v>
          </cell>
          <cell r="K671" t="str">
            <v>5906</v>
          </cell>
          <cell r="L671" t="str">
            <v>PRIMTOP</v>
          </cell>
          <cell r="M671" t="str">
            <v>590602</v>
          </cell>
          <cell r="N671" t="str">
            <v>PRIMTOP RMX</v>
          </cell>
        </row>
        <row r="672">
          <cell r="C672" t="str">
            <v>100001658</v>
          </cell>
          <cell r="D672" t="str">
            <v>PT-88 ASH GREY VN-18KP</v>
          </cell>
          <cell r="E672" t="str">
            <v>ZFGD</v>
          </cell>
          <cell r="F672" t="str">
            <v>PC</v>
          </cell>
          <cell r="G672" t="str">
            <v>5</v>
          </cell>
          <cell r="H672" t="str">
            <v>PROJECT</v>
          </cell>
          <cell r="I672" t="str">
            <v>59</v>
          </cell>
          <cell r="J672" t="str">
            <v>MPC</v>
          </cell>
          <cell r="K672" t="str">
            <v>5906</v>
          </cell>
          <cell r="L672" t="str">
            <v>PRIMTOP</v>
          </cell>
          <cell r="M672" t="str">
            <v>590602</v>
          </cell>
          <cell r="N672" t="str">
            <v>PRIMTOP RMX</v>
          </cell>
        </row>
        <row r="673">
          <cell r="C673" t="str">
            <v>100001659</v>
          </cell>
          <cell r="D673" t="str">
            <v>PT-88 BLACK VN-18KP</v>
          </cell>
          <cell r="E673" t="str">
            <v>ZFGD</v>
          </cell>
          <cell r="F673" t="str">
            <v>PC</v>
          </cell>
          <cell r="G673" t="str">
            <v>5</v>
          </cell>
          <cell r="H673" t="str">
            <v>PROJECT</v>
          </cell>
          <cell r="I673" t="str">
            <v>59</v>
          </cell>
          <cell r="J673" t="str">
            <v>MPC</v>
          </cell>
          <cell r="K673" t="str">
            <v>5906</v>
          </cell>
          <cell r="L673" t="str">
            <v>PRIMTOP</v>
          </cell>
          <cell r="M673" t="str">
            <v>590602</v>
          </cell>
          <cell r="N673" t="str">
            <v>PRIMTOP RMX</v>
          </cell>
        </row>
        <row r="674">
          <cell r="C674" t="str">
            <v>100001660</v>
          </cell>
          <cell r="D674" t="str">
            <v>PT-88 BROWN VN-18KP</v>
          </cell>
          <cell r="E674" t="str">
            <v>ZFGD</v>
          </cell>
          <cell r="F674" t="str">
            <v>PC</v>
          </cell>
          <cell r="G674" t="str">
            <v>5</v>
          </cell>
          <cell r="H674" t="str">
            <v>PROJECT</v>
          </cell>
          <cell r="I674" t="str">
            <v>59</v>
          </cell>
          <cell r="J674" t="str">
            <v>MPC</v>
          </cell>
          <cell r="K674" t="str">
            <v>5906</v>
          </cell>
          <cell r="L674" t="str">
            <v>PRIMTOP</v>
          </cell>
          <cell r="M674" t="str">
            <v>590602</v>
          </cell>
          <cell r="N674" t="str">
            <v>PRIMTOP RMX</v>
          </cell>
        </row>
        <row r="675">
          <cell r="C675" t="str">
            <v>100001661</v>
          </cell>
          <cell r="D675" t="str">
            <v>PT-88 CANDY BROWN VN-18KP</v>
          </cell>
          <cell r="E675" t="str">
            <v>ZFGD</v>
          </cell>
          <cell r="F675" t="str">
            <v>PC</v>
          </cell>
          <cell r="G675" t="str">
            <v>5</v>
          </cell>
          <cell r="H675" t="str">
            <v>PROJECT</v>
          </cell>
          <cell r="I675" t="str">
            <v>59</v>
          </cell>
          <cell r="J675" t="str">
            <v>MPC</v>
          </cell>
          <cell r="K675" t="str">
            <v>5906</v>
          </cell>
          <cell r="L675" t="str">
            <v>PRIMTOP</v>
          </cell>
          <cell r="M675" t="str">
            <v>590602</v>
          </cell>
          <cell r="N675" t="str">
            <v>PRIMTOP RMX</v>
          </cell>
        </row>
        <row r="676">
          <cell r="C676" t="str">
            <v>100001662</v>
          </cell>
          <cell r="D676" t="str">
            <v>PT-88 PACIFIC BLUE VN-18KP</v>
          </cell>
          <cell r="E676" t="str">
            <v>ZFGD</v>
          </cell>
          <cell r="F676" t="str">
            <v>PC</v>
          </cell>
          <cell r="G676" t="str">
            <v>5</v>
          </cell>
          <cell r="H676" t="str">
            <v>PROJECT</v>
          </cell>
          <cell r="I676" t="str">
            <v>59</v>
          </cell>
          <cell r="J676" t="str">
            <v>MPC</v>
          </cell>
          <cell r="K676" t="str">
            <v>5906</v>
          </cell>
          <cell r="L676" t="str">
            <v>PRIMTOP</v>
          </cell>
          <cell r="M676" t="str">
            <v>590602</v>
          </cell>
          <cell r="N676" t="str">
            <v>PRIMTOP RMX</v>
          </cell>
        </row>
        <row r="677">
          <cell r="C677" t="str">
            <v>100001663</v>
          </cell>
          <cell r="D677" t="str">
            <v>PT-88 SILVER VN-18KP</v>
          </cell>
          <cell r="E677" t="str">
            <v>ZFGD</v>
          </cell>
          <cell r="F677" t="str">
            <v>PC</v>
          </cell>
          <cell r="G677" t="str">
            <v>5</v>
          </cell>
          <cell r="H677" t="str">
            <v>PROJECT</v>
          </cell>
          <cell r="I677" t="str">
            <v>59</v>
          </cell>
          <cell r="J677" t="str">
            <v>MPC</v>
          </cell>
          <cell r="K677" t="str">
            <v>5906</v>
          </cell>
          <cell r="L677" t="str">
            <v>PRIMTOP</v>
          </cell>
          <cell r="M677" t="str">
            <v>590602</v>
          </cell>
          <cell r="N677" t="str">
            <v>PRIMTOP RMX</v>
          </cell>
        </row>
        <row r="678">
          <cell r="C678" t="str">
            <v>100001664</v>
          </cell>
          <cell r="D678" t="str">
            <v>PT-88 SUPER WHITE VN-18KP</v>
          </cell>
          <cell r="E678" t="str">
            <v>ZFGD</v>
          </cell>
          <cell r="F678" t="str">
            <v>PC</v>
          </cell>
          <cell r="G678" t="str">
            <v>5</v>
          </cell>
          <cell r="H678" t="str">
            <v>PROJECT</v>
          </cell>
          <cell r="I678" t="str">
            <v>59</v>
          </cell>
          <cell r="J678" t="str">
            <v>MPC</v>
          </cell>
          <cell r="K678" t="str">
            <v>5906</v>
          </cell>
          <cell r="L678" t="str">
            <v>PRIMTOP</v>
          </cell>
          <cell r="M678" t="str">
            <v>590602</v>
          </cell>
          <cell r="N678" t="str">
            <v>PRIMTOP RMX</v>
          </cell>
        </row>
        <row r="679">
          <cell r="C679" t="str">
            <v>100001665</v>
          </cell>
          <cell r="D679" t="str">
            <v>PT-88 TO TRANG VN-18KP</v>
          </cell>
          <cell r="E679" t="str">
            <v>ZFGD</v>
          </cell>
          <cell r="F679" t="str">
            <v>PC</v>
          </cell>
          <cell r="G679" t="str">
            <v>5</v>
          </cell>
          <cell r="H679" t="str">
            <v>PROJECT</v>
          </cell>
          <cell r="I679" t="str">
            <v>59</v>
          </cell>
          <cell r="J679" t="str">
            <v>MPC</v>
          </cell>
          <cell r="K679" t="str">
            <v>5906</v>
          </cell>
          <cell r="L679" t="str">
            <v>PRIMTOP</v>
          </cell>
          <cell r="M679" t="str">
            <v>590602</v>
          </cell>
          <cell r="N679" t="str">
            <v>PRIMTOP RMX</v>
          </cell>
        </row>
        <row r="680">
          <cell r="C680" t="str">
            <v>100001666</v>
          </cell>
          <cell r="D680" t="str">
            <v>PT-88 TO DEN VN-18KP</v>
          </cell>
          <cell r="E680" t="str">
            <v>ZFGD</v>
          </cell>
          <cell r="F680" t="str">
            <v>PC</v>
          </cell>
          <cell r="G680" t="str">
            <v>5</v>
          </cell>
          <cell r="H680" t="str">
            <v>PROJECT</v>
          </cell>
          <cell r="I680" t="str">
            <v>59</v>
          </cell>
          <cell r="J680" t="str">
            <v>MPC</v>
          </cell>
          <cell r="K680" t="str">
            <v>5906</v>
          </cell>
          <cell r="L680" t="str">
            <v>PRIMTOP</v>
          </cell>
          <cell r="M680" t="str">
            <v>590602</v>
          </cell>
          <cell r="N680" t="str">
            <v>PRIMTOP RMX</v>
          </cell>
        </row>
        <row r="681">
          <cell r="C681" t="str">
            <v>100001667</v>
          </cell>
          <cell r="D681" t="str">
            <v>PT-88 TO VANG BRONCHO VN-18KP</v>
          </cell>
          <cell r="E681" t="str">
            <v>ZFGD</v>
          </cell>
          <cell r="F681" t="str">
            <v>PC</v>
          </cell>
          <cell r="G681" t="str">
            <v>5</v>
          </cell>
          <cell r="H681" t="str">
            <v>PROJECT</v>
          </cell>
          <cell r="I681" t="str">
            <v>59</v>
          </cell>
          <cell r="J681" t="str">
            <v>MPC</v>
          </cell>
          <cell r="K681" t="str">
            <v>5906</v>
          </cell>
          <cell r="L681" t="str">
            <v>PRIMTOP</v>
          </cell>
          <cell r="M681" t="str">
            <v>590602</v>
          </cell>
          <cell r="N681" t="str">
            <v>PRIMTOP RMX</v>
          </cell>
        </row>
        <row r="682">
          <cell r="C682" t="str">
            <v>100001668</v>
          </cell>
          <cell r="D682" t="str">
            <v>PT-88 TO DO MAN VN-18KP</v>
          </cell>
          <cell r="E682" t="str">
            <v>ZFGD</v>
          </cell>
          <cell r="F682" t="str">
            <v>PC</v>
          </cell>
          <cell r="G682" t="str">
            <v>5</v>
          </cell>
          <cell r="H682" t="str">
            <v>PROJECT</v>
          </cell>
          <cell r="I682" t="str">
            <v>59</v>
          </cell>
          <cell r="J682" t="str">
            <v>MPC</v>
          </cell>
          <cell r="K682" t="str">
            <v>5906</v>
          </cell>
          <cell r="L682" t="str">
            <v>PRIMTOP</v>
          </cell>
          <cell r="M682" t="str">
            <v>590602</v>
          </cell>
          <cell r="N682" t="str">
            <v>PRIMTOP RMX</v>
          </cell>
        </row>
        <row r="683">
          <cell r="C683" t="str">
            <v>100001669</v>
          </cell>
          <cell r="D683" t="str">
            <v>PT-88 TO XANH LA VN-18KP</v>
          </cell>
          <cell r="E683" t="str">
            <v>ZFGD</v>
          </cell>
          <cell r="F683" t="str">
            <v>PC</v>
          </cell>
          <cell r="G683" t="str">
            <v>5</v>
          </cell>
          <cell r="H683" t="str">
            <v>PROJECT</v>
          </cell>
          <cell r="I683" t="str">
            <v>59</v>
          </cell>
          <cell r="J683" t="str">
            <v>MPC</v>
          </cell>
          <cell r="K683" t="str">
            <v>5906</v>
          </cell>
          <cell r="L683" t="str">
            <v>PRIMTOP</v>
          </cell>
          <cell r="M683" t="str">
            <v>590602</v>
          </cell>
          <cell r="N683" t="str">
            <v>PRIMTOP RMX</v>
          </cell>
        </row>
        <row r="684">
          <cell r="C684" t="str">
            <v>100001670</v>
          </cell>
          <cell r="D684" t="str">
            <v>PT-88 TO DO CO VN-18KP</v>
          </cell>
          <cell r="E684" t="str">
            <v>ZFGD</v>
          </cell>
          <cell r="F684" t="str">
            <v>PC</v>
          </cell>
          <cell r="G684" t="str">
            <v>5</v>
          </cell>
          <cell r="H684" t="str">
            <v>PROJECT</v>
          </cell>
          <cell r="I684" t="str">
            <v>59</v>
          </cell>
          <cell r="J684" t="str">
            <v>MPC</v>
          </cell>
          <cell r="K684" t="str">
            <v>5906</v>
          </cell>
          <cell r="L684" t="str">
            <v>PRIMTOP</v>
          </cell>
          <cell r="M684" t="str">
            <v>590602</v>
          </cell>
          <cell r="N684" t="str">
            <v>PRIMTOP RMX</v>
          </cell>
        </row>
        <row r="685">
          <cell r="C685" t="str">
            <v>100001671</v>
          </cell>
          <cell r="D685" t="str">
            <v>PT-88 TO XANH CHO VN-18KP</v>
          </cell>
          <cell r="E685" t="str">
            <v>ZFGD</v>
          </cell>
          <cell r="F685" t="str">
            <v>PC</v>
          </cell>
          <cell r="G685" t="str">
            <v>5</v>
          </cell>
          <cell r="H685" t="str">
            <v>PROJECT</v>
          </cell>
          <cell r="I685" t="str">
            <v>59</v>
          </cell>
          <cell r="J685" t="str">
            <v>MPC</v>
          </cell>
          <cell r="K685" t="str">
            <v>5906</v>
          </cell>
          <cell r="L685" t="str">
            <v>PRIMTOP</v>
          </cell>
          <cell r="M685" t="str">
            <v>590602</v>
          </cell>
          <cell r="N685" t="str">
            <v>PRIMTOP RMX</v>
          </cell>
        </row>
        <row r="686">
          <cell r="C686" t="str">
            <v>100001672</v>
          </cell>
          <cell r="D686" t="str">
            <v>PT-88 TO VANG CAO BOI VN-18KP</v>
          </cell>
          <cell r="E686" t="str">
            <v>ZFGD</v>
          </cell>
          <cell r="F686" t="str">
            <v>PC</v>
          </cell>
          <cell r="G686" t="str">
            <v>5</v>
          </cell>
          <cell r="H686" t="str">
            <v>PROJECT</v>
          </cell>
          <cell r="I686" t="str">
            <v>59</v>
          </cell>
          <cell r="J686" t="str">
            <v>MPC</v>
          </cell>
          <cell r="K686" t="str">
            <v>5906</v>
          </cell>
          <cell r="L686" t="str">
            <v>PRIMTOP</v>
          </cell>
          <cell r="M686" t="str">
            <v>590602</v>
          </cell>
          <cell r="N686" t="str">
            <v>PRIMTOP RMX</v>
          </cell>
        </row>
        <row r="687">
          <cell r="C687" t="str">
            <v>100001673</v>
          </cell>
          <cell r="D687" t="str">
            <v>PT-88 TO XANH CAO BOI VN-18KP</v>
          </cell>
          <cell r="E687" t="str">
            <v>ZFGD</v>
          </cell>
          <cell r="F687" t="str">
            <v>PC</v>
          </cell>
          <cell r="G687" t="str">
            <v>5</v>
          </cell>
          <cell r="H687" t="str">
            <v>PROJECT</v>
          </cell>
          <cell r="I687" t="str">
            <v>59</v>
          </cell>
          <cell r="J687" t="str">
            <v>MPC</v>
          </cell>
          <cell r="K687" t="str">
            <v>5906</v>
          </cell>
          <cell r="L687" t="str">
            <v>PRIMTOP</v>
          </cell>
          <cell r="M687" t="str">
            <v>590602</v>
          </cell>
          <cell r="N687" t="str">
            <v>PRIMTOP RMX</v>
          </cell>
        </row>
        <row r="688">
          <cell r="C688" t="str">
            <v>100001674</v>
          </cell>
          <cell r="D688" t="str">
            <v>PT-88 TO XAM CHUOT VN-18KP</v>
          </cell>
          <cell r="E688" t="str">
            <v>ZFGD</v>
          </cell>
          <cell r="F688" t="str">
            <v>PC</v>
          </cell>
          <cell r="G688" t="str">
            <v>5</v>
          </cell>
          <cell r="H688" t="str">
            <v>PROJECT</v>
          </cell>
          <cell r="I688" t="str">
            <v>59</v>
          </cell>
          <cell r="J688" t="str">
            <v>MPC</v>
          </cell>
          <cell r="K688" t="str">
            <v>5906</v>
          </cell>
          <cell r="L688" t="str">
            <v>PRIMTOP</v>
          </cell>
          <cell r="M688" t="str">
            <v>590602</v>
          </cell>
          <cell r="N688" t="str">
            <v>PRIMTOP RMX</v>
          </cell>
        </row>
        <row r="689">
          <cell r="C689" t="str">
            <v>100001675</v>
          </cell>
          <cell r="D689" t="str">
            <v>PT-88 TO DO MAN BRONCHO VN-18KP</v>
          </cell>
          <cell r="E689" t="str">
            <v>ZFGD</v>
          </cell>
          <cell r="F689" t="str">
            <v>PC</v>
          </cell>
          <cell r="G689" t="str">
            <v>5</v>
          </cell>
          <cell r="H689" t="str">
            <v>PROJECT</v>
          </cell>
          <cell r="I689" t="str">
            <v>59</v>
          </cell>
          <cell r="J689" t="str">
            <v>MPC</v>
          </cell>
          <cell r="K689" t="str">
            <v>5906</v>
          </cell>
          <cell r="L689" t="str">
            <v>PRIMTOP</v>
          </cell>
          <cell r="M689" t="str">
            <v>590602</v>
          </cell>
          <cell r="N689" t="str">
            <v>PRIMTOP RMX</v>
          </cell>
        </row>
        <row r="690">
          <cell r="C690" t="str">
            <v>100001676</v>
          </cell>
          <cell r="D690" t="str">
            <v>PT-88 TO DO RONG VN-18KP</v>
          </cell>
          <cell r="E690" t="str">
            <v>ZFGD</v>
          </cell>
          <cell r="F690" t="str">
            <v>PC</v>
          </cell>
          <cell r="G690" t="str">
            <v>5</v>
          </cell>
          <cell r="H690" t="str">
            <v>PROJECT</v>
          </cell>
          <cell r="I690" t="str">
            <v>59</v>
          </cell>
          <cell r="J690" t="str">
            <v>MPC</v>
          </cell>
          <cell r="K690" t="str">
            <v>5906</v>
          </cell>
          <cell r="L690" t="str">
            <v>PRIMTOP</v>
          </cell>
          <cell r="M690" t="str">
            <v>590602</v>
          </cell>
          <cell r="N690" t="str">
            <v>PRIMTOP RMX</v>
          </cell>
        </row>
        <row r="691">
          <cell r="C691" t="str">
            <v>100001677</v>
          </cell>
          <cell r="D691" t="str">
            <v>PT-88 TO DO GA VN-18KP</v>
          </cell>
          <cell r="E691" t="str">
            <v>ZFGD</v>
          </cell>
          <cell r="F691" t="str">
            <v>PC</v>
          </cell>
          <cell r="G691" t="str">
            <v>5</v>
          </cell>
          <cell r="H691" t="str">
            <v>PROJECT</v>
          </cell>
          <cell r="I691" t="str">
            <v>59</v>
          </cell>
          <cell r="J691" t="str">
            <v>MPC</v>
          </cell>
          <cell r="K691" t="str">
            <v>5906</v>
          </cell>
          <cell r="L691" t="str">
            <v>PRIMTOP</v>
          </cell>
          <cell r="M691" t="str">
            <v>590602</v>
          </cell>
          <cell r="N691" t="str">
            <v>PRIMTOP RMX</v>
          </cell>
        </row>
        <row r="692">
          <cell r="C692" t="str">
            <v>100001678</v>
          </cell>
          <cell r="D692" t="str">
            <v>PT-88 TO XANH GA VN-18KP</v>
          </cell>
          <cell r="E692" t="str">
            <v>ZFGD</v>
          </cell>
          <cell r="F692" t="str">
            <v>PC</v>
          </cell>
          <cell r="G692" t="str">
            <v>5</v>
          </cell>
          <cell r="H692" t="str">
            <v>PROJECT</v>
          </cell>
          <cell r="I692" t="str">
            <v>59</v>
          </cell>
          <cell r="J692" t="str">
            <v>MPC</v>
          </cell>
          <cell r="K692" t="str">
            <v>5906</v>
          </cell>
          <cell r="L692" t="str">
            <v>PRIMTOP</v>
          </cell>
          <cell r="M692" t="str">
            <v>590602</v>
          </cell>
          <cell r="N692" t="str">
            <v>PRIMTOP RMX</v>
          </cell>
        </row>
        <row r="693">
          <cell r="C693" t="str">
            <v>100001679</v>
          </cell>
          <cell r="D693" t="str">
            <v>PT-88 TO XANH RAN VN-18KP</v>
          </cell>
          <cell r="E693" t="str">
            <v>ZFGD</v>
          </cell>
          <cell r="F693" t="str">
            <v>PC</v>
          </cell>
          <cell r="G693" t="str">
            <v>5</v>
          </cell>
          <cell r="H693" t="str">
            <v>PROJECT</v>
          </cell>
          <cell r="I693" t="str">
            <v>59</v>
          </cell>
          <cell r="J693" t="str">
            <v>MPC</v>
          </cell>
          <cell r="K693" t="str">
            <v>5906</v>
          </cell>
          <cell r="L693" t="str">
            <v>PRIMTOP</v>
          </cell>
          <cell r="M693" t="str">
            <v>590602</v>
          </cell>
          <cell r="N693" t="str">
            <v>PRIMTOP RMX</v>
          </cell>
        </row>
        <row r="694">
          <cell r="C694" t="str">
            <v>100001680</v>
          </cell>
          <cell r="D694" t="str">
            <v>PT-88 TO VANG RAN VN-18KP</v>
          </cell>
          <cell r="E694" t="str">
            <v>ZFGD</v>
          </cell>
          <cell r="F694" t="str">
            <v>PC</v>
          </cell>
          <cell r="G694" t="str">
            <v>5</v>
          </cell>
          <cell r="H694" t="str">
            <v>PROJECT</v>
          </cell>
          <cell r="I694" t="str">
            <v>59</v>
          </cell>
          <cell r="J694" t="str">
            <v>MPC</v>
          </cell>
          <cell r="K694" t="str">
            <v>5906</v>
          </cell>
          <cell r="L694" t="str">
            <v>PRIMTOP</v>
          </cell>
          <cell r="M694" t="str">
            <v>590602</v>
          </cell>
          <cell r="N694" t="str">
            <v>PRIMTOP RMX</v>
          </cell>
        </row>
        <row r="695">
          <cell r="C695" t="str">
            <v>100001681</v>
          </cell>
          <cell r="D695" t="str">
            <v>PT-88 TO DO VN-18KP</v>
          </cell>
          <cell r="E695" t="str">
            <v>ZFGD</v>
          </cell>
          <cell r="F695" t="str">
            <v>PC</v>
          </cell>
          <cell r="G695" t="str">
            <v>5</v>
          </cell>
          <cell r="H695" t="str">
            <v>PROJECT</v>
          </cell>
          <cell r="I695" t="str">
            <v>59</v>
          </cell>
          <cell r="J695" t="str">
            <v>MPC</v>
          </cell>
          <cell r="K695" t="str">
            <v>5906</v>
          </cell>
          <cell r="L695" t="str">
            <v>PRIMTOP</v>
          </cell>
          <cell r="M695" t="str">
            <v>590602</v>
          </cell>
          <cell r="N695" t="str">
            <v>PRIMTOP RMX</v>
          </cell>
        </row>
        <row r="696">
          <cell r="C696" t="str">
            <v>100001682</v>
          </cell>
          <cell r="D696" t="str">
            <v>PT-88 TO XANH LA MA VN-18KP</v>
          </cell>
          <cell r="E696" t="str">
            <v>ZFGD</v>
          </cell>
          <cell r="F696" t="str">
            <v>PC</v>
          </cell>
          <cell r="G696" t="str">
            <v>5</v>
          </cell>
          <cell r="H696" t="str">
            <v>PROJECT</v>
          </cell>
          <cell r="I696" t="str">
            <v>59</v>
          </cell>
          <cell r="J696" t="str">
            <v>MPC</v>
          </cell>
          <cell r="K696" t="str">
            <v>5906</v>
          </cell>
          <cell r="L696" t="str">
            <v>PRIMTOP</v>
          </cell>
          <cell r="M696" t="str">
            <v>590602</v>
          </cell>
          <cell r="N696" t="str">
            <v>PRIMTOP RMX</v>
          </cell>
        </row>
        <row r="697">
          <cell r="C697" t="str">
            <v>100001683</v>
          </cell>
          <cell r="D697" t="str">
            <v>PT-88 TO CAM VN-18KP</v>
          </cell>
          <cell r="E697" t="str">
            <v>ZFGD</v>
          </cell>
          <cell r="F697" t="str">
            <v>PC</v>
          </cell>
          <cell r="G697" t="str">
            <v>5</v>
          </cell>
          <cell r="H697" t="str">
            <v>PROJECT</v>
          </cell>
          <cell r="I697" t="str">
            <v>59</v>
          </cell>
          <cell r="J697" t="str">
            <v>MPC</v>
          </cell>
          <cell r="K697" t="str">
            <v>5906</v>
          </cell>
          <cell r="L697" t="str">
            <v>PRIMTOP</v>
          </cell>
          <cell r="M697" t="str">
            <v>590602</v>
          </cell>
          <cell r="N697" t="str">
            <v>PRIMTOP RMX</v>
          </cell>
        </row>
        <row r="698">
          <cell r="C698" t="str">
            <v>100001684</v>
          </cell>
          <cell r="D698" t="str">
            <v>PT-88 TO VANG CHANH VN-18KP</v>
          </cell>
          <cell r="E698" t="str">
            <v>ZFGD</v>
          </cell>
          <cell r="F698" t="str">
            <v>PC</v>
          </cell>
          <cell r="G698" t="str">
            <v>5</v>
          </cell>
          <cell r="H698" t="str">
            <v>PROJECT</v>
          </cell>
          <cell r="I698" t="str">
            <v>59</v>
          </cell>
          <cell r="J698" t="str">
            <v>MPC</v>
          </cell>
          <cell r="K698" t="str">
            <v>5906</v>
          </cell>
          <cell r="L698" t="str">
            <v>PRIMTOP</v>
          </cell>
          <cell r="M698" t="str">
            <v>590602</v>
          </cell>
          <cell r="N698" t="str">
            <v>PRIMTOP RMX</v>
          </cell>
        </row>
        <row r="699">
          <cell r="C699" t="str">
            <v>100001685</v>
          </cell>
          <cell r="D699" t="str">
            <v>PT-88 TO VANG NGHE VN-18KP</v>
          </cell>
          <cell r="E699" t="str">
            <v>ZFGD</v>
          </cell>
          <cell r="F699" t="str">
            <v>PC</v>
          </cell>
          <cell r="G699" t="str">
            <v>5</v>
          </cell>
          <cell r="H699" t="str">
            <v>PROJECT</v>
          </cell>
          <cell r="I699" t="str">
            <v>59</v>
          </cell>
          <cell r="J699" t="str">
            <v>MPC</v>
          </cell>
          <cell r="K699" t="str">
            <v>5906</v>
          </cell>
          <cell r="L699" t="str">
            <v>PRIMTOP</v>
          </cell>
          <cell r="M699" t="str">
            <v>590602</v>
          </cell>
          <cell r="N699" t="str">
            <v>PRIMTOP RMX</v>
          </cell>
        </row>
        <row r="700">
          <cell r="C700" t="str">
            <v>100001686</v>
          </cell>
          <cell r="D700" t="str">
            <v>PT-88 TO ORANGE GO VN-18KP</v>
          </cell>
          <cell r="E700" t="str">
            <v>ZFGD</v>
          </cell>
          <cell r="F700" t="str">
            <v>PC</v>
          </cell>
          <cell r="G700" t="str">
            <v>5</v>
          </cell>
          <cell r="H700" t="str">
            <v>PROJECT</v>
          </cell>
          <cell r="I700" t="str">
            <v>59</v>
          </cell>
          <cell r="J700" t="str">
            <v>MPC</v>
          </cell>
          <cell r="K700" t="str">
            <v>5906</v>
          </cell>
          <cell r="L700" t="str">
            <v>PRIMTOP</v>
          </cell>
          <cell r="M700" t="str">
            <v>590602</v>
          </cell>
          <cell r="N700" t="str">
            <v>PRIMTOP RMX</v>
          </cell>
        </row>
        <row r="701">
          <cell r="C701" t="str">
            <v>100001687</v>
          </cell>
          <cell r="D701" t="str">
            <v>PT-88 TO DARK YELLOW GO VN-18KP</v>
          </cell>
          <cell r="E701" t="str">
            <v>ZFGD</v>
          </cell>
          <cell r="F701" t="str">
            <v>PC</v>
          </cell>
          <cell r="G701" t="str">
            <v>5</v>
          </cell>
          <cell r="H701" t="str">
            <v>PROJECT</v>
          </cell>
          <cell r="I701" t="str">
            <v>59</v>
          </cell>
          <cell r="J701" t="str">
            <v>MPC</v>
          </cell>
          <cell r="K701" t="str">
            <v>5906</v>
          </cell>
          <cell r="L701" t="str">
            <v>PRIMTOP</v>
          </cell>
          <cell r="M701" t="str">
            <v>590602</v>
          </cell>
          <cell r="N701" t="str">
            <v>PRIMTOP RMX</v>
          </cell>
        </row>
        <row r="702">
          <cell r="C702" t="str">
            <v>100001688</v>
          </cell>
          <cell r="D702" t="str">
            <v>PT-88 TO LIGHT YELLOW GO VN-18KP</v>
          </cell>
          <cell r="E702" t="str">
            <v>ZFGD</v>
          </cell>
          <cell r="F702" t="str">
            <v>PC</v>
          </cell>
          <cell r="G702" t="str">
            <v>5</v>
          </cell>
          <cell r="H702" t="str">
            <v>PROJECT</v>
          </cell>
          <cell r="I702" t="str">
            <v>59</v>
          </cell>
          <cell r="J702" t="str">
            <v>MPC</v>
          </cell>
          <cell r="K702" t="str">
            <v>5906</v>
          </cell>
          <cell r="L702" t="str">
            <v>PRIMTOP</v>
          </cell>
          <cell r="M702" t="str">
            <v>590602</v>
          </cell>
          <cell r="N702" t="str">
            <v>PRIMTOP RMX</v>
          </cell>
        </row>
        <row r="703">
          <cell r="C703" t="str">
            <v>100001689</v>
          </cell>
          <cell r="D703" t="str">
            <v>PT-88 TO DARK GREEN FRONTGATE VN-18KP</v>
          </cell>
          <cell r="E703" t="str">
            <v>ZFGD</v>
          </cell>
          <cell r="F703" t="str">
            <v>PC</v>
          </cell>
          <cell r="G703" t="str">
            <v>5</v>
          </cell>
          <cell r="H703" t="str">
            <v>PROJECT</v>
          </cell>
          <cell r="I703" t="str">
            <v>59</v>
          </cell>
          <cell r="J703" t="str">
            <v>MPC</v>
          </cell>
          <cell r="K703" t="str">
            <v>5906</v>
          </cell>
          <cell r="L703" t="str">
            <v>PRIMTOP</v>
          </cell>
          <cell r="M703" t="str">
            <v>590602</v>
          </cell>
          <cell r="N703" t="str">
            <v>PRIMTOP RMX</v>
          </cell>
        </row>
        <row r="704">
          <cell r="C704" t="str">
            <v>100001690</v>
          </cell>
          <cell r="D704" t="str">
            <v>PT-88 TO DARK BLUE FRONTGATE VN-18KP</v>
          </cell>
          <cell r="E704" t="str">
            <v>ZFGD</v>
          </cell>
          <cell r="F704" t="str">
            <v>PC</v>
          </cell>
          <cell r="G704" t="str">
            <v>5</v>
          </cell>
          <cell r="H704" t="str">
            <v>PROJECT</v>
          </cell>
          <cell r="I704" t="str">
            <v>59</v>
          </cell>
          <cell r="J704" t="str">
            <v>MPC</v>
          </cell>
          <cell r="K704" t="str">
            <v>5906</v>
          </cell>
          <cell r="L704" t="str">
            <v>PRIMTOP</v>
          </cell>
          <cell r="M704" t="str">
            <v>590602</v>
          </cell>
          <cell r="N704" t="str">
            <v>PRIMTOP RMX</v>
          </cell>
        </row>
        <row r="705">
          <cell r="C705" t="str">
            <v>100001691</v>
          </cell>
          <cell r="D705" t="str">
            <v>PT-88 TO CAM DAT VN-18KP</v>
          </cell>
          <cell r="E705" t="str">
            <v>ZFGD</v>
          </cell>
          <cell r="F705" t="str">
            <v>PC</v>
          </cell>
          <cell r="G705" t="str">
            <v>5</v>
          </cell>
          <cell r="H705" t="str">
            <v>PROJECT</v>
          </cell>
          <cell r="I705" t="str">
            <v>59</v>
          </cell>
          <cell r="J705" t="str">
            <v>MPC</v>
          </cell>
          <cell r="K705" t="str">
            <v>5906</v>
          </cell>
          <cell r="L705" t="str">
            <v>PRIMTOP</v>
          </cell>
          <cell r="M705" t="str">
            <v>590602</v>
          </cell>
          <cell r="N705" t="str">
            <v>PRIMTOP RMX</v>
          </cell>
        </row>
        <row r="706">
          <cell r="C706" t="str">
            <v>100001692</v>
          </cell>
          <cell r="D706" t="str">
            <v>PT-88 TO TIM STORN VN-18KP</v>
          </cell>
          <cell r="E706" t="str">
            <v>ZFGD</v>
          </cell>
          <cell r="F706" t="str">
            <v>PC</v>
          </cell>
          <cell r="G706" t="str">
            <v>5</v>
          </cell>
          <cell r="H706" t="str">
            <v>PROJECT</v>
          </cell>
          <cell r="I706" t="str">
            <v>59</v>
          </cell>
          <cell r="J706" t="str">
            <v>MPC</v>
          </cell>
          <cell r="K706" t="str">
            <v>5906</v>
          </cell>
          <cell r="L706" t="str">
            <v>PRIMTOP</v>
          </cell>
          <cell r="M706" t="str">
            <v>590602</v>
          </cell>
          <cell r="N706" t="str">
            <v>PRIMTOP RMX</v>
          </cell>
        </row>
        <row r="707">
          <cell r="C707" t="str">
            <v>100001693</v>
          </cell>
          <cell r="D707" t="str">
            <v>PT-88 TO XANH CA MAP VN-18KP</v>
          </cell>
          <cell r="E707" t="str">
            <v>ZFGD</v>
          </cell>
          <cell r="F707" t="str">
            <v>PC</v>
          </cell>
          <cell r="G707" t="str">
            <v>5</v>
          </cell>
          <cell r="H707" t="str">
            <v>PROJECT</v>
          </cell>
          <cell r="I707" t="str">
            <v>59</v>
          </cell>
          <cell r="J707" t="str">
            <v>MPC</v>
          </cell>
          <cell r="K707" t="str">
            <v>5906</v>
          </cell>
          <cell r="L707" t="str">
            <v>PRIMTOP</v>
          </cell>
          <cell r="M707" t="str">
            <v>590602</v>
          </cell>
          <cell r="N707" t="str">
            <v>PRIMTOP RMX</v>
          </cell>
        </row>
        <row r="708">
          <cell r="C708" t="str">
            <v>100001694</v>
          </cell>
          <cell r="D708" t="str">
            <v>PT-88 TO CAM COP VN-18KP</v>
          </cell>
          <cell r="E708" t="str">
            <v>ZFGD</v>
          </cell>
          <cell r="F708" t="str">
            <v>PC</v>
          </cell>
          <cell r="G708" t="str">
            <v>5</v>
          </cell>
          <cell r="H708" t="str">
            <v>PROJECT</v>
          </cell>
          <cell r="I708" t="str">
            <v>59</v>
          </cell>
          <cell r="J708" t="str">
            <v>MPC</v>
          </cell>
          <cell r="K708" t="str">
            <v>5906</v>
          </cell>
          <cell r="L708" t="str">
            <v>PRIMTOP</v>
          </cell>
          <cell r="M708" t="str">
            <v>590602</v>
          </cell>
          <cell r="N708" t="str">
            <v>PRIMTOP RMX</v>
          </cell>
        </row>
        <row r="709">
          <cell r="C709" t="str">
            <v>100001695</v>
          </cell>
          <cell r="D709" t="str">
            <v>PT-88 TO DO NAI VN-18KP</v>
          </cell>
          <cell r="E709" t="str">
            <v>ZFGD</v>
          </cell>
          <cell r="F709" t="str">
            <v>PC</v>
          </cell>
          <cell r="G709" t="str">
            <v>5</v>
          </cell>
          <cell r="H709" t="str">
            <v>PROJECT</v>
          </cell>
          <cell r="I709" t="str">
            <v>59</v>
          </cell>
          <cell r="J709" t="str">
            <v>MPC</v>
          </cell>
          <cell r="K709" t="str">
            <v>5906</v>
          </cell>
          <cell r="L709" t="str">
            <v>PRIMTOP</v>
          </cell>
          <cell r="M709" t="str">
            <v>590602</v>
          </cell>
          <cell r="N709" t="str">
            <v>PRIMTOP RMX</v>
          </cell>
        </row>
        <row r="710">
          <cell r="C710" t="str">
            <v>100001696</v>
          </cell>
          <cell r="D710" t="str">
            <v>PT-88 TO XANH NAI VN-18KP</v>
          </cell>
          <cell r="E710" t="str">
            <v>ZFGD</v>
          </cell>
          <cell r="F710" t="str">
            <v>PC</v>
          </cell>
          <cell r="G710" t="str">
            <v>5</v>
          </cell>
          <cell r="H710" t="str">
            <v>PROJECT</v>
          </cell>
          <cell r="I710" t="str">
            <v>59</v>
          </cell>
          <cell r="J710" t="str">
            <v>MPC</v>
          </cell>
          <cell r="K710" t="str">
            <v>5906</v>
          </cell>
          <cell r="L710" t="str">
            <v>PRIMTOP</v>
          </cell>
          <cell r="M710" t="str">
            <v>590602</v>
          </cell>
          <cell r="N710" t="str">
            <v>PRIMTOP RMX</v>
          </cell>
        </row>
        <row r="711">
          <cell r="C711" t="str">
            <v>100001697</v>
          </cell>
          <cell r="D711" t="str">
            <v>PT-88 TO XANH NHEN VN-18KP</v>
          </cell>
          <cell r="E711" t="str">
            <v>ZFGD</v>
          </cell>
          <cell r="F711" t="str">
            <v>PC</v>
          </cell>
          <cell r="G711" t="str">
            <v>5</v>
          </cell>
          <cell r="H711" t="str">
            <v>PROJECT</v>
          </cell>
          <cell r="I711" t="str">
            <v>59</v>
          </cell>
          <cell r="J711" t="str">
            <v>MPC</v>
          </cell>
          <cell r="K711" t="str">
            <v>5906</v>
          </cell>
          <cell r="L711" t="str">
            <v>PRIMTOP</v>
          </cell>
          <cell r="M711" t="str">
            <v>590602</v>
          </cell>
          <cell r="N711" t="str">
            <v>PRIMTOP RMX</v>
          </cell>
        </row>
        <row r="712">
          <cell r="C712" t="str">
            <v>100001698</v>
          </cell>
          <cell r="D712" t="str">
            <v>PT-88 TO XANH CHANH VN-18KP</v>
          </cell>
          <cell r="E712" t="str">
            <v>ZFGD</v>
          </cell>
          <cell r="F712" t="str">
            <v>PC</v>
          </cell>
          <cell r="G712" t="str">
            <v>5</v>
          </cell>
          <cell r="H712" t="str">
            <v>PROJECT</v>
          </cell>
          <cell r="I712" t="str">
            <v>59</v>
          </cell>
          <cell r="J712" t="str">
            <v>MPC</v>
          </cell>
          <cell r="K712" t="str">
            <v>5906</v>
          </cell>
          <cell r="L712" t="str">
            <v>PRIMTOP</v>
          </cell>
          <cell r="M712" t="str">
            <v>590602</v>
          </cell>
          <cell r="N712" t="str">
            <v>PRIMTOP RMX</v>
          </cell>
        </row>
        <row r="713">
          <cell r="C713" t="str">
            <v>100001699</v>
          </cell>
          <cell r="D713" t="str">
            <v>PT-88 TO XANH CUU VN-18KP</v>
          </cell>
          <cell r="E713" t="str">
            <v>ZFGD</v>
          </cell>
          <cell r="F713" t="str">
            <v>PC</v>
          </cell>
          <cell r="G713" t="str">
            <v>5</v>
          </cell>
          <cell r="H713" t="str">
            <v>PROJECT</v>
          </cell>
          <cell r="I713" t="str">
            <v>59</v>
          </cell>
          <cell r="J713" t="str">
            <v>MPC</v>
          </cell>
          <cell r="K713" t="str">
            <v>5906</v>
          </cell>
          <cell r="L713" t="str">
            <v>PRIMTOP</v>
          </cell>
          <cell r="M713" t="str">
            <v>590602</v>
          </cell>
          <cell r="N713" t="str">
            <v>PRIMTOP RMX</v>
          </cell>
        </row>
        <row r="714">
          <cell r="C714" t="str">
            <v>100001700</v>
          </cell>
          <cell r="D714" t="str">
            <v>PT-88 TO VANG SICA VN-18KP</v>
          </cell>
          <cell r="E714" t="str">
            <v>ZFGD</v>
          </cell>
          <cell r="F714" t="str">
            <v>PC</v>
          </cell>
          <cell r="G714" t="str">
            <v>5</v>
          </cell>
          <cell r="H714" t="str">
            <v>PROJECT</v>
          </cell>
          <cell r="I714" t="str">
            <v>59</v>
          </cell>
          <cell r="J714" t="str">
            <v>MPC</v>
          </cell>
          <cell r="K714" t="str">
            <v>5906</v>
          </cell>
          <cell r="L714" t="str">
            <v>PRIMTOP</v>
          </cell>
          <cell r="M714" t="str">
            <v>590602</v>
          </cell>
          <cell r="N714" t="str">
            <v>PRIMTOP RMX</v>
          </cell>
        </row>
        <row r="715">
          <cell r="C715" t="str">
            <v>100001701</v>
          </cell>
          <cell r="D715" t="str">
            <v>PT-88 TO HONG TIM VN-18KP</v>
          </cell>
          <cell r="E715" t="str">
            <v>ZFGD</v>
          </cell>
          <cell r="F715" t="str">
            <v>PC</v>
          </cell>
          <cell r="G715" t="str">
            <v>5</v>
          </cell>
          <cell r="H715" t="str">
            <v>PROJECT</v>
          </cell>
          <cell r="I715" t="str">
            <v>59</v>
          </cell>
          <cell r="J715" t="str">
            <v>MPC</v>
          </cell>
          <cell r="K715" t="str">
            <v>5906</v>
          </cell>
          <cell r="L715" t="str">
            <v>PRIMTOP</v>
          </cell>
          <cell r="M715" t="str">
            <v>590602</v>
          </cell>
          <cell r="N715" t="str">
            <v>PRIMTOP RMX</v>
          </cell>
        </row>
        <row r="716">
          <cell r="C716" t="str">
            <v>100001702</v>
          </cell>
          <cell r="D716" t="str">
            <v>PT-88 TO XANH XAM VN-18KP</v>
          </cell>
          <cell r="E716" t="str">
            <v>ZFGD</v>
          </cell>
          <cell r="F716" t="str">
            <v>PC</v>
          </cell>
          <cell r="G716" t="str">
            <v>5</v>
          </cell>
          <cell r="H716" t="str">
            <v>PROJECT</v>
          </cell>
          <cell r="I716" t="str">
            <v>59</v>
          </cell>
          <cell r="J716" t="str">
            <v>MPC</v>
          </cell>
          <cell r="K716" t="str">
            <v>5906</v>
          </cell>
          <cell r="L716" t="str">
            <v>PRIMTOP</v>
          </cell>
          <cell r="M716" t="str">
            <v>590602</v>
          </cell>
          <cell r="N716" t="str">
            <v>PRIMTOP RMX</v>
          </cell>
        </row>
        <row r="717">
          <cell r="C717" t="str">
            <v>100001703</v>
          </cell>
          <cell r="D717" t="str">
            <v>PT-88 TO XANH NAILS VN-18KP</v>
          </cell>
          <cell r="E717" t="str">
            <v>ZFGD</v>
          </cell>
          <cell r="F717" t="str">
            <v>PC</v>
          </cell>
          <cell r="G717" t="str">
            <v>5</v>
          </cell>
          <cell r="H717" t="str">
            <v>PROJECT</v>
          </cell>
          <cell r="I717" t="str">
            <v>59</v>
          </cell>
          <cell r="J717" t="str">
            <v>MPC</v>
          </cell>
          <cell r="K717" t="str">
            <v>5906</v>
          </cell>
          <cell r="L717" t="str">
            <v>PRIMTOP</v>
          </cell>
          <cell r="M717" t="str">
            <v>590602</v>
          </cell>
          <cell r="N717" t="str">
            <v>PRIMTOP RMX</v>
          </cell>
        </row>
        <row r="718">
          <cell r="C718" t="str">
            <v>100001704</v>
          </cell>
          <cell r="D718" t="str">
            <v>THINNER EPOXY VN-0.2K</v>
          </cell>
          <cell r="E718" t="str">
            <v>ZFGD</v>
          </cell>
          <cell r="F718" t="str">
            <v>PC</v>
          </cell>
          <cell r="G718" t="str">
            <v>2</v>
          </cell>
          <cell r="H718" t="str">
            <v>RETAIL</v>
          </cell>
          <cell r="I718" t="str">
            <v>29</v>
          </cell>
          <cell r="J718" t="str">
            <v>MPC</v>
          </cell>
          <cell r="K718" t="str">
            <v>2915</v>
          </cell>
          <cell r="L718" t="str">
            <v>THINNER</v>
          </cell>
          <cell r="M718" t="str">
            <v>291502</v>
          </cell>
          <cell r="N718" t="str">
            <v>THINNER MPC</v>
          </cell>
        </row>
        <row r="719">
          <cell r="C719" t="str">
            <v>100001705</v>
          </cell>
          <cell r="D719" t="str">
            <v>THINNER EPOXY VN-0.8L</v>
          </cell>
          <cell r="E719" t="str">
            <v>ZFGD</v>
          </cell>
          <cell r="F719" t="str">
            <v>PC</v>
          </cell>
          <cell r="G719" t="str">
            <v>2</v>
          </cell>
          <cell r="H719" t="str">
            <v>RETAIL</v>
          </cell>
          <cell r="I719" t="str">
            <v>29</v>
          </cell>
          <cell r="J719" t="str">
            <v>MPC</v>
          </cell>
          <cell r="K719" t="str">
            <v>2915</v>
          </cell>
          <cell r="L719" t="str">
            <v>THINNER</v>
          </cell>
          <cell r="M719" t="str">
            <v>291502</v>
          </cell>
          <cell r="N719" t="str">
            <v>THINNER MPC</v>
          </cell>
        </row>
        <row r="720">
          <cell r="C720" t="str">
            <v>100001706</v>
          </cell>
          <cell r="D720" t="str">
            <v>#NOT USED R EPOXY VN-3.8L</v>
          </cell>
          <cell r="E720" t="str">
            <v>ZFGD</v>
          </cell>
          <cell r="F720" t="str">
            <v>PC</v>
          </cell>
          <cell r="G720" t="str">
            <v>2</v>
          </cell>
          <cell r="H720" t="str">
            <v>RETAIL</v>
          </cell>
          <cell r="I720" t="str">
            <v>29</v>
          </cell>
          <cell r="J720" t="str">
            <v>MPC</v>
          </cell>
          <cell r="K720" t="str">
            <v>2904</v>
          </cell>
          <cell r="L720" t="str">
            <v>OTHERS MPC</v>
          </cell>
          <cell r="M720" t="str">
            <v>290402</v>
          </cell>
          <cell r="N720" t="str">
            <v>THINNER MPC</v>
          </cell>
        </row>
        <row r="721">
          <cell r="C721" t="str">
            <v>100001707</v>
          </cell>
          <cell r="D721" t="str">
            <v>THINNER EPOXY VN-20LJ</v>
          </cell>
          <cell r="E721" t="str">
            <v>ZFGD</v>
          </cell>
          <cell r="F721" t="str">
            <v>PC</v>
          </cell>
          <cell r="G721" t="str">
            <v>2</v>
          </cell>
          <cell r="H721" t="str">
            <v>RETAIL</v>
          </cell>
          <cell r="I721" t="str">
            <v>29</v>
          </cell>
          <cell r="J721" t="str">
            <v>MPC</v>
          </cell>
          <cell r="K721" t="str">
            <v>2915</v>
          </cell>
          <cell r="L721" t="str">
            <v>THINNER</v>
          </cell>
          <cell r="M721" t="str">
            <v>291502</v>
          </cell>
          <cell r="N721" t="str">
            <v>THINNER MPC</v>
          </cell>
        </row>
        <row r="722">
          <cell r="C722" t="str">
            <v>100001708</v>
          </cell>
          <cell r="D722" t="str">
            <v>HARDENER PFP-261 VN-0.5K</v>
          </cell>
          <cell r="E722" t="str">
            <v>ZFGD</v>
          </cell>
          <cell r="F722" t="str">
            <v>PC</v>
          </cell>
          <cell r="G722" t="str">
            <v>5</v>
          </cell>
          <cell r="H722" t="str">
            <v>PROJECT</v>
          </cell>
          <cell r="I722" t="str">
            <v>56</v>
          </cell>
          <cell r="J722" t="str">
            <v>CPC1</v>
          </cell>
          <cell r="K722" t="str">
            <v>5607</v>
          </cell>
          <cell r="L722" t="str">
            <v>OTHERS CPC1</v>
          </cell>
          <cell r="M722" t="str">
            <v>560703</v>
          </cell>
          <cell r="N722" t="str">
            <v>COMPLEMENTARY CPC1</v>
          </cell>
        </row>
        <row r="723">
          <cell r="C723" t="str">
            <v>100001709</v>
          </cell>
          <cell r="D723" t="str">
            <v>HARDENER PFP-261 VN-2K</v>
          </cell>
          <cell r="E723" t="str">
            <v>ZFGD</v>
          </cell>
          <cell r="F723" t="str">
            <v>PC</v>
          </cell>
          <cell r="G723" t="str">
            <v>5</v>
          </cell>
          <cell r="H723" t="str">
            <v>PROJECT</v>
          </cell>
          <cell r="I723" t="str">
            <v>56</v>
          </cell>
          <cell r="J723" t="str">
            <v>CPC1</v>
          </cell>
          <cell r="K723" t="str">
            <v>5607</v>
          </cell>
          <cell r="L723" t="str">
            <v>OTHERS CPC1</v>
          </cell>
          <cell r="M723" t="str">
            <v>560703</v>
          </cell>
          <cell r="N723" t="str">
            <v>COMPLEMENTARY CPC1</v>
          </cell>
        </row>
        <row r="724">
          <cell r="C724" t="str">
            <v>100001710</v>
          </cell>
          <cell r="D724" t="str">
            <v>HARDENER PFT-253 VN-1K</v>
          </cell>
          <cell r="E724" t="str">
            <v>ZFGD</v>
          </cell>
          <cell r="F724" t="str">
            <v>PC</v>
          </cell>
          <cell r="G724" t="str">
            <v>5</v>
          </cell>
          <cell r="H724" t="str">
            <v>PROJECT</v>
          </cell>
          <cell r="I724" t="str">
            <v>56</v>
          </cell>
          <cell r="J724" t="str">
            <v>CPC1</v>
          </cell>
          <cell r="K724" t="str">
            <v>5607</v>
          </cell>
          <cell r="L724" t="str">
            <v>OTHERS CPC1</v>
          </cell>
          <cell r="M724" t="str">
            <v>560703</v>
          </cell>
          <cell r="N724" t="str">
            <v>COMPLEMENTARY CPC1</v>
          </cell>
        </row>
        <row r="725">
          <cell r="C725" t="str">
            <v>100001711</v>
          </cell>
          <cell r="D725" t="str">
            <v>HARDENER PFT-253 VN-4K</v>
          </cell>
          <cell r="E725" t="str">
            <v>ZFGD</v>
          </cell>
          <cell r="F725" t="str">
            <v>PC</v>
          </cell>
          <cell r="G725" t="str">
            <v>5</v>
          </cell>
          <cell r="H725" t="str">
            <v>PROJECT</v>
          </cell>
          <cell r="I725" t="str">
            <v>56</v>
          </cell>
          <cell r="J725" t="str">
            <v>CPC1</v>
          </cell>
          <cell r="K725" t="str">
            <v>5607</v>
          </cell>
          <cell r="L725" t="str">
            <v>OTHERS CPC1</v>
          </cell>
          <cell r="M725" t="str">
            <v>560703</v>
          </cell>
          <cell r="N725" t="str">
            <v>COMPLEMENTARY CPC1</v>
          </cell>
        </row>
        <row r="726">
          <cell r="C726" t="str">
            <v>100001712</v>
          </cell>
          <cell r="D726" t="str">
            <v>HARDENER PFT-253 3K VN-2K</v>
          </cell>
          <cell r="E726" t="str">
            <v>ZFGD</v>
          </cell>
          <cell r="F726" t="str">
            <v>PC</v>
          </cell>
          <cell r="G726" t="str">
            <v>5</v>
          </cell>
          <cell r="H726" t="str">
            <v>PROJECT</v>
          </cell>
          <cell r="I726" t="str">
            <v>56</v>
          </cell>
          <cell r="J726" t="str">
            <v>CPC1</v>
          </cell>
          <cell r="K726" t="str">
            <v>5607</v>
          </cell>
          <cell r="L726" t="str">
            <v>OTHERS CPC1</v>
          </cell>
          <cell r="M726" t="str">
            <v>560703</v>
          </cell>
          <cell r="N726" t="str">
            <v>COMPLEMENTARY CPC1</v>
          </cell>
        </row>
        <row r="727">
          <cell r="C727" t="str">
            <v>100001713</v>
          </cell>
          <cell r="D727" t="str">
            <v>#NOT USED ER EDP-551 VN-0.1K</v>
          </cell>
          <cell r="E727" t="str">
            <v>ZFGD</v>
          </cell>
          <cell r="F727" t="str">
            <v>PC</v>
          </cell>
          <cell r="G727" t="str">
            <v>2</v>
          </cell>
          <cell r="H727" t="str">
            <v>RETAIL</v>
          </cell>
          <cell r="I727" t="str">
            <v>29</v>
          </cell>
          <cell r="J727" t="str">
            <v>MPC</v>
          </cell>
          <cell r="K727" t="str">
            <v>2904</v>
          </cell>
          <cell r="L727" t="str">
            <v>OTHERS MPC</v>
          </cell>
          <cell r="M727" t="str">
            <v>290403</v>
          </cell>
          <cell r="N727" t="str">
            <v>COMPLEMENTARY MPC</v>
          </cell>
        </row>
        <row r="728">
          <cell r="C728" t="str">
            <v>100001714</v>
          </cell>
          <cell r="D728" t="str">
            <v>#NOT USED ER EDP-551 VN-0.5K</v>
          </cell>
          <cell r="E728" t="str">
            <v>ZFGD</v>
          </cell>
          <cell r="F728" t="str">
            <v>PC</v>
          </cell>
          <cell r="G728" t="str">
            <v>2</v>
          </cell>
          <cell r="H728" t="str">
            <v>RETAIL</v>
          </cell>
          <cell r="I728" t="str">
            <v>29</v>
          </cell>
          <cell r="J728" t="str">
            <v>MPC</v>
          </cell>
          <cell r="K728" t="str">
            <v>2904</v>
          </cell>
          <cell r="L728" t="str">
            <v>OTHERS MPC</v>
          </cell>
          <cell r="M728" t="str">
            <v>290403</v>
          </cell>
          <cell r="N728" t="str">
            <v>COMPLEMENTARY MPC</v>
          </cell>
        </row>
        <row r="729">
          <cell r="C729" t="str">
            <v>100001715</v>
          </cell>
          <cell r="D729" t="str">
            <v>CỨNG EPOXY EDP-551 VN-2K</v>
          </cell>
          <cell r="E729" t="str">
            <v>ZFGD</v>
          </cell>
          <cell r="F729" t="str">
            <v>PC</v>
          </cell>
          <cell r="G729" t="str">
            <v>5</v>
          </cell>
          <cell r="H729" t="str">
            <v>PROJECT</v>
          </cell>
          <cell r="I729" t="str">
            <v>59</v>
          </cell>
          <cell r="J729" t="str">
            <v>MPC</v>
          </cell>
          <cell r="K729" t="str">
            <v>5904</v>
          </cell>
          <cell r="L729" t="str">
            <v>METALKOTE</v>
          </cell>
          <cell r="M729" t="str">
            <v>590402</v>
          </cell>
          <cell r="N729" t="str">
            <v>METALKOTE-EPOXY SYS</v>
          </cell>
        </row>
        <row r="730">
          <cell r="C730" t="str">
            <v>100001716</v>
          </cell>
          <cell r="D730" t="str">
            <v>HARDENER PFP-241 VN-0.5K</v>
          </cell>
          <cell r="E730" t="str">
            <v>ZFGD</v>
          </cell>
          <cell r="F730" t="str">
            <v>PC</v>
          </cell>
          <cell r="G730" t="str">
            <v>5</v>
          </cell>
          <cell r="H730" t="str">
            <v>PROJECT</v>
          </cell>
          <cell r="I730" t="str">
            <v>56</v>
          </cell>
          <cell r="J730" t="str">
            <v>CPC1</v>
          </cell>
          <cell r="K730" t="str">
            <v>5607</v>
          </cell>
          <cell r="L730" t="str">
            <v>OTHERS CPC1</v>
          </cell>
          <cell r="M730" t="str">
            <v>560703</v>
          </cell>
          <cell r="N730" t="str">
            <v>COMPLEMENTARY CPC1</v>
          </cell>
        </row>
        <row r="731">
          <cell r="C731" t="str">
            <v>100001717</v>
          </cell>
          <cell r="D731" t="str">
            <v>HARDENER PFP-241 VN-2.5K</v>
          </cell>
          <cell r="E731" t="str">
            <v>ZFGD</v>
          </cell>
          <cell r="F731" t="str">
            <v>PC</v>
          </cell>
          <cell r="G731" t="str">
            <v>5</v>
          </cell>
          <cell r="H731" t="str">
            <v>PROJECT</v>
          </cell>
          <cell r="I731" t="str">
            <v>56</v>
          </cell>
          <cell r="J731" t="str">
            <v>CPC1</v>
          </cell>
          <cell r="K731" t="str">
            <v>5607</v>
          </cell>
          <cell r="L731" t="str">
            <v>OTHERS CPC1</v>
          </cell>
          <cell r="M731" t="str">
            <v>560703</v>
          </cell>
          <cell r="N731" t="str">
            <v>COMPLEMENTARY CPC1</v>
          </cell>
        </row>
        <row r="732">
          <cell r="C732" t="str">
            <v>100001718</v>
          </cell>
          <cell r="D732" t="str">
            <v>HARDENER MX-94 VN-1K</v>
          </cell>
          <cell r="E732" t="str">
            <v>ZFGD</v>
          </cell>
          <cell r="F732" t="str">
            <v>PC</v>
          </cell>
          <cell r="G732" t="str">
            <v>5</v>
          </cell>
          <cell r="H732" t="str">
            <v>PROJECT</v>
          </cell>
          <cell r="I732" t="str">
            <v>56</v>
          </cell>
          <cell r="J732" t="str">
            <v>CPC1</v>
          </cell>
          <cell r="K732" t="str">
            <v>5603</v>
          </cell>
          <cell r="L732" t="str">
            <v>MULTIPOX</v>
          </cell>
          <cell r="M732" t="str">
            <v>560301</v>
          </cell>
          <cell r="N732" t="str">
            <v>MULTIPOX</v>
          </cell>
        </row>
        <row r="733">
          <cell r="C733" t="str">
            <v>100001719</v>
          </cell>
          <cell r="D733" t="str">
            <v>HARDENER MX-94 VN-4K</v>
          </cell>
          <cell r="E733" t="str">
            <v>ZFGD</v>
          </cell>
          <cell r="F733" t="str">
            <v>PC</v>
          </cell>
          <cell r="G733" t="str">
            <v>5</v>
          </cell>
          <cell r="H733" t="str">
            <v>PROJECT</v>
          </cell>
          <cell r="I733" t="str">
            <v>56</v>
          </cell>
          <cell r="J733" t="str">
            <v>CPC1</v>
          </cell>
          <cell r="K733" t="str">
            <v>5603</v>
          </cell>
          <cell r="L733" t="str">
            <v>MULTIPOX</v>
          </cell>
          <cell r="M733" t="str">
            <v>560301</v>
          </cell>
          <cell r="N733" t="str">
            <v>MULTIPOX</v>
          </cell>
        </row>
        <row r="734">
          <cell r="C734" t="str">
            <v>100001720</v>
          </cell>
          <cell r="D734" t="str">
            <v>HARDENER MX-99 VN-0.2K</v>
          </cell>
          <cell r="E734" t="str">
            <v>ZFGD</v>
          </cell>
          <cell r="F734" t="str">
            <v>PC</v>
          </cell>
          <cell r="G734" t="str">
            <v>2</v>
          </cell>
          <cell r="H734" t="str">
            <v>RETAIL</v>
          </cell>
          <cell r="I734" t="str">
            <v>27</v>
          </cell>
          <cell r="J734" t="str">
            <v>CPC1</v>
          </cell>
          <cell r="K734" t="str">
            <v>2703</v>
          </cell>
          <cell r="L734" t="str">
            <v>MULTIPOX</v>
          </cell>
          <cell r="M734" t="str">
            <v>270301</v>
          </cell>
          <cell r="N734" t="str">
            <v>MULTIPOX</v>
          </cell>
        </row>
        <row r="735">
          <cell r="C735" t="str">
            <v>100001721</v>
          </cell>
          <cell r="D735" t="str">
            <v>HARDENER MX-99 VN-1K</v>
          </cell>
          <cell r="E735" t="str">
            <v>ZFGD</v>
          </cell>
          <cell r="F735" t="str">
            <v>PC</v>
          </cell>
          <cell r="G735" t="str">
            <v>2</v>
          </cell>
          <cell r="H735" t="str">
            <v>RETAIL</v>
          </cell>
          <cell r="I735" t="str">
            <v>27</v>
          </cell>
          <cell r="J735" t="str">
            <v>CPC1</v>
          </cell>
          <cell r="K735" t="str">
            <v>2703</v>
          </cell>
          <cell r="L735" t="str">
            <v>MULTIPOX</v>
          </cell>
          <cell r="M735" t="str">
            <v>270301</v>
          </cell>
          <cell r="N735" t="str">
            <v>MULTIPOX</v>
          </cell>
        </row>
        <row r="736">
          <cell r="C736" t="str">
            <v>100001722</v>
          </cell>
          <cell r="D736" t="str">
            <v>HARDENER MX-99 VN-5K</v>
          </cell>
          <cell r="E736" t="str">
            <v>ZFGD</v>
          </cell>
          <cell r="F736" t="str">
            <v>PC</v>
          </cell>
          <cell r="G736" t="str">
            <v>2</v>
          </cell>
          <cell r="H736" t="str">
            <v>RETAIL</v>
          </cell>
          <cell r="I736" t="str">
            <v>27</v>
          </cell>
          <cell r="J736" t="str">
            <v>CPC1</v>
          </cell>
          <cell r="K736" t="str">
            <v>2703</v>
          </cell>
          <cell r="L736" t="str">
            <v>MULTIPOX</v>
          </cell>
          <cell r="M736" t="str">
            <v>270301</v>
          </cell>
          <cell r="N736" t="str">
            <v>MULTIPOX</v>
          </cell>
        </row>
        <row r="737">
          <cell r="C737" t="str">
            <v>100001723</v>
          </cell>
          <cell r="D737" t="str">
            <v>THINNER PU-047 VT VN-1L</v>
          </cell>
          <cell r="E737" t="str">
            <v>ZFGD</v>
          </cell>
          <cell r="F737" t="str">
            <v>PC</v>
          </cell>
          <cell r="G737" t="str">
            <v>2</v>
          </cell>
          <cell r="H737" t="str">
            <v>RETAIL</v>
          </cell>
          <cell r="I737" t="str">
            <v>22</v>
          </cell>
          <cell r="J737" t="str">
            <v>WF2</v>
          </cell>
          <cell r="K737" t="str">
            <v>2203</v>
          </cell>
          <cell r="L737" t="str">
            <v>THINNER PU</v>
          </cell>
          <cell r="M737" t="str">
            <v>220303</v>
          </cell>
          <cell r="N737" t="str">
            <v>THINNER PU R</v>
          </cell>
        </row>
        <row r="738">
          <cell r="C738" t="str">
            <v>100001724</v>
          </cell>
          <cell r="D738" t="str">
            <v>THINNER PU-047 VT VN-3.8L</v>
          </cell>
          <cell r="E738" t="str">
            <v>ZFGD</v>
          </cell>
          <cell r="F738" t="str">
            <v>PC</v>
          </cell>
          <cell r="G738" t="str">
            <v>2</v>
          </cell>
          <cell r="H738" t="str">
            <v>RETAIL</v>
          </cell>
          <cell r="I738" t="str">
            <v>22</v>
          </cell>
          <cell r="J738" t="str">
            <v>WF2</v>
          </cell>
          <cell r="K738" t="str">
            <v>2203</v>
          </cell>
          <cell r="L738" t="str">
            <v>THINNER PU</v>
          </cell>
          <cell r="M738" t="str">
            <v>220303</v>
          </cell>
          <cell r="N738" t="str">
            <v>THINNER PU R</v>
          </cell>
        </row>
        <row r="739">
          <cell r="C739" t="str">
            <v>100001725</v>
          </cell>
          <cell r="D739" t="str">
            <v>THINNER PU-047 VT VN-20LJ</v>
          </cell>
          <cell r="E739" t="str">
            <v>ZFGD</v>
          </cell>
          <cell r="F739" t="str">
            <v>PC</v>
          </cell>
          <cell r="G739" t="str">
            <v>2</v>
          </cell>
          <cell r="H739" t="str">
            <v>RETAIL</v>
          </cell>
          <cell r="I739" t="str">
            <v>22</v>
          </cell>
          <cell r="J739" t="str">
            <v>WF2</v>
          </cell>
          <cell r="K739" t="str">
            <v>2203</v>
          </cell>
          <cell r="L739" t="str">
            <v>THINNER PU</v>
          </cell>
          <cell r="M739" t="str">
            <v>220303</v>
          </cell>
          <cell r="N739" t="str">
            <v>THINNER PU R</v>
          </cell>
        </row>
        <row r="740">
          <cell r="C740" t="str">
            <v>100001726</v>
          </cell>
          <cell r="D740" t="str">
            <v>HARDENER PUH-74 SD VN-0.5K</v>
          </cell>
          <cell r="E740" t="str">
            <v>ZFGD</v>
          </cell>
          <cell r="F740" t="str">
            <v>PC</v>
          </cell>
          <cell r="G740" t="str">
            <v>2</v>
          </cell>
          <cell r="H740" t="str">
            <v>RETAIL</v>
          </cell>
          <cell r="I740" t="str">
            <v>22</v>
          </cell>
          <cell r="J740" t="str">
            <v>WF2</v>
          </cell>
          <cell r="K740" t="str">
            <v>2212</v>
          </cell>
          <cell r="L740" t="str">
            <v>PU EASY TO USE</v>
          </cell>
          <cell r="M740" t="str">
            <v>221201</v>
          </cell>
          <cell r="N740" t="str">
            <v>PROPAN EASY TO USE PU</v>
          </cell>
        </row>
        <row r="741">
          <cell r="C741" t="str">
            <v>100001727</v>
          </cell>
          <cell r="D741" t="str">
            <v>HARDENER PUH-74 SD VN-1K</v>
          </cell>
          <cell r="E741" t="str">
            <v>ZFGD</v>
          </cell>
          <cell r="F741" t="str">
            <v>PC</v>
          </cell>
          <cell r="G741" t="str">
            <v>2</v>
          </cell>
          <cell r="H741" t="str">
            <v>RETAIL</v>
          </cell>
          <cell r="I741" t="str">
            <v>22</v>
          </cell>
          <cell r="J741" t="str">
            <v>WF2</v>
          </cell>
          <cell r="K741" t="str">
            <v>2212</v>
          </cell>
          <cell r="L741" t="str">
            <v>PU EASY TO USE</v>
          </cell>
          <cell r="M741" t="str">
            <v>221201</v>
          </cell>
          <cell r="N741" t="str">
            <v>PROPAN EASY TO USE PU</v>
          </cell>
        </row>
        <row r="742">
          <cell r="C742" t="str">
            <v>100001728</v>
          </cell>
          <cell r="D742" t="str">
            <v>HARDENER PUH-74 SD VN-4K</v>
          </cell>
          <cell r="E742" t="str">
            <v>ZFGD</v>
          </cell>
          <cell r="F742" t="str">
            <v>PC</v>
          </cell>
          <cell r="G742" t="str">
            <v>2</v>
          </cell>
          <cell r="H742" t="str">
            <v>RETAIL</v>
          </cell>
          <cell r="I742" t="str">
            <v>22</v>
          </cell>
          <cell r="J742" t="str">
            <v>WF2</v>
          </cell>
          <cell r="K742" t="str">
            <v>2212</v>
          </cell>
          <cell r="L742" t="str">
            <v>PU EASY TO USE</v>
          </cell>
          <cell r="M742" t="str">
            <v>221201</v>
          </cell>
          <cell r="N742" t="str">
            <v>PROPAN EASY TO USE PU</v>
          </cell>
        </row>
        <row r="743">
          <cell r="C743" t="str">
            <v>100001729</v>
          </cell>
          <cell r="D743" t="str">
            <v>HARDENER PUH-74 SD VN-16KP</v>
          </cell>
          <cell r="E743" t="str">
            <v>ZFGD</v>
          </cell>
          <cell r="F743" t="str">
            <v>PC</v>
          </cell>
          <cell r="G743" t="str">
            <v>2</v>
          </cell>
          <cell r="H743" t="str">
            <v>RETAIL</v>
          </cell>
          <cell r="I743" t="str">
            <v>22</v>
          </cell>
          <cell r="J743" t="str">
            <v>WF2</v>
          </cell>
          <cell r="K743" t="str">
            <v>2212</v>
          </cell>
          <cell r="L743" t="str">
            <v>PU EASY TO USE</v>
          </cell>
          <cell r="M743" t="str">
            <v>221201</v>
          </cell>
          <cell r="N743" t="str">
            <v>PROPAN EASY TO USE PU</v>
          </cell>
        </row>
        <row r="744">
          <cell r="C744" t="str">
            <v>100001730</v>
          </cell>
          <cell r="D744" t="str">
            <v>HARDENER PUH-74 HG VN-0.5K</v>
          </cell>
          <cell r="E744" t="str">
            <v>ZFGD</v>
          </cell>
          <cell r="F744" t="str">
            <v>PC</v>
          </cell>
          <cell r="G744" t="str">
            <v>2</v>
          </cell>
          <cell r="H744" t="str">
            <v>RETAIL</v>
          </cell>
          <cell r="I744" t="str">
            <v>22</v>
          </cell>
          <cell r="J744" t="str">
            <v>WF2</v>
          </cell>
          <cell r="K744" t="str">
            <v>2212</v>
          </cell>
          <cell r="L744" t="str">
            <v>PU EASY TO USE</v>
          </cell>
          <cell r="M744" t="str">
            <v>221201</v>
          </cell>
          <cell r="N744" t="str">
            <v>PROPAN EASY TO USE PU</v>
          </cell>
        </row>
        <row r="745">
          <cell r="C745" t="str">
            <v>100001731</v>
          </cell>
          <cell r="D745" t="str">
            <v>HARDENER PUH-74 HG VN-1K</v>
          </cell>
          <cell r="E745" t="str">
            <v>ZFGD</v>
          </cell>
          <cell r="F745" t="str">
            <v>PC</v>
          </cell>
          <cell r="G745" t="str">
            <v>2</v>
          </cell>
          <cell r="H745" t="str">
            <v>RETAIL</v>
          </cell>
          <cell r="I745" t="str">
            <v>22</v>
          </cell>
          <cell r="J745" t="str">
            <v>WF2</v>
          </cell>
          <cell r="K745" t="str">
            <v>2212</v>
          </cell>
          <cell r="L745" t="str">
            <v>PU EASY TO USE</v>
          </cell>
          <cell r="M745" t="str">
            <v>221201</v>
          </cell>
          <cell r="N745" t="str">
            <v>PROPAN EASY TO USE PU</v>
          </cell>
        </row>
        <row r="746">
          <cell r="C746" t="str">
            <v>100001732</v>
          </cell>
          <cell r="D746" t="str">
            <v>HARDENER PUH-74 HG VN-4K</v>
          </cell>
          <cell r="E746" t="str">
            <v>ZFGD</v>
          </cell>
          <cell r="F746" t="str">
            <v>PC</v>
          </cell>
          <cell r="G746" t="str">
            <v>2</v>
          </cell>
          <cell r="H746" t="str">
            <v>RETAIL</v>
          </cell>
          <cell r="I746" t="str">
            <v>22</v>
          </cell>
          <cell r="J746" t="str">
            <v>WF2</v>
          </cell>
          <cell r="K746" t="str">
            <v>2212</v>
          </cell>
          <cell r="L746" t="str">
            <v>PU EASY TO USE</v>
          </cell>
          <cell r="M746" t="str">
            <v>221201</v>
          </cell>
          <cell r="N746" t="str">
            <v>PROPAN EASY TO USE PU</v>
          </cell>
        </row>
        <row r="747">
          <cell r="C747" t="str">
            <v>100001733</v>
          </cell>
          <cell r="D747" t="str">
            <v>HARDENER PUH-74 HG VN-16KP</v>
          </cell>
          <cell r="E747" t="str">
            <v>ZFGD</v>
          </cell>
          <cell r="F747" t="str">
            <v>PC</v>
          </cell>
          <cell r="G747" t="str">
            <v>2</v>
          </cell>
          <cell r="H747" t="str">
            <v>RETAIL</v>
          </cell>
          <cell r="I747" t="str">
            <v>22</v>
          </cell>
          <cell r="J747" t="str">
            <v>WF2</v>
          </cell>
          <cell r="K747" t="str">
            <v>2212</v>
          </cell>
          <cell r="L747" t="str">
            <v>PU EASY TO USE</v>
          </cell>
          <cell r="M747" t="str">
            <v>221201</v>
          </cell>
          <cell r="N747" t="str">
            <v>PROPAN EASY TO USE PU</v>
          </cell>
        </row>
        <row r="748">
          <cell r="C748" t="str">
            <v>100001734</v>
          </cell>
          <cell r="D748" t="str">
            <v>HARDENER PUH-75 NY VN-0.2K</v>
          </cell>
          <cell r="E748" t="str">
            <v>ZFGD</v>
          </cell>
          <cell r="F748" t="str">
            <v>PC</v>
          </cell>
          <cell r="G748" t="str">
            <v>2</v>
          </cell>
          <cell r="H748" t="str">
            <v>RETAIL</v>
          </cell>
          <cell r="I748" t="str">
            <v>22</v>
          </cell>
          <cell r="J748" t="str">
            <v>WF2</v>
          </cell>
          <cell r="K748" t="str">
            <v>2216</v>
          </cell>
          <cell r="L748" t="str">
            <v>PU MULTIPURPOSE</v>
          </cell>
          <cell r="M748" t="str">
            <v>221601</v>
          </cell>
          <cell r="N748" t="str">
            <v>PROPAN MP PU ACR RMX</v>
          </cell>
        </row>
        <row r="749">
          <cell r="C749" t="str">
            <v>100001735</v>
          </cell>
          <cell r="D749" t="str">
            <v>HARDENER PUH-75 NY VN-1K</v>
          </cell>
          <cell r="E749" t="str">
            <v>ZFGD</v>
          </cell>
          <cell r="F749" t="str">
            <v>PC</v>
          </cell>
          <cell r="G749" t="str">
            <v>2</v>
          </cell>
          <cell r="H749" t="str">
            <v>RETAIL</v>
          </cell>
          <cell r="I749" t="str">
            <v>22</v>
          </cell>
          <cell r="J749" t="str">
            <v>WF2</v>
          </cell>
          <cell r="K749" t="str">
            <v>2216</v>
          </cell>
          <cell r="L749" t="str">
            <v>PU MULTIPURPOSE</v>
          </cell>
          <cell r="M749" t="str">
            <v>221601</v>
          </cell>
          <cell r="N749" t="str">
            <v>PROPAN MP PU ACR RMX</v>
          </cell>
        </row>
        <row r="750">
          <cell r="C750" t="str">
            <v>100001736</v>
          </cell>
          <cell r="D750" t="str">
            <v>HARDENER PUH-75 NY VN-4K</v>
          </cell>
          <cell r="E750" t="str">
            <v>ZFGD</v>
          </cell>
          <cell r="F750" t="str">
            <v>PC</v>
          </cell>
          <cell r="G750" t="str">
            <v>2</v>
          </cell>
          <cell r="H750" t="str">
            <v>RETAIL</v>
          </cell>
          <cell r="I750" t="str">
            <v>22</v>
          </cell>
          <cell r="J750" t="str">
            <v>WF2</v>
          </cell>
          <cell r="K750" t="str">
            <v>2216</v>
          </cell>
          <cell r="L750" t="str">
            <v>PU MULTIPURPOSE</v>
          </cell>
          <cell r="M750" t="str">
            <v>221601</v>
          </cell>
          <cell r="N750" t="str">
            <v>PROPAN MP PU ACR RMX</v>
          </cell>
        </row>
        <row r="751">
          <cell r="C751" t="str">
            <v>100001737</v>
          </cell>
          <cell r="D751" t="str">
            <v>HARDENER PUH-75 NY VN-16KP</v>
          </cell>
          <cell r="E751" t="str">
            <v>ZFGD</v>
          </cell>
          <cell r="F751" t="str">
            <v>PC</v>
          </cell>
          <cell r="G751" t="str">
            <v>2</v>
          </cell>
          <cell r="H751" t="str">
            <v>RETAIL</v>
          </cell>
          <cell r="I751" t="str">
            <v>22</v>
          </cell>
          <cell r="J751" t="str">
            <v>WF2</v>
          </cell>
          <cell r="K751" t="str">
            <v>2216</v>
          </cell>
          <cell r="L751" t="str">
            <v>PU MULTIPURPOSE</v>
          </cell>
          <cell r="M751" t="str">
            <v>221601</v>
          </cell>
          <cell r="N751" t="str">
            <v>PROPAN MP PU ACR RMX</v>
          </cell>
        </row>
        <row r="752">
          <cell r="C752" t="str">
            <v>100001738</v>
          </cell>
          <cell r="D752" t="str">
            <v>PUSS-740-2K VT VN-1K</v>
          </cell>
          <cell r="E752" t="str">
            <v>ZFGD</v>
          </cell>
          <cell r="F752" t="str">
            <v>PC</v>
          </cell>
          <cell r="G752" t="str">
            <v>2</v>
          </cell>
          <cell r="H752" t="str">
            <v>RETAIL</v>
          </cell>
          <cell r="I752" t="str">
            <v>22</v>
          </cell>
          <cell r="J752" t="str">
            <v>WF2</v>
          </cell>
          <cell r="K752" t="str">
            <v>2212</v>
          </cell>
          <cell r="L752" t="str">
            <v>PU EASY TO USE</v>
          </cell>
          <cell r="M752" t="str">
            <v>221201</v>
          </cell>
          <cell r="N752" t="str">
            <v>PROPAN EASY TO USE PU</v>
          </cell>
        </row>
        <row r="753">
          <cell r="C753" t="str">
            <v>100001739</v>
          </cell>
          <cell r="D753" t="str">
            <v>PUSS-740-2K VT VN-4K</v>
          </cell>
          <cell r="E753" t="str">
            <v>ZFGD</v>
          </cell>
          <cell r="F753" t="str">
            <v>PC</v>
          </cell>
          <cell r="G753" t="str">
            <v>2</v>
          </cell>
          <cell r="H753" t="str">
            <v>RETAIL</v>
          </cell>
          <cell r="I753" t="str">
            <v>22</v>
          </cell>
          <cell r="J753" t="str">
            <v>WF2</v>
          </cell>
          <cell r="K753" t="str">
            <v>2212</v>
          </cell>
          <cell r="L753" t="str">
            <v>PU EASY TO USE</v>
          </cell>
          <cell r="M753" t="str">
            <v>221201</v>
          </cell>
          <cell r="N753" t="str">
            <v>PROPAN EASY TO USE PU</v>
          </cell>
        </row>
        <row r="754">
          <cell r="C754" t="str">
            <v>100001740</v>
          </cell>
          <cell r="D754" t="str">
            <v>PUSS-740-2K VT VN-16KP</v>
          </cell>
          <cell r="E754" t="str">
            <v>ZFGD</v>
          </cell>
          <cell r="F754" t="str">
            <v>PC</v>
          </cell>
          <cell r="G754" t="str">
            <v>2</v>
          </cell>
          <cell r="H754" t="str">
            <v>RETAIL</v>
          </cell>
          <cell r="I754" t="str">
            <v>22</v>
          </cell>
          <cell r="J754" t="str">
            <v>WF2</v>
          </cell>
          <cell r="K754" t="str">
            <v>2212</v>
          </cell>
          <cell r="L754" t="str">
            <v>PU EASY TO USE</v>
          </cell>
          <cell r="M754" t="str">
            <v>221201</v>
          </cell>
          <cell r="N754" t="str">
            <v>PROPAN EASY TO USE PU</v>
          </cell>
        </row>
        <row r="755">
          <cell r="C755" t="str">
            <v>100001741</v>
          </cell>
          <cell r="D755" t="str">
            <v>PUL-745 2K VT CLEAR GLOSS VN-1K</v>
          </cell>
          <cell r="E755" t="str">
            <v>ZFGD</v>
          </cell>
          <cell r="F755" t="str">
            <v>PC</v>
          </cell>
          <cell r="G755" t="str">
            <v>2</v>
          </cell>
          <cell r="H755" t="str">
            <v>RETAIL</v>
          </cell>
          <cell r="I755" t="str">
            <v>22</v>
          </cell>
          <cell r="J755" t="str">
            <v>WF2</v>
          </cell>
          <cell r="K755" t="str">
            <v>2212</v>
          </cell>
          <cell r="L755" t="str">
            <v>PU EASY TO USE</v>
          </cell>
          <cell r="M755" t="str">
            <v>221201</v>
          </cell>
          <cell r="N755" t="str">
            <v>PROPAN EASY TO USE PU</v>
          </cell>
        </row>
        <row r="756">
          <cell r="C756" t="str">
            <v>100001742</v>
          </cell>
          <cell r="D756" t="str">
            <v>PUL-745 2K VT CLEAR GLOSS VN-4K</v>
          </cell>
          <cell r="E756" t="str">
            <v>ZFGD</v>
          </cell>
          <cell r="F756" t="str">
            <v>PC</v>
          </cell>
          <cell r="G756" t="str">
            <v>2</v>
          </cell>
          <cell r="H756" t="str">
            <v>RETAIL</v>
          </cell>
          <cell r="I756" t="str">
            <v>22</v>
          </cell>
          <cell r="J756" t="str">
            <v>WF2</v>
          </cell>
          <cell r="K756" t="str">
            <v>2212</v>
          </cell>
          <cell r="L756" t="str">
            <v>PU EASY TO USE</v>
          </cell>
          <cell r="M756" t="str">
            <v>221201</v>
          </cell>
          <cell r="N756" t="str">
            <v>PROPAN EASY TO USE PU</v>
          </cell>
        </row>
        <row r="757">
          <cell r="C757" t="str">
            <v>100001743</v>
          </cell>
          <cell r="D757" t="str">
            <v>PUL-745 2K VT CLEAR GLOSS VN-16KP</v>
          </cell>
          <cell r="E757" t="str">
            <v>ZFGD</v>
          </cell>
          <cell r="F757" t="str">
            <v>PC</v>
          </cell>
          <cell r="G757" t="str">
            <v>2</v>
          </cell>
          <cell r="H757" t="str">
            <v>RETAIL</v>
          </cell>
          <cell r="I757" t="str">
            <v>22</v>
          </cell>
          <cell r="J757" t="str">
            <v>WF2</v>
          </cell>
          <cell r="K757" t="str">
            <v>2212</v>
          </cell>
          <cell r="L757" t="str">
            <v>PU EASY TO USE</v>
          </cell>
          <cell r="M757" t="str">
            <v>221201</v>
          </cell>
          <cell r="N757" t="str">
            <v>PROPAN EASY TO USE PU</v>
          </cell>
        </row>
        <row r="758">
          <cell r="C758" t="str">
            <v>100001744</v>
          </cell>
          <cell r="D758" t="str">
            <v>PUL-745 2K VT DEAD MATT VN-1K</v>
          </cell>
          <cell r="E758" t="str">
            <v>ZFGD</v>
          </cell>
          <cell r="F758" t="str">
            <v>PC</v>
          </cell>
          <cell r="G758" t="str">
            <v>2</v>
          </cell>
          <cell r="H758" t="str">
            <v>RETAIL</v>
          </cell>
          <cell r="I758" t="str">
            <v>22</v>
          </cell>
          <cell r="J758" t="str">
            <v>WF2</v>
          </cell>
          <cell r="K758" t="str">
            <v>2212</v>
          </cell>
          <cell r="L758" t="str">
            <v>PU EASY TO USE</v>
          </cell>
          <cell r="M758" t="str">
            <v>221201</v>
          </cell>
          <cell r="N758" t="str">
            <v>PROPAN EASY TO USE PU</v>
          </cell>
        </row>
        <row r="759">
          <cell r="C759" t="str">
            <v>100001745</v>
          </cell>
          <cell r="D759" t="str">
            <v>PUL-745 2K VT DEAD MATT VN-4K</v>
          </cell>
          <cell r="E759" t="str">
            <v>ZFGD</v>
          </cell>
          <cell r="F759" t="str">
            <v>PC</v>
          </cell>
          <cell r="G759" t="str">
            <v>2</v>
          </cell>
          <cell r="H759" t="str">
            <v>RETAIL</v>
          </cell>
          <cell r="I759" t="str">
            <v>22</v>
          </cell>
          <cell r="J759" t="str">
            <v>WF2</v>
          </cell>
          <cell r="K759" t="str">
            <v>2212</v>
          </cell>
          <cell r="L759" t="str">
            <v>PU EASY TO USE</v>
          </cell>
          <cell r="M759" t="str">
            <v>221201</v>
          </cell>
          <cell r="N759" t="str">
            <v>PROPAN EASY TO USE PU</v>
          </cell>
        </row>
        <row r="760">
          <cell r="C760" t="str">
            <v>100001746</v>
          </cell>
          <cell r="D760" t="str">
            <v>PUL-745 2K VT DEAD MATT VN-16KP</v>
          </cell>
          <cell r="E760" t="str">
            <v>ZFGD</v>
          </cell>
          <cell r="F760" t="str">
            <v>PC</v>
          </cell>
          <cell r="G760" t="str">
            <v>2</v>
          </cell>
          <cell r="H760" t="str">
            <v>RETAIL</v>
          </cell>
          <cell r="I760" t="str">
            <v>22</v>
          </cell>
          <cell r="J760" t="str">
            <v>WF2</v>
          </cell>
          <cell r="K760" t="str">
            <v>2212</v>
          </cell>
          <cell r="L760" t="str">
            <v>PU EASY TO USE</v>
          </cell>
          <cell r="M760" t="str">
            <v>221201</v>
          </cell>
          <cell r="N760" t="str">
            <v>PROPAN EASY TO USE PU</v>
          </cell>
        </row>
        <row r="761">
          <cell r="C761" t="str">
            <v>100001747</v>
          </cell>
          <cell r="D761" t="str">
            <v>PUL-745 2K VT CLEAR DOF VN-1K</v>
          </cell>
          <cell r="E761" t="str">
            <v>ZFGD</v>
          </cell>
          <cell r="F761" t="str">
            <v>PC</v>
          </cell>
          <cell r="G761" t="str">
            <v>2</v>
          </cell>
          <cell r="H761" t="str">
            <v>RETAIL</v>
          </cell>
          <cell r="I761" t="str">
            <v>22</v>
          </cell>
          <cell r="J761" t="str">
            <v>WF2</v>
          </cell>
          <cell r="K761" t="str">
            <v>2212</v>
          </cell>
          <cell r="L761" t="str">
            <v>PU EASY TO USE</v>
          </cell>
          <cell r="M761" t="str">
            <v>221201</v>
          </cell>
          <cell r="N761" t="str">
            <v>PROPAN EASY TO USE PU</v>
          </cell>
        </row>
        <row r="762">
          <cell r="C762" t="str">
            <v>100001748</v>
          </cell>
          <cell r="D762" t="str">
            <v>PUL-745 2K VT CLEAR DOF VN-4K</v>
          </cell>
          <cell r="E762" t="str">
            <v>ZFGD</v>
          </cell>
          <cell r="F762" t="str">
            <v>PC</v>
          </cell>
          <cell r="G762" t="str">
            <v>2</v>
          </cell>
          <cell r="H762" t="str">
            <v>RETAIL</v>
          </cell>
          <cell r="I762" t="str">
            <v>22</v>
          </cell>
          <cell r="J762" t="str">
            <v>WF2</v>
          </cell>
          <cell r="K762" t="str">
            <v>2212</v>
          </cell>
          <cell r="L762" t="str">
            <v>PU EASY TO USE</v>
          </cell>
          <cell r="M762" t="str">
            <v>221201</v>
          </cell>
          <cell r="N762" t="str">
            <v>PROPAN EASY TO USE PU</v>
          </cell>
        </row>
        <row r="763">
          <cell r="C763" t="str">
            <v>100001749</v>
          </cell>
          <cell r="D763" t="str">
            <v>PUL-745 2K VT CLEAR DOF VN-16KP</v>
          </cell>
          <cell r="E763" t="str">
            <v>ZFGD</v>
          </cell>
          <cell r="F763" t="str">
            <v>PC</v>
          </cell>
          <cell r="G763" t="str">
            <v>2</v>
          </cell>
          <cell r="H763" t="str">
            <v>RETAIL</v>
          </cell>
          <cell r="I763" t="str">
            <v>22</v>
          </cell>
          <cell r="J763" t="str">
            <v>WF2</v>
          </cell>
          <cell r="K763" t="str">
            <v>2212</v>
          </cell>
          <cell r="L763" t="str">
            <v>PU EASY TO USE</v>
          </cell>
          <cell r="M763" t="str">
            <v>221201</v>
          </cell>
          <cell r="N763" t="str">
            <v>PROPAN EASY TO USE PU</v>
          </cell>
        </row>
        <row r="764">
          <cell r="C764" t="str">
            <v>100001750</v>
          </cell>
          <cell r="D764" t="str">
            <v>PUL-745 2K VT CLEAR SATIN VN-1K</v>
          </cell>
          <cell r="E764" t="str">
            <v>ZFGD</v>
          </cell>
          <cell r="F764" t="str">
            <v>PC</v>
          </cell>
          <cell r="G764" t="str">
            <v>2</v>
          </cell>
          <cell r="H764" t="str">
            <v>RETAIL</v>
          </cell>
          <cell r="I764" t="str">
            <v>22</v>
          </cell>
          <cell r="J764" t="str">
            <v>WF2</v>
          </cell>
          <cell r="K764" t="str">
            <v>2212</v>
          </cell>
          <cell r="L764" t="str">
            <v>PU EASY TO USE</v>
          </cell>
          <cell r="M764" t="str">
            <v>221201</v>
          </cell>
          <cell r="N764" t="str">
            <v>PROPAN EASY TO USE PU</v>
          </cell>
        </row>
        <row r="765">
          <cell r="C765" t="str">
            <v>100001751</v>
          </cell>
          <cell r="D765" t="str">
            <v>PUL-745 2K VT CLEAR SATIN VN-4K</v>
          </cell>
          <cell r="E765" t="str">
            <v>ZFGD</v>
          </cell>
          <cell r="F765" t="str">
            <v>PC</v>
          </cell>
          <cell r="G765" t="str">
            <v>2</v>
          </cell>
          <cell r="H765" t="str">
            <v>RETAIL</v>
          </cell>
          <cell r="I765" t="str">
            <v>22</v>
          </cell>
          <cell r="J765" t="str">
            <v>WF2</v>
          </cell>
          <cell r="K765" t="str">
            <v>2212</v>
          </cell>
          <cell r="L765" t="str">
            <v>PU EASY TO USE</v>
          </cell>
          <cell r="M765" t="str">
            <v>221201</v>
          </cell>
          <cell r="N765" t="str">
            <v>PROPAN EASY TO USE PU</v>
          </cell>
        </row>
        <row r="766">
          <cell r="C766" t="str">
            <v>100001752</v>
          </cell>
          <cell r="D766" t="str">
            <v>PUL-745 2K VT CLEAR SATIN VN-16KP</v>
          </cell>
          <cell r="E766" t="str">
            <v>ZFGD</v>
          </cell>
          <cell r="F766" t="str">
            <v>PC</v>
          </cell>
          <cell r="G766" t="str">
            <v>2</v>
          </cell>
          <cell r="H766" t="str">
            <v>RETAIL</v>
          </cell>
          <cell r="I766" t="str">
            <v>22</v>
          </cell>
          <cell r="J766" t="str">
            <v>WF2</v>
          </cell>
          <cell r="K766" t="str">
            <v>2212</v>
          </cell>
          <cell r="L766" t="str">
            <v>PU EASY TO USE</v>
          </cell>
          <cell r="M766" t="str">
            <v>221201</v>
          </cell>
          <cell r="N766" t="str">
            <v>PROPAN EASY TO USE PU</v>
          </cell>
        </row>
        <row r="767">
          <cell r="C767" t="str">
            <v>100001753</v>
          </cell>
          <cell r="D767" t="str">
            <v>PUL-745 2K VT SEMI GLOSS VN-1K</v>
          </cell>
          <cell r="E767" t="str">
            <v>ZFGD</v>
          </cell>
          <cell r="F767" t="str">
            <v>PC</v>
          </cell>
          <cell r="G767" t="str">
            <v>2</v>
          </cell>
          <cell r="H767" t="str">
            <v>RETAIL</v>
          </cell>
          <cell r="I767" t="str">
            <v>22</v>
          </cell>
          <cell r="J767" t="str">
            <v>WF2</v>
          </cell>
          <cell r="K767" t="str">
            <v>2212</v>
          </cell>
          <cell r="L767" t="str">
            <v>PU EASY TO USE</v>
          </cell>
          <cell r="M767" t="str">
            <v>221201</v>
          </cell>
          <cell r="N767" t="str">
            <v>PROPAN EASY TO USE PU</v>
          </cell>
        </row>
        <row r="768">
          <cell r="C768" t="str">
            <v>100001754</v>
          </cell>
          <cell r="D768" t="str">
            <v>PUL-745 2K VT SEMI GLOSS VN-4K</v>
          </cell>
          <cell r="E768" t="str">
            <v>ZFGD</v>
          </cell>
          <cell r="F768" t="str">
            <v>PC</v>
          </cell>
          <cell r="G768" t="str">
            <v>2</v>
          </cell>
          <cell r="H768" t="str">
            <v>RETAIL</v>
          </cell>
          <cell r="I768" t="str">
            <v>22</v>
          </cell>
          <cell r="J768" t="str">
            <v>WF2</v>
          </cell>
          <cell r="K768" t="str">
            <v>2212</v>
          </cell>
          <cell r="L768" t="str">
            <v>PU EASY TO USE</v>
          </cell>
          <cell r="M768" t="str">
            <v>221201</v>
          </cell>
          <cell r="N768" t="str">
            <v>PROPAN EASY TO USE PU</v>
          </cell>
        </row>
        <row r="769">
          <cell r="C769" t="str">
            <v>100001755</v>
          </cell>
          <cell r="D769" t="str">
            <v>PUL-745 2K VT SEMI GLOSS VN-16KP</v>
          </cell>
          <cell r="E769" t="str">
            <v>ZFGD</v>
          </cell>
          <cell r="F769" t="str">
            <v>PC</v>
          </cell>
          <cell r="G769" t="str">
            <v>2</v>
          </cell>
          <cell r="H769" t="str">
            <v>RETAIL</v>
          </cell>
          <cell r="I769" t="str">
            <v>22</v>
          </cell>
          <cell r="J769" t="str">
            <v>WF2</v>
          </cell>
          <cell r="K769" t="str">
            <v>2212</v>
          </cell>
          <cell r="L769" t="str">
            <v>PU EASY TO USE</v>
          </cell>
          <cell r="M769" t="str">
            <v>221201</v>
          </cell>
          <cell r="N769" t="str">
            <v>PROPAN EASY TO USE PU</v>
          </cell>
        </row>
        <row r="770">
          <cell r="C770" t="str">
            <v>100001756</v>
          </cell>
          <cell r="D770" t="str">
            <v>PUC-756-NY ACR WHITE SATIN VN-1K</v>
          </cell>
          <cell r="E770" t="str">
            <v>ZFGD</v>
          </cell>
          <cell r="F770" t="str">
            <v>PC</v>
          </cell>
          <cell r="G770" t="str">
            <v>2</v>
          </cell>
          <cell r="H770" t="str">
            <v>RETAIL</v>
          </cell>
          <cell r="I770" t="str">
            <v>22</v>
          </cell>
          <cell r="J770" t="str">
            <v>WF2</v>
          </cell>
          <cell r="K770" t="str">
            <v>2216</v>
          </cell>
          <cell r="L770" t="str">
            <v>PU MULTIPURPOSE</v>
          </cell>
          <cell r="M770" t="str">
            <v>221601</v>
          </cell>
          <cell r="N770" t="str">
            <v>PROPAN MP PU ACR RMX</v>
          </cell>
        </row>
        <row r="771">
          <cell r="C771" t="str">
            <v>100001757</v>
          </cell>
          <cell r="D771" t="str">
            <v>PUC-756-NY ACR WHITE SATIN VN-4K</v>
          </cell>
          <cell r="E771" t="str">
            <v>ZFGD</v>
          </cell>
          <cell r="F771" t="str">
            <v>PC</v>
          </cell>
          <cell r="G771" t="str">
            <v>2</v>
          </cell>
          <cell r="H771" t="str">
            <v>RETAIL</v>
          </cell>
          <cell r="I771" t="str">
            <v>22</v>
          </cell>
          <cell r="J771" t="str">
            <v>WF2</v>
          </cell>
          <cell r="K771" t="str">
            <v>2216</v>
          </cell>
          <cell r="L771" t="str">
            <v>PU MULTIPURPOSE</v>
          </cell>
          <cell r="M771" t="str">
            <v>221601</v>
          </cell>
          <cell r="N771" t="str">
            <v>PROPAN MP PU ACR RMX</v>
          </cell>
        </row>
        <row r="772">
          <cell r="C772" t="str">
            <v>100001758</v>
          </cell>
          <cell r="D772" t="str">
            <v>PUC-756-NY ACR WHITE SATIN VN-16KP</v>
          </cell>
          <cell r="E772" t="str">
            <v>ZFGD</v>
          </cell>
          <cell r="F772" t="str">
            <v>PC</v>
          </cell>
          <cell r="G772" t="str">
            <v>2</v>
          </cell>
          <cell r="H772" t="str">
            <v>RETAIL</v>
          </cell>
          <cell r="I772" t="str">
            <v>22</v>
          </cell>
          <cell r="J772" t="str">
            <v>WF2</v>
          </cell>
          <cell r="K772" t="str">
            <v>2216</v>
          </cell>
          <cell r="L772" t="str">
            <v>PU MULTIPURPOSE</v>
          </cell>
          <cell r="M772" t="str">
            <v>221601</v>
          </cell>
          <cell r="N772" t="str">
            <v>PROPAN MP PU ACR RMX</v>
          </cell>
        </row>
        <row r="773">
          <cell r="C773" t="str">
            <v>100001759</v>
          </cell>
          <cell r="D773" t="str">
            <v>PUC-756-NY ACR WHITE DEAD MATT VN-1K</v>
          </cell>
          <cell r="E773" t="str">
            <v>ZFGD</v>
          </cell>
          <cell r="F773" t="str">
            <v>PC</v>
          </cell>
          <cell r="G773" t="str">
            <v>2</v>
          </cell>
          <cell r="H773" t="str">
            <v>RETAIL</v>
          </cell>
          <cell r="I773" t="str">
            <v>22</v>
          </cell>
          <cell r="J773" t="str">
            <v>WF2</v>
          </cell>
          <cell r="K773" t="str">
            <v>2216</v>
          </cell>
          <cell r="L773" t="str">
            <v>PU MULTIPURPOSE</v>
          </cell>
          <cell r="M773" t="str">
            <v>221601</v>
          </cell>
          <cell r="N773" t="str">
            <v>PROPAN MP PU ACR RMX</v>
          </cell>
        </row>
        <row r="774">
          <cell r="C774" t="str">
            <v>100001760</v>
          </cell>
          <cell r="D774" t="str">
            <v>PUC-756-NY ACR WHITE DEAD MATT VN-4K</v>
          </cell>
          <cell r="E774" t="str">
            <v>ZFGD</v>
          </cell>
          <cell r="F774" t="str">
            <v>PC</v>
          </cell>
          <cell r="G774" t="str">
            <v>2</v>
          </cell>
          <cell r="H774" t="str">
            <v>RETAIL</v>
          </cell>
          <cell r="I774" t="str">
            <v>22</v>
          </cell>
          <cell r="J774" t="str">
            <v>WF2</v>
          </cell>
          <cell r="K774" t="str">
            <v>2216</v>
          </cell>
          <cell r="L774" t="str">
            <v>PU MULTIPURPOSE</v>
          </cell>
          <cell r="M774" t="str">
            <v>221601</v>
          </cell>
          <cell r="N774" t="str">
            <v>PROPAN MP PU ACR RMX</v>
          </cell>
        </row>
        <row r="775">
          <cell r="C775" t="str">
            <v>100001761</v>
          </cell>
          <cell r="D775" t="str">
            <v>PUC-756-NY ACR WHITE DEAD MATT VN-16KP</v>
          </cell>
          <cell r="E775" t="str">
            <v>ZFGD</v>
          </cell>
          <cell r="F775" t="str">
            <v>PC</v>
          </cell>
          <cell r="G775" t="str">
            <v>2</v>
          </cell>
          <cell r="H775" t="str">
            <v>RETAIL</v>
          </cell>
          <cell r="I775" t="str">
            <v>22</v>
          </cell>
          <cell r="J775" t="str">
            <v>WF2</v>
          </cell>
          <cell r="K775" t="str">
            <v>2216</v>
          </cell>
          <cell r="L775" t="str">
            <v>PU MULTIPURPOSE</v>
          </cell>
          <cell r="M775" t="str">
            <v>221601</v>
          </cell>
          <cell r="N775" t="str">
            <v>PROPAN MP PU ACR RMX</v>
          </cell>
        </row>
        <row r="776">
          <cell r="C776" t="str">
            <v>100001762</v>
          </cell>
          <cell r="D776" t="str">
            <v>PUC-756-NY ACR WHITE DOF VN-1K</v>
          </cell>
          <cell r="E776" t="str">
            <v>ZFGD</v>
          </cell>
          <cell r="F776" t="str">
            <v>PC</v>
          </cell>
          <cell r="G776" t="str">
            <v>2</v>
          </cell>
          <cell r="H776" t="str">
            <v>RETAIL</v>
          </cell>
          <cell r="I776" t="str">
            <v>22</v>
          </cell>
          <cell r="J776" t="str">
            <v>WF2</v>
          </cell>
          <cell r="K776" t="str">
            <v>2216</v>
          </cell>
          <cell r="L776" t="str">
            <v>PU MULTIPURPOSE</v>
          </cell>
          <cell r="M776" t="str">
            <v>221601</v>
          </cell>
          <cell r="N776" t="str">
            <v>PROPAN MP PU ACR RMX</v>
          </cell>
        </row>
        <row r="777">
          <cell r="C777" t="str">
            <v>100001763</v>
          </cell>
          <cell r="D777" t="str">
            <v>PUC-756-NY ACR WHITE DOF VN-4K</v>
          </cell>
          <cell r="E777" t="str">
            <v>ZFGD</v>
          </cell>
          <cell r="F777" t="str">
            <v>PC</v>
          </cell>
          <cell r="G777" t="str">
            <v>2</v>
          </cell>
          <cell r="H777" t="str">
            <v>RETAIL</v>
          </cell>
          <cell r="I777" t="str">
            <v>22</v>
          </cell>
          <cell r="J777" t="str">
            <v>WF2</v>
          </cell>
          <cell r="K777" t="str">
            <v>2216</v>
          </cell>
          <cell r="L777" t="str">
            <v>PU MULTIPURPOSE</v>
          </cell>
          <cell r="M777" t="str">
            <v>221601</v>
          </cell>
          <cell r="N777" t="str">
            <v>PROPAN MP PU ACR RMX</v>
          </cell>
        </row>
        <row r="778">
          <cell r="C778" t="str">
            <v>100001764</v>
          </cell>
          <cell r="D778" t="str">
            <v>PUC-756-NY ACR WHITE DOF VN-16KP</v>
          </cell>
          <cell r="E778" t="str">
            <v>ZFGD</v>
          </cell>
          <cell r="F778" t="str">
            <v>PC</v>
          </cell>
          <cell r="G778" t="str">
            <v>2</v>
          </cell>
          <cell r="H778" t="str">
            <v>RETAIL</v>
          </cell>
          <cell r="I778" t="str">
            <v>22</v>
          </cell>
          <cell r="J778" t="str">
            <v>WF2</v>
          </cell>
          <cell r="K778" t="str">
            <v>2216</v>
          </cell>
          <cell r="L778" t="str">
            <v>PU MULTIPURPOSE</v>
          </cell>
          <cell r="M778" t="str">
            <v>221601</v>
          </cell>
          <cell r="N778" t="str">
            <v>PROPAN MP PU ACR RMX</v>
          </cell>
        </row>
        <row r="779">
          <cell r="C779" t="str">
            <v>100001765</v>
          </cell>
          <cell r="D779" t="str">
            <v>PUC-756-NY ACR WHITE GLOSS VN-1K</v>
          </cell>
          <cell r="E779" t="str">
            <v>ZFGD</v>
          </cell>
          <cell r="F779" t="str">
            <v>PC</v>
          </cell>
          <cell r="G779" t="str">
            <v>2</v>
          </cell>
          <cell r="H779" t="str">
            <v>RETAIL</v>
          </cell>
          <cell r="I779" t="str">
            <v>22</v>
          </cell>
          <cell r="J779" t="str">
            <v>WF2</v>
          </cell>
          <cell r="K779" t="str">
            <v>2216</v>
          </cell>
          <cell r="L779" t="str">
            <v>PU MULTIPURPOSE</v>
          </cell>
          <cell r="M779" t="str">
            <v>221601</v>
          </cell>
          <cell r="N779" t="str">
            <v>PROPAN MP PU ACR RMX</v>
          </cell>
        </row>
        <row r="780">
          <cell r="C780" t="str">
            <v>100001766</v>
          </cell>
          <cell r="D780" t="str">
            <v>PUC-756-NY ACR WHITE GLOSS VN-4K</v>
          </cell>
          <cell r="E780" t="str">
            <v>ZFGD</v>
          </cell>
          <cell r="F780" t="str">
            <v>PC</v>
          </cell>
          <cell r="G780" t="str">
            <v>2</v>
          </cell>
          <cell r="H780" t="str">
            <v>RETAIL</v>
          </cell>
          <cell r="I780" t="str">
            <v>22</v>
          </cell>
          <cell r="J780" t="str">
            <v>WF2</v>
          </cell>
          <cell r="K780" t="str">
            <v>2216</v>
          </cell>
          <cell r="L780" t="str">
            <v>PU MULTIPURPOSE</v>
          </cell>
          <cell r="M780" t="str">
            <v>221601</v>
          </cell>
          <cell r="N780" t="str">
            <v>PROPAN MP PU ACR RMX</v>
          </cell>
        </row>
        <row r="781">
          <cell r="C781" t="str">
            <v>100001767</v>
          </cell>
          <cell r="D781" t="str">
            <v>PUC-756-NY ACR WHITE GLOSS VN-16KP</v>
          </cell>
          <cell r="E781" t="str">
            <v>ZFGD</v>
          </cell>
          <cell r="F781" t="str">
            <v>PC</v>
          </cell>
          <cell r="G781" t="str">
            <v>2</v>
          </cell>
          <cell r="H781" t="str">
            <v>RETAIL</v>
          </cell>
          <cell r="I781" t="str">
            <v>22</v>
          </cell>
          <cell r="J781" t="str">
            <v>WF2</v>
          </cell>
          <cell r="K781" t="str">
            <v>2216</v>
          </cell>
          <cell r="L781" t="str">
            <v>PU MULTIPURPOSE</v>
          </cell>
          <cell r="M781" t="str">
            <v>221601</v>
          </cell>
          <cell r="N781" t="str">
            <v>PROPAN MP PU ACR RMX</v>
          </cell>
        </row>
        <row r="782">
          <cell r="C782" t="str">
            <v>100001768</v>
          </cell>
          <cell r="D782" t="str">
            <v>PUC-756-NY ACR WHITE SEMI GLOSS VN-1K</v>
          </cell>
          <cell r="E782" t="str">
            <v>ZFGD</v>
          </cell>
          <cell r="F782" t="str">
            <v>PC</v>
          </cell>
          <cell r="G782" t="str">
            <v>2</v>
          </cell>
          <cell r="H782" t="str">
            <v>RETAIL</v>
          </cell>
          <cell r="I782" t="str">
            <v>22</v>
          </cell>
          <cell r="J782" t="str">
            <v>WF2</v>
          </cell>
          <cell r="K782" t="str">
            <v>2216</v>
          </cell>
          <cell r="L782" t="str">
            <v>PU MULTIPURPOSE</v>
          </cell>
          <cell r="M782" t="str">
            <v>221601</v>
          </cell>
          <cell r="N782" t="str">
            <v>PROPAN MP PU ACR RMX</v>
          </cell>
        </row>
        <row r="783">
          <cell r="C783" t="str">
            <v>100001769</v>
          </cell>
          <cell r="D783" t="str">
            <v>PUC-756-NY ACR WHITE SEMI GLOSS VN-4K</v>
          </cell>
          <cell r="E783" t="str">
            <v>ZFGD</v>
          </cell>
          <cell r="F783" t="str">
            <v>PC</v>
          </cell>
          <cell r="G783" t="str">
            <v>2</v>
          </cell>
          <cell r="H783" t="str">
            <v>RETAIL</v>
          </cell>
          <cell r="I783" t="str">
            <v>22</v>
          </cell>
          <cell r="J783" t="str">
            <v>WF2</v>
          </cell>
          <cell r="K783" t="str">
            <v>2216</v>
          </cell>
          <cell r="L783" t="str">
            <v>PU MULTIPURPOSE</v>
          </cell>
          <cell r="M783" t="str">
            <v>221601</v>
          </cell>
          <cell r="N783" t="str">
            <v>PROPAN MP PU ACR RMX</v>
          </cell>
        </row>
        <row r="784">
          <cell r="C784" t="str">
            <v>100001770</v>
          </cell>
          <cell r="D784" t="str">
            <v>PUC-756-NY ACR WHITE SEMI GLOSS VN-16KP</v>
          </cell>
          <cell r="E784" t="str">
            <v>ZFGD</v>
          </cell>
          <cell r="F784" t="str">
            <v>PC</v>
          </cell>
          <cell r="G784" t="str">
            <v>2</v>
          </cell>
          <cell r="H784" t="str">
            <v>RETAIL</v>
          </cell>
          <cell r="I784" t="str">
            <v>22</v>
          </cell>
          <cell r="J784" t="str">
            <v>WF2</v>
          </cell>
          <cell r="K784" t="str">
            <v>2216</v>
          </cell>
          <cell r="L784" t="str">
            <v>PU MULTIPURPOSE</v>
          </cell>
          <cell r="M784" t="str">
            <v>221601</v>
          </cell>
          <cell r="N784" t="str">
            <v>PROPAN MP PU ACR RMX</v>
          </cell>
        </row>
        <row r="785">
          <cell r="C785" t="str">
            <v>100001771</v>
          </cell>
          <cell r="D785" t="str">
            <v>THINNER LASUR VN-0.8L</v>
          </cell>
          <cell r="E785" t="str">
            <v>ZFGD</v>
          </cell>
          <cell r="F785" t="str">
            <v>PC</v>
          </cell>
          <cell r="G785" t="str">
            <v>2</v>
          </cell>
          <cell r="H785" t="str">
            <v>RETAIL</v>
          </cell>
          <cell r="I785" t="str">
            <v>21</v>
          </cell>
          <cell r="J785" t="str">
            <v>WF1</v>
          </cell>
          <cell r="K785" t="str">
            <v>2108</v>
          </cell>
          <cell r="L785" t="str">
            <v>THINNER</v>
          </cell>
          <cell r="M785" t="str">
            <v>210801</v>
          </cell>
          <cell r="N785" t="str">
            <v>THINNER RETAIL</v>
          </cell>
        </row>
        <row r="786">
          <cell r="C786" t="str">
            <v>100001772</v>
          </cell>
          <cell r="D786" t="str">
            <v>THINNER LASUR VN-3.8L</v>
          </cell>
          <cell r="E786" t="str">
            <v>ZFGD</v>
          </cell>
          <cell r="F786" t="str">
            <v>PC</v>
          </cell>
          <cell r="G786" t="str">
            <v>2</v>
          </cell>
          <cell r="H786" t="str">
            <v>RETAIL</v>
          </cell>
          <cell r="I786" t="str">
            <v>21</v>
          </cell>
          <cell r="J786" t="str">
            <v>WF1</v>
          </cell>
          <cell r="K786" t="str">
            <v>2108</v>
          </cell>
          <cell r="L786" t="str">
            <v>THINNER</v>
          </cell>
          <cell r="M786" t="str">
            <v>210801</v>
          </cell>
          <cell r="N786" t="str">
            <v>THINNER RETAIL</v>
          </cell>
        </row>
        <row r="787">
          <cell r="C787" t="str">
            <v>100001773</v>
          </cell>
          <cell r="D787" t="str">
            <v>THINNER LASUR VN-20LP</v>
          </cell>
          <cell r="E787" t="str">
            <v>ZFGD</v>
          </cell>
          <cell r="F787" t="str">
            <v>PC</v>
          </cell>
          <cell r="G787" t="str">
            <v>2</v>
          </cell>
          <cell r="H787" t="str">
            <v>RETAIL</v>
          </cell>
          <cell r="I787" t="str">
            <v>21</v>
          </cell>
          <cell r="J787" t="str">
            <v>WF1</v>
          </cell>
          <cell r="K787" t="str">
            <v>2108</v>
          </cell>
          <cell r="L787" t="str">
            <v>THINNER</v>
          </cell>
          <cell r="M787" t="str">
            <v>210801</v>
          </cell>
          <cell r="N787" t="str">
            <v>THINNER RETAIL</v>
          </cell>
        </row>
        <row r="788">
          <cell r="C788" t="str">
            <v>100001774</v>
          </cell>
          <cell r="D788" t="str">
            <v>P-01 BROWN AR 8301 VN-1L</v>
          </cell>
          <cell r="E788" t="str">
            <v>ZFGD</v>
          </cell>
          <cell r="F788" t="str">
            <v>PC</v>
          </cell>
          <cell r="G788" t="str">
            <v>2</v>
          </cell>
          <cell r="H788" t="str">
            <v>RETAIL</v>
          </cell>
          <cell r="I788" t="str">
            <v>24</v>
          </cell>
          <cell r="J788" t="str">
            <v>WF3</v>
          </cell>
          <cell r="K788" t="str">
            <v>2413</v>
          </cell>
          <cell r="L788" t="str">
            <v>ULTRAN</v>
          </cell>
          <cell r="M788" t="str">
            <v>241307</v>
          </cell>
          <cell r="N788" t="str">
            <v>ULTRAN POLITUR P-01</v>
          </cell>
        </row>
        <row r="789">
          <cell r="C789" t="str">
            <v>100001775</v>
          </cell>
          <cell r="D789" t="str">
            <v>P-01 BROWN KJ 8102 VN-1L</v>
          </cell>
          <cell r="E789" t="str">
            <v>ZFGD</v>
          </cell>
          <cell r="F789" t="str">
            <v>PC</v>
          </cell>
          <cell r="G789" t="str">
            <v>2</v>
          </cell>
          <cell r="H789" t="str">
            <v>RETAIL</v>
          </cell>
          <cell r="I789" t="str">
            <v>24</v>
          </cell>
          <cell r="J789" t="str">
            <v>WF3</v>
          </cell>
          <cell r="K789" t="str">
            <v>2413</v>
          </cell>
          <cell r="L789" t="str">
            <v>ULTRAN</v>
          </cell>
          <cell r="M789" t="str">
            <v>241307</v>
          </cell>
          <cell r="N789" t="str">
            <v>ULTRAN POLITUR P-01</v>
          </cell>
        </row>
        <row r="790">
          <cell r="C790" t="str">
            <v>100001776</v>
          </cell>
          <cell r="D790" t="str">
            <v>P-01 DARK BROWN 8003 VN-1L</v>
          </cell>
          <cell r="E790" t="str">
            <v>ZFGD</v>
          </cell>
          <cell r="F790" t="str">
            <v>PC</v>
          </cell>
          <cell r="G790" t="str">
            <v>2</v>
          </cell>
          <cell r="H790" t="str">
            <v>RETAIL</v>
          </cell>
          <cell r="I790" t="str">
            <v>24</v>
          </cell>
          <cell r="J790" t="str">
            <v>WF3</v>
          </cell>
          <cell r="K790" t="str">
            <v>2413</v>
          </cell>
          <cell r="L790" t="str">
            <v>ULTRAN</v>
          </cell>
          <cell r="M790" t="str">
            <v>241307</v>
          </cell>
          <cell r="N790" t="str">
            <v>ULTRAN POLITUR P-01</v>
          </cell>
        </row>
        <row r="791">
          <cell r="C791" t="str">
            <v>100001777</v>
          </cell>
          <cell r="D791" t="str">
            <v>P-01 MAHONY 3004 VN-1L</v>
          </cell>
          <cell r="E791" t="str">
            <v>ZFGD</v>
          </cell>
          <cell r="F791" t="str">
            <v>PC</v>
          </cell>
          <cell r="G791" t="str">
            <v>2</v>
          </cell>
          <cell r="H791" t="str">
            <v>RETAIL</v>
          </cell>
          <cell r="I791" t="str">
            <v>24</v>
          </cell>
          <cell r="J791" t="str">
            <v>WF3</v>
          </cell>
          <cell r="K791" t="str">
            <v>2413</v>
          </cell>
          <cell r="L791" t="str">
            <v>ULTRAN</v>
          </cell>
          <cell r="M791" t="str">
            <v>241307</v>
          </cell>
          <cell r="N791" t="str">
            <v>ULTRAN POLITUR P-01</v>
          </cell>
        </row>
        <row r="792">
          <cell r="C792" t="str">
            <v>100001778</v>
          </cell>
          <cell r="D792" t="str">
            <v>P-01 SHP BROWN 8005 VN-1L</v>
          </cell>
          <cell r="E792" t="str">
            <v>ZFGD</v>
          </cell>
          <cell r="F792" t="str">
            <v>PC</v>
          </cell>
          <cell r="G792" t="str">
            <v>2</v>
          </cell>
          <cell r="H792" t="str">
            <v>RETAIL</v>
          </cell>
          <cell r="I792" t="str">
            <v>24</v>
          </cell>
          <cell r="J792" t="str">
            <v>WF3</v>
          </cell>
          <cell r="K792" t="str">
            <v>2413</v>
          </cell>
          <cell r="L792" t="str">
            <v>ULTRAN</v>
          </cell>
          <cell r="M792" t="str">
            <v>241307</v>
          </cell>
          <cell r="N792" t="str">
            <v>ULTRAN POLITUR P-01</v>
          </cell>
        </row>
        <row r="793">
          <cell r="C793" t="str">
            <v>100001779</v>
          </cell>
          <cell r="D793" t="str">
            <v>P-01 SOLAR RED 2006 VN-1L</v>
          </cell>
          <cell r="E793" t="str">
            <v>ZFGD</v>
          </cell>
          <cell r="F793" t="str">
            <v>PC</v>
          </cell>
          <cell r="G793" t="str">
            <v>2</v>
          </cell>
          <cell r="H793" t="str">
            <v>RETAIL</v>
          </cell>
          <cell r="I793" t="str">
            <v>24</v>
          </cell>
          <cell r="J793" t="str">
            <v>WF3</v>
          </cell>
          <cell r="K793" t="str">
            <v>2413</v>
          </cell>
          <cell r="L793" t="str">
            <v>ULTRAN</v>
          </cell>
          <cell r="M793" t="str">
            <v>241307</v>
          </cell>
          <cell r="N793" t="str">
            <v>ULTRAN POLITUR P-01</v>
          </cell>
        </row>
        <row r="794">
          <cell r="C794" t="str">
            <v>100001780</v>
          </cell>
          <cell r="D794" t="str">
            <v>P-01 SOLAR YELLOW 1007 VN-1L</v>
          </cell>
          <cell r="E794" t="str">
            <v>ZFGD</v>
          </cell>
          <cell r="F794" t="str">
            <v>PC</v>
          </cell>
          <cell r="G794" t="str">
            <v>2</v>
          </cell>
          <cell r="H794" t="str">
            <v>RETAIL</v>
          </cell>
          <cell r="I794" t="str">
            <v>24</v>
          </cell>
          <cell r="J794" t="str">
            <v>WF3</v>
          </cell>
          <cell r="K794" t="str">
            <v>2413</v>
          </cell>
          <cell r="L794" t="str">
            <v>ULTRAN</v>
          </cell>
          <cell r="M794" t="str">
            <v>241307</v>
          </cell>
          <cell r="N794" t="str">
            <v>ULTRAN POLITUR P-01</v>
          </cell>
        </row>
        <row r="795">
          <cell r="C795" t="str">
            <v>100001781</v>
          </cell>
          <cell r="D795" t="str">
            <v>P-01 TEAK 8308 VN-1L</v>
          </cell>
          <cell r="E795" t="str">
            <v>ZFGD</v>
          </cell>
          <cell r="F795" t="str">
            <v>PC</v>
          </cell>
          <cell r="G795" t="str">
            <v>2</v>
          </cell>
          <cell r="H795" t="str">
            <v>RETAIL</v>
          </cell>
          <cell r="I795" t="str">
            <v>24</v>
          </cell>
          <cell r="J795" t="str">
            <v>WF3</v>
          </cell>
          <cell r="K795" t="str">
            <v>2413</v>
          </cell>
          <cell r="L795" t="str">
            <v>ULTRAN</v>
          </cell>
          <cell r="M795" t="str">
            <v>241307</v>
          </cell>
          <cell r="N795" t="str">
            <v>ULTRAN POLITUR P-01</v>
          </cell>
        </row>
        <row r="796">
          <cell r="C796" t="str">
            <v>100001782</v>
          </cell>
          <cell r="D796" t="str">
            <v>P-01 CLEAR DOF 0014 VN-1L</v>
          </cell>
          <cell r="E796" t="str">
            <v>ZFGD</v>
          </cell>
          <cell r="F796" t="str">
            <v>PC</v>
          </cell>
          <cell r="G796" t="str">
            <v>2</v>
          </cell>
          <cell r="H796" t="str">
            <v>RETAIL</v>
          </cell>
          <cell r="I796" t="str">
            <v>24</v>
          </cell>
          <cell r="J796" t="str">
            <v>WF3</v>
          </cell>
          <cell r="K796" t="str">
            <v>2413</v>
          </cell>
          <cell r="L796" t="str">
            <v>ULTRAN</v>
          </cell>
          <cell r="M796" t="str">
            <v>241307</v>
          </cell>
          <cell r="N796" t="str">
            <v>ULTRAN POLITUR P-01</v>
          </cell>
        </row>
        <row r="797">
          <cell r="C797" t="str">
            <v>100001783</v>
          </cell>
          <cell r="D797" t="str">
            <v>P-01 CLEAR GLOSS 0015 VN-1L</v>
          </cell>
          <cell r="E797" t="str">
            <v>ZFGD</v>
          </cell>
          <cell r="F797" t="str">
            <v>PC</v>
          </cell>
          <cell r="G797" t="str">
            <v>2</v>
          </cell>
          <cell r="H797" t="str">
            <v>RETAIL</v>
          </cell>
          <cell r="I797" t="str">
            <v>24</v>
          </cell>
          <cell r="J797" t="str">
            <v>WF3</v>
          </cell>
          <cell r="K797" t="str">
            <v>2413</v>
          </cell>
          <cell r="L797" t="str">
            <v>ULTRAN</v>
          </cell>
          <cell r="M797" t="str">
            <v>241307</v>
          </cell>
          <cell r="N797" t="str">
            <v>ULTRAN POLITUR P-01</v>
          </cell>
        </row>
        <row r="798">
          <cell r="C798" t="str">
            <v>100001784</v>
          </cell>
          <cell r="D798" t="str">
            <v>V-09 CLEAR GLOSS 0007 VN-0.8L</v>
          </cell>
          <cell r="E798" t="str">
            <v>ZFGD</v>
          </cell>
          <cell r="F798" t="str">
            <v>PC</v>
          </cell>
          <cell r="G798" t="str">
            <v>2</v>
          </cell>
          <cell r="H798" t="str">
            <v>RETAIL</v>
          </cell>
          <cell r="I798" t="str">
            <v>24</v>
          </cell>
          <cell r="J798" t="str">
            <v>WF3</v>
          </cell>
          <cell r="K798" t="str">
            <v>2413</v>
          </cell>
          <cell r="L798" t="str">
            <v>ULTRAN</v>
          </cell>
          <cell r="M798" t="str">
            <v>241311</v>
          </cell>
          <cell r="N798" t="str">
            <v>ULTRAN VERNIS</v>
          </cell>
        </row>
        <row r="799">
          <cell r="C799" t="str">
            <v>100001785</v>
          </cell>
          <cell r="D799" t="str">
            <v>V-09 LIGHT TEAK 3002 VN-0.8L</v>
          </cell>
          <cell r="E799" t="str">
            <v>ZFGD</v>
          </cell>
          <cell r="F799" t="str">
            <v>PC</v>
          </cell>
          <cell r="G799" t="str">
            <v>2</v>
          </cell>
          <cell r="H799" t="str">
            <v>RETAIL</v>
          </cell>
          <cell r="I799" t="str">
            <v>24</v>
          </cell>
          <cell r="J799" t="str">
            <v>WF3</v>
          </cell>
          <cell r="K799" t="str">
            <v>2413</v>
          </cell>
          <cell r="L799" t="str">
            <v>ULTRAN</v>
          </cell>
          <cell r="M799" t="str">
            <v>241311</v>
          </cell>
          <cell r="N799" t="str">
            <v>ULTRAN VERNIS</v>
          </cell>
        </row>
        <row r="800">
          <cell r="C800" t="str">
            <v>100001786</v>
          </cell>
          <cell r="D800" t="str">
            <v>V-09 LIGHT YELLOW 1001 VN-0.8L</v>
          </cell>
          <cell r="E800" t="str">
            <v>ZFGD</v>
          </cell>
          <cell r="F800" t="str">
            <v>PC</v>
          </cell>
          <cell r="G800" t="str">
            <v>2</v>
          </cell>
          <cell r="H800" t="str">
            <v>RETAIL</v>
          </cell>
          <cell r="I800" t="str">
            <v>24</v>
          </cell>
          <cell r="J800" t="str">
            <v>WF3</v>
          </cell>
          <cell r="K800" t="str">
            <v>2413</v>
          </cell>
          <cell r="L800" t="str">
            <v>ULTRAN</v>
          </cell>
          <cell r="M800" t="str">
            <v>241311</v>
          </cell>
          <cell r="N800" t="str">
            <v>ULTRAN VERNIS</v>
          </cell>
        </row>
        <row r="801">
          <cell r="C801" t="str">
            <v>100001787</v>
          </cell>
          <cell r="D801" t="str">
            <v>V-09 REDDISH CLAY 2004 VN-0.8L</v>
          </cell>
          <cell r="E801" t="str">
            <v>ZFGD</v>
          </cell>
          <cell r="F801" t="str">
            <v>PC</v>
          </cell>
          <cell r="G801" t="str">
            <v>2</v>
          </cell>
          <cell r="H801" t="str">
            <v>RETAIL</v>
          </cell>
          <cell r="I801" t="str">
            <v>24</v>
          </cell>
          <cell r="J801" t="str">
            <v>WF3</v>
          </cell>
          <cell r="K801" t="str">
            <v>2413</v>
          </cell>
          <cell r="L801" t="str">
            <v>ULTRAN</v>
          </cell>
          <cell r="M801" t="str">
            <v>241311</v>
          </cell>
          <cell r="N801" t="str">
            <v>ULTRAN VERNIS</v>
          </cell>
        </row>
        <row r="802">
          <cell r="C802" t="str">
            <v>100001788</v>
          </cell>
          <cell r="D802" t="str">
            <v>V-09 TOBACCO 8206 VN-0.8L</v>
          </cell>
          <cell r="E802" t="str">
            <v>ZFGD</v>
          </cell>
          <cell r="F802" t="str">
            <v>PC</v>
          </cell>
          <cell r="G802" t="str">
            <v>2</v>
          </cell>
          <cell r="H802" t="str">
            <v>RETAIL</v>
          </cell>
          <cell r="I802" t="str">
            <v>24</v>
          </cell>
          <cell r="J802" t="str">
            <v>WF3</v>
          </cell>
          <cell r="K802" t="str">
            <v>2413</v>
          </cell>
          <cell r="L802" t="str">
            <v>ULTRAN</v>
          </cell>
          <cell r="M802" t="str">
            <v>241311</v>
          </cell>
          <cell r="N802" t="str">
            <v>ULTRAN VERNIS</v>
          </cell>
        </row>
        <row r="803">
          <cell r="C803" t="str">
            <v>100001789</v>
          </cell>
          <cell r="D803" t="str">
            <v>V-09 MANGGIS 8303 VN-0.8L</v>
          </cell>
          <cell r="E803" t="str">
            <v>ZFGD</v>
          </cell>
          <cell r="F803" t="str">
            <v>PC</v>
          </cell>
          <cell r="G803" t="str">
            <v>2</v>
          </cell>
          <cell r="H803" t="str">
            <v>RETAIL</v>
          </cell>
          <cell r="I803" t="str">
            <v>24</v>
          </cell>
          <cell r="J803" t="str">
            <v>WF3</v>
          </cell>
          <cell r="K803" t="str">
            <v>2413</v>
          </cell>
          <cell r="L803" t="str">
            <v>ULTRAN</v>
          </cell>
          <cell r="M803" t="str">
            <v>241311</v>
          </cell>
          <cell r="N803" t="str">
            <v>ULTRAN VERNIS</v>
          </cell>
        </row>
        <row r="804">
          <cell r="C804" t="str">
            <v>100001790</v>
          </cell>
          <cell r="D804" t="str">
            <v>EL-501 CLASSIC TEAK 8305 VN-1L</v>
          </cell>
          <cell r="E804" t="str">
            <v>ZFGD</v>
          </cell>
          <cell r="F804" t="str">
            <v>PC</v>
          </cell>
          <cell r="G804" t="str">
            <v>2</v>
          </cell>
          <cell r="H804" t="str">
            <v>RETAIL</v>
          </cell>
          <cell r="I804" t="str">
            <v>24</v>
          </cell>
          <cell r="J804" t="str">
            <v>WF3</v>
          </cell>
          <cell r="K804" t="str">
            <v>2413</v>
          </cell>
          <cell r="L804" t="str">
            <v>ULTRAN</v>
          </cell>
          <cell r="M804" t="str">
            <v>241304</v>
          </cell>
          <cell r="N804" t="str">
            <v>ULTRAN LASUR</v>
          </cell>
        </row>
        <row r="805">
          <cell r="C805" t="str">
            <v>100001791</v>
          </cell>
          <cell r="D805" t="str">
            <v>EL-501 CLASSIC TEAK 8305 VN-4L</v>
          </cell>
          <cell r="E805" t="str">
            <v>ZFGD</v>
          </cell>
          <cell r="F805" t="str">
            <v>PC</v>
          </cell>
          <cell r="G805" t="str">
            <v>2</v>
          </cell>
          <cell r="H805" t="str">
            <v>RETAIL</v>
          </cell>
          <cell r="I805" t="str">
            <v>24</v>
          </cell>
          <cell r="J805" t="str">
            <v>WF3</v>
          </cell>
          <cell r="K805" t="str">
            <v>2413</v>
          </cell>
          <cell r="L805" t="str">
            <v>ULTRAN</v>
          </cell>
          <cell r="M805" t="str">
            <v>241304</v>
          </cell>
          <cell r="N805" t="str">
            <v>ULTRAN LASUR</v>
          </cell>
        </row>
        <row r="806">
          <cell r="C806" t="str">
            <v>100001792</v>
          </cell>
          <cell r="D806" t="str">
            <v>EL-501 CHOCOLATE 8303 VN-1L</v>
          </cell>
          <cell r="E806" t="str">
            <v>ZFGD</v>
          </cell>
          <cell r="F806" t="str">
            <v>PC</v>
          </cell>
          <cell r="G806" t="str">
            <v>2</v>
          </cell>
          <cell r="H806" t="str">
            <v>RETAIL</v>
          </cell>
          <cell r="I806" t="str">
            <v>24</v>
          </cell>
          <cell r="J806" t="str">
            <v>WF3</v>
          </cell>
          <cell r="K806" t="str">
            <v>2413</v>
          </cell>
          <cell r="L806" t="str">
            <v>ULTRAN</v>
          </cell>
          <cell r="M806" t="str">
            <v>241304</v>
          </cell>
          <cell r="N806" t="str">
            <v>ULTRAN LASUR</v>
          </cell>
        </row>
        <row r="807">
          <cell r="C807" t="str">
            <v>100001793</v>
          </cell>
          <cell r="D807" t="str">
            <v>EL-501 CHOCOLATE 8303 VN-4L</v>
          </cell>
          <cell r="E807" t="str">
            <v>ZFGD</v>
          </cell>
          <cell r="F807" t="str">
            <v>PC</v>
          </cell>
          <cell r="G807" t="str">
            <v>2</v>
          </cell>
          <cell r="H807" t="str">
            <v>RETAIL</v>
          </cell>
          <cell r="I807" t="str">
            <v>24</v>
          </cell>
          <cell r="J807" t="str">
            <v>WF3</v>
          </cell>
          <cell r="K807" t="str">
            <v>2413</v>
          </cell>
          <cell r="L807" t="str">
            <v>ULTRAN</v>
          </cell>
          <cell r="M807" t="str">
            <v>241304</v>
          </cell>
          <cell r="N807" t="str">
            <v>ULTRAN LASUR</v>
          </cell>
        </row>
        <row r="808">
          <cell r="C808" t="str">
            <v>100001794</v>
          </cell>
          <cell r="D808" t="str">
            <v>EL-501 CHERRY RED 3002 VN-1L</v>
          </cell>
          <cell r="E808" t="str">
            <v>ZFGD</v>
          </cell>
          <cell r="F808" t="str">
            <v>PC</v>
          </cell>
          <cell r="G808" t="str">
            <v>2</v>
          </cell>
          <cell r="H808" t="str">
            <v>RETAIL</v>
          </cell>
          <cell r="I808" t="str">
            <v>24</v>
          </cell>
          <cell r="J808" t="str">
            <v>WF3</v>
          </cell>
          <cell r="K808" t="str">
            <v>2413</v>
          </cell>
          <cell r="L808" t="str">
            <v>ULTRAN</v>
          </cell>
          <cell r="M808" t="str">
            <v>241304</v>
          </cell>
          <cell r="N808" t="str">
            <v>ULTRAN LASUR</v>
          </cell>
        </row>
        <row r="809">
          <cell r="C809" t="str">
            <v>100001795</v>
          </cell>
          <cell r="D809" t="str">
            <v>EL-501 CHERRY RED 3002 VN-4L</v>
          </cell>
          <cell r="E809" t="str">
            <v>ZFGD</v>
          </cell>
          <cell r="F809" t="str">
            <v>PC</v>
          </cell>
          <cell r="G809" t="str">
            <v>2</v>
          </cell>
          <cell r="H809" t="str">
            <v>RETAIL</v>
          </cell>
          <cell r="I809" t="str">
            <v>24</v>
          </cell>
          <cell r="J809" t="str">
            <v>WF3</v>
          </cell>
          <cell r="K809" t="str">
            <v>2413</v>
          </cell>
          <cell r="L809" t="str">
            <v>ULTRAN</v>
          </cell>
          <cell r="M809" t="str">
            <v>241304</v>
          </cell>
          <cell r="N809" t="str">
            <v>ULTRAN LASUR</v>
          </cell>
        </row>
        <row r="810">
          <cell r="C810" t="str">
            <v>100001796</v>
          </cell>
          <cell r="D810" t="str">
            <v>EL-501 SUNSET YELLOW 2011 VN-1L</v>
          </cell>
          <cell r="E810" t="str">
            <v>ZFGD</v>
          </cell>
          <cell r="F810" t="str">
            <v>PC</v>
          </cell>
          <cell r="G810" t="str">
            <v>2</v>
          </cell>
          <cell r="H810" t="str">
            <v>RETAIL</v>
          </cell>
          <cell r="I810" t="str">
            <v>24</v>
          </cell>
          <cell r="J810" t="str">
            <v>WF3</v>
          </cell>
          <cell r="K810" t="str">
            <v>2413</v>
          </cell>
          <cell r="L810" t="str">
            <v>ULTRAN</v>
          </cell>
          <cell r="M810" t="str">
            <v>241304</v>
          </cell>
          <cell r="N810" t="str">
            <v>ULTRAN LASUR</v>
          </cell>
        </row>
        <row r="811">
          <cell r="C811" t="str">
            <v>100001797</v>
          </cell>
          <cell r="D811" t="str">
            <v>EL-501 SUNSET YELLOW 2011 VN-4L</v>
          </cell>
          <cell r="E811" t="str">
            <v>ZFGD</v>
          </cell>
          <cell r="F811" t="str">
            <v>PC</v>
          </cell>
          <cell r="G811" t="str">
            <v>2</v>
          </cell>
          <cell r="H811" t="str">
            <v>RETAIL</v>
          </cell>
          <cell r="I811" t="str">
            <v>24</v>
          </cell>
          <cell r="J811" t="str">
            <v>WF3</v>
          </cell>
          <cell r="K811" t="str">
            <v>2413</v>
          </cell>
          <cell r="L811" t="str">
            <v>ULTRAN</v>
          </cell>
          <cell r="M811" t="str">
            <v>241304</v>
          </cell>
          <cell r="N811" t="str">
            <v>ULTRAN LASUR</v>
          </cell>
        </row>
        <row r="812">
          <cell r="C812" t="str">
            <v>100001798</v>
          </cell>
          <cell r="D812" t="str">
            <v>EL-501 DUSTY BROWN 8006 VN-1L</v>
          </cell>
          <cell r="E812" t="str">
            <v>ZFGD</v>
          </cell>
          <cell r="F812" t="str">
            <v>PC</v>
          </cell>
          <cell r="G812" t="str">
            <v>2</v>
          </cell>
          <cell r="H812" t="str">
            <v>RETAIL</v>
          </cell>
          <cell r="I812" t="str">
            <v>24</v>
          </cell>
          <cell r="J812" t="str">
            <v>WF3</v>
          </cell>
          <cell r="K812" t="str">
            <v>2413</v>
          </cell>
          <cell r="L812" t="str">
            <v>ULTRAN</v>
          </cell>
          <cell r="M812" t="str">
            <v>241304</v>
          </cell>
          <cell r="N812" t="str">
            <v>ULTRAN LASUR</v>
          </cell>
        </row>
        <row r="813">
          <cell r="C813" t="str">
            <v>100001799</v>
          </cell>
          <cell r="D813" t="str">
            <v>EL-501 DUSTY BROWN 8006 VN-4L</v>
          </cell>
          <cell r="E813" t="str">
            <v>ZFGD</v>
          </cell>
          <cell r="F813" t="str">
            <v>PC</v>
          </cell>
          <cell r="G813" t="str">
            <v>2</v>
          </cell>
          <cell r="H813" t="str">
            <v>RETAIL</v>
          </cell>
          <cell r="I813" t="str">
            <v>24</v>
          </cell>
          <cell r="J813" t="str">
            <v>WF3</v>
          </cell>
          <cell r="K813" t="str">
            <v>2413</v>
          </cell>
          <cell r="L813" t="str">
            <v>ULTRAN</v>
          </cell>
          <cell r="M813" t="str">
            <v>241304</v>
          </cell>
          <cell r="N813" t="str">
            <v>ULTRAN LASUR</v>
          </cell>
        </row>
        <row r="814">
          <cell r="C814" t="str">
            <v>100001800</v>
          </cell>
          <cell r="D814" t="str">
            <v>EL-501 CARAMEL 8001 VN-1L</v>
          </cell>
          <cell r="E814" t="str">
            <v>ZFGD</v>
          </cell>
          <cell r="F814" t="str">
            <v>PC</v>
          </cell>
          <cell r="G814" t="str">
            <v>2</v>
          </cell>
          <cell r="H814" t="str">
            <v>RETAIL</v>
          </cell>
          <cell r="I814" t="str">
            <v>24</v>
          </cell>
          <cell r="J814" t="str">
            <v>WF3</v>
          </cell>
          <cell r="K814" t="str">
            <v>2413</v>
          </cell>
          <cell r="L814" t="str">
            <v>ULTRAN</v>
          </cell>
          <cell r="M814" t="str">
            <v>241304</v>
          </cell>
          <cell r="N814" t="str">
            <v>ULTRAN LASUR</v>
          </cell>
        </row>
        <row r="815">
          <cell r="C815" t="str">
            <v>100001801</v>
          </cell>
          <cell r="D815" t="str">
            <v>EL-501 CARAMEL 8001 VN-4L</v>
          </cell>
          <cell r="E815" t="str">
            <v>ZFGD</v>
          </cell>
          <cell r="F815" t="str">
            <v>PC</v>
          </cell>
          <cell r="G815" t="str">
            <v>2</v>
          </cell>
          <cell r="H815" t="str">
            <v>RETAIL</v>
          </cell>
          <cell r="I815" t="str">
            <v>24</v>
          </cell>
          <cell r="J815" t="str">
            <v>WF3</v>
          </cell>
          <cell r="K815" t="str">
            <v>2413</v>
          </cell>
          <cell r="L815" t="str">
            <v>ULTRAN</v>
          </cell>
          <cell r="M815" t="str">
            <v>241304</v>
          </cell>
          <cell r="N815" t="str">
            <v>ULTRAN LASUR</v>
          </cell>
        </row>
        <row r="816">
          <cell r="C816" t="str">
            <v>100001802</v>
          </cell>
          <cell r="D816" t="str">
            <v>EL-501 CHRYSANT YELLOW 1004 VN-1L</v>
          </cell>
          <cell r="E816" t="str">
            <v>ZFGD</v>
          </cell>
          <cell r="F816" t="str">
            <v>PC</v>
          </cell>
          <cell r="G816" t="str">
            <v>2</v>
          </cell>
          <cell r="H816" t="str">
            <v>RETAIL</v>
          </cell>
          <cell r="I816" t="str">
            <v>24</v>
          </cell>
          <cell r="J816" t="str">
            <v>WF3</v>
          </cell>
          <cell r="K816" t="str">
            <v>2413</v>
          </cell>
          <cell r="L816" t="str">
            <v>ULTRAN</v>
          </cell>
          <cell r="M816" t="str">
            <v>241304</v>
          </cell>
          <cell r="N816" t="str">
            <v>ULTRAN LASUR</v>
          </cell>
        </row>
        <row r="817">
          <cell r="C817" t="str">
            <v>100001803</v>
          </cell>
          <cell r="D817" t="str">
            <v>EL-501 CHRYSANT YELLOW 1004 VN-4L</v>
          </cell>
          <cell r="E817" t="str">
            <v>ZFGD</v>
          </cell>
          <cell r="F817" t="str">
            <v>PC</v>
          </cell>
          <cell r="G817" t="str">
            <v>2</v>
          </cell>
          <cell r="H817" t="str">
            <v>RETAIL</v>
          </cell>
          <cell r="I817" t="str">
            <v>24</v>
          </cell>
          <cell r="J817" t="str">
            <v>WF3</v>
          </cell>
          <cell r="K817" t="str">
            <v>2413</v>
          </cell>
          <cell r="L817" t="str">
            <v>ULTRAN</v>
          </cell>
          <cell r="M817" t="str">
            <v>241304</v>
          </cell>
          <cell r="N817" t="str">
            <v>ULTRAN LASUR</v>
          </cell>
        </row>
        <row r="818">
          <cell r="C818" t="str">
            <v>100001804</v>
          </cell>
          <cell r="D818" t="str">
            <v>EL-501 RED WOOD 8009 VN-1L</v>
          </cell>
          <cell r="E818" t="str">
            <v>ZFGD</v>
          </cell>
          <cell r="F818" t="str">
            <v>PC</v>
          </cell>
          <cell r="G818" t="str">
            <v>2</v>
          </cell>
          <cell r="H818" t="str">
            <v>RETAIL</v>
          </cell>
          <cell r="I818" t="str">
            <v>24</v>
          </cell>
          <cell r="J818" t="str">
            <v>WF3</v>
          </cell>
          <cell r="K818" t="str">
            <v>2413</v>
          </cell>
          <cell r="L818" t="str">
            <v>ULTRAN</v>
          </cell>
          <cell r="M818" t="str">
            <v>241304</v>
          </cell>
          <cell r="N818" t="str">
            <v>ULTRAN LASUR</v>
          </cell>
        </row>
        <row r="819">
          <cell r="C819" t="str">
            <v>100001805</v>
          </cell>
          <cell r="D819" t="str">
            <v>EL-501 RED WOOD 8009 VN-4L</v>
          </cell>
          <cell r="E819" t="str">
            <v>ZFGD</v>
          </cell>
          <cell r="F819" t="str">
            <v>PC</v>
          </cell>
          <cell r="G819" t="str">
            <v>2</v>
          </cell>
          <cell r="H819" t="str">
            <v>RETAIL</v>
          </cell>
          <cell r="I819" t="str">
            <v>24</v>
          </cell>
          <cell r="J819" t="str">
            <v>WF3</v>
          </cell>
          <cell r="K819" t="str">
            <v>2413</v>
          </cell>
          <cell r="L819" t="str">
            <v>ULTRAN</v>
          </cell>
          <cell r="M819" t="str">
            <v>241304</v>
          </cell>
          <cell r="N819" t="str">
            <v>ULTRAN LASUR</v>
          </cell>
        </row>
        <row r="820">
          <cell r="C820" t="str">
            <v>100001806</v>
          </cell>
          <cell r="D820" t="str">
            <v>EL-501 TROPICAL TEAK 8012 VN-1L</v>
          </cell>
          <cell r="E820" t="str">
            <v>ZFGD</v>
          </cell>
          <cell r="F820" t="str">
            <v>PC</v>
          </cell>
          <cell r="G820" t="str">
            <v>2</v>
          </cell>
          <cell r="H820" t="str">
            <v>RETAIL</v>
          </cell>
          <cell r="I820" t="str">
            <v>24</v>
          </cell>
          <cell r="J820" t="str">
            <v>WF3</v>
          </cell>
          <cell r="K820" t="str">
            <v>2413</v>
          </cell>
          <cell r="L820" t="str">
            <v>ULTRAN</v>
          </cell>
          <cell r="M820" t="str">
            <v>241304</v>
          </cell>
          <cell r="N820" t="str">
            <v>ULTRAN LASUR</v>
          </cell>
        </row>
        <row r="821">
          <cell r="C821" t="str">
            <v>100001807</v>
          </cell>
          <cell r="D821" t="str">
            <v>EL-501 TROPICAL TEAK 8012 VN-4L</v>
          </cell>
          <cell r="E821" t="str">
            <v>ZFGD</v>
          </cell>
          <cell r="F821" t="str">
            <v>PC</v>
          </cell>
          <cell r="G821" t="str">
            <v>2</v>
          </cell>
          <cell r="H821" t="str">
            <v>RETAIL</v>
          </cell>
          <cell r="I821" t="str">
            <v>24</v>
          </cell>
          <cell r="J821" t="str">
            <v>WF3</v>
          </cell>
          <cell r="K821" t="str">
            <v>2413</v>
          </cell>
          <cell r="L821" t="str">
            <v>ULTRAN</v>
          </cell>
          <cell r="M821" t="str">
            <v>241304</v>
          </cell>
          <cell r="N821" t="str">
            <v>ULTRAN LASUR</v>
          </cell>
        </row>
        <row r="822">
          <cell r="C822" t="str">
            <v>100001808</v>
          </cell>
          <cell r="D822" t="str">
            <v>EL-501 WALNUT 9013 VN-1L</v>
          </cell>
          <cell r="E822" t="str">
            <v>ZFGD</v>
          </cell>
          <cell r="F822" t="str">
            <v>PC</v>
          </cell>
          <cell r="G822" t="str">
            <v>2</v>
          </cell>
          <cell r="H822" t="str">
            <v>RETAIL</v>
          </cell>
          <cell r="I822" t="str">
            <v>24</v>
          </cell>
          <cell r="J822" t="str">
            <v>WF3</v>
          </cell>
          <cell r="K822" t="str">
            <v>2413</v>
          </cell>
          <cell r="L822" t="str">
            <v>ULTRAN</v>
          </cell>
          <cell r="M822" t="str">
            <v>241304</v>
          </cell>
          <cell r="N822" t="str">
            <v>ULTRAN LASUR</v>
          </cell>
        </row>
        <row r="823">
          <cell r="C823" t="str">
            <v>100001809</v>
          </cell>
          <cell r="D823" t="str">
            <v>EL-501 WALNUT 9013 VN-4L</v>
          </cell>
          <cell r="E823" t="str">
            <v>ZFGD</v>
          </cell>
          <cell r="F823" t="str">
            <v>PC</v>
          </cell>
          <cell r="G823" t="str">
            <v>2</v>
          </cell>
          <cell r="H823" t="str">
            <v>RETAIL</v>
          </cell>
          <cell r="I823" t="str">
            <v>24</v>
          </cell>
          <cell r="J823" t="str">
            <v>WF3</v>
          </cell>
          <cell r="K823" t="str">
            <v>2413</v>
          </cell>
          <cell r="L823" t="str">
            <v>ULTRAN</v>
          </cell>
          <cell r="M823" t="str">
            <v>241304</v>
          </cell>
          <cell r="N823" t="str">
            <v>ULTRAN LASUR</v>
          </cell>
        </row>
        <row r="824">
          <cell r="C824" t="str">
            <v>100001810</v>
          </cell>
          <cell r="D824" t="str">
            <v>EL-501 MAIZE 8107 VN-1L</v>
          </cell>
          <cell r="E824" t="str">
            <v>ZFGD</v>
          </cell>
          <cell r="F824" t="str">
            <v>PC</v>
          </cell>
          <cell r="G824" t="str">
            <v>2</v>
          </cell>
          <cell r="H824" t="str">
            <v>RETAIL</v>
          </cell>
          <cell r="I824" t="str">
            <v>24</v>
          </cell>
          <cell r="J824" t="str">
            <v>WF3</v>
          </cell>
          <cell r="K824" t="str">
            <v>2413</v>
          </cell>
          <cell r="L824" t="str">
            <v>ULTRAN</v>
          </cell>
          <cell r="M824" t="str">
            <v>241304</v>
          </cell>
          <cell r="N824" t="str">
            <v>ULTRAN LASUR</v>
          </cell>
        </row>
        <row r="825">
          <cell r="C825" t="str">
            <v>100001811</v>
          </cell>
          <cell r="D825" t="str">
            <v>EL-501 MAIZE 8107 VN-4L</v>
          </cell>
          <cell r="E825" t="str">
            <v>ZFGD</v>
          </cell>
          <cell r="F825" t="str">
            <v>PC</v>
          </cell>
          <cell r="G825" t="str">
            <v>2</v>
          </cell>
          <cell r="H825" t="str">
            <v>RETAIL</v>
          </cell>
          <cell r="I825" t="str">
            <v>24</v>
          </cell>
          <cell r="J825" t="str">
            <v>WF3</v>
          </cell>
          <cell r="K825" t="str">
            <v>2413</v>
          </cell>
          <cell r="L825" t="str">
            <v>ULTRAN</v>
          </cell>
          <cell r="M825" t="str">
            <v>241304</v>
          </cell>
          <cell r="N825" t="str">
            <v>ULTRAN LASUR</v>
          </cell>
        </row>
        <row r="826">
          <cell r="C826" t="str">
            <v>100001812</v>
          </cell>
          <cell r="D826" t="str">
            <v>EL-501 PADOUK 3008 VN-1L</v>
          </cell>
          <cell r="E826" t="str">
            <v>ZFGD</v>
          </cell>
          <cell r="F826" t="str">
            <v>PC</v>
          </cell>
          <cell r="G826" t="str">
            <v>2</v>
          </cell>
          <cell r="H826" t="str">
            <v>RETAIL</v>
          </cell>
          <cell r="I826" t="str">
            <v>24</v>
          </cell>
          <cell r="J826" t="str">
            <v>WF3</v>
          </cell>
          <cell r="K826" t="str">
            <v>2413</v>
          </cell>
          <cell r="L826" t="str">
            <v>ULTRAN</v>
          </cell>
          <cell r="M826" t="str">
            <v>241304</v>
          </cell>
          <cell r="N826" t="str">
            <v>ULTRAN LASUR</v>
          </cell>
        </row>
        <row r="827">
          <cell r="C827" t="str">
            <v>100001813</v>
          </cell>
          <cell r="D827" t="str">
            <v>EL-501 PADOUK 3008 VN-4L</v>
          </cell>
          <cell r="E827" t="str">
            <v>ZFGD</v>
          </cell>
          <cell r="F827" t="str">
            <v>PC</v>
          </cell>
          <cell r="G827" t="str">
            <v>2</v>
          </cell>
          <cell r="H827" t="str">
            <v>RETAIL</v>
          </cell>
          <cell r="I827" t="str">
            <v>24</v>
          </cell>
          <cell r="J827" t="str">
            <v>WF3</v>
          </cell>
          <cell r="K827" t="str">
            <v>2413</v>
          </cell>
          <cell r="L827" t="str">
            <v>ULTRAN</v>
          </cell>
          <cell r="M827" t="str">
            <v>241304</v>
          </cell>
          <cell r="N827" t="str">
            <v>ULTRAN LASUR</v>
          </cell>
        </row>
        <row r="828">
          <cell r="C828" t="str">
            <v>100001814</v>
          </cell>
          <cell r="D828" t="str">
            <v>EL-501 NATURAL GLOSS 0015 VN-1L</v>
          </cell>
          <cell r="E828" t="str">
            <v>ZFGD</v>
          </cell>
          <cell r="F828" t="str">
            <v>PC</v>
          </cell>
          <cell r="G828" t="str">
            <v>2</v>
          </cell>
          <cell r="H828" t="str">
            <v>RETAIL</v>
          </cell>
          <cell r="I828" t="str">
            <v>24</v>
          </cell>
          <cell r="J828" t="str">
            <v>WF3</v>
          </cell>
          <cell r="K828" t="str">
            <v>2413</v>
          </cell>
          <cell r="L828" t="str">
            <v>ULTRAN</v>
          </cell>
          <cell r="M828" t="str">
            <v>241304</v>
          </cell>
          <cell r="N828" t="str">
            <v>ULTRAN LASUR</v>
          </cell>
        </row>
        <row r="829">
          <cell r="C829" t="str">
            <v>100001815</v>
          </cell>
          <cell r="D829" t="str">
            <v>EL-501 NATURAL GLOSS 0015 VN-4L</v>
          </cell>
          <cell r="E829" t="str">
            <v>ZFGD</v>
          </cell>
          <cell r="F829" t="str">
            <v>PC</v>
          </cell>
          <cell r="G829" t="str">
            <v>2</v>
          </cell>
          <cell r="H829" t="str">
            <v>RETAIL</v>
          </cell>
          <cell r="I829" t="str">
            <v>24</v>
          </cell>
          <cell r="J829" t="str">
            <v>WF3</v>
          </cell>
          <cell r="K829" t="str">
            <v>2413</v>
          </cell>
          <cell r="L829" t="str">
            <v>ULTRAN</v>
          </cell>
          <cell r="M829" t="str">
            <v>241304</v>
          </cell>
          <cell r="N829" t="str">
            <v>ULTRAN LASUR</v>
          </cell>
        </row>
        <row r="830">
          <cell r="C830" t="str">
            <v>100001816</v>
          </cell>
          <cell r="D830" t="str">
            <v>EL-501 NATURAL DOF 0014 VN-1L</v>
          </cell>
          <cell r="E830" t="str">
            <v>ZFGD</v>
          </cell>
          <cell r="F830" t="str">
            <v>PC</v>
          </cell>
          <cell r="G830" t="str">
            <v>2</v>
          </cell>
          <cell r="H830" t="str">
            <v>RETAIL</v>
          </cell>
          <cell r="I830" t="str">
            <v>24</v>
          </cell>
          <cell r="J830" t="str">
            <v>WF3</v>
          </cell>
          <cell r="K830" t="str">
            <v>2413</v>
          </cell>
          <cell r="L830" t="str">
            <v>ULTRAN</v>
          </cell>
          <cell r="M830" t="str">
            <v>241304</v>
          </cell>
          <cell r="N830" t="str">
            <v>ULTRAN LASUR</v>
          </cell>
        </row>
        <row r="831">
          <cell r="C831" t="str">
            <v>100001817</v>
          </cell>
          <cell r="D831" t="str">
            <v>EL-501 NATURAL DOF 0014 VN-4L</v>
          </cell>
          <cell r="E831" t="str">
            <v>ZFGD</v>
          </cell>
          <cell r="F831" t="str">
            <v>PC</v>
          </cell>
          <cell r="G831" t="str">
            <v>2</v>
          </cell>
          <cell r="H831" t="str">
            <v>RETAIL</v>
          </cell>
          <cell r="I831" t="str">
            <v>24</v>
          </cell>
          <cell r="J831" t="str">
            <v>WF3</v>
          </cell>
          <cell r="K831" t="str">
            <v>2413</v>
          </cell>
          <cell r="L831" t="str">
            <v>ULTRAN</v>
          </cell>
          <cell r="M831" t="str">
            <v>241304</v>
          </cell>
          <cell r="N831" t="str">
            <v>ULTRAN LASUR</v>
          </cell>
        </row>
        <row r="832">
          <cell r="C832" t="str">
            <v>100001818</v>
          </cell>
          <cell r="D832" t="str">
            <v>EL-501 ROASTED RED 8310 VN-1L</v>
          </cell>
          <cell r="E832" t="str">
            <v>ZFGD</v>
          </cell>
          <cell r="F832" t="str">
            <v>PC</v>
          </cell>
          <cell r="G832" t="str">
            <v>2</v>
          </cell>
          <cell r="H832" t="str">
            <v>RETAIL</v>
          </cell>
          <cell r="I832" t="str">
            <v>24</v>
          </cell>
          <cell r="J832" t="str">
            <v>WF3</v>
          </cell>
          <cell r="K832" t="str">
            <v>2413</v>
          </cell>
          <cell r="L832" t="str">
            <v>ULTRAN</v>
          </cell>
          <cell r="M832" t="str">
            <v>241304</v>
          </cell>
          <cell r="N832" t="str">
            <v>ULTRAN LASUR</v>
          </cell>
        </row>
        <row r="833">
          <cell r="C833" t="str">
            <v>100001819</v>
          </cell>
          <cell r="D833" t="str">
            <v>EL-501 ROASTED RED 8310 VN-4L</v>
          </cell>
          <cell r="E833" t="str">
            <v>ZFGD</v>
          </cell>
          <cell r="F833" t="str">
            <v>PC</v>
          </cell>
          <cell r="G833" t="str">
            <v>2</v>
          </cell>
          <cell r="H833" t="str">
            <v>RETAIL</v>
          </cell>
          <cell r="I833" t="str">
            <v>24</v>
          </cell>
          <cell r="J833" t="str">
            <v>WF3</v>
          </cell>
          <cell r="K833" t="str">
            <v>2413</v>
          </cell>
          <cell r="L833" t="str">
            <v>ULTRAN</v>
          </cell>
          <cell r="M833" t="str">
            <v>241304</v>
          </cell>
          <cell r="N833" t="str">
            <v>ULTRAN LASUR</v>
          </cell>
        </row>
        <row r="834">
          <cell r="C834" t="str">
            <v>100001820</v>
          </cell>
          <cell r="D834" t="str">
            <v>EL-501 NATURAL SATIN 0016 VN-1L</v>
          </cell>
          <cell r="E834" t="str">
            <v>ZFGD</v>
          </cell>
          <cell r="F834" t="str">
            <v>PC</v>
          </cell>
          <cell r="G834" t="str">
            <v>2</v>
          </cell>
          <cell r="H834" t="str">
            <v>RETAIL</v>
          </cell>
          <cell r="I834" t="str">
            <v>24</v>
          </cell>
          <cell r="J834" t="str">
            <v>WF3</v>
          </cell>
          <cell r="K834" t="str">
            <v>2413</v>
          </cell>
          <cell r="L834" t="str">
            <v>ULTRAN</v>
          </cell>
          <cell r="M834" t="str">
            <v>241304</v>
          </cell>
          <cell r="N834" t="str">
            <v>ULTRAN LASUR</v>
          </cell>
        </row>
        <row r="835">
          <cell r="C835" t="str">
            <v>100001821</v>
          </cell>
          <cell r="D835" t="str">
            <v>EL-501 NATURAL SATIN 0016 VN-4L</v>
          </cell>
          <cell r="E835" t="str">
            <v>ZFGD</v>
          </cell>
          <cell r="F835" t="str">
            <v>PC</v>
          </cell>
          <cell r="G835" t="str">
            <v>2</v>
          </cell>
          <cell r="H835" t="str">
            <v>RETAIL</v>
          </cell>
          <cell r="I835" t="str">
            <v>24</v>
          </cell>
          <cell r="J835" t="str">
            <v>WF3</v>
          </cell>
          <cell r="K835" t="str">
            <v>2413</v>
          </cell>
          <cell r="L835" t="str">
            <v>ULTRAN</v>
          </cell>
          <cell r="M835" t="str">
            <v>241304</v>
          </cell>
          <cell r="N835" t="str">
            <v>ULTRAN LASUR</v>
          </cell>
        </row>
        <row r="836">
          <cell r="C836" t="str">
            <v>100001822</v>
          </cell>
          <cell r="D836" t="str">
            <v>EL-501 LS BLACK 9001 VN-1L</v>
          </cell>
          <cell r="E836" t="str">
            <v>ZFGD</v>
          </cell>
          <cell r="F836" t="str">
            <v>PC</v>
          </cell>
          <cell r="G836" t="str">
            <v>2</v>
          </cell>
          <cell r="H836" t="str">
            <v>RETAIL</v>
          </cell>
          <cell r="I836" t="str">
            <v>24</v>
          </cell>
          <cell r="J836" t="str">
            <v>WF3</v>
          </cell>
          <cell r="K836" t="str">
            <v>2413</v>
          </cell>
          <cell r="L836" t="str">
            <v>ULTRAN</v>
          </cell>
          <cell r="M836" t="str">
            <v>241304</v>
          </cell>
          <cell r="N836" t="str">
            <v>ULTRAN LASUR</v>
          </cell>
        </row>
        <row r="837">
          <cell r="C837" t="str">
            <v>100001823</v>
          </cell>
          <cell r="D837" t="str">
            <v>EL-501 LS BLACK 9001 VN-4L</v>
          </cell>
          <cell r="E837" t="str">
            <v>ZFGD</v>
          </cell>
          <cell r="F837" t="str">
            <v>PC</v>
          </cell>
          <cell r="G837" t="str">
            <v>2</v>
          </cell>
          <cell r="H837" t="str">
            <v>RETAIL</v>
          </cell>
          <cell r="I837" t="str">
            <v>24</v>
          </cell>
          <cell r="J837" t="str">
            <v>WF3</v>
          </cell>
          <cell r="K837" t="str">
            <v>2413</v>
          </cell>
          <cell r="L837" t="str">
            <v>ULTRAN</v>
          </cell>
          <cell r="M837" t="str">
            <v>241304</v>
          </cell>
          <cell r="N837" t="str">
            <v>ULTRAN LASUR</v>
          </cell>
        </row>
        <row r="838">
          <cell r="C838" t="str">
            <v>100001824</v>
          </cell>
          <cell r="D838" t="str">
            <v>EL-501 LS CANDY BROWN 1002 VN-1L</v>
          </cell>
          <cell r="E838" t="str">
            <v>ZFGD</v>
          </cell>
          <cell r="F838" t="str">
            <v>PC</v>
          </cell>
          <cell r="G838" t="str">
            <v>2</v>
          </cell>
          <cell r="H838" t="str">
            <v>RETAIL</v>
          </cell>
          <cell r="I838" t="str">
            <v>24</v>
          </cell>
          <cell r="J838" t="str">
            <v>WF3</v>
          </cell>
          <cell r="K838" t="str">
            <v>2413</v>
          </cell>
          <cell r="L838" t="str">
            <v>ULTRAN</v>
          </cell>
          <cell r="M838" t="str">
            <v>241304</v>
          </cell>
          <cell r="N838" t="str">
            <v>ULTRAN LASUR</v>
          </cell>
        </row>
        <row r="839">
          <cell r="C839" t="str">
            <v>100001825</v>
          </cell>
          <cell r="D839" t="str">
            <v>EL-501 LS CANDY BROWN 1002 VN-4L</v>
          </cell>
          <cell r="E839" t="str">
            <v>ZFGD</v>
          </cell>
          <cell r="F839" t="str">
            <v>PC</v>
          </cell>
          <cell r="G839" t="str">
            <v>2</v>
          </cell>
          <cell r="H839" t="str">
            <v>RETAIL</v>
          </cell>
          <cell r="I839" t="str">
            <v>24</v>
          </cell>
          <cell r="J839" t="str">
            <v>WF3</v>
          </cell>
          <cell r="K839" t="str">
            <v>2413</v>
          </cell>
          <cell r="L839" t="str">
            <v>ULTRAN</v>
          </cell>
          <cell r="M839" t="str">
            <v>241304</v>
          </cell>
          <cell r="N839" t="str">
            <v>ULTRAN LASUR</v>
          </cell>
        </row>
        <row r="840">
          <cell r="C840" t="str">
            <v>100001826</v>
          </cell>
          <cell r="D840" t="str">
            <v>EL-501 LS COCOA BROWN 2003 VN-1L</v>
          </cell>
          <cell r="E840" t="str">
            <v>ZFGD</v>
          </cell>
          <cell r="F840" t="str">
            <v>PC</v>
          </cell>
          <cell r="G840" t="str">
            <v>2</v>
          </cell>
          <cell r="H840" t="str">
            <v>RETAIL</v>
          </cell>
          <cell r="I840" t="str">
            <v>24</v>
          </cell>
          <cell r="J840" t="str">
            <v>WF3</v>
          </cell>
          <cell r="K840" t="str">
            <v>2413</v>
          </cell>
          <cell r="L840" t="str">
            <v>ULTRAN</v>
          </cell>
          <cell r="M840" t="str">
            <v>241304</v>
          </cell>
          <cell r="N840" t="str">
            <v>ULTRAN LASUR</v>
          </cell>
        </row>
        <row r="841">
          <cell r="C841" t="str">
            <v>100001827</v>
          </cell>
          <cell r="D841" t="str">
            <v>EL-501 LS COCOA BROWN 2003 VN-4L</v>
          </cell>
          <cell r="E841" t="str">
            <v>ZFGD</v>
          </cell>
          <cell r="F841" t="str">
            <v>PC</v>
          </cell>
          <cell r="G841" t="str">
            <v>2</v>
          </cell>
          <cell r="H841" t="str">
            <v>RETAIL</v>
          </cell>
          <cell r="I841" t="str">
            <v>24</v>
          </cell>
          <cell r="J841" t="str">
            <v>WF3</v>
          </cell>
          <cell r="K841" t="str">
            <v>2413</v>
          </cell>
          <cell r="L841" t="str">
            <v>ULTRAN</v>
          </cell>
          <cell r="M841" t="str">
            <v>241304</v>
          </cell>
          <cell r="N841" t="str">
            <v>ULTRAN LASUR</v>
          </cell>
        </row>
        <row r="842">
          <cell r="C842" t="str">
            <v>100001828</v>
          </cell>
          <cell r="D842" t="str">
            <v>EL-501 LS COFFEE BROWN 8004 VN-1L</v>
          </cell>
          <cell r="E842" t="str">
            <v>ZFGD</v>
          </cell>
          <cell r="F842" t="str">
            <v>PC</v>
          </cell>
          <cell r="G842" t="str">
            <v>2</v>
          </cell>
          <cell r="H842" t="str">
            <v>RETAIL</v>
          </cell>
          <cell r="I842" t="str">
            <v>24</v>
          </cell>
          <cell r="J842" t="str">
            <v>WF3</v>
          </cell>
          <cell r="K842" t="str">
            <v>2413</v>
          </cell>
          <cell r="L842" t="str">
            <v>ULTRAN</v>
          </cell>
          <cell r="M842" t="str">
            <v>241304</v>
          </cell>
          <cell r="N842" t="str">
            <v>ULTRAN LASUR</v>
          </cell>
        </row>
        <row r="843">
          <cell r="C843" t="str">
            <v>100001829</v>
          </cell>
          <cell r="D843" t="str">
            <v>EL-501 LS COFFEE BROWN 8004 VN-4L</v>
          </cell>
          <cell r="E843" t="str">
            <v>ZFGD</v>
          </cell>
          <cell r="F843" t="str">
            <v>PC</v>
          </cell>
          <cell r="G843" t="str">
            <v>2</v>
          </cell>
          <cell r="H843" t="str">
            <v>RETAIL</v>
          </cell>
          <cell r="I843" t="str">
            <v>24</v>
          </cell>
          <cell r="J843" t="str">
            <v>WF3</v>
          </cell>
          <cell r="K843" t="str">
            <v>2413</v>
          </cell>
          <cell r="L843" t="str">
            <v>ULTRAN</v>
          </cell>
          <cell r="M843" t="str">
            <v>241304</v>
          </cell>
          <cell r="N843" t="str">
            <v>ULTRAN LASUR</v>
          </cell>
        </row>
        <row r="844">
          <cell r="C844" t="str">
            <v>100001830</v>
          </cell>
          <cell r="D844" t="str">
            <v>EL-501 LS RED MAHONY 3005 VN-1L</v>
          </cell>
          <cell r="E844" t="str">
            <v>ZFGD</v>
          </cell>
          <cell r="F844" t="str">
            <v>PC</v>
          </cell>
          <cell r="G844" t="str">
            <v>2</v>
          </cell>
          <cell r="H844" t="str">
            <v>RETAIL</v>
          </cell>
          <cell r="I844" t="str">
            <v>24</v>
          </cell>
          <cell r="J844" t="str">
            <v>WF3</v>
          </cell>
          <cell r="K844" t="str">
            <v>2413</v>
          </cell>
          <cell r="L844" t="str">
            <v>ULTRAN</v>
          </cell>
          <cell r="M844" t="str">
            <v>241304</v>
          </cell>
          <cell r="N844" t="str">
            <v>ULTRAN LASUR</v>
          </cell>
        </row>
        <row r="845">
          <cell r="C845" t="str">
            <v>100001831</v>
          </cell>
          <cell r="D845" t="str">
            <v>EL-501 LS RED MAHONY 3005 VN-4L</v>
          </cell>
          <cell r="E845" t="str">
            <v>ZFGD</v>
          </cell>
          <cell r="F845" t="str">
            <v>PC</v>
          </cell>
          <cell r="G845" t="str">
            <v>2</v>
          </cell>
          <cell r="H845" t="str">
            <v>RETAIL</v>
          </cell>
          <cell r="I845" t="str">
            <v>24</v>
          </cell>
          <cell r="J845" t="str">
            <v>WF3</v>
          </cell>
          <cell r="K845" t="str">
            <v>2413</v>
          </cell>
          <cell r="L845" t="str">
            <v>ULTRAN</v>
          </cell>
          <cell r="M845" t="str">
            <v>241304</v>
          </cell>
          <cell r="N845" t="str">
            <v>ULTRAN LASUR</v>
          </cell>
        </row>
        <row r="846">
          <cell r="C846" t="str">
            <v>100001832</v>
          </cell>
          <cell r="D846" t="str">
            <v>EL-501 LS WALNUT BROWN 8106 VN-1L</v>
          </cell>
          <cell r="E846" t="str">
            <v>ZFGD</v>
          </cell>
          <cell r="F846" t="str">
            <v>PC</v>
          </cell>
          <cell r="G846" t="str">
            <v>2</v>
          </cell>
          <cell r="H846" t="str">
            <v>RETAIL</v>
          </cell>
          <cell r="I846" t="str">
            <v>24</v>
          </cell>
          <cell r="J846" t="str">
            <v>WF3</v>
          </cell>
          <cell r="K846" t="str">
            <v>2413</v>
          </cell>
          <cell r="L846" t="str">
            <v>ULTRAN</v>
          </cell>
          <cell r="M846" t="str">
            <v>241304</v>
          </cell>
          <cell r="N846" t="str">
            <v>ULTRAN LASUR</v>
          </cell>
        </row>
        <row r="847">
          <cell r="C847" t="str">
            <v>100001833</v>
          </cell>
          <cell r="D847" t="str">
            <v>EL-501 LS WALNUT BROWN 8106 VN-4L</v>
          </cell>
          <cell r="E847" t="str">
            <v>ZFGD</v>
          </cell>
          <cell r="F847" t="str">
            <v>PC</v>
          </cell>
          <cell r="G847" t="str">
            <v>2</v>
          </cell>
          <cell r="H847" t="str">
            <v>RETAIL</v>
          </cell>
          <cell r="I847" t="str">
            <v>24</v>
          </cell>
          <cell r="J847" t="str">
            <v>WF3</v>
          </cell>
          <cell r="K847" t="str">
            <v>2413</v>
          </cell>
          <cell r="L847" t="str">
            <v>ULTRAN</v>
          </cell>
          <cell r="M847" t="str">
            <v>241304</v>
          </cell>
          <cell r="N847" t="str">
            <v>ULTRAN LASUR</v>
          </cell>
        </row>
        <row r="848">
          <cell r="C848" t="str">
            <v>100001834</v>
          </cell>
          <cell r="D848" t="str">
            <v>EDL-601 TWILIGHT TEAK 8303 VN-1L</v>
          </cell>
          <cell r="E848" t="str">
            <v>ZFGD</v>
          </cell>
          <cell r="F848" t="str">
            <v>PC</v>
          </cell>
          <cell r="G848" t="str">
            <v>2</v>
          </cell>
          <cell r="H848" t="str">
            <v>RETAIL</v>
          </cell>
          <cell r="I848" t="str">
            <v>24</v>
          </cell>
          <cell r="J848" t="str">
            <v>WF3</v>
          </cell>
          <cell r="K848" t="str">
            <v>2413</v>
          </cell>
          <cell r="L848" t="str">
            <v>ULTRAN</v>
          </cell>
          <cell r="M848" t="str">
            <v>241304</v>
          </cell>
          <cell r="N848" t="str">
            <v>ULTRAN LASUR</v>
          </cell>
        </row>
        <row r="849">
          <cell r="C849" t="str">
            <v>100001835</v>
          </cell>
          <cell r="D849" t="str">
            <v>EDL-601 TWILIGHT TEAK 8303 VN-4L</v>
          </cell>
          <cell r="E849" t="str">
            <v>ZFGD</v>
          </cell>
          <cell r="F849" t="str">
            <v>PC</v>
          </cell>
          <cell r="G849" t="str">
            <v>2</v>
          </cell>
          <cell r="H849" t="str">
            <v>RETAIL</v>
          </cell>
          <cell r="I849" t="str">
            <v>24</v>
          </cell>
          <cell r="J849" t="str">
            <v>WF3</v>
          </cell>
          <cell r="K849" t="str">
            <v>2413</v>
          </cell>
          <cell r="L849" t="str">
            <v>ULTRAN</v>
          </cell>
          <cell r="M849" t="str">
            <v>241304</v>
          </cell>
          <cell r="N849" t="str">
            <v>ULTRAN LASUR</v>
          </cell>
        </row>
        <row r="850">
          <cell r="C850" t="str">
            <v>100001836</v>
          </cell>
          <cell r="D850" t="str">
            <v>EDL-601 SUNSET YELLOW 3002 VN-1L</v>
          </cell>
          <cell r="E850" t="str">
            <v>ZFGD</v>
          </cell>
          <cell r="F850" t="str">
            <v>PC</v>
          </cell>
          <cell r="G850" t="str">
            <v>2</v>
          </cell>
          <cell r="H850" t="str">
            <v>RETAIL</v>
          </cell>
          <cell r="I850" t="str">
            <v>24</v>
          </cell>
          <cell r="J850" t="str">
            <v>WF3</v>
          </cell>
          <cell r="K850" t="str">
            <v>2413</v>
          </cell>
          <cell r="L850" t="str">
            <v>ULTRAN</v>
          </cell>
          <cell r="M850" t="str">
            <v>241304</v>
          </cell>
          <cell r="N850" t="str">
            <v>ULTRAN LASUR</v>
          </cell>
        </row>
        <row r="851">
          <cell r="C851" t="str">
            <v>100001837</v>
          </cell>
          <cell r="D851" t="str">
            <v>EDL-601 SUNSET YELLOW 3002 VN-4L</v>
          </cell>
          <cell r="E851" t="str">
            <v>ZFGD</v>
          </cell>
          <cell r="F851" t="str">
            <v>PC</v>
          </cell>
          <cell r="G851" t="str">
            <v>2</v>
          </cell>
          <cell r="H851" t="str">
            <v>RETAIL</v>
          </cell>
          <cell r="I851" t="str">
            <v>24</v>
          </cell>
          <cell r="J851" t="str">
            <v>WF3</v>
          </cell>
          <cell r="K851" t="str">
            <v>2413</v>
          </cell>
          <cell r="L851" t="str">
            <v>ULTRAN</v>
          </cell>
          <cell r="M851" t="str">
            <v>241304</v>
          </cell>
          <cell r="N851" t="str">
            <v>ULTRAN LASUR</v>
          </cell>
        </row>
        <row r="852">
          <cell r="C852" t="str">
            <v>100001838</v>
          </cell>
          <cell r="D852" t="str">
            <v>EDL-601 CARAMEL 8001 VN-1L</v>
          </cell>
          <cell r="E852" t="str">
            <v>ZFGD</v>
          </cell>
          <cell r="F852" t="str">
            <v>PC</v>
          </cell>
          <cell r="G852" t="str">
            <v>2</v>
          </cell>
          <cell r="H852" t="str">
            <v>RETAIL</v>
          </cell>
          <cell r="I852" t="str">
            <v>24</v>
          </cell>
          <cell r="J852" t="str">
            <v>WF3</v>
          </cell>
          <cell r="K852" t="str">
            <v>2413</v>
          </cell>
          <cell r="L852" t="str">
            <v>ULTRAN</v>
          </cell>
          <cell r="M852" t="str">
            <v>241304</v>
          </cell>
          <cell r="N852" t="str">
            <v>ULTRAN LASUR</v>
          </cell>
        </row>
        <row r="853">
          <cell r="C853" t="str">
            <v>100001839</v>
          </cell>
          <cell r="D853" t="str">
            <v>EDL-601 CARAMEL 8001 VN-4L</v>
          </cell>
          <cell r="E853" t="str">
            <v>ZFGD</v>
          </cell>
          <cell r="F853" t="str">
            <v>PC</v>
          </cell>
          <cell r="G853" t="str">
            <v>2</v>
          </cell>
          <cell r="H853" t="str">
            <v>RETAIL</v>
          </cell>
          <cell r="I853" t="str">
            <v>24</v>
          </cell>
          <cell r="J853" t="str">
            <v>WF3</v>
          </cell>
          <cell r="K853" t="str">
            <v>2413</v>
          </cell>
          <cell r="L853" t="str">
            <v>ULTRAN</v>
          </cell>
          <cell r="M853" t="str">
            <v>241304</v>
          </cell>
          <cell r="N853" t="str">
            <v>ULTRAN LASUR</v>
          </cell>
        </row>
        <row r="854">
          <cell r="C854" t="str">
            <v>100001840</v>
          </cell>
          <cell r="D854" t="str">
            <v>EDL-601 NATURAL SATIN 0004 VN-1L</v>
          </cell>
          <cell r="E854" t="str">
            <v>ZFGD</v>
          </cell>
          <cell r="F854" t="str">
            <v>PC</v>
          </cell>
          <cell r="G854" t="str">
            <v>2</v>
          </cell>
          <cell r="H854" t="str">
            <v>RETAIL</v>
          </cell>
          <cell r="I854" t="str">
            <v>24</v>
          </cell>
          <cell r="J854" t="str">
            <v>WF3</v>
          </cell>
          <cell r="K854" t="str">
            <v>2413</v>
          </cell>
          <cell r="L854" t="str">
            <v>ULTRAN</v>
          </cell>
          <cell r="M854" t="str">
            <v>241304</v>
          </cell>
          <cell r="N854" t="str">
            <v>ULTRAN LASUR</v>
          </cell>
        </row>
        <row r="855">
          <cell r="C855" t="str">
            <v>100001841</v>
          </cell>
          <cell r="D855" t="str">
            <v>EDL-601 NATURAL SATIN 0004 VN-4L</v>
          </cell>
          <cell r="E855" t="str">
            <v>ZFGD</v>
          </cell>
          <cell r="F855" t="str">
            <v>PC</v>
          </cell>
          <cell r="G855" t="str">
            <v>2</v>
          </cell>
          <cell r="H855" t="str">
            <v>RETAIL</v>
          </cell>
          <cell r="I855" t="str">
            <v>24</v>
          </cell>
          <cell r="J855" t="str">
            <v>WF3</v>
          </cell>
          <cell r="K855" t="str">
            <v>2413</v>
          </cell>
          <cell r="L855" t="str">
            <v>ULTRAN</v>
          </cell>
          <cell r="M855" t="str">
            <v>241304</v>
          </cell>
          <cell r="N855" t="str">
            <v>ULTRAN LASUR</v>
          </cell>
        </row>
        <row r="856">
          <cell r="C856" t="str">
            <v>100001842</v>
          </cell>
          <cell r="D856" t="str">
            <v>HARDENER PUH-761 DN VN-0.2L</v>
          </cell>
          <cell r="E856" t="str">
            <v>ZFGD</v>
          </cell>
          <cell r="F856" t="str">
            <v>PC</v>
          </cell>
          <cell r="G856" t="str">
            <v>2</v>
          </cell>
          <cell r="H856" t="str">
            <v>RETAIL</v>
          </cell>
          <cell r="I856" t="str">
            <v>22</v>
          </cell>
          <cell r="J856" t="str">
            <v>WF2</v>
          </cell>
          <cell r="K856" t="str">
            <v>2216</v>
          </cell>
          <cell r="L856" t="str">
            <v>PU MULTIPURPOSE</v>
          </cell>
          <cell r="M856" t="str">
            <v>221601</v>
          </cell>
          <cell r="N856" t="str">
            <v>PROPAN MP PU ACR RMX</v>
          </cell>
        </row>
        <row r="857">
          <cell r="C857" t="str">
            <v>100001843</v>
          </cell>
          <cell r="D857" t="str">
            <v>HARDENER PUH-761 DN VN-1L</v>
          </cell>
          <cell r="E857" t="str">
            <v>ZFGD</v>
          </cell>
          <cell r="F857" t="str">
            <v>PC</v>
          </cell>
          <cell r="G857" t="str">
            <v>2</v>
          </cell>
          <cell r="H857" t="str">
            <v>RETAIL</v>
          </cell>
          <cell r="I857" t="str">
            <v>22</v>
          </cell>
          <cell r="J857" t="str">
            <v>WF2</v>
          </cell>
          <cell r="K857" t="str">
            <v>2216</v>
          </cell>
          <cell r="L857" t="str">
            <v>PU MULTIPURPOSE</v>
          </cell>
          <cell r="M857" t="str">
            <v>221601</v>
          </cell>
          <cell r="N857" t="str">
            <v>PROPAN MP PU ACR RMX</v>
          </cell>
        </row>
        <row r="858">
          <cell r="C858" t="str">
            <v>100001844</v>
          </cell>
          <cell r="D858" t="str">
            <v>PUSS-760-2K DN LOT TRONG VN-1LS</v>
          </cell>
          <cell r="E858" t="str">
            <v>ZFGD</v>
          </cell>
          <cell r="F858" t="str">
            <v>SET</v>
          </cell>
          <cell r="G858" t="str">
            <v>2</v>
          </cell>
          <cell r="H858" t="str">
            <v>RETAIL</v>
          </cell>
          <cell r="I858" t="str">
            <v>22</v>
          </cell>
          <cell r="J858" t="str">
            <v>WF2</v>
          </cell>
          <cell r="K858" t="str">
            <v>2216</v>
          </cell>
          <cell r="L858" t="str">
            <v>PU MULTIPURPOSE</v>
          </cell>
          <cell r="M858" t="str">
            <v>221601</v>
          </cell>
          <cell r="N858" t="str">
            <v>PROPAN MP PU ACR RMX</v>
          </cell>
        </row>
        <row r="859">
          <cell r="C859" t="str">
            <v>100001845</v>
          </cell>
          <cell r="D859" t="str">
            <v>PUSS-760-2K DN LOT TRONG VN-0.8L</v>
          </cell>
          <cell r="E859" t="str">
            <v>ZFGD</v>
          </cell>
          <cell r="F859" t="str">
            <v>PC</v>
          </cell>
          <cell r="G859" t="str">
            <v>2</v>
          </cell>
          <cell r="H859" t="str">
            <v>RETAIL</v>
          </cell>
          <cell r="I859" t="str">
            <v>22</v>
          </cell>
          <cell r="J859" t="str">
            <v>WF2</v>
          </cell>
          <cell r="K859" t="str">
            <v>2216</v>
          </cell>
          <cell r="L859" t="str">
            <v>PU MULTIPURPOSE</v>
          </cell>
          <cell r="M859" t="str">
            <v>221601</v>
          </cell>
          <cell r="N859" t="str">
            <v>PROPAN MP PU ACR RMX</v>
          </cell>
        </row>
        <row r="860">
          <cell r="C860" t="str">
            <v>100001846</v>
          </cell>
          <cell r="D860" t="str">
            <v>PUSS-760-2K DN LOT TRONG VN-5LS</v>
          </cell>
          <cell r="E860" t="str">
            <v>ZFGD</v>
          </cell>
          <cell r="F860" t="str">
            <v>SET</v>
          </cell>
          <cell r="G860" t="str">
            <v>2</v>
          </cell>
          <cell r="H860" t="str">
            <v>RETAIL</v>
          </cell>
          <cell r="I860" t="str">
            <v>22</v>
          </cell>
          <cell r="J860" t="str">
            <v>WF2</v>
          </cell>
          <cell r="K860" t="str">
            <v>2216</v>
          </cell>
          <cell r="L860" t="str">
            <v>PU MULTIPURPOSE</v>
          </cell>
          <cell r="M860" t="str">
            <v>221601</v>
          </cell>
          <cell r="N860" t="str">
            <v>PROPAN MP PU ACR RMX</v>
          </cell>
        </row>
        <row r="861">
          <cell r="C861" t="str">
            <v>100001847</v>
          </cell>
          <cell r="D861" t="str">
            <v>PUSS-760-2K DN LOT TRONG VN-4L</v>
          </cell>
          <cell r="E861" t="str">
            <v>ZFGD</v>
          </cell>
          <cell r="F861" t="str">
            <v>PC</v>
          </cell>
          <cell r="G861" t="str">
            <v>2</v>
          </cell>
          <cell r="H861" t="str">
            <v>RETAIL</v>
          </cell>
          <cell r="I861" t="str">
            <v>22</v>
          </cell>
          <cell r="J861" t="str">
            <v>WF2</v>
          </cell>
          <cell r="K861" t="str">
            <v>2216</v>
          </cell>
          <cell r="L861" t="str">
            <v>PU MULTIPURPOSE</v>
          </cell>
          <cell r="M861" t="str">
            <v>221601</v>
          </cell>
          <cell r="N861" t="str">
            <v>PROPAN MP PU ACR RMX</v>
          </cell>
        </row>
        <row r="862">
          <cell r="C862" t="str">
            <v>100001848</v>
          </cell>
          <cell r="D862" t="str">
            <v>PUL-765-2K DN MO 90% VN-1LS</v>
          </cell>
          <cell r="E862" t="str">
            <v>ZFGD</v>
          </cell>
          <cell r="F862" t="str">
            <v>SET</v>
          </cell>
          <cell r="G862" t="str">
            <v>2</v>
          </cell>
          <cell r="H862" t="str">
            <v>RETAIL</v>
          </cell>
          <cell r="I862" t="str">
            <v>22</v>
          </cell>
          <cell r="J862" t="str">
            <v>WF2</v>
          </cell>
          <cell r="K862" t="str">
            <v>2216</v>
          </cell>
          <cell r="L862" t="str">
            <v>PU MULTIPURPOSE</v>
          </cell>
          <cell r="M862" t="str">
            <v>221601</v>
          </cell>
          <cell r="N862" t="str">
            <v>PROPAN MP PU ACR RMX</v>
          </cell>
        </row>
        <row r="863">
          <cell r="C863" t="str">
            <v>100001849</v>
          </cell>
          <cell r="D863" t="str">
            <v>PUL-765-2K DN MO 90% VN-0.8L</v>
          </cell>
          <cell r="E863" t="str">
            <v>ZFGD</v>
          </cell>
          <cell r="F863" t="str">
            <v>PC</v>
          </cell>
          <cell r="G863" t="str">
            <v>2</v>
          </cell>
          <cell r="H863" t="str">
            <v>RETAIL</v>
          </cell>
          <cell r="I863" t="str">
            <v>22</v>
          </cell>
          <cell r="J863" t="str">
            <v>WF2</v>
          </cell>
          <cell r="K863" t="str">
            <v>2216</v>
          </cell>
          <cell r="L863" t="str">
            <v>PU MULTIPURPOSE</v>
          </cell>
          <cell r="M863" t="str">
            <v>221601</v>
          </cell>
          <cell r="N863" t="str">
            <v>PROPAN MP PU ACR RMX</v>
          </cell>
        </row>
        <row r="864">
          <cell r="C864" t="str">
            <v>100001850</v>
          </cell>
          <cell r="D864" t="str">
            <v>PUL-765-2K DN MO 90% VN-5LS</v>
          </cell>
          <cell r="E864" t="str">
            <v>ZFGD</v>
          </cell>
          <cell r="F864" t="str">
            <v>SET</v>
          </cell>
          <cell r="G864" t="str">
            <v>2</v>
          </cell>
          <cell r="H864" t="str">
            <v>RETAIL</v>
          </cell>
          <cell r="I864" t="str">
            <v>22</v>
          </cell>
          <cell r="J864" t="str">
            <v>WF2</v>
          </cell>
          <cell r="K864" t="str">
            <v>2216</v>
          </cell>
          <cell r="L864" t="str">
            <v>PU MULTIPURPOSE</v>
          </cell>
          <cell r="M864" t="str">
            <v>221601</v>
          </cell>
          <cell r="N864" t="str">
            <v>PROPAN MP PU ACR RMX</v>
          </cell>
        </row>
        <row r="865">
          <cell r="C865" t="str">
            <v>100001851</v>
          </cell>
          <cell r="D865" t="str">
            <v>PUL-765-2K DN MO 90% VN-4L</v>
          </cell>
          <cell r="E865" t="str">
            <v>ZFGD</v>
          </cell>
          <cell r="F865" t="str">
            <v>PC</v>
          </cell>
          <cell r="G865" t="str">
            <v>2</v>
          </cell>
          <cell r="H865" t="str">
            <v>RETAIL</v>
          </cell>
          <cell r="I865" t="str">
            <v>22</v>
          </cell>
          <cell r="J865" t="str">
            <v>WF2</v>
          </cell>
          <cell r="K865" t="str">
            <v>2216</v>
          </cell>
          <cell r="L865" t="str">
            <v>PU MULTIPURPOSE</v>
          </cell>
          <cell r="M865" t="str">
            <v>221601</v>
          </cell>
          <cell r="N865" t="str">
            <v>PROPAN MP PU ACR RMX</v>
          </cell>
        </row>
        <row r="866">
          <cell r="C866" t="str">
            <v>100001852</v>
          </cell>
          <cell r="D866" t="str">
            <v>PUL-765-2K DN BONG 100% VN-1LS</v>
          </cell>
          <cell r="E866" t="str">
            <v>ZFGD</v>
          </cell>
          <cell r="F866" t="str">
            <v>SET</v>
          </cell>
          <cell r="G866" t="str">
            <v>2</v>
          </cell>
          <cell r="H866" t="str">
            <v>RETAIL</v>
          </cell>
          <cell r="I866" t="str">
            <v>22</v>
          </cell>
          <cell r="J866" t="str">
            <v>WF2</v>
          </cell>
          <cell r="K866" t="str">
            <v>2216</v>
          </cell>
          <cell r="L866" t="str">
            <v>PU MULTIPURPOSE</v>
          </cell>
          <cell r="M866" t="str">
            <v>221601</v>
          </cell>
          <cell r="N866" t="str">
            <v>PROPAN MP PU ACR RMX</v>
          </cell>
        </row>
        <row r="867">
          <cell r="C867" t="str">
            <v>100001853</v>
          </cell>
          <cell r="D867" t="str">
            <v>PUL-765-2K DN BONG 100% VN-0.8L</v>
          </cell>
          <cell r="E867" t="str">
            <v>ZFGD</v>
          </cell>
          <cell r="F867" t="str">
            <v>PC</v>
          </cell>
          <cell r="G867" t="str">
            <v>2</v>
          </cell>
          <cell r="H867" t="str">
            <v>RETAIL</v>
          </cell>
          <cell r="I867" t="str">
            <v>22</v>
          </cell>
          <cell r="J867" t="str">
            <v>WF2</v>
          </cell>
          <cell r="K867" t="str">
            <v>2216</v>
          </cell>
          <cell r="L867" t="str">
            <v>PU MULTIPURPOSE</v>
          </cell>
          <cell r="M867" t="str">
            <v>221601</v>
          </cell>
          <cell r="N867" t="str">
            <v>PROPAN MP PU ACR RMX</v>
          </cell>
        </row>
        <row r="868">
          <cell r="C868" t="str">
            <v>100001854</v>
          </cell>
          <cell r="D868" t="str">
            <v>PUL-765-2K DN BONG 100% VN-5LS</v>
          </cell>
          <cell r="E868" t="str">
            <v>ZFGD</v>
          </cell>
          <cell r="F868" t="str">
            <v>SET</v>
          </cell>
          <cell r="G868" t="str">
            <v>2</v>
          </cell>
          <cell r="H868" t="str">
            <v>RETAIL</v>
          </cell>
          <cell r="I868" t="str">
            <v>22</v>
          </cell>
          <cell r="J868" t="str">
            <v>WF2</v>
          </cell>
          <cell r="K868" t="str">
            <v>2216</v>
          </cell>
          <cell r="L868" t="str">
            <v>PU MULTIPURPOSE</v>
          </cell>
          <cell r="M868" t="str">
            <v>221601</v>
          </cell>
          <cell r="N868" t="str">
            <v>PROPAN MP PU ACR RMX</v>
          </cell>
        </row>
        <row r="869">
          <cell r="C869" t="str">
            <v>100001855</v>
          </cell>
          <cell r="D869" t="str">
            <v>PUL-765-2K DN BONG 100% VN-4L</v>
          </cell>
          <cell r="E869" t="str">
            <v>ZFGD</v>
          </cell>
          <cell r="F869" t="str">
            <v>PC</v>
          </cell>
          <cell r="G869" t="str">
            <v>2</v>
          </cell>
          <cell r="H869" t="str">
            <v>RETAIL</v>
          </cell>
          <cell r="I869" t="str">
            <v>22</v>
          </cell>
          <cell r="J869" t="str">
            <v>WF2</v>
          </cell>
          <cell r="K869" t="str">
            <v>2216</v>
          </cell>
          <cell r="L869" t="str">
            <v>PU MULTIPURPOSE</v>
          </cell>
          <cell r="M869" t="str">
            <v>221601</v>
          </cell>
          <cell r="N869" t="str">
            <v>PROPAN MP PU ACR RMX</v>
          </cell>
        </row>
        <row r="870">
          <cell r="C870" t="str">
            <v>100001856</v>
          </cell>
          <cell r="D870" t="str">
            <v>PUL-765-2K DN MO 70% VN-1LS</v>
          </cell>
          <cell r="E870" t="str">
            <v>ZFGD</v>
          </cell>
          <cell r="F870" t="str">
            <v>SET</v>
          </cell>
          <cell r="G870" t="str">
            <v>2</v>
          </cell>
          <cell r="H870" t="str">
            <v>RETAIL</v>
          </cell>
          <cell r="I870" t="str">
            <v>22</v>
          </cell>
          <cell r="J870" t="str">
            <v>WF2</v>
          </cell>
          <cell r="K870" t="str">
            <v>2216</v>
          </cell>
          <cell r="L870" t="str">
            <v>PU MULTIPURPOSE</v>
          </cell>
          <cell r="M870" t="str">
            <v>221601</v>
          </cell>
          <cell r="N870" t="str">
            <v>PROPAN MP PU ACR RMX</v>
          </cell>
        </row>
        <row r="871">
          <cell r="C871" t="str">
            <v>100001857</v>
          </cell>
          <cell r="D871" t="str">
            <v>PUL-765-2K DN MO 70% VN-0.8L</v>
          </cell>
          <cell r="E871" t="str">
            <v>ZFGD</v>
          </cell>
          <cell r="F871" t="str">
            <v>PC</v>
          </cell>
          <cell r="G871" t="str">
            <v>2</v>
          </cell>
          <cell r="H871" t="str">
            <v>RETAIL</v>
          </cell>
          <cell r="I871" t="str">
            <v>22</v>
          </cell>
          <cell r="J871" t="str">
            <v>WF2</v>
          </cell>
          <cell r="K871" t="str">
            <v>2216</v>
          </cell>
          <cell r="L871" t="str">
            <v>PU MULTIPURPOSE</v>
          </cell>
          <cell r="M871" t="str">
            <v>221601</v>
          </cell>
          <cell r="N871" t="str">
            <v>PROPAN MP PU ACR RMX</v>
          </cell>
        </row>
        <row r="872">
          <cell r="C872" t="str">
            <v>100001858</v>
          </cell>
          <cell r="D872" t="str">
            <v>PUL-765-2K DN MO 70% VN-5LS</v>
          </cell>
          <cell r="E872" t="str">
            <v>ZFGD</v>
          </cell>
          <cell r="F872" t="str">
            <v>SET</v>
          </cell>
          <cell r="G872" t="str">
            <v>2</v>
          </cell>
          <cell r="H872" t="str">
            <v>RETAIL</v>
          </cell>
          <cell r="I872" t="str">
            <v>22</v>
          </cell>
          <cell r="J872" t="str">
            <v>WF2</v>
          </cell>
          <cell r="K872" t="str">
            <v>2216</v>
          </cell>
          <cell r="L872" t="str">
            <v>PU MULTIPURPOSE</v>
          </cell>
          <cell r="M872" t="str">
            <v>221601</v>
          </cell>
          <cell r="N872" t="str">
            <v>PROPAN MP PU ACR RMX</v>
          </cell>
        </row>
        <row r="873">
          <cell r="C873" t="str">
            <v>100001859</v>
          </cell>
          <cell r="D873" t="str">
            <v>PUL-765-2K DN MO 70% VN-4L</v>
          </cell>
          <cell r="E873" t="str">
            <v>ZFGD</v>
          </cell>
          <cell r="F873" t="str">
            <v>PC</v>
          </cell>
          <cell r="G873" t="str">
            <v>2</v>
          </cell>
          <cell r="H873" t="str">
            <v>RETAIL</v>
          </cell>
          <cell r="I873" t="str">
            <v>22</v>
          </cell>
          <cell r="J873" t="str">
            <v>WF2</v>
          </cell>
          <cell r="K873" t="str">
            <v>2216</v>
          </cell>
          <cell r="L873" t="str">
            <v>PU MULTIPURPOSE</v>
          </cell>
          <cell r="M873" t="str">
            <v>221601</v>
          </cell>
          <cell r="N873" t="str">
            <v>PROPAN MP PU ACR RMX</v>
          </cell>
        </row>
        <row r="874">
          <cell r="C874" t="str">
            <v>100001860</v>
          </cell>
          <cell r="D874" t="str">
            <v>PUSF-781-2K DN LOT TRANG VN-1LS</v>
          </cell>
          <cell r="E874" t="str">
            <v>ZFGD</v>
          </cell>
          <cell r="F874" t="str">
            <v>SET</v>
          </cell>
          <cell r="G874" t="str">
            <v>2</v>
          </cell>
          <cell r="H874" t="str">
            <v>RETAIL</v>
          </cell>
          <cell r="I874" t="str">
            <v>22</v>
          </cell>
          <cell r="J874" t="str">
            <v>WF2</v>
          </cell>
          <cell r="K874" t="str">
            <v>2216</v>
          </cell>
          <cell r="L874" t="str">
            <v>PU MULTIPURPOSE</v>
          </cell>
          <cell r="M874" t="str">
            <v>221601</v>
          </cell>
          <cell r="N874" t="str">
            <v>PROPAN MP PU ACR RMX</v>
          </cell>
        </row>
        <row r="875">
          <cell r="C875" t="str">
            <v>100001861</v>
          </cell>
          <cell r="D875" t="str">
            <v>PUSF-781-2K DN LOT TRANG VN-0.8L</v>
          </cell>
          <cell r="E875" t="str">
            <v>ZFGD</v>
          </cell>
          <cell r="F875" t="str">
            <v>PC</v>
          </cell>
          <cell r="G875" t="str">
            <v>2</v>
          </cell>
          <cell r="H875" t="str">
            <v>RETAIL</v>
          </cell>
          <cell r="I875" t="str">
            <v>22</v>
          </cell>
          <cell r="J875" t="str">
            <v>WF2</v>
          </cell>
          <cell r="K875" t="str">
            <v>2216</v>
          </cell>
          <cell r="L875" t="str">
            <v>PU MULTIPURPOSE</v>
          </cell>
          <cell r="M875" t="str">
            <v>221601</v>
          </cell>
          <cell r="N875" t="str">
            <v>PROPAN MP PU ACR RMX</v>
          </cell>
        </row>
        <row r="876">
          <cell r="C876" t="str">
            <v>100001862</v>
          </cell>
          <cell r="D876" t="str">
            <v>PUSF-781-2K DN LOT TRANG VN-5LS</v>
          </cell>
          <cell r="E876" t="str">
            <v>ZFGD</v>
          </cell>
          <cell r="F876" t="str">
            <v>SET</v>
          </cell>
          <cell r="G876" t="str">
            <v>2</v>
          </cell>
          <cell r="H876" t="str">
            <v>RETAIL</v>
          </cell>
          <cell r="I876" t="str">
            <v>22</v>
          </cell>
          <cell r="J876" t="str">
            <v>WF2</v>
          </cell>
          <cell r="K876" t="str">
            <v>2216</v>
          </cell>
          <cell r="L876" t="str">
            <v>PU MULTIPURPOSE</v>
          </cell>
          <cell r="M876" t="str">
            <v>221601</v>
          </cell>
          <cell r="N876" t="str">
            <v>PROPAN MP PU ACR RMX</v>
          </cell>
        </row>
        <row r="877">
          <cell r="C877" t="str">
            <v>100001863</v>
          </cell>
          <cell r="D877" t="str">
            <v>PUSF-781-2K DN LOT TRANG VN-4L</v>
          </cell>
          <cell r="E877" t="str">
            <v>ZFGD</v>
          </cell>
          <cell r="F877" t="str">
            <v>PC</v>
          </cell>
          <cell r="G877" t="str">
            <v>2</v>
          </cell>
          <cell r="H877" t="str">
            <v>RETAIL</v>
          </cell>
          <cell r="I877" t="str">
            <v>22</v>
          </cell>
          <cell r="J877" t="str">
            <v>WF2</v>
          </cell>
          <cell r="K877" t="str">
            <v>2216</v>
          </cell>
          <cell r="L877" t="str">
            <v>PU MULTIPURPOSE</v>
          </cell>
          <cell r="M877" t="str">
            <v>221601</v>
          </cell>
          <cell r="N877" t="str">
            <v>PROPAN MP PU ACR RMX</v>
          </cell>
        </row>
        <row r="878">
          <cell r="C878" t="str">
            <v>100001864</v>
          </cell>
          <cell r="D878" t="str">
            <v>PUC-786-2K DN DEN BONG SK012 VN-1LS</v>
          </cell>
          <cell r="E878" t="str">
            <v>ZFGD</v>
          </cell>
          <cell r="F878" t="str">
            <v>SET</v>
          </cell>
          <cell r="G878" t="str">
            <v>2</v>
          </cell>
          <cell r="H878" t="str">
            <v>RETAIL</v>
          </cell>
          <cell r="I878" t="str">
            <v>22</v>
          </cell>
          <cell r="J878" t="str">
            <v>WF2</v>
          </cell>
          <cell r="K878" t="str">
            <v>2216</v>
          </cell>
          <cell r="L878" t="str">
            <v>PU MULTIPURPOSE</v>
          </cell>
          <cell r="M878" t="str">
            <v>221601</v>
          </cell>
          <cell r="N878" t="str">
            <v>PROPAN MP PU ACR RMX</v>
          </cell>
        </row>
        <row r="879">
          <cell r="C879" t="str">
            <v>100001865</v>
          </cell>
          <cell r="D879" t="str">
            <v>PUC-786-2K DN DEN BONG SK012 VN-0.8L</v>
          </cell>
          <cell r="E879" t="str">
            <v>ZFGD</v>
          </cell>
          <cell r="F879" t="str">
            <v>PC</v>
          </cell>
          <cell r="G879" t="str">
            <v>2</v>
          </cell>
          <cell r="H879" t="str">
            <v>RETAIL</v>
          </cell>
          <cell r="I879" t="str">
            <v>22</v>
          </cell>
          <cell r="J879" t="str">
            <v>WF2</v>
          </cell>
          <cell r="K879" t="str">
            <v>2216</v>
          </cell>
          <cell r="L879" t="str">
            <v>PU MULTIPURPOSE</v>
          </cell>
          <cell r="M879" t="str">
            <v>221601</v>
          </cell>
          <cell r="N879" t="str">
            <v>PROPAN MP PU ACR RMX</v>
          </cell>
        </row>
        <row r="880">
          <cell r="C880" t="str">
            <v>100001866</v>
          </cell>
          <cell r="D880" t="str">
            <v>PUC-786-2K DN DEN BONG SK012 VN-5LS</v>
          </cell>
          <cell r="E880" t="str">
            <v>ZFGD</v>
          </cell>
          <cell r="F880" t="str">
            <v>SET</v>
          </cell>
          <cell r="G880" t="str">
            <v>2</v>
          </cell>
          <cell r="H880" t="str">
            <v>RETAIL</v>
          </cell>
          <cell r="I880" t="str">
            <v>22</v>
          </cell>
          <cell r="J880" t="str">
            <v>WF2</v>
          </cell>
          <cell r="K880" t="str">
            <v>2216</v>
          </cell>
          <cell r="L880" t="str">
            <v>PU MULTIPURPOSE</v>
          </cell>
          <cell r="M880" t="str">
            <v>221601</v>
          </cell>
          <cell r="N880" t="str">
            <v>PROPAN MP PU ACR RMX</v>
          </cell>
        </row>
        <row r="881">
          <cell r="C881" t="str">
            <v>100001867</v>
          </cell>
          <cell r="D881" t="str">
            <v>PUC-786-2K DN DEN BONG SK012 VN-4L</v>
          </cell>
          <cell r="E881" t="str">
            <v>ZFGD</v>
          </cell>
          <cell r="F881" t="str">
            <v>PC</v>
          </cell>
          <cell r="G881" t="str">
            <v>2</v>
          </cell>
          <cell r="H881" t="str">
            <v>RETAIL</v>
          </cell>
          <cell r="I881" t="str">
            <v>22</v>
          </cell>
          <cell r="J881" t="str">
            <v>WF2</v>
          </cell>
          <cell r="K881" t="str">
            <v>2216</v>
          </cell>
          <cell r="L881" t="str">
            <v>PU MULTIPURPOSE</v>
          </cell>
          <cell r="M881" t="str">
            <v>221601</v>
          </cell>
          <cell r="N881" t="str">
            <v>PROPAN MP PU ACR RMX</v>
          </cell>
        </row>
        <row r="882">
          <cell r="C882" t="str">
            <v>100001868</v>
          </cell>
          <cell r="D882" t="str">
            <v>PUC-786-2K DN DO SK001 VN-1LS</v>
          </cell>
          <cell r="E882" t="str">
            <v>ZFGD</v>
          </cell>
          <cell r="F882" t="str">
            <v>SET</v>
          </cell>
          <cell r="G882" t="str">
            <v>2</v>
          </cell>
          <cell r="H882" t="str">
            <v>RETAIL</v>
          </cell>
          <cell r="I882" t="str">
            <v>22</v>
          </cell>
          <cell r="J882" t="str">
            <v>WF2</v>
          </cell>
          <cell r="K882" t="str">
            <v>2216</v>
          </cell>
          <cell r="L882" t="str">
            <v>PU MULTIPURPOSE</v>
          </cell>
          <cell r="M882" t="str">
            <v>221601</v>
          </cell>
          <cell r="N882" t="str">
            <v>PROPAN MP PU ACR RMX</v>
          </cell>
        </row>
        <row r="883">
          <cell r="C883" t="str">
            <v>100001869</v>
          </cell>
          <cell r="D883" t="str">
            <v>PUC-786-2K DN DO SK001 VN-0.8L</v>
          </cell>
          <cell r="E883" t="str">
            <v>ZFGD</v>
          </cell>
          <cell r="F883" t="str">
            <v>PC</v>
          </cell>
          <cell r="G883" t="str">
            <v>2</v>
          </cell>
          <cell r="H883" t="str">
            <v>RETAIL</v>
          </cell>
          <cell r="I883" t="str">
            <v>22</v>
          </cell>
          <cell r="J883" t="str">
            <v>WF2</v>
          </cell>
          <cell r="K883" t="str">
            <v>2216</v>
          </cell>
          <cell r="L883" t="str">
            <v>PU MULTIPURPOSE</v>
          </cell>
          <cell r="M883" t="str">
            <v>221601</v>
          </cell>
          <cell r="N883" t="str">
            <v>PROPAN MP PU ACR RMX</v>
          </cell>
        </row>
        <row r="884">
          <cell r="C884" t="str">
            <v>100001870</v>
          </cell>
          <cell r="D884" t="str">
            <v>PUC-786-2K DN DO SK001 VN-5LS</v>
          </cell>
          <cell r="E884" t="str">
            <v>ZFGD</v>
          </cell>
          <cell r="F884" t="str">
            <v>SET</v>
          </cell>
          <cell r="G884" t="str">
            <v>2</v>
          </cell>
          <cell r="H884" t="str">
            <v>RETAIL</v>
          </cell>
          <cell r="I884" t="str">
            <v>22</v>
          </cell>
          <cell r="J884" t="str">
            <v>WF2</v>
          </cell>
          <cell r="K884" t="str">
            <v>2216</v>
          </cell>
          <cell r="L884" t="str">
            <v>PU MULTIPURPOSE</v>
          </cell>
          <cell r="M884" t="str">
            <v>221601</v>
          </cell>
          <cell r="N884" t="str">
            <v>PROPAN MP PU ACR RMX</v>
          </cell>
        </row>
        <row r="885">
          <cell r="C885" t="str">
            <v>100001871</v>
          </cell>
          <cell r="D885" t="str">
            <v>PUC-786-2K DN DO SK001 VN-4L</v>
          </cell>
          <cell r="E885" t="str">
            <v>ZFGD</v>
          </cell>
          <cell r="F885" t="str">
            <v>PC</v>
          </cell>
          <cell r="G885" t="str">
            <v>2</v>
          </cell>
          <cell r="H885" t="str">
            <v>RETAIL</v>
          </cell>
          <cell r="I885" t="str">
            <v>22</v>
          </cell>
          <cell r="J885" t="str">
            <v>WF2</v>
          </cell>
          <cell r="K885" t="str">
            <v>2216</v>
          </cell>
          <cell r="L885" t="str">
            <v>PU MULTIPURPOSE</v>
          </cell>
          <cell r="M885" t="str">
            <v>221601</v>
          </cell>
          <cell r="N885" t="str">
            <v>PROPAN MP PU ACR RMX</v>
          </cell>
        </row>
        <row r="886">
          <cell r="C886" t="str">
            <v>100001872</v>
          </cell>
          <cell r="D886" t="str">
            <v>PUC-786-2K DN XAM NHAT SK011 VN-1LS</v>
          </cell>
          <cell r="E886" t="str">
            <v>ZFGD</v>
          </cell>
          <cell r="F886" t="str">
            <v>SET</v>
          </cell>
          <cell r="G886" t="str">
            <v>2</v>
          </cell>
          <cell r="H886" t="str">
            <v>RETAIL</v>
          </cell>
          <cell r="I886" t="str">
            <v>22</v>
          </cell>
          <cell r="J886" t="str">
            <v>WF2</v>
          </cell>
          <cell r="K886" t="str">
            <v>2216</v>
          </cell>
          <cell r="L886" t="str">
            <v>PU MULTIPURPOSE</v>
          </cell>
          <cell r="M886" t="str">
            <v>221601</v>
          </cell>
          <cell r="N886" t="str">
            <v>PROPAN MP PU ACR RMX</v>
          </cell>
        </row>
        <row r="887">
          <cell r="C887" t="str">
            <v>100001873</v>
          </cell>
          <cell r="D887" t="str">
            <v>PUC-786-2K DN XAM NHAT SK011 VN-0.8L</v>
          </cell>
          <cell r="E887" t="str">
            <v>ZFGD</v>
          </cell>
          <cell r="F887" t="str">
            <v>PC</v>
          </cell>
          <cell r="G887" t="str">
            <v>2</v>
          </cell>
          <cell r="H887" t="str">
            <v>RETAIL</v>
          </cell>
          <cell r="I887" t="str">
            <v>22</v>
          </cell>
          <cell r="J887" t="str">
            <v>WF2</v>
          </cell>
          <cell r="K887" t="str">
            <v>2216</v>
          </cell>
          <cell r="L887" t="str">
            <v>PU MULTIPURPOSE</v>
          </cell>
          <cell r="M887" t="str">
            <v>221601</v>
          </cell>
          <cell r="N887" t="str">
            <v>PROPAN MP PU ACR RMX</v>
          </cell>
        </row>
        <row r="888">
          <cell r="C888" t="str">
            <v>100001874</v>
          </cell>
          <cell r="D888" t="str">
            <v>PUC-786-2K DN XAM NHAT SK011 VN-5LS</v>
          </cell>
          <cell r="E888" t="str">
            <v>ZFGD</v>
          </cell>
          <cell r="F888" t="str">
            <v>SET</v>
          </cell>
          <cell r="G888" t="str">
            <v>2</v>
          </cell>
          <cell r="H888" t="str">
            <v>RETAIL</v>
          </cell>
          <cell r="I888" t="str">
            <v>22</v>
          </cell>
          <cell r="J888" t="str">
            <v>WF2</v>
          </cell>
          <cell r="K888" t="str">
            <v>2216</v>
          </cell>
          <cell r="L888" t="str">
            <v>PU MULTIPURPOSE</v>
          </cell>
          <cell r="M888" t="str">
            <v>221601</v>
          </cell>
          <cell r="N888" t="str">
            <v>PROPAN MP PU ACR RMX</v>
          </cell>
        </row>
        <row r="889">
          <cell r="C889" t="str">
            <v>100001875</v>
          </cell>
          <cell r="D889" t="str">
            <v>PUC-786-2K DN XAM NHAT SK011 VN-4L</v>
          </cell>
          <cell r="E889" t="str">
            <v>ZFGD</v>
          </cell>
          <cell r="F889" t="str">
            <v>PC</v>
          </cell>
          <cell r="G889" t="str">
            <v>2</v>
          </cell>
          <cell r="H889" t="str">
            <v>RETAIL</v>
          </cell>
          <cell r="I889" t="str">
            <v>22</v>
          </cell>
          <cell r="J889" t="str">
            <v>WF2</v>
          </cell>
          <cell r="K889" t="str">
            <v>2216</v>
          </cell>
          <cell r="L889" t="str">
            <v>PU MULTIPURPOSE</v>
          </cell>
          <cell r="M889" t="str">
            <v>221601</v>
          </cell>
          <cell r="N889" t="str">
            <v>PROPAN MP PU ACR RMX</v>
          </cell>
        </row>
        <row r="890">
          <cell r="C890" t="str">
            <v>100001876</v>
          </cell>
          <cell r="D890" t="str">
            <v>PUC-786-2K DN XANH CHUOI SK005 VN-1LS</v>
          </cell>
          <cell r="E890" t="str">
            <v>ZFGD</v>
          </cell>
          <cell r="F890" t="str">
            <v>SET</v>
          </cell>
          <cell r="G890" t="str">
            <v>2</v>
          </cell>
          <cell r="H890" t="str">
            <v>RETAIL</v>
          </cell>
          <cell r="I890" t="str">
            <v>22</v>
          </cell>
          <cell r="J890" t="str">
            <v>WF2</v>
          </cell>
          <cell r="K890" t="str">
            <v>2216</v>
          </cell>
          <cell r="L890" t="str">
            <v>PU MULTIPURPOSE</v>
          </cell>
          <cell r="M890" t="str">
            <v>221601</v>
          </cell>
          <cell r="N890" t="str">
            <v>PROPAN MP PU ACR RMX</v>
          </cell>
        </row>
        <row r="891">
          <cell r="C891" t="str">
            <v>100001877</v>
          </cell>
          <cell r="D891" t="str">
            <v>PUC-786-2K DN XANH CHUOI SK005 VN-0.8L</v>
          </cell>
          <cell r="E891" t="str">
            <v>ZFGD</v>
          </cell>
          <cell r="F891" t="str">
            <v>PC</v>
          </cell>
          <cell r="G891" t="str">
            <v>2</v>
          </cell>
          <cell r="H891" t="str">
            <v>RETAIL</v>
          </cell>
          <cell r="I891" t="str">
            <v>22</v>
          </cell>
          <cell r="J891" t="str">
            <v>WF2</v>
          </cell>
          <cell r="K891" t="str">
            <v>2216</v>
          </cell>
          <cell r="L891" t="str">
            <v>PU MULTIPURPOSE</v>
          </cell>
          <cell r="M891" t="str">
            <v>221601</v>
          </cell>
          <cell r="N891" t="str">
            <v>PROPAN MP PU ACR RMX</v>
          </cell>
        </row>
        <row r="892">
          <cell r="C892" t="str">
            <v>100001878</v>
          </cell>
          <cell r="D892" t="str">
            <v>PUC-786-2K DN XANH CHUOI SK005 VN-5LS</v>
          </cell>
          <cell r="E892" t="str">
            <v>ZFGD</v>
          </cell>
          <cell r="F892" t="str">
            <v>SET</v>
          </cell>
          <cell r="G892" t="str">
            <v>2</v>
          </cell>
          <cell r="H892" t="str">
            <v>RETAIL</v>
          </cell>
          <cell r="I892" t="str">
            <v>22</v>
          </cell>
          <cell r="J892" t="str">
            <v>WF2</v>
          </cell>
          <cell r="K892" t="str">
            <v>2216</v>
          </cell>
          <cell r="L892" t="str">
            <v>PU MULTIPURPOSE</v>
          </cell>
          <cell r="M892" t="str">
            <v>221601</v>
          </cell>
          <cell r="N892" t="str">
            <v>PROPAN MP PU ACR RMX</v>
          </cell>
        </row>
        <row r="893">
          <cell r="C893" t="str">
            <v>100001879</v>
          </cell>
          <cell r="D893" t="str">
            <v>PUC-786-2K DN XANH CHUOI SK005 VN-4L</v>
          </cell>
          <cell r="E893" t="str">
            <v>ZFGD</v>
          </cell>
          <cell r="F893" t="str">
            <v>PC</v>
          </cell>
          <cell r="G893" t="str">
            <v>2</v>
          </cell>
          <cell r="H893" t="str">
            <v>RETAIL</v>
          </cell>
          <cell r="I893" t="str">
            <v>22</v>
          </cell>
          <cell r="J893" t="str">
            <v>WF2</v>
          </cell>
          <cell r="K893" t="str">
            <v>2216</v>
          </cell>
          <cell r="L893" t="str">
            <v>PU MULTIPURPOSE</v>
          </cell>
          <cell r="M893" t="str">
            <v>221601</v>
          </cell>
          <cell r="N893" t="str">
            <v>PROPAN MP PU ACR RMX</v>
          </cell>
        </row>
        <row r="894">
          <cell r="C894" t="str">
            <v>100001880</v>
          </cell>
          <cell r="D894" t="str">
            <v>PUC-786-2K DN VANG CHANH SK003 VN-1LS</v>
          </cell>
          <cell r="E894" t="str">
            <v>ZFGD</v>
          </cell>
          <cell r="F894" t="str">
            <v>SET</v>
          </cell>
          <cell r="G894" t="str">
            <v>2</v>
          </cell>
          <cell r="H894" t="str">
            <v>RETAIL</v>
          </cell>
          <cell r="I894" t="str">
            <v>22</v>
          </cell>
          <cell r="J894" t="str">
            <v>WF2</v>
          </cell>
          <cell r="K894" t="str">
            <v>2216</v>
          </cell>
          <cell r="L894" t="str">
            <v>PU MULTIPURPOSE</v>
          </cell>
          <cell r="M894" t="str">
            <v>221601</v>
          </cell>
          <cell r="N894" t="str">
            <v>PROPAN MP PU ACR RMX</v>
          </cell>
        </row>
        <row r="895">
          <cell r="C895" t="str">
            <v>100001881</v>
          </cell>
          <cell r="D895" t="str">
            <v>PUC-786-2K DN VANG CHANH SK003 VN-0.8L</v>
          </cell>
          <cell r="E895" t="str">
            <v>ZFGD</v>
          </cell>
          <cell r="F895" t="str">
            <v>PC</v>
          </cell>
          <cell r="G895" t="str">
            <v>2</v>
          </cell>
          <cell r="H895" t="str">
            <v>RETAIL</v>
          </cell>
          <cell r="I895" t="str">
            <v>22</v>
          </cell>
          <cell r="J895" t="str">
            <v>WF2</v>
          </cell>
          <cell r="K895" t="str">
            <v>2216</v>
          </cell>
          <cell r="L895" t="str">
            <v>PU MULTIPURPOSE</v>
          </cell>
          <cell r="M895" t="str">
            <v>221601</v>
          </cell>
          <cell r="N895" t="str">
            <v>PROPAN MP PU ACR RMX</v>
          </cell>
        </row>
        <row r="896">
          <cell r="C896" t="str">
            <v>100001882</v>
          </cell>
          <cell r="D896" t="str">
            <v>PUC-786-2K DN VANG CHANH SK003 VN-5LS</v>
          </cell>
          <cell r="E896" t="str">
            <v>ZFGD</v>
          </cell>
          <cell r="F896" t="str">
            <v>SET</v>
          </cell>
          <cell r="G896" t="str">
            <v>2</v>
          </cell>
          <cell r="H896" t="str">
            <v>RETAIL</v>
          </cell>
          <cell r="I896" t="str">
            <v>22</v>
          </cell>
          <cell r="J896" t="str">
            <v>WF2</v>
          </cell>
          <cell r="K896" t="str">
            <v>2216</v>
          </cell>
          <cell r="L896" t="str">
            <v>PU MULTIPURPOSE</v>
          </cell>
          <cell r="M896" t="str">
            <v>221601</v>
          </cell>
          <cell r="N896" t="str">
            <v>PROPAN MP PU ACR RMX</v>
          </cell>
        </row>
        <row r="897">
          <cell r="C897" t="str">
            <v>100001883</v>
          </cell>
          <cell r="D897" t="str">
            <v>PUC-786-2K DN VANG CHANH SK003 VN-4L</v>
          </cell>
          <cell r="E897" t="str">
            <v>ZFGD</v>
          </cell>
          <cell r="F897" t="str">
            <v>PC</v>
          </cell>
          <cell r="G897" t="str">
            <v>2</v>
          </cell>
          <cell r="H897" t="str">
            <v>RETAIL</v>
          </cell>
          <cell r="I897" t="str">
            <v>22</v>
          </cell>
          <cell r="J897" t="str">
            <v>WF2</v>
          </cell>
          <cell r="K897" t="str">
            <v>2216</v>
          </cell>
          <cell r="L897" t="str">
            <v>PU MULTIPURPOSE</v>
          </cell>
          <cell r="M897" t="str">
            <v>221601</v>
          </cell>
          <cell r="N897" t="str">
            <v>PROPAN MP PU ACR RMX</v>
          </cell>
        </row>
        <row r="898">
          <cell r="C898" t="str">
            <v>100001884</v>
          </cell>
          <cell r="D898" t="str">
            <v>PUC-786-2K DN XANH DAM SK009 VN-1LS</v>
          </cell>
          <cell r="E898" t="str">
            <v>ZFGD</v>
          </cell>
          <cell r="F898" t="str">
            <v>SET</v>
          </cell>
          <cell r="G898" t="str">
            <v>2</v>
          </cell>
          <cell r="H898" t="str">
            <v>RETAIL</v>
          </cell>
          <cell r="I898" t="str">
            <v>22</v>
          </cell>
          <cell r="J898" t="str">
            <v>WF2</v>
          </cell>
          <cell r="K898" t="str">
            <v>2216</v>
          </cell>
          <cell r="L898" t="str">
            <v>PU MULTIPURPOSE</v>
          </cell>
          <cell r="M898" t="str">
            <v>221601</v>
          </cell>
          <cell r="N898" t="str">
            <v>PROPAN MP PU ACR RMX</v>
          </cell>
        </row>
        <row r="899">
          <cell r="C899" t="str">
            <v>100001885</v>
          </cell>
          <cell r="D899" t="str">
            <v>PUC-786-2K DN XANH DAM SK009 VN-0.8L</v>
          </cell>
          <cell r="E899" t="str">
            <v>ZFGD</v>
          </cell>
          <cell r="F899" t="str">
            <v>PC</v>
          </cell>
          <cell r="G899" t="str">
            <v>2</v>
          </cell>
          <cell r="H899" t="str">
            <v>RETAIL</v>
          </cell>
          <cell r="I899" t="str">
            <v>22</v>
          </cell>
          <cell r="J899" t="str">
            <v>WF2</v>
          </cell>
          <cell r="K899" t="str">
            <v>2216</v>
          </cell>
          <cell r="L899" t="str">
            <v>PU MULTIPURPOSE</v>
          </cell>
          <cell r="M899" t="str">
            <v>221601</v>
          </cell>
          <cell r="N899" t="str">
            <v>PROPAN MP PU ACR RMX</v>
          </cell>
        </row>
        <row r="900">
          <cell r="C900" t="str">
            <v>100001886</v>
          </cell>
          <cell r="D900" t="str">
            <v>PUC-786-2K DN XANH DAM SK009 VN-5LS</v>
          </cell>
          <cell r="E900" t="str">
            <v>ZFGD</v>
          </cell>
          <cell r="F900" t="str">
            <v>SET</v>
          </cell>
          <cell r="G900" t="str">
            <v>2</v>
          </cell>
          <cell r="H900" t="str">
            <v>RETAIL</v>
          </cell>
          <cell r="I900" t="str">
            <v>22</v>
          </cell>
          <cell r="J900" t="str">
            <v>WF2</v>
          </cell>
          <cell r="K900" t="str">
            <v>2216</v>
          </cell>
          <cell r="L900" t="str">
            <v>PU MULTIPURPOSE</v>
          </cell>
          <cell r="M900" t="str">
            <v>221601</v>
          </cell>
          <cell r="N900" t="str">
            <v>PROPAN MP PU ACR RMX</v>
          </cell>
        </row>
        <row r="901">
          <cell r="C901" t="str">
            <v>100001887</v>
          </cell>
          <cell r="D901" t="str">
            <v>PUC-786-2K DN XANH DAM SK009 VN-4L</v>
          </cell>
          <cell r="E901" t="str">
            <v>ZFGD</v>
          </cell>
          <cell r="F901" t="str">
            <v>PC</v>
          </cell>
          <cell r="G901" t="str">
            <v>2</v>
          </cell>
          <cell r="H901" t="str">
            <v>RETAIL</v>
          </cell>
          <cell r="I901" t="str">
            <v>22</v>
          </cell>
          <cell r="J901" t="str">
            <v>WF2</v>
          </cell>
          <cell r="K901" t="str">
            <v>2216</v>
          </cell>
          <cell r="L901" t="str">
            <v>PU MULTIPURPOSE</v>
          </cell>
          <cell r="M901" t="str">
            <v>221601</v>
          </cell>
          <cell r="N901" t="str">
            <v>PROPAN MP PU ACR RMX</v>
          </cell>
        </row>
        <row r="902">
          <cell r="C902" t="str">
            <v>100001888</v>
          </cell>
          <cell r="D902" t="str">
            <v>PUC-786-2K DN TRANG BONG SK006 VN-1LS</v>
          </cell>
          <cell r="E902" t="str">
            <v>ZFGD</v>
          </cell>
          <cell r="F902" t="str">
            <v>SET</v>
          </cell>
          <cell r="G902" t="str">
            <v>2</v>
          </cell>
          <cell r="H902" t="str">
            <v>RETAIL</v>
          </cell>
          <cell r="I902" t="str">
            <v>22</v>
          </cell>
          <cell r="J902" t="str">
            <v>WF2</v>
          </cell>
          <cell r="K902" t="str">
            <v>2216</v>
          </cell>
          <cell r="L902" t="str">
            <v>PU MULTIPURPOSE</v>
          </cell>
          <cell r="M902" t="str">
            <v>221601</v>
          </cell>
          <cell r="N902" t="str">
            <v>PROPAN MP PU ACR RMX</v>
          </cell>
        </row>
        <row r="903">
          <cell r="C903" t="str">
            <v>100001889</v>
          </cell>
          <cell r="D903" t="str">
            <v>PUC-786-2K DN TRANG BONG SK006 VN-0.8L</v>
          </cell>
          <cell r="E903" t="str">
            <v>ZFGD</v>
          </cell>
          <cell r="F903" t="str">
            <v>PC</v>
          </cell>
          <cell r="G903" t="str">
            <v>2</v>
          </cell>
          <cell r="H903" t="str">
            <v>RETAIL</v>
          </cell>
          <cell r="I903" t="str">
            <v>22</v>
          </cell>
          <cell r="J903" t="str">
            <v>WF2</v>
          </cell>
          <cell r="K903" t="str">
            <v>2216</v>
          </cell>
          <cell r="L903" t="str">
            <v>PU MULTIPURPOSE</v>
          </cell>
          <cell r="M903" t="str">
            <v>221601</v>
          </cell>
          <cell r="N903" t="str">
            <v>PROPAN MP PU ACR RMX</v>
          </cell>
        </row>
        <row r="904">
          <cell r="C904" t="str">
            <v>100001890</v>
          </cell>
          <cell r="D904" t="str">
            <v>PUC-786-2K DN TRANG BONG SK006 VN-5LS</v>
          </cell>
          <cell r="E904" t="str">
            <v>ZFGD</v>
          </cell>
          <cell r="F904" t="str">
            <v>SET</v>
          </cell>
          <cell r="G904" t="str">
            <v>2</v>
          </cell>
          <cell r="H904" t="str">
            <v>RETAIL</v>
          </cell>
          <cell r="I904" t="str">
            <v>22</v>
          </cell>
          <cell r="J904" t="str">
            <v>WF2</v>
          </cell>
          <cell r="K904" t="str">
            <v>2216</v>
          </cell>
          <cell r="L904" t="str">
            <v>PU MULTIPURPOSE</v>
          </cell>
          <cell r="M904" t="str">
            <v>221601</v>
          </cell>
          <cell r="N904" t="str">
            <v>PROPAN MP PU ACR RMX</v>
          </cell>
        </row>
        <row r="905">
          <cell r="C905" t="str">
            <v>100001891</v>
          </cell>
          <cell r="D905" t="str">
            <v>PUC-786-2K DN TRANG BONG SK006 VN-4L</v>
          </cell>
          <cell r="E905" t="str">
            <v>ZFGD</v>
          </cell>
          <cell r="F905" t="str">
            <v>PC</v>
          </cell>
          <cell r="G905" t="str">
            <v>2</v>
          </cell>
          <cell r="H905" t="str">
            <v>RETAIL</v>
          </cell>
          <cell r="I905" t="str">
            <v>22</v>
          </cell>
          <cell r="J905" t="str">
            <v>WF2</v>
          </cell>
          <cell r="K905" t="str">
            <v>2216</v>
          </cell>
          <cell r="L905" t="str">
            <v>PU MULTIPURPOSE</v>
          </cell>
          <cell r="M905" t="str">
            <v>221601</v>
          </cell>
          <cell r="N905" t="str">
            <v>PROPAN MP PU ACR RMX</v>
          </cell>
        </row>
        <row r="906">
          <cell r="C906" t="str">
            <v>100001892</v>
          </cell>
          <cell r="D906" t="str">
            <v>PUC-786-2K DN KEM LOT SK002 VN-1LS</v>
          </cell>
          <cell r="E906" t="str">
            <v>ZFGD</v>
          </cell>
          <cell r="F906" t="str">
            <v>SET</v>
          </cell>
          <cell r="G906" t="str">
            <v>2</v>
          </cell>
          <cell r="H906" t="str">
            <v>RETAIL</v>
          </cell>
          <cell r="I906" t="str">
            <v>22</v>
          </cell>
          <cell r="J906" t="str">
            <v>WF2</v>
          </cell>
          <cell r="K906" t="str">
            <v>2216</v>
          </cell>
          <cell r="L906" t="str">
            <v>PU MULTIPURPOSE</v>
          </cell>
          <cell r="M906" t="str">
            <v>221601</v>
          </cell>
          <cell r="N906" t="str">
            <v>PROPAN MP PU ACR RMX</v>
          </cell>
        </row>
        <row r="907">
          <cell r="C907" t="str">
            <v>100001893</v>
          </cell>
          <cell r="D907" t="str">
            <v>PUC-786-2K DN KEM LOT SK002 VN-0.8L</v>
          </cell>
          <cell r="E907" t="str">
            <v>ZFGD</v>
          </cell>
          <cell r="F907" t="str">
            <v>PC</v>
          </cell>
          <cell r="G907" t="str">
            <v>2</v>
          </cell>
          <cell r="H907" t="str">
            <v>RETAIL</v>
          </cell>
          <cell r="I907" t="str">
            <v>22</v>
          </cell>
          <cell r="J907" t="str">
            <v>WF2</v>
          </cell>
          <cell r="K907" t="str">
            <v>2216</v>
          </cell>
          <cell r="L907" t="str">
            <v>PU MULTIPURPOSE</v>
          </cell>
          <cell r="M907" t="str">
            <v>221601</v>
          </cell>
          <cell r="N907" t="str">
            <v>PROPAN MP PU ACR RMX</v>
          </cell>
        </row>
        <row r="908">
          <cell r="C908" t="str">
            <v>100001894</v>
          </cell>
          <cell r="D908" t="str">
            <v>PUC-786-2K DN KEM LOT SK002 VN-5LS</v>
          </cell>
          <cell r="E908" t="str">
            <v>ZFGD</v>
          </cell>
          <cell r="F908" t="str">
            <v>SET</v>
          </cell>
          <cell r="G908" t="str">
            <v>2</v>
          </cell>
          <cell r="H908" t="str">
            <v>RETAIL</v>
          </cell>
          <cell r="I908" t="str">
            <v>22</v>
          </cell>
          <cell r="J908" t="str">
            <v>WF2</v>
          </cell>
          <cell r="K908" t="str">
            <v>2216</v>
          </cell>
          <cell r="L908" t="str">
            <v>PU MULTIPURPOSE</v>
          </cell>
          <cell r="M908" t="str">
            <v>221601</v>
          </cell>
          <cell r="N908" t="str">
            <v>PROPAN MP PU ACR RMX</v>
          </cell>
        </row>
        <row r="909">
          <cell r="C909" t="str">
            <v>100001895</v>
          </cell>
          <cell r="D909" t="str">
            <v>PUC-786-2K DN KEM LOT SK002 VN-4L</v>
          </cell>
          <cell r="E909" t="str">
            <v>ZFGD</v>
          </cell>
          <cell r="F909" t="str">
            <v>PC</v>
          </cell>
          <cell r="G909" t="str">
            <v>2</v>
          </cell>
          <cell r="H909" t="str">
            <v>RETAIL</v>
          </cell>
          <cell r="I909" t="str">
            <v>22</v>
          </cell>
          <cell r="J909" t="str">
            <v>WF2</v>
          </cell>
          <cell r="K909" t="str">
            <v>2216</v>
          </cell>
          <cell r="L909" t="str">
            <v>PU MULTIPURPOSE</v>
          </cell>
          <cell r="M909" t="str">
            <v>221601</v>
          </cell>
          <cell r="N909" t="str">
            <v>PROPAN MP PU ACR RMX</v>
          </cell>
        </row>
        <row r="910">
          <cell r="C910" t="str">
            <v>100001896</v>
          </cell>
          <cell r="D910" t="str">
            <v>PUC-786-2K DN XAM DAM SK004 VN-1LS</v>
          </cell>
          <cell r="E910" t="str">
            <v>ZFGD</v>
          </cell>
          <cell r="F910" t="str">
            <v>SET</v>
          </cell>
          <cell r="G910" t="str">
            <v>2</v>
          </cell>
          <cell r="H910" t="str">
            <v>RETAIL</v>
          </cell>
          <cell r="I910" t="str">
            <v>22</v>
          </cell>
          <cell r="J910" t="str">
            <v>WF2</v>
          </cell>
          <cell r="K910" t="str">
            <v>2216</v>
          </cell>
          <cell r="L910" t="str">
            <v>PU MULTIPURPOSE</v>
          </cell>
          <cell r="M910" t="str">
            <v>221601</v>
          </cell>
          <cell r="N910" t="str">
            <v>PROPAN MP PU ACR RMX</v>
          </cell>
        </row>
        <row r="911">
          <cell r="C911" t="str">
            <v>100001897</v>
          </cell>
          <cell r="D911" t="str">
            <v>PUC-786-2K DN XAM DAM SK004 VN-0.8L</v>
          </cell>
          <cell r="E911" t="str">
            <v>ZFGD</v>
          </cell>
          <cell r="F911" t="str">
            <v>PC</v>
          </cell>
          <cell r="G911" t="str">
            <v>2</v>
          </cell>
          <cell r="H911" t="str">
            <v>RETAIL</v>
          </cell>
          <cell r="I911" t="str">
            <v>22</v>
          </cell>
          <cell r="J911" t="str">
            <v>WF2</v>
          </cell>
          <cell r="K911" t="str">
            <v>2216</v>
          </cell>
          <cell r="L911" t="str">
            <v>PU MULTIPURPOSE</v>
          </cell>
          <cell r="M911" t="str">
            <v>221601</v>
          </cell>
          <cell r="N911" t="str">
            <v>PROPAN MP PU ACR RMX</v>
          </cell>
        </row>
        <row r="912">
          <cell r="C912" t="str">
            <v>100001898</v>
          </cell>
          <cell r="D912" t="str">
            <v>PUC-786-2K DN XAM DAM SK004 VN-5LS</v>
          </cell>
          <cell r="E912" t="str">
            <v>ZFGD</v>
          </cell>
          <cell r="F912" t="str">
            <v>SET</v>
          </cell>
          <cell r="G912" t="str">
            <v>2</v>
          </cell>
          <cell r="H912" t="str">
            <v>RETAIL</v>
          </cell>
          <cell r="I912" t="str">
            <v>22</v>
          </cell>
          <cell r="J912" t="str">
            <v>WF2</v>
          </cell>
          <cell r="K912" t="str">
            <v>2216</v>
          </cell>
          <cell r="L912" t="str">
            <v>PU MULTIPURPOSE</v>
          </cell>
          <cell r="M912" t="str">
            <v>221601</v>
          </cell>
          <cell r="N912" t="str">
            <v>PROPAN MP PU ACR RMX</v>
          </cell>
        </row>
        <row r="913">
          <cell r="C913" t="str">
            <v>100001899</v>
          </cell>
          <cell r="D913" t="str">
            <v>PUC-786-2K DN XAM DAM SK004 VN-4L</v>
          </cell>
          <cell r="E913" t="str">
            <v>ZFGD</v>
          </cell>
          <cell r="F913" t="str">
            <v>PC</v>
          </cell>
          <cell r="G913" t="str">
            <v>2</v>
          </cell>
          <cell r="H913" t="str">
            <v>RETAIL</v>
          </cell>
          <cell r="I913" t="str">
            <v>22</v>
          </cell>
          <cell r="J913" t="str">
            <v>WF2</v>
          </cell>
          <cell r="K913" t="str">
            <v>2216</v>
          </cell>
          <cell r="L913" t="str">
            <v>PU MULTIPURPOSE</v>
          </cell>
          <cell r="M913" t="str">
            <v>221601</v>
          </cell>
          <cell r="N913" t="str">
            <v>PROPAN MP PU ACR RMX</v>
          </cell>
        </row>
        <row r="914">
          <cell r="C914" t="str">
            <v>100001900</v>
          </cell>
          <cell r="D914" t="str">
            <v>PUC-786-2K DN XANH DA TROI SK007 VN-1LS</v>
          </cell>
          <cell r="E914" t="str">
            <v>ZFGD</v>
          </cell>
          <cell r="F914" t="str">
            <v>SET</v>
          </cell>
          <cell r="G914" t="str">
            <v>2</v>
          </cell>
          <cell r="H914" t="str">
            <v>RETAIL</v>
          </cell>
          <cell r="I914" t="str">
            <v>22</v>
          </cell>
          <cell r="J914" t="str">
            <v>WF2</v>
          </cell>
          <cell r="K914" t="str">
            <v>2216</v>
          </cell>
          <cell r="L914" t="str">
            <v>PU MULTIPURPOSE</v>
          </cell>
          <cell r="M914" t="str">
            <v>221601</v>
          </cell>
          <cell r="N914" t="str">
            <v>PROPAN MP PU ACR RMX</v>
          </cell>
        </row>
        <row r="915">
          <cell r="C915" t="str">
            <v>100001901</v>
          </cell>
          <cell r="D915" t="str">
            <v>PUC-786-2K DN XANH DA TROI SK007 VN-0.8L</v>
          </cell>
          <cell r="E915" t="str">
            <v>ZFGD</v>
          </cell>
          <cell r="F915" t="str">
            <v>PC</v>
          </cell>
          <cell r="G915" t="str">
            <v>2</v>
          </cell>
          <cell r="H915" t="str">
            <v>RETAIL</v>
          </cell>
          <cell r="I915" t="str">
            <v>22</v>
          </cell>
          <cell r="J915" t="str">
            <v>WF2</v>
          </cell>
          <cell r="K915" t="str">
            <v>2216</v>
          </cell>
          <cell r="L915" t="str">
            <v>PU MULTIPURPOSE</v>
          </cell>
          <cell r="M915" t="str">
            <v>221601</v>
          </cell>
          <cell r="N915" t="str">
            <v>PROPAN MP PU ACR RMX</v>
          </cell>
        </row>
        <row r="916">
          <cell r="C916" t="str">
            <v>100001902</v>
          </cell>
          <cell r="D916" t="str">
            <v>PUC-786-2K DN XANH DA TROI SK007 VN-5LS</v>
          </cell>
          <cell r="E916" t="str">
            <v>ZFGD</v>
          </cell>
          <cell r="F916" t="str">
            <v>SET</v>
          </cell>
          <cell r="G916" t="str">
            <v>2</v>
          </cell>
          <cell r="H916" t="str">
            <v>RETAIL</v>
          </cell>
          <cell r="I916" t="str">
            <v>22</v>
          </cell>
          <cell r="J916" t="str">
            <v>WF2</v>
          </cell>
          <cell r="K916" t="str">
            <v>2216</v>
          </cell>
          <cell r="L916" t="str">
            <v>PU MULTIPURPOSE</v>
          </cell>
          <cell r="M916" t="str">
            <v>221601</v>
          </cell>
          <cell r="N916" t="str">
            <v>PROPAN MP PU ACR RMX</v>
          </cell>
        </row>
        <row r="917">
          <cell r="C917" t="str">
            <v>100001903</v>
          </cell>
          <cell r="D917" t="str">
            <v>PUC-786-2K DN XANH DA TROI SK007 VN-4L</v>
          </cell>
          <cell r="E917" t="str">
            <v>ZFGD</v>
          </cell>
          <cell r="F917" t="str">
            <v>PC</v>
          </cell>
          <cell r="G917" t="str">
            <v>2</v>
          </cell>
          <cell r="H917" t="str">
            <v>RETAIL</v>
          </cell>
          <cell r="I917" t="str">
            <v>22</v>
          </cell>
          <cell r="J917" t="str">
            <v>WF2</v>
          </cell>
          <cell r="K917" t="str">
            <v>2216</v>
          </cell>
          <cell r="L917" t="str">
            <v>PU MULTIPURPOSE</v>
          </cell>
          <cell r="M917" t="str">
            <v>221601</v>
          </cell>
          <cell r="N917" t="str">
            <v>PROPAN MP PU ACR RMX</v>
          </cell>
        </row>
        <row r="918">
          <cell r="C918" t="str">
            <v>100001904</v>
          </cell>
          <cell r="D918" t="str">
            <v>PUC-786-2K DN XANH DUONG SK008 VN-1LS</v>
          </cell>
          <cell r="E918" t="str">
            <v>ZFGD</v>
          </cell>
          <cell r="F918" t="str">
            <v>SET</v>
          </cell>
          <cell r="G918" t="str">
            <v>2</v>
          </cell>
          <cell r="H918" t="str">
            <v>RETAIL</v>
          </cell>
          <cell r="I918" t="str">
            <v>22</v>
          </cell>
          <cell r="J918" t="str">
            <v>WF2</v>
          </cell>
          <cell r="K918" t="str">
            <v>2216</v>
          </cell>
          <cell r="L918" t="str">
            <v>PU MULTIPURPOSE</v>
          </cell>
          <cell r="M918" t="str">
            <v>221601</v>
          </cell>
          <cell r="N918" t="str">
            <v>PROPAN MP PU ACR RMX</v>
          </cell>
        </row>
        <row r="919">
          <cell r="C919" t="str">
            <v>100001905</v>
          </cell>
          <cell r="D919" t="str">
            <v>PUC-786-2K DN XANH DUONG SK008 VN-0.8L</v>
          </cell>
          <cell r="E919" t="str">
            <v>ZFGD</v>
          </cell>
          <cell r="F919" t="str">
            <v>PC</v>
          </cell>
          <cell r="G919" t="str">
            <v>2</v>
          </cell>
          <cell r="H919" t="str">
            <v>RETAIL</v>
          </cell>
          <cell r="I919" t="str">
            <v>22</v>
          </cell>
          <cell r="J919" t="str">
            <v>WF2</v>
          </cell>
          <cell r="K919" t="str">
            <v>2216</v>
          </cell>
          <cell r="L919" t="str">
            <v>PU MULTIPURPOSE</v>
          </cell>
          <cell r="M919" t="str">
            <v>221601</v>
          </cell>
          <cell r="N919" t="str">
            <v>PROPAN MP PU ACR RMX</v>
          </cell>
        </row>
        <row r="920">
          <cell r="C920" t="str">
            <v>100001906</v>
          </cell>
          <cell r="D920" t="str">
            <v>PUC-786-2K DN XANH DUONG SK008 VN-5LS</v>
          </cell>
          <cell r="E920" t="str">
            <v>ZFGD</v>
          </cell>
          <cell r="F920" t="str">
            <v>SET</v>
          </cell>
          <cell r="G920" t="str">
            <v>2</v>
          </cell>
          <cell r="H920" t="str">
            <v>RETAIL</v>
          </cell>
          <cell r="I920" t="str">
            <v>22</v>
          </cell>
          <cell r="J920" t="str">
            <v>WF2</v>
          </cell>
          <cell r="K920" t="str">
            <v>2216</v>
          </cell>
          <cell r="L920" t="str">
            <v>PU MULTIPURPOSE</v>
          </cell>
          <cell r="M920" t="str">
            <v>221601</v>
          </cell>
          <cell r="N920" t="str">
            <v>PROPAN MP PU ACR RMX</v>
          </cell>
        </row>
        <row r="921">
          <cell r="C921" t="str">
            <v>100001907</v>
          </cell>
          <cell r="D921" t="str">
            <v>PUC-786-2K DN XANH DUONG SK008 VN-4L</v>
          </cell>
          <cell r="E921" t="str">
            <v>ZFGD</v>
          </cell>
          <cell r="F921" t="str">
            <v>PC</v>
          </cell>
          <cell r="G921" t="str">
            <v>2</v>
          </cell>
          <cell r="H921" t="str">
            <v>RETAIL</v>
          </cell>
          <cell r="I921" t="str">
            <v>22</v>
          </cell>
          <cell r="J921" t="str">
            <v>WF2</v>
          </cell>
          <cell r="K921" t="str">
            <v>2216</v>
          </cell>
          <cell r="L921" t="str">
            <v>PU MULTIPURPOSE</v>
          </cell>
          <cell r="M921" t="str">
            <v>221601</v>
          </cell>
          <cell r="N921" t="str">
            <v>PROPAN MP PU ACR RMX</v>
          </cell>
        </row>
        <row r="922">
          <cell r="C922" t="str">
            <v>100001908</v>
          </cell>
          <cell r="D922" t="str">
            <v>PUC-786-2K DN XANH NGOC SK010 VN-1LS</v>
          </cell>
          <cell r="E922" t="str">
            <v>ZFGD</v>
          </cell>
          <cell r="F922" t="str">
            <v>SET</v>
          </cell>
          <cell r="G922" t="str">
            <v>2</v>
          </cell>
          <cell r="H922" t="str">
            <v>RETAIL</v>
          </cell>
          <cell r="I922" t="str">
            <v>22</v>
          </cell>
          <cell r="J922" t="str">
            <v>WF2</v>
          </cell>
          <cell r="K922" t="str">
            <v>2216</v>
          </cell>
          <cell r="L922" t="str">
            <v>PU MULTIPURPOSE</v>
          </cell>
          <cell r="M922" t="str">
            <v>221601</v>
          </cell>
          <cell r="N922" t="str">
            <v>PROPAN MP PU ACR RMX</v>
          </cell>
        </row>
        <row r="923">
          <cell r="C923" t="str">
            <v>100001909</v>
          </cell>
          <cell r="D923" t="str">
            <v>PUC-786-2K DN XANH NGOC SK010 VN-0.8L</v>
          </cell>
          <cell r="E923" t="str">
            <v>ZFGD</v>
          </cell>
          <cell r="F923" t="str">
            <v>PC</v>
          </cell>
          <cell r="G923" t="str">
            <v>2</v>
          </cell>
          <cell r="H923" t="str">
            <v>RETAIL</v>
          </cell>
          <cell r="I923" t="str">
            <v>22</v>
          </cell>
          <cell r="J923" t="str">
            <v>WF2</v>
          </cell>
          <cell r="K923" t="str">
            <v>2216</v>
          </cell>
          <cell r="L923" t="str">
            <v>PU MULTIPURPOSE</v>
          </cell>
          <cell r="M923" t="str">
            <v>221601</v>
          </cell>
          <cell r="N923" t="str">
            <v>PROPAN MP PU ACR RMX</v>
          </cell>
        </row>
        <row r="924">
          <cell r="C924" t="str">
            <v>100001910</v>
          </cell>
          <cell r="D924" t="str">
            <v>PUC-786-2K DN XANH NGOC SK010 VN-5LS</v>
          </cell>
          <cell r="E924" t="str">
            <v>ZFGD</v>
          </cell>
          <cell r="F924" t="str">
            <v>SET</v>
          </cell>
          <cell r="G924" t="str">
            <v>2</v>
          </cell>
          <cell r="H924" t="str">
            <v>RETAIL</v>
          </cell>
          <cell r="I924" t="str">
            <v>22</v>
          </cell>
          <cell r="J924" t="str">
            <v>WF2</v>
          </cell>
          <cell r="K924" t="str">
            <v>2216</v>
          </cell>
          <cell r="L924" t="str">
            <v>PU MULTIPURPOSE</v>
          </cell>
          <cell r="M924" t="str">
            <v>221601</v>
          </cell>
          <cell r="N924" t="str">
            <v>PROPAN MP PU ACR RMX</v>
          </cell>
        </row>
        <row r="925">
          <cell r="C925" t="str">
            <v>100001911</v>
          </cell>
          <cell r="D925" t="str">
            <v>PUC-786-2K DN XANH NGOC SK010 VN-4L</v>
          </cell>
          <cell r="E925" t="str">
            <v>ZFGD</v>
          </cell>
          <cell r="F925" t="str">
            <v>PC</v>
          </cell>
          <cell r="G925" t="str">
            <v>2</v>
          </cell>
          <cell r="H925" t="str">
            <v>RETAIL</v>
          </cell>
          <cell r="I925" t="str">
            <v>22</v>
          </cell>
          <cell r="J925" t="str">
            <v>WF2</v>
          </cell>
          <cell r="K925" t="str">
            <v>2216</v>
          </cell>
          <cell r="L925" t="str">
            <v>PU MULTIPURPOSE</v>
          </cell>
          <cell r="M925" t="str">
            <v>221601</v>
          </cell>
          <cell r="N925" t="str">
            <v>PROPAN MP PU ACR RMX</v>
          </cell>
        </row>
        <row r="926">
          <cell r="C926" t="str">
            <v>100002027</v>
          </cell>
          <cell r="D926" t="str">
            <v>MPUC-13600 TEXTURE BROWN KI VN-16KP</v>
          </cell>
          <cell r="E926" t="str">
            <v>ZFGD</v>
          </cell>
          <cell r="F926" t="str">
            <v>PC</v>
          </cell>
          <cell r="G926" t="str">
            <v>1</v>
          </cell>
          <cell r="H926" t="str">
            <v>INDUSTRY</v>
          </cell>
          <cell r="I926" t="str">
            <v>16</v>
          </cell>
          <cell r="J926" t="str">
            <v>METAL COATINGS</v>
          </cell>
          <cell r="K926" t="str">
            <v>1601</v>
          </cell>
          <cell r="L926" t="str">
            <v>METAL COATINGS</v>
          </cell>
          <cell r="M926" t="str">
            <v>160101</v>
          </cell>
          <cell r="N926" t="str">
            <v>METAL COATINGS</v>
          </cell>
        </row>
        <row r="927">
          <cell r="C927" t="str">
            <v>100002039</v>
          </cell>
          <cell r="D927" t="str">
            <v>MEPH-12003 PS VN-2K</v>
          </cell>
          <cell r="E927" t="str">
            <v>ZFGD</v>
          </cell>
          <cell r="F927" t="str">
            <v>PC</v>
          </cell>
          <cell r="G927" t="str">
            <v>1</v>
          </cell>
          <cell r="H927" t="str">
            <v>INDUSTRY</v>
          </cell>
          <cell r="I927" t="str">
            <v>16</v>
          </cell>
          <cell r="J927" t="str">
            <v>METAL COATINGS</v>
          </cell>
          <cell r="K927" t="str">
            <v>1601</v>
          </cell>
          <cell r="L927" t="str">
            <v>METAL COATINGS</v>
          </cell>
          <cell r="M927" t="str">
            <v>160101</v>
          </cell>
          <cell r="N927" t="str">
            <v>METAL COATINGS</v>
          </cell>
        </row>
        <row r="928">
          <cell r="C928" t="str">
            <v>100002042</v>
          </cell>
          <cell r="D928" t="str">
            <v>MPULH-13700 PS VN-4K</v>
          </cell>
          <cell r="E928" t="str">
            <v>ZFGD</v>
          </cell>
          <cell r="F928" t="str">
            <v>PC</v>
          </cell>
          <cell r="G928" t="str">
            <v>1</v>
          </cell>
          <cell r="H928" t="str">
            <v>INDUSTRY</v>
          </cell>
          <cell r="I928" t="str">
            <v>16</v>
          </cell>
          <cell r="J928" t="str">
            <v>METAL COATINGS</v>
          </cell>
          <cell r="K928" t="str">
            <v>1601</v>
          </cell>
          <cell r="L928" t="str">
            <v>METAL COATINGS</v>
          </cell>
          <cell r="M928" t="str">
            <v>160101</v>
          </cell>
          <cell r="N928" t="str">
            <v>METAL COATINGS</v>
          </cell>
        </row>
        <row r="929">
          <cell r="C929" t="str">
            <v>100002084</v>
          </cell>
          <cell r="D929" t="str">
            <v>PCA-31100 RX CLR ROASTED TC VN-18KJ</v>
          </cell>
          <cell r="E929" t="str">
            <v>ZFGD</v>
          </cell>
          <cell r="F929" t="str">
            <v>PC</v>
          </cell>
          <cell r="G929" t="str">
            <v>1</v>
          </cell>
          <cell r="H929" t="str">
            <v>INDUSTRY</v>
          </cell>
          <cell r="I929" t="str">
            <v>11</v>
          </cell>
          <cell r="J929" t="str">
            <v>WOOD COATINGS</v>
          </cell>
          <cell r="K929" t="str">
            <v>1118</v>
          </cell>
          <cell r="L929" t="str">
            <v>COMPLEMENTARY</v>
          </cell>
          <cell r="M929" t="str">
            <v>111807</v>
          </cell>
          <cell r="N929" t="str">
            <v>PASTA</v>
          </cell>
        </row>
        <row r="930">
          <cell r="C930" t="str">
            <v>100002115</v>
          </cell>
          <cell r="D930" t="str">
            <v>MPUC-13600 DARK GREY 20 MH VN-16KP</v>
          </cell>
          <cell r="E930" t="str">
            <v>ZFGD</v>
          </cell>
          <cell r="F930" t="str">
            <v>PC</v>
          </cell>
          <cell r="G930" t="str">
            <v>1</v>
          </cell>
          <cell r="H930" t="str">
            <v>INDUSTRY</v>
          </cell>
          <cell r="I930" t="str">
            <v>16</v>
          </cell>
          <cell r="J930" t="str">
            <v>METAL COATINGS</v>
          </cell>
          <cell r="K930" t="str">
            <v>1601</v>
          </cell>
          <cell r="L930" t="str">
            <v>METAL COATINGS</v>
          </cell>
          <cell r="M930" t="str">
            <v>160101</v>
          </cell>
          <cell r="N930" t="str">
            <v>METAL COATINGS</v>
          </cell>
        </row>
        <row r="931">
          <cell r="C931" t="str">
            <v>100002124</v>
          </cell>
          <cell r="D931" t="str">
            <v>MPULH-13700 PS VN-1K</v>
          </cell>
          <cell r="E931" t="str">
            <v>ZFGD</v>
          </cell>
          <cell r="F931" t="str">
            <v>PC</v>
          </cell>
          <cell r="G931" t="str">
            <v>1</v>
          </cell>
          <cell r="H931" t="str">
            <v>INDUSTRY</v>
          </cell>
          <cell r="I931" t="str">
            <v>16</v>
          </cell>
          <cell r="J931" t="str">
            <v>METAL COATINGS</v>
          </cell>
          <cell r="K931" t="str">
            <v>1601</v>
          </cell>
          <cell r="L931" t="str">
            <v>METAL COATINGS</v>
          </cell>
          <cell r="M931" t="str">
            <v>160101</v>
          </cell>
          <cell r="N931" t="str">
            <v>METAL COATINGS</v>
          </cell>
        </row>
        <row r="932">
          <cell r="C932" t="str">
            <v>100002142</v>
          </cell>
          <cell r="D932" t="str">
            <v>PFM-222 VN-16KSP</v>
          </cell>
          <cell r="E932" t="str">
            <v>ZFGD</v>
          </cell>
          <cell r="F932" t="str">
            <v>SET</v>
          </cell>
          <cell r="G932" t="str">
            <v>5</v>
          </cell>
          <cell r="H932" t="str">
            <v>PROJECT</v>
          </cell>
          <cell r="I932" t="str">
            <v>56</v>
          </cell>
          <cell r="J932" t="str">
            <v>CPC1</v>
          </cell>
          <cell r="K932" t="str">
            <v>5602</v>
          </cell>
          <cell r="L932" t="str">
            <v>POLYFLOOR</v>
          </cell>
          <cell r="M932" t="str">
            <v>560202</v>
          </cell>
          <cell r="N932" t="str">
            <v>POLYFLOOR EPOXY</v>
          </cell>
        </row>
        <row r="933">
          <cell r="C933" t="str">
            <v>100002143</v>
          </cell>
          <cell r="D933" t="str">
            <v>PFM-222 VN-1.2K</v>
          </cell>
          <cell r="E933" t="str">
            <v>ZFGD</v>
          </cell>
          <cell r="F933" t="str">
            <v>PC</v>
          </cell>
          <cell r="G933" t="str">
            <v>5</v>
          </cell>
          <cell r="H933" t="str">
            <v>PROJECT</v>
          </cell>
          <cell r="I933" t="str">
            <v>56</v>
          </cell>
          <cell r="J933" t="str">
            <v>CPC1</v>
          </cell>
          <cell r="K933" t="str">
            <v>5602</v>
          </cell>
          <cell r="L933" t="str">
            <v>POLYFLOOR</v>
          </cell>
          <cell r="M933" t="str">
            <v>560202</v>
          </cell>
          <cell r="N933" t="str">
            <v>POLYFLOOR EPOXY</v>
          </cell>
        </row>
        <row r="934">
          <cell r="C934" t="str">
            <v>100002144</v>
          </cell>
          <cell r="D934" t="str">
            <v>PFM-222 VN-40KSP</v>
          </cell>
          <cell r="E934" t="str">
            <v>ZFGD</v>
          </cell>
          <cell r="F934" t="str">
            <v>SET</v>
          </cell>
          <cell r="G934" t="str">
            <v>5</v>
          </cell>
          <cell r="H934" t="str">
            <v>PROJECT</v>
          </cell>
          <cell r="I934" t="str">
            <v>56</v>
          </cell>
          <cell r="J934" t="str">
            <v>CPC1</v>
          </cell>
          <cell r="K934" t="str">
            <v>5602</v>
          </cell>
          <cell r="L934" t="str">
            <v>POLYFLOOR</v>
          </cell>
          <cell r="M934" t="str">
            <v>560202</v>
          </cell>
          <cell r="N934" t="str">
            <v>POLYFLOOR EPOXY</v>
          </cell>
        </row>
        <row r="935">
          <cell r="C935" t="str">
            <v>100002145</v>
          </cell>
          <cell r="D935" t="str">
            <v>PFM-222 VN-3K</v>
          </cell>
          <cell r="E935" t="str">
            <v>ZFGD</v>
          </cell>
          <cell r="F935" t="str">
            <v>PC</v>
          </cell>
          <cell r="G935" t="str">
            <v>5</v>
          </cell>
          <cell r="H935" t="str">
            <v>PROJECT</v>
          </cell>
          <cell r="I935" t="str">
            <v>56</v>
          </cell>
          <cell r="J935" t="str">
            <v>CPC1</v>
          </cell>
          <cell r="K935" t="str">
            <v>5602</v>
          </cell>
          <cell r="L935" t="str">
            <v>POLYFLOOR</v>
          </cell>
          <cell r="M935" t="str">
            <v>560202</v>
          </cell>
          <cell r="N935" t="str">
            <v>POLYFLOOR EPOXY</v>
          </cell>
        </row>
        <row r="936">
          <cell r="C936" t="str">
            <v>100002146</v>
          </cell>
          <cell r="D936" t="str">
            <v>PFM-222 SEALER VN-5KS</v>
          </cell>
          <cell r="E936" t="str">
            <v>ZFGD</v>
          </cell>
          <cell r="F936" t="str">
            <v>SET</v>
          </cell>
          <cell r="G936" t="str">
            <v>5</v>
          </cell>
          <cell r="H936" t="str">
            <v>PROJECT</v>
          </cell>
          <cell r="I936" t="str">
            <v>56</v>
          </cell>
          <cell r="J936" t="str">
            <v>CPC1</v>
          </cell>
          <cell r="K936" t="str">
            <v>5602</v>
          </cell>
          <cell r="L936" t="str">
            <v>POLYFLOOR</v>
          </cell>
          <cell r="M936" t="str">
            <v>560202</v>
          </cell>
          <cell r="N936" t="str">
            <v>POLYFLOOR EPOXY</v>
          </cell>
        </row>
        <row r="937">
          <cell r="C937" t="str">
            <v>100002147</v>
          </cell>
          <cell r="D937" t="str">
            <v>PFM-222 SEALER VN-3K</v>
          </cell>
          <cell r="E937" t="str">
            <v>ZFGD</v>
          </cell>
          <cell r="F937" t="str">
            <v>PC</v>
          </cell>
          <cell r="G937" t="str">
            <v>5</v>
          </cell>
          <cell r="H937" t="str">
            <v>PROJECT</v>
          </cell>
          <cell r="I937" t="str">
            <v>56</v>
          </cell>
          <cell r="J937" t="str">
            <v>CPC1</v>
          </cell>
          <cell r="K937" t="str">
            <v>5602</v>
          </cell>
          <cell r="L937" t="str">
            <v>POLYFLOOR</v>
          </cell>
          <cell r="M937" t="str">
            <v>560202</v>
          </cell>
          <cell r="N937" t="str">
            <v>POLYFLOOR EPOXY</v>
          </cell>
        </row>
        <row r="938">
          <cell r="C938" t="str">
            <v>100002148</v>
          </cell>
          <cell r="D938" t="str">
            <v>PFM-222 SEALER VN-20KSP</v>
          </cell>
          <cell r="E938" t="str">
            <v>ZFGD</v>
          </cell>
          <cell r="F938" t="str">
            <v>SET</v>
          </cell>
          <cell r="G938" t="str">
            <v>5</v>
          </cell>
          <cell r="H938" t="str">
            <v>PROJECT</v>
          </cell>
          <cell r="I938" t="str">
            <v>56</v>
          </cell>
          <cell r="J938" t="str">
            <v>CPC1</v>
          </cell>
          <cell r="K938" t="str">
            <v>5602</v>
          </cell>
          <cell r="L938" t="str">
            <v>POLYFLOOR</v>
          </cell>
          <cell r="M938" t="str">
            <v>560202</v>
          </cell>
          <cell r="N938" t="str">
            <v>POLYFLOOR EPOXY</v>
          </cell>
        </row>
        <row r="939">
          <cell r="C939" t="str">
            <v>100002149</v>
          </cell>
          <cell r="D939" t="str">
            <v>PFM-222 SEALER VN-12K</v>
          </cell>
          <cell r="E939" t="str">
            <v>ZFGD</v>
          </cell>
          <cell r="F939" t="str">
            <v>PC</v>
          </cell>
          <cell r="G939" t="str">
            <v>5</v>
          </cell>
          <cell r="H939" t="str">
            <v>PROJECT</v>
          </cell>
          <cell r="I939" t="str">
            <v>56</v>
          </cell>
          <cell r="J939" t="str">
            <v>CPC1</v>
          </cell>
          <cell r="K939" t="str">
            <v>5602</v>
          </cell>
          <cell r="L939" t="str">
            <v>POLYFLOOR</v>
          </cell>
          <cell r="M939" t="str">
            <v>560202</v>
          </cell>
          <cell r="N939" t="str">
            <v>POLYFLOOR EPOXY</v>
          </cell>
        </row>
        <row r="940">
          <cell r="C940" t="str">
            <v>100002150</v>
          </cell>
          <cell r="D940" t="str">
            <v>FILLER PFM-222 VN-14KZ</v>
          </cell>
          <cell r="E940" t="str">
            <v>ZFGD</v>
          </cell>
          <cell r="F940" t="str">
            <v>PC</v>
          </cell>
          <cell r="G940" t="str">
            <v>5</v>
          </cell>
          <cell r="H940" t="str">
            <v>PROJECT</v>
          </cell>
          <cell r="I940" t="str">
            <v>56</v>
          </cell>
          <cell r="J940" t="str">
            <v>CPC1</v>
          </cell>
          <cell r="K940" t="str">
            <v>5602</v>
          </cell>
          <cell r="L940" t="str">
            <v>POLYFLOOR</v>
          </cell>
          <cell r="M940" t="str">
            <v>560202</v>
          </cell>
          <cell r="N940" t="str">
            <v>POLYFLOOR EPOXY</v>
          </cell>
        </row>
        <row r="941">
          <cell r="C941" t="str">
            <v>100002151</v>
          </cell>
          <cell r="D941" t="str">
            <v>FILLER PFM-222 VN-17.5KZ</v>
          </cell>
          <cell r="E941" t="str">
            <v>ZFGD</v>
          </cell>
          <cell r="F941" t="str">
            <v>PC</v>
          </cell>
          <cell r="G941" t="str">
            <v>5</v>
          </cell>
          <cell r="H941" t="str">
            <v>PROJECT</v>
          </cell>
          <cell r="I941" t="str">
            <v>56</v>
          </cell>
          <cell r="J941" t="str">
            <v>CPC1</v>
          </cell>
          <cell r="K941" t="str">
            <v>5602</v>
          </cell>
          <cell r="L941" t="str">
            <v>POLYFLOOR</v>
          </cell>
          <cell r="M941" t="str">
            <v>560202</v>
          </cell>
          <cell r="N941" t="str">
            <v>POLYFLOOR EPOXY</v>
          </cell>
        </row>
        <row r="942">
          <cell r="C942" t="str">
            <v>100002152</v>
          </cell>
          <cell r="D942" t="str">
            <v>PFT-253 3K LIGHT GREEN TVT 01 VN-20KSP</v>
          </cell>
          <cell r="E942" t="str">
            <v>ZFGD</v>
          </cell>
          <cell r="F942" t="str">
            <v>SET</v>
          </cell>
          <cell r="G942" t="str">
            <v>5</v>
          </cell>
          <cell r="H942" t="str">
            <v>PROJECT</v>
          </cell>
          <cell r="I942" t="str">
            <v>56</v>
          </cell>
          <cell r="J942" t="str">
            <v>CPC1</v>
          </cell>
          <cell r="K942" t="str">
            <v>5602</v>
          </cell>
          <cell r="L942" t="str">
            <v>POLYFLOOR</v>
          </cell>
          <cell r="M942" t="str">
            <v>560202</v>
          </cell>
          <cell r="N942" t="str">
            <v>POLYFLOOR EPOXY</v>
          </cell>
        </row>
        <row r="943">
          <cell r="C943" t="str">
            <v>100002153</v>
          </cell>
          <cell r="D943" t="str">
            <v>PFT-253 3K LIGHT GREEN TVT 01 VN-8K</v>
          </cell>
          <cell r="E943" t="str">
            <v>ZFGD</v>
          </cell>
          <cell r="F943" t="str">
            <v>PC</v>
          </cell>
          <cell r="G943" t="str">
            <v>5</v>
          </cell>
          <cell r="H943" t="str">
            <v>PROJECT</v>
          </cell>
          <cell r="I943" t="str">
            <v>56</v>
          </cell>
          <cell r="J943" t="str">
            <v>CPC1</v>
          </cell>
          <cell r="K943" t="str">
            <v>5602</v>
          </cell>
          <cell r="L943" t="str">
            <v>POLYFLOOR</v>
          </cell>
          <cell r="M943" t="str">
            <v>560202</v>
          </cell>
          <cell r="N943" t="str">
            <v>POLYFLOOR EPOXY</v>
          </cell>
        </row>
        <row r="944">
          <cell r="C944" t="str">
            <v>100002154</v>
          </cell>
          <cell r="D944" t="str">
            <v>PFT-253 3K SPRING GREEN VN-20KSP</v>
          </cell>
          <cell r="E944" t="str">
            <v>ZFGD</v>
          </cell>
          <cell r="F944" t="str">
            <v>SET</v>
          </cell>
          <cell r="G944" t="str">
            <v>5</v>
          </cell>
          <cell r="H944" t="str">
            <v>PROJECT</v>
          </cell>
          <cell r="I944" t="str">
            <v>56</v>
          </cell>
          <cell r="J944" t="str">
            <v>CPC1</v>
          </cell>
          <cell r="K944" t="str">
            <v>5602</v>
          </cell>
          <cell r="L944" t="str">
            <v>POLYFLOOR</v>
          </cell>
          <cell r="M944" t="str">
            <v>560202</v>
          </cell>
          <cell r="N944" t="str">
            <v>POLYFLOOR EPOXY</v>
          </cell>
        </row>
        <row r="945">
          <cell r="C945" t="str">
            <v>100002155</v>
          </cell>
          <cell r="D945" t="str">
            <v>PFT-253 3K SPRING GREEN VN-8K</v>
          </cell>
          <cell r="E945" t="str">
            <v>ZFGD</v>
          </cell>
          <cell r="F945" t="str">
            <v>PC</v>
          </cell>
          <cell r="G945" t="str">
            <v>5</v>
          </cell>
          <cell r="H945" t="str">
            <v>PROJECT</v>
          </cell>
          <cell r="I945" t="str">
            <v>56</v>
          </cell>
          <cell r="J945" t="str">
            <v>CPC1</v>
          </cell>
          <cell r="K945" t="str">
            <v>5602</v>
          </cell>
          <cell r="L945" t="str">
            <v>POLYFLOOR</v>
          </cell>
          <cell r="M945" t="str">
            <v>560202</v>
          </cell>
          <cell r="N945" t="str">
            <v>POLYFLOOR EPOXY</v>
          </cell>
        </row>
        <row r="946">
          <cell r="C946" t="str">
            <v>100002156</v>
          </cell>
          <cell r="D946" t="str">
            <v>PFT-253 ISF LIGHT GREY II VN-20KSP</v>
          </cell>
          <cell r="E946" t="str">
            <v>ZFGD</v>
          </cell>
          <cell r="F946" t="str">
            <v>SET</v>
          </cell>
          <cell r="G946" t="str">
            <v>5</v>
          </cell>
          <cell r="H946" t="str">
            <v>PROJECT</v>
          </cell>
          <cell r="I946" t="str">
            <v>56</v>
          </cell>
          <cell r="J946" t="str">
            <v>CPC1</v>
          </cell>
          <cell r="K946" t="str">
            <v>5602</v>
          </cell>
          <cell r="L946" t="str">
            <v>POLYFLOOR</v>
          </cell>
          <cell r="M946" t="str">
            <v>560202</v>
          </cell>
          <cell r="N946" t="str">
            <v>POLYFLOOR EPOXY</v>
          </cell>
        </row>
        <row r="947">
          <cell r="C947" t="str">
            <v>100002157</v>
          </cell>
          <cell r="D947" t="str">
            <v>PFT-253 ISF LIGHT GREY II VN-16KP</v>
          </cell>
          <cell r="E947" t="str">
            <v>ZFGD</v>
          </cell>
          <cell r="F947" t="str">
            <v>PC</v>
          </cell>
          <cell r="G947" t="str">
            <v>5</v>
          </cell>
          <cell r="H947" t="str">
            <v>PROJECT</v>
          </cell>
          <cell r="I947" t="str">
            <v>56</v>
          </cell>
          <cell r="J947" t="str">
            <v>CPC1</v>
          </cell>
          <cell r="K947" t="str">
            <v>5602</v>
          </cell>
          <cell r="L947" t="str">
            <v>POLYFLOOR</v>
          </cell>
          <cell r="M947" t="str">
            <v>560202</v>
          </cell>
          <cell r="N947" t="str">
            <v>POLYFLOOR EPOXY</v>
          </cell>
        </row>
        <row r="948">
          <cell r="C948" t="str">
            <v>100002158</v>
          </cell>
          <cell r="D948" t="str">
            <v>PFT-253 ISF LIGHT GREY II VN-5KS</v>
          </cell>
          <cell r="E948" t="str">
            <v>ZFGD</v>
          </cell>
          <cell r="F948" t="str">
            <v>SET</v>
          </cell>
          <cell r="G948" t="str">
            <v>5</v>
          </cell>
          <cell r="H948" t="str">
            <v>PROJECT</v>
          </cell>
          <cell r="I948" t="str">
            <v>56</v>
          </cell>
          <cell r="J948" t="str">
            <v>CPC1</v>
          </cell>
          <cell r="K948" t="str">
            <v>5602</v>
          </cell>
          <cell r="L948" t="str">
            <v>POLYFLOOR</v>
          </cell>
          <cell r="M948" t="str">
            <v>560202</v>
          </cell>
          <cell r="N948" t="str">
            <v>POLYFLOOR EPOXY</v>
          </cell>
        </row>
        <row r="949">
          <cell r="C949" t="str">
            <v>100002159</v>
          </cell>
          <cell r="D949" t="str">
            <v>PFT-253 ISF LIGHT GREY II VN-4K</v>
          </cell>
          <cell r="E949" t="str">
            <v>ZFGD</v>
          </cell>
          <cell r="F949" t="str">
            <v>PC</v>
          </cell>
          <cell r="G949" t="str">
            <v>5</v>
          </cell>
          <cell r="H949" t="str">
            <v>PROJECT</v>
          </cell>
          <cell r="I949" t="str">
            <v>56</v>
          </cell>
          <cell r="J949" t="str">
            <v>CPC1</v>
          </cell>
          <cell r="K949" t="str">
            <v>5602</v>
          </cell>
          <cell r="L949" t="str">
            <v>POLYFLOOR</v>
          </cell>
          <cell r="M949" t="str">
            <v>560202</v>
          </cell>
          <cell r="N949" t="str">
            <v>POLYFLOOR EPOXY</v>
          </cell>
        </row>
        <row r="950">
          <cell r="C950" t="str">
            <v>100002160</v>
          </cell>
          <cell r="D950" t="str">
            <v>PFT-253 GREY DRG 4056 VN-20KSP</v>
          </cell>
          <cell r="E950" t="str">
            <v>ZFGD</v>
          </cell>
          <cell r="F950" t="str">
            <v>SET</v>
          </cell>
          <cell r="G950" t="str">
            <v>5</v>
          </cell>
          <cell r="H950" t="str">
            <v>PROJECT</v>
          </cell>
          <cell r="I950" t="str">
            <v>56</v>
          </cell>
          <cell r="J950" t="str">
            <v>CPC1</v>
          </cell>
          <cell r="K950" t="str">
            <v>5602</v>
          </cell>
          <cell r="L950" t="str">
            <v>POLYFLOOR</v>
          </cell>
          <cell r="M950" t="str">
            <v>560202</v>
          </cell>
          <cell r="N950" t="str">
            <v>POLYFLOOR EPOXY</v>
          </cell>
        </row>
        <row r="951">
          <cell r="C951" t="str">
            <v>100002161</v>
          </cell>
          <cell r="D951" t="str">
            <v>PFT-253 GREY DRG 4056 VN-16KP</v>
          </cell>
          <cell r="E951" t="str">
            <v>ZFGD</v>
          </cell>
          <cell r="F951" t="str">
            <v>PC</v>
          </cell>
          <cell r="G951" t="str">
            <v>5</v>
          </cell>
          <cell r="H951" t="str">
            <v>PROJECT</v>
          </cell>
          <cell r="I951" t="str">
            <v>56</v>
          </cell>
          <cell r="J951" t="str">
            <v>CPC1</v>
          </cell>
          <cell r="K951" t="str">
            <v>5602</v>
          </cell>
          <cell r="L951" t="str">
            <v>POLYFLOOR</v>
          </cell>
          <cell r="M951" t="str">
            <v>560202</v>
          </cell>
          <cell r="N951" t="str">
            <v>POLYFLOOR EPOXY</v>
          </cell>
        </row>
        <row r="952">
          <cell r="C952" t="str">
            <v>100002162</v>
          </cell>
          <cell r="D952" t="str">
            <v>PFT-253 GREY DRG 4056 VN-5KS</v>
          </cell>
          <cell r="E952" t="str">
            <v>ZFGD</v>
          </cell>
          <cell r="F952" t="str">
            <v>SET</v>
          </cell>
          <cell r="G952" t="str">
            <v>5</v>
          </cell>
          <cell r="H952" t="str">
            <v>PROJECT</v>
          </cell>
          <cell r="I952" t="str">
            <v>56</v>
          </cell>
          <cell r="J952" t="str">
            <v>CPC1</v>
          </cell>
          <cell r="K952" t="str">
            <v>5602</v>
          </cell>
          <cell r="L952" t="str">
            <v>POLYFLOOR</v>
          </cell>
          <cell r="M952" t="str">
            <v>560202</v>
          </cell>
          <cell r="N952" t="str">
            <v>POLYFLOOR EPOXY</v>
          </cell>
        </row>
        <row r="953">
          <cell r="C953" t="str">
            <v>100002163</v>
          </cell>
          <cell r="D953" t="str">
            <v>PFT-253 GREY DRG 4056 VN-4K</v>
          </cell>
          <cell r="E953" t="str">
            <v>ZFGD</v>
          </cell>
          <cell r="F953" t="str">
            <v>PC</v>
          </cell>
          <cell r="G953" t="str">
            <v>5</v>
          </cell>
          <cell r="H953" t="str">
            <v>PROJECT</v>
          </cell>
          <cell r="I953" t="str">
            <v>56</v>
          </cell>
          <cell r="J953" t="str">
            <v>CPC1</v>
          </cell>
          <cell r="K953" t="str">
            <v>5602</v>
          </cell>
          <cell r="L953" t="str">
            <v>POLYFLOOR</v>
          </cell>
          <cell r="M953" t="str">
            <v>560202</v>
          </cell>
          <cell r="N953" t="str">
            <v>POLYFLOOR EPOXY</v>
          </cell>
        </row>
        <row r="954">
          <cell r="C954" t="str">
            <v>100002164</v>
          </cell>
          <cell r="D954" t="str">
            <v>PFT-253 RED RAL 3028 VN-20KSP</v>
          </cell>
          <cell r="E954" t="str">
            <v>ZFGD</v>
          </cell>
          <cell r="F954" t="str">
            <v>SET</v>
          </cell>
          <cell r="G954" t="str">
            <v>5</v>
          </cell>
          <cell r="H954" t="str">
            <v>PROJECT</v>
          </cell>
          <cell r="I954" t="str">
            <v>56</v>
          </cell>
          <cell r="J954" t="str">
            <v>CPC1</v>
          </cell>
          <cell r="K954" t="str">
            <v>5602</v>
          </cell>
          <cell r="L954" t="str">
            <v>POLYFLOOR</v>
          </cell>
          <cell r="M954" t="str">
            <v>560202</v>
          </cell>
          <cell r="N954" t="str">
            <v>POLYFLOOR EPOXY</v>
          </cell>
        </row>
        <row r="955">
          <cell r="C955" t="str">
            <v>100002165</v>
          </cell>
          <cell r="D955" t="str">
            <v>PFT-253 RED RAL 3028 VN-16KP</v>
          </cell>
          <cell r="E955" t="str">
            <v>ZFGD</v>
          </cell>
          <cell r="F955" t="str">
            <v>PC</v>
          </cell>
          <cell r="G955" t="str">
            <v>5</v>
          </cell>
          <cell r="H955" t="str">
            <v>PROJECT</v>
          </cell>
          <cell r="I955" t="str">
            <v>56</v>
          </cell>
          <cell r="J955" t="str">
            <v>CPC1</v>
          </cell>
          <cell r="K955" t="str">
            <v>5602</v>
          </cell>
          <cell r="L955" t="str">
            <v>POLYFLOOR</v>
          </cell>
          <cell r="M955" t="str">
            <v>560202</v>
          </cell>
          <cell r="N955" t="str">
            <v>POLYFLOOR EPOXY</v>
          </cell>
        </row>
        <row r="956">
          <cell r="C956" t="str">
            <v>100002166</v>
          </cell>
          <cell r="D956" t="str">
            <v>PFT-253 RED RAL 3028 VN-5KS</v>
          </cell>
          <cell r="E956" t="str">
            <v>ZFGD</v>
          </cell>
          <cell r="F956" t="str">
            <v>SET</v>
          </cell>
          <cell r="G956" t="str">
            <v>5</v>
          </cell>
          <cell r="H956" t="str">
            <v>PROJECT</v>
          </cell>
          <cell r="I956" t="str">
            <v>56</v>
          </cell>
          <cell r="J956" t="str">
            <v>CPC1</v>
          </cell>
          <cell r="K956" t="str">
            <v>5602</v>
          </cell>
          <cell r="L956" t="str">
            <v>POLYFLOOR</v>
          </cell>
          <cell r="M956" t="str">
            <v>560202</v>
          </cell>
          <cell r="N956" t="str">
            <v>POLYFLOOR EPOXY</v>
          </cell>
        </row>
        <row r="957">
          <cell r="C957" t="str">
            <v>100002167</v>
          </cell>
          <cell r="D957" t="str">
            <v>PFT-253 RED RAL 3028 VN-4K</v>
          </cell>
          <cell r="E957" t="str">
            <v>ZFGD</v>
          </cell>
          <cell r="F957" t="str">
            <v>PC</v>
          </cell>
          <cell r="G957" t="str">
            <v>5</v>
          </cell>
          <cell r="H957" t="str">
            <v>PROJECT</v>
          </cell>
          <cell r="I957" t="str">
            <v>56</v>
          </cell>
          <cell r="J957" t="str">
            <v>CPC1</v>
          </cell>
          <cell r="K957" t="str">
            <v>5602</v>
          </cell>
          <cell r="L957" t="str">
            <v>POLYFLOOR</v>
          </cell>
          <cell r="M957" t="str">
            <v>560202</v>
          </cell>
          <cell r="N957" t="str">
            <v>POLYFLOOR EPOXY</v>
          </cell>
        </row>
        <row r="958">
          <cell r="C958" t="str">
            <v>100002168</v>
          </cell>
          <cell r="D958" t="str">
            <v>PFT-253 RAL 7046 VN-20KSP</v>
          </cell>
          <cell r="E958" t="str">
            <v>ZFGD</v>
          </cell>
          <cell r="F958" t="str">
            <v>SET</v>
          </cell>
          <cell r="G958" t="str">
            <v>5</v>
          </cell>
          <cell r="H958" t="str">
            <v>PROJECT</v>
          </cell>
          <cell r="I958" t="str">
            <v>56</v>
          </cell>
          <cell r="J958" t="str">
            <v>CPC1</v>
          </cell>
          <cell r="K958" t="str">
            <v>5602</v>
          </cell>
          <cell r="L958" t="str">
            <v>POLYFLOOR</v>
          </cell>
          <cell r="M958" t="str">
            <v>560202</v>
          </cell>
          <cell r="N958" t="str">
            <v>POLYFLOOR EPOXY</v>
          </cell>
        </row>
        <row r="959">
          <cell r="C959" t="str">
            <v>100002169</v>
          </cell>
          <cell r="D959" t="str">
            <v>PFT-253 RAL 7046 VN-16KP</v>
          </cell>
          <cell r="E959" t="str">
            <v>ZFGD</v>
          </cell>
          <cell r="F959" t="str">
            <v>PC</v>
          </cell>
          <cell r="G959" t="str">
            <v>5</v>
          </cell>
          <cell r="H959" t="str">
            <v>PROJECT</v>
          </cell>
          <cell r="I959" t="str">
            <v>56</v>
          </cell>
          <cell r="J959" t="str">
            <v>CPC1</v>
          </cell>
          <cell r="K959" t="str">
            <v>5602</v>
          </cell>
          <cell r="L959" t="str">
            <v>POLYFLOOR</v>
          </cell>
          <cell r="M959" t="str">
            <v>560202</v>
          </cell>
          <cell r="N959" t="str">
            <v>POLYFLOOR EPOXY</v>
          </cell>
        </row>
        <row r="960">
          <cell r="C960" t="str">
            <v>100002170</v>
          </cell>
          <cell r="D960" t="str">
            <v>PFT-253 RAL 7046 VN-5KS</v>
          </cell>
          <cell r="E960" t="str">
            <v>ZFGD</v>
          </cell>
          <cell r="F960" t="str">
            <v>SET</v>
          </cell>
          <cell r="G960" t="str">
            <v>5</v>
          </cell>
          <cell r="H960" t="str">
            <v>PROJECT</v>
          </cell>
          <cell r="I960" t="str">
            <v>56</v>
          </cell>
          <cell r="J960" t="str">
            <v>CPC1</v>
          </cell>
          <cell r="K960" t="str">
            <v>5602</v>
          </cell>
          <cell r="L960" t="str">
            <v>POLYFLOOR</v>
          </cell>
          <cell r="M960" t="str">
            <v>560202</v>
          </cell>
          <cell r="N960" t="str">
            <v>POLYFLOOR EPOXY</v>
          </cell>
        </row>
        <row r="961">
          <cell r="C961" t="str">
            <v>100002171</v>
          </cell>
          <cell r="D961" t="str">
            <v>PFT-253 RAL 7046 VN-4K</v>
          </cell>
          <cell r="E961" t="str">
            <v>ZFGD</v>
          </cell>
          <cell r="F961" t="str">
            <v>PC</v>
          </cell>
          <cell r="G961" t="str">
            <v>5</v>
          </cell>
          <cell r="H961" t="str">
            <v>PROJECT</v>
          </cell>
          <cell r="I961" t="str">
            <v>56</v>
          </cell>
          <cell r="J961" t="str">
            <v>CPC1</v>
          </cell>
          <cell r="K961" t="str">
            <v>5602</v>
          </cell>
          <cell r="L961" t="str">
            <v>POLYFLOOR</v>
          </cell>
          <cell r="M961" t="str">
            <v>560202</v>
          </cell>
          <cell r="N961" t="str">
            <v>POLYFLOOR EPOXY</v>
          </cell>
        </row>
        <row r="962">
          <cell r="C962" t="str">
            <v>100002172</v>
          </cell>
          <cell r="D962" t="str">
            <v>UPR-960 BLACK 9406 VN-1K</v>
          </cell>
          <cell r="E962" t="str">
            <v>ZFGD</v>
          </cell>
          <cell r="F962" t="str">
            <v>PC</v>
          </cell>
          <cell r="G962" t="str">
            <v>2</v>
          </cell>
          <cell r="H962" t="str">
            <v>RETAIL</v>
          </cell>
          <cell r="I962" t="str">
            <v>2D</v>
          </cell>
          <cell r="J962" t="str">
            <v>APCT2</v>
          </cell>
          <cell r="K962" t="str">
            <v>2D01</v>
          </cell>
          <cell r="L962" t="str">
            <v>ULTRAPROOF</v>
          </cell>
          <cell r="M962" t="str">
            <v>2D0101</v>
          </cell>
          <cell r="N962" t="str">
            <v>ULTRAPROOF RMX</v>
          </cell>
        </row>
        <row r="963">
          <cell r="C963" t="str">
            <v>100002173</v>
          </cell>
          <cell r="D963" t="str">
            <v>UPR-960 DARK BROWN 2406 VN-1K</v>
          </cell>
          <cell r="E963" t="str">
            <v>ZFGD</v>
          </cell>
          <cell r="F963" t="str">
            <v>PC</v>
          </cell>
          <cell r="G963" t="str">
            <v>2</v>
          </cell>
          <cell r="H963" t="str">
            <v>RETAIL</v>
          </cell>
          <cell r="I963" t="str">
            <v>2D</v>
          </cell>
          <cell r="J963" t="str">
            <v>APCT2</v>
          </cell>
          <cell r="K963" t="str">
            <v>2D01</v>
          </cell>
          <cell r="L963" t="str">
            <v>ULTRAPROOF</v>
          </cell>
          <cell r="M963" t="str">
            <v>2D0101</v>
          </cell>
          <cell r="N963" t="str">
            <v>ULTRAPROOF RMX</v>
          </cell>
        </row>
        <row r="964">
          <cell r="C964" t="str">
            <v>100002174</v>
          </cell>
          <cell r="D964" t="str">
            <v>UPR-960 HARVEST 3404 VN-1K</v>
          </cell>
          <cell r="E964" t="str">
            <v>ZFGD</v>
          </cell>
          <cell r="F964" t="str">
            <v>PC</v>
          </cell>
          <cell r="G964" t="str">
            <v>2</v>
          </cell>
          <cell r="H964" t="str">
            <v>RETAIL</v>
          </cell>
          <cell r="I964" t="str">
            <v>2D</v>
          </cell>
          <cell r="J964" t="str">
            <v>APCT2</v>
          </cell>
          <cell r="K964" t="str">
            <v>2D01</v>
          </cell>
          <cell r="L964" t="str">
            <v>ULTRAPROOF</v>
          </cell>
          <cell r="M964" t="str">
            <v>2D0101</v>
          </cell>
          <cell r="N964" t="str">
            <v>ULTRAPROOF RMX</v>
          </cell>
        </row>
        <row r="965">
          <cell r="C965" t="str">
            <v>100002175</v>
          </cell>
          <cell r="D965" t="str">
            <v>UPR-960 LIGHT GREY 7114 VN-1K</v>
          </cell>
          <cell r="E965" t="str">
            <v>ZFGD</v>
          </cell>
          <cell r="F965" t="str">
            <v>PC</v>
          </cell>
          <cell r="G965" t="str">
            <v>2</v>
          </cell>
          <cell r="H965" t="str">
            <v>RETAIL</v>
          </cell>
          <cell r="I965" t="str">
            <v>2D</v>
          </cell>
          <cell r="J965" t="str">
            <v>APCT2</v>
          </cell>
          <cell r="K965" t="str">
            <v>2D01</v>
          </cell>
          <cell r="L965" t="str">
            <v>ULTRAPROOF</v>
          </cell>
          <cell r="M965" t="str">
            <v>2D0101</v>
          </cell>
          <cell r="N965" t="str">
            <v>ULTRAPROOF RMX</v>
          </cell>
        </row>
        <row r="966">
          <cell r="C966" t="str">
            <v>100002176</v>
          </cell>
          <cell r="D966" t="str">
            <v>UPR-960 WHITE 9101 VN-1K</v>
          </cell>
          <cell r="E966" t="str">
            <v>ZFGD</v>
          </cell>
          <cell r="F966" t="str">
            <v>PC</v>
          </cell>
          <cell r="G966" t="str">
            <v>2</v>
          </cell>
          <cell r="H966" t="str">
            <v>RETAIL</v>
          </cell>
          <cell r="I966" t="str">
            <v>2D</v>
          </cell>
          <cell r="J966" t="str">
            <v>APCT2</v>
          </cell>
          <cell r="K966" t="str">
            <v>2D01</v>
          </cell>
          <cell r="L966" t="str">
            <v>ULTRAPROOF</v>
          </cell>
          <cell r="M966" t="str">
            <v>2D0101</v>
          </cell>
          <cell r="N966" t="str">
            <v>ULTRAPROOF RMX</v>
          </cell>
        </row>
        <row r="967">
          <cell r="C967" t="str">
            <v>100002177</v>
          </cell>
          <cell r="D967" t="str">
            <v>UPR-960 ARMY GREEN 7414 VN-1K</v>
          </cell>
          <cell r="E967" t="str">
            <v>ZFGD</v>
          </cell>
          <cell r="F967" t="str">
            <v>PC</v>
          </cell>
          <cell r="G967" t="str">
            <v>2</v>
          </cell>
          <cell r="H967" t="str">
            <v>RETAIL</v>
          </cell>
          <cell r="I967" t="str">
            <v>2D</v>
          </cell>
          <cell r="J967" t="str">
            <v>APCT2</v>
          </cell>
          <cell r="K967" t="str">
            <v>2D01</v>
          </cell>
          <cell r="L967" t="str">
            <v>ULTRAPROOF</v>
          </cell>
          <cell r="M967" t="str">
            <v>2D0101</v>
          </cell>
          <cell r="N967" t="str">
            <v>ULTRAPROOF RMX</v>
          </cell>
        </row>
        <row r="968">
          <cell r="C968" t="str">
            <v>100002178</v>
          </cell>
          <cell r="D968" t="str">
            <v>UPR-960 PASTEL GREY 8403 VN-1K</v>
          </cell>
          <cell r="E968" t="str">
            <v>ZFGD</v>
          </cell>
          <cell r="F968" t="str">
            <v>PC</v>
          </cell>
          <cell r="G968" t="str">
            <v>2</v>
          </cell>
          <cell r="H968" t="str">
            <v>RETAIL</v>
          </cell>
          <cell r="I968" t="str">
            <v>2D</v>
          </cell>
          <cell r="J968" t="str">
            <v>APCT2</v>
          </cell>
          <cell r="K968" t="str">
            <v>2D01</v>
          </cell>
          <cell r="L968" t="str">
            <v>ULTRAPROOF</v>
          </cell>
          <cell r="M968" t="str">
            <v>2D0101</v>
          </cell>
          <cell r="N968" t="str">
            <v>ULTRAPROOF RMX</v>
          </cell>
        </row>
        <row r="969">
          <cell r="C969" t="str">
            <v>100002179</v>
          </cell>
          <cell r="D969" t="str">
            <v>UPR-960 APRICOT 1141 VN-1K</v>
          </cell>
          <cell r="E969" t="str">
            <v>ZFGD</v>
          </cell>
          <cell r="F969" t="str">
            <v>PC</v>
          </cell>
          <cell r="G969" t="str">
            <v>2</v>
          </cell>
          <cell r="H969" t="str">
            <v>RETAIL</v>
          </cell>
          <cell r="I969" t="str">
            <v>2D</v>
          </cell>
          <cell r="J969" t="str">
            <v>APCT2</v>
          </cell>
          <cell r="K969" t="str">
            <v>2D01</v>
          </cell>
          <cell r="L969" t="str">
            <v>ULTRAPROOF</v>
          </cell>
          <cell r="M969" t="str">
            <v>2D0101</v>
          </cell>
          <cell r="N969" t="str">
            <v>ULTRAPROOF RMX</v>
          </cell>
        </row>
        <row r="970">
          <cell r="C970" t="str">
            <v>100002180</v>
          </cell>
          <cell r="D970" t="str">
            <v>UPR-960 SKY BLUE 7101 VN-1K</v>
          </cell>
          <cell r="E970" t="str">
            <v>ZFGD</v>
          </cell>
          <cell r="F970" t="str">
            <v>PC</v>
          </cell>
          <cell r="G970" t="str">
            <v>2</v>
          </cell>
          <cell r="H970" t="str">
            <v>RETAIL</v>
          </cell>
          <cell r="I970" t="str">
            <v>2D</v>
          </cell>
          <cell r="J970" t="str">
            <v>APCT2</v>
          </cell>
          <cell r="K970" t="str">
            <v>2D01</v>
          </cell>
          <cell r="L970" t="str">
            <v>ULTRAPROOF</v>
          </cell>
          <cell r="M970" t="str">
            <v>2D0101</v>
          </cell>
          <cell r="N970" t="str">
            <v>ULTRAPROOF RMX</v>
          </cell>
        </row>
        <row r="971">
          <cell r="C971" t="str">
            <v>100002181</v>
          </cell>
          <cell r="D971" t="str">
            <v>UPR-960 MARINE GREEN 7107 VN-1K</v>
          </cell>
          <cell r="E971" t="str">
            <v>ZFGD</v>
          </cell>
          <cell r="F971" t="str">
            <v>PC</v>
          </cell>
          <cell r="G971" t="str">
            <v>2</v>
          </cell>
          <cell r="H971" t="str">
            <v>RETAIL</v>
          </cell>
          <cell r="I971" t="str">
            <v>2D</v>
          </cell>
          <cell r="J971" t="str">
            <v>APCT2</v>
          </cell>
          <cell r="K971" t="str">
            <v>2D01</v>
          </cell>
          <cell r="L971" t="str">
            <v>ULTRAPROOF</v>
          </cell>
          <cell r="M971" t="str">
            <v>2D0101</v>
          </cell>
          <cell r="N971" t="str">
            <v>ULTRAPROOF RMX</v>
          </cell>
        </row>
        <row r="972">
          <cell r="C972" t="str">
            <v>100002182</v>
          </cell>
          <cell r="D972" t="str">
            <v>UPR-960 BLUE MYSTERY 0041 VN-1K</v>
          </cell>
          <cell r="E972" t="str">
            <v>ZFGD</v>
          </cell>
          <cell r="F972" t="str">
            <v>PC</v>
          </cell>
          <cell r="G972" t="str">
            <v>2</v>
          </cell>
          <cell r="H972" t="str">
            <v>RETAIL</v>
          </cell>
          <cell r="I972" t="str">
            <v>2D</v>
          </cell>
          <cell r="J972" t="str">
            <v>APCT2</v>
          </cell>
          <cell r="K972" t="str">
            <v>2D01</v>
          </cell>
          <cell r="L972" t="str">
            <v>ULTRAPROOF</v>
          </cell>
          <cell r="M972" t="str">
            <v>2D0101</v>
          </cell>
          <cell r="N972" t="str">
            <v>ULTRAPROOF RMX</v>
          </cell>
        </row>
        <row r="973">
          <cell r="C973" t="str">
            <v>100002183</v>
          </cell>
          <cell r="D973" t="str">
            <v>UPR-960 PRIME GREY 0044 VN-1K</v>
          </cell>
          <cell r="E973" t="str">
            <v>ZFGD</v>
          </cell>
          <cell r="F973" t="str">
            <v>PC</v>
          </cell>
          <cell r="G973" t="str">
            <v>2</v>
          </cell>
          <cell r="H973" t="str">
            <v>RETAIL</v>
          </cell>
          <cell r="I973" t="str">
            <v>2D</v>
          </cell>
          <cell r="J973" t="str">
            <v>APCT2</v>
          </cell>
          <cell r="K973" t="str">
            <v>2D01</v>
          </cell>
          <cell r="L973" t="str">
            <v>ULTRAPROOF</v>
          </cell>
          <cell r="M973" t="str">
            <v>2D0101</v>
          </cell>
          <cell r="N973" t="str">
            <v>ULTRAPROOF RMX</v>
          </cell>
        </row>
        <row r="974">
          <cell r="C974" t="str">
            <v>100002184</v>
          </cell>
          <cell r="D974" t="str">
            <v>UPR-960 SAND STONE 0045 VN-1K</v>
          </cell>
          <cell r="E974" t="str">
            <v>ZFGD</v>
          </cell>
          <cell r="F974" t="str">
            <v>PC</v>
          </cell>
          <cell r="G974" t="str">
            <v>2</v>
          </cell>
          <cell r="H974" t="str">
            <v>RETAIL</v>
          </cell>
          <cell r="I974" t="str">
            <v>2D</v>
          </cell>
          <cell r="J974" t="str">
            <v>APCT2</v>
          </cell>
          <cell r="K974" t="str">
            <v>2D01</v>
          </cell>
          <cell r="L974" t="str">
            <v>ULTRAPROOF</v>
          </cell>
          <cell r="M974" t="str">
            <v>2D0101</v>
          </cell>
          <cell r="N974" t="str">
            <v>ULTRAPROOF RMX</v>
          </cell>
        </row>
        <row r="975">
          <cell r="C975" t="str">
            <v>100002185</v>
          </cell>
          <cell r="D975" t="str">
            <v>UPR-960 SUNKISS 0046 VN-1K</v>
          </cell>
          <cell r="E975" t="str">
            <v>ZFGD</v>
          </cell>
          <cell r="F975" t="str">
            <v>PC</v>
          </cell>
          <cell r="G975" t="str">
            <v>2</v>
          </cell>
          <cell r="H975" t="str">
            <v>RETAIL</v>
          </cell>
          <cell r="I975" t="str">
            <v>2D</v>
          </cell>
          <cell r="J975" t="str">
            <v>APCT2</v>
          </cell>
          <cell r="K975" t="str">
            <v>2D01</v>
          </cell>
          <cell r="L975" t="str">
            <v>ULTRAPROOF</v>
          </cell>
          <cell r="M975" t="str">
            <v>2D0101</v>
          </cell>
          <cell r="N975" t="str">
            <v>ULTRAPROOF RMX</v>
          </cell>
        </row>
        <row r="976">
          <cell r="C976" t="str">
            <v>100002186</v>
          </cell>
          <cell r="D976" t="str">
            <v>UPR-960 SUMMER SALAD 0065 VN-1K</v>
          </cell>
          <cell r="E976" t="str">
            <v>ZFGD</v>
          </cell>
          <cell r="F976" t="str">
            <v>PC</v>
          </cell>
          <cell r="G976" t="str">
            <v>2</v>
          </cell>
          <cell r="H976" t="str">
            <v>RETAIL</v>
          </cell>
          <cell r="I976" t="str">
            <v>2D</v>
          </cell>
          <cell r="J976" t="str">
            <v>APCT2</v>
          </cell>
          <cell r="K976" t="str">
            <v>2D01</v>
          </cell>
          <cell r="L976" t="str">
            <v>ULTRAPROOF</v>
          </cell>
          <cell r="M976" t="str">
            <v>2D0101</v>
          </cell>
          <cell r="N976" t="str">
            <v>ULTRAPROOF RMX</v>
          </cell>
        </row>
        <row r="977">
          <cell r="C977" t="str">
            <v>100002187</v>
          </cell>
          <cell r="D977" t="str">
            <v>UPR-960 CAPPUCINO 0067 VN-1K</v>
          </cell>
          <cell r="E977" t="str">
            <v>ZFGD</v>
          </cell>
          <cell r="F977" t="str">
            <v>PC</v>
          </cell>
          <cell r="G977" t="str">
            <v>2</v>
          </cell>
          <cell r="H977" t="str">
            <v>RETAIL</v>
          </cell>
          <cell r="I977" t="str">
            <v>2D</v>
          </cell>
          <cell r="J977" t="str">
            <v>APCT2</v>
          </cell>
          <cell r="K977" t="str">
            <v>2D01</v>
          </cell>
          <cell r="L977" t="str">
            <v>ULTRAPROOF</v>
          </cell>
          <cell r="M977" t="str">
            <v>2D0101</v>
          </cell>
          <cell r="N977" t="str">
            <v>ULTRAPROOF RMX</v>
          </cell>
        </row>
        <row r="978">
          <cell r="C978" t="str">
            <v>100002188</v>
          </cell>
          <cell r="D978" t="str">
            <v>MX-94 ORANGE TD 01 VN-5KS</v>
          </cell>
          <cell r="E978" t="str">
            <v>ZFGD</v>
          </cell>
          <cell r="F978" t="str">
            <v>SET</v>
          </cell>
          <cell r="G978" t="str">
            <v>5</v>
          </cell>
          <cell r="H978" t="str">
            <v>PROJECT</v>
          </cell>
          <cell r="I978" t="str">
            <v>56</v>
          </cell>
          <cell r="J978" t="str">
            <v>CPC1</v>
          </cell>
          <cell r="K978" t="str">
            <v>5603</v>
          </cell>
          <cell r="L978" t="str">
            <v>MULTIPOX</v>
          </cell>
          <cell r="M978" t="str">
            <v>560301</v>
          </cell>
          <cell r="N978" t="str">
            <v>MULTIPOX</v>
          </cell>
        </row>
        <row r="979">
          <cell r="C979" t="str">
            <v>100002189</v>
          </cell>
          <cell r="D979" t="str">
            <v>MX-94 ORANGE TD 01 VN-4K</v>
          </cell>
          <cell r="E979" t="str">
            <v>ZFGD</v>
          </cell>
          <cell r="F979" t="str">
            <v>PC</v>
          </cell>
          <cell r="G979" t="str">
            <v>5</v>
          </cell>
          <cell r="H979" t="str">
            <v>PROJECT</v>
          </cell>
          <cell r="I979" t="str">
            <v>56</v>
          </cell>
          <cell r="J979" t="str">
            <v>CPC1</v>
          </cell>
          <cell r="K979" t="str">
            <v>5603</v>
          </cell>
          <cell r="L979" t="str">
            <v>MULTIPOX</v>
          </cell>
          <cell r="M979" t="str">
            <v>560301</v>
          </cell>
          <cell r="N979" t="str">
            <v>MULTIPOX</v>
          </cell>
        </row>
        <row r="980">
          <cell r="C980" t="str">
            <v>100002190</v>
          </cell>
          <cell r="D980" t="str">
            <v>MX-94 ORANGE TD 01 VN-20KSP</v>
          </cell>
          <cell r="E980" t="str">
            <v>ZFGD</v>
          </cell>
          <cell r="F980" t="str">
            <v>SET</v>
          </cell>
          <cell r="G980" t="str">
            <v>5</v>
          </cell>
          <cell r="H980" t="str">
            <v>PROJECT</v>
          </cell>
          <cell r="I980" t="str">
            <v>56</v>
          </cell>
          <cell r="J980" t="str">
            <v>CPC1</v>
          </cell>
          <cell r="K980" t="str">
            <v>5603</v>
          </cell>
          <cell r="L980" t="str">
            <v>MULTIPOX</v>
          </cell>
          <cell r="M980" t="str">
            <v>560301</v>
          </cell>
          <cell r="N980" t="str">
            <v>MULTIPOX</v>
          </cell>
        </row>
        <row r="981">
          <cell r="C981" t="str">
            <v>100002191</v>
          </cell>
          <cell r="D981" t="str">
            <v>MX-94 ORANGE TD 01 VN-16KP</v>
          </cell>
          <cell r="E981" t="str">
            <v>ZFGD</v>
          </cell>
          <cell r="F981" t="str">
            <v>PC</v>
          </cell>
          <cell r="G981" t="str">
            <v>5</v>
          </cell>
          <cell r="H981" t="str">
            <v>PROJECT</v>
          </cell>
          <cell r="I981" t="str">
            <v>56</v>
          </cell>
          <cell r="J981" t="str">
            <v>CPC1</v>
          </cell>
          <cell r="K981" t="str">
            <v>5603</v>
          </cell>
          <cell r="L981" t="str">
            <v>MULTIPOX</v>
          </cell>
          <cell r="M981" t="str">
            <v>560301</v>
          </cell>
          <cell r="N981" t="str">
            <v>MULTIPOX</v>
          </cell>
        </row>
        <row r="982">
          <cell r="C982" t="str">
            <v>100002192</v>
          </cell>
          <cell r="D982" t="str">
            <v>AP-281-01 RED OXIDE VN-18KP</v>
          </cell>
          <cell r="E982" t="str">
            <v>ZFGD</v>
          </cell>
          <cell r="F982" t="str">
            <v>PC</v>
          </cell>
          <cell r="G982" t="str">
            <v>5</v>
          </cell>
          <cell r="H982" t="str">
            <v>PROJECT</v>
          </cell>
          <cell r="I982" t="str">
            <v>59</v>
          </cell>
          <cell r="J982" t="str">
            <v>MPC</v>
          </cell>
          <cell r="K982" t="str">
            <v>5904</v>
          </cell>
          <cell r="L982" t="str">
            <v>METALKOTE</v>
          </cell>
          <cell r="M982" t="str">
            <v>590401</v>
          </cell>
          <cell r="N982" t="str">
            <v>METALKOTE-ALKYD SYS</v>
          </cell>
        </row>
        <row r="983">
          <cell r="C983" t="str">
            <v>100002193</v>
          </cell>
          <cell r="D983" t="str">
            <v>THINNER PT VN-3.8L</v>
          </cell>
          <cell r="E983" t="str">
            <v>ZFGD</v>
          </cell>
          <cell r="F983" t="str">
            <v>PC</v>
          </cell>
          <cell r="G983" t="str">
            <v>2</v>
          </cell>
          <cell r="H983" t="str">
            <v>RETAIL</v>
          </cell>
          <cell r="I983" t="str">
            <v>29</v>
          </cell>
          <cell r="J983" t="str">
            <v>MPC</v>
          </cell>
          <cell r="K983" t="str">
            <v>2915</v>
          </cell>
          <cell r="L983" t="str">
            <v>THINNER</v>
          </cell>
          <cell r="M983" t="str">
            <v>291502</v>
          </cell>
          <cell r="N983" t="str">
            <v>THINNER MPC</v>
          </cell>
        </row>
        <row r="984">
          <cell r="C984" t="str">
            <v>100002194</v>
          </cell>
          <cell r="D984" t="str">
            <v>THINNER PT VN-20LP</v>
          </cell>
          <cell r="E984" t="str">
            <v>ZFGD</v>
          </cell>
          <cell r="F984" t="str">
            <v>PC</v>
          </cell>
          <cell r="G984" t="str">
            <v>2</v>
          </cell>
          <cell r="H984" t="str">
            <v>RETAIL</v>
          </cell>
          <cell r="I984" t="str">
            <v>29</v>
          </cell>
          <cell r="J984" t="str">
            <v>MPC</v>
          </cell>
          <cell r="K984" t="str">
            <v>2915</v>
          </cell>
          <cell r="L984" t="str">
            <v>THINNER</v>
          </cell>
          <cell r="M984" t="str">
            <v>291502</v>
          </cell>
          <cell r="N984" t="str">
            <v>THINNER MPC</v>
          </cell>
        </row>
        <row r="985">
          <cell r="C985" t="str">
            <v>100002195</v>
          </cell>
          <cell r="D985" t="str">
            <v>HARDENER PFM-222 VN-0.8K</v>
          </cell>
          <cell r="E985" t="str">
            <v>ZFGD</v>
          </cell>
          <cell r="F985" t="str">
            <v>PC</v>
          </cell>
          <cell r="G985" t="str">
            <v>5</v>
          </cell>
          <cell r="H985" t="str">
            <v>PROJECT</v>
          </cell>
          <cell r="I985" t="str">
            <v>56</v>
          </cell>
          <cell r="J985" t="str">
            <v>CPC1</v>
          </cell>
          <cell r="K985" t="str">
            <v>5607</v>
          </cell>
          <cell r="L985" t="str">
            <v>OTHERS CPC1</v>
          </cell>
          <cell r="M985" t="str">
            <v>560703</v>
          </cell>
          <cell r="N985" t="str">
            <v>COMPLEMENTARY CPC1</v>
          </cell>
        </row>
        <row r="986">
          <cell r="C986" t="str">
            <v>100002196</v>
          </cell>
          <cell r="D986" t="str">
            <v>HARDENER PFM-222 VN-2K</v>
          </cell>
          <cell r="E986" t="str">
            <v>ZFGD</v>
          </cell>
          <cell r="F986" t="str">
            <v>PC</v>
          </cell>
          <cell r="G986" t="str">
            <v>5</v>
          </cell>
          <cell r="H986" t="str">
            <v>PROJECT</v>
          </cell>
          <cell r="I986" t="str">
            <v>56</v>
          </cell>
          <cell r="J986" t="str">
            <v>CPC1</v>
          </cell>
          <cell r="K986" t="str">
            <v>5607</v>
          </cell>
          <cell r="L986" t="str">
            <v>OTHERS CPC1</v>
          </cell>
          <cell r="M986" t="str">
            <v>560703</v>
          </cell>
          <cell r="N986" t="str">
            <v>COMPLEMENTARY CPC1</v>
          </cell>
        </row>
        <row r="987">
          <cell r="C987" t="str">
            <v>100002197</v>
          </cell>
          <cell r="D987" t="str">
            <v>HARDENER PFM-222 SEALER VN-2K</v>
          </cell>
          <cell r="E987" t="str">
            <v>ZFGD</v>
          </cell>
          <cell r="F987" t="str">
            <v>PC</v>
          </cell>
          <cell r="G987" t="str">
            <v>5</v>
          </cell>
          <cell r="H987" t="str">
            <v>PROJECT</v>
          </cell>
          <cell r="I987" t="str">
            <v>56</v>
          </cell>
          <cell r="J987" t="str">
            <v>CPC1</v>
          </cell>
          <cell r="K987" t="str">
            <v>5607</v>
          </cell>
          <cell r="L987" t="str">
            <v>OTHERS CPC1</v>
          </cell>
          <cell r="M987" t="str">
            <v>560703</v>
          </cell>
          <cell r="N987" t="str">
            <v>COMPLEMENTARY CPC1</v>
          </cell>
        </row>
        <row r="988">
          <cell r="C988" t="str">
            <v>100002198</v>
          </cell>
          <cell r="D988" t="str">
            <v>HARDENER PFM-222 SEALER VN-4K</v>
          </cell>
          <cell r="E988" t="str">
            <v>ZFGD</v>
          </cell>
          <cell r="F988" t="str">
            <v>PC</v>
          </cell>
          <cell r="G988" t="str">
            <v>5</v>
          </cell>
          <cell r="H988" t="str">
            <v>PROJECT</v>
          </cell>
          <cell r="I988" t="str">
            <v>56</v>
          </cell>
          <cell r="J988" t="str">
            <v>CPC1</v>
          </cell>
          <cell r="K988" t="str">
            <v>5607</v>
          </cell>
          <cell r="L988" t="str">
            <v>OTHERS CPC1</v>
          </cell>
          <cell r="M988" t="str">
            <v>560703</v>
          </cell>
          <cell r="N988" t="str">
            <v>COMPLEMENTARY CPC1</v>
          </cell>
        </row>
        <row r="989">
          <cell r="C989" t="str">
            <v>100002199</v>
          </cell>
          <cell r="D989" t="str">
            <v>HARDENER PFT-253 FKW VN-1K</v>
          </cell>
          <cell r="E989" t="str">
            <v>ZFGD</v>
          </cell>
          <cell r="F989" t="str">
            <v>PC</v>
          </cell>
          <cell r="G989" t="str">
            <v>5</v>
          </cell>
          <cell r="H989" t="str">
            <v>PROJECT</v>
          </cell>
          <cell r="I989" t="str">
            <v>56</v>
          </cell>
          <cell r="J989" t="str">
            <v>CPC1</v>
          </cell>
          <cell r="K989" t="str">
            <v>5607</v>
          </cell>
          <cell r="L989" t="str">
            <v>OTHERS CPC1</v>
          </cell>
          <cell r="M989" t="str">
            <v>560703</v>
          </cell>
          <cell r="N989" t="str">
            <v>COMPLEMENTARY CPC1</v>
          </cell>
        </row>
        <row r="990">
          <cell r="C990" t="str">
            <v>100002200</v>
          </cell>
          <cell r="D990" t="str">
            <v>HARDENER PFT-253 FKW VN-4K</v>
          </cell>
          <cell r="E990" t="str">
            <v>ZFGD</v>
          </cell>
          <cell r="F990" t="str">
            <v>PC</v>
          </cell>
          <cell r="G990" t="str">
            <v>5</v>
          </cell>
          <cell r="H990" t="str">
            <v>PROJECT</v>
          </cell>
          <cell r="I990" t="str">
            <v>56</v>
          </cell>
          <cell r="J990" t="str">
            <v>CPC1</v>
          </cell>
          <cell r="K990" t="str">
            <v>5607</v>
          </cell>
          <cell r="L990" t="str">
            <v>OTHERS CPC1</v>
          </cell>
          <cell r="M990" t="str">
            <v>560703</v>
          </cell>
          <cell r="N990" t="str">
            <v>COMPLEMENTARY CPC1</v>
          </cell>
        </row>
        <row r="991">
          <cell r="C991" t="str">
            <v>100002201</v>
          </cell>
          <cell r="D991" t="str">
            <v>PROPAN STONE CARE SC-50 SB GLOSS VN-1L</v>
          </cell>
          <cell r="E991" t="str">
            <v>ZFGD</v>
          </cell>
          <cell r="F991" t="str">
            <v>PC</v>
          </cell>
          <cell r="G991" t="str">
            <v>2</v>
          </cell>
          <cell r="H991" t="str">
            <v>RETAIL</v>
          </cell>
          <cell r="I991" t="str">
            <v>26</v>
          </cell>
          <cell r="J991" t="str">
            <v>SFC</v>
          </cell>
          <cell r="K991" t="str">
            <v>2601</v>
          </cell>
          <cell r="L991" t="str">
            <v>STONE CARE</v>
          </cell>
          <cell r="M991" t="str">
            <v>260101</v>
          </cell>
          <cell r="N991" t="str">
            <v>PROPAN STONE CARE</v>
          </cell>
        </row>
        <row r="992">
          <cell r="C992" t="str">
            <v>100002202</v>
          </cell>
          <cell r="D992" t="str">
            <v>DCL-125 WHITE GLOSS VN-0.9K</v>
          </cell>
          <cell r="E992" t="str">
            <v>ZFGD</v>
          </cell>
          <cell r="F992" t="str">
            <v>PC</v>
          </cell>
          <cell r="G992" t="str">
            <v>2</v>
          </cell>
          <cell r="H992" t="str">
            <v>RETAIL</v>
          </cell>
          <cell r="I992" t="str">
            <v>22</v>
          </cell>
          <cell r="J992" t="str">
            <v>WF2</v>
          </cell>
          <cell r="K992" t="str">
            <v>2208</v>
          </cell>
          <cell r="L992" t="str">
            <v>ACRYLUX</v>
          </cell>
          <cell r="M992" t="str">
            <v>220801</v>
          </cell>
          <cell r="N992" t="str">
            <v>ACRYLUX RMX</v>
          </cell>
        </row>
        <row r="993">
          <cell r="C993" t="str">
            <v>100002203</v>
          </cell>
          <cell r="D993" t="str">
            <v>DCL-125 WHITE GLOSS VN-4K</v>
          </cell>
          <cell r="E993" t="str">
            <v>ZFGD</v>
          </cell>
          <cell r="F993" t="str">
            <v>PC</v>
          </cell>
          <cell r="G993" t="str">
            <v>2</v>
          </cell>
          <cell r="H993" t="str">
            <v>RETAIL</v>
          </cell>
          <cell r="I993" t="str">
            <v>22</v>
          </cell>
          <cell r="J993" t="str">
            <v>WF2</v>
          </cell>
          <cell r="K993" t="str">
            <v>2208</v>
          </cell>
          <cell r="L993" t="str">
            <v>ACRYLUX</v>
          </cell>
          <cell r="M993" t="str">
            <v>220801</v>
          </cell>
          <cell r="N993" t="str">
            <v>ACRYLUX RMX</v>
          </cell>
        </row>
        <row r="994">
          <cell r="C994" t="str">
            <v>100002204</v>
          </cell>
          <cell r="D994" t="str">
            <v>DCL-125 WHITE GLOSS VN-16KP</v>
          </cell>
          <cell r="E994" t="str">
            <v>ZFGD</v>
          </cell>
          <cell r="F994" t="str">
            <v>PC</v>
          </cell>
          <cell r="G994" t="str">
            <v>2</v>
          </cell>
          <cell r="H994" t="str">
            <v>RETAIL</v>
          </cell>
          <cell r="I994" t="str">
            <v>22</v>
          </cell>
          <cell r="J994" t="str">
            <v>WF2</v>
          </cell>
          <cell r="K994" t="str">
            <v>2208</v>
          </cell>
          <cell r="L994" t="str">
            <v>ACRYLUX</v>
          </cell>
          <cell r="M994" t="str">
            <v>220801</v>
          </cell>
          <cell r="N994" t="str">
            <v>ACRYLUX RMX</v>
          </cell>
        </row>
        <row r="995">
          <cell r="C995" t="str">
            <v>100002205</v>
          </cell>
          <cell r="D995" t="str">
            <v>DCL-125 WHITE SATIN VN-0.9K</v>
          </cell>
          <cell r="E995" t="str">
            <v>ZFGD</v>
          </cell>
          <cell r="F995" t="str">
            <v>PC</v>
          </cell>
          <cell r="G995" t="str">
            <v>2</v>
          </cell>
          <cell r="H995" t="str">
            <v>RETAIL</v>
          </cell>
          <cell r="I995" t="str">
            <v>22</v>
          </cell>
          <cell r="J995" t="str">
            <v>WF2</v>
          </cell>
          <cell r="K995" t="str">
            <v>2208</v>
          </cell>
          <cell r="L995" t="str">
            <v>ACRYLUX</v>
          </cell>
          <cell r="M995" t="str">
            <v>220801</v>
          </cell>
          <cell r="N995" t="str">
            <v>ACRYLUX RMX</v>
          </cell>
        </row>
        <row r="996">
          <cell r="C996" t="str">
            <v>100002206</v>
          </cell>
          <cell r="D996" t="str">
            <v>DCL-125 WHITE SATIN VN-4K</v>
          </cell>
          <cell r="E996" t="str">
            <v>ZFGD</v>
          </cell>
          <cell r="F996" t="str">
            <v>PC</v>
          </cell>
          <cell r="G996" t="str">
            <v>2</v>
          </cell>
          <cell r="H996" t="str">
            <v>RETAIL</v>
          </cell>
          <cell r="I996" t="str">
            <v>22</v>
          </cell>
          <cell r="J996" t="str">
            <v>WF2</v>
          </cell>
          <cell r="K996" t="str">
            <v>2208</v>
          </cell>
          <cell r="L996" t="str">
            <v>ACRYLUX</v>
          </cell>
          <cell r="M996" t="str">
            <v>220801</v>
          </cell>
          <cell r="N996" t="str">
            <v>ACRYLUX RMX</v>
          </cell>
        </row>
        <row r="997">
          <cell r="C997" t="str">
            <v>100002207</v>
          </cell>
          <cell r="D997" t="str">
            <v>DCL-125 WHITE SATIN VN-16KP</v>
          </cell>
          <cell r="E997" t="str">
            <v>ZFGD</v>
          </cell>
          <cell r="F997" t="str">
            <v>PC</v>
          </cell>
          <cell r="G997" t="str">
            <v>2</v>
          </cell>
          <cell r="H997" t="str">
            <v>RETAIL</v>
          </cell>
          <cell r="I997" t="str">
            <v>22</v>
          </cell>
          <cell r="J997" t="str">
            <v>WF2</v>
          </cell>
          <cell r="K997" t="str">
            <v>2208</v>
          </cell>
          <cell r="L997" t="str">
            <v>ACRYLUX</v>
          </cell>
          <cell r="M997" t="str">
            <v>220801</v>
          </cell>
          <cell r="N997" t="str">
            <v>ACRYLUX RMX</v>
          </cell>
        </row>
        <row r="998">
          <cell r="C998" t="str">
            <v>100002208</v>
          </cell>
          <cell r="D998" t="str">
            <v>DCL-125 WHITE DOF VN-0.9K</v>
          </cell>
          <cell r="E998" t="str">
            <v>ZFGD</v>
          </cell>
          <cell r="F998" t="str">
            <v>PC</v>
          </cell>
          <cell r="G998" t="str">
            <v>2</v>
          </cell>
          <cell r="H998" t="str">
            <v>RETAIL</v>
          </cell>
          <cell r="I998" t="str">
            <v>22</v>
          </cell>
          <cell r="J998" t="str">
            <v>WF2</v>
          </cell>
          <cell r="K998" t="str">
            <v>2208</v>
          </cell>
          <cell r="L998" t="str">
            <v>ACRYLUX</v>
          </cell>
          <cell r="M998" t="str">
            <v>220801</v>
          </cell>
          <cell r="N998" t="str">
            <v>ACRYLUX RMX</v>
          </cell>
        </row>
        <row r="999">
          <cell r="C999" t="str">
            <v>100002209</v>
          </cell>
          <cell r="D999" t="str">
            <v>DCL-125 WHITE DOF VN-4K</v>
          </cell>
          <cell r="E999" t="str">
            <v>ZFGD</v>
          </cell>
          <cell r="F999" t="str">
            <v>PC</v>
          </cell>
          <cell r="G999" t="str">
            <v>2</v>
          </cell>
          <cell r="H999" t="str">
            <v>RETAIL</v>
          </cell>
          <cell r="I999" t="str">
            <v>22</v>
          </cell>
          <cell r="J999" t="str">
            <v>WF2</v>
          </cell>
          <cell r="K999" t="str">
            <v>2208</v>
          </cell>
          <cell r="L999" t="str">
            <v>ACRYLUX</v>
          </cell>
          <cell r="M999" t="str">
            <v>220801</v>
          </cell>
          <cell r="N999" t="str">
            <v>ACRYLUX RMX</v>
          </cell>
        </row>
        <row r="1000">
          <cell r="C1000" t="str">
            <v>100002210</v>
          </cell>
          <cell r="D1000" t="str">
            <v>DCL-125 WHITE DOF VN-16KP</v>
          </cell>
          <cell r="E1000" t="str">
            <v>ZFGD</v>
          </cell>
          <cell r="F1000" t="str">
            <v>PC</v>
          </cell>
          <cell r="G1000" t="str">
            <v>2</v>
          </cell>
          <cell r="H1000" t="str">
            <v>RETAIL</v>
          </cell>
          <cell r="I1000" t="str">
            <v>22</v>
          </cell>
          <cell r="J1000" t="str">
            <v>WF2</v>
          </cell>
          <cell r="K1000" t="str">
            <v>2208</v>
          </cell>
          <cell r="L1000" t="str">
            <v>ACRYLUX</v>
          </cell>
          <cell r="M1000" t="str">
            <v>220801</v>
          </cell>
          <cell r="N1000" t="str">
            <v>ACRYLUX RMX</v>
          </cell>
        </row>
        <row r="1001">
          <cell r="C1001" t="str">
            <v>100002211</v>
          </cell>
          <cell r="D1001" t="str">
            <v>DCL-125 WHITE SEMI GLOSS VN-0.9K</v>
          </cell>
          <cell r="E1001" t="str">
            <v>ZFGD</v>
          </cell>
          <cell r="F1001" t="str">
            <v>PC</v>
          </cell>
          <cell r="G1001" t="str">
            <v>2</v>
          </cell>
          <cell r="H1001" t="str">
            <v>RETAIL</v>
          </cell>
          <cell r="I1001" t="str">
            <v>22</v>
          </cell>
          <cell r="J1001" t="str">
            <v>WF2</v>
          </cell>
          <cell r="K1001" t="str">
            <v>2208</v>
          </cell>
          <cell r="L1001" t="str">
            <v>ACRYLUX</v>
          </cell>
          <cell r="M1001" t="str">
            <v>220801</v>
          </cell>
          <cell r="N1001" t="str">
            <v>ACRYLUX RMX</v>
          </cell>
        </row>
        <row r="1002">
          <cell r="C1002" t="str">
            <v>100002212</v>
          </cell>
          <cell r="D1002" t="str">
            <v>DCL-125 WHITE SEMI GLOSS VN-4K</v>
          </cell>
          <cell r="E1002" t="str">
            <v>ZFGD</v>
          </cell>
          <cell r="F1002" t="str">
            <v>PC</v>
          </cell>
          <cell r="G1002" t="str">
            <v>2</v>
          </cell>
          <cell r="H1002" t="str">
            <v>RETAIL</v>
          </cell>
          <cell r="I1002" t="str">
            <v>22</v>
          </cell>
          <cell r="J1002" t="str">
            <v>WF2</v>
          </cell>
          <cell r="K1002" t="str">
            <v>2208</v>
          </cell>
          <cell r="L1002" t="str">
            <v>ACRYLUX</v>
          </cell>
          <cell r="M1002" t="str">
            <v>220801</v>
          </cell>
          <cell r="N1002" t="str">
            <v>ACRYLUX RMX</v>
          </cell>
        </row>
        <row r="1003">
          <cell r="C1003" t="str">
            <v>100002213</v>
          </cell>
          <cell r="D1003" t="str">
            <v>DCL-125 WHITE SEMI GLOSS VN-16KP</v>
          </cell>
          <cell r="E1003" t="str">
            <v>ZFGD</v>
          </cell>
          <cell r="F1003" t="str">
            <v>PC</v>
          </cell>
          <cell r="G1003" t="str">
            <v>2</v>
          </cell>
          <cell r="H1003" t="str">
            <v>RETAIL</v>
          </cell>
          <cell r="I1003" t="str">
            <v>22</v>
          </cell>
          <cell r="J1003" t="str">
            <v>WF2</v>
          </cell>
          <cell r="K1003" t="str">
            <v>2208</v>
          </cell>
          <cell r="L1003" t="str">
            <v>ACRYLUX</v>
          </cell>
          <cell r="M1003" t="str">
            <v>220801</v>
          </cell>
          <cell r="N1003" t="str">
            <v>ACRYLUX RMX</v>
          </cell>
        </row>
        <row r="1004">
          <cell r="C1004" t="str">
            <v>100002214</v>
          </cell>
          <cell r="D1004" t="str">
            <v>DCL-125 BLACK GLOSS VN-0.9K</v>
          </cell>
          <cell r="E1004" t="str">
            <v>ZFGD</v>
          </cell>
          <cell r="F1004" t="str">
            <v>PC</v>
          </cell>
          <cell r="G1004" t="str">
            <v>2</v>
          </cell>
          <cell r="H1004" t="str">
            <v>RETAIL</v>
          </cell>
          <cell r="I1004" t="str">
            <v>22</v>
          </cell>
          <cell r="J1004" t="str">
            <v>WF2</v>
          </cell>
          <cell r="K1004" t="str">
            <v>2208</v>
          </cell>
          <cell r="L1004" t="str">
            <v>ACRYLUX</v>
          </cell>
          <cell r="M1004" t="str">
            <v>220801</v>
          </cell>
          <cell r="N1004" t="str">
            <v>ACRYLUX RMX</v>
          </cell>
        </row>
        <row r="1005">
          <cell r="C1005" t="str">
            <v>100002215</v>
          </cell>
          <cell r="D1005" t="str">
            <v>DCL-125 BLACK GLOSS VN-4K</v>
          </cell>
          <cell r="E1005" t="str">
            <v>ZFGD</v>
          </cell>
          <cell r="F1005" t="str">
            <v>PC</v>
          </cell>
          <cell r="G1005" t="str">
            <v>2</v>
          </cell>
          <cell r="H1005" t="str">
            <v>RETAIL</v>
          </cell>
          <cell r="I1005" t="str">
            <v>22</v>
          </cell>
          <cell r="J1005" t="str">
            <v>WF2</v>
          </cell>
          <cell r="K1005" t="str">
            <v>2208</v>
          </cell>
          <cell r="L1005" t="str">
            <v>ACRYLUX</v>
          </cell>
          <cell r="M1005" t="str">
            <v>220801</v>
          </cell>
          <cell r="N1005" t="str">
            <v>ACRYLUX RMX</v>
          </cell>
        </row>
        <row r="1006">
          <cell r="C1006" t="str">
            <v>100002216</v>
          </cell>
          <cell r="D1006" t="str">
            <v>DCL-125 BLACK GLOSS VN-16KP</v>
          </cell>
          <cell r="E1006" t="str">
            <v>ZFGD</v>
          </cell>
          <cell r="F1006" t="str">
            <v>PC</v>
          </cell>
          <cell r="G1006" t="str">
            <v>2</v>
          </cell>
          <cell r="H1006" t="str">
            <v>RETAIL</v>
          </cell>
          <cell r="I1006" t="str">
            <v>22</v>
          </cell>
          <cell r="J1006" t="str">
            <v>WF2</v>
          </cell>
          <cell r="K1006" t="str">
            <v>2208</v>
          </cell>
          <cell r="L1006" t="str">
            <v>ACRYLUX</v>
          </cell>
          <cell r="M1006" t="str">
            <v>220801</v>
          </cell>
          <cell r="N1006" t="str">
            <v>ACRYLUX RMX</v>
          </cell>
        </row>
        <row r="1007">
          <cell r="C1007" t="str">
            <v>100002217</v>
          </cell>
          <cell r="D1007" t="str">
            <v>DCL-125 BLACK DOF VN-0.9K</v>
          </cell>
          <cell r="E1007" t="str">
            <v>ZFGD</v>
          </cell>
          <cell r="F1007" t="str">
            <v>PC</v>
          </cell>
          <cell r="G1007" t="str">
            <v>2</v>
          </cell>
          <cell r="H1007" t="str">
            <v>RETAIL</v>
          </cell>
          <cell r="I1007" t="str">
            <v>22</v>
          </cell>
          <cell r="J1007" t="str">
            <v>WF2</v>
          </cell>
          <cell r="K1007" t="str">
            <v>2208</v>
          </cell>
          <cell r="L1007" t="str">
            <v>ACRYLUX</v>
          </cell>
          <cell r="M1007" t="str">
            <v>220801</v>
          </cell>
          <cell r="N1007" t="str">
            <v>ACRYLUX RMX</v>
          </cell>
        </row>
        <row r="1008">
          <cell r="C1008" t="str">
            <v>100002218</v>
          </cell>
          <cell r="D1008" t="str">
            <v>DCL-125 BLACK DOF VN-4K</v>
          </cell>
          <cell r="E1008" t="str">
            <v>ZFGD</v>
          </cell>
          <cell r="F1008" t="str">
            <v>PC</v>
          </cell>
          <cell r="G1008" t="str">
            <v>2</v>
          </cell>
          <cell r="H1008" t="str">
            <v>RETAIL</v>
          </cell>
          <cell r="I1008" t="str">
            <v>22</v>
          </cell>
          <cell r="J1008" t="str">
            <v>WF2</v>
          </cell>
          <cell r="K1008" t="str">
            <v>2208</v>
          </cell>
          <cell r="L1008" t="str">
            <v>ACRYLUX</v>
          </cell>
          <cell r="M1008" t="str">
            <v>220801</v>
          </cell>
          <cell r="N1008" t="str">
            <v>ACRYLUX RMX</v>
          </cell>
        </row>
        <row r="1009">
          <cell r="C1009" t="str">
            <v>100002219</v>
          </cell>
          <cell r="D1009" t="str">
            <v>DCL-125 BLACK DOF VN-16KP</v>
          </cell>
          <cell r="E1009" t="str">
            <v>ZFGD</v>
          </cell>
          <cell r="F1009" t="str">
            <v>PC</v>
          </cell>
          <cell r="G1009" t="str">
            <v>2</v>
          </cell>
          <cell r="H1009" t="str">
            <v>RETAIL</v>
          </cell>
          <cell r="I1009" t="str">
            <v>22</v>
          </cell>
          <cell r="J1009" t="str">
            <v>WF2</v>
          </cell>
          <cell r="K1009" t="str">
            <v>2208</v>
          </cell>
          <cell r="L1009" t="str">
            <v>ACRYLUX</v>
          </cell>
          <cell r="M1009" t="str">
            <v>220801</v>
          </cell>
          <cell r="N1009" t="str">
            <v>ACRYLUX RMX</v>
          </cell>
        </row>
        <row r="1010">
          <cell r="C1010" t="str">
            <v>100002220</v>
          </cell>
          <cell r="D1010" t="str">
            <v>PUP-752-2K WHITE VN-1K</v>
          </cell>
          <cell r="E1010" t="str">
            <v>ZFGD</v>
          </cell>
          <cell r="F1010" t="str">
            <v>PC</v>
          </cell>
          <cell r="G1010" t="str">
            <v>2</v>
          </cell>
          <cell r="H1010" t="str">
            <v>RETAIL</v>
          </cell>
          <cell r="I1010" t="str">
            <v>22</v>
          </cell>
          <cell r="J1010" t="str">
            <v>WF2</v>
          </cell>
          <cell r="K1010" t="str">
            <v>2216</v>
          </cell>
          <cell r="L1010" t="str">
            <v>PU MULTIPURPOSE</v>
          </cell>
          <cell r="M1010" t="str">
            <v>221601</v>
          </cell>
          <cell r="N1010" t="str">
            <v>PROPAN MP PU ACR RMX</v>
          </cell>
        </row>
        <row r="1011">
          <cell r="C1011" t="str">
            <v>100002221</v>
          </cell>
          <cell r="D1011" t="str">
            <v>PUP-752-2K WHITE VN-4K</v>
          </cell>
          <cell r="E1011" t="str">
            <v>ZFGD</v>
          </cell>
          <cell r="F1011" t="str">
            <v>PC</v>
          </cell>
          <cell r="G1011" t="str">
            <v>2</v>
          </cell>
          <cell r="H1011" t="str">
            <v>RETAIL</v>
          </cell>
          <cell r="I1011" t="str">
            <v>22</v>
          </cell>
          <cell r="J1011" t="str">
            <v>WF2</v>
          </cell>
          <cell r="K1011" t="str">
            <v>2216</v>
          </cell>
          <cell r="L1011" t="str">
            <v>PU MULTIPURPOSE</v>
          </cell>
          <cell r="M1011" t="str">
            <v>221601</v>
          </cell>
          <cell r="N1011" t="str">
            <v>PROPAN MP PU ACR RMX</v>
          </cell>
        </row>
        <row r="1012">
          <cell r="C1012" t="str">
            <v>100002222</v>
          </cell>
          <cell r="D1012" t="str">
            <v>PUP-752-2K WHITE VN-16KP</v>
          </cell>
          <cell r="E1012" t="str">
            <v>ZFGD</v>
          </cell>
          <cell r="F1012" t="str">
            <v>PC</v>
          </cell>
          <cell r="G1012" t="str">
            <v>2</v>
          </cell>
          <cell r="H1012" t="str">
            <v>RETAIL</v>
          </cell>
          <cell r="I1012" t="str">
            <v>22</v>
          </cell>
          <cell r="J1012" t="str">
            <v>WF2</v>
          </cell>
          <cell r="K1012" t="str">
            <v>2216</v>
          </cell>
          <cell r="L1012" t="str">
            <v>PU MULTIPURPOSE</v>
          </cell>
          <cell r="M1012" t="str">
            <v>221601</v>
          </cell>
          <cell r="N1012" t="str">
            <v>PROPAN MP PU ACR RMX</v>
          </cell>
        </row>
        <row r="1013">
          <cell r="C1013" t="str">
            <v>100002223</v>
          </cell>
          <cell r="D1013" t="str">
            <v>2K ACRYLIC WHITE GLOSS VN-1KS</v>
          </cell>
          <cell r="E1013" t="str">
            <v>ZFGD</v>
          </cell>
          <cell r="F1013" t="str">
            <v>SET</v>
          </cell>
          <cell r="G1013" t="str">
            <v>2</v>
          </cell>
          <cell r="H1013" t="str">
            <v>RETAIL</v>
          </cell>
          <cell r="I1013" t="str">
            <v>22</v>
          </cell>
          <cell r="J1013" t="str">
            <v>WF2</v>
          </cell>
          <cell r="K1013" t="str">
            <v>2216</v>
          </cell>
          <cell r="L1013" t="str">
            <v>PU MULTIPURPOSE</v>
          </cell>
          <cell r="M1013" t="str">
            <v>221601</v>
          </cell>
          <cell r="N1013" t="str">
            <v>PROPAN MP PU ACR RMX</v>
          </cell>
        </row>
        <row r="1014">
          <cell r="C1014" t="str">
            <v>100002224</v>
          </cell>
          <cell r="D1014" t="str">
            <v>2K ACRYLIC WHITE GLOSS VN-0.8K</v>
          </cell>
          <cell r="E1014" t="str">
            <v>ZFGD</v>
          </cell>
          <cell r="F1014" t="str">
            <v>PC</v>
          </cell>
          <cell r="G1014" t="str">
            <v>2</v>
          </cell>
          <cell r="H1014" t="str">
            <v>RETAIL</v>
          </cell>
          <cell r="I1014" t="str">
            <v>22</v>
          </cell>
          <cell r="J1014" t="str">
            <v>WF2</v>
          </cell>
          <cell r="K1014" t="str">
            <v>2216</v>
          </cell>
          <cell r="L1014" t="str">
            <v>PU MULTIPURPOSE</v>
          </cell>
          <cell r="M1014" t="str">
            <v>221601</v>
          </cell>
          <cell r="N1014" t="str">
            <v>PROPAN MP PU ACR RMX</v>
          </cell>
        </row>
        <row r="1015">
          <cell r="C1015" t="str">
            <v>100002225</v>
          </cell>
          <cell r="D1015" t="str">
            <v>2K ACRYLIC WHITE GLOSS VN-5KS</v>
          </cell>
          <cell r="E1015" t="str">
            <v>ZFGD</v>
          </cell>
          <cell r="F1015" t="str">
            <v>SET</v>
          </cell>
          <cell r="G1015" t="str">
            <v>2</v>
          </cell>
          <cell r="H1015" t="str">
            <v>RETAIL</v>
          </cell>
          <cell r="I1015" t="str">
            <v>22</v>
          </cell>
          <cell r="J1015" t="str">
            <v>WF2</v>
          </cell>
          <cell r="K1015" t="str">
            <v>2216</v>
          </cell>
          <cell r="L1015" t="str">
            <v>PU MULTIPURPOSE</v>
          </cell>
          <cell r="M1015" t="str">
            <v>221601</v>
          </cell>
          <cell r="N1015" t="str">
            <v>PROPAN MP PU ACR RMX</v>
          </cell>
        </row>
        <row r="1016">
          <cell r="C1016" t="str">
            <v>100002226</v>
          </cell>
          <cell r="D1016" t="str">
            <v>2K ACRYLIC WHITE GLOSS VN-4K</v>
          </cell>
          <cell r="E1016" t="str">
            <v>ZFGD</v>
          </cell>
          <cell r="F1016" t="str">
            <v>PC</v>
          </cell>
          <cell r="G1016" t="str">
            <v>2</v>
          </cell>
          <cell r="H1016" t="str">
            <v>RETAIL</v>
          </cell>
          <cell r="I1016" t="str">
            <v>22</v>
          </cell>
          <cell r="J1016" t="str">
            <v>WF2</v>
          </cell>
          <cell r="K1016" t="str">
            <v>2216</v>
          </cell>
          <cell r="L1016" t="str">
            <v>PU MULTIPURPOSE</v>
          </cell>
          <cell r="M1016" t="str">
            <v>221601</v>
          </cell>
          <cell r="N1016" t="str">
            <v>PROPAN MP PU ACR RMX</v>
          </cell>
        </row>
        <row r="1017">
          <cell r="C1017" t="str">
            <v>100002227</v>
          </cell>
          <cell r="D1017" t="str">
            <v>2K ACRYLIC WHITE GLOSS VN-20KSP</v>
          </cell>
          <cell r="E1017" t="str">
            <v>ZFGD</v>
          </cell>
          <cell r="F1017" t="str">
            <v>SET</v>
          </cell>
          <cell r="G1017" t="str">
            <v>2</v>
          </cell>
          <cell r="H1017" t="str">
            <v>RETAIL</v>
          </cell>
          <cell r="I1017" t="str">
            <v>22</v>
          </cell>
          <cell r="J1017" t="str">
            <v>WF2</v>
          </cell>
          <cell r="K1017" t="str">
            <v>2216</v>
          </cell>
          <cell r="L1017" t="str">
            <v>PU MULTIPURPOSE</v>
          </cell>
          <cell r="M1017" t="str">
            <v>221601</v>
          </cell>
          <cell r="N1017" t="str">
            <v>PROPAN MP PU ACR RMX</v>
          </cell>
        </row>
        <row r="1018">
          <cell r="C1018" t="str">
            <v>100002228</v>
          </cell>
          <cell r="D1018" t="str">
            <v>2K ACRYLIC WHITE GLOSS VN-16KP</v>
          </cell>
          <cell r="E1018" t="str">
            <v>ZFGD</v>
          </cell>
          <cell r="F1018" t="str">
            <v>PC</v>
          </cell>
          <cell r="G1018" t="str">
            <v>2</v>
          </cell>
          <cell r="H1018" t="str">
            <v>RETAIL</v>
          </cell>
          <cell r="I1018" t="str">
            <v>22</v>
          </cell>
          <cell r="J1018" t="str">
            <v>WF2</v>
          </cell>
          <cell r="K1018" t="str">
            <v>2216</v>
          </cell>
          <cell r="L1018" t="str">
            <v>PU MULTIPURPOSE</v>
          </cell>
          <cell r="M1018" t="str">
            <v>221601</v>
          </cell>
          <cell r="N1018" t="str">
            <v>PROPAN MP PU ACR RMX</v>
          </cell>
        </row>
        <row r="1019">
          <cell r="C1019" t="str">
            <v>100002229</v>
          </cell>
          <cell r="D1019" t="str">
            <v>2K ACRYLIC CHILI RED GLOSS VN-1KS</v>
          </cell>
          <cell r="E1019" t="str">
            <v>ZFGD</v>
          </cell>
          <cell r="F1019" t="str">
            <v>SET</v>
          </cell>
          <cell r="G1019" t="str">
            <v>2</v>
          </cell>
          <cell r="H1019" t="str">
            <v>RETAIL</v>
          </cell>
          <cell r="I1019" t="str">
            <v>22</v>
          </cell>
          <cell r="J1019" t="str">
            <v>WF2</v>
          </cell>
          <cell r="K1019" t="str">
            <v>2216</v>
          </cell>
          <cell r="L1019" t="str">
            <v>PU MULTIPURPOSE</v>
          </cell>
          <cell r="M1019" t="str">
            <v>221601</v>
          </cell>
          <cell r="N1019" t="str">
            <v>PROPAN MP PU ACR RMX</v>
          </cell>
        </row>
        <row r="1020">
          <cell r="C1020" t="str">
            <v>100002230</v>
          </cell>
          <cell r="D1020" t="str">
            <v>2K ACRYLIC CHILI RED GLOSS VN-0.8K</v>
          </cell>
          <cell r="E1020" t="str">
            <v>ZFGD</v>
          </cell>
          <cell r="F1020" t="str">
            <v>PC</v>
          </cell>
          <cell r="G1020" t="str">
            <v>2</v>
          </cell>
          <cell r="H1020" t="str">
            <v>RETAIL</v>
          </cell>
          <cell r="I1020" t="str">
            <v>22</v>
          </cell>
          <cell r="J1020" t="str">
            <v>WF2</v>
          </cell>
          <cell r="K1020" t="str">
            <v>2216</v>
          </cell>
          <cell r="L1020" t="str">
            <v>PU MULTIPURPOSE</v>
          </cell>
          <cell r="M1020" t="str">
            <v>221601</v>
          </cell>
          <cell r="N1020" t="str">
            <v>PROPAN MP PU ACR RMX</v>
          </cell>
        </row>
        <row r="1021">
          <cell r="C1021" t="str">
            <v>100002231</v>
          </cell>
          <cell r="D1021" t="str">
            <v>2K ACRYLIC CHILI RED GLOSS VN-5KS</v>
          </cell>
          <cell r="E1021" t="str">
            <v>ZFGD</v>
          </cell>
          <cell r="F1021" t="str">
            <v>SET</v>
          </cell>
          <cell r="G1021" t="str">
            <v>2</v>
          </cell>
          <cell r="H1021" t="str">
            <v>RETAIL</v>
          </cell>
          <cell r="I1021" t="str">
            <v>22</v>
          </cell>
          <cell r="J1021" t="str">
            <v>WF2</v>
          </cell>
          <cell r="K1021" t="str">
            <v>2216</v>
          </cell>
          <cell r="L1021" t="str">
            <v>PU MULTIPURPOSE</v>
          </cell>
          <cell r="M1021" t="str">
            <v>221601</v>
          </cell>
          <cell r="N1021" t="str">
            <v>PROPAN MP PU ACR RMX</v>
          </cell>
        </row>
        <row r="1022">
          <cell r="C1022" t="str">
            <v>100002232</v>
          </cell>
          <cell r="D1022" t="str">
            <v>2K ACRYLIC CHILI RED GLOSS VN-4K</v>
          </cell>
          <cell r="E1022" t="str">
            <v>ZFGD</v>
          </cell>
          <cell r="F1022" t="str">
            <v>PC</v>
          </cell>
          <cell r="G1022" t="str">
            <v>2</v>
          </cell>
          <cell r="H1022" t="str">
            <v>RETAIL</v>
          </cell>
          <cell r="I1022" t="str">
            <v>22</v>
          </cell>
          <cell r="J1022" t="str">
            <v>WF2</v>
          </cell>
          <cell r="K1022" t="str">
            <v>2216</v>
          </cell>
          <cell r="L1022" t="str">
            <v>PU MULTIPURPOSE</v>
          </cell>
          <cell r="M1022" t="str">
            <v>221601</v>
          </cell>
          <cell r="N1022" t="str">
            <v>PROPAN MP PU ACR RMX</v>
          </cell>
        </row>
        <row r="1023">
          <cell r="C1023" t="str">
            <v>100002233</v>
          </cell>
          <cell r="D1023" t="str">
            <v>2K ACRYLIC CHILI RED GLOSS VN-20KSP</v>
          </cell>
          <cell r="E1023" t="str">
            <v>ZFGD</v>
          </cell>
          <cell r="F1023" t="str">
            <v>SET</v>
          </cell>
          <cell r="G1023" t="str">
            <v>2</v>
          </cell>
          <cell r="H1023" t="str">
            <v>RETAIL</v>
          </cell>
          <cell r="I1023" t="str">
            <v>22</v>
          </cell>
          <cell r="J1023" t="str">
            <v>WF2</v>
          </cell>
          <cell r="K1023" t="str">
            <v>2216</v>
          </cell>
          <cell r="L1023" t="str">
            <v>PU MULTIPURPOSE</v>
          </cell>
          <cell r="M1023" t="str">
            <v>221601</v>
          </cell>
          <cell r="N1023" t="str">
            <v>PROPAN MP PU ACR RMX</v>
          </cell>
        </row>
        <row r="1024">
          <cell r="C1024" t="str">
            <v>100002234</v>
          </cell>
          <cell r="D1024" t="str">
            <v>2K ACRYLIC CHILI RED GLOSS VN-16KP</v>
          </cell>
          <cell r="E1024" t="str">
            <v>ZFGD</v>
          </cell>
          <cell r="F1024" t="str">
            <v>PC</v>
          </cell>
          <cell r="G1024" t="str">
            <v>2</v>
          </cell>
          <cell r="H1024" t="str">
            <v>RETAIL</v>
          </cell>
          <cell r="I1024" t="str">
            <v>22</v>
          </cell>
          <cell r="J1024" t="str">
            <v>WF2</v>
          </cell>
          <cell r="K1024" t="str">
            <v>2216</v>
          </cell>
          <cell r="L1024" t="str">
            <v>PU MULTIPURPOSE</v>
          </cell>
          <cell r="M1024" t="str">
            <v>221601</v>
          </cell>
          <cell r="N1024" t="str">
            <v>PROPAN MP PU ACR RMX</v>
          </cell>
        </row>
        <row r="1025">
          <cell r="C1025" t="str">
            <v>100002235</v>
          </cell>
          <cell r="D1025" t="str">
            <v>2K ACRYLIC BLACK GLOSS VN-1KS</v>
          </cell>
          <cell r="E1025" t="str">
            <v>ZFGD</v>
          </cell>
          <cell r="F1025" t="str">
            <v>SET</v>
          </cell>
          <cell r="G1025" t="str">
            <v>2</v>
          </cell>
          <cell r="H1025" t="str">
            <v>RETAIL</v>
          </cell>
          <cell r="I1025" t="str">
            <v>22</v>
          </cell>
          <cell r="J1025" t="str">
            <v>WF2</v>
          </cell>
          <cell r="K1025" t="str">
            <v>2216</v>
          </cell>
          <cell r="L1025" t="str">
            <v>PU MULTIPURPOSE</v>
          </cell>
          <cell r="M1025" t="str">
            <v>221601</v>
          </cell>
          <cell r="N1025" t="str">
            <v>PROPAN MP PU ACR RMX</v>
          </cell>
        </row>
        <row r="1026">
          <cell r="C1026" t="str">
            <v>100002236</v>
          </cell>
          <cell r="D1026" t="str">
            <v>2K ACRYLIC BLACK GLOSS VN-0.8K</v>
          </cell>
          <cell r="E1026" t="str">
            <v>ZFGD</v>
          </cell>
          <cell r="F1026" t="str">
            <v>PC</v>
          </cell>
          <cell r="G1026" t="str">
            <v>2</v>
          </cell>
          <cell r="H1026" t="str">
            <v>RETAIL</v>
          </cell>
          <cell r="I1026" t="str">
            <v>22</v>
          </cell>
          <cell r="J1026" t="str">
            <v>WF2</v>
          </cell>
          <cell r="K1026" t="str">
            <v>2216</v>
          </cell>
          <cell r="L1026" t="str">
            <v>PU MULTIPURPOSE</v>
          </cell>
          <cell r="M1026" t="str">
            <v>221601</v>
          </cell>
          <cell r="N1026" t="str">
            <v>PROPAN MP PU ACR RMX</v>
          </cell>
        </row>
        <row r="1027">
          <cell r="C1027" t="str">
            <v>100002237</v>
          </cell>
          <cell r="D1027" t="str">
            <v>2K ACRYLIC BLACK GLOSS VN-5KS</v>
          </cell>
          <cell r="E1027" t="str">
            <v>ZFGD</v>
          </cell>
          <cell r="F1027" t="str">
            <v>SET</v>
          </cell>
          <cell r="G1027" t="str">
            <v>2</v>
          </cell>
          <cell r="H1027" t="str">
            <v>RETAIL</v>
          </cell>
          <cell r="I1027" t="str">
            <v>22</v>
          </cell>
          <cell r="J1027" t="str">
            <v>WF2</v>
          </cell>
          <cell r="K1027" t="str">
            <v>2216</v>
          </cell>
          <cell r="L1027" t="str">
            <v>PU MULTIPURPOSE</v>
          </cell>
          <cell r="M1027" t="str">
            <v>221601</v>
          </cell>
          <cell r="N1027" t="str">
            <v>PROPAN MP PU ACR RMX</v>
          </cell>
        </row>
        <row r="1028">
          <cell r="C1028" t="str">
            <v>100002238</v>
          </cell>
          <cell r="D1028" t="str">
            <v>2K ACRYLIC BLACK GLOSS VN-4K</v>
          </cell>
          <cell r="E1028" t="str">
            <v>ZFGD</v>
          </cell>
          <cell r="F1028" t="str">
            <v>PC</v>
          </cell>
          <cell r="G1028" t="str">
            <v>2</v>
          </cell>
          <cell r="H1028" t="str">
            <v>RETAIL</v>
          </cell>
          <cell r="I1028" t="str">
            <v>22</v>
          </cell>
          <cell r="J1028" t="str">
            <v>WF2</v>
          </cell>
          <cell r="K1028" t="str">
            <v>2216</v>
          </cell>
          <cell r="L1028" t="str">
            <v>PU MULTIPURPOSE</v>
          </cell>
          <cell r="M1028" t="str">
            <v>221601</v>
          </cell>
          <cell r="N1028" t="str">
            <v>PROPAN MP PU ACR RMX</v>
          </cell>
        </row>
        <row r="1029">
          <cell r="C1029" t="str">
            <v>100002239</v>
          </cell>
          <cell r="D1029" t="str">
            <v>2K ACRYLIC BLACK GLOSS VN-20KSP</v>
          </cell>
          <cell r="E1029" t="str">
            <v>ZFGD</v>
          </cell>
          <cell r="F1029" t="str">
            <v>SET</v>
          </cell>
          <cell r="G1029" t="str">
            <v>2</v>
          </cell>
          <cell r="H1029" t="str">
            <v>RETAIL</v>
          </cell>
          <cell r="I1029" t="str">
            <v>22</v>
          </cell>
          <cell r="J1029" t="str">
            <v>WF2</v>
          </cell>
          <cell r="K1029" t="str">
            <v>2216</v>
          </cell>
          <cell r="L1029" t="str">
            <v>PU MULTIPURPOSE</v>
          </cell>
          <cell r="M1029" t="str">
            <v>221601</v>
          </cell>
          <cell r="N1029" t="str">
            <v>PROPAN MP PU ACR RMX</v>
          </cell>
        </row>
        <row r="1030">
          <cell r="C1030" t="str">
            <v>100002240</v>
          </cell>
          <cell r="D1030" t="str">
            <v>2K ACRYLIC BLACK GLOSS VN-16KP</v>
          </cell>
          <cell r="E1030" t="str">
            <v>ZFGD</v>
          </cell>
          <cell r="F1030" t="str">
            <v>PC</v>
          </cell>
          <cell r="G1030" t="str">
            <v>2</v>
          </cell>
          <cell r="H1030" t="str">
            <v>RETAIL</v>
          </cell>
          <cell r="I1030" t="str">
            <v>22</v>
          </cell>
          <cell r="J1030" t="str">
            <v>WF2</v>
          </cell>
          <cell r="K1030" t="str">
            <v>2216</v>
          </cell>
          <cell r="L1030" t="str">
            <v>PU MULTIPURPOSE</v>
          </cell>
          <cell r="M1030" t="str">
            <v>221601</v>
          </cell>
          <cell r="N1030" t="str">
            <v>PROPAN MP PU ACR RMX</v>
          </cell>
        </row>
        <row r="1031">
          <cell r="C1031" t="str">
            <v>100002241</v>
          </cell>
          <cell r="D1031" t="str">
            <v>2K ACRYLIC GREY GLOSS VN-1KS</v>
          </cell>
          <cell r="E1031" t="str">
            <v>ZFGD</v>
          </cell>
          <cell r="F1031" t="str">
            <v>SET</v>
          </cell>
          <cell r="G1031" t="str">
            <v>2</v>
          </cell>
          <cell r="H1031" t="str">
            <v>RETAIL</v>
          </cell>
          <cell r="I1031" t="str">
            <v>22</v>
          </cell>
          <cell r="J1031" t="str">
            <v>WF2</v>
          </cell>
          <cell r="K1031" t="str">
            <v>2216</v>
          </cell>
          <cell r="L1031" t="str">
            <v>PU MULTIPURPOSE</v>
          </cell>
          <cell r="M1031" t="str">
            <v>221601</v>
          </cell>
          <cell r="N1031" t="str">
            <v>PROPAN MP PU ACR RMX</v>
          </cell>
        </row>
        <row r="1032">
          <cell r="C1032" t="str">
            <v>100002242</v>
          </cell>
          <cell r="D1032" t="str">
            <v>2K ACRYLIC GREY GLOSS VN-0.8K</v>
          </cell>
          <cell r="E1032" t="str">
            <v>ZFGD</v>
          </cell>
          <cell r="F1032" t="str">
            <v>PC</v>
          </cell>
          <cell r="G1032" t="str">
            <v>2</v>
          </cell>
          <cell r="H1032" t="str">
            <v>RETAIL</v>
          </cell>
          <cell r="I1032" t="str">
            <v>22</v>
          </cell>
          <cell r="J1032" t="str">
            <v>WF2</v>
          </cell>
          <cell r="K1032" t="str">
            <v>2216</v>
          </cell>
          <cell r="L1032" t="str">
            <v>PU MULTIPURPOSE</v>
          </cell>
          <cell r="M1032" t="str">
            <v>221601</v>
          </cell>
          <cell r="N1032" t="str">
            <v>PROPAN MP PU ACR RMX</v>
          </cell>
        </row>
        <row r="1033">
          <cell r="C1033" t="str">
            <v>100002243</v>
          </cell>
          <cell r="D1033" t="str">
            <v>2K ACRYLIC GREY GLOSS VN-5KS</v>
          </cell>
          <cell r="E1033" t="str">
            <v>ZFGD</v>
          </cell>
          <cell r="F1033" t="str">
            <v>SET</v>
          </cell>
          <cell r="G1033" t="str">
            <v>2</v>
          </cell>
          <cell r="H1033" t="str">
            <v>RETAIL</v>
          </cell>
          <cell r="I1033" t="str">
            <v>22</v>
          </cell>
          <cell r="J1033" t="str">
            <v>WF2</v>
          </cell>
          <cell r="K1033" t="str">
            <v>2216</v>
          </cell>
          <cell r="L1033" t="str">
            <v>PU MULTIPURPOSE</v>
          </cell>
          <cell r="M1033" t="str">
            <v>221601</v>
          </cell>
          <cell r="N1033" t="str">
            <v>PROPAN MP PU ACR RMX</v>
          </cell>
        </row>
        <row r="1034">
          <cell r="C1034" t="str">
            <v>100002244</v>
          </cell>
          <cell r="D1034" t="str">
            <v>2K ACRYLIC GREY GLOSS VN-4K</v>
          </cell>
          <cell r="E1034" t="str">
            <v>ZFGD</v>
          </cell>
          <cell r="F1034" t="str">
            <v>PC</v>
          </cell>
          <cell r="G1034" t="str">
            <v>2</v>
          </cell>
          <cell r="H1034" t="str">
            <v>RETAIL</v>
          </cell>
          <cell r="I1034" t="str">
            <v>22</v>
          </cell>
          <cell r="J1034" t="str">
            <v>WF2</v>
          </cell>
          <cell r="K1034" t="str">
            <v>2216</v>
          </cell>
          <cell r="L1034" t="str">
            <v>PU MULTIPURPOSE</v>
          </cell>
          <cell r="M1034" t="str">
            <v>221601</v>
          </cell>
          <cell r="N1034" t="str">
            <v>PROPAN MP PU ACR RMX</v>
          </cell>
        </row>
        <row r="1035">
          <cell r="C1035" t="str">
            <v>100002245</v>
          </cell>
          <cell r="D1035" t="str">
            <v>2K ACRYLIC GREY GLOSS VN-20KSP</v>
          </cell>
          <cell r="E1035" t="str">
            <v>ZFGD</v>
          </cell>
          <cell r="F1035" t="str">
            <v>SET</v>
          </cell>
          <cell r="G1035" t="str">
            <v>2</v>
          </cell>
          <cell r="H1035" t="str">
            <v>RETAIL</v>
          </cell>
          <cell r="I1035" t="str">
            <v>22</v>
          </cell>
          <cell r="J1035" t="str">
            <v>WF2</v>
          </cell>
          <cell r="K1035" t="str">
            <v>2216</v>
          </cell>
          <cell r="L1035" t="str">
            <v>PU MULTIPURPOSE</v>
          </cell>
          <cell r="M1035" t="str">
            <v>221601</v>
          </cell>
          <cell r="N1035" t="str">
            <v>PROPAN MP PU ACR RMX</v>
          </cell>
        </row>
        <row r="1036">
          <cell r="C1036" t="str">
            <v>100002246</v>
          </cell>
          <cell r="D1036" t="str">
            <v>2K ACRYLIC GREY GLOSS VN-16KP</v>
          </cell>
          <cell r="E1036" t="str">
            <v>ZFGD</v>
          </cell>
          <cell r="F1036" t="str">
            <v>PC</v>
          </cell>
          <cell r="G1036" t="str">
            <v>2</v>
          </cell>
          <cell r="H1036" t="str">
            <v>RETAIL</v>
          </cell>
          <cell r="I1036" t="str">
            <v>22</v>
          </cell>
          <cell r="J1036" t="str">
            <v>WF2</v>
          </cell>
          <cell r="K1036" t="str">
            <v>2216</v>
          </cell>
          <cell r="L1036" t="str">
            <v>PU MULTIPURPOSE</v>
          </cell>
          <cell r="M1036" t="str">
            <v>221601</v>
          </cell>
          <cell r="N1036" t="str">
            <v>PROPAN MP PU ACR RMX</v>
          </cell>
        </row>
        <row r="1037">
          <cell r="C1037" t="str">
            <v>100002247</v>
          </cell>
          <cell r="D1037" t="str">
            <v>2K ACRYLIC CREAM GLOSS VN-1KS</v>
          </cell>
          <cell r="E1037" t="str">
            <v>ZFGD</v>
          </cell>
          <cell r="F1037" t="str">
            <v>SET</v>
          </cell>
          <cell r="G1037" t="str">
            <v>2</v>
          </cell>
          <cell r="H1037" t="str">
            <v>RETAIL</v>
          </cell>
          <cell r="I1037" t="str">
            <v>22</v>
          </cell>
          <cell r="J1037" t="str">
            <v>WF2</v>
          </cell>
          <cell r="K1037" t="str">
            <v>2216</v>
          </cell>
          <cell r="L1037" t="str">
            <v>PU MULTIPURPOSE</v>
          </cell>
          <cell r="M1037" t="str">
            <v>221601</v>
          </cell>
          <cell r="N1037" t="str">
            <v>PROPAN MP PU ACR RMX</v>
          </cell>
        </row>
        <row r="1038">
          <cell r="C1038" t="str">
            <v>100002248</v>
          </cell>
          <cell r="D1038" t="str">
            <v>2K ACRYLIC CREAM GLOSS VN-0.8K</v>
          </cell>
          <cell r="E1038" t="str">
            <v>ZFGD</v>
          </cell>
          <cell r="F1038" t="str">
            <v>PC</v>
          </cell>
          <cell r="G1038" t="str">
            <v>2</v>
          </cell>
          <cell r="H1038" t="str">
            <v>RETAIL</v>
          </cell>
          <cell r="I1038" t="str">
            <v>22</v>
          </cell>
          <cell r="J1038" t="str">
            <v>WF2</v>
          </cell>
          <cell r="K1038" t="str">
            <v>2216</v>
          </cell>
          <cell r="L1038" t="str">
            <v>PU MULTIPURPOSE</v>
          </cell>
          <cell r="M1038" t="str">
            <v>221601</v>
          </cell>
          <cell r="N1038" t="str">
            <v>PROPAN MP PU ACR RMX</v>
          </cell>
        </row>
        <row r="1039">
          <cell r="C1039" t="str">
            <v>100002249</v>
          </cell>
          <cell r="D1039" t="str">
            <v>2K ACRYLIC CREAM GLOSS VN-5KS</v>
          </cell>
          <cell r="E1039" t="str">
            <v>ZFGD</v>
          </cell>
          <cell r="F1039" t="str">
            <v>SET</v>
          </cell>
          <cell r="G1039" t="str">
            <v>2</v>
          </cell>
          <cell r="H1039" t="str">
            <v>RETAIL</v>
          </cell>
          <cell r="I1039" t="str">
            <v>22</v>
          </cell>
          <cell r="J1039" t="str">
            <v>WF2</v>
          </cell>
          <cell r="K1039" t="str">
            <v>2216</v>
          </cell>
          <cell r="L1039" t="str">
            <v>PU MULTIPURPOSE</v>
          </cell>
          <cell r="M1039" t="str">
            <v>221601</v>
          </cell>
          <cell r="N1039" t="str">
            <v>PROPAN MP PU ACR RMX</v>
          </cell>
        </row>
        <row r="1040">
          <cell r="C1040" t="str">
            <v>100002250</v>
          </cell>
          <cell r="D1040" t="str">
            <v>2K ACRYLIC CREAM GLOSS VN-4K</v>
          </cell>
          <cell r="E1040" t="str">
            <v>ZFGD</v>
          </cell>
          <cell r="F1040" t="str">
            <v>PC</v>
          </cell>
          <cell r="G1040" t="str">
            <v>2</v>
          </cell>
          <cell r="H1040" t="str">
            <v>RETAIL</v>
          </cell>
          <cell r="I1040" t="str">
            <v>22</v>
          </cell>
          <cell r="J1040" t="str">
            <v>WF2</v>
          </cell>
          <cell r="K1040" t="str">
            <v>2216</v>
          </cell>
          <cell r="L1040" t="str">
            <v>PU MULTIPURPOSE</v>
          </cell>
          <cell r="M1040" t="str">
            <v>221601</v>
          </cell>
          <cell r="N1040" t="str">
            <v>PROPAN MP PU ACR RMX</v>
          </cell>
        </row>
        <row r="1041">
          <cell r="C1041" t="str">
            <v>100002251</v>
          </cell>
          <cell r="D1041" t="str">
            <v>2K ACRYLIC CREAM GLOSS VN-20KSP</v>
          </cell>
          <cell r="E1041" t="str">
            <v>ZFGD</v>
          </cell>
          <cell r="F1041" t="str">
            <v>SET</v>
          </cell>
          <cell r="G1041" t="str">
            <v>2</v>
          </cell>
          <cell r="H1041" t="str">
            <v>RETAIL</v>
          </cell>
          <cell r="I1041" t="str">
            <v>22</v>
          </cell>
          <cell r="J1041" t="str">
            <v>WF2</v>
          </cell>
          <cell r="K1041" t="str">
            <v>2216</v>
          </cell>
          <cell r="L1041" t="str">
            <v>PU MULTIPURPOSE</v>
          </cell>
          <cell r="M1041" t="str">
            <v>221601</v>
          </cell>
          <cell r="N1041" t="str">
            <v>PROPAN MP PU ACR RMX</v>
          </cell>
        </row>
        <row r="1042">
          <cell r="C1042" t="str">
            <v>100002252</v>
          </cell>
          <cell r="D1042" t="str">
            <v>2K ACRYLIC CREAM GLOSS VN-16KP</v>
          </cell>
          <cell r="E1042" t="str">
            <v>ZFGD</v>
          </cell>
          <cell r="F1042" t="str">
            <v>PC</v>
          </cell>
          <cell r="G1042" t="str">
            <v>2</v>
          </cell>
          <cell r="H1042" t="str">
            <v>RETAIL</v>
          </cell>
          <cell r="I1042" t="str">
            <v>22</v>
          </cell>
          <cell r="J1042" t="str">
            <v>WF2</v>
          </cell>
          <cell r="K1042" t="str">
            <v>2216</v>
          </cell>
          <cell r="L1042" t="str">
            <v>PU MULTIPURPOSE</v>
          </cell>
          <cell r="M1042" t="str">
            <v>221601</v>
          </cell>
          <cell r="N1042" t="str">
            <v>PROPAN MP PU ACR RMX</v>
          </cell>
        </row>
        <row r="1043">
          <cell r="C1043" t="str">
            <v>100002253</v>
          </cell>
          <cell r="D1043" t="str">
            <v>AZP-481 ZINC PHOSPHATE VN-1K</v>
          </cell>
          <cell r="E1043" t="str">
            <v>ZFGD</v>
          </cell>
          <cell r="F1043" t="str">
            <v>PC</v>
          </cell>
          <cell r="G1043" t="str">
            <v>2</v>
          </cell>
          <cell r="H1043" t="str">
            <v>RETAIL</v>
          </cell>
          <cell r="I1043" t="str">
            <v>29</v>
          </cell>
          <cell r="J1043" t="str">
            <v>MPC</v>
          </cell>
          <cell r="K1043" t="str">
            <v>2901</v>
          </cell>
          <cell r="L1043" t="str">
            <v>METALKOTE</v>
          </cell>
          <cell r="M1043" t="str">
            <v>290101</v>
          </cell>
          <cell r="N1043" t="str">
            <v>METALKOTE-ALKYD SYS</v>
          </cell>
        </row>
        <row r="1044">
          <cell r="C1044" t="str">
            <v>100002254</v>
          </cell>
          <cell r="D1044" t="str">
            <v>AZP-481 ZINC PHOSPHATE VN-4K</v>
          </cell>
          <cell r="E1044" t="str">
            <v>ZFGD</v>
          </cell>
          <cell r="F1044" t="str">
            <v>PC</v>
          </cell>
          <cell r="G1044" t="str">
            <v>2</v>
          </cell>
          <cell r="H1044" t="str">
            <v>RETAIL</v>
          </cell>
          <cell r="I1044" t="str">
            <v>29</v>
          </cell>
          <cell r="J1044" t="str">
            <v>MPC</v>
          </cell>
          <cell r="K1044" t="str">
            <v>2901</v>
          </cell>
          <cell r="L1044" t="str">
            <v>METALKOTE</v>
          </cell>
          <cell r="M1044" t="str">
            <v>290101</v>
          </cell>
          <cell r="N1044" t="str">
            <v>METALKOTE-ALKYD SYS</v>
          </cell>
        </row>
        <row r="1045">
          <cell r="C1045" t="str">
            <v>100002255</v>
          </cell>
          <cell r="D1045" t="str">
            <v>AZP-481 ZINC PHOSPHATE VN-18KP</v>
          </cell>
          <cell r="E1045" t="str">
            <v>ZFGD</v>
          </cell>
          <cell r="F1045" t="str">
            <v>PC</v>
          </cell>
          <cell r="G1045" t="str">
            <v>2</v>
          </cell>
          <cell r="H1045" t="str">
            <v>RETAIL</v>
          </cell>
          <cell r="I1045" t="str">
            <v>29</v>
          </cell>
          <cell r="J1045" t="str">
            <v>MPC</v>
          </cell>
          <cell r="K1045" t="str">
            <v>2901</v>
          </cell>
          <cell r="L1045" t="str">
            <v>METALKOTE</v>
          </cell>
          <cell r="M1045" t="str">
            <v>290101</v>
          </cell>
          <cell r="N1045" t="str">
            <v>METALKOTE-ALKYD SYS</v>
          </cell>
        </row>
        <row r="1046">
          <cell r="C1046" t="str">
            <v>100002256</v>
          </cell>
          <cell r="D1046" t="str">
            <v>AZP-481 RED OXIDE VN-1K</v>
          </cell>
          <cell r="E1046" t="str">
            <v>ZFGD</v>
          </cell>
          <cell r="F1046" t="str">
            <v>PC</v>
          </cell>
          <cell r="G1046" t="str">
            <v>2</v>
          </cell>
          <cell r="H1046" t="str">
            <v>RETAIL</v>
          </cell>
          <cell r="I1046" t="str">
            <v>29</v>
          </cell>
          <cell r="J1046" t="str">
            <v>MPC</v>
          </cell>
          <cell r="K1046" t="str">
            <v>2901</v>
          </cell>
          <cell r="L1046" t="str">
            <v>METALKOTE</v>
          </cell>
          <cell r="M1046" t="str">
            <v>290101</v>
          </cell>
          <cell r="N1046" t="str">
            <v>METALKOTE-ALKYD SYS</v>
          </cell>
        </row>
        <row r="1047">
          <cell r="C1047" t="str">
            <v>100002257</v>
          </cell>
          <cell r="D1047" t="str">
            <v>AZP-481 RED OXIDE VN-4K</v>
          </cell>
          <cell r="E1047" t="str">
            <v>ZFGD</v>
          </cell>
          <cell r="F1047" t="str">
            <v>PC</v>
          </cell>
          <cell r="G1047" t="str">
            <v>2</v>
          </cell>
          <cell r="H1047" t="str">
            <v>RETAIL</v>
          </cell>
          <cell r="I1047" t="str">
            <v>29</v>
          </cell>
          <cell r="J1047" t="str">
            <v>MPC</v>
          </cell>
          <cell r="K1047" t="str">
            <v>2901</v>
          </cell>
          <cell r="L1047" t="str">
            <v>METALKOTE</v>
          </cell>
          <cell r="M1047" t="str">
            <v>290101</v>
          </cell>
          <cell r="N1047" t="str">
            <v>METALKOTE-ALKYD SYS</v>
          </cell>
        </row>
        <row r="1048">
          <cell r="C1048" t="str">
            <v>100002258</v>
          </cell>
          <cell r="D1048" t="str">
            <v>AZP-481 RED OXIDE VN-18KP</v>
          </cell>
          <cell r="E1048" t="str">
            <v>ZFGD</v>
          </cell>
          <cell r="F1048" t="str">
            <v>PC</v>
          </cell>
          <cell r="G1048" t="str">
            <v>2</v>
          </cell>
          <cell r="H1048" t="str">
            <v>RETAIL</v>
          </cell>
          <cell r="I1048" t="str">
            <v>29</v>
          </cell>
          <cell r="J1048" t="str">
            <v>MPC</v>
          </cell>
          <cell r="K1048" t="str">
            <v>2901</v>
          </cell>
          <cell r="L1048" t="str">
            <v>METALKOTE</v>
          </cell>
          <cell r="M1048" t="str">
            <v>290101</v>
          </cell>
          <cell r="N1048" t="str">
            <v>METALKOTE-ALKYD SYS</v>
          </cell>
        </row>
        <row r="1049">
          <cell r="C1049" t="str">
            <v>100002426</v>
          </cell>
          <cell r="D1049" t="str">
            <v>PUC-52239 WHITE 90 VN-20KP</v>
          </cell>
          <cell r="E1049" t="str">
            <v>ZFGD</v>
          </cell>
          <cell r="F1049" t="str">
            <v>PC</v>
          </cell>
          <cell r="G1049" t="str">
            <v>1</v>
          </cell>
          <cell r="H1049" t="str">
            <v>INDUSTRY</v>
          </cell>
          <cell r="I1049" t="str">
            <v>11</v>
          </cell>
          <cell r="J1049" t="str">
            <v>WOOD COATINGS</v>
          </cell>
          <cell r="K1049" t="str">
            <v>1103</v>
          </cell>
          <cell r="L1049" t="str">
            <v>PU</v>
          </cell>
          <cell r="M1049" t="str">
            <v>110319</v>
          </cell>
          <cell r="N1049" t="str">
            <v>PU COLOR</v>
          </cell>
        </row>
        <row r="1050">
          <cell r="C1050" t="str">
            <v>100002436</v>
          </cell>
          <cell r="D1050" t="str">
            <v>PUH-56135 S VN-20KP</v>
          </cell>
          <cell r="E1050" t="str">
            <v>ZFGD</v>
          </cell>
          <cell r="F1050" t="str">
            <v>PC</v>
          </cell>
          <cell r="G1050" t="str">
            <v>1</v>
          </cell>
          <cell r="H1050" t="str">
            <v>INDUSTRY</v>
          </cell>
          <cell r="I1050" t="str">
            <v>11</v>
          </cell>
          <cell r="J1050" t="str">
            <v>WOOD COATINGS</v>
          </cell>
          <cell r="K1050" t="str">
            <v>1103</v>
          </cell>
          <cell r="L1050" t="str">
            <v>PU</v>
          </cell>
          <cell r="M1050" t="str">
            <v>110320</v>
          </cell>
          <cell r="N1050" t="str">
            <v>PU HARDENER</v>
          </cell>
        </row>
        <row r="1051">
          <cell r="C1051" t="str">
            <v>100002437</v>
          </cell>
          <cell r="D1051" t="str">
            <v>PUH-56135 S VN-4K</v>
          </cell>
          <cell r="E1051" t="str">
            <v>ZFGD</v>
          </cell>
          <cell r="F1051" t="str">
            <v>PC</v>
          </cell>
          <cell r="G1051" t="str">
            <v>1</v>
          </cell>
          <cell r="H1051" t="str">
            <v>INDUSTRY</v>
          </cell>
          <cell r="I1051" t="str">
            <v>11</v>
          </cell>
          <cell r="J1051" t="str">
            <v>WOOD COATINGS</v>
          </cell>
          <cell r="K1051" t="str">
            <v>1103</v>
          </cell>
          <cell r="L1051" t="str">
            <v>PU</v>
          </cell>
          <cell r="M1051" t="str">
            <v>110320</v>
          </cell>
          <cell r="N1051" t="str">
            <v>PU HARDENER</v>
          </cell>
        </row>
        <row r="1052">
          <cell r="C1052" t="str">
            <v>100002445</v>
          </cell>
          <cell r="D1052" t="str">
            <v>#NUEDL-601 SUNSET YELLOW 3002-5L</v>
          </cell>
          <cell r="E1052" t="str">
            <v>ZFGD</v>
          </cell>
          <cell r="F1052" t="str">
            <v>PC</v>
          </cell>
          <cell r="G1052" t="str">
            <v>2</v>
          </cell>
          <cell r="H1052" t="str">
            <v>RETAIL</v>
          </cell>
          <cell r="I1052" t="str">
            <v>24</v>
          </cell>
          <cell r="J1052" t="str">
            <v>WF3</v>
          </cell>
          <cell r="K1052" t="str">
            <v>2401</v>
          </cell>
          <cell r="L1052" t="str">
            <v>WOOD CARE</v>
          </cell>
          <cell r="M1052" t="str">
            <v>240102</v>
          </cell>
          <cell r="N1052" t="str">
            <v>ULTRAN LASUR</v>
          </cell>
        </row>
        <row r="1053">
          <cell r="C1053" t="str">
            <v>100002526</v>
          </cell>
          <cell r="D1053" t="str">
            <v>PUSS-51235 VN-200KB</v>
          </cell>
          <cell r="E1053" t="str">
            <v>ZFGD</v>
          </cell>
          <cell r="F1053" t="str">
            <v>PC</v>
          </cell>
          <cell r="G1053" t="str">
            <v>1</v>
          </cell>
          <cell r="H1053" t="str">
            <v>INDUSTRY</v>
          </cell>
          <cell r="I1053" t="str">
            <v>11</v>
          </cell>
          <cell r="J1053" t="str">
            <v>WOOD COATINGS</v>
          </cell>
          <cell r="K1053" t="str">
            <v>1103</v>
          </cell>
          <cell r="L1053" t="str">
            <v>PU</v>
          </cell>
          <cell r="M1053" t="str">
            <v>110323</v>
          </cell>
          <cell r="N1053" t="str">
            <v>PU SANDING SEALER</v>
          </cell>
        </row>
        <row r="1054">
          <cell r="C1054" t="str">
            <v>100002527</v>
          </cell>
          <cell r="D1054" t="str">
            <v>PUSS-51235 VN-20KP</v>
          </cell>
          <cell r="E1054" t="str">
            <v>ZFGD</v>
          </cell>
          <cell r="F1054" t="str">
            <v>PC</v>
          </cell>
          <cell r="G1054" t="str">
            <v>1</v>
          </cell>
          <cell r="H1054" t="str">
            <v>INDUSTRY</v>
          </cell>
          <cell r="I1054" t="str">
            <v>11</v>
          </cell>
          <cell r="J1054" t="str">
            <v>WOOD COATINGS</v>
          </cell>
          <cell r="K1054" t="str">
            <v>1103</v>
          </cell>
          <cell r="L1054" t="str">
            <v>PU</v>
          </cell>
          <cell r="M1054" t="str">
            <v>110323</v>
          </cell>
          <cell r="N1054" t="str">
            <v>PU SANDING SEALER</v>
          </cell>
        </row>
        <row r="1055">
          <cell r="C1055" t="str">
            <v>100002539</v>
          </cell>
          <cell r="D1055" t="str">
            <v>WBG-66900 IBW-200KB</v>
          </cell>
          <cell r="E1055" t="str">
            <v>ZFGD</v>
          </cell>
          <cell r="F1055" t="str">
            <v>PC</v>
          </cell>
          <cell r="G1055" t="str">
            <v>1</v>
          </cell>
          <cell r="H1055" t="str">
            <v>INDUSTRY</v>
          </cell>
          <cell r="I1055" t="str">
            <v>11</v>
          </cell>
          <cell r="J1055" t="str">
            <v>WOOD COATINGS</v>
          </cell>
          <cell r="K1055" t="str">
            <v>1111</v>
          </cell>
          <cell r="L1055" t="str">
            <v>WATERBASED SYSTEM INTERIOR</v>
          </cell>
          <cell r="M1055" t="str">
            <v>111104</v>
          </cell>
          <cell r="N1055" t="str">
            <v>WATERBASED SYSTEM INTERIOR</v>
          </cell>
        </row>
        <row r="1056">
          <cell r="C1056" t="str">
            <v>100002550</v>
          </cell>
          <cell r="D1056" t="str">
            <v>PFC-225 EPOCEM-1.5K</v>
          </cell>
          <cell r="E1056" t="str">
            <v>ZFGD</v>
          </cell>
          <cell r="F1056" t="str">
            <v>PC</v>
          </cell>
          <cell r="G1056" t="str">
            <v>5</v>
          </cell>
          <cell r="H1056" t="str">
            <v>PROJECT</v>
          </cell>
          <cell r="I1056" t="str">
            <v>56</v>
          </cell>
          <cell r="J1056" t="str">
            <v>CPC1</v>
          </cell>
          <cell r="K1056" t="str">
            <v>5602</v>
          </cell>
          <cell r="L1056" t="str">
            <v>POLYFLOOR</v>
          </cell>
          <cell r="M1056" t="str">
            <v>560201</v>
          </cell>
          <cell r="N1056" t="str">
            <v>POLYFLOOR CEMENT</v>
          </cell>
        </row>
        <row r="1057">
          <cell r="C1057" t="str">
            <v>100002551</v>
          </cell>
          <cell r="D1057" t="str">
            <v>PFC-225 SEALER-1.5K</v>
          </cell>
          <cell r="E1057" t="str">
            <v>ZFGD</v>
          </cell>
          <cell r="F1057" t="str">
            <v>PC</v>
          </cell>
          <cell r="G1057" t="str">
            <v>5</v>
          </cell>
          <cell r="H1057" t="str">
            <v>PROJECT</v>
          </cell>
          <cell r="I1057" t="str">
            <v>56</v>
          </cell>
          <cell r="J1057" t="str">
            <v>CPC1</v>
          </cell>
          <cell r="K1057" t="str">
            <v>5602</v>
          </cell>
          <cell r="L1057" t="str">
            <v>POLYFLOOR</v>
          </cell>
          <cell r="M1057" t="str">
            <v>560201</v>
          </cell>
          <cell r="N1057" t="str">
            <v>POLYFLOOR CEMENT</v>
          </cell>
        </row>
        <row r="1058">
          <cell r="C1058" t="str">
            <v>100002552</v>
          </cell>
          <cell r="D1058" t="str">
            <v>CEMENT POWDER PFC-225-25KZ</v>
          </cell>
          <cell r="E1058" t="str">
            <v>ZFGD</v>
          </cell>
          <cell r="F1058" t="str">
            <v>PC</v>
          </cell>
          <cell r="G1058" t="str">
            <v>5</v>
          </cell>
          <cell r="H1058" t="str">
            <v>PROJECT</v>
          </cell>
          <cell r="I1058" t="str">
            <v>56</v>
          </cell>
          <cell r="J1058" t="str">
            <v>CPC1</v>
          </cell>
          <cell r="K1058" t="str">
            <v>5602</v>
          </cell>
          <cell r="L1058" t="str">
            <v>POLYFLOOR</v>
          </cell>
          <cell r="M1058" t="str">
            <v>560201</v>
          </cell>
          <cell r="N1058" t="str">
            <v>POLYFLOOR CEMENT</v>
          </cell>
        </row>
        <row r="1059">
          <cell r="C1059" t="str">
            <v>100002553</v>
          </cell>
          <cell r="D1059" t="str">
            <v>PROPAN AQUA STONE CARE ASC-60 WB-1L</v>
          </cell>
          <cell r="E1059" t="str">
            <v>ZFGD</v>
          </cell>
          <cell r="F1059" t="str">
            <v>PC</v>
          </cell>
          <cell r="G1059" t="str">
            <v>2</v>
          </cell>
          <cell r="H1059" t="str">
            <v>RETAIL</v>
          </cell>
          <cell r="I1059" t="str">
            <v>26</v>
          </cell>
          <cell r="J1059" t="str">
            <v>SFC</v>
          </cell>
          <cell r="K1059" t="str">
            <v>2601</v>
          </cell>
          <cell r="L1059" t="str">
            <v>STONE CARE</v>
          </cell>
          <cell r="M1059" t="str">
            <v>260102</v>
          </cell>
          <cell r="N1059" t="str">
            <v>PROPAN AQUA STONE CARE</v>
          </cell>
        </row>
        <row r="1060">
          <cell r="C1060" t="str">
            <v>100002556</v>
          </cell>
          <cell r="D1060" t="str">
            <v>SYNTHETIC 2000 CHESNUT BROWN VN-0.8K</v>
          </cell>
          <cell r="E1060" t="str">
            <v>ZFGD</v>
          </cell>
          <cell r="F1060" t="str">
            <v>PC</v>
          </cell>
          <cell r="G1060" t="str">
            <v>5</v>
          </cell>
          <cell r="H1060" t="str">
            <v>PROJECT</v>
          </cell>
          <cell r="I1060" t="str">
            <v>59</v>
          </cell>
          <cell r="J1060" t="str">
            <v>MPC</v>
          </cell>
          <cell r="K1060" t="str">
            <v>5902</v>
          </cell>
          <cell r="L1060" t="str">
            <v>SYNTHETIC ENAMEL SB</v>
          </cell>
          <cell r="M1060" t="str">
            <v>590202</v>
          </cell>
          <cell r="N1060" t="str">
            <v>SYNTHETIC 2000</v>
          </cell>
        </row>
        <row r="1061">
          <cell r="C1061" t="str">
            <v>100002557</v>
          </cell>
          <cell r="D1061" t="str">
            <v>HARDENER PFC-225 EPOCEM-4.5K</v>
          </cell>
          <cell r="E1061" t="str">
            <v>ZFGD</v>
          </cell>
          <cell r="F1061" t="str">
            <v>PC</v>
          </cell>
          <cell r="G1061" t="str">
            <v>5</v>
          </cell>
          <cell r="H1061" t="str">
            <v>PROJECT</v>
          </cell>
          <cell r="I1061" t="str">
            <v>56</v>
          </cell>
          <cell r="J1061" t="str">
            <v>CPC1</v>
          </cell>
          <cell r="K1061" t="str">
            <v>5607</v>
          </cell>
          <cell r="L1061" t="str">
            <v>OTHERS CPC1</v>
          </cell>
          <cell r="M1061" t="str">
            <v>560703</v>
          </cell>
          <cell r="N1061" t="str">
            <v>COMPLEMENTARY CPC1</v>
          </cell>
        </row>
        <row r="1062">
          <cell r="C1062" t="str">
            <v>100002558</v>
          </cell>
          <cell r="D1062" t="str">
            <v>HARDENER EPOXY CEMENT PFC-225 SEALER-4.5</v>
          </cell>
          <cell r="E1062" t="str">
            <v>ZFGD</v>
          </cell>
          <cell r="F1062" t="str">
            <v>PC</v>
          </cell>
          <cell r="G1062" t="str">
            <v>2</v>
          </cell>
          <cell r="H1062" t="str">
            <v>RETAIL</v>
          </cell>
          <cell r="I1062" t="str">
            <v>27</v>
          </cell>
          <cell r="J1062" t="str">
            <v>CPC1</v>
          </cell>
          <cell r="K1062" t="str">
            <v>2707</v>
          </cell>
          <cell r="L1062" t="str">
            <v>OTHERS CPC1</v>
          </cell>
          <cell r="M1062" t="str">
            <v>270703</v>
          </cell>
          <cell r="N1062" t="str">
            <v>COMPLEMENTARY CPC1</v>
          </cell>
        </row>
        <row r="1063">
          <cell r="C1063" t="str">
            <v>100002559</v>
          </cell>
          <cell r="D1063" t="str">
            <v>#NUEL-501 LS COFFEE BROWN VN-8004 VN-5L</v>
          </cell>
          <cell r="E1063" t="str">
            <v>ZFGD</v>
          </cell>
          <cell r="F1063" t="str">
            <v>PC</v>
          </cell>
          <cell r="G1063" t="str">
            <v>2</v>
          </cell>
          <cell r="H1063" t="str">
            <v>RETAIL</v>
          </cell>
          <cell r="I1063" t="str">
            <v>24</v>
          </cell>
          <cell r="J1063" t="str">
            <v>WF3</v>
          </cell>
          <cell r="K1063" t="str">
            <v>2401</v>
          </cell>
          <cell r="L1063" t="str">
            <v>WOOD CARE</v>
          </cell>
          <cell r="M1063" t="str">
            <v>240102</v>
          </cell>
          <cell r="N1063" t="str">
            <v>ULTRAN LASUR</v>
          </cell>
        </row>
        <row r="1064">
          <cell r="C1064" t="str">
            <v>100002561</v>
          </cell>
          <cell r="D1064" t="str">
            <v>HARDENER PUH-79 VN-16KP</v>
          </cell>
          <cell r="E1064" t="str">
            <v>ZFGD</v>
          </cell>
          <cell r="F1064" t="str">
            <v>PC</v>
          </cell>
          <cell r="G1064" t="str">
            <v>2</v>
          </cell>
          <cell r="H1064" t="str">
            <v>RETAIL</v>
          </cell>
          <cell r="I1064" t="str">
            <v>22</v>
          </cell>
          <cell r="J1064" t="str">
            <v>WF2</v>
          </cell>
          <cell r="K1064" t="str">
            <v>2212</v>
          </cell>
          <cell r="L1064" t="str">
            <v>PU EASY TO USE</v>
          </cell>
          <cell r="M1064" t="str">
            <v>221201</v>
          </cell>
          <cell r="N1064" t="str">
            <v>PROPAN EASY TO USE PU</v>
          </cell>
        </row>
        <row r="1065">
          <cell r="C1065" t="str">
            <v>100002592</v>
          </cell>
          <cell r="D1065" t="str">
            <v>PUL-749-2K 30 SHEEN VN-16KP</v>
          </cell>
          <cell r="E1065" t="str">
            <v>ZFGD</v>
          </cell>
          <cell r="F1065" t="str">
            <v>PC</v>
          </cell>
          <cell r="G1065" t="str">
            <v>2</v>
          </cell>
          <cell r="H1065" t="str">
            <v>RETAIL</v>
          </cell>
          <cell r="I1065" t="str">
            <v>22</v>
          </cell>
          <cell r="J1065" t="str">
            <v>WF2</v>
          </cell>
          <cell r="K1065" t="str">
            <v>2213</v>
          </cell>
          <cell r="L1065" t="str">
            <v>PU-41</v>
          </cell>
          <cell r="M1065" t="str">
            <v>221302</v>
          </cell>
          <cell r="N1065" t="str">
            <v>PROPAN PU-41 RMX</v>
          </cell>
        </row>
        <row r="1066">
          <cell r="C1066" t="str">
            <v>100002593</v>
          </cell>
          <cell r="D1066" t="str">
            <v>PUL-749-2K 50 SHEEN VN-16KP</v>
          </cell>
          <cell r="E1066" t="str">
            <v>ZFGD</v>
          </cell>
          <cell r="F1066" t="str">
            <v>PC</v>
          </cell>
          <cell r="G1066" t="str">
            <v>2</v>
          </cell>
          <cell r="H1066" t="str">
            <v>RETAIL</v>
          </cell>
          <cell r="I1066" t="str">
            <v>22</v>
          </cell>
          <cell r="J1066" t="str">
            <v>WF2</v>
          </cell>
          <cell r="K1066" t="str">
            <v>2213</v>
          </cell>
          <cell r="L1066" t="str">
            <v>PU-41</v>
          </cell>
          <cell r="M1066" t="str">
            <v>221302</v>
          </cell>
          <cell r="N1066" t="str">
            <v>PROPAN PU-41 RMX</v>
          </cell>
        </row>
        <row r="1067">
          <cell r="C1067" t="str">
            <v>100002594</v>
          </cell>
          <cell r="D1067" t="str">
            <v>PUL-749 2K 90 SHEEN VN-16KP</v>
          </cell>
          <cell r="E1067" t="str">
            <v>ZFGD</v>
          </cell>
          <cell r="F1067" t="str">
            <v>PC</v>
          </cell>
          <cell r="G1067" t="str">
            <v>2</v>
          </cell>
          <cell r="H1067" t="str">
            <v>RETAIL</v>
          </cell>
          <cell r="I1067" t="str">
            <v>22</v>
          </cell>
          <cell r="J1067" t="str">
            <v>WF2</v>
          </cell>
          <cell r="K1067" t="str">
            <v>2213</v>
          </cell>
          <cell r="L1067" t="str">
            <v>PU-41</v>
          </cell>
          <cell r="M1067" t="str">
            <v>221302</v>
          </cell>
          <cell r="N1067" t="str">
            <v>PROPAN PU-41 RMX</v>
          </cell>
        </row>
        <row r="1068">
          <cell r="C1068" t="str">
            <v>100002605</v>
          </cell>
          <cell r="D1068" t="str">
            <v>PUC-757 GENTIAN BLUE GLOSS 08 VN-4K</v>
          </cell>
          <cell r="E1068" t="str">
            <v>ZFGD</v>
          </cell>
          <cell r="F1068" t="str">
            <v>PC</v>
          </cell>
          <cell r="G1068" t="str">
            <v>2</v>
          </cell>
          <cell r="H1068" t="str">
            <v>RETAIL</v>
          </cell>
          <cell r="I1068" t="str">
            <v>22</v>
          </cell>
          <cell r="J1068" t="str">
            <v>WF2</v>
          </cell>
          <cell r="K1068" t="str">
            <v>2216</v>
          </cell>
          <cell r="L1068" t="str">
            <v>PU MULTIPURPOSE</v>
          </cell>
          <cell r="M1068" t="str">
            <v>221601</v>
          </cell>
          <cell r="N1068" t="str">
            <v>PROPAN MP PU ACR RMX</v>
          </cell>
        </row>
        <row r="1069">
          <cell r="C1069" t="str">
            <v>100002606</v>
          </cell>
          <cell r="D1069" t="str">
            <v>PUC-757 GERANIUM MEDIUM GLOSS 22 VN-4K</v>
          </cell>
          <cell r="E1069" t="str">
            <v>ZFGD</v>
          </cell>
          <cell r="F1069" t="str">
            <v>PC</v>
          </cell>
          <cell r="G1069" t="str">
            <v>2</v>
          </cell>
          <cell r="H1069" t="str">
            <v>RETAIL</v>
          </cell>
          <cell r="I1069" t="str">
            <v>22</v>
          </cell>
          <cell r="J1069" t="str">
            <v>WF2</v>
          </cell>
          <cell r="K1069" t="str">
            <v>2216</v>
          </cell>
          <cell r="L1069" t="str">
            <v>PU MULTIPURPOSE</v>
          </cell>
          <cell r="M1069" t="str">
            <v>221601</v>
          </cell>
          <cell r="N1069" t="str">
            <v>PROPAN MP PU ACR RMX</v>
          </cell>
        </row>
        <row r="1070">
          <cell r="C1070" t="str">
            <v>100002619</v>
          </cell>
          <cell r="D1070" t="str">
            <v>PUP-52122 PUTTY VN-4K</v>
          </cell>
          <cell r="E1070" t="str">
            <v>ZFGD</v>
          </cell>
          <cell r="F1070" t="str">
            <v>PC</v>
          </cell>
          <cell r="G1070" t="str">
            <v>1</v>
          </cell>
          <cell r="H1070" t="str">
            <v>INDUSTRY</v>
          </cell>
          <cell r="I1070" t="str">
            <v>11</v>
          </cell>
          <cell r="J1070" t="str">
            <v>WOOD COATINGS</v>
          </cell>
          <cell r="K1070" t="str">
            <v>1103</v>
          </cell>
          <cell r="L1070" t="str">
            <v>PU</v>
          </cell>
          <cell r="M1070" t="str">
            <v>110322</v>
          </cell>
          <cell r="N1070" t="str">
            <v>PU PRIMER</v>
          </cell>
        </row>
        <row r="1071">
          <cell r="C1071" t="str">
            <v>100002645</v>
          </cell>
          <cell r="D1071" t="str">
            <v>PUH-56135 S VN-1K</v>
          </cell>
          <cell r="E1071" t="str">
            <v>ZFGD</v>
          </cell>
          <cell r="F1071" t="str">
            <v>PC</v>
          </cell>
          <cell r="G1071" t="str">
            <v>1</v>
          </cell>
          <cell r="H1071" t="str">
            <v>INDUSTRY</v>
          </cell>
          <cell r="I1071" t="str">
            <v>11</v>
          </cell>
          <cell r="J1071" t="str">
            <v>WOOD COATINGS</v>
          </cell>
          <cell r="K1071" t="str">
            <v>1103</v>
          </cell>
          <cell r="L1071" t="str">
            <v>PU</v>
          </cell>
          <cell r="M1071" t="str">
            <v>110320</v>
          </cell>
          <cell r="N1071" t="str">
            <v>PU HARDENER</v>
          </cell>
        </row>
        <row r="1072">
          <cell r="C1072" t="str">
            <v>100002649</v>
          </cell>
          <cell r="D1072" t="str">
            <v>#NUEL-501 LS WALNUT BROWN VN-8106 VN-5L</v>
          </cell>
          <cell r="E1072" t="str">
            <v>ZFGD</v>
          </cell>
          <cell r="F1072" t="str">
            <v>PC</v>
          </cell>
          <cell r="G1072" t="str">
            <v>2</v>
          </cell>
          <cell r="H1072" t="str">
            <v>RETAIL</v>
          </cell>
          <cell r="I1072" t="str">
            <v>24</v>
          </cell>
          <cell r="J1072" t="str">
            <v>WF3</v>
          </cell>
          <cell r="K1072" t="str">
            <v>2401</v>
          </cell>
          <cell r="L1072" t="str">
            <v>WOOD CARE</v>
          </cell>
          <cell r="M1072" t="str">
            <v>240102</v>
          </cell>
          <cell r="N1072" t="str">
            <v>ULTRAN LASUR</v>
          </cell>
        </row>
        <row r="1073">
          <cell r="C1073" t="str">
            <v>100002650</v>
          </cell>
          <cell r="D1073" t="str">
            <v>PUC-54205 AC WHITE 90 VN-16KP</v>
          </cell>
          <cell r="E1073" t="str">
            <v>ZFGD</v>
          </cell>
          <cell r="F1073" t="str">
            <v>PC</v>
          </cell>
          <cell r="G1073" t="str">
            <v>1</v>
          </cell>
          <cell r="H1073" t="str">
            <v>INDUSTRY</v>
          </cell>
          <cell r="I1073" t="str">
            <v>11</v>
          </cell>
          <cell r="J1073" t="str">
            <v>WOOD COATINGS</v>
          </cell>
          <cell r="K1073" t="str">
            <v>1103</v>
          </cell>
          <cell r="L1073" t="str">
            <v>PU</v>
          </cell>
          <cell r="M1073" t="str">
            <v>110319</v>
          </cell>
          <cell r="N1073" t="str">
            <v>PU COLOR</v>
          </cell>
        </row>
        <row r="1074">
          <cell r="C1074" t="str">
            <v>100002651</v>
          </cell>
          <cell r="D1074" t="str">
            <v>#NUHARDENER PFP-261-2K</v>
          </cell>
          <cell r="E1074" t="str">
            <v>ZFGD</v>
          </cell>
          <cell r="F1074" t="str">
            <v>PC</v>
          </cell>
          <cell r="G1074" t="str">
            <v>5</v>
          </cell>
          <cell r="H1074" t="str">
            <v>PROJECT</v>
          </cell>
          <cell r="I1074" t="str">
            <v>56</v>
          </cell>
          <cell r="J1074" t="str">
            <v>CPC1</v>
          </cell>
          <cell r="K1074" t="str">
            <v>5607</v>
          </cell>
          <cell r="L1074" t="str">
            <v>OTHERS CPC1</v>
          </cell>
          <cell r="M1074" t="str">
            <v>560703</v>
          </cell>
          <cell r="N1074" t="str">
            <v>COMPLEMENTARY CPC1</v>
          </cell>
        </row>
        <row r="1075">
          <cell r="C1075" t="str">
            <v>100002652</v>
          </cell>
          <cell r="D1075" t="str">
            <v>HARDENER PFT-253 3K VN-4K</v>
          </cell>
          <cell r="E1075" t="str">
            <v>ZFGD</v>
          </cell>
          <cell r="F1075" t="str">
            <v>PC</v>
          </cell>
          <cell r="G1075" t="str">
            <v>5</v>
          </cell>
          <cell r="H1075" t="str">
            <v>PROJECT</v>
          </cell>
          <cell r="I1075" t="str">
            <v>56</v>
          </cell>
          <cell r="J1075" t="str">
            <v>CPC1</v>
          </cell>
          <cell r="K1075" t="str">
            <v>5607</v>
          </cell>
          <cell r="L1075" t="str">
            <v>OTHERS CPC1</v>
          </cell>
          <cell r="M1075" t="str">
            <v>560703</v>
          </cell>
          <cell r="N1075" t="str">
            <v>COMPLEMENTARY CPC1</v>
          </cell>
        </row>
        <row r="1076">
          <cell r="C1076" t="str">
            <v>100002653</v>
          </cell>
          <cell r="D1076" t="str">
            <v>MX-94 BLACK-4K</v>
          </cell>
          <cell r="E1076" t="str">
            <v>ZFGD</v>
          </cell>
          <cell r="F1076" t="str">
            <v>PC</v>
          </cell>
          <cell r="G1076" t="str">
            <v>5</v>
          </cell>
          <cell r="H1076" t="str">
            <v>PROJECT</v>
          </cell>
          <cell r="I1076" t="str">
            <v>56</v>
          </cell>
          <cell r="J1076" t="str">
            <v>CPC1</v>
          </cell>
          <cell r="K1076" t="str">
            <v>5603</v>
          </cell>
          <cell r="L1076" t="str">
            <v>MULTIPOX</v>
          </cell>
          <cell r="M1076" t="str">
            <v>560301</v>
          </cell>
          <cell r="N1076" t="str">
            <v>MULTIPOX</v>
          </cell>
        </row>
        <row r="1077">
          <cell r="C1077" t="str">
            <v>100002654</v>
          </cell>
          <cell r="D1077" t="str">
            <v>PFT-253 3K LIGHT GREY-16KP</v>
          </cell>
          <cell r="E1077" t="str">
            <v>ZFGD</v>
          </cell>
          <cell r="F1077" t="str">
            <v>PC</v>
          </cell>
          <cell r="G1077" t="str">
            <v>5</v>
          </cell>
          <cell r="H1077" t="str">
            <v>PROJECT</v>
          </cell>
          <cell r="I1077" t="str">
            <v>56</v>
          </cell>
          <cell r="J1077" t="str">
            <v>CPC1</v>
          </cell>
          <cell r="K1077" t="str">
            <v>5602</v>
          </cell>
          <cell r="L1077" t="str">
            <v>POLYFLOOR</v>
          </cell>
          <cell r="M1077" t="str">
            <v>560202</v>
          </cell>
          <cell r="N1077" t="str">
            <v>POLYFLOOR EPOXY</v>
          </cell>
        </row>
        <row r="1078">
          <cell r="C1078" t="str">
            <v>100002655</v>
          </cell>
          <cell r="D1078" t="str">
            <v>#NOT USED - THINNER LASUR-3.8L</v>
          </cell>
          <cell r="E1078" t="str">
            <v>ZFGD</v>
          </cell>
          <cell r="F1078" t="str">
            <v>PC</v>
          </cell>
          <cell r="G1078" t="str">
            <v>2</v>
          </cell>
          <cell r="H1078" t="str">
            <v>RETAIL</v>
          </cell>
          <cell r="I1078" t="str">
            <v>21</v>
          </cell>
          <cell r="J1078" t="str">
            <v>WF1</v>
          </cell>
          <cell r="K1078" t="str">
            <v>2108</v>
          </cell>
          <cell r="L1078" t="str">
            <v>THINNER</v>
          </cell>
          <cell r="M1078" t="str">
            <v>210801</v>
          </cell>
          <cell r="N1078" t="str">
            <v>THINNER RETAIL</v>
          </cell>
        </row>
        <row r="1079">
          <cell r="C1079" t="str">
            <v>100002656</v>
          </cell>
          <cell r="D1079" t="str">
            <v>#NUEDL-601 CARAMEL 8001 VN-5L</v>
          </cell>
          <cell r="E1079" t="str">
            <v>ZFGD</v>
          </cell>
          <cell r="F1079" t="str">
            <v>PC</v>
          </cell>
          <cell r="G1079" t="str">
            <v>2</v>
          </cell>
          <cell r="H1079" t="str">
            <v>RETAIL</v>
          </cell>
          <cell r="I1079" t="str">
            <v>24</v>
          </cell>
          <cell r="J1079" t="str">
            <v>WF3</v>
          </cell>
          <cell r="K1079" t="str">
            <v>2401</v>
          </cell>
          <cell r="L1079" t="str">
            <v>WOOD CARE</v>
          </cell>
          <cell r="M1079" t="str">
            <v>240102</v>
          </cell>
          <cell r="N1079" t="str">
            <v>ULTRAN LASUR</v>
          </cell>
        </row>
        <row r="1080">
          <cell r="C1080" t="str">
            <v>100002657</v>
          </cell>
          <cell r="D1080" t="str">
            <v>#NUEL-501 CARAMEL 8001 VN-5L</v>
          </cell>
          <cell r="E1080" t="str">
            <v>ZFGD</v>
          </cell>
          <cell r="F1080" t="str">
            <v>PC</v>
          </cell>
          <cell r="G1080" t="str">
            <v>2</v>
          </cell>
          <cell r="H1080" t="str">
            <v>RETAIL</v>
          </cell>
          <cell r="I1080" t="str">
            <v>24</v>
          </cell>
          <cell r="J1080" t="str">
            <v>WF3</v>
          </cell>
          <cell r="K1080" t="str">
            <v>2401</v>
          </cell>
          <cell r="L1080" t="str">
            <v>WOOD CARE</v>
          </cell>
          <cell r="M1080" t="str">
            <v>240102</v>
          </cell>
          <cell r="N1080" t="str">
            <v>ULTRAN LASUR</v>
          </cell>
        </row>
        <row r="1081">
          <cell r="C1081" t="str">
            <v>100002658</v>
          </cell>
          <cell r="D1081" t="str">
            <v>#NUUS-970 CARITA 1137 VN-20LJ</v>
          </cell>
          <cell r="E1081" t="str">
            <v>ZFGD</v>
          </cell>
          <cell r="F1081" t="str">
            <v>PC</v>
          </cell>
          <cell r="G1081" t="str">
            <v>2</v>
          </cell>
          <cell r="H1081" t="str">
            <v>RETAIL</v>
          </cell>
          <cell r="I1081" t="str">
            <v>28</v>
          </cell>
          <cell r="J1081" t="str">
            <v>CPC2</v>
          </cell>
          <cell r="K1081" t="str">
            <v>2801</v>
          </cell>
          <cell r="L1081" t="str">
            <v>WATERPROOFING</v>
          </cell>
          <cell r="M1081" t="str">
            <v>280104</v>
          </cell>
          <cell r="N1081" t="str">
            <v>ULTRASEAL</v>
          </cell>
        </row>
        <row r="1082">
          <cell r="C1082" t="str">
            <v>100002659</v>
          </cell>
          <cell r="D1082" t="str">
            <v>PFT-253 PALE GREEN-16KP</v>
          </cell>
          <cell r="E1082" t="str">
            <v>ZFGD</v>
          </cell>
          <cell r="F1082" t="str">
            <v>PC</v>
          </cell>
          <cell r="G1082" t="str">
            <v>2</v>
          </cell>
          <cell r="H1082" t="str">
            <v>RETAIL</v>
          </cell>
          <cell r="I1082" t="str">
            <v>27</v>
          </cell>
          <cell r="J1082" t="str">
            <v>CPC1</v>
          </cell>
          <cell r="K1082" t="str">
            <v>2702</v>
          </cell>
          <cell r="L1082" t="str">
            <v>POLYFLOOR</v>
          </cell>
          <cell r="M1082" t="str">
            <v>270202</v>
          </cell>
          <cell r="N1082" t="str">
            <v>POLYFLOOR EPOXY</v>
          </cell>
        </row>
        <row r="1083">
          <cell r="C1083" t="str">
            <v>100002660</v>
          </cell>
          <cell r="D1083" t="str">
            <v>PUC-54205 AC WHITE 50 VN-4K</v>
          </cell>
          <cell r="E1083" t="str">
            <v>ZFGD</v>
          </cell>
          <cell r="F1083" t="str">
            <v>PC</v>
          </cell>
          <cell r="G1083" t="str">
            <v>1</v>
          </cell>
          <cell r="H1083" t="str">
            <v>INDUSTRY</v>
          </cell>
          <cell r="I1083" t="str">
            <v>11</v>
          </cell>
          <cell r="J1083" t="str">
            <v>WOOD COATINGS</v>
          </cell>
          <cell r="K1083" t="str">
            <v>1103</v>
          </cell>
          <cell r="L1083" t="str">
            <v>PU</v>
          </cell>
          <cell r="M1083" t="str">
            <v>110319</v>
          </cell>
          <cell r="N1083" t="str">
            <v>PU COLOR</v>
          </cell>
        </row>
        <row r="1084">
          <cell r="C1084" t="str">
            <v>100002661</v>
          </cell>
          <cell r="D1084" t="str">
            <v>#NUTHINNER PU-047 VT-20LJ</v>
          </cell>
          <cell r="E1084" t="str">
            <v>ZFGD</v>
          </cell>
          <cell r="F1084" t="str">
            <v>PC</v>
          </cell>
          <cell r="G1084" t="str">
            <v>2</v>
          </cell>
          <cell r="H1084" t="str">
            <v>RETAIL</v>
          </cell>
          <cell r="I1084" t="str">
            <v>22</v>
          </cell>
          <cell r="J1084" t="str">
            <v>WF2</v>
          </cell>
          <cell r="K1084" t="str">
            <v>2203</v>
          </cell>
          <cell r="L1084" t="str">
            <v>THINNER PU</v>
          </cell>
          <cell r="M1084" t="str">
            <v>220303</v>
          </cell>
          <cell r="N1084" t="str">
            <v>THINNER PU R</v>
          </cell>
        </row>
        <row r="1085">
          <cell r="C1085" t="str">
            <v>100002662</v>
          </cell>
          <cell r="D1085" t="str">
            <v>#NUEL-501 LS RED MAHONY VN-3005 VN-5L</v>
          </cell>
          <cell r="E1085" t="str">
            <v>ZFGD</v>
          </cell>
          <cell r="F1085" t="str">
            <v>PC</v>
          </cell>
          <cell r="G1085" t="str">
            <v>2</v>
          </cell>
          <cell r="H1085" t="str">
            <v>RETAIL</v>
          </cell>
          <cell r="I1085" t="str">
            <v>24</v>
          </cell>
          <cell r="J1085" t="str">
            <v>WF3</v>
          </cell>
          <cell r="K1085" t="str">
            <v>2401</v>
          </cell>
          <cell r="L1085" t="str">
            <v>WOOD CARE</v>
          </cell>
          <cell r="M1085" t="str">
            <v>240102</v>
          </cell>
          <cell r="N1085" t="str">
            <v>ULTRAN LASUR</v>
          </cell>
        </row>
        <row r="1086">
          <cell r="C1086" t="str">
            <v>100002665</v>
          </cell>
          <cell r="D1086" t="str">
            <v>HARDENER PFP-241 VN-0.62K</v>
          </cell>
          <cell r="E1086" t="str">
            <v>ZFGD</v>
          </cell>
          <cell r="F1086" t="str">
            <v>PC</v>
          </cell>
          <cell r="G1086" t="str">
            <v>5</v>
          </cell>
          <cell r="H1086" t="str">
            <v>PROJECT</v>
          </cell>
          <cell r="I1086" t="str">
            <v>56</v>
          </cell>
          <cell r="J1086" t="str">
            <v>CPC1</v>
          </cell>
          <cell r="K1086" t="str">
            <v>5607</v>
          </cell>
          <cell r="L1086" t="str">
            <v>OTHERS CPC1</v>
          </cell>
          <cell r="M1086" t="str">
            <v>560703</v>
          </cell>
          <cell r="N1086" t="str">
            <v>COMPLEMENTARY CPC1</v>
          </cell>
        </row>
        <row r="1087">
          <cell r="C1087" t="str">
            <v>100002666</v>
          </cell>
          <cell r="D1087" t="str">
            <v>#NUEDL-601 TWILIGHT TEAK 8303-5L</v>
          </cell>
          <cell r="E1087" t="str">
            <v>ZFGD</v>
          </cell>
          <cell r="F1087" t="str">
            <v>PC</v>
          </cell>
          <cell r="G1087" t="str">
            <v>2</v>
          </cell>
          <cell r="H1087" t="str">
            <v>RETAIL</v>
          </cell>
          <cell r="I1087" t="str">
            <v>24</v>
          </cell>
          <cell r="J1087" t="str">
            <v>WF3</v>
          </cell>
          <cell r="K1087" t="str">
            <v>2401</v>
          </cell>
          <cell r="L1087" t="str">
            <v>WOOD CARE</v>
          </cell>
          <cell r="M1087" t="str">
            <v>240102</v>
          </cell>
          <cell r="N1087" t="str">
            <v>ULTRAN LASUR</v>
          </cell>
        </row>
        <row r="1088">
          <cell r="C1088" t="str">
            <v>100002667</v>
          </cell>
          <cell r="D1088" t="str">
            <v>PFP-241 VN-4.38K</v>
          </cell>
          <cell r="E1088" t="str">
            <v>ZFGD</v>
          </cell>
          <cell r="F1088" t="str">
            <v>PC</v>
          </cell>
          <cell r="G1088" t="str">
            <v>5</v>
          </cell>
          <cell r="H1088" t="str">
            <v>PROJECT</v>
          </cell>
          <cell r="I1088" t="str">
            <v>56</v>
          </cell>
          <cell r="J1088" t="str">
            <v>CPC1</v>
          </cell>
          <cell r="K1088" t="str">
            <v>5602</v>
          </cell>
          <cell r="L1088" t="str">
            <v>POLYFLOOR</v>
          </cell>
          <cell r="M1088" t="str">
            <v>560202</v>
          </cell>
          <cell r="N1088" t="str">
            <v>POLYFLOOR EPOXY</v>
          </cell>
        </row>
        <row r="1089">
          <cell r="C1089" t="str">
            <v>100002669</v>
          </cell>
          <cell r="D1089" t="str">
            <v>THINNER EPOXY VN-3.8L</v>
          </cell>
          <cell r="E1089" t="str">
            <v>ZFGD</v>
          </cell>
          <cell r="F1089" t="str">
            <v>PC</v>
          </cell>
          <cell r="G1089" t="str">
            <v>2</v>
          </cell>
          <cell r="H1089" t="str">
            <v>RETAIL</v>
          </cell>
          <cell r="I1089" t="str">
            <v>29</v>
          </cell>
          <cell r="J1089" t="str">
            <v>MPC</v>
          </cell>
          <cell r="K1089" t="str">
            <v>2915</v>
          </cell>
          <cell r="L1089" t="str">
            <v>THINNER</v>
          </cell>
          <cell r="M1089" t="str">
            <v>291502</v>
          </cell>
          <cell r="N1089" t="str">
            <v>THINNER MPC</v>
          </cell>
        </row>
        <row r="1090">
          <cell r="C1090" t="str">
            <v>100002670</v>
          </cell>
          <cell r="D1090" t="str">
            <v>PFT-253 LEAF GREEN-4K</v>
          </cell>
          <cell r="E1090" t="str">
            <v>ZFGD</v>
          </cell>
          <cell r="F1090" t="str">
            <v>PC</v>
          </cell>
          <cell r="G1090" t="str">
            <v>5</v>
          </cell>
          <cell r="H1090" t="str">
            <v>PROJECT</v>
          </cell>
          <cell r="I1090" t="str">
            <v>56</v>
          </cell>
          <cell r="J1090" t="str">
            <v>CPC1</v>
          </cell>
          <cell r="K1090" t="str">
            <v>5602</v>
          </cell>
          <cell r="L1090" t="str">
            <v>POLYFLOOR</v>
          </cell>
          <cell r="M1090" t="str">
            <v>560202</v>
          </cell>
          <cell r="N1090" t="str">
            <v>POLYFLOOR EPOXY</v>
          </cell>
        </row>
        <row r="1091">
          <cell r="C1091" t="str">
            <v>100002671</v>
          </cell>
          <cell r="D1091" t="str">
            <v>EL-501 RED WOOD-5L</v>
          </cell>
          <cell r="E1091" t="str">
            <v>ZFGD</v>
          </cell>
          <cell r="F1091" t="str">
            <v>PC</v>
          </cell>
          <cell r="G1091" t="str">
            <v>2</v>
          </cell>
          <cell r="H1091" t="str">
            <v>RETAIL</v>
          </cell>
          <cell r="I1091" t="str">
            <v>24</v>
          </cell>
          <cell r="J1091" t="str">
            <v>WF3</v>
          </cell>
          <cell r="K1091" t="str">
            <v>2413</v>
          </cell>
          <cell r="L1091" t="str">
            <v>ULTRAN</v>
          </cell>
          <cell r="M1091" t="str">
            <v>241304</v>
          </cell>
          <cell r="N1091" t="str">
            <v>ULTRAN LASUR</v>
          </cell>
        </row>
        <row r="1092">
          <cell r="C1092" t="str">
            <v>100002672</v>
          </cell>
          <cell r="D1092" t="str">
            <v>#NUAP-281 OXIDE RED VN-18LP</v>
          </cell>
          <cell r="E1092" t="str">
            <v>ZFGD</v>
          </cell>
          <cell r="F1092" t="str">
            <v>PC</v>
          </cell>
          <cell r="G1092" t="str">
            <v>2</v>
          </cell>
          <cell r="H1092" t="str">
            <v>RETAIL</v>
          </cell>
          <cell r="I1092" t="str">
            <v>29</v>
          </cell>
          <cell r="J1092" t="str">
            <v>MPC</v>
          </cell>
          <cell r="K1092" t="str">
            <v>2901</v>
          </cell>
          <cell r="L1092" t="str">
            <v>METALKOTE</v>
          </cell>
          <cell r="M1092" t="str">
            <v>290101</v>
          </cell>
          <cell r="N1092" t="str">
            <v>METALKOTE-ALKYD SYS</v>
          </cell>
        </row>
        <row r="1093">
          <cell r="C1093" t="str">
            <v>100002673</v>
          </cell>
          <cell r="D1093" t="str">
            <v>#NU AP-281-01 ZINC PHOSPHATE VN-18LP</v>
          </cell>
          <cell r="E1093" t="str">
            <v>ZFGD</v>
          </cell>
          <cell r="F1093" t="str">
            <v>PC</v>
          </cell>
          <cell r="G1093" t="str">
            <v>2</v>
          </cell>
          <cell r="H1093" t="str">
            <v>RETAIL</v>
          </cell>
          <cell r="I1093" t="str">
            <v>29</v>
          </cell>
          <cell r="J1093" t="str">
            <v>MPC</v>
          </cell>
          <cell r="K1093" t="str">
            <v>2901</v>
          </cell>
          <cell r="L1093" t="str">
            <v>METALKOTE</v>
          </cell>
          <cell r="M1093" t="str">
            <v>290101</v>
          </cell>
          <cell r="N1093" t="str">
            <v>METALKOTE-ALKYD SYS</v>
          </cell>
        </row>
        <row r="1094">
          <cell r="C1094" t="str">
            <v>100002675</v>
          </cell>
          <cell r="D1094" t="str">
            <v>PFT-613 MF GREY VN-27.8KP</v>
          </cell>
          <cell r="E1094" t="str">
            <v>ZFGD</v>
          </cell>
          <cell r="F1094" t="str">
            <v>PC</v>
          </cell>
          <cell r="G1094" t="str">
            <v>5</v>
          </cell>
          <cell r="H1094" t="str">
            <v>PROJECT</v>
          </cell>
          <cell r="I1094" t="str">
            <v>56</v>
          </cell>
          <cell r="J1094" t="str">
            <v>CPC1</v>
          </cell>
          <cell r="K1094" t="str">
            <v>5602</v>
          </cell>
          <cell r="L1094" t="str">
            <v>POLYFLOOR</v>
          </cell>
          <cell r="M1094" t="str">
            <v>560203</v>
          </cell>
          <cell r="N1094" t="str">
            <v>POLYFLOOR PU</v>
          </cell>
        </row>
        <row r="1095">
          <cell r="C1095" t="str">
            <v>100002676</v>
          </cell>
          <cell r="D1095" t="str">
            <v>MX-99 BLACK VN-1LS</v>
          </cell>
          <cell r="E1095" t="str">
            <v>ZFGD</v>
          </cell>
          <cell r="F1095" t="str">
            <v>SET</v>
          </cell>
          <cell r="G1095" t="str">
            <v>2</v>
          </cell>
          <cell r="H1095" t="str">
            <v>RETAIL</v>
          </cell>
          <cell r="I1095" t="str">
            <v>27</v>
          </cell>
          <cell r="J1095" t="str">
            <v>CPC1</v>
          </cell>
          <cell r="K1095" t="str">
            <v>2703</v>
          </cell>
          <cell r="L1095" t="str">
            <v>MULTIPOX</v>
          </cell>
          <cell r="M1095" t="str">
            <v>270302</v>
          </cell>
          <cell r="N1095" t="str">
            <v>MULTIPOX BASE</v>
          </cell>
        </row>
        <row r="1096">
          <cell r="C1096" t="str">
            <v>100002677</v>
          </cell>
          <cell r="D1096" t="str">
            <v>#NUMX-99 GENTIAN BLUE VN-1LS</v>
          </cell>
          <cell r="E1096" t="str">
            <v>ZFGD</v>
          </cell>
          <cell r="F1096" t="str">
            <v>SET</v>
          </cell>
          <cell r="G1096" t="str">
            <v>2</v>
          </cell>
          <cell r="H1096" t="str">
            <v>RETAIL</v>
          </cell>
          <cell r="I1096" t="str">
            <v>27</v>
          </cell>
          <cell r="J1096" t="str">
            <v>CPC1</v>
          </cell>
          <cell r="K1096" t="str">
            <v>2703</v>
          </cell>
          <cell r="L1096" t="str">
            <v>MULTIPOX</v>
          </cell>
          <cell r="M1096" t="str">
            <v>270301</v>
          </cell>
          <cell r="N1096" t="str">
            <v>MULTIPOX</v>
          </cell>
        </row>
        <row r="1097">
          <cell r="C1097" t="str">
            <v>100002678</v>
          </cell>
          <cell r="D1097" t="str">
            <v>MX-99 LEAF GREEN VN-1LS</v>
          </cell>
          <cell r="E1097" t="str">
            <v>ZFGD</v>
          </cell>
          <cell r="F1097" t="str">
            <v>SET</v>
          </cell>
          <cell r="G1097" t="str">
            <v>2</v>
          </cell>
          <cell r="H1097" t="str">
            <v>RETAIL</v>
          </cell>
          <cell r="I1097" t="str">
            <v>27</v>
          </cell>
          <cell r="J1097" t="str">
            <v>CPC1</v>
          </cell>
          <cell r="K1097" t="str">
            <v>2703</v>
          </cell>
          <cell r="L1097" t="str">
            <v>MULTIPOX</v>
          </cell>
          <cell r="M1097" t="str">
            <v>270302</v>
          </cell>
          <cell r="N1097" t="str">
            <v>MULTIPOX BASE</v>
          </cell>
        </row>
        <row r="1098">
          <cell r="C1098" t="str">
            <v>100002679</v>
          </cell>
          <cell r="D1098" t="str">
            <v>#NUMX-99 LIGHT GREY VN-1LS</v>
          </cell>
          <cell r="E1098" t="str">
            <v>ZFGD</v>
          </cell>
          <cell r="F1098" t="str">
            <v>SET</v>
          </cell>
          <cell r="G1098" t="str">
            <v>2</v>
          </cell>
          <cell r="H1098" t="str">
            <v>RETAIL</v>
          </cell>
          <cell r="I1098" t="str">
            <v>27</v>
          </cell>
          <cell r="J1098" t="str">
            <v>CPC1</v>
          </cell>
          <cell r="K1098" t="str">
            <v>2703</v>
          </cell>
          <cell r="L1098" t="str">
            <v>MULTIPOX</v>
          </cell>
          <cell r="M1098" t="str">
            <v>270301</v>
          </cell>
          <cell r="N1098" t="str">
            <v>MULTIPOX</v>
          </cell>
        </row>
        <row r="1099">
          <cell r="C1099" t="str">
            <v>100002680</v>
          </cell>
          <cell r="D1099" t="str">
            <v>#NUMX-99 WHITE VN-0.5L</v>
          </cell>
          <cell r="E1099" t="str">
            <v>ZFGD</v>
          </cell>
          <cell r="F1099" t="str">
            <v>PC</v>
          </cell>
          <cell r="G1099" t="str">
            <v>2</v>
          </cell>
          <cell r="H1099" t="str">
            <v>RETAIL</v>
          </cell>
          <cell r="I1099" t="str">
            <v>27</v>
          </cell>
          <cell r="J1099" t="str">
            <v>CPC1</v>
          </cell>
          <cell r="K1099" t="str">
            <v>2703</v>
          </cell>
          <cell r="L1099" t="str">
            <v>MULTIPOX</v>
          </cell>
          <cell r="M1099" t="str">
            <v>270301</v>
          </cell>
          <cell r="N1099" t="str">
            <v>MULTIPOX</v>
          </cell>
        </row>
        <row r="1100">
          <cell r="C1100" t="str">
            <v>100002681</v>
          </cell>
          <cell r="D1100" t="str">
            <v>MX-99 WHITE VN-1LS</v>
          </cell>
          <cell r="E1100" t="str">
            <v>ZFGD</v>
          </cell>
          <cell r="F1100" t="str">
            <v>SET</v>
          </cell>
          <cell r="G1100" t="str">
            <v>2</v>
          </cell>
          <cell r="H1100" t="str">
            <v>RETAIL</v>
          </cell>
          <cell r="I1100" t="str">
            <v>27</v>
          </cell>
          <cell r="J1100" t="str">
            <v>CPC1</v>
          </cell>
          <cell r="K1100" t="str">
            <v>2703</v>
          </cell>
          <cell r="L1100" t="str">
            <v>MULTIPOX</v>
          </cell>
          <cell r="M1100" t="str">
            <v>270302</v>
          </cell>
          <cell r="N1100" t="str">
            <v>MULTIPOX BASE</v>
          </cell>
        </row>
        <row r="1101">
          <cell r="C1101" t="str">
            <v>100002682</v>
          </cell>
          <cell r="D1101" t="str">
            <v>MX-99 BEIGE VN-1LS</v>
          </cell>
          <cell r="E1101" t="str">
            <v>ZFGD</v>
          </cell>
          <cell r="F1101" t="str">
            <v>SET</v>
          </cell>
          <cell r="G1101" t="str">
            <v>2</v>
          </cell>
          <cell r="H1101" t="str">
            <v>RETAIL</v>
          </cell>
          <cell r="I1101" t="str">
            <v>27</v>
          </cell>
          <cell r="J1101" t="str">
            <v>CPC1</v>
          </cell>
          <cell r="K1101" t="str">
            <v>2703</v>
          </cell>
          <cell r="L1101" t="str">
            <v>MULTIPOX</v>
          </cell>
          <cell r="M1101" t="str">
            <v>270302</v>
          </cell>
          <cell r="N1101" t="str">
            <v>MULTIPOX BASE</v>
          </cell>
        </row>
        <row r="1102">
          <cell r="C1102" t="str">
            <v>100002683</v>
          </cell>
          <cell r="D1102" t="str">
            <v>MX-99 GERANIUM VN-1LS</v>
          </cell>
          <cell r="E1102" t="str">
            <v>ZFGD</v>
          </cell>
          <cell r="F1102" t="str">
            <v>SET</v>
          </cell>
          <cell r="G1102" t="str">
            <v>2</v>
          </cell>
          <cell r="H1102" t="str">
            <v>RETAIL</v>
          </cell>
          <cell r="I1102" t="str">
            <v>27</v>
          </cell>
          <cell r="J1102" t="str">
            <v>CPC1</v>
          </cell>
          <cell r="K1102" t="str">
            <v>2703</v>
          </cell>
          <cell r="L1102" t="str">
            <v>MULTIPOX</v>
          </cell>
          <cell r="M1102" t="str">
            <v>270302</v>
          </cell>
          <cell r="N1102" t="str">
            <v>MULTIPOX BASE</v>
          </cell>
        </row>
        <row r="1103">
          <cell r="C1103" t="str">
            <v>100002684</v>
          </cell>
          <cell r="D1103" t="str">
            <v>#NUMX-99 LIGHT BLUE VN-1LS</v>
          </cell>
          <cell r="E1103" t="str">
            <v>ZFGD</v>
          </cell>
          <cell r="F1103" t="str">
            <v>SET</v>
          </cell>
          <cell r="G1103" t="str">
            <v>2</v>
          </cell>
          <cell r="H1103" t="str">
            <v>RETAIL</v>
          </cell>
          <cell r="I1103" t="str">
            <v>27</v>
          </cell>
          <cell r="J1103" t="str">
            <v>CPC1</v>
          </cell>
          <cell r="K1103" t="str">
            <v>2703</v>
          </cell>
          <cell r="L1103" t="str">
            <v>MULTIPOX</v>
          </cell>
          <cell r="M1103" t="str">
            <v>270301</v>
          </cell>
          <cell r="N1103" t="str">
            <v>MULTIPOX</v>
          </cell>
        </row>
        <row r="1104">
          <cell r="C1104" t="str">
            <v>100002685</v>
          </cell>
          <cell r="D1104" t="str">
            <v>#NUMX-99 PALE GREEN VN-1LS</v>
          </cell>
          <cell r="E1104" t="str">
            <v>ZFGD</v>
          </cell>
          <cell r="F1104" t="str">
            <v>SET</v>
          </cell>
          <cell r="G1104" t="str">
            <v>2</v>
          </cell>
          <cell r="H1104" t="str">
            <v>RETAIL</v>
          </cell>
          <cell r="I1104" t="str">
            <v>27</v>
          </cell>
          <cell r="J1104" t="str">
            <v>CPC1</v>
          </cell>
          <cell r="K1104" t="str">
            <v>2703</v>
          </cell>
          <cell r="L1104" t="str">
            <v>MULTIPOX</v>
          </cell>
          <cell r="M1104" t="str">
            <v>270301</v>
          </cell>
          <cell r="N1104" t="str">
            <v>MULTIPOX</v>
          </cell>
        </row>
        <row r="1105">
          <cell r="C1105" t="str">
            <v>100002686</v>
          </cell>
          <cell r="D1105" t="str">
            <v>#NUMX-99 CLEAR GLOSS VN-1LS</v>
          </cell>
          <cell r="E1105" t="str">
            <v>ZFGD</v>
          </cell>
          <cell r="F1105" t="str">
            <v>SET</v>
          </cell>
          <cell r="G1105" t="str">
            <v>2</v>
          </cell>
          <cell r="H1105" t="str">
            <v>RETAIL</v>
          </cell>
          <cell r="I1105" t="str">
            <v>27</v>
          </cell>
          <cell r="J1105" t="str">
            <v>CPC1</v>
          </cell>
          <cell r="K1105" t="str">
            <v>2703</v>
          </cell>
          <cell r="L1105" t="str">
            <v>MULTIPOX</v>
          </cell>
          <cell r="M1105" t="str">
            <v>270301</v>
          </cell>
          <cell r="N1105" t="str">
            <v>MULTIPOX</v>
          </cell>
        </row>
        <row r="1106">
          <cell r="C1106" t="str">
            <v>100002687</v>
          </cell>
          <cell r="D1106" t="str">
            <v>PROPAN STONE CARE SC-50 SB VN-20LP</v>
          </cell>
          <cell r="E1106" t="str">
            <v>ZFGD</v>
          </cell>
          <cell r="F1106" t="str">
            <v>PC</v>
          </cell>
          <cell r="G1106" t="str">
            <v>2</v>
          </cell>
          <cell r="H1106" t="str">
            <v>RETAIL</v>
          </cell>
          <cell r="I1106" t="str">
            <v>26</v>
          </cell>
          <cell r="J1106" t="str">
            <v>SFC</v>
          </cell>
          <cell r="K1106" t="str">
            <v>2601</v>
          </cell>
          <cell r="L1106" t="str">
            <v>STONE CARE</v>
          </cell>
          <cell r="M1106" t="str">
            <v>260101</v>
          </cell>
          <cell r="N1106" t="str">
            <v>PROPAN STONE CARE</v>
          </cell>
        </row>
        <row r="1107">
          <cell r="C1107" t="str">
            <v>100002688</v>
          </cell>
          <cell r="D1107" t="str">
            <v>PROPAN STONE CARE SC-50 SB VN-4L</v>
          </cell>
          <cell r="E1107" t="str">
            <v>ZFGD</v>
          </cell>
          <cell r="F1107" t="str">
            <v>PC</v>
          </cell>
          <cell r="G1107" t="str">
            <v>2</v>
          </cell>
          <cell r="H1107" t="str">
            <v>RETAIL</v>
          </cell>
          <cell r="I1107" t="str">
            <v>26</v>
          </cell>
          <cell r="J1107" t="str">
            <v>SFC</v>
          </cell>
          <cell r="K1107" t="str">
            <v>2601</v>
          </cell>
          <cell r="L1107" t="str">
            <v>STONE CARE</v>
          </cell>
          <cell r="M1107" t="str">
            <v>260101</v>
          </cell>
          <cell r="N1107" t="str">
            <v>PROPAN STONE CARE</v>
          </cell>
        </row>
        <row r="1108">
          <cell r="C1108" t="str">
            <v>100002689</v>
          </cell>
          <cell r="D1108" t="str">
            <v>AP-281 OXIDE RED VN-18KP</v>
          </cell>
          <cell r="E1108" t="str">
            <v>ZFGD</v>
          </cell>
          <cell r="F1108" t="str">
            <v>PC</v>
          </cell>
          <cell r="G1108" t="str">
            <v>5</v>
          </cell>
          <cell r="H1108" t="str">
            <v>PROJECT</v>
          </cell>
          <cell r="I1108" t="str">
            <v>59</v>
          </cell>
          <cell r="J1108" t="str">
            <v>MPC</v>
          </cell>
          <cell r="K1108" t="str">
            <v>5904</v>
          </cell>
          <cell r="L1108" t="str">
            <v>METALKOTE</v>
          </cell>
          <cell r="M1108" t="str">
            <v>590401</v>
          </cell>
          <cell r="N1108" t="str">
            <v>METALKOTE-ALKYD SYS</v>
          </cell>
        </row>
        <row r="1109">
          <cell r="C1109" t="str">
            <v>100002690</v>
          </cell>
          <cell r="D1109" t="str">
            <v>AP-281-01 ZINC PHOSPHATE VN-18KP</v>
          </cell>
          <cell r="E1109" t="str">
            <v>ZFGD</v>
          </cell>
          <cell r="F1109" t="str">
            <v>PC</v>
          </cell>
          <cell r="G1109" t="str">
            <v>5</v>
          </cell>
          <cell r="H1109" t="str">
            <v>PROJECT</v>
          </cell>
          <cell r="I1109" t="str">
            <v>59</v>
          </cell>
          <cell r="J1109" t="str">
            <v>MPC</v>
          </cell>
          <cell r="K1109" t="str">
            <v>5904</v>
          </cell>
          <cell r="L1109" t="str">
            <v>METALKOTE</v>
          </cell>
          <cell r="M1109" t="str">
            <v>590401</v>
          </cell>
          <cell r="N1109" t="str">
            <v>METALKOTE-ALKYD SYS</v>
          </cell>
        </row>
        <row r="1110">
          <cell r="C1110" t="str">
            <v>100002691</v>
          </cell>
          <cell r="D1110" t="str">
            <v>SYNTHETIC 2000 CHESNUT BROWN VN-3K</v>
          </cell>
          <cell r="E1110" t="str">
            <v>ZFGD</v>
          </cell>
          <cell r="F1110" t="str">
            <v>PC</v>
          </cell>
          <cell r="G1110" t="str">
            <v>5</v>
          </cell>
          <cell r="H1110" t="str">
            <v>PROJECT</v>
          </cell>
          <cell r="I1110" t="str">
            <v>59</v>
          </cell>
          <cell r="J1110" t="str">
            <v>MPC</v>
          </cell>
          <cell r="K1110" t="str">
            <v>5902</v>
          </cell>
          <cell r="L1110" t="str">
            <v>SYNTHETIC ENAMEL SB</v>
          </cell>
          <cell r="M1110" t="str">
            <v>590202</v>
          </cell>
          <cell r="N1110" t="str">
            <v>SYNTHETIC 2000</v>
          </cell>
        </row>
        <row r="1111">
          <cell r="C1111" t="str">
            <v>100002692</v>
          </cell>
          <cell r="D1111" t="str">
            <v>#NUTHINNER EPOXY VN-0.25L</v>
          </cell>
          <cell r="E1111" t="str">
            <v>ZFGD</v>
          </cell>
          <cell r="F1111" t="str">
            <v>PC</v>
          </cell>
          <cell r="G1111" t="str">
            <v>2</v>
          </cell>
          <cell r="H1111" t="str">
            <v>RETAIL</v>
          </cell>
          <cell r="I1111" t="str">
            <v>29</v>
          </cell>
          <cell r="J1111" t="str">
            <v>MPC</v>
          </cell>
          <cell r="K1111" t="str">
            <v>2904</v>
          </cell>
          <cell r="L1111" t="str">
            <v>OTHERS MPC</v>
          </cell>
          <cell r="M1111" t="str">
            <v>290402</v>
          </cell>
          <cell r="N1111" t="str">
            <v>THINNER MPC</v>
          </cell>
        </row>
        <row r="1112">
          <cell r="C1112" t="str">
            <v>100002693</v>
          </cell>
          <cell r="D1112" t="str">
            <v>#NUHARDENER MX-99 VN-0.25L</v>
          </cell>
          <cell r="E1112" t="str">
            <v>ZFGD</v>
          </cell>
          <cell r="F1112" t="str">
            <v>PC</v>
          </cell>
          <cell r="G1112" t="str">
            <v>2</v>
          </cell>
          <cell r="H1112" t="str">
            <v>RETAIL</v>
          </cell>
          <cell r="I1112" t="str">
            <v>27</v>
          </cell>
          <cell r="J1112" t="str">
            <v>CPC1</v>
          </cell>
          <cell r="K1112" t="str">
            <v>2703</v>
          </cell>
          <cell r="L1112" t="str">
            <v>MULTIPOX</v>
          </cell>
          <cell r="M1112" t="str">
            <v>270301</v>
          </cell>
          <cell r="N1112" t="str">
            <v>MULTIPOX</v>
          </cell>
        </row>
        <row r="1113">
          <cell r="C1113" t="str">
            <v>100002694</v>
          </cell>
          <cell r="D1113" t="str">
            <v>#NUTHINNER PU-047 VT VN-0.4L</v>
          </cell>
          <cell r="E1113" t="str">
            <v>ZFGD</v>
          </cell>
          <cell r="F1113" t="str">
            <v>PC</v>
          </cell>
          <cell r="G1113" t="str">
            <v>2</v>
          </cell>
          <cell r="H1113" t="str">
            <v>RETAIL</v>
          </cell>
          <cell r="I1113" t="str">
            <v>22</v>
          </cell>
          <cell r="J1113" t="str">
            <v>WF2</v>
          </cell>
          <cell r="K1113" t="str">
            <v>2203</v>
          </cell>
          <cell r="L1113" t="str">
            <v>THINNER PU</v>
          </cell>
          <cell r="M1113" t="str">
            <v>220303</v>
          </cell>
          <cell r="N1113" t="str">
            <v>THINNER PU R</v>
          </cell>
        </row>
        <row r="1114">
          <cell r="C1114" t="str">
            <v>100002695</v>
          </cell>
          <cell r="D1114" t="str">
            <v>PUL-748-2K HQ CLEAR GLOSS VN-1LS</v>
          </cell>
          <cell r="E1114" t="str">
            <v>ZFGD</v>
          </cell>
          <cell r="F1114" t="str">
            <v>SET</v>
          </cell>
          <cell r="G1114" t="str">
            <v>2</v>
          </cell>
          <cell r="H1114" t="str">
            <v>RETAIL</v>
          </cell>
          <cell r="I1114" t="str">
            <v>22</v>
          </cell>
          <cell r="J1114" t="str">
            <v>WF2</v>
          </cell>
          <cell r="K1114" t="str">
            <v>2215</v>
          </cell>
          <cell r="L1114" t="str">
            <v>PU ITALIAN</v>
          </cell>
          <cell r="M1114" t="str">
            <v>221501</v>
          </cell>
          <cell r="N1114" t="str">
            <v>PROPAN ITALIAN PU</v>
          </cell>
        </row>
        <row r="1115">
          <cell r="C1115" t="str">
            <v>100002696</v>
          </cell>
          <cell r="D1115" t="str">
            <v>#NUEL-501 CHOCOLATE VN-8303 VN-5L</v>
          </cell>
          <cell r="E1115" t="str">
            <v>ZFGD</v>
          </cell>
          <cell r="F1115" t="str">
            <v>PC</v>
          </cell>
          <cell r="G1115" t="str">
            <v>2</v>
          </cell>
          <cell r="H1115" t="str">
            <v>RETAIL</v>
          </cell>
          <cell r="I1115" t="str">
            <v>24</v>
          </cell>
          <cell r="J1115" t="str">
            <v>WF3</v>
          </cell>
          <cell r="K1115" t="str">
            <v>2401</v>
          </cell>
          <cell r="L1115" t="str">
            <v>WOOD CARE</v>
          </cell>
          <cell r="M1115" t="str">
            <v>240102</v>
          </cell>
          <cell r="N1115" t="str">
            <v>ULTRAN LASUR</v>
          </cell>
        </row>
        <row r="1116">
          <cell r="C1116" t="str">
            <v>100002697</v>
          </cell>
          <cell r="D1116" t="str">
            <v>#NUEL-501 SUNSET YELLOW VN-2011 VN-5L</v>
          </cell>
          <cell r="E1116" t="str">
            <v>ZFGD</v>
          </cell>
          <cell r="F1116" t="str">
            <v>PC</v>
          </cell>
          <cell r="G1116" t="str">
            <v>2</v>
          </cell>
          <cell r="H1116" t="str">
            <v>RETAIL</v>
          </cell>
          <cell r="I1116" t="str">
            <v>24</v>
          </cell>
          <cell r="J1116" t="str">
            <v>WF3</v>
          </cell>
          <cell r="K1116" t="str">
            <v>2401</v>
          </cell>
          <cell r="L1116" t="str">
            <v>WOOD CARE</v>
          </cell>
          <cell r="M1116" t="str">
            <v>240102</v>
          </cell>
          <cell r="N1116" t="str">
            <v>ULTRAN LASUR</v>
          </cell>
        </row>
        <row r="1117">
          <cell r="C1117" t="str">
            <v>100002698</v>
          </cell>
          <cell r="D1117" t="str">
            <v>#NUEL-501 CHRYSANT YELLOW VN-1004 VN-5L</v>
          </cell>
          <cell r="E1117" t="str">
            <v>ZFGD</v>
          </cell>
          <cell r="F1117" t="str">
            <v>PC</v>
          </cell>
          <cell r="G1117" t="str">
            <v>2</v>
          </cell>
          <cell r="H1117" t="str">
            <v>RETAIL</v>
          </cell>
          <cell r="I1117" t="str">
            <v>24</v>
          </cell>
          <cell r="J1117" t="str">
            <v>WF3</v>
          </cell>
          <cell r="K1117" t="str">
            <v>2401</v>
          </cell>
          <cell r="L1117" t="str">
            <v>WOOD CARE</v>
          </cell>
          <cell r="M1117" t="str">
            <v>240102</v>
          </cell>
          <cell r="N1117" t="str">
            <v>ULTRAN LASUR</v>
          </cell>
        </row>
        <row r="1118">
          <cell r="C1118" t="str">
            <v>100002699</v>
          </cell>
          <cell r="D1118" t="str">
            <v>#NUEL-501 TROPICAL TEAK VN-8012 VN-5L</v>
          </cell>
          <cell r="E1118" t="str">
            <v>ZFGD</v>
          </cell>
          <cell r="F1118" t="str">
            <v>PC</v>
          </cell>
          <cell r="G1118" t="str">
            <v>2</v>
          </cell>
          <cell r="H1118" t="str">
            <v>RETAIL</v>
          </cell>
          <cell r="I1118" t="str">
            <v>24</v>
          </cell>
          <cell r="J1118" t="str">
            <v>WF3</v>
          </cell>
          <cell r="K1118" t="str">
            <v>2401</v>
          </cell>
          <cell r="L1118" t="str">
            <v>WOOD CARE</v>
          </cell>
          <cell r="M1118" t="str">
            <v>240102</v>
          </cell>
          <cell r="N1118" t="str">
            <v>ULTRAN LASUR</v>
          </cell>
        </row>
        <row r="1119">
          <cell r="C1119" t="str">
            <v>100002700</v>
          </cell>
          <cell r="D1119" t="str">
            <v>#NUEL-501 WALNUT VN-9013 VN-5L</v>
          </cell>
          <cell r="E1119" t="str">
            <v>ZFGD</v>
          </cell>
          <cell r="F1119" t="str">
            <v>PC</v>
          </cell>
          <cell r="G1119" t="str">
            <v>2</v>
          </cell>
          <cell r="H1119" t="str">
            <v>RETAIL</v>
          </cell>
          <cell r="I1119" t="str">
            <v>24</v>
          </cell>
          <cell r="J1119" t="str">
            <v>WF3</v>
          </cell>
          <cell r="K1119" t="str">
            <v>2401</v>
          </cell>
          <cell r="L1119" t="str">
            <v>WOOD CARE</v>
          </cell>
          <cell r="M1119" t="str">
            <v>240102</v>
          </cell>
          <cell r="N1119" t="str">
            <v>ULTRAN LASUR</v>
          </cell>
        </row>
        <row r="1120">
          <cell r="C1120" t="str">
            <v>100002701</v>
          </cell>
          <cell r="D1120" t="str">
            <v>EL-501 NATURAL GLOSS VN-0015 VN-5L</v>
          </cell>
          <cell r="E1120" t="str">
            <v>ZFGD</v>
          </cell>
          <cell r="F1120" t="str">
            <v>PC</v>
          </cell>
          <cell r="G1120" t="str">
            <v>2</v>
          </cell>
          <cell r="H1120" t="str">
            <v>RETAIL</v>
          </cell>
          <cell r="I1120" t="str">
            <v>24</v>
          </cell>
          <cell r="J1120" t="str">
            <v>WF3</v>
          </cell>
          <cell r="K1120" t="str">
            <v>2413</v>
          </cell>
          <cell r="L1120" t="str">
            <v>ULTRAN</v>
          </cell>
          <cell r="M1120" t="str">
            <v>241304</v>
          </cell>
          <cell r="N1120" t="str">
            <v>ULTRAN LASUR</v>
          </cell>
        </row>
        <row r="1121">
          <cell r="C1121" t="str">
            <v>100002702</v>
          </cell>
          <cell r="D1121" t="str">
            <v>#NUEL-501 NATURAL DOF VN-0014 VN-5L</v>
          </cell>
          <cell r="E1121" t="str">
            <v>ZFGD</v>
          </cell>
          <cell r="F1121" t="str">
            <v>PC</v>
          </cell>
          <cell r="G1121" t="str">
            <v>2</v>
          </cell>
          <cell r="H1121" t="str">
            <v>RETAIL</v>
          </cell>
          <cell r="I1121" t="str">
            <v>24</v>
          </cell>
          <cell r="J1121" t="str">
            <v>WF3</v>
          </cell>
          <cell r="K1121" t="str">
            <v>2401</v>
          </cell>
          <cell r="L1121" t="str">
            <v>WOOD CARE</v>
          </cell>
          <cell r="M1121" t="str">
            <v>240102</v>
          </cell>
          <cell r="N1121" t="str">
            <v>ULTRAN LASUR</v>
          </cell>
        </row>
        <row r="1122">
          <cell r="C1122" t="str">
            <v>100002703</v>
          </cell>
          <cell r="D1122" t="str">
            <v>#NUEL-501 ROASTED RED VN-8310 VN-5L</v>
          </cell>
          <cell r="E1122" t="str">
            <v>ZFGD</v>
          </cell>
          <cell r="F1122" t="str">
            <v>PC</v>
          </cell>
          <cell r="G1122" t="str">
            <v>2</v>
          </cell>
          <cell r="H1122" t="str">
            <v>RETAIL</v>
          </cell>
          <cell r="I1122" t="str">
            <v>24</v>
          </cell>
          <cell r="J1122" t="str">
            <v>WF3</v>
          </cell>
          <cell r="K1122" t="str">
            <v>2401</v>
          </cell>
          <cell r="L1122" t="str">
            <v>WOOD CARE</v>
          </cell>
          <cell r="M1122" t="str">
            <v>240102</v>
          </cell>
          <cell r="N1122" t="str">
            <v>ULTRAN LASUR</v>
          </cell>
        </row>
        <row r="1123">
          <cell r="C1123" t="str">
            <v>100002704</v>
          </cell>
          <cell r="D1123" t="str">
            <v>#NUEL-501 NATURAL SATIN VN-0016 VN-5L</v>
          </cell>
          <cell r="E1123" t="str">
            <v>ZFGD</v>
          </cell>
          <cell r="F1123" t="str">
            <v>PC</v>
          </cell>
          <cell r="G1123" t="str">
            <v>2</v>
          </cell>
          <cell r="H1123" t="str">
            <v>RETAIL</v>
          </cell>
          <cell r="I1123" t="str">
            <v>24</v>
          </cell>
          <cell r="J1123" t="str">
            <v>WF3</v>
          </cell>
          <cell r="K1123" t="str">
            <v>2401</v>
          </cell>
          <cell r="L1123" t="str">
            <v>WOOD CARE</v>
          </cell>
          <cell r="M1123" t="str">
            <v>240102</v>
          </cell>
          <cell r="N1123" t="str">
            <v>ULTRAN LASUR</v>
          </cell>
        </row>
        <row r="1124">
          <cell r="C1124" t="str">
            <v>100002705</v>
          </cell>
          <cell r="D1124" t="str">
            <v>PFT-293 AS GREY-20KSP</v>
          </cell>
          <cell r="E1124" t="str">
            <v>ZFGD</v>
          </cell>
          <cell r="F1124" t="str">
            <v>SET</v>
          </cell>
          <cell r="G1124" t="str">
            <v>5</v>
          </cell>
          <cell r="H1124" t="str">
            <v>PROJECT</v>
          </cell>
          <cell r="I1124" t="str">
            <v>56</v>
          </cell>
          <cell r="J1124" t="str">
            <v>CPC1</v>
          </cell>
          <cell r="K1124" t="str">
            <v>5602</v>
          </cell>
          <cell r="L1124" t="str">
            <v>POLYFLOOR</v>
          </cell>
          <cell r="M1124" t="str">
            <v>560207</v>
          </cell>
          <cell r="N1124" t="str">
            <v>POLYFLOOR EPOXY SOLVENT FREE</v>
          </cell>
        </row>
        <row r="1125">
          <cell r="C1125" t="str">
            <v>100002706</v>
          </cell>
          <cell r="D1125" t="str">
            <v>MX-99 CLEAR GLOSS-20LP</v>
          </cell>
          <cell r="E1125" t="str">
            <v>ZFGD</v>
          </cell>
          <cell r="F1125" t="str">
            <v>PC</v>
          </cell>
          <cell r="G1125" t="str">
            <v>2</v>
          </cell>
          <cell r="H1125" t="str">
            <v>RETAIL</v>
          </cell>
          <cell r="I1125" t="str">
            <v>27</v>
          </cell>
          <cell r="J1125" t="str">
            <v>CPC1</v>
          </cell>
          <cell r="K1125" t="str">
            <v>2703</v>
          </cell>
          <cell r="L1125" t="str">
            <v>MULTIPOX</v>
          </cell>
          <cell r="M1125" t="str">
            <v>270302</v>
          </cell>
          <cell r="N1125" t="str">
            <v>MULTIPOX BASE</v>
          </cell>
        </row>
        <row r="1126">
          <cell r="C1126" t="str">
            <v>100002707</v>
          </cell>
          <cell r="D1126" t="str">
            <v>#NUTHINNER PU-047 VT VN-0.8L</v>
          </cell>
          <cell r="E1126" t="str">
            <v>ZFGD</v>
          </cell>
          <cell r="F1126" t="str">
            <v>PC</v>
          </cell>
          <cell r="G1126" t="str">
            <v>2</v>
          </cell>
          <cell r="H1126" t="str">
            <v>RETAIL</v>
          </cell>
          <cell r="I1126" t="str">
            <v>22</v>
          </cell>
          <cell r="J1126" t="str">
            <v>WF2</v>
          </cell>
          <cell r="K1126" t="str">
            <v>2203</v>
          </cell>
          <cell r="L1126" t="str">
            <v>THINNER PU</v>
          </cell>
          <cell r="M1126" t="str">
            <v>220303</v>
          </cell>
          <cell r="N1126" t="str">
            <v>THINNER PU R</v>
          </cell>
        </row>
        <row r="1127">
          <cell r="C1127" t="str">
            <v>100002708</v>
          </cell>
          <cell r="D1127" t="str">
            <v>PUC-757 AINO GREEN GLOSS 02 VN-16KP</v>
          </cell>
          <cell r="E1127" t="str">
            <v>ZFGD</v>
          </cell>
          <cell r="F1127" t="str">
            <v>PC</v>
          </cell>
          <cell r="G1127" t="str">
            <v>2</v>
          </cell>
          <cell r="H1127" t="str">
            <v>RETAIL</v>
          </cell>
          <cell r="I1127" t="str">
            <v>22</v>
          </cell>
          <cell r="J1127" t="str">
            <v>WF2</v>
          </cell>
          <cell r="K1127" t="str">
            <v>2216</v>
          </cell>
          <cell r="L1127" t="str">
            <v>PU MULTIPURPOSE</v>
          </cell>
          <cell r="M1127" t="str">
            <v>221601</v>
          </cell>
          <cell r="N1127" t="str">
            <v>PROPAN MP PU ACR RMX</v>
          </cell>
        </row>
        <row r="1128">
          <cell r="C1128" t="str">
            <v>100002726</v>
          </cell>
          <cell r="D1128" t="str">
            <v>#NUPCA-31100 BLACK PASTE VN-1K</v>
          </cell>
          <cell r="E1128" t="str">
            <v>ZFGD</v>
          </cell>
          <cell r="F1128" t="str">
            <v>PC</v>
          </cell>
          <cell r="G1128" t="str">
            <v>1</v>
          </cell>
          <cell r="H1128" t="str">
            <v>INDUSTRY</v>
          </cell>
          <cell r="I1128" t="str">
            <v>11</v>
          </cell>
          <cell r="J1128" t="str">
            <v>WOOD COATINGS</v>
          </cell>
          <cell r="K1128" t="str">
            <v>1113</v>
          </cell>
          <cell r="L1128" t="str">
            <v>LAIN-LAIN WF I</v>
          </cell>
          <cell r="M1128" t="str">
            <v>111305</v>
          </cell>
          <cell r="N1128" t="str">
            <v>PASTA</v>
          </cell>
        </row>
        <row r="1129">
          <cell r="C1129" t="str">
            <v>100002763</v>
          </cell>
          <cell r="D1129" t="str">
            <v>PFC-225 EPOCEM-23KSZ</v>
          </cell>
          <cell r="E1129" t="str">
            <v>ZFGD</v>
          </cell>
          <cell r="F1129" t="str">
            <v>SET</v>
          </cell>
          <cell r="G1129" t="str">
            <v>5</v>
          </cell>
          <cell r="H1129" t="str">
            <v>PROJECT</v>
          </cell>
          <cell r="I1129" t="str">
            <v>56</v>
          </cell>
          <cell r="J1129" t="str">
            <v>CPC1</v>
          </cell>
          <cell r="K1129" t="str">
            <v>5602</v>
          </cell>
          <cell r="L1129" t="str">
            <v>POLYFLOOR</v>
          </cell>
          <cell r="M1129" t="str">
            <v>560201</v>
          </cell>
          <cell r="N1129" t="str">
            <v>POLYFLOOR CEMENT</v>
          </cell>
        </row>
        <row r="1130">
          <cell r="C1130" t="str">
            <v>100002764</v>
          </cell>
          <cell r="D1130" t="str">
            <v>PFC-225 EPOCEM-31KSZ</v>
          </cell>
          <cell r="E1130" t="str">
            <v>ZFGD</v>
          </cell>
          <cell r="F1130" t="str">
            <v>SET</v>
          </cell>
          <cell r="G1130" t="str">
            <v>5</v>
          </cell>
          <cell r="H1130" t="str">
            <v>PROJECT</v>
          </cell>
          <cell r="I1130" t="str">
            <v>56</v>
          </cell>
          <cell r="J1130" t="str">
            <v>CPC1</v>
          </cell>
          <cell r="K1130" t="str">
            <v>5602</v>
          </cell>
          <cell r="L1130" t="str">
            <v>POLYFLOOR</v>
          </cell>
          <cell r="M1130" t="str">
            <v>560201</v>
          </cell>
          <cell r="N1130" t="str">
            <v>POLYFLOOR CEMENT</v>
          </cell>
        </row>
        <row r="1131">
          <cell r="C1131" t="str">
            <v>100002765</v>
          </cell>
          <cell r="D1131" t="str">
            <v>PFC-225 SEALER-4KS</v>
          </cell>
          <cell r="E1131" t="str">
            <v>ZFGD</v>
          </cell>
          <cell r="F1131" t="str">
            <v>SET</v>
          </cell>
          <cell r="G1131" t="str">
            <v>5</v>
          </cell>
          <cell r="H1131" t="str">
            <v>PROJECT</v>
          </cell>
          <cell r="I1131" t="str">
            <v>56</v>
          </cell>
          <cell r="J1131" t="str">
            <v>CPC1</v>
          </cell>
          <cell r="K1131" t="str">
            <v>5602</v>
          </cell>
          <cell r="L1131" t="str">
            <v>POLYFLOOR</v>
          </cell>
          <cell r="M1131" t="str">
            <v>560201</v>
          </cell>
          <cell r="N1131" t="str">
            <v>POLYFLOOR CEMENT</v>
          </cell>
        </row>
        <row r="1132">
          <cell r="C1132" t="str">
            <v>100002766</v>
          </cell>
          <cell r="D1132" t="str">
            <v>PFC-225 SEALER-6KS</v>
          </cell>
          <cell r="E1132" t="str">
            <v>ZFGD</v>
          </cell>
          <cell r="F1132" t="str">
            <v>SET</v>
          </cell>
          <cell r="G1132" t="str">
            <v>5</v>
          </cell>
          <cell r="H1132" t="str">
            <v>PROJECT</v>
          </cell>
          <cell r="I1132" t="str">
            <v>56</v>
          </cell>
          <cell r="J1132" t="str">
            <v>CPC1</v>
          </cell>
          <cell r="K1132" t="str">
            <v>5602</v>
          </cell>
          <cell r="L1132" t="str">
            <v>POLYFLOOR</v>
          </cell>
          <cell r="M1132" t="str">
            <v>560201</v>
          </cell>
          <cell r="N1132" t="str">
            <v>POLYFLOOR CEMENT</v>
          </cell>
        </row>
        <row r="1133">
          <cell r="C1133" t="str">
            <v>100002767</v>
          </cell>
          <cell r="D1133" t="str">
            <v>HARDENER PUH-761-0.2L</v>
          </cell>
          <cell r="E1133" t="str">
            <v>ZFGD</v>
          </cell>
          <cell r="F1133" t="str">
            <v>PC</v>
          </cell>
          <cell r="G1133" t="str">
            <v>2</v>
          </cell>
          <cell r="H1133" t="str">
            <v>RETAIL</v>
          </cell>
          <cell r="I1133" t="str">
            <v>22</v>
          </cell>
          <cell r="J1133" t="str">
            <v>WF2</v>
          </cell>
          <cell r="K1133" t="str">
            <v>2216</v>
          </cell>
          <cell r="L1133" t="str">
            <v>PU MULTIPURPOSE</v>
          </cell>
          <cell r="M1133" t="str">
            <v>221601</v>
          </cell>
          <cell r="N1133" t="str">
            <v>PROPAN MP PU ACR RMX</v>
          </cell>
        </row>
        <row r="1134">
          <cell r="C1134" t="str">
            <v>100002768</v>
          </cell>
          <cell r="D1134" t="str">
            <v>HARDENER PUH-76-0.2K</v>
          </cell>
          <cell r="E1134" t="str">
            <v>ZFGD</v>
          </cell>
          <cell r="F1134" t="str">
            <v>PC</v>
          </cell>
          <cell r="G1134" t="str">
            <v>2</v>
          </cell>
          <cell r="H1134" t="str">
            <v>RETAIL</v>
          </cell>
          <cell r="I1134" t="str">
            <v>22</v>
          </cell>
          <cell r="J1134" t="str">
            <v>WF2</v>
          </cell>
          <cell r="K1134" t="str">
            <v>2216</v>
          </cell>
          <cell r="L1134" t="str">
            <v>PU MULTIPURPOSE</v>
          </cell>
          <cell r="M1134" t="str">
            <v>221601</v>
          </cell>
          <cell r="N1134" t="str">
            <v>PROPAN MP PU ACR RMX</v>
          </cell>
        </row>
        <row r="1135">
          <cell r="C1135" t="str">
            <v>100002769</v>
          </cell>
          <cell r="D1135" t="str">
            <v>HARDENER PUH-76-0.2L</v>
          </cell>
          <cell r="E1135" t="str">
            <v>ZFGD</v>
          </cell>
          <cell r="F1135" t="str">
            <v>PC</v>
          </cell>
          <cell r="G1135" t="str">
            <v>2</v>
          </cell>
          <cell r="H1135" t="str">
            <v>RETAIL</v>
          </cell>
          <cell r="I1135" t="str">
            <v>22</v>
          </cell>
          <cell r="J1135" t="str">
            <v>WF2</v>
          </cell>
          <cell r="K1135" t="str">
            <v>2216</v>
          </cell>
          <cell r="L1135" t="str">
            <v>PU MULTIPURPOSE</v>
          </cell>
          <cell r="M1135" t="str">
            <v>221601</v>
          </cell>
          <cell r="N1135" t="str">
            <v>PROPAN MP PU ACR RMX</v>
          </cell>
        </row>
        <row r="1136">
          <cell r="C1136" t="str">
            <v>100002770</v>
          </cell>
          <cell r="D1136" t="str">
            <v>PUL-765-2K ACR CLEAR SATIN-1LS</v>
          </cell>
          <cell r="E1136" t="str">
            <v>ZFGD</v>
          </cell>
          <cell r="F1136" t="str">
            <v>PC</v>
          </cell>
          <cell r="G1136" t="str">
            <v>2</v>
          </cell>
          <cell r="H1136" t="str">
            <v>RETAIL</v>
          </cell>
          <cell r="I1136" t="str">
            <v>22</v>
          </cell>
          <cell r="J1136" t="str">
            <v>WF2</v>
          </cell>
          <cell r="K1136" t="str">
            <v>2216</v>
          </cell>
          <cell r="L1136" t="str">
            <v>PU MULTIPURPOSE</v>
          </cell>
          <cell r="M1136" t="str">
            <v>221601</v>
          </cell>
          <cell r="N1136" t="str">
            <v>PROPAN MP PU ACR RMX</v>
          </cell>
        </row>
        <row r="1137">
          <cell r="C1137" t="str">
            <v>100002771</v>
          </cell>
          <cell r="D1137" t="str">
            <v>#NU EL-501 LS CANDY BROWN-1002 VN-41L</v>
          </cell>
          <cell r="E1137" t="str">
            <v>ZFGD</v>
          </cell>
          <cell r="F1137" t="str">
            <v>PC</v>
          </cell>
          <cell r="G1137" t="str">
            <v>2</v>
          </cell>
          <cell r="H1137" t="str">
            <v>RETAIL</v>
          </cell>
          <cell r="I1137" t="str">
            <v>24</v>
          </cell>
          <cell r="J1137" t="str">
            <v>WF3</v>
          </cell>
          <cell r="K1137" t="str">
            <v>2401</v>
          </cell>
          <cell r="L1137" t="str">
            <v>WOOD CARE</v>
          </cell>
          <cell r="M1137" t="str">
            <v>240102</v>
          </cell>
          <cell r="N1137" t="str">
            <v>ULTRAN LASUR</v>
          </cell>
        </row>
        <row r="1138">
          <cell r="C1138" t="str">
            <v>100002772</v>
          </cell>
          <cell r="D1138" t="str">
            <v>#NUEDL-601 NATURAL SATIN-0004 VN-5L</v>
          </cell>
          <cell r="E1138" t="str">
            <v>ZFGD</v>
          </cell>
          <cell r="F1138" t="str">
            <v>PC</v>
          </cell>
          <cell r="G1138" t="str">
            <v>2</v>
          </cell>
          <cell r="H1138" t="str">
            <v>RETAIL</v>
          </cell>
          <cell r="I1138" t="str">
            <v>24</v>
          </cell>
          <cell r="J1138" t="str">
            <v>WF3</v>
          </cell>
          <cell r="K1138" t="str">
            <v>2401</v>
          </cell>
          <cell r="L1138" t="str">
            <v>WOOD CARE</v>
          </cell>
          <cell r="M1138" t="str">
            <v>240102</v>
          </cell>
          <cell r="N1138" t="str">
            <v>ULTRAN LASUR</v>
          </cell>
        </row>
        <row r="1139">
          <cell r="C1139" t="str">
            <v>100002781</v>
          </cell>
          <cell r="D1139" t="str">
            <v>US-970 PRIME GREY 9401 VN-4K</v>
          </cell>
          <cell r="E1139" t="str">
            <v>ZFGD</v>
          </cell>
          <cell r="F1139" t="str">
            <v>PC</v>
          </cell>
          <cell r="G1139" t="str">
            <v>2</v>
          </cell>
          <cell r="H1139" t="str">
            <v>RETAIL</v>
          </cell>
          <cell r="I1139" t="str">
            <v>28</v>
          </cell>
          <cell r="J1139" t="str">
            <v>CPC2</v>
          </cell>
          <cell r="K1139" t="str">
            <v>2807</v>
          </cell>
          <cell r="L1139" t="str">
            <v>ULTRASEAL</v>
          </cell>
          <cell r="M1139" t="str">
            <v>280701</v>
          </cell>
          <cell r="N1139" t="str">
            <v>ULTRASEAL</v>
          </cell>
        </row>
        <row r="1140">
          <cell r="C1140" t="str">
            <v>100002782</v>
          </cell>
          <cell r="D1140" t="str">
            <v>US-970 CAPPUCCINO 2111 VN-4K</v>
          </cell>
          <cell r="E1140" t="str">
            <v>ZFGD</v>
          </cell>
          <cell r="F1140" t="str">
            <v>PC</v>
          </cell>
          <cell r="G1140" t="str">
            <v>2</v>
          </cell>
          <cell r="H1140" t="str">
            <v>RETAIL</v>
          </cell>
          <cell r="I1140" t="str">
            <v>28</v>
          </cell>
          <cell r="J1140" t="str">
            <v>CPC2</v>
          </cell>
          <cell r="K1140" t="str">
            <v>2807</v>
          </cell>
          <cell r="L1140" t="str">
            <v>ULTRASEAL</v>
          </cell>
          <cell r="M1140" t="str">
            <v>280701</v>
          </cell>
          <cell r="N1140" t="str">
            <v>ULTRASEAL</v>
          </cell>
        </row>
        <row r="1141">
          <cell r="C1141" t="str">
            <v>100002783</v>
          </cell>
          <cell r="D1141" t="str">
            <v>AP-281 OXIDE RED VN-3K</v>
          </cell>
          <cell r="E1141" t="str">
            <v>ZFGD</v>
          </cell>
          <cell r="F1141" t="str">
            <v>PC</v>
          </cell>
          <cell r="G1141" t="str">
            <v>5</v>
          </cell>
          <cell r="H1141" t="str">
            <v>PROJECT</v>
          </cell>
          <cell r="I1141" t="str">
            <v>59</v>
          </cell>
          <cell r="J1141" t="str">
            <v>MPC</v>
          </cell>
          <cell r="K1141" t="str">
            <v>5904</v>
          </cell>
          <cell r="L1141" t="str">
            <v>METALKOTE</v>
          </cell>
          <cell r="M1141" t="str">
            <v>590401</v>
          </cell>
          <cell r="N1141" t="str">
            <v>METALKOTE-ALKYD SYS</v>
          </cell>
        </row>
        <row r="1142">
          <cell r="C1142" t="str">
            <v>100002784</v>
          </cell>
          <cell r="D1142" t="str">
            <v>CỨNG EPOXY EDP-551 VN-0.1K</v>
          </cell>
          <cell r="E1142" t="str">
            <v>ZFGD</v>
          </cell>
          <cell r="F1142" t="str">
            <v>PC</v>
          </cell>
          <cell r="G1142" t="str">
            <v>5</v>
          </cell>
          <cell r="H1142" t="str">
            <v>PROJECT</v>
          </cell>
          <cell r="I1142" t="str">
            <v>59</v>
          </cell>
          <cell r="J1142" t="str">
            <v>MPC</v>
          </cell>
          <cell r="K1142" t="str">
            <v>5904</v>
          </cell>
          <cell r="L1142" t="str">
            <v>METALKOTE</v>
          </cell>
          <cell r="M1142" t="str">
            <v>590402</v>
          </cell>
          <cell r="N1142" t="str">
            <v>METALKOTE-EPOXY SYS</v>
          </cell>
        </row>
        <row r="1143">
          <cell r="C1143" t="str">
            <v>100002785</v>
          </cell>
          <cell r="D1143" t="str">
            <v>CỨNG EPOXY EDP-551 VN-0.5K</v>
          </cell>
          <cell r="E1143" t="str">
            <v>ZFGD</v>
          </cell>
          <cell r="F1143" t="str">
            <v>PC</v>
          </cell>
          <cell r="G1143" t="str">
            <v>5</v>
          </cell>
          <cell r="H1143" t="str">
            <v>PROJECT</v>
          </cell>
          <cell r="I1143" t="str">
            <v>59</v>
          </cell>
          <cell r="J1143" t="str">
            <v>MPC</v>
          </cell>
          <cell r="K1143" t="str">
            <v>5904</v>
          </cell>
          <cell r="L1143" t="str">
            <v>METALKOTE</v>
          </cell>
          <cell r="M1143" t="str">
            <v>590402</v>
          </cell>
          <cell r="N1143" t="str">
            <v>METALKOTE-EPOXY SYS</v>
          </cell>
        </row>
        <row r="1144">
          <cell r="C1144" t="str">
            <v>100002786</v>
          </cell>
          <cell r="D1144" t="str">
            <v>#NOT USED HARDENER PFP-241 VN-2.5K.</v>
          </cell>
          <cell r="E1144" t="str">
            <v>ZFGD</v>
          </cell>
          <cell r="F1144" t="str">
            <v>PC</v>
          </cell>
          <cell r="G1144" t="str">
            <v>2</v>
          </cell>
          <cell r="H1144" t="str">
            <v>RETAIL</v>
          </cell>
          <cell r="I1144" t="str">
            <v>27</v>
          </cell>
          <cell r="J1144" t="str">
            <v>CPC1</v>
          </cell>
          <cell r="K1144" t="str">
            <v>2707</v>
          </cell>
          <cell r="L1144" t="str">
            <v>OTHERS CPC1</v>
          </cell>
          <cell r="M1144" t="str">
            <v>270703</v>
          </cell>
          <cell r="N1144" t="str">
            <v>COMPLEMENTARY CPC1</v>
          </cell>
        </row>
        <row r="1145">
          <cell r="C1145" t="str">
            <v>100002797</v>
          </cell>
          <cell r="D1145" t="str">
            <v>EDP-551 ZINC PHOSPHATE (XÁM) VN-1KS</v>
          </cell>
          <cell r="E1145" t="str">
            <v>ZFGD</v>
          </cell>
          <cell r="F1145" t="str">
            <v>SET</v>
          </cell>
          <cell r="G1145" t="str">
            <v>5</v>
          </cell>
          <cell r="H1145" t="str">
            <v>PROJECT</v>
          </cell>
          <cell r="I1145" t="str">
            <v>59</v>
          </cell>
          <cell r="J1145" t="str">
            <v>MPC</v>
          </cell>
          <cell r="K1145" t="str">
            <v>5904</v>
          </cell>
          <cell r="L1145" t="str">
            <v>METALKOTE</v>
          </cell>
          <cell r="M1145" t="str">
            <v>590402</v>
          </cell>
          <cell r="N1145" t="str">
            <v>METALKOTE-EPOXY SYS</v>
          </cell>
        </row>
        <row r="1146">
          <cell r="C1146" t="str">
            <v>100002798</v>
          </cell>
          <cell r="D1146" t="str">
            <v>EDP-551 ZINC CHROMATE (XANH) VN-1KS</v>
          </cell>
          <cell r="E1146" t="str">
            <v>ZFGD</v>
          </cell>
          <cell r="F1146" t="str">
            <v>SET</v>
          </cell>
          <cell r="G1146" t="str">
            <v>5</v>
          </cell>
          <cell r="H1146" t="str">
            <v>PROJECT</v>
          </cell>
          <cell r="I1146" t="str">
            <v>59</v>
          </cell>
          <cell r="J1146" t="str">
            <v>MPC</v>
          </cell>
          <cell r="K1146" t="str">
            <v>5904</v>
          </cell>
          <cell r="L1146" t="str">
            <v>METALKOTE</v>
          </cell>
          <cell r="M1146" t="str">
            <v>590402</v>
          </cell>
          <cell r="N1146" t="str">
            <v>METALKOTE-EPOXY SYS</v>
          </cell>
        </row>
        <row r="1147">
          <cell r="C1147" t="str">
            <v>100002799</v>
          </cell>
          <cell r="D1147" t="str">
            <v>EDP-551 RED OXIDE (ĐỎ) VN-1KS</v>
          </cell>
          <cell r="E1147" t="str">
            <v>ZFGD</v>
          </cell>
          <cell r="F1147" t="str">
            <v>SET</v>
          </cell>
          <cell r="G1147" t="str">
            <v>5</v>
          </cell>
          <cell r="H1147" t="str">
            <v>PROJECT</v>
          </cell>
          <cell r="I1147" t="str">
            <v>59</v>
          </cell>
          <cell r="J1147" t="str">
            <v>MPC</v>
          </cell>
          <cell r="K1147" t="str">
            <v>5904</v>
          </cell>
          <cell r="L1147" t="str">
            <v>METALKOTE</v>
          </cell>
          <cell r="M1147" t="str">
            <v>590402</v>
          </cell>
          <cell r="N1147" t="str">
            <v>METALKOTE-EPOXY SYS</v>
          </cell>
        </row>
        <row r="1148">
          <cell r="C1148" t="str">
            <v>100002800</v>
          </cell>
          <cell r="D1148" t="str">
            <v>EDP-551 WHITE (TRẮNG) VN-1KS</v>
          </cell>
          <cell r="E1148" t="str">
            <v>ZFGD</v>
          </cell>
          <cell r="F1148" t="str">
            <v>SET</v>
          </cell>
          <cell r="G1148" t="str">
            <v>5</v>
          </cell>
          <cell r="H1148" t="str">
            <v>PROJECT</v>
          </cell>
          <cell r="I1148" t="str">
            <v>59</v>
          </cell>
          <cell r="J1148" t="str">
            <v>MPC</v>
          </cell>
          <cell r="K1148" t="str">
            <v>5904</v>
          </cell>
          <cell r="L1148" t="str">
            <v>METALKOTE</v>
          </cell>
          <cell r="M1148" t="str">
            <v>590402</v>
          </cell>
          <cell r="N1148" t="str">
            <v>METALKOTE-EPOXY SYS</v>
          </cell>
        </row>
        <row r="1149">
          <cell r="C1149" t="str">
            <v>100002801</v>
          </cell>
          <cell r="D1149" t="str">
            <v>EDP-551 BLACK (ĐEN) VN-1KS</v>
          </cell>
          <cell r="E1149" t="str">
            <v>ZFGD</v>
          </cell>
          <cell r="F1149" t="str">
            <v>SET</v>
          </cell>
          <cell r="G1149" t="str">
            <v>5</v>
          </cell>
          <cell r="H1149" t="str">
            <v>PROJECT</v>
          </cell>
          <cell r="I1149" t="str">
            <v>59</v>
          </cell>
          <cell r="J1149" t="str">
            <v>MPC</v>
          </cell>
          <cell r="K1149" t="str">
            <v>5904</v>
          </cell>
          <cell r="L1149" t="str">
            <v>METALKOTE</v>
          </cell>
          <cell r="M1149" t="str">
            <v>590402</v>
          </cell>
          <cell r="N1149" t="str">
            <v>METALKOTE-EPOXY SYS</v>
          </cell>
        </row>
        <row r="1150">
          <cell r="C1150" t="str">
            <v>100002845</v>
          </cell>
          <cell r="D1150" t="str">
            <v>PFC-225 EPOCEM-2K</v>
          </cell>
          <cell r="E1150" t="str">
            <v>ZFGD</v>
          </cell>
          <cell r="F1150" t="str">
            <v>PC</v>
          </cell>
          <cell r="G1150" t="str">
            <v>5</v>
          </cell>
          <cell r="H1150" t="str">
            <v>PROJECT</v>
          </cell>
          <cell r="I1150" t="str">
            <v>56</v>
          </cell>
          <cell r="J1150" t="str">
            <v>CPC1</v>
          </cell>
          <cell r="K1150" t="str">
            <v>5602</v>
          </cell>
          <cell r="L1150" t="str">
            <v>POLYFLOOR</v>
          </cell>
          <cell r="M1150" t="str">
            <v>560201</v>
          </cell>
          <cell r="N1150" t="str">
            <v>POLYFLOOR CEMENT</v>
          </cell>
        </row>
        <row r="1151">
          <cell r="C1151" t="str">
            <v>100002846</v>
          </cell>
          <cell r="D1151" t="str">
            <v>HARDENER PFC-225 EPOCEM-2K</v>
          </cell>
          <cell r="E1151" t="str">
            <v>ZFGD</v>
          </cell>
          <cell r="F1151" t="str">
            <v>PC</v>
          </cell>
          <cell r="G1151" t="str">
            <v>5</v>
          </cell>
          <cell r="H1151" t="str">
            <v>PROJECT</v>
          </cell>
          <cell r="I1151" t="str">
            <v>56</v>
          </cell>
          <cell r="J1151" t="str">
            <v>CPC1</v>
          </cell>
          <cell r="K1151" t="str">
            <v>5607</v>
          </cell>
          <cell r="L1151" t="str">
            <v>OTHERS CPC1</v>
          </cell>
          <cell r="M1151" t="str">
            <v>560703</v>
          </cell>
          <cell r="N1151" t="str">
            <v>COMPLEMENTARY CPC1</v>
          </cell>
        </row>
        <row r="1152">
          <cell r="C1152" t="str">
            <v>100002847</v>
          </cell>
          <cell r="D1152" t="str">
            <v>CEMENT POWDER PFC-225-19KZ</v>
          </cell>
          <cell r="E1152" t="str">
            <v>ZFGD</v>
          </cell>
          <cell r="F1152" t="str">
            <v>PC</v>
          </cell>
          <cell r="G1152" t="str">
            <v>5</v>
          </cell>
          <cell r="H1152" t="str">
            <v>PROJECT</v>
          </cell>
          <cell r="I1152" t="str">
            <v>56</v>
          </cell>
          <cell r="J1152" t="str">
            <v>CPC1</v>
          </cell>
          <cell r="K1152" t="str">
            <v>5602</v>
          </cell>
          <cell r="L1152" t="str">
            <v>POLYFLOOR</v>
          </cell>
          <cell r="M1152" t="str">
            <v>560201</v>
          </cell>
          <cell r="N1152" t="str">
            <v>POLYFLOOR CEMENT</v>
          </cell>
        </row>
        <row r="1153">
          <cell r="C1153" t="str">
            <v>100002848</v>
          </cell>
          <cell r="D1153" t="str">
            <v>PFC-225 SEALER-1K</v>
          </cell>
          <cell r="E1153" t="str">
            <v>ZFGD</v>
          </cell>
          <cell r="F1153" t="str">
            <v>PC</v>
          </cell>
          <cell r="G1153" t="str">
            <v>5</v>
          </cell>
          <cell r="H1153" t="str">
            <v>PROJECT</v>
          </cell>
          <cell r="I1153" t="str">
            <v>56</v>
          </cell>
          <cell r="J1153" t="str">
            <v>CPC1</v>
          </cell>
          <cell r="K1153" t="str">
            <v>5602</v>
          </cell>
          <cell r="L1153" t="str">
            <v>POLYFLOOR</v>
          </cell>
          <cell r="M1153" t="str">
            <v>560201</v>
          </cell>
          <cell r="N1153" t="str">
            <v>POLYFLOOR CEMENT</v>
          </cell>
        </row>
        <row r="1154">
          <cell r="C1154" t="str">
            <v>100002849</v>
          </cell>
          <cell r="D1154" t="str">
            <v>HARDENER EPOXY CEMENT PFC-225 SEALER-3K</v>
          </cell>
          <cell r="E1154" t="str">
            <v>ZFGD</v>
          </cell>
          <cell r="F1154" t="str">
            <v>PC</v>
          </cell>
          <cell r="G1154" t="str">
            <v>2</v>
          </cell>
          <cell r="H1154" t="str">
            <v>RETAIL</v>
          </cell>
          <cell r="I1154" t="str">
            <v>27</v>
          </cell>
          <cell r="J1154" t="str">
            <v>CPC1</v>
          </cell>
          <cell r="K1154" t="str">
            <v>2707</v>
          </cell>
          <cell r="L1154" t="str">
            <v>OTHERS CPC1</v>
          </cell>
          <cell r="M1154" t="str">
            <v>270703</v>
          </cell>
          <cell r="N1154" t="str">
            <v>COMPLEMENTARY CPC1</v>
          </cell>
        </row>
        <row r="1155">
          <cell r="C1155" t="str">
            <v>100002850</v>
          </cell>
          <cell r="D1155" t="str">
            <v>PFT-293 AS GREY-16KP</v>
          </cell>
          <cell r="E1155" t="str">
            <v>ZFGD</v>
          </cell>
          <cell r="F1155" t="str">
            <v>PC</v>
          </cell>
          <cell r="G1155" t="str">
            <v>5</v>
          </cell>
          <cell r="H1155" t="str">
            <v>PROJECT</v>
          </cell>
          <cell r="I1155" t="str">
            <v>56</v>
          </cell>
          <cell r="J1155" t="str">
            <v>CPC1</v>
          </cell>
          <cell r="K1155" t="str">
            <v>5602</v>
          </cell>
          <cell r="L1155" t="str">
            <v>POLYFLOOR</v>
          </cell>
          <cell r="M1155" t="str">
            <v>560207</v>
          </cell>
          <cell r="N1155" t="str">
            <v>POLYFLOOR EPOXY SOLVENT FREE</v>
          </cell>
        </row>
        <row r="1156">
          <cell r="C1156" t="str">
            <v>100002851</v>
          </cell>
          <cell r="D1156" t="str">
            <v>HARDENER PFT-293 AS-4K</v>
          </cell>
          <cell r="E1156" t="str">
            <v>ZFGD</v>
          </cell>
          <cell r="F1156" t="str">
            <v>PC</v>
          </cell>
          <cell r="G1156" t="str">
            <v>5</v>
          </cell>
          <cell r="H1156" t="str">
            <v>PROJECT</v>
          </cell>
          <cell r="I1156" t="str">
            <v>56</v>
          </cell>
          <cell r="J1156" t="str">
            <v>CPC1</v>
          </cell>
          <cell r="K1156" t="str">
            <v>5607</v>
          </cell>
          <cell r="L1156" t="str">
            <v>OTHERS CPC1</v>
          </cell>
          <cell r="M1156" t="str">
            <v>560703</v>
          </cell>
          <cell r="N1156" t="str">
            <v>COMPLEMENTARY CPC1</v>
          </cell>
        </row>
        <row r="1157">
          <cell r="C1157" t="str">
            <v>100002870</v>
          </cell>
          <cell r="D1157" t="str">
            <v>MX-94 BLUE EP VN-16KP</v>
          </cell>
          <cell r="E1157" t="str">
            <v>ZFGD</v>
          </cell>
          <cell r="F1157" t="str">
            <v>PC</v>
          </cell>
          <cell r="G1157" t="str">
            <v>5</v>
          </cell>
          <cell r="H1157" t="str">
            <v>PROJECT</v>
          </cell>
          <cell r="I1157" t="str">
            <v>56</v>
          </cell>
          <cell r="J1157" t="str">
            <v>CPC1</v>
          </cell>
          <cell r="K1157" t="str">
            <v>5603</v>
          </cell>
          <cell r="L1157" t="str">
            <v>MULTIPOX</v>
          </cell>
          <cell r="M1157" t="str">
            <v>560301</v>
          </cell>
          <cell r="N1157" t="str">
            <v>MULTIPOX</v>
          </cell>
        </row>
        <row r="1158">
          <cell r="C1158" t="str">
            <v>100002921</v>
          </cell>
          <cell r="D1158" t="str">
            <v>ULTRAN UTO-555 VN-0.8L</v>
          </cell>
          <cell r="E1158" t="str">
            <v>ZFGD</v>
          </cell>
          <cell r="F1158" t="str">
            <v>PC</v>
          </cell>
          <cell r="G1158" t="str">
            <v>2</v>
          </cell>
          <cell r="H1158" t="str">
            <v>RETAIL</v>
          </cell>
          <cell r="I1158" t="str">
            <v>24</v>
          </cell>
          <cell r="J1158" t="str">
            <v>WF3</v>
          </cell>
          <cell r="K1158" t="str">
            <v>2413</v>
          </cell>
          <cell r="L1158" t="str">
            <v>ULTRAN</v>
          </cell>
          <cell r="M1158" t="str">
            <v>241309</v>
          </cell>
          <cell r="N1158" t="str">
            <v>ULTRAN TEAK OIL</v>
          </cell>
        </row>
        <row r="1159">
          <cell r="C1159" t="str">
            <v>100002922</v>
          </cell>
          <cell r="D1159" t="str">
            <v>ULTRAN UTO-555 VN-3.8L</v>
          </cell>
          <cell r="E1159" t="str">
            <v>ZFGD</v>
          </cell>
          <cell r="F1159" t="str">
            <v>PC</v>
          </cell>
          <cell r="G1159" t="str">
            <v>2</v>
          </cell>
          <cell r="H1159" t="str">
            <v>RETAIL</v>
          </cell>
          <cell r="I1159" t="str">
            <v>24</v>
          </cell>
          <cell r="J1159" t="str">
            <v>WF3</v>
          </cell>
          <cell r="K1159" t="str">
            <v>2413</v>
          </cell>
          <cell r="L1159" t="str">
            <v>ULTRAN</v>
          </cell>
          <cell r="M1159" t="str">
            <v>241309</v>
          </cell>
          <cell r="N1159" t="str">
            <v>ULTRAN TEAK OIL</v>
          </cell>
        </row>
        <row r="1160">
          <cell r="C1160" t="str">
            <v>100002923</v>
          </cell>
          <cell r="D1160" t="str">
            <v>ULTRAN UTO-555 VN-20LJ</v>
          </cell>
          <cell r="E1160" t="str">
            <v>ZFGD</v>
          </cell>
          <cell r="F1160" t="str">
            <v>PC</v>
          </cell>
          <cell r="G1160" t="str">
            <v>2</v>
          </cell>
          <cell r="H1160" t="str">
            <v>RETAIL</v>
          </cell>
          <cell r="I1160" t="str">
            <v>24</v>
          </cell>
          <cell r="J1160" t="str">
            <v>WF3</v>
          </cell>
          <cell r="K1160" t="str">
            <v>2413</v>
          </cell>
          <cell r="L1160" t="str">
            <v>ULTRAN</v>
          </cell>
          <cell r="M1160" t="str">
            <v>241309</v>
          </cell>
          <cell r="N1160" t="str">
            <v>ULTRAN TEAK OIL</v>
          </cell>
        </row>
        <row r="1161">
          <cell r="C1161" t="str">
            <v>100002971</v>
          </cell>
          <cell r="D1161" t="str">
            <v>MX-99 DARK GREY 20 MH VN-15KP</v>
          </cell>
          <cell r="E1161" t="str">
            <v>ZFGD</v>
          </cell>
          <cell r="F1161" t="str">
            <v>PC</v>
          </cell>
          <cell r="G1161" t="str">
            <v>2</v>
          </cell>
          <cell r="H1161" t="str">
            <v>RETAIL</v>
          </cell>
          <cell r="I1161" t="str">
            <v>27</v>
          </cell>
          <cell r="J1161" t="str">
            <v>CPC1</v>
          </cell>
          <cell r="K1161" t="str">
            <v>2703</v>
          </cell>
          <cell r="L1161" t="str">
            <v>MULTIPOX</v>
          </cell>
          <cell r="M1161" t="str">
            <v>270302</v>
          </cell>
          <cell r="N1161" t="str">
            <v>MULTIPOX BASE</v>
          </cell>
        </row>
        <row r="1162">
          <cell r="C1162" t="str">
            <v>100003011</v>
          </cell>
          <cell r="D1162" t="str">
            <v>MX-94 ROMAND GREY VN-16KP</v>
          </cell>
          <cell r="E1162" t="str">
            <v>ZFGD</v>
          </cell>
          <cell r="F1162" t="str">
            <v>PC</v>
          </cell>
          <cell r="G1162" t="str">
            <v>5</v>
          </cell>
          <cell r="H1162" t="str">
            <v>PROJECT</v>
          </cell>
          <cell r="I1162" t="str">
            <v>56</v>
          </cell>
          <cell r="J1162" t="str">
            <v>CPC1</v>
          </cell>
          <cell r="K1162" t="str">
            <v>5603</v>
          </cell>
          <cell r="L1162" t="str">
            <v>MULTIPOX</v>
          </cell>
          <cell r="M1162" t="str">
            <v>560301</v>
          </cell>
          <cell r="N1162" t="str">
            <v>MULTIPOX</v>
          </cell>
        </row>
        <row r="1163">
          <cell r="C1163" t="str">
            <v>100003012</v>
          </cell>
          <cell r="D1163" t="str">
            <v>MPUC-13600 SILVER VN-16KP</v>
          </cell>
          <cell r="E1163" t="str">
            <v>ZFGD</v>
          </cell>
          <cell r="F1163" t="str">
            <v>PC</v>
          </cell>
          <cell r="G1163" t="str">
            <v>1</v>
          </cell>
          <cell r="H1163" t="str">
            <v>INDUSTRY</v>
          </cell>
          <cell r="I1163" t="str">
            <v>16</v>
          </cell>
          <cell r="J1163" t="str">
            <v>METAL COATINGS</v>
          </cell>
          <cell r="K1163" t="str">
            <v>1601</v>
          </cell>
          <cell r="L1163" t="str">
            <v>METAL COATINGS</v>
          </cell>
          <cell r="M1163" t="str">
            <v>160101</v>
          </cell>
          <cell r="N1163" t="str">
            <v>METAL COATINGS</v>
          </cell>
        </row>
        <row r="1164">
          <cell r="C1164" t="str">
            <v>100003013</v>
          </cell>
          <cell r="D1164" t="str">
            <v>PFT-253 ROMAND GREY VN-16KP</v>
          </cell>
          <cell r="E1164" t="str">
            <v>ZFGD</v>
          </cell>
          <cell r="F1164" t="str">
            <v>PC</v>
          </cell>
          <cell r="G1164" t="str">
            <v>5</v>
          </cell>
          <cell r="H1164" t="str">
            <v>PROJECT</v>
          </cell>
          <cell r="I1164" t="str">
            <v>56</v>
          </cell>
          <cell r="J1164" t="str">
            <v>CPC1</v>
          </cell>
          <cell r="K1164" t="str">
            <v>5602</v>
          </cell>
          <cell r="L1164" t="str">
            <v>POLYFLOOR</v>
          </cell>
          <cell r="M1164" t="str">
            <v>560202</v>
          </cell>
          <cell r="N1164" t="str">
            <v>POLYFLOOR EPOXY</v>
          </cell>
        </row>
        <row r="1165">
          <cell r="C1165" t="str">
            <v>100003014</v>
          </cell>
          <cell r="D1165" t="str">
            <v>PUL-765-2K DN MO 50% VN-1LS</v>
          </cell>
          <cell r="E1165" t="str">
            <v>ZFGD</v>
          </cell>
          <cell r="F1165" t="str">
            <v>SET</v>
          </cell>
          <cell r="G1165" t="str">
            <v>2</v>
          </cell>
          <cell r="H1165" t="str">
            <v>RETAIL</v>
          </cell>
          <cell r="I1165" t="str">
            <v>22</v>
          </cell>
          <cell r="J1165" t="str">
            <v>WF2</v>
          </cell>
          <cell r="K1165" t="str">
            <v>2216</v>
          </cell>
          <cell r="L1165" t="str">
            <v>PU MULTIPURPOSE</v>
          </cell>
          <cell r="M1165" t="str">
            <v>221601</v>
          </cell>
          <cell r="N1165" t="str">
            <v>PROPAN MP PU ACR RMX</v>
          </cell>
        </row>
        <row r="1166">
          <cell r="C1166" t="str">
            <v>100003015</v>
          </cell>
          <cell r="D1166" t="str">
            <v>PUL-765-2K DN MO 50% VN-5LS</v>
          </cell>
          <cell r="E1166" t="str">
            <v>ZFGD</v>
          </cell>
          <cell r="F1166" t="str">
            <v>SET</v>
          </cell>
          <cell r="G1166" t="str">
            <v>2</v>
          </cell>
          <cell r="H1166" t="str">
            <v>RETAIL</v>
          </cell>
          <cell r="I1166" t="str">
            <v>22</v>
          </cell>
          <cell r="J1166" t="str">
            <v>WF2</v>
          </cell>
          <cell r="K1166" t="str">
            <v>2216</v>
          </cell>
          <cell r="L1166" t="str">
            <v>PU MULTIPURPOSE</v>
          </cell>
          <cell r="M1166" t="str">
            <v>221601</v>
          </cell>
          <cell r="N1166" t="str">
            <v>PROPAN MP PU ACR RMX</v>
          </cell>
        </row>
        <row r="1167">
          <cell r="C1167" t="str">
            <v>100003016</v>
          </cell>
          <cell r="D1167" t="str">
            <v>PUL-765-2K DN MO 50% VN-0.8L</v>
          </cell>
          <cell r="E1167" t="str">
            <v>ZFGD</v>
          </cell>
          <cell r="F1167" t="str">
            <v>PC</v>
          </cell>
          <cell r="G1167" t="str">
            <v>2</v>
          </cell>
          <cell r="H1167" t="str">
            <v>RETAIL</v>
          </cell>
          <cell r="I1167" t="str">
            <v>22</v>
          </cell>
          <cell r="J1167" t="str">
            <v>WF2</v>
          </cell>
          <cell r="K1167" t="str">
            <v>2216</v>
          </cell>
          <cell r="L1167" t="str">
            <v>PU MULTIPURPOSE</v>
          </cell>
          <cell r="M1167" t="str">
            <v>221601</v>
          </cell>
          <cell r="N1167" t="str">
            <v>PROPAN MP PU ACR RMX</v>
          </cell>
        </row>
        <row r="1168">
          <cell r="C1168" t="str">
            <v>100003017</v>
          </cell>
          <cell r="D1168" t="str">
            <v>PUL-765-2K DN MO 50% VN-4L</v>
          </cell>
          <cell r="E1168" t="str">
            <v>ZFGD</v>
          </cell>
          <cell r="F1168" t="str">
            <v>PC</v>
          </cell>
          <cell r="G1168" t="str">
            <v>2</v>
          </cell>
          <cell r="H1168" t="str">
            <v>RETAIL</v>
          </cell>
          <cell r="I1168" t="str">
            <v>22</v>
          </cell>
          <cell r="J1168" t="str">
            <v>WF2</v>
          </cell>
          <cell r="K1168" t="str">
            <v>2216</v>
          </cell>
          <cell r="L1168" t="str">
            <v>PU MULTIPURPOSE</v>
          </cell>
          <cell r="M1168" t="str">
            <v>221601</v>
          </cell>
          <cell r="N1168" t="str">
            <v>PROPAN MP PU ACR RMX</v>
          </cell>
        </row>
        <row r="1169">
          <cell r="C1169" t="str">
            <v>100003028</v>
          </cell>
          <cell r="D1169" t="str">
            <v>UPR-960 TRADITIONAL ORANGE 0047 VN-1K</v>
          </cell>
          <cell r="E1169" t="str">
            <v>ZFGD</v>
          </cell>
          <cell r="F1169" t="str">
            <v>PC</v>
          </cell>
          <cell r="G1169" t="str">
            <v>2</v>
          </cell>
          <cell r="H1169" t="str">
            <v>RETAIL</v>
          </cell>
          <cell r="I1169" t="str">
            <v>2D</v>
          </cell>
          <cell r="J1169" t="str">
            <v>APCT2</v>
          </cell>
          <cell r="K1169" t="str">
            <v>2D01</v>
          </cell>
          <cell r="L1169" t="str">
            <v>ULTRAPROOF</v>
          </cell>
          <cell r="M1169" t="str">
            <v>2D0101</v>
          </cell>
          <cell r="N1169" t="str">
            <v>ULTRAPROOF RMX</v>
          </cell>
        </row>
        <row r="1170">
          <cell r="C1170" t="str">
            <v>100003029</v>
          </cell>
          <cell r="D1170" t="str">
            <v>UPR-960 TRADITIONAL ORANGE 0047 VN-4K</v>
          </cell>
          <cell r="E1170" t="str">
            <v>ZFGD</v>
          </cell>
          <cell r="F1170" t="str">
            <v>PC</v>
          </cell>
          <cell r="G1170" t="str">
            <v>2</v>
          </cell>
          <cell r="H1170" t="str">
            <v>RETAIL</v>
          </cell>
          <cell r="I1170" t="str">
            <v>2D</v>
          </cell>
          <cell r="J1170" t="str">
            <v>APCT2</v>
          </cell>
          <cell r="K1170" t="str">
            <v>2D01</v>
          </cell>
          <cell r="L1170" t="str">
            <v>ULTRAPROOF</v>
          </cell>
          <cell r="M1170" t="str">
            <v>2D0101</v>
          </cell>
          <cell r="N1170" t="str">
            <v>ULTRAPROOF RMX</v>
          </cell>
        </row>
        <row r="1171">
          <cell r="C1171" t="str">
            <v>100003030</v>
          </cell>
          <cell r="D1171" t="str">
            <v>UPR-960 TRADITIONAL ORANGE 0047 VN-20KP</v>
          </cell>
          <cell r="E1171" t="str">
            <v>ZFGD</v>
          </cell>
          <cell r="F1171" t="str">
            <v>PC</v>
          </cell>
          <cell r="G1171" t="str">
            <v>2</v>
          </cell>
          <cell r="H1171" t="str">
            <v>RETAIL</v>
          </cell>
          <cell r="I1171" t="str">
            <v>2D</v>
          </cell>
          <cell r="J1171" t="str">
            <v>APCT2</v>
          </cell>
          <cell r="K1171" t="str">
            <v>2D01</v>
          </cell>
          <cell r="L1171" t="str">
            <v>ULTRAPROOF</v>
          </cell>
          <cell r="M1171" t="str">
            <v>2D0101</v>
          </cell>
          <cell r="N1171" t="str">
            <v>ULTRAPROOF RMX</v>
          </cell>
        </row>
        <row r="1172">
          <cell r="C1172" t="str">
            <v>100003031</v>
          </cell>
          <cell r="D1172" t="str">
            <v>UPR-960 ORANGE PUNCH 0066 VN-1K</v>
          </cell>
          <cell r="E1172" t="str">
            <v>ZFGD</v>
          </cell>
          <cell r="F1172" t="str">
            <v>PC</v>
          </cell>
          <cell r="G1172" t="str">
            <v>2</v>
          </cell>
          <cell r="H1172" t="str">
            <v>RETAIL</v>
          </cell>
          <cell r="I1172" t="str">
            <v>2D</v>
          </cell>
          <cell r="J1172" t="str">
            <v>APCT2</v>
          </cell>
          <cell r="K1172" t="str">
            <v>2D01</v>
          </cell>
          <cell r="L1172" t="str">
            <v>ULTRAPROOF</v>
          </cell>
          <cell r="M1172" t="str">
            <v>2D0101</v>
          </cell>
          <cell r="N1172" t="str">
            <v>ULTRAPROOF RMX</v>
          </cell>
        </row>
        <row r="1173">
          <cell r="C1173" t="str">
            <v>100003032</v>
          </cell>
          <cell r="D1173" t="str">
            <v>UPR-960 ORANGE PUNCH 0066 VN-4K</v>
          </cell>
          <cell r="E1173" t="str">
            <v>ZFGD</v>
          </cell>
          <cell r="F1173" t="str">
            <v>PC</v>
          </cell>
          <cell r="G1173" t="str">
            <v>2</v>
          </cell>
          <cell r="H1173" t="str">
            <v>RETAIL</v>
          </cell>
          <cell r="I1173" t="str">
            <v>2D</v>
          </cell>
          <cell r="J1173" t="str">
            <v>APCT2</v>
          </cell>
          <cell r="K1173" t="str">
            <v>2D01</v>
          </cell>
          <cell r="L1173" t="str">
            <v>ULTRAPROOF</v>
          </cell>
          <cell r="M1173" t="str">
            <v>2D0101</v>
          </cell>
          <cell r="N1173" t="str">
            <v>ULTRAPROOF RMX</v>
          </cell>
        </row>
        <row r="1174">
          <cell r="C1174" t="str">
            <v>100003033</v>
          </cell>
          <cell r="D1174" t="str">
            <v>UPR-960 ORANGE PUNCH 0066 VN-20KP</v>
          </cell>
          <cell r="E1174" t="str">
            <v>ZFGD</v>
          </cell>
          <cell r="F1174" t="str">
            <v>PC</v>
          </cell>
          <cell r="G1174" t="str">
            <v>2</v>
          </cell>
          <cell r="H1174" t="str">
            <v>RETAIL</v>
          </cell>
          <cell r="I1174" t="str">
            <v>2D</v>
          </cell>
          <cell r="J1174" t="str">
            <v>APCT2</v>
          </cell>
          <cell r="K1174" t="str">
            <v>2D01</v>
          </cell>
          <cell r="L1174" t="str">
            <v>ULTRAPROOF</v>
          </cell>
          <cell r="M1174" t="str">
            <v>2D0101</v>
          </cell>
          <cell r="N1174" t="str">
            <v>ULTRAPROOF RMX</v>
          </cell>
        </row>
        <row r="1175">
          <cell r="C1175" t="str">
            <v>100003068</v>
          </cell>
          <cell r="D1175" t="str">
            <v>SYNTHETIC 3000 RX WHITE DOF 9101DVN-20LP</v>
          </cell>
          <cell r="E1175" t="str">
            <v>ZFGD</v>
          </cell>
          <cell r="F1175" t="str">
            <v>PC</v>
          </cell>
          <cell r="G1175" t="str">
            <v>2</v>
          </cell>
          <cell r="H1175" t="str">
            <v>RETAIL</v>
          </cell>
          <cell r="I1175" t="str">
            <v>29</v>
          </cell>
          <cell r="J1175" t="str">
            <v>MPC</v>
          </cell>
          <cell r="K1175" t="str">
            <v>2902</v>
          </cell>
          <cell r="L1175" t="str">
            <v>SYNTHETIC ENAMEL SB</v>
          </cell>
          <cell r="M1175" t="str">
            <v>290203</v>
          </cell>
          <cell r="N1175" t="str">
            <v>SYNTHETIC 3000</v>
          </cell>
        </row>
        <row r="1176">
          <cell r="C1176" t="str">
            <v>100003359</v>
          </cell>
          <cell r="D1176" t="str">
            <v>AP-98200 MN 02 VN-1K</v>
          </cell>
          <cell r="E1176" t="str">
            <v>ZFGD</v>
          </cell>
          <cell r="F1176" t="str">
            <v>PC</v>
          </cell>
          <cell r="G1176" t="str">
            <v>1</v>
          </cell>
          <cell r="H1176" t="str">
            <v>INDUSTRY</v>
          </cell>
          <cell r="I1176" t="str">
            <v>11</v>
          </cell>
          <cell r="J1176" t="str">
            <v>WOOD COATINGS</v>
          </cell>
          <cell r="K1176" t="str">
            <v>1118</v>
          </cell>
          <cell r="L1176" t="str">
            <v>COMPLEMENTARY</v>
          </cell>
          <cell r="M1176" t="str">
            <v>111802</v>
          </cell>
          <cell r="N1176" t="str">
            <v>ASOF : POWDER &amp; MATTING SOLUTION</v>
          </cell>
        </row>
        <row r="1177">
          <cell r="C1177" t="str">
            <v>100003361</v>
          </cell>
          <cell r="D1177" t="str">
            <v>ZC-990 WB WHITE 006 VN-0.9K</v>
          </cell>
          <cell r="E1177" t="str">
            <v>ZFGD</v>
          </cell>
          <cell r="F1177" t="str">
            <v>PC</v>
          </cell>
          <cell r="G1177" t="str">
            <v>2</v>
          </cell>
          <cell r="H1177" t="str">
            <v>RETAIL</v>
          </cell>
          <cell r="I1177" t="str">
            <v>29</v>
          </cell>
          <cell r="J1177" t="str">
            <v>MPC</v>
          </cell>
          <cell r="K1177" t="str">
            <v>2910</v>
          </cell>
          <cell r="L1177" t="str">
            <v>ZINCOAT</v>
          </cell>
          <cell r="M1177" t="str">
            <v>291001</v>
          </cell>
          <cell r="N1177" t="str">
            <v>ZINCOAT</v>
          </cell>
        </row>
        <row r="1178">
          <cell r="C1178" t="str">
            <v>100003367</v>
          </cell>
          <cell r="D1178" t="str">
            <v>ZC-990 WB LIGHT GREY 011 VN-0.9K</v>
          </cell>
          <cell r="E1178" t="str">
            <v>ZFGD</v>
          </cell>
          <cell r="F1178" t="str">
            <v>PC</v>
          </cell>
          <cell r="G1178" t="str">
            <v>2</v>
          </cell>
          <cell r="H1178" t="str">
            <v>RETAIL</v>
          </cell>
          <cell r="I1178" t="str">
            <v>29</v>
          </cell>
          <cell r="J1178" t="str">
            <v>MPC</v>
          </cell>
          <cell r="K1178" t="str">
            <v>2910</v>
          </cell>
          <cell r="L1178" t="str">
            <v>ZINCOAT</v>
          </cell>
          <cell r="M1178" t="str">
            <v>291001</v>
          </cell>
          <cell r="N1178" t="str">
            <v>ZINCOAT</v>
          </cell>
        </row>
        <row r="1179">
          <cell r="C1179" t="str">
            <v>100003368</v>
          </cell>
          <cell r="D1179" t="str">
            <v>ZC-990 WB BLACK 012 VN-0.9K</v>
          </cell>
          <cell r="E1179" t="str">
            <v>ZFGD</v>
          </cell>
          <cell r="F1179" t="str">
            <v>PC</v>
          </cell>
          <cell r="G1179" t="str">
            <v>2</v>
          </cell>
          <cell r="H1179" t="str">
            <v>RETAIL</v>
          </cell>
          <cell r="I1179" t="str">
            <v>29</v>
          </cell>
          <cell r="J1179" t="str">
            <v>MPC</v>
          </cell>
          <cell r="K1179" t="str">
            <v>2910</v>
          </cell>
          <cell r="L1179" t="str">
            <v>ZINCOAT</v>
          </cell>
          <cell r="M1179" t="str">
            <v>291001</v>
          </cell>
          <cell r="N1179" t="str">
            <v>ZINCOAT</v>
          </cell>
        </row>
        <row r="1180">
          <cell r="C1180" t="str">
            <v>100003369</v>
          </cell>
          <cell r="D1180" t="str">
            <v>ZC-990 WB BROWN 014 VN-0.9K</v>
          </cell>
          <cell r="E1180" t="str">
            <v>ZFGD</v>
          </cell>
          <cell r="F1180" t="str">
            <v>PC</v>
          </cell>
          <cell r="G1180" t="str">
            <v>2</v>
          </cell>
          <cell r="H1180" t="str">
            <v>RETAIL</v>
          </cell>
          <cell r="I1180" t="str">
            <v>29</v>
          </cell>
          <cell r="J1180" t="str">
            <v>MPC</v>
          </cell>
          <cell r="K1180" t="str">
            <v>2910</v>
          </cell>
          <cell r="L1180" t="str">
            <v>ZINCOAT</v>
          </cell>
          <cell r="M1180" t="str">
            <v>291001</v>
          </cell>
          <cell r="N1180" t="str">
            <v>ZINCOAT</v>
          </cell>
        </row>
        <row r="1181">
          <cell r="C1181" t="str">
            <v>100003370</v>
          </cell>
          <cell r="D1181" t="str">
            <v>ZC-990 WB RED 001 VN-0.9K</v>
          </cell>
          <cell r="E1181" t="str">
            <v>ZFGD</v>
          </cell>
          <cell r="F1181" t="str">
            <v>PC</v>
          </cell>
          <cell r="G1181" t="str">
            <v>2</v>
          </cell>
          <cell r="H1181" t="str">
            <v>RETAIL</v>
          </cell>
          <cell r="I1181" t="str">
            <v>29</v>
          </cell>
          <cell r="J1181" t="str">
            <v>MPC</v>
          </cell>
          <cell r="K1181" t="str">
            <v>2910</v>
          </cell>
          <cell r="L1181" t="str">
            <v>ZINCOAT</v>
          </cell>
          <cell r="M1181" t="str">
            <v>291001</v>
          </cell>
          <cell r="N1181" t="str">
            <v>ZINCOAT</v>
          </cell>
        </row>
        <row r="1182">
          <cell r="C1182" t="str">
            <v>100003371</v>
          </cell>
          <cell r="D1182" t="str">
            <v>ZC-990 WB YELLOW 003 VN-0.9K</v>
          </cell>
          <cell r="E1182" t="str">
            <v>ZFGD</v>
          </cell>
          <cell r="F1182" t="str">
            <v>PC</v>
          </cell>
          <cell r="G1182" t="str">
            <v>2</v>
          </cell>
          <cell r="H1182" t="str">
            <v>RETAIL</v>
          </cell>
          <cell r="I1182" t="str">
            <v>29</v>
          </cell>
          <cell r="J1182" t="str">
            <v>MPC</v>
          </cell>
          <cell r="K1182" t="str">
            <v>2910</v>
          </cell>
          <cell r="L1182" t="str">
            <v>ZINCOAT</v>
          </cell>
          <cell r="M1182" t="str">
            <v>291001</v>
          </cell>
          <cell r="N1182" t="str">
            <v>ZINCOAT</v>
          </cell>
        </row>
        <row r="1183">
          <cell r="C1183" t="str">
            <v>100003372</v>
          </cell>
          <cell r="D1183" t="str">
            <v>ZC-990 WB SKY BLUE 007 VN-0.9K</v>
          </cell>
          <cell r="E1183" t="str">
            <v>ZFGD</v>
          </cell>
          <cell r="F1183" t="str">
            <v>PC</v>
          </cell>
          <cell r="G1183" t="str">
            <v>2</v>
          </cell>
          <cell r="H1183" t="str">
            <v>RETAIL</v>
          </cell>
          <cell r="I1183" t="str">
            <v>29</v>
          </cell>
          <cell r="J1183" t="str">
            <v>MPC</v>
          </cell>
          <cell r="K1183" t="str">
            <v>2910</v>
          </cell>
          <cell r="L1183" t="str">
            <v>ZINCOAT</v>
          </cell>
          <cell r="M1183" t="str">
            <v>291001</v>
          </cell>
          <cell r="N1183" t="str">
            <v>ZINCOAT</v>
          </cell>
        </row>
        <row r="1184">
          <cell r="C1184" t="str">
            <v>100003373</v>
          </cell>
          <cell r="D1184" t="str">
            <v>ZC-990 WB LIGHT CREAM 002 VN-0.9K</v>
          </cell>
          <cell r="E1184" t="str">
            <v>ZFGD</v>
          </cell>
          <cell r="F1184" t="str">
            <v>PC</v>
          </cell>
          <cell r="G1184" t="str">
            <v>2</v>
          </cell>
          <cell r="H1184" t="str">
            <v>RETAIL</v>
          </cell>
          <cell r="I1184" t="str">
            <v>29</v>
          </cell>
          <cell r="J1184" t="str">
            <v>MPC</v>
          </cell>
          <cell r="K1184" t="str">
            <v>2910</v>
          </cell>
          <cell r="L1184" t="str">
            <v>ZINCOAT</v>
          </cell>
          <cell r="M1184" t="str">
            <v>291001</v>
          </cell>
          <cell r="N1184" t="str">
            <v>ZINCOAT</v>
          </cell>
        </row>
        <row r="1185">
          <cell r="C1185" t="str">
            <v>100003401</v>
          </cell>
          <cell r="D1185" t="str">
            <v>THINNER POLYURETHANE VN-20LJ</v>
          </cell>
          <cell r="E1185" t="str">
            <v>ZFGD</v>
          </cell>
          <cell r="F1185" t="str">
            <v>PC</v>
          </cell>
          <cell r="G1185" t="str">
            <v>2</v>
          </cell>
          <cell r="H1185" t="str">
            <v>RETAIL</v>
          </cell>
          <cell r="I1185" t="str">
            <v>22</v>
          </cell>
          <cell r="J1185" t="str">
            <v>WF2</v>
          </cell>
          <cell r="K1185" t="str">
            <v>2203</v>
          </cell>
          <cell r="L1185" t="str">
            <v>THINNER PU</v>
          </cell>
          <cell r="M1185" t="str">
            <v>220303</v>
          </cell>
          <cell r="N1185" t="str">
            <v>THINNER PU R</v>
          </cell>
        </row>
        <row r="1186">
          <cell r="C1186" t="str">
            <v>100003402</v>
          </cell>
          <cell r="D1186" t="str">
            <v>THINNER POLYURETHANE VN-200LK</v>
          </cell>
          <cell r="E1186" t="str">
            <v>ZFGD</v>
          </cell>
          <cell r="F1186" t="str">
            <v>PC</v>
          </cell>
          <cell r="G1186" t="str">
            <v>2</v>
          </cell>
          <cell r="H1186" t="str">
            <v>RETAIL</v>
          </cell>
          <cell r="I1186" t="str">
            <v>22</v>
          </cell>
          <cell r="J1186" t="str">
            <v>WF2</v>
          </cell>
          <cell r="K1186" t="str">
            <v>2203</v>
          </cell>
          <cell r="L1186" t="str">
            <v>THINNER PU</v>
          </cell>
          <cell r="M1186" t="str">
            <v>220303</v>
          </cell>
          <cell r="N1186" t="str">
            <v>THINNER PU R</v>
          </cell>
        </row>
        <row r="1187">
          <cell r="C1187" t="str">
            <v>100003403</v>
          </cell>
          <cell r="D1187" t="str">
            <v>HARDENER PUH-74 VN-0.5K</v>
          </cell>
          <cell r="E1187" t="str">
            <v>ZFGD</v>
          </cell>
          <cell r="F1187" t="str">
            <v>PC</v>
          </cell>
          <cell r="G1187" t="str">
            <v>2</v>
          </cell>
          <cell r="H1187" t="str">
            <v>RETAIL</v>
          </cell>
          <cell r="I1187" t="str">
            <v>22</v>
          </cell>
          <cell r="J1187" t="str">
            <v>WF2</v>
          </cell>
          <cell r="K1187" t="str">
            <v>2212</v>
          </cell>
          <cell r="L1187" t="str">
            <v>PU EASY TO USE</v>
          </cell>
          <cell r="M1187" t="str">
            <v>221201</v>
          </cell>
          <cell r="N1187" t="str">
            <v>PROPAN EASY TO USE PU</v>
          </cell>
        </row>
        <row r="1188">
          <cell r="C1188" t="str">
            <v>100003404</v>
          </cell>
          <cell r="D1188" t="str">
            <v>HARDENER PUH-74 VN-1K</v>
          </cell>
          <cell r="E1188" t="str">
            <v>ZFGD</v>
          </cell>
          <cell r="F1188" t="str">
            <v>PC</v>
          </cell>
          <cell r="G1188" t="str">
            <v>2</v>
          </cell>
          <cell r="H1188" t="str">
            <v>RETAIL</v>
          </cell>
          <cell r="I1188" t="str">
            <v>22</v>
          </cell>
          <cell r="J1188" t="str">
            <v>WF2</v>
          </cell>
          <cell r="K1188" t="str">
            <v>2212</v>
          </cell>
          <cell r="L1188" t="str">
            <v>PU EASY TO USE</v>
          </cell>
          <cell r="M1188" t="str">
            <v>221201</v>
          </cell>
          <cell r="N1188" t="str">
            <v>PROPAN EASY TO USE PU</v>
          </cell>
        </row>
        <row r="1189">
          <cell r="C1189" t="str">
            <v>100003405</v>
          </cell>
          <cell r="D1189" t="str">
            <v>HARDENER PUH-74 VN-4K</v>
          </cell>
          <cell r="E1189" t="str">
            <v>ZFGD</v>
          </cell>
          <cell r="F1189" t="str">
            <v>PC</v>
          </cell>
          <cell r="G1189" t="str">
            <v>2</v>
          </cell>
          <cell r="H1189" t="str">
            <v>RETAIL</v>
          </cell>
          <cell r="I1189" t="str">
            <v>22</v>
          </cell>
          <cell r="J1189" t="str">
            <v>WF2</v>
          </cell>
          <cell r="K1189" t="str">
            <v>2212</v>
          </cell>
          <cell r="L1189" t="str">
            <v>PU EASY TO USE</v>
          </cell>
          <cell r="M1189" t="str">
            <v>221201</v>
          </cell>
          <cell r="N1189" t="str">
            <v>PROPAN EASY TO USE PU</v>
          </cell>
        </row>
        <row r="1190">
          <cell r="C1190" t="str">
            <v>100003406</v>
          </cell>
          <cell r="D1190" t="str">
            <v>HARDENER PUH-74 VN-16KP</v>
          </cell>
          <cell r="E1190" t="str">
            <v>ZFGD</v>
          </cell>
          <cell r="F1190" t="str">
            <v>PC</v>
          </cell>
          <cell r="G1190" t="str">
            <v>2</v>
          </cell>
          <cell r="H1190" t="str">
            <v>RETAIL</v>
          </cell>
          <cell r="I1190" t="str">
            <v>22</v>
          </cell>
          <cell r="J1190" t="str">
            <v>WF2</v>
          </cell>
          <cell r="K1190" t="str">
            <v>2212</v>
          </cell>
          <cell r="L1190" t="str">
            <v>PU EASY TO USE</v>
          </cell>
          <cell r="M1190" t="str">
            <v>221201</v>
          </cell>
          <cell r="N1190" t="str">
            <v>PROPAN EASY TO USE PU</v>
          </cell>
        </row>
        <row r="1191">
          <cell r="C1191" t="str">
            <v>100003407</v>
          </cell>
          <cell r="D1191" t="str">
            <v>PUSS-742 2K VN-1K</v>
          </cell>
          <cell r="E1191" t="str">
            <v>ZFGD</v>
          </cell>
          <cell r="F1191" t="str">
            <v>PC</v>
          </cell>
          <cell r="G1191" t="str">
            <v>2</v>
          </cell>
          <cell r="H1191" t="str">
            <v>RETAIL</v>
          </cell>
          <cell r="I1191" t="str">
            <v>22</v>
          </cell>
          <cell r="J1191" t="str">
            <v>WF2</v>
          </cell>
          <cell r="K1191" t="str">
            <v>2201</v>
          </cell>
          <cell r="L1191" t="str">
            <v>PU COATING</v>
          </cell>
          <cell r="M1191" t="str">
            <v>220117</v>
          </cell>
          <cell r="N1191" t="str">
            <v>PROPAN PU</v>
          </cell>
        </row>
        <row r="1192">
          <cell r="C1192" t="str">
            <v>100003408</v>
          </cell>
          <cell r="D1192" t="str">
            <v>PUSS-742 2K VN-4K</v>
          </cell>
          <cell r="E1192" t="str">
            <v>ZFGD</v>
          </cell>
          <cell r="F1192" t="str">
            <v>PC</v>
          </cell>
          <cell r="G1192" t="str">
            <v>2</v>
          </cell>
          <cell r="H1192" t="str">
            <v>RETAIL</v>
          </cell>
          <cell r="I1192" t="str">
            <v>22</v>
          </cell>
          <cell r="J1192" t="str">
            <v>WF2</v>
          </cell>
          <cell r="K1192" t="str">
            <v>2201</v>
          </cell>
          <cell r="L1192" t="str">
            <v>PU COATING</v>
          </cell>
          <cell r="M1192" t="str">
            <v>220117</v>
          </cell>
          <cell r="N1192" t="str">
            <v>PROPAN PU</v>
          </cell>
        </row>
        <row r="1193">
          <cell r="C1193" t="str">
            <v>100003409</v>
          </cell>
          <cell r="D1193" t="str">
            <v>PUSS-742 2K VN-16KP</v>
          </cell>
          <cell r="E1193" t="str">
            <v>ZFGD</v>
          </cell>
          <cell r="F1193" t="str">
            <v>PC</v>
          </cell>
          <cell r="G1193" t="str">
            <v>2</v>
          </cell>
          <cell r="H1193" t="str">
            <v>RETAIL</v>
          </cell>
          <cell r="I1193" t="str">
            <v>22</v>
          </cell>
          <cell r="J1193" t="str">
            <v>WF2</v>
          </cell>
          <cell r="K1193" t="str">
            <v>2201</v>
          </cell>
          <cell r="L1193" t="str">
            <v>PU COATING</v>
          </cell>
          <cell r="M1193" t="str">
            <v>220117</v>
          </cell>
          <cell r="N1193" t="str">
            <v>PROPAN PU</v>
          </cell>
        </row>
        <row r="1194">
          <cell r="C1194" t="str">
            <v>100003410</v>
          </cell>
          <cell r="D1194" t="str">
            <v>PUL-747 2K BONG 100 VN-1K</v>
          </cell>
          <cell r="E1194" t="str">
            <v>ZFGD</v>
          </cell>
          <cell r="F1194" t="str">
            <v>PC</v>
          </cell>
          <cell r="G1194" t="str">
            <v>2</v>
          </cell>
          <cell r="H1194" t="str">
            <v>RETAIL</v>
          </cell>
          <cell r="I1194" t="str">
            <v>22</v>
          </cell>
          <cell r="J1194" t="str">
            <v>WF2</v>
          </cell>
          <cell r="K1194" t="str">
            <v>2201</v>
          </cell>
          <cell r="L1194" t="str">
            <v>PU COATING</v>
          </cell>
          <cell r="M1194" t="str">
            <v>220117</v>
          </cell>
          <cell r="N1194" t="str">
            <v>PROPAN PU</v>
          </cell>
        </row>
        <row r="1195">
          <cell r="C1195" t="str">
            <v>100003411</v>
          </cell>
          <cell r="D1195" t="str">
            <v>PUL-747 2K BONG 100 VN-4K</v>
          </cell>
          <cell r="E1195" t="str">
            <v>ZFGD</v>
          </cell>
          <cell r="F1195" t="str">
            <v>PC</v>
          </cell>
          <cell r="G1195" t="str">
            <v>2</v>
          </cell>
          <cell r="H1195" t="str">
            <v>RETAIL</v>
          </cell>
          <cell r="I1195" t="str">
            <v>22</v>
          </cell>
          <cell r="J1195" t="str">
            <v>WF2</v>
          </cell>
          <cell r="K1195" t="str">
            <v>2201</v>
          </cell>
          <cell r="L1195" t="str">
            <v>PU COATING</v>
          </cell>
          <cell r="M1195" t="str">
            <v>220117</v>
          </cell>
          <cell r="N1195" t="str">
            <v>PROPAN PU</v>
          </cell>
        </row>
        <row r="1196">
          <cell r="C1196" t="str">
            <v>100003412</v>
          </cell>
          <cell r="D1196" t="str">
            <v>PUL-747 2K BONG 100 VN-16KP</v>
          </cell>
          <cell r="E1196" t="str">
            <v>ZFGD</v>
          </cell>
          <cell r="F1196" t="str">
            <v>PC</v>
          </cell>
          <cell r="G1196" t="str">
            <v>2</v>
          </cell>
          <cell r="H1196" t="str">
            <v>RETAIL</v>
          </cell>
          <cell r="I1196" t="str">
            <v>22</v>
          </cell>
          <cell r="J1196" t="str">
            <v>WF2</v>
          </cell>
          <cell r="K1196" t="str">
            <v>2201</v>
          </cell>
          <cell r="L1196" t="str">
            <v>PU COATING</v>
          </cell>
          <cell r="M1196" t="str">
            <v>220117</v>
          </cell>
          <cell r="N1196" t="str">
            <v>PROPAN PU</v>
          </cell>
        </row>
        <row r="1197">
          <cell r="C1197" t="str">
            <v>100003481</v>
          </cell>
          <cell r="D1197" t="str">
            <v>PUL-747 2K BONG 10 VN-1K</v>
          </cell>
          <cell r="E1197" t="str">
            <v>ZFGD</v>
          </cell>
          <cell r="F1197" t="str">
            <v>PC</v>
          </cell>
          <cell r="G1197" t="str">
            <v>2</v>
          </cell>
          <cell r="H1197" t="str">
            <v>RETAIL</v>
          </cell>
          <cell r="I1197" t="str">
            <v>22</v>
          </cell>
          <cell r="J1197" t="str">
            <v>WF2</v>
          </cell>
          <cell r="K1197" t="str">
            <v>2201</v>
          </cell>
          <cell r="L1197" t="str">
            <v>PU COATING</v>
          </cell>
          <cell r="M1197" t="str">
            <v>220117</v>
          </cell>
          <cell r="N1197" t="str">
            <v>PROPAN PU</v>
          </cell>
        </row>
        <row r="1198">
          <cell r="C1198" t="str">
            <v>100003482</v>
          </cell>
          <cell r="D1198" t="str">
            <v>PUL-747 2K BONG 30 VN-1K</v>
          </cell>
          <cell r="E1198" t="str">
            <v>ZFGD</v>
          </cell>
          <cell r="F1198" t="str">
            <v>PC</v>
          </cell>
          <cell r="G1198" t="str">
            <v>2</v>
          </cell>
          <cell r="H1198" t="str">
            <v>RETAIL</v>
          </cell>
          <cell r="I1198" t="str">
            <v>22</v>
          </cell>
          <cell r="J1198" t="str">
            <v>WF2</v>
          </cell>
          <cell r="K1198" t="str">
            <v>2201</v>
          </cell>
          <cell r="L1198" t="str">
            <v>PU COATING</v>
          </cell>
          <cell r="M1198" t="str">
            <v>220117</v>
          </cell>
          <cell r="N1198" t="str">
            <v>PROPAN PU</v>
          </cell>
        </row>
        <row r="1199">
          <cell r="C1199" t="str">
            <v>100003483</v>
          </cell>
          <cell r="D1199" t="str">
            <v>PUL-747 2K BONG 70 VN-1K</v>
          </cell>
          <cell r="E1199" t="str">
            <v>ZFGD</v>
          </cell>
          <cell r="F1199" t="str">
            <v>PC</v>
          </cell>
          <cell r="G1199" t="str">
            <v>2</v>
          </cell>
          <cell r="H1199" t="str">
            <v>RETAIL</v>
          </cell>
          <cell r="I1199" t="str">
            <v>22</v>
          </cell>
          <cell r="J1199" t="str">
            <v>WF2</v>
          </cell>
          <cell r="K1199" t="str">
            <v>2201</v>
          </cell>
          <cell r="L1199" t="str">
            <v>PU COATING</v>
          </cell>
          <cell r="M1199" t="str">
            <v>220117</v>
          </cell>
          <cell r="N1199" t="str">
            <v>PROPAN PU</v>
          </cell>
        </row>
        <row r="1200">
          <cell r="C1200" t="str">
            <v>100003484</v>
          </cell>
          <cell r="D1200" t="str">
            <v>PUL-747 2K BONG 10 VN-4K</v>
          </cell>
          <cell r="E1200" t="str">
            <v>ZFGD</v>
          </cell>
          <cell r="F1200" t="str">
            <v>PC</v>
          </cell>
          <cell r="G1200" t="str">
            <v>2</v>
          </cell>
          <cell r="H1200" t="str">
            <v>RETAIL</v>
          </cell>
          <cell r="I1200" t="str">
            <v>22</v>
          </cell>
          <cell r="J1200" t="str">
            <v>WF2</v>
          </cell>
          <cell r="K1200" t="str">
            <v>2201</v>
          </cell>
          <cell r="L1200" t="str">
            <v>PU COATING</v>
          </cell>
          <cell r="M1200" t="str">
            <v>220117</v>
          </cell>
          <cell r="N1200" t="str">
            <v>PROPAN PU</v>
          </cell>
        </row>
        <row r="1201">
          <cell r="C1201" t="str">
            <v>100003485</v>
          </cell>
          <cell r="D1201" t="str">
            <v>PUL-747 2K BONG 30 VN-4K</v>
          </cell>
          <cell r="E1201" t="str">
            <v>ZFGD</v>
          </cell>
          <cell r="F1201" t="str">
            <v>PC</v>
          </cell>
          <cell r="G1201" t="str">
            <v>2</v>
          </cell>
          <cell r="H1201" t="str">
            <v>RETAIL</v>
          </cell>
          <cell r="I1201" t="str">
            <v>22</v>
          </cell>
          <cell r="J1201" t="str">
            <v>WF2</v>
          </cell>
          <cell r="K1201" t="str">
            <v>2201</v>
          </cell>
          <cell r="L1201" t="str">
            <v>PU COATING</v>
          </cell>
          <cell r="M1201" t="str">
            <v>220117</v>
          </cell>
          <cell r="N1201" t="str">
            <v>PROPAN PU</v>
          </cell>
        </row>
        <row r="1202">
          <cell r="C1202" t="str">
            <v>100003486</v>
          </cell>
          <cell r="D1202" t="str">
            <v>PUL-747 2K BONG 70 VN-4K</v>
          </cell>
          <cell r="E1202" t="str">
            <v>ZFGD</v>
          </cell>
          <cell r="F1202" t="str">
            <v>PC</v>
          </cell>
          <cell r="G1202" t="str">
            <v>2</v>
          </cell>
          <cell r="H1202" t="str">
            <v>RETAIL</v>
          </cell>
          <cell r="I1202" t="str">
            <v>22</v>
          </cell>
          <cell r="J1202" t="str">
            <v>WF2</v>
          </cell>
          <cell r="K1202" t="str">
            <v>2201</v>
          </cell>
          <cell r="L1202" t="str">
            <v>PU COATING</v>
          </cell>
          <cell r="M1202" t="str">
            <v>220117</v>
          </cell>
          <cell r="N1202" t="str">
            <v>PROPAN PU</v>
          </cell>
        </row>
        <row r="1203">
          <cell r="C1203" t="str">
            <v>100003487</v>
          </cell>
          <cell r="D1203" t="str">
            <v>PUL-747 2K BONG 10 VN-16KP</v>
          </cell>
          <cell r="E1203" t="str">
            <v>ZFGD</v>
          </cell>
          <cell r="F1203" t="str">
            <v>PC</v>
          </cell>
          <cell r="G1203" t="str">
            <v>2</v>
          </cell>
          <cell r="H1203" t="str">
            <v>RETAIL</v>
          </cell>
          <cell r="I1203" t="str">
            <v>22</v>
          </cell>
          <cell r="J1203" t="str">
            <v>WF2</v>
          </cell>
          <cell r="K1203" t="str">
            <v>2201</v>
          </cell>
          <cell r="L1203" t="str">
            <v>PU COATING</v>
          </cell>
          <cell r="M1203" t="str">
            <v>220117</v>
          </cell>
          <cell r="N1203" t="str">
            <v>PROPAN PU</v>
          </cell>
        </row>
        <row r="1204">
          <cell r="C1204" t="str">
            <v>100003488</v>
          </cell>
          <cell r="D1204" t="str">
            <v>PUL-747 2K BONG 30 VN-16KP</v>
          </cell>
          <cell r="E1204" t="str">
            <v>ZFGD</v>
          </cell>
          <cell r="F1204" t="str">
            <v>PC</v>
          </cell>
          <cell r="G1204" t="str">
            <v>2</v>
          </cell>
          <cell r="H1204" t="str">
            <v>RETAIL</v>
          </cell>
          <cell r="I1204" t="str">
            <v>22</v>
          </cell>
          <cell r="J1204" t="str">
            <v>WF2</v>
          </cell>
          <cell r="K1204" t="str">
            <v>2201</v>
          </cell>
          <cell r="L1204" t="str">
            <v>PU COATING</v>
          </cell>
          <cell r="M1204" t="str">
            <v>220117</v>
          </cell>
          <cell r="N1204" t="str">
            <v>PROPAN PU</v>
          </cell>
        </row>
        <row r="1205">
          <cell r="C1205" t="str">
            <v>100003489</v>
          </cell>
          <cell r="D1205" t="str">
            <v>PUL-747 2K BONG 70 VN-16KP</v>
          </cell>
          <cell r="E1205" t="str">
            <v>ZFGD</v>
          </cell>
          <cell r="F1205" t="str">
            <v>PC</v>
          </cell>
          <cell r="G1205" t="str">
            <v>2</v>
          </cell>
          <cell r="H1205" t="str">
            <v>RETAIL</v>
          </cell>
          <cell r="I1205" t="str">
            <v>22</v>
          </cell>
          <cell r="J1205" t="str">
            <v>WF2</v>
          </cell>
          <cell r="K1205" t="str">
            <v>2201</v>
          </cell>
          <cell r="L1205" t="str">
            <v>PU COATING</v>
          </cell>
          <cell r="M1205" t="str">
            <v>220117</v>
          </cell>
          <cell r="N1205" t="str">
            <v>PROPAN PU</v>
          </cell>
        </row>
        <row r="1206">
          <cell r="C1206" t="str">
            <v>100003557</v>
          </cell>
          <cell r="D1206" t="str">
            <v>PUL-747 2K BONG 50 VN-1K</v>
          </cell>
          <cell r="E1206" t="str">
            <v>ZFGD</v>
          </cell>
          <cell r="F1206" t="str">
            <v>PC</v>
          </cell>
          <cell r="G1206" t="str">
            <v>2</v>
          </cell>
          <cell r="H1206" t="str">
            <v>RETAIL</v>
          </cell>
          <cell r="I1206" t="str">
            <v>22</v>
          </cell>
          <cell r="J1206" t="str">
            <v>WF2</v>
          </cell>
          <cell r="K1206" t="str">
            <v>2201</v>
          </cell>
          <cell r="L1206" t="str">
            <v>PU COATING</v>
          </cell>
          <cell r="M1206" t="str">
            <v>220117</v>
          </cell>
          <cell r="N1206" t="str">
            <v>PROPAN PU</v>
          </cell>
        </row>
        <row r="1207">
          <cell r="C1207" t="str">
            <v>100003558</v>
          </cell>
          <cell r="D1207" t="str">
            <v>PUL-747 2K BONG 50 VN-4K</v>
          </cell>
          <cell r="E1207" t="str">
            <v>ZFGD</v>
          </cell>
          <cell r="F1207" t="str">
            <v>PC</v>
          </cell>
          <cell r="G1207" t="str">
            <v>2</v>
          </cell>
          <cell r="H1207" t="str">
            <v>RETAIL</v>
          </cell>
          <cell r="I1207" t="str">
            <v>22</v>
          </cell>
          <cell r="J1207" t="str">
            <v>WF2</v>
          </cell>
          <cell r="K1207" t="str">
            <v>2201</v>
          </cell>
          <cell r="L1207" t="str">
            <v>PU COATING</v>
          </cell>
          <cell r="M1207" t="str">
            <v>220117</v>
          </cell>
          <cell r="N1207" t="str">
            <v>PROPAN PU</v>
          </cell>
        </row>
        <row r="1208">
          <cell r="C1208" t="str">
            <v>100003559</v>
          </cell>
          <cell r="D1208" t="str">
            <v>PUL-747 2K BONG 50 VN-16KP</v>
          </cell>
          <cell r="E1208" t="str">
            <v>ZFGD</v>
          </cell>
          <cell r="F1208" t="str">
            <v>PC</v>
          </cell>
          <cell r="G1208" t="str">
            <v>2</v>
          </cell>
          <cell r="H1208" t="str">
            <v>RETAIL</v>
          </cell>
          <cell r="I1208" t="str">
            <v>22</v>
          </cell>
          <cell r="J1208" t="str">
            <v>WF2</v>
          </cell>
          <cell r="K1208" t="str">
            <v>2201</v>
          </cell>
          <cell r="L1208" t="str">
            <v>PU COATING</v>
          </cell>
          <cell r="M1208" t="str">
            <v>220117</v>
          </cell>
          <cell r="N1208" t="str">
            <v>PROPAN PU</v>
          </cell>
        </row>
        <row r="1209">
          <cell r="C1209" t="str">
            <v>100003565</v>
          </cell>
          <cell r="D1209" t="str">
            <v>UPR-960 YELLOW STONE 2206 VN-1K</v>
          </cell>
          <cell r="E1209" t="str">
            <v>ZFGD</v>
          </cell>
          <cell r="F1209" t="str">
            <v>PC</v>
          </cell>
          <cell r="G1209" t="str">
            <v>2</v>
          </cell>
          <cell r="H1209" t="str">
            <v>RETAIL</v>
          </cell>
          <cell r="I1209" t="str">
            <v>2D</v>
          </cell>
          <cell r="J1209" t="str">
            <v>APCT2</v>
          </cell>
          <cell r="K1209" t="str">
            <v>2D01</v>
          </cell>
          <cell r="L1209" t="str">
            <v>ULTRAPROOF</v>
          </cell>
          <cell r="M1209" t="str">
            <v>2D0101</v>
          </cell>
          <cell r="N1209" t="str">
            <v>ULTRAPROOF RMX</v>
          </cell>
        </row>
        <row r="1210">
          <cell r="C1210" t="str">
            <v>100003566</v>
          </cell>
          <cell r="D1210" t="str">
            <v>UPR-960 YELLOW STONE 2206 VN-4K</v>
          </cell>
          <cell r="E1210" t="str">
            <v>ZFGD</v>
          </cell>
          <cell r="F1210" t="str">
            <v>PC</v>
          </cell>
          <cell r="G1210" t="str">
            <v>2</v>
          </cell>
          <cell r="H1210" t="str">
            <v>RETAIL</v>
          </cell>
          <cell r="I1210" t="str">
            <v>2D</v>
          </cell>
          <cell r="J1210" t="str">
            <v>APCT2</v>
          </cell>
          <cell r="K1210" t="str">
            <v>2D01</v>
          </cell>
          <cell r="L1210" t="str">
            <v>ULTRAPROOF</v>
          </cell>
          <cell r="M1210" t="str">
            <v>2D0101</v>
          </cell>
          <cell r="N1210" t="str">
            <v>ULTRAPROOF RMX</v>
          </cell>
        </row>
        <row r="1211">
          <cell r="C1211" t="str">
            <v>100003567</v>
          </cell>
          <cell r="D1211" t="str">
            <v>UPR-960 YELLOW STONE 2206 VN-20KP</v>
          </cell>
          <cell r="E1211" t="str">
            <v>ZFGD</v>
          </cell>
          <cell r="F1211" t="str">
            <v>PC</v>
          </cell>
          <cell r="G1211" t="str">
            <v>2</v>
          </cell>
          <cell r="H1211" t="str">
            <v>RETAIL</v>
          </cell>
          <cell r="I1211" t="str">
            <v>2D</v>
          </cell>
          <cell r="J1211" t="str">
            <v>APCT2</v>
          </cell>
          <cell r="K1211" t="str">
            <v>2D01</v>
          </cell>
          <cell r="L1211" t="str">
            <v>ULTRAPROOF</v>
          </cell>
          <cell r="M1211" t="str">
            <v>2D0101</v>
          </cell>
          <cell r="N1211" t="str">
            <v>ULTRAPROOF RMX</v>
          </cell>
        </row>
        <row r="1212">
          <cell r="C1212" t="str">
            <v>100003581</v>
          </cell>
          <cell r="D1212" t="str">
            <v>UPR-960 YELLOW SUNNY SPOT 8054 VN-1K</v>
          </cell>
          <cell r="E1212" t="str">
            <v>ZFGD</v>
          </cell>
          <cell r="F1212" t="str">
            <v>PC</v>
          </cell>
          <cell r="G1212" t="str">
            <v>2</v>
          </cell>
          <cell r="H1212" t="str">
            <v>RETAIL</v>
          </cell>
          <cell r="I1212" t="str">
            <v>2D</v>
          </cell>
          <cell r="J1212" t="str">
            <v>APCT2</v>
          </cell>
          <cell r="K1212" t="str">
            <v>2D01</v>
          </cell>
          <cell r="L1212" t="str">
            <v>ULTRAPROOF</v>
          </cell>
          <cell r="M1212" t="str">
            <v>2D0101</v>
          </cell>
          <cell r="N1212" t="str">
            <v>ULTRAPROOF RMX</v>
          </cell>
        </row>
        <row r="1213">
          <cell r="C1213" t="str">
            <v>100003582</v>
          </cell>
          <cell r="D1213" t="str">
            <v>UPR-960 YELLOW SUNNY SPOT 8054 VN-4K</v>
          </cell>
          <cell r="E1213" t="str">
            <v>ZFGD</v>
          </cell>
          <cell r="F1213" t="str">
            <v>PC</v>
          </cell>
          <cell r="G1213" t="str">
            <v>2</v>
          </cell>
          <cell r="H1213" t="str">
            <v>RETAIL</v>
          </cell>
          <cell r="I1213" t="str">
            <v>2D</v>
          </cell>
          <cell r="J1213" t="str">
            <v>APCT2</v>
          </cell>
          <cell r="K1213" t="str">
            <v>2D01</v>
          </cell>
          <cell r="L1213" t="str">
            <v>ULTRAPROOF</v>
          </cell>
          <cell r="M1213" t="str">
            <v>2D0101</v>
          </cell>
          <cell r="N1213" t="str">
            <v>ULTRAPROOF RMX</v>
          </cell>
        </row>
        <row r="1214">
          <cell r="C1214" t="str">
            <v>100003583</v>
          </cell>
          <cell r="D1214" t="str">
            <v>UPR-960 YELLOW SUNNY SPOT 8054 VN-20KP</v>
          </cell>
          <cell r="E1214" t="str">
            <v>ZFGD</v>
          </cell>
          <cell r="F1214" t="str">
            <v>PC</v>
          </cell>
          <cell r="G1214" t="str">
            <v>2</v>
          </cell>
          <cell r="H1214" t="str">
            <v>RETAIL</v>
          </cell>
          <cell r="I1214" t="str">
            <v>2D</v>
          </cell>
          <cell r="J1214" t="str">
            <v>APCT2</v>
          </cell>
          <cell r="K1214" t="str">
            <v>2D01</v>
          </cell>
          <cell r="L1214" t="str">
            <v>ULTRAPROOF</v>
          </cell>
          <cell r="M1214" t="str">
            <v>2D0101</v>
          </cell>
          <cell r="N1214" t="str">
            <v>ULTRAPROOF RMX</v>
          </cell>
        </row>
        <row r="1215">
          <cell r="C1215" t="str">
            <v>100003597</v>
          </cell>
          <cell r="D1215" t="str">
            <v>PUP-752-2K WHITE VN-200KB</v>
          </cell>
          <cell r="E1215" t="str">
            <v>ZFGD</v>
          </cell>
          <cell r="F1215" t="str">
            <v>PC</v>
          </cell>
          <cell r="G1215" t="str">
            <v>2</v>
          </cell>
          <cell r="H1215" t="str">
            <v>RETAIL</v>
          </cell>
          <cell r="I1215" t="str">
            <v>22</v>
          </cell>
          <cell r="J1215" t="str">
            <v>WF2</v>
          </cell>
          <cell r="K1215" t="str">
            <v>2216</v>
          </cell>
          <cell r="L1215" t="str">
            <v>PU MULTIPURPOSE</v>
          </cell>
          <cell r="M1215" t="str">
            <v>221601</v>
          </cell>
          <cell r="N1215" t="str">
            <v>PROPAN MP PU ACR RMX</v>
          </cell>
        </row>
        <row r="1216">
          <cell r="C1216" t="str">
            <v>100003601</v>
          </cell>
          <cell r="D1216" t="str">
            <v>AP-980 RED OXIDE VN-20KP</v>
          </cell>
          <cell r="E1216" t="str">
            <v>ZFGD</v>
          </cell>
          <cell r="F1216" t="str">
            <v>PC</v>
          </cell>
          <cell r="G1216" t="str">
            <v>2</v>
          </cell>
          <cell r="H1216" t="str">
            <v>RETAIL</v>
          </cell>
          <cell r="I1216" t="str">
            <v>29</v>
          </cell>
          <cell r="J1216" t="str">
            <v>MPC</v>
          </cell>
          <cell r="K1216" t="str">
            <v>2910</v>
          </cell>
          <cell r="L1216" t="str">
            <v>ZINCOAT</v>
          </cell>
          <cell r="M1216" t="str">
            <v>291001</v>
          </cell>
          <cell r="N1216" t="str">
            <v>ZINCOAT</v>
          </cell>
        </row>
        <row r="1217">
          <cell r="C1217" t="str">
            <v>100003602</v>
          </cell>
          <cell r="D1217" t="str">
            <v>AP-980 RED OXIDE VN-5K</v>
          </cell>
          <cell r="E1217" t="str">
            <v>ZFGD</v>
          </cell>
          <cell r="F1217" t="str">
            <v>PC</v>
          </cell>
          <cell r="G1217" t="str">
            <v>2</v>
          </cell>
          <cell r="H1217" t="str">
            <v>RETAIL</v>
          </cell>
          <cell r="I1217" t="str">
            <v>29</v>
          </cell>
          <cell r="J1217" t="str">
            <v>MPC</v>
          </cell>
          <cell r="K1217" t="str">
            <v>2910</v>
          </cell>
          <cell r="L1217" t="str">
            <v>ZINCOAT</v>
          </cell>
          <cell r="M1217" t="str">
            <v>291001</v>
          </cell>
          <cell r="N1217" t="str">
            <v>ZINCOAT</v>
          </cell>
        </row>
        <row r="1218">
          <cell r="C1218" t="str">
            <v>100003603</v>
          </cell>
          <cell r="D1218" t="str">
            <v>AP-980 BLACK VN-20KP</v>
          </cell>
          <cell r="E1218" t="str">
            <v>ZFGD</v>
          </cell>
          <cell r="F1218" t="str">
            <v>PC</v>
          </cell>
          <cell r="G1218" t="str">
            <v>2</v>
          </cell>
          <cell r="H1218" t="str">
            <v>RETAIL</v>
          </cell>
          <cell r="I1218" t="str">
            <v>29</v>
          </cell>
          <cell r="J1218" t="str">
            <v>MPC</v>
          </cell>
          <cell r="K1218" t="str">
            <v>2910</v>
          </cell>
          <cell r="L1218" t="str">
            <v>ZINCOAT</v>
          </cell>
          <cell r="M1218" t="str">
            <v>291001</v>
          </cell>
          <cell r="N1218" t="str">
            <v>ZINCOAT</v>
          </cell>
        </row>
        <row r="1219">
          <cell r="C1219" t="str">
            <v>100003604</v>
          </cell>
          <cell r="D1219" t="str">
            <v>AP-980 BLACK VN-5K</v>
          </cell>
          <cell r="E1219" t="str">
            <v>ZFGD</v>
          </cell>
          <cell r="F1219" t="str">
            <v>PC</v>
          </cell>
          <cell r="G1219" t="str">
            <v>2</v>
          </cell>
          <cell r="H1219" t="str">
            <v>RETAIL</v>
          </cell>
          <cell r="I1219" t="str">
            <v>29</v>
          </cell>
          <cell r="J1219" t="str">
            <v>MPC</v>
          </cell>
          <cell r="K1219" t="str">
            <v>2910</v>
          </cell>
          <cell r="L1219" t="str">
            <v>ZINCOAT</v>
          </cell>
          <cell r="M1219" t="str">
            <v>291001</v>
          </cell>
          <cell r="N1219" t="str">
            <v>ZINCOAT</v>
          </cell>
        </row>
        <row r="1220">
          <cell r="C1220" t="str">
            <v>100003605</v>
          </cell>
          <cell r="D1220" t="str">
            <v>THC-73100 402 VN-3.8L</v>
          </cell>
          <cell r="E1220" t="str">
            <v>ZFGD</v>
          </cell>
          <cell r="F1220" t="str">
            <v>PC</v>
          </cell>
          <cell r="G1220" t="str">
            <v>1</v>
          </cell>
          <cell r="H1220" t="str">
            <v>INDUSTRY</v>
          </cell>
          <cell r="I1220" t="str">
            <v>14</v>
          </cell>
          <cell r="J1220" t="str">
            <v>THINNER</v>
          </cell>
          <cell r="K1220" t="str">
            <v>1412</v>
          </cell>
          <cell r="L1220" t="str">
            <v>THINNER NC</v>
          </cell>
          <cell r="M1220" t="str">
            <v>141203</v>
          </cell>
          <cell r="N1220" t="str">
            <v>THINNER COMPLEMENTARY</v>
          </cell>
        </row>
        <row r="1221">
          <cell r="C1221" t="str">
            <v>100003614</v>
          </cell>
          <cell r="D1221" t="str">
            <v>PUC-756-NY ACR CREAM III 30 VN-16KP</v>
          </cell>
          <cell r="E1221" t="str">
            <v>ZFGD</v>
          </cell>
          <cell r="F1221" t="str">
            <v>PC</v>
          </cell>
          <cell r="G1221" t="str">
            <v>2</v>
          </cell>
          <cell r="H1221" t="str">
            <v>RETAIL</v>
          </cell>
          <cell r="I1221" t="str">
            <v>22</v>
          </cell>
          <cell r="J1221" t="str">
            <v>WF2</v>
          </cell>
          <cell r="K1221" t="str">
            <v>2216</v>
          </cell>
          <cell r="L1221" t="str">
            <v>PU MULTIPURPOSE</v>
          </cell>
          <cell r="M1221" t="str">
            <v>221601</v>
          </cell>
          <cell r="N1221" t="str">
            <v>PROPAN MP PU ACR RMX</v>
          </cell>
        </row>
        <row r="1222">
          <cell r="C1222" t="str">
            <v>100003641</v>
          </cell>
          <cell r="D1222" t="str">
            <v>AP-980 GREY VN-20KP</v>
          </cell>
          <cell r="E1222" t="str">
            <v>ZFGD</v>
          </cell>
          <cell r="F1222" t="str">
            <v>PC</v>
          </cell>
          <cell r="G1222" t="str">
            <v>2</v>
          </cell>
          <cell r="H1222" t="str">
            <v>RETAIL</v>
          </cell>
          <cell r="I1222" t="str">
            <v>29</v>
          </cell>
          <cell r="J1222" t="str">
            <v>MPC</v>
          </cell>
          <cell r="K1222" t="str">
            <v>2910</v>
          </cell>
          <cell r="L1222" t="str">
            <v>ZINCOAT</v>
          </cell>
          <cell r="M1222" t="str">
            <v>291001</v>
          </cell>
          <cell r="N1222" t="str">
            <v>ZINCOAT</v>
          </cell>
        </row>
        <row r="1223">
          <cell r="C1223" t="str">
            <v>100003642</v>
          </cell>
          <cell r="D1223" t="str">
            <v>AP-980 GREY VN-5K</v>
          </cell>
          <cell r="E1223" t="str">
            <v>ZFGD</v>
          </cell>
          <cell r="F1223" t="str">
            <v>PC</v>
          </cell>
          <cell r="G1223" t="str">
            <v>2</v>
          </cell>
          <cell r="H1223" t="str">
            <v>RETAIL</v>
          </cell>
          <cell r="I1223" t="str">
            <v>29</v>
          </cell>
          <cell r="J1223" t="str">
            <v>MPC</v>
          </cell>
          <cell r="K1223" t="str">
            <v>2910</v>
          </cell>
          <cell r="L1223" t="str">
            <v>ZINCOAT</v>
          </cell>
          <cell r="M1223" t="str">
            <v>291001</v>
          </cell>
          <cell r="N1223" t="str">
            <v>ZINCOAT</v>
          </cell>
        </row>
        <row r="1224">
          <cell r="C1224" t="str">
            <v>100003653</v>
          </cell>
          <cell r="D1224" t="str">
            <v>PFT-253 RAL 6002 VN-16KP</v>
          </cell>
          <cell r="E1224" t="str">
            <v>ZFGD</v>
          </cell>
          <cell r="F1224" t="str">
            <v>PC</v>
          </cell>
          <cell r="G1224" t="str">
            <v>5</v>
          </cell>
          <cell r="H1224" t="str">
            <v>PROJECT</v>
          </cell>
          <cell r="I1224" t="str">
            <v>56</v>
          </cell>
          <cell r="J1224" t="str">
            <v>CPC1</v>
          </cell>
          <cell r="K1224" t="str">
            <v>5602</v>
          </cell>
          <cell r="L1224" t="str">
            <v>POLYFLOOR</v>
          </cell>
          <cell r="M1224" t="str">
            <v>560202</v>
          </cell>
          <cell r="N1224" t="str">
            <v>POLYFLOOR EPOXY</v>
          </cell>
        </row>
        <row r="1225">
          <cell r="C1225" t="str">
            <v>100003654</v>
          </cell>
          <cell r="D1225" t="str">
            <v>PFT-253 RAL 3000 VN-16KP</v>
          </cell>
          <cell r="E1225" t="str">
            <v>ZFGD</v>
          </cell>
          <cell r="F1225" t="str">
            <v>PC</v>
          </cell>
          <cell r="G1225" t="str">
            <v>5</v>
          </cell>
          <cell r="H1225" t="str">
            <v>PROJECT</v>
          </cell>
          <cell r="I1225" t="str">
            <v>56</v>
          </cell>
          <cell r="J1225" t="str">
            <v>CPC1</v>
          </cell>
          <cell r="K1225" t="str">
            <v>5602</v>
          </cell>
          <cell r="L1225" t="str">
            <v>POLYFLOOR</v>
          </cell>
          <cell r="M1225" t="str">
            <v>560202</v>
          </cell>
          <cell r="N1225" t="str">
            <v>POLYFLOOR EPOXY</v>
          </cell>
        </row>
        <row r="1226">
          <cell r="C1226" t="str">
            <v>100003656</v>
          </cell>
          <cell r="D1226" t="str">
            <v>GEMINI BLUE-0.9L</v>
          </cell>
          <cell r="E1226" t="str">
            <v>ZFGD</v>
          </cell>
          <cell r="F1226" t="str">
            <v>PC</v>
          </cell>
          <cell r="G1226" t="str">
            <v>2</v>
          </cell>
          <cell r="H1226" t="str">
            <v>RETAIL</v>
          </cell>
          <cell r="I1226" t="str">
            <v>29</v>
          </cell>
          <cell r="J1226" t="str">
            <v>MPC</v>
          </cell>
          <cell r="K1226" t="str">
            <v>2902</v>
          </cell>
          <cell r="L1226" t="str">
            <v>SYNTHETIC ENAMEL SB</v>
          </cell>
          <cell r="M1226" t="str">
            <v>290210</v>
          </cell>
          <cell r="N1226" t="str">
            <v>GEMINI SYNTHETIC RMX</v>
          </cell>
        </row>
        <row r="1227">
          <cell r="C1227" t="str">
            <v>100003657</v>
          </cell>
          <cell r="D1227" t="str">
            <v>GEMINI BLACK 9406G-0.9L</v>
          </cell>
          <cell r="E1227" t="str">
            <v>ZFGD</v>
          </cell>
          <cell r="F1227" t="str">
            <v>PC</v>
          </cell>
          <cell r="G1227" t="str">
            <v>2</v>
          </cell>
          <cell r="H1227" t="str">
            <v>RETAIL</v>
          </cell>
          <cell r="I1227" t="str">
            <v>29</v>
          </cell>
          <cell r="J1227" t="str">
            <v>MPC</v>
          </cell>
          <cell r="K1227" t="str">
            <v>2902</v>
          </cell>
          <cell r="L1227" t="str">
            <v>SYNTHETIC ENAMEL SB</v>
          </cell>
          <cell r="M1227" t="str">
            <v>290210</v>
          </cell>
          <cell r="N1227" t="str">
            <v>GEMINI SYNTHETIC RMX</v>
          </cell>
        </row>
        <row r="1228">
          <cell r="C1228" t="str">
            <v>100003658</v>
          </cell>
          <cell r="D1228" t="str">
            <v>GEMINI WHITE 9101-0.9L</v>
          </cell>
          <cell r="E1228" t="str">
            <v>ZFGD</v>
          </cell>
          <cell r="F1228" t="str">
            <v>PC</v>
          </cell>
          <cell r="G1228" t="str">
            <v>2</v>
          </cell>
          <cell r="H1228" t="str">
            <v>RETAIL</v>
          </cell>
          <cell r="I1228" t="str">
            <v>29</v>
          </cell>
          <cell r="J1228" t="str">
            <v>MPC</v>
          </cell>
          <cell r="K1228" t="str">
            <v>2902</v>
          </cell>
          <cell r="L1228" t="str">
            <v>SYNTHETIC ENAMEL SB</v>
          </cell>
          <cell r="M1228" t="str">
            <v>290210</v>
          </cell>
          <cell r="N1228" t="str">
            <v>GEMINI SYNTHETIC RMX</v>
          </cell>
        </row>
        <row r="1229">
          <cell r="C1229" t="str">
            <v>100003659</v>
          </cell>
          <cell r="D1229" t="str">
            <v>GEMINI SUPER WHITE 9102-0.9L</v>
          </cell>
          <cell r="E1229" t="str">
            <v>ZFGD</v>
          </cell>
          <cell r="F1229" t="str">
            <v>PC</v>
          </cell>
          <cell r="G1229" t="str">
            <v>2</v>
          </cell>
          <cell r="H1229" t="str">
            <v>RETAIL</v>
          </cell>
          <cell r="I1229" t="str">
            <v>29</v>
          </cell>
          <cell r="J1229" t="str">
            <v>MPC</v>
          </cell>
          <cell r="K1229" t="str">
            <v>2902</v>
          </cell>
          <cell r="L1229" t="str">
            <v>SYNTHETIC ENAMEL SB</v>
          </cell>
          <cell r="M1229" t="str">
            <v>290210</v>
          </cell>
          <cell r="N1229" t="str">
            <v>GEMINI SYNTHETIC RMX</v>
          </cell>
        </row>
        <row r="1230">
          <cell r="C1230" t="str">
            <v>100003713</v>
          </cell>
          <cell r="D1230" t="str">
            <v>PFC-225 SEALER- 2K</v>
          </cell>
          <cell r="E1230" t="str">
            <v>ZFGD</v>
          </cell>
          <cell r="F1230" t="str">
            <v>PC</v>
          </cell>
          <cell r="G1230" t="str">
            <v>5</v>
          </cell>
          <cell r="H1230" t="str">
            <v>PROJECT</v>
          </cell>
          <cell r="I1230" t="str">
            <v>56</v>
          </cell>
          <cell r="J1230" t="str">
            <v>CPC1</v>
          </cell>
          <cell r="K1230" t="str">
            <v>5602</v>
          </cell>
          <cell r="L1230" t="str">
            <v>POLYFLOOR</v>
          </cell>
          <cell r="M1230" t="str">
            <v>560201</v>
          </cell>
          <cell r="N1230" t="str">
            <v>POLYFLOOR CEMENT</v>
          </cell>
        </row>
        <row r="1231">
          <cell r="C1231" t="str">
            <v>100003714</v>
          </cell>
          <cell r="D1231" t="str">
            <v>HARDENER PFC-225 SEALER- 2K</v>
          </cell>
          <cell r="E1231" t="str">
            <v>ZFGD</v>
          </cell>
          <cell r="F1231" t="str">
            <v>PC</v>
          </cell>
          <cell r="G1231" t="str">
            <v>5</v>
          </cell>
          <cell r="H1231" t="str">
            <v>PROJECT</v>
          </cell>
          <cell r="I1231" t="str">
            <v>56</v>
          </cell>
          <cell r="J1231" t="str">
            <v>CPC1</v>
          </cell>
          <cell r="K1231" t="str">
            <v>5607</v>
          </cell>
          <cell r="L1231" t="str">
            <v>OTHERS CPC1</v>
          </cell>
          <cell r="M1231" t="str">
            <v>560703</v>
          </cell>
          <cell r="N1231" t="str">
            <v>COMPLEMENTARY CPC1</v>
          </cell>
        </row>
        <row r="1232">
          <cell r="C1232" t="str">
            <v>100003723</v>
          </cell>
          <cell r="D1232" t="str">
            <v>PUC-756-NY ACR CREAM III 30 VN-200KP</v>
          </cell>
          <cell r="E1232" t="str">
            <v>ZFGD</v>
          </cell>
          <cell r="F1232" t="str">
            <v>PC</v>
          </cell>
          <cell r="G1232" t="str">
            <v>2</v>
          </cell>
          <cell r="H1232" t="str">
            <v>RETAIL</v>
          </cell>
          <cell r="I1232" t="str">
            <v>22</v>
          </cell>
          <cell r="J1232" t="str">
            <v>WF2</v>
          </cell>
          <cell r="K1232" t="str">
            <v>2216</v>
          </cell>
          <cell r="L1232" t="str">
            <v>PU MULTIPURPOSE</v>
          </cell>
          <cell r="M1232" t="str">
            <v>221601</v>
          </cell>
          <cell r="N1232" t="str">
            <v>PROPAN MP PU ACR RMX</v>
          </cell>
        </row>
        <row r="1233">
          <cell r="C1233" t="str">
            <v>100003765</v>
          </cell>
          <cell r="D1233" t="str">
            <v>MX-99 AR CLEAR GLOSS VN-15KP</v>
          </cell>
          <cell r="E1233" t="str">
            <v>ZFGD</v>
          </cell>
          <cell r="F1233" t="str">
            <v>PC</v>
          </cell>
          <cell r="G1233" t="str">
            <v>2</v>
          </cell>
          <cell r="H1233" t="str">
            <v>RETAIL</v>
          </cell>
          <cell r="I1233" t="str">
            <v>27</v>
          </cell>
          <cell r="J1233" t="str">
            <v>CPC1</v>
          </cell>
          <cell r="K1233" t="str">
            <v>2703</v>
          </cell>
          <cell r="L1233" t="str">
            <v>MULTIPOX</v>
          </cell>
          <cell r="M1233" t="str">
            <v>270302</v>
          </cell>
          <cell r="N1233" t="str">
            <v>MULTIPOX BASE</v>
          </cell>
        </row>
        <row r="1234">
          <cell r="C1234" t="str">
            <v>100003810</v>
          </cell>
          <cell r="D1234" t="str">
            <v>PUC-756-NY ACR CREAM 70 VN-16KP</v>
          </cell>
          <cell r="E1234" t="str">
            <v>ZFGD</v>
          </cell>
          <cell r="F1234" t="str">
            <v>PC</v>
          </cell>
          <cell r="G1234" t="str">
            <v>2</v>
          </cell>
          <cell r="H1234" t="str">
            <v>RETAIL</v>
          </cell>
          <cell r="I1234" t="str">
            <v>22</v>
          </cell>
          <cell r="J1234" t="str">
            <v>WF2</v>
          </cell>
          <cell r="K1234" t="str">
            <v>2216</v>
          </cell>
          <cell r="L1234" t="str">
            <v>PU MULTIPURPOSE</v>
          </cell>
          <cell r="M1234" t="str">
            <v>221601</v>
          </cell>
          <cell r="N1234" t="str">
            <v>PROPAN MP PU ACR RMX</v>
          </cell>
        </row>
        <row r="1235">
          <cell r="C1235" t="str">
            <v>100003949</v>
          </cell>
          <cell r="D1235" t="str">
            <v>DECORSHIELD DW-500 WHITE VN-0.8L</v>
          </cell>
          <cell r="E1235" t="str">
            <v>ZFGD</v>
          </cell>
          <cell r="F1235" t="str">
            <v>PC</v>
          </cell>
          <cell r="G1235" t="str">
            <v>2</v>
          </cell>
          <cell r="H1235" t="str">
            <v>RETAIL</v>
          </cell>
          <cell r="I1235" t="str">
            <v>25</v>
          </cell>
          <cell r="J1235" t="str">
            <v>APCT1</v>
          </cell>
          <cell r="K1235" t="str">
            <v>2502</v>
          </cell>
          <cell r="L1235" t="str">
            <v>DECOR</v>
          </cell>
          <cell r="M1235" t="str">
            <v>250203</v>
          </cell>
          <cell r="N1235" t="str">
            <v>DECORSHIELD RMX</v>
          </cell>
        </row>
        <row r="1236">
          <cell r="C1236" t="str">
            <v>100003950</v>
          </cell>
          <cell r="D1236" t="str">
            <v>DECORSHIELD DW-500 BASE A VN-0.8L</v>
          </cell>
          <cell r="E1236" t="str">
            <v>ZFGD</v>
          </cell>
          <cell r="F1236" t="str">
            <v>PC</v>
          </cell>
          <cell r="G1236" t="str">
            <v>2</v>
          </cell>
          <cell r="H1236" t="str">
            <v>RETAIL</v>
          </cell>
          <cell r="I1236" t="str">
            <v>25</v>
          </cell>
          <cell r="J1236" t="str">
            <v>APCT1</v>
          </cell>
          <cell r="K1236" t="str">
            <v>2502</v>
          </cell>
          <cell r="L1236" t="str">
            <v>DECOR</v>
          </cell>
          <cell r="M1236" t="str">
            <v>250203</v>
          </cell>
          <cell r="N1236" t="str">
            <v>DECORSHIELD RMX</v>
          </cell>
        </row>
        <row r="1237">
          <cell r="C1237" t="str">
            <v>100003951</v>
          </cell>
          <cell r="D1237" t="str">
            <v>DECORSHIELD DW-500 BASE B VN-0.8L</v>
          </cell>
          <cell r="E1237" t="str">
            <v>ZFGD</v>
          </cell>
          <cell r="F1237" t="str">
            <v>PC</v>
          </cell>
          <cell r="G1237" t="str">
            <v>2</v>
          </cell>
          <cell r="H1237" t="str">
            <v>RETAIL</v>
          </cell>
          <cell r="I1237" t="str">
            <v>25</v>
          </cell>
          <cell r="J1237" t="str">
            <v>APCT1</v>
          </cell>
          <cell r="K1237" t="str">
            <v>2502</v>
          </cell>
          <cell r="L1237" t="str">
            <v>DECOR</v>
          </cell>
          <cell r="M1237" t="str">
            <v>250203</v>
          </cell>
          <cell r="N1237" t="str">
            <v>DECORSHIELD RMX</v>
          </cell>
        </row>
        <row r="1238">
          <cell r="C1238" t="str">
            <v>100003952</v>
          </cell>
          <cell r="D1238" t="str">
            <v>DECORSHIELD DW-500 BASE D VN-0.8L</v>
          </cell>
          <cell r="E1238" t="str">
            <v>ZFGD</v>
          </cell>
          <cell r="F1238" t="str">
            <v>PC</v>
          </cell>
          <cell r="G1238" t="str">
            <v>2</v>
          </cell>
          <cell r="H1238" t="str">
            <v>RETAIL</v>
          </cell>
          <cell r="I1238" t="str">
            <v>25</v>
          </cell>
          <cell r="J1238" t="str">
            <v>APCT1</v>
          </cell>
          <cell r="K1238" t="str">
            <v>2502</v>
          </cell>
          <cell r="L1238" t="str">
            <v>DECOR</v>
          </cell>
          <cell r="M1238" t="str">
            <v>250203</v>
          </cell>
          <cell r="N1238" t="str">
            <v>DECORSHIELD RMX</v>
          </cell>
        </row>
        <row r="1239">
          <cell r="C1239" t="str">
            <v>100003953</v>
          </cell>
          <cell r="D1239" t="str">
            <v>#NUDECOR PRIMER AR-300 VN-1L</v>
          </cell>
          <cell r="E1239" t="str">
            <v>ZFGD</v>
          </cell>
          <cell r="F1239" t="str">
            <v>PC</v>
          </cell>
          <cell r="G1239" t="str">
            <v>2</v>
          </cell>
          <cell r="H1239" t="str">
            <v>RETAIL</v>
          </cell>
          <cell r="I1239" t="str">
            <v>25</v>
          </cell>
          <cell r="J1239" t="str">
            <v>APCT1</v>
          </cell>
          <cell r="K1239" t="str">
            <v>2502</v>
          </cell>
          <cell r="L1239" t="str">
            <v>DECOR</v>
          </cell>
          <cell r="M1239" t="str">
            <v>250209</v>
          </cell>
          <cell r="N1239" t="str">
            <v>DECOR PRIMER WB</v>
          </cell>
        </row>
        <row r="1240">
          <cell r="C1240" t="str">
            <v>100003954</v>
          </cell>
          <cell r="D1240" t="str">
            <v>#NUDECOR DLI-480 WHITE VN-1L</v>
          </cell>
          <cell r="E1240" t="str">
            <v>ZFGD</v>
          </cell>
          <cell r="F1240" t="str">
            <v>PC</v>
          </cell>
          <cell r="G1240" t="str">
            <v>2</v>
          </cell>
          <cell r="H1240" t="str">
            <v>RETAIL</v>
          </cell>
          <cell r="I1240" t="str">
            <v>25</v>
          </cell>
          <cell r="J1240" t="str">
            <v>APCT1</v>
          </cell>
          <cell r="K1240" t="str">
            <v>2502</v>
          </cell>
          <cell r="L1240" t="str">
            <v>DECOR</v>
          </cell>
          <cell r="M1240" t="str">
            <v>250223</v>
          </cell>
          <cell r="N1240" t="str">
            <v>DECORLOTUS BASE</v>
          </cell>
        </row>
        <row r="1241">
          <cell r="C1241" t="str">
            <v>100003955</v>
          </cell>
          <cell r="D1241" t="str">
            <v>#NUDECOR DLI-480 BASE A VN-1L</v>
          </cell>
          <cell r="E1241" t="str">
            <v>ZFGD</v>
          </cell>
          <cell r="F1241" t="str">
            <v>PC</v>
          </cell>
          <cell r="G1241" t="str">
            <v>2</v>
          </cell>
          <cell r="H1241" t="str">
            <v>RETAIL</v>
          </cell>
          <cell r="I1241" t="str">
            <v>25</v>
          </cell>
          <cell r="J1241" t="str">
            <v>APCT1</v>
          </cell>
          <cell r="K1241" t="str">
            <v>2502</v>
          </cell>
          <cell r="L1241" t="str">
            <v>DECOR</v>
          </cell>
          <cell r="M1241" t="str">
            <v>250223</v>
          </cell>
          <cell r="N1241" t="str">
            <v>DECORLOTUS BASE</v>
          </cell>
        </row>
        <row r="1242">
          <cell r="C1242" t="str">
            <v>100003956</v>
          </cell>
          <cell r="D1242" t="str">
            <v>#NUDECOR DLI-480 BASE B VN-1L</v>
          </cell>
          <cell r="E1242" t="str">
            <v>ZFGD</v>
          </cell>
          <cell r="F1242" t="str">
            <v>PC</v>
          </cell>
          <cell r="G1242" t="str">
            <v>2</v>
          </cell>
          <cell r="H1242" t="str">
            <v>RETAIL</v>
          </cell>
          <cell r="I1242" t="str">
            <v>25</v>
          </cell>
          <cell r="J1242" t="str">
            <v>APCT1</v>
          </cell>
          <cell r="K1242" t="str">
            <v>2502</v>
          </cell>
          <cell r="L1242" t="str">
            <v>DECOR</v>
          </cell>
          <cell r="M1242" t="str">
            <v>250223</v>
          </cell>
          <cell r="N1242" t="str">
            <v>DECORLOTUS BASE</v>
          </cell>
        </row>
        <row r="1243">
          <cell r="C1243" t="str">
            <v>100003957</v>
          </cell>
          <cell r="D1243" t="str">
            <v>#NUDECOR DLI-480 BASE D VN-1L</v>
          </cell>
          <cell r="E1243" t="str">
            <v>ZFGD</v>
          </cell>
          <cell r="F1243" t="str">
            <v>PC</v>
          </cell>
          <cell r="G1243" t="str">
            <v>2</v>
          </cell>
          <cell r="H1243" t="str">
            <v>RETAIL</v>
          </cell>
          <cell r="I1243" t="str">
            <v>25</v>
          </cell>
          <cell r="J1243" t="str">
            <v>APCT1</v>
          </cell>
          <cell r="K1243" t="str">
            <v>2502</v>
          </cell>
          <cell r="L1243" t="str">
            <v>DECOR</v>
          </cell>
          <cell r="M1243" t="str">
            <v>250223</v>
          </cell>
          <cell r="N1243" t="str">
            <v>DECORLOTUS BASE</v>
          </cell>
        </row>
        <row r="1244">
          <cell r="C1244" t="str">
            <v>100003958</v>
          </cell>
          <cell r="D1244" t="str">
            <v>DECORLOTUS DI-400 WHITE VN-0.8L</v>
          </cell>
          <cell r="E1244" t="str">
            <v>ZFGD</v>
          </cell>
          <cell r="F1244" t="str">
            <v>PC</v>
          </cell>
          <cell r="G1244" t="str">
            <v>2</v>
          </cell>
          <cell r="H1244" t="str">
            <v>RETAIL</v>
          </cell>
          <cell r="I1244" t="str">
            <v>25</v>
          </cell>
          <cell r="J1244" t="str">
            <v>APCT1</v>
          </cell>
          <cell r="K1244" t="str">
            <v>2502</v>
          </cell>
          <cell r="L1244" t="str">
            <v>DECOR</v>
          </cell>
          <cell r="M1244" t="str">
            <v>250221</v>
          </cell>
          <cell r="N1244" t="str">
            <v>DECORCRYL BASE</v>
          </cell>
        </row>
        <row r="1245">
          <cell r="C1245" t="str">
            <v>100003959</v>
          </cell>
          <cell r="D1245" t="str">
            <v>DECORLOTUS DI-400 BASE A VN-0.8L</v>
          </cell>
          <cell r="E1245" t="str">
            <v>ZFGD</v>
          </cell>
          <cell r="F1245" t="str">
            <v>PC</v>
          </cell>
          <cell r="G1245" t="str">
            <v>2</v>
          </cell>
          <cell r="H1245" t="str">
            <v>RETAIL</v>
          </cell>
          <cell r="I1245" t="str">
            <v>25</v>
          </cell>
          <cell r="J1245" t="str">
            <v>APCT1</v>
          </cell>
          <cell r="K1245" t="str">
            <v>2502</v>
          </cell>
          <cell r="L1245" t="str">
            <v>DECOR</v>
          </cell>
          <cell r="M1245" t="str">
            <v>250221</v>
          </cell>
          <cell r="N1245" t="str">
            <v>DECORCRYL BASE</v>
          </cell>
        </row>
        <row r="1246">
          <cell r="C1246" t="str">
            <v>100003960</v>
          </cell>
          <cell r="D1246" t="str">
            <v>DECORLOTUS DI-400 BASE B VN-0.8L</v>
          </cell>
          <cell r="E1246" t="str">
            <v>ZFGD</v>
          </cell>
          <cell r="F1246" t="str">
            <v>PC</v>
          </cell>
          <cell r="G1246" t="str">
            <v>2</v>
          </cell>
          <cell r="H1246" t="str">
            <v>RETAIL</v>
          </cell>
          <cell r="I1246" t="str">
            <v>25</v>
          </cell>
          <cell r="J1246" t="str">
            <v>APCT1</v>
          </cell>
          <cell r="K1246" t="str">
            <v>2502</v>
          </cell>
          <cell r="L1246" t="str">
            <v>DECOR</v>
          </cell>
          <cell r="M1246" t="str">
            <v>250221</v>
          </cell>
          <cell r="N1246" t="str">
            <v>DECORCRYL BASE</v>
          </cell>
        </row>
        <row r="1247">
          <cell r="C1247" t="str">
            <v>100003961</v>
          </cell>
          <cell r="D1247" t="str">
            <v>DECORLOTUS DI-400 BASE D VN-0.8L</v>
          </cell>
          <cell r="E1247" t="str">
            <v>ZFGD</v>
          </cell>
          <cell r="F1247" t="str">
            <v>PC</v>
          </cell>
          <cell r="G1247" t="str">
            <v>2</v>
          </cell>
          <cell r="H1247" t="str">
            <v>RETAIL</v>
          </cell>
          <cell r="I1247" t="str">
            <v>25</v>
          </cell>
          <cell r="J1247" t="str">
            <v>APCT1</v>
          </cell>
          <cell r="K1247" t="str">
            <v>2502</v>
          </cell>
          <cell r="L1247" t="str">
            <v>DECOR</v>
          </cell>
          <cell r="M1247" t="str">
            <v>250221</v>
          </cell>
          <cell r="N1247" t="str">
            <v>DECORCRYL BASE</v>
          </cell>
        </row>
        <row r="1248">
          <cell r="C1248" t="str">
            <v>100003962</v>
          </cell>
          <cell r="D1248" t="str">
            <v>#NUECO EE-4010 WHITE VN-1L</v>
          </cell>
          <cell r="E1248" t="str">
            <v>ZFGD</v>
          </cell>
          <cell r="F1248" t="str">
            <v>PC</v>
          </cell>
          <cell r="G1248" t="str">
            <v>2</v>
          </cell>
          <cell r="H1248" t="str">
            <v>RETAIL</v>
          </cell>
          <cell r="I1248" t="str">
            <v>25</v>
          </cell>
          <cell r="J1248" t="str">
            <v>APCT1</v>
          </cell>
          <cell r="K1248" t="str">
            <v>2501</v>
          </cell>
          <cell r="L1248" t="str">
            <v>ECO</v>
          </cell>
          <cell r="M1248" t="str">
            <v>250107</v>
          </cell>
          <cell r="N1248" t="str">
            <v>ECO EMULSION BASE</v>
          </cell>
        </row>
        <row r="1249">
          <cell r="C1249" t="str">
            <v>100003963</v>
          </cell>
          <cell r="D1249" t="str">
            <v>#NUECO EE-4010 BASE A VN-1L</v>
          </cell>
          <cell r="E1249" t="str">
            <v>ZFGD</v>
          </cell>
          <cell r="F1249" t="str">
            <v>PC</v>
          </cell>
          <cell r="G1249" t="str">
            <v>2</v>
          </cell>
          <cell r="H1249" t="str">
            <v>RETAIL</v>
          </cell>
          <cell r="I1249" t="str">
            <v>25</v>
          </cell>
          <cell r="J1249" t="str">
            <v>APCT1</v>
          </cell>
          <cell r="K1249" t="str">
            <v>2501</v>
          </cell>
          <cell r="L1249" t="str">
            <v>ECO</v>
          </cell>
          <cell r="M1249" t="str">
            <v>250107</v>
          </cell>
          <cell r="N1249" t="str">
            <v>ECO EMULSION BASE</v>
          </cell>
        </row>
        <row r="1250">
          <cell r="C1250" t="str">
            <v>100003964</v>
          </cell>
          <cell r="D1250" t="str">
            <v>#NUECO EE-4010 BASE B VN-1L</v>
          </cell>
          <cell r="E1250" t="str">
            <v>ZFGD</v>
          </cell>
          <cell r="F1250" t="str">
            <v>PC</v>
          </cell>
          <cell r="G1250" t="str">
            <v>2</v>
          </cell>
          <cell r="H1250" t="str">
            <v>RETAIL</v>
          </cell>
          <cell r="I1250" t="str">
            <v>25</v>
          </cell>
          <cell r="J1250" t="str">
            <v>APCT1</v>
          </cell>
          <cell r="K1250" t="str">
            <v>2501</v>
          </cell>
          <cell r="L1250" t="str">
            <v>ECO</v>
          </cell>
          <cell r="M1250" t="str">
            <v>250107</v>
          </cell>
          <cell r="N1250" t="str">
            <v>ECO EMULSION BASE</v>
          </cell>
        </row>
        <row r="1251">
          <cell r="C1251" t="str">
            <v>100003965</v>
          </cell>
          <cell r="D1251" t="str">
            <v>#NUECO EE-4010 BASE D VN-1L</v>
          </cell>
          <cell r="E1251" t="str">
            <v>ZFGD</v>
          </cell>
          <cell r="F1251" t="str">
            <v>PC</v>
          </cell>
          <cell r="G1251" t="str">
            <v>2</v>
          </cell>
          <cell r="H1251" t="str">
            <v>RETAIL</v>
          </cell>
          <cell r="I1251" t="str">
            <v>25</v>
          </cell>
          <cell r="J1251" t="str">
            <v>APCT1</v>
          </cell>
          <cell r="K1251" t="str">
            <v>2501</v>
          </cell>
          <cell r="L1251" t="str">
            <v>ECO</v>
          </cell>
          <cell r="M1251" t="str">
            <v>250107</v>
          </cell>
          <cell r="N1251" t="str">
            <v>ECO EMULSION BASE</v>
          </cell>
        </row>
        <row r="1252">
          <cell r="C1252" t="str">
            <v>100003966</v>
          </cell>
          <cell r="D1252" t="str">
            <v>#NUECO PRIMER EAR-4001 VN-1L</v>
          </cell>
          <cell r="E1252" t="str">
            <v>ZFGD</v>
          </cell>
          <cell r="F1252" t="str">
            <v>PC</v>
          </cell>
          <cell r="G1252" t="str">
            <v>2</v>
          </cell>
          <cell r="H1252" t="str">
            <v>RETAIL</v>
          </cell>
          <cell r="I1252" t="str">
            <v>25</v>
          </cell>
          <cell r="J1252" t="str">
            <v>APCT1</v>
          </cell>
          <cell r="K1252" t="str">
            <v>2501</v>
          </cell>
          <cell r="L1252" t="str">
            <v>ECO</v>
          </cell>
          <cell r="M1252" t="str">
            <v>250102</v>
          </cell>
          <cell r="N1252" t="str">
            <v>ECO EMULSION PRIMER</v>
          </cell>
        </row>
        <row r="1253">
          <cell r="C1253" t="str">
            <v>100003967</v>
          </cell>
          <cell r="D1253" t="str">
            <v>UPR-960 BASE A VN-1K</v>
          </cell>
          <cell r="E1253" t="str">
            <v>ZFGD</v>
          </cell>
          <cell r="F1253" t="str">
            <v>PC</v>
          </cell>
          <cell r="G1253" t="str">
            <v>2</v>
          </cell>
          <cell r="H1253" t="str">
            <v>RETAIL</v>
          </cell>
          <cell r="I1253" t="str">
            <v>2D</v>
          </cell>
          <cell r="J1253" t="str">
            <v>APCT2</v>
          </cell>
          <cell r="K1253" t="str">
            <v>2D01</v>
          </cell>
          <cell r="L1253" t="str">
            <v>ULTRAPROOF</v>
          </cell>
          <cell r="M1253" t="str">
            <v>2D0101</v>
          </cell>
          <cell r="N1253" t="str">
            <v>ULTRAPROOF RMX</v>
          </cell>
        </row>
        <row r="1254">
          <cell r="C1254" t="str">
            <v>100003968</v>
          </cell>
          <cell r="D1254" t="str">
            <v>UPR-960 BASE B VN-1K</v>
          </cell>
          <cell r="E1254" t="str">
            <v>ZFGD</v>
          </cell>
          <cell r="F1254" t="str">
            <v>PC</v>
          </cell>
          <cell r="G1254" t="str">
            <v>2</v>
          </cell>
          <cell r="H1254" t="str">
            <v>RETAIL</v>
          </cell>
          <cell r="I1254" t="str">
            <v>2D</v>
          </cell>
          <cell r="J1254" t="str">
            <v>APCT2</v>
          </cell>
          <cell r="K1254" t="str">
            <v>2D01</v>
          </cell>
          <cell r="L1254" t="str">
            <v>ULTRAPROOF</v>
          </cell>
          <cell r="M1254" t="str">
            <v>2D0101</v>
          </cell>
          <cell r="N1254" t="str">
            <v>ULTRAPROOF RMX</v>
          </cell>
        </row>
        <row r="1255">
          <cell r="C1255" t="str">
            <v>100003969</v>
          </cell>
          <cell r="D1255" t="str">
            <v>UPR-960 BASE D VN-1K</v>
          </cell>
          <cell r="E1255" t="str">
            <v>ZFGD</v>
          </cell>
          <cell r="F1255" t="str">
            <v>PC</v>
          </cell>
          <cell r="G1255" t="str">
            <v>2</v>
          </cell>
          <cell r="H1255" t="str">
            <v>RETAIL</v>
          </cell>
          <cell r="I1255" t="str">
            <v>2D</v>
          </cell>
          <cell r="J1255" t="str">
            <v>APCT2</v>
          </cell>
          <cell r="K1255" t="str">
            <v>2D01</v>
          </cell>
          <cell r="L1255" t="str">
            <v>ULTRAPROOF</v>
          </cell>
          <cell r="M1255" t="str">
            <v>2D0101</v>
          </cell>
          <cell r="N1255" t="str">
            <v>ULTRAPROOF RMX</v>
          </cell>
        </row>
        <row r="1256">
          <cell r="C1256" t="str">
            <v>100003970</v>
          </cell>
          <cell r="D1256" t="str">
            <v>DECORSHIELD DW-500 WHITE VN-5L</v>
          </cell>
          <cell r="E1256" t="str">
            <v>ZFGD</v>
          </cell>
          <cell r="F1256" t="str">
            <v>PC</v>
          </cell>
          <cell r="G1256" t="str">
            <v>2</v>
          </cell>
          <cell r="H1256" t="str">
            <v>RETAIL</v>
          </cell>
          <cell r="I1256" t="str">
            <v>25</v>
          </cell>
          <cell r="J1256" t="str">
            <v>APCT1</v>
          </cell>
          <cell r="K1256" t="str">
            <v>2502</v>
          </cell>
          <cell r="L1256" t="str">
            <v>DECOR</v>
          </cell>
          <cell r="M1256" t="str">
            <v>250203</v>
          </cell>
          <cell r="N1256" t="str">
            <v>DECORSHIELD RMX</v>
          </cell>
        </row>
        <row r="1257">
          <cell r="C1257" t="str">
            <v>100003971</v>
          </cell>
          <cell r="D1257" t="str">
            <v>DECORSHIELD DW-500 BASE A VN-5L</v>
          </cell>
          <cell r="E1257" t="str">
            <v>ZFGD</v>
          </cell>
          <cell r="F1257" t="str">
            <v>PC</v>
          </cell>
          <cell r="G1257" t="str">
            <v>2</v>
          </cell>
          <cell r="H1257" t="str">
            <v>RETAIL</v>
          </cell>
          <cell r="I1257" t="str">
            <v>25</v>
          </cell>
          <cell r="J1257" t="str">
            <v>APCT1</v>
          </cell>
          <cell r="K1257" t="str">
            <v>2502</v>
          </cell>
          <cell r="L1257" t="str">
            <v>DECOR</v>
          </cell>
          <cell r="M1257" t="str">
            <v>250203</v>
          </cell>
          <cell r="N1257" t="str">
            <v>DECORSHIELD RMX</v>
          </cell>
        </row>
        <row r="1258">
          <cell r="C1258" t="str">
            <v>100003972</v>
          </cell>
          <cell r="D1258" t="str">
            <v>DECORSHIELD DW-500 BASE B VN-5L</v>
          </cell>
          <cell r="E1258" t="str">
            <v>ZFGD</v>
          </cell>
          <cell r="F1258" t="str">
            <v>PC</v>
          </cell>
          <cell r="G1258" t="str">
            <v>2</v>
          </cell>
          <cell r="H1258" t="str">
            <v>RETAIL</v>
          </cell>
          <cell r="I1258" t="str">
            <v>25</v>
          </cell>
          <cell r="J1258" t="str">
            <v>APCT1</v>
          </cell>
          <cell r="K1258" t="str">
            <v>2502</v>
          </cell>
          <cell r="L1258" t="str">
            <v>DECOR</v>
          </cell>
          <cell r="M1258" t="str">
            <v>250203</v>
          </cell>
          <cell r="N1258" t="str">
            <v>DECORSHIELD RMX</v>
          </cell>
        </row>
        <row r="1259">
          <cell r="C1259" t="str">
            <v>100003973</v>
          </cell>
          <cell r="D1259" t="str">
            <v>DECORSHIELD DW-500 BASE D VN-5L</v>
          </cell>
          <cell r="E1259" t="str">
            <v>ZFGD</v>
          </cell>
          <cell r="F1259" t="str">
            <v>PC</v>
          </cell>
          <cell r="G1259" t="str">
            <v>2</v>
          </cell>
          <cell r="H1259" t="str">
            <v>RETAIL</v>
          </cell>
          <cell r="I1259" t="str">
            <v>25</v>
          </cell>
          <cell r="J1259" t="str">
            <v>APCT1</v>
          </cell>
          <cell r="K1259" t="str">
            <v>2502</v>
          </cell>
          <cell r="L1259" t="str">
            <v>DECOR</v>
          </cell>
          <cell r="M1259" t="str">
            <v>250203</v>
          </cell>
          <cell r="N1259" t="str">
            <v>DECORSHIELD RMX</v>
          </cell>
        </row>
        <row r="1260">
          <cell r="C1260" t="str">
            <v>100003974</v>
          </cell>
          <cell r="D1260" t="str">
            <v>DECOR PRIMER AR-300 VN-5L</v>
          </cell>
          <cell r="E1260" t="str">
            <v>ZFGD</v>
          </cell>
          <cell r="F1260" t="str">
            <v>PC</v>
          </cell>
          <cell r="G1260" t="str">
            <v>2</v>
          </cell>
          <cell r="H1260" t="str">
            <v>RETAIL</v>
          </cell>
          <cell r="I1260" t="str">
            <v>25</v>
          </cell>
          <cell r="J1260" t="str">
            <v>APCT1</v>
          </cell>
          <cell r="K1260" t="str">
            <v>2502</v>
          </cell>
          <cell r="L1260" t="str">
            <v>DECOR</v>
          </cell>
          <cell r="M1260" t="str">
            <v>250209</v>
          </cell>
          <cell r="N1260" t="str">
            <v>DECOR PRIMER WB</v>
          </cell>
        </row>
        <row r="1261">
          <cell r="C1261" t="str">
            <v>100003975</v>
          </cell>
          <cell r="D1261" t="str">
            <v>#NUDECOR DLI-480 WHITE VN-5L</v>
          </cell>
          <cell r="E1261" t="str">
            <v>ZFGD</v>
          </cell>
          <cell r="F1261" t="str">
            <v>PC</v>
          </cell>
          <cell r="G1261" t="str">
            <v>2</v>
          </cell>
          <cell r="H1261" t="str">
            <v>RETAIL</v>
          </cell>
          <cell r="I1261" t="str">
            <v>25</v>
          </cell>
          <cell r="J1261" t="str">
            <v>APCT1</v>
          </cell>
          <cell r="K1261" t="str">
            <v>2502</v>
          </cell>
          <cell r="L1261" t="str">
            <v>DECOR</v>
          </cell>
          <cell r="M1261" t="str">
            <v>250223</v>
          </cell>
          <cell r="N1261" t="str">
            <v>DECORLOTUS BASE</v>
          </cell>
        </row>
        <row r="1262">
          <cell r="C1262" t="str">
            <v>100003976</v>
          </cell>
          <cell r="D1262" t="str">
            <v>#NUDECOR DLI-480 BASE A VN-5L</v>
          </cell>
          <cell r="E1262" t="str">
            <v>ZFGD</v>
          </cell>
          <cell r="F1262" t="str">
            <v>PC</v>
          </cell>
          <cell r="G1262" t="str">
            <v>2</v>
          </cell>
          <cell r="H1262" t="str">
            <v>RETAIL</v>
          </cell>
          <cell r="I1262" t="str">
            <v>25</v>
          </cell>
          <cell r="J1262" t="str">
            <v>APCT1</v>
          </cell>
          <cell r="K1262" t="str">
            <v>2502</v>
          </cell>
          <cell r="L1262" t="str">
            <v>DECOR</v>
          </cell>
          <cell r="M1262" t="str">
            <v>250223</v>
          </cell>
          <cell r="N1262" t="str">
            <v>DECORLOTUS BASE</v>
          </cell>
        </row>
        <row r="1263">
          <cell r="C1263" t="str">
            <v>100003977</v>
          </cell>
          <cell r="D1263" t="str">
            <v>#NUDECOR DLI-480 BASE B VN-5L</v>
          </cell>
          <cell r="E1263" t="str">
            <v>ZFGD</v>
          </cell>
          <cell r="F1263" t="str">
            <v>PC</v>
          </cell>
          <cell r="G1263" t="str">
            <v>2</v>
          </cell>
          <cell r="H1263" t="str">
            <v>RETAIL</v>
          </cell>
          <cell r="I1263" t="str">
            <v>25</v>
          </cell>
          <cell r="J1263" t="str">
            <v>APCT1</v>
          </cell>
          <cell r="K1263" t="str">
            <v>2502</v>
          </cell>
          <cell r="L1263" t="str">
            <v>DECOR</v>
          </cell>
          <cell r="M1263" t="str">
            <v>250223</v>
          </cell>
          <cell r="N1263" t="str">
            <v>DECORLOTUS BASE</v>
          </cell>
        </row>
        <row r="1264">
          <cell r="C1264" t="str">
            <v>100003978</v>
          </cell>
          <cell r="D1264" t="str">
            <v>#NUDECOR DLI-480 BASE D VN-5L</v>
          </cell>
          <cell r="E1264" t="str">
            <v>ZFGD</v>
          </cell>
          <cell r="F1264" t="str">
            <v>PC</v>
          </cell>
          <cell r="G1264" t="str">
            <v>2</v>
          </cell>
          <cell r="H1264" t="str">
            <v>RETAIL</v>
          </cell>
          <cell r="I1264" t="str">
            <v>25</v>
          </cell>
          <cell r="J1264" t="str">
            <v>APCT1</v>
          </cell>
          <cell r="K1264" t="str">
            <v>2502</v>
          </cell>
          <cell r="L1264" t="str">
            <v>DECOR</v>
          </cell>
          <cell r="M1264" t="str">
            <v>250223</v>
          </cell>
          <cell r="N1264" t="str">
            <v>DECORLOTUS BASE</v>
          </cell>
        </row>
        <row r="1265">
          <cell r="C1265" t="str">
            <v>100003979</v>
          </cell>
          <cell r="D1265" t="str">
            <v>DECORLOTUS DI-400 WHITE VN-5L</v>
          </cell>
          <cell r="E1265" t="str">
            <v>ZFGD</v>
          </cell>
          <cell r="F1265" t="str">
            <v>PC</v>
          </cell>
          <cell r="G1265" t="str">
            <v>2</v>
          </cell>
          <cell r="H1265" t="str">
            <v>RETAIL</v>
          </cell>
          <cell r="I1265" t="str">
            <v>25</v>
          </cell>
          <cell r="J1265" t="str">
            <v>APCT1</v>
          </cell>
          <cell r="K1265" t="str">
            <v>2502</v>
          </cell>
          <cell r="L1265" t="str">
            <v>DECOR</v>
          </cell>
          <cell r="M1265" t="str">
            <v>250221</v>
          </cell>
          <cell r="N1265" t="str">
            <v>DECORCRYL BASE</v>
          </cell>
        </row>
        <row r="1266">
          <cell r="C1266" t="str">
            <v>100003980</v>
          </cell>
          <cell r="D1266" t="str">
            <v>DECORLOTUS DI-400 BASE A VN-5L</v>
          </cell>
          <cell r="E1266" t="str">
            <v>ZFGD</v>
          </cell>
          <cell r="F1266" t="str">
            <v>PC</v>
          </cell>
          <cell r="G1266" t="str">
            <v>2</v>
          </cell>
          <cell r="H1266" t="str">
            <v>RETAIL</v>
          </cell>
          <cell r="I1266" t="str">
            <v>25</v>
          </cell>
          <cell r="J1266" t="str">
            <v>APCT1</v>
          </cell>
          <cell r="K1266" t="str">
            <v>2502</v>
          </cell>
          <cell r="L1266" t="str">
            <v>DECOR</v>
          </cell>
          <cell r="M1266" t="str">
            <v>250221</v>
          </cell>
          <cell r="N1266" t="str">
            <v>DECORCRYL BASE</v>
          </cell>
        </row>
        <row r="1267">
          <cell r="C1267" t="str">
            <v>100003981</v>
          </cell>
          <cell r="D1267" t="str">
            <v>DECORLOTUS DI-400 BASE B VN-5L</v>
          </cell>
          <cell r="E1267" t="str">
            <v>ZFGD</v>
          </cell>
          <cell r="F1267" t="str">
            <v>PC</v>
          </cell>
          <cell r="G1267" t="str">
            <v>2</v>
          </cell>
          <cell r="H1267" t="str">
            <v>RETAIL</v>
          </cell>
          <cell r="I1267" t="str">
            <v>25</v>
          </cell>
          <cell r="J1267" t="str">
            <v>APCT1</v>
          </cell>
          <cell r="K1267" t="str">
            <v>2502</v>
          </cell>
          <cell r="L1267" t="str">
            <v>DECOR</v>
          </cell>
          <cell r="M1267" t="str">
            <v>250221</v>
          </cell>
          <cell r="N1267" t="str">
            <v>DECORCRYL BASE</v>
          </cell>
        </row>
        <row r="1268">
          <cell r="C1268" t="str">
            <v>100003982</v>
          </cell>
          <cell r="D1268" t="str">
            <v>DECORLOTUS DI-400 BASE D VN-5L</v>
          </cell>
          <cell r="E1268" t="str">
            <v>ZFGD</v>
          </cell>
          <cell r="F1268" t="str">
            <v>PC</v>
          </cell>
          <cell r="G1268" t="str">
            <v>2</v>
          </cell>
          <cell r="H1268" t="str">
            <v>RETAIL</v>
          </cell>
          <cell r="I1268" t="str">
            <v>25</v>
          </cell>
          <cell r="J1268" t="str">
            <v>APCT1</v>
          </cell>
          <cell r="K1268" t="str">
            <v>2502</v>
          </cell>
          <cell r="L1268" t="str">
            <v>DECOR</v>
          </cell>
          <cell r="M1268" t="str">
            <v>250221</v>
          </cell>
          <cell r="N1268" t="str">
            <v>DECORCRYL BASE</v>
          </cell>
        </row>
        <row r="1269">
          <cell r="C1269" t="str">
            <v>100003983</v>
          </cell>
          <cell r="D1269" t="str">
            <v>DECORMAX DM-4010 WHITE VN-5L</v>
          </cell>
          <cell r="E1269" t="str">
            <v>ZFGD</v>
          </cell>
          <cell r="F1269" t="str">
            <v>PC</v>
          </cell>
          <cell r="G1269" t="str">
            <v>2</v>
          </cell>
          <cell r="H1269" t="str">
            <v>RETAIL</v>
          </cell>
          <cell r="I1269" t="str">
            <v>25</v>
          </cell>
          <cell r="J1269" t="str">
            <v>APCT1</v>
          </cell>
          <cell r="K1269" t="str">
            <v>2501</v>
          </cell>
          <cell r="L1269" t="str">
            <v>ECO</v>
          </cell>
          <cell r="M1269" t="str">
            <v>250107</v>
          </cell>
          <cell r="N1269" t="str">
            <v>ECO EMULSION BASE</v>
          </cell>
        </row>
        <row r="1270">
          <cell r="C1270" t="str">
            <v>100003984</v>
          </cell>
          <cell r="D1270" t="str">
            <v>DECORMAX DM-4010 BASE A VN-5L</v>
          </cell>
          <cell r="E1270" t="str">
            <v>ZFGD</v>
          </cell>
          <cell r="F1270" t="str">
            <v>PC</v>
          </cell>
          <cell r="G1270" t="str">
            <v>2</v>
          </cell>
          <cell r="H1270" t="str">
            <v>RETAIL</v>
          </cell>
          <cell r="I1270" t="str">
            <v>25</v>
          </cell>
          <cell r="J1270" t="str">
            <v>APCT1</v>
          </cell>
          <cell r="K1270" t="str">
            <v>2501</v>
          </cell>
          <cell r="L1270" t="str">
            <v>ECO</v>
          </cell>
          <cell r="M1270" t="str">
            <v>250107</v>
          </cell>
          <cell r="N1270" t="str">
            <v>ECO EMULSION BASE</v>
          </cell>
        </row>
        <row r="1271">
          <cell r="C1271" t="str">
            <v>100003985</v>
          </cell>
          <cell r="D1271" t="str">
            <v>DECORMAX DM-4010 BASE B VN-5L</v>
          </cell>
          <cell r="E1271" t="str">
            <v>ZFGD</v>
          </cell>
          <cell r="F1271" t="str">
            <v>PC</v>
          </cell>
          <cell r="G1271" t="str">
            <v>2</v>
          </cell>
          <cell r="H1271" t="str">
            <v>RETAIL</v>
          </cell>
          <cell r="I1271" t="str">
            <v>25</v>
          </cell>
          <cell r="J1271" t="str">
            <v>APCT1</v>
          </cell>
          <cell r="K1271" t="str">
            <v>2501</v>
          </cell>
          <cell r="L1271" t="str">
            <v>ECO</v>
          </cell>
          <cell r="M1271" t="str">
            <v>250107</v>
          </cell>
          <cell r="N1271" t="str">
            <v>ECO EMULSION BASE</v>
          </cell>
        </row>
        <row r="1272">
          <cell r="C1272" t="str">
            <v>100003986</v>
          </cell>
          <cell r="D1272" t="str">
            <v>DECORMAX DM-4010 BASE D VN-5L</v>
          </cell>
          <cell r="E1272" t="str">
            <v>ZFGD</v>
          </cell>
          <cell r="F1272" t="str">
            <v>PC</v>
          </cell>
          <cell r="G1272" t="str">
            <v>2</v>
          </cell>
          <cell r="H1272" t="str">
            <v>RETAIL</v>
          </cell>
          <cell r="I1272" t="str">
            <v>25</v>
          </cell>
          <cell r="J1272" t="str">
            <v>APCT1</v>
          </cell>
          <cell r="K1272" t="str">
            <v>2501</v>
          </cell>
          <cell r="L1272" t="str">
            <v>ECO</v>
          </cell>
          <cell r="M1272" t="str">
            <v>250107</v>
          </cell>
          <cell r="N1272" t="str">
            <v>ECO EMULSION BASE</v>
          </cell>
        </row>
        <row r="1273">
          <cell r="C1273" t="str">
            <v>100003987</v>
          </cell>
          <cell r="D1273" t="str">
            <v>DECOR PRIMER EAR-4001 VN-5L</v>
          </cell>
          <cell r="E1273" t="str">
            <v>ZFGD</v>
          </cell>
          <cell r="F1273" t="str">
            <v>PC</v>
          </cell>
          <cell r="G1273" t="str">
            <v>2</v>
          </cell>
          <cell r="H1273" t="str">
            <v>RETAIL</v>
          </cell>
          <cell r="I1273" t="str">
            <v>25</v>
          </cell>
          <cell r="J1273" t="str">
            <v>APCT1</v>
          </cell>
          <cell r="K1273" t="str">
            <v>2501</v>
          </cell>
          <cell r="L1273" t="str">
            <v>ECO</v>
          </cell>
          <cell r="M1273" t="str">
            <v>250102</v>
          </cell>
          <cell r="N1273" t="str">
            <v>ECO EMULSION PRIMER</v>
          </cell>
        </row>
        <row r="1274">
          <cell r="C1274" t="str">
            <v>100003988</v>
          </cell>
          <cell r="D1274" t="str">
            <v>UPR-960 BASE A VN-6K</v>
          </cell>
          <cell r="E1274" t="str">
            <v>ZFGD</v>
          </cell>
          <cell r="F1274" t="str">
            <v>PC</v>
          </cell>
          <cell r="G1274" t="str">
            <v>2</v>
          </cell>
          <cell r="H1274" t="str">
            <v>RETAIL</v>
          </cell>
          <cell r="I1274" t="str">
            <v>2D</v>
          </cell>
          <cell r="J1274" t="str">
            <v>APCT2</v>
          </cell>
          <cell r="K1274" t="str">
            <v>2D01</v>
          </cell>
          <cell r="L1274" t="str">
            <v>ULTRAPROOF</v>
          </cell>
          <cell r="M1274" t="str">
            <v>2D0101</v>
          </cell>
          <cell r="N1274" t="str">
            <v>ULTRAPROOF RMX</v>
          </cell>
        </row>
        <row r="1275">
          <cell r="C1275" t="str">
            <v>100003989</v>
          </cell>
          <cell r="D1275" t="str">
            <v>UPR-960 BASE B VN-6K</v>
          </cell>
          <cell r="E1275" t="str">
            <v>ZFGD</v>
          </cell>
          <cell r="F1275" t="str">
            <v>PC</v>
          </cell>
          <cell r="G1275" t="str">
            <v>2</v>
          </cell>
          <cell r="H1275" t="str">
            <v>RETAIL</v>
          </cell>
          <cell r="I1275" t="str">
            <v>2D</v>
          </cell>
          <cell r="J1275" t="str">
            <v>APCT2</v>
          </cell>
          <cell r="K1275" t="str">
            <v>2D01</v>
          </cell>
          <cell r="L1275" t="str">
            <v>ULTRAPROOF</v>
          </cell>
          <cell r="M1275" t="str">
            <v>2D0101</v>
          </cell>
          <cell r="N1275" t="str">
            <v>ULTRAPROOF RMX</v>
          </cell>
        </row>
        <row r="1276">
          <cell r="C1276" t="str">
            <v>100003990</v>
          </cell>
          <cell r="D1276" t="str">
            <v>UPR-960 BASE D VN-6K</v>
          </cell>
          <cell r="E1276" t="str">
            <v>ZFGD</v>
          </cell>
          <cell r="F1276" t="str">
            <v>PC</v>
          </cell>
          <cell r="G1276" t="str">
            <v>2</v>
          </cell>
          <cell r="H1276" t="str">
            <v>RETAIL</v>
          </cell>
          <cell r="I1276" t="str">
            <v>2D</v>
          </cell>
          <cell r="J1276" t="str">
            <v>APCT2</v>
          </cell>
          <cell r="K1276" t="str">
            <v>2D01</v>
          </cell>
          <cell r="L1276" t="str">
            <v>ULTRAPROOF</v>
          </cell>
          <cell r="M1276" t="str">
            <v>2D0101</v>
          </cell>
          <cell r="N1276" t="str">
            <v>ULTRAPROOF RMX</v>
          </cell>
        </row>
        <row r="1277">
          <cell r="C1277" t="str">
            <v>100003991</v>
          </cell>
          <cell r="D1277" t="str">
            <v>DECORSHIELD DW-500 WHITE VN-18LP</v>
          </cell>
          <cell r="E1277" t="str">
            <v>ZFGD</v>
          </cell>
          <cell r="F1277" t="str">
            <v>PC</v>
          </cell>
          <cell r="G1277" t="str">
            <v>2</v>
          </cell>
          <cell r="H1277" t="str">
            <v>RETAIL</v>
          </cell>
          <cell r="I1277" t="str">
            <v>25</v>
          </cell>
          <cell r="J1277" t="str">
            <v>APCT1</v>
          </cell>
          <cell r="K1277" t="str">
            <v>2502</v>
          </cell>
          <cell r="L1277" t="str">
            <v>DECOR</v>
          </cell>
          <cell r="M1277" t="str">
            <v>250203</v>
          </cell>
          <cell r="N1277" t="str">
            <v>DECORSHIELD RMX</v>
          </cell>
        </row>
        <row r="1278">
          <cell r="C1278" t="str">
            <v>100003992</v>
          </cell>
          <cell r="D1278" t="str">
            <v>DECORSHIELD DW-500 BASE A VN-18LP</v>
          </cell>
          <cell r="E1278" t="str">
            <v>ZFGD</v>
          </cell>
          <cell r="F1278" t="str">
            <v>PC</v>
          </cell>
          <cell r="G1278" t="str">
            <v>2</v>
          </cell>
          <cell r="H1278" t="str">
            <v>RETAIL</v>
          </cell>
          <cell r="I1278" t="str">
            <v>25</v>
          </cell>
          <cell r="J1278" t="str">
            <v>APCT1</v>
          </cell>
          <cell r="K1278" t="str">
            <v>2502</v>
          </cell>
          <cell r="L1278" t="str">
            <v>DECOR</v>
          </cell>
          <cell r="M1278" t="str">
            <v>250203</v>
          </cell>
          <cell r="N1278" t="str">
            <v>DECORSHIELD RMX</v>
          </cell>
        </row>
        <row r="1279">
          <cell r="C1279" t="str">
            <v>100003993</v>
          </cell>
          <cell r="D1279" t="str">
            <v>DECORSHIELD DW-500 BASE B VN-18LP</v>
          </cell>
          <cell r="E1279" t="str">
            <v>ZFGD</v>
          </cell>
          <cell r="F1279" t="str">
            <v>PC</v>
          </cell>
          <cell r="G1279" t="str">
            <v>2</v>
          </cell>
          <cell r="H1279" t="str">
            <v>RETAIL</v>
          </cell>
          <cell r="I1279" t="str">
            <v>25</v>
          </cell>
          <cell r="J1279" t="str">
            <v>APCT1</v>
          </cell>
          <cell r="K1279" t="str">
            <v>2502</v>
          </cell>
          <cell r="L1279" t="str">
            <v>DECOR</v>
          </cell>
          <cell r="M1279" t="str">
            <v>250203</v>
          </cell>
          <cell r="N1279" t="str">
            <v>DECORSHIELD RMX</v>
          </cell>
        </row>
        <row r="1280">
          <cell r="C1280" t="str">
            <v>100003994</v>
          </cell>
          <cell r="D1280" t="str">
            <v>DECORSHIELD DW-500 BASE D VN-18LP</v>
          </cell>
          <cell r="E1280" t="str">
            <v>ZFGD</v>
          </cell>
          <cell r="F1280" t="str">
            <v>PC</v>
          </cell>
          <cell r="G1280" t="str">
            <v>2</v>
          </cell>
          <cell r="H1280" t="str">
            <v>RETAIL</v>
          </cell>
          <cell r="I1280" t="str">
            <v>25</v>
          </cell>
          <cell r="J1280" t="str">
            <v>APCT1</v>
          </cell>
          <cell r="K1280" t="str">
            <v>2502</v>
          </cell>
          <cell r="L1280" t="str">
            <v>DECOR</v>
          </cell>
          <cell r="M1280" t="str">
            <v>250203</v>
          </cell>
          <cell r="N1280" t="str">
            <v>DECORSHIELD RMX</v>
          </cell>
        </row>
        <row r="1281">
          <cell r="C1281" t="str">
            <v>100003995</v>
          </cell>
          <cell r="D1281" t="str">
            <v>DECOR PRIMER AR-300 VN-18LP</v>
          </cell>
          <cell r="E1281" t="str">
            <v>ZFGD</v>
          </cell>
          <cell r="F1281" t="str">
            <v>PC</v>
          </cell>
          <cell r="G1281" t="str">
            <v>2</v>
          </cell>
          <cell r="H1281" t="str">
            <v>RETAIL</v>
          </cell>
          <cell r="I1281" t="str">
            <v>25</v>
          </cell>
          <cell r="J1281" t="str">
            <v>APCT1</v>
          </cell>
          <cell r="K1281" t="str">
            <v>2502</v>
          </cell>
          <cell r="L1281" t="str">
            <v>DECOR</v>
          </cell>
          <cell r="M1281" t="str">
            <v>250209</v>
          </cell>
          <cell r="N1281" t="str">
            <v>DECOR PRIMER WB</v>
          </cell>
        </row>
        <row r="1282">
          <cell r="C1282" t="str">
            <v>100003996</v>
          </cell>
          <cell r="D1282" t="str">
            <v>#NUDECOR DLI-480 WHITE VN-18LP</v>
          </cell>
          <cell r="E1282" t="str">
            <v>ZFGD</v>
          </cell>
          <cell r="F1282" t="str">
            <v>PC</v>
          </cell>
          <cell r="G1282" t="str">
            <v>2</v>
          </cell>
          <cell r="H1282" t="str">
            <v>RETAIL</v>
          </cell>
          <cell r="I1282" t="str">
            <v>25</v>
          </cell>
          <cell r="J1282" t="str">
            <v>APCT1</v>
          </cell>
          <cell r="K1282" t="str">
            <v>2502</v>
          </cell>
          <cell r="L1282" t="str">
            <v>DECOR</v>
          </cell>
          <cell r="M1282" t="str">
            <v>250223</v>
          </cell>
          <cell r="N1282" t="str">
            <v>DECORLOTUS BASE</v>
          </cell>
        </row>
        <row r="1283">
          <cell r="C1283" t="str">
            <v>100003997</v>
          </cell>
          <cell r="D1283" t="str">
            <v>#NUDECOR DLI-480 BASE A VN-18LP</v>
          </cell>
          <cell r="E1283" t="str">
            <v>ZFGD</v>
          </cell>
          <cell r="F1283" t="str">
            <v>PC</v>
          </cell>
          <cell r="G1283" t="str">
            <v>2</v>
          </cell>
          <cell r="H1283" t="str">
            <v>RETAIL</v>
          </cell>
          <cell r="I1283" t="str">
            <v>25</v>
          </cell>
          <cell r="J1283" t="str">
            <v>APCT1</v>
          </cell>
          <cell r="K1283" t="str">
            <v>2502</v>
          </cell>
          <cell r="L1283" t="str">
            <v>DECOR</v>
          </cell>
          <cell r="M1283" t="str">
            <v>250223</v>
          </cell>
          <cell r="N1283" t="str">
            <v>DECORLOTUS BASE</v>
          </cell>
        </row>
        <row r="1284">
          <cell r="C1284" t="str">
            <v>100003998</v>
          </cell>
          <cell r="D1284" t="str">
            <v>#NUDECOR DLI-480 BASE B VN-18LP</v>
          </cell>
          <cell r="E1284" t="str">
            <v>ZFGD</v>
          </cell>
          <cell r="F1284" t="str">
            <v>PC</v>
          </cell>
          <cell r="G1284" t="str">
            <v>2</v>
          </cell>
          <cell r="H1284" t="str">
            <v>RETAIL</v>
          </cell>
          <cell r="I1284" t="str">
            <v>25</v>
          </cell>
          <cell r="J1284" t="str">
            <v>APCT1</v>
          </cell>
          <cell r="K1284" t="str">
            <v>2502</v>
          </cell>
          <cell r="L1284" t="str">
            <v>DECOR</v>
          </cell>
          <cell r="M1284" t="str">
            <v>250223</v>
          </cell>
          <cell r="N1284" t="str">
            <v>DECORLOTUS BASE</v>
          </cell>
        </row>
        <row r="1285">
          <cell r="C1285" t="str">
            <v>100003999</v>
          </cell>
          <cell r="D1285" t="str">
            <v>#NUDECOR DLI-480 BASE D VN-18LP</v>
          </cell>
          <cell r="E1285" t="str">
            <v>ZFGD</v>
          </cell>
          <cell r="F1285" t="str">
            <v>PC</v>
          </cell>
          <cell r="G1285" t="str">
            <v>2</v>
          </cell>
          <cell r="H1285" t="str">
            <v>RETAIL</v>
          </cell>
          <cell r="I1285" t="str">
            <v>25</v>
          </cell>
          <cell r="J1285" t="str">
            <v>APCT1</v>
          </cell>
          <cell r="K1285" t="str">
            <v>2502</v>
          </cell>
          <cell r="L1285" t="str">
            <v>DECOR</v>
          </cell>
          <cell r="M1285" t="str">
            <v>250223</v>
          </cell>
          <cell r="N1285" t="str">
            <v>DECORLOTUS BASE</v>
          </cell>
        </row>
        <row r="1286">
          <cell r="C1286" t="str">
            <v>100004000</v>
          </cell>
          <cell r="D1286" t="str">
            <v>DECORLOTUS DI-400 WHITE VN-18LP</v>
          </cell>
          <cell r="E1286" t="str">
            <v>ZFGD</v>
          </cell>
          <cell r="F1286" t="str">
            <v>PC</v>
          </cell>
          <cell r="G1286" t="str">
            <v>2</v>
          </cell>
          <cell r="H1286" t="str">
            <v>RETAIL</v>
          </cell>
          <cell r="I1286" t="str">
            <v>25</v>
          </cell>
          <cell r="J1286" t="str">
            <v>APCT1</v>
          </cell>
          <cell r="K1286" t="str">
            <v>2502</v>
          </cell>
          <cell r="L1286" t="str">
            <v>DECOR</v>
          </cell>
          <cell r="M1286" t="str">
            <v>250221</v>
          </cell>
          <cell r="N1286" t="str">
            <v>DECORCRYL BASE</v>
          </cell>
        </row>
        <row r="1287">
          <cell r="C1287" t="str">
            <v>100004001</v>
          </cell>
          <cell r="D1287" t="str">
            <v>DECORLOTUS DI-400 BASE A VN-18LP</v>
          </cell>
          <cell r="E1287" t="str">
            <v>ZFGD</v>
          </cell>
          <cell r="F1287" t="str">
            <v>PC</v>
          </cell>
          <cell r="G1287" t="str">
            <v>2</v>
          </cell>
          <cell r="H1287" t="str">
            <v>RETAIL</v>
          </cell>
          <cell r="I1287" t="str">
            <v>25</v>
          </cell>
          <cell r="J1287" t="str">
            <v>APCT1</v>
          </cell>
          <cell r="K1287" t="str">
            <v>2502</v>
          </cell>
          <cell r="L1287" t="str">
            <v>DECOR</v>
          </cell>
          <cell r="M1287" t="str">
            <v>250221</v>
          </cell>
          <cell r="N1287" t="str">
            <v>DECORCRYL BASE</v>
          </cell>
        </row>
        <row r="1288">
          <cell r="C1288" t="str">
            <v>100004002</v>
          </cell>
          <cell r="D1288" t="str">
            <v>DECORLOTUS DI-400 BASE B VN-18LP</v>
          </cell>
          <cell r="E1288" t="str">
            <v>ZFGD</v>
          </cell>
          <cell r="F1288" t="str">
            <v>PC</v>
          </cell>
          <cell r="G1288" t="str">
            <v>2</v>
          </cell>
          <cell r="H1288" t="str">
            <v>RETAIL</v>
          </cell>
          <cell r="I1288" t="str">
            <v>25</v>
          </cell>
          <cell r="J1288" t="str">
            <v>APCT1</v>
          </cell>
          <cell r="K1288" t="str">
            <v>2502</v>
          </cell>
          <cell r="L1288" t="str">
            <v>DECOR</v>
          </cell>
          <cell r="M1288" t="str">
            <v>250221</v>
          </cell>
          <cell r="N1288" t="str">
            <v>DECORCRYL BASE</v>
          </cell>
        </row>
        <row r="1289">
          <cell r="C1289" t="str">
            <v>100004003</v>
          </cell>
          <cell r="D1289" t="str">
            <v>DECORLOTUS DI-400 BASE D VN-18LP</v>
          </cell>
          <cell r="E1289" t="str">
            <v>ZFGD</v>
          </cell>
          <cell r="F1289" t="str">
            <v>PC</v>
          </cell>
          <cell r="G1289" t="str">
            <v>2</v>
          </cell>
          <cell r="H1289" t="str">
            <v>RETAIL</v>
          </cell>
          <cell r="I1289" t="str">
            <v>25</v>
          </cell>
          <cell r="J1289" t="str">
            <v>APCT1</v>
          </cell>
          <cell r="K1289" t="str">
            <v>2502</v>
          </cell>
          <cell r="L1289" t="str">
            <v>DECOR</v>
          </cell>
          <cell r="M1289" t="str">
            <v>250221</v>
          </cell>
          <cell r="N1289" t="str">
            <v>DECORCRYL BASE</v>
          </cell>
        </row>
        <row r="1290">
          <cell r="C1290" t="str">
            <v>100004004</v>
          </cell>
          <cell r="D1290" t="str">
            <v>DECORMAX DM-4010 WHITE VN-18LP</v>
          </cell>
          <cell r="E1290" t="str">
            <v>ZFGD</v>
          </cell>
          <cell r="F1290" t="str">
            <v>PC</v>
          </cell>
          <cell r="G1290" t="str">
            <v>2</v>
          </cell>
          <cell r="H1290" t="str">
            <v>RETAIL</v>
          </cell>
          <cell r="I1290" t="str">
            <v>25</v>
          </cell>
          <cell r="J1290" t="str">
            <v>APCT1</v>
          </cell>
          <cell r="K1290" t="str">
            <v>2501</v>
          </cell>
          <cell r="L1290" t="str">
            <v>ECO</v>
          </cell>
          <cell r="M1290" t="str">
            <v>250107</v>
          </cell>
          <cell r="N1290" t="str">
            <v>ECO EMULSION BASE</v>
          </cell>
        </row>
        <row r="1291">
          <cell r="C1291" t="str">
            <v>100004005</v>
          </cell>
          <cell r="D1291" t="str">
            <v>DECORMAX DM-4010 BASE A VN-18LP</v>
          </cell>
          <cell r="E1291" t="str">
            <v>ZFGD</v>
          </cell>
          <cell r="F1291" t="str">
            <v>PC</v>
          </cell>
          <cell r="G1291" t="str">
            <v>2</v>
          </cell>
          <cell r="H1291" t="str">
            <v>RETAIL</v>
          </cell>
          <cell r="I1291" t="str">
            <v>25</v>
          </cell>
          <cell r="J1291" t="str">
            <v>APCT1</v>
          </cell>
          <cell r="K1291" t="str">
            <v>2501</v>
          </cell>
          <cell r="L1291" t="str">
            <v>ECO</v>
          </cell>
          <cell r="M1291" t="str">
            <v>250107</v>
          </cell>
          <cell r="N1291" t="str">
            <v>ECO EMULSION BASE</v>
          </cell>
        </row>
        <row r="1292">
          <cell r="C1292" t="str">
            <v>100004006</v>
          </cell>
          <cell r="D1292" t="str">
            <v>DECORMAX DM-4010 BASE B VN-18LP</v>
          </cell>
          <cell r="E1292" t="str">
            <v>ZFGD</v>
          </cell>
          <cell r="F1292" t="str">
            <v>PC</v>
          </cell>
          <cell r="G1292" t="str">
            <v>2</v>
          </cell>
          <cell r="H1292" t="str">
            <v>RETAIL</v>
          </cell>
          <cell r="I1292" t="str">
            <v>25</v>
          </cell>
          <cell r="J1292" t="str">
            <v>APCT1</v>
          </cell>
          <cell r="K1292" t="str">
            <v>2501</v>
          </cell>
          <cell r="L1292" t="str">
            <v>ECO</v>
          </cell>
          <cell r="M1292" t="str">
            <v>250107</v>
          </cell>
          <cell r="N1292" t="str">
            <v>ECO EMULSION BASE</v>
          </cell>
        </row>
        <row r="1293">
          <cell r="C1293" t="str">
            <v>100004007</v>
          </cell>
          <cell r="D1293" t="str">
            <v>DECORMAX DM-4010 BASE D VN-18LP</v>
          </cell>
          <cell r="E1293" t="str">
            <v>ZFGD</v>
          </cell>
          <cell r="F1293" t="str">
            <v>PC</v>
          </cell>
          <cell r="G1293" t="str">
            <v>2</v>
          </cell>
          <cell r="H1293" t="str">
            <v>RETAIL</v>
          </cell>
          <cell r="I1293" t="str">
            <v>25</v>
          </cell>
          <cell r="J1293" t="str">
            <v>APCT1</v>
          </cell>
          <cell r="K1293" t="str">
            <v>2501</v>
          </cell>
          <cell r="L1293" t="str">
            <v>ECO</v>
          </cell>
          <cell r="M1293" t="str">
            <v>250107</v>
          </cell>
          <cell r="N1293" t="str">
            <v>ECO EMULSION BASE</v>
          </cell>
        </row>
        <row r="1294">
          <cell r="C1294" t="str">
            <v>100004008</v>
          </cell>
          <cell r="D1294" t="str">
            <v>DECOR PRIMER EAR-4001 VN-18LP</v>
          </cell>
          <cell r="E1294" t="str">
            <v>ZFGD</v>
          </cell>
          <cell r="F1294" t="str">
            <v>PC</v>
          </cell>
          <cell r="G1294" t="str">
            <v>2</v>
          </cell>
          <cell r="H1294" t="str">
            <v>RETAIL</v>
          </cell>
          <cell r="I1294" t="str">
            <v>25</v>
          </cell>
          <cell r="J1294" t="str">
            <v>APCT1</v>
          </cell>
          <cell r="K1294" t="str">
            <v>2501</v>
          </cell>
          <cell r="L1294" t="str">
            <v>ECO</v>
          </cell>
          <cell r="M1294" t="str">
            <v>250102</v>
          </cell>
          <cell r="N1294" t="str">
            <v>ECO EMULSION PRIMER</v>
          </cell>
        </row>
        <row r="1295">
          <cell r="C1295" t="str">
            <v>100004009</v>
          </cell>
          <cell r="D1295" t="str">
            <v>UPR-960 BASE A VN-20KP</v>
          </cell>
          <cell r="E1295" t="str">
            <v>ZFGD</v>
          </cell>
          <cell r="F1295" t="str">
            <v>PC</v>
          </cell>
          <cell r="G1295" t="str">
            <v>2</v>
          </cell>
          <cell r="H1295" t="str">
            <v>RETAIL</v>
          </cell>
          <cell r="I1295" t="str">
            <v>2D</v>
          </cell>
          <cell r="J1295" t="str">
            <v>APCT2</v>
          </cell>
          <cell r="K1295" t="str">
            <v>2D01</v>
          </cell>
          <cell r="L1295" t="str">
            <v>ULTRAPROOF</v>
          </cell>
          <cell r="M1295" t="str">
            <v>2D0101</v>
          </cell>
          <cell r="N1295" t="str">
            <v>ULTRAPROOF RMX</v>
          </cell>
        </row>
        <row r="1296">
          <cell r="C1296" t="str">
            <v>100004010</v>
          </cell>
          <cell r="D1296" t="str">
            <v>UPR-960 BASE B VN-20KP</v>
          </cell>
          <cell r="E1296" t="str">
            <v>ZFGD</v>
          </cell>
          <cell r="F1296" t="str">
            <v>PC</v>
          </cell>
          <cell r="G1296" t="str">
            <v>2</v>
          </cell>
          <cell r="H1296" t="str">
            <v>RETAIL</v>
          </cell>
          <cell r="I1296" t="str">
            <v>2D</v>
          </cell>
          <cell r="J1296" t="str">
            <v>APCT2</v>
          </cell>
          <cell r="K1296" t="str">
            <v>2D01</v>
          </cell>
          <cell r="L1296" t="str">
            <v>ULTRAPROOF</v>
          </cell>
          <cell r="M1296" t="str">
            <v>2D0101</v>
          </cell>
          <cell r="N1296" t="str">
            <v>ULTRAPROOF RMX</v>
          </cell>
        </row>
        <row r="1297">
          <cell r="C1297" t="str">
            <v>100004011</v>
          </cell>
          <cell r="D1297" t="str">
            <v>UPR-960 BASE D VN-20KP</v>
          </cell>
          <cell r="E1297" t="str">
            <v>ZFGD</v>
          </cell>
          <cell r="F1297" t="str">
            <v>PC</v>
          </cell>
          <cell r="G1297" t="str">
            <v>2</v>
          </cell>
          <cell r="H1297" t="str">
            <v>RETAIL</v>
          </cell>
          <cell r="I1297" t="str">
            <v>2D</v>
          </cell>
          <cell r="J1297" t="str">
            <v>APCT2</v>
          </cell>
          <cell r="K1297" t="str">
            <v>2D01</v>
          </cell>
          <cell r="L1297" t="str">
            <v>ULTRAPROOF</v>
          </cell>
          <cell r="M1297" t="str">
            <v>2D0101</v>
          </cell>
          <cell r="N1297" t="str">
            <v>ULTRAPROOF RMX</v>
          </cell>
        </row>
        <row r="1298">
          <cell r="C1298" t="str">
            <v>100004027</v>
          </cell>
          <cell r="D1298" t="str">
            <v>EDP-551 DARK GREY (XÁM XINGFA) VN-0.9K</v>
          </cell>
          <cell r="E1298" t="str">
            <v>ZFGD</v>
          </cell>
          <cell r="F1298" t="str">
            <v>PC</v>
          </cell>
          <cell r="G1298" t="str">
            <v>5</v>
          </cell>
          <cell r="H1298" t="str">
            <v>PROJECT</v>
          </cell>
          <cell r="I1298" t="str">
            <v>59</v>
          </cell>
          <cell r="J1298" t="str">
            <v>MPC</v>
          </cell>
          <cell r="K1298" t="str">
            <v>5904</v>
          </cell>
          <cell r="L1298" t="str">
            <v>METALKOTE</v>
          </cell>
          <cell r="M1298" t="str">
            <v>590402</v>
          </cell>
          <cell r="N1298" t="str">
            <v>METALKOTE-EPOXY SYS</v>
          </cell>
        </row>
        <row r="1299">
          <cell r="C1299" t="str">
            <v>100004028</v>
          </cell>
          <cell r="D1299" t="str">
            <v>EDP-551 DARK GREY (XÁM XINGFA) VN-4.5K</v>
          </cell>
          <cell r="E1299" t="str">
            <v>ZFGD</v>
          </cell>
          <cell r="F1299" t="str">
            <v>PC</v>
          </cell>
          <cell r="G1299" t="str">
            <v>5</v>
          </cell>
          <cell r="H1299" t="str">
            <v>PROJECT</v>
          </cell>
          <cell r="I1299" t="str">
            <v>59</v>
          </cell>
          <cell r="J1299" t="str">
            <v>MPC</v>
          </cell>
          <cell r="K1299" t="str">
            <v>5904</v>
          </cell>
          <cell r="L1299" t="str">
            <v>METALKOTE</v>
          </cell>
          <cell r="M1299" t="str">
            <v>590402</v>
          </cell>
          <cell r="N1299" t="str">
            <v>METALKOTE-EPOXY SYS</v>
          </cell>
        </row>
        <row r="1300">
          <cell r="C1300" t="str">
            <v>100004029</v>
          </cell>
          <cell r="D1300" t="str">
            <v>EDP-551 DARK GREY (XÁM XINGFA) VN-18KP</v>
          </cell>
          <cell r="E1300" t="str">
            <v>ZFGD</v>
          </cell>
          <cell r="F1300" t="str">
            <v>PC</v>
          </cell>
          <cell r="G1300" t="str">
            <v>5</v>
          </cell>
          <cell r="H1300" t="str">
            <v>PROJECT</v>
          </cell>
          <cell r="I1300" t="str">
            <v>59</v>
          </cell>
          <cell r="J1300" t="str">
            <v>MPC</v>
          </cell>
          <cell r="K1300" t="str">
            <v>5904</v>
          </cell>
          <cell r="L1300" t="str">
            <v>METALKOTE</v>
          </cell>
          <cell r="M1300" t="str">
            <v>590402</v>
          </cell>
          <cell r="N1300" t="str">
            <v>METALKOTE-EPOXY SYS</v>
          </cell>
        </row>
        <row r="1301">
          <cell r="C1301" t="str">
            <v>100004033</v>
          </cell>
          <cell r="D1301" t="str">
            <v>EDP-551 DARK GREY (XÁM XINGFA) VN-1KS</v>
          </cell>
          <cell r="E1301" t="str">
            <v>ZFGD</v>
          </cell>
          <cell r="F1301" t="str">
            <v>SET</v>
          </cell>
          <cell r="G1301" t="str">
            <v>5</v>
          </cell>
          <cell r="H1301" t="str">
            <v>PROJECT</v>
          </cell>
          <cell r="I1301" t="str">
            <v>59</v>
          </cell>
          <cell r="J1301" t="str">
            <v>MPC</v>
          </cell>
          <cell r="K1301" t="str">
            <v>5904</v>
          </cell>
          <cell r="L1301" t="str">
            <v>METALKOTE</v>
          </cell>
          <cell r="M1301" t="str">
            <v>590402</v>
          </cell>
          <cell r="N1301" t="str">
            <v>METALKOTE-EPOXY SYS</v>
          </cell>
        </row>
        <row r="1302">
          <cell r="C1302" t="str">
            <v>100004034</v>
          </cell>
          <cell r="D1302" t="str">
            <v>EDP-551 DARK GREY (XÁM XINGFA) VN-5KS</v>
          </cell>
          <cell r="E1302" t="str">
            <v>ZFGD</v>
          </cell>
          <cell r="F1302" t="str">
            <v>SET</v>
          </cell>
          <cell r="G1302" t="str">
            <v>5</v>
          </cell>
          <cell r="H1302" t="str">
            <v>PROJECT</v>
          </cell>
          <cell r="I1302" t="str">
            <v>59</v>
          </cell>
          <cell r="J1302" t="str">
            <v>MPC</v>
          </cell>
          <cell r="K1302" t="str">
            <v>5904</v>
          </cell>
          <cell r="L1302" t="str">
            <v>METALKOTE</v>
          </cell>
          <cell r="M1302" t="str">
            <v>590402</v>
          </cell>
          <cell r="N1302" t="str">
            <v>METALKOTE-EPOXY SYS</v>
          </cell>
        </row>
        <row r="1303">
          <cell r="C1303" t="str">
            <v>100004035</v>
          </cell>
          <cell r="D1303" t="str">
            <v>EDP-551 DARK GREY (XÁM XINGFA) VN-20KSP</v>
          </cell>
          <cell r="E1303" t="str">
            <v>ZFGD</v>
          </cell>
          <cell r="F1303" t="str">
            <v>SET</v>
          </cell>
          <cell r="G1303" t="str">
            <v>5</v>
          </cell>
          <cell r="H1303" t="str">
            <v>PROJECT</v>
          </cell>
          <cell r="I1303" t="str">
            <v>59</v>
          </cell>
          <cell r="J1303" t="str">
            <v>MPC</v>
          </cell>
          <cell r="K1303" t="str">
            <v>5904</v>
          </cell>
          <cell r="L1303" t="str">
            <v>METALKOTE</v>
          </cell>
          <cell r="M1303" t="str">
            <v>590402</v>
          </cell>
          <cell r="N1303" t="str">
            <v>METALKOTE-EPOXY SYS</v>
          </cell>
        </row>
        <row r="1304">
          <cell r="C1304" t="str">
            <v>100004049</v>
          </cell>
          <cell r="D1304" t="str">
            <v>EDL-601 BLACK 9001 VN-1L</v>
          </cell>
          <cell r="E1304" t="str">
            <v>ZFGD</v>
          </cell>
          <cell r="F1304" t="str">
            <v>PC</v>
          </cell>
          <cell r="G1304" t="str">
            <v>2</v>
          </cell>
          <cell r="H1304" t="str">
            <v>RETAIL</v>
          </cell>
          <cell r="I1304" t="str">
            <v>24</v>
          </cell>
          <cell r="J1304" t="str">
            <v>WF3</v>
          </cell>
          <cell r="K1304" t="str">
            <v>2413</v>
          </cell>
          <cell r="L1304" t="str">
            <v>ULTRAN</v>
          </cell>
          <cell r="M1304" t="str">
            <v>241304</v>
          </cell>
          <cell r="N1304" t="str">
            <v>ULTRAN LASUR</v>
          </cell>
        </row>
        <row r="1305">
          <cell r="C1305" t="str">
            <v>100004050</v>
          </cell>
          <cell r="D1305" t="str">
            <v>EDL-601 BLACK 9001 VN-4L</v>
          </cell>
          <cell r="E1305" t="str">
            <v>ZFGD</v>
          </cell>
          <cell r="F1305" t="str">
            <v>PC</v>
          </cell>
          <cell r="G1305" t="str">
            <v>2</v>
          </cell>
          <cell r="H1305" t="str">
            <v>RETAIL</v>
          </cell>
          <cell r="I1305" t="str">
            <v>24</v>
          </cell>
          <cell r="J1305" t="str">
            <v>WF3</v>
          </cell>
          <cell r="K1305" t="str">
            <v>2413</v>
          </cell>
          <cell r="L1305" t="str">
            <v>ULTRAN</v>
          </cell>
          <cell r="M1305" t="str">
            <v>241304</v>
          </cell>
          <cell r="N1305" t="str">
            <v>ULTRAN LASUR</v>
          </cell>
        </row>
        <row r="1306">
          <cell r="C1306" t="str">
            <v>100004063</v>
          </cell>
          <cell r="D1306" t="str">
            <v>PC 8K2-1L</v>
          </cell>
          <cell r="E1306" t="str">
            <v>ZFGD</v>
          </cell>
          <cell r="F1306" t="str">
            <v>PC</v>
          </cell>
          <cell r="G1306" t="str">
            <v>2</v>
          </cell>
          <cell r="H1306" t="str">
            <v>RETAIL</v>
          </cell>
          <cell r="I1306" t="str">
            <v>2F</v>
          </cell>
          <cell r="J1306" t="str">
            <v>TINTING</v>
          </cell>
          <cell r="K1306" t="str">
            <v>2F04</v>
          </cell>
          <cell r="L1306" t="str">
            <v>PASTA</v>
          </cell>
          <cell r="M1306" t="str">
            <v>2F0404</v>
          </cell>
          <cell r="N1306" t="str">
            <v>PASTA WB</v>
          </cell>
        </row>
        <row r="1307">
          <cell r="C1307" t="str">
            <v>100004064</v>
          </cell>
          <cell r="D1307" t="str">
            <v>PC 8R1-1L</v>
          </cell>
          <cell r="E1307" t="str">
            <v>ZFGD</v>
          </cell>
          <cell r="F1307" t="str">
            <v>PC</v>
          </cell>
          <cell r="G1307" t="str">
            <v>2</v>
          </cell>
          <cell r="H1307" t="str">
            <v>RETAIL</v>
          </cell>
          <cell r="I1307" t="str">
            <v>2F</v>
          </cell>
          <cell r="J1307" t="str">
            <v>TINTING</v>
          </cell>
          <cell r="K1307" t="str">
            <v>2F04</v>
          </cell>
          <cell r="L1307" t="str">
            <v>PASTA</v>
          </cell>
          <cell r="M1307" t="str">
            <v>2F0404</v>
          </cell>
          <cell r="N1307" t="str">
            <v>PASTA WB</v>
          </cell>
        </row>
        <row r="1308">
          <cell r="C1308" t="str">
            <v>100004065</v>
          </cell>
          <cell r="D1308" t="str">
            <v>PC 8R2-1L</v>
          </cell>
          <cell r="E1308" t="str">
            <v>ZFGD</v>
          </cell>
          <cell r="F1308" t="str">
            <v>PC</v>
          </cell>
          <cell r="G1308" t="str">
            <v>2</v>
          </cell>
          <cell r="H1308" t="str">
            <v>RETAIL</v>
          </cell>
          <cell r="I1308" t="str">
            <v>2F</v>
          </cell>
          <cell r="J1308" t="str">
            <v>TINTING</v>
          </cell>
          <cell r="K1308" t="str">
            <v>2F04</v>
          </cell>
          <cell r="L1308" t="str">
            <v>PASTA</v>
          </cell>
          <cell r="M1308" t="str">
            <v>2F0404</v>
          </cell>
          <cell r="N1308" t="str">
            <v>PASTA WB</v>
          </cell>
        </row>
        <row r="1309">
          <cell r="C1309" t="str">
            <v>100004066</v>
          </cell>
          <cell r="D1309" t="str">
            <v>PC 8R3-1L</v>
          </cell>
          <cell r="E1309" t="str">
            <v>ZFGD</v>
          </cell>
          <cell r="F1309" t="str">
            <v>PC</v>
          </cell>
          <cell r="G1309" t="str">
            <v>2</v>
          </cell>
          <cell r="H1309" t="str">
            <v>RETAIL</v>
          </cell>
          <cell r="I1309" t="str">
            <v>2F</v>
          </cell>
          <cell r="J1309" t="str">
            <v>TINTING</v>
          </cell>
          <cell r="K1309" t="str">
            <v>2F04</v>
          </cell>
          <cell r="L1309" t="str">
            <v>PASTA</v>
          </cell>
          <cell r="M1309" t="str">
            <v>2F0404</v>
          </cell>
          <cell r="N1309" t="str">
            <v>PASTA WB</v>
          </cell>
        </row>
        <row r="1310">
          <cell r="C1310" t="str">
            <v>100004067</v>
          </cell>
          <cell r="D1310" t="str">
            <v>PC 8Y1-1L</v>
          </cell>
          <cell r="E1310" t="str">
            <v>ZFGD</v>
          </cell>
          <cell r="F1310" t="str">
            <v>PC</v>
          </cell>
          <cell r="G1310" t="str">
            <v>2</v>
          </cell>
          <cell r="H1310" t="str">
            <v>RETAIL</v>
          </cell>
          <cell r="I1310" t="str">
            <v>2F</v>
          </cell>
          <cell r="J1310" t="str">
            <v>TINTING</v>
          </cell>
          <cell r="K1310" t="str">
            <v>2F04</v>
          </cell>
          <cell r="L1310" t="str">
            <v>PASTA</v>
          </cell>
          <cell r="M1310" t="str">
            <v>2F0404</v>
          </cell>
          <cell r="N1310" t="str">
            <v>PASTA WB</v>
          </cell>
        </row>
        <row r="1311">
          <cell r="C1311" t="str">
            <v>100004068</v>
          </cell>
          <cell r="D1311" t="str">
            <v>PC 8Y2-1L</v>
          </cell>
          <cell r="E1311" t="str">
            <v>ZFGD</v>
          </cell>
          <cell r="F1311" t="str">
            <v>PC</v>
          </cell>
          <cell r="G1311" t="str">
            <v>2</v>
          </cell>
          <cell r="H1311" t="str">
            <v>RETAIL</v>
          </cell>
          <cell r="I1311" t="str">
            <v>2F</v>
          </cell>
          <cell r="J1311" t="str">
            <v>TINTING</v>
          </cell>
          <cell r="K1311" t="str">
            <v>2F04</v>
          </cell>
          <cell r="L1311" t="str">
            <v>PASTA</v>
          </cell>
          <cell r="M1311" t="str">
            <v>2F0404</v>
          </cell>
          <cell r="N1311" t="str">
            <v>PASTA WB</v>
          </cell>
        </row>
        <row r="1312">
          <cell r="C1312" t="str">
            <v>100004069</v>
          </cell>
          <cell r="D1312" t="str">
            <v>PC 8Y3-1L</v>
          </cell>
          <cell r="E1312" t="str">
            <v>ZFGD</v>
          </cell>
          <cell r="F1312" t="str">
            <v>PC</v>
          </cell>
          <cell r="G1312" t="str">
            <v>2</v>
          </cell>
          <cell r="H1312" t="str">
            <v>RETAIL</v>
          </cell>
          <cell r="I1312" t="str">
            <v>2F</v>
          </cell>
          <cell r="J1312" t="str">
            <v>TINTING</v>
          </cell>
          <cell r="K1312" t="str">
            <v>2F04</v>
          </cell>
          <cell r="L1312" t="str">
            <v>PASTA</v>
          </cell>
          <cell r="M1312" t="str">
            <v>2F0404</v>
          </cell>
          <cell r="N1312" t="str">
            <v>PASTA WB</v>
          </cell>
        </row>
        <row r="1313">
          <cell r="C1313" t="str">
            <v>100004070</v>
          </cell>
          <cell r="D1313" t="str">
            <v>PC 8Y4-1L</v>
          </cell>
          <cell r="E1313" t="str">
            <v>ZFGD</v>
          </cell>
          <cell r="F1313" t="str">
            <v>PC</v>
          </cell>
          <cell r="G1313" t="str">
            <v>2</v>
          </cell>
          <cell r="H1313" t="str">
            <v>RETAIL</v>
          </cell>
          <cell r="I1313" t="str">
            <v>2F</v>
          </cell>
          <cell r="J1313" t="str">
            <v>TINTING</v>
          </cell>
          <cell r="K1313" t="str">
            <v>2F04</v>
          </cell>
          <cell r="L1313" t="str">
            <v>PASTA</v>
          </cell>
          <cell r="M1313" t="str">
            <v>2F0404</v>
          </cell>
          <cell r="N1313" t="str">
            <v>PASTA WB</v>
          </cell>
        </row>
        <row r="1314">
          <cell r="C1314" t="str">
            <v>100004071</v>
          </cell>
          <cell r="D1314" t="str">
            <v>PC 8W1-1L</v>
          </cell>
          <cell r="E1314" t="str">
            <v>ZFGD</v>
          </cell>
          <cell r="F1314" t="str">
            <v>PC</v>
          </cell>
          <cell r="G1314" t="str">
            <v>2</v>
          </cell>
          <cell r="H1314" t="str">
            <v>RETAIL</v>
          </cell>
          <cell r="I1314" t="str">
            <v>2F</v>
          </cell>
          <cell r="J1314" t="str">
            <v>TINTING</v>
          </cell>
          <cell r="K1314" t="str">
            <v>2F04</v>
          </cell>
          <cell r="L1314" t="str">
            <v>PASTA</v>
          </cell>
          <cell r="M1314" t="str">
            <v>2F0404</v>
          </cell>
          <cell r="N1314" t="str">
            <v>PASTA WB</v>
          </cell>
        </row>
        <row r="1315">
          <cell r="C1315" t="str">
            <v>100004072</v>
          </cell>
          <cell r="D1315" t="str">
            <v>PC 8V1-1L</v>
          </cell>
          <cell r="E1315" t="str">
            <v>ZFGD</v>
          </cell>
          <cell r="F1315" t="str">
            <v>PC</v>
          </cell>
          <cell r="G1315" t="str">
            <v>2</v>
          </cell>
          <cell r="H1315" t="str">
            <v>RETAIL</v>
          </cell>
          <cell r="I1315" t="str">
            <v>2F</v>
          </cell>
          <cell r="J1315" t="str">
            <v>TINTING</v>
          </cell>
          <cell r="K1315" t="str">
            <v>2F04</v>
          </cell>
          <cell r="L1315" t="str">
            <v>PASTA</v>
          </cell>
          <cell r="M1315" t="str">
            <v>2F0404</v>
          </cell>
          <cell r="N1315" t="str">
            <v>PASTA WB</v>
          </cell>
        </row>
        <row r="1316">
          <cell r="C1316" t="str">
            <v>100004073</v>
          </cell>
          <cell r="D1316" t="str">
            <v>PC 8B1-1L</v>
          </cell>
          <cell r="E1316" t="str">
            <v>ZFGD</v>
          </cell>
          <cell r="F1316" t="str">
            <v>PC</v>
          </cell>
          <cell r="G1316" t="str">
            <v>2</v>
          </cell>
          <cell r="H1316" t="str">
            <v>RETAIL</v>
          </cell>
          <cell r="I1316" t="str">
            <v>2F</v>
          </cell>
          <cell r="J1316" t="str">
            <v>TINTING</v>
          </cell>
          <cell r="K1316" t="str">
            <v>2F04</v>
          </cell>
          <cell r="L1316" t="str">
            <v>PASTA</v>
          </cell>
          <cell r="M1316" t="str">
            <v>2F0404</v>
          </cell>
          <cell r="N1316" t="str">
            <v>PASTA WB</v>
          </cell>
        </row>
        <row r="1317">
          <cell r="C1317" t="str">
            <v>100004074</v>
          </cell>
          <cell r="D1317" t="str">
            <v>PC 8B2-1L</v>
          </cell>
          <cell r="E1317" t="str">
            <v>ZFGD</v>
          </cell>
          <cell r="F1317" t="str">
            <v>PC</v>
          </cell>
          <cell r="G1317" t="str">
            <v>2</v>
          </cell>
          <cell r="H1317" t="str">
            <v>RETAIL</v>
          </cell>
          <cell r="I1317" t="str">
            <v>2F</v>
          </cell>
          <cell r="J1317" t="str">
            <v>TINTING</v>
          </cell>
          <cell r="K1317" t="str">
            <v>2F04</v>
          </cell>
          <cell r="L1317" t="str">
            <v>PASTA</v>
          </cell>
          <cell r="M1317" t="str">
            <v>2F0404</v>
          </cell>
          <cell r="N1317" t="str">
            <v>PASTA WB</v>
          </cell>
        </row>
        <row r="1318">
          <cell r="C1318" t="str">
            <v>100004075</v>
          </cell>
          <cell r="D1318" t="str">
            <v>PC 8G1-1L</v>
          </cell>
          <cell r="E1318" t="str">
            <v>ZFGD</v>
          </cell>
          <cell r="F1318" t="str">
            <v>PC</v>
          </cell>
          <cell r="G1318" t="str">
            <v>2</v>
          </cell>
          <cell r="H1318" t="str">
            <v>RETAIL</v>
          </cell>
          <cell r="I1318" t="str">
            <v>2F</v>
          </cell>
          <cell r="J1318" t="str">
            <v>TINTING</v>
          </cell>
          <cell r="K1318" t="str">
            <v>2F04</v>
          </cell>
          <cell r="L1318" t="str">
            <v>PASTA</v>
          </cell>
          <cell r="M1318" t="str">
            <v>2F0404</v>
          </cell>
          <cell r="N1318" t="str">
            <v>PASTA WB</v>
          </cell>
        </row>
        <row r="1319">
          <cell r="C1319" t="str">
            <v>100004149</v>
          </cell>
          <cell r="D1319" t="str">
            <v>US-970 SUNNY YELLOW 8454 VN-1K</v>
          </cell>
          <cell r="E1319" t="str">
            <v>ZFGD</v>
          </cell>
          <cell r="F1319" t="str">
            <v>PC</v>
          </cell>
          <cell r="G1319" t="str">
            <v>2</v>
          </cell>
          <cell r="H1319" t="str">
            <v>RETAIL</v>
          </cell>
          <cell r="I1319" t="str">
            <v>28</v>
          </cell>
          <cell r="J1319" t="str">
            <v>CPC2</v>
          </cell>
          <cell r="K1319" t="str">
            <v>2807</v>
          </cell>
          <cell r="L1319" t="str">
            <v>ULTRASEAL</v>
          </cell>
          <cell r="M1319" t="str">
            <v>280701</v>
          </cell>
          <cell r="N1319" t="str">
            <v>ULTRASEAL</v>
          </cell>
        </row>
        <row r="1320">
          <cell r="C1320" t="str">
            <v>100004150</v>
          </cell>
          <cell r="D1320" t="str">
            <v>US-970 SUNNY YELLOW 8454 VN-4K</v>
          </cell>
          <cell r="E1320" t="str">
            <v>ZFGD</v>
          </cell>
          <cell r="F1320" t="str">
            <v>PC</v>
          </cell>
          <cell r="G1320" t="str">
            <v>2</v>
          </cell>
          <cell r="H1320" t="str">
            <v>RETAIL</v>
          </cell>
          <cell r="I1320" t="str">
            <v>28</v>
          </cell>
          <cell r="J1320" t="str">
            <v>CPC2</v>
          </cell>
          <cell r="K1320" t="str">
            <v>2807</v>
          </cell>
          <cell r="L1320" t="str">
            <v>ULTRASEAL</v>
          </cell>
          <cell r="M1320" t="str">
            <v>280701</v>
          </cell>
          <cell r="N1320" t="str">
            <v>ULTRASEAL</v>
          </cell>
        </row>
        <row r="1321">
          <cell r="C1321" t="str">
            <v>100004151</v>
          </cell>
          <cell r="D1321" t="str">
            <v>US-970 SUNNY YELLOW 8454 VN-20KP</v>
          </cell>
          <cell r="E1321" t="str">
            <v>ZFGD</v>
          </cell>
          <cell r="F1321" t="str">
            <v>PC</v>
          </cell>
          <cell r="G1321" t="str">
            <v>2</v>
          </cell>
          <cell r="H1321" t="str">
            <v>RETAIL</v>
          </cell>
          <cell r="I1321" t="str">
            <v>28</v>
          </cell>
          <cell r="J1321" t="str">
            <v>CPC2</v>
          </cell>
          <cell r="K1321" t="str">
            <v>2807</v>
          </cell>
          <cell r="L1321" t="str">
            <v>ULTRASEAL</v>
          </cell>
          <cell r="M1321" t="str">
            <v>280701</v>
          </cell>
          <cell r="N1321" t="str">
            <v>ULTRASEAL</v>
          </cell>
        </row>
        <row r="1322">
          <cell r="C1322" t="str">
            <v>100004155</v>
          </cell>
          <cell r="D1322" t="str">
            <v>ZC-990 WB BASE A VN-0.9K</v>
          </cell>
          <cell r="E1322" t="str">
            <v>ZFGD</v>
          </cell>
          <cell r="F1322" t="str">
            <v>PC</v>
          </cell>
          <cell r="G1322" t="str">
            <v>2</v>
          </cell>
          <cell r="H1322" t="str">
            <v>RETAIL</v>
          </cell>
          <cell r="I1322" t="str">
            <v>29</v>
          </cell>
          <cell r="J1322" t="str">
            <v>MPC</v>
          </cell>
          <cell r="K1322" t="str">
            <v>2910</v>
          </cell>
          <cell r="L1322" t="str">
            <v>ZINCOAT</v>
          </cell>
          <cell r="M1322" t="str">
            <v>291001</v>
          </cell>
          <cell r="N1322" t="str">
            <v>ZINCOAT</v>
          </cell>
        </row>
        <row r="1323">
          <cell r="C1323" t="str">
            <v>100004156</v>
          </cell>
          <cell r="D1323" t="str">
            <v>ZC-990 WB BASE B VN-0.9K</v>
          </cell>
          <cell r="E1323" t="str">
            <v>ZFGD</v>
          </cell>
          <cell r="F1323" t="str">
            <v>PC</v>
          </cell>
          <cell r="G1323" t="str">
            <v>2</v>
          </cell>
          <cell r="H1323" t="str">
            <v>RETAIL</v>
          </cell>
          <cell r="I1323" t="str">
            <v>29</v>
          </cell>
          <cell r="J1323" t="str">
            <v>MPC</v>
          </cell>
          <cell r="K1323" t="str">
            <v>2910</v>
          </cell>
          <cell r="L1323" t="str">
            <v>ZINCOAT</v>
          </cell>
          <cell r="M1323" t="str">
            <v>291001</v>
          </cell>
          <cell r="N1323" t="str">
            <v>ZINCOAT</v>
          </cell>
        </row>
        <row r="1324">
          <cell r="C1324" t="str">
            <v>100004157</v>
          </cell>
          <cell r="D1324" t="str">
            <v>ZC-990 WB BASE D VN-0.9K</v>
          </cell>
          <cell r="E1324" t="str">
            <v>ZFGD</v>
          </cell>
          <cell r="F1324" t="str">
            <v>PC</v>
          </cell>
          <cell r="G1324" t="str">
            <v>2</v>
          </cell>
          <cell r="H1324" t="str">
            <v>RETAIL</v>
          </cell>
          <cell r="I1324" t="str">
            <v>29</v>
          </cell>
          <cell r="J1324" t="str">
            <v>MPC</v>
          </cell>
          <cell r="K1324" t="str">
            <v>2910</v>
          </cell>
          <cell r="L1324" t="str">
            <v>ZINCOAT</v>
          </cell>
          <cell r="M1324" t="str">
            <v>291001</v>
          </cell>
          <cell r="N1324" t="str">
            <v>ZINCOAT</v>
          </cell>
        </row>
        <row r="1325">
          <cell r="C1325" t="str">
            <v>100004201</v>
          </cell>
          <cell r="D1325" t="str">
            <v>PUL-745 2K MỜ 90% VN-1K</v>
          </cell>
          <cell r="E1325" t="str">
            <v>ZFGD</v>
          </cell>
          <cell r="F1325" t="str">
            <v>PC</v>
          </cell>
          <cell r="G1325" t="str">
            <v>2</v>
          </cell>
          <cell r="H1325" t="str">
            <v>RETAIL</v>
          </cell>
          <cell r="I1325" t="str">
            <v>22</v>
          </cell>
          <cell r="J1325" t="str">
            <v>WF2</v>
          </cell>
          <cell r="K1325" t="str">
            <v>2212</v>
          </cell>
          <cell r="L1325" t="str">
            <v>PU EASY TO USE</v>
          </cell>
          <cell r="M1325" t="str">
            <v>221201</v>
          </cell>
          <cell r="N1325" t="str">
            <v>PROPAN EASY TO USE PU</v>
          </cell>
        </row>
        <row r="1326">
          <cell r="C1326" t="str">
            <v>100004202</v>
          </cell>
          <cell r="D1326" t="str">
            <v>PUL-745 2K BÓNG 100% VN-1K</v>
          </cell>
          <cell r="E1326" t="str">
            <v>ZFGD</v>
          </cell>
          <cell r="F1326" t="str">
            <v>PC</v>
          </cell>
          <cell r="G1326" t="str">
            <v>2</v>
          </cell>
          <cell r="H1326" t="str">
            <v>RETAIL</v>
          </cell>
          <cell r="I1326" t="str">
            <v>22</v>
          </cell>
          <cell r="J1326" t="str">
            <v>WF2</v>
          </cell>
          <cell r="K1326" t="str">
            <v>2212</v>
          </cell>
          <cell r="L1326" t="str">
            <v>PU EASY TO USE</v>
          </cell>
          <cell r="M1326" t="str">
            <v>221201</v>
          </cell>
          <cell r="N1326" t="str">
            <v>PROPAN EASY TO USE PU</v>
          </cell>
        </row>
        <row r="1327">
          <cell r="C1327" t="str">
            <v>100004203</v>
          </cell>
          <cell r="D1327" t="str">
            <v>PUL-745 2K MỜ 70% VN-1K</v>
          </cell>
          <cell r="E1327" t="str">
            <v>ZFGD</v>
          </cell>
          <cell r="F1327" t="str">
            <v>PC</v>
          </cell>
          <cell r="G1327" t="str">
            <v>2</v>
          </cell>
          <cell r="H1327" t="str">
            <v>RETAIL</v>
          </cell>
          <cell r="I1327" t="str">
            <v>22</v>
          </cell>
          <cell r="J1327" t="str">
            <v>WF2</v>
          </cell>
          <cell r="K1327" t="str">
            <v>2212</v>
          </cell>
          <cell r="L1327" t="str">
            <v>PU EASY TO USE</v>
          </cell>
          <cell r="M1327" t="str">
            <v>221201</v>
          </cell>
          <cell r="N1327" t="str">
            <v>PROPAN EASY TO USE PU</v>
          </cell>
        </row>
        <row r="1328">
          <cell r="C1328" t="str">
            <v>100004204</v>
          </cell>
          <cell r="D1328" t="str">
            <v>PUL-745 2K MỜ 100% VN-1K</v>
          </cell>
          <cell r="E1328" t="str">
            <v>ZFGD</v>
          </cell>
          <cell r="F1328" t="str">
            <v>PC</v>
          </cell>
          <cell r="G1328" t="str">
            <v>2</v>
          </cell>
          <cell r="H1328" t="str">
            <v>RETAIL</v>
          </cell>
          <cell r="I1328" t="str">
            <v>22</v>
          </cell>
          <cell r="J1328" t="str">
            <v>WF2</v>
          </cell>
          <cell r="K1328" t="str">
            <v>2212</v>
          </cell>
          <cell r="L1328" t="str">
            <v>PU EASY TO USE</v>
          </cell>
          <cell r="M1328" t="str">
            <v>221201</v>
          </cell>
          <cell r="N1328" t="str">
            <v>PROPAN EASY TO USE PU</v>
          </cell>
        </row>
        <row r="1329">
          <cell r="C1329" t="str">
            <v>100004205</v>
          </cell>
          <cell r="D1329" t="str">
            <v>PUL-745 2K MỜ 50% VN-1K</v>
          </cell>
          <cell r="E1329" t="str">
            <v>ZFGD</v>
          </cell>
          <cell r="F1329" t="str">
            <v>PC</v>
          </cell>
          <cell r="G1329" t="str">
            <v>2</v>
          </cell>
          <cell r="H1329" t="str">
            <v>RETAIL</v>
          </cell>
          <cell r="I1329" t="str">
            <v>22</v>
          </cell>
          <cell r="J1329" t="str">
            <v>WF2</v>
          </cell>
          <cell r="K1329" t="str">
            <v>2212</v>
          </cell>
          <cell r="L1329" t="str">
            <v>PU EASY TO USE</v>
          </cell>
          <cell r="M1329" t="str">
            <v>221201</v>
          </cell>
          <cell r="N1329" t="str">
            <v>PROPAN EASY TO USE PU</v>
          </cell>
        </row>
        <row r="1330">
          <cell r="C1330" t="str">
            <v>100004206</v>
          </cell>
          <cell r="D1330" t="str">
            <v>PUL-747 2K MỜ 100% VN-1K</v>
          </cell>
          <cell r="E1330" t="str">
            <v>ZFGD</v>
          </cell>
          <cell r="F1330" t="str">
            <v>PC</v>
          </cell>
          <cell r="G1330" t="str">
            <v>2</v>
          </cell>
          <cell r="H1330" t="str">
            <v>RETAIL</v>
          </cell>
          <cell r="I1330" t="str">
            <v>22</v>
          </cell>
          <cell r="J1330" t="str">
            <v>WF2</v>
          </cell>
          <cell r="K1330" t="str">
            <v>2201</v>
          </cell>
          <cell r="L1330" t="str">
            <v>PU COATING</v>
          </cell>
          <cell r="M1330" t="str">
            <v>220117</v>
          </cell>
          <cell r="N1330" t="str">
            <v>PROPAN PU</v>
          </cell>
        </row>
        <row r="1331">
          <cell r="C1331" t="str">
            <v>100004207</v>
          </cell>
          <cell r="D1331" t="str">
            <v>PUL-747 2K BÓNG 100% VN-1K</v>
          </cell>
          <cell r="E1331" t="str">
            <v>ZFGD</v>
          </cell>
          <cell r="F1331" t="str">
            <v>PC</v>
          </cell>
          <cell r="G1331" t="str">
            <v>2</v>
          </cell>
          <cell r="H1331" t="str">
            <v>RETAIL</v>
          </cell>
          <cell r="I1331" t="str">
            <v>22</v>
          </cell>
          <cell r="J1331" t="str">
            <v>WF2</v>
          </cell>
          <cell r="K1331" t="str">
            <v>2201</v>
          </cell>
          <cell r="L1331" t="str">
            <v>PU COATING</v>
          </cell>
          <cell r="M1331" t="str">
            <v>220117</v>
          </cell>
          <cell r="N1331" t="str">
            <v>PROPAN PU</v>
          </cell>
        </row>
        <row r="1332">
          <cell r="C1332" t="str">
            <v>100004208</v>
          </cell>
          <cell r="D1332" t="str">
            <v>PUL-747 2K MỜ 70% VN-1K</v>
          </cell>
          <cell r="E1332" t="str">
            <v>ZFGD</v>
          </cell>
          <cell r="F1332" t="str">
            <v>PC</v>
          </cell>
          <cell r="G1332" t="str">
            <v>2</v>
          </cell>
          <cell r="H1332" t="str">
            <v>RETAIL</v>
          </cell>
          <cell r="I1332" t="str">
            <v>22</v>
          </cell>
          <cell r="J1332" t="str">
            <v>WF2</v>
          </cell>
          <cell r="K1332" t="str">
            <v>2201</v>
          </cell>
          <cell r="L1332" t="str">
            <v>PU COATING</v>
          </cell>
          <cell r="M1332" t="str">
            <v>220117</v>
          </cell>
          <cell r="N1332" t="str">
            <v>PROPAN PU</v>
          </cell>
        </row>
        <row r="1333">
          <cell r="C1333" t="str">
            <v>100004209</v>
          </cell>
          <cell r="D1333" t="str">
            <v>PUL-747 2K MỜ 50% VN-1K</v>
          </cell>
          <cell r="E1333" t="str">
            <v>ZFGD</v>
          </cell>
          <cell r="F1333" t="str">
            <v>PC</v>
          </cell>
          <cell r="G1333" t="str">
            <v>2</v>
          </cell>
          <cell r="H1333" t="str">
            <v>RETAIL</v>
          </cell>
          <cell r="I1333" t="str">
            <v>22</v>
          </cell>
          <cell r="J1333" t="str">
            <v>WF2</v>
          </cell>
          <cell r="K1333" t="str">
            <v>2201</v>
          </cell>
          <cell r="L1333" t="str">
            <v>PU COATING</v>
          </cell>
          <cell r="M1333" t="str">
            <v>220117</v>
          </cell>
          <cell r="N1333" t="str">
            <v>PROPAN PU</v>
          </cell>
        </row>
        <row r="1334">
          <cell r="C1334" t="str">
            <v>100004210</v>
          </cell>
          <cell r="D1334" t="str">
            <v>PUL-747 2K MỜ 30% VN-1K</v>
          </cell>
          <cell r="E1334" t="str">
            <v>ZFGD</v>
          </cell>
          <cell r="F1334" t="str">
            <v>PC</v>
          </cell>
          <cell r="G1334" t="str">
            <v>2</v>
          </cell>
          <cell r="H1334" t="str">
            <v>RETAIL</v>
          </cell>
          <cell r="I1334" t="str">
            <v>22</v>
          </cell>
          <cell r="J1334" t="str">
            <v>WF2</v>
          </cell>
          <cell r="K1334" t="str">
            <v>2201</v>
          </cell>
          <cell r="L1334" t="str">
            <v>PU COATING</v>
          </cell>
          <cell r="M1334" t="str">
            <v>220117</v>
          </cell>
          <cell r="N1334" t="str">
            <v>PROPAN PU</v>
          </cell>
        </row>
        <row r="1335">
          <cell r="C1335" t="str">
            <v>100004211</v>
          </cell>
          <cell r="D1335" t="str">
            <v>PUL-765 2K BÓNG 100% VN-0.8K</v>
          </cell>
          <cell r="E1335" t="str">
            <v>ZFGD</v>
          </cell>
          <cell r="F1335" t="str">
            <v>PC</v>
          </cell>
          <cell r="G1335" t="str">
            <v>2</v>
          </cell>
          <cell r="H1335" t="str">
            <v>RETAIL</v>
          </cell>
          <cell r="I1335" t="str">
            <v>22</v>
          </cell>
          <cell r="J1335" t="str">
            <v>WF2</v>
          </cell>
          <cell r="K1335" t="str">
            <v>2216</v>
          </cell>
          <cell r="L1335" t="str">
            <v>PU MULTIPURPOSE</v>
          </cell>
          <cell r="M1335" t="str">
            <v>221601</v>
          </cell>
          <cell r="N1335" t="str">
            <v>PROPAN MP PU ACR RMX</v>
          </cell>
        </row>
        <row r="1336">
          <cell r="C1336" t="str">
            <v>100004212</v>
          </cell>
          <cell r="D1336" t="str">
            <v>PUL-765 2K MỜ 50% VN-0.8K</v>
          </cell>
          <cell r="E1336" t="str">
            <v>ZFGD</v>
          </cell>
          <cell r="F1336" t="str">
            <v>PC</v>
          </cell>
          <cell r="G1336" t="str">
            <v>2</v>
          </cell>
          <cell r="H1336" t="str">
            <v>RETAIL</v>
          </cell>
          <cell r="I1336" t="str">
            <v>22</v>
          </cell>
          <cell r="J1336" t="str">
            <v>WF2</v>
          </cell>
          <cell r="K1336" t="str">
            <v>2216</v>
          </cell>
          <cell r="L1336" t="str">
            <v>PU MULTIPURPOSE</v>
          </cell>
          <cell r="M1336" t="str">
            <v>221601</v>
          </cell>
          <cell r="N1336" t="str">
            <v>PROPAN MP PU ACR RMX</v>
          </cell>
        </row>
        <row r="1337">
          <cell r="C1337" t="str">
            <v>100004213</v>
          </cell>
          <cell r="D1337" t="str">
            <v>PUL-765 2K MỜ 70% VN-0.8K</v>
          </cell>
          <cell r="E1337" t="str">
            <v>ZFGD</v>
          </cell>
          <cell r="F1337" t="str">
            <v>PC</v>
          </cell>
          <cell r="G1337" t="str">
            <v>2</v>
          </cell>
          <cell r="H1337" t="str">
            <v>RETAIL</v>
          </cell>
          <cell r="I1337" t="str">
            <v>22</v>
          </cell>
          <cell r="J1337" t="str">
            <v>WF2</v>
          </cell>
          <cell r="K1337" t="str">
            <v>2216</v>
          </cell>
          <cell r="L1337" t="str">
            <v>PU MULTIPURPOSE</v>
          </cell>
          <cell r="M1337" t="str">
            <v>221601</v>
          </cell>
          <cell r="N1337" t="str">
            <v>PROPAN MP PU ACR RMX</v>
          </cell>
        </row>
        <row r="1338">
          <cell r="C1338" t="str">
            <v>100004214</v>
          </cell>
          <cell r="D1338" t="str">
            <v>PUL-765 2K MỜ 90% VN-0.8K</v>
          </cell>
          <cell r="E1338" t="str">
            <v>ZFGD</v>
          </cell>
          <cell r="F1338" t="str">
            <v>PC</v>
          </cell>
          <cell r="G1338" t="str">
            <v>2</v>
          </cell>
          <cell r="H1338" t="str">
            <v>RETAIL</v>
          </cell>
          <cell r="I1338" t="str">
            <v>22</v>
          </cell>
          <cell r="J1338" t="str">
            <v>WF2</v>
          </cell>
          <cell r="K1338" t="str">
            <v>2216</v>
          </cell>
          <cell r="L1338" t="str">
            <v>PU MULTIPURPOSE</v>
          </cell>
          <cell r="M1338" t="str">
            <v>221601</v>
          </cell>
          <cell r="N1338" t="str">
            <v>PROPAN MP PU ACR RMX</v>
          </cell>
        </row>
        <row r="1339">
          <cell r="C1339" t="str">
            <v>100004215</v>
          </cell>
          <cell r="D1339" t="str">
            <v>HARDENER PUH-761 VN-0.2K</v>
          </cell>
          <cell r="E1339" t="str">
            <v>ZFGD</v>
          </cell>
          <cell r="F1339" t="str">
            <v>PC</v>
          </cell>
          <cell r="G1339" t="str">
            <v>2</v>
          </cell>
          <cell r="H1339" t="str">
            <v>RETAIL</v>
          </cell>
          <cell r="I1339" t="str">
            <v>22</v>
          </cell>
          <cell r="J1339" t="str">
            <v>WF2</v>
          </cell>
          <cell r="K1339" t="str">
            <v>2216</v>
          </cell>
          <cell r="L1339" t="str">
            <v>PU MULTIPURPOSE</v>
          </cell>
          <cell r="M1339" t="str">
            <v>221601</v>
          </cell>
          <cell r="N1339" t="str">
            <v>PROPAN MP PU ACR RMX</v>
          </cell>
        </row>
        <row r="1340">
          <cell r="C1340" t="str">
            <v>100004216</v>
          </cell>
          <cell r="D1340" t="str">
            <v>HARDENER PUH-761 VN-1K</v>
          </cell>
          <cell r="E1340" t="str">
            <v>ZFGD</v>
          </cell>
          <cell r="F1340" t="str">
            <v>PC</v>
          </cell>
          <cell r="G1340" t="str">
            <v>2</v>
          </cell>
          <cell r="H1340" t="str">
            <v>RETAIL</v>
          </cell>
          <cell r="I1340" t="str">
            <v>22</v>
          </cell>
          <cell r="J1340" t="str">
            <v>WF2</v>
          </cell>
          <cell r="K1340" t="str">
            <v>2216</v>
          </cell>
          <cell r="L1340" t="str">
            <v>PU MULTIPURPOSE</v>
          </cell>
          <cell r="M1340" t="str">
            <v>221601</v>
          </cell>
          <cell r="N1340" t="str">
            <v>PROPAN MP PU ACR RMX</v>
          </cell>
        </row>
        <row r="1341">
          <cell r="C1341" t="str">
            <v>100004217</v>
          </cell>
          <cell r="D1341" t="str">
            <v>PUC-786 2K ĐEN BÓNG SK012 VN-0.8K</v>
          </cell>
          <cell r="E1341" t="str">
            <v>ZFGD</v>
          </cell>
          <cell r="F1341" t="str">
            <v>PC</v>
          </cell>
          <cell r="G1341" t="str">
            <v>2</v>
          </cell>
          <cell r="H1341" t="str">
            <v>RETAIL</v>
          </cell>
          <cell r="I1341" t="str">
            <v>22</v>
          </cell>
          <cell r="J1341" t="str">
            <v>WF2</v>
          </cell>
          <cell r="K1341" t="str">
            <v>2216</v>
          </cell>
          <cell r="L1341" t="str">
            <v>PU MULTIPURPOSE</v>
          </cell>
          <cell r="M1341" t="str">
            <v>221601</v>
          </cell>
          <cell r="N1341" t="str">
            <v>PROPAN MP PU ACR RMX</v>
          </cell>
        </row>
        <row r="1342">
          <cell r="C1342" t="str">
            <v>100004218</v>
          </cell>
          <cell r="D1342" t="str">
            <v>PUC-786 2K CHILI RED GLOSS VN-0.8K</v>
          </cell>
          <cell r="E1342" t="str">
            <v>ZFGD</v>
          </cell>
          <cell r="F1342" t="str">
            <v>PC</v>
          </cell>
          <cell r="G1342" t="str">
            <v>2</v>
          </cell>
          <cell r="H1342" t="str">
            <v>RETAIL</v>
          </cell>
          <cell r="I1342" t="str">
            <v>22</v>
          </cell>
          <cell r="J1342" t="str">
            <v>WF2</v>
          </cell>
          <cell r="K1342" t="str">
            <v>2216</v>
          </cell>
          <cell r="L1342" t="str">
            <v>PU MULTIPURPOSE</v>
          </cell>
          <cell r="M1342" t="str">
            <v>221601</v>
          </cell>
          <cell r="N1342" t="str">
            <v>PROPAN MP PU ACR RMX</v>
          </cell>
        </row>
        <row r="1343">
          <cell r="C1343" t="str">
            <v>100004219</v>
          </cell>
          <cell r="D1343" t="str">
            <v>PUC-786 2K KEM LỢT SK002 VN-0.8K</v>
          </cell>
          <cell r="E1343" t="str">
            <v>ZFGD</v>
          </cell>
          <cell r="F1343" t="str">
            <v>PC</v>
          </cell>
          <cell r="G1343" t="str">
            <v>2</v>
          </cell>
          <cell r="H1343" t="str">
            <v>RETAIL</v>
          </cell>
          <cell r="I1343" t="str">
            <v>22</v>
          </cell>
          <cell r="J1343" t="str">
            <v>WF2</v>
          </cell>
          <cell r="K1343" t="str">
            <v>2216</v>
          </cell>
          <cell r="L1343" t="str">
            <v>PU MULTIPURPOSE</v>
          </cell>
          <cell r="M1343" t="str">
            <v>221601</v>
          </cell>
          <cell r="N1343" t="str">
            <v>PROPAN MP PU ACR RMX</v>
          </cell>
        </row>
        <row r="1344">
          <cell r="C1344" t="str">
            <v>100004220</v>
          </cell>
          <cell r="D1344" t="str">
            <v>PUC-786 2K TRẮNG BÓNG SK006 VN-0.8K</v>
          </cell>
          <cell r="E1344" t="str">
            <v>ZFGD</v>
          </cell>
          <cell r="F1344" t="str">
            <v>PC</v>
          </cell>
          <cell r="G1344" t="str">
            <v>2</v>
          </cell>
          <cell r="H1344" t="str">
            <v>RETAIL</v>
          </cell>
          <cell r="I1344" t="str">
            <v>22</v>
          </cell>
          <cell r="J1344" t="str">
            <v>WF2</v>
          </cell>
          <cell r="K1344" t="str">
            <v>2216</v>
          </cell>
          <cell r="L1344" t="str">
            <v>PU MULTIPURPOSE</v>
          </cell>
          <cell r="M1344" t="str">
            <v>221601</v>
          </cell>
          <cell r="N1344" t="str">
            <v>PROPAN MP PU ACR RMX</v>
          </cell>
        </row>
        <row r="1345">
          <cell r="C1345" t="str">
            <v>100004221</v>
          </cell>
          <cell r="D1345" t="str">
            <v>PUC-786 2K LEMON YELLOW GLOSS VN-0.8K</v>
          </cell>
          <cell r="E1345" t="str">
            <v>ZFGD</v>
          </cell>
          <cell r="F1345" t="str">
            <v>PC</v>
          </cell>
          <cell r="G1345" t="str">
            <v>2</v>
          </cell>
          <cell r="H1345" t="str">
            <v>RETAIL</v>
          </cell>
          <cell r="I1345" t="str">
            <v>22</v>
          </cell>
          <cell r="J1345" t="str">
            <v>WF2</v>
          </cell>
          <cell r="K1345" t="str">
            <v>2216</v>
          </cell>
          <cell r="L1345" t="str">
            <v>PU MULTIPURPOSE</v>
          </cell>
          <cell r="M1345" t="str">
            <v>221601</v>
          </cell>
          <cell r="N1345" t="str">
            <v>PROPAN MP PU ACR RMX</v>
          </cell>
        </row>
        <row r="1346">
          <cell r="C1346" t="str">
            <v>100004222</v>
          </cell>
          <cell r="D1346" t="str">
            <v>PUC-786 2K XÁM ĐẬM SK004 VN-0.8K</v>
          </cell>
          <cell r="E1346" t="str">
            <v>ZFGD</v>
          </cell>
          <cell r="F1346" t="str">
            <v>PC</v>
          </cell>
          <cell r="G1346" t="str">
            <v>2</v>
          </cell>
          <cell r="H1346" t="str">
            <v>RETAIL</v>
          </cell>
          <cell r="I1346" t="str">
            <v>22</v>
          </cell>
          <cell r="J1346" t="str">
            <v>WF2</v>
          </cell>
          <cell r="K1346" t="str">
            <v>2216</v>
          </cell>
          <cell r="L1346" t="str">
            <v>PU MULTIPURPOSE</v>
          </cell>
          <cell r="M1346" t="str">
            <v>221601</v>
          </cell>
          <cell r="N1346" t="str">
            <v>PROPAN MP PU ACR RMX</v>
          </cell>
        </row>
        <row r="1347">
          <cell r="C1347" t="str">
            <v>100004223</v>
          </cell>
          <cell r="D1347" t="str">
            <v>PUC-786 2K XÁM NHẠT SK011 VN-0.8K</v>
          </cell>
          <cell r="E1347" t="str">
            <v>ZFGD</v>
          </cell>
          <cell r="F1347" t="str">
            <v>PC</v>
          </cell>
          <cell r="G1347" t="str">
            <v>2</v>
          </cell>
          <cell r="H1347" t="str">
            <v>RETAIL</v>
          </cell>
          <cell r="I1347" t="str">
            <v>22</v>
          </cell>
          <cell r="J1347" t="str">
            <v>WF2</v>
          </cell>
          <cell r="K1347" t="str">
            <v>2216</v>
          </cell>
          <cell r="L1347" t="str">
            <v>PU MULTIPURPOSE</v>
          </cell>
          <cell r="M1347" t="str">
            <v>221601</v>
          </cell>
          <cell r="N1347" t="str">
            <v>PROPAN MP PU ACR RMX</v>
          </cell>
        </row>
        <row r="1348">
          <cell r="C1348" t="str">
            <v>100004224</v>
          </cell>
          <cell r="D1348" t="str">
            <v>PUC-786 2K XANH CHUỐI SK005 VN-0.8K</v>
          </cell>
          <cell r="E1348" t="str">
            <v>ZFGD</v>
          </cell>
          <cell r="F1348" t="str">
            <v>PC</v>
          </cell>
          <cell r="G1348" t="str">
            <v>2</v>
          </cell>
          <cell r="H1348" t="str">
            <v>RETAIL</v>
          </cell>
          <cell r="I1348" t="str">
            <v>22</v>
          </cell>
          <cell r="J1348" t="str">
            <v>WF2</v>
          </cell>
          <cell r="K1348" t="str">
            <v>2216</v>
          </cell>
          <cell r="L1348" t="str">
            <v>PU MULTIPURPOSE</v>
          </cell>
          <cell r="M1348" t="str">
            <v>221601</v>
          </cell>
          <cell r="N1348" t="str">
            <v>PROPAN MP PU ACR RMX</v>
          </cell>
        </row>
        <row r="1349">
          <cell r="C1349" t="str">
            <v>100004225</v>
          </cell>
          <cell r="D1349" t="str">
            <v>PUC-786 2K XANH DA TRỜI SK007 VN-0.8K</v>
          </cell>
          <cell r="E1349" t="str">
            <v>ZFGD</v>
          </cell>
          <cell r="F1349" t="str">
            <v>PC</v>
          </cell>
          <cell r="G1349" t="str">
            <v>2</v>
          </cell>
          <cell r="H1349" t="str">
            <v>RETAIL</v>
          </cell>
          <cell r="I1349" t="str">
            <v>22</v>
          </cell>
          <cell r="J1349" t="str">
            <v>WF2</v>
          </cell>
          <cell r="K1349" t="str">
            <v>2216</v>
          </cell>
          <cell r="L1349" t="str">
            <v>PU MULTIPURPOSE</v>
          </cell>
          <cell r="M1349" t="str">
            <v>221601</v>
          </cell>
          <cell r="N1349" t="str">
            <v>PROPAN MP PU ACR RMX</v>
          </cell>
        </row>
        <row r="1350">
          <cell r="C1350" t="str">
            <v>100004226</v>
          </cell>
          <cell r="D1350" t="str">
            <v>PUC-786 2K XANH ĐẬM SK009 VN-0.8K</v>
          </cell>
          <cell r="E1350" t="str">
            <v>ZFGD</v>
          </cell>
          <cell r="F1350" t="str">
            <v>PC</v>
          </cell>
          <cell r="G1350" t="str">
            <v>2</v>
          </cell>
          <cell r="H1350" t="str">
            <v>RETAIL</v>
          </cell>
          <cell r="I1350" t="str">
            <v>22</v>
          </cell>
          <cell r="J1350" t="str">
            <v>WF2</v>
          </cell>
          <cell r="K1350" t="str">
            <v>2216</v>
          </cell>
          <cell r="L1350" t="str">
            <v>PU MULTIPURPOSE</v>
          </cell>
          <cell r="M1350" t="str">
            <v>221601</v>
          </cell>
          <cell r="N1350" t="str">
            <v>PROPAN MP PU ACR RMX</v>
          </cell>
        </row>
        <row r="1351">
          <cell r="C1351" t="str">
            <v>100004227</v>
          </cell>
          <cell r="D1351" t="str">
            <v>PUC-786 2K XANH DƯƠNG SK008 VN-0.8K</v>
          </cell>
          <cell r="E1351" t="str">
            <v>ZFGD</v>
          </cell>
          <cell r="F1351" t="str">
            <v>PC</v>
          </cell>
          <cell r="G1351" t="str">
            <v>2</v>
          </cell>
          <cell r="H1351" t="str">
            <v>RETAIL</v>
          </cell>
          <cell r="I1351" t="str">
            <v>22</v>
          </cell>
          <cell r="J1351" t="str">
            <v>WF2</v>
          </cell>
          <cell r="K1351" t="str">
            <v>2216</v>
          </cell>
          <cell r="L1351" t="str">
            <v>PU MULTIPURPOSE</v>
          </cell>
          <cell r="M1351" t="str">
            <v>221601</v>
          </cell>
          <cell r="N1351" t="str">
            <v>PROPAN MP PU ACR RMX</v>
          </cell>
        </row>
        <row r="1352">
          <cell r="C1352" t="str">
            <v>100004228</v>
          </cell>
          <cell r="D1352" t="str">
            <v>PUC-786 2K XANH NGỌC SK010 VN-0.8K</v>
          </cell>
          <cell r="E1352" t="str">
            <v>ZFGD</v>
          </cell>
          <cell r="F1352" t="str">
            <v>PC</v>
          </cell>
          <cell r="G1352" t="str">
            <v>2</v>
          </cell>
          <cell r="H1352" t="str">
            <v>RETAIL</v>
          </cell>
          <cell r="I1352" t="str">
            <v>22</v>
          </cell>
          <cell r="J1352" t="str">
            <v>WF2</v>
          </cell>
          <cell r="K1352" t="str">
            <v>2216</v>
          </cell>
          <cell r="L1352" t="str">
            <v>PU MULTIPURPOSE</v>
          </cell>
          <cell r="M1352" t="str">
            <v>221601</v>
          </cell>
          <cell r="N1352" t="str">
            <v>PROPAN MP PU ACR RMX</v>
          </cell>
        </row>
        <row r="1353">
          <cell r="C1353" t="str">
            <v>100004229</v>
          </cell>
          <cell r="D1353" t="str">
            <v>PUSS-760 2K LÓT TRONG VN-0.8K</v>
          </cell>
          <cell r="E1353" t="str">
            <v>ZFGD</v>
          </cell>
          <cell r="F1353" t="str">
            <v>PC</v>
          </cell>
          <cell r="G1353" t="str">
            <v>2</v>
          </cell>
          <cell r="H1353" t="str">
            <v>RETAIL</v>
          </cell>
          <cell r="I1353" t="str">
            <v>22</v>
          </cell>
          <cell r="J1353" t="str">
            <v>WF2</v>
          </cell>
          <cell r="K1353" t="str">
            <v>2216</v>
          </cell>
          <cell r="L1353" t="str">
            <v>PU MULTIPURPOSE</v>
          </cell>
          <cell r="M1353" t="str">
            <v>221601</v>
          </cell>
          <cell r="N1353" t="str">
            <v>PROPAN MP PU ACR RMX</v>
          </cell>
        </row>
        <row r="1354">
          <cell r="C1354" t="str">
            <v>100004230</v>
          </cell>
          <cell r="D1354" t="str">
            <v>PUSF-781 2K LÓT TRẮNG VN-0.8K</v>
          </cell>
          <cell r="E1354" t="str">
            <v>ZFGD</v>
          </cell>
          <cell r="F1354" t="str">
            <v>PC</v>
          </cell>
          <cell r="G1354" t="str">
            <v>2</v>
          </cell>
          <cell r="H1354" t="str">
            <v>RETAIL</v>
          </cell>
          <cell r="I1354" t="str">
            <v>22</v>
          </cell>
          <cell r="J1354" t="str">
            <v>WF2</v>
          </cell>
          <cell r="K1354" t="str">
            <v>2216</v>
          </cell>
          <cell r="L1354" t="str">
            <v>PU MULTIPURPOSE</v>
          </cell>
          <cell r="M1354" t="str">
            <v>221601</v>
          </cell>
          <cell r="N1354" t="str">
            <v>PROPAN MP PU ACR RMX</v>
          </cell>
        </row>
        <row r="1355">
          <cell r="C1355" t="str">
            <v>100004231</v>
          </cell>
          <cell r="D1355" t="str">
            <v>PUL-745 2K MỜ 90% VN-4K</v>
          </cell>
          <cell r="E1355" t="str">
            <v>ZFGD</v>
          </cell>
          <cell r="F1355" t="str">
            <v>PC</v>
          </cell>
          <cell r="G1355" t="str">
            <v>2</v>
          </cell>
          <cell r="H1355" t="str">
            <v>RETAIL</v>
          </cell>
          <cell r="I1355" t="str">
            <v>22</v>
          </cell>
          <cell r="J1355" t="str">
            <v>WF2</v>
          </cell>
          <cell r="K1355" t="str">
            <v>2212</v>
          </cell>
          <cell r="L1355" t="str">
            <v>PU EASY TO USE</v>
          </cell>
          <cell r="M1355" t="str">
            <v>221201</v>
          </cell>
          <cell r="N1355" t="str">
            <v>PROPAN EASY TO USE PU</v>
          </cell>
        </row>
        <row r="1356">
          <cell r="C1356" t="str">
            <v>100004232</v>
          </cell>
          <cell r="D1356" t="str">
            <v>PUL-745 2K BÓNG 100% VN-4K</v>
          </cell>
          <cell r="E1356" t="str">
            <v>ZFGD</v>
          </cell>
          <cell r="F1356" t="str">
            <v>PC</v>
          </cell>
          <cell r="G1356" t="str">
            <v>2</v>
          </cell>
          <cell r="H1356" t="str">
            <v>RETAIL</v>
          </cell>
          <cell r="I1356" t="str">
            <v>22</v>
          </cell>
          <cell r="J1356" t="str">
            <v>WF2</v>
          </cell>
          <cell r="K1356" t="str">
            <v>2212</v>
          </cell>
          <cell r="L1356" t="str">
            <v>PU EASY TO USE</v>
          </cell>
          <cell r="M1356" t="str">
            <v>221201</v>
          </cell>
          <cell r="N1356" t="str">
            <v>PROPAN EASY TO USE PU</v>
          </cell>
        </row>
        <row r="1357">
          <cell r="C1357" t="str">
            <v>100004233</v>
          </cell>
          <cell r="D1357" t="str">
            <v>PUL-745 2K MỜ 70% VN-4K</v>
          </cell>
          <cell r="E1357" t="str">
            <v>ZFGD</v>
          </cell>
          <cell r="F1357" t="str">
            <v>PC</v>
          </cell>
          <cell r="G1357" t="str">
            <v>2</v>
          </cell>
          <cell r="H1357" t="str">
            <v>RETAIL</v>
          </cell>
          <cell r="I1357" t="str">
            <v>22</v>
          </cell>
          <cell r="J1357" t="str">
            <v>WF2</v>
          </cell>
          <cell r="K1357" t="str">
            <v>2212</v>
          </cell>
          <cell r="L1357" t="str">
            <v>PU EASY TO USE</v>
          </cell>
          <cell r="M1357" t="str">
            <v>221201</v>
          </cell>
          <cell r="N1357" t="str">
            <v>PROPAN EASY TO USE PU</v>
          </cell>
        </row>
        <row r="1358">
          <cell r="C1358" t="str">
            <v>100004234</v>
          </cell>
          <cell r="D1358" t="str">
            <v>PUL-745 2K MỜ 100% VN-4K</v>
          </cell>
          <cell r="E1358" t="str">
            <v>ZFGD</v>
          </cell>
          <cell r="F1358" t="str">
            <v>PC</v>
          </cell>
          <cell r="G1358" t="str">
            <v>2</v>
          </cell>
          <cell r="H1358" t="str">
            <v>RETAIL</v>
          </cell>
          <cell r="I1358" t="str">
            <v>22</v>
          </cell>
          <cell r="J1358" t="str">
            <v>WF2</v>
          </cell>
          <cell r="K1358" t="str">
            <v>2212</v>
          </cell>
          <cell r="L1358" t="str">
            <v>PU EASY TO USE</v>
          </cell>
          <cell r="M1358" t="str">
            <v>221201</v>
          </cell>
          <cell r="N1358" t="str">
            <v>PROPAN EASY TO USE PU</v>
          </cell>
        </row>
        <row r="1359">
          <cell r="C1359" t="str">
            <v>100004235</v>
          </cell>
          <cell r="D1359" t="str">
            <v>PUL-745 2K MỜ 50% VN-4K</v>
          </cell>
          <cell r="E1359" t="str">
            <v>ZFGD</v>
          </cell>
          <cell r="F1359" t="str">
            <v>PC</v>
          </cell>
          <cell r="G1359" t="str">
            <v>2</v>
          </cell>
          <cell r="H1359" t="str">
            <v>RETAIL</v>
          </cell>
          <cell r="I1359" t="str">
            <v>22</v>
          </cell>
          <cell r="J1359" t="str">
            <v>WF2</v>
          </cell>
          <cell r="K1359" t="str">
            <v>2212</v>
          </cell>
          <cell r="L1359" t="str">
            <v>PU EASY TO USE</v>
          </cell>
          <cell r="M1359" t="str">
            <v>221201</v>
          </cell>
          <cell r="N1359" t="str">
            <v>PROPAN EASY TO USE PU</v>
          </cell>
        </row>
        <row r="1360">
          <cell r="C1360" t="str">
            <v>100004236</v>
          </cell>
          <cell r="D1360" t="str">
            <v>PUL-747 2K MỜ 100% VN-4K</v>
          </cell>
          <cell r="E1360" t="str">
            <v>ZFGD</v>
          </cell>
          <cell r="F1360" t="str">
            <v>PC</v>
          </cell>
          <cell r="G1360" t="str">
            <v>2</v>
          </cell>
          <cell r="H1360" t="str">
            <v>RETAIL</v>
          </cell>
          <cell r="I1360" t="str">
            <v>22</v>
          </cell>
          <cell r="J1360" t="str">
            <v>WF2</v>
          </cell>
          <cell r="K1360" t="str">
            <v>2201</v>
          </cell>
          <cell r="L1360" t="str">
            <v>PU COATING</v>
          </cell>
          <cell r="M1360" t="str">
            <v>220117</v>
          </cell>
          <cell r="N1360" t="str">
            <v>PROPAN PU</v>
          </cell>
        </row>
        <row r="1361">
          <cell r="C1361" t="str">
            <v>100004237</v>
          </cell>
          <cell r="D1361" t="str">
            <v>PUL-747 2K BÓNG 100% VN-4K</v>
          </cell>
          <cell r="E1361" t="str">
            <v>ZFGD</v>
          </cell>
          <cell r="F1361" t="str">
            <v>PC</v>
          </cell>
          <cell r="G1361" t="str">
            <v>2</v>
          </cell>
          <cell r="H1361" t="str">
            <v>RETAIL</v>
          </cell>
          <cell r="I1361" t="str">
            <v>22</v>
          </cell>
          <cell r="J1361" t="str">
            <v>WF2</v>
          </cell>
          <cell r="K1361" t="str">
            <v>2201</v>
          </cell>
          <cell r="L1361" t="str">
            <v>PU COATING</v>
          </cell>
          <cell r="M1361" t="str">
            <v>220117</v>
          </cell>
          <cell r="N1361" t="str">
            <v>PROPAN PU</v>
          </cell>
        </row>
        <row r="1362">
          <cell r="C1362" t="str">
            <v>100004238</v>
          </cell>
          <cell r="D1362" t="str">
            <v>PUL-747 2K MỜ 70% VN-4K</v>
          </cell>
          <cell r="E1362" t="str">
            <v>ZFGD</v>
          </cell>
          <cell r="F1362" t="str">
            <v>PC</v>
          </cell>
          <cell r="G1362" t="str">
            <v>2</v>
          </cell>
          <cell r="H1362" t="str">
            <v>RETAIL</v>
          </cell>
          <cell r="I1362" t="str">
            <v>22</v>
          </cell>
          <cell r="J1362" t="str">
            <v>WF2</v>
          </cell>
          <cell r="K1362" t="str">
            <v>2201</v>
          </cell>
          <cell r="L1362" t="str">
            <v>PU COATING</v>
          </cell>
          <cell r="M1362" t="str">
            <v>220117</v>
          </cell>
          <cell r="N1362" t="str">
            <v>PROPAN PU</v>
          </cell>
        </row>
        <row r="1363">
          <cell r="C1363" t="str">
            <v>100004239</v>
          </cell>
          <cell r="D1363" t="str">
            <v>PUL-747 2K MỜ 50% VN-4K</v>
          </cell>
          <cell r="E1363" t="str">
            <v>ZFGD</v>
          </cell>
          <cell r="F1363" t="str">
            <v>PC</v>
          </cell>
          <cell r="G1363" t="str">
            <v>2</v>
          </cell>
          <cell r="H1363" t="str">
            <v>RETAIL</v>
          </cell>
          <cell r="I1363" t="str">
            <v>22</v>
          </cell>
          <cell r="J1363" t="str">
            <v>WF2</v>
          </cell>
          <cell r="K1363" t="str">
            <v>2201</v>
          </cell>
          <cell r="L1363" t="str">
            <v>PU COATING</v>
          </cell>
          <cell r="M1363" t="str">
            <v>220117</v>
          </cell>
          <cell r="N1363" t="str">
            <v>PROPAN PU</v>
          </cell>
        </row>
        <row r="1364">
          <cell r="C1364" t="str">
            <v>100004240</v>
          </cell>
          <cell r="D1364" t="str">
            <v>PUL-747 2K MỜ 30% VN-4K</v>
          </cell>
          <cell r="E1364" t="str">
            <v>ZFGD</v>
          </cell>
          <cell r="F1364" t="str">
            <v>PC</v>
          </cell>
          <cell r="G1364" t="str">
            <v>2</v>
          </cell>
          <cell r="H1364" t="str">
            <v>RETAIL</v>
          </cell>
          <cell r="I1364" t="str">
            <v>22</v>
          </cell>
          <cell r="J1364" t="str">
            <v>WF2</v>
          </cell>
          <cell r="K1364" t="str">
            <v>2201</v>
          </cell>
          <cell r="L1364" t="str">
            <v>PU COATING</v>
          </cell>
          <cell r="M1364" t="str">
            <v>220117</v>
          </cell>
          <cell r="N1364" t="str">
            <v>PROPAN PU</v>
          </cell>
        </row>
        <row r="1365">
          <cell r="C1365" t="str">
            <v>100004241</v>
          </cell>
          <cell r="D1365" t="str">
            <v>PUL-765 2K BÓNG 100% VN-4K</v>
          </cell>
          <cell r="E1365" t="str">
            <v>ZFGD</v>
          </cell>
          <cell r="F1365" t="str">
            <v>PC</v>
          </cell>
          <cell r="G1365" t="str">
            <v>2</v>
          </cell>
          <cell r="H1365" t="str">
            <v>RETAIL</v>
          </cell>
          <cell r="I1365" t="str">
            <v>22</v>
          </cell>
          <cell r="J1365" t="str">
            <v>WF2</v>
          </cell>
          <cell r="K1365" t="str">
            <v>2216</v>
          </cell>
          <cell r="L1365" t="str">
            <v>PU MULTIPURPOSE</v>
          </cell>
          <cell r="M1365" t="str">
            <v>221601</v>
          </cell>
          <cell r="N1365" t="str">
            <v>PROPAN MP PU ACR RMX</v>
          </cell>
        </row>
        <row r="1366">
          <cell r="C1366" t="str">
            <v>100004242</v>
          </cell>
          <cell r="D1366" t="str">
            <v>PUL-765 2K MỜ 50% VN-4K</v>
          </cell>
          <cell r="E1366" t="str">
            <v>ZFGD</v>
          </cell>
          <cell r="F1366" t="str">
            <v>PC</v>
          </cell>
          <cell r="G1366" t="str">
            <v>2</v>
          </cell>
          <cell r="H1366" t="str">
            <v>RETAIL</v>
          </cell>
          <cell r="I1366" t="str">
            <v>22</v>
          </cell>
          <cell r="J1366" t="str">
            <v>WF2</v>
          </cell>
          <cell r="K1366" t="str">
            <v>2216</v>
          </cell>
          <cell r="L1366" t="str">
            <v>PU MULTIPURPOSE</v>
          </cell>
          <cell r="M1366" t="str">
            <v>221601</v>
          </cell>
          <cell r="N1366" t="str">
            <v>PROPAN MP PU ACR RMX</v>
          </cell>
        </row>
        <row r="1367">
          <cell r="C1367" t="str">
            <v>100004243</v>
          </cell>
          <cell r="D1367" t="str">
            <v>PUL-765 2K MỜ 70% VN-4K</v>
          </cell>
          <cell r="E1367" t="str">
            <v>ZFGD</v>
          </cell>
          <cell r="F1367" t="str">
            <v>PC</v>
          </cell>
          <cell r="G1367" t="str">
            <v>2</v>
          </cell>
          <cell r="H1367" t="str">
            <v>RETAIL</v>
          </cell>
          <cell r="I1367" t="str">
            <v>22</v>
          </cell>
          <cell r="J1367" t="str">
            <v>WF2</v>
          </cell>
          <cell r="K1367" t="str">
            <v>2216</v>
          </cell>
          <cell r="L1367" t="str">
            <v>PU MULTIPURPOSE</v>
          </cell>
          <cell r="M1367" t="str">
            <v>221601</v>
          </cell>
          <cell r="N1367" t="str">
            <v>PROPAN MP PU ACR RMX</v>
          </cell>
        </row>
        <row r="1368">
          <cell r="C1368" t="str">
            <v>100004244</v>
          </cell>
          <cell r="D1368" t="str">
            <v>PUL-765 2K MỜ 90% VN-4K</v>
          </cell>
          <cell r="E1368" t="str">
            <v>ZFGD</v>
          </cell>
          <cell r="F1368" t="str">
            <v>PC</v>
          </cell>
          <cell r="G1368" t="str">
            <v>2</v>
          </cell>
          <cell r="H1368" t="str">
            <v>RETAIL</v>
          </cell>
          <cell r="I1368" t="str">
            <v>22</v>
          </cell>
          <cell r="J1368" t="str">
            <v>WF2</v>
          </cell>
          <cell r="K1368" t="str">
            <v>2216</v>
          </cell>
          <cell r="L1368" t="str">
            <v>PU MULTIPURPOSE</v>
          </cell>
          <cell r="M1368" t="str">
            <v>221601</v>
          </cell>
          <cell r="N1368" t="str">
            <v>PROPAN MP PU ACR RMX</v>
          </cell>
        </row>
        <row r="1369">
          <cell r="C1369" t="str">
            <v>100004245</v>
          </cell>
          <cell r="D1369" t="str">
            <v>PUC-786 2K ÐEN BÓNG SK012 VN-4K</v>
          </cell>
          <cell r="E1369" t="str">
            <v>ZFGD</v>
          </cell>
          <cell r="F1369" t="str">
            <v>PC</v>
          </cell>
          <cell r="G1369" t="str">
            <v>2</v>
          </cell>
          <cell r="H1369" t="str">
            <v>RETAIL</v>
          </cell>
          <cell r="I1369" t="str">
            <v>22</v>
          </cell>
          <cell r="J1369" t="str">
            <v>WF2</v>
          </cell>
          <cell r="K1369" t="str">
            <v>2216</v>
          </cell>
          <cell r="L1369" t="str">
            <v>PU MULTIPURPOSE</v>
          </cell>
          <cell r="M1369" t="str">
            <v>221601</v>
          </cell>
          <cell r="N1369" t="str">
            <v>PROPAN MP PU ACR RMX</v>
          </cell>
        </row>
        <row r="1370">
          <cell r="C1370" t="str">
            <v>100004246</v>
          </cell>
          <cell r="D1370" t="str">
            <v>PUC-786 2K CHILI RED GLOSS VN-4K</v>
          </cell>
          <cell r="E1370" t="str">
            <v>ZFGD</v>
          </cell>
          <cell r="F1370" t="str">
            <v>PC</v>
          </cell>
          <cell r="G1370" t="str">
            <v>2</v>
          </cell>
          <cell r="H1370" t="str">
            <v>RETAIL</v>
          </cell>
          <cell r="I1370" t="str">
            <v>22</v>
          </cell>
          <cell r="J1370" t="str">
            <v>WF2</v>
          </cell>
          <cell r="K1370" t="str">
            <v>2216</v>
          </cell>
          <cell r="L1370" t="str">
            <v>PU MULTIPURPOSE</v>
          </cell>
          <cell r="M1370" t="str">
            <v>221601</v>
          </cell>
          <cell r="N1370" t="str">
            <v>PROPAN MP PU ACR RMX</v>
          </cell>
        </row>
        <row r="1371">
          <cell r="C1371" t="str">
            <v>100004247</v>
          </cell>
          <cell r="D1371" t="str">
            <v>PUC-786 2K KEM LỢT SK002 VN-4K</v>
          </cell>
          <cell r="E1371" t="str">
            <v>ZFGD</v>
          </cell>
          <cell r="F1371" t="str">
            <v>PC</v>
          </cell>
          <cell r="G1371" t="str">
            <v>2</v>
          </cell>
          <cell r="H1371" t="str">
            <v>RETAIL</v>
          </cell>
          <cell r="I1371" t="str">
            <v>22</v>
          </cell>
          <cell r="J1371" t="str">
            <v>WF2</v>
          </cell>
          <cell r="K1371" t="str">
            <v>2216</v>
          </cell>
          <cell r="L1371" t="str">
            <v>PU MULTIPURPOSE</v>
          </cell>
          <cell r="M1371" t="str">
            <v>221601</v>
          </cell>
          <cell r="N1371" t="str">
            <v>PROPAN MP PU ACR RMX</v>
          </cell>
        </row>
        <row r="1372">
          <cell r="C1372" t="str">
            <v>100004248</v>
          </cell>
          <cell r="D1372" t="str">
            <v>PUC-786 2K TRẮNG BÓNG SK006 VN-4K</v>
          </cell>
          <cell r="E1372" t="str">
            <v>ZFGD</v>
          </cell>
          <cell r="F1372" t="str">
            <v>PC</v>
          </cell>
          <cell r="G1372" t="str">
            <v>2</v>
          </cell>
          <cell r="H1372" t="str">
            <v>RETAIL</v>
          </cell>
          <cell r="I1372" t="str">
            <v>22</v>
          </cell>
          <cell r="J1372" t="str">
            <v>WF2</v>
          </cell>
          <cell r="K1372" t="str">
            <v>2216</v>
          </cell>
          <cell r="L1372" t="str">
            <v>PU MULTIPURPOSE</v>
          </cell>
          <cell r="M1372" t="str">
            <v>221601</v>
          </cell>
          <cell r="N1372" t="str">
            <v>PROPAN MP PU ACR RMX</v>
          </cell>
        </row>
        <row r="1373">
          <cell r="C1373" t="str">
            <v>100004249</v>
          </cell>
          <cell r="D1373" t="str">
            <v>PUC-786 2K LEMON YELLOW GLOSS VN-4K</v>
          </cell>
          <cell r="E1373" t="str">
            <v>ZFGD</v>
          </cell>
          <cell r="F1373" t="str">
            <v>PC</v>
          </cell>
          <cell r="G1373" t="str">
            <v>2</v>
          </cell>
          <cell r="H1373" t="str">
            <v>RETAIL</v>
          </cell>
          <cell r="I1373" t="str">
            <v>22</v>
          </cell>
          <cell r="J1373" t="str">
            <v>WF2</v>
          </cell>
          <cell r="K1373" t="str">
            <v>2216</v>
          </cell>
          <cell r="L1373" t="str">
            <v>PU MULTIPURPOSE</v>
          </cell>
          <cell r="M1373" t="str">
            <v>221601</v>
          </cell>
          <cell r="N1373" t="str">
            <v>PROPAN MP PU ACR RMX</v>
          </cell>
        </row>
        <row r="1374">
          <cell r="C1374" t="str">
            <v>100004250</v>
          </cell>
          <cell r="D1374" t="str">
            <v>PUC-786 2K XÁM ĐẬM SK004 VN-4K</v>
          </cell>
          <cell r="E1374" t="str">
            <v>ZFGD</v>
          </cell>
          <cell r="F1374" t="str">
            <v>PC</v>
          </cell>
          <cell r="G1374" t="str">
            <v>2</v>
          </cell>
          <cell r="H1374" t="str">
            <v>RETAIL</v>
          </cell>
          <cell r="I1374" t="str">
            <v>22</v>
          </cell>
          <cell r="J1374" t="str">
            <v>WF2</v>
          </cell>
          <cell r="K1374" t="str">
            <v>2216</v>
          </cell>
          <cell r="L1374" t="str">
            <v>PU MULTIPURPOSE</v>
          </cell>
          <cell r="M1374" t="str">
            <v>221601</v>
          </cell>
          <cell r="N1374" t="str">
            <v>PROPAN MP PU ACR RMX</v>
          </cell>
        </row>
        <row r="1375">
          <cell r="C1375" t="str">
            <v>100004251</v>
          </cell>
          <cell r="D1375" t="str">
            <v>PUC-786 2K XÁM NHẠT SK011 VN-4K</v>
          </cell>
          <cell r="E1375" t="str">
            <v>ZFGD</v>
          </cell>
          <cell r="F1375" t="str">
            <v>PC</v>
          </cell>
          <cell r="G1375" t="str">
            <v>2</v>
          </cell>
          <cell r="H1375" t="str">
            <v>RETAIL</v>
          </cell>
          <cell r="I1375" t="str">
            <v>22</v>
          </cell>
          <cell r="J1375" t="str">
            <v>WF2</v>
          </cell>
          <cell r="K1375" t="str">
            <v>2216</v>
          </cell>
          <cell r="L1375" t="str">
            <v>PU MULTIPURPOSE</v>
          </cell>
          <cell r="M1375" t="str">
            <v>221601</v>
          </cell>
          <cell r="N1375" t="str">
            <v>PROPAN MP PU ACR RMX</v>
          </cell>
        </row>
        <row r="1376">
          <cell r="C1376" t="str">
            <v>100004252</v>
          </cell>
          <cell r="D1376" t="str">
            <v>PUC-786 2K XANH CHUỐI SK005 VN-4K</v>
          </cell>
          <cell r="E1376" t="str">
            <v>ZFGD</v>
          </cell>
          <cell r="F1376" t="str">
            <v>PC</v>
          </cell>
          <cell r="G1376" t="str">
            <v>2</v>
          </cell>
          <cell r="H1376" t="str">
            <v>RETAIL</v>
          </cell>
          <cell r="I1376" t="str">
            <v>22</v>
          </cell>
          <cell r="J1376" t="str">
            <v>WF2</v>
          </cell>
          <cell r="K1376" t="str">
            <v>2216</v>
          </cell>
          <cell r="L1376" t="str">
            <v>PU MULTIPURPOSE</v>
          </cell>
          <cell r="M1376" t="str">
            <v>221601</v>
          </cell>
          <cell r="N1376" t="str">
            <v>PROPAN MP PU ACR RMX</v>
          </cell>
        </row>
        <row r="1377">
          <cell r="C1377" t="str">
            <v>100004253</v>
          </cell>
          <cell r="D1377" t="str">
            <v>PUC-786 2K XANH DA TRỜI SK007 VN-4K</v>
          </cell>
          <cell r="E1377" t="str">
            <v>ZFGD</v>
          </cell>
          <cell r="F1377" t="str">
            <v>PC</v>
          </cell>
          <cell r="G1377" t="str">
            <v>2</v>
          </cell>
          <cell r="H1377" t="str">
            <v>RETAIL</v>
          </cell>
          <cell r="I1377" t="str">
            <v>22</v>
          </cell>
          <cell r="J1377" t="str">
            <v>WF2</v>
          </cell>
          <cell r="K1377" t="str">
            <v>2216</v>
          </cell>
          <cell r="L1377" t="str">
            <v>PU MULTIPURPOSE</v>
          </cell>
          <cell r="M1377" t="str">
            <v>221601</v>
          </cell>
          <cell r="N1377" t="str">
            <v>PROPAN MP PU ACR RMX</v>
          </cell>
        </row>
        <row r="1378">
          <cell r="C1378" t="str">
            <v>100004254</v>
          </cell>
          <cell r="D1378" t="str">
            <v>PUC-786 2K XANH ĐẬM SK009 VN-4K</v>
          </cell>
          <cell r="E1378" t="str">
            <v>ZFGD</v>
          </cell>
          <cell r="F1378" t="str">
            <v>PC</v>
          </cell>
          <cell r="G1378" t="str">
            <v>2</v>
          </cell>
          <cell r="H1378" t="str">
            <v>RETAIL</v>
          </cell>
          <cell r="I1378" t="str">
            <v>22</v>
          </cell>
          <cell r="J1378" t="str">
            <v>WF2</v>
          </cell>
          <cell r="K1378" t="str">
            <v>2216</v>
          </cell>
          <cell r="L1378" t="str">
            <v>PU MULTIPURPOSE</v>
          </cell>
          <cell r="M1378" t="str">
            <v>221601</v>
          </cell>
          <cell r="N1378" t="str">
            <v>PROPAN MP PU ACR RMX</v>
          </cell>
        </row>
        <row r="1379">
          <cell r="C1379" t="str">
            <v>100004255</v>
          </cell>
          <cell r="D1379" t="str">
            <v>PUC-786 2K XANH DƯƠNG SK008 VN-4K</v>
          </cell>
          <cell r="E1379" t="str">
            <v>ZFGD</v>
          </cell>
          <cell r="F1379" t="str">
            <v>PC</v>
          </cell>
          <cell r="G1379" t="str">
            <v>2</v>
          </cell>
          <cell r="H1379" t="str">
            <v>RETAIL</v>
          </cell>
          <cell r="I1379" t="str">
            <v>22</v>
          </cell>
          <cell r="J1379" t="str">
            <v>WF2</v>
          </cell>
          <cell r="K1379" t="str">
            <v>2216</v>
          </cell>
          <cell r="L1379" t="str">
            <v>PU MULTIPURPOSE</v>
          </cell>
          <cell r="M1379" t="str">
            <v>221601</v>
          </cell>
          <cell r="N1379" t="str">
            <v>PROPAN MP PU ACR RMX</v>
          </cell>
        </row>
        <row r="1380">
          <cell r="C1380" t="str">
            <v>100004256</v>
          </cell>
          <cell r="D1380" t="str">
            <v>PUC-786 2K XANH NGỌC SK010 VN-4K</v>
          </cell>
          <cell r="E1380" t="str">
            <v>ZFGD</v>
          </cell>
          <cell r="F1380" t="str">
            <v>PC</v>
          </cell>
          <cell r="G1380" t="str">
            <v>2</v>
          </cell>
          <cell r="H1380" t="str">
            <v>RETAIL</v>
          </cell>
          <cell r="I1380" t="str">
            <v>22</v>
          </cell>
          <cell r="J1380" t="str">
            <v>WF2</v>
          </cell>
          <cell r="K1380" t="str">
            <v>2216</v>
          </cell>
          <cell r="L1380" t="str">
            <v>PU MULTIPURPOSE</v>
          </cell>
          <cell r="M1380" t="str">
            <v>221601</v>
          </cell>
          <cell r="N1380" t="str">
            <v>PROPAN MP PU ACR RMX</v>
          </cell>
        </row>
        <row r="1381">
          <cell r="C1381" t="str">
            <v>100004257</v>
          </cell>
          <cell r="D1381" t="str">
            <v>PUSS-760 2K LÓT TRONG VN-4K</v>
          </cell>
          <cell r="E1381" t="str">
            <v>ZFGD</v>
          </cell>
          <cell r="F1381" t="str">
            <v>PC</v>
          </cell>
          <cell r="G1381" t="str">
            <v>2</v>
          </cell>
          <cell r="H1381" t="str">
            <v>RETAIL</v>
          </cell>
          <cell r="I1381" t="str">
            <v>22</v>
          </cell>
          <cell r="J1381" t="str">
            <v>WF2</v>
          </cell>
          <cell r="K1381" t="str">
            <v>2216</v>
          </cell>
          <cell r="L1381" t="str">
            <v>PU MULTIPURPOSE</v>
          </cell>
          <cell r="M1381" t="str">
            <v>221601</v>
          </cell>
          <cell r="N1381" t="str">
            <v>PROPAN MP PU ACR RMX</v>
          </cell>
        </row>
        <row r="1382">
          <cell r="C1382" t="str">
            <v>100004258</v>
          </cell>
          <cell r="D1382" t="str">
            <v>PUSF-781 2K LÓT TRẮNG VN-4K</v>
          </cell>
          <cell r="E1382" t="str">
            <v>ZFGD</v>
          </cell>
          <cell r="F1382" t="str">
            <v>PC</v>
          </cell>
          <cell r="G1382" t="str">
            <v>2</v>
          </cell>
          <cell r="H1382" t="str">
            <v>RETAIL</v>
          </cell>
          <cell r="I1382" t="str">
            <v>22</v>
          </cell>
          <cell r="J1382" t="str">
            <v>WF2</v>
          </cell>
          <cell r="K1382" t="str">
            <v>2216</v>
          </cell>
          <cell r="L1382" t="str">
            <v>PU MULTIPURPOSE</v>
          </cell>
          <cell r="M1382" t="str">
            <v>221601</v>
          </cell>
          <cell r="N1382" t="str">
            <v>PROPAN MP PU ACR RMX</v>
          </cell>
        </row>
        <row r="1383">
          <cell r="C1383" t="str">
            <v>100004276</v>
          </cell>
          <cell r="D1383" t="str">
            <v>PUC-756 NY TRẮNG MỜ 100% VN-0.8K</v>
          </cell>
          <cell r="E1383" t="str">
            <v>ZFGD</v>
          </cell>
          <cell r="F1383" t="str">
            <v>PC</v>
          </cell>
          <cell r="G1383" t="str">
            <v>2</v>
          </cell>
          <cell r="H1383" t="str">
            <v>RETAIL</v>
          </cell>
          <cell r="I1383" t="str">
            <v>22</v>
          </cell>
          <cell r="J1383" t="str">
            <v>WF2</v>
          </cell>
          <cell r="K1383" t="str">
            <v>2216</v>
          </cell>
          <cell r="L1383" t="str">
            <v>PU MULTIPURPOSE</v>
          </cell>
          <cell r="M1383" t="str">
            <v>221601</v>
          </cell>
          <cell r="N1383" t="str">
            <v>PROPAN MP PU ACR RMX</v>
          </cell>
        </row>
        <row r="1384">
          <cell r="C1384" t="str">
            <v>100004277</v>
          </cell>
          <cell r="D1384" t="str">
            <v>PUC-756 NY TRẮNG BÓNG 100% VN-0.8K</v>
          </cell>
          <cell r="E1384" t="str">
            <v>ZFGD</v>
          </cell>
          <cell r="F1384" t="str">
            <v>PC</v>
          </cell>
          <cell r="G1384" t="str">
            <v>2</v>
          </cell>
          <cell r="H1384" t="str">
            <v>RETAIL</v>
          </cell>
          <cell r="I1384" t="str">
            <v>22</v>
          </cell>
          <cell r="J1384" t="str">
            <v>WF2</v>
          </cell>
          <cell r="K1384" t="str">
            <v>2216</v>
          </cell>
          <cell r="L1384" t="str">
            <v>PU MULTIPURPOSE</v>
          </cell>
          <cell r="M1384" t="str">
            <v>221601</v>
          </cell>
          <cell r="N1384" t="str">
            <v>PROPAN MP PU ACR RMX</v>
          </cell>
        </row>
        <row r="1385">
          <cell r="C1385" t="str">
            <v>100004278</v>
          </cell>
          <cell r="D1385" t="str">
            <v>PUC-756 NY TRẮNG MỜ 70% VN-0.8K</v>
          </cell>
          <cell r="E1385" t="str">
            <v>ZFGD</v>
          </cell>
          <cell r="F1385" t="str">
            <v>PC</v>
          </cell>
          <cell r="G1385" t="str">
            <v>2</v>
          </cell>
          <cell r="H1385" t="str">
            <v>RETAIL</v>
          </cell>
          <cell r="I1385" t="str">
            <v>22</v>
          </cell>
          <cell r="J1385" t="str">
            <v>WF2</v>
          </cell>
          <cell r="K1385" t="str">
            <v>2216</v>
          </cell>
          <cell r="L1385" t="str">
            <v>PU MULTIPURPOSE</v>
          </cell>
          <cell r="M1385" t="str">
            <v>221601</v>
          </cell>
          <cell r="N1385" t="str">
            <v>PROPAN MP PU ACR RMX</v>
          </cell>
        </row>
        <row r="1386">
          <cell r="C1386" t="str">
            <v>100004279</v>
          </cell>
          <cell r="D1386" t="str">
            <v>PUC-756 NY TRẮNG MỜ 50% VN-0.8K</v>
          </cell>
          <cell r="E1386" t="str">
            <v>ZFGD</v>
          </cell>
          <cell r="F1386" t="str">
            <v>PC</v>
          </cell>
          <cell r="G1386" t="str">
            <v>2</v>
          </cell>
          <cell r="H1386" t="str">
            <v>RETAIL</v>
          </cell>
          <cell r="I1386" t="str">
            <v>22</v>
          </cell>
          <cell r="J1386" t="str">
            <v>WF2</v>
          </cell>
          <cell r="K1386" t="str">
            <v>2216</v>
          </cell>
          <cell r="L1386" t="str">
            <v>PU MULTIPURPOSE</v>
          </cell>
          <cell r="M1386" t="str">
            <v>221601</v>
          </cell>
          <cell r="N1386" t="str">
            <v>PROPAN MP PU ACR RMX</v>
          </cell>
        </row>
        <row r="1387">
          <cell r="C1387" t="str">
            <v>100004280</v>
          </cell>
          <cell r="D1387" t="str">
            <v>PUC-756 NY TRẮNG MỜ 100% VN-4K</v>
          </cell>
          <cell r="E1387" t="str">
            <v>ZFGD</v>
          </cell>
          <cell r="F1387" t="str">
            <v>PC</v>
          </cell>
          <cell r="G1387" t="str">
            <v>2</v>
          </cell>
          <cell r="H1387" t="str">
            <v>RETAIL</v>
          </cell>
          <cell r="I1387" t="str">
            <v>22</v>
          </cell>
          <cell r="J1387" t="str">
            <v>WF2</v>
          </cell>
          <cell r="K1387" t="str">
            <v>2216</v>
          </cell>
          <cell r="L1387" t="str">
            <v>PU MULTIPURPOSE</v>
          </cell>
          <cell r="M1387" t="str">
            <v>221601</v>
          </cell>
          <cell r="N1387" t="str">
            <v>PROPAN MP PU ACR RMX</v>
          </cell>
        </row>
        <row r="1388">
          <cell r="C1388" t="str">
            <v>100004281</v>
          </cell>
          <cell r="D1388" t="str">
            <v>PUC-756 NY TRẮNG BÓNG 100% VN-4K</v>
          </cell>
          <cell r="E1388" t="str">
            <v>ZFGD</v>
          </cell>
          <cell r="F1388" t="str">
            <v>PC</v>
          </cell>
          <cell r="G1388" t="str">
            <v>2</v>
          </cell>
          <cell r="H1388" t="str">
            <v>RETAIL</v>
          </cell>
          <cell r="I1388" t="str">
            <v>22</v>
          </cell>
          <cell r="J1388" t="str">
            <v>WF2</v>
          </cell>
          <cell r="K1388" t="str">
            <v>2216</v>
          </cell>
          <cell r="L1388" t="str">
            <v>PU MULTIPURPOSE</v>
          </cell>
          <cell r="M1388" t="str">
            <v>221601</v>
          </cell>
          <cell r="N1388" t="str">
            <v>PROPAN MP PU ACR RMX</v>
          </cell>
        </row>
        <row r="1389">
          <cell r="C1389" t="str">
            <v>100004282</v>
          </cell>
          <cell r="D1389" t="str">
            <v>PUC-756 NY TRẮNG MỜ 70% VN-4K</v>
          </cell>
          <cell r="E1389" t="str">
            <v>ZFGD</v>
          </cell>
          <cell r="F1389" t="str">
            <v>PC</v>
          </cell>
          <cell r="G1389" t="str">
            <v>2</v>
          </cell>
          <cell r="H1389" t="str">
            <v>RETAIL</v>
          </cell>
          <cell r="I1389" t="str">
            <v>22</v>
          </cell>
          <cell r="J1389" t="str">
            <v>WF2</v>
          </cell>
          <cell r="K1389" t="str">
            <v>2216</v>
          </cell>
          <cell r="L1389" t="str">
            <v>PU MULTIPURPOSE</v>
          </cell>
          <cell r="M1389" t="str">
            <v>221601</v>
          </cell>
          <cell r="N1389" t="str">
            <v>PROPAN MP PU ACR RMX</v>
          </cell>
        </row>
        <row r="1390">
          <cell r="C1390" t="str">
            <v>100004283</v>
          </cell>
          <cell r="D1390" t="str">
            <v>PUC-756 NY TRẮNG MỜ 50% VN-4K</v>
          </cell>
          <cell r="E1390" t="str">
            <v>ZFGD</v>
          </cell>
          <cell r="F1390" t="str">
            <v>PC</v>
          </cell>
          <cell r="G1390" t="str">
            <v>2</v>
          </cell>
          <cell r="H1390" t="str">
            <v>RETAIL</v>
          </cell>
          <cell r="I1390" t="str">
            <v>22</v>
          </cell>
          <cell r="J1390" t="str">
            <v>WF2</v>
          </cell>
          <cell r="K1390" t="str">
            <v>2216</v>
          </cell>
          <cell r="L1390" t="str">
            <v>PU MULTIPURPOSE</v>
          </cell>
          <cell r="M1390" t="str">
            <v>221601</v>
          </cell>
          <cell r="N1390" t="str">
            <v>PROPAN MP PU ACR RMX</v>
          </cell>
        </row>
        <row r="1391">
          <cell r="C1391" t="str">
            <v>100004284</v>
          </cell>
          <cell r="D1391" t="str">
            <v>PUC-756 NY TRẮNG MỜ 100% VN-16KP</v>
          </cell>
          <cell r="E1391" t="str">
            <v>ZFGD</v>
          </cell>
          <cell r="F1391" t="str">
            <v>PC</v>
          </cell>
          <cell r="G1391" t="str">
            <v>2</v>
          </cell>
          <cell r="H1391" t="str">
            <v>RETAIL</v>
          </cell>
          <cell r="I1391" t="str">
            <v>22</v>
          </cell>
          <cell r="J1391" t="str">
            <v>WF2</v>
          </cell>
          <cell r="K1391" t="str">
            <v>2216</v>
          </cell>
          <cell r="L1391" t="str">
            <v>PU MULTIPURPOSE</v>
          </cell>
          <cell r="M1391" t="str">
            <v>221601</v>
          </cell>
          <cell r="N1391" t="str">
            <v>PROPAN MP PU ACR RMX</v>
          </cell>
        </row>
        <row r="1392">
          <cell r="C1392" t="str">
            <v>100004285</v>
          </cell>
          <cell r="D1392" t="str">
            <v>PUC-756 NY TRẮNG BÓNG 100% VN-16KP</v>
          </cell>
          <cell r="E1392" t="str">
            <v>ZFGD</v>
          </cell>
          <cell r="F1392" t="str">
            <v>PC</v>
          </cell>
          <cell r="G1392" t="str">
            <v>2</v>
          </cell>
          <cell r="H1392" t="str">
            <v>RETAIL</v>
          </cell>
          <cell r="I1392" t="str">
            <v>22</v>
          </cell>
          <cell r="J1392" t="str">
            <v>WF2</v>
          </cell>
          <cell r="K1392" t="str">
            <v>2216</v>
          </cell>
          <cell r="L1392" t="str">
            <v>PU MULTIPURPOSE</v>
          </cell>
          <cell r="M1392" t="str">
            <v>221601</v>
          </cell>
          <cell r="N1392" t="str">
            <v>PROPAN MP PU ACR RMX</v>
          </cell>
        </row>
        <row r="1393">
          <cell r="C1393" t="str">
            <v>100004286</v>
          </cell>
          <cell r="D1393" t="str">
            <v>PUC-756 NY TRẮNG MỜ 70% VN-16KP</v>
          </cell>
          <cell r="E1393" t="str">
            <v>ZFGD</v>
          </cell>
          <cell r="F1393" t="str">
            <v>PC</v>
          </cell>
          <cell r="G1393" t="str">
            <v>2</v>
          </cell>
          <cell r="H1393" t="str">
            <v>RETAIL</v>
          </cell>
          <cell r="I1393" t="str">
            <v>22</v>
          </cell>
          <cell r="J1393" t="str">
            <v>WF2</v>
          </cell>
          <cell r="K1393" t="str">
            <v>2216</v>
          </cell>
          <cell r="L1393" t="str">
            <v>PU MULTIPURPOSE</v>
          </cell>
          <cell r="M1393" t="str">
            <v>221601</v>
          </cell>
          <cell r="N1393" t="str">
            <v>PROPAN MP PU ACR RMX</v>
          </cell>
        </row>
        <row r="1394">
          <cell r="C1394" t="str">
            <v>100004287</v>
          </cell>
          <cell r="D1394" t="str">
            <v>PUC-756 NY TRẮNG MỜ 50% VN-16KP</v>
          </cell>
          <cell r="E1394" t="str">
            <v>ZFGD</v>
          </cell>
          <cell r="F1394" t="str">
            <v>PC</v>
          </cell>
          <cell r="G1394" t="str">
            <v>2</v>
          </cell>
          <cell r="H1394" t="str">
            <v>RETAIL</v>
          </cell>
          <cell r="I1394" t="str">
            <v>22</v>
          </cell>
          <cell r="J1394" t="str">
            <v>WF2</v>
          </cell>
          <cell r="K1394" t="str">
            <v>2216</v>
          </cell>
          <cell r="L1394" t="str">
            <v>PU MULTIPURPOSE</v>
          </cell>
          <cell r="M1394" t="str">
            <v>221601</v>
          </cell>
          <cell r="N1394" t="str">
            <v>PROPAN MP PU ACR RMX</v>
          </cell>
        </row>
        <row r="1395">
          <cell r="C1395" t="str">
            <v>100004288</v>
          </cell>
          <cell r="D1395" t="str">
            <v>PUL-745 2K MỜ 90% VN-16KP</v>
          </cell>
          <cell r="E1395" t="str">
            <v>ZFGD</v>
          </cell>
          <cell r="F1395" t="str">
            <v>PC</v>
          </cell>
          <cell r="G1395" t="str">
            <v>2</v>
          </cell>
          <cell r="H1395" t="str">
            <v>RETAIL</v>
          </cell>
          <cell r="I1395" t="str">
            <v>22</v>
          </cell>
          <cell r="J1395" t="str">
            <v>WF2</v>
          </cell>
          <cell r="K1395" t="str">
            <v>2212</v>
          </cell>
          <cell r="L1395" t="str">
            <v>PU EASY TO USE</v>
          </cell>
          <cell r="M1395" t="str">
            <v>221201</v>
          </cell>
          <cell r="N1395" t="str">
            <v>PROPAN EASY TO USE PU</v>
          </cell>
        </row>
        <row r="1396">
          <cell r="C1396" t="str">
            <v>100004289</v>
          </cell>
          <cell r="D1396" t="str">
            <v>PUL-745 2K BÓNG 100% VN-16KP</v>
          </cell>
          <cell r="E1396" t="str">
            <v>ZFGD</v>
          </cell>
          <cell r="F1396" t="str">
            <v>PC</v>
          </cell>
          <cell r="G1396" t="str">
            <v>2</v>
          </cell>
          <cell r="H1396" t="str">
            <v>RETAIL</v>
          </cell>
          <cell r="I1396" t="str">
            <v>22</v>
          </cell>
          <cell r="J1396" t="str">
            <v>WF2</v>
          </cell>
          <cell r="K1396" t="str">
            <v>2212</v>
          </cell>
          <cell r="L1396" t="str">
            <v>PU EASY TO USE</v>
          </cell>
          <cell r="M1396" t="str">
            <v>221201</v>
          </cell>
          <cell r="N1396" t="str">
            <v>PROPAN EASY TO USE PU</v>
          </cell>
        </row>
        <row r="1397">
          <cell r="C1397" t="str">
            <v>100004290</v>
          </cell>
          <cell r="D1397" t="str">
            <v>PUL-745 2K MỜ 70% VN-16KP</v>
          </cell>
          <cell r="E1397" t="str">
            <v>ZFGD</v>
          </cell>
          <cell r="F1397" t="str">
            <v>PC</v>
          </cell>
          <cell r="G1397" t="str">
            <v>2</v>
          </cell>
          <cell r="H1397" t="str">
            <v>RETAIL</v>
          </cell>
          <cell r="I1397" t="str">
            <v>22</v>
          </cell>
          <cell r="J1397" t="str">
            <v>WF2</v>
          </cell>
          <cell r="K1397" t="str">
            <v>2212</v>
          </cell>
          <cell r="L1397" t="str">
            <v>PU EASY TO USE</v>
          </cell>
          <cell r="M1397" t="str">
            <v>221201</v>
          </cell>
          <cell r="N1397" t="str">
            <v>PROPAN EASY TO USE PU</v>
          </cell>
        </row>
        <row r="1398">
          <cell r="C1398" t="str">
            <v>100004291</v>
          </cell>
          <cell r="D1398" t="str">
            <v>PUL-745 2K MỜ 100% VN-16KP</v>
          </cell>
          <cell r="E1398" t="str">
            <v>ZFGD</v>
          </cell>
          <cell r="F1398" t="str">
            <v>PC</v>
          </cell>
          <cell r="G1398" t="str">
            <v>2</v>
          </cell>
          <cell r="H1398" t="str">
            <v>RETAIL</v>
          </cell>
          <cell r="I1398" t="str">
            <v>22</v>
          </cell>
          <cell r="J1398" t="str">
            <v>WF2</v>
          </cell>
          <cell r="K1398" t="str">
            <v>2212</v>
          </cell>
          <cell r="L1398" t="str">
            <v>PU EASY TO USE</v>
          </cell>
          <cell r="M1398" t="str">
            <v>221201</v>
          </cell>
          <cell r="N1398" t="str">
            <v>PROPAN EASY TO USE PU</v>
          </cell>
        </row>
        <row r="1399">
          <cell r="C1399" t="str">
            <v>100004292</v>
          </cell>
          <cell r="D1399" t="str">
            <v>PUL-745 2K MỜ 50% VN-16KP</v>
          </cell>
          <cell r="E1399" t="str">
            <v>ZFGD</v>
          </cell>
          <cell r="F1399" t="str">
            <v>PC</v>
          </cell>
          <cell r="G1399" t="str">
            <v>2</v>
          </cell>
          <cell r="H1399" t="str">
            <v>RETAIL</v>
          </cell>
          <cell r="I1399" t="str">
            <v>22</v>
          </cell>
          <cell r="J1399" t="str">
            <v>WF2</v>
          </cell>
          <cell r="K1399" t="str">
            <v>2212</v>
          </cell>
          <cell r="L1399" t="str">
            <v>PU EASY TO USE</v>
          </cell>
          <cell r="M1399" t="str">
            <v>221201</v>
          </cell>
          <cell r="N1399" t="str">
            <v>PROPAN EASY TO USE PU</v>
          </cell>
        </row>
        <row r="1400">
          <cell r="C1400" t="str">
            <v>100004293</v>
          </cell>
          <cell r="D1400" t="str">
            <v>PUL-747 2K MỜ 100% VN-16KP</v>
          </cell>
          <cell r="E1400" t="str">
            <v>ZFGD</v>
          </cell>
          <cell r="F1400" t="str">
            <v>PC</v>
          </cell>
          <cell r="G1400" t="str">
            <v>2</v>
          </cell>
          <cell r="H1400" t="str">
            <v>RETAIL</v>
          </cell>
          <cell r="I1400" t="str">
            <v>22</v>
          </cell>
          <cell r="J1400" t="str">
            <v>WF2</v>
          </cell>
          <cell r="K1400" t="str">
            <v>2201</v>
          </cell>
          <cell r="L1400" t="str">
            <v>PU COATING</v>
          </cell>
          <cell r="M1400" t="str">
            <v>220117</v>
          </cell>
          <cell r="N1400" t="str">
            <v>PROPAN PU</v>
          </cell>
        </row>
        <row r="1401">
          <cell r="C1401" t="str">
            <v>100004294</v>
          </cell>
          <cell r="D1401" t="str">
            <v>PUL-747 2K BÓNG 100% VN-16KP</v>
          </cell>
          <cell r="E1401" t="str">
            <v>ZFGD</v>
          </cell>
          <cell r="F1401" t="str">
            <v>PC</v>
          </cell>
          <cell r="G1401" t="str">
            <v>2</v>
          </cell>
          <cell r="H1401" t="str">
            <v>RETAIL</v>
          </cell>
          <cell r="I1401" t="str">
            <v>22</v>
          </cell>
          <cell r="J1401" t="str">
            <v>WF2</v>
          </cell>
          <cell r="K1401" t="str">
            <v>2201</v>
          </cell>
          <cell r="L1401" t="str">
            <v>PU COATING</v>
          </cell>
          <cell r="M1401" t="str">
            <v>220117</v>
          </cell>
          <cell r="N1401" t="str">
            <v>PROPAN PU</v>
          </cell>
        </row>
        <row r="1402">
          <cell r="C1402" t="str">
            <v>100004295</v>
          </cell>
          <cell r="D1402" t="str">
            <v>PUL-747 2K MỜ 70% VN-16KP</v>
          </cell>
          <cell r="E1402" t="str">
            <v>ZFGD</v>
          </cell>
          <cell r="F1402" t="str">
            <v>PC</v>
          </cell>
          <cell r="G1402" t="str">
            <v>2</v>
          </cell>
          <cell r="H1402" t="str">
            <v>RETAIL</v>
          </cell>
          <cell r="I1402" t="str">
            <v>22</v>
          </cell>
          <cell r="J1402" t="str">
            <v>WF2</v>
          </cell>
          <cell r="K1402" t="str">
            <v>2201</v>
          </cell>
          <cell r="L1402" t="str">
            <v>PU COATING</v>
          </cell>
          <cell r="M1402" t="str">
            <v>220117</v>
          </cell>
          <cell r="N1402" t="str">
            <v>PROPAN PU</v>
          </cell>
        </row>
        <row r="1403">
          <cell r="C1403" t="str">
            <v>100004296</v>
          </cell>
          <cell r="D1403" t="str">
            <v>PUL-747 2K MỜ 50% VN-16KP</v>
          </cell>
          <cell r="E1403" t="str">
            <v>ZFGD</v>
          </cell>
          <cell r="F1403" t="str">
            <v>PC</v>
          </cell>
          <cell r="G1403" t="str">
            <v>2</v>
          </cell>
          <cell r="H1403" t="str">
            <v>RETAIL</v>
          </cell>
          <cell r="I1403" t="str">
            <v>22</v>
          </cell>
          <cell r="J1403" t="str">
            <v>WF2</v>
          </cell>
          <cell r="K1403" t="str">
            <v>2201</v>
          </cell>
          <cell r="L1403" t="str">
            <v>PU COATING</v>
          </cell>
          <cell r="M1403" t="str">
            <v>220117</v>
          </cell>
          <cell r="N1403" t="str">
            <v>PROPAN PU</v>
          </cell>
        </row>
        <row r="1404">
          <cell r="C1404" t="str">
            <v>100004297</v>
          </cell>
          <cell r="D1404" t="str">
            <v>PUL-747 2K MỜ 30% VN-16KP</v>
          </cell>
          <cell r="E1404" t="str">
            <v>ZFGD</v>
          </cell>
          <cell r="F1404" t="str">
            <v>PC</v>
          </cell>
          <cell r="G1404" t="str">
            <v>2</v>
          </cell>
          <cell r="H1404" t="str">
            <v>RETAIL</v>
          </cell>
          <cell r="I1404" t="str">
            <v>22</v>
          </cell>
          <cell r="J1404" t="str">
            <v>WF2</v>
          </cell>
          <cell r="K1404" t="str">
            <v>2201</v>
          </cell>
          <cell r="L1404" t="str">
            <v>PU COATING</v>
          </cell>
          <cell r="M1404" t="str">
            <v>220117</v>
          </cell>
          <cell r="N1404" t="str">
            <v>PROPAN PU</v>
          </cell>
        </row>
        <row r="1405">
          <cell r="C1405" t="str">
            <v>100004301</v>
          </cell>
          <cell r="D1405" t="str">
            <v>PUL-765 2K BÓNG 100% VN-1KS</v>
          </cell>
          <cell r="E1405" t="str">
            <v>ZFGD</v>
          </cell>
          <cell r="F1405" t="str">
            <v>SET</v>
          </cell>
          <cell r="G1405" t="str">
            <v>2</v>
          </cell>
          <cell r="H1405" t="str">
            <v>RETAIL</v>
          </cell>
          <cell r="I1405" t="str">
            <v>22</v>
          </cell>
          <cell r="J1405" t="str">
            <v>WF2</v>
          </cell>
          <cell r="K1405" t="str">
            <v>2216</v>
          </cell>
          <cell r="L1405" t="str">
            <v>PU MULTIPURPOSE</v>
          </cell>
          <cell r="M1405" t="str">
            <v>221601</v>
          </cell>
          <cell r="N1405" t="str">
            <v>PROPAN MP PU ACR RMX</v>
          </cell>
        </row>
        <row r="1406">
          <cell r="C1406" t="str">
            <v>100004302</v>
          </cell>
          <cell r="D1406" t="str">
            <v>PUL-765 2K MỜ 50% VN-1KS</v>
          </cell>
          <cell r="E1406" t="str">
            <v>ZFGD</v>
          </cell>
          <cell r="F1406" t="str">
            <v>SET</v>
          </cell>
          <cell r="G1406" t="str">
            <v>2</v>
          </cell>
          <cell r="H1406" t="str">
            <v>RETAIL</v>
          </cell>
          <cell r="I1406" t="str">
            <v>22</v>
          </cell>
          <cell r="J1406" t="str">
            <v>WF2</v>
          </cell>
          <cell r="K1406" t="str">
            <v>2216</v>
          </cell>
          <cell r="L1406" t="str">
            <v>PU MULTIPURPOSE</v>
          </cell>
          <cell r="M1406" t="str">
            <v>221601</v>
          </cell>
          <cell r="N1406" t="str">
            <v>PROPAN MP PU ACR RMX</v>
          </cell>
        </row>
        <row r="1407">
          <cell r="C1407" t="str">
            <v>100004303</v>
          </cell>
          <cell r="D1407" t="str">
            <v>PUL-765 2K MỜ 70% VN-1KS</v>
          </cell>
          <cell r="E1407" t="str">
            <v>ZFGD</v>
          </cell>
          <cell r="F1407" t="str">
            <v>SET</v>
          </cell>
          <cell r="G1407" t="str">
            <v>2</v>
          </cell>
          <cell r="H1407" t="str">
            <v>RETAIL</v>
          </cell>
          <cell r="I1407" t="str">
            <v>22</v>
          </cell>
          <cell r="J1407" t="str">
            <v>WF2</v>
          </cell>
          <cell r="K1407" t="str">
            <v>2216</v>
          </cell>
          <cell r="L1407" t="str">
            <v>PU MULTIPURPOSE</v>
          </cell>
          <cell r="M1407" t="str">
            <v>221601</v>
          </cell>
          <cell r="N1407" t="str">
            <v>PROPAN MP PU ACR RMX</v>
          </cell>
        </row>
        <row r="1408">
          <cell r="C1408" t="str">
            <v>100004304</v>
          </cell>
          <cell r="D1408" t="str">
            <v>PUL-765 2K MỜ 90% VN-1KS</v>
          </cell>
          <cell r="E1408" t="str">
            <v>ZFGD</v>
          </cell>
          <cell r="F1408" t="str">
            <v>SET</v>
          </cell>
          <cell r="G1408" t="str">
            <v>2</v>
          </cell>
          <cell r="H1408" t="str">
            <v>RETAIL</v>
          </cell>
          <cell r="I1408" t="str">
            <v>22</v>
          </cell>
          <cell r="J1408" t="str">
            <v>WF2</v>
          </cell>
          <cell r="K1408" t="str">
            <v>2216</v>
          </cell>
          <cell r="L1408" t="str">
            <v>PU MULTIPURPOSE</v>
          </cell>
          <cell r="M1408" t="str">
            <v>221601</v>
          </cell>
          <cell r="N1408" t="str">
            <v>PROPAN MP PU ACR RMX</v>
          </cell>
        </row>
        <row r="1409">
          <cell r="C1409" t="str">
            <v>100004305</v>
          </cell>
          <cell r="D1409" t="str">
            <v>PUC-786 2K ĐEN BÓNG SK012 VN-1KS</v>
          </cell>
          <cell r="E1409" t="str">
            <v>ZFGD</v>
          </cell>
          <cell r="F1409" t="str">
            <v>SET</v>
          </cell>
          <cell r="G1409" t="str">
            <v>2</v>
          </cell>
          <cell r="H1409" t="str">
            <v>RETAIL</v>
          </cell>
          <cell r="I1409" t="str">
            <v>22</v>
          </cell>
          <cell r="J1409" t="str">
            <v>WF2</v>
          </cell>
          <cell r="K1409" t="str">
            <v>2216</v>
          </cell>
          <cell r="L1409" t="str">
            <v>PU MULTIPURPOSE</v>
          </cell>
          <cell r="M1409" t="str">
            <v>221601</v>
          </cell>
          <cell r="N1409" t="str">
            <v>PROPAN MP PU ACR RMX</v>
          </cell>
        </row>
        <row r="1410">
          <cell r="C1410" t="str">
            <v>100004306</v>
          </cell>
          <cell r="D1410" t="str">
            <v>PUC-786 2K CHILI RED GLOSS VN-1KS</v>
          </cell>
          <cell r="E1410" t="str">
            <v>ZFGD</v>
          </cell>
          <cell r="F1410" t="str">
            <v>SET</v>
          </cell>
          <cell r="G1410" t="str">
            <v>2</v>
          </cell>
          <cell r="H1410" t="str">
            <v>RETAIL</v>
          </cell>
          <cell r="I1410" t="str">
            <v>22</v>
          </cell>
          <cell r="J1410" t="str">
            <v>WF2</v>
          </cell>
          <cell r="K1410" t="str">
            <v>2216</v>
          </cell>
          <cell r="L1410" t="str">
            <v>PU MULTIPURPOSE</v>
          </cell>
          <cell r="M1410" t="str">
            <v>221601</v>
          </cell>
          <cell r="N1410" t="str">
            <v>PROPAN MP PU ACR RMX</v>
          </cell>
        </row>
        <row r="1411">
          <cell r="C1411" t="str">
            <v>100004307</v>
          </cell>
          <cell r="D1411" t="str">
            <v>PUC-786 2K KEM LỢT SK002 VN-1KS</v>
          </cell>
          <cell r="E1411" t="str">
            <v>ZFGD</v>
          </cell>
          <cell r="F1411" t="str">
            <v>SET</v>
          </cell>
          <cell r="G1411" t="str">
            <v>2</v>
          </cell>
          <cell r="H1411" t="str">
            <v>RETAIL</v>
          </cell>
          <cell r="I1411" t="str">
            <v>22</v>
          </cell>
          <cell r="J1411" t="str">
            <v>WF2</v>
          </cell>
          <cell r="K1411" t="str">
            <v>2216</v>
          </cell>
          <cell r="L1411" t="str">
            <v>PU MULTIPURPOSE</v>
          </cell>
          <cell r="M1411" t="str">
            <v>221601</v>
          </cell>
          <cell r="N1411" t="str">
            <v>PROPAN MP PU ACR RMX</v>
          </cell>
        </row>
        <row r="1412">
          <cell r="C1412" t="str">
            <v>100004308</v>
          </cell>
          <cell r="D1412" t="str">
            <v>PUC-786 2K TRẮNG BÓNG SK006 VN-1KS</v>
          </cell>
          <cell r="E1412" t="str">
            <v>ZFGD</v>
          </cell>
          <cell r="F1412" t="str">
            <v>SET</v>
          </cell>
          <cell r="G1412" t="str">
            <v>2</v>
          </cell>
          <cell r="H1412" t="str">
            <v>RETAIL</v>
          </cell>
          <cell r="I1412" t="str">
            <v>22</v>
          </cell>
          <cell r="J1412" t="str">
            <v>WF2</v>
          </cell>
          <cell r="K1412" t="str">
            <v>2216</v>
          </cell>
          <cell r="L1412" t="str">
            <v>PU MULTIPURPOSE</v>
          </cell>
          <cell r="M1412" t="str">
            <v>221601</v>
          </cell>
          <cell r="N1412" t="str">
            <v>PROPAN MP PU ACR RMX</v>
          </cell>
        </row>
        <row r="1413">
          <cell r="C1413" t="str">
            <v>100004309</v>
          </cell>
          <cell r="D1413" t="str">
            <v>PUC-786 2K LEMON YELLOW GLOSS VN-1KS</v>
          </cell>
          <cell r="E1413" t="str">
            <v>ZFGD</v>
          </cell>
          <cell r="F1413" t="str">
            <v>SET</v>
          </cell>
          <cell r="G1413" t="str">
            <v>2</v>
          </cell>
          <cell r="H1413" t="str">
            <v>RETAIL</v>
          </cell>
          <cell r="I1413" t="str">
            <v>22</v>
          </cell>
          <cell r="J1413" t="str">
            <v>WF2</v>
          </cell>
          <cell r="K1413" t="str">
            <v>2216</v>
          </cell>
          <cell r="L1413" t="str">
            <v>PU MULTIPURPOSE</v>
          </cell>
          <cell r="M1413" t="str">
            <v>221601</v>
          </cell>
          <cell r="N1413" t="str">
            <v>PROPAN MP PU ACR RMX</v>
          </cell>
        </row>
        <row r="1414">
          <cell r="C1414" t="str">
            <v>100004310</v>
          </cell>
          <cell r="D1414" t="str">
            <v>PUC-786 2K XÁM ĐẬM SK004 VN-1KS</v>
          </cell>
          <cell r="E1414" t="str">
            <v>ZFGD</v>
          </cell>
          <cell r="F1414" t="str">
            <v>SET</v>
          </cell>
          <cell r="G1414" t="str">
            <v>2</v>
          </cell>
          <cell r="H1414" t="str">
            <v>RETAIL</v>
          </cell>
          <cell r="I1414" t="str">
            <v>22</v>
          </cell>
          <cell r="J1414" t="str">
            <v>WF2</v>
          </cell>
          <cell r="K1414" t="str">
            <v>2216</v>
          </cell>
          <cell r="L1414" t="str">
            <v>PU MULTIPURPOSE</v>
          </cell>
          <cell r="M1414" t="str">
            <v>221601</v>
          </cell>
          <cell r="N1414" t="str">
            <v>PROPAN MP PU ACR RMX</v>
          </cell>
        </row>
        <row r="1415">
          <cell r="C1415" t="str">
            <v>100004311</v>
          </cell>
          <cell r="D1415" t="str">
            <v>PUC-786 2K XÁM NHẠT SK011 VN-1KS</v>
          </cell>
          <cell r="E1415" t="str">
            <v>ZFGD</v>
          </cell>
          <cell r="F1415" t="str">
            <v>SET</v>
          </cell>
          <cell r="G1415" t="str">
            <v>2</v>
          </cell>
          <cell r="H1415" t="str">
            <v>RETAIL</v>
          </cell>
          <cell r="I1415" t="str">
            <v>22</v>
          </cell>
          <cell r="J1415" t="str">
            <v>WF2</v>
          </cell>
          <cell r="K1415" t="str">
            <v>2216</v>
          </cell>
          <cell r="L1415" t="str">
            <v>PU MULTIPURPOSE</v>
          </cell>
          <cell r="M1415" t="str">
            <v>221601</v>
          </cell>
          <cell r="N1415" t="str">
            <v>PROPAN MP PU ACR RMX</v>
          </cell>
        </row>
        <row r="1416">
          <cell r="C1416" t="str">
            <v>100004312</v>
          </cell>
          <cell r="D1416" t="str">
            <v>PUC-786 2K XANH CHUỐI SK005 VN-1KS</v>
          </cell>
          <cell r="E1416" t="str">
            <v>ZFGD</v>
          </cell>
          <cell r="F1416" t="str">
            <v>SET</v>
          </cell>
          <cell r="G1416" t="str">
            <v>2</v>
          </cell>
          <cell r="H1416" t="str">
            <v>RETAIL</v>
          </cell>
          <cell r="I1416" t="str">
            <v>22</v>
          </cell>
          <cell r="J1416" t="str">
            <v>WF2</v>
          </cell>
          <cell r="K1416" t="str">
            <v>2216</v>
          </cell>
          <cell r="L1416" t="str">
            <v>PU MULTIPURPOSE</v>
          </cell>
          <cell r="M1416" t="str">
            <v>221601</v>
          </cell>
          <cell r="N1416" t="str">
            <v>PROPAN MP PU ACR RMX</v>
          </cell>
        </row>
        <row r="1417">
          <cell r="C1417" t="str">
            <v>100004313</v>
          </cell>
          <cell r="D1417" t="str">
            <v>PUC-786 2K XANH DA TRỜI SK007 VN-1KS</v>
          </cell>
          <cell r="E1417" t="str">
            <v>ZFGD</v>
          </cell>
          <cell r="F1417" t="str">
            <v>SET</v>
          </cell>
          <cell r="G1417" t="str">
            <v>2</v>
          </cell>
          <cell r="H1417" t="str">
            <v>RETAIL</v>
          </cell>
          <cell r="I1417" t="str">
            <v>22</v>
          </cell>
          <cell r="J1417" t="str">
            <v>WF2</v>
          </cell>
          <cell r="K1417" t="str">
            <v>2216</v>
          </cell>
          <cell r="L1417" t="str">
            <v>PU MULTIPURPOSE</v>
          </cell>
          <cell r="M1417" t="str">
            <v>221601</v>
          </cell>
          <cell r="N1417" t="str">
            <v>PROPAN MP PU ACR RMX</v>
          </cell>
        </row>
        <row r="1418">
          <cell r="C1418" t="str">
            <v>100004314</v>
          </cell>
          <cell r="D1418" t="str">
            <v>PUC-786 2K XANH ĐẬM SK009 VN-1KS</v>
          </cell>
          <cell r="E1418" t="str">
            <v>ZFGD</v>
          </cell>
          <cell r="F1418" t="str">
            <v>SET</v>
          </cell>
          <cell r="G1418" t="str">
            <v>2</v>
          </cell>
          <cell r="H1418" t="str">
            <v>RETAIL</v>
          </cell>
          <cell r="I1418" t="str">
            <v>22</v>
          </cell>
          <cell r="J1418" t="str">
            <v>WF2</v>
          </cell>
          <cell r="K1418" t="str">
            <v>2216</v>
          </cell>
          <cell r="L1418" t="str">
            <v>PU MULTIPURPOSE</v>
          </cell>
          <cell r="M1418" t="str">
            <v>221601</v>
          </cell>
          <cell r="N1418" t="str">
            <v>PROPAN MP PU ACR RMX</v>
          </cell>
        </row>
        <row r="1419">
          <cell r="C1419" t="str">
            <v>100004315</v>
          </cell>
          <cell r="D1419" t="str">
            <v>PUC-786 2K XANH DƯƠNG SK008 VN-1KS</v>
          </cell>
          <cell r="E1419" t="str">
            <v>ZFGD</v>
          </cell>
          <cell r="F1419" t="str">
            <v>SET</v>
          </cell>
          <cell r="G1419" t="str">
            <v>2</v>
          </cell>
          <cell r="H1419" t="str">
            <v>RETAIL</v>
          </cell>
          <cell r="I1419" t="str">
            <v>22</v>
          </cell>
          <cell r="J1419" t="str">
            <v>WF2</v>
          </cell>
          <cell r="K1419" t="str">
            <v>2216</v>
          </cell>
          <cell r="L1419" t="str">
            <v>PU MULTIPURPOSE</v>
          </cell>
          <cell r="M1419" t="str">
            <v>221601</v>
          </cell>
          <cell r="N1419" t="str">
            <v>PROPAN MP PU ACR RMX</v>
          </cell>
        </row>
        <row r="1420">
          <cell r="C1420" t="str">
            <v>100004316</v>
          </cell>
          <cell r="D1420" t="str">
            <v>PUC-786 2K XANH NGỌC SK010 VN-1KS</v>
          </cell>
          <cell r="E1420" t="str">
            <v>ZFGD</v>
          </cell>
          <cell r="F1420" t="str">
            <v>SET</v>
          </cell>
          <cell r="G1420" t="str">
            <v>2</v>
          </cell>
          <cell r="H1420" t="str">
            <v>RETAIL</v>
          </cell>
          <cell r="I1420" t="str">
            <v>22</v>
          </cell>
          <cell r="J1420" t="str">
            <v>WF2</v>
          </cell>
          <cell r="K1420" t="str">
            <v>2216</v>
          </cell>
          <cell r="L1420" t="str">
            <v>PU MULTIPURPOSE</v>
          </cell>
          <cell r="M1420" t="str">
            <v>221601</v>
          </cell>
          <cell r="N1420" t="str">
            <v>PROPAN MP PU ACR RMX</v>
          </cell>
        </row>
        <row r="1421">
          <cell r="C1421" t="str">
            <v>100004317</v>
          </cell>
          <cell r="D1421" t="str">
            <v>PUSS-760 2K LÓT TRONG VN-1KS</v>
          </cell>
          <cell r="E1421" t="str">
            <v>ZFGD</v>
          </cell>
          <cell r="F1421" t="str">
            <v>SET</v>
          </cell>
          <cell r="G1421" t="str">
            <v>2</v>
          </cell>
          <cell r="H1421" t="str">
            <v>RETAIL</v>
          </cell>
          <cell r="I1421" t="str">
            <v>22</v>
          </cell>
          <cell r="J1421" t="str">
            <v>WF2</v>
          </cell>
          <cell r="K1421" t="str">
            <v>2216</v>
          </cell>
          <cell r="L1421" t="str">
            <v>PU MULTIPURPOSE</v>
          </cell>
          <cell r="M1421" t="str">
            <v>221601</v>
          </cell>
          <cell r="N1421" t="str">
            <v>PROPAN MP PU ACR RMX</v>
          </cell>
        </row>
        <row r="1422">
          <cell r="C1422" t="str">
            <v>100004318</v>
          </cell>
          <cell r="D1422" t="str">
            <v>PUSF-781 2K LÓT TRẮNG VN-1KS</v>
          </cell>
          <cell r="E1422" t="str">
            <v>ZFGD</v>
          </cell>
          <cell r="F1422" t="str">
            <v>SET</v>
          </cell>
          <cell r="G1422" t="str">
            <v>2</v>
          </cell>
          <cell r="H1422" t="str">
            <v>RETAIL</v>
          </cell>
          <cell r="I1422" t="str">
            <v>22</v>
          </cell>
          <cell r="J1422" t="str">
            <v>WF2</v>
          </cell>
          <cell r="K1422" t="str">
            <v>2216</v>
          </cell>
          <cell r="L1422" t="str">
            <v>PU MULTIPURPOSE</v>
          </cell>
          <cell r="M1422" t="str">
            <v>221601</v>
          </cell>
          <cell r="N1422" t="str">
            <v>PROPAN MP PU ACR RMX</v>
          </cell>
        </row>
        <row r="1423">
          <cell r="C1423" t="str">
            <v>100004319</v>
          </cell>
          <cell r="D1423" t="str">
            <v>PUL-765 2K BÓNG 100% VN-5KS</v>
          </cell>
          <cell r="E1423" t="str">
            <v>ZFGD</v>
          </cell>
          <cell r="F1423" t="str">
            <v>SET</v>
          </cell>
          <cell r="G1423" t="str">
            <v>2</v>
          </cell>
          <cell r="H1423" t="str">
            <v>RETAIL</v>
          </cell>
          <cell r="I1423" t="str">
            <v>22</v>
          </cell>
          <cell r="J1423" t="str">
            <v>WF2</v>
          </cell>
          <cell r="K1423" t="str">
            <v>2216</v>
          </cell>
          <cell r="L1423" t="str">
            <v>PU MULTIPURPOSE</v>
          </cell>
          <cell r="M1423" t="str">
            <v>221601</v>
          </cell>
          <cell r="N1423" t="str">
            <v>PROPAN MP PU ACR RMX</v>
          </cell>
        </row>
        <row r="1424">
          <cell r="C1424" t="str">
            <v>100004320</v>
          </cell>
          <cell r="D1424" t="str">
            <v>PUL-765 2K MỜ 50% VN-5KS</v>
          </cell>
          <cell r="E1424" t="str">
            <v>ZFGD</v>
          </cell>
          <cell r="F1424" t="str">
            <v>SET</v>
          </cell>
          <cell r="G1424" t="str">
            <v>2</v>
          </cell>
          <cell r="H1424" t="str">
            <v>RETAIL</v>
          </cell>
          <cell r="I1424" t="str">
            <v>22</v>
          </cell>
          <cell r="J1424" t="str">
            <v>WF2</v>
          </cell>
          <cell r="K1424" t="str">
            <v>2216</v>
          </cell>
          <cell r="L1424" t="str">
            <v>PU MULTIPURPOSE</v>
          </cell>
          <cell r="M1424" t="str">
            <v>221601</v>
          </cell>
          <cell r="N1424" t="str">
            <v>PROPAN MP PU ACR RMX</v>
          </cell>
        </row>
        <row r="1425">
          <cell r="C1425" t="str">
            <v>100004321</v>
          </cell>
          <cell r="D1425" t="str">
            <v>PUL-765 2K MỜ 70% VN-5KS</v>
          </cell>
          <cell r="E1425" t="str">
            <v>ZFGD</v>
          </cell>
          <cell r="F1425" t="str">
            <v>SET</v>
          </cell>
          <cell r="G1425" t="str">
            <v>2</v>
          </cell>
          <cell r="H1425" t="str">
            <v>RETAIL</v>
          </cell>
          <cell r="I1425" t="str">
            <v>22</v>
          </cell>
          <cell r="J1425" t="str">
            <v>WF2</v>
          </cell>
          <cell r="K1425" t="str">
            <v>2216</v>
          </cell>
          <cell r="L1425" t="str">
            <v>PU MULTIPURPOSE</v>
          </cell>
          <cell r="M1425" t="str">
            <v>221601</v>
          </cell>
          <cell r="N1425" t="str">
            <v>PROPAN MP PU ACR RMX</v>
          </cell>
        </row>
        <row r="1426">
          <cell r="C1426" t="str">
            <v>100004322</v>
          </cell>
          <cell r="D1426" t="str">
            <v>PUL-765 2K MỜ 90% VN-5KS</v>
          </cell>
          <cell r="E1426" t="str">
            <v>ZFGD</v>
          </cell>
          <cell r="F1426" t="str">
            <v>SET</v>
          </cell>
          <cell r="G1426" t="str">
            <v>2</v>
          </cell>
          <cell r="H1426" t="str">
            <v>RETAIL</v>
          </cell>
          <cell r="I1426" t="str">
            <v>22</v>
          </cell>
          <cell r="J1426" t="str">
            <v>WF2</v>
          </cell>
          <cell r="K1426" t="str">
            <v>2216</v>
          </cell>
          <cell r="L1426" t="str">
            <v>PU MULTIPURPOSE</v>
          </cell>
          <cell r="M1426" t="str">
            <v>221601</v>
          </cell>
          <cell r="N1426" t="str">
            <v>PROPAN MP PU ACR RMX</v>
          </cell>
        </row>
        <row r="1427">
          <cell r="C1427" t="str">
            <v>100004323</v>
          </cell>
          <cell r="D1427" t="str">
            <v>PUC-786 2K ĐEN BÓNG SK012 VN-5KS</v>
          </cell>
          <cell r="E1427" t="str">
            <v>ZFGD</v>
          </cell>
          <cell r="F1427" t="str">
            <v>SET</v>
          </cell>
          <cell r="G1427" t="str">
            <v>2</v>
          </cell>
          <cell r="H1427" t="str">
            <v>RETAIL</v>
          </cell>
          <cell r="I1427" t="str">
            <v>22</v>
          </cell>
          <cell r="J1427" t="str">
            <v>WF2</v>
          </cell>
          <cell r="K1427" t="str">
            <v>2216</v>
          </cell>
          <cell r="L1427" t="str">
            <v>PU MULTIPURPOSE</v>
          </cell>
          <cell r="M1427" t="str">
            <v>221601</v>
          </cell>
          <cell r="N1427" t="str">
            <v>PROPAN MP PU ACR RMX</v>
          </cell>
        </row>
        <row r="1428">
          <cell r="C1428" t="str">
            <v>100004324</v>
          </cell>
          <cell r="D1428" t="str">
            <v>PUC-786 2K CHILI RED GLOSS VN-5KS</v>
          </cell>
          <cell r="E1428" t="str">
            <v>ZFGD</v>
          </cell>
          <cell r="F1428" t="str">
            <v>SET</v>
          </cell>
          <cell r="G1428" t="str">
            <v>2</v>
          </cell>
          <cell r="H1428" t="str">
            <v>RETAIL</v>
          </cell>
          <cell r="I1428" t="str">
            <v>22</v>
          </cell>
          <cell r="J1428" t="str">
            <v>WF2</v>
          </cell>
          <cell r="K1428" t="str">
            <v>2216</v>
          </cell>
          <cell r="L1428" t="str">
            <v>PU MULTIPURPOSE</v>
          </cell>
          <cell r="M1428" t="str">
            <v>221601</v>
          </cell>
          <cell r="N1428" t="str">
            <v>PROPAN MP PU ACR RMX</v>
          </cell>
        </row>
        <row r="1429">
          <cell r="C1429" t="str">
            <v>100004325</v>
          </cell>
          <cell r="D1429" t="str">
            <v>PUC-786 2K KEM LỢT SK002 VN-5KS</v>
          </cell>
          <cell r="E1429" t="str">
            <v>ZFGD</v>
          </cell>
          <cell r="F1429" t="str">
            <v>SET</v>
          </cell>
          <cell r="G1429" t="str">
            <v>2</v>
          </cell>
          <cell r="H1429" t="str">
            <v>RETAIL</v>
          </cell>
          <cell r="I1429" t="str">
            <v>22</v>
          </cell>
          <cell r="J1429" t="str">
            <v>WF2</v>
          </cell>
          <cell r="K1429" t="str">
            <v>2216</v>
          </cell>
          <cell r="L1429" t="str">
            <v>PU MULTIPURPOSE</v>
          </cell>
          <cell r="M1429" t="str">
            <v>221601</v>
          </cell>
          <cell r="N1429" t="str">
            <v>PROPAN MP PU ACR RMX</v>
          </cell>
        </row>
        <row r="1430">
          <cell r="C1430" t="str">
            <v>100004326</v>
          </cell>
          <cell r="D1430" t="str">
            <v>PUC-786 2K TRẮNG BÓNG SK006 VN-5KS</v>
          </cell>
          <cell r="E1430" t="str">
            <v>ZFGD</v>
          </cell>
          <cell r="F1430" t="str">
            <v>SET</v>
          </cell>
          <cell r="G1430" t="str">
            <v>2</v>
          </cell>
          <cell r="H1430" t="str">
            <v>RETAIL</v>
          </cell>
          <cell r="I1430" t="str">
            <v>22</v>
          </cell>
          <cell r="J1430" t="str">
            <v>WF2</v>
          </cell>
          <cell r="K1430" t="str">
            <v>2216</v>
          </cell>
          <cell r="L1430" t="str">
            <v>PU MULTIPURPOSE</v>
          </cell>
          <cell r="M1430" t="str">
            <v>221601</v>
          </cell>
          <cell r="N1430" t="str">
            <v>PROPAN MP PU ACR RMX</v>
          </cell>
        </row>
        <row r="1431">
          <cell r="C1431" t="str">
            <v>100004327</v>
          </cell>
          <cell r="D1431" t="str">
            <v>PUC-786 2K LEMON YELLOW GLOSS VN-5KS</v>
          </cell>
          <cell r="E1431" t="str">
            <v>ZFGD</v>
          </cell>
          <cell r="F1431" t="str">
            <v>SET</v>
          </cell>
          <cell r="G1431" t="str">
            <v>2</v>
          </cell>
          <cell r="H1431" t="str">
            <v>RETAIL</v>
          </cell>
          <cell r="I1431" t="str">
            <v>22</v>
          </cell>
          <cell r="J1431" t="str">
            <v>WF2</v>
          </cell>
          <cell r="K1431" t="str">
            <v>2216</v>
          </cell>
          <cell r="L1431" t="str">
            <v>PU MULTIPURPOSE</v>
          </cell>
          <cell r="M1431" t="str">
            <v>221601</v>
          </cell>
          <cell r="N1431" t="str">
            <v>PROPAN MP PU ACR RMX</v>
          </cell>
        </row>
        <row r="1432">
          <cell r="C1432" t="str">
            <v>100004328</v>
          </cell>
          <cell r="D1432" t="str">
            <v>PUC-786 2K XÁM ĐẬM SK004 VN-5KS</v>
          </cell>
          <cell r="E1432" t="str">
            <v>ZFGD</v>
          </cell>
          <cell r="F1432" t="str">
            <v>SET</v>
          </cell>
          <cell r="G1432" t="str">
            <v>2</v>
          </cell>
          <cell r="H1432" t="str">
            <v>RETAIL</v>
          </cell>
          <cell r="I1432" t="str">
            <v>22</v>
          </cell>
          <cell r="J1432" t="str">
            <v>WF2</v>
          </cell>
          <cell r="K1432" t="str">
            <v>2216</v>
          </cell>
          <cell r="L1432" t="str">
            <v>PU MULTIPURPOSE</v>
          </cell>
          <cell r="M1432" t="str">
            <v>221601</v>
          </cell>
          <cell r="N1432" t="str">
            <v>PROPAN MP PU ACR RMX</v>
          </cell>
        </row>
        <row r="1433">
          <cell r="C1433" t="str">
            <v>100004329</v>
          </cell>
          <cell r="D1433" t="str">
            <v>PUC-786 2K XÁM NHẠT SK011 VN-5KS</v>
          </cell>
          <cell r="E1433" t="str">
            <v>ZFGD</v>
          </cell>
          <cell r="F1433" t="str">
            <v>SET</v>
          </cell>
          <cell r="G1433" t="str">
            <v>2</v>
          </cell>
          <cell r="H1433" t="str">
            <v>RETAIL</v>
          </cell>
          <cell r="I1433" t="str">
            <v>22</v>
          </cell>
          <cell r="J1433" t="str">
            <v>WF2</v>
          </cell>
          <cell r="K1433" t="str">
            <v>2216</v>
          </cell>
          <cell r="L1433" t="str">
            <v>PU MULTIPURPOSE</v>
          </cell>
          <cell r="M1433" t="str">
            <v>221601</v>
          </cell>
          <cell r="N1433" t="str">
            <v>PROPAN MP PU ACR RMX</v>
          </cell>
        </row>
        <row r="1434">
          <cell r="C1434" t="str">
            <v>100004330</v>
          </cell>
          <cell r="D1434" t="str">
            <v>PUC-786 2K XANH CHUỐI SK005 VN-5KS</v>
          </cell>
          <cell r="E1434" t="str">
            <v>ZFGD</v>
          </cell>
          <cell r="F1434" t="str">
            <v>SET</v>
          </cell>
          <cell r="G1434" t="str">
            <v>2</v>
          </cell>
          <cell r="H1434" t="str">
            <v>RETAIL</v>
          </cell>
          <cell r="I1434" t="str">
            <v>22</v>
          </cell>
          <cell r="J1434" t="str">
            <v>WF2</v>
          </cell>
          <cell r="K1434" t="str">
            <v>2216</v>
          </cell>
          <cell r="L1434" t="str">
            <v>PU MULTIPURPOSE</v>
          </cell>
          <cell r="M1434" t="str">
            <v>221601</v>
          </cell>
          <cell r="N1434" t="str">
            <v>PROPAN MP PU ACR RMX</v>
          </cell>
        </row>
        <row r="1435">
          <cell r="C1435" t="str">
            <v>100004331</v>
          </cell>
          <cell r="D1435" t="str">
            <v>PUC-786 2K XANH DA TRỜI SK007 VN-5KS</v>
          </cell>
          <cell r="E1435" t="str">
            <v>ZFGD</v>
          </cell>
          <cell r="F1435" t="str">
            <v>SET</v>
          </cell>
          <cell r="G1435" t="str">
            <v>2</v>
          </cell>
          <cell r="H1435" t="str">
            <v>RETAIL</v>
          </cell>
          <cell r="I1435" t="str">
            <v>22</v>
          </cell>
          <cell r="J1435" t="str">
            <v>WF2</v>
          </cell>
          <cell r="K1435" t="str">
            <v>2216</v>
          </cell>
          <cell r="L1435" t="str">
            <v>PU MULTIPURPOSE</v>
          </cell>
          <cell r="M1435" t="str">
            <v>221601</v>
          </cell>
          <cell r="N1435" t="str">
            <v>PROPAN MP PU ACR RMX</v>
          </cell>
        </row>
        <row r="1436">
          <cell r="C1436" t="str">
            <v>100004332</v>
          </cell>
          <cell r="D1436" t="str">
            <v>PUC-786 2K XANH ĐẬM SK009 VN-5KS</v>
          </cell>
          <cell r="E1436" t="str">
            <v>ZFGD</v>
          </cell>
          <cell r="F1436" t="str">
            <v>SET</v>
          </cell>
          <cell r="G1436" t="str">
            <v>2</v>
          </cell>
          <cell r="H1436" t="str">
            <v>RETAIL</v>
          </cell>
          <cell r="I1436" t="str">
            <v>22</v>
          </cell>
          <cell r="J1436" t="str">
            <v>WF2</v>
          </cell>
          <cell r="K1436" t="str">
            <v>2216</v>
          </cell>
          <cell r="L1436" t="str">
            <v>PU MULTIPURPOSE</v>
          </cell>
          <cell r="M1436" t="str">
            <v>221601</v>
          </cell>
          <cell r="N1436" t="str">
            <v>PROPAN MP PU ACR RMX</v>
          </cell>
        </row>
        <row r="1437">
          <cell r="C1437" t="str">
            <v>100004333</v>
          </cell>
          <cell r="D1437" t="str">
            <v>PUC-786 2K XANH DƯƠNG SK008 VN-5KS</v>
          </cell>
          <cell r="E1437" t="str">
            <v>ZFGD</v>
          </cell>
          <cell r="F1437" t="str">
            <v>SET</v>
          </cell>
          <cell r="G1437" t="str">
            <v>2</v>
          </cell>
          <cell r="H1437" t="str">
            <v>RETAIL</v>
          </cell>
          <cell r="I1437" t="str">
            <v>22</v>
          </cell>
          <cell r="J1437" t="str">
            <v>WF2</v>
          </cell>
          <cell r="K1437" t="str">
            <v>2216</v>
          </cell>
          <cell r="L1437" t="str">
            <v>PU MULTIPURPOSE</v>
          </cell>
          <cell r="M1437" t="str">
            <v>221601</v>
          </cell>
          <cell r="N1437" t="str">
            <v>PROPAN MP PU ACR RMX</v>
          </cell>
        </row>
        <row r="1438">
          <cell r="C1438" t="str">
            <v>100004334</v>
          </cell>
          <cell r="D1438" t="str">
            <v>PUC-786 2K XANH NGỌC SK010 VN-5KS</v>
          </cell>
          <cell r="E1438" t="str">
            <v>ZFGD</v>
          </cell>
          <cell r="F1438" t="str">
            <v>SET</v>
          </cell>
          <cell r="G1438" t="str">
            <v>2</v>
          </cell>
          <cell r="H1438" t="str">
            <v>RETAIL</v>
          </cell>
          <cell r="I1438" t="str">
            <v>22</v>
          </cell>
          <cell r="J1438" t="str">
            <v>WF2</v>
          </cell>
          <cell r="K1438" t="str">
            <v>2216</v>
          </cell>
          <cell r="L1438" t="str">
            <v>PU MULTIPURPOSE</v>
          </cell>
          <cell r="M1438" t="str">
            <v>221601</v>
          </cell>
          <cell r="N1438" t="str">
            <v>PROPAN MP PU ACR RMX</v>
          </cell>
        </row>
        <row r="1439">
          <cell r="C1439" t="str">
            <v>100004335</v>
          </cell>
          <cell r="D1439" t="str">
            <v>PUSS-760 2K LÓT TRONG VN-5KS</v>
          </cell>
          <cell r="E1439" t="str">
            <v>ZFGD</v>
          </cell>
          <cell r="F1439" t="str">
            <v>SET</v>
          </cell>
          <cell r="G1439" t="str">
            <v>2</v>
          </cell>
          <cell r="H1439" t="str">
            <v>RETAIL</v>
          </cell>
          <cell r="I1439" t="str">
            <v>22</v>
          </cell>
          <cell r="J1439" t="str">
            <v>WF2</v>
          </cell>
          <cell r="K1439" t="str">
            <v>2216</v>
          </cell>
          <cell r="L1439" t="str">
            <v>PU MULTIPURPOSE</v>
          </cell>
          <cell r="M1439" t="str">
            <v>221601</v>
          </cell>
          <cell r="N1439" t="str">
            <v>PROPAN MP PU ACR RMX</v>
          </cell>
        </row>
        <row r="1440">
          <cell r="C1440" t="str">
            <v>100004336</v>
          </cell>
          <cell r="D1440" t="str">
            <v>PUSF-781 2K LÓT TRẮNG VN-5KS</v>
          </cell>
          <cell r="E1440" t="str">
            <v>ZFGD</v>
          </cell>
          <cell r="F1440" t="str">
            <v>SET</v>
          </cell>
          <cell r="G1440" t="str">
            <v>2</v>
          </cell>
          <cell r="H1440" t="str">
            <v>RETAIL</v>
          </cell>
          <cell r="I1440" t="str">
            <v>22</v>
          </cell>
          <cell r="J1440" t="str">
            <v>WF2</v>
          </cell>
          <cell r="K1440" t="str">
            <v>2216</v>
          </cell>
          <cell r="L1440" t="str">
            <v>PU MULTIPURPOSE</v>
          </cell>
          <cell r="M1440" t="str">
            <v>221601</v>
          </cell>
          <cell r="N1440" t="str">
            <v>PROPAN MP PU ACR RMX</v>
          </cell>
        </row>
        <row r="1441">
          <cell r="C1441" t="str">
            <v>100004344</v>
          </cell>
          <cell r="D1441" t="str">
            <v>2K ACRYLIC BROWN SATIN VN-16KP</v>
          </cell>
          <cell r="E1441" t="str">
            <v>ZFGD</v>
          </cell>
          <cell r="F1441" t="str">
            <v>PC</v>
          </cell>
          <cell r="G1441" t="str">
            <v>2</v>
          </cell>
          <cell r="H1441" t="str">
            <v>RETAIL</v>
          </cell>
          <cell r="I1441" t="str">
            <v>22</v>
          </cell>
          <cell r="J1441" t="str">
            <v>WF2</v>
          </cell>
          <cell r="K1441" t="str">
            <v>2216</v>
          </cell>
          <cell r="L1441" t="str">
            <v>PU MULTIPURPOSE</v>
          </cell>
          <cell r="M1441" t="str">
            <v>221601</v>
          </cell>
          <cell r="N1441" t="str">
            <v>PROPAN MP PU ACR RMX</v>
          </cell>
        </row>
        <row r="1442">
          <cell r="C1442" t="str">
            <v>100004345</v>
          </cell>
          <cell r="D1442" t="str">
            <v>2K ACRYLIC BROWN SATIN VN-20KSP</v>
          </cell>
          <cell r="E1442" t="str">
            <v>ZFGD</v>
          </cell>
          <cell r="F1442" t="str">
            <v>SET</v>
          </cell>
          <cell r="G1442" t="str">
            <v>2</v>
          </cell>
          <cell r="H1442" t="str">
            <v>RETAIL</v>
          </cell>
          <cell r="I1442" t="str">
            <v>22</v>
          </cell>
          <cell r="J1442" t="str">
            <v>WF2</v>
          </cell>
          <cell r="K1442" t="str">
            <v>2216</v>
          </cell>
          <cell r="L1442" t="str">
            <v>PU MULTIPURPOSE</v>
          </cell>
          <cell r="M1442" t="str">
            <v>221601</v>
          </cell>
          <cell r="N1442" t="str">
            <v>PROPAN MP PU ACR RMX</v>
          </cell>
        </row>
        <row r="1443">
          <cell r="C1443" t="str">
            <v>100004364</v>
          </cell>
          <cell r="D1443" t="str">
            <v>THINNER PU-047 VT VN-200LK</v>
          </cell>
          <cell r="E1443" t="str">
            <v>ZFGD</v>
          </cell>
          <cell r="F1443" t="str">
            <v>PC</v>
          </cell>
          <cell r="G1443" t="str">
            <v>2</v>
          </cell>
          <cell r="H1443" t="str">
            <v>RETAIL</v>
          </cell>
          <cell r="I1443" t="str">
            <v>22</v>
          </cell>
          <cell r="J1443" t="str">
            <v>WF2</v>
          </cell>
          <cell r="K1443" t="str">
            <v>2203</v>
          </cell>
          <cell r="L1443" t="str">
            <v>THINNER PU</v>
          </cell>
          <cell r="M1443" t="str">
            <v>220303</v>
          </cell>
          <cell r="N1443" t="str">
            <v>THINNER PU R</v>
          </cell>
        </row>
        <row r="1444">
          <cell r="C1444" t="str">
            <v>100004376</v>
          </cell>
          <cell r="D1444" t="str">
            <v>2K ACRYLIC TRẮNG MỜ VN-1KS</v>
          </cell>
          <cell r="E1444" t="str">
            <v>ZFGD</v>
          </cell>
          <cell r="F1444" t="str">
            <v>SET</v>
          </cell>
          <cell r="G1444" t="str">
            <v>2</v>
          </cell>
          <cell r="H1444" t="str">
            <v>RETAIL</v>
          </cell>
          <cell r="I1444" t="str">
            <v>22</v>
          </cell>
          <cell r="J1444" t="str">
            <v>WF2</v>
          </cell>
          <cell r="K1444" t="str">
            <v>2216</v>
          </cell>
          <cell r="L1444" t="str">
            <v>PU MULTIPURPOSE</v>
          </cell>
          <cell r="M1444" t="str">
            <v>221601</v>
          </cell>
          <cell r="N1444" t="str">
            <v>PROPAN MP PU ACR RMX</v>
          </cell>
        </row>
        <row r="1445">
          <cell r="C1445" t="str">
            <v>100004377</v>
          </cell>
          <cell r="D1445" t="str">
            <v>2K ACRYLIC ĐEN MỜ VN-1KS</v>
          </cell>
          <cell r="E1445" t="str">
            <v>ZFGD</v>
          </cell>
          <cell r="F1445" t="str">
            <v>SET</v>
          </cell>
          <cell r="G1445" t="str">
            <v>2</v>
          </cell>
          <cell r="H1445" t="str">
            <v>RETAIL</v>
          </cell>
          <cell r="I1445" t="str">
            <v>22</v>
          </cell>
          <cell r="J1445" t="str">
            <v>WF2</v>
          </cell>
          <cell r="K1445" t="str">
            <v>2216</v>
          </cell>
          <cell r="L1445" t="str">
            <v>PU MULTIPURPOSE</v>
          </cell>
          <cell r="M1445" t="str">
            <v>221601</v>
          </cell>
          <cell r="N1445" t="str">
            <v>PROPAN MP PU ACR RMX</v>
          </cell>
        </row>
        <row r="1446">
          <cell r="C1446" t="str">
            <v>100004378</v>
          </cell>
          <cell r="D1446" t="str">
            <v>2K ACRYLIC TRẮNG MỜ VN-5KS</v>
          </cell>
          <cell r="E1446" t="str">
            <v>ZFGD</v>
          </cell>
          <cell r="F1446" t="str">
            <v>SET</v>
          </cell>
          <cell r="G1446" t="str">
            <v>2</v>
          </cell>
          <cell r="H1446" t="str">
            <v>RETAIL</v>
          </cell>
          <cell r="I1446" t="str">
            <v>22</v>
          </cell>
          <cell r="J1446" t="str">
            <v>WF2</v>
          </cell>
          <cell r="K1446" t="str">
            <v>2216</v>
          </cell>
          <cell r="L1446" t="str">
            <v>PU MULTIPURPOSE</v>
          </cell>
          <cell r="M1446" t="str">
            <v>221601</v>
          </cell>
          <cell r="N1446" t="str">
            <v>PROPAN MP PU ACR RMX</v>
          </cell>
        </row>
        <row r="1447">
          <cell r="C1447" t="str">
            <v>100004379</v>
          </cell>
          <cell r="D1447" t="str">
            <v>2K ACRYLIC ĐEN MỜ VN-5KS</v>
          </cell>
          <cell r="E1447" t="str">
            <v>ZFGD</v>
          </cell>
          <cell r="F1447" t="str">
            <v>SET</v>
          </cell>
          <cell r="G1447" t="str">
            <v>2</v>
          </cell>
          <cell r="H1447" t="str">
            <v>RETAIL</v>
          </cell>
          <cell r="I1447" t="str">
            <v>22</v>
          </cell>
          <cell r="J1447" t="str">
            <v>WF2</v>
          </cell>
          <cell r="K1447" t="str">
            <v>2216</v>
          </cell>
          <cell r="L1447" t="str">
            <v>PU MULTIPURPOSE</v>
          </cell>
          <cell r="M1447" t="str">
            <v>221601</v>
          </cell>
          <cell r="N1447" t="str">
            <v>PROPAN MP PU ACR RMX</v>
          </cell>
        </row>
        <row r="1448">
          <cell r="C1448" t="str">
            <v>100004380</v>
          </cell>
          <cell r="D1448" t="str">
            <v>2K ACRYLIC TRẮNG MỜ VN-20KSP</v>
          </cell>
          <cell r="E1448" t="str">
            <v>ZFGD</v>
          </cell>
          <cell r="F1448" t="str">
            <v>SET</v>
          </cell>
          <cell r="G1448" t="str">
            <v>2</v>
          </cell>
          <cell r="H1448" t="str">
            <v>RETAIL</v>
          </cell>
          <cell r="I1448" t="str">
            <v>22</v>
          </cell>
          <cell r="J1448" t="str">
            <v>WF2</v>
          </cell>
          <cell r="K1448" t="str">
            <v>2216</v>
          </cell>
          <cell r="L1448" t="str">
            <v>PU MULTIPURPOSE</v>
          </cell>
          <cell r="M1448" t="str">
            <v>221601</v>
          </cell>
          <cell r="N1448" t="str">
            <v>PROPAN MP PU ACR RMX</v>
          </cell>
        </row>
        <row r="1449">
          <cell r="C1449" t="str">
            <v>100004381</v>
          </cell>
          <cell r="D1449" t="str">
            <v>2K ACRYLIC ĐEN MỜ VN-20KSP</v>
          </cell>
          <cell r="E1449" t="str">
            <v>ZFGD</v>
          </cell>
          <cell r="F1449" t="str">
            <v>SET</v>
          </cell>
          <cell r="G1449" t="str">
            <v>2</v>
          </cell>
          <cell r="H1449" t="str">
            <v>RETAIL</v>
          </cell>
          <cell r="I1449" t="str">
            <v>22</v>
          </cell>
          <cell r="J1449" t="str">
            <v>WF2</v>
          </cell>
          <cell r="K1449" t="str">
            <v>2216</v>
          </cell>
          <cell r="L1449" t="str">
            <v>PU MULTIPURPOSE</v>
          </cell>
          <cell r="M1449" t="str">
            <v>221601</v>
          </cell>
          <cell r="N1449" t="str">
            <v>PROPAN MP PU ACR RMX</v>
          </cell>
        </row>
        <row r="1450">
          <cell r="C1450" t="str">
            <v>100004382</v>
          </cell>
          <cell r="D1450" t="str">
            <v>2K ACRYLIC TRẮNG MỜ VN-0.8K</v>
          </cell>
          <cell r="E1450" t="str">
            <v>ZFGD</v>
          </cell>
          <cell r="F1450" t="str">
            <v>PC</v>
          </cell>
          <cell r="G1450" t="str">
            <v>2</v>
          </cell>
          <cell r="H1450" t="str">
            <v>RETAIL</v>
          </cell>
          <cell r="I1450" t="str">
            <v>22</v>
          </cell>
          <cell r="J1450" t="str">
            <v>WF2</v>
          </cell>
          <cell r="K1450" t="str">
            <v>2216</v>
          </cell>
          <cell r="L1450" t="str">
            <v>PU MULTIPURPOSE</v>
          </cell>
          <cell r="M1450" t="str">
            <v>221601</v>
          </cell>
          <cell r="N1450" t="str">
            <v>PROPAN MP PU ACR RMX</v>
          </cell>
        </row>
        <row r="1451">
          <cell r="C1451" t="str">
            <v>100004383</v>
          </cell>
          <cell r="D1451" t="str">
            <v>2K ACRYLIC ĐEN MỜ VN-0.8K</v>
          </cell>
          <cell r="E1451" t="str">
            <v>ZFGD</v>
          </cell>
          <cell r="F1451" t="str">
            <v>PC</v>
          </cell>
          <cell r="G1451" t="str">
            <v>2</v>
          </cell>
          <cell r="H1451" t="str">
            <v>RETAIL</v>
          </cell>
          <cell r="I1451" t="str">
            <v>22</v>
          </cell>
          <cell r="J1451" t="str">
            <v>WF2</v>
          </cell>
          <cell r="K1451" t="str">
            <v>2216</v>
          </cell>
          <cell r="L1451" t="str">
            <v>PU MULTIPURPOSE</v>
          </cell>
          <cell r="M1451" t="str">
            <v>221601</v>
          </cell>
          <cell r="N1451" t="str">
            <v>PROPAN MP PU ACR RMX</v>
          </cell>
        </row>
        <row r="1452">
          <cell r="C1452" t="str">
            <v>100004384</v>
          </cell>
          <cell r="D1452" t="str">
            <v>2K ACRYLIC TRẮNG MỜ VN-4K</v>
          </cell>
          <cell r="E1452" t="str">
            <v>ZFGD</v>
          </cell>
          <cell r="F1452" t="str">
            <v>PC</v>
          </cell>
          <cell r="G1452" t="str">
            <v>2</v>
          </cell>
          <cell r="H1452" t="str">
            <v>RETAIL</v>
          </cell>
          <cell r="I1452" t="str">
            <v>22</v>
          </cell>
          <cell r="J1452" t="str">
            <v>WF2</v>
          </cell>
          <cell r="K1452" t="str">
            <v>2216</v>
          </cell>
          <cell r="L1452" t="str">
            <v>PU MULTIPURPOSE</v>
          </cell>
          <cell r="M1452" t="str">
            <v>221601</v>
          </cell>
          <cell r="N1452" t="str">
            <v>PROPAN MP PU ACR RMX</v>
          </cell>
        </row>
        <row r="1453">
          <cell r="C1453" t="str">
            <v>100004385</v>
          </cell>
          <cell r="D1453" t="str">
            <v>2K ACRYLIC ĐEN MỜ VN-4K</v>
          </cell>
          <cell r="E1453" t="str">
            <v>ZFGD</v>
          </cell>
          <cell r="F1453" t="str">
            <v>PC</v>
          </cell>
          <cell r="G1453" t="str">
            <v>2</v>
          </cell>
          <cell r="H1453" t="str">
            <v>RETAIL</v>
          </cell>
          <cell r="I1453" t="str">
            <v>22</v>
          </cell>
          <cell r="J1453" t="str">
            <v>WF2</v>
          </cell>
          <cell r="K1453" t="str">
            <v>2216</v>
          </cell>
          <cell r="L1453" t="str">
            <v>PU MULTIPURPOSE</v>
          </cell>
          <cell r="M1453" t="str">
            <v>221601</v>
          </cell>
          <cell r="N1453" t="str">
            <v>PROPAN MP PU ACR RMX</v>
          </cell>
        </row>
        <row r="1454">
          <cell r="C1454" t="str">
            <v>100004386</v>
          </cell>
          <cell r="D1454" t="str">
            <v>2K ACRYLIC TRẮNG MỜ VN-16KP</v>
          </cell>
          <cell r="E1454" t="str">
            <v>ZFGD</v>
          </cell>
          <cell r="F1454" t="str">
            <v>PC</v>
          </cell>
          <cell r="G1454" t="str">
            <v>2</v>
          </cell>
          <cell r="H1454" t="str">
            <v>RETAIL</v>
          </cell>
          <cell r="I1454" t="str">
            <v>22</v>
          </cell>
          <cell r="J1454" t="str">
            <v>WF2</v>
          </cell>
          <cell r="K1454" t="str">
            <v>2216</v>
          </cell>
          <cell r="L1454" t="str">
            <v>PU MULTIPURPOSE</v>
          </cell>
          <cell r="M1454" t="str">
            <v>221601</v>
          </cell>
          <cell r="N1454" t="str">
            <v>PROPAN MP PU ACR RMX</v>
          </cell>
        </row>
        <row r="1455">
          <cell r="C1455" t="str">
            <v>100004387</v>
          </cell>
          <cell r="D1455" t="str">
            <v>2K ACRYLIC ĐEN MỜ VN-16KP</v>
          </cell>
          <cell r="E1455" t="str">
            <v>ZFGD</v>
          </cell>
          <cell r="F1455" t="str">
            <v>PC</v>
          </cell>
          <cell r="G1455" t="str">
            <v>2</v>
          </cell>
          <cell r="H1455" t="str">
            <v>RETAIL</v>
          </cell>
          <cell r="I1455" t="str">
            <v>22</v>
          </cell>
          <cell r="J1455" t="str">
            <v>WF2</v>
          </cell>
          <cell r="K1455" t="str">
            <v>2216</v>
          </cell>
          <cell r="L1455" t="str">
            <v>PU MULTIPURPOSE</v>
          </cell>
          <cell r="M1455" t="str">
            <v>221601</v>
          </cell>
          <cell r="N1455" t="str">
            <v>PROPAN MP PU ACR RMX</v>
          </cell>
        </row>
        <row r="1456">
          <cell r="C1456" t="str">
            <v>100004397</v>
          </cell>
          <cell r="D1456" t="str">
            <v>HARDENER PUH-75 NY VN-1K.</v>
          </cell>
          <cell r="E1456" t="str">
            <v>ZFGD</v>
          </cell>
          <cell r="F1456" t="str">
            <v>PC</v>
          </cell>
          <cell r="G1456" t="str">
            <v>2</v>
          </cell>
          <cell r="H1456" t="str">
            <v>RETAIL</v>
          </cell>
          <cell r="I1456" t="str">
            <v>22</v>
          </cell>
          <cell r="J1456" t="str">
            <v>WF2</v>
          </cell>
          <cell r="K1456" t="str">
            <v>2216</v>
          </cell>
          <cell r="L1456" t="str">
            <v>PU MULTIPURPOSE</v>
          </cell>
          <cell r="M1456" t="str">
            <v>221601</v>
          </cell>
          <cell r="N1456" t="str">
            <v>PROPAN MP PU ACR RMX</v>
          </cell>
        </row>
        <row r="1457">
          <cell r="C1457" t="str">
            <v>100004398</v>
          </cell>
          <cell r="D1457" t="str">
            <v>HARDENER PUH-75 NY VN-0.2K.</v>
          </cell>
          <cell r="E1457" t="str">
            <v>ZFGD</v>
          </cell>
          <cell r="F1457" t="str">
            <v>PC</v>
          </cell>
          <cell r="G1457" t="str">
            <v>2</v>
          </cell>
          <cell r="H1457" t="str">
            <v>RETAIL</v>
          </cell>
          <cell r="I1457" t="str">
            <v>22</v>
          </cell>
          <cell r="J1457" t="str">
            <v>WF2</v>
          </cell>
          <cell r="K1457" t="str">
            <v>2216</v>
          </cell>
          <cell r="L1457" t="str">
            <v>PU MULTIPURPOSE</v>
          </cell>
          <cell r="M1457" t="str">
            <v>221601</v>
          </cell>
          <cell r="N1457" t="str">
            <v>PROPAN MP PU ACR RMX</v>
          </cell>
        </row>
        <row r="1458">
          <cell r="C1458" t="str">
            <v>100004431</v>
          </cell>
          <cell r="D1458" t="str">
            <v>MX-99 AVOCADO VN-0.6K</v>
          </cell>
          <cell r="E1458" t="str">
            <v>ZFGD</v>
          </cell>
          <cell r="F1458" t="str">
            <v>PC</v>
          </cell>
          <cell r="G1458" t="str">
            <v>2</v>
          </cell>
          <cell r="H1458" t="str">
            <v>RETAIL</v>
          </cell>
          <cell r="I1458" t="str">
            <v>27</v>
          </cell>
          <cell r="J1458" t="str">
            <v>CPC1</v>
          </cell>
          <cell r="K1458" t="str">
            <v>2703</v>
          </cell>
          <cell r="L1458" t="str">
            <v>MULTIPOX</v>
          </cell>
          <cell r="M1458" t="str">
            <v>270302</v>
          </cell>
          <cell r="N1458" t="str">
            <v>MULTIPOX BASE</v>
          </cell>
        </row>
        <row r="1459">
          <cell r="C1459" t="str">
            <v>100004432</v>
          </cell>
          <cell r="D1459" t="str">
            <v>MX-99 AVOCADO VN-3K</v>
          </cell>
          <cell r="E1459" t="str">
            <v>ZFGD</v>
          </cell>
          <cell r="F1459" t="str">
            <v>PC</v>
          </cell>
          <cell r="G1459" t="str">
            <v>2</v>
          </cell>
          <cell r="H1459" t="str">
            <v>RETAIL</v>
          </cell>
          <cell r="I1459" t="str">
            <v>27</v>
          </cell>
          <cell r="J1459" t="str">
            <v>CPC1</v>
          </cell>
          <cell r="K1459" t="str">
            <v>2703</v>
          </cell>
          <cell r="L1459" t="str">
            <v>MULTIPOX</v>
          </cell>
          <cell r="M1459" t="str">
            <v>270302</v>
          </cell>
          <cell r="N1459" t="str">
            <v>MULTIPOX BASE</v>
          </cell>
        </row>
        <row r="1460">
          <cell r="C1460" t="str">
            <v>100004433</v>
          </cell>
          <cell r="D1460" t="str">
            <v>MX-99 AVOCADO VN-15KP</v>
          </cell>
          <cell r="E1460" t="str">
            <v>ZFGD</v>
          </cell>
          <cell r="F1460" t="str">
            <v>PC</v>
          </cell>
          <cell r="G1460" t="str">
            <v>2</v>
          </cell>
          <cell r="H1460" t="str">
            <v>RETAIL</v>
          </cell>
          <cell r="I1460" t="str">
            <v>27</v>
          </cell>
          <cell r="J1460" t="str">
            <v>CPC1</v>
          </cell>
          <cell r="K1460" t="str">
            <v>2703</v>
          </cell>
          <cell r="L1460" t="str">
            <v>MULTIPOX</v>
          </cell>
          <cell r="M1460" t="str">
            <v>270302</v>
          </cell>
          <cell r="N1460" t="str">
            <v>MULTIPOX BASE</v>
          </cell>
        </row>
        <row r="1461">
          <cell r="C1461" t="str">
            <v>100004434</v>
          </cell>
          <cell r="D1461" t="str">
            <v>MX-99 AVOCADO VN-22.5KP</v>
          </cell>
          <cell r="E1461" t="str">
            <v>ZFGD</v>
          </cell>
          <cell r="F1461" t="str">
            <v>PC</v>
          </cell>
          <cell r="G1461" t="str">
            <v>2</v>
          </cell>
          <cell r="H1461" t="str">
            <v>RETAIL</v>
          </cell>
          <cell r="I1461" t="str">
            <v>27</v>
          </cell>
          <cell r="J1461" t="str">
            <v>CPC1</v>
          </cell>
          <cell r="K1461" t="str">
            <v>2703</v>
          </cell>
          <cell r="L1461" t="str">
            <v>MULTIPOX</v>
          </cell>
          <cell r="M1461" t="str">
            <v>270302</v>
          </cell>
          <cell r="N1461" t="str">
            <v>MULTIPOX BASE</v>
          </cell>
        </row>
        <row r="1462">
          <cell r="C1462" t="str">
            <v>100004435</v>
          </cell>
          <cell r="D1462" t="str">
            <v>MX-99 AVOCADO VN-1KS</v>
          </cell>
          <cell r="E1462" t="str">
            <v>ZFGD</v>
          </cell>
          <cell r="F1462" t="str">
            <v>SET</v>
          </cell>
          <cell r="G1462" t="str">
            <v>2</v>
          </cell>
          <cell r="H1462" t="str">
            <v>RETAIL</v>
          </cell>
          <cell r="I1462" t="str">
            <v>27</v>
          </cell>
          <cell r="J1462" t="str">
            <v>CPC1</v>
          </cell>
          <cell r="K1462" t="str">
            <v>2703</v>
          </cell>
          <cell r="L1462" t="str">
            <v>MULTIPOX</v>
          </cell>
          <cell r="M1462" t="str">
            <v>270302</v>
          </cell>
          <cell r="N1462" t="str">
            <v>MULTIPOX BASE</v>
          </cell>
        </row>
        <row r="1463">
          <cell r="C1463" t="str">
            <v>100004436</v>
          </cell>
          <cell r="D1463" t="str">
            <v>MX-99 AVOCADO VN-4KS</v>
          </cell>
          <cell r="E1463" t="str">
            <v>ZFGD</v>
          </cell>
          <cell r="F1463" t="str">
            <v>SET</v>
          </cell>
          <cell r="G1463" t="str">
            <v>2</v>
          </cell>
          <cell r="H1463" t="str">
            <v>RETAIL</v>
          </cell>
          <cell r="I1463" t="str">
            <v>27</v>
          </cell>
          <cell r="J1463" t="str">
            <v>CPC1</v>
          </cell>
          <cell r="K1463" t="str">
            <v>2703</v>
          </cell>
          <cell r="L1463" t="str">
            <v>MULTIPOX</v>
          </cell>
          <cell r="M1463" t="str">
            <v>270302</v>
          </cell>
          <cell r="N1463" t="str">
            <v>MULTIPOX BASE</v>
          </cell>
        </row>
        <row r="1464">
          <cell r="C1464" t="str">
            <v>100004437</v>
          </cell>
          <cell r="D1464" t="str">
            <v>MX-99 AVOCADO VN-20KSP</v>
          </cell>
          <cell r="E1464" t="str">
            <v>ZFGD</v>
          </cell>
          <cell r="F1464" t="str">
            <v>SET</v>
          </cell>
          <cell r="G1464" t="str">
            <v>2</v>
          </cell>
          <cell r="H1464" t="str">
            <v>RETAIL</v>
          </cell>
          <cell r="I1464" t="str">
            <v>27</v>
          </cell>
          <cell r="J1464" t="str">
            <v>CPC1</v>
          </cell>
          <cell r="K1464" t="str">
            <v>2703</v>
          </cell>
          <cell r="L1464" t="str">
            <v>MULTIPOX</v>
          </cell>
          <cell r="M1464" t="str">
            <v>270302</v>
          </cell>
          <cell r="N1464" t="str">
            <v>MULTIPOX BASE</v>
          </cell>
        </row>
        <row r="1465">
          <cell r="C1465" t="str">
            <v>100004438</v>
          </cell>
          <cell r="D1465" t="str">
            <v>MX-99 AVOCADO VN-30KSP</v>
          </cell>
          <cell r="E1465" t="str">
            <v>ZFGD</v>
          </cell>
          <cell r="F1465" t="str">
            <v>SET</v>
          </cell>
          <cell r="G1465" t="str">
            <v>2</v>
          </cell>
          <cell r="H1465" t="str">
            <v>RETAIL</v>
          </cell>
          <cell r="I1465" t="str">
            <v>27</v>
          </cell>
          <cell r="J1465" t="str">
            <v>CPC1</v>
          </cell>
          <cell r="K1465" t="str">
            <v>2703</v>
          </cell>
          <cell r="L1465" t="str">
            <v>MULTIPOX</v>
          </cell>
          <cell r="M1465" t="str">
            <v>270302</v>
          </cell>
          <cell r="N1465" t="str">
            <v>MULTIPOX BASE</v>
          </cell>
        </row>
        <row r="1466">
          <cell r="C1466" t="str">
            <v>100004440</v>
          </cell>
          <cell r="D1466" t="str">
            <v>UPR-960 APRICOT 1141 VN-6K</v>
          </cell>
          <cell r="E1466" t="str">
            <v>ZFGD</v>
          </cell>
          <cell r="F1466" t="str">
            <v>PC</v>
          </cell>
          <cell r="G1466" t="str">
            <v>2</v>
          </cell>
          <cell r="H1466" t="str">
            <v>RETAIL</v>
          </cell>
          <cell r="I1466" t="str">
            <v>2D</v>
          </cell>
          <cell r="J1466" t="str">
            <v>APCT2</v>
          </cell>
          <cell r="K1466" t="str">
            <v>2D01</v>
          </cell>
          <cell r="L1466" t="str">
            <v>ULTRAPROOF</v>
          </cell>
          <cell r="M1466" t="str">
            <v>2D0101</v>
          </cell>
          <cell r="N1466" t="str">
            <v>ULTRAPROOF RMX</v>
          </cell>
        </row>
        <row r="1467">
          <cell r="C1467" t="str">
            <v>100004441</v>
          </cell>
          <cell r="D1467" t="str">
            <v>UPR-960 ARMY GREEN 7414 VN-6K</v>
          </cell>
          <cell r="E1467" t="str">
            <v>ZFGD</v>
          </cell>
          <cell r="F1467" t="str">
            <v>PC</v>
          </cell>
          <cell r="G1467" t="str">
            <v>2</v>
          </cell>
          <cell r="H1467" t="str">
            <v>RETAIL</v>
          </cell>
          <cell r="I1467" t="str">
            <v>2D</v>
          </cell>
          <cell r="J1467" t="str">
            <v>APCT2</v>
          </cell>
          <cell r="K1467" t="str">
            <v>2D01</v>
          </cell>
          <cell r="L1467" t="str">
            <v>ULTRAPROOF</v>
          </cell>
          <cell r="M1467" t="str">
            <v>2D0101</v>
          </cell>
          <cell r="N1467" t="str">
            <v>ULTRAPROOF RMX</v>
          </cell>
        </row>
        <row r="1468">
          <cell r="C1468" t="str">
            <v>100004442</v>
          </cell>
          <cell r="D1468" t="str">
            <v>UPR-960 BLACK 9406 VN-6K</v>
          </cell>
          <cell r="E1468" t="str">
            <v>ZFGD</v>
          </cell>
          <cell r="F1468" t="str">
            <v>PC</v>
          </cell>
          <cell r="G1468" t="str">
            <v>2</v>
          </cell>
          <cell r="H1468" t="str">
            <v>RETAIL</v>
          </cell>
          <cell r="I1468" t="str">
            <v>2D</v>
          </cell>
          <cell r="J1468" t="str">
            <v>APCT2</v>
          </cell>
          <cell r="K1468" t="str">
            <v>2D01</v>
          </cell>
          <cell r="L1468" t="str">
            <v>ULTRAPROOF</v>
          </cell>
          <cell r="M1468" t="str">
            <v>2D0101</v>
          </cell>
          <cell r="N1468" t="str">
            <v>ULTRAPROOF RMX</v>
          </cell>
        </row>
        <row r="1469">
          <cell r="C1469" t="str">
            <v>100004443</v>
          </cell>
          <cell r="D1469" t="str">
            <v>UPR-960 BLUE MYSTERY 0041 VN-6K</v>
          </cell>
          <cell r="E1469" t="str">
            <v>ZFGD</v>
          </cell>
          <cell r="F1469" t="str">
            <v>PC</v>
          </cell>
          <cell r="G1469" t="str">
            <v>2</v>
          </cell>
          <cell r="H1469" t="str">
            <v>RETAIL</v>
          </cell>
          <cell r="I1469" t="str">
            <v>2D</v>
          </cell>
          <cell r="J1469" t="str">
            <v>APCT2</v>
          </cell>
          <cell r="K1469" t="str">
            <v>2D01</v>
          </cell>
          <cell r="L1469" t="str">
            <v>ULTRAPROOF</v>
          </cell>
          <cell r="M1469" t="str">
            <v>2D0101</v>
          </cell>
          <cell r="N1469" t="str">
            <v>ULTRAPROOF RMX</v>
          </cell>
        </row>
        <row r="1470">
          <cell r="C1470" t="str">
            <v>100004444</v>
          </cell>
          <cell r="D1470" t="str">
            <v>UPR-960 CAPPUCINO 0067 VN-6K</v>
          </cell>
          <cell r="E1470" t="str">
            <v>ZFGD</v>
          </cell>
          <cell r="F1470" t="str">
            <v>PC</v>
          </cell>
          <cell r="G1470" t="str">
            <v>2</v>
          </cell>
          <cell r="H1470" t="str">
            <v>RETAIL</v>
          </cell>
          <cell r="I1470" t="str">
            <v>2D</v>
          </cell>
          <cell r="J1470" t="str">
            <v>APCT2</v>
          </cell>
          <cell r="K1470" t="str">
            <v>2D01</v>
          </cell>
          <cell r="L1470" t="str">
            <v>ULTRAPROOF</v>
          </cell>
          <cell r="M1470" t="str">
            <v>2D0101</v>
          </cell>
          <cell r="N1470" t="str">
            <v>ULTRAPROOF RMX</v>
          </cell>
        </row>
        <row r="1471">
          <cell r="C1471" t="str">
            <v>100004445</v>
          </cell>
          <cell r="D1471" t="str">
            <v>UPR-960 DARK BROWN 2406 VN-6K</v>
          </cell>
          <cell r="E1471" t="str">
            <v>ZFGD</v>
          </cell>
          <cell r="F1471" t="str">
            <v>PC</v>
          </cell>
          <cell r="G1471" t="str">
            <v>2</v>
          </cell>
          <cell r="H1471" t="str">
            <v>RETAIL</v>
          </cell>
          <cell r="I1471" t="str">
            <v>2D</v>
          </cell>
          <cell r="J1471" t="str">
            <v>APCT2</v>
          </cell>
          <cell r="K1471" t="str">
            <v>2D01</v>
          </cell>
          <cell r="L1471" t="str">
            <v>ULTRAPROOF</v>
          </cell>
          <cell r="M1471" t="str">
            <v>2D0101</v>
          </cell>
          <cell r="N1471" t="str">
            <v>ULTRAPROOF RMX</v>
          </cell>
        </row>
        <row r="1472">
          <cell r="C1472" t="str">
            <v>100004446</v>
          </cell>
          <cell r="D1472" t="str">
            <v>UPR-960 HARVEST 3404 VN-6K</v>
          </cell>
          <cell r="E1472" t="str">
            <v>ZFGD</v>
          </cell>
          <cell r="F1472" t="str">
            <v>PC</v>
          </cell>
          <cell r="G1472" t="str">
            <v>2</v>
          </cell>
          <cell r="H1472" t="str">
            <v>RETAIL</v>
          </cell>
          <cell r="I1472" t="str">
            <v>2D</v>
          </cell>
          <cell r="J1472" t="str">
            <v>APCT2</v>
          </cell>
          <cell r="K1472" t="str">
            <v>2D01</v>
          </cell>
          <cell r="L1472" t="str">
            <v>ULTRAPROOF</v>
          </cell>
          <cell r="M1472" t="str">
            <v>2D0101</v>
          </cell>
          <cell r="N1472" t="str">
            <v>ULTRAPROOF RMX</v>
          </cell>
        </row>
        <row r="1473">
          <cell r="C1473" t="str">
            <v>100004447</v>
          </cell>
          <cell r="D1473" t="str">
            <v>UPR-960 LIGHT GREY 7114 VN-6K</v>
          </cell>
          <cell r="E1473" t="str">
            <v>ZFGD</v>
          </cell>
          <cell r="F1473" t="str">
            <v>PC</v>
          </cell>
          <cell r="G1473" t="str">
            <v>2</v>
          </cell>
          <cell r="H1473" t="str">
            <v>RETAIL</v>
          </cell>
          <cell r="I1473" t="str">
            <v>2D</v>
          </cell>
          <cell r="J1473" t="str">
            <v>APCT2</v>
          </cell>
          <cell r="K1473" t="str">
            <v>2D01</v>
          </cell>
          <cell r="L1473" t="str">
            <v>ULTRAPROOF</v>
          </cell>
          <cell r="M1473" t="str">
            <v>2D0101</v>
          </cell>
          <cell r="N1473" t="str">
            <v>ULTRAPROOF RMX</v>
          </cell>
        </row>
        <row r="1474">
          <cell r="C1474" t="str">
            <v>100004448</v>
          </cell>
          <cell r="D1474" t="str">
            <v>UPR-960 MARINE GREEN 7107 VN-6K</v>
          </cell>
          <cell r="E1474" t="str">
            <v>ZFGD</v>
          </cell>
          <cell r="F1474" t="str">
            <v>PC</v>
          </cell>
          <cell r="G1474" t="str">
            <v>2</v>
          </cell>
          <cell r="H1474" t="str">
            <v>RETAIL</v>
          </cell>
          <cell r="I1474" t="str">
            <v>2D</v>
          </cell>
          <cell r="J1474" t="str">
            <v>APCT2</v>
          </cell>
          <cell r="K1474" t="str">
            <v>2D01</v>
          </cell>
          <cell r="L1474" t="str">
            <v>ULTRAPROOF</v>
          </cell>
          <cell r="M1474" t="str">
            <v>2D0101</v>
          </cell>
          <cell r="N1474" t="str">
            <v>ULTRAPROOF RMX</v>
          </cell>
        </row>
        <row r="1475">
          <cell r="C1475" t="str">
            <v>100004449</v>
          </cell>
          <cell r="D1475" t="str">
            <v>UPR-960 ORANGE PUNCH 0066 VN-6K</v>
          </cell>
          <cell r="E1475" t="str">
            <v>ZFGD</v>
          </cell>
          <cell r="F1475" t="str">
            <v>PC</v>
          </cell>
          <cell r="G1475" t="str">
            <v>2</v>
          </cell>
          <cell r="H1475" t="str">
            <v>RETAIL</v>
          </cell>
          <cell r="I1475" t="str">
            <v>2D</v>
          </cell>
          <cell r="J1475" t="str">
            <v>APCT2</v>
          </cell>
          <cell r="K1475" t="str">
            <v>2D01</v>
          </cell>
          <cell r="L1475" t="str">
            <v>ULTRAPROOF</v>
          </cell>
          <cell r="M1475" t="str">
            <v>2D0101</v>
          </cell>
          <cell r="N1475" t="str">
            <v>ULTRAPROOF RMX</v>
          </cell>
        </row>
        <row r="1476">
          <cell r="C1476" t="str">
            <v>100004450</v>
          </cell>
          <cell r="D1476" t="str">
            <v>UPR-960 PASTEL GREY 8403 VN-6K</v>
          </cell>
          <cell r="E1476" t="str">
            <v>ZFGD</v>
          </cell>
          <cell r="F1476" t="str">
            <v>PC</v>
          </cell>
          <cell r="G1476" t="str">
            <v>2</v>
          </cell>
          <cell r="H1476" t="str">
            <v>RETAIL</v>
          </cell>
          <cell r="I1476" t="str">
            <v>2D</v>
          </cell>
          <cell r="J1476" t="str">
            <v>APCT2</v>
          </cell>
          <cell r="K1476" t="str">
            <v>2D01</v>
          </cell>
          <cell r="L1476" t="str">
            <v>ULTRAPROOF</v>
          </cell>
          <cell r="M1476" t="str">
            <v>2D0101</v>
          </cell>
          <cell r="N1476" t="str">
            <v>ULTRAPROOF RMX</v>
          </cell>
        </row>
        <row r="1477">
          <cell r="C1477" t="str">
            <v>100004451</v>
          </cell>
          <cell r="D1477" t="str">
            <v>UPR-960 PRIME GREY 0044 VN-6K</v>
          </cell>
          <cell r="E1477" t="str">
            <v>ZFGD</v>
          </cell>
          <cell r="F1477" t="str">
            <v>PC</v>
          </cell>
          <cell r="G1477" t="str">
            <v>2</v>
          </cell>
          <cell r="H1477" t="str">
            <v>RETAIL</v>
          </cell>
          <cell r="I1477" t="str">
            <v>2D</v>
          </cell>
          <cell r="J1477" t="str">
            <v>APCT2</v>
          </cell>
          <cell r="K1477" t="str">
            <v>2D01</v>
          </cell>
          <cell r="L1477" t="str">
            <v>ULTRAPROOF</v>
          </cell>
          <cell r="M1477" t="str">
            <v>2D0101</v>
          </cell>
          <cell r="N1477" t="str">
            <v>ULTRAPROOF RMX</v>
          </cell>
        </row>
        <row r="1478">
          <cell r="C1478" t="str">
            <v>100004452</v>
          </cell>
          <cell r="D1478" t="str">
            <v>UPR-960 SAND STONE 0045 VN-6K</v>
          </cell>
          <cell r="E1478" t="str">
            <v>ZFGD</v>
          </cell>
          <cell r="F1478" t="str">
            <v>PC</v>
          </cell>
          <cell r="G1478" t="str">
            <v>2</v>
          </cell>
          <cell r="H1478" t="str">
            <v>RETAIL</v>
          </cell>
          <cell r="I1478" t="str">
            <v>2D</v>
          </cell>
          <cell r="J1478" t="str">
            <v>APCT2</v>
          </cell>
          <cell r="K1478" t="str">
            <v>2D01</v>
          </cell>
          <cell r="L1478" t="str">
            <v>ULTRAPROOF</v>
          </cell>
          <cell r="M1478" t="str">
            <v>2D0101</v>
          </cell>
          <cell r="N1478" t="str">
            <v>ULTRAPROOF RMX</v>
          </cell>
        </row>
        <row r="1479">
          <cell r="C1479" t="str">
            <v>100004453</v>
          </cell>
          <cell r="D1479" t="str">
            <v>UPR-960 SKY BLUE 7101 VN-6K</v>
          </cell>
          <cell r="E1479" t="str">
            <v>ZFGD</v>
          </cell>
          <cell r="F1479" t="str">
            <v>PC</v>
          </cell>
          <cell r="G1479" t="str">
            <v>2</v>
          </cell>
          <cell r="H1479" t="str">
            <v>RETAIL</v>
          </cell>
          <cell r="I1479" t="str">
            <v>2D</v>
          </cell>
          <cell r="J1479" t="str">
            <v>APCT2</v>
          </cell>
          <cell r="K1479" t="str">
            <v>2D01</v>
          </cell>
          <cell r="L1479" t="str">
            <v>ULTRAPROOF</v>
          </cell>
          <cell r="M1479" t="str">
            <v>2D0101</v>
          </cell>
          <cell r="N1479" t="str">
            <v>ULTRAPROOF RMX</v>
          </cell>
        </row>
        <row r="1480">
          <cell r="C1480" t="str">
            <v>100004454</v>
          </cell>
          <cell r="D1480" t="str">
            <v>UPR-960 SUMMER SALAD 0065 VN-6K</v>
          </cell>
          <cell r="E1480" t="str">
            <v>ZFGD</v>
          </cell>
          <cell r="F1480" t="str">
            <v>PC</v>
          </cell>
          <cell r="G1480" t="str">
            <v>2</v>
          </cell>
          <cell r="H1480" t="str">
            <v>RETAIL</v>
          </cell>
          <cell r="I1480" t="str">
            <v>2D</v>
          </cell>
          <cell r="J1480" t="str">
            <v>APCT2</v>
          </cell>
          <cell r="K1480" t="str">
            <v>2D01</v>
          </cell>
          <cell r="L1480" t="str">
            <v>ULTRAPROOF</v>
          </cell>
          <cell r="M1480" t="str">
            <v>2D0101</v>
          </cell>
          <cell r="N1480" t="str">
            <v>ULTRAPROOF RMX</v>
          </cell>
        </row>
        <row r="1481">
          <cell r="C1481" t="str">
            <v>100004455</v>
          </cell>
          <cell r="D1481" t="str">
            <v>UPR-960 SUNKISS 0046 VN-6K</v>
          </cell>
          <cell r="E1481" t="str">
            <v>ZFGD</v>
          </cell>
          <cell r="F1481" t="str">
            <v>PC</v>
          </cell>
          <cell r="G1481" t="str">
            <v>2</v>
          </cell>
          <cell r="H1481" t="str">
            <v>RETAIL</v>
          </cell>
          <cell r="I1481" t="str">
            <v>2D</v>
          </cell>
          <cell r="J1481" t="str">
            <v>APCT2</v>
          </cell>
          <cell r="K1481" t="str">
            <v>2D01</v>
          </cell>
          <cell r="L1481" t="str">
            <v>ULTRAPROOF</v>
          </cell>
          <cell r="M1481" t="str">
            <v>2D0101</v>
          </cell>
          <cell r="N1481" t="str">
            <v>ULTRAPROOF RMX</v>
          </cell>
        </row>
        <row r="1482">
          <cell r="C1482" t="str">
            <v>100004456</v>
          </cell>
          <cell r="D1482" t="str">
            <v>UPR-960 TRADITIONAL ORANGE 0047 VN-6K</v>
          </cell>
          <cell r="E1482" t="str">
            <v>ZFGD</v>
          </cell>
          <cell r="F1482" t="str">
            <v>PC</v>
          </cell>
          <cell r="G1482" t="str">
            <v>2</v>
          </cell>
          <cell r="H1482" t="str">
            <v>RETAIL</v>
          </cell>
          <cell r="I1482" t="str">
            <v>2D</v>
          </cell>
          <cell r="J1482" t="str">
            <v>APCT2</v>
          </cell>
          <cell r="K1482" t="str">
            <v>2D01</v>
          </cell>
          <cell r="L1482" t="str">
            <v>ULTRAPROOF</v>
          </cell>
          <cell r="M1482" t="str">
            <v>2D0101</v>
          </cell>
          <cell r="N1482" t="str">
            <v>ULTRAPROOF RMX</v>
          </cell>
        </row>
        <row r="1483">
          <cell r="C1483" t="str">
            <v>100004457</v>
          </cell>
          <cell r="D1483" t="str">
            <v>UPR-960 WHITE 9101 VN-6K</v>
          </cell>
          <cell r="E1483" t="str">
            <v>ZFGD</v>
          </cell>
          <cell r="F1483" t="str">
            <v>PC</v>
          </cell>
          <cell r="G1483" t="str">
            <v>2</v>
          </cell>
          <cell r="H1483" t="str">
            <v>RETAIL</v>
          </cell>
          <cell r="I1483" t="str">
            <v>2D</v>
          </cell>
          <cell r="J1483" t="str">
            <v>APCT2</v>
          </cell>
          <cell r="K1483" t="str">
            <v>2D01</v>
          </cell>
          <cell r="L1483" t="str">
            <v>ULTRAPROOF</v>
          </cell>
          <cell r="M1483" t="str">
            <v>2D0101</v>
          </cell>
          <cell r="N1483" t="str">
            <v>ULTRAPROOF RMX</v>
          </cell>
        </row>
        <row r="1484">
          <cell r="C1484" t="str">
            <v>100004458</v>
          </cell>
          <cell r="D1484" t="str">
            <v>UPR-960 YELLOW STONE 2206 VN-6K</v>
          </cell>
          <cell r="E1484" t="str">
            <v>ZFGD</v>
          </cell>
          <cell r="F1484" t="str">
            <v>PC</v>
          </cell>
          <cell r="G1484" t="str">
            <v>2</v>
          </cell>
          <cell r="H1484" t="str">
            <v>RETAIL</v>
          </cell>
          <cell r="I1484" t="str">
            <v>2D</v>
          </cell>
          <cell r="J1484" t="str">
            <v>APCT2</v>
          </cell>
          <cell r="K1484" t="str">
            <v>2D01</v>
          </cell>
          <cell r="L1484" t="str">
            <v>ULTRAPROOF</v>
          </cell>
          <cell r="M1484" t="str">
            <v>2D0101</v>
          </cell>
          <cell r="N1484" t="str">
            <v>ULTRAPROOF RMX</v>
          </cell>
        </row>
        <row r="1485">
          <cell r="C1485" t="str">
            <v>100004459</v>
          </cell>
          <cell r="D1485" t="str">
            <v>UPR-960 YELLOW SUNNY SPOT 8054 VN-6K</v>
          </cell>
          <cell r="E1485" t="str">
            <v>ZFGD</v>
          </cell>
          <cell r="F1485" t="str">
            <v>PC</v>
          </cell>
          <cell r="G1485" t="str">
            <v>2</v>
          </cell>
          <cell r="H1485" t="str">
            <v>RETAIL</v>
          </cell>
          <cell r="I1485" t="str">
            <v>2D</v>
          </cell>
          <cell r="J1485" t="str">
            <v>APCT2</v>
          </cell>
          <cell r="K1485" t="str">
            <v>2D01</v>
          </cell>
          <cell r="L1485" t="str">
            <v>ULTRAPROOF</v>
          </cell>
          <cell r="M1485" t="str">
            <v>2D0101</v>
          </cell>
          <cell r="N1485" t="str">
            <v>ULTRAPROOF RMX</v>
          </cell>
        </row>
        <row r="1486">
          <cell r="C1486" t="str">
            <v>100004499</v>
          </cell>
          <cell r="D1486" t="str">
            <v>PC 8K2-CC</v>
          </cell>
          <cell r="E1486" t="str">
            <v>ZFGD</v>
          </cell>
          <cell r="F1486" t="str">
            <v>CC</v>
          </cell>
          <cell r="G1486" t="str">
            <v>2</v>
          </cell>
          <cell r="H1486" t="str">
            <v>RETAIL</v>
          </cell>
          <cell r="I1486" t="str">
            <v>2F</v>
          </cell>
          <cell r="J1486" t="str">
            <v>TINTING</v>
          </cell>
          <cell r="K1486" t="str">
            <v>2F04</v>
          </cell>
          <cell r="L1486" t="str">
            <v>PASTA</v>
          </cell>
          <cell r="M1486" t="str">
            <v>2F0404</v>
          </cell>
          <cell r="N1486" t="str">
            <v>PASTA WB</v>
          </cell>
        </row>
        <row r="1487">
          <cell r="C1487" t="str">
            <v>100004500</v>
          </cell>
          <cell r="D1487" t="str">
            <v>PC 8R1-CC</v>
          </cell>
          <cell r="E1487" t="str">
            <v>ZFGD</v>
          </cell>
          <cell r="F1487" t="str">
            <v>CC</v>
          </cell>
          <cell r="G1487" t="str">
            <v>2</v>
          </cell>
          <cell r="H1487" t="str">
            <v>RETAIL</v>
          </cell>
          <cell r="I1487" t="str">
            <v>2F</v>
          </cell>
          <cell r="J1487" t="str">
            <v>TINTING</v>
          </cell>
          <cell r="K1487" t="str">
            <v>2F04</v>
          </cell>
          <cell r="L1487" t="str">
            <v>PASTA</v>
          </cell>
          <cell r="M1487" t="str">
            <v>2F0404</v>
          </cell>
          <cell r="N1487" t="str">
            <v>PASTA WB</v>
          </cell>
        </row>
        <row r="1488">
          <cell r="C1488" t="str">
            <v>100004501</v>
          </cell>
          <cell r="D1488" t="str">
            <v>PC 8R2-CC</v>
          </cell>
          <cell r="E1488" t="str">
            <v>ZFGD</v>
          </cell>
          <cell r="F1488" t="str">
            <v>CC</v>
          </cell>
          <cell r="G1488" t="str">
            <v>2</v>
          </cell>
          <cell r="H1488" t="str">
            <v>RETAIL</v>
          </cell>
          <cell r="I1488" t="str">
            <v>2F</v>
          </cell>
          <cell r="J1488" t="str">
            <v>TINTING</v>
          </cell>
          <cell r="K1488" t="str">
            <v>2F04</v>
          </cell>
          <cell r="L1488" t="str">
            <v>PASTA</v>
          </cell>
          <cell r="M1488" t="str">
            <v>2F0404</v>
          </cell>
          <cell r="N1488" t="str">
            <v>PASTA WB</v>
          </cell>
        </row>
        <row r="1489">
          <cell r="C1489" t="str">
            <v>100004502</v>
          </cell>
          <cell r="D1489" t="str">
            <v>PC 8R3-CC</v>
          </cell>
          <cell r="E1489" t="str">
            <v>ZFGD</v>
          </cell>
          <cell r="F1489" t="str">
            <v>CC</v>
          </cell>
          <cell r="G1489" t="str">
            <v>2</v>
          </cell>
          <cell r="H1489" t="str">
            <v>RETAIL</v>
          </cell>
          <cell r="I1489" t="str">
            <v>2F</v>
          </cell>
          <cell r="J1489" t="str">
            <v>TINTING</v>
          </cell>
          <cell r="K1489" t="str">
            <v>2F04</v>
          </cell>
          <cell r="L1489" t="str">
            <v>PASTA</v>
          </cell>
          <cell r="M1489" t="str">
            <v>2F0404</v>
          </cell>
          <cell r="N1489" t="str">
            <v>PASTA WB</v>
          </cell>
        </row>
        <row r="1490">
          <cell r="C1490" t="str">
            <v>100004503</v>
          </cell>
          <cell r="D1490" t="str">
            <v>PC 8Y1-CC</v>
          </cell>
          <cell r="E1490" t="str">
            <v>ZFGD</v>
          </cell>
          <cell r="F1490" t="str">
            <v>CC</v>
          </cell>
          <cell r="G1490" t="str">
            <v>2</v>
          </cell>
          <cell r="H1490" t="str">
            <v>RETAIL</v>
          </cell>
          <cell r="I1490" t="str">
            <v>2F</v>
          </cell>
          <cell r="J1490" t="str">
            <v>TINTING</v>
          </cell>
          <cell r="K1490" t="str">
            <v>2F04</v>
          </cell>
          <cell r="L1490" t="str">
            <v>PASTA</v>
          </cell>
          <cell r="M1490" t="str">
            <v>2F0404</v>
          </cell>
          <cell r="N1490" t="str">
            <v>PASTA WB</v>
          </cell>
        </row>
        <row r="1491">
          <cell r="C1491" t="str">
            <v>100004504</v>
          </cell>
          <cell r="D1491" t="str">
            <v>PC 8Y2-CC</v>
          </cell>
          <cell r="E1491" t="str">
            <v>ZFGD</v>
          </cell>
          <cell r="F1491" t="str">
            <v>CC</v>
          </cell>
          <cell r="G1491" t="str">
            <v>2</v>
          </cell>
          <cell r="H1491" t="str">
            <v>RETAIL</v>
          </cell>
          <cell r="I1491" t="str">
            <v>2F</v>
          </cell>
          <cell r="J1491" t="str">
            <v>TINTING</v>
          </cell>
          <cell r="K1491" t="str">
            <v>2F04</v>
          </cell>
          <cell r="L1491" t="str">
            <v>PASTA</v>
          </cell>
          <cell r="M1491" t="str">
            <v>2F0404</v>
          </cell>
          <cell r="N1491" t="str">
            <v>PASTA WB</v>
          </cell>
        </row>
        <row r="1492">
          <cell r="C1492" t="str">
            <v>100004505</v>
          </cell>
          <cell r="D1492" t="str">
            <v>PC 8Y3-CC</v>
          </cell>
          <cell r="E1492" t="str">
            <v>ZFGD</v>
          </cell>
          <cell r="F1492" t="str">
            <v>CC</v>
          </cell>
          <cell r="G1492" t="str">
            <v>2</v>
          </cell>
          <cell r="H1492" t="str">
            <v>RETAIL</v>
          </cell>
          <cell r="I1492" t="str">
            <v>2F</v>
          </cell>
          <cell r="J1492" t="str">
            <v>TINTING</v>
          </cell>
          <cell r="K1492" t="str">
            <v>2F04</v>
          </cell>
          <cell r="L1492" t="str">
            <v>PASTA</v>
          </cell>
          <cell r="M1492" t="str">
            <v>2F0404</v>
          </cell>
          <cell r="N1492" t="str">
            <v>PASTA WB</v>
          </cell>
        </row>
        <row r="1493">
          <cell r="C1493" t="str">
            <v>100004506</v>
          </cell>
          <cell r="D1493" t="str">
            <v>PC 8Y4-CC</v>
          </cell>
          <cell r="E1493" t="str">
            <v>ZFGD</v>
          </cell>
          <cell r="F1493" t="str">
            <v>CC</v>
          </cell>
          <cell r="G1493" t="str">
            <v>2</v>
          </cell>
          <cell r="H1493" t="str">
            <v>RETAIL</v>
          </cell>
          <cell r="I1493" t="str">
            <v>2F</v>
          </cell>
          <cell r="J1493" t="str">
            <v>TINTING</v>
          </cell>
          <cell r="K1493" t="str">
            <v>2F04</v>
          </cell>
          <cell r="L1493" t="str">
            <v>PASTA</v>
          </cell>
          <cell r="M1493" t="str">
            <v>2F0404</v>
          </cell>
          <cell r="N1493" t="str">
            <v>PASTA WB</v>
          </cell>
        </row>
        <row r="1494">
          <cell r="C1494" t="str">
            <v>100004507</v>
          </cell>
          <cell r="D1494" t="str">
            <v>PC 8W1-CC</v>
          </cell>
          <cell r="E1494" t="str">
            <v>ZFGD</v>
          </cell>
          <cell r="F1494" t="str">
            <v>CC</v>
          </cell>
          <cell r="G1494" t="str">
            <v>2</v>
          </cell>
          <cell r="H1494" t="str">
            <v>RETAIL</v>
          </cell>
          <cell r="I1494" t="str">
            <v>2F</v>
          </cell>
          <cell r="J1494" t="str">
            <v>TINTING</v>
          </cell>
          <cell r="K1494" t="str">
            <v>2F04</v>
          </cell>
          <cell r="L1494" t="str">
            <v>PASTA</v>
          </cell>
          <cell r="M1494" t="str">
            <v>2F0404</v>
          </cell>
          <cell r="N1494" t="str">
            <v>PASTA WB</v>
          </cell>
        </row>
        <row r="1495">
          <cell r="C1495" t="str">
            <v>100004508</v>
          </cell>
          <cell r="D1495" t="str">
            <v>PC 8V1-CC</v>
          </cell>
          <cell r="E1495" t="str">
            <v>ZFGD</v>
          </cell>
          <cell r="F1495" t="str">
            <v>CC</v>
          </cell>
          <cell r="G1495" t="str">
            <v>2</v>
          </cell>
          <cell r="H1495" t="str">
            <v>RETAIL</v>
          </cell>
          <cell r="I1495" t="str">
            <v>2F</v>
          </cell>
          <cell r="J1495" t="str">
            <v>TINTING</v>
          </cell>
          <cell r="K1495" t="str">
            <v>2F04</v>
          </cell>
          <cell r="L1495" t="str">
            <v>PASTA</v>
          </cell>
          <cell r="M1495" t="str">
            <v>2F0404</v>
          </cell>
          <cell r="N1495" t="str">
            <v>PASTA WB</v>
          </cell>
        </row>
        <row r="1496">
          <cell r="C1496" t="str">
            <v>100004509</v>
          </cell>
          <cell r="D1496" t="str">
            <v>PC 8B1-CC</v>
          </cell>
          <cell r="E1496" t="str">
            <v>ZFGD</v>
          </cell>
          <cell r="F1496" t="str">
            <v>CC</v>
          </cell>
          <cell r="G1496" t="str">
            <v>2</v>
          </cell>
          <cell r="H1496" t="str">
            <v>RETAIL</v>
          </cell>
          <cell r="I1496" t="str">
            <v>2F</v>
          </cell>
          <cell r="J1496" t="str">
            <v>TINTING</v>
          </cell>
          <cell r="K1496" t="str">
            <v>2F04</v>
          </cell>
          <cell r="L1496" t="str">
            <v>PASTA</v>
          </cell>
          <cell r="M1496" t="str">
            <v>2F0404</v>
          </cell>
          <cell r="N1496" t="str">
            <v>PASTA WB</v>
          </cell>
        </row>
        <row r="1497">
          <cell r="C1497" t="str">
            <v>100004510</v>
          </cell>
          <cell r="D1497" t="str">
            <v>PC 8B2-CC</v>
          </cell>
          <cell r="E1497" t="str">
            <v>ZFGD</v>
          </cell>
          <cell r="F1497" t="str">
            <v>CC</v>
          </cell>
          <cell r="G1497" t="str">
            <v>2</v>
          </cell>
          <cell r="H1497" t="str">
            <v>RETAIL</v>
          </cell>
          <cell r="I1497" t="str">
            <v>2F</v>
          </cell>
          <cell r="J1497" t="str">
            <v>TINTING</v>
          </cell>
          <cell r="K1497" t="str">
            <v>2F04</v>
          </cell>
          <cell r="L1497" t="str">
            <v>PASTA</v>
          </cell>
          <cell r="M1497" t="str">
            <v>2F0404</v>
          </cell>
          <cell r="N1497" t="str">
            <v>PASTA WB</v>
          </cell>
        </row>
        <row r="1498">
          <cell r="C1498" t="str">
            <v>100004511</v>
          </cell>
          <cell r="D1498" t="str">
            <v>PC 8G1-CC</v>
          </cell>
          <cell r="E1498" t="str">
            <v>ZFGD</v>
          </cell>
          <cell r="F1498" t="str">
            <v>CC</v>
          </cell>
          <cell r="G1498" t="str">
            <v>2</v>
          </cell>
          <cell r="H1498" t="str">
            <v>RETAIL</v>
          </cell>
          <cell r="I1498" t="str">
            <v>2F</v>
          </cell>
          <cell r="J1498" t="str">
            <v>TINTING</v>
          </cell>
          <cell r="K1498" t="str">
            <v>2F04</v>
          </cell>
          <cell r="L1498" t="str">
            <v>PASTA</v>
          </cell>
          <cell r="M1498" t="str">
            <v>2F0404</v>
          </cell>
          <cell r="N1498" t="str">
            <v>PASTA WB</v>
          </cell>
        </row>
        <row r="1499">
          <cell r="C1499" t="str">
            <v>100004620</v>
          </cell>
          <cell r="D1499" t="str">
            <v>2K ACRYLIC XÁM XINGFA MỜ VN-0.8K</v>
          </cell>
          <cell r="E1499" t="str">
            <v>ZFGD</v>
          </cell>
          <cell r="F1499" t="str">
            <v>PC</v>
          </cell>
          <cell r="G1499" t="str">
            <v>2</v>
          </cell>
          <cell r="H1499" t="str">
            <v>RETAIL</v>
          </cell>
          <cell r="I1499" t="str">
            <v>22</v>
          </cell>
          <cell r="J1499" t="str">
            <v>WF2</v>
          </cell>
          <cell r="K1499" t="str">
            <v>2216</v>
          </cell>
          <cell r="L1499" t="str">
            <v>PU MULTIPURPOSE</v>
          </cell>
          <cell r="M1499" t="str">
            <v>221601</v>
          </cell>
          <cell r="N1499" t="str">
            <v>PROPAN MP PU ACR RMX</v>
          </cell>
        </row>
        <row r="1500">
          <cell r="C1500" t="str">
            <v>100004621</v>
          </cell>
          <cell r="D1500" t="str">
            <v>2K ACRYLIC XÁM XINGFA MỜ VN-16KP</v>
          </cell>
          <cell r="E1500" t="str">
            <v>ZFGD</v>
          </cell>
          <cell r="F1500" t="str">
            <v>PC</v>
          </cell>
          <cell r="G1500" t="str">
            <v>2</v>
          </cell>
          <cell r="H1500" t="str">
            <v>RETAIL</v>
          </cell>
          <cell r="I1500" t="str">
            <v>22</v>
          </cell>
          <cell r="J1500" t="str">
            <v>WF2</v>
          </cell>
          <cell r="K1500" t="str">
            <v>2216</v>
          </cell>
          <cell r="L1500" t="str">
            <v>PU MULTIPURPOSE</v>
          </cell>
          <cell r="M1500" t="str">
            <v>221601</v>
          </cell>
          <cell r="N1500" t="str">
            <v>PROPAN MP PU ACR RMX</v>
          </cell>
        </row>
        <row r="1501">
          <cell r="C1501" t="str">
            <v>100004622</v>
          </cell>
          <cell r="D1501" t="str">
            <v>2K ACRYLIC XÁM XINGFA MỜ VN-4K</v>
          </cell>
          <cell r="E1501" t="str">
            <v>ZFGD</v>
          </cell>
          <cell r="F1501" t="str">
            <v>PC</v>
          </cell>
          <cell r="G1501" t="str">
            <v>2</v>
          </cell>
          <cell r="H1501" t="str">
            <v>RETAIL</v>
          </cell>
          <cell r="I1501" t="str">
            <v>22</v>
          </cell>
          <cell r="J1501" t="str">
            <v>WF2</v>
          </cell>
          <cell r="K1501" t="str">
            <v>2216</v>
          </cell>
          <cell r="L1501" t="str">
            <v>PU MULTIPURPOSE</v>
          </cell>
          <cell r="M1501" t="str">
            <v>221601</v>
          </cell>
          <cell r="N1501" t="str">
            <v>PROPAN MP PU ACR RMX</v>
          </cell>
        </row>
        <row r="1502">
          <cell r="C1502" t="str">
            <v>100004623</v>
          </cell>
          <cell r="D1502" t="str">
            <v>2K ACRYLIC XÁM XINGFA MỜ VN-1KS</v>
          </cell>
          <cell r="E1502" t="str">
            <v>ZFGD</v>
          </cell>
          <cell r="F1502" t="str">
            <v>SET</v>
          </cell>
          <cell r="G1502" t="str">
            <v>2</v>
          </cell>
          <cell r="H1502" t="str">
            <v>RETAIL</v>
          </cell>
          <cell r="I1502" t="str">
            <v>22</v>
          </cell>
          <cell r="J1502" t="str">
            <v>WF2</v>
          </cell>
          <cell r="K1502" t="str">
            <v>2216</v>
          </cell>
          <cell r="L1502" t="str">
            <v>PU MULTIPURPOSE</v>
          </cell>
          <cell r="M1502" t="str">
            <v>221601</v>
          </cell>
          <cell r="N1502" t="str">
            <v>PROPAN MP PU ACR RMX</v>
          </cell>
        </row>
        <row r="1503">
          <cell r="C1503" t="str">
            <v>100004624</v>
          </cell>
          <cell r="D1503" t="str">
            <v>2K ACRYLIC XÁM XINGFA MỜ VN-20KSP</v>
          </cell>
          <cell r="E1503" t="str">
            <v>ZFGD</v>
          </cell>
          <cell r="F1503" t="str">
            <v>SET</v>
          </cell>
          <cell r="G1503" t="str">
            <v>2</v>
          </cell>
          <cell r="H1503" t="str">
            <v>RETAIL</v>
          </cell>
          <cell r="I1503" t="str">
            <v>22</v>
          </cell>
          <cell r="J1503" t="str">
            <v>WF2</v>
          </cell>
          <cell r="K1503" t="str">
            <v>2216</v>
          </cell>
          <cell r="L1503" t="str">
            <v>PU MULTIPURPOSE</v>
          </cell>
          <cell r="M1503" t="str">
            <v>221601</v>
          </cell>
          <cell r="N1503" t="str">
            <v>PROPAN MP PU ACR RMX</v>
          </cell>
        </row>
        <row r="1504">
          <cell r="C1504" t="str">
            <v>100004625</v>
          </cell>
          <cell r="D1504" t="str">
            <v>2K ACRYLIC XÁM XINGFA MỜ VN-5KS</v>
          </cell>
          <cell r="E1504" t="str">
            <v>ZFGD</v>
          </cell>
          <cell r="F1504" t="str">
            <v>SET</v>
          </cell>
          <cell r="G1504" t="str">
            <v>2</v>
          </cell>
          <cell r="H1504" t="str">
            <v>RETAIL</v>
          </cell>
          <cell r="I1504" t="str">
            <v>22</v>
          </cell>
          <cell r="J1504" t="str">
            <v>WF2</v>
          </cell>
          <cell r="K1504" t="str">
            <v>2216</v>
          </cell>
          <cell r="L1504" t="str">
            <v>PU MULTIPURPOSE</v>
          </cell>
          <cell r="M1504" t="str">
            <v>221601</v>
          </cell>
          <cell r="N1504" t="str">
            <v>PROPAN MP PU ACR RMX</v>
          </cell>
        </row>
        <row r="1505">
          <cell r="C1505" t="str">
            <v>100004681</v>
          </cell>
          <cell r="D1505" t="str">
            <v>DP-4010 BASE-18LP</v>
          </cell>
          <cell r="E1505" t="str">
            <v>ZFGD</v>
          </cell>
          <cell r="F1505" t="str">
            <v>PC</v>
          </cell>
          <cell r="G1505" t="str">
            <v>2</v>
          </cell>
          <cell r="H1505" t="str">
            <v>RETAIL</v>
          </cell>
          <cell r="I1505" t="str">
            <v>28</v>
          </cell>
          <cell r="J1505" t="str">
            <v>CPC2</v>
          </cell>
          <cell r="K1505" t="str">
            <v>2801</v>
          </cell>
          <cell r="L1505" t="str">
            <v>WATERPROOFING</v>
          </cell>
          <cell r="M1505" t="str">
            <v>280101</v>
          </cell>
          <cell r="N1505" t="str">
            <v>ULTRAPROOF</v>
          </cell>
        </row>
        <row r="1506">
          <cell r="C1506" t="str">
            <v>100004725</v>
          </cell>
          <cell r="D1506" t="str">
            <v>#NUEDP-551 BLACK (ÐEN) VN-0.9K</v>
          </cell>
          <cell r="E1506" t="str">
            <v>ZFGD</v>
          </cell>
          <cell r="F1506" t="str">
            <v>PC</v>
          </cell>
          <cell r="G1506" t="str">
            <v>5</v>
          </cell>
          <cell r="H1506" t="str">
            <v>PROJECT</v>
          </cell>
          <cell r="I1506" t="str">
            <v>59</v>
          </cell>
          <cell r="J1506" t="str">
            <v>MPC</v>
          </cell>
          <cell r="K1506" t="str">
            <v>5904</v>
          </cell>
          <cell r="L1506" t="str">
            <v>METALKOTE</v>
          </cell>
          <cell r="M1506" t="str">
            <v>590402</v>
          </cell>
          <cell r="N1506" t="str">
            <v>METALKOTE-EPOXY SYS</v>
          </cell>
        </row>
        <row r="1507">
          <cell r="C1507" t="str">
            <v>100004726</v>
          </cell>
          <cell r="D1507" t="str">
            <v>#NUEDP-551 DARK GREY (XÁM XINGFA)VN-0.9K</v>
          </cell>
          <cell r="E1507" t="str">
            <v>ZFGD</v>
          </cell>
          <cell r="F1507" t="str">
            <v>PC</v>
          </cell>
          <cell r="G1507" t="str">
            <v>5</v>
          </cell>
          <cell r="H1507" t="str">
            <v>PROJECT</v>
          </cell>
          <cell r="I1507" t="str">
            <v>59</v>
          </cell>
          <cell r="J1507" t="str">
            <v>MPC</v>
          </cell>
          <cell r="K1507" t="str">
            <v>5904</v>
          </cell>
          <cell r="L1507" t="str">
            <v>METALKOTE</v>
          </cell>
          <cell r="M1507" t="str">
            <v>590402</v>
          </cell>
          <cell r="N1507" t="str">
            <v>METALKOTE-EPOXY SYS</v>
          </cell>
        </row>
        <row r="1508">
          <cell r="C1508" t="str">
            <v>100004727</v>
          </cell>
          <cell r="D1508" t="str">
            <v>#NUEDP-551 RED OXIDE (ĐỎ) VN-0.9K</v>
          </cell>
          <cell r="E1508" t="str">
            <v>ZFGD</v>
          </cell>
          <cell r="F1508" t="str">
            <v>PC</v>
          </cell>
          <cell r="G1508" t="str">
            <v>5</v>
          </cell>
          <cell r="H1508" t="str">
            <v>PROJECT</v>
          </cell>
          <cell r="I1508" t="str">
            <v>59</v>
          </cell>
          <cell r="J1508" t="str">
            <v>MPC</v>
          </cell>
          <cell r="K1508" t="str">
            <v>5904</v>
          </cell>
          <cell r="L1508" t="str">
            <v>METALKOTE</v>
          </cell>
          <cell r="M1508" t="str">
            <v>590402</v>
          </cell>
          <cell r="N1508" t="str">
            <v>METALKOTE-EPOXY SYS</v>
          </cell>
        </row>
        <row r="1509">
          <cell r="C1509" t="str">
            <v>100004728</v>
          </cell>
          <cell r="D1509" t="str">
            <v>#NUEDP-551 WHITE (TRẮNG) VN-0.9K</v>
          </cell>
          <cell r="E1509" t="str">
            <v>ZFGD</v>
          </cell>
          <cell r="F1509" t="str">
            <v>PC</v>
          </cell>
          <cell r="G1509" t="str">
            <v>5</v>
          </cell>
          <cell r="H1509" t="str">
            <v>PROJECT</v>
          </cell>
          <cell r="I1509" t="str">
            <v>59</v>
          </cell>
          <cell r="J1509" t="str">
            <v>MPC</v>
          </cell>
          <cell r="K1509" t="str">
            <v>5904</v>
          </cell>
          <cell r="L1509" t="str">
            <v>METALKOTE</v>
          </cell>
          <cell r="M1509" t="str">
            <v>590402</v>
          </cell>
          <cell r="N1509" t="str">
            <v>METALKOTE-EPOXY SYS</v>
          </cell>
        </row>
        <row r="1510">
          <cell r="C1510" t="str">
            <v>100004729</v>
          </cell>
          <cell r="D1510" t="str">
            <v>#NUEDP-551 ZINC CHROMATE (XANH) VN-0.9K</v>
          </cell>
          <cell r="E1510" t="str">
            <v>ZFGD</v>
          </cell>
          <cell r="F1510" t="str">
            <v>PC</v>
          </cell>
          <cell r="G1510" t="str">
            <v>5</v>
          </cell>
          <cell r="H1510" t="str">
            <v>PROJECT</v>
          </cell>
          <cell r="I1510" t="str">
            <v>59</v>
          </cell>
          <cell r="J1510" t="str">
            <v>MPC</v>
          </cell>
          <cell r="K1510" t="str">
            <v>5904</v>
          </cell>
          <cell r="L1510" t="str">
            <v>METALKOTE</v>
          </cell>
          <cell r="M1510" t="str">
            <v>590402</v>
          </cell>
          <cell r="N1510" t="str">
            <v>METALKOTE-EPOXY SYS</v>
          </cell>
        </row>
        <row r="1511">
          <cell r="C1511" t="str">
            <v>100004730</v>
          </cell>
          <cell r="D1511" t="str">
            <v>#NUEDP-551 ZINC PHOSPHATE (XÁM) VN-0.9K</v>
          </cell>
          <cell r="E1511" t="str">
            <v>ZFGD</v>
          </cell>
          <cell r="F1511" t="str">
            <v>PC</v>
          </cell>
          <cell r="G1511" t="str">
            <v>5</v>
          </cell>
          <cell r="H1511" t="str">
            <v>PROJECT</v>
          </cell>
          <cell r="I1511" t="str">
            <v>59</v>
          </cell>
          <cell r="J1511" t="str">
            <v>MPC</v>
          </cell>
          <cell r="K1511" t="str">
            <v>5904</v>
          </cell>
          <cell r="L1511" t="str">
            <v>METALKOTE</v>
          </cell>
          <cell r="M1511" t="str">
            <v>590402</v>
          </cell>
          <cell r="N1511" t="str">
            <v>METALKOTE-EPOXY SYS</v>
          </cell>
        </row>
        <row r="1512">
          <cell r="C1512" t="str">
            <v>100004731</v>
          </cell>
          <cell r="D1512" t="str">
            <v>#NUEDP-551 BLACK (ÐEN) VN-4.5K</v>
          </cell>
          <cell r="E1512" t="str">
            <v>ZFGD</v>
          </cell>
          <cell r="F1512" t="str">
            <v>PC</v>
          </cell>
          <cell r="G1512" t="str">
            <v>5</v>
          </cell>
          <cell r="H1512" t="str">
            <v>PROJECT</v>
          </cell>
          <cell r="I1512" t="str">
            <v>59</v>
          </cell>
          <cell r="J1512" t="str">
            <v>MPC</v>
          </cell>
          <cell r="K1512" t="str">
            <v>5904</v>
          </cell>
          <cell r="L1512" t="str">
            <v>METALKOTE</v>
          </cell>
          <cell r="M1512" t="str">
            <v>590402</v>
          </cell>
          <cell r="N1512" t="str">
            <v>METALKOTE-EPOXY SYS</v>
          </cell>
        </row>
        <row r="1513">
          <cell r="C1513" t="str">
            <v>100004732</v>
          </cell>
          <cell r="D1513" t="str">
            <v>#NEDP-551 DARK GREY (XÁM XINGFA) VN-4.5K</v>
          </cell>
          <cell r="E1513" t="str">
            <v>ZFGD</v>
          </cell>
          <cell r="F1513" t="str">
            <v>PC</v>
          </cell>
          <cell r="G1513" t="str">
            <v>5</v>
          </cell>
          <cell r="H1513" t="str">
            <v>PROJECT</v>
          </cell>
          <cell r="I1513" t="str">
            <v>59</v>
          </cell>
          <cell r="J1513" t="str">
            <v>MPC</v>
          </cell>
          <cell r="K1513" t="str">
            <v>5904</v>
          </cell>
          <cell r="L1513" t="str">
            <v>METALKOTE</v>
          </cell>
          <cell r="M1513" t="str">
            <v>590402</v>
          </cell>
          <cell r="N1513" t="str">
            <v>METALKOTE-EPOXY SYS</v>
          </cell>
        </row>
        <row r="1514">
          <cell r="C1514" t="str">
            <v>100004733</v>
          </cell>
          <cell r="D1514" t="str">
            <v>#NUEDP-551 RED OXIDE (ĐỎ) VN-4.5K</v>
          </cell>
          <cell r="E1514" t="str">
            <v>ZFGD</v>
          </cell>
          <cell r="F1514" t="str">
            <v>PC</v>
          </cell>
          <cell r="G1514" t="str">
            <v>5</v>
          </cell>
          <cell r="H1514" t="str">
            <v>PROJECT</v>
          </cell>
          <cell r="I1514" t="str">
            <v>59</v>
          </cell>
          <cell r="J1514" t="str">
            <v>MPC</v>
          </cell>
          <cell r="K1514" t="str">
            <v>5904</v>
          </cell>
          <cell r="L1514" t="str">
            <v>METALKOTE</v>
          </cell>
          <cell r="M1514" t="str">
            <v>590402</v>
          </cell>
          <cell r="N1514" t="str">
            <v>METALKOTE-EPOXY SYS</v>
          </cell>
        </row>
        <row r="1515">
          <cell r="C1515" t="str">
            <v>100004734</v>
          </cell>
          <cell r="D1515" t="str">
            <v>#NUEDP-551 WHITE (TRẮNG) VN-4.5K</v>
          </cell>
          <cell r="E1515" t="str">
            <v>ZFGD</v>
          </cell>
          <cell r="F1515" t="str">
            <v>PC</v>
          </cell>
          <cell r="G1515" t="str">
            <v>5</v>
          </cell>
          <cell r="H1515" t="str">
            <v>PROJECT</v>
          </cell>
          <cell r="I1515" t="str">
            <v>59</v>
          </cell>
          <cell r="J1515" t="str">
            <v>MPC</v>
          </cell>
          <cell r="K1515" t="str">
            <v>5904</v>
          </cell>
          <cell r="L1515" t="str">
            <v>METALKOTE</v>
          </cell>
          <cell r="M1515" t="str">
            <v>590402</v>
          </cell>
          <cell r="N1515" t="str">
            <v>METALKOTE-EPOXY SYS</v>
          </cell>
        </row>
        <row r="1516">
          <cell r="C1516" t="str">
            <v>100004735</v>
          </cell>
          <cell r="D1516" t="str">
            <v>#NUEDP-551 ZINC CHROMATE (XANH) VN-4.5K</v>
          </cell>
          <cell r="E1516" t="str">
            <v>ZFGD</v>
          </cell>
          <cell r="F1516" t="str">
            <v>PC</v>
          </cell>
          <cell r="G1516" t="str">
            <v>5</v>
          </cell>
          <cell r="H1516" t="str">
            <v>PROJECT</v>
          </cell>
          <cell r="I1516" t="str">
            <v>59</v>
          </cell>
          <cell r="J1516" t="str">
            <v>MPC</v>
          </cell>
          <cell r="K1516" t="str">
            <v>5904</v>
          </cell>
          <cell r="L1516" t="str">
            <v>METALKOTE</v>
          </cell>
          <cell r="M1516" t="str">
            <v>590402</v>
          </cell>
          <cell r="N1516" t="str">
            <v>METALKOTE-EPOXY SYS</v>
          </cell>
        </row>
        <row r="1517">
          <cell r="C1517" t="str">
            <v>100004736</v>
          </cell>
          <cell r="D1517" t="str">
            <v>#NUEDP-551 ZINC PHOSPHATE (XÁM) VN-4.5K</v>
          </cell>
          <cell r="E1517" t="str">
            <v>ZFGD</v>
          </cell>
          <cell r="F1517" t="str">
            <v>PC</v>
          </cell>
          <cell r="G1517" t="str">
            <v>5</v>
          </cell>
          <cell r="H1517" t="str">
            <v>PROJECT</v>
          </cell>
          <cell r="I1517" t="str">
            <v>59</v>
          </cell>
          <cell r="J1517" t="str">
            <v>MPC</v>
          </cell>
          <cell r="K1517" t="str">
            <v>5904</v>
          </cell>
          <cell r="L1517" t="str">
            <v>METALKOTE</v>
          </cell>
          <cell r="M1517" t="str">
            <v>590402</v>
          </cell>
          <cell r="N1517" t="str">
            <v>METALKOTE-EPOXY SYS</v>
          </cell>
        </row>
        <row r="1518">
          <cell r="C1518" t="str">
            <v>100004737</v>
          </cell>
          <cell r="D1518" t="str">
            <v>#NUEDP-551 BLACK (ÐEN) VN-18KP</v>
          </cell>
          <cell r="E1518" t="str">
            <v>ZFGD</v>
          </cell>
          <cell r="F1518" t="str">
            <v>PC</v>
          </cell>
          <cell r="G1518" t="str">
            <v>5</v>
          </cell>
          <cell r="H1518" t="str">
            <v>PROJECT</v>
          </cell>
          <cell r="I1518" t="str">
            <v>59</v>
          </cell>
          <cell r="J1518" t="str">
            <v>MPC</v>
          </cell>
          <cell r="K1518" t="str">
            <v>5904</v>
          </cell>
          <cell r="L1518" t="str">
            <v>METALKOTE</v>
          </cell>
          <cell r="M1518" t="str">
            <v>590402</v>
          </cell>
          <cell r="N1518" t="str">
            <v>METALKOTE-EPOXY SYS</v>
          </cell>
        </row>
        <row r="1519">
          <cell r="C1519" t="str">
            <v>100004738</v>
          </cell>
          <cell r="D1519" t="str">
            <v>#NEDP-551 DARK GREY (XÁM XINGFA) VN-18KP</v>
          </cell>
          <cell r="E1519" t="str">
            <v>ZFGD</v>
          </cell>
          <cell r="F1519" t="str">
            <v>PC</v>
          </cell>
          <cell r="G1519" t="str">
            <v>5</v>
          </cell>
          <cell r="H1519" t="str">
            <v>PROJECT</v>
          </cell>
          <cell r="I1519" t="str">
            <v>59</v>
          </cell>
          <cell r="J1519" t="str">
            <v>MPC</v>
          </cell>
          <cell r="K1519" t="str">
            <v>5904</v>
          </cell>
          <cell r="L1519" t="str">
            <v>METALKOTE</v>
          </cell>
          <cell r="M1519" t="str">
            <v>590402</v>
          </cell>
          <cell r="N1519" t="str">
            <v>METALKOTE-EPOXY SYS</v>
          </cell>
        </row>
        <row r="1520">
          <cell r="C1520" t="str">
            <v>100004739</v>
          </cell>
          <cell r="D1520" t="str">
            <v>#NUEDP-551 RED OXIDE (ĐỎ) VN-18KP</v>
          </cell>
          <cell r="E1520" t="str">
            <v>ZFGD</v>
          </cell>
          <cell r="F1520" t="str">
            <v>PC</v>
          </cell>
          <cell r="G1520" t="str">
            <v>5</v>
          </cell>
          <cell r="H1520" t="str">
            <v>PROJECT</v>
          </cell>
          <cell r="I1520" t="str">
            <v>59</v>
          </cell>
          <cell r="J1520" t="str">
            <v>MPC</v>
          </cell>
          <cell r="K1520" t="str">
            <v>5904</v>
          </cell>
          <cell r="L1520" t="str">
            <v>METALKOTE</v>
          </cell>
          <cell r="M1520" t="str">
            <v>590402</v>
          </cell>
          <cell r="N1520" t="str">
            <v>METALKOTE-EPOXY SYS</v>
          </cell>
        </row>
        <row r="1521">
          <cell r="C1521" t="str">
            <v>100004740</v>
          </cell>
          <cell r="D1521" t="str">
            <v>#NUEDP-551 WHITE (TRẮNG) VN-18KP</v>
          </cell>
          <cell r="E1521" t="str">
            <v>ZFGD</v>
          </cell>
          <cell r="F1521" t="str">
            <v>PC</v>
          </cell>
          <cell r="G1521" t="str">
            <v>5</v>
          </cell>
          <cell r="H1521" t="str">
            <v>PROJECT</v>
          </cell>
          <cell r="I1521" t="str">
            <v>59</v>
          </cell>
          <cell r="J1521" t="str">
            <v>MPC</v>
          </cell>
          <cell r="K1521" t="str">
            <v>5904</v>
          </cell>
          <cell r="L1521" t="str">
            <v>METALKOTE</v>
          </cell>
          <cell r="M1521" t="str">
            <v>590402</v>
          </cell>
          <cell r="N1521" t="str">
            <v>METALKOTE-EPOXY SYS</v>
          </cell>
        </row>
        <row r="1522">
          <cell r="C1522" t="str">
            <v>100004741</v>
          </cell>
          <cell r="D1522" t="str">
            <v>#NUEDP-551 ZINC CHROMATE (XANH) VN-18KP</v>
          </cell>
          <cell r="E1522" t="str">
            <v>ZFGD</v>
          </cell>
          <cell r="F1522" t="str">
            <v>PC</v>
          </cell>
          <cell r="G1522" t="str">
            <v>5</v>
          </cell>
          <cell r="H1522" t="str">
            <v>PROJECT</v>
          </cell>
          <cell r="I1522" t="str">
            <v>59</v>
          </cell>
          <cell r="J1522" t="str">
            <v>MPC</v>
          </cell>
          <cell r="K1522" t="str">
            <v>5904</v>
          </cell>
          <cell r="L1522" t="str">
            <v>METALKOTE</v>
          </cell>
          <cell r="M1522" t="str">
            <v>590402</v>
          </cell>
          <cell r="N1522" t="str">
            <v>METALKOTE-EPOXY SYS</v>
          </cell>
        </row>
        <row r="1523">
          <cell r="C1523" t="str">
            <v>100004742</v>
          </cell>
          <cell r="D1523" t="str">
            <v>#NUEDP-551 ZINC PHOSPHATE (XÁM) VN-18KP</v>
          </cell>
          <cell r="E1523" t="str">
            <v>ZFGD</v>
          </cell>
          <cell r="F1523" t="str">
            <v>PC</v>
          </cell>
          <cell r="G1523" t="str">
            <v>5</v>
          </cell>
          <cell r="H1523" t="str">
            <v>PROJECT</v>
          </cell>
          <cell r="I1523" t="str">
            <v>59</v>
          </cell>
          <cell r="J1523" t="str">
            <v>MPC</v>
          </cell>
          <cell r="K1523" t="str">
            <v>5904</v>
          </cell>
          <cell r="L1523" t="str">
            <v>METALKOTE</v>
          </cell>
          <cell r="M1523" t="str">
            <v>590402</v>
          </cell>
          <cell r="N1523" t="str">
            <v>METALKOTE-EPOXY SYS</v>
          </cell>
        </row>
        <row r="1524">
          <cell r="C1524" t="str">
            <v>100004743</v>
          </cell>
          <cell r="D1524" t="str">
            <v>#NUEDP-551 BLACK (ÐEN) VN-1KS</v>
          </cell>
          <cell r="E1524" t="str">
            <v>ZFGD</v>
          </cell>
          <cell r="F1524" t="str">
            <v>SET</v>
          </cell>
          <cell r="G1524" t="str">
            <v>5</v>
          </cell>
          <cell r="H1524" t="str">
            <v>PROJECT</v>
          </cell>
          <cell r="I1524" t="str">
            <v>59</v>
          </cell>
          <cell r="J1524" t="str">
            <v>MPC</v>
          </cell>
          <cell r="K1524" t="str">
            <v>5904</v>
          </cell>
          <cell r="L1524" t="str">
            <v>METALKOTE</v>
          </cell>
          <cell r="M1524" t="str">
            <v>590402</v>
          </cell>
          <cell r="N1524" t="str">
            <v>METALKOTE-EPOXY SYS</v>
          </cell>
        </row>
        <row r="1525">
          <cell r="C1525" t="str">
            <v>100004744</v>
          </cell>
          <cell r="D1525" t="str">
            <v>#NUEDP-551 DARK GREY (XÁM XINGFA) VN-1KS</v>
          </cell>
          <cell r="E1525" t="str">
            <v>ZFGD</v>
          </cell>
          <cell r="F1525" t="str">
            <v>SET</v>
          </cell>
          <cell r="G1525" t="str">
            <v>5</v>
          </cell>
          <cell r="H1525" t="str">
            <v>PROJECT</v>
          </cell>
          <cell r="I1525" t="str">
            <v>59</v>
          </cell>
          <cell r="J1525" t="str">
            <v>MPC</v>
          </cell>
          <cell r="K1525" t="str">
            <v>5904</v>
          </cell>
          <cell r="L1525" t="str">
            <v>METALKOTE</v>
          </cell>
          <cell r="M1525" t="str">
            <v>590402</v>
          </cell>
          <cell r="N1525" t="str">
            <v>METALKOTE-EPOXY SYS</v>
          </cell>
        </row>
        <row r="1526">
          <cell r="C1526" t="str">
            <v>100004745</v>
          </cell>
          <cell r="D1526" t="str">
            <v>#NUEDP-551 RED OXIDE (ĐỎ) VN-1KS</v>
          </cell>
          <cell r="E1526" t="str">
            <v>ZFGD</v>
          </cell>
          <cell r="F1526" t="str">
            <v>SET</v>
          </cell>
          <cell r="G1526" t="str">
            <v>5</v>
          </cell>
          <cell r="H1526" t="str">
            <v>PROJECT</v>
          </cell>
          <cell r="I1526" t="str">
            <v>59</v>
          </cell>
          <cell r="J1526" t="str">
            <v>MPC</v>
          </cell>
          <cell r="K1526" t="str">
            <v>5904</v>
          </cell>
          <cell r="L1526" t="str">
            <v>METALKOTE</v>
          </cell>
          <cell r="M1526" t="str">
            <v>590402</v>
          </cell>
          <cell r="N1526" t="str">
            <v>METALKOTE-EPOXY SYS</v>
          </cell>
        </row>
        <row r="1527">
          <cell r="C1527" t="str">
            <v>100004746</v>
          </cell>
          <cell r="D1527" t="str">
            <v>#NUEDP-551 WHITE (TRẮNG) VN-1KS</v>
          </cell>
          <cell r="E1527" t="str">
            <v>ZFGD</v>
          </cell>
          <cell r="F1527" t="str">
            <v>SET</v>
          </cell>
          <cell r="G1527" t="str">
            <v>5</v>
          </cell>
          <cell r="H1527" t="str">
            <v>PROJECT</v>
          </cell>
          <cell r="I1527" t="str">
            <v>59</v>
          </cell>
          <cell r="J1527" t="str">
            <v>MPC</v>
          </cell>
          <cell r="K1527" t="str">
            <v>5904</v>
          </cell>
          <cell r="L1527" t="str">
            <v>METALKOTE</v>
          </cell>
          <cell r="M1527" t="str">
            <v>590402</v>
          </cell>
          <cell r="N1527" t="str">
            <v>METALKOTE-EPOXY SYS</v>
          </cell>
        </row>
        <row r="1528">
          <cell r="C1528" t="str">
            <v>100004747</v>
          </cell>
          <cell r="D1528" t="str">
            <v>#NUEDP-551 ZINC CHROMATE (XANH) VN-1KS</v>
          </cell>
          <cell r="E1528" t="str">
            <v>ZFGD</v>
          </cell>
          <cell r="F1528" t="str">
            <v>SET</v>
          </cell>
          <cell r="G1528" t="str">
            <v>5</v>
          </cell>
          <cell r="H1528" t="str">
            <v>PROJECT</v>
          </cell>
          <cell r="I1528" t="str">
            <v>59</v>
          </cell>
          <cell r="J1528" t="str">
            <v>MPC</v>
          </cell>
          <cell r="K1528" t="str">
            <v>5904</v>
          </cell>
          <cell r="L1528" t="str">
            <v>METALKOTE</v>
          </cell>
          <cell r="M1528" t="str">
            <v>590402</v>
          </cell>
          <cell r="N1528" t="str">
            <v>METALKOTE-EPOXY SYS</v>
          </cell>
        </row>
        <row r="1529">
          <cell r="C1529" t="str">
            <v>100004748</v>
          </cell>
          <cell r="D1529" t="str">
            <v>#NUEDP-551 ZINC PHOSPHATE (XÁM) VN-1KS</v>
          </cell>
          <cell r="E1529" t="str">
            <v>ZFGD</v>
          </cell>
          <cell r="F1529" t="str">
            <v>SET</v>
          </cell>
          <cell r="G1529" t="str">
            <v>5</v>
          </cell>
          <cell r="H1529" t="str">
            <v>PROJECT</v>
          </cell>
          <cell r="I1529" t="str">
            <v>59</v>
          </cell>
          <cell r="J1529" t="str">
            <v>MPC</v>
          </cell>
          <cell r="K1529" t="str">
            <v>5904</v>
          </cell>
          <cell r="L1529" t="str">
            <v>METALKOTE</v>
          </cell>
          <cell r="M1529" t="str">
            <v>590402</v>
          </cell>
          <cell r="N1529" t="str">
            <v>METALKOTE-EPOXY SYS</v>
          </cell>
        </row>
        <row r="1530">
          <cell r="C1530" t="str">
            <v>100004749</v>
          </cell>
          <cell r="D1530" t="str">
            <v>#NUEDP-551 BLACK (ÐEN) VN-5KS</v>
          </cell>
          <cell r="E1530" t="str">
            <v>ZFGD</v>
          </cell>
          <cell r="F1530" t="str">
            <v>SET</v>
          </cell>
          <cell r="G1530" t="str">
            <v>5</v>
          </cell>
          <cell r="H1530" t="str">
            <v>PROJECT</v>
          </cell>
          <cell r="I1530" t="str">
            <v>59</v>
          </cell>
          <cell r="J1530" t="str">
            <v>MPC</v>
          </cell>
          <cell r="K1530" t="str">
            <v>5904</v>
          </cell>
          <cell r="L1530" t="str">
            <v>METALKOTE</v>
          </cell>
          <cell r="M1530" t="str">
            <v>590402</v>
          </cell>
          <cell r="N1530" t="str">
            <v>METALKOTE-EPOXY SYS</v>
          </cell>
        </row>
        <row r="1531">
          <cell r="C1531" t="str">
            <v>100004750</v>
          </cell>
          <cell r="D1531" t="str">
            <v>#NUEDP-551 DARK GREY (XÁM XINGFA) VN-5KS</v>
          </cell>
          <cell r="E1531" t="str">
            <v>ZFGD</v>
          </cell>
          <cell r="F1531" t="str">
            <v>SET</v>
          </cell>
          <cell r="G1531" t="str">
            <v>5</v>
          </cell>
          <cell r="H1531" t="str">
            <v>PROJECT</v>
          </cell>
          <cell r="I1531" t="str">
            <v>59</v>
          </cell>
          <cell r="J1531" t="str">
            <v>MPC</v>
          </cell>
          <cell r="K1531" t="str">
            <v>5904</v>
          </cell>
          <cell r="L1531" t="str">
            <v>METALKOTE</v>
          </cell>
          <cell r="M1531" t="str">
            <v>590402</v>
          </cell>
          <cell r="N1531" t="str">
            <v>METALKOTE-EPOXY SYS</v>
          </cell>
        </row>
        <row r="1532">
          <cell r="C1532" t="str">
            <v>100004751</v>
          </cell>
          <cell r="D1532" t="str">
            <v>#NUEDP-551 RED OXIDE (ĐỎ) VN-5KS</v>
          </cell>
          <cell r="E1532" t="str">
            <v>ZFGD</v>
          </cell>
          <cell r="F1532" t="str">
            <v>SET</v>
          </cell>
          <cell r="G1532" t="str">
            <v>5</v>
          </cell>
          <cell r="H1532" t="str">
            <v>PROJECT</v>
          </cell>
          <cell r="I1532" t="str">
            <v>59</v>
          </cell>
          <cell r="J1532" t="str">
            <v>MPC</v>
          </cell>
          <cell r="K1532" t="str">
            <v>5904</v>
          </cell>
          <cell r="L1532" t="str">
            <v>METALKOTE</v>
          </cell>
          <cell r="M1532" t="str">
            <v>590402</v>
          </cell>
          <cell r="N1532" t="str">
            <v>METALKOTE-EPOXY SYS</v>
          </cell>
        </row>
        <row r="1533">
          <cell r="C1533" t="str">
            <v>100004752</v>
          </cell>
          <cell r="D1533" t="str">
            <v>#NUEDP-551 WHITE (TRẮNG) VN-5KS</v>
          </cell>
          <cell r="E1533" t="str">
            <v>ZFGD</v>
          </cell>
          <cell r="F1533" t="str">
            <v>SET</v>
          </cell>
          <cell r="G1533" t="str">
            <v>5</v>
          </cell>
          <cell r="H1533" t="str">
            <v>PROJECT</v>
          </cell>
          <cell r="I1533" t="str">
            <v>59</v>
          </cell>
          <cell r="J1533" t="str">
            <v>MPC</v>
          </cell>
          <cell r="K1533" t="str">
            <v>5904</v>
          </cell>
          <cell r="L1533" t="str">
            <v>METALKOTE</v>
          </cell>
          <cell r="M1533" t="str">
            <v>590402</v>
          </cell>
          <cell r="N1533" t="str">
            <v>METALKOTE-EPOXY SYS</v>
          </cell>
        </row>
        <row r="1534">
          <cell r="C1534" t="str">
            <v>100004753</v>
          </cell>
          <cell r="D1534" t="str">
            <v>#NUEDP-551 ZINC CHROMATE (XANH) VN-5KS</v>
          </cell>
          <cell r="E1534" t="str">
            <v>ZFGD</v>
          </cell>
          <cell r="F1534" t="str">
            <v>SET</v>
          </cell>
          <cell r="G1534" t="str">
            <v>5</v>
          </cell>
          <cell r="H1534" t="str">
            <v>PROJECT</v>
          </cell>
          <cell r="I1534" t="str">
            <v>59</v>
          </cell>
          <cell r="J1534" t="str">
            <v>MPC</v>
          </cell>
          <cell r="K1534" t="str">
            <v>5904</v>
          </cell>
          <cell r="L1534" t="str">
            <v>METALKOTE</v>
          </cell>
          <cell r="M1534" t="str">
            <v>590402</v>
          </cell>
          <cell r="N1534" t="str">
            <v>METALKOTE-EPOXY SYS</v>
          </cell>
        </row>
        <row r="1535">
          <cell r="C1535" t="str">
            <v>100004754</v>
          </cell>
          <cell r="D1535" t="str">
            <v>#NUEDP-551 ZINC PHOSPHATE (XÁM) VN-5KS</v>
          </cell>
          <cell r="E1535" t="str">
            <v>ZFGD</v>
          </cell>
          <cell r="F1535" t="str">
            <v>SET</v>
          </cell>
          <cell r="G1535" t="str">
            <v>5</v>
          </cell>
          <cell r="H1535" t="str">
            <v>PROJECT</v>
          </cell>
          <cell r="I1535" t="str">
            <v>59</v>
          </cell>
          <cell r="J1535" t="str">
            <v>MPC</v>
          </cell>
          <cell r="K1535" t="str">
            <v>5904</v>
          </cell>
          <cell r="L1535" t="str">
            <v>METALKOTE</v>
          </cell>
          <cell r="M1535" t="str">
            <v>590402</v>
          </cell>
          <cell r="N1535" t="str">
            <v>METALKOTE-EPOXY SYS</v>
          </cell>
        </row>
        <row r="1536">
          <cell r="C1536" t="str">
            <v>100004755</v>
          </cell>
          <cell r="D1536" t="str">
            <v>#NUEDP-551 BLACK (ÐEN) VN-20KSP</v>
          </cell>
          <cell r="E1536" t="str">
            <v>ZFGD</v>
          </cell>
          <cell r="F1536" t="str">
            <v>SET</v>
          </cell>
          <cell r="G1536" t="str">
            <v>5</v>
          </cell>
          <cell r="H1536" t="str">
            <v>PROJECT</v>
          </cell>
          <cell r="I1536" t="str">
            <v>59</v>
          </cell>
          <cell r="J1536" t="str">
            <v>MPC</v>
          </cell>
          <cell r="K1536" t="str">
            <v>5904</v>
          </cell>
          <cell r="L1536" t="str">
            <v>METALKOTE</v>
          </cell>
          <cell r="M1536" t="str">
            <v>590402</v>
          </cell>
          <cell r="N1536" t="str">
            <v>METALKOTE-EPOXY SYS</v>
          </cell>
        </row>
        <row r="1537">
          <cell r="C1537" t="str">
            <v>100004756</v>
          </cell>
          <cell r="D1537" t="str">
            <v>#EDP-551 DARK GREY (XÁM XINGFA) VN-20KSP</v>
          </cell>
          <cell r="E1537" t="str">
            <v>ZFGD</v>
          </cell>
          <cell r="F1537" t="str">
            <v>SET</v>
          </cell>
          <cell r="G1537" t="str">
            <v>5</v>
          </cell>
          <cell r="H1537" t="str">
            <v>PROJECT</v>
          </cell>
          <cell r="I1537" t="str">
            <v>59</v>
          </cell>
          <cell r="J1537" t="str">
            <v>MPC</v>
          </cell>
          <cell r="K1537" t="str">
            <v>5904</v>
          </cell>
          <cell r="L1537" t="str">
            <v>METALKOTE</v>
          </cell>
          <cell r="M1537" t="str">
            <v>590402</v>
          </cell>
          <cell r="N1537" t="str">
            <v>METALKOTE-EPOXY SYS</v>
          </cell>
        </row>
        <row r="1538">
          <cell r="C1538" t="str">
            <v>100004757</v>
          </cell>
          <cell r="D1538" t="str">
            <v>#NUEDP-551 RED OXIDE (ĐỎ) VN-20KSP</v>
          </cell>
          <cell r="E1538" t="str">
            <v>ZFGD</v>
          </cell>
          <cell r="F1538" t="str">
            <v>SET</v>
          </cell>
          <cell r="G1538" t="str">
            <v>5</v>
          </cell>
          <cell r="H1538" t="str">
            <v>PROJECT</v>
          </cell>
          <cell r="I1538" t="str">
            <v>59</v>
          </cell>
          <cell r="J1538" t="str">
            <v>MPC</v>
          </cell>
          <cell r="K1538" t="str">
            <v>5904</v>
          </cell>
          <cell r="L1538" t="str">
            <v>METALKOTE</v>
          </cell>
          <cell r="M1538" t="str">
            <v>590402</v>
          </cell>
          <cell r="N1538" t="str">
            <v>METALKOTE-EPOXY SYS</v>
          </cell>
        </row>
        <row r="1539">
          <cell r="C1539" t="str">
            <v>100004758</v>
          </cell>
          <cell r="D1539" t="str">
            <v>#NUEDP-551 WHITE (TRẮNG) VN-20KSP</v>
          </cell>
          <cell r="E1539" t="str">
            <v>ZFGD</v>
          </cell>
          <cell r="F1539" t="str">
            <v>SET</v>
          </cell>
          <cell r="G1539" t="str">
            <v>5</v>
          </cell>
          <cell r="H1539" t="str">
            <v>PROJECT</v>
          </cell>
          <cell r="I1539" t="str">
            <v>59</v>
          </cell>
          <cell r="J1539" t="str">
            <v>MPC</v>
          </cell>
          <cell r="K1539" t="str">
            <v>5904</v>
          </cell>
          <cell r="L1539" t="str">
            <v>METALKOTE</v>
          </cell>
          <cell r="M1539" t="str">
            <v>590402</v>
          </cell>
          <cell r="N1539" t="str">
            <v>METALKOTE-EPOXY SYS</v>
          </cell>
        </row>
        <row r="1540">
          <cell r="C1540" t="str">
            <v>100004759</v>
          </cell>
          <cell r="D1540" t="str">
            <v>#NUEDP-551 ZINC CHROMATE (XANH) VN-20KSP</v>
          </cell>
          <cell r="E1540" t="str">
            <v>ZFGD</v>
          </cell>
          <cell r="F1540" t="str">
            <v>SET</v>
          </cell>
          <cell r="G1540" t="str">
            <v>5</v>
          </cell>
          <cell r="H1540" t="str">
            <v>PROJECT</v>
          </cell>
          <cell r="I1540" t="str">
            <v>59</v>
          </cell>
          <cell r="J1540" t="str">
            <v>MPC</v>
          </cell>
          <cell r="K1540" t="str">
            <v>5904</v>
          </cell>
          <cell r="L1540" t="str">
            <v>METALKOTE</v>
          </cell>
          <cell r="M1540" t="str">
            <v>590402</v>
          </cell>
          <cell r="N1540" t="str">
            <v>METALKOTE-EPOXY SYS</v>
          </cell>
        </row>
        <row r="1541">
          <cell r="C1541" t="str">
            <v>100004760</v>
          </cell>
          <cell r="D1541" t="str">
            <v>#NUEDP-551 ZINC PHOSPHATE (XÁM) VN-20KSP</v>
          </cell>
          <cell r="E1541" t="str">
            <v>ZFGD</v>
          </cell>
          <cell r="F1541" t="str">
            <v>SET</v>
          </cell>
          <cell r="G1541" t="str">
            <v>5</v>
          </cell>
          <cell r="H1541" t="str">
            <v>PROJECT</v>
          </cell>
          <cell r="I1541" t="str">
            <v>59</v>
          </cell>
          <cell r="J1541" t="str">
            <v>MPC</v>
          </cell>
          <cell r="K1541" t="str">
            <v>5904</v>
          </cell>
          <cell r="L1541" t="str">
            <v>METALKOTE</v>
          </cell>
          <cell r="M1541" t="str">
            <v>590402</v>
          </cell>
          <cell r="N1541" t="str">
            <v>METALKOTE-EPOXY SYS</v>
          </cell>
        </row>
        <row r="1542">
          <cell r="C1542" t="str">
            <v>100004793</v>
          </cell>
          <cell r="D1542" t="str">
            <v>2K ACRYLIC CÁNH GIÁN VN-0.8K</v>
          </cell>
          <cell r="E1542" t="str">
            <v>ZFGD</v>
          </cell>
          <cell r="F1542" t="str">
            <v>PC</v>
          </cell>
          <cell r="G1542" t="str">
            <v>2</v>
          </cell>
          <cell r="H1542" t="str">
            <v>RETAIL</v>
          </cell>
          <cell r="I1542" t="str">
            <v>22</v>
          </cell>
          <cell r="J1542" t="str">
            <v>WF2</v>
          </cell>
          <cell r="K1542" t="str">
            <v>2216</v>
          </cell>
          <cell r="L1542" t="str">
            <v>PU MULTIPURPOSE</v>
          </cell>
          <cell r="M1542" t="str">
            <v>221601</v>
          </cell>
          <cell r="N1542" t="str">
            <v>PROPAN MP PU ACR RMX</v>
          </cell>
        </row>
        <row r="1543">
          <cell r="C1543" t="str">
            <v>100004794</v>
          </cell>
          <cell r="D1543" t="str">
            <v>2K ACRYLIC CÁNH GIÁN VN-4K</v>
          </cell>
          <cell r="E1543" t="str">
            <v>ZFGD</v>
          </cell>
          <cell r="F1543" t="str">
            <v>PC</v>
          </cell>
          <cell r="G1543" t="str">
            <v>2</v>
          </cell>
          <cell r="H1543" t="str">
            <v>RETAIL</v>
          </cell>
          <cell r="I1543" t="str">
            <v>22</v>
          </cell>
          <cell r="J1543" t="str">
            <v>WF2</v>
          </cell>
          <cell r="K1543" t="str">
            <v>2216</v>
          </cell>
          <cell r="L1543" t="str">
            <v>PU MULTIPURPOSE</v>
          </cell>
          <cell r="M1543" t="str">
            <v>221601</v>
          </cell>
          <cell r="N1543" t="str">
            <v>PROPAN MP PU ACR RMX</v>
          </cell>
        </row>
        <row r="1544">
          <cell r="C1544" t="str">
            <v>100004795</v>
          </cell>
          <cell r="D1544" t="str">
            <v>2K ACRYLIC CÁNH GIÁN VN-16KP</v>
          </cell>
          <cell r="E1544" t="str">
            <v>ZFGD</v>
          </cell>
          <cell r="F1544" t="str">
            <v>PC</v>
          </cell>
          <cell r="G1544" t="str">
            <v>2</v>
          </cell>
          <cell r="H1544" t="str">
            <v>RETAIL</v>
          </cell>
          <cell r="I1544" t="str">
            <v>22</v>
          </cell>
          <cell r="J1544" t="str">
            <v>WF2</v>
          </cell>
          <cell r="K1544" t="str">
            <v>2216</v>
          </cell>
          <cell r="L1544" t="str">
            <v>PU MULTIPURPOSE</v>
          </cell>
          <cell r="M1544" t="str">
            <v>221601</v>
          </cell>
          <cell r="N1544" t="str">
            <v>PROPAN MP PU ACR RMX</v>
          </cell>
        </row>
        <row r="1545">
          <cell r="C1545" t="str">
            <v>100004796</v>
          </cell>
          <cell r="D1545" t="str">
            <v>2K ACRYLIC CÁNH GIÁN VN-1KS</v>
          </cell>
          <cell r="E1545" t="str">
            <v>ZFGD</v>
          </cell>
          <cell r="F1545" t="str">
            <v>SET</v>
          </cell>
          <cell r="G1545" t="str">
            <v>2</v>
          </cell>
          <cell r="H1545" t="str">
            <v>RETAIL</v>
          </cell>
          <cell r="I1545" t="str">
            <v>22</v>
          </cell>
          <cell r="J1545" t="str">
            <v>WF2</v>
          </cell>
          <cell r="K1545" t="str">
            <v>2216</v>
          </cell>
          <cell r="L1545" t="str">
            <v>PU MULTIPURPOSE</v>
          </cell>
          <cell r="M1545" t="str">
            <v>221601</v>
          </cell>
          <cell r="N1545" t="str">
            <v>PROPAN MP PU ACR RMX</v>
          </cell>
        </row>
        <row r="1546">
          <cell r="C1546" t="str">
            <v>100004797</v>
          </cell>
          <cell r="D1546" t="str">
            <v>2K ACRYLIC CÁNH GIÁN VN-5KS</v>
          </cell>
          <cell r="E1546" t="str">
            <v>ZFGD</v>
          </cell>
          <cell r="F1546" t="str">
            <v>SET</v>
          </cell>
          <cell r="G1546" t="str">
            <v>2</v>
          </cell>
          <cell r="H1546" t="str">
            <v>RETAIL</v>
          </cell>
          <cell r="I1546" t="str">
            <v>22</v>
          </cell>
          <cell r="J1546" t="str">
            <v>WF2</v>
          </cell>
          <cell r="K1546" t="str">
            <v>2216</v>
          </cell>
          <cell r="L1546" t="str">
            <v>PU MULTIPURPOSE</v>
          </cell>
          <cell r="M1546" t="str">
            <v>221601</v>
          </cell>
          <cell r="N1546" t="str">
            <v>PROPAN MP PU ACR RMX</v>
          </cell>
        </row>
        <row r="1547">
          <cell r="C1547" t="str">
            <v>100004798</v>
          </cell>
          <cell r="D1547" t="str">
            <v>2K ACRYLIC CÁNH GIÁN VN-20KSP</v>
          </cell>
          <cell r="E1547" t="str">
            <v>ZFGD</v>
          </cell>
          <cell r="F1547" t="str">
            <v>SET</v>
          </cell>
          <cell r="G1547" t="str">
            <v>2</v>
          </cell>
          <cell r="H1547" t="str">
            <v>RETAIL</v>
          </cell>
          <cell r="I1547" t="str">
            <v>22</v>
          </cell>
          <cell r="J1547" t="str">
            <v>WF2</v>
          </cell>
          <cell r="K1547" t="str">
            <v>2216</v>
          </cell>
          <cell r="L1547" t="str">
            <v>PU MULTIPURPOSE</v>
          </cell>
          <cell r="M1547" t="str">
            <v>221601</v>
          </cell>
          <cell r="N1547" t="str">
            <v>PROPAN MP PU ACR RMX</v>
          </cell>
        </row>
        <row r="1548">
          <cell r="C1548" t="str">
            <v>100004908</v>
          </cell>
          <cell r="D1548" t="str">
            <v>SST-11100 BROWN AA VN-4K</v>
          </cell>
          <cell r="E1548" t="str">
            <v>ZFGD</v>
          </cell>
          <cell r="F1548" t="str">
            <v>PC</v>
          </cell>
          <cell r="G1548" t="str">
            <v>1</v>
          </cell>
          <cell r="H1548" t="str">
            <v>INDUSTRY</v>
          </cell>
          <cell r="I1548" t="str">
            <v>11</v>
          </cell>
          <cell r="J1548" t="str">
            <v>WOOD COATINGS</v>
          </cell>
          <cell r="K1548" t="str">
            <v>1109</v>
          </cell>
          <cell r="L1548" t="str">
            <v>STAIN &amp; GLAZE INTERIOR</v>
          </cell>
          <cell r="M1548" t="str">
            <v>110903</v>
          </cell>
          <cell r="N1548" t="str">
            <v>STAIN INTERIOR</v>
          </cell>
        </row>
        <row r="1549">
          <cell r="C1549" t="str">
            <v>100004928</v>
          </cell>
          <cell r="D1549" t="str">
            <v>PFT-215 LEAF GREEN VN-18KP</v>
          </cell>
          <cell r="E1549" t="str">
            <v>ZFGD</v>
          </cell>
          <cell r="F1549" t="str">
            <v>PC</v>
          </cell>
          <cell r="G1549" t="str">
            <v>5</v>
          </cell>
          <cell r="H1549" t="str">
            <v>PROJECT</v>
          </cell>
          <cell r="I1549" t="str">
            <v>56</v>
          </cell>
          <cell r="J1549" t="str">
            <v>CPC1</v>
          </cell>
          <cell r="K1549" t="str">
            <v>5602</v>
          </cell>
          <cell r="L1549" t="str">
            <v>POLYFLOOR</v>
          </cell>
          <cell r="M1549" t="str">
            <v>560207</v>
          </cell>
          <cell r="N1549" t="str">
            <v>POLYFLOOR EPOXY SOLVENT FREE</v>
          </cell>
        </row>
        <row r="1550">
          <cell r="C1550" t="str">
            <v>100004929</v>
          </cell>
          <cell r="D1550" t="str">
            <v>PFT-215 LEAF GREEN VN-21KSP</v>
          </cell>
          <cell r="E1550" t="str">
            <v>ZFGD</v>
          </cell>
          <cell r="F1550" t="str">
            <v>SET</v>
          </cell>
          <cell r="G1550" t="str">
            <v>5</v>
          </cell>
          <cell r="H1550" t="str">
            <v>PROJECT</v>
          </cell>
          <cell r="I1550" t="str">
            <v>56</v>
          </cell>
          <cell r="J1550" t="str">
            <v>CPC1</v>
          </cell>
          <cell r="K1550" t="str">
            <v>5602</v>
          </cell>
          <cell r="L1550" t="str">
            <v>POLYFLOOR</v>
          </cell>
          <cell r="M1550" t="str">
            <v>560207</v>
          </cell>
          <cell r="N1550" t="str">
            <v>POLYFLOOR EPOXY SOLVENT FREE</v>
          </cell>
        </row>
        <row r="1551">
          <cell r="C1551" t="str">
            <v>100004932</v>
          </cell>
          <cell r="D1551" t="str">
            <v>PFT-253 GREEN RAL 6037-16KP</v>
          </cell>
          <cell r="E1551" t="str">
            <v>ZFGD</v>
          </cell>
          <cell r="F1551" t="str">
            <v>PC</v>
          </cell>
          <cell r="G1551" t="str">
            <v>5</v>
          </cell>
          <cell r="H1551" t="str">
            <v>PROJECT</v>
          </cell>
          <cell r="I1551" t="str">
            <v>56</v>
          </cell>
          <cell r="J1551" t="str">
            <v>CPC1</v>
          </cell>
          <cell r="K1551" t="str">
            <v>5602</v>
          </cell>
          <cell r="L1551" t="str">
            <v>POLYFLOOR</v>
          </cell>
          <cell r="M1551" t="str">
            <v>560202</v>
          </cell>
          <cell r="N1551" t="str">
            <v>POLYFLOOR EPOXY</v>
          </cell>
        </row>
        <row r="1552">
          <cell r="C1552" t="str">
            <v>100004933</v>
          </cell>
          <cell r="D1552" t="str">
            <v>PFT-253 GREEN RAL 6037-4K</v>
          </cell>
          <cell r="E1552" t="str">
            <v>ZFGD</v>
          </cell>
          <cell r="F1552" t="str">
            <v>PC</v>
          </cell>
          <cell r="G1552" t="str">
            <v>5</v>
          </cell>
          <cell r="H1552" t="str">
            <v>PROJECT</v>
          </cell>
          <cell r="I1552" t="str">
            <v>56</v>
          </cell>
          <cell r="J1552" t="str">
            <v>CPC1</v>
          </cell>
          <cell r="K1552" t="str">
            <v>5602</v>
          </cell>
          <cell r="L1552" t="str">
            <v>POLYFLOOR</v>
          </cell>
          <cell r="M1552" t="str">
            <v>560202</v>
          </cell>
          <cell r="N1552" t="str">
            <v>POLYFLOOR EPOXY</v>
          </cell>
        </row>
        <row r="1553">
          <cell r="C1553" t="str">
            <v>100004934</v>
          </cell>
          <cell r="D1553" t="str">
            <v>PFT-253 GREEN RAL 6037-20KSP</v>
          </cell>
          <cell r="E1553" t="str">
            <v>ZFGD</v>
          </cell>
          <cell r="F1553" t="str">
            <v>SET</v>
          </cell>
          <cell r="G1553" t="str">
            <v>5</v>
          </cell>
          <cell r="H1553" t="str">
            <v>PROJECT</v>
          </cell>
          <cell r="I1553" t="str">
            <v>56</v>
          </cell>
          <cell r="J1553" t="str">
            <v>CPC1</v>
          </cell>
          <cell r="K1553" t="str">
            <v>5602</v>
          </cell>
          <cell r="L1553" t="str">
            <v>POLYFLOOR</v>
          </cell>
          <cell r="M1553" t="str">
            <v>560202</v>
          </cell>
          <cell r="N1553" t="str">
            <v>POLYFLOOR EPOXY</v>
          </cell>
        </row>
        <row r="1554">
          <cell r="C1554" t="str">
            <v>100004935</v>
          </cell>
          <cell r="D1554" t="str">
            <v>PFT-253 GREEN RAL 6037-5KS</v>
          </cell>
          <cell r="E1554" t="str">
            <v>ZFGD</v>
          </cell>
          <cell r="F1554" t="str">
            <v>SET</v>
          </cell>
          <cell r="G1554" t="str">
            <v>5</v>
          </cell>
          <cell r="H1554" t="str">
            <v>PROJECT</v>
          </cell>
          <cell r="I1554" t="str">
            <v>56</v>
          </cell>
          <cell r="J1554" t="str">
            <v>CPC1</v>
          </cell>
          <cell r="K1554" t="str">
            <v>5602</v>
          </cell>
          <cell r="L1554" t="str">
            <v>POLYFLOOR</v>
          </cell>
          <cell r="M1554" t="str">
            <v>560202</v>
          </cell>
          <cell r="N1554" t="str">
            <v>POLYFLOOR EPOXY</v>
          </cell>
        </row>
        <row r="1555">
          <cell r="C1555" t="str">
            <v>100004994</v>
          </cell>
          <cell r="D1555" t="str">
            <v>WBG-66900 IBW-210KB</v>
          </cell>
          <cell r="E1555" t="str">
            <v>ZFGD</v>
          </cell>
          <cell r="F1555" t="str">
            <v>PC</v>
          </cell>
          <cell r="G1555" t="str">
            <v>1</v>
          </cell>
          <cell r="H1555" t="str">
            <v>INDUSTRY</v>
          </cell>
          <cell r="I1555" t="str">
            <v>11</v>
          </cell>
          <cell r="J1555" t="str">
            <v>WOOD COATINGS</v>
          </cell>
          <cell r="K1555" t="str">
            <v>1111</v>
          </cell>
          <cell r="L1555" t="str">
            <v>WATERBASED SYSTEM INTERIOR</v>
          </cell>
          <cell r="M1555" t="str">
            <v>111104</v>
          </cell>
          <cell r="N1555" t="str">
            <v>WATERBASED SYSTEM INTERIOR</v>
          </cell>
        </row>
        <row r="1556">
          <cell r="C1556" t="str">
            <v>100005090</v>
          </cell>
          <cell r="D1556" t="str">
            <v>2K ACRYLIC GREY MATT VN-16KP</v>
          </cell>
          <cell r="E1556" t="str">
            <v>ZFGD</v>
          </cell>
          <cell r="F1556" t="str">
            <v>PC</v>
          </cell>
          <cell r="G1556" t="str">
            <v>2</v>
          </cell>
          <cell r="H1556" t="str">
            <v>RETAIL</v>
          </cell>
          <cell r="I1556" t="str">
            <v>22</v>
          </cell>
          <cell r="J1556" t="str">
            <v>WF2</v>
          </cell>
          <cell r="K1556" t="str">
            <v>2216</v>
          </cell>
          <cell r="L1556" t="str">
            <v>PU MULTIPURPOSE</v>
          </cell>
          <cell r="M1556" t="str">
            <v>221601</v>
          </cell>
          <cell r="N1556" t="str">
            <v>PROPAN MP PU ACR RMX</v>
          </cell>
        </row>
        <row r="1557">
          <cell r="C1557" t="str">
            <v>100005091</v>
          </cell>
          <cell r="D1557" t="str">
            <v>2K ACRYLIC GREY MATT VN-20KSP</v>
          </cell>
          <cell r="E1557" t="str">
            <v>ZFGD</v>
          </cell>
          <cell r="F1557" t="str">
            <v>SET</v>
          </cell>
          <cell r="G1557" t="str">
            <v>2</v>
          </cell>
          <cell r="H1557" t="str">
            <v>RETAIL</v>
          </cell>
          <cell r="I1557" t="str">
            <v>22</v>
          </cell>
          <cell r="J1557" t="str">
            <v>WF2</v>
          </cell>
          <cell r="K1557" t="str">
            <v>2216</v>
          </cell>
          <cell r="L1557" t="str">
            <v>PU MULTIPURPOSE</v>
          </cell>
          <cell r="M1557" t="str">
            <v>221601</v>
          </cell>
          <cell r="N1557" t="str">
            <v>PROPAN MP PU ACR RMX</v>
          </cell>
        </row>
        <row r="1558">
          <cell r="C1558" t="str">
            <v>100005092</v>
          </cell>
          <cell r="D1558" t="str">
            <v>2K ACRYLIC  LIGHT CREAM MATT VN-16KP</v>
          </cell>
          <cell r="E1558" t="str">
            <v>ZFGD</v>
          </cell>
          <cell r="F1558" t="str">
            <v>PC</v>
          </cell>
          <cell r="G1558" t="str">
            <v>2</v>
          </cell>
          <cell r="H1558" t="str">
            <v>RETAIL</v>
          </cell>
          <cell r="I1558" t="str">
            <v>22</v>
          </cell>
          <cell r="J1558" t="str">
            <v>WF2</v>
          </cell>
          <cell r="K1558" t="str">
            <v>2216</v>
          </cell>
          <cell r="L1558" t="str">
            <v>PU MULTIPURPOSE</v>
          </cell>
          <cell r="M1558" t="str">
            <v>221601</v>
          </cell>
          <cell r="N1558" t="str">
            <v>PROPAN MP PU ACR RMX</v>
          </cell>
        </row>
        <row r="1559">
          <cell r="C1559" t="str">
            <v>100005093</v>
          </cell>
          <cell r="D1559" t="str">
            <v>2K ACRYLIC LIGHT CREAM MATT VN-20KSP</v>
          </cell>
          <cell r="E1559" t="str">
            <v>ZFGD</v>
          </cell>
          <cell r="F1559" t="str">
            <v>SET</v>
          </cell>
          <cell r="G1559" t="str">
            <v>2</v>
          </cell>
          <cell r="H1559" t="str">
            <v>RETAIL</v>
          </cell>
          <cell r="I1559" t="str">
            <v>22</v>
          </cell>
          <cell r="J1559" t="str">
            <v>WF2</v>
          </cell>
          <cell r="K1559" t="str">
            <v>2216</v>
          </cell>
          <cell r="L1559" t="str">
            <v>PU MULTIPURPOSE</v>
          </cell>
          <cell r="M1559" t="str">
            <v>221601</v>
          </cell>
          <cell r="N1559" t="str">
            <v>PROPAN MP PU ACR RMX</v>
          </cell>
        </row>
        <row r="1560">
          <cell r="C1560" t="str">
            <v>100005166</v>
          </cell>
          <cell r="D1560" t="str">
            <v>PUC-786 2K ÐEN MỜ 90% TD VN-16KP</v>
          </cell>
          <cell r="E1560" t="str">
            <v>ZFGD</v>
          </cell>
          <cell r="F1560" t="str">
            <v>PC</v>
          </cell>
          <cell r="G1560" t="str">
            <v>2</v>
          </cell>
          <cell r="H1560" t="str">
            <v>RETAIL</v>
          </cell>
          <cell r="I1560" t="str">
            <v>22</v>
          </cell>
          <cell r="J1560" t="str">
            <v>WF2</v>
          </cell>
          <cell r="K1560" t="str">
            <v>2216</v>
          </cell>
          <cell r="L1560" t="str">
            <v>PU MULTIPURPOSE</v>
          </cell>
          <cell r="M1560" t="str">
            <v>221601</v>
          </cell>
          <cell r="N1560" t="str">
            <v>PROPAN MP PU ACR RMX</v>
          </cell>
        </row>
        <row r="1561">
          <cell r="C1561" t="str">
            <v>100005175</v>
          </cell>
          <cell r="D1561" t="str">
            <v>DP-4010 BASE-5L</v>
          </cell>
          <cell r="E1561" t="str">
            <v>ZFGD</v>
          </cell>
          <cell r="F1561" t="str">
            <v>PC</v>
          </cell>
          <cell r="G1561" t="str">
            <v>3</v>
          </cell>
          <cell r="H1561" t="str">
            <v>TRADING</v>
          </cell>
          <cell r="I1561" t="str">
            <v>38</v>
          </cell>
          <cell r="J1561" t="str">
            <v>ALKANA TRADING</v>
          </cell>
          <cell r="K1561" t="str">
            <v>3801</v>
          </cell>
          <cell r="L1561" t="str">
            <v>COATING</v>
          </cell>
          <cell r="M1561" t="str">
            <v>380101</v>
          </cell>
          <cell r="N1561" t="str">
            <v>DECOR PLAST</v>
          </cell>
        </row>
        <row r="1562">
          <cell r="C1562" t="str">
            <v>100005176</v>
          </cell>
          <cell r="D1562" t="str">
            <v>DP-4010 WHITE 9101-3.8L</v>
          </cell>
          <cell r="E1562" t="str">
            <v>ZFGD</v>
          </cell>
          <cell r="F1562" t="str">
            <v>PC</v>
          </cell>
          <cell r="G1562" t="str">
            <v>3</v>
          </cell>
          <cell r="H1562" t="str">
            <v>TRADING</v>
          </cell>
          <cell r="I1562" t="str">
            <v>38</v>
          </cell>
          <cell r="J1562" t="str">
            <v>ALKANA TRADING</v>
          </cell>
          <cell r="K1562" t="str">
            <v>3801</v>
          </cell>
          <cell r="L1562" t="str">
            <v>COATING</v>
          </cell>
          <cell r="M1562" t="str">
            <v>380101</v>
          </cell>
          <cell r="N1562" t="str">
            <v>DECOR PLAST</v>
          </cell>
        </row>
        <row r="1563">
          <cell r="C1563" t="str">
            <v>100005177</v>
          </cell>
          <cell r="D1563" t="str">
            <v>DP-4010 WHITE 9101-18LP</v>
          </cell>
          <cell r="E1563" t="str">
            <v>ZFGD</v>
          </cell>
          <cell r="F1563" t="str">
            <v>PC</v>
          </cell>
          <cell r="G1563" t="str">
            <v>3</v>
          </cell>
          <cell r="H1563" t="str">
            <v>TRADING</v>
          </cell>
          <cell r="I1563" t="str">
            <v>38</v>
          </cell>
          <cell r="J1563" t="str">
            <v>ALKANA TRADING</v>
          </cell>
          <cell r="K1563" t="str">
            <v>3801</v>
          </cell>
          <cell r="L1563" t="str">
            <v>COATING</v>
          </cell>
          <cell r="M1563" t="str">
            <v>380101</v>
          </cell>
          <cell r="N1563" t="str">
            <v>DECOR PLAST</v>
          </cell>
        </row>
        <row r="1564">
          <cell r="C1564" t="str">
            <v>100005178</v>
          </cell>
          <cell r="D1564" t="str">
            <v>DP-4011 BASE-5L</v>
          </cell>
          <cell r="E1564" t="str">
            <v>ZFGD</v>
          </cell>
          <cell r="F1564" t="str">
            <v>PC</v>
          </cell>
          <cell r="G1564" t="str">
            <v>3</v>
          </cell>
          <cell r="H1564" t="str">
            <v>TRADING</v>
          </cell>
          <cell r="I1564" t="str">
            <v>38</v>
          </cell>
          <cell r="J1564" t="str">
            <v>ALKANA TRADING</v>
          </cell>
          <cell r="K1564" t="str">
            <v>3801</v>
          </cell>
          <cell r="L1564" t="str">
            <v>COATING</v>
          </cell>
          <cell r="M1564" t="str">
            <v>380101</v>
          </cell>
          <cell r="N1564" t="str">
            <v>DECOR PLAST</v>
          </cell>
        </row>
        <row r="1565">
          <cell r="C1565" t="str">
            <v>100005179</v>
          </cell>
          <cell r="D1565" t="str">
            <v>DP-4011 BASE-18LP</v>
          </cell>
          <cell r="E1565" t="str">
            <v>ZFGD</v>
          </cell>
          <cell r="F1565" t="str">
            <v>PC</v>
          </cell>
          <cell r="G1565" t="str">
            <v>3</v>
          </cell>
          <cell r="H1565" t="str">
            <v>TRADING</v>
          </cell>
          <cell r="I1565" t="str">
            <v>38</v>
          </cell>
          <cell r="J1565" t="str">
            <v>ALKANA TRADING</v>
          </cell>
          <cell r="K1565" t="str">
            <v>3801</v>
          </cell>
          <cell r="L1565" t="str">
            <v>COATING</v>
          </cell>
          <cell r="M1565" t="str">
            <v>380101</v>
          </cell>
          <cell r="N1565" t="str">
            <v>DECOR PLAST</v>
          </cell>
        </row>
        <row r="1566">
          <cell r="C1566" t="str">
            <v>100005180</v>
          </cell>
          <cell r="D1566" t="str">
            <v>DP-4011 WHITE 9101-5L</v>
          </cell>
          <cell r="E1566" t="str">
            <v>ZFGD</v>
          </cell>
          <cell r="F1566" t="str">
            <v>PC</v>
          </cell>
          <cell r="G1566" t="str">
            <v>3</v>
          </cell>
          <cell r="H1566" t="str">
            <v>TRADING</v>
          </cell>
          <cell r="I1566" t="str">
            <v>38</v>
          </cell>
          <cell r="J1566" t="str">
            <v>ALKANA TRADING</v>
          </cell>
          <cell r="K1566" t="str">
            <v>3801</v>
          </cell>
          <cell r="L1566" t="str">
            <v>COATING</v>
          </cell>
          <cell r="M1566" t="str">
            <v>380101</v>
          </cell>
          <cell r="N1566" t="str">
            <v>DECOR PLAST</v>
          </cell>
        </row>
        <row r="1567">
          <cell r="C1567" t="str">
            <v>100005181</v>
          </cell>
          <cell r="D1567" t="str">
            <v>DP-4011 WHITE 9101-18LP</v>
          </cell>
          <cell r="E1567" t="str">
            <v>ZFGD</v>
          </cell>
          <cell r="F1567" t="str">
            <v>PC</v>
          </cell>
          <cell r="G1567" t="str">
            <v>3</v>
          </cell>
          <cell r="H1567" t="str">
            <v>TRADING</v>
          </cell>
          <cell r="I1567" t="str">
            <v>38</v>
          </cell>
          <cell r="J1567" t="str">
            <v>ALKANA TRADING</v>
          </cell>
          <cell r="K1567" t="str">
            <v>3801</v>
          </cell>
          <cell r="L1567" t="str">
            <v>COATING</v>
          </cell>
          <cell r="M1567" t="str">
            <v>380101</v>
          </cell>
          <cell r="N1567" t="str">
            <v>DECOR PLAST</v>
          </cell>
        </row>
        <row r="1568">
          <cell r="C1568" t="str">
            <v>100005216</v>
          </cell>
          <cell r="D1568" t="str">
            <v>DP-4010 GREEN VILLE 7130-18LP</v>
          </cell>
          <cell r="E1568" t="str">
            <v>ZFGD</v>
          </cell>
          <cell r="F1568" t="str">
            <v>PC</v>
          </cell>
          <cell r="G1568" t="str">
            <v>3</v>
          </cell>
          <cell r="H1568" t="str">
            <v>TRADING</v>
          </cell>
          <cell r="I1568" t="str">
            <v>38</v>
          </cell>
          <cell r="J1568" t="str">
            <v>ALKANA TRADING</v>
          </cell>
          <cell r="K1568" t="str">
            <v>3801</v>
          </cell>
          <cell r="L1568" t="str">
            <v>COATING</v>
          </cell>
          <cell r="M1568" t="str">
            <v>380101</v>
          </cell>
          <cell r="N1568" t="str">
            <v>DECOR PLAST</v>
          </cell>
        </row>
        <row r="1569">
          <cell r="C1569" t="str">
            <v>100005256</v>
          </cell>
          <cell r="D1569" t="str">
            <v>DP-4010 GREEN VILLE 7130-3.8L</v>
          </cell>
          <cell r="E1569" t="str">
            <v>ZFGD</v>
          </cell>
          <cell r="F1569" t="str">
            <v>PC</v>
          </cell>
          <cell r="G1569" t="str">
            <v>3</v>
          </cell>
          <cell r="H1569" t="str">
            <v>TRADING</v>
          </cell>
          <cell r="I1569" t="str">
            <v>38</v>
          </cell>
          <cell r="J1569" t="str">
            <v>ALKANA TRADING</v>
          </cell>
          <cell r="K1569" t="str">
            <v>3801</v>
          </cell>
          <cell r="L1569" t="str">
            <v>COATING</v>
          </cell>
          <cell r="M1569" t="str">
            <v>380101</v>
          </cell>
          <cell r="N1569" t="str">
            <v>DECOR PLAST</v>
          </cell>
        </row>
        <row r="1570">
          <cell r="C1570" t="str">
            <v>100005257</v>
          </cell>
          <cell r="D1570" t="str">
            <v>DP-4010 LEMON LIGHT 1156-18LP</v>
          </cell>
          <cell r="E1570" t="str">
            <v>ZFGD</v>
          </cell>
          <cell r="F1570" t="str">
            <v>PC</v>
          </cell>
          <cell r="G1570" t="str">
            <v>3</v>
          </cell>
          <cell r="H1570" t="str">
            <v>TRADING</v>
          </cell>
          <cell r="I1570" t="str">
            <v>38</v>
          </cell>
          <cell r="J1570" t="str">
            <v>ALKANA TRADING</v>
          </cell>
          <cell r="K1570" t="str">
            <v>3801</v>
          </cell>
          <cell r="L1570" t="str">
            <v>COATING</v>
          </cell>
          <cell r="M1570" t="str">
            <v>380101</v>
          </cell>
          <cell r="N1570" t="str">
            <v>DECOR PLAST</v>
          </cell>
        </row>
        <row r="1571">
          <cell r="C1571" t="str">
            <v>100005258</v>
          </cell>
          <cell r="D1571" t="str">
            <v>DP-4010 LEMON LIGHT 1156-3.8L</v>
          </cell>
          <cell r="E1571" t="str">
            <v>ZFGD</v>
          </cell>
          <cell r="F1571" t="str">
            <v>PC</v>
          </cell>
          <cell r="G1571" t="str">
            <v>3</v>
          </cell>
          <cell r="H1571" t="str">
            <v>TRADING</v>
          </cell>
          <cell r="I1571" t="str">
            <v>38</v>
          </cell>
          <cell r="J1571" t="str">
            <v>ALKANA TRADING</v>
          </cell>
          <cell r="K1571" t="str">
            <v>3801</v>
          </cell>
          <cell r="L1571" t="str">
            <v>COATING</v>
          </cell>
          <cell r="M1571" t="str">
            <v>380101</v>
          </cell>
          <cell r="N1571" t="str">
            <v>DECOR PLAST</v>
          </cell>
        </row>
        <row r="1572">
          <cell r="C1572" t="str">
            <v>100005259</v>
          </cell>
          <cell r="D1572" t="str">
            <v>DP-4010 A TOUCH OF TEAL 0511-18LP</v>
          </cell>
          <cell r="E1572" t="str">
            <v>ZFGD</v>
          </cell>
          <cell r="F1572" t="str">
            <v>PC</v>
          </cell>
          <cell r="G1572" t="str">
            <v>3</v>
          </cell>
          <cell r="H1572" t="str">
            <v>TRADING</v>
          </cell>
          <cell r="I1572" t="str">
            <v>38</v>
          </cell>
          <cell r="J1572" t="str">
            <v>ALKANA TRADING</v>
          </cell>
          <cell r="K1572" t="str">
            <v>3801</v>
          </cell>
          <cell r="L1572" t="str">
            <v>COATING</v>
          </cell>
          <cell r="M1572" t="str">
            <v>380101</v>
          </cell>
          <cell r="N1572" t="str">
            <v>DECOR PLAST</v>
          </cell>
        </row>
        <row r="1573">
          <cell r="C1573" t="str">
            <v>100005260</v>
          </cell>
          <cell r="D1573" t="str">
            <v>DP-4010 BONNI BELLE 0313-18LP</v>
          </cell>
          <cell r="E1573" t="str">
            <v>ZFGD</v>
          </cell>
          <cell r="F1573" t="str">
            <v>PC</v>
          </cell>
          <cell r="G1573" t="str">
            <v>3</v>
          </cell>
          <cell r="H1573" t="str">
            <v>TRADING</v>
          </cell>
          <cell r="I1573" t="str">
            <v>38</v>
          </cell>
          <cell r="J1573" t="str">
            <v>ALKANA TRADING</v>
          </cell>
          <cell r="K1573" t="str">
            <v>3801</v>
          </cell>
          <cell r="L1573" t="str">
            <v>COATING</v>
          </cell>
          <cell r="M1573" t="str">
            <v>380101</v>
          </cell>
          <cell r="N1573" t="str">
            <v>DECOR PLAST</v>
          </cell>
        </row>
        <row r="1574">
          <cell r="C1574" t="str">
            <v>100005261</v>
          </cell>
          <cell r="D1574" t="str">
            <v>DP-4010 BONNI BELLE 0313-3.8L</v>
          </cell>
          <cell r="E1574" t="str">
            <v>ZFGD</v>
          </cell>
          <cell r="F1574" t="str">
            <v>PC</v>
          </cell>
          <cell r="G1574" t="str">
            <v>3</v>
          </cell>
          <cell r="H1574" t="str">
            <v>TRADING</v>
          </cell>
          <cell r="I1574" t="str">
            <v>38</v>
          </cell>
          <cell r="J1574" t="str">
            <v>ALKANA TRADING</v>
          </cell>
          <cell r="K1574" t="str">
            <v>3801</v>
          </cell>
          <cell r="L1574" t="str">
            <v>COATING</v>
          </cell>
          <cell r="M1574" t="str">
            <v>380101</v>
          </cell>
          <cell r="N1574" t="str">
            <v>DECOR PLAST</v>
          </cell>
        </row>
        <row r="1575">
          <cell r="C1575" t="str">
            <v>100005282</v>
          </cell>
          <cell r="D1575" t="str">
            <v>DP-4011 PRIMER-18LP</v>
          </cell>
          <cell r="E1575" t="str">
            <v>ZFGD</v>
          </cell>
          <cell r="F1575" t="str">
            <v>PC</v>
          </cell>
          <cell r="G1575" t="str">
            <v>3</v>
          </cell>
          <cell r="H1575" t="str">
            <v>TRADING</v>
          </cell>
          <cell r="I1575" t="str">
            <v>38</v>
          </cell>
          <cell r="J1575" t="str">
            <v>ALKANA TRADING</v>
          </cell>
          <cell r="K1575" t="str">
            <v>3801</v>
          </cell>
          <cell r="L1575" t="str">
            <v>COATING</v>
          </cell>
          <cell r="M1575" t="str">
            <v>380101</v>
          </cell>
          <cell r="N1575" t="str">
            <v>DECOR PLAST</v>
          </cell>
        </row>
        <row r="1576">
          <cell r="C1576" t="str">
            <v>100005283</v>
          </cell>
          <cell r="D1576" t="str">
            <v>DP-4011 PRIMER-5L</v>
          </cell>
          <cell r="E1576" t="str">
            <v>ZFGD</v>
          </cell>
          <cell r="F1576" t="str">
            <v>PC</v>
          </cell>
          <cell r="G1576" t="str">
            <v>3</v>
          </cell>
          <cell r="H1576" t="str">
            <v>TRADING</v>
          </cell>
          <cell r="I1576" t="str">
            <v>38</v>
          </cell>
          <cell r="J1576" t="str">
            <v>ALKANA TRADING</v>
          </cell>
          <cell r="K1576" t="str">
            <v>3801</v>
          </cell>
          <cell r="L1576" t="str">
            <v>COATING</v>
          </cell>
          <cell r="M1576" t="str">
            <v>380101</v>
          </cell>
          <cell r="N1576" t="str">
            <v>DECOR PLAST</v>
          </cell>
        </row>
        <row r="1577">
          <cell r="C1577" t="str">
            <v>100005513</v>
          </cell>
          <cell r="D1577" t="str">
            <v>2K ACRYLIC WHITE GREY DOFF VN-4K</v>
          </cell>
          <cell r="E1577" t="str">
            <v>ZFGD</v>
          </cell>
          <cell r="F1577" t="str">
            <v>PC</v>
          </cell>
          <cell r="G1577" t="str">
            <v>2</v>
          </cell>
          <cell r="H1577" t="str">
            <v>RETAIL</v>
          </cell>
          <cell r="I1577" t="str">
            <v>22</v>
          </cell>
          <cell r="J1577" t="str">
            <v>WF2</v>
          </cell>
          <cell r="K1577" t="str">
            <v>2216</v>
          </cell>
          <cell r="L1577" t="str">
            <v>PU MULTIPURPOSE</v>
          </cell>
          <cell r="M1577" t="str">
            <v>221601</v>
          </cell>
          <cell r="N1577" t="str">
            <v>PROPAN MP PU ACR RMX</v>
          </cell>
        </row>
        <row r="1578">
          <cell r="C1578" t="str">
            <v>100005514</v>
          </cell>
          <cell r="D1578" t="str">
            <v>2K ACRYLIC WHITE GREY DOFF VN-5KS</v>
          </cell>
          <cell r="E1578" t="str">
            <v>ZFGD</v>
          </cell>
          <cell r="F1578" t="str">
            <v>SET</v>
          </cell>
          <cell r="G1578" t="str">
            <v>2</v>
          </cell>
          <cell r="H1578" t="str">
            <v>RETAIL</v>
          </cell>
          <cell r="I1578" t="str">
            <v>22</v>
          </cell>
          <cell r="J1578" t="str">
            <v>WF2</v>
          </cell>
          <cell r="K1578" t="str">
            <v>2216</v>
          </cell>
          <cell r="L1578" t="str">
            <v>PU MULTIPURPOSE</v>
          </cell>
          <cell r="M1578" t="str">
            <v>221601</v>
          </cell>
          <cell r="N1578" t="str">
            <v>PROPAN MP PU ACR RMX</v>
          </cell>
        </row>
        <row r="1579">
          <cell r="C1579" t="str">
            <v>100005515</v>
          </cell>
          <cell r="D1579" t="str">
            <v>DP-4010 BLOSSOM 1149-3.8L</v>
          </cell>
          <cell r="E1579" t="str">
            <v>ZFGD</v>
          </cell>
          <cell r="F1579" t="str">
            <v>PC</v>
          </cell>
          <cell r="G1579" t="str">
            <v>3</v>
          </cell>
          <cell r="H1579" t="str">
            <v>TRADING</v>
          </cell>
          <cell r="I1579" t="str">
            <v>38</v>
          </cell>
          <cell r="J1579" t="str">
            <v>ALKANA TRADING</v>
          </cell>
          <cell r="K1579" t="str">
            <v>3801</v>
          </cell>
          <cell r="L1579" t="str">
            <v>COATING</v>
          </cell>
          <cell r="M1579" t="str">
            <v>380101</v>
          </cell>
          <cell r="N1579" t="str">
            <v>DECOR PLAST</v>
          </cell>
        </row>
        <row r="1580">
          <cell r="C1580" t="str">
            <v>100005516</v>
          </cell>
          <cell r="D1580" t="str">
            <v>DP-4010 BLOSSOM 1149-18LP</v>
          </cell>
          <cell r="E1580" t="str">
            <v>ZFGD</v>
          </cell>
          <cell r="F1580" t="str">
            <v>PC</v>
          </cell>
          <cell r="G1580" t="str">
            <v>3</v>
          </cell>
          <cell r="H1580" t="str">
            <v>TRADING</v>
          </cell>
          <cell r="I1580" t="str">
            <v>38</v>
          </cell>
          <cell r="J1580" t="str">
            <v>ALKANA TRADING</v>
          </cell>
          <cell r="K1580" t="str">
            <v>3801</v>
          </cell>
          <cell r="L1580" t="str">
            <v>COATING</v>
          </cell>
          <cell r="M1580" t="str">
            <v>380101</v>
          </cell>
          <cell r="N1580" t="str">
            <v>DECOR PLAST</v>
          </cell>
        </row>
        <row r="1581">
          <cell r="C1581" t="str">
            <v>100005524</v>
          </cell>
          <cell r="D1581" t="str">
            <v>DP-4010 TWILIGHT TWINKLE 6119-3.8L</v>
          </cell>
          <cell r="E1581" t="str">
            <v>ZFGD</v>
          </cell>
          <cell r="F1581" t="str">
            <v>PC</v>
          </cell>
          <cell r="G1581" t="str">
            <v>3</v>
          </cell>
          <cell r="H1581" t="str">
            <v>TRADING</v>
          </cell>
          <cell r="I1581" t="str">
            <v>38</v>
          </cell>
          <cell r="J1581" t="str">
            <v>ALKANA TRADING</v>
          </cell>
          <cell r="K1581" t="str">
            <v>3801</v>
          </cell>
          <cell r="L1581" t="str">
            <v>COATING</v>
          </cell>
          <cell r="M1581" t="str">
            <v>380101</v>
          </cell>
          <cell r="N1581" t="str">
            <v>DECOR PLAST</v>
          </cell>
        </row>
        <row r="1582">
          <cell r="C1582" t="str">
            <v>100005525</v>
          </cell>
          <cell r="D1582" t="str">
            <v>DP-4010 TWILIGHT TWINKLE 6119-18LP</v>
          </cell>
          <cell r="E1582" t="str">
            <v>ZFGD</v>
          </cell>
          <cell r="F1582" t="str">
            <v>PC</v>
          </cell>
          <cell r="G1582" t="str">
            <v>3</v>
          </cell>
          <cell r="H1582" t="str">
            <v>TRADING</v>
          </cell>
          <cell r="I1582" t="str">
            <v>38</v>
          </cell>
          <cell r="J1582" t="str">
            <v>ALKANA TRADING</v>
          </cell>
          <cell r="K1582" t="str">
            <v>3801</v>
          </cell>
          <cell r="L1582" t="str">
            <v>COATING</v>
          </cell>
          <cell r="M1582" t="str">
            <v>380101</v>
          </cell>
          <cell r="N1582" t="str">
            <v>DECOR PLAST</v>
          </cell>
        </row>
        <row r="1583">
          <cell r="C1583" t="str">
            <v>100005557</v>
          </cell>
          <cell r="D1583" t="str">
            <v>PUC-756 NY LIGHT GREEN TD05 DOFF VN-16KP</v>
          </cell>
          <cell r="E1583" t="str">
            <v>ZFGD</v>
          </cell>
          <cell r="F1583" t="str">
            <v>PC</v>
          </cell>
          <cell r="G1583" t="str">
            <v>2</v>
          </cell>
          <cell r="H1583" t="str">
            <v>RETAIL</v>
          </cell>
          <cell r="I1583" t="str">
            <v>22</v>
          </cell>
          <cell r="J1583" t="str">
            <v>WF2</v>
          </cell>
          <cell r="K1583" t="str">
            <v>2216</v>
          </cell>
          <cell r="L1583" t="str">
            <v>PU MULTIPURPOSE</v>
          </cell>
          <cell r="M1583" t="str">
            <v>221601</v>
          </cell>
          <cell r="N1583" t="str">
            <v>PROPAN MP PU ACR RMX</v>
          </cell>
        </row>
        <row r="1584">
          <cell r="C1584" t="str">
            <v>100005558</v>
          </cell>
          <cell r="D1584" t="str">
            <v>PUC-756 NY DARK GREY TD04 DOFF VN-16KP</v>
          </cell>
          <cell r="E1584" t="str">
            <v>ZFGD</v>
          </cell>
          <cell r="F1584" t="str">
            <v>PC</v>
          </cell>
          <cell r="G1584" t="str">
            <v>2</v>
          </cell>
          <cell r="H1584" t="str">
            <v>RETAIL</v>
          </cell>
          <cell r="I1584" t="str">
            <v>22</v>
          </cell>
          <cell r="J1584" t="str">
            <v>WF2</v>
          </cell>
          <cell r="K1584" t="str">
            <v>2216</v>
          </cell>
          <cell r="L1584" t="str">
            <v>PU MULTIPURPOSE</v>
          </cell>
          <cell r="M1584" t="str">
            <v>221601</v>
          </cell>
          <cell r="N1584" t="str">
            <v>PROPAN MP PU ACR RMX</v>
          </cell>
        </row>
        <row r="1585">
          <cell r="C1585" t="str">
            <v>100005559</v>
          </cell>
          <cell r="D1585" t="str">
            <v>PUC-756 NY LIGHT BLUE TD06 DOFF VN-16KP</v>
          </cell>
          <cell r="E1585" t="str">
            <v>ZFGD</v>
          </cell>
          <cell r="F1585" t="str">
            <v>PC</v>
          </cell>
          <cell r="G1585" t="str">
            <v>2</v>
          </cell>
          <cell r="H1585" t="str">
            <v>RETAIL</v>
          </cell>
          <cell r="I1585" t="str">
            <v>22</v>
          </cell>
          <cell r="J1585" t="str">
            <v>WF2</v>
          </cell>
          <cell r="K1585" t="str">
            <v>2216</v>
          </cell>
          <cell r="L1585" t="str">
            <v>PU MULTIPURPOSE</v>
          </cell>
          <cell r="M1585" t="str">
            <v>221601</v>
          </cell>
          <cell r="N1585" t="str">
            <v>PROPAN MP PU ACR RMX</v>
          </cell>
        </row>
        <row r="1586">
          <cell r="C1586" t="str">
            <v>100005560</v>
          </cell>
          <cell r="D1586" t="str">
            <v>PUC-756 NY OFF WHITE TD01 DOFF VN-16KP</v>
          </cell>
          <cell r="E1586" t="str">
            <v>ZFGD</v>
          </cell>
          <cell r="F1586" t="str">
            <v>PC</v>
          </cell>
          <cell r="G1586" t="str">
            <v>2</v>
          </cell>
          <cell r="H1586" t="str">
            <v>RETAIL</v>
          </cell>
          <cell r="I1586" t="str">
            <v>22</v>
          </cell>
          <cell r="J1586" t="str">
            <v>WF2</v>
          </cell>
          <cell r="K1586" t="str">
            <v>2216</v>
          </cell>
          <cell r="L1586" t="str">
            <v>PU MULTIPURPOSE</v>
          </cell>
          <cell r="M1586" t="str">
            <v>221601</v>
          </cell>
          <cell r="N1586" t="str">
            <v>PROPAN MP PU ACR RMX</v>
          </cell>
        </row>
        <row r="1587">
          <cell r="C1587" t="str">
            <v>100005561</v>
          </cell>
          <cell r="D1587" t="str">
            <v>PUC-756 NY BEECH TD02 DOFF VN-16KP</v>
          </cell>
          <cell r="E1587" t="str">
            <v>ZFGD</v>
          </cell>
          <cell r="F1587" t="str">
            <v>PC</v>
          </cell>
          <cell r="G1587" t="str">
            <v>2</v>
          </cell>
          <cell r="H1587" t="str">
            <v>RETAIL</v>
          </cell>
          <cell r="I1587" t="str">
            <v>22</v>
          </cell>
          <cell r="J1587" t="str">
            <v>WF2</v>
          </cell>
          <cell r="K1587" t="str">
            <v>2216</v>
          </cell>
          <cell r="L1587" t="str">
            <v>PU MULTIPURPOSE</v>
          </cell>
          <cell r="M1587" t="str">
            <v>221601</v>
          </cell>
          <cell r="N1587" t="str">
            <v>PROPAN MP PU ACR RMX</v>
          </cell>
        </row>
        <row r="1588">
          <cell r="C1588" t="str">
            <v>100005562</v>
          </cell>
          <cell r="D1588" t="str">
            <v>PUC-756 NY LIGHT GREY TD03 DOFF VN-16KP</v>
          </cell>
          <cell r="E1588" t="str">
            <v>ZFGD</v>
          </cell>
          <cell r="F1588" t="str">
            <v>PC</v>
          </cell>
          <cell r="G1588" t="str">
            <v>2</v>
          </cell>
          <cell r="H1588" t="str">
            <v>RETAIL</v>
          </cell>
          <cell r="I1588" t="str">
            <v>22</v>
          </cell>
          <cell r="J1588" t="str">
            <v>WF2</v>
          </cell>
          <cell r="K1588" t="str">
            <v>2216</v>
          </cell>
          <cell r="L1588" t="str">
            <v>PU MULTIPURPOSE</v>
          </cell>
          <cell r="M1588" t="str">
            <v>221601</v>
          </cell>
          <cell r="N1588" t="str">
            <v>PROPAN MP PU ACR RMX</v>
          </cell>
        </row>
        <row r="1589">
          <cell r="C1589" t="str">
            <v>100005585</v>
          </cell>
          <cell r="D1589" t="str">
            <v>PUC-756 NY BLUE TD67 DEAD MATT VN-16KP</v>
          </cell>
          <cell r="E1589" t="str">
            <v>ZFGD</v>
          </cell>
          <cell r="F1589" t="str">
            <v>PC</v>
          </cell>
          <cell r="G1589" t="str">
            <v>2</v>
          </cell>
          <cell r="H1589" t="str">
            <v>RETAIL</v>
          </cell>
          <cell r="I1589" t="str">
            <v>22</v>
          </cell>
          <cell r="J1589" t="str">
            <v>WF2</v>
          </cell>
          <cell r="K1589" t="str">
            <v>2216</v>
          </cell>
          <cell r="L1589" t="str">
            <v>PU MULTIPURPOSE</v>
          </cell>
          <cell r="M1589" t="str">
            <v>221601</v>
          </cell>
          <cell r="N1589" t="str">
            <v>PROPAN MP PU ACR RMX</v>
          </cell>
        </row>
        <row r="1590">
          <cell r="C1590" t="str">
            <v>100005586</v>
          </cell>
          <cell r="D1590" t="str">
            <v>PUC-756 NY BROWN TD71 DEAD MATT VN-16KP</v>
          </cell>
          <cell r="E1590" t="str">
            <v>ZFGD</v>
          </cell>
          <cell r="F1590" t="str">
            <v>PC</v>
          </cell>
          <cell r="G1590" t="str">
            <v>2</v>
          </cell>
          <cell r="H1590" t="str">
            <v>RETAIL</v>
          </cell>
          <cell r="I1590" t="str">
            <v>22</v>
          </cell>
          <cell r="J1590" t="str">
            <v>WF2</v>
          </cell>
          <cell r="K1590" t="str">
            <v>2216</v>
          </cell>
          <cell r="L1590" t="str">
            <v>PU MULTIPURPOSE</v>
          </cell>
          <cell r="M1590" t="str">
            <v>221601</v>
          </cell>
          <cell r="N1590" t="str">
            <v>PROPAN MP PU ACR RMX</v>
          </cell>
        </row>
        <row r="1591">
          <cell r="C1591" t="str">
            <v>100005587</v>
          </cell>
          <cell r="D1591" t="str">
            <v>PUC-756 NY GREEN TD72 DEAD MATT VN-16KP</v>
          </cell>
          <cell r="E1591" t="str">
            <v>ZFGD</v>
          </cell>
          <cell r="F1591" t="str">
            <v>PC</v>
          </cell>
          <cell r="G1591" t="str">
            <v>2</v>
          </cell>
          <cell r="H1591" t="str">
            <v>RETAIL</v>
          </cell>
          <cell r="I1591" t="str">
            <v>22</v>
          </cell>
          <cell r="J1591" t="str">
            <v>WF2</v>
          </cell>
          <cell r="K1591" t="str">
            <v>2216</v>
          </cell>
          <cell r="L1591" t="str">
            <v>PU MULTIPURPOSE</v>
          </cell>
          <cell r="M1591" t="str">
            <v>221601</v>
          </cell>
          <cell r="N1591" t="str">
            <v>PROPAN MP PU ACR RMX</v>
          </cell>
        </row>
        <row r="1592">
          <cell r="C1592" t="str">
            <v>100005588</v>
          </cell>
          <cell r="D1592" t="str">
            <v>PUC-756 NY GREY TD63 DEAD MATT VN-16KP</v>
          </cell>
          <cell r="E1592" t="str">
            <v>ZFGD</v>
          </cell>
          <cell r="F1592" t="str">
            <v>PC</v>
          </cell>
          <cell r="G1592" t="str">
            <v>2</v>
          </cell>
          <cell r="H1592" t="str">
            <v>RETAIL</v>
          </cell>
          <cell r="I1592" t="str">
            <v>22</v>
          </cell>
          <cell r="J1592" t="str">
            <v>WF2</v>
          </cell>
          <cell r="K1592" t="str">
            <v>2216</v>
          </cell>
          <cell r="L1592" t="str">
            <v>PU MULTIPURPOSE</v>
          </cell>
          <cell r="M1592" t="str">
            <v>221601</v>
          </cell>
          <cell r="N1592" t="str">
            <v>PROPAN MP PU ACR RMX</v>
          </cell>
        </row>
        <row r="1593">
          <cell r="C1593" t="str">
            <v>100005601</v>
          </cell>
          <cell r="D1593" t="str">
            <v>DP-4010 BROKEN WHITE 8108-3.8L</v>
          </cell>
          <cell r="E1593" t="str">
            <v>ZFGD</v>
          </cell>
          <cell r="F1593" t="str">
            <v>PC</v>
          </cell>
          <cell r="G1593" t="str">
            <v>3</v>
          </cell>
          <cell r="H1593" t="str">
            <v>TRADING</v>
          </cell>
          <cell r="I1593" t="str">
            <v>38</v>
          </cell>
          <cell r="J1593" t="str">
            <v>ALKANA TRADING</v>
          </cell>
          <cell r="K1593" t="str">
            <v>3801</v>
          </cell>
          <cell r="L1593" t="str">
            <v>COATING</v>
          </cell>
          <cell r="M1593" t="str">
            <v>380101</v>
          </cell>
          <cell r="N1593" t="str">
            <v>DECOR PLAST</v>
          </cell>
        </row>
        <row r="1594">
          <cell r="C1594" t="str">
            <v>100005602</v>
          </cell>
          <cell r="D1594" t="str">
            <v>DP-4010 BROKEN WHITE 8108-18LP</v>
          </cell>
          <cell r="E1594" t="str">
            <v>ZFGD</v>
          </cell>
          <cell r="F1594" t="str">
            <v>PC</v>
          </cell>
          <cell r="G1594" t="str">
            <v>3</v>
          </cell>
          <cell r="H1594" t="str">
            <v>TRADING</v>
          </cell>
          <cell r="I1594" t="str">
            <v>38</v>
          </cell>
          <cell r="J1594" t="str">
            <v>ALKANA TRADING</v>
          </cell>
          <cell r="K1594" t="str">
            <v>3801</v>
          </cell>
          <cell r="L1594" t="str">
            <v>COATING</v>
          </cell>
          <cell r="M1594" t="str">
            <v>380101</v>
          </cell>
          <cell r="N1594" t="str">
            <v>DECOR PLAST</v>
          </cell>
        </row>
        <row r="1595">
          <cell r="C1595" t="str">
            <v>100005605</v>
          </cell>
          <cell r="D1595" t="str">
            <v>PUH-73 CỨNG PU VN-20KP</v>
          </cell>
          <cell r="E1595" t="str">
            <v>ZFGD</v>
          </cell>
          <cell r="F1595" t="str">
            <v>PC</v>
          </cell>
          <cell r="G1595" t="str">
            <v>2</v>
          </cell>
          <cell r="H1595" t="str">
            <v>RETAIL</v>
          </cell>
          <cell r="I1595" t="str">
            <v>22</v>
          </cell>
          <cell r="J1595" t="str">
            <v>WF2</v>
          </cell>
          <cell r="K1595" t="str">
            <v>2215</v>
          </cell>
          <cell r="L1595" t="str">
            <v>PU ITALIAN</v>
          </cell>
          <cell r="M1595" t="str">
            <v>221501</v>
          </cell>
          <cell r="N1595" t="str">
            <v>PROPAN ITALIAN PU</v>
          </cell>
        </row>
        <row r="1596">
          <cell r="C1596" t="str">
            <v>100005606</v>
          </cell>
          <cell r="D1596" t="str">
            <v>PUL-735 2K PHỦ PU BÓNG 100% VN-20KP</v>
          </cell>
          <cell r="E1596" t="str">
            <v>ZFGD</v>
          </cell>
          <cell r="F1596" t="str">
            <v>PC</v>
          </cell>
          <cell r="G1596" t="str">
            <v>2</v>
          </cell>
          <cell r="H1596" t="str">
            <v>RETAIL</v>
          </cell>
          <cell r="I1596" t="str">
            <v>22</v>
          </cell>
          <cell r="J1596" t="str">
            <v>WF2</v>
          </cell>
          <cell r="K1596" t="str">
            <v>2212</v>
          </cell>
          <cell r="L1596" t="str">
            <v>PU EASY TO USE</v>
          </cell>
          <cell r="M1596" t="str">
            <v>221201</v>
          </cell>
          <cell r="N1596" t="str">
            <v>PROPAN EASY TO USE PU</v>
          </cell>
        </row>
        <row r="1597">
          <cell r="C1597" t="str">
            <v>100005607</v>
          </cell>
          <cell r="D1597" t="str">
            <v>PUSS-730 2K LÓT PU VN-20KP</v>
          </cell>
          <cell r="E1597" t="str">
            <v>ZFGD</v>
          </cell>
          <cell r="F1597" t="str">
            <v>PC</v>
          </cell>
          <cell r="G1597" t="str">
            <v>2</v>
          </cell>
          <cell r="H1597" t="str">
            <v>RETAIL</v>
          </cell>
          <cell r="I1597" t="str">
            <v>22</v>
          </cell>
          <cell r="J1597" t="str">
            <v>WF2</v>
          </cell>
          <cell r="K1597" t="str">
            <v>2212</v>
          </cell>
          <cell r="L1597" t="str">
            <v>PU EASY TO USE</v>
          </cell>
          <cell r="M1597" t="str">
            <v>221201</v>
          </cell>
          <cell r="N1597" t="str">
            <v>PROPAN EASY TO USE PU</v>
          </cell>
        </row>
        <row r="1598">
          <cell r="C1598" t="str">
            <v>100005649</v>
          </cell>
          <cell r="D1598" t="str">
            <v>PUH-73 CỨNG PU VN-16KP</v>
          </cell>
          <cell r="E1598" t="str">
            <v>ZFGD</v>
          </cell>
          <cell r="F1598" t="str">
            <v>PC</v>
          </cell>
          <cell r="G1598" t="str">
            <v>2</v>
          </cell>
          <cell r="H1598" t="str">
            <v>RETAIL</v>
          </cell>
          <cell r="I1598" t="str">
            <v>22</v>
          </cell>
          <cell r="J1598" t="str">
            <v>WF2</v>
          </cell>
          <cell r="K1598" t="str">
            <v>2215</v>
          </cell>
          <cell r="L1598" t="str">
            <v>PU ITALIAN</v>
          </cell>
          <cell r="M1598" t="str">
            <v>221501</v>
          </cell>
          <cell r="N1598" t="str">
            <v>PROPAN ITALIAN PU</v>
          </cell>
        </row>
        <row r="1599">
          <cell r="C1599" t="str">
            <v>100005658</v>
          </cell>
          <cell r="D1599" t="str">
            <v>THINNER - XĂNG PU-073 VN-30LJ</v>
          </cell>
          <cell r="E1599" t="str">
            <v>ZFGD</v>
          </cell>
          <cell r="F1599" t="str">
            <v>PC</v>
          </cell>
          <cell r="G1599" t="str">
            <v>2</v>
          </cell>
          <cell r="H1599" t="str">
            <v>RETAIL</v>
          </cell>
          <cell r="I1599" t="str">
            <v>2Z</v>
          </cell>
          <cell r="J1599" t="str">
            <v>OTHERS</v>
          </cell>
          <cell r="K1599" t="str">
            <v>2Z99</v>
          </cell>
          <cell r="L1599" t="str">
            <v>OTHERS</v>
          </cell>
          <cell r="M1599" t="str">
            <v>2Z9920</v>
          </cell>
          <cell r="N1599" t="str">
            <v>THINNER PU</v>
          </cell>
        </row>
        <row r="1600">
          <cell r="C1600" t="str">
            <v>100005659</v>
          </cell>
          <cell r="D1600" t="str">
            <v>PS-15100 YELLOW 01 XD VN-16KJ</v>
          </cell>
          <cell r="E1600" t="str">
            <v>ZFGD</v>
          </cell>
          <cell r="F1600" t="str">
            <v>PC</v>
          </cell>
          <cell r="G1600" t="str">
            <v>1</v>
          </cell>
          <cell r="H1600" t="str">
            <v>INDUSTRY</v>
          </cell>
          <cell r="I1600" t="str">
            <v>11</v>
          </cell>
          <cell r="J1600" t="str">
            <v>WOOD COATINGS</v>
          </cell>
          <cell r="K1600" t="str">
            <v>1109</v>
          </cell>
          <cell r="L1600" t="str">
            <v>STAIN &amp; GLAZE INTERIOR</v>
          </cell>
          <cell r="M1600" t="str">
            <v>110901</v>
          </cell>
          <cell r="N1600" t="str">
            <v>ASOF : STAIN &amp; GLAZE</v>
          </cell>
        </row>
        <row r="1601">
          <cell r="C1601" t="str">
            <v>100005660</v>
          </cell>
          <cell r="D1601" t="str">
            <v>PS-15100 BLACK 3D 01 XD VN-16KJ</v>
          </cell>
          <cell r="E1601" t="str">
            <v>ZFGD</v>
          </cell>
          <cell r="F1601" t="str">
            <v>PC</v>
          </cell>
          <cell r="G1601" t="str">
            <v>1</v>
          </cell>
          <cell r="H1601" t="str">
            <v>INDUSTRY</v>
          </cell>
          <cell r="I1601" t="str">
            <v>11</v>
          </cell>
          <cell r="J1601" t="str">
            <v>WOOD COATINGS</v>
          </cell>
          <cell r="K1601" t="str">
            <v>1109</v>
          </cell>
          <cell r="L1601" t="str">
            <v>STAIN &amp; GLAZE INTERIOR</v>
          </cell>
          <cell r="M1601" t="str">
            <v>110901</v>
          </cell>
          <cell r="N1601" t="str">
            <v>ASOF : STAIN &amp; GLAZE</v>
          </cell>
        </row>
        <row r="1602">
          <cell r="C1602" t="str">
            <v>100005661</v>
          </cell>
          <cell r="D1602" t="str">
            <v>PUP-52141 XAM SILVERY KD VN-20KP</v>
          </cell>
          <cell r="E1602" t="str">
            <v>ZFGD</v>
          </cell>
          <cell r="F1602" t="str">
            <v>PC</v>
          </cell>
          <cell r="G1602" t="str">
            <v>1</v>
          </cell>
          <cell r="H1602" t="str">
            <v>INDUSTRY</v>
          </cell>
          <cell r="I1602" t="str">
            <v>11</v>
          </cell>
          <cell r="J1602" t="str">
            <v>WOOD COATINGS</v>
          </cell>
          <cell r="K1602" t="str">
            <v>1103</v>
          </cell>
          <cell r="L1602" t="str">
            <v>PU</v>
          </cell>
          <cell r="M1602" t="str">
            <v>110322</v>
          </cell>
          <cell r="N1602" t="str">
            <v>PU PRIMER</v>
          </cell>
        </row>
        <row r="1603">
          <cell r="C1603" t="str">
            <v>100005721</v>
          </cell>
          <cell r="D1603" t="str">
            <v>PUL-735 2K PHỦ PU BÓNG 100% VN-16KP</v>
          </cell>
          <cell r="E1603" t="str">
            <v>ZFGD</v>
          </cell>
          <cell r="F1603" t="str">
            <v>PC</v>
          </cell>
          <cell r="G1603" t="str">
            <v>2</v>
          </cell>
          <cell r="H1603" t="str">
            <v>RETAIL</v>
          </cell>
          <cell r="I1603" t="str">
            <v>22</v>
          </cell>
          <cell r="J1603" t="str">
            <v>WF2</v>
          </cell>
          <cell r="K1603" t="str">
            <v>2212</v>
          </cell>
          <cell r="L1603" t="str">
            <v>PU EASY TO USE</v>
          </cell>
          <cell r="M1603" t="str">
            <v>221201</v>
          </cell>
          <cell r="N1603" t="str">
            <v>PROPAN EASY TO USE PU</v>
          </cell>
        </row>
        <row r="1604">
          <cell r="C1604" t="str">
            <v>100005722</v>
          </cell>
          <cell r="D1604" t="str">
            <v>PUSS-730 2K LÓT PU VN-16KP</v>
          </cell>
          <cell r="E1604" t="str">
            <v>ZFGD</v>
          </cell>
          <cell r="F1604" t="str">
            <v>PC</v>
          </cell>
          <cell r="G1604" t="str">
            <v>2</v>
          </cell>
          <cell r="H1604" t="str">
            <v>RETAIL</v>
          </cell>
          <cell r="I1604" t="str">
            <v>22</v>
          </cell>
          <cell r="J1604" t="str">
            <v>WF2</v>
          </cell>
          <cell r="K1604" t="str">
            <v>2212</v>
          </cell>
          <cell r="L1604" t="str">
            <v>PU EASY TO USE</v>
          </cell>
          <cell r="M1604" t="str">
            <v>221201</v>
          </cell>
          <cell r="N1604" t="str">
            <v>PROPAN EASY TO USE PU</v>
          </cell>
        </row>
        <row r="1605">
          <cell r="C1605" t="str">
            <v>100005809</v>
          </cell>
          <cell r="D1605" t="str">
            <v>DECORLOTUS DI-400 BASE D 185-6 VN-18LP</v>
          </cell>
          <cell r="E1605" t="str">
            <v>ZFGD</v>
          </cell>
          <cell r="F1605" t="str">
            <v>PC</v>
          </cell>
          <cell r="G1605" t="str">
            <v>2</v>
          </cell>
          <cell r="H1605" t="str">
            <v>RETAIL</v>
          </cell>
          <cell r="I1605" t="str">
            <v>25</v>
          </cell>
          <cell r="J1605" t="str">
            <v>APCT1</v>
          </cell>
          <cell r="K1605" t="str">
            <v>2502</v>
          </cell>
          <cell r="L1605" t="str">
            <v>DECOR</v>
          </cell>
          <cell r="M1605" t="str">
            <v>250221</v>
          </cell>
          <cell r="N1605" t="str">
            <v>DECORCRYL BASE</v>
          </cell>
        </row>
        <row r="1606">
          <cell r="C1606" t="str">
            <v>100005810</v>
          </cell>
          <cell r="D1606" t="str">
            <v>PRIMTOP 88 FOREST GREEN VN-20KP</v>
          </cell>
          <cell r="E1606" t="str">
            <v>ZFGD</v>
          </cell>
          <cell r="F1606" t="str">
            <v>PC</v>
          </cell>
          <cell r="G1606" t="str">
            <v>5</v>
          </cell>
          <cell r="H1606" t="str">
            <v>PROJECT</v>
          </cell>
          <cell r="I1606" t="str">
            <v>59</v>
          </cell>
          <cell r="J1606" t="str">
            <v>MPC</v>
          </cell>
          <cell r="K1606" t="str">
            <v>5906</v>
          </cell>
          <cell r="L1606" t="str">
            <v>PRIMTOP</v>
          </cell>
          <cell r="M1606" t="str">
            <v>590602</v>
          </cell>
          <cell r="N1606" t="str">
            <v>PRIMTOP RMX</v>
          </cell>
        </row>
        <row r="1607">
          <cell r="C1607" t="str">
            <v>100005811</v>
          </cell>
          <cell r="D1607" t="str">
            <v>PUL-747 2K MỜ 75% VN-1K</v>
          </cell>
          <cell r="E1607" t="str">
            <v>ZFGD</v>
          </cell>
          <cell r="F1607" t="str">
            <v>PC</v>
          </cell>
          <cell r="G1607" t="str">
            <v>2</v>
          </cell>
          <cell r="H1607" t="str">
            <v>RETAIL</v>
          </cell>
          <cell r="I1607" t="str">
            <v>22</v>
          </cell>
          <cell r="J1607" t="str">
            <v>WF2</v>
          </cell>
          <cell r="K1607" t="str">
            <v>2201</v>
          </cell>
          <cell r="L1607" t="str">
            <v>PU COATING</v>
          </cell>
          <cell r="M1607" t="str">
            <v>220117</v>
          </cell>
          <cell r="N1607" t="str">
            <v>PROPAN PU</v>
          </cell>
        </row>
        <row r="1608">
          <cell r="C1608" t="str">
            <v>100005812</v>
          </cell>
          <cell r="D1608" t="str">
            <v>PUL-747 2K MỜ 75% VN-4K</v>
          </cell>
          <cell r="E1608" t="str">
            <v>ZFGD</v>
          </cell>
          <cell r="F1608" t="str">
            <v>PC</v>
          </cell>
          <cell r="G1608" t="str">
            <v>2</v>
          </cell>
          <cell r="H1608" t="str">
            <v>RETAIL</v>
          </cell>
          <cell r="I1608" t="str">
            <v>22</v>
          </cell>
          <cell r="J1608" t="str">
            <v>WF2</v>
          </cell>
          <cell r="K1608" t="str">
            <v>2201</v>
          </cell>
          <cell r="L1608" t="str">
            <v>PU COATING</v>
          </cell>
          <cell r="M1608" t="str">
            <v>220117</v>
          </cell>
          <cell r="N1608" t="str">
            <v>PROPAN PU</v>
          </cell>
        </row>
        <row r="1609">
          <cell r="C1609" t="str">
            <v>100005813</v>
          </cell>
          <cell r="D1609" t="str">
            <v>PUL-747 2K MỜ 75% VN-16KP</v>
          </cell>
          <cell r="E1609" t="str">
            <v>ZFGD</v>
          </cell>
          <cell r="F1609" t="str">
            <v>PC</v>
          </cell>
          <cell r="G1609" t="str">
            <v>2</v>
          </cell>
          <cell r="H1609" t="str">
            <v>RETAIL</v>
          </cell>
          <cell r="I1609" t="str">
            <v>22</v>
          </cell>
          <cell r="J1609" t="str">
            <v>WF2</v>
          </cell>
          <cell r="K1609" t="str">
            <v>2201</v>
          </cell>
          <cell r="L1609" t="str">
            <v>PU COATING</v>
          </cell>
          <cell r="M1609" t="str">
            <v>220117</v>
          </cell>
          <cell r="N1609" t="str">
            <v>PROPAN PU</v>
          </cell>
        </row>
        <row r="1610">
          <cell r="C1610" t="str">
            <v>100005823</v>
          </cell>
          <cell r="D1610" t="str">
            <v>A-1000 141-4 SHINEY NICKEL MAX-2.5L</v>
          </cell>
          <cell r="E1610" t="str">
            <v>ZFGD</v>
          </cell>
          <cell r="F1610" t="str">
            <v>PC</v>
          </cell>
          <cell r="G1610" t="str">
            <v>2</v>
          </cell>
          <cell r="H1610" t="str">
            <v>RETAIL</v>
          </cell>
          <cell r="I1610" t="str">
            <v>29</v>
          </cell>
          <cell r="J1610" t="str">
            <v>MPC</v>
          </cell>
          <cell r="K1610" t="str">
            <v>2909</v>
          </cell>
          <cell r="L1610" t="str">
            <v>GO FAST</v>
          </cell>
          <cell r="M1610" t="str">
            <v>290901</v>
          </cell>
          <cell r="N1610" t="str">
            <v>GO FAST RMX</v>
          </cell>
        </row>
        <row r="1611">
          <cell r="C1611" t="str">
            <v>100005828</v>
          </cell>
          <cell r="D1611" t="str">
            <v>U-PROOF BASE A VN-1K</v>
          </cell>
          <cell r="E1611" t="str">
            <v>ZFGD</v>
          </cell>
          <cell r="F1611" t="str">
            <v>PC</v>
          </cell>
          <cell r="G1611" t="str">
            <v>2</v>
          </cell>
          <cell r="H1611" t="str">
            <v>RETAIL</v>
          </cell>
          <cell r="I1611" t="str">
            <v>2D</v>
          </cell>
          <cell r="J1611" t="str">
            <v>APCT2</v>
          </cell>
          <cell r="K1611" t="str">
            <v>2D02</v>
          </cell>
          <cell r="L1611" t="str">
            <v>U-PROOF</v>
          </cell>
          <cell r="M1611" t="str">
            <v>2D0202</v>
          </cell>
          <cell r="N1611" t="str">
            <v>U-PROOF BASE</v>
          </cell>
        </row>
        <row r="1612">
          <cell r="C1612" t="str">
            <v>100005829</v>
          </cell>
          <cell r="D1612" t="str">
            <v>U-PROOF BASE A VN-6K</v>
          </cell>
          <cell r="E1612" t="str">
            <v>ZFGD</v>
          </cell>
          <cell r="F1612" t="str">
            <v>PC</v>
          </cell>
          <cell r="G1612" t="str">
            <v>2</v>
          </cell>
          <cell r="H1612" t="str">
            <v>RETAIL</v>
          </cell>
          <cell r="I1612" t="str">
            <v>2D</v>
          </cell>
          <cell r="J1612" t="str">
            <v>APCT2</v>
          </cell>
          <cell r="K1612" t="str">
            <v>2D02</v>
          </cell>
          <cell r="L1612" t="str">
            <v>U-PROOF</v>
          </cell>
          <cell r="M1612" t="str">
            <v>2D0202</v>
          </cell>
          <cell r="N1612" t="str">
            <v>U-PROOF BASE</v>
          </cell>
        </row>
        <row r="1613">
          <cell r="C1613" t="str">
            <v>100005830</v>
          </cell>
          <cell r="D1613" t="str">
            <v>U-PROOF BASE A VN-20KP</v>
          </cell>
          <cell r="E1613" t="str">
            <v>ZFGD</v>
          </cell>
          <cell r="F1613" t="str">
            <v>PC</v>
          </cell>
          <cell r="G1613" t="str">
            <v>2</v>
          </cell>
          <cell r="H1613" t="str">
            <v>RETAIL</v>
          </cell>
          <cell r="I1613" t="str">
            <v>2D</v>
          </cell>
          <cell r="J1613" t="str">
            <v>APCT2</v>
          </cell>
          <cell r="K1613" t="str">
            <v>2D02</v>
          </cell>
          <cell r="L1613" t="str">
            <v>U-PROOF</v>
          </cell>
          <cell r="M1613" t="str">
            <v>2D0202</v>
          </cell>
          <cell r="N1613" t="str">
            <v>U-PROOF BASE</v>
          </cell>
        </row>
        <row r="1614">
          <cell r="C1614" t="str">
            <v>100005831</v>
          </cell>
          <cell r="D1614" t="str">
            <v>U-PROOF BASE B VN-1K</v>
          </cell>
          <cell r="E1614" t="str">
            <v>ZFGD</v>
          </cell>
          <cell r="F1614" t="str">
            <v>PC</v>
          </cell>
          <cell r="G1614" t="str">
            <v>2</v>
          </cell>
          <cell r="H1614" t="str">
            <v>RETAIL</v>
          </cell>
          <cell r="I1614" t="str">
            <v>2D</v>
          </cell>
          <cell r="J1614" t="str">
            <v>APCT2</v>
          </cell>
          <cell r="K1614" t="str">
            <v>2D02</v>
          </cell>
          <cell r="L1614" t="str">
            <v>U-PROOF</v>
          </cell>
          <cell r="M1614" t="str">
            <v>2D0202</v>
          </cell>
          <cell r="N1614" t="str">
            <v>U-PROOF BASE</v>
          </cell>
        </row>
        <row r="1615">
          <cell r="C1615" t="str">
            <v>100005832</v>
          </cell>
          <cell r="D1615" t="str">
            <v>U-PROOF BASE B VN-6K</v>
          </cell>
          <cell r="E1615" t="str">
            <v>ZFGD</v>
          </cell>
          <cell r="F1615" t="str">
            <v>PC</v>
          </cell>
          <cell r="G1615" t="str">
            <v>2</v>
          </cell>
          <cell r="H1615" t="str">
            <v>RETAIL</v>
          </cell>
          <cell r="I1615" t="str">
            <v>2D</v>
          </cell>
          <cell r="J1615" t="str">
            <v>APCT2</v>
          </cell>
          <cell r="K1615" t="str">
            <v>2D02</v>
          </cell>
          <cell r="L1615" t="str">
            <v>U-PROOF</v>
          </cell>
          <cell r="M1615" t="str">
            <v>2D0202</v>
          </cell>
          <cell r="N1615" t="str">
            <v>U-PROOF BASE</v>
          </cell>
        </row>
        <row r="1616">
          <cell r="C1616" t="str">
            <v>100005833</v>
          </cell>
          <cell r="D1616" t="str">
            <v>U-PROOF BASE B VN-20KP</v>
          </cell>
          <cell r="E1616" t="str">
            <v>ZFGD</v>
          </cell>
          <cell r="F1616" t="str">
            <v>PC</v>
          </cell>
          <cell r="G1616" t="str">
            <v>2</v>
          </cell>
          <cell r="H1616" t="str">
            <v>RETAIL</v>
          </cell>
          <cell r="I1616" t="str">
            <v>2D</v>
          </cell>
          <cell r="J1616" t="str">
            <v>APCT2</v>
          </cell>
          <cell r="K1616" t="str">
            <v>2D02</v>
          </cell>
          <cell r="L1616" t="str">
            <v>U-PROOF</v>
          </cell>
          <cell r="M1616" t="str">
            <v>2D0202</v>
          </cell>
          <cell r="N1616" t="str">
            <v>U-PROOF BASE</v>
          </cell>
        </row>
        <row r="1617">
          <cell r="C1617" t="str">
            <v>100005834</v>
          </cell>
          <cell r="D1617" t="str">
            <v>U-PROOF BASE D VN-1K</v>
          </cell>
          <cell r="E1617" t="str">
            <v>ZFGD</v>
          </cell>
          <cell r="F1617" t="str">
            <v>PC</v>
          </cell>
          <cell r="G1617" t="str">
            <v>2</v>
          </cell>
          <cell r="H1617" t="str">
            <v>RETAIL</v>
          </cell>
          <cell r="I1617" t="str">
            <v>2D</v>
          </cell>
          <cell r="J1617" t="str">
            <v>APCT2</v>
          </cell>
          <cell r="K1617" t="str">
            <v>2D02</v>
          </cell>
          <cell r="L1617" t="str">
            <v>U-PROOF</v>
          </cell>
          <cell r="M1617" t="str">
            <v>2D0202</v>
          </cell>
          <cell r="N1617" t="str">
            <v>U-PROOF BASE</v>
          </cell>
        </row>
        <row r="1618">
          <cell r="C1618" t="str">
            <v>100005835</v>
          </cell>
          <cell r="D1618" t="str">
            <v>U-PROOF BASE D VN-6K</v>
          </cell>
          <cell r="E1618" t="str">
            <v>ZFGD</v>
          </cell>
          <cell r="F1618" t="str">
            <v>PC</v>
          </cell>
          <cell r="G1618" t="str">
            <v>2</v>
          </cell>
          <cell r="H1618" t="str">
            <v>RETAIL</v>
          </cell>
          <cell r="I1618" t="str">
            <v>2D</v>
          </cell>
          <cell r="J1618" t="str">
            <v>APCT2</v>
          </cell>
          <cell r="K1618" t="str">
            <v>2D02</v>
          </cell>
          <cell r="L1618" t="str">
            <v>U-PROOF</v>
          </cell>
          <cell r="M1618" t="str">
            <v>2D0202</v>
          </cell>
          <cell r="N1618" t="str">
            <v>U-PROOF BASE</v>
          </cell>
        </row>
        <row r="1619">
          <cell r="C1619" t="str">
            <v>100005836</v>
          </cell>
          <cell r="D1619" t="str">
            <v>U-PROOF BASE D VN-20KP</v>
          </cell>
          <cell r="E1619" t="str">
            <v>ZFGD</v>
          </cell>
          <cell r="F1619" t="str">
            <v>PC</v>
          </cell>
          <cell r="G1619" t="str">
            <v>2</v>
          </cell>
          <cell r="H1619" t="str">
            <v>RETAIL</v>
          </cell>
          <cell r="I1619" t="str">
            <v>2D</v>
          </cell>
          <cell r="J1619" t="str">
            <v>APCT2</v>
          </cell>
          <cell r="K1619" t="str">
            <v>2D02</v>
          </cell>
          <cell r="L1619" t="str">
            <v>U-PROOF</v>
          </cell>
          <cell r="M1619" t="str">
            <v>2D0202</v>
          </cell>
          <cell r="N1619" t="str">
            <v>U-PROOF BASE</v>
          </cell>
        </row>
        <row r="1620">
          <cell r="C1620" t="str">
            <v>100005837</v>
          </cell>
          <cell r="D1620" t="str">
            <v>UPR-960 SUNKISS 0046 VN-20KP</v>
          </cell>
          <cell r="E1620" t="str">
            <v>ZFGD</v>
          </cell>
          <cell r="F1620" t="str">
            <v>PC</v>
          </cell>
          <cell r="G1620" t="str">
            <v>2</v>
          </cell>
          <cell r="H1620" t="str">
            <v>RETAIL</v>
          </cell>
          <cell r="I1620" t="str">
            <v>2D</v>
          </cell>
          <cell r="J1620" t="str">
            <v>APCT2</v>
          </cell>
          <cell r="K1620" t="str">
            <v>2D01</v>
          </cell>
          <cell r="L1620" t="str">
            <v>ULTRAPROOF</v>
          </cell>
          <cell r="M1620" t="str">
            <v>2D0101</v>
          </cell>
          <cell r="N1620" t="str">
            <v>ULTRAPROOF RMX</v>
          </cell>
        </row>
        <row r="1621">
          <cell r="C1621" t="str">
            <v>100005839</v>
          </cell>
          <cell r="D1621" t="str">
            <v>UPR-960 DARK BROWN 2406 VN-6K</v>
          </cell>
          <cell r="E1621" t="str">
            <v>ZFGD</v>
          </cell>
          <cell r="F1621" t="str">
            <v>PC</v>
          </cell>
          <cell r="G1621" t="str">
            <v>2</v>
          </cell>
          <cell r="H1621" t="str">
            <v>RETAIL</v>
          </cell>
          <cell r="I1621" t="str">
            <v>2D</v>
          </cell>
          <cell r="J1621" t="str">
            <v>APCT2</v>
          </cell>
          <cell r="K1621" t="str">
            <v>2D01</v>
          </cell>
          <cell r="L1621" t="str">
            <v>ULTRAPROOF</v>
          </cell>
          <cell r="M1621" t="str">
            <v>2D0101</v>
          </cell>
          <cell r="N1621" t="str">
            <v>ULTRAPROOF RMX</v>
          </cell>
        </row>
        <row r="1622">
          <cell r="C1622" t="str">
            <v>100005842</v>
          </cell>
          <cell r="D1622" t="str">
            <v>A-1000 TRAFFIC RED 3306 MAX-20LP</v>
          </cell>
          <cell r="E1622" t="str">
            <v>ZFGD</v>
          </cell>
          <cell r="F1622" t="str">
            <v>PC</v>
          </cell>
          <cell r="G1622" t="str">
            <v>2</v>
          </cell>
          <cell r="H1622" t="str">
            <v>RETAIL</v>
          </cell>
          <cell r="I1622" t="str">
            <v>29</v>
          </cell>
          <cell r="J1622" t="str">
            <v>MPC</v>
          </cell>
          <cell r="K1622" t="str">
            <v>2909</v>
          </cell>
          <cell r="L1622" t="str">
            <v>GO FAST</v>
          </cell>
          <cell r="M1622" t="str">
            <v>290901</v>
          </cell>
          <cell r="N1622" t="str">
            <v>GO FAST RMX</v>
          </cell>
        </row>
        <row r="1623">
          <cell r="C1623" t="str">
            <v>100005843</v>
          </cell>
          <cell r="D1623" t="str">
            <v>A-1000 TRAFFIC RED 3306 MAX-2.5L</v>
          </cell>
          <cell r="E1623" t="str">
            <v>ZFGD</v>
          </cell>
          <cell r="F1623" t="str">
            <v>PC</v>
          </cell>
          <cell r="G1623" t="str">
            <v>2</v>
          </cell>
          <cell r="H1623" t="str">
            <v>RETAIL</v>
          </cell>
          <cell r="I1623" t="str">
            <v>29</v>
          </cell>
          <cell r="J1623" t="str">
            <v>MPC</v>
          </cell>
          <cell r="K1623" t="str">
            <v>2909</v>
          </cell>
          <cell r="L1623" t="str">
            <v>GO FAST</v>
          </cell>
          <cell r="M1623" t="str">
            <v>290901</v>
          </cell>
          <cell r="N1623" t="str">
            <v>GO FAST RMX</v>
          </cell>
        </row>
        <row r="1624">
          <cell r="C1624" t="str">
            <v>100005844</v>
          </cell>
          <cell r="D1624" t="str">
            <v>A-1000 NT 798 METROPOLIS MOOD MAX-2.5L</v>
          </cell>
          <cell r="E1624" t="str">
            <v>ZFGD</v>
          </cell>
          <cell r="F1624" t="str">
            <v>PC</v>
          </cell>
          <cell r="G1624" t="str">
            <v>2</v>
          </cell>
          <cell r="H1624" t="str">
            <v>RETAIL</v>
          </cell>
          <cell r="I1624" t="str">
            <v>29</v>
          </cell>
          <cell r="J1624" t="str">
            <v>MPC</v>
          </cell>
          <cell r="K1624" t="str">
            <v>2909</v>
          </cell>
          <cell r="L1624" t="str">
            <v>GO FAST</v>
          </cell>
          <cell r="M1624" t="str">
            <v>290901</v>
          </cell>
          <cell r="N1624" t="str">
            <v>GO FAST RMX</v>
          </cell>
        </row>
        <row r="1625">
          <cell r="C1625" t="str">
            <v>100005845</v>
          </cell>
          <cell r="D1625" t="str">
            <v>A-1000 OW 001 WHITE MAX-20LP</v>
          </cell>
          <cell r="E1625" t="str">
            <v>ZFGD</v>
          </cell>
          <cell r="F1625" t="str">
            <v>PC</v>
          </cell>
          <cell r="G1625" t="str">
            <v>2</v>
          </cell>
          <cell r="H1625" t="str">
            <v>RETAIL</v>
          </cell>
          <cell r="I1625" t="str">
            <v>29</v>
          </cell>
          <cell r="J1625" t="str">
            <v>MPC</v>
          </cell>
          <cell r="K1625" t="str">
            <v>2909</v>
          </cell>
          <cell r="L1625" t="str">
            <v>GO FAST</v>
          </cell>
          <cell r="M1625" t="str">
            <v>290901</v>
          </cell>
          <cell r="N1625" t="str">
            <v>GO FAST RMX</v>
          </cell>
        </row>
        <row r="1626">
          <cell r="C1626" t="str">
            <v>100005847</v>
          </cell>
          <cell r="D1626" t="str">
            <v>UPR-960 100-1 SPICE OF LIFE-20KP</v>
          </cell>
          <cell r="E1626" t="str">
            <v>ZFGD</v>
          </cell>
          <cell r="F1626" t="str">
            <v>PC</v>
          </cell>
          <cell r="G1626" t="str">
            <v>2</v>
          </cell>
          <cell r="H1626" t="str">
            <v>RETAIL</v>
          </cell>
          <cell r="I1626" t="str">
            <v>2D</v>
          </cell>
          <cell r="J1626" t="str">
            <v>APCT2</v>
          </cell>
          <cell r="K1626" t="str">
            <v>2D01</v>
          </cell>
          <cell r="L1626" t="str">
            <v>ULTRAPROOF</v>
          </cell>
          <cell r="M1626" t="str">
            <v>2D0101</v>
          </cell>
          <cell r="N1626" t="str">
            <v>ULTRAPROOF RMX</v>
          </cell>
        </row>
        <row r="1627">
          <cell r="C1627" t="str">
            <v>100005858</v>
          </cell>
          <cell r="D1627" t="str">
            <v>DI-400 OW 030 LINWOOD BEACH-18LP</v>
          </cell>
          <cell r="E1627" t="str">
            <v>ZFGD</v>
          </cell>
          <cell r="F1627" t="str">
            <v>PC</v>
          </cell>
          <cell r="G1627" t="str">
            <v>2</v>
          </cell>
          <cell r="H1627" t="str">
            <v>RETAIL</v>
          </cell>
          <cell r="I1627" t="str">
            <v>25</v>
          </cell>
          <cell r="J1627" t="str">
            <v>APCT1</v>
          </cell>
          <cell r="K1627" t="str">
            <v>2502</v>
          </cell>
          <cell r="L1627" t="str">
            <v>DECOR</v>
          </cell>
          <cell r="M1627" t="str">
            <v>250221</v>
          </cell>
          <cell r="N1627" t="str">
            <v>DECORCRYL BASE</v>
          </cell>
        </row>
        <row r="1628">
          <cell r="C1628" t="str">
            <v>100005902</v>
          </cell>
          <cell r="D1628" t="str">
            <v>U-PROOF U-93 LIGHT GREY VN-20KP</v>
          </cell>
          <cell r="E1628" t="str">
            <v>ZFGD</v>
          </cell>
          <cell r="F1628" t="str">
            <v>PC</v>
          </cell>
          <cell r="G1628" t="str">
            <v>2</v>
          </cell>
          <cell r="H1628" t="str">
            <v>RETAIL</v>
          </cell>
          <cell r="I1628" t="str">
            <v>2D</v>
          </cell>
          <cell r="J1628" t="str">
            <v>APCT2</v>
          </cell>
          <cell r="K1628" t="str">
            <v>2D02</v>
          </cell>
          <cell r="L1628" t="str">
            <v>U-PROOF</v>
          </cell>
          <cell r="M1628" t="str">
            <v>2D0201</v>
          </cell>
          <cell r="N1628" t="str">
            <v>U-PROOF</v>
          </cell>
        </row>
        <row r="1629">
          <cell r="C1629" t="str">
            <v>100005932</v>
          </cell>
          <cell r="D1629" t="str">
            <v>A-1000 166-2 GOLDEN VALLEY MAX-20LP</v>
          </cell>
          <cell r="E1629" t="str">
            <v>ZFGD</v>
          </cell>
          <cell r="F1629" t="str">
            <v>PC</v>
          </cell>
          <cell r="G1629" t="str">
            <v>2</v>
          </cell>
          <cell r="H1629" t="str">
            <v>RETAIL</v>
          </cell>
          <cell r="I1629" t="str">
            <v>29</v>
          </cell>
          <cell r="J1629" t="str">
            <v>MPC</v>
          </cell>
          <cell r="K1629" t="str">
            <v>2909</v>
          </cell>
          <cell r="L1629" t="str">
            <v>GO FAST</v>
          </cell>
          <cell r="M1629" t="str">
            <v>290901</v>
          </cell>
          <cell r="N1629" t="str">
            <v>GO FAST RMX</v>
          </cell>
        </row>
        <row r="1630">
          <cell r="C1630" t="str">
            <v>100005938</v>
          </cell>
          <cell r="D1630" t="str">
            <v>A-1000 143-4 SILVER THORNE MAX-0.9L</v>
          </cell>
          <cell r="E1630" t="str">
            <v>ZFGD</v>
          </cell>
          <cell r="F1630" t="str">
            <v>PC</v>
          </cell>
          <cell r="G1630" t="str">
            <v>2</v>
          </cell>
          <cell r="H1630" t="str">
            <v>RETAIL</v>
          </cell>
          <cell r="I1630" t="str">
            <v>29</v>
          </cell>
          <cell r="J1630" t="str">
            <v>MPC</v>
          </cell>
          <cell r="K1630" t="str">
            <v>2909</v>
          </cell>
          <cell r="L1630" t="str">
            <v>GO FAST</v>
          </cell>
          <cell r="M1630" t="str">
            <v>290901</v>
          </cell>
          <cell r="N1630" t="str">
            <v>GO FAST RMX</v>
          </cell>
        </row>
        <row r="1631">
          <cell r="C1631" t="str">
            <v>100005987</v>
          </cell>
          <cell r="D1631" t="str">
            <v>UPR-960 YL 144 CHROMATELLA-20KP</v>
          </cell>
          <cell r="E1631" t="str">
            <v>ZFGD</v>
          </cell>
          <cell r="F1631" t="str">
            <v>PC</v>
          </cell>
          <cell r="G1631" t="str">
            <v>2</v>
          </cell>
          <cell r="H1631" t="str">
            <v>RETAIL</v>
          </cell>
          <cell r="I1631" t="str">
            <v>2D</v>
          </cell>
          <cell r="J1631" t="str">
            <v>APCT2</v>
          </cell>
          <cell r="K1631" t="str">
            <v>2D01</v>
          </cell>
          <cell r="L1631" t="str">
            <v>ULTRAPROOF</v>
          </cell>
          <cell r="M1631" t="str">
            <v>2D0101</v>
          </cell>
          <cell r="N1631" t="str">
            <v>ULTRAPROOF RMX</v>
          </cell>
        </row>
        <row r="1632">
          <cell r="C1632" t="str">
            <v>100005988</v>
          </cell>
          <cell r="D1632" t="str">
            <v>UPR-960 YL 454 SOLEIL-20KP</v>
          </cell>
          <cell r="E1632" t="str">
            <v>ZFGD</v>
          </cell>
          <cell r="F1632" t="str">
            <v>PC</v>
          </cell>
          <cell r="G1632" t="str">
            <v>2</v>
          </cell>
          <cell r="H1632" t="str">
            <v>RETAIL</v>
          </cell>
          <cell r="I1632" t="str">
            <v>2D</v>
          </cell>
          <cell r="J1632" t="str">
            <v>APCT2</v>
          </cell>
          <cell r="K1632" t="str">
            <v>2D01</v>
          </cell>
          <cell r="L1632" t="str">
            <v>ULTRAPROOF</v>
          </cell>
          <cell r="M1632" t="str">
            <v>2D0101</v>
          </cell>
          <cell r="N1632" t="str">
            <v>ULTRAPROOF RMX</v>
          </cell>
        </row>
        <row r="1633">
          <cell r="C1633" t="str">
            <v>100006001</v>
          </cell>
          <cell r="D1633" t="str">
            <v>A-1000 OW 003 COTTON SHEETS MAX-20LP</v>
          </cell>
          <cell r="E1633" t="str">
            <v>ZFGD</v>
          </cell>
          <cell r="F1633" t="str">
            <v>PC</v>
          </cell>
          <cell r="G1633" t="str">
            <v>2</v>
          </cell>
          <cell r="H1633" t="str">
            <v>RETAIL</v>
          </cell>
          <cell r="I1633" t="str">
            <v>29</v>
          </cell>
          <cell r="J1633" t="str">
            <v>MPC</v>
          </cell>
          <cell r="K1633" t="str">
            <v>2909</v>
          </cell>
          <cell r="L1633" t="str">
            <v>GO FAST</v>
          </cell>
          <cell r="M1633" t="str">
            <v>290901</v>
          </cell>
          <cell r="N1633" t="str">
            <v>GO FAST RMX</v>
          </cell>
        </row>
        <row r="1634">
          <cell r="C1634" t="str">
            <v>100006021</v>
          </cell>
          <cell r="D1634" t="str">
            <v>A-1000 RIVER BLUE 5413 MAX-0.9L</v>
          </cell>
          <cell r="E1634" t="str">
            <v>ZFGD</v>
          </cell>
          <cell r="F1634" t="str">
            <v>PC</v>
          </cell>
          <cell r="G1634" t="str">
            <v>2</v>
          </cell>
          <cell r="H1634" t="str">
            <v>RETAIL</v>
          </cell>
          <cell r="I1634" t="str">
            <v>29</v>
          </cell>
          <cell r="J1634" t="str">
            <v>MPC</v>
          </cell>
          <cell r="K1634" t="str">
            <v>2909</v>
          </cell>
          <cell r="L1634" t="str">
            <v>GO FAST</v>
          </cell>
          <cell r="M1634" t="str">
            <v>290901</v>
          </cell>
          <cell r="N1634" t="str">
            <v>GO FAST RMX</v>
          </cell>
        </row>
        <row r="1635">
          <cell r="C1635" t="str">
            <v>100006022</v>
          </cell>
          <cell r="D1635" t="str">
            <v>A-1000 DOF OW 003 COTTON SHEETS MAX-20LP</v>
          </cell>
          <cell r="E1635" t="str">
            <v>ZFGD</v>
          </cell>
          <cell r="F1635" t="str">
            <v>PC</v>
          </cell>
          <cell r="G1635" t="str">
            <v>2</v>
          </cell>
          <cell r="H1635" t="str">
            <v>RETAIL</v>
          </cell>
          <cell r="I1635" t="str">
            <v>29</v>
          </cell>
          <cell r="J1635" t="str">
            <v>MPC</v>
          </cell>
          <cell r="K1635" t="str">
            <v>2909</v>
          </cell>
          <cell r="L1635" t="str">
            <v>GO FAST</v>
          </cell>
          <cell r="M1635" t="str">
            <v>290901</v>
          </cell>
          <cell r="N1635" t="str">
            <v>GO FAST RMX</v>
          </cell>
        </row>
        <row r="1636">
          <cell r="C1636" t="str">
            <v>100006036</v>
          </cell>
          <cell r="D1636" t="str">
            <v>A-1000 BL 966 BLUE BOLT MAX -20LP</v>
          </cell>
          <cell r="E1636" t="str">
            <v>ZFGD</v>
          </cell>
          <cell r="F1636" t="str">
            <v>PC</v>
          </cell>
          <cell r="G1636" t="str">
            <v>2</v>
          </cell>
          <cell r="H1636" t="str">
            <v>RETAIL</v>
          </cell>
          <cell r="I1636" t="str">
            <v>29</v>
          </cell>
          <cell r="J1636" t="str">
            <v>MPC</v>
          </cell>
          <cell r="K1636" t="str">
            <v>2909</v>
          </cell>
          <cell r="L1636" t="str">
            <v>GO FAST</v>
          </cell>
          <cell r="M1636" t="str">
            <v>290901</v>
          </cell>
          <cell r="N1636" t="str">
            <v>GO FAST RMX</v>
          </cell>
        </row>
        <row r="1637">
          <cell r="C1637" t="str">
            <v>100006047</v>
          </cell>
          <cell r="D1637" t="str">
            <v>A-1000 BL 971 BLAZER BLUE MAX-20LP</v>
          </cell>
          <cell r="E1637" t="str">
            <v>ZFGD</v>
          </cell>
          <cell r="F1637" t="str">
            <v>PC</v>
          </cell>
          <cell r="G1637" t="str">
            <v>2</v>
          </cell>
          <cell r="H1637" t="str">
            <v>RETAIL</v>
          </cell>
          <cell r="I1637" t="str">
            <v>29</v>
          </cell>
          <cell r="J1637" t="str">
            <v>MPC</v>
          </cell>
          <cell r="K1637" t="str">
            <v>2909</v>
          </cell>
          <cell r="L1637" t="str">
            <v>GO FAST</v>
          </cell>
          <cell r="M1637" t="str">
            <v>290901</v>
          </cell>
          <cell r="N1637" t="str">
            <v>GO FAST RMX</v>
          </cell>
        </row>
        <row r="1638">
          <cell r="C1638" t="str">
            <v>100006080</v>
          </cell>
          <cell r="D1638" t="str">
            <v>UPR-960 SUNKISS 0046 VN-1K</v>
          </cell>
          <cell r="E1638" t="str">
            <v>ZFGD</v>
          </cell>
          <cell r="F1638" t="str">
            <v>PC</v>
          </cell>
          <cell r="G1638" t="str">
            <v>2</v>
          </cell>
          <cell r="H1638" t="str">
            <v>RETAIL</v>
          </cell>
          <cell r="I1638" t="str">
            <v>2D</v>
          </cell>
          <cell r="J1638" t="str">
            <v>APCT2</v>
          </cell>
          <cell r="K1638" t="str">
            <v>2D01</v>
          </cell>
          <cell r="L1638" t="str">
            <v>ULTRAPROOF</v>
          </cell>
          <cell r="M1638" t="str">
            <v>2D0101</v>
          </cell>
          <cell r="N1638" t="str">
            <v>ULTRAPROOF RMX</v>
          </cell>
        </row>
        <row r="1639">
          <cell r="C1639" t="str">
            <v>100006081</v>
          </cell>
          <cell r="D1639" t="str">
            <v>DI-400 087-5 YELLOW ROSE-18LP</v>
          </cell>
          <cell r="E1639" t="str">
            <v>ZFGD</v>
          </cell>
          <cell r="F1639" t="str">
            <v>PC</v>
          </cell>
          <cell r="G1639" t="str">
            <v>2</v>
          </cell>
          <cell r="H1639" t="str">
            <v>RETAIL</v>
          </cell>
          <cell r="I1639" t="str">
            <v>25</v>
          </cell>
          <cell r="J1639" t="str">
            <v>APCT1</v>
          </cell>
          <cell r="K1639" t="str">
            <v>2502</v>
          </cell>
          <cell r="L1639" t="str">
            <v>DECOR</v>
          </cell>
          <cell r="M1639" t="str">
            <v>250221</v>
          </cell>
          <cell r="N1639" t="str">
            <v>DECORCRYL BASE</v>
          </cell>
        </row>
        <row r="1640">
          <cell r="C1640" t="str">
            <v>100006137</v>
          </cell>
          <cell r="D1640" t="str">
            <v>UFM-930 LIGHT GREY VN-20KP</v>
          </cell>
          <cell r="E1640" t="str">
            <v>ZFGD</v>
          </cell>
          <cell r="F1640" t="str">
            <v>PC</v>
          </cell>
          <cell r="G1640" t="str">
            <v>5</v>
          </cell>
          <cell r="H1640" t="str">
            <v>PROJECT</v>
          </cell>
          <cell r="I1640" t="str">
            <v>57</v>
          </cell>
          <cell r="J1640" t="str">
            <v>CPC2</v>
          </cell>
          <cell r="K1640" t="str">
            <v>5701</v>
          </cell>
          <cell r="L1640" t="str">
            <v>WATERPROOFING</v>
          </cell>
          <cell r="M1640" t="str">
            <v>570107</v>
          </cell>
          <cell r="N1640" t="str">
            <v>ULTRAFLEX MEMBRANE</v>
          </cell>
        </row>
        <row r="1641">
          <cell r="C1641" t="str">
            <v>100006156</v>
          </cell>
          <cell r="D1641" t="str">
            <v>UPR-960 PASTEL GREY 8403 VN-6K</v>
          </cell>
          <cell r="E1641" t="str">
            <v>ZFGD</v>
          </cell>
          <cell r="F1641" t="str">
            <v>PC</v>
          </cell>
          <cell r="G1641" t="str">
            <v>2</v>
          </cell>
          <cell r="H1641" t="str">
            <v>RETAIL</v>
          </cell>
          <cell r="I1641" t="str">
            <v>2D</v>
          </cell>
          <cell r="J1641" t="str">
            <v>APCT2</v>
          </cell>
          <cell r="K1641" t="str">
            <v>2D01</v>
          </cell>
          <cell r="L1641" t="str">
            <v>ULTRAPROOF</v>
          </cell>
          <cell r="M1641" t="str">
            <v>2D0101</v>
          </cell>
          <cell r="N1641" t="str">
            <v>ULTRAPROOF RMX</v>
          </cell>
        </row>
        <row r="1642">
          <cell r="C1642" t="str">
            <v>100006172</v>
          </cell>
          <cell r="D1642" t="str">
            <v>DW-500 NT 675 NATURAL WHISPER VN-18LP</v>
          </cell>
          <cell r="E1642" t="str">
            <v>ZFGD</v>
          </cell>
          <cell r="F1642" t="str">
            <v>PC</v>
          </cell>
          <cell r="G1642" t="str">
            <v>2</v>
          </cell>
          <cell r="H1642" t="str">
            <v>RETAIL</v>
          </cell>
          <cell r="I1642" t="str">
            <v>25</v>
          </cell>
          <cell r="J1642" t="str">
            <v>APCT1</v>
          </cell>
          <cell r="K1642" t="str">
            <v>2502</v>
          </cell>
          <cell r="L1642" t="str">
            <v>DECOR</v>
          </cell>
          <cell r="M1642" t="str">
            <v>250203</v>
          </cell>
          <cell r="N1642" t="str">
            <v>DECORSHIELD RMX</v>
          </cell>
        </row>
        <row r="1643">
          <cell r="C1643" t="str">
            <v>100006175</v>
          </cell>
          <cell r="D1643" t="str">
            <v>UFM-930 RAL 6017 MAY GREEN-4K</v>
          </cell>
          <cell r="E1643" t="str">
            <v>ZFGD</v>
          </cell>
          <cell r="F1643" t="str">
            <v>PC</v>
          </cell>
          <cell r="G1643" t="str">
            <v>5</v>
          </cell>
          <cell r="H1643" t="str">
            <v>PROJECT</v>
          </cell>
          <cell r="I1643" t="str">
            <v>57</v>
          </cell>
          <cell r="J1643" t="str">
            <v>CPC2</v>
          </cell>
          <cell r="K1643" t="str">
            <v>5706</v>
          </cell>
          <cell r="L1643" t="str">
            <v>ULTRAFLEX</v>
          </cell>
          <cell r="M1643" t="str">
            <v>570602</v>
          </cell>
          <cell r="N1643" t="str">
            <v>ULTRAFLEX MEMBRANE</v>
          </cell>
        </row>
        <row r="1644">
          <cell r="C1644" t="str">
            <v>100006190</v>
          </cell>
          <cell r="D1644" t="str">
            <v>UPR-960 RD 895 FLAMING SWORD-20KP</v>
          </cell>
          <cell r="E1644" t="str">
            <v>ZFGD</v>
          </cell>
          <cell r="F1644" t="str">
            <v>PC</v>
          </cell>
          <cell r="G1644" t="str">
            <v>2</v>
          </cell>
          <cell r="H1644" t="str">
            <v>RETAIL</v>
          </cell>
          <cell r="I1644" t="str">
            <v>2D</v>
          </cell>
          <cell r="J1644" t="str">
            <v>APCT2</v>
          </cell>
          <cell r="K1644" t="str">
            <v>2D01</v>
          </cell>
          <cell r="L1644" t="str">
            <v>ULTRAPROOF</v>
          </cell>
          <cell r="M1644" t="str">
            <v>2D0101</v>
          </cell>
          <cell r="N1644" t="str">
            <v>ULTRAPROOF RMX</v>
          </cell>
        </row>
        <row r="1645">
          <cell r="C1645" t="str">
            <v>100006208</v>
          </cell>
          <cell r="D1645" t="str">
            <v>U-PROOF U-93 LIGHT GREY VN-6K</v>
          </cell>
          <cell r="E1645" t="str">
            <v>ZFGD</v>
          </cell>
          <cell r="F1645" t="str">
            <v>PC</v>
          </cell>
          <cell r="G1645" t="str">
            <v>2</v>
          </cell>
          <cell r="H1645" t="str">
            <v>RETAIL</v>
          </cell>
          <cell r="I1645" t="str">
            <v>2D</v>
          </cell>
          <cell r="J1645" t="str">
            <v>APCT2</v>
          </cell>
          <cell r="K1645" t="str">
            <v>2D02</v>
          </cell>
          <cell r="L1645" t="str">
            <v>U-PROOF</v>
          </cell>
          <cell r="M1645" t="str">
            <v>2D0201</v>
          </cell>
          <cell r="N1645" t="str">
            <v>U-PROOF</v>
          </cell>
        </row>
        <row r="1646">
          <cell r="C1646" t="str">
            <v>100006214</v>
          </cell>
          <cell r="D1646" t="str">
            <v>UPR-960 031-6 BOY SCOUT BLUE-20KP</v>
          </cell>
          <cell r="E1646" t="str">
            <v>ZFGD</v>
          </cell>
          <cell r="F1646" t="str">
            <v>PC</v>
          </cell>
          <cell r="G1646" t="str">
            <v>2</v>
          </cell>
          <cell r="H1646" t="str">
            <v>RETAIL</v>
          </cell>
          <cell r="I1646" t="str">
            <v>2D</v>
          </cell>
          <cell r="J1646" t="str">
            <v>APCT2</v>
          </cell>
          <cell r="K1646" t="str">
            <v>2D01</v>
          </cell>
          <cell r="L1646" t="str">
            <v>ULTRAPROOF</v>
          </cell>
          <cell r="M1646" t="str">
            <v>2D0101</v>
          </cell>
          <cell r="N1646" t="str">
            <v>ULTRAPROOF RMX</v>
          </cell>
        </row>
        <row r="1647">
          <cell r="C1647" t="str">
            <v>100006229</v>
          </cell>
          <cell r="D1647" t="str">
            <v>PUSS-720 LOT PU DM 2K VN-200KB</v>
          </cell>
          <cell r="E1647" t="str">
            <v>ZFGD</v>
          </cell>
          <cell r="F1647" t="str">
            <v>PC</v>
          </cell>
          <cell r="G1647" t="str">
            <v>2</v>
          </cell>
          <cell r="H1647" t="str">
            <v>RETAIL</v>
          </cell>
          <cell r="I1647" t="str">
            <v>22</v>
          </cell>
          <cell r="J1647" t="str">
            <v>WF2</v>
          </cell>
          <cell r="K1647" t="str">
            <v>2201</v>
          </cell>
          <cell r="L1647" t="str">
            <v>PU COATING</v>
          </cell>
          <cell r="M1647" t="str">
            <v>220117</v>
          </cell>
          <cell r="N1647" t="str">
            <v>PROPAN PU</v>
          </cell>
        </row>
        <row r="1648">
          <cell r="C1648" t="str">
            <v>100006241</v>
          </cell>
          <cell r="D1648" t="str">
            <v>HARDENER MX-94 VC VN-1K</v>
          </cell>
          <cell r="E1648" t="str">
            <v>ZFGD</v>
          </cell>
          <cell r="F1648" t="str">
            <v>PC</v>
          </cell>
          <cell r="G1648" t="str">
            <v>5</v>
          </cell>
          <cell r="H1648" t="str">
            <v>PROJECT</v>
          </cell>
          <cell r="I1648" t="str">
            <v>56</v>
          </cell>
          <cell r="J1648" t="str">
            <v>CPC1</v>
          </cell>
          <cell r="K1648" t="str">
            <v>5603</v>
          </cell>
          <cell r="L1648" t="str">
            <v>MULTIPOX</v>
          </cell>
          <cell r="M1648" t="str">
            <v>560301</v>
          </cell>
          <cell r="N1648" t="str">
            <v>MULTIPOX</v>
          </cell>
        </row>
        <row r="1649">
          <cell r="C1649" t="str">
            <v>100006242</v>
          </cell>
          <cell r="D1649" t="str">
            <v>HARDENER MX-94 VC VN-4K</v>
          </cell>
          <cell r="E1649" t="str">
            <v>ZFGD</v>
          </cell>
          <cell r="F1649" t="str">
            <v>PC</v>
          </cell>
          <cell r="G1649" t="str">
            <v>5</v>
          </cell>
          <cell r="H1649" t="str">
            <v>PROJECT</v>
          </cell>
          <cell r="I1649" t="str">
            <v>56</v>
          </cell>
          <cell r="J1649" t="str">
            <v>CPC1</v>
          </cell>
          <cell r="K1649" t="str">
            <v>5603</v>
          </cell>
          <cell r="L1649" t="str">
            <v>MULTIPOX</v>
          </cell>
          <cell r="M1649" t="str">
            <v>560301</v>
          </cell>
          <cell r="N1649" t="str">
            <v>MULTIPOX</v>
          </cell>
        </row>
        <row r="1650">
          <cell r="C1650" t="str">
            <v>100006253</v>
          </cell>
          <cell r="D1650" t="str">
            <v>A-1000 NT 809 RAND MOON MAX-0.9L</v>
          </cell>
          <cell r="E1650" t="str">
            <v>ZFGD</v>
          </cell>
          <cell r="F1650" t="str">
            <v>PC</v>
          </cell>
          <cell r="G1650" t="str">
            <v>2</v>
          </cell>
          <cell r="H1650" t="str">
            <v>RETAIL</v>
          </cell>
          <cell r="I1650" t="str">
            <v>29</v>
          </cell>
          <cell r="J1650" t="str">
            <v>MPC</v>
          </cell>
          <cell r="K1650" t="str">
            <v>2909</v>
          </cell>
          <cell r="L1650" t="str">
            <v>GO FAST</v>
          </cell>
          <cell r="M1650" t="str">
            <v>290901</v>
          </cell>
          <cell r="N1650" t="str">
            <v>GO FAST RMX</v>
          </cell>
        </row>
        <row r="1651">
          <cell r="C1651" t="str">
            <v>100006254</v>
          </cell>
          <cell r="D1651" t="str">
            <v>UPR-960 100-2 KAREN CREAM -20KP</v>
          </cell>
          <cell r="E1651" t="str">
            <v>ZFGD</v>
          </cell>
          <cell r="F1651" t="str">
            <v>PC</v>
          </cell>
          <cell r="G1651" t="str">
            <v>2</v>
          </cell>
          <cell r="H1651" t="str">
            <v>RETAIL</v>
          </cell>
          <cell r="I1651" t="str">
            <v>2D</v>
          </cell>
          <cell r="J1651" t="str">
            <v>APCT2</v>
          </cell>
          <cell r="K1651" t="str">
            <v>2D01</v>
          </cell>
          <cell r="L1651" t="str">
            <v>ULTRAPROOF</v>
          </cell>
          <cell r="M1651" t="str">
            <v>2D0101</v>
          </cell>
          <cell r="N1651" t="str">
            <v>ULTRAPROOF RMX</v>
          </cell>
        </row>
        <row r="1652">
          <cell r="C1652" t="str">
            <v>100006283</v>
          </cell>
          <cell r="D1652" t="str">
            <v>UPR-960 PRIME GREY 0044 VN-6K</v>
          </cell>
          <cell r="E1652" t="str">
            <v>ZFGD</v>
          </cell>
          <cell r="F1652" t="str">
            <v>PC</v>
          </cell>
          <cell r="G1652" t="str">
            <v>2</v>
          </cell>
          <cell r="H1652" t="str">
            <v>RETAIL</v>
          </cell>
          <cell r="I1652" t="str">
            <v>2D</v>
          </cell>
          <cell r="J1652" t="str">
            <v>APCT2</v>
          </cell>
          <cell r="K1652" t="str">
            <v>2D01</v>
          </cell>
          <cell r="L1652" t="str">
            <v>ULTRAPROOF</v>
          </cell>
          <cell r="M1652" t="str">
            <v>2D0101</v>
          </cell>
          <cell r="N1652" t="str">
            <v>ULTRAPROOF RMX</v>
          </cell>
        </row>
        <row r="1653">
          <cell r="C1653" t="str">
            <v>100006284</v>
          </cell>
          <cell r="D1653" t="str">
            <v>UFM-930 BASE A VN-20KP</v>
          </cell>
          <cell r="E1653" t="str">
            <v>ZFGD</v>
          </cell>
          <cell r="F1653" t="str">
            <v>PC</v>
          </cell>
          <cell r="G1653" t="str">
            <v>5</v>
          </cell>
          <cell r="H1653" t="str">
            <v>PROJECT</v>
          </cell>
          <cell r="I1653" t="str">
            <v>57</v>
          </cell>
          <cell r="J1653" t="str">
            <v>CPC2</v>
          </cell>
          <cell r="K1653" t="str">
            <v>5701</v>
          </cell>
          <cell r="L1653" t="str">
            <v>WATERPROOFING</v>
          </cell>
          <cell r="M1653" t="str">
            <v>570107</v>
          </cell>
          <cell r="N1653" t="str">
            <v>ULTRAFLEX MEMBRANE</v>
          </cell>
        </row>
        <row r="1654">
          <cell r="C1654" t="str">
            <v>100006285</v>
          </cell>
          <cell r="D1654" t="str">
            <v>UFM-930 BASE A VN-6K</v>
          </cell>
          <cell r="E1654" t="str">
            <v>ZFGD</v>
          </cell>
          <cell r="F1654" t="str">
            <v>PC</v>
          </cell>
          <cell r="G1654" t="str">
            <v>5</v>
          </cell>
          <cell r="H1654" t="str">
            <v>PROJECT</v>
          </cell>
          <cell r="I1654" t="str">
            <v>57</v>
          </cell>
          <cell r="J1654" t="str">
            <v>CPC2</v>
          </cell>
          <cell r="K1654" t="str">
            <v>5701</v>
          </cell>
          <cell r="L1654" t="str">
            <v>WATERPROOFING</v>
          </cell>
          <cell r="M1654" t="str">
            <v>570107</v>
          </cell>
          <cell r="N1654" t="str">
            <v>ULTRAFLEX MEMBRANE</v>
          </cell>
        </row>
        <row r="1655">
          <cell r="C1655" t="str">
            <v>100006286</v>
          </cell>
          <cell r="D1655" t="str">
            <v>UFM-930 BASE A VN-1K</v>
          </cell>
          <cell r="E1655" t="str">
            <v>ZFGD</v>
          </cell>
          <cell r="F1655" t="str">
            <v>PC</v>
          </cell>
          <cell r="G1655" t="str">
            <v>5</v>
          </cell>
          <cell r="H1655" t="str">
            <v>PROJECT</v>
          </cell>
          <cell r="I1655" t="str">
            <v>57</v>
          </cell>
          <cell r="J1655" t="str">
            <v>CPC2</v>
          </cell>
          <cell r="K1655" t="str">
            <v>5701</v>
          </cell>
          <cell r="L1655" t="str">
            <v>WATERPROOFING</v>
          </cell>
          <cell r="M1655" t="str">
            <v>570107</v>
          </cell>
          <cell r="N1655" t="str">
            <v>ULTRAFLEX MEMBRANE</v>
          </cell>
        </row>
        <row r="1656">
          <cell r="C1656" t="str">
            <v>100006287</v>
          </cell>
          <cell r="D1656" t="str">
            <v>UFM-930 BASE D VN-20KP</v>
          </cell>
          <cell r="E1656" t="str">
            <v>ZFGD</v>
          </cell>
          <cell r="F1656" t="str">
            <v>PC</v>
          </cell>
          <cell r="G1656" t="str">
            <v>5</v>
          </cell>
          <cell r="H1656" t="str">
            <v>PROJECT</v>
          </cell>
          <cell r="I1656" t="str">
            <v>57</v>
          </cell>
          <cell r="J1656" t="str">
            <v>CPC2</v>
          </cell>
          <cell r="K1656" t="str">
            <v>5701</v>
          </cell>
          <cell r="L1656" t="str">
            <v>WATERPROOFING</v>
          </cell>
          <cell r="M1656" t="str">
            <v>570107</v>
          </cell>
          <cell r="N1656" t="str">
            <v>ULTRAFLEX MEMBRANE</v>
          </cell>
        </row>
        <row r="1657">
          <cell r="C1657" t="str">
            <v>100006288</v>
          </cell>
          <cell r="D1657" t="str">
            <v>UFM-930 BASE D VN-6K</v>
          </cell>
          <cell r="E1657" t="str">
            <v>ZFGD</v>
          </cell>
          <cell r="F1657" t="str">
            <v>PC</v>
          </cell>
          <cell r="G1657" t="str">
            <v>5</v>
          </cell>
          <cell r="H1657" t="str">
            <v>PROJECT</v>
          </cell>
          <cell r="I1657" t="str">
            <v>57</v>
          </cell>
          <cell r="J1657" t="str">
            <v>CPC2</v>
          </cell>
          <cell r="K1657" t="str">
            <v>5701</v>
          </cell>
          <cell r="L1657" t="str">
            <v>WATERPROOFING</v>
          </cell>
          <cell r="M1657" t="str">
            <v>570107</v>
          </cell>
          <cell r="N1657" t="str">
            <v>ULTRAFLEX MEMBRANE</v>
          </cell>
        </row>
        <row r="1658">
          <cell r="C1658" t="str">
            <v>100006289</v>
          </cell>
          <cell r="D1658" t="str">
            <v>UFM-930 BASE D VN-1K</v>
          </cell>
          <cell r="E1658" t="str">
            <v>ZFGD</v>
          </cell>
          <cell r="F1658" t="str">
            <v>PC</v>
          </cell>
          <cell r="G1658" t="str">
            <v>5</v>
          </cell>
          <cell r="H1658" t="str">
            <v>PROJECT</v>
          </cell>
          <cell r="I1658" t="str">
            <v>57</v>
          </cell>
          <cell r="J1658" t="str">
            <v>CPC2</v>
          </cell>
          <cell r="K1658" t="str">
            <v>5701</v>
          </cell>
          <cell r="L1658" t="str">
            <v>WATERPROOFING</v>
          </cell>
          <cell r="M1658" t="str">
            <v>570107</v>
          </cell>
          <cell r="N1658" t="str">
            <v>ULTRAFLEX MEMBRANE</v>
          </cell>
        </row>
        <row r="1659">
          <cell r="C1659" t="str">
            <v>100006290</v>
          </cell>
          <cell r="D1659" t="str">
            <v>UFM-930 WHITE VN-20KP</v>
          </cell>
          <cell r="E1659" t="str">
            <v>ZFGD</v>
          </cell>
          <cell r="F1659" t="str">
            <v>PC</v>
          </cell>
          <cell r="G1659" t="str">
            <v>5</v>
          </cell>
          <cell r="H1659" t="str">
            <v>PROJECT</v>
          </cell>
          <cell r="I1659" t="str">
            <v>57</v>
          </cell>
          <cell r="J1659" t="str">
            <v>CPC2</v>
          </cell>
          <cell r="K1659" t="str">
            <v>5701</v>
          </cell>
          <cell r="L1659" t="str">
            <v>WATERPROOFING</v>
          </cell>
          <cell r="M1659" t="str">
            <v>570107</v>
          </cell>
          <cell r="N1659" t="str">
            <v>ULTRAFLEX MEMBRANE</v>
          </cell>
        </row>
        <row r="1660">
          <cell r="C1660" t="str">
            <v>100006291</v>
          </cell>
          <cell r="D1660" t="str">
            <v>UFM-930 WHITE VN-6K</v>
          </cell>
          <cell r="E1660" t="str">
            <v>ZFGD</v>
          </cell>
          <cell r="F1660" t="str">
            <v>PC</v>
          </cell>
          <cell r="G1660" t="str">
            <v>5</v>
          </cell>
          <cell r="H1660" t="str">
            <v>PROJECT</v>
          </cell>
          <cell r="I1660" t="str">
            <v>57</v>
          </cell>
          <cell r="J1660" t="str">
            <v>CPC2</v>
          </cell>
          <cell r="K1660" t="str">
            <v>5701</v>
          </cell>
          <cell r="L1660" t="str">
            <v>WATERPROOFING</v>
          </cell>
          <cell r="M1660" t="str">
            <v>570107</v>
          </cell>
          <cell r="N1660" t="str">
            <v>ULTRAFLEX MEMBRANE</v>
          </cell>
        </row>
        <row r="1661">
          <cell r="C1661" t="str">
            <v>100006292</v>
          </cell>
          <cell r="D1661" t="str">
            <v>UFM-930 WHITE VN-1K</v>
          </cell>
          <cell r="E1661" t="str">
            <v>ZFGD</v>
          </cell>
          <cell r="F1661" t="str">
            <v>PC</v>
          </cell>
          <cell r="G1661" t="str">
            <v>5</v>
          </cell>
          <cell r="H1661" t="str">
            <v>PROJECT</v>
          </cell>
          <cell r="I1661" t="str">
            <v>57</v>
          </cell>
          <cell r="J1661" t="str">
            <v>CPC2</v>
          </cell>
          <cell r="K1661" t="str">
            <v>5701</v>
          </cell>
          <cell r="L1661" t="str">
            <v>WATERPROOFING</v>
          </cell>
          <cell r="M1661" t="str">
            <v>570107</v>
          </cell>
          <cell r="N1661" t="str">
            <v>ULTRAFLEX MEMBRANE</v>
          </cell>
        </row>
        <row r="1662">
          <cell r="C1662" t="str">
            <v>100006355</v>
          </cell>
          <cell r="D1662" t="str">
            <v>UFM-930 RAL 9001 CREAM-20KP</v>
          </cell>
          <cell r="E1662" t="str">
            <v>ZFGD</v>
          </cell>
          <cell r="F1662" t="str">
            <v>PC</v>
          </cell>
          <cell r="G1662" t="str">
            <v>5</v>
          </cell>
          <cell r="H1662" t="str">
            <v>PROJECT</v>
          </cell>
          <cell r="I1662" t="str">
            <v>57</v>
          </cell>
          <cell r="J1662" t="str">
            <v>CPC2</v>
          </cell>
          <cell r="K1662" t="str">
            <v>5706</v>
          </cell>
          <cell r="L1662" t="str">
            <v>ULTRAFLEX</v>
          </cell>
          <cell r="M1662" t="str">
            <v>570602</v>
          </cell>
          <cell r="N1662" t="str">
            <v>ULTRAFLEX MEMBRANE</v>
          </cell>
        </row>
        <row r="1663">
          <cell r="C1663" t="str">
            <v>100006363</v>
          </cell>
          <cell r="D1663" t="str">
            <v>THINNER PU-306 VN-30LJ</v>
          </cell>
          <cell r="E1663" t="str">
            <v>ZFGD</v>
          </cell>
          <cell r="F1663" t="str">
            <v>PC</v>
          </cell>
          <cell r="G1663" t="str">
            <v>2</v>
          </cell>
          <cell r="H1663" t="str">
            <v>RETAIL</v>
          </cell>
          <cell r="I1663" t="str">
            <v>22</v>
          </cell>
          <cell r="J1663" t="str">
            <v>WF2</v>
          </cell>
          <cell r="K1663" t="str">
            <v>2203</v>
          </cell>
          <cell r="L1663" t="str">
            <v>THINNER PU</v>
          </cell>
          <cell r="M1663" t="str">
            <v>220303</v>
          </cell>
          <cell r="N1663" t="str">
            <v>THINNER PU R</v>
          </cell>
        </row>
        <row r="1664">
          <cell r="C1664" t="str">
            <v>100006364</v>
          </cell>
          <cell r="D1664" t="str">
            <v>THINNER PU-306 VN-200LK</v>
          </cell>
          <cell r="E1664" t="str">
            <v>ZFGD</v>
          </cell>
          <cell r="F1664" t="str">
            <v>PC</v>
          </cell>
          <cell r="G1664" t="str">
            <v>2</v>
          </cell>
          <cell r="H1664" t="str">
            <v>RETAIL</v>
          </cell>
          <cell r="I1664" t="str">
            <v>22</v>
          </cell>
          <cell r="J1664" t="str">
            <v>WF2</v>
          </cell>
          <cell r="K1664" t="str">
            <v>2203</v>
          </cell>
          <cell r="L1664" t="str">
            <v>THINNER PU</v>
          </cell>
          <cell r="M1664" t="str">
            <v>220303</v>
          </cell>
          <cell r="N1664" t="str">
            <v>THINNER PU R</v>
          </cell>
        </row>
        <row r="1665">
          <cell r="C1665" t="str">
            <v>100006367</v>
          </cell>
          <cell r="D1665" t="str">
            <v>UPR-960 NT 830 GARGOYLE DM-20KP</v>
          </cell>
          <cell r="E1665" t="str">
            <v>ZFGD</v>
          </cell>
          <cell r="F1665" t="str">
            <v>PC</v>
          </cell>
          <cell r="G1665" t="str">
            <v>2</v>
          </cell>
          <cell r="H1665" t="str">
            <v>RETAIL</v>
          </cell>
          <cell r="I1665" t="str">
            <v>2D</v>
          </cell>
          <cell r="J1665" t="str">
            <v>APCT2</v>
          </cell>
          <cell r="K1665" t="str">
            <v>2D01</v>
          </cell>
          <cell r="L1665" t="str">
            <v>ULTRAPROOF</v>
          </cell>
          <cell r="M1665" t="str">
            <v>2D0101</v>
          </cell>
          <cell r="N1665" t="str">
            <v>ULTRAPROOF RMX</v>
          </cell>
        </row>
        <row r="1666">
          <cell r="C1666" t="str">
            <v>100006368</v>
          </cell>
          <cell r="D1666" t="str">
            <v>UPR-960 NT 830 GARGOYLE-20KP</v>
          </cell>
          <cell r="E1666" t="str">
            <v>ZFGD</v>
          </cell>
          <cell r="F1666" t="str">
            <v>PC</v>
          </cell>
          <cell r="G1666" t="str">
            <v>2</v>
          </cell>
          <cell r="H1666" t="str">
            <v>RETAIL</v>
          </cell>
          <cell r="I1666" t="str">
            <v>2D</v>
          </cell>
          <cell r="J1666" t="str">
            <v>APCT2</v>
          </cell>
          <cell r="K1666" t="str">
            <v>2D01</v>
          </cell>
          <cell r="L1666" t="str">
            <v>ULTRAPROOF</v>
          </cell>
          <cell r="M1666" t="str">
            <v>2D0101</v>
          </cell>
          <cell r="N1666" t="str">
            <v>ULTRAPROOF RMX</v>
          </cell>
        </row>
        <row r="1667">
          <cell r="C1667" t="str">
            <v>100006413</v>
          </cell>
          <cell r="D1667" t="str">
            <v>U-PROOF U-93 048-3 MORNING DELIGHT-20KP</v>
          </cell>
          <cell r="E1667" t="str">
            <v>ZFGD</v>
          </cell>
          <cell r="F1667" t="str">
            <v>PC</v>
          </cell>
          <cell r="G1667" t="str">
            <v>2</v>
          </cell>
          <cell r="H1667" t="str">
            <v>RETAIL</v>
          </cell>
          <cell r="I1667" t="str">
            <v>2D</v>
          </cell>
          <cell r="J1667" t="str">
            <v>APCT2</v>
          </cell>
          <cell r="K1667" t="str">
            <v>2D02</v>
          </cell>
          <cell r="L1667" t="str">
            <v>U-PROOF</v>
          </cell>
          <cell r="M1667" t="str">
            <v>2D0201</v>
          </cell>
          <cell r="N1667" t="str">
            <v>U-PROOF</v>
          </cell>
        </row>
        <row r="1668">
          <cell r="C1668" t="str">
            <v>100006420</v>
          </cell>
          <cell r="D1668" t="str">
            <v>DP-4010 DEEP OASIS 5106-3.8L</v>
          </cell>
          <cell r="E1668" t="str">
            <v>ZFGD</v>
          </cell>
          <cell r="F1668" t="str">
            <v>PC</v>
          </cell>
          <cell r="G1668" t="str">
            <v>3</v>
          </cell>
          <cell r="H1668" t="str">
            <v>TRADING</v>
          </cell>
          <cell r="I1668" t="str">
            <v>38</v>
          </cell>
          <cell r="J1668" t="str">
            <v>ALKANA TRADING</v>
          </cell>
          <cell r="K1668" t="str">
            <v>3801</v>
          </cell>
          <cell r="L1668" t="str">
            <v>COATING</v>
          </cell>
          <cell r="M1668" t="str">
            <v>380101</v>
          </cell>
          <cell r="N1668" t="str">
            <v>DECOR PLAST</v>
          </cell>
        </row>
        <row r="1669">
          <cell r="C1669" t="str">
            <v>100006421</v>
          </cell>
          <cell r="D1669" t="str">
            <v>DP-4010 DEEP OASIS 5106-18LP</v>
          </cell>
          <cell r="E1669" t="str">
            <v>ZFGD</v>
          </cell>
          <cell r="F1669" t="str">
            <v>PC</v>
          </cell>
          <cell r="G1669" t="str">
            <v>3</v>
          </cell>
          <cell r="H1669" t="str">
            <v>TRADING</v>
          </cell>
          <cell r="I1669" t="str">
            <v>38</v>
          </cell>
          <cell r="J1669" t="str">
            <v>ALKANA TRADING</v>
          </cell>
          <cell r="K1669" t="str">
            <v>3801</v>
          </cell>
          <cell r="L1669" t="str">
            <v>COATING</v>
          </cell>
          <cell r="M1669" t="str">
            <v>380101</v>
          </cell>
          <cell r="N1669" t="str">
            <v>DECOR PLAST</v>
          </cell>
        </row>
        <row r="1670">
          <cell r="C1670" t="str">
            <v>100006447</v>
          </cell>
          <cell r="D1670" t="str">
            <v>EDL-601 TWILIGHT TEAK 8303 ID VN-4L</v>
          </cell>
          <cell r="E1670" t="str">
            <v>ZFGD</v>
          </cell>
          <cell r="F1670" t="str">
            <v>PC</v>
          </cell>
          <cell r="G1670" t="str">
            <v>2</v>
          </cell>
          <cell r="H1670" t="str">
            <v>RETAIL</v>
          </cell>
          <cell r="I1670" t="str">
            <v>24</v>
          </cell>
          <cell r="J1670" t="str">
            <v>WF3</v>
          </cell>
          <cell r="K1670" t="str">
            <v>2413</v>
          </cell>
          <cell r="L1670" t="str">
            <v>ULTRAN</v>
          </cell>
          <cell r="M1670" t="str">
            <v>241304</v>
          </cell>
          <cell r="N1670" t="str">
            <v>ULTRAN LASUR</v>
          </cell>
        </row>
        <row r="1671">
          <cell r="C1671" t="str">
            <v>100006495</v>
          </cell>
          <cell r="D1671" t="str">
            <v>UPR-960 PASTEL GREY 8403 VN-1K</v>
          </cell>
          <cell r="E1671" t="str">
            <v>ZFGD</v>
          </cell>
          <cell r="F1671" t="str">
            <v>PC</v>
          </cell>
          <cell r="G1671" t="str">
            <v>2</v>
          </cell>
          <cell r="H1671" t="str">
            <v>RETAIL</v>
          </cell>
          <cell r="I1671" t="str">
            <v>2D</v>
          </cell>
          <cell r="J1671" t="str">
            <v>APCT2</v>
          </cell>
          <cell r="K1671" t="str">
            <v>2D01</v>
          </cell>
          <cell r="L1671" t="str">
            <v>ULTRAPROOF</v>
          </cell>
          <cell r="M1671" t="str">
            <v>2D0101</v>
          </cell>
          <cell r="N1671" t="str">
            <v>ULTRAPROOF RMX</v>
          </cell>
        </row>
        <row r="1672">
          <cell r="C1672" t="str">
            <v>100006496</v>
          </cell>
          <cell r="D1672" t="str">
            <v>UFM-930 LIGHT GREY VN-1K</v>
          </cell>
          <cell r="E1672" t="str">
            <v>ZFGD</v>
          </cell>
          <cell r="F1672" t="str">
            <v>PC</v>
          </cell>
          <cell r="G1672" t="str">
            <v>5</v>
          </cell>
          <cell r="H1672" t="str">
            <v>PROJECT</v>
          </cell>
          <cell r="I1672" t="str">
            <v>57</v>
          </cell>
          <cell r="J1672" t="str">
            <v>CPC2</v>
          </cell>
          <cell r="K1672" t="str">
            <v>5701</v>
          </cell>
          <cell r="L1672" t="str">
            <v>WATERPROOFING</v>
          </cell>
          <cell r="M1672" t="str">
            <v>570107</v>
          </cell>
          <cell r="N1672" t="str">
            <v>ULTRAFLEX MEMBRANE</v>
          </cell>
        </row>
        <row r="1673">
          <cell r="C1673" t="str">
            <v>100006497</v>
          </cell>
          <cell r="D1673" t="str">
            <v>UFM-930 LIGHT GREY VN-6K</v>
          </cell>
          <cell r="E1673" t="str">
            <v>ZFGD</v>
          </cell>
          <cell r="F1673" t="str">
            <v>PC</v>
          </cell>
          <cell r="G1673" t="str">
            <v>5</v>
          </cell>
          <cell r="H1673" t="str">
            <v>PROJECT</v>
          </cell>
          <cell r="I1673" t="str">
            <v>57</v>
          </cell>
          <cell r="J1673" t="str">
            <v>CPC2</v>
          </cell>
          <cell r="K1673" t="str">
            <v>5701</v>
          </cell>
          <cell r="L1673" t="str">
            <v>WATERPROOFING</v>
          </cell>
          <cell r="M1673" t="str">
            <v>570107</v>
          </cell>
          <cell r="N1673" t="str">
            <v>ULTRAFLEX MEMBRANE</v>
          </cell>
        </row>
        <row r="1674">
          <cell r="C1674" t="str">
            <v>100006498</v>
          </cell>
          <cell r="D1674" t="str">
            <v>DI-400 087-5 YELLOW ROSE-5L</v>
          </cell>
          <cell r="E1674" t="str">
            <v>ZFGD</v>
          </cell>
          <cell r="F1674" t="str">
            <v>PC</v>
          </cell>
          <cell r="G1674" t="str">
            <v>2</v>
          </cell>
          <cell r="H1674" t="str">
            <v>RETAIL</v>
          </cell>
          <cell r="I1674" t="str">
            <v>25</v>
          </cell>
          <cell r="J1674" t="str">
            <v>APCT1</v>
          </cell>
          <cell r="K1674" t="str">
            <v>2502</v>
          </cell>
          <cell r="L1674" t="str">
            <v>DECOR</v>
          </cell>
          <cell r="M1674" t="str">
            <v>250221</v>
          </cell>
          <cell r="N1674" t="str">
            <v>DECORCRYL BASE</v>
          </cell>
        </row>
        <row r="1675">
          <cell r="C1675" t="str">
            <v>100006506</v>
          </cell>
          <cell r="D1675" t="str">
            <v>U-PROOF U-93 114-6 SUNBURST NOSE-4K</v>
          </cell>
          <cell r="E1675" t="str">
            <v>ZFGD</v>
          </cell>
          <cell r="F1675" t="str">
            <v>PC</v>
          </cell>
          <cell r="G1675" t="str">
            <v>2</v>
          </cell>
          <cell r="H1675" t="str">
            <v>RETAIL</v>
          </cell>
          <cell r="I1675" t="str">
            <v>2D</v>
          </cell>
          <cell r="J1675" t="str">
            <v>APCT2</v>
          </cell>
          <cell r="K1675" t="str">
            <v>2D02</v>
          </cell>
          <cell r="L1675" t="str">
            <v>U-PROOF</v>
          </cell>
          <cell r="M1675" t="str">
            <v>2D0201</v>
          </cell>
          <cell r="N1675" t="str">
            <v>U-PROOF</v>
          </cell>
        </row>
        <row r="1676">
          <cell r="C1676" t="str">
            <v>100006545</v>
          </cell>
          <cell r="D1676" t="str">
            <v>DI-400 NT 651 SAFFRON TINT-5L</v>
          </cell>
          <cell r="E1676" t="str">
            <v>ZFGD</v>
          </cell>
          <cell r="F1676" t="str">
            <v>PC</v>
          </cell>
          <cell r="G1676" t="str">
            <v>2</v>
          </cell>
          <cell r="H1676" t="str">
            <v>RETAIL</v>
          </cell>
          <cell r="I1676" t="str">
            <v>25</v>
          </cell>
          <cell r="J1676" t="str">
            <v>APCT1</v>
          </cell>
          <cell r="K1676" t="str">
            <v>2502</v>
          </cell>
          <cell r="L1676" t="str">
            <v>DECOR</v>
          </cell>
          <cell r="M1676" t="str">
            <v>250221</v>
          </cell>
          <cell r="N1676" t="str">
            <v>DECORCRYL BASE</v>
          </cell>
        </row>
        <row r="1677">
          <cell r="C1677" t="str">
            <v>100006553</v>
          </cell>
          <cell r="D1677" t="str">
            <v>VISKO PRIMER VP-4005 VN-21KP</v>
          </cell>
          <cell r="E1677" t="str">
            <v>ZFGD</v>
          </cell>
          <cell r="F1677" t="str">
            <v>PC</v>
          </cell>
          <cell r="G1677" t="str">
            <v>2</v>
          </cell>
          <cell r="H1677" t="str">
            <v>RETAIL</v>
          </cell>
          <cell r="I1677" t="str">
            <v>25</v>
          </cell>
          <cell r="J1677" t="str">
            <v>APCT1</v>
          </cell>
          <cell r="K1677" t="str">
            <v>2520</v>
          </cell>
          <cell r="L1677" t="str">
            <v>VISKO PRIMER</v>
          </cell>
          <cell r="M1677" t="str">
            <v>252001</v>
          </cell>
          <cell r="N1677" t="str">
            <v>VISKO PRIMER</v>
          </cell>
        </row>
        <row r="1678">
          <cell r="C1678" t="str">
            <v>100006554</v>
          </cell>
          <cell r="D1678" t="str">
            <v>VISKO TOP VT-4006 WHITE-9144 VN-25KP</v>
          </cell>
          <cell r="E1678" t="str">
            <v>ZFGD</v>
          </cell>
          <cell r="F1678" t="str">
            <v>PC</v>
          </cell>
          <cell r="G1678" t="str">
            <v>2</v>
          </cell>
          <cell r="H1678" t="str">
            <v>RETAIL</v>
          </cell>
          <cell r="I1678" t="str">
            <v>25</v>
          </cell>
          <cell r="J1678" t="str">
            <v>APCT1</v>
          </cell>
          <cell r="K1678" t="str">
            <v>2521</v>
          </cell>
          <cell r="L1678" t="str">
            <v>VISKO TOP</v>
          </cell>
          <cell r="M1678" t="str">
            <v>252101</v>
          </cell>
          <cell r="N1678" t="str">
            <v>VISKO TOP</v>
          </cell>
        </row>
        <row r="1679">
          <cell r="C1679" t="str">
            <v>100006555</v>
          </cell>
          <cell r="D1679" t="str">
            <v>VISKO TOP VT-4006 BASE A VN-25KP</v>
          </cell>
          <cell r="E1679" t="str">
            <v>ZFGD</v>
          </cell>
          <cell r="F1679" t="str">
            <v>PC</v>
          </cell>
          <cell r="G1679" t="str">
            <v>2</v>
          </cell>
          <cell r="H1679" t="str">
            <v>RETAIL</v>
          </cell>
          <cell r="I1679" t="str">
            <v>25</v>
          </cell>
          <cell r="J1679" t="str">
            <v>APCT1</v>
          </cell>
          <cell r="K1679" t="str">
            <v>2521</v>
          </cell>
          <cell r="L1679" t="str">
            <v>VISKO TOP</v>
          </cell>
          <cell r="M1679" t="str">
            <v>252101</v>
          </cell>
          <cell r="N1679" t="str">
            <v>VISKO TOP</v>
          </cell>
        </row>
        <row r="1680">
          <cell r="C1680" t="str">
            <v>100006573</v>
          </cell>
          <cell r="D1680" t="str">
            <v>DI-400 019-1 BELIZE BREEZE-18LP</v>
          </cell>
          <cell r="E1680" t="str">
            <v>ZFGD</v>
          </cell>
          <cell r="F1680" t="str">
            <v>PC</v>
          </cell>
          <cell r="G1680" t="str">
            <v>2</v>
          </cell>
          <cell r="H1680" t="str">
            <v>RETAIL</v>
          </cell>
          <cell r="I1680" t="str">
            <v>25</v>
          </cell>
          <cell r="J1680" t="str">
            <v>APCT1</v>
          </cell>
          <cell r="K1680" t="str">
            <v>2502</v>
          </cell>
          <cell r="L1680" t="str">
            <v>DECOR</v>
          </cell>
          <cell r="M1680" t="str">
            <v>250221</v>
          </cell>
          <cell r="N1680" t="str">
            <v>DECORCRYL BASE</v>
          </cell>
        </row>
        <row r="1681">
          <cell r="C1681" t="str">
            <v>120000120</v>
          </cell>
          <cell r="D1681" t="str">
            <v>US-970 PRIME GREY 9401 VN</v>
          </cell>
          <cell r="E1681" t="str">
            <v>ZSFG</v>
          </cell>
          <cell r="F1681" t="str">
            <v>KG</v>
          </cell>
          <cell r="G1681" t="str">
            <v>2</v>
          </cell>
          <cell r="H1681" t="str">
            <v>RETAIL</v>
          </cell>
          <cell r="I1681" t="str">
            <v>28</v>
          </cell>
          <cell r="J1681" t="str">
            <v>CPC2</v>
          </cell>
          <cell r="K1681" t="str">
            <v>2807</v>
          </cell>
          <cell r="L1681" t="str">
            <v>ULTRASEAL</v>
          </cell>
          <cell r="M1681" t="str">
            <v>280701</v>
          </cell>
          <cell r="N1681" t="str">
            <v>ULTRASEAL</v>
          </cell>
        </row>
        <row r="1682">
          <cell r="C1682" t="str">
            <v>120002665</v>
          </cell>
          <cell r="D1682" t="str">
            <v>PUC-54215 AC PEARL GLOSS P1480 ML</v>
          </cell>
          <cell r="E1682" t="str">
            <v>ZSFG</v>
          </cell>
          <cell r="F1682" t="str">
            <v>KG</v>
          </cell>
          <cell r="G1682" t="str">
            <v>1</v>
          </cell>
          <cell r="H1682" t="str">
            <v>INDUSTRY</v>
          </cell>
          <cell r="I1682" t="str">
            <v>11</v>
          </cell>
          <cell r="J1682" t="str">
            <v>WOOD COATINGS</v>
          </cell>
          <cell r="K1682" t="str">
            <v>1103</v>
          </cell>
          <cell r="L1682" t="str">
            <v>PU</v>
          </cell>
          <cell r="M1682" t="str">
            <v>110319</v>
          </cell>
          <cell r="N1682" t="str">
            <v>PU COLOR</v>
          </cell>
        </row>
        <row r="1683">
          <cell r="C1683" t="str">
            <v>120002666</v>
          </cell>
          <cell r="D1683" t="str">
            <v>PUC-54207 AC WHITE 08 ML</v>
          </cell>
          <cell r="E1683" t="str">
            <v>ZSFG</v>
          </cell>
          <cell r="F1683" t="str">
            <v>KG</v>
          </cell>
          <cell r="G1683" t="str">
            <v>1</v>
          </cell>
          <cell r="H1683" t="str">
            <v>INDUSTRY</v>
          </cell>
          <cell r="I1683" t="str">
            <v>11</v>
          </cell>
          <cell r="J1683" t="str">
            <v>WOOD COATINGS</v>
          </cell>
          <cell r="K1683" t="str">
            <v>1103</v>
          </cell>
          <cell r="L1683" t="str">
            <v>PU</v>
          </cell>
          <cell r="M1683" t="str">
            <v>110319</v>
          </cell>
          <cell r="N1683" t="str">
            <v>PU COLOR</v>
          </cell>
        </row>
        <row r="1684">
          <cell r="C1684" t="str">
            <v>120002667</v>
          </cell>
          <cell r="D1684" t="str">
            <v>PUC-54207 AC BEIGE GLOSS P1183 ML</v>
          </cell>
          <cell r="E1684" t="str">
            <v>ZSFG</v>
          </cell>
          <cell r="F1684" t="str">
            <v>KG</v>
          </cell>
          <cell r="G1684" t="str">
            <v>1</v>
          </cell>
          <cell r="H1684" t="str">
            <v>INDUSTRY</v>
          </cell>
          <cell r="I1684" t="str">
            <v>11</v>
          </cell>
          <cell r="J1684" t="str">
            <v>WOOD COATINGS</v>
          </cell>
          <cell r="K1684" t="str">
            <v>1103</v>
          </cell>
          <cell r="L1684" t="str">
            <v>PU</v>
          </cell>
          <cell r="M1684" t="str">
            <v>110319</v>
          </cell>
          <cell r="N1684" t="str">
            <v>PU COLOR</v>
          </cell>
        </row>
        <row r="1685">
          <cell r="C1685" t="str">
            <v>120002668</v>
          </cell>
          <cell r="D1685" t="str">
            <v>PUC-52200 FTR BLACK 10 P1553 ML</v>
          </cell>
          <cell r="E1685" t="str">
            <v>ZSFG</v>
          </cell>
          <cell r="F1685" t="str">
            <v>KG</v>
          </cell>
          <cell r="G1685" t="str">
            <v>1</v>
          </cell>
          <cell r="H1685" t="str">
            <v>INDUSTRY</v>
          </cell>
          <cell r="I1685" t="str">
            <v>11</v>
          </cell>
          <cell r="J1685" t="str">
            <v>WOOD COATINGS</v>
          </cell>
          <cell r="K1685" t="str">
            <v>1103</v>
          </cell>
          <cell r="L1685" t="str">
            <v>PU</v>
          </cell>
          <cell r="M1685" t="str">
            <v>110319</v>
          </cell>
          <cell r="N1685" t="str">
            <v>PU COLOR</v>
          </cell>
        </row>
        <row r="1686">
          <cell r="C1686" t="str">
            <v>120002669</v>
          </cell>
          <cell r="D1686" t="str">
            <v>PUC-54200 AC CHOCO GREY P1289 ML</v>
          </cell>
          <cell r="E1686" t="str">
            <v>ZSFG</v>
          </cell>
          <cell r="F1686" t="str">
            <v>KG</v>
          </cell>
          <cell r="G1686" t="str">
            <v>1</v>
          </cell>
          <cell r="H1686" t="str">
            <v>INDUSTRY</v>
          </cell>
          <cell r="I1686" t="str">
            <v>11</v>
          </cell>
          <cell r="J1686" t="str">
            <v>WOOD COATINGS</v>
          </cell>
          <cell r="K1686" t="str">
            <v>1103</v>
          </cell>
          <cell r="L1686" t="str">
            <v>PU</v>
          </cell>
          <cell r="M1686" t="str">
            <v>110319</v>
          </cell>
          <cell r="N1686" t="str">
            <v>PU COLOR</v>
          </cell>
        </row>
        <row r="1687">
          <cell r="C1687" t="str">
            <v>120002670</v>
          </cell>
          <cell r="D1687" t="str">
            <v>PUC-52200 TOUCH OF PINK 30 P1444 ML</v>
          </cell>
          <cell r="E1687" t="str">
            <v>ZSFG</v>
          </cell>
          <cell r="F1687" t="str">
            <v>KG</v>
          </cell>
          <cell r="G1687" t="str">
            <v>1</v>
          </cell>
          <cell r="H1687" t="str">
            <v>INDUSTRY</v>
          </cell>
          <cell r="I1687" t="str">
            <v>11</v>
          </cell>
          <cell r="J1687" t="str">
            <v>WOOD COATINGS</v>
          </cell>
          <cell r="K1687" t="str">
            <v>1103</v>
          </cell>
          <cell r="L1687" t="str">
            <v>PU</v>
          </cell>
          <cell r="M1687" t="str">
            <v>110319</v>
          </cell>
          <cell r="N1687" t="str">
            <v>PU COLOR</v>
          </cell>
        </row>
        <row r="1688">
          <cell r="C1688" t="str">
            <v>120002671</v>
          </cell>
          <cell r="D1688" t="str">
            <v>PUC-52200 NEW TOUCH 20 P1727 ML</v>
          </cell>
          <cell r="E1688" t="str">
            <v>ZSFG</v>
          </cell>
          <cell r="F1688" t="str">
            <v>KG</v>
          </cell>
          <cell r="G1688" t="str">
            <v>1</v>
          </cell>
          <cell r="H1688" t="str">
            <v>INDUSTRY</v>
          </cell>
          <cell r="I1688" t="str">
            <v>11</v>
          </cell>
          <cell r="J1688" t="str">
            <v>WOOD COATINGS</v>
          </cell>
          <cell r="K1688" t="str">
            <v>1103</v>
          </cell>
          <cell r="L1688" t="str">
            <v>PU</v>
          </cell>
          <cell r="M1688" t="str">
            <v>110319</v>
          </cell>
          <cell r="N1688" t="str">
            <v>PU COLOR</v>
          </cell>
        </row>
        <row r="1689">
          <cell r="C1689" t="str">
            <v>120002672</v>
          </cell>
          <cell r="D1689" t="str">
            <v>PUC-52200 COW'S MILK 10 P1396 ML</v>
          </cell>
          <cell r="E1689" t="str">
            <v>ZSFG</v>
          </cell>
          <cell r="F1689" t="str">
            <v>KG</v>
          </cell>
          <cell r="G1689" t="str">
            <v>1</v>
          </cell>
          <cell r="H1689" t="str">
            <v>INDUSTRY</v>
          </cell>
          <cell r="I1689" t="str">
            <v>11</v>
          </cell>
          <cell r="J1689" t="str">
            <v>WOOD COATINGS</v>
          </cell>
          <cell r="K1689" t="str">
            <v>1103</v>
          </cell>
          <cell r="L1689" t="str">
            <v>PU</v>
          </cell>
          <cell r="M1689" t="str">
            <v>110319</v>
          </cell>
          <cell r="N1689" t="str">
            <v>PU COLOR</v>
          </cell>
        </row>
        <row r="1690">
          <cell r="C1690" t="str">
            <v>120002673</v>
          </cell>
          <cell r="D1690" t="str">
            <v>PUC-52200 PEARL BLACK GLOSS P1195 ML</v>
          </cell>
          <cell r="E1690" t="str">
            <v>ZSFG</v>
          </cell>
          <cell r="F1690" t="str">
            <v>KG</v>
          </cell>
          <cell r="G1690" t="str">
            <v>1</v>
          </cell>
          <cell r="H1690" t="str">
            <v>INDUSTRY</v>
          </cell>
          <cell r="I1690" t="str">
            <v>11</v>
          </cell>
          <cell r="J1690" t="str">
            <v>WOOD COATINGS</v>
          </cell>
          <cell r="K1690" t="str">
            <v>1103</v>
          </cell>
          <cell r="L1690" t="str">
            <v>PU</v>
          </cell>
          <cell r="M1690" t="str">
            <v>110319</v>
          </cell>
          <cell r="N1690" t="str">
            <v>PU COLOR</v>
          </cell>
        </row>
        <row r="1691">
          <cell r="C1691" t="str">
            <v>120002674</v>
          </cell>
          <cell r="D1691" t="str">
            <v>PUC-52200 BLACK CHERRY 20 P1407 ML</v>
          </cell>
          <cell r="E1691" t="str">
            <v>ZSFG</v>
          </cell>
          <cell r="F1691" t="str">
            <v>KG</v>
          </cell>
          <cell r="G1691" t="str">
            <v>1</v>
          </cell>
          <cell r="H1691" t="str">
            <v>INDUSTRY</v>
          </cell>
          <cell r="I1691" t="str">
            <v>11</v>
          </cell>
          <cell r="J1691" t="str">
            <v>WOOD COATINGS</v>
          </cell>
          <cell r="K1691" t="str">
            <v>1103</v>
          </cell>
          <cell r="L1691" t="str">
            <v>PU</v>
          </cell>
          <cell r="M1691" t="str">
            <v>110319</v>
          </cell>
          <cell r="N1691" t="str">
            <v>PU COLOR</v>
          </cell>
        </row>
        <row r="1692">
          <cell r="C1692" t="str">
            <v>120002675</v>
          </cell>
          <cell r="D1692" t="str">
            <v>PUC-54207 AC BEIGE GLOSS P1480 ML</v>
          </cell>
          <cell r="E1692" t="str">
            <v>ZSFG</v>
          </cell>
          <cell r="F1692" t="str">
            <v>KG</v>
          </cell>
          <cell r="G1692" t="str">
            <v>1</v>
          </cell>
          <cell r="H1692" t="str">
            <v>INDUSTRY</v>
          </cell>
          <cell r="I1692" t="str">
            <v>11</v>
          </cell>
          <cell r="J1692" t="str">
            <v>WOOD COATINGS</v>
          </cell>
          <cell r="K1692" t="str">
            <v>1103</v>
          </cell>
          <cell r="L1692" t="str">
            <v>PU</v>
          </cell>
          <cell r="M1692" t="str">
            <v>110319</v>
          </cell>
          <cell r="N1692" t="str">
            <v>PU COLOR</v>
          </cell>
        </row>
        <row r="1693">
          <cell r="C1693" t="str">
            <v>120002676</v>
          </cell>
          <cell r="D1693" t="str">
            <v>PUC-52200 DARK BROWN GLOSS P1083 ML</v>
          </cell>
          <cell r="E1693" t="str">
            <v>ZSFG</v>
          </cell>
          <cell r="F1693" t="str">
            <v>KG</v>
          </cell>
          <cell r="G1693" t="str">
            <v>1</v>
          </cell>
          <cell r="H1693" t="str">
            <v>INDUSTRY</v>
          </cell>
          <cell r="I1693" t="str">
            <v>11</v>
          </cell>
          <cell r="J1693" t="str">
            <v>WOOD COATINGS</v>
          </cell>
          <cell r="K1693" t="str">
            <v>1103</v>
          </cell>
          <cell r="L1693" t="str">
            <v>PU</v>
          </cell>
          <cell r="M1693" t="str">
            <v>110319</v>
          </cell>
          <cell r="N1693" t="str">
            <v>PU COLOR</v>
          </cell>
        </row>
        <row r="1694">
          <cell r="C1694" t="str">
            <v>120002677</v>
          </cell>
          <cell r="D1694" t="str">
            <v>PUC-52200 COFFEE GLOSS P1424 ML</v>
          </cell>
          <cell r="E1694" t="str">
            <v>ZSFG</v>
          </cell>
          <cell r="F1694" t="str">
            <v>KG</v>
          </cell>
          <cell r="G1694" t="str">
            <v>1</v>
          </cell>
          <cell r="H1694" t="str">
            <v>INDUSTRY</v>
          </cell>
          <cell r="I1694" t="str">
            <v>11</v>
          </cell>
          <cell r="J1694" t="str">
            <v>WOOD COATINGS</v>
          </cell>
          <cell r="K1694" t="str">
            <v>1103</v>
          </cell>
          <cell r="L1694" t="str">
            <v>PU</v>
          </cell>
          <cell r="M1694" t="str">
            <v>110319</v>
          </cell>
          <cell r="N1694" t="str">
            <v>PU COLOR</v>
          </cell>
        </row>
        <row r="1695">
          <cell r="C1695" t="str">
            <v>120002678</v>
          </cell>
          <cell r="D1695" t="str">
            <v>PUC-52200 WC LY FTR PINK 10 P1568 ML</v>
          </cell>
          <cell r="E1695" t="str">
            <v>ZSFG</v>
          </cell>
          <cell r="F1695" t="str">
            <v>KG</v>
          </cell>
          <cell r="G1695" t="str">
            <v>1</v>
          </cell>
          <cell r="H1695" t="str">
            <v>INDUSTRY</v>
          </cell>
          <cell r="I1695" t="str">
            <v>11</v>
          </cell>
          <cell r="J1695" t="str">
            <v>WOOD COATINGS</v>
          </cell>
          <cell r="K1695" t="str">
            <v>1103</v>
          </cell>
          <cell r="L1695" t="str">
            <v>PU</v>
          </cell>
          <cell r="M1695" t="str">
            <v>110319</v>
          </cell>
          <cell r="N1695" t="str">
            <v>PU COLOR</v>
          </cell>
        </row>
        <row r="1696">
          <cell r="C1696" t="str">
            <v>170000006</v>
          </cell>
          <cell r="D1696" t="str">
            <v>SYNTHETIC 3000 RX WHITE-9101-0.8L</v>
          </cell>
          <cell r="E1696" t="str">
            <v>ZTRD</v>
          </cell>
          <cell r="F1696" t="str">
            <v>PC</v>
          </cell>
          <cell r="G1696" t="str">
            <v>X</v>
          </cell>
          <cell r="H1696" t="str">
            <v>TRD RETAIL</v>
          </cell>
          <cell r="I1696" t="str">
            <v>X7</v>
          </cell>
          <cell r="J1696" t="str">
            <v>CPC1</v>
          </cell>
          <cell r="K1696" t="str">
            <v>X703</v>
          </cell>
          <cell r="L1696" t="str">
            <v>MULTIPOX</v>
          </cell>
          <cell r="M1696" t="str">
            <v>X70302</v>
          </cell>
          <cell r="N1696" t="str">
            <v>MULTIPOX BASE</v>
          </cell>
        </row>
        <row r="1697">
          <cell r="C1697" t="str">
            <v>170000029</v>
          </cell>
          <cell r="D1697" t="str">
            <v>IMPRA WF-115 KAMPER-1K</v>
          </cell>
          <cell r="E1697" t="str">
            <v>ZTRD</v>
          </cell>
          <cell r="F1697" t="str">
            <v>PC</v>
          </cell>
          <cell r="G1697" t="str">
            <v>X</v>
          </cell>
          <cell r="H1697" t="str">
            <v>TRD RETAIL</v>
          </cell>
          <cell r="I1697" t="str">
            <v>X1</v>
          </cell>
          <cell r="J1697" t="str">
            <v>WF1</v>
          </cell>
          <cell r="K1697" t="str">
            <v>X115</v>
          </cell>
          <cell r="L1697" t="str">
            <v>IMPRA</v>
          </cell>
          <cell r="M1697" t="str">
            <v>X11511</v>
          </cell>
          <cell r="N1697" t="str">
            <v>IMPRA WOOD FILLER</v>
          </cell>
        </row>
        <row r="1698">
          <cell r="C1698" t="str">
            <v>170000030</v>
          </cell>
          <cell r="D1698" t="str">
            <v>PROPAN PFW-333 NATURAL-1K</v>
          </cell>
          <cell r="E1698" t="str">
            <v>ZTRD</v>
          </cell>
          <cell r="F1698" t="str">
            <v>PC</v>
          </cell>
          <cell r="G1698" t="str">
            <v>X</v>
          </cell>
          <cell r="H1698" t="str">
            <v>TRD RETAIL</v>
          </cell>
          <cell r="I1698" t="str">
            <v>X1</v>
          </cell>
          <cell r="J1698" t="str">
            <v>WF1</v>
          </cell>
          <cell r="K1698" t="str">
            <v>X107</v>
          </cell>
          <cell r="L1698" t="str">
            <v>FURNITURE WAX</v>
          </cell>
          <cell r="M1698" t="str">
            <v>X10701</v>
          </cell>
          <cell r="N1698" t="str">
            <v>PROPAN FURNITURE WAX</v>
          </cell>
        </row>
        <row r="1699">
          <cell r="C1699" t="str">
            <v>170000031</v>
          </cell>
          <cell r="D1699" t="str">
            <v>ULTRAN AQUA POLITUR MAHONY-1L</v>
          </cell>
          <cell r="E1699" t="str">
            <v>ZTRD</v>
          </cell>
          <cell r="F1699" t="str">
            <v>PC</v>
          </cell>
          <cell r="G1699" t="str">
            <v>X</v>
          </cell>
          <cell r="H1699" t="str">
            <v>TRD RETAIL</v>
          </cell>
          <cell r="I1699" t="str">
            <v>X4</v>
          </cell>
          <cell r="J1699" t="str">
            <v>WF3</v>
          </cell>
          <cell r="K1699" t="str">
            <v>X413</v>
          </cell>
          <cell r="L1699" t="str">
            <v>ULTRAN</v>
          </cell>
          <cell r="M1699" t="str">
            <v>X41303</v>
          </cell>
          <cell r="N1699" t="str">
            <v>ULTRAN AQUA POLITUR</v>
          </cell>
        </row>
        <row r="1700">
          <cell r="C1700" t="str">
            <v>170000032</v>
          </cell>
          <cell r="D1700" t="str">
            <v>ULTRAN UTO-555-0.8L</v>
          </cell>
          <cell r="E1700" t="str">
            <v>ZTRD</v>
          </cell>
          <cell r="F1700" t="str">
            <v>PC</v>
          </cell>
          <cell r="G1700" t="str">
            <v>X</v>
          </cell>
          <cell r="H1700" t="str">
            <v>TRD RETAIL</v>
          </cell>
          <cell r="I1700" t="str">
            <v>X4</v>
          </cell>
          <cell r="J1700" t="str">
            <v>WF3</v>
          </cell>
          <cell r="K1700" t="str">
            <v>X413</v>
          </cell>
          <cell r="L1700" t="str">
            <v>ULTRAN</v>
          </cell>
          <cell r="M1700" t="str">
            <v>X41309</v>
          </cell>
          <cell r="N1700" t="str">
            <v>ULTRAN TEAK OIL</v>
          </cell>
        </row>
        <row r="1701">
          <cell r="C1701" t="str">
            <v>170000033</v>
          </cell>
          <cell r="D1701" t="str">
            <v>ULTRAN UTO-555-3.8L</v>
          </cell>
          <cell r="E1701" t="str">
            <v>ZTRD</v>
          </cell>
          <cell r="F1701" t="str">
            <v>PC</v>
          </cell>
          <cell r="G1701" t="str">
            <v>X</v>
          </cell>
          <cell r="H1701" t="str">
            <v>TRD RETAIL</v>
          </cell>
          <cell r="I1701" t="str">
            <v>X4</v>
          </cell>
          <cell r="J1701" t="str">
            <v>WF3</v>
          </cell>
          <cell r="K1701" t="str">
            <v>X413</v>
          </cell>
          <cell r="L1701" t="str">
            <v>ULTRAN</v>
          </cell>
          <cell r="M1701" t="str">
            <v>X41309</v>
          </cell>
          <cell r="N1701" t="str">
            <v>ULTRAN TEAK OIL</v>
          </cell>
        </row>
        <row r="1702">
          <cell r="C1702" t="str">
            <v>170000034</v>
          </cell>
          <cell r="D1702" t="str">
            <v>PROPAN PPR-730-1K</v>
          </cell>
          <cell r="E1702" t="str">
            <v>ZTRD</v>
          </cell>
          <cell r="F1702" t="str">
            <v>PC</v>
          </cell>
          <cell r="G1702" t="str">
            <v>X</v>
          </cell>
          <cell r="H1702" t="str">
            <v>TRD RETAIL</v>
          </cell>
          <cell r="I1702" t="str">
            <v>X4</v>
          </cell>
          <cell r="J1702" t="str">
            <v>WF3</v>
          </cell>
          <cell r="K1702" t="str">
            <v>X405</v>
          </cell>
          <cell r="L1702" t="str">
            <v>PAINT REMOVER</v>
          </cell>
          <cell r="M1702" t="str">
            <v>X40501</v>
          </cell>
          <cell r="N1702" t="str">
            <v>PROPAN PAINT REMOVER</v>
          </cell>
        </row>
        <row r="1703">
          <cell r="C1703" t="str">
            <v>170000035</v>
          </cell>
          <cell r="D1703" t="str">
            <v>PUC-786-2K GREY GLOSS-4L</v>
          </cell>
          <cell r="E1703" t="str">
            <v>ZTRD</v>
          </cell>
          <cell r="F1703" t="str">
            <v>PC</v>
          </cell>
          <cell r="G1703" t="str">
            <v>X</v>
          </cell>
          <cell r="H1703" t="str">
            <v>TRD RETAIL</v>
          </cell>
          <cell r="I1703" t="str">
            <v>X2</v>
          </cell>
          <cell r="J1703" t="str">
            <v>WF2</v>
          </cell>
          <cell r="K1703" t="str">
            <v>X216</v>
          </cell>
          <cell r="L1703" t="str">
            <v>PU MULTIPURPOSE</v>
          </cell>
          <cell r="M1703" t="str">
            <v>X21601</v>
          </cell>
          <cell r="N1703" t="str">
            <v>PROPAN MP PU ACR RMX</v>
          </cell>
        </row>
        <row r="1704">
          <cell r="C1704" t="str">
            <v>170000036</v>
          </cell>
          <cell r="D1704" t="str">
            <v>PUC-786-2K WHITE GLOSS-4L</v>
          </cell>
          <cell r="E1704" t="str">
            <v>ZTRD</v>
          </cell>
          <cell r="F1704" t="str">
            <v>PC</v>
          </cell>
          <cell r="G1704" t="str">
            <v>X</v>
          </cell>
          <cell r="H1704" t="str">
            <v>TRD RETAIL</v>
          </cell>
          <cell r="I1704" t="str">
            <v>X2</v>
          </cell>
          <cell r="J1704" t="str">
            <v>WF2</v>
          </cell>
          <cell r="K1704" t="str">
            <v>X216</v>
          </cell>
          <cell r="L1704" t="str">
            <v>PU MULTIPURPOSE</v>
          </cell>
          <cell r="M1704" t="str">
            <v>X21601</v>
          </cell>
          <cell r="N1704" t="str">
            <v>PROPAN MP PU ACR RMX</v>
          </cell>
        </row>
        <row r="1705">
          <cell r="C1705" t="str">
            <v>170000037</v>
          </cell>
          <cell r="D1705" t="str">
            <v>PUSF-781-2K WHITE-4L</v>
          </cell>
          <cell r="E1705" t="str">
            <v>ZTRD</v>
          </cell>
          <cell r="F1705" t="str">
            <v>PC</v>
          </cell>
          <cell r="G1705" t="str">
            <v>X</v>
          </cell>
          <cell r="H1705" t="str">
            <v>TRD RETAIL</v>
          </cell>
          <cell r="I1705" t="str">
            <v>X2</v>
          </cell>
          <cell r="J1705" t="str">
            <v>WF2</v>
          </cell>
          <cell r="K1705" t="str">
            <v>X216</v>
          </cell>
          <cell r="L1705" t="str">
            <v>PU MULTIPURPOSE</v>
          </cell>
          <cell r="M1705" t="str">
            <v>X21601</v>
          </cell>
          <cell r="N1705" t="str">
            <v>PROPAN MP PU ACR RMX</v>
          </cell>
        </row>
        <row r="1706">
          <cell r="C1706" t="str">
            <v>170000038</v>
          </cell>
          <cell r="D1706" t="str">
            <v>PUSS-760-2K-4L</v>
          </cell>
          <cell r="E1706" t="str">
            <v>ZTRD</v>
          </cell>
          <cell r="F1706" t="str">
            <v>PC</v>
          </cell>
          <cell r="G1706" t="str">
            <v>X</v>
          </cell>
          <cell r="H1706" t="str">
            <v>TRD RETAIL</v>
          </cell>
          <cell r="I1706" t="str">
            <v>X2</v>
          </cell>
          <cell r="J1706" t="str">
            <v>WF2</v>
          </cell>
          <cell r="K1706" t="str">
            <v>X216</v>
          </cell>
          <cell r="L1706" t="str">
            <v>PU MULTIPURPOSE</v>
          </cell>
          <cell r="M1706" t="str">
            <v>X21601</v>
          </cell>
          <cell r="N1706" t="str">
            <v>PROPAN MP PU ACR RMX</v>
          </cell>
        </row>
        <row r="1707">
          <cell r="C1707" t="str">
            <v>170000039</v>
          </cell>
          <cell r="D1707" t="str">
            <v>DECOR DAE-550 TEAL-5412-2.5K</v>
          </cell>
          <cell r="E1707" t="str">
            <v>ZTRD</v>
          </cell>
          <cell r="F1707" t="str">
            <v>PC</v>
          </cell>
          <cell r="G1707" t="str">
            <v>Y</v>
          </cell>
          <cell r="H1707" t="str">
            <v>TRD PROJECT</v>
          </cell>
          <cell r="I1707" t="str">
            <v>Y2</v>
          </cell>
          <cell r="J1707" t="str">
            <v>APCT1</v>
          </cell>
          <cell r="K1707" t="str">
            <v>Y202</v>
          </cell>
          <cell r="L1707" t="str">
            <v>DECOR</v>
          </cell>
          <cell r="M1707" t="str">
            <v>Y20204</v>
          </cell>
          <cell r="N1707" t="str">
            <v>DECOR ACR ENAMEL SB RMX</v>
          </cell>
        </row>
        <row r="1708">
          <cell r="C1708" t="str">
            <v>170000040</v>
          </cell>
          <cell r="D1708" t="str">
            <v>ROST X-10-1L</v>
          </cell>
          <cell r="E1708" t="str">
            <v>ZTRD</v>
          </cell>
          <cell r="F1708" t="str">
            <v>PC</v>
          </cell>
          <cell r="G1708" t="str">
            <v>X</v>
          </cell>
          <cell r="H1708" t="str">
            <v>TRD RETAIL</v>
          </cell>
          <cell r="I1708" t="str">
            <v>X9</v>
          </cell>
          <cell r="J1708" t="str">
            <v>MPC</v>
          </cell>
          <cell r="K1708" t="str">
            <v>X913</v>
          </cell>
          <cell r="L1708" t="str">
            <v>ROST X</v>
          </cell>
          <cell r="M1708" t="str">
            <v>X91301</v>
          </cell>
          <cell r="N1708" t="str">
            <v>ROST X</v>
          </cell>
        </row>
        <row r="1709">
          <cell r="C1709" t="str">
            <v>170000041</v>
          </cell>
          <cell r="D1709" t="str">
            <v>IMPRA BOND IBW-630-10K</v>
          </cell>
          <cell r="E1709" t="str">
            <v>ZTRD</v>
          </cell>
          <cell r="F1709" t="str">
            <v>PC</v>
          </cell>
          <cell r="G1709" t="str">
            <v>X</v>
          </cell>
          <cell r="H1709" t="str">
            <v>TRD RETAIL</v>
          </cell>
          <cell r="I1709" t="str">
            <v>XB</v>
          </cell>
          <cell r="J1709" t="str">
            <v>A&amp;S</v>
          </cell>
          <cell r="K1709" t="str">
            <v>XB05</v>
          </cell>
          <cell r="L1709" t="str">
            <v>IMPRA BOND</v>
          </cell>
          <cell r="M1709" t="str">
            <v>XB0501</v>
          </cell>
          <cell r="N1709" t="str">
            <v>IMPRA BOND</v>
          </cell>
        </row>
        <row r="1710">
          <cell r="C1710" t="str">
            <v>170000042</v>
          </cell>
          <cell r="D1710" t="str">
            <v>DUROGLOSS BLACK GLOSS 9406G-0.9L</v>
          </cell>
          <cell r="E1710" t="str">
            <v>ZTRD</v>
          </cell>
          <cell r="F1710" t="str">
            <v>PC</v>
          </cell>
          <cell r="G1710" t="str">
            <v>X</v>
          </cell>
          <cell r="H1710" t="str">
            <v>TRD RETAIL</v>
          </cell>
          <cell r="I1710" t="str">
            <v>XA</v>
          </cell>
          <cell r="J1710" t="str">
            <v>PCR</v>
          </cell>
          <cell r="K1710" t="str">
            <v>XA01</v>
          </cell>
          <cell r="L1710" t="str">
            <v>DUROGLOSS</v>
          </cell>
          <cell r="M1710" t="str">
            <v>XA0101</v>
          </cell>
          <cell r="N1710" t="str">
            <v>DUROGLOSS</v>
          </cell>
        </row>
        <row r="1711">
          <cell r="C1711" t="str">
            <v>170000043</v>
          </cell>
          <cell r="D1711" t="str">
            <v>SICOSOL-1L</v>
          </cell>
          <cell r="E1711" t="str">
            <v>ZTRD</v>
          </cell>
          <cell r="F1711" t="str">
            <v>PC</v>
          </cell>
          <cell r="G1711" t="str">
            <v>X</v>
          </cell>
          <cell r="H1711" t="str">
            <v>TRD RETAIL</v>
          </cell>
          <cell r="I1711" t="str">
            <v>X6</v>
          </cell>
          <cell r="J1711" t="str">
            <v>SFC</v>
          </cell>
          <cell r="K1711" t="str">
            <v>X601</v>
          </cell>
          <cell r="L1711" t="str">
            <v>STONE CARE</v>
          </cell>
          <cell r="M1711" t="str">
            <v>X60104</v>
          </cell>
          <cell r="N1711" t="str">
            <v>SICOSOL</v>
          </cell>
        </row>
        <row r="1712">
          <cell r="C1712" t="str">
            <v>170000044</v>
          </cell>
          <cell r="D1712" t="str">
            <v>HARDENER UPL-77 E-1L</v>
          </cell>
          <cell r="E1712" t="str">
            <v>ZTRD</v>
          </cell>
          <cell r="F1712" t="str">
            <v>PC</v>
          </cell>
          <cell r="G1712" t="str">
            <v>X</v>
          </cell>
          <cell r="H1712" t="str">
            <v>TRD RETAIL</v>
          </cell>
          <cell r="I1712" t="str">
            <v>X4</v>
          </cell>
          <cell r="J1712" t="str">
            <v>WF3</v>
          </cell>
          <cell r="K1712" t="str">
            <v>X413</v>
          </cell>
          <cell r="L1712" t="str">
            <v>ULTRAN</v>
          </cell>
          <cell r="M1712" t="str">
            <v>X41301</v>
          </cell>
          <cell r="N1712" t="str">
            <v>ULTRAN PARQUET LACK</v>
          </cell>
        </row>
        <row r="1713">
          <cell r="C1713" t="str">
            <v>170000045</v>
          </cell>
          <cell r="D1713" t="str">
            <v>HARDENER PUH-73-0.25L</v>
          </cell>
          <cell r="E1713" t="str">
            <v>ZTRD</v>
          </cell>
          <cell r="F1713" t="str">
            <v>PC</v>
          </cell>
          <cell r="G1713" t="str">
            <v>X</v>
          </cell>
          <cell r="H1713" t="str">
            <v>TRD RETAIL</v>
          </cell>
          <cell r="I1713" t="str">
            <v>X2</v>
          </cell>
          <cell r="J1713" t="str">
            <v>WF2</v>
          </cell>
          <cell r="K1713" t="str">
            <v>X215</v>
          </cell>
          <cell r="L1713" t="str">
            <v>PU ITALIAN</v>
          </cell>
          <cell r="M1713" t="str">
            <v>X21501</v>
          </cell>
          <cell r="N1713" t="str">
            <v>PROPAN ITALIAN PU</v>
          </cell>
        </row>
        <row r="1714">
          <cell r="C1714" t="str">
            <v>170000046</v>
          </cell>
          <cell r="D1714" t="str">
            <v>HARDENER PUH-761-1L</v>
          </cell>
          <cell r="E1714" t="str">
            <v>ZTRD</v>
          </cell>
          <cell r="F1714" t="str">
            <v>PC</v>
          </cell>
          <cell r="G1714" t="str">
            <v>X</v>
          </cell>
          <cell r="H1714" t="str">
            <v>TRD RETAIL</v>
          </cell>
          <cell r="I1714" t="str">
            <v>X2</v>
          </cell>
          <cell r="J1714" t="str">
            <v>WF2</v>
          </cell>
          <cell r="K1714" t="str">
            <v>X216</v>
          </cell>
          <cell r="L1714" t="str">
            <v>PU MULTIPURPOSE</v>
          </cell>
          <cell r="M1714" t="str">
            <v>X21601</v>
          </cell>
          <cell r="N1714" t="str">
            <v>PROPAN MP PU ACR RMX</v>
          </cell>
        </row>
        <row r="1715">
          <cell r="C1715" t="str">
            <v>170000047</v>
          </cell>
          <cell r="D1715" t="str">
            <v>HARDENER PUH-76-1L</v>
          </cell>
          <cell r="E1715" t="str">
            <v>ZTRD</v>
          </cell>
          <cell r="F1715" t="str">
            <v>PC</v>
          </cell>
          <cell r="G1715" t="str">
            <v>X</v>
          </cell>
          <cell r="H1715" t="str">
            <v>TRD RETAIL</v>
          </cell>
          <cell r="I1715" t="str">
            <v>X2</v>
          </cell>
          <cell r="J1715" t="str">
            <v>WF2</v>
          </cell>
          <cell r="K1715" t="str">
            <v>X216</v>
          </cell>
          <cell r="L1715" t="str">
            <v>PU MULTIPURPOSE</v>
          </cell>
          <cell r="M1715" t="str">
            <v>X21601</v>
          </cell>
          <cell r="N1715" t="str">
            <v>PROPAN MP PU ACR RMX</v>
          </cell>
        </row>
        <row r="1716">
          <cell r="C1716" t="str">
            <v>170000048</v>
          </cell>
          <cell r="D1716" t="str">
            <v>HARDENER PUH-781-0.25L</v>
          </cell>
          <cell r="E1716" t="str">
            <v>ZTRD</v>
          </cell>
          <cell r="F1716" t="str">
            <v>PC</v>
          </cell>
          <cell r="G1716" t="str">
            <v>X</v>
          </cell>
          <cell r="H1716" t="str">
            <v>TRD RETAIL</v>
          </cell>
          <cell r="I1716" t="str">
            <v>X2</v>
          </cell>
          <cell r="J1716" t="str">
            <v>WF2</v>
          </cell>
          <cell r="K1716" t="str">
            <v>X215</v>
          </cell>
          <cell r="L1716" t="str">
            <v>PU ITALIAN</v>
          </cell>
          <cell r="M1716" t="str">
            <v>X21501</v>
          </cell>
          <cell r="N1716" t="str">
            <v>PROPAN ITALIAN PU</v>
          </cell>
        </row>
        <row r="1717">
          <cell r="C1717" t="str">
            <v>170000054</v>
          </cell>
          <cell r="D1717" t="str">
            <v>CERAKOTE CTP-980 WB-1KS</v>
          </cell>
          <cell r="E1717" t="str">
            <v>ZTRD</v>
          </cell>
          <cell r="F1717" t="str">
            <v>SET</v>
          </cell>
          <cell r="G1717" t="str">
            <v>Y</v>
          </cell>
          <cell r="H1717" t="str">
            <v>TRD PROJECT</v>
          </cell>
          <cell r="I1717" t="str">
            <v>Y6</v>
          </cell>
          <cell r="J1717" t="str">
            <v>CPC1</v>
          </cell>
          <cell r="K1717" t="str">
            <v>Y604</v>
          </cell>
          <cell r="L1717" t="str">
            <v>CERAKOTE</v>
          </cell>
          <cell r="M1717" t="str">
            <v>Y60401</v>
          </cell>
          <cell r="N1717" t="str">
            <v>CERAKOTE</v>
          </cell>
        </row>
        <row r="1718">
          <cell r="C1718" t="str">
            <v>170000055</v>
          </cell>
          <cell r="D1718" t="str">
            <v>PUC-786-2K HINO GREEN GLOSS-1LS</v>
          </cell>
          <cell r="E1718" t="str">
            <v>ZTRD</v>
          </cell>
          <cell r="F1718" t="str">
            <v>SET</v>
          </cell>
          <cell r="G1718" t="str">
            <v>X</v>
          </cell>
          <cell r="H1718" t="str">
            <v>TRD RETAIL</v>
          </cell>
          <cell r="I1718" t="str">
            <v>X2</v>
          </cell>
          <cell r="J1718" t="str">
            <v>WF2</v>
          </cell>
          <cell r="K1718" t="str">
            <v>X216</v>
          </cell>
          <cell r="L1718" t="str">
            <v>PU MULTIPURPOSE</v>
          </cell>
          <cell r="M1718" t="str">
            <v>X21601</v>
          </cell>
          <cell r="N1718" t="str">
            <v>PROPAN MP PU ACR RMX</v>
          </cell>
        </row>
        <row r="1719">
          <cell r="C1719" t="str">
            <v>170000056</v>
          </cell>
          <cell r="D1719" t="str">
            <v>PUC-786-2K BLACK GLOSS-1LS</v>
          </cell>
          <cell r="E1719" t="str">
            <v>ZTRD</v>
          </cell>
          <cell r="F1719" t="str">
            <v>SET</v>
          </cell>
          <cell r="G1719" t="str">
            <v>X</v>
          </cell>
          <cell r="H1719" t="str">
            <v>TRD RETAIL</v>
          </cell>
          <cell r="I1719" t="str">
            <v>X2</v>
          </cell>
          <cell r="J1719" t="str">
            <v>WF2</v>
          </cell>
          <cell r="K1719" t="str">
            <v>X216</v>
          </cell>
          <cell r="L1719" t="str">
            <v>PU MULTIPURPOSE</v>
          </cell>
          <cell r="M1719" t="str">
            <v>X21601</v>
          </cell>
          <cell r="N1719" t="str">
            <v>PROPAN MP PU ACR RMX</v>
          </cell>
        </row>
        <row r="1720">
          <cell r="C1720" t="str">
            <v>170000057</v>
          </cell>
          <cell r="D1720" t="str">
            <v>PUC-786-2K GREY GLOSS-1LS</v>
          </cell>
          <cell r="E1720" t="str">
            <v>ZTRD</v>
          </cell>
          <cell r="F1720" t="str">
            <v>SET</v>
          </cell>
          <cell r="G1720" t="str">
            <v>X</v>
          </cell>
          <cell r="H1720" t="str">
            <v>TRD RETAIL</v>
          </cell>
          <cell r="I1720" t="str">
            <v>X2</v>
          </cell>
          <cell r="J1720" t="str">
            <v>WF2</v>
          </cell>
          <cell r="K1720" t="str">
            <v>X216</v>
          </cell>
          <cell r="L1720" t="str">
            <v>PU MULTIPURPOSE</v>
          </cell>
          <cell r="M1720" t="str">
            <v>X21601</v>
          </cell>
          <cell r="N1720" t="str">
            <v>PROPAN MP PU ACR RMX</v>
          </cell>
        </row>
        <row r="1721">
          <cell r="C1721" t="str">
            <v>170000058</v>
          </cell>
          <cell r="D1721" t="str">
            <v>PUC-786-2K LEMON YELLOW GLOSS-1LS</v>
          </cell>
          <cell r="E1721" t="str">
            <v>ZTRD</v>
          </cell>
          <cell r="F1721" t="str">
            <v>SET</v>
          </cell>
          <cell r="G1721" t="str">
            <v>X</v>
          </cell>
          <cell r="H1721" t="str">
            <v>TRD RETAIL</v>
          </cell>
          <cell r="I1721" t="str">
            <v>X2</v>
          </cell>
          <cell r="J1721" t="str">
            <v>WF2</v>
          </cell>
          <cell r="K1721" t="str">
            <v>X216</v>
          </cell>
          <cell r="L1721" t="str">
            <v>PU MULTIPURPOSE</v>
          </cell>
          <cell r="M1721" t="str">
            <v>X21601</v>
          </cell>
          <cell r="N1721" t="str">
            <v>PROPAN MP PU ACR RMX</v>
          </cell>
        </row>
        <row r="1722">
          <cell r="C1722" t="str">
            <v>170000059</v>
          </cell>
          <cell r="D1722" t="str">
            <v>PUC-786-2K MARINE BLUE GLOSS-1LS</v>
          </cell>
          <cell r="E1722" t="str">
            <v>ZTRD</v>
          </cell>
          <cell r="F1722" t="str">
            <v>SET</v>
          </cell>
          <cell r="G1722" t="str">
            <v>X</v>
          </cell>
          <cell r="H1722" t="str">
            <v>TRD RETAIL</v>
          </cell>
          <cell r="I1722" t="str">
            <v>X2</v>
          </cell>
          <cell r="J1722" t="str">
            <v>WF2</v>
          </cell>
          <cell r="K1722" t="str">
            <v>X216</v>
          </cell>
          <cell r="L1722" t="str">
            <v>PU MULTIPURPOSE</v>
          </cell>
          <cell r="M1722" t="str">
            <v>X21601</v>
          </cell>
          <cell r="N1722" t="str">
            <v>PROPAN MP PU ACR RMX</v>
          </cell>
        </row>
        <row r="1723">
          <cell r="C1723" t="str">
            <v>170000066</v>
          </cell>
          <cell r="D1723" t="str">
            <v>PUL-765-2K CLEAR DOF-1LS</v>
          </cell>
          <cell r="E1723" t="str">
            <v>ZTRD</v>
          </cell>
          <cell r="F1723" t="str">
            <v>SET</v>
          </cell>
          <cell r="G1723" t="str">
            <v>X</v>
          </cell>
          <cell r="H1723" t="str">
            <v>TRD RETAIL</v>
          </cell>
          <cell r="I1723" t="str">
            <v>X2</v>
          </cell>
          <cell r="J1723" t="str">
            <v>WF2</v>
          </cell>
          <cell r="K1723" t="str">
            <v>X216</v>
          </cell>
          <cell r="L1723" t="str">
            <v>PU MULTIPURPOSE</v>
          </cell>
          <cell r="M1723" t="str">
            <v>X21601</v>
          </cell>
          <cell r="N1723" t="str">
            <v>PROPAN MP PU ACR RMX</v>
          </cell>
        </row>
        <row r="1724">
          <cell r="C1724" t="str">
            <v>170000067</v>
          </cell>
          <cell r="D1724" t="str">
            <v>PUL-765-2K CLEAR GLOSS-1LS</v>
          </cell>
          <cell r="E1724" t="str">
            <v>ZTRD</v>
          </cell>
          <cell r="F1724" t="str">
            <v>SET</v>
          </cell>
          <cell r="G1724" t="str">
            <v>X</v>
          </cell>
          <cell r="H1724" t="str">
            <v>TRD RETAIL</v>
          </cell>
          <cell r="I1724" t="str">
            <v>X2</v>
          </cell>
          <cell r="J1724" t="str">
            <v>WF2</v>
          </cell>
          <cell r="K1724" t="str">
            <v>X216</v>
          </cell>
          <cell r="L1724" t="str">
            <v>PU MULTIPURPOSE</v>
          </cell>
          <cell r="M1724" t="str">
            <v>X21601</v>
          </cell>
          <cell r="N1724" t="str">
            <v>PROPAN MP PU ACR RMX</v>
          </cell>
        </row>
        <row r="1725">
          <cell r="C1725" t="str">
            <v>170000068</v>
          </cell>
          <cell r="D1725" t="str">
            <v>PUC-786-2K WHITE GLOSS-1LS</v>
          </cell>
          <cell r="E1725" t="str">
            <v>ZTRD</v>
          </cell>
          <cell r="F1725" t="str">
            <v>SET</v>
          </cell>
          <cell r="G1725" t="str">
            <v>X</v>
          </cell>
          <cell r="H1725" t="str">
            <v>TRD RETAIL</v>
          </cell>
          <cell r="I1725" t="str">
            <v>X2</v>
          </cell>
          <cell r="J1725" t="str">
            <v>WF2</v>
          </cell>
          <cell r="K1725" t="str">
            <v>X216</v>
          </cell>
          <cell r="L1725" t="str">
            <v>PU MULTIPURPOSE</v>
          </cell>
          <cell r="M1725" t="str">
            <v>X21601</v>
          </cell>
          <cell r="N1725" t="str">
            <v>PROPAN MP PU ACR RMX</v>
          </cell>
        </row>
        <row r="1726">
          <cell r="C1726" t="str">
            <v>170000069</v>
          </cell>
          <cell r="D1726" t="str">
            <v>PUSF-781-2K WHITE-1LS</v>
          </cell>
          <cell r="E1726" t="str">
            <v>ZTRD</v>
          </cell>
          <cell r="F1726" t="str">
            <v>SET</v>
          </cell>
          <cell r="G1726" t="str">
            <v>X</v>
          </cell>
          <cell r="H1726" t="str">
            <v>TRD RETAIL</v>
          </cell>
          <cell r="I1726" t="str">
            <v>X2</v>
          </cell>
          <cell r="J1726" t="str">
            <v>WF2</v>
          </cell>
          <cell r="K1726" t="str">
            <v>X216</v>
          </cell>
          <cell r="L1726" t="str">
            <v>PU MULTIPURPOSE</v>
          </cell>
          <cell r="M1726" t="str">
            <v>X21601</v>
          </cell>
          <cell r="N1726" t="str">
            <v>PROPAN MP PU ACR RMX</v>
          </cell>
        </row>
        <row r="1727">
          <cell r="C1727" t="str">
            <v>170000070</v>
          </cell>
          <cell r="D1727" t="str">
            <v>PUSS-760-2K-1LS</v>
          </cell>
          <cell r="E1727" t="str">
            <v>ZTRD</v>
          </cell>
          <cell r="F1727" t="str">
            <v>SET</v>
          </cell>
          <cell r="G1727" t="str">
            <v>X</v>
          </cell>
          <cell r="H1727" t="str">
            <v>TRD RETAIL</v>
          </cell>
          <cell r="I1727" t="str">
            <v>X2</v>
          </cell>
          <cell r="J1727" t="str">
            <v>WF2</v>
          </cell>
          <cell r="K1727" t="str">
            <v>X216</v>
          </cell>
          <cell r="L1727" t="str">
            <v>PU MULTIPURPOSE</v>
          </cell>
          <cell r="M1727" t="str">
            <v>X21601</v>
          </cell>
          <cell r="N1727" t="str">
            <v>PROPAN MP PU ACR RMX</v>
          </cell>
        </row>
        <row r="1728">
          <cell r="C1728" t="str">
            <v>170000071</v>
          </cell>
          <cell r="D1728" t="str">
            <v>CERAKOTE 998 WHITE-3KS</v>
          </cell>
          <cell r="E1728" t="str">
            <v>ZTRD</v>
          </cell>
          <cell r="F1728" t="str">
            <v>SET</v>
          </cell>
          <cell r="G1728" t="str">
            <v>Y</v>
          </cell>
          <cell r="H1728" t="str">
            <v>TRD PROJECT</v>
          </cell>
          <cell r="I1728" t="str">
            <v>Y6</v>
          </cell>
          <cell r="J1728" t="str">
            <v>CPC1</v>
          </cell>
          <cell r="K1728" t="str">
            <v>Y604</v>
          </cell>
          <cell r="L1728" t="str">
            <v>CERAKOTE</v>
          </cell>
          <cell r="M1728" t="str">
            <v>Y60401</v>
          </cell>
          <cell r="N1728" t="str">
            <v>CERAKOTE</v>
          </cell>
        </row>
        <row r="1729">
          <cell r="C1729" t="str">
            <v>170000072</v>
          </cell>
          <cell r="D1729" t="str">
            <v>PCR 041 CE-1LS</v>
          </cell>
          <cell r="E1729" t="str">
            <v>ZTRD</v>
          </cell>
          <cell r="F1729" t="str">
            <v>SET</v>
          </cell>
          <cell r="G1729" t="str">
            <v>X</v>
          </cell>
          <cell r="H1729" t="str">
            <v>TRD RETAIL</v>
          </cell>
          <cell r="I1729" t="str">
            <v>XA</v>
          </cell>
          <cell r="J1729" t="str">
            <v>PCR</v>
          </cell>
          <cell r="K1729" t="str">
            <v>XA02</v>
          </cell>
          <cell r="L1729" t="str">
            <v>PCR</v>
          </cell>
          <cell r="M1729" t="str">
            <v>XA0201</v>
          </cell>
          <cell r="N1729" t="str">
            <v>PCR</v>
          </cell>
        </row>
        <row r="1730">
          <cell r="C1730" t="str">
            <v>170000073</v>
          </cell>
          <cell r="D1730" t="str">
            <v>#NUULTRAN UPL-77 E CLEAR GLOSS-3LS</v>
          </cell>
          <cell r="E1730" t="str">
            <v>ZTRD</v>
          </cell>
          <cell r="F1730" t="str">
            <v>SET</v>
          </cell>
          <cell r="G1730" t="str">
            <v>X</v>
          </cell>
          <cell r="H1730" t="str">
            <v>TRD RETAIL</v>
          </cell>
          <cell r="I1730" t="str">
            <v>X4</v>
          </cell>
          <cell r="J1730" t="str">
            <v>WF3</v>
          </cell>
          <cell r="K1730" t="str">
            <v>X413</v>
          </cell>
          <cell r="L1730" t="str">
            <v>ULTRAN</v>
          </cell>
          <cell r="M1730" t="str">
            <v>X41301</v>
          </cell>
          <cell r="N1730" t="str">
            <v>ULTRAN PARQUET LACK</v>
          </cell>
        </row>
        <row r="1731">
          <cell r="C1731" t="str">
            <v>170000074</v>
          </cell>
          <cell r="D1731" t="str">
            <v>#NUULTRAN UPL-77 E CLEAR MATT-3LS</v>
          </cell>
          <cell r="E1731" t="str">
            <v>ZTRD</v>
          </cell>
          <cell r="F1731" t="str">
            <v>SET</v>
          </cell>
          <cell r="G1731" t="str">
            <v>X</v>
          </cell>
          <cell r="H1731" t="str">
            <v>TRD RETAIL</v>
          </cell>
          <cell r="I1731" t="str">
            <v>X4</v>
          </cell>
          <cell r="J1731" t="str">
            <v>WF3</v>
          </cell>
          <cell r="K1731" t="str">
            <v>X413</v>
          </cell>
          <cell r="L1731" t="str">
            <v>ULTRAN</v>
          </cell>
          <cell r="M1731" t="str">
            <v>X41301</v>
          </cell>
          <cell r="N1731" t="str">
            <v>ULTRAN PARQUET LACK</v>
          </cell>
        </row>
        <row r="1732">
          <cell r="C1732" t="str">
            <v>170000075</v>
          </cell>
          <cell r="D1732" t="str">
            <v>ULTRAN UPL-77 E SEMI GLOSS-3LS</v>
          </cell>
          <cell r="E1732" t="str">
            <v>ZTRD</v>
          </cell>
          <cell r="F1732" t="str">
            <v>SET</v>
          </cell>
          <cell r="G1732" t="str">
            <v>X</v>
          </cell>
          <cell r="H1732" t="str">
            <v>TRD RETAIL</v>
          </cell>
          <cell r="I1732" t="str">
            <v>X4</v>
          </cell>
          <cell r="J1732" t="str">
            <v>WF3</v>
          </cell>
          <cell r="K1732" t="str">
            <v>X413</v>
          </cell>
          <cell r="L1732" t="str">
            <v>ULTRAN</v>
          </cell>
          <cell r="M1732" t="str">
            <v>X41301</v>
          </cell>
          <cell r="N1732" t="str">
            <v>ULTRAN PARQUET LACK</v>
          </cell>
        </row>
        <row r="1733">
          <cell r="C1733" t="str">
            <v>170000078</v>
          </cell>
          <cell r="D1733" t="str">
            <v>ULTRAN AEL-505 AKASIA-1L</v>
          </cell>
          <cell r="E1733" t="str">
            <v>ZTRD</v>
          </cell>
          <cell r="F1733" t="str">
            <v>PC</v>
          </cell>
          <cell r="G1733" t="str">
            <v>X</v>
          </cell>
          <cell r="H1733" t="str">
            <v>TRD RETAIL</v>
          </cell>
          <cell r="I1733" t="str">
            <v>X4</v>
          </cell>
          <cell r="J1733" t="str">
            <v>WF3</v>
          </cell>
          <cell r="K1733" t="str">
            <v>X413</v>
          </cell>
          <cell r="L1733" t="str">
            <v>ULTRAN</v>
          </cell>
          <cell r="M1733" t="str">
            <v>X41304</v>
          </cell>
          <cell r="N1733" t="str">
            <v>ULTRAN LASUR</v>
          </cell>
        </row>
        <row r="1734">
          <cell r="C1734" t="str">
            <v>170000079</v>
          </cell>
          <cell r="D1734" t="str">
            <v>ULTRAN AEL-505 SUNSET RED-1L</v>
          </cell>
          <cell r="E1734" t="str">
            <v>ZTRD</v>
          </cell>
          <cell r="F1734" t="str">
            <v>PC</v>
          </cell>
          <cell r="G1734" t="str">
            <v>X</v>
          </cell>
          <cell r="H1734" t="str">
            <v>TRD RETAIL</v>
          </cell>
          <cell r="I1734" t="str">
            <v>X4</v>
          </cell>
          <cell r="J1734" t="str">
            <v>WF3</v>
          </cell>
          <cell r="K1734" t="str">
            <v>X413</v>
          </cell>
          <cell r="L1734" t="str">
            <v>ULTRAN</v>
          </cell>
          <cell r="M1734" t="str">
            <v>X41304</v>
          </cell>
          <cell r="N1734" t="str">
            <v>ULTRAN LASUR</v>
          </cell>
        </row>
        <row r="1735">
          <cell r="C1735" t="str">
            <v>170000082</v>
          </cell>
          <cell r="D1735" t="str">
            <v>PFC-225 EPOCEM-2K</v>
          </cell>
          <cell r="E1735" t="str">
            <v>ZTRD</v>
          </cell>
          <cell r="F1735" t="str">
            <v>PC</v>
          </cell>
          <cell r="G1735" t="str">
            <v>Y</v>
          </cell>
          <cell r="H1735" t="str">
            <v>TRD PROJECT</v>
          </cell>
          <cell r="I1735" t="str">
            <v>Y6</v>
          </cell>
          <cell r="J1735" t="str">
            <v>CPC1</v>
          </cell>
          <cell r="K1735" t="str">
            <v>Y602</v>
          </cell>
          <cell r="L1735" t="str">
            <v>POLYFLOOR</v>
          </cell>
          <cell r="M1735" t="str">
            <v>Y60201</v>
          </cell>
          <cell r="N1735" t="str">
            <v>POLYFLOOR CEMENT</v>
          </cell>
        </row>
        <row r="1736">
          <cell r="C1736" t="str">
            <v>170000083</v>
          </cell>
          <cell r="D1736" t="str">
            <v>HARDENER PFC-225 EPOCEM-2K</v>
          </cell>
          <cell r="E1736" t="str">
            <v>ZTRD</v>
          </cell>
          <cell r="F1736" t="str">
            <v>PC</v>
          </cell>
          <cell r="G1736" t="str">
            <v>Y</v>
          </cell>
          <cell r="H1736" t="str">
            <v>TRD PROJECT</v>
          </cell>
          <cell r="I1736" t="str">
            <v>Y6</v>
          </cell>
          <cell r="J1736" t="str">
            <v>CPC1</v>
          </cell>
          <cell r="K1736" t="str">
            <v>Y607</v>
          </cell>
          <cell r="L1736" t="str">
            <v>OTHERS CPC1</v>
          </cell>
          <cell r="M1736" t="str">
            <v>Y60703</v>
          </cell>
          <cell r="N1736" t="str">
            <v>COMPLEMENTARY CPC1</v>
          </cell>
        </row>
        <row r="1737">
          <cell r="C1737" t="str">
            <v>170000084</v>
          </cell>
          <cell r="D1737" t="str">
            <v>CEMENT POWDER PFC-225 EPOCEM-19KZ</v>
          </cell>
          <cell r="E1737" t="str">
            <v>ZTRD</v>
          </cell>
          <cell r="F1737" t="str">
            <v>PC</v>
          </cell>
          <cell r="G1737" t="str">
            <v>Y</v>
          </cell>
          <cell r="H1737" t="str">
            <v>TRD PROJECT</v>
          </cell>
          <cell r="I1737" t="str">
            <v>Y6</v>
          </cell>
          <cell r="J1737" t="str">
            <v>CPC1</v>
          </cell>
          <cell r="K1737" t="str">
            <v>Y602</v>
          </cell>
          <cell r="L1737" t="str">
            <v>POLYFLOOR</v>
          </cell>
          <cell r="M1737" t="str">
            <v>Y60201</v>
          </cell>
          <cell r="N1737" t="str">
            <v>POLYFLOOR CEMENT</v>
          </cell>
        </row>
        <row r="1738">
          <cell r="C1738" t="str">
            <v>170000085</v>
          </cell>
          <cell r="D1738" t="str">
            <v>PFC-225 SEALER-2K</v>
          </cell>
          <cell r="E1738" t="str">
            <v>ZTRD</v>
          </cell>
          <cell r="F1738" t="str">
            <v>PC</v>
          </cell>
          <cell r="G1738" t="str">
            <v>Y</v>
          </cell>
          <cell r="H1738" t="str">
            <v>TRD PROJECT</v>
          </cell>
          <cell r="I1738" t="str">
            <v>Y6</v>
          </cell>
          <cell r="J1738" t="str">
            <v>CPC1</v>
          </cell>
          <cell r="K1738" t="str">
            <v>Y602</v>
          </cell>
          <cell r="L1738" t="str">
            <v>POLYFLOOR</v>
          </cell>
          <cell r="M1738" t="str">
            <v>Y60201</v>
          </cell>
          <cell r="N1738" t="str">
            <v>POLYFLOOR CEMENT</v>
          </cell>
        </row>
        <row r="1739">
          <cell r="C1739" t="str">
            <v>170000086</v>
          </cell>
          <cell r="D1739" t="str">
            <v>HARDENER PFC-225 SEALER-2K</v>
          </cell>
          <cell r="E1739" t="str">
            <v>ZTRD</v>
          </cell>
          <cell r="F1739" t="str">
            <v>PC</v>
          </cell>
          <cell r="G1739" t="str">
            <v>Y</v>
          </cell>
          <cell r="H1739" t="str">
            <v>TRD PROJECT</v>
          </cell>
          <cell r="I1739" t="str">
            <v>Y6</v>
          </cell>
          <cell r="J1739" t="str">
            <v>CPC1</v>
          </cell>
          <cell r="K1739" t="str">
            <v>Y607</v>
          </cell>
          <cell r="L1739" t="str">
            <v>OTHERS CPC1</v>
          </cell>
          <cell r="M1739" t="str">
            <v>Y60703</v>
          </cell>
          <cell r="N1739" t="str">
            <v>COMPLEMENTARY CPC1</v>
          </cell>
        </row>
        <row r="1740">
          <cell r="C1740" t="str">
            <v>170000095</v>
          </cell>
          <cell r="D1740" t="str">
            <v>DP-4011 PRIMER-18LP</v>
          </cell>
          <cell r="E1740" t="str">
            <v>ZTRD</v>
          </cell>
          <cell r="F1740" t="str">
            <v>PC</v>
          </cell>
          <cell r="G1740" t="str">
            <v>3</v>
          </cell>
          <cell r="H1740" t="str">
            <v>TRADING</v>
          </cell>
          <cell r="I1740" t="str">
            <v>38</v>
          </cell>
          <cell r="J1740" t="str">
            <v>ALKANA TRADING</v>
          </cell>
          <cell r="K1740" t="str">
            <v>3801</v>
          </cell>
          <cell r="L1740" t="str">
            <v>COATING</v>
          </cell>
          <cell r="M1740" t="str">
            <v>380101</v>
          </cell>
          <cell r="N1740" t="str">
            <v>DECOR PLAST</v>
          </cell>
        </row>
        <row r="1741">
          <cell r="C1741" t="str">
            <v>170000096</v>
          </cell>
          <cell r="D1741" t="str">
            <v>DP-4011 PRIMER-5L</v>
          </cell>
          <cell r="E1741" t="str">
            <v>ZTRD</v>
          </cell>
          <cell r="F1741" t="str">
            <v>PC</v>
          </cell>
          <cell r="G1741" t="str">
            <v>3</v>
          </cell>
          <cell r="H1741" t="str">
            <v>TRADING</v>
          </cell>
          <cell r="I1741" t="str">
            <v>38</v>
          </cell>
          <cell r="J1741" t="str">
            <v>ALKANA TRADING</v>
          </cell>
          <cell r="K1741" t="str">
            <v>3801</v>
          </cell>
          <cell r="L1741" t="str">
            <v>COATING</v>
          </cell>
          <cell r="M1741" t="str">
            <v>380101</v>
          </cell>
          <cell r="N1741" t="str">
            <v>DECOR PLAST</v>
          </cell>
        </row>
        <row r="1742">
          <cell r="C1742" t="str">
            <v>170000097</v>
          </cell>
          <cell r="D1742" t="str">
            <v>#NOT USED 0 DEEP OASIS 5106-18LP</v>
          </cell>
          <cell r="E1742" t="str">
            <v>ZTRD</v>
          </cell>
          <cell r="F1742" t="str">
            <v>PC</v>
          </cell>
          <cell r="G1742" t="str">
            <v>3</v>
          </cell>
          <cell r="H1742" t="str">
            <v>TRADING</v>
          </cell>
          <cell r="I1742" t="str">
            <v>38</v>
          </cell>
          <cell r="J1742" t="str">
            <v>ALKANA TRADING</v>
          </cell>
          <cell r="K1742" t="str">
            <v>3801</v>
          </cell>
          <cell r="L1742" t="str">
            <v>COATING</v>
          </cell>
          <cell r="M1742" t="str">
            <v>380101</v>
          </cell>
          <cell r="N1742" t="str">
            <v>DECOR PLAST</v>
          </cell>
        </row>
        <row r="1743">
          <cell r="C1743" t="str">
            <v>170000098</v>
          </cell>
          <cell r="D1743" t="str">
            <v>#NOT USED 0 DEEP OASIS 5106-3.8L</v>
          </cell>
          <cell r="E1743" t="str">
            <v>ZTRD</v>
          </cell>
          <cell r="F1743" t="str">
            <v>PC</v>
          </cell>
          <cell r="G1743" t="str">
            <v>3</v>
          </cell>
          <cell r="H1743" t="str">
            <v>TRADING</v>
          </cell>
          <cell r="I1743" t="str">
            <v>38</v>
          </cell>
          <cell r="J1743" t="str">
            <v>ALKANA TRADING</v>
          </cell>
          <cell r="K1743" t="str">
            <v>3801</v>
          </cell>
          <cell r="L1743" t="str">
            <v>COATING</v>
          </cell>
          <cell r="M1743" t="str">
            <v>380101</v>
          </cell>
          <cell r="N1743" t="str">
            <v>DECOR PLAST</v>
          </cell>
        </row>
        <row r="1744">
          <cell r="C1744" t="str">
            <v>170000099</v>
          </cell>
          <cell r="D1744" t="str">
            <v>DP-4010 BLOSSOM 1149-18LP</v>
          </cell>
          <cell r="E1744" t="str">
            <v>ZTRD</v>
          </cell>
          <cell r="F1744" t="str">
            <v>PC</v>
          </cell>
          <cell r="G1744" t="str">
            <v>3</v>
          </cell>
          <cell r="H1744" t="str">
            <v>TRADING</v>
          </cell>
          <cell r="I1744" t="str">
            <v>38</v>
          </cell>
          <cell r="J1744" t="str">
            <v>ALKANA TRADING</v>
          </cell>
          <cell r="K1744" t="str">
            <v>3801</v>
          </cell>
          <cell r="L1744" t="str">
            <v>COATING</v>
          </cell>
          <cell r="M1744" t="str">
            <v>380101</v>
          </cell>
          <cell r="N1744" t="str">
            <v>DECOR PLAST</v>
          </cell>
        </row>
        <row r="1745">
          <cell r="C1745" t="str">
            <v>170000100</v>
          </cell>
          <cell r="D1745" t="str">
            <v>#NOT USED 0 BLOSSOM 1149-3.8L</v>
          </cell>
          <cell r="E1745" t="str">
            <v>ZTRD</v>
          </cell>
          <cell r="F1745" t="str">
            <v>PC</v>
          </cell>
          <cell r="G1745" t="str">
            <v>3</v>
          </cell>
          <cell r="H1745" t="str">
            <v>TRADING</v>
          </cell>
          <cell r="I1745" t="str">
            <v>38</v>
          </cell>
          <cell r="J1745" t="str">
            <v>ALKANA TRADING</v>
          </cell>
          <cell r="K1745" t="str">
            <v>3801</v>
          </cell>
          <cell r="L1745" t="str">
            <v>COATING</v>
          </cell>
          <cell r="M1745" t="str">
            <v>380101</v>
          </cell>
          <cell r="N1745" t="str">
            <v>DECOR PLAST</v>
          </cell>
        </row>
        <row r="1746">
          <cell r="C1746" t="str">
            <v>170000101</v>
          </cell>
          <cell r="D1746" t="str">
            <v>DP-4010 BROKEN WHITE 8108-18LP</v>
          </cell>
          <cell r="E1746" t="str">
            <v>ZTRD</v>
          </cell>
          <cell r="F1746" t="str">
            <v>PC</v>
          </cell>
          <cell r="G1746" t="str">
            <v>3</v>
          </cell>
          <cell r="H1746" t="str">
            <v>TRADING</v>
          </cell>
          <cell r="I1746" t="str">
            <v>38</v>
          </cell>
          <cell r="J1746" t="str">
            <v>ALKANA TRADING</v>
          </cell>
          <cell r="K1746" t="str">
            <v>3801</v>
          </cell>
          <cell r="L1746" t="str">
            <v>COATING</v>
          </cell>
          <cell r="M1746" t="str">
            <v>380101</v>
          </cell>
          <cell r="N1746" t="str">
            <v>DECOR PLAST</v>
          </cell>
        </row>
        <row r="1747">
          <cell r="C1747" t="str">
            <v>170000102</v>
          </cell>
          <cell r="D1747" t="str">
            <v>#NOT USED 0 BROKEN WHITE 8108-3.8L</v>
          </cell>
          <cell r="E1747" t="str">
            <v>ZTRD</v>
          </cell>
          <cell r="F1747" t="str">
            <v>PC</v>
          </cell>
          <cell r="G1747" t="str">
            <v>3</v>
          </cell>
          <cell r="H1747" t="str">
            <v>TRADING</v>
          </cell>
          <cell r="I1747" t="str">
            <v>38</v>
          </cell>
          <cell r="J1747" t="str">
            <v>ALKANA TRADING</v>
          </cell>
          <cell r="K1747" t="str">
            <v>3801</v>
          </cell>
          <cell r="L1747" t="str">
            <v>COATING</v>
          </cell>
          <cell r="M1747" t="str">
            <v>380101</v>
          </cell>
          <cell r="N1747" t="str">
            <v>DECOR PLAST</v>
          </cell>
        </row>
        <row r="1748">
          <cell r="C1748" t="str">
            <v>170000103</v>
          </cell>
          <cell r="D1748" t="str">
            <v>DP-4010 LEMON LIGHT 1156-18LP</v>
          </cell>
          <cell r="E1748" t="str">
            <v>ZTRD</v>
          </cell>
          <cell r="F1748" t="str">
            <v>PC</v>
          </cell>
          <cell r="G1748" t="str">
            <v>3</v>
          </cell>
          <cell r="H1748" t="str">
            <v>TRADING</v>
          </cell>
          <cell r="I1748" t="str">
            <v>38</v>
          </cell>
          <cell r="J1748" t="str">
            <v>ALKANA TRADING</v>
          </cell>
          <cell r="K1748" t="str">
            <v>3801</v>
          </cell>
          <cell r="L1748" t="str">
            <v>COATING</v>
          </cell>
          <cell r="M1748" t="str">
            <v>380101</v>
          </cell>
          <cell r="N1748" t="str">
            <v>DECOR PLAST</v>
          </cell>
        </row>
        <row r="1749">
          <cell r="C1749" t="str">
            <v>170000104</v>
          </cell>
          <cell r="D1749" t="str">
            <v>#NOT USED 0 LEMON LIGHT 1156-3.8L</v>
          </cell>
          <cell r="E1749" t="str">
            <v>ZTRD</v>
          </cell>
          <cell r="F1749" t="str">
            <v>PC</v>
          </cell>
          <cell r="G1749" t="str">
            <v>3</v>
          </cell>
          <cell r="H1749" t="str">
            <v>TRADING</v>
          </cell>
          <cell r="I1749" t="str">
            <v>38</v>
          </cell>
          <cell r="J1749" t="str">
            <v>ALKANA TRADING</v>
          </cell>
          <cell r="K1749" t="str">
            <v>3801</v>
          </cell>
          <cell r="L1749" t="str">
            <v>COATING</v>
          </cell>
          <cell r="M1749" t="str">
            <v>380101</v>
          </cell>
          <cell r="N1749" t="str">
            <v>DECOR PLAST</v>
          </cell>
        </row>
        <row r="1750">
          <cell r="C1750" t="str">
            <v>170000105</v>
          </cell>
          <cell r="D1750" t="str">
            <v>DP-4010 PRIME WHITE 5105-18LP</v>
          </cell>
          <cell r="E1750" t="str">
            <v>ZTRD</v>
          </cell>
          <cell r="F1750" t="str">
            <v>PC</v>
          </cell>
          <cell r="G1750" t="str">
            <v>3</v>
          </cell>
          <cell r="H1750" t="str">
            <v>TRADING</v>
          </cell>
          <cell r="I1750" t="str">
            <v>38</v>
          </cell>
          <cell r="J1750" t="str">
            <v>ALKANA TRADING</v>
          </cell>
          <cell r="K1750" t="str">
            <v>3801</v>
          </cell>
          <cell r="L1750" t="str">
            <v>COATING</v>
          </cell>
          <cell r="M1750" t="str">
            <v>380101</v>
          </cell>
          <cell r="N1750" t="str">
            <v>DECOR PLAST</v>
          </cell>
        </row>
        <row r="1751">
          <cell r="C1751" t="str">
            <v>170000106</v>
          </cell>
          <cell r="D1751" t="str">
            <v>#NOT USED 0 PRIME WHITE 5105-3.8L</v>
          </cell>
          <cell r="E1751" t="str">
            <v>ZTRD</v>
          </cell>
          <cell r="F1751" t="str">
            <v>PC</v>
          </cell>
          <cell r="G1751" t="str">
            <v>3</v>
          </cell>
          <cell r="H1751" t="str">
            <v>TRADING</v>
          </cell>
          <cell r="I1751" t="str">
            <v>38</v>
          </cell>
          <cell r="J1751" t="str">
            <v>ALKANA TRADING</v>
          </cell>
          <cell r="K1751" t="str">
            <v>3801</v>
          </cell>
          <cell r="L1751" t="str">
            <v>COATING</v>
          </cell>
          <cell r="M1751" t="str">
            <v>380101</v>
          </cell>
          <cell r="N1751" t="str">
            <v>DECOR PLAST</v>
          </cell>
        </row>
        <row r="1752">
          <cell r="C1752" t="str">
            <v>170000107</v>
          </cell>
          <cell r="D1752" t="str">
            <v>DP-4010 TWILIGHT TWINKLE 6119-18LP</v>
          </cell>
          <cell r="E1752" t="str">
            <v>ZTRD</v>
          </cell>
          <cell r="F1752" t="str">
            <v>PC</v>
          </cell>
          <cell r="G1752" t="str">
            <v>3</v>
          </cell>
          <cell r="H1752" t="str">
            <v>TRADING</v>
          </cell>
          <cell r="I1752" t="str">
            <v>38</v>
          </cell>
          <cell r="J1752" t="str">
            <v>ALKANA TRADING</v>
          </cell>
          <cell r="K1752" t="str">
            <v>3801</v>
          </cell>
          <cell r="L1752" t="str">
            <v>COATING</v>
          </cell>
          <cell r="M1752" t="str">
            <v>380101</v>
          </cell>
          <cell r="N1752" t="str">
            <v>DECOR PLAST</v>
          </cell>
        </row>
        <row r="1753">
          <cell r="C1753" t="str">
            <v>170000108</v>
          </cell>
          <cell r="D1753" t="str">
            <v>#NOT USED 0 TWILIGHT TWINKLE 6119-3.8L</v>
          </cell>
          <cell r="E1753" t="str">
            <v>ZTRD</v>
          </cell>
          <cell r="F1753" t="str">
            <v>PC</v>
          </cell>
          <cell r="G1753" t="str">
            <v>3</v>
          </cell>
          <cell r="H1753" t="str">
            <v>TRADING</v>
          </cell>
          <cell r="I1753" t="str">
            <v>38</v>
          </cell>
          <cell r="J1753" t="str">
            <v>ALKANA TRADING</v>
          </cell>
          <cell r="K1753" t="str">
            <v>3801</v>
          </cell>
          <cell r="L1753" t="str">
            <v>COATING</v>
          </cell>
          <cell r="M1753" t="str">
            <v>380101</v>
          </cell>
          <cell r="N1753" t="str">
            <v>DECOR PLAST</v>
          </cell>
        </row>
        <row r="1754">
          <cell r="C1754" t="str">
            <v>170000109</v>
          </cell>
          <cell r="D1754" t="str">
            <v>DP-4010 ICE AGE 6114-18LP</v>
          </cell>
          <cell r="E1754" t="str">
            <v>ZTRD</v>
          </cell>
          <cell r="F1754" t="str">
            <v>PC</v>
          </cell>
          <cell r="G1754" t="str">
            <v>3</v>
          </cell>
          <cell r="H1754" t="str">
            <v>TRADING</v>
          </cell>
          <cell r="I1754" t="str">
            <v>38</v>
          </cell>
          <cell r="J1754" t="str">
            <v>ALKANA TRADING</v>
          </cell>
          <cell r="K1754" t="str">
            <v>3801</v>
          </cell>
          <cell r="L1754" t="str">
            <v>COATING</v>
          </cell>
          <cell r="M1754" t="str">
            <v>380101</v>
          </cell>
          <cell r="N1754" t="str">
            <v>DECOR PLAST</v>
          </cell>
        </row>
        <row r="1755">
          <cell r="C1755" t="str">
            <v>170000110</v>
          </cell>
          <cell r="D1755" t="str">
            <v>#NOT USED 0 ICE AGE 6114-3.8L</v>
          </cell>
          <cell r="E1755" t="str">
            <v>ZTRD</v>
          </cell>
          <cell r="F1755" t="str">
            <v>PC</v>
          </cell>
          <cell r="G1755" t="str">
            <v>3</v>
          </cell>
          <cell r="H1755" t="str">
            <v>TRADING</v>
          </cell>
          <cell r="I1755" t="str">
            <v>38</v>
          </cell>
          <cell r="J1755" t="str">
            <v>ALKANA TRADING</v>
          </cell>
          <cell r="K1755" t="str">
            <v>3801</v>
          </cell>
          <cell r="L1755" t="str">
            <v>COATING</v>
          </cell>
          <cell r="M1755" t="str">
            <v>380101</v>
          </cell>
          <cell r="N1755" t="str">
            <v>DECOR PLAST</v>
          </cell>
        </row>
        <row r="1756">
          <cell r="C1756" t="str">
            <v>170000111</v>
          </cell>
          <cell r="D1756" t="str">
            <v>DP-4010 QUIET CORAL 2117-18LP</v>
          </cell>
          <cell r="E1756" t="str">
            <v>ZTRD</v>
          </cell>
          <cell r="F1756" t="str">
            <v>PC</v>
          </cell>
          <cell r="G1756" t="str">
            <v>3</v>
          </cell>
          <cell r="H1756" t="str">
            <v>TRADING</v>
          </cell>
          <cell r="I1756" t="str">
            <v>38</v>
          </cell>
          <cell r="J1756" t="str">
            <v>ALKANA TRADING</v>
          </cell>
          <cell r="K1756" t="str">
            <v>3801</v>
          </cell>
          <cell r="L1756" t="str">
            <v>COATING</v>
          </cell>
          <cell r="M1756" t="str">
            <v>380101</v>
          </cell>
          <cell r="N1756" t="str">
            <v>DECOR PLAST</v>
          </cell>
        </row>
        <row r="1757">
          <cell r="C1757" t="str">
            <v>170000112</v>
          </cell>
          <cell r="D1757" t="str">
            <v>DP-4010 QUIET CORAL 2117-3.8L</v>
          </cell>
          <cell r="E1757" t="str">
            <v>ZTRD</v>
          </cell>
          <cell r="F1757" t="str">
            <v>PC</v>
          </cell>
          <cell r="G1757" t="str">
            <v>3</v>
          </cell>
          <cell r="H1757" t="str">
            <v>TRADING</v>
          </cell>
          <cell r="I1757" t="str">
            <v>38</v>
          </cell>
          <cell r="J1757" t="str">
            <v>ALKANA TRADING</v>
          </cell>
          <cell r="K1757" t="str">
            <v>3801</v>
          </cell>
          <cell r="L1757" t="str">
            <v>COATING</v>
          </cell>
          <cell r="M1757" t="str">
            <v>380101</v>
          </cell>
          <cell r="N1757" t="str">
            <v>DECOR PLAST</v>
          </cell>
        </row>
        <row r="1758">
          <cell r="C1758" t="str">
            <v>170000113</v>
          </cell>
          <cell r="D1758" t="str">
            <v>DP-4010 DESERT DAZE 2116-18LP</v>
          </cell>
          <cell r="E1758" t="str">
            <v>ZTRD</v>
          </cell>
          <cell r="F1758" t="str">
            <v>PC</v>
          </cell>
          <cell r="G1758" t="str">
            <v>3</v>
          </cell>
          <cell r="H1758" t="str">
            <v>TRADING</v>
          </cell>
          <cell r="I1758" t="str">
            <v>38</v>
          </cell>
          <cell r="J1758" t="str">
            <v>ALKANA TRADING</v>
          </cell>
          <cell r="K1758" t="str">
            <v>3801</v>
          </cell>
          <cell r="L1758" t="str">
            <v>COATING</v>
          </cell>
          <cell r="M1758" t="str">
            <v>380101</v>
          </cell>
          <cell r="N1758" t="str">
            <v>DECOR PLAST</v>
          </cell>
        </row>
        <row r="1759">
          <cell r="C1759" t="str">
            <v>170000114</v>
          </cell>
          <cell r="D1759" t="str">
            <v>DP-4010 DESERT DAZE 2116-3.8L</v>
          </cell>
          <cell r="E1759" t="str">
            <v>ZTRD</v>
          </cell>
          <cell r="F1759" t="str">
            <v>PC</v>
          </cell>
          <cell r="G1759" t="str">
            <v>3</v>
          </cell>
          <cell r="H1759" t="str">
            <v>TRADING</v>
          </cell>
          <cell r="I1759" t="str">
            <v>38</v>
          </cell>
          <cell r="J1759" t="str">
            <v>ALKANA TRADING</v>
          </cell>
          <cell r="K1759" t="str">
            <v>3801</v>
          </cell>
          <cell r="L1759" t="str">
            <v>COATING</v>
          </cell>
          <cell r="M1759" t="str">
            <v>380101</v>
          </cell>
          <cell r="N1759" t="str">
            <v>DECOR PLAST</v>
          </cell>
        </row>
        <row r="1760">
          <cell r="C1760" t="str">
            <v>170000115</v>
          </cell>
          <cell r="D1760" t="str">
            <v>DP-4010 JASMINE 2105-18LP</v>
          </cell>
          <cell r="E1760" t="str">
            <v>ZTRD</v>
          </cell>
          <cell r="F1760" t="str">
            <v>PC</v>
          </cell>
          <cell r="G1760" t="str">
            <v>3</v>
          </cell>
          <cell r="H1760" t="str">
            <v>TRADING</v>
          </cell>
          <cell r="I1760" t="str">
            <v>38</v>
          </cell>
          <cell r="J1760" t="str">
            <v>ALKANA TRADING</v>
          </cell>
          <cell r="K1760" t="str">
            <v>3801</v>
          </cell>
          <cell r="L1760" t="str">
            <v>COATING</v>
          </cell>
          <cell r="M1760" t="str">
            <v>380101</v>
          </cell>
          <cell r="N1760" t="str">
            <v>DECOR PLAST</v>
          </cell>
        </row>
        <row r="1761">
          <cell r="C1761" t="str">
            <v>170000116</v>
          </cell>
          <cell r="D1761" t="str">
            <v>#NOT USED 0 JASMINE 2105-3.8L</v>
          </cell>
          <cell r="E1761" t="str">
            <v>ZTRD</v>
          </cell>
          <cell r="F1761" t="str">
            <v>PC</v>
          </cell>
          <cell r="G1761" t="str">
            <v>3</v>
          </cell>
          <cell r="H1761" t="str">
            <v>TRADING</v>
          </cell>
          <cell r="I1761" t="str">
            <v>38</v>
          </cell>
          <cell r="J1761" t="str">
            <v>ALKANA TRADING</v>
          </cell>
          <cell r="K1761" t="str">
            <v>3801</v>
          </cell>
          <cell r="L1761" t="str">
            <v>COATING</v>
          </cell>
          <cell r="M1761" t="str">
            <v>380101</v>
          </cell>
          <cell r="N1761" t="str">
            <v>DECOR PLAST</v>
          </cell>
        </row>
        <row r="1762">
          <cell r="C1762" t="str">
            <v>170000117</v>
          </cell>
          <cell r="D1762" t="str">
            <v>DP-4010 GREEN VILLE 7130-18LP</v>
          </cell>
          <cell r="E1762" t="str">
            <v>ZTRD</v>
          </cell>
          <cell r="F1762" t="str">
            <v>PC</v>
          </cell>
          <cell r="G1762" t="str">
            <v>3</v>
          </cell>
          <cell r="H1762" t="str">
            <v>TRADING</v>
          </cell>
          <cell r="I1762" t="str">
            <v>38</v>
          </cell>
          <cell r="J1762" t="str">
            <v>ALKANA TRADING</v>
          </cell>
          <cell r="K1762" t="str">
            <v>3801</v>
          </cell>
          <cell r="L1762" t="str">
            <v>COATING</v>
          </cell>
          <cell r="M1762" t="str">
            <v>380101</v>
          </cell>
          <cell r="N1762" t="str">
            <v>DECOR PLAST</v>
          </cell>
        </row>
        <row r="1763">
          <cell r="C1763" t="str">
            <v>170000118</v>
          </cell>
          <cell r="D1763" t="str">
            <v>#NOT USED 0 GREEN VILLE 7130-3.8L</v>
          </cell>
          <cell r="E1763" t="str">
            <v>ZTRD</v>
          </cell>
          <cell r="F1763" t="str">
            <v>PC</v>
          </cell>
          <cell r="G1763" t="str">
            <v>3</v>
          </cell>
          <cell r="H1763" t="str">
            <v>TRADING</v>
          </cell>
          <cell r="I1763" t="str">
            <v>38</v>
          </cell>
          <cell r="J1763" t="str">
            <v>ALKANA TRADING</v>
          </cell>
          <cell r="K1763" t="str">
            <v>3801</v>
          </cell>
          <cell r="L1763" t="str">
            <v>COATING</v>
          </cell>
          <cell r="M1763" t="str">
            <v>380101</v>
          </cell>
          <cell r="N1763" t="str">
            <v>DECOR PLAST</v>
          </cell>
        </row>
        <row r="1764">
          <cell r="C1764" t="str">
            <v>170000119</v>
          </cell>
          <cell r="D1764" t="str">
            <v>DP-4010 CASCADE 1113-18LP</v>
          </cell>
          <cell r="E1764" t="str">
            <v>ZTRD</v>
          </cell>
          <cell r="F1764" t="str">
            <v>PC</v>
          </cell>
          <cell r="G1764" t="str">
            <v>3</v>
          </cell>
          <cell r="H1764" t="str">
            <v>TRADING</v>
          </cell>
          <cell r="I1764" t="str">
            <v>38</v>
          </cell>
          <cell r="J1764" t="str">
            <v>ALKANA TRADING</v>
          </cell>
          <cell r="K1764" t="str">
            <v>3801</v>
          </cell>
          <cell r="L1764" t="str">
            <v>COATING</v>
          </cell>
          <cell r="M1764" t="str">
            <v>380101</v>
          </cell>
          <cell r="N1764" t="str">
            <v>DECOR PLAST</v>
          </cell>
        </row>
        <row r="1765">
          <cell r="C1765" t="str">
            <v>170000120</v>
          </cell>
          <cell r="D1765" t="str">
            <v>#NOT USED 0 CASCADE 1113-3.8L</v>
          </cell>
          <cell r="E1765" t="str">
            <v>ZTRD</v>
          </cell>
          <cell r="F1765" t="str">
            <v>PC</v>
          </cell>
          <cell r="G1765" t="str">
            <v>3</v>
          </cell>
          <cell r="H1765" t="str">
            <v>TRADING</v>
          </cell>
          <cell r="I1765" t="str">
            <v>38</v>
          </cell>
          <cell r="J1765" t="str">
            <v>ALKANA TRADING</v>
          </cell>
          <cell r="K1765" t="str">
            <v>3801</v>
          </cell>
          <cell r="L1765" t="str">
            <v>COATING</v>
          </cell>
          <cell r="M1765" t="str">
            <v>380101</v>
          </cell>
          <cell r="N1765" t="str">
            <v>DECOR PLAST</v>
          </cell>
        </row>
        <row r="1766">
          <cell r="C1766" t="str">
            <v>170000121</v>
          </cell>
          <cell r="D1766" t="str">
            <v>DP-4010 WHITE 9101-18LP</v>
          </cell>
          <cell r="E1766" t="str">
            <v>ZTRD</v>
          </cell>
          <cell r="F1766" t="str">
            <v>PC</v>
          </cell>
          <cell r="G1766" t="str">
            <v>3</v>
          </cell>
          <cell r="H1766" t="str">
            <v>TRADING</v>
          </cell>
          <cell r="I1766" t="str">
            <v>38</v>
          </cell>
          <cell r="J1766" t="str">
            <v>ALKANA TRADING</v>
          </cell>
          <cell r="K1766" t="str">
            <v>3801</v>
          </cell>
          <cell r="L1766" t="str">
            <v>COATING</v>
          </cell>
          <cell r="M1766" t="str">
            <v>380101</v>
          </cell>
          <cell r="N1766" t="str">
            <v>DECOR PLAST</v>
          </cell>
        </row>
        <row r="1767">
          <cell r="C1767" t="str">
            <v>170000122</v>
          </cell>
          <cell r="D1767" t="str">
            <v>DP-4010 WHITE 9101-3.8L</v>
          </cell>
          <cell r="E1767" t="str">
            <v>ZTRD</v>
          </cell>
          <cell r="F1767" t="str">
            <v>PC</v>
          </cell>
          <cell r="G1767" t="str">
            <v>3</v>
          </cell>
          <cell r="H1767" t="str">
            <v>TRADING</v>
          </cell>
          <cell r="I1767" t="str">
            <v>38</v>
          </cell>
          <cell r="J1767" t="str">
            <v>ALKANA TRADING</v>
          </cell>
          <cell r="K1767" t="str">
            <v>3801</v>
          </cell>
          <cell r="L1767" t="str">
            <v>COATING</v>
          </cell>
          <cell r="M1767" t="str">
            <v>380101</v>
          </cell>
          <cell r="N1767" t="str">
            <v>DECOR PLAST</v>
          </cell>
        </row>
        <row r="1768">
          <cell r="C1768" t="str">
            <v>170000123</v>
          </cell>
          <cell r="D1768" t="str">
            <v>DP-4010 BASE-18LP</v>
          </cell>
          <cell r="E1768" t="str">
            <v>ZTRD</v>
          </cell>
          <cell r="F1768" t="str">
            <v>PC</v>
          </cell>
          <cell r="G1768" t="str">
            <v>3</v>
          </cell>
          <cell r="H1768" t="str">
            <v>TRADING</v>
          </cell>
          <cell r="I1768" t="str">
            <v>38</v>
          </cell>
          <cell r="J1768" t="str">
            <v>ALKANA TRADING</v>
          </cell>
          <cell r="K1768" t="str">
            <v>3801</v>
          </cell>
          <cell r="L1768" t="str">
            <v>COATING</v>
          </cell>
          <cell r="M1768" t="str">
            <v>380101</v>
          </cell>
          <cell r="N1768" t="str">
            <v>DECOR PLAST</v>
          </cell>
        </row>
        <row r="1769">
          <cell r="C1769" t="str">
            <v>170000124</v>
          </cell>
          <cell r="D1769" t="str">
            <v>DP-4010 BASE-3.8L</v>
          </cell>
          <cell r="E1769" t="str">
            <v>ZTRD</v>
          </cell>
          <cell r="F1769" t="str">
            <v>PC</v>
          </cell>
          <cell r="G1769" t="str">
            <v>3</v>
          </cell>
          <cell r="H1769" t="str">
            <v>TRADING</v>
          </cell>
          <cell r="I1769" t="str">
            <v>38</v>
          </cell>
          <cell r="J1769" t="str">
            <v>ALKANA TRADING</v>
          </cell>
          <cell r="K1769" t="str">
            <v>3801</v>
          </cell>
          <cell r="L1769" t="str">
            <v>COATING</v>
          </cell>
          <cell r="M1769" t="str">
            <v>380101</v>
          </cell>
          <cell r="N1769" t="str">
            <v>DECOR PLAST</v>
          </cell>
        </row>
        <row r="1770">
          <cell r="C1770" t="str">
            <v>170000125</v>
          </cell>
          <cell r="D1770" t="str">
            <v>DP-4010 BASE-5L</v>
          </cell>
          <cell r="E1770" t="str">
            <v>ZTRD</v>
          </cell>
          <cell r="F1770" t="str">
            <v>PC</v>
          </cell>
          <cell r="G1770" t="str">
            <v>3</v>
          </cell>
          <cell r="H1770" t="str">
            <v>TRADING</v>
          </cell>
          <cell r="I1770" t="str">
            <v>38</v>
          </cell>
          <cell r="J1770" t="str">
            <v>ALKANA TRADING</v>
          </cell>
          <cell r="K1770" t="str">
            <v>3801</v>
          </cell>
          <cell r="L1770" t="str">
            <v>COATING</v>
          </cell>
          <cell r="M1770" t="str">
            <v>380101</v>
          </cell>
          <cell r="N1770" t="str">
            <v>DECOR PLAST</v>
          </cell>
        </row>
        <row r="1771">
          <cell r="C1771" t="str">
            <v>170000126</v>
          </cell>
          <cell r="D1771" t="str">
            <v>DP-4011 COZY LIGHT 1157-18LP</v>
          </cell>
          <cell r="E1771" t="str">
            <v>ZTRD</v>
          </cell>
          <cell r="F1771" t="str">
            <v>PC</v>
          </cell>
          <cell r="G1771" t="str">
            <v>3</v>
          </cell>
          <cell r="H1771" t="str">
            <v>TRADING</v>
          </cell>
          <cell r="I1771" t="str">
            <v>38</v>
          </cell>
          <cell r="J1771" t="str">
            <v>ALKANA TRADING</v>
          </cell>
          <cell r="K1771" t="str">
            <v>3801</v>
          </cell>
          <cell r="L1771" t="str">
            <v>COATING</v>
          </cell>
          <cell r="M1771" t="str">
            <v>380101</v>
          </cell>
          <cell r="N1771" t="str">
            <v>DECOR PLAST</v>
          </cell>
        </row>
        <row r="1772">
          <cell r="C1772" t="str">
            <v>170000127</v>
          </cell>
          <cell r="D1772" t="str">
            <v>DP-4011 COZY LIGHT 1157-5L</v>
          </cell>
          <cell r="E1772" t="str">
            <v>ZTRD</v>
          </cell>
          <cell r="F1772" t="str">
            <v>PC</v>
          </cell>
          <cell r="G1772" t="str">
            <v>3</v>
          </cell>
          <cell r="H1772" t="str">
            <v>TRADING</v>
          </cell>
          <cell r="I1772" t="str">
            <v>38</v>
          </cell>
          <cell r="J1772" t="str">
            <v>ALKANA TRADING</v>
          </cell>
          <cell r="K1772" t="str">
            <v>3801</v>
          </cell>
          <cell r="L1772" t="str">
            <v>COATING</v>
          </cell>
          <cell r="M1772" t="str">
            <v>380101</v>
          </cell>
          <cell r="N1772" t="str">
            <v>DECOR PLAST</v>
          </cell>
        </row>
        <row r="1773">
          <cell r="C1773" t="str">
            <v>170000128</v>
          </cell>
          <cell r="D1773" t="str">
            <v>DP-4011 WHEAT 1158-18LP</v>
          </cell>
          <cell r="E1773" t="str">
            <v>ZTRD</v>
          </cell>
          <cell r="F1773" t="str">
            <v>PC</v>
          </cell>
          <cell r="G1773" t="str">
            <v>3</v>
          </cell>
          <cell r="H1773" t="str">
            <v>TRADING</v>
          </cell>
          <cell r="I1773" t="str">
            <v>38</v>
          </cell>
          <cell r="J1773" t="str">
            <v>ALKANA TRADING</v>
          </cell>
          <cell r="K1773" t="str">
            <v>3801</v>
          </cell>
          <cell r="L1773" t="str">
            <v>COATING</v>
          </cell>
          <cell r="M1773" t="str">
            <v>380101</v>
          </cell>
          <cell r="N1773" t="str">
            <v>DECOR PLAST</v>
          </cell>
        </row>
        <row r="1774">
          <cell r="C1774" t="str">
            <v>170000129</v>
          </cell>
          <cell r="D1774" t="str">
            <v>DP-4011 WHEAT 1158-5L</v>
          </cell>
          <cell r="E1774" t="str">
            <v>ZTRD</v>
          </cell>
          <cell r="F1774" t="str">
            <v>PC</v>
          </cell>
          <cell r="G1774" t="str">
            <v>3</v>
          </cell>
          <cell r="H1774" t="str">
            <v>TRADING</v>
          </cell>
          <cell r="I1774" t="str">
            <v>38</v>
          </cell>
          <cell r="J1774" t="str">
            <v>ALKANA TRADING</v>
          </cell>
          <cell r="K1774" t="str">
            <v>3801</v>
          </cell>
          <cell r="L1774" t="str">
            <v>COATING</v>
          </cell>
          <cell r="M1774" t="str">
            <v>380101</v>
          </cell>
          <cell r="N1774" t="str">
            <v>DECOR PLAST</v>
          </cell>
        </row>
        <row r="1775">
          <cell r="C1775" t="str">
            <v>170000130</v>
          </cell>
          <cell r="D1775" t="str">
            <v>DP-4011 GINGER PEACHY 1165-18LP</v>
          </cell>
          <cell r="E1775" t="str">
            <v>ZTRD</v>
          </cell>
          <cell r="F1775" t="str">
            <v>PC</v>
          </cell>
          <cell r="G1775" t="str">
            <v>3</v>
          </cell>
          <cell r="H1775" t="str">
            <v>TRADING</v>
          </cell>
          <cell r="I1775" t="str">
            <v>38</v>
          </cell>
          <cell r="J1775" t="str">
            <v>ALKANA TRADING</v>
          </cell>
          <cell r="K1775" t="str">
            <v>3801</v>
          </cell>
          <cell r="L1775" t="str">
            <v>COATING</v>
          </cell>
          <cell r="M1775" t="str">
            <v>380101</v>
          </cell>
          <cell r="N1775" t="str">
            <v>DECOR PLAST</v>
          </cell>
        </row>
        <row r="1776">
          <cell r="C1776" t="str">
            <v>170000131</v>
          </cell>
          <cell r="D1776" t="str">
            <v>DP-4011 GINGER PEACHY 1165-5L</v>
          </cell>
          <cell r="E1776" t="str">
            <v>ZTRD</v>
          </cell>
          <cell r="F1776" t="str">
            <v>PC</v>
          </cell>
          <cell r="G1776" t="str">
            <v>3</v>
          </cell>
          <cell r="H1776" t="str">
            <v>TRADING</v>
          </cell>
          <cell r="I1776" t="str">
            <v>38</v>
          </cell>
          <cell r="J1776" t="str">
            <v>ALKANA TRADING</v>
          </cell>
          <cell r="K1776" t="str">
            <v>3801</v>
          </cell>
          <cell r="L1776" t="str">
            <v>COATING</v>
          </cell>
          <cell r="M1776" t="str">
            <v>380101</v>
          </cell>
          <cell r="N1776" t="str">
            <v>DECOR PLAST</v>
          </cell>
        </row>
        <row r="1777">
          <cell r="C1777" t="str">
            <v>170000132</v>
          </cell>
          <cell r="D1777" t="str">
            <v>DP-4011 PEACH TREE 2121-18LP</v>
          </cell>
          <cell r="E1777" t="str">
            <v>ZTRD</v>
          </cell>
          <cell r="F1777" t="str">
            <v>PC</v>
          </cell>
          <cell r="G1777" t="str">
            <v>3</v>
          </cell>
          <cell r="H1777" t="str">
            <v>TRADING</v>
          </cell>
          <cell r="I1777" t="str">
            <v>38</v>
          </cell>
          <cell r="J1777" t="str">
            <v>ALKANA TRADING</v>
          </cell>
          <cell r="K1777" t="str">
            <v>3801</v>
          </cell>
          <cell r="L1777" t="str">
            <v>COATING</v>
          </cell>
          <cell r="M1777" t="str">
            <v>380101</v>
          </cell>
          <cell r="N1777" t="str">
            <v>DECOR PLAST</v>
          </cell>
        </row>
        <row r="1778">
          <cell r="C1778" t="str">
            <v>170000133</v>
          </cell>
          <cell r="D1778" t="str">
            <v>DP-4011 PEACH TREE 2121-5L</v>
          </cell>
          <cell r="E1778" t="str">
            <v>ZTRD</v>
          </cell>
          <cell r="F1778" t="str">
            <v>PC</v>
          </cell>
          <cell r="G1778" t="str">
            <v>3</v>
          </cell>
          <cell r="H1778" t="str">
            <v>TRADING</v>
          </cell>
          <cell r="I1778" t="str">
            <v>38</v>
          </cell>
          <cell r="J1778" t="str">
            <v>ALKANA TRADING</v>
          </cell>
          <cell r="K1778" t="str">
            <v>3801</v>
          </cell>
          <cell r="L1778" t="str">
            <v>COATING</v>
          </cell>
          <cell r="M1778" t="str">
            <v>380101</v>
          </cell>
          <cell r="N1778" t="str">
            <v>DECOR PLAST</v>
          </cell>
        </row>
        <row r="1779">
          <cell r="C1779" t="str">
            <v>170000134</v>
          </cell>
          <cell r="D1779" t="str">
            <v>DP-4011 DAWN 2424-18LP</v>
          </cell>
          <cell r="E1779" t="str">
            <v>ZTRD</v>
          </cell>
          <cell r="F1779" t="str">
            <v>PC</v>
          </cell>
          <cell r="G1779" t="str">
            <v>3</v>
          </cell>
          <cell r="H1779" t="str">
            <v>TRADING</v>
          </cell>
          <cell r="I1779" t="str">
            <v>38</v>
          </cell>
          <cell r="J1779" t="str">
            <v>ALKANA TRADING</v>
          </cell>
          <cell r="K1779" t="str">
            <v>3801</v>
          </cell>
          <cell r="L1779" t="str">
            <v>COATING</v>
          </cell>
          <cell r="M1779" t="str">
            <v>380101</v>
          </cell>
          <cell r="N1779" t="str">
            <v>DECOR PLAST</v>
          </cell>
        </row>
        <row r="1780">
          <cell r="C1780" t="str">
            <v>170000135</v>
          </cell>
          <cell r="D1780" t="str">
            <v>DP-4011 DAWN 2424-5L</v>
          </cell>
          <cell r="E1780" t="str">
            <v>ZTRD</v>
          </cell>
          <cell r="F1780" t="str">
            <v>PC</v>
          </cell>
          <cell r="G1780" t="str">
            <v>3</v>
          </cell>
          <cell r="H1780" t="str">
            <v>TRADING</v>
          </cell>
          <cell r="I1780" t="str">
            <v>38</v>
          </cell>
          <cell r="J1780" t="str">
            <v>ALKANA TRADING</v>
          </cell>
          <cell r="K1780" t="str">
            <v>3801</v>
          </cell>
          <cell r="L1780" t="str">
            <v>COATING</v>
          </cell>
          <cell r="M1780" t="str">
            <v>380101</v>
          </cell>
          <cell r="N1780" t="str">
            <v>DECOR PLAST</v>
          </cell>
        </row>
        <row r="1781">
          <cell r="C1781" t="str">
            <v>170000136</v>
          </cell>
          <cell r="D1781" t="str">
            <v>DP-4011 LITTLE DARLING 1010-18LP</v>
          </cell>
          <cell r="E1781" t="str">
            <v>ZTRD</v>
          </cell>
          <cell r="F1781" t="str">
            <v>PC</v>
          </cell>
          <cell r="G1781" t="str">
            <v>3</v>
          </cell>
          <cell r="H1781" t="str">
            <v>TRADING</v>
          </cell>
          <cell r="I1781" t="str">
            <v>38</v>
          </cell>
          <cell r="J1781" t="str">
            <v>ALKANA TRADING</v>
          </cell>
          <cell r="K1781" t="str">
            <v>3801</v>
          </cell>
          <cell r="L1781" t="str">
            <v>COATING</v>
          </cell>
          <cell r="M1781" t="str">
            <v>380101</v>
          </cell>
          <cell r="N1781" t="str">
            <v>DECOR PLAST</v>
          </cell>
        </row>
        <row r="1782">
          <cell r="C1782" t="str">
            <v>170000137</v>
          </cell>
          <cell r="D1782" t="str">
            <v>DP-4011 LITTLE DARLING 1010-5L</v>
          </cell>
          <cell r="E1782" t="str">
            <v>ZTRD</v>
          </cell>
          <cell r="F1782" t="str">
            <v>PC</v>
          </cell>
          <cell r="G1782" t="str">
            <v>3</v>
          </cell>
          <cell r="H1782" t="str">
            <v>TRADING</v>
          </cell>
          <cell r="I1782" t="str">
            <v>38</v>
          </cell>
          <cell r="J1782" t="str">
            <v>ALKANA TRADING</v>
          </cell>
          <cell r="K1782" t="str">
            <v>3801</v>
          </cell>
          <cell r="L1782" t="str">
            <v>COATING</v>
          </cell>
          <cell r="M1782" t="str">
            <v>380101</v>
          </cell>
          <cell r="N1782" t="str">
            <v>DECOR PLAST</v>
          </cell>
        </row>
        <row r="1783">
          <cell r="C1783" t="str">
            <v>170000138</v>
          </cell>
          <cell r="D1783" t="str">
            <v>DP-4011 PURPLE LINT 8139-18LP</v>
          </cell>
          <cell r="E1783" t="str">
            <v>ZTRD</v>
          </cell>
          <cell r="F1783" t="str">
            <v>PC</v>
          </cell>
          <cell r="G1783" t="str">
            <v>3</v>
          </cell>
          <cell r="H1783" t="str">
            <v>TRADING</v>
          </cell>
          <cell r="I1783" t="str">
            <v>38</v>
          </cell>
          <cell r="J1783" t="str">
            <v>ALKANA TRADING</v>
          </cell>
          <cell r="K1783" t="str">
            <v>3801</v>
          </cell>
          <cell r="L1783" t="str">
            <v>COATING</v>
          </cell>
          <cell r="M1783" t="str">
            <v>380101</v>
          </cell>
          <cell r="N1783" t="str">
            <v>DECOR PLAST</v>
          </cell>
        </row>
        <row r="1784">
          <cell r="C1784" t="str">
            <v>170000139</v>
          </cell>
          <cell r="D1784" t="str">
            <v>DP-4011 PURPLE LINT 8139-5L</v>
          </cell>
          <cell r="E1784" t="str">
            <v>ZTRD</v>
          </cell>
          <cell r="F1784" t="str">
            <v>PC</v>
          </cell>
          <cell r="G1784" t="str">
            <v>3</v>
          </cell>
          <cell r="H1784" t="str">
            <v>TRADING</v>
          </cell>
          <cell r="I1784" t="str">
            <v>38</v>
          </cell>
          <cell r="J1784" t="str">
            <v>ALKANA TRADING</v>
          </cell>
          <cell r="K1784" t="str">
            <v>3801</v>
          </cell>
          <cell r="L1784" t="str">
            <v>COATING</v>
          </cell>
          <cell r="M1784" t="str">
            <v>380101</v>
          </cell>
          <cell r="N1784" t="str">
            <v>DECOR PLAST</v>
          </cell>
        </row>
        <row r="1785">
          <cell r="C1785" t="str">
            <v>170000140</v>
          </cell>
          <cell r="D1785" t="str">
            <v>DP-4011 SMOKE 7334-18LP</v>
          </cell>
          <cell r="E1785" t="str">
            <v>ZTRD</v>
          </cell>
          <cell r="F1785" t="str">
            <v>PC</v>
          </cell>
          <cell r="G1785" t="str">
            <v>3</v>
          </cell>
          <cell r="H1785" t="str">
            <v>TRADING</v>
          </cell>
          <cell r="I1785" t="str">
            <v>38</v>
          </cell>
          <cell r="J1785" t="str">
            <v>ALKANA TRADING</v>
          </cell>
          <cell r="K1785" t="str">
            <v>3801</v>
          </cell>
          <cell r="L1785" t="str">
            <v>COATING</v>
          </cell>
          <cell r="M1785" t="str">
            <v>380101</v>
          </cell>
          <cell r="N1785" t="str">
            <v>DECOR PLAST</v>
          </cell>
        </row>
        <row r="1786">
          <cell r="C1786" t="str">
            <v>170000141</v>
          </cell>
          <cell r="D1786" t="str">
            <v>DP-4011 SMOKE 7334-5L</v>
          </cell>
          <cell r="E1786" t="str">
            <v>ZTRD</v>
          </cell>
          <cell r="F1786" t="str">
            <v>PC</v>
          </cell>
          <cell r="G1786" t="str">
            <v>3</v>
          </cell>
          <cell r="H1786" t="str">
            <v>TRADING</v>
          </cell>
          <cell r="I1786" t="str">
            <v>38</v>
          </cell>
          <cell r="J1786" t="str">
            <v>ALKANA TRADING</v>
          </cell>
          <cell r="K1786" t="str">
            <v>3801</v>
          </cell>
          <cell r="L1786" t="str">
            <v>COATING</v>
          </cell>
          <cell r="M1786" t="str">
            <v>380101</v>
          </cell>
          <cell r="N1786" t="str">
            <v>DECOR PLAST</v>
          </cell>
        </row>
        <row r="1787">
          <cell r="C1787" t="str">
            <v>170000142</v>
          </cell>
          <cell r="D1787" t="str">
            <v>DP-4011 BLUE STREAMWARE 5124-18LP</v>
          </cell>
          <cell r="E1787" t="str">
            <v>ZTRD</v>
          </cell>
          <cell r="F1787" t="str">
            <v>PC</v>
          </cell>
          <cell r="G1787" t="str">
            <v>3</v>
          </cell>
          <cell r="H1787" t="str">
            <v>TRADING</v>
          </cell>
          <cell r="I1787" t="str">
            <v>38</v>
          </cell>
          <cell r="J1787" t="str">
            <v>ALKANA TRADING</v>
          </cell>
          <cell r="K1787" t="str">
            <v>3801</v>
          </cell>
          <cell r="L1787" t="str">
            <v>COATING</v>
          </cell>
          <cell r="M1787" t="str">
            <v>380101</v>
          </cell>
          <cell r="N1787" t="str">
            <v>DECOR PLAST</v>
          </cell>
        </row>
        <row r="1788">
          <cell r="C1788" t="str">
            <v>170000143</v>
          </cell>
          <cell r="D1788" t="str">
            <v>DP-4011 BLUE STREAMWARE 5124-5L</v>
          </cell>
          <cell r="E1788" t="str">
            <v>ZTRD</v>
          </cell>
          <cell r="F1788" t="str">
            <v>PC</v>
          </cell>
          <cell r="G1788" t="str">
            <v>3</v>
          </cell>
          <cell r="H1788" t="str">
            <v>TRADING</v>
          </cell>
          <cell r="I1788" t="str">
            <v>38</v>
          </cell>
          <cell r="J1788" t="str">
            <v>ALKANA TRADING</v>
          </cell>
          <cell r="K1788" t="str">
            <v>3801</v>
          </cell>
          <cell r="L1788" t="str">
            <v>COATING</v>
          </cell>
          <cell r="M1788" t="str">
            <v>380101</v>
          </cell>
          <cell r="N1788" t="str">
            <v>DECOR PLAST</v>
          </cell>
        </row>
        <row r="1789">
          <cell r="C1789" t="str">
            <v>170000144</v>
          </cell>
          <cell r="D1789" t="str">
            <v>DP-4011 SENSITIVE BLUE 5122-18LP</v>
          </cell>
          <cell r="E1789" t="str">
            <v>ZTRD</v>
          </cell>
          <cell r="F1789" t="str">
            <v>PC</v>
          </cell>
          <cell r="G1789" t="str">
            <v>3</v>
          </cell>
          <cell r="H1789" t="str">
            <v>TRADING</v>
          </cell>
          <cell r="I1789" t="str">
            <v>38</v>
          </cell>
          <cell r="J1789" t="str">
            <v>ALKANA TRADING</v>
          </cell>
          <cell r="K1789" t="str">
            <v>3801</v>
          </cell>
          <cell r="L1789" t="str">
            <v>COATING</v>
          </cell>
          <cell r="M1789" t="str">
            <v>380101</v>
          </cell>
          <cell r="N1789" t="str">
            <v>DECOR PLAST</v>
          </cell>
        </row>
        <row r="1790">
          <cell r="C1790" t="str">
            <v>170000145</v>
          </cell>
          <cell r="D1790" t="str">
            <v>DP-4011 SENSITIVE BLUE 5122-5L</v>
          </cell>
          <cell r="E1790" t="str">
            <v>ZTRD</v>
          </cell>
          <cell r="F1790" t="str">
            <v>PC</v>
          </cell>
          <cell r="G1790" t="str">
            <v>3</v>
          </cell>
          <cell r="H1790" t="str">
            <v>TRADING</v>
          </cell>
          <cell r="I1790" t="str">
            <v>38</v>
          </cell>
          <cell r="J1790" t="str">
            <v>ALKANA TRADING</v>
          </cell>
          <cell r="K1790" t="str">
            <v>3801</v>
          </cell>
          <cell r="L1790" t="str">
            <v>COATING</v>
          </cell>
          <cell r="M1790" t="str">
            <v>380101</v>
          </cell>
          <cell r="N1790" t="str">
            <v>DECOR PLAST</v>
          </cell>
        </row>
        <row r="1791">
          <cell r="C1791" t="str">
            <v>170000146</v>
          </cell>
          <cell r="D1791" t="str">
            <v>DP-4011 CALM BLUE 5125-18LP</v>
          </cell>
          <cell r="E1791" t="str">
            <v>ZTRD</v>
          </cell>
          <cell r="F1791" t="str">
            <v>PC</v>
          </cell>
          <cell r="G1791" t="str">
            <v>3</v>
          </cell>
          <cell r="H1791" t="str">
            <v>TRADING</v>
          </cell>
          <cell r="I1791" t="str">
            <v>38</v>
          </cell>
          <cell r="J1791" t="str">
            <v>ALKANA TRADING</v>
          </cell>
          <cell r="K1791" t="str">
            <v>3801</v>
          </cell>
          <cell r="L1791" t="str">
            <v>COATING</v>
          </cell>
          <cell r="M1791" t="str">
            <v>380101</v>
          </cell>
          <cell r="N1791" t="str">
            <v>DECOR PLAST</v>
          </cell>
        </row>
        <row r="1792">
          <cell r="C1792" t="str">
            <v>170000147</v>
          </cell>
          <cell r="D1792" t="str">
            <v>DP-4011 CALM BLUE 5125-5L</v>
          </cell>
          <cell r="E1792" t="str">
            <v>ZTRD</v>
          </cell>
          <cell r="F1792" t="str">
            <v>PC</v>
          </cell>
          <cell r="G1792" t="str">
            <v>3</v>
          </cell>
          <cell r="H1792" t="str">
            <v>TRADING</v>
          </cell>
          <cell r="I1792" t="str">
            <v>38</v>
          </cell>
          <cell r="J1792" t="str">
            <v>ALKANA TRADING</v>
          </cell>
          <cell r="K1792" t="str">
            <v>3801</v>
          </cell>
          <cell r="L1792" t="str">
            <v>COATING</v>
          </cell>
          <cell r="M1792" t="str">
            <v>380101</v>
          </cell>
          <cell r="N1792" t="str">
            <v>DECOR PLAST</v>
          </cell>
        </row>
        <row r="1793">
          <cell r="C1793" t="str">
            <v>170000148</v>
          </cell>
          <cell r="D1793" t="str">
            <v>DP-4011 BLUE DELIGHT 6120-18LP</v>
          </cell>
          <cell r="E1793" t="str">
            <v>ZTRD</v>
          </cell>
          <cell r="F1793" t="str">
            <v>PC</v>
          </cell>
          <cell r="G1793" t="str">
            <v>3</v>
          </cell>
          <cell r="H1793" t="str">
            <v>TRADING</v>
          </cell>
          <cell r="I1793" t="str">
            <v>38</v>
          </cell>
          <cell r="J1793" t="str">
            <v>ALKANA TRADING</v>
          </cell>
          <cell r="K1793" t="str">
            <v>3801</v>
          </cell>
          <cell r="L1793" t="str">
            <v>COATING</v>
          </cell>
          <cell r="M1793" t="str">
            <v>380101</v>
          </cell>
          <cell r="N1793" t="str">
            <v>DECOR PLAST</v>
          </cell>
        </row>
        <row r="1794">
          <cell r="C1794" t="str">
            <v>170000149</v>
          </cell>
          <cell r="D1794" t="str">
            <v>DP-4011 BLUE DELIGHT 6120-5L</v>
          </cell>
          <cell r="E1794" t="str">
            <v>ZTRD</v>
          </cell>
          <cell r="F1794" t="str">
            <v>PC</v>
          </cell>
          <cell r="G1794" t="str">
            <v>3</v>
          </cell>
          <cell r="H1794" t="str">
            <v>TRADING</v>
          </cell>
          <cell r="I1794" t="str">
            <v>38</v>
          </cell>
          <cell r="J1794" t="str">
            <v>ALKANA TRADING</v>
          </cell>
          <cell r="K1794" t="str">
            <v>3801</v>
          </cell>
          <cell r="L1794" t="str">
            <v>COATING</v>
          </cell>
          <cell r="M1794" t="str">
            <v>380101</v>
          </cell>
          <cell r="N1794" t="str">
            <v>DECOR PLAST</v>
          </cell>
        </row>
        <row r="1795">
          <cell r="C1795" t="str">
            <v>170000150</v>
          </cell>
          <cell r="D1795" t="str">
            <v>DP-4011 ALPINE 7134-18LP</v>
          </cell>
          <cell r="E1795" t="str">
            <v>ZTRD</v>
          </cell>
          <cell r="F1795" t="str">
            <v>PC</v>
          </cell>
          <cell r="G1795" t="str">
            <v>3</v>
          </cell>
          <cell r="H1795" t="str">
            <v>TRADING</v>
          </cell>
          <cell r="I1795" t="str">
            <v>38</v>
          </cell>
          <cell r="J1795" t="str">
            <v>ALKANA TRADING</v>
          </cell>
          <cell r="K1795" t="str">
            <v>3801</v>
          </cell>
          <cell r="L1795" t="str">
            <v>COATING</v>
          </cell>
          <cell r="M1795" t="str">
            <v>380101</v>
          </cell>
          <cell r="N1795" t="str">
            <v>DECOR PLAST</v>
          </cell>
        </row>
        <row r="1796">
          <cell r="C1796" t="str">
            <v>170000151</v>
          </cell>
          <cell r="D1796" t="str">
            <v>DP-4011 ALPINE 7134-5L</v>
          </cell>
          <cell r="E1796" t="str">
            <v>ZTRD</v>
          </cell>
          <cell r="F1796" t="str">
            <v>PC</v>
          </cell>
          <cell r="G1796" t="str">
            <v>3</v>
          </cell>
          <cell r="H1796" t="str">
            <v>TRADING</v>
          </cell>
          <cell r="I1796" t="str">
            <v>38</v>
          </cell>
          <cell r="J1796" t="str">
            <v>ALKANA TRADING</v>
          </cell>
          <cell r="K1796" t="str">
            <v>3801</v>
          </cell>
          <cell r="L1796" t="str">
            <v>COATING</v>
          </cell>
          <cell r="M1796" t="str">
            <v>380101</v>
          </cell>
          <cell r="N1796" t="str">
            <v>DECOR PLAST</v>
          </cell>
        </row>
        <row r="1797">
          <cell r="C1797" t="str">
            <v>170000152</v>
          </cell>
          <cell r="D1797" t="str">
            <v>DP-4011 BUBBLES 7129-18LP</v>
          </cell>
          <cell r="E1797" t="str">
            <v>ZTRD</v>
          </cell>
          <cell r="F1797" t="str">
            <v>PC</v>
          </cell>
          <cell r="G1797" t="str">
            <v>3</v>
          </cell>
          <cell r="H1797" t="str">
            <v>TRADING</v>
          </cell>
          <cell r="I1797" t="str">
            <v>38</v>
          </cell>
          <cell r="J1797" t="str">
            <v>ALKANA TRADING</v>
          </cell>
          <cell r="K1797" t="str">
            <v>3801</v>
          </cell>
          <cell r="L1797" t="str">
            <v>COATING</v>
          </cell>
          <cell r="M1797" t="str">
            <v>380101</v>
          </cell>
          <cell r="N1797" t="str">
            <v>DECOR PLAST</v>
          </cell>
        </row>
        <row r="1798">
          <cell r="C1798" t="str">
            <v>170000153</v>
          </cell>
          <cell r="D1798" t="str">
            <v>DP-4011 BUBBLES 7129-5L</v>
          </cell>
          <cell r="E1798" t="str">
            <v>ZTRD</v>
          </cell>
          <cell r="F1798" t="str">
            <v>PC</v>
          </cell>
          <cell r="G1798" t="str">
            <v>3</v>
          </cell>
          <cell r="H1798" t="str">
            <v>TRADING</v>
          </cell>
          <cell r="I1798" t="str">
            <v>38</v>
          </cell>
          <cell r="J1798" t="str">
            <v>ALKANA TRADING</v>
          </cell>
          <cell r="K1798" t="str">
            <v>3801</v>
          </cell>
          <cell r="L1798" t="str">
            <v>COATING</v>
          </cell>
          <cell r="M1798" t="str">
            <v>380101</v>
          </cell>
          <cell r="N1798" t="str">
            <v>DECOR PLAST</v>
          </cell>
        </row>
        <row r="1799">
          <cell r="C1799" t="str">
            <v>170000154</v>
          </cell>
          <cell r="D1799" t="str">
            <v>DP-4011 WILD PRIMROSE 2020-18LP</v>
          </cell>
          <cell r="E1799" t="str">
            <v>ZTRD</v>
          </cell>
          <cell r="F1799" t="str">
            <v>PC</v>
          </cell>
          <cell r="G1799" t="str">
            <v>3</v>
          </cell>
          <cell r="H1799" t="str">
            <v>TRADING</v>
          </cell>
          <cell r="I1799" t="str">
            <v>38</v>
          </cell>
          <cell r="J1799" t="str">
            <v>ALKANA TRADING</v>
          </cell>
          <cell r="K1799" t="str">
            <v>3801</v>
          </cell>
          <cell r="L1799" t="str">
            <v>COATING</v>
          </cell>
          <cell r="M1799" t="str">
            <v>380101</v>
          </cell>
          <cell r="N1799" t="str">
            <v>DECOR PLAST</v>
          </cell>
        </row>
        <row r="1800">
          <cell r="C1800" t="str">
            <v>170000155</v>
          </cell>
          <cell r="D1800" t="str">
            <v>DP-4011 WILD PRIMROSE 2020-5L</v>
          </cell>
          <cell r="E1800" t="str">
            <v>ZTRD</v>
          </cell>
          <cell r="F1800" t="str">
            <v>PC</v>
          </cell>
          <cell r="G1800" t="str">
            <v>3</v>
          </cell>
          <cell r="H1800" t="str">
            <v>TRADING</v>
          </cell>
          <cell r="I1800" t="str">
            <v>38</v>
          </cell>
          <cell r="J1800" t="str">
            <v>ALKANA TRADING</v>
          </cell>
          <cell r="K1800" t="str">
            <v>3801</v>
          </cell>
          <cell r="L1800" t="str">
            <v>COATING</v>
          </cell>
          <cell r="M1800" t="str">
            <v>380101</v>
          </cell>
          <cell r="N1800" t="str">
            <v>DECOR PLAST</v>
          </cell>
        </row>
        <row r="1801">
          <cell r="C1801" t="str">
            <v>170000156</v>
          </cell>
          <cell r="D1801" t="str">
            <v>DP-4011 BASE-18LP</v>
          </cell>
          <cell r="E1801" t="str">
            <v>ZTRD</v>
          </cell>
          <cell r="F1801" t="str">
            <v>PC</v>
          </cell>
          <cell r="G1801" t="str">
            <v>3</v>
          </cell>
          <cell r="H1801" t="str">
            <v>TRADING</v>
          </cell>
          <cell r="I1801" t="str">
            <v>38</v>
          </cell>
          <cell r="J1801" t="str">
            <v>ALKANA TRADING</v>
          </cell>
          <cell r="K1801" t="str">
            <v>3801</v>
          </cell>
          <cell r="L1801" t="str">
            <v>COATING</v>
          </cell>
          <cell r="M1801" t="str">
            <v>380101</v>
          </cell>
          <cell r="N1801" t="str">
            <v>DECOR PLAST</v>
          </cell>
        </row>
        <row r="1802">
          <cell r="C1802" t="str">
            <v>170000157</v>
          </cell>
          <cell r="D1802" t="str">
            <v>DP-4011 BASE-5L</v>
          </cell>
          <cell r="E1802" t="str">
            <v>ZTRD</v>
          </cell>
          <cell r="F1802" t="str">
            <v>PC</v>
          </cell>
          <cell r="G1802" t="str">
            <v>3</v>
          </cell>
          <cell r="H1802" t="str">
            <v>TRADING</v>
          </cell>
          <cell r="I1802" t="str">
            <v>38</v>
          </cell>
          <cell r="J1802" t="str">
            <v>ALKANA TRADING</v>
          </cell>
          <cell r="K1802" t="str">
            <v>3801</v>
          </cell>
          <cell r="L1802" t="str">
            <v>COATING</v>
          </cell>
          <cell r="M1802" t="str">
            <v>380101</v>
          </cell>
          <cell r="N1802" t="str">
            <v>DECOR PLAST</v>
          </cell>
        </row>
        <row r="1803">
          <cell r="C1803" t="str">
            <v>170000158</v>
          </cell>
          <cell r="D1803" t="str">
            <v>DP-4011 WHITE 9101-18LP</v>
          </cell>
          <cell r="E1803" t="str">
            <v>ZTRD</v>
          </cell>
          <cell r="F1803" t="str">
            <v>PC</v>
          </cell>
          <cell r="G1803" t="str">
            <v>3</v>
          </cell>
          <cell r="H1803" t="str">
            <v>TRADING</v>
          </cell>
          <cell r="I1803" t="str">
            <v>38</v>
          </cell>
          <cell r="J1803" t="str">
            <v>ALKANA TRADING</v>
          </cell>
          <cell r="K1803" t="str">
            <v>3801</v>
          </cell>
          <cell r="L1803" t="str">
            <v>COATING</v>
          </cell>
          <cell r="M1803" t="str">
            <v>380101</v>
          </cell>
          <cell r="N1803" t="str">
            <v>DECOR PLAST</v>
          </cell>
        </row>
        <row r="1804">
          <cell r="C1804" t="str">
            <v>170000159</v>
          </cell>
          <cell r="D1804" t="str">
            <v>DP-4011 WHITE 9101-5L</v>
          </cell>
          <cell r="E1804" t="str">
            <v>ZTRD</v>
          </cell>
          <cell r="F1804" t="str">
            <v>PC</v>
          </cell>
          <cell r="G1804" t="str">
            <v>3</v>
          </cell>
          <cell r="H1804" t="str">
            <v>TRADING</v>
          </cell>
          <cell r="I1804" t="str">
            <v>38</v>
          </cell>
          <cell r="J1804" t="str">
            <v>ALKANA TRADING</v>
          </cell>
          <cell r="K1804" t="str">
            <v>3801</v>
          </cell>
          <cell r="L1804" t="str">
            <v>COATING</v>
          </cell>
          <cell r="M1804" t="str">
            <v>380101</v>
          </cell>
          <cell r="N1804" t="str">
            <v>DECOR PLAST</v>
          </cell>
        </row>
        <row r="1805">
          <cell r="C1805" t="str">
            <v>170000160</v>
          </cell>
          <cell r="D1805" t="str">
            <v>DP-4010 HONEY BUNCH 1023-18LP</v>
          </cell>
          <cell r="E1805" t="str">
            <v>ZTRD</v>
          </cell>
          <cell r="F1805" t="str">
            <v>PC</v>
          </cell>
          <cell r="G1805" t="str">
            <v>3</v>
          </cell>
          <cell r="H1805" t="str">
            <v>TRADING</v>
          </cell>
          <cell r="I1805" t="str">
            <v>38</v>
          </cell>
          <cell r="J1805" t="str">
            <v>ALKANA TRADING</v>
          </cell>
          <cell r="K1805" t="str">
            <v>3801</v>
          </cell>
          <cell r="L1805" t="str">
            <v>COATING</v>
          </cell>
          <cell r="M1805" t="str">
            <v>380101</v>
          </cell>
          <cell r="N1805" t="str">
            <v>DECOR PLAST</v>
          </cell>
        </row>
        <row r="1806">
          <cell r="C1806" t="str">
            <v>170000161</v>
          </cell>
          <cell r="D1806" t="str">
            <v>#NOT USED 0 HONEY BUNCH 1023-3.8L</v>
          </cell>
          <cell r="E1806" t="str">
            <v>ZTRD</v>
          </cell>
          <cell r="F1806" t="str">
            <v>PC</v>
          </cell>
          <cell r="G1806" t="str">
            <v>3</v>
          </cell>
          <cell r="H1806" t="str">
            <v>TRADING</v>
          </cell>
          <cell r="I1806" t="str">
            <v>38</v>
          </cell>
          <cell r="J1806" t="str">
            <v>ALKANA TRADING</v>
          </cell>
          <cell r="K1806" t="str">
            <v>3801</v>
          </cell>
          <cell r="L1806" t="str">
            <v>COATING</v>
          </cell>
          <cell r="M1806" t="str">
            <v>380101</v>
          </cell>
          <cell r="N1806" t="str">
            <v>DECOR PLAST</v>
          </cell>
        </row>
        <row r="1807">
          <cell r="C1807" t="str">
            <v>170000162</v>
          </cell>
          <cell r="D1807" t="str">
            <v>DP-4010 HONEY BUNCH 1023-5L</v>
          </cell>
          <cell r="E1807" t="str">
            <v>ZTRD</v>
          </cell>
          <cell r="F1807" t="str">
            <v>PC</v>
          </cell>
          <cell r="G1807" t="str">
            <v>3</v>
          </cell>
          <cell r="H1807" t="str">
            <v>TRADING</v>
          </cell>
          <cell r="I1807" t="str">
            <v>38</v>
          </cell>
          <cell r="J1807" t="str">
            <v>ALKANA TRADING</v>
          </cell>
          <cell r="K1807" t="str">
            <v>3801</v>
          </cell>
          <cell r="L1807" t="str">
            <v>COATING</v>
          </cell>
          <cell r="M1807" t="str">
            <v>380101</v>
          </cell>
          <cell r="N1807" t="str">
            <v>DECOR PLAST</v>
          </cell>
        </row>
        <row r="1808">
          <cell r="C1808" t="str">
            <v>170000163</v>
          </cell>
          <cell r="D1808" t="str">
            <v>DP-4010 DEEP OASIS 5106-18LP</v>
          </cell>
          <cell r="E1808" t="str">
            <v>ZTRD</v>
          </cell>
          <cell r="F1808" t="str">
            <v>PC</v>
          </cell>
          <cell r="G1808" t="str">
            <v>3</v>
          </cell>
          <cell r="H1808" t="str">
            <v>TRADING</v>
          </cell>
          <cell r="I1808" t="str">
            <v>38</v>
          </cell>
          <cell r="J1808" t="str">
            <v>ALKANA TRADING</v>
          </cell>
          <cell r="K1808" t="str">
            <v>3801</v>
          </cell>
          <cell r="L1808" t="str">
            <v>COATING</v>
          </cell>
          <cell r="M1808" t="str">
            <v>380101</v>
          </cell>
          <cell r="N1808" t="str">
            <v>DECOR PLAST</v>
          </cell>
        </row>
        <row r="1809">
          <cell r="C1809" t="str">
            <v>170000164</v>
          </cell>
          <cell r="D1809" t="str">
            <v>#NOT USED 0 DEEP OASIS 5106-3.8L</v>
          </cell>
          <cell r="E1809" t="str">
            <v>ZTRD</v>
          </cell>
          <cell r="F1809" t="str">
            <v>PC</v>
          </cell>
          <cell r="G1809" t="str">
            <v>3</v>
          </cell>
          <cell r="H1809" t="str">
            <v>TRADING</v>
          </cell>
          <cell r="I1809" t="str">
            <v>38</v>
          </cell>
          <cell r="J1809" t="str">
            <v>ALKANA TRADING</v>
          </cell>
          <cell r="K1809" t="str">
            <v>3801</v>
          </cell>
          <cell r="L1809" t="str">
            <v>COATING</v>
          </cell>
          <cell r="M1809" t="str">
            <v>380101</v>
          </cell>
          <cell r="N1809" t="str">
            <v>DECOR PLAST</v>
          </cell>
        </row>
        <row r="1810">
          <cell r="C1810" t="str">
            <v>170000165</v>
          </cell>
          <cell r="D1810" t="str">
            <v>DP-4010 DEEP OASIS 5106-5L</v>
          </cell>
          <cell r="E1810" t="str">
            <v>ZTRD</v>
          </cell>
          <cell r="F1810" t="str">
            <v>PC</v>
          </cell>
          <cell r="G1810" t="str">
            <v>3</v>
          </cell>
          <cell r="H1810" t="str">
            <v>TRADING</v>
          </cell>
          <cell r="I1810" t="str">
            <v>38</v>
          </cell>
          <cell r="J1810" t="str">
            <v>ALKANA TRADING</v>
          </cell>
          <cell r="K1810" t="str">
            <v>3801</v>
          </cell>
          <cell r="L1810" t="str">
            <v>COATING</v>
          </cell>
          <cell r="M1810" t="str">
            <v>380101</v>
          </cell>
          <cell r="N1810" t="str">
            <v>DECOR PLAST</v>
          </cell>
        </row>
        <row r="1811">
          <cell r="C1811" t="str">
            <v>170000166</v>
          </cell>
          <cell r="D1811" t="str">
            <v>DP-4010 BONNI BELLE 0313-18LP</v>
          </cell>
          <cell r="E1811" t="str">
            <v>ZTRD</v>
          </cell>
          <cell r="F1811" t="str">
            <v>PC</v>
          </cell>
          <cell r="G1811" t="str">
            <v>3</v>
          </cell>
          <cell r="H1811" t="str">
            <v>TRADING</v>
          </cell>
          <cell r="I1811" t="str">
            <v>38</v>
          </cell>
          <cell r="J1811" t="str">
            <v>ALKANA TRADING</v>
          </cell>
          <cell r="K1811" t="str">
            <v>3801</v>
          </cell>
          <cell r="L1811" t="str">
            <v>COATING</v>
          </cell>
          <cell r="M1811" t="str">
            <v>380101</v>
          </cell>
          <cell r="N1811" t="str">
            <v>DECOR PLAST</v>
          </cell>
        </row>
        <row r="1812">
          <cell r="C1812" t="str">
            <v>170000167</v>
          </cell>
          <cell r="D1812" t="str">
            <v>#NOT USED 0 BONNI BELLE 0313-3.8L</v>
          </cell>
          <cell r="E1812" t="str">
            <v>ZTRD</v>
          </cell>
          <cell r="F1812" t="str">
            <v>PC</v>
          </cell>
          <cell r="G1812" t="str">
            <v>3</v>
          </cell>
          <cell r="H1812" t="str">
            <v>TRADING</v>
          </cell>
          <cell r="I1812" t="str">
            <v>38</v>
          </cell>
          <cell r="J1812" t="str">
            <v>ALKANA TRADING</v>
          </cell>
          <cell r="K1812" t="str">
            <v>3801</v>
          </cell>
          <cell r="L1812" t="str">
            <v>COATING</v>
          </cell>
          <cell r="M1812" t="str">
            <v>380101</v>
          </cell>
          <cell r="N1812" t="str">
            <v>DECOR PLAST</v>
          </cell>
        </row>
        <row r="1813">
          <cell r="C1813" t="str">
            <v>170000168</v>
          </cell>
          <cell r="D1813" t="str">
            <v>DP-4010 BONNI BELLE 0313-5L</v>
          </cell>
          <cell r="E1813" t="str">
            <v>ZTRD</v>
          </cell>
          <cell r="F1813" t="str">
            <v>PC</v>
          </cell>
          <cell r="G1813" t="str">
            <v>3</v>
          </cell>
          <cell r="H1813" t="str">
            <v>TRADING</v>
          </cell>
          <cell r="I1813" t="str">
            <v>38</v>
          </cell>
          <cell r="J1813" t="str">
            <v>ALKANA TRADING</v>
          </cell>
          <cell r="K1813" t="str">
            <v>3801</v>
          </cell>
          <cell r="L1813" t="str">
            <v>COATING</v>
          </cell>
          <cell r="M1813" t="str">
            <v>380101</v>
          </cell>
          <cell r="N1813" t="str">
            <v>DECOR PLAST</v>
          </cell>
        </row>
        <row r="1814">
          <cell r="C1814" t="str">
            <v>170000169</v>
          </cell>
          <cell r="D1814" t="str">
            <v>DP-4010 WHISPERING BREEZE 1152-18LP</v>
          </cell>
          <cell r="E1814" t="str">
            <v>ZTRD</v>
          </cell>
          <cell r="F1814" t="str">
            <v>PC</v>
          </cell>
          <cell r="G1814" t="str">
            <v>3</v>
          </cell>
          <cell r="H1814" t="str">
            <v>TRADING</v>
          </cell>
          <cell r="I1814" t="str">
            <v>38</v>
          </cell>
          <cell r="J1814" t="str">
            <v>ALKANA TRADING</v>
          </cell>
          <cell r="K1814" t="str">
            <v>3801</v>
          </cell>
          <cell r="L1814" t="str">
            <v>COATING</v>
          </cell>
          <cell r="M1814" t="str">
            <v>380101</v>
          </cell>
          <cell r="N1814" t="str">
            <v>DECOR PLAST</v>
          </cell>
        </row>
        <row r="1815">
          <cell r="C1815" t="str">
            <v>170000170</v>
          </cell>
          <cell r="D1815" t="str">
            <v>#NOT USED 0 WHISPERING BREEZE 1152-3.8L</v>
          </cell>
          <cell r="E1815" t="str">
            <v>ZTRD</v>
          </cell>
          <cell r="F1815" t="str">
            <v>PC</v>
          </cell>
          <cell r="G1815" t="str">
            <v>3</v>
          </cell>
          <cell r="H1815" t="str">
            <v>TRADING</v>
          </cell>
          <cell r="I1815" t="str">
            <v>38</v>
          </cell>
          <cell r="J1815" t="str">
            <v>ALKANA TRADING</v>
          </cell>
          <cell r="K1815" t="str">
            <v>3801</v>
          </cell>
          <cell r="L1815" t="str">
            <v>COATING</v>
          </cell>
          <cell r="M1815" t="str">
            <v>380101</v>
          </cell>
          <cell r="N1815" t="str">
            <v>DECOR PLAST</v>
          </cell>
        </row>
        <row r="1816">
          <cell r="C1816" t="str">
            <v>170000171</v>
          </cell>
          <cell r="D1816" t="str">
            <v>DP-4010 WHISPERING BREEZE 1152-5L</v>
          </cell>
          <cell r="E1816" t="str">
            <v>ZTRD</v>
          </cell>
          <cell r="F1816" t="str">
            <v>PC</v>
          </cell>
          <cell r="G1816" t="str">
            <v>3</v>
          </cell>
          <cell r="H1816" t="str">
            <v>TRADING</v>
          </cell>
          <cell r="I1816" t="str">
            <v>38</v>
          </cell>
          <cell r="J1816" t="str">
            <v>ALKANA TRADING</v>
          </cell>
          <cell r="K1816" t="str">
            <v>3801</v>
          </cell>
          <cell r="L1816" t="str">
            <v>COATING</v>
          </cell>
          <cell r="M1816" t="str">
            <v>380101</v>
          </cell>
          <cell r="N1816" t="str">
            <v>DECOR PLAST</v>
          </cell>
        </row>
        <row r="1817">
          <cell r="C1817" t="str">
            <v>170000172</v>
          </cell>
          <cell r="D1817" t="str">
            <v>DP-4010 GREAT WHITE 0601-18LP</v>
          </cell>
          <cell r="E1817" t="str">
            <v>ZTRD</v>
          </cell>
          <cell r="F1817" t="str">
            <v>PC</v>
          </cell>
          <cell r="G1817" t="str">
            <v>3</v>
          </cell>
          <cell r="H1817" t="str">
            <v>TRADING</v>
          </cell>
          <cell r="I1817" t="str">
            <v>38</v>
          </cell>
          <cell r="J1817" t="str">
            <v>ALKANA TRADING</v>
          </cell>
          <cell r="K1817" t="str">
            <v>3801</v>
          </cell>
          <cell r="L1817" t="str">
            <v>COATING</v>
          </cell>
          <cell r="M1817" t="str">
            <v>380101</v>
          </cell>
          <cell r="N1817" t="str">
            <v>DECOR PLAST</v>
          </cell>
        </row>
        <row r="1818">
          <cell r="C1818" t="str">
            <v>170000173</v>
          </cell>
          <cell r="D1818" t="str">
            <v>#NOT USED 0 GREAT WHITE 0601-3.8L</v>
          </cell>
          <cell r="E1818" t="str">
            <v>ZTRD</v>
          </cell>
          <cell r="F1818" t="str">
            <v>PC</v>
          </cell>
          <cell r="G1818" t="str">
            <v>3</v>
          </cell>
          <cell r="H1818" t="str">
            <v>TRADING</v>
          </cell>
          <cell r="I1818" t="str">
            <v>38</v>
          </cell>
          <cell r="J1818" t="str">
            <v>ALKANA TRADING</v>
          </cell>
          <cell r="K1818" t="str">
            <v>3801</v>
          </cell>
          <cell r="L1818" t="str">
            <v>COATING</v>
          </cell>
          <cell r="M1818" t="str">
            <v>380101</v>
          </cell>
          <cell r="N1818" t="str">
            <v>DECOR PLAST</v>
          </cell>
        </row>
        <row r="1819">
          <cell r="C1819" t="str">
            <v>170000174</v>
          </cell>
          <cell r="D1819" t="str">
            <v>DP-4010 GREAT WHITE 0601-5L</v>
          </cell>
          <cell r="E1819" t="str">
            <v>ZTRD</v>
          </cell>
          <cell r="F1819" t="str">
            <v>PC</v>
          </cell>
          <cell r="G1819" t="str">
            <v>3</v>
          </cell>
          <cell r="H1819" t="str">
            <v>TRADING</v>
          </cell>
          <cell r="I1819" t="str">
            <v>38</v>
          </cell>
          <cell r="J1819" t="str">
            <v>ALKANA TRADING</v>
          </cell>
          <cell r="K1819" t="str">
            <v>3801</v>
          </cell>
          <cell r="L1819" t="str">
            <v>COATING</v>
          </cell>
          <cell r="M1819" t="str">
            <v>380101</v>
          </cell>
          <cell r="N1819" t="str">
            <v>DECOR PLAST</v>
          </cell>
        </row>
        <row r="1820">
          <cell r="C1820" t="str">
            <v>170000175</v>
          </cell>
          <cell r="D1820" t="str">
            <v>DP-4010 ARABELLA 0753-18LP</v>
          </cell>
          <cell r="E1820" t="str">
            <v>ZTRD</v>
          </cell>
          <cell r="F1820" t="str">
            <v>PC</v>
          </cell>
          <cell r="G1820" t="str">
            <v>3</v>
          </cell>
          <cell r="H1820" t="str">
            <v>TRADING</v>
          </cell>
          <cell r="I1820" t="str">
            <v>38</v>
          </cell>
          <cell r="J1820" t="str">
            <v>ALKANA TRADING</v>
          </cell>
          <cell r="K1820" t="str">
            <v>3801</v>
          </cell>
          <cell r="L1820" t="str">
            <v>COATING</v>
          </cell>
          <cell r="M1820" t="str">
            <v>380101</v>
          </cell>
          <cell r="N1820" t="str">
            <v>DECOR PLAST</v>
          </cell>
        </row>
        <row r="1821">
          <cell r="C1821" t="str">
            <v>170000176</v>
          </cell>
          <cell r="D1821" t="str">
            <v>#NOT USED 0 ARA BELLE 0753-3.8L</v>
          </cell>
          <cell r="E1821" t="str">
            <v>ZTRD</v>
          </cell>
          <cell r="F1821" t="str">
            <v>PC</v>
          </cell>
          <cell r="G1821" t="str">
            <v>3</v>
          </cell>
          <cell r="H1821" t="str">
            <v>TRADING</v>
          </cell>
          <cell r="I1821" t="str">
            <v>38</v>
          </cell>
          <cell r="J1821" t="str">
            <v>ALKANA TRADING</v>
          </cell>
          <cell r="K1821" t="str">
            <v>3801</v>
          </cell>
          <cell r="L1821" t="str">
            <v>COATING</v>
          </cell>
          <cell r="M1821" t="str">
            <v>380101</v>
          </cell>
          <cell r="N1821" t="str">
            <v>DECOR PLAST</v>
          </cell>
        </row>
        <row r="1822">
          <cell r="C1822" t="str">
            <v>170000177</v>
          </cell>
          <cell r="D1822" t="str">
            <v>DP-4010 ARABELLA 0753-5L</v>
          </cell>
          <cell r="E1822" t="str">
            <v>ZTRD</v>
          </cell>
          <cell r="F1822" t="str">
            <v>PC</v>
          </cell>
          <cell r="G1822" t="str">
            <v>3</v>
          </cell>
          <cell r="H1822" t="str">
            <v>TRADING</v>
          </cell>
          <cell r="I1822" t="str">
            <v>38</v>
          </cell>
          <cell r="J1822" t="str">
            <v>ALKANA TRADING</v>
          </cell>
          <cell r="K1822" t="str">
            <v>3801</v>
          </cell>
          <cell r="L1822" t="str">
            <v>COATING</v>
          </cell>
          <cell r="M1822" t="str">
            <v>380101</v>
          </cell>
          <cell r="N1822" t="str">
            <v>DECOR PLAST</v>
          </cell>
        </row>
        <row r="1823">
          <cell r="C1823" t="str">
            <v>170000178</v>
          </cell>
          <cell r="D1823" t="str">
            <v>DP-4010 A TOUCH OF TEAL 0511-18LP</v>
          </cell>
          <cell r="E1823" t="str">
            <v>ZTRD</v>
          </cell>
          <cell r="F1823" t="str">
            <v>PC</v>
          </cell>
          <cell r="G1823" t="str">
            <v>3</v>
          </cell>
          <cell r="H1823" t="str">
            <v>TRADING</v>
          </cell>
          <cell r="I1823" t="str">
            <v>38</v>
          </cell>
          <cell r="J1823" t="str">
            <v>ALKANA TRADING</v>
          </cell>
          <cell r="K1823" t="str">
            <v>3801</v>
          </cell>
          <cell r="L1823" t="str">
            <v>COATING</v>
          </cell>
          <cell r="M1823" t="str">
            <v>380101</v>
          </cell>
          <cell r="N1823" t="str">
            <v>DECOR PLAST</v>
          </cell>
        </row>
        <row r="1824">
          <cell r="C1824" t="str">
            <v>170000179</v>
          </cell>
          <cell r="D1824" t="str">
            <v>#NOT USED-4010 A TOUCH OF TEAL 0511-3.8L</v>
          </cell>
          <cell r="E1824" t="str">
            <v>ZTRD</v>
          </cell>
          <cell r="F1824" t="str">
            <v>PC</v>
          </cell>
          <cell r="G1824" t="str">
            <v>3</v>
          </cell>
          <cell r="H1824" t="str">
            <v>TRADING</v>
          </cell>
          <cell r="I1824" t="str">
            <v>38</v>
          </cell>
          <cell r="J1824" t="str">
            <v>ALKANA TRADING</v>
          </cell>
          <cell r="K1824" t="str">
            <v>3801</v>
          </cell>
          <cell r="L1824" t="str">
            <v>COATING</v>
          </cell>
          <cell r="M1824" t="str">
            <v>380101</v>
          </cell>
          <cell r="N1824" t="str">
            <v>DECOR PLAST</v>
          </cell>
        </row>
        <row r="1825">
          <cell r="C1825" t="str">
            <v>170000180</v>
          </cell>
          <cell r="D1825" t="str">
            <v>DP-4010 A TOUCH OF TEAL 0511-5L</v>
          </cell>
          <cell r="E1825" t="str">
            <v>ZTRD</v>
          </cell>
          <cell r="F1825" t="str">
            <v>PC</v>
          </cell>
          <cell r="G1825" t="str">
            <v>3</v>
          </cell>
          <cell r="H1825" t="str">
            <v>TRADING</v>
          </cell>
          <cell r="I1825" t="str">
            <v>38</v>
          </cell>
          <cell r="J1825" t="str">
            <v>ALKANA TRADING</v>
          </cell>
          <cell r="K1825" t="str">
            <v>3801</v>
          </cell>
          <cell r="L1825" t="str">
            <v>COATING</v>
          </cell>
          <cell r="M1825" t="str">
            <v>380101</v>
          </cell>
          <cell r="N1825" t="str">
            <v>DECOR PLAST</v>
          </cell>
        </row>
        <row r="1826">
          <cell r="C1826" t="str">
            <v>170000181</v>
          </cell>
          <cell r="D1826" t="str">
            <v>DP-4010 SWEET SPRING 0042-18LP</v>
          </cell>
          <cell r="E1826" t="str">
            <v>ZTRD</v>
          </cell>
          <cell r="F1826" t="str">
            <v>PC</v>
          </cell>
          <cell r="G1826" t="str">
            <v>3</v>
          </cell>
          <cell r="H1826" t="str">
            <v>TRADING</v>
          </cell>
          <cell r="I1826" t="str">
            <v>38</v>
          </cell>
          <cell r="J1826" t="str">
            <v>ALKANA TRADING</v>
          </cell>
          <cell r="K1826" t="str">
            <v>3801</v>
          </cell>
          <cell r="L1826" t="str">
            <v>COATING</v>
          </cell>
          <cell r="M1826" t="str">
            <v>380101</v>
          </cell>
          <cell r="N1826" t="str">
            <v>DECOR PLAST</v>
          </cell>
        </row>
        <row r="1827">
          <cell r="C1827" t="str">
            <v>170000182</v>
          </cell>
          <cell r="D1827" t="str">
            <v>#NOT USED 0 SWEET SPRING 0042-3.8L</v>
          </cell>
          <cell r="E1827" t="str">
            <v>ZTRD</v>
          </cell>
          <cell r="F1827" t="str">
            <v>PC</v>
          </cell>
          <cell r="G1827" t="str">
            <v>3</v>
          </cell>
          <cell r="H1827" t="str">
            <v>TRADING</v>
          </cell>
          <cell r="I1827" t="str">
            <v>38</v>
          </cell>
          <cell r="J1827" t="str">
            <v>ALKANA TRADING</v>
          </cell>
          <cell r="K1827" t="str">
            <v>3801</v>
          </cell>
          <cell r="L1827" t="str">
            <v>COATING</v>
          </cell>
          <cell r="M1827" t="str">
            <v>380101</v>
          </cell>
          <cell r="N1827" t="str">
            <v>DECOR PLAST</v>
          </cell>
        </row>
        <row r="1828">
          <cell r="C1828" t="str">
            <v>170000183</v>
          </cell>
          <cell r="D1828" t="str">
            <v>DP-4010 SWEET SPRING 0042-5L</v>
          </cell>
          <cell r="E1828" t="str">
            <v>ZTRD</v>
          </cell>
          <cell r="F1828" t="str">
            <v>PC</v>
          </cell>
          <cell r="G1828" t="str">
            <v>3</v>
          </cell>
          <cell r="H1828" t="str">
            <v>TRADING</v>
          </cell>
          <cell r="I1828" t="str">
            <v>38</v>
          </cell>
          <cell r="J1828" t="str">
            <v>ALKANA TRADING</v>
          </cell>
          <cell r="K1828" t="str">
            <v>3801</v>
          </cell>
          <cell r="L1828" t="str">
            <v>COATING</v>
          </cell>
          <cell r="M1828" t="str">
            <v>380101</v>
          </cell>
          <cell r="N1828" t="str">
            <v>DECOR PLAST</v>
          </cell>
        </row>
        <row r="1829">
          <cell r="C1829" t="str">
            <v>170000184</v>
          </cell>
          <cell r="D1829" t="str">
            <v>DP-4010 PEACEFUL PRINCESS 0043-18LP</v>
          </cell>
          <cell r="E1829" t="str">
            <v>ZTRD</v>
          </cell>
          <cell r="F1829" t="str">
            <v>PC</v>
          </cell>
          <cell r="G1829" t="str">
            <v>3</v>
          </cell>
          <cell r="H1829" t="str">
            <v>TRADING</v>
          </cell>
          <cell r="I1829" t="str">
            <v>38</v>
          </cell>
          <cell r="J1829" t="str">
            <v>ALKANA TRADING</v>
          </cell>
          <cell r="K1829" t="str">
            <v>3801</v>
          </cell>
          <cell r="L1829" t="str">
            <v>COATING</v>
          </cell>
          <cell r="M1829" t="str">
            <v>380101</v>
          </cell>
          <cell r="N1829" t="str">
            <v>DECOR PLAST</v>
          </cell>
        </row>
        <row r="1830">
          <cell r="C1830" t="str">
            <v>170000185</v>
          </cell>
          <cell r="D1830" t="str">
            <v>#NOT USED 0 PEACEFUL PRINCESS 0043-3.8L</v>
          </cell>
          <cell r="E1830" t="str">
            <v>ZTRD</v>
          </cell>
          <cell r="F1830" t="str">
            <v>PC</v>
          </cell>
          <cell r="G1830" t="str">
            <v>3</v>
          </cell>
          <cell r="H1830" t="str">
            <v>TRADING</v>
          </cell>
          <cell r="I1830" t="str">
            <v>38</v>
          </cell>
          <cell r="J1830" t="str">
            <v>ALKANA TRADING</v>
          </cell>
          <cell r="K1830" t="str">
            <v>3801</v>
          </cell>
          <cell r="L1830" t="str">
            <v>COATING</v>
          </cell>
          <cell r="M1830" t="str">
            <v>380101</v>
          </cell>
          <cell r="N1830" t="str">
            <v>DECOR PLAST</v>
          </cell>
        </row>
        <row r="1831">
          <cell r="C1831" t="str">
            <v>170000186</v>
          </cell>
          <cell r="D1831" t="str">
            <v>DP-4010 PEACEFUL PRINCESS 0043-5L</v>
          </cell>
          <cell r="E1831" t="str">
            <v>ZTRD</v>
          </cell>
          <cell r="F1831" t="str">
            <v>PC</v>
          </cell>
          <cell r="G1831" t="str">
            <v>3</v>
          </cell>
          <cell r="H1831" t="str">
            <v>TRADING</v>
          </cell>
          <cell r="I1831" t="str">
            <v>38</v>
          </cell>
          <cell r="J1831" t="str">
            <v>ALKANA TRADING</v>
          </cell>
          <cell r="K1831" t="str">
            <v>3801</v>
          </cell>
          <cell r="L1831" t="str">
            <v>COATING</v>
          </cell>
          <cell r="M1831" t="str">
            <v>380101</v>
          </cell>
          <cell r="N1831" t="str">
            <v>DECOR PLAST</v>
          </cell>
        </row>
        <row r="1832">
          <cell r="C1832" t="str">
            <v>170000187</v>
          </cell>
          <cell r="D1832" t="str">
            <v>ULTRAMAS-40KZ</v>
          </cell>
          <cell r="E1832" t="str">
            <v>ZTRD</v>
          </cell>
          <cell r="F1832" t="str">
            <v>PC</v>
          </cell>
          <cell r="G1832" t="str">
            <v>3</v>
          </cell>
          <cell r="H1832" t="str">
            <v>TRADING</v>
          </cell>
          <cell r="I1832" t="str">
            <v>38</v>
          </cell>
          <cell r="J1832" t="str">
            <v>ALKANA TRADING</v>
          </cell>
          <cell r="K1832" t="str">
            <v>3801</v>
          </cell>
          <cell r="L1832" t="str">
            <v>COATING</v>
          </cell>
          <cell r="M1832" t="str">
            <v>380102</v>
          </cell>
          <cell r="N1832" t="str">
            <v>ULTRAMAS</v>
          </cell>
        </row>
        <row r="1833">
          <cell r="C1833" t="str">
            <v>170000188</v>
          </cell>
          <cell r="D1833" t="str">
            <v>ULTRAMAS(INT)-40KZ</v>
          </cell>
          <cell r="E1833" t="str">
            <v>ZTRD</v>
          </cell>
          <cell r="F1833" t="str">
            <v>PC</v>
          </cell>
          <cell r="G1833" t="str">
            <v>3</v>
          </cell>
          <cell r="H1833" t="str">
            <v>TRADING</v>
          </cell>
          <cell r="I1833" t="str">
            <v>38</v>
          </cell>
          <cell r="J1833" t="str">
            <v>ALKANA TRADING</v>
          </cell>
          <cell r="K1833" t="str">
            <v>3801</v>
          </cell>
          <cell r="L1833" t="str">
            <v>COATING</v>
          </cell>
          <cell r="M1833" t="str">
            <v>380102</v>
          </cell>
          <cell r="N1833" t="str">
            <v>ULTRAMAS</v>
          </cell>
        </row>
        <row r="1834">
          <cell r="C1834" t="str">
            <v>170000190</v>
          </cell>
          <cell r="D1834" t="str">
            <v>DECOR AR-300-5L</v>
          </cell>
          <cell r="E1834" t="str">
            <v>ZTRD</v>
          </cell>
          <cell r="F1834" t="str">
            <v>PC</v>
          </cell>
          <cell r="G1834" t="str">
            <v>X</v>
          </cell>
          <cell r="H1834" t="str">
            <v>TRD RETAIL</v>
          </cell>
          <cell r="I1834" t="str">
            <v>X5</v>
          </cell>
          <cell r="J1834" t="str">
            <v>APCT1</v>
          </cell>
          <cell r="K1834" t="str">
            <v>X502</v>
          </cell>
          <cell r="L1834" t="str">
            <v>DECOR</v>
          </cell>
          <cell r="M1834" t="str">
            <v>X50209</v>
          </cell>
          <cell r="N1834" t="str">
            <v>DECOR PRIMER WB</v>
          </cell>
        </row>
        <row r="1835">
          <cell r="C1835" t="str">
            <v>170000191</v>
          </cell>
          <cell r="D1835" t="str">
            <v>FIBERKOTE 888 PSANDER BRW 18-8004-1L</v>
          </cell>
          <cell r="E1835" t="str">
            <v>ZTRD</v>
          </cell>
          <cell r="F1835" t="str">
            <v>PC</v>
          </cell>
          <cell r="G1835" t="str">
            <v>X</v>
          </cell>
          <cell r="H1835" t="str">
            <v>TRD RETAIL</v>
          </cell>
          <cell r="I1835" t="str">
            <v>X6</v>
          </cell>
          <cell r="J1835" t="str">
            <v>SFC</v>
          </cell>
          <cell r="K1835" t="str">
            <v>X604</v>
          </cell>
          <cell r="L1835" t="str">
            <v>FIBERKOTE</v>
          </cell>
          <cell r="M1835" t="str">
            <v>X60401</v>
          </cell>
          <cell r="N1835" t="str">
            <v>FIBERKOTE RMX</v>
          </cell>
        </row>
        <row r="1836">
          <cell r="C1836" t="str">
            <v>170000193</v>
          </cell>
          <cell r="D1836" t="str">
            <v>EDP-551 BLACK-5KS</v>
          </cell>
          <cell r="E1836" t="str">
            <v>ZTRD</v>
          </cell>
          <cell r="F1836" t="str">
            <v>SET</v>
          </cell>
          <cell r="G1836" t="str">
            <v>Y</v>
          </cell>
          <cell r="H1836" t="str">
            <v>TRD PROJECT</v>
          </cell>
          <cell r="I1836" t="str">
            <v>Y9</v>
          </cell>
          <cell r="J1836" t="str">
            <v>MPC</v>
          </cell>
          <cell r="K1836" t="str">
            <v>Y904</v>
          </cell>
          <cell r="L1836" t="str">
            <v>METALKOTE</v>
          </cell>
          <cell r="M1836" t="str">
            <v>Y90402</v>
          </cell>
          <cell r="N1836" t="str">
            <v>METALKOTE-EPOXY SYS</v>
          </cell>
        </row>
        <row r="1837">
          <cell r="C1837" t="str">
            <v>170000194</v>
          </cell>
          <cell r="D1837" t="str">
            <v>PFP-261-18KP</v>
          </cell>
          <cell r="E1837" t="str">
            <v>ZTRD</v>
          </cell>
          <cell r="F1837" t="str">
            <v>PC</v>
          </cell>
          <cell r="G1837" t="str">
            <v>Y</v>
          </cell>
          <cell r="H1837" t="str">
            <v>TRD PROJECT</v>
          </cell>
          <cell r="I1837" t="str">
            <v>Y6</v>
          </cell>
          <cell r="J1837" t="str">
            <v>CPC1</v>
          </cell>
          <cell r="K1837" t="str">
            <v>Y602</v>
          </cell>
          <cell r="L1837" t="str">
            <v>POLYFLOOR</v>
          </cell>
          <cell r="M1837" t="str">
            <v>Y60202</v>
          </cell>
          <cell r="N1837" t="str">
            <v>POLYFLOOR EPOXY</v>
          </cell>
        </row>
        <row r="1838">
          <cell r="C1838" t="str">
            <v>170000195</v>
          </cell>
          <cell r="D1838" t="str">
            <v>CERAKOTE 998 LIGHT ALABASTER-3KS</v>
          </cell>
          <cell r="E1838" t="str">
            <v>ZTRD</v>
          </cell>
          <cell r="F1838" t="str">
            <v>SET</v>
          </cell>
          <cell r="G1838" t="str">
            <v>Y</v>
          </cell>
          <cell r="H1838" t="str">
            <v>TRD PROJECT</v>
          </cell>
          <cell r="I1838" t="str">
            <v>Y6</v>
          </cell>
          <cell r="J1838" t="str">
            <v>CPC1</v>
          </cell>
          <cell r="K1838" t="str">
            <v>Y604</v>
          </cell>
          <cell r="L1838" t="str">
            <v>CERAKOTE</v>
          </cell>
          <cell r="M1838" t="str">
            <v>Y60401</v>
          </cell>
          <cell r="N1838" t="str">
            <v>CERAKOTE</v>
          </cell>
        </row>
        <row r="1839">
          <cell r="C1839" t="str">
            <v>170000196</v>
          </cell>
          <cell r="D1839" t="str">
            <v>CERAKOTE 998 GENTIAN BLUE-3KS</v>
          </cell>
          <cell r="E1839" t="str">
            <v>ZTRD</v>
          </cell>
          <cell r="F1839" t="str">
            <v>SET</v>
          </cell>
          <cell r="G1839" t="str">
            <v>Y</v>
          </cell>
          <cell r="H1839" t="str">
            <v>TRD PROJECT</v>
          </cell>
          <cell r="I1839" t="str">
            <v>Y6</v>
          </cell>
          <cell r="J1839" t="str">
            <v>CPC1</v>
          </cell>
          <cell r="K1839" t="str">
            <v>Y604</v>
          </cell>
          <cell r="L1839" t="str">
            <v>CERAKOTE</v>
          </cell>
          <cell r="M1839" t="str">
            <v>Y60401</v>
          </cell>
          <cell r="N1839" t="str">
            <v>CERAKOTE</v>
          </cell>
        </row>
        <row r="1840">
          <cell r="C1840" t="str">
            <v>170000197</v>
          </cell>
          <cell r="D1840" t="str">
            <v>CERAKOTE 997 PU HQ WHITE-1LS</v>
          </cell>
          <cell r="E1840" t="str">
            <v>ZTRD</v>
          </cell>
          <cell r="F1840" t="str">
            <v>SET</v>
          </cell>
          <cell r="G1840" t="str">
            <v>Y</v>
          </cell>
          <cell r="H1840" t="str">
            <v>TRD PROJECT</v>
          </cell>
          <cell r="I1840" t="str">
            <v>Y6</v>
          </cell>
          <cell r="J1840" t="str">
            <v>CPC1</v>
          </cell>
          <cell r="K1840" t="str">
            <v>Y604</v>
          </cell>
          <cell r="L1840" t="str">
            <v>CERAKOTE</v>
          </cell>
          <cell r="M1840" t="str">
            <v>Y60401</v>
          </cell>
          <cell r="N1840" t="str">
            <v>CERAKOTE</v>
          </cell>
        </row>
        <row r="1841">
          <cell r="C1841" t="str">
            <v>170000198</v>
          </cell>
          <cell r="D1841" t="str">
            <v>ULTRAPROOF 960 TRANSPARANT-1K</v>
          </cell>
          <cell r="E1841" t="str">
            <v>ZTRD</v>
          </cell>
          <cell r="F1841" t="str">
            <v>PC</v>
          </cell>
          <cell r="G1841" t="str">
            <v>Y</v>
          </cell>
          <cell r="H1841" t="str">
            <v>TRD PROJECT</v>
          </cell>
          <cell r="I1841" t="str">
            <v>Y5</v>
          </cell>
          <cell r="J1841" t="str">
            <v>APCT2</v>
          </cell>
          <cell r="K1841" t="str">
            <v>Y501</v>
          </cell>
          <cell r="L1841" t="str">
            <v>ULTRAPROOF</v>
          </cell>
          <cell r="M1841" t="str">
            <v>Y50101</v>
          </cell>
          <cell r="N1841" t="str">
            <v>ULTRAPROOF RMX</v>
          </cell>
        </row>
        <row r="1842">
          <cell r="C1842" t="str">
            <v>170000199</v>
          </cell>
          <cell r="D1842" t="str">
            <v>ULTRAPROOF 960 TRANSPARANT-20KP</v>
          </cell>
          <cell r="E1842" t="str">
            <v>ZTRD</v>
          </cell>
          <cell r="F1842" t="str">
            <v>PC</v>
          </cell>
          <cell r="G1842" t="str">
            <v>Y</v>
          </cell>
          <cell r="H1842" t="str">
            <v>TRD PROJECT</v>
          </cell>
          <cell r="I1842" t="str">
            <v>Y5</v>
          </cell>
          <cell r="J1842" t="str">
            <v>APCT2</v>
          </cell>
          <cell r="K1842" t="str">
            <v>Y501</v>
          </cell>
          <cell r="L1842" t="str">
            <v>ULTRAPROOF</v>
          </cell>
          <cell r="M1842" t="str">
            <v>Y50101</v>
          </cell>
          <cell r="N1842" t="str">
            <v>ULTRAPROOF RMX</v>
          </cell>
        </row>
        <row r="1843">
          <cell r="C1843" t="str">
            <v>170000200</v>
          </cell>
          <cell r="D1843" t="str">
            <v>ULTRAPROOF 960 TRANSPARANT-4K</v>
          </cell>
          <cell r="E1843" t="str">
            <v>ZTRD</v>
          </cell>
          <cell r="F1843" t="str">
            <v>PC</v>
          </cell>
          <cell r="G1843" t="str">
            <v>Y</v>
          </cell>
          <cell r="H1843" t="str">
            <v>TRD PROJECT</v>
          </cell>
          <cell r="I1843" t="str">
            <v>Y5</v>
          </cell>
          <cell r="J1843" t="str">
            <v>APCT2</v>
          </cell>
          <cell r="K1843" t="str">
            <v>Y501</v>
          </cell>
          <cell r="L1843" t="str">
            <v>ULTRAPROOF</v>
          </cell>
          <cell r="M1843" t="str">
            <v>Y50101</v>
          </cell>
          <cell r="N1843" t="str">
            <v>ULTRAPROOF RMX</v>
          </cell>
        </row>
        <row r="1844">
          <cell r="C1844" t="str">
            <v>170000201</v>
          </cell>
          <cell r="D1844" t="str">
            <v>ULTRAPROOF 960 TRADITIONAL ORANGE-1K</v>
          </cell>
          <cell r="E1844" t="str">
            <v>ZTRD</v>
          </cell>
          <cell r="F1844" t="str">
            <v>PC</v>
          </cell>
          <cell r="G1844" t="str">
            <v>Y</v>
          </cell>
          <cell r="H1844" t="str">
            <v>TRD PROJECT</v>
          </cell>
          <cell r="I1844" t="str">
            <v>Y5</v>
          </cell>
          <cell r="J1844" t="str">
            <v>APCT2</v>
          </cell>
          <cell r="K1844" t="str">
            <v>Y501</v>
          </cell>
          <cell r="L1844" t="str">
            <v>ULTRAPROOF</v>
          </cell>
          <cell r="M1844" t="str">
            <v>Y50101</v>
          </cell>
          <cell r="N1844" t="str">
            <v>ULTRAPROOF RMX</v>
          </cell>
        </row>
        <row r="1845">
          <cell r="C1845" t="str">
            <v>170000202</v>
          </cell>
          <cell r="D1845" t="str">
            <v>ULTRAPROOF 960 TRADITIONAL ORANGE-20KP</v>
          </cell>
          <cell r="E1845" t="str">
            <v>ZTRD</v>
          </cell>
          <cell r="F1845" t="str">
            <v>PC</v>
          </cell>
          <cell r="G1845" t="str">
            <v>Y</v>
          </cell>
          <cell r="H1845" t="str">
            <v>TRD PROJECT</v>
          </cell>
          <cell r="I1845" t="str">
            <v>Y5</v>
          </cell>
          <cell r="J1845" t="str">
            <v>APCT2</v>
          </cell>
          <cell r="K1845" t="str">
            <v>Y501</v>
          </cell>
          <cell r="L1845" t="str">
            <v>ULTRAPROOF</v>
          </cell>
          <cell r="M1845" t="str">
            <v>Y50101</v>
          </cell>
          <cell r="N1845" t="str">
            <v>ULTRAPROOF RMX</v>
          </cell>
        </row>
        <row r="1846">
          <cell r="C1846" t="str">
            <v>170000203</v>
          </cell>
          <cell r="D1846" t="str">
            <v>ULTRAPROOF 960 TRADITIONAL ORANGE-4K</v>
          </cell>
          <cell r="E1846" t="str">
            <v>ZTRD</v>
          </cell>
          <cell r="F1846" t="str">
            <v>PC</v>
          </cell>
          <cell r="G1846" t="str">
            <v>Y</v>
          </cell>
          <cell r="H1846" t="str">
            <v>TRD PROJECT</v>
          </cell>
          <cell r="I1846" t="str">
            <v>Y5</v>
          </cell>
          <cell r="J1846" t="str">
            <v>APCT2</v>
          </cell>
          <cell r="K1846" t="str">
            <v>Y501</v>
          </cell>
          <cell r="L1846" t="str">
            <v>ULTRAPROOF</v>
          </cell>
          <cell r="M1846" t="str">
            <v>Y50101</v>
          </cell>
          <cell r="N1846" t="str">
            <v>ULTRAPROOF RMX</v>
          </cell>
        </row>
        <row r="1847">
          <cell r="C1847" t="str">
            <v>170000204</v>
          </cell>
          <cell r="D1847" t="str">
            <v>ULTRAPROOF 960 ORANGE PUNCH-1K</v>
          </cell>
          <cell r="E1847" t="str">
            <v>ZTRD</v>
          </cell>
          <cell r="F1847" t="str">
            <v>PC</v>
          </cell>
          <cell r="G1847" t="str">
            <v>Y</v>
          </cell>
          <cell r="H1847" t="str">
            <v>TRD PROJECT</v>
          </cell>
          <cell r="I1847" t="str">
            <v>Y5</v>
          </cell>
          <cell r="J1847" t="str">
            <v>APCT2</v>
          </cell>
          <cell r="K1847" t="str">
            <v>Y501</v>
          </cell>
          <cell r="L1847" t="str">
            <v>ULTRAPROOF</v>
          </cell>
          <cell r="M1847" t="str">
            <v>Y50101</v>
          </cell>
          <cell r="N1847" t="str">
            <v>ULTRAPROOF RMX</v>
          </cell>
        </row>
        <row r="1848">
          <cell r="C1848" t="str">
            <v>170000205</v>
          </cell>
          <cell r="D1848" t="str">
            <v>ULTRAPROOF 960 ORANGE PUNCH-20KP</v>
          </cell>
          <cell r="E1848" t="str">
            <v>ZTRD</v>
          </cell>
          <cell r="F1848" t="str">
            <v>PC</v>
          </cell>
          <cell r="G1848" t="str">
            <v>Y</v>
          </cell>
          <cell r="H1848" t="str">
            <v>TRD PROJECT</v>
          </cell>
          <cell r="I1848" t="str">
            <v>Y5</v>
          </cell>
          <cell r="J1848" t="str">
            <v>APCT2</v>
          </cell>
          <cell r="K1848" t="str">
            <v>Y501</v>
          </cell>
          <cell r="L1848" t="str">
            <v>ULTRAPROOF</v>
          </cell>
          <cell r="M1848" t="str">
            <v>Y50101</v>
          </cell>
          <cell r="N1848" t="str">
            <v>ULTRAPROOF RMX</v>
          </cell>
        </row>
        <row r="1849">
          <cell r="C1849" t="str">
            <v>170000206</v>
          </cell>
          <cell r="D1849" t="str">
            <v>ULTRAPROOF 960 ORANGE PUNCH-4K</v>
          </cell>
          <cell r="E1849" t="str">
            <v>ZTRD</v>
          </cell>
          <cell r="F1849" t="str">
            <v>PC</v>
          </cell>
          <cell r="G1849" t="str">
            <v>Y</v>
          </cell>
          <cell r="H1849" t="str">
            <v>TRD PROJECT</v>
          </cell>
          <cell r="I1849" t="str">
            <v>Y5</v>
          </cell>
          <cell r="J1849" t="str">
            <v>APCT2</v>
          </cell>
          <cell r="K1849" t="str">
            <v>Y501</v>
          </cell>
          <cell r="L1849" t="str">
            <v>ULTRAPROOF</v>
          </cell>
          <cell r="M1849" t="str">
            <v>Y50101</v>
          </cell>
          <cell r="N1849" t="str">
            <v>ULTRAPROOF RMX</v>
          </cell>
        </row>
        <row r="1850">
          <cell r="C1850" t="str">
            <v>170000207</v>
          </cell>
          <cell r="D1850" t="str">
            <v>ULTRADRY UD-901-1L</v>
          </cell>
          <cell r="E1850" t="str">
            <v>ZTRD</v>
          </cell>
          <cell r="F1850" t="str">
            <v>PC</v>
          </cell>
          <cell r="G1850" t="str">
            <v>Y</v>
          </cell>
          <cell r="H1850" t="str">
            <v>TRD PROJECT</v>
          </cell>
          <cell r="I1850" t="str">
            <v>Y7</v>
          </cell>
          <cell r="J1850" t="str">
            <v>CPC2</v>
          </cell>
          <cell r="K1850" t="str">
            <v>Y705</v>
          </cell>
          <cell r="L1850" t="str">
            <v>ULTRADRY</v>
          </cell>
          <cell r="M1850" t="str">
            <v>Y70501</v>
          </cell>
          <cell r="N1850" t="str">
            <v>ULTRADRY</v>
          </cell>
        </row>
        <row r="1851">
          <cell r="C1851" t="str">
            <v>170000208</v>
          </cell>
          <cell r="D1851" t="str">
            <v>ULTRALASTIC LIQUID UL-920-1K</v>
          </cell>
          <cell r="E1851" t="str">
            <v>ZTRD</v>
          </cell>
          <cell r="F1851" t="str">
            <v>PC</v>
          </cell>
          <cell r="G1851" t="str">
            <v>Y</v>
          </cell>
          <cell r="H1851" t="str">
            <v>TRD PROJECT</v>
          </cell>
          <cell r="I1851" t="str">
            <v>Y7</v>
          </cell>
          <cell r="J1851" t="str">
            <v>CPC2</v>
          </cell>
          <cell r="K1851" t="str">
            <v>Y707</v>
          </cell>
          <cell r="L1851" t="str">
            <v>ULTRALASTIC</v>
          </cell>
          <cell r="M1851" t="str">
            <v>Y70701</v>
          </cell>
          <cell r="N1851" t="str">
            <v>ULTRALASTIC</v>
          </cell>
        </row>
        <row r="1852">
          <cell r="C1852" t="str">
            <v>170000209</v>
          </cell>
          <cell r="D1852" t="str">
            <v>TRAFFIKOTE 108 WB BLUE-1K</v>
          </cell>
          <cell r="E1852" t="str">
            <v>ZTRD</v>
          </cell>
          <cell r="F1852" t="str">
            <v>PC</v>
          </cell>
          <cell r="G1852" t="str">
            <v>X</v>
          </cell>
          <cell r="H1852" t="str">
            <v>TRD RETAIL</v>
          </cell>
          <cell r="I1852" t="str">
            <v>X7</v>
          </cell>
          <cell r="J1852" t="str">
            <v>CPC1</v>
          </cell>
          <cell r="K1852" t="str">
            <v>X706</v>
          </cell>
          <cell r="L1852" t="str">
            <v>TRAFFIKOTE</v>
          </cell>
          <cell r="M1852" t="str">
            <v>X70603</v>
          </cell>
          <cell r="N1852" t="str">
            <v>TRAFFIKOTE WATER BASE</v>
          </cell>
        </row>
        <row r="1853">
          <cell r="C1853" t="str">
            <v>170000210</v>
          </cell>
          <cell r="D1853" t="str">
            <v>TRAFFIKOTE 108 WB WHITE-1K</v>
          </cell>
          <cell r="E1853" t="str">
            <v>ZTRD</v>
          </cell>
          <cell r="F1853" t="str">
            <v>PC</v>
          </cell>
          <cell r="G1853" t="str">
            <v>X</v>
          </cell>
          <cell r="H1853" t="str">
            <v>TRD RETAIL</v>
          </cell>
          <cell r="I1853" t="str">
            <v>X7</v>
          </cell>
          <cell r="J1853" t="str">
            <v>CPC1</v>
          </cell>
          <cell r="K1853" t="str">
            <v>X706</v>
          </cell>
          <cell r="L1853" t="str">
            <v>TRAFFIKOTE</v>
          </cell>
          <cell r="M1853" t="str">
            <v>X70603</v>
          </cell>
          <cell r="N1853" t="str">
            <v>TRAFFIKOTE WATER BASE</v>
          </cell>
        </row>
        <row r="1854">
          <cell r="C1854" t="str">
            <v>170000211</v>
          </cell>
          <cell r="D1854" t="str">
            <v>TRAFFIKOTE 108 WB YELLOW-1K</v>
          </cell>
          <cell r="E1854" t="str">
            <v>ZTRD</v>
          </cell>
          <cell r="F1854" t="str">
            <v>PC</v>
          </cell>
          <cell r="G1854" t="str">
            <v>X</v>
          </cell>
          <cell r="H1854" t="str">
            <v>TRD RETAIL</v>
          </cell>
          <cell r="I1854" t="str">
            <v>X7</v>
          </cell>
          <cell r="J1854" t="str">
            <v>CPC1</v>
          </cell>
          <cell r="K1854" t="str">
            <v>X706</v>
          </cell>
          <cell r="L1854" t="str">
            <v>TRAFFIKOTE</v>
          </cell>
          <cell r="M1854" t="str">
            <v>X70603</v>
          </cell>
          <cell r="N1854" t="str">
            <v>TRAFFIKOTE WATER BASE</v>
          </cell>
        </row>
        <row r="1855">
          <cell r="C1855" t="str">
            <v>170000212</v>
          </cell>
          <cell r="D1855" t="str">
            <v>TRAFFIKOTE 108 WB BLACK-1K</v>
          </cell>
          <cell r="E1855" t="str">
            <v>ZTRD</v>
          </cell>
          <cell r="F1855" t="str">
            <v>PC</v>
          </cell>
          <cell r="G1855" t="str">
            <v>X</v>
          </cell>
          <cell r="H1855" t="str">
            <v>TRD RETAIL</v>
          </cell>
          <cell r="I1855" t="str">
            <v>X7</v>
          </cell>
          <cell r="J1855" t="str">
            <v>CPC1</v>
          </cell>
          <cell r="K1855" t="str">
            <v>X706</v>
          </cell>
          <cell r="L1855" t="str">
            <v>TRAFFIKOTE</v>
          </cell>
          <cell r="M1855" t="str">
            <v>X70603</v>
          </cell>
          <cell r="N1855" t="str">
            <v>TRAFFIKOTE WATER BASE</v>
          </cell>
        </row>
        <row r="1856">
          <cell r="C1856" t="str">
            <v>170000213</v>
          </cell>
          <cell r="D1856" t="str">
            <v>TRAFFIKOTE 108 WB RED-1K</v>
          </cell>
          <cell r="E1856" t="str">
            <v>ZTRD</v>
          </cell>
          <cell r="F1856" t="str">
            <v>PC</v>
          </cell>
          <cell r="G1856" t="str">
            <v>X</v>
          </cell>
          <cell r="H1856" t="str">
            <v>TRD RETAIL</v>
          </cell>
          <cell r="I1856" t="str">
            <v>X7</v>
          </cell>
          <cell r="J1856" t="str">
            <v>CPC1</v>
          </cell>
          <cell r="K1856" t="str">
            <v>X706</v>
          </cell>
          <cell r="L1856" t="str">
            <v>TRAFFIKOTE</v>
          </cell>
          <cell r="M1856" t="str">
            <v>X70603</v>
          </cell>
          <cell r="N1856" t="str">
            <v>TRAFFIKOTE WATER BASE</v>
          </cell>
        </row>
        <row r="1857">
          <cell r="C1857" t="str">
            <v>170000214</v>
          </cell>
          <cell r="D1857" t="str">
            <v>TRAFFIKOTE 108 WB GREEN-1K</v>
          </cell>
          <cell r="E1857" t="str">
            <v>ZTRD</v>
          </cell>
          <cell r="F1857" t="str">
            <v>PC</v>
          </cell>
          <cell r="G1857" t="str">
            <v>X</v>
          </cell>
          <cell r="H1857" t="str">
            <v>TRD RETAIL</v>
          </cell>
          <cell r="I1857" t="str">
            <v>X7</v>
          </cell>
          <cell r="J1857" t="str">
            <v>CPC1</v>
          </cell>
          <cell r="K1857" t="str">
            <v>X706</v>
          </cell>
          <cell r="L1857" t="str">
            <v>TRAFFIKOTE</v>
          </cell>
          <cell r="M1857" t="str">
            <v>X70603</v>
          </cell>
          <cell r="N1857" t="str">
            <v>TRAFFIKOTE WATER BASE</v>
          </cell>
        </row>
        <row r="1858">
          <cell r="C1858" t="str">
            <v>170000215</v>
          </cell>
          <cell r="D1858" t="str">
            <v>FIBERKOTE 888 NATURAL DOF-1L</v>
          </cell>
          <cell r="E1858" t="str">
            <v>ZTRD</v>
          </cell>
          <cell r="F1858" t="str">
            <v>PC</v>
          </cell>
          <cell r="G1858" t="str">
            <v>X</v>
          </cell>
          <cell r="H1858" t="str">
            <v>TRD RETAIL</v>
          </cell>
          <cell r="I1858" t="str">
            <v>X6</v>
          </cell>
          <cell r="J1858" t="str">
            <v>SFC</v>
          </cell>
          <cell r="K1858" t="str">
            <v>X604</v>
          </cell>
          <cell r="L1858" t="str">
            <v>FIBERKOTE</v>
          </cell>
          <cell r="M1858" t="str">
            <v>X60401</v>
          </cell>
          <cell r="N1858" t="str">
            <v>FIBERKOTE RMX</v>
          </cell>
        </row>
        <row r="1859">
          <cell r="C1859" t="str">
            <v>170000216</v>
          </cell>
          <cell r="D1859" t="str">
            <v>FIBERKOTE 889 ROSE WOOD 18-3005-1L</v>
          </cell>
          <cell r="E1859" t="str">
            <v>ZTRD</v>
          </cell>
          <cell r="F1859" t="str">
            <v>PC</v>
          </cell>
          <cell r="G1859" t="str">
            <v>X</v>
          </cell>
          <cell r="H1859" t="str">
            <v>TRD RETAIL</v>
          </cell>
          <cell r="I1859" t="str">
            <v>X6</v>
          </cell>
          <cell r="J1859" t="str">
            <v>SFC</v>
          </cell>
          <cell r="K1859" t="str">
            <v>X604</v>
          </cell>
          <cell r="L1859" t="str">
            <v>FIBERKOTE</v>
          </cell>
          <cell r="M1859" t="str">
            <v>X60401</v>
          </cell>
          <cell r="N1859" t="str">
            <v>FIBERKOTE RMX</v>
          </cell>
        </row>
        <row r="1860">
          <cell r="C1860" t="str">
            <v>170000217</v>
          </cell>
          <cell r="D1860" t="str">
            <v>FIBERKOTE 889 CHERRY 18-8202-1L</v>
          </cell>
          <cell r="E1860" t="str">
            <v>ZTRD</v>
          </cell>
          <cell r="F1860" t="str">
            <v>PC</v>
          </cell>
          <cell r="G1860" t="str">
            <v>X</v>
          </cell>
          <cell r="H1860" t="str">
            <v>TRD RETAIL</v>
          </cell>
          <cell r="I1860" t="str">
            <v>X6</v>
          </cell>
          <cell r="J1860" t="str">
            <v>SFC</v>
          </cell>
          <cell r="K1860" t="str">
            <v>X604</v>
          </cell>
          <cell r="L1860" t="str">
            <v>FIBERKOTE</v>
          </cell>
          <cell r="M1860" t="str">
            <v>X60401</v>
          </cell>
          <cell r="N1860" t="str">
            <v>FIBERKOTE RMX</v>
          </cell>
        </row>
        <row r="1861">
          <cell r="C1861" t="str">
            <v>170000218</v>
          </cell>
          <cell r="D1861" t="str">
            <v>FIBERKOTE 889 AKASIA 18-8301-1L</v>
          </cell>
          <cell r="E1861" t="str">
            <v>ZTRD</v>
          </cell>
          <cell r="F1861" t="str">
            <v>PC</v>
          </cell>
          <cell r="G1861" t="str">
            <v>X</v>
          </cell>
          <cell r="H1861" t="str">
            <v>TRD RETAIL</v>
          </cell>
          <cell r="I1861" t="str">
            <v>X6</v>
          </cell>
          <cell r="J1861" t="str">
            <v>SFC</v>
          </cell>
          <cell r="K1861" t="str">
            <v>X604</v>
          </cell>
          <cell r="L1861" t="str">
            <v>FIBERKOTE</v>
          </cell>
          <cell r="M1861" t="str">
            <v>X60401</v>
          </cell>
          <cell r="N1861" t="str">
            <v>FIBERKOTE RMX</v>
          </cell>
        </row>
        <row r="1862">
          <cell r="C1862" t="str">
            <v>170000219</v>
          </cell>
          <cell r="D1862" t="str">
            <v>FIBERKOTE 889 OLIVE GREY 18-7003-1L</v>
          </cell>
          <cell r="E1862" t="str">
            <v>ZTRD</v>
          </cell>
          <cell r="F1862" t="str">
            <v>PC</v>
          </cell>
          <cell r="G1862" t="str">
            <v>X</v>
          </cell>
          <cell r="H1862" t="str">
            <v>TRD RETAIL</v>
          </cell>
          <cell r="I1862" t="str">
            <v>X6</v>
          </cell>
          <cell r="J1862" t="str">
            <v>SFC</v>
          </cell>
          <cell r="K1862" t="str">
            <v>X604</v>
          </cell>
          <cell r="L1862" t="str">
            <v>FIBERKOTE</v>
          </cell>
          <cell r="M1862" t="str">
            <v>X60401</v>
          </cell>
          <cell r="N1862" t="str">
            <v>FIBERKOTE RMX</v>
          </cell>
        </row>
        <row r="1863">
          <cell r="C1863" t="str">
            <v>170000220</v>
          </cell>
          <cell r="D1863" t="str">
            <v>FIBERKOTE 820-1L</v>
          </cell>
          <cell r="E1863" t="str">
            <v>ZTRD</v>
          </cell>
          <cell r="F1863" t="str">
            <v>PC</v>
          </cell>
          <cell r="G1863" t="str">
            <v>X</v>
          </cell>
          <cell r="H1863" t="str">
            <v>TRD RETAIL</v>
          </cell>
          <cell r="I1863" t="str">
            <v>X6</v>
          </cell>
          <cell r="J1863" t="str">
            <v>SFC</v>
          </cell>
          <cell r="K1863" t="str">
            <v>X604</v>
          </cell>
          <cell r="L1863" t="str">
            <v>FIBERKOTE</v>
          </cell>
          <cell r="M1863" t="str">
            <v>X60401</v>
          </cell>
          <cell r="N1863" t="str">
            <v>FIBERKOTE RMX</v>
          </cell>
        </row>
        <row r="1864">
          <cell r="C1864" t="str">
            <v>170000221</v>
          </cell>
          <cell r="D1864" t="str">
            <v>FIBERKOTE 887 CHERRY 18-8202-1L</v>
          </cell>
          <cell r="E1864" t="str">
            <v>ZTRD</v>
          </cell>
          <cell r="F1864" t="str">
            <v>PC</v>
          </cell>
          <cell r="G1864" t="str">
            <v>X</v>
          </cell>
          <cell r="H1864" t="str">
            <v>TRD RETAIL</v>
          </cell>
          <cell r="I1864" t="str">
            <v>X6</v>
          </cell>
          <cell r="J1864" t="str">
            <v>SFC</v>
          </cell>
          <cell r="K1864" t="str">
            <v>X604</v>
          </cell>
          <cell r="L1864" t="str">
            <v>FIBERKOTE</v>
          </cell>
          <cell r="M1864" t="str">
            <v>X60401</v>
          </cell>
          <cell r="N1864" t="str">
            <v>FIBERKOTE RMX</v>
          </cell>
        </row>
        <row r="1865">
          <cell r="C1865" t="str">
            <v>170000222</v>
          </cell>
          <cell r="D1865" t="str">
            <v>FIBERKOTE 887 PSANDER BRW 18-8004-1L</v>
          </cell>
          <cell r="E1865" t="str">
            <v>ZTRD</v>
          </cell>
          <cell r="F1865" t="str">
            <v>PC</v>
          </cell>
          <cell r="G1865" t="str">
            <v>X</v>
          </cell>
          <cell r="H1865" t="str">
            <v>TRD RETAIL</v>
          </cell>
          <cell r="I1865" t="str">
            <v>X6</v>
          </cell>
          <cell r="J1865" t="str">
            <v>SFC</v>
          </cell>
          <cell r="K1865" t="str">
            <v>X604</v>
          </cell>
          <cell r="L1865" t="str">
            <v>FIBERKOTE</v>
          </cell>
          <cell r="M1865" t="str">
            <v>X60401</v>
          </cell>
          <cell r="N1865" t="str">
            <v>FIBERKOTE RMX</v>
          </cell>
        </row>
        <row r="1866">
          <cell r="C1866" t="str">
            <v>170000223</v>
          </cell>
          <cell r="D1866" t="str">
            <v>GLASSKOTE 05 WB HARVEST-3404-2.5L</v>
          </cell>
          <cell r="E1866" t="str">
            <v>ZTRD</v>
          </cell>
          <cell r="F1866" t="str">
            <v>PC</v>
          </cell>
          <cell r="G1866" t="str">
            <v>X</v>
          </cell>
          <cell r="H1866" t="str">
            <v>TRD RETAIL</v>
          </cell>
          <cell r="I1866" t="str">
            <v>X6</v>
          </cell>
          <cell r="J1866" t="str">
            <v>SFC</v>
          </cell>
          <cell r="K1866" t="str">
            <v>X610</v>
          </cell>
          <cell r="L1866" t="str">
            <v>CAT GENTENG</v>
          </cell>
          <cell r="M1866" t="str">
            <v>X61004</v>
          </cell>
          <cell r="N1866" t="str">
            <v>GLASSKOTE GK-05 WB</v>
          </cell>
        </row>
        <row r="1867">
          <cell r="C1867" t="str">
            <v>170000224</v>
          </cell>
          <cell r="D1867" t="str">
            <v>GLASSKOTE 05 WB LEAF GREEN-7407-2.5L</v>
          </cell>
          <cell r="E1867" t="str">
            <v>ZTRD</v>
          </cell>
          <cell r="F1867" t="str">
            <v>PC</v>
          </cell>
          <cell r="G1867" t="str">
            <v>X</v>
          </cell>
          <cell r="H1867" t="str">
            <v>TRD RETAIL</v>
          </cell>
          <cell r="I1867" t="str">
            <v>X6</v>
          </cell>
          <cell r="J1867" t="str">
            <v>SFC</v>
          </cell>
          <cell r="K1867" t="str">
            <v>X610</v>
          </cell>
          <cell r="L1867" t="str">
            <v>CAT GENTENG</v>
          </cell>
          <cell r="M1867" t="str">
            <v>X61004</v>
          </cell>
          <cell r="N1867" t="str">
            <v>GLASSKOTE GK-05 WB</v>
          </cell>
        </row>
        <row r="1868">
          <cell r="C1868" t="str">
            <v>170000225</v>
          </cell>
          <cell r="D1868" t="str">
            <v>GLASSKOTE 05 WB TERACOTTA-3401-20LP</v>
          </cell>
          <cell r="E1868" t="str">
            <v>ZTRD</v>
          </cell>
          <cell r="F1868" t="str">
            <v>PC</v>
          </cell>
          <cell r="G1868" t="str">
            <v>X</v>
          </cell>
          <cell r="H1868" t="str">
            <v>TRD RETAIL</v>
          </cell>
          <cell r="I1868" t="str">
            <v>X6</v>
          </cell>
          <cell r="J1868" t="str">
            <v>SFC</v>
          </cell>
          <cell r="K1868" t="str">
            <v>X610</v>
          </cell>
          <cell r="L1868" t="str">
            <v>CAT GENTENG</v>
          </cell>
          <cell r="M1868" t="str">
            <v>X61004</v>
          </cell>
          <cell r="N1868" t="str">
            <v>GLASSKOTE GK-05 WB</v>
          </cell>
        </row>
        <row r="1869">
          <cell r="C1869" t="str">
            <v>170000226</v>
          </cell>
          <cell r="D1869" t="str">
            <v>GLASSKOTE 05 WB TILE RED-3403-20LP</v>
          </cell>
          <cell r="E1869" t="str">
            <v>ZTRD</v>
          </cell>
          <cell r="F1869" t="str">
            <v>PC</v>
          </cell>
          <cell r="G1869" t="str">
            <v>X</v>
          </cell>
          <cell r="H1869" t="str">
            <v>TRD RETAIL</v>
          </cell>
          <cell r="I1869" t="str">
            <v>X6</v>
          </cell>
          <cell r="J1869" t="str">
            <v>SFC</v>
          </cell>
          <cell r="K1869" t="str">
            <v>X610</v>
          </cell>
          <cell r="L1869" t="str">
            <v>CAT GENTENG</v>
          </cell>
          <cell r="M1869" t="str">
            <v>X61004</v>
          </cell>
          <cell r="N1869" t="str">
            <v>GLASSKOTE GK-05 WB</v>
          </cell>
        </row>
        <row r="1870">
          <cell r="C1870" t="str">
            <v>170000227</v>
          </cell>
          <cell r="D1870" t="str">
            <v>GLASSKOTE 05 WB NATURAL BROWN-2410-20LP</v>
          </cell>
          <cell r="E1870" t="str">
            <v>ZTRD</v>
          </cell>
          <cell r="F1870" t="str">
            <v>PC</v>
          </cell>
          <cell r="G1870" t="str">
            <v>X</v>
          </cell>
          <cell r="H1870" t="str">
            <v>TRD RETAIL</v>
          </cell>
          <cell r="I1870" t="str">
            <v>X6</v>
          </cell>
          <cell r="J1870" t="str">
            <v>SFC</v>
          </cell>
          <cell r="K1870" t="str">
            <v>X610</v>
          </cell>
          <cell r="L1870" t="str">
            <v>CAT GENTENG</v>
          </cell>
          <cell r="M1870" t="str">
            <v>X61004</v>
          </cell>
          <cell r="N1870" t="str">
            <v>GLASSKOTE GK-05 WB</v>
          </cell>
        </row>
        <row r="1871">
          <cell r="C1871" t="str">
            <v>170000228</v>
          </cell>
          <cell r="D1871" t="str">
            <v>GLASSKOTE 05 WB MIDNIGHT BLUE-5404-2.5L</v>
          </cell>
          <cell r="E1871" t="str">
            <v>ZTRD</v>
          </cell>
          <cell r="F1871" t="str">
            <v>PC</v>
          </cell>
          <cell r="G1871" t="str">
            <v>X</v>
          </cell>
          <cell r="H1871" t="str">
            <v>TRD RETAIL</v>
          </cell>
          <cell r="I1871" t="str">
            <v>X6</v>
          </cell>
          <cell r="J1871" t="str">
            <v>SFC</v>
          </cell>
          <cell r="K1871" t="str">
            <v>X610</v>
          </cell>
          <cell r="L1871" t="str">
            <v>CAT GENTENG</v>
          </cell>
          <cell r="M1871" t="str">
            <v>X61004</v>
          </cell>
          <cell r="N1871" t="str">
            <v>GLASSKOTE GK-05 WB</v>
          </cell>
        </row>
        <row r="1872">
          <cell r="C1872" t="str">
            <v>170000229</v>
          </cell>
          <cell r="D1872" t="str">
            <v>SICOSOL-2.5L</v>
          </cell>
          <cell r="E1872" t="str">
            <v>ZTRD</v>
          </cell>
          <cell r="F1872" t="str">
            <v>PC</v>
          </cell>
          <cell r="G1872" t="str">
            <v>X</v>
          </cell>
          <cell r="H1872" t="str">
            <v>TRD RETAIL</v>
          </cell>
          <cell r="I1872" t="str">
            <v>X6</v>
          </cell>
          <cell r="J1872" t="str">
            <v>SFC</v>
          </cell>
          <cell r="K1872" t="str">
            <v>X601</v>
          </cell>
          <cell r="L1872" t="str">
            <v>STONE CARE</v>
          </cell>
          <cell r="M1872" t="str">
            <v>X60104</v>
          </cell>
          <cell r="N1872" t="str">
            <v>SICOSOL</v>
          </cell>
        </row>
        <row r="1873">
          <cell r="C1873" t="str">
            <v>170000230</v>
          </cell>
          <cell r="D1873" t="str">
            <v>PROSEAL PAS-100 WHITE-0.3L</v>
          </cell>
          <cell r="E1873" t="str">
            <v>ZTRD</v>
          </cell>
          <cell r="F1873" t="str">
            <v>PC</v>
          </cell>
          <cell r="G1873" t="str">
            <v>X</v>
          </cell>
          <cell r="H1873" t="str">
            <v>TRD RETAIL</v>
          </cell>
          <cell r="I1873" t="str">
            <v>XB</v>
          </cell>
          <cell r="J1873" t="str">
            <v>A&amp;S</v>
          </cell>
          <cell r="K1873" t="str">
            <v>XB02</v>
          </cell>
          <cell r="L1873" t="str">
            <v>PROSEAL</v>
          </cell>
          <cell r="M1873" t="str">
            <v>XB0201</v>
          </cell>
          <cell r="N1873" t="str">
            <v>PROSEAL</v>
          </cell>
        </row>
        <row r="1874">
          <cell r="C1874" t="str">
            <v>170000231</v>
          </cell>
          <cell r="D1874" t="str">
            <v>PROSEAL PAS-100 CLEAR-0.3L</v>
          </cell>
          <cell r="E1874" t="str">
            <v>ZTRD</v>
          </cell>
          <cell r="F1874" t="str">
            <v>PC</v>
          </cell>
          <cell r="G1874" t="str">
            <v>X</v>
          </cell>
          <cell r="H1874" t="str">
            <v>TRD RETAIL</v>
          </cell>
          <cell r="I1874" t="str">
            <v>XB</v>
          </cell>
          <cell r="J1874" t="str">
            <v>A&amp;S</v>
          </cell>
          <cell r="K1874" t="str">
            <v>XB02</v>
          </cell>
          <cell r="L1874" t="str">
            <v>PROSEAL</v>
          </cell>
          <cell r="M1874" t="str">
            <v>XB0201</v>
          </cell>
          <cell r="N1874" t="str">
            <v>PROSEAL</v>
          </cell>
        </row>
        <row r="1875">
          <cell r="C1875" t="str">
            <v>170000232</v>
          </cell>
          <cell r="D1875" t="str">
            <v>ULTRAN USE-60 CLEAR GLOSS-1LS</v>
          </cell>
          <cell r="E1875" t="str">
            <v>ZTRD</v>
          </cell>
          <cell r="F1875" t="str">
            <v>SET</v>
          </cell>
          <cell r="G1875" t="str">
            <v>X</v>
          </cell>
          <cell r="H1875" t="str">
            <v>TRD RETAIL</v>
          </cell>
          <cell r="I1875" t="str">
            <v>X9</v>
          </cell>
          <cell r="J1875" t="str">
            <v>MPC</v>
          </cell>
          <cell r="K1875" t="str">
            <v>X903</v>
          </cell>
          <cell r="L1875" t="str">
            <v>ULTRAN SUPER ENAMEL</v>
          </cell>
          <cell r="M1875" t="str">
            <v>X90301</v>
          </cell>
          <cell r="N1875" t="str">
            <v>ULTRAN SUPER ENAMEL</v>
          </cell>
        </row>
        <row r="1876">
          <cell r="C1876" t="str">
            <v>170000233</v>
          </cell>
          <cell r="D1876" t="str">
            <v>STONKOTE SFC-633 CLEAR GLOSS-1LS</v>
          </cell>
          <cell r="E1876" t="str">
            <v>ZTRD</v>
          </cell>
          <cell r="F1876" t="str">
            <v>SET</v>
          </cell>
          <cell r="G1876" t="str">
            <v>X</v>
          </cell>
          <cell r="H1876" t="str">
            <v>TRD RETAIL</v>
          </cell>
          <cell r="I1876" t="str">
            <v>X6</v>
          </cell>
          <cell r="J1876" t="str">
            <v>SFC</v>
          </cell>
          <cell r="K1876" t="str">
            <v>X601</v>
          </cell>
          <cell r="L1876" t="str">
            <v>STONE CARE</v>
          </cell>
          <cell r="M1876" t="str">
            <v>X60106</v>
          </cell>
          <cell r="N1876" t="str">
            <v>STONKOTE</v>
          </cell>
        </row>
        <row r="1877">
          <cell r="C1877" t="str">
            <v>170000234</v>
          </cell>
          <cell r="D1877" t="str">
            <v>PRIMTOP 88 CANARY YELLOW-1K</v>
          </cell>
          <cell r="E1877" t="str">
            <v>ZTRD</v>
          </cell>
          <cell r="F1877" t="str">
            <v>PC</v>
          </cell>
          <cell r="G1877" t="str">
            <v>Y</v>
          </cell>
          <cell r="H1877" t="str">
            <v>TRD PROJECT</v>
          </cell>
          <cell r="I1877" t="str">
            <v>Y9</v>
          </cell>
          <cell r="J1877" t="str">
            <v>MPC</v>
          </cell>
          <cell r="K1877" t="str">
            <v>Y906</v>
          </cell>
          <cell r="L1877" t="str">
            <v>PRIMTOP</v>
          </cell>
          <cell r="M1877" t="str">
            <v>Y90602</v>
          </cell>
          <cell r="N1877" t="str">
            <v>PRIMTOP RMX</v>
          </cell>
        </row>
        <row r="1878">
          <cell r="C1878" t="str">
            <v>170000235</v>
          </cell>
          <cell r="D1878" t="str">
            <v>PRIMTOP 88 FOREST GREEN-1K</v>
          </cell>
          <cell r="E1878" t="str">
            <v>ZTRD</v>
          </cell>
          <cell r="F1878" t="str">
            <v>PC</v>
          </cell>
          <cell r="G1878" t="str">
            <v>Y</v>
          </cell>
          <cell r="H1878" t="str">
            <v>TRD PROJECT</v>
          </cell>
          <cell r="I1878" t="str">
            <v>Y9</v>
          </cell>
          <cell r="J1878" t="str">
            <v>MPC</v>
          </cell>
          <cell r="K1878" t="str">
            <v>Y906</v>
          </cell>
          <cell r="L1878" t="str">
            <v>PRIMTOP</v>
          </cell>
          <cell r="M1878" t="str">
            <v>Y90602</v>
          </cell>
          <cell r="N1878" t="str">
            <v>PRIMTOP RMX</v>
          </cell>
        </row>
        <row r="1879">
          <cell r="C1879" t="str">
            <v>170000236</v>
          </cell>
          <cell r="D1879" t="str">
            <v>PRIMTOP 88 ISLAND GREEN-1K</v>
          </cell>
          <cell r="E1879" t="str">
            <v>ZTRD</v>
          </cell>
          <cell r="F1879" t="str">
            <v>PC</v>
          </cell>
          <cell r="G1879" t="str">
            <v>Y</v>
          </cell>
          <cell r="H1879" t="str">
            <v>TRD PROJECT</v>
          </cell>
          <cell r="I1879" t="str">
            <v>Y9</v>
          </cell>
          <cell r="J1879" t="str">
            <v>MPC</v>
          </cell>
          <cell r="K1879" t="str">
            <v>Y906</v>
          </cell>
          <cell r="L1879" t="str">
            <v>PRIMTOP</v>
          </cell>
          <cell r="M1879" t="str">
            <v>Y90602</v>
          </cell>
          <cell r="N1879" t="str">
            <v>PRIMTOP RMX</v>
          </cell>
        </row>
        <row r="1880">
          <cell r="C1880" t="str">
            <v>170000237</v>
          </cell>
          <cell r="D1880" t="str">
            <v>PRIMTOP 88 IVORY-1K</v>
          </cell>
          <cell r="E1880" t="str">
            <v>ZTRD</v>
          </cell>
          <cell r="F1880" t="str">
            <v>PC</v>
          </cell>
          <cell r="G1880" t="str">
            <v>Y</v>
          </cell>
          <cell r="H1880" t="str">
            <v>TRD PROJECT</v>
          </cell>
          <cell r="I1880" t="str">
            <v>Y9</v>
          </cell>
          <cell r="J1880" t="str">
            <v>MPC</v>
          </cell>
          <cell r="K1880" t="str">
            <v>Y906</v>
          </cell>
          <cell r="L1880" t="str">
            <v>PRIMTOP</v>
          </cell>
          <cell r="M1880" t="str">
            <v>Y90602</v>
          </cell>
          <cell r="N1880" t="str">
            <v>PRIMTOP RMX</v>
          </cell>
        </row>
        <row r="1881">
          <cell r="C1881" t="str">
            <v>170000238</v>
          </cell>
          <cell r="D1881" t="str">
            <v>PRIMTOP 88 PLATINUM GREY-1K</v>
          </cell>
          <cell r="E1881" t="str">
            <v>ZTRD</v>
          </cell>
          <cell r="F1881" t="str">
            <v>PC</v>
          </cell>
          <cell r="G1881" t="str">
            <v>Y</v>
          </cell>
          <cell r="H1881" t="str">
            <v>TRD PROJECT</v>
          </cell>
          <cell r="I1881" t="str">
            <v>Y9</v>
          </cell>
          <cell r="J1881" t="str">
            <v>MPC</v>
          </cell>
          <cell r="K1881" t="str">
            <v>Y906</v>
          </cell>
          <cell r="L1881" t="str">
            <v>PRIMTOP</v>
          </cell>
          <cell r="M1881" t="str">
            <v>Y90602</v>
          </cell>
          <cell r="N1881" t="str">
            <v>PRIMTOP RMX</v>
          </cell>
        </row>
        <row r="1882">
          <cell r="C1882" t="str">
            <v>170000239</v>
          </cell>
          <cell r="D1882" t="str">
            <v>PRIMTOP 88 RIVER BLUE-1K</v>
          </cell>
          <cell r="E1882" t="str">
            <v>ZTRD</v>
          </cell>
          <cell r="F1882" t="str">
            <v>PC</v>
          </cell>
          <cell r="G1882" t="str">
            <v>Y</v>
          </cell>
          <cell r="H1882" t="str">
            <v>TRD PROJECT</v>
          </cell>
          <cell r="I1882" t="str">
            <v>Y9</v>
          </cell>
          <cell r="J1882" t="str">
            <v>MPC</v>
          </cell>
          <cell r="K1882" t="str">
            <v>Y906</v>
          </cell>
          <cell r="L1882" t="str">
            <v>PRIMTOP</v>
          </cell>
          <cell r="M1882" t="str">
            <v>Y90602</v>
          </cell>
          <cell r="N1882" t="str">
            <v>PRIMTOP RMX</v>
          </cell>
        </row>
        <row r="1883">
          <cell r="C1883" t="str">
            <v>170000240</v>
          </cell>
          <cell r="D1883" t="str">
            <v>PRIMTOP 88 VERMILLION RED-1K</v>
          </cell>
          <cell r="E1883" t="str">
            <v>ZTRD</v>
          </cell>
          <cell r="F1883" t="str">
            <v>PC</v>
          </cell>
          <cell r="G1883" t="str">
            <v>Y</v>
          </cell>
          <cell r="H1883" t="str">
            <v>TRD PROJECT</v>
          </cell>
          <cell r="I1883" t="str">
            <v>Y9</v>
          </cell>
          <cell r="J1883" t="str">
            <v>MPC</v>
          </cell>
          <cell r="K1883" t="str">
            <v>Y906</v>
          </cell>
          <cell r="L1883" t="str">
            <v>PRIMTOP</v>
          </cell>
          <cell r="M1883" t="str">
            <v>Y90602</v>
          </cell>
          <cell r="N1883" t="str">
            <v>PRIMTOP RMX</v>
          </cell>
        </row>
        <row r="1884">
          <cell r="C1884" t="str">
            <v>170000241</v>
          </cell>
          <cell r="D1884" t="str">
            <v>PRIMTOP 88 OLYMPIA YELLOW-1K</v>
          </cell>
          <cell r="E1884" t="str">
            <v>ZTRD</v>
          </cell>
          <cell r="F1884" t="str">
            <v>PC</v>
          </cell>
          <cell r="G1884" t="str">
            <v>Y</v>
          </cell>
          <cell r="H1884" t="str">
            <v>TRD PROJECT</v>
          </cell>
          <cell r="I1884" t="str">
            <v>Y9</v>
          </cell>
          <cell r="J1884" t="str">
            <v>MPC</v>
          </cell>
          <cell r="K1884" t="str">
            <v>Y906</v>
          </cell>
          <cell r="L1884" t="str">
            <v>PRIMTOP</v>
          </cell>
          <cell r="M1884" t="str">
            <v>Y90602</v>
          </cell>
          <cell r="N1884" t="str">
            <v>PRIMTOP RMX</v>
          </cell>
        </row>
        <row r="1885">
          <cell r="C1885" t="str">
            <v>170000242</v>
          </cell>
          <cell r="D1885" t="str">
            <v>PRIMTOP 88 ASH GREY-1K</v>
          </cell>
          <cell r="E1885" t="str">
            <v>ZTRD</v>
          </cell>
          <cell r="F1885" t="str">
            <v>PC</v>
          </cell>
          <cell r="G1885" t="str">
            <v>Y</v>
          </cell>
          <cell r="H1885" t="str">
            <v>TRD PROJECT</v>
          </cell>
          <cell r="I1885" t="str">
            <v>Y9</v>
          </cell>
          <cell r="J1885" t="str">
            <v>MPC</v>
          </cell>
          <cell r="K1885" t="str">
            <v>Y906</v>
          </cell>
          <cell r="L1885" t="str">
            <v>PRIMTOP</v>
          </cell>
          <cell r="M1885" t="str">
            <v>Y90602</v>
          </cell>
          <cell r="N1885" t="str">
            <v>PRIMTOP RMX</v>
          </cell>
        </row>
        <row r="1886">
          <cell r="C1886" t="str">
            <v>170000243</v>
          </cell>
          <cell r="D1886" t="str">
            <v>PRIMTOP 88 CANDY BROWN-1K</v>
          </cell>
          <cell r="E1886" t="str">
            <v>ZTRD</v>
          </cell>
          <cell r="F1886" t="str">
            <v>PC</v>
          </cell>
          <cell r="G1886" t="str">
            <v>Y</v>
          </cell>
          <cell r="H1886" t="str">
            <v>TRD PROJECT</v>
          </cell>
          <cell r="I1886" t="str">
            <v>Y9</v>
          </cell>
          <cell r="J1886" t="str">
            <v>MPC</v>
          </cell>
          <cell r="K1886" t="str">
            <v>Y906</v>
          </cell>
          <cell r="L1886" t="str">
            <v>PRIMTOP</v>
          </cell>
          <cell r="M1886" t="str">
            <v>Y90602</v>
          </cell>
          <cell r="N1886" t="str">
            <v>PRIMTOP RMX</v>
          </cell>
        </row>
        <row r="1887">
          <cell r="C1887" t="str">
            <v>170000244</v>
          </cell>
          <cell r="D1887" t="str">
            <v>PRIMTOP 88 BROWN-1K</v>
          </cell>
          <cell r="E1887" t="str">
            <v>ZTRD</v>
          </cell>
          <cell r="F1887" t="str">
            <v>PC</v>
          </cell>
          <cell r="G1887" t="str">
            <v>Y</v>
          </cell>
          <cell r="H1887" t="str">
            <v>TRD PROJECT</v>
          </cell>
          <cell r="I1887" t="str">
            <v>Y9</v>
          </cell>
          <cell r="J1887" t="str">
            <v>MPC</v>
          </cell>
          <cell r="K1887" t="str">
            <v>Y906</v>
          </cell>
          <cell r="L1887" t="str">
            <v>PRIMTOP</v>
          </cell>
          <cell r="M1887" t="str">
            <v>Y90602</v>
          </cell>
          <cell r="N1887" t="str">
            <v>PRIMTOP RMX</v>
          </cell>
        </row>
        <row r="1888">
          <cell r="C1888" t="str">
            <v>170000245</v>
          </cell>
          <cell r="D1888" t="str">
            <v>HARDENER CTC-998-0.2K</v>
          </cell>
          <cell r="E1888" t="str">
            <v>ZTRD</v>
          </cell>
          <cell r="F1888" t="str">
            <v>PC</v>
          </cell>
          <cell r="G1888" t="str">
            <v>Y</v>
          </cell>
          <cell r="H1888" t="str">
            <v>TRD PROJECT</v>
          </cell>
          <cell r="I1888" t="str">
            <v>Y6</v>
          </cell>
          <cell r="J1888" t="str">
            <v>CPC1</v>
          </cell>
          <cell r="K1888" t="str">
            <v>Y607</v>
          </cell>
          <cell r="L1888" t="str">
            <v>OTHERS CPC1</v>
          </cell>
          <cell r="M1888" t="str">
            <v>Y60703</v>
          </cell>
          <cell r="N1888" t="str">
            <v>COMPLEMENTARY CPC1</v>
          </cell>
        </row>
        <row r="1889">
          <cell r="C1889" t="str">
            <v>170000246</v>
          </cell>
          <cell r="D1889" t="str">
            <v>HARDENER CTC-998 PRIMER-0.2K</v>
          </cell>
          <cell r="E1889" t="str">
            <v>ZTRD</v>
          </cell>
          <cell r="F1889" t="str">
            <v>PC</v>
          </cell>
          <cell r="G1889" t="str">
            <v>Y</v>
          </cell>
          <cell r="H1889" t="str">
            <v>TRD PROJECT</v>
          </cell>
          <cell r="I1889" t="str">
            <v>Y6</v>
          </cell>
          <cell r="J1889" t="str">
            <v>CPC1</v>
          </cell>
          <cell r="K1889" t="str">
            <v>Y607</v>
          </cell>
          <cell r="L1889" t="str">
            <v>OTHERS CPC1</v>
          </cell>
          <cell r="M1889" t="str">
            <v>Y60703</v>
          </cell>
          <cell r="N1889" t="str">
            <v>COMPLEMENTARY CPC1</v>
          </cell>
        </row>
        <row r="1890">
          <cell r="C1890" t="str">
            <v>170000247</v>
          </cell>
          <cell r="D1890" t="str">
            <v>HARDENER SFC-613-0.5L</v>
          </cell>
          <cell r="E1890" t="str">
            <v>ZTRD</v>
          </cell>
          <cell r="F1890" t="str">
            <v>PC</v>
          </cell>
          <cell r="G1890" t="str">
            <v>X</v>
          </cell>
          <cell r="H1890" t="str">
            <v>TRD RETAIL</v>
          </cell>
          <cell r="I1890" t="str">
            <v>X6</v>
          </cell>
          <cell r="J1890" t="str">
            <v>SFC</v>
          </cell>
          <cell r="K1890" t="str">
            <v>X601</v>
          </cell>
          <cell r="L1890" t="str">
            <v>STONE CARE</v>
          </cell>
          <cell r="M1890" t="str">
            <v>X60106</v>
          </cell>
          <cell r="N1890" t="str">
            <v>STONKOTE</v>
          </cell>
        </row>
        <row r="1891">
          <cell r="C1891" t="str">
            <v>170000248</v>
          </cell>
          <cell r="D1891" t="str">
            <v>C2 HARD-1L</v>
          </cell>
          <cell r="E1891" t="str">
            <v>ZTRD</v>
          </cell>
          <cell r="F1891" t="str">
            <v>PC</v>
          </cell>
          <cell r="G1891" t="str">
            <v>3</v>
          </cell>
          <cell r="H1891" t="str">
            <v>TRADING</v>
          </cell>
          <cell r="I1891" t="str">
            <v>31</v>
          </cell>
          <cell r="J1891" t="str">
            <v>PRODUCT TRADING</v>
          </cell>
          <cell r="K1891" t="str">
            <v>3102</v>
          </cell>
          <cell r="L1891" t="str">
            <v>CRETE COLOR</v>
          </cell>
          <cell r="M1891" t="str">
            <v>310201</v>
          </cell>
          <cell r="N1891" t="str">
            <v>CRETE COLOR</v>
          </cell>
        </row>
        <row r="1892">
          <cell r="C1892" t="str">
            <v>170000249</v>
          </cell>
          <cell r="D1892" t="str">
            <v>C2 HARD-20LP</v>
          </cell>
          <cell r="E1892" t="str">
            <v>ZTRD</v>
          </cell>
          <cell r="F1892" t="str">
            <v>PC</v>
          </cell>
          <cell r="G1892" t="str">
            <v>3</v>
          </cell>
          <cell r="H1892" t="str">
            <v>TRADING</v>
          </cell>
          <cell r="I1892" t="str">
            <v>31</v>
          </cell>
          <cell r="J1892" t="str">
            <v>PRODUCT TRADING</v>
          </cell>
          <cell r="K1892" t="str">
            <v>3102</v>
          </cell>
          <cell r="L1892" t="str">
            <v>CRETE COLOR</v>
          </cell>
          <cell r="M1892" t="str">
            <v>310201</v>
          </cell>
          <cell r="N1892" t="str">
            <v>CRETE COLOR</v>
          </cell>
        </row>
        <row r="1893">
          <cell r="C1893" t="str">
            <v>170000250</v>
          </cell>
          <cell r="D1893" t="str">
            <v>C2 SEAL-1L</v>
          </cell>
          <cell r="E1893" t="str">
            <v>ZTRD</v>
          </cell>
          <cell r="F1893" t="str">
            <v>PC</v>
          </cell>
          <cell r="G1893" t="str">
            <v>3</v>
          </cell>
          <cell r="H1893" t="str">
            <v>TRADING</v>
          </cell>
          <cell r="I1893" t="str">
            <v>31</v>
          </cell>
          <cell r="J1893" t="str">
            <v>PRODUCT TRADING</v>
          </cell>
          <cell r="K1893" t="str">
            <v>3102</v>
          </cell>
          <cell r="L1893" t="str">
            <v>CRETE COLOR</v>
          </cell>
          <cell r="M1893" t="str">
            <v>310201</v>
          </cell>
          <cell r="N1893" t="str">
            <v>CRETE COLOR</v>
          </cell>
        </row>
        <row r="1894">
          <cell r="C1894" t="str">
            <v>170000251</v>
          </cell>
          <cell r="D1894" t="str">
            <v>C2 SEAL-20L</v>
          </cell>
          <cell r="E1894" t="str">
            <v>ZTRD</v>
          </cell>
          <cell r="F1894" t="str">
            <v>PC</v>
          </cell>
          <cell r="G1894" t="str">
            <v>3</v>
          </cell>
          <cell r="H1894" t="str">
            <v>TRADING</v>
          </cell>
          <cell r="I1894" t="str">
            <v>31</v>
          </cell>
          <cell r="J1894" t="str">
            <v>PRODUCT TRADING</v>
          </cell>
          <cell r="K1894" t="str">
            <v>3102</v>
          </cell>
          <cell r="L1894" t="str">
            <v>CRETE COLOR</v>
          </cell>
          <cell r="M1894" t="str">
            <v>310201</v>
          </cell>
          <cell r="N1894" t="str">
            <v>CRETE COLOR</v>
          </cell>
        </row>
        <row r="1895">
          <cell r="C1895" t="str">
            <v>170000252</v>
          </cell>
          <cell r="D1895" t="str">
            <v>C2 SEAL-5L</v>
          </cell>
          <cell r="E1895" t="str">
            <v>ZTRD</v>
          </cell>
          <cell r="F1895" t="str">
            <v>PC</v>
          </cell>
          <cell r="G1895" t="str">
            <v>3</v>
          </cell>
          <cell r="H1895" t="str">
            <v>TRADING</v>
          </cell>
          <cell r="I1895" t="str">
            <v>31</v>
          </cell>
          <cell r="J1895" t="str">
            <v>PRODUCT TRADING</v>
          </cell>
          <cell r="K1895" t="str">
            <v>3102</v>
          </cell>
          <cell r="L1895" t="str">
            <v>CRETE COLOR</v>
          </cell>
          <cell r="M1895" t="str">
            <v>310201</v>
          </cell>
          <cell r="N1895" t="str">
            <v>CRETE COLOR</v>
          </cell>
        </row>
        <row r="1896">
          <cell r="C1896" t="str">
            <v>170000253</v>
          </cell>
          <cell r="D1896" t="str">
            <v>IMPRA WF-115 MERBAU-5K</v>
          </cell>
          <cell r="E1896" t="str">
            <v>ZTRD</v>
          </cell>
          <cell r="F1896" t="str">
            <v>PC</v>
          </cell>
          <cell r="G1896" t="str">
            <v>X</v>
          </cell>
          <cell r="H1896" t="str">
            <v>TRD RETAIL</v>
          </cell>
          <cell r="I1896" t="str">
            <v>X1</v>
          </cell>
          <cell r="J1896" t="str">
            <v>WF1</v>
          </cell>
          <cell r="K1896" t="str">
            <v>X115</v>
          </cell>
          <cell r="L1896" t="str">
            <v>IMPRA</v>
          </cell>
          <cell r="M1896" t="str">
            <v>X11511</v>
          </cell>
          <cell r="N1896" t="str">
            <v>IMPRA WOOD FILLER</v>
          </cell>
        </row>
        <row r="1897">
          <cell r="C1897" t="str">
            <v>170000254</v>
          </cell>
          <cell r="D1897" t="str">
            <v>IMPRA AWF-911 KAMPER-1K</v>
          </cell>
          <cell r="E1897" t="str">
            <v>ZTRD</v>
          </cell>
          <cell r="F1897" t="str">
            <v>PC</v>
          </cell>
          <cell r="G1897" t="str">
            <v>X</v>
          </cell>
          <cell r="H1897" t="str">
            <v>TRD RETAIL</v>
          </cell>
          <cell r="I1897" t="str">
            <v>X1</v>
          </cell>
          <cell r="J1897" t="str">
            <v>WF1</v>
          </cell>
          <cell r="K1897" t="str">
            <v>X114</v>
          </cell>
          <cell r="L1897" t="str">
            <v>IMPRA WB</v>
          </cell>
          <cell r="M1897" t="str">
            <v>X11403</v>
          </cell>
          <cell r="N1897" t="str">
            <v>IMPRA AQ WOOD FILLER</v>
          </cell>
        </row>
        <row r="1898">
          <cell r="C1898" t="str">
            <v>170000255</v>
          </cell>
          <cell r="D1898" t="str">
            <v>IMPRA AWF-911 KAMPER-25KP</v>
          </cell>
          <cell r="E1898" t="str">
            <v>ZTRD</v>
          </cell>
          <cell r="F1898" t="str">
            <v>PC</v>
          </cell>
          <cell r="G1898" t="str">
            <v>X</v>
          </cell>
          <cell r="H1898" t="str">
            <v>TRD RETAIL</v>
          </cell>
          <cell r="I1898" t="str">
            <v>X1</v>
          </cell>
          <cell r="J1898" t="str">
            <v>WF1</v>
          </cell>
          <cell r="K1898" t="str">
            <v>X114</v>
          </cell>
          <cell r="L1898" t="str">
            <v>IMPRA WB</v>
          </cell>
          <cell r="M1898" t="str">
            <v>X11403</v>
          </cell>
          <cell r="N1898" t="str">
            <v>IMPRA AQ WOOD FILLER</v>
          </cell>
        </row>
        <row r="1899">
          <cell r="C1899" t="str">
            <v>170000256</v>
          </cell>
          <cell r="D1899" t="str">
            <v>IMPRA AWF-911 SUNGKAI-1K</v>
          </cell>
          <cell r="E1899" t="str">
            <v>ZTRD</v>
          </cell>
          <cell r="F1899" t="str">
            <v>PC</v>
          </cell>
          <cell r="G1899" t="str">
            <v>X</v>
          </cell>
          <cell r="H1899" t="str">
            <v>TRD RETAIL</v>
          </cell>
          <cell r="I1899" t="str">
            <v>X1</v>
          </cell>
          <cell r="J1899" t="str">
            <v>WF1</v>
          </cell>
          <cell r="K1899" t="str">
            <v>X114</v>
          </cell>
          <cell r="L1899" t="str">
            <v>IMPRA WB</v>
          </cell>
          <cell r="M1899" t="str">
            <v>X11403</v>
          </cell>
          <cell r="N1899" t="str">
            <v>IMPRA AQ WOOD FILLER</v>
          </cell>
        </row>
        <row r="1900">
          <cell r="C1900" t="str">
            <v>170000257</v>
          </cell>
          <cell r="D1900" t="str">
            <v>IMPRA AWF-911 SUNGKAI-25KP</v>
          </cell>
          <cell r="E1900" t="str">
            <v>ZTRD</v>
          </cell>
          <cell r="F1900" t="str">
            <v>PC</v>
          </cell>
          <cell r="G1900" t="str">
            <v>X</v>
          </cell>
          <cell r="H1900" t="str">
            <v>TRD RETAIL</v>
          </cell>
          <cell r="I1900" t="str">
            <v>X1</v>
          </cell>
          <cell r="J1900" t="str">
            <v>WF1</v>
          </cell>
          <cell r="K1900" t="str">
            <v>X114</v>
          </cell>
          <cell r="L1900" t="str">
            <v>IMPRA WB</v>
          </cell>
          <cell r="M1900" t="str">
            <v>X11403</v>
          </cell>
          <cell r="N1900" t="str">
            <v>IMPRA AQ WOOD FILLER</v>
          </cell>
        </row>
        <row r="1901">
          <cell r="C1901" t="str">
            <v>170000258</v>
          </cell>
          <cell r="D1901" t="str">
            <v>IMPRA AWF-911 TEAK-1K</v>
          </cell>
          <cell r="E1901" t="str">
            <v>ZTRD</v>
          </cell>
          <cell r="F1901" t="str">
            <v>PC</v>
          </cell>
          <cell r="G1901" t="str">
            <v>X</v>
          </cell>
          <cell r="H1901" t="str">
            <v>TRD RETAIL</v>
          </cell>
          <cell r="I1901" t="str">
            <v>X1</v>
          </cell>
          <cell r="J1901" t="str">
            <v>WF1</v>
          </cell>
          <cell r="K1901" t="str">
            <v>X114</v>
          </cell>
          <cell r="L1901" t="str">
            <v>IMPRA WB</v>
          </cell>
          <cell r="M1901" t="str">
            <v>X11403</v>
          </cell>
          <cell r="N1901" t="str">
            <v>IMPRA AQ WOOD FILLER</v>
          </cell>
        </row>
        <row r="1902">
          <cell r="C1902" t="str">
            <v>170000259</v>
          </cell>
          <cell r="D1902" t="str">
            <v>IMPRA AWF-911 TEAK-25KP</v>
          </cell>
          <cell r="E1902" t="str">
            <v>ZTRD</v>
          </cell>
          <cell r="F1902" t="str">
            <v>PC</v>
          </cell>
          <cell r="G1902" t="str">
            <v>X</v>
          </cell>
          <cell r="H1902" t="str">
            <v>TRD RETAIL</v>
          </cell>
          <cell r="I1902" t="str">
            <v>X1</v>
          </cell>
          <cell r="J1902" t="str">
            <v>WF1</v>
          </cell>
          <cell r="K1902" t="str">
            <v>X114</v>
          </cell>
          <cell r="L1902" t="str">
            <v>IMPRA WB</v>
          </cell>
          <cell r="M1902" t="str">
            <v>X11403</v>
          </cell>
          <cell r="N1902" t="str">
            <v>IMPRA AQ WOOD FILLER</v>
          </cell>
        </row>
        <row r="1903">
          <cell r="C1903" t="str">
            <v>170000260</v>
          </cell>
          <cell r="D1903" t="str">
            <v>IMPRA AWF-911 JATI-1K</v>
          </cell>
          <cell r="E1903" t="str">
            <v>ZTRD</v>
          </cell>
          <cell r="F1903" t="str">
            <v>PC</v>
          </cell>
          <cell r="G1903" t="str">
            <v>X</v>
          </cell>
          <cell r="H1903" t="str">
            <v>TRD RETAIL</v>
          </cell>
          <cell r="I1903" t="str">
            <v>X1</v>
          </cell>
          <cell r="J1903" t="str">
            <v>WF1</v>
          </cell>
          <cell r="K1903" t="str">
            <v>X114</v>
          </cell>
          <cell r="L1903" t="str">
            <v>IMPRA WB</v>
          </cell>
          <cell r="M1903" t="str">
            <v>X11403</v>
          </cell>
          <cell r="N1903" t="str">
            <v>IMPRA AQ WOOD FILLER</v>
          </cell>
        </row>
        <row r="1904">
          <cell r="C1904" t="str">
            <v>170000261</v>
          </cell>
          <cell r="D1904" t="str">
            <v>IMPRA AWF-911 JATI-25KP</v>
          </cell>
          <cell r="E1904" t="str">
            <v>ZTRD</v>
          </cell>
          <cell r="F1904" t="str">
            <v>PC</v>
          </cell>
          <cell r="G1904" t="str">
            <v>X</v>
          </cell>
          <cell r="H1904" t="str">
            <v>TRD RETAIL</v>
          </cell>
          <cell r="I1904" t="str">
            <v>X1</v>
          </cell>
          <cell r="J1904" t="str">
            <v>WF1</v>
          </cell>
          <cell r="K1904" t="str">
            <v>X114</v>
          </cell>
          <cell r="L1904" t="str">
            <v>IMPRA WB</v>
          </cell>
          <cell r="M1904" t="str">
            <v>X11403</v>
          </cell>
          <cell r="N1904" t="str">
            <v>IMPRA AQ WOOD FILLER</v>
          </cell>
        </row>
        <row r="1905">
          <cell r="C1905" t="str">
            <v>170000262</v>
          </cell>
          <cell r="D1905" t="str">
            <v>IMPRA SH-114 WHITE-30KP</v>
          </cell>
          <cell r="E1905" t="str">
            <v>ZTRD</v>
          </cell>
          <cell r="F1905" t="str">
            <v>PC</v>
          </cell>
          <cell r="G1905" t="str">
            <v>X</v>
          </cell>
          <cell r="H1905" t="str">
            <v>TRD RETAIL</v>
          </cell>
          <cell r="I1905" t="str">
            <v>X1</v>
          </cell>
          <cell r="J1905" t="str">
            <v>WF1</v>
          </cell>
          <cell r="K1905" t="str">
            <v>X115</v>
          </cell>
          <cell r="L1905" t="str">
            <v>IMPRA</v>
          </cell>
          <cell r="M1905" t="str">
            <v>X11511</v>
          </cell>
          <cell r="N1905" t="str">
            <v>IMPRA WOOD FILLER</v>
          </cell>
        </row>
        <row r="1906">
          <cell r="C1906" t="str">
            <v>170000263</v>
          </cell>
          <cell r="D1906" t="str">
            <v>IMPRA WP-117 GREY-1K</v>
          </cell>
          <cell r="E1906" t="str">
            <v>ZTRD</v>
          </cell>
          <cell r="F1906" t="str">
            <v>PC</v>
          </cell>
          <cell r="G1906" t="str">
            <v>X</v>
          </cell>
          <cell r="H1906" t="str">
            <v>TRD RETAIL</v>
          </cell>
          <cell r="I1906" t="str">
            <v>X1</v>
          </cell>
          <cell r="J1906" t="str">
            <v>WF1</v>
          </cell>
          <cell r="K1906" t="str">
            <v>X115</v>
          </cell>
          <cell r="L1906" t="str">
            <v>IMPRA</v>
          </cell>
          <cell r="M1906" t="str">
            <v>X11511</v>
          </cell>
          <cell r="N1906" t="str">
            <v>IMPRA WOOD FILLER</v>
          </cell>
        </row>
        <row r="1907">
          <cell r="C1907" t="str">
            <v>170000264</v>
          </cell>
          <cell r="D1907" t="str">
            <v>IMPRA WP-117 WHITE-1K</v>
          </cell>
          <cell r="E1907" t="str">
            <v>ZTRD</v>
          </cell>
          <cell r="F1907" t="str">
            <v>PC</v>
          </cell>
          <cell r="G1907" t="str">
            <v>X</v>
          </cell>
          <cell r="H1907" t="str">
            <v>TRD RETAIL</v>
          </cell>
          <cell r="I1907" t="str">
            <v>X1</v>
          </cell>
          <cell r="J1907" t="str">
            <v>WF1</v>
          </cell>
          <cell r="K1907" t="str">
            <v>X115</v>
          </cell>
          <cell r="L1907" t="str">
            <v>IMPRA</v>
          </cell>
          <cell r="M1907" t="str">
            <v>X11511</v>
          </cell>
          <cell r="N1907" t="str">
            <v>IMPRA WOOD FILLER</v>
          </cell>
        </row>
        <row r="1908">
          <cell r="C1908" t="str">
            <v>170000265</v>
          </cell>
          <cell r="D1908" t="str">
            <v>IMPRA ICC-226 WHITE-1K</v>
          </cell>
          <cell r="E1908" t="str">
            <v>ZTRD</v>
          </cell>
          <cell r="F1908" t="str">
            <v>PC</v>
          </cell>
          <cell r="G1908" t="str">
            <v>X</v>
          </cell>
          <cell r="H1908" t="str">
            <v>TRD RETAIL</v>
          </cell>
          <cell r="I1908" t="str">
            <v>X2</v>
          </cell>
          <cell r="J1908" t="str">
            <v>WF2</v>
          </cell>
          <cell r="K1908" t="str">
            <v>X208</v>
          </cell>
          <cell r="L1908" t="str">
            <v>ACRYLUX</v>
          </cell>
          <cell r="M1908" t="str">
            <v>X20801</v>
          </cell>
          <cell r="N1908" t="str">
            <v>ACRYLUX RMX</v>
          </cell>
        </row>
        <row r="1909">
          <cell r="C1909" t="str">
            <v>170000266</v>
          </cell>
          <cell r="D1909" t="str">
            <v>DUROGLOSS BLACK TT 9406-0.9L</v>
          </cell>
          <cell r="E1909" t="str">
            <v>ZTRD</v>
          </cell>
          <cell r="F1909" t="str">
            <v>PC</v>
          </cell>
          <cell r="G1909" t="str">
            <v>X</v>
          </cell>
          <cell r="H1909" t="str">
            <v>TRD RETAIL</v>
          </cell>
          <cell r="I1909" t="str">
            <v>XA</v>
          </cell>
          <cell r="J1909" t="str">
            <v>PCR</v>
          </cell>
          <cell r="K1909" t="str">
            <v>XA01</v>
          </cell>
          <cell r="L1909" t="str">
            <v>DUROGLOSS</v>
          </cell>
          <cell r="M1909" t="str">
            <v>XA0101</v>
          </cell>
          <cell r="N1909" t="str">
            <v>DUROGLOSS</v>
          </cell>
        </row>
        <row r="1910">
          <cell r="C1910" t="str">
            <v>170000267</v>
          </cell>
          <cell r="D1910" t="str">
            <v>DUROGLOSS DARK CHROME YELLOW 1307-0.9L</v>
          </cell>
          <cell r="E1910" t="str">
            <v>ZTRD</v>
          </cell>
          <cell r="F1910" t="str">
            <v>PC</v>
          </cell>
          <cell r="G1910" t="str">
            <v>X</v>
          </cell>
          <cell r="H1910" t="str">
            <v>TRD RETAIL</v>
          </cell>
          <cell r="I1910" t="str">
            <v>XA</v>
          </cell>
          <cell r="J1910" t="str">
            <v>PCR</v>
          </cell>
          <cell r="K1910" t="str">
            <v>XA01</v>
          </cell>
          <cell r="L1910" t="str">
            <v>DUROGLOSS</v>
          </cell>
          <cell r="M1910" t="str">
            <v>XA0101</v>
          </cell>
          <cell r="N1910" t="str">
            <v>DUROGLOSS</v>
          </cell>
        </row>
        <row r="1911">
          <cell r="C1911" t="str">
            <v>170000268</v>
          </cell>
          <cell r="D1911" t="str">
            <v>DUROGLOSS SUZUKI YELLOW 1226-0.9L</v>
          </cell>
          <cell r="E1911" t="str">
            <v>ZTRD</v>
          </cell>
          <cell r="F1911" t="str">
            <v>PC</v>
          </cell>
          <cell r="G1911" t="str">
            <v>X</v>
          </cell>
          <cell r="H1911" t="str">
            <v>TRD RETAIL</v>
          </cell>
          <cell r="I1911" t="str">
            <v>XA</v>
          </cell>
          <cell r="J1911" t="str">
            <v>PCR</v>
          </cell>
          <cell r="K1911" t="str">
            <v>XA01</v>
          </cell>
          <cell r="L1911" t="str">
            <v>DUROGLOSS</v>
          </cell>
          <cell r="M1911" t="str">
            <v>XA0101</v>
          </cell>
          <cell r="N1911" t="str">
            <v>DUROGLOSS</v>
          </cell>
        </row>
        <row r="1912">
          <cell r="C1912" t="str">
            <v>170000269</v>
          </cell>
          <cell r="D1912" t="str">
            <v>DUROGLOSS RED CHILI 3330-0.9L</v>
          </cell>
          <cell r="E1912" t="str">
            <v>ZTRD</v>
          </cell>
          <cell r="F1912" t="str">
            <v>PC</v>
          </cell>
          <cell r="G1912" t="str">
            <v>X</v>
          </cell>
          <cell r="H1912" t="str">
            <v>TRD RETAIL</v>
          </cell>
          <cell r="I1912" t="str">
            <v>XA</v>
          </cell>
          <cell r="J1912" t="str">
            <v>PCR</v>
          </cell>
          <cell r="K1912" t="str">
            <v>XA01</v>
          </cell>
          <cell r="L1912" t="str">
            <v>DUROGLOSS</v>
          </cell>
          <cell r="M1912" t="str">
            <v>XA0101</v>
          </cell>
          <cell r="N1912" t="str">
            <v>DUROGLOSS</v>
          </cell>
        </row>
        <row r="1913">
          <cell r="C1913" t="str">
            <v>170000270</v>
          </cell>
          <cell r="D1913" t="str">
            <v>DUROGLOSS CYANINE GREEN 6422-0.9L</v>
          </cell>
          <cell r="E1913" t="str">
            <v>ZTRD</v>
          </cell>
          <cell r="F1913" t="str">
            <v>PC</v>
          </cell>
          <cell r="G1913" t="str">
            <v>X</v>
          </cell>
          <cell r="H1913" t="str">
            <v>TRD RETAIL</v>
          </cell>
          <cell r="I1913" t="str">
            <v>XA</v>
          </cell>
          <cell r="J1913" t="str">
            <v>PCR</v>
          </cell>
          <cell r="K1913" t="str">
            <v>XA01</v>
          </cell>
          <cell r="L1913" t="str">
            <v>DUROGLOSS</v>
          </cell>
          <cell r="M1913" t="str">
            <v>XA0101</v>
          </cell>
          <cell r="N1913" t="str">
            <v>DUROGLOSS</v>
          </cell>
        </row>
        <row r="1914">
          <cell r="C1914" t="str">
            <v>170000271</v>
          </cell>
          <cell r="D1914" t="str">
            <v>DUROGLOSS RED TT 3329-0.9L</v>
          </cell>
          <cell r="E1914" t="str">
            <v>ZTRD</v>
          </cell>
          <cell r="F1914" t="str">
            <v>PC</v>
          </cell>
          <cell r="G1914" t="str">
            <v>X</v>
          </cell>
          <cell r="H1914" t="str">
            <v>TRD RETAIL</v>
          </cell>
          <cell r="I1914" t="str">
            <v>XA</v>
          </cell>
          <cell r="J1914" t="str">
            <v>PCR</v>
          </cell>
          <cell r="K1914" t="str">
            <v>XA01</v>
          </cell>
          <cell r="L1914" t="str">
            <v>DUROGLOSS</v>
          </cell>
          <cell r="M1914" t="str">
            <v>XA0101</v>
          </cell>
          <cell r="N1914" t="str">
            <v>DUROGLOSS</v>
          </cell>
        </row>
        <row r="1915">
          <cell r="C1915" t="str">
            <v>170000272</v>
          </cell>
          <cell r="D1915" t="str">
            <v>DUROGLOSS COPPER BROWN 2416-0.9L</v>
          </cell>
          <cell r="E1915" t="str">
            <v>ZTRD</v>
          </cell>
          <cell r="F1915" t="str">
            <v>PC</v>
          </cell>
          <cell r="G1915" t="str">
            <v>X</v>
          </cell>
          <cell r="H1915" t="str">
            <v>TRD RETAIL</v>
          </cell>
          <cell r="I1915" t="str">
            <v>XA</v>
          </cell>
          <cell r="J1915" t="str">
            <v>PCR</v>
          </cell>
          <cell r="K1915" t="str">
            <v>XA01</v>
          </cell>
          <cell r="L1915" t="str">
            <v>DUROGLOSS</v>
          </cell>
          <cell r="M1915" t="str">
            <v>XA0101</v>
          </cell>
          <cell r="N1915" t="str">
            <v>DUROGLOSS</v>
          </cell>
        </row>
        <row r="1916">
          <cell r="C1916" t="str">
            <v>170000273</v>
          </cell>
          <cell r="D1916" t="str">
            <v>DUROGLOSS METRO ORANGE 2315-0.9L</v>
          </cell>
          <cell r="E1916" t="str">
            <v>ZTRD</v>
          </cell>
          <cell r="F1916" t="str">
            <v>PC</v>
          </cell>
          <cell r="G1916" t="str">
            <v>X</v>
          </cell>
          <cell r="H1916" t="str">
            <v>TRD RETAIL</v>
          </cell>
          <cell r="I1916" t="str">
            <v>XA</v>
          </cell>
          <cell r="J1916" t="str">
            <v>PCR</v>
          </cell>
          <cell r="K1916" t="str">
            <v>XA01</v>
          </cell>
          <cell r="L1916" t="str">
            <v>DUROGLOSS</v>
          </cell>
          <cell r="M1916" t="str">
            <v>XA0101</v>
          </cell>
          <cell r="N1916" t="str">
            <v>DUROGLOSS</v>
          </cell>
        </row>
        <row r="1917">
          <cell r="C1917" t="str">
            <v>170000274</v>
          </cell>
          <cell r="D1917" t="str">
            <v>DUROGLOSS VIOLET TT 5102A-0.9L</v>
          </cell>
          <cell r="E1917" t="str">
            <v>ZTRD</v>
          </cell>
          <cell r="F1917" t="str">
            <v>PC</v>
          </cell>
          <cell r="G1917" t="str">
            <v>X</v>
          </cell>
          <cell r="H1917" t="str">
            <v>TRD RETAIL</v>
          </cell>
          <cell r="I1917" t="str">
            <v>XA</v>
          </cell>
          <cell r="J1917" t="str">
            <v>PCR</v>
          </cell>
          <cell r="K1917" t="str">
            <v>XA01</v>
          </cell>
          <cell r="L1917" t="str">
            <v>DUROGLOSS</v>
          </cell>
          <cell r="M1917" t="str">
            <v>XA0101</v>
          </cell>
          <cell r="N1917" t="str">
            <v>DUROGLOSS</v>
          </cell>
        </row>
        <row r="1918">
          <cell r="C1918" t="str">
            <v>170000275</v>
          </cell>
          <cell r="D1918" t="str">
            <v>DUROGLOSS JET BLACK 9452-0.9L</v>
          </cell>
          <cell r="E1918" t="str">
            <v>ZTRD</v>
          </cell>
          <cell r="F1918" t="str">
            <v>PC</v>
          </cell>
          <cell r="G1918" t="str">
            <v>X</v>
          </cell>
          <cell r="H1918" t="str">
            <v>TRD RETAIL</v>
          </cell>
          <cell r="I1918" t="str">
            <v>XA</v>
          </cell>
          <cell r="J1918" t="str">
            <v>PCR</v>
          </cell>
          <cell r="K1918" t="str">
            <v>XA01</v>
          </cell>
          <cell r="L1918" t="str">
            <v>DUROGLOSS</v>
          </cell>
          <cell r="M1918" t="str">
            <v>XA0101</v>
          </cell>
          <cell r="N1918" t="str">
            <v>DUROGLOSS</v>
          </cell>
        </row>
        <row r="1919">
          <cell r="C1919" t="str">
            <v>170000276</v>
          </cell>
          <cell r="D1919" t="str">
            <v>DUROGLOSS HAVANA BROWN 2415-0.9L</v>
          </cell>
          <cell r="E1919" t="str">
            <v>ZTRD</v>
          </cell>
          <cell r="F1919" t="str">
            <v>PC</v>
          </cell>
          <cell r="G1919" t="str">
            <v>X</v>
          </cell>
          <cell r="H1919" t="str">
            <v>TRD RETAIL</v>
          </cell>
          <cell r="I1919" t="str">
            <v>XA</v>
          </cell>
          <cell r="J1919" t="str">
            <v>PCR</v>
          </cell>
          <cell r="K1919" t="str">
            <v>XA01</v>
          </cell>
          <cell r="L1919" t="str">
            <v>DUROGLOSS</v>
          </cell>
          <cell r="M1919" t="str">
            <v>XA0101</v>
          </cell>
          <cell r="N1919" t="str">
            <v>DUROGLOSS</v>
          </cell>
        </row>
        <row r="1920">
          <cell r="C1920" t="str">
            <v>170000277</v>
          </cell>
          <cell r="D1920" t="str">
            <v>DUROGLOSS BELL FLOWER 5304A-0.9L</v>
          </cell>
          <cell r="E1920" t="str">
            <v>ZTRD</v>
          </cell>
          <cell r="F1920" t="str">
            <v>PC</v>
          </cell>
          <cell r="G1920" t="str">
            <v>X</v>
          </cell>
          <cell r="H1920" t="str">
            <v>TRD RETAIL</v>
          </cell>
          <cell r="I1920" t="str">
            <v>XA</v>
          </cell>
          <cell r="J1920" t="str">
            <v>PCR</v>
          </cell>
          <cell r="K1920" t="str">
            <v>XA01</v>
          </cell>
          <cell r="L1920" t="str">
            <v>DUROGLOSS</v>
          </cell>
          <cell r="M1920" t="str">
            <v>XA0101</v>
          </cell>
          <cell r="N1920" t="str">
            <v>DUROGLOSS</v>
          </cell>
        </row>
        <row r="1921">
          <cell r="C1921" t="str">
            <v>170000278</v>
          </cell>
          <cell r="D1921" t="str">
            <v>DUROGLOSS VICTORY RED 3414-0.9L</v>
          </cell>
          <cell r="E1921" t="str">
            <v>ZTRD</v>
          </cell>
          <cell r="F1921" t="str">
            <v>PC</v>
          </cell>
          <cell r="G1921" t="str">
            <v>X</v>
          </cell>
          <cell r="H1921" t="str">
            <v>TRD RETAIL</v>
          </cell>
          <cell r="I1921" t="str">
            <v>XA</v>
          </cell>
          <cell r="J1921" t="str">
            <v>PCR</v>
          </cell>
          <cell r="K1921" t="str">
            <v>XA01</v>
          </cell>
          <cell r="L1921" t="str">
            <v>DUROGLOSS</v>
          </cell>
          <cell r="M1921" t="str">
            <v>XA0101</v>
          </cell>
          <cell r="N1921" t="str">
            <v>DUROGLOSS</v>
          </cell>
        </row>
        <row r="1922">
          <cell r="C1922" t="str">
            <v>170000279</v>
          </cell>
          <cell r="D1922" t="str">
            <v>DUROGLOSS TWEETY YELLOW 1220-0.9L</v>
          </cell>
          <cell r="E1922" t="str">
            <v>ZTRD</v>
          </cell>
          <cell r="F1922" t="str">
            <v>PC</v>
          </cell>
          <cell r="G1922" t="str">
            <v>X</v>
          </cell>
          <cell r="H1922" t="str">
            <v>TRD RETAIL</v>
          </cell>
          <cell r="I1922" t="str">
            <v>XA</v>
          </cell>
          <cell r="J1922" t="str">
            <v>PCR</v>
          </cell>
          <cell r="K1922" t="str">
            <v>XA01</v>
          </cell>
          <cell r="L1922" t="str">
            <v>DUROGLOSS</v>
          </cell>
          <cell r="M1922" t="str">
            <v>XA0101</v>
          </cell>
          <cell r="N1922" t="str">
            <v>DUROGLOSS</v>
          </cell>
        </row>
        <row r="1923">
          <cell r="C1923" t="str">
            <v>170000280</v>
          </cell>
          <cell r="D1923" t="str">
            <v>DUROGLOSS SCARLET RED 3331-0.9L</v>
          </cell>
          <cell r="E1923" t="str">
            <v>ZTRD</v>
          </cell>
          <cell r="F1923" t="str">
            <v>PC</v>
          </cell>
          <cell r="G1923" t="str">
            <v>X</v>
          </cell>
          <cell r="H1923" t="str">
            <v>TRD RETAIL</v>
          </cell>
          <cell r="I1923" t="str">
            <v>XA</v>
          </cell>
          <cell r="J1923" t="str">
            <v>PCR</v>
          </cell>
          <cell r="K1923" t="str">
            <v>XA01</v>
          </cell>
          <cell r="L1923" t="str">
            <v>DUROGLOSS</v>
          </cell>
          <cell r="M1923" t="str">
            <v>XA0101</v>
          </cell>
          <cell r="N1923" t="str">
            <v>DUROGLOSS</v>
          </cell>
        </row>
        <row r="1924">
          <cell r="C1924" t="str">
            <v>170000281</v>
          </cell>
          <cell r="D1924" t="str">
            <v>DUROGLOSS PERMANENT BLUE TT 5438-0.9L</v>
          </cell>
          <cell r="E1924" t="str">
            <v>ZTRD</v>
          </cell>
          <cell r="F1924" t="str">
            <v>PC</v>
          </cell>
          <cell r="G1924" t="str">
            <v>X</v>
          </cell>
          <cell r="H1924" t="str">
            <v>TRD RETAIL</v>
          </cell>
          <cell r="I1924" t="str">
            <v>XA</v>
          </cell>
          <cell r="J1924" t="str">
            <v>PCR</v>
          </cell>
          <cell r="K1924" t="str">
            <v>XA01</v>
          </cell>
          <cell r="L1924" t="str">
            <v>DUROGLOSS</v>
          </cell>
          <cell r="M1924" t="str">
            <v>XA0101</v>
          </cell>
          <cell r="N1924" t="str">
            <v>DUROGLOSS</v>
          </cell>
        </row>
        <row r="1925">
          <cell r="C1925" t="str">
            <v>170000282</v>
          </cell>
          <cell r="D1925" t="str">
            <v>DUROGLOSS ORANGE YELLOW 1218-0.9L</v>
          </cell>
          <cell r="E1925" t="str">
            <v>ZTRD</v>
          </cell>
          <cell r="F1925" t="str">
            <v>PC</v>
          </cell>
          <cell r="G1925" t="str">
            <v>X</v>
          </cell>
          <cell r="H1925" t="str">
            <v>TRD RETAIL</v>
          </cell>
          <cell r="I1925" t="str">
            <v>XA</v>
          </cell>
          <cell r="J1925" t="str">
            <v>PCR</v>
          </cell>
          <cell r="K1925" t="str">
            <v>XA01</v>
          </cell>
          <cell r="L1925" t="str">
            <v>DUROGLOSS</v>
          </cell>
          <cell r="M1925" t="str">
            <v>XA0101</v>
          </cell>
          <cell r="N1925" t="str">
            <v>DUROGLOSS</v>
          </cell>
        </row>
        <row r="1926">
          <cell r="C1926" t="str">
            <v>170000283</v>
          </cell>
          <cell r="D1926" t="str">
            <v>DUROGLOSS LASER RED 3326-0.9L</v>
          </cell>
          <cell r="E1926" t="str">
            <v>ZTRD</v>
          </cell>
          <cell r="F1926" t="str">
            <v>PC</v>
          </cell>
          <cell r="G1926" t="str">
            <v>X</v>
          </cell>
          <cell r="H1926" t="str">
            <v>TRD RETAIL</v>
          </cell>
          <cell r="I1926" t="str">
            <v>XA</v>
          </cell>
          <cell r="J1926" t="str">
            <v>PCR</v>
          </cell>
          <cell r="K1926" t="str">
            <v>XA01</v>
          </cell>
          <cell r="L1926" t="str">
            <v>DUROGLOSS</v>
          </cell>
          <cell r="M1926" t="str">
            <v>XA0101</v>
          </cell>
          <cell r="N1926" t="str">
            <v>DUROGLOSS</v>
          </cell>
        </row>
        <row r="1927">
          <cell r="C1927" t="str">
            <v>170000284</v>
          </cell>
          <cell r="D1927" t="str">
            <v>DUROGLOSS BLUE TT 5450-0.9L</v>
          </cell>
          <cell r="E1927" t="str">
            <v>ZTRD</v>
          </cell>
          <cell r="F1927" t="str">
            <v>PC</v>
          </cell>
          <cell r="G1927" t="str">
            <v>X</v>
          </cell>
          <cell r="H1927" t="str">
            <v>TRD RETAIL</v>
          </cell>
          <cell r="I1927" t="str">
            <v>XA</v>
          </cell>
          <cell r="J1927" t="str">
            <v>PCR</v>
          </cell>
          <cell r="K1927" t="str">
            <v>XA01</v>
          </cell>
          <cell r="L1927" t="str">
            <v>DUROGLOSS</v>
          </cell>
          <cell r="M1927" t="str">
            <v>XA0101</v>
          </cell>
          <cell r="N1927" t="str">
            <v>DUROGLOSS</v>
          </cell>
        </row>
        <row r="1928">
          <cell r="C1928" t="str">
            <v>170000285</v>
          </cell>
          <cell r="D1928" t="str">
            <v>DUROGLOSS BLUE OREO 5306-0.9L</v>
          </cell>
          <cell r="E1928" t="str">
            <v>ZTRD</v>
          </cell>
          <cell r="F1928" t="str">
            <v>PC</v>
          </cell>
          <cell r="G1928" t="str">
            <v>X</v>
          </cell>
          <cell r="H1928" t="str">
            <v>TRD RETAIL</v>
          </cell>
          <cell r="I1928" t="str">
            <v>XA</v>
          </cell>
          <cell r="J1928" t="str">
            <v>PCR</v>
          </cell>
          <cell r="K1928" t="str">
            <v>XA01</v>
          </cell>
          <cell r="L1928" t="str">
            <v>DUROGLOSS</v>
          </cell>
          <cell r="M1928" t="str">
            <v>XA0101</v>
          </cell>
          <cell r="N1928" t="str">
            <v>DUROGLOSS</v>
          </cell>
        </row>
        <row r="1929">
          <cell r="C1929" t="str">
            <v>170000286</v>
          </cell>
          <cell r="D1929" t="str">
            <v>ITALIAN PUSS-743-2K HQ-1LS</v>
          </cell>
          <cell r="E1929" t="str">
            <v>ZTRD</v>
          </cell>
          <cell r="F1929" t="str">
            <v>SET</v>
          </cell>
          <cell r="G1929" t="str">
            <v>X</v>
          </cell>
          <cell r="H1929" t="str">
            <v>TRD RETAIL</v>
          </cell>
          <cell r="I1929" t="str">
            <v>X2</v>
          </cell>
          <cell r="J1929" t="str">
            <v>WF2</v>
          </cell>
          <cell r="K1929" t="str">
            <v>X215</v>
          </cell>
          <cell r="L1929" t="str">
            <v>PU ITALIAN</v>
          </cell>
          <cell r="M1929" t="str">
            <v>X21501</v>
          </cell>
          <cell r="N1929" t="str">
            <v>PROPAN ITALIAN PU</v>
          </cell>
        </row>
        <row r="1930">
          <cell r="C1930" t="str">
            <v>170000287</v>
          </cell>
          <cell r="D1930" t="str">
            <v>PUL-765-2K CLEAR DOF-5LS</v>
          </cell>
          <cell r="E1930" t="str">
            <v>ZTRD</v>
          </cell>
          <cell r="F1930" t="str">
            <v>SET</v>
          </cell>
          <cell r="G1930" t="str">
            <v>X</v>
          </cell>
          <cell r="H1930" t="str">
            <v>TRD RETAIL</v>
          </cell>
          <cell r="I1930" t="str">
            <v>X2</v>
          </cell>
          <cell r="J1930" t="str">
            <v>WF2</v>
          </cell>
          <cell r="K1930" t="str">
            <v>X216</v>
          </cell>
          <cell r="L1930" t="str">
            <v>PU MULTIPURPOSE</v>
          </cell>
          <cell r="M1930" t="str">
            <v>X21601</v>
          </cell>
          <cell r="N1930" t="str">
            <v>PROPAN MP PU ACR RMX</v>
          </cell>
        </row>
        <row r="1931">
          <cell r="C1931" t="str">
            <v>170000288</v>
          </cell>
          <cell r="D1931" t="str">
            <v>PUL-765-2K CLEAR GLOSS-5LS</v>
          </cell>
          <cell r="E1931" t="str">
            <v>ZTRD</v>
          </cell>
          <cell r="F1931" t="str">
            <v>SET</v>
          </cell>
          <cell r="G1931" t="str">
            <v>X</v>
          </cell>
          <cell r="H1931" t="str">
            <v>TRD RETAIL</v>
          </cell>
          <cell r="I1931" t="str">
            <v>X2</v>
          </cell>
          <cell r="J1931" t="str">
            <v>WF2</v>
          </cell>
          <cell r="K1931" t="str">
            <v>X216</v>
          </cell>
          <cell r="L1931" t="str">
            <v>PU MULTIPURPOSE</v>
          </cell>
          <cell r="M1931" t="str">
            <v>X21601</v>
          </cell>
          <cell r="N1931" t="str">
            <v>PROPAN MP PU ACR RMX</v>
          </cell>
        </row>
        <row r="1932">
          <cell r="C1932" t="str">
            <v>170000289</v>
          </cell>
          <cell r="D1932" t="str">
            <v>PUL-765-2K CLEAR SATIN-5LS</v>
          </cell>
          <cell r="E1932" t="str">
            <v>ZTRD</v>
          </cell>
          <cell r="F1932" t="str">
            <v>SET</v>
          </cell>
          <cell r="G1932" t="str">
            <v>X</v>
          </cell>
          <cell r="H1932" t="str">
            <v>TRD RETAIL</v>
          </cell>
          <cell r="I1932" t="str">
            <v>X2</v>
          </cell>
          <cell r="J1932" t="str">
            <v>WF2</v>
          </cell>
          <cell r="K1932" t="str">
            <v>X216</v>
          </cell>
          <cell r="L1932" t="str">
            <v>PU MULTIPURPOSE</v>
          </cell>
          <cell r="M1932" t="str">
            <v>X21601</v>
          </cell>
          <cell r="N1932" t="str">
            <v>PROPAN MP PU ACR RMX</v>
          </cell>
        </row>
        <row r="1933">
          <cell r="C1933" t="str">
            <v>170000290</v>
          </cell>
          <cell r="D1933" t="str">
            <v>PUC-786-2K WHITE GLOSS-5LS</v>
          </cell>
          <cell r="E1933" t="str">
            <v>ZTRD</v>
          </cell>
          <cell r="F1933" t="str">
            <v>SET</v>
          </cell>
          <cell r="G1933" t="str">
            <v>X</v>
          </cell>
          <cell r="H1933" t="str">
            <v>TRD RETAIL</v>
          </cell>
          <cell r="I1933" t="str">
            <v>X2</v>
          </cell>
          <cell r="J1933" t="str">
            <v>WF2</v>
          </cell>
          <cell r="K1933" t="str">
            <v>X216</v>
          </cell>
          <cell r="L1933" t="str">
            <v>PU MULTIPURPOSE</v>
          </cell>
          <cell r="M1933" t="str">
            <v>X21601</v>
          </cell>
          <cell r="N1933" t="str">
            <v>PROPAN MP PU ACR RMX</v>
          </cell>
        </row>
        <row r="1934">
          <cell r="C1934" t="str">
            <v>170000291</v>
          </cell>
          <cell r="D1934" t="str">
            <v>PUC-786-2K HINO GREEN GLOSS-5LS</v>
          </cell>
          <cell r="E1934" t="str">
            <v>ZTRD</v>
          </cell>
          <cell r="F1934" t="str">
            <v>SET</v>
          </cell>
          <cell r="G1934" t="str">
            <v>X</v>
          </cell>
          <cell r="H1934" t="str">
            <v>TRD RETAIL</v>
          </cell>
          <cell r="I1934" t="str">
            <v>X2</v>
          </cell>
          <cell r="J1934" t="str">
            <v>WF2</v>
          </cell>
          <cell r="K1934" t="str">
            <v>X216</v>
          </cell>
          <cell r="L1934" t="str">
            <v>PU MULTIPURPOSE</v>
          </cell>
          <cell r="M1934" t="str">
            <v>X21601</v>
          </cell>
          <cell r="N1934" t="str">
            <v>PROPAN MP PU ACR RMX</v>
          </cell>
        </row>
        <row r="1935">
          <cell r="C1935" t="str">
            <v>170000292</v>
          </cell>
          <cell r="D1935" t="str">
            <v>PUC-786-2K BLACK GLOSS-5LS</v>
          </cell>
          <cell r="E1935" t="str">
            <v>ZTRD</v>
          </cell>
          <cell r="F1935" t="str">
            <v>SET</v>
          </cell>
          <cell r="G1935" t="str">
            <v>X</v>
          </cell>
          <cell r="H1935" t="str">
            <v>TRD RETAIL</v>
          </cell>
          <cell r="I1935" t="str">
            <v>X2</v>
          </cell>
          <cell r="J1935" t="str">
            <v>WF2</v>
          </cell>
          <cell r="K1935" t="str">
            <v>X216</v>
          </cell>
          <cell r="L1935" t="str">
            <v>PU MULTIPURPOSE</v>
          </cell>
          <cell r="M1935" t="str">
            <v>X21601</v>
          </cell>
          <cell r="N1935" t="str">
            <v>PROPAN MP PU ACR RMX</v>
          </cell>
        </row>
        <row r="1936">
          <cell r="C1936" t="str">
            <v>170000293</v>
          </cell>
          <cell r="D1936" t="str">
            <v>PUC-786-2K CHILI RED GLOSS-1LS</v>
          </cell>
          <cell r="E1936" t="str">
            <v>ZTRD</v>
          </cell>
          <cell r="F1936" t="str">
            <v>SET</v>
          </cell>
          <cell r="G1936" t="str">
            <v>X</v>
          </cell>
          <cell r="H1936" t="str">
            <v>TRD RETAIL</v>
          </cell>
          <cell r="I1936" t="str">
            <v>X2</v>
          </cell>
          <cell r="J1936" t="str">
            <v>WF2</v>
          </cell>
          <cell r="K1936" t="str">
            <v>X216</v>
          </cell>
          <cell r="L1936" t="str">
            <v>PU MULTIPURPOSE</v>
          </cell>
          <cell r="M1936" t="str">
            <v>X21601</v>
          </cell>
          <cell r="N1936" t="str">
            <v>PROPAN MP PU ACR RMX</v>
          </cell>
        </row>
        <row r="1937">
          <cell r="C1937" t="str">
            <v>170000294</v>
          </cell>
          <cell r="D1937" t="str">
            <v>PUC-786-2K CHILI RED GLOSS-5LS</v>
          </cell>
          <cell r="E1937" t="str">
            <v>ZTRD</v>
          </cell>
          <cell r="F1937" t="str">
            <v>SET</v>
          </cell>
          <cell r="G1937" t="str">
            <v>X</v>
          </cell>
          <cell r="H1937" t="str">
            <v>TRD RETAIL</v>
          </cell>
          <cell r="I1937" t="str">
            <v>X2</v>
          </cell>
          <cell r="J1937" t="str">
            <v>WF2</v>
          </cell>
          <cell r="K1937" t="str">
            <v>X216</v>
          </cell>
          <cell r="L1937" t="str">
            <v>PU MULTIPURPOSE</v>
          </cell>
          <cell r="M1937" t="str">
            <v>X21601</v>
          </cell>
          <cell r="N1937" t="str">
            <v>PROPAN MP PU ACR RMX</v>
          </cell>
        </row>
        <row r="1938">
          <cell r="C1938" t="str">
            <v>170000295</v>
          </cell>
          <cell r="D1938" t="str">
            <v>PUC-786-2K GREY GLOSS-5LS</v>
          </cell>
          <cell r="E1938" t="str">
            <v>ZTRD</v>
          </cell>
          <cell r="F1938" t="str">
            <v>SET</v>
          </cell>
          <cell r="G1938" t="str">
            <v>X</v>
          </cell>
          <cell r="H1938" t="str">
            <v>TRD RETAIL</v>
          </cell>
          <cell r="I1938" t="str">
            <v>X2</v>
          </cell>
          <cell r="J1938" t="str">
            <v>WF2</v>
          </cell>
          <cell r="K1938" t="str">
            <v>X216</v>
          </cell>
          <cell r="L1938" t="str">
            <v>PU MULTIPURPOSE</v>
          </cell>
          <cell r="M1938" t="str">
            <v>X21601</v>
          </cell>
          <cell r="N1938" t="str">
            <v>PROPAN MP PU ACR RMX</v>
          </cell>
        </row>
        <row r="1939">
          <cell r="C1939" t="str">
            <v>170000296</v>
          </cell>
          <cell r="D1939" t="str">
            <v>PUC-786-2K LEMON YELLOW GLOSS-5LS</v>
          </cell>
          <cell r="E1939" t="str">
            <v>ZTRD</v>
          </cell>
          <cell r="F1939" t="str">
            <v>SET</v>
          </cell>
          <cell r="G1939" t="str">
            <v>X</v>
          </cell>
          <cell r="H1939" t="str">
            <v>TRD RETAIL</v>
          </cell>
          <cell r="I1939" t="str">
            <v>X2</v>
          </cell>
          <cell r="J1939" t="str">
            <v>WF2</v>
          </cell>
          <cell r="K1939" t="str">
            <v>X216</v>
          </cell>
          <cell r="L1939" t="str">
            <v>PU MULTIPURPOSE</v>
          </cell>
          <cell r="M1939" t="str">
            <v>X21601</v>
          </cell>
          <cell r="N1939" t="str">
            <v>PROPAN MP PU ACR RMX</v>
          </cell>
        </row>
        <row r="1940">
          <cell r="C1940" t="str">
            <v>170000297</v>
          </cell>
          <cell r="D1940" t="str">
            <v>PUC-786-2K MARINE BLUE GLOSS-5LS</v>
          </cell>
          <cell r="E1940" t="str">
            <v>ZTRD</v>
          </cell>
          <cell r="F1940" t="str">
            <v>SET</v>
          </cell>
          <cell r="G1940" t="str">
            <v>X</v>
          </cell>
          <cell r="H1940" t="str">
            <v>TRD RETAIL</v>
          </cell>
          <cell r="I1940" t="str">
            <v>X2</v>
          </cell>
          <cell r="J1940" t="str">
            <v>WF2</v>
          </cell>
          <cell r="K1940" t="str">
            <v>X216</v>
          </cell>
          <cell r="L1940" t="str">
            <v>PU MULTIPURPOSE</v>
          </cell>
          <cell r="M1940" t="str">
            <v>X21601</v>
          </cell>
          <cell r="N1940" t="str">
            <v>PROPAN MP PU ACR RMX</v>
          </cell>
        </row>
        <row r="1941">
          <cell r="C1941" t="str">
            <v>170000298</v>
          </cell>
          <cell r="D1941" t="str">
            <v>PUSF-781-2K LIGHT GREY-1LS</v>
          </cell>
          <cell r="E1941" t="str">
            <v>ZTRD</v>
          </cell>
          <cell r="F1941" t="str">
            <v>SET</v>
          </cell>
          <cell r="G1941" t="str">
            <v>X</v>
          </cell>
          <cell r="H1941" t="str">
            <v>TRD RETAIL</v>
          </cell>
          <cell r="I1941" t="str">
            <v>X2</v>
          </cell>
          <cell r="J1941" t="str">
            <v>WF2</v>
          </cell>
          <cell r="K1941" t="str">
            <v>X216</v>
          </cell>
          <cell r="L1941" t="str">
            <v>PU MULTIPURPOSE</v>
          </cell>
          <cell r="M1941" t="str">
            <v>X21601</v>
          </cell>
          <cell r="N1941" t="str">
            <v>PROPAN MP PU ACR RMX</v>
          </cell>
        </row>
        <row r="1942">
          <cell r="C1942" t="str">
            <v>170000299</v>
          </cell>
          <cell r="D1942" t="str">
            <v>PUSF-781-2K LIGHT GREY-5LS</v>
          </cell>
          <cell r="E1942" t="str">
            <v>ZTRD</v>
          </cell>
          <cell r="F1942" t="str">
            <v>SET</v>
          </cell>
          <cell r="G1942" t="str">
            <v>X</v>
          </cell>
          <cell r="H1942" t="str">
            <v>TRD RETAIL</v>
          </cell>
          <cell r="I1942" t="str">
            <v>X2</v>
          </cell>
          <cell r="J1942" t="str">
            <v>WF2</v>
          </cell>
          <cell r="K1942" t="str">
            <v>X216</v>
          </cell>
          <cell r="L1942" t="str">
            <v>PU MULTIPURPOSE</v>
          </cell>
          <cell r="M1942" t="str">
            <v>X21601</v>
          </cell>
          <cell r="N1942" t="str">
            <v>PROPAN MP PU ACR RMX</v>
          </cell>
        </row>
        <row r="1943">
          <cell r="C1943" t="str">
            <v>170000300</v>
          </cell>
          <cell r="D1943" t="str">
            <v>PUSF-781-2K WHITE-5LS</v>
          </cell>
          <cell r="E1943" t="str">
            <v>ZTRD</v>
          </cell>
          <cell r="F1943" t="str">
            <v>SET</v>
          </cell>
          <cell r="G1943" t="str">
            <v>X</v>
          </cell>
          <cell r="H1943" t="str">
            <v>TRD RETAIL</v>
          </cell>
          <cell r="I1943" t="str">
            <v>X2</v>
          </cell>
          <cell r="J1943" t="str">
            <v>WF2</v>
          </cell>
          <cell r="K1943" t="str">
            <v>X216</v>
          </cell>
          <cell r="L1943" t="str">
            <v>PU MULTIPURPOSE</v>
          </cell>
          <cell r="M1943" t="str">
            <v>X21601</v>
          </cell>
          <cell r="N1943" t="str">
            <v>PROPAN MP PU ACR RMX</v>
          </cell>
        </row>
        <row r="1944">
          <cell r="C1944" t="str">
            <v>170000301</v>
          </cell>
          <cell r="D1944" t="str">
            <v>PUSS-760-2K-5LS</v>
          </cell>
          <cell r="E1944" t="str">
            <v>ZTRD</v>
          </cell>
          <cell r="F1944" t="str">
            <v>SET</v>
          </cell>
          <cell r="G1944" t="str">
            <v>X</v>
          </cell>
          <cell r="H1944" t="str">
            <v>TRD RETAIL</v>
          </cell>
          <cell r="I1944" t="str">
            <v>X2</v>
          </cell>
          <cell r="J1944" t="str">
            <v>WF2</v>
          </cell>
          <cell r="K1944" t="str">
            <v>X216</v>
          </cell>
          <cell r="L1944" t="str">
            <v>PU MULTIPURPOSE</v>
          </cell>
          <cell r="M1944" t="str">
            <v>X21601</v>
          </cell>
          <cell r="N1944" t="str">
            <v>PROPAN MP PU ACR RMX</v>
          </cell>
        </row>
        <row r="1945">
          <cell r="C1945" t="str">
            <v>170000302</v>
          </cell>
          <cell r="D1945" t="str">
            <v>PROPAN PWS-631 TEAK-1L</v>
          </cell>
          <cell r="E1945" t="str">
            <v>ZTRD</v>
          </cell>
          <cell r="F1945" t="str">
            <v>PC</v>
          </cell>
          <cell r="G1945" t="str">
            <v>X</v>
          </cell>
          <cell r="H1945" t="str">
            <v>TRD RETAIL</v>
          </cell>
          <cell r="I1945" t="str">
            <v>X4</v>
          </cell>
          <cell r="J1945" t="str">
            <v>WF3</v>
          </cell>
          <cell r="K1945" t="str">
            <v>X412</v>
          </cell>
          <cell r="L1945" t="str">
            <v>WOOD STAIN</v>
          </cell>
          <cell r="M1945" t="str">
            <v>X41201</v>
          </cell>
          <cell r="N1945" t="str">
            <v>PROPAN WOOD STAIN</v>
          </cell>
        </row>
        <row r="1946">
          <cell r="C1946" t="str">
            <v>170000303</v>
          </cell>
          <cell r="D1946" t="str">
            <v>PROPAN PWS-631 WALNUT-1L</v>
          </cell>
          <cell r="E1946" t="str">
            <v>ZTRD</v>
          </cell>
          <cell r="F1946" t="str">
            <v>PC</v>
          </cell>
          <cell r="G1946" t="str">
            <v>X</v>
          </cell>
          <cell r="H1946" t="str">
            <v>TRD RETAIL</v>
          </cell>
          <cell r="I1946" t="str">
            <v>X4</v>
          </cell>
          <cell r="J1946" t="str">
            <v>WF3</v>
          </cell>
          <cell r="K1946" t="str">
            <v>X412</v>
          </cell>
          <cell r="L1946" t="str">
            <v>WOOD STAIN</v>
          </cell>
          <cell r="M1946" t="str">
            <v>X41201</v>
          </cell>
          <cell r="N1946" t="str">
            <v>PROPAN WOOD STAIN</v>
          </cell>
        </row>
        <row r="1947">
          <cell r="C1947" t="str">
            <v>170000304</v>
          </cell>
          <cell r="D1947" t="str">
            <v>PROPAN PWS-631 DARK BROWN-1L</v>
          </cell>
          <cell r="E1947" t="str">
            <v>ZTRD</v>
          </cell>
          <cell r="F1947" t="str">
            <v>PC</v>
          </cell>
          <cell r="G1947" t="str">
            <v>X</v>
          </cell>
          <cell r="H1947" t="str">
            <v>TRD RETAIL</v>
          </cell>
          <cell r="I1947" t="str">
            <v>X4</v>
          </cell>
          <cell r="J1947" t="str">
            <v>WF3</v>
          </cell>
          <cell r="K1947" t="str">
            <v>X412</v>
          </cell>
          <cell r="L1947" t="str">
            <v>WOOD STAIN</v>
          </cell>
          <cell r="M1947" t="str">
            <v>X41201</v>
          </cell>
          <cell r="N1947" t="str">
            <v>PROPAN WOOD STAIN</v>
          </cell>
        </row>
        <row r="1948">
          <cell r="C1948" t="str">
            <v>170000305</v>
          </cell>
          <cell r="D1948" t="str">
            <v>PROPAN PWS-631 CHERRY-1L</v>
          </cell>
          <cell r="E1948" t="str">
            <v>ZTRD</v>
          </cell>
          <cell r="F1948" t="str">
            <v>PC</v>
          </cell>
          <cell r="G1948" t="str">
            <v>X</v>
          </cell>
          <cell r="H1948" t="str">
            <v>TRD RETAIL</v>
          </cell>
          <cell r="I1948" t="str">
            <v>X4</v>
          </cell>
          <cell r="J1948" t="str">
            <v>WF3</v>
          </cell>
          <cell r="K1948" t="str">
            <v>X412</v>
          </cell>
          <cell r="L1948" t="str">
            <v>WOOD STAIN</v>
          </cell>
          <cell r="M1948" t="str">
            <v>X41201</v>
          </cell>
          <cell r="N1948" t="str">
            <v>PROPAN WOOD STAIN</v>
          </cell>
        </row>
        <row r="1949">
          <cell r="C1949" t="str">
            <v>170000306</v>
          </cell>
          <cell r="D1949" t="str">
            <v>PROPAN PWS-631 LIGHT WALNUT-1L</v>
          </cell>
          <cell r="E1949" t="str">
            <v>ZTRD</v>
          </cell>
          <cell r="F1949" t="str">
            <v>PC</v>
          </cell>
          <cell r="G1949" t="str">
            <v>X</v>
          </cell>
          <cell r="H1949" t="str">
            <v>TRD RETAIL</v>
          </cell>
          <cell r="I1949" t="str">
            <v>X4</v>
          </cell>
          <cell r="J1949" t="str">
            <v>WF3</v>
          </cell>
          <cell r="K1949" t="str">
            <v>X412</v>
          </cell>
          <cell r="L1949" t="str">
            <v>WOOD STAIN</v>
          </cell>
          <cell r="M1949" t="str">
            <v>X41201</v>
          </cell>
          <cell r="N1949" t="str">
            <v>PROPAN WOOD STAIN</v>
          </cell>
        </row>
        <row r="1950">
          <cell r="C1950" t="str">
            <v>170000307</v>
          </cell>
          <cell r="D1950" t="str">
            <v>PROPAN PWS-631 AKASIA-1L</v>
          </cell>
          <cell r="E1950" t="str">
            <v>ZTRD</v>
          </cell>
          <cell r="F1950" t="str">
            <v>PC</v>
          </cell>
          <cell r="G1950" t="str">
            <v>X</v>
          </cell>
          <cell r="H1950" t="str">
            <v>TRD RETAIL</v>
          </cell>
          <cell r="I1950" t="str">
            <v>X4</v>
          </cell>
          <cell r="J1950" t="str">
            <v>WF3</v>
          </cell>
          <cell r="K1950" t="str">
            <v>X412</v>
          </cell>
          <cell r="L1950" t="str">
            <v>WOOD STAIN</v>
          </cell>
          <cell r="M1950" t="str">
            <v>X41201</v>
          </cell>
          <cell r="N1950" t="str">
            <v>PROPAN WOOD STAIN</v>
          </cell>
        </row>
        <row r="1951">
          <cell r="C1951" t="str">
            <v>170000308</v>
          </cell>
          <cell r="D1951" t="str">
            <v>PROPAN PWS-631 CLEAR GLOSS-1L</v>
          </cell>
          <cell r="E1951" t="str">
            <v>ZTRD</v>
          </cell>
          <cell r="F1951" t="str">
            <v>PC</v>
          </cell>
          <cell r="G1951" t="str">
            <v>X</v>
          </cell>
          <cell r="H1951" t="str">
            <v>TRD RETAIL</v>
          </cell>
          <cell r="I1951" t="str">
            <v>X4</v>
          </cell>
          <cell r="J1951" t="str">
            <v>WF3</v>
          </cell>
          <cell r="K1951" t="str">
            <v>X412</v>
          </cell>
          <cell r="L1951" t="str">
            <v>WOOD STAIN</v>
          </cell>
          <cell r="M1951" t="str">
            <v>X41201</v>
          </cell>
          <cell r="N1951" t="str">
            <v>PROPAN WOOD STAIN</v>
          </cell>
        </row>
        <row r="1952">
          <cell r="C1952" t="str">
            <v>170000309</v>
          </cell>
          <cell r="D1952" t="str">
            <v>PROPAN PWS-631 POLYSANDER-1L</v>
          </cell>
          <cell r="E1952" t="str">
            <v>ZTRD</v>
          </cell>
          <cell r="F1952" t="str">
            <v>PC</v>
          </cell>
          <cell r="G1952" t="str">
            <v>X</v>
          </cell>
          <cell r="H1952" t="str">
            <v>TRD RETAIL</v>
          </cell>
          <cell r="I1952" t="str">
            <v>X4</v>
          </cell>
          <cell r="J1952" t="str">
            <v>WF3</v>
          </cell>
          <cell r="K1952" t="str">
            <v>X412</v>
          </cell>
          <cell r="L1952" t="str">
            <v>WOOD STAIN</v>
          </cell>
          <cell r="M1952" t="str">
            <v>X41201</v>
          </cell>
          <cell r="N1952" t="str">
            <v>PROPAN WOOD STAIN</v>
          </cell>
        </row>
        <row r="1953">
          <cell r="C1953" t="str">
            <v>170000310</v>
          </cell>
          <cell r="D1953" t="str">
            <v>ULTRAN UTO-555-20LJ</v>
          </cell>
          <cell r="E1953" t="str">
            <v>ZTRD</v>
          </cell>
          <cell r="F1953" t="str">
            <v>PC</v>
          </cell>
          <cell r="G1953" t="str">
            <v>X</v>
          </cell>
          <cell r="H1953" t="str">
            <v>TRD RETAIL</v>
          </cell>
          <cell r="I1953" t="str">
            <v>X4</v>
          </cell>
          <cell r="J1953" t="str">
            <v>WF3</v>
          </cell>
          <cell r="K1953" t="str">
            <v>X413</v>
          </cell>
          <cell r="L1953" t="str">
            <v>ULTRAN</v>
          </cell>
          <cell r="M1953" t="str">
            <v>X41309</v>
          </cell>
          <cell r="N1953" t="str">
            <v>ULTRAN TEAK OIL</v>
          </cell>
        </row>
        <row r="1954">
          <cell r="C1954" t="str">
            <v>170000321</v>
          </cell>
          <cell r="D1954" t="str">
            <v>SYNTHETIC 3000 RX ASH GREY VN-18LP</v>
          </cell>
          <cell r="E1954" t="str">
            <v>ZTRD</v>
          </cell>
          <cell r="F1954" t="str">
            <v>PC</v>
          </cell>
          <cell r="G1954" t="str">
            <v>X</v>
          </cell>
          <cell r="H1954" t="str">
            <v>TRD RETAIL</v>
          </cell>
          <cell r="I1954" t="str">
            <v>X9</v>
          </cell>
          <cell r="J1954" t="str">
            <v>MPC</v>
          </cell>
          <cell r="K1954" t="str">
            <v>X902</v>
          </cell>
          <cell r="L1954" t="str">
            <v>SYNTHETIC ENAMEL SB</v>
          </cell>
          <cell r="M1954" t="str">
            <v>X90203</v>
          </cell>
          <cell r="N1954" t="str">
            <v>SYNTHETIC 3000</v>
          </cell>
        </row>
        <row r="1955">
          <cell r="C1955" t="str">
            <v>170000322</v>
          </cell>
          <cell r="D1955" t="str">
            <v>SYNTHETIC 3000 RX TUDOR GREY VN-18LP</v>
          </cell>
          <cell r="E1955" t="str">
            <v>ZTRD</v>
          </cell>
          <cell r="F1955" t="str">
            <v>PC</v>
          </cell>
          <cell r="G1955" t="str">
            <v>X</v>
          </cell>
          <cell r="H1955" t="str">
            <v>TRD RETAIL</v>
          </cell>
          <cell r="I1955" t="str">
            <v>X9</v>
          </cell>
          <cell r="J1955" t="str">
            <v>MPC</v>
          </cell>
          <cell r="K1955" t="str">
            <v>X902</v>
          </cell>
          <cell r="L1955" t="str">
            <v>SYNTHETIC ENAMEL SB</v>
          </cell>
          <cell r="M1955" t="str">
            <v>X90203</v>
          </cell>
          <cell r="N1955" t="str">
            <v>SYNTHETIC 3000</v>
          </cell>
        </row>
        <row r="1956">
          <cell r="C1956" t="str">
            <v>170000323</v>
          </cell>
          <cell r="D1956" t="str">
            <v>SYNTHETIC 3000 RX WHITE 9101-20LP</v>
          </cell>
          <cell r="E1956" t="str">
            <v>ZTRD</v>
          </cell>
          <cell r="F1956" t="str">
            <v>PC</v>
          </cell>
          <cell r="G1956" t="str">
            <v>X</v>
          </cell>
          <cell r="H1956" t="str">
            <v>TRD RETAIL</v>
          </cell>
          <cell r="I1956" t="str">
            <v>X9</v>
          </cell>
          <cell r="J1956" t="str">
            <v>MPC</v>
          </cell>
          <cell r="K1956" t="str">
            <v>X902</v>
          </cell>
          <cell r="L1956" t="str">
            <v>SYNTHETIC ENAMEL SB</v>
          </cell>
          <cell r="M1956" t="str">
            <v>X90203</v>
          </cell>
          <cell r="N1956" t="str">
            <v>SYNTHETIC 3000</v>
          </cell>
        </row>
        <row r="1957">
          <cell r="C1957" t="str">
            <v>170000324</v>
          </cell>
          <cell r="D1957" t="str">
            <v>SYNTHETIC 3000 RX WHITE 9101-5L</v>
          </cell>
          <cell r="E1957" t="str">
            <v>ZTRD</v>
          </cell>
          <cell r="F1957" t="str">
            <v>PC</v>
          </cell>
          <cell r="G1957" t="str">
            <v>X</v>
          </cell>
          <cell r="H1957" t="str">
            <v>TRD RETAIL</v>
          </cell>
          <cell r="I1957" t="str">
            <v>X9</v>
          </cell>
          <cell r="J1957" t="str">
            <v>MPC</v>
          </cell>
          <cell r="K1957" t="str">
            <v>X902</v>
          </cell>
          <cell r="L1957" t="str">
            <v>SYNTHETIC ENAMEL SB</v>
          </cell>
          <cell r="M1957" t="str">
            <v>X90203</v>
          </cell>
          <cell r="N1957" t="str">
            <v>SYNTHETIC 3000</v>
          </cell>
        </row>
        <row r="1958">
          <cell r="C1958" t="str">
            <v>170000325</v>
          </cell>
          <cell r="D1958" t="str">
            <v>DECOR LOTUS DLI-480 SATIN WHITE-4105-2.5</v>
          </cell>
          <cell r="E1958" t="str">
            <v>ZTRD</v>
          </cell>
          <cell r="F1958" t="str">
            <v>PC</v>
          </cell>
          <cell r="G1958" t="str">
            <v>X</v>
          </cell>
          <cell r="H1958" t="str">
            <v>TRD RETAIL</v>
          </cell>
          <cell r="I1958" t="str">
            <v>X5</v>
          </cell>
          <cell r="J1958" t="str">
            <v>APCT1</v>
          </cell>
          <cell r="K1958" t="str">
            <v>X502</v>
          </cell>
          <cell r="L1958" t="str">
            <v>DECOR</v>
          </cell>
          <cell r="M1958" t="str">
            <v>X50202</v>
          </cell>
          <cell r="N1958" t="str">
            <v>DECORLOTUS RMX</v>
          </cell>
        </row>
        <row r="1959">
          <cell r="C1959" t="str">
            <v>170000326</v>
          </cell>
          <cell r="D1959" t="str">
            <v>DECORLOTUS DLI-480 ADAM GREEN-7108-2.5L</v>
          </cell>
          <cell r="E1959" t="str">
            <v>ZTRD</v>
          </cell>
          <cell r="F1959" t="str">
            <v>PC</v>
          </cell>
          <cell r="G1959" t="str">
            <v>X</v>
          </cell>
          <cell r="H1959" t="str">
            <v>TRD RETAIL</v>
          </cell>
          <cell r="I1959" t="str">
            <v>X5</v>
          </cell>
          <cell r="J1959" t="str">
            <v>APCT1</v>
          </cell>
          <cell r="K1959" t="str">
            <v>X502</v>
          </cell>
          <cell r="L1959" t="str">
            <v>DECOR</v>
          </cell>
          <cell r="M1959" t="str">
            <v>X50202</v>
          </cell>
          <cell r="N1959" t="str">
            <v>DECORLOTUS RMX</v>
          </cell>
        </row>
        <row r="1960">
          <cell r="C1960" t="str">
            <v>170000327</v>
          </cell>
          <cell r="D1960" t="str">
            <v>DP-4010 GREENVILLE 7130-3.8L</v>
          </cell>
          <cell r="E1960" t="str">
            <v>ZTRD</v>
          </cell>
          <cell r="F1960" t="str">
            <v>PC</v>
          </cell>
          <cell r="G1960" t="str">
            <v>3</v>
          </cell>
          <cell r="H1960" t="str">
            <v>TRADING</v>
          </cell>
          <cell r="I1960" t="str">
            <v>38</v>
          </cell>
          <cell r="J1960" t="str">
            <v>ALKANA TRADING</v>
          </cell>
          <cell r="K1960" t="str">
            <v>3801</v>
          </cell>
          <cell r="L1960" t="str">
            <v>COATING</v>
          </cell>
          <cell r="M1960" t="str">
            <v>380101</v>
          </cell>
          <cell r="N1960" t="str">
            <v>DECOR PLAST</v>
          </cell>
        </row>
        <row r="1961">
          <cell r="C1961" t="str">
            <v>170000328</v>
          </cell>
          <cell r="D1961" t="str">
            <v>DP-4010 SUPER WHITE 9102 A-18LP</v>
          </cell>
          <cell r="E1961" t="str">
            <v>ZTRD</v>
          </cell>
          <cell r="F1961" t="str">
            <v>PC</v>
          </cell>
          <cell r="G1961" t="str">
            <v>3</v>
          </cell>
          <cell r="H1961" t="str">
            <v>TRADING</v>
          </cell>
          <cell r="I1961" t="str">
            <v>38</v>
          </cell>
          <cell r="J1961" t="str">
            <v>ALKANA TRADING</v>
          </cell>
          <cell r="K1961" t="str">
            <v>3801</v>
          </cell>
          <cell r="L1961" t="str">
            <v>COATING</v>
          </cell>
          <cell r="M1961" t="str">
            <v>380101</v>
          </cell>
          <cell r="N1961" t="str">
            <v>DECOR PLAST</v>
          </cell>
        </row>
        <row r="1962">
          <cell r="C1962" t="str">
            <v>170000329</v>
          </cell>
          <cell r="D1962" t="str">
            <v>DP-4010 PAPER LACE 1102-18LP</v>
          </cell>
          <cell r="E1962" t="str">
            <v>ZTRD</v>
          </cell>
          <cell r="F1962" t="str">
            <v>PC</v>
          </cell>
          <cell r="G1962" t="str">
            <v>3</v>
          </cell>
          <cell r="H1962" t="str">
            <v>TRADING</v>
          </cell>
          <cell r="I1962" t="str">
            <v>38</v>
          </cell>
          <cell r="J1962" t="str">
            <v>ALKANA TRADING</v>
          </cell>
          <cell r="K1962" t="str">
            <v>3801</v>
          </cell>
          <cell r="L1962" t="str">
            <v>COATING</v>
          </cell>
          <cell r="M1962" t="str">
            <v>380101</v>
          </cell>
          <cell r="N1962" t="str">
            <v>DECOR PLAST</v>
          </cell>
        </row>
        <row r="1963">
          <cell r="C1963" t="str">
            <v>170000330</v>
          </cell>
          <cell r="D1963" t="str">
            <v>DP-4010 HONEY BUNCH 1023-3.8L</v>
          </cell>
          <cell r="E1963" t="str">
            <v>ZTRD</v>
          </cell>
          <cell r="F1963" t="str">
            <v>PC</v>
          </cell>
          <cell r="G1963" t="str">
            <v>3</v>
          </cell>
          <cell r="H1963" t="str">
            <v>TRADING</v>
          </cell>
          <cell r="I1963" t="str">
            <v>38</v>
          </cell>
          <cell r="J1963" t="str">
            <v>ALKANA TRADING</v>
          </cell>
          <cell r="K1963" t="str">
            <v>3801</v>
          </cell>
          <cell r="L1963" t="str">
            <v>COATING</v>
          </cell>
          <cell r="M1963" t="str">
            <v>380101</v>
          </cell>
          <cell r="N1963" t="str">
            <v>DECOR PLAST</v>
          </cell>
        </row>
        <row r="1964">
          <cell r="C1964" t="str">
            <v>170000331</v>
          </cell>
          <cell r="D1964" t="str">
            <v>DP-4010 BONNI BELLE 0313-3.8L</v>
          </cell>
          <cell r="E1964" t="str">
            <v>ZTRD</v>
          </cell>
          <cell r="F1964" t="str">
            <v>PC</v>
          </cell>
          <cell r="G1964" t="str">
            <v>3</v>
          </cell>
          <cell r="H1964" t="str">
            <v>TRADING</v>
          </cell>
          <cell r="I1964" t="str">
            <v>38</v>
          </cell>
          <cell r="J1964" t="str">
            <v>ALKANA TRADING</v>
          </cell>
          <cell r="K1964" t="str">
            <v>3801</v>
          </cell>
          <cell r="L1964" t="str">
            <v>COATING</v>
          </cell>
          <cell r="M1964" t="str">
            <v>380101</v>
          </cell>
          <cell r="N1964" t="str">
            <v>DECOR PLAST</v>
          </cell>
        </row>
        <row r="1965">
          <cell r="C1965" t="str">
            <v>170000332</v>
          </cell>
          <cell r="D1965" t="str">
            <v>DP-4010 GREAT WHITE 0601-3.8L</v>
          </cell>
          <cell r="E1965" t="str">
            <v>ZTRD</v>
          </cell>
          <cell r="F1965" t="str">
            <v>PC</v>
          </cell>
          <cell r="G1965" t="str">
            <v>3</v>
          </cell>
          <cell r="H1965" t="str">
            <v>TRADING</v>
          </cell>
          <cell r="I1965" t="str">
            <v>38</v>
          </cell>
          <cell r="J1965" t="str">
            <v>ALKANA TRADING</v>
          </cell>
          <cell r="K1965" t="str">
            <v>3801</v>
          </cell>
          <cell r="L1965" t="str">
            <v>COATING</v>
          </cell>
          <cell r="M1965" t="str">
            <v>380101</v>
          </cell>
          <cell r="N1965" t="str">
            <v>DECOR PLAST</v>
          </cell>
        </row>
        <row r="1966">
          <cell r="C1966" t="str">
            <v>170000333</v>
          </cell>
          <cell r="D1966" t="str">
            <v>DP-4010 ARABELLE 0753-3.8L</v>
          </cell>
          <cell r="E1966" t="str">
            <v>ZTRD</v>
          </cell>
          <cell r="F1966" t="str">
            <v>PC</v>
          </cell>
          <cell r="G1966" t="str">
            <v>3</v>
          </cell>
          <cell r="H1966" t="str">
            <v>TRADING</v>
          </cell>
          <cell r="I1966" t="str">
            <v>38</v>
          </cell>
          <cell r="J1966" t="str">
            <v>ALKANA TRADING</v>
          </cell>
          <cell r="K1966" t="str">
            <v>3801</v>
          </cell>
          <cell r="L1966" t="str">
            <v>COATING</v>
          </cell>
          <cell r="M1966" t="str">
            <v>380101</v>
          </cell>
          <cell r="N1966" t="str">
            <v>DECOR PLAST</v>
          </cell>
        </row>
        <row r="1967">
          <cell r="C1967" t="str">
            <v>170000334</v>
          </cell>
          <cell r="D1967" t="str">
            <v>DP-4010 A TOUCH OF TEAL 0511-3.8L</v>
          </cell>
          <cell r="E1967" t="str">
            <v>ZTRD</v>
          </cell>
          <cell r="F1967" t="str">
            <v>PC</v>
          </cell>
          <cell r="G1967" t="str">
            <v>3</v>
          </cell>
          <cell r="H1967" t="str">
            <v>TRADING</v>
          </cell>
          <cell r="I1967" t="str">
            <v>38</v>
          </cell>
          <cell r="J1967" t="str">
            <v>ALKANA TRADING</v>
          </cell>
          <cell r="K1967" t="str">
            <v>3801</v>
          </cell>
          <cell r="L1967" t="str">
            <v>COATING</v>
          </cell>
          <cell r="M1967" t="str">
            <v>380101</v>
          </cell>
          <cell r="N1967" t="str">
            <v>DECOR PLAST</v>
          </cell>
        </row>
        <row r="1968">
          <cell r="C1968" t="str">
            <v>170000335</v>
          </cell>
          <cell r="D1968" t="str">
            <v>DP-4010 SWEET SPRING 0042-3.8L</v>
          </cell>
          <cell r="E1968" t="str">
            <v>ZTRD</v>
          </cell>
          <cell r="F1968" t="str">
            <v>PC</v>
          </cell>
          <cell r="G1968" t="str">
            <v>3</v>
          </cell>
          <cell r="H1968" t="str">
            <v>TRADING</v>
          </cell>
          <cell r="I1968" t="str">
            <v>38</v>
          </cell>
          <cell r="J1968" t="str">
            <v>ALKANA TRADING</v>
          </cell>
          <cell r="K1968" t="str">
            <v>3801</v>
          </cell>
          <cell r="L1968" t="str">
            <v>COATING</v>
          </cell>
          <cell r="M1968" t="str">
            <v>380101</v>
          </cell>
          <cell r="N1968" t="str">
            <v>DECOR PLAST</v>
          </cell>
        </row>
        <row r="1969">
          <cell r="C1969" t="str">
            <v>170000336</v>
          </cell>
          <cell r="D1969" t="str">
            <v>CERAKOTE 998 PALE GREY-3KS</v>
          </cell>
          <cell r="E1969" t="str">
            <v>ZTRD</v>
          </cell>
          <cell r="F1969" t="str">
            <v>SET</v>
          </cell>
          <cell r="G1969" t="str">
            <v>Y</v>
          </cell>
          <cell r="H1969" t="str">
            <v>TRD PROJECT</v>
          </cell>
          <cell r="I1969" t="str">
            <v>Y6</v>
          </cell>
          <cell r="J1969" t="str">
            <v>CPC1</v>
          </cell>
          <cell r="K1969" t="str">
            <v>Y604</v>
          </cell>
          <cell r="L1969" t="str">
            <v>CERAKOTE</v>
          </cell>
          <cell r="M1969" t="str">
            <v>Y60401</v>
          </cell>
          <cell r="N1969" t="str">
            <v>CERAKOTE</v>
          </cell>
        </row>
        <row r="1970">
          <cell r="C1970" t="str">
            <v>170000337</v>
          </cell>
          <cell r="D1970" t="str">
            <v>CERAKOTE 998 SKY BLUE-3KS</v>
          </cell>
          <cell r="E1970" t="str">
            <v>ZTRD</v>
          </cell>
          <cell r="F1970" t="str">
            <v>SET</v>
          </cell>
          <cell r="G1970" t="str">
            <v>Y</v>
          </cell>
          <cell r="H1970" t="str">
            <v>TRD PROJECT</v>
          </cell>
          <cell r="I1970" t="str">
            <v>Y6</v>
          </cell>
          <cell r="J1970" t="str">
            <v>CPC1</v>
          </cell>
          <cell r="K1970" t="str">
            <v>Y604</v>
          </cell>
          <cell r="L1970" t="str">
            <v>CERAKOTE</v>
          </cell>
          <cell r="M1970" t="str">
            <v>Y60401</v>
          </cell>
          <cell r="N1970" t="str">
            <v>CERAKOTE</v>
          </cell>
        </row>
        <row r="1971">
          <cell r="C1971" t="str">
            <v>170000338</v>
          </cell>
          <cell r="D1971" t="str">
            <v>CERAKOTE 998 SEA GREEN-3KS</v>
          </cell>
          <cell r="E1971" t="str">
            <v>ZTRD</v>
          </cell>
          <cell r="F1971" t="str">
            <v>SET</v>
          </cell>
          <cell r="G1971" t="str">
            <v>Y</v>
          </cell>
          <cell r="H1971" t="str">
            <v>TRD PROJECT</v>
          </cell>
          <cell r="I1971" t="str">
            <v>Y6</v>
          </cell>
          <cell r="J1971" t="str">
            <v>CPC1</v>
          </cell>
          <cell r="K1971" t="str">
            <v>Y604</v>
          </cell>
          <cell r="L1971" t="str">
            <v>CERAKOTE</v>
          </cell>
          <cell r="M1971" t="str">
            <v>Y60401</v>
          </cell>
          <cell r="N1971" t="str">
            <v>CERAKOTE</v>
          </cell>
        </row>
        <row r="1972">
          <cell r="C1972" t="str">
            <v>170000339</v>
          </cell>
          <cell r="D1972" t="str">
            <v>CERAKOTE 998 BLACK-3KS</v>
          </cell>
          <cell r="E1972" t="str">
            <v>ZTRD</v>
          </cell>
          <cell r="F1972" t="str">
            <v>SET</v>
          </cell>
          <cell r="G1972" t="str">
            <v>Y</v>
          </cell>
          <cell r="H1972" t="str">
            <v>TRD PROJECT</v>
          </cell>
          <cell r="I1972" t="str">
            <v>Y6</v>
          </cell>
          <cell r="J1972" t="str">
            <v>CPC1</v>
          </cell>
          <cell r="K1972" t="str">
            <v>Y604</v>
          </cell>
          <cell r="L1972" t="str">
            <v>CERAKOTE</v>
          </cell>
          <cell r="M1972" t="str">
            <v>Y60401</v>
          </cell>
          <cell r="N1972" t="str">
            <v>CERAKOTE</v>
          </cell>
        </row>
        <row r="1973">
          <cell r="C1973" t="str">
            <v>170000340</v>
          </cell>
          <cell r="D1973" t="str">
            <v>PFT-613 MF GREEN RAL 6010-29.2KSP</v>
          </cell>
          <cell r="E1973" t="str">
            <v>ZTRD</v>
          </cell>
          <cell r="F1973" t="str">
            <v>SET</v>
          </cell>
          <cell r="G1973" t="str">
            <v>Y</v>
          </cell>
          <cell r="H1973" t="str">
            <v>TRD PROJECT</v>
          </cell>
          <cell r="I1973" t="str">
            <v>Y6</v>
          </cell>
          <cell r="J1973" t="str">
            <v>CPC1</v>
          </cell>
          <cell r="K1973" t="str">
            <v>Y602</v>
          </cell>
          <cell r="L1973" t="str">
            <v>POLYFLOOR</v>
          </cell>
          <cell r="M1973" t="str">
            <v>Y60203</v>
          </cell>
          <cell r="N1973" t="str">
            <v>POLYFLOOR PU</v>
          </cell>
        </row>
        <row r="1974">
          <cell r="C1974" t="str">
            <v>170000341</v>
          </cell>
          <cell r="D1974" t="str">
            <v>TNK-1000 WA LIGHT GREY-5K</v>
          </cell>
          <cell r="E1974" t="str">
            <v>ZTRD</v>
          </cell>
          <cell r="F1974" t="str">
            <v>PC</v>
          </cell>
          <cell r="G1974" t="str">
            <v>X</v>
          </cell>
          <cell r="H1974" t="str">
            <v>TRD RETAIL</v>
          </cell>
          <cell r="I1974" t="str">
            <v>X7</v>
          </cell>
          <cell r="J1974" t="str">
            <v>CPC1</v>
          </cell>
          <cell r="K1974" t="str">
            <v>X701</v>
          </cell>
          <cell r="L1974" t="str">
            <v>TENNOKOTE</v>
          </cell>
          <cell r="M1974" t="str">
            <v>X70101</v>
          </cell>
          <cell r="N1974" t="str">
            <v>TENNOKOTE</v>
          </cell>
        </row>
        <row r="1975">
          <cell r="C1975" t="str">
            <v>170000342</v>
          </cell>
          <cell r="D1975" t="str">
            <v>SYNTHETIC 3000 RX CANARY YELLOW-1208-0.8</v>
          </cell>
          <cell r="E1975" t="str">
            <v>ZTRD</v>
          </cell>
          <cell r="F1975" t="str">
            <v>PC</v>
          </cell>
          <cell r="G1975" t="str">
            <v>X</v>
          </cell>
          <cell r="H1975" t="str">
            <v>TRD RETAIL</v>
          </cell>
          <cell r="I1975" t="str">
            <v>X9</v>
          </cell>
          <cell r="J1975" t="str">
            <v>MPC</v>
          </cell>
          <cell r="K1975" t="str">
            <v>X902</v>
          </cell>
          <cell r="L1975" t="str">
            <v>SYNTHETIC ENAMEL SB</v>
          </cell>
          <cell r="M1975" t="str">
            <v>X90203</v>
          </cell>
          <cell r="N1975" t="str">
            <v>SYNTHETIC 3000</v>
          </cell>
        </row>
        <row r="1976">
          <cell r="C1976" t="str">
            <v>170000343</v>
          </cell>
          <cell r="D1976" t="str">
            <v>SYNTHETIC 3000 RX CANARY YELLOW-1208-5L</v>
          </cell>
          <cell r="E1976" t="str">
            <v>ZTRD</v>
          </cell>
          <cell r="F1976" t="str">
            <v>PC</v>
          </cell>
          <cell r="G1976" t="str">
            <v>X</v>
          </cell>
          <cell r="H1976" t="str">
            <v>TRD RETAIL</v>
          </cell>
          <cell r="I1976" t="str">
            <v>X9</v>
          </cell>
          <cell r="J1976" t="str">
            <v>MPC</v>
          </cell>
          <cell r="K1976" t="str">
            <v>X902</v>
          </cell>
          <cell r="L1976" t="str">
            <v>SYNTHETIC ENAMEL SB</v>
          </cell>
          <cell r="M1976" t="str">
            <v>X90203</v>
          </cell>
          <cell r="N1976" t="str">
            <v>SYNTHETIC 3000</v>
          </cell>
        </row>
        <row r="1977">
          <cell r="C1977" t="str">
            <v>170000344</v>
          </cell>
          <cell r="D1977" t="str">
            <v>SYNTHETIC 3000 RX RIVER BLUE-5413-0.8L</v>
          </cell>
          <cell r="E1977" t="str">
            <v>ZTRD</v>
          </cell>
          <cell r="F1977" t="str">
            <v>PC</v>
          </cell>
          <cell r="G1977" t="str">
            <v>X</v>
          </cell>
          <cell r="H1977" t="str">
            <v>TRD RETAIL</v>
          </cell>
          <cell r="I1977" t="str">
            <v>X9</v>
          </cell>
          <cell r="J1977" t="str">
            <v>MPC</v>
          </cell>
          <cell r="K1977" t="str">
            <v>X902</v>
          </cell>
          <cell r="L1977" t="str">
            <v>SYNTHETIC ENAMEL SB</v>
          </cell>
          <cell r="M1977" t="str">
            <v>X90203</v>
          </cell>
          <cell r="N1977" t="str">
            <v>SYNTHETIC 3000</v>
          </cell>
        </row>
        <row r="1978">
          <cell r="C1978" t="str">
            <v>170000345</v>
          </cell>
          <cell r="D1978" t="str">
            <v>SYNTHETIC 3000 RX RIVER BLUE-5413-5L</v>
          </cell>
          <cell r="E1978" t="str">
            <v>ZTRD</v>
          </cell>
          <cell r="F1978" t="str">
            <v>PC</v>
          </cell>
          <cell r="G1978" t="str">
            <v>X</v>
          </cell>
          <cell r="H1978" t="str">
            <v>TRD RETAIL</v>
          </cell>
          <cell r="I1978" t="str">
            <v>X9</v>
          </cell>
          <cell r="J1978" t="str">
            <v>MPC</v>
          </cell>
          <cell r="K1978" t="str">
            <v>X902</v>
          </cell>
          <cell r="L1978" t="str">
            <v>SYNTHETIC ENAMEL SB</v>
          </cell>
          <cell r="M1978" t="str">
            <v>X90203</v>
          </cell>
          <cell r="N1978" t="str">
            <v>SYNTHETIC 3000</v>
          </cell>
        </row>
        <row r="1979">
          <cell r="C1979" t="str">
            <v>170000346</v>
          </cell>
          <cell r="D1979" t="str">
            <v>SYNTHETIC 3000 RX GEORGIAN GREEN-7113-0.</v>
          </cell>
          <cell r="E1979" t="str">
            <v>ZTRD</v>
          </cell>
          <cell r="F1979" t="str">
            <v>PC</v>
          </cell>
          <cell r="G1979" t="str">
            <v>X</v>
          </cell>
          <cell r="H1979" t="str">
            <v>TRD RETAIL</v>
          </cell>
          <cell r="I1979" t="str">
            <v>X9</v>
          </cell>
          <cell r="J1979" t="str">
            <v>MPC</v>
          </cell>
          <cell r="K1979" t="str">
            <v>X902</v>
          </cell>
          <cell r="L1979" t="str">
            <v>SYNTHETIC ENAMEL SB</v>
          </cell>
          <cell r="M1979" t="str">
            <v>X90203</v>
          </cell>
          <cell r="N1979" t="str">
            <v>SYNTHETIC 3000</v>
          </cell>
        </row>
        <row r="1980">
          <cell r="C1980" t="str">
            <v>170000347</v>
          </cell>
          <cell r="D1980" t="str">
            <v>SYNTHETIC 3000 RX GEORGIAN GREEN-7113-5L</v>
          </cell>
          <cell r="E1980" t="str">
            <v>ZTRD</v>
          </cell>
          <cell r="F1980" t="str">
            <v>PC</v>
          </cell>
          <cell r="G1980" t="str">
            <v>X</v>
          </cell>
          <cell r="H1980" t="str">
            <v>TRD RETAIL</v>
          </cell>
          <cell r="I1980" t="str">
            <v>X9</v>
          </cell>
          <cell r="J1980" t="str">
            <v>MPC</v>
          </cell>
          <cell r="K1980" t="str">
            <v>X902</v>
          </cell>
          <cell r="L1980" t="str">
            <v>SYNTHETIC ENAMEL SB</v>
          </cell>
          <cell r="M1980" t="str">
            <v>X90203</v>
          </cell>
          <cell r="N1980" t="str">
            <v>SYNTHETIC 3000</v>
          </cell>
        </row>
        <row r="1981">
          <cell r="C1981" t="str">
            <v>170000348</v>
          </cell>
          <cell r="D1981" t="str">
            <v>SYNTHETIC 3000 RX ASH GREY-8106-0.8L</v>
          </cell>
          <cell r="E1981" t="str">
            <v>ZTRD</v>
          </cell>
          <cell r="F1981" t="str">
            <v>PC</v>
          </cell>
          <cell r="G1981" t="str">
            <v>X</v>
          </cell>
          <cell r="H1981" t="str">
            <v>TRD RETAIL</v>
          </cell>
          <cell r="I1981" t="str">
            <v>X9</v>
          </cell>
          <cell r="J1981" t="str">
            <v>MPC</v>
          </cell>
          <cell r="K1981" t="str">
            <v>X902</v>
          </cell>
          <cell r="L1981" t="str">
            <v>SYNTHETIC ENAMEL SB</v>
          </cell>
          <cell r="M1981" t="str">
            <v>X90203</v>
          </cell>
          <cell r="N1981" t="str">
            <v>SYNTHETIC 3000</v>
          </cell>
        </row>
        <row r="1982">
          <cell r="C1982" t="str">
            <v>170000349</v>
          </cell>
          <cell r="D1982" t="str">
            <v>SYNTHETIC 3000 RX ASH GREY-8106-5L</v>
          </cell>
          <cell r="E1982" t="str">
            <v>ZTRD</v>
          </cell>
          <cell r="F1982" t="str">
            <v>PC</v>
          </cell>
          <cell r="G1982" t="str">
            <v>X</v>
          </cell>
          <cell r="H1982" t="str">
            <v>TRD RETAIL</v>
          </cell>
          <cell r="I1982" t="str">
            <v>X9</v>
          </cell>
          <cell r="J1982" t="str">
            <v>MPC</v>
          </cell>
          <cell r="K1982" t="str">
            <v>X902</v>
          </cell>
          <cell r="L1982" t="str">
            <v>SYNTHETIC ENAMEL SB</v>
          </cell>
          <cell r="M1982" t="str">
            <v>X90203</v>
          </cell>
          <cell r="N1982" t="str">
            <v>SYNTHETIC 3000</v>
          </cell>
        </row>
        <row r="1983">
          <cell r="C1983" t="str">
            <v>170000350</v>
          </cell>
          <cell r="D1983" t="str">
            <v>SYNTHETIC 3000 RX LIGHT BLUE-5416-0.8L</v>
          </cell>
          <cell r="E1983" t="str">
            <v>ZTRD</v>
          </cell>
          <cell r="F1983" t="str">
            <v>PC</v>
          </cell>
          <cell r="G1983" t="str">
            <v>X</v>
          </cell>
          <cell r="H1983" t="str">
            <v>TRD RETAIL</v>
          </cell>
          <cell r="I1983" t="str">
            <v>X9</v>
          </cell>
          <cell r="J1983" t="str">
            <v>MPC</v>
          </cell>
          <cell r="K1983" t="str">
            <v>X902</v>
          </cell>
          <cell r="L1983" t="str">
            <v>SYNTHETIC ENAMEL SB</v>
          </cell>
          <cell r="M1983" t="str">
            <v>X90203</v>
          </cell>
          <cell r="N1983" t="str">
            <v>SYNTHETIC 3000</v>
          </cell>
        </row>
        <row r="1984">
          <cell r="C1984" t="str">
            <v>170000351</v>
          </cell>
          <cell r="D1984" t="str">
            <v>SYNTHETIC 3000 RX LIGHT BLUE-5416-5L</v>
          </cell>
          <cell r="E1984" t="str">
            <v>ZTRD</v>
          </cell>
          <cell r="F1984" t="str">
            <v>PC</v>
          </cell>
          <cell r="G1984" t="str">
            <v>X</v>
          </cell>
          <cell r="H1984" t="str">
            <v>TRD RETAIL</v>
          </cell>
          <cell r="I1984" t="str">
            <v>X9</v>
          </cell>
          <cell r="J1984" t="str">
            <v>MPC</v>
          </cell>
          <cell r="K1984" t="str">
            <v>X902</v>
          </cell>
          <cell r="L1984" t="str">
            <v>SYNTHETIC ENAMEL SB</v>
          </cell>
          <cell r="M1984" t="str">
            <v>X90203</v>
          </cell>
          <cell r="N1984" t="str">
            <v>SYNTHETIC 3000</v>
          </cell>
        </row>
        <row r="1985">
          <cell r="C1985" t="str">
            <v>170000352</v>
          </cell>
          <cell r="D1985" t="str">
            <v>SYNTHETIC 3000 RX GENTIAN BLUE-5409-0.8L</v>
          </cell>
          <cell r="E1985" t="str">
            <v>ZTRD</v>
          </cell>
          <cell r="F1985" t="str">
            <v>PC</v>
          </cell>
          <cell r="G1985" t="str">
            <v>X</v>
          </cell>
          <cell r="H1985" t="str">
            <v>TRD RETAIL</v>
          </cell>
          <cell r="I1985" t="str">
            <v>X9</v>
          </cell>
          <cell r="J1985" t="str">
            <v>MPC</v>
          </cell>
          <cell r="K1985" t="str">
            <v>X902</v>
          </cell>
          <cell r="L1985" t="str">
            <v>SYNTHETIC ENAMEL SB</v>
          </cell>
          <cell r="M1985" t="str">
            <v>X90203</v>
          </cell>
          <cell r="N1985" t="str">
            <v>SYNTHETIC 3000</v>
          </cell>
        </row>
        <row r="1986">
          <cell r="C1986" t="str">
            <v>170000353</v>
          </cell>
          <cell r="D1986" t="str">
            <v>SYNTHETIC 3000 RX GENTIAN BLUE-5409-5L</v>
          </cell>
          <cell r="E1986" t="str">
            <v>ZTRD</v>
          </cell>
          <cell r="F1986" t="str">
            <v>PC</v>
          </cell>
          <cell r="G1986" t="str">
            <v>X</v>
          </cell>
          <cell r="H1986" t="str">
            <v>TRD RETAIL</v>
          </cell>
          <cell r="I1986" t="str">
            <v>X9</v>
          </cell>
          <cell r="J1986" t="str">
            <v>MPC</v>
          </cell>
          <cell r="K1986" t="str">
            <v>X902</v>
          </cell>
          <cell r="L1986" t="str">
            <v>SYNTHETIC ENAMEL SB</v>
          </cell>
          <cell r="M1986" t="str">
            <v>X90203</v>
          </cell>
          <cell r="N1986" t="str">
            <v>SYNTHETIC 3000</v>
          </cell>
        </row>
        <row r="1987">
          <cell r="C1987" t="str">
            <v>170000354</v>
          </cell>
          <cell r="D1987" t="str">
            <v>SYNTHETIC 3000 RX BEIGE-1129-0.8L</v>
          </cell>
          <cell r="E1987" t="str">
            <v>ZTRD</v>
          </cell>
          <cell r="F1987" t="str">
            <v>PC</v>
          </cell>
          <cell r="G1987" t="str">
            <v>X</v>
          </cell>
          <cell r="H1987" t="str">
            <v>TRD RETAIL</v>
          </cell>
          <cell r="I1987" t="str">
            <v>X9</v>
          </cell>
          <cell r="J1987" t="str">
            <v>MPC</v>
          </cell>
          <cell r="K1987" t="str">
            <v>X902</v>
          </cell>
          <cell r="L1987" t="str">
            <v>SYNTHETIC ENAMEL SB</v>
          </cell>
          <cell r="M1987" t="str">
            <v>X90203</v>
          </cell>
          <cell r="N1987" t="str">
            <v>SYNTHETIC 3000</v>
          </cell>
        </row>
        <row r="1988">
          <cell r="C1988" t="str">
            <v>170000355</v>
          </cell>
          <cell r="D1988" t="str">
            <v>SYNTHETIC 3000 RX BEIGE-1129-5L</v>
          </cell>
          <cell r="E1988" t="str">
            <v>ZTRD</v>
          </cell>
          <cell r="F1988" t="str">
            <v>PC</v>
          </cell>
          <cell r="G1988" t="str">
            <v>X</v>
          </cell>
          <cell r="H1988" t="str">
            <v>TRD RETAIL</v>
          </cell>
          <cell r="I1988" t="str">
            <v>X9</v>
          </cell>
          <cell r="J1988" t="str">
            <v>MPC</v>
          </cell>
          <cell r="K1988" t="str">
            <v>X902</v>
          </cell>
          <cell r="L1988" t="str">
            <v>SYNTHETIC ENAMEL SB</v>
          </cell>
          <cell r="M1988" t="str">
            <v>X90203</v>
          </cell>
          <cell r="N1988" t="str">
            <v>SYNTHETIC 3000</v>
          </cell>
        </row>
        <row r="1989">
          <cell r="C1989" t="str">
            <v>170000356</v>
          </cell>
          <cell r="D1989" t="str">
            <v>SYNTHETIC 3000 RX LIGHT TAN-1403-0.8L</v>
          </cell>
          <cell r="E1989" t="str">
            <v>ZTRD</v>
          </cell>
          <cell r="F1989" t="str">
            <v>PC</v>
          </cell>
          <cell r="G1989" t="str">
            <v>X</v>
          </cell>
          <cell r="H1989" t="str">
            <v>TRD RETAIL</v>
          </cell>
          <cell r="I1989" t="str">
            <v>X9</v>
          </cell>
          <cell r="J1989" t="str">
            <v>MPC</v>
          </cell>
          <cell r="K1989" t="str">
            <v>X902</v>
          </cell>
          <cell r="L1989" t="str">
            <v>SYNTHETIC ENAMEL SB</v>
          </cell>
          <cell r="M1989" t="str">
            <v>X90203</v>
          </cell>
          <cell r="N1989" t="str">
            <v>SYNTHETIC 3000</v>
          </cell>
        </row>
        <row r="1990">
          <cell r="C1990" t="str">
            <v>170000357</v>
          </cell>
          <cell r="D1990" t="str">
            <v>SYNTHETIC 3000 RX KIWI-1401-0.8L</v>
          </cell>
          <cell r="E1990" t="str">
            <v>ZTRD</v>
          </cell>
          <cell r="F1990" t="str">
            <v>PC</v>
          </cell>
          <cell r="G1990" t="str">
            <v>X</v>
          </cell>
          <cell r="H1990" t="str">
            <v>TRD RETAIL</v>
          </cell>
          <cell r="I1990" t="str">
            <v>X9</v>
          </cell>
          <cell r="J1990" t="str">
            <v>MPC</v>
          </cell>
          <cell r="K1990" t="str">
            <v>X902</v>
          </cell>
          <cell r="L1990" t="str">
            <v>SYNTHETIC ENAMEL SB</v>
          </cell>
          <cell r="M1990" t="str">
            <v>X90203</v>
          </cell>
          <cell r="N1990" t="str">
            <v>SYNTHETIC 3000</v>
          </cell>
        </row>
        <row r="1991">
          <cell r="C1991" t="str">
            <v>170000358</v>
          </cell>
          <cell r="D1991" t="str">
            <v>SYNTHETIC 3000 RX KIWI-1401-5L</v>
          </cell>
          <cell r="E1991" t="str">
            <v>ZTRD</v>
          </cell>
          <cell r="F1991" t="str">
            <v>PC</v>
          </cell>
          <cell r="G1991" t="str">
            <v>X</v>
          </cell>
          <cell r="H1991" t="str">
            <v>TRD RETAIL</v>
          </cell>
          <cell r="I1991" t="str">
            <v>X9</v>
          </cell>
          <cell r="J1991" t="str">
            <v>MPC</v>
          </cell>
          <cell r="K1991" t="str">
            <v>X902</v>
          </cell>
          <cell r="L1991" t="str">
            <v>SYNTHETIC ENAMEL SB</v>
          </cell>
          <cell r="M1991" t="str">
            <v>X90203</v>
          </cell>
          <cell r="N1991" t="str">
            <v>SYNTHETIC 3000</v>
          </cell>
        </row>
        <row r="1992">
          <cell r="C1992" t="str">
            <v>170000359</v>
          </cell>
          <cell r="D1992" t="str">
            <v>SYNTHETIC 3000 RX PAPAYA-2305-0.8L</v>
          </cell>
          <cell r="E1992" t="str">
            <v>ZTRD</v>
          </cell>
          <cell r="F1992" t="str">
            <v>PC</v>
          </cell>
          <cell r="G1992" t="str">
            <v>X</v>
          </cell>
          <cell r="H1992" t="str">
            <v>TRD RETAIL</v>
          </cell>
          <cell r="I1992" t="str">
            <v>X9</v>
          </cell>
          <cell r="J1992" t="str">
            <v>MPC</v>
          </cell>
          <cell r="K1992" t="str">
            <v>X902</v>
          </cell>
          <cell r="L1992" t="str">
            <v>SYNTHETIC ENAMEL SB</v>
          </cell>
          <cell r="M1992" t="str">
            <v>X90203</v>
          </cell>
          <cell r="N1992" t="str">
            <v>SYNTHETIC 3000</v>
          </cell>
        </row>
        <row r="1993">
          <cell r="C1993" t="str">
            <v>170000360</v>
          </cell>
          <cell r="D1993" t="str">
            <v>SYNTHETIC 3000 RX PAPAYA-2305-5L</v>
          </cell>
          <cell r="E1993" t="str">
            <v>ZTRD</v>
          </cell>
          <cell r="F1993" t="str">
            <v>PC</v>
          </cell>
          <cell r="G1993" t="str">
            <v>X</v>
          </cell>
          <cell r="H1993" t="str">
            <v>TRD RETAIL</v>
          </cell>
          <cell r="I1993" t="str">
            <v>X9</v>
          </cell>
          <cell r="J1993" t="str">
            <v>MPC</v>
          </cell>
          <cell r="K1993" t="str">
            <v>X902</v>
          </cell>
          <cell r="L1993" t="str">
            <v>SYNTHETIC ENAMEL SB</v>
          </cell>
          <cell r="M1993" t="str">
            <v>X90203</v>
          </cell>
          <cell r="N1993" t="str">
            <v>SYNTHETIC 3000</v>
          </cell>
        </row>
        <row r="1994">
          <cell r="C1994" t="str">
            <v>170000361</v>
          </cell>
          <cell r="D1994" t="str">
            <v>SYNTHETIC 3000 RX LEMON YELLOW-1205-0.8L</v>
          </cell>
          <cell r="E1994" t="str">
            <v>ZTRD</v>
          </cell>
          <cell r="F1994" t="str">
            <v>PC</v>
          </cell>
          <cell r="G1994" t="str">
            <v>X</v>
          </cell>
          <cell r="H1994" t="str">
            <v>TRD RETAIL</v>
          </cell>
          <cell r="I1994" t="str">
            <v>X9</v>
          </cell>
          <cell r="J1994" t="str">
            <v>MPC</v>
          </cell>
          <cell r="K1994" t="str">
            <v>X902</v>
          </cell>
          <cell r="L1994" t="str">
            <v>SYNTHETIC ENAMEL SB</v>
          </cell>
          <cell r="M1994" t="str">
            <v>X90203</v>
          </cell>
          <cell r="N1994" t="str">
            <v>SYNTHETIC 3000</v>
          </cell>
        </row>
        <row r="1995">
          <cell r="C1995" t="str">
            <v>170000362</v>
          </cell>
          <cell r="D1995" t="str">
            <v>SYNTHETIC 3000 RX LEMON YELLOW-1205-5L</v>
          </cell>
          <cell r="E1995" t="str">
            <v>ZTRD</v>
          </cell>
          <cell r="F1995" t="str">
            <v>PC</v>
          </cell>
          <cell r="G1995" t="str">
            <v>X</v>
          </cell>
          <cell r="H1995" t="str">
            <v>TRD RETAIL</v>
          </cell>
          <cell r="I1995" t="str">
            <v>X9</v>
          </cell>
          <cell r="J1995" t="str">
            <v>MPC</v>
          </cell>
          <cell r="K1995" t="str">
            <v>X902</v>
          </cell>
          <cell r="L1995" t="str">
            <v>SYNTHETIC ENAMEL SB</v>
          </cell>
          <cell r="M1995" t="str">
            <v>X90203</v>
          </cell>
          <cell r="N1995" t="str">
            <v>SYNTHETIC 3000</v>
          </cell>
        </row>
        <row r="1996">
          <cell r="C1996" t="str">
            <v>170000363</v>
          </cell>
          <cell r="D1996" t="str">
            <v>SYNTHETIC 3000 RX ANTIQUE BROWN-2403-0.8</v>
          </cell>
          <cell r="E1996" t="str">
            <v>ZTRD</v>
          </cell>
          <cell r="F1996" t="str">
            <v>PC</v>
          </cell>
          <cell r="G1996" t="str">
            <v>X</v>
          </cell>
          <cell r="H1996" t="str">
            <v>TRD RETAIL</v>
          </cell>
          <cell r="I1996" t="str">
            <v>X9</v>
          </cell>
          <cell r="J1996" t="str">
            <v>MPC</v>
          </cell>
          <cell r="K1996" t="str">
            <v>X902</v>
          </cell>
          <cell r="L1996" t="str">
            <v>SYNTHETIC ENAMEL SB</v>
          </cell>
          <cell r="M1996" t="str">
            <v>X90203</v>
          </cell>
          <cell r="N1996" t="str">
            <v>SYNTHETIC 3000</v>
          </cell>
        </row>
        <row r="1997">
          <cell r="C1997" t="str">
            <v>170000364</v>
          </cell>
          <cell r="D1997" t="str">
            <v>SYNTHETIC 3000 RX MIDDLE GREY-9404-0.8L</v>
          </cell>
          <cell r="E1997" t="str">
            <v>ZTRD</v>
          </cell>
          <cell r="F1997" t="str">
            <v>PC</v>
          </cell>
          <cell r="G1997" t="str">
            <v>X</v>
          </cell>
          <cell r="H1997" t="str">
            <v>TRD RETAIL</v>
          </cell>
          <cell r="I1997" t="str">
            <v>X9</v>
          </cell>
          <cell r="J1997" t="str">
            <v>MPC</v>
          </cell>
          <cell r="K1997" t="str">
            <v>X902</v>
          </cell>
          <cell r="L1997" t="str">
            <v>SYNTHETIC ENAMEL SB</v>
          </cell>
          <cell r="M1997" t="str">
            <v>X90203</v>
          </cell>
          <cell r="N1997" t="str">
            <v>SYNTHETIC 3000</v>
          </cell>
        </row>
        <row r="1998">
          <cell r="C1998" t="str">
            <v>170000365</v>
          </cell>
          <cell r="D1998" t="str">
            <v>SYNTHETIC 3000 RX MIDDLE GREY-9404-5L</v>
          </cell>
          <cell r="E1998" t="str">
            <v>ZTRD</v>
          </cell>
          <cell r="F1998" t="str">
            <v>PC</v>
          </cell>
          <cell r="G1998" t="str">
            <v>X</v>
          </cell>
          <cell r="H1998" t="str">
            <v>TRD RETAIL</v>
          </cell>
          <cell r="I1998" t="str">
            <v>X9</v>
          </cell>
          <cell r="J1998" t="str">
            <v>MPC</v>
          </cell>
          <cell r="K1998" t="str">
            <v>X902</v>
          </cell>
          <cell r="L1998" t="str">
            <v>SYNTHETIC ENAMEL SB</v>
          </cell>
          <cell r="M1998" t="str">
            <v>X90203</v>
          </cell>
          <cell r="N1998" t="str">
            <v>SYNTHETIC 3000</v>
          </cell>
        </row>
        <row r="1999">
          <cell r="C1999" t="str">
            <v>170000366</v>
          </cell>
          <cell r="D1999" t="str">
            <v>SYNTHETIC 3000 RX SIENNA BROWN-2409-0.8L</v>
          </cell>
          <cell r="E1999" t="str">
            <v>ZTRD</v>
          </cell>
          <cell r="F1999" t="str">
            <v>PC</v>
          </cell>
          <cell r="G1999" t="str">
            <v>X</v>
          </cell>
          <cell r="H1999" t="str">
            <v>TRD RETAIL</v>
          </cell>
          <cell r="I1999" t="str">
            <v>X9</v>
          </cell>
          <cell r="J1999" t="str">
            <v>MPC</v>
          </cell>
          <cell r="K1999" t="str">
            <v>X902</v>
          </cell>
          <cell r="L1999" t="str">
            <v>SYNTHETIC ENAMEL SB</v>
          </cell>
          <cell r="M1999" t="str">
            <v>X90203</v>
          </cell>
          <cell r="N1999" t="str">
            <v>SYNTHETIC 3000</v>
          </cell>
        </row>
        <row r="2000">
          <cell r="C2000" t="str">
            <v>170000367</v>
          </cell>
          <cell r="D2000" t="str">
            <v>SYNTHETIC 3000 RX SIENNA BROWN-2409-5L</v>
          </cell>
          <cell r="E2000" t="str">
            <v>ZTRD</v>
          </cell>
          <cell r="F2000" t="str">
            <v>PC</v>
          </cell>
          <cell r="G2000" t="str">
            <v>X</v>
          </cell>
          <cell r="H2000" t="str">
            <v>TRD RETAIL</v>
          </cell>
          <cell r="I2000" t="str">
            <v>X9</v>
          </cell>
          <cell r="J2000" t="str">
            <v>MPC</v>
          </cell>
          <cell r="K2000" t="str">
            <v>X902</v>
          </cell>
          <cell r="L2000" t="str">
            <v>SYNTHETIC ENAMEL SB</v>
          </cell>
          <cell r="M2000" t="str">
            <v>X90203</v>
          </cell>
          <cell r="N2000" t="str">
            <v>SYNTHETIC 3000</v>
          </cell>
        </row>
        <row r="2001">
          <cell r="C2001" t="str">
            <v>170000368</v>
          </cell>
          <cell r="D2001" t="str">
            <v>SYNTHETIC 3000 RX PLATINUM GREY-6405-0.8</v>
          </cell>
          <cell r="E2001" t="str">
            <v>ZTRD</v>
          </cell>
          <cell r="F2001" t="str">
            <v>PC</v>
          </cell>
          <cell r="G2001" t="str">
            <v>X</v>
          </cell>
          <cell r="H2001" t="str">
            <v>TRD RETAIL</v>
          </cell>
          <cell r="I2001" t="str">
            <v>X9</v>
          </cell>
          <cell r="J2001" t="str">
            <v>MPC</v>
          </cell>
          <cell r="K2001" t="str">
            <v>X902</v>
          </cell>
          <cell r="L2001" t="str">
            <v>SYNTHETIC ENAMEL SB</v>
          </cell>
          <cell r="M2001" t="str">
            <v>X90203</v>
          </cell>
          <cell r="N2001" t="str">
            <v>SYNTHETIC 3000</v>
          </cell>
        </row>
        <row r="2002">
          <cell r="C2002" t="str">
            <v>170000369</v>
          </cell>
          <cell r="D2002" t="str">
            <v>SYNTHETIC 3000 RX PLATINUM GREY-6405-5L</v>
          </cell>
          <cell r="E2002" t="str">
            <v>ZTRD</v>
          </cell>
          <cell r="F2002" t="str">
            <v>PC</v>
          </cell>
          <cell r="G2002" t="str">
            <v>X</v>
          </cell>
          <cell r="H2002" t="str">
            <v>TRD RETAIL</v>
          </cell>
          <cell r="I2002" t="str">
            <v>X9</v>
          </cell>
          <cell r="J2002" t="str">
            <v>MPC</v>
          </cell>
          <cell r="K2002" t="str">
            <v>X902</v>
          </cell>
          <cell r="L2002" t="str">
            <v>SYNTHETIC ENAMEL SB</v>
          </cell>
          <cell r="M2002" t="str">
            <v>X90203</v>
          </cell>
          <cell r="N2002" t="str">
            <v>SYNTHETIC 3000</v>
          </cell>
        </row>
        <row r="2003">
          <cell r="C2003" t="str">
            <v>170000370</v>
          </cell>
          <cell r="D2003" t="str">
            <v>SYNTHETIC 3000 RX VERMILLON RED-3308-0.8</v>
          </cell>
          <cell r="E2003" t="str">
            <v>ZTRD</v>
          </cell>
          <cell r="F2003" t="str">
            <v>PC</v>
          </cell>
          <cell r="G2003" t="str">
            <v>X</v>
          </cell>
          <cell r="H2003" t="str">
            <v>TRD RETAIL</v>
          </cell>
          <cell r="I2003" t="str">
            <v>X9</v>
          </cell>
          <cell r="J2003" t="str">
            <v>MPC</v>
          </cell>
          <cell r="K2003" t="str">
            <v>X902</v>
          </cell>
          <cell r="L2003" t="str">
            <v>SYNTHETIC ENAMEL SB</v>
          </cell>
          <cell r="M2003" t="str">
            <v>X90203</v>
          </cell>
          <cell r="N2003" t="str">
            <v>SYNTHETIC 3000</v>
          </cell>
        </row>
        <row r="2004">
          <cell r="C2004" t="str">
            <v>170000371</v>
          </cell>
          <cell r="D2004" t="str">
            <v>SYNTHETIC 3000 RX VERMILLON RED-3308-5L</v>
          </cell>
          <cell r="E2004" t="str">
            <v>ZTRD</v>
          </cell>
          <cell r="F2004" t="str">
            <v>PC</v>
          </cell>
          <cell r="G2004" t="str">
            <v>X</v>
          </cell>
          <cell r="H2004" t="str">
            <v>TRD RETAIL</v>
          </cell>
          <cell r="I2004" t="str">
            <v>X9</v>
          </cell>
          <cell r="J2004" t="str">
            <v>MPC</v>
          </cell>
          <cell r="K2004" t="str">
            <v>X902</v>
          </cell>
          <cell r="L2004" t="str">
            <v>SYNTHETIC ENAMEL SB</v>
          </cell>
          <cell r="M2004" t="str">
            <v>X90203</v>
          </cell>
          <cell r="N2004" t="str">
            <v>SYNTHETIC 3000</v>
          </cell>
        </row>
        <row r="2005">
          <cell r="C2005" t="str">
            <v>170000372</v>
          </cell>
          <cell r="D2005" t="str">
            <v>SYNTHETIC 3000 RX MERLIN BLUE-5410-0.8L</v>
          </cell>
          <cell r="E2005" t="str">
            <v>ZTRD</v>
          </cell>
          <cell r="F2005" t="str">
            <v>PC</v>
          </cell>
          <cell r="G2005" t="str">
            <v>X</v>
          </cell>
          <cell r="H2005" t="str">
            <v>TRD RETAIL</v>
          </cell>
          <cell r="I2005" t="str">
            <v>X9</v>
          </cell>
          <cell r="J2005" t="str">
            <v>MPC</v>
          </cell>
          <cell r="K2005" t="str">
            <v>X902</v>
          </cell>
          <cell r="L2005" t="str">
            <v>SYNTHETIC ENAMEL SB</v>
          </cell>
          <cell r="M2005" t="str">
            <v>X90203</v>
          </cell>
          <cell r="N2005" t="str">
            <v>SYNTHETIC 3000</v>
          </cell>
        </row>
        <row r="2006">
          <cell r="C2006" t="str">
            <v>170000373</v>
          </cell>
          <cell r="D2006" t="str">
            <v>SYNTHETIC 3000 RX MERLIN BLUE-5410-5L</v>
          </cell>
          <cell r="E2006" t="str">
            <v>ZTRD</v>
          </cell>
          <cell r="F2006" t="str">
            <v>PC</v>
          </cell>
          <cell r="G2006" t="str">
            <v>X</v>
          </cell>
          <cell r="H2006" t="str">
            <v>TRD RETAIL</v>
          </cell>
          <cell r="I2006" t="str">
            <v>X9</v>
          </cell>
          <cell r="J2006" t="str">
            <v>MPC</v>
          </cell>
          <cell r="K2006" t="str">
            <v>X902</v>
          </cell>
          <cell r="L2006" t="str">
            <v>SYNTHETIC ENAMEL SB</v>
          </cell>
          <cell r="M2006" t="str">
            <v>X90203</v>
          </cell>
          <cell r="N2006" t="str">
            <v>SYNTHETIC 3000</v>
          </cell>
        </row>
        <row r="2007">
          <cell r="C2007" t="str">
            <v>170000374</v>
          </cell>
          <cell r="D2007" t="str">
            <v>SYNTHETIC 3000 RX CREATION BLUE-6105-0.8</v>
          </cell>
          <cell r="E2007" t="str">
            <v>ZTRD</v>
          </cell>
          <cell r="F2007" t="str">
            <v>PC</v>
          </cell>
          <cell r="G2007" t="str">
            <v>X</v>
          </cell>
          <cell r="H2007" t="str">
            <v>TRD RETAIL</v>
          </cell>
          <cell r="I2007" t="str">
            <v>X9</v>
          </cell>
          <cell r="J2007" t="str">
            <v>MPC</v>
          </cell>
          <cell r="K2007" t="str">
            <v>X902</v>
          </cell>
          <cell r="L2007" t="str">
            <v>SYNTHETIC ENAMEL SB</v>
          </cell>
          <cell r="M2007" t="str">
            <v>X90203</v>
          </cell>
          <cell r="N2007" t="str">
            <v>SYNTHETIC 3000</v>
          </cell>
        </row>
        <row r="2008">
          <cell r="C2008" t="str">
            <v>170000375</v>
          </cell>
          <cell r="D2008" t="str">
            <v>SYNTHETIC 3000 RX CREATION BLUE-6105-5L</v>
          </cell>
          <cell r="E2008" t="str">
            <v>ZTRD</v>
          </cell>
          <cell r="F2008" t="str">
            <v>PC</v>
          </cell>
          <cell r="G2008" t="str">
            <v>X</v>
          </cell>
          <cell r="H2008" t="str">
            <v>TRD RETAIL</v>
          </cell>
          <cell r="I2008" t="str">
            <v>X9</v>
          </cell>
          <cell r="J2008" t="str">
            <v>MPC</v>
          </cell>
          <cell r="K2008" t="str">
            <v>X902</v>
          </cell>
          <cell r="L2008" t="str">
            <v>SYNTHETIC ENAMEL SB</v>
          </cell>
          <cell r="M2008" t="str">
            <v>X90203</v>
          </cell>
          <cell r="N2008" t="str">
            <v>SYNTHETIC 3000</v>
          </cell>
        </row>
        <row r="2009">
          <cell r="C2009" t="str">
            <v>170000376</v>
          </cell>
          <cell r="D2009" t="str">
            <v>SYNTHETIC 3000 RX MANDARIN GREEN-6408-0.</v>
          </cell>
          <cell r="E2009" t="str">
            <v>ZTRD</v>
          </cell>
          <cell r="F2009" t="str">
            <v>PC</v>
          </cell>
          <cell r="G2009" t="str">
            <v>X</v>
          </cell>
          <cell r="H2009" t="str">
            <v>TRD RETAIL</v>
          </cell>
          <cell r="I2009" t="str">
            <v>X9</v>
          </cell>
          <cell r="J2009" t="str">
            <v>MPC</v>
          </cell>
          <cell r="K2009" t="str">
            <v>X902</v>
          </cell>
          <cell r="L2009" t="str">
            <v>SYNTHETIC ENAMEL SB</v>
          </cell>
          <cell r="M2009" t="str">
            <v>X90203</v>
          </cell>
          <cell r="N2009" t="str">
            <v>SYNTHETIC 3000</v>
          </cell>
        </row>
        <row r="2010">
          <cell r="C2010" t="str">
            <v>170000377</v>
          </cell>
          <cell r="D2010" t="str">
            <v>SYNTHETIC 3000 RX MANDARIN GREEN-6408-5L</v>
          </cell>
          <cell r="E2010" t="str">
            <v>ZTRD</v>
          </cell>
          <cell r="F2010" t="str">
            <v>PC</v>
          </cell>
          <cell r="G2010" t="str">
            <v>X</v>
          </cell>
          <cell r="H2010" t="str">
            <v>TRD RETAIL</v>
          </cell>
          <cell r="I2010" t="str">
            <v>X9</v>
          </cell>
          <cell r="J2010" t="str">
            <v>MPC</v>
          </cell>
          <cell r="K2010" t="str">
            <v>X902</v>
          </cell>
          <cell r="L2010" t="str">
            <v>SYNTHETIC ENAMEL SB</v>
          </cell>
          <cell r="M2010" t="str">
            <v>X90203</v>
          </cell>
          <cell r="N2010" t="str">
            <v>SYNTHETIC 3000</v>
          </cell>
        </row>
        <row r="2011">
          <cell r="C2011" t="str">
            <v>170000378</v>
          </cell>
          <cell r="D2011" t="str">
            <v>SYNTHETIC 3000 RX EVERGREEN-7301-0.8L</v>
          </cell>
          <cell r="E2011" t="str">
            <v>ZTRD</v>
          </cell>
          <cell r="F2011" t="str">
            <v>PC</v>
          </cell>
          <cell r="G2011" t="str">
            <v>X</v>
          </cell>
          <cell r="H2011" t="str">
            <v>TRD RETAIL</v>
          </cell>
          <cell r="I2011" t="str">
            <v>X9</v>
          </cell>
          <cell r="J2011" t="str">
            <v>MPC</v>
          </cell>
          <cell r="K2011" t="str">
            <v>X902</v>
          </cell>
          <cell r="L2011" t="str">
            <v>SYNTHETIC ENAMEL SB</v>
          </cell>
          <cell r="M2011" t="str">
            <v>X90203</v>
          </cell>
          <cell r="N2011" t="str">
            <v>SYNTHETIC 3000</v>
          </cell>
        </row>
        <row r="2012">
          <cell r="C2012" t="str">
            <v>170000379</v>
          </cell>
          <cell r="D2012" t="str">
            <v>SYNTHETIC 3000 RX EVERGREEN-7301-5L</v>
          </cell>
          <cell r="E2012" t="str">
            <v>ZTRD</v>
          </cell>
          <cell r="F2012" t="str">
            <v>PC</v>
          </cell>
          <cell r="G2012" t="str">
            <v>X</v>
          </cell>
          <cell r="H2012" t="str">
            <v>TRD RETAIL</v>
          </cell>
          <cell r="I2012" t="str">
            <v>X9</v>
          </cell>
          <cell r="J2012" t="str">
            <v>MPC</v>
          </cell>
          <cell r="K2012" t="str">
            <v>X902</v>
          </cell>
          <cell r="L2012" t="str">
            <v>SYNTHETIC ENAMEL SB</v>
          </cell>
          <cell r="M2012" t="str">
            <v>X90203</v>
          </cell>
          <cell r="N2012" t="str">
            <v>SYNTHETIC 3000</v>
          </cell>
        </row>
        <row r="2013">
          <cell r="C2013" t="str">
            <v>170000380</v>
          </cell>
          <cell r="D2013" t="str">
            <v>SYNTHETIC 3000 RX RED OXIDE-3407-0.8L</v>
          </cell>
          <cell r="E2013" t="str">
            <v>ZTRD</v>
          </cell>
          <cell r="F2013" t="str">
            <v>PC</v>
          </cell>
          <cell r="G2013" t="str">
            <v>X</v>
          </cell>
          <cell r="H2013" t="str">
            <v>TRD RETAIL</v>
          </cell>
          <cell r="I2013" t="str">
            <v>X9</v>
          </cell>
          <cell r="J2013" t="str">
            <v>MPC</v>
          </cell>
          <cell r="K2013" t="str">
            <v>X902</v>
          </cell>
          <cell r="L2013" t="str">
            <v>SYNTHETIC ENAMEL SB</v>
          </cell>
          <cell r="M2013" t="str">
            <v>X90203</v>
          </cell>
          <cell r="N2013" t="str">
            <v>SYNTHETIC 3000</v>
          </cell>
        </row>
        <row r="2014">
          <cell r="C2014" t="str">
            <v>170000381</v>
          </cell>
          <cell r="D2014" t="str">
            <v>SYNTHETIC 3000 RX RED OXIDE-3407-5L</v>
          </cell>
          <cell r="E2014" t="str">
            <v>ZTRD</v>
          </cell>
          <cell r="F2014" t="str">
            <v>PC</v>
          </cell>
          <cell r="G2014" t="str">
            <v>X</v>
          </cell>
          <cell r="H2014" t="str">
            <v>TRD RETAIL</v>
          </cell>
          <cell r="I2014" t="str">
            <v>X9</v>
          </cell>
          <cell r="J2014" t="str">
            <v>MPC</v>
          </cell>
          <cell r="K2014" t="str">
            <v>X902</v>
          </cell>
          <cell r="L2014" t="str">
            <v>SYNTHETIC ENAMEL SB</v>
          </cell>
          <cell r="M2014" t="str">
            <v>X90203</v>
          </cell>
          <cell r="N2014" t="str">
            <v>SYNTHETIC 3000</v>
          </cell>
        </row>
        <row r="2015">
          <cell r="C2015" t="str">
            <v>170000382</v>
          </cell>
          <cell r="D2015" t="str">
            <v>SYNTHETIC 3000 RX TRAFFIC GREEN-7403-0.8</v>
          </cell>
          <cell r="E2015" t="str">
            <v>ZTRD</v>
          </cell>
          <cell r="F2015" t="str">
            <v>PC</v>
          </cell>
          <cell r="G2015" t="str">
            <v>X</v>
          </cell>
          <cell r="H2015" t="str">
            <v>TRD RETAIL</v>
          </cell>
          <cell r="I2015" t="str">
            <v>X9</v>
          </cell>
          <cell r="J2015" t="str">
            <v>MPC</v>
          </cell>
          <cell r="K2015" t="str">
            <v>X902</v>
          </cell>
          <cell r="L2015" t="str">
            <v>SYNTHETIC ENAMEL SB</v>
          </cell>
          <cell r="M2015" t="str">
            <v>X90203</v>
          </cell>
          <cell r="N2015" t="str">
            <v>SYNTHETIC 3000</v>
          </cell>
        </row>
        <row r="2016">
          <cell r="C2016" t="str">
            <v>170000383</v>
          </cell>
          <cell r="D2016" t="str">
            <v>SYNTHETIC 3000 RX PEARL-2107-0.8L</v>
          </cell>
          <cell r="E2016" t="str">
            <v>ZTRD</v>
          </cell>
          <cell r="F2016" t="str">
            <v>PC</v>
          </cell>
          <cell r="G2016" t="str">
            <v>X</v>
          </cell>
          <cell r="H2016" t="str">
            <v>TRD RETAIL</v>
          </cell>
          <cell r="I2016" t="str">
            <v>X9</v>
          </cell>
          <cell r="J2016" t="str">
            <v>MPC</v>
          </cell>
          <cell r="K2016" t="str">
            <v>X902</v>
          </cell>
          <cell r="L2016" t="str">
            <v>SYNTHETIC ENAMEL SB</v>
          </cell>
          <cell r="M2016" t="str">
            <v>X90203</v>
          </cell>
          <cell r="N2016" t="str">
            <v>SYNTHETIC 3000</v>
          </cell>
        </row>
        <row r="2017">
          <cell r="C2017" t="str">
            <v>170000384</v>
          </cell>
          <cell r="D2017" t="str">
            <v>SYNTHETIC 3000 RX PINKA-3104-0.8L</v>
          </cell>
          <cell r="E2017" t="str">
            <v>ZTRD</v>
          </cell>
          <cell r="F2017" t="str">
            <v>PC</v>
          </cell>
          <cell r="G2017" t="str">
            <v>X</v>
          </cell>
          <cell r="H2017" t="str">
            <v>TRD RETAIL</v>
          </cell>
          <cell r="I2017" t="str">
            <v>X9</v>
          </cell>
          <cell r="J2017" t="str">
            <v>MPC</v>
          </cell>
          <cell r="K2017" t="str">
            <v>X902</v>
          </cell>
          <cell r="L2017" t="str">
            <v>SYNTHETIC ENAMEL SB</v>
          </cell>
          <cell r="M2017" t="str">
            <v>X90203</v>
          </cell>
          <cell r="N2017" t="str">
            <v>SYNTHETIC 3000</v>
          </cell>
        </row>
        <row r="2018">
          <cell r="C2018" t="str">
            <v>170000385</v>
          </cell>
          <cell r="D2018" t="str">
            <v>SYNTHETIC 3000 RX PINKA-3104-5L</v>
          </cell>
          <cell r="E2018" t="str">
            <v>ZTRD</v>
          </cell>
          <cell r="F2018" t="str">
            <v>PC</v>
          </cell>
          <cell r="G2018" t="str">
            <v>X</v>
          </cell>
          <cell r="H2018" t="str">
            <v>TRD RETAIL</v>
          </cell>
          <cell r="I2018" t="str">
            <v>X9</v>
          </cell>
          <cell r="J2018" t="str">
            <v>MPC</v>
          </cell>
          <cell r="K2018" t="str">
            <v>X902</v>
          </cell>
          <cell r="L2018" t="str">
            <v>SYNTHETIC ENAMEL SB</v>
          </cell>
          <cell r="M2018" t="str">
            <v>X90203</v>
          </cell>
          <cell r="N2018" t="str">
            <v>SYNTHETIC 3000</v>
          </cell>
        </row>
        <row r="2019">
          <cell r="C2019" t="str">
            <v>170000386</v>
          </cell>
          <cell r="D2019" t="str">
            <v>SYNTHETIC 3000 RX DARK GREEN-7412-0.8L</v>
          </cell>
          <cell r="E2019" t="str">
            <v>ZTRD</v>
          </cell>
          <cell r="F2019" t="str">
            <v>PC</v>
          </cell>
          <cell r="G2019" t="str">
            <v>X</v>
          </cell>
          <cell r="H2019" t="str">
            <v>TRD RETAIL</v>
          </cell>
          <cell r="I2019" t="str">
            <v>X9</v>
          </cell>
          <cell r="J2019" t="str">
            <v>MPC</v>
          </cell>
          <cell r="K2019" t="str">
            <v>X902</v>
          </cell>
          <cell r="L2019" t="str">
            <v>SYNTHETIC ENAMEL SB</v>
          </cell>
          <cell r="M2019" t="str">
            <v>X90203</v>
          </cell>
          <cell r="N2019" t="str">
            <v>SYNTHETIC 3000</v>
          </cell>
        </row>
        <row r="2020">
          <cell r="C2020" t="str">
            <v>170000387</v>
          </cell>
          <cell r="D2020" t="str">
            <v>SYNTHETIC 3000 RX MILK CREAM-1121-0.8L</v>
          </cell>
          <cell r="E2020" t="str">
            <v>ZTRD</v>
          </cell>
          <cell r="F2020" t="str">
            <v>PC</v>
          </cell>
          <cell r="G2020" t="str">
            <v>X</v>
          </cell>
          <cell r="H2020" t="str">
            <v>TRD RETAIL</v>
          </cell>
          <cell r="I2020" t="str">
            <v>X9</v>
          </cell>
          <cell r="J2020" t="str">
            <v>MPC</v>
          </cell>
          <cell r="K2020" t="str">
            <v>X902</v>
          </cell>
          <cell r="L2020" t="str">
            <v>SYNTHETIC ENAMEL SB</v>
          </cell>
          <cell r="M2020" t="str">
            <v>X90203</v>
          </cell>
          <cell r="N2020" t="str">
            <v>SYNTHETIC 3000</v>
          </cell>
        </row>
        <row r="2021">
          <cell r="C2021" t="str">
            <v>170000388</v>
          </cell>
          <cell r="D2021" t="str">
            <v>SYNTHETIC 3000 RX SILVER-9106-0.8L</v>
          </cell>
          <cell r="E2021" t="str">
            <v>ZTRD</v>
          </cell>
          <cell r="F2021" t="str">
            <v>PC</v>
          </cell>
          <cell r="G2021" t="str">
            <v>X</v>
          </cell>
          <cell r="H2021" t="str">
            <v>TRD RETAIL</v>
          </cell>
          <cell r="I2021" t="str">
            <v>X9</v>
          </cell>
          <cell r="J2021" t="str">
            <v>MPC</v>
          </cell>
          <cell r="K2021" t="str">
            <v>X902</v>
          </cell>
          <cell r="L2021" t="str">
            <v>SYNTHETIC ENAMEL SB</v>
          </cell>
          <cell r="M2021" t="str">
            <v>X90203</v>
          </cell>
          <cell r="N2021" t="str">
            <v>SYNTHETIC 3000</v>
          </cell>
        </row>
        <row r="2022">
          <cell r="C2022" t="str">
            <v>170000389</v>
          </cell>
          <cell r="D2022" t="str">
            <v>SYNTHETIC 3000 RX SILVER-9106-5L</v>
          </cell>
          <cell r="E2022" t="str">
            <v>ZTRD</v>
          </cell>
          <cell r="F2022" t="str">
            <v>PC</v>
          </cell>
          <cell r="G2022" t="str">
            <v>X</v>
          </cell>
          <cell r="H2022" t="str">
            <v>TRD RETAIL</v>
          </cell>
          <cell r="I2022" t="str">
            <v>X9</v>
          </cell>
          <cell r="J2022" t="str">
            <v>MPC</v>
          </cell>
          <cell r="K2022" t="str">
            <v>X902</v>
          </cell>
          <cell r="L2022" t="str">
            <v>SYNTHETIC ENAMEL SB</v>
          </cell>
          <cell r="M2022" t="str">
            <v>X90203</v>
          </cell>
          <cell r="N2022" t="str">
            <v>SYNTHETIC 3000</v>
          </cell>
        </row>
        <row r="2023">
          <cell r="C2023" t="str">
            <v>170000390</v>
          </cell>
          <cell r="D2023" t="str">
            <v>SYNTHETIC 3000 RX DARK GREEN DOF-7412D-0</v>
          </cell>
          <cell r="E2023" t="str">
            <v>ZTRD</v>
          </cell>
          <cell r="F2023" t="str">
            <v>PC</v>
          </cell>
          <cell r="G2023" t="str">
            <v>X</v>
          </cell>
          <cell r="H2023" t="str">
            <v>TRD RETAIL</v>
          </cell>
          <cell r="I2023" t="str">
            <v>X9</v>
          </cell>
          <cell r="J2023" t="str">
            <v>MPC</v>
          </cell>
          <cell r="K2023" t="str">
            <v>X902</v>
          </cell>
          <cell r="L2023" t="str">
            <v>SYNTHETIC ENAMEL SB</v>
          </cell>
          <cell r="M2023" t="str">
            <v>X90203</v>
          </cell>
          <cell r="N2023" t="str">
            <v>SYNTHETIC 3000</v>
          </cell>
        </row>
        <row r="2024">
          <cell r="C2024" t="str">
            <v>170000391</v>
          </cell>
          <cell r="D2024" t="str">
            <v>SYNTHETIC 3000 RX DARK GREEN DOF-7412D-5</v>
          </cell>
          <cell r="E2024" t="str">
            <v>ZTRD</v>
          </cell>
          <cell r="F2024" t="str">
            <v>PC</v>
          </cell>
          <cell r="G2024" t="str">
            <v>X</v>
          </cell>
          <cell r="H2024" t="str">
            <v>TRD RETAIL</v>
          </cell>
          <cell r="I2024" t="str">
            <v>X9</v>
          </cell>
          <cell r="J2024" t="str">
            <v>MPC</v>
          </cell>
          <cell r="K2024" t="str">
            <v>X902</v>
          </cell>
          <cell r="L2024" t="str">
            <v>SYNTHETIC ENAMEL SB</v>
          </cell>
          <cell r="M2024" t="str">
            <v>X90203</v>
          </cell>
          <cell r="N2024" t="str">
            <v>SYNTHETIC 3000</v>
          </cell>
        </row>
        <row r="2025">
          <cell r="C2025" t="str">
            <v>170000392</v>
          </cell>
          <cell r="D2025" t="str">
            <v>SYNTHETIC 3000 RX MISUBISHI 1213-0.8L</v>
          </cell>
          <cell r="E2025" t="str">
            <v>ZTRD</v>
          </cell>
          <cell r="F2025" t="str">
            <v>PC</v>
          </cell>
          <cell r="G2025" t="str">
            <v>X</v>
          </cell>
          <cell r="H2025" t="str">
            <v>TRD RETAIL</v>
          </cell>
          <cell r="I2025" t="str">
            <v>X9</v>
          </cell>
          <cell r="J2025" t="str">
            <v>MPC</v>
          </cell>
          <cell r="K2025" t="str">
            <v>X902</v>
          </cell>
          <cell r="L2025" t="str">
            <v>SYNTHETIC ENAMEL SB</v>
          </cell>
          <cell r="M2025" t="str">
            <v>X90203</v>
          </cell>
          <cell r="N2025" t="str">
            <v>SYNTHETIC 3000</v>
          </cell>
        </row>
        <row r="2026">
          <cell r="C2026" t="str">
            <v>170000393</v>
          </cell>
          <cell r="D2026" t="str">
            <v>SYNTHETIC 3000 RX MISUBISHI 1213-5L</v>
          </cell>
          <cell r="E2026" t="str">
            <v>ZTRD</v>
          </cell>
          <cell r="F2026" t="str">
            <v>PC</v>
          </cell>
          <cell r="G2026" t="str">
            <v>X</v>
          </cell>
          <cell r="H2026" t="str">
            <v>TRD RETAIL</v>
          </cell>
          <cell r="I2026" t="str">
            <v>X9</v>
          </cell>
          <cell r="J2026" t="str">
            <v>MPC</v>
          </cell>
          <cell r="K2026" t="str">
            <v>X902</v>
          </cell>
          <cell r="L2026" t="str">
            <v>SYNTHETIC ENAMEL SB</v>
          </cell>
          <cell r="M2026" t="str">
            <v>X90203</v>
          </cell>
          <cell r="N2026" t="str">
            <v>SYNTHETIC 3000</v>
          </cell>
        </row>
        <row r="2027">
          <cell r="C2027" t="str">
            <v>170000394</v>
          </cell>
          <cell r="D2027" t="str">
            <v>SYNTHETIC 3000 RX NEW HINO GREEN-8206-0.</v>
          </cell>
          <cell r="E2027" t="str">
            <v>ZTRD</v>
          </cell>
          <cell r="F2027" t="str">
            <v>PC</v>
          </cell>
          <cell r="G2027" t="str">
            <v>X</v>
          </cell>
          <cell r="H2027" t="str">
            <v>TRD RETAIL</v>
          </cell>
          <cell r="I2027" t="str">
            <v>X9</v>
          </cell>
          <cell r="J2027" t="str">
            <v>MPC</v>
          </cell>
          <cell r="K2027" t="str">
            <v>X902</v>
          </cell>
          <cell r="L2027" t="str">
            <v>SYNTHETIC ENAMEL SB</v>
          </cell>
          <cell r="M2027" t="str">
            <v>X90203</v>
          </cell>
          <cell r="N2027" t="str">
            <v>SYNTHETIC 3000</v>
          </cell>
        </row>
        <row r="2028">
          <cell r="C2028" t="str">
            <v>170000395</v>
          </cell>
          <cell r="D2028" t="str">
            <v>SYNTHETIC 3000 RX NEW HINO GREEN-8206-5L</v>
          </cell>
          <cell r="E2028" t="str">
            <v>ZTRD</v>
          </cell>
          <cell r="F2028" t="str">
            <v>PC</v>
          </cell>
          <cell r="G2028" t="str">
            <v>X</v>
          </cell>
          <cell r="H2028" t="str">
            <v>TRD RETAIL</v>
          </cell>
          <cell r="I2028" t="str">
            <v>X9</v>
          </cell>
          <cell r="J2028" t="str">
            <v>MPC</v>
          </cell>
          <cell r="K2028" t="str">
            <v>X902</v>
          </cell>
          <cell r="L2028" t="str">
            <v>SYNTHETIC ENAMEL SB</v>
          </cell>
          <cell r="M2028" t="str">
            <v>X90203</v>
          </cell>
          <cell r="N2028" t="str">
            <v>SYNTHETIC 3000</v>
          </cell>
        </row>
        <row r="2029">
          <cell r="C2029" t="str">
            <v>170000396</v>
          </cell>
          <cell r="D2029" t="str">
            <v>SYNTHETIC 3000 RX FUSO ORANGE-2308-0.8L</v>
          </cell>
          <cell r="E2029" t="str">
            <v>ZTRD</v>
          </cell>
          <cell r="F2029" t="str">
            <v>PC</v>
          </cell>
          <cell r="G2029" t="str">
            <v>X</v>
          </cell>
          <cell r="H2029" t="str">
            <v>TRD RETAIL</v>
          </cell>
          <cell r="I2029" t="str">
            <v>X9</v>
          </cell>
          <cell r="J2029" t="str">
            <v>MPC</v>
          </cell>
          <cell r="K2029" t="str">
            <v>X902</v>
          </cell>
          <cell r="L2029" t="str">
            <v>SYNTHETIC ENAMEL SB</v>
          </cell>
          <cell r="M2029" t="str">
            <v>X90203</v>
          </cell>
          <cell r="N2029" t="str">
            <v>SYNTHETIC 3000</v>
          </cell>
        </row>
        <row r="2030">
          <cell r="C2030" t="str">
            <v>170000397</v>
          </cell>
          <cell r="D2030" t="str">
            <v>WF-115 JATI-1K</v>
          </cell>
          <cell r="E2030" t="str">
            <v>ZTRD</v>
          </cell>
          <cell r="F2030" t="str">
            <v>PC</v>
          </cell>
          <cell r="G2030" t="str">
            <v>X</v>
          </cell>
          <cell r="H2030" t="str">
            <v>TRD RETAIL</v>
          </cell>
          <cell r="I2030" t="str">
            <v>X1</v>
          </cell>
          <cell r="J2030" t="str">
            <v>WF1</v>
          </cell>
          <cell r="K2030" t="str">
            <v>X115</v>
          </cell>
          <cell r="L2030" t="str">
            <v>IMPRA</v>
          </cell>
          <cell r="M2030" t="str">
            <v>X11511</v>
          </cell>
          <cell r="N2030" t="str">
            <v>IMPRA WOOD FILLER</v>
          </cell>
        </row>
        <row r="2031">
          <cell r="C2031" t="str">
            <v>170000398</v>
          </cell>
          <cell r="D2031" t="str">
            <v>WF-115 BORNEO-1K</v>
          </cell>
          <cell r="E2031" t="str">
            <v>ZTRD</v>
          </cell>
          <cell r="F2031" t="str">
            <v>PC</v>
          </cell>
          <cell r="G2031" t="str">
            <v>X</v>
          </cell>
          <cell r="H2031" t="str">
            <v>TRD RETAIL</v>
          </cell>
          <cell r="I2031" t="str">
            <v>X1</v>
          </cell>
          <cell r="J2031" t="str">
            <v>WF1</v>
          </cell>
          <cell r="K2031" t="str">
            <v>X115</v>
          </cell>
          <cell r="L2031" t="str">
            <v>IMPRA</v>
          </cell>
          <cell r="M2031" t="str">
            <v>X11511</v>
          </cell>
          <cell r="N2031" t="str">
            <v>IMPRA WOOD FILLER</v>
          </cell>
        </row>
        <row r="2032">
          <cell r="C2032" t="str">
            <v>170000399</v>
          </cell>
          <cell r="D2032" t="str">
            <v>WF-115 MERBAU-1K</v>
          </cell>
          <cell r="E2032" t="str">
            <v>ZTRD</v>
          </cell>
          <cell r="F2032" t="str">
            <v>PC</v>
          </cell>
          <cell r="G2032" t="str">
            <v>X</v>
          </cell>
          <cell r="H2032" t="str">
            <v>TRD RETAIL</v>
          </cell>
          <cell r="I2032" t="str">
            <v>X1</v>
          </cell>
          <cell r="J2032" t="str">
            <v>WF1</v>
          </cell>
          <cell r="K2032" t="str">
            <v>X115</v>
          </cell>
          <cell r="L2032" t="str">
            <v>IMPRA</v>
          </cell>
          <cell r="M2032" t="str">
            <v>X11511</v>
          </cell>
          <cell r="N2032" t="str">
            <v>IMPRA WOOD FILLER</v>
          </cell>
        </row>
        <row r="2033">
          <cell r="C2033" t="str">
            <v>170000400</v>
          </cell>
          <cell r="D2033" t="str">
            <v>SH-113 TEAK-1K</v>
          </cell>
          <cell r="E2033" t="str">
            <v>ZTRD</v>
          </cell>
          <cell r="F2033" t="str">
            <v>PC</v>
          </cell>
          <cell r="G2033" t="str">
            <v>X</v>
          </cell>
          <cell r="H2033" t="str">
            <v>TRD RETAIL</v>
          </cell>
          <cell r="I2033" t="str">
            <v>X1</v>
          </cell>
          <cell r="J2033" t="str">
            <v>WF1</v>
          </cell>
          <cell r="K2033" t="str">
            <v>X115</v>
          </cell>
          <cell r="L2033" t="str">
            <v>IMPRA</v>
          </cell>
          <cell r="M2033" t="str">
            <v>X11511</v>
          </cell>
          <cell r="N2033" t="str">
            <v>IMPRA WOOD FILLER</v>
          </cell>
        </row>
        <row r="2034">
          <cell r="C2034" t="str">
            <v>170000401</v>
          </cell>
          <cell r="D2034" t="str">
            <v>SH-113 SUNGKAI-1K</v>
          </cell>
          <cell r="E2034" t="str">
            <v>ZTRD</v>
          </cell>
          <cell r="F2034" t="str">
            <v>PC</v>
          </cell>
          <cell r="G2034" t="str">
            <v>X</v>
          </cell>
          <cell r="H2034" t="str">
            <v>TRD RETAIL</v>
          </cell>
          <cell r="I2034" t="str">
            <v>X1</v>
          </cell>
          <cell r="J2034" t="str">
            <v>WF1</v>
          </cell>
          <cell r="K2034" t="str">
            <v>X115</v>
          </cell>
          <cell r="L2034" t="str">
            <v>IMPRA</v>
          </cell>
          <cell r="M2034" t="str">
            <v>X11511</v>
          </cell>
          <cell r="N2034" t="str">
            <v>IMPRA WOOD FILLER</v>
          </cell>
        </row>
        <row r="2035">
          <cell r="C2035" t="str">
            <v>170000402</v>
          </cell>
          <cell r="D2035" t="str">
            <v>PPR-730-0.3K</v>
          </cell>
          <cell r="E2035" t="str">
            <v>ZTRD</v>
          </cell>
          <cell r="F2035" t="str">
            <v>PC</v>
          </cell>
          <cell r="G2035" t="str">
            <v>X</v>
          </cell>
          <cell r="H2035" t="str">
            <v>TRD RETAIL</v>
          </cell>
          <cell r="I2035" t="str">
            <v>X4</v>
          </cell>
          <cell r="J2035" t="str">
            <v>WF3</v>
          </cell>
          <cell r="K2035" t="str">
            <v>X405</v>
          </cell>
          <cell r="L2035" t="str">
            <v>PAINT REMOVER</v>
          </cell>
          <cell r="M2035" t="str">
            <v>X40501</v>
          </cell>
          <cell r="N2035" t="str">
            <v>PROPAN PAINT REMOVER</v>
          </cell>
        </row>
        <row r="2036">
          <cell r="C2036" t="str">
            <v>170000403</v>
          </cell>
          <cell r="D2036" t="str">
            <v>UPL-77 E CLEAR GLOSS-3LS</v>
          </cell>
          <cell r="E2036" t="str">
            <v>ZTRD</v>
          </cell>
          <cell r="F2036" t="str">
            <v>SET</v>
          </cell>
          <cell r="G2036" t="str">
            <v>X</v>
          </cell>
          <cell r="H2036" t="str">
            <v>TRD RETAIL</v>
          </cell>
          <cell r="I2036" t="str">
            <v>X4</v>
          </cell>
          <cell r="J2036" t="str">
            <v>WF3</v>
          </cell>
          <cell r="K2036" t="str">
            <v>X413</v>
          </cell>
          <cell r="L2036" t="str">
            <v>ULTRAN</v>
          </cell>
          <cell r="M2036" t="str">
            <v>X41301</v>
          </cell>
          <cell r="N2036" t="str">
            <v>ULTRAN PARQUET LACK</v>
          </cell>
        </row>
        <row r="2037">
          <cell r="C2037" t="str">
            <v>170000404</v>
          </cell>
          <cell r="D2037" t="str">
            <v>UPL-77 E CLEAR MATT-3LS</v>
          </cell>
          <cell r="E2037" t="str">
            <v>ZTRD</v>
          </cell>
          <cell r="F2037" t="str">
            <v>SET</v>
          </cell>
          <cell r="G2037" t="str">
            <v>X</v>
          </cell>
          <cell r="H2037" t="str">
            <v>TRD RETAIL</v>
          </cell>
          <cell r="I2037" t="str">
            <v>X4</v>
          </cell>
          <cell r="J2037" t="str">
            <v>WF3</v>
          </cell>
          <cell r="K2037" t="str">
            <v>X413</v>
          </cell>
          <cell r="L2037" t="str">
            <v>ULTRAN</v>
          </cell>
          <cell r="M2037" t="str">
            <v>X41301</v>
          </cell>
          <cell r="N2037" t="str">
            <v>ULTRAN PARQUET LACK</v>
          </cell>
        </row>
        <row r="2038">
          <cell r="C2038" t="str">
            <v>170000405</v>
          </cell>
          <cell r="D2038" t="str">
            <v>UPL-77 E SEMI GLOSS-3LS</v>
          </cell>
          <cell r="E2038" t="str">
            <v>ZTRD</v>
          </cell>
          <cell r="F2038" t="str">
            <v>SET</v>
          </cell>
          <cell r="G2038" t="str">
            <v>X</v>
          </cell>
          <cell r="H2038" t="str">
            <v>TRD RETAIL</v>
          </cell>
          <cell r="I2038" t="str">
            <v>X4</v>
          </cell>
          <cell r="J2038" t="str">
            <v>WF3</v>
          </cell>
          <cell r="K2038" t="str">
            <v>X413</v>
          </cell>
          <cell r="L2038" t="str">
            <v>ULTRAN</v>
          </cell>
          <cell r="M2038" t="str">
            <v>X41301</v>
          </cell>
          <cell r="N2038" t="str">
            <v>ULTRAN PARQUET LACK</v>
          </cell>
        </row>
        <row r="2039">
          <cell r="C2039" t="str">
            <v>170000407</v>
          </cell>
          <cell r="D2039" t="str">
            <v>HARDENER CTC-998-0.2K.</v>
          </cell>
          <cell r="E2039" t="str">
            <v>ZTRD</v>
          </cell>
          <cell r="F2039" t="str">
            <v>PC</v>
          </cell>
          <cell r="G2039" t="str">
            <v>Y</v>
          </cell>
          <cell r="H2039" t="str">
            <v>TRD PROJECT</v>
          </cell>
          <cell r="I2039" t="str">
            <v>Y6</v>
          </cell>
          <cell r="J2039" t="str">
            <v>CPC1</v>
          </cell>
          <cell r="K2039" t="str">
            <v>Y607</v>
          </cell>
          <cell r="L2039" t="str">
            <v>OTHERS CPC1</v>
          </cell>
          <cell r="M2039" t="str">
            <v>Y60703</v>
          </cell>
          <cell r="N2039" t="str">
            <v>COMPLEMENTARY CPC1</v>
          </cell>
        </row>
        <row r="2040">
          <cell r="C2040" t="str">
            <v>170000408</v>
          </cell>
          <cell r="D2040" t="str">
            <v>DP-4010 BLOSSOM 1149-3.8L</v>
          </cell>
          <cell r="E2040" t="str">
            <v>ZTRD</v>
          </cell>
          <cell r="F2040" t="str">
            <v>PC</v>
          </cell>
          <cell r="G2040" t="str">
            <v>3</v>
          </cell>
          <cell r="H2040" t="str">
            <v>TRADING</v>
          </cell>
          <cell r="I2040" t="str">
            <v>38</v>
          </cell>
          <cell r="J2040" t="str">
            <v>ALKANA TRADING</v>
          </cell>
          <cell r="K2040" t="str">
            <v>3801</v>
          </cell>
          <cell r="L2040" t="str">
            <v>COATING</v>
          </cell>
          <cell r="M2040" t="str">
            <v>380101</v>
          </cell>
          <cell r="N2040" t="str">
            <v>DECOR PLAST</v>
          </cell>
        </row>
        <row r="2041">
          <cell r="C2041" t="str">
            <v>170000409</v>
          </cell>
          <cell r="D2041" t="str">
            <v>DP-4010 BROKEN WHITE 8108-3.8L</v>
          </cell>
          <cell r="E2041" t="str">
            <v>ZTRD</v>
          </cell>
          <cell r="F2041" t="str">
            <v>PC</v>
          </cell>
          <cell r="G2041" t="str">
            <v>3</v>
          </cell>
          <cell r="H2041" t="str">
            <v>TRADING</v>
          </cell>
          <cell r="I2041" t="str">
            <v>38</v>
          </cell>
          <cell r="J2041" t="str">
            <v>ALKANA TRADING</v>
          </cell>
          <cell r="K2041" t="str">
            <v>3801</v>
          </cell>
          <cell r="L2041" t="str">
            <v>COATING</v>
          </cell>
          <cell r="M2041" t="str">
            <v>380101</v>
          </cell>
          <cell r="N2041" t="str">
            <v>DECOR PLAST</v>
          </cell>
        </row>
        <row r="2042">
          <cell r="C2042" t="str">
            <v>170000411</v>
          </cell>
          <cell r="D2042" t="str">
            <v>DP-4010 LEMON LIGHT 1156-3.8L</v>
          </cell>
          <cell r="E2042" t="str">
            <v>ZTRD</v>
          </cell>
          <cell r="F2042" t="str">
            <v>PC</v>
          </cell>
          <cell r="G2042" t="str">
            <v>3</v>
          </cell>
          <cell r="H2042" t="str">
            <v>TRADING</v>
          </cell>
          <cell r="I2042" t="str">
            <v>38</v>
          </cell>
          <cell r="J2042" t="str">
            <v>ALKANA TRADING</v>
          </cell>
          <cell r="K2042" t="str">
            <v>3801</v>
          </cell>
          <cell r="L2042" t="str">
            <v>COATING</v>
          </cell>
          <cell r="M2042" t="str">
            <v>380101</v>
          </cell>
          <cell r="N2042" t="str">
            <v>DECOR PLAST</v>
          </cell>
        </row>
        <row r="2043">
          <cell r="C2043" t="str">
            <v>170000412</v>
          </cell>
          <cell r="D2043" t="str">
            <v>DP-4010 PRIME WHITE 5105-3.8L</v>
          </cell>
          <cell r="E2043" t="str">
            <v>ZTRD</v>
          </cell>
          <cell r="F2043" t="str">
            <v>PC</v>
          </cell>
          <cell r="G2043" t="str">
            <v>3</v>
          </cell>
          <cell r="H2043" t="str">
            <v>TRADING</v>
          </cell>
          <cell r="I2043" t="str">
            <v>38</v>
          </cell>
          <cell r="J2043" t="str">
            <v>ALKANA TRADING</v>
          </cell>
          <cell r="K2043" t="str">
            <v>3801</v>
          </cell>
          <cell r="L2043" t="str">
            <v>COATING</v>
          </cell>
          <cell r="M2043" t="str">
            <v>380101</v>
          </cell>
          <cell r="N2043" t="str">
            <v>DECOR PLAST</v>
          </cell>
        </row>
        <row r="2044">
          <cell r="C2044" t="str">
            <v>170000413</v>
          </cell>
          <cell r="D2044" t="str">
            <v>DP-4010 TWILIGHT TWINKLE 6119-3.8L</v>
          </cell>
          <cell r="E2044" t="str">
            <v>ZTRD</v>
          </cell>
          <cell r="F2044" t="str">
            <v>PC</v>
          </cell>
          <cell r="G2044" t="str">
            <v>3</v>
          </cell>
          <cell r="H2044" t="str">
            <v>TRADING</v>
          </cell>
          <cell r="I2044" t="str">
            <v>38</v>
          </cell>
          <cell r="J2044" t="str">
            <v>ALKANA TRADING</v>
          </cell>
          <cell r="K2044" t="str">
            <v>3801</v>
          </cell>
          <cell r="L2044" t="str">
            <v>COATING</v>
          </cell>
          <cell r="M2044" t="str">
            <v>380101</v>
          </cell>
          <cell r="N2044" t="str">
            <v>DECOR PLAST</v>
          </cell>
        </row>
        <row r="2045">
          <cell r="C2045" t="str">
            <v>170000414</v>
          </cell>
          <cell r="D2045" t="str">
            <v>DP-4010 ICE AGE 6114-3.8L</v>
          </cell>
          <cell r="E2045" t="str">
            <v>ZTRD</v>
          </cell>
          <cell r="F2045" t="str">
            <v>PC</v>
          </cell>
          <cell r="G2045" t="str">
            <v>3</v>
          </cell>
          <cell r="H2045" t="str">
            <v>TRADING</v>
          </cell>
          <cell r="I2045" t="str">
            <v>38</v>
          </cell>
          <cell r="J2045" t="str">
            <v>ALKANA TRADING</v>
          </cell>
          <cell r="K2045" t="str">
            <v>3801</v>
          </cell>
          <cell r="L2045" t="str">
            <v>COATING</v>
          </cell>
          <cell r="M2045" t="str">
            <v>380101</v>
          </cell>
          <cell r="N2045" t="str">
            <v>DECOR PLAST</v>
          </cell>
        </row>
        <row r="2046">
          <cell r="C2046" t="str">
            <v>170000415</v>
          </cell>
          <cell r="D2046" t="str">
            <v>DP-4010 JASMINE 2105-3.8L</v>
          </cell>
          <cell r="E2046" t="str">
            <v>ZTRD</v>
          </cell>
          <cell r="F2046" t="str">
            <v>PC</v>
          </cell>
          <cell r="G2046" t="str">
            <v>3</v>
          </cell>
          <cell r="H2046" t="str">
            <v>TRADING</v>
          </cell>
          <cell r="I2046" t="str">
            <v>38</v>
          </cell>
          <cell r="J2046" t="str">
            <v>ALKANA TRADING</v>
          </cell>
          <cell r="K2046" t="str">
            <v>3801</v>
          </cell>
          <cell r="L2046" t="str">
            <v>COATING</v>
          </cell>
          <cell r="M2046" t="str">
            <v>380101</v>
          </cell>
          <cell r="N2046" t="str">
            <v>DECOR PLAST</v>
          </cell>
        </row>
        <row r="2047">
          <cell r="C2047" t="str">
            <v>170000417</v>
          </cell>
          <cell r="D2047" t="str">
            <v>DP-4010 CASCADE 1113-3.8L</v>
          </cell>
          <cell r="E2047" t="str">
            <v>ZTRD</v>
          </cell>
          <cell r="F2047" t="str">
            <v>PC</v>
          </cell>
          <cell r="G2047" t="str">
            <v>3</v>
          </cell>
          <cell r="H2047" t="str">
            <v>TRADING</v>
          </cell>
          <cell r="I2047" t="str">
            <v>38</v>
          </cell>
          <cell r="J2047" t="str">
            <v>ALKANA TRADING</v>
          </cell>
          <cell r="K2047" t="str">
            <v>3801</v>
          </cell>
          <cell r="L2047" t="str">
            <v>COATING</v>
          </cell>
          <cell r="M2047" t="str">
            <v>380101</v>
          </cell>
          <cell r="N2047" t="str">
            <v>DECOR PLAST</v>
          </cell>
        </row>
        <row r="2048">
          <cell r="C2048" t="str">
            <v>170000419</v>
          </cell>
          <cell r="D2048" t="str">
            <v>DP-4010 DEEP OASIS 5106-3.8L</v>
          </cell>
          <cell r="E2048" t="str">
            <v>ZTRD</v>
          </cell>
          <cell r="F2048" t="str">
            <v>PC</v>
          </cell>
          <cell r="G2048" t="str">
            <v>3</v>
          </cell>
          <cell r="H2048" t="str">
            <v>TRADING</v>
          </cell>
          <cell r="I2048" t="str">
            <v>38</v>
          </cell>
          <cell r="J2048" t="str">
            <v>ALKANA TRADING</v>
          </cell>
          <cell r="K2048" t="str">
            <v>3801</v>
          </cell>
          <cell r="L2048" t="str">
            <v>COATING</v>
          </cell>
          <cell r="M2048" t="str">
            <v>380101</v>
          </cell>
          <cell r="N2048" t="str">
            <v>DECOR PLAST</v>
          </cell>
        </row>
        <row r="2049">
          <cell r="C2049" t="str">
            <v>170000421</v>
          </cell>
          <cell r="D2049" t="str">
            <v>DP-4010 WHISPERING BREEZE 1152-3.8L</v>
          </cell>
          <cell r="E2049" t="str">
            <v>ZTRD</v>
          </cell>
          <cell r="F2049" t="str">
            <v>PC</v>
          </cell>
          <cell r="G2049" t="str">
            <v>3</v>
          </cell>
          <cell r="H2049" t="str">
            <v>TRADING</v>
          </cell>
          <cell r="I2049" t="str">
            <v>38</v>
          </cell>
          <cell r="J2049" t="str">
            <v>ALKANA TRADING</v>
          </cell>
          <cell r="K2049" t="str">
            <v>3801</v>
          </cell>
          <cell r="L2049" t="str">
            <v>COATING</v>
          </cell>
          <cell r="M2049" t="str">
            <v>380101</v>
          </cell>
          <cell r="N2049" t="str">
            <v>DECOR PLAST</v>
          </cell>
        </row>
        <row r="2050">
          <cell r="C2050" t="str">
            <v>170000422</v>
          </cell>
          <cell r="D2050" t="str">
            <v>DP-4010 PEACEFUL PRINCESS 0043-3.8L</v>
          </cell>
          <cell r="E2050" t="str">
            <v>ZTRD</v>
          </cell>
          <cell r="F2050" t="str">
            <v>PC</v>
          </cell>
          <cell r="G2050" t="str">
            <v>3</v>
          </cell>
          <cell r="H2050" t="str">
            <v>TRADING</v>
          </cell>
          <cell r="I2050" t="str">
            <v>38</v>
          </cell>
          <cell r="J2050" t="str">
            <v>ALKANA TRADING</v>
          </cell>
          <cell r="K2050" t="str">
            <v>3801</v>
          </cell>
          <cell r="L2050" t="str">
            <v>COATING</v>
          </cell>
          <cell r="M2050" t="str">
            <v>380101</v>
          </cell>
          <cell r="N2050" t="str">
            <v>DECOR PLAST</v>
          </cell>
        </row>
        <row r="2051">
          <cell r="C2051" t="str">
            <v>170000434</v>
          </cell>
          <cell r="D2051" t="str">
            <v>TENNOKOTE 1000 WA OXIDE RED-22.5KP</v>
          </cell>
          <cell r="E2051" t="str">
            <v>ZTRD</v>
          </cell>
          <cell r="F2051" t="str">
            <v>PC</v>
          </cell>
          <cell r="G2051" t="str">
            <v>X</v>
          </cell>
          <cell r="H2051" t="str">
            <v>TRD RETAIL</v>
          </cell>
          <cell r="I2051" t="str">
            <v>X7</v>
          </cell>
          <cell r="J2051" t="str">
            <v>CPC1</v>
          </cell>
          <cell r="K2051" t="str">
            <v>X701</v>
          </cell>
          <cell r="L2051" t="str">
            <v>TENNOKOTE</v>
          </cell>
          <cell r="M2051" t="str">
            <v>X70101</v>
          </cell>
          <cell r="N2051" t="str">
            <v>TENNOKOTE</v>
          </cell>
        </row>
        <row r="2052">
          <cell r="C2052" t="str">
            <v>170000435</v>
          </cell>
          <cell r="D2052" t="str">
            <v>UVS-20600 BLUE 50830-20KP</v>
          </cell>
          <cell r="E2052" t="str">
            <v>ZTRD</v>
          </cell>
          <cell r="F2052" t="str">
            <v>PC</v>
          </cell>
          <cell r="G2052" t="str">
            <v>W</v>
          </cell>
          <cell r="H2052" t="str">
            <v>TRD INDUSTRY</v>
          </cell>
          <cell r="I2052" t="str">
            <v>W1</v>
          </cell>
          <cell r="J2052" t="str">
            <v>WOOD COATINGS</v>
          </cell>
          <cell r="K2052" t="str">
            <v>W106</v>
          </cell>
          <cell r="L2052" t="str">
            <v>UV</v>
          </cell>
          <cell r="M2052" t="str">
            <v>W10606</v>
          </cell>
          <cell r="N2052" t="str">
            <v>UV STAIN</v>
          </cell>
        </row>
        <row r="2053">
          <cell r="C2053" t="str">
            <v>170000436</v>
          </cell>
          <cell r="D2053" t="str">
            <v>UVH-00900-1K</v>
          </cell>
          <cell r="E2053" t="str">
            <v>ZTRD</v>
          </cell>
          <cell r="F2053" t="str">
            <v>PC</v>
          </cell>
          <cell r="G2053" t="str">
            <v>W</v>
          </cell>
          <cell r="H2053" t="str">
            <v>TRD INDUSTRY</v>
          </cell>
          <cell r="I2053" t="str">
            <v>W1</v>
          </cell>
          <cell r="J2053" t="str">
            <v>WOOD COATINGS</v>
          </cell>
          <cell r="K2053" t="str">
            <v>W106</v>
          </cell>
          <cell r="L2053" t="str">
            <v>UV</v>
          </cell>
          <cell r="M2053" t="str">
            <v>W10602</v>
          </cell>
          <cell r="N2053" t="str">
            <v>UV COMPLEMENTARY</v>
          </cell>
        </row>
        <row r="2054">
          <cell r="C2054" t="str">
            <v>170000437</v>
          </cell>
          <cell r="D2054" t="str">
            <v>DECOR DAE-550 WHITE 9101-2.5K</v>
          </cell>
          <cell r="E2054" t="str">
            <v>ZTRD</v>
          </cell>
          <cell r="F2054" t="str">
            <v>PC</v>
          </cell>
          <cell r="G2054" t="str">
            <v>Y</v>
          </cell>
          <cell r="H2054" t="str">
            <v>TRD PROJECT</v>
          </cell>
          <cell r="I2054" t="str">
            <v>Y2</v>
          </cell>
          <cell r="J2054" t="str">
            <v>APCT1</v>
          </cell>
          <cell r="K2054" t="str">
            <v>Y202</v>
          </cell>
          <cell r="L2054" t="str">
            <v>DECOR</v>
          </cell>
          <cell r="M2054" t="str">
            <v>Y20204</v>
          </cell>
          <cell r="N2054" t="str">
            <v>DECOR ACR ENAMEL SB RMX</v>
          </cell>
        </row>
        <row r="2055">
          <cell r="C2055" t="str">
            <v>170000438</v>
          </cell>
          <cell r="D2055" t="str">
            <v>DECOR DAE-550 TRAFFIC YELLOW 1204-2.5K</v>
          </cell>
          <cell r="E2055" t="str">
            <v>ZTRD</v>
          </cell>
          <cell r="F2055" t="str">
            <v>PC</v>
          </cell>
          <cell r="G2055" t="str">
            <v>Y</v>
          </cell>
          <cell r="H2055" t="str">
            <v>TRD PROJECT</v>
          </cell>
          <cell r="I2055" t="str">
            <v>Y2</v>
          </cell>
          <cell r="J2055" t="str">
            <v>APCT1</v>
          </cell>
          <cell r="K2055" t="str">
            <v>Y202</v>
          </cell>
          <cell r="L2055" t="str">
            <v>DECOR</v>
          </cell>
          <cell r="M2055" t="str">
            <v>Y20204</v>
          </cell>
          <cell r="N2055" t="str">
            <v>DECOR ACR ENAMEL SB RMX</v>
          </cell>
        </row>
        <row r="2056">
          <cell r="C2056" t="str">
            <v>170000448</v>
          </cell>
          <cell r="D2056" t="str">
            <v>PUAS-620-2K WB BLUE-20KSP</v>
          </cell>
          <cell r="E2056" t="str">
            <v>ZTRD</v>
          </cell>
          <cell r="F2056" t="str">
            <v>SET</v>
          </cell>
          <cell r="G2056" t="str">
            <v>Y</v>
          </cell>
          <cell r="H2056" t="str">
            <v>TRD PROJECT</v>
          </cell>
          <cell r="I2056" t="str">
            <v>Y6</v>
          </cell>
          <cell r="J2056" t="str">
            <v>CPC1</v>
          </cell>
          <cell r="K2056" t="str">
            <v>Y602</v>
          </cell>
          <cell r="L2056" t="str">
            <v>POLYFLOOR</v>
          </cell>
          <cell r="M2056" t="str">
            <v>Y60212</v>
          </cell>
          <cell r="N2056" t="str">
            <v>TOP SEAL</v>
          </cell>
        </row>
        <row r="2057">
          <cell r="C2057" t="str">
            <v>170000449</v>
          </cell>
          <cell r="D2057" t="str">
            <v>DP-4010 INDIAN 2412-18LP</v>
          </cell>
          <cell r="E2057" t="str">
            <v>ZTRD</v>
          </cell>
          <cell r="F2057" t="str">
            <v>PC</v>
          </cell>
          <cell r="G2057" t="str">
            <v>3</v>
          </cell>
          <cell r="H2057" t="str">
            <v>TRADING</v>
          </cell>
          <cell r="I2057" t="str">
            <v>38</v>
          </cell>
          <cell r="J2057" t="str">
            <v>ALKANA TRADING</v>
          </cell>
          <cell r="K2057" t="str">
            <v>3801</v>
          </cell>
          <cell r="L2057" t="str">
            <v>COATING</v>
          </cell>
          <cell r="M2057" t="str">
            <v>380101</v>
          </cell>
          <cell r="N2057" t="str">
            <v>DECOR PLAST</v>
          </cell>
        </row>
        <row r="2058">
          <cell r="C2058" t="str">
            <v>170000453</v>
          </cell>
          <cell r="D2058" t="str">
            <v>#NUPC 8K1-1L</v>
          </cell>
          <cell r="E2058" t="str">
            <v>ZTRD</v>
          </cell>
          <cell r="F2058" t="str">
            <v>PC</v>
          </cell>
          <cell r="G2058" t="str">
            <v>6</v>
          </cell>
          <cell r="H2058" t="str">
            <v>WORKSHOP</v>
          </cell>
          <cell r="I2058" t="str">
            <v>65</v>
          </cell>
          <cell r="J2058" t="str">
            <v/>
          </cell>
          <cell r="K2058" t="str">
            <v>6502</v>
          </cell>
          <cell r="L2058" t="str">
            <v/>
          </cell>
          <cell r="M2058" t="str">
            <v>650206</v>
          </cell>
          <cell r="N2058" t="str">
            <v/>
          </cell>
        </row>
        <row r="2059">
          <cell r="C2059" t="str">
            <v>170000454</v>
          </cell>
          <cell r="D2059" t="str">
            <v>#NUPC 8K2-1L</v>
          </cell>
          <cell r="E2059" t="str">
            <v>ZTRD</v>
          </cell>
          <cell r="F2059" t="str">
            <v>PC</v>
          </cell>
          <cell r="G2059" t="str">
            <v>6</v>
          </cell>
          <cell r="H2059" t="str">
            <v>WORKSHOP</v>
          </cell>
          <cell r="I2059" t="str">
            <v>65</v>
          </cell>
          <cell r="J2059" t="str">
            <v/>
          </cell>
          <cell r="K2059" t="str">
            <v>6502</v>
          </cell>
          <cell r="L2059" t="str">
            <v/>
          </cell>
          <cell r="M2059" t="str">
            <v>650206</v>
          </cell>
          <cell r="N2059" t="str">
            <v/>
          </cell>
        </row>
        <row r="2060">
          <cell r="C2060" t="str">
            <v>170000455</v>
          </cell>
          <cell r="D2060" t="str">
            <v>#NUPC 8R1-1L</v>
          </cell>
          <cell r="E2060" t="str">
            <v>ZTRD</v>
          </cell>
          <cell r="F2060" t="str">
            <v>PC</v>
          </cell>
          <cell r="G2060" t="str">
            <v>6</v>
          </cell>
          <cell r="H2060" t="str">
            <v>WORKSHOP</v>
          </cell>
          <cell r="I2060" t="str">
            <v>65</v>
          </cell>
          <cell r="J2060" t="str">
            <v/>
          </cell>
          <cell r="K2060" t="str">
            <v>6502</v>
          </cell>
          <cell r="L2060" t="str">
            <v/>
          </cell>
          <cell r="M2060" t="str">
            <v>650206</v>
          </cell>
          <cell r="N2060" t="str">
            <v/>
          </cell>
        </row>
        <row r="2061">
          <cell r="C2061" t="str">
            <v>170000456</v>
          </cell>
          <cell r="D2061" t="str">
            <v>#NUPC 8R2-1L</v>
          </cell>
          <cell r="E2061" t="str">
            <v>ZTRD</v>
          </cell>
          <cell r="F2061" t="str">
            <v>PC</v>
          </cell>
          <cell r="G2061" t="str">
            <v>6</v>
          </cell>
          <cell r="H2061" t="str">
            <v>WORKSHOP</v>
          </cell>
          <cell r="I2061" t="str">
            <v>65</v>
          </cell>
          <cell r="J2061" t="str">
            <v/>
          </cell>
          <cell r="K2061" t="str">
            <v>6502</v>
          </cell>
          <cell r="L2061" t="str">
            <v/>
          </cell>
          <cell r="M2061" t="str">
            <v>650206</v>
          </cell>
          <cell r="N2061" t="str">
            <v/>
          </cell>
        </row>
        <row r="2062">
          <cell r="C2062" t="str">
            <v>170000457</v>
          </cell>
          <cell r="D2062" t="str">
            <v>#NUPC 8R3-1L</v>
          </cell>
          <cell r="E2062" t="str">
            <v>ZTRD</v>
          </cell>
          <cell r="F2062" t="str">
            <v>PC</v>
          </cell>
          <cell r="G2062" t="str">
            <v>6</v>
          </cell>
          <cell r="H2062" t="str">
            <v>WORKSHOP</v>
          </cell>
          <cell r="I2062" t="str">
            <v>65</v>
          </cell>
          <cell r="J2062" t="str">
            <v/>
          </cell>
          <cell r="K2062" t="str">
            <v>6502</v>
          </cell>
          <cell r="L2062" t="str">
            <v/>
          </cell>
          <cell r="M2062" t="str">
            <v>650206</v>
          </cell>
          <cell r="N2062" t="str">
            <v/>
          </cell>
        </row>
        <row r="2063">
          <cell r="C2063" t="str">
            <v>170000458</v>
          </cell>
          <cell r="D2063" t="str">
            <v>#NUPC 8Y1-1L</v>
          </cell>
          <cell r="E2063" t="str">
            <v>ZTRD</v>
          </cell>
          <cell r="F2063" t="str">
            <v>PC</v>
          </cell>
          <cell r="G2063" t="str">
            <v>6</v>
          </cell>
          <cell r="H2063" t="str">
            <v>WORKSHOP</v>
          </cell>
          <cell r="I2063" t="str">
            <v>65</v>
          </cell>
          <cell r="J2063" t="str">
            <v/>
          </cell>
          <cell r="K2063" t="str">
            <v>6502</v>
          </cell>
          <cell r="L2063" t="str">
            <v/>
          </cell>
          <cell r="M2063" t="str">
            <v>650206</v>
          </cell>
          <cell r="N2063" t="str">
            <v/>
          </cell>
        </row>
        <row r="2064">
          <cell r="C2064" t="str">
            <v>170000459</v>
          </cell>
          <cell r="D2064" t="str">
            <v>#NUPC 8Y2-1L</v>
          </cell>
          <cell r="E2064" t="str">
            <v>ZTRD</v>
          </cell>
          <cell r="F2064" t="str">
            <v>PC</v>
          </cell>
          <cell r="G2064" t="str">
            <v>6</v>
          </cell>
          <cell r="H2064" t="str">
            <v>WORKSHOP</v>
          </cell>
          <cell r="I2064" t="str">
            <v>65</v>
          </cell>
          <cell r="J2064" t="str">
            <v/>
          </cell>
          <cell r="K2064" t="str">
            <v>6502</v>
          </cell>
          <cell r="L2064" t="str">
            <v/>
          </cell>
          <cell r="M2064" t="str">
            <v>650206</v>
          </cell>
          <cell r="N2064" t="str">
            <v/>
          </cell>
        </row>
        <row r="2065">
          <cell r="C2065" t="str">
            <v>170000460</v>
          </cell>
          <cell r="D2065" t="str">
            <v>#NUPC 8Y3-1L</v>
          </cell>
          <cell r="E2065" t="str">
            <v>ZTRD</v>
          </cell>
          <cell r="F2065" t="str">
            <v>PC</v>
          </cell>
          <cell r="G2065" t="str">
            <v>6</v>
          </cell>
          <cell r="H2065" t="str">
            <v>WORKSHOP</v>
          </cell>
          <cell r="I2065" t="str">
            <v>65</v>
          </cell>
          <cell r="J2065" t="str">
            <v/>
          </cell>
          <cell r="K2065" t="str">
            <v>6502</v>
          </cell>
          <cell r="L2065" t="str">
            <v/>
          </cell>
          <cell r="M2065" t="str">
            <v>650206</v>
          </cell>
          <cell r="N2065" t="str">
            <v/>
          </cell>
        </row>
        <row r="2066">
          <cell r="C2066" t="str">
            <v>170000461</v>
          </cell>
          <cell r="D2066" t="str">
            <v>#NUPC 8Y4-1L</v>
          </cell>
          <cell r="E2066" t="str">
            <v>ZTRD</v>
          </cell>
          <cell r="F2066" t="str">
            <v>PC</v>
          </cell>
          <cell r="G2066" t="str">
            <v>6</v>
          </cell>
          <cell r="H2066" t="str">
            <v>WORKSHOP</v>
          </cell>
          <cell r="I2066" t="str">
            <v>65</v>
          </cell>
          <cell r="J2066" t="str">
            <v/>
          </cell>
          <cell r="K2066" t="str">
            <v>6502</v>
          </cell>
          <cell r="L2066" t="str">
            <v/>
          </cell>
          <cell r="M2066" t="str">
            <v>650206</v>
          </cell>
          <cell r="N2066" t="str">
            <v/>
          </cell>
        </row>
        <row r="2067">
          <cell r="C2067" t="str">
            <v>170000462</v>
          </cell>
          <cell r="D2067" t="str">
            <v>#NUPC 8W1-1L</v>
          </cell>
          <cell r="E2067" t="str">
            <v>ZTRD</v>
          </cell>
          <cell r="F2067" t="str">
            <v>PC</v>
          </cell>
          <cell r="G2067" t="str">
            <v>6</v>
          </cell>
          <cell r="H2067" t="str">
            <v>WORKSHOP</v>
          </cell>
          <cell r="I2067" t="str">
            <v>65</v>
          </cell>
          <cell r="J2067" t="str">
            <v/>
          </cell>
          <cell r="K2067" t="str">
            <v>6502</v>
          </cell>
          <cell r="L2067" t="str">
            <v/>
          </cell>
          <cell r="M2067" t="str">
            <v>650206</v>
          </cell>
          <cell r="N2067" t="str">
            <v/>
          </cell>
        </row>
        <row r="2068">
          <cell r="C2068" t="str">
            <v>170000463</v>
          </cell>
          <cell r="D2068" t="str">
            <v>#NUPC 8V1-1L</v>
          </cell>
          <cell r="E2068" t="str">
            <v>ZTRD</v>
          </cell>
          <cell r="F2068" t="str">
            <v>PC</v>
          </cell>
          <cell r="G2068" t="str">
            <v>6</v>
          </cell>
          <cell r="H2068" t="str">
            <v>WORKSHOP</v>
          </cell>
          <cell r="I2068" t="str">
            <v>65</v>
          </cell>
          <cell r="J2068" t="str">
            <v/>
          </cell>
          <cell r="K2068" t="str">
            <v>6502</v>
          </cell>
          <cell r="L2068" t="str">
            <v/>
          </cell>
          <cell r="M2068" t="str">
            <v>650206</v>
          </cell>
          <cell r="N2068" t="str">
            <v/>
          </cell>
        </row>
        <row r="2069">
          <cell r="C2069" t="str">
            <v>170000464</v>
          </cell>
          <cell r="D2069" t="str">
            <v>#NUPC 8B1-1L</v>
          </cell>
          <cell r="E2069" t="str">
            <v>ZTRD</v>
          </cell>
          <cell r="F2069" t="str">
            <v>PC</v>
          </cell>
          <cell r="G2069" t="str">
            <v>6</v>
          </cell>
          <cell r="H2069" t="str">
            <v>WORKSHOP</v>
          </cell>
          <cell r="I2069" t="str">
            <v>65</v>
          </cell>
          <cell r="J2069" t="str">
            <v/>
          </cell>
          <cell r="K2069" t="str">
            <v>6502</v>
          </cell>
          <cell r="L2069" t="str">
            <v/>
          </cell>
          <cell r="M2069" t="str">
            <v>650206</v>
          </cell>
          <cell r="N2069" t="str">
            <v/>
          </cell>
        </row>
        <row r="2070">
          <cell r="C2070" t="str">
            <v>170000465</v>
          </cell>
          <cell r="D2070" t="str">
            <v>#NUPC 8B2-1L</v>
          </cell>
          <cell r="E2070" t="str">
            <v>ZTRD</v>
          </cell>
          <cell r="F2070" t="str">
            <v>PC</v>
          </cell>
          <cell r="G2070" t="str">
            <v>6</v>
          </cell>
          <cell r="H2070" t="str">
            <v>WORKSHOP</v>
          </cell>
          <cell r="I2070" t="str">
            <v>65</v>
          </cell>
          <cell r="J2070" t="str">
            <v/>
          </cell>
          <cell r="K2070" t="str">
            <v>6502</v>
          </cell>
          <cell r="L2070" t="str">
            <v/>
          </cell>
          <cell r="M2070" t="str">
            <v>650206</v>
          </cell>
          <cell r="N2070" t="str">
            <v/>
          </cell>
        </row>
        <row r="2071">
          <cell r="C2071" t="str">
            <v>170000466</v>
          </cell>
          <cell r="D2071" t="str">
            <v>#NUPC 8G1-1L</v>
          </cell>
          <cell r="E2071" t="str">
            <v>ZTRD</v>
          </cell>
          <cell r="F2071" t="str">
            <v>PC</v>
          </cell>
          <cell r="G2071" t="str">
            <v>6</v>
          </cell>
          <cell r="H2071" t="str">
            <v>WORKSHOP</v>
          </cell>
          <cell r="I2071" t="str">
            <v>65</v>
          </cell>
          <cell r="J2071" t="str">
            <v/>
          </cell>
          <cell r="K2071" t="str">
            <v>6502</v>
          </cell>
          <cell r="L2071" t="str">
            <v/>
          </cell>
          <cell r="M2071" t="str">
            <v>650206</v>
          </cell>
          <cell r="N2071" t="str">
            <v/>
          </cell>
        </row>
        <row r="2072">
          <cell r="C2072" t="str">
            <v>170000471</v>
          </cell>
          <cell r="D2072" t="str">
            <v>A-1000 BASE A-0.9L</v>
          </cell>
          <cell r="E2072" t="str">
            <v>ZTRD</v>
          </cell>
          <cell r="F2072" t="str">
            <v>PC</v>
          </cell>
          <cell r="G2072" t="str">
            <v>X</v>
          </cell>
          <cell r="H2072" t="str">
            <v>TRD RETAIL</v>
          </cell>
          <cell r="I2072" t="str">
            <v>X9</v>
          </cell>
          <cell r="J2072" t="str">
            <v>MPC</v>
          </cell>
          <cell r="K2072" t="str">
            <v>X909</v>
          </cell>
          <cell r="L2072" t="str">
            <v>GO FAST</v>
          </cell>
          <cell r="M2072" t="str">
            <v>X90902</v>
          </cell>
          <cell r="N2072" t="str">
            <v>GO FAST BASE</v>
          </cell>
        </row>
        <row r="2073">
          <cell r="C2073" t="str">
            <v>170000472</v>
          </cell>
          <cell r="D2073" t="str">
            <v>A-1000 BASE A-2.5L</v>
          </cell>
          <cell r="E2073" t="str">
            <v>ZTRD</v>
          </cell>
          <cell r="F2073" t="str">
            <v>PC</v>
          </cell>
          <cell r="G2073" t="str">
            <v>X</v>
          </cell>
          <cell r="H2073" t="str">
            <v>TRD RETAIL</v>
          </cell>
          <cell r="I2073" t="str">
            <v>X9</v>
          </cell>
          <cell r="J2073" t="str">
            <v>MPC</v>
          </cell>
          <cell r="K2073" t="str">
            <v>X909</v>
          </cell>
          <cell r="L2073" t="str">
            <v>GO FAST</v>
          </cell>
          <cell r="M2073" t="str">
            <v>X90902</v>
          </cell>
          <cell r="N2073" t="str">
            <v>GO FAST BASE</v>
          </cell>
        </row>
        <row r="2074">
          <cell r="C2074" t="str">
            <v>170000473</v>
          </cell>
          <cell r="D2074" t="str">
            <v>A-1000 BASE A-20LP</v>
          </cell>
          <cell r="E2074" t="str">
            <v>ZTRD</v>
          </cell>
          <cell r="F2074" t="str">
            <v>PC</v>
          </cell>
          <cell r="G2074" t="str">
            <v>X</v>
          </cell>
          <cell r="H2074" t="str">
            <v>TRD RETAIL</v>
          </cell>
          <cell r="I2074" t="str">
            <v>X9</v>
          </cell>
          <cell r="J2074" t="str">
            <v>MPC</v>
          </cell>
          <cell r="K2074" t="str">
            <v>X909</v>
          </cell>
          <cell r="L2074" t="str">
            <v>GO FAST</v>
          </cell>
          <cell r="M2074" t="str">
            <v>X90902</v>
          </cell>
          <cell r="N2074" t="str">
            <v>GO FAST BASE</v>
          </cell>
        </row>
        <row r="2075">
          <cell r="C2075" t="str">
            <v>170000474</v>
          </cell>
          <cell r="D2075" t="str">
            <v>A-1000 BASE B-0.9L</v>
          </cell>
          <cell r="E2075" t="str">
            <v>ZTRD</v>
          </cell>
          <cell r="F2075" t="str">
            <v>PC</v>
          </cell>
          <cell r="G2075" t="str">
            <v>X</v>
          </cell>
          <cell r="H2075" t="str">
            <v>TRD RETAIL</v>
          </cell>
          <cell r="I2075" t="str">
            <v>X9</v>
          </cell>
          <cell r="J2075" t="str">
            <v>MPC</v>
          </cell>
          <cell r="K2075" t="str">
            <v>X909</v>
          </cell>
          <cell r="L2075" t="str">
            <v>GO FAST</v>
          </cell>
          <cell r="M2075" t="str">
            <v>X90902</v>
          </cell>
          <cell r="N2075" t="str">
            <v>GO FAST BASE</v>
          </cell>
        </row>
        <row r="2076">
          <cell r="C2076" t="str">
            <v>170000475</v>
          </cell>
          <cell r="D2076" t="str">
            <v>A-1000 BASE B-2.5L</v>
          </cell>
          <cell r="E2076" t="str">
            <v>ZTRD</v>
          </cell>
          <cell r="F2076" t="str">
            <v>PC</v>
          </cell>
          <cell r="G2076" t="str">
            <v>X</v>
          </cell>
          <cell r="H2076" t="str">
            <v>TRD RETAIL</v>
          </cell>
          <cell r="I2076" t="str">
            <v>X9</v>
          </cell>
          <cell r="J2076" t="str">
            <v>MPC</v>
          </cell>
          <cell r="K2076" t="str">
            <v>X909</v>
          </cell>
          <cell r="L2076" t="str">
            <v>GO FAST</v>
          </cell>
          <cell r="M2076" t="str">
            <v>X90902</v>
          </cell>
          <cell r="N2076" t="str">
            <v>GO FAST BASE</v>
          </cell>
        </row>
        <row r="2077">
          <cell r="C2077" t="str">
            <v>170000476</v>
          </cell>
          <cell r="D2077" t="str">
            <v>A-1000 BASE B-20LP</v>
          </cell>
          <cell r="E2077" t="str">
            <v>ZTRD</v>
          </cell>
          <cell r="F2077" t="str">
            <v>PC</v>
          </cell>
          <cell r="G2077" t="str">
            <v>X</v>
          </cell>
          <cell r="H2077" t="str">
            <v>TRD RETAIL</v>
          </cell>
          <cell r="I2077" t="str">
            <v>X9</v>
          </cell>
          <cell r="J2077" t="str">
            <v>MPC</v>
          </cell>
          <cell r="K2077" t="str">
            <v>X909</v>
          </cell>
          <cell r="L2077" t="str">
            <v>GO FAST</v>
          </cell>
          <cell r="M2077" t="str">
            <v>X90902</v>
          </cell>
          <cell r="N2077" t="str">
            <v>GO FAST BASE</v>
          </cell>
        </row>
        <row r="2078">
          <cell r="C2078" t="str">
            <v>170000477</v>
          </cell>
          <cell r="D2078" t="str">
            <v>A-1000 BASE D-0.9L</v>
          </cell>
          <cell r="E2078" t="str">
            <v>ZTRD</v>
          </cell>
          <cell r="F2078" t="str">
            <v>PC</v>
          </cell>
          <cell r="G2078" t="str">
            <v>X</v>
          </cell>
          <cell r="H2078" t="str">
            <v>TRD RETAIL</v>
          </cell>
          <cell r="I2078" t="str">
            <v>X9</v>
          </cell>
          <cell r="J2078" t="str">
            <v>MPC</v>
          </cell>
          <cell r="K2078" t="str">
            <v>X909</v>
          </cell>
          <cell r="L2078" t="str">
            <v>GO FAST</v>
          </cell>
          <cell r="M2078" t="str">
            <v>X90902</v>
          </cell>
          <cell r="N2078" t="str">
            <v>GO FAST BASE</v>
          </cell>
        </row>
        <row r="2079">
          <cell r="C2079" t="str">
            <v>170000478</v>
          </cell>
          <cell r="D2079" t="str">
            <v>A-1000 BASE D-2.5L</v>
          </cell>
          <cell r="E2079" t="str">
            <v>ZTRD</v>
          </cell>
          <cell r="F2079" t="str">
            <v>PC</v>
          </cell>
          <cell r="G2079" t="str">
            <v>X</v>
          </cell>
          <cell r="H2079" t="str">
            <v>TRD RETAIL</v>
          </cell>
          <cell r="I2079" t="str">
            <v>X9</v>
          </cell>
          <cell r="J2079" t="str">
            <v>MPC</v>
          </cell>
          <cell r="K2079" t="str">
            <v>X909</v>
          </cell>
          <cell r="L2079" t="str">
            <v>GO FAST</v>
          </cell>
          <cell r="M2079" t="str">
            <v>X90902</v>
          </cell>
          <cell r="N2079" t="str">
            <v>GO FAST BASE</v>
          </cell>
        </row>
        <row r="2080">
          <cell r="C2080" t="str">
            <v>170000479</v>
          </cell>
          <cell r="D2080" t="str">
            <v>A-1000 BASE D-20LP</v>
          </cell>
          <cell r="E2080" t="str">
            <v>ZTRD</v>
          </cell>
          <cell r="F2080" t="str">
            <v>PC</v>
          </cell>
          <cell r="G2080" t="str">
            <v>X</v>
          </cell>
          <cell r="H2080" t="str">
            <v>TRD RETAIL</v>
          </cell>
          <cell r="I2080" t="str">
            <v>X9</v>
          </cell>
          <cell r="J2080" t="str">
            <v>MPC</v>
          </cell>
          <cell r="K2080" t="str">
            <v>X909</v>
          </cell>
          <cell r="L2080" t="str">
            <v>GO FAST</v>
          </cell>
          <cell r="M2080" t="str">
            <v>X90902</v>
          </cell>
          <cell r="N2080" t="str">
            <v>GO FAST BASE</v>
          </cell>
        </row>
        <row r="2081">
          <cell r="C2081" t="str">
            <v>170000490</v>
          </cell>
          <cell r="D2081" t="str">
            <v>CERAKOTE CTP-980 WB-20KSP</v>
          </cell>
          <cell r="E2081" t="str">
            <v>ZTRD</v>
          </cell>
          <cell r="F2081" t="str">
            <v>SET</v>
          </cell>
          <cell r="G2081" t="str">
            <v>Y</v>
          </cell>
          <cell r="H2081" t="str">
            <v>TRD PROJECT</v>
          </cell>
          <cell r="I2081" t="str">
            <v>Y6</v>
          </cell>
          <cell r="J2081" t="str">
            <v>CPC1</v>
          </cell>
          <cell r="K2081" t="str">
            <v>Y604</v>
          </cell>
          <cell r="L2081" t="str">
            <v>CERAKOTE</v>
          </cell>
          <cell r="M2081" t="str">
            <v>Y60401</v>
          </cell>
          <cell r="N2081" t="str">
            <v>CERAKOTE</v>
          </cell>
        </row>
        <row r="2082">
          <cell r="C2082" t="str">
            <v>170000608</v>
          </cell>
          <cell r="D2082" t="str">
            <v>FIBERKOTE 820-2.5L</v>
          </cell>
          <cell r="E2082" t="str">
            <v>ZTRD</v>
          </cell>
          <cell r="F2082" t="str">
            <v>PC</v>
          </cell>
          <cell r="G2082" t="str">
            <v>X</v>
          </cell>
          <cell r="H2082" t="str">
            <v>TRD RETAIL</v>
          </cell>
          <cell r="I2082" t="str">
            <v>X6</v>
          </cell>
          <cell r="J2082" t="str">
            <v>SFC</v>
          </cell>
          <cell r="K2082" t="str">
            <v>X604</v>
          </cell>
          <cell r="L2082" t="str">
            <v>FIBERKOTE</v>
          </cell>
          <cell r="M2082" t="str">
            <v>X60401</v>
          </cell>
          <cell r="N2082" t="str">
            <v>FIBERKOTE RMX</v>
          </cell>
        </row>
        <row r="2083">
          <cell r="C2083" t="str">
            <v>170000609</v>
          </cell>
          <cell r="D2083" t="str">
            <v>FIBERKOTE 888 AKASIA 18-8301-1L</v>
          </cell>
          <cell r="E2083" t="str">
            <v>ZTRD</v>
          </cell>
          <cell r="F2083" t="str">
            <v>PC</v>
          </cell>
          <cell r="G2083" t="str">
            <v>X</v>
          </cell>
          <cell r="H2083" t="str">
            <v>TRD RETAIL</v>
          </cell>
          <cell r="I2083" t="str">
            <v>X6</v>
          </cell>
          <cell r="J2083" t="str">
            <v>SFC</v>
          </cell>
          <cell r="K2083" t="str">
            <v>X604</v>
          </cell>
          <cell r="L2083" t="str">
            <v>FIBERKOTE</v>
          </cell>
          <cell r="M2083" t="str">
            <v>X60401</v>
          </cell>
          <cell r="N2083" t="str">
            <v>FIBERKOTE RMX</v>
          </cell>
        </row>
        <row r="2084">
          <cell r="C2084" t="str">
            <v>170000610</v>
          </cell>
          <cell r="D2084" t="str">
            <v>FIBERKOTE 888 AKASIA 18-8301-2.5L</v>
          </cell>
          <cell r="E2084" t="str">
            <v>ZTRD</v>
          </cell>
          <cell r="F2084" t="str">
            <v>PC</v>
          </cell>
          <cell r="G2084" t="str">
            <v>X</v>
          </cell>
          <cell r="H2084" t="str">
            <v>TRD RETAIL</v>
          </cell>
          <cell r="I2084" t="str">
            <v>X6</v>
          </cell>
          <cell r="J2084" t="str">
            <v>SFC</v>
          </cell>
          <cell r="K2084" t="str">
            <v>X604</v>
          </cell>
          <cell r="L2084" t="str">
            <v>FIBERKOTE</v>
          </cell>
          <cell r="M2084" t="str">
            <v>X60401</v>
          </cell>
          <cell r="N2084" t="str">
            <v>FIBERKOTE RMX</v>
          </cell>
        </row>
        <row r="2085">
          <cell r="C2085" t="str">
            <v>170000611</v>
          </cell>
          <cell r="D2085" t="str">
            <v>FIBERKOTE 888 BASE D-1L</v>
          </cell>
          <cell r="E2085" t="str">
            <v>ZTRD</v>
          </cell>
          <cell r="F2085" t="str">
            <v>PC</v>
          </cell>
          <cell r="G2085" t="str">
            <v>X</v>
          </cell>
          <cell r="H2085" t="str">
            <v>TRD RETAIL</v>
          </cell>
          <cell r="I2085" t="str">
            <v>X6</v>
          </cell>
          <cell r="J2085" t="str">
            <v>SFC</v>
          </cell>
          <cell r="K2085" t="str">
            <v>X604</v>
          </cell>
          <cell r="L2085" t="str">
            <v>FIBERKOTE</v>
          </cell>
          <cell r="M2085" t="str">
            <v>X60402</v>
          </cell>
          <cell r="N2085" t="str">
            <v>FIBERKOTE BASE</v>
          </cell>
        </row>
        <row r="2086">
          <cell r="C2086" t="str">
            <v>170000612</v>
          </cell>
          <cell r="D2086" t="str">
            <v>FIBERKOTE 888 BASE D-2.5L</v>
          </cell>
          <cell r="E2086" t="str">
            <v>ZTRD</v>
          </cell>
          <cell r="F2086" t="str">
            <v>PC</v>
          </cell>
          <cell r="G2086" t="str">
            <v>X</v>
          </cell>
          <cell r="H2086" t="str">
            <v>TRD RETAIL</v>
          </cell>
          <cell r="I2086" t="str">
            <v>X6</v>
          </cell>
          <cell r="J2086" t="str">
            <v>SFC</v>
          </cell>
          <cell r="K2086" t="str">
            <v>X604</v>
          </cell>
          <cell r="L2086" t="str">
            <v>FIBERKOTE</v>
          </cell>
          <cell r="M2086" t="str">
            <v>X60402</v>
          </cell>
          <cell r="N2086" t="str">
            <v>FIBERKOTE BASE</v>
          </cell>
        </row>
        <row r="2087">
          <cell r="C2087" t="str">
            <v>170000613</v>
          </cell>
          <cell r="D2087" t="str">
            <v>FIBERKOTE 888 BASE Y-1L</v>
          </cell>
          <cell r="E2087" t="str">
            <v>ZTRD</v>
          </cell>
          <cell r="F2087" t="str">
            <v>PC</v>
          </cell>
          <cell r="G2087" t="str">
            <v>X</v>
          </cell>
          <cell r="H2087" t="str">
            <v>TRD RETAIL</v>
          </cell>
          <cell r="I2087" t="str">
            <v>X6</v>
          </cell>
          <cell r="J2087" t="str">
            <v>SFC</v>
          </cell>
          <cell r="K2087" t="str">
            <v>X604</v>
          </cell>
          <cell r="L2087" t="str">
            <v>FIBERKOTE</v>
          </cell>
          <cell r="M2087" t="str">
            <v>X60402</v>
          </cell>
          <cell r="N2087" t="str">
            <v>FIBERKOTE BASE</v>
          </cell>
        </row>
        <row r="2088">
          <cell r="C2088" t="str">
            <v>170000614</v>
          </cell>
          <cell r="D2088" t="str">
            <v>FIBERKOTE 888 BASE Y-2.5L</v>
          </cell>
          <cell r="E2088" t="str">
            <v>ZTRD</v>
          </cell>
          <cell r="F2088" t="str">
            <v>PC</v>
          </cell>
          <cell r="G2088" t="str">
            <v>X</v>
          </cell>
          <cell r="H2088" t="str">
            <v>TRD RETAIL</v>
          </cell>
          <cell r="I2088" t="str">
            <v>X6</v>
          </cell>
          <cell r="J2088" t="str">
            <v>SFC</v>
          </cell>
          <cell r="K2088" t="str">
            <v>X604</v>
          </cell>
          <cell r="L2088" t="str">
            <v>FIBERKOTE</v>
          </cell>
          <cell r="M2088" t="str">
            <v>X60402</v>
          </cell>
          <cell r="N2088" t="str">
            <v>FIBERKOTE BASE</v>
          </cell>
        </row>
        <row r="2089">
          <cell r="C2089" t="str">
            <v>170000615</v>
          </cell>
          <cell r="D2089" t="str">
            <v>FIBERKOTE 888 CHERRY 18-8202-1L</v>
          </cell>
          <cell r="E2089" t="str">
            <v>ZTRD</v>
          </cell>
          <cell r="F2089" t="str">
            <v>PC</v>
          </cell>
          <cell r="G2089" t="str">
            <v>X</v>
          </cell>
          <cell r="H2089" t="str">
            <v>TRD RETAIL</v>
          </cell>
          <cell r="I2089" t="str">
            <v>X6</v>
          </cell>
          <cell r="J2089" t="str">
            <v>SFC</v>
          </cell>
          <cell r="K2089" t="str">
            <v>X604</v>
          </cell>
          <cell r="L2089" t="str">
            <v>FIBERKOTE</v>
          </cell>
          <cell r="M2089" t="str">
            <v>X60401</v>
          </cell>
          <cell r="N2089" t="str">
            <v>FIBERKOTE RMX</v>
          </cell>
        </row>
        <row r="2090">
          <cell r="C2090" t="str">
            <v>170000616</v>
          </cell>
          <cell r="D2090" t="str">
            <v>FIBERKOTE 888 CHERRY 18-8202-2.5L</v>
          </cell>
          <cell r="E2090" t="str">
            <v>ZTRD</v>
          </cell>
          <cell r="F2090" t="str">
            <v>PC</v>
          </cell>
          <cell r="G2090" t="str">
            <v>X</v>
          </cell>
          <cell r="H2090" t="str">
            <v>TRD RETAIL</v>
          </cell>
          <cell r="I2090" t="str">
            <v>X6</v>
          </cell>
          <cell r="J2090" t="str">
            <v>SFC</v>
          </cell>
          <cell r="K2090" t="str">
            <v>X604</v>
          </cell>
          <cell r="L2090" t="str">
            <v>FIBERKOTE</v>
          </cell>
          <cell r="M2090" t="str">
            <v>X60401</v>
          </cell>
          <cell r="N2090" t="str">
            <v>FIBERKOTE RMX</v>
          </cell>
        </row>
        <row r="2091">
          <cell r="C2091" t="str">
            <v>170000619</v>
          </cell>
          <cell r="D2091" t="str">
            <v>FIBERKOTE 888 PALISANDER BROWN-1L</v>
          </cell>
          <cell r="E2091" t="str">
            <v>ZTRD</v>
          </cell>
          <cell r="F2091" t="str">
            <v>PC</v>
          </cell>
          <cell r="G2091" t="str">
            <v>X</v>
          </cell>
          <cell r="H2091" t="str">
            <v>TRD RETAIL</v>
          </cell>
          <cell r="I2091" t="str">
            <v>X6</v>
          </cell>
          <cell r="J2091" t="str">
            <v>SFC</v>
          </cell>
          <cell r="K2091" t="str">
            <v>X604</v>
          </cell>
          <cell r="L2091" t="str">
            <v>FIBERKOTE</v>
          </cell>
          <cell r="M2091" t="str">
            <v>X60401</v>
          </cell>
          <cell r="N2091" t="str">
            <v>FIBERKOTE RMX</v>
          </cell>
        </row>
        <row r="2092">
          <cell r="C2092" t="str">
            <v>170000620</v>
          </cell>
          <cell r="D2092" t="str">
            <v>FIBERKOTE 888 PALISANDER BROWN-2.5L</v>
          </cell>
          <cell r="E2092" t="str">
            <v>ZTRD</v>
          </cell>
          <cell r="F2092" t="str">
            <v>PC</v>
          </cell>
          <cell r="G2092" t="str">
            <v>X</v>
          </cell>
          <cell r="H2092" t="str">
            <v>TRD RETAIL</v>
          </cell>
          <cell r="I2092" t="str">
            <v>X6</v>
          </cell>
          <cell r="J2092" t="str">
            <v>SFC</v>
          </cell>
          <cell r="K2092" t="str">
            <v>X604</v>
          </cell>
          <cell r="L2092" t="str">
            <v>FIBERKOTE</v>
          </cell>
          <cell r="M2092" t="str">
            <v>X60401</v>
          </cell>
          <cell r="N2092" t="str">
            <v>FIBERKOTE RMX</v>
          </cell>
        </row>
        <row r="2093">
          <cell r="C2093" t="str">
            <v>170000623</v>
          </cell>
          <cell r="D2093" t="str">
            <v>FIBERKOTE 888 WALNUT BROWN-1L</v>
          </cell>
          <cell r="E2093" t="str">
            <v>ZTRD</v>
          </cell>
          <cell r="F2093" t="str">
            <v>PC</v>
          </cell>
          <cell r="G2093" t="str">
            <v>X</v>
          </cell>
          <cell r="H2093" t="str">
            <v>TRD RETAIL</v>
          </cell>
          <cell r="I2093" t="str">
            <v>X6</v>
          </cell>
          <cell r="J2093" t="str">
            <v>SFC</v>
          </cell>
          <cell r="K2093" t="str">
            <v>X604</v>
          </cell>
          <cell r="L2093" t="str">
            <v>FIBERKOTE</v>
          </cell>
          <cell r="M2093" t="str">
            <v>X60401</v>
          </cell>
          <cell r="N2093" t="str">
            <v>FIBERKOTE RMX</v>
          </cell>
        </row>
        <row r="2094">
          <cell r="C2094" t="str">
            <v>170000624</v>
          </cell>
          <cell r="D2094" t="str">
            <v>FIBERKOTE 888 WALNUT BROWN-2.5L</v>
          </cell>
          <cell r="E2094" t="str">
            <v>ZTRD</v>
          </cell>
          <cell r="F2094" t="str">
            <v>PC</v>
          </cell>
          <cell r="G2094" t="str">
            <v>X</v>
          </cell>
          <cell r="H2094" t="str">
            <v>TRD RETAIL</v>
          </cell>
          <cell r="I2094" t="str">
            <v>X6</v>
          </cell>
          <cell r="J2094" t="str">
            <v>SFC</v>
          </cell>
          <cell r="K2094" t="str">
            <v>X604</v>
          </cell>
          <cell r="L2094" t="str">
            <v>FIBERKOTE</v>
          </cell>
          <cell r="M2094" t="str">
            <v>X60401</v>
          </cell>
          <cell r="N2094" t="str">
            <v>FIBERKOTE RMX</v>
          </cell>
        </row>
        <row r="2095">
          <cell r="C2095" t="str">
            <v>170000626</v>
          </cell>
          <cell r="D2095" t="str">
            <v>FIBERKOTE 889 BASE D-1L</v>
          </cell>
          <cell r="E2095" t="str">
            <v>ZTRD</v>
          </cell>
          <cell r="F2095" t="str">
            <v>PC</v>
          </cell>
          <cell r="G2095" t="str">
            <v>X</v>
          </cell>
          <cell r="H2095" t="str">
            <v>TRD RETAIL</v>
          </cell>
          <cell r="I2095" t="str">
            <v>X6</v>
          </cell>
          <cell r="J2095" t="str">
            <v>SFC</v>
          </cell>
          <cell r="K2095" t="str">
            <v>X604</v>
          </cell>
          <cell r="L2095" t="str">
            <v>FIBERKOTE</v>
          </cell>
          <cell r="M2095" t="str">
            <v>X60402</v>
          </cell>
          <cell r="N2095" t="str">
            <v>FIBERKOTE BASE</v>
          </cell>
        </row>
        <row r="2096">
          <cell r="C2096" t="str">
            <v>170000627</v>
          </cell>
          <cell r="D2096" t="str">
            <v>FIBERKOTE 889 BASE D-2.5L</v>
          </cell>
          <cell r="E2096" t="str">
            <v>ZTRD</v>
          </cell>
          <cell r="F2096" t="str">
            <v>PC</v>
          </cell>
          <cell r="G2096" t="str">
            <v>X</v>
          </cell>
          <cell r="H2096" t="str">
            <v>TRD RETAIL</v>
          </cell>
          <cell r="I2096" t="str">
            <v>X6</v>
          </cell>
          <cell r="J2096" t="str">
            <v>SFC</v>
          </cell>
          <cell r="K2096" t="str">
            <v>X604</v>
          </cell>
          <cell r="L2096" t="str">
            <v>FIBERKOTE</v>
          </cell>
          <cell r="M2096" t="str">
            <v>X60402</v>
          </cell>
          <cell r="N2096" t="str">
            <v>FIBERKOTE BASE</v>
          </cell>
        </row>
        <row r="2097">
          <cell r="C2097" t="str">
            <v>170000628</v>
          </cell>
          <cell r="D2097" t="str">
            <v>FIBERKOTE 889 BASE Y-1L</v>
          </cell>
          <cell r="E2097" t="str">
            <v>ZTRD</v>
          </cell>
          <cell r="F2097" t="str">
            <v>PC</v>
          </cell>
          <cell r="G2097" t="str">
            <v>X</v>
          </cell>
          <cell r="H2097" t="str">
            <v>TRD RETAIL</v>
          </cell>
          <cell r="I2097" t="str">
            <v>X6</v>
          </cell>
          <cell r="J2097" t="str">
            <v>SFC</v>
          </cell>
          <cell r="K2097" t="str">
            <v>X604</v>
          </cell>
          <cell r="L2097" t="str">
            <v>FIBERKOTE</v>
          </cell>
          <cell r="M2097" t="str">
            <v>X60402</v>
          </cell>
          <cell r="N2097" t="str">
            <v>FIBERKOTE BASE</v>
          </cell>
        </row>
        <row r="2098">
          <cell r="C2098" t="str">
            <v>170000629</v>
          </cell>
          <cell r="D2098" t="str">
            <v>FIBERKOTE 889 BASE Y-2.5L</v>
          </cell>
          <cell r="E2098" t="str">
            <v>ZTRD</v>
          </cell>
          <cell r="F2098" t="str">
            <v>PC</v>
          </cell>
          <cell r="G2098" t="str">
            <v>X</v>
          </cell>
          <cell r="H2098" t="str">
            <v>TRD RETAIL</v>
          </cell>
          <cell r="I2098" t="str">
            <v>X6</v>
          </cell>
          <cell r="J2098" t="str">
            <v>SFC</v>
          </cell>
          <cell r="K2098" t="str">
            <v>X604</v>
          </cell>
          <cell r="L2098" t="str">
            <v>FIBERKOTE</v>
          </cell>
          <cell r="M2098" t="str">
            <v>X60402</v>
          </cell>
          <cell r="N2098" t="str">
            <v>FIBERKOTE BASE</v>
          </cell>
        </row>
        <row r="2099">
          <cell r="C2099" t="str">
            <v>170000667</v>
          </cell>
          <cell r="D2099" t="str">
            <v>PC 04 BA-1L</v>
          </cell>
          <cell r="E2099" t="str">
            <v>ZTRD</v>
          </cell>
          <cell r="F2099" t="str">
            <v>PC</v>
          </cell>
          <cell r="G2099" t="str">
            <v>X</v>
          </cell>
          <cell r="H2099" t="str">
            <v>TRD RETAIL</v>
          </cell>
          <cell r="I2099" t="str">
            <v>XF</v>
          </cell>
          <cell r="J2099" t="str">
            <v>TINTING</v>
          </cell>
          <cell r="K2099" t="str">
            <v>XF04</v>
          </cell>
          <cell r="L2099" t="str">
            <v>PASTA</v>
          </cell>
          <cell r="M2099" t="str">
            <v>XF0403</v>
          </cell>
          <cell r="N2099" t="str">
            <v>PASTA SB</v>
          </cell>
        </row>
        <row r="2100">
          <cell r="C2100" t="str">
            <v>170000668</v>
          </cell>
          <cell r="D2100" t="str">
            <v>PC 04 BB-1L</v>
          </cell>
          <cell r="E2100" t="str">
            <v>ZTRD</v>
          </cell>
          <cell r="F2100" t="str">
            <v>PC</v>
          </cell>
          <cell r="G2100" t="str">
            <v>X</v>
          </cell>
          <cell r="H2100" t="str">
            <v>TRD RETAIL</v>
          </cell>
          <cell r="I2100" t="str">
            <v>XF</v>
          </cell>
          <cell r="J2100" t="str">
            <v>TINTING</v>
          </cell>
          <cell r="K2100" t="str">
            <v>XF04</v>
          </cell>
          <cell r="L2100" t="str">
            <v>PASTA</v>
          </cell>
          <cell r="M2100" t="str">
            <v>XF0403</v>
          </cell>
          <cell r="N2100" t="str">
            <v>PASTA SB</v>
          </cell>
        </row>
        <row r="2101">
          <cell r="C2101" t="str">
            <v>170000669</v>
          </cell>
          <cell r="D2101" t="str">
            <v>PC 04 GA-1L</v>
          </cell>
          <cell r="E2101" t="str">
            <v>ZTRD</v>
          </cell>
          <cell r="F2101" t="str">
            <v>PC</v>
          </cell>
          <cell r="G2101" t="str">
            <v>X</v>
          </cell>
          <cell r="H2101" t="str">
            <v>TRD RETAIL</v>
          </cell>
          <cell r="I2101" t="str">
            <v>XF</v>
          </cell>
          <cell r="J2101" t="str">
            <v>TINTING</v>
          </cell>
          <cell r="K2101" t="str">
            <v>XF04</v>
          </cell>
          <cell r="L2101" t="str">
            <v>PASTA</v>
          </cell>
          <cell r="M2101" t="str">
            <v>XF0403</v>
          </cell>
          <cell r="N2101" t="str">
            <v>PASTA SB</v>
          </cell>
        </row>
        <row r="2102">
          <cell r="C2102" t="str">
            <v>170000670</v>
          </cell>
          <cell r="D2102" t="str">
            <v>PC 04 KA-1L</v>
          </cell>
          <cell r="E2102" t="str">
            <v>ZTRD</v>
          </cell>
          <cell r="F2102" t="str">
            <v>PC</v>
          </cell>
          <cell r="G2102" t="str">
            <v>X</v>
          </cell>
          <cell r="H2102" t="str">
            <v>TRD RETAIL</v>
          </cell>
          <cell r="I2102" t="str">
            <v>XF</v>
          </cell>
          <cell r="J2102" t="str">
            <v>TINTING</v>
          </cell>
          <cell r="K2102" t="str">
            <v>XF04</v>
          </cell>
          <cell r="L2102" t="str">
            <v>PASTA</v>
          </cell>
          <cell r="M2102" t="str">
            <v>XF0403</v>
          </cell>
          <cell r="N2102" t="str">
            <v>PASTA SB</v>
          </cell>
        </row>
        <row r="2103">
          <cell r="C2103" t="str">
            <v>170000671</v>
          </cell>
          <cell r="D2103" t="str">
            <v>PC 04 RA-1L</v>
          </cell>
          <cell r="E2103" t="str">
            <v>ZTRD</v>
          </cell>
          <cell r="F2103" t="str">
            <v>PC</v>
          </cell>
          <cell r="G2103" t="str">
            <v>X</v>
          </cell>
          <cell r="H2103" t="str">
            <v>TRD RETAIL</v>
          </cell>
          <cell r="I2103" t="str">
            <v>XF</v>
          </cell>
          <cell r="J2103" t="str">
            <v>TINTING</v>
          </cell>
          <cell r="K2103" t="str">
            <v>XF04</v>
          </cell>
          <cell r="L2103" t="str">
            <v>PASTA</v>
          </cell>
          <cell r="M2103" t="str">
            <v>XF0403</v>
          </cell>
          <cell r="N2103" t="str">
            <v>PASTA SB</v>
          </cell>
        </row>
        <row r="2104">
          <cell r="C2104" t="str">
            <v>170000672</v>
          </cell>
          <cell r="D2104" t="str">
            <v>PC 04 RB-1L</v>
          </cell>
          <cell r="E2104" t="str">
            <v>ZTRD</v>
          </cell>
          <cell r="F2104" t="str">
            <v>PC</v>
          </cell>
          <cell r="G2104" t="str">
            <v>X</v>
          </cell>
          <cell r="H2104" t="str">
            <v>TRD RETAIL</v>
          </cell>
          <cell r="I2104" t="str">
            <v>XF</v>
          </cell>
          <cell r="J2104" t="str">
            <v>TINTING</v>
          </cell>
          <cell r="K2104" t="str">
            <v>XF04</v>
          </cell>
          <cell r="L2104" t="str">
            <v>PASTA</v>
          </cell>
          <cell r="M2104" t="str">
            <v>XF0403</v>
          </cell>
          <cell r="N2104" t="str">
            <v>PASTA SB</v>
          </cell>
        </row>
        <row r="2105">
          <cell r="C2105" t="str">
            <v>170000673</v>
          </cell>
          <cell r="D2105" t="str">
            <v>PC 04 RC-1L</v>
          </cell>
          <cell r="E2105" t="str">
            <v>ZTRD</v>
          </cell>
          <cell r="F2105" t="str">
            <v>PC</v>
          </cell>
          <cell r="G2105" t="str">
            <v>X</v>
          </cell>
          <cell r="H2105" t="str">
            <v>TRD RETAIL</v>
          </cell>
          <cell r="I2105" t="str">
            <v>XF</v>
          </cell>
          <cell r="J2105" t="str">
            <v>TINTING</v>
          </cell>
          <cell r="K2105" t="str">
            <v>XF04</v>
          </cell>
          <cell r="L2105" t="str">
            <v>PASTA</v>
          </cell>
          <cell r="M2105" t="str">
            <v>XF0403</v>
          </cell>
          <cell r="N2105" t="str">
            <v>PASTA SB</v>
          </cell>
        </row>
        <row r="2106">
          <cell r="C2106" t="str">
            <v>170000674</v>
          </cell>
          <cell r="D2106" t="str">
            <v>PC 04 VA-1L</v>
          </cell>
          <cell r="E2106" t="str">
            <v>ZTRD</v>
          </cell>
          <cell r="F2106" t="str">
            <v>PC</v>
          </cell>
          <cell r="G2106" t="str">
            <v>X</v>
          </cell>
          <cell r="H2106" t="str">
            <v>TRD RETAIL</v>
          </cell>
          <cell r="I2106" t="str">
            <v>XF</v>
          </cell>
          <cell r="J2106" t="str">
            <v>TINTING</v>
          </cell>
          <cell r="K2106" t="str">
            <v>XF04</v>
          </cell>
          <cell r="L2106" t="str">
            <v>PASTA</v>
          </cell>
          <cell r="M2106" t="str">
            <v>XF0403</v>
          </cell>
          <cell r="N2106" t="str">
            <v>PASTA SB</v>
          </cell>
        </row>
        <row r="2107">
          <cell r="C2107" t="str">
            <v>170000675</v>
          </cell>
          <cell r="D2107" t="str">
            <v>PC 04 WA-1L</v>
          </cell>
          <cell r="E2107" t="str">
            <v>ZTRD</v>
          </cell>
          <cell r="F2107" t="str">
            <v>PC</v>
          </cell>
          <cell r="G2107" t="str">
            <v>X</v>
          </cell>
          <cell r="H2107" t="str">
            <v>TRD RETAIL</v>
          </cell>
          <cell r="I2107" t="str">
            <v>XF</v>
          </cell>
          <cell r="J2107" t="str">
            <v>TINTING</v>
          </cell>
          <cell r="K2107" t="str">
            <v>XF04</v>
          </cell>
          <cell r="L2107" t="str">
            <v>PASTA</v>
          </cell>
          <cell r="M2107" t="str">
            <v>XF0403</v>
          </cell>
          <cell r="N2107" t="str">
            <v>PASTA SB</v>
          </cell>
        </row>
        <row r="2108">
          <cell r="C2108" t="str">
            <v>170000676</v>
          </cell>
          <cell r="D2108" t="str">
            <v>PC 04 YA-1L</v>
          </cell>
          <cell r="E2108" t="str">
            <v>ZTRD</v>
          </cell>
          <cell r="F2108" t="str">
            <v>PC</v>
          </cell>
          <cell r="G2108" t="str">
            <v>X</v>
          </cell>
          <cell r="H2108" t="str">
            <v>TRD RETAIL</v>
          </cell>
          <cell r="I2108" t="str">
            <v>XF</v>
          </cell>
          <cell r="J2108" t="str">
            <v>TINTING</v>
          </cell>
          <cell r="K2108" t="str">
            <v>XF04</v>
          </cell>
          <cell r="L2108" t="str">
            <v>PASTA</v>
          </cell>
          <cell r="M2108" t="str">
            <v>XF0403</v>
          </cell>
          <cell r="N2108" t="str">
            <v>PASTA SB</v>
          </cell>
        </row>
        <row r="2109">
          <cell r="C2109" t="str">
            <v>170000677</v>
          </cell>
          <cell r="D2109" t="str">
            <v>PC 04 YB-1L</v>
          </cell>
          <cell r="E2109" t="str">
            <v>ZTRD</v>
          </cell>
          <cell r="F2109" t="str">
            <v>PC</v>
          </cell>
          <cell r="G2109" t="str">
            <v>X</v>
          </cell>
          <cell r="H2109" t="str">
            <v>TRD RETAIL</v>
          </cell>
          <cell r="I2109" t="str">
            <v>XF</v>
          </cell>
          <cell r="J2109" t="str">
            <v>TINTING</v>
          </cell>
          <cell r="K2109" t="str">
            <v>XF04</v>
          </cell>
          <cell r="L2109" t="str">
            <v>PASTA</v>
          </cell>
          <cell r="M2109" t="str">
            <v>XF0403</v>
          </cell>
          <cell r="N2109" t="str">
            <v>PASTA SB</v>
          </cell>
        </row>
        <row r="2110">
          <cell r="C2110" t="str">
            <v>170000678</v>
          </cell>
          <cell r="D2110" t="str">
            <v>PC 04 YC-1L</v>
          </cell>
          <cell r="E2110" t="str">
            <v>ZTRD</v>
          </cell>
          <cell r="F2110" t="str">
            <v>PC</v>
          </cell>
          <cell r="G2110" t="str">
            <v>X</v>
          </cell>
          <cell r="H2110" t="str">
            <v>TRD RETAIL</v>
          </cell>
          <cell r="I2110" t="str">
            <v>XF</v>
          </cell>
          <cell r="J2110" t="str">
            <v>TINTING</v>
          </cell>
          <cell r="K2110" t="str">
            <v>XF04</v>
          </cell>
          <cell r="L2110" t="str">
            <v>PASTA</v>
          </cell>
          <cell r="M2110" t="str">
            <v>XF0403</v>
          </cell>
          <cell r="N2110" t="str">
            <v>PASTA SB</v>
          </cell>
        </row>
        <row r="2111">
          <cell r="C2111" t="str">
            <v>170000803</v>
          </cell>
          <cell r="D2111" t="str">
            <v>PUC-786-2K DOF BASE A-1LS</v>
          </cell>
          <cell r="E2111" t="str">
            <v>ZTRD</v>
          </cell>
          <cell r="F2111" t="str">
            <v>SET</v>
          </cell>
          <cell r="G2111" t="str">
            <v>X</v>
          </cell>
          <cell r="H2111" t="str">
            <v>TRD RETAIL</v>
          </cell>
          <cell r="I2111" t="str">
            <v>X2</v>
          </cell>
          <cell r="J2111" t="str">
            <v>WF2</v>
          </cell>
          <cell r="K2111" t="str">
            <v>X216</v>
          </cell>
          <cell r="L2111" t="str">
            <v>PU MULTIPURPOSE</v>
          </cell>
          <cell r="M2111" t="str">
            <v>X21601</v>
          </cell>
          <cell r="N2111" t="str">
            <v>PROPAN MP PU ACR RMX</v>
          </cell>
        </row>
        <row r="2112">
          <cell r="C2112" t="str">
            <v>170000806</v>
          </cell>
          <cell r="D2112" t="str">
            <v>PUC-786-2K DOF BASE B-1LS</v>
          </cell>
          <cell r="E2112" t="str">
            <v>ZTRD</v>
          </cell>
          <cell r="F2112" t="str">
            <v>SET</v>
          </cell>
          <cell r="G2112" t="str">
            <v>X</v>
          </cell>
          <cell r="H2112" t="str">
            <v>TRD RETAIL</v>
          </cell>
          <cell r="I2112" t="str">
            <v>X2</v>
          </cell>
          <cell r="J2112" t="str">
            <v>WF2</v>
          </cell>
          <cell r="K2112" t="str">
            <v>X216</v>
          </cell>
          <cell r="L2112" t="str">
            <v>PU MULTIPURPOSE</v>
          </cell>
          <cell r="M2112" t="str">
            <v>X21601</v>
          </cell>
          <cell r="N2112" t="str">
            <v>PROPAN MP PU ACR RMX</v>
          </cell>
        </row>
        <row r="2113">
          <cell r="C2113" t="str">
            <v>170000830</v>
          </cell>
          <cell r="D2113" t="str">
            <v>PUL-765-2K DOF BASE D-1LS</v>
          </cell>
          <cell r="E2113" t="str">
            <v>ZTRD</v>
          </cell>
          <cell r="F2113" t="str">
            <v>SET</v>
          </cell>
          <cell r="G2113" t="str">
            <v>X</v>
          </cell>
          <cell r="H2113" t="str">
            <v>TRD RETAIL</v>
          </cell>
          <cell r="I2113" t="str">
            <v>X2</v>
          </cell>
          <cell r="J2113" t="str">
            <v>WF2</v>
          </cell>
          <cell r="K2113" t="str">
            <v>X216</v>
          </cell>
          <cell r="L2113" t="str">
            <v>PU MULTIPURPOSE</v>
          </cell>
          <cell r="M2113" t="str">
            <v>X21601</v>
          </cell>
          <cell r="N2113" t="str">
            <v>PROPAN MP PU ACR RMX</v>
          </cell>
        </row>
        <row r="2114">
          <cell r="C2114" t="str">
            <v>170000833</v>
          </cell>
          <cell r="D2114" t="str">
            <v>PUL-765-2K DOF BASE D-5LS</v>
          </cell>
          <cell r="E2114" t="str">
            <v>ZTRD</v>
          </cell>
          <cell r="F2114" t="str">
            <v>SET</v>
          </cell>
          <cell r="G2114" t="str">
            <v>X</v>
          </cell>
          <cell r="H2114" t="str">
            <v>TRD RETAIL</v>
          </cell>
          <cell r="I2114" t="str">
            <v>X2</v>
          </cell>
          <cell r="J2114" t="str">
            <v>WF2</v>
          </cell>
          <cell r="K2114" t="str">
            <v>X216</v>
          </cell>
          <cell r="L2114" t="str">
            <v>PU MULTIPURPOSE</v>
          </cell>
          <cell r="M2114" t="str">
            <v>X21601</v>
          </cell>
          <cell r="N2114" t="str">
            <v>PROPAN MP PU ACR RMX</v>
          </cell>
        </row>
        <row r="2115">
          <cell r="C2115" t="str">
            <v>170000835</v>
          </cell>
          <cell r="D2115" t="str">
            <v>PUL-765-2K GLOSS BASE D-1LS</v>
          </cell>
          <cell r="E2115" t="str">
            <v>ZTRD</v>
          </cell>
          <cell r="F2115" t="str">
            <v>SET</v>
          </cell>
          <cell r="G2115" t="str">
            <v>X</v>
          </cell>
          <cell r="H2115" t="str">
            <v>TRD RETAIL</v>
          </cell>
          <cell r="I2115" t="str">
            <v>X2</v>
          </cell>
          <cell r="J2115" t="str">
            <v>WF2</v>
          </cell>
          <cell r="K2115" t="str">
            <v>X216</v>
          </cell>
          <cell r="L2115" t="str">
            <v>PU MULTIPURPOSE</v>
          </cell>
          <cell r="M2115" t="str">
            <v>X21601</v>
          </cell>
          <cell r="N2115" t="str">
            <v>PROPAN MP PU ACR RMX</v>
          </cell>
        </row>
        <row r="2116">
          <cell r="C2116" t="str">
            <v>170000838</v>
          </cell>
          <cell r="D2116" t="str">
            <v>PUL-765-2K GLOSS BASE D-5LS</v>
          </cell>
          <cell r="E2116" t="str">
            <v>ZTRD</v>
          </cell>
          <cell r="F2116" t="str">
            <v>SET</v>
          </cell>
          <cell r="G2116" t="str">
            <v>X</v>
          </cell>
          <cell r="H2116" t="str">
            <v>TRD RETAIL</v>
          </cell>
          <cell r="I2116" t="str">
            <v>X2</v>
          </cell>
          <cell r="J2116" t="str">
            <v>WF2</v>
          </cell>
          <cell r="K2116" t="str">
            <v>X216</v>
          </cell>
          <cell r="L2116" t="str">
            <v>PU MULTIPURPOSE</v>
          </cell>
          <cell r="M2116" t="str">
            <v>X21601</v>
          </cell>
          <cell r="N2116" t="str">
            <v>PROPAN MP PU ACR RMX</v>
          </cell>
        </row>
        <row r="2117">
          <cell r="C2117" t="str">
            <v>170000840</v>
          </cell>
          <cell r="D2117" t="str">
            <v>PUL-765-2K SATIN BASE D-5LS</v>
          </cell>
          <cell r="E2117" t="str">
            <v>ZTRD</v>
          </cell>
          <cell r="F2117" t="str">
            <v>SET</v>
          </cell>
          <cell r="G2117" t="str">
            <v>X</v>
          </cell>
          <cell r="H2117" t="str">
            <v>TRD RETAIL</v>
          </cell>
          <cell r="I2117" t="str">
            <v>X2</v>
          </cell>
          <cell r="J2117" t="str">
            <v>WF2</v>
          </cell>
          <cell r="K2117" t="str">
            <v>X216</v>
          </cell>
          <cell r="L2117" t="str">
            <v>PU MULTIPURPOSE</v>
          </cell>
          <cell r="M2117" t="str">
            <v>X21601</v>
          </cell>
          <cell r="N2117" t="str">
            <v>PROPAN MP PU ACR RMX</v>
          </cell>
        </row>
        <row r="2118">
          <cell r="C2118" t="str">
            <v>170000898</v>
          </cell>
          <cell r="D2118" t="str">
            <v>SKF-203-1K WB-20LJ</v>
          </cell>
          <cell r="E2118" t="str">
            <v>ZTRD</v>
          </cell>
          <cell r="F2118" t="str">
            <v>PC</v>
          </cell>
          <cell r="G2118" t="str">
            <v>Y</v>
          </cell>
          <cell r="H2118" t="str">
            <v>TRD PROJECT</v>
          </cell>
          <cell r="I2118" t="str">
            <v>Y6</v>
          </cell>
          <cell r="J2118" t="str">
            <v>CPC1</v>
          </cell>
          <cell r="K2118" t="str">
            <v>Y609</v>
          </cell>
          <cell r="L2118" t="str">
            <v>SILIKAT</v>
          </cell>
          <cell r="M2118" t="str">
            <v>Y60901</v>
          </cell>
          <cell r="N2118" t="str">
            <v>SILIKAT FLOOR</v>
          </cell>
        </row>
        <row r="2119">
          <cell r="C2119" t="str">
            <v>170000899</v>
          </cell>
          <cell r="D2119" t="str">
            <v>SKF-203-1K WB-5LJ</v>
          </cell>
          <cell r="E2119" t="str">
            <v>ZTRD</v>
          </cell>
          <cell r="F2119" t="str">
            <v>PC</v>
          </cell>
          <cell r="G2119" t="str">
            <v>Y</v>
          </cell>
          <cell r="H2119" t="str">
            <v>TRD PROJECT</v>
          </cell>
          <cell r="I2119" t="str">
            <v>Y6</v>
          </cell>
          <cell r="J2119" t="str">
            <v>CPC1</v>
          </cell>
          <cell r="K2119" t="str">
            <v>Y609</v>
          </cell>
          <cell r="L2119" t="str">
            <v>SILIKAT</v>
          </cell>
          <cell r="M2119" t="str">
            <v>Y60901</v>
          </cell>
          <cell r="N2119" t="str">
            <v>SILIKAT FLOOR</v>
          </cell>
        </row>
        <row r="2120">
          <cell r="C2120" t="str">
            <v>170000969</v>
          </cell>
          <cell r="D2120" t="str">
            <v>TENNOKOTE 1000 WA BASE A-25KSP</v>
          </cell>
          <cell r="E2120" t="str">
            <v>ZTRD</v>
          </cell>
          <cell r="F2120" t="str">
            <v>SET</v>
          </cell>
          <cell r="G2120" t="str">
            <v>X</v>
          </cell>
          <cell r="H2120" t="str">
            <v>TRD RETAIL</v>
          </cell>
          <cell r="I2120" t="str">
            <v>X7</v>
          </cell>
          <cell r="J2120" t="str">
            <v>CPC1</v>
          </cell>
          <cell r="K2120" t="str">
            <v>X701</v>
          </cell>
          <cell r="L2120" t="str">
            <v>TENNOKOTE</v>
          </cell>
          <cell r="M2120" t="str">
            <v>X70102</v>
          </cell>
          <cell r="N2120" t="str">
            <v>TENNOKOTE BASE</v>
          </cell>
        </row>
        <row r="2121">
          <cell r="C2121" t="str">
            <v>170000971</v>
          </cell>
          <cell r="D2121" t="str">
            <v>TENNOKOTE 1000 WA BASE A-5KS</v>
          </cell>
          <cell r="E2121" t="str">
            <v>ZTRD</v>
          </cell>
          <cell r="F2121" t="str">
            <v>SET</v>
          </cell>
          <cell r="G2121" t="str">
            <v>X</v>
          </cell>
          <cell r="H2121" t="str">
            <v>TRD RETAIL</v>
          </cell>
          <cell r="I2121" t="str">
            <v>X7</v>
          </cell>
          <cell r="J2121" t="str">
            <v>CPC1</v>
          </cell>
          <cell r="K2121" t="str">
            <v>X701</v>
          </cell>
          <cell r="L2121" t="str">
            <v>TENNOKOTE</v>
          </cell>
          <cell r="M2121" t="str">
            <v>X70102</v>
          </cell>
          <cell r="N2121" t="str">
            <v>TENNOKOTE BASE</v>
          </cell>
        </row>
        <row r="2122">
          <cell r="C2122" t="str">
            <v>170000973</v>
          </cell>
          <cell r="D2122" t="str">
            <v>TENNOKOTE 1000 WA BASE D-25KSP</v>
          </cell>
          <cell r="E2122" t="str">
            <v>ZTRD</v>
          </cell>
          <cell r="F2122" t="str">
            <v>SET</v>
          </cell>
          <cell r="G2122" t="str">
            <v>X</v>
          </cell>
          <cell r="H2122" t="str">
            <v>TRD RETAIL</v>
          </cell>
          <cell r="I2122" t="str">
            <v>X7</v>
          </cell>
          <cell r="J2122" t="str">
            <v>CPC1</v>
          </cell>
          <cell r="K2122" t="str">
            <v>X701</v>
          </cell>
          <cell r="L2122" t="str">
            <v>TENNOKOTE</v>
          </cell>
          <cell r="M2122" t="str">
            <v>X70102</v>
          </cell>
          <cell r="N2122" t="str">
            <v>TENNOKOTE BASE</v>
          </cell>
        </row>
        <row r="2123">
          <cell r="C2123" t="str">
            <v>170000975</v>
          </cell>
          <cell r="D2123" t="str">
            <v>TENNOKOTE 1000 WA BASE D-5KS</v>
          </cell>
          <cell r="E2123" t="str">
            <v>ZTRD</v>
          </cell>
          <cell r="F2123" t="str">
            <v>SET</v>
          </cell>
          <cell r="G2123" t="str">
            <v>X</v>
          </cell>
          <cell r="H2123" t="str">
            <v>TRD RETAIL</v>
          </cell>
          <cell r="I2123" t="str">
            <v>X7</v>
          </cell>
          <cell r="J2123" t="str">
            <v>CPC1</v>
          </cell>
          <cell r="K2123" t="str">
            <v>X701</v>
          </cell>
          <cell r="L2123" t="str">
            <v>TENNOKOTE</v>
          </cell>
          <cell r="M2123" t="str">
            <v>X70102</v>
          </cell>
          <cell r="N2123" t="str">
            <v>TENNOKOTE BASE</v>
          </cell>
        </row>
        <row r="2124">
          <cell r="C2124" t="str">
            <v>170000976</v>
          </cell>
          <cell r="D2124" t="str">
            <v>TENNOKOTE 1020 WA SEALER-20KP</v>
          </cell>
          <cell r="E2124" t="str">
            <v>ZTRD</v>
          </cell>
          <cell r="F2124" t="str">
            <v>PC</v>
          </cell>
          <cell r="G2124" t="str">
            <v>X</v>
          </cell>
          <cell r="H2124" t="str">
            <v>TRD RETAIL</v>
          </cell>
          <cell r="I2124" t="str">
            <v>X7</v>
          </cell>
          <cell r="J2124" t="str">
            <v>CPC1</v>
          </cell>
          <cell r="K2124" t="str">
            <v>X701</v>
          </cell>
          <cell r="L2124" t="str">
            <v>TENNOKOTE</v>
          </cell>
          <cell r="M2124" t="str">
            <v>X70101</v>
          </cell>
          <cell r="N2124" t="str">
            <v>TENNOKOTE</v>
          </cell>
        </row>
        <row r="2125">
          <cell r="C2125" t="str">
            <v>170000977</v>
          </cell>
          <cell r="D2125" t="str">
            <v>TENNOKOTE 1020 WA SEALER-5K</v>
          </cell>
          <cell r="E2125" t="str">
            <v>ZTRD</v>
          </cell>
          <cell r="F2125" t="str">
            <v>PC</v>
          </cell>
          <cell r="G2125" t="str">
            <v>X</v>
          </cell>
          <cell r="H2125" t="str">
            <v>TRD RETAIL</v>
          </cell>
          <cell r="I2125" t="str">
            <v>X7</v>
          </cell>
          <cell r="J2125" t="str">
            <v>CPC1</v>
          </cell>
          <cell r="K2125" t="str">
            <v>X701</v>
          </cell>
          <cell r="L2125" t="str">
            <v>TENNOKOTE</v>
          </cell>
          <cell r="M2125" t="str">
            <v>X70101</v>
          </cell>
          <cell r="N2125" t="str">
            <v>TENNOKOTE</v>
          </cell>
        </row>
        <row r="2126">
          <cell r="C2126" t="str">
            <v>170000998</v>
          </cell>
          <cell r="D2126" t="str">
            <v>UFM-930 WHITE-1K</v>
          </cell>
          <cell r="E2126" t="str">
            <v>ZTRD</v>
          </cell>
          <cell r="F2126" t="str">
            <v>PC</v>
          </cell>
          <cell r="G2126" t="str">
            <v>Y</v>
          </cell>
          <cell r="H2126" t="str">
            <v>TRD PROJECT</v>
          </cell>
          <cell r="I2126" t="str">
            <v>Y7</v>
          </cell>
          <cell r="J2126" t="str">
            <v>CPC2</v>
          </cell>
          <cell r="K2126" t="str">
            <v>Y706</v>
          </cell>
          <cell r="L2126" t="str">
            <v>ULTRAFLEX</v>
          </cell>
          <cell r="M2126" t="str">
            <v>Y70602</v>
          </cell>
          <cell r="N2126" t="str">
            <v>ULTRAFLEX MEMBRANE</v>
          </cell>
        </row>
        <row r="2127">
          <cell r="C2127" t="str">
            <v>170000999</v>
          </cell>
          <cell r="D2127" t="str">
            <v>UFM-930 WHITE-20KP</v>
          </cell>
          <cell r="E2127" t="str">
            <v>ZTRD</v>
          </cell>
          <cell r="F2127" t="str">
            <v>PC</v>
          </cell>
          <cell r="G2127" t="str">
            <v>Y</v>
          </cell>
          <cell r="H2127" t="str">
            <v>TRD PROJECT</v>
          </cell>
          <cell r="I2127" t="str">
            <v>Y7</v>
          </cell>
          <cell r="J2127" t="str">
            <v>CPC2</v>
          </cell>
          <cell r="K2127" t="str">
            <v>Y706</v>
          </cell>
          <cell r="L2127" t="str">
            <v>ULTRAFLEX</v>
          </cell>
          <cell r="M2127" t="str">
            <v>Y70602</v>
          </cell>
          <cell r="N2127" t="str">
            <v>ULTRAFLEX MEMBRANE</v>
          </cell>
        </row>
        <row r="2128">
          <cell r="C2128" t="str">
            <v>170001034</v>
          </cell>
          <cell r="D2128" t="str">
            <v>WBS-224-1K WB-20KJ</v>
          </cell>
          <cell r="E2128" t="str">
            <v>ZTRD</v>
          </cell>
          <cell r="F2128" t="str">
            <v>PC</v>
          </cell>
          <cell r="G2128" t="str">
            <v>Y</v>
          </cell>
          <cell r="H2128" t="str">
            <v>TRD PROJECT</v>
          </cell>
          <cell r="I2128" t="str">
            <v>Y6</v>
          </cell>
          <cell r="J2128" t="str">
            <v>CPC1</v>
          </cell>
          <cell r="K2128" t="str">
            <v>Y602</v>
          </cell>
          <cell r="L2128" t="str">
            <v>POLYFLOOR</v>
          </cell>
          <cell r="M2128" t="str">
            <v>Y60201</v>
          </cell>
          <cell r="N2128" t="str">
            <v>POLYFLOOR CEMENT</v>
          </cell>
        </row>
        <row r="2129">
          <cell r="C2129" t="str">
            <v>170001108</v>
          </cell>
          <cell r="D2129" t="str">
            <v>PC 04 BA-CC</v>
          </cell>
          <cell r="E2129" t="str">
            <v>ZTRD</v>
          </cell>
          <cell r="F2129" t="str">
            <v>CC</v>
          </cell>
          <cell r="G2129" t="str">
            <v>X</v>
          </cell>
          <cell r="H2129" t="str">
            <v>TRD RETAIL</v>
          </cell>
          <cell r="I2129" t="str">
            <v>XF</v>
          </cell>
          <cell r="J2129" t="str">
            <v>TINTING</v>
          </cell>
          <cell r="K2129" t="str">
            <v>XF04</v>
          </cell>
          <cell r="L2129" t="str">
            <v>PASTA</v>
          </cell>
          <cell r="M2129" t="str">
            <v>XF0403</v>
          </cell>
          <cell r="N2129" t="str">
            <v>PASTA SB</v>
          </cell>
        </row>
        <row r="2130">
          <cell r="C2130" t="str">
            <v>170001109</v>
          </cell>
          <cell r="D2130" t="str">
            <v>PC 04 BB-CC</v>
          </cell>
          <cell r="E2130" t="str">
            <v>ZTRD</v>
          </cell>
          <cell r="F2130" t="str">
            <v>CC</v>
          </cell>
          <cell r="G2130" t="str">
            <v>X</v>
          </cell>
          <cell r="H2130" t="str">
            <v>TRD RETAIL</v>
          </cell>
          <cell r="I2130" t="str">
            <v>XF</v>
          </cell>
          <cell r="J2130" t="str">
            <v>TINTING</v>
          </cell>
          <cell r="K2130" t="str">
            <v>XF04</v>
          </cell>
          <cell r="L2130" t="str">
            <v>PASTA</v>
          </cell>
          <cell r="M2130" t="str">
            <v>XF0403</v>
          </cell>
          <cell r="N2130" t="str">
            <v>PASTA SB</v>
          </cell>
        </row>
        <row r="2131">
          <cell r="C2131" t="str">
            <v>170001110</v>
          </cell>
          <cell r="D2131" t="str">
            <v>PC 04 GA-CC</v>
          </cell>
          <cell r="E2131" t="str">
            <v>ZTRD</v>
          </cell>
          <cell r="F2131" t="str">
            <v>CC</v>
          </cell>
          <cell r="G2131" t="str">
            <v>X</v>
          </cell>
          <cell r="H2131" t="str">
            <v>TRD RETAIL</v>
          </cell>
          <cell r="I2131" t="str">
            <v>XF</v>
          </cell>
          <cell r="J2131" t="str">
            <v>TINTING</v>
          </cell>
          <cell r="K2131" t="str">
            <v>XF04</v>
          </cell>
          <cell r="L2131" t="str">
            <v>PASTA</v>
          </cell>
          <cell r="M2131" t="str">
            <v>XF0403</v>
          </cell>
          <cell r="N2131" t="str">
            <v>PASTA SB</v>
          </cell>
        </row>
        <row r="2132">
          <cell r="C2132" t="str">
            <v>170001111</v>
          </cell>
          <cell r="D2132" t="str">
            <v>PC 04 KA-CC</v>
          </cell>
          <cell r="E2132" t="str">
            <v>ZTRD</v>
          </cell>
          <cell r="F2132" t="str">
            <v>CC</v>
          </cell>
          <cell r="G2132" t="str">
            <v>X</v>
          </cell>
          <cell r="H2132" t="str">
            <v>TRD RETAIL</v>
          </cell>
          <cell r="I2132" t="str">
            <v>XF</v>
          </cell>
          <cell r="J2132" t="str">
            <v>TINTING</v>
          </cell>
          <cell r="K2132" t="str">
            <v>XF04</v>
          </cell>
          <cell r="L2132" t="str">
            <v>PASTA</v>
          </cell>
          <cell r="M2132" t="str">
            <v>XF0403</v>
          </cell>
          <cell r="N2132" t="str">
            <v>PASTA SB</v>
          </cell>
        </row>
        <row r="2133">
          <cell r="C2133" t="str">
            <v>170001112</v>
          </cell>
          <cell r="D2133" t="str">
            <v>PC 04 RA-CC</v>
          </cell>
          <cell r="E2133" t="str">
            <v>ZTRD</v>
          </cell>
          <cell r="F2133" t="str">
            <v>CC</v>
          </cell>
          <cell r="G2133" t="str">
            <v>X</v>
          </cell>
          <cell r="H2133" t="str">
            <v>TRD RETAIL</v>
          </cell>
          <cell r="I2133" t="str">
            <v>XF</v>
          </cell>
          <cell r="J2133" t="str">
            <v>TINTING</v>
          </cell>
          <cell r="K2133" t="str">
            <v>XF04</v>
          </cell>
          <cell r="L2133" t="str">
            <v>PASTA</v>
          </cell>
          <cell r="M2133" t="str">
            <v>XF0403</v>
          </cell>
          <cell r="N2133" t="str">
            <v>PASTA SB</v>
          </cell>
        </row>
        <row r="2134">
          <cell r="C2134" t="str">
            <v>170001113</v>
          </cell>
          <cell r="D2134" t="str">
            <v>PC 04 RB-CC</v>
          </cell>
          <cell r="E2134" t="str">
            <v>ZTRD</v>
          </cell>
          <cell r="F2134" t="str">
            <v>CC</v>
          </cell>
          <cell r="G2134" t="str">
            <v>X</v>
          </cell>
          <cell r="H2134" t="str">
            <v>TRD RETAIL</v>
          </cell>
          <cell r="I2134" t="str">
            <v>XF</v>
          </cell>
          <cell r="J2134" t="str">
            <v>TINTING</v>
          </cell>
          <cell r="K2134" t="str">
            <v>XF04</v>
          </cell>
          <cell r="L2134" t="str">
            <v>PASTA</v>
          </cell>
          <cell r="M2134" t="str">
            <v>XF0403</v>
          </cell>
          <cell r="N2134" t="str">
            <v>PASTA SB</v>
          </cell>
        </row>
        <row r="2135">
          <cell r="C2135" t="str">
            <v>170001114</v>
          </cell>
          <cell r="D2135" t="str">
            <v>PC 04 RC-CC</v>
          </cell>
          <cell r="E2135" t="str">
            <v>ZTRD</v>
          </cell>
          <cell r="F2135" t="str">
            <v>CC</v>
          </cell>
          <cell r="G2135" t="str">
            <v>X</v>
          </cell>
          <cell r="H2135" t="str">
            <v>TRD RETAIL</v>
          </cell>
          <cell r="I2135" t="str">
            <v>XF</v>
          </cell>
          <cell r="J2135" t="str">
            <v>TINTING</v>
          </cell>
          <cell r="K2135" t="str">
            <v>XF04</v>
          </cell>
          <cell r="L2135" t="str">
            <v>PASTA</v>
          </cell>
          <cell r="M2135" t="str">
            <v>XF0403</v>
          </cell>
          <cell r="N2135" t="str">
            <v>PASTA SB</v>
          </cell>
        </row>
        <row r="2136">
          <cell r="C2136" t="str">
            <v>170001115</v>
          </cell>
          <cell r="D2136" t="str">
            <v>PC 04 VA-CC</v>
          </cell>
          <cell r="E2136" t="str">
            <v>ZTRD</v>
          </cell>
          <cell r="F2136" t="str">
            <v>CC</v>
          </cell>
          <cell r="G2136" t="str">
            <v>X</v>
          </cell>
          <cell r="H2136" t="str">
            <v>TRD RETAIL</v>
          </cell>
          <cell r="I2136" t="str">
            <v>XF</v>
          </cell>
          <cell r="J2136" t="str">
            <v>TINTING</v>
          </cell>
          <cell r="K2136" t="str">
            <v>XF04</v>
          </cell>
          <cell r="L2136" t="str">
            <v>PASTA</v>
          </cell>
          <cell r="M2136" t="str">
            <v>XF0403</v>
          </cell>
          <cell r="N2136" t="str">
            <v>PASTA SB</v>
          </cell>
        </row>
        <row r="2137">
          <cell r="C2137" t="str">
            <v>170001116</v>
          </cell>
          <cell r="D2137" t="str">
            <v>PC 04 WA-CC</v>
          </cell>
          <cell r="E2137" t="str">
            <v>ZTRD</v>
          </cell>
          <cell r="F2137" t="str">
            <v>CC</v>
          </cell>
          <cell r="G2137" t="str">
            <v>X</v>
          </cell>
          <cell r="H2137" t="str">
            <v>TRD RETAIL</v>
          </cell>
          <cell r="I2137" t="str">
            <v>XF</v>
          </cell>
          <cell r="J2137" t="str">
            <v>TINTING</v>
          </cell>
          <cell r="K2137" t="str">
            <v>XF04</v>
          </cell>
          <cell r="L2137" t="str">
            <v>PASTA</v>
          </cell>
          <cell r="M2137" t="str">
            <v>XF0403</v>
          </cell>
          <cell r="N2137" t="str">
            <v>PASTA SB</v>
          </cell>
        </row>
        <row r="2138">
          <cell r="C2138" t="str">
            <v>170001117</v>
          </cell>
          <cell r="D2138" t="str">
            <v>PC 04 YA-CC</v>
          </cell>
          <cell r="E2138" t="str">
            <v>ZTRD</v>
          </cell>
          <cell r="F2138" t="str">
            <v>CC</v>
          </cell>
          <cell r="G2138" t="str">
            <v>X</v>
          </cell>
          <cell r="H2138" t="str">
            <v>TRD RETAIL</v>
          </cell>
          <cell r="I2138" t="str">
            <v>XF</v>
          </cell>
          <cell r="J2138" t="str">
            <v>TINTING</v>
          </cell>
          <cell r="K2138" t="str">
            <v>XF04</v>
          </cell>
          <cell r="L2138" t="str">
            <v>PASTA</v>
          </cell>
          <cell r="M2138" t="str">
            <v>XF0403</v>
          </cell>
          <cell r="N2138" t="str">
            <v>PASTA SB</v>
          </cell>
        </row>
        <row r="2139">
          <cell r="C2139" t="str">
            <v>170001118</v>
          </cell>
          <cell r="D2139" t="str">
            <v>PC 04 YB-CC</v>
          </cell>
          <cell r="E2139" t="str">
            <v>ZTRD</v>
          </cell>
          <cell r="F2139" t="str">
            <v>CC</v>
          </cell>
          <cell r="G2139" t="str">
            <v>X</v>
          </cell>
          <cell r="H2139" t="str">
            <v>TRD RETAIL</v>
          </cell>
          <cell r="I2139" t="str">
            <v>XF</v>
          </cell>
          <cell r="J2139" t="str">
            <v>TINTING</v>
          </cell>
          <cell r="K2139" t="str">
            <v>XF04</v>
          </cell>
          <cell r="L2139" t="str">
            <v>PASTA</v>
          </cell>
          <cell r="M2139" t="str">
            <v>XF0403</v>
          </cell>
          <cell r="N2139" t="str">
            <v>PASTA SB</v>
          </cell>
        </row>
        <row r="2140">
          <cell r="C2140" t="str">
            <v>170001119</v>
          </cell>
          <cell r="D2140" t="str">
            <v>PC 04 YC-CC</v>
          </cell>
          <cell r="E2140" t="str">
            <v>ZTRD</v>
          </cell>
          <cell r="F2140" t="str">
            <v>CC</v>
          </cell>
          <cell r="G2140" t="str">
            <v>X</v>
          </cell>
          <cell r="H2140" t="str">
            <v>TRD RETAIL</v>
          </cell>
          <cell r="I2140" t="str">
            <v>XF</v>
          </cell>
          <cell r="J2140" t="str">
            <v>TINTING</v>
          </cell>
          <cell r="K2140" t="str">
            <v>XF04</v>
          </cell>
          <cell r="L2140" t="str">
            <v>PASTA</v>
          </cell>
          <cell r="M2140" t="str">
            <v>XF0403</v>
          </cell>
          <cell r="N2140" t="str">
            <v>PASTA SB</v>
          </cell>
        </row>
        <row r="2141">
          <cell r="C2141" t="str">
            <v>170001199</v>
          </cell>
          <cell r="D2141" t="str">
            <v>SUPER GOLD SG-07 WB GOLD-1230-0.9L</v>
          </cell>
          <cell r="E2141" t="str">
            <v>ZTRD</v>
          </cell>
          <cell r="F2141" t="str">
            <v>PC</v>
          </cell>
          <cell r="G2141" t="str">
            <v>X</v>
          </cell>
          <cell r="H2141" t="str">
            <v>TRD RETAIL</v>
          </cell>
          <cell r="I2141" t="str">
            <v>X6</v>
          </cell>
          <cell r="J2141" t="str">
            <v>SFC</v>
          </cell>
          <cell r="K2141" t="str">
            <v>X609</v>
          </cell>
          <cell r="L2141" t="str">
            <v>PROPAN SUPER GOLD</v>
          </cell>
          <cell r="M2141" t="str">
            <v>X60901</v>
          </cell>
          <cell r="N2141" t="str">
            <v>PROPAN SUPER GOLD</v>
          </cell>
        </row>
        <row r="2142">
          <cell r="C2142" t="str">
            <v>170001207</v>
          </cell>
          <cell r="D2142" t="str">
            <v>TENNOKOTE 1000 WA GREEN-22.5KP</v>
          </cell>
          <cell r="E2142" t="str">
            <v>ZTRD</v>
          </cell>
          <cell r="F2142" t="str">
            <v>PC</v>
          </cell>
          <cell r="G2142" t="str">
            <v>X</v>
          </cell>
          <cell r="H2142" t="str">
            <v>TRD RETAIL</v>
          </cell>
          <cell r="I2142" t="str">
            <v>X7</v>
          </cell>
          <cell r="J2142" t="str">
            <v>CPC1</v>
          </cell>
          <cell r="K2142" t="str">
            <v>X701</v>
          </cell>
          <cell r="L2142" t="str">
            <v>TENNOKOTE</v>
          </cell>
          <cell r="M2142" t="str">
            <v>X70101</v>
          </cell>
          <cell r="N2142" t="str">
            <v>TENNOKOTE</v>
          </cell>
        </row>
        <row r="2143">
          <cell r="C2143" t="str">
            <v>170001208</v>
          </cell>
          <cell r="D2143" t="str">
            <v>TENNOKOTE 1000 WA WHITE-22.5KP</v>
          </cell>
          <cell r="E2143" t="str">
            <v>ZTRD</v>
          </cell>
          <cell r="F2143" t="str">
            <v>PC</v>
          </cell>
          <cell r="G2143" t="str">
            <v>X</v>
          </cell>
          <cell r="H2143" t="str">
            <v>TRD RETAIL</v>
          </cell>
          <cell r="I2143" t="str">
            <v>X7</v>
          </cell>
          <cell r="J2143" t="str">
            <v>CPC1</v>
          </cell>
          <cell r="K2143" t="str">
            <v>X701</v>
          </cell>
          <cell r="L2143" t="str">
            <v>TENNOKOTE</v>
          </cell>
          <cell r="M2143" t="str">
            <v>X70101</v>
          </cell>
          <cell r="N2143" t="str">
            <v>TENNOKOTE</v>
          </cell>
        </row>
        <row r="2144">
          <cell r="C2144" t="str">
            <v>170001230</v>
          </cell>
          <cell r="D2144" t="str">
            <v>PUH-31 NY FD-1L</v>
          </cell>
          <cell r="E2144" t="str">
            <v>ZTRD</v>
          </cell>
          <cell r="F2144" t="str">
            <v>PC</v>
          </cell>
          <cell r="G2144" t="str">
            <v>W</v>
          </cell>
          <cell r="H2144" t="str">
            <v>TRD INDUSTRY</v>
          </cell>
          <cell r="I2144" t="str">
            <v>W1</v>
          </cell>
          <cell r="J2144" t="str">
            <v>WOOD COATINGS</v>
          </cell>
          <cell r="K2144" t="str">
            <v>W103</v>
          </cell>
          <cell r="L2144" t="str">
            <v>PU</v>
          </cell>
          <cell r="M2144" t="str">
            <v>W10320</v>
          </cell>
          <cell r="N2144" t="str">
            <v>PU HARDENER</v>
          </cell>
        </row>
        <row r="2145">
          <cell r="C2145" t="str">
            <v>170001238</v>
          </cell>
          <cell r="D2145" t="str">
            <v>ZEBRA GRF CHIKO DARK LEAF-7427-0.3L</v>
          </cell>
          <cell r="E2145" t="str">
            <v>ZTRD</v>
          </cell>
          <cell r="F2145" t="str">
            <v>PC</v>
          </cell>
          <cell r="G2145" t="str">
            <v>X</v>
          </cell>
          <cell r="H2145" t="str">
            <v>TRD RETAIL</v>
          </cell>
          <cell r="I2145" t="str">
            <v>XA</v>
          </cell>
          <cell r="J2145" t="str">
            <v>PCR</v>
          </cell>
          <cell r="K2145" t="str">
            <v>XA03</v>
          </cell>
          <cell r="L2145" t="str">
            <v>AEROSOL</v>
          </cell>
          <cell r="M2145" t="str">
            <v>XA0302</v>
          </cell>
          <cell r="N2145" t="str">
            <v>ZEBRA GRAFFITI</v>
          </cell>
        </row>
        <row r="2146">
          <cell r="C2146" t="str">
            <v>170001239</v>
          </cell>
          <cell r="D2146" t="str">
            <v>ZEBRA GRF SLUM GREEN-8301-0.3L</v>
          </cell>
          <cell r="E2146" t="str">
            <v>ZTRD</v>
          </cell>
          <cell r="F2146" t="str">
            <v>PC</v>
          </cell>
          <cell r="G2146" t="str">
            <v>X</v>
          </cell>
          <cell r="H2146" t="str">
            <v>TRD RETAIL</v>
          </cell>
          <cell r="I2146" t="str">
            <v>XA</v>
          </cell>
          <cell r="J2146" t="str">
            <v>PCR</v>
          </cell>
          <cell r="K2146" t="str">
            <v>XA03</v>
          </cell>
          <cell r="L2146" t="str">
            <v>AEROSOL</v>
          </cell>
          <cell r="M2146" t="str">
            <v>XA0302</v>
          </cell>
          <cell r="N2146" t="str">
            <v>ZEBRA GRAFFITI</v>
          </cell>
        </row>
        <row r="2147">
          <cell r="C2147" t="str">
            <v>170001240</v>
          </cell>
          <cell r="D2147" t="str">
            <v>ZEBRA GRF GREEN BEAM-8410-0.3L</v>
          </cell>
          <cell r="E2147" t="str">
            <v>ZTRD</v>
          </cell>
          <cell r="F2147" t="str">
            <v>PC</v>
          </cell>
          <cell r="G2147" t="str">
            <v>X</v>
          </cell>
          <cell r="H2147" t="str">
            <v>TRD RETAIL</v>
          </cell>
          <cell r="I2147" t="str">
            <v>XA</v>
          </cell>
          <cell r="J2147" t="str">
            <v>PCR</v>
          </cell>
          <cell r="K2147" t="str">
            <v>XA03</v>
          </cell>
          <cell r="L2147" t="str">
            <v>AEROSOL</v>
          </cell>
          <cell r="M2147" t="str">
            <v>XA0302</v>
          </cell>
          <cell r="N2147" t="str">
            <v>ZEBRA GRAFFITI</v>
          </cell>
        </row>
        <row r="2148">
          <cell r="C2148" t="str">
            <v>170001241</v>
          </cell>
          <cell r="D2148" t="str">
            <v>ZEBRA GRF VALE-3432-0.3L</v>
          </cell>
          <cell r="E2148" t="str">
            <v>ZTRD</v>
          </cell>
          <cell r="F2148" t="str">
            <v>PC</v>
          </cell>
          <cell r="G2148" t="str">
            <v>X</v>
          </cell>
          <cell r="H2148" t="str">
            <v>TRD RETAIL</v>
          </cell>
          <cell r="I2148" t="str">
            <v>XA</v>
          </cell>
          <cell r="J2148" t="str">
            <v>PCR</v>
          </cell>
          <cell r="K2148" t="str">
            <v>XA03</v>
          </cell>
          <cell r="L2148" t="str">
            <v>AEROSOL</v>
          </cell>
          <cell r="M2148" t="str">
            <v>XA0302</v>
          </cell>
          <cell r="N2148" t="str">
            <v>ZEBRA GRAFFITI</v>
          </cell>
        </row>
        <row r="2149">
          <cell r="C2149" t="str">
            <v>170001242</v>
          </cell>
          <cell r="D2149" t="str">
            <v>ZEBRA GRF PASTEL GREEN-3431-0.3L</v>
          </cell>
          <cell r="E2149" t="str">
            <v>ZTRD</v>
          </cell>
          <cell r="F2149" t="str">
            <v>PC</v>
          </cell>
          <cell r="G2149" t="str">
            <v>X</v>
          </cell>
          <cell r="H2149" t="str">
            <v>TRD RETAIL</v>
          </cell>
          <cell r="I2149" t="str">
            <v>XA</v>
          </cell>
          <cell r="J2149" t="str">
            <v>PCR</v>
          </cell>
          <cell r="K2149" t="str">
            <v>XA03</v>
          </cell>
          <cell r="L2149" t="str">
            <v>AEROSOL</v>
          </cell>
          <cell r="M2149" t="str">
            <v>XA0302</v>
          </cell>
          <cell r="N2149" t="str">
            <v>ZEBRA GRAFFITI</v>
          </cell>
        </row>
        <row r="2150">
          <cell r="C2150" t="str">
            <v>170001243</v>
          </cell>
          <cell r="D2150" t="str">
            <v>ZEBRA GRF ALPINE-8404-0.3L</v>
          </cell>
          <cell r="E2150" t="str">
            <v>ZTRD</v>
          </cell>
          <cell r="F2150" t="str">
            <v>PC</v>
          </cell>
          <cell r="G2150" t="str">
            <v>X</v>
          </cell>
          <cell r="H2150" t="str">
            <v>TRD RETAIL</v>
          </cell>
          <cell r="I2150" t="str">
            <v>XA</v>
          </cell>
          <cell r="J2150" t="str">
            <v>PCR</v>
          </cell>
          <cell r="K2150" t="str">
            <v>XA03</v>
          </cell>
          <cell r="L2150" t="str">
            <v>AEROSOL</v>
          </cell>
          <cell r="M2150" t="str">
            <v>XA0302</v>
          </cell>
          <cell r="N2150" t="str">
            <v>ZEBRA GRAFFITI</v>
          </cell>
        </row>
        <row r="2151">
          <cell r="C2151" t="str">
            <v>170001244</v>
          </cell>
          <cell r="D2151" t="str">
            <v>ZEBRA GRF OLIVE-1402-0.3L</v>
          </cell>
          <cell r="E2151" t="str">
            <v>ZTRD</v>
          </cell>
          <cell r="F2151" t="str">
            <v>PC</v>
          </cell>
          <cell r="G2151" t="str">
            <v>X</v>
          </cell>
          <cell r="H2151" t="str">
            <v>TRD RETAIL</v>
          </cell>
          <cell r="I2151" t="str">
            <v>XA</v>
          </cell>
          <cell r="J2151" t="str">
            <v>PCR</v>
          </cell>
          <cell r="K2151" t="str">
            <v>XA03</v>
          </cell>
          <cell r="L2151" t="str">
            <v>AEROSOL</v>
          </cell>
          <cell r="M2151" t="str">
            <v>XA0302</v>
          </cell>
          <cell r="N2151" t="str">
            <v>ZEBRA GRAFFITI</v>
          </cell>
        </row>
        <row r="2152">
          <cell r="C2152" t="str">
            <v>170001245</v>
          </cell>
          <cell r="D2152" t="str">
            <v>ZEBRA GRF SILVER-9106-0.3L</v>
          </cell>
          <cell r="E2152" t="str">
            <v>ZTRD</v>
          </cell>
          <cell r="F2152" t="str">
            <v>PC</v>
          </cell>
          <cell r="G2152" t="str">
            <v>X</v>
          </cell>
          <cell r="H2152" t="str">
            <v>TRD RETAIL</v>
          </cell>
          <cell r="I2152" t="str">
            <v>XA</v>
          </cell>
          <cell r="J2152" t="str">
            <v>PCR</v>
          </cell>
          <cell r="K2152" t="str">
            <v>XA03</v>
          </cell>
          <cell r="L2152" t="str">
            <v>AEROSOL</v>
          </cell>
          <cell r="M2152" t="str">
            <v>XA0302</v>
          </cell>
          <cell r="N2152" t="str">
            <v>ZEBRA GRAFFITI</v>
          </cell>
        </row>
        <row r="2153">
          <cell r="C2153" t="str">
            <v>170001246</v>
          </cell>
          <cell r="D2153" t="str">
            <v>ZEBRA GRF PURE WHITE-9101-0.3L</v>
          </cell>
          <cell r="E2153" t="str">
            <v>ZTRD</v>
          </cell>
          <cell r="F2153" t="str">
            <v>PC</v>
          </cell>
          <cell r="G2153" t="str">
            <v>X</v>
          </cell>
          <cell r="H2153" t="str">
            <v>TRD RETAIL</v>
          </cell>
          <cell r="I2153" t="str">
            <v>XA</v>
          </cell>
          <cell r="J2153" t="str">
            <v>PCR</v>
          </cell>
          <cell r="K2153" t="str">
            <v>XA03</v>
          </cell>
          <cell r="L2153" t="str">
            <v>AEROSOL</v>
          </cell>
          <cell r="M2153" t="str">
            <v>XA0302</v>
          </cell>
          <cell r="N2153" t="str">
            <v>ZEBRA GRAFFITI</v>
          </cell>
        </row>
        <row r="2154">
          <cell r="C2154" t="str">
            <v>170001247</v>
          </cell>
          <cell r="D2154" t="str">
            <v>ZEBRA GRF BLACK UNIVERSE-9406-0.3L</v>
          </cell>
          <cell r="E2154" t="str">
            <v>ZTRD</v>
          </cell>
          <cell r="F2154" t="str">
            <v>PC</v>
          </cell>
          <cell r="G2154" t="str">
            <v>X</v>
          </cell>
          <cell r="H2154" t="str">
            <v>TRD RETAIL</v>
          </cell>
          <cell r="I2154" t="str">
            <v>XA</v>
          </cell>
          <cell r="J2154" t="str">
            <v>PCR</v>
          </cell>
          <cell r="K2154" t="str">
            <v>XA03</v>
          </cell>
          <cell r="L2154" t="str">
            <v>AEROSOL</v>
          </cell>
          <cell r="M2154" t="str">
            <v>XA0302</v>
          </cell>
          <cell r="N2154" t="str">
            <v>ZEBRA GRAFFITI</v>
          </cell>
        </row>
        <row r="2155">
          <cell r="C2155" t="str">
            <v>170001248</v>
          </cell>
          <cell r="D2155" t="str">
            <v>ZEBRA GRF MAROON-4309-0.3L</v>
          </cell>
          <cell r="E2155" t="str">
            <v>ZTRD</v>
          </cell>
          <cell r="F2155" t="str">
            <v>PC</v>
          </cell>
          <cell r="G2155" t="str">
            <v>X</v>
          </cell>
          <cell r="H2155" t="str">
            <v>TRD RETAIL</v>
          </cell>
          <cell r="I2155" t="str">
            <v>XA</v>
          </cell>
          <cell r="J2155" t="str">
            <v>PCR</v>
          </cell>
          <cell r="K2155" t="str">
            <v>XA03</v>
          </cell>
          <cell r="L2155" t="str">
            <v>AEROSOL</v>
          </cell>
          <cell r="M2155" t="str">
            <v>XA0302</v>
          </cell>
          <cell r="N2155" t="str">
            <v>ZEBRA GRAFFITI</v>
          </cell>
        </row>
        <row r="2156">
          <cell r="C2156" t="str">
            <v>170001249</v>
          </cell>
          <cell r="D2156" t="str">
            <v>ZEBRA GRF RED DEVIL-3310-0.3L</v>
          </cell>
          <cell r="E2156" t="str">
            <v>ZTRD</v>
          </cell>
          <cell r="F2156" t="str">
            <v>PC</v>
          </cell>
          <cell r="G2156" t="str">
            <v>X</v>
          </cell>
          <cell r="H2156" t="str">
            <v>TRD RETAIL</v>
          </cell>
          <cell r="I2156" t="str">
            <v>XA</v>
          </cell>
          <cell r="J2156" t="str">
            <v>PCR</v>
          </cell>
          <cell r="K2156" t="str">
            <v>XA03</v>
          </cell>
          <cell r="L2156" t="str">
            <v>AEROSOL</v>
          </cell>
          <cell r="M2156" t="str">
            <v>XA0302</v>
          </cell>
          <cell r="N2156" t="str">
            <v>ZEBRA GRAFFITI</v>
          </cell>
        </row>
        <row r="2157">
          <cell r="C2157" t="str">
            <v>170001250</v>
          </cell>
          <cell r="D2157" t="str">
            <v>ZEBRA GRF SUNSET-3311-0.3L</v>
          </cell>
          <cell r="E2157" t="str">
            <v>ZTRD</v>
          </cell>
          <cell r="F2157" t="str">
            <v>PC</v>
          </cell>
          <cell r="G2157" t="str">
            <v>X</v>
          </cell>
          <cell r="H2157" t="str">
            <v>TRD RETAIL</v>
          </cell>
          <cell r="I2157" t="str">
            <v>XA</v>
          </cell>
          <cell r="J2157" t="str">
            <v>PCR</v>
          </cell>
          <cell r="K2157" t="str">
            <v>XA03</v>
          </cell>
          <cell r="L2157" t="str">
            <v>AEROSOL</v>
          </cell>
          <cell r="M2157" t="str">
            <v>XA0302</v>
          </cell>
          <cell r="N2157" t="str">
            <v>ZEBRA GRAFFITI</v>
          </cell>
        </row>
        <row r="2158">
          <cell r="C2158" t="str">
            <v>170001251</v>
          </cell>
          <cell r="D2158" t="str">
            <v>ZEBRA GRF SWEET SUNRISE-3336-0.3L</v>
          </cell>
          <cell r="E2158" t="str">
            <v>ZTRD</v>
          </cell>
          <cell r="F2158" t="str">
            <v>PC</v>
          </cell>
          <cell r="G2158" t="str">
            <v>X</v>
          </cell>
          <cell r="H2158" t="str">
            <v>TRD RETAIL</v>
          </cell>
          <cell r="I2158" t="str">
            <v>XA</v>
          </cell>
          <cell r="J2158" t="str">
            <v>PCR</v>
          </cell>
          <cell r="K2158" t="str">
            <v>XA03</v>
          </cell>
          <cell r="L2158" t="str">
            <v>AEROSOL</v>
          </cell>
          <cell r="M2158" t="str">
            <v>XA0302</v>
          </cell>
          <cell r="N2158" t="str">
            <v>ZEBRA GRAFFITI</v>
          </cell>
        </row>
        <row r="2159">
          <cell r="C2159" t="str">
            <v>170001252</v>
          </cell>
          <cell r="D2159" t="str">
            <v>ZEBRA GRF GROUND SHINE-2326-0.3L</v>
          </cell>
          <cell r="E2159" t="str">
            <v>ZTRD</v>
          </cell>
          <cell r="F2159" t="str">
            <v>PC</v>
          </cell>
          <cell r="G2159" t="str">
            <v>X</v>
          </cell>
          <cell r="H2159" t="str">
            <v>TRD RETAIL</v>
          </cell>
          <cell r="I2159" t="str">
            <v>XA</v>
          </cell>
          <cell r="J2159" t="str">
            <v>PCR</v>
          </cell>
          <cell r="K2159" t="str">
            <v>XA03</v>
          </cell>
          <cell r="L2159" t="str">
            <v>AEROSOL</v>
          </cell>
          <cell r="M2159" t="str">
            <v>XA0302</v>
          </cell>
          <cell r="N2159" t="str">
            <v>ZEBRA GRAFFITI</v>
          </cell>
        </row>
        <row r="2160">
          <cell r="C2160" t="str">
            <v>170001253</v>
          </cell>
          <cell r="D2160" t="str">
            <v>ZEBRA GRF CANARY YELLOW-2206-0.3L</v>
          </cell>
          <cell r="E2160" t="str">
            <v>ZTRD</v>
          </cell>
          <cell r="F2160" t="str">
            <v>PC</v>
          </cell>
          <cell r="G2160" t="str">
            <v>X</v>
          </cell>
          <cell r="H2160" t="str">
            <v>TRD RETAIL</v>
          </cell>
          <cell r="I2160" t="str">
            <v>XA</v>
          </cell>
          <cell r="J2160" t="str">
            <v>PCR</v>
          </cell>
          <cell r="K2160" t="str">
            <v>XA03</v>
          </cell>
          <cell r="L2160" t="str">
            <v>AEROSOL</v>
          </cell>
          <cell r="M2160" t="str">
            <v>XA0302</v>
          </cell>
          <cell r="N2160" t="str">
            <v>ZEBRA GRAFFITI</v>
          </cell>
        </row>
        <row r="2161">
          <cell r="C2161" t="str">
            <v>170001254</v>
          </cell>
          <cell r="D2161" t="str">
            <v>ZEBRA GRF LEMON-3337-0.3L</v>
          </cell>
          <cell r="E2161" t="str">
            <v>ZTRD</v>
          </cell>
          <cell r="F2161" t="str">
            <v>PC</v>
          </cell>
          <cell r="G2161" t="str">
            <v>X</v>
          </cell>
          <cell r="H2161" t="str">
            <v>TRD RETAIL</v>
          </cell>
          <cell r="I2161" t="str">
            <v>XA</v>
          </cell>
          <cell r="J2161" t="str">
            <v>PCR</v>
          </cell>
          <cell r="K2161" t="str">
            <v>XA03</v>
          </cell>
          <cell r="L2161" t="str">
            <v>AEROSOL</v>
          </cell>
          <cell r="M2161" t="str">
            <v>XA0302</v>
          </cell>
          <cell r="N2161" t="str">
            <v>ZEBRA GRAFFITI</v>
          </cell>
        </row>
        <row r="2162">
          <cell r="C2162" t="str">
            <v>170001255</v>
          </cell>
          <cell r="D2162" t="str">
            <v>ZEBRA GRF CORAL-4419-0.3L</v>
          </cell>
          <cell r="E2162" t="str">
            <v>ZTRD</v>
          </cell>
          <cell r="F2162" t="str">
            <v>PC</v>
          </cell>
          <cell r="G2162" t="str">
            <v>X</v>
          </cell>
          <cell r="H2162" t="str">
            <v>TRD RETAIL</v>
          </cell>
          <cell r="I2162" t="str">
            <v>XA</v>
          </cell>
          <cell r="J2162" t="str">
            <v>PCR</v>
          </cell>
          <cell r="K2162" t="str">
            <v>XA03</v>
          </cell>
          <cell r="L2162" t="str">
            <v>AEROSOL</v>
          </cell>
          <cell r="M2162" t="str">
            <v>XA0302</v>
          </cell>
          <cell r="N2162" t="str">
            <v>ZEBRA GRAFFITI</v>
          </cell>
        </row>
        <row r="2163">
          <cell r="C2163" t="str">
            <v>170001256</v>
          </cell>
          <cell r="D2163" t="str">
            <v>ZEBRA GRF PEACH-4416-0.3L</v>
          </cell>
          <cell r="E2163" t="str">
            <v>ZTRD</v>
          </cell>
          <cell r="F2163" t="str">
            <v>PC</v>
          </cell>
          <cell r="G2163" t="str">
            <v>X</v>
          </cell>
          <cell r="H2163" t="str">
            <v>TRD RETAIL</v>
          </cell>
          <cell r="I2163" t="str">
            <v>XA</v>
          </cell>
          <cell r="J2163" t="str">
            <v>PCR</v>
          </cell>
          <cell r="K2163" t="str">
            <v>XA03</v>
          </cell>
          <cell r="L2163" t="str">
            <v>AEROSOL</v>
          </cell>
          <cell r="M2163" t="str">
            <v>XA0302</v>
          </cell>
          <cell r="N2163" t="str">
            <v>ZEBRA GRAFFITI</v>
          </cell>
        </row>
        <row r="2164">
          <cell r="C2164" t="str">
            <v>170001257</v>
          </cell>
          <cell r="D2164" t="str">
            <v>ZEBRA GRF SCOUT BLUE-5464-0.3L</v>
          </cell>
          <cell r="E2164" t="str">
            <v>ZTRD</v>
          </cell>
          <cell r="F2164" t="str">
            <v>PC</v>
          </cell>
          <cell r="G2164" t="str">
            <v>X</v>
          </cell>
          <cell r="H2164" t="str">
            <v>TRD RETAIL</v>
          </cell>
          <cell r="I2164" t="str">
            <v>XA</v>
          </cell>
          <cell r="J2164" t="str">
            <v>PCR</v>
          </cell>
          <cell r="K2164" t="str">
            <v>XA03</v>
          </cell>
          <cell r="L2164" t="str">
            <v>AEROSOL</v>
          </cell>
          <cell r="M2164" t="str">
            <v>XA0302</v>
          </cell>
          <cell r="N2164" t="str">
            <v>ZEBRA GRAFFITI</v>
          </cell>
        </row>
        <row r="2165">
          <cell r="C2165" t="str">
            <v>170001258</v>
          </cell>
          <cell r="D2165" t="str">
            <v>ZEBRA GRF BLUE OCEAN-6434-0.3L</v>
          </cell>
          <cell r="E2165" t="str">
            <v>ZTRD</v>
          </cell>
          <cell r="F2165" t="str">
            <v>PC</v>
          </cell>
          <cell r="G2165" t="str">
            <v>X</v>
          </cell>
          <cell r="H2165" t="str">
            <v>TRD RETAIL</v>
          </cell>
          <cell r="I2165" t="str">
            <v>XA</v>
          </cell>
          <cell r="J2165" t="str">
            <v>PCR</v>
          </cell>
          <cell r="K2165" t="str">
            <v>XA03</v>
          </cell>
          <cell r="L2165" t="str">
            <v>AEROSOL</v>
          </cell>
          <cell r="M2165" t="str">
            <v>XA0302</v>
          </cell>
          <cell r="N2165" t="str">
            <v>ZEBRA GRAFFITI</v>
          </cell>
        </row>
        <row r="2166">
          <cell r="C2166" t="str">
            <v>170001259</v>
          </cell>
          <cell r="D2166" t="str">
            <v>ZEBRA GRF BRIGHT CYAN-6435-0.3L</v>
          </cell>
          <cell r="E2166" t="str">
            <v>ZTRD</v>
          </cell>
          <cell r="F2166" t="str">
            <v>PC</v>
          </cell>
          <cell r="G2166" t="str">
            <v>X</v>
          </cell>
          <cell r="H2166" t="str">
            <v>TRD RETAIL</v>
          </cell>
          <cell r="I2166" t="str">
            <v>XA</v>
          </cell>
          <cell r="J2166" t="str">
            <v>PCR</v>
          </cell>
          <cell r="K2166" t="str">
            <v>XA03</v>
          </cell>
          <cell r="L2166" t="str">
            <v>AEROSOL</v>
          </cell>
          <cell r="M2166" t="str">
            <v>XA0302</v>
          </cell>
          <cell r="N2166" t="str">
            <v>ZEBRA GRAFFITI</v>
          </cell>
        </row>
        <row r="2167">
          <cell r="C2167" t="str">
            <v>170001260</v>
          </cell>
          <cell r="D2167" t="str">
            <v>ZEBRA GRF BRAVE BLUE-6436-0.3L</v>
          </cell>
          <cell r="E2167" t="str">
            <v>ZTRD</v>
          </cell>
          <cell r="F2167" t="str">
            <v>PC</v>
          </cell>
          <cell r="G2167" t="str">
            <v>X</v>
          </cell>
          <cell r="H2167" t="str">
            <v>TRD RETAIL</v>
          </cell>
          <cell r="I2167" t="str">
            <v>XA</v>
          </cell>
          <cell r="J2167" t="str">
            <v>PCR</v>
          </cell>
          <cell r="K2167" t="str">
            <v>XA03</v>
          </cell>
          <cell r="L2167" t="str">
            <v>AEROSOL</v>
          </cell>
          <cell r="M2167" t="str">
            <v>XA0302</v>
          </cell>
          <cell r="N2167" t="str">
            <v>ZEBRA GRAFFITI</v>
          </cell>
        </row>
        <row r="2168">
          <cell r="C2168" t="str">
            <v>170001261</v>
          </cell>
          <cell r="D2168" t="str">
            <v>ZEBRA GRF DNZTWO BROWN-3427-0.3L</v>
          </cell>
          <cell r="E2168" t="str">
            <v>ZTRD</v>
          </cell>
          <cell r="F2168" t="str">
            <v>PC</v>
          </cell>
          <cell r="G2168" t="str">
            <v>X</v>
          </cell>
          <cell r="H2168" t="str">
            <v>TRD RETAIL</v>
          </cell>
          <cell r="I2168" t="str">
            <v>XA</v>
          </cell>
          <cell r="J2168" t="str">
            <v>PCR</v>
          </cell>
          <cell r="K2168" t="str">
            <v>XA03</v>
          </cell>
          <cell r="L2168" t="str">
            <v>AEROSOL</v>
          </cell>
          <cell r="M2168" t="str">
            <v>XA0302</v>
          </cell>
          <cell r="N2168" t="str">
            <v>ZEBRA GRAFFITI</v>
          </cell>
        </row>
        <row r="2169">
          <cell r="C2169" t="str">
            <v>170001262</v>
          </cell>
          <cell r="D2169" t="str">
            <v>ZEBRA GRF LATTE-3428-0.3L</v>
          </cell>
          <cell r="E2169" t="str">
            <v>ZTRD</v>
          </cell>
          <cell r="F2169" t="str">
            <v>PC</v>
          </cell>
          <cell r="G2169" t="str">
            <v>X</v>
          </cell>
          <cell r="H2169" t="str">
            <v>TRD RETAIL</v>
          </cell>
          <cell r="I2169" t="str">
            <v>XA</v>
          </cell>
          <cell r="J2169" t="str">
            <v>PCR</v>
          </cell>
          <cell r="K2169" t="str">
            <v>XA03</v>
          </cell>
          <cell r="L2169" t="str">
            <v>AEROSOL</v>
          </cell>
          <cell r="M2169" t="str">
            <v>XA0302</v>
          </cell>
          <cell r="N2169" t="str">
            <v>ZEBRA GRAFFITI</v>
          </cell>
        </row>
        <row r="2170">
          <cell r="C2170" t="str">
            <v>170001263</v>
          </cell>
          <cell r="D2170" t="str">
            <v>ZEBRA GRF LIGHT CREAM-4417-0.3L</v>
          </cell>
          <cell r="E2170" t="str">
            <v>ZTRD</v>
          </cell>
          <cell r="F2170" t="str">
            <v>PC</v>
          </cell>
          <cell r="G2170" t="str">
            <v>X</v>
          </cell>
          <cell r="H2170" t="str">
            <v>TRD RETAIL</v>
          </cell>
          <cell r="I2170" t="str">
            <v>XA</v>
          </cell>
          <cell r="J2170" t="str">
            <v>PCR</v>
          </cell>
          <cell r="K2170" t="str">
            <v>XA03</v>
          </cell>
          <cell r="L2170" t="str">
            <v>AEROSOL</v>
          </cell>
          <cell r="M2170" t="str">
            <v>XA0302</v>
          </cell>
          <cell r="N2170" t="str">
            <v>ZEBRA GRAFFITI</v>
          </cell>
        </row>
        <row r="2171">
          <cell r="C2171" t="str">
            <v>170001264</v>
          </cell>
          <cell r="D2171" t="str">
            <v>ZEBRA GRF BRICK BROWN-2401-0.3L</v>
          </cell>
          <cell r="E2171" t="str">
            <v>ZTRD</v>
          </cell>
          <cell r="F2171" t="str">
            <v>PC</v>
          </cell>
          <cell r="G2171" t="str">
            <v>X</v>
          </cell>
          <cell r="H2171" t="str">
            <v>TRD RETAIL</v>
          </cell>
          <cell r="I2171" t="str">
            <v>XA</v>
          </cell>
          <cell r="J2171" t="str">
            <v>PCR</v>
          </cell>
          <cell r="K2171" t="str">
            <v>XA03</v>
          </cell>
          <cell r="L2171" t="str">
            <v>AEROSOL</v>
          </cell>
          <cell r="M2171" t="str">
            <v>XA0302</v>
          </cell>
          <cell r="N2171" t="str">
            <v>ZEBRA GRAFFITI</v>
          </cell>
        </row>
        <row r="2172">
          <cell r="C2172" t="str">
            <v>170001265</v>
          </cell>
          <cell r="D2172" t="str">
            <v>ZEBRA GRF RACON VIOLET-4407-0.3L</v>
          </cell>
          <cell r="E2172" t="str">
            <v>ZTRD</v>
          </cell>
          <cell r="F2172" t="str">
            <v>PC</v>
          </cell>
          <cell r="G2172" t="str">
            <v>X</v>
          </cell>
          <cell r="H2172" t="str">
            <v>TRD RETAIL</v>
          </cell>
          <cell r="I2172" t="str">
            <v>XA</v>
          </cell>
          <cell r="J2172" t="str">
            <v>PCR</v>
          </cell>
          <cell r="K2172" t="str">
            <v>XA03</v>
          </cell>
          <cell r="L2172" t="str">
            <v>AEROSOL</v>
          </cell>
          <cell r="M2172" t="str">
            <v>XA0302</v>
          </cell>
          <cell r="N2172" t="str">
            <v>ZEBRA GRAFFITI</v>
          </cell>
        </row>
        <row r="2173">
          <cell r="C2173" t="str">
            <v>170001266</v>
          </cell>
          <cell r="D2173" t="str">
            <v>ZEBRA GRF THANOS-4408-0.3L</v>
          </cell>
          <cell r="E2173" t="str">
            <v>ZTRD</v>
          </cell>
          <cell r="F2173" t="str">
            <v>PC</v>
          </cell>
          <cell r="G2173" t="str">
            <v>X</v>
          </cell>
          <cell r="H2173" t="str">
            <v>TRD RETAIL</v>
          </cell>
          <cell r="I2173" t="str">
            <v>XA</v>
          </cell>
          <cell r="J2173" t="str">
            <v>PCR</v>
          </cell>
          <cell r="K2173" t="str">
            <v>XA03</v>
          </cell>
          <cell r="L2173" t="str">
            <v>AEROSOL</v>
          </cell>
          <cell r="M2173" t="str">
            <v>XA0302</v>
          </cell>
          <cell r="N2173" t="str">
            <v>ZEBRA GRAFFITI</v>
          </cell>
        </row>
        <row r="2174">
          <cell r="C2174" t="str">
            <v>170001267</v>
          </cell>
          <cell r="D2174" t="str">
            <v>ZEBRA GRF NICK COSMIC-5460-0.3L</v>
          </cell>
          <cell r="E2174" t="str">
            <v>ZTRD</v>
          </cell>
          <cell r="F2174" t="str">
            <v>PC</v>
          </cell>
          <cell r="G2174" t="str">
            <v>X</v>
          </cell>
          <cell r="H2174" t="str">
            <v>TRD RETAIL</v>
          </cell>
          <cell r="I2174" t="str">
            <v>XA</v>
          </cell>
          <cell r="J2174" t="str">
            <v>PCR</v>
          </cell>
          <cell r="K2174" t="str">
            <v>XA03</v>
          </cell>
          <cell r="L2174" t="str">
            <v>AEROSOL</v>
          </cell>
          <cell r="M2174" t="str">
            <v>XA0302</v>
          </cell>
          <cell r="N2174" t="str">
            <v>ZEBRA GRAFFITI</v>
          </cell>
        </row>
        <row r="2175">
          <cell r="C2175" t="str">
            <v>170001268</v>
          </cell>
          <cell r="D2175" t="str">
            <v>ZEBRA GRF DARK PURPLE-4414-0.3L</v>
          </cell>
          <cell r="E2175" t="str">
            <v>ZTRD</v>
          </cell>
          <cell r="F2175" t="str">
            <v>PC</v>
          </cell>
          <cell r="G2175" t="str">
            <v>X</v>
          </cell>
          <cell r="H2175" t="str">
            <v>TRD RETAIL</v>
          </cell>
          <cell r="I2175" t="str">
            <v>XA</v>
          </cell>
          <cell r="J2175" t="str">
            <v>PCR</v>
          </cell>
          <cell r="K2175" t="str">
            <v>XA03</v>
          </cell>
          <cell r="L2175" t="str">
            <v>AEROSOL</v>
          </cell>
          <cell r="M2175" t="str">
            <v>XA0302</v>
          </cell>
          <cell r="N2175" t="str">
            <v>ZEBRA GRAFFITI</v>
          </cell>
        </row>
        <row r="2176">
          <cell r="C2176" t="str">
            <v>170001269</v>
          </cell>
          <cell r="D2176" t="str">
            <v>ZEBRA GRF VIOLETA-5461-0.3L</v>
          </cell>
          <cell r="E2176" t="str">
            <v>ZTRD</v>
          </cell>
          <cell r="F2176" t="str">
            <v>PC</v>
          </cell>
          <cell r="G2176" t="str">
            <v>X</v>
          </cell>
          <cell r="H2176" t="str">
            <v>TRD RETAIL</v>
          </cell>
          <cell r="I2176" t="str">
            <v>XA</v>
          </cell>
          <cell r="J2176" t="str">
            <v>PCR</v>
          </cell>
          <cell r="K2176" t="str">
            <v>XA03</v>
          </cell>
          <cell r="L2176" t="str">
            <v>AEROSOL</v>
          </cell>
          <cell r="M2176" t="str">
            <v>XA0302</v>
          </cell>
          <cell r="N2176" t="str">
            <v>ZEBRA GRAFFITI</v>
          </cell>
        </row>
        <row r="2177">
          <cell r="C2177" t="str">
            <v>170001270</v>
          </cell>
          <cell r="D2177" t="str">
            <v>ZEBRA GRF LILAC-4413-0.3L</v>
          </cell>
          <cell r="E2177" t="str">
            <v>ZTRD</v>
          </cell>
          <cell r="F2177" t="str">
            <v>PC</v>
          </cell>
          <cell r="G2177" t="str">
            <v>X</v>
          </cell>
          <cell r="H2177" t="str">
            <v>TRD RETAIL</v>
          </cell>
          <cell r="I2177" t="str">
            <v>XA</v>
          </cell>
          <cell r="J2177" t="str">
            <v>PCR</v>
          </cell>
          <cell r="K2177" t="str">
            <v>XA03</v>
          </cell>
          <cell r="L2177" t="str">
            <v>AEROSOL</v>
          </cell>
          <cell r="M2177" t="str">
            <v>XA0302</v>
          </cell>
          <cell r="N2177" t="str">
            <v>ZEBRA GRAFFITI</v>
          </cell>
        </row>
        <row r="2178">
          <cell r="C2178" t="str">
            <v>170001271</v>
          </cell>
          <cell r="D2178" t="str">
            <v>ZEBRA GRF GUAVA-4310-0.3L</v>
          </cell>
          <cell r="E2178" t="str">
            <v>ZTRD</v>
          </cell>
          <cell r="F2178" t="str">
            <v>PC</v>
          </cell>
          <cell r="G2178" t="str">
            <v>X</v>
          </cell>
          <cell r="H2178" t="str">
            <v>TRD RETAIL</v>
          </cell>
          <cell r="I2178" t="str">
            <v>XA</v>
          </cell>
          <cell r="J2178" t="str">
            <v>PCR</v>
          </cell>
          <cell r="K2178" t="str">
            <v>XA03</v>
          </cell>
          <cell r="L2178" t="str">
            <v>AEROSOL</v>
          </cell>
          <cell r="M2178" t="str">
            <v>XA0302</v>
          </cell>
          <cell r="N2178" t="str">
            <v>ZEBRA GRAFFITI</v>
          </cell>
        </row>
        <row r="2179">
          <cell r="C2179" t="str">
            <v>170001272</v>
          </cell>
          <cell r="D2179" t="str">
            <v>ZEBRA GRF APRICOT-4421-0.3L</v>
          </cell>
          <cell r="E2179" t="str">
            <v>ZTRD</v>
          </cell>
          <cell r="F2179" t="str">
            <v>PC</v>
          </cell>
          <cell r="G2179" t="str">
            <v>X</v>
          </cell>
          <cell r="H2179" t="str">
            <v>TRD RETAIL</v>
          </cell>
          <cell r="I2179" t="str">
            <v>XA</v>
          </cell>
          <cell r="J2179" t="str">
            <v>PCR</v>
          </cell>
          <cell r="K2179" t="str">
            <v>XA03</v>
          </cell>
          <cell r="L2179" t="str">
            <v>AEROSOL</v>
          </cell>
          <cell r="M2179" t="str">
            <v>XA0301</v>
          </cell>
          <cell r="N2179" t="str">
            <v>ZEBRA PRO</v>
          </cell>
        </row>
        <row r="2180">
          <cell r="C2180" t="str">
            <v>170001273</v>
          </cell>
          <cell r="D2180" t="str">
            <v>ZEBRA GRF FUCHSIA FLIP-4411-0.3L</v>
          </cell>
          <cell r="E2180" t="str">
            <v>ZTRD</v>
          </cell>
          <cell r="F2180" t="str">
            <v>PC</v>
          </cell>
          <cell r="G2180" t="str">
            <v>X</v>
          </cell>
          <cell r="H2180" t="str">
            <v>TRD RETAIL</v>
          </cell>
          <cell r="I2180" t="str">
            <v>XA</v>
          </cell>
          <cell r="J2180" t="str">
            <v>PCR</v>
          </cell>
          <cell r="K2180" t="str">
            <v>XA03</v>
          </cell>
          <cell r="L2180" t="str">
            <v>AEROSOL</v>
          </cell>
          <cell r="M2180" t="str">
            <v>XA0302</v>
          </cell>
          <cell r="N2180" t="str">
            <v>ZEBRA GRAFFITI</v>
          </cell>
        </row>
        <row r="2181">
          <cell r="C2181" t="str">
            <v>170001274</v>
          </cell>
          <cell r="D2181" t="str">
            <v>ZEBRA GRF FLAMINGO-4308-0.3L</v>
          </cell>
          <cell r="E2181" t="str">
            <v>ZTRD</v>
          </cell>
          <cell r="F2181" t="str">
            <v>PC</v>
          </cell>
          <cell r="G2181" t="str">
            <v>X</v>
          </cell>
          <cell r="H2181" t="str">
            <v>TRD RETAIL</v>
          </cell>
          <cell r="I2181" t="str">
            <v>XA</v>
          </cell>
          <cell r="J2181" t="str">
            <v>PCR</v>
          </cell>
          <cell r="K2181" t="str">
            <v>XA03</v>
          </cell>
          <cell r="L2181" t="str">
            <v>AEROSOL</v>
          </cell>
          <cell r="M2181" t="str">
            <v>XA0302</v>
          </cell>
          <cell r="N2181" t="str">
            <v>ZEBRA GRAFFITI</v>
          </cell>
        </row>
        <row r="2182">
          <cell r="C2182" t="str">
            <v>170001275</v>
          </cell>
          <cell r="D2182" t="str">
            <v>ZEBRA GRF ROSEA PINK-4412-0.3L</v>
          </cell>
          <cell r="E2182" t="str">
            <v>ZTRD</v>
          </cell>
          <cell r="F2182" t="str">
            <v>PC</v>
          </cell>
          <cell r="G2182" t="str">
            <v>X</v>
          </cell>
          <cell r="H2182" t="str">
            <v>TRD RETAIL</v>
          </cell>
          <cell r="I2182" t="str">
            <v>XA</v>
          </cell>
          <cell r="J2182" t="str">
            <v>PCR</v>
          </cell>
          <cell r="K2182" t="str">
            <v>XA03</v>
          </cell>
          <cell r="L2182" t="str">
            <v>AEROSOL</v>
          </cell>
          <cell r="M2182" t="str">
            <v>XA0302</v>
          </cell>
          <cell r="N2182" t="str">
            <v>ZEBRA GRAFFITI</v>
          </cell>
        </row>
        <row r="2183">
          <cell r="C2183" t="str">
            <v>170001276</v>
          </cell>
          <cell r="D2183" t="str">
            <v>ZEBRA GRF WILD MERSK-4409-0.3L</v>
          </cell>
          <cell r="E2183" t="str">
            <v>ZTRD</v>
          </cell>
          <cell r="F2183" t="str">
            <v>PC</v>
          </cell>
          <cell r="G2183" t="str">
            <v>X</v>
          </cell>
          <cell r="H2183" t="str">
            <v>TRD RETAIL</v>
          </cell>
          <cell r="I2183" t="str">
            <v>XA</v>
          </cell>
          <cell r="J2183" t="str">
            <v>PCR</v>
          </cell>
          <cell r="K2183" t="str">
            <v>XA03</v>
          </cell>
          <cell r="L2183" t="str">
            <v>AEROSOL</v>
          </cell>
          <cell r="M2183" t="str">
            <v>XA0302</v>
          </cell>
          <cell r="N2183" t="str">
            <v>ZEBRA GRAFFITI</v>
          </cell>
        </row>
        <row r="2184">
          <cell r="C2184" t="str">
            <v>170001277</v>
          </cell>
          <cell r="D2184" t="str">
            <v>ZEBRA GRF RASBERRY-4415-0.3L</v>
          </cell>
          <cell r="E2184" t="str">
            <v>ZTRD</v>
          </cell>
          <cell r="F2184" t="str">
            <v>PC</v>
          </cell>
          <cell r="G2184" t="str">
            <v>X</v>
          </cell>
          <cell r="H2184" t="str">
            <v>TRD RETAIL</v>
          </cell>
          <cell r="I2184" t="str">
            <v>XA</v>
          </cell>
          <cell r="J2184" t="str">
            <v>PCR</v>
          </cell>
          <cell r="K2184" t="str">
            <v>XA03</v>
          </cell>
          <cell r="L2184" t="str">
            <v>AEROSOL</v>
          </cell>
          <cell r="M2184" t="str">
            <v>XA0302</v>
          </cell>
          <cell r="N2184" t="str">
            <v>ZEBRA GRAFFITI</v>
          </cell>
        </row>
        <row r="2185">
          <cell r="C2185" t="str">
            <v>170001278</v>
          </cell>
          <cell r="D2185" t="str">
            <v>ZEBRA GRF PIXEL-4418-0.3L</v>
          </cell>
          <cell r="E2185" t="str">
            <v>ZTRD</v>
          </cell>
          <cell r="F2185" t="str">
            <v>PC</v>
          </cell>
          <cell r="G2185" t="str">
            <v>X</v>
          </cell>
          <cell r="H2185" t="str">
            <v>TRD RETAIL</v>
          </cell>
          <cell r="I2185" t="str">
            <v>XA</v>
          </cell>
          <cell r="J2185" t="str">
            <v>PCR</v>
          </cell>
          <cell r="K2185" t="str">
            <v>XA03</v>
          </cell>
          <cell r="L2185" t="str">
            <v>AEROSOL</v>
          </cell>
          <cell r="M2185" t="str">
            <v>XA0302</v>
          </cell>
          <cell r="N2185" t="str">
            <v>ZEBRA GRAFFITI</v>
          </cell>
        </row>
        <row r="2186">
          <cell r="C2186" t="str">
            <v>170001279</v>
          </cell>
          <cell r="D2186" t="str">
            <v>ZEBRA GRF DROPS MARINE-7431-0.3L</v>
          </cell>
          <cell r="E2186" t="str">
            <v>ZTRD</v>
          </cell>
          <cell r="F2186" t="str">
            <v>PC</v>
          </cell>
          <cell r="G2186" t="str">
            <v>X</v>
          </cell>
          <cell r="H2186" t="str">
            <v>TRD RETAIL</v>
          </cell>
          <cell r="I2186" t="str">
            <v>XA</v>
          </cell>
          <cell r="J2186" t="str">
            <v>PCR</v>
          </cell>
          <cell r="K2186" t="str">
            <v>XA03</v>
          </cell>
          <cell r="L2186" t="str">
            <v>AEROSOL</v>
          </cell>
          <cell r="M2186" t="str">
            <v>XA0302</v>
          </cell>
          <cell r="N2186" t="str">
            <v>ZEBRA GRAFFITI</v>
          </cell>
        </row>
        <row r="2187">
          <cell r="C2187" t="str">
            <v>170001280</v>
          </cell>
          <cell r="D2187" t="str">
            <v>ZEBRA GRF RUNE ENERGY-7429-0.3L</v>
          </cell>
          <cell r="E2187" t="str">
            <v>ZTRD</v>
          </cell>
          <cell r="F2187" t="str">
            <v>PC</v>
          </cell>
          <cell r="G2187" t="str">
            <v>X</v>
          </cell>
          <cell r="H2187" t="str">
            <v>TRD RETAIL</v>
          </cell>
          <cell r="I2187" t="str">
            <v>XA</v>
          </cell>
          <cell r="J2187" t="str">
            <v>PCR</v>
          </cell>
          <cell r="K2187" t="str">
            <v>XA03</v>
          </cell>
          <cell r="L2187" t="str">
            <v>AEROSOL</v>
          </cell>
          <cell r="M2187" t="str">
            <v>XA0302</v>
          </cell>
          <cell r="N2187" t="str">
            <v>ZEBRA GRAFFITI</v>
          </cell>
        </row>
        <row r="2188">
          <cell r="C2188" t="str">
            <v>170001281</v>
          </cell>
          <cell r="D2188" t="str">
            <v>ZEBRA GRF AQUA MARINE-7313-0.3L</v>
          </cell>
          <cell r="E2188" t="str">
            <v>ZTRD</v>
          </cell>
          <cell r="F2188" t="str">
            <v>PC</v>
          </cell>
          <cell r="G2188" t="str">
            <v>X</v>
          </cell>
          <cell r="H2188" t="str">
            <v>TRD RETAIL</v>
          </cell>
          <cell r="I2188" t="str">
            <v>XA</v>
          </cell>
          <cell r="J2188" t="str">
            <v>PCR</v>
          </cell>
          <cell r="K2188" t="str">
            <v>XA03</v>
          </cell>
          <cell r="L2188" t="str">
            <v>AEROSOL</v>
          </cell>
          <cell r="M2188" t="str">
            <v>XA0302</v>
          </cell>
          <cell r="N2188" t="str">
            <v>ZEBRA GRAFFITI</v>
          </cell>
        </row>
        <row r="2189">
          <cell r="C2189" t="str">
            <v>170001282</v>
          </cell>
          <cell r="D2189" t="str">
            <v>ZEBRA GRF LIGHT MARINE-7428-0.3L</v>
          </cell>
          <cell r="E2189" t="str">
            <v>ZTRD</v>
          </cell>
          <cell r="F2189" t="str">
            <v>PC</v>
          </cell>
          <cell r="G2189" t="str">
            <v>X</v>
          </cell>
          <cell r="H2189" t="str">
            <v>TRD RETAIL</v>
          </cell>
          <cell r="I2189" t="str">
            <v>XA</v>
          </cell>
          <cell r="J2189" t="str">
            <v>PCR</v>
          </cell>
          <cell r="K2189" t="str">
            <v>XA03</v>
          </cell>
          <cell r="L2189" t="str">
            <v>AEROSOL</v>
          </cell>
          <cell r="M2189" t="str">
            <v>XA0302</v>
          </cell>
          <cell r="N2189" t="str">
            <v>ZEBRA GRAFFITI</v>
          </cell>
        </row>
        <row r="2190">
          <cell r="C2190" t="str">
            <v>170001283</v>
          </cell>
          <cell r="D2190" t="str">
            <v>ZEBRA GRF MISTY GREY-5459-0.3L</v>
          </cell>
          <cell r="E2190" t="str">
            <v>ZTRD</v>
          </cell>
          <cell r="F2190" t="str">
            <v>PC</v>
          </cell>
          <cell r="G2190" t="str">
            <v>X</v>
          </cell>
          <cell r="H2190" t="str">
            <v>TRD RETAIL</v>
          </cell>
          <cell r="I2190" t="str">
            <v>XA</v>
          </cell>
          <cell r="J2190" t="str">
            <v>PCR</v>
          </cell>
          <cell r="K2190" t="str">
            <v>XA03</v>
          </cell>
          <cell r="L2190" t="str">
            <v>AEROSOL</v>
          </cell>
          <cell r="M2190" t="str">
            <v>XA0302</v>
          </cell>
          <cell r="N2190" t="str">
            <v>ZEBRA GRAFFITI</v>
          </cell>
        </row>
        <row r="2191">
          <cell r="C2191" t="str">
            <v>170001284</v>
          </cell>
          <cell r="D2191" t="str">
            <v>ZEBRA GRF CHROMA GREY-9454-0.3L</v>
          </cell>
          <cell r="E2191" t="str">
            <v>ZTRD</v>
          </cell>
          <cell r="F2191" t="str">
            <v>PC</v>
          </cell>
          <cell r="G2191" t="str">
            <v>X</v>
          </cell>
          <cell r="H2191" t="str">
            <v>TRD RETAIL</v>
          </cell>
          <cell r="I2191" t="str">
            <v>XA</v>
          </cell>
          <cell r="J2191" t="str">
            <v>PCR</v>
          </cell>
          <cell r="K2191" t="str">
            <v>XA03</v>
          </cell>
          <cell r="L2191" t="str">
            <v>AEROSOL</v>
          </cell>
          <cell r="M2191" t="str">
            <v>XA0302</v>
          </cell>
          <cell r="N2191" t="str">
            <v>ZEBRA GRAFFITI</v>
          </cell>
        </row>
        <row r="2192">
          <cell r="C2192" t="str">
            <v>170001285</v>
          </cell>
          <cell r="D2192" t="str">
            <v>ZEBRA GRF CAPS CLEANER-0.3L</v>
          </cell>
          <cell r="E2192" t="str">
            <v>ZTRD</v>
          </cell>
          <cell r="F2192" t="str">
            <v>PC</v>
          </cell>
          <cell r="G2192" t="str">
            <v>X</v>
          </cell>
          <cell r="H2192" t="str">
            <v>TRD RETAIL</v>
          </cell>
          <cell r="I2192" t="str">
            <v>XA</v>
          </cell>
          <cell r="J2192" t="str">
            <v>PCR</v>
          </cell>
          <cell r="K2192" t="str">
            <v>XA03</v>
          </cell>
          <cell r="L2192" t="str">
            <v>AEROSOL</v>
          </cell>
          <cell r="M2192" t="str">
            <v>XA0302</v>
          </cell>
          <cell r="N2192" t="str">
            <v>ZEBRA GRAFFITI</v>
          </cell>
        </row>
        <row r="2193">
          <cell r="C2193" t="str">
            <v>170001301</v>
          </cell>
          <cell r="D2193" t="str">
            <v>UFM-930 LIGHT GREY-20KP</v>
          </cell>
          <cell r="E2193" t="str">
            <v>ZTRD</v>
          </cell>
          <cell r="F2193" t="str">
            <v>PC</v>
          </cell>
          <cell r="G2193" t="str">
            <v>X</v>
          </cell>
          <cell r="H2193" t="str">
            <v>TRD RETAIL</v>
          </cell>
          <cell r="I2193" t="str">
            <v>X8</v>
          </cell>
          <cell r="J2193" t="str">
            <v>CPC2</v>
          </cell>
          <cell r="K2193" t="str">
            <v>X801</v>
          </cell>
          <cell r="L2193" t="str">
            <v>WATERPROOFING</v>
          </cell>
          <cell r="M2193" t="str">
            <v>X80108</v>
          </cell>
          <cell r="N2193" t="str">
            <v>ULTRAFLEX MEMBRANE</v>
          </cell>
        </row>
        <row r="2194">
          <cell r="C2194" t="str">
            <v>170001304</v>
          </cell>
          <cell r="D2194" t="str">
            <v>ZEBRA GRF LIGHT GREY-9460-0.3L</v>
          </cell>
          <cell r="E2194" t="str">
            <v>ZTRD</v>
          </cell>
          <cell r="F2194" t="str">
            <v>PC</v>
          </cell>
          <cell r="G2194" t="str">
            <v>X</v>
          </cell>
          <cell r="H2194" t="str">
            <v>TRD RETAIL</v>
          </cell>
          <cell r="I2194" t="str">
            <v>XA</v>
          </cell>
          <cell r="J2194" t="str">
            <v>PCR</v>
          </cell>
          <cell r="K2194" t="str">
            <v>XA03</v>
          </cell>
          <cell r="L2194" t="str">
            <v>AEROSOL</v>
          </cell>
          <cell r="M2194" t="str">
            <v>XA0302</v>
          </cell>
          <cell r="N2194" t="str">
            <v>ZEBRA GRAFFITI</v>
          </cell>
        </row>
        <row r="2195">
          <cell r="C2195" t="str">
            <v>170001315</v>
          </cell>
          <cell r="D2195" t="str">
            <v>EC-973-2K-15LS</v>
          </cell>
          <cell r="E2195" t="str">
            <v>ZTRD</v>
          </cell>
          <cell r="F2195" t="str">
            <v>PC</v>
          </cell>
          <cell r="G2195" t="str">
            <v>X</v>
          </cell>
          <cell r="H2195" t="str">
            <v>TRD RETAIL</v>
          </cell>
          <cell r="I2195" t="str">
            <v>X2</v>
          </cell>
          <cell r="J2195" t="str">
            <v>WF2</v>
          </cell>
          <cell r="K2195" t="str">
            <v>X211</v>
          </cell>
          <cell r="L2195" t="str">
            <v>EPOXY CAST</v>
          </cell>
          <cell r="M2195" t="str">
            <v>X21101</v>
          </cell>
          <cell r="N2195" t="str">
            <v>PROPAN EPOXY CAST</v>
          </cell>
        </row>
        <row r="2196">
          <cell r="C2196" t="str">
            <v>170001350</v>
          </cell>
          <cell r="D2196" t="str">
            <v>PPR-730-1K</v>
          </cell>
          <cell r="E2196" t="str">
            <v>ZTRD</v>
          </cell>
          <cell r="F2196" t="str">
            <v>PC</v>
          </cell>
          <cell r="G2196" t="str">
            <v>X</v>
          </cell>
          <cell r="H2196" t="str">
            <v>TRD RETAIL</v>
          </cell>
          <cell r="I2196" t="str">
            <v>X4</v>
          </cell>
          <cell r="J2196" t="str">
            <v>WF3</v>
          </cell>
          <cell r="K2196" t="str">
            <v>X405</v>
          </cell>
          <cell r="L2196" t="str">
            <v>PAINT REMOVER</v>
          </cell>
          <cell r="M2196" t="str">
            <v>X40501</v>
          </cell>
          <cell r="N2196" t="str">
            <v>PROPAN PAINT REMOVER</v>
          </cell>
        </row>
        <row r="2197">
          <cell r="C2197" t="str">
            <v>170001357</v>
          </cell>
          <cell r="D2197" t="str">
            <v>UFM-930 BASE D-4K</v>
          </cell>
          <cell r="E2197" t="str">
            <v>ZTRD</v>
          </cell>
          <cell r="F2197" t="str">
            <v>PC</v>
          </cell>
          <cell r="G2197" t="str">
            <v>Y</v>
          </cell>
          <cell r="H2197" t="str">
            <v>TRD PROJECT</v>
          </cell>
          <cell r="I2197" t="str">
            <v>Y7</v>
          </cell>
          <cell r="J2197" t="str">
            <v>CPC2</v>
          </cell>
          <cell r="K2197" t="str">
            <v>Y706</v>
          </cell>
          <cell r="L2197" t="str">
            <v>ULTRAFLEX</v>
          </cell>
          <cell r="M2197" t="str">
            <v>Y70602</v>
          </cell>
          <cell r="N2197" t="str">
            <v>ULTRAFLEX MEMBRANE</v>
          </cell>
        </row>
        <row r="2198">
          <cell r="C2198" t="str">
            <v>170001358</v>
          </cell>
          <cell r="D2198" t="str">
            <v>UFM-930 BASE D-20KP</v>
          </cell>
          <cell r="E2198" t="str">
            <v>ZTRD</v>
          </cell>
          <cell r="F2198" t="str">
            <v>PC</v>
          </cell>
          <cell r="G2198" t="str">
            <v>Y</v>
          </cell>
          <cell r="H2198" t="str">
            <v>TRD PROJECT</v>
          </cell>
          <cell r="I2198" t="str">
            <v>Y7</v>
          </cell>
          <cell r="J2198" t="str">
            <v>CPC2</v>
          </cell>
          <cell r="K2198" t="str">
            <v>Y706</v>
          </cell>
          <cell r="L2198" t="str">
            <v>ULTRAFLEX</v>
          </cell>
          <cell r="M2198" t="str">
            <v>Y70602</v>
          </cell>
          <cell r="N2198" t="str">
            <v>ULTRAFLEX MEMBRANE</v>
          </cell>
        </row>
        <row r="2199">
          <cell r="C2199" t="str">
            <v>170001359</v>
          </cell>
          <cell r="D2199" t="str">
            <v>SUPER GOLD SG-07 WB GOLD-1230-2.5L</v>
          </cell>
          <cell r="E2199" t="str">
            <v>ZTRD</v>
          </cell>
          <cell r="F2199" t="str">
            <v>PC</v>
          </cell>
          <cell r="G2199" t="str">
            <v>X</v>
          </cell>
          <cell r="H2199" t="str">
            <v>TRD RETAIL</v>
          </cell>
          <cell r="I2199" t="str">
            <v>X6</v>
          </cell>
          <cell r="J2199" t="str">
            <v>SFC</v>
          </cell>
          <cell r="K2199" t="str">
            <v>X609</v>
          </cell>
          <cell r="L2199" t="str">
            <v>PROPAN SUPER GOLD</v>
          </cell>
          <cell r="M2199" t="str">
            <v>X60901</v>
          </cell>
          <cell r="N2199" t="str">
            <v>PROPAN SUPER GOLD</v>
          </cell>
        </row>
        <row r="2200">
          <cell r="C2200" t="str">
            <v>170001360</v>
          </cell>
          <cell r="D2200" t="str">
            <v>SUPER GOLD SG-07 WB GOLD-1230-20LP</v>
          </cell>
          <cell r="E2200" t="str">
            <v>ZTRD</v>
          </cell>
          <cell r="F2200" t="str">
            <v>PC</v>
          </cell>
          <cell r="G2200" t="str">
            <v>X</v>
          </cell>
          <cell r="H2200" t="str">
            <v>TRD RETAIL</v>
          </cell>
          <cell r="I2200" t="str">
            <v>X6</v>
          </cell>
          <cell r="J2200" t="str">
            <v>SFC</v>
          </cell>
          <cell r="K2200" t="str">
            <v>X609</v>
          </cell>
          <cell r="L2200" t="str">
            <v>PROPAN SUPER GOLD</v>
          </cell>
          <cell r="M2200" t="str">
            <v>X60901</v>
          </cell>
          <cell r="N2200" t="str">
            <v>PROPAN SUPER GOLD</v>
          </cell>
        </row>
        <row r="2201">
          <cell r="C2201" t="str">
            <v>170001363</v>
          </cell>
          <cell r="D2201" t="str">
            <v>SKF-200-1K WB-20LJ</v>
          </cell>
          <cell r="E2201" t="str">
            <v>ZTRD</v>
          </cell>
          <cell r="F2201" t="str">
            <v>PC</v>
          </cell>
          <cell r="G2201" t="str">
            <v>Y</v>
          </cell>
          <cell r="H2201" t="str">
            <v>TRD PROJECT</v>
          </cell>
          <cell r="I2201" t="str">
            <v>Y6</v>
          </cell>
          <cell r="J2201" t="str">
            <v>CPC1</v>
          </cell>
          <cell r="K2201" t="str">
            <v>Y609</v>
          </cell>
          <cell r="L2201" t="str">
            <v>SILIKAT</v>
          </cell>
          <cell r="M2201" t="str">
            <v>Y60901</v>
          </cell>
          <cell r="N2201" t="str">
            <v>SILIKAT FLOOR</v>
          </cell>
        </row>
        <row r="2202">
          <cell r="C2202" t="str">
            <v>170001396</v>
          </cell>
          <cell r="D2202" t="str">
            <v>PUC-54220 AC WHITE 20-20KP</v>
          </cell>
          <cell r="E2202" t="str">
            <v>ZTRD</v>
          </cell>
          <cell r="F2202" t="str">
            <v>PC</v>
          </cell>
          <cell r="G2202" t="str">
            <v>W</v>
          </cell>
          <cell r="H2202" t="str">
            <v>TRD INDUSTRY</v>
          </cell>
          <cell r="I2202" t="str">
            <v>W1</v>
          </cell>
          <cell r="J2202" t="str">
            <v>WOOD COATINGS</v>
          </cell>
          <cell r="K2202" t="str">
            <v>W103</v>
          </cell>
          <cell r="L2202" t="str">
            <v>PU</v>
          </cell>
          <cell r="M2202" t="str">
            <v>W10319</v>
          </cell>
          <cell r="N2202" t="str">
            <v>PU COLOR</v>
          </cell>
        </row>
        <row r="2203">
          <cell r="C2203" t="str">
            <v>170001409</v>
          </cell>
          <cell r="D2203" t="str">
            <v>PUH-31 NY FD-1K</v>
          </cell>
          <cell r="E2203" t="str">
            <v>ZTRD</v>
          </cell>
          <cell r="F2203" t="str">
            <v>PC</v>
          </cell>
          <cell r="G2203" t="str">
            <v>W</v>
          </cell>
          <cell r="H2203" t="str">
            <v>TRD INDUSTRY</v>
          </cell>
          <cell r="I2203" t="str">
            <v>W1</v>
          </cell>
          <cell r="J2203" t="str">
            <v>WOOD COATINGS</v>
          </cell>
          <cell r="K2203" t="str">
            <v>W103</v>
          </cell>
          <cell r="L2203" t="str">
            <v>PU</v>
          </cell>
          <cell r="M2203" t="str">
            <v>W10320</v>
          </cell>
          <cell r="N2203" t="str">
            <v>PU HARDENER</v>
          </cell>
        </row>
        <row r="2204">
          <cell r="C2204" t="str">
            <v>170001413</v>
          </cell>
          <cell r="D2204" t="str">
            <v>GO FAST PRIMER LIGHT GREY-7114-0.9K</v>
          </cell>
          <cell r="E2204" t="str">
            <v>ZTRD</v>
          </cell>
          <cell r="F2204" t="str">
            <v>PC</v>
          </cell>
          <cell r="G2204" t="str">
            <v>X</v>
          </cell>
          <cell r="H2204" t="str">
            <v>TRD RETAIL</v>
          </cell>
          <cell r="I2204" t="str">
            <v>X9</v>
          </cell>
          <cell r="J2204" t="str">
            <v>MPC</v>
          </cell>
          <cell r="K2204" t="str">
            <v>X909</v>
          </cell>
          <cell r="L2204" t="str">
            <v>GO FAST</v>
          </cell>
          <cell r="M2204" t="str">
            <v>X90903</v>
          </cell>
          <cell r="N2204" t="str">
            <v>GO FAST PRIMER</v>
          </cell>
        </row>
        <row r="2205">
          <cell r="C2205" t="str">
            <v>170001414</v>
          </cell>
          <cell r="D2205" t="str">
            <v>GO FAST PRIMER LIGHT GREY-7114-20KP</v>
          </cell>
          <cell r="E2205" t="str">
            <v>ZTRD</v>
          </cell>
          <cell r="F2205" t="str">
            <v>PC</v>
          </cell>
          <cell r="G2205" t="str">
            <v>X</v>
          </cell>
          <cell r="H2205" t="str">
            <v>TRD RETAIL</v>
          </cell>
          <cell r="I2205" t="str">
            <v>X9</v>
          </cell>
          <cell r="J2205" t="str">
            <v>MPC</v>
          </cell>
          <cell r="K2205" t="str">
            <v>X909</v>
          </cell>
          <cell r="L2205" t="str">
            <v>GO FAST</v>
          </cell>
          <cell r="M2205" t="str">
            <v>X90903</v>
          </cell>
          <cell r="N2205" t="str">
            <v>GO FAST PRIMER</v>
          </cell>
        </row>
        <row r="2206">
          <cell r="C2206" t="str">
            <v>170001416</v>
          </cell>
          <cell r="D2206" t="str">
            <v>ZEBRA GRF BLACK MATT 000-2-0.4L</v>
          </cell>
          <cell r="E2206" t="str">
            <v>ZTRD</v>
          </cell>
          <cell r="F2206" t="str">
            <v>PC</v>
          </cell>
          <cell r="G2206" t="str">
            <v>X</v>
          </cell>
          <cell r="H2206" t="str">
            <v>TRD RETAIL</v>
          </cell>
          <cell r="I2206" t="str">
            <v>XA</v>
          </cell>
          <cell r="J2206" t="str">
            <v>PCR</v>
          </cell>
          <cell r="K2206" t="str">
            <v>XA03</v>
          </cell>
          <cell r="L2206" t="str">
            <v>AEROSOL</v>
          </cell>
          <cell r="M2206" t="str">
            <v>XA0302</v>
          </cell>
          <cell r="N2206" t="str">
            <v>ZEBRA GRAFFITI</v>
          </cell>
        </row>
        <row r="2207">
          <cell r="C2207" t="str">
            <v>170001417</v>
          </cell>
          <cell r="D2207" t="str">
            <v>ZEBRA GRF BLUE 120-1-0.4L</v>
          </cell>
          <cell r="E2207" t="str">
            <v>ZTRD</v>
          </cell>
          <cell r="F2207" t="str">
            <v>PC</v>
          </cell>
          <cell r="G2207" t="str">
            <v>X</v>
          </cell>
          <cell r="H2207" t="str">
            <v>TRD RETAIL</v>
          </cell>
          <cell r="I2207" t="str">
            <v>XA</v>
          </cell>
          <cell r="J2207" t="str">
            <v>PCR</v>
          </cell>
          <cell r="K2207" t="str">
            <v>XA03</v>
          </cell>
          <cell r="L2207" t="str">
            <v>AEROSOL</v>
          </cell>
          <cell r="M2207" t="str">
            <v>XA0302</v>
          </cell>
          <cell r="N2207" t="str">
            <v>ZEBRA GRAFFITI</v>
          </cell>
        </row>
        <row r="2208">
          <cell r="C2208" t="str">
            <v>170001418</v>
          </cell>
          <cell r="D2208" t="str">
            <v>ZEBRA GRF BLUE 120-2-0.4L</v>
          </cell>
          <cell r="E2208" t="str">
            <v>ZTRD</v>
          </cell>
          <cell r="F2208" t="str">
            <v>PC</v>
          </cell>
          <cell r="G2208" t="str">
            <v>X</v>
          </cell>
          <cell r="H2208" t="str">
            <v>TRD RETAIL</v>
          </cell>
          <cell r="I2208" t="str">
            <v>XA</v>
          </cell>
          <cell r="J2208" t="str">
            <v>PCR</v>
          </cell>
          <cell r="K2208" t="str">
            <v>XA03</v>
          </cell>
          <cell r="L2208" t="str">
            <v>AEROSOL</v>
          </cell>
          <cell r="M2208" t="str">
            <v>XA0302</v>
          </cell>
          <cell r="N2208" t="str">
            <v>ZEBRA GRAFFITI</v>
          </cell>
        </row>
        <row r="2209">
          <cell r="C2209" t="str">
            <v>170001419</v>
          </cell>
          <cell r="D2209" t="str">
            <v>ZEBRA GRF BLUE 120-3-0.4L</v>
          </cell>
          <cell r="E2209" t="str">
            <v>ZTRD</v>
          </cell>
          <cell r="F2209" t="str">
            <v>PC</v>
          </cell>
          <cell r="G2209" t="str">
            <v>X</v>
          </cell>
          <cell r="H2209" t="str">
            <v>TRD RETAIL</v>
          </cell>
          <cell r="I2209" t="str">
            <v>XA</v>
          </cell>
          <cell r="J2209" t="str">
            <v>PCR</v>
          </cell>
          <cell r="K2209" t="str">
            <v>XA03</v>
          </cell>
          <cell r="L2209" t="str">
            <v>AEROSOL</v>
          </cell>
          <cell r="M2209" t="str">
            <v>XA0302</v>
          </cell>
          <cell r="N2209" t="str">
            <v>ZEBRA GRAFFITI</v>
          </cell>
        </row>
        <row r="2210">
          <cell r="C2210" t="str">
            <v>170001420</v>
          </cell>
          <cell r="D2210" t="str">
            <v>ZEBRA GRF BLUE 120-4-0.4L</v>
          </cell>
          <cell r="E2210" t="str">
            <v>ZTRD</v>
          </cell>
          <cell r="F2210" t="str">
            <v>PC</v>
          </cell>
          <cell r="G2210" t="str">
            <v>X</v>
          </cell>
          <cell r="H2210" t="str">
            <v>TRD RETAIL</v>
          </cell>
          <cell r="I2210" t="str">
            <v>XA</v>
          </cell>
          <cell r="J2210" t="str">
            <v>PCR</v>
          </cell>
          <cell r="K2210" t="str">
            <v>XA03</v>
          </cell>
          <cell r="L2210" t="str">
            <v>AEROSOL</v>
          </cell>
          <cell r="M2210" t="str">
            <v>XA0302</v>
          </cell>
          <cell r="N2210" t="str">
            <v>ZEBRA GRAFFITI</v>
          </cell>
        </row>
        <row r="2211">
          <cell r="C2211" t="str">
            <v>170001421</v>
          </cell>
          <cell r="D2211" t="str">
            <v>ZEBRA GRF EMERALD 140-1-0.4L</v>
          </cell>
          <cell r="E2211" t="str">
            <v>ZTRD</v>
          </cell>
          <cell r="F2211" t="str">
            <v>PC</v>
          </cell>
          <cell r="G2211" t="str">
            <v>X</v>
          </cell>
          <cell r="H2211" t="str">
            <v>TRD RETAIL</v>
          </cell>
          <cell r="I2211" t="str">
            <v>XA</v>
          </cell>
          <cell r="J2211" t="str">
            <v>PCR</v>
          </cell>
          <cell r="K2211" t="str">
            <v>XA03</v>
          </cell>
          <cell r="L2211" t="str">
            <v>AEROSOL</v>
          </cell>
          <cell r="M2211" t="str">
            <v>XA0302</v>
          </cell>
          <cell r="N2211" t="str">
            <v>ZEBRA GRAFFITI</v>
          </cell>
        </row>
        <row r="2212">
          <cell r="C2212" t="str">
            <v>170001422</v>
          </cell>
          <cell r="D2212" t="str">
            <v>ZEBRA GRF EMERALD 140-2-0.4L</v>
          </cell>
          <cell r="E2212" t="str">
            <v>ZTRD</v>
          </cell>
          <cell r="F2212" t="str">
            <v>PC</v>
          </cell>
          <cell r="G2212" t="str">
            <v>X</v>
          </cell>
          <cell r="H2212" t="str">
            <v>TRD RETAIL</v>
          </cell>
          <cell r="I2212" t="str">
            <v>XA</v>
          </cell>
          <cell r="J2212" t="str">
            <v>PCR</v>
          </cell>
          <cell r="K2212" t="str">
            <v>XA03</v>
          </cell>
          <cell r="L2212" t="str">
            <v>AEROSOL</v>
          </cell>
          <cell r="M2212" t="str">
            <v>XA0302</v>
          </cell>
          <cell r="N2212" t="str">
            <v>ZEBRA GRAFFITI</v>
          </cell>
        </row>
        <row r="2213">
          <cell r="C2213" t="str">
            <v>170001423</v>
          </cell>
          <cell r="D2213" t="str">
            <v>ZEBRA GRF EMERALD 140-3-0.4L</v>
          </cell>
          <cell r="E2213" t="str">
            <v>ZTRD</v>
          </cell>
          <cell r="F2213" t="str">
            <v>PC</v>
          </cell>
          <cell r="G2213" t="str">
            <v>X</v>
          </cell>
          <cell r="H2213" t="str">
            <v>TRD RETAIL</v>
          </cell>
          <cell r="I2213" t="str">
            <v>XA</v>
          </cell>
          <cell r="J2213" t="str">
            <v>PCR</v>
          </cell>
          <cell r="K2213" t="str">
            <v>XA03</v>
          </cell>
          <cell r="L2213" t="str">
            <v>AEROSOL</v>
          </cell>
          <cell r="M2213" t="str">
            <v>XA0302</v>
          </cell>
          <cell r="N2213" t="str">
            <v>ZEBRA GRAFFITI</v>
          </cell>
        </row>
        <row r="2214">
          <cell r="C2214" t="str">
            <v>170001424</v>
          </cell>
          <cell r="D2214" t="str">
            <v>ZEBRA GRF FLUORESCENT 000-1-0.4L</v>
          </cell>
          <cell r="E2214" t="str">
            <v>ZTRD</v>
          </cell>
          <cell r="F2214" t="str">
            <v>PC</v>
          </cell>
          <cell r="G2214" t="str">
            <v>X</v>
          </cell>
          <cell r="H2214" t="str">
            <v>TRD RETAIL</v>
          </cell>
          <cell r="I2214" t="str">
            <v>XA</v>
          </cell>
          <cell r="J2214" t="str">
            <v>PCR</v>
          </cell>
          <cell r="K2214" t="str">
            <v>XA03</v>
          </cell>
          <cell r="L2214" t="str">
            <v>AEROSOL</v>
          </cell>
          <cell r="M2214" t="str">
            <v>XA0302</v>
          </cell>
          <cell r="N2214" t="str">
            <v>ZEBRA GRAFFITI</v>
          </cell>
        </row>
        <row r="2215">
          <cell r="C2215" t="str">
            <v>170001425</v>
          </cell>
          <cell r="D2215" t="str">
            <v>ZEBRA GRF FLUORESCENT 000-2-0.4L</v>
          </cell>
          <cell r="E2215" t="str">
            <v>ZTRD</v>
          </cell>
          <cell r="F2215" t="str">
            <v>PC</v>
          </cell>
          <cell r="G2215" t="str">
            <v>X</v>
          </cell>
          <cell r="H2215" t="str">
            <v>TRD RETAIL</v>
          </cell>
          <cell r="I2215" t="str">
            <v>XA</v>
          </cell>
          <cell r="J2215" t="str">
            <v>PCR</v>
          </cell>
          <cell r="K2215" t="str">
            <v>XA03</v>
          </cell>
          <cell r="L2215" t="str">
            <v>AEROSOL</v>
          </cell>
          <cell r="M2215" t="str">
            <v>XA0302</v>
          </cell>
          <cell r="N2215" t="str">
            <v>ZEBRA GRAFFITI</v>
          </cell>
        </row>
        <row r="2216">
          <cell r="C2216" t="str">
            <v>170001426</v>
          </cell>
          <cell r="D2216" t="str">
            <v>ZEBRA GRF FLUORESCENT 000-3-0.4L</v>
          </cell>
          <cell r="E2216" t="str">
            <v>ZTRD</v>
          </cell>
          <cell r="F2216" t="str">
            <v>PC</v>
          </cell>
          <cell r="G2216" t="str">
            <v>X</v>
          </cell>
          <cell r="H2216" t="str">
            <v>TRD RETAIL</v>
          </cell>
          <cell r="I2216" t="str">
            <v>XA</v>
          </cell>
          <cell r="J2216" t="str">
            <v>PCR</v>
          </cell>
          <cell r="K2216" t="str">
            <v>XA03</v>
          </cell>
          <cell r="L2216" t="str">
            <v>AEROSOL</v>
          </cell>
          <cell r="M2216" t="str">
            <v>XA0302</v>
          </cell>
          <cell r="N2216" t="str">
            <v>ZEBRA GRAFFITI</v>
          </cell>
        </row>
        <row r="2217">
          <cell r="C2217" t="str">
            <v>170001427</v>
          </cell>
          <cell r="D2217" t="str">
            <v>ZEBRA GRF FLUORESCENT 000-4-0.4L</v>
          </cell>
          <cell r="E2217" t="str">
            <v>ZTRD</v>
          </cell>
          <cell r="F2217" t="str">
            <v>PC</v>
          </cell>
          <cell r="G2217" t="str">
            <v>X</v>
          </cell>
          <cell r="H2217" t="str">
            <v>TRD RETAIL</v>
          </cell>
          <cell r="I2217" t="str">
            <v>XA</v>
          </cell>
          <cell r="J2217" t="str">
            <v>PCR</v>
          </cell>
          <cell r="K2217" t="str">
            <v>XA03</v>
          </cell>
          <cell r="L2217" t="str">
            <v>AEROSOL</v>
          </cell>
          <cell r="M2217" t="str">
            <v>XA0302</v>
          </cell>
          <cell r="N2217" t="str">
            <v>ZEBRA GRAFFITI</v>
          </cell>
        </row>
        <row r="2218">
          <cell r="C2218" t="str">
            <v>170001428</v>
          </cell>
          <cell r="D2218" t="str">
            <v>ZEBRA GRF FUCHSIA 090-1-0.4L</v>
          </cell>
          <cell r="E2218" t="str">
            <v>ZTRD</v>
          </cell>
          <cell r="F2218" t="str">
            <v>PC</v>
          </cell>
          <cell r="G2218" t="str">
            <v>X</v>
          </cell>
          <cell r="H2218" t="str">
            <v>TRD RETAIL</v>
          </cell>
          <cell r="I2218" t="str">
            <v>XA</v>
          </cell>
          <cell r="J2218" t="str">
            <v>PCR</v>
          </cell>
          <cell r="K2218" t="str">
            <v>XA03</v>
          </cell>
          <cell r="L2218" t="str">
            <v>AEROSOL</v>
          </cell>
          <cell r="M2218" t="str">
            <v>XA0302</v>
          </cell>
          <cell r="N2218" t="str">
            <v>ZEBRA GRAFFITI</v>
          </cell>
        </row>
        <row r="2219">
          <cell r="C2219" t="str">
            <v>170001429</v>
          </cell>
          <cell r="D2219" t="str">
            <v>ZEBRA GRF FUCHSIA 090-2-0.4L</v>
          </cell>
          <cell r="E2219" t="str">
            <v>ZTRD</v>
          </cell>
          <cell r="F2219" t="str">
            <v>PC</v>
          </cell>
          <cell r="G2219" t="str">
            <v>X</v>
          </cell>
          <cell r="H2219" t="str">
            <v>TRD RETAIL</v>
          </cell>
          <cell r="I2219" t="str">
            <v>XA</v>
          </cell>
          <cell r="J2219" t="str">
            <v>PCR</v>
          </cell>
          <cell r="K2219" t="str">
            <v>XA03</v>
          </cell>
          <cell r="L2219" t="str">
            <v>AEROSOL</v>
          </cell>
          <cell r="M2219" t="str">
            <v>XA0302</v>
          </cell>
          <cell r="N2219" t="str">
            <v>ZEBRA GRAFFITI</v>
          </cell>
        </row>
        <row r="2220">
          <cell r="C2220" t="str">
            <v>170001430</v>
          </cell>
          <cell r="D2220" t="str">
            <v>ZEBRA GRF GREEN 150-1-0.4L</v>
          </cell>
          <cell r="E2220" t="str">
            <v>ZTRD</v>
          </cell>
          <cell r="F2220" t="str">
            <v>PC</v>
          </cell>
          <cell r="G2220" t="str">
            <v>X</v>
          </cell>
          <cell r="H2220" t="str">
            <v>TRD RETAIL</v>
          </cell>
          <cell r="I2220" t="str">
            <v>XA</v>
          </cell>
          <cell r="J2220" t="str">
            <v>PCR</v>
          </cell>
          <cell r="K2220" t="str">
            <v>XA03</v>
          </cell>
          <cell r="L2220" t="str">
            <v>AEROSOL</v>
          </cell>
          <cell r="M2220" t="str">
            <v>XA0302</v>
          </cell>
          <cell r="N2220" t="str">
            <v>ZEBRA GRAFFITI</v>
          </cell>
        </row>
        <row r="2221">
          <cell r="C2221" t="str">
            <v>170001431</v>
          </cell>
          <cell r="D2221" t="str">
            <v>ZEBRA GRF GREEN 150-2-0.4L</v>
          </cell>
          <cell r="E2221" t="str">
            <v>ZTRD</v>
          </cell>
          <cell r="F2221" t="str">
            <v>PC</v>
          </cell>
          <cell r="G2221" t="str">
            <v>X</v>
          </cell>
          <cell r="H2221" t="str">
            <v>TRD RETAIL</v>
          </cell>
          <cell r="I2221" t="str">
            <v>XA</v>
          </cell>
          <cell r="J2221" t="str">
            <v>PCR</v>
          </cell>
          <cell r="K2221" t="str">
            <v>XA03</v>
          </cell>
          <cell r="L2221" t="str">
            <v>AEROSOL</v>
          </cell>
          <cell r="M2221" t="str">
            <v>XA0302</v>
          </cell>
          <cell r="N2221" t="str">
            <v>ZEBRA GRAFFITI</v>
          </cell>
        </row>
        <row r="2222">
          <cell r="C2222" t="str">
            <v>170001432</v>
          </cell>
          <cell r="D2222" t="str">
            <v>ZEBRA GRF GREEN 150-3-0.4L</v>
          </cell>
          <cell r="E2222" t="str">
            <v>ZTRD</v>
          </cell>
          <cell r="F2222" t="str">
            <v>PC</v>
          </cell>
          <cell r="G2222" t="str">
            <v>X</v>
          </cell>
          <cell r="H2222" t="str">
            <v>TRD RETAIL</v>
          </cell>
          <cell r="I2222" t="str">
            <v>XA</v>
          </cell>
          <cell r="J2222" t="str">
            <v>PCR</v>
          </cell>
          <cell r="K2222" t="str">
            <v>XA03</v>
          </cell>
          <cell r="L2222" t="str">
            <v>AEROSOL</v>
          </cell>
          <cell r="M2222" t="str">
            <v>XA0302</v>
          </cell>
          <cell r="N2222" t="str">
            <v>ZEBRA GRAFFITI</v>
          </cell>
        </row>
        <row r="2223">
          <cell r="C2223" t="str">
            <v>170001433</v>
          </cell>
          <cell r="D2223" t="str">
            <v>ZEBRA GRF GREY 010-1-0.4L</v>
          </cell>
          <cell r="E2223" t="str">
            <v>ZTRD</v>
          </cell>
          <cell r="F2223" t="str">
            <v>PC</v>
          </cell>
          <cell r="G2223" t="str">
            <v>X</v>
          </cell>
          <cell r="H2223" t="str">
            <v>TRD RETAIL</v>
          </cell>
          <cell r="I2223" t="str">
            <v>XA</v>
          </cell>
          <cell r="J2223" t="str">
            <v>PCR</v>
          </cell>
          <cell r="K2223" t="str">
            <v>XA03</v>
          </cell>
          <cell r="L2223" t="str">
            <v>AEROSOL</v>
          </cell>
          <cell r="M2223" t="str">
            <v>XA0302</v>
          </cell>
          <cell r="N2223" t="str">
            <v>ZEBRA GRAFFITI</v>
          </cell>
        </row>
        <row r="2224">
          <cell r="C2224" t="str">
            <v>170001434</v>
          </cell>
          <cell r="D2224" t="str">
            <v>ZEBRA GRF GREY 010-3-0.4L</v>
          </cell>
          <cell r="E2224" t="str">
            <v>ZTRD</v>
          </cell>
          <cell r="F2224" t="str">
            <v>PC</v>
          </cell>
          <cell r="G2224" t="str">
            <v>X</v>
          </cell>
          <cell r="H2224" t="str">
            <v>TRD RETAIL</v>
          </cell>
          <cell r="I2224" t="str">
            <v>XA</v>
          </cell>
          <cell r="J2224" t="str">
            <v>PCR</v>
          </cell>
          <cell r="K2224" t="str">
            <v>XA03</v>
          </cell>
          <cell r="L2224" t="str">
            <v>AEROSOL</v>
          </cell>
          <cell r="M2224" t="str">
            <v>XA0302</v>
          </cell>
          <cell r="N2224" t="str">
            <v>ZEBRA GRAFFITI</v>
          </cell>
        </row>
        <row r="2225">
          <cell r="C2225" t="str">
            <v>170001435</v>
          </cell>
          <cell r="D2225" t="str">
            <v>ZEBRA GRF GREY 010-4-0.4L</v>
          </cell>
          <cell r="E2225" t="str">
            <v>ZTRD</v>
          </cell>
          <cell r="F2225" t="str">
            <v>PC</v>
          </cell>
          <cell r="G2225" t="str">
            <v>X</v>
          </cell>
          <cell r="H2225" t="str">
            <v>TRD RETAIL</v>
          </cell>
          <cell r="I2225" t="str">
            <v>XA</v>
          </cell>
          <cell r="J2225" t="str">
            <v>PCR</v>
          </cell>
          <cell r="K2225" t="str">
            <v>XA03</v>
          </cell>
          <cell r="L2225" t="str">
            <v>AEROSOL</v>
          </cell>
          <cell r="M2225" t="str">
            <v>XA0302</v>
          </cell>
          <cell r="N2225" t="str">
            <v>ZEBRA GRAFFITI</v>
          </cell>
        </row>
        <row r="2226">
          <cell r="C2226" t="str">
            <v>170001436</v>
          </cell>
          <cell r="D2226" t="str">
            <v>ZEBRA GRF INDIGO 130-1-0.4L</v>
          </cell>
          <cell r="E2226" t="str">
            <v>ZTRD</v>
          </cell>
          <cell r="F2226" t="str">
            <v>PC</v>
          </cell>
          <cell r="G2226" t="str">
            <v>X</v>
          </cell>
          <cell r="H2226" t="str">
            <v>TRD RETAIL</v>
          </cell>
          <cell r="I2226" t="str">
            <v>XA</v>
          </cell>
          <cell r="J2226" t="str">
            <v>PCR</v>
          </cell>
          <cell r="K2226" t="str">
            <v>XA03</v>
          </cell>
          <cell r="L2226" t="str">
            <v>AEROSOL</v>
          </cell>
          <cell r="M2226" t="str">
            <v>XA0302</v>
          </cell>
          <cell r="N2226" t="str">
            <v>ZEBRA GRAFFITI</v>
          </cell>
        </row>
        <row r="2227">
          <cell r="C2227" t="str">
            <v>170001437</v>
          </cell>
          <cell r="D2227" t="str">
            <v>ZEBRA GRF INDIGO 130-2-0.4L</v>
          </cell>
          <cell r="E2227" t="str">
            <v>ZTRD</v>
          </cell>
          <cell r="F2227" t="str">
            <v>PC</v>
          </cell>
          <cell r="G2227" t="str">
            <v>X</v>
          </cell>
          <cell r="H2227" t="str">
            <v>TRD RETAIL</v>
          </cell>
          <cell r="I2227" t="str">
            <v>XA</v>
          </cell>
          <cell r="J2227" t="str">
            <v>PCR</v>
          </cell>
          <cell r="K2227" t="str">
            <v>XA03</v>
          </cell>
          <cell r="L2227" t="str">
            <v>AEROSOL</v>
          </cell>
          <cell r="M2227" t="str">
            <v>XA0302</v>
          </cell>
          <cell r="N2227" t="str">
            <v>ZEBRA GRAFFITI</v>
          </cell>
        </row>
        <row r="2228">
          <cell r="C2228" t="str">
            <v>170001438</v>
          </cell>
          <cell r="D2228" t="str">
            <v>ZEBRA GRF LEMON 040-1-0.4L</v>
          </cell>
          <cell r="E2228" t="str">
            <v>ZTRD</v>
          </cell>
          <cell r="F2228" t="str">
            <v>PC</v>
          </cell>
          <cell r="G2228" t="str">
            <v>X</v>
          </cell>
          <cell r="H2228" t="str">
            <v>TRD RETAIL</v>
          </cell>
          <cell r="I2228" t="str">
            <v>XA</v>
          </cell>
          <cell r="J2228" t="str">
            <v>PCR</v>
          </cell>
          <cell r="K2228" t="str">
            <v>XA03</v>
          </cell>
          <cell r="L2228" t="str">
            <v>AEROSOL</v>
          </cell>
          <cell r="M2228" t="str">
            <v>XA0302</v>
          </cell>
          <cell r="N2228" t="str">
            <v>ZEBRA GRAFFITI</v>
          </cell>
        </row>
        <row r="2229">
          <cell r="C2229" t="str">
            <v>170001439</v>
          </cell>
          <cell r="D2229" t="str">
            <v>ZEBRA GRF LEMON 040-2-0.4L</v>
          </cell>
          <cell r="E2229" t="str">
            <v>ZTRD</v>
          </cell>
          <cell r="F2229" t="str">
            <v>PC</v>
          </cell>
          <cell r="G2229" t="str">
            <v>X</v>
          </cell>
          <cell r="H2229" t="str">
            <v>TRD RETAIL</v>
          </cell>
          <cell r="I2229" t="str">
            <v>XA</v>
          </cell>
          <cell r="J2229" t="str">
            <v>PCR</v>
          </cell>
          <cell r="K2229" t="str">
            <v>XA03</v>
          </cell>
          <cell r="L2229" t="str">
            <v>AEROSOL</v>
          </cell>
          <cell r="M2229" t="str">
            <v>XA0302</v>
          </cell>
          <cell r="N2229" t="str">
            <v>ZEBRA GRAFFITI</v>
          </cell>
        </row>
        <row r="2230">
          <cell r="C2230" t="str">
            <v>170001440</v>
          </cell>
          <cell r="D2230" t="str">
            <v>ZEBRA GRF LEMON 040-3-0.4L</v>
          </cell>
          <cell r="E2230" t="str">
            <v>ZTRD</v>
          </cell>
          <cell r="F2230" t="str">
            <v>PC</v>
          </cell>
          <cell r="G2230" t="str">
            <v>X</v>
          </cell>
          <cell r="H2230" t="str">
            <v>TRD RETAIL</v>
          </cell>
          <cell r="I2230" t="str">
            <v>XA</v>
          </cell>
          <cell r="J2230" t="str">
            <v>PCR</v>
          </cell>
          <cell r="K2230" t="str">
            <v>XA03</v>
          </cell>
          <cell r="L2230" t="str">
            <v>AEROSOL</v>
          </cell>
          <cell r="M2230" t="str">
            <v>XA0302</v>
          </cell>
          <cell r="N2230" t="str">
            <v>ZEBRA GRAFFITI</v>
          </cell>
        </row>
        <row r="2231">
          <cell r="C2231" t="str">
            <v>170001441</v>
          </cell>
          <cell r="D2231" t="str">
            <v>ZEBRA GRF MAGENTA 099-1-0.4L</v>
          </cell>
          <cell r="E2231" t="str">
            <v>ZTRD</v>
          </cell>
          <cell r="F2231" t="str">
            <v>PC</v>
          </cell>
          <cell r="G2231" t="str">
            <v>X</v>
          </cell>
          <cell r="H2231" t="str">
            <v>TRD RETAIL</v>
          </cell>
          <cell r="I2231" t="str">
            <v>XA</v>
          </cell>
          <cell r="J2231" t="str">
            <v>PCR</v>
          </cell>
          <cell r="K2231" t="str">
            <v>XA03</v>
          </cell>
          <cell r="L2231" t="str">
            <v>AEROSOL</v>
          </cell>
          <cell r="M2231" t="str">
            <v>XA0302</v>
          </cell>
          <cell r="N2231" t="str">
            <v>ZEBRA GRAFFITI</v>
          </cell>
        </row>
        <row r="2232">
          <cell r="C2232" t="str">
            <v>170001442</v>
          </cell>
          <cell r="D2232" t="str">
            <v>ZEBRA GRF MAGENTA 099-2-0.4L</v>
          </cell>
          <cell r="E2232" t="str">
            <v>ZTRD</v>
          </cell>
          <cell r="F2232" t="str">
            <v>PC</v>
          </cell>
          <cell r="G2232" t="str">
            <v>X</v>
          </cell>
          <cell r="H2232" t="str">
            <v>TRD RETAIL</v>
          </cell>
          <cell r="I2232" t="str">
            <v>XA</v>
          </cell>
          <cell r="J2232" t="str">
            <v>PCR</v>
          </cell>
          <cell r="K2232" t="str">
            <v>XA03</v>
          </cell>
          <cell r="L2232" t="str">
            <v>AEROSOL</v>
          </cell>
          <cell r="M2232" t="str">
            <v>XA0302</v>
          </cell>
          <cell r="N2232" t="str">
            <v>ZEBRA GRAFFITI</v>
          </cell>
        </row>
        <row r="2233">
          <cell r="C2233" t="str">
            <v>170001443</v>
          </cell>
          <cell r="D2233" t="str">
            <v>ZEBRA GRF MAGENTA 099-3-0.4L</v>
          </cell>
          <cell r="E2233" t="str">
            <v>ZTRD</v>
          </cell>
          <cell r="F2233" t="str">
            <v>PC</v>
          </cell>
          <cell r="G2233" t="str">
            <v>X</v>
          </cell>
          <cell r="H2233" t="str">
            <v>TRD RETAIL</v>
          </cell>
          <cell r="I2233" t="str">
            <v>XA</v>
          </cell>
          <cell r="J2233" t="str">
            <v>PCR</v>
          </cell>
          <cell r="K2233" t="str">
            <v>XA03</v>
          </cell>
          <cell r="L2233" t="str">
            <v>AEROSOL</v>
          </cell>
          <cell r="M2233" t="str">
            <v>XA0302</v>
          </cell>
          <cell r="N2233" t="str">
            <v>ZEBRA GRAFFITI</v>
          </cell>
        </row>
        <row r="2234">
          <cell r="C2234" t="str">
            <v>170001444</v>
          </cell>
          <cell r="D2234" t="str">
            <v>ZEBRA GRF MAGENTA 099-4-0.4L</v>
          </cell>
          <cell r="E2234" t="str">
            <v>ZTRD</v>
          </cell>
          <cell r="F2234" t="str">
            <v>PC</v>
          </cell>
          <cell r="G2234" t="str">
            <v>X</v>
          </cell>
          <cell r="H2234" t="str">
            <v>TRD RETAIL</v>
          </cell>
          <cell r="I2234" t="str">
            <v>XA</v>
          </cell>
          <cell r="J2234" t="str">
            <v>PCR</v>
          </cell>
          <cell r="K2234" t="str">
            <v>XA03</v>
          </cell>
          <cell r="L2234" t="str">
            <v>AEROSOL</v>
          </cell>
          <cell r="M2234" t="str">
            <v>XA0302</v>
          </cell>
          <cell r="N2234" t="str">
            <v>ZEBRA GRAFFITI</v>
          </cell>
        </row>
        <row r="2235">
          <cell r="C2235" t="str">
            <v>170001445</v>
          </cell>
          <cell r="D2235" t="str">
            <v>ZEBRA GRF NAVY 110-1-0.4L</v>
          </cell>
          <cell r="E2235" t="str">
            <v>ZTRD</v>
          </cell>
          <cell r="F2235" t="str">
            <v>PC</v>
          </cell>
          <cell r="G2235" t="str">
            <v>X</v>
          </cell>
          <cell r="H2235" t="str">
            <v>TRD RETAIL</v>
          </cell>
          <cell r="I2235" t="str">
            <v>XA</v>
          </cell>
          <cell r="J2235" t="str">
            <v>PCR</v>
          </cell>
          <cell r="K2235" t="str">
            <v>XA03</v>
          </cell>
          <cell r="L2235" t="str">
            <v>AEROSOL</v>
          </cell>
          <cell r="M2235" t="str">
            <v>XA0302</v>
          </cell>
          <cell r="N2235" t="str">
            <v>ZEBRA GRAFFITI</v>
          </cell>
        </row>
        <row r="2236">
          <cell r="C2236" t="str">
            <v>170001446</v>
          </cell>
          <cell r="D2236" t="str">
            <v>ZEBRA GRF NAVY 110-2-0.4L</v>
          </cell>
          <cell r="E2236" t="str">
            <v>ZTRD</v>
          </cell>
          <cell r="F2236" t="str">
            <v>PC</v>
          </cell>
          <cell r="G2236" t="str">
            <v>X</v>
          </cell>
          <cell r="H2236" t="str">
            <v>TRD RETAIL</v>
          </cell>
          <cell r="I2236" t="str">
            <v>XA</v>
          </cell>
          <cell r="J2236" t="str">
            <v>PCR</v>
          </cell>
          <cell r="K2236" t="str">
            <v>XA03</v>
          </cell>
          <cell r="L2236" t="str">
            <v>AEROSOL</v>
          </cell>
          <cell r="M2236" t="str">
            <v>XA0302</v>
          </cell>
          <cell r="N2236" t="str">
            <v>ZEBRA GRAFFITI</v>
          </cell>
        </row>
        <row r="2237">
          <cell r="C2237" t="str">
            <v>170001447</v>
          </cell>
          <cell r="D2237" t="str">
            <v>ZEBRA GRF NAVY 110-3-0.4L</v>
          </cell>
          <cell r="E2237" t="str">
            <v>ZTRD</v>
          </cell>
          <cell r="F2237" t="str">
            <v>PC</v>
          </cell>
          <cell r="G2237" t="str">
            <v>X</v>
          </cell>
          <cell r="H2237" t="str">
            <v>TRD RETAIL</v>
          </cell>
          <cell r="I2237" t="str">
            <v>XA</v>
          </cell>
          <cell r="J2237" t="str">
            <v>PCR</v>
          </cell>
          <cell r="K2237" t="str">
            <v>XA03</v>
          </cell>
          <cell r="L2237" t="str">
            <v>AEROSOL</v>
          </cell>
          <cell r="M2237" t="str">
            <v>XA0302</v>
          </cell>
          <cell r="N2237" t="str">
            <v>ZEBRA GRAFFITI</v>
          </cell>
        </row>
        <row r="2238">
          <cell r="C2238" t="str">
            <v>170001448</v>
          </cell>
          <cell r="D2238" t="str">
            <v>ZEBRA GRF ORANGE 060-1-0.4L</v>
          </cell>
          <cell r="E2238" t="str">
            <v>ZTRD</v>
          </cell>
          <cell r="F2238" t="str">
            <v>PC</v>
          </cell>
          <cell r="G2238" t="str">
            <v>X</v>
          </cell>
          <cell r="H2238" t="str">
            <v>TRD RETAIL</v>
          </cell>
          <cell r="I2238" t="str">
            <v>XA</v>
          </cell>
          <cell r="J2238" t="str">
            <v>PCR</v>
          </cell>
          <cell r="K2238" t="str">
            <v>XA03</v>
          </cell>
          <cell r="L2238" t="str">
            <v>AEROSOL</v>
          </cell>
          <cell r="M2238" t="str">
            <v>XA0302</v>
          </cell>
          <cell r="N2238" t="str">
            <v>ZEBRA GRAFFITI</v>
          </cell>
        </row>
        <row r="2239">
          <cell r="C2239" t="str">
            <v>170001449</v>
          </cell>
          <cell r="D2239" t="str">
            <v>ZEBRA GRF ORANGE 060-2-0.4L</v>
          </cell>
          <cell r="E2239" t="str">
            <v>ZTRD</v>
          </cell>
          <cell r="F2239" t="str">
            <v>PC</v>
          </cell>
          <cell r="G2239" t="str">
            <v>X</v>
          </cell>
          <cell r="H2239" t="str">
            <v>TRD RETAIL</v>
          </cell>
          <cell r="I2239" t="str">
            <v>XA</v>
          </cell>
          <cell r="J2239" t="str">
            <v>PCR</v>
          </cell>
          <cell r="K2239" t="str">
            <v>XA03</v>
          </cell>
          <cell r="L2239" t="str">
            <v>AEROSOL</v>
          </cell>
          <cell r="M2239" t="str">
            <v>XA0302</v>
          </cell>
          <cell r="N2239" t="str">
            <v>ZEBRA GRAFFITI</v>
          </cell>
        </row>
        <row r="2240">
          <cell r="C2240" t="str">
            <v>170001450</v>
          </cell>
          <cell r="D2240" t="str">
            <v>ZEBRA GRF ORANGE 060-3-0.4L</v>
          </cell>
          <cell r="E2240" t="str">
            <v>ZTRD</v>
          </cell>
          <cell r="F2240" t="str">
            <v>PC</v>
          </cell>
          <cell r="G2240" t="str">
            <v>X</v>
          </cell>
          <cell r="H2240" t="str">
            <v>TRD RETAIL</v>
          </cell>
          <cell r="I2240" t="str">
            <v>XA</v>
          </cell>
          <cell r="J2240" t="str">
            <v>PCR</v>
          </cell>
          <cell r="K2240" t="str">
            <v>XA03</v>
          </cell>
          <cell r="L2240" t="str">
            <v>AEROSOL</v>
          </cell>
          <cell r="M2240" t="str">
            <v>XA0302</v>
          </cell>
          <cell r="N2240" t="str">
            <v>ZEBRA GRAFFITI</v>
          </cell>
        </row>
        <row r="2241">
          <cell r="C2241" t="str">
            <v>170001451</v>
          </cell>
          <cell r="D2241" t="str">
            <v>ZEBRA GRF ORANGE 060-4-0.4L</v>
          </cell>
          <cell r="E2241" t="str">
            <v>ZTRD</v>
          </cell>
          <cell r="F2241" t="str">
            <v>PC</v>
          </cell>
          <cell r="G2241" t="str">
            <v>X</v>
          </cell>
          <cell r="H2241" t="str">
            <v>TRD RETAIL</v>
          </cell>
          <cell r="I2241" t="str">
            <v>XA</v>
          </cell>
          <cell r="J2241" t="str">
            <v>PCR</v>
          </cell>
          <cell r="K2241" t="str">
            <v>XA03</v>
          </cell>
          <cell r="L2241" t="str">
            <v>AEROSOL</v>
          </cell>
          <cell r="M2241" t="str">
            <v>XA0302</v>
          </cell>
          <cell r="N2241" t="str">
            <v>ZEBRA GRAFFITI</v>
          </cell>
        </row>
        <row r="2242">
          <cell r="C2242" t="str">
            <v>170001452</v>
          </cell>
          <cell r="D2242" t="str">
            <v>ZEBRA GRF PLUM 030-1-0.4L</v>
          </cell>
          <cell r="E2242" t="str">
            <v>ZTRD</v>
          </cell>
          <cell r="F2242" t="str">
            <v>PC</v>
          </cell>
          <cell r="G2242" t="str">
            <v>X</v>
          </cell>
          <cell r="H2242" t="str">
            <v>TRD RETAIL</v>
          </cell>
          <cell r="I2242" t="str">
            <v>XA</v>
          </cell>
          <cell r="J2242" t="str">
            <v>PCR</v>
          </cell>
          <cell r="K2242" t="str">
            <v>XA03</v>
          </cell>
          <cell r="L2242" t="str">
            <v>AEROSOL</v>
          </cell>
          <cell r="M2242" t="str">
            <v>XA0302</v>
          </cell>
          <cell r="N2242" t="str">
            <v>ZEBRA GRAFFITI</v>
          </cell>
        </row>
        <row r="2243">
          <cell r="C2243" t="str">
            <v>170001453</v>
          </cell>
          <cell r="D2243" t="str">
            <v>ZEBRA GRF PLUM 030-2-0.4L</v>
          </cell>
          <cell r="E2243" t="str">
            <v>ZTRD</v>
          </cell>
          <cell r="F2243" t="str">
            <v>PC</v>
          </cell>
          <cell r="G2243" t="str">
            <v>X</v>
          </cell>
          <cell r="H2243" t="str">
            <v>TRD RETAIL</v>
          </cell>
          <cell r="I2243" t="str">
            <v>XA</v>
          </cell>
          <cell r="J2243" t="str">
            <v>PCR</v>
          </cell>
          <cell r="K2243" t="str">
            <v>XA03</v>
          </cell>
          <cell r="L2243" t="str">
            <v>AEROSOL</v>
          </cell>
          <cell r="M2243" t="str">
            <v>XA0302</v>
          </cell>
          <cell r="N2243" t="str">
            <v>ZEBRA GRAFFITI</v>
          </cell>
        </row>
        <row r="2244">
          <cell r="C2244" t="str">
            <v>170001454</v>
          </cell>
          <cell r="D2244" t="str">
            <v>ZEBRA GRF PLUM 030-3-0.4L</v>
          </cell>
          <cell r="E2244" t="str">
            <v>ZTRD</v>
          </cell>
          <cell r="F2244" t="str">
            <v>PC</v>
          </cell>
          <cell r="G2244" t="str">
            <v>X</v>
          </cell>
          <cell r="H2244" t="str">
            <v>TRD RETAIL</v>
          </cell>
          <cell r="I2244" t="str">
            <v>XA</v>
          </cell>
          <cell r="J2244" t="str">
            <v>PCR</v>
          </cell>
          <cell r="K2244" t="str">
            <v>XA03</v>
          </cell>
          <cell r="L2244" t="str">
            <v>AEROSOL</v>
          </cell>
          <cell r="M2244" t="str">
            <v>XA0302</v>
          </cell>
          <cell r="N2244" t="str">
            <v>ZEBRA GRAFFITI</v>
          </cell>
        </row>
        <row r="2245">
          <cell r="C2245" t="str">
            <v>170001455</v>
          </cell>
          <cell r="D2245" t="str">
            <v>ZEBRA GRF PURPLE 100-1-0.4L</v>
          </cell>
          <cell r="E2245" t="str">
            <v>ZTRD</v>
          </cell>
          <cell r="F2245" t="str">
            <v>PC</v>
          </cell>
          <cell r="G2245" t="str">
            <v>X</v>
          </cell>
          <cell r="H2245" t="str">
            <v>TRD RETAIL</v>
          </cell>
          <cell r="I2245" t="str">
            <v>XA</v>
          </cell>
          <cell r="J2245" t="str">
            <v>PCR</v>
          </cell>
          <cell r="K2245" t="str">
            <v>XA03</v>
          </cell>
          <cell r="L2245" t="str">
            <v>AEROSOL</v>
          </cell>
          <cell r="M2245" t="str">
            <v>XA0302</v>
          </cell>
          <cell r="N2245" t="str">
            <v>ZEBRA GRAFFITI</v>
          </cell>
        </row>
        <row r="2246">
          <cell r="C2246" t="str">
            <v>170001456</v>
          </cell>
          <cell r="D2246" t="str">
            <v>ZEBRA GRF PURPLE 100-2-0.4L</v>
          </cell>
          <cell r="E2246" t="str">
            <v>ZTRD</v>
          </cell>
          <cell r="F2246" t="str">
            <v>PC</v>
          </cell>
          <cell r="G2246" t="str">
            <v>X</v>
          </cell>
          <cell r="H2246" t="str">
            <v>TRD RETAIL</v>
          </cell>
          <cell r="I2246" t="str">
            <v>XA</v>
          </cell>
          <cell r="J2246" t="str">
            <v>PCR</v>
          </cell>
          <cell r="K2246" t="str">
            <v>XA03</v>
          </cell>
          <cell r="L2246" t="str">
            <v>AEROSOL</v>
          </cell>
          <cell r="M2246" t="str">
            <v>XA0302</v>
          </cell>
          <cell r="N2246" t="str">
            <v>ZEBRA GRAFFITI</v>
          </cell>
        </row>
        <row r="2247">
          <cell r="C2247" t="str">
            <v>170001457</v>
          </cell>
          <cell r="D2247" t="str">
            <v>ZEBRA GRF PURPLE 100-3-0.4L</v>
          </cell>
          <cell r="E2247" t="str">
            <v>ZTRD</v>
          </cell>
          <cell r="F2247" t="str">
            <v>PC</v>
          </cell>
          <cell r="G2247" t="str">
            <v>X</v>
          </cell>
          <cell r="H2247" t="str">
            <v>TRD RETAIL</v>
          </cell>
          <cell r="I2247" t="str">
            <v>XA</v>
          </cell>
          <cell r="J2247" t="str">
            <v>PCR</v>
          </cell>
          <cell r="K2247" t="str">
            <v>XA03</v>
          </cell>
          <cell r="L2247" t="str">
            <v>AEROSOL</v>
          </cell>
          <cell r="M2247" t="str">
            <v>XA0302</v>
          </cell>
          <cell r="N2247" t="str">
            <v>ZEBRA GRAFFITI</v>
          </cell>
        </row>
        <row r="2248">
          <cell r="C2248" t="str">
            <v>170001458</v>
          </cell>
          <cell r="D2248" t="str">
            <v>ZEBRA GRF PURPLE 100-4-0.4L</v>
          </cell>
          <cell r="E2248" t="str">
            <v>ZTRD</v>
          </cell>
          <cell r="F2248" t="str">
            <v>PC</v>
          </cell>
          <cell r="G2248" t="str">
            <v>X</v>
          </cell>
          <cell r="H2248" t="str">
            <v>TRD RETAIL</v>
          </cell>
          <cell r="I2248" t="str">
            <v>XA</v>
          </cell>
          <cell r="J2248" t="str">
            <v>PCR</v>
          </cell>
          <cell r="K2248" t="str">
            <v>XA03</v>
          </cell>
          <cell r="L2248" t="str">
            <v>AEROSOL</v>
          </cell>
          <cell r="M2248" t="str">
            <v>XA0302</v>
          </cell>
          <cell r="N2248" t="str">
            <v>ZEBRA GRAFFITI</v>
          </cell>
        </row>
        <row r="2249">
          <cell r="C2249" t="str">
            <v>170001459</v>
          </cell>
          <cell r="D2249" t="str">
            <v>ZEBRA GRF RED 070-1-0.4L</v>
          </cell>
          <cell r="E2249" t="str">
            <v>ZTRD</v>
          </cell>
          <cell r="F2249" t="str">
            <v>PC</v>
          </cell>
          <cell r="G2249" t="str">
            <v>X</v>
          </cell>
          <cell r="H2249" t="str">
            <v>TRD RETAIL</v>
          </cell>
          <cell r="I2249" t="str">
            <v>XA</v>
          </cell>
          <cell r="J2249" t="str">
            <v>PCR</v>
          </cell>
          <cell r="K2249" t="str">
            <v>XA03</v>
          </cell>
          <cell r="L2249" t="str">
            <v>AEROSOL</v>
          </cell>
          <cell r="M2249" t="str">
            <v>XA0302</v>
          </cell>
          <cell r="N2249" t="str">
            <v>ZEBRA GRAFFITI</v>
          </cell>
        </row>
        <row r="2250">
          <cell r="C2250" t="str">
            <v>170001460</v>
          </cell>
          <cell r="D2250" t="str">
            <v>ZEBRA GRF RED 070-2-0.4L</v>
          </cell>
          <cell r="E2250" t="str">
            <v>ZTRD</v>
          </cell>
          <cell r="F2250" t="str">
            <v>PC</v>
          </cell>
          <cell r="G2250" t="str">
            <v>X</v>
          </cell>
          <cell r="H2250" t="str">
            <v>TRD RETAIL</v>
          </cell>
          <cell r="I2250" t="str">
            <v>XA</v>
          </cell>
          <cell r="J2250" t="str">
            <v>PCR</v>
          </cell>
          <cell r="K2250" t="str">
            <v>XA03</v>
          </cell>
          <cell r="L2250" t="str">
            <v>AEROSOL</v>
          </cell>
          <cell r="M2250" t="str">
            <v>XA0302</v>
          </cell>
          <cell r="N2250" t="str">
            <v>ZEBRA GRAFFITI</v>
          </cell>
        </row>
        <row r="2251">
          <cell r="C2251" t="str">
            <v>170001461</v>
          </cell>
          <cell r="D2251" t="str">
            <v>ZEBRA GRF RED 070-3-0.4L</v>
          </cell>
          <cell r="E2251" t="str">
            <v>ZTRD</v>
          </cell>
          <cell r="F2251" t="str">
            <v>PC</v>
          </cell>
          <cell r="G2251" t="str">
            <v>X</v>
          </cell>
          <cell r="H2251" t="str">
            <v>TRD RETAIL</v>
          </cell>
          <cell r="I2251" t="str">
            <v>XA</v>
          </cell>
          <cell r="J2251" t="str">
            <v>PCR</v>
          </cell>
          <cell r="K2251" t="str">
            <v>XA03</v>
          </cell>
          <cell r="L2251" t="str">
            <v>AEROSOL</v>
          </cell>
          <cell r="M2251" t="str">
            <v>XA0302</v>
          </cell>
          <cell r="N2251" t="str">
            <v>ZEBRA GRAFFITI</v>
          </cell>
        </row>
        <row r="2252">
          <cell r="C2252" t="str">
            <v>170001462</v>
          </cell>
          <cell r="D2252" t="str">
            <v>ZEBRA GRF RED 070-4-0.4L</v>
          </cell>
          <cell r="E2252" t="str">
            <v>ZTRD</v>
          </cell>
          <cell r="F2252" t="str">
            <v>PC</v>
          </cell>
          <cell r="G2252" t="str">
            <v>X</v>
          </cell>
          <cell r="H2252" t="str">
            <v>TRD RETAIL</v>
          </cell>
          <cell r="I2252" t="str">
            <v>XA</v>
          </cell>
          <cell r="J2252" t="str">
            <v>PCR</v>
          </cell>
          <cell r="K2252" t="str">
            <v>XA03</v>
          </cell>
          <cell r="L2252" t="str">
            <v>AEROSOL</v>
          </cell>
          <cell r="M2252" t="str">
            <v>XA0302</v>
          </cell>
          <cell r="N2252" t="str">
            <v>ZEBRA GRAFFITI</v>
          </cell>
        </row>
        <row r="2253">
          <cell r="C2253" t="str">
            <v>170001463</v>
          </cell>
          <cell r="D2253" t="str">
            <v>ZEBRA GRF WALNUT 080-1-0.4L</v>
          </cell>
          <cell r="E2253" t="str">
            <v>ZTRD</v>
          </cell>
          <cell r="F2253" t="str">
            <v>PC</v>
          </cell>
          <cell r="G2253" t="str">
            <v>X</v>
          </cell>
          <cell r="H2253" t="str">
            <v>TRD RETAIL</v>
          </cell>
          <cell r="I2253" t="str">
            <v>XA</v>
          </cell>
          <cell r="J2253" t="str">
            <v>PCR</v>
          </cell>
          <cell r="K2253" t="str">
            <v>XA03</v>
          </cell>
          <cell r="L2253" t="str">
            <v>AEROSOL</v>
          </cell>
          <cell r="M2253" t="str">
            <v>XA0302</v>
          </cell>
          <cell r="N2253" t="str">
            <v>ZEBRA GRAFFITI</v>
          </cell>
        </row>
        <row r="2254">
          <cell r="C2254" t="str">
            <v>170001464</v>
          </cell>
          <cell r="D2254" t="str">
            <v>ZEBRA GRF WALNUT 080-2-0.4L</v>
          </cell>
          <cell r="E2254" t="str">
            <v>ZTRD</v>
          </cell>
          <cell r="F2254" t="str">
            <v>PC</v>
          </cell>
          <cell r="G2254" t="str">
            <v>X</v>
          </cell>
          <cell r="H2254" t="str">
            <v>TRD RETAIL</v>
          </cell>
          <cell r="I2254" t="str">
            <v>XA</v>
          </cell>
          <cell r="J2254" t="str">
            <v>PCR</v>
          </cell>
          <cell r="K2254" t="str">
            <v>XA03</v>
          </cell>
          <cell r="L2254" t="str">
            <v>AEROSOL</v>
          </cell>
          <cell r="M2254" t="str">
            <v>XA0302</v>
          </cell>
          <cell r="N2254" t="str">
            <v>ZEBRA GRAFFITI</v>
          </cell>
        </row>
        <row r="2255">
          <cell r="C2255" t="str">
            <v>170001465</v>
          </cell>
          <cell r="D2255" t="str">
            <v>ZEBRA GRF WALNUT 080-3-0.4L</v>
          </cell>
          <cell r="E2255" t="str">
            <v>ZTRD</v>
          </cell>
          <cell r="F2255" t="str">
            <v>PC</v>
          </cell>
          <cell r="G2255" t="str">
            <v>X</v>
          </cell>
          <cell r="H2255" t="str">
            <v>TRD RETAIL</v>
          </cell>
          <cell r="I2255" t="str">
            <v>XA</v>
          </cell>
          <cell r="J2255" t="str">
            <v>PCR</v>
          </cell>
          <cell r="K2255" t="str">
            <v>XA03</v>
          </cell>
          <cell r="L2255" t="str">
            <v>AEROSOL</v>
          </cell>
          <cell r="M2255" t="str">
            <v>XA0302</v>
          </cell>
          <cell r="N2255" t="str">
            <v>ZEBRA GRAFFITI</v>
          </cell>
        </row>
        <row r="2256">
          <cell r="C2256" t="str">
            <v>170001466</v>
          </cell>
          <cell r="D2256" t="str">
            <v>ZEBRA GRF WALNUT 080-4-0.4L</v>
          </cell>
          <cell r="E2256" t="str">
            <v>ZTRD</v>
          </cell>
          <cell r="F2256" t="str">
            <v>PC</v>
          </cell>
          <cell r="G2256" t="str">
            <v>X</v>
          </cell>
          <cell r="H2256" t="str">
            <v>TRD RETAIL</v>
          </cell>
          <cell r="I2256" t="str">
            <v>XA</v>
          </cell>
          <cell r="J2256" t="str">
            <v>PCR</v>
          </cell>
          <cell r="K2256" t="str">
            <v>XA03</v>
          </cell>
          <cell r="L2256" t="str">
            <v>AEROSOL</v>
          </cell>
          <cell r="M2256" t="str">
            <v>XA0302</v>
          </cell>
          <cell r="N2256" t="str">
            <v>ZEBRA GRAFFITI</v>
          </cell>
        </row>
        <row r="2257">
          <cell r="C2257" t="str">
            <v>170001467</v>
          </cell>
          <cell r="D2257" t="str">
            <v>ZEBRA GRF WALNUT 080-5-0.4L</v>
          </cell>
          <cell r="E2257" t="str">
            <v>ZTRD</v>
          </cell>
          <cell r="F2257" t="str">
            <v>PC</v>
          </cell>
          <cell r="G2257" t="str">
            <v>X</v>
          </cell>
          <cell r="H2257" t="str">
            <v>TRD RETAIL</v>
          </cell>
          <cell r="I2257" t="str">
            <v>XA</v>
          </cell>
          <cell r="J2257" t="str">
            <v>PCR</v>
          </cell>
          <cell r="K2257" t="str">
            <v>XA03</v>
          </cell>
          <cell r="L2257" t="str">
            <v>AEROSOL</v>
          </cell>
          <cell r="M2257" t="str">
            <v>XA0302</v>
          </cell>
          <cell r="N2257" t="str">
            <v>ZEBRA GRAFFITI</v>
          </cell>
        </row>
        <row r="2258">
          <cell r="C2258" t="str">
            <v>170001468</v>
          </cell>
          <cell r="D2258" t="str">
            <v>ZEBRA GRF WHITE 000-1-0.4L</v>
          </cell>
          <cell r="E2258" t="str">
            <v>ZTRD</v>
          </cell>
          <cell r="F2258" t="str">
            <v>PC</v>
          </cell>
          <cell r="G2258" t="str">
            <v>X</v>
          </cell>
          <cell r="H2258" t="str">
            <v>TRD RETAIL</v>
          </cell>
          <cell r="I2258" t="str">
            <v>XA</v>
          </cell>
          <cell r="J2258" t="str">
            <v>PCR</v>
          </cell>
          <cell r="K2258" t="str">
            <v>XA03</v>
          </cell>
          <cell r="L2258" t="str">
            <v>AEROSOL</v>
          </cell>
          <cell r="M2258" t="str">
            <v>XA0302</v>
          </cell>
          <cell r="N2258" t="str">
            <v>ZEBRA GRAFFITI</v>
          </cell>
        </row>
        <row r="2259">
          <cell r="C2259" t="str">
            <v>170001469</v>
          </cell>
          <cell r="D2259" t="str">
            <v>ZEBRA GRF YELLOW 050-1-0.4L</v>
          </cell>
          <cell r="E2259" t="str">
            <v>ZTRD</v>
          </cell>
          <cell r="F2259" t="str">
            <v>PC</v>
          </cell>
          <cell r="G2259" t="str">
            <v>X</v>
          </cell>
          <cell r="H2259" t="str">
            <v>TRD RETAIL</v>
          </cell>
          <cell r="I2259" t="str">
            <v>XA</v>
          </cell>
          <cell r="J2259" t="str">
            <v>PCR</v>
          </cell>
          <cell r="K2259" t="str">
            <v>XA03</v>
          </cell>
          <cell r="L2259" t="str">
            <v>AEROSOL</v>
          </cell>
          <cell r="M2259" t="str">
            <v>XA0302</v>
          </cell>
          <cell r="N2259" t="str">
            <v>ZEBRA GRAFFITI</v>
          </cell>
        </row>
        <row r="2260">
          <cell r="C2260" t="str">
            <v>170001470</v>
          </cell>
          <cell r="D2260" t="str">
            <v>ZEBRA GRF YELLOW 050-2-0.4L</v>
          </cell>
          <cell r="E2260" t="str">
            <v>ZTRD</v>
          </cell>
          <cell r="F2260" t="str">
            <v>PC</v>
          </cell>
          <cell r="G2260" t="str">
            <v>X</v>
          </cell>
          <cell r="H2260" t="str">
            <v>TRD RETAIL</v>
          </cell>
          <cell r="I2260" t="str">
            <v>XA</v>
          </cell>
          <cell r="J2260" t="str">
            <v>PCR</v>
          </cell>
          <cell r="K2260" t="str">
            <v>XA03</v>
          </cell>
          <cell r="L2260" t="str">
            <v>AEROSOL</v>
          </cell>
          <cell r="M2260" t="str">
            <v>XA0302</v>
          </cell>
          <cell r="N2260" t="str">
            <v>ZEBRA GRAFFITI</v>
          </cell>
        </row>
        <row r="2261">
          <cell r="C2261" t="str">
            <v>170001471</v>
          </cell>
          <cell r="D2261" t="str">
            <v>ZEBRA GRF YELLOW 050-3-0.4L</v>
          </cell>
          <cell r="E2261" t="str">
            <v>ZTRD</v>
          </cell>
          <cell r="F2261" t="str">
            <v>PC</v>
          </cell>
          <cell r="G2261" t="str">
            <v>X</v>
          </cell>
          <cell r="H2261" t="str">
            <v>TRD RETAIL</v>
          </cell>
          <cell r="I2261" t="str">
            <v>XA</v>
          </cell>
          <cell r="J2261" t="str">
            <v>PCR</v>
          </cell>
          <cell r="K2261" t="str">
            <v>XA03</v>
          </cell>
          <cell r="L2261" t="str">
            <v>AEROSOL</v>
          </cell>
          <cell r="M2261" t="str">
            <v>XA0302</v>
          </cell>
          <cell r="N2261" t="str">
            <v>ZEBRA GRAFFITI</v>
          </cell>
        </row>
        <row r="2262">
          <cell r="C2262" t="str">
            <v>170001472</v>
          </cell>
          <cell r="D2262" t="str">
            <v>ZEBRA GRF AQUA MARINE-7321-0.3L</v>
          </cell>
          <cell r="E2262" t="str">
            <v>ZTRD</v>
          </cell>
          <cell r="F2262" t="str">
            <v>PC</v>
          </cell>
          <cell r="G2262" t="str">
            <v>X</v>
          </cell>
          <cell r="H2262" t="str">
            <v>TRD RETAIL</v>
          </cell>
          <cell r="I2262" t="str">
            <v>XA</v>
          </cell>
          <cell r="J2262" t="str">
            <v>PCR</v>
          </cell>
          <cell r="K2262" t="str">
            <v>XA03</v>
          </cell>
          <cell r="L2262" t="str">
            <v>AEROSOL</v>
          </cell>
          <cell r="M2262" t="str">
            <v>XA0302</v>
          </cell>
          <cell r="N2262" t="str">
            <v>ZEBRA GRAFFITI</v>
          </cell>
        </row>
        <row r="2263">
          <cell r="C2263" t="str">
            <v>170001473</v>
          </cell>
          <cell r="D2263" t="str">
            <v>ZEBRA GRF BLUSH-4440-0.3L</v>
          </cell>
          <cell r="E2263" t="str">
            <v>ZTRD</v>
          </cell>
          <cell r="F2263" t="str">
            <v>PC</v>
          </cell>
          <cell r="G2263" t="str">
            <v>X</v>
          </cell>
          <cell r="H2263" t="str">
            <v>TRD RETAIL</v>
          </cell>
          <cell r="I2263" t="str">
            <v>XA</v>
          </cell>
          <cell r="J2263" t="str">
            <v>PCR</v>
          </cell>
          <cell r="K2263" t="str">
            <v>XA03</v>
          </cell>
          <cell r="L2263" t="str">
            <v>AEROSOL</v>
          </cell>
          <cell r="M2263" t="str">
            <v>XA0302</v>
          </cell>
          <cell r="N2263" t="str">
            <v>ZEBRA GRAFFITI</v>
          </cell>
        </row>
        <row r="2264">
          <cell r="C2264" t="str">
            <v>170001474</v>
          </cell>
          <cell r="D2264" t="str">
            <v>ZEBRA GRF BRICK BROWN-3469-0.3L</v>
          </cell>
          <cell r="E2264" t="str">
            <v>ZTRD</v>
          </cell>
          <cell r="F2264" t="str">
            <v>PC</v>
          </cell>
          <cell r="G2264" t="str">
            <v>X</v>
          </cell>
          <cell r="H2264" t="str">
            <v>TRD RETAIL</v>
          </cell>
          <cell r="I2264" t="str">
            <v>XA</v>
          </cell>
          <cell r="J2264" t="str">
            <v>PCR</v>
          </cell>
          <cell r="K2264" t="str">
            <v>XA03</v>
          </cell>
          <cell r="L2264" t="str">
            <v>AEROSOL</v>
          </cell>
          <cell r="M2264" t="str">
            <v>XA0302</v>
          </cell>
          <cell r="N2264" t="str">
            <v>ZEBRA GRAFFITI</v>
          </cell>
        </row>
        <row r="2265">
          <cell r="C2265" t="str">
            <v>170001475</v>
          </cell>
          <cell r="D2265" t="str">
            <v>ZEBRA GRF CHOCOLATE-3468-0.3L</v>
          </cell>
          <cell r="E2265" t="str">
            <v>ZTRD</v>
          </cell>
          <cell r="F2265" t="str">
            <v>PC</v>
          </cell>
          <cell r="G2265" t="str">
            <v>X</v>
          </cell>
          <cell r="H2265" t="str">
            <v>TRD RETAIL</v>
          </cell>
          <cell r="I2265" t="str">
            <v>XA</v>
          </cell>
          <cell r="J2265" t="str">
            <v>PCR</v>
          </cell>
          <cell r="K2265" t="str">
            <v>XA03</v>
          </cell>
          <cell r="L2265" t="str">
            <v>AEROSOL</v>
          </cell>
          <cell r="M2265" t="str">
            <v>XA0302</v>
          </cell>
          <cell r="N2265" t="str">
            <v>ZEBRA GRAFFITI</v>
          </cell>
        </row>
        <row r="2266">
          <cell r="C2266" t="str">
            <v>170001476</v>
          </cell>
          <cell r="D2266" t="str">
            <v>ZEBRA GRF CHROMA GREY-94109-0.3L</v>
          </cell>
          <cell r="E2266" t="str">
            <v>ZTRD</v>
          </cell>
          <cell r="F2266" t="str">
            <v>PC</v>
          </cell>
          <cell r="G2266" t="str">
            <v>X</v>
          </cell>
          <cell r="H2266" t="str">
            <v>TRD RETAIL</v>
          </cell>
          <cell r="I2266" t="str">
            <v>XA</v>
          </cell>
          <cell r="J2266" t="str">
            <v>PCR</v>
          </cell>
          <cell r="K2266" t="str">
            <v>XA03</v>
          </cell>
          <cell r="L2266" t="str">
            <v>AEROSOL</v>
          </cell>
          <cell r="M2266" t="str">
            <v>XA0302</v>
          </cell>
          <cell r="N2266" t="str">
            <v>ZEBRA GRAFFITI</v>
          </cell>
        </row>
        <row r="2267">
          <cell r="C2267" t="str">
            <v>170001477</v>
          </cell>
          <cell r="D2267" t="str">
            <v>ZEBRA GRF FOREST GREEN-7447-0.3L</v>
          </cell>
          <cell r="E2267" t="str">
            <v>ZTRD</v>
          </cell>
          <cell r="F2267" t="str">
            <v>PC</v>
          </cell>
          <cell r="G2267" t="str">
            <v>X</v>
          </cell>
          <cell r="H2267" t="str">
            <v>TRD RETAIL</v>
          </cell>
          <cell r="I2267" t="str">
            <v>XA</v>
          </cell>
          <cell r="J2267" t="str">
            <v>PCR</v>
          </cell>
          <cell r="K2267" t="str">
            <v>XA03</v>
          </cell>
          <cell r="L2267" t="str">
            <v>AEROSOL</v>
          </cell>
          <cell r="M2267" t="str">
            <v>XA0302</v>
          </cell>
          <cell r="N2267" t="str">
            <v>ZEBRA GRAFFITI</v>
          </cell>
        </row>
        <row r="2268">
          <cell r="C2268" t="str">
            <v>170001478</v>
          </cell>
          <cell r="D2268" t="str">
            <v>ZEBRA GRF LATTE-2439-0.3L</v>
          </cell>
          <cell r="E2268" t="str">
            <v>ZTRD</v>
          </cell>
          <cell r="F2268" t="str">
            <v>PC</v>
          </cell>
          <cell r="G2268" t="str">
            <v>X</v>
          </cell>
          <cell r="H2268" t="str">
            <v>TRD RETAIL</v>
          </cell>
          <cell r="I2268" t="str">
            <v>XA</v>
          </cell>
          <cell r="J2268" t="str">
            <v>PCR</v>
          </cell>
          <cell r="K2268" t="str">
            <v>XA03</v>
          </cell>
          <cell r="L2268" t="str">
            <v>AEROSOL</v>
          </cell>
          <cell r="M2268" t="str">
            <v>XA0302</v>
          </cell>
          <cell r="N2268" t="str">
            <v>ZEBRA GRAFFITI</v>
          </cell>
        </row>
        <row r="2269">
          <cell r="C2269" t="str">
            <v>170001479</v>
          </cell>
          <cell r="D2269" t="str">
            <v>ZEBRA GRF LIGHT GREY-9143-0.3L</v>
          </cell>
          <cell r="E2269" t="str">
            <v>ZTRD</v>
          </cell>
          <cell r="F2269" t="str">
            <v>PC</v>
          </cell>
          <cell r="G2269" t="str">
            <v>X</v>
          </cell>
          <cell r="H2269" t="str">
            <v>TRD RETAIL</v>
          </cell>
          <cell r="I2269" t="str">
            <v>XA</v>
          </cell>
          <cell r="J2269" t="str">
            <v>PCR</v>
          </cell>
          <cell r="K2269" t="str">
            <v>XA03</v>
          </cell>
          <cell r="L2269" t="str">
            <v>AEROSOL</v>
          </cell>
          <cell r="M2269" t="str">
            <v>XA0302</v>
          </cell>
          <cell r="N2269" t="str">
            <v>ZEBRA GRAFFITI</v>
          </cell>
        </row>
        <row r="2270">
          <cell r="C2270" t="str">
            <v>170001480</v>
          </cell>
          <cell r="D2270" t="str">
            <v>ZEBRA GRF MISTY GREY-5484-0.3L</v>
          </cell>
          <cell r="E2270" t="str">
            <v>ZTRD</v>
          </cell>
          <cell r="F2270" t="str">
            <v>PC</v>
          </cell>
          <cell r="G2270" t="str">
            <v>X</v>
          </cell>
          <cell r="H2270" t="str">
            <v>TRD RETAIL</v>
          </cell>
          <cell r="I2270" t="str">
            <v>XA</v>
          </cell>
          <cell r="J2270" t="str">
            <v>PCR</v>
          </cell>
          <cell r="K2270" t="str">
            <v>XA03</v>
          </cell>
          <cell r="L2270" t="str">
            <v>AEROSOL</v>
          </cell>
          <cell r="M2270" t="str">
            <v>XA0302</v>
          </cell>
          <cell r="N2270" t="str">
            <v>ZEBRA GRAFFITI</v>
          </cell>
        </row>
        <row r="2271">
          <cell r="C2271" t="str">
            <v>170001481</v>
          </cell>
          <cell r="D2271" t="str">
            <v>ZEBRA GRF MULBERRY-4438-0.3L</v>
          </cell>
          <cell r="E2271" t="str">
            <v>ZTRD</v>
          </cell>
          <cell r="F2271" t="str">
            <v>PC</v>
          </cell>
          <cell r="G2271" t="str">
            <v>X</v>
          </cell>
          <cell r="H2271" t="str">
            <v>TRD RETAIL</v>
          </cell>
          <cell r="I2271" t="str">
            <v>XA</v>
          </cell>
          <cell r="J2271" t="str">
            <v>PCR</v>
          </cell>
          <cell r="K2271" t="str">
            <v>XA03</v>
          </cell>
          <cell r="L2271" t="str">
            <v>AEROSOL</v>
          </cell>
          <cell r="M2271" t="str">
            <v>XA0302</v>
          </cell>
          <cell r="N2271" t="str">
            <v>ZEBRA GRAFFITI</v>
          </cell>
        </row>
        <row r="2272">
          <cell r="C2272" t="str">
            <v>170001482</v>
          </cell>
          <cell r="D2272" t="str">
            <v>ZEBRA GRF MUSTARD-1234-0.3L</v>
          </cell>
          <cell r="E2272" t="str">
            <v>ZTRD</v>
          </cell>
          <cell r="F2272" t="str">
            <v>PC</v>
          </cell>
          <cell r="G2272" t="str">
            <v>X</v>
          </cell>
          <cell r="H2272" t="str">
            <v>TRD RETAIL</v>
          </cell>
          <cell r="I2272" t="str">
            <v>XA</v>
          </cell>
          <cell r="J2272" t="str">
            <v>PCR</v>
          </cell>
          <cell r="K2272" t="str">
            <v>XA03</v>
          </cell>
          <cell r="L2272" t="str">
            <v>AEROSOL</v>
          </cell>
          <cell r="M2272" t="str">
            <v>XA0302</v>
          </cell>
          <cell r="N2272" t="str">
            <v>ZEBRA GRAFFITI</v>
          </cell>
        </row>
        <row r="2273">
          <cell r="C2273" t="str">
            <v>170001483</v>
          </cell>
          <cell r="D2273" t="str">
            <v>ZEBRA GRF PLUM-4439-0.3L</v>
          </cell>
          <cell r="E2273" t="str">
            <v>ZTRD</v>
          </cell>
          <cell r="F2273" t="str">
            <v>PC</v>
          </cell>
          <cell r="G2273" t="str">
            <v>X</v>
          </cell>
          <cell r="H2273" t="str">
            <v>TRD RETAIL</v>
          </cell>
          <cell r="I2273" t="str">
            <v>XA</v>
          </cell>
          <cell r="J2273" t="str">
            <v>PCR</v>
          </cell>
          <cell r="K2273" t="str">
            <v>XA03</v>
          </cell>
          <cell r="L2273" t="str">
            <v>AEROSOL</v>
          </cell>
          <cell r="M2273" t="str">
            <v>XA0302</v>
          </cell>
          <cell r="N2273" t="str">
            <v>ZEBRA GRAFFITI</v>
          </cell>
        </row>
        <row r="2274">
          <cell r="C2274" t="str">
            <v>170001492</v>
          </cell>
          <cell r="D2274" t="str">
            <v>UFM-930 LIGHT GREY-4K</v>
          </cell>
          <cell r="E2274" t="str">
            <v>ZTRD</v>
          </cell>
          <cell r="F2274" t="str">
            <v>PC</v>
          </cell>
          <cell r="G2274" t="str">
            <v>X</v>
          </cell>
          <cell r="H2274" t="str">
            <v>TRD RETAIL</v>
          </cell>
          <cell r="I2274" t="str">
            <v>X8</v>
          </cell>
          <cell r="J2274" t="str">
            <v>CPC2</v>
          </cell>
          <cell r="K2274" t="str">
            <v>X801</v>
          </cell>
          <cell r="L2274" t="str">
            <v>WATERPROOFING</v>
          </cell>
          <cell r="M2274" t="str">
            <v>X80108</v>
          </cell>
          <cell r="N2274" t="str">
            <v>ULTRAFLEX MEMBRANE</v>
          </cell>
        </row>
        <row r="2275">
          <cell r="C2275" t="str">
            <v>170001585</v>
          </cell>
          <cell r="D2275" t="str">
            <v>TENNOKOTE 1000 WA WHITE 9101-5KS</v>
          </cell>
          <cell r="E2275" t="str">
            <v>ZTRD</v>
          </cell>
          <cell r="F2275" t="str">
            <v>SET</v>
          </cell>
          <cell r="G2275" t="str">
            <v>X</v>
          </cell>
          <cell r="H2275" t="str">
            <v>TRD RETAIL</v>
          </cell>
          <cell r="I2275" t="str">
            <v>X7</v>
          </cell>
          <cell r="J2275" t="str">
            <v>CPC1</v>
          </cell>
          <cell r="K2275" t="str">
            <v>X701</v>
          </cell>
          <cell r="L2275" t="str">
            <v>TENNOKOTE</v>
          </cell>
          <cell r="M2275" t="str">
            <v>X70101</v>
          </cell>
          <cell r="N2275" t="str">
            <v>TENNOKOTE</v>
          </cell>
        </row>
        <row r="2276">
          <cell r="C2276" t="str">
            <v>170001603</v>
          </cell>
          <cell r="D2276" t="str">
            <v>PUS-51107-1L</v>
          </cell>
          <cell r="E2276" t="str">
            <v>ZTRD</v>
          </cell>
          <cell r="F2276" t="str">
            <v>PC</v>
          </cell>
          <cell r="G2276" t="str">
            <v>W</v>
          </cell>
          <cell r="H2276" t="str">
            <v>TRD INDUSTRY</v>
          </cell>
          <cell r="I2276" t="str">
            <v>W1</v>
          </cell>
          <cell r="J2276" t="str">
            <v>WOOD COATINGS</v>
          </cell>
          <cell r="K2276" t="str">
            <v>W103</v>
          </cell>
          <cell r="L2276" t="str">
            <v>PU</v>
          </cell>
          <cell r="M2276" t="str">
            <v>W10324</v>
          </cell>
          <cell r="N2276" t="str">
            <v>PU SEALER</v>
          </cell>
        </row>
        <row r="2277">
          <cell r="C2277" t="str">
            <v>170001604</v>
          </cell>
          <cell r="D2277" t="str">
            <v>PUP-54102 AC BASE A-20LP</v>
          </cell>
          <cell r="E2277" t="str">
            <v>ZTRD</v>
          </cell>
          <cell r="F2277" t="str">
            <v>PC</v>
          </cell>
          <cell r="G2277" t="str">
            <v>W</v>
          </cell>
          <cell r="H2277" t="str">
            <v>TRD INDUSTRY</v>
          </cell>
          <cell r="I2277" t="str">
            <v>W1</v>
          </cell>
          <cell r="J2277" t="str">
            <v>WOOD COATINGS</v>
          </cell>
          <cell r="K2277" t="str">
            <v>W103</v>
          </cell>
          <cell r="L2277" t="str">
            <v>PU</v>
          </cell>
          <cell r="M2277" t="str">
            <v>W10322</v>
          </cell>
          <cell r="N2277" t="str">
            <v>PU PRIMER</v>
          </cell>
        </row>
        <row r="2278">
          <cell r="C2278" t="str">
            <v>170001605</v>
          </cell>
          <cell r="D2278" t="str">
            <v>PUP-54102 AC BASE D-20LP</v>
          </cell>
          <cell r="E2278" t="str">
            <v>ZTRD</v>
          </cell>
          <cell r="F2278" t="str">
            <v>PC</v>
          </cell>
          <cell r="G2278" t="str">
            <v>W</v>
          </cell>
          <cell r="H2278" t="str">
            <v>TRD INDUSTRY</v>
          </cell>
          <cell r="I2278" t="str">
            <v>W1</v>
          </cell>
          <cell r="J2278" t="str">
            <v>WOOD COATINGS</v>
          </cell>
          <cell r="K2278" t="str">
            <v>W103</v>
          </cell>
          <cell r="L2278" t="str">
            <v>PU</v>
          </cell>
          <cell r="M2278" t="str">
            <v>W10322</v>
          </cell>
          <cell r="N2278" t="str">
            <v>PU PRIMER</v>
          </cell>
        </row>
        <row r="2279">
          <cell r="C2279" t="str">
            <v>170001606</v>
          </cell>
          <cell r="D2279" t="str">
            <v>PUC-930 AC SFD SHEEN08 BASE A-4L</v>
          </cell>
          <cell r="E2279" t="str">
            <v>ZTRD</v>
          </cell>
          <cell r="F2279" t="str">
            <v>PC</v>
          </cell>
          <cell r="G2279" t="str">
            <v>W</v>
          </cell>
          <cell r="H2279" t="str">
            <v>TRD INDUSTRY</v>
          </cell>
          <cell r="I2279" t="str">
            <v>W1</v>
          </cell>
          <cell r="J2279" t="str">
            <v>WOOD COATINGS</v>
          </cell>
          <cell r="K2279" t="str">
            <v>W103</v>
          </cell>
          <cell r="L2279" t="str">
            <v>PU</v>
          </cell>
          <cell r="M2279" t="str">
            <v>W10319</v>
          </cell>
          <cell r="N2279" t="str">
            <v>PU COLOR</v>
          </cell>
        </row>
        <row r="2280">
          <cell r="C2280" t="str">
            <v>170001607</v>
          </cell>
          <cell r="D2280" t="str">
            <v>PUC-931 AC HG BASE A-5L</v>
          </cell>
          <cell r="E2280" t="str">
            <v>ZTRD</v>
          </cell>
          <cell r="F2280" t="str">
            <v>PC</v>
          </cell>
          <cell r="G2280" t="str">
            <v>W</v>
          </cell>
          <cell r="H2280" t="str">
            <v>TRD INDUSTRY</v>
          </cell>
          <cell r="I2280" t="str">
            <v>W1</v>
          </cell>
          <cell r="J2280" t="str">
            <v>WOOD COATINGS</v>
          </cell>
          <cell r="K2280" t="str">
            <v>W103</v>
          </cell>
          <cell r="L2280" t="str">
            <v>PU</v>
          </cell>
          <cell r="M2280" t="str">
            <v>W10319</v>
          </cell>
          <cell r="N2280" t="str">
            <v>PU COLOR</v>
          </cell>
        </row>
        <row r="2281">
          <cell r="C2281" t="str">
            <v>170001608</v>
          </cell>
          <cell r="D2281" t="str">
            <v>PUL-931 AC HG BASE D-5L</v>
          </cell>
          <cell r="E2281" t="str">
            <v>ZTRD</v>
          </cell>
          <cell r="F2281" t="str">
            <v>PC</v>
          </cell>
          <cell r="G2281" t="str">
            <v>W</v>
          </cell>
          <cell r="H2281" t="str">
            <v>TRD INDUSTRY</v>
          </cell>
          <cell r="I2281" t="str">
            <v>W1</v>
          </cell>
          <cell r="J2281" t="str">
            <v>WOOD COATINGS</v>
          </cell>
          <cell r="K2281" t="str">
            <v>W103</v>
          </cell>
          <cell r="L2281" t="str">
            <v>PU</v>
          </cell>
          <cell r="M2281" t="str">
            <v>W10321</v>
          </cell>
          <cell r="N2281" t="str">
            <v>PU LACQUER</v>
          </cell>
        </row>
        <row r="2282">
          <cell r="C2282" t="str">
            <v>170001609</v>
          </cell>
          <cell r="D2282" t="str">
            <v>PUH-21 LY FD-1L</v>
          </cell>
          <cell r="E2282" t="str">
            <v>ZTRD</v>
          </cell>
          <cell r="F2282" t="str">
            <v>PC</v>
          </cell>
          <cell r="G2282" t="str">
            <v>W</v>
          </cell>
          <cell r="H2282" t="str">
            <v>TRD INDUSTRY</v>
          </cell>
          <cell r="I2282" t="str">
            <v>W1</v>
          </cell>
          <cell r="J2282" t="str">
            <v>WOOD COATINGS</v>
          </cell>
          <cell r="K2282" t="str">
            <v>W103</v>
          </cell>
          <cell r="L2282" t="str">
            <v>PU</v>
          </cell>
          <cell r="M2282" t="str">
            <v>W10320</v>
          </cell>
          <cell r="N2282" t="str">
            <v>PU HARDENER</v>
          </cell>
        </row>
        <row r="2283">
          <cell r="C2283" t="str">
            <v>170001610</v>
          </cell>
          <cell r="D2283" t="str">
            <v>SS-700 STAINLESS BLACK STAIN-0.2L</v>
          </cell>
          <cell r="E2283" t="str">
            <v>ZTRD</v>
          </cell>
          <cell r="F2283" t="str">
            <v>PC</v>
          </cell>
          <cell r="G2283" t="str">
            <v>W</v>
          </cell>
          <cell r="H2283" t="str">
            <v>TRD INDUSTRY</v>
          </cell>
          <cell r="I2283" t="str">
            <v>W1</v>
          </cell>
          <cell r="J2283" t="str">
            <v>WOOD COATINGS</v>
          </cell>
          <cell r="K2283" t="str">
            <v>W118</v>
          </cell>
          <cell r="L2283" t="str">
            <v>COMPLEMENTARY</v>
          </cell>
          <cell r="M2283" t="str">
            <v>W11812</v>
          </cell>
          <cell r="N2283" t="str">
            <v>COMPLEMENTARY STAIN WORKSHOP</v>
          </cell>
        </row>
        <row r="2284">
          <cell r="C2284" t="str">
            <v>170001611</v>
          </cell>
          <cell r="D2284" t="str">
            <v>SS-700 STAINLESS BRONZE STAIN-0.2L</v>
          </cell>
          <cell r="E2284" t="str">
            <v>ZTRD</v>
          </cell>
          <cell r="F2284" t="str">
            <v>PC</v>
          </cell>
          <cell r="G2284" t="str">
            <v>W</v>
          </cell>
          <cell r="H2284" t="str">
            <v>TRD INDUSTRY</v>
          </cell>
          <cell r="I2284" t="str">
            <v>W1</v>
          </cell>
          <cell r="J2284" t="str">
            <v>WOOD COATINGS</v>
          </cell>
          <cell r="K2284" t="str">
            <v>W118</v>
          </cell>
          <cell r="L2284" t="str">
            <v>COMPLEMENTARY</v>
          </cell>
          <cell r="M2284" t="str">
            <v>W11812</v>
          </cell>
          <cell r="N2284" t="str">
            <v>COMPLEMENTARY STAIN WORKSHOP</v>
          </cell>
        </row>
        <row r="2285">
          <cell r="C2285" t="str">
            <v>170001612</v>
          </cell>
          <cell r="D2285" t="str">
            <v>SS-700 STAINLESS GOLD STAIN-0.2L</v>
          </cell>
          <cell r="E2285" t="str">
            <v>ZTRD</v>
          </cell>
          <cell r="F2285" t="str">
            <v>PC</v>
          </cell>
          <cell r="G2285" t="str">
            <v>W</v>
          </cell>
          <cell r="H2285" t="str">
            <v>TRD INDUSTRY</v>
          </cell>
          <cell r="I2285" t="str">
            <v>W1</v>
          </cell>
          <cell r="J2285" t="str">
            <v>WOOD COATINGS</v>
          </cell>
          <cell r="K2285" t="str">
            <v>W118</v>
          </cell>
          <cell r="L2285" t="str">
            <v>COMPLEMENTARY</v>
          </cell>
          <cell r="M2285" t="str">
            <v>W11812</v>
          </cell>
          <cell r="N2285" t="str">
            <v>COMPLEMENTARY STAIN WORKSHOP</v>
          </cell>
        </row>
        <row r="2286">
          <cell r="C2286" t="str">
            <v>170001613</v>
          </cell>
          <cell r="D2286" t="str">
            <v>SS-700 STAINLESS ROSE GOLD STAIN-0.2L</v>
          </cell>
          <cell r="E2286" t="str">
            <v>ZTRD</v>
          </cell>
          <cell r="F2286" t="str">
            <v>PC</v>
          </cell>
          <cell r="G2286" t="str">
            <v>W</v>
          </cell>
          <cell r="H2286" t="str">
            <v>TRD INDUSTRY</v>
          </cell>
          <cell r="I2286" t="str">
            <v>W1</v>
          </cell>
          <cell r="J2286" t="str">
            <v>WOOD COATINGS</v>
          </cell>
          <cell r="K2286" t="str">
            <v>W118</v>
          </cell>
          <cell r="L2286" t="str">
            <v>COMPLEMENTARY</v>
          </cell>
          <cell r="M2286" t="str">
            <v>W11812</v>
          </cell>
          <cell r="N2286" t="str">
            <v>COMPLEMENTARY STAIN WORKSHOP</v>
          </cell>
        </row>
        <row r="2287">
          <cell r="C2287" t="str">
            <v>170001614</v>
          </cell>
          <cell r="D2287" t="str">
            <v>ULTRAN USE-60 CLEAR DOF-1LS</v>
          </cell>
          <cell r="E2287" t="str">
            <v>ZTRD</v>
          </cell>
          <cell r="F2287" t="str">
            <v>SET</v>
          </cell>
          <cell r="G2287" t="str">
            <v>X</v>
          </cell>
          <cell r="H2287" t="str">
            <v>TRD RETAIL</v>
          </cell>
          <cell r="I2287" t="str">
            <v>X9</v>
          </cell>
          <cell r="J2287" t="str">
            <v>MPC</v>
          </cell>
          <cell r="K2287" t="str">
            <v>X903</v>
          </cell>
          <cell r="L2287" t="str">
            <v>ULTRAN SUPER ENAMEL</v>
          </cell>
          <cell r="M2287" t="str">
            <v>X90301</v>
          </cell>
          <cell r="N2287" t="str">
            <v>ULTRAN SUPER ENAMEL</v>
          </cell>
        </row>
        <row r="2288">
          <cell r="C2288" t="str">
            <v>170001615</v>
          </cell>
          <cell r="D2288" t="str">
            <v>WBP-670 WHITE-1K</v>
          </cell>
          <cell r="E2288" t="str">
            <v>ZTRD</v>
          </cell>
          <cell r="F2288" t="str">
            <v>PC</v>
          </cell>
          <cell r="G2288" t="str">
            <v>W</v>
          </cell>
          <cell r="H2288" t="str">
            <v>TRD INDUSTRY</v>
          </cell>
          <cell r="I2288" t="str">
            <v>W1</v>
          </cell>
          <cell r="J2288" t="str">
            <v>WOOD COATINGS</v>
          </cell>
          <cell r="K2288" t="str">
            <v>W103</v>
          </cell>
          <cell r="L2288" t="str">
            <v>PU</v>
          </cell>
          <cell r="M2288" t="str">
            <v>W10329</v>
          </cell>
          <cell r="N2288" t="str">
            <v>WB PU WORKSHOP</v>
          </cell>
        </row>
        <row r="2289">
          <cell r="C2289" t="str">
            <v>170001616</v>
          </cell>
          <cell r="D2289" t="str">
            <v>WB PU HYGIENE-680 CLEAR SHEEN08-1LS</v>
          </cell>
          <cell r="E2289" t="str">
            <v>ZTRD</v>
          </cell>
          <cell r="F2289" t="str">
            <v>SET</v>
          </cell>
          <cell r="G2289" t="str">
            <v>W</v>
          </cell>
          <cell r="H2289" t="str">
            <v>TRD INDUSTRY</v>
          </cell>
          <cell r="I2289" t="str">
            <v>W1</v>
          </cell>
          <cell r="J2289" t="str">
            <v>WOOD COATINGS</v>
          </cell>
          <cell r="K2289" t="str">
            <v>W103</v>
          </cell>
          <cell r="L2289" t="str">
            <v>PU</v>
          </cell>
          <cell r="M2289" t="str">
            <v>W10329</v>
          </cell>
          <cell r="N2289" t="str">
            <v>WB PU WORKSHOP</v>
          </cell>
        </row>
        <row r="2290">
          <cell r="C2290" t="str">
            <v>170001617</v>
          </cell>
          <cell r="D2290" t="str">
            <v>WB PU HYGIENE-680 CLEAR SHEEN30-1LS</v>
          </cell>
          <cell r="E2290" t="str">
            <v>ZTRD</v>
          </cell>
          <cell r="F2290" t="str">
            <v>SET</v>
          </cell>
          <cell r="G2290" t="str">
            <v>W</v>
          </cell>
          <cell r="H2290" t="str">
            <v>TRD INDUSTRY</v>
          </cell>
          <cell r="I2290" t="str">
            <v>W1</v>
          </cell>
          <cell r="J2290" t="str">
            <v>WOOD COATINGS</v>
          </cell>
          <cell r="K2290" t="str">
            <v>W103</v>
          </cell>
          <cell r="L2290" t="str">
            <v>PU</v>
          </cell>
          <cell r="M2290" t="str">
            <v>W10329</v>
          </cell>
          <cell r="N2290" t="str">
            <v>WB PU WORKSHOP</v>
          </cell>
        </row>
        <row r="2291">
          <cell r="C2291" t="str">
            <v>170001618</v>
          </cell>
          <cell r="D2291" t="str">
            <v>WB PU HYGIENE-680 SHEEN08 BASE D-1LS</v>
          </cell>
          <cell r="E2291" t="str">
            <v>ZTRD</v>
          </cell>
          <cell r="F2291" t="str">
            <v>SET</v>
          </cell>
          <cell r="G2291" t="str">
            <v>W</v>
          </cell>
          <cell r="H2291" t="str">
            <v>TRD INDUSTRY</v>
          </cell>
          <cell r="I2291" t="str">
            <v>W1</v>
          </cell>
          <cell r="J2291" t="str">
            <v>WOOD COATINGS</v>
          </cell>
          <cell r="K2291" t="str">
            <v>W103</v>
          </cell>
          <cell r="L2291" t="str">
            <v>PU</v>
          </cell>
          <cell r="M2291" t="str">
            <v>W10329</v>
          </cell>
          <cell r="N2291" t="str">
            <v>WB PU WORKSHOP</v>
          </cell>
        </row>
        <row r="2292">
          <cell r="C2292" t="str">
            <v>170001619</v>
          </cell>
          <cell r="D2292" t="str">
            <v>WB PU HYGIENE-680 SHEEN08 BASE A-1LS</v>
          </cell>
          <cell r="E2292" t="str">
            <v>ZTRD</v>
          </cell>
          <cell r="F2292" t="str">
            <v>SET</v>
          </cell>
          <cell r="G2292" t="str">
            <v>W</v>
          </cell>
          <cell r="H2292" t="str">
            <v>TRD INDUSTRY</v>
          </cell>
          <cell r="I2292" t="str">
            <v>W1</v>
          </cell>
          <cell r="J2292" t="str">
            <v>WOOD COATINGS</v>
          </cell>
          <cell r="K2292" t="str">
            <v>W103</v>
          </cell>
          <cell r="L2292" t="str">
            <v>PU</v>
          </cell>
          <cell r="M2292" t="str">
            <v>W10329</v>
          </cell>
          <cell r="N2292" t="str">
            <v>WB PU WORKSHOP</v>
          </cell>
        </row>
        <row r="2293">
          <cell r="C2293" t="str">
            <v>170001620</v>
          </cell>
          <cell r="D2293" t="str">
            <v>WB PU HYGIENE-680 SHEEN30 BASE A-1LS</v>
          </cell>
          <cell r="E2293" t="str">
            <v>ZTRD</v>
          </cell>
          <cell r="F2293" t="str">
            <v>SET</v>
          </cell>
          <cell r="G2293" t="str">
            <v>W</v>
          </cell>
          <cell r="H2293" t="str">
            <v>TRD INDUSTRY</v>
          </cell>
          <cell r="I2293" t="str">
            <v>W1</v>
          </cell>
          <cell r="J2293" t="str">
            <v>WOOD COATINGS</v>
          </cell>
          <cell r="K2293" t="str">
            <v>W103</v>
          </cell>
          <cell r="L2293" t="str">
            <v>PU</v>
          </cell>
          <cell r="M2293" t="str">
            <v>W10329</v>
          </cell>
          <cell r="N2293" t="str">
            <v>WB PU WORKSHOP</v>
          </cell>
        </row>
        <row r="2294">
          <cell r="C2294" t="str">
            <v>170001621</v>
          </cell>
          <cell r="D2294" t="str">
            <v>WB PU HYGIENE-680 SHEEN30 BASE D-1LS</v>
          </cell>
          <cell r="E2294" t="str">
            <v>ZTRD</v>
          </cell>
          <cell r="F2294" t="str">
            <v>SET</v>
          </cell>
          <cell r="G2294" t="str">
            <v>W</v>
          </cell>
          <cell r="H2294" t="str">
            <v>TRD INDUSTRY</v>
          </cell>
          <cell r="I2294" t="str">
            <v>W1</v>
          </cell>
          <cell r="J2294" t="str">
            <v>WOOD COATINGS</v>
          </cell>
          <cell r="K2294" t="str">
            <v>W103</v>
          </cell>
          <cell r="L2294" t="str">
            <v>PU</v>
          </cell>
          <cell r="M2294" t="str">
            <v>W10329</v>
          </cell>
          <cell r="N2294" t="str">
            <v>WB PU WORKSHOP</v>
          </cell>
        </row>
        <row r="2295">
          <cell r="C2295" t="str">
            <v>170001622</v>
          </cell>
          <cell r="D2295" t="str">
            <v>WBMG-97100-0.5L</v>
          </cell>
          <cell r="E2295" t="str">
            <v>ZTRD</v>
          </cell>
          <cell r="F2295" t="str">
            <v>PC</v>
          </cell>
          <cell r="G2295" t="str">
            <v>W</v>
          </cell>
          <cell r="H2295" t="str">
            <v>TRD INDUSTRY</v>
          </cell>
          <cell r="I2295" t="str">
            <v>W1</v>
          </cell>
          <cell r="J2295" t="str">
            <v>WOOD COATINGS</v>
          </cell>
          <cell r="K2295" t="str">
            <v>W118</v>
          </cell>
          <cell r="L2295" t="str">
            <v>COMPLEMENTARY</v>
          </cell>
          <cell r="M2295" t="str">
            <v>W11802</v>
          </cell>
          <cell r="N2295" t="str">
            <v>ASOF : POWDER &amp; MATTING SOLUTION</v>
          </cell>
        </row>
        <row r="2296">
          <cell r="C2296" t="str">
            <v>170001623</v>
          </cell>
          <cell r="D2296" t="str">
            <v>EC-973-2K-1.5LS</v>
          </cell>
          <cell r="E2296" t="str">
            <v>ZTRD</v>
          </cell>
          <cell r="F2296" t="str">
            <v>SET</v>
          </cell>
          <cell r="G2296" t="str">
            <v>X</v>
          </cell>
          <cell r="H2296" t="str">
            <v>TRD RETAIL</v>
          </cell>
          <cell r="I2296" t="str">
            <v>X2</v>
          </cell>
          <cell r="J2296" t="str">
            <v>WF2</v>
          </cell>
          <cell r="K2296" t="str">
            <v>X211</v>
          </cell>
          <cell r="L2296" t="str">
            <v>EPOXY CAST</v>
          </cell>
          <cell r="M2296" t="str">
            <v>X21101</v>
          </cell>
          <cell r="N2296" t="str">
            <v>PROPAN EPOXY CAST</v>
          </cell>
        </row>
        <row r="2297">
          <cell r="C2297" t="str">
            <v>170001624</v>
          </cell>
          <cell r="D2297" t="str">
            <v>PUC-786-2K DOF BASE A*-5LS</v>
          </cell>
          <cell r="E2297" t="str">
            <v>ZTRD</v>
          </cell>
          <cell r="F2297" t="str">
            <v>SET</v>
          </cell>
          <cell r="G2297" t="str">
            <v>X</v>
          </cell>
          <cell r="H2297" t="str">
            <v>TRD RETAIL</v>
          </cell>
          <cell r="I2297" t="str">
            <v>X2</v>
          </cell>
          <cell r="J2297" t="str">
            <v>WF2</v>
          </cell>
          <cell r="K2297" t="str">
            <v>X216</v>
          </cell>
          <cell r="L2297" t="str">
            <v>PU MULTIPURPOSE</v>
          </cell>
          <cell r="M2297" t="str">
            <v>X21602</v>
          </cell>
          <cell r="N2297" t="str">
            <v>PROPAN MP PU ACR BASE</v>
          </cell>
        </row>
        <row r="2298">
          <cell r="C2298" t="str">
            <v>170001625</v>
          </cell>
          <cell r="D2298" t="str">
            <v>PUC-786-2K DOF BASE B*-5LS</v>
          </cell>
          <cell r="E2298" t="str">
            <v>ZTRD</v>
          </cell>
          <cell r="F2298" t="str">
            <v>SET</v>
          </cell>
          <cell r="G2298" t="str">
            <v>X</v>
          </cell>
          <cell r="H2298" t="str">
            <v>TRD RETAIL</v>
          </cell>
          <cell r="I2298" t="str">
            <v>X2</v>
          </cell>
          <cell r="J2298" t="str">
            <v>WF2</v>
          </cell>
          <cell r="K2298" t="str">
            <v>X216</v>
          </cell>
          <cell r="L2298" t="str">
            <v>PU MULTIPURPOSE</v>
          </cell>
          <cell r="M2298" t="str">
            <v>X21602</v>
          </cell>
          <cell r="N2298" t="str">
            <v>PROPAN MP PU ACR BASE</v>
          </cell>
        </row>
        <row r="2299">
          <cell r="C2299" t="str">
            <v>170001626</v>
          </cell>
          <cell r="D2299" t="str">
            <v>PUC-786-2K SATIN BASE A*-5LS</v>
          </cell>
          <cell r="E2299" t="str">
            <v>ZTRD</v>
          </cell>
          <cell r="F2299" t="str">
            <v>SET</v>
          </cell>
          <cell r="G2299" t="str">
            <v>X</v>
          </cell>
          <cell r="H2299" t="str">
            <v>TRD RETAIL</v>
          </cell>
          <cell r="I2299" t="str">
            <v>X2</v>
          </cell>
          <cell r="J2299" t="str">
            <v>WF2</v>
          </cell>
          <cell r="K2299" t="str">
            <v>X216</v>
          </cell>
          <cell r="L2299" t="str">
            <v>PU MULTIPURPOSE</v>
          </cell>
          <cell r="M2299" t="str">
            <v>X21602</v>
          </cell>
          <cell r="N2299" t="str">
            <v>PROPAN MP PU ACR BASE</v>
          </cell>
        </row>
        <row r="2300">
          <cell r="C2300" t="str">
            <v>170001627</v>
          </cell>
          <cell r="D2300" t="str">
            <v>PUC-786-2K SATIN BASE B*-5LS</v>
          </cell>
          <cell r="E2300" t="str">
            <v>ZTRD</v>
          </cell>
          <cell r="F2300" t="str">
            <v>SET</v>
          </cell>
          <cell r="G2300" t="str">
            <v>X</v>
          </cell>
          <cell r="H2300" t="str">
            <v>TRD RETAIL</v>
          </cell>
          <cell r="I2300" t="str">
            <v>X2</v>
          </cell>
          <cell r="J2300" t="str">
            <v>WF2</v>
          </cell>
          <cell r="K2300" t="str">
            <v>X216</v>
          </cell>
          <cell r="L2300" t="str">
            <v>PU MULTIPURPOSE</v>
          </cell>
          <cell r="M2300" t="str">
            <v>X21602</v>
          </cell>
          <cell r="N2300" t="str">
            <v>PROPAN MP PU ACR BASE</v>
          </cell>
        </row>
        <row r="2301">
          <cell r="C2301" t="str">
            <v>170001628</v>
          </cell>
          <cell r="D2301" t="str">
            <v>PUC-786-2K GLOSS BASE A*-5LS</v>
          </cell>
          <cell r="E2301" t="str">
            <v>ZTRD</v>
          </cell>
          <cell r="F2301" t="str">
            <v>SET</v>
          </cell>
          <cell r="G2301" t="str">
            <v>X</v>
          </cell>
          <cell r="H2301" t="str">
            <v>TRD RETAIL</v>
          </cell>
          <cell r="I2301" t="str">
            <v>X2</v>
          </cell>
          <cell r="J2301" t="str">
            <v>WF2</v>
          </cell>
          <cell r="K2301" t="str">
            <v>X216</v>
          </cell>
          <cell r="L2301" t="str">
            <v>PU MULTIPURPOSE</v>
          </cell>
          <cell r="M2301" t="str">
            <v>X21602</v>
          </cell>
          <cell r="N2301" t="str">
            <v>PROPAN MP PU ACR BASE</v>
          </cell>
        </row>
        <row r="2302">
          <cell r="C2302" t="str">
            <v>170001629</v>
          </cell>
          <cell r="D2302" t="str">
            <v>PUC-786-2K GLOSS BASE B*-5LS</v>
          </cell>
          <cell r="E2302" t="str">
            <v>ZTRD</v>
          </cell>
          <cell r="F2302" t="str">
            <v>SET</v>
          </cell>
          <cell r="G2302" t="str">
            <v>X</v>
          </cell>
          <cell r="H2302" t="str">
            <v>TRD RETAIL</v>
          </cell>
          <cell r="I2302" t="str">
            <v>X2</v>
          </cell>
          <cell r="J2302" t="str">
            <v>WF2</v>
          </cell>
          <cell r="K2302" t="str">
            <v>X216</v>
          </cell>
          <cell r="L2302" t="str">
            <v>PU MULTIPURPOSE</v>
          </cell>
          <cell r="M2302" t="str">
            <v>X21602</v>
          </cell>
          <cell r="N2302" t="str">
            <v>PROPAN MP PU ACR BASE</v>
          </cell>
        </row>
        <row r="2303">
          <cell r="C2303" t="str">
            <v>170001630</v>
          </cell>
          <cell r="D2303" t="str">
            <v>PUC-786-2K GLOSS BASE A*-1LS</v>
          </cell>
          <cell r="E2303" t="str">
            <v>ZTRD</v>
          </cell>
          <cell r="F2303" t="str">
            <v>SET</v>
          </cell>
          <cell r="G2303" t="str">
            <v>X</v>
          </cell>
          <cell r="H2303" t="str">
            <v>TRD RETAIL</v>
          </cell>
          <cell r="I2303" t="str">
            <v>X2</v>
          </cell>
          <cell r="J2303" t="str">
            <v>WF2</v>
          </cell>
          <cell r="K2303" t="str">
            <v>X216</v>
          </cell>
          <cell r="L2303" t="str">
            <v>PU MULTIPURPOSE</v>
          </cell>
          <cell r="M2303" t="str">
            <v>X21602</v>
          </cell>
          <cell r="N2303" t="str">
            <v>PROPAN MP PU ACR BASE</v>
          </cell>
        </row>
        <row r="2304">
          <cell r="C2304" t="str">
            <v>170001631</v>
          </cell>
          <cell r="D2304" t="str">
            <v>PUC-786-2K GLOSS BASE B*-1LS</v>
          </cell>
          <cell r="E2304" t="str">
            <v>ZTRD</v>
          </cell>
          <cell r="F2304" t="str">
            <v>SET</v>
          </cell>
          <cell r="G2304" t="str">
            <v>X</v>
          </cell>
          <cell r="H2304" t="str">
            <v>TRD RETAIL</v>
          </cell>
          <cell r="I2304" t="str">
            <v>X2</v>
          </cell>
          <cell r="J2304" t="str">
            <v>WF2</v>
          </cell>
          <cell r="K2304" t="str">
            <v>X216</v>
          </cell>
          <cell r="L2304" t="str">
            <v>PU MULTIPURPOSE</v>
          </cell>
          <cell r="M2304" t="str">
            <v>X21602</v>
          </cell>
          <cell r="N2304" t="str">
            <v>PROPAN MP PU ACR BASE</v>
          </cell>
        </row>
        <row r="2305">
          <cell r="C2305" t="str">
            <v>170001644</v>
          </cell>
          <cell r="D2305" t="str">
            <v>PUC-786-2K DOF BASE A*-1LS</v>
          </cell>
          <cell r="E2305" t="str">
            <v>ZTRD</v>
          </cell>
          <cell r="F2305" t="str">
            <v>SET</v>
          </cell>
          <cell r="G2305" t="str">
            <v>X</v>
          </cell>
          <cell r="H2305" t="str">
            <v>TRD RETAIL</v>
          </cell>
          <cell r="I2305" t="str">
            <v>X2</v>
          </cell>
          <cell r="J2305" t="str">
            <v>WF2</v>
          </cell>
          <cell r="K2305" t="str">
            <v>X216</v>
          </cell>
          <cell r="L2305" t="str">
            <v>PU MULTIPURPOSE</v>
          </cell>
          <cell r="M2305" t="str">
            <v>X21602</v>
          </cell>
          <cell r="N2305" t="str">
            <v>PROPAN MP PU ACR BASE</v>
          </cell>
        </row>
        <row r="2306">
          <cell r="C2306" t="str">
            <v>170001645</v>
          </cell>
          <cell r="D2306" t="str">
            <v>PUC-786-2K DOF BASE B*-1LS</v>
          </cell>
          <cell r="E2306" t="str">
            <v>ZTRD</v>
          </cell>
          <cell r="F2306" t="str">
            <v>SET</v>
          </cell>
          <cell r="G2306" t="str">
            <v>X</v>
          </cell>
          <cell r="H2306" t="str">
            <v>TRD RETAIL</v>
          </cell>
          <cell r="I2306" t="str">
            <v>X2</v>
          </cell>
          <cell r="J2306" t="str">
            <v>WF2</v>
          </cell>
          <cell r="K2306" t="str">
            <v>X216</v>
          </cell>
          <cell r="L2306" t="str">
            <v>PU MULTIPURPOSE</v>
          </cell>
          <cell r="M2306" t="str">
            <v>X21602</v>
          </cell>
          <cell r="N2306" t="str">
            <v>PROPAN MP PU ACR BASE</v>
          </cell>
        </row>
        <row r="2307">
          <cell r="C2307" t="str">
            <v>170001646</v>
          </cell>
          <cell r="D2307" t="str">
            <v>3D GEL STAIN WS-300 BLACK-0.9L</v>
          </cell>
          <cell r="E2307" t="str">
            <v>ZTRD</v>
          </cell>
          <cell r="F2307" t="str">
            <v>PC</v>
          </cell>
          <cell r="G2307" t="str">
            <v>X</v>
          </cell>
          <cell r="H2307" t="str">
            <v>TRD RETAIL</v>
          </cell>
          <cell r="I2307" t="str">
            <v>X1</v>
          </cell>
          <cell r="J2307" t="str">
            <v>WF1</v>
          </cell>
          <cell r="K2307" t="str">
            <v>X116</v>
          </cell>
          <cell r="L2307" t="str">
            <v>ANTIQUE FINISH</v>
          </cell>
          <cell r="M2307" t="str">
            <v>X11602</v>
          </cell>
          <cell r="N2307" t="str">
            <v>PROPAN ANTIQUE GLAZE</v>
          </cell>
        </row>
        <row r="2308">
          <cell r="C2308" t="str">
            <v>170001647</v>
          </cell>
          <cell r="D2308" t="str">
            <v>KRYPTOCOAT KC-689 CLEAR 90-1LS</v>
          </cell>
          <cell r="E2308" t="str">
            <v>ZTRD</v>
          </cell>
          <cell r="F2308" t="str">
            <v>SET</v>
          </cell>
          <cell r="G2308" t="str">
            <v>W</v>
          </cell>
          <cell r="H2308" t="str">
            <v>TRD INDUSTRY</v>
          </cell>
          <cell r="I2308" t="str">
            <v>W1</v>
          </cell>
          <cell r="J2308" t="str">
            <v>WOOD COATINGS</v>
          </cell>
          <cell r="K2308" t="str">
            <v>W103</v>
          </cell>
          <cell r="L2308" t="str">
            <v>PU</v>
          </cell>
          <cell r="M2308" t="str">
            <v>W10330</v>
          </cell>
          <cell r="N2308" t="str">
            <v>PU WORKSHOP</v>
          </cell>
        </row>
        <row r="2309">
          <cell r="C2309" t="str">
            <v>170001648</v>
          </cell>
          <cell r="D2309" t="str">
            <v>PROPAN HWO-558-1L</v>
          </cell>
          <cell r="E2309" t="str">
            <v>ZTRD</v>
          </cell>
          <cell r="F2309" t="str">
            <v>PC</v>
          </cell>
          <cell r="G2309" t="str">
            <v>X</v>
          </cell>
          <cell r="H2309" t="str">
            <v>TRD RETAIL</v>
          </cell>
          <cell r="I2309" t="str">
            <v>X4</v>
          </cell>
          <cell r="J2309" t="str">
            <v>WF3</v>
          </cell>
          <cell r="K2309" t="str">
            <v>X414</v>
          </cell>
          <cell r="L2309" t="str">
            <v>PROPAN HARDWAX OIL</v>
          </cell>
          <cell r="M2309" t="str">
            <v>X41401</v>
          </cell>
          <cell r="N2309" t="str">
            <v>PROPAN HARDWAX OIL</v>
          </cell>
        </row>
        <row r="2310">
          <cell r="C2310" t="str">
            <v>170001649</v>
          </cell>
          <cell r="D2310" t="str">
            <v>SUPER GOLD SG-07 WB SPANNISH GOLD-0.9L</v>
          </cell>
          <cell r="E2310" t="str">
            <v>ZTRD</v>
          </cell>
          <cell r="F2310" t="str">
            <v>PC</v>
          </cell>
          <cell r="G2310" t="str">
            <v>X</v>
          </cell>
          <cell r="H2310" t="str">
            <v>TRD RETAIL</v>
          </cell>
          <cell r="I2310" t="str">
            <v>X6</v>
          </cell>
          <cell r="J2310" t="str">
            <v>SFC</v>
          </cell>
          <cell r="K2310" t="str">
            <v>X609</v>
          </cell>
          <cell r="L2310" t="str">
            <v>PROPAN SUPER GOLD</v>
          </cell>
          <cell r="M2310" t="str">
            <v>X60901</v>
          </cell>
          <cell r="N2310" t="str">
            <v>PROPAN SUPER GOLD</v>
          </cell>
        </row>
        <row r="2311">
          <cell r="C2311" t="str">
            <v>170001650</v>
          </cell>
          <cell r="D2311" t="str">
            <v>SUPER GOLD SG-07 WB SPANNISH GOLD-2.5L</v>
          </cell>
          <cell r="E2311" t="str">
            <v>ZTRD</v>
          </cell>
          <cell r="F2311" t="str">
            <v>PC</v>
          </cell>
          <cell r="G2311" t="str">
            <v>X</v>
          </cell>
          <cell r="H2311" t="str">
            <v>TRD RETAIL</v>
          </cell>
          <cell r="I2311" t="str">
            <v>X6</v>
          </cell>
          <cell r="J2311" t="str">
            <v>SFC</v>
          </cell>
          <cell r="K2311" t="str">
            <v>X609</v>
          </cell>
          <cell r="L2311" t="str">
            <v>PROPAN SUPER GOLD</v>
          </cell>
          <cell r="M2311" t="str">
            <v>X60901</v>
          </cell>
          <cell r="N2311" t="str">
            <v>PROPAN SUPER GOLD</v>
          </cell>
        </row>
        <row r="2312">
          <cell r="C2312" t="str">
            <v>170001655</v>
          </cell>
          <cell r="D2312" t="str">
            <v>A-1000 BLACK DOF-9406D-0.9L</v>
          </cell>
          <cell r="E2312" t="str">
            <v>ZTRD</v>
          </cell>
          <cell r="F2312" t="str">
            <v>PC</v>
          </cell>
          <cell r="G2312" t="str">
            <v>X</v>
          </cell>
          <cell r="H2312" t="str">
            <v>TRD RETAIL</v>
          </cell>
          <cell r="I2312" t="str">
            <v>X9</v>
          </cell>
          <cell r="J2312" t="str">
            <v>MPC</v>
          </cell>
          <cell r="K2312" t="str">
            <v>X909</v>
          </cell>
          <cell r="L2312" t="str">
            <v>GO FAST</v>
          </cell>
          <cell r="M2312" t="str">
            <v>X90901</v>
          </cell>
          <cell r="N2312" t="str">
            <v>GO FAST RMX</v>
          </cell>
        </row>
        <row r="2313">
          <cell r="C2313" t="str">
            <v>170001656</v>
          </cell>
          <cell r="D2313" t="str">
            <v>A-1000 BLACK-9406-0.9L</v>
          </cell>
          <cell r="E2313" t="str">
            <v>ZTRD</v>
          </cell>
          <cell r="F2313" t="str">
            <v>PC</v>
          </cell>
          <cell r="G2313" t="str">
            <v>X</v>
          </cell>
          <cell r="H2313" t="str">
            <v>TRD RETAIL</v>
          </cell>
          <cell r="I2313" t="str">
            <v>X9</v>
          </cell>
          <cell r="J2313" t="str">
            <v>MPC</v>
          </cell>
          <cell r="K2313" t="str">
            <v>X909</v>
          </cell>
          <cell r="L2313" t="str">
            <v>GO FAST</v>
          </cell>
          <cell r="M2313" t="str">
            <v>X90901</v>
          </cell>
          <cell r="N2313" t="str">
            <v>GO FAST RMX</v>
          </cell>
        </row>
        <row r="2314">
          <cell r="C2314" t="str">
            <v>170001657</v>
          </cell>
          <cell r="D2314" t="str">
            <v>A-1000 SUPER WHITE DOF-9102D-0.9L</v>
          </cell>
          <cell r="E2314" t="str">
            <v>ZTRD</v>
          </cell>
          <cell r="F2314" t="str">
            <v>PC</v>
          </cell>
          <cell r="G2314" t="str">
            <v>X</v>
          </cell>
          <cell r="H2314" t="str">
            <v>TRD RETAIL</v>
          </cell>
          <cell r="I2314" t="str">
            <v>X9</v>
          </cell>
          <cell r="J2314" t="str">
            <v>MPC</v>
          </cell>
          <cell r="K2314" t="str">
            <v>X909</v>
          </cell>
          <cell r="L2314" t="str">
            <v>GO FAST</v>
          </cell>
          <cell r="M2314" t="str">
            <v>X90901</v>
          </cell>
          <cell r="N2314" t="str">
            <v>GO FAST RMX</v>
          </cell>
        </row>
        <row r="2315">
          <cell r="C2315" t="str">
            <v>170001658</v>
          </cell>
          <cell r="D2315" t="str">
            <v>A-1000 SUPER WHITE-9102-0.9L</v>
          </cell>
          <cell r="E2315" t="str">
            <v>ZTRD</v>
          </cell>
          <cell r="F2315" t="str">
            <v>PC</v>
          </cell>
          <cell r="G2315" t="str">
            <v>X</v>
          </cell>
          <cell r="H2315" t="str">
            <v>TRD RETAIL</v>
          </cell>
          <cell r="I2315" t="str">
            <v>X9</v>
          </cell>
          <cell r="J2315" t="str">
            <v>MPC</v>
          </cell>
          <cell r="K2315" t="str">
            <v>X909</v>
          </cell>
          <cell r="L2315" t="str">
            <v>GO FAST</v>
          </cell>
          <cell r="M2315" t="str">
            <v>X90901</v>
          </cell>
          <cell r="N2315" t="str">
            <v>GO FAST RMX</v>
          </cell>
        </row>
        <row r="2316">
          <cell r="C2316" t="str">
            <v>170001659</v>
          </cell>
          <cell r="D2316" t="str">
            <v>FIBERKOTE 820-5L</v>
          </cell>
          <cell r="E2316" t="str">
            <v>ZTRD</v>
          </cell>
          <cell r="F2316" t="str">
            <v>PC</v>
          </cell>
          <cell r="G2316" t="str">
            <v>X</v>
          </cell>
          <cell r="H2316" t="str">
            <v>TRD RETAIL</v>
          </cell>
          <cell r="I2316" t="str">
            <v>X6</v>
          </cell>
          <cell r="J2316" t="str">
            <v>SFC</v>
          </cell>
          <cell r="K2316" t="str">
            <v>X604</v>
          </cell>
          <cell r="L2316" t="str">
            <v>FIBERKOTE</v>
          </cell>
          <cell r="M2316" t="str">
            <v>X60401</v>
          </cell>
          <cell r="N2316" t="str">
            <v>FIBERKOTE RMX</v>
          </cell>
        </row>
        <row r="2317">
          <cell r="C2317" t="str">
            <v>170001667</v>
          </cell>
          <cell r="D2317" t="str">
            <v>A-1000 BLACK DOF-9406D-2.5L</v>
          </cell>
          <cell r="E2317" t="str">
            <v>ZTRD</v>
          </cell>
          <cell r="F2317" t="str">
            <v>PC</v>
          </cell>
          <cell r="G2317" t="str">
            <v>X</v>
          </cell>
          <cell r="H2317" t="str">
            <v>TRD RETAIL</v>
          </cell>
          <cell r="I2317" t="str">
            <v>X9</v>
          </cell>
          <cell r="J2317" t="str">
            <v>MPC</v>
          </cell>
          <cell r="K2317" t="str">
            <v>X909</v>
          </cell>
          <cell r="L2317" t="str">
            <v>GO FAST</v>
          </cell>
          <cell r="M2317" t="str">
            <v>X90901</v>
          </cell>
          <cell r="N2317" t="str">
            <v>GO FAST RMX</v>
          </cell>
        </row>
        <row r="2318">
          <cell r="C2318" t="str">
            <v>170001668</v>
          </cell>
          <cell r="D2318" t="str">
            <v>A-1000 BLACK-9406-2.5L</v>
          </cell>
          <cell r="E2318" t="str">
            <v>ZTRD</v>
          </cell>
          <cell r="F2318" t="str">
            <v>PC</v>
          </cell>
          <cell r="G2318" t="str">
            <v>X</v>
          </cell>
          <cell r="H2318" t="str">
            <v>TRD RETAIL</v>
          </cell>
          <cell r="I2318" t="str">
            <v>X9</v>
          </cell>
          <cell r="J2318" t="str">
            <v>MPC</v>
          </cell>
          <cell r="K2318" t="str">
            <v>X909</v>
          </cell>
          <cell r="L2318" t="str">
            <v>GO FAST</v>
          </cell>
          <cell r="M2318" t="str">
            <v>X90901</v>
          </cell>
          <cell r="N2318" t="str">
            <v>GO FAST RMX</v>
          </cell>
        </row>
        <row r="2319">
          <cell r="C2319" t="str">
            <v>170001669</v>
          </cell>
          <cell r="D2319" t="str">
            <v>A-1000 SUPER WHITE DOF-9102D-2.5L</v>
          </cell>
          <cell r="E2319" t="str">
            <v>ZTRD</v>
          </cell>
          <cell r="F2319" t="str">
            <v>PC</v>
          </cell>
          <cell r="G2319" t="str">
            <v>X</v>
          </cell>
          <cell r="H2319" t="str">
            <v>TRD RETAIL</v>
          </cell>
          <cell r="I2319" t="str">
            <v>X9</v>
          </cell>
          <cell r="J2319" t="str">
            <v>MPC</v>
          </cell>
          <cell r="K2319" t="str">
            <v>X909</v>
          </cell>
          <cell r="L2319" t="str">
            <v>GO FAST</v>
          </cell>
          <cell r="M2319" t="str">
            <v>X90901</v>
          </cell>
          <cell r="N2319" t="str">
            <v>GO FAST RMX</v>
          </cell>
        </row>
        <row r="2320">
          <cell r="C2320" t="str">
            <v>170001670</v>
          </cell>
          <cell r="D2320" t="str">
            <v>A-1000 SUPER WHITE-9102-2.5L</v>
          </cell>
          <cell r="E2320" t="str">
            <v>ZTRD</v>
          </cell>
          <cell r="F2320" t="str">
            <v>PC</v>
          </cell>
          <cell r="G2320" t="str">
            <v>X</v>
          </cell>
          <cell r="H2320" t="str">
            <v>TRD RETAIL</v>
          </cell>
          <cell r="I2320" t="str">
            <v>X9</v>
          </cell>
          <cell r="J2320" t="str">
            <v>MPC</v>
          </cell>
          <cell r="K2320" t="str">
            <v>X909</v>
          </cell>
          <cell r="L2320" t="str">
            <v>GO FAST</v>
          </cell>
          <cell r="M2320" t="str">
            <v>X90901</v>
          </cell>
          <cell r="N2320" t="str">
            <v>GO FAST RMX</v>
          </cell>
        </row>
        <row r="2321">
          <cell r="C2321" t="str">
            <v>170001671</v>
          </cell>
          <cell r="D2321" t="str">
            <v>A-1000 SUPER WHITE-9102-20LP</v>
          </cell>
          <cell r="E2321" t="str">
            <v>ZTRD</v>
          </cell>
          <cell r="F2321" t="str">
            <v>PC</v>
          </cell>
          <cell r="G2321" t="str">
            <v>X</v>
          </cell>
          <cell r="H2321" t="str">
            <v>TRD RETAIL</v>
          </cell>
          <cell r="I2321" t="str">
            <v>X9</v>
          </cell>
          <cell r="J2321" t="str">
            <v>MPC</v>
          </cell>
          <cell r="K2321" t="str">
            <v>X909</v>
          </cell>
          <cell r="L2321" t="str">
            <v>GO FAST</v>
          </cell>
          <cell r="M2321" t="str">
            <v>X90901</v>
          </cell>
          <cell r="N2321" t="str">
            <v>GO FAST RMX</v>
          </cell>
        </row>
        <row r="2322">
          <cell r="C2322" t="str">
            <v>170001672</v>
          </cell>
          <cell r="D2322" t="str">
            <v>A-1000 DOF BASE A-0.9L</v>
          </cell>
          <cell r="E2322" t="str">
            <v>ZTRD</v>
          </cell>
          <cell r="F2322" t="str">
            <v>PC</v>
          </cell>
          <cell r="G2322" t="str">
            <v>X</v>
          </cell>
          <cell r="H2322" t="str">
            <v>TRD RETAIL</v>
          </cell>
          <cell r="I2322" t="str">
            <v>X9</v>
          </cell>
          <cell r="J2322" t="str">
            <v>MPC</v>
          </cell>
          <cell r="K2322" t="str">
            <v>X909</v>
          </cell>
          <cell r="L2322" t="str">
            <v>GO FAST</v>
          </cell>
          <cell r="M2322" t="str">
            <v>X90902</v>
          </cell>
          <cell r="N2322" t="str">
            <v>GO FAST BASE</v>
          </cell>
        </row>
        <row r="2323">
          <cell r="C2323" t="str">
            <v>170001673</v>
          </cell>
          <cell r="D2323" t="str">
            <v>A-1000 DOF BASE A-2.5L</v>
          </cell>
          <cell r="E2323" t="str">
            <v>ZTRD</v>
          </cell>
          <cell r="F2323" t="str">
            <v>PC</v>
          </cell>
          <cell r="G2323" t="str">
            <v>X</v>
          </cell>
          <cell r="H2323" t="str">
            <v>TRD RETAIL</v>
          </cell>
          <cell r="I2323" t="str">
            <v>X9</v>
          </cell>
          <cell r="J2323" t="str">
            <v>MPC</v>
          </cell>
          <cell r="K2323" t="str">
            <v>X909</v>
          </cell>
          <cell r="L2323" t="str">
            <v>GO FAST</v>
          </cell>
          <cell r="M2323" t="str">
            <v>X90902</v>
          </cell>
          <cell r="N2323" t="str">
            <v>GO FAST BASE</v>
          </cell>
        </row>
        <row r="2324">
          <cell r="C2324" t="str">
            <v>170001674</v>
          </cell>
          <cell r="D2324" t="str">
            <v>A-1000 DOF BASE A-20LP</v>
          </cell>
          <cell r="E2324" t="str">
            <v>ZTRD</v>
          </cell>
          <cell r="F2324" t="str">
            <v>PC</v>
          </cell>
          <cell r="G2324" t="str">
            <v>X</v>
          </cell>
          <cell r="H2324" t="str">
            <v>TRD RETAIL</v>
          </cell>
          <cell r="I2324" t="str">
            <v>X9</v>
          </cell>
          <cell r="J2324" t="str">
            <v>MPC</v>
          </cell>
          <cell r="K2324" t="str">
            <v>X909</v>
          </cell>
          <cell r="L2324" t="str">
            <v>GO FAST</v>
          </cell>
          <cell r="M2324" t="str">
            <v>X90902</v>
          </cell>
          <cell r="N2324" t="str">
            <v>GO FAST BASE</v>
          </cell>
        </row>
        <row r="2325">
          <cell r="C2325" t="str">
            <v>170001675</v>
          </cell>
          <cell r="D2325" t="str">
            <v>A-1000 DOF BASE B-0.9L</v>
          </cell>
          <cell r="E2325" t="str">
            <v>ZTRD</v>
          </cell>
          <cell r="F2325" t="str">
            <v>PC</v>
          </cell>
          <cell r="G2325" t="str">
            <v>X</v>
          </cell>
          <cell r="H2325" t="str">
            <v>TRD RETAIL</v>
          </cell>
          <cell r="I2325" t="str">
            <v>X9</v>
          </cell>
          <cell r="J2325" t="str">
            <v>MPC</v>
          </cell>
          <cell r="K2325" t="str">
            <v>X909</v>
          </cell>
          <cell r="L2325" t="str">
            <v>GO FAST</v>
          </cell>
          <cell r="M2325" t="str">
            <v>X90902</v>
          </cell>
          <cell r="N2325" t="str">
            <v>GO FAST BASE</v>
          </cell>
        </row>
        <row r="2326">
          <cell r="C2326" t="str">
            <v>170001676</v>
          </cell>
          <cell r="D2326" t="str">
            <v>A-1000 DOF BASE B-2.5L</v>
          </cell>
          <cell r="E2326" t="str">
            <v>ZTRD</v>
          </cell>
          <cell r="F2326" t="str">
            <v>PC</v>
          </cell>
          <cell r="G2326" t="str">
            <v>X</v>
          </cell>
          <cell r="H2326" t="str">
            <v>TRD RETAIL</v>
          </cell>
          <cell r="I2326" t="str">
            <v>X9</v>
          </cell>
          <cell r="J2326" t="str">
            <v>MPC</v>
          </cell>
          <cell r="K2326" t="str">
            <v>X909</v>
          </cell>
          <cell r="L2326" t="str">
            <v>GO FAST</v>
          </cell>
          <cell r="M2326" t="str">
            <v>X90902</v>
          </cell>
          <cell r="N2326" t="str">
            <v>GO FAST BASE</v>
          </cell>
        </row>
        <row r="2327">
          <cell r="C2327" t="str">
            <v>170001677</v>
          </cell>
          <cell r="D2327" t="str">
            <v>A-1000 DOF BASE B-20LP</v>
          </cell>
          <cell r="E2327" t="str">
            <v>ZTRD</v>
          </cell>
          <cell r="F2327" t="str">
            <v>PC</v>
          </cell>
          <cell r="G2327" t="str">
            <v>X</v>
          </cell>
          <cell r="H2327" t="str">
            <v>TRD RETAIL</v>
          </cell>
          <cell r="I2327" t="str">
            <v>X9</v>
          </cell>
          <cell r="J2327" t="str">
            <v>MPC</v>
          </cell>
          <cell r="K2327" t="str">
            <v>X909</v>
          </cell>
          <cell r="L2327" t="str">
            <v>GO FAST</v>
          </cell>
          <cell r="M2327" t="str">
            <v>X90902</v>
          </cell>
          <cell r="N2327" t="str">
            <v>GO FAST BASE</v>
          </cell>
        </row>
        <row r="2328">
          <cell r="C2328" t="str">
            <v>170001678</v>
          </cell>
          <cell r="D2328" t="str">
            <v>A-1000 DOF BASE D-0.9L</v>
          </cell>
          <cell r="E2328" t="str">
            <v>ZTRD</v>
          </cell>
          <cell r="F2328" t="str">
            <v>PC</v>
          </cell>
          <cell r="G2328" t="str">
            <v>X</v>
          </cell>
          <cell r="H2328" t="str">
            <v>TRD RETAIL</v>
          </cell>
          <cell r="I2328" t="str">
            <v>X9</v>
          </cell>
          <cell r="J2328" t="str">
            <v>MPC</v>
          </cell>
          <cell r="K2328" t="str">
            <v>X909</v>
          </cell>
          <cell r="L2328" t="str">
            <v>GO FAST</v>
          </cell>
          <cell r="M2328" t="str">
            <v>X90902</v>
          </cell>
          <cell r="N2328" t="str">
            <v>GO FAST BASE</v>
          </cell>
        </row>
        <row r="2329">
          <cell r="C2329" t="str">
            <v>170001679</v>
          </cell>
          <cell r="D2329" t="str">
            <v>A-1000 DOF BASE D-2.5L</v>
          </cell>
          <cell r="E2329" t="str">
            <v>ZTRD</v>
          </cell>
          <cell r="F2329" t="str">
            <v>PC</v>
          </cell>
          <cell r="G2329" t="str">
            <v>X</v>
          </cell>
          <cell r="H2329" t="str">
            <v>TRD RETAIL</v>
          </cell>
          <cell r="I2329" t="str">
            <v>X9</v>
          </cell>
          <cell r="J2329" t="str">
            <v>MPC</v>
          </cell>
          <cell r="K2329" t="str">
            <v>X909</v>
          </cell>
          <cell r="L2329" t="str">
            <v>GO FAST</v>
          </cell>
          <cell r="M2329" t="str">
            <v>X90902</v>
          </cell>
          <cell r="N2329" t="str">
            <v>GO FAST BASE</v>
          </cell>
        </row>
        <row r="2330">
          <cell r="C2330" t="str">
            <v>170001680</v>
          </cell>
          <cell r="D2330" t="str">
            <v>A-1000 DOF BASE D-20LP</v>
          </cell>
          <cell r="E2330" t="str">
            <v>ZTRD</v>
          </cell>
          <cell r="F2330" t="str">
            <v>PC</v>
          </cell>
          <cell r="G2330" t="str">
            <v>X</v>
          </cell>
          <cell r="H2330" t="str">
            <v>TRD RETAIL</v>
          </cell>
          <cell r="I2330" t="str">
            <v>X9</v>
          </cell>
          <cell r="J2330" t="str">
            <v>MPC</v>
          </cell>
          <cell r="K2330" t="str">
            <v>X909</v>
          </cell>
          <cell r="L2330" t="str">
            <v>GO FAST</v>
          </cell>
          <cell r="M2330" t="str">
            <v>X90902</v>
          </cell>
          <cell r="N2330" t="str">
            <v>GO FAST BASE</v>
          </cell>
        </row>
        <row r="2331">
          <cell r="C2331" t="str">
            <v>170001685</v>
          </cell>
          <cell r="D2331" t="str">
            <v>PUC-786-2K SATIN BASE A*-1LS</v>
          </cell>
          <cell r="E2331" t="str">
            <v>ZTRD</v>
          </cell>
          <cell r="F2331" t="str">
            <v>SET</v>
          </cell>
          <cell r="G2331" t="str">
            <v>X</v>
          </cell>
          <cell r="H2331" t="str">
            <v>TRD RETAIL</v>
          </cell>
          <cell r="I2331" t="str">
            <v>X2</v>
          </cell>
          <cell r="J2331" t="str">
            <v>WF2</v>
          </cell>
          <cell r="K2331" t="str">
            <v>X216</v>
          </cell>
          <cell r="L2331" t="str">
            <v>PU MULTIPURPOSE</v>
          </cell>
          <cell r="M2331" t="str">
            <v>X21602</v>
          </cell>
          <cell r="N2331" t="str">
            <v>PROPAN MP PU ACR BASE</v>
          </cell>
        </row>
        <row r="2332">
          <cell r="C2332" t="str">
            <v>170001686</v>
          </cell>
          <cell r="D2332" t="str">
            <v>PUC-786-2K SATIN BASE B*-1LS</v>
          </cell>
          <cell r="E2332" t="str">
            <v>ZTRD</v>
          </cell>
          <cell r="F2332" t="str">
            <v>SET</v>
          </cell>
          <cell r="G2332" t="str">
            <v>X</v>
          </cell>
          <cell r="H2332" t="str">
            <v>TRD RETAIL</v>
          </cell>
          <cell r="I2332" t="str">
            <v>X2</v>
          </cell>
          <cell r="J2332" t="str">
            <v>WF2</v>
          </cell>
          <cell r="K2332" t="str">
            <v>X216</v>
          </cell>
          <cell r="L2332" t="str">
            <v>PU MULTIPURPOSE</v>
          </cell>
          <cell r="M2332" t="str">
            <v>X21602</v>
          </cell>
          <cell r="N2332" t="str">
            <v>PROPAN MP PU ACR BASE</v>
          </cell>
        </row>
        <row r="2333">
          <cell r="C2333" t="str">
            <v>170001687</v>
          </cell>
          <cell r="D2333" t="str">
            <v>PUL-765-2K SATIN BASE D-1LS</v>
          </cell>
          <cell r="E2333" t="str">
            <v>ZTRD</v>
          </cell>
          <cell r="F2333" t="str">
            <v>SET</v>
          </cell>
          <cell r="G2333" t="str">
            <v>X</v>
          </cell>
          <cell r="H2333" t="str">
            <v>TRD RETAIL</v>
          </cell>
          <cell r="I2333" t="str">
            <v>X2</v>
          </cell>
          <cell r="J2333" t="str">
            <v>WF2</v>
          </cell>
          <cell r="K2333" t="str">
            <v>X216</v>
          </cell>
          <cell r="L2333" t="str">
            <v>PU MULTIPURPOSE</v>
          </cell>
          <cell r="M2333" t="str">
            <v>X21601</v>
          </cell>
          <cell r="N2333" t="str">
            <v>PROPAN MP PU ACR RMX</v>
          </cell>
        </row>
        <row r="2334">
          <cell r="C2334" t="str">
            <v>170001689</v>
          </cell>
          <cell r="D2334" t="str">
            <v>#NUPUC-786-2K SATIN BASE D*-5LS</v>
          </cell>
          <cell r="E2334" t="str">
            <v>ZTRD</v>
          </cell>
          <cell r="F2334" t="str">
            <v>SET</v>
          </cell>
          <cell r="G2334" t="str">
            <v>X</v>
          </cell>
          <cell r="H2334" t="str">
            <v>TRD RETAIL</v>
          </cell>
          <cell r="I2334" t="str">
            <v>X2</v>
          </cell>
          <cell r="J2334" t="str">
            <v>WF2</v>
          </cell>
          <cell r="K2334" t="str">
            <v>X216</v>
          </cell>
          <cell r="L2334" t="str">
            <v>PU MULTIPURPOSE</v>
          </cell>
          <cell r="M2334" t="str">
            <v>X21602</v>
          </cell>
          <cell r="N2334" t="str">
            <v>PROPAN MP PU ACR BASE</v>
          </cell>
        </row>
        <row r="2335">
          <cell r="C2335" t="str">
            <v>170001690</v>
          </cell>
          <cell r="D2335" t="str">
            <v>#NUPUC-786-2K SATIN BASE D*-1LS</v>
          </cell>
          <cell r="E2335" t="str">
            <v>ZTRD</v>
          </cell>
          <cell r="F2335" t="str">
            <v>SET</v>
          </cell>
          <cell r="G2335" t="str">
            <v>X</v>
          </cell>
          <cell r="H2335" t="str">
            <v>TRD RETAIL</v>
          </cell>
          <cell r="I2335" t="str">
            <v>X2</v>
          </cell>
          <cell r="J2335" t="str">
            <v>WF2</v>
          </cell>
          <cell r="K2335" t="str">
            <v>X216</v>
          </cell>
          <cell r="L2335" t="str">
            <v>PU MULTIPURPOSE</v>
          </cell>
          <cell r="M2335" t="str">
            <v>X21602</v>
          </cell>
          <cell r="N2335" t="str">
            <v>PROPAN MP PU ACR BASE</v>
          </cell>
        </row>
        <row r="2336">
          <cell r="C2336" t="str">
            <v>170001700</v>
          </cell>
          <cell r="D2336" t="str">
            <v>UFM-930 LIGHT GREY-1K</v>
          </cell>
          <cell r="E2336" t="str">
            <v>ZTRD</v>
          </cell>
          <cell r="F2336" t="str">
            <v>PC</v>
          </cell>
          <cell r="G2336" t="str">
            <v>X</v>
          </cell>
          <cell r="H2336" t="str">
            <v>TRD RETAIL</v>
          </cell>
          <cell r="I2336" t="str">
            <v>X8</v>
          </cell>
          <cell r="J2336" t="str">
            <v>CPC2</v>
          </cell>
          <cell r="K2336" t="str">
            <v>X801</v>
          </cell>
          <cell r="L2336" t="str">
            <v>WATERPROOFING</v>
          </cell>
          <cell r="M2336" t="str">
            <v>X80108</v>
          </cell>
          <cell r="N2336" t="str">
            <v>ULTRAFLEX MEMBRANE</v>
          </cell>
        </row>
        <row r="2337">
          <cell r="C2337" t="str">
            <v>170001730</v>
          </cell>
          <cell r="D2337" t="str">
            <v>UFM-930 BASE D-1K</v>
          </cell>
          <cell r="E2337" t="str">
            <v>ZTRD</v>
          </cell>
          <cell r="F2337" t="str">
            <v>PC</v>
          </cell>
          <cell r="G2337" t="str">
            <v>Y</v>
          </cell>
          <cell r="H2337" t="str">
            <v>TRD PROJECT</v>
          </cell>
          <cell r="I2337" t="str">
            <v>Y7</v>
          </cell>
          <cell r="J2337" t="str">
            <v>CPC2</v>
          </cell>
          <cell r="K2337" t="str">
            <v>Y706</v>
          </cell>
          <cell r="L2337" t="str">
            <v>ULTRAFLEX</v>
          </cell>
          <cell r="M2337" t="str">
            <v>Y70602</v>
          </cell>
          <cell r="N2337" t="str">
            <v>ULTRAFLEX MEMBRANE</v>
          </cell>
        </row>
        <row r="2338">
          <cell r="C2338" t="str">
            <v>170001731</v>
          </cell>
          <cell r="D2338" t="str">
            <v>UFM-930 WHITE-4K</v>
          </cell>
          <cell r="E2338" t="str">
            <v>ZTRD</v>
          </cell>
          <cell r="F2338" t="str">
            <v>PC</v>
          </cell>
          <cell r="G2338" t="str">
            <v>Y</v>
          </cell>
          <cell r="H2338" t="str">
            <v>TRD PROJECT</v>
          </cell>
          <cell r="I2338" t="str">
            <v>Y7</v>
          </cell>
          <cell r="J2338" t="str">
            <v>CPC2</v>
          </cell>
          <cell r="K2338" t="str">
            <v>Y706</v>
          </cell>
          <cell r="L2338" t="str">
            <v>ULTRAFLEX</v>
          </cell>
          <cell r="M2338" t="str">
            <v>Y70602</v>
          </cell>
          <cell r="N2338" t="str">
            <v>ULTRAFLEX MEMBRANE</v>
          </cell>
        </row>
        <row r="2339">
          <cell r="C2339" t="str">
            <v>170001733</v>
          </cell>
          <cell r="D2339" t="str">
            <v>SUPER GOLD SG-07 WB GOLD-1230-0.5L</v>
          </cell>
          <cell r="E2339" t="str">
            <v>ZTRD</v>
          </cell>
          <cell r="F2339" t="str">
            <v>PC</v>
          </cell>
          <cell r="G2339" t="str">
            <v>X</v>
          </cell>
          <cell r="H2339" t="str">
            <v>TRD RETAIL</v>
          </cell>
          <cell r="I2339" t="str">
            <v>X6</v>
          </cell>
          <cell r="J2339" t="str">
            <v>SFC</v>
          </cell>
          <cell r="K2339" t="str">
            <v>X609</v>
          </cell>
          <cell r="L2339" t="str">
            <v>PROPAN SUPER GOLD</v>
          </cell>
          <cell r="M2339" t="str">
            <v>X60901</v>
          </cell>
          <cell r="N2339" t="str">
            <v>PROPAN SUPER GOLD</v>
          </cell>
        </row>
        <row r="2340">
          <cell r="C2340" t="str">
            <v>170001738</v>
          </cell>
          <cell r="D2340" t="str">
            <v>U-PROOF U-93 BASE A-20KP</v>
          </cell>
          <cell r="E2340" t="str">
            <v>ZTRD</v>
          </cell>
          <cell r="F2340" t="str">
            <v>PC</v>
          </cell>
          <cell r="G2340" t="str">
            <v>X</v>
          </cell>
          <cell r="H2340" t="str">
            <v>TRD RETAIL</v>
          </cell>
          <cell r="I2340" t="str">
            <v>XD</v>
          </cell>
          <cell r="J2340" t="str">
            <v>APCT2</v>
          </cell>
          <cell r="K2340" t="str">
            <v>XD02</v>
          </cell>
          <cell r="L2340" t="str">
            <v>U-PROOF</v>
          </cell>
          <cell r="M2340" t="str">
            <v>XD0201</v>
          </cell>
          <cell r="N2340" t="str">
            <v>U-PROOF</v>
          </cell>
        </row>
        <row r="2341">
          <cell r="C2341" t="str">
            <v>170001739</v>
          </cell>
          <cell r="D2341" t="str">
            <v>U-PROOF U-93 BASE B-20KP</v>
          </cell>
          <cell r="E2341" t="str">
            <v>ZTRD</v>
          </cell>
          <cell r="F2341" t="str">
            <v>PC</v>
          </cell>
          <cell r="G2341" t="str">
            <v>X</v>
          </cell>
          <cell r="H2341" t="str">
            <v>TRD RETAIL</v>
          </cell>
          <cell r="I2341" t="str">
            <v>XD</v>
          </cell>
          <cell r="J2341" t="str">
            <v>APCT2</v>
          </cell>
          <cell r="K2341" t="str">
            <v>XD02</v>
          </cell>
          <cell r="L2341" t="str">
            <v>U-PROOF</v>
          </cell>
          <cell r="M2341" t="str">
            <v>XD0201</v>
          </cell>
          <cell r="N2341" t="str">
            <v>U-PROOF</v>
          </cell>
        </row>
        <row r="2342">
          <cell r="C2342" t="str">
            <v>170001740</v>
          </cell>
          <cell r="D2342" t="str">
            <v>U-PROOF U-93 BASE C-20KP</v>
          </cell>
          <cell r="E2342" t="str">
            <v>ZTRD</v>
          </cell>
          <cell r="F2342" t="str">
            <v>PC</v>
          </cell>
          <cell r="G2342" t="str">
            <v>X</v>
          </cell>
          <cell r="H2342" t="str">
            <v>TRD RETAIL</v>
          </cell>
          <cell r="I2342" t="str">
            <v>XD</v>
          </cell>
          <cell r="J2342" t="str">
            <v>APCT2</v>
          </cell>
          <cell r="K2342" t="str">
            <v>XD02</v>
          </cell>
          <cell r="L2342" t="str">
            <v>U-PROOF</v>
          </cell>
          <cell r="M2342" t="str">
            <v>XD0201</v>
          </cell>
          <cell r="N2342" t="str">
            <v>U-PROOF</v>
          </cell>
        </row>
        <row r="2343">
          <cell r="C2343" t="str">
            <v>170001741</v>
          </cell>
          <cell r="D2343" t="str">
            <v>U-PROOF U-93 BASE A-4K</v>
          </cell>
          <cell r="E2343" t="str">
            <v>ZTRD</v>
          </cell>
          <cell r="F2343" t="str">
            <v>PC</v>
          </cell>
          <cell r="G2343" t="str">
            <v>X</v>
          </cell>
          <cell r="H2343" t="str">
            <v>TRD RETAIL</v>
          </cell>
          <cell r="I2343" t="str">
            <v>XD</v>
          </cell>
          <cell r="J2343" t="str">
            <v>APCT2</v>
          </cell>
          <cell r="K2343" t="str">
            <v>XD02</v>
          </cell>
          <cell r="L2343" t="str">
            <v>U-PROOF</v>
          </cell>
          <cell r="M2343" t="str">
            <v>XD0201</v>
          </cell>
          <cell r="N2343" t="str">
            <v>U-PROOF</v>
          </cell>
        </row>
        <row r="2344">
          <cell r="C2344" t="str">
            <v>170001742</v>
          </cell>
          <cell r="D2344" t="str">
            <v>U-PROOF U-93 BASE B-4K</v>
          </cell>
          <cell r="E2344" t="str">
            <v>ZTRD</v>
          </cell>
          <cell r="F2344" t="str">
            <v>PC</v>
          </cell>
          <cell r="G2344" t="str">
            <v>X</v>
          </cell>
          <cell r="H2344" t="str">
            <v>TRD RETAIL</v>
          </cell>
          <cell r="I2344" t="str">
            <v>XD</v>
          </cell>
          <cell r="J2344" t="str">
            <v>APCT2</v>
          </cell>
          <cell r="K2344" t="str">
            <v>XD02</v>
          </cell>
          <cell r="L2344" t="str">
            <v>U-PROOF</v>
          </cell>
          <cell r="M2344" t="str">
            <v>XD0201</v>
          </cell>
          <cell r="N2344" t="str">
            <v>U-PROOF</v>
          </cell>
        </row>
        <row r="2345">
          <cell r="C2345" t="str">
            <v>170001743</v>
          </cell>
          <cell r="D2345" t="str">
            <v>U-PROOF U-93 BASE C-4K</v>
          </cell>
          <cell r="E2345" t="str">
            <v>ZTRD</v>
          </cell>
          <cell r="F2345" t="str">
            <v>PC</v>
          </cell>
          <cell r="G2345" t="str">
            <v>X</v>
          </cell>
          <cell r="H2345" t="str">
            <v>TRD RETAIL</v>
          </cell>
          <cell r="I2345" t="str">
            <v>XD</v>
          </cell>
          <cell r="J2345" t="str">
            <v>APCT2</v>
          </cell>
          <cell r="K2345" t="str">
            <v>XD02</v>
          </cell>
          <cell r="L2345" t="str">
            <v>U-PROOF</v>
          </cell>
          <cell r="M2345" t="str">
            <v>XD0201</v>
          </cell>
          <cell r="N2345" t="str">
            <v>U-PROOF</v>
          </cell>
        </row>
        <row r="2346">
          <cell r="C2346" t="str">
            <v>170001749</v>
          </cell>
          <cell r="D2346" t="str">
            <v>TENNOKOTE 1000 WA OX RED 3435 N-25KSP</v>
          </cell>
          <cell r="E2346" t="str">
            <v>ZTRD</v>
          </cell>
          <cell r="F2346" t="str">
            <v>SET</v>
          </cell>
          <cell r="G2346" t="str">
            <v>X</v>
          </cell>
          <cell r="H2346" t="str">
            <v>TRD RETAIL</v>
          </cell>
          <cell r="I2346" t="str">
            <v>X7</v>
          </cell>
          <cell r="J2346" t="str">
            <v>CPC1</v>
          </cell>
          <cell r="K2346" t="str">
            <v>X701</v>
          </cell>
          <cell r="L2346" t="str">
            <v>TENNOKOTE</v>
          </cell>
          <cell r="M2346" t="str">
            <v>X70101</v>
          </cell>
          <cell r="N2346" t="str">
            <v>TENNOKOTE</v>
          </cell>
        </row>
        <row r="2347">
          <cell r="C2347" t="str">
            <v>170001750</v>
          </cell>
          <cell r="D2347" t="str">
            <v>TENNOKOTE 1000 WA YELLOW 2327 N-25KSP</v>
          </cell>
          <cell r="E2347" t="str">
            <v>ZTRD</v>
          </cell>
          <cell r="F2347" t="str">
            <v>SET</v>
          </cell>
          <cell r="G2347" t="str">
            <v>X</v>
          </cell>
          <cell r="H2347" t="str">
            <v>TRD RETAIL</v>
          </cell>
          <cell r="I2347" t="str">
            <v>X7</v>
          </cell>
          <cell r="J2347" t="str">
            <v>CPC1</v>
          </cell>
          <cell r="K2347" t="str">
            <v>X701</v>
          </cell>
          <cell r="L2347" t="str">
            <v>TENNOKOTE</v>
          </cell>
          <cell r="M2347" t="str">
            <v>X70101</v>
          </cell>
          <cell r="N2347" t="str">
            <v>TENNOKOTE</v>
          </cell>
        </row>
        <row r="2348">
          <cell r="C2348" t="str">
            <v>170001751</v>
          </cell>
          <cell r="D2348" t="str">
            <v>TENNOKOTE 1000 WA WHITE-9101 N-25KSP</v>
          </cell>
          <cell r="E2348" t="str">
            <v>ZTRD</v>
          </cell>
          <cell r="F2348" t="str">
            <v>SET</v>
          </cell>
          <cell r="G2348" t="str">
            <v>X</v>
          </cell>
          <cell r="H2348" t="str">
            <v>TRD RETAIL</v>
          </cell>
          <cell r="I2348" t="str">
            <v>X7</v>
          </cell>
          <cell r="J2348" t="str">
            <v>CPC1</v>
          </cell>
          <cell r="K2348" t="str">
            <v>X701</v>
          </cell>
          <cell r="L2348" t="str">
            <v>TENNOKOTE</v>
          </cell>
          <cell r="M2348" t="str">
            <v>X70101</v>
          </cell>
          <cell r="N2348" t="str">
            <v>TENNOKOTE</v>
          </cell>
        </row>
        <row r="2349">
          <cell r="C2349" t="str">
            <v>850000091</v>
          </cell>
          <cell r="D2349" t="str">
            <v>#NUMX-99 DARK GREY 20 MH VN-15KP</v>
          </cell>
          <cell r="E2349" t="str">
            <v>ZNSF</v>
          </cell>
          <cell r="F2349" t="str">
            <v>PC</v>
          </cell>
          <cell r="G2349" t="str">
            <v>2</v>
          </cell>
          <cell r="H2349" t="str">
            <v>RETAIL</v>
          </cell>
          <cell r="I2349" t="str">
            <v>27</v>
          </cell>
          <cell r="J2349" t="str">
            <v>CPC1</v>
          </cell>
          <cell r="K2349" t="str">
            <v>2703</v>
          </cell>
          <cell r="L2349" t="str">
            <v>MULTIPOX</v>
          </cell>
          <cell r="M2349" t="str">
            <v>270301</v>
          </cell>
          <cell r="N2349" t="str">
            <v>MULTIPOX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Material Code</v>
          </cell>
          <cell r="D1" t="str">
            <v>Mat. Description</v>
          </cell>
          <cell r="E1" t="str">
            <v>Mat. Type</v>
          </cell>
          <cell r="F1" t="str">
            <v>UOM</v>
          </cell>
          <cell r="G1" t="str">
            <v>PH 1</v>
          </cell>
          <cell r="H1" t="str">
            <v>Division</v>
          </cell>
          <cell r="I1" t="str">
            <v>PH 2</v>
          </cell>
          <cell r="J1" t="str">
            <v>Business</v>
          </cell>
          <cell r="K1" t="str">
            <v>PH 3</v>
          </cell>
          <cell r="L1" t="str">
            <v>Sub Business</v>
          </cell>
          <cell r="M1" t="str">
            <v>PH 4</v>
          </cell>
          <cell r="N1" t="str">
            <v>Product Group</v>
          </cell>
        </row>
        <row r="2">
          <cell r="C2" t="str">
            <v>100000124</v>
          </cell>
          <cell r="D2" t="str">
            <v>MEP-12003 GREY VN-18KP</v>
          </cell>
          <cell r="E2" t="str">
            <v>ZFGD</v>
          </cell>
          <cell r="F2" t="str">
            <v>PC</v>
          </cell>
          <cell r="G2" t="str">
            <v>1</v>
          </cell>
          <cell r="H2" t="str">
            <v>INDUSTRY</v>
          </cell>
          <cell r="I2" t="str">
            <v>16</v>
          </cell>
          <cell r="J2" t="str">
            <v>METAL COATINGS</v>
          </cell>
          <cell r="K2" t="str">
            <v>1601</v>
          </cell>
          <cell r="L2" t="str">
            <v>METAL COATINGS</v>
          </cell>
          <cell r="M2" t="str">
            <v>160101</v>
          </cell>
          <cell r="N2" t="str">
            <v>METAL COATINGS</v>
          </cell>
        </row>
        <row r="3">
          <cell r="C3" t="str">
            <v>100000493</v>
          </cell>
          <cell r="D3" t="str">
            <v>PUH-56306 LY VN-4L</v>
          </cell>
          <cell r="E3" t="str">
            <v>ZFGD</v>
          </cell>
          <cell r="F3" t="str">
            <v>PC</v>
          </cell>
          <cell r="G3" t="str">
            <v>1</v>
          </cell>
          <cell r="H3" t="str">
            <v>INDUSTRY</v>
          </cell>
          <cell r="I3" t="str">
            <v>11</v>
          </cell>
          <cell r="J3" t="str">
            <v>WOOD COATINGS</v>
          </cell>
          <cell r="K3" t="str">
            <v>1103</v>
          </cell>
          <cell r="L3" t="str">
            <v>PU</v>
          </cell>
          <cell r="M3" t="str">
            <v>110320</v>
          </cell>
          <cell r="N3" t="str">
            <v>PU HARDENER</v>
          </cell>
        </row>
        <row r="4">
          <cell r="C4" t="str">
            <v>100000494</v>
          </cell>
          <cell r="D4" t="str">
            <v>PUH-56306 LY VN-20LP</v>
          </cell>
          <cell r="E4" t="str">
            <v>ZFGD</v>
          </cell>
          <cell r="F4" t="str">
            <v>PC</v>
          </cell>
          <cell r="G4" t="str">
            <v>1</v>
          </cell>
          <cell r="H4" t="str">
            <v>INDUSTRY</v>
          </cell>
          <cell r="I4" t="str">
            <v>11</v>
          </cell>
          <cell r="J4" t="str">
            <v>WOOD COATINGS</v>
          </cell>
          <cell r="K4" t="str">
            <v>1103</v>
          </cell>
          <cell r="L4" t="str">
            <v>PU</v>
          </cell>
          <cell r="M4" t="str">
            <v>110320</v>
          </cell>
          <cell r="N4" t="str">
            <v>PU HARDENER</v>
          </cell>
        </row>
        <row r="5">
          <cell r="C5" t="str">
            <v>100000512</v>
          </cell>
          <cell r="D5" t="str">
            <v>PUL-53306 AC EX CLEAR 10 VN-20LP</v>
          </cell>
          <cell r="E5" t="str">
            <v>ZFGD</v>
          </cell>
          <cell r="F5" t="str">
            <v>PC</v>
          </cell>
          <cell r="G5" t="str">
            <v>1</v>
          </cell>
          <cell r="H5" t="str">
            <v>INDUSTRY</v>
          </cell>
          <cell r="I5" t="str">
            <v>11</v>
          </cell>
          <cell r="J5" t="str">
            <v>WOOD COATINGS</v>
          </cell>
          <cell r="K5" t="str">
            <v>1103</v>
          </cell>
          <cell r="L5" t="str">
            <v>PU</v>
          </cell>
          <cell r="M5" t="str">
            <v>110321</v>
          </cell>
          <cell r="N5" t="str">
            <v>PU LACQUER</v>
          </cell>
        </row>
        <row r="6">
          <cell r="C6" t="str">
            <v>100000846</v>
          </cell>
          <cell r="D6" t="str">
            <v>THC-73100 402 VN-20LJ</v>
          </cell>
          <cell r="E6" t="str">
            <v>ZFGD</v>
          </cell>
          <cell r="F6" t="str">
            <v>PC</v>
          </cell>
          <cell r="G6" t="str">
            <v>1</v>
          </cell>
          <cell r="H6" t="str">
            <v>INDUSTRY</v>
          </cell>
          <cell r="I6" t="str">
            <v>14</v>
          </cell>
          <cell r="J6" t="str">
            <v>THINNER</v>
          </cell>
          <cell r="K6" t="str">
            <v>1412</v>
          </cell>
          <cell r="L6" t="str">
            <v>THINNER NC</v>
          </cell>
          <cell r="M6" t="str">
            <v>141203</v>
          </cell>
          <cell r="N6" t="str">
            <v>THINNER COMPLEMENTARY</v>
          </cell>
        </row>
        <row r="7">
          <cell r="C7" t="str">
            <v>100000878</v>
          </cell>
          <cell r="D7" t="str">
            <v>THNC-71100 SD VN-20LJ</v>
          </cell>
          <cell r="E7" t="str">
            <v>ZFGD</v>
          </cell>
          <cell r="F7" t="str">
            <v>PC</v>
          </cell>
          <cell r="G7" t="str">
            <v>1</v>
          </cell>
          <cell r="H7" t="str">
            <v>INDUSTRY</v>
          </cell>
          <cell r="I7" t="str">
            <v>14</v>
          </cell>
          <cell r="J7" t="str">
            <v>THINNER</v>
          </cell>
          <cell r="K7" t="str">
            <v>1412</v>
          </cell>
          <cell r="L7" t="str">
            <v>THINNER NC</v>
          </cell>
          <cell r="M7" t="str">
            <v>141205</v>
          </cell>
          <cell r="N7" t="str">
            <v>THINNER NC</v>
          </cell>
        </row>
        <row r="8">
          <cell r="C8" t="str">
            <v>100000997</v>
          </cell>
          <cell r="D8" t="str">
            <v>PFP-261 VN-5KS</v>
          </cell>
          <cell r="E8" t="str">
            <v>ZFGD</v>
          </cell>
          <cell r="F8" t="str">
            <v>SET</v>
          </cell>
          <cell r="G8" t="str">
            <v>5</v>
          </cell>
          <cell r="H8" t="str">
            <v>PROJECT</v>
          </cell>
          <cell r="I8" t="str">
            <v>56</v>
          </cell>
          <cell r="J8" t="str">
            <v>CPC1</v>
          </cell>
          <cell r="K8" t="str">
            <v>5602</v>
          </cell>
          <cell r="L8" t="str">
            <v>POLYFLOOR</v>
          </cell>
          <cell r="M8" t="str">
            <v>560202</v>
          </cell>
          <cell r="N8" t="str">
            <v>POLYFLOOR EPOXY</v>
          </cell>
        </row>
        <row r="9">
          <cell r="C9" t="str">
            <v>100000998</v>
          </cell>
          <cell r="D9" t="str">
            <v>PFP-261 VN-4.5K</v>
          </cell>
          <cell r="E9" t="str">
            <v>ZFGD</v>
          </cell>
          <cell r="F9" t="str">
            <v>PC</v>
          </cell>
          <cell r="G9" t="str">
            <v>5</v>
          </cell>
          <cell r="H9" t="str">
            <v>PROJECT</v>
          </cell>
          <cell r="I9" t="str">
            <v>56</v>
          </cell>
          <cell r="J9" t="str">
            <v>CPC1</v>
          </cell>
          <cell r="K9" t="str">
            <v>5602</v>
          </cell>
          <cell r="L9" t="str">
            <v>POLYFLOOR</v>
          </cell>
          <cell r="M9" t="str">
            <v>560202</v>
          </cell>
          <cell r="N9" t="str">
            <v>POLYFLOOR EPOXY</v>
          </cell>
        </row>
        <row r="10">
          <cell r="C10" t="str">
            <v>100000999</v>
          </cell>
          <cell r="D10" t="str">
            <v>PFP-261 VN-20KSP</v>
          </cell>
          <cell r="E10" t="str">
            <v>ZFGD</v>
          </cell>
          <cell r="F10" t="str">
            <v>SET</v>
          </cell>
          <cell r="G10" t="str">
            <v>5</v>
          </cell>
          <cell r="H10" t="str">
            <v>PROJECT</v>
          </cell>
          <cell r="I10" t="str">
            <v>56</v>
          </cell>
          <cell r="J10" t="str">
            <v>CPC1</v>
          </cell>
          <cell r="K10" t="str">
            <v>5602</v>
          </cell>
          <cell r="L10" t="str">
            <v>POLYFLOOR</v>
          </cell>
          <cell r="M10" t="str">
            <v>560202</v>
          </cell>
          <cell r="N10" t="str">
            <v>POLYFLOOR EPOXY</v>
          </cell>
        </row>
        <row r="11">
          <cell r="C11" t="str">
            <v>100001000</v>
          </cell>
          <cell r="D11" t="str">
            <v>PFP-261 VN-18KP</v>
          </cell>
          <cell r="E11" t="str">
            <v>ZFGD</v>
          </cell>
          <cell r="F11" t="str">
            <v>PC</v>
          </cell>
          <cell r="G11" t="str">
            <v>5</v>
          </cell>
          <cell r="H11" t="str">
            <v>PROJECT</v>
          </cell>
          <cell r="I11" t="str">
            <v>56</v>
          </cell>
          <cell r="J11" t="str">
            <v>CPC1</v>
          </cell>
          <cell r="K11" t="str">
            <v>5602</v>
          </cell>
          <cell r="L11" t="str">
            <v>POLYFLOOR</v>
          </cell>
          <cell r="M11" t="str">
            <v>560202</v>
          </cell>
          <cell r="N11" t="str">
            <v>POLYFLOOR EPOXY</v>
          </cell>
        </row>
        <row r="12">
          <cell r="C12" t="str">
            <v>100001001</v>
          </cell>
          <cell r="D12" t="str">
            <v>PFP-241 VN-4KS</v>
          </cell>
          <cell r="E12" t="str">
            <v>ZFGD</v>
          </cell>
          <cell r="F12" t="str">
            <v>SET</v>
          </cell>
          <cell r="G12" t="str">
            <v>5</v>
          </cell>
          <cell r="H12" t="str">
            <v>PROJECT</v>
          </cell>
          <cell r="I12" t="str">
            <v>56</v>
          </cell>
          <cell r="J12" t="str">
            <v>CPC1</v>
          </cell>
          <cell r="K12" t="str">
            <v>5602</v>
          </cell>
          <cell r="L12" t="str">
            <v>POLYFLOOR</v>
          </cell>
          <cell r="M12" t="str">
            <v>560202</v>
          </cell>
          <cell r="N12" t="str">
            <v>POLYFLOOR EPOXY</v>
          </cell>
        </row>
        <row r="13">
          <cell r="C13" t="str">
            <v>100001002</v>
          </cell>
          <cell r="D13" t="str">
            <v>PFP-241 VN-3.5K</v>
          </cell>
          <cell r="E13" t="str">
            <v>ZFGD</v>
          </cell>
          <cell r="F13" t="str">
            <v>PC</v>
          </cell>
          <cell r="G13" t="str">
            <v>5</v>
          </cell>
          <cell r="H13" t="str">
            <v>PROJECT</v>
          </cell>
          <cell r="I13" t="str">
            <v>56</v>
          </cell>
          <cell r="J13" t="str">
            <v>CPC1</v>
          </cell>
          <cell r="K13" t="str">
            <v>5602</v>
          </cell>
          <cell r="L13" t="str">
            <v>POLYFLOOR</v>
          </cell>
          <cell r="M13" t="str">
            <v>560202</v>
          </cell>
          <cell r="N13" t="str">
            <v>POLYFLOOR EPOXY</v>
          </cell>
        </row>
        <row r="14">
          <cell r="C14" t="str">
            <v>100001003</v>
          </cell>
          <cell r="D14" t="str">
            <v>PFP-241 VN-20KSP</v>
          </cell>
          <cell r="E14" t="str">
            <v>ZFGD</v>
          </cell>
          <cell r="F14" t="str">
            <v>SET</v>
          </cell>
          <cell r="G14" t="str">
            <v>5</v>
          </cell>
          <cell r="H14" t="str">
            <v>PROJECT</v>
          </cell>
          <cell r="I14" t="str">
            <v>56</v>
          </cell>
          <cell r="J14" t="str">
            <v>CPC1</v>
          </cell>
          <cell r="K14" t="str">
            <v>5602</v>
          </cell>
          <cell r="L14" t="str">
            <v>POLYFLOOR</v>
          </cell>
          <cell r="M14" t="str">
            <v>560202</v>
          </cell>
          <cell r="N14" t="str">
            <v>POLYFLOOR EPOXY</v>
          </cell>
        </row>
        <row r="15">
          <cell r="C15" t="str">
            <v>100001004</v>
          </cell>
          <cell r="D15" t="str">
            <v>PFP-241 VN-17.5KP</v>
          </cell>
          <cell r="E15" t="str">
            <v>ZFGD</v>
          </cell>
          <cell r="F15" t="str">
            <v>PC</v>
          </cell>
          <cell r="G15" t="str">
            <v>5</v>
          </cell>
          <cell r="H15" t="str">
            <v>PROJECT</v>
          </cell>
          <cell r="I15" t="str">
            <v>56</v>
          </cell>
          <cell r="J15" t="str">
            <v>CPC1</v>
          </cell>
          <cell r="K15" t="str">
            <v>5602</v>
          </cell>
          <cell r="L15" t="str">
            <v>POLYFLOOR</v>
          </cell>
          <cell r="M15" t="str">
            <v>560202</v>
          </cell>
          <cell r="N15" t="str">
            <v>POLYFLOOR EPOXY</v>
          </cell>
        </row>
        <row r="16">
          <cell r="C16" t="str">
            <v>100001005</v>
          </cell>
          <cell r="D16" t="str">
            <v>FILLER PFT-253-3K VN-10KZ</v>
          </cell>
          <cell r="E16" t="str">
            <v>ZFGD</v>
          </cell>
          <cell r="F16" t="str">
            <v>PC</v>
          </cell>
          <cell r="G16" t="str">
            <v>5</v>
          </cell>
          <cell r="H16" t="str">
            <v>PROJECT</v>
          </cell>
          <cell r="I16" t="str">
            <v>56</v>
          </cell>
          <cell r="J16" t="str">
            <v>CPC1</v>
          </cell>
          <cell r="K16" t="str">
            <v>5602</v>
          </cell>
          <cell r="L16" t="str">
            <v>POLYFLOOR</v>
          </cell>
          <cell r="M16" t="str">
            <v>560202</v>
          </cell>
          <cell r="N16" t="str">
            <v>POLYFLOOR EPOXY</v>
          </cell>
        </row>
        <row r="17">
          <cell r="C17" t="str">
            <v>100001006</v>
          </cell>
          <cell r="D17" t="str">
            <v>PFT-253 3K GREY VN-20KSP</v>
          </cell>
          <cell r="E17" t="str">
            <v>ZFGD</v>
          </cell>
          <cell r="F17" t="str">
            <v>SET</v>
          </cell>
          <cell r="G17" t="str">
            <v>5</v>
          </cell>
          <cell r="H17" t="str">
            <v>PROJECT</v>
          </cell>
          <cell r="I17" t="str">
            <v>56</v>
          </cell>
          <cell r="J17" t="str">
            <v>CPC1</v>
          </cell>
          <cell r="K17" t="str">
            <v>5602</v>
          </cell>
          <cell r="L17" t="str">
            <v>POLYFLOOR</v>
          </cell>
          <cell r="M17" t="str">
            <v>560202</v>
          </cell>
          <cell r="N17" t="str">
            <v>POLYFLOOR EPOXY</v>
          </cell>
        </row>
        <row r="18">
          <cell r="C18" t="str">
            <v>100001007</v>
          </cell>
          <cell r="D18" t="str">
            <v>PFT-253 3K GREY VN-8K</v>
          </cell>
          <cell r="E18" t="str">
            <v>ZFGD</v>
          </cell>
          <cell r="F18" t="str">
            <v>PC</v>
          </cell>
          <cell r="G18" t="str">
            <v>5</v>
          </cell>
          <cell r="H18" t="str">
            <v>PROJECT</v>
          </cell>
          <cell r="I18" t="str">
            <v>56</v>
          </cell>
          <cell r="J18" t="str">
            <v>CPC1</v>
          </cell>
          <cell r="K18" t="str">
            <v>5602</v>
          </cell>
          <cell r="L18" t="str">
            <v>POLYFLOOR</v>
          </cell>
          <cell r="M18" t="str">
            <v>560202</v>
          </cell>
          <cell r="N18" t="str">
            <v>POLYFLOOR EPOXY</v>
          </cell>
        </row>
        <row r="19">
          <cell r="C19" t="str">
            <v>100001008</v>
          </cell>
          <cell r="D19" t="str">
            <v>PFT-253 3K GREEN VN-20KSP</v>
          </cell>
          <cell r="E19" t="str">
            <v>ZFGD</v>
          </cell>
          <cell r="F19" t="str">
            <v>SET</v>
          </cell>
          <cell r="G19" t="str">
            <v>5</v>
          </cell>
          <cell r="H19" t="str">
            <v>PROJECT</v>
          </cell>
          <cell r="I19" t="str">
            <v>56</v>
          </cell>
          <cell r="J19" t="str">
            <v>CPC1</v>
          </cell>
          <cell r="K19" t="str">
            <v>5602</v>
          </cell>
          <cell r="L19" t="str">
            <v>POLYFLOOR</v>
          </cell>
          <cell r="M19" t="str">
            <v>560202</v>
          </cell>
          <cell r="N19" t="str">
            <v>POLYFLOOR EPOXY</v>
          </cell>
        </row>
        <row r="20">
          <cell r="C20" t="str">
            <v>100001009</v>
          </cell>
          <cell r="D20" t="str">
            <v>PFT-253 3K GREEN VN-8K</v>
          </cell>
          <cell r="E20" t="str">
            <v>ZFGD</v>
          </cell>
          <cell r="F20" t="str">
            <v>PC</v>
          </cell>
          <cell r="G20" t="str">
            <v>5</v>
          </cell>
          <cell r="H20" t="str">
            <v>PROJECT</v>
          </cell>
          <cell r="I20" t="str">
            <v>56</v>
          </cell>
          <cell r="J20" t="str">
            <v>CPC1</v>
          </cell>
          <cell r="K20" t="str">
            <v>5602</v>
          </cell>
          <cell r="L20" t="str">
            <v>POLYFLOOR</v>
          </cell>
          <cell r="M20" t="str">
            <v>560202</v>
          </cell>
          <cell r="N20" t="str">
            <v>POLYFLOOR EPOXY</v>
          </cell>
        </row>
        <row r="21">
          <cell r="C21" t="str">
            <v>100001010</v>
          </cell>
          <cell r="D21" t="str">
            <v>PFT-253 3K LEAF GREEN VN-20KSP</v>
          </cell>
          <cell r="E21" t="str">
            <v>ZFGD</v>
          </cell>
          <cell r="F21" t="str">
            <v>SET</v>
          </cell>
          <cell r="G21" t="str">
            <v>5</v>
          </cell>
          <cell r="H21" t="str">
            <v>PROJECT</v>
          </cell>
          <cell r="I21" t="str">
            <v>56</v>
          </cell>
          <cell r="J21" t="str">
            <v>CPC1</v>
          </cell>
          <cell r="K21" t="str">
            <v>5602</v>
          </cell>
          <cell r="L21" t="str">
            <v>POLYFLOOR</v>
          </cell>
          <cell r="M21" t="str">
            <v>560202</v>
          </cell>
          <cell r="N21" t="str">
            <v>POLYFLOOR EPOXY</v>
          </cell>
        </row>
        <row r="22">
          <cell r="C22" t="str">
            <v>100001011</v>
          </cell>
          <cell r="D22" t="str">
            <v>PFT-253 3K LEAF GREEN VN-8K</v>
          </cell>
          <cell r="E22" t="str">
            <v>ZFGD</v>
          </cell>
          <cell r="F22" t="str">
            <v>PC</v>
          </cell>
          <cell r="G22" t="str">
            <v>5</v>
          </cell>
          <cell r="H22" t="str">
            <v>PROJECT</v>
          </cell>
          <cell r="I22" t="str">
            <v>56</v>
          </cell>
          <cell r="J22" t="str">
            <v>CPC1</v>
          </cell>
          <cell r="K22" t="str">
            <v>5602</v>
          </cell>
          <cell r="L22" t="str">
            <v>POLYFLOOR</v>
          </cell>
          <cell r="M22" t="str">
            <v>560202</v>
          </cell>
          <cell r="N22" t="str">
            <v>POLYFLOOR EPOXY</v>
          </cell>
        </row>
        <row r="23">
          <cell r="C23" t="str">
            <v>100001012</v>
          </cell>
          <cell r="D23" t="str">
            <v>PFT-253 3K LIGHT GREY VN-20KSP</v>
          </cell>
          <cell r="E23" t="str">
            <v>ZFGD</v>
          </cell>
          <cell r="F23" t="str">
            <v>SET</v>
          </cell>
          <cell r="G23" t="str">
            <v>5</v>
          </cell>
          <cell r="H23" t="str">
            <v>PROJECT</v>
          </cell>
          <cell r="I23" t="str">
            <v>56</v>
          </cell>
          <cell r="J23" t="str">
            <v>CPC1</v>
          </cell>
          <cell r="K23" t="str">
            <v>5602</v>
          </cell>
          <cell r="L23" t="str">
            <v>POLYFLOOR</v>
          </cell>
          <cell r="M23" t="str">
            <v>560202</v>
          </cell>
          <cell r="N23" t="str">
            <v>POLYFLOOR EPOXY</v>
          </cell>
        </row>
        <row r="24">
          <cell r="C24" t="str">
            <v>100001013</v>
          </cell>
          <cell r="D24" t="str">
            <v>PFT-253 3K LIGHT GREY VN-8K</v>
          </cell>
          <cell r="E24" t="str">
            <v>ZFGD</v>
          </cell>
          <cell r="F24" t="str">
            <v>PC</v>
          </cell>
          <cell r="G24" t="str">
            <v>5</v>
          </cell>
          <cell r="H24" t="str">
            <v>PROJECT</v>
          </cell>
          <cell r="I24" t="str">
            <v>56</v>
          </cell>
          <cell r="J24" t="str">
            <v>CPC1</v>
          </cell>
          <cell r="K24" t="str">
            <v>5602</v>
          </cell>
          <cell r="L24" t="str">
            <v>POLYFLOOR</v>
          </cell>
          <cell r="M24" t="str">
            <v>560202</v>
          </cell>
          <cell r="N24" t="str">
            <v>POLYFLOOR EPOXY</v>
          </cell>
        </row>
        <row r="25">
          <cell r="C25" t="str">
            <v>100001014</v>
          </cell>
          <cell r="D25" t="str">
            <v>PFT-253 3K PALE GREEN VN-20KSP</v>
          </cell>
          <cell r="E25" t="str">
            <v>ZFGD</v>
          </cell>
          <cell r="F25" t="str">
            <v>SET</v>
          </cell>
          <cell r="G25" t="str">
            <v>5</v>
          </cell>
          <cell r="H25" t="str">
            <v>PROJECT</v>
          </cell>
          <cell r="I25" t="str">
            <v>56</v>
          </cell>
          <cell r="J25" t="str">
            <v>CPC1</v>
          </cell>
          <cell r="K25" t="str">
            <v>5602</v>
          </cell>
          <cell r="L25" t="str">
            <v>POLYFLOOR</v>
          </cell>
          <cell r="M25" t="str">
            <v>560202</v>
          </cell>
          <cell r="N25" t="str">
            <v>POLYFLOOR EPOXY</v>
          </cell>
        </row>
        <row r="26">
          <cell r="C26" t="str">
            <v>100001015</v>
          </cell>
          <cell r="D26" t="str">
            <v>PFT-253 3K PALE GREEN VN-8K</v>
          </cell>
          <cell r="E26" t="str">
            <v>ZFGD</v>
          </cell>
          <cell r="F26" t="str">
            <v>PC</v>
          </cell>
          <cell r="G26" t="str">
            <v>5</v>
          </cell>
          <cell r="H26" t="str">
            <v>PROJECT</v>
          </cell>
          <cell r="I26" t="str">
            <v>56</v>
          </cell>
          <cell r="J26" t="str">
            <v>CPC1</v>
          </cell>
          <cell r="K26" t="str">
            <v>5602</v>
          </cell>
          <cell r="L26" t="str">
            <v>POLYFLOOR</v>
          </cell>
          <cell r="M26" t="str">
            <v>560202</v>
          </cell>
          <cell r="N26" t="str">
            <v>POLYFLOOR EPOXY</v>
          </cell>
        </row>
        <row r="27">
          <cell r="C27" t="str">
            <v>100001016</v>
          </cell>
          <cell r="D27" t="str">
            <v>PFT-253 3K DARK GREEN VN-20KSP</v>
          </cell>
          <cell r="E27" t="str">
            <v>ZFGD</v>
          </cell>
          <cell r="F27" t="str">
            <v>SET</v>
          </cell>
          <cell r="G27" t="str">
            <v>5</v>
          </cell>
          <cell r="H27" t="str">
            <v>PROJECT</v>
          </cell>
          <cell r="I27" t="str">
            <v>56</v>
          </cell>
          <cell r="J27" t="str">
            <v>CPC1</v>
          </cell>
          <cell r="K27" t="str">
            <v>5602</v>
          </cell>
          <cell r="L27" t="str">
            <v>POLYFLOOR</v>
          </cell>
          <cell r="M27" t="str">
            <v>560202</v>
          </cell>
          <cell r="N27" t="str">
            <v>POLYFLOOR EPOXY</v>
          </cell>
        </row>
        <row r="28">
          <cell r="C28" t="str">
            <v>100001017</v>
          </cell>
          <cell r="D28" t="str">
            <v>PFT-253 3K DARK GREEN VN-8K</v>
          </cell>
          <cell r="E28" t="str">
            <v>ZFGD</v>
          </cell>
          <cell r="F28" t="str">
            <v>PC</v>
          </cell>
          <cell r="G28" t="str">
            <v>5</v>
          </cell>
          <cell r="H28" t="str">
            <v>PROJECT</v>
          </cell>
          <cell r="I28" t="str">
            <v>56</v>
          </cell>
          <cell r="J28" t="str">
            <v>CPC1</v>
          </cell>
          <cell r="K28" t="str">
            <v>5602</v>
          </cell>
          <cell r="L28" t="str">
            <v>POLYFLOOR</v>
          </cell>
          <cell r="M28" t="str">
            <v>560202</v>
          </cell>
          <cell r="N28" t="str">
            <v>POLYFLOOR EPOXY</v>
          </cell>
        </row>
        <row r="29">
          <cell r="C29" t="str">
            <v>100001018</v>
          </cell>
          <cell r="D29" t="str">
            <v>PFT-253 3K GENTIAN BLUE VN-20KSP</v>
          </cell>
          <cell r="E29" t="str">
            <v>ZFGD</v>
          </cell>
          <cell r="F29" t="str">
            <v>SET</v>
          </cell>
          <cell r="G29" t="str">
            <v>5</v>
          </cell>
          <cell r="H29" t="str">
            <v>PROJECT</v>
          </cell>
          <cell r="I29" t="str">
            <v>56</v>
          </cell>
          <cell r="J29" t="str">
            <v>CPC1</v>
          </cell>
          <cell r="K29" t="str">
            <v>5602</v>
          </cell>
          <cell r="L29" t="str">
            <v>POLYFLOOR</v>
          </cell>
          <cell r="M29" t="str">
            <v>560202</v>
          </cell>
          <cell r="N29" t="str">
            <v>POLYFLOOR EPOXY</v>
          </cell>
        </row>
        <row r="30">
          <cell r="C30" t="str">
            <v>100001019</v>
          </cell>
          <cell r="D30" t="str">
            <v>PFT-253 3K GENTIAN BLUE VN-8K</v>
          </cell>
          <cell r="E30" t="str">
            <v>ZFGD</v>
          </cell>
          <cell r="F30" t="str">
            <v>PC</v>
          </cell>
          <cell r="G30" t="str">
            <v>5</v>
          </cell>
          <cell r="H30" t="str">
            <v>PROJECT</v>
          </cell>
          <cell r="I30" t="str">
            <v>56</v>
          </cell>
          <cell r="J30" t="str">
            <v>CPC1</v>
          </cell>
          <cell r="K30" t="str">
            <v>5602</v>
          </cell>
          <cell r="L30" t="str">
            <v>POLYFLOOR</v>
          </cell>
          <cell r="M30" t="str">
            <v>560202</v>
          </cell>
          <cell r="N30" t="str">
            <v>POLYFLOOR EPOXY</v>
          </cell>
        </row>
        <row r="31">
          <cell r="C31" t="str">
            <v>100001020</v>
          </cell>
          <cell r="D31" t="str">
            <v>PFT-253 3K LIGHT GREY TVT VN-20KSP</v>
          </cell>
          <cell r="E31" t="str">
            <v>ZFGD</v>
          </cell>
          <cell r="F31" t="str">
            <v>SET</v>
          </cell>
          <cell r="G31" t="str">
            <v>5</v>
          </cell>
          <cell r="H31" t="str">
            <v>PROJECT</v>
          </cell>
          <cell r="I31" t="str">
            <v>56</v>
          </cell>
          <cell r="J31" t="str">
            <v>CPC1</v>
          </cell>
          <cell r="K31" t="str">
            <v>5602</v>
          </cell>
          <cell r="L31" t="str">
            <v>POLYFLOOR</v>
          </cell>
          <cell r="M31" t="str">
            <v>560202</v>
          </cell>
          <cell r="N31" t="str">
            <v>POLYFLOOR EPOXY</v>
          </cell>
        </row>
        <row r="32">
          <cell r="C32" t="str">
            <v>100001021</v>
          </cell>
          <cell r="D32" t="str">
            <v>PFT-253 3K LIGHT GREY TVT VN-8K</v>
          </cell>
          <cell r="E32" t="str">
            <v>ZFGD</v>
          </cell>
          <cell r="F32" t="str">
            <v>PC</v>
          </cell>
          <cell r="G32" t="str">
            <v>5</v>
          </cell>
          <cell r="H32" t="str">
            <v>PROJECT</v>
          </cell>
          <cell r="I32" t="str">
            <v>56</v>
          </cell>
          <cell r="J32" t="str">
            <v>CPC1</v>
          </cell>
          <cell r="K32" t="str">
            <v>5602</v>
          </cell>
          <cell r="L32" t="str">
            <v>POLYFLOOR</v>
          </cell>
          <cell r="M32" t="str">
            <v>560202</v>
          </cell>
          <cell r="N32" t="str">
            <v>POLYFLOOR EPOXY</v>
          </cell>
        </row>
        <row r="33">
          <cell r="C33" t="str">
            <v>100001022</v>
          </cell>
          <cell r="D33" t="str">
            <v>PFT-253 3K MAGNOLIA VN-20KSP</v>
          </cell>
          <cell r="E33" t="str">
            <v>ZFGD</v>
          </cell>
          <cell r="F33" t="str">
            <v>SET</v>
          </cell>
          <cell r="G33" t="str">
            <v>5</v>
          </cell>
          <cell r="H33" t="str">
            <v>PROJECT</v>
          </cell>
          <cell r="I33" t="str">
            <v>56</v>
          </cell>
          <cell r="J33" t="str">
            <v>CPC1</v>
          </cell>
          <cell r="K33" t="str">
            <v>5602</v>
          </cell>
          <cell r="L33" t="str">
            <v>POLYFLOOR</v>
          </cell>
          <cell r="M33" t="str">
            <v>560202</v>
          </cell>
          <cell r="N33" t="str">
            <v>POLYFLOOR EPOXY</v>
          </cell>
        </row>
        <row r="34">
          <cell r="C34" t="str">
            <v>100001023</v>
          </cell>
          <cell r="D34" t="str">
            <v>PFT-253 3K MAGNOLIA VN-8K</v>
          </cell>
          <cell r="E34" t="str">
            <v>ZFGD</v>
          </cell>
          <cell r="F34" t="str">
            <v>PC</v>
          </cell>
          <cell r="G34" t="str">
            <v>5</v>
          </cell>
          <cell r="H34" t="str">
            <v>PROJECT</v>
          </cell>
          <cell r="I34" t="str">
            <v>56</v>
          </cell>
          <cell r="J34" t="str">
            <v>CPC1</v>
          </cell>
          <cell r="K34" t="str">
            <v>5602</v>
          </cell>
          <cell r="L34" t="str">
            <v>POLYFLOOR</v>
          </cell>
          <cell r="M34" t="str">
            <v>560202</v>
          </cell>
          <cell r="N34" t="str">
            <v>POLYFLOOR EPOXY</v>
          </cell>
        </row>
        <row r="35">
          <cell r="C35" t="str">
            <v>100001024</v>
          </cell>
          <cell r="D35" t="str">
            <v>PFT-253 3K CLIPPER BLUE VN-20KSP</v>
          </cell>
          <cell r="E35" t="str">
            <v>ZFGD</v>
          </cell>
          <cell r="F35" t="str">
            <v>SET</v>
          </cell>
          <cell r="G35" t="str">
            <v>5</v>
          </cell>
          <cell r="H35" t="str">
            <v>PROJECT</v>
          </cell>
          <cell r="I35" t="str">
            <v>56</v>
          </cell>
          <cell r="J35" t="str">
            <v>CPC1</v>
          </cell>
          <cell r="K35" t="str">
            <v>5602</v>
          </cell>
          <cell r="L35" t="str">
            <v>POLYFLOOR</v>
          </cell>
          <cell r="M35" t="str">
            <v>560202</v>
          </cell>
          <cell r="N35" t="str">
            <v>POLYFLOOR EPOXY</v>
          </cell>
        </row>
        <row r="36">
          <cell r="C36" t="str">
            <v>100001025</v>
          </cell>
          <cell r="D36" t="str">
            <v>PFT-253 3K CLIPPER BLUE VN-8K</v>
          </cell>
          <cell r="E36" t="str">
            <v>ZFGD</v>
          </cell>
          <cell r="F36" t="str">
            <v>PC</v>
          </cell>
          <cell r="G36" t="str">
            <v>5</v>
          </cell>
          <cell r="H36" t="str">
            <v>PROJECT</v>
          </cell>
          <cell r="I36" t="str">
            <v>56</v>
          </cell>
          <cell r="J36" t="str">
            <v>CPC1</v>
          </cell>
          <cell r="K36" t="str">
            <v>5602</v>
          </cell>
          <cell r="L36" t="str">
            <v>POLYFLOOR</v>
          </cell>
          <cell r="M36" t="str">
            <v>560202</v>
          </cell>
          <cell r="N36" t="str">
            <v>POLYFLOOR EPOXY</v>
          </cell>
        </row>
        <row r="37">
          <cell r="C37" t="str">
            <v>100001026</v>
          </cell>
          <cell r="D37" t="str">
            <v>PFT-253 3K SGT LIGHT GREY VN-20KSP</v>
          </cell>
          <cell r="E37" t="str">
            <v>ZFGD</v>
          </cell>
          <cell r="F37" t="str">
            <v>SET</v>
          </cell>
          <cell r="G37" t="str">
            <v>5</v>
          </cell>
          <cell r="H37" t="str">
            <v>PROJECT</v>
          </cell>
          <cell r="I37" t="str">
            <v>56</v>
          </cell>
          <cell r="J37" t="str">
            <v>CPC1</v>
          </cell>
          <cell r="K37" t="str">
            <v>5602</v>
          </cell>
          <cell r="L37" t="str">
            <v>POLYFLOOR</v>
          </cell>
          <cell r="M37" t="str">
            <v>560202</v>
          </cell>
          <cell r="N37" t="str">
            <v>POLYFLOOR EPOXY</v>
          </cell>
        </row>
        <row r="38">
          <cell r="C38" t="str">
            <v>100001027</v>
          </cell>
          <cell r="D38" t="str">
            <v>PFT-253 3K SGT LIGHT GREY VN-8K</v>
          </cell>
          <cell r="E38" t="str">
            <v>ZFGD</v>
          </cell>
          <cell r="F38" t="str">
            <v>PC</v>
          </cell>
          <cell r="G38" t="str">
            <v>5</v>
          </cell>
          <cell r="H38" t="str">
            <v>PROJECT</v>
          </cell>
          <cell r="I38" t="str">
            <v>56</v>
          </cell>
          <cell r="J38" t="str">
            <v>CPC1</v>
          </cell>
          <cell r="K38" t="str">
            <v>5602</v>
          </cell>
          <cell r="L38" t="str">
            <v>POLYFLOOR</v>
          </cell>
          <cell r="M38" t="str">
            <v>560202</v>
          </cell>
          <cell r="N38" t="str">
            <v>POLYFLOOR EPOXY</v>
          </cell>
        </row>
        <row r="39">
          <cell r="C39" t="str">
            <v>100001028</v>
          </cell>
          <cell r="D39" t="str">
            <v>PFT-253 DARK GREEN VN-20KSP</v>
          </cell>
          <cell r="E39" t="str">
            <v>ZFGD</v>
          </cell>
          <cell r="F39" t="str">
            <v>SET</v>
          </cell>
          <cell r="G39" t="str">
            <v>5</v>
          </cell>
          <cell r="H39" t="str">
            <v>PROJECT</v>
          </cell>
          <cell r="I39" t="str">
            <v>56</v>
          </cell>
          <cell r="J39" t="str">
            <v>CPC1</v>
          </cell>
          <cell r="K39" t="str">
            <v>5602</v>
          </cell>
          <cell r="L39" t="str">
            <v>POLYFLOOR</v>
          </cell>
          <cell r="M39" t="str">
            <v>560202</v>
          </cell>
          <cell r="N39" t="str">
            <v>POLYFLOOR EPOXY</v>
          </cell>
        </row>
        <row r="40">
          <cell r="C40" t="str">
            <v>100001029</v>
          </cell>
          <cell r="D40" t="str">
            <v>PFT-253 DARK GREEN VN-16KP</v>
          </cell>
          <cell r="E40" t="str">
            <v>ZFGD</v>
          </cell>
          <cell r="F40" t="str">
            <v>PC</v>
          </cell>
          <cell r="G40" t="str">
            <v>5</v>
          </cell>
          <cell r="H40" t="str">
            <v>PROJECT</v>
          </cell>
          <cell r="I40" t="str">
            <v>56</v>
          </cell>
          <cell r="J40" t="str">
            <v>CPC1</v>
          </cell>
          <cell r="K40" t="str">
            <v>5602</v>
          </cell>
          <cell r="L40" t="str">
            <v>POLYFLOOR</v>
          </cell>
          <cell r="M40" t="str">
            <v>560202</v>
          </cell>
          <cell r="N40" t="str">
            <v>POLYFLOOR EPOXY</v>
          </cell>
        </row>
        <row r="41">
          <cell r="C41" t="str">
            <v>100001030</v>
          </cell>
          <cell r="D41" t="str">
            <v>PFT-253 DARK GREEN VN-5KS</v>
          </cell>
          <cell r="E41" t="str">
            <v>ZFGD</v>
          </cell>
          <cell r="F41" t="str">
            <v>SET</v>
          </cell>
          <cell r="G41" t="str">
            <v>5</v>
          </cell>
          <cell r="H41" t="str">
            <v>PROJECT</v>
          </cell>
          <cell r="I41" t="str">
            <v>56</v>
          </cell>
          <cell r="J41" t="str">
            <v>CPC1</v>
          </cell>
          <cell r="K41" t="str">
            <v>5602</v>
          </cell>
          <cell r="L41" t="str">
            <v>POLYFLOOR</v>
          </cell>
          <cell r="M41" t="str">
            <v>560202</v>
          </cell>
          <cell r="N41" t="str">
            <v>POLYFLOOR EPOXY</v>
          </cell>
        </row>
        <row r="42">
          <cell r="C42" t="str">
            <v>100001031</v>
          </cell>
          <cell r="D42" t="str">
            <v>PFT-253 DARK GREEN VN-4K</v>
          </cell>
          <cell r="E42" t="str">
            <v>ZFGD</v>
          </cell>
          <cell r="F42" t="str">
            <v>PC</v>
          </cell>
          <cell r="G42" t="str">
            <v>5</v>
          </cell>
          <cell r="H42" t="str">
            <v>PROJECT</v>
          </cell>
          <cell r="I42" t="str">
            <v>56</v>
          </cell>
          <cell r="J42" t="str">
            <v>CPC1</v>
          </cell>
          <cell r="K42" t="str">
            <v>5602</v>
          </cell>
          <cell r="L42" t="str">
            <v>POLYFLOOR</v>
          </cell>
          <cell r="M42" t="str">
            <v>560202</v>
          </cell>
          <cell r="N42" t="str">
            <v>POLYFLOOR EPOXY</v>
          </cell>
        </row>
        <row r="43">
          <cell r="C43" t="str">
            <v>100001032</v>
          </cell>
          <cell r="D43" t="str">
            <v>PFT-253 GERANIUM VN-20KSP</v>
          </cell>
          <cell r="E43" t="str">
            <v>ZFGD</v>
          </cell>
          <cell r="F43" t="str">
            <v>SET</v>
          </cell>
          <cell r="G43" t="str">
            <v>5</v>
          </cell>
          <cell r="H43" t="str">
            <v>PROJECT</v>
          </cell>
          <cell r="I43" t="str">
            <v>56</v>
          </cell>
          <cell r="J43" t="str">
            <v>CPC1</v>
          </cell>
          <cell r="K43" t="str">
            <v>5602</v>
          </cell>
          <cell r="L43" t="str">
            <v>POLYFLOOR</v>
          </cell>
          <cell r="M43" t="str">
            <v>560202</v>
          </cell>
          <cell r="N43" t="str">
            <v>POLYFLOOR EPOXY</v>
          </cell>
        </row>
        <row r="44">
          <cell r="C44" t="str">
            <v>100001033</v>
          </cell>
          <cell r="D44" t="str">
            <v>PFT-253 GERANIUM VN-16KP</v>
          </cell>
          <cell r="E44" t="str">
            <v>ZFGD</v>
          </cell>
          <cell r="F44" t="str">
            <v>PC</v>
          </cell>
          <cell r="G44" t="str">
            <v>5</v>
          </cell>
          <cell r="H44" t="str">
            <v>PROJECT</v>
          </cell>
          <cell r="I44" t="str">
            <v>56</v>
          </cell>
          <cell r="J44" t="str">
            <v>CPC1</v>
          </cell>
          <cell r="K44" t="str">
            <v>5602</v>
          </cell>
          <cell r="L44" t="str">
            <v>POLYFLOOR</v>
          </cell>
          <cell r="M44" t="str">
            <v>560202</v>
          </cell>
          <cell r="N44" t="str">
            <v>POLYFLOOR EPOXY</v>
          </cell>
        </row>
        <row r="45">
          <cell r="C45" t="str">
            <v>100001034</v>
          </cell>
          <cell r="D45" t="str">
            <v>PFT-253 GERANIUM VN-5KS</v>
          </cell>
          <cell r="E45" t="str">
            <v>ZFGD</v>
          </cell>
          <cell r="F45" t="str">
            <v>SET</v>
          </cell>
          <cell r="G45" t="str">
            <v>5</v>
          </cell>
          <cell r="H45" t="str">
            <v>PROJECT</v>
          </cell>
          <cell r="I45" t="str">
            <v>56</v>
          </cell>
          <cell r="J45" t="str">
            <v>CPC1</v>
          </cell>
          <cell r="K45" t="str">
            <v>5602</v>
          </cell>
          <cell r="L45" t="str">
            <v>POLYFLOOR</v>
          </cell>
          <cell r="M45" t="str">
            <v>560202</v>
          </cell>
          <cell r="N45" t="str">
            <v>POLYFLOOR EPOXY</v>
          </cell>
        </row>
        <row r="46">
          <cell r="C46" t="str">
            <v>100001035</v>
          </cell>
          <cell r="D46" t="str">
            <v>PFT-253 GERANIUM VN-4K</v>
          </cell>
          <cell r="E46" t="str">
            <v>ZFGD</v>
          </cell>
          <cell r="F46" t="str">
            <v>PC</v>
          </cell>
          <cell r="G46" t="str">
            <v>5</v>
          </cell>
          <cell r="H46" t="str">
            <v>PROJECT</v>
          </cell>
          <cell r="I46" t="str">
            <v>56</v>
          </cell>
          <cell r="J46" t="str">
            <v>CPC1</v>
          </cell>
          <cell r="K46" t="str">
            <v>5602</v>
          </cell>
          <cell r="L46" t="str">
            <v>POLYFLOOR</v>
          </cell>
          <cell r="M46" t="str">
            <v>560202</v>
          </cell>
          <cell r="N46" t="str">
            <v>POLYFLOOR EPOXY</v>
          </cell>
        </row>
        <row r="47">
          <cell r="C47" t="str">
            <v>100001036</v>
          </cell>
          <cell r="D47" t="str">
            <v>PFT-253 IVORY VN-20KSP</v>
          </cell>
          <cell r="E47" t="str">
            <v>ZFGD</v>
          </cell>
          <cell r="F47" t="str">
            <v>SET</v>
          </cell>
          <cell r="G47" t="str">
            <v>5</v>
          </cell>
          <cell r="H47" t="str">
            <v>PROJECT</v>
          </cell>
          <cell r="I47" t="str">
            <v>56</v>
          </cell>
          <cell r="J47" t="str">
            <v>CPC1</v>
          </cell>
          <cell r="K47" t="str">
            <v>5602</v>
          </cell>
          <cell r="L47" t="str">
            <v>POLYFLOOR</v>
          </cell>
          <cell r="M47" t="str">
            <v>560202</v>
          </cell>
          <cell r="N47" t="str">
            <v>POLYFLOOR EPOXY</v>
          </cell>
        </row>
        <row r="48">
          <cell r="C48" t="str">
            <v>100001037</v>
          </cell>
          <cell r="D48" t="str">
            <v>PFT-253 IVORY VN-16KP</v>
          </cell>
          <cell r="E48" t="str">
            <v>ZFGD</v>
          </cell>
          <cell r="F48" t="str">
            <v>PC</v>
          </cell>
          <cell r="G48" t="str">
            <v>5</v>
          </cell>
          <cell r="H48" t="str">
            <v>PROJECT</v>
          </cell>
          <cell r="I48" t="str">
            <v>56</v>
          </cell>
          <cell r="J48" t="str">
            <v>CPC1</v>
          </cell>
          <cell r="K48" t="str">
            <v>5602</v>
          </cell>
          <cell r="L48" t="str">
            <v>POLYFLOOR</v>
          </cell>
          <cell r="M48" t="str">
            <v>560202</v>
          </cell>
          <cell r="N48" t="str">
            <v>POLYFLOOR EPOXY</v>
          </cell>
        </row>
        <row r="49">
          <cell r="C49" t="str">
            <v>100001038</v>
          </cell>
          <cell r="D49" t="str">
            <v>PFT-253 IVORY VN-5KS</v>
          </cell>
          <cell r="E49" t="str">
            <v>ZFGD</v>
          </cell>
          <cell r="F49" t="str">
            <v>SET</v>
          </cell>
          <cell r="G49" t="str">
            <v>5</v>
          </cell>
          <cell r="H49" t="str">
            <v>PROJECT</v>
          </cell>
          <cell r="I49" t="str">
            <v>56</v>
          </cell>
          <cell r="J49" t="str">
            <v>CPC1</v>
          </cell>
          <cell r="K49" t="str">
            <v>5602</v>
          </cell>
          <cell r="L49" t="str">
            <v>POLYFLOOR</v>
          </cell>
          <cell r="M49" t="str">
            <v>560202</v>
          </cell>
          <cell r="N49" t="str">
            <v>POLYFLOOR EPOXY</v>
          </cell>
        </row>
        <row r="50">
          <cell r="C50" t="str">
            <v>100001039</v>
          </cell>
          <cell r="D50" t="str">
            <v>PFT-253 IVORY VN-4K</v>
          </cell>
          <cell r="E50" t="str">
            <v>ZFGD</v>
          </cell>
          <cell r="F50" t="str">
            <v>PC</v>
          </cell>
          <cell r="G50" t="str">
            <v>5</v>
          </cell>
          <cell r="H50" t="str">
            <v>PROJECT</v>
          </cell>
          <cell r="I50" t="str">
            <v>56</v>
          </cell>
          <cell r="J50" t="str">
            <v>CPC1</v>
          </cell>
          <cell r="K50" t="str">
            <v>5602</v>
          </cell>
          <cell r="L50" t="str">
            <v>POLYFLOOR</v>
          </cell>
          <cell r="M50" t="str">
            <v>560202</v>
          </cell>
          <cell r="N50" t="str">
            <v>POLYFLOOR EPOXY</v>
          </cell>
        </row>
        <row r="51">
          <cell r="C51" t="str">
            <v>100001040</v>
          </cell>
          <cell r="D51" t="str">
            <v>PFT-253 GREY VN-20KSP</v>
          </cell>
          <cell r="E51" t="str">
            <v>ZFGD</v>
          </cell>
          <cell r="F51" t="str">
            <v>SET</v>
          </cell>
          <cell r="G51" t="str">
            <v>5</v>
          </cell>
          <cell r="H51" t="str">
            <v>PROJECT</v>
          </cell>
          <cell r="I51" t="str">
            <v>56</v>
          </cell>
          <cell r="J51" t="str">
            <v>CPC1</v>
          </cell>
          <cell r="K51" t="str">
            <v>5602</v>
          </cell>
          <cell r="L51" t="str">
            <v>POLYFLOOR</v>
          </cell>
          <cell r="M51" t="str">
            <v>560202</v>
          </cell>
          <cell r="N51" t="str">
            <v>POLYFLOOR EPOXY</v>
          </cell>
        </row>
        <row r="52">
          <cell r="C52" t="str">
            <v>100001041</v>
          </cell>
          <cell r="D52" t="str">
            <v>PFT-253 GREY VN-16KP</v>
          </cell>
          <cell r="E52" t="str">
            <v>ZFGD</v>
          </cell>
          <cell r="F52" t="str">
            <v>PC</v>
          </cell>
          <cell r="G52" t="str">
            <v>5</v>
          </cell>
          <cell r="H52" t="str">
            <v>PROJECT</v>
          </cell>
          <cell r="I52" t="str">
            <v>56</v>
          </cell>
          <cell r="J52" t="str">
            <v>CPC1</v>
          </cell>
          <cell r="K52" t="str">
            <v>5602</v>
          </cell>
          <cell r="L52" t="str">
            <v>POLYFLOOR</v>
          </cell>
          <cell r="M52" t="str">
            <v>560202</v>
          </cell>
          <cell r="N52" t="str">
            <v>POLYFLOOR EPOXY</v>
          </cell>
        </row>
        <row r="53">
          <cell r="C53" t="str">
            <v>100001042</v>
          </cell>
          <cell r="D53" t="str">
            <v>PFT-253 GREY VN-5KS</v>
          </cell>
          <cell r="E53" t="str">
            <v>ZFGD</v>
          </cell>
          <cell r="F53" t="str">
            <v>SET</v>
          </cell>
          <cell r="G53" t="str">
            <v>5</v>
          </cell>
          <cell r="H53" t="str">
            <v>PROJECT</v>
          </cell>
          <cell r="I53" t="str">
            <v>56</v>
          </cell>
          <cell r="J53" t="str">
            <v>CPC1</v>
          </cell>
          <cell r="K53" t="str">
            <v>5602</v>
          </cell>
          <cell r="L53" t="str">
            <v>POLYFLOOR</v>
          </cell>
          <cell r="M53" t="str">
            <v>560202</v>
          </cell>
          <cell r="N53" t="str">
            <v>POLYFLOOR EPOXY</v>
          </cell>
        </row>
        <row r="54">
          <cell r="C54" t="str">
            <v>100001043</v>
          </cell>
          <cell r="D54" t="str">
            <v>PFT-253 GREY VN-4K</v>
          </cell>
          <cell r="E54" t="str">
            <v>ZFGD</v>
          </cell>
          <cell r="F54" t="str">
            <v>PC</v>
          </cell>
          <cell r="G54" t="str">
            <v>5</v>
          </cell>
          <cell r="H54" t="str">
            <v>PROJECT</v>
          </cell>
          <cell r="I54" t="str">
            <v>56</v>
          </cell>
          <cell r="J54" t="str">
            <v>CPC1</v>
          </cell>
          <cell r="K54" t="str">
            <v>5602</v>
          </cell>
          <cell r="L54" t="str">
            <v>POLYFLOOR</v>
          </cell>
          <cell r="M54" t="str">
            <v>560202</v>
          </cell>
          <cell r="N54" t="str">
            <v>POLYFLOOR EPOXY</v>
          </cell>
        </row>
        <row r="55">
          <cell r="C55" t="str">
            <v>100001044</v>
          </cell>
          <cell r="D55" t="str">
            <v>PFT-253 LEAF GREEN VN-20KSP</v>
          </cell>
          <cell r="E55" t="str">
            <v>ZFGD</v>
          </cell>
          <cell r="F55" t="str">
            <v>SET</v>
          </cell>
          <cell r="G55" t="str">
            <v>5</v>
          </cell>
          <cell r="H55" t="str">
            <v>PROJECT</v>
          </cell>
          <cell r="I55" t="str">
            <v>56</v>
          </cell>
          <cell r="J55" t="str">
            <v>CPC1</v>
          </cell>
          <cell r="K55" t="str">
            <v>5602</v>
          </cell>
          <cell r="L55" t="str">
            <v>POLYFLOOR</v>
          </cell>
          <cell r="M55" t="str">
            <v>560202</v>
          </cell>
          <cell r="N55" t="str">
            <v>POLYFLOOR EPOXY</v>
          </cell>
        </row>
        <row r="56">
          <cell r="C56" t="str">
            <v>100001045</v>
          </cell>
          <cell r="D56" t="str">
            <v>PFT-253 LEAF GREEN VN-16KP</v>
          </cell>
          <cell r="E56" t="str">
            <v>ZFGD</v>
          </cell>
          <cell r="F56" t="str">
            <v>PC</v>
          </cell>
          <cell r="G56" t="str">
            <v>5</v>
          </cell>
          <cell r="H56" t="str">
            <v>PROJECT</v>
          </cell>
          <cell r="I56" t="str">
            <v>56</v>
          </cell>
          <cell r="J56" t="str">
            <v>CPC1</v>
          </cell>
          <cell r="K56" t="str">
            <v>5602</v>
          </cell>
          <cell r="L56" t="str">
            <v>POLYFLOOR</v>
          </cell>
          <cell r="M56" t="str">
            <v>560202</v>
          </cell>
          <cell r="N56" t="str">
            <v>POLYFLOOR EPOXY</v>
          </cell>
        </row>
        <row r="57">
          <cell r="C57" t="str">
            <v>100001046</v>
          </cell>
          <cell r="D57" t="str">
            <v>PFT-253 LEAF GREEN VN-5KS</v>
          </cell>
          <cell r="E57" t="str">
            <v>ZFGD</v>
          </cell>
          <cell r="F57" t="str">
            <v>SET</v>
          </cell>
          <cell r="G57" t="str">
            <v>5</v>
          </cell>
          <cell r="H57" t="str">
            <v>PROJECT</v>
          </cell>
          <cell r="I57" t="str">
            <v>56</v>
          </cell>
          <cell r="J57" t="str">
            <v>CPC1</v>
          </cell>
          <cell r="K57" t="str">
            <v>5602</v>
          </cell>
          <cell r="L57" t="str">
            <v>POLYFLOOR</v>
          </cell>
          <cell r="M57" t="str">
            <v>560202</v>
          </cell>
          <cell r="N57" t="str">
            <v>POLYFLOOR EPOXY</v>
          </cell>
        </row>
        <row r="58">
          <cell r="C58" t="str">
            <v>100001047</v>
          </cell>
          <cell r="D58" t="str">
            <v>PFT-253 LEAF GREEN VN-4K</v>
          </cell>
          <cell r="E58" t="str">
            <v>ZFGD</v>
          </cell>
          <cell r="F58" t="str">
            <v>PC</v>
          </cell>
          <cell r="G58" t="str">
            <v>5</v>
          </cell>
          <cell r="H58" t="str">
            <v>PROJECT</v>
          </cell>
          <cell r="I58" t="str">
            <v>56</v>
          </cell>
          <cell r="J58" t="str">
            <v>CPC1</v>
          </cell>
          <cell r="K58" t="str">
            <v>5602</v>
          </cell>
          <cell r="L58" t="str">
            <v>POLYFLOOR</v>
          </cell>
          <cell r="M58" t="str">
            <v>560202</v>
          </cell>
          <cell r="N58" t="str">
            <v>POLYFLOOR EPOXY</v>
          </cell>
        </row>
        <row r="59">
          <cell r="C59" t="str">
            <v>100001048</v>
          </cell>
          <cell r="D59" t="str">
            <v>PFT-253 LIGHT ALABASTER VN-20KSP</v>
          </cell>
          <cell r="E59" t="str">
            <v>ZFGD</v>
          </cell>
          <cell r="F59" t="str">
            <v>SET</v>
          </cell>
          <cell r="G59" t="str">
            <v>5</v>
          </cell>
          <cell r="H59" t="str">
            <v>PROJECT</v>
          </cell>
          <cell r="I59" t="str">
            <v>56</v>
          </cell>
          <cell r="J59" t="str">
            <v>CPC1</v>
          </cell>
          <cell r="K59" t="str">
            <v>5602</v>
          </cell>
          <cell r="L59" t="str">
            <v>POLYFLOOR</v>
          </cell>
          <cell r="M59" t="str">
            <v>560202</v>
          </cell>
          <cell r="N59" t="str">
            <v>POLYFLOOR EPOXY</v>
          </cell>
        </row>
        <row r="60">
          <cell r="C60" t="str">
            <v>100001049</v>
          </cell>
          <cell r="D60" t="str">
            <v>PFT-253 LIGHT ALABASTER VN-16KP</v>
          </cell>
          <cell r="E60" t="str">
            <v>ZFGD</v>
          </cell>
          <cell r="F60" t="str">
            <v>PC</v>
          </cell>
          <cell r="G60" t="str">
            <v>5</v>
          </cell>
          <cell r="H60" t="str">
            <v>PROJECT</v>
          </cell>
          <cell r="I60" t="str">
            <v>56</v>
          </cell>
          <cell r="J60" t="str">
            <v>CPC1</v>
          </cell>
          <cell r="K60" t="str">
            <v>5602</v>
          </cell>
          <cell r="L60" t="str">
            <v>POLYFLOOR</v>
          </cell>
          <cell r="M60" t="str">
            <v>560202</v>
          </cell>
          <cell r="N60" t="str">
            <v>POLYFLOOR EPOXY</v>
          </cell>
        </row>
        <row r="61">
          <cell r="C61" t="str">
            <v>100001050</v>
          </cell>
          <cell r="D61" t="str">
            <v>PFT-253 LIGHT ALABASTER VN-5KS</v>
          </cell>
          <cell r="E61" t="str">
            <v>ZFGD</v>
          </cell>
          <cell r="F61" t="str">
            <v>SET</v>
          </cell>
          <cell r="G61" t="str">
            <v>5</v>
          </cell>
          <cell r="H61" t="str">
            <v>PROJECT</v>
          </cell>
          <cell r="I61" t="str">
            <v>56</v>
          </cell>
          <cell r="J61" t="str">
            <v>CPC1</v>
          </cell>
          <cell r="K61" t="str">
            <v>5602</v>
          </cell>
          <cell r="L61" t="str">
            <v>POLYFLOOR</v>
          </cell>
          <cell r="M61" t="str">
            <v>560202</v>
          </cell>
          <cell r="N61" t="str">
            <v>POLYFLOOR EPOXY</v>
          </cell>
        </row>
        <row r="62">
          <cell r="C62" t="str">
            <v>100001051</v>
          </cell>
          <cell r="D62" t="str">
            <v>PFT-253 LIGHT ALABASTER VN-4K</v>
          </cell>
          <cell r="E62" t="str">
            <v>ZFGD</v>
          </cell>
          <cell r="F62" t="str">
            <v>PC</v>
          </cell>
          <cell r="G62" t="str">
            <v>5</v>
          </cell>
          <cell r="H62" t="str">
            <v>PROJECT</v>
          </cell>
          <cell r="I62" t="str">
            <v>56</v>
          </cell>
          <cell r="J62" t="str">
            <v>CPC1</v>
          </cell>
          <cell r="K62" t="str">
            <v>5602</v>
          </cell>
          <cell r="L62" t="str">
            <v>POLYFLOOR</v>
          </cell>
          <cell r="M62" t="str">
            <v>560202</v>
          </cell>
          <cell r="N62" t="str">
            <v>POLYFLOOR EPOXY</v>
          </cell>
        </row>
        <row r="63">
          <cell r="C63" t="str">
            <v>100001052</v>
          </cell>
          <cell r="D63" t="str">
            <v>PFT-253 PALE GREEN VN-20KSP</v>
          </cell>
          <cell r="E63" t="str">
            <v>ZFGD</v>
          </cell>
          <cell r="F63" t="str">
            <v>SET</v>
          </cell>
          <cell r="G63" t="str">
            <v>5</v>
          </cell>
          <cell r="H63" t="str">
            <v>PROJECT</v>
          </cell>
          <cell r="I63" t="str">
            <v>56</v>
          </cell>
          <cell r="J63" t="str">
            <v>CPC1</v>
          </cell>
          <cell r="K63" t="str">
            <v>5602</v>
          </cell>
          <cell r="L63" t="str">
            <v>POLYFLOOR</v>
          </cell>
          <cell r="M63" t="str">
            <v>560202</v>
          </cell>
          <cell r="N63" t="str">
            <v>POLYFLOOR EPOXY</v>
          </cell>
        </row>
        <row r="64">
          <cell r="C64" t="str">
            <v>100001053</v>
          </cell>
          <cell r="D64" t="str">
            <v>PFT-253 PALE GREEN VN-16KP</v>
          </cell>
          <cell r="E64" t="str">
            <v>ZFGD</v>
          </cell>
          <cell r="F64" t="str">
            <v>PC</v>
          </cell>
          <cell r="G64" t="str">
            <v>5</v>
          </cell>
          <cell r="H64" t="str">
            <v>PROJECT</v>
          </cell>
          <cell r="I64" t="str">
            <v>56</v>
          </cell>
          <cell r="J64" t="str">
            <v>CPC1</v>
          </cell>
          <cell r="K64" t="str">
            <v>5602</v>
          </cell>
          <cell r="L64" t="str">
            <v>POLYFLOOR</v>
          </cell>
          <cell r="M64" t="str">
            <v>560202</v>
          </cell>
          <cell r="N64" t="str">
            <v>POLYFLOOR EPOXY</v>
          </cell>
        </row>
        <row r="65">
          <cell r="C65" t="str">
            <v>100001054</v>
          </cell>
          <cell r="D65" t="str">
            <v>PFT-253 PALE GREEN VN-5KS</v>
          </cell>
          <cell r="E65" t="str">
            <v>ZFGD</v>
          </cell>
          <cell r="F65" t="str">
            <v>SET</v>
          </cell>
          <cell r="G65" t="str">
            <v>5</v>
          </cell>
          <cell r="H65" t="str">
            <v>PROJECT</v>
          </cell>
          <cell r="I65" t="str">
            <v>56</v>
          </cell>
          <cell r="J65" t="str">
            <v>CPC1</v>
          </cell>
          <cell r="K65" t="str">
            <v>5602</v>
          </cell>
          <cell r="L65" t="str">
            <v>POLYFLOOR</v>
          </cell>
          <cell r="M65" t="str">
            <v>560202</v>
          </cell>
          <cell r="N65" t="str">
            <v>POLYFLOOR EPOXY</v>
          </cell>
        </row>
        <row r="66">
          <cell r="C66" t="str">
            <v>100001055</v>
          </cell>
          <cell r="D66" t="str">
            <v>PFT-253 PALE GREEN VN-4K</v>
          </cell>
          <cell r="E66" t="str">
            <v>ZFGD</v>
          </cell>
          <cell r="F66" t="str">
            <v>PC</v>
          </cell>
          <cell r="G66" t="str">
            <v>5</v>
          </cell>
          <cell r="H66" t="str">
            <v>PROJECT</v>
          </cell>
          <cell r="I66" t="str">
            <v>56</v>
          </cell>
          <cell r="J66" t="str">
            <v>CPC1</v>
          </cell>
          <cell r="K66" t="str">
            <v>5602</v>
          </cell>
          <cell r="L66" t="str">
            <v>POLYFLOOR</v>
          </cell>
          <cell r="M66" t="str">
            <v>560202</v>
          </cell>
          <cell r="N66" t="str">
            <v>POLYFLOOR EPOXY</v>
          </cell>
        </row>
        <row r="67">
          <cell r="C67" t="str">
            <v>100001056</v>
          </cell>
          <cell r="D67" t="str">
            <v>PFT-253 LIGHT GREY VN-20KSP</v>
          </cell>
          <cell r="E67" t="str">
            <v>ZFGD</v>
          </cell>
          <cell r="F67" t="str">
            <v>SET</v>
          </cell>
          <cell r="G67" t="str">
            <v>5</v>
          </cell>
          <cell r="H67" t="str">
            <v>PROJECT</v>
          </cell>
          <cell r="I67" t="str">
            <v>56</v>
          </cell>
          <cell r="J67" t="str">
            <v>CPC1</v>
          </cell>
          <cell r="K67" t="str">
            <v>5602</v>
          </cell>
          <cell r="L67" t="str">
            <v>POLYFLOOR</v>
          </cell>
          <cell r="M67" t="str">
            <v>560202</v>
          </cell>
          <cell r="N67" t="str">
            <v>POLYFLOOR EPOXY</v>
          </cell>
        </row>
        <row r="68">
          <cell r="C68" t="str">
            <v>100001057</v>
          </cell>
          <cell r="D68" t="str">
            <v>PFT-253 LIGHT GREY VN-16KP</v>
          </cell>
          <cell r="E68" t="str">
            <v>ZFGD</v>
          </cell>
          <cell r="F68" t="str">
            <v>PC</v>
          </cell>
          <cell r="G68" t="str">
            <v>5</v>
          </cell>
          <cell r="H68" t="str">
            <v>PROJECT</v>
          </cell>
          <cell r="I68" t="str">
            <v>56</v>
          </cell>
          <cell r="J68" t="str">
            <v>CPC1</v>
          </cell>
          <cell r="K68" t="str">
            <v>5602</v>
          </cell>
          <cell r="L68" t="str">
            <v>POLYFLOOR</v>
          </cell>
          <cell r="M68" t="str">
            <v>560202</v>
          </cell>
          <cell r="N68" t="str">
            <v>POLYFLOOR EPOXY</v>
          </cell>
        </row>
        <row r="69">
          <cell r="C69" t="str">
            <v>100001058</v>
          </cell>
          <cell r="D69" t="str">
            <v>PFT-253 LIGHT GREY VN-5KS</v>
          </cell>
          <cell r="E69" t="str">
            <v>ZFGD</v>
          </cell>
          <cell r="F69" t="str">
            <v>SET</v>
          </cell>
          <cell r="G69" t="str">
            <v>5</v>
          </cell>
          <cell r="H69" t="str">
            <v>PROJECT</v>
          </cell>
          <cell r="I69" t="str">
            <v>56</v>
          </cell>
          <cell r="J69" t="str">
            <v>CPC1</v>
          </cell>
          <cell r="K69" t="str">
            <v>5602</v>
          </cell>
          <cell r="L69" t="str">
            <v>POLYFLOOR</v>
          </cell>
          <cell r="M69" t="str">
            <v>560202</v>
          </cell>
          <cell r="N69" t="str">
            <v>POLYFLOOR EPOXY</v>
          </cell>
        </row>
        <row r="70">
          <cell r="C70" t="str">
            <v>100001059</v>
          </cell>
          <cell r="D70" t="str">
            <v>PFT-253 LIGHT GREY VN-4K</v>
          </cell>
          <cell r="E70" t="str">
            <v>ZFGD</v>
          </cell>
          <cell r="F70" t="str">
            <v>PC</v>
          </cell>
          <cell r="G70" t="str">
            <v>5</v>
          </cell>
          <cell r="H70" t="str">
            <v>PROJECT</v>
          </cell>
          <cell r="I70" t="str">
            <v>56</v>
          </cell>
          <cell r="J70" t="str">
            <v>CPC1</v>
          </cell>
          <cell r="K70" t="str">
            <v>5602</v>
          </cell>
          <cell r="L70" t="str">
            <v>POLYFLOOR</v>
          </cell>
          <cell r="M70" t="str">
            <v>560202</v>
          </cell>
          <cell r="N70" t="str">
            <v>POLYFLOOR EPOXY</v>
          </cell>
        </row>
        <row r="71">
          <cell r="C71" t="str">
            <v>100001060</v>
          </cell>
          <cell r="D71" t="str">
            <v>PFT-253 LIGHT BLUE VN-20KSP</v>
          </cell>
          <cell r="E71" t="str">
            <v>ZFGD</v>
          </cell>
          <cell r="F71" t="str">
            <v>SET</v>
          </cell>
          <cell r="G71" t="str">
            <v>5</v>
          </cell>
          <cell r="H71" t="str">
            <v>PROJECT</v>
          </cell>
          <cell r="I71" t="str">
            <v>56</v>
          </cell>
          <cell r="J71" t="str">
            <v>CPC1</v>
          </cell>
          <cell r="K71" t="str">
            <v>5602</v>
          </cell>
          <cell r="L71" t="str">
            <v>POLYFLOOR</v>
          </cell>
          <cell r="M71" t="str">
            <v>560202</v>
          </cell>
          <cell r="N71" t="str">
            <v>POLYFLOOR EPOXY</v>
          </cell>
        </row>
        <row r="72">
          <cell r="C72" t="str">
            <v>100001061</v>
          </cell>
          <cell r="D72" t="str">
            <v>PFT-253 LIGHT BLUE VN-16KP</v>
          </cell>
          <cell r="E72" t="str">
            <v>ZFGD</v>
          </cell>
          <cell r="F72" t="str">
            <v>PC</v>
          </cell>
          <cell r="G72" t="str">
            <v>5</v>
          </cell>
          <cell r="H72" t="str">
            <v>PROJECT</v>
          </cell>
          <cell r="I72" t="str">
            <v>56</v>
          </cell>
          <cell r="J72" t="str">
            <v>CPC1</v>
          </cell>
          <cell r="K72" t="str">
            <v>5602</v>
          </cell>
          <cell r="L72" t="str">
            <v>POLYFLOOR</v>
          </cell>
          <cell r="M72" t="str">
            <v>560202</v>
          </cell>
          <cell r="N72" t="str">
            <v>POLYFLOOR EPOXY</v>
          </cell>
        </row>
        <row r="73">
          <cell r="C73" t="str">
            <v>100001062</v>
          </cell>
          <cell r="D73" t="str">
            <v>PFT-253 LIGHT BLUE VN-5KS</v>
          </cell>
          <cell r="E73" t="str">
            <v>ZFGD</v>
          </cell>
          <cell r="F73" t="str">
            <v>SET</v>
          </cell>
          <cell r="G73" t="str">
            <v>5</v>
          </cell>
          <cell r="H73" t="str">
            <v>PROJECT</v>
          </cell>
          <cell r="I73" t="str">
            <v>56</v>
          </cell>
          <cell r="J73" t="str">
            <v>CPC1</v>
          </cell>
          <cell r="K73" t="str">
            <v>5602</v>
          </cell>
          <cell r="L73" t="str">
            <v>POLYFLOOR</v>
          </cell>
          <cell r="M73" t="str">
            <v>560202</v>
          </cell>
          <cell r="N73" t="str">
            <v>POLYFLOOR EPOXY</v>
          </cell>
        </row>
        <row r="74">
          <cell r="C74" t="str">
            <v>100001063</v>
          </cell>
          <cell r="D74" t="str">
            <v>PFT-253 LIGHT BLUE VN-4K</v>
          </cell>
          <cell r="E74" t="str">
            <v>ZFGD</v>
          </cell>
          <cell r="F74" t="str">
            <v>PC</v>
          </cell>
          <cell r="G74" t="str">
            <v>5</v>
          </cell>
          <cell r="H74" t="str">
            <v>PROJECT</v>
          </cell>
          <cell r="I74" t="str">
            <v>56</v>
          </cell>
          <cell r="J74" t="str">
            <v>CPC1</v>
          </cell>
          <cell r="K74" t="str">
            <v>5602</v>
          </cell>
          <cell r="L74" t="str">
            <v>POLYFLOOR</v>
          </cell>
          <cell r="M74" t="str">
            <v>560202</v>
          </cell>
          <cell r="N74" t="str">
            <v>POLYFLOOR EPOXY</v>
          </cell>
        </row>
        <row r="75">
          <cell r="C75" t="str">
            <v>100001064</v>
          </cell>
          <cell r="D75" t="str">
            <v>PFT-253 WHITE VN-20KSP</v>
          </cell>
          <cell r="E75" t="str">
            <v>ZFGD</v>
          </cell>
          <cell r="F75" t="str">
            <v>SET</v>
          </cell>
          <cell r="G75" t="str">
            <v>5</v>
          </cell>
          <cell r="H75" t="str">
            <v>PROJECT</v>
          </cell>
          <cell r="I75" t="str">
            <v>56</v>
          </cell>
          <cell r="J75" t="str">
            <v>CPC1</v>
          </cell>
          <cell r="K75" t="str">
            <v>5602</v>
          </cell>
          <cell r="L75" t="str">
            <v>POLYFLOOR</v>
          </cell>
          <cell r="M75" t="str">
            <v>560202</v>
          </cell>
          <cell r="N75" t="str">
            <v>POLYFLOOR EPOXY</v>
          </cell>
        </row>
        <row r="76">
          <cell r="C76" t="str">
            <v>100001065</v>
          </cell>
          <cell r="D76" t="str">
            <v>PFT-253 WHITE VN-16KP</v>
          </cell>
          <cell r="E76" t="str">
            <v>ZFGD</v>
          </cell>
          <cell r="F76" t="str">
            <v>PC</v>
          </cell>
          <cell r="G76" t="str">
            <v>5</v>
          </cell>
          <cell r="H76" t="str">
            <v>PROJECT</v>
          </cell>
          <cell r="I76" t="str">
            <v>56</v>
          </cell>
          <cell r="J76" t="str">
            <v>CPC1</v>
          </cell>
          <cell r="K76" t="str">
            <v>5602</v>
          </cell>
          <cell r="L76" t="str">
            <v>POLYFLOOR</v>
          </cell>
          <cell r="M76" t="str">
            <v>560202</v>
          </cell>
          <cell r="N76" t="str">
            <v>POLYFLOOR EPOXY</v>
          </cell>
        </row>
        <row r="77">
          <cell r="C77" t="str">
            <v>100001066</v>
          </cell>
          <cell r="D77" t="str">
            <v>PFT-253 WHITE VN-5KS</v>
          </cell>
          <cell r="E77" t="str">
            <v>ZFGD</v>
          </cell>
          <cell r="F77" t="str">
            <v>SET</v>
          </cell>
          <cell r="G77" t="str">
            <v>5</v>
          </cell>
          <cell r="H77" t="str">
            <v>PROJECT</v>
          </cell>
          <cell r="I77" t="str">
            <v>56</v>
          </cell>
          <cell r="J77" t="str">
            <v>CPC1</v>
          </cell>
          <cell r="K77" t="str">
            <v>5602</v>
          </cell>
          <cell r="L77" t="str">
            <v>POLYFLOOR</v>
          </cell>
          <cell r="M77" t="str">
            <v>560202</v>
          </cell>
          <cell r="N77" t="str">
            <v>POLYFLOOR EPOXY</v>
          </cell>
        </row>
        <row r="78">
          <cell r="C78" t="str">
            <v>100001067</v>
          </cell>
          <cell r="D78" t="str">
            <v>PFT-253 WHITE VN-4K</v>
          </cell>
          <cell r="E78" t="str">
            <v>ZFGD</v>
          </cell>
          <cell r="F78" t="str">
            <v>PC</v>
          </cell>
          <cell r="G78" t="str">
            <v>5</v>
          </cell>
          <cell r="H78" t="str">
            <v>PROJECT</v>
          </cell>
          <cell r="I78" t="str">
            <v>56</v>
          </cell>
          <cell r="J78" t="str">
            <v>CPC1</v>
          </cell>
          <cell r="K78" t="str">
            <v>5602</v>
          </cell>
          <cell r="L78" t="str">
            <v>POLYFLOOR</v>
          </cell>
          <cell r="M78" t="str">
            <v>560202</v>
          </cell>
          <cell r="N78" t="str">
            <v>POLYFLOOR EPOXY</v>
          </cell>
        </row>
        <row r="79">
          <cell r="C79" t="str">
            <v>100001068</v>
          </cell>
          <cell r="D79" t="str">
            <v>PFT-253 AVOCADO VN-20KSP</v>
          </cell>
          <cell r="E79" t="str">
            <v>ZFGD</v>
          </cell>
          <cell r="F79" t="str">
            <v>SET</v>
          </cell>
          <cell r="G79" t="str">
            <v>5</v>
          </cell>
          <cell r="H79" t="str">
            <v>PROJECT</v>
          </cell>
          <cell r="I79" t="str">
            <v>56</v>
          </cell>
          <cell r="J79" t="str">
            <v>CPC1</v>
          </cell>
          <cell r="K79" t="str">
            <v>5602</v>
          </cell>
          <cell r="L79" t="str">
            <v>POLYFLOOR</v>
          </cell>
          <cell r="M79" t="str">
            <v>560202</v>
          </cell>
          <cell r="N79" t="str">
            <v>POLYFLOOR EPOXY</v>
          </cell>
        </row>
        <row r="80">
          <cell r="C80" t="str">
            <v>100001069</v>
          </cell>
          <cell r="D80" t="str">
            <v>PFT-253 AVOCADO VN-16KP</v>
          </cell>
          <cell r="E80" t="str">
            <v>ZFGD</v>
          </cell>
          <cell r="F80" t="str">
            <v>PC</v>
          </cell>
          <cell r="G80" t="str">
            <v>5</v>
          </cell>
          <cell r="H80" t="str">
            <v>PROJECT</v>
          </cell>
          <cell r="I80" t="str">
            <v>56</v>
          </cell>
          <cell r="J80" t="str">
            <v>CPC1</v>
          </cell>
          <cell r="K80" t="str">
            <v>5602</v>
          </cell>
          <cell r="L80" t="str">
            <v>POLYFLOOR</v>
          </cell>
          <cell r="M80" t="str">
            <v>560202</v>
          </cell>
          <cell r="N80" t="str">
            <v>POLYFLOOR EPOXY</v>
          </cell>
        </row>
        <row r="81">
          <cell r="C81" t="str">
            <v>100001070</v>
          </cell>
          <cell r="D81" t="str">
            <v>PFT-253 AVOCADO VN-5KS</v>
          </cell>
          <cell r="E81" t="str">
            <v>ZFGD</v>
          </cell>
          <cell r="F81" t="str">
            <v>SET</v>
          </cell>
          <cell r="G81" t="str">
            <v>5</v>
          </cell>
          <cell r="H81" t="str">
            <v>PROJECT</v>
          </cell>
          <cell r="I81" t="str">
            <v>56</v>
          </cell>
          <cell r="J81" t="str">
            <v>CPC1</v>
          </cell>
          <cell r="K81" t="str">
            <v>5602</v>
          </cell>
          <cell r="L81" t="str">
            <v>POLYFLOOR</v>
          </cell>
          <cell r="M81" t="str">
            <v>560202</v>
          </cell>
          <cell r="N81" t="str">
            <v>POLYFLOOR EPOXY</v>
          </cell>
        </row>
        <row r="82">
          <cell r="C82" t="str">
            <v>100001071</v>
          </cell>
          <cell r="D82" t="str">
            <v>PFT-253 AVOCADO VN-4K</v>
          </cell>
          <cell r="E82" t="str">
            <v>ZFGD</v>
          </cell>
          <cell r="F82" t="str">
            <v>PC</v>
          </cell>
          <cell r="G82" t="str">
            <v>5</v>
          </cell>
          <cell r="H82" t="str">
            <v>PROJECT</v>
          </cell>
          <cell r="I82" t="str">
            <v>56</v>
          </cell>
          <cell r="J82" t="str">
            <v>CPC1</v>
          </cell>
          <cell r="K82" t="str">
            <v>5602</v>
          </cell>
          <cell r="L82" t="str">
            <v>POLYFLOOR</v>
          </cell>
          <cell r="M82" t="str">
            <v>560202</v>
          </cell>
          <cell r="N82" t="str">
            <v>POLYFLOOR EPOXY</v>
          </cell>
        </row>
        <row r="83">
          <cell r="C83" t="str">
            <v>100001072</v>
          </cell>
          <cell r="D83" t="str">
            <v>PFT-253 RAL 5012 LIGHT BLUE VN-20KSP</v>
          </cell>
          <cell r="E83" t="str">
            <v>ZFGD</v>
          </cell>
          <cell r="F83" t="str">
            <v>SET</v>
          </cell>
          <cell r="G83" t="str">
            <v>5</v>
          </cell>
          <cell r="H83" t="str">
            <v>PROJECT</v>
          </cell>
          <cell r="I83" t="str">
            <v>56</v>
          </cell>
          <cell r="J83" t="str">
            <v>CPC1</v>
          </cell>
          <cell r="K83" t="str">
            <v>5602</v>
          </cell>
          <cell r="L83" t="str">
            <v>POLYFLOOR</v>
          </cell>
          <cell r="M83" t="str">
            <v>560202</v>
          </cell>
          <cell r="N83" t="str">
            <v>POLYFLOOR EPOXY</v>
          </cell>
        </row>
        <row r="84">
          <cell r="C84" t="str">
            <v>100001073</v>
          </cell>
          <cell r="D84" t="str">
            <v>PFT-253 RAL 5012 LIGHT BLUE VN-16KP</v>
          </cell>
          <cell r="E84" t="str">
            <v>ZFGD</v>
          </cell>
          <cell r="F84" t="str">
            <v>PC</v>
          </cell>
          <cell r="G84" t="str">
            <v>5</v>
          </cell>
          <cell r="H84" t="str">
            <v>PROJECT</v>
          </cell>
          <cell r="I84" t="str">
            <v>56</v>
          </cell>
          <cell r="J84" t="str">
            <v>CPC1</v>
          </cell>
          <cell r="K84" t="str">
            <v>5602</v>
          </cell>
          <cell r="L84" t="str">
            <v>POLYFLOOR</v>
          </cell>
          <cell r="M84" t="str">
            <v>560202</v>
          </cell>
          <cell r="N84" t="str">
            <v>POLYFLOOR EPOXY</v>
          </cell>
        </row>
        <row r="85">
          <cell r="C85" t="str">
            <v>100001074</v>
          </cell>
          <cell r="D85" t="str">
            <v>PFT-253 RAL 5012 LIGHT BLUE VN-5KS</v>
          </cell>
          <cell r="E85" t="str">
            <v>ZFGD</v>
          </cell>
          <cell r="F85" t="str">
            <v>SET</v>
          </cell>
          <cell r="G85" t="str">
            <v>5</v>
          </cell>
          <cell r="H85" t="str">
            <v>PROJECT</v>
          </cell>
          <cell r="I85" t="str">
            <v>56</v>
          </cell>
          <cell r="J85" t="str">
            <v>CPC1</v>
          </cell>
          <cell r="K85" t="str">
            <v>5602</v>
          </cell>
          <cell r="L85" t="str">
            <v>POLYFLOOR</v>
          </cell>
          <cell r="M85" t="str">
            <v>560202</v>
          </cell>
          <cell r="N85" t="str">
            <v>POLYFLOOR EPOXY</v>
          </cell>
        </row>
        <row r="86">
          <cell r="C86" t="str">
            <v>100001075</v>
          </cell>
          <cell r="D86" t="str">
            <v>PFT-253 RAL 5012 LIGHT BLUE VN-4K</v>
          </cell>
          <cell r="E86" t="str">
            <v>ZFGD</v>
          </cell>
          <cell r="F86" t="str">
            <v>PC</v>
          </cell>
          <cell r="G86" t="str">
            <v>5</v>
          </cell>
          <cell r="H86" t="str">
            <v>PROJECT</v>
          </cell>
          <cell r="I86" t="str">
            <v>56</v>
          </cell>
          <cell r="J86" t="str">
            <v>CPC1</v>
          </cell>
          <cell r="K86" t="str">
            <v>5602</v>
          </cell>
          <cell r="L86" t="str">
            <v>POLYFLOOR</v>
          </cell>
          <cell r="M86" t="str">
            <v>560202</v>
          </cell>
          <cell r="N86" t="str">
            <v>POLYFLOOR EPOXY</v>
          </cell>
        </row>
        <row r="87">
          <cell r="C87" t="str">
            <v>100001076</v>
          </cell>
          <cell r="D87" t="str">
            <v>PFT-253 GENTIAN BLUE VN-20KSP</v>
          </cell>
          <cell r="E87" t="str">
            <v>ZFGD</v>
          </cell>
          <cell r="F87" t="str">
            <v>SET</v>
          </cell>
          <cell r="G87" t="str">
            <v>5</v>
          </cell>
          <cell r="H87" t="str">
            <v>PROJECT</v>
          </cell>
          <cell r="I87" t="str">
            <v>56</v>
          </cell>
          <cell r="J87" t="str">
            <v>CPC1</v>
          </cell>
          <cell r="K87" t="str">
            <v>5602</v>
          </cell>
          <cell r="L87" t="str">
            <v>POLYFLOOR</v>
          </cell>
          <cell r="M87" t="str">
            <v>560202</v>
          </cell>
          <cell r="N87" t="str">
            <v>POLYFLOOR EPOXY</v>
          </cell>
        </row>
        <row r="88">
          <cell r="C88" t="str">
            <v>100001077</v>
          </cell>
          <cell r="D88" t="str">
            <v>PFT-253 GENTIAN BLUE VN-16KP</v>
          </cell>
          <cell r="E88" t="str">
            <v>ZFGD</v>
          </cell>
          <cell r="F88" t="str">
            <v>PC</v>
          </cell>
          <cell r="G88" t="str">
            <v>5</v>
          </cell>
          <cell r="H88" t="str">
            <v>PROJECT</v>
          </cell>
          <cell r="I88" t="str">
            <v>56</v>
          </cell>
          <cell r="J88" t="str">
            <v>CPC1</v>
          </cell>
          <cell r="K88" t="str">
            <v>5602</v>
          </cell>
          <cell r="L88" t="str">
            <v>POLYFLOOR</v>
          </cell>
          <cell r="M88" t="str">
            <v>560202</v>
          </cell>
          <cell r="N88" t="str">
            <v>POLYFLOOR EPOXY</v>
          </cell>
        </row>
        <row r="89">
          <cell r="C89" t="str">
            <v>100001078</v>
          </cell>
          <cell r="D89" t="str">
            <v>PFT-253 GENTIAN BLUE VN-5KS</v>
          </cell>
          <cell r="E89" t="str">
            <v>ZFGD</v>
          </cell>
          <cell r="F89" t="str">
            <v>SET</v>
          </cell>
          <cell r="G89" t="str">
            <v>5</v>
          </cell>
          <cell r="H89" t="str">
            <v>PROJECT</v>
          </cell>
          <cell r="I89" t="str">
            <v>56</v>
          </cell>
          <cell r="J89" t="str">
            <v>CPC1</v>
          </cell>
          <cell r="K89" t="str">
            <v>5602</v>
          </cell>
          <cell r="L89" t="str">
            <v>POLYFLOOR</v>
          </cell>
          <cell r="M89" t="str">
            <v>560202</v>
          </cell>
          <cell r="N89" t="str">
            <v>POLYFLOOR EPOXY</v>
          </cell>
        </row>
        <row r="90">
          <cell r="C90" t="str">
            <v>100001079</v>
          </cell>
          <cell r="D90" t="str">
            <v>PFT-253 GENTIAN BLUE VN-4K</v>
          </cell>
          <cell r="E90" t="str">
            <v>ZFGD</v>
          </cell>
          <cell r="F90" t="str">
            <v>PC</v>
          </cell>
          <cell r="G90" t="str">
            <v>5</v>
          </cell>
          <cell r="H90" t="str">
            <v>PROJECT</v>
          </cell>
          <cell r="I90" t="str">
            <v>56</v>
          </cell>
          <cell r="J90" t="str">
            <v>CPC1</v>
          </cell>
          <cell r="K90" t="str">
            <v>5602</v>
          </cell>
          <cell r="L90" t="str">
            <v>POLYFLOOR</v>
          </cell>
          <cell r="M90" t="str">
            <v>560202</v>
          </cell>
          <cell r="N90" t="str">
            <v>POLYFLOOR EPOXY</v>
          </cell>
        </row>
        <row r="91">
          <cell r="C91" t="str">
            <v>100001080</v>
          </cell>
          <cell r="D91" t="str">
            <v>PFT-253 GREY AL VN-20KSP</v>
          </cell>
          <cell r="E91" t="str">
            <v>ZFGD</v>
          </cell>
          <cell r="F91" t="str">
            <v>SET</v>
          </cell>
          <cell r="G91" t="str">
            <v>5</v>
          </cell>
          <cell r="H91" t="str">
            <v>PROJECT</v>
          </cell>
          <cell r="I91" t="str">
            <v>56</v>
          </cell>
          <cell r="J91" t="str">
            <v>CPC1</v>
          </cell>
          <cell r="K91" t="str">
            <v>5602</v>
          </cell>
          <cell r="L91" t="str">
            <v>POLYFLOOR</v>
          </cell>
          <cell r="M91" t="str">
            <v>560202</v>
          </cell>
          <cell r="N91" t="str">
            <v>POLYFLOOR EPOXY</v>
          </cell>
        </row>
        <row r="92">
          <cell r="C92" t="str">
            <v>100001081</v>
          </cell>
          <cell r="D92" t="str">
            <v>PFT-253 GREY AL VN-16KP</v>
          </cell>
          <cell r="E92" t="str">
            <v>ZFGD</v>
          </cell>
          <cell r="F92" t="str">
            <v>PC</v>
          </cell>
          <cell r="G92" t="str">
            <v>5</v>
          </cell>
          <cell r="H92" t="str">
            <v>PROJECT</v>
          </cell>
          <cell r="I92" t="str">
            <v>56</v>
          </cell>
          <cell r="J92" t="str">
            <v>CPC1</v>
          </cell>
          <cell r="K92" t="str">
            <v>5602</v>
          </cell>
          <cell r="L92" t="str">
            <v>POLYFLOOR</v>
          </cell>
          <cell r="M92" t="str">
            <v>560202</v>
          </cell>
          <cell r="N92" t="str">
            <v>POLYFLOOR EPOXY</v>
          </cell>
        </row>
        <row r="93">
          <cell r="C93" t="str">
            <v>100001082</v>
          </cell>
          <cell r="D93" t="str">
            <v>PFT-253 GREY AL VN-5KS</v>
          </cell>
          <cell r="E93" t="str">
            <v>ZFGD</v>
          </cell>
          <cell r="F93" t="str">
            <v>SET</v>
          </cell>
          <cell r="G93" t="str">
            <v>5</v>
          </cell>
          <cell r="H93" t="str">
            <v>PROJECT</v>
          </cell>
          <cell r="I93" t="str">
            <v>56</v>
          </cell>
          <cell r="J93" t="str">
            <v>CPC1</v>
          </cell>
          <cell r="K93" t="str">
            <v>5602</v>
          </cell>
          <cell r="L93" t="str">
            <v>POLYFLOOR</v>
          </cell>
          <cell r="M93" t="str">
            <v>560202</v>
          </cell>
          <cell r="N93" t="str">
            <v>POLYFLOOR EPOXY</v>
          </cell>
        </row>
        <row r="94">
          <cell r="C94" t="str">
            <v>100001083</v>
          </cell>
          <cell r="D94" t="str">
            <v>PFT-253 GREY AL VN-4K</v>
          </cell>
          <cell r="E94" t="str">
            <v>ZFGD</v>
          </cell>
          <cell r="F94" t="str">
            <v>PC</v>
          </cell>
          <cell r="G94" t="str">
            <v>5</v>
          </cell>
          <cell r="H94" t="str">
            <v>PROJECT</v>
          </cell>
          <cell r="I94" t="str">
            <v>56</v>
          </cell>
          <cell r="J94" t="str">
            <v>CPC1</v>
          </cell>
          <cell r="K94" t="str">
            <v>5602</v>
          </cell>
          <cell r="L94" t="str">
            <v>POLYFLOOR</v>
          </cell>
          <cell r="M94" t="str">
            <v>560202</v>
          </cell>
          <cell r="N94" t="str">
            <v>POLYFLOOR EPOXY</v>
          </cell>
        </row>
        <row r="95">
          <cell r="C95" t="str">
            <v>100001084</v>
          </cell>
          <cell r="D95" t="str">
            <v>PFT-253 GREY RAL 7035 VN-20KSP</v>
          </cell>
          <cell r="E95" t="str">
            <v>ZFGD</v>
          </cell>
          <cell r="F95" t="str">
            <v>SET</v>
          </cell>
          <cell r="G95" t="str">
            <v>5</v>
          </cell>
          <cell r="H95" t="str">
            <v>PROJECT</v>
          </cell>
          <cell r="I95" t="str">
            <v>56</v>
          </cell>
          <cell r="J95" t="str">
            <v>CPC1</v>
          </cell>
          <cell r="K95" t="str">
            <v>5602</v>
          </cell>
          <cell r="L95" t="str">
            <v>POLYFLOOR</v>
          </cell>
          <cell r="M95" t="str">
            <v>560202</v>
          </cell>
          <cell r="N95" t="str">
            <v>POLYFLOOR EPOXY</v>
          </cell>
        </row>
        <row r="96">
          <cell r="C96" t="str">
            <v>100001085</v>
          </cell>
          <cell r="D96" t="str">
            <v>PFT-253 GREY RAL 7035 VN-16KP</v>
          </cell>
          <cell r="E96" t="str">
            <v>ZFGD</v>
          </cell>
          <cell r="F96" t="str">
            <v>PC</v>
          </cell>
          <cell r="G96" t="str">
            <v>5</v>
          </cell>
          <cell r="H96" t="str">
            <v>PROJECT</v>
          </cell>
          <cell r="I96" t="str">
            <v>56</v>
          </cell>
          <cell r="J96" t="str">
            <v>CPC1</v>
          </cell>
          <cell r="K96" t="str">
            <v>5602</v>
          </cell>
          <cell r="L96" t="str">
            <v>POLYFLOOR</v>
          </cell>
          <cell r="M96" t="str">
            <v>560202</v>
          </cell>
          <cell r="N96" t="str">
            <v>POLYFLOOR EPOXY</v>
          </cell>
        </row>
        <row r="97">
          <cell r="C97" t="str">
            <v>100001086</v>
          </cell>
          <cell r="D97" t="str">
            <v>PFT-253 GREY RAL 7035 VN-5KS</v>
          </cell>
          <cell r="E97" t="str">
            <v>ZFGD</v>
          </cell>
          <cell r="F97" t="str">
            <v>SET</v>
          </cell>
          <cell r="G97" t="str">
            <v>5</v>
          </cell>
          <cell r="H97" t="str">
            <v>PROJECT</v>
          </cell>
          <cell r="I97" t="str">
            <v>56</v>
          </cell>
          <cell r="J97" t="str">
            <v>CPC1</v>
          </cell>
          <cell r="K97" t="str">
            <v>5602</v>
          </cell>
          <cell r="L97" t="str">
            <v>POLYFLOOR</v>
          </cell>
          <cell r="M97" t="str">
            <v>560202</v>
          </cell>
          <cell r="N97" t="str">
            <v>POLYFLOOR EPOXY</v>
          </cell>
        </row>
        <row r="98">
          <cell r="C98" t="str">
            <v>100001087</v>
          </cell>
          <cell r="D98" t="str">
            <v>PFT-253 GREY RAL 7035 VN-4K</v>
          </cell>
          <cell r="E98" t="str">
            <v>ZFGD</v>
          </cell>
          <cell r="F98" t="str">
            <v>PC</v>
          </cell>
          <cell r="G98" t="str">
            <v>5</v>
          </cell>
          <cell r="H98" t="str">
            <v>PROJECT</v>
          </cell>
          <cell r="I98" t="str">
            <v>56</v>
          </cell>
          <cell r="J98" t="str">
            <v>CPC1</v>
          </cell>
          <cell r="K98" t="str">
            <v>5602</v>
          </cell>
          <cell r="L98" t="str">
            <v>POLYFLOOR</v>
          </cell>
          <cell r="M98" t="str">
            <v>560202</v>
          </cell>
          <cell r="N98" t="str">
            <v>POLYFLOOR EPOXY</v>
          </cell>
        </row>
        <row r="99">
          <cell r="C99" t="str">
            <v>100001088</v>
          </cell>
          <cell r="D99" t="str">
            <v>PFT-253 BLUE RAL 5015 VN-20KSP</v>
          </cell>
          <cell r="E99" t="str">
            <v>ZFGD</v>
          </cell>
          <cell r="F99" t="str">
            <v>SET</v>
          </cell>
          <cell r="G99" t="str">
            <v>5</v>
          </cell>
          <cell r="H99" t="str">
            <v>PROJECT</v>
          </cell>
          <cell r="I99" t="str">
            <v>56</v>
          </cell>
          <cell r="J99" t="str">
            <v>CPC1</v>
          </cell>
          <cell r="K99" t="str">
            <v>5602</v>
          </cell>
          <cell r="L99" t="str">
            <v>POLYFLOOR</v>
          </cell>
          <cell r="M99" t="str">
            <v>560202</v>
          </cell>
          <cell r="N99" t="str">
            <v>POLYFLOOR EPOXY</v>
          </cell>
        </row>
        <row r="100">
          <cell r="C100" t="str">
            <v>100001089</v>
          </cell>
          <cell r="D100" t="str">
            <v>PFT-253 BLUE RAL 5015 VN-16KP</v>
          </cell>
          <cell r="E100" t="str">
            <v>ZFGD</v>
          </cell>
          <cell r="F100" t="str">
            <v>PC</v>
          </cell>
          <cell r="G100" t="str">
            <v>5</v>
          </cell>
          <cell r="H100" t="str">
            <v>PROJECT</v>
          </cell>
          <cell r="I100" t="str">
            <v>56</v>
          </cell>
          <cell r="J100" t="str">
            <v>CPC1</v>
          </cell>
          <cell r="K100" t="str">
            <v>5602</v>
          </cell>
          <cell r="L100" t="str">
            <v>POLYFLOOR</v>
          </cell>
          <cell r="M100" t="str">
            <v>560202</v>
          </cell>
          <cell r="N100" t="str">
            <v>POLYFLOOR EPOXY</v>
          </cell>
        </row>
        <row r="101">
          <cell r="C101" t="str">
            <v>100001090</v>
          </cell>
          <cell r="D101" t="str">
            <v>PFT-253 BLUE RAL 5015 VN-5KS</v>
          </cell>
          <cell r="E101" t="str">
            <v>ZFGD</v>
          </cell>
          <cell r="F101" t="str">
            <v>SET</v>
          </cell>
          <cell r="G101" t="str">
            <v>5</v>
          </cell>
          <cell r="H101" t="str">
            <v>PROJECT</v>
          </cell>
          <cell r="I101" t="str">
            <v>56</v>
          </cell>
          <cell r="J101" t="str">
            <v>CPC1</v>
          </cell>
          <cell r="K101" t="str">
            <v>5602</v>
          </cell>
          <cell r="L101" t="str">
            <v>POLYFLOOR</v>
          </cell>
          <cell r="M101" t="str">
            <v>560202</v>
          </cell>
          <cell r="N101" t="str">
            <v>POLYFLOOR EPOXY</v>
          </cell>
        </row>
        <row r="102">
          <cell r="C102" t="str">
            <v>100001091</v>
          </cell>
          <cell r="D102" t="str">
            <v>PFT-253 BLUE RAL 5015 VN-4K</v>
          </cell>
          <cell r="E102" t="str">
            <v>ZFGD</v>
          </cell>
          <cell r="F102" t="str">
            <v>PC</v>
          </cell>
          <cell r="G102" t="str">
            <v>5</v>
          </cell>
          <cell r="H102" t="str">
            <v>PROJECT</v>
          </cell>
          <cell r="I102" t="str">
            <v>56</v>
          </cell>
          <cell r="J102" t="str">
            <v>CPC1</v>
          </cell>
          <cell r="K102" t="str">
            <v>5602</v>
          </cell>
          <cell r="L102" t="str">
            <v>POLYFLOOR</v>
          </cell>
          <cell r="M102" t="str">
            <v>560202</v>
          </cell>
          <cell r="N102" t="str">
            <v>POLYFLOOR EPOXY</v>
          </cell>
        </row>
        <row r="103">
          <cell r="C103" t="str">
            <v>100001092</v>
          </cell>
          <cell r="D103" t="str">
            <v>PFT-253 GREEN RAL 6019 VN-20KSP</v>
          </cell>
          <cell r="E103" t="str">
            <v>ZFGD</v>
          </cell>
          <cell r="F103" t="str">
            <v>SET</v>
          </cell>
          <cell r="G103" t="str">
            <v>5</v>
          </cell>
          <cell r="H103" t="str">
            <v>PROJECT</v>
          </cell>
          <cell r="I103" t="str">
            <v>56</v>
          </cell>
          <cell r="J103" t="str">
            <v>CPC1</v>
          </cell>
          <cell r="K103" t="str">
            <v>5602</v>
          </cell>
          <cell r="L103" t="str">
            <v>POLYFLOOR</v>
          </cell>
          <cell r="M103" t="str">
            <v>560202</v>
          </cell>
          <cell r="N103" t="str">
            <v>POLYFLOOR EPOXY</v>
          </cell>
        </row>
        <row r="104">
          <cell r="C104" t="str">
            <v>100001093</v>
          </cell>
          <cell r="D104" t="str">
            <v>PFT-253 GREEN RAL 6019 VN-16KP</v>
          </cell>
          <cell r="E104" t="str">
            <v>ZFGD</v>
          </cell>
          <cell r="F104" t="str">
            <v>PC</v>
          </cell>
          <cell r="G104" t="str">
            <v>5</v>
          </cell>
          <cell r="H104" t="str">
            <v>PROJECT</v>
          </cell>
          <cell r="I104" t="str">
            <v>56</v>
          </cell>
          <cell r="J104" t="str">
            <v>CPC1</v>
          </cell>
          <cell r="K104" t="str">
            <v>5602</v>
          </cell>
          <cell r="L104" t="str">
            <v>POLYFLOOR</v>
          </cell>
          <cell r="M104" t="str">
            <v>560202</v>
          </cell>
          <cell r="N104" t="str">
            <v>POLYFLOOR EPOXY</v>
          </cell>
        </row>
        <row r="105">
          <cell r="C105" t="str">
            <v>100001094</v>
          </cell>
          <cell r="D105" t="str">
            <v>PFT-253 GREEN RAL 6019 VN-5KS</v>
          </cell>
          <cell r="E105" t="str">
            <v>ZFGD</v>
          </cell>
          <cell r="F105" t="str">
            <v>SET</v>
          </cell>
          <cell r="G105" t="str">
            <v>5</v>
          </cell>
          <cell r="H105" t="str">
            <v>PROJECT</v>
          </cell>
          <cell r="I105" t="str">
            <v>56</v>
          </cell>
          <cell r="J105" t="str">
            <v>CPC1</v>
          </cell>
          <cell r="K105" t="str">
            <v>5602</v>
          </cell>
          <cell r="L105" t="str">
            <v>POLYFLOOR</v>
          </cell>
          <cell r="M105" t="str">
            <v>560202</v>
          </cell>
          <cell r="N105" t="str">
            <v>POLYFLOOR EPOXY</v>
          </cell>
        </row>
        <row r="106">
          <cell r="C106" t="str">
            <v>100001095</v>
          </cell>
          <cell r="D106" t="str">
            <v>PFT-253 GREEN RAL 6019 VN-4K</v>
          </cell>
          <cell r="E106" t="str">
            <v>ZFGD</v>
          </cell>
          <cell r="F106" t="str">
            <v>PC</v>
          </cell>
          <cell r="G106" t="str">
            <v>5</v>
          </cell>
          <cell r="H106" t="str">
            <v>PROJECT</v>
          </cell>
          <cell r="I106" t="str">
            <v>56</v>
          </cell>
          <cell r="J106" t="str">
            <v>CPC1</v>
          </cell>
          <cell r="K106" t="str">
            <v>5602</v>
          </cell>
          <cell r="L106" t="str">
            <v>POLYFLOOR</v>
          </cell>
          <cell r="M106" t="str">
            <v>560202</v>
          </cell>
          <cell r="N106" t="str">
            <v>POLYFLOOR EPOXY</v>
          </cell>
        </row>
        <row r="107">
          <cell r="C107" t="str">
            <v>100001096</v>
          </cell>
          <cell r="D107" t="str">
            <v>PFT-253 TRAFFIC YELLOW VN-20KSP</v>
          </cell>
          <cell r="E107" t="str">
            <v>ZFGD</v>
          </cell>
          <cell r="F107" t="str">
            <v>SET</v>
          </cell>
          <cell r="G107" t="str">
            <v>5</v>
          </cell>
          <cell r="H107" t="str">
            <v>PROJECT</v>
          </cell>
          <cell r="I107" t="str">
            <v>56</v>
          </cell>
          <cell r="J107" t="str">
            <v>CPC1</v>
          </cell>
          <cell r="K107" t="str">
            <v>5602</v>
          </cell>
          <cell r="L107" t="str">
            <v>POLYFLOOR</v>
          </cell>
          <cell r="M107" t="str">
            <v>560202</v>
          </cell>
          <cell r="N107" t="str">
            <v>POLYFLOOR EPOXY</v>
          </cell>
        </row>
        <row r="108">
          <cell r="C108" t="str">
            <v>100001097</v>
          </cell>
          <cell r="D108" t="str">
            <v>PFT-253 TRAFFIC YELLOW VN-16KP</v>
          </cell>
          <cell r="E108" t="str">
            <v>ZFGD</v>
          </cell>
          <cell r="F108" t="str">
            <v>PC</v>
          </cell>
          <cell r="G108" t="str">
            <v>5</v>
          </cell>
          <cell r="H108" t="str">
            <v>PROJECT</v>
          </cell>
          <cell r="I108" t="str">
            <v>56</v>
          </cell>
          <cell r="J108" t="str">
            <v>CPC1</v>
          </cell>
          <cell r="K108" t="str">
            <v>5602</v>
          </cell>
          <cell r="L108" t="str">
            <v>POLYFLOOR</v>
          </cell>
          <cell r="M108" t="str">
            <v>560202</v>
          </cell>
          <cell r="N108" t="str">
            <v>POLYFLOOR EPOXY</v>
          </cell>
        </row>
        <row r="109">
          <cell r="C109" t="str">
            <v>100001098</v>
          </cell>
          <cell r="D109" t="str">
            <v>PFT-253 TRAFFIC YELLOW VN-5KS</v>
          </cell>
          <cell r="E109" t="str">
            <v>ZFGD</v>
          </cell>
          <cell r="F109" t="str">
            <v>SET</v>
          </cell>
          <cell r="G109" t="str">
            <v>5</v>
          </cell>
          <cell r="H109" t="str">
            <v>PROJECT</v>
          </cell>
          <cell r="I109" t="str">
            <v>56</v>
          </cell>
          <cell r="J109" t="str">
            <v>CPC1</v>
          </cell>
          <cell r="K109" t="str">
            <v>5602</v>
          </cell>
          <cell r="L109" t="str">
            <v>POLYFLOOR</v>
          </cell>
          <cell r="M109" t="str">
            <v>560202</v>
          </cell>
          <cell r="N109" t="str">
            <v>POLYFLOOR EPOXY</v>
          </cell>
        </row>
        <row r="110">
          <cell r="C110" t="str">
            <v>100001099</v>
          </cell>
          <cell r="D110" t="str">
            <v>PFT-253 TRAFFIC YELLOW VN-4K</v>
          </cell>
          <cell r="E110" t="str">
            <v>ZFGD</v>
          </cell>
          <cell r="F110" t="str">
            <v>PC</v>
          </cell>
          <cell r="G110" t="str">
            <v>5</v>
          </cell>
          <cell r="H110" t="str">
            <v>PROJECT</v>
          </cell>
          <cell r="I110" t="str">
            <v>56</v>
          </cell>
          <cell r="J110" t="str">
            <v>CPC1</v>
          </cell>
          <cell r="K110" t="str">
            <v>5602</v>
          </cell>
          <cell r="L110" t="str">
            <v>POLYFLOOR</v>
          </cell>
          <cell r="M110" t="str">
            <v>560202</v>
          </cell>
          <cell r="N110" t="str">
            <v>POLYFLOOR EPOXY</v>
          </cell>
        </row>
        <row r="111">
          <cell r="C111" t="str">
            <v>100001100</v>
          </cell>
          <cell r="D111" t="str">
            <v>PFT-253 GREEN AT VN-20KSP</v>
          </cell>
          <cell r="E111" t="str">
            <v>ZFGD</v>
          </cell>
          <cell r="F111" t="str">
            <v>SET</v>
          </cell>
          <cell r="G111" t="str">
            <v>5</v>
          </cell>
          <cell r="H111" t="str">
            <v>PROJECT</v>
          </cell>
          <cell r="I111" t="str">
            <v>56</v>
          </cell>
          <cell r="J111" t="str">
            <v>CPC1</v>
          </cell>
          <cell r="K111" t="str">
            <v>5602</v>
          </cell>
          <cell r="L111" t="str">
            <v>POLYFLOOR</v>
          </cell>
          <cell r="M111" t="str">
            <v>560202</v>
          </cell>
          <cell r="N111" t="str">
            <v>POLYFLOOR EPOXY</v>
          </cell>
        </row>
        <row r="112">
          <cell r="C112" t="str">
            <v>100001101</v>
          </cell>
          <cell r="D112" t="str">
            <v>PFT-253 GREEN AT VN-16KP</v>
          </cell>
          <cell r="E112" t="str">
            <v>ZFGD</v>
          </cell>
          <cell r="F112" t="str">
            <v>PC</v>
          </cell>
          <cell r="G112" t="str">
            <v>5</v>
          </cell>
          <cell r="H112" t="str">
            <v>PROJECT</v>
          </cell>
          <cell r="I112" t="str">
            <v>56</v>
          </cell>
          <cell r="J112" t="str">
            <v>CPC1</v>
          </cell>
          <cell r="K112" t="str">
            <v>5602</v>
          </cell>
          <cell r="L112" t="str">
            <v>POLYFLOOR</v>
          </cell>
          <cell r="M112" t="str">
            <v>560202</v>
          </cell>
          <cell r="N112" t="str">
            <v>POLYFLOOR EPOXY</v>
          </cell>
        </row>
        <row r="113">
          <cell r="C113" t="str">
            <v>100001102</v>
          </cell>
          <cell r="D113" t="str">
            <v>PFT-253 GREEN AT VN-5KS</v>
          </cell>
          <cell r="E113" t="str">
            <v>ZFGD</v>
          </cell>
          <cell r="F113" t="str">
            <v>SET</v>
          </cell>
          <cell r="G113" t="str">
            <v>5</v>
          </cell>
          <cell r="H113" t="str">
            <v>PROJECT</v>
          </cell>
          <cell r="I113" t="str">
            <v>56</v>
          </cell>
          <cell r="J113" t="str">
            <v>CPC1</v>
          </cell>
          <cell r="K113" t="str">
            <v>5602</v>
          </cell>
          <cell r="L113" t="str">
            <v>POLYFLOOR</v>
          </cell>
          <cell r="M113" t="str">
            <v>560202</v>
          </cell>
          <cell r="N113" t="str">
            <v>POLYFLOOR EPOXY</v>
          </cell>
        </row>
        <row r="114">
          <cell r="C114" t="str">
            <v>100001103</v>
          </cell>
          <cell r="D114" t="str">
            <v>PFT-253 GREEN AT VN-4K</v>
          </cell>
          <cell r="E114" t="str">
            <v>ZFGD</v>
          </cell>
          <cell r="F114" t="str">
            <v>PC</v>
          </cell>
          <cell r="G114" t="str">
            <v>5</v>
          </cell>
          <cell r="H114" t="str">
            <v>PROJECT</v>
          </cell>
          <cell r="I114" t="str">
            <v>56</v>
          </cell>
          <cell r="J114" t="str">
            <v>CPC1</v>
          </cell>
          <cell r="K114" t="str">
            <v>5602</v>
          </cell>
          <cell r="L114" t="str">
            <v>POLYFLOOR</v>
          </cell>
          <cell r="M114" t="str">
            <v>560202</v>
          </cell>
          <cell r="N114" t="str">
            <v>POLYFLOOR EPOXY</v>
          </cell>
        </row>
        <row r="115">
          <cell r="C115" t="str">
            <v>100001104</v>
          </cell>
          <cell r="D115" t="str">
            <v>PFT-253 DARK GREEN MH 02 VN-20KSP</v>
          </cell>
          <cell r="E115" t="str">
            <v>ZFGD</v>
          </cell>
          <cell r="F115" t="str">
            <v>SET</v>
          </cell>
          <cell r="G115" t="str">
            <v>5</v>
          </cell>
          <cell r="H115" t="str">
            <v>PROJECT</v>
          </cell>
          <cell r="I115" t="str">
            <v>56</v>
          </cell>
          <cell r="J115" t="str">
            <v>CPC1</v>
          </cell>
          <cell r="K115" t="str">
            <v>5602</v>
          </cell>
          <cell r="L115" t="str">
            <v>POLYFLOOR</v>
          </cell>
          <cell r="M115" t="str">
            <v>560202</v>
          </cell>
          <cell r="N115" t="str">
            <v>POLYFLOOR EPOXY</v>
          </cell>
        </row>
        <row r="116">
          <cell r="C116" t="str">
            <v>100001105</v>
          </cell>
          <cell r="D116" t="str">
            <v>PFT-253 DARK GREEN MH 02 VN-16K</v>
          </cell>
          <cell r="E116" t="str">
            <v>ZFGD</v>
          </cell>
          <cell r="F116" t="str">
            <v>PC</v>
          </cell>
          <cell r="G116" t="str">
            <v>5</v>
          </cell>
          <cell r="H116" t="str">
            <v>PROJECT</v>
          </cell>
          <cell r="I116" t="str">
            <v>56</v>
          </cell>
          <cell r="J116" t="str">
            <v>CPC1</v>
          </cell>
          <cell r="K116" t="str">
            <v>5602</v>
          </cell>
          <cell r="L116" t="str">
            <v>POLYFLOOR</v>
          </cell>
          <cell r="M116" t="str">
            <v>560202</v>
          </cell>
          <cell r="N116" t="str">
            <v>POLYFLOOR EPOXY</v>
          </cell>
        </row>
        <row r="117">
          <cell r="C117" t="str">
            <v>100001106</v>
          </cell>
          <cell r="D117" t="str">
            <v>PFT-253 DARK GREEN MH 02 VN-5KS</v>
          </cell>
          <cell r="E117" t="str">
            <v>ZFGD</v>
          </cell>
          <cell r="F117" t="str">
            <v>SET</v>
          </cell>
          <cell r="G117" t="str">
            <v>5</v>
          </cell>
          <cell r="H117" t="str">
            <v>PROJECT</v>
          </cell>
          <cell r="I117" t="str">
            <v>56</v>
          </cell>
          <cell r="J117" t="str">
            <v>CPC1</v>
          </cell>
          <cell r="K117" t="str">
            <v>5602</v>
          </cell>
          <cell r="L117" t="str">
            <v>POLYFLOOR</v>
          </cell>
          <cell r="M117" t="str">
            <v>560202</v>
          </cell>
          <cell r="N117" t="str">
            <v>POLYFLOOR EPOXY</v>
          </cell>
        </row>
        <row r="118">
          <cell r="C118" t="str">
            <v>100001107</v>
          </cell>
          <cell r="D118" t="str">
            <v>PFT-253 DARK GREEN MH 02 VN-4K</v>
          </cell>
          <cell r="E118" t="str">
            <v>ZFGD</v>
          </cell>
          <cell r="F118" t="str">
            <v>PC</v>
          </cell>
          <cell r="G118" t="str">
            <v>5</v>
          </cell>
          <cell r="H118" t="str">
            <v>PROJECT</v>
          </cell>
          <cell r="I118" t="str">
            <v>56</v>
          </cell>
          <cell r="J118" t="str">
            <v>CPC1</v>
          </cell>
          <cell r="K118" t="str">
            <v>5602</v>
          </cell>
          <cell r="L118" t="str">
            <v>POLYFLOOR</v>
          </cell>
          <cell r="M118" t="str">
            <v>560202</v>
          </cell>
          <cell r="N118" t="str">
            <v>POLYFLOOR EPOXY</v>
          </cell>
        </row>
        <row r="119">
          <cell r="C119" t="str">
            <v>100001108</v>
          </cell>
          <cell r="D119" t="str">
            <v>PFT-253 DARK GREEN MH 03 VN-20KSP</v>
          </cell>
          <cell r="E119" t="str">
            <v>ZFGD</v>
          </cell>
          <cell r="F119" t="str">
            <v>SET</v>
          </cell>
          <cell r="G119" t="str">
            <v>5</v>
          </cell>
          <cell r="H119" t="str">
            <v>PROJECT</v>
          </cell>
          <cell r="I119" t="str">
            <v>56</v>
          </cell>
          <cell r="J119" t="str">
            <v>CPC1</v>
          </cell>
          <cell r="K119" t="str">
            <v>5602</v>
          </cell>
          <cell r="L119" t="str">
            <v>POLYFLOOR</v>
          </cell>
          <cell r="M119" t="str">
            <v>560202</v>
          </cell>
          <cell r="N119" t="str">
            <v>POLYFLOOR EPOXY</v>
          </cell>
        </row>
        <row r="120">
          <cell r="C120" t="str">
            <v>100001109</v>
          </cell>
          <cell r="D120" t="str">
            <v>PFT-253 DARK GREEN MH 03 VN-16KP</v>
          </cell>
          <cell r="E120" t="str">
            <v>ZFGD</v>
          </cell>
          <cell r="F120" t="str">
            <v>PC</v>
          </cell>
          <cell r="G120" t="str">
            <v>5</v>
          </cell>
          <cell r="H120" t="str">
            <v>PROJECT</v>
          </cell>
          <cell r="I120" t="str">
            <v>56</v>
          </cell>
          <cell r="J120" t="str">
            <v>CPC1</v>
          </cell>
          <cell r="K120" t="str">
            <v>5602</v>
          </cell>
          <cell r="L120" t="str">
            <v>POLYFLOOR</v>
          </cell>
          <cell r="M120" t="str">
            <v>560202</v>
          </cell>
          <cell r="N120" t="str">
            <v>POLYFLOOR EPOXY</v>
          </cell>
        </row>
        <row r="121">
          <cell r="C121" t="str">
            <v>100001110</v>
          </cell>
          <cell r="D121" t="str">
            <v>PFT-253 DARK GREEN MH 03 VN-5KS</v>
          </cell>
          <cell r="E121" t="str">
            <v>ZFGD</v>
          </cell>
          <cell r="F121" t="str">
            <v>SET</v>
          </cell>
          <cell r="G121" t="str">
            <v>5</v>
          </cell>
          <cell r="H121" t="str">
            <v>PROJECT</v>
          </cell>
          <cell r="I121" t="str">
            <v>56</v>
          </cell>
          <cell r="J121" t="str">
            <v>CPC1</v>
          </cell>
          <cell r="K121" t="str">
            <v>5602</v>
          </cell>
          <cell r="L121" t="str">
            <v>POLYFLOOR</v>
          </cell>
          <cell r="M121" t="str">
            <v>560202</v>
          </cell>
          <cell r="N121" t="str">
            <v>POLYFLOOR EPOXY</v>
          </cell>
        </row>
        <row r="122">
          <cell r="C122" t="str">
            <v>100001111</v>
          </cell>
          <cell r="D122" t="str">
            <v>PFT-253 DARK GREEN MH 03 VN-4K</v>
          </cell>
          <cell r="E122" t="str">
            <v>ZFGD</v>
          </cell>
          <cell r="F122" t="str">
            <v>PC</v>
          </cell>
          <cell r="G122" t="str">
            <v>5</v>
          </cell>
          <cell r="H122" t="str">
            <v>PROJECT</v>
          </cell>
          <cell r="I122" t="str">
            <v>56</v>
          </cell>
          <cell r="J122" t="str">
            <v>CPC1</v>
          </cell>
          <cell r="K122" t="str">
            <v>5602</v>
          </cell>
          <cell r="L122" t="str">
            <v>POLYFLOOR</v>
          </cell>
          <cell r="M122" t="str">
            <v>560202</v>
          </cell>
          <cell r="N122" t="str">
            <v>POLYFLOOR EPOXY</v>
          </cell>
        </row>
        <row r="123">
          <cell r="C123" t="str">
            <v>100001112</v>
          </cell>
          <cell r="D123" t="str">
            <v>PFT-253 BLUE DKH 01 VN-20KSP</v>
          </cell>
          <cell r="E123" t="str">
            <v>ZFGD</v>
          </cell>
          <cell r="F123" t="str">
            <v>SET</v>
          </cell>
          <cell r="G123" t="str">
            <v>5</v>
          </cell>
          <cell r="H123" t="str">
            <v>PROJECT</v>
          </cell>
          <cell r="I123" t="str">
            <v>56</v>
          </cell>
          <cell r="J123" t="str">
            <v>CPC1</v>
          </cell>
          <cell r="K123" t="str">
            <v>5602</v>
          </cell>
          <cell r="L123" t="str">
            <v>POLYFLOOR</v>
          </cell>
          <cell r="M123" t="str">
            <v>560202</v>
          </cell>
          <cell r="N123" t="str">
            <v>POLYFLOOR EPOXY</v>
          </cell>
        </row>
        <row r="124">
          <cell r="C124" t="str">
            <v>100001113</v>
          </cell>
          <cell r="D124" t="str">
            <v>PFT-253 BLUE DKH 01 VN-16KP</v>
          </cell>
          <cell r="E124" t="str">
            <v>ZFGD</v>
          </cell>
          <cell r="F124" t="str">
            <v>PC</v>
          </cell>
          <cell r="G124" t="str">
            <v>5</v>
          </cell>
          <cell r="H124" t="str">
            <v>PROJECT</v>
          </cell>
          <cell r="I124" t="str">
            <v>56</v>
          </cell>
          <cell r="J124" t="str">
            <v>CPC1</v>
          </cell>
          <cell r="K124" t="str">
            <v>5602</v>
          </cell>
          <cell r="L124" t="str">
            <v>POLYFLOOR</v>
          </cell>
          <cell r="M124" t="str">
            <v>560202</v>
          </cell>
          <cell r="N124" t="str">
            <v>POLYFLOOR EPOXY</v>
          </cell>
        </row>
        <row r="125">
          <cell r="C125" t="str">
            <v>100001114</v>
          </cell>
          <cell r="D125" t="str">
            <v>PFT-253 BLUE DKH 01 VN-5KS</v>
          </cell>
          <cell r="E125" t="str">
            <v>ZFGD</v>
          </cell>
          <cell r="F125" t="str">
            <v>SET</v>
          </cell>
          <cell r="G125" t="str">
            <v>5</v>
          </cell>
          <cell r="H125" t="str">
            <v>PROJECT</v>
          </cell>
          <cell r="I125" t="str">
            <v>56</v>
          </cell>
          <cell r="J125" t="str">
            <v>CPC1</v>
          </cell>
          <cell r="K125" t="str">
            <v>5602</v>
          </cell>
          <cell r="L125" t="str">
            <v>POLYFLOOR</v>
          </cell>
          <cell r="M125" t="str">
            <v>560202</v>
          </cell>
          <cell r="N125" t="str">
            <v>POLYFLOOR EPOXY</v>
          </cell>
        </row>
        <row r="126">
          <cell r="C126" t="str">
            <v>100001115</v>
          </cell>
          <cell r="D126" t="str">
            <v>PFT-253 BLUE DKH 01 VN-4K</v>
          </cell>
          <cell r="E126" t="str">
            <v>ZFGD</v>
          </cell>
          <cell r="F126" t="str">
            <v>PC</v>
          </cell>
          <cell r="G126" t="str">
            <v>5</v>
          </cell>
          <cell r="H126" t="str">
            <v>PROJECT</v>
          </cell>
          <cell r="I126" t="str">
            <v>56</v>
          </cell>
          <cell r="J126" t="str">
            <v>CPC1</v>
          </cell>
          <cell r="K126" t="str">
            <v>5602</v>
          </cell>
          <cell r="L126" t="str">
            <v>POLYFLOOR</v>
          </cell>
          <cell r="M126" t="str">
            <v>560202</v>
          </cell>
          <cell r="N126" t="str">
            <v>POLYFLOOR EPOXY</v>
          </cell>
        </row>
        <row r="127">
          <cell r="C127" t="str">
            <v>100001116</v>
          </cell>
          <cell r="D127" t="str">
            <v>PFT-253 GREY DRG 115 VN-20KSP</v>
          </cell>
          <cell r="E127" t="str">
            <v>ZFGD</v>
          </cell>
          <cell r="F127" t="str">
            <v>SET</v>
          </cell>
          <cell r="G127" t="str">
            <v>5</v>
          </cell>
          <cell r="H127" t="str">
            <v>PROJECT</v>
          </cell>
          <cell r="I127" t="str">
            <v>56</v>
          </cell>
          <cell r="J127" t="str">
            <v>CPC1</v>
          </cell>
          <cell r="K127" t="str">
            <v>5602</v>
          </cell>
          <cell r="L127" t="str">
            <v>POLYFLOOR</v>
          </cell>
          <cell r="M127" t="str">
            <v>560202</v>
          </cell>
          <cell r="N127" t="str">
            <v>POLYFLOOR EPOXY</v>
          </cell>
        </row>
        <row r="128">
          <cell r="C128" t="str">
            <v>100001117</v>
          </cell>
          <cell r="D128" t="str">
            <v>PFT-253 GREY DRG 115 VN-16KP</v>
          </cell>
          <cell r="E128" t="str">
            <v>ZFGD</v>
          </cell>
          <cell r="F128" t="str">
            <v>PC</v>
          </cell>
          <cell r="G128" t="str">
            <v>5</v>
          </cell>
          <cell r="H128" t="str">
            <v>PROJECT</v>
          </cell>
          <cell r="I128" t="str">
            <v>56</v>
          </cell>
          <cell r="J128" t="str">
            <v>CPC1</v>
          </cell>
          <cell r="K128" t="str">
            <v>5602</v>
          </cell>
          <cell r="L128" t="str">
            <v>POLYFLOOR</v>
          </cell>
          <cell r="M128" t="str">
            <v>560202</v>
          </cell>
          <cell r="N128" t="str">
            <v>POLYFLOOR EPOXY</v>
          </cell>
        </row>
        <row r="129">
          <cell r="C129" t="str">
            <v>100001118</v>
          </cell>
          <cell r="D129" t="str">
            <v>PFT-253 GREY DRG 115 VN-5KS</v>
          </cell>
          <cell r="E129" t="str">
            <v>ZFGD</v>
          </cell>
          <cell r="F129" t="str">
            <v>SET</v>
          </cell>
          <cell r="G129" t="str">
            <v>5</v>
          </cell>
          <cell r="H129" t="str">
            <v>PROJECT</v>
          </cell>
          <cell r="I129" t="str">
            <v>56</v>
          </cell>
          <cell r="J129" t="str">
            <v>CPC1</v>
          </cell>
          <cell r="K129" t="str">
            <v>5602</v>
          </cell>
          <cell r="L129" t="str">
            <v>POLYFLOOR</v>
          </cell>
          <cell r="M129" t="str">
            <v>560202</v>
          </cell>
          <cell r="N129" t="str">
            <v>POLYFLOOR EPOXY</v>
          </cell>
        </row>
        <row r="130">
          <cell r="C130" t="str">
            <v>100001119</v>
          </cell>
          <cell r="D130" t="str">
            <v>PFT-253 GREY DRG 115 VN-4K</v>
          </cell>
          <cell r="E130" t="str">
            <v>ZFGD</v>
          </cell>
          <cell r="F130" t="str">
            <v>PC</v>
          </cell>
          <cell r="G130" t="str">
            <v>5</v>
          </cell>
          <cell r="H130" t="str">
            <v>PROJECT</v>
          </cell>
          <cell r="I130" t="str">
            <v>56</v>
          </cell>
          <cell r="J130" t="str">
            <v>CPC1</v>
          </cell>
          <cell r="K130" t="str">
            <v>5602</v>
          </cell>
          <cell r="L130" t="str">
            <v>POLYFLOOR</v>
          </cell>
          <cell r="M130" t="str">
            <v>560202</v>
          </cell>
          <cell r="N130" t="str">
            <v>POLYFLOOR EPOXY</v>
          </cell>
        </row>
        <row r="131">
          <cell r="C131" t="str">
            <v>100001120</v>
          </cell>
          <cell r="D131" t="str">
            <v>PFT-253 SGT LIGHT GREY VN-20KSP</v>
          </cell>
          <cell r="E131" t="str">
            <v>ZFGD</v>
          </cell>
          <cell r="F131" t="str">
            <v>SET</v>
          </cell>
          <cell r="G131" t="str">
            <v>5</v>
          </cell>
          <cell r="H131" t="str">
            <v>PROJECT</v>
          </cell>
          <cell r="I131" t="str">
            <v>56</v>
          </cell>
          <cell r="J131" t="str">
            <v>CPC1</v>
          </cell>
          <cell r="K131" t="str">
            <v>5602</v>
          </cell>
          <cell r="L131" t="str">
            <v>POLYFLOOR</v>
          </cell>
          <cell r="M131" t="str">
            <v>560202</v>
          </cell>
          <cell r="N131" t="str">
            <v>POLYFLOOR EPOXY</v>
          </cell>
        </row>
        <row r="132">
          <cell r="C132" t="str">
            <v>100001121</v>
          </cell>
          <cell r="D132" t="str">
            <v>PFT-253 SGT LIGHT GREY VN-16KP</v>
          </cell>
          <cell r="E132" t="str">
            <v>ZFGD</v>
          </cell>
          <cell r="F132" t="str">
            <v>PC</v>
          </cell>
          <cell r="G132" t="str">
            <v>5</v>
          </cell>
          <cell r="H132" t="str">
            <v>PROJECT</v>
          </cell>
          <cell r="I132" t="str">
            <v>56</v>
          </cell>
          <cell r="J132" t="str">
            <v>CPC1</v>
          </cell>
          <cell r="K132" t="str">
            <v>5602</v>
          </cell>
          <cell r="L132" t="str">
            <v>POLYFLOOR</v>
          </cell>
          <cell r="M132" t="str">
            <v>560202</v>
          </cell>
          <cell r="N132" t="str">
            <v>POLYFLOOR EPOXY</v>
          </cell>
        </row>
        <row r="133">
          <cell r="C133" t="str">
            <v>100001122</v>
          </cell>
          <cell r="D133" t="str">
            <v>PFT-253 SGT LIGHT GREY VN-5KS</v>
          </cell>
          <cell r="E133" t="str">
            <v>ZFGD</v>
          </cell>
          <cell r="F133" t="str">
            <v>SET</v>
          </cell>
          <cell r="G133" t="str">
            <v>5</v>
          </cell>
          <cell r="H133" t="str">
            <v>PROJECT</v>
          </cell>
          <cell r="I133" t="str">
            <v>56</v>
          </cell>
          <cell r="J133" t="str">
            <v>CPC1</v>
          </cell>
          <cell r="K133" t="str">
            <v>5602</v>
          </cell>
          <cell r="L133" t="str">
            <v>POLYFLOOR</v>
          </cell>
          <cell r="M133" t="str">
            <v>560202</v>
          </cell>
          <cell r="N133" t="str">
            <v>POLYFLOOR EPOXY</v>
          </cell>
        </row>
        <row r="134">
          <cell r="C134" t="str">
            <v>100001123</v>
          </cell>
          <cell r="D134" t="str">
            <v>PFT-253 SGT LIGHT GREY VN-4K</v>
          </cell>
          <cell r="E134" t="str">
            <v>ZFGD</v>
          </cell>
          <cell r="F134" t="str">
            <v>PC</v>
          </cell>
          <cell r="G134" t="str">
            <v>5</v>
          </cell>
          <cell r="H134" t="str">
            <v>PROJECT</v>
          </cell>
          <cell r="I134" t="str">
            <v>56</v>
          </cell>
          <cell r="J134" t="str">
            <v>CPC1</v>
          </cell>
          <cell r="K134" t="str">
            <v>5602</v>
          </cell>
          <cell r="L134" t="str">
            <v>POLYFLOOR</v>
          </cell>
          <cell r="M134" t="str">
            <v>560202</v>
          </cell>
          <cell r="N134" t="str">
            <v>POLYFLOOR EPOXY</v>
          </cell>
        </row>
        <row r="135">
          <cell r="C135" t="str">
            <v>100001124</v>
          </cell>
          <cell r="D135" t="str">
            <v>PFT-253 GREEN RAL 6027 VN-20KSP</v>
          </cell>
          <cell r="E135" t="str">
            <v>ZFGD</v>
          </cell>
          <cell r="F135" t="str">
            <v>SET</v>
          </cell>
          <cell r="G135" t="str">
            <v>5</v>
          </cell>
          <cell r="H135" t="str">
            <v>PROJECT</v>
          </cell>
          <cell r="I135" t="str">
            <v>56</v>
          </cell>
          <cell r="J135" t="str">
            <v>CPC1</v>
          </cell>
          <cell r="K135" t="str">
            <v>5602</v>
          </cell>
          <cell r="L135" t="str">
            <v>POLYFLOOR</v>
          </cell>
          <cell r="M135" t="str">
            <v>560202</v>
          </cell>
          <cell r="N135" t="str">
            <v>POLYFLOOR EPOXY</v>
          </cell>
        </row>
        <row r="136">
          <cell r="C136" t="str">
            <v>100001125</v>
          </cell>
          <cell r="D136" t="str">
            <v>PFT-253 GREEN RAL 6027 VN-16KP</v>
          </cell>
          <cell r="E136" t="str">
            <v>ZFGD</v>
          </cell>
          <cell r="F136" t="str">
            <v>PC</v>
          </cell>
          <cell r="G136" t="str">
            <v>5</v>
          </cell>
          <cell r="H136" t="str">
            <v>PROJECT</v>
          </cell>
          <cell r="I136" t="str">
            <v>56</v>
          </cell>
          <cell r="J136" t="str">
            <v>CPC1</v>
          </cell>
          <cell r="K136" t="str">
            <v>5602</v>
          </cell>
          <cell r="L136" t="str">
            <v>POLYFLOOR</v>
          </cell>
          <cell r="M136" t="str">
            <v>560202</v>
          </cell>
          <cell r="N136" t="str">
            <v>POLYFLOOR EPOXY</v>
          </cell>
        </row>
        <row r="137">
          <cell r="C137" t="str">
            <v>100001126</v>
          </cell>
          <cell r="D137" t="str">
            <v>PFT-253 GREEN RAL 6027 VN-5KS</v>
          </cell>
          <cell r="E137" t="str">
            <v>ZFGD</v>
          </cell>
          <cell r="F137" t="str">
            <v>SET</v>
          </cell>
          <cell r="G137" t="str">
            <v>5</v>
          </cell>
          <cell r="H137" t="str">
            <v>PROJECT</v>
          </cell>
          <cell r="I137" t="str">
            <v>56</v>
          </cell>
          <cell r="J137" t="str">
            <v>CPC1</v>
          </cell>
          <cell r="K137" t="str">
            <v>5602</v>
          </cell>
          <cell r="L137" t="str">
            <v>POLYFLOOR</v>
          </cell>
          <cell r="M137" t="str">
            <v>560202</v>
          </cell>
          <cell r="N137" t="str">
            <v>POLYFLOOR EPOXY</v>
          </cell>
        </row>
        <row r="138">
          <cell r="C138" t="str">
            <v>100001127</v>
          </cell>
          <cell r="D138" t="str">
            <v>PFT-253 GREEN RAL 6027 VN-4K</v>
          </cell>
          <cell r="E138" t="str">
            <v>ZFGD</v>
          </cell>
          <cell r="F138" t="str">
            <v>PC</v>
          </cell>
          <cell r="G138" t="str">
            <v>5</v>
          </cell>
          <cell r="H138" t="str">
            <v>PROJECT</v>
          </cell>
          <cell r="I138" t="str">
            <v>56</v>
          </cell>
          <cell r="J138" t="str">
            <v>CPC1</v>
          </cell>
          <cell r="K138" t="str">
            <v>5602</v>
          </cell>
          <cell r="L138" t="str">
            <v>POLYFLOOR</v>
          </cell>
          <cell r="M138" t="str">
            <v>560202</v>
          </cell>
          <cell r="N138" t="str">
            <v>POLYFLOOR EPOXY</v>
          </cell>
        </row>
        <row r="139">
          <cell r="C139" t="str">
            <v>100001128</v>
          </cell>
          <cell r="D139" t="str">
            <v>PFT-253 BLUE RAL 5017 VN-20KSP</v>
          </cell>
          <cell r="E139" t="str">
            <v>ZFGD</v>
          </cell>
          <cell r="F139" t="str">
            <v>SET</v>
          </cell>
          <cell r="G139" t="str">
            <v>5</v>
          </cell>
          <cell r="H139" t="str">
            <v>PROJECT</v>
          </cell>
          <cell r="I139" t="str">
            <v>56</v>
          </cell>
          <cell r="J139" t="str">
            <v>CPC1</v>
          </cell>
          <cell r="K139" t="str">
            <v>5602</v>
          </cell>
          <cell r="L139" t="str">
            <v>POLYFLOOR</v>
          </cell>
          <cell r="M139" t="str">
            <v>560202</v>
          </cell>
          <cell r="N139" t="str">
            <v>POLYFLOOR EPOXY</v>
          </cell>
        </row>
        <row r="140">
          <cell r="C140" t="str">
            <v>100001129</v>
          </cell>
          <cell r="D140" t="str">
            <v>PFT-253 BLUE RAL 5017 VN-16KP</v>
          </cell>
          <cell r="E140" t="str">
            <v>ZFGD</v>
          </cell>
          <cell r="F140" t="str">
            <v>PC</v>
          </cell>
          <cell r="G140" t="str">
            <v>5</v>
          </cell>
          <cell r="H140" t="str">
            <v>PROJECT</v>
          </cell>
          <cell r="I140" t="str">
            <v>56</v>
          </cell>
          <cell r="J140" t="str">
            <v>CPC1</v>
          </cell>
          <cell r="K140" t="str">
            <v>5602</v>
          </cell>
          <cell r="L140" t="str">
            <v>POLYFLOOR</v>
          </cell>
          <cell r="M140" t="str">
            <v>560202</v>
          </cell>
          <cell r="N140" t="str">
            <v>POLYFLOOR EPOXY</v>
          </cell>
        </row>
        <row r="141">
          <cell r="C141" t="str">
            <v>100001130</v>
          </cell>
          <cell r="D141" t="str">
            <v>PFT-253 BLUE RAL 5017 VN-5KS</v>
          </cell>
          <cell r="E141" t="str">
            <v>ZFGD</v>
          </cell>
          <cell r="F141" t="str">
            <v>SET</v>
          </cell>
          <cell r="G141" t="str">
            <v>5</v>
          </cell>
          <cell r="H141" t="str">
            <v>PROJECT</v>
          </cell>
          <cell r="I141" t="str">
            <v>56</v>
          </cell>
          <cell r="J141" t="str">
            <v>CPC1</v>
          </cell>
          <cell r="K141" t="str">
            <v>5602</v>
          </cell>
          <cell r="L141" t="str">
            <v>POLYFLOOR</v>
          </cell>
          <cell r="M141" t="str">
            <v>560202</v>
          </cell>
          <cell r="N141" t="str">
            <v>POLYFLOOR EPOXY</v>
          </cell>
        </row>
        <row r="142">
          <cell r="C142" t="str">
            <v>100001131</v>
          </cell>
          <cell r="D142" t="str">
            <v>PFT-253 BLUE RAL 5017 VN-4K</v>
          </cell>
          <cell r="E142" t="str">
            <v>ZFGD</v>
          </cell>
          <cell r="F142" t="str">
            <v>PC</v>
          </cell>
          <cell r="G142" t="str">
            <v>5</v>
          </cell>
          <cell r="H142" t="str">
            <v>PROJECT</v>
          </cell>
          <cell r="I142" t="str">
            <v>56</v>
          </cell>
          <cell r="J142" t="str">
            <v>CPC1</v>
          </cell>
          <cell r="K142" t="str">
            <v>5602</v>
          </cell>
          <cell r="L142" t="str">
            <v>POLYFLOOR</v>
          </cell>
          <cell r="M142" t="str">
            <v>560202</v>
          </cell>
          <cell r="N142" t="str">
            <v>POLYFLOOR EPOXY</v>
          </cell>
        </row>
        <row r="143">
          <cell r="C143" t="str">
            <v>100001132</v>
          </cell>
          <cell r="D143" t="str">
            <v>PFT-253 KIA WHITE VN-20KSP</v>
          </cell>
          <cell r="E143" t="str">
            <v>ZFGD</v>
          </cell>
          <cell r="F143" t="str">
            <v>SET</v>
          </cell>
          <cell r="G143" t="str">
            <v>5</v>
          </cell>
          <cell r="H143" t="str">
            <v>PROJECT</v>
          </cell>
          <cell r="I143" t="str">
            <v>56</v>
          </cell>
          <cell r="J143" t="str">
            <v>CPC1</v>
          </cell>
          <cell r="K143" t="str">
            <v>5602</v>
          </cell>
          <cell r="L143" t="str">
            <v>POLYFLOOR</v>
          </cell>
          <cell r="M143" t="str">
            <v>560202</v>
          </cell>
          <cell r="N143" t="str">
            <v>POLYFLOOR EPOXY</v>
          </cell>
        </row>
        <row r="144">
          <cell r="C144" t="str">
            <v>100001133</v>
          </cell>
          <cell r="D144" t="str">
            <v>PFT-253 KIA WHITE VN-16KP</v>
          </cell>
          <cell r="E144" t="str">
            <v>ZFGD</v>
          </cell>
          <cell r="F144" t="str">
            <v>PC</v>
          </cell>
          <cell r="G144" t="str">
            <v>5</v>
          </cell>
          <cell r="H144" t="str">
            <v>PROJECT</v>
          </cell>
          <cell r="I144" t="str">
            <v>56</v>
          </cell>
          <cell r="J144" t="str">
            <v>CPC1</v>
          </cell>
          <cell r="K144" t="str">
            <v>5602</v>
          </cell>
          <cell r="L144" t="str">
            <v>POLYFLOOR</v>
          </cell>
          <cell r="M144" t="str">
            <v>560202</v>
          </cell>
          <cell r="N144" t="str">
            <v>POLYFLOOR EPOXY</v>
          </cell>
        </row>
        <row r="145">
          <cell r="C145" t="str">
            <v>100001134</v>
          </cell>
          <cell r="D145" t="str">
            <v>PFT-253 KIA WHITE VN-5KS</v>
          </cell>
          <cell r="E145" t="str">
            <v>ZFGD</v>
          </cell>
          <cell r="F145" t="str">
            <v>SET</v>
          </cell>
          <cell r="G145" t="str">
            <v>5</v>
          </cell>
          <cell r="H145" t="str">
            <v>PROJECT</v>
          </cell>
          <cell r="I145" t="str">
            <v>56</v>
          </cell>
          <cell r="J145" t="str">
            <v>CPC1</v>
          </cell>
          <cell r="K145" t="str">
            <v>5602</v>
          </cell>
          <cell r="L145" t="str">
            <v>POLYFLOOR</v>
          </cell>
          <cell r="M145" t="str">
            <v>560202</v>
          </cell>
          <cell r="N145" t="str">
            <v>POLYFLOOR EPOXY</v>
          </cell>
        </row>
        <row r="146">
          <cell r="C146" t="str">
            <v>100001135</v>
          </cell>
          <cell r="D146" t="str">
            <v>PFT-253 KIA WHITE VN-4K</v>
          </cell>
          <cell r="E146" t="str">
            <v>ZFGD</v>
          </cell>
          <cell r="F146" t="str">
            <v>PC</v>
          </cell>
          <cell r="G146" t="str">
            <v>5</v>
          </cell>
          <cell r="H146" t="str">
            <v>PROJECT</v>
          </cell>
          <cell r="I146" t="str">
            <v>56</v>
          </cell>
          <cell r="J146" t="str">
            <v>CPC1</v>
          </cell>
          <cell r="K146" t="str">
            <v>5602</v>
          </cell>
          <cell r="L146" t="str">
            <v>POLYFLOOR</v>
          </cell>
          <cell r="M146" t="str">
            <v>560202</v>
          </cell>
          <cell r="N146" t="str">
            <v>POLYFLOOR EPOXY</v>
          </cell>
        </row>
        <row r="147">
          <cell r="C147" t="str">
            <v>100001136</v>
          </cell>
          <cell r="D147" t="str">
            <v>PFT-253 BLACK VN-20KSP</v>
          </cell>
          <cell r="E147" t="str">
            <v>ZFGD</v>
          </cell>
          <cell r="F147" t="str">
            <v>SET</v>
          </cell>
          <cell r="G147" t="str">
            <v>5</v>
          </cell>
          <cell r="H147" t="str">
            <v>PROJECT</v>
          </cell>
          <cell r="I147" t="str">
            <v>56</v>
          </cell>
          <cell r="J147" t="str">
            <v>CPC1</v>
          </cell>
          <cell r="K147" t="str">
            <v>5602</v>
          </cell>
          <cell r="L147" t="str">
            <v>POLYFLOOR</v>
          </cell>
          <cell r="M147" t="str">
            <v>560202</v>
          </cell>
          <cell r="N147" t="str">
            <v>POLYFLOOR EPOXY</v>
          </cell>
        </row>
        <row r="148">
          <cell r="C148" t="str">
            <v>100001137</v>
          </cell>
          <cell r="D148" t="str">
            <v>PFT-253 BLACK VN-16KP</v>
          </cell>
          <cell r="E148" t="str">
            <v>ZFGD</v>
          </cell>
          <cell r="F148" t="str">
            <v>PC</v>
          </cell>
          <cell r="G148" t="str">
            <v>5</v>
          </cell>
          <cell r="H148" t="str">
            <v>PROJECT</v>
          </cell>
          <cell r="I148" t="str">
            <v>56</v>
          </cell>
          <cell r="J148" t="str">
            <v>CPC1</v>
          </cell>
          <cell r="K148" t="str">
            <v>5602</v>
          </cell>
          <cell r="L148" t="str">
            <v>POLYFLOOR</v>
          </cell>
          <cell r="M148" t="str">
            <v>560202</v>
          </cell>
          <cell r="N148" t="str">
            <v>POLYFLOOR EPOXY</v>
          </cell>
        </row>
        <row r="149">
          <cell r="C149" t="str">
            <v>100001138</v>
          </cell>
          <cell r="D149" t="str">
            <v>PFT-253 BLACK VN-5KS</v>
          </cell>
          <cell r="E149" t="str">
            <v>ZFGD</v>
          </cell>
          <cell r="F149" t="str">
            <v>SET</v>
          </cell>
          <cell r="G149" t="str">
            <v>5</v>
          </cell>
          <cell r="H149" t="str">
            <v>PROJECT</v>
          </cell>
          <cell r="I149" t="str">
            <v>56</v>
          </cell>
          <cell r="J149" t="str">
            <v>CPC1</v>
          </cell>
          <cell r="K149" t="str">
            <v>5602</v>
          </cell>
          <cell r="L149" t="str">
            <v>POLYFLOOR</v>
          </cell>
          <cell r="M149" t="str">
            <v>560202</v>
          </cell>
          <cell r="N149" t="str">
            <v>POLYFLOOR EPOXY</v>
          </cell>
        </row>
        <row r="150">
          <cell r="C150" t="str">
            <v>100001139</v>
          </cell>
          <cell r="D150" t="str">
            <v>PFT-253 BLACK VN-4K</v>
          </cell>
          <cell r="E150" t="str">
            <v>ZFGD</v>
          </cell>
          <cell r="F150" t="str">
            <v>PC</v>
          </cell>
          <cell r="G150" t="str">
            <v>5</v>
          </cell>
          <cell r="H150" t="str">
            <v>PROJECT</v>
          </cell>
          <cell r="I150" t="str">
            <v>56</v>
          </cell>
          <cell r="J150" t="str">
            <v>CPC1</v>
          </cell>
          <cell r="K150" t="str">
            <v>5602</v>
          </cell>
          <cell r="L150" t="str">
            <v>POLYFLOOR</v>
          </cell>
          <cell r="M150" t="str">
            <v>560202</v>
          </cell>
          <cell r="N150" t="str">
            <v>POLYFLOOR EPOXY</v>
          </cell>
        </row>
        <row r="151">
          <cell r="C151" t="str">
            <v>100001140</v>
          </cell>
          <cell r="D151" t="str">
            <v>PFT-253 PLATINUM GREY VN-20KSP</v>
          </cell>
          <cell r="E151" t="str">
            <v>ZFGD</v>
          </cell>
          <cell r="F151" t="str">
            <v>SET</v>
          </cell>
          <cell r="G151" t="str">
            <v>5</v>
          </cell>
          <cell r="H151" t="str">
            <v>PROJECT</v>
          </cell>
          <cell r="I151" t="str">
            <v>56</v>
          </cell>
          <cell r="J151" t="str">
            <v>CPC1</v>
          </cell>
          <cell r="K151" t="str">
            <v>5602</v>
          </cell>
          <cell r="L151" t="str">
            <v>POLYFLOOR</v>
          </cell>
          <cell r="M151" t="str">
            <v>560202</v>
          </cell>
          <cell r="N151" t="str">
            <v>POLYFLOOR EPOXY</v>
          </cell>
        </row>
        <row r="152">
          <cell r="C152" t="str">
            <v>100001141</v>
          </cell>
          <cell r="D152" t="str">
            <v>PFT-253 PLATINUM GREY VN-16KP</v>
          </cell>
          <cell r="E152" t="str">
            <v>ZFGD</v>
          </cell>
          <cell r="F152" t="str">
            <v>PC</v>
          </cell>
          <cell r="G152" t="str">
            <v>5</v>
          </cell>
          <cell r="H152" t="str">
            <v>PROJECT</v>
          </cell>
          <cell r="I152" t="str">
            <v>56</v>
          </cell>
          <cell r="J152" t="str">
            <v>CPC1</v>
          </cell>
          <cell r="K152" t="str">
            <v>5602</v>
          </cell>
          <cell r="L152" t="str">
            <v>POLYFLOOR</v>
          </cell>
          <cell r="M152" t="str">
            <v>560202</v>
          </cell>
          <cell r="N152" t="str">
            <v>POLYFLOOR EPOXY</v>
          </cell>
        </row>
        <row r="153">
          <cell r="C153" t="str">
            <v>100001142</v>
          </cell>
          <cell r="D153" t="str">
            <v>PFT-253 PLATINUM GREY VN-5KS</v>
          </cell>
          <cell r="E153" t="str">
            <v>ZFGD</v>
          </cell>
          <cell r="F153" t="str">
            <v>SET</v>
          </cell>
          <cell r="G153" t="str">
            <v>5</v>
          </cell>
          <cell r="H153" t="str">
            <v>PROJECT</v>
          </cell>
          <cell r="I153" t="str">
            <v>56</v>
          </cell>
          <cell r="J153" t="str">
            <v>CPC1</v>
          </cell>
          <cell r="K153" t="str">
            <v>5602</v>
          </cell>
          <cell r="L153" t="str">
            <v>POLYFLOOR</v>
          </cell>
          <cell r="M153" t="str">
            <v>560202</v>
          </cell>
          <cell r="N153" t="str">
            <v>POLYFLOOR EPOXY</v>
          </cell>
        </row>
        <row r="154">
          <cell r="C154" t="str">
            <v>100001143</v>
          </cell>
          <cell r="D154" t="str">
            <v>PFT-253 PLATINUM GREY VN-4K</v>
          </cell>
          <cell r="E154" t="str">
            <v>ZFGD</v>
          </cell>
          <cell r="F154" t="str">
            <v>PC</v>
          </cell>
          <cell r="G154" t="str">
            <v>5</v>
          </cell>
          <cell r="H154" t="str">
            <v>PROJECT</v>
          </cell>
          <cell r="I154" t="str">
            <v>56</v>
          </cell>
          <cell r="J154" t="str">
            <v>CPC1</v>
          </cell>
          <cell r="K154" t="str">
            <v>5602</v>
          </cell>
          <cell r="L154" t="str">
            <v>POLYFLOOR</v>
          </cell>
          <cell r="M154" t="str">
            <v>560202</v>
          </cell>
          <cell r="N154" t="str">
            <v>POLYFLOOR EPOXY</v>
          </cell>
        </row>
        <row r="155">
          <cell r="C155" t="str">
            <v>100001144</v>
          </cell>
          <cell r="D155" t="str">
            <v>PFT-253 LEAF GREEN SCN VN-20KSP</v>
          </cell>
          <cell r="E155" t="str">
            <v>ZFGD</v>
          </cell>
          <cell r="F155" t="str">
            <v>SET</v>
          </cell>
          <cell r="G155" t="str">
            <v>5</v>
          </cell>
          <cell r="H155" t="str">
            <v>PROJECT</v>
          </cell>
          <cell r="I155" t="str">
            <v>56</v>
          </cell>
          <cell r="J155" t="str">
            <v>CPC1</v>
          </cell>
          <cell r="K155" t="str">
            <v>5602</v>
          </cell>
          <cell r="L155" t="str">
            <v>POLYFLOOR</v>
          </cell>
          <cell r="M155" t="str">
            <v>560202</v>
          </cell>
          <cell r="N155" t="str">
            <v>POLYFLOOR EPOXY</v>
          </cell>
        </row>
        <row r="156">
          <cell r="C156" t="str">
            <v>100001145</v>
          </cell>
          <cell r="D156" t="str">
            <v>PFT-253 LEAF GREEN SCN VN-16KP</v>
          </cell>
          <cell r="E156" t="str">
            <v>ZFGD</v>
          </cell>
          <cell r="F156" t="str">
            <v>PC</v>
          </cell>
          <cell r="G156" t="str">
            <v>5</v>
          </cell>
          <cell r="H156" t="str">
            <v>PROJECT</v>
          </cell>
          <cell r="I156" t="str">
            <v>56</v>
          </cell>
          <cell r="J156" t="str">
            <v>CPC1</v>
          </cell>
          <cell r="K156" t="str">
            <v>5602</v>
          </cell>
          <cell r="L156" t="str">
            <v>POLYFLOOR</v>
          </cell>
          <cell r="M156" t="str">
            <v>560202</v>
          </cell>
          <cell r="N156" t="str">
            <v>POLYFLOOR EPOXY</v>
          </cell>
        </row>
        <row r="157">
          <cell r="C157" t="str">
            <v>100001146</v>
          </cell>
          <cell r="D157" t="str">
            <v>PFT-253 LEAF GREEN SCN VN-5KS</v>
          </cell>
          <cell r="E157" t="str">
            <v>ZFGD</v>
          </cell>
          <cell r="F157" t="str">
            <v>SET</v>
          </cell>
          <cell r="G157" t="str">
            <v>5</v>
          </cell>
          <cell r="H157" t="str">
            <v>PROJECT</v>
          </cell>
          <cell r="I157" t="str">
            <v>56</v>
          </cell>
          <cell r="J157" t="str">
            <v>CPC1</v>
          </cell>
          <cell r="K157" t="str">
            <v>5602</v>
          </cell>
          <cell r="L157" t="str">
            <v>POLYFLOOR</v>
          </cell>
          <cell r="M157" t="str">
            <v>560202</v>
          </cell>
          <cell r="N157" t="str">
            <v>POLYFLOOR EPOXY</v>
          </cell>
        </row>
        <row r="158">
          <cell r="C158" t="str">
            <v>100001147</v>
          </cell>
          <cell r="D158" t="str">
            <v>PFT-253 LEAF GREEN SCN VN-4K</v>
          </cell>
          <cell r="E158" t="str">
            <v>ZFGD</v>
          </cell>
          <cell r="F158" t="str">
            <v>PC</v>
          </cell>
          <cell r="G158" t="str">
            <v>5</v>
          </cell>
          <cell r="H158" t="str">
            <v>PROJECT</v>
          </cell>
          <cell r="I158" t="str">
            <v>56</v>
          </cell>
          <cell r="J158" t="str">
            <v>CPC1</v>
          </cell>
          <cell r="K158" t="str">
            <v>5602</v>
          </cell>
          <cell r="L158" t="str">
            <v>POLYFLOOR</v>
          </cell>
          <cell r="M158" t="str">
            <v>560202</v>
          </cell>
          <cell r="N158" t="str">
            <v>POLYFLOOR EPOXY</v>
          </cell>
        </row>
        <row r="159">
          <cell r="C159" t="str">
            <v>100001148</v>
          </cell>
          <cell r="D159" t="str">
            <v>PFT-253 RAL 6010 VN-20KSP</v>
          </cell>
          <cell r="E159" t="str">
            <v>ZFGD</v>
          </cell>
          <cell r="F159" t="str">
            <v>SET</v>
          </cell>
          <cell r="G159" t="str">
            <v>5</v>
          </cell>
          <cell r="H159" t="str">
            <v>PROJECT</v>
          </cell>
          <cell r="I159" t="str">
            <v>56</v>
          </cell>
          <cell r="J159" t="str">
            <v>CPC1</v>
          </cell>
          <cell r="K159" t="str">
            <v>5602</v>
          </cell>
          <cell r="L159" t="str">
            <v>POLYFLOOR</v>
          </cell>
          <cell r="M159" t="str">
            <v>560202</v>
          </cell>
          <cell r="N159" t="str">
            <v>POLYFLOOR EPOXY</v>
          </cell>
        </row>
        <row r="160">
          <cell r="C160" t="str">
            <v>100001149</v>
          </cell>
          <cell r="D160" t="str">
            <v>PFT-253 RAL 6010 VN-16KP</v>
          </cell>
          <cell r="E160" t="str">
            <v>ZFGD</v>
          </cell>
          <cell r="F160" t="str">
            <v>PC</v>
          </cell>
          <cell r="G160" t="str">
            <v>5</v>
          </cell>
          <cell r="H160" t="str">
            <v>PROJECT</v>
          </cell>
          <cell r="I160" t="str">
            <v>56</v>
          </cell>
          <cell r="J160" t="str">
            <v>CPC1</v>
          </cell>
          <cell r="K160" t="str">
            <v>5602</v>
          </cell>
          <cell r="L160" t="str">
            <v>POLYFLOOR</v>
          </cell>
          <cell r="M160" t="str">
            <v>560202</v>
          </cell>
          <cell r="N160" t="str">
            <v>POLYFLOOR EPOXY</v>
          </cell>
        </row>
        <row r="161">
          <cell r="C161" t="str">
            <v>100001150</v>
          </cell>
          <cell r="D161" t="str">
            <v>PFT-253 RAL 6010 VN-5KS</v>
          </cell>
          <cell r="E161" t="str">
            <v>ZFGD</v>
          </cell>
          <cell r="F161" t="str">
            <v>SET</v>
          </cell>
          <cell r="G161" t="str">
            <v>5</v>
          </cell>
          <cell r="H161" t="str">
            <v>PROJECT</v>
          </cell>
          <cell r="I161" t="str">
            <v>56</v>
          </cell>
          <cell r="J161" t="str">
            <v>CPC1</v>
          </cell>
          <cell r="K161" t="str">
            <v>5602</v>
          </cell>
          <cell r="L161" t="str">
            <v>POLYFLOOR</v>
          </cell>
          <cell r="M161" t="str">
            <v>560202</v>
          </cell>
          <cell r="N161" t="str">
            <v>POLYFLOOR EPOXY</v>
          </cell>
        </row>
        <row r="162">
          <cell r="C162" t="str">
            <v>100001151</v>
          </cell>
          <cell r="D162" t="str">
            <v>PFT-253 RAL 6010 VN-4K</v>
          </cell>
          <cell r="E162" t="str">
            <v>ZFGD</v>
          </cell>
          <cell r="F162" t="str">
            <v>PC</v>
          </cell>
          <cell r="G162" t="str">
            <v>5</v>
          </cell>
          <cell r="H162" t="str">
            <v>PROJECT</v>
          </cell>
          <cell r="I162" t="str">
            <v>56</v>
          </cell>
          <cell r="J162" t="str">
            <v>CPC1</v>
          </cell>
          <cell r="K162" t="str">
            <v>5602</v>
          </cell>
          <cell r="L162" t="str">
            <v>POLYFLOOR</v>
          </cell>
          <cell r="M162" t="str">
            <v>560202</v>
          </cell>
          <cell r="N162" t="str">
            <v>POLYFLOOR EPOXY</v>
          </cell>
        </row>
        <row r="163">
          <cell r="C163" t="str">
            <v>100001152</v>
          </cell>
          <cell r="D163" t="str">
            <v>PFT-253 DARK BLUE MH 01 VN-20KSP</v>
          </cell>
          <cell r="E163" t="str">
            <v>ZFGD</v>
          </cell>
          <cell r="F163" t="str">
            <v>SET</v>
          </cell>
          <cell r="G163" t="str">
            <v>5</v>
          </cell>
          <cell r="H163" t="str">
            <v>PROJECT</v>
          </cell>
          <cell r="I163" t="str">
            <v>56</v>
          </cell>
          <cell r="J163" t="str">
            <v>CPC1</v>
          </cell>
          <cell r="K163" t="str">
            <v>5602</v>
          </cell>
          <cell r="L163" t="str">
            <v>POLYFLOOR</v>
          </cell>
          <cell r="M163" t="str">
            <v>560202</v>
          </cell>
          <cell r="N163" t="str">
            <v>POLYFLOOR EPOXY</v>
          </cell>
        </row>
        <row r="164">
          <cell r="C164" t="str">
            <v>100001153</v>
          </cell>
          <cell r="D164" t="str">
            <v>PFT-253 DARK BLUE MH 01 VN-16KP</v>
          </cell>
          <cell r="E164" t="str">
            <v>ZFGD</v>
          </cell>
          <cell r="F164" t="str">
            <v>PC</v>
          </cell>
          <cell r="G164" t="str">
            <v>5</v>
          </cell>
          <cell r="H164" t="str">
            <v>PROJECT</v>
          </cell>
          <cell r="I164" t="str">
            <v>56</v>
          </cell>
          <cell r="J164" t="str">
            <v>CPC1</v>
          </cell>
          <cell r="K164" t="str">
            <v>5602</v>
          </cell>
          <cell r="L164" t="str">
            <v>POLYFLOOR</v>
          </cell>
          <cell r="M164" t="str">
            <v>560202</v>
          </cell>
          <cell r="N164" t="str">
            <v>POLYFLOOR EPOXY</v>
          </cell>
        </row>
        <row r="165">
          <cell r="C165" t="str">
            <v>100001154</v>
          </cell>
          <cell r="D165" t="str">
            <v>PFT-253 DARK BLUE MH 01 VN-5KS</v>
          </cell>
          <cell r="E165" t="str">
            <v>ZFGD</v>
          </cell>
          <cell r="F165" t="str">
            <v>SET</v>
          </cell>
          <cell r="G165" t="str">
            <v>5</v>
          </cell>
          <cell r="H165" t="str">
            <v>PROJECT</v>
          </cell>
          <cell r="I165" t="str">
            <v>56</v>
          </cell>
          <cell r="J165" t="str">
            <v>CPC1</v>
          </cell>
          <cell r="K165" t="str">
            <v>5602</v>
          </cell>
          <cell r="L165" t="str">
            <v>POLYFLOOR</v>
          </cell>
          <cell r="M165" t="str">
            <v>560202</v>
          </cell>
          <cell r="N165" t="str">
            <v>POLYFLOOR EPOXY</v>
          </cell>
        </row>
        <row r="166">
          <cell r="C166" t="str">
            <v>100001155</v>
          </cell>
          <cell r="D166" t="str">
            <v>PFT-253 DARK BLUE MH 01 VN-4K</v>
          </cell>
          <cell r="E166" t="str">
            <v>ZFGD</v>
          </cell>
          <cell r="F166" t="str">
            <v>PC</v>
          </cell>
          <cell r="G166" t="str">
            <v>5</v>
          </cell>
          <cell r="H166" t="str">
            <v>PROJECT</v>
          </cell>
          <cell r="I166" t="str">
            <v>56</v>
          </cell>
          <cell r="J166" t="str">
            <v>CPC1</v>
          </cell>
          <cell r="K166" t="str">
            <v>5602</v>
          </cell>
          <cell r="L166" t="str">
            <v>POLYFLOOR</v>
          </cell>
          <cell r="M166" t="str">
            <v>560202</v>
          </cell>
          <cell r="N166" t="str">
            <v>POLYFLOOR EPOXY</v>
          </cell>
        </row>
        <row r="167">
          <cell r="C167" t="str">
            <v>100001156</v>
          </cell>
          <cell r="D167" t="str">
            <v>PFT-253 BLUE TDC VN-20KSP</v>
          </cell>
          <cell r="E167" t="str">
            <v>ZFGD</v>
          </cell>
          <cell r="F167" t="str">
            <v>SET</v>
          </cell>
          <cell r="G167" t="str">
            <v>5</v>
          </cell>
          <cell r="H167" t="str">
            <v>PROJECT</v>
          </cell>
          <cell r="I167" t="str">
            <v>56</v>
          </cell>
          <cell r="J167" t="str">
            <v>CPC1</v>
          </cell>
          <cell r="K167" t="str">
            <v>5602</v>
          </cell>
          <cell r="L167" t="str">
            <v>POLYFLOOR</v>
          </cell>
          <cell r="M167" t="str">
            <v>560202</v>
          </cell>
          <cell r="N167" t="str">
            <v>POLYFLOOR EPOXY</v>
          </cell>
        </row>
        <row r="168">
          <cell r="C168" t="str">
            <v>100001157</v>
          </cell>
          <cell r="D168" t="str">
            <v>PFT-253 BLUE TDC VN-16KP</v>
          </cell>
          <cell r="E168" t="str">
            <v>ZFGD</v>
          </cell>
          <cell r="F168" t="str">
            <v>PC</v>
          </cell>
          <cell r="G168" t="str">
            <v>5</v>
          </cell>
          <cell r="H168" t="str">
            <v>PROJECT</v>
          </cell>
          <cell r="I168" t="str">
            <v>56</v>
          </cell>
          <cell r="J168" t="str">
            <v>CPC1</v>
          </cell>
          <cell r="K168" t="str">
            <v>5602</v>
          </cell>
          <cell r="L168" t="str">
            <v>POLYFLOOR</v>
          </cell>
          <cell r="M168" t="str">
            <v>560202</v>
          </cell>
          <cell r="N168" t="str">
            <v>POLYFLOOR EPOXY</v>
          </cell>
        </row>
        <row r="169">
          <cell r="C169" t="str">
            <v>100001158</v>
          </cell>
          <cell r="D169" t="str">
            <v>PFT-253 BLUE TDC VN-5KS</v>
          </cell>
          <cell r="E169" t="str">
            <v>ZFGD</v>
          </cell>
          <cell r="F169" t="str">
            <v>SET</v>
          </cell>
          <cell r="G169" t="str">
            <v>5</v>
          </cell>
          <cell r="H169" t="str">
            <v>PROJECT</v>
          </cell>
          <cell r="I169" t="str">
            <v>56</v>
          </cell>
          <cell r="J169" t="str">
            <v>CPC1</v>
          </cell>
          <cell r="K169" t="str">
            <v>5602</v>
          </cell>
          <cell r="L169" t="str">
            <v>POLYFLOOR</v>
          </cell>
          <cell r="M169" t="str">
            <v>560202</v>
          </cell>
          <cell r="N169" t="str">
            <v>POLYFLOOR EPOXY</v>
          </cell>
        </row>
        <row r="170">
          <cell r="C170" t="str">
            <v>100001159</v>
          </cell>
          <cell r="D170" t="str">
            <v>PFT-253 BLUE TDC VN-4K</v>
          </cell>
          <cell r="E170" t="str">
            <v>ZFGD</v>
          </cell>
          <cell r="F170" t="str">
            <v>PC</v>
          </cell>
          <cell r="G170" t="str">
            <v>5</v>
          </cell>
          <cell r="H170" t="str">
            <v>PROJECT</v>
          </cell>
          <cell r="I170" t="str">
            <v>56</v>
          </cell>
          <cell r="J170" t="str">
            <v>CPC1</v>
          </cell>
          <cell r="K170" t="str">
            <v>5602</v>
          </cell>
          <cell r="L170" t="str">
            <v>POLYFLOOR</v>
          </cell>
          <cell r="M170" t="str">
            <v>560202</v>
          </cell>
          <cell r="N170" t="str">
            <v>POLYFLOOR EPOXY</v>
          </cell>
        </row>
        <row r="171">
          <cell r="C171" t="str">
            <v>100001160</v>
          </cell>
          <cell r="D171" t="str">
            <v>PFT-253 DARK GREEN TDC VN-20KSP</v>
          </cell>
          <cell r="E171" t="str">
            <v>ZFGD</v>
          </cell>
          <cell r="F171" t="str">
            <v>SET</v>
          </cell>
          <cell r="G171" t="str">
            <v>5</v>
          </cell>
          <cell r="H171" t="str">
            <v>PROJECT</v>
          </cell>
          <cell r="I171" t="str">
            <v>56</v>
          </cell>
          <cell r="J171" t="str">
            <v>CPC1</v>
          </cell>
          <cell r="K171" t="str">
            <v>5602</v>
          </cell>
          <cell r="L171" t="str">
            <v>POLYFLOOR</v>
          </cell>
          <cell r="M171" t="str">
            <v>560202</v>
          </cell>
          <cell r="N171" t="str">
            <v>POLYFLOOR EPOXY</v>
          </cell>
        </row>
        <row r="172">
          <cell r="C172" t="str">
            <v>100001161</v>
          </cell>
          <cell r="D172" t="str">
            <v>PFT-253 DARK GREEN TDC VN-16KP</v>
          </cell>
          <cell r="E172" t="str">
            <v>ZFGD</v>
          </cell>
          <cell r="F172" t="str">
            <v>PC</v>
          </cell>
          <cell r="G172" t="str">
            <v>5</v>
          </cell>
          <cell r="H172" t="str">
            <v>PROJECT</v>
          </cell>
          <cell r="I172" t="str">
            <v>56</v>
          </cell>
          <cell r="J172" t="str">
            <v>CPC1</v>
          </cell>
          <cell r="K172" t="str">
            <v>5602</v>
          </cell>
          <cell r="L172" t="str">
            <v>POLYFLOOR</v>
          </cell>
          <cell r="M172" t="str">
            <v>560202</v>
          </cell>
          <cell r="N172" t="str">
            <v>POLYFLOOR EPOXY</v>
          </cell>
        </row>
        <row r="173">
          <cell r="C173" t="str">
            <v>100001162</v>
          </cell>
          <cell r="D173" t="str">
            <v>PFT-253 DARK GREEN TDC VN-5KS</v>
          </cell>
          <cell r="E173" t="str">
            <v>ZFGD</v>
          </cell>
          <cell r="F173" t="str">
            <v>SET</v>
          </cell>
          <cell r="G173" t="str">
            <v>5</v>
          </cell>
          <cell r="H173" t="str">
            <v>PROJECT</v>
          </cell>
          <cell r="I173" t="str">
            <v>56</v>
          </cell>
          <cell r="J173" t="str">
            <v>CPC1</v>
          </cell>
          <cell r="K173" t="str">
            <v>5602</v>
          </cell>
          <cell r="L173" t="str">
            <v>POLYFLOOR</v>
          </cell>
          <cell r="M173" t="str">
            <v>560202</v>
          </cell>
          <cell r="N173" t="str">
            <v>POLYFLOOR EPOXY</v>
          </cell>
        </row>
        <row r="174">
          <cell r="C174" t="str">
            <v>100001163</v>
          </cell>
          <cell r="D174" t="str">
            <v>PFT-253 DARK GREEN TDC VN-4K</v>
          </cell>
          <cell r="E174" t="str">
            <v>ZFGD</v>
          </cell>
          <cell r="F174" t="str">
            <v>PC</v>
          </cell>
          <cell r="G174" t="str">
            <v>5</v>
          </cell>
          <cell r="H174" t="str">
            <v>PROJECT</v>
          </cell>
          <cell r="I174" t="str">
            <v>56</v>
          </cell>
          <cell r="J174" t="str">
            <v>CPC1</v>
          </cell>
          <cell r="K174" t="str">
            <v>5602</v>
          </cell>
          <cell r="L174" t="str">
            <v>POLYFLOOR</v>
          </cell>
          <cell r="M174" t="str">
            <v>560202</v>
          </cell>
          <cell r="N174" t="str">
            <v>POLYFLOOR EPOXY</v>
          </cell>
        </row>
        <row r="175">
          <cell r="C175" t="str">
            <v>100001164</v>
          </cell>
          <cell r="D175" t="str">
            <v>PFT-253-01 GREY VN-20KSP</v>
          </cell>
          <cell r="E175" t="str">
            <v>ZFGD</v>
          </cell>
          <cell r="F175" t="str">
            <v>SET</v>
          </cell>
          <cell r="G175" t="str">
            <v>5</v>
          </cell>
          <cell r="H175" t="str">
            <v>PROJECT</v>
          </cell>
          <cell r="I175" t="str">
            <v>56</v>
          </cell>
          <cell r="J175" t="str">
            <v>CPC1</v>
          </cell>
          <cell r="K175" t="str">
            <v>5602</v>
          </cell>
          <cell r="L175" t="str">
            <v>POLYFLOOR</v>
          </cell>
          <cell r="M175" t="str">
            <v>560202</v>
          </cell>
          <cell r="N175" t="str">
            <v>POLYFLOOR EPOXY</v>
          </cell>
        </row>
        <row r="176">
          <cell r="C176" t="str">
            <v>100001165</v>
          </cell>
          <cell r="D176" t="str">
            <v>PFT-253-01 GREY VN-16KP</v>
          </cell>
          <cell r="E176" t="str">
            <v>ZFGD</v>
          </cell>
          <cell r="F176" t="str">
            <v>PC</v>
          </cell>
          <cell r="G176" t="str">
            <v>5</v>
          </cell>
          <cell r="H176" t="str">
            <v>PROJECT</v>
          </cell>
          <cell r="I176" t="str">
            <v>56</v>
          </cell>
          <cell r="J176" t="str">
            <v>CPC1</v>
          </cell>
          <cell r="K176" t="str">
            <v>5602</v>
          </cell>
          <cell r="L176" t="str">
            <v>POLYFLOOR</v>
          </cell>
          <cell r="M176" t="str">
            <v>560202</v>
          </cell>
          <cell r="N176" t="str">
            <v>POLYFLOOR EPOXY</v>
          </cell>
        </row>
        <row r="177">
          <cell r="C177" t="str">
            <v>100001166</v>
          </cell>
          <cell r="D177" t="str">
            <v>PFT-253-01 GREY VN-5KS</v>
          </cell>
          <cell r="E177" t="str">
            <v>ZFGD</v>
          </cell>
          <cell r="F177" t="str">
            <v>SET</v>
          </cell>
          <cell r="G177" t="str">
            <v>5</v>
          </cell>
          <cell r="H177" t="str">
            <v>PROJECT</v>
          </cell>
          <cell r="I177" t="str">
            <v>56</v>
          </cell>
          <cell r="J177" t="str">
            <v>CPC1</v>
          </cell>
          <cell r="K177" t="str">
            <v>5602</v>
          </cell>
          <cell r="L177" t="str">
            <v>POLYFLOOR</v>
          </cell>
          <cell r="M177" t="str">
            <v>560202</v>
          </cell>
          <cell r="N177" t="str">
            <v>POLYFLOOR EPOXY</v>
          </cell>
        </row>
        <row r="178">
          <cell r="C178" t="str">
            <v>100001167</v>
          </cell>
          <cell r="D178" t="str">
            <v>PFT-253-01 GREY VN-4K</v>
          </cell>
          <cell r="E178" t="str">
            <v>ZFGD</v>
          </cell>
          <cell r="F178" t="str">
            <v>PC</v>
          </cell>
          <cell r="G178" t="str">
            <v>5</v>
          </cell>
          <cell r="H178" t="str">
            <v>PROJECT</v>
          </cell>
          <cell r="I178" t="str">
            <v>56</v>
          </cell>
          <cell r="J178" t="str">
            <v>CPC1</v>
          </cell>
          <cell r="K178" t="str">
            <v>5602</v>
          </cell>
          <cell r="L178" t="str">
            <v>POLYFLOOR</v>
          </cell>
          <cell r="M178" t="str">
            <v>560202</v>
          </cell>
          <cell r="N178" t="str">
            <v>POLYFLOOR EPOXY</v>
          </cell>
        </row>
        <row r="179">
          <cell r="C179" t="str">
            <v>100001168</v>
          </cell>
          <cell r="D179" t="str">
            <v>UPR-960 BLACK 9406 VN-4K</v>
          </cell>
          <cell r="E179" t="str">
            <v>ZFGD</v>
          </cell>
          <cell r="F179" t="str">
            <v>PC</v>
          </cell>
          <cell r="G179" t="str">
            <v>2</v>
          </cell>
          <cell r="H179" t="str">
            <v>RETAIL</v>
          </cell>
          <cell r="I179" t="str">
            <v>2D</v>
          </cell>
          <cell r="J179" t="str">
            <v>APCT2</v>
          </cell>
          <cell r="K179" t="str">
            <v>2D01</v>
          </cell>
          <cell r="L179" t="str">
            <v>ULTRAPROOF</v>
          </cell>
          <cell r="M179" t="str">
            <v>2D0101</v>
          </cell>
          <cell r="N179" t="str">
            <v>ULTRAPROOF RMX</v>
          </cell>
        </row>
        <row r="180">
          <cell r="C180" t="str">
            <v>100001169</v>
          </cell>
          <cell r="D180" t="str">
            <v>UPR-960 BLACK 9406 VN-20KP</v>
          </cell>
          <cell r="E180" t="str">
            <v>ZFGD</v>
          </cell>
          <cell r="F180" t="str">
            <v>PC</v>
          </cell>
          <cell r="G180" t="str">
            <v>2</v>
          </cell>
          <cell r="H180" t="str">
            <v>RETAIL</v>
          </cell>
          <cell r="I180" t="str">
            <v>2D</v>
          </cell>
          <cell r="J180" t="str">
            <v>APCT2</v>
          </cell>
          <cell r="K180" t="str">
            <v>2D01</v>
          </cell>
          <cell r="L180" t="str">
            <v>ULTRAPROOF</v>
          </cell>
          <cell r="M180" t="str">
            <v>2D0101</v>
          </cell>
          <cell r="N180" t="str">
            <v>ULTRAPROOF RMX</v>
          </cell>
        </row>
        <row r="181">
          <cell r="C181" t="str">
            <v>100001170</v>
          </cell>
          <cell r="D181" t="str">
            <v>UPR-960 DARK BROWN 2406 VN-4K</v>
          </cell>
          <cell r="E181" t="str">
            <v>ZFGD</v>
          </cell>
          <cell r="F181" t="str">
            <v>PC</v>
          </cell>
          <cell r="G181" t="str">
            <v>2</v>
          </cell>
          <cell r="H181" t="str">
            <v>RETAIL</v>
          </cell>
          <cell r="I181" t="str">
            <v>2D</v>
          </cell>
          <cell r="J181" t="str">
            <v>APCT2</v>
          </cell>
          <cell r="K181" t="str">
            <v>2D01</v>
          </cell>
          <cell r="L181" t="str">
            <v>ULTRAPROOF</v>
          </cell>
          <cell r="M181" t="str">
            <v>2D0101</v>
          </cell>
          <cell r="N181" t="str">
            <v>ULTRAPROOF RMX</v>
          </cell>
        </row>
        <row r="182">
          <cell r="C182" t="str">
            <v>100001171</v>
          </cell>
          <cell r="D182" t="str">
            <v>UPR-960 DARK BROWN 2406 VN-20KP</v>
          </cell>
          <cell r="E182" t="str">
            <v>ZFGD</v>
          </cell>
          <cell r="F182" t="str">
            <v>PC</v>
          </cell>
          <cell r="G182" t="str">
            <v>2</v>
          </cell>
          <cell r="H182" t="str">
            <v>RETAIL</v>
          </cell>
          <cell r="I182" t="str">
            <v>2D</v>
          </cell>
          <cell r="J182" t="str">
            <v>APCT2</v>
          </cell>
          <cell r="K182" t="str">
            <v>2D01</v>
          </cell>
          <cell r="L182" t="str">
            <v>ULTRAPROOF</v>
          </cell>
          <cell r="M182" t="str">
            <v>2D0101</v>
          </cell>
          <cell r="N182" t="str">
            <v>ULTRAPROOF RMX</v>
          </cell>
        </row>
        <row r="183">
          <cell r="C183" t="str">
            <v>100001172</v>
          </cell>
          <cell r="D183" t="str">
            <v>UPR-960 HARVEST 3404 VN-4K</v>
          </cell>
          <cell r="E183" t="str">
            <v>ZFGD</v>
          </cell>
          <cell r="F183" t="str">
            <v>PC</v>
          </cell>
          <cell r="G183" t="str">
            <v>2</v>
          </cell>
          <cell r="H183" t="str">
            <v>RETAIL</v>
          </cell>
          <cell r="I183" t="str">
            <v>2D</v>
          </cell>
          <cell r="J183" t="str">
            <v>APCT2</v>
          </cell>
          <cell r="K183" t="str">
            <v>2D01</v>
          </cell>
          <cell r="L183" t="str">
            <v>ULTRAPROOF</v>
          </cell>
          <cell r="M183" t="str">
            <v>2D0101</v>
          </cell>
          <cell r="N183" t="str">
            <v>ULTRAPROOF RMX</v>
          </cell>
        </row>
        <row r="184">
          <cell r="C184" t="str">
            <v>100001173</v>
          </cell>
          <cell r="D184" t="str">
            <v>UPR-960 HARVEST 3404 VN-20KP</v>
          </cell>
          <cell r="E184" t="str">
            <v>ZFGD</v>
          </cell>
          <cell r="F184" t="str">
            <v>PC</v>
          </cell>
          <cell r="G184" t="str">
            <v>2</v>
          </cell>
          <cell r="H184" t="str">
            <v>RETAIL</v>
          </cell>
          <cell r="I184" t="str">
            <v>2D</v>
          </cell>
          <cell r="J184" t="str">
            <v>APCT2</v>
          </cell>
          <cell r="K184" t="str">
            <v>2D01</v>
          </cell>
          <cell r="L184" t="str">
            <v>ULTRAPROOF</v>
          </cell>
          <cell r="M184" t="str">
            <v>2D0101</v>
          </cell>
          <cell r="N184" t="str">
            <v>ULTRAPROOF RMX</v>
          </cell>
        </row>
        <row r="185">
          <cell r="C185" t="str">
            <v>100001174</v>
          </cell>
          <cell r="D185" t="str">
            <v>UPR-960 LIGHT GREY 7114 VN-4K</v>
          </cell>
          <cell r="E185" t="str">
            <v>ZFGD</v>
          </cell>
          <cell r="F185" t="str">
            <v>PC</v>
          </cell>
          <cell r="G185" t="str">
            <v>2</v>
          </cell>
          <cell r="H185" t="str">
            <v>RETAIL</v>
          </cell>
          <cell r="I185" t="str">
            <v>2D</v>
          </cell>
          <cell r="J185" t="str">
            <v>APCT2</v>
          </cell>
          <cell r="K185" t="str">
            <v>2D01</v>
          </cell>
          <cell r="L185" t="str">
            <v>ULTRAPROOF</v>
          </cell>
          <cell r="M185" t="str">
            <v>2D0101</v>
          </cell>
          <cell r="N185" t="str">
            <v>ULTRAPROOF RMX</v>
          </cell>
        </row>
        <row r="186">
          <cell r="C186" t="str">
            <v>100001175</v>
          </cell>
          <cell r="D186" t="str">
            <v>UPR-960 LIGHT GREY 7114 VN-20KP</v>
          </cell>
          <cell r="E186" t="str">
            <v>ZFGD</v>
          </cell>
          <cell r="F186" t="str">
            <v>PC</v>
          </cell>
          <cell r="G186" t="str">
            <v>2</v>
          </cell>
          <cell r="H186" t="str">
            <v>RETAIL</v>
          </cell>
          <cell r="I186" t="str">
            <v>2D</v>
          </cell>
          <cell r="J186" t="str">
            <v>APCT2</v>
          </cell>
          <cell r="K186" t="str">
            <v>2D01</v>
          </cell>
          <cell r="L186" t="str">
            <v>ULTRAPROOF</v>
          </cell>
          <cell r="M186" t="str">
            <v>2D0101</v>
          </cell>
          <cell r="N186" t="str">
            <v>ULTRAPROOF RMX</v>
          </cell>
        </row>
        <row r="187">
          <cell r="C187" t="str">
            <v>100001176</v>
          </cell>
          <cell r="D187" t="str">
            <v>UPR-960 WHITE 9101 VN-4K</v>
          </cell>
          <cell r="E187" t="str">
            <v>ZFGD</v>
          </cell>
          <cell r="F187" t="str">
            <v>PC</v>
          </cell>
          <cell r="G187" t="str">
            <v>2</v>
          </cell>
          <cell r="H187" t="str">
            <v>RETAIL</v>
          </cell>
          <cell r="I187" t="str">
            <v>2D</v>
          </cell>
          <cell r="J187" t="str">
            <v>APCT2</v>
          </cell>
          <cell r="K187" t="str">
            <v>2D01</v>
          </cell>
          <cell r="L187" t="str">
            <v>ULTRAPROOF</v>
          </cell>
          <cell r="M187" t="str">
            <v>2D0101</v>
          </cell>
          <cell r="N187" t="str">
            <v>ULTRAPROOF RMX</v>
          </cell>
        </row>
        <row r="188">
          <cell r="C188" t="str">
            <v>100001177</v>
          </cell>
          <cell r="D188" t="str">
            <v>UPR-960 WHITE 9101 VN-20KP</v>
          </cell>
          <cell r="E188" t="str">
            <v>ZFGD</v>
          </cell>
          <cell r="F188" t="str">
            <v>PC</v>
          </cell>
          <cell r="G188" t="str">
            <v>2</v>
          </cell>
          <cell r="H188" t="str">
            <v>RETAIL</v>
          </cell>
          <cell r="I188" t="str">
            <v>2D</v>
          </cell>
          <cell r="J188" t="str">
            <v>APCT2</v>
          </cell>
          <cell r="K188" t="str">
            <v>2D01</v>
          </cell>
          <cell r="L188" t="str">
            <v>ULTRAPROOF</v>
          </cell>
          <cell r="M188" t="str">
            <v>2D0101</v>
          </cell>
          <cell r="N188" t="str">
            <v>ULTRAPROOF RMX</v>
          </cell>
        </row>
        <row r="189">
          <cell r="C189" t="str">
            <v>100001178</v>
          </cell>
          <cell r="D189" t="str">
            <v>UPR-960 ARMY GREEN 7414 VN-4K</v>
          </cell>
          <cell r="E189" t="str">
            <v>ZFGD</v>
          </cell>
          <cell r="F189" t="str">
            <v>PC</v>
          </cell>
          <cell r="G189" t="str">
            <v>2</v>
          </cell>
          <cell r="H189" t="str">
            <v>RETAIL</v>
          </cell>
          <cell r="I189" t="str">
            <v>2D</v>
          </cell>
          <cell r="J189" t="str">
            <v>APCT2</v>
          </cell>
          <cell r="K189" t="str">
            <v>2D01</v>
          </cell>
          <cell r="L189" t="str">
            <v>ULTRAPROOF</v>
          </cell>
          <cell r="M189" t="str">
            <v>2D0101</v>
          </cell>
          <cell r="N189" t="str">
            <v>ULTRAPROOF RMX</v>
          </cell>
        </row>
        <row r="190">
          <cell r="C190" t="str">
            <v>100001179</v>
          </cell>
          <cell r="D190" t="str">
            <v>UPR-960 ARMY GREEN 7414 VN-20KP</v>
          </cell>
          <cell r="E190" t="str">
            <v>ZFGD</v>
          </cell>
          <cell r="F190" t="str">
            <v>PC</v>
          </cell>
          <cell r="G190" t="str">
            <v>2</v>
          </cell>
          <cell r="H190" t="str">
            <v>RETAIL</v>
          </cell>
          <cell r="I190" t="str">
            <v>2D</v>
          </cell>
          <cell r="J190" t="str">
            <v>APCT2</v>
          </cell>
          <cell r="K190" t="str">
            <v>2D01</v>
          </cell>
          <cell r="L190" t="str">
            <v>ULTRAPROOF</v>
          </cell>
          <cell r="M190" t="str">
            <v>2D0101</v>
          </cell>
          <cell r="N190" t="str">
            <v>ULTRAPROOF RMX</v>
          </cell>
        </row>
        <row r="191">
          <cell r="C191" t="str">
            <v>100001180</v>
          </cell>
          <cell r="D191" t="str">
            <v>UPR-960 PASTEL GREY 8403 VN-4K</v>
          </cell>
          <cell r="E191" t="str">
            <v>ZFGD</v>
          </cell>
          <cell r="F191" t="str">
            <v>PC</v>
          </cell>
          <cell r="G191" t="str">
            <v>2</v>
          </cell>
          <cell r="H191" t="str">
            <v>RETAIL</v>
          </cell>
          <cell r="I191" t="str">
            <v>2D</v>
          </cell>
          <cell r="J191" t="str">
            <v>APCT2</v>
          </cell>
          <cell r="K191" t="str">
            <v>2D01</v>
          </cell>
          <cell r="L191" t="str">
            <v>ULTRAPROOF</v>
          </cell>
          <cell r="M191" t="str">
            <v>2D0101</v>
          </cell>
          <cell r="N191" t="str">
            <v>ULTRAPROOF RMX</v>
          </cell>
        </row>
        <row r="192">
          <cell r="C192" t="str">
            <v>100001181</v>
          </cell>
          <cell r="D192" t="str">
            <v>UPR-960 PASTEL GREY 8403 VN-20KP</v>
          </cell>
          <cell r="E192" t="str">
            <v>ZFGD</v>
          </cell>
          <cell r="F192" t="str">
            <v>PC</v>
          </cell>
          <cell r="G192" t="str">
            <v>2</v>
          </cell>
          <cell r="H192" t="str">
            <v>RETAIL</v>
          </cell>
          <cell r="I192" t="str">
            <v>2D</v>
          </cell>
          <cell r="J192" t="str">
            <v>APCT2</v>
          </cell>
          <cell r="K192" t="str">
            <v>2D01</v>
          </cell>
          <cell r="L192" t="str">
            <v>ULTRAPROOF</v>
          </cell>
          <cell r="M192" t="str">
            <v>2D0101</v>
          </cell>
          <cell r="N192" t="str">
            <v>ULTRAPROOF RMX</v>
          </cell>
        </row>
        <row r="193">
          <cell r="C193" t="str">
            <v>100001182</v>
          </cell>
          <cell r="D193" t="str">
            <v>UPR-960 APRICOT 1141 VN-4K</v>
          </cell>
          <cell r="E193" t="str">
            <v>ZFGD</v>
          </cell>
          <cell r="F193" t="str">
            <v>PC</v>
          </cell>
          <cell r="G193" t="str">
            <v>2</v>
          </cell>
          <cell r="H193" t="str">
            <v>RETAIL</v>
          </cell>
          <cell r="I193" t="str">
            <v>2D</v>
          </cell>
          <cell r="J193" t="str">
            <v>APCT2</v>
          </cell>
          <cell r="K193" t="str">
            <v>2D01</v>
          </cell>
          <cell r="L193" t="str">
            <v>ULTRAPROOF</v>
          </cell>
          <cell r="M193" t="str">
            <v>2D0101</v>
          </cell>
          <cell r="N193" t="str">
            <v>ULTRAPROOF RMX</v>
          </cell>
        </row>
        <row r="194">
          <cell r="C194" t="str">
            <v>100001183</v>
          </cell>
          <cell r="D194" t="str">
            <v>UPR-960 APRICOT 1141 VN-20KP</v>
          </cell>
          <cell r="E194" t="str">
            <v>ZFGD</v>
          </cell>
          <cell r="F194" t="str">
            <v>PC</v>
          </cell>
          <cell r="G194" t="str">
            <v>2</v>
          </cell>
          <cell r="H194" t="str">
            <v>RETAIL</v>
          </cell>
          <cell r="I194" t="str">
            <v>2D</v>
          </cell>
          <cell r="J194" t="str">
            <v>APCT2</v>
          </cell>
          <cell r="K194" t="str">
            <v>2D01</v>
          </cell>
          <cell r="L194" t="str">
            <v>ULTRAPROOF</v>
          </cell>
          <cell r="M194" t="str">
            <v>2D0101</v>
          </cell>
          <cell r="N194" t="str">
            <v>ULTRAPROOF RMX</v>
          </cell>
        </row>
        <row r="195">
          <cell r="C195" t="str">
            <v>100001184</v>
          </cell>
          <cell r="D195" t="str">
            <v>UPR-960 SKY BLUE 7101 VN-4K</v>
          </cell>
          <cell r="E195" t="str">
            <v>ZFGD</v>
          </cell>
          <cell r="F195" t="str">
            <v>PC</v>
          </cell>
          <cell r="G195" t="str">
            <v>2</v>
          </cell>
          <cell r="H195" t="str">
            <v>RETAIL</v>
          </cell>
          <cell r="I195" t="str">
            <v>2D</v>
          </cell>
          <cell r="J195" t="str">
            <v>APCT2</v>
          </cell>
          <cell r="K195" t="str">
            <v>2D01</v>
          </cell>
          <cell r="L195" t="str">
            <v>ULTRAPROOF</v>
          </cell>
          <cell r="M195" t="str">
            <v>2D0101</v>
          </cell>
          <cell r="N195" t="str">
            <v>ULTRAPROOF RMX</v>
          </cell>
        </row>
        <row r="196">
          <cell r="C196" t="str">
            <v>100001185</v>
          </cell>
          <cell r="D196" t="str">
            <v>UPR-960 SKY BLUE 7101 VN-20KP</v>
          </cell>
          <cell r="E196" t="str">
            <v>ZFGD</v>
          </cell>
          <cell r="F196" t="str">
            <v>PC</v>
          </cell>
          <cell r="G196" t="str">
            <v>2</v>
          </cell>
          <cell r="H196" t="str">
            <v>RETAIL</v>
          </cell>
          <cell r="I196" t="str">
            <v>2D</v>
          </cell>
          <cell r="J196" t="str">
            <v>APCT2</v>
          </cell>
          <cell r="K196" t="str">
            <v>2D01</v>
          </cell>
          <cell r="L196" t="str">
            <v>ULTRAPROOF</v>
          </cell>
          <cell r="M196" t="str">
            <v>2D0101</v>
          </cell>
          <cell r="N196" t="str">
            <v>ULTRAPROOF RMX</v>
          </cell>
        </row>
        <row r="197">
          <cell r="C197" t="str">
            <v>100001186</v>
          </cell>
          <cell r="D197" t="str">
            <v>UPR-960 MARINE GREEN 7107 VN-4K</v>
          </cell>
          <cell r="E197" t="str">
            <v>ZFGD</v>
          </cell>
          <cell r="F197" t="str">
            <v>PC</v>
          </cell>
          <cell r="G197" t="str">
            <v>2</v>
          </cell>
          <cell r="H197" t="str">
            <v>RETAIL</v>
          </cell>
          <cell r="I197" t="str">
            <v>2D</v>
          </cell>
          <cell r="J197" t="str">
            <v>APCT2</v>
          </cell>
          <cell r="K197" t="str">
            <v>2D01</v>
          </cell>
          <cell r="L197" t="str">
            <v>ULTRAPROOF</v>
          </cell>
          <cell r="M197" t="str">
            <v>2D0101</v>
          </cell>
          <cell r="N197" t="str">
            <v>ULTRAPROOF RMX</v>
          </cell>
        </row>
        <row r="198">
          <cell r="C198" t="str">
            <v>100001187</v>
          </cell>
          <cell r="D198" t="str">
            <v>UPR-960 MARINE GREEN 7107 VN-20KP</v>
          </cell>
          <cell r="E198" t="str">
            <v>ZFGD</v>
          </cell>
          <cell r="F198" t="str">
            <v>PC</v>
          </cell>
          <cell r="G198" t="str">
            <v>2</v>
          </cell>
          <cell r="H198" t="str">
            <v>RETAIL</v>
          </cell>
          <cell r="I198" t="str">
            <v>2D</v>
          </cell>
          <cell r="J198" t="str">
            <v>APCT2</v>
          </cell>
          <cell r="K198" t="str">
            <v>2D01</v>
          </cell>
          <cell r="L198" t="str">
            <v>ULTRAPROOF</v>
          </cell>
          <cell r="M198" t="str">
            <v>2D0101</v>
          </cell>
          <cell r="N198" t="str">
            <v>ULTRAPROOF RMX</v>
          </cell>
        </row>
        <row r="199">
          <cell r="C199" t="str">
            <v>100001188</v>
          </cell>
          <cell r="D199" t="str">
            <v>UPR-960 BLUE MYSTERY 0041 VN-4K</v>
          </cell>
          <cell r="E199" t="str">
            <v>ZFGD</v>
          </cell>
          <cell r="F199" t="str">
            <v>PC</v>
          </cell>
          <cell r="G199" t="str">
            <v>2</v>
          </cell>
          <cell r="H199" t="str">
            <v>RETAIL</v>
          </cell>
          <cell r="I199" t="str">
            <v>2D</v>
          </cell>
          <cell r="J199" t="str">
            <v>APCT2</v>
          </cell>
          <cell r="K199" t="str">
            <v>2D01</v>
          </cell>
          <cell r="L199" t="str">
            <v>ULTRAPROOF</v>
          </cell>
          <cell r="M199" t="str">
            <v>2D0101</v>
          </cell>
          <cell r="N199" t="str">
            <v>ULTRAPROOF RMX</v>
          </cell>
        </row>
        <row r="200">
          <cell r="C200" t="str">
            <v>100001189</v>
          </cell>
          <cell r="D200" t="str">
            <v>UPR-960 BLUE MYSTERY 0041 VN-20KP</v>
          </cell>
          <cell r="E200" t="str">
            <v>ZFGD</v>
          </cell>
          <cell r="F200" t="str">
            <v>PC</v>
          </cell>
          <cell r="G200" t="str">
            <v>2</v>
          </cell>
          <cell r="H200" t="str">
            <v>RETAIL</v>
          </cell>
          <cell r="I200" t="str">
            <v>2D</v>
          </cell>
          <cell r="J200" t="str">
            <v>APCT2</v>
          </cell>
          <cell r="K200" t="str">
            <v>2D01</v>
          </cell>
          <cell r="L200" t="str">
            <v>ULTRAPROOF</v>
          </cell>
          <cell r="M200" t="str">
            <v>2D0101</v>
          </cell>
          <cell r="N200" t="str">
            <v>ULTRAPROOF RMX</v>
          </cell>
        </row>
        <row r="201">
          <cell r="C201" t="str">
            <v>100001190</v>
          </cell>
          <cell r="D201" t="str">
            <v>UPR-960 PRIME GREY 0044 VN-4K</v>
          </cell>
          <cell r="E201" t="str">
            <v>ZFGD</v>
          </cell>
          <cell r="F201" t="str">
            <v>PC</v>
          </cell>
          <cell r="G201" t="str">
            <v>2</v>
          </cell>
          <cell r="H201" t="str">
            <v>RETAIL</v>
          </cell>
          <cell r="I201" t="str">
            <v>2D</v>
          </cell>
          <cell r="J201" t="str">
            <v>APCT2</v>
          </cell>
          <cell r="K201" t="str">
            <v>2D01</v>
          </cell>
          <cell r="L201" t="str">
            <v>ULTRAPROOF</v>
          </cell>
          <cell r="M201" t="str">
            <v>2D0101</v>
          </cell>
          <cell r="N201" t="str">
            <v>ULTRAPROOF RMX</v>
          </cell>
        </row>
        <row r="202">
          <cell r="C202" t="str">
            <v>100001191</v>
          </cell>
          <cell r="D202" t="str">
            <v>UPR-960 PRIME GREY 0044 VN-20KP</v>
          </cell>
          <cell r="E202" t="str">
            <v>ZFGD</v>
          </cell>
          <cell r="F202" t="str">
            <v>PC</v>
          </cell>
          <cell r="G202" t="str">
            <v>2</v>
          </cell>
          <cell r="H202" t="str">
            <v>RETAIL</v>
          </cell>
          <cell r="I202" t="str">
            <v>2D</v>
          </cell>
          <cell r="J202" t="str">
            <v>APCT2</v>
          </cell>
          <cell r="K202" t="str">
            <v>2D01</v>
          </cell>
          <cell r="L202" t="str">
            <v>ULTRAPROOF</v>
          </cell>
          <cell r="M202" t="str">
            <v>2D0101</v>
          </cell>
          <cell r="N202" t="str">
            <v>ULTRAPROOF RMX</v>
          </cell>
        </row>
        <row r="203">
          <cell r="C203" t="str">
            <v>100001192</v>
          </cell>
          <cell r="D203" t="str">
            <v>UPR-960 SAND STONE 0045 VN-4K</v>
          </cell>
          <cell r="E203" t="str">
            <v>ZFGD</v>
          </cell>
          <cell r="F203" t="str">
            <v>PC</v>
          </cell>
          <cell r="G203" t="str">
            <v>2</v>
          </cell>
          <cell r="H203" t="str">
            <v>RETAIL</v>
          </cell>
          <cell r="I203" t="str">
            <v>2D</v>
          </cell>
          <cell r="J203" t="str">
            <v>APCT2</v>
          </cell>
          <cell r="K203" t="str">
            <v>2D01</v>
          </cell>
          <cell r="L203" t="str">
            <v>ULTRAPROOF</v>
          </cell>
          <cell r="M203" t="str">
            <v>2D0101</v>
          </cell>
          <cell r="N203" t="str">
            <v>ULTRAPROOF RMX</v>
          </cell>
        </row>
        <row r="204">
          <cell r="C204" t="str">
            <v>100001193</v>
          </cell>
          <cell r="D204" t="str">
            <v>UPR-960 SAND STONE 0045 VN-20KP</v>
          </cell>
          <cell r="E204" t="str">
            <v>ZFGD</v>
          </cell>
          <cell r="F204" t="str">
            <v>PC</v>
          </cell>
          <cell r="G204" t="str">
            <v>2</v>
          </cell>
          <cell r="H204" t="str">
            <v>RETAIL</v>
          </cell>
          <cell r="I204" t="str">
            <v>2D</v>
          </cell>
          <cell r="J204" t="str">
            <v>APCT2</v>
          </cell>
          <cell r="K204" t="str">
            <v>2D01</v>
          </cell>
          <cell r="L204" t="str">
            <v>ULTRAPROOF</v>
          </cell>
          <cell r="M204" t="str">
            <v>2D0101</v>
          </cell>
          <cell r="N204" t="str">
            <v>ULTRAPROOF RMX</v>
          </cell>
        </row>
        <row r="205">
          <cell r="C205" t="str">
            <v>100001194</v>
          </cell>
          <cell r="D205" t="str">
            <v>UPR-960 SUNKISS 0046 VN-4K</v>
          </cell>
          <cell r="E205" t="str">
            <v>ZFGD</v>
          </cell>
          <cell r="F205" t="str">
            <v>PC</v>
          </cell>
          <cell r="G205" t="str">
            <v>2</v>
          </cell>
          <cell r="H205" t="str">
            <v>RETAIL</v>
          </cell>
          <cell r="I205" t="str">
            <v>2D</v>
          </cell>
          <cell r="J205" t="str">
            <v>APCT2</v>
          </cell>
          <cell r="K205" t="str">
            <v>2D01</v>
          </cell>
          <cell r="L205" t="str">
            <v>ULTRAPROOF</v>
          </cell>
          <cell r="M205" t="str">
            <v>2D0101</v>
          </cell>
          <cell r="N205" t="str">
            <v>ULTRAPROOF RMX</v>
          </cell>
        </row>
        <row r="206">
          <cell r="C206" t="str">
            <v>100001195</v>
          </cell>
          <cell r="D206" t="str">
            <v>UPR-960 SUNKISS 0046 VN-20KP</v>
          </cell>
          <cell r="E206" t="str">
            <v>ZFGD</v>
          </cell>
          <cell r="F206" t="str">
            <v>PC</v>
          </cell>
          <cell r="G206" t="str">
            <v>2</v>
          </cell>
          <cell r="H206" t="str">
            <v>RETAIL</v>
          </cell>
          <cell r="I206" t="str">
            <v>2D</v>
          </cell>
          <cell r="J206" t="str">
            <v>APCT2</v>
          </cell>
          <cell r="K206" t="str">
            <v>2D01</v>
          </cell>
          <cell r="L206" t="str">
            <v>ULTRAPROOF</v>
          </cell>
          <cell r="M206" t="str">
            <v>2D0101</v>
          </cell>
          <cell r="N206" t="str">
            <v>ULTRAPROOF RMX</v>
          </cell>
        </row>
        <row r="207">
          <cell r="C207" t="str">
            <v>100001196</v>
          </cell>
          <cell r="D207" t="str">
            <v>UPR-960 SUMMER SALAD 0065 VN-4K</v>
          </cell>
          <cell r="E207" t="str">
            <v>ZFGD</v>
          </cell>
          <cell r="F207" t="str">
            <v>PC</v>
          </cell>
          <cell r="G207" t="str">
            <v>2</v>
          </cell>
          <cell r="H207" t="str">
            <v>RETAIL</v>
          </cell>
          <cell r="I207" t="str">
            <v>2D</v>
          </cell>
          <cell r="J207" t="str">
            <v>APCT2</v>
          </cell>
          <cell r="K207" t="str">
            <v>2D01</v>
          </cell>
          <cell r="L207" t="str">
            <v>ULTRAPROOF</v>
          </cell>
          <cell r="M207" t="str">
            <v>2D0101</v>
          </cell>
          <cell r="N207" t="str">
            <v>ULTRAPROOF RMX</v>
          </cell>
        </row>
        <row r="208">
          <cell r="C208" t="str">
            <v>100001197</v>
          </cell>
          <cell r="D208" t="str">
            <v>UPR-960 SUMMER SALAD 0065 VN-20KP</v>
          </cell>
          <cell r="E208" t="str">
            <v>ZFGD</v>
          </cell>
          <cell r="F208" t="str">
            <v>PC</v>
          </cell>
          <cell r="G208" t="str">
            <v>2</v>
          </cell>
          <cell r="H208" t="str">
            <v>RETAIL</v>
          </cell>
          <cell r="I208" t="str">
            <v>2D</v>
          </cell>
          <cell r="J208" t="str">
            <v>APCT2</v>
          </cell>
          <cell r="K208" t="str">
            <v>2D01</v>
          </cell>
          <cell r="L208" t="str">
            <v>ULTRAPROOF</v>
          </cell>
          <cell r="M208" t="str">
            <v>2D0101</v>
          </cell>
          <cell r="N208" t="str">
            <v>ULTRAPROOF RMX</v>
          </cell>
        </row>
        <row r="209">
          <cell r="C209" t="str">
            <v>100001198</v>
          </cell>
          <cell r="D209" t="str">
            <v>UPR-960 CAPPUCINO 0067 VN-4K</v>
          </cell>
          <cell r="E209" t="str">
            <v>ZFGD</v>
          </cell>
          <cell r="F209" t="str">
            <v>PC</v>
          </cell>
          <cell r="G209" t="str">
            <v>2</v>
          </cell>
          <cell r="H209" t="str">
            <v>RETAIL</v>
          </cell>
          <cell r="I209" t="str">
            <v>2D</v>
          </cell>
          <cell r="J209" t="str">
            <v>APCT2</v>
          </cell>
          <cell r="K209" t="str">
            <v>2D01</v>
          </cell>
          <cell r="L209" t="str">
            <v>ULTRAPROOF</v>
          </cell>
          <cell r="M209" t="str">
            <v>2D0101</v>
          </cell>
          <cell r="N209" t="str">
            <v>ULTRAPROOF RMX</v>
          </cell>
        </row>
        <row r="210">
          <cell r="C210" t="str">
            <v>100001199</v>
          </cell>
          <cell r="D210" t="str">
            <v>UPR-960 CAPPUCINO 0067 VN-20KP</v>
          </cell>
          <cell r="E210" t="str">
            <v>ZFGD</v>
          </cell>
          <cell r="F210" t="str">
            <v>PC</v>
          </cell>
          <cell r="G210" t="str">
            <v>2</v>
          </cell>
          <cell r="H210" t="str">
            <v>RETAIL</v>
          </cell>
          <cell r="I210" t="str">
            <v>2D</v>
          </cell>
          <cell r="J210" t="str">
            <v>APCT2</v>
          </cell>
          <cell r="K210" t="str">
            <v>2D01</v>
          </cell>
          <cell r="L210" t="str">
            <v>ULTRAPROOF</v>
          </cell>
          <cell r="M210" t="str">
            <v>2D0101</v>
          </cell>
          <cell r="N210" t="str">
            <v>ULTRAPROOF RMX</v>
          </cell>
        </row>
        <row r="211">
          <cell r="C211" t="str">
            <v>100001200</v>
          </cell>
          <cell r="D211" t="str">
            <v>US-970 APRICOT 1141 VN-1K</v>
          </cell>
          <cell r="E211" t="str">
            <v>ZFGD</v>
          </cell>
          <cell r="F211" t="str">
            <v>PC</v>
          </cell>
          <cell r="G211" t="str">
            <v>2</v>
          </cell>
          <cell r="H211" t="str">
            <v>RETAIL</v>
          </cell>
          <cell r="I211" t="str">
            <v>28</v>
          </cell>
          <cell r="J211" t="str">
            <v>CPC2</v>
          </cell>
          <cell r="K211" t="str">
            <v>2807</v>
          </cell>
          <cell r="L211" t="str">
            <v>ULTRASEAL</v>
          </cell>
          <cell r="M211" t="str">
            <v>280701</v>
          </cell>
          <cell r="N211" t="str">
            <v>ULTRASEAL</v>
          </cell>
        </row>
        <row r="212">
          <cell r="C212" t="str">
            <v>100001201</v>
          </cell>
          <cell r="D212" t="str">
            <v>US-970 APRICOT 1141 VN-4K</v>
          </cell>
          <cell r="E212" t="str">
            <v>ZFGD</v>
          </cell>
          <cell r="F212" t="str">
            <v>PC</v>
          </cell>
          <cell r="G212" t="str">
            <v>2</v>
          </cell>
          <cell r="H212" t="str">
            <v>RETAIL</v>
          </cell>
          <cell r="I212" t="str">
            <v>28</v>
          </cell>
          <cell r="J212" t="str">
            <v>CPC2</v>
          </cell>
          <cell r="K212" t="str">
            <v>2807</v>
          </cell>
          <cell r="L212" t="str">
            <v>ULTRASEAL</v>
          </cell>
          <cell r="M212" t="str">
            <v>280701</v>
          </cell>
          <cell r="N212" t="str">
            <v>ULTRASEAL</v>
          </cell>
        </row>
        <row r="213">
          <cell r="C213" t="str">
            <v>100001202</v>
          </cell>
          <cell r="D213" t="str">
            <v>US-970 APRICOT 1141 VN-20KP</v>
          </cell>
          <cell r="E213" t="str">
            <v>ZFGD</v>
          </cell>
          <cell r="F213" t="str">
            <v>PC</v>
          </cell>
          <cell r="G213" t="str">
            <v>2</v>
          </cell>
          <cell r="H213" t="str">
            <v>RETAIL</v>
          </cell>
          <cell r="I213" t="str">
            <v>28</v>
          </cell>
          <cell r="J213" t="str">
            <v>CPC2</v>
          </cell>
          <cell r="K213" t="str">
            <v>2807</v>
          </cell>
          <cell r="L213" t="str">
            <v>ULTRASEAL</v>
          </cell>
          <cell r="M213" t="str">
            <v>280701</v>
          </cell>
          <cell r="N213" t="str">
            <v>ULTRASEAL</v>
          </cell>
        </row>
        <row r="214">
          <cell r="C214" t="str">
            <v>100001203</v>
          </cell>
          <cell r="D214" t="str">
            <v>US-970 LOTUS 1134 VN-1K</v>
          </cell>
          <cell r="E214" t="str">
            <v>ZFGD</v>
          </cell>
          <cell r="F214" t="str">
            <v>PC</v>
          </cell>
          <cell r="G214" t="str">
            <v>2</v>
          </cell>
          <cell r="H214" t="str">
            <v>RETAIL</v>
          </cell>
          <cell r="I214" t="str">
            <v>28</v>
          </cell>
          <cell r="J214" t="str">
            <v>CPC2</v>
          </cell>
          <cell r="K214" t="str">
            <v>2807</v>
          </cell>
          <cell r="L214" t="str">
            <v>ULTRASEAL</v>
          </cell>
          <cell r="M214" t="str">
            <v>280701</v>
          </cell>
          <cell r="N214" t="str">
            <v>ULTRASEAL</v>
          </cell>
        </row>
        <row r="215">
          <cell r="C215" t="str">
            <v>100001204</v>
          </cell>
          <cell r="D215" t="str">
            <v>US-970 LOTUS 1134 VN-4K</v>
          </cell>
          <cell r="E215" t="str">
            <v>ZFGD</v>
          </cell>
          <cell r="F215" t="str">
            <v>PC</v>
          </cell>
          <cell r="G215" t="str">
            <v>2</v>
          </cell>
          <cell r="H215" t="str">
            <v>RETAIL</v>
          </cell>
          <cell r="I215" t="str">
            <v>28</v>
          </cell>
          <cell r="J215" t="str">
            <v>CPC2</v>
          </cell>
          <cell r="K215" t="str">
            <v>2807</v>
          </cell>
          <cell r="L215" t="str">
            <v>ULTRASEAL</v>
          </cell>
          <cell r="M215" t="str">
            <v>280701</v>
          </cell>
          <cell r="N215" t="str">
            <v>ULTRASEAL</v>
          </cell>
        </row>
        <row r="216">
          <cell r="C216" t="str">
            <v>100001205</v>
          </cell>
          <cell r="D216" t="str">
            <v>US-970 LOTUS 1134 VN-20KP</v>
          </cell>
          <cell r="E216" t="str">
            <v>ZFGD</v>
          </cell>
          <cell r="F216" t="str">
            <v>PC</v>
          </cell>
          <cell r="G216" t="str">
            <v>2</v>
          </cell>
          <cell r="H216" t="str">
            <v>RETAIL</v>
          </cell>
          <cell r="I216" t="str">
            <v>28</v>
          </cell>
          <cell r="J216" t="str">
            <v>CPC2</v>
          </cell>
          <cell r="K216" t="str">
            <v>2807</v>
          </cell>
          <cell r="L216" t="str">
            <v>ULTRASEAL</v>
          </cell>
          <cell r="M216" t="str">
            <v>280701</v>
          </cell>
          <cell r="N216" t="str">
            <v>ULTRASEAL</v>
          </cell>
        </row>
        <row r="217">
          <cell r="C217" t="str">
            <v>100001206</v>
          </cell>
          <cell r="D217" t="str">
            <v>US-970 MARINE GREEN 7107 VN-1K</v>
          </cell>
          <cell r="E217" t="str">
            <v>ZFGD</v>
          </cell>
          <cell r="F217" t="str">
            <v>PC</v>
          </cell>
          <cell r="G217" t="str">
            <v>2</v>
          </cell>
          <cell r="H217" t="str">
            <v>RETAIL</v>
          </cell>
          <cell r="I217" t="str">
            <v>28</v>
          </cell>
          <cell r="J217" t="str">
            <v>CPC2</v>
          </cell>
          <cell r="K217" t="str">
            <v>2807</v>
          </cell>
          <cell r="L217" t="str">
            <v>ULTRASEAL</v>
          </cell>
          <cell r="M217" t="str">
            <v>280701</v>
          </cell>
          <cell r="N217" t="str">
            <v>ULTRASEAL</v>
          </cell>
        </row>
        <row r="218">
          <cell r="C218" t="str">
            <v>100001207</v>
          </cell>
          <cell r="D218" t="str">
            <v>US-970 MARINE GREEN 7107 VN-4K</v>
          </cell>
          <cell r="E218" t="str">
            <v>ZFGD</v>
          </cell>
          <cell r="F218" t="str">
            <v>PC</v>
          </cell>
          <cell r="G218" t="str">
            <v>2</v>
          </cell>
          <cell r="H218" t="str">
            <v>RETAIL</v>
          </cell>
          <cell r="I218" t="str">
            <v>28</v>
          </cell>
          <cell r="J218" t="str">
            <v>CPC2</v>
          </cell>
          <cell r="K218" t="str">
            <v>2807</v>
          </cell>
          <cell r="L218" t="str">
            <v>ULTRASEAL</v>
          </cell>
          <cell r="M218" t="str">
            <v>280701</v>
          </cell>
          <cell r="N218" t="str">
            <v>ULTRASEAL</v>
          </cell>
        </row>
        <row r="219">
          <cell r="C219" t="str">
            <v>100001208</v>
          </cell>
          <cell r="D219" t="str">
            <v>US-970 MARINE GREEN 7107 VN-20KP</v>
          </cell>
          <cell r="E219" t="str">
            <v>ZFGD</v>
          </cell>
          <cell r="F219" t="str">
            <v>PC</v>
          </cell>
          <cell r="G219" t="str">
            <v>2</v>
          </cell>
          <cell r="H219" t="str">
            <v>RETAIL</v>
          </cell>
          <cell r="I219" t="str">
            <v>28</v>
          </cell>
          <cell r="J219" t="str">
            <v>CPC2</v>
          </cell>
          <cell r="K219" t="str">
            <v>2807</v>
          </cell>
          <cell r="L219" t="str">
            <v>ULTRASEAL</v>
          </cell>
          <cell r="M219" t="str">
            <v>280701</v>
          </cell>
          <cell r="N219" t="str">
            <v>ULTRASEAL</v>
          </cell>
        </row>
        <row r="220">
          <cell r="C220" t="str">
            <v>100001209</v>
          </cell>
          <cell r="D220" t="str">
            <v>US-970 PASTEL GREY 8403 VN-1K</v>
          </cell>
          <cell r="E220" t="str">
            <v>ZFGD</v>
          </cell>
          <cell r="F220" t="str">
            <v>PC</v>
          </cell>
          <cell r="G220" t="str">
            <v>2</v>
          </cell>
          <cell r="H220" t="str">
            <v>RETAIL</v>
          </cell>
          <cell r="I220" t="str">
            <v>28</v>
          </cell>
          <cell r="J220" t="str">
            <v>CPC2</v>
          </cell>
          <cell r="K220" t="str">
            <v>2807</v>
          </cell>
          <cell r="L220" t="str">
            <v>ULTRASEAL</v>
          </cell>
          <cell r="M220" t="str">
            <v>280701</v>
          </cell>
          <cell r="N220" t="str">
            <v>ULTRASEAL</v>
          </cell>
        </row>
        <row r="221">
          <cell r="C221" t="str">
            <v>100001210</v>
          </cell>
          <cell r="D221" t="str">
            <v>US-970 PASTEL GREY 8403 VN-4K</v>
          </cell>
          <cell r="E221" t="str">
            <v>ZFGD</v>
          </cell>
          <cell r="F221" t="str">
            <v>PC</v>
          </cell>
          <cell r="G221" t="str">
            <v>2</v>
          </cell>
          <cell r="H221" t="str">
            <v>RETAIL</v>
          </cell>
          <cell r="I221" t="str">
            <v>28</v>
          </cell>
          <cell r="J221" t="str">
            <v>CPC2</v>
          </cell>
          <cell r="K221" t="str">
            <v>2807</v>
          </cell>
          <cell r="L221" t="str">
            <v>ULTRASEAL</v>
          </cell>
          <cell r="M221" t="str">
            <v>280701</v>
          </cell>
          <cell r="N221" t="str">
            <v>ULTRASEAL</v>
          </cell>
        </row>
        <row r="222">
          <cell r="C222" t="str">
            <v>100001211</v>
          </cell>
          <cell r="D222" t="str">
            <v>US-970 PASTEL GREY 8403 VN-20KP</v>
          </cell>
          <cell r="E222" t="str">
            <v>ZFGD</v>
          </cell>
          <cell r="F222" t="str">
            <v>PC</v>
          </cell>
          <cell r="G222" t="str">
            <v>2</v>
          </cell>
          <cell r="H222" t="str">
            <v>RETAIL</v>
          </cell>
          <cell r="I222" t="str">
            <v>28</v>
          </cell>
          <cell r="J222" t="str">
            <v>CPC2</v>
          </cell>
          <cell r="K222" t="str">
            <v>2807</v>
          </cell>
          <cell r="L222" t="str">
            <v>ULTRASEAL</v>
          </cell>
          <cell r="M222" t="str">
            <v>280701</v>
          </cell>
          <cell r="N222" t="str">
            <v>ULTRASEAL</v>
          </cell>
        </row>
        <row r="223">
          <cell r="C223" t="str">
            <v>100001212</v>
          </cell>
          <cell r="D223" t="str">
            <v>US-970 PRIME GREY 9401 VN-1K</v>
          </cell>
          <cell r="E223" t="str">
            <v>ZFGD</v>
          </cell>
          <cell r="F223" t="str">
            <v>PC</v>
          </cell>
          <cell r="G223" t="str">
            <v>2</v>
          </cell>
          <cell r="H223" t="str">
            <v>RETAIL</v>
          </cell>
          <cell r="I223" t="str">
            <v>28</v>
          </cell>
          <cell r="J223" t="str">
            <v>CPC2</v>
          </cell>
          <cell r="K223" t="str">
            <v>2807</v>
          </cell>
          <cell r="L223" t="str">
            <v>ULTRASEAL</v>
          </cell>
          <cell r="M223" t="str">
            <v>280701</v>
          </cell>
          <cell r="N223" t="str">
            <v>ULTRASEAL</v>
          </cell>
        </row>
        <row r="224">
          <cell r="C224" t="str">
            <v>100001213</v>
          </cell>
          <cell r="D224" t="str">
            <v>#NOT USED  PRIME GREY 9401 VN-4K</v>
          </cell>
          <cell r="E224" t="str">
            <v>ZFGD</v>
          </cell>
          <cell r="F224" t="str">
            <v>PC</v>
          </cell>
          <cell r="G224" t="str">
            <v>2</v>
          </cell>
          <cell r="H224" t="str">
            <v>RETAIL</v>
          </cell>
          <cell r="I224" t="str">
            <v>28</v>
          </cell>
          <cell r="J224" t="str">
            <v>CPC2</v>
          </cell>
          <cell r="K224" t="str">
            <v>2801</v>
          </cell>
          <cell r="L224" t="str">
            <v>WATERPROOFING</v>
          </cell>
          <cell r="M224" t="str">
            <v>280104</v>
          </cell>
          <cell r="N224" t="str">
            <v>ULTRASEAL</v>
          </cell>
        </row>
        <row r="225">
          <cell r="C225" t="str">
            <v>100001214</v>
          </cell>
          <cell r="D225" t="str">
            <v>US-970 PRIME GREY 9401 VN-20KP</v>
          </cell>
          <cell r="E225" t="str">
            <v>ZFGD</v>
          </cell>
          <cell r="F225" t="str">
            <v>PC</v>
          </cell>
          <cell r="G225" t="str">
            <v>2</v>
          </cell>
          <cell r="H225" t="str">
            <v>RETAIL</v>
          </cell>
          <cell r="I225" t="str">
            <v>28</v>
          </cell>
          <cell r="J225" t="str">
            <v>CPC2</v>
          </cell>
          <cell r="K225" t="str">
            <v>2807</v>
          </cell>
          <cell r="L225" t="str">
            <v>ULTRASEAL</v>
          </cell>
          <cell r="M225" t="str">
            <v>280701</v>
          </cell>
          <cell r="N225" t="str">
            <v>ULTRASEAL</v>
          </cell>
        </row>
        <row r="226">
          <cell r="C226" t="str">
            <v>100001215</v>
          </cell>
          <cell r="D226" t="str">
            <v>US-970 TILE BROWN 3406 VN-1K</v>
          </cell>
          <cell r="E226" t="str">
            <v>ZFGD</v>
          </cell>
          <cell r="F226" t="str">
            <v>PC</v>
          </cell>
          <cell r="G226" t="str">
            <v>2</v>
          </cell>
          <cell r="H226" t="str">
            <v>RETAIL</v>
          </cell>
          <cell r="I226" t="str">
            <v>28</v>
          </cell>
          <cell r="J226" t="str">
            <v>CPC2</v>
          </cell>
          <cell r="K226" t="str">
            <v>2807</v>
          </cell>
          <cell r="L226" t="str">
            <v>ULTRASEAL</v>
          </cell>
          <cell r="M226" t="str">
            <v>280701</v>
          </cell>
          <cell r="N226" t="str">
            <v>ULTRASEAL</v>
          </cell>
        </row>
        <row r="227">
          <cell r="C227" t="str">
            <v>100001216</v>
          </cell>
          <cell r="D227" t="str">
            <v>US-970 TILE BROWN 3406 VN-4K</v>
          </cell>
          <cell r="E227" t="str">
            <v>ZFGD</v>
          </cell>
          <cell r="F227" t="str">
            <v>PC</v>
          </cell>
          <cell r="G227" t="str">
            <v>2</v>
          </cell>
          <cell r="H227" t="str">
            <v>RETAIL</v>
          </cell>
          <cell r="I227" t="str">
            <v>28</v>
          </cell>
          <cell r="J227" t="str">
            <v>CPC2</v>
          </cell>
          <cell r="K227" t="str">
            <v>2807</v>
          </cell>
          <cell r="L227" t="str">
            <v>ULTRASEAL</v>
          </cell>
          <cell r="M227" t="str">
            <v>280701</v>
          </cell>
          <cell r="N227" t="str">
            <v>ULTRASEAL</v>
          </cell>
        </row>
        <row r="228">
          <cell r="C228" t="str">
            <v>100001217</v>
          </cell>
          <cell r="D228" t="str">
            <v>US-970 TILE BROWN 3406 VN-20KP</v>
          </cell>
          <cell r="E228" t="str">
            <v>ZFGD</v>
          </cell>
          <cell r="F228" t="str">
            <v>PC</v>
          </cell>
          <cell r="G228" t="str">
            <v>2</v>
          </cell>
          <cell r="H228" t="str">
            <v>RETAIL</v>
          </cell>
          <cell r="I228" t="str">
            <v>28</v>
          </cell>
          <cell r="J228" t="str">
            <v>CPC2</v>
          </cell>
          <cell r="K228" t="str">
            <v>2807</v>
          </cell>
          <cell r="L228" t="str">
            <v>ULTRASEAL</v>
          </cell>
          <cell r="M228" t="str">
            <v>280701</v>
          </cell>
          <cell r="N228" t="str">
            <v>ULTRASEAL</v>
          </cell>
        </row>
        <row r="229">
          <cell r="C229" t="str">
            <v>100001218</v>
          </cell>
          <cell r="D229" t="str">
            <v>US-970 TROPICAL GREEN 7411 VN-1K</v>
          </cell>
          <cell r="E229" t="str">
            <v>ZFGD</v>
          </cell>
          <cell r="F229" t="str">
            <v>PC</v>
          </cell>
          <cell r="G229" t="str">
            <v>2</v>
          </cell>
          <cell r="H229" t="str">
            <v>RETAIL</v>
          </cell>
          <cell r="I229" t="str">
            <v>28</v>
          </cell>
          <cell r="J229" t="str">
            <v>CPC2</v>
          </cell>
          <cell r="K229" t="str">
            <v>2807</v>
          </cell>
          <cell r="L229" t="str">
            <v>ULTRASEAL</v>
          </cell>
          <cell r="M229" t="str">
            <v>280701</v>
          </cell>
          <cell r="N229" t="str">
            <v>ULTRASEAL</v>
          </cell>
        </row>
        <row r="230">
          <cell r="C230" t="str">
            <v>100001219</v>
          </cell>
          <cell r="D230" t="str">
            <v>US-970 TROPICAL GREEN 7411 VN-4K</v>
          </cell>
          <cell r="E230" t="str">
            <v>ZFGD</v>
          </cell>
          <cell r="F230" t="str">
            <v>PC</v>
          </cell>
          <cell r="G230" t="str">
            <v>2</v>
          </cell>
          <cell r="H230" t="str">
            <v>RETAIL</v>
          </cell>
          <cell r="I230" t="str">
            <v>28</v>
          </cell>
          <cell r="J230" t="str">
            <v>CPC2</v>
          </cell>
          <cell r="K230" t="str">
            <v>2807</v>
          </cell>
          <cell r="L230" t="str">
            <v>ULTRASEAL</v>
          </cell>
          <cell r="M230" t="str">
            <v>280701</v>
          </cell>
          <cell r="N230" t="str">
            <v>ULTRASEAL</v>
          </cell>
        </row>
        <row r="231">
          <cell r="C231" t="str">
            <v>100001220</v>
          </cell>
          <cell r="D231" t="str">
            <v>US-970 TROPICAL GREEN 7411 VN-20KP</v>
          </cell>
          <cell r="E231" t="str">
            <v>ZFGD</v>
          </cell>
          <cell r="F231" t="str">
            <v>PC</v>
          </cell>
          <cell r="G231" t="str">
            <v>2</v>
          </cell>
          <cell r="H231" t="str">
            <v>RETAIL</v>
          </cell>
          <cell r="I231" t="str">
            <v>28</v>
          </cell>
          <cell r="J231" t="str">
            <v>CPC2</v>
          </cell>
          <cell r="K231" t="str">
            <v>2807</v>
          </cell>
          <cell r="L231" t="str">
            <v>ULTRASEAL</v>
          </cell>
          <cell r="M231" t="str">
            <v>280701</v>
          </cell>
          <cell r="N231" t="str">
            <v>ULTRASEAL</v>
          </cell>
        </row>
        <row r="232">
          <cell r="C232" t="str">
            <v>100001221</v>
          </cell>
          <cell r="D232" t="str">
            <v>US-970 WHITE 9101 VN-1K</v>
          </cell>
          <cell r="E232" t="str">
            <v>ZFGD</v>
          </cell>
          <cell r="F232" t="str">
            <v>PC</v>
          </cell>
          <cell r="G232" t="str">
            <v>2</v>
          </cell>
          <cell r="H232" t="str">
            <v>RETAIL</v>
          </cell>
          <cell r="I232" t="str">
            <v>28</v>
          </cell>
          <cell r="J232" t="str">
            <v>CPC2</v>
          </cell>
          <cell r="K232" t="str">
            <v>2807</v>
          </cell>
          <cell r="L232" t="str">
            <v>ULTRASEAL</v>
          </cell>
          <cell r="M232" t="str">
            <v>280701</v>
          </cell>
          <cell r="N232" t="str">
            <v>ULTRASEAL</v>
          </cell>
        </row>
        <row r="233">
          <cell r="C233" t="str">
            <v>100001222</v>
          </cell>
          <cell r="D233" t="str">
            <v>US-970 WHITE 9101 VN-4K</v>
          </cell>
          <cell r="E233" t="str">
            <v>ZFGD</v>
          </cell>
          <cell r="F233" t="str">
            <v>PC</v>
          </cell>
          <cell r="G233" t="str">
            <v>2</v>
          </cell>
          <cell r="H233" t="str">
            <v>RETAIL</v>
          </cell>
          <cell r="I233" t="str">
            <v>28</v>
          </cell>
          <cell r="J233" t="str">
            <v>CPC2</v>
          </cell>
          <cell r="K233" t="str">
            <v>2807</v>
          </cell>
          <cell r="L233" t="str">
            <v>ULTRASEAL</v>
          </cell>
          <cell r="M233" t="str">
            <v>280701</v>
          </cell>
          <cell r="N233" t="str">
            <v>ULTRASEAL</v>
          </cell>
        </row>
        <row r="234">
          <cell r="C234" t="str">
            <v>100001223</v>
          </cell>
          <cell r="D234" t="str">
            <v>US-970 WHITE 9101 VN-20KP</v>
          </cell>
          <cell r="E234" t="str">
            <v>ZFGD</v>
          </cell>
          <cell r="F234" t="str">
            <v>PC</v>
          </cell>
          <cell r="G234" t="str">
            <v>2</v>
          </cell>
          <cell r="H234" t="str">
            <v>RETAIL</v>
          </cell>
          <cell r="I234" t="str">
            <v>28</v>
          </cell>
          <cell r="J234" t="str">
            <v>CPC2</v>
          </cell>
          <cell r="K234" t="str">
            <v>2807</v>
          </cell>
          <cell r="L234" t="str">
            <v>ULTRASEAL</v>
          </cell>
          <cell r="M234" t="str">
            <v>280701</v>
          </cell>
          <cell r="N234" t="str">
            <v>ULTRASEAL</v>
          </cell>
        </row>
        <row r="235">
          <cell r="C235" t="str">
            <v>100001224</v>
          </cell>
          <cell r="D235" t="str">
            <v>US-970 CRYSTAL BLUE 7104 VN-1K</v>
          </cell>
          <cell r="E235" t="str">
            <v>ZFGD</v>
          </cell>
          <cell r="F235" t="str">
            <v>PC</v>
          </cell>
          <cell r="G235" t="str">
            <v>2</v>
          </cell>
          <cell r="H235" t="str">
            <v>RETAIL</v>
          </cell>
          <cell r="I235" t="str">
            <v>28</v>
          </cell>
          <cell r="J235" t="str">
            <v>CPC2</v>
          </cell>
          <cell r="K235" t="str">
            <v>2807</v>
          </cell>
          <cell r="L235" t="str">
            <v>ULTRASEAL</v>
          </cell>
          <cell r="M235" t="str">
            <v>280701</v>
          </cell>
          <cell r="N235" t="str">
            <v>ULTRASEAL</v>
          </cell>
        </row>
        <row r="236">
          <cell r="C236" t="str">
            <v>100001225</v>
          </cell>
          <cell r="D236" t="str">
            <v>US-970 CRYSTAL BLUE 7104 VN-4K</v>
          </cell>
          <cell r="E236" t="str">
            <v>ZFGD</v>
          </cell>
          <cell r="F236" t="str">
            <v>PC</v>
          </cell>
          <cell r="G236" t="str">
            <v>2</v>
          </cell>
          <cell r="H236" t="str">
            <v>RETAIL</v>
          </cell>
          <cell r="I236" t="str">
            <v>28</v>
          </cell>
          <cell r="J236" t="str">
            <v>CPC2</v>
          </cell>
          <cell r="K236" t="str">
            <v>2807</v>
          </cell>
          <cell r="L236" t="str">
            <v>ULTRASEAL</v>
          </cell>
          <cell r="M236" t="str">
            <v>280701</v>
          </cell>
          <cell r="N236" t="str">
            <v>ULTRASEAL</v>
          </cell>
        </row>
        <row r="237">
          <cell r="C237" t="str">
            <v>100001226</v>
          </cell>
          <cell r="D237" t="str">
            <v>US-970 CRYSTAL BLUE 7104 VN-20KP</v>
          </cell>
          <cell r="E237" t="str">
            <v>ZFGD</v>
          </cell>
          <cell r="F237" t="str">
            <v>PC</v>
          </cell>
          <cell r="G237" t="str">
            <v>2</v>
          </cell>
          <cell r="H237" t="str">
            <v>RETAIL</v>
          </cell>
          <cell r="I237" t="str">
            <v>28</v>
          </cell>
          <cell r="J237" t="str">
            <v>CPC2</v>
          </cell>
          <cell r="K237" t="str">
            <v>2807</v>
          </cell>
          <cell r="L237" t="str">
            <v>ULTRASEAL</v>
          </cell>
          <cell r="M237" t="str">
            <v>280701</v>
          </cell>
          <cell r="N237" t="str">
            <v>ULTRASEAL</v>
          </cell>
        </row>
        <row r="238">
          <cell r="C238" t="str">
            <v>100001227</v>
          </cell>
          <cell r="D238" t="str">
            <v>US-970 MORNING STAR 1109 VN-1K</v>
          </cell>
          <cell r="E238" t="str">
            <v>ZFGD</v>
          </cell>
          <cell r="F238" t="str">
            <v>PC</v>
          </cell>
          <cell r="G238" t="str">
            <v>2</v>
          </cell>
          <cell r="H238" t="str">
            <v>RETAIL</v>
          </cell>
          <cell r="I238" t="str">
            <v>28</v>
          </cell>
          <cell r="J238" t="str">
            <v>CPC2</v>
          </cell>
          <cell r="K238" t="str">
            <v>2807</v>
          </cell>
          <cell r="L238" t="str">
            <v>ULTRASEAL</v>
          </cell>
          <cell r="M238" t="str">
            <v>280701</v>
          </cell>
          <cell r="N238" t="str">
            <v>ULTRASEAL</v>
          </cell>
        </row>
        <row r="239">
          <cell r="C239" t="str">
            <v>100001228</v>
          </cell>
          <cell r="D239" t="str">
            <v>US-970 MORNING STAR 1109 VN-4K</v>
          </cell>
          <cell r="E239" t="str">
            <v>ZFGD</v>
          </cell>
          <cell r="F239" t="str">
            <v>PC</v>
          </cell>
          <cell r="G239" t="str">
            <v>2</v>
          </cell>
          <cell r="H239" t="str">
            <v>RETAIL</v>
          </cell>
          <cell r="I239" t="str">
            <v>28</v>
          </cell>
          <cell r="J239" t="str">
            <v>CPC2</v>
          </cell>
          <cell r="K239" t="str">
            <v>2807</v>
          </cell>
          <cell r="L239" t="str">
            <v>ULTRASEAL</v>
          </cell>
          <cell r="M239" t="str">
            <v>280701</v>
          </cell>
          <cell r="N239" t="str">
            <v>ULTRASEAL</v>
          </cell>
        </row>
        <row r="240">
          <cell r="C240" t="str">
            <v>100001229</v>
          </cell>
          <cell r="D240" t="str">
            <v>US-970 MORNING STAR 1109 VN-20KP</v>
          </cell>
          <cell r="E240" t="str">
            <v>ZFGD</v>
          </cell>
          <cell r="F240" t="str">
            <v>PC</v>
          </cell>
          <cell r="G240" t="str">
            <v>2</v>
          </cell>
          <cell r="H240" t="str">
            <v>RETAIL</v>
          </cell>
          <cell r="I240" t="str">
            <v>28</v>
          </cell>
          <cell r="J240" t="str">
            <v>CPC2</v>
          </cell>
          <cell r="K240" t="str">
            <v>2807</v>
          </cell>
          <cell r="L240" t="str">
            <v>ULTRASEAL</v>
          </cell>
          <cell r="M240" t="str">
            <v>280701</v>
          </cell>
          <cell r="N240" t="str">
            <v>ULTRASEAL</v>
          </cell>
        </row>
        <row r="241">
          <cell r="C241" t="str">
            <v>100001230</v>
          </cell>
          <cell r="D241" t="str">
            <v>US-970 INDIAN RED 2412 VN-1K</v>
          </cell>
          <cell r="E241" t="str">
            <v>ZFGD</v>
          </cell>
          <cell r="F241" t="str">
            <v>PC</v>
          </cell>
          <cell r="G241" t="str">
            <v>2</v>
          </cell>
          <cell r="H241" t="str">
            <v>RETAIL</v>
          </cell>
          <cell r="I241" t="str">
            <v>28</v>
          </cell>
          <cell r="J241" t="str">
            <v>CPC2</v>
          </cell>
          <cell r="K241" t="str">
            <v>2807</v>
          </cell>
          <cell r="L241" t="str">
            <v>ULTRASEAL</v>
          </cell>
          <cell r="M241" t="str">
            <v>280701</v>
          </cell>
          <cell r="N241" t="str">
            <v>ULTRASEAL</v>
          </cell>
        </row>
        <row r="242">
          <cell r="C242" t="str">
            <v>100001231</v>
          </cell>
          <cell r="D242" t="str">
            <v>US-970 INDIAN RED 2412 VN-4K</v>
          </cell>
          <cell r="E242" t="str">
            <v>ZFGD</v>
          </cell>
          <cell r="F242" t="str">
            <v>PC</v>
          </cell>
          <cell r="G242" t="str">
            <v>2</v>
          </cell>
          <cell r="H242" t="str">
            <v>RETAIL</v>
          </cell>
          <cell r="I242" t="str">
            <v>28</v>
          </cell>
          <cell r="J242" t="str">
            <v>CPC2</v>
          </cell>
          <cell r="K242" t="str">
            <v>2807</v>
          </cell>
          <cell r="L242" t="str">
            <v>ULTRASEAL</v>
          </cell>
          <cell r="M242" t="str">
            <v>280701</v>
          </cell>
          <cell r="N242" t="str">
            <v>ULTRASEAL</v>
          </cell>
        </row>
        <row r="243">
          <cell r="C243" t="str">
            <v>100001232</v>
          </cell>
          <cell r="D243" t="str">
            <v>US-970 INDIAN RED 2412 VN-20KP</v>
          </cell>
          <cell r="E243" t="str">
            <v>ZFGD</v>
          </cell>
          <cell r="F243" t="str">
            <v>PC</v>
          </cell>
          <cell r="G243" t="str">
            <v>2</v>
          </cell>
          <cell r="H243" t="str">
            <v>RETAIL</v>
          </cell>
          <cell r="I243" t="str">
            <v>28</v>
          </cell>
          <cell r="J243" t="str">
            <v>CPC2</v>
          </cell>
          <cell r="K243" t="str">
            <v>2807</v>
          </cell>
          <cell r="L243" t="str">
            <v>ULTRASEAL</v>
          </cell>
          <cell r="M243" t="str">
            <v>280701</v>
          </cell>
          <cell r="N243" t="str">
            <v>ULTRASEAL</v>
          </cell>
        </row>
        <row r="244">
          <cell r="C244" t="str">
            <v>100001233</v>
          </cell>
          <cell r="D244" t="str">
            <v>US-970 AVOCADO 1107 VN-1K</v>
          </cell>
          <cell r="E244" t="str">
            <v>ZFGD</v>
          </cell>
          <cell r="F244" t="str">
            <v>PC</v>
          </cell>
          <cell r="G244" t="str">
            <v>2</v>
          </cell>
          <cell r="H244" t="str">
            <v>RETAIL</v>
          </cell>
          <cell r="I244" t="str">
            <v>28</v>
          </cell>
          <cell r="J244" t="str">
            <v>CPC2</v>
          </cell>
          <cell r="K244" t="str">
            <v>2807</v>
          </cell>
          <cell r="L244" t="str">
            <v>ULTRASEAL</v>
          </cell>
          <cell r="M244" t="str">
            <v>280701</v>
          </cell>
          <cell r="N244" t="str">
            <v>ULTRASEAL</v>
          </cell>
        </row>
        <row r="245">
          <cell r="C245" t="str">
            <v>100001234</v>
          </cell>
          <cell r="D245" t="str">
            <v>US-970 AVOCADO 1107 VN-4K</v>
          </cell>
          <cell r="E245" t="str">
            <v>ZFGD</v>
          </cell>
          <cell r="F245" t="str">
            <v>PC</v>
          </cell>
          <cell r="G245" t="str">
            <v>2</v>
          </cell>
          <cell r="H245" t="str">
            <v>RETAIL</v>
          </cell>
          <cell r="I245" t="str">
            <v>28</v>
          </cell>
          <cell r="J245" t="str">
            <v>CPC2</v>
          </cell>
          <cell r="K245" t="str">
            <v>2807</v>
          </cell>
          <cell r="L245" t="str">
            <v>ULTRASEAL</v>
          </cell>
          <cell r="M245" t="str">
            <v>280701</v>
          </cell>
          <cell r="N245" t="str">
            <v>ULTRASEAL</v>
          </cell>
        </row>
        <row r="246">
          <cell r="C246" t="str">
            <v>100001235</v>
          </cell>
          <cell r="D246" t="str">
            <v>US-970 AVOCADO 1107 VN-20KP</v>
          </cell>
          <cell r="E246" t="str">
            <v>ZFGD</v>
          </cell>
          <cell r="F246" t="str">
            <v>PC</v>
          </cell>
          <cell r="G246" t="str">
            <v>2</v>
          </cell>
          <cell r="H246" t="str">
            <v>RETAIL</v>
          </cell>
          <cell r="I246" t="str">
            <v>28</v>
          </cell>
          <cell r="J246" t="str">
            <v>CPC2</v>
          </cell>
          <cell r="K246" t="str">
            <v>2807</v>
          </cell>
          <cell r="L246" t="str">
            <v>ULTRASEAL</v>
          </cell>
          <cell r="M246" t="str">
            <v>280701</v>
          </cell>
          <cell r="N246" t="str">
            <v>ULTRASEAL</v>
          </cell>
        </row>
        <row r="247">
          <cell r="C247" t="str">
            <v>100001236</v>
          </cell>
          <cell r="D247" t="str">
            <v>US-970 SAVOY BLUE 6401 VN-1K</v>
          </cell>
          <cell r="E247" t="str">
            <v>ZFGD</v>
          </cell>
          <cell r="F247" t="str">
            <v>PC</v>
          </cell>
          <cell r="G247" t="str">
            <v>2</v>
          </cell>
          <cell r="H247" t="str">
            <v>RETAIL</v>
          </cell>
          <cell r="I247" t="str">
            <v>28</v>
          </cell>
          <cell r="J247" t="str">
            <v>CPC2</v>
          </cell>
          <cell r="K247" t="str">
            <v>2807</v>
          </cell>
          <cell r="L247" t="str">
            <v>ULTRASEAL</v>
          </cell>
          <cell r="M247" t="str">
            <v>280701</v>
          </cell>
          <cell r="N247" t="str">
            <v>ULTRASEAL</v>
          </cell>
        </row>
        <row r="248">
          <cell r="C248" t="str">
            <v>100001237</v>
          </cell>
          <cell r="D248" t="str">
            <v>US-970 SAVOY BLUE 6401 VN-4K</v>
          </cell>
          <cell r="E248" t="str">
            <v>ZFGD</v>
          </cell>
          <cell r="F248" t="str">
            <v>PC</v>
          </cell>
          <cell r="G248" t="str">
            <v>2</v>
          </cell>
          <cell r="H248" t="str">
            <v>RETAIL</v>
          </cell>
          <cell r="I248" t="str">
            <v>28</v>
          </cell>
          <cell r="J248" t="str">
            <v>CPC2</v>
          </cell>
          <cell r="K248" t="str">
            <v>2807</v>
          </cell>
          <cell r="L248" t="str">
            <v>ULTRASEAL</v>
          </cell>
          <cell r="M248" t="str">
            <v>280701</v>
          </cell>
          <cell r="N248" t="str">
            <v>ULTRASEAL</v>
          </cell>
        </row>
        <row r="249">
          <cell r="C249" t="str">
            <v>100001238</v>
          </cell>
          <cell r="D249" t="str">
            <v>US-970 SAVOY BLUE 6401 VN-20KP</v>
          </cell>
          <cell r="E249" t="str">
            <v>ZFGD</v>
          </cell>
          <cell r="F249" t="str">
            <v>PC</v>
          </cell>
          <cell r="G249" t="str">
            <v>2</v>
          </cell>
          <cell r="H249" t="str">
            <v>RETAIL</v>
          </cell>
          <cell r="I249" t="str">
            <v>28</v>
          </cell>
          <cell r="J249" t="str">
            <v>CPC2</v>
          </cell>
          <cell r="K249" t="str">
            <v>2807</v>
          </cell>
          <cell r="L249" t="str">
            <v>ULTRASEAL</v>
          </cell>
          <cell r="M249" t="str">
            <v>280701</v>
          </cell>
          <cell r="N249" t="str">
            <v>ULTRASEAL</v>
          </cell>
        </row>
        <row r="250">
          <cell r="C250" t="str">
            <v>100001239</v>
          </cell>
          <cell r="D250" t="str">
            <v>US-970 CARITA 1137 VN-1K</v>
          </cell>
          <cell r="E250" t="str">
            <v>ZFGD</v>
          </cell>
          <cell r="F250" t="str">
            <v>PC</v>
          </cell>
          <cell r="G250" t="str">
            <v>2</v>
          </cell>
          <cell r="H250" t="str">
            <v>RETAIL</v>
          </cell>
          <cell r="I250" t="str">
            <v>28</v>
          </cell>
          <cell r="J250" t="str">
            <v>CPC2</v>
          </cell>
          <cell r="K250" t="str">
            <v>2807</v>
          </cell>
          <cell r="L250" t="str">
            <v>ULTRASEAL</v>
          </cell>
          <cell r="M250" t="str">
            <v>280701</v>
          </cell>
          <cell r="N250" t="str">
            <v>ULTRASEAL</v>
          </cell>
        </row>
        <row r="251">
          <cell r="C251" t="str">
            <v>100001240</v>
          </cell>
          <cell r="D251" t="str">
            <v>US-970 CARITA 1137 VN-4K</v>
          </cell>
          <cell r="E251" t="str">
            <v>ZFGD</v>
          </cell>
          <cell r="F251" t="str">
            <v>PC</v>
          </cell>
          <cell r="G251" t="str">
            <v>2</v>
          </cell>
          <cell r="H251" t="str">
            <v>RETAIL</v>
          </cell>
          <cell r="I251" t="str">
            <v>28</v>
          </cell>
          <cell r="J251" t="str">
            <v>CPC2</v>
          </cell>
          <cell r="K251" t="str">
            <v>2807</v>
          </cell>
          <cell r="L251" t="str">
            <v>ULTRASEAL</v>
          </cell>
          <cell r="M251" t="str">
            <v>280701</v>
          </cell>
          <cell r="N251" t="str">
            <v>ULTRASEAL</v>
          </cell>
        </row>
        <row r="252">
          <cell r="C252" t="str">
            <v>100001241</v>
          </cell>
          <cell r="D252" t="str">
            <v>US-970 CARITA 1137 VN-20KP</v>
          </cell>
          <cell r="E252" t="str">
            <v>ZFGD</v>
          </cell>
          <cell r="F252" t="str">
            <v>PC</v>
          </cell>
          <cell r="G252" t="str">
            <v>2</v>
          </cell>
          <cell r="H252" t="str">
            <v>RETAIL</v>
          </cell>
          <cell r="I252" t="str">
            <v>28</v>
          </cell>
          <cell r="J252" t="str">
            <v>CPC2</v>
          </cell>
          <cell r="K252" t="str">
            <v>2807</v>
          </cell>
          <cell r="L252" t="str">
            <v>ULTRASEAL</v>
          </cell>
          <cell r="M252" t="str">
            <v>280701</v>
          </cell>
          <cell r="N252" t="str">
            <v>ULTRASEAL</v>
          </cell>
        </row>
        <row r="253">
          <cell r="C253" t="str">
            <v>100001242</v>
          </cell>
          <cell r="D253" t="str">
            <v>US-970 DAY BREAK 9104 VN-1K</v>
          </cell>
          <cell r="E253" t="str">
            <v>ZFGD</v>
          </cell>
          <cell r="F253" t="str">
            <v>PC</v>
          </cell>
          <cell r="G253" t="str">
            <v>2</v>
          </cell>
          <cell r="H253" t="str">
            <v>RETAIL</v>
          </cell>
          <cell r="I253" t="str">
            <v>28</v>
          </cell>
          <cell r="J253" t="str">
            <v>CPC2</v>
          </cell>
          <cell r="K253" t="str">
            <v>2807</v>
          </cell>
          <cell r="L253" t="str">
            <v>ULTRASEAL</v>
          </cell>
          <cell r="M253" t="str">
            <v>280701</v>
          </cell>
          <cell r="N253" t="str">
            <v>ULTRASEAL</v>
          </cell>
        </row>
        <row r="254">
          <cell r="C254" t="str">
            <v>100001243</v>
          </cell>
          <cell r="D254" t="str">
            <v>US-970 DAY BREAK 9104 VN-4K</v>
          </cell>
          <cell r="E254" t="str">
            <v>ZFGD</v>
          </cell>
          <cell r="F254" t="str">
            <v>PC</v>
          </cell>
          <cell r="G254" t="str">
            <v>2</v>
          </cell>
          <cell r="H254" t="str">
            <v>RETAIL</v>
          </cell>
          <cell r="I254" t="str">
            <v>28</v>
          </cell>
          <cell r="J254" t="str">
            <v>CPC2</v>
          </cell>
          <cell r="K254" t="str">
            <v>2807</v>
          </cell>
          <cell r="L254" t="str">
            <v>ULTRASEAL</v>
          </cell>
          <cell r="M254" t="str">
            <v>280701</v>
          </cell>
          <cell r="N254" t="str">
            <v>ULTRASEAL</v>
          </cell>
        </row>
        <row r="255">
          <cell r="C255" t="str">
            <v>100001244</v>
          </cell>
          <cell r="D255" t="str">
            <v>US-970 DAY BREAK 9104 VN-20KP</v>
          </cell>
          <cell r="E255" t="str">
            <v>ZFGD</v>
          </cell>
          <cell r="F255" t="str">
            <v>PC</v>
          </cell>
          <cell r="G255" t="str">
            <v>2</v>
          </cell>
          <cell r="H255" t="str">
            <v>RETAIL</v>
          </cell>
          <cell r="I255" t="str">
            <v>28</v>
          </cell>
          <cell r="J255" t="str">
            <v>CPC2</v>
          </cell>
          <cell r="K255" t="str">
            <v>2807</v>
          </cell>
          <cell r="L255" t="str">
            <v>ULTRASEAL</v>
          </cell>
          <cell r="M255" t="str">
            <v>280701</v>
          </cell>
          <cell r="N255" t="str">
            <v>ULTRASEAL</v>
          </cell>
        </row>
        <row r="256">
          <cell r="C256" t="str">
            <v>100001245</v>
          </cell>
          <cell r="D256" t="str">
            <v>US-970 SAND STONE 1136 VN-1K</v>
          </cell>
          <cell r="E256" t="str">
            <v>ZFGD</v>
          </cell>
          <cell r="F256" t="str">
            <v>PC</v>
          </cell>
          <cell r="G256" t="str">
            <v>2</v>
          </cell>
          <cell r="H256" t="str">
            <v>RETAIL</v>
          </cell>
          <cell r="I256" t="str">
            <v>28</v>
          </cell>
          <cell r="J256" t="str">
            <v>CPC2</v>
          </cell>
          <cell r="K256" t="str">
            <v>2807</v>
          </cell>
          <cell r="L256" t="str">
            <v>ULTRASEAL</v>
          </cell>
          <cell r="M256" t="str">
            <v>280701</v>
          </cell>
          <cell r="N256" t="str">
            <v>ULTRASEAL</v>
          </cell>
        </row>
        <row r="257">
          <cell r="C257" t="str">
            <v>100001246</v>
          </cell>
          <cell r="D257" t="str">
            <v>US-970 SAND STONE 1136 VN-4K</v>
          </cell>
          <cell r="E257" t="str">
            <v>ZFGD</v>
          </cell>
          <cell r="F257" t="str">
            <v>PC</v>
          </cell>
          <cell r="G257" t="str">
            <v>2</v>
          </cell>
          <cell r="H257" t="str">
            <v>RETAIL</v>
          </cell>
          <cell r="I257" t="str">
            <v>28</v>
          </cell>
          <cell r="J257" t="str">
            <v>CPC2</v>
          </cell>
          <cell r="K257" t="str">
            <v>2807</v>
          </cell>
          <cell r="L257" t="str">
            <v>ULTRASEAL</v>
          </cell>
          <cell r="M257" t="str">
            <v>280701</v>
          </cell>
          <cell r="N257" t="str">
            <v>ULTRASEAL</v>
          </cell>
        </row>
        <row r="258">
          <cell r="C258" t="str">
            <v>100001247</v>
          </cell>
          <cell r="D258" t="str">
            <v>US-970 SAND STONE 1136 VN-20KP</v>
          </cell>
          <cell r="E258" t="str">
            <v>ZFGD</v>
          </cell>
          <cell r="F258" t="str">
            <v>PC</v>
          </cell>
          <cell r="G258" t="str">
            <v>2</v>
          </cell>
          <cell r="H258" t="str">
            <v>RETAIL</v>
          </cell>
          <cell r="I258" t="str">
            <v>28</v>
          </cell>
          <cell r="J258" t="str">
            <v>CPC2</v>
          </cell>
          <cell r="K258" t="str">
            <v>2807</v>
          </cell>
          <cell r="L258" t="str">
            <v>ULTRASEAL</v>
          </cell>
          <cell r="M258" t="str">
            <v>280701</v>
          </cell>
          <cell r="N258" t="str">
            <v>ULTRASEAL</v>
          </cell>
        </row>
        <row r="259">
          <cell r="C259" t="str">
            <v>100001248</v>
          </cell>
          <cell r="D259" t="str">
            <v>US-970 FRESH GREY 8127 VN-1K</v>
          </cell>
          <cell r="E259" t="str">
            <v>ZFGD</v>
          </cell>
          <cell r="F259" t="str">
            <v>PC</v>
          </cell>
          <cell r="G259" t="str">
            <v>2</v>
          </cell>
          <cell r="H259" t="str">
            <v>RETAIL</v>
          </cell>
          <cell r="I259" t="str">
            <v>28</v>
          </cell>
          <cell r="J259" t="str">
            <v>CPC2</v>
          </cell>
          <cell r="K259" t="str">
            <v>2807</v>
          </cell>
          <cell r="L259" t="str">
            <v>ULTRASEAL</v>
          </cell>
          <cell r="M259" t="str">
            <v>280701</v>
          </cell>
          <cell r="N259" t="str">
            <v>ULTRASEAL</v>
          </cell>
        </row>
        <row r="260">
          <cell r="C260" t="str">
            <v>100001249</v>
          </cell>
          <cell r="D260" t="str">
            <v>US-970 FRESH GREY 8127 VN-4K</v>
          </cell>
          <cell r="E260" t="str">
            <v>ZFGD</v>
          </cell>
          <cell r="F260" t="str">
            <v>PC</v>
          </cell>
          <cell r="G260" t="str">
            <v>2</v>
          </cell>
          <cell r="H260" t="str">
            <v>RETAIL</v>
          </cell>
          <cell r="I260" t="str">
            <v>28</v>
          </cell>
          <cell r="J260" t="str">
            <v>CPC2</v>
          </cell>
          <cell r="K260" t="str">
            <v>2807</v>
          </cell>
          <cell r="L260" t="str">
            <v>ULTRASEAL</v>
          </cell>
          <cell r="M260" t="str">
            <v>280701</v>
          </cell>
          <cell r="N260" t="str">
            <v>ULTRASEAL</v>
          </cell>
        </row>
        <row r="261">
          <cell r="C261" t="str">
            <v>100001250</v>
          </cell>
          <cell r="D261" t="str">
            <v>US-970 FRESH GREY 8127 VN-20KP</v>
          </cell>
          <cell r="E261" t="str">
            <v>ZFGD</v>
          </cell>
          <cell r="F261" t="str">
            <v>PC</v>
          </cell>
          <cell r="G261" t="str">
            <v>2</v>
          </cell>
          <cell r="H261" t="str">
            <v>RETAIL</v>
          </cell>
          <cell r="I261" t="str">
            <v>28</v>
          </cell>
          <cell r="J261" t="str">
            <v>CPC2</v>
          </cell>
          <cell r="K261" t="str">
            <v>2807</v>
          </cell>
          <cell r="L261" t="str">
            <v>ULTRASEAL</v>
          </cell>
          <cell r="M261" t="str">
            <v>280701</v>
          </cell>
          <cell r="N261" t="str">
            <v>ULTRASEAL</v>
          </cell>
        </row>
        <row r="262">
          <cell r="C262" t="str">
            <v>100001251</v>
          </cell>
          <cell r="D262" t="str">
            <v>US-970 BLUE MYSTERY 6108 VN-1K</v>
          </cell>
          <cell r="E262" t="str">
            <v>ZFGD</v>
          </cell>
          <cell r="F262" t="str">
            <v>PC</v>
          </cell>
          <cell r="G262" t="str">
            <v>2</v>
          </cell>
          <cell r="H262" t="str">
            <v>RETAIL</v>
          </cell>
          <cell r="I262" t="str">
            <v>28</v>
          </cell>
          <cell r="J262" t="str">
            <v>CPC2</v>
          </cell>
          <cell r="K262" t="str">
            <v>2807</v>
          </cell>
          <cell r="L262" t="str">
            <v>ULTRASEAL</v>
          </cell>
          <cell r="M262" t="str">
            <v>280701</v>
          </cell>
          <cell r="N262" t="str">
            <v>ULTRASEAL</v>
          </cell>
        </row>
        <row r="263">
          <cell r="C263" t="str">
            <v>100001252</v>
          </cell>
          <cell r="D263" t="str">
            <v>US-970 BLUE MYSTERY 6108 VN-4K</v>
          </cell>
          <cell r="E263" t="str">
            <v>ZFGD</v>
          </cell>
          <cell r="F263" t="str">
            <v>PC</v>
          </cell>
          <cell r="G263" t="str">
            <v>2</v>
          </cell>
          <cell r="H263" t="str">
            <v>RETAIL</v>
          </cell>
          <cell r="I263" t="str">
            <v>28</v>
          </cell>
          <cell r="J263" t="str">
            <v>CPC2</v>
          </cell>
          <cell r="K263" t="str">
            <v>2807</v>
          </cell>
          <cell r="L263" t="str">
            <v>ULTRASEAL</v>
          </cell>
          <cell r="M263" t="str">
            <v>280701</v>
          </cell>
          <cell r="N263" t="str">
            <v>ULTRASEAL</v>
          </cell>
        </row>
        <row r="264">
          <cell r="C264" t="str">
            <v>100001253</v>
          </cell>
          <cell r="D264" t="str">
            <v>US-970 BLUE MYSTERY 6108 VN-20KP</v>
          </cell>
          <cell r="E264" t="str">
            <v>ZFGD</v>
          </cell>
          <cell r="F264" t="str">
            <v>PC</v>
          </cell>
          <cell r="G264" t="str">
            <v>2</v>
          </cell>
          <cell r="H264" t="str">
            <v>RETAIL</v>
          </cell>
          <cell r="I264" t="str">
            <v>28</v>
          </cell>
          <cell r="J264" t="str">
            <v>CPC2</v>
          </cell>
          <cell r="K264" t="str">
            <v>2807</v>
          </cell>
          <cell r="L264" t="str">
            <v>ULTRASEAL</v>
          </cell>
          <cell r="M264" t="str">
            <v>280701</v>
          </cell>
          <cell r="N264" t="str">
            <v>ULTRASEAL</v>
          </cell>
        </row>
        <row r="265">
          <cell r="C265" t="str">
            <v>100001254</v>
          </cell>
          <cell r="D265" t="str">
            <v>US-970 CAPPUCCINO 2111 VN-1K</v>
          </cell>
          <cell r="E265" t="str">
            <v>ZFGD</v>
          </cell>
          <cell r="F265" t="str">
            <v>PC</v>
          </cell>
          <cell r="G265" t="str">
            <v>2</v>
          </cell>
          <cell r="H265" t="str">
            <v>RETAIL</v>
          </cell>
          <cell r="I265" t="str">
            <v>28</v>
          </cell>
          <cell r="J265" t="str">
            <v>CPC2</v>
          </cell>
          <cell r="K265" t="str">
            <v>2807</v>
          </cell>
          <cell r="L265" t="str">
            <v>ULTRASEAL</v>
          </cell>
          <cell r="M265" t="str">
            <v>280701</v>
          </cell>
          <cell r="N265" t="str">
            <v>ULTRASEAL</v>
          </cell>
        </row>
        <row r="266">
          <cell r="C266" t="str">
            <v>100001255</v>
          </cell>
          <cell r="D266" t="str">
            <v>#NOT USED  CAPPUCCINO 2111 VN-4K</v>
          </cell>
          <cell r="E266" t="str">
            <v>ZFGD</v>
          </cell>
          <cell r="F266" t="str">
            <v>PC</v>
          </cell>
          <cell r="G266" t="str">
            <v>2</v>
          </cell>
          <cell r="H266" t="str">
            <v>RETAIL</v>
          </cell>
          <cell r="I266" t="str">
            <v>28</v>
          </cell>
          <cell r="J266" t="str">
            <v>CPC2</v>
          </cell>
          <cell r="K266" t="str">
            <v>2801</v>
          </cell>
          <cell r="L266" t="str">
            <v>WATERPROOFING</v>
          </cell>
          <cell r="M266" t="str">
            <v>280104</v>
          </cell>
          <cell r="N266" t="str">
            <v>ULTRASEAL</v>
          </cell>
        </row>
        <row r="267">
          <cell r="C267" t="str">
            <v>100001256</v>
          </cell>
          <cell r="D267" t="str">
            <v>US-970 CAPPUCCINO 2111 VN-20KP</v>
          </cell>
          <cell r="E267" t="str">
            <v>ZFGD</v>
          </cell>
          <cell r="F267" t="str">
            <v>PC</v>
          </cell>
          <cell r="G267" t="str">
            <v>2</v>
          </cell>
          <cell r="H267" t="str">
            <v>RETAIL</v>
          </cell>
          <cell r="I267" t="str">
            <v>28</v>
          </cell>
          <cell r="J267" t="str">
            <v>CPC2</v>
          </cell>
          <cell r="K267" t="str">
            <v>2807</v>
          </cell>
          <cell r="L267" t="str">
            <v>ULTRASEAL</v>
          </cell>
          <cell r="M267" t="str">
            <v>280701</v>
          </cell>
          <cell r="N267" t="str">
            <v>ULTRASEAL</v>
          </cell>
        </row>
        <row r="268">
          <cell r="C268" t="str">
            <v>100001257</v>
          </cell>
          <cell r="D268" t="str">
            <v>US-970 FAIR FARMINGTON 6112 VN-1K</v>
          </cell>
          <cell r="E268" t="str">
            <v>ZFGD</v>
          </cell>
          <cell r="F268" t="str">
            <v>PC</v>
          </cell>
          <cell r="G268" t="str">
            <v>2</v>
          </cell>
          <cell r="H268" t="str">
            <v>RETAIL</v>
          </cell>
          <cell r="I268" t="str">
            <v>28</v>
          </cell>
          <cell r="J268" t="str">
            <v>CPC2</v>
          </cell>
          <cell r="K268" t="str">
            <v>2807</v>
          </cell>
          <cell r="L268" t="str">
            <v>ULTRASEAL</v>
          </cell>
          <cell r="M268" t="str">
            <v>280701</v>
          </cell>
          <cell r="N268" t="str">
            <v>ULTRASEAL</v>
          </cell>
        </row>
        <row r="269">
          <cell r="C269" t="str">
            <v>100001258</v>
          </cell>
          <cell r="D269" t="str">
            <v>US-970 FAIR FARMINGTON 6112 VN-4K</v>
          </cell>
          <cell r="E269" t="str">
            <v>ZFGD</v>
          </cell>
          <cell r="F269" t="str">
            <v>PC</v>
          </cell>
          <cell r="G269" t="str">
            <v>2</v>
          </cell>
          <cell r="H269" t="str">
            <v>RETAIL</v>
          </cell>
          <cell r="I269" t="str">
            <v>28</v>
          </cell>
          <cell r="J269" t="str">
            <v>CPC2</v>
          </cell>
          <cell r="K269" t="str">
            <v>2807</v>
          </cell>
          <cell r="L269" t="str">
            <v>ULTRASEAL</v>
          </cell>
          <cell r="M269" t="str">
            <v>280701</v>
          </cell>
          <cell r="N269" t="str">
            <v>ULTRASEAL</v>
          </cell>
        </row>
        <row r="270">
          <cell r="C270" t="str">
            <v>100001259</v>
          </cell>
          <cell r="D270" t="str">
            <v>US-970 FAIR FARMINGTON 6112 VN-20KP</v>
          </cell>
          <cell r="E270" t="str">
            <v>ZFGD</v>
          </cell>
          <cell r="F270" t="str">
            <v>PC</v>
          </cell>
          <cell r="G270" t="str">
            <v>2</v>
          </cell>
          <cell r="H270" t="str">
            <v>RETAIL</v>
          </cell>
          <cell r="I270" t="str">
            <v>28</v>
          </cell>
          <cell r="J270" t="str">
            <v>CPC2</v>
          </cell>
          <cell r="K270" t="str">
            <v>2807</v>
          </cell>
          <cell r="L270" t="str">
            <v>ULTRASEAL</v>
          </cell>
          <cell r="M270" t="str">
            <v>280701</v>
          </cell>
          <cell r="N270" t="str">
            <v>ULTRASEAL</v>
          </cell>
        </row>
        <row r="271">
          <cell r="C271" t="str">
            <v>100001260</v>
          </cell>
          <cell r="D271" t="str">
            <v>US-970 GARLAND BLUE 6109 VN-1K</v>
          </cell>
          <cell r="E271" t="str">
            <v>ZFGD</v>
          </cell>
          <cell r="F271" t="str">
            <v>PC</v>
          </cell>
          <cell r="G271" t="str">
            <v>2</v>
          </cell>
          <cell r="H271" t="str">
            <v>RETAIL</v>
          </cell>
          <cell r="I271" t="str">
            <v>28</v>
          </cell>
          <cell r="J271" t="str">
            <v>CPC2</v>
          </cell>
          <cell r="K271" t="str">
            <v>2807</v>
          </cell>
          <cell r="L271" t="str">
            <v>ULTRASEAL</v>
          </cell>
          <cell r="M271" t="str">
            <v>280701</v>
          </cell>
          <cell r="N271" t="str">
            <v>ULTRASEAL</v>
          </cell>
        </row>
        <row r="272">
          <cell r="C272" t="str">
            <v>100001261</v>
          </cell>
          <cell r="D272" t="str">
            <v>US-970 GARLAND BLUE 6109 VN-4K</v>
          </cell>
          <cell r="E272" t="str">
            <v>ZFGD</v>
          </cell>
          <cell r="F272" t="str">
            <v>PC</v>
          </cell>
          <cell r="G272" t="str">
            <v>2</v>
          </cell>
          <cell r="H272" t="str">
            <v>RETAIL</v>
          </cell>
          <cell r="I272" t="str">
            <v>28</v>
          </cell>
          <cell r="J272" t="str">
            <v>CPC2</v>
          </cell>
          <cell r="K272" t="str">
            <v>2807</v>
          </cell>
          <cell r="L272" t="str">
            <v>ULTRASEAL</v>
          </cell>
          <cell r="M272" t="str">
            <v>280701</v>
          </cell>
          <cell r="N272" t="str">
            <v>ULTRASEAL</v>
          </cell>
        </row>
        <row r="273">
          <cell r="C273" t="str">
            <v>100001262</v>
          </cell>
          <cell r="D273" t="str">
            <v>US-970 GARLAND BLUE 6109 VN-20KP</v>
          </cell>
          <cell r="E273" t="str">
            <v>ZFGD</v>
          </cell>
          <cell r="F273" t="str">
            <v>PC</v>
          </cell>
          <cell r="G273" t="str">
            <v>2</v>
          </cell>
          <cell r="H273" t="str">
            <v>RETAIL</v>
          </cell>
          <cell r="I273" t="str">
            <v>28</v>
          </cell>
          <cell r="J273" t="str">
            <v>CPC2</v>
          </cell>
          <cell r="K273" t="str">
            <v>2807</v>
          </cell>
          <cell r="L273" t="str">
            <v>ULTRASEAL</v>
          </cell>
          <cell r="M273" t="str">
            <v>280701</v>
          </cell>
          <cell r="N273" t="str">
            <v>ULTRASEAL</v>
          </cell>
        </row>
        <row r="274">
          <cell r="C274" t="str">
            <v>100001263</v>
          </cell>
          <cell r="D274" t="str">
            <v>US-970 GLACIER 6111 VN-1K</v>
          </cell>
          <cell r="E274" t="str">
            <v>ZFGD</v>
          </cell>
          <cell r="F274" t="str">
            <v>PC</v>
          </cell>
          <cell r="G274" t="str">
            <v>2</v>
          </cell>
          <cell r="H274" t="str">
            <v>RETAIL</v>
          </cell>
          <cell r="I274" t="str">
            <v>28</v>
          </cell>
          <cell r="J274" t="str">
            <v>CPC2</v>
          </cell>
          <cell r="K274" t="str">
            <v>2807</v>
          </cell>
          <cell r="L274" t="str">
            <v>ULTRASEAL</v>
          </cell>
          <cell r="M274" t="str">
            <v>280701</v>
          </cell>
          <cell r="N274" t="str">
            <v>ULTRASEAL</v>
          </cell>
        </row>
        <row r="275">
          <cell r="C275" t="str">
            <v>100001264</v>
          </cell>
          <cell r="D275" t="str">
            <v>US-970 GLACIER 6111 VN-4K</v>
          </cell>
          <cell r="E275" t="str">
            <v>ZFGD</v>
          </cell>
          <cell r="F275" t="str">
            <v>PC</v>
          </cell>
          <cell r="G275" t="str">
            <v>2</v>
          </cell>
          <cell r="H275" t="str">
            <v>RETAIL</v>
          </cell>
          <cell r="I275" t="str">
            <v>28</v>
          </cell>
          <cell r="J275" t="str">
            <v>CPC2</v>
          </cell>
          <cell r="K275" t="str">
            <v>2807</v>
          </cell>
          <cell r="L275" t="str">
            <v>ULTRASEAL</v>
          </cell>
          <cell r="M275" t="str">
            <v>280701</v>
          </cell>
          <cell r="N275" t="str">
            <v>ULTRASEAL</v>
          </cell>
        </row>
        <row r="276">
          <cell r="C276" t="str">
            <v>100001265</v>
          </cell>
          <cell r="D276" t="str">
            <v>US-970 GLACIER 6111 VN-20KP</v>
          </cell>
          <cell r="E276" t="str">
            <v>ZFGD</v>
          </cell>
          <cell r="F276" t="str">
            <v>PC</v>
          </cell>
          <cell r="G276" t="str">
            <v>2</v>
          </cell>
          <cell r="H276" t="str">
            <v>RETAIL</v>
          </cell>
          <cell r="I276" t="str">
            <v>28</v>
          </cell>
          <cell r="J276" t="str">
            <v>CPC2</v>
          </cell>
          <cell r="K276" t="str">
            <v>2807</v>
          </cell>
          <cell r="L276" t="str">
            <v>ULTRASEAL</v>
          </cell>
          <cell r="M276" t="str">
            <v>280701</v>
          </cell>
          <cell r="N276" t="str">
            <v>ULTRASEAL</v>
          </cell>
        </row>
        <row r="277">
          <cell r="C277" t="str">
            <v>100001266</v>
          </cell>
          <cell r="D277" t="str">
            <v>US-970 GLACIER BLUE 5113 VN-1K</v>
          </cell>
          <cell r="E277" t="str">
            <v>ZFGD</v>
          </cell>
          <cell r="F277" t="str">
            <v>PC</v>
          </cell>
          <cell r="G277" t="str">
            <v>2</v>
          </cell>
          <cell r="H277" t="str">
            <v>RETAIL</v>
          </cell>
          <cell r="I277" t="str">
            <v>28</v>
          </cell>
          <cell r="J277" t="str">
            <v>CPC2</v>
          </cell>
          <cell r="K277" t="str">
            <v>2807</v>
          </cell>
          <cell r="L277" t="str">
            <v>ULTRASEAL</v>
          </cell>
          <cell r="M277" t="str">
            <v>280701</v>
          </cell>
          <cell r="N277" t="str">
            <v>ULTRASEAL</v>
          </cell>
        </row>
        <row r="278">
          <cell r="C278" t="str">
            <v>100001267</v>
          </cell>
          <cell r="D278" t="str">
            <v>US-970 GLACIER BLUE 5113 VN-4K</v>
          </cell>
          <cell r="E278" t="str">
            <v>ZFGD</v>
          </cell>
          <cell r="F278" t="str">
            <v>PC</v>
          </cell>
          <cell r="G278" t="str">
            <v>2</v>
          </cell>
          <cell r="H278" t="str">
            <v>RETAIL</v>
          </cell>
          <cell r="I278" t="str">
            <v>28</v>
          </cell>
          <cell r="J278" t="str">
            <v>CPC2</v>
          </cell>
          <cell r="K278" t="str">
            <v>2807</v>
          </cell>
          <cell r="L278" t="str">
            <v>ULTRASEAL</v>
          </cell>
          <cell r="M278" t="str">
            <v>280701</v>
          </cell>
          <cell r="N278" t="str">
            <v>ULTRASEAL</v>
          </cell>
        </row>
        <row r="279">
          <cell r="C279" t="str">
            <v>100001268</v>
          </cell>
          <cell r="D279" t="str">
            <v>US-970 GLACIER BLUE 5113 VN-20KP</v>
          </cell>
          <cell r="E279" t="str">
            <v>ZFGD</v>
          </cell>
          <cell r="F279" t="str">
            <v>PC</v>
          </cell>
          <cell r="G279" t="str">
            <v>2</v>
          </cell>
          <cell r="H279" t="str">
            <v>RETAIL</v>
          </cell>
          <cell r="I279" t="str">
            <v>28</v>
          </cell>
          <cell r="J279" t="str">
            <v>CPC2</v>
          </cell>
          <cell r="K279" t="str">
            <v>2807</v>
          </cell>
          <cell r="L279" t="str">
            <v>ULTRASEAL</v>
          </cell>
          <cell r="M279" t="str">
            <v>280701</v>
          </cell>
          <cell r="N279" t="str">
            <v>ULTRASEAL</v>
          </cell>
        </row>
        <row r="280">
          <cell r="C280" t="str">
            <v>100001269</v>
          </cell>
          <cell r="D280" t="str">
            <v>US-970 GREEN LANE 8124 VN-1K</v>
          </cell>
          <cell r="E280" t="str">
            <v>ZFGD</v>
          </cell>
          <cell r="F280" t="str">
            <v>PC</v>
          </cell>
          <cell r="G280" t="str">
            <v>2</v>
          </cell>
          <cell r="H280" t="str">
            <v>RETAIL</v>
          </cell>
          <cell r="I280" t="str">
            <v>28</v>
          </cell>
          <cell r="J280" t="str">
            <v>CPC2</v>
          </cell>
          <cell r="K280" t="str">
            <v>2807</v>
          </cell>
          <cell r="L280" t="str">
            <v>ULTRASEAL</v>
          </cell>
          <cell r="M280" t="str">
            <v>280701</v>
          </cell>
          <cell r="N280" t="str">
            <v>ULTRASEAL</v>
          </cell>
        </row>
        <row r="281">
          <cell r="C281" t="str">
            <v>100001270</v>
          </cell>
          <cell r="D281" t="str">
            <v>US-970 GREEN LANE 8124 VN-4K</v>
          </cell>
          <cell r="E281" t="str">
            <v>ZFGD</v>
          </cell>
          <cell r="F281" t="str">
            <v>PC</v>
          </cell>
          <cell r="G281" t="str">
            <v>2</v>
          </cell>
          <cell r="H281" t="str">
            <v>RETAIL</v>
          </cell>
          <cell r="I281" t="str">
            <v>28</v>
          </cell>
          <cell r="J281" t="str">
            <v>CPC2</v>
          </cell>
          <cell r="K281" t="str">
            <v>2807</v>
          </cell>
          <cell r="L281" t="str">
            <v>ULTRASEAL</v>
          </cell>
          <cell r="M281" t="str">
            <v>280701</v>
          </cell>
          <cell r="N281" t="str">
            <v>ULTRASEAL</v>
          </cell>
        </row>
        <row r="282">
          <cell r="C282" t="str">
            <v>100001271</v>
          </cell>
          <cell r="D282" t="str">
            <v>US-970 GREEN LANE 8124 VN-20KP</v>
          </cell>
          <cell r="E282" t="str">
            <v>ZFGD</v>
          </cell>
          <cell r="F282" t="str">
            <v>PC</v>
          </cell>
          <cell r="G282" t="str">
            <v>2</v>
          </cell>
          <cell r="H282" t="str">
            <v>RETAIL</v>
          </cell>
          <cell r="I282" t="str">
            <v>28</v>
          </cell>
          <cell r="J282" t="str">
            <v>CPC2</v>
          </cell>
          <cell r="K282" t="str">
            <v>2807</v>
          </cell>
          <cell r="L282" t="str">
            <v>ULTRASEAL</v>
          </cell>
          <cell r="M282" t="str">
            <v>280701</v>
          </cell>
          <cell r="N282" t="str">
            <v>ULTRASEAL</v>
          </cell>
        </row>
        <row r="283">
          <cell r="C283" t="str">
            <v>100001272</v>
          </cell>
          <cell r="D283" t="str">
            <v>US-970 GREY FUCHSIA 3109 VN-1K</v>
          </cell>
          <cell r="E283" t="str">
            <v>ZFGD</v>
          </cell>
          <cell r="F283" t="str">
            <v>PC</v>
          </cell>
          <cell r="G283" t="str">
            <v>2</v>
          </cell>
          <cell r="H283" t="str">
            <v>RETAIL</v>
          </cell>
          <cell r="I283" t="str">
            <v>28</v>
          </cell>
          <cell r="J283" t="str">
            <v>CPC2</v>
          </cell>
          <cell r="K283" t="str">
            <v>2807</v>
          </cell>
          <cell r="L283" t="str">
            <v>ULTRASEAL</v>
          </cell>
          <cell r="M283" t="str">
            <v>280701</v>
          </cell>
          <cell r="N283" t="str">
            <v>ULTRASEAL</v>
          </cell>
        </row>
        <row r="284">
          <cell r="C284" t="str">
            <v>100001273</v>
          </cell>
          <cell r="D284" t="str">
            <v>US-970 GREY FUCHSIA 3109 VN-4K</v>
          </cell>
          <cell r="E284" t="str">
            <v>ZFGD</v>
          </cell>
          <cell r="F284" t="str">
            <v>PC</v>
          </cell>
          <cell r="G284" t="str">
            <v>2</v>
          </cell>
          <cell r="H284" t="str">
            <v>RETAIL</v>
          </cell>
          <cell r="I284" t="str">
            <v>28</v>
          </cell>
          <cell r="J284" t="str">
            <v>CPC2</v>
          </cell>
          <cell r="K284" t="str">
            <v>2807</v>
          </cell>
          <cell r="L284" t="str">
            <v>ULTRASEAL</v>
          </cell>
          <cell r="M284" t="str">
            <v>280701</v>
          </cell>
          <cell r="N284" t="str">
            <v>ULTRASEAL</v>
          </cell>
        </row>
        <row r="285">
          <cell r="C285" t="str">
            <v>100001274</v>
          </cell>
          <cell r="D285" t="str">
            <v>US-970 GREY FUCHSIA 3109 VN-20KP</v>
          </cell>
          <cell r="E285" t="str">
            <v>ZFGD</v>
          </cell>
          <cell r="F285" t="str">
            <v>PC</v>
          </cell>
          <cell r="G285" t="str">
            <v>2</v>
          </cell>
          <cell r="H285" t="str">
            <v>RETAIL</v>
          </cell>
          <cell r="I285" t="str">
            <v>28</v>
          </cell>
          <cell r="J285" t="str">
            <v>CPC2</v>
          </cell>
          <cell r="K285" t="str">
            <v>2807</v>
          </cell>
          <cell r="L285" t="str">
            <v>ULTRASEAL</v>
          </cell>
          <cell r="M285" t="str">
            <v>280701</v>
          </cell>
          <cell r="N285" t="str">
            <v>ULTRASEAL</v>
          </cell>
        </row>
        <row r="286">
          <cell r="C286" t="str">
            <v>100001275</v>
          </cell>
          <cell r="D286" t="str">
            <v>US-970 GREY LEAF 6110 VN-1K</v>
          </cell>
          <cell r="E286" t="str">
            <v>ZFGD</v>
          </cell>
          <cell r="F286" t="str">
            <v>PC</v>
          </cell>
          <cell r="G286" t="str">
            <v>2</v>
          </cell>
          <cell r="H286" t="str">
            <v>RETAIL</v>
          </cell>
          <cell r="I286" t="str">
            <v>28</v>
          </cell>
          <cell r="J286" t="str">
            <v>CPC2</v>
          </cell>
          <cell r="K286" t="str">
            <v>2807</v>
          </cell>
          <cell r="L286" t="str">
            <v>ULTRASEAL</v>
          </cell>
          <cell r="M286" t="str">
            <v>280701</v>
          </cell>
          <cell r="N286" t="str">
            <v>ULTRASEAL</v>
          </cell>
        </row>
        <row r="287">
          <cell r="C287" t="str">
            <v>100001276</v>
          </cell>
          <cell r="D287" t="str">
            <v>US-970 GREY LEAF 6110 VN-4K</v>
          </cell>
          <cell r="E287" t="str">
            <v>ZFGD</v>
          </cell>
          <cell r="F287" t="str">
            <v>PC</v>
          </cell>
          <cell r="G287" t="str">
            <v>2</v>
          </cell>
          <cell r="H287" t="str">
            <v>RETAIL</v>
          </cell>
          <cell r="I287" t="str">
            <v>28</v>
          </cell>
          <cell r="J287" t="str">
            <v>CPC2</v>
          </cell>
          <cell r="K287" t="str">
            <v>2807</v>
          </cell>
          <cell r="L287" t="str">
            <v>ULTRASEAL</v>
          </cell>
          <cell r="M287" t="str">
            <v>280701</v>
          </cell>
          <cell r="N287" t="str">
            <v>ULTRASEAL</v>
          </cell>
        </row>
        <row r="288">
          <cell r="C288" t="str">
            <v>100001277</v>
          </cell>
          <cell r="D288" t="str">
            <v>US-970 GREY LEAF 6110 VN-20KP</v>
          </cell>
          <cell r="E288" t="str">
            <v>ZFGD</v>
          </cell>
          <cell r="F288" t="str">
            <v>PC</v>
          </cell>
          <cell r="G288" t="str">
            <v>2</v>
          </cell>
          <cell r="H288" t="str">
            <v>RETAIL</v>
          </cell>
          <cell r="I288" t="str">
            <v>28</v>
          </cell>
          <cell r="J288" t="str">
            <v>CPC2</v>
          </cell>
          <cell r="K288" t="str">
            <v>2807</v>
          </cell>
          <cell r="L288" t="str">
            <v>ULTRASEAL</v>
          </cell>
          <cell r="M288" t="str">
            <v>280701</v>
          </cell>
          <cell r="N288" t="str">
            <v>ULTRASEAL</v>
          </cell>
        </row>
        <row r="289">
          <cell r="C289" t="str">
            <v>100001278</v>
          </cell>
          <cell r="D289" t="str">
            <v>US-970 LIME GREEN 8125 VN-1K</v>
          </cell>
          <cell r="E289" t="str">
            <v>ZFGD</v>
          </cell>
          <cell r="F289" t="str">
            <v>PC</v>
          </cell>
          <cell r="G289" t="str">
            <v>2</v>
          </cell>
          <cell r="H289" t="str">
            <v>RETAIL</v>
          </cell>
          <cell r="I289" t="str">
            <v>28</v>
          </cell>
          <cell r="J289" t="str">
            <v>CPC2</v>
          </cell>
          <cell r="K289" t="str">
            <v>2807</v>
          </cell>
          <cell r="L289" t="str">
            <v>ULTRASEAL</v>
          </cell>
          <cell r="M289" t="str">
            <v>280701</v>
          </cell>
          <cell r="N289" t="str">
            <v>ULTRASEAL</v>
          </cell>
        </row>
        <row r="290">
          <cell r="C290" t="str">
            <v>100001279</v>
          </cell>
          <cell r="D290" t="str">
            <v>US-970 LIME GREEN 8125 VN-4K</v>
          </cell>
          <cell r="E290" t="str">
            <v>ZFGD</v>
          </cell>
          <cell r="F290" t="str">
            <v>PC</v>
          </cell>
          <cell r="G290" t="str">
            <v>2</v>
          </cell>
          <cell r="H290" t="str">
            <v>RETAIL</v>
          </cell>
          <cell r="I290" t="str">
            <v>28</v>
          </cell>
          <cell r="J290" t="str">
            <v>CPC2</v>
          </cell>
          <cell r="K290" t="str">
            <v>2807</v>
          </cell>
          <cell r="L290" t="str">
            <v>ULTRASEAL</v>
          </cell>
          <cell r="M290" t="str">
            <v>280701</v>
          </cell>
          <cell r="N290" t="str">
            <v>ULTRASEAL</v>
          </cell>
        </row>
        <row r="291">
          <cell r="C291" t="str">
            <v>100001280</v>
          </cell>
          <cell r="D291" t="str">
            <v>US-970 LIME GREEN 8125 VN-20KP</v>
          </cell>
          <cell r="E291" t="str">
            <v>ZFGD</v>
          </cell>
          <cell r="F291" t="str">
            <v>PC</v>
          </cell>
          <cell r="G291" t="str">
            <v>2</v>
          </cell>
          <cell r="H291" t="str">
            <v>RETAIL</v>
          </cell>
          <cell r="I291" t="str">
            <v>28</v>
          </cell>
          <cell r="J291" t="str">
            <v>CPC2</v>
          </cell>
          <cell r="K291" t="str">
            <v>2807</v>
          </cell>
          <cell r="L291" t="str">
            <v>ULTRASEAL</v>
          </cell>
          <cell r="M291" t="str">
            <v>280701</v>
          </cell>
          <cell r="N291" t="str">
            <v>ULTRASEAL</v>
          </cell>
        </row>
        <row r="292">
          <cell r="C292" t="str">
            <v>100001281</v>
          </cell>
          <cell r="D292" t="str">
            <v>US-970 LIVELY LAVENDER 5427 VN-1K</v>
          </cell>
          <cell r="E292" t="str">
            <v>ZFGD</v>
          </cell>
          <cell r="F292" t="str">
            <v>PC</v>
          </cell>
          <cell r="G292" t="str">
            <v>2</v>
          </cell>
          <cell r="H292" t="str">
            <v>RETAIL</v>
          </cell>
          <cell r="I292" t="str">
            <v>28</v>
          </cell>
          <cell r="J292" t="str">
            <v>CPC2</v>
          </cell>
          <cell r="K292" t="str">
            <v>2807</v>
          </cell>
          <cell r="L292" t="str">
            <v>ULTRASEAL</v>
          </cell>
          <cell r="M292" t="str">
            <v>280701</v>
          </cell>
          <cell r="N292" t="str">
            <v>ULTRASEAL</v>
          </cell>
        </row>
        <row r="293">
          <cell r="C293" t="str">
            <v>100001282</v>
          </cell>
          <cell r="D293" t="str">
            <v>US-970 LIVELY LAVENDER 5427 VN-4K</v>
          </cell>
          <cell r="E293" t="str">
            <v>ZFGD</v>
          </cell>
          <cell r="F293" t="str">
            <v>PC</v>
          </cell>
          <cell r="G293" t="str">
            <v>2</v>
          </cell>
          <cell r="H293" t="str">
            <v>RETAIL</v>
          </cell>
          <cell r="I293" t="str">
            <v>28</v>
          </cell>
          <cell r="J293" t="str">
            <v>CPC2</v>
          </cell>
          <cell r="K293" t="str">
            <v>2807</v>
          </cell>
          <cell r="L293" t="str">
            <v>ULTRASEAL</v>
          </cell>
          <cell r="M293" t="str">
            <v>280701</v>
          </cell>
          <cell r="N293" t="str">
            <v>ULTRASEAL</v>
          </cell>
        </row>
        <row r="294">
          <cell r="C294" t="str">
            <v>100001283</v>
          </cell>
          <cell r="D294" t="str">
            <v>US-970 LIVELY LAVENDER 5427 VN-20KP</v>
          </cell>
          <cell r="E294" t="str">
            <v>ZFGD</v>
          </cell>
          <cell r="F294" t="str">
            <v>PC</v>
          </cell>
          <cell r="G294" t="str">
            <v>2</v>
          </cell>
          <cell r="H294" t="str">
            <v>RETAIL</v>
          </cell>
          <cell r="I294" t="str">
            <v>28</v>
          </cell>
          <cell r="J294" t="str">
            <v>CPC2</v>
          </cell>
          <cell r="K294" t="str">
            <v>2807</v>
          </cell>
          <cell r="L294" t="str">
            <v>ULTRASEAL</v>
          </cell>
          <cell r="M294" t="str">
            <v>280701</v>
          </cell>
          <cell r="N294" t="str">
            <v>ULTRASEAL</v>
          </cell>
        </row>
        <row r="295">
          <cell r="C295" t="str">
            <v>100001284</v>
          </cell>
          <cell r="D295" t="str">
            <v>US-970 EMBARRASSED PINK 8126 VN-1K</v>
          </cell>
          <cell r="E295" t="str">
            <v>ZFGD</v>
          </cell>
          <cell r="F295" t="str">
            <v>PC</v>
          </cell>
          <cell r="G295" t="str">
            <v>2</v>
          </cell>
          <cell r="H295" t="str">
            <v>RETAIL</v>
          </cell>
          <cell r="I295" t="str">
            <v>28</v>
          </cell>
          <cell r="J295" t="str">
            <v>CPC2</v>
          </cell>
          <cell r="K295" t="str">
            <v>2807</v>
          </cell>
          <cell r="L295" t="str">
            <v>ULTRASEAL</v>
          </cell>
          <cell r="M295" t="str">
            <v>280701</v>
          </cell>
          <cell r="N295" t="str">
            <v>ULTRASEAL</v>
          </cell>
        </row>
        <row r="296">
          <cell r="C296" t="str">
            <v>100001285</v>
          </cell>
          <cell r="D296" t="str">
            <v>US-970 EMBARRASSED PINK 8126 VN-4K</v>
          </cell>
          <cell r="E296" t="str">
            <v>ZFGD</v>
          </cell>
          <cell r="F296" t="str">
            <v>PC</v>
          </cell>
          <cell r="G296" t="str">
            <v>2</v>
          </cell>
          <cell r="H296" t="str">
            <v>RETAIL</v>
          </cell>
          <cell r="I296" t="str">
            <v>28</v>
          </cell>
          <cell r="J296" t="str">
            <v>CPC2</v>
          </cell>
          <cell r="K296" t="str">
            <v>2807</v>
          </cell>
          <cell r="L296" t="str">
            <v>ULTRASEAL</v>
          </cell>
          <cell r="M296" t="str">
            <v>280701</v>
          </cell>
          <cell r="N296" t="str">
            <v>ULTRASEAL</v>
          </cell>
        </row>
        <row r="297">
          <cell r="C297" t="str">
            <v>100001286</v>
          </cell>
          <cell r="D297" t="str">
            <v>US-970 EMBARRASSED PINK 8126 VN-20KP</v>
          </cell>
          <cell r="E297" t="str">
            <v>ZFGD</v>
          </cell>
          <cell r="F297" t="str">
            <v>PC</v>
          </cell>
          <cell r="G297" t="str">
            <v>2</v>
          </cell>
          <cell r="H297" t="str">
            <v>RETAIL</v>
          </cell>
          <cell r="I297" t="str">
            <v>28</v>
          </cell>
          <cell r="J297" t="str">
            <v>CPC2</v>
          </cell>
          <cell r="K297" t="str">
            <v>2807</v>
          </cell>
          <cell r="L297" t="str">
            <v>ULTRASEAL</v>
          </cell>
          <cell r="M297" t="str">
            <v>280701</v>
          </cell>
          <cell r="N297" t="str">
            <v>ULTRASEAL</v>
          </cell>
        </row>
        <row r="298">
          <cell r="C298" t="str">
            <v>100001287</v>
          </cell>
          <cell r="D298" t="str">
            <v>US-970 VALENTINE 3108 VN-1K</v>
          </cell>
          <cell r="E298" t="str">
            <v>ZFGD</v>
          </cell>
          <cell r="F298" t="str">
            <v>PC</v>
          </cell>
          <cell r="G298" t="str">
            <v>2</v>
          </cell>
          <cell r="H298" t="str">
            <v>RETAIL</v>
          </cell>
          <cell r="I298" t="str">
            <v>28</v>
          </cell>
          <cell r="J298" t="str">
            <v>CPC2</v>
          </cell>
          <cell r="K298" t="str">
            <v>2807</v>
          </cell>
          <cell r="L298" t="str">
            <v>ULTRASEAL</v>
          </cell>
          <cell r="M298" t="str">
            <v>280701</v>
          </cell>
          <cell r="N298" t="str">
            <v>ULTRASEAL</v>
          </cell>
        </row>
        <row r="299">
          <cell r="C299" t="str">
            <v>100001288</v>
          </cell>
          <cell r="D299" t="str">
            <v>US-970 VALENTINE 3108 VN-4K</v>
          </cell>
          <cell r="E299" t="str">
            <v>ZFGD</v>
          </cell>
          <cell r="F299" t="str">
            <v>PC</v>
          </cell>
          <cell r="G299" t="str">
            <v>2</v>
          </cell>
          <cell r="H299" t="str">
            <v>RETAIL</v>
          </cell>
          <cell r="I299" t="str">
            <v>28</v>
          </cell>
          <cell r="J299" t="str">
            <v>CPC2</v>
          </cell>
          <cell r="K299" t="str">
            <v>2807</v>
          </cell>
          <cell r="L299" t="str">
            <v>ULTRASEAL</v>
          </cell>
          <cell r="M299" t="str">
            <v>280701</v>
          </cell>
          <cell r="N299" t="str">
            <v>ULTRASEAL</v>
          </cell>
        </row>
        <row r="300">
          <cell r="C300" t="str">
            <v>100001289</v>
          </cell>
          <cell r="D300" t="str">
            <v>US-970 VALENTINE 3108 VN-20KP</v>
          </cell>
          <cell r="E300" t="str">
            <v>ZFGD</v>
          </cell>
          <cell r="F300" t="str">
            <v>PC</v>
          </cell>
          <cell r="G300" t="str">
            <v>2</v>
          </cell>
          <cell r="H300" t="str">
            <v>RETAIL</v>
          </cell>
          <cell r="I300" t="str">
            <v>28</v>
          </cell>
          <cell r="J300" t="str">
            <v>CPC2</v>
          </cell>
          <cell r="K300" t="str">
            <v>2807</v>
          </cell>
          <cell r="L300" t="str">
            <v>ULTRASEAL</v>
          </cell>
          <cell r="M300" t="str">
            <v>280701</v>
          </cell>
          <cell r="N300" t="str">
            <v>ULTRASEAL</v>
          </cell>
        </row>
        <row r="301">
          <cell r="C301" t="str">
            <v>100001290</v>
          </cell>
          <cell r="D301" t="str">
            <v>US-970 WHITE SHADOW 2112 VN-1K</v>
          </cell>
          <cell r="E301" t="str">
            <v>ZFGD</v>
          </cell>
          <cell r="F301" t="str">
            <v>PC</v>
          </cell>
          <cell r="G301" t="str">
            <v>2</v>
          </cell>
          <cell r="H301" t="str">
            <v>RETAIL</v>
          </cell>
          <cell r="I301" t="str">
            <v>28</v>
          </cell>
          <cell r="J301" t="str">
            <v>CPC2</v>
          </cell>
          <cell r="K301" t="str">
            <v>2807</v>
          </cell>
          <cell r="L301" t="str">
            <v>ULTRASEAL</v>
          </cell>
          <cell r="M301" t="str">
            <v>280701</v>
          </cell>
          <cell r="N301" t="str">
            <v>ULTRASEAL</v>
          </cell>
        </row>
        <row r="302">
          <cell r="C302" t="str">
            <v>100001291</v>
          </cell>
          <cell r="D302" t="str">
            <v>US-970 WHITE SHADOW 2112 VN-4K</v>
          </cell>
          <cell r="E302" t="str">
            <v>ZFGD</v>
          </cell>
          <cell r="F302" t="str">
            <v>PC</v>
          </cell>
          <cell r="G302" t="str">
            <v>2</v>
          </cell>
          <cell r="H302" t="str">
            <v>RETAIL</v>
          </cell>
          <cell r="I302" t="str">
            <v>28</v>
          </cell>
          <cell r="J302" t="str">
            <v>CPC2</v>
          </cell>
          <cell r="K302" t="str">
            <v>2807</v>
          </cell>
          <cell r="L302" t="str">
            <v>ULTRASEAL</v>
          </cell>
          <cell r="M302" t="str">
            <v>280701</v>
          </cell>
          <cell r="N302" t="str">
            <v>ULTRASEAL</v>
          </cell>
        </row>
        <row r="303">
          <cell r="C303" t="str">
            <v>100001292</v>
          </cell>
          <cell r="D303" t="str">
            <v>US-970 WHITE SHADOW 2112 VN-20KP</v>
          </cell>
          <cell r="E303" t="str">
            <v>ZFGD</v>
          </cell>
          <cell r="F303" t="str">
            <v>PC</v>
          </cell>
          <cell r="G303" t="str">
            <v>2</v>
          </cell>
          <cell r="H303" t="str">
            <v>RETAIL</v>
          </cell>
          <cell r="I303" t="str">
            <v>28</v>
          </cell>
          <cell r="J303" t="str">
            <v>CPC2</v>
          </cell>
          <cell r="K303" t="str">
            <v>2807</v>
          </cell>
          <cell r="L303" t="str">
            <v>ULTRASEAL</v>
          </cell>
          <cell r="M303" t="str">
            <v>280701</v>
          </cell>
          <cell r="N303" t="str">
            <v>ULTRASEAL</v>
          </cell>
        </row>
        <row r="304">
          <cell r="C304" t="str">
            <v>100001293</v>
          </cell>
          <cell r="D304" t="str">
            <v>US-970 WILTON BLUE 6414 VN-1K</v>
          </cell>
          <cell r="E304" t="str">
            <v>ZFGD</v>
          </cell>
          <cell r="F304" t="str">
            <v>PC</v>
          </cell>
          <cell r="G304" t="str">
            <v>2</v>
          </cell>
          <cell r="H304" t="str">
            <v>RETAIL</v>
          </cell>
          <cell r="I304" t="str">
            <v>28</v>
          </cell>
          <cell r="J304" t="str">
            <v>CPC2</v>
          </cell>
          <cell r="K304" t="str">
            <v>2807</v>
          </cell>
          <cell r="L304" t="str">
            <v>ULTRASEAL</v>
          </cell>
          <cell r="M304" t="str">
            <v>280701</v>
          </cell>
          <cell r="N304" t="str">
            <v>ULTRASEAL</v>
          </cell>
        </row>
        <row r="305">
          <cell r="C305" t="str">
            <v>100001294</v>
          </cell>
          <cell r="D305" t="str">
            <v>US-970 WILTON BLUE 6414 VN-4K</v>
          </cell>
          <cell r="E305" t="str">
            <v>ZFGD</v>
          </cell>
          <cell r="F305" t="str">
            <v>PC</v>
          </cell>
          <cell r="G305" t="str">
            <v>2</v>
          </cell>
          <cell r="H305" t="str">
            <v>RETAIL</v>
          </cell>
          <cell r="I305" t="str">
            <v>28</v>
          </cell>
          <cell r="J305" t="str">
            <v>CPC2</v>
          </cell>
          <cell r="K305" t="str">
            <v>2807</v>
          </cell>
          <cell r="L305" t="str">
            <v>ULTRASEAL</v>
          </cell>
          <cell r="M305" t="str">
            <v>280701</v>
          </cell>
          <cell r="N305" t="str">
            <v>ULTRASEAL</v>
          </cell>
        </row>
        <row r="306">
          <cell r="C306" t="str">
            <v>100001295</v>
          </cell>
          <cell r="D306" t="str">
            <v>US-970 WILTON BLUE 6414 VN-20KP</v>
          </cell>
          <cell r="E306" t="str">
            <v>ZFGD</v>
          </cell>
          <cell r="F306" t="str">
            <v>PC</v>
          </cell>
          <cell r="G306" t="str">
            <v>2</v>
          </cell>
          <cell r="H306" t="str">
            <v>RETAIL</v>
          </cell>
          <cell r="I306" t="str">
            <v>28</v>
          </cell>
          <cell r="J306" t="str">
            <v>CPC2</v>
          </cell>
          <cell r="K306" t="str">
            <v>2807</v>
          </cell>
          <cell r="L306" t="str">
            <v>ULTRASEAL</v>
          </cell>
          <cell r="M306" t="str">
            <v>280701</v>
          </cell>
          <cell r="N306" t="str">
            <v>ULTRASEAL</v>
          </cell>
        </row>
        <row r="307">
          <cell r="C307" t="str">
            <v>100001296</v>
          </cell>
          <cell r="D307" t="str">
            <v>MX-94 CLEAR GLOSS VN-5KS</v>
          </cell>
          <cell r="E307" t="str">
            <v>ZFGD</v>
          </cell>
          <cell r="F307" t="str">
            <v>SET</v>
          </cell>
          <cell r="G307" t="str">
            <v>5</v>
          </cell>
          <cell r="H307" t="str">
            <v>PROJECT</v>
          </cell>
          <cell r="I307" t="str">
            <v>56</v>
          </cell>
          <cell r="J307" t="str">
            <v>CPC1</v>
          </cell>
          <cell r="K307" t="str">
            <v>5603</v>
          </cell>
          <cell r="L307" t="str">
            <v>MULTIPOX</v>
          </cell>
          <cell r="M307" t="str">
            <v>560301</v>
          </cell>
          <cell r="N307" t="str">
            <v>MULTIPOX</v>
          </cell>
        </row>
        <row r="308">
          <cell r="C308" t="str">
            <v>100001297</v>
          </cell>
          <cell r="D308" t="str">
            <v>MX-94 CLEAR GLOSS VN-4K</v>
          </cell>
          <cell r="E308" t="str">
            <v>ZFGD</v>
          </cell>
          <cell r="F308" t="str">
            <v>PC</v>
          </cell>
          <cell r="G308" t="str">
            <v>5</v>
          </cell>
          <cell r="H308" t="str">
            <v>PROJECT</v>
          </cell>
          <cell r="I308" t="str">
            <v>56</v>
          </cell>
          <cell r="J308" t="str">
            <v>CPC1</v>
          </cell>
          <cell r="K308" t="str">
            <v>5603</v>
          </cell>
          <cell r="L308" t="str">
            <v>MULTIPOX</v>
          </cell>
          <cell r="M308" t="str">
            <v>560301</v>
          </cell>
          <cell r="N308" t="str">
            <v>MULTIPOX</v>
          </cell>
        </row>
        <row r="309">
          <cell r="C309" t="str">
            <v>100001298</v>
          </cell>
          <cell r="D309" t="str">
            <v>MX-94 CLEAR GLOSS VN-20KSP</v>
          </cell>
          <cell r="E309" t="str">
            <v>ZFGD</v>
          </cell>
          <cell r="F309" t="str">
            <v>SET</v>
          </cell>
          <cell r="G309" t="str">
            <v>5</v>
          </cell>
          <cell r="H309" t="str">
            <v>PROJECT</v>
          </cell>
          <cell r="I309" t="str">
            <v>56</v>
          </cell>
          <cell r="J309" t="str">
            <v>CPC1</v>
          </cell>
          <cell r="K309" t="str">
            <v>5603</v>
          </cell>
          <cell r="L309" t="str">
            <v>MULTIPOX</v>
          </cell>
          <cell r="M309" t="str">
            <v>560301</v>
          </cell>
          <cell r="N309" t="str">
            <v>MULTIPOX</v>
          </cell>
        </row>
        <row r="310">
          <cell r="C310" t="str">
            <v>100001299</v>
          </cell>
          <cell r="D310" t="str">
            <v>MX-94 CLEAR GLOSS VN-16KP</v>
          </cell>
          <cell r="E310" t="str">
            <v>ZFGD</v>
          </cell>
          <cell r="F310" t="str">
            <v>PC</v>
          </cell>
          <cell r="G310" t="str">
            <v>5</v>
          </cell>
          <cell r="H310" t="str">
            <v>PROJECT</v>
          </cell>
          <cell r="I310" t="str">
            <v>56</v>
          </cell>
          <cell r="J310" t="str">
            <v>CPC1</v>
          </cell>
          <cell r="K310" t="str">
            <v>5603</v>
          </cell>
          <cell r="L310" t="str">
            <v>MULTIPOX</v>
          </cell>
          <cell r="M310" t="str">
            <v>560301</v>
          </cell>
          <cell r="N310" t="str">
            <v>MULTIPOX</v>
          </cell>
        </row>
        <row r="311">
          <cell r="C311" t="str">
            <v>100001300</v>
          </cell>
          <cell r="D311" t="str">
            <v>MX-94 LEAF GREEN VN-5KS</v>
          </cell>
          <cell r="E311" t="str">
            <v>ZFGD</v>
          </cell>
          <cell r="F311" t="str">
            <v>SET</v>
          </cell>
          <cell r="G311" t="str">
            <v>5</v>
          </cell>
          <cell r="H311" t="str">
            <v>PROJECT</v>
          </cell>
          <cell r="I311" t="str">
            <v>56</v>
          </cell>
          <cell r="J311" t="str">
            <v>CPC1</v>
          </cell>
          <cell r="K311" t="str">
            <v>5603</v>
          </cell>
          <cell r="L311" t="str">
            <v>MULTIPOX</v>
          </cell>
          <cell r="M311" t="str">
            <v>560301</v>
          </cell>
          <cell r="N311" t="str">
            <v>MULTIPOX</v>
          </cell>
        </row>
        <row r="312">
          <cell r="C312" t="str">
            <v>100001301</v>
          </cell>
          <cell r="D312" t="str">
            <v>MX-94 LEAF GREEN VN-4K</v>
          </cell>
          <cell r="E312" t="str">
            <v>ZFGD</v>
          </cell>
          <cell r="F312" t="str">
            <v>PC</v>
          </cell>
          <cell r="G312" t="str">
            <v>5</v>
          </cell>
          <cell r="H312" t="str">
            <v>PROJECT</v>
          </cell>
          <cell r="I312" t="str">
            <v>56</v>
          </cell>
          <cell r="J312" t="str">
            <v>CPC1</v>
          </cell>
          <cell r="K312" t="str">
            <v>5603</v>
          </cell>
          <cell r="L312" t="str">
            <v>MULTIPOX</v>
          </cell>
          <cell r="M312" t="str">
            <v>560301</v>
          </cell>
          <cell r="N312" t="str">
            <v>MULTIPOX</v>
          </cell>
        </row>
        <row r="313">
          <cell r="C313" t="str">
            <v>100001302</v>
          </cell>
          <cell r="D313" t="str">
            <v>MX-94 LEAF GREEN VN-20KSP</v>
          </cell>
          <cell r="E313" t="str">
            <v>ZFGD</v>
          </cell>
          <cell r="F313" t="str">
            <v>SET</v>
          </cell>
          <cell r="G313" t="str">
            <v>5</v>
          </cell>
          <cell r="H313" t="str">
            <v>PROJECT</v>
          </cell>
          <cell r="I313" t="str">
            <v>56</v>
          </cell>
          <cell r="J313" t="str">
            <v>CPC1</v>
          </cell>
          <cell r="K313" t="str">
            <v>5603</v>
          </cell>
          <cell r="L313" t="str">
            <v>MULTIPOX</v>
          </cell>
          <cell r="M313" t="str">
            <v>560301</v>
          </cell>
          <cell r="N313" t="str">
            <v>MULTIPOX</v>
          </cell>
        </row>
        <row r="314">
          <cell r="C314" t="str">
            <v>100001303</v>
          </cell>
          <cell r="D314" t="str">
            <v>MX-94 LEAF GREEN VN-16KP</v>
          </cell>
          <cell r="E314" t="str">
            <v>ZFGD</v>
          </cell>
          <cell r="F314" t="str">
            <v>PC</v>
          </cell>
          <cell r="G314" t="str">
            <v>5</v>
          </cell>
          <cell r="H314" t="str">
            <v>PROJECT</v>
          </cell>
          <cell r="I314" t="str">
            <v>56</v>
          </cell>
          <cell r="J314" t="str">
            <v>CPC1</v>
          </cell>
          <cell r="K314" t="str">
            <v>5603</v>
          </cell>
          <cell r="L314" t="str">
            <v>MULTIPOX</v>
          </cell>
          <cell r="M314" t="str">
            <v>560301</v>
          </cell>
          <cell r="N314" t="str">
            <v>MULTIPOX</v>
          </cell>
        </row>
        <row r="315">
          <cell r="C315" t="str">
            <v>100001304</v>
          </cell>
          <cell r="D315" t="str">
            <v>MX-94 BEIGE VN-5KS</v>
          </cell>
          <cell r="E315" t="str">
            <v>ZFGD</v>
          </cell>
          <cell r="F315" t="str">
            <v>SET</v>
          </cell>
          <cell r="G315" t="str">
            <v>5</v>
          </cell>
          <cell r="H315" t="str">
            <v>PROJECT</v>
          </cell>
          <cell r="I315" t="str">
            <v>56</v>
          </cell>
          <cell r="J315" t="str">
            <v>CPC1</v>
          </cell>
          <cell r="K315" t="str">
            <v>5603</v>
          </cell>
          <cell r="L315" t="str">
            <v>MULTIPOX</v>
          </cell>
          <cell r="M315" t="str">
            <v>560301</v>
          </cell>
          <cell r="N315" t="str">
            <v>MULTIPOX</v>
          </cell>
        </row>
        <row r="316">
          <cell r="C316" t="str">
            <v>100001305</v>
          </cell>
          <cell r="D316" t="str">
            <v>MX-94 BEIGE VN-4K</v>
          </cell>
          <cell r="E316" t="str">
            <v>ZFGD</v>
          </cell>
          <cell r="F316" t="str">
            <v>PC</v>
          </cell>
          <cell r="G316" t="str">
            <v>5</v>
          </cell>
          <cell r="H316" t="str">
            <v>PROJECT</v>
          </cell>
          <cell r="I316" t="str">
            <v>56</v>
          </cell>
          <cell r="J316" t="str">
            <v>CPC1</v>
          </cell>
          <cell r="K316" t="str">
            <v>5603</v>
          </cell>
          <cell r="L316" t="str">
            <v>MULTIPOX</v>
          </cell>
          <cell r="M316" t="str">
            <v>560301</v>
          </cell>
          <cell r="N316" t="str">
            <v>MULTIPOX</v>
          </cell>
        </row>
        <row r="317">
          <cell r="C317" t="str">
            <v>100001306</v>
          </cell>
          <cell r="D317" t="str">
            <v>MX-94 BEIGE VN-20KSP</v>
          </cell>
          <cell r="E317" t="str">
            <v>ZFGD</v>
          </cell>
          <cell r="F317" t="str">
            <v>SET</v>
          </cell>
          <cell r="G317" t="str">
            <v>5</v>
          </cell>
          <cell r="H317" t="str">
            <v>PROJECT</v>
          </cell>
          <cell r="I317" t="str">
            <v>56</v>
          </cell>
          <cell r="J317" t="str">
            <v>CPC1</v>
          </cell>
          <cell r="K317" t="str">
            <v>5603</v>
          </cell>
          <cell r="L317" t="str">
            <v>MULTIPOX</v>
          </cell>
          <cell r="M317" t="str">
            <v>560301</v>
          </cell>
          <cell r="N317" t="str">
            <v>MULTIPOX</v>
          </cell>
        </row>
        <row r="318">
          <cell r="C318" t="str">
            <v>100001307</v>
          </cell>
          <cell r="D318" t="str">
            <v>MX-94 BEIGE VN-16KP</v>
          </cell>
          <cell r="E318" t="str">
            <v>ZFGD</v>
          </cell>
          <cell r="F318" t="str">
            <v>PC</v>
          </cell>
          <cell r="G318" t="str">
            <v>5</v>
          </cell>
          <cell r="H318" t="str">
            <v>PROJECT</v>
          </cell>
          <cell r="I318" t="str">
            <v>56</v>
          </cell>
          <cell r="J318" t="str">
            <v>CPC1</v>
          </cell>
          <cell r="K318" t="str">
            <v>5603</v>
          </cell>
          <cell r="L318" t="str">
            <v>MULTIPOX</v>
          </cell>
          <cell r="M318" t="str">
            <v>560301</v>
          </cell>
          <cell r="N318" t="str">
            <v>MULTIPOX</v>
          </cell>
        </row>
        <row r="319">
          <cell r="C319" t="str">
            <v>100001308</v>
          </cell>
          <cell r="D319" t="str">
            <v>MX-94 VC TRAFFIC YELLOW VN-5KS</v>
          </cell>
          <cell r="E319" t="str">
            <v>ZFGD</v>
          </cell>
          <cell r="F319" t="str">
            <v>SET</v>
          </cell>
          <cell r="G319" t="str">
            <v>5</v>
          </cell>
          <cell r="H319" t="str">
            <v>PROJECT</v>
          </cell>
          <cell r="I319" t="str">
            <v>56</v>
          </cell>
          <cell r="J319" t="str">
            <v>CPC1</v>
          </cell>
          <cell r="K319" t="str">
            <v>5603</v>
          </cell>
          <cell r="L319" t="str">
            <v>MULTIPOX</v>
          </cell>
          <cell r="M319" t="str">
            <v>560301</v>
          </cell>
          <cell r="N319" t="str">
            <v>MULTIPOX</v>
          </cell>
        </row>
        <row r="320">
          <cell r="C320" t="str">
            <v>100001309</v>
          </cell>
          <cell r="D320" t="str">
            <v>MX-94 VC TRAFFIC YELLOW VN-4K</v>
          </cell>
          <cell r="E320" t="str">
            <v>ZFGD</v>
          </cell>
          <cell r="F320" t="str">
            <v>PC</v>
          </cell>
          <cell r="G320" t="str">
            <v>5</v>
          </cell>
          <cell r="H320" t="str">
            <v>PROJECT</v>
          </cell>
          <cell r="I320" t="str">
            <v>56</v>
          </cell>
          <cell r="J320" t="str">
            <v>CPC1</v>
          </cell>
          <cell r="K320" t="str">
            <v>5603</v>
          </cell>
          <cell r="L320" t="str">
            <v>MULTIPOX</v>
          </cell>
          <cell r="M320" t="str">
            <v>560301</v>
          </cell>
          <cell r="N320" t="str">
            <v>MULTIPOX</v>
          </cell>
        </row>
        <row r="321">
          <cell r="C321" t="str">
            <v>100001310</v>
          </cell>
          <cell r="D321" t="str">
            <v>MX-94 VC TRAFFIC YELLOW VN-20KSP</v>
          </cell>
          <cell r="E321" t="str">
            <v>ZFGD</v>
          </cell>
          <cell r="F321" t="str">
            <v>SET</v>
          </cell>
          <cell r="G321" t="str">
            <v>5</v>
          </cell>
          <cell r="H321" t="str">
            <v>PROJECT</v>
          </cell>
          <cell r="I321" t="str">
            <v>56</v>
          </cell>
          <cell r="J321" t="str">
            <v>CPC1</v>
          </cell>
          <cell r="K321" t="str">
            <v>5603</v>
          </cell>
          <cell r="L321" t="str">
            <v>MULTIPOX</v>
          </cell>
          <cell r="M321" t="str">
            <v>560301</v>
          </cell>
          <cell r="N321" t="str">
            <v>MULTIPOX</v>
          </cell>
        </row>
        <row r="322">
          <cell r="C322" t="str">
            <v>100001311</v>
          </cell>
          <cell r="D322" t="str">
            <v>MX-94 VC TRAFFIC YELLOW VN-16KP</v>
          </cell>
          <cell r="E322" t="str">
            <v>ZFGD</v>
          </cell>
          <cell r="F322" t="str">
            <v>PC</v>
          </cell>
          <cell r="G322" t="str">
            <v>5</v>
          </cell>
          <cell r="H322" t="str">
            <v>PROJECT</v>
          </cell>
          <cell r="I322" t="str">
            <v>56</v>
          </cell>
          <cell r="J322" t="str">
            <v>CPC1</v>
          </cell>
          <cell r="K322" t="str">
            <v>5603</v>
          </cell>
          <cell r="L322" t="str">
            <v>MULTIPOX</v>
          </cell>
          <cell r="M322" t="str">
            <v>560301</v>
          </cell>
          <cell r="N322" t="str">
            <v>MULTIPOX</v>
          </cell>
        </row>
        <row r="323">
          <cell r="C323" t="str">
            <v>100001312</v>
          </cell>
          <cell r="D323" t="str">
            <v>MX-94 GENTIAN BLUE VN-5KS</v>
          </cell>
          <cell r="E323" t="str">
            <v>ZFGD</v>
          </cell>
          <cell r="F323" t="str">
            <v>SET</v>
          </cell>
          <cell r="G323" t="str">
            <v>5</v>
          </cell>
          <cell r="H323" t="str">
            <v>PROJECT</v>
          </cell>
          <cell r="I323" t="str">
            <v>56</v>
          </cell>
          <cell r="J323" t="str">
            <v>CPC1</v>
          </cell>
          <cell r="K323" t="str">
            <v>5603</v>
          </cell>
          <cell r="L323" t="str">
            <v>MULTIPOX</v>
          </cell>
          <cell r="M323" t="str">
            <v>560301</v>
          </cell>
          <cell r="N323" t="str">
            <v>MULTIPOX</v>
          </cell>
        </row>
        <row r="324">
          <cell r="C324" t="str">
            <v>100001313</v>
          </cell>
          <cell r="D324" t="str">
            <v>MX-94 GENTIAN BLUE VN-4K</v>
          </cell>
          <cell r="E324" t="str">
            <v>ZFGD</v>
          </cell>
          <cell r="F324" t="str">
            <v>PC</v>
          </cell>
          <cell r="G324" t="str">
            <v>5</v>
          </cell>
          <cell r="H324" t="str">
            <v>PROJECT</v>
          </cell>
          <cell r="I324" t="str">
            <v>56</v>
          </cell>
          <cell r="J324" t="str">
            <v>CPC1</v>
          </cell>
          <cell r="K324" t="str">
            <v>5603</v>
          </cell>
          <cell r="L324" t="str">
            <v>MULTIPOX</v>
          </cell>
          <cell r="M324" t="str">
            <v>560301</v>
          </cell>
          <cell r="N324" t="str">
            <v>MULTIPOX</v>
          </cell>
        </row>
        <row r="325">
          <cell r="C325" t="str">
            <v>100001314</v>
          </cell>
          <cell r="D325" t="str">
            <v>MX-94 GENTIAN BLUE VN-20KSP</v>
          </cell>
          <cell r="E325" t="str">
            <v>ZFGD</v>
          </cell>
          <cell r="F325" t="str">
            <v>SET</v>
          </cell>
          <cell r="G325" t="str">
            <v>5</v>
          </cell>
          <cell r="H325" t="str">
            <v>PROJECT</v>
          </cell>
          <cell r="I325" t="str">
            <v>56</v>
          </cell>
          <cell r="J325" t="str">
            <v>CPC1</v>
          </cell>
          <cell r="K325" t="str">
            <v>5603</v>
          </cell>
          <cell r="L325" t="str">
            <v>MULTIPOX</v>
          </cell>
          <cell r="M325" t="str">
            <v>560301</v>
          </cell>
          <cell r="N325" t="str">
            <v>MULTIPOX</v>
          </cell>
        </row>
        <row r="326">
          <cell r="C326" t="str">
            <v>100001315</v>
          </cell>
          <cell r="D326" t="str">
            <v>MX-94 GENTIAN BLUE VN-16KP</v>
          </cell>
          <cell r="E326" t="str">
            <v>ZFGD</v>
          </cell>
          <cell r="F326" t="str">
            <v>PC</v>
          </cell>
          <cell r="G326" t="str">
            <v>5</v>
          </cell>
          <cell r="H326" t="str">
            <v>PROJECT</v>
          </cell>
          <cell r="I326" t="str">
            <v>56</v>
          </cell>
          <cell r="J326" t="str">
            <v>CPC1</v>
          </cell>
          <cell r="K326" t="str">
            <v>5603</v>
          </cell>
          <cell r="L326" t="str">
            <v>MULTIPOX</v>
          </cell>
          <cell r="M326" t="str">
            <v>560301</v>
          </cell>
          <cell r="N326" t="str">
            <v>MULTIPOX</v>
          </cell>
        </row>
        <row r="327">
          <cell r="C327" t="str">
            <v>100001316</v>
          </cell>
          <cell r="D327" t="str">
            <v>MX-94 LIGHT GREY VN-5KS</v>
          </cell>
          <cell r="E327" t="str">
            <v>ZFGD</v>
          </cell>
          <cell r="F327" t="str">
            <v>SET</v>
          </cell>
          <cell r="G327" t="str">
            <v>5</v>
          </cell>
          <cell r="H327" t="str">
            <v>PROJECT</v>
          </cell>
          <cell r="I327" t="str">
            <v>56</v>
          </cell>
          <cell r="J327" t="str">
            <v>CPC1</v>
          </cell>
          <cell r="K327" t="str">
            <v>5603</v>
          </cell>
          <cell r="L327" t="str">
            <v>MULTIPOX</v>
          </cell>
          <cell r="M327" t="str">
            <v>560301</v>
          </cell>
          <cell r="N327" t="str">
            <v>MULTIPOX</v>
          </cell>
        </row>
        <row r="328">
          <cell r="C328" t="str">
            <v>100001317</v>
          </cell>
          <cell r="D328" t="str">
            <v>MX-94 LIGHT GREY VN-4K</v>
          </cell>
          <cell r="E328" t="str">
            <v>ZFGD</v>
          </cell>
          <cell r="F328" t="str">
            <v>PC</v>
          </cell>
          <cell r="G328" t="str">
            <v>5</v>
          </cell>
          <cell r="H328" t="str">
            <v>PROJECT</v>
          </cell>
          <cell r="I328" t="str">
            <v>56</v>
          </cell>
          <cell r="J328" t="str">
            <v>CPC1</v>
          </cell>
          <cell r="K328" t="str">
            <v>5603</v>
          </cell>
          <cell r="L328" t="str">
            <v>MULTIPOX</v>
          </cell>
          <cell r="M328" t="str">
            <v>560301</v>
          </cell>
          <cell r="N328" t="str">
            <v>MULTIPOX</v>
          </cell>
        </row>
        <row r="329">
          <cell r="C329" t="str">
            <v>100001318</v>
          </cell>
          <cell r="D329" t="str">
            <v>MX-94 LIGHT GREY VN-20KSP</v>
          </cell>
          <cell r="E329" t="str">
            <v>ZFGD</v>
          </cell>
          <cell r="F329" t="str">
            <v>SET</v>
          </cell>
          <cell r="G329" t="str">
            <v>5</v>
          </cell>
          <cell r="H329" t="str">
            <v>PROJECT</v>
          </cell>
          <cell r="I329" t="str">
            <v>56</v>
          </cell>
          <cell r="J329" t="str">
            <v>CPC1</v>
          </cell>
          <cell r="K329" t="str">
            <v>5603</v>
          </cell>
          <cell r="L329" t="str">
            <v>MULTIPOX</v>
          </cell>
          <cell r="M329" t="str">
            <v>560301</v>
          </cell>
          <cell r="N329" t="str">
            <v>MULTIPOX</v>
          </cell>
        </row>
        <row r="330">
          <cell r="C330" t="str">
            <v>100001319</v>
          </cell>
          <cell r="D330" t="str">
            <v>MX-94 LIGHT GREY VN-16KP</v>
          </cell>
          <cell r="E330" t="str">
            <v>ZFGD</v>
          </cell>
          <cell r="F330" t="str">
            <v>PC</v>
          </cell>
          <cell r="G330" t="str">
            <v>5</v>
          </cell>
          <cell r="H330" t="str">
            <v>PROJECT</v>
          </cell>
          <cell r="I330" t="str">
            <v>56</v>
          </cell>
          <cell r="J330" t="str">
            <v>CPC1</v>
          </cell>
          <cell r="K330" t="str">
            <v>5603</v>
          </cell>
          <cell r="L330" t="str">
            <v>MULTIPOX</v>
          </cell>
          <cell r="M330" t="str">
            <v>560301</v>
          </cell>
          <cell r="N330" t="str">
            <v>MULTIPOX</v>
          </cell>
        </row>
        <row r="331">
          <cell r="C331" t="str">
            <v>100001320</v>
          </cell>
          <cell r="D331" t="str">
            <v>MX-94 BLACK VN-5KS</v>
          </cell>
          <cell r="E331" t="str">
            <v>ZFGD</v>
          </cell>
          <cell r="F331" t="str">
            <v>SET</v>
          </cell>
          <cell r="G331" t="str">
            <v>5</v>
          </cell>
          <cell r="H331" t="str">
            <v>PROJECT</v>
          </cell>
          <cell r="I331" t="str">
            <v>56</v>
          </cell>
          <cell r="J331" t="str">
            <v>CPC1</v>
          </cell>
          <cell r="K331" t="str">
            <v>5603</v>
          </cell>
          <cell r="L331" t="str">
            <v>MULTIPOX</v>
          </cell>
          <cell r="M331" t="str">
            <v>560301</v>
          </cell>
          <cell r="N331" t="str">
            <v>MULTIPOX</v>
          </cell>
        </row>
        <row r="332">
          <cell r="C332" t="str">
            <v>100001321</v>
          </cell>
          <cell r="D332" t="str">
            <v>MX-94 BLACK VN-4K</v>
          </cell>
          <cell r="E332" t="str">
            <v>ZFGD</v>
          </cell>
          <cell r="F332" t="str">
            <v>PC</v>
          </cell>
          <cell r="G332" t="str">
            <v>5</v>
          </cell>
          <cell r="H332" t="str">
            <v>PROJECT</v>
          </cell>
          <cell r="I332" t="str">
            <v>56</v>
          </cell>
          <cell r="J332" t="str">
            <v>CPC1</v>
          </cell>
          <cell r="K332" t="str">
            <v>5603</v>
          </cell>
          <cell r="L332" t="str">
            <v>MULTIPOX</v>
          </cell>
          <cell r="M332" t="str">
            <v>560301</v>
          </cell>
          <cell r="N332" t="str">
            <v>MULTIPOX</v>
          </cell>
        </row>
        <row r="333">
          <cell r="C333" t="str">
            <v>100001322</v>
          </cell>
          <cell r="D333" t="str">
            <v>MX-94 BLACK VN-20KSP</v>
          </cell>
          <cell r="E333" t="str">
            <v>ZFGD</v>
          </cell>
          <cell r="F333" t="str">
            <v>SET</v>
          </cell>
          <cell r="G333" t="str">
            <v>5</v>
          </cell>
          <cell r="H333" t="str">
            <v>PROJECT</v>
          </cell>
          <cell r="I333" t="str">
            <v>56</v>
          </cell>
          <cell r="J333" t="str">
            <v>CPC1</v>
          </cell>
          <cell r="K333" t="str">
            <v>5603</v>
          </cell>
          <cell r="L333" t="str">
            <v>MULTIPOX</v>
          </cell>
          <cell r="M333" t="str">
            <v>560301</v>
          </cell>
          <cell r="N333" t="str">
            <v>MULTIPOX</v>
          </cell>
        </row>
        <row r="334">
          <cell r="C334" t="str">
            <v>100001323</v>
          </cell>
          <cell r="D334" t="str">
            <v>MX-94 BLACK VN-16KP</v>
          </cell>
          <cell r="E334" t="str">
            <v>ZFGD</v>
          </cell>
          <cell r="F334" t="str">
            <v>PC</v>
          </cell>
          <cell r="G334" t="str">
            <v>5</v>
          </cell>
          <cell r="H334" t="str">
            <v>PROJECT</v>
          </cell>
          <cell r="I334" t="str">
            <v>56</v>
          </cell>
          <cell r="J334" t="str">
            <v>CPC1</v>
          </cell>
          <cell r="K334" t="str">
            <v>5603</v>
          </cell>
          <cell r="L334" t="str">
            <v>MULTIPOX</v>
          </cell>
          <cell r="M334" t="str">
            <v>560301</v>
          </cell>
          <cell r="N334" t="str">
            <v>MULTIPOX</v>
          </cell>
        </row>
        <row r="335">
          <cell r="C335" t="str">
            <v>100001324</v>
          </cell>
          <cell r="D335" t="str">
            <v>MX-94 IVORY VN-5KS</v>
          </cell>
          <cell r="E335" t="str">
            <v>ZFGD</v>
          </cell>
          <cell r="F335" t="str">
            <v>SET</v>
          </cell>
          <cell r="G335" t="str">
            <v>5</v>
          </cell>
          <cell r="H335" t="str">
            <v>PROJECT</v>
          </cell>
          <cell r="I335" t="str">
            <v>56</v>
          </cell>
          <cell r="J335" t="str">
            <v>CPC1</v>
          </cell>
          <cell r="K335" t="str">
            <v>5603</v>
          </cell>
          <cell r="L335" t="str">
            <v>MULTIPOX</v>
          </cell>
          <cell r="M335" t="str">
            <v>560301</v>
          </cell>
          <cell r="N335" t="str">
            <v>MULTIPOX</v>
          </cell>
        </row>
        <row r="336">
          <cell r="C336" t="str">
            <v>100001325</v>
          </cell>
          <cell r="D336" t="str">
            <v>MX-94 IVORY VN-4K</v>
          </cell>
          <cell r="E336" t="str">
            <v>ZFGD</v>
          </cell>
          <cell r="F336" t="str">
            <v>PC</v>
          </cell>
          <cell r="G336" t="str">
            <v>5</v>
          </cell>
          <cell r="H336" t="str">
            <v>PROJECT</v>
          </cell>
          <cell r="I336" t="str">
            <v>56</v>
          </cell>
          <cell r="J336" t="str">
            <v>CPC1</v>
          </cell>
          <cell r="K336" t="str">
            <v>5603</v>
          </cell>
          <cell r="L336" t="str">
            <v>MULTIPOX</v>
          </cell>
          <cell r="M336" t="str">
            <v>560301</v>
          </cell>
          <cell r="N336" t="str">
            <v>MULTIPOX</v>
          </cell>
        </row>
        <row r="337">
          <cell r="C337" t="str">
            <v>100001326</v>
          </cell>
          <cell r="D337" t="str">
            <v>MX-94 IVORY VN-20KSP</v>
          </cell>
          <cell r="E337" t="str">
            <v>ZFGD</v>
          </cell>
          <cell r="F337" t="str">
            <v>SET</v>
          </cell>
          <cell r="G337" t="str">
            <v>5</v>
          </cell>
          <cell r="H337" t="str">
            <v>PROJECT</v>
          </cell>
          <cell r="I337" t="str">
            <v>56</v>
          </cell>
          <cell r="J337" t="str">
            <v>CPC1</v>
          </cell>
          <cell r="K337" t="str">
            <v>5603</v>
          </cell>
          <cell r="L337" t="str">
            <v>MULTIPOX</v>
          </cell>
          <cell r="M337" t="str">
            <v>560301</v>
          </cell>
          <cell r="N337" t="str">
            <v>MULTIPOX</v>
          </cell>
        </row>
        <row r="338">
          <cell r="C338" t="str">
            <v>100001327</v>
          </cell>
          <cell r="D338" t="str">
            <v>MX-94 IVORY VN-16KP</v>
          </cell>
          <cell r="E338" t="str">
            <v>ZFGD</v>
          </cell>
          <cell r="F338" t="str">
            <v>PC</v>
          </cell>
          <cell r="G338" t="str">
            <v>5</v>
          </cell>
          <cell r="H338" t="str">
            <v>PROJECT</v>
          </cell>
          <cell r="I338" t="str">
            <v>56</v>
          </cell>
          <cell r="J338" t="str">
            <v>CPC1</v>
          </cell>
          <cell r="K338" t="str">
            <v>5603</v>
          </cell>
          <cell r="L338" t="str">
            <v>MULTIPOX</v>
          </cell>
          <cell r="M338" t="str">
            <v>560301</v>
          </cell>
          <cell r="N338" t="str">
            <v>MULTIPOX</v>
          </cell>
        </row>
        <row r="339">
          <cell r="C339" t="str">
            <v>100001328</v>
          </cell>
          <cell r="D339" t="str">
            <v>MX-94 LIGHT ALABASTER VN-5KS</v>
          </cell>
          <cell r="E339" t="str">
            <v>ZFGD</v>
          </cell>
          <cell r="F339" t="str">
            <v>SET</v>
          </cell>
          <cell r="G339" t="str">
            <v>5</v>
          </cell>
          <cell r="H339" t="str">
            <v>PROJECT</v>
          </cell>
          <cell r="I339" t="str">
            <v>56</v>
          </cell>
          <cell r="J339" t="str">
            <v>CPC1</v>
          </cell>
          <cell r="K339" t="str">
            <v>5603</v>
          </cell>
          <cell r="L339" t="str">
            <v>MULTIPOX</v>
          </cell>
          <cell r="M339" t="str">
            <v>560301</v>
          </cell>
          <cell r="N339" t="str">
            <v>MULTIPOX</v>
          </cell>
        </row>
        <row r="340">
          <cell r="C340" t="str">
            <v>100001329</v>
          </cell>
          <cell r="D340" t="str">
            <v>MX-94 LIGHT ALABASTER VN-4K</v>
          </cell>
          <cell r="E340" t="str">
            <v>ZFGD</v>
          </cell>
          <cell r="F340" t="str">
            <v>PC</v>
          </cell>
          <cell r="G340" t="str">
            <v>5</v>
          </cell>
          <cell r="H340" t="str">
            <v>PROJECT</v>
          </cell>
          <cell r="I340" t="str">
            <v>56</v>
          </cell>
          <cell r="J340" t="str">
            <v>CPC1</v>
          </cell>
          <cell r="K340" t="str">
            <v>5603</v>
          </cell>
          <cell r="L340" t="str">
            <v>MULTIPOX</v>
          </cell>
          <cell r="M340" t="str">
            <v>560301</v>
          </cell>
          <cell r="N340" t="str">
            <v>MULTIPOX</v>
          </cell>
        </row>
        <row r="341">
          <cell r="C341" t="str">
            <v>100001330</v>
          </cell>
          <cell r="D341" t="str">
            <v>MX-94 LIGHT ALABASTER VN-20KSP</v>
          </cell>
          <cell r="E341" t="str">
            <v>ZFGD</v>
          </cell>
          <cell r="F341" t="str">
            <v>SET</v>
          </cell>
          <cell r="G341" t="str">
            <v>5</v>
          </cell>
          <cell r="H341" t="str">
            <v>PROJECT</v>
          </cell>
          <cell r="I341" t="str">
            <v>56</v>
          </cell>
          <cell r="J341" t="str">
            <v>CPC1</v>
          </cell>
          <cell r="K341" t="str">
            <v>5603</v>
          </cell>
          <cell r="L341" t="str">
            <v>MULTIPOX</v>
          </cell>
          <cell r="M341" t="str">
            <v>560301</v>
          </cell>
          <cell r="N341" t="str">
            <v>MULTIPOX</v>
          </cell>
        </row>
        <row r="342">
          <cell r="C342" t="str">
            <v>100001331</v>
          </cell>
          <cell r="D342" t="str">
            <v>MX-94 LIGHT ALABASTER VN-16KP</v>
          </cell>
          <cell r="E342" t="str">
            <v>ZFGD</v>
          </cell>
          <cell r="F342" t="str">
            <v>PC</v>
          </cell>
          <cell r="G342" t="str">
            <v>5</v>
          </cell>
          <cell r="H342" t="str">
            <v>PROJECT</v>
          </cell>
          <cell r="I342" t="str">
            <v>56</v>
          </cell>
          <cell r="J342" t="str">
            <v>CPC1</v>
          </cell>
          <cell r="K342" t="str">
            <v>5603</v>
          </cell>
          <cell r="L342" t="str">
            <v>MULTIPOX</v>
          </cell>
          <cell r="M342" t="str">
            <v>560301</v>
          </cell>
          <cell r="N342" t="str">
            <v>MULTIPOX</v>
          </cell>
        </row>
        <row r="343">
          <cell r="C343" t="str">
            <v>100001332</v>
          </cell>
          <cell r="D343" t="str">
            <v>MX-94 PALE GREEN VN-5KS</v>
          </cell>
          <cell r="E343" t="str">
            <v>ZFGD</v>
          </cell>
          <cell r="F343" t="str">
            <v>SET</v>
          </cell>
          <cell r="G343" t="str">
            <v>5</v>
          </cell>
          <cell r="H343" t="str">
            <v>PROJECT</v>
          </cell>
          <cell r="I343" t="str">
            <v>56</v>
          </cell>
          <cell r="J343" t="str">
            <v>CPC1</v>
          </cell>
          <cell r="K343" t="str">
            <v>5603</v>
          </cell>
          <cell r="L343" t="str">
            <v>MULTIPOX</v>
          </cell>
          <cell r="M343" t="str">
            <v>560301</v>
          </cell>
          <cell r="N343" t="str">
            <v>MULTIPOX</v>
          </cell>
        </row>
        <row r="344">
          <cell r="C344" t="str">
            <v>100001333</v>
          </cell>
          <cell r="D344" t="str">
            <v>MX-94 PALE GREEN VN-4K</v>
          </cell>
          <cell r="E344" t="str">
            <v>ZFGD</v>
          </cell>
          <cell r="F344" t="str">
            <v>PC</v>
          </cell>
          <cell r="G344" t="str">
            <v>5</v>
          </cell>
          <cell r="H344" t="str">
            <v>PROJECT</v>
          </cell>
          <cell r="I344" t="str">
            <v>56</v>
          </cell>
          <cell r="J344" t="str">
            <v>CPC1</v>
          </cell>
          <cell r="K344" t="str">
            <v>5603</v>
          </cell>
          <cell r="L344" t="str">
            <v>MULTIPOX</v>
          </cell>
          <cell r="M344" t="str">
            <v>560301</v>
          </cell>
          <cell r="N344" t="str">
            <v>MULTIPOX</v>
          </cell>
        </row>
        <row r="345">
          <cell r="C345" t="str">
            <v>100001334</v>
          </cell>
          <cell r="D345" t="str">
            <v>MX-94 PALE GREEN VN-20KSP</v>
          </cell>
          <cell r="E345" t="str">
            <v>ZFGD</v>
          </cell>
          <cell r="F345" t="str">
            <v>SET</v>
          </cell>
          <cell r="G345" t="str">
            <v>5</v>
          </cell>
          <cell r="H345" t="str">
            <v>PROJECT</v>
          </cell>
          <cell r="I345" t="str">
            <v>56</v>
          </cell>
          <cell r="J345" t="str">
            <v>CPC1</v>
          </cell>
          <cell r="K345" t="str">
            <v>5603</v>
          </cell>
          <cell r="L345" t="str">
            <v>MULTIPOX</v>
          </cell>
          <cell r="M345" t="str">
            <v>560301</v>
          </cell>
          <cell r="N345" t="str">
            <v>MULTIPOX</v>
          </cell>
        </row>
        <row r="346">
          <cell r="C346" t="str">
            <v>100001335</v>
          </cell>
          <cell r="D346" t="str">
            <v>MX-94 PALE GREEN VN-16KP</v>
          </cell>
          <cell r="E346" t="str">
            <v>ZFGD</v>
          </cell>
          <cell r="F346" t="str">
            <v>PC</v>
          </cell>
          <cell r="G346" t="str">
            <v>5</v>
          </cell>
          <cell r="H346" t="str">
            <v>PROJECT</v>
          </cell>
          <cell r="I346" t="str">
            <v>56</v>
          </cell>
          <cell r="J346" t="str">
            <v>CPC1</v>
          </cell>
          <cell r="K346" t="str">
            <v>5603</v>
          </cell>
          <cell r="L346" t="str">
            <v>MULTIPOX</v>
          </cell>
          <cell r="M346" t="str">
            <v>560301</v>
          </cell>
          <cell r="N346" t="str">
            <v>MULTIPOX</v>
          </cell>
        </row>
        <row r="347">
          <cell r="C347" t="str">
            <v>100001336</v>
          </cell>
          <cell r="D347" t="str">
            <v>MX-94 LIGHT BLUE VN-5KS</v>
          </cell>
          <cell r="E347" t="str">
            <v>ZFGD</v>
          </cell>
          <cell r="F347" t="str">
            <v>SET</v>
          </cell>
          <cell r="G347" t="str">
            <v>5</v>
          </cell>
          <cell r="H347" t="str">
            <v>PROJECT</v>
          </cell>
          <cell r="I347" t="str">
            <v>56</v>
          </cell>
          <cell r="J347" t="str">
            <v>CPC1</v>
          </cell>
          <cell r="K347" t="str">
            <v>5603</v>
          </cell>
          <cell r="L347" t="str">
            <v>MULTIPOX</v>
          </cell>
          <cell r="M347" t="str">
            <v>560301</v>
          </cell>
          <cell r="N347" t="str">
            <v>MULTIPOX</v>
          </cell>
        </row>
        <row r="348">
          <cell r="C348" t="str">
            <v>100001337</v>
          </cell>
          <cell r="D348" t="str">
            <v>MX-94 LIGHT BLUE VN-4K</v>
          </cell>
          <cell r="E348" t="str">
            <v>ZFGD</v>
          </cell>
          <cell r="F348" t="str">
            <v>PC</v>
          </cell>
          <cell r="G348" t="str">
            <v>5</v>
          </cell>
          <cell r="H348" t="str">
            <v>PROJECT</v>
          </cell>
          <cell r="I348" t="str">
            <v>56</v>
          </cell>
          <cell r="J348" t="str">
            <v>CPC1</v>
          </cell>
          <cell r="K348" t="str">
            <v>5603</v>
          </cell>
          <cell r="L348" t="str">
            <v>MULTIPOX</v>
          </cell>
          <cell r="M348" t="str">
            <v>560301</v>
          </cell>
          <cell r="N348" t="str">
            <v>MULTIPOX</v>
          </cell>
        </row>
        <row r="349">
          <cell r="C349" t="str">
            <v>100001338</v>
          </cell>
          <cell r="D349" t="str">
            <v>MX-94 LIGHT BLUE VN-20KSP</v>
          </cell>
          <cell r="E349" t="str">
            <v>ZFGD</v>
          </cell>
          <cell r="F349" t="str">
            <v>SET</v>
          </cell>
          <cell r="G349" t="str">
            <v>5</v>
          </cell>
          <cell r="H349" t="str">
            <v>PROJECT</v>
          </cell>
          <cell r="I349" t="str">
            <v>56</v>
          </cell>
          <cell r="J349" t="str">
            <v>CPC1</v>
          </cell>
          <cell r="K349" t="str">
            <v>5603</v>
          </cell>
          <cell r="L349" t="str">
            <v>MULTIPOX</v>
          </cell>
          <cell r="M349" t="str">
            <v>560301</v>
          </cell>
          <cell r="N349" t="str">
            <v>MULTIPOX</v>
          </cell>
        </row>
        <row r="350">
          <cell r="C350" t="str">
            <v>100001339</v>
          </cell>
          <cell r="D350" t="str">
            <v>MX-94 LIGHT BLUE VN-16KP</v>
          </cell>
          <cell r="E350" t="str">
            <v>ZFGD</v>
          </cell>
          <cell r="F350" t="str">
            <v>PC</v>
          </cell>
          <cell r="G350" t="str">
            <v>5</v>
          </cell>
          <cell r="H350" t="str">
            <v>PROJECT</v>
          </cell>
          <cell r="I350" t="str">
            <v>56</v>
          </cell>
          <cell r="J350" t="str">
            <v>CPC1</v>
          </cell>
          <cell r="K350" t="str">
            <v>5603</v>
          </cell>
          <cell r="L350" t="str">
            <v>MULTIPOX</v>
          </cell>
          <cell r="M350" t="str">
            <v>560301</v>
          </cell>
          <cell r="N350" t="str">
            <v>MULTIPOX</v>
          </cell>
        </row>
        <row r="351">
          <cell r="C351" t="str">
            <v>100001340</v>
          </cell>
          <cell r="D351" t="str">
            <v>MX-94 GERANIUM VN-5KS</v>
          </cell>
          <cell r="E351" t="str">
            <v>ZFGD</v>
          </cell>
          <cell r="F351" t="str">
            <v>SET</v>
          </cell>
          <cell r="G351" t="str">
            <v>5</v>
          </cell>
          <cell r="H351" t="str">
            <v>PROJECT</v>
          </cell>
          <cell r="I351" t="str">
            <v>56</v>
          </cell>
          <cell r="J351" t="str">
            <v>CPC1</v>
          </cell>
          <cell r="K351" t="str">
            <v>5603</v>
          </cell>
          <cell r="L351" t="str">
            <v>MULTIPOX</v>
          </cell>
          <cell r="M351" t="str">
            <v>560301</v>
          </cell>
          <cell r="N351" t="str">
            <v>MULTIPOX</v>
          </cell>
        </row>
        <row r="352">
          <cell r="C352" t="str">
            <v>100001341</v>
          </cell>
          <cell r="D352" t="str">
            <v>MX-94 GERANIUM VN-4K</v>
          </cell>
          <cell r="E352" t="str">
            <v>ZFGD</v>
          </cell>
          <cell r="F352" t="str">
            <v>PC</v>
          </cell>
          <cell r="G352" t="str">
            <v>5</v>
          </cell>
          <cell r="H352" t="str">
            <v>PROJECT</v>
          </cell>
          <cell r="I352" t="str">
            <v>56</v>
          </cell>
          <cell r="J352" t="str">
            <v>CPC1</v>
          </cell>
          <cell r="K352" t="str">
            <v>5603</v>
          </cell>
          <cell r="L352" t="str">
            <v>MULTIPOX</v>
          </cell>
          <cell r="M352" t="str">
            <v>560301</v>
          </cell>
          <cell r="N352" t="str">
            <v>MULTIPOX</v>
          </cell>
        </row>
        <row r="353">
          <cell r="C353" t="str">
            <v>100001342</v>
          </cell>
          <cell r="D353" t="str">
            <v>MX-94 GERANIUM VN-20KSP</v>
          </cell>
          <cell r="E353" t="str">
            <v>ZFGD</v>
          </cell>
          <cell r="F353" t="str">
            <v>SET</v>
          </cell>
          <cell r="G353" t="str">
            <v>5</v>
          </cell>
          <cell r="H353" t="str">
            <v>PROJECT</v>
          </cell>
          <cell r="I353" t="str">
            <v>56</v>
          </cell>
          <cell r="J353" t="str">
            <v>CPC1</v>
          </cell>
          <cell r="K353" t="str">
            <v>5603</v>
          </cell>
          <cell r="L353" t="str">
            <v>MULTIPOX</v>
          </cell>
          <cell r="M353" t="str">
            <v>560301</v>
          </cell>
          <cell r="N353" t="str">
            <v>MULTIPOX</v>
          </cell>
        </row>
        <row r="354">
          <cell r="C354" t="str">
            <v>100001343</v>
          </cell>
          <cell r="D354" t="str">
            <v>MX-94 GERANIUM VN-16KP</v>
          </cell>
          <cell r="E354" t="str">
            <v>ZFGD</v>
          </cell>
          <cell r="F354" t="str">
            <v>PC</v>
          </cell>
          <cell r="G354" t="str">
            <v>5</v>
          </cell>
          <cell r="H354" t="str">
            <v>PROJECT</v>
          </cell>
          <cell r="I354" t="str">
            <v>56</v>
          </cell>
          <cell r="J354" t="str">
            <v>CPC1</v>
          </cell>
          <cell r="K354" t="str">
            <v>5603</v>
          </cell>
          <cell r="L354" t="str">
            <v>MULTIPOX</v>
          </cell>
          <cell r="M354" t="str">
            <v>560301</v>
          </cell>
          <cell r="N354" t="str">
            <v>MULTIPOX</v>
          </cell>
        </row>
        <row r="355">
          <cell r="C355" t="str">
            <v>100001344</v>
          </cell>
          <cell r="D355" t="str">
            <v>MX-94 GREY VN-5KS</v>
          </cell>
          <cell r="E355" t="str">
            <v>ZFGD</v>
          </cell>
          <cell r="F355" t="str">
            <v>SET</v>
          </cell>
          <cell r="G355" t="str">
            <v>5</v>
          </cell>
          <cell r="H355" t="str">
            <v>PROJECT</v>
          </cell>
          <cell r="I355" t="str">
            <v>56</v>
          </cell>
          <cell r="J355" t="str">
            <v>CPC1</v>
          </cell>
          <cell r="K355" t="str">
            <v>5603</v>
          </cell>
          <cell r="L355" t="str">
            <v>MULTIPOX</v>
          </cell>
          <cell r="M355" t="str">
            <v>560301</v>
          </cell>
          <cell r="N355" t="str">
            <v>MULTIPOX</v>
          </cell>
        </row>
        <row r="356">
          <cell r="C356" t="str">
            <v>100001345</v>
          </cell>
          <cell r="D356" t="str">
            <v>MX-94 GREY VN-4K</v>
          </cell>
          <cell r="E356" t="str">
            <v>ZFGD</v>
          </cell>
          <cell r="F356" t="str">
            <v>PC</v>
          </cell>
          <cell r="G356" t="str">
            <v>5</v>
          </cell>
          <cell r="H356" t="str">
            <v>PROJECT</v>
          </cell>
          <cell r="I356" t="str">
            <v>56</v>
          </cell>
          <cell r="J356" t="str">
            <v>CPC1</v>
          </cell>
          <cell r="K356" t="str">
            <v>5603</v>
          </cell>
          <cell r="L356" t="str">
            <v>MULTIPOX</v>
          </cell>
          <cell r="M356" t="str">
            <v>560301</v>
          </cell>
          <cell r="N356" t="str">
            <v>MULTIPOX</v>
          </cell>
        </row>
        <row r="357">
          <cell r="C357" t="str">
            <v>100001346</v>
          </cell>
          <cell r="D357" t="str">
            <v>MX-94 GREY VN-20KSP</v>
          </cell>
          <cell r="E357" t="str">
            <v>ZFGD</v>
          </cell>
          <cell r="F357" t="str">
            <v>SET</v>
          </cell>
          <cell r="G357" t="str">
            <v>5</v>
          </cell>
          <cell r="H357" t="str">
            <v>PROJECT</v>
          </cell>
          <cell r="I357" t="str">
            <v>56</v>
          </cell>
          <cell r="J357" t="str">
            <v>CPC1</v>
          </cell>
          <cell r="K357" t="str">
            <v>5603</v>
          </cell>
          <cell r="L357" t="str">
            <v>MULTIPOX</v>
          </cell>
          <cell r="M357" t="str">
            <v>560301</v>
          </cell>
          <cell r="N357" t="str">
            <v>MULTIPOX</v>
          </cell>
        </row>
        <row r="358">
          <cell r="C358" t="str">
            <v>100001347</v>
          </cell>
          <cell r="D358" t="str">
            <v>MX-94 GREY VN-16KP</v>
          </cell>
          <cell r="E358" t="str">
            <v>ZFGD</v>
          </cell>
          <cell r="F358" t="str">
            <v>PC</v>
          </cell>
          <cell r="G358" t="str">
            <v>5</v>
          </cell>
          <cell r="H358" t="str">
            <v>PROJECT</v>
          </cell>
          <cell r="I358" t="str">
            <v>56</v>
          </cell>
          <cell r="J358" t="str">
            <v>CPC1</v>
          </cell>
          <cell r="K358" t="str">
            <v>5603</v>
          </cell>
          <cell r="L358" t="str">
            <v>MULTIPOX</v>
          </cell>
          <cell r="M358" t="str">
            <v>560301</v>
          </cell>
          <cell r="N358" t="str">
            <v>MULTIPOX</v>
          </cell>
        </row>
        <row r="359">
          <cell r="C359" t="str">
            <v>100001348</v>
          </cell>
          <cell r="D359" t="str">
            <v>MX-94 DARK GREEN VN-5KS</v>
          </cell>
          <cell r="E359" t="str">
            <v>ZFGD</v>
          </cell>
          <cell r="F359" t="str">
            <v>SET</v>
          </cell>
          <cell r="G359" t="str">
            <v>5</v>
          </cell>
          <cell r="H359" t="str">
            <v>PROJECT</v>
          </cell>
          <cell r="I359" t="str">
            <v>56</v>
          </cell>
          <cell r="J359" t="str">
            <v>CPC1</v>
          </cell>
          <cell r="K359" t="str">
            <v>5603</v>
          </cell>
          <cell r="L359" t="str">
            <v>MULTIPOX</v>
          </cell>
          <cell r="M359" t="str">
            <v>560301</v>
          </cell>
          <cell r="N359" t="str">
            <v>MULTIPOX</v>
          </cell>
        </row>
        <row r="360">
          <cell r="C360" t="str">
            <v>100001349</v>
          </cell>
          <cell r="D360" t="str">
            <v>MX-94 DARK GREEN VN-4K</v>
          </cell>
          <cell r="E360" t="str">
            <v>ZFGD</v>
          </cell>
          <cell r="F360" t="str">
            <v>PC</v>
          </cell>
          <cell r="G360" t="str">
            <v>5</v>
          </cell>
          <cell r="H360" t="str">
            <v>PROJECT</v>
          </cell>
          <cell r="I360" t="str">
            <v>56</v>
          </cell>
          <cell r="J360" t="str">
            <v>CPC1</v>
          </cell>
          <cell r="K360" t="str">
            <v>5603</v>
          </cell>
          <cell r="L360" t="str">
            <v>MULTIPOX</v>
          </cell>
          <cell r="M360" t="str">
            <v>560301</v>
          </cell>
          <cell r="N360" t="str">
            <v>MULTIPOX</v>
          </cell>
        </row>
        <row r="361">
          <cell r="C361" t="str">
            <v>100001350</v>
          </cell>
          <cell r="D361" t="str">
            <v>MX-94 DARK GREEN VN-20KSP</v>
          </cell>
          <cell r="E361" t="str">
            <v>ZFGD</v>
          </cell>
          <cell r="F361" t="str">
            <v>SET</v>
          </cell>
          <cell r="G361" t="str">
            <v>5</v>
          </cell>
          <cell r="H361" t="str">
            <v>PROJECT</v>
          </cell>
          <cell r="I361" t="str">
            <v>56</v>
          </cell>
          <cell r="J361" t="str">
            <v>CPC1</v>
          </cell>
          <cell r="K361" t="str">
            <v>5603</v>
          </cell>
          <cell r="L361" t="str">
            <v>MULTIPOX</v>
          </cell>
          <cell r="M361" t="str">
            <v>560301</v>
          </cell>
          <cell r="N361" t="str">
            <v>MULTIPOX</v>
          </cell>
        </row>
        <row r="362">
          <cell r="C362" t="str">
            <v>100001351</v>
          </cell>
          <cell r="D362" t="str">
            <v>MX-94 DARK GREEN VN-16KP</v>
          </cell>
          <cell r="E362" t="str">
            <v>ZFGD</v>
          </cell>
          <cell r="F362" t="str">
            <v>PC</v>
          </cell>
          <cell r="G362" t="str">
            <v>5</v>
          </cell>
          <cell r="H362" t="str">
            <v>PROJECT</v>
          </cell>
          <cell r="I362" t="str">
            <v>56</v>
          </cell>
          <cell r="J362" t="str">
            <v>CPC1</v>
          </cell>
          <cell r="K362" t="str">
            <v>5603</v>
          </cell>
          <cell r="L362" t="str">
            <v>MULTIPOX</v>
          </cell>
          <cell r="M362" t="str">
            <v>560301</v>
          </cell>
          <cell r="N362" t="str">
            <v>MULTIPOX</v>
          </cell>
        </row>
        <row r="363">
          <cell r="C363" t="str">
            <v>100001352</v>
          </cell>
          <cell r="D363" t="str">
            <v>MX-94 WHITE VN-5KS</v>
          </cell>
          <cell r="E363" t="str">
            <v>ZFGD</v>
          </cell>
          <cell r="F363" t="str">
            <v>SET</v>
          </cell>
          <cell r="G363" t="str">
            <v>5</v>
          </cell>
          <cell r="H363" t="str">
            <v>PROJECT</v>
          </cell>
          <cell r="I363" t="str">
            <v>56</v>
          </cell>
          <cell r="J363" t="str">
            <v>CPC1</v>
          </cell>
          <cell r="K363" t="str">
            <v>5603</v>
          </cell>
          <cell r="L363" t="str">
            <v>MULTIPOX</v>
          </cell>
          <cell r="M363" t="str">
            <v>560301</v>
          </cell>
          <cell r="N363" t="str">
            <v>MULTIPOX</v>
          </cell>
        </row>
        <row r="364">
          <cell r="C364" t="str">
            <v>100001353</v>
          </cell>
          <cell r="D364" t="str">
            <v>MX-94 WHITE VN-4K</v>
          </cell>
          <cell r="E364" t="str">
            <v>ZFGD</v>
          </cell>
          <cell r="F364" t="str">
            <v>PC</v>
          </cell>
          <cell r="G364" t="str">
            <v>5</v>
          </cell>
          <cell r="H364" t="str">
            <v>PROJECT</v>
          </cell>
          <cell r="I364" t="str">
            <v>56</v>
          </cell>
          <cell r="J364" t="str">
            <v>CPC1</v>
          </cell>
          <cell r="K364" t="str">
            <v>5603</v>
          </cell>
          <cell r="L364" t="str">
            <v>MULTIPOX</v>
          </cell>
          <cell r="M364" t="str">
            <v>560301</v>
          </cell>
          <cell r="N364" t="str">
            <v>MULTIPOX</v>
          </cell>
        </row>
        <row r="365">
          <cell r="C365" t="str">
            <v>100001354</v>
          </cell>
          <cell r="D365" t="str">
            <v>MX-94 WHITE VN-20KSP</v>
          </cell>
          <cell r="E365" t="str">
            <v>ZFGD</v>
          </cell>
          <cell r="F365" t="str">
            <v>SET</v>
          </cell>
          <cell r="G365" t="str">
            <v>5</v>
          </cell>
          <cell r="H365" t="str">
            <v>PROJECT</v>
          </cell>
          <cell r="I365" t="str">
            <v>56</v>
          </cell>
          <cell r="J365" t="str">
            <v>CPC1</v>
          </cell>
          <cell r="K365" t="str">
            <v>5603</v>
          </cell>
          <cell r="L365" t="str">
            <v>MULTIPOX</v>
          </cell>
          <cell r="M365" t="str">
            <v>560301</v>
          </cell>
          <cell r="N365" t="str">
            <v>MULTIPOX</v>
          </cell>
        </row>
        <row r="366">
          <cell r="C366" t="str">
            <v>100001355</v>
          </cell>
          <cell r="D366" t="str">
            <v>MX-94 WHITE VN-16KP</v>
          </cell>
          <cell r="E366" t="str">
            <v>ZFGD</v>
          </cell>
          <cell r="F366" t="str">
            <v>PC</v>
          </cell>
          <cell r="G366" t="str">
            <v>5</v>
          </cell>
          <cell r="H366" t="str">
            <v>PROJECT</v>
          </cell>
          <cell r="I366" t="str">
            <v>56</v>
          </cell>
          <cell r="J366" t="str">
            <v>CPC1</v>
          </cell>
          <cell r="K366" t="str">
            <v>5603</v>
          </cell>
          <cell r="L366" t="str">
            <v>MULTIPOX</v>
          </cell>
          <cell r="M366" t="str">
            <v>560301</v>
          </cell>
          <cell r="N366" t="str">
            <v>MULTIPOX</v>
          </cell>
        </row>
        <row r="367">
          <cell r="C367" t="str">
            <v>100001356</v>
          </cell>
          <cell r="D367" t="str">
            <v>MX-94 AT LIGHT GREEN VN-5KS</v>
          </cell>
          <cell r="E367" t="str">
            <v>ZFGD</v>
          </cell>
          <cell r="F367" t="str">
            <v>SET</v>
          </cell>
          <cell r="G367" t="str">
            <v>5</v>
          </cell>
          <cell r="H367" t="str">
            <v>PROJECT</v>
          </cell>
          <cell r="I367" t="str">
            <v>56</v>
          </cell>
          <cell r="J367" t="str">
            <v>CPC1</v>
          </cell>
          <cell r="K367" t="str">
            <v>5603</v>
          </cell>
          <cell r="L367" t="str">
            <v>MULTIPOX</v>
          </cell>
          <cell r="M367" t="str">
            <v>560301</v>
          </cell>
          <cell r="N367" t="str">
            <v>MULTIPOX</v>
          </cell>
        </row>
        <row r="368">
          <cell r="C368" t="str">
            <v>100001357</v>
          </cell>
          <cell r="D368" t="str">
            <v>MX-94 AT LIGHT GREEN VN-4K</v>
          </cell>
          <cell r="E368" t="str">
            <v>ZFGD</v>
          </cell>
          <cell r="F368" t="str">
            <v>PC</v>
          </cell>
          <cell r="G368" t="str">
            <v>5</v>
          </cell>
          <cell r="H368" t="str">
            <v>PROJECT</v>
          </cell>
          <cell r="I368" t="str">
            <v>56</v>
          </cell>
          <cell r="J368" t="str">
            <v>CPC1</v>
          </cell>
          <cell r="K368" t="str">
            <v>5603</v>
          </cell>
          <cell r="L368" t="str">
            <v>MULTIPOX</v>
          </cell>
          <cell r="M368" t="str">
            <v>560301</v>
          </cell>
          <cell r="N368" t="str">
            <v>MULTIPOX</v>
          </cell>
        </row>
        <row r="369">
          <cell r="C369" t="str">
            <v>100001358</v>
          </cell>
          <cell r="D369" t="str">
            <v>MX-94 AT LIGHT GREEN VN-20KSP</v>
          </cell>
          <cell r="E369" t="str">
            <v>ZFGD</v>
          </cell>
          <cell r="F369" t="str">
            <v>SET</v>
          </cell>
          <cell r="G369" t="str">
            <v>5</v>
          </cell>
          <cell r="H369" t="str">
            <v>PROJECT</v>
          </cell>
          <cell r="I369" t="str">
            <v>56</v>
          </cell>
          <cell r="J369" t="str">
            <v>CPC1</v>
          </cell>
          <cell r="K369" t="str">
            <v>5603</v>
          </cell>
          <cell r="L369" t="str">
            <v>MULTIPOX</v>
          </cell>
          <cell r="M369" t="str">
            <v>560301</v>
          </cell>
          <cell r="N369" t="str">
            <v>MULTIPOX</v>
          </cell>
        </row>
        <row r="370">
          <cell r="C370" t="str">
            <v>100001359</v>
          </cell>
          <cell r="D370" t="str">
            <v>MX-94 AT LIGHT GREEN VN-16KP</v>
          </cell>
          <cell r="E370" t="str">
            <v>ZFGD</v>
          </cell>
          <cell r="F370" t="str">
            <v>PC</v>
          </cell>
          <cell r="G370" t="str">
            <v>5</v>
          </cell>
          <cell r="H370" t="str">
            <v>PROJECT</v>
          </cell>
          <cell r="I370" t="str">
            <v>56</v>
          </cell>
          <cell r="J370" t="str">
            <v>CPC1</v>
          </cell>
          <cell r="K370" t="str">
            <v>5603</v>
          </cell>
          <cell r="L370" t="str">
            <v>MULTIPOX</v>
          </cell>
          <cell r="M370" t="str">
            <v>560301</v>
          </cell>
          <cell r="N370" t="str">
            <v>MULTIPOX</v>
          </cell>
        </row>
        <row r="371">
          <cell r="C371" t="str">
            <v>100001360</v>
          </cell>
          <cell r="D371" t="str">
            <v>MX-94 LIGHT GREY UCT 01 VN-5KS</v>
          </cell>
          <cell r="E371" t="str">
            <v>ZFGD</v>
          </cell>
          <cell r="F371" t="str">
            <v>SET</v>
          </cell>
          <cell r="G371" t="str">
            <v>5</v>
          </cell>
          <cell r="H371" t="str">
            <v>PROJECT</v>
          </cell>
          <cell r="I371" t="str">
            <v>56</v>
          </cell>
          <cell r="J371" t="str">
            <v>CPC1</v>
          </cell>
          <cell r="K371" t="str">
            <v>5603</v>
          </cell>
          <cell r="L371" t="str">
            <v>MULTIPOX</v>
          </cell>
          <cell r="M371" t="str">
            <v>560301</v>
          </cell>
          <cell r="N371" t="str">
            <v>MULTIPOX</v>
          </cell>
        </row>
        <row r="372">
          <cell r="C372" t="str">
            <v>100001361</v>
          </cell>
          <cell r="D372" t="str">
            <v>MX-94 LIGHT GREY UCT 01 VN-4K</v>
          </cell>
          <cell r="E372" t="str">
            <v>ZFGD</v>
          </cell>
          <cell r="F372" t="str">
            <v>PC</v>
          </cell>
          <cell r="G372" t="str">
            <v>5</v>
          </cell>
          <cell r="H372" t="str">
            <v>PROJECT</v>
          </cell>
          <cell r="I372" t="str">
            <v>56</v>
          </cell>
          <cell r="J372" t="str">
            <v>CPC1</v>
          </cell>
          <cell r="K372" t="str">
            <v>5603</v>
          </cell>
          <cell r="L372" t="str">
            <v>MULTIPOX</v>
          </cell>
          <cell r="M372" t="str">
            <v>560301</v>
          </cell>
          <cell r="N372" t="str">
            <v>MULTIPOX</v>
          </cell>
        </row>
        <row r="373">
          <cell r="C373" t="str">
            <v>100001362</v>
          </cell>
          <cell r="D373" t="str">
            <v>MX-94 LIGHT GREY UCT 01 VN-20KSP</v>
          </cell>
          <cell r="E373" t="str">
            <v>ZFGD</v>
          </cell>
          <cell r="F373" t="str">
            <v>SET</v>
          </cell>
          <cell r="G373" t="str">
            <v>5</v>
          </cell>
          <cell r="H373" t="str">
            <v>PROJECT</v>
          </cell>
          <cell r="I373" t="str">
            <v>56</v>
          </cell>
          <cell r="J373" t="str">
            <v>CPC1</v>
          </cell>
          <cell r="K373" t="str">
            <v>5603</v>
          </cell>
          <cell r="L373" t="str">
            <v>MULTIPOX</v>
          </cell>
          <cell r="M373" t="str">
            <v>560301</v>
          </cell>
          <cell r="N373" t="str">
            <v>MULTIPOX</v>
          </cell>
        </row>
        <row r="374">
          <cell r="C374" t="str">
            <v>100001363</v>
          </cell>
          <cell r="D374" t="str">
            <v>MX-94 LIGHT GREY UCT 01 VN-16KP</v>
          </cell>
          <cell r="E374" t="str">
            <v>ZFGD</v>
          </cell>
          <cell r="F374" t="str">
            <v>PC</v>
          </cell>
          <cell r="G374" t="str">
            <v>5</v>
          </cell>
          <cell r="H374" t="str">
            <v>PROJECT</v>
          </cell>
          <cell r="I374" t="str">
            <v>56</v>
          </cell>
          <cell r="J374" t="str">
            <v>CPC1</v>
          </cell>
          <cell r="K374" t="str">
            <v>5603</v>
          </cell>
          <cell r="L374" t="str">
            <v>MULTIPOX</v>
          </cell>
          <cell r="M374" t="str">
            <v>560301</v>
          </cell>
          <cell r="N374" t="str">
            <v>MULTIPOX</v>
          </cell>
        </row>
        <row r="375">
          <cell r="C375" t="str">
            <v>100001364</v>
          </cell>
          <cell r="D375" t="str">
            <v>MX-94 PEPPER VN-5KS</v>
          </cell>
          <cell r="E375" t="str">
            <v>ZFGD</v>
          </cell>
          <cell r="F375" t="str">
            <v>SET</v>
          </cell>
          <cell r="G375" t="str">
            <v>5</v>
          </cell>
          <cell r="H375" t="str">
            <v>PROJECT</v>
          </cell>
          <cell r="I375" t="str">
            <v>56</v>
          </cell>
          <cell r="J375" t="str">
            <v>CPC1</v>
          </cell>
          <cell r="K375" t="str">
            <v>5603</v>
          </cell>
          <cell r="L375" t="str">
            <v>MULTIPOX</v>
          </cell>
          <cell r="M375" t="str">
            <v>560301</v>
          </cell>
          <cell r="N375" t="str">
            <v>MULTIPOX</v>
          </cell>
        </row>
        <row r="376">
          <cell r="C376" t="str">
            <v>100001365</v>
          </cell>
          <cell r="D376" t="str">
            <v>MX-94 PEPPER VN-4K</v>
          </cell>
          <cell r="E376" t="str">
            <v>ZFGD</v>
          </cell>
          <cell r="F376" t="str">
            <v>PC</v>
          </cell>
          <cell r="G376" t="str">
            <v>5</v>
          </cell>
          <cell r="H376" t="str">
            <v>PROJECT</v>
          </cell>
          <cell r="I376" t="str">
            <v>56</v>
          </cell>
          <cell r="J376" t="str">
            <v>CPC1</v>
          </cell>
          <cell r="K376" t="str">
            <v>5603</v>
          </cell>
          <cell r="L376" t="str">
            <v>MULTIPOX</v>
          </cell>
          <cell r="M376" t="str">
            <v>560301</v>
          </cell>
          <cell r="N376" t="str">
            <v>MULTIPOX</v>
          </cell>
        </row>
        <row r="377">
          <cell r="C377" t="str">
            <v>100001366</v>
          </cell>
          <cell r="D377" t="str">
            <v>MX-94 PEPPER VN-20KSP</v>
          </cell>
          <cell r="E377" t="str">
            <v>ZFGD</v>
          </cell>
          <cell r="F377" t="str">
            <v>SET</v>
          </cell>
          <cell r="G377" t="str">
            <v>5</v>
          </cell>
          <cell r="H377" t="str">
            <v>PROJECT</v>
          </cell>
          <cell r="I377" t="str">
            <v>56</v>
          </cell>
          <cell r="J377" t="str">
            <v>CPC1</v>
          </cell>
          <cell r="K377" t="str">
            <v>5603</v>
          </cell>
          <cell r="L377" t="str">
            <v>MULTIPOX</v>
          </cell>
          <cell r="M377" t="str">
            <v>560301</v>
          </cell>
          <cell r="N377" t="str">
            <v>MULTIPOX</v>
          </cell>
        </row>
        <row r="378">
          <cell r="C378" t="str">
            <v>100001367</v>
          </cell>
          <cell r="D378" t="str">
            <v>MX-94 PEPPER VN-16KP</v>
          </cell>
          <cell r="E378" t="str">
            <v>ZFGD</v>
          </cell>
          <cell r="F378" t="str">
            <v>PC</v>
          </cell>
          <cell r="G378" t="str">
            <v>5</v>
          </cell>
          <cell r="H378" t="str">
            <v>PROJECT</v>
          </cell>
          <cell r="I378" t="str">
            <v>56</v>
          </cell>
          <cell r="J378" t="str">
            <v>CPC1</v>
          </cell>
          <cell r="K378" t="str">
            <v>5603</v>
          </cell>
          <cell r="L378" t="str">
            <v>MULTIPOX</v>
          </cell>
          <cell r="M378" t="str">
            <v>560301</v>
          </cell>
          <cell r="N378" t="str">
            <v>MULTIPOX</v>
          </cell>
        </row>
        <row r="379">
          <cell r="C379" t="str">
            <v>100001368</v>
          </cell>
          <cell r="D379" t="str">
            <v>MX-94 RAL 5012 LIGHT BLUE VN-5KS</v>
          </cell>
          <cell r="E379" t="str">
            <v>ZFGD</v>
          </cell>
          <cell r="F379" t="str">
            <v>SET</v>
          </cell>
          <cell r="G379" t="str">
            <v>5</v>
          </cell>
          <cell r="H379" t="str">
            <v>PROJECT</v>
          </cell>
          <cell r="I379" t="str">
            <v>56</v>
          </cell>
          <cell r="J379" t="str">
            <v>CPC1</v>
          </cell>
          <cell r="K379" t="str">
            <v>5603</v>
          </cell>
          <cell r="L379" t="str">
            <v>MULTIPOX</v>
          </cell>
          <cell r="M379" t="str">
            <v>560301</v>
          </cell>
          <cell r="N379" t="str">
            <v>MULTIPOX</v>
          </cell>
        </row>
        <row r="380">
          <cell r="C380" t="str">
            <v>100001369</v>
          </cell>
          <cell r="D380" t="str">
            <v>MX-94 RAL 5012 LIGHT BLUE VN-4K</v>
          </cell>
          <cell r="E380" t="str">
            <v>ZFGD</v>
          </cell>
          <cell r="F380" t="str">
            <v>PC</v>
          </cell>
          <cell r="G380" t="str">
            <v>5</v>
          </cell>
          <cell r="H380" t="str">
            <v>PROJECT</v>
          </cell>
          <cell r="I380" t="str">
            <v>56</v>
          </cell>
          <cell r="J380" t="str">
            <v>CPC1</v>
          </cell>
          <cell r="K380" t="str">
            <v>5603</v>
          </cell>
          <cell r="L380" t="str">
            <v>MULTIPOX</v>
          </cell>
          <cell r="M380" t="str">
            <v>560301</v>
          </cell>
          <cell r="N380" t="str">
            <v>MULTIPOX</v>
          </cell>
        </row>
        <row r="381">
          <cell r="C381" t="str">
            <v>100001370</v>
          </cell>
          <cell r="D381" t="str">
            <v>MX-94 RAL 5012 LIGHT BLUE VN-20KSP</v>
          </cell>
          <cell r="E381" t="str">
            <v>ZFGD</v>
          </cell>
          <cell r="F381" t="str">
            <v>SET</v>
          </cell>
          <cell r="G381" t="str">
            <v>5</v>
          </cell>
          <cell r="H381" t="str">
            <v>PROJECT</v>
          </cell>
          <cell r="I381" t="str">
            <v>56</v>
          </cell>
          <cell r="J381" t="str">
            <v>CPC1</v>
          </cell>
          <cell r="K381" t="str">
            <v>5603</v>
          </cell>
          <cell r="L381" t="str">
            <v>MULTIPOX</v>
          </cell>
          <cell r="M381" t="str">
            <v>560301</v>
          </cell>
          <cell r="N381" t="str">
            <v>MULTIPOX</v>
          </cell>
        </row>
        <row r="382">
          <cell r="C382" t="str">
            <v>100001371</v>
          </cell>
          <cell r="D382" t="str">
            <v>MX-94 RAL 5012 LIGHT BLUE VN-16KP</v>
          </cell>
          <cell r="E382" t="str">
            <v>ZFGD</v>
          </cell>
          <cell r="F382" t="str">
            <v>PC</v>
          </cell>
          <cell r="G382" t="str">
            <v>5</v>
          </cell>
          <cell r="H382" t="str">
            <v>PROJECT</v>
          </cell>
          <cell r="I382" t="str">
            <v>56</v>
          </cell>
          <cell r="J382" t="str">
            <v>CPC1</v>
          </cell>
          <cell r="K382" t="str">
            <v>5603</v>
          </cell>
          <cell r="L382" t="str">
            <v>MULTIPOX</v>
          </cell>
          <cell r="M382" t="str">
            <v>560301</v>
          </cell>
          <cell r="N382" t="str">
            <v>MULTIPOX</v>
          </cell>
        </row>
        <row r="383">
          <cell r="C383" t="str">
            <v>100001372</v>
          </cell>
          <cell r="D383" t="str">
            <v>MX-94 GRAPHITE GREY VN-5KS</v>
          </cell>
          <cell r="E383" t="str">
            <v>ZFGD</v>
          </cell>
          <cell r="F383" t="str">
            <v>SET</v>
          </cell>
          <cell r="G383" t="str">
            <v>5</v>
          </cell>
          <cell r="H383" t="str">
            <v>PROJECT</v>
          </cell>
          <cell r="I383" t="str">
            <v>56</v>
          </cell>
          <cell r="J383" t="str">
            <v>CPC1</v>
          </cell>
          <cell r="K383" t="str">
            <v>5603</v>
          </cell>
          <cell r="L383" t="str">
            <v>MULTIPOX</v>
          </cell>
          <cell r="M383" t="str">
            <v>560301</v>
          </cell>
          <cell r="N383" t="str">
            <v>MULTIPOX</v>
          </cell>
        </row>
        <row r="384">
          <cell r="C384" t="str">
            <v>100001373</v>
          </cell>
          <cell r="D384" t="str">
            <v>MX-94 GRAPHITE GREY VN-4K</v>
          </cell>
          <cell r="E384" t="str">
            <v>ZFGD</v>
          </cell>
          <cell r="F384" t="str">
            <v>PC</v>
          </cell>
          <cell r="G384" t="str">
            <v>5</v>
          </cell>
          <cell r="H384" t="str">
            <v>PROJECT</v>
          </cell>
          <cell r="I384" t="str">
            <v>56</v>
          </cell>
          <cell r="J384" t="str">
            <v>CPC1</v>
          </cell>
          <cell r="K384" t="str">
            <v>5603</v>
          </cell>
          <cell r="L384" t="str">
            <v>MULTIPOX</v>
          </cell>
          <cell r="M384" t="str">
            <v>560301</v>
          </cell>
          <cell r="N384" t="str">
            <v>MULTIPOX</v>
          </cell>
        </row>
        <row r="385">
          <cell r="C385" t="str">
            <v>100001374</v>
          </cell>
          <cell r="D385" t="str">
            <v>MX-94 GRAPHITE GREY VN-20KSP</v>
          </cell>
          <cell r="E385" t="str">
            <v>ZFGD</v>
          </cell>
          <cell r="F385" t="str">
            <v>SET</v>
          </cell>
          <cell r="G385" t="str">
            <v>5</v>
          </cell>
          <cell r="H385" t="str">
            <v>PROJECT</v>
          </cell>
          <cell r="I385" t="str">
            <v>56</v>
          </cell>
          <cell r="J385" t="str">
            <v>CPC1</v>
          </cell>
          <cell r="K385" t="str">
            <v>5603</v>
          </cell>
          <cell r="L385" t="str">
            <v>MULTIPOX</v>
          </cell>
          <cell r="M385" t="str">
            <v>560301</v>
          </cell>
          <cell r="N385" t="str">
            <v>MULTIPOX</v>
          </cell>
        </row>
        <row r="386">
          <cell r="C386" t="str">
            <v>100001375</v>
          </cell>
          <cell r="D386" t="str">
            <v>MX-94 GRAPHITE GREY VN-16KP</v>
          </cell>
          <cell r="E386" t="str">
            <v>ZFGD</v>
          </cell>
          <cell r="F386" t="str">
            <v>PC</v>
          </cell>
          <cell r="G386" t="str">
            <v>5</v>
          </cell>
          <cell r="H386" t="str">
            <v>PROJECT</v>
          </cell>
          <cell r="I386" t="str">
            <v>56</v>
          </cell>
          <cell r="J386" t="str">
            <v>CPC1</v>
          </cell>
          <cell r="K386" t="str">
            <v>5603</v>
          </cell>
          <cell r="L386" t="str">
            <v>MULTIPOX</v>
          </cell>
          <cell r="M386" t="str">
            <v>560301</v>
          </cell>
          <cell r="N386" t="str">
            <v>MULTIPOX</v>
          </cell>
        </row>
        <row r="387">
          <cell r="C387" t="str">
            <v>100001376</v>
          </cell>
          <cell r="D387" t="str">
            <v>MX-94 GREY RAL 7032 VN-5KS</v>
          </cell>
          <cell r="E387" t="str">
            <v>ZFGD</v>
          </cell>
          <cell r="F387" t="str">
            <v>SET</v>
          </cell>
          <cell r="G387" t="str">
            <v>5</v>
          </cell>
          <cell r="H387" t="str">
            <v>PROJECT</v>
          </cell>
          <cell r="I387" t="str">
            <v>56</v>
          </cell>
          <cell r="J387" t="str">
            <v>CPC1</v>
          </cell>
          <cell r="K387" t="str">
            <v>5603</v>
          </cell>
          <cell r="L387" t="str">
            <v>MULTIPOX</v>
          </cell>
          <cell r="M387" t="str">
            <v>560301</v>
          </cell>
          <cell r="N387" t="str">
            <v>MULTIPOX</v>
          </cell>
        </row>
        <row r="388">
          <cell r="C388" t="str">
            <v>100001377</v>
          </cell>
          <cell r="D388" t="str">
            <v>MX-94 GREY RAL 7032 VN-4K</v>
          </cell>
          <cell r="E388" t="str">
            <v>ZFGD</v>
          </cell>
          <cell r="F388" t="str">
            <v>PC</v>
          </cell>
          <cell r="G388" t="str">
            <v>5</v>
          </cell>
          <cell r="H388" t="str">
            <v>PROJECT</v>
          </cell>
          <cell r="I388" t="str">
            <v>56</v>
          </cell>
          <cell r="J388" t="str">
            <v>CPC1</v>
          </cell>
          <cell r="K388" t="str">
            <v>5603</v>
          </cell>
          <cell r="L388" t="str">
            <v>MULTIPOX</v>
          </cell>
          <cell r="M388" t="str">
            <v>560301</v>
          </cell>
          <cell r="N388" t="str">
            <v>MULTIPOX</v>
          </cell>
        </row>
        <row r="389">
          <cell r="C389" t="str">
            <v>100001378</v>
          </cell>
          <cell r="D389" t="str">
            <v>MX-94 GREY RAL 7032 VN-20KSP</v>
          </cell>
          <cell r="E389" t="str">
            <v>ZFGD</v>
          </cell>
          <cell r="F389" t="str">
            <v>SET</v>
          </cell>
          <cell r="G389" t="str">
            <v>5</v>
          </cell>
          <cell r="H389" t="str">
            <v>PROJECT</v>
          </cell>
          <cell r="I389" t="str">
            <v>56</v>
          </cell>
          <cell r="J389" t="str">
            <v>CPC1</v>
          </cell>
          <cell r="K389" t="str">
            <v>5603</v>
          </cell>
          <cell r="L389" t="str">
            <v>MULTIPOX</v>
          </cell>
          <cell r="M389" t="str">
            <v>560301</v>
          </cell>
          <cell r="N389" t="str">
            <v>MULTIPOX</v>
          </cell>
        </row>
        <row r="390">
          <cell r="C390" t="str">
            <v>100001379</v>
          </cell>
          <cell r="D390" t="str">
            <v>MX-94 GREY RAL 7032 VN-16KP</v>
          </cell>
          <cell r="E390" t="str">
            <v>ZFGD</v>
          </cell>
          <cell r="F390" t="str">
            <v>PC</v>
          </cell>
          <cell r="G390" t="str">
            <v>5</v>
          </cell>
          <cell r="H390" t="str">
            <v>PROJECT</v>
          </cell>
          <cell r="I390" t="str">
            <v>56</v>
          </cell>
          <cell r="J390" t="str">
            <v>CPC1</v>
          </cell>
          <cell r="K390" t="str">
            <v>5603</v>
          </cell>
          <cell r="L390" t="str">
            <v>MULTIPOX</v>
          </cell>
          <cell r="M390" t="str">
            <v>560301</v>
          </cell>
          <cell r="N390" t="str">
            <v>MULTIPOX</v>
          </cell>
        </row>
        <row r="391">
          <cell r="C391" t="str">
            <v>100001380</v>
          </cell>
          <cell r="D391" t="str">
            <v>MX-94 GREY COOP VN-5KS</v>
          </cell>
          <cell r="E391" t="str">
            <v>ZFGD</v>
          </cell>
          <cell r="F391" t="str">
            <v>SET</v>
          </cell>
          <cell r="G391" t="str">
            <v>5</v>
          </cell>
          <cell r="H391" t="str">
            <v>PROJECT</v>
          </cell>
          <cell r="I391" t="str">
            <v>56</v>
          </cell>
          <cell r="J391" t="str">
            <v>CPC1</v>
          </cell>
          <cell r="K391" t="str">
            <v>5603</v>
          </cell>
          <cell r="L391" t="str">
            <v>MULTIPOX</v>
          </cell>
          <cell r="M391" t="str">
            <v>560301</v>
          </cell>
          <cell r="N391" t="str">
            <v>MULTIPOX</v>
          </cell>
        </row>
        <row r="392">
          <cell r="C392" t="str">
            <v>100001381</v>
          </cell>
          <cell r="D392" t="str">
            <v>MX-94 GREY COOP VN-4K</v>
          </cell>
          <cell r="E392" t="str">
            <v>ZFGD</v>
          </cell>
          <cell r="F392" t="str">
            <v>PC</v>
          </cell>
          <cell r="G392" t="str">
            <v>5</v>
          </cell>
          <cell r="H392" t="str">
            <v>PROJECT</v>
          </cell>
          <cell r="I392" t="str">
            <v>56</v>
          </cell>
          <cell r="J392" t="str">
            <v>CPC1</v>
          </cell>
          <cell r="K392" t="str">
            <v>5603</v>
          </cell>
          <cell r="L392" t="str">
            <v>MULTIPOX</v>
          </cell>
          <cell r="M392" t="str">
            <v>560301</v>
          </cell>
          <cell r="N392" t="str">
            <v>MULTIPOX</v>
          </cell>
        </row>
        <row r="393">
          <cell r="C393" t="str">
            <v>100001382</v>
          </cell>
          <cell r="D393" t="str">
            <v>MX-94 GREY COOP VN-20KSP</v>
          </cell>
          <cell r="E393" t="str">
            <v>ZFGD</v>
          </cell>
          <cell r="F393" t="str">
            <v>SET</v>
          </cell>
          <cell r="G393" t="str">
            <v>5</v>
          </cell>
          <cell r="H393" t="str">
            <v>PROJECT</v>
          </cell>
          <cell r="I393" t="str">
            <v>56</v>
          </cell>
          <cell r="J393" t="str">
            <v>CPC1</v>
          </cell>
          <cell r="K393" t="str">
            <v>5603</v>
          </cell>
          <cell r="L393" t="str">
            <v>MULTIPOX</v>
          </cell>
          <cell r="M393" t="str">
            <v>560301</v>
          </cell>
          <cell r="N393" t="str">
            <v>MULTIPOX</v>
          </cell>
        </row>
        <row r="394">
          <cell r="C394" t="str">
            <v>100001383</v>
          </cell>
          <cell r="D394" t="str">
            <v>MX-94 GREY COOP VN-16KP</v>
          </cell>
          <cell r="E394" t="str">
            <v>ZFGD</v>
          </cell>
          <cell r="F394" t="str">
            <v>PC</v>
          </cell>
          <cell r="G394" t="str">
            <v>5</v>
          </cell>
          <cell r="H394" t="str">
            <v>PROJECT</v>
          </cell>
          <cell r="I394" t="str">
            <v>56</v>
          </cell>
          <cell r="J394" t="str">
            <v>CPC1</v>
          </cell>
          <cell r="K394" t="str">
            <v>5603</v>
          </cell>
          <cell r="L394" t="str">
            <v>MULTIPOX</v>
          </cell>
          <cell r="M394" t="str">
            <v>560301</v>
          </cell>
          <cell r="N394" t="str">
            <v>MULTIPOX</v>
          </cell>
        </row>
        <row r="395">
          <cell r="C395" t="str">
            <v>100001384</v>
          </cell>
          <cell r="D395" t="str">
            <v>MX-94 KIA WHITE VN-5KS</v>
          </cell>
          <cell r="E395" t="str">
            <v>ZFGD</v>
          </cell>
          <cell r="F395" t="str">
            <v>SET</v>
          </cell>
          <cell r="G395" t="str">
            <v>5</v>
          </cell>
          <cell r="H395" t="str">
            <v>PROJECT</v>
          </cell>
          <cell r="I395" t="str">
            <v>56</v>
          </cell>
          <cell r="J395" t="str">
            <v>CPC1</v>
          </cell>
          <cell r="K395" t="str">
            <v>5603</v>
          </cell>
          <cell r="L395" t="str">
            <v>MULTIPOX</v>
          </cell>
          <cell r="M395" t="str">
            <v>560301</v>
          </cell>
          <cell r="N395" t="str">
            <v>MULTIPOX</v>
          </cell>
        </row>
        <row r="396">
          <cell r="C396" t="str">
            <v>100001385</v>
          </cell>
          <cell r="D396" t="str">
            <v>MX-94 KIA WHITE VN-4K</v>
          </cell>
          <cell r="E396" t="str">
            <v>ZFGD</v>
          </cell>
          <cell r="F396" t="str">
            <v>PC</v>
          </cell>
          <cell r="G396" t="str">
            <v>5</v>
          </cell>
          <cell r="H396" t="str">
            <v>PROJECT</v>
          </cell>
          <cell r="I396" t="str">
            <v>56</v>
          </cell>
          <cell r="J396" t="str">
            <v>CPC1</v>
          </cell>
          <cell r="K396" t="str">
            <v>5603</v>
          </cell>
          <cell r="L396" t="str">
            <v>MULTIPOX</v>
          </cell>
          <cell r="M396" t="str">
            <v>560301</v>
          </cell>
          <cell r="N396" t="str">
            <v>MULTIPOX</v>
          </cell>
        </row>
        <row r="397">
          <cell r="C397" t="str">
            <v>100001386</v>
          </cell>
          <cell r="D397" t="str">
            <v>MX-94 KIA WHITE VN-20KSP</v>
          </cell>
          <cell r="E397" t="str">
            <v>ZFGD</v>
          </cell>
          <cell r="F397" t="str">
            <v>SET</v>
          </cell>
          <cell r="G397" t="str">
            <v>5</v>
          </cell>
          <cell r="H397" t="str">
            <v>PROJECT</v>
          </cell>
          <cell r="I397" t="str">
            <v>56</v>
          </cell>
          <cell r="J397" t="str">
            <v>CPC1</v>
          </cell>
          <cell r="K397" t="str">
            <v>5603</v>
          </cell>
          <cell r="L397" t="str">
            <v>MULTIPOX</v>
          </cell>
          <cell r="M397" t="str">
            <v>560301</v>
          </cell>
          <cell r="N397" t="str">
            <v>MULTIPOX</v>
          </cell>
        </row>
        <row r="398">
          <cell r="C398" t="str">
            <v>100001387</v>
          </cell>
          <cell r="D398" t="str">
            <v>MX-94 KIA WHITE VN-16KP</v>
          </cell>
          <cell r="E398" t="str">
            <v>ZFGD</v>
          </cell>
          <cell r="F398" t="str">
            <v>PC</v>
          </cell>
          <cell r="G398" t="str">
            <v>5</v>
          </cell>
          <cell r="H398" t="str">
            <v>PROJECT</v>
          </cell>
          <cell r="I398" t="str">
            <v>56</v>
          </cell>
          <cell r="J398" t="str">
            <v>CPC1</v>
          </cell>
          <cell r="K398" t="str">
            <v>5603</v>
          </cell>
          <cell r="L398" t="str">
            <v>MULTIPOX</v>
          </cell>
          <cell r="M398" t="str">
            <v>560301</v>
          </cell>
          <cell r="N398" t="str">
            <v>MULTIPOX</v>
          </cell>
        </row>
        <row r="399">
          <cell r="C399" t="str">
            <v>100001388</v>
          </cell>
          <cell r="D399" t="str">
            <v>MX-94 GREY RAL 7035 VN-5KS</v>
          </cell>
          <cell r="E399" t="str">
            <v>ZFGD</v>
          </cell>
          <cell r="F399" t="str">
            <v>SET</v>
          </cell>
          <cell r="G399" t="str">
            <v>5</v>
          </cell>
          <cell r="H399" t="str">
            <v>PROJECT</v>
          </cell>
          <cell r="I399" t="str">
            <v>56</v>
          </cell>
          <cell r="J399" t="str">
            <v>CPC1</v>
          </cell>
          <cell r="K399" t="str">
            <v>5603</v>
          </cell>
          <cell r="L399" t="str">
            <v>MULTIPOX</v>
          </cell>
          <cell r="M399" t="str">
            <v>560301</v>
          </cell>
          <cell r="N399" t="str">
            <v>MULTIPOX</v>
          </cell>
        </row>
        <row r="400">
          <cell r="C400" t="str">
            <v>100001389</v>
          </cell>
          <cell r="D400" t="str">
            <v>MX-94 GREY RAL 7035 VN-4K</v>
          </cell>
          <cell r="E400" t="str">
            <v>ZFGD</v>
          </cell>
          <cell r="F400" t="str">
            <v>PC</v>
          </cell>
          <cell r="G400" t="str">
            <v>5</v>
          </cell>
          <cell r="H400" t="str">
            <v>PROJECT</v>
          </cell>
          <cell r="I400" t="str">
            <v>56</v>
          </cell>
          <cell r="J400" t="str">
            <v>CPC1</v>
          </cell>
          <cell r="K400" t="str">
            <v>5603</v>
          </cell>
          <cell r="L400" t="str">
            <v>MULTIPOX</v>
          </cell>
          <cell r="M400" t="str">
            <v>560301</v>
          </cell>
          <cell r="N400" t="str">
            <v>MULTIPOX</v>
          </cell>
        </row>
        <row r="401">
          <cell r="C401" t="str">
            <v>100001390</v>
          </cell>
          <cell r="D401" t="str">
            <v>MX-94 GREY RAL 7035 VN-20KSP</v>
          </cell>
          <cell r="E401" t="str">
            <v>ZFGD</v>
          </cell>
          <cell r="F401" t="str">
            <v>SET</v>
          </cell>
          <cell r="G401" t="str">
            <v>5</v>
          </cell>
          <cell r="H401" t="str">
            <v>PROJECT</v>
          </cell>
          <cell r="I401" t="str">
            <v>56</v>
          </cell>
          <cell r="J401" t="str">
            <v>CPC1</v>
          </cell>
          <cell r="K401" t="str">
            <v>5603</v>
          </cell>
          <cell r="L401" t="str">
            <v>MULTIPOX</v>
          </cell>
          <cell r="M401" t="str">
            <v>560301</v>
          </cell>
          <cell r="N401" t="str">
            <v>MULTIPOX</v>
          </cell>
        </row>
        <row r="402">
          <cell r="C402" t="str">
            <v>100001391</v>
          </cell>
          <cell r="D402" t="str">
            <v>MX-94 GREY RAL 7035 VN-16KP</v>
          </cell>
          <cell r="E402" t="str">
            <v>ZFGD</v>
          </cell>
          <cell r="F402" t="str">
            <v>PC</v>
          </cell>
          <cell r="G402" t="str">
            <v>5</v>
          </cell>
          <cell r="H402" t="str">
            <v>PROJECT</v>
          </cell>
          <cell r="I402" t="str">
            <v>56</v>
          </cell>
          <cell r="J402" t="str">
            <v>CPC1</v>
          </cell>
          <cell r="K402" t="str">
            <v>5603</v>
          </cell>
          <cell r="L402" t="str">
            <v>MULTIPOX</v>
          </cell>
          <cell r="M402" t="str">
            <v>560301</v>
          </cell>
          <cell r="N402" t="str">
            <v>MULTIPOX</v>
          </cell>
        </row>
        <row r="403">
          <cell r="C403" t="str">
            <v>100001392</v>
          </cell>
          <cell r="D403" t="str">
            <v>MX-94 ACACIA VN-5KS</v>
          </cell>
          <cell r="E403" t="str">
            <v>ZFGD</v>
          </cell>
          <cell r="F403" t="str">
            <v>SET</v>
          </cell>
          <cell r="G403" t="str">
            <v>5</v>
          </cell>
          <cell r="H403" t="str">
            <v>PROJECT</v>
          </cell>
          <cell r="I403" t="str">
            <v>56</v>
          </cell>
          <cell r="J403" t="str">
            <v>CPC1</v>
          </cell>
          <cell r="K403" t="str">
            <v>5603</v>
          </cell>
          <cell r="L403" t="str">
            <v>MULTIPOX</v>
          </cell>
          <cell r="M403" t="str">
            <v>560301</v>
          </cell>
          <cell r="N403" t="str">
            <v>MULTIPOX</v>
          </cell>
        </row>
        <row r="404">
          <cell r="C404" t="str">
            <v>100001393</v>
          </cell>
          <cell r="D404" t="str">
            <v>MX-94 ACACIA VN-4K</v>
          </cell>
          <cell r="E404" t="str">
            <v>ZFGD</v>
          </cell>
          <cell r="F404" t="str">
            <v>PC</v>
          </cell>
          <cell r="G404" t="str">
            <v>5</v>
          </cell>
          <cell r="H404" t="str">
            <v>PROJECT</v>
          </cell>
          <cell r="I404" t="str">
            <v>56</v>
          </cell>
          <cell r="J404" t="str">
            <v>CPC1</v>
          </cell>
          <cell r="K404" t="str">
            <v>5603</v>
          </cell>
          <cell r="L404" t="str">
            <v>MULTIPOX</v>
          </cell>
          <cell r="M404" t="str">
            <v>560301</v>
          </cell>
          <cell r="N404" t="str">
            <v>MULTIPOX</v>
          </cell>
        </row>
        <row r="405">
          <cell r="C405" t="str">
            <v>100001394</v>
          </cell>
          <cell r="D405" t="str">
            <v>MX-94 ACACIA VN-20KSP</v>
          </cell>
          <cell r="E405" t="str">
            <v>ZFGD</v>
          </cell>
          <cell r="F405" t="str">
            <v>SET</v>
          </cell>
          <cell r="G405" t="str">
            <v>5</v>
          </cell>
          <cell r="H405" t="str">
            <v>PROJECT</v>
          </cell>
          <cell r="I405" t="str">
            <v>56</v>
          </cell>
          <cell r="J405" t="str">
            <v>CPC1</v>
          </cell>
          <cell r="K405" t="str">
            <v>5603</v>
          </cell>
          <cell r="L405" t="str">
            <v>MULTIPOX</v>
          </cell>
          <cell r="M405" t="str">
            <v>560301</v>
          </cell>
          <cell r="N405" t="str">
            <v>MULTIPOX</v>
          </cell>
        </row>
        <row r="406">
          <cell r="C406" t="str">
            <v>100001395</v>
          </cell>
          <cell r="D406" t="str">
            <v>MX-94 ACACIA VN-16KP</v>
          </cell>
          <cell r="E406" t="str">
            <v>ZFGD</v>
          </cell>
          <cell r="F406" t="str">
            <v>PC</v>
          </cell>
          <cell r="G406" t="str">
            <v>5</v>
          </cell>
          <cell r="H406" t="str">
            <v>PROJECT</v>
          </cell>
          <cell r="I406" t="str">
            <v>56</v>
          </cell>
          <cell r="J406" t="str">
            <v>CPC1</v>
          </cell>
          <cell r="K406" t="str">
            <v>5603</v>
          </cell>
          <cell r="L406" t="str">
            <v>MULTIPOX</v>
          </cell>
          <cell r="M406" t="str">
            <v>560301</v>
          </cell>
          <cell r="N406" t="str">
            <v>MULTIPOX</v>
          </cell>
        </row>
        <row r="407">
          <cell r="C407" t="str">
            <v>100001396</v>
          </cell>
          <cell r="D407" t="str">
            <v>MX-94 GREY RAL 7037 VN-5KS</v>
          </cell>
          <cell r="E407" t="str">
            <v>ZFGD</v>
          </cell>
          <cell r="F407" t="str">
            <v>SET</v>
          </cell>
          <cell r="G407" t="str">
            <v>5</v>
          </cell>
          <cell r="H407" t="str">
            <v>PROJECT</v>
          </cell>
          <cell r="I407" t="str">
            <v>56</v>
          </cell>
          <cell r="J407" t="str">
            <v>CPC1</v>
          </cell>
          <cell r="K407" t="str">
            <v>5603</v>
          </cell>
          <cell r="L407" t="str">
            <v>MULTIPOX</v>
          </cell>
          <cell r="M407" t="str">
            <v>560301</v>
          </cell>
          <cell r="N407" t="str">
            <v>MULTIPOX</v>
          </cell>
        </row>
        <row r="408">
          <cell r="C408" t="str">
            <v>100001397</v>
          </cell>
          <cell r="D408" t="str">
            <v>MX-94 GREY RAL 7037 VN-4K</v>
          </cell>
          <cell r="E408" t="str">
            <v>ZFGD</v>
          </cell>
          <cell r="F408" t="str">
            <v>PC</v>
          </cell>
          <cell r="G408" t="str">
            <v>5</v>
          </cell>
          <cell r="H408" t="str">
            <v>PROJECT</v>
          </cell>
          <cell r="I408" t="str">
            <v>56</v>
          </cell>
          <cell r="J408" t="str">
            <v>CPC1</v>
          </cell>
          <cell r="K408" t="str">
            <v>5603</v>
          </cell>
          <cell r="L408" t="str">
            <v>MULTIPOX</v>
          </cell>
          <cell r="M408" t="str">
            <v>560301</v>
          </cell>
          <cell r="N408" t="str">
            <v>MULTIPOX</v>
          </cell>
        </row>
        <row r="409">
          <cell r="C409" t="str">
            <v>100001398</v>
          </cell>
          <cell r="D409" t="str">
            <v>MX-94 GREY RAL 7037 VN-20KSP</v>
          </cell>
          <cell r="E409" t="str">
            <v>ZFGD</v>
          </cell>
          <cell r="F409" t="str">
            <v>SET</v>
          </cell>
          <cell r="G409" t="str">
            <v>5</v>
          </cell>
          <cell r="H409" t="str">
            <v>PROJECT</v>
          </cell>
          <cell r="I409" t="str">
            <v>56</v>
          </cell>
          <cell r="J409" t="str">
            <v>CPC1</v>
          </cell>
          <cell r="K409" t="str">
            <v>5603</v>
          </cell>
          <cell r="L409" t="str">
            <v>MULTIPOX</v>
          </cell>
          <cell r="M409" t="str">
            <v>560301</v>
          </cell>
          <cell r="N409" t="str">
            <v>MULTIPOX</v>
          </cell>
        </row>
        <row r="410">
          <cell r="C410" t="str">
            <v>100001399</v>
          </cell>
          <cell r="D410" t="str">
            <v>MX-94 GREY RAL 7037 VN-16KP</v>
          </cell>
          <cell r="E410" t="str">
            <v>ZFGD</v>
          </cell>
          <cell r="F410" t="str">
            <v>PC</v>
          </cell>
          <cell r="G410" t="str">
            <v>5</v>
          </cell>
          <cell r="H410" t="str">
            <v>PROJECT</v>
          </cell>
          <cell r="I410" t="str">
            <v>56</v>
          </cell>
          <cell r="J410" t="str">
            <v>CPC1</v>
          </cell>
          <cell r="K410" t="str">
            <v>5603</v>
          </cell>
          <cell r="L410" t="str">
            <v>MULTIPOX</v>
          </cell>
          <cell r="M410" t="str">
            <v>560301</v>
          </cell>
          <cell r="N410" t="str">
            <v>MULTIPOX</v>
          </cell>
        </row>
        <row r="411">
          <cell r="C411" t="str">
            <v>100001400</v>
          </cell>
          <cell r="D411" t="str">
            <v>MX-94 GREEN RAL 6029 VN-5KS</v>
          </cell>
          <cell r="E411" t="str">
            <v>ZFGD</v>
          </cell>
          <cell r="F411" t="str">
            <v>SET</v>
          </cell>
          <cell r="G411" t="str">
            <v>5</v>
          </cell>
          <cell r="H411" t="str">
            <v>PROJECT</v>
          </cell>
          <cell r="I411" t="str">
            <v>56</v>
          </cell>
          <cell r="J411" t="str">
            <v>CPC1</v>
          </cell>
          <cell r="K411" t="str">
            <v>5603</v>
          </cell>
          <cell r="L411" t="str">
            <v>MULTIPOX</v>
          </cell>
          <cell r="M411" t="str">
            <v>560301</v>
          </cell>
          <cell r="N411" t="str">
            <v>MULTIPOX</v>
          </cell>
        </row>
        <row r="412">
          <cell r="C412" t="str">
            <v>100001401</v>
          </cell>
          <cell r="D412" t="str">
            <v>MX-94 GREEN RAL 6029 VN-4K</v>
          </cell>
          <cell r="E412" t="str">
            <v>ZFGD</v>
          </cell>
          <cell r="F412" t="str">
            <v>PC</v>
          </cell>
          <cell r="G412" t="str">
            <v>5</v>
          </cell>
          <cell r="H412" t="str">
            <v>PROJECT</v>
          </cell>
          <cell r="I412" t="str">
            <v>56</v>
          </cell>
          <cell r="J412" t="str">
            <v>CPC1</v>
          </cell>
          <cell r="K412" t="str">
            <v>5603</v>
          </cell>
          <cell r="L412" t="str">
            <v>MULTIPOX</v>
          </cell>
          <cell r="M412" t="str">
            <v>560301</v>
          </cell>
          <cell r="N412" t="str">
            <v>MULTIPOX</v>
          </cell>
        </row>
        <row r="413">
          <cell r="C413" t="str">
            <v>100001402</v>
          </cell>
          <cell r="D413" t="str">
            <v>MX-94 GREEN RAL 6029 VN-20KSP</v>
          </cell>
          <cell r="E413" t="str">
            <v>ZFGD</v>
          </cell>
          <cell r="F413" t="str">
            <v>SET</v>
          </cell>
          <cell r="G413" t="str">
            <v>5</v>
          </cell>
          <cell r="H413" t="str">
            <v>PROJECT</v>
          </cell>
          <cell r="I413" t="str">
            <v>56</v>
          </cell>
          <cell r="J413" t="str">
            <v>CPC1</v>
          </cell>
          <cell r="K413" t="str">
            <v>5603</v>
          </cell>
          <cell r="L413" t="str">
            <v>MULTIPOX</v>
          </cell>
          <cell r="M413" t="str">
            <v>560301</v>
          </cell>
          <cell r="N413" t="str">
            <v>MULTIPOX</v>
          </cell>
        </row>
        <row r="414">
          <cell r="C414" t="str">
            <v>100001403</v>
          </cell>
          <cell r="D414" t="str">
            <v>MX-94 GREEN RAL 6029 VN-16KP</v>
          </cell>
          <cell r="E414" t="str">
            <v>ZFGD</v>
          </cell>
          <cell r="F414" t="str">
            <v>PC</v>
          </cell>
          <cell r="G414" t="str">
            <v>5</v>
          </cell>
          <cell r="H414" t="str">
            <v>PROJECT</v>
          </cell>
          <cell r="I414" t="str">
            <v>56</v>
          </cell>
          <cell r="J414" t="str">
            <v>CPC1</v>
          </cell>
          <cell r="K414" t="str">
            <v>5603</v>
          </cell>
          <cell r="L414" t="str">
            <v>MULTIPOX</v>
          </cell>
          <cell r="M414" t="str">
            <v>560301</v>
          </cell>
          <cell r="N414" t="str">
            <v>MULTIPOX</v>
          </cell>
        </row>
        <row r="415">
          <cell r="C415" t="str">
            <v>100001404</v>
          </cell>
          <cell r="D415" t="str">
            <v>MX-94 GREEN VN-5KS</v>
          </cell>
          <cell r="E415" t="str">
            <v>ZFGD</v>
          </cell>
          <cell r="F415" t="str">
            <v>SET</v>
          </cell>
          <cell r="G415" t="str">
            <v>5</v>
          </cell>
          <cell r="H415" t="str">
            <v>PROJECT</v>
          </cell>
          <cell r="I415" t="str">
            <v>56</v>
          </cell>
          <cell r="J415" t="str">
            <v>CPC1</v>
          </cell>
          <cell r="K415" t="str">
            <v>5603</v>
          </cell>
          <cell r="L415" t="str">
            <v>MULTIPOX</v>
          </cell>
          <cell r="M415" t="str">
            <v>560301</v>
          </cell>
          <cell r="N415" t="str">
            <v>MULTIPOX</v>
          </cell>
        </row>
        <row r="416">
          <cell r="C416" t="str">
            <v>100001405</v>
          </cell>
          <cell r="D416" t="str">
            <v>MX-94 GREEN VN-4K</v>
          </cell>
          <cell r="E416" t="str">
            <v>ZFGD</v>
          </cell>
          <cell r="F416" t="str">
            <v>PC</v>
          </cell>
          <cell r="G416" t="str">
            <v>5</v>
          </cell>
          <cell r="H416" t="str">
            <v>PROJECT</v>
          </cell>
          <cell r="I416" t="str">
            <v>56</v>
          </cell>
          <cell r="J416" t="str">
            <v>CPC1</v>
          </cell>
          <cell r="K416" t="str">
            <v>5603</v>
          </cell>
          <cell r="L416" t="str">
            <v>MULTIPOX</v>
          </cell>
          <cell r="M416" t="str">
            <v>560301</v>
          </cell>
          <cell r="N416" t="str">
            <v>MULTIPOX</v>
          </cell>
        </row>
        <row r="417">
          <cell r="C417" t="str">
            <v>100001406</v>
          </cell>
          <cell r="D417" t="str">
            <v>MX-94 GREEN VN-20KSP</v>
          </cell>
          <cell r="E417" t="str">
            <v>ZFGD</v>
          </cell>
          <cell r="F417" t="str">
            <v>SET</v>
          </cell>
          <cell r="G417" t="str">
            <v>5</v>
          </cell>
          <cell r="H417" t="str">
            <v>PROJECT</v>
          </cell>
          <cell r="I417" t="str">
            <v>56</v>
          </cell>
          <cell r="J417" t="str">
            <v>CPC1</v>
          </cell>
          <cell r="K417" t="str">
            <v>5603</v>
          </cell>
          <cell r="L417" t="str">
            <v>MULTIPOX</v>
          </cell>
          <cell r="M417" t="str">
            <v>560301</v>
          </cell>
          <cell r="N417" t="str">
            <v>MULTIPOX</v>
          </cell>
        </row>
        <row r="418">
          <cell r="C418" t="str">
            <v>100001407</v>
          </cell>
          <cell r="D418" t="str">
            <v>MX-94 GREEN VN-16KP</v>
          </cell>
          <cell r="E418" t="str">
            <v>ZFGD</v>
          </cell>
          <cell r="F418" t="str">
            <v>PC</v>
          </cell>
          <cell r="G418" t="str">
            <v>5</v>
          </cell>
          <cell r="H418" t="str">
            <v>PROJECT</v>
          </cell>
          <cell r="I418" t="str">
            <v>56</v>
          </cell>
          <cell r="J418" t="str">
            <v>CPC1</v>
          </cell>
          <cell r="K418" t="str">
            <v>5603</v>
          </cell>
          <cell r="L418" t="str">
            <v>MULTIPOX</v>
          </cell>
          <cell r="M418" t="str">
            <v>560301</v>
          </cell>
          <cell r="N418" t="str">
            <v>MULTIPOX</v>
          </cell>
        </row>
        <row r="419">
          <cell r="C419" t="str">
            <v>100001408</v>
          </cell>
          <cell r="D419" t="str">
            <v>MX-94 GREEN MH 0106 VN-5KS</v>
          </cell>
          <cell r="E419" t="str">
            <v>ZFGD</v>
          </cell>
          <cell r="F419" t="str">
            <v>SET</v>
          </cell>
          <cell r="G419" t="str">
            <v>5</v>
          </cell>
          <cell r="H419" t="str">
            <v>PROJECT</v>
          </cell>
          <cell r="I419" t="str">
            <v>56</v>
          </cell>
          <cell r="J419" t="str">
            <v>CPC1</v>
          </cell>
          <cell r="K419" t="str">
            <v>5603</v>
          </cell>
          <cell r="L419" t="str">
            <v>MULTIPOX</v>
          </cell>
          <cell r="M419" t="str">
            <v>560301</v>
          </cell>
          <cell r="N419" t="str">
            <v>MULTIPOX</v>
          </cell>
        </row>
        <row r="420">
          <cell r="C420" t="str">
            <v>100001409</v>
          </cell>
          <cell r="D420" t="str">
            <v>MX-94 GREEN MH 0106 VN-4K</v>
          </cell>
          <cell r="E420" t="str">
            <v>ZFGD</v>
          </cell>
          <cell r="F420" t="str">
            <v>PC</v>
          </cell>
          <cell r="G420" t="str">
            <v>5</v>
          </cell>
          <cell r="H420" t="str">
            <v>PROJECT</v>
          </cell>
          <cell r="I420" t="str">
            <v>56</v>
          </cell>
          <cell r="J420" t="str">
            <v>CPC1</v>
          </cell>
          <cell r="K420" t="str">
            <v>5603</v>
          </cell>
          <cell r="L420" t="str">
            <v>MULTIPOX</v>
          </cell>
          <cell r="M420" t="str">
            <v>560301</v>
          </cell>
          <cell r="N420" t="str">
            <v>MULTIPOX</v>
          </cell>
        </row>
        <row r="421">
          <cell r="C421" t="str">
            <v>100001410</v>
          </cell>
          <cell r="D421" t="str">
            <v>MX-94 GREEN MH 0106 VN-20KSP</v>
          </cell>
          <cell r="E421" t="str">
            <v>ZFGD</v>
          </cell>
          <cell r="F421" t="str">
            <v>SET</v>
          </cell>
          <cell r="G421" t="str">
            <v>5</v>
          </cell>
          <cell r="H421" t="str">
            <v>PROJECT</v>
          </cell>
          <cell r="I421" t="str">
            <v>56</v>
          </cell>
          <cell r="J421" t="str">
            <v>CPC1</v>
          </cell>
          <cell r="K421" t="str">
            <v>5603</v>
          </cell>
          <cell r="L421" t="str">
            <v>MULTIPOX</v>
          </cell>
          <cell r="M421" t="str">
            <v>560301</v>
          </cell>
          <cell r="N421" t="str">
            <v>MULTIPOX</v>
          </cell>
        </row>
        <row r="422">
          <cell r="C422" t="str">
            <v>100001411</v>
          </cell>
          <cell r="D422" t="str">
            <v>MX-94 GREEN MH 0106 VN-16KP</v>
          </cell>
          <cell r="E422" t="str">
            <v>ZFGD</v>
          </cell>
          <cell r="F422" t="str">
            <v>PC</v>
          </cell>
          <cell r="G422" t="str">
            <v>5</v>
          </cell>
          <cell r="H422" t="str">
            <v>PROJECT</v>
          </cell>
          <cell r="I422" t="str">
            <v>56</v>
          </cell>
          <cell r="J422" t="str">
            <v>CPC1</v>
          </cell>
          <cell r="K422" t="str">
            <v>5603</v>
          </cell>
          <cell r="L422" t="str">
            <v>MULTIPOX</v>
          </cell>
          <cell r="M422" t="str">
            <v>560301</v>
          </cell>
          <cell r="N422" t="str">
            <v>MULTIPOX</v>
          </cell>
        </row>
        <row r="423">
          <cell r="C423" t="str">
            <v>100001412</v>
          </cell>
          <cell r="D423" t="str">
            <v>MX-94 BLUE MH 0106 VN-5KS</v>
          </cell>
          <cell r="E423" t="str">
            <v>ZFGD</v>
          </cell>
          <cell r="F423" t="str">
            <v>SET</v>
          </cell>
          <cell r="G423" t="str">
            <v>5</v>
          </cell>
          <cell r="H423" t="str">
            <v>PROJECT</v>
          </cell>
          <cell r="I423" t="str">
            <v>56</v>
          </cell>
          <cell r="J423" t="str">
            <v>CPC1</v>
          </cell>
          <cell r="K423" t="str">
            <v>5603</v>
          </cell>
          <cell r="L423" t="str">
            <v>MULTIPOX</v>
          </cell>
          <cell r="M423" t="str">
            <v>560301</v>
          </cell>
          <cell r="N423" t="str">
            <v>MULTIPOX</v>
          </cell>
        </row>
        <row r="424">
          <cell r="C424" t="str">
            <v>100001413</v>
          </cell>
          <cell r="D424" t="str">
            <v>MX-94 BLUE MH 0106 VN-4K</v>
          </cell>
          <cell r="E424" t="str">
            <v>ZFGD</v>
          </cell>
          <cell r="F424" t="str">
            <v>PC</v>
          </cell>
          <cell r="G424" t="str">
            <v>5</v>
          </cell>
          <cell r="H424" t="str">
            <v>PROJECT</v>
          </cell>
          <cell r="I424" t="str">
            <v>56</v>
          </cell>
          <cell r="J424" t="str">
            <v>CPC1</v>
          </cell>
          <cell r="K424" t="str">
            <v>5603</v>
          </cell>
          <cell r="L424" t="str">
            <v>MULTIPOX</v>
          </cell>
          <cell r="M424" t="str">
            <v>560301</v>
          </cell>
          <cell r="N424" t="str">
            <v>MULTIPOX</v>
          </cell>
        </row>
        <row r="425">
          <cell r="C425" t="str">
            <v>100001414</v>
          </cell>
          <cell r="D425" t="str">
            <v>MX-94 BLUE MH 0106 VN-20KSP</v>
          </cell>
          <cell r="E425" t="str">
            <v>ZFGD</v>
          </cell>
          <cell r="F425" t="str">
            <v>SET</v>
          </cell>
          <cell r="G425" t="str">
            <v>5</v>
          </cell>
          <cell r="H425" t="str">
            <v>PROJECT</v>
          </cell>
          <cell r="I425" t="str">
            <v>56</v>
          </cell>
          <cell r="J425" t="str">
            <v>CPC1</v>
          </cell>
          <cell r="K425" t="str">
            <v>5603</v>
          </cell>
          <cell r="L425" t="str">
            <v>MULTIPOX</v>
          </cell>
          <cell r="M425" t="str">
            <v>560301</v>
          </cell>
          <cell r="N425" t="str">
            <v>MULTIPOX</v>
          </cell>
        </row>
        <row r="426">
          <cell r="C426" t="str">
            <v>100001415</v>
          </cell>
          <cell r="D426" t="str">
            <v>MX-94 BLUE MH 0106 VN-16KP</v>
          </cell>
          <cell r="E426" t="str">
            <v>ZFGD</v>
          </cell>
          <cell r="F426" t="str">
            <v>PC</v>
          </cell>
          <cell r="G426" t="str">
            <v>5</v>
          </cell>
          <cell r="H426" t="str">
            <v>PROJECT</v>
          </cell>
          <cell r="I426" t="str">
            <v>56</v>
          </cell>
          <cell r="J426" t="str">
            <v>CPC1</v>
          </cell>
          <cell r="K426" t="str">
            <v>5603</v>
          </cell>
          <cell r="L426" t="str">
            <v>MULTIPOX</v>
          </cell>
          <cell r="M426" t="str">
            <v>560301</v>
          </cell>
          <cell r="N426" t="str">
            <v>MULTIPOX</v>
          </cell>
        </row>
        <row r="427">
          <cell r="C427" t="str">
            <v>100001416</v>
          </cell>
          <cell r="D427" t="str">
            <v>MX-94 BLUE TDC VN-5KS</v>
          </cell>
          <cell r="E427" t="str">
            <v>ZFGD</v>
          </cell>
          <cell r="F427" t="str">
            <v>SET</v>
          </cell>
          <cell r="G427" t="str">
            <v>5</v>
          </cell>
          <cell r="H427" t="str">
            <v>PROJECT</v>
          </cell>
          <cell r="I427" t="str">
            <v>56</v>
          </cell>
          <cell r="J427" t="str">
            <v>CPC1</v>
          </cell>
          <cell r="K427" t="str">
            <v>5603</v>
          </cell>
          <cell r="L427" t="str">
            <v>MULTIPOX</v>
          </cell>
          <cell r="M427" t="str">
            <v>560301</v>
          </cell>
          <cell r="N427" t="str">
            <v>MULTIPOX</v>
          </cell>
        </row>
        <row r="428">
          <cell r="C428" t="str">
            <v>100001417</v>
          </cell>
          <cell r="D428" t="str">
            <v>MX-94 BLUE TDC VN-4K</v>
          </cell>
          <cell r="E428" t="str">
            <v>ZFGD</v>
          </cell>
          <cell r="F428" t="str">
            <v>PC</v>
          </cell>
          <cell r="G428" t="str">
            <v>5</v>
          </cell>
          <cell r="H428" t="str">
            <v>PROJECT</v>
          </cell>
          <cell r="I428" t="str">
            <v>56</v>
          </cell>
          <cell r="J428" t="str">
            <v>CPC1</v>
          </cell>
          <cell r="K428" t="str">
            <v>5603</v>
          </cell>
          <cell r="L428" t="str">
            <v>MULTIPOX</v>
          </cell>
          <cell r="M428" t="str">
            <v>560301</v>
          </cell>
          <cell r="N428" t="str">
            <v>MULTIPOX</v>
          </cell>
        </row>
        <row r="429">
          <cell r="C429" t="str">
            <v>100001418</v>
          </cell>
          <cell r="D429" t="str">
            <v>MX-94 BLUE TDC VN-20KSP</v>
          </cell>
          <cell r="E429" t="str">
            <v>ZFGD</v>
          </cell>
          <cell r="F429" t="str">
            <v>SET</v>
          </cell>
          <cell r="G429" t="str">
            <v>5</v>
          </cell>
          <cell r="H429" t="str">
            <v>PROJECT</v>
          </cell>
          <cell r="I429" t="str">
            <v>56</v>
          </cell>
          <cell r="J429" t="str">
            <v>CPC1</v>
          </cell>
          <cell r="K429" t="str">
            <v>5603</v>
          </cell>
          <cell r="L429" t="str">
            <v>MULTIPOX</v>
          </cell>
          <cell r="M429" t="str">
            <v>560301</v>
          </cell>
          <cell r="N429" t="str">
            <v>MULTIPOX</v>
          </cell>
        </row>
        <row r="430">
          <cell r="C430" t="str">
            <v>100001419</v>
          </cell>
          <cell r="D430" t="str">
            <v>MX-94 BLUE TDC VN-16KP</v>
          </cell>
          <cell r="E430" t="str">
            <v>ZFGD</v>
          </cell>
          <cell r="F430" t="str">
            <v>PC</v>
          </cell>
          <cell r="G430" t="str">
            <v>5</v>
          </cell>
          <cell r="H430" t="str">
            <v>PROJECT</v>
          </cell>
          <cell r="I430" t="str">
            <v>56</v>
          </cell>
          <cell r="J430" t="str">
            <v>CPC1</v>
          </cell>
          <cell r="K430" t="str">
            <v>5603</v>
          </cell>
          <cell r="L430" t="str">
            <v>MULTIPOX</v>
          </cell>
          <cell r="M430" t="str">
            <v>560301</v>
          </cell>
          <cell r="N430" t="str">
            <v>MULTIPOX</v>
          </cell>
        </row>
        <row r="431">
          <cell r="C431" t="str">
            <v>100001420</v>
          </cell>
          <cell r="D431" t="str">
            <v>MX-94 GREEN RAL 6019 VN-5KS</v>
          </cell>
          <cell r="E431" t="str">
            <v>ZFGD</v>
          </cell>
          <cell r="F431" t="str">
            <v>SET</v>
          </cell>
          <cell r="G431" t="str">
            <v>5</v>
          </cell>
          <cell r="H431" t="str">
            <v>PROJECT</v>
          </cell>
          <cell r="I431" t="str">
            <v>56</v>
          </cell>
          <cell r="J431" t="str">
            <v>CPC1</v>
          </cell>
          <cell r="K431" t="str">
            <v>5603</v>
          </cell>
          <cell r="L431" t="str">
            <v>MULTIPOX</v>
          </cell>
          <cell r="M431" t="str">
            <v>560301</v>
          </cell>
          <cell r="N431" t="str">
            <v>MULTIPOX</v>
          </cell>
        </row>
        <row r="432">
          <cell r="C432" t="str">
            <v>100001421</v>
          </cell>
          <cell r="D432" t="str">
            <v>MX-94 GREEN RAL 6019 VN-4K</v>
          </cell>
          <cell r="E432" t="str">
            <v>ZFGD</v>
          </cell>
          <cell r="F432" t="str">
            <v>PC</v>
          </cell>
          <cell r="G432" t="str">
            <v>5</v>
          </cell>
          <cell r="H432" t="str">
            <v>PROJECT</v>
          </cell>
          <cell r="I432" t="str">
            <v>56</v>
          </cell>
          <cell r="J432" t="str">
            <v>CPC1</v>
          </cell>
          <cell r="K432" t="str">
            <v>5603</v>
          </cell>
          <cell r="L432" t="str">
            <v>MULTIPOX</v>
          </cell>
          <cell r="M432" t="str">
            <v>560301</v>
          </cell>
          <cell r="N432" t="str">
            <v>MULTIPOX</v>
          </cell>
        </row>
        <row r="433">
          <cell r="C433" t="str">
            <v>100001422</v>
          </cell>
          <cell r="D433" t="str">
            <v>MX-94 GREEN RAL 6019 VN-20KSP</v>
          </cell>
          <cell r="E433" t="str">
            <v>ZFGD</v>
          </cell>
          <cell r="F433" t="str">
            <v>SET</v>
          </cell>
          <cell r="G433" t="str">
            <v>5</v>
          </cell>
          <cell r="H433" t="str">
            <v>PROJECT</v>
          </cell>
          <cell r="I433" t="str">
            <v>56</v>
          </cell>
          <cell r="J433" t="str">
            <v>CPC1</v>
          </cell>
          <cell r="K433" t="str">
            <v>5603</v>
          </cell>
          <cell r="L433" t="str">
            <v>MULTIPOX</v>
          </cell>
          <cell r="M433" t="str">
            <v>560301</v>
          </cell>
          <cell r="N433" t="str">
            <v>MULTIPOX</v>
          </cell>
        </row>
        <row r="434">
          <cell r="C434" t="str">
            <v>100001423</v>
          </cell>
          <cell r="D434" t="str">
            <v>MX-94 GREEN RAL 6019 VN-16KP</v>
          </cell>
          <cell r="E434" t="str">
            <v>ZFGD</v>
          </cell>
          <cell r="F434" t="str">
            <v>PC</v>
          </cell>
          <cell r="G434" t="str">
            <v>5</v>
          </cell>
          <cell r="H434" t="str">
            <v>PROJECT</v>
          </cell>
          <cell r="I434" t="str">
            <v>56</v>
          </cell>
          <cell r="J434" t="str">
            <v>CPC1</v>
          </cell>
          <cell r="K434" t="str">
            <v>5603</v>
          </cell>
          <cell r="L434" t="str">
            <v>MULTIPOX</v>
          </cell>
          <cell r="M434" t="str">
            <v>560301</v>
          </cell>
          <cell r="N434" t="str">
            <v>MULTIPOX</v>
          </cell>
        </row>
        <row r="435">
          <cell r="C435" t="str">
            <v>100001424</v>
          </cell>
          <cell r="D435" t="str">
            <v>MX-94 RAL 7040 VN-5KS</v>
          </cell>
          <cell r="E435" t="str">
            <v>ZFGD</v>
          </cell>
          <cell r="F435" t="str">
            <v>SET</v>
          </cell>
          <cell r="G435" t="str">
            <v>5</v>
          </cell>
          <cell r="H435" t="str">
            <v>PROJECT</v>
          </cell>
          <cell r="I435" t="str">
            <v>56</v>
          </cell>
          <cell r="J435" t="str">
            <v>CPC1</v>
          </cell>
          <cell r="K435" t="str">
            <v>5603</v>
          </cell>
          <cell r="L435" t="str">
            <v>MULTIPOX</v>
          </cell>
          <cell r="M435" t="str">
            <v>560301</v>
          </cell>
          <cell r="N435" t="str">
            <v>MULTIPOX</v>
          </cell>
        </row>
        <row r="436">
          <cell r="C436" t="str">
            <v>100001425</v>
          </cell>
          <cell r="D436" t="str">
            <v>MX-94 RAL 7040 VN-4K</v>
          </cell>
          <cell r="E436" t="str">
            <v>ZFGD</v>
          </cell>
          <cell r="F436" t="str">
            <v>PC</v>
          </cell>
          <cell r="G436" t="str">
            <v>5</v>
          </cell>
          <cell r="H436" t="str">
            <v>PROJECT</v>
          </cell>
          <cell r="I436" t="str">
            <v>56</v>
          </cell>
          <cell r="J436" t="str">
            <v>CPC1</v>
          </cell>
          <cell r="K436" t="str">
            <v>5603</v>
          </cell>
          <cell r="L436" t="str">
            <v>MULTIPOX</v>
          </cell>
          <cell r="M436" t="str">
            <v>560301</v>
          </cell>
          <cell r="N436" t="str">
            <v>MULTIPOX</v>
          </cell>
        </row>
        <row r="437">
          <cell r="C437" t="str">
            <v>100001426</v>
          </cell>
          <cell r="D437" t="str">
            <v>MX-94 RAL 7040 VN-20KSP</v>
          </cell>
          <cell r="E437" t="str">
            <v>ZFGD</v>
          </cell>
          <cell r="F437" t="str">
            <v>SET</v>
          </cell>
          <cell r="G437" t="str">
            <v>5</v>
          </cell>
          <cell r="H437" t="str">
            <v>PROJECT</v>
          </cell>
          <cell r="I437" t="str">
            <v>56</v>
          </cell>
          <cell r="J437" t="str">
            <v>CPC1</v>
          </cell>
          <cell r="K437" t="str">
            <v>5603</v>
          </cell>
          <cell r="L437" t="str">
            <v>MULTIPOX</v>
          </cell>
          <cell r="M437" t="str">
            <v>560301</v>
          </cell>
          <cell r="N437" t="str">
            <v>MULTIPOX</v>
          </cell>
        </row>
        <row r="438">
          <cell r="C438" t="str">
            <v>100001427</v>
          </cell>
          <cell r="D438" t="str">
            <v>MX-94 RAL 7040 VN-16KP</v>
          </cell>
          <cell r="E438" t="str">
            <v>ZFGD</v>
          </cell>
          <cell r="F438" t="str">
            <v>PC</v>
          </cell>
          <cell r="G438" t="str">
            <v>5</v>
          </cell>
          <cell r="H438" t="str">
            <v>PROJECT</v>
          </cell>
          <cell r="I438" t="str">
            <v>56</v>
          </cell>
          <cell r="J438" t="str">
            <v>CPC1</v>
          </cell>
          <cell r="K438" t="str">
            <v>5603</v>
          </cell>
          <cell r="L438" t="str">
            <v>MULTIPOX</v>
          </cell>
          <cell r="M438" t="str">
            <v>560301</v>
          </cell>
          <cell r="N438" t="str">
            <v>MULTIPOX</v>
          </cell>
        </row>
        <row r="439">
          <cell r="C439" t="str">
            <v>100001428</v>
          </cell>
          <cell r="D439" t="str">
            <v>MX-94 BLUE RAL 5015 VN-5KS</v>
          </cell>
          <cell r="E439" t="str">
            <v>ZFGD</v>
          </cell>
          <cell r="F439" t="str">
            <v>SET</v>
          </cell>
          <cell r="G439" t="str">
            <v>5</v>
          </cell>
          <cell r="H439" t="str">
            <v>PROJECT</v>
          </cell>
          <cell r="I439" t="str">
            <v>56</v>
          </cell>
          <cell r="J439" t="str">
            <v>CPC1</v>
          </cell>
          <cell r="K439" t="str">
            <v>5603</v>
          </cell>
          <cell r="L439" t="str">
            <v>MULTIPOX</v>
          </cell>
          <cell r="M439" t="str">
            <v>560301</v>
          </cell>
          <cell r="N439" t="str">
            <v>MULTIPOX</v>
          </cell>
        </row>
        <row r="440">
          <cell r="C440" t="str">
            <v>100001429</v>
          </cell>
          <cell r="D440" t="str">
            <v>MX-94 BLUE RAL 5015 VN-4K</v>
          </cell>
          <cell r="E440" t="str">
            <v>ZFGD</v>
          </cell>
          <cell r="F440" t="str">
            <v>PC</v>
          </cell>
          <cell r="G440" t="str">
            <v>5</v>
          </cell>
          <cell r="H440" t="str">
            <v>PROJECT</v>
          </cell>
          <cell r="I440" t="str">
            <v>56</v>
          </cell>
          <cell r="J440" t="str">
            <v>CPC1</v>
          </cell>
          <cell r="K440" t="str">
            <v>5603</v>
          </cell>
          <cell r="L440" t="str">
            <v>MULTIPOX</v>
          </cell>
          <cell r="M440" t="str">
            <v>560301</v>
          </cell>
          <cell r="N440" t="str">
            <v>MULTIPOX</v>
          </cell>
        </row>
        <row r="441">
          <cell r="C441" t="str">
            <v>100001430</v>
          </cell>
          <cell r="D441" t="str">
            <v>MX-94 BLUE RAL 5015 VN-20KSP</v>
          </cell>
          <cell r="E441" t="str">
            <v>ZFGD</v>
          </cell>
          <cell r="F441" t="str">
            <v>SET</v>
          </cell>
          <cell r="G441" t="str">
            <v>5</v>
          </cell>
          <cell r="H441" t="str">
            <v>PROJECT</v>
          </cell>
          <cell r="I441" t="str">
            <v>56</v>
          </cell>
          <cell r="J441" t="str">
            <v>CPC1</v>
          </cell>
          <cell r="K441" t="str">
            <v>5603</v>
          </cell>
          <cell r="L441" t="str">
            <v>MULTIPOX</v>
          </cell>
          <cell r="M441" t="str">
            <v>560301</v>
          </cell>
          <cell r="N441" t="str">
            <v>MULTIPOX</v>
          </cell>
        </row>
        <row r="442">
          <cell r="C442" t="str">
            <v>100001431</v>
          </cell>
          <cell r="D442" t="str">
            <v>MX-94 BLUE RAL 5015 VN-16KP</v>
          </cell>
          <cell r="E442" t="str">
            <v>ZFGD</v>
          </cell>
          <cell r="F442" t="str">
            <v>PC</v>
          </cell>
          <cell r="G442" t="str">
            <v>5</v>
          </cell>
          <cell r="H442" t="str">
            <v>PROJECT</v>
          </cell>
          <cell r="I442" t="str">
            <v>56</v>
          </cell>
          <cell r="J442" t="str">
            <v>CPC1</v>
          </cell>
          <cell r="K442" t="str">
            <v>5603</v>
          </cell>
          <cell r="L442" t="str">
            <v>MULTIPOX</v>
          </cell>
          <cell r="M442" t="str">
            <v>560301</v>
          </cell>
          <cell r="N442" t="str">
            <v>MULTIPOX</v>
          </cell>
        </row>
        <row r="443">
          <cell r="C443" t="str">
            <v>100001432</v>
          </cell>
          <cell r="D443" t="str">
            <v>MX-94 PUMPKIN TDC VN-5KS</v>
          </cell>
          <cell r="E443" t="str">
            <v>ZFGD</v>
          </cell>
          <cell r="F443" t="str">
            <v>SET</v>
          </cell>
          <cell r="G443" t="str">
            <v>5</v>
          </cell>
          <cell r="H443" t="str">
            <v>PROJECT</v>
          </cell>
          <cell r="I443" t="str">
            <v>56</v>
          </cell>
          <cell r="J443" t="str">
            <v>CPC1</v>
          </cell>
          <cell r="K443" t="str">
            <v>5603</v>
          </cell>
          <cell r="L443" t="str">
            <v>MULTIPOX</v>
          </cell>
          <cell r="M443" t="str">
            <v>560301</v>
          </cell>
          <cell r="N443" t="str">
            <v>MULTIPOX</v>
          </cell>
        </row>
        <row r="444">
          <cell r="C444" t="str">
            <v>100001433</v>
          </cell>
          <cell r="D444" t="str">
            <v>MX-94 PUMPKIN TDC VN-4K</v>
          </cell>
          <cell r="E444" t="str">
            <v>ZFGD</v>
          </cell>
          <cell r="F444" t="str">
            <v>PC</v>
          </cell>
          <cell r="G444" t="str">
            <v>5</v>
          </cell>
          <cell r="H444" t="str">
            <v>PROJECT</v>
          </cell>
          <cell r="I444" t="str">
            <v>56</v>
          </cell>
          <cell r="J444" t="str">
            <v>CPC1</v>
          </cell>
          <cell r="K444" t="str">
            <v>5603</v>
          </cell>
          <cell r="L444" t="str">
            <v>MULTIPOX</v>
          </cell>
          <cell r="M444" t="str">
            <v>560301</v>
          </cell>
          <cell r="N444" t="str">
            <v>MULTIPOX</v>
          </cell>
        </row>
        <row r="445">
          <cell r="C445" t="str">
            <v>100001434</v>
          </cell>
          <cell r="D445" t="str">
            <v>MX-94 PUMPKIN TDC VN-20KSP</v>
          </cell>
          <cell r="E445" t="str">
            <v>ZFGD</v>
          </cell>
          <cell r="F445" t="str">
            <v>SET</v>
          </cell>
          <cell r="G445" t="str">
            <v>5</v>
          </cell>
          <cell r="H445" t="str">
            <v>PROJECT</v>
          </cell>
          <cell r="I445" t="str">
            <v>56</v>
          </cell>
          <cell r="J445" t="str">
            <v>CPC1</v>
          </cell>
          <cell r="K445" t="str">
            <v>5603</v>
          </cell>
          <cell r="L445" t="str">
            <v>MULTIPOX</v>
          </cell>
          <cell r="M445" t="str">
            <v>560301</v>
          </cell>
          <cell r="N445" t="str">
            <v>MULTIPOX</v>
          </cell>
        </row>
        <row r="446">
          <cell r="C446" t="str">
            <v>100001435</v>
          </cell>
          <cell r="D446" t="str">
            <v>MX-94 PUMPKIN TDC VN-16KP</v>
          </cell>
          <cell r="E446" t="str">
            <v>ZFGD</v>
          </cell>
          <cell r="F446" t="str">
            <v>PC</v>
          </cell>
          <cell r="G446" t="str">
            <v>5</v>
          </cell>
          <cell r="H446" t="str">
            <v>PROJECT</v>
          </cell>
          <cell r="I446" t="str">
            <v>56</v>
          </cell>
          <cell r="J446" t="str">
            <v>CPC1</v>
          </cell>
          <cell r="K446" t="str">
            <v>5603</v>
          </cell>
          <cell r="L446" t="str">
            <v>MULTIPOX</v>
          </cell>
          <cell r="M446" t="str">
            <v>560301</v>
          </cell>
          <cell r="N446" t="str">
            <v>MULTIPOX</v>
          </cell>
        </row>
        <row r="447">
          <cell r="C447" t="str">
            <v>100001436</v>
          </cell>
          <cell r="D447" t="str">
            <v>MX-94 DARK GREEN TDC VN-5KS</v>
          </cell>
          <cell r="E447" t="str">
            <v>ZFGD</v>
          </cell>
          <cell r="F447" t="str">
            <v>SET</v>
          </cell>
          <cell r="G447" t="str">
            <v>5</v>
          </cell>
          <cell r="H447" t="str">
            <v>PROJECT</v>
          </cell>
          <cell r="I447" t="str">
            <v>56</v>
          </cell>
          <cell r="J447" t="str">
            <v>CPC1</v>
          </cell>
          <cell r="K447" t="str">
            <v>5603</v>
          </cell>
          <cell r="L447" t="str">
            <v>MULTIPOX</v>
          </cell>
          <cell r="M447" t="str">
            <v>560301</v>
          </cell>
          <cell r="N447" t="str">
            <v>MULTIPOX</v>
          </cell>
        </row>
        <row r="448">
          <cell r="C448" t="str">
            <v>100001437</v>
          </cell>
          <cell r="D448" t="str">
            <v>MX-94 DARK GREEN TDC VN-4K</v>
          </cell>
          <cell r="E448" t="str">
            <v>ZFGD</v>
          </cell>
          <cell r="F448" t="str">
            <v>PC</v>
          </cell>
          <cell r="G448" t="str">
            <v>5</v>
          </cell>
          <cell r="H448" t="str">
            <v>PROJECT</v>
          </cell>
          <cell r="I448" t="str">
            <v>56</v>
          </cell>
          <cell r="J448" t="str">
            <v>CPC1</v>
          </cell>
          <cell r="K448" t="str">
            <v>5603</v>
          </cell>
          <cell r="L448" t="str">
            <v>MULTIPOX</v>
          </cell>
          <cell r="M448" t="str">
            <v>560301</v>
          </cell>
          <cell r="N448" t="str">
            <v>MULTIPOX</v>
          </cell>
        </row>
        <row r="449">
          <cell r="C449" t="str">
            <v>100001438</v>
          </cell>
          <cell r="D449" t="str">
            <v>MX-94 DARK GREEN TDC VN-20KSP</v>
          </cell>
          <cell r="E449" t="str">
            <v>ZFGD</v>
          </cell>
          <cell r="F449" t="str">
            <v>SET</v>
          </cell>
          <cell r="G449" t="str">
            <v>5</v>
          </cell>
          <cell r="H449" t="str">
            <v>PROJECT</v>
          </cell>
          <cell r="I449" t="str">
            <v>56</v>
          </cell>
          <cell r="J449" t="str">
            <v>CPC1</v>
          </cell>
          <cell r="K449" t="str">
            <v>5603</v>
          </cell>
          <cell r="L449" t="str">
            <v>MULTIPOX</v>
          </cell>
          <cell r="M449" t="str">
            <v>560301</v>
          </cell>
          <cell r="N449" t="str">
            <v>MULTIPOX</v>
          </cell>
        </row>
        <row r="450">
          <cell r="C450" t="str">
            <v>100001439</v>
          </cell>
          <cell r="D450" t="str">
            <v>MX-94 DARK GREEN TDC VN-16KP</v>
          </cell>
          <cell r="E450" t="str">
            <v>ZFGD</v>
          </cell>
          <cell r="F450" t="str">
            <v>PC</v>
          </cell>
          <cell r="G450" t="str">
            <v>5</v>
          </cell>
          <cell r="H450" t="str">
            <v>PROJECT</v>
          </cell>
          <cell r="I450" t="str">
            <v>56</v>
          </cell>
          <cell r="J450" t="str">
            <v>CPC1</v>
          </cell>
          <cell r="K450" t="str">
            <v>5603</v>
          </cell>
          <cell r="L450" t="str">
            <v>MULTIPOX</v>
          </cell>
          <cell r="M450" t="str">
            <v>560301</v>
          </cell>
          <cell r="N450" t="str">
            <v>MULTIPOX</v>
          </cell>
        </row>
        <row r="451">
          <cell r="C451" t="str">
            <v>100001440</v>
          </cell>
          <cell r="D451" t="str">
            <v>MX-94 VC YELLOW VN-5KS</v>
          </cell>
          <cell r="E451" t="str">
            <v>ZFGD</v>
          </cell>
          <cell r="F451" t="str">
            <v>SET</v>
          </cell>
          <cell r="G451" t="str">
            <v>5</v>
          </cell>
          <cell r="H451" t="str">
            <v>PROJECT</v>
          </cell>
          <cell r="I451" t="str">
            <v>56</v>
          </cell>
          <cell r="J451" t="str">
            <v>CPC1</v>
          </cell>
          <cell r="K451" t="str">
            <v>5603</v>
          </cell>
          <cell r="L451" t="str">
            <v>MULTIPOX</v>
          </cell>
          <cell r="M451" t="str">
            <v>560301</v>
          </cell>
          <cell r="N451" t="str">
            <v>MULTIPOX</v>
          </cell>
        </row>
        <row r="452">
          <cell r="C452" t="str">
            <v>100001441</v>
          </cell>
          <cell r="D452" t="str">
            <v>MX-94 VC YELLOW VN-4K</v>
          </cell>
          <cell r="E452" t="str">
            <v>ZFGD</v>
          </cell>
          <cell r="F452" t="str">
            <v>PC</v>
          </cell>
          <cell r="G452" t="str">
            <v>5</v>
          </cell>
          <cell r="H452" t="str">
            <v>PROJECT</v>
          </cell>
          <cell r="I452" t="str">
            <v>56</v>
          </cell>
          <cell r="J452" t="str">
            <v>CPC1</v>
          </cell>
          <cell r="K452" t="str">
            <v>5603</v>
          </cell>
          <cell r="L452" t="str">
            <v>MULTIPOX</v>
          </cell>
          <cell r="M452" t="str">
            <v>560301</v>
          </cell>
          <cell r="N452" t="str">
            <v>MULTIPOX</v>
          </cell>
        </row>
        <row r="453">
          <cell r="C453" t="str">
            <v>100001442</v>
          </cell>
          <cell r="D453" t="str">
            <v>MX-94 VC YELLOW VN-20KSP</v>
          </cell>
          <cell r="E453" t="str">
            <v>ZFGD</v>
          </cell>
          <cell r="F453" t="str">
            <v>SET</v>
          </cell>
          <cell r="G453" t="str">
            <v>5</v>
          </cell>
          <cell r="H453" t="str">
            <v>PROJECT</v>
          </cell>
          <cell r="I453" t="str">
            <v>56</v>
          </cell>
          <cell r="J453" t="str">
            <v>CPC1</v>
          </cell>
          <cell r="K453" t="str">
            <v>5603</v>
          </cell>
          <cell r="L453" t="str">
            <v>MULTIPOX</v>
          </cell>
          <cell r="M453" t="str">
            <v>560301</v>
          </cell>
          <cell r="N453" t="str">
            <v>MULTIPOX</v>
          </cell>
        </row>
        <row r="454">
          <cell r="C454" t="str">
            <v>100001443</v>
          </cell>
          <cell r="D454" t="str">
            <v>MX-94 VC YELLOW VN-16KP</v>
          </cell>
          <cell r="E454" t="str">
            <v>ZFGD</v>
          </cell>
          <cell r="F454" t="str">
            <v>PC</v>
          </cell>
          <cell r="G454" t="str">
            <v>5</v>
          </cell>
          <cell r="H454" t="str">
            <v>PROJECT</v>
          </cell>
          <cell r="I454" t="str">
            <v>56</v>
          </cell>
          <cell r="J454" t="str">
            <v>CPC1</v>
          </cell>
          <cell r="K454" t="str">
            <v>5603</v>
          </cell>
          <cell r="L454" t="str">
            <v>MULTIPOX</v>
          </cell>
          <cell r="M454" t="str">
            <v>560301</v>
          </cell>
          <cell r="N454" t="str">
            <v>MULTIPOX</v>
          </cell>
        </row>
        <row r="455">
          <cell r="C455" t="str">
            <v>100001444</v>
          </cell>
          <cell r="D455" t="str">
            <v>MX-94 RAL 1023 VN-5KS</v>
          </cell>
          <cell r="E455" t="str">
            <v>ZFGD</v>
          </cell>
          <cell r="F455" t="str">
            <v>SET</v>
          </cell>
          <cell r="G455" t="str">
            <v>5</v>
          </cell>
          <cell r="H455" t="str">
            <v>PROJECT</v>
          </cell>
          <cell r="I455" t="str">
            <v>56</v>
          </cell>
          <cell r="J455" t="str">
            <v>CPC1</v>
          </cell>
          <cell r="K455" t="str">
            <v>5603</v>
          </cell>
          <cell r="L455" t="str">
            <v>MULTIPOX</v>
          </cell>
          <cell r="M455" t="str">
            <v>560301</v>
          </cell>
          <cell r="N455" t="str">
            <v>MULTIPOX</v>
          </cell>
        </row>
        <row r="456">
          <cell r="C456" t="str">
            <v>100001445</v>
          </cell>
          <cell r="D456" t="str">
            <v>MX-94 RAL 1023 VN-4K</v>
          </cell>
          <cell r="E456" t="str">
            <v>ZFGD</v>
          </cell>
          <cell r="F456" t="str">
            <v>PC</v>
          </cell>
          <cell r="G456" t="str">
            <v>5</v>
          </cell>
          <cell r="H456" t="str">
            <v>PROJECT</v>
          </cell>
          <cell r="I456" t="str">
            <v>56</v>
          </cell>
          <cell r="J456" t="str">
            <v>CPC1</v>
          </cell>
          <cell r="K456" t="str">
            <v>5603</v>
          </cell>
          <cell r="L456" t="str">
            <v>MULTIPOX</v>
          </cell>
          <cell r="M456" t="str">
            <v>560301</v>
          </cell>
          <cell r="N456" t="str">
            <v>MULTIPOX</v>
          </cell>
        </row>
        <row r="457">
          <cell r="C457" t="str">
            <v>100001446</v>
          </cell>
          <cell r="D457" t="str">
            <v>MX-94 RAL 1023 VN-20KSP</v>
          </cell>
          <cell r="E457" t="str">
            <v>ZFGD</v>
          </cell>
          <cell r="F457" t="str">
            <v>SET</v>
          </cell>
          <cell r="G457" t="str">
            <v>5</v>
          </cell>
          <cell r="H457" t="str">
            <v>PROJECT</v>
          </cell>
          <cell r="I457" t="str">
            <v>56</v>
          </cell>
          <cell r="J457" t="str">
            <v>CPC1</v>
          </cell>
          <cell r="K457" t="str">
            <v>5603</v>
          </cell>
          <cell r="L457" t="str">
            <v>MULTIPOX</v>
          </cell>
          <cell r="M457" t="str">
            <v>560301</v>
          </cell>
          <cell r="N457" t="str">
            <v>MULTIPOX</v>
          </cell>
        </row>
        <row r="458">
          <cell r="C458" t="str">
            <v>100001447</v>
          </cell>
          <cell r="D458" t="str">
            <v>MX-94 RAL 1023 VN-16KP</v>
          </cell>
          <cell r="E458" t="str">
            <v>ZFGD</v>
          </cell>
          <cell r="F458" t="str">
            <v>PC</v>
          </cell>
          <cell r="G458" t="str">
            <v>5</v>
          </cell>
          <cell r="H458" t="str">
            <v>PROJECT</v>
          </cell>
          <cell r="I458" t="str">
            <v>56</v>
          </cell>
          <cell r="J458" t="str">
            <v>CPC1</v>
          </cell>
          <cell r="K458" t="str">
            <v>5603</v>
          </cell>
          <cell r="L458" t="str">
            <v>MULTIPOX</v>
          </cell>
          <cell r="M458" t="str">
            <v>560301</v>
          </cell>
          <cell r="N458" t="str">
            <v>MULTIPOX</v>
          </cell>
        </row>
        <row r="459">
          <cell r="C459" t="str">
            <v>100001448</v>
          </cell>
          <cell r="D459" t="str">
            <v>MX-94 RAL 7042 VN-5KS</v>
          </cell>
          <cell r="E459" t="str">
            <v>ZFGD</v>
          </cell>
          <cell r="F459" t="str">
            <v>SET</v>
          </cell>
          <cell r="G459" t="str">
            <v>5</v>
          </cell>
          <cell r="H459" t="str">
            <v>PROJECT</v>
          </cell>
          <cell r="I459" t="str">
            <v>56</v>
          </cell>
          <cell r="J459" t="str">
            <v>CPC1</v>
          </cell>
          <cell r="K459" t="str">
            <v>5603</v>
          </cell>
          <cell r="L459" t="str">
            <v>MULTIPOX</v>
          </cell>
          <cell r="M459" t="str">
            <v>560301</v>
          </cell>
          <cell r="N459" t="str">
            <v>MULTIPOX</v>
          </cell>
        </row>
        <row r="460">
          <cell r="C460" t="str">
            <v>100001449</v>
          </cell>
          <cell r="D460" t="str">
            <v>MX-94 RAL 7042 VN-4K</v>
          </cell>
          <cell r="E460" t="str">
            <v>ZFGD</v>
          </cell>
          <cell r="F460" t="str">
            <v>PC</v>
          </cell>
          <cell r="G460" t="str">
            <v>5</v>
          </cell>
          <cell r="H460" t="str">
            <v>PROJECT</v>
          </cell>
          <cell r="I460" t="str">
            <v>56</v>
          </cell>
          <cell r="J460" t="str">
            <v>CPC1</v>
          </cell>
          <cell r="K460" t="str">
            <v>5603</v>
          </cell>
          <cell r="L460" t="str">
            <v>MULTIPOX</v>
          </cell>
          <cell r="M460" t="str">
            <v>560301</v>
          </cell>
          <cell r="N460" t="str">
            <v>MULTIPOX</v>
          </cell>
        </row>
        <row r="461">
          <cell r="C461" t="str">
            <v>100001450</v>
          </cell>
          <cell r="D461" t="str">
            <v>MX-94 RAL 7042 VN-20KSP</v>
          </cell>
          <cell r="E461" t="str">
            <v>ZFGD</v>
          </cell>
          <cell r="F461" t="str">
            <v>SET</v>
          </cell>
          <cell r="G461" t="str">
            <v>5</v>
          </cell>
          <cell r="H461" t="str">
            <v>PROJECT</v>
          </cell>
          <cell r="I461" t="str">
            <v>56</v>
          </cell>
          <cell r="J461" t="str">
            <v>CPC1</v>
          </cell>
          <cell r="K461" t="str">
            <v>5603</v>
          </cell>
          <cell r="L461" t="str">
            <v>MULTIPOX</v>
          </cell>
          <cell r="M461" t="str">
            <v>560301</v>
          </cell>
          <cell r="N461" t="str">
            <v>MULTIPOX</v>
          </cell>
        </row>
        <row r="462">
          <cell r="C462" t="str">
            <v>100001451</v>
          </cell>
          <cell r="D462" t="str">
            <v>MX-94 RAL 7042 VN-16KP</v>
          </cell>
          <cell r="E462" t="str">
            <v>ZFGD</v>
          </cell>
          <cell r="F462" t="str">
            <v>PC</v>
          </cell>
          <cell r="G462" t="str">
            <v>5</v>
          </cell>
          <cell r="H462" t="str">
            <v>PROJECT</v>
          </cell>
          <cell r="I462" t="str">
            <v>56</v>
          </cell>
          <cell r="J462" t="str">
            <v>CPC1</v>
          </cell>
          <cell r="K462" t="str">
            <v>5603</v>
          </cell>
          <cell r="L462" t="str">
            <v>MULTIPOX</v>
          </cell>
          <cell r="M462" t="str">
            <v>560301</v>
          </cell>
          <cell r="N462" t="str">
            <v>MULTIPOX</v>
          </cell>
        </row>
        <row r="463">
          <cell r="C463" t="str">
            <v>100001452</v>
          </cell>
          <cell r="D463" t="str">
            <v>MX-94 RAL 6001 VN-5KS</v>
          </cell>
          <cell r="E463" t="str">
            <v>ZFGD</v>
          </cell>
          <cell r="F463" t="str">
            <v>SET</v>
          </cell>
          <cell r="G463" t="str">
            <v>5</v>
          </cell>
          <cell r="H463" t="str">
            <v>PROJECT</v>
          </cell>
          <cell r="I463" t="str">
            <v>56</v>
          </cell>
          <cell r="J463" t="str">
            <v>CPC1</v>
          </cell>
          <cell r="K463" t="str">
            <v>5603</v>
          </cell>
          <cell r="L463" t="str">
            <v>MULTIPOX</v>
          </cell>
          <cell r="M463" t="str">
            <v>560301</v>
          </cell>
          <cell r="N463" t="str">
            <v>MULTIPOX</v>
          </cell>
        </row>
        <row r="464">
          <cell r="C464" t="str">
            <v>100001453</v>
          </cell>
          <cell r="D464" t="str">
            <v>MX-94 RAL 6001 VN-4K</v>
          </cell>
          <cell r="E464" t="str">
            <v>ZFGD</v>
          </cell>
          <cell r="F464" t="str">
            <v>PC</v>
          </cell>
          <cell r="G464" t="str">
            <v>5</v>
          </cell>
          <cell r="H464" t="str">
            <v>PROJECT</v>
          </cell>
          <cell r="I464" t="str">
            <v>56</v>
          </cell>
          <cell r="J464" t="str">
            <v>CPC1</v>
          </cell>
          <cell r="K464" t="str">
            <v>5603</v>
          </cell>
          <cell r="L464" t="str">
            <v>MULTIPOX</v>
          </cell>
          <cell r="M464" t="str">
            <v>560301</v>
          </cell>
          <cell r="N464" t="str">
            <v>MULTIPOX</v>
          </cell>
        </row>
        <row r="465">
          <cell r="C465" t="str">
            <v>100001454</v>
          </cell>
          <cell r="D465" t="str">
            <v>MX-94 RAL 6001 VN-20KSP</v>
          </cell>
          <cell r="E465" t="str">
            <v>ZFGD</v>
          </cell>
          <cell r="F465" t="str">
            <v>SET</v>
          </cell>
          <cell r="G465" t="str">
            <v>5</v>
          </cell>
          <cell r="H465" t="str">
            <v>PROJECT</v>
          </cell>
          <cell r="I465" t="str">
            <v>56</v>
          </cell>
          <cell r="J465" t="str">
            <v>CPC1</v>
          </cell>
          <cell r="K465" t="str">
            <v>5603</v>
          </cell>
          <cell r="L465" t="str">
            <v>MULTIPOX</v>
          </cell>
          <cell r="M465" t="str">
            <v>560301</v>
          </cell>
          <cell r="N465" t="str">
            <v>MULTIPOX</v>
          </cell>
        </row>
        <row r="466">
          <cell r="C466" t="str">
            <v>100001455</v>
          </cell>
          <cell r="D466" t="str">
            <v>MX-94 RAL 6001 VN-16KP</v>
          </cell>
          <cell r="E466" t="str">
            <v>ZFGD</v>
          </cell>
          <cell r="F466" t="str">
            <v>PC</v>
          </cell>
          <cell r="G466" t="str">
            <v>5</v>
          </cell>
          <cell r="H466" t="str">
            <v>PROJECT</v>
          </cell>
          <cell r="I466" t="str">
            <v>56</v>
          </cell>
          <cell r="J466" t="str">
            <v>CPC1</v>
          </cell>
          <cell r="K466" t="str">
            <v>5603</v>
          </cell>
          <cell r="L466" t="str">
            <v>MULTIPOX</v>
          </cell>
          <cell r="M466" t="str">
            <v>560301</v>
          </cell>
          <cell r="N466" t="str">
            <v>MULTIPOX</v>
          </cell>
        </row>
        <row r="467">
          <cell r="C467" t="str">
            <v>100001456</v>
          </cell>
          <cell r="D467" t="str">
            <v>MX-94 AVOCADO VN-5KS</v>
          </cell>
          <cell r="E467" t="str">
            <v>ZFGD</v>
          </cell>
          <cell r="F467" t="str">
            <v>SET</v>
          </cell>
          <cell r="G467" t="str">
            <v>5</v>
          </cell>
          <cell r="H467" t="str">
            <v>PROJECT</v>
          </cell>
          <cell r="I467" t="str">
            <v>56</v>
          </cell>
          <cell r="J467" t="str">
            <v>CPC1</v>
          </cell>
          <cell r="K467" t="str">
            <v>5603</v>
          </cell>
          <cell r="L467" t="str">
            <v>MULTIPOX</v>
          </cell>
          <cell r="M467" t="str">
            <v>560301</v>
          </cell>
          <cell r="N467" t="str">
            <v>MULTIPOX</v>
          </cell>
        </row>
        <row r="468">
          <cell r="C468" t="str">
            <v>100001457</v>
          </cell>
          <cell r="D468" t="str">
            <v>MX-94 AVOCADO VN-4K</v>
          </cell>
          <cell r="E468" t="str">
            <v>ZFGD</v>
          </cell>
          <cell r="F468" t="str">
            <v>PC</v>
          </cell>
          <cell r="G468" t="str">
            <v>5</v>
          </cell>
          <cell r="H468" t="str">
            <v>PROJECT</v>
          </cell>
          <cell r="I468" t="str">
            <v>56</v>
          </cell>
          <cell r="J468" t="str">
            <v>CPC1</v>
          </cell>
          <cell r="K468" t="str">
            <v>5603</v>
          </cell>
          <cell r="L468" t="str">
            <v>MULTIPOX</v>
          </cell>
          <cell r="M468" t="str">
            <v>560301</v>
          </cell>
          <cell r="N468" t="str">
            <v>MULTIPOX</v>
          </cell>
        </row>
        <row r="469">
          <cell r="C469" t="str">
            <v>100001458</v>
          </cell>
          <cell r="D469" t="str">
            <v>MX-94 AVOCADO VN-20KSP</v>
          </cell>
          <cell r="E469" t="str">
            <v>ZFGD</v>
          </cell>
          <cell r="F469" t="str">
            <v>SET</v>
          </cell>
          <cell r="G469" t="str">
            <v>5</v>
          </cell>
          <cell r="H469" t="str">
            <v>PROJECT</v>
          </cell>
          <cell r="I469" t="str">
            <v>56</v>
          </cell>
          <cell r="J469" t="str">
            <v>CPC1</v>
          </cell>
          <cell r="K469" t="str">
            <v>5603</v>
          </cell>
          <cell r="L469" t="str">
            <v>MULTIPOX</v>
          </cell>
          <cell r="M469" t="str">
            <v>560301</v>
          </cell>
          <cell r="N469" t="str">
            <v>MULTIPOX</v>
          </cell>
        </row>
        <row r="470">
          <cell r="C470" t="str">
            <v>100001459</v>
          </cell>
          <cell r="D470" t="str">
            <v>MX-94 AVOCADO VN-16KP</v>
          </cell>
          <cell r="E470" t="str">
            <v>ZFGD</v>
          </cell>
          <cell r="F470" t="str">
            <v>PC</v>
          </cell>
          <cell r="G470" t="str">
            <v>5</v>
          </cell>
          <cell r="H470" t="str">
            <v>PROJECT</v>
          </cell>
          <cell r="I470" t="str">
            <v>56</v>
          </cell>
          <cell r="J470" t="str">
            <v>CPC1</v>
          </cell>
          <cell r="K470" t="str">
            <v>5603</v>
          </cell>
          <cell r="L470" t="str">
            <v>MULTIPOX</v>
          </cell>
          <cell r="M470" t="str">
            <v>560301</v>
          </cell>
          <cell r="N470" t="str">
            <v>MULTIPOX</v>
          </cell>
        </row>
        <row r="471">
          <cell r="C471" t="str">
            <v>100001460</v>
          </cell>
          <cell r="D471" t="str">
            <v>MX-99 BLACK VN-1KS</v>
          </cell>
          <cell r="E471" t="str">
            <v>ZFGD</v>
          </cell>
          <cell r="F471" t="str">
            <v>SET</v>
          </cell>
          <cell r="G471" t="str">
            <v>2</v>
          </cell>
          <cell r="H471" t="str">
            <v>RETAIL</v>
          </cell>
          <cell r="I471" t="str">
            <v>27</v>
          </cell>
          <cell r="J471" t="str">
            <v>CPC1</v>
          </cell>
          <cell r="K471" t="str">
            <v>2703</v>
          </cell>
          <cell r="L471" t="str">
            <v>MULTIPOX</v>
          </cell>
          <cell r="M471" t="str">
            <v>270302</v>
          </cell>
          <cell r="N471" t="str">
            <v>MULTIPOX BASE</v>
          </cell>
        </row>
        <row r="472">
          <cell r="C472" t="str">
            <v>100001461</v>
          </cell>
          <cell r="D472" t="str">
            <v>MX-99 BLACK VN-0.6K</v>
          </cell>
          <cell r="E472" t="str">
            <v>ZFGD</v>
          </cell>
          <cell r="F472" t="str">
            <v>PC</v>
          </cell>
          <cell r="G472" t="str">
            <v>2</v>
          </cell>
          <cell r="H472" t="str">
            <v>RETAIL</v>
          </cell>
          <cell r="I472" t="str">
            <v>27</v>
          </cell>
          <cell r="J472" t="str">
            <v>CPC1</v>
          </cell>
          <cell r="K472" t="str">
            <v>2703</v>
          </cell>
          <cell r="L472" t="str">
            <v>MULTIPOX</v>
          </cell>
          <cell r="M472" t="str">
            <v>270302</v>
          </cell>
          <cell r="N472" t="str">
            <v>MULTIPOX BASE</v>
          </cell>
        </row>
        <row r="473">
          <cell r="C473" t="str">
            <v>100001462</v>
          </cell>
          <cell r="D473" t="str">
            <v>MX-99 BLACK VN-4KS</v>
          </cell>
          <cell r="E473" t="str">
            <v>ZFGD</v>
          </cell>
          <cell r="F473" t="str">
            <v>SET</v>
          </cell>
          <cell r="G473" t="str">
            <v>2</v>
          </cell>
          <cell r="H473" t="str">
            <v>RETAIL</v>
          </cell>
          <cell r="I473" t="str">
            <v>27</v>
          </cell>
          <cell r="J473" t="str">
            <v>CPC1</v>
          </cell>
          <cell r="K473" t="str">
            <v>2703</v>
          </cell>
          <cell r="L473" t="str">
            <v>MULTIPOX</v>
          </cell>
          <cell r="M473" t="str">
            <v>270302</v>
          </cell>
          <cell r="N473" t="str">
            <v>MULTIPOX BASE</v>
          </cell>
        </row>
        <row r="474">
          <cell r="C474" t="str">
            <v>100001463</v>
          </cell>
          <cell r="D474" t="str">
            <v>MX-99 BLACK VN-3K</v>
          </cell>
          <cell r="E474" t="str">
            <v>ZFGD</v>
          </cell>
          <cell r="F474" t="str">
            <v>PC</v>
          </cell>
          <cell r="G474" t="str">
            <v>2</v>
          </cell>
          <cell r="H474" t="str">
            <v>RETAIL</v>
          </cell>
          <cell r="I474" t="str">
            <v>27</v>
          </cell>
          <cell r="J474" t="str">
            <v>CPC1</v>
          </cell>
          <cell r="K474" t="str">
            <v>2703</v>
          </cell>
          <cell r="L474" t="str">
            <v>MULTIPOX</v>
          </cell>
          <cell r="M474" t="str">
            <v>270302</v>
          </cell>
          <cell r="N474" t="str">
            <v>MULTIPOX BASE</v>
          </cell>
        </row>
        <row r="475">
          <cell r="C475" t="str">
            <v>100001464</v>
          </cell>
          <cell r="D475" t="str">
            <v>MX-99 BLACK VN-20KSP</v>
          </cell>
          <cell r="E475" t="str">
            <v>ZFGD</v>
          </cell>
          <cell r="F475" t="str">
            <v>SET</v>
          </cell>
          <cell r="G475" t="str">
            <v>2</v>
          </cell>
          <cell r="H475" t="str">
            <v>RETAIL</v>
          </cell>
          <cell r="I475" t="str">
            <v>27</v>
          </cell>
          <cell r="J475" t="str">
            <v>CPC1</v>
          </cell>
          <cell r="K475" t="str">
            <v>2703</v>
          </cell>
          <cell r="L475" t="str">
            <v>MULTIPOX</v>
          </cell>
          <cell r="M475" t="str">
            <v>270302</v>
          </cell>
          <cell r="N475" t="str">
            <v>MULTIPOX BASE</v>
          </cell>
        </row>
        <row r="476">
          <cell r="C476" t="str">
            <v>100001465</v>
          </cell>
          <cell r="D476" t="str">
            <v>MX-99 BLACK VN-15KP</v>
          </cell>
          <cell r="E476" t="str">
            <v>ZFGD</v>
          </cell>
          <cell r="F476" t="str">
            <v>PC</v>
          </cell>
          <cell r="G476" t="str">
            <v>2</v>
          </cell>
          <cell r="H476" t="str">
            <v>RETAIL</v>
          </cell>
          <cell r="I476" t="str">
            <v>27</v>
          </cell>
          <cell r="J476" t="str">
            <v>CPC1</v>
          </cell>
          <cell r="K476" t="str">
            <v>2703</v>
          </cell>
          <cell r="L476" t="str">
            <v>MULTIPOX</v>
          </cell>
          <cell r="M476" t="str">
            <v>270302</v>
          </cell>
          <cell r="N476" t="str">
            <v>MULTIPOX BASE</v>
          </cell>
        </row>
        <row r="477">
          <cell r="C477" t="str">
            <v>100001466</v>
          </cell>
          <cell r="D477" t="str">
            <v>MX-99 BLACK VN-30KSP</v>
          </cell>
          <cell r="E477" t="str">
            <v>ZFGD</v>
          </cell>
          <cell r="F477" t="str">
            <v>SET</v>
          </cell>
          <cell r="G477" t="str">
            <v>2</v>
          </cell>
          <cell r="H477" t="str">
            <v>RETAIL</v>
          </cell>
          <cell r="I477" t="str">
            <v>27</v>
          </cell>
          <cell r="J477" t="str">
            <v>CPC1</v>
          </cell>
          <cell r="K477" t="str">
            <v>2703</v>
          </cell>
          <cell r="L477" t="str">
            <v>MULTIPOX</v>
          </cell>
          <cell r="M477" t="str">
            <v>270302</v>
          </cell>
          <cell r="N477" t="str">
            <v>MULTIPOX BASE</v>
          </cell>
        </row>
        <row r="478">
          <cell r="C478" t="str">
            <v>100001467</v>
          </cell>
          <cell r="D478" t="str">
            <v>MX-99 BLACK VN-22.5KP</v>
          </cell>
          <cell r="E478" t="str">
            <v>ZFGD</v>
          </cell>
          <cell r="F478" t="str">
            <v>PC</v>
          </cell>
          <cell r="G478" t="str">
            <v>2</v>
          </cell>
          <cell r="H478" t="str">
            <v>RETAIL</v>
          </cell>
          <cell r="I478" t="str">
            <v>27</v>
          </cell>
          <cell r="J478" t="str">
            <v>CPC1</v>
          </cell>
          <cell r="K478" t="str">
            <v>2703</v>
          </cell>
          <cell r="L478" t="str">
            <v>MULTIPOX</v>
          </cell>
          <cell r="M478" t="str">
            <v>270302</v>
          </cell>
          <cell r="N478" t="str">
            <v>MULTIPOX BASE</v>
          </cell>
        </row>
        <row r="479">
          <cell r="C479" t="str">
            <v>100001468</v>
          </cell>
          <cell r="D479" t="str">
            <v>MX-99 GENTIAN BLUE VN-1KS</v>
          </cell>
          <cell r="E479" t="str">
            <v>ZFGD</v>
          </cell>
          <cell r="F479" t="str">
            <v>SET</v>
          </cell>
          <cell r="G479" t="str">
            <v>2</v>
          </cell>
          <cell r="H479" t="str">
            <v>RETAIL</v>
          </cell>
          <cell r="I479" t="str">
            <v>27</v>
          </cell>
          <cell r="J479" t="str">
            <v>CPC1</v>
          </cell>
          <cell r="K479" t="str">
            <v>2703</v>
          </cell>
          <cell r="L479" t="str">
            <v>MULTIPOX</v>
          </cell>
          <cell r="M479" t="str">
            <v>270302</v>
          </cell>
          <cell r="N479" t="str">
            <v>MULTIPOX BASE</v>
          </cell>
        </row>
        <row r="480">
          <cell r="C480" t="str">
            <v>100001469</v>
          </cell>
          <cell r="D480" t="str">
            <v>MX-99 GENTIAN BLUE VN-0.6K</v>
          </cell>
          <cell r="E480" t="str">
            <v>ZFGD</v>
          </cell>
          <cell r="F480" t="str">
            <v>PC</v>
          </cell>
          <cell r="G480" t="str">
            <v>2</v>
          </cell>
          <cell r="H480" t="str">
            <v>RETAIL</v>
          </cell>
          <cell r="I480" t="str">
            <v>27</v>
          </cell>
          <cell r="J480" t="str">
            <v>CPC1</v>
          </cell>
          <cell r="K480" t="str">
            <v>2703</v>
          </cell>
          <cell r="L480" t="str">
            <v>MULTIPOX</v>
          </cell>
          <cell r="M480" t="str">
            <v>270302</v>
          </cell>
          <cell r="N480" t="str">
            <v>MULTIPOX BASE</v>
          </cell>
        </row>
        <row r="481">
          <cell r="C481" t="str">
            <v>100001470</v>
          </cell>
          <cell r="D481" t="str">
            <v>MX-99 GENTIAN BLUE VN-4KS</v>
          </cell>
          <cell r="E481" t="str">
            <v>ZFGD</v>
          </cell>
          <cell r="F481" t="str">
            <v>SET</v>
          </cell>
          <cell r="G481" t="str">
            <v>2</v>
          </cell>
          <cell r="H481" t="str">
            <v>RETAIL</v>
          </cell>
          <cell r="I481" t="str">
            <v>27</v>
          </cell>
          <cell r="J481" t="str">
            <v>CPC1</v>
          </cell>
          <cell r="K481" t="str">
            <v>2703</v>
          </cell>
          <cell r="L481" t="str">
            <v>MULTIPOX</v>
          </cell>
          <cell r="M481" t="str">
            <v>270302</v>
          </cell>
          <cell r="N481" t="str">
            <v>MULTIPOX BASE</v>
          </cell>
        </row>
        <row r="482">
          <cell r="C482" t="str">
            <v>100001471</v>
          </cell>
          <cell r="D482" t="str">
            <v>MX-99 GENTIAN BLUE VN-3K</v>
          </cell>
          <cell r="E482" t="str">
            <v>ZFGD</v>
          </cell>
          <cell r="F482" t="str">
            <v>PC</v>
          </cell>
          <cell r="G482" t="str">
            <v>2</v>
          </cell>
          <cell r="H482" t="str">
            <v>RETAIL</v>
          </cell>
          <cell r="I482" t="str">
            <v>27</v>
          </cell>
          <cell r="J482" t="str">
            <v>CPC1</v>
          </cell>
          <cell r="K482" t="str">
            <v>2703</v>
          </cell>
          <cell r="L482" t="str">
            <v>MULTIPOX</v>
          </cell>
          <cell r="M482" t="str">
            <v>270302</v>
          </cell>
          <cell r="N482" t="str">
            <v>MULTIPOX BASE</v>
          </cell>
        </row>
        <row r="483">
          <cell r="C483" t="str">
            <v>100001472</v>
          </cell>
          <cell r="D483" t="str">
            <v>MX-99 GENTIAN BLUE VN-20KSP</v>
          </cell>
          <cell r="E483" t="str">
            <v>ZFGD</v>
          </cell>
          <cell r="F483" t="str">
            <v>SET</v>
          </cell>
          <cell r="G483" t="str">
            <v>2</v>
          </cell>
          <cell r="H483" t="str">
            <v>RETAIL</v>
          </cell>
          <cell r="I483" t="str">
            <v>27</v>
          </cell>
          <cell r="J483" t="str">
            <v>CPC1</v>
          </cell>
          <cell r="K483" t="str">
            <v>2703</v>
          </cell>
          <cell r="L483" t="str">
            <v>MULTIPOX</v>
          </cell>
          <cell r="M483" t="str">
            <v>270302</v>
          </cell>
          <cell r="N483" t="str">
            <v>MULTIPOX BASE</v>
          </cell>
        </row>
        <row r="484">
          <cell r="C484" t="str">
            <v>100001473</v>
          </cell>
          <cell r="D484" t="str">
            <v>MX-99 GENTIAN BLUE VN-15KP</v>
          </cell>
          <cell r="E484" t="str">
            <v>ZFGD</v>
          </cell>
          <cell r="F484" t="str">
            <v>PC</v>
          </cell>
          <cell r="G484" t="str">
            <v>2</v>
          </cell>
          <cell r="H484" t="str">
            <v>RETAIL</v>
          </cell>
          <cell r="I484" t="str">
            <v>27</v>
          </cell>
          <cell r="J484" t="str">
            <v>CPC1</v>
          </cell>
          <cell r="K484" t="str">
            <v>2703</v>
          </cell>
          <cell r="L484" t="str">
            <v>MULTIPOX</v>
          </cell>
          <cell r="M484" t="str">
            <v>270302</v>
          </cell>
          <cell r="N484" t="str">
            <v>MULTIPOX BASE</v>
          </cell>
        </row>
        <row r="485">
          <cell r="C485" t="str">
            <v>100001474</v>
          </cell>
          <cell r="D485" t="str">
            <v>MX-99 GENTIAN BLUE VN-30KSP</v>
          </cell>
          <cell r="E485" t="str">
            <v>ZFGD</v>
          </cell>
          <cell r="F485" t="str">
            <v>SET</v>
          </cell>
          <cell r="G485" t="str">
            <v>2</v>
          </cell>
          <cell r="H485" t="str">
            <v>RETAIL</v>
          </cell>
          <cell r="I485" t="str">
            <v>27</v>
          </cell>
          <cell r="J485" t="str">
            <v>CPC1</v>
          </cell>
          <cell r="K485" t="str">
            <v>2703</v>
          </cell>
          <cell r="L485" t="str">
            <v>MULTIPOX</v>
          </cell>
          <cell r="M485" t="str">
            <v>270302</v>
          </cell>
          <cell r="N485" t="str">
            <v>MULTIPOX BASE</v>
          </cell>
        </row>
        <row r="486">
          <cell r="C486" t="str">
            <v>100001475</v>
          </cell>
          <cell r="D486" t="str">
            <v>MX-99 GENTIAN BLUE VN-22.5KP</v>
          </cell>
          <cell r="E486" t="str">
            <v>ZFGD</v>
          </cell>
          <cell r="F486" t="str">
            <v>PC</v>
          </cell>
          <cell r="G486" t="str">
            <v>2</v>
          </cell>
          <cell r="H486" t="str">
            <v>RETAIL</v>
          </cell>
          <cell r="I486" t="str">
            <v>27</v>
          </cell>
          <cell r="J486" t="str">
            <v>CPC1</v>
          </cell>
          <cell r="K486" t="str">
            <v>2703</v>
          </cell>
          <cell r="L486" t="str">
            <v>MULTIPOX</v>
          </cell>
          <cell r="M486" t="str">
            <v>270302</v>
          </cell>
          <cell r="N486" t="str">
            <v>MULTIPOX BASE</v>
          </cell>
        </row>
        <row r="487">
          <cell r="C487" t="str">
            <v>100001476</v>
          </cell>
          <cell r="D487" t="str">
            <v>MX-99 IVORY VN-1KS</v>
          </cell>
          <cell r="E487" t="str">
            <v>ZFGD</v>
          </cell>
          <cell r="F487" t="str">
            <v>SET</v>
          </cell>
          <cell r="G487" t="str">
            <v>2</v>
          </cell>
          <cell r="H487" t="str">
            <v>RETAIL</v>
          </cell>
          <cell r="I487" t="str">
            <v>27</v>
          </cell>
          <cell r="J487" t="str">
            <v>CPC1</v>
          </cell>
          <cell r="K487" t="str">
            <v>2703</v>
          </cell>
          <cell r="L487" t="str">
            <v>MULTIPOX</v>
          </cell>
          <cell r="M487" t="str">
            <v>270302</v>
          </cell>
          <cell r="N487" t="str">
            <v>MULTIPOX BASE</v>
          </cell>
        </row>
        <row r="488">
          <cell r="C488" t="str">
            <v>100001477</v>
          </cell>
          <cell r="D488" t="str">
            <v>MX-99 IVORY VN-0.6K</v>
          </cell>
          <cell r="E488" t="str">
            <v>ZFGD</v>
          </cell>
          <cell r="F488" t="str">
            <v>PC</v>
          </cell>
          <cell r="G488" t="str">
            <v>2</v>
          </cell>
          <cell r="H488" t="str">
            <v>RETAIL</v>
          </cell>
          <cell r="I488" t="str">
            <v>27</v>
          </cell>
          <cell r="J488" t="str">
            <v>CPC1</v>
          </cell>
          <cell r="K488" t="str">
            <v>2703</v>
          </cell>
          <cell r="L488" t="str">
            <v>MULTIPOX</v>
          </cell>
          <cell r="M488" t="str">
            <v>270302</v>
          </cell>
          <cell r="N488" t="str">
            <v>MULTIPOX BASE</v>
          </cell>
        </row>
        <row r="489">
          <cell r="C489" t="str">
            <v>100001478</v>
          </cell>
          <cell r="D489" t="str">
            <v>MX-99 IVORY VN-4KS</v>
          </cell>
          <cell r="E489" t="str">
            <v>ZFGD</v>
          </cell>
          <cell r="F489" t="str">
            <v>SET</v>
          </cell>
          <cell r="G489" t="str">
            <v>2</v>
          </cell>
          <cell r="H489" t="str">
            <v>RETAIL</v>
          </cell>
          <cell r="I489" t="str">
            <v>27</v>
          </cell>
          <cell r="J489" t="str">
            <v>CPC1</v>
          </cell>
          <cell r="K489" t="str">
            <v>2703</v>
          </cell>
          <cell r="L489" t="str">
            <v>MULTIPOX</v>
          </cell>
          <cell r="M489" t="str">
            <v>270302</v>
          </cell>
          <cell r="N489" t="str">
            <v>MULTIPOX BASE</v>
          </cell>
        </row>
        <row r="490">
          <cell r="C490" t="str">
            <v>100001479</v>
          </cell>
          <cell r="D490" t="str">
            <v>MX-99 IVORY VN-3K</v>
          </cell>
          <cell r="E490" t="str">
            <v>ZFGD</v>
          </cell>
          <cell r="F490" t="str">
            <v>PC</v>
          </cell>
          <cell r="G490" t="str">
            <v>2</v>
          </cell>
          <cell r="H490" t="str">
            <v>RETAIL</v>
          </cell>
          <cell r="I490" t="str">
            <v>27</v>
          </cell>
          <cell r="J490" t="str">
            <v>CPC1</v>
          </cell>
          <cell r="K490" t="str">
            <v>2703</v>
          </cell>
          <cell r="L490" t="str">
            <v>MULTIPOX</v>
          </cell>
          <cell r="M490" t="str">
            <v>270302</v>
          </cell>
          <cell r="N490" t="str">
            <v>MULTIPOX BASE</v>
          </cell>
        </row>
        <row r="491">
          <cell r="C491" t="str">
            <v>100001480</v>
          </cell>
          <cell r="D491" t="str">
            <v>MX-99 IVORY VN-20KSP</v>
          </cell>
          <cell r="E491" t="str">
            <v>ZFGD</v>
          </cell>
          <cell r="F491" t="str">
            <v>SET</v>
          </cell>
          <cell r="G491" t="str">
            <v>2</v>
          </cell>
          <cell r="H491" t="str">
            <v>RETAIL</v>
          </cell>
          <cell r="I491" t="str">
            <v>27</v>
          </cell>
          <cell r="J491" t="str">
            <v>CPC1</v>
          </cell>
          <cell r="K491" t="str">
            <v>2703</v>
          </cell>
          <cell r="L491" t="str">
            <v>MULTIPOX</v>
          </cell>
          <cell r="M491" t="str">
            <v>270302</v>
          </cell>
          <cell r="N491" t="str">
            <v>MULTIPOX BASE</v>
          </cell>
        </row>
        <row r="492">
          <cell r="C492" t="str">
            <v>100001481</v>
          </cell>
          <cell r="D492" t="str">
            <v>MX-99 IVORY VN-15KP</v>
          </cell>
          <cell r="E492" t="str">
            <v>ZFGD</v>
          </cell>
          <cell r="F492" t="str">
            <v>PC</v>
          </cell>
          <cell r="G492" t="str">
            <v>2</v>
          </cell>
          <cell r="H492" t="str">
            <v>RETAIL</v>
          </cell>
          <cell r="I492" t="str">
            <v>27</v>
          </cell>
          <cell r="J492" t="str">
            <v>CPC1</v>
          </cell>
          <cell r="K492" t="str">
            <v>2703</v>
          </cell>
          <cell r="L492" t="str">
            <v>MULTIPOX</v>
          </cell>
          <cell r="M492" t="str">
            <v>270302</v>
          </cell>
          <cell r="N492" t="str">
            <v>MULTIPOX BASE</v>
          </cell>
        </row>
        <row r="493">
          <cell r="C493" t="str">
            <v>100001482</v>
          </cell>
          <cell r="D493" t="str">
            <v>MX-99 IVORY VN-30KSP</v>
          </cell>
          <cell r="E493" t="str">
            <v>ZFGD</v>
          </cell>
          <cell r="F493" t="str">
            <v>SET</v>
          </cell>
          <cell r="G493" t="str">
            <v>2</v>
          </cell>
          <cell r="H493" t="str">
            <v>RETAIL</v>
          </cell>
          <cell r="I493" t="str">
            <v>27</v>
          </cell>
          <cell r="J493" t="str">
            <v>CPC1</v>
          </cell>
          <cell r="K493" t="str">
            <v>2703</v>
          </cell>
          <cell r="L493" t="str">
            <v>MULTIPOX</v>
          </cell>
          <cell r="M493" t="str">
            <v>270302</v>
          </cell>
          <cell r="N493" t="str">
            <v>MULTIPOX BASE</v>
          </cell>
        </row>
        <row r="494">
          <cell r="C494" t="str">
            <v>100001483</v>
          </cell>
          <cell r="D494" t="str">
            <v>MX-99 IVORY VN-22.5KP</v>
          </cell>
          <cell r="E494" t="str">
            <v>ZFGD</v>
          </cell>
          <cell r="F494" t="str">
            <v>PC</v>
          </cell>
          <cell r="G494" t="str">
            <v>2</v>
          </cell>
          <cell r="H494" t="str">
            <v>RETAIL</v>
          </cell>
          <cell r="I494" t="str">
            <v>27</v>
          </cell>
          <cell r="J494" t="str">
            <v>CPC1</v>
          </cell>
          <cell r="K494" t="str">
            <v>2703</v>
          </cell>
          <cell r="L494" t="str">
            <v>MULTIPOX</v>
          </cell>
          <cell r="M494" t="str">
            <v>270302</v>
          </cell>
          <cell r="N494" t="str">
            <v>MULTIPOX BASE</v>
          </cell>
        </row>
        <row r="495">
          <cell r="C495" t="str">
            <v>100001484</v>
          </cell>
          <cell r="D495" t="str">
            <v>MX-99 LEAF GREEN VN-1KS</v>
          </cell>
          <cell r="E495" t="str">
            <v>ZFGD</v>
          </cell>
          <cell r="F495" t="str">
            <v>SET</v>
          </cell>
          <cell r="G495" t="str">
            <v>2</v>
          </cell>
          <cell r="H495" t="str">
            <v>RETAIL</v>
          </cell>
          <cell r="I495" t="str">
            <v>27</v>
          </cell>
          <cell r="J495" t="str">
            <v>CPC1</v>
          </cell>
          <cell r="K495" t="str">
            <v>2703</v>
          </cell>
          <cell r="L495" t="str">
            <v>MULTIPOX</v>
          </cell>
          <cell r="M495" t="str">
            <v>270302</v>
          </cell>
          <cell r="N495" t="str">
            <v>MULTIPOX BASE</v>
          </cell>
        </row>
        <row r="496">
          <cell r="C496" t="str">
            <v>100001485</v>
          </cell>
          <cell r="D496" t="str">
            <v>MX-99 LEAF GREEN VN-0.6K</v>
          </cell>
          <cell r="E496" t="str">
            <v>ZFGD</v>
          </cell>
          <cell r="F496" t="str">
            <v>PC</v>
          </cell>
          <cell r="G496" t="str">
            <v>2</v>
          </cell>
          <cell r="H496" t="str">
            <v>RETAIL</v>
          </cell>
          <cell r="I496" t="str">
            <v>27</v>
          </cell>
          <cell r="J496" t="str">
            <v>CPC1</v>
          </cell>
          <cell r="K496" t="str">
            <v>2703</v>
          </cell>
          <cell r="L496" t="str">
            <v>MULTIPOX</v>
          </cell>
          <cell r="M496" t="str">
            <v>270302</v>
          </cell>
          <cell r="N496" t="str">
            <v>MULTIPOX BASE</v>
          </cell>
        </row>
        <row r="497">
          <cell r="C497" t="str">
            <v>100001486</v>
          </cell>
          <cell r="D497" t="str">
            <v>MX-99 LEAF GREEN VN-4KS</v>
          </cell>
          <cell r="E497" t="str">
            <v>ZFGD</v>
          </cell>
          <cell r="F497" t="str">
            <v>SET</v>
          </cell>
          <cell r="G497" t="str">
            <v>2</v>
          </cell>
          <cell r="H497" t="str">
            <v>RETAIL</v>
          </cell>
          <cell r="I497" t="str">
            <v>27</v>
          </cell>
          <cell r="J497" t="str">
            <v>CPC1</v>
          </cell>
          <cell r="K497" t="str">
            <v>2703</v>
          </cell>
          <cell r="L497" t="str">
            <v>MULTIPOX</v>
          </cell>
          <cell r="M497" t="str">
            <v>270302</v>
          </cell>
          <cell r="N497" t="str">
            <v>MULTIPOX BASE</v>
          </cell>
        </row>
        <row r="498">
          <cell r="C498" t="str">
            <v>100001487</v>
          </cell>
          <cell r="D498" t="str">
            <v>MX-99 LEAF GREEN VN-3K</v>
          </cell>
          <cell r="E498" t="str">
            <v>ZFGD</v>
          </cell>
          <cell r="F498" t="str">
            <v>PC</v>
          </cell>
          <cell r="G498" t="str">
            <v>2</v>
          </cell>
          <cell r="H498" t="str">
            <v>RETAIL</v>
          </cell>
          <cell r="I498" t="str">
            <v>27</v>
          </cell>
          <cell r="J498" t="str">
            <v>CPC1</v>
          </cell>
          <cell r="K498" t="str">
            <v>2703</v>
          </cell>
          <cell r="L498" t="str">
            <v>MULTIPOX</v>
          </cell>
          <cell r="M498" t="str">
            <v>270302</v>
          </cell>
          <cell r="N498" t="str">
            <v>MULTIPOX BASE</v>
          </cell>
        </row>
        <row r="499">
          <cell r="C499" t="str">
            <v>100001488</v>
          </cell>
          <cell r="D499" t="str">
            <v>MX-99 LEAF GREEN VN-20KSP</v>
          </cell>
          <cell r="E499" t="str">
            <v>ZFGD</v>
          </cell>
          <cell r="F499" t="str">
            <v>SET</v>
          </cell>
          <cell r="G499" t="str">
            <v>2</v>
          </cell>
          <cell r="H499" t="str">
            <v>RETAIL</v>
          </cell>
          <cell r="I499" t="str">
            <v>27</v>
          </cell>
          <cell r="J499" t="str">
            <v>CPC1</v>
          </cell>
          <cell r="K499" t="str">
            <v>2703</v>
          </cell>
          <cell r="L499" t="str">
            <v>MULTIPOX</v>
          </cell>
          <cell r="M499" t="str">
            <v>270302</v>
          </cell>
          <cell r="N499" t="str">
            <v>MULTIPOX BASE</v>
          </cell>
        </row>
        <row r="500">
          <cell r="C500" t="str">
            <v>100001489</v>
          </cell>
          <cell r="D500" t="str">
            <v>MX-99 LEAF GREEN VN-15KP</v>
          </cell>
          <cell r="E500" t="str">
            <v>ZFGD</v>
          </cell>
          <cell r="F500" t="str">
            <v>PC</v>
          </cell>
          <cell r="G500" t="str">
            <v>2</v>
          </cell>
          <cell r="H500" t="str">
            <v>RETAIL</v>
          </cell>
          <cell r="I500" t="str">
            <v>27</v>
          </cell>
          <cell r="J500" t="str">
            <v>CPC1</v>
          </cell>
          <cell r="K500" t="str">
            <v>2703</v>
          </cell>
          <cell r="L500" t="str">
            <v>MULTIPOX</v>
          </cell>
          <cell r="M500" t="str">
            <v>270302</v>
          </cell>
          <cell r="N500" t="str">
            <v>MULTIPOX BASE</v>
          </cell>
        </row>
        <row r="501">
          <cell r="C501" t="str">
            <v>100001490</v>
          </cell>
          <cell r="D501" t="str">
            <v>MX-99 LEAF GREEN VN-30KSP</v>
          </cell>
          <cell r="E501" t="str">
            <v>ZFGD</v>
          </cell>
          <cell r="F501" t="str">
            <v>SET</v>
          </cell>
          <cell r="G501" t="str">
            <v>2</v>
          </cell>
          <cell r="H501" t="str">
            <v>RETAIL</v>
          </cell>
          <cell r="I501" t="str">
            <v>27</v>
          </cell>
          <cell r="J501" t="str">
            <v>CPC1</v>
          </cell>
          <cell r="K501" t="str">
            <v>2703</v>
          </cell>
          <cell r="L501" t="str">
            <v>MULTIPOX</v>
          </cell>
          <cell r="M501" t="str">
            <v>270302</v>
          </cell>
          <cell r="N501" t="str">
            <v>MULTIPOX BASE</v>
          </cell>
        </row>
        <row r="502">
          <cell r="C502" t="str">
            <v>100001491</v>
          </cell>
          <cell r="D502" t="str">
            <v>MX-99 LEAF GREEN VN-22.5KP</v>
          </cell>
          <cell r="E502" t="str">
            <v>ZFGD</v>
          </cell>
          <cell r="F502" t="str">
            <v>PC</v>
          </cell>
          <cell r="G502" t="str">
            <v>2</v>
          </cell>
          <cell r="H502" t="str">
            <v>RETAIL</v>
          </cell>
          <cell r="I502" t="str">
            <v>27</v>
          </cell>
          <cell r="J502" t="str">
            <v>CPC1</v>
          </cell>
          <cell r="K502" t="str">
            <v>2703</v>
          </cell>
          <cell r="L502" t="str">
            <v>MULTIPOX</v>
          </cell>
          <cell r="M502" t="str">
            <v>270302</v>
          </cell>
          <cell r="N502" t="str">
            <v>MULTIPOX BASE</v>
          </cell>
        </row>
        <row r="503">
          <cell r="C503" t="str">
            <v>100001492</v>
          </cell>
          <cell r="D503" t="str">
            <v>MX-99 LIGHT GREY VN-1KS</v>
          </cell>
          <cell r="E503" t="str">
            <v>ZFGD</v>
          </cell>
          <cell r="F503" t="str">
            <v>SET</v>
          </cell>
          <cell r="G503" t="str">
            <v>2</v>
          </cell>
          <cell r="H503" t="str">
            <v>RETAIL</v>
          </cell>
          <cell r="I503" t="str">
            <v>27</v>
          </cell>
          <cell r="J503" t="str">
            <v>CPC1</v>
          </cell>
          <cell r="K503" t="str">
            <v>2703</v>
          </cell>
          <cell r="L503" t="str">
            <v>MULTIPOX</v>
          </cell>
          <cell r="M503" t="str">
            <v>270302</v>
          </cell>
          <cell r="N503" t="str">
            <v>MULTIPOX BASE</v>
          </cell>
        </row>
        <row r="504">
          <cell r="C504" t="str">
            <v>100001493</v>
          </cell>
          <cell r="D504" t="str">
            <v>MX-99 LIGHT GREY VN-0.6K</v>
          </cell>
          <cell r="E504" t="str">
            <v>ZFGD</v>
          </cell>
          <cell r="F504" t="str">
            <v>PC</v>
          </cell>
          <cell r="G504" t="str">
            <v>2</v>
          </cell>
          <cell r="H504" t="str">
            <v>RETAIL</v>
          </cell>
          <cell r="I504" t="str">
            <v>27</v>
          </cell>
          <cell r="J504" t="str">
            <v>CPC1</v>
          </cell>
          <cell r="K504" t="str">
            <v>2703</v>
          </cell>
          <cell r="L504" t="str">
            <v>MULTIPOX</v>
          </cell>
          <cell r="M504" t="str">
            <v>270302</v>
          </cell>
          <cell r="N504" t="str">
            <v>MULTIPOX BASE</v>
          </cell>
        </row>
        <row r="505">
          <cell r="C505" t="str">
            <v>100001494</v>
          </cell>
          <cell r="D505" t="str">
            <v>MX-99 LIGHT GREY VN-4KS</v>
          </cell>
          <cell r="E505" t="str">
            <v>ZFGD</v>
          </cell>
          <cell r="F505" t="str">
            <v>SET</v>
          </cell>
          <cell r="G505" t="str">
            <v>2</v>
          </cell>
          <cell r="H505" t="str">
            <v>RETAIL</v>
          </cell>
          <cell r="I505" t="str">
            <v>27</v>
          </cell>
          <cell r="J505" t="str">
            <v>CPC1</v>
          </cell>
          <cell r="K505" t="str">
            <v>2703</v>
          </cell>
          <cell r="L505" t="str">
            <v>MULTIPOX</v>
          </cell>
          <cell r="M505" t="str">
            <v>270302</v>
          </cell>
          <cell r="N505" t="str">
            <v>MULTIPOX BASE</v>
          </cell>
        </row>
        <row r="506">
          <cell r="C506" t="str">
            <v>100001495</v>
          </cell>
          <cell r="D506" t="str">
            <v>MX-99 LIGHT GREY VN-3K</v>
          </cell>
          <cell r="E506" t="str">
            <v>ZFGD</v>
          </cell>
          <cell r="F506" t="str">
            <v>PC</v>
          </cell>
          <cell r="G506" t="str">
            <v>2</v>
          </cell>
          <cell r="H506" t="str">
            <v>RETAIL</v>
          </cell>
          <cell r="I506" t="str">
            <v>27</v>
          </cell>
          <cell r="J506" t="str">
            <v>CPC1</v>
          </cell>
          <cell r="K506" t="str">
            <v>2703</v>
          </cell>
          <cell r="L506" t="str">
            <v>MULTIPOX</v>
          </cell>
          <cell r="M506" t="str">
            <v>270302</v>
          </cell>
          <cell r="N506" t="str">
            <v>MULTIPOX BASE</v>
          </cell>
        </row>
        <row r="507">
          <cell r="C507" t="str">
            <v>100001496</v>
          </cell>
          <cell r="D507" t="str">
            <v>MX-99 LIGHT GREY VN-20KSP</v>
          </cell>
          <cell r="E507" t="str">
            <v>ZFGD</v>
          </cell>
          <cell r="F507" t="str">
            <v>SET</v>
          </cell>
          <cell r="G507" t="str">
            <v>2</v>
          </cell>
          <cell r="H507" t="str">
            <v>RETAIL</v>
          </cell>
          <cell r="I507" t="str">
            <v>27</v>
          </cell>
          <cell r="J507" t="str">
            <v>CPC1</v>
          </cell>
          <cell r="K507" t="str">
            <v>2703</v>
          </cell>
          <cell r="L507" t="str">
            <v>MULTIPOX</v>
          </cell>
          <cell r="M507" t="str">
            <v>270302</v>
          </cell>
          <cell r="N507" t="str">
            <v>MULTIPOX BASE</v>
          </cell>
        </row>
        <row r="508">
          <cell r="C508" t="str">
            <v>100001497</v>
          </cell>
          <cell r="D508" t="str">
            <v>MX-99 LIGHT GREY VN-15KP</v>
          </cell>
          <cell r="E508" t="str">
            <v>ZFGD</v>
          </cell>
          <cell r="F508" t="str">
            <v>PC</v>
          </cell>
          <cell r="G508" t="str">
            <v>2</v>
          </cell>
          <cell r="H508" t="str">
            <v>RETAIL</v>
          </cell>
          <cell r="I508" t="str">
            <v>27</v>
          </cell>
          <cell r="J508" t="str">
            <v>CPC1</v>
          </cell>
          <cell r="K508" t="str">
            <v>2703</v>
          </cell>
          <cell r="L508" t="str">
            <v>MULTIPOX</v>
          </cell>
          <cell r="M508" t="str">
            <v>270302</v>
          </cell>
          <cell r="N508" t="str">
            <v>MULTIPOX BASE</v>
          </cell>
        </row>
        <row r="509">
          <cell r="C509" t="str">
            <v>100001498</v>
          </cell>
          <cell r="D509" t="str">
            <v>MX-99 LIGHT GREY VN-30KSP</v>
          </cell>
          <cell r="E509" t="str">
            <v>ZFGD</v>
          </cell>
          <cell r="F509" t="str">
            <v>SET</v>
          </cell>
          <cell r="G509" t="str">
            <v>2</v>
          </cell>
          <cell r="H509" t="str">
            <v>RETAIL</v>
          </cell>
          <cell r="I509" t="str">
            <v>27</v>
          </cell>
          <cell r="J509" t="str">
            <v>CPC1</v>
          </cell>
          <cell r="K509" t="str">
            <v>2703</v>
          </cell>
          <cell r="L509" t="str">
            <v>MULTIPOX</v>
          </cell>
          <cell r="M509" t="str">
            <v>270302</v>
          </cell>
          <cell r="N509" t="str">
            <v>MULTIPOX BASE</v>
          </cell>
        </row>
        <row r="510">
          <cell r="C510" t="str">
            <v>100001499</v>
          </cell>
          <cell r="D510" t="str">
            <v>MX-99 LIGHT GREY VN-22.5KP</v>
          </cell>
          <cell r="E510" t="str">
            <v>ZFGD</v>
          </cell>
          <cell r="F510" t="str">
            <v>PC</v>
          </cell>
          <cell r="G510" t="str">
            <v>2</v>
          </cell>
          <cell r="H510" t="str">
            <v>RETAIL</v>
          </cell>
          <cell r="I510" t="str">
            <v>27</v>
          </cell>
          <cell r="J510" t="str">
            <v>CPC1</v>
          </cell>
          <cell r="K510" t="str">
            <v>2703</v>
          </cell>
          <cell r="L510" t="str">
            <v>MULTIPOX</v>
          </cell>
          <cell r="M510" t="str">
            <v>270302</v>
          </cell>
          <cell r="N510" t="str">
            <v>MULTIPOX BASE</v>
          </cell>
        </row>
        <row r="511">
          <cell r="C511" t="str">
            <v>100001500</v>
          </cell>
          <cell r="D511" t="str">
            <v>MX-99 TRAFFIC YELLOW VN-1KS</v>
          </cell>
          <cell r="E511" t="str">
            <v>ZFGD</v>
          </cell>
          <cell r="F511" t="str">
            <v>SET</v>
          </cell>
          <cell r="G511" t="str">
            <v>2</v>
          </cell>
          <cell r="H511" t="str">
            <v>RETAIL</v>
          </cell>
          <cell r="I511" t="str">
            <v>27</v>
          </cell>
          <cell r="J511" t="str">
            <v>CPC1</v>
          </cell>
          <cell r="K511" t="str">
            <v>2703</v>
          </cell>
          <cell r="L511" t="str">
            <v>MULTIPOX</v>
          </cell>
          <cell r="M511" t="str">
            <v>270302</v>
          </cell>
          <cell r="N511" t="str">
            <v>MULTIPOX BASE</v>
          </cell>
        </row>
        <row r="512">
          <cell r="C512" t="str">
            <v>100001501</v>
          </cell>
          <cell r="D512" t="str">
            <v>MX-99 TRAFFIC YELLOW VN-0.6K</v>
          </cell>
          <cell r="E512" t="str">
            <v>ZFGD</v>
          </cell>
          <cell r="F512" t="str">
            <v>PC</v>
          </cell>
          <cell r="G512" t="str">
            <v>2</v>
          </cell>
          <cell r="H512" t="str">
            <v>RETAIL</v>
          </cell>
          <cell r="I512" t="str">
            <v>27</v>
          </cell>
          <cell r="J512" t="str">
            <v>CPC1</v>
          </cell>
          <cell r="K512" t="str">
            <v>2703</v>
          </cell>
          <cell r="L512" t="str">
            <v>MULTIPOX</v>
          </cell>
          <cell r="M512" t="str">
            <v>270302</v>
          </cell>
          <cell r="N512" t="str">
            <v>MULTIPOX BASE</v>
          </cell>
        </row>
        <row r="513">
          <cell r="C513" t="str">
            <v>100001502</v>
          </cell>
          <cell r="D513" t="str">
            <v>MX-99 TRAFFIC YELLOW VN-4KS</v>
          </cell>
          <cell r="E513" t="str">
            <v>ZFGD</v>
          </cell>
          <cell r="F513" t="str">
            <v>SET</v>
          </cell>
          <cell r="G513" t="str">
            <v>2</v>
          </cell>
          <cell r="H513" t="str">
            <v>RETAIL</v>
          </cell>
          <cell r="I513" t="str">
            <v>27</v>
          </cell>
          <cell r="J513" t="str">
            <v>CPC1</v>
          </cell>
          <cell r="K513" t="str">
            <v>2703</v>
          </cell>
          <cell r="L513" t="str">
            <v>MULTIPOX</v>
          </cell>
          <cell r="M513" t="str">
            <v>270302</v>
          </cell>
          <cell r="N513" t="str">
            <v>MULTIPOX BASE</v>
          </cell>
        </row>
        <row r="514">
          <cell r="C514" t="str">
            <v>100001503</v>
          </cell>
          <cell r="D514" t="str">
            <v>MX-99 TRAFFIC YELLOW VN-3K</v>
          </cell>
          <cell r="E514" t="str">
            <v>ZFGD</v>
          </cell>
          <cell r="F514" t="str">
            <v>PC</v>
          </cell>
          <cell r="G514" t="str">
            <v>2</v>
          </cell>
          <cell r="H514" t="str">
            <v>RETAIL</v>
          </cell>
          <cell r="I514" t="str">
            <v>27</v>
          </cell>
          <cell r="J514" t="str">
            <v>CPC1</v>
          </cell>
          <cell r="K514" t="str">
            <v>2703</v>
          </cell>
          <cell r="L514" t="str">
            <v>MULTIPOX</v>
          </cell>
          <cell r="M514" t="str">
            <v>270302</v>
          </cell>
          <cell r="N514" t="str">
            <v>MULTIPOX BASE</v>
          </cell>
        </row>
        <row r="515">
          <cell r="C515" t="str">
            <v>100001504</v>
          </cell>
          <cell r="D515" t="str">
            <v>MX-99 TRAFFIC YELLOW VN-20KSP</v>
          </cell>
          <cell r="E515" t="str">
            <v>ZFGD</v>
          </cell>
          <cell r="F515" t="str">
            <v>SET</v>
          </cell>
          <cell r="G515" t="str">
            <v>2</v>
          </cell>
          <cell r="H515" t="str">
            <v>RETAIL</v>
          </cell>
          <cell r="I515" t="str">
            <v>27</v>
          </cell>
          <cell r="J515" t="str">
            <v>CPC1</v>
          </cell>
          <cell r="K515" t="str">
            <v>2703</v>
          </cell>
          <cell r="L515" t="str">
            <v>MULTIPOX</v>
          </cell>
          <cell r="M515" t="str">
            <v>270302</v>
          </cell>
          <cell r="N515" t="str">
            <v>MULTIPOX BASE</v>
          </cell>
        </row>
        <row r="516">
          <cell r="C516" t="str">
            <v>100001505</v>
          </cell>
          <cell r="D516" t="str">
            <v>MX-99 TRAFFIC YELLOW VN-15KP</v>
          </cell>
          <cell r="E516" t="str">
            <v>ZFGD</v>
          </cell>
          <cell r="F516" t="str">
            <v>PC</v>
          </cell>
          <cell r="G516" t="str">
            <v>2</v>
          </cell>
          <cell r="H516" t="str">
            <v>RETAIL</v>
          </cell>
          <cell r="I516" t="str">
            <v>27</v>
          </cell>
          <cell r="J516" t="str">
            <v>CPC1</v>
          </cell>
          <cell r="K516" t="str">
            <v>2703</v>
          </cell>
          <cell r="L516" t="str">
            <v>MULTIPOX</v>
          </cell>
          <cell r="M516" t="str">
            <v>270302</v>
          </cell>
          <cell r="N516" t="str">
            <v>MULTIPOX BASE</v>
          </cell>
        </row>
        <row r="517">
          <cell r="C517" t="str">
            <v>100001506</v>
          </cell>
          <cell r="D517" t="str">
            <v>MX-99 TRAFFIC YELLOW VN-30KSP</v>
          </cell>
          <cell r="E517" t="str">
            <v>ZFGD</v>
          </cell>
          <cell r="F517" t="str">
            <v>SET</v>
          </cell>
          <cell r="G517" t="str">
            <v>2</v>
          </cell>
          <cell r="H517" t="str">
            <v>RETAIL</v>
          </cell>
          <cell r="I517" t="str">
            <v>27</v>
          </cell>
          <cell r="J517" t="str">
            <v>CPC1</v>
          </cell>
          <cell r="K517" t="str">
            <v>2703</v>
          </cell>
          <cell r="L517" t="str">
            <v>MULTIPOX</v>
          </cell>
          <cell r="M517" t="str">
            <v>270302</v>
          </cell>
          <cell r="N517" t="str">
            <v>MULTIPOX BASE</v>
          </cell>
        </row>
        <row r="518">
          <cell r="C518" t="str">
            <v>100001507</v>
          </cell>
          <cell r="D518" t="str">
            <v>MX-99 TRAFFIC YELLOW VN-22.5KP</v>
          </cell>
          <cell r="E518" t="str">
            <v>ZFGD</v>
          </cell>
          <cell r="F518" t="str">
            <v>PC</v>
          </cell>
          <cell r="G518" t="str">
            <v>2</v>
          </cell>
          <cell r="H518" t="str">
            <v>RETAIL</v>
          </cell>
          <cell r="I518" t="str">
            <v>27</v>
          </cell>
          <cell r="J518" t="str">
            <v>CPC1</v>
          </cell>
          <cell r="K518" t="str">
            <v>2703</v>
          </cell>
          <cell r="L518" t="str">
            <v>MULTIPOX</v>
          </cell>
          <cell r="M518" t="str">
            <v>270302</v>
          </cell>
          <cell r="N518" t="str">
            <v>MULTIPOX BASE</v>
          </cell>
        </row>
        <row r="519">
          <cell r="C519" t="str">
            <v>100001508</v>
          </cell>
          <cell r="D519" t="str">
            <v>MX-99 WHITE VN-1KS</v>
          </cell>
          <cell r="E519" t="str">
            <v>ZFGD</v>
          </cell>
          <cell r="F519" t="str">
            <v>SET</v>
          </cell>
          <cell r="G519" t="str">
            <v>2</v>
          </cell>
          <cell r="H519" t="str">
            <v>RETAIL</v>
          </cell>
          <cell r="I519" t="str">
            <v>27</v>
          </cell>
          <cell r="J519" t="str">
            <v>CPC1</v>
          </cell>
          <cell r="K519" t="str">
            <v>2703</v>
          </cell>
          <cell r="L519" t="str">
            <v>MULTIPOX</v>
          </cell>
          <cell r="M519" t="str">
            <v>270302</v>
          </cell>
          <cell r="N519" t="str">
            <v>MULTIPOX BASE</v>
          </cell>
        </row>
        <row r="520">
          <cell r="C520" t="str">
            <v>100001509</v>
          </cell>
          <cell r="D520" t="str">
            <v>MX-99 WHITE VN-0.6K</v>
          </cell>
          <cell r="E520" t="str">
            <v>ZFGD</v>
          </cell>
          <cell r="F520" t="str">
            <v>PC</v>
          </cell>
          <cell r="G520" t="str">
            <v>2</v>
          </cell>
          <cell r="H520" t="str">
            <v>RETAIL</v>
          </cell>
          <cell r="I520" t="str">
            <v>27</v>
          </cell>
          <cell r="J520" t="str">
            <v>CPC1</v>
          </cell>
          <cell r="K520" t="str">
            <v>2703</v>
          </cell>
          <cell r="L520" t="str">
            <v>MULTIPOX</v>
          </cell>
          <cell r="M520" t="str">
            <v>270302</v>
          </cell>
          <cell r="N520" t="str">
            <v>MULTIPOX BASE</v>
          </cell>
        </row>
        <row r="521">
          <cell r="C521" t="str">
            <v>100001510</v>
          </cell>
          <cell r="D521" t="str">
            <v>MX-99 WHITE VN-4KS</v>
          </cell>
          <cell r="E521" t="str">
            <v>ZFGD</v>
          </cell>
          <cell r="F521" t="str">
            <v>SET</v>
          </cell>
          <cell r="G521" t="str">
            <v>2</v>
          </cell>
          <cell r="H521" t="str">
            <v>RETAIL</v>
          </cell>
          <cell r="I521" t="str">
            <v>27</v>
          </cell>
          <cell r="J521" t="str">
            <v>CPC1</v>
          </cell>
          <cell r="K521" t="str">
            <v>2703</v>
          </cell>
          <cell r="L521" t="str">
            <v>MULTIPOX</v>
          </cell>
          <cell r="M521" t="str">
            <v>270302</v>
          </cell>
          <cell r="N521" t="str">
            <v>MULTIPOX BASE</v>
          </cell>
        </row>
        <row r="522">
          <cell r="C522" t="str">
            <v>100001511</v>
          </cell>
          <cell r="D522" t="str">
            <v>MX-99 WHITE VN-3K</v>
          </cell>
          <cell r="E522" t="str">
            <v>ZFGD</v>
          </cell>
          <cell r="F522" t="str">
            <v>PC</v>
          </cell>
          <cell r="G522" t="str">
            <v>2</v>
          </cell>
          <cell r="H522" t="str">
            <v>RETAIL</v>
          </cell>
          <cell r="I522" t="str">
            <v>27</v>
          </cell>
          <cell r="J522" t="str">
            <v>CPC1</v>
          </cell>
          <cell r="K522" t="str">
            <v>2703</v>
          </cell>
          <cell r="L522" t="str">
            <v>MULTIPOX</v>
          </cell>
          <cell r="M522" t="str">
            <v>270302</v>
          </cell>
          <cell r="N522" t="str">
            <v>MULTIPOX BASE</v>
          </cell>
        </row>
        <row r="523">
          <cell r="C523" t="str">
            <v>100001512</v>
          </cell>
          <cell r="D523" t="str">
            <v>MX-99 WHITE VN-20KSP</v>
          </cell>
          <cell r="E523" t="str">
            <v>ZFGD</v>
          </cell>
          <cell r="F523" t="str">
            <v>SET</v>
          </cell>
          <cell r="G523" t="str">
            <v>2</v>
          </cell>
          <cell r="H523" t="str">
            <v>RETAIL</v>
          </cell>
          <cell r="I523" t="str">
            <v>27</v>
          </cell>
          <cell r="J523" t="str">
            <v>CPC1</v>
          </cell>
          <cell r="K523" t="str">
            <v>2703</v>
          </cell>
          <cell r="L523" t="str">
            <v>MULTIPOX</v>
          </cell>
          <cell r="M523" t="str">
            <v>270302</v>
          </cell>
          <cell r="N523" t="str">
            <v>MULTIPOX BASE</v>
          </cell>
        </row>
        <row r="524">
          <cell r="C524" t="str">
            <v>100001513</v>
          </cell>
          <cell r="D524" t="str">
            <v>MX-99 WHITE VN-15KP</v>
          </cell>
          <cell r="E524" t="str">
            <v>ZFGD</v>
          </cell>
          <cell r="F524" t="str">
            <v>PC</v>
          </cell>
          <cell r="G524" t="str">
            <v>2</v>
          </cell>
          <cell r="H524" t="str">
            <v>RETAIL</v>
          </cell>
          <cell r="I524" t="str">
            <v>27</v>
          </cell>
          <cell r="J524" t="str">
            <v>CPC1</v>
          </cell>
          <cell r="K524" t="str">
            <v>2703</v>
          </cell>
          <cell r="L524" t="str">
            <v>MULTIPOX</v>
          </cell>
          <cell r="M524" t="str">
            <v>270302</v>
          </cell>
          <cell r="N524" t="str">
            <v>MULTIPOX BASE</v>
          </cell>
        </row>
        <row r="525">
          <cell r="C525" t="str">
            <v>100001514</v>
          </cell>
          <cell r="D525" t="str">
            <v>MX-99 WHITE VN-30KSP</v>
          </cell>
          <cell r="E525" t="str">
            <v>ZFGD</v>
          </cell>
          <cell r="F525" t="str">
            <v>SET</v>
          </cell>
          <cell r="G525" t="str">
            <v>2</v>
          </cell>
          <cell r="H525" t="str">
            <v>RETAIL</v>
          </cell>
          <cell r="I525" t="str">
            <v>27</v>
          </cell>
          <cell r="J525" t="str">
            <v>CPC1</v>
          </cell>
          <cell r="K525" t="str">
            <v>2703</v>
          </cell>
          <cell r="L525" t="str">
            <v>MULTIPOX</v>
          </cell>
          <cell r="M525" t="str">
            <v>270302</v>
          </cell>
          <cell r="N525" t="str">
            <v>MULTIPOX BASE</v>
          </cell>
        </row>
        <row r="526">
          <cell r="C526" t="str">
            <v>100001515</v>
          </cell>
          <cell r="D526" t="str">
            <v>MX-99 WHITE VN-22.5KP</v>
          </cell>
          <cell r="E526" t="str">
            <v>ZFGD</v>
          </cell>
          <cell r="F526" t="str">
            <v>PC</v>
          </cell>
          <cell r="G526" t="str">
            <v>2</v>
          </cell>
          <cell r="H526" t="str">
            <v>RETAIL</v>
          </cell>
          <cell r="I526" t="str">
            <v>27</v>
          </cell>
          <cell r="J526" t="str">
            <v>CPC1</v>
          </cell>
          <cell r="K526" t="str">
            <v>2703</v>
          </cell>
          <cell r="L526" t="str">
            <v>MULTIPOX</v>
          </cell>
          <cell r="M526" t="str">
            <v>270302</v>
          </cell>
          <cell r="N526" t="str">
            <v>MULTIPOX BASE</v>
          </cell>
        </row>
        <row r="527">
          <cell r="C527" t="str">
            <v>100001516</v>
          </cell>
          <cell r="D527" t="str">
            <v>MX-99 BEIGE VN-1KS</v>
          </cell>
          <cell r="E527" t="str">
            <v>ZFGD</v>
          </cell>
          <cell r="F527" t="str">
            <v>SET</v>
          </cell>
          <cell r="G527" t="str">
            <v>2</v>
          </cell>
          <cell r="H527" t="str">
            <v>RETAIL</v>
          </cell>
          <cell r="I527" t="str">
            <v>27</v>
          </cell>
          <cell r="J527" t="str">
            <v>CPC1</v>
          </cell>
          <cell r="K527" t="str">
            <v>2703</v>
          </cell>
          <cell r="L527" t="str">
            <v>MULTIPOX</v>
          </cell>
          <cell r="M527" t="str">
            <v>270302</v>
          </cell>
          <cell r="N527" t="str">
            <v>MULTIPOX BASE</v>
          </cell>
        </row>
        <row r="528">
          <cell r="C528" t="str">
            <v>100001517</v>
          </cell>
          <cell r="D528" t="str">
            <v>MX-99 BEIGE VN-0.6K</v>
          </cell>
          <cell r="E528" t="str">
            <v>ZFGD</v>
          </cell>
          <cell r="F528" t="str">
            <v>PC</v>
          </cell>
          <cell r="G528" t="str">
            <v>2</v>
          </cell>
          <cell r="H528" t="str">
            <v>RETAIL</v>
          </cell>
          <cell r="I528" t="str">
            <v>27</v>
          </cell>
          <cell r="J528" t="str">
            <v>CPC1</v>
          </cell>
          <cell r="K528" t="str">
            <v>2703</v>
          </cell>
          <cell r="L528" t="str">
            <v>MULTIPOX</v>
          </cell>
          <cell r="M528" t="str">
            <v>270302</v>
          </cell>
          <cell r="N528" t="str">
            <v>MULTIPOX BASE</v>
          </cell>
        </row>
        <row r="529">
          <cell r="C529" t="str">
            <v>100001518</v>
          </cell>
          <cell r="D529" t="str">
            <v>MX-99 BEIGE VN-4KS</v>
          </cell>
          <cell r="E529" t="str">
            <v>ZFGD</v>
          </cell>
          <cell r="F529" t="str">
            <v>SET</v>
          </cell>
          <cell r="G529" t="str">
            <v>2</v>
          </cell>
          <cell r="H529" t="str">
            <v>RETAIL</v>
          </cell>
          <cell r="I529" t="str">
            <v>27</v>
          </cell>
          <cell r="J529" t="str">
            <v>CPC1</v>
          </cell>
          <cell r="K529" t="str">
            <v>2703</v>
          </cell>
          <cell r="L529" t="str">
            <v>MULTIPOX</v>
          </cell>
          <cell r="M529" t="str">
            <v>270302</v>
          </cell>
          <cell r="N529" t="str">
            <v>MULTIPOX BASE</v>
          </cell>
        </row>
        <row r="530">
          <cell r="C530" t="str">
            <v>100001519</v>
          </cell>
          <cell r="D530" t="str">
            <v>MX-99 BEIGE VN-3K</v>
          </cell>
          <cell r="E530" t="str">
            <v>ZFGD</v>
          </cell>
          <cell r="F530" t="str">
            <v>PC</v>
          </cell>
          <cell r="G530" t="str">
            <v>2</v>
          </cell>
          <cell r="H530" t="str">
            <v>RETAIL</v>
          </cell>
          <cell r="I530" t="str">
            <v>27</v>
          </cell>
          <cell r="J530" t="str">
            <v>CPC1</v>
          </cell>
          <cell r="K530" t="str">
            <v>2703</v>
          </cell>
          <cell r="L530" t="str">
            <v>MULTIPOX</v>
          </cell>
          <cell r="M530" t="str">
            <v>270302</v>
          </cell>
          <cell r="N530" t="str">
            <v>MULTIPOX BASE</v>
          </cell>
        </row>
        <row r="531">
          <cell r="C531" t="str">
            <v>100001520</v>
          </cell>
          <cell r="D531" t="str">
            <v>MX-99 BEIGE VN-20KSP</v>
          </cell>
          <cell r="E531" t="str">
            <v>ZFGD</v>
          </cell>
          <cell r="F531" t="str">
            <v>SET</v>
          </cell>
          <cell r="G531" t="str">
            <v>2</v>
          </cell>
          <cell r="H531" t="str">
            <v>RETAIL</v>
          </cell>
          <cell r="I531" t="str">
            <v>27</v>
          </cell>
          <cell r="J531" t="str">
            <v>CPC1</v>
          </cell>
          <cell r="K531" t="str">
            <v>2703</v>
          </cell>
          <cell r="L531" t="str">
            <v>MULTIPOX</v>
          </cell>
          <cell r="M531" t="str">
            <v>270302</v>
          </cell>
          <cell r="N531" t="str">
            <v>MULTIPOX BASE</v>
          </cell>
        </row>
        <row r="532">
          <cell r="C532" t="str">
            <v>100001521</v>
          </cell>
          <cell r="D532" t="str">
            <v>MX-99 BEIGE VN-15KP</v>
          </cell>
          <cell r="E532" t="str">
            <v>ZFGD</v>
          </cell>
          <cell r="F532" t="str">
            <v>PC</v>
          </cell>
          <cell r="G532" t="str">
            <v>2</v>
          </cell>
          <cell r="H532" t="str">
            <v>RETAIL</v>
          </cell>
          <cell r="I532" t="str">
            <v>27</v>
          </cell>
          <cell r="J532" t="str">
            <v>CPC1</v>
          </cell>
          <cell r="K532" t="str">
            <v>2703</v>
          </cell>
          <cell r="L532" t="str">
            <v>MULTIPOX</v>
          </cell>
          <cell r="M532" t="str">
            <v>270302</v>
          </cell>
          <cell r="N532" t="str">
            <v>MULTIPOX BASE</v>
          </cell>
        </row>
        <row r="533">
          <cell r="C533" t="str">
            <v>100001522</v>
          </cell>
          <cell r="D533" t="str">
            <v>MX-99 BEIGE VN-30KSP</v>
          </cell>
          <cell r="E533" t="str">
            <v>ZFGD</v>
          </cell>
          <cell r="F533" t="str">
            <v>SET</v>
          </cell>
          <cell r="G533" t="str">
            <v>2</v>
          </cell>
          <cell r="H533" t="str">
            <v>RETAIL</v>
          </cell>
          <cell r="I533" t="str">
            <v>27</v>
          </cell>
          <cell r="J533" t="str">
            <v>CPC1</v>
          </cell>
          <cell r="K533" t="str">
            <v>2703</v>
          </cell>
          <cell r="L533" t="str">
            <v>MULTIPOX</v>
          </cell>
          <cell r="M533" t="str">
            <v>270302</v>
          </cell>
          <cell r="N533" t="str">
            <v>MULTIPOX BASE</v>
          </cell>
        </row>
        <row r="534">
          <cell r="C534" t="str">
            <v>100001523</v>
          </cell>
          <cell r="D534" t="str">
            <v>MX-99 BEIGE VN-22.5KP</v>
          </cell>
          <cell r="E534" t="str">
            <v>ZFGD</v>
          </cell>
          <cell r="F534" t="str">
            <v>PC</v>
          </cell>
          <cell r="G534" t="str">
            <v>2</v>
          </cell>
          <cell r="H534" t="str">
            <v>RETAIL</v>
          </cell>
          <cell r="I534" t="str">
            <v>27</v>
          </cell>
          <cell r="J534" t="str">
            <v>CPC1</v>
          </cell>
          <cell r="K534" t="str">
            <v>2703</v>
          </cell>
          <cell r="L534" t="str">
            <v>MULTIPOX</v>
          </cell>
          <cell r="M534" t="str">
            <v>270302</v>
          </cell>
          <cell r="N534" t="str">
            <v>MULTIPOX BASE</v>
          </cell>
        </row>
        <row r="535">
          <cell r="C535" t="str">
            <v>100001524</v>
          </cell>
          <cell r="D535" t="str">
            <v>MX-99 GERANIUM VN-1KS</v>
          </cell>
          <cell r="E535" t="str">
            <v>ZFGD</v>
          </cell>
          <cell r="F535" t="str">
            <v>SET</v>
          </cell>
          <cell r="G535" t="str">
            <v>2</v>
          </cell>
          <cell r="H535" t="str">
            <v>RETAIL</v>
          </cell>
          <cell r="I535" t="str">
            <v>27</v>
          </cell>
          <cell r="J535" t="str">
            <v>CPC1</v>
          </cell>
          <cell r="K535" t="str">
            <v>2703</v>
          </cell>
          <cell r="L535" t="str">
            <v>MULTIPOX</v>
          </cell>
          <cell r="M535" t="str">
            <v>270302</v>
          </cell>
          <cell r="N535" t="str">
            <v>MULTIPOX BASE</v>
          </cell>
        </row>
        <row r="536">
          <cell r="C536" t="str">
            <v>100001525</v>
          </cell>
          <cell r="D536" t="str">
            <v>MX-99 GERANIUM VN-0.6K</v>
          </cell>
          <cell r="E536" t="str">
            <v>ZFGD</v>
          </cell>
          <cell r="F536" t="str">
            <v>PC</v>
          </cell>
          <cell r="G536" t="str">
            <v>2</v>
          </cell>
          <cell r="H536" t="str">
            <v>RETAIL</v>
          </cell>
          <cell r="I536" t="str">
            <v>27</v>
          </cell>
          <cell r="J536" t="str">
            <v>CPC1</v>
          </cell>
          <cell r="K536" t="str">
            <v>2703</v>
          </cell>
          <cell r="L536" t="str">
            <v>MULTIPOX</v>
          </cell>
          <cell r="M536" t="str">
            <v>270302</v>
          </cell>
          <cell r="N536" t="str">
            <v>MULTIPOX BASE</v>
          </cell>
        </row>
        <row r="537">
          <cell r="C537" t="str">
            <v>100001526</v>
          </cell>
          <cell r="D537" t="str">
            <v>MX-99 GERANIUM VN-4KS</v>
          </cell>
          <cell r="E537" t="str">
            <v>ZFGD</v>
          </cell>
          <cell r="F537" t="str">
            <v>SET</v>
          </cell>
          <cell r="G537" t="str">
            <v>2</v>
          </cell>
          <cell r="H537" t="str">
            <v>RETAIL</v>
          </cell>
          <cell r="I537" t="str">
            <v>27</v>
          </cell>
          <cell r="J537" t="str">
            <v>CPC1</v>
          </cell>
          <cell r="K537" t="str">
            <v>2703</v>
          </cell>
          <cell r="L537" t="str">
            <v>MULTIPOX</v>
          </cell>
          <cell r="M537" t="str">
            <v>270302</v>
          </cell>
          <cell r="N537" t="str">
            <v>MULTIPOX BASE</v>
          </cell>
        </row>
        <row r="538">
          <cell r="C538" t="str">
            <v>100001527</v>
          </cell>
          <cell r="D538" t="str">
            <v>MX-99 GERANIUM VN-3K</v>
          </cell>
          <cell r="E538" t="str">
            <v>ZFGD</v>
          </cell>
          <cell r="F538" t="str">
            <v>PC</v>
          </cell>
          <cell r="G538" t="str">
            <v>2</v>
          </cell>
          <cell r="H538" t="str">
            <v>RETAIL</v>
          </cell>
          <cell r="I538" t="str">
            <v>27</v>
          </cell>
          <cell r="J538" t="str">
            <v>CPC1</v>
          </cell>
          <cell r="K538" t="str">
            <v>2703</v>
          </cell>
          <cell r="L538" t="str">
            <v>MULTIPOX</v>
          </cell>
          <cell r="M538" t="str">
            <v>270302</v>
          </cell>
          <cell r="N538" t="str">
            <v>MULTIPOX BASE</v>
          </cell>
        </row>
        <row r="539">
          <cell r="C539" t="str">
            <v>100001528</v>
          </cell>
          <cell r="D539" t="str">
            <v>MX-99 GERANIUM VN-20KSP</v>
          </cell>
          <cell r="E539" t="str">
            <v>ZFGD</v>
          </cell>
          <cell r="F539" t="str">
            <v>SET</v>
          </cell>
          <cell r="G539" t="str">
            <v>2</v>
          </cell>
          <cell r="H539" t="str">
            <v>RETAIL</v>
          </cell>
          <cell r="I539" t="str">
            <v>27</v>
          </cell>
          <cell r="J539" t="str">
            <v>CPC1</v>
          </cell>
          <cell r="K539" t="str">
            <v>2703</v>
          </cell>
          <cell r="L539" t="str">
            <v>MULTIPOX</v>
          </cell>
          <cell r="M539" t="str">
            <v>270302</v>
          </cell>
          <cell r="N539" t="str">
            <v>MULTIPOX BASE</v>
          </cell>
        </row>
        <row r="540">
          <cell r="C540" t="str">
            <v>100001529</v>
          </cell>
          <cell r="D540" t="str">
            <v>MX-99 GERANIUM VN-15KP</v>
          </cell>
          <cell r="E540" t="str">
            <v>ZFGD</v>
          </cell>
          <cell r="F540" t="str">
            <v>PC</v>
          </cell>
          <cell r="G540" t="str">
            <v>2</v>
          </cell>
          <cell r="H540" t="str">
            <v>RETAIL</v>
          </cell>
          <cell r="I540" t="str">
            <v>27</v>
          </cell>
          <cell r="J540" t="str">
            <v>CPC1</v>
          </cell>
          <cell r="K540" t="str">
            <v>2703</v>
          </cell>
          <cell r="L540" t="str">
            <v>MULTIPOX</v>
          </cell>
          <cell r="M540" t="str">
            <v>270302</v>
          </cell>
          <cell r="N540" t="str">
            <v>MULTIPOX BASE</v>
          </cell>
        </row>
        <row r="541">
          <cell r="C541" t="str">
            <v>100001530</v>
          </cell>
          <cell r="D541" t="str">
            <v>MX-99 GERANIUM VN-30KSP</v>
          </cell>
          <cell r="E541" t="str">
            <v>ZFGD</v>
          </cell>
          <cell r="F541" t="str">
            <v>SET</v>
          </cell>
          <cell r="G541" t="str">
            <v>2</v>
          </cell>
          <cell r="H541" t="str">
            <v>RETAIL</v>
          </cell>
          <cell r="I541" t="str">
            <v>27</v>
          </cell>
          <cell r="J541" t="str">
            <v>CPC1</v>
          </cell>
          <cell r="K541" t="str">
            <v>2703</v>
          </cell>
          <cell r="L541" t="str">
            <v>MULTIPOX</v>
          </cell>
          <cell r="M541" t="str">
            <v>270302</v>
          </cell>
          <cell r="N541" t="str">
            <v>MULTIPOX BASE</v>
          </cell>
        </row>
        <row r="542">
          <cell r="C542" t="str">
            <v>100001531</v>
          </cell>
          <cell r="D542" t="str">
            <v>MX-99 GERANIUM VN-22.5KP</v>
          </cell>
          <cell r="E542" t="str">
            <v>ZFGD</v>
          </cell>
          <cell r="F542" t="str">
            <v>PC</v>
          </cell>
          <cell r="G542" t="str">
            <v>2</v>
          </cell>
          <cell r="H542" t="str">
            <v>RETAIL</v>
          </cell>
          <cell r="I542" t="str">
            <v>27</v>
          </cell>
          <cell r="J542" t="str">
            <v>CPC1</v>
          </cell>
          <cell r="K542" t="str">
            <v>2703</v>
          </cell>
          <cell r="L542" t="str">
            <v>MULTIPOX</v>
          </cell>
          <cell r="M542" t="str">
            <v>270302</v>
          </cell>
          <cell r="N542" t="str">
            <v>MULTIPOX BASE</v>
          </cell>
        </row>
        <row r="543">
          <cell r="C543" t="str">
            <v>100001532</v>
          </cell>
          <cell r="D543" t="str">
            <v>MX-99 LIGHT ALABASTAR VN-1KS</v>
          </cell>
          <cell r="E543" t="str">
            <v>ZFGD</v>
          </cell>
          <cell r="F543" t="str">
            <v>SET</v>
          </cell>
          <cell r="G543" t="str">
            <v>2</v>
          </cell>
          <cell r="H543" t="str">
            <v>RETAIL</v>
          </cell>
          <cell r="I543" t="str">
            <v>27</v>
          </cell>
          <cell r="J543" t="str">
            <v>CPC1</v>
          </cell>
          <cell r="K543" t="str">
            <v>2703</v>
          </cell>
          <cell r="L543" t="str">
            <v>MULTIPOX</v>
          </cell>
          <cell r="M543" t="str">
            <v>270302</v>
          </cell>
          <cell r="N543" t="str">
            <v>MULTIPOX BASE</v>
          </cell>
        </row>
        <row r="544">
          <cell r="C544" t="str">
            <v>100001533</v>
          </cell>
          <cell r="D544" t="str">
            <v>MX-99 LIGHT ALABASTAR VN-0.6K</v>
          </cell>
          <cell r="E544" t="str">
            <v>ZFGD</v>
          </cell>
          <cell r="F544" t="str">
            <v>PC</v>
          </cell>
          <cell r="G544" t="str">
            <v>2</v>
          </cell>
          <cell r="H544" t="str">
            <v>RETAIL</v>
          </cell>
          <cell r="I544" t="str">
            <v>27</v>
          </cell>
          <cell r="J544" t="str">
            <v>CPC1</v>
          </cell>
          <cell r="K544" t="str">
            <v>2703</v>
          </cell>
          <cell r="L544" t="str">
            <v>MULTIPOX</v>
          </cell>
          <cell r="M544" t="str">
            <v>270302</v>
          </cell>
          <cell r="N544" t="str">
            <v>MULTIPOX BASE</v>
          </cell>
        </row>
        <row r="545">
          <cell r="C545" t="str">
            <v>100001534</v>
          </cell>
          <cell r="D545" t="str">
            <v>MX-99 LIGHT ALABASTAR VN-4KS</v>
          </cell>
          <cell r="E545" t="str">
            <v>ZFGD</v>
          </cell>
          <cell r="F545" t="str">
            <v>SET</v>
          </cell>
          <cell r="G545" t="str">
            <v>2</v>
          </cell>
          <cell r="H545" t="str">
            <v>RETAIL</v>
          </cell>
          <cell r="I545" t="str">
            <v>27</v>
          </cell>
          <cell r="J545" t="str">
            <v>CPC1</v>
          </cell>
          <cell r="K545" t="str">
            <v>2703</v>
          </cell>
          <cell r="L545" t="str">
            <v>MULTIPOX</v>
          </cell>
          <cell r="M545" t="str">
            <v>270302</v>
          </cell>
          <cell r="N545" t="str">
            <v>MULTIPOX BASE</v>
          </cell>
        </row>
        <row r="546">
          <cell r="C546" t="str">
            <v>100001535</v>
          </cell>
          <cell r="D546" t="str">
            <v>MX-99 LIGHT ALABASTAR VN-3K</v>
          </cell>
          <cell r="E546" t="str">
            <v>ZFGD</v>
          </cell>
          <cell r="F546" t="str">
            <v>PC</v>
          </cell>
          <cell r="G546" t="str">
            <v>2</v>
          </cell>
          <cell r="H546" t="str">
            <v>RETAIL</v>
          </cell>
          <cell r="I546" t="str">
            <v>27</v>
          </cell>
          <cell r="J546" t="str">
            <v>CPC1</v>
          </cell>
          <cell r="K546" t="str">
            <v>2703</v>
          </cell>
          <cell r="L546" t="str">
            <v>MULTIPOX</v>
          </cell>
          <cell r="M546" t="str">
            <v>270302</v>
          </cell>
          <cell r="N546" t="str">
            <v>MULTIPOX BASE</v>
          </cell>
        </row>
        <row r="547">
          <cell r="C547" t="str">
            <v>100001536</v>
          </cell>
          <cell r="D547" t="str">
            <v>MX-99 LIGHT ALABASTAR VN-20KSP</v>
          </cell>
          <cell r="E547" t="str">
            <v>ZFGD</v>
          </cell>
          <cell r="F547" t="str">
            <v>SET</v>
          </cell>
          <cell r="G547" t="str">
            <v>2</v>
          </cell>
          <cell r="H547" t="str">
            <v>RETAIL</v>
          </cell>
          <cell r="I547" t="str">
            <v>27</v>
          </cell>
          <cell r="J547" t="str">
            <v>CPC1</v>
          </cell>
          <cell r="K547" t="str">
            <v>2703</v>
          </cell>
          <cell r="L547" t="str">
            <v>MULTIPOX</v>
          </cell>
          <cell r="M547" t="str">
            <v>270302</v>
          </cell>
          <cell r="N547" t="str">
            <v>MULTIPOX BASE</v>
          </cell>
        </row>
        <row r="548">
          <cell r="C548" t="str">
            <v>100001537</v>
          </cell>
          <cell r="D548" t="str">
            <v>MX-99 LIGHT ALABASTAR VN-15KP</v>
          </cell>
          <cell r="E548" t="str">
            <v>ZFGD</v>
          </cell>
          <cell r="F548" t="str">
            <v>PC</v>
          </cell>
          <cell r="G548" t="str">
            <v>2</v>
          </cell>
          <cell r="H548" t="str">
            <v>RETAIL</v>
          </cell>
          <cell r="I548" t="str">
            <v>27</v>
          </cell>
          <cell r="J548" t="str">
            <v>CPC1</v>
          </cell>
          <cell r="K548" t="str">
            <v>2703</v>
          </cell>
          <cell r="L548" t="str">
            <v>MULTIPOX</v>
          </cell>
          <cell r="M548" t="str">
            <v>270302</v>
          </cell>
          <cell r="N548" t="str">
            <v>MULTIPOX BASE</v>
          </cell>
        </row>
        <row r="549">
          <cell r="C549" t="str">
            <v>100001538</v>
          </cell>
          <cell r="D549" t="str">
            <v>MX-99 LIGHT ALABASTAR VN-30KSP</v>
          </cell>
          <cell r="E549" t="str">
            <v>ZFGD</v>
          </cell>
          <cell r="F549" t="str">
            <v>SET</v>
          </cell>
          <cell r="G549" t="str">
            <v>2</v>
          </cell>
          <cell r="H549" t="str">
            <v>RETAIL</v>
          </cell>
          <cell r="I549" t="str">
            <v>27</v>
          </cell>
          <cell r="J549" t="str">
            <v>CPC1</v>
          </cell>
          <cell r="K549" t="str">
            <v>2703</v>
          </cell>
          <cell r="L549" t="str">
            <v>MULTIPOX</v>
          </cell>
          <cell r="M549" t="str">
            <v>270302</v>
          </cell>
          <cell r="N549" t="str">
            <v>MULTIPOX BASE</v>
          </cell>
        </row>
        <row r="550">
          <cell r="C550" t="str">
            <v>100001539</v>
          </cell>
          <cell r="D550" t="str">
            <v>MX-99 LIGHT ALABASTAR VN-22.5KP</v>
          </cell>
          <cell r="E550" t="str">
            <v>ZFGD</v>
          </cell>
          <cell r="F550" t="str">
            <v>PC</v>
          </cell>
          <cell r="G550" t="str">
            <v>2</v>
          </cell>
          <cell r="H550" t="str">
            <v>RETAIL</v>
          </cell>
          <cell r="I550" t="str">
            <v>27</v>
          </cell>
          <cell r="J550" t="str">
            <v>CPC1</v>
          </cell>
          <cell r="K550" t="str">
            <v>2703</v>
          </cell>
          <cell r="L550" t="str">
            <v>MULTIPOX</v>
          </cell>
          <cell r="M550" t="str">
            <v>270302</v>
          </cell>
          <cell r="N550" t="str">
            <v>MULTIPOX BASE</v>
          </cell>
        </row>
        <row r="551">
          <cell r="C551" t="str">
            <v>100001540</v>
          </cell>
          <cell r="D551" t="str">
            <v>MX-99 LIGHT BLUE VN-1KS</v>
          </cell>
          <cell r="E551" t="str">
            <v>ZFGD</v>
          </cell>
          <cell r="F551" t="str">
            <v>SET</v>
          </cell>
          <cell r="G551" t="str">
            <v>2</v>
          </cell>
          <cell r="H551" t="str">
            <v>RETAIL</v>
          </cell>
          <cell r="I551" t="str">
            <v>27</v>
          </cell>
          <cell r="J551" t="str">
            <v>CPC1</v>
          </cell>
          <cell r="K551" t="str">
            <v>2703</v>
          </cell>
          <cell r="L551" t="str">
            <v>MULTIPOX</v>
          </cell>
          <cell r="M551" t="str">
            <v>270302</v>
          </cell>
          <cell r="N551" t="str">
            <v>MULTIPOX BASE</v>
          </cell>
        </row>
        <row r="552">
          <cell r="C552" t="str">
            <v>100001541</v>
          </cell>
          <cell r="D552" t="str">
            <v>MX-99 LIGHT BLUE VN-0.6K</v>
          </cell>
          <cell r="E552" t="str">
            <v>ZFGD</v>
          </cell>
          <cell r="F552" t="str">
            <v>PC</v>
          </cell>
          <cell r="G552" t="str">
            <v>2</v>
          </cell>
          <cell r="H552" t="str">
            <v>RETAIL</v>
          </cell>
          <cell r="I552" t="str">
            <v>27</v>
          </cell>
          <cell r="J552" t="str">
            <v>CPC1</v>
          </cell>
          <cell r="K552" t="str">
            <v>2703</v>
          </cell>
          <cell r="L552" t="str">
            <v>MULTIPOX</v>
          </cell>
          <cell r="M552" t="str">
            <v>270302</v>
          </cell>
          <cell r="N552" t="str">
            <v>MULTIPOX BASE</v>
          </cell>
        </row>
        <row r="553">
          <cell r="C553" t="str">
            <v>100001542</v>
          </cell>
          <cell r="D553" t="str">
            <v>MX-99 LIGHT BLUE VN-4KS</v>
          </cell>
          <cell r="E553" t="str">
            <v>ZFGD</v>
          </cell>
          <cell r="F553" t="str">
            <v>SET</v>
          </cell>
          <cell r="G553" t="str">
            <v>2</v>
          </cell>
          <cell r="H553" t="str">
            <v>RETAIL</v>
          </cell>
          <cell r="I553" t="str">
            <v>27</v>
          </cell>
          <cell r="J553" t="str">
            <v>CPC1</v>
          </cell>
          <cell r="K553" t="str">
            <v>2703</v>
          </cell>
          <cell r="L553" t="str">
            <v>MULTIPOX</v>
          </cell>
          <cell r="M553" t="str">
            <v>270302</v>
          </cell>
          <cell r="N553" t="str">
            <v>MULTIPOX BASE</v>
          </cell>
        </row>
        <row r="554">
          <cell r="C554" t="str">
            <v>100001543</v>
          </cell>
          <cell r="D554" t="str">
            <v>MX-99 LIGHT BLUE VN-3K</v>
          </cell>
          <cell r="E554" t="str">
            <v>ZFGD</v>
          </cell>
          <cell r="F554" t="str">
            <v>PC</v>
          </cell>
          <cell r="G554" t="str">
            <v>2</v>
          </cell>
          <cell r="H554" t="str">
            <v>RETAIL</v>
          </cell>
          <cell r="I554" t="str">
            <v>27</v>
          </cell>
          <cell r="J554" t="str">
            <v>CPC1</v>
          </cell>
          <cell r="K554" t="str">
            <v>2703</v>
          </cell>
          <cell r="L554" t="str">
            <v>MULTIPOX</v>
          </cell>
          <cell r="M554" t="str">
            <v>270302</v>
          </cell>
          <cell r="N554" t="str">
            <v>MULTIPOX BASE</v>
          </cell>
        </row>
        <row r="555">
          <cell r="C555" t="str">
            <v>100001544</v>
          </cell>
          <cell r="D555" t="str">
            <v>MX-99 LIGHT BLUE VN-20KSP</v>
          </cell>
          <cell r="E555" t="str">
            <v>ZFGD</v>
          </cell>
          <cell r="F555" t="str">
            <v>SET</v>
          </cell>
          <cell r="G555" t="str">
            <v>2</v>
          </cell>
          <cell r="H555" t="str">
            <v>RETAIL</v>
          </cell>
          <cell r="I555" t="str">
            <v>27</v>
          </cell>
          <cell r="J555" t="str">
            <v>CPC1</v>
          </cell>
          <cell r="K555" t="str">
            <v>2703</v>
          </cell>
          <cell r="L555" t="str">
            <v>MULTIPOX</v>
          </cell>
          <cell r="M555" t="str">
            <v>270302</v>
          </cell>
          <cell r="N555" t="str">
            <v>MULTIPOX BASE</v>
          </cell>
        </row>
        <row r="556">
          <cell r="C556" t="str">
            <v>100001545</v>
          </cell>
          <cell r="D556" t="str">
            <v>MX-99 LIGHT BLUE VN-15KP</v>
          </cell>
          <cell r="E556" t="str">
            <v>ZFGD</v>
          </cell>
          <cell r="F556" t="str">
            <v>PC</v>
          </cell>
          <cell r="G556" t="str">
            <v>2</v>
          </cell>
          <cell r="H556" t="str">
            <v>RETAIL</v>
          </cell>
          <cell r="I556" t="str">
            <v>27</v>
          </cell>
          <cell r="J556" t="str">
            <v>CPC1</v>
          </cell>
          <cell r="K556" t="str">
            <v>2703</v>
          </cell>
          <cell r="L556" t="str">
            <v>MULTIPOX</v>
          </cell>
          <cell r="M556" t="str">
            <v>270302</v>
          </cell>
          <cell r="N556" t="str">
            <v>MULTIPOX BASE</v>
          </cell>
        </row>
        <row r="557">
          <cell r="C557" t="str">
            <v>100001546</v>
          </cell>
          <cell r="D557" t="str">
            <v>MX-99 LIGHT BLUE VN-30KSP</v>
          </cell>
          <cell r="E557" t="str">
            <v>ZFGD</v>
          </cell>
          <cell r="F557" t="str">
            <v>SET</v>
          </cell>
          <cell r="G557" t="str">
            <v>2</v>
          </cell>
          <cell r="H557" t="str">
            <v>RETAIL</v>
          </cell>
          <cell r="I557" t="str">
            <v>27</v>
          </cell>
          <cell r="J557" t="str">
            <v>CPC1</v>
          </cell>
          <cell r="K557" t="str">
            <v>2703</v>
          </cell>
          <cell r="L557" t="str">
            <v>MULTIPOX</v>
          </cell>
          <cell r="M557" t="str">
            <v>270302</v>
          </cell>
          <cell r="N557" t="str">
            <v>MULTIPOX BASE</v>
          </cell>
        </row>
        <row r="558">
          <cell r="C558" t="str">
            <v>100001547</v>
          </cell>
          <cell r="D558" t="str">
            <v>MX-99 LIGHT BLUE VN-22.5KP</v>
          </cell>
          <cell r="E558" t="str">
            <v>ZFGD</v>
          </cell>
          <cell r="F558" t="str">
            <v>PC</v>
          </cell>
          <cell r="G558" t="str">
            <v>2</v>
          </cell>
          <cell r="H558" t="str">
            <v>RETAIL</v>
          </cell>
          <cell r="I558" t="str">
            <v>27</v>
          </cell>
          <cell r="J558" t="str">
            <v>CPC1</v>
          </cell>
          <cell r="K558" t="str">
            <v>2703</v>
          </cell>
          <cell r="L558" t="str">
            <v>MULTIPOX</v>
          </cell>
          <cell r="M558" t="str">
            <v>270302</v>
          </cell>
          <cell r="N558" t="str">
            <v>MULTIPOX BASE</v>
          </cell>
        </row>
        <row r="559">
          <cell r="C559" t="str">
            <v>100001548</v>
          </cell>
          <cell r="D559" t="str">
            <v>MX-99 PALE GREEN VN-1KS</v>
          </cell>
          <cell r="E559" t="str">
            <v>ZFGD</v>
          </cell>
          <cell r="F559" t="str">
            <v>SET</v>
          </cell>
          <cell r="G559" t="str">
            <v>2</v>
          </cell>
          <cell r="H559" t="str">
            <v>RETAIL</v>
          </cell>
          <cell r="I559" t="str">
            <v>27</v>
          </cell>
          <cell r="J559" t="str">
            <v>CPC1</v>
          </cell>
          <cell r="K559" t="str">
            <v>2703</v>
          </cell>
          <cell r="L559" t="str">
            <v>MULTIPOX</v>
          </cell>
          <cell r="M559" t="str">
            <v>270302</v>
          </cell>
          <cell r="N559" t="str">
            <v>MULTIPOX BASE</v>
          </cell>
        </row>
        <row r="560">
          <cell r="C560" t="str">
            <v>100001549</v>
          </cell>
          <cell r="D560" t="str">
            <v>MX-99 PALE GREEN VN-0.6K</v>
          </cell>
          <cell r="E560" t="str">
            <v>ZFGD</v>
          </cell>
          <cell r="F560" t="str">
            <v>PC</v>
          </cell>
          <cell r="G560" t="str">
            <v>2</v>
          </cell>
          <cell r="H560" t="str">
            <v>RETAIL</v>
          </cell>
          <cell r="I560" t="str">
            <v>27</v>
          </cell>
          <cell r="J560" t="str">
            <v>CPC1</v>
          </cell>
          <cell r="K560" t="str">
            <v>2703</v>
          </cell>
          <cell r="L560" t="str">
            <v>MULTIPOX</v>
          </cell>
          <cell r="M560" t="str">
            <v>270302</v>
          </cell>
          <cell r="N560" t="str">
            <v>MULTIPOX BASE</v>
          </cell>
        </row>
        <row r="561">
          <cell r="C561" t="str">
            <v>100001550</v>
          </cell>
          <cell r="D561" t="str">
            <v>MX-99 PALE GREEN VN-4KS</v>
          </cell>
          <cell r="E561" t="str">
            <v>ZFGD</v>
          </cell>
          <cell r="F561" t="str">
            <v>SET</v>
          </cell>
          <cell r="G561" t="str">
            <v>2</v>
          </cell>
          <cell r="H561" t="str">
            <v>RETAIL</v>
          </cell>
          <cell r="I561" t="str">
            <v>27</v>
          </cell>
          <cell r="J561" t="str">
            <v>CPC1</v>
          </cell>
          <cell r="K561" t="str">
            <v>2703</v>
          </cell>
          <cell r="L561" t="str">
            <v>MULTIPOX</v>
          </cell>
          <cell r="M561" t="str">
            <v>270302</v>
          </cell>
          <cell r="N561" t="str">
            <v>MULTIPOX BASE</v>
          </cell>
        </row>
        <row r="562">
          <cell r="C562" t="str">
            <v>100001551</v>
          </cell>
          <cell r="D562" t="str">
            <v>MX-99 PALE GREEN VN-3K</v>
          </cell>
          <cell r="E562" t="str">
            <v>ZFGD</v>
          </cell>
          <cell r="F562" t="str">
            <v>PC</v>
          </cell>
          <cell r="G562" t="str">
            <v>2</v>
          </cell>
          <cell r="H562" t="str">
            <v>RETAIL</v>
          </cell>
          <cell r="I562" t="str">
            <v>27</v>
          </cell>
          <cell r="J562" t="str">
            <v>CPC1</v>
          </cell>
          <cell r="K562" t="str">
            <v>2703</v>
          </cell>
          <cell r="L562" t="str">
            <v>MULTIPOX</v>
          </cell>
          <cell r="M562" t="str">
            <v>270302</v>
          </cell>
          <cell r="N562" t="str">
            <v>MULTIPOX BASE</v>
          </cell>
        </row>
        <row r="563">
          <cell r="C563" t="str">
            <v>100001552</v>
          </cell>
          <cell r="D563" t="str">
            <v>MX-99 PALE GREEN VN-20KSP</v>
          </cell>
          <cell r="E563" t="str">
            <v>ZFGD</v>
          </cell>
          <cell r="F563" t="str">
            <v>SET</v>
          </cell>
          <cell r="G563" t="str">
            <v>2</v>
          </cell>
          <cell r="H563" t="str">
            <v>RETAIL</v>
          </cell>
          <cell r="I563" t="str">
            <v>27</v>
          </cell>
          <cell r="J563" t="str">
            <v>CPC1</v>
          </cell>
          <cell r="K563" t="str">
            <v>2703</v>
          </cell>
          <cell r="L563" t="str">
            <v>MULTIPOX</v>
          </cell>
          <cell r="M563" t="str">
            <v>270302</v>
          </cell>
          <cell r="N563" t="str">
            <v>MULTIPOX BASE</v>
          </cell>
        </row>
        <row r="564">
          <cell r="C564" t="str">
            <v>100001553</v>
          </cell>
          <cell r="D564" t="str">
            <v>MX-99 PALE GREEN VN-15KP</v>
          </cell>
          <cell r="E564" t="str">
            <v>ZFGD</v>
          </cell>
          <cell r="F564" t="str">
            <v>PC</v>
          </cell>
          <cell r="G564" t="str">
            <v>2</v>
          </cell>
          <cell r="H564" t="str">
            <v>RETAIL</v>
          </cell>
          <cell r="I564" t="str">
            <v>27</v>
          </cell>
          <cell r="J564" t="str">
            <v>CPC1</v>
          </cell>
          <cell r="K564" t="str">
            <v>2703</v>
          </cell>
          <cell r="L564" t="str">
            <v>MULTIPOX</v>
          </cell>
          <cell r="M564" t="str">
            <v>270302</v>
          </cell>
          <cell r="N564" t="str">
            <v>MULTIPOX BASE</v>
          </cell>
        </row>
        <row r="565">
          <cell r="C565" t="str">
            <v>100001554</v>
          </cell>
          <cell r="D565" t="str">
            <v>MX-99 PALE GREEN VN-30KSP</v>
          </cell>
          <cell r="E565" t="str">
            <v>ZFGD</v>
          </cell>
          <cell r="F565" t="str">
            <v>SET</v>
          </cell>
          <cell r="G565" t="str">
            <v>2</v>
          </cell>
          <cell r="H565" t="str">
            <v>RETAIL</v>
          </cell>
          <cell r="I565" t="str">
            <v>27</v>
          </cell>
          <cell r="J565" t="str">
            <v>CPC1</v>
          </cell>
          <cell r="K565" t="str">
            <v>2703</v>
          </cell>
          <cell r="L565" t="str">
            <v>MULTIPOX</v>
          </cell>
          <cell r="M565" t="str">
            <v>270302</v>
          </cell>
          <cell r="N565" t="str">
            <v>MULTIPOX BASE</v>
          </cell>
        </row>
        <row r="566">
          <cell r="C566" t="str">
            <v>100001555</v>
          </cell>
          <cell r="D566" t="str">
            <v>MX-99 PALE GREEN VN-22.5KP</v>
          </cell>
          <cell r="E566" t="str">
            <v>ZFGD</v>
          </cell>
          <cell r="F566" t="str">
            <v>PC</v>
          </cell>
          <cell r="G566" t="str">
            <v>2</v>
          </cell>
          <cell r="H566" t="str">
            <v>RETAIL</v>
          </cell>
          <cell r="I566" t="str">
            <v>27</v>
          </cell>
          <cell r="J566" t="str">
            <v>CPC1</v>
          </cell>
          <cell r="K566" t="str">
            <v>2703</v>
          </cell>
          <cell r="L566" t="str">
            <v>MULTIPOX</v>
          </cell>
          <cell r="M566" t="str">
            <v>270302</v>
          </cell>
          <cell r="N566" t="str">
            <v>MULTIPOX BASE</v>
          </cell>
        </row>
        <row r="567">
          <cell r="C567" t="str">
            <v>100001556</v>
          </cell>
          <cell r="D567" t="str">
            <v>MX-99 CLEAR GLOSS VN-1KS</v>
          </cell>
          <cell r="E567" t="str">
            <v>ZFGD</v>
          </cell>
          <cell r="F567" t="str">
            <v>SET</v>
          </cell>
          <cell r="G567" t="str">
            <v>2</v>
          </cell>
          <cell r="H567" t="str">
            <v>RETAIL</v>
          </cell>
          <cell r="I567" t="str">
            <v>27</v>
          </cell>
          <cell r="J567" t="str">
            <v>CPC1</v>
          </cell>
          <cell r="K567" t="str">
            <v>2703</v>
          </cell>
          <cell r="L567" t="str">
            <v>MULTIPOX</v>
          </cell>
          <cell r="M567" t="str">
            <v>270302</v>
          </cell>
          <cell r="N567" t="str">
            <v>MULTIPOX BASE</v>
          </cell>
        </row>
        <row r="568">
          <cell r="C568" t="str">
            <v>100001557</v>
          </cell>
          <cell r="D568" t="str">
            <v>MX-99 CLEAR GLOSS VN-0.6K</v>
          </cell>
          <cell r="E568" t="str">
            <v>ZFGD</v>
          </cell>
          <cell r="F568" t="str">
            <v>PC</v>
          </cell>
          <cell r="G568" t="str">
            <v>2</v>
          </cell>
          <cell r="H568" t="str">
            <v>RETAIL</v>
          </cell>
          <cell r="I568" t="str">
            <v>27</v>
          </cell>
          <cell r="J568" t="str">
            <v>CPC1</v>
          </cell>
          <cell r="K568" t="str">
            <v>2703</v>
          </cell>
          <cell r="L568" t="str">
            <v>MULTIPOX</v>
          </cell>
          <cell r="M568" t="str">
            <v>270302</v>
          </cell>
          <cell r="N568" t="str">
            <v>MULTIPOX BASE</v>
          </cell>
        </row>
        <row r="569">
          <cell r="C569" t="str">
            <v>100001558</v>
          </cell>
          <cell r="D569" t="str">
            <v>MX-99 CLEAR GLOSS VN-4KS</v>
          </cell>
          <cell r="E569" t="str">
            <v>ZFGD</v>
          </cell>
          <cell r="F569" t="str">
            <v>SET</v>
          </cell>
          <cell r="G569" t="str">
            <v>2</v>
          </cell>
          <cell r="H569" t="str">
            <v>RETAIL</v>
          </cell>
          <cell r="I569" t="str">
            <v>27</v>
          </cell>
          <cell r="J569" t="str">
            <v>CPC1</v>
          </cell>
          <cell r="K569" t="str">
            <v>2703</v>
          </cell>
          <cell r="L569" t="str">
            <v>MULTIPOX</v>
          </cell>
          <cell r="M569" t="str">
            <v>270302</v>
          </cell>
          <cell r="N569" t="str">
            <v>MULTIPOX BASE</v>
          </cell>
        </row>
        <row r="570">
          <cell r="C570" t="str">
            <v>100001559</v>
          </cell>
          <cell r="D570" t="str">
            <v>MX-99 CLEAR GLOSS VN-3K</v>
          </cell>
          <cell r="E570" t="str">
            <v>ZFGD</v>
          </cell>
          <cell r="F570" t="str">
            <v>PC</v>
          </cell>
          <cell r="G570" t="str">
            <v>2</v>
          </cell>
          <cell r="H570" t="str">
            <v>RETAIL</v>
          </cell>
          <cell r="I570" t="str">
            <v>27</v>
          </cell>
          <cell r="J570" t="str">
            <v>CPC1</v>
          </cell>
          <cell r="K570" t="str">
            <v>2703</v>
          </cell>
          <cell r="L570" t="str">
            <v>MULTIPOX</v>
          </cell>
          <cell r="M570" t="str">
            <v>270302</v>
          </cell>
          <cell r="N570" t="str">
            <v>MULTIPOX BASE</v>
          </cell>
        </row>
        <row r="571">
          <cell r="C571" t="str">
            <v>100001560</v>
          </cell>
          <cell r="D571" t="str">
            <v>MX-99 CLEAR GLOSS VN-20KSP</v>
          </cell>
          <cell r="E571" t="str">
            <v>ZFGD</v>
          </cell>
          <cell r="F571" t="str">
            <v>SET</v>
          </cell>
          <cell r="G571" t="str">
            <v>2</v>
          </cell>
          <cell r="H571" t="str">
            <v>RETAIL</v>
          </cell>
          <cell r="I571" t="str">
            <v>27</v>
          </cell>
          <cell r="J571" t="str">
            <v>CPC1</v>
          </cell>
          <cell r="K571" t="str">
            <v>2703</v>
          </cell>
          <cell r="L571" t="str">
            <v>MULTIPOX</v>
          </cell>
          <cell r="M571" t="str">
            <v>270302</v>
          </cell>
          <cell r="N571" t="str">
            <v>MULTIPOX BASE</v>
          </cell>
        </row>
        <row r="572">
          <cell r="C572" t="str">
            <v>100001561</v>
          </cell>
          <cell r="D572" t="str">
            <v>MX-99 CLEAR GLOSS VN-15KP</v>
          </cell>
          <cell r="E572" t="str">
            <v>ZFGD</v>
          </cell>
          <cell r="F572" t="str">
            <v>PC</v>
          </cell>
          <cell r="G572" t="str">
            <v>2</v>
          </cell>
          <cell r="H572" t="str">
            <v>RETAIL</v>
          </cell>
          <cell r="I572" t="str">
            <v>27</v>
          </cell>
          <cell r="J572" t="str">
            <v>CPC1</v>
          </cell>
          <cell r="K572" t="str">
            <v>2703</v>
          </cell>
          <cell r="L572" t="str">
            <v>MULTIPOX</v>
          </cell>
          <cell r="M572" t="str">
            <v>270302</v>
          </cell>
          <cell r="N572" t="str">
            <v>MULTIPOX BASE</v>
          </cell>
        </row>
        <row r="573">
          <cell r="C573" t="str">
            <v>100001562</v>
          </cell>
          <cell r="D573" t="str">
            <v>MX-99 CLEAR GLOSS VN-30KSP</v>
          </cell>
          <cell r="E573" t="str">
            <v>ZFGD</v>
          </cell>
          <cell r="F573" t="str">
            <v>SET</v>
          </cell>
          <cell r="G573" t="str">
            <v>2</v>
          </cell>
          <cell r="H573" t="str">
            <v>RETAIL</v>
          </cell>
          <cell r="I573" t="str">
            <v>27</v>
          </cell>
          <cell r="J573" t="str">
            <v>CPC1</v>
          </cell>
          <cell r="K573" t="str">
            <v>2703</v>
          </cell>
          <cell r="L573" t="str">
            <v>MULTIPOX</v>
          </cell>
          <cell r="M573" t="str">
            <v>270302</v>
          </cell>
          <cell r="N573" t="str">
            <v>MULTIPOX BASE</v>
          </cell>
        </row>
        <row r="574">
          <cell r="C574" t="str">
            <v>100001563</v>
          </cell>
          <cell r="D574" t="str">
            <v>MX-99 CLEAR GLOSS VN-22.5KP</v>
          </cell>
          <cell r="E574" t="str">
            <v>ZFGD</v>
          </cell>
          <cell r="F574" t="str">
            <v>PC</v>
          </cell>
          <cell r="G574" t="str">
            <v>2</v>
          </cell>
          <cell r="H574" t="str">
            <v>RETAIL</v>
          </cell>
          <cell r="I574" t="str">
            <v>27</v>
          </cell>
          <cell r="J574" t="str">
            <v>CPC1</v>
          </cell>
          <cell r="K574" t="str">
            <v>2703</v>
          </cell>
          <cell r="L574" t="str">
            <v>MULTIPOX</v>
          </cell>
          <cell r="M574" t="str">
            <v>270302</v>
          </cell>
          <cell r="N574" t="str">
            <v>MULTIPOX BASE</v>
          </cell>
        </row>
        <row r="575">
          <cell r="C575" t="str">
            <v>100001564</v>
          </cell>
          <cell r="D575" t="str">
            <v>MX-99 GREY VN-1KS</v>
          </cell>
          <cell r="E575" t="str">
            <v>ZFGD</v>
          </cell>
          <cell r="F575" t="str">
            <v>SET</v>
          </cell>
          <cell r="G575" t="str">
            <v>2</v>
          </cell>
          <cell r="H575" t="str">
            <v>RETAIL</v>
          </cell>
          <cell r="I575" t="str">
            <v>27</v>
          </cell>
          <cell r="J575" t="str">
            <v>CPC1</v>
          </cell>
          <cell r="K575" t="str">
            <v>2703</v>
          </cell>
          <cell r="L575" t="str">
            <v>MULTIPOX</v>
          </cell>
          <cell r="M575" t="str">
            <v>270302</v>
          </cell>
          <cell r="N575" t="str">
            <v>MULTIPOX BASE</v>
          </cell>
        </row>
        <row r="576">
          <cell r="C576" t="str">
            <v>100001565</v>
          </cell>
          <cell r="D576" t="str">
            <v>MX-99 GREY VN-0.6K</v>
          </cell>
          <cell r="E576" t="str">
            <v>ZFGD</v>
          </cell>
          <cell r="F576" t="str">
            <v>PC</v>
          </cell>
          <cell r="G576" t="str">
            <v>2</v>
          </cell>
          <cell r="H576" t="str">
            <v>RETAIL</v>
          </cell>
          <cell r="I576" t="str">
            <v>27</v>
          </cell>
          <cell r="J576" t="str">
            <v>CPC1</v>
          </cell>
          <cell r="K576" t="str">
            <v>2703</v>
          </cell>
          <cell r="L576" t="str">
            <v>MULTIPOX</v>
          </cell>
          <cell r="M576" t="str">
            <v>270302</v>
          </cell>
          <cell r="N576" t="str">
            <v>MULTIPOX BASE</v>
          </cell>
        </row>
        <row r="577">
          <cell r="C577" t="str">
            <v>100001566</v>
          </cell>
          <cell r="D577" t="str">
            <v>MX-99 GREY VN-4KS</v>
          </cell>
          <cell r="E577" t="str">
            <v>ZFGD</v>
          </cell>
          <cell r="F577" t="str">
            <v>SET</v>
          </cell>
          <cell r="G577" t="str">
            <v>2</v>
          </cell>
          <cell r="H577" t="str">
            <v>RETAIL</v>
          </cell>
          <cell r="I577" t="str">
            <v>27</v>
          </cell>
          <cell r="J577" t="str">
            <v>CPC1</v>
          </cell>
          <cell r="K577" t="str">
            <v>2703</v>
          </cell>
          <cell r="L577" t="str">
            <v>MULTIPOX</v>
          </cell>
          <cell r="M577" t="str">
            <v>270302</v>
          </cell>
          <cell r="N577" t="str">
            <v>MULTIPOX BASE</v>
          </cell>
        </row>
        <row r="578">
          <cell r="C578" t="str">
            <v>100001567</v>
          </cell>
          <cell r="D578" t="str">
            <v>MX-99 GREY VN-3K</v>
          </cell>
          <cell r="E578" t="str">
            <v>ZFGD</v>
          </cell>
          <cell r="F578" t="str">
            <v>PC</v>
          </cell>
          <cell r="G578" t="str">
            <v>2</v>
          </cell>
          <cell r="H578" t="str">
            <v>RETAIL</v>
          </cell>
          <cell r="I578" t="str">
            <v>27</v>
          </cell>
          <cell r="J578" t="str">
            <v>CPC1</v>
          </cell>
          <cell r="K578" t="str">
            <v>2703</v>
          </cell>
          <cell r="L578" t="str">
            <v>MULTIPOX</v>
          </cell>
          <cell r="M578" t="str">
            <v>270302</v>
          </cell>
          <cell r="N578" t="str">
            <v>MULTIPOX BASE</v>
          </cell>
        </row>
        <row r="579">
          <cell r="C579" t="str">
            <v>100001568</v>
          </cell>
          <cell r="D579" t="str">
            <v>MX-99 GREY VN-20KSP</v>
          </cell>
          <cell r="E579" t="str">
            <v>ZFGD</v>
          </cell>
          <cell r="F579" t="str">
            <v>SET</v>
          </cell>
          <cell r="G579" t="str">
            <v>2</v>
          </cell>
          <cell r="H579" t="str">
            <v>RETAIL</v>
          </cell>
          <cell r="I579" t="str">
            <v>27</v>
          </cell>
          <cell r="J579" t="str">
            <v>CPC1</v>
          </cell>
          <cell r="K579" t="str">
            <v>2703</v>
          </cell>
          <cell r="L579" t="str">
            <v>MULTIPOX</v>
          </cell>
          <cell r="M579" t="str">
            <v>270302</v>
          </cell>
          <cell r="N579" t="str">
            <v>MULTIPOX BASE</v>
          </cell>
        </row>
        <row r="580">
          <cell r="C580" t="str">
            <v>100001569</v>
          </cell>
          <cell r="D580" t="str">
            <v>MX-99 GREY VN-15KP</v>
          </cell>
          <cell r="E580" t="str">
            <v>ZFGD</v>
          </cell>
          <cell r="F580" t="str">
            <v>PC</v>
          </cell>
          <cell r="G580" t="str">
            <v>2</v>
          </cell>
          <cell r="H580" t="str">
            <v>RETAIL</v>
          </cell>
          <cell r="I580" t="str">
            <v>27</v>
          </cell>
          <cell r="J580" t="str">
            <v>CPC1</v>
          </cell>
          <cell r="K580" t="str">
            <v>2703</v>
          </cell>
          <cell r="L580" t="str">
            <v>MULTIPOX</v>
          </cell>
          <cell r="M580" t="str">
            <v>270302</v>
          </cell>
          <cell r="N580" t="str">
            <v>MULTIPOX BASE</v>
          </cell>
        </row>
        <row r="581">
          <cell r="C581" t="str">
            <v>100001570</v>
          </cell>
          <cell r="D581" t="str">
            <v>MX-99 GREY VN-30KSP</v>
          </cell>
          <cell r="E581" t="str">
            <v>ZFGD</v>
          </cell>
          <cell r="F581" t="str">
            <v>SET</v>
          </cell>
          <cell r="G581" t="str">
            <v>2</v>
          </cell>
          <cell r="H581" t="str">
            <v>RETAIL</v>
          </cell>
          <cell r="I581" t="str">
            <v>27</v>
          </cell>
          <cell r="J581" t="str">
            <v>CPC1</v>
          </cell>
          <cell r="K581" t="str">
            <v>2703</v>
          </cell>
          <cell r="L581" t="str">
            <v>MULTIPOX</v>
          </cell>
          <cell r="M581" t="str">
            <v>270302</v>
          </cell>
          <cell r="N581" t="str">
            <v>MULTIPOX BASE</v>
          </cell>
        </row>
        <row r="582">
          <cell r="C582" t="str">
            <v>100001571</v>
          </cell>
          <cell r="D582" t="str">
            <v>MX-99 GREY VN-22.5KP</v>
          </cell>
          <cell r="E582" t="str">
            <v>ZFGD</v>
          </cell>
          <cell r="F582" t="str">
            <v>PC</v>
          </cell>
          <cell r="G582" t="str">
            <v>2</v>
          </cell>
          <cell r="H582" t="str">
            <v>RETAIL</v>
          </cell>
          <cell r="I582" t="str">
            <v>27</v>
          </cell>
          <cell r="J582" t="str">
            <v>CPC1</v>
          </cell>
          <cell r="K582" t="str">
            <v>2703</v>
          </cell>
          <cell r="L582" t="str">
            <v>MULTIPOX</v>
          </cell>
          <cell r="M582" t="str">
            <v>270302</v>
          </cell>
          <cell r="N582" t="str">
            <v>MULTIPOX BASE</v>
          </cell>
        </row>
        <row r="583">
          <cell r="C583" t="str">
            <v>100001572</v>
          </cell>
          <cell r="D583" t="str">
            <v>MX-99 GREY COOP VN-1KS</v>
          </cell>
          <cell r="E583" t="str">
            <v>ZFGD</v>
          </cell>
          <cell r="F583" t="str">
            <v>SET</v>
          </cell>
          <cell r="G583" t="str">
            <v>2</v>
          </cell>
          <cell r="H583" t="str">
            <v>RETAIL</v>
          </cell>
          <cell r="I583" t="str">
            <v>27</v>
          </cell>
          <cell r="J583" t="str">
            <v>CPC1</v>
          </cell>
          <cell r="K583" t="str">
            <v>2703</v>
          </cell>
          <cell r="L583" t="str">
            <v>MULTIPOX</v>
          </cell>
          <cell r="M583" t="str">
            <v>270302</v>
          </cell>
          <cell r="N583" t="str">
            <v>MULTIPOX BASE</v>
          </cell>
        </row>
        <row r="584">
          <cell r="C584" t="str">
            <v>100001573</v>
          </cell>
          <cell r="D584" t="str">
            <v>MX-99 GREY COOP VN-0.6K</v>
          </cell>
          <cell r="E584" t="str">
            <v>ZFGD</v>
          </cell>
          <cell r="F584" t="str">
            <v>PC</v>
          </cell>
          <cell r="G584" t="str">
            <v>2</v>
          </cell>
          <cell r="H584" t="str">
            <v>RETAIL</v>
          </cell>
          <cell r="I584" t="str">
            <v>27</v>
          </cell>
          <cell r="J584" t="str">
            <v>CPC1</v>
          </cell>
          <cell r="K584" t="str">
            <v>2703</v>
          </cell>
          <cell r="L584" t="str">
            <v>MULTIPOX</v>
          </cell>
          <cell r="M584" t="str">
            <v>270302</v>
          </cell>
          <cell r="N584" t="str">
            <v>MULTIPOX BASE</v>
          </cell>
        </row>
        <row r="585">
          <cell r="C585" t="str">
            <v>100001574</v>
          </cell>
          <cell r="D585" t="str">
            <v>MX-99 GREY COOP VN-4KS</v>
          </cell>
          <cell r="E585" t="str">
            <v>ZFGD</v>
          </cell>
          <cell r="F585" t="str">
            <v>SET</v>
          </cell>
          <cell r="G585" t="str">
            <v>2</v>
          </cell>
          <cell r="H585" t="str">
            <v>RETAIL</v>
          </cell>
          <cell r="I585" t="str">
            <v>27</v>
          </cell>
          <cell r="J585" t="str">
            <v>CPC1</v>
          </cell>
          <cell r="K585" t="str">
            <v>2703</v>
          </cell>
          <cell r="L585" t="str">
            <v>MULTIPOX</v>
          </cell>
          <cell r="M585" t="str">
            <v>270302</v>
          </cell>
          <cell r="N585" t="str">
            <v>MULTIPOX BASE</v>
          </cell>
        </row>
        <row r="586">
          <cell r="C586" t="str">
            <v>100001575</v>
          </cell>
          <cell r="D586" t="str">
            <v>MX-99 GREY COOP VN-3K</v>
          </cell>
          <cell r="E586" t="str">
            <v>ZFGD</v>
          </cell>
          <cell r="F586" t="str">
            <v>PC</v>
          </cell>
          <cell r="G586" t="str">
            <v>2</v>
          </cell>
          <cell r="H586" t="str">
            <v>RETAIL</v>
          </cell>
          <cell r="I586" t="str">
            <v>27</v>
          </cell>
          <cell r="J586" t="str">
            <v>CPC1</v>
          </cell>
          <cell r="K586" t="str">
            <v>2703</v>
          </cell>
          <cell r="L586" t="str">
            <v>MULTIPOX</v>
          </cell>
          <cell r="M586" t="str">
            <v>270302</v>
          </cell>
          <cell r="N586" t="str">
            <v>MULTIPOX BASE</v>
          </cell>
        </row>
        <row r="587">
          <cell r="C587" t="str">
            <v>100001576</v>
          </cell>
          <cell r="D587" t="str">
            <v>MX-99 GREY COOP VN-20KSP</v>
          </cell>
          <cell r="E587" t="str">
            <v>ZFGD</v>
          </cell>
          <cell r="F587" t="str">
            <v>SET</v>
          </cell>
          <cell r="G587" t="str">
            <v>2</v>
          </cell>
          <cell r="H587" t="str">
            <v>RETAIL</v>
          </cell>
          <cell r="I587" t="str">
            <v>27</v>
          </cell>
          <cell r="J587" t="str">
            <v>CPC1</v>
          </cell>
          <cell r="K587" t="str">
            <v>2703</v>
          </cell>
          <cell r="L587" t="str">
            <v>MULTIPOX</v>
          </cell>
          <cell r="M587" t="str">
            <v>270302</v>
          </cell>
          <cell r="N587" t="str">
            <v>MULTIPOX BASE</v>
          </cell>
        </row>
        <row r="588">
          <cell r="C588" t="str">
            <v>100001577</v>
          </cell>
          <cell r="D588" t="str">
            <v>MX-99 GREY COOP VN-15KP</v>
          </cell>
          <cell r="E588" t="str">
            <v>ZFGD</v>
          </cell>
          <cell r="F588" t="str">
            <v>PC</v>
          </cell>
          <cell r="G588" t="str">
            <v>2</v>
          </cell>
          <cell r="H588" t="str">
            <v>RETAIL</v>
          </cell>
          <cell r="I588" t="str">
            <v>27</v>
          </cell>
          <cell r="J588" t="str">
            <v>CPC1</v>
          </cell>
          <cell r="K588" t="str">
            <v>2703</v>
          </cell>
          <cell r="L588" t="str">
            <v>MULTIPOX</v>
          </cell>
          <cell r="M588" t="str">
            <v>270302</v>
          </cell>
          <cell r="N588" t="str">
            <v>MULTIPOX BASE</v>
          </cell>
        </row>
        <row r="589">
          <cell r="C589" t="str">
            <v>100001578</v>
          </cell>
          <cell r="D589" t="str">
            <v>MX-99 GREY COOP VN-30KSP</v>
          </cell>
          <cell r="E589" t="str">
            <v>ZFGD</v>
          </cell>
          <cell r="F589" t="str">
            <v>SET</v>
          </cell>
          <cell r="G589" t="str">
            <v>2</v>
          </cell>
          <cell r="H589" t="str">
            <v>RETAIL</v>
          </cell>
          <cell r="I589" t="str">
            <v>27</v>
          </cell>
          <cell r="J589" t="str">
            <v>CPC1</v>
          </cell>
          <cell r="K589" t="str">
            <v>2703</v>
          </cell>
          <cell r="L589" t="str">
            <v>MULTIPOX</v>
          </cell>
          <cell r="M589" t="str">
            <v>270302</v>
          </cell>
          <cell r="N589" t="str">
            <v>MULTIPOX BASE</v>
          </cell>
        </row>
        <row r="590">
          <cell r="C590" t="str">
            <v>100001579</v>
          </cell>
          <cell r="D590" t="str">
            <v>MX-99 GREY COOP VN-22.5KP</v>
          </cell>
          <cell r="E590" t="str">
            <v>ZFGD</v>
          </cell>
          <cell r="F590" t="str">
            <v>PC</v>
          </cell>
          <cell r="G590" t="str">
            <v>2</v>
          </cell>
          <cell r="H590" t="str">
            <v>RETAIL</v>
          </cell>
          <cell r="I590" t="str">
            <v>27</v>
          </cell>
          <cell r="J590" t="str">
            <v>CPC1</v>
          </cell>
          <cell r="K590" t="str">
            <v>2703</v>
          </cell>
          <cell r="L590" t="str">
            <v>MULTIPOX</v>
          </cell>
          <cell r="M590" t="str">
            <v>270302</v>
          </cell>
          <cell r="N590" t="str">
            <v>MULTIPOX BASE</v>
          </cell>
        </row>
        <row r="591">
          <cell r="C591" t="str">
            <v>100001580</v>
          </cell>
          <cell r="D591" t="str">
            <v>MX-99 PEPPER VN-1KS</v>
          </cell>
          <cell r="E591" t="str">
            <v>ZFGD</v>
          </cell>
          <cell r="F591" t="str">
            <v>SET</v>
          </cell>
          <cell r="G591" t="str">
            <v>2</v>
          </cell>
          <cell r="H591" t="str">
            <v>RETAIL</v>
          </cell>
          <cell r="I591" t="str">
            <v>27</v>
          </cell>
          <cell r="J591" t="str">
            <v>CPC1</v>
          </cell>
          <cell r="K591" t="str">
            <v>2703</v>
          </cell>
          <cell r="L591" t="str">
            <v>MULTIPOX</v>
          </cell>
          <cell r="M591" t="str">
            <v>270302</v>
          </cell>
          <cell r="N591" t="str">
            <v>MULTIPOX BASE</v>
          </cell>
        </row>
        <row r="592">
          <cell r="C592" t="str">
            <v>100001581</v>
          </cell>
          <cell r="D592" t="str">
            <v>MX-99 PEPPER VN-0.6K</v>
          </cell>
          <cell r="E592" t="str">
            <v>ZFGD</v>
          </cell>
          <cell r="F592" t="str">
            <v>PC</v>
          </cell>
          <cell r="G592" t="str">
            <v>2</v>
          </cell>
          <cell r="H592" t="str">
            <v>RETAIL</v>
          </cell>
          <cell r="I592" t="str">
            <v>27</v>
          </cell>
          <cell r="J592" t="str">
            <v>CPC1</v>
          </cell>
          <cell r="K592" t="str">
            <v>2703</v>
          </cell>
          <cell r="L592" t="str">
            <v>MULTIPOX</v>
          </cell>
          <cell r="M592" t="str">
            <v>270302</v>
          </cell>
          <cell r="N592" t="str">
            <v>MULTIPOX BASE</v>
          </cell>
        </row>
        <row r="593">
          <cell r="C593" t="str">
            <v>100001582</v>
          </cell>
          <cell r="D593" t="str">
            <v>MX-99 PEPPER VN-4KS</v>
          </cell>
          <cell r="E593" t="str">
            <v>ZFGD</v>
          </cell>
          <cell r="F593" t="str">
            <v>SET</v>
          </cell>
          <cell r="G593" t="str">
            <v>2</v>
          </cell>
          <cell r="H593" t="str">
            <v>RETAIL</v>
          </cell>
          <cell r="I593" t="str">
            <v>27</v>
          </cell>
          <cell r="J593" t="str">
            <v>CPC1</v>
          </cell>
          <cell r="K593" t="str">
            <v>2703</v>
          </cell>
          <cell r="L593" t="str">
            <v>MULTIPOX</v>
          </cell>
          <cell r="M593" t="str">
            <v>270302</v>
          </cell>
          <cell r="N593" t="str">
            <v>MULTIPOX BASE</v>
          </cell>
        </row>
        <row r="594">
          <cell r="C594" t="str">
            <v>100001583</v>
          </cell>
          <cell r="D594" t="str">
            <v>MX-99 PEPPER VN-3K</v>
          </cell>
          <cell r="E594" t="str">
            <v>ZFGD</v>
          </cell>
          <cell r="F594" t="str">
            <v>PC</v>
          </cell>
          <cell r="G594" t="str">
            <v>2</v>
          </cell>
          <cell r="H594" t="str">
            <v>RETAIL</v>
          </cell>
          <cell r="I594" t="str">
            <v>27</v>
          </cell>
          <cell r="J594" t="str">
            <v>CPC1</v>
          </cell>
          <cell r="K594" t="str">
            <v>2703</v>
          </cell>
          <cell r="L594" t="str">
            <v>MULTIPOX</v>
          </cell>
          <cell r="M594" t="str">
            <v>270302</v>
          </cell>
          <cell r="N594" t="str">
            <v>MULTIPOX BASE</v>
          </cell>
        </row>
        <row r="595">
          <cell r="C595" t="str">
            <v>100001584</v>
          </cell>
          <cell r="D595" t="str">
            <v>MX-99 PEPPER VN-20KSP</v>
          </cell>
          <cell r="E595" t="str">
            <v>ZFGD</v>
          </cell>
          <cell r="F595" t="str">
            <v>SET</v>
          </cell>
          <cell r="G595" t="str">
            <v>2</v>
          </cell>
          <cell r="H595" t="str">
            <v>RETAIL</v>
          </cell>
          <cell r="I595" t="str">
            <v>27</v>
          </cell>
          <cell r="J595" t="str">
            <v>CPC1</v>
          </cell>
          <cell r="K595" t="str">
            <v>2703</v>
          </cell>
          <cell r="L595" t="str">
            <v>MULTIPOX</v>
          </cell>
          <cell r="M595" t="str">
            <v>270302</v>
          </cell>
          <cell r="N595" t="str">
            <v>MULTIPOX BASE</v>
          </cell>
        </row>
        <row r="596">
          <cell r="C596" t="str">
            <v>100001585</v>
          </cell>
          <cell r="D596" t="str">
            <v>MX-99 PEPPER VN-15KP</v>
          </cell>
          <cell r="E596" t="str">
            <v>ZFGD</v>
          </cell>
          <cell r="F596" t="str">
            <v>PC</v>
          </cell>
          <cell r="G596" t="str">
            <v>2</v>
          </cell>
          <cell r="H596" t="str">
            <v>RETAIL</v>
          </cell>
          <cell r="I596" t="str">
            <v>27</v>
          </cell>
          <cell r="J596" t="str">
            <v>CPC1</v>
          </cell>
          <cell r="K596" t="str">
            <v>2703</v>
          </cell>
          <cell r="L596" t="str">
            <v>MULTIPOX</v>
          </cell>
          <cell r="M596" t="str">
            <v>270302</v>
          </cell>
          <cell r="N596" t="str">
            <v>MULTIPOX BASE</v>
          </cell>
        </row>
        <row r="597">
          <cell r="C597" t="str">
            <v>100001586</v>
          </cell>
          <cell r="D597" t="str">
            <v>MX-99 PEPPER VN-30KSP</v>
          </cell>
          <cell r="E597" t="str">
            <v>ZFGD</v>
          </cell>
          <cell r="F597" t="str">
            <v>SET</v>
          </cell>
          <cell r="G597" t="str">
            <v>2</v>
          </cell>
          <cell r="H597" t="str">
            <v>RETAIL</v>
          </cell>
          <cell r="I597" t="str">
            <v>27</v>
          </cell>
          <cell r="J597" t="str">
            <v>CPC1</v>
          </cell>
          <cell r="K597" t="str">
            <v>2703</v>
          </cell>
          <cell r="L597" t="str">
            <v>MULTIPOX</v>
          </cell>
          <cell r="M597" t="str">
            <v>270302</v>
          </cell>
          <cell r="N597" t="str">
            <v>MULTIPOX BASE</v>
          </cell>
        </row>
        <row r="598">
          <cell r="C598" t="str">
            <v>100001587</v>
          </cell>
          <cell r="D598" t="str">
            <v>MX-99 PEPPER VN-22.5KP</v>
          </cell>
          <cell r="E598" t="str">
            <v>ZFGD</v>
          </cell>
          <cell r="F598" t="str">
            <v>PC</v>
          </cell>
          <cell r="G598" t="str">
            <v>2</v>
          </cell>
          <cell r="H598" t="str">
            <v>RETAIL</v>
          </cell>
          <cell r="I598" t="str">
            <v>27</v>
          </cell>
          <cell r="J598" t="str">
            <v>CPC1</v>
          </cell>
          <cell r="K598" t="str">
            <v>2703</v>
          </cell>
          <cell r="L598" t="str">
            <v>MULTIPOX</v>
          </cell>
          <cell r="M598" t="str">
            <v>270302</v>
          </cell>
          <cell r="N598" t="str">
            <v>MULTIPOX BASE</v>
          </cell>
        </row>
        <row r="599">
          <cell r="C599" t="str">
            <v>100001588</v>
          </cell>
          <cell r="D599" t="str">
            <v>MX-99 IRISH WHITE VN-1KS</v>
          </cell>
          <cell r="E599" t="str">
            <v>ZFGD</v>
          </cell>
          <cell r="F599" t="str">
            <v>SET</v>
          </cell>
          <cell r="G599" t="str">
            <v>2</v>
          </cell>
          <cell r="H599" t="str">
            <v>RETAIL</v>
          </cell>
          <cell r="I599" t="str">
            <v>27</v>
          </cell>
          <cell r="J599" t="str">
            <v>CPC1</v>
          </cell>
          <cell r="K599" t="str">
            <v>2703</v>
          </cell>
          <cell r="L599" t="str">
            <v>MULTIPOX</v>
          </cell>
          <cell r="M599" t="str">
            <v>270302</v>
          </cell>
          <cell r="N599" t="str">
            <v>MULTIPOX BASE</v>
          </cell>
        </row>
        <row r="600">
          <cell r="C600" t="str">
            <v>100001589</v>
          </cell>
          <cell r="D600" t="str">
            <v>MX-99 IRISH WHITE VN-0.6K</v>
          </cell>
          <cell r="E600" t="str">
            <v>ZFGD</v>
          </cell>
          <cell r="F600" t="str">
            <v>PC</v>
          </cell>
          <cell r="G600" t="str">
            <v>2</v>
          </cell>
          <cell r="H600" t="str">
            <v>RETAIL</v>
          </cell>
          <cell r="I600" t="str">
            <v>27</v>
          </cell>
          <cell r="J600" t="str">
            <v>CPC1</v>
          </cell>
          <cell r="K600" t="str">
            <v>2703</v>
          </cell>
          <cell r="L600" t="str">
            <v>MULTIPOX</v>
          </cell>
          <cell r="M600" t="str">
            <v>270302</v>
          </cell>
          <cell r="N600" t="str">
            <v>MULTIPOX BASE</v>
          </cell>
        </row>
        <row r="601">
          <cell r="C601" t="str">
            <v>100001590</v>
          </cell>
          <cell r="D601" t="str">
            <v>MX-99 IRISH WHITE VN-4KS</v>
          </cell>
          <cell r="E601" t="str">
            <v>ZFGD</v>
          </cell>
          <cell r="F601" t="str">
            <v>SET</v>
          </cell>
          <cell r="G601" t="str">
            <v>2</v>
          </cell>
          <cell r="H601" t="str">
            <v>RETAIL</v>
          </cell>
          <cell r="I601" t="str">
            <v>27</v>
          </cell>
          <cell r="J601" t="str">
            <v>CPC1</v>
          </cell>
          <cell r="K601" t="str">
            <v>2703</v>
          </cell>
          <cell r="L601" t="str">
            <v>MULTIPOX</v>
          </cell>
          <cell r="M601" t="str">
            <v>270302</v>
          </cell>
          <cell r="N601" t="str">
            <v>MULTIPOX BASE</v>
          </cell>
        </row>
        <row r="602">
          <cell r="C602" t="str">
            <v>100001591</v>
          </cell>
          <cell r="D602" t="str">
            <v>MX-99 IRISH WHITE VN-3K</v>
          </cell>
          <cell r="E602" t="str">
            <v>ZFGD</v>
          </cell>
          <cell r="F602" t="str">
            <v>PC</v>
          </cell>
          <cell r="G602" t="str">
            <v>2</v>
          </cell>
          <cell r="H602" t="str">
            <v>RETAIL</v>
          </cell>
          <cell r="I602" t="str">
            <v>27</v>
          </cell>
          <cell r="J602" t="str">
            <v>CPC1</v>
          </cell>
          <cell r="K602" t="str">
            <v>2703</v>
          </cell>
          <cell r="L602" t="str">
            <v>MULTIPOX</v>
          </cell>
          <cell r="M602" t="str">
            <v>270302</v>
          </cell>
          <cell r="N602" t="str">
            <v>MULTIPOX BASE</v>
          </cell>
        </row>
        <row r="603">
          <cell r="C603" t="str">
            <v>100001592</v>
          </cell>
          <cell r="D603" t="str">
            <v>MX-99 IRISH WHITE VN-20KSP</v>
          </cell>
          <cell r="E603" t="str">
            <v>ZFGD</v>
          </cell>
          <cell r="F603" t="str">
            <v>SET</v>
          </cell>
          <cell r="G603" t="str">
            <v>2</v>
          </cell>
          <cell r="H603" t="str">
            <v>RETAIL</v>
          </cell>
          <cell r="I603" t="str">
            <v>27</v>
          </cell>
          <cell r="J603" t="str">
            <v>CPC1</v>
          </cell>
          <cell r="K603" t="str">
            <v>2703</v>
          </cell>
          <cell r="L603" t="str">
            <v>MULTIPOX</v>
          </cell>
          <cell r="M603" t="str">
            <v>270302</v>
          </cell>
          <cell r="N603" t="str">
            <v>MULTIPOX BASE</v>
          </cell>
        </row>
        <row r="604">
          <cell r="C604" t="str">
            <v>100001593</v>
          </cell>
          <cell r="D604" t="str">
            <v>MX-99 IRISH WHITE VN-15KP</v>
          </cell>
          <cell r="E604" t="str">
            <v>ZFGD</v>
          </cell>
          <cell r="F604" t="str">
            <v>PC</v>
          </cell>
          <cell r="G604" t="str">
            <v>2</v>
          </cell>
          <cell r="H604" t="str">
            <v>RETAIL</v>
          </cell>
          <cell r="I604" t="str">
            <v>27</v>
          </cell>
          <cell r="J604" t="str">
            <v>CPC1</v>
          </cell>
          <cell r="K604" t="str">
            <v>2703</v>
          </cell>
          <cell r="L604" t="str">
            <v>MULTIPOX</v>
          </cell>
          <cell r="M604" t="str">
            <v>270302</v>
          </cell>
          <cell r="N604" t="str">
            <v>MULTIPOX BASE</v>
          </cell>
        </row>
        <row r="605">
          <cell r="C605" t="str">
            <v>100001594</v>
          </cell>
          <cell r="D605" t="str">
            <v>MX-99 IRISH WHITE VN-30KSP</v>
          </cell>
          <cell r="E605" t="str">
            <v>ZFGD</v>
          </cell>
          <cell r="F605" t="str">
            <v>SET</v>
          </cell>
          <cell r="G605" t="str">
            <v>2</v>
          </cell>
          <cell r="H605" t="str">
            <v>RETAIL</v>
          </cell>
          <cell r="I605" t="str">
            <v>27</v>
          </cell>
          <cell r="J605" t="str">
            <v>CPC1</v>
          </cell>
          <cell r="K605" t="str">
            <v>2703</v>
          </cell>
          <cell r="L605" t="str">
            <v>MULTIPOX</v>
          </cell>
          <cell r="M605" t="str">
            <v>270302</v>
          </cell>
          <cell r="N605" t="str">
            <v>MULTIPOX BASE</v>
          </cell>
        </row>
        <row r="606">
          <cell r="C606" t="str">
            <v>100001595</v>
          </cell>
          <cell r="D606" t="str">
            <v>MX-99 IRISH WHITE VN-22.5KP</v>
          </cell>
          <cell r="E606" t="str">
            <v>ZFGD</v>
          </cell>
          <cell r="F606" t="str">
            <v>PC</v>
          </cell>
          <cell r="G606" t="str">
            <v>2</v>
          </cell>
          <cell r="H606" t="str">
            <v>RETAIL</v>
          </cell>
          <cell r="I606" t="str">
            <v>27</v>
          </cell>
          <cell r="J606" t="str">
            <v>CPC1</v>
          </cell>
          <cell r="K606" t="str">
            <v>2703</v>
          </cell>
          <cell r="L606" t="str">
            <v>MULTIPOX</v>
          </cell>
          <cell r="M606" t="str">
            <v>270302</v>
          </cell>
          <cell r="N606" t="str">
            <v>MULTIPOX BASE</v>
          </cell>
        </row>
        <row r="607">
          <cell r="C607" t="str">
            <v>100001596</v>
          </cell>
          <cell r="D607" t="str">
            <v>MX-99 RAL 1028 YELLOW ORANGE VN-1KS</v>
          </cell>
          <cell r="E607" t="str">
            <v>ZFGD</v>
          </cell>
          <cell r="F607" t="str">
            <v>SET</v>
          </cell>
          <cell r="G607" t="str">
            <v>2</v>
          </cell>
          <cell r="H607" t="str">
            <v>RETAIL</v>
          </cell>
          <cell r="I607" t="str">
            <v>27</v>
          </cell>
          <cell r="J607" t="str">
            <v>CPC1</v>
          </cell>
          <cell r="K607" t="str">
            <v>2703</v>
          </cell>
          <cell r="L607" t="str">
            <v>MULTIPOX</v>
          </cell>
          <cell r="M607" t="str">
            <v>270302</v>
          </cell>
          <cell r="N607" t="str">
            <v>MULTIPOX BASE</v>
          </cell>
        </row>
        <row r="608">
          <cell r="C608" t="str">
            <v>100001597</v>
          </cell>
          <cell r="D608" t="str">
            <v>MX-99 RAL 1028 YELLOW ORANGE VN-0.6K</v>
          </cell>
          <cell r="E608" t="str">
            <v>ZFGD</v>
          </cell>
          <cell r="F608" t="str">
            <v>PC</v>
          </cell>
          <cell r="G608" t="str">
            <v>2</v>
          </cell>
          <cell r="H608" t="str">
            <v>RETAIL</v>
          </cell>
          <cell r="I608" t="str">
            <v>27</v>
          </cell>
          <cell r="J608" t="str">
            <v>CPC1</v>
          </cell>
          <cell r="K608" t="str">
            <v>2703</v>
          </cell>
          <cell r="L608" t="str">
            <v>MULTIPOX</v>
          </cell>
          <cell r="M608" t="str">
            <v>270302</v>
          </cell>
          <cell r="N608" t="str">
            <v>MULTIPOX BASE</v>
          </cell>
        </row>
        <row r="609">
          <cell r="C609" t="str">
            <v>100001598</v>
          </cell>
          <cell r="D609" t="str">
            <v>MX-99 RAL 1028 YELLOW ORANGE VN-4KS</v>
          </cell>
          <cell r="E609" t="str">
            <v>ZFGD</v>
          </cell>
          <cell r="F609" t="str">
            <v>SET</v>
          </cell>
          <cell r="G609" t="str">
            <v>2</v>
          </cell>
          <cell r="H609" t="str">
            <v>RETAIL</v>
          </cell>
          <cell r="I609" t="str">
            <v>27</v>
          </cell>
          <cell r="J609" t="str">
            <v>CPC1</v>
          </cell>
          <cell r="K609" t="str">
            <v>2703</v>
          </cell>
          <cell r="L609" t="str">
            <v>MULTIPOX</v>
          </cell>
          <cell r="M609" t="str">
            <v>270302</v>
          </cell>
          <cell r="N609" t="str">
            <v>MULTIPOX BASE</v>
          </cell>
        </row>
        <row r="610">
          <cell r="C610" t="str">
            <v>100001599</v>
          </cell>
          <cell r="D610" t="str">
            <v>MX-99 RAL 1028 YELLOW ORANGE VN-3K</v>
          </cell>
          <cell r="E610" t="str">
            <v>ZFGD</v>
          </cell>
          <cell r="F610" t="str">
            <v>PC</v>
          </cell>
          <cell r="G610" t="str">
            <v>2</v>
          </cell>
          <cell r="H610" t="str">
            <v>RETAIL</v>
          </cell>
          <cell r="I610" t="str">
            <v>27</v>
          </cell>
          <cell r="J610" t="str">
            <v>CPC1</v>
          </cell>
          <cell r="K610" t="str">
            <v>2703</v>
          </cell>
          <cell r="L610" t="str">
            <v>MULTIPOX</v>
          </cell>
          <cell r="M610" t="str">
            <v>270302</v>
          </cell>
          <cell r="N610" t="str">
            <v>MULTIPOX BASE</v>
          </cell>
        </row>
        <row r="611">
          <cell r="C611" t="str">
            <v>100001600</v>
          </cell>
          <cell r="D611" t="str">
            <v>MX-99 RAL 1028 YELLOW ORANGE VN-20KSP</v>
          </cell>
          <cell r="E611" t="str">
            <v>ZFGD</v>
          </cell>
          <cell r="F611" t="str">
            <v>SET</v>
          </cell>
          <cell r="G611" t="str">
            <v>2</v>
          </cell>
          <cell r="H611" t="str">
            <v>RETAIL</v>
          </cell>
          <cell r="I611" t="str">
            <v>27</v>
          </cell>
          <cell r="J611" t="str">
            <v>CPC1</v>
          </cell>
          <cell r="K611" t="str">
            <v>2703</v>
          </cell>
          <cell r="L611" t="str">
            <v>MULTIPOX</v>
          </cell>
          <cell r="M611" t="str">
            <v>270302</v>
          </cell>
          <cell r="N611" t="str">
            <v>MULTIPOX BASE</v>
          </cell>
        </row>
        <row r="612">
          <cell r="C612" t="str">
            <v>100001601</v>
          </cell>
          <cell r="D612" t="str">
            <v>MX-99 RAL 1028 YELLOW ORANGE VN-15KP</v>
          </cell>
          <cell r="E612" t="str">
            <v>ZFGD</v>
          </cell>
          <cell r="F612" t="str">
            <v>PC</v>
          </cell>
          <cell r="G612" t="str">
            <v>2</v>
          </cell>
          <cell r="H612" t="str">
            <v>RETAIL</v>
          </cell>
          <cell r="I612" t="str">
            <v>27</v>
          </cell>
          <cell r="J612" t="str">
            <v>CPC1</v>
          </cell>
          <cell r="K612" t="str">
            <v>2703</v>
          </cell>
          <cell r="L612" t="str">
            <v>MULTIPOX</v>
          </cell>
          <cell r="M612" t="str">
            <v>270302</v>
          </cell>
          <cell r="N612" t="str">
            <v>MULTIPOX BASE</v>
          </cell>
        </row>
        <row r="613">
          <cell r="C613" t="str">
            <v>100001602</v>
          </cell>
          <cell r="D613" t="str">
            <v>MX-99 RAL 1028 YELLOW ORANGE VN-30KSP</v>
          </cell>
          <cell r="E613" t="str">
            <v>ZFGD</v>
          </cell>
          <cell r="F613" t="str">
            <v>SET</v>
          </cell>
          <cell r="G613" t="str">
            <v>2</v>
          </cell>
          <cell r="H613" t="str">
            <v>RETAIL</v>
          </cell>
          <cell r="I613" t="str">
            <v>27</v>
          </cell>
          <cell r="J613" t="str">
            <v>CPC1</v>
          </cell>
          <cell r="K613" t="str">
            <v>2703</v>
          </cell>
          <cell r="L613" t="str">
            <v>MULTIPOX</v>
          </cell>
          <cell r="M613" t="str">
            <v>270302</v>
          </cell>
          <cell r="N613" t="str">
            <v>MULTIPOX BASE</v>
          </cell>
        </row>
        <row r="614">
          <cell r="C614" t="str">
            <v>100001603</v>
          </cell>
          <cell r="D614" t="str">
            <v>MX-99 RAL 1028 YELLOW ORANGE VN-22.5KP</v>
          </cell>
          <cell r="E614" t="str">
            <v>ZFGD</v>
          </cell>
          <cell r="F614" t="str">
            <v>PC</v>
          </cell>
          <cell r="G614" t="str">
            <v>2</v>
          </cell>
          <cell r="H614" t="str">
            <v>RETAIL</v>
          </cell>
          <cell r="I614" t="str">
            <v>27</v>
          </cell>
          <cell r="J614" t="str">
            <v>CPC1</v>
          </cell>
          <cell r="K614" t="str">
            <v>2703</v>
          </cell>
          <cell r="L614" t="str">
            <v>MULTIPOX</v>
          </cell>
          <cell r="M614" t="str">
            <v>270302</v>
          </cell>
          <cell r="N614" t="str">
            <v>MULTIPOX BASE</v>
          </cell>
        </row>
        <row r="615">
          <cell r="C615" t="str">
            <v>100001604</v>
          </cell>
          <cell r="D615" t="str">
            <v>MX-99 5775 BLUE VN-1KS</v>
          </cell>
          <cell r="E615" t="str">
            <v>ZFGD</v>
          </cell>
          <cell r="F615" t="str">
            <v>SET</v>
          </cell>
          <cell r="G615" t="str">
            <v>2</v>
          </cell>
          <cell r="H615" t="str">
            <v>RETAIL</v>
          </cell>
          <cell r="I615" t="str">
            <v>27</v>
          </cell>
          <cell r="J615" t="str">
            <v>CPC1</v>
          </cell>
          <cell r="K615" t="str">
            <v>2703</v>
          </cell>
          <cell r="L615" t="str">
            <v>MULTIPOX</v>
          </cell>
          <cell r="M615" t="str">
            <v>270302</v>
          </cell>
          <cell r="N615" t="str">
            <v>MULTIPOX BASE</v>
          </cell>
        </row>
        <row r="616">
          <cell r="C616" t="str">
            <v>100001605</v>
          </cell>
          <cell r="D616" t="str">
            <v>MX-99 5775 BLUE VN-0.6K</v>
          </cell>
          <cell r="E616" t="str">
            <v>ZFGD</v>
          </cell>
          <cell r="F616" t="str">
            <v>PC</v>
          </cell>
          <cell r="G616" t="str">
            <v>2</v>
          </cell>
          <cell r="H616" t="str">
            <v>RETAIL</v>
          </cell>
          <cell r="I616" t="str">
            <v>27</v>
          </cell>
          <cell r="J616" t="str">
            <v>CPC1</v>
          </cell>
          <cell r="K616" t="str">
            <v>2703</v>
          </cell>
          <cell r="L616" t="str">
            <v>MULTIPOX</v>
          </cell>
          <cell r="M616" t="str">
            <v>270302</v>
          </cell>
          <cell r="N616" t="str">
            <v>MULTIPOX BASE</v>
          </cell>
        </row>
        <row r="617">
          <cell r="C617" t="str">
            <v>100001606</v>
          </cell>
          <cell r="D617" t="str">
            <v>MX-99 5775 BLUE VN-4KS</v>
          </cell>
          <cell r="E617" t="str">
            <v>ZFGD</v>
          </cell>
          <cell r="F617" t="str">
            <v>SET</v>
          </cell>
          <cell r="G617" t="str">
            <v>2</v>
          </cell>
          <cell r="H617" t="str">
            <v>RETAIL</v>
          </cell>
          <cell r="I617" t="str">
            <v>27</v>
          </cell>
          <cell r="J617" t="str">
            <v>CPC1</v>
          </cell>
          <cell r="K617" t="str">
            <v>2703</v>
          </cell>
          <cell r="L617" t="str">
            <v>MULTIPOX</v>
          </cell>
          <cell r="M617" t="str">
            <v>270302</v>
          </cell>
          <cell r="N617" t="str">
            <v>MULTIPOX BASE</v>
          </cell>
        </row>
        <row r="618">
          <cell r="C618" t="str">
            <v>100001607</v>
          </cell>
          <cell r="D618" t="str">
            <v>MX-99 5775 BLUE VN-3K</v>
          </cell>
          <cell r="E618" t="str">
            <v>ZFGD</v>
          </cell>
          <cell r="F618" t="str">
            <v>PC</v>
          </cell>
          <cell r="G618" t="str">
            <v>2</v>
          </cell>
          <cell r="H618" t="str">
            <v>RETAIL</v>
          </cell>
          <cell r="I618" t="str">
            <v>27</v>
          </cell>
          <cell r="J618" t="str">
            <v>CPC1</v>
          </cell>
          <cell r="K618" t="str">
            <v>2703</v>
          </cell>
          <cell r="L618" t="str">
            <v>MULTIPOX</v>
          </cell>
          <cell r="M618" t="str">
            <v>270302</v>
          </cell>
          <cell r="N618" t="str">
            <v>MULTIPOX BASE</v>
          </cell>
        </row>
        <row r="619">
          <cell r="C619" t="str">
            <v>100001608</v>
          </cell>
          <cell r="D619" t="str">
            <v>MX-99 5775 BLUE VN-20KSP</v>
          </cell>
          <cell r="E619" t="str">
            <v>ZFGD</v>
          </cell>
          <cell r="F619" t="str">
            <v>SET</v>
          </cell>
          <cell r="G619" t="str">
            <v>2</v>
          </cell>
          <cell r="H619" t="str">
            <v>RETAIL</v>
          </cell>
          <cell r="I619" t="str">
            <v>27</v>
          </cell>
          <cell r="J619" t="str">
            <v>CPC1</v>
          </cell>
          <cell r="K619" t="str">
            <v>2703</v>
          </cell>
          <cell r="L619" t="str">
            <v>MULTIPOX</v>
          </cell>
          <cell r="M619" t="str">
            <v>270302</v>
          </cell>
          <cell r="N619" t="str">
            <v>MULTIPOX BASE</v>
          </cell>
        </row>
        <row r="620">
          <cell r="C620" t="str">
            <v>100001609</v>
          </cell>
          <cell r="D620" t="str">
            <v>MX-99 5775 BLUE VN-15KP</v>
          </cell>
          <cell r="E620" t="str">
            <v>ZFGD</v>
          </cell>
          <cell r="F620" t="str">
            <v>PC</v>
          </cell>
          <cell r="G620" t="str">
            <v>2</v>
          </cell>
          <cell r="H620" t="str">
            <v>RETAIL</v>
          </cell>
          <cell r="I620" t="str">
            <v>27</v>
          </cell>
          <cell r="J620" t="str">
            <v>CPC1</v>
          </cell>
          <cell r="K620" t="str">
            <v>2703</v>
          </cell>
          <cell r="L620" t="str">
            <v>MULTIPOX</v>
          </cell>
          <cell r="M620" t="str">
            <v>270302</v>
          </cell>
          <cell r="N620" t="str">
            <v>MULTIPOX BASE</v>
          </cell>
        </row>
        <row r="621">
          <cell r="C621" t="str">
            <v>100001610</v>
          </cell>
          <cell r="D621" t="str">
            <v>MX-99 5775 BLUE VN-30KSP</v>
          </cell>
          <cell r="E621" t="str">
            <v>ZFGD</v>
          </cell>
          <cell r="F621" t="str">
            <v>SET</v>
          </cell>
          <cell r="G621" t="str">
            <v>2</v>
          </cell>
          <cell r="H621" t="str">
            <v>RETAIL</v>
          </cell>
          <cell r="I621" t="str">
            <v>27</v>
          </cell>
          <cell r="J621" t="str">
            <v>CPC1</v>
          </cell>
          <cell r="K621" t="str">
            <v>2703</v>
          </cell>
          <cell r="L621" t="str">
            <v>MULTIPOX</v>
          </cell>
          <cell r="M621" t="str">
            <v>270302</v>
          </cell>
          <cell r="N621" t="str">
            <v>MULTIPOX BASE</v>
          </cell>
        </row>
        <row r="622">
          <cell r="C622" t="str">
            <v>100001611</v>
          </cell>
          <cell r="D622" t="str">
            <v>MX-99 5775 BLUE VN-22.5KP</v>
          </cell>
          <cell r="E622" t="str">
            <v>ZFGD</v>
          </cell>
          <cell r="F622" t="str">
            <v>PC</v>
          </cell>
          <cell r="G622" t="str">
            <v>2</v>
          </cell>
          <cell r="H622" t="str">
            <v>RETAIL</v>
          </cell>
          <cell r="I622" t="str">
            <v>27</v>
          </cell>
          <cell r="J622" t="str">
            <v>CPC1</v>
          </cell>
          <cell r="K622" t="str">
            <v>2703</v>
          </cell>
          <cell r="L622" t="str">
            <v>MULTIPOX</v>
          </cell>
          <cell r="M622" t="str">
            <v>270302</v>
          </cell>
          <cell r="N622" t="str">
            <v>MULTIPOX BASE</v>
          </cell>
        </row>
        <row r="623">
          <cell r="C623" t="str">
            <v>100001612</v>
          </cell>
          <cell r="D623" t="str">
            <v>MX-99 YELLOW VC VN-1KS</v>
          </cell>
          <cell r="E623" t="str">
            <v>ZFGD</v>
          </cell>
          <cell r="F623" t="str">
            <v>SET</v>
          </cell>
          <cell r="G623" t="str">
            <v>2</v>
          </cell>
          <cell r="H623" t="str">
            <v>RETAIL</v>
          </cell>
          <cell r="I623" t="str">
            <v>27</v>
          </cell>
          <cell r="J623" t="str">
            <v>CPC1</v>
          </cell>
          <cell r="K623" t="str">
            <v>2703</v>
          </cell>
          <cell r="L623" t="str">
            <v>MULTIPOX</v>
          </cell>
          <cell r="M623" t="str">
            <v>270302</v>
          </cell>
          <cell r="N623" t="str">
            <v>MULTIPOX BASE</v>
          </cell>
        </row>
        <row r="624">
          <cell r="C624" t="str">
            <v>100001613</v>
          </cell>
          <cell r="D624" t="str">
            <v>MX-99 YELLOW VC VN-0.6K</v>
          </cell>
          <cell r="E624" t="str">
            <v>ZFGD</v>
          </cell>
          <cell r="F624" t="str">
            <v>PC</v>
          </cell>
          <cell r="G624" t="str">
            <v>2</v>
          </cell>
          <cell r="H624" t="str">
            <v>RETAIL</v>
          </cell>
          <cell r="I624" t="str">
            <v>27</v>
          </cell>
          <cell r="J624" t="str">
            <v>CPC1</v>
          </cell>
          <cell r="K624" t="str">
            <v>2703</v>
          </cell>
          <cell r="L624" t="str">
            <v>MULTIPOX</v>
          </cell>
          <cell r="M624" t="str">
            <v>270302</v>
          </cell>
          <cell r="N624" t="str">
            <v>MULTIPOX BASE</v>
          </cell>
        </row>
        <row r="625">
          <cell r="C625" t="str">
            <v>100001614</v>
          </cell>
          <cell r="D625" t="str">
            <v>MX-99 YELLOW VC VN-4KS</v>
          </cell>
          <cell r="E625" t="str">
            <v>ZFGD</v>
          </cell>
          <cell r="F625" t="str">
            <v>SET</v>
          </cell>
          <cell r="G625" t="str">
            <v>2</v>
          </cell>
          <cell r="H625" t="str">
            <v>RETAIL</v>
          </cell>
          <cell r="I625" t="str">
            <v>27</v>
          </cell>
          <cell r="J625" t="str">
            <v>CPC1</v>
          </cell>
          <cell r="K625" t="str">
            <v>2703</v>
          </cell>
          <cell r="L625" t="str">
            <v>MULTIPOX</v>
          </cell>
          <cell r="M625" t="str">
            <v>270302</v>
          </cell>
          <cell r="N625" t="str">
            <v>MULTIPOX BASE</v>
          </cell>
        </row>
        <row r="626">
          <cell r="C626" t="str">
            <v>100001615</v>
          </cell>
          <cell r="D626" t="str">
            <v>MX-99 YELLOW VC VN-3K</v>
          </cell>
          <cell r="E626" t="str">
            <v>ZFGD</v>
          </cell>
          <cell r="F626" t="str">
            <v>PC</v>
          </cell>
          <cell r="G626" t="str">
            <v>2</v>
          </cell>
          <cell r="H626" t="str">
            <v>RETAIL</v>
          </cell>
          <cell r="I626" t="str">
            <v>27</v>
          </cell>
          <cell r="J626" t="str">
            <v>CPC1</v>
          </cell>
          <cell r="K626" t="str">
            <v>2703</v>
          </cell>
          <cell r="L626" t="str">
            <v>MULTIPOX</v>
          </cell>
          <cell r="M626" t="str">
            <v>270302</v>
          </cell>
          <cell r="N626" t="str">
            <v>MULTIPOX BASE</v>
          </cell>
        </row>
        <row r="627">
          <cell r="C627" t="str">
            <v>100001616</v>
          </cell>
          <cell r="D627" t="str">
            <v>MX-99 YELLOW VC VN-20KSP</v>
          </cell>
          <cell r="E627" t="str">
            <v>ZFGD</v>
          </cell>
          <cell r="F627" t="str">
            <v>SET</v>
          </cell>
          <cell r="G627" t="str">
            <v>2</v>
          </cell>
          <cell r="H627" t="str">
            <v>RETAIL</v>
          </cell>
          <cell r="I627" t="str">
            <v>27</v>
          </cell>
          <cell r="J627" t="str">
            <v>CPC1</v>
          </cell>
          <cell r="K627" t="str">
            <v>2703</v>
          </cell>
          <cell r="L627" t="str">
            <v>MULTIPOX</v>
          </cell>
          <cell r="M627" t="str">
            <v>270302</v>
          </cell>
          <cell r="N627" t="str">
            <v>MULTIPOX BASE</v>
          </cell>
        </row>
        <row r="628">
          <cell r="C628" t="str">
            <v>100001617</v>
          </cell>
          <cell r="D628" t="str">
            <v>MX-99 YELLOW VC VN-15KP</v>
          </cell>
          <cell r="E628" t="str">
            <v>ZFGD</v>
          </cell>
          <cell r="F628" t="str">
            <v>PC</v>
          </cell>
          <cell r="G628" t="str">
            <v>2</v>
          </cell>
          <cell r="H628" t="str">
            <v>RETAIL</v>
          </cell>
          <cell r="I628" t="str">
            <v>27</v>
          </cell>
          <cell r="J628" t="str">
            <v>CPC1</v>
          </cell>
          <cell r="K628" t="str">
            <v>2703</v>
          </cell>
          <cell r="L628" t="str">
            <v>MULTIPOX</v>
          </cell>
          <cell r="M628" t="str">
            <v>270302</v>
          </cell>
          <cell r="N628" t="str">
            <v>MULTIPOX BASE</v>
          </cell>
        </row>
        <row r="629">
          <cell r="C629" t="str">
            <v>100001618</v>
          </cell>
          <cell r="D629" t="str">
            <v>MX-99 YELLOW VC VN-30KSP</v>
          </cell>
          <cell r="E629" t="str">
            <v>ZFGD</v>
          </cell>
          <cell r="F629" t="str">
            <v>SET</v>
          </cell>
          <cell r="G629" t="str">
            <v>2</v>
          </cell>
          <cell r="H629" t="str">
            <v>RETAIL</v>
          </cell>
          <cell r="I629" t="str">
            <v>27</v>
          </cell>
          <cell r="J629" t="str">
            <v>CPC1</v>
          </cell>
          <cell r="K629" t="str">
            <v>2703</v>
          </cell>
          <cell r="L629" t="str">
            <v>MULTIPOX</v>
          </cell>
          <cell r="M629" t="str">
            <v>270302</v>
          </cell>
          <cell r="N629" t="str">
            <v>MULTIPOX BASE</v>
          </cell>
        </row>
        <row r="630">
          <cell r="C630" t="str">
            <v>100001619</v>
          </cell>
          <cell r="D630" t="str">
            <v>MX-99 YELLOW VC VN-22.5KP</v>
          </cell>
          <cell r="E630" t="str">
            <v>ZFGD</v>
          </cell>
          <cell r="F630" t="str">
            <v>PC</v>
          </cell>
          <cell r="G630" t="str">
            <v>2</v>
          </cell>
          <cell r="H630" t="str">
            <v>RETAIL</v>
          </cell>
          <cell r="I630" t="str">
            <v>27</v>
          </cell>
          <cell r="J630" t="str">
            <v>CPC1</v>
          </cell>
          <cell r="K630" t="str">
            <v>2703</v>
          </cell>
          <cell r="L630" t="str">
            <v>MULTIPOX</v>
          </cell>
          <cell r="M630" t="str">
            <v>270302</v>
          </cell>
          <cell r="N630" t="str">
            <v>MULTIPOX BASE</v>
          </cell>
        </row>
        <row r="631">
          <cell r="C631" t="str">
            <v>100001620</v>
          </cell>
          <cell r="D631" t="str">
            <v>PROPAN STONE CARE SC-50 SB VN-1L</v>
          </cell>
          <cell r="E631" t="str">
            <v>ZFGD</v>
          </cell>
          <cell r="F631" t="str">
            <v>PC</v>
          </cell>
          <cell r="G631" t="str">
            <v>2</v>
          </cell>
          <cell r="H631" t="str">
            <v>RETAIL</v>
          </cell>
          <cell r="I631" t="str">
            <v>26</v>
          </cell>
          <cell r="J631" t="str">
            <v>SFC</v>
          </cell>
          <cell r="K631" t="str">
            <v>2601</v>
          </cell>
          <cell r="L631" t="str">
            <v>STONE CARE</v>
          </cell>
          <cell r="M631" t="str">
            <v>260101</v>
          </cell>
          <cell r="N631" t="str">
            <v>PROPAN STONE CARE</v>
          </cell>
        </row>
        <row r="632">
          <cell r="C632" t="str">
            <v>100001621</v>
          </cell>
          <cell r="D632" t="str">
            <v>AP-281 OXIDE RED VN-0.8K</v>
          </cell>
          <cell r="E632" t="str">
            <v>ZFGD</v>
          </cell>
          <cell r="F632" t="str">
            <v>PC</v>
          </cell>
          <cell r="G632" t="str">
            <v>5</v>
          </cell>
          <cell r="H632" t="str">
            <v>PROJECT</v>
          </cell>
          <cell r="I632" t="str">
            <v>59</v>
          </cell>
          <cell r="J632" t="str">
            <v>MPC</v>
          </cell>
          <cell r="K632" t="str">
            <v>5904</v>
          </cell>
          <cell r="L632" t="str">
            <v>METALKOTE</v>
          </cell>
          <cell r="M632" t="str">
            <v>590401</v>
          </cell>
          <cell r="N632" t="str">
            <v>METALKOTE-ALKYD SYS</v>
          </cell>
        </row>
        <row r="633">
          <cell r="C633" t="str">
            <v>100001622</v>
          </cell>
          <cell r="D633" t="str">
            <v>#NOT USED AP-281 OXIDE RED VN-3K</v>
          </cell>
          <cell r="E633" t="str">
            <v>ZFGD</v>
          </cell>
          <cell r="F633" t="str">
            <v>PC</v>
          </cell>
          <cell r="G633" t="str">
            <v>2</v>
          </cell>
          <cell r="H633" t="str">
            <v>RETAIL</v>
          </cell>
          <cell r="I633" t="str">
            <v>29</v>
          </cell>
          <cell r="J633" t="str">
            <v>MPC</v>
          </cell>
          <cell r="K633" t="str">
            <v>2901</v>
          </cell>
          <cell r="L633" t="str">
            <v>METALKOTE</v>
          </cell>
          <cell r="M633" t="str">
            <v>290101</v>
          </cell>
          <cell r="N633" t="str">
            <v>METALKOTE-ALKYD SYS</v>
          </cell>
        </row>
        <row r="634">
          <cell r="C634" t="str">
            <v>100001623</v>
          </cell>
          <cell r="D634" t="str">
            <v>AP-281-01 ZINC PHOSPHATE VN-0.8K</v>
          </cell>
          <cell r="E634" t="str">
            <v>ZFGD</v>
          </cell>
          <cell r="F634" t="str">
            <v>PC</v>
          </cell>
          <cell r="G634" t="str">
            <v>5</v>
          </cell>
          <cell r="H634" t="str">
            <v>PROJECT</v>
          </cell>
          <cell r="I634" t="str">
            <v>59</v>
          </cell>
          <cell r="J634" t="str">
            <v>MPC</v>
          </cell>
          <cell r="K634" t="str">
            <v>5904</v>
          </cell>
          <cell r="L634" t="str">
            <v>METALKOTE</v>
          </cell>
          <cell r="M634" t="str">
            <v>590401</v>
          </cell>
          <cell r="N634" t="str">
            <v>METALKOTE-ALKYD SYS</v>
          </cell>
        </row>
        <row r="635">
          <cell r="C635" t="str">
            <v>100001624</v>
          </cell>
          <cell r="D635" t="str">
            <v>AP-281-01 ZINC PHOSPHATE VN-3K</v>
          </cell>
          <cell r="E635" t="str">
            <v>ZFGD</v>
          </cell>
          <cell r="F635" t="str">
            <v>PC</v>
          </cell>
          <cell r="G635" t="str">
            <v>5</v>
          </cell>
          <cell r="H635" t="str">
            <v>PROJECT</v>
          </cell>
          <cell r="I635" t="str">
            <v>59</v>
          </cell>
          <cell r="J635" t="str">
            <v>MPC</v>
          </cell>
          <cell r="K635" t="str">
            <v>5904</v>
          </cell>
          <cell r="L635" t="str">
            <v>METALKOTE</v>
          </cell>
          <cell r="M635" t="str">
            <v>590401</v>
          </cell>
          <cell r="N635" t="str">
            <v>METALKOTE-ALKYD SYS</v>
          </cell>
        </row>
        <row r="636">
          <cell r="C636" t="str">
            <v>100001625</v>
          </cell>
          <cell r="D636" t="str">
            <v>AP-281-01 RED OXIDE VN-0.8K</v>
          </cell>
          <cell r="E636" t="str">
            <v>ZFGD</v>
          </cell>
          <cell r="F636" t="str">
            <v>PC</v>
          </cell>
          <cell r="G636" t="str">
            <v>5</v>
          </cell>
          <cell r="H636" t="str">
            <v>PROJECT</v>
          </cell>
          <cell r="I636" t="str">
            <v>59</v>
          </cell>
          <cell r="J636" t="str">
            <v>MPC</v>
          </cell>
          <cell r="K636" t="str">
            <v>5904</v>
          </cell>
          <cell r="L636" t="str">
            <v>METALKOTE</v>
          </cell>
          <cell r="M636" t="str">
            <v>590401</v>
          </cell>
          <cell r="N636" t="str">
            <v>METALKOTE-ALKYD SYS</v>
          </cell>
        </row>
        <row r="637">
          <cell r="C637" t="str">
            <v>100001626</v>
          </cell>
          <cell r="D637" t="str">
            <v>AP-281-01 RED OXIDE VN-3K</v>
          </cell>
          <cell r="E637" t="str">
            <v>ZFGD</v>
          </cell>
          <cell r="F637" t="str">
            <v>PC</v>
          </cell>
          <cell r="G637" t="str">
            <v>5</v>
          </cell>
          <cell r="H637" t="str">
            <v>PROJECT</v>
          </cell>
          <cell r="I637" t="str">
            <v>59</v>
          </cell>
          <cell r="J637" t="str">
            <v>MPC</v>
          </cell>
          <cell r="K637" t="str">
            <v>5904</v>
          </cell>
          <cell r="L637" t="str">
            <v>METALKOTE</v>
          </cell>
          <cell r="M637" t="str">
            <v>590401</v>
          </cell>
          <cell r="N637" t="str">
            <v>METALKOTE-ALKYD SYS</v>
          </cell>
        </row>
        <row r="638">
          <cell r="C638" t="str">
            <v>100001627</v>
          </cell>
          <cell r="D638" t="str">
            <v>NOT USED EDP-551 ZINC PHOSPHATE VN-1KS</v>
          </cell>
          <cell r="E638" t="str">
            <v>ZFGD</v>
          </cell>
          <cell r="F638" t="str">
            <v>SET</v>
          </cell>
          <cell r="G638" t="str">
            <v>2</v>
          </cell>
          <cell r="H638" t="str">
            <v>RETAIL</v>
          </cell>
          <cell r="I638" t="str">
            <v>29</v>
          </cell>
          <cell r="J638" t="str">
            <v>MPC</v>
          </cell>
          <cell r="K638" t="str">
            <v>2901</v>
          </cell>
          <cell r="L638" t="str">
            <v>METALKOTE</v>
          </cell>
          <cell r="M638" t="str">
            <v>290102</v>
          </cell>
          <cell r="N638" t="str">
            <v>METALKOTE-EPOXY SYS</v>
          </cell>
        </row>
        <row r="639">
          <cell r="C639" t="str">
            <v>100001628</v>
          </cell>
          <cell r="D639" t="str">
            <v>EDP-551 ZINC PHOSPHATE (XÁM) VN-0.9K</v>
          </cell>
          <cell r="E639" t="str">
            <v>ZFGD</v>
          </cell>
          <cell r="F639" t="str">
            <v>PC</v>
          </cell>
          <cell r="G639" t="str">
            <v>5</v>
          </cell>
          <cell r="H639" t="str">
            <v>PROJECT</v>
          </cell>
          <cell r="I639" t="str">
            <v>59</v>
          </cell>
          <cell r="J639" t="str">
            <v>MPC</v>
          </cell>
          <cell r="K639" t="str">
            <v>5904</v>
          </cell>
          <cell r="L639" t="str">
            <v>METALKOTE</v>
          </cell>
          <cell r="M639" t="str">
            <v>590402</v>
          </cell>
          <cell r="N639" t="str">
            <v>METALKOTE-EPOXY SYS</v>
          </cell>
        </row>
        <row r="640">
          <cell r="C640" t="str">
            <v>100001629</v>
          </cell>
          <cell r="D640" t="str">
            <v>EDP-551 ZINC PHOSPHATE (XÁM) VN-5KS</v>
          </cell>
          <cell r="E640" t="str">
            <v>ZFGD</v>
          </cell>
          <cell r="F640" t="str">
            <v>SET</v>
          </cell>
          <cell r="G640" t="str">
            <v>5</v>
          </cell>
          <cell r="H640" t="str">
            <v>PROJECT</v>
          </cell>
          <cell r="I640" t="str">
            <v>59</v>
          </cell>
          <cell r="J640" t="str">
            <v>MPC</v>
          </cell>
          <cell r="K640" t="str">
            <v>5904</v>
          </cell>
          <cell r="L640" t="str">
            <v>METALKOTE</v>
          </cell>
          <cell r="M640" t="str">
            <v>590402</v>
          </cell>
          <cell r="N640" t="str">
            <v>METALKOTE-EPOXY SYS</v>
          </cell>
        </row>
        <row r="641">
          <cell r="C641" t="str">
            <v>100001630</v>
          </cell>
          <cell r="D641" t="str">
            <v>EDP-551 ZINC PHOSPHATE (XÁM) VN-4.5K</v>
          </cell>
          <cell r="E641" t="str">
            <v>ZFGD</v>
          </cell>
          <cell r="F641" t="str">
            <v>PC</v>
          </cell>
          <cell r="G641" t="str">
            <v>5</v>
          </cell>
          <cell r="H641" t="str">
            <v>PROJECT</v>
          </cell>
          <cell r="I641" t="str">
            <v>59</v>
          </cell>
          <cell r="J641" t="str">
            <v>MPC</v>
          </cell>
          <cell r="K641" t="str">
            <v>5904</v>
          </cell>
          <cell r="L641" t="str">
            <v>METALKOTE</v>
          </cell>
          <cell r="M641" t="str">
            <v>590402</v>
          </cell>
          <cell r="N641" t="str">
            <v>METALKOTE-EPOXY SYS</v>
          </cell>
        </row>
        <row r="642">
          <cell r="C642" t="str">
            <v>100001631</v>
          </cell>
          <cell r="D642" t="str">
            <v>EDP-551 ZINC PHOSPHATE (XÁM) VN-20KSP</v>
          </cell>
          <cell r="E642" t="str">
            <v>ZFGD</v>
          </cell>
          <cell r="F642" t="str">
            <v>SET</v>
          </cell>
          <cell r="G642" t="str">
            <v>5</v>
          </cell>
          <cell r="H642" t="str">
            <v>PROJECT</v>
          </cell>
          <cell r="I642" t="str">
            <v>59</v>
          </cell>
          <cell r="J642" t="str">
            <v>MPC</v>
          </cell>
          <cell r="K642" t="str">
            <v>5904</v>
          </cell>
          <cell r="L642" t="str">
            <v>METALKOTE</v>
          </cell>
          <cell r="M642" t="str">
            <v>590402</v>
          </cell>
          <cell r="N642" t="str">
            <v>METALKOTE-EPOXY SYS</v>
          </cell>
        </row>
        <row r="643">
          <cell r="C643" t="str">
            <v>100001632</v>
          </cell>
          <cell r="D643" t="str">
            <v>EDP-551 ZINC PHOSPHATE (XÁM) VN-18KP</v>
          </cell>
          <cell r="E643" t="str">
            <v>ZFGD</v>
          </cell>
          <cell r="F643" t="str">
            <v>PC</v>
          </cell>
          <cell r="G643" t="str">
            <v>5</v>
          </cell>
          <cell r="H643" t="str">
            <v>PROJECT</v>
          </cell>
          <cell r="I643" t="str">
            <v>59</v>
          </cell>
          <cell r="J643" t="str">
            <v>MPC</v>
          </cell>
          <cell r="K643" t="str">
            <v>5904</v>
          </cell>
          <cell r="L643" t="str">
            <v>METALKOTE</v>
          </cell>
          <cell r="M643" t="str">
            <v>590402</v>
          </cell>
          <cell r="N643" t="str">
            <v>METALKOTE-EPOXY SYS</v>
          </cell>
        </row>
        <row r="644">
          <cell r="C644" t="str">
            <v>100001633</v>
          </cell>
          <cell r="D644" t="str">
            <v>#NOT USED EDP-551 ZINC CHROMATE VN-1KS</v>
          </cell>
          <cell r="E644" t="str">
            <v>ZFGD</v>
          </cell>
          <cell r="F644" t="str">
            <v>SET</v>
          </cell>
          <cell r="G644" t="str">
            <v>2</v>
          </cell>
          <cell r="H644" t="str">
            <v>RETAIL</v>
          </cell>
          <cell r="I644" t="str">
            <v>29</v>
          </cell>
          <cell r="J644" t="str">
            <v>MPC</v>
          </cell>
          <cell r="K644" t="str">
            <v>2901</v>
          </cell>
          <cell r="L644" t="str">
            <v>METALKOTE</v>
          </cell>
          <cell r="M644" t="str">
            <v>290102</v>
          </cell>
          <cell r="N644" t="str">
            <v>METALKOTE-EPOXY SYS</v>
          </cell>
        </row>
        <row r="645">
          <cell r="C645" t="str">
            <v>100001634</v>
          </cell>
          <cell r="D645" t="str">
            <v>EDP-551 ZINC CHROMATE (XANH) VN-0.9K</v>
          </cell>
          <cell r="E645" t="str">
            <v>ZFGD</v>
          </cell>
          <cell r="F645" t="str">
            <v>PC</v>
          </cell>
          <cell r="G645" t="str">
            <v>5</v>
          </cell>
          <cell r="H645" t="str">
            <v>PROJECT</v>
          </cell>
          <cell r="I645" t="str">
            <v>59</v>
          </cell>
          <cell r="J645" t="str">
            <v>MPC</v>
          </cell>
          <cell r="K645" t="str">
            <v>5904</v>
          </cell>
          <cell r="L645" t="str">
            <v>METALKOTE</v>
          </cell>
          <cell r="M645" t="str">
            <v>590402</v>
          </cell>
          <cell r="N645" t="str">
            <v>METALKOTE-EPOXY SYS</v>
          </cell>
        </row>
        <row r="646">
          <cell r="C646" t="str">
            <v>100001635</v>
          </cell>
          <cell r="D646" t="str">
            <v>EDP-551 ZINC CHROMATE (XANH) VN-5KS</v>
          </cell>
          <cell r="E646" t="str">
            <v>ZFGD</v>
          </cell>
          <cell r="F646" t="str">
            <v>SET</v>
          </cell>
          <cell r="G646" t="str">
            <v>5</v>
          </cell>
          <cell r="H646" t="str">
            <v>PROJECT</v>
          </cell>
          <cell r="I646" t="str">
            <v>59</v>
          </cell>
          <cell r="J646" t="str">
            <v>MPC</v>
          </cell>
          <cell r="K646" t="str">
            <v>5904</v>
          </cell>
          <cell r="L646" t="str">
            <v>METALKOTE</v>
          </cell>
          <cell r="M646" t="str">
            <v>590402</v>
          </cell>
          <cell r="N646" t="str">
            <v>METALKOTE-EPOXY SYS</v>
          </cell>
        </row>
        <row r="647">
          <cell r="C647" t="str">
            <v>100001636</v>
          </cell>
          <cell r="D647" t="str">
            <v>EDP-551 ZINC CHROMATE (XANH) VN-4.5K</v>
          </cell>
          <cell r="E647" t="str">
            <v>ZFGD</v>
          </cell>
          <cell r="F647" t="str">
            <v>PC</v>
          </cell>
          <cell r="G647" t="str">
            <v>5</v>
          </cell>
          <cell r="H647" t="str">
            <v>PROJECT</v>
          </cell>
          <cell r="I647" t="str">
            <v>59</v>
          </cell>
          <cell r="J647" t="str">
            <v>MPC</v>
          </cell>
          <cell r="K647" t="str">
            <v>5904</v>
          </cell>
          <cell r="L647" t="str">
            <v>METALKOTE</v>
          </cell>
          <cell r="M647" t="str">
            <v>590402</v>
          </cell>
          <cell r="N647" t="str">
            <v>METALKOTE-EPOXY SYS</v>
          </cell>
        </row>
        <row r="648">
          <cell r="C648" t="str">
            <v>100001637</v>
          </cell>
          <cell r="D648" t="str">
            <v>EDP-551 ZINC CHROMATE (XANH) VN-20KSP</v>
          </cell>
          <cell r="E648" t="str">
            <v>ZFGD</v>
          </cell>
          <cell r="F648" t="str">
            <v>SET</v>
          </cell>
          <cell r="G648" t="str">
            <v>5</v>
          </cell>
          <cell r="H648" t="str">
            <v>PROJECT</v>
          </cell>
          <cell r="I648" t="str">
            <v>59</v>
          </cell>
          <cell r="J648" t="str">
            <v>MPC</v>
          </cell>
          <cell r="K648" t="str">
            <v>5904</v>
          </cell>
          <cell r="L648" t="str">
            <v>METALKOTE</v>
          </cell>
          <cell r="M648" t="str">
            <v>590402</v>
          </cell>
          <cell r="N648" t="str">
            <v>METALKOTE-EPOXY SYS</v>
          </cell>
        </row>
        <row r="649">
          <cell r="C649" t="str">
            <v>100001638</v>
          </cell>
          <cell r="D649" t="str">
            <v>EDP-551 ZINC CHROMATE (XANH) VN-18KP</v>
          </cell>
          <cell r="E649" t="str">
            <v>ZFGD</v>
          </cell>
          <cell r="F649" t="str">
            <v>PC</v>
          </cell>
          <cell r="G649" t="str">
            <v>5</v>
          </cell>
          <cell r="H649" t="str">
            <v>PROJECT</v>
          </cell>
          <cell r="I649" t="str">
            <v>59</v>
          </cell>
          <cell r="J649" t="str">
            <v>MPC</v>
          </cell>
          <cell r="K649" t="str">
            <v>5904</v>
          </cell>
          <cell r="L649" t="str">
            <v>METALKOTE</v>
          </cell>
          <cell r="M649" t="str">
            <v>590402</v>
          </cell>
          <cell r="N649" t="str">
            <v>METALKOTE-EPOXY SYS</v>
          </cell>
        </row>
        <row r="650">
          <cell r="C650" t="str">
            <v>100001639</v>
          </cell>
          <cell r="D650" t="str">
            <v>NOT USED EDP-551 RED OXIDE VN-1KS</v>
          </cell>
          <cell r="E650" t="str">
            <v>ZFGD</v>
          </cell>
          <cell r="F650" t="str">
            <v>SET</v>
          </cell>
          <cell r="G650" t="str">
            <v>2</v>
          </cell>
          <cell r="H650" t="str">
            <v>RETAIL</v>
          </cell>
          <cell r="I650" t="str">
            <v>29</v>
          </cell>
          <cell r="J650" t="str">
            <v>MPC</v>
          </cell>
          <cell r="K650" t="str">
            <v>2901</v>
          </cell>
          <cell r="L650" t="str">
            <v>METALKOTE</v>
          </cell>
          <cell r="M650" t="str">
            <v>290102</v>
          </cell>
          <cell r="N650" t="str">
            <v>METALKOTE-EPOXY SYS</v>
          </cell>
        </row>
        <row r="651">
          <cell r="C651" t="str">
            <v>100001640</v>
          </cell>
          <cell r="D651" t="str">
            <v>EDP-551 RED OXIDE (ĐỎ) VN-0.9K</v>
          </cell>
          <cell r="E651" t="str">
            <v>ZFGD</v>
          </cell>
          <cell r="F651" t="str">
            <v>PC</v>
          </cell>
          <cell r="G651" t="str">
            <v>5</v>
          </cell>
          <cell r="H651" t="str">
            <v>PROJECT</v>
          </cell>
          <cell r="I651" t="str">
            <v>59</v>
          </cell>
          <cell r="J651" t="str">
            <v>MPC</v>
          </cell>
          <cell r="K651" t="str">
            <v>5904</v>
          </cell>
          <cell r="L651" t="str">
            <v>METALKOTE</v>
          </cell>
          <cell r="M651" t="str">
            <v>590402</v>
          </cell>
          <cell r="N651" t="str">
            <v>METALKOTE-EPOXY SYS</v>
          </cell>
        </row>
        <row r="652">
          <cell r="C652" t="str">
            <v>100001641</v>
          </cell>
          <cell r="D652" t="str">
            <v>EDP-551 RED OXIDE (ĐỎ) VN-5KS</v>
          </cell>
          <cell r="E652" t="str">
            <v>ZFGD</v>
          </cell>
          <cell r="F652" t="str">
            <v>SET</v>
          </cell>
          <cell r="G652" t="str">
            <v>5</v>
          </cell>
          <cell r="H652" t="str">
            <v>PROJECT</v>
          </cell>
          <cell r="I652" t="str">
            <v>59</v>
          </cell>
          <cell r="J652" t="str">
            <v>MPC</v>
          </cell>
          <cell r="K652" t="str">
            <v>5904</v>
          </cell>
          <cell r="L652" t="str">
            <v>METALKOTE</v>
          </cell>
          <cell r="M652" t="str">
            <v>590402</v>
          </cell>
          <cell r="N652" t="str">
            <v>METALKOTE-EPOXY SYS</v>
          </cell>
        </row>
        <row r="653">
          <cell r="C653" t="str">
            <v>100001642</v>
          </cell>
          <cell r="D653" t="str">
            <v>EDP-551 RED OXIDE (ĐỎ) VN-4.5K</v>
          </cell>
          <cell r="E653" t="str">
            <v>ZFGD</v>
          </cell>
          <cell r="F653" t="str">
            <v>PC</v>
          </cell>
          <cell r="G653" t="str">
            <v>5</v>
          </cell>
          <cell r="H653" t="str">
            <v>PROJECT</v>
          </cell>
          <cell r="I653" t="str">
            <v>59</v>
          </cell>
          <cell r="J653" t="str">
            <v>MPC</v>
          </cell>
          <cell r="K653" t="str">
            <v>5904</v>
          </cell>
          <cell r="L653" t="str">
            <v>METALKOTE</v>
          </cell>
          <cell r="M653" t="str">
            <v>590402</v>
          </cell>
          <cell r="N653" t="str">
            <v>METALKOTE-EPOXY SYS</v>
          </cell>
        </row>
        <row r="654">
          <cell r="C654" t="str">
            <v>100001643</v>
          </cell>
          <cell r="D654" t="str">
            <v>EDP-551 RED OXIDE (ĐỎ) VN-20KSP</v>
          </cell>
          <cell r="E654" t="str">
            <v>ZFGD</v>
          </cell>
          <cell r="F654" t="str">
            <v>SET</v>
          </cell>
          <cell r="G654" t="str">
            <v>5</v>
          </cell>
          <cell r="H654" t="str">
            <v>PROJECT</v>
          </cell>
          <cell r="I654" t="str">
            <v>59</v>
          </cell>
          <cell r="J654" t="str">
            <v>MPC</v>
          </cell>
          <cell r="K654" t="str">
            <v>5904</v>
          </cell>
          <cell r="L654" t="str">
            <v>METALKOTE</v>
          </cell>
          <cell r="M654" t="str">
            <v>590402</v>
          </cell>
          <cell r="N654" t="str">
            <v>METALKOTE-EPOXY SYS</v>
          </cell>
        </row>
        <row r="655">
          <cell r="C655" t="str">
            <v>100001644</v>
          </cell>
          <cell r="D655" t="str">
            <v>EDP-551 RED OXIDE (ĐỎ) VN-18KP</v>
          </cell>
          <cell r="E655" t="str">
            <v>ZFGD</v>
          </cell>
          <cell r="F655" t="str">
            <v>PC</v>
          </cell>
          <cell r="G655" t="str">
            <v>5</v>
          </cell>
          <cell r="H655" t="str">
            <v>PROJECT</v>
          </cell>
          <cell r="I655" t="str">
            <v>59</v>
          </cell>
          <cell r="J655" t="str">
            <v>MPC</v>
          </cell>
          <cell r="K655" t="str">
            <v>5904</v>
          </cell>
          <cell r="L655" t="str">
            <v>METALKOTE</v>
          </cell>
          <cell r="M655" t="str">
            <v>590402</v>
          </cell>
          <cell r="N655" t="str">
            <v>METALKOTE-EPOXY SYS</v>
          </cell>
        </row>
        <row r="656">
          <cell r="C656" t="str">
            <v>100001645</v>
          </cell>
          <cell r="D656" t="str">
            <v>#NOT USED EDP-551 WHITE VN-1KS</v>
          </cell>
          <cell r="E656" t="str">
            <v>ZFGD</v>
          </cell>
          <cell r="F656" t="str">
            <v>SET</v>
          </cell>
          <cell r="G656" t="str">
            <v>2</v>
          </cell>
          <cell r="H656" t="str">
            <v>RETAIL</v>
          </cell>
          <cell r="I656" t="str">
            <v>29</v>
          </cell>
          <cell r="J656" t="str">
            <v>MPC</v>
          </cell>
          <cell r="K656" t="str">
            <v>2901</v>
          </cell>
          <cell r="L656" t="str">
            <v>METALKOTE</v>
          </cell>
          <cell r="M656" t="str">
            <v>290102</v>
          </cell>
          <cell r="N656" t="str">
            <v>METALKOTE-EPOXY SYS</v>
          </cell>
        </row>
        <row r="657">
          <cell r="C657" t="str">
            <v>100001646</v>
          </cell>
          <cell r="D657" t="str">
            <v>EDP-551 WHITE (TRẮNG) VN-0.9K</v>
          </cell>
          <cell r="E657" t="str">
            <v>ZFGD</v>
          </cell>
          <cell r="F657" t="str">
            <v>PC</v>
          </cell>
          <cell r="G657" t="str">
            <v>5</v>
          </cell>
          <cell r="H657" t="str">
            <v>PROJECT</v>
          </cell>
          <cell r="I657" t="str">
            <v>59</v>
          </cell>
          <cell r="J657" t="str">
            <v>MPC</v>
          </cell>
          <cell r="K657" t="str">
            <v>5904</v>
          </cell>
          <cell r="L657" t="str">
            <v>METALKOTE</v>
          </cell>
          <cell r="M657" t="str">
            <v>590402</v>
          </cell>
          <cell r="N657" t="str">
            <v>METALKOTE-EPOXY SYS</v>
          </cell>
        </row>
        <row r="658">
          <cell r="C658" t="str">
            <v>100001647</v>
          </cell>
          <cell r="D658" t="str">
            <v>EDP-551 WHITE (TRẮNG) VN-5KS</v>
          </cell>
          <cell r="E658" t="str">
            <v>ZFGD</v>
          </cell>
          <cell r="F658" t="str">
            <v>SET</v>
          </cell>
          <cell r="G658" t="str">
            <v>5</v>
          </cell>
          <cell r="H658" t="str">
            <v>PROJECT</v>
          </cell>
          <cell r="I658" t="str">
            <v>59</v>
          </cell>
          <cell r="J658" t="str">
            <v>MPC</v>
          </cell>
          <cell r="K658" t="str">
            <v>5904</v>
          </cell>
          <cell r="L658" t="str">
            <v>METALKOTE</v>
          </cell>
          <cell r="M658" t="str">
            <v>590402</v>
          </cell>
          <cell r="N658" t="str">
            <v>METALKOTE-EPOXY SYS</v>
          </cell>
        </row>
        <row r="659">
          <cell r="C659" t="str">
            <v>100001648</v>
          </cell>
          <cell r="D659" t="str">
            <v>EDP-551 WHITE (TRẮNG) VN-4.5K</v>
          </cell>
          <cell r="E659" t="str">
            <v>ZFGD</v>
          </cell>
          <cell r="F659" t="str">
            <v>PC</v>
          </cell>
          <cell r="G659" t="str">
            <v>5</v>
          </cell>
          <cell r="H659" t="str">
            <v>PROJECT</v>
          </cell>
          <cell r="I659" t="str">
            <v>59</v>
          </cell>
          <cell r="J659" t="str">
            <v>MPC</v>
          </cell>
          <cell r="K659" t="str">
            <v>5904</v>
          </cell>
          <cell r="L659" t="str">
            <v>METALKOTE</v>
          </cell>
          <cell r="M659" t="str">
            <v>590402</v>
          </cell>
          <cell r="N659" t="str">
            <v>METALKOTE-EPOXY SYS</v>
          </cell>
        </row>
        <row r="660">
          <cell r="C660" t="str">
            <v>100001649</v>
          </cell>
          <cell r="D660" t="str">
            <v>EDP-551 WHITE (TRẮNG) VN-20KSP</v>
          </cell>
          <cell r="E660" t="str">
            <v>ZFGD</v>
          </cell>
          <cell r="F660" t="str">
            <v>SET</v>
          </cell>
          <cell r="G660" t="str">
            <v>5</v>
          </cell>
          <cell r="H660" t="str">
            <v>PROJECT</v>
          </cell>
          <cell r="I660" t="str">
            <v>59</v>
          </cell>
          <cell r="J660" t="str">
            <v>MPC</v>
          </cell>
          <cell r="K660" t="str">
            <v>5904</v>
          </cell>
          <cell r="L660" t="str">
            <v>METALKOTE</v>
          </cell>
          <cell r="M660" t="str">
            <v>590402</v>
          </cell>
          <cell r="N660" t="str">
            <v>METALKOTE-EPOXY SYS</v>
          </cell>
        </row>
        <row r="661">
          <cell r="C661" t="str">
            <v>100001650</v>
          </cell>
          <cell r="D661" t="str">
            <v>EDP-551 WHITE (TRẮNG) VN-18KP</v>
          </cell>
          <cell r="E661" t="str">
            <v>ZFGD</v>
          </cell>
          <cell r="F661" t="str">
            <v>PC</v>
          </cell>
          <cell r="G661" t="str">
            <v>5</v>
          </cell>
          <cell r="H661" t="str">
            <v>PROJECT</v>
          </cell>
          <cell r="I661" t="str">
            <v>59</v>
          </cell>
          <cell r="J661" t="str">
            <v>MPC</v>
          </cell>
          <cell r="K661" t="str">
            <v>5904</v>
          </cell>
          <cell r="L661" t="str">
            <v>METALKOTE</v>
          </cell>
          <cell r="M661" t="str">
            <v>590402</v>
          </cell>
          <cell r="N661" t="str">
            <v>METALKOTE-EPOXY SYS</v>
          </cell>
        </row>
        <row r="662">
          <cell r="C662" t="str">
            <v>100001651</v>
          </cell>
          <cell r="D662" t="str">
            <v>NOT USED EDP-551 BLACK VN-1KS</v>
          </cell>
          <cell r="E662" t="str">
            <v>ZFGD</v>
          </cell>
          <cell r="F662" t="str">
            <v>SET</v>
          </cell>
          <cell r="G662" t="str">
            <v>2</v>
          </cell>
          <cell r="H662" t="str">
            <v>RETAIL</v>
          </cell>
          <cell r="I662" t="str">
            <v>29</v>
          </cell>
          <cell r="J662" t="str">
            <v>MPC</v>
          </cell>
          <cell r="K662" t="str">
            <v>2901</v>
          </cell>
          <cell r="L662" t="str">
            <v>METALKOTE</v>
          </cell>
          <cell r="M662" t="str">
            <v>290102</v>
          </cell>
          <cell r="N662" t="str">
            <v>METALKOTE-EPOXY SYS</v>
          </cell>
        </row>
        <row r="663">
          <cell r="C663" t="str">
            <v>100001652</v>
          </cell>
          <cell r="D663" t="str">
            <v>EDP-551 BLACK (ĐEN) VN-0.9K</v>
          </cell>
          <cell r="E663" t="str">
            <v>ZFGD</v>
          </cell>
          <cell r="F663" t="str">
            <v>PC</v>
          </cell>
          <cell r="G663" t="str">
            <v>5</v>
          </cell>
          <cell r="H663" t="str">
            <v>PROJECT</v>
          </cell>
          <cell r="I663" t="str">
            <v>59</v>
          </cell>
          <cell r="J663" t="str">
            <v>MPC</v>
          </cell>
          <cell r="K663" t="str">
            <v>5904</v>
          </cell>
          <cell r="L663" t="str">
            <v>METALKOTE</v>
          </cell>
          <cell r="M663" t="str">
            <v>590402</v>
          </cell>
          <cell r="N663" t="str">
            <v>METALKOTE-EPOXY SYS</v>
          </cell>
        </row>
        <row r="664">
          <cell r="C664" t="str">
            <v>100001653</v>
          </cell>
          <cell r="D664" t="str">
            <v>EDP-551 BLACK (ĐEN) VN-5KS</v>
          </cell>
          <cell r="E664" t="str">
            <v>ZFGD</v>
          </cell>
          <cell r="F664" t="str">
            <v>SET</v>
          </cell>
          <cell r="G664" t="str">
            <v>5</v>
          </cell>
          <cell r="H664" t="str">
            <v>PROJECT</v>
          </cell>
          <cell r="I664" t="str">
            <v>59</v>
          </cell>
          <cell r="J664" t="str">
            <v>MPC</v>
          </cell>
          <cell r="K664" t="str">
            <v>5904</v>
          </cell>
          <cell r="L664" t="str">
            <v>METALKOTE</v>
          </cell>
          <cell r="M664" t="str">
            <v>590402</v>
          </cell>
          <cell r="N664" t="str">
            <v>METALKOTE-EPOXY SYS</v>
          </cell>
        </row>
        <row r="665">
          <cell r="C665" t="str">
            <v>100001654</v>
          </cell>
          <cell r="D665" t="str">
            <v>EDP-551 BLACK (ĐEN) VN-4.5K</v>
          </cell>
          <cell r="E665" t="str">
            <v>ZFGD</v>
          </cell>
          <cell r="F665" t="str">
            <v>PC</v>
          </cell>
          <cell r="G665" t="str">
            <v>5</v>
          </cell>
          <cell r="H665" t="str">
            <v>PROJECT</v>
          </cell>
          <cell r="I665" t="str">
            <v>59</v>
          </cell>
          <cell r="J665" t="str">
            <v>MPC</v>
          </cell>
          <cell r="K665" t="str">
            <v>5904</v>
          </cell>
          <cell r="L665" t="str">
            <v>METALKOTE</v>
          </cell>
          <cell r="M665" t="str">
            <v>590402</v>
          </cell>
          <cell r="N665" t="str">
            <v>METALKOTE-EPOXY SYS</v>
          </cell>
        </row>
        <row r="666">
          <cell r="C666" t="str">
            <v>100001655</v>
          </cell>
          <cell r="D666" t="str">
            <v>EDP-551 BLACK (ĐEN) VN-20KSP</v>
          </cell>
          <cell r="E666" t="str">
            <v>ZFGD</v>
          </cell>
          <cell r="F666" t="str">
            <v>SET</v>
          </cell>
          <cell r="G666" t="str">
            <v>5</v>
          </cell>
          <cell r="H666" t="str">
            <v>PROJECT</v>
          </cell>
          <cell r="I666" t="str">
            <v>59</v>
          </cell>
          <cell r="J666" t="str">
            <v>MPC</v>
          </cell>
          <cell r="K666" t="str">
            <v>5904</v>
          </cell>
          <cell r="L666" t="str">
            <v>METALKOTE</v>
          </cell>
          <cell r="M666" t="str">
            <v>590402</v>
          </cell>
          <cell r="N666" t="str">
            <v>METALKOTE-EPOXY SYS</v>
          </cell>
        </row>
        <row r="667">
          <cell r="C667" t="str">
            <v>100001656</v>
          </cell>
          <cell r="D667" t="str">
            <v>EDP-551 BLACK (ĐEN) VN-18KP</v>
          </cell>
          <cell r="E667" t="str">
            <v>ZFGD</v>
          </cell>
          <cell r="F667" t="str">
            <v>PC</v>
          </cell>
          <cell r="G667" t="str">
            <v>5</v>
          </cell>
          <cell r="H667" t="str">
            <v>PROJECT</v>
          </cell>
          <cell r="I667" t="str">
            <v>59</v>
          </cell>
          <cell r="J667" t="str">
            <v>MPC</v>
          </cell>
          <cell r="K667" t="str">
            <v>5904</v>
          </cell>
          <cell r="L667" t="str">
            <v>METALKOTE</v>
          </cell>
          <cell r="M667" t="str">
            <v>590402</v>
          </cell>
          <cell r="N667" t="str">
            <v>METALKOTE-EPOXY SYS</v>
          </cell>
        </row>
        <row r="668">
          <cell r="C668" t="str">
            <v>100001657</v>
          </cell>
          <cell r="D668" t="str">
            <v>PT-88 APPLE GREEN VN-18KP</v>
          </cell>
          <cell r="E668" t="str">
            <v>ZFGD</v>
          </cell>
          <cell r="F668" t="str">
            <v>PC</v>
          </cell>
          <cell r="G668" t="str">
            <v>5</v>
          </cell>
          <cell r="H668" t="str">
            <v>PROJECT</v>
          </cell>
          <cell r="I668" t="str">
            <v>59</v>
          </cell>
          <cell r="J668" t="str">
            <v>MPC</v>
          </cell>
          <cell r="K668" t="str">
            <v>5906</v>
          </cell>
          <cell r="L668" t="str">
            <v>PRIMTOP</v>
          </cell>
          <cell r="M668" t="str">
            <v>590602</v>
          </cell>
          <cell r="N668" t="str">
            <v>PRIMTOP RMX</v>
          </cell>
        </row>
        <row r="669">
          <cell r="C669" t="str">
            <v>100001658</v>
          </cell>
          <cell r="D669" t="str">
            <v>PT-88 ASH GREY VN-18KP</v>
          </cell>
          <cell r="E669" t="str">
            <v>ZFGD</v>
          </cell>
          <cell r="F669" t="str">
            <v>PC</v>
          </cell>
          <cell r="G669" t="str">
            <v>5</v>
          </cell>
          <cell r="H669" t="str">
            <v>PROJECT</v>
          </cell>
          <cell r="I669" t="str">
            <v>59</v>
          </cell>
          <cell r="J669" t="str">
            <v>MPC</v>
          </cell>
          <cell r="K669" t="str">
            <v>5906</v>
          </cell>
          <cell r="L669" t="str">
            <v>PRIMTOP</v>
          </cell>
          <cell r="M669" t="str">
            <v>590602</v>
          </cell>
          <cell r="N669" t="str">
            <v>PRIMTOP RMX</v>
          </cell>
        </row>
        <row r="670">
          <cell r="C670" t="str">
            <v>100001659</v>
          </cell>
          <cell r="D670" t="str">
            <v>PT-88 BLACK VN-18KP</v>
          </cell>
          <cell r="E670" t="str">
            <v>ZFGD</v>
          </cell>
          <cell r="F670" t="str">
            <v>PC</v>
          </cell>
          <cell r="G670" t="str">
            <v>5</v>
          </cell>
          <cell r="H670" t="str">
            <v>PROJECT</v>
          </cell>
          <cell r="I670" t="str">
            <v>59</v>
          </cell>
          <cell r="J670" t="str">
            <v>MPC</v>
          </cell>
          <cell r="K670" t="str">
            <v>5906</v>
          </cell>
          <cell r="L670" t="str">
            <v>PRIMTOP</v>
          </cell>
          <cell r="M670" t="str">
            <v>590602</v>
          </cell>
          <cell r="N670" t="str">
            <v>PRIMTOP RMX</v>
          </cell>
        </row>
        <row r="671">
          <cell r="C671" t="str">
            <v>100001660</v>
          </cell>
          <cell r="D671" t="str">
            <v>PT-88 BROWN VN-18KP</v>
          </cell>
          <cell r="E671" t="str">
            <v>ZFGD</v>
          </cell>
          <cell r="F671" t="str">
            <v>PC</v>
          </cell>
          <cell r="G671" t="str">
            <v>5</v>
          </cell>
          <cell r="H671" t="str">
            <v>PROJECT</v>
          </cell>
          <cell r="I671" t="str">
            <v>59</v>
          </cell>
          <cell r="J671" t="str">
            <v>MPC</v>
          </cell>
          <cell r="K671" t="str">
            <v>5906</v>
          </cell>
          <cell r="L671" t="str">
            <v>PRIMTOP</v>
          </cell>
          <cell r="M671" t="str">
            <v>590602</v>
          </cell>
          <cell r="N671" t="str">
            <v>PRIMTOP RMX</v>
          </cell>
        </row>
        <row r="672">
          <cell r="C672" t="str">
            <v>100001661</v>
          </cell>
          <cell r="D672" t="str">
            <v>PT-88 CANDY BROWN VN-18KP</v>
          </cell>
          <cell r="E672" t="str">
            <v>ZFGD</v>
          </cell>
          <cell r="F672" t="str">
            <v>PC</v>
          </cell>
          <cell r="G672" t="str">
            <v>5</v>
          </cell>
          <cell r="H672" t="str">
            <v>PROJECT</v>
          </cell>
          <cell r="I672" t="str">
            <v>59</v>
          </cell>
          <cell r="J672" t="str">
            <v>MPC</v>
          </cell>
          <cell r="K672" t="str">
            <v>5906</v>
          </cell>
          <cell r="L672" t="str">
            <v>PRIMTOP</v>
          </cell>
          <cell r="M672" t="str">
            <v>590602</v>
          </cell>
          <cell r="N672" t="str">
            <v>PRIMTOP RMX</v>
          </cell>
        </row>
        <row r="673">
          <cell r="C673" t="str">
            <v>100001662</v>
          </cell>
          <cell r="D673" t="str">
            <v>PT-88 PACIFIC BLUE VN-18KP</v>
          </cell>
          <cell r="E673" t="str">
            <v>ZFGD</v>
          </cell>
          <cell r="F673" t="str">
            <v>PC</v>
          </cell>
          <cell r="G673" t="str">
            <v>5</v>
          </cell>
          <cell r="H673" t="str">
            <v>PROJECT</v>
          </cell>
          <cell r="I673" t="str">
            <v>59</v>
          </cell>
          <cell r="J673" t="str">
            <v>MPC</v>
          </cell>
          <cell r="K673" t="str">
            <v>5906</v>
          </cell>
          <cell r="L673" t="str">
            <v>PRIMTOP</v>
          </cell>
          <cell r="M673" t="str">
            <v>590602</v>
          </cell>
          <cell r="N673" t="str">
            <v>PRIMTOP RMX</v>
          </cell>
        </row>
        <row r="674">
          <cell r="C674" t="str">
            <v>100001663</v>
          </cell>
          <cell r="D674" t="str">
            <v>PT-88 SILVER VN-18KP</v>
          </cell>
          <cell r="E674" t="str">
            <v>ZFGD</v>
          </cell>
          <cell r="F674" t="str">
            <v>PC</v>
          </cell>
          <cell r="G674" t="str">
            <v>5</v>
          </cell>
          <cell r="H674" t="str">
            <v>PROJECT</v>
          </cell>
          <cell r="I674" t="str">
            <v>59</v>
          </cell>
          <cell r="J674" t="str">
            <v>MPC</v>
          </cell>
          <cell r="K674" t="str">
            <v>5906</v>
          </cell>
          <cell r="L674" t="str">
            <v>PRIMTOP</v>
          </cell>
          <cell r="M674" t="str">
            <v>590602</v>
          </cell>
          <cell r="N674" t="str">
            <v>PRIMTOP RMX</v>
          </cell>
        </row>
        <row r="675">
          <cell r="C675" t="str">
            <v>100001664</v>
          </cell>
          <cell r="D675" t="str">
            <v>PT-88 SUPER WHITE VN-18KP</v>
          </cell>
          <cell r="E675" t="str">
            <v>ZFGD</v>
          </cell>
          <cell r="F675" t="str">
            <v>PC</v>
          </cell>
          <cell r="G675" t="str">
            <v>5</v>
          </cell>
          <cell r="H675" t="str">
            <v>PROJECT</v>
          </cell>
          <cell r="I675" t="str">
            <v>59</v>
          </cell>
          <cell r="J675" t="str">
            <v>MPC</v>
          </cell>
          <cell r="K675" t="str">
            <v>5906</v>
          </cell>
          <cell r="L675" t="str">
            <v>PRIMTOP</v>
          </cell>
          <cell r="M675" t="str">
            <v>590602</v>
          </cell>
          <cell r="N675" t="str">
            <v>PRIMTOP RMX</v>
          </cell>
        </row>
        <row r="676">
          <cell r="C676" t="str">
            <v>100001665</v>
          </cell>
          <cell r="D676" t="str">
            <v>PT-88 TO TRANG VN-18KP</v>
          </cell>
          <cell r="E676" t="str">
            <v>ZFGD</v>
          </cell>
          <cell r="F676" t="str">
            <v>PC</v>
          </cell>
          <cell r="G676" t="str">
            <v>5</v>
          </cell>
          <cell r="H676" t="str">
            <v>PROJECT</v>
          </cell>
          <cell r="I676" t="str">
            <v>59</v>
          </cell>
          <cell r="J676" t="str">
            <v>MPC</v>
          </cell>
          <cell r="K676" t="str">
            <v>5906</v>
          </cell>
          <cell r="L676" t="str">
            <v>PRIMTOP</v>
          </cell>
          <cell r="M676" t="str">
            <v>590602</v>
          </cell>
          <cell r="N676" t="str">
            <v>PRIMTOP RMX</v>
          </cell>
        </row>
        <row r="677">
          <cell r="C677" t="str">
            <v>100001666</v>
          </cell>
          <cell r="D677" t="str">
            <v>PT-88 TO DEN VN-18KP</v>
          </cell>
          <cell r="E677" t="str">
            <v>ZFGD</v>
          </cell>
          <cell r="F677" t="str">
            <v>PC</v>
          </cell>
          <cell r="G677" t="str">
            <v>5</v>
          </cell>
          <cell r="H677" t="str">
            <v>PROJECT</v>
          </cell>
          <cell r="I677" t="str">
            <v>59</v>
          </cell>
          <cell r="J677" t="str">
            <v>MPC</v>
          </cell>
          <cell r="K677" t="str">
            <v>5906</v>
          </cell>
          <cell r="L677" t="str">
            <v>PRIMTOP</v>
          </cell>
          <cell r="M677" t="str">
            <v>590602</v>
          </cell>
          <cell r="N677" t="str">
            <v>PRIMTOP RMX</v>
          </cell>
        </row>
        <row r="678">
          <cell r="C678" t="str">
            <v>100001667</v>
          </cell>
          <cell r="D678" t="str">
            <v>PT-88 TO VANG BRONCHO VN-18KP</v>
          </cell>
          <cell r="E678" t="str">
            <v>ZFGD</v>
          </cell>
          <cell r="F678" t="str">
            <v>PC</v>
          </cell>
          <cell r="G678" t="str">
            <v>5</v>
          </cell>
          <cell r="H678" t="str">
            <v>PROJECT</v>
          </cell>
          <cell r="I678" t="str">
            <v>59</v>
          </cell>
          <cell r="J678" t="str">
            <v>MPC</v>
          </cell>
          <cell r="K678" t="str">
            <v>5906</v>
          </cell>
          <cell r="L678" t="str">
            <v>PRIMTOP</v>
          </cell>
          <cell r="M678" t="str">
            <v>590602</v>
          </cell>
          <cell r="N678" t="str">
            <v>PRIMTOP RMX</v>
          </cell>
        </row>
        <row r="679">
          <cell r="C679" t="str">
            <v>100001668</v>
          </cell>
          <cell r="D679" t="str">
            <v>PT-88 TO DO MAN VN-18KP</v>
          </cell>
          <cell r="E679" t="str">
            <v>ZFGD</v>
          </cell>
          <cell r="F679" t="str">
            <v>PC</v>
          </cell>
          <cell r="G679" t="str">
            <v>5</v>
          </cell>
          <cell r="H679" t="str">
            <v>PROJECT</v>
          </cell>
          <cell r="I679" t="str">
            <v>59</v>
          </cell>
          <cell r="J679" t="str">
            <v>MPC</v>
          </cell>
          <cell r="K679" t="str">
            <v>5906</v>
          </cell>
          <cell r="L679" t="str">
            <v>PRIMTOP</v>
          </cell>
          <cell r="M679" t="str">
            <v>590602</v>
          </cell>
          <cell r="N679" t="str">
            <v>PRIMTOP RMX</v>
          </cell>
        </row>
        <row r="680">
          <cell r="C680" t="str">
            <v>100001669</v>
          </cell>
          <cell r="D680" t="str">
            <v>PT-88 TO XANH LA VN-18KP</v>
          </cell>
          <cell r="E680" t="str">
            <v>ZFGD</v>
          </cell>
          <cell r="F680" t="str">
            <v>PC</v>
          </cell>
          <cell r="G680" t="str">
            <v>5</v>
          </cell>
          <cell r="H680" t="str">
            <v>PROJECT</v>
          </cell>
          <cell r="I680" t="str">
            <v>59</v>
          </cell>
          <cell r="J680" t="str">
            <v>MPC</v>
          </cell>
          <cell r="K680" t="str">
            <v>5906</v>
          </cell>
          <cell r="L680" t="str">
            <v>PRIMTOP</v>
          </cell>
          <cell r="M680" t="str">
            <v>590602</v>
          </cell>
          <cell r="N680" t="str">
            <v>PRIMTOP RMX</v>
          </cell>
        </row>
        <row r="681">
          <cell r="C681" t="str">
            <v>100001670</v>
          </cell>
          <cell r="D681" t="str">
            <v>PT-88 TO DO CO VN-18KP</v>
          </cell>
          <cell r="E681" t="str">
            <v>ZFGD</v>
          </cell>
          <cell r="F681" t="str">
            <v>PC</v>
          </cell>
          <cell r="G681" t="str">
            <v>5</v>
          </cell>
          <cell r="H681" t="str">
            <v>PROJECT</v>
          </cell>
          <cell r="I681" t="str">
            <v>59</v>
          </cell>
          <cell r="J681" t="str">
            <v>MPC</v>
          </cell>
          <cell r="K681" t="str">
            <v>5906</v>
          </cell>
          <cell r="L681" t="str">
            <v>PRIMTOP</v>
          </cell>
          <cell r="M681" t="str">
            <v>590602</v>
          </cell>
          <cell r="N681" t="str">
            <v>PRIMTOP RMX</v>
          </cell>
        </row>
        <row r="682">
          <cell r="C682" t="str">
            <v>100001671</v>
          </cell>
          <cell r="D682" t="str">
            <v>PT-88 TO XANH CHO VN-18KP</v>
          </cell>
          <cell r="E682" t="str">
            <v>ZFGD</v>
          </cell>
          <cell r="F682" t="str">
            <v>PC</v>
          </cell>
          <cell r="G682" t="str">
            <v>5</v>
          </cell>
          <cell r="H682" t="str">
            <v>PROJECT</v>
          </cell>
          <cell r="I682" t="str">
            <v>59</v>
          </cell>
          <cell r="J682" t="str">
            <v>MPC</v>
          </cell>
          <cell r="K682" t="str">
            <v>5906</v>
          </cell>
          <cell r="L682" t="str">
            <v>PRIMTOP</v>
          </cell>
          <cell r="M682" t="str">
            <v>590602</v>
          </cell>
          <cell r="N682" t="str">
            <v>PRIMTOP RMX</v>
          </cell>
        </row>
        <row r="683">
          <cell r="C683" t="str">
            <v>100001672</v>
          </cell>
          <cell r="D683" t="str">
            <v>PT-88 TO VANG CAO BOI VN-18KP</v>
          </cell>
          <cell r="E683" t="str">
            <v>ZFGD</v>
          </cell>
          <cell r="F683" t="str">
            <v>PC</v>
          </cell>
          <cell r="G683" t="str">
            <v>5</v>
          </cell>
          <cell r="H683" t="str">
            <v>PROJECT</v>
          </cell>
          <cell r="I683" t="str">
            <v>59</v>
          </cell>
          <cell r="J683" t="str">
            <v>MPC</v>
          </cell>
          <cell r="K683" t="str">
            <v>5906</v>
          </cell>
          <cell r="L683" t="str">
            <v>PRIMTOP</v>
          </cell>
          <cell r="M683" t="str">
            <v>590602</v>
          </cell>
          <cell r="N683" t="str">
            <v>PRIMTOP RMX</v>
          </cell>
        </row>
        <row r="684">
          <cell r="C684" t="str">
            <v>100001673</v>
          </cell>
          <cell r="D684" t="str">
            <v>PT-88 TO XANH CAO BOI VN-18KP</v>
          </cell>
          <cell r="E684" t="str">
            <v>ZFGD</v>
          </cell>
          <cell r="F684" t="str">
            <v>PC</v>
          </cell>
          <cell r="G684" t="str">
            <v>5</v>
          </cell>
          <cell r="H684" t="str">
            <v>PROJECT</v>
          </cell>
          <cell r="I684" t="str">
            <v>59</v>
          </cell>
          <cell r="J684" t="str">
            <v>MPC</v>
          </cell>
          <cell r="K684" t="str">
            <v>5906</v>
          </cell>
          <cell r="L684" t="str">
            <v>PRIMTOP</v>
          </cell>
          <cell r="M684" t="str">
            <v>590602</v>
          </cell>
          <cell r="N684" t="str">
            <v>PRIMTOP RMX</v>
          </cell>
        </row>
        <row r="685">
          <cell r="C685" t="str">
            <v>100001674</v>
          </cell>
          <cell r="D685" t="str">
            <v>PT-88 TO XAM CHUOT VN-18KP</v>
          </cell>
          <cell r="E685" t="str">
            <v>ZFGD</v>
          </cell>
          <cell r="F685" t="str">
            <v>PC</v>
          </cell>
          <cell r="G685" t="str">
            <v>5</v>
          </cell>
          <cell r="H685" t="str">
            <v>PROJECT</v>
          </cell>
          <cell r="I685" t="str">
            <v>59</v>
          </cell>
          <cell r="J685" t="str">
            <v>MPC</v>
          </cell>
          <cell r="K685" t="str">
            <v>5906</v>
          </cell>
          <cell r="L685" t="str">
            <v>PRIMTOP</v>
          </cell>
          <cell r="M685" t="str">
            <v>590602</v>
          </cell>
          <cell r="N685" t="str">
            <v>PRIMTOP RMX</v>
          </cell>
        </row>
        <row r="686">
          <cell r="C686" t="str">
            <v>100001675</v>
          </cell>
          <cell r="D686" t="str">
            <v>PT-88 TO DO MAN BRONCHO VN-18KP</v>
          </cell>
          <cell r="E686" t="str">
            <v>ZFGD</v>
          </cell>
          <cell r="F686" t="str">
            <v>PC</v>
          </cell>
          <cell r="G686" t="str">
            <v>5</v>
          </cell>
          <cell r="H686" t="str">
            <v>PROJECT</v>
          </cell>
          <cell r="I686" t="str">
            <v>59</v>
          </cell>
          <cell r="J686" t="str">
            <v>MPC</v>
          </cell>
          <cell r="K686" t="str">
            <v>5906</v>
          </cell>
          <cell r="L686" t="str">
            <v>PRIMTOP</v>
          </cell>
          <cell r="M686" t="str">
            <v>590602</v>
          </cell>
          <cell r="N686" t="str">
            <v>PRIMTOP RMX</v>
          </cell>
        </row>
        <row r="687">
          <cell r="C687" t="str">
            <v>100001676</v>
          </cell>
          <cell r="D687" t="str">
            <v>PT-88 TO DO RONG VN-18KP</v>
          </cell>
          <cell r="E687" t="str">
            <v>ZFGD</v>
          </cell>
          <cell r="F687" t="str">
            <v>PC</v>
          </cell>
          <cell r="G687" t="str">
            <v>5</v>
          </cell>
          <cell r="H687" t="str">
            <v>PROJECT</v>
          </cell>
          <cell r="I687" t="str">
            <v>59</v>
          </cell>
          <cell r="J687" t="str">
            <v>MPC</v>
          </cell>
          <cell r="K687" t="str">
            <v>5906</v>
          </cell>
          <cell r="L687" t="str">
            <v>PRIMTOP</v>
          </cell>
          <cell r="M687" t="str">
            <v>590602</v>
          </cell>
          <cell r="N687" t="str">
            <v>PRIMTOP RMX</v>
          </cell>
        </row>
        <row r="688">
          <cell r="C688" t="str">
            <v>100001677</v>
          </cell>
          <cell r="D688" t="str">
            <v>PT-88 TO DO GA VN-18KP</v>
          </cell>
          <cell r="E688" t="str">
            <v>ZFGD</v>
          </cell>
          <cell r="F688" t="str">
            <v>PC</v>
          </cell>
          <cell r="G688" t="str">
            <v>5</v>
          </cell>
          <cell r="H688" t="str">
            <v>PROJECT</v>
          </cell>
          <cell r="I688" t="str">
            <v>59</v>
          </cell>
          <cell r="J688" t="str">
            <v>MPC</v>
          </cell>
          <cell r="K688" t="str">
            <v>5906</v>
          </cell>
          <cell r="L688" t="str">
            <v>PRIMTOP</v>
          </cell>
          <cell r="M688" t="str">
            <v>590602</v>
          </cell>
          <cell r="N688" t="str">
            <v>PRIMTOP RMX</v>
          </cell>
        </row>
        <row r="689">
          <cell r="C689" t="str">
            <v>100001678</v>
          </cell>
          <cell r="D689" t="str">
            <v>PT-88 TO XANH GA VN-18KP</v>
          </cell>
          <cell r="E689" t="str">
            <v>ZFGD</v>
          </cell>
          <cell r="F689" t="str">
            <v>PC</v>
          </cell>
          <cell r="G689" t="str">
            <v>5</v>
          </cell>
          <cell r="H689" t="str">
            <v>PROJECT</v>
          </cell>
          <cell r="I689" t="str">
            <v>59</v>
          </cell>
          <cell r="J689" t="str">
            <v>MPC</v>
          </cell>
          <cell r="K689" t="str">
            <v>5906</v>
          </cell>
          <cell r="L689" t="str">
            <v>PRIMTOP</v>
          </cell>
          <cell r="M689" t="str">
            <v>590602</v>
          </cell>
          <cell r="N689" t="str">
            <v>PRIMTOP RMX</v>
          </cell>
        </row>
        <row r="690">
          <cell r="C690" t="str">
            <v>100001679</v>
          </cell>
          <cell r="D690" t="str">
            <v>PT-88 TO XANH RAN VN-18KP</v>
          </cell>
          <cell r="E690" t="str">
            <v>ZFGD</v>
          </cell>
          <cell r="F690" t="str">
            <v>PC</v>
          </cell>
          <cell r="G690" t="str">
            <v>5</v>
          </cell>
          <cell r="H690" t="str">
            <v>PROJECT</v>
          </cell>
          <cell r="I690" t="str">
            <v>59</v>
          </cell>
          <cell r="J690" t="str">
            <v>MPC</v>
          </cell>
          <cell r="K690" t="str">
            <v>5906</v>
          </cell>
          <cell r="L690" t="str">
            <v>PRIMTOP</v>
          </cell>
          <cell r="M690" t="str">
            <v>590602</v>
          </cell>
          <cell r="N690" t="str">
            <v>PRIMTOP RMX</v>
          </cell>
        </row>
        <row r="691">
          <cell r="C691" t="str">
            <v>100001680</v>
          </cell>
          <cell r="D691" t="str">
            <v>PT-88 TO VANG RAN VN-18KP</v>
          </cell>
          <cell r="E691" t="str">
            <v>ZFGD</v>
          </cell>
          <cell r="F691" t="str">
            <v>PC</v>
          </cell>
          <cell r="G691" t="str">
            <v>5</v>
          </cell>
          <cell r="H691" t="str">
            <v>PROJECT</v>
          </cell>
          <cell r="I691" t="str">
            <v>59</v>
          </cell>
          <cell r="J691" t="str">
            <v>MPC</v>
          </cell>
          <cell r="K691" t="str">
            <v>5906</v>
          </cell>
          <cell r="L691" t="str">
            <v>PRIMTOP</v>
          </cell>
          <cell r="M691" t="str">
            <v>590602</v>
          </cell>
          <cell r="N691" t="str">
            <v>PRIMTOP RMX</v>
          </cell>
        </row>
        <row r="692">
          <cell r="C692" t="str">
            <v>100001681</v>
          </cell>
          <cell r="D692" t="str">
            <v>PT-88 TO DO VN-18KP</v>
          </cell>
          <cell r="E692" t="str">
            <v>ZFGD</v>
          </cell>
          <cell r="F692" t="str">
            <v>PC</v>
          </cell>
          <cell r="G692" t="str">
            <v>5</v>
          </cell>
          <cell r="H692" t="str">
            <v>PROJECT</v>
          </cell>
          <cell r="I692" t="str">
            <v>59</v>
          </cell>
          <cell r="J692" t="str">
            <v>MPC</v>
          </cell>
          <cell r="K692" t="str">
            <v>5906</v>
          </cell>
          <cell r="L692" t="str">
            <v>PRIMTOP</v>
          </cell>
          <cell r="M692" t="str">
            <v>590602</v>
          </cell>
          <cell r="N692" t="str">
            <v>PRIMTOP RMX</v>
          </cell>
        </row>
        <row r="693">
          <cell r="C693" t="str">
            <v>100001682</v>
          </cell>
          <cell r="D693" t="str">
            <v>PT-88 TO XANH LA MA VN-18KP</v>
          </cell>
          <cell r="E693" t="str">
            <v>ZFGD</v>
          </cell>
          <cell r="F693" t="str">
            <v>PC</v>
          </cell>
          <cell r="G693" t="str">
            <v>5</v>
          </cell>
          <cell r="H693" t="str">
            <v>PROJECT</v>
          </cell>
          <cell r="I693" t="str">
            <v>59</v>
          </cell>
          <cell r="J693" t="str">
            <v>MPC</v>
          </cell>
          <cell r="K693" t="str">
            <v>5906</v>
          </cell>
          <cell r="L693" t="str">
            <v>PRIMTOP</v>
          </cell>
          <cell r="M693" t="str">
            <v>590602</v>
          </cell>
          <cell r="N693" t="str">
            <v>PRIMTOP RMX</v>
          </cell>
        </row>
        <row r="694">
          <cell r="C694" t="str">
            <v>100001683</v>
          </cell>
          <cell r="D694" t="str">
            <v>PT-88 TO CAM VN-18KP</v>
          </cell>
          <cell r="E694" t="str">
            <v>ZFGD</v>
          </cell>
          <cell r="F694" t="str">
            <v>PC</v>
          </cell>
          <cell r="G694" t="str">
            <v>5</v>
          </cell>
          <cell r="H694" t="str">
            <v>PROJECT</v>
          </cell>
          <cell r="I694" t="str">
            <v>59</v>
          </cell>
          <cell r="J694" t="str">
            <v>MPC</v>
          </cell>
          <cell r="K694" t="str">
            <v>5906</v>
          </cell>
          <cell r="L694" t="str">
            <v>PRIMTOP</v>
          </cell>
          <cell r="M694" t="str">
            <v>590602</v>
          </cell>
          <cell r="N694" t="str">
            <v>PRIMTOP RMX</v>
          </cell>
        </row>
        <row r="695">
          <cell r="C695" t="str">
            <v>100001684</v>
          </cell>
          <cell r="D695" t="str">
            <v>PT-88 TO VANG CHANH VN-18KP</v>
          </cell>
          <cell r="E695" t="str">
            <v>ZFGD</v>
          </cell>
          <cell r="F695" t="str">
            <v>PC</v>
          </cell>
          <cell r="G695" t="str">
            <v>5</v>
          </cell>
          <cell r="H695" t="str">
            <v>PROJECT</v>
          </cell>
          <cell r="I695" t="str">
            <v>59</v>
          </cell>
          <cell r="J695" t="str">
            <v>MPC</v>
          </cell>
          <cell r="K695" t="str">
            <v>5906</v>
          </cell>
          <cell r="L695" t="str">
            <v>PRIMTOP</v>
          </cell>
          <cell r="M695" t="str">
            <v>590602</v>
          </cell>
          <cell r="N695" t="str">
            <v>PRIMTOP RMX</v>
          </cell>
        </row>
        <row r="696">
          <cell r="C696" t="str">
            <v>100001685</v>
          </cell>
          <cell r="D696" t="str">
            <v>PT-88 TO VANG NGHE VN-18KP</v>
          </cell>
          <cell r="E696" t="str">
            <v>ZFGD</v>
          </cell>
          <cell r="F696" t="str">
            <v>PC</v>
          </cell>
          <cell r="G696" t="str">
            <v>5</v>
          </cell>
          <cell r="H696" t="str">
            <v>PROJECT</v>
          </cell>
          <cell r="I696" t="str">
            <v>59</v>
          </cell>
          <cell r="J696" t="str">
            <v>MPC</v>
          </cell>
          <cell r="K696" t="str">
            <v>5906</v>
          </cell>
          <cell r="L696" t="str">
            <v>PRIMTOP</v>
          </cell>
          <cell r="M696" t="str">
            <v>590602</v>
          </cell>
          <cell r="N696" t="str">
            <v>PRIMTOP RMX</v>
          </cell>
        </row>
        <row r="697">
          <cell r="C697" t="str">
            <v>100001686</v>
          </cell>
          <cell r="D697" t="str">
            <v>PT-88 TO ORANGE GO VN-18KP</v>
          </cell>
          <cell r="E697" t="str">
            <v>ZFGD</v>
          </cell>
          <cell r="F697" t="str">
            <v>PC</v>
          </cell>
          <cell r="G697" t="str">
            <v>5</v>
          </cell>
          <cell r="H697" t="str">
            <v>PROJECT</v>
          </cell>
          <cell r="I697" t="str">
            <v>59</v>
          </cell>
          <cell r="J697" t="str">
            <v>MPC</v>
          </cell>
          <cell r="K697" t="str">
            <v>5906</v>
          </cell>
          <cell r="L697" t="str">
            <v>PRIMTOP</v>
          </cell>
          <cell r="M697" t="str">
            <v>590602</v>
          </cell>
          <cell r="N697" t="str">
            <v>PRIMTOP RMX</v>
          </cell>
        </row>
        <row r="698">
          <cell r="C698" t="str">
            <v>100001687</v>
          </cell>
          <cell r="D698" t="str">
            <v>PT-88 TO DARK YELLOW GO VN-18KP</v>
          </cell>
          <cell r="E698" t="str">
            <v>ZFGD</v>
          </cell>
          <cell r="F698" t="str">
            <v>PC</v>
          </cell>
          <cell r="G698" t="str">
            <v>5</v>
          </cell>
          <cell r="H698" t="str">
            <v>PROJECT</v>
          </cell>
          <cell r="I698" t="str">
            <v>59</v>
          </cell>
          <cell r="J698" t="str">
            <v>MPC</v>
          </cell>
          <cell r="K698" t="str">
            <v>5906</v>
          </cell>
          <cell r="L698" t="str">
            <v>PRIMTOP</v>
          </cell>
          <cell r="M698" t="str">
            <v>590602</v>
          </cell>
          <cell r="N698" t="str">
            <v>PRIMTOP RMX</v>
          </cell>
        </row>
        <row r="699">
          <cell r="C699" t="str">
            <v>100001688</v>
          </cell>
          <cell r="D699" t="str">
            <v>PT-88 TO LIGHT YELLOW GO VN-18KP</v>
          </cell>
          <cell r="E699" t="str">
            <v>ZFGD</v>
          </cell>
          <cell r="F699" t="str">
            <v>PC</v>
          </cell>
          <cell r="G699" t="str">
            <v>5</v>
          </cell>
          <cell r="H699" t="str">
            <v>PROJECT</v>
          </cell>
          <cell r="I699" t="str">
            <v>59</v>
          </cell>
          <cell r="J699" t="str">
            <v>MPC</v>
          </cell>
          <cell r="K699" t="str">
            <v>5906</v>
          </cell>
          <cell r="L699" t="str">
            <v>PRIMTOP</v>
          </cell>
          <cell r="M699" t="str">
            <v>590602</v>
          </cell>
          <cell r="N699" t="str">
            <v>PRIMTOP RMX</v>
          </cell>
        </row>
        <row r="700">
          <cell r="C700" t="str">
            <v>100001689</v>
          </cell>
          <cell r="D700" t="str">
            <v>PT-88 TO DARK GREEN FRONTGATE VN-18KP</v>
          </cell>
          <cell r="E700" t="str">
            <v>ZFGD</v>
          </cell>
          <cell r="F700" t="str">
            <v>PC</v>
          </cell>
          <cell r="G700" t="str">
            <v>5</v>
          </cell>
          <cell r="H700" t="str">
            <v>PROJECT</v>
          </cell>
          <cell r="I700" t="str">
            <v>59</v>
          </cell>
          <cell r="J700" t="str">
            <v>MPC</v>
          </cell>
          <cell r="K700" t="str">
            <v>5906</v>
          </cell>
          <cell r="L700" t="str">
            <v>PRIMTOP</v>
          </cell>
          <cell r="M700" t="str">
            <v>590602</v>
          </cell>
          <cell r="N700" t="str">
            <v>PRIMTOP RMX</v>
          </cell>
        </row>
        <row r="701">
          <cell r="C701" t="str">
            <v>100001690</v>
          </cell>
          <cell r="D701" t="str">
            <v>PT-88 TO DARK BLUE FRONTGATE VN-18KP</v>
          </cell>
          <cell r="E701" t="str">
            <v>ZFGD</v>
          </cell>
          <cell r="F701" t="str">
            <v>PC</v>
          </cell>
          <cell r="G701" t="str">
            <v>5</v>
          </cell>
          <cell r="H701" t="str">
            <v>PROJECT</v>
          </cell>
          <cell r="I701" t="str">
            <v>59</v>
          </cell>
          <cell r="J701" t="str">
            <v>MPC</v>
          </cell>
          <cell r="K701" t="str">
            <v>5906</v>
          </cell>
          <cell r="L701" t="str">
            <v>PRIMTOP</v>
          </cell>
          <cell r="M701" t="str">
            <v>590602</v>
          </cell>
          <cell r="N701" t="str">
            <v>PRIMTOP RMX</v>
          </cell>
        </row>
        <row r="702">
          <cell r="C702" t="str">
            <v>100001691</v>
          </cell>
          <cell r="D702" t="str">
            <v>PT-88 TO CAM DAT VN-18KP</v>
          </cell>
          <cell r="E702" t="str">
            <v>ZFGD</v>
          </cell>
          <cell r="F702" t="str">
            <v>PC</v>
          </cell>
          <cell r="G702" t="str">
            <v>5</v>
          </cell>
          <cell r="H702" t="str">
            <v>PROJECT</v>
          </cell>
          <cell r="I702" t="str">
            <v>59</v>
          </cell>
          <cell r="J702" t="str">
            <v>MPC</v>
          </cell>
          <cell r="K702" t="str">
            <v>5906</v>
          </cell>
          <cell r="L702" t="str">
            <v>PRIMTOP</v>
          </cell>
          <cell r="M702" t="str">
            <v>590602</v>
          </cell>
          <cell r="N702" t="str">
            <v>PRIMTOP RMX</v>
          </cell>
        </row>
        <row r="703">
          <cell r="C703" t="str">
            <v>100001692</v>
          </cell>
          <cell r="D703" t="str">
            <v>PT-88 TO TIM STORN VN-18KP</v>
          </cell>
          <cell r="E703" t="str">
            <v>ZFGD</v>
          </cell>
          <cell r="F703" t="str">
            <v>PC</v>
          </cell>
          <cell r="G703" t="str">
            <v>5</v>
          </cell>
          <cell r="H703" t="str">
            <v>PROJECT</v>
          </cell>
          <cell r="I703" t="str">
            <v>59</v>
          </cell>
          <cell r="J703" t="str">
            <v>MPC</v>
          </cell>
          <cell r="K703" t="str">
            <v>5906</v>
          </cell>
          <cell r="L703" t="str">
            <v>PRIMTOP</v>
          </cell>
          <cell r="M703" t="str">
            <v>590602</v>
          </cell>
          <cell r="N703" t="str">
            <v>PRIMTOP RMX</v>
          </cell>
        </row>
        <row r="704">
          <cell r="C704" t="str">
            <v>100001693</v>
          </cell>
          <cell r="D704" t="str">
            <v>PT-88 TO XANH CA MAP VN-18KP</v>
          </cell>
          <cell r="E704" t="str">
            <v>ZFGD</v>
          </cell>
          <cell r="F704" t="str">
            <v>PC</v>
          </cell>
          <cell r="G704" t="str">
            <v>5</v>
          </cell>
          <cell r="H704" t="str">
            <v>PROJECT</v>
          </cell>
          <cell r="I704" t="str">
            <v>59</v>
          </cell>
          <cell r="J704" t="str">
            <v>MPC</v>
          </cell>
          <cell r="K704" t="str">
            <v>5906</v>
          </cell>
          <cell r="L704" t="str">
            <v>PRIMTOP</v>
          </cell>
          <cell r="M704" t="str">
            <v>590602</v>
          </cell>
          <cell r="N704" t="str">
            <v>PRIMTOP RMX</v>
          </cell>
        </row>
        <row r="705">
          <cell r="C705" t="str">
            <v>100001694</v>
          </cell>
          <cell r="D705" t="str">
            <v>PT-88 TO CAM COP VN-18KP</v>
          </cell>
          <cell r="E705" t="str">
            <v>ZFGD</v>
          </cell>
          <cell r="F705" t="str">
            <v>PC</v>
          </cell>
          <cell r="G705" t="str">
            <v>5</v>
          </cell>
          <cell r="H705" t="str">
            <v>PROJECT</v>
          </cell>
          <cell r="I705" t="str">
            <v>59</v>
          </cell>
          <cell r="J705" t="str">
            <v>MPC</v>
          </cell>
          <cell r="K705" t="str">
            <v>5906</v>
          </cell>
          <cell r="L705" t="str">
            <v>PRIMTOP</v>
          </cell>
          <cell r="M705" t="str">
            <v>590602</v>
          </cell>
          <cell r="N705" t="str">
            <v>PRIMTOP RMX</v>
          </cell>
        </row>
        <row r="706">
          <cell r="C706" t="str">
            <v>100001695</v>
          </cell>
          <cell r="D706" t="str">
            <v>PT-88 TO DO NAI VN-18KP</v>
          </cell>
          <cell r="E706" t="str">
            <v>ZFGD</v>
          </cell>
          <cell r="F706" t="str">
            <v>PC</v>
          </cell>
          <cell r="G706" t="str">
            <v>5</v>
          </cell>
          <cell r="H706" t="str">
            <v>PROJECT</v>
          </cell>
          <cell r="I706" t="str">
            <v>59</v>
          </cell>
          <cell r="J706" t="str">
            <v>MPC</v>
          </cell>
          <cell r="K706" t="str">
            <v>5906</v>
          </cell>
          <cell r="L706" t="str">
            <v>PRIMTOP</v>
          </cell>
          <cell r="M706" t="str">
            <v>590602</v>
          </cell>
          <cell r="N706" t="str">
            <v>PRIMTOP RMX</v>
          </cell>
        </row>
        <row r="707">
          <cell r="C707" t="str">
            <v>100001696</v>
          </cell>
          <cell r="D707" t="str">
            <v>PT-88 TO XANH NAI VN-18KP</v>
          </cell>
          <cell r="E707" t="str">
            <v>ZFGD</v>
          </cell>
          <cell r="F707" t="str">
            <v>PC</v>
          </cell>
          <cell r="G707" t="str">
            <v>5</v>
          </cell>
          <cell r="H707" t="str">
            <v>PROJECT</v>
          </cell>
          <cell r="I707" t="str">
            <v>59</v>
          </cell>
          <cell r="J707" t="str">
            <v>MPC</v>
          </cell>
          <cell r="K707" t="str">
            <v>5906</v>
          </cell>
          <cell r="L707" t="str">
            <v>PRIMTOP</v>
          </cell>
          <cell r="M707" t="str">
            <v>590602</v>
          </cell>
          <cell r="N707" t="str">
            <v>PRIMTOP RMX</v>
          </cell>
        </row>
        <row r="708">
          <cell r="C708" t="str">
            <v>100001697</v>
          </cell>
          <cell r="D708" t="str">
            <v>PT-88 TO XANH NHEN VN-18KP</v>
          </cell>
          <cell r="E708" t="str">
            <v>ZFGD</v>
          </cell>
          <cell r="F708" t="str">
            <v>PC</v>
          </cell>
          <cell r="G708" t="str">
            <v>5</v>
          </cell>
          <cell r="H708" t="str">
            <v>PROJECT</v>
          </cell>
          <cell r="I708" t="str">
            <v>59</v>
          </cell>
          <cell r="J708" t="str">
            <v>MPC</v>
          </cell>
          <cell r="K708" t="str">
            <v>5906</v>
          </cell>
          <cell r="L708" t="str">
            <v>PRIMTOP</v>
          </cell>
          <cell r="M708" t="str">
            <v>590602</v>
          </cell>
          <cell r="N708" t="str">
            <v>PRIMTOP RMX</v>
          </cell>
        </row>
        <row r="709">
          <cell r="C709" t="str">
            <v>100001698</v>
          </cell>
          <cell r="D709" t="str">
            <v>PT-88 TO XANH CHANH VN-18KP</v>
          </cell>
          <cell r="E709" t="str">
            <v>ZFGD</v>
          </cell>
          <cell r="F709" t="str">
            <v>PC</v>
          </cell>
          <cell r="G709" t="str">
            <v>5</v>
          </cell>
          <cell r="H709" t="str">
            <v>PROJECT</v>
          </cell>
          <cell r="I709" t="str">
            <v>59</v>
          </cell>
          <cell r="J709" t="str">
            <v>MPC</v>
          </cell>
          <cell r="K709" t="str">
            <v>5906</v>
          </cell>
          <cell r="L709" t="str">
            <v>PRIMTOP</v>
          </cell>
          <cell r="M709" t="str">
            <v>590602</v>
          </cell>
          <cell r="N709" t="str">
            <v>PRIMTOP RMX</v>
          </cell>
        </row>
        <row r="710">
          <cell r="C710" t="str">
            <v>100001699</v>
          </cell>
          <cell r="D710" t="str">
            <v>PT-88 TO XANH CUU VN-18KP</v>
          </cell>
          <cell r="E710" t="str">
            <v>ZFGD</v>
          </cell>
          <cell r="F710" t="str">
            <v>PC</v>
          </cell>
          <cell r="G710" t="str">
            <v>5</v>
          </cell>
          <cell r="H710" t="str">
            <v>PROJECT</v>
          </cell>
          <cell r="I710" t="str">
            <v>59</v>
          </cell>
          <cell r="J710" t="str">
            <v>MPC</v>
          </cell>
          <cell r="K710" t="str">
            <v>5906</v>
          </cell>
          <cell r="L710" t="str">
            <v>PRIMTOP</v>
          </cell>
          <cell r="M710" t="str">
            <v>590602</v>
          </cell>
          <cell r="N710" t="str">
            <v>PRIMTOP RMX</v>
          </cell>
        </row>
        <row r="711">
          <cell r="C711" t="str">
            <v>100001700</v>
          </cell>
          <cell r="D711" t="str">
            <v>PT-88 TO VANG SICA VN-18KP</v>
          </cell>
          <cell r="E711" t="str">
            <v>ZFGD</v>
          </cell>
          <cell r="F711" t="str">
            <v>PC</v>
          </cell>
          <cell r="G711" t="str">
            <v>5</v>
          </cell>
          <cell r="H711" t="str">
            <v>PROJECT</v>
          </cell>
          <cell r="I711" t="str">
            <v>59</v>
          </cell>
          <cell r="J711" t="str">
            <v>MPC</v>
          </cell>
          <cell r="K711" t="str">
            <v>5906</v>
          </cell>
          <cell r="L711" t="str">
            <v>PRIMTOP</v>
          </cell>
          <cell r="M711" t="str">
            <v>590602</v>
          </cell>
          <cell r="N711" t="str">
            <v>PRIMTOP RMX</v>
          </cell>
        </row>
        <row r="712">
          <cell r="C712" t="str">
            <v>100001701</v>
          </cell>
          <cell r="D712" t="str">
            <v>PT-88 TO HONG TIM VN-18KP</v>
          </cell>
          <cell r="E712" t="str">
            <v>ZFGD</v>
          </cell>
          <cell r="F712" t="str">
            <v>PC</v>
          </cell>
          <cell r="G712" t="str">
            <v>5</v>
          </cell>
          <cell r="H712" t="str">
            <v>PROJECT</v>
          </cell>
          <cell r="I712" t="str">
            <v>59</v>
          </cell>
          <cell r="J712" t="str">
            <v>MPC</v>
          </cell>
          <cell r="K712" t="str">
            <v>5906</v>
          </cell>
          <cell r="L712" t="str">
            <v>PRIMTOP</v>
          </cell>
          <cell r="M712" t="str">
            <v>590602</v>
          </cell>
          <cell r="N712" t="str">
            <v>PRIMTOP RMX</v>
          </cell>
        </row>
        <row r="713">
          <cell r="C713" t="str">
            <v>100001702</v>
          </cell>
          <cell r="D713" t="str">
            <v>PT-88 TO XANH XAM VN-18KP</v>
          </cell>
          <cell r="E713" t="str">
            <v>ZFGD</v>
          </cell>
          <cell r="F713" t="str">
            <v>PC</v>
          </cell>
          <cell r="G713" t="str">
            <v>5</v>
          </cell>
          <cell r="H713" t="str">
            <v>PROJECT</v>
          </cell>
          <cell r="I713" t="str">
            <v>59</v>
          </cell>
          <cell r="J713" t="str">
            <v>MPC</v>
          </cell>
          <cell r="K713" t="str">
            <v>5906</v>
          </cell>
          <cell r="L713" t="str">
            <v>PRIMTOP</v>
          </cell>
          <cell r="M713" t="str">
            <v>590602</v>
          </cell>
          <cell r="N713" t="str">
            <v>PRIMTOP RMX</v>
          </cell>
        </row>
        <row r="714">
          <cell r="C714" t="str">
            <v>100001703</v>
          </cell>
          <cell r="D714" t="str">
            <v>PT-88 TO XANH NAILS VN-18KP</v>
          </cell>
          <cell r="E714" t="str">
            <v>ZFGD</v>
          </cell>
          <cell r="F714" t="str">
            <v>PC</v>
          </cell>
          <cell r="G714" t="str">
            <v>5</v>
          </cell>
          <cell r="H714" t="str">
            <v>PROJECT</v>
          </cell>
          <cell r="I714" t="str">
            <v>59</v>
          </cell>
          <cell r="J714" t="str">
            <v>MPC</v>
          </cell>
          <cell r="K714" t="str">
            <v>5906</v>
          </cell>
          <cell r="L714" t="str">
            <v>PRIMTOP</v>
          </cell>
          <cell r="M714" t="str">
            <v>590602</v>
          </cell>
          <cell r="N714" t="str">
            <v>PRIMTOP RMX</v>
          </cell>
        </row>
        <row r="715">
          <cell r="C715" t="str">
            <v>100001704</v>
          </cell>
          <cell r="D715" t="str">
            <v>THINNER EPOXY VN-0.2K</v>
          </cell>
          <cell r="E715" t="str">
            <v>ZFGD</v>
          </cell>
          <cell r="F715" t="str">
            <v>PC</v>
          </cell>
          <cell r="G715" t="str">
            <v>2</v>
          </cell>
          <cell r="H715" t="str">
            <v>RETAIL</v>
          </cell>
          <cell r="I715" t="str">
            <v>29</v>
          </cell>
          <cell r="J715" t="str">
            <v>MPC</v>
          </cell>
          <cell r="K715" t="str">
            <v>2915</v>
          </cell>
          <cell r="L715" t="str">
            <v>THINNER</v>
          </cell>
          <cell r="M715" t="str">
            <v>291502</v>
          </cell>
          <cell r="N715" t="str">
            <v>THINNER MPC</v>
          </cell>
        </row>
        <row r="716">
          <cell r="C716" t="str">
            <v>100001705</v>
          </cell>
          <cell r="D716" t="str">
            <v>THINNER EPOXY VN-0.8L</v>
          </cell>
          <cell r="E716" t="str">
            <v>ZFGD</v>
          </cell>
          <cell r="F716" t="str">
            <v>PC</v>
          </cell>
          <cell r="G716" t="str">
            <v>2</v>
          </cell>
          <cell r="H716" t="str">
            <v>RETAIL</v>
          </cell>
          <cell r="I716" t="str">
            <v>29</v>
          </cell>
          <cell r="J716" t="str">
            <v>MPC</v>
          </cell>
          <cell r="K716" t="str">
            <v>2915</v>
          </cell>
          <cell r="L716" t="str">
            <v>THINNER</v>
          </cell>
          <cell r="M716" t="str">
            <v>291502</v>
          </cell>
          <cell r="N716" t="str">
            <v>THINNER MPC</v>
          </cell>
        </row>
        <row r="717">
          <cell r="C717" t="str">
            <v>100001706</v>
          </cell>
          <cell r="D717" t="str">
            <v>#NOT USED R EPOXY VN-3.8L</v>
          </cell>
          <cell r="E717" t="str">
            <v>ZFGD</v>
          </cell>
          <cell r="F717" t="str">
            <v>PC</v>
          </cell>
          <cell r="G717" t="str">
            <v>2</v>
          </cell>
          <cell r="H717" t="str">
            <v>RETAIL</v>
          </cell>
          <cell r="I717" t="str">
            <v>29</v>
          </cell>
          <cell r="J717" t="str">
            <v>MPC</v>
          </cell>
          <cell r="K717" t="str">
            <v>2904</v>
          </cell>
          <cell r="L717" t="str">
            <v>OTHERS MPC</v>
          </cell>
          <cell r="M717" t="str">
            <v>290402</v>
          </cell>
          <cell r="N717" t="str">
            <v>THINNER MPC</v>
          </cell>
        </row>
        <row r="718">
          <cell r="C718" t="str">
            <v>100001707</v>
          </cell>
          <cell r="D718" t="str">
            <v>THINNER EPOXY VN-20LJ</v>
          </cell>
          <cell r="E718" t="str">
            <v>ZFGD</v>
          </cell>
          <cell r="F718" t="str">
            <v>PC</v>
          </cell>
          <cell r="G718" t="str">
            <v>2</v>
          </cell>
          <cell r="H718" t="str">
            <v>RETAIL</v>
          </cell>
          <cell r="I718" t="str">
            <v>29</v>
          </cell>
          <cell r="J718" t="str">
            <v>MPC</v>
          </cell>
          <cell r="K718" t="str">
            <v>2915</v>
          </cell>
          <cell r="L718" t="str">
            <v>THINNER</v>
          </cell>
          <cell r="M718" t="str">
            <v>291502</v>
          </cell>
          <cell r="N718" t="str">
            <v>THINNER MPC</v>
          </cell>
        </row>
        <row r="719">
          <cell r="C719" t="str">
            <v>100001708</v>
          </cell>
          <cell r="D719" t="str">
            <v>HARDENER PFP-261 VN-0.5K</v>
          </cell>
          <cell r="E719" t="str">
            <v>ZFGD</v>
          </cell>
          <cell r="F719" t="str">
            <v>PC</v>
          </cell>
          <cell r="G719" t="str">
            <v>5</v>
          </cell>
          <cell r="H719" t="str">
            <v>PROJECT</v>
          </cell>
          <cell r="I719" t="str">
            <v>56</v>
          </cell>
          <cell r="J719" t="str">
            <v>CPC1</v>
          </cell>
          <cell r="K719" t="str">
            <v>5607</v>
          </cell>
          <cell r="L719" t="str">
            <v>OTHERS CPC1</v>
          </cell>
          <cell r="M719" t="str">
            <v>560703</v>
          </cell>
          <cell r="N719" t="str">
            <v>COMPLEMENTARY CPC1</v>
          </cell>
        </row>
        <row r="720">
          <cell r="C720" t="str">
            <v>100001709</v>
          </cell>
          <cell r="D720" t="str">
            <v>HARDENER PFP-261 VN-2K</v>
          </cell>
          <cell r="E720" t="str">
            <v>ZFGD</v>
          </cell>
          <cell r="F720" t="str">
            <v>PC</v>
          </cell>
          <cell r="G720" t="str">
            <v>5</v>
          </cell>
          <cell r="H720" t="str">
            <v>PROJECT</v>
          </cell>
          <cell r="I720" t="str">
            <v>56</v>
          </cell>
          <cell r="J720" t="str">
            <v>CPC1</v>
          </cell>
          <cell r="K720" t="str">
            <v>5607</v>
          </cell>
          <cell r="L720" t="str">
            <v>OTHERS CPC1</v>
          </cell>
          <cell r="M720" t="str">
            <v>560703</v>
          </cell>
          <cell r="N720" t="str">
            <v>COMPLEMENTARY CPC1</v>
          </cell>
        </row>
        <row r="721">
          <cell r="C721" t="str">
            <v>100001710</v>
          </cell>
          <cell r="D721" t="str">
            <v>HARDENER PFT-253 VN-1K</v>
          </cell>
          <cell r="E721" t="str">
            <v>ZFGD</v>
          </cell>
          <cell r="F721" t="str">
            <v>PC</v>
          </cell>
          <cell r="G721" t="str">
            <v>5</v>
          </cell>
          <cell r="H721" t="str">
            <v>PROJECT</v>
          </cell>
          <cell r="I721" t="str">
            <v>56</v>
          </cell>
          <cell r="J721" t="str">
            <v>CPC1</v>
          </cell>
          <cell r="K721" t="str">
            <v>5607</v>
          </cell>
          <cell r="L721" t="str">
            <v>OTHERS CPC1</v>
          </cell>
          <cell r="M721" t="str">
            <v>560703</v>
          </cell>
          <cell r="N721" t="str">
            <v>COMPLEMENTARY CPC1</v>
          </cell>
        </row>
        <row r="722">
          <cell r="C722" t="str">
            <v>100001711</v>
          </cell>
          <cell r="D722" t="str">
            <v>HARDENER PFT-253 VN-4K</v>
          </cell>
          <cell r="E722" t="str">
            <v>ZFGD</v>
          </cell>
          <cell r="F722" t="str">
            <v>PC</v>
          </cell>
          <cell r="G722" t="str">
            <v>5</v>
          </cell>
          <cell r="H722" t="str">
            <v>PROJECT</v>
          </cell>
          <cell r="I722" t="str">
            <v>56</v>
          </cell>
          <cell r="J722" t="str">
            <v>CPC1</v>
          </cell>
          <cell r="K722" t="str">
            <v>5607</v>
          </cell>
          <cell r="L722" t="str">
            <v>OTHERS CPC1</v>
          </cell>
          <cell r="M722" t="str">
            <v>560703</v>
          </cell>
          <cell r="N722" t="str">
            <v>COMPLEMENTARY CPC1</v>
          </cell>
        </row>
        <row r="723">
          <cell r="C723" t="str">
            <v>100001712</v>
          </cell>
          <cell r="D723" t="str">
            <v>HARDENER PFT-253 3K VN-2K</v>
          </cell>
          <cell r="E723" t="str">
            <v>ZFGD</v>
          </cell>
          <cell r="F723" t="str">
            <v>PC</v>
          </cell>
          <cell r="G723" t="str">
            <v>5</v>
          </cell>
          <cell r="H723" t="str">
            <v>PROJECT</v>
          </cell>
          <cell r="I723" t="str">
            <v>56</v>
          </cell>
          <cell r="J723" t="str">
            <v>CPC1</v>
          </cell>
          <cell r="K723" t="str">
            <v>5607</v>
          </cell>
          <cell r="L723" t="str">
            <v>OTHERS CPC1</v>
          </cell>
          <cell r="M723" t="str">
            <v>560703</v>
          </cell>
          <cell r="N723" t="str">
            <v>COMPLEMENTARY CPC1</v>
          </cell>
        </row>
        <row r="724">
          <cell r="C724" t="str">
            <v>100001713</v>
          </cell>
          <cell r="D724" t="str">
            <v>#NOT USED ER EDP-551 VN-0.1K</v>
          </cell>
          <cell r="E724" t="str">
            <v>ZFGD</v>
          </cell>
          <cell r="F724" t="str">
            <v>PC</v>
          </cell>
          <cell r="G724" t="str">
            <v>2</v>
          </cell>
          <cell r="H724" t="str">
            <v>RETAIL</v>
          </cell>
          <cell r="I724" t="str">
            <v>29</v>
          </cell>
          <cell r="J724" t="str">
            <v>MPC</v>
          </cell>
          <cell r="K724" t="str">
            <v>2904</v>
          </cell>
          <cell r="L724" t="str">
            <v>OTHERS MPC</v>
          </cell>
          <cell r="M724" t="str">
            <v>290403</v>
          </cell>
          <cell r="N724" t="str">
            <v>COMPLEMENTARY MPC</v>
          </cell>
        </row>
        <row r="725">
          <cell r="C725" t="str">
            <v>100001714</v>
          </cell>
          <cell r="D725" t="str">
            <v>#NOT USED ER EDP-551 VN-0.5K</v>
          </cell>
          <cell r="E725" t="str">
            <v>ZFGD</v>
          </cell>
          <cell r="F725" t="str">
            <v>PC</v>
          </cell>
          <cell r="G725" t="str">
            <v>2</v>
          </cell>
          <cell r="H725" t="str">
            <v>RETAIL</v>
          </cell>
          <cell r="I725" t="str">
            <v>29</v>
          </cell>
          <cell r="J725" t="str">
            <v>MPC</v>
          </cell>
          <cell r="K725" t="str">
            <v>2904</v>
          </cell>
          <cell r="L725" t="str">
            <v>OTHERS MPC</v>
          </cell>
          <cell r="M725" t="str">
            <v>290403</v>
          </cell>
          <cell r="N725" t="str">
            <v>COMPLEMENTARY MPC</v>
          </cell>
        </row>
        <row r="726">
          <cell r="C726" t="str">
            <v>100001715</v>
          </cell>
          <cell r="D726" t="str">
            <v>CỨNG EPOXY EDP-551 VN-2K</v>
          </cell>
          <cell r="E726" t="str">
            <v>ZFGD</v>
          </cell>
          <cell r="F726" t="str">
            <v>PC</v>
          </cell>
          <cell r="G726" t="str">
            <v>5</v>
          </cell>
          <cell r="H726" t="str">
            <v>PROJECT</v>
          </cell>
          <cell r="I726" t="str">
            <v>59</v>
          </cell>
          <cell r="J726" t="str">
            <v>MPC</v>
          </cell>
          <cell r="K726" t="str">
            <v>5904</v>
          </cell>
          <cell r="L726" t="str">
            <v>METALKOTE</v>
          </cell>
          <cell r="M726" t="str">
            <v>590402</v>
          </cell>
          <cell r="N726" t="str">
            <v>METALKOTE-EPOXY SYS</v>
          </cell>
        </row>
        <row r="727">
          <cell r="C727" t="str">
            <v>100001716</v>
          </cell>
          <cell r="D727" t="str">
            <v>HARDENER PFP-241 VN-0.5K</v>
          </cell>
          <cell r="E727" t="str">
            <v>ZFGD</v>
          </cell>
          <cell r="F727" t="str">
            <v>PC</v>
          </cell>
          <cell r="G727" t="str">
            <v>5</v>
          </cell>
          <cell r="H727" t="str">
            <v>PROJECT</v>
          </cell>
          <cell r="I727" t="str">
            <v>56</v>
          </cell>
          <cell r="J727" t="str">
            <v>CPC1</v>
          </cell>
          <cell r="K727" t="str">
            <v>5607</v>
          </cell>
          <cell r="L727" t="str">
            <v>OTHERS CPC1</v>
          </cell>
          <cell r="M727" t="str">
            <v>560703</v>
          </cell>
          <cell r="N727" t="str">
            <v>COMPLEMENTARY CPC1</v>
          </cell>
        </row>
        <row r="728">
          <cell r="C728" t="str">
            <v>100001717</v>
          </cell>
          <cell r="D728" t="str">
            <v>HARDENER PFP-241 VN-2.5K</v>
          </cell>
          <cell r="E728" t="str">
            <v>ZFGD</v>
          </cell>
          <cell r="F728" t="str">
            <v>PC</v>
          </cell>
          <cell r="G728" t="str">
            <v>5</v>
          </cell>
          <cell r="H728" t="str">
            <v>PROJECT</v>
          </cell>
          <cell r="I728" t="str">
            <v>56</v>
          </cell>
          <cell r="J728" t="str">
            <v>CPC1</v>
          </cell>
          <cell r="K728" t="str">
            <v>5607</v>
          </cell>
          <cell r="L728" t="str">
            <v>OTHERS CPC1</v>
          </cell>
          <cell r="M728" t="str">
            <v>560703</v>
          </cell>
          <cell r="N728" t="str">
            <v>COMPLEMENTARY CPC1</v>
          </cell>
        </row>
        <row r="729">
          <cell r="C729" t="str">
            <v>100001718</v>
          </cell>
          <cell r="D729" t="str">
            <v>HARDENER MX-94 VN-1K</v>
          </cell>
          <cell r="E729" t="str">
            <v>ZFGD</v>
          </cell>
          <cell r="F729" t="str">
            <v>PC</v>
          </cell>
          <cell r="G729" t="str">
            <v>5</v>
          </cell>
          <cell r="H729" t="str">
            <v>PROJECT</v>
          </cell>
          <cell r="I729" t="str">
            <v>56</v>
          </cell>
          <cell r="J729" t="str">
            <v>CPC1</v>
          </cell>
          <cell r="K729" t="str">
            <v>5603</v>
          </cell>
          <cell r="L729" t="str">
            <v>MULTIPOX</v>
          </cell>
          <cell r="M729" t="str">
            <v>560301</v>
          </cell>
          <cell r="N729" t="str">
            <v>MULTIPOX</v>
          </cell>
        </row>
        <row r="730">
          <cell r="C730" t="str">
            <v>100001719</v>
          </cell>
          <cell r="D730" t="str">
            <v>HARDENER MX-94 VN-4K</v>
          </cell>
          <cell r="E730" t="str">
            <v>ZFGD</v>
          </cell>
          <cell r="F730" t="str">
            <v>PC</v>
          </cell>
          <cell r="G730" t="str">
            <v>5</v>
          </cell>
          <cell r="H730" t="str">
            <v>PROJECT</v>
          </cell>
          <cell r="I730" t="str">
            <v>56</v>
          </cell>
          <cell r="J730" t="str">
            <v>CPC1</v>
          </cell>
          <cell r="K730" t="str">
            <v>5603</v>
          </cell>
          <cell r="L730" t="str">
            <v>MULTIPOX</v>
          </cell>
          <cell r="M730" t="str">
            <v>560301</v>
          </cell>
          <cell r="N730" t="str">
            <v>MULTIPOX</v>
          </cell>
        </row>
        <row r="731">
          <cell r="C731" t="str">
            <v>100001720</v>
          </cell>
          <cell r="D731" t="str">
            <v>HARDENER MX-99 VN-0.2K</v>
          </cell>
          <cell r="E731" t="str">
            <v>ZFGD</v>
          </cell>
          <cell r="F731" t="str">
            <v>PC</v>
          </cell>
          <cell r="G731" t="str">
            <v>2</v>
          </cell>
          <cell r="H731" t="str">
            <v>RETAIL</v>
          </cell>
          <cell r="I731" t="str">
            <v>27</v>
          </cell>
          <cell r="J731" t="str">
            <v>CPC1</v>
          </cell>
          <cell r="K731" t="str">
            <v>2703</v>
          </cell>
          <cell r="L731" t="str">
            <v>MULTIPOX</v>
          </cell>
          <cell r="M731" t="str">
            <v>270301</v>
          </cell>
          <cell r="N731" t="str">
            <v>MULTIPOX</v>
          </cell>
        </row>
        <row r="732">
          <cell r="C732" t="str">
            <v>100001721</v>
          </cell>
          <cell r="D732" t="str">
            <v>HARDENER MX-99 VN-1K</v>
          </cell>
          <cell r="E732" t="str">
            <v>ZFGD</v>
          </cell>
          <cell r="F732" t="str">
            <v>PC</v>
          </cell>
          <cell r="G732" t="str">
            <v>2</v>
          </cell>
          <cell r="H732" t="str">
            <v>RETAIL</v>
          </cell>
          <cell r="I732" t="str">
            <v>27</v>
          </cell>
          <cell r="J732" t="str">
            <v>CPC1</v>
          </cell>
          <cell r="K732" t="str">
            <v>2703</v>
          </cell>
          <cell r="L732" t="str">
            <v>MULTIPOX</v>
          </cell>
          <cell r="M732" t="str">
            <v>270301</v>
          </cell>
          <cell r="N732" t="str">
            <v>MULTIPOX</v>
          </cell>
        </row>
        <row r="733">
          <cell r="C733" t="str">
            <v>100001722</v>
          </cell>
          <cell r="D733" t="str">
            <v>HARDENER MX-99 VN-5K</v>
          </cell>
          <cell r="E733" t="str">
            <v>ZFGD</v>
          </cell>
          <cell r="F733" t="str">
            <v>PC</v>
          </cell>
          <cell r="G733" t="str">
            <v>2</v>
          </cell>
          <cell r="H733" t="str">
            <v>RETAIL</v>
          </cell>
          <cell r="I733" t="str">
            <v>27</v>
          </cell>
          <cell r="J733" t="str">
            <v>CPC1</v>
          </cell>
          <cell r="K733" t="str">
            <v>2703</v>
          </cell>
          <cell r="L733" t="str">
            <v>MULTIPOX</v>
          </cell>
          <cell r="M733" t="str">
            <v>270301</v>
          </cell>
          <cell r="N733" t="str">
            <v>MULTIPOX</v>
          </cell>
        </row>
        <row r="734">
          <cell r="C734" t="str">
            <v>100001723</v>
          </cell>
          <cell r="D734" t="str">
            <v>THINNER PU-047 VT VN-1L</v>
          </cell>
          <cell r="E734" t="str">
            <v>ZFGD</v>
          </cell>
          <cell r="F734" t="str">
            <v>PC</v>
          </cell>
          <cell r="G734" t="str">
            <v>2</v>
          </cell>
          <cell r="H734" t="str">
            <v>RETAIL</v>
          </cell>
          <cell r="I734" t="str">
            <v>22</v>
          </cell>
          <cell r="J734" t="str">
            <v>WF2</v>
          </cell>
          <cell r="K734" t="str">
            <v>2203</v>
          </cell>
          <cell r="L734" t="str">
            <v>THINNER PU</v>
          </cell>
          <cell r="M734" t="str">
            <v>220303</v>
          </cell>
          <cell r="N734" t="str">
            <v>THINNER PU R</v>
          </cell>
        </row>
        <row r="735">
          <cell r="C735" t="str">
            <v>100001724</v>
          </cell>
          <cell r="D735" t="str">
            <v>THINNER PU-047 VT VN-3.8L</v>
          </cell>
          <cell r="E735" t="str">
            <v>ZFGD</v>
          </cell>
          <cell r="F735" t="str">
            <v>PC</v>
          </cell>
          <cell r="G735" t="str">
            <v>2</v>
          </cell>
          <cell r="H735" t="str">
            <v>RETAIL</v>
          </cell>
          <cell r="I735" t="str">
            <v>22</v>
          </cell>
          <cell r="J735" t="str">
            <v>WF2</v>
          </cell>
          <cell r="K735" t="str">
            <v>2203</v>
          </cell>
          <cell r="L735" t="str">
            <v>THINNER PU</v>
          </cell>
          <cell r="M735" t="str">
            <v>220303</v>
          </cell>
          <cell r="N735" t="str">
            <v>THINNER PU R</v>
          </cell>
        </row>
        <row r="736">
          <cell r="C736" t="str">
            <v>100001725</v>
          </cell>
          <cell r="D736" t="str">
            <v>THINNER PU-047 VT VN-20LJ</v>
          </cell>
          <cell r="E736" t="str">
            <v>ZFGD</v>
          </cell>
          <cell r="F736" t="str">
            <v>PC</v>
          </cell>
          <cell r="G736" t="str">
            <v>2</v>
          </cell>
          <cell r="H736" t="str">
            <v>RETAIL</v>
          </cell>
          <cell r="I736" t="str">
            <v>22</v>
          </cell>
          <cell r="J736" t="str">
            <v>WF2</v>
          </cell>
          <cell r="K736" t="str">
            <v>2203</v>
          </cell>
          <cell r="L736" t="str">
            <v>THINNER PU</v>
          </cell>
          <cell r="M736" t="str">
            <v>220303</v>
          </cell>
          <cell r="N736" t="str">
            <v>THINNER PU R</v>
          </cell>
        </row>
        <row r="737">
          <cell r="C737" t="str">
            <v>100001726</v>
          </cell>
          <cell r="D737" t="str">
            <v>HARDENER PUH-74 SD VN-0.5K</v>
          </cell>
          <cell r="E737" t="str">
            <v>ZFGD</v>
          </cell>
          <cell r="F737" t="str">
            <v>PC</v>
          </cell>
          <cell r="G737" t="str">
            <v>2</v>
          </cell>
          <cell r="H737" t="str">
            <v>RETAIL</v>
          </cell>
          <cell r="I737" t="str">
            <v>22</v>
          </cell>
          <cell r="J737" t="str">
            <v>WF2</v>
          </cell>
          <cell r="K737" t="str">
            <v>2212</v>
          </cell>
          <cell r="L737" t="str">
            <v>PU EASY TO USE</v>
          </cell>
          <cell r="M737" t="str">
            <v>221201</v>
          </cell>
          <cell r="N737" t="str">
            <v>PROPAN EASY TO USE PU</v>
          </cell>
        </row>
        <row r="738">
          <cell r="C738" t="str">
            <v>100001727</v>
          </cell>
          <cell r="D738" t="str">
            <v>HARDENER PUH-74 SD VN-1K</v>
          </cell>
          <cell r="E738" t="str">
            <v>ZFGD</v>
          </cell>
          <cell r="F738" t="str">
            <v>PC</v>
          </cell>
          <cell r="G738" t="str">
            <v>2</v>
          </cell>
          <cell r="H738" t="str">
            <v>RETAIL</v>
          </cell>
          <cell r="I738" t="str">
            <v>22</v>
          </cell>
          <cell r="J738" t="str">
            <v>WF2</v>
          </cell>
          <cell r="K738" t="str">
            <v>2212</v>
          </cell>
          <cell r="L738" t="str">
            <v>PU EASY TO USE</v>
          </cell>
          <cell r="M738" t="str">
            <v>221201</v>
          </cell>
          <cell r="N738" t="str">
            <v>PROPAN EASY TO USE PU</v>
          </cell>
        </row>
        <row r="739">
          <cell r="C739" t="str">
            <v>100001728</v>
          </cell>
          <cell r="D739" t="str">
            <v>HARDENER PUH-74 SD VN-4K</v>
          </cell>
          <cell r="E739" t="str">
            <v>ZFGD</v>
          </cell>
          <cell r="F739" t="str">
            <v>PC</v>
          </cell>
          <cell r="G739" t="str">
            <v>2</v>
          </cell>
          <cell r="H739" t="str">
            <v>RETAIL</v>
          </cell>
          <cell r="I739" t="str">
            <v>22</v>
          </cell>
          <cell r="J739" t="str">
            <v>WF2</v>
          </cell>
          <cell r="K739" t="str">
            <v>2212</v>
          </cell>
          <cell r="L739" t="str">
            <v>PU EASY TO USE</v>
          </cell>
          <cell r="M739" t="str">
            <v>221201</v>
          </cell>
          <cell r="N739" t="str">
            <v>PROPAN EASY TO USE PU</v>
          </cell>
        </row>
        <row r="740">
          <cell r="C740" t="str">
            <v>100001729</v>
          </cell>
          <cell r="D740" t="str">
            <v>HARDENER PUH-74 SD VN-16KP</v>
          </cell>
          <cell r="E740" t="str">
            <v>ZFGD</v>
          </cell>
          <cell r="F740" t="str">
            <v>PC</v>
          </cell>
          <cell r="G740" t="str">
            <v>2</v>
          </cell>
          <cell r="H740" t="str">
            <v>RETAIL</v>
          </cell>
          <cell r="I740" t="str">
            <v>22</v>
          </cell>
          <cell r="J740" t="str">
            <v>WF2</v>
          </cell>
          <cell r="K740" t="str">
            <v>2212</v>
          </cell>
          <cell r="L740" t="str">
            <v>PU EASY TO USE</v>
          </cell>
          <cell r="M740" t="str">
            <v>221201</v>
          </cell>
          <cell r="N740" t="str">
            <v>PROPAN EASY TO USE PU</v>
          </cell>
        </row>
        <row r="741">
          <cell r="C741" t="str">
            <v>100001730</v>
          </cell>
          <cell r="D741" t="str">
            <v>HARDENER PUH-74 HG VN-0.5K</v>
          </cell>
          <cell r="E741" t="str">
            <v>ZFGD</v>
          </cell>
          <cell r="F741" t="str">
            <v>PC</v>
          </cell>
          <cell r="G741" t="str">
            <v>2</v>
          </cell>
          <cell r="H741" t="str">
            <v>RETAIL</v>
          </cell>
          <cell r="I741" t="str">
            <v>22</v>
          </cell>
          <cell r="J741" t="str">
            <v>WF2</v>
          </cell>
          <cell r="K741" t="str">
            <v>2212</v>
          </cell>
          <cell r="L741" t="str">
            <v>PU EASY TO USE</v>
          </cell>
          <cell r="M741" t="str">
            <v>221201</v>
          </cell>
          <cell r="N741" t="str">
            <v>PROPAN EASY TO USE PU</v>
          </cell>
        </row>
        <row r="742">
          <cell r="C742" t="str">
            <v>100001731</v>
          </cell>
          <cell r="D742" t="str">
            <v>HARDENER PUH-74 HG VN-1K</v>
          </cell>
          <cell r="E742" t="str">
            <v>ZFGD</v>
          </cell>
          <cell r="F742" t="str">
            <v>PC</v>
          </cell>
          <cell r="G742" t="str">
            <v>2</v>
          </cell>
          <cell r="H742" t="str">
            <v>RETAIL</v>
          </cell>
          <cell r="I742" t="str">
            <v>22</v>
          </cell>
          <cell r="J742" t="str">
            <v>WF2</v>
          </cell>
          <cell r="K742" t="str">
            <v>2212</v>
          </cell>
          <cell r="L742" t="str">
            <v>PU EASY TO USE</v>
          </cell>
          <cell r="M742" t="str">
            <v>221201</v>
          </cell>
          <cell r="N742" t="str">
            <v>PROPAN EASY TO USE PU</v>
          </cell>
        </row>
        <row r="743">
          <cell r="C743" t="str">
            <v>100001732</v>
          </cell>
          <cell r="D743" t="str">
            <v>HARDENER PUH-74 HG VN-4K</v>
          </cell>
          <cell r="E743" t="str">
            <v>ZFGD</v>
          </cell>
          <cell r="F743" t="str">
            <v>PC</v>
          </cell>
          <cell r="G743" t="str">
            <v>2</v>
          </cell>
          <cell r="H743" t="str">
            <v>RETAIL</v>
          </cell>
          <cell r="I743" t="str">
            <v>22</v>
          </cell>
          <cell r="J743" t="str">
            <v>WF2</v>
          </cell>
          <cell r="K743" t="str">
            <v>2212</v>
          </cell>
          <cell r="L743" t="str">
            <v>PU EASY TO USE</v>
          </cell>
          <cell r="M743" t="str">
            <v>221201</v>
          </cell>
          <cell r="N743" t="str">
            <v>PROPAN EASY TO USE PU</v>
          </cell>
        </row>
        <row r="744">
          <cell r="C744" t="str">
            <v>100001733</v>
          </cell>
          <cell r="D744" t="str">
            <v>HARDENER PUH-74 HG VN-16KP</v>
          </cell>
          <cell r="E744" t="str">
            <v>ZFGD</v>
          </cell>
          <cell r="F744" t="str">
            <v>PC</v>
          </cell>
          <cell r="G744" t="str">
            <v>2</v>
          </cell>
          <cell r="H744" t="str">
            <v>RETAIL</v>
          </cell>
          <cell r="I744" t="str">
            <v>22</v>
          </cell>
          <cell r="J744" t="str">
            <v>WF2</v>
          </cell>
          <cell r="K744" t="str">
            <v>2212</v>
          </cell>
          <cell r="L744" t="str">
            <v>PU EASY TO USE</v>
          </cell>
          <cell r="M744" t="str">
            <v>221201</v>
          </cell>
          <cell r="N744" t="str">
            <v>PROPAN EASY TO USE PU</v>
          </cell>
        </row>
        <row r="745">
          <cell r="C745" t="str">
            <v>100001734</v>
          </cell>
          <cell r="D745" t="str">
            <v>HARDENER PUH-75 NY VN-0.2K</v>
          </cell>
          <cell r="E745" t="str">
            <v>ZFGD</v>
          </cell>
          <cell r="F745" t="str">
            <v>PC</v>
          </cell>
          <cell r="G745" t="str">
            <v>2</v>
          </cell>
          <cell r="H745" t="str">
            <v>RETAIL</v>
          </cell>
          <cell r="I745" t="str">
            <v>22</v>
          </cell>
          <cell r="J745" t="str">
            <v>WF2</v>
          </cell>
          <cell r="K745" t="str">
            <v>2216</v>
          </cell>
          <cell r="L745" t="str">
            <v>PU MULTIPURPOSE</v>
          </cell>
          <cell r="M745" t="str">
            <v>221601</v>
          </cell>
          <cell r="N745" t="str">
            <v>PROPAN MP PU ACR RMX</v>
          </cell>
        </row>
        <row r="746">
          <cell r="C746" t="str">
            <v>100001735</v>
          </cell>
          <cell r="D746" t="str">
            <v>HARDENER PUH-75 NY VN-1K</v>
          </cell>
          <cell r="E746" t="str">
            <v>ZFGD</v>
          </cell>
          <cell r="F746" t="str">
            <v>PC</v>
          </cell>
          <cell r="G746" t="str">
            <v>2</v>
          </cell>
          <cell r="H746" t="str">
            <v>RETAIL</v>
          </cell>
          <cell r="I746" t="str">
            <v>22</v>
          </cell>
          <cell r="J746" t="str">
            <v>WF2</v>
          </cell>
          <cell r="K746" t="str">
            <v>2216</v>
          </cell>
          <cell r="L746" t="str">
            <v>PU MULTIPURPOSE</v>
          </cell>
          <cell r="M746" t="str">
            <v>221601</v>
          </cell>
          <cell r="N746" t="str">
            <v>PROPAN MP PU ACR RMX</v>
          </cell>
        </row>
        <row r="747">
          <cell r="C747" t="str">
            <v>100001736</v>
          </cell>
          <cell r="D747" t="str">
            <v>HARDENER PUH-75 NY VN-4K</v>
          </cell>
          <cell r="E747" t="str">
            <v>ZFGD</v>
          </cell>
          <cell r="F747" t="str">
            <v>PC</v>
          </cell>
          <cell r="G747" t="str">
            <v>2</v>
          </cell>
          <cell r="H747" t="str">
            <v>RETAIL</v>
          </cell>
          <cell r="I747" t="str">
            <v>22</v>
          </cell>
          <cell r="J747" t="str">
            <v>WF2</v>
          </cell>
          <cell r="K747" t="str">
            <v>2216</v>
          </cell>
          <cell r="L747" t="str">
            <v>PU MULTIPURPOSE</v>
          </cell>
          <cell r="M747" t="str">
            <v>221601</v>
          </cell>
          <cell r="N747" t="str">
            <v>PROPAN MP PU ACR RMX</v>
          </cell>
        </row>
        <row r="748">
          <cell r="C748" t="str">
            <v>100001737</v>
          </cell>
          <cell r="D748" t="str">
            <v>HARDENER PUH-75 NY VN-16KP</v>
          </cell>
          <cell r="E748" t="str">
            <v>ZFGD</v>
          </cell>
          <cell r="F748" t="str">
            <v>PC</v>
          </cell>
          <cell r="G748" t="str">
            <v>2</v>
          </cell>
          <cell r="H748" t="str">
            <v>RETAIL</v>
          </cell>
          <cell r="I748" t="str">
            <v>22</v>
          </cell>
          <cell r="J748" t="str">
            <v>WF2</v>
          </cell>
          <cell r="K748" t="str">
            <v>2216</v>
          </cell>
          <cell r="L748" t="str">
            <v>PU MULTIPURPOSE</v>
          </cell>
          <cell r="M748" t="str">
            <v>221601</v>
          </cell>
          <cell r="N748" t="str">
            <v>PROPAN MP PU ACR RMX</v>
          </cell>
        </row>
        <row r="749">
          <cell r="C749" t="str">
            <v>100001738</v>
          </cell>
          <cell r="D749" t="str">
            <v>PUSS-740-2K VT VN-1K</v>
          </cell>
          <cell r="E749" t="str">
            <v>ZFGD</v>
          </cell>
          <cell r="F749" t="str">
            <v>PC</v>
          </cell>
          <cell r="G749" t="str">
            <v>2</v>
          </cell>
          <cell r="H749" t="str">
            <v>RETAIL</v>
          </cell>
          <cell r="I749" t="str">
            <v>22</v>
          </cell>
          <cell r="J749" t="str">
            <v>WF2</v>
          </cell>
          <cell r="K749" t="str">
            <v>2212</v>
          </cell>
          <cell r="L749" t="str">
            <v>PU EASY TO USE</v>
          </cell>
          <cell r="M749" t="str">
            <v>221201</v>
          </cell>
          <cell r="N749" t="str">
            <v>PROPAN EASY TO USE PU</v>
          </cell>
        </row>
        <row r="750">
          <cell r="C750" t="str">
            <v>100001739</v>
          </cell>
          <cell r="D750" t="str">
            <v>PUSS-740-2K VT VN-4K</v>
          </cell>
          <cell r="E750" t="str">
            <v>ZFGD</v>
          </cell>
          <cell r="F750" t="str">
            <v>PC</v>
          </cell>
          <cell r="G750" t="str">
            <v>2</v>
          </cell>
          <cell r="H750" t="str">
            <v>RETAIL</v>
          </cell>
          <cell r="I750" t="str">
            <v>22</v>
          </cell>
          <cell r="J750" t="str">
            <v>WF2</v>
          </cell>
          <cell r="K750" t="str">
            <v>2212</v>
          </cell>
          <cell r="L750" t="str">
            <v>PU EASY TO USE</v>
          </cell>
          <cell r="M750" t="str">
            <v>221201</v>
          </cell>
          <cell r="N750" t="str">
            <v>PROPAN EASY TO USE PU</v>
          </cell>
        </row>
        <row r="751">
          <cell r="C751" t="str">
            <v>100001740</v>
          </cell>
          <cell r="D751" t="str">
            <v>PUSS-740-2K VT VN-16KP</v>
          </cell>
          <cell r="E751" t="str">
            <v>ZFGD</v>
          </cell>
          <cell r="F751" t="str">
            <v>PC</v>
          </cell>
          <cell r="G751" t="str">
            <v>2</v>
          </cell>
          <cell r="H751" t="str">
            <v>RETAIL</v>
          </cell>
          <cell r="I751" t="str">
            <v>22</v>
          </cell>
          <cell r="J751" t="str">
            <v>WF2</v>
          </cell>
          <cell r="K751" t="str">
            <v>2212</v>
          </cell>
          <cell r="L751" t="str">
            <v>PU EASY TO USE</v>
          </cell>
          <cell r="M751" t="str">
            <v>221201</v>
          </cell>
          <cell r="N751" t="str">
            <v>PROPAN EASY TO USE PU</v>
          </cell>
        </row>
        <row r="752">
          <cell r="C752" t="str">
            <v>100001741</v>
          </cell>
          <cell r="D752" t="str">
            <v>PUL-745 2K VT CLEAR GLOSS VN-1K</v>
          </cell>
          <cell r="E752" t="str">
            <v>ZFGD</v>
          </cell>
          <cell r="F752" t="str">
            <v>PC</v>
          </cell>
          <cell r="G752" t="str">
            <v>2</v>
          </cell>
          <cell r="H752" t="str">
            <v>RETAIL</v>
          </cell>
          <cell r="I752" t="str">
            <v>22</v>
          </cell>
          <cell r="J752" t="str">
            <v>WF2</v>
          </cell>
          <cell r="K752" t="str">
            <v>2212</v>
          </cell>
          <cell r="L752" t="str">
            <v>PU EASY TO USE</v>
          </cell>
          <cell r="M752" t="str">
            <v>221201</v>
          </cell>
          <cell r="N752" t="str">
            <v>PROPAN EASY TO USE PU</v>
          </cell>
        </row>
        <row r="753">
          <cell r="C753" t="str">
            <v>100001742</v>
          </cell>
          <cell r="D753" t="str">
            <v>PUL-745 2K VT CLEAR GLOSS VN-4K</v>
          </cell>
          <cell r="E753" t="str">
            <v>ZFGD</v>
          </cell>
          <cell r="F753" t="str">
            <v>PC</v>
          </cell>
          <cell r="G753" t="str">
            <v>2</v>
          </cell>
          <cell r="H753" t="str">
            <v>RETAIL</v>
          </cell>
          <cell r="I753" t="str">
            <v>22</v>
          </cell>
          <cell r="J753" t="str">
            <v>WF2</v>
          </cell>
          <cell r="K753" t="str">
            <v>2212</v>
          </cell>
          <cell r="L753" t="str">
            <v>PU EASY TO USE</v>
          </cell>
          <cell r="M753" t="str">
            <v>221201</v>
          </cell>
          <cell r="N753" t="str">
            <v>PROPAN EASY TO USE PU</v>
          </cell>
        </row>
        <row r="754">
          <cell r="C754" t="str">
            <v>100001743</v>
          </cell>
          <cell r="D754" t="str">
            <v>PUL-745 2K VT CLEAR GLOSS VN-16KP</v>
          </cell>
          <cell r="E754" t="str">
            <v>ZFGD</v>
          </cell>
          <cell r="F754" t="str">
            <v>PC</v>
          </cell>
          <cell r="G754" t="str">
            <v>2</v>
          </cell>
          <cell r="H754" t="str">
            <v>RETAIL</v>
          </cell>
          <cell r="I754" t="str">
            <v>22</v>
          </cell>
          <cell r="J754" t="str">
            <v>WF2</v>
          </cell>
          <cell r="K754" t="str">
            <v>2212</v>
          </cell>
          <cell r="L754" t="str">
            <v>PU EASY TO USE</v>
          </cell>
          <cell r="M754" t="str">
            <v>221201</v>
          </cell>
          <cell r="N754" t="str">
            <v>PROPAN EASY TO USE PU</v>
          </cell>
        </row>
        <row r="755">
          <cell r="C755" t="str">
            <v>100001744</v>
          </cell>
          <cell r="D755" t="str">
            <v>PUL-745 2K VT DEAD MATT VN-1K</v>
          </cell>
          <cell r="E755" t="str">
            <v>ZFGD</v>
          </cell>
          <cell r="F755" t="str">
            <v>PC</v>
          </cell>
          <cell r="G755" t="str">
            <v>2</v>
          </cell>
          <cell r="H755" t="str">
            <v>RETAIL</v>
          </cell>
          <cell r="I755" t="str">
            <v>22</v>
          </cell>
          <cell r="J755" t="str">
            <v>WF2</v>
          </cell>
          <cell r="K755" t="str">
            <v>2212</v>
          </cell>
          <cell r="L755" t="str">
            <v>PU EASY TO USE</v>
          </cell>
          <cell r="M755" t="str">
            <v>221201</v>
          </cell>
          <cell r="N755" t="str">
            <v>PROPAN EASY TO USE PU</v>
          </cell>
        </row>
        <row r="756">
          <cell r="C756" t="str">
            <v>100001745</v>
          </cell>
          <cell r="D756" t="str">
            <v>PUL-745 2K VT DEAD MATT VN-4K</v>
          </cell>
          <cell r="E756" t="str">
            <v>ZFGD</v>
          </cell>
          <cell r="F756" t="str">
            <v>PC</v>
          </cell>
          <cell r="G756" t="str">
            <v>2</v>
          </cell>
          <cell r="H756" t="str">
            <v>RETAIL</v>
          </cell>
          <cell r="I756" t="str">
            <v>22</v>
          </cell>
          <cell r="J756" t="str">
            <v>WF2</v>
          </cell>
          <cell r="K756" t="str">
            <v>2212</v>
          </cell>
          <cell r="L756" t="str">
            <v>PU EASY TO USE</v>
          </cell>
          <cell r="M756" t="str">
            <v>221201</v>
          </cell>
          <cell r="N756" t="str">
            <v>PROPAN EASY TO USE PU</v>
          </cell>
        </row>
        <row r="757">
          <cell r="C757" t="str">
            <v>100001746</v>
          </cell>
          <cell r="D757" t="str">
            <v>PUL-745 2K VT DEAD MATT VN-16KP</v>
          </cell>
          <cell r="E757" t="str">
            <v>ZFGD</v>
          </cell>
          <cell r="F757" t="str">
            <v>PC</v>
          </cell>
          <cell r="G757" t="str">
            <v>2</v>
          </cell>
          <cell r="H757" t="str">
            <v>RETAIL</v>
          </cell>
          <cell r="I757" t="str">
            <v>22</v>
          </cell>
          <cell r="J757" t="str">
            <v>WF2</v>
          </cell>
          <cell r="K757" t="str">
            <v>2212</v>
          </cell>
          <cell r="L757" t="str">
            <v>PU EASY TO USE</v>
          </cell>
          <cell r="M757" t="str">
            <v>221201</v>
          </cell>
          <cell r="N757" t="str">
            <v>PROPAN EASY TO USE PU</v>
          </cell>
        </row>
        <row r="758">
          <cell r="C758" t="str">
            <v>100001747</v>
          </cell>
          <cell r="D758" t="str">
            <v>PUL-745 2K VT CLEAR DOF VN-1K</v>
          </cell>
          <cell r="E758" t="str">
            <v>ZFGD</v>
          </cell>
          <cell r="F758" t="str">
            <v>PC</v>
          </cell>
          <cell r="G758" t="str">
            <v>2</v>
          </cell>
          <cell r="H758" t="str">
            <v>RETAIL</v>
          </cell>
          <cell r="I758" t="str">
            <v>22</v>
          </cell>
          <cell r="J758" t="str">
            <v>WF2</v>
          </cell>
          <cell r="K758" t="str">
            <v>2212</v>
          </cell>
          <cell r="L758" t="str">
            <v>PU EASY TO USE</v>
          </cell>
          <cell r="M758" t="str">
            <v>221201</v>
          </cell>
          <cell r="N758" t="str">
            <v>PROPAN EASY TO USE PU</v>
          </cell>
        </row>
        <row r="759">
          <cell r="C759" t="str">
            <v>100001748</v>
          </cell>
          <cell r="D759" t="str">
            <v>PUL-745 2K VT CLEAR DOF VN-4K</v>
          </cell>
          <cell r="E759" t="str">
            <v>ZFGD</v>
          </cell>
          <cell r="F759" t="str">
            <v>PC</v>
          </cell>
          <cell r="G759" t="str">
            <v>2</v>
          </cell>
          <cell r="H759" t="str">
            <v>RETAIL</v>
          </cell>
          <cell r="I759" t="str">
            <v>22</v>
          </cell>
          <cell r="J759" t="str">
            <v>WF2</v>
          </cell>
          <cell r="K759" t="str">
            <v>2212</v>
          </cell>
          <cell r="L759" t="str">
            <v>PU EASY TO USE</v>
          </cell>
          <cell r="M759" t="str">
            <v>221201</v>
          </cell>
          <cell r="N759" t="str">
            <v>PROPAN EASY TO USE PU</v>
          </cell>
        </row>
        <row r="760">
          <cell r="C760" t="str">
            <v>100001749</v>
          </cell>
          <cell r="D760" t="str">
            <v>PUL-745 2K VT CLEAR DOF VN-16KP</v>
          </cell>
          <cell r="E760" t="str">
            <v>ZFGD</v>
          </cell>
          <cell r="F760" t="str">
            <v>PC</v>
          </cell>
          <cell r="G760" t="str">
            <v>2</v>
          </cell>
          <cell r="H760" t="str">
            <v>RETAIL</v>
          </cell>
          <cell r="I760" t="str">
            <v>22</v>
          </cell>
          <cell r="J760" t="str">
            <v>WF2</v>
          </cell>
          <cell r="K760" t="str">
            <v>2212</v>
          </cell>
          <cell r="L760" t="str">
            <v>PU EASY TO USE</v>
          </cell>
          <cell r="M760" t="str">
            <v>221201</v>
          </cell>
          <cell r="N760" t="str">
            <v>PROPAN EASY TO USE PU</v>
          </cell>
        </row>
        <row r="761">
          <cell r="C761" t="str">
            <v>100001750</v>
          </cell>
          <cell r="D761" t="str">
            <v>PUL-745 2K VT CLEAR SATIN VN-1K</v>
          </cell>
          <cell r="E761" t="str">
            <v>ZFGD</v>
          </cell>
          <cell r="F761" t="str">
            <v>PC</v>
          </cell>
          <cell r="G761" t="str">
            <v>2</v>
          </cell>
          <cell r="H761" t="str">
            <v>RETAIL</v>
          </cell>
          <cell r="I761" t="str">
            <v>22</v>
          </cell>
          <cell r="J761" t="str">
            <v>WF2</v>
          </cell>
          <cell r="K761" t="str">
            <v>2212</v>
          </cell>
          <cell r="L761" t="str">
            <v>PU EASY TO USE</v>
          </cell>
          <cell r="M761" t="str">
            <v>221201</v>
          </cell>
          <cell r="N761" t="str">
            <v>PROPAN EASY TO USE PU</v>
          </cell>
        </row>
        <row r="762">
          <cell r="C762" t="str">
            <v>100001751</v>
          </cell>
          <cell r="D762" t="str">
            <v>PUL-745 2K VT CLEAR SATIN VN-4K</v>
          </cell>
          <cell r="E762" t="str">
            <v>ZFGD</v>
          </cell>
          <cell r="F762" t="str">
            <v>PC</v>
          </cell>
          <cell r="G762" t="str">
            <v>2</v>
          </cell>
          <cell r="H762" t="str">
            <v>RETAIL</v>
          </cell>
          <cell r="I762" t="str">
            <v>22</v>
          </cell>
          <cell r="J762" t="str">
            <v>WF2</v>
          </cell>
          <cell r="K762" t="str">
            <v>2212</v>
          </cell>
          <cell r="L762" t="str">
            <v>PU EASY TO USE</v>
          </cell>
          <cell r="M762" t="str">
            <v>221201</v>
          </cell>
          <cell r="N762" t="str">
            <v>PROPAN EASY TO USE PU</v>
          </cell>
        </row>
        <row r="763">
          <cell r="C763" t="str">
            <v>100001752</v>
          </cell>
          <cell r="D763" t="str">
            <v>PUL-745 2K VT CLEAR SATIN VN-16KP</v>
          </cell>
          <cell r="E763" t="str">
            <v>ZFGD</v>
          </cell>
          <cell r="F763" t="str">
            <v>PC</v>
          </cell>
          <cell r="G763" t="str">
            <v>2</v>
          </cell>
          <cell r="H763" t="str">
            <v>RETAIL</v>
          </cell>
          <cell r="I763" t="str">
            <v>22</v>
          </cell>
          <cell r="J763" t="str">
            <v>WF2</v>
          </cell>
          <cell r="K763" t="str">
            <v>2212</v>
          </cell>
          <cell r="L763" t="str">
            <v>PU EASY TO USE</v>
          </cell>
          <cell r="M763" t="str">
            <v>221201</v>
          </cell>
          <cell r="N763" t="str">
            <v>PROPAN EASY TO USE PU</v>
          </cell>
        </row>
        <row r="764">
          <cell r="C764" t="str">
            <v>100001753</v>
          </cell>
          <cell r="D764" t="str">
            <v>PUL-745 2K VT SEMI GLOSS VN-1K</v>
          </cell>
          <cell r="E764" t="str">
            <v>ZFGD</v>
          </cell>
          <cell r="F764" t="str">
            <v>PC</v>
          </cell>
          <cell r="G764" t="str">
            <v>2</v>
          </cell>
          <cell r="H764" t="str">
            <v>RETAIL</v>
          </cell>
          <cell r="I764" t="str">
            <v>22</v>
          </cell>
          <cell r="J764" t="str">
            <v>WF2</v>
          </cell>
          <cell r="K764" t="str">
            <v>2212</v>
          </cell>
          <cell r="L764" t="str">
            <v>PU EASY TO USE</v>
          </cell>
          <cell r="M764" t="str">
            <v>221201</v>
          </cell>
          <cell r="N764" t="str">
            <v>PROPAN EASY TO USE PU</v>
          </cell>
        </row>
        <row r="765">
          <cell r="C765" t="str">
            <v>100001754</v>
          </cell>
          <cell r="D765" t="str">
            <v>PUL-745 2K VT SEMI GLOSS VN-4K</v>
          </cell>
          <cell r="E765" t="str">
            <v>ZFGD</v>
          </cell>
          <cell r="F765" t="str">
            <v>PC</v>
          </cell>
          <cell r="G765" t="str">
            <v>2</v>
          </cell>
          <cell r="H765" t="str">
            <v>RETAIL</v>
          </cell>
          <cell r="I765" t="str">
            <v>22</v>
          </cell>
          <cell r="J765" t="str">
            <v>WF2</v>
          </cell>
          <cell r="K765" t="str">
            <v>2212</v>
          </cell>
          <cell r="L765" t="str">
            <v>PU EASY TO USE</v>
          </cell>
          <cell r="M765" t="str">
            <v>221201</v>
          </cell>
          <cell r="N765" t="str">
            <v>PROPAN EASY TO USE PU</v>
          </cell>
        </row>
        <row r="766">
          <cell r="C766" t="str">
            <v>100001755</v>
          </cell>
          <cell r="D766" t="str">
            <v>PUL-745 2K VT SEMI GLOSS VN-16KP</v>
          </cell>
          <cell r="E766" t="str">
            <v>ZFGD</v>
          </cell>
          <cell r="F766" t="str">
            <v>PC</v>
          </cell>
          <cell r="G766" t="str">
            <v>2</v>
          </cell>
          <cell r="H766" t="str">
            <v>RETAIL</v>
          </cell>
          <cell r="I766" t="str">
            <v>22</v>
          </cell>
          <cell r="J766" t="str">
            <v>WF2</v>
          </cell>
          <cell r="K766" t="str">
            <v>2212</v>
          </cell>
          <cell r="L766" t="str">
            <v>PU EASY TO USE</v>
          </cell>
          <cell r="M766" t="str">
            <v>221201</v>
          </cell>
          <cell r="N766" t="str">
            <v>PROPAN EASY TO USE PU</v>
          </cell>
        </row>
        <row r="767">
          <cell r="C767" t="str">
            <v>100001756</v>
          </cell>
          <cell r="D767" t="str">
            <v>PUC-756-NY ACR WHITE SATIN VN-1K</v>
          </cell>
          <cell r="E767" t="str">
            <v>ZFGD</v>
          </cell>
          <cell r="F767" t="str">
            <v>PC</v>
          </cell>
          <cell r="G767" t="str">
            <v>2</v>
          </cell>
          <cell r="H767" t="str">
            <v>RETAIL</v>
          </cell>
          <cell r="I767" t="str">
            <v>22</v>
          </cell>
          <cell r="J767" t="str">
            <v>WF2</v>
          </cell>
          <cell r="K767" t="str">
            <v>2216</v>
          </cell>
          <cell r="L767" t="str">
            <v>PU MULTIPURPOSE</v>
          </cell>
          <cell r="M767" t="str">
            <v>221601</v>
          </cell>
          <cell r="N767" t="str">
            <v>PROPAN MP PU ACR RMX</v>
          </cell>
        </row>
        <row r="768">
          <cell r="C768" t="str">
            <v>100001757</v>
          </cell>
          <cell r="D768" t="str">
            <v>PUC-756-NY ACR WHITE SATIN VN-4K</v>
          </cell>
          <cell r="E768" t="str">
            <v>ZFGD</v>
          </cell>
          <cell r="F768" t="str">
            <v>PC</v>
          </cell>
          <cell r="G768" t="str">
            <v>2</v>
          </cell>
          <cell r="H768" t="str">
            <v>RETAIL</v>
          </cell>
          <cell r="I768" t="str">
            <v>22</v>
          </cell>
          <cell r="J768" t="str">
            <v>WF2</v>
          </cell>
          <cell r="K768" t="str">
            <v>2216</v>
          </cell>
          <cell r="L768" t="str">
            <v>PU MULTIPURPOSE</v>
          </cell>
          <cell r="M768" t="str">
            <v>221601</v>
          </cell>
          <cell r="N768" t="str">
            <v>PROPAN MP PU ACR RMX</v>
          </cell>
        </row>
        <row r="769">
          <cell r="C769" t="str">
            <v>100001758</v>
          </cell>
          <cell r="D769" t="str">
            <v>PUC-756-NY ACR WHITE SATIN VN-16KP</v>
          </cell>
          <cell r="E769" t="str">
            <v>ZFGD</v>
          </cell>
          <cell r="F769" t="str">
            <v>PC</v>
          </cell>
          <cell r="G769" t="str">
            <v>2</v>
          </cell>
          <cell r="H769" t="str">
            <v>RETAIL</v>
          </cell>
          <cell r="I769" t="str">
            <v>22</v>
          </cell>
          <cell r="J769" t="str">
            <v>WF2</v>
          </cell>
          <cell r="K769" t="str">
            <v>2216</v>
          </cell>
          <cell r="L769" t="str">
            <v>PU MULTIPURPOSE</v>
          </cell>
          <cell r="M769" t="str">
            <v>221601</v>
          </cell>
          <cell r="N769" t="str">
            <v>PROPAN MP PU ACR RMX</v>
          </cell>
        </row>
        <row r="770">
          <cell r="C770" t="str">
            <v>100001759</v>
          </cell>
          <cell r="D770" t="str">
            <v>PUC-756-NY ACR WHITE DEAD MATT VN-1K</v>
          </cell>
          <cell r="E770" t="str">
            <v>ZFGD</v>
          </cell>
          <cell r="F770" t="str">
            <v>PC</v>
          </cell>
          <cell r="G770" t="str">
            <v>2</v>
          </cell>
          <cell r="H770" t="str">
            <v>RETAIL</v>
          </cell>
          <cell r="I770" t="str">
            <v>22</v>
          </cell>
          <cell r="J770" t="str">
            <v>WF2</v>
          </cell>
          <cell r="K770" t="str">
            <v>2216</v>
          </cell>
          <cell r="L770" t="str">
            <v>PU MULTIPURPOSE</v>
          </cell>
          <cell r="M770" t="str">
            <v>221601</v>
          </cell>
          <cell r="N770" t="str">
            <v>PROPAN MP PU ACR RMX</v>
          </cell>
        </row>
        <row r="771">
          <cell r="C771" t="str">
            <v>100001760</v>
          </cell>
          <cell r="D771" t="str">
            <v>PUC-756-NY ACR WHITE DEAD MATT VN-4K</v>
          </cell>
          <cell r="E771" t="str">
            <v>ZFGD</v>
          </cell>
          <cell r="F771" t="str">
            <v>PC</v>
          </cell>
          <cell r="G771" t="str">
            <v>2</v>
          </cell>
          <cell r="H771" t="str">
            <v>RETAIL</v>
          </cell>
          <cell r="I771" t="str">
            <v>22</v>
          </cell>
          <cell r="J771" t="str">
            <v>WF2</v>
          </cell>
          <cell r="K771" t="str">
            <v>2216</v>
          </cell>
          <cell r="L771" t="str">
            <v>PU MULTIPURPOSE</v>
          </cell>
          <cell r="M771" t="str">
            <v>221601</v>
          </cell>
          <cell r="N771" t="str">
            <v>PROPAN MP PU ACR RMX</v>
          </cell>
        </row>
        <row r="772">
          <cell r="C772" t="str">
            <v>100001761</v>
          </cell>
          <cell r="D772" t="str">
            <v>PUC-756-NY ACR WHITE DEAD MATT VN-16KP</v>
          </cell>
          <cell r="E772" t="str">
            <v>ZFGD</v>
          </cell>
          <cell r="F772" t="str">
            <v>PC</v>
          </cell>
          <cell r="G772" t="str">
            <v>2</v>
          </cell>
          <cell r="H772" t="str">
            <v>RETAIL</v>
          </cell>
          <cell r="I772" t="str">
            <v>22</v>
          </cell>
          <cell r="J772" t="str">
            <v>WF2</v>
          </cell>
          <cell r="K772" t="str">
            <v>2216</v>
          </cell>
          <cell r="L772" t="str">
            <v>PU MULTIPURPOSE</v>
          </cell>
          <cell r="M772" t="str">
            <v>221601</v>
          </cell>
          <cell r="N772" t="str">
            <v>PROPAN MP PU ACR RMX</v>
          </cell>
        </row>
        <row r="773">
          <cell r="C773" t="str">
            <v>100001762</v>
          </cell>
          <cell r="D773" t="str">
            <v>PUC-756-NY ACR WHITE DOF VN-1K</v>
          </cell>
          <cell r="E773" t="str">
            <v>ZFGD</v>
          </cell>
          <cell r="F773" t="str">
            <v>PC</v>
          </cell>
          <cell r="G773" t="str">
            <v>2</v>
          </cell>
          <cell r="H773" t="str">
            <v>RETAIL</v>
          </cell>
          <cell r="I773" t="str">
            <v>22</v>
          </cell>
          <cell r="J773" t="str">
            <v>WF2</v>
          </cell>
          <cell r="K773" t="str">
            <v>2216</v>
          </cell>
          <cell r="L773" t="str">
            <v>PU MULTIPURPOSE</v>
          </cell>
          <cell r="M773" t="str">
            <v>221601</v>
          </cell>
          <cell r="N773" t="str">
            <v>PROPAN MP PU ACR RMX</v>
          </cell>
        </row>
        <row r="774">
          <cell r="C774" t="str">
            <v>100001763</v>
          </cell>
          <cell r="D774" t="str">
            <v>PUC-756-NY ACR WHITE DOF VN-4K</v>
          </cell>
          <cell r="E774" t="str">
            <v>ZFGD</v>
          </cell>
          <cell r="F774" t="str">
            <v>PC</v>
          </cell>
          <cell r="G774" t="str">
            <v>2</v>
          </cell>
          <cell r="H774" t="str">
            <v>RETAIL</v>
          </cell>
          <cell r="I774" t="str">
            <v>22</v>
          </cell>
          <cell r="J774" t="str">
            <v>WF2</v>
          </cell>
          <cell r="K774" t="str">
            <v>2216</v>
          </cell>
          <cell r="L774" t="str">
            <v>PU MULTIPURPOSE</v>
          </cell>
          <cell r="M774" t="str">
            <v>221601</v>
          </cell>
          <cell r="N774" t="str">
            <v>PROPAN MP PU ACR RMX</v>
          </cell>
        </row>
        <row r="775">
          <cell r="C775" t="str">
            <v>100001764</v>
          </cell>
          <cell r="D775" t="str">
            <v>PUC-756-NY ACR WHITE DOF VN-16KP</v>
          </cell>
          <cell r="E775" t="str">
            <v>ZFGD</v>
          </cell>
          <cell r="F775" t="str">
            <v>PC</v>
          </cell>
          <cell r="G775" t="str">
            <v>2</v>
          </cell>
          <cell r="H775" t="str">
            <v>RETAIL</v>
          </cell>
          <cell r="I775" t="str">
            <v>22</v>
          </cell>
          <cell r="J775" t="str">
            <v>WF2</v>
          </cell>
          <cell r="K775" t="str">
            <v>2216</v>
          </cell>
          <cell r="L775" t="str">
            <v>PU MULTIPURPOSE</v>
          </cell>
          <cell r="M775" t="str">
            <v>221601</v>
          </cell>
          <cell r="N775" t="str">
            <v>PROPAN MP PU ACR RMX</v>
          </cell>
        </row>
        <row r="776">
          <cell r="C776" t="str">
            <v>100001765</v>
          </cell>
          <cell r="D776" t="str">
            <v>PUC-756-NY ACR WHITE GLOSS VN-1K</v>
          </cell>
          <cell r="E776" t="str">
            <v>ZFGD</v>
          </cell>
          <cell r="F776" t="str">
            <v>PC</v>
          </cell>
          <cell r="G776" t="str">
            <v>2</v>
          </cell>
          <cell r="H776" t="str">
            <v>RETAIL</v>
          </cell>
          <cell r="I776" t="str">
            <v>22</v>
          </cell>
          <cell r="J776" t="str">
            <v>WF2</v>
          </cell>
          <cell r="K776" t="str">
            <v>2216</v>
          </cell>
          <cell r="L776" t="str">
            <v>PU MULTIPURPOSE</v>
          </cell>
          <cell r="M776" t="str">
            <v>221601</v>
          </cell>
          <cell r="N776" t="str">
            <v>PROPAN MP PU ACR RMX</v>
          </cell>
        </row>
        <row r="777">
          <cell r="C777" t="str">
            <v>100001766</v>
          </cell>
          <cell r="D777" t="str">
            <v>PUC-756-NY ACR WHITE GLOSS VN-4K</v>
          </cell>
          <cell r="E777" t="str">
            <v>ZFGD</v>
          </cell>
          <cell r="F777" t="str">
            <v>PC</v>
          </cell>
          <cell r="G777" t="str">
            <v>2</v>
          </cell>
          <cell r="H777" t="str">
            <v>RETAIL</v>
          </cell>
          <cell r="I777" t="str">
            <v>22</v>
          </cell>
          <cell r="J777" t="str">
            <v>WF2</v>
          </cell>
          <cell r="K777" t="str">
            <v>2216</v>
          </cell>
          <cell r="L777" t="str">
            <v>PU MULTIPURPOSE</v>
          </cell>
          <cell r="M777" t="str">
            <v>221601</v>
          </cell>
          <cell r="N777" t="str">
            <v>PROPAN MP PU ACR RMX</v>
          </cell>
        </row>
        <row r="778">
          <cell r="C778" t="str">
            <v>100001767</v>
          </cell>
          <cell r="D778" t="str">
            <v>PUC-756-NY ACR WHITE GLOSS VN-16KP</v>
          </cell>
          <cell r="E778" t="str">
            <v>ZFGD</v>
          </cell>
          <cell r="F778" t="str">
            <v>PC</v>
          </cell>
          <cell r="G778" t="str">
            <v>2</v>
          </cell>
          <cell r="H778" t="str">
            <v>RETAIL</v>
          </cell>
          <cell r="I778" t="str">
            <v>22</v>
          </cell>
          <cell r="J778" t="str">
            <v>WF2</v>
          </cell>
          <cell r="K778" t="str">
            <v>2216</v>
          </cell>
          <cell r="L778" t="str">
            <v>PU MULTIPURPOSE</v>
          </cell>
          <cell r="M778" t="str">
            <v>221601</v>
          </cell>
          <cell r="N778" t="str">
            <v>PROPAN MP PU ACR RMX</v>
          </cell>
        </row>
        <row r="779">
          <cell r="C779" t="str">
            <v>100001768</v>
          </cell>
          <cell r="D779" t="str">
            <v>PUC-756-NY ACR WHITE SEMI GLOSS VN-1K</v>
          </cell>
          <cell r="E779" t="str">
            <v>ZFGD</v>
          </cell>
          <cell r="F779" t="str">
            <v>PC</v>
          </cell>
          <cell r="G779" t="str">
            <v>2</v>
          </cell>
          <cell r="H779" t="str">
            <v>RETAIL</v>
          </cell>
          <cell r="I779" t="str">
            <v>22</v>
          </cell>
          <cell r="J779" t="str">
            <v>WF2</v>
          </cell>
          <cell r="K779" t="str">
            <v>2216</v>
          </cell>
          <cell r="L779" t="str">
            <v>PU MULTIPURPOSE</v>
          </cell>
          <cell r="M779" t="str">
            <v>221601</v>
          </cell>
          <cell r="N779" t="str">
            <v>PROPAN MP PU ACR RMX</v>
          </cell>
        </row>
        <row r="780">
          <cell r="C780" t="str">
            <v>100001769</v>
          </cell>
          <cell r="D780" t="str">
            <v>PUC-756-NY ACR WHITE SEMI GLOSS VN-4K</v>
          </cell>
          <cell r="E780" t="str">
            <v>ZFGD</v>
          </cell>
          <cell r="F780" t="str">
            <v>PC</v>
          </cell>
          <cell r="G780" t="str">
            <v>2</v>
          </cell>
          <cell r="H780" t="str">
            <v>RETAIL</v>
          </cell>
          <cell r="I780" t="str">
            <v>22</v>
          </cell>
          <cell r="J780" t="str">
            <v>WF2</v>
          </cell>
          <cell r="K780" t="str">
            <v>2216</v>
          </cell>
          <cell r="L780" t="str">
            <v>PU MULTIPURPOSE</v>
          </cell>
          <cell r="M780" t="str">
            <v>221601</v>
          </cell>
          <cell r="N780" t="str">
            <v>PROPAN MP PU ACR RMX</v>
          </cell>
        </row>
        <row r="781">
          <cell r="C781" t="str">
            <v>100001770</v>
          </cell>
          <cell r="D781" t="str">
            <v>PUC-756-NY ACR WHITE SEMI GLOSS VN-16KP</v>
          </cell>
          <cell r="E781" t="str">
            <v>ZFGD</v>
          </cell>
          <cell r="F781" t="str">
            <v>PC</v>
          </cell>
          <cell r="G781" t="str">
            <v>2</v>
          </cell>
          <cell r="H781" t="str">
            <v>RETAIL</v>
          </cell>
          <cell r="I781" t="str">
            <v>22</v>
          </cell>
          <cell r="J781" t="str">
            <v>WF2</v>
          </cell>
          <cell r="K781" t="str">
            <v>2216</v>
          </cell>
          <cell r="L781" t="str">
            <v>PU MULTIPURPOSE</v>
          </cell>
          <cell r="M781" t="str">
            <v>221601</v>
          </cell>
          <cell r="N781" t="str">
            <v>PROPAN MP PU ACR RMX</v>
          </cell>
        </row>
        <row r="782">
          <cell r="C782" t="str">
            <v>100001771</v>
          </cell>
          <cell r="D782" t="str">
            <v>THINNER LASUR VN-0.8L</v>
          </cell>
          <cell r="E782" t="str">
            <v>ZFGD</v>
          </cell>
          <cell r="F782" t="str">
            <v>PC</v>
          </cell>
          <cell r="G782" t="str">
            <v>2</v>
          </cell>
          <cell r="H782" t="str">
            <v>RETAIL</v>
          </cell>
          <cell r="I782" t="str">
            <v>21</v>
          </cell>
          <cell r="J782" t="str">
            <v>WF1</v>
          </cell>
          <cell r="K782" t="str">
            <v>2108</v>
          </cell>
          <cell r="L782" t="str">
            <v>THINNER</v>
          </cell>
          <cell r="M782" t="str">
            <v>210801</v>
          </cell>
          <cell r="N782" t="str">
            <v>THINNER RETAIL</v>
          </cell>
        </row>
        <row r="783">
          <cell r="C783" t="str">
            <v>100001772</v>
          </cell>
          <cell r="D783" t="str">
            <v>THINNER LASUR VN-3.8L</v>
          </cell>
          <cell r="E783" t="str">
            <v>ZFGD</v>
          </cell>
          <cell r="F783" t="str">
            <v>PC</v>
          </cell>
          <cell r="G783" t="str">
            <v>2</v>
          </cell>
          <cell r="H783" t="str">
            <v>RETAIL</v>
          </cell>
          <cell r="I783" t="str">
            <v>21</v>
          </cell>
          <cell r="J783" t="str">
            <v>WF1</v>
          </cell>
          <cell r="K783" t="str">
            <v>2108</v>
          </cell>
          <cell r="L783" t="str">
            <v>THINNER</v>
          </cell>
          <cell r="M783" t="str">
            <v>210801</v>
          </cell>
          <cell r="N783" t="str">
            <v>THINNER RETAIL</v>
          </cell>
        </row>
        <row r="784">
          <cell r="C784" t="str">
            <v>100001773</v>
          </cell>
          <cell r="D784" t="str">
            <v>THINNER LASUR VN-20LP</v>
          </cell>
          <cell r="E784" t="str">
            <v>ZFGD</v>
          </cell>
          <cell r="F784" t="str">
            <v>PC</v>
          </cell>
          <cell r="G784" t="str">
            <v>2</v>
          </cell>
          <cell r="H784" t="str">
            <v>RETAIL</v>
          </cell>
          <cell r="I784" t="str">
            <v>21</v>
          </cell>
          <cell r="J784" t="str">
            <v>WF1</v>
          </cell>
          <cell r="K784" t="str">
            <v>2108</v>
          </cell>
          <cell r="L784" t="str">
            <v>THINNER</v>
          </cell>
          <cell r="M784" t="str">
            <v>210801</v>
          </cell>
          <cell r="N784" t="str">
            <v>THINNER RETAIL</v>
          </cell>
        </row>
        <row r="785">
          <cell r="C785" t="str">
            <v>100001774</v>
          </cell>
          <cell r="D785" t="str">
            <v>P-01 BROWN AR 8301 VN-1L</v>
          </cell>
          <cell r="E785" t="str">
            <v>ZFGD</v>
          </cell>
          <cell r="F785" t="str">
            <v>PC</v>
          </cell>
          <cell r="G785" t="str">
            <v>2</v>
          </cell>
          <cell r="H785" t="str">
            <v>RETAIL</v>
          </cell>
          <cell r="I785" t="str">
            <v>24</v>
          </cell>
          <cell r="J785" t="str">
            <v>WF3</v>
          </cell>
          <cell r="K785" t="str">
            <v>2413</v>
          </cell>
          <cell r="L785" t="str">
            <v>ULTRAN</v>
          </cell>
          <cell r="M785" t="str">
            <v>241307</v>
          </cell>
          <cell r="N785" t="str">
            <v>ULTRAN POLITUR P-01</v>
          </cell>
        </row>
        <row r="786">
          <cell r="C786" t="str">
            <v>100001775</v>
          </cell>
          <cell r="D786" t="str">
            <v>P-01 BROWN KJ 8102 VN-1L</v>
          </cell>
          <cell r="E786" t="str">
            <v>ZFGD</v>
          </cell>
          <cell r="F786" t="str">
            <v>PC</v>
          </cell>
          <cell r="G786" t="str">
            <v>2</v>
          </cell>
          <cell r="H786" t="str">
            <v>RETAIL</v>
          </cell>
          <cell r="I786" t="str">
            <v>24</v>
          </cell>
          <cell r="J786" t="str">
            <v>WF3</v>
          </cell>
          <cell r="K786" t="str">
            <v>2413</v>
          </cell>
          <cell r="L786" t="str">
            <v>ULTRAN</v>
          </cell>
          <cell r="M786" t="str">
            <v>241307</v>
          </cell>
          <cell r="N786" t="str">
            <v>ULTRAN POLITUR P-01</v>
          </cell>
        </row>
        <row r="787">
          <cell r="C787" t="str">
            <v>100001776</v>
          </cell>
          <cell r="D787" t="str">
            <v>P-01 DARK BROWN 8003 VN-1L</v>
          </cell>
          <cell r="E787" t="str">
            <v>ZFGD</v>
          </cell>
          <cell r="F787" t="str">
            <v>PC</v>
          </cell>
          <cell r="G787" t="str">
            <v>2</v>
          </cell>
          <cell r="H787" t="str">
            <v>RETAIL</v>
          </cell>
          <cell r="I787" t="str">
            <v>24</v>
          </cell>
          <cell r="J787" t="str">
            <v>WF3</v>
          </cell>
          <cell r="K787" t="str">
            <v>2413</v>
          </cell>
          <cell r="L787" t="str">
            <v>ULTRAN</v>
          </cell>
          <cell r="M787" t="str">
            <v>241307</v>
          </cell>
          <cell r="N787" t="str">
            <v>ULTRAN POLITUR P-01</v>
          </cell>
        </row>
        <row r="788">
          <cell r="C788" t="str">
            <v>100001777</v>
          </cell>
          <cell r="D788" t="str">
            <v>P-01 MAHONY 3004 VN-1L</v>
          </cell>
          <cell r="E788" t="str">
            <v>ZFGD</v>
          </cell>
          <cell r="F788" t="str">
            <v>PC</v>
          </cell>
          <cell r="G788" t="str">
            <v>2</v>
          </cell>
          <cell r="H788" t="str">
            <v>RETAIL</v>
          </cell>
          <cell r="I788" t="str">
            <v>24</v>
          </cell>
          <cell r="J788" t="str">
            <v>WF3</v>
          </cell>
          <cell r="K788" t="str">
            <v>2413</v>
          </cell>
          <cell r="L788" t="str">
            <v>ULTRAN</v>
          </cell>
          <cell r="M788" t="str">
            <v>241307</v>
          </cell>
          <cell r="N788" t="str">
            <v>ULTRAN POLITUR P-01</v>
          </cell>
        </row>
        <row r="789">
          <cell r="C789" t="str">
            <v>100001778</v>
          </cell>
          <cell r="D789" t="str">
            <v>P-01 SHP BROWN 8005 VN-1L</v>
          </cell>
          <cell r="E789" t="str">
            <v>ZFGD</v>
          </cell>
          <cell r="F789" t="str">
            <v>PC</v>
          </cell>
          <cell r="G789" t="str">
            <v>2</v>
          </cell>
          <cell r="H789" t="str">
            <v>RETAIL</v>
          </cell>
          <cell r="I789" t="str">
            <v>24</v>
          </cell>
          <cell r="J789" t="str">
            <v>WF3</v>
          </cell>
          <cell r="K789" t="str">
            <v>2413</v>
          </cell>
          <cell r="L789" t="str">
            <v>ULTRAN</v>
          </cell>
          <cell r="M789" t="str">
            <v>241307</v>
          </cell>
          <cell r="N789" t="str">
            <v>ULTRAN POLITUR P-01</v>
          </cell>
        </row>
        <row r="790">
          <cell r="C790" t="str">
            <v>100001779</v>
          </cell>
          <cell r="D790" t="str">
            <v>P-01 SOLAR RED 2006 VN-1L</v>
          </cell>
          <cell r="E790" t="str">
            <v>ZFGD</v>
          </cell>
          <cell r="F790" t="str">
            <v>PC</v>
          </cell>
          <cell r="G790" t="str">
            <v>2</v>
          </cell>
          <cell r="H790" t="str">
            <v>RETAIL</v>
          </cell>
          <cell r="I790" t="str">
            <v>24</v>
          </cell>
          <cell r="J790" t="str">
            <v>WF3</v>
          </cell>
          <cell r="K790" t="str">
            <v>2413</v>
          </cell>
          <cell r="L790" t="str">
            <v>ULTRAN</v>
          </cell>
          <cell r="M790" t="str">
            <v>241307</v>
          </cell>
          <cell r="N790" t="str">
            <v>ULTRAN POLITUR P-01</v>
          </cell>
        </row>
        <row r="791">
          <cell r="C791" t="str">
            <v>100001780</v>
          </cell>
          <cell r="D791" t="str">
            <v>P-01 SOLAR YELLOW 1007 VN-1L</v>
          </cell>
          <cell r="E791" t="str">
            <v>ZFGD</v>
          </cell>
          <cell r="F791" t="str">
            <v>PC</v>
          </cell>
          <cell r="G791" t="str">
            <v>2</v>
          </cell>
          <cell r="H791" t="str">
            <v>RETAIL</v>
          </cell>
          <cell r="I791" t="str">
            <v>24</v>
          </cell>
          <cell r="J791" t="str">
            <v>WF3</v>
          </cell>
          <cell r="K791" t="str">
            <v>2413</v>
          </cell>
          <cell r="L791" t="str">
            <v>ULTRAN</v>
          </cell>
          <cell r="M791" t="str">
            <v>241307</v>
          </cell>
          <cell r="N791" t="str">
            <v>ULTRAN POLITUR P-01</v>
          </cell>
        </row>
        <row r="792">
          <cell r="C792" t="str">
            <v>100001781</v>
          </cell>
          <cell r="D792" t="str">
            <v>P-01 TEAK 8308 VN-1L</v>
          </cell>
          <cell r="E792" t="str">
            <v>ZFGD</v>
          </cell>
          <cell r="F792" t="str">
            <v>PC</v>
          </cell>
          <cell r="G792" t="str">
            <v>2</v>
          </cell>
          <cell r="H792" t="str">
            <v>RETAIL</v>
          </cell>
          <cell r="I792" t="str">
            <v>24</v>
          </cell>
          <cell r="J792" t="str">
            <v>WF3</v>
          </cell>
          <cell r="K792" t="str">
            <v>2413</v>
          </cell>
          <cell r="L792" t="str">
            <v>ULTRAN</v>
          </cell>
          <cell r="M792" t="str">
            <v>241307</v>
          </cell>
          <cell r="N792" t="str">
            <v>ULTRAN POLITUR P-01</v>
          </cell>
        </row>
        <row r="793">
          <cell r="C793" t="str">
            <v>100001782</v>
          </cell>
          <cell r="D793" t="str">
            <v>P-01 CLEAR DOF 0014 VN-1L</v>
          </cell>
          <cell r="E793" t="str">
            <v>ZFGD</v>
          </cell>
          <cell r="F793" t="str">
            <v>PC</v>
          </cell>
          <cell r="G793" t="str">
            <v>2</v>
          </cell>
          <cell r="H793" t="str">
            <v>RETAIL</v>
          </cell>
          <cell r="I793" t="str">
            <v>24</v>
          </cell>
          <cell r="J793" t="str">
            <v>WF3</v>
          </cell>
          <cell r="K793" t="str">
            <v>2413</v>
          </cell>
          <cell r="L793" t="str">
            <v>ULTRAN</v>
          </cell>
          <cell r="M793" t="str">
            <v>241307</v>
          </cell>
          <cell r="N793" t="str">
            <v>ULTRAN POLITUR P-01</v>
          </cell>
        </row>
        <row r="794">
          <cell r="C794" t="str">
            <v>100001783</v>
          </cell>
          <cell r="D794" t="str">
            <v>P-01 CLEAR GLOSS 0015 VN-1L</v>
          </cell>
          <cell r="E794" t="str">
            <v>ZFGD</v>
          </cell>
          <cell r="F794" t="str">
            <v>PC</v>
          </cell>
          <cell r="G794" t="str">
            <v>2</v>
          </cell>
          <cell r="H794" t="str">
            <v>RETAIL</v>
          </cell>
          <cell r="I794" t="str">
            <v>24</v>
          </cell>
          <cell r="J794" t="str">
            <v>WF3</v>
          </cell>
          <cell r="K794" t="str">
            <v>2413</v>
          </cell>
          <cell r="L794" t="str">
            <v>ULTRAN</v>
          </cell>
          <cell r="M794" t="str">
            <v>241307</v>
          </cell>
          <cell r="N794" t="str">
            <v>ULTRAN POLITUR P-01</v>
          </cell>
        </row>
        <row r="795">
          <cell r="C795" t="str">
            <v>100001784</v>
          </cell>
          <cell r="D795" t="str">
            <v>V-09 CLEAR GLOSS 0007 VN-0.8L</v>
          </cell>
          <cell r="E795" t="str">
            <v>ZFGD</v>
          </cell>
          <cell r="F795" t="str">
            <v>PC</v>
          </cell>
          <cell r="G795" t="str">
            <v>2</v>
          </cell>
          <cell r="H795" t="str">
            <v>RETAIL</v>
          </cell>
          <cell r="I795" t="str">
            <v>24</v>
          </cell>
          <cell r="J795" t="str">
            <v>WF3</v>
          </cell>
          <cell r="K795" t="str">
            <v>2413</v>
          </cell>
          <cell r="L795" t="str">
            <v>ULTRAN</v>
          </cell>
          <cell r="M795" t="str">
            <v>241311</v>
          </cell>
          <cell r="N795" t="str">
            <v>ULTRAN VERNIS</v>
          </cell>
        </row>
        <row r="796">
          <cell r="C796" t="str">
            <v>100001785</v>
          </cell>
          <cell r="D796" t="str">
            <v>V-09 LIGHT TEAK 3002 VN-0.8L</v>
          </cell>
          <cell r="E796" t="str">
            <v>ZFGD</v>
          </cell>
          <cell r="F796" t="str">
            <v>PC</v>
          </cell>
          <cell r="G796" t="str">
            <v>2</v>
          </cell>
          <cell r="H796" t="str">
            <v>RETAIL</v>
          </cell>
          <cell r="I796" t="str">
            <v>24</v>
          </cell>
          <cell r="J796" t="str">
            <v>WF3</v>
          </cell>
          <cell r="K796" t="str">
            <v>2413</v>
          </cell>
          <cell r="L796" t="str">
            <v>ULTRAN</v>
          </cell>
          <cell r="M796" t="str">
            <v>241311</v>
          </cell>
          <cell r="N796" t="str">
            <v>ULTRAN VERNIS</v>
          </cell>
        </row>
        <row r="797">
          <cell r="C797" t="str">
            <v>100001786</v>
          </cell>
          <cell r="D797" t="str">
            <v>V-09 LIGHT YELLOW 1001 VN-0.8L</v>
          </cell>
          <cell r="E797" t="str">
            <v>ZFGD</v>
          </cell>
          <cell r="F797" t="str">
            <v>PC</v>
          </cell>
          <cell r="G797" t="str">
            <v>2</v>
          </cell>
          <cell r="H797" t="str">
            <v>RETAIL</v>
          </cell>
          <cell r="I797" t="str">
            <v>24</v>
          </cell>
          <cell r="J797" t="str">
            <v>WF3</v>
          </cell>
          <cell r="K797" t="str">
            <v>2413</v>
          </cell>
          <cell r="L797" t="str">
            <v>ULTRAN</v>
          </cell>
          <cell r="M797" t="str">
            <v>241311</v>
          </cell>
          <cell r="N797" t="str">
            <v>ULTRAN VERNIS</v>
          </cell>
        </row>
        <row r="798">
          <cell r="C798" t="str">
            <v>100001787</v>
          </cell>
          <cell r="D798" t="str">
            <v>V-09 REDDISH CLAY 2004 VN-0.8L</v>
          </cell>
          <cell r="E798" t="str">
            <v>ZFGD</v>
          </cell>
          <cell r="F798" t="str">
            <v>PC</v>
          </cell>
          <cell r="G798" t="str">
            <v>2</v>
          </cell>
          <cell r="H798" t="str">
            <v>RETAIL</v>
          </cell>
          <cell r="I798" t="str">
            <v>24</v>
          </cell>
          <cell r="J798" t="str">
            <v>WF3</v>
          </cell>
          <cell r="K798" t="str">
            <v>2413</v>
          </cell>
          <cell r="L798" t="str">
            <v>ULTRAN</v>
          </cell>
          <cell r="M798" t="str">
            <v>241311</v>
          </cell>
          <cell r="N798" t="str">
            <v>ULTRAN VERNIS</v>
          </cell>
        </row>
        <row r="799">
          <cell r="C799" t="str">
            <v>100001788</v>
          </cell>
          <cell r="D799" t="str">
            <v>V-09 TOBACCO 8206 VN-0.8L</v>
          </cell>
          <cell r="E799" t="str">
            <v>ZFGD</v>
          </cell>
          <cell r="F799" t="str">
            <v>PC</v>
          </cell>
          <cell r="G799" t="str">
            <v>2</v>
          </cell>
          <cell r="H799" t="str">
            <v>RETAIL</v>
          </cell>
          <cell r="I799" t="str">
            <v>24</v>
          </cell>
          <cell r="J799" t="str">
            <v>WF3</v>
          </cell>
          <cell r="K799" t="str">
            <v>2413</v>
          </cell>
          <cell r="L799" t="str">
            <v>ULTRAN</v>
          </cell>
          <cell r="M799" t="str">
            <v>241311</v>
          </cell>
          <cell r="N799" t="str">
            <v>ULTRAN VERNIS</v>
          </cell>
        </row>
        <row r="800">
          <cell r="C800" t="str">
            <v>100001789</v>
          </cell>
          <cell r="D800" t="str">
            <v>V-09 MANGGIS 8303 VN-0.8L</v>
          </cell>
          <cell r="E800" t="str">
            <v>ZFGD</v>
          </cell>
          <cell r="F800" t="str">
            <v>PC</v>
          </cell>
          <cell r="G800" t="str">
            <v>2</v>
          </cell>
          <cell r="H800" t="str">
            <v>RETAIL</v>
          </cell>
          <cell r="I800" t="str">
            <v>24</v>
          </cell>
          <cell r="J800" t="str">
            <v>WF3</v>
          </cell>
          <cell r="K800" t="str">
            <v>2413</v>
          </cell>
          <cell r="L800" t="str">
            <v>ULTRAN</v>
          </cell>
          <cell r="M800" t="str">
            <v>241311</v>
          </cell>
          <cell r="N800" t="str">
            <v>ULTRAN VERNIS</v>
          </cell>
        </row>
        <row r="801">
          <cell r="C801" t="str">
            <v>100001790</v>
          </cell>
          <cell r="D801" t="str">
            <v>EL-501 CLASSIC TEAK 8305 VN-1L</v>
          </cell>
          <cell r="E801" t="str">
            <v>ZFGD</v>
          </cell>
          <cell r="F801" t="str">
            <v>PC</v>
          </cell>
          <cell r="G801" t="str">
            <v>2</v>
          </cell>
          <cell r="H801" t="str">
            <v>RETAIL</v>
          </cell>
          <cell r="I801" t="str">
            <v>24</v>
          </cell>
          <cell r="J801" t="str">
            <v>WF3</v>
          </cell>
          <cell r="K801" t="str">
            <v>2413</v>
          </cell>
          <cell r="L801" t="str">
            <v>ULTRAN</v>
          </cell>
          <cell r="M801" t="str">
            <v>241304</v>
          </cell>
          <cell r="N801" t="str">
            <v>ULTRAN LASUR</v>
          </cell>
        </row>
        <row r="802">
          <cell r="C802" t="str">
            <v>100001791</v>
          </cell>
          <cell r="D802" t="str">
            <v>EL-501 CLASSIC TEAK 8305 VN-4L</v>
          </cell>
          <cell r="E802" t="str">
            <v>ZFGD</v>
          </cell>
          <cell r="F802" t="str">
            <v>PC</v>
          </cell>
          <cell r="G802" t="str">
            <v>2</v>
          </cell>
          <cell r="H802" t="str">
            <v>RETAIL</v>
          </cell>
          <cell r="I802" t="str">
            <v>24</v>
          </cell>
          <cell r="J802" t="str">
            <v>WF3</v>
          </cell>
          <cell r="K802" t="str">
            <v>2413</v>
          </cell>
          <cell r="L802" t="str">
            <v>ULTRAN</v>
          </cell>
          <cell r="M802" t="str">
            <v>241304</v>
          </cell>
          <cell r="N802" t="str">
            <v>ULTRAN LASUR</v>
          </cell>
        </row>
        <row r="803">
          <cell r="C803" t="str">
            <v>100001792</v>
          </cell>
          <cell r="D803" t="str">
            <v>EL-501 CHOCOLATE 8303 VN-1L</v>
          </cell>
          <cell r="E803" t="str">
            <v>ZFGD</v>
          </cell>
          <cell r="F803" t="str">
            <v>PC</v>
          </cell>
          <cell r="G803" t="str">
            <v>2</v>
          </cell>
          <cell r="H803" t="str">
            <v>RETAIL</v>
          </cell>
          <cell r="I803" t="str">
            <v>24</v>
          </cell>
          <cell r="J803" t="str">
            <v>WF3</v>
          </cell>
          <cell r="K803" t="str">
            <v>2413</v>
          </cell>
          <cell r="L803" t="str">
            <v>ULTRAN</v>
          </cell>
          <cell r="M803" t="str">
            <v>241304</v>
          </cell>
          <cell r="N803" t="str">
            <v>ULTRAN LASUR</v>
          </cell>
        </row>
        <row r="804">
          <cell r="C804" t="str">
            <v>100001793</v>
          </cell>
          <cell r="D804" t="str">
            <v>EL-501 CHOCOLATE 8303 VN-4L</v>
          </cell>
          <cell r="E804" t="str">
            <v>ZFGD</v>
          </cell>
          <cell r="F804" t="str">
            <v>PC</v>
          </cell>
          <cell r="G804" t="str">
            <v>2</v>
          </cell>
          <cell r="H804" t="str">
            <v>RETAIL</v>
          </cell>
          <cell r="I804" t="str">
            <v>24</v>
          </cell>
          <cell r="J804" t="str">
            <v>WF3</v>
          </cell>
          <cell r="K804" t="str">
            <v>2413</v>
          </cell>
          <cell r="L804" t="str">
            <v>ULTRAN</v>
          </cell>
          <cell r="M804" t="str">
            <v>241304</v>
          </cell>
          <cell r="N804" t="str">
            <v>ULTRAN LASUR</v>
          </cell>
        </row>
        <row r="805">
          <cell r="C805" t="str">
            <v>100001794</v>
          </cell>
          <cell r="D805" t="str">
            <v>EL-501 CHERRY RED 3002 VN-1L</v>
          </cell>
          <cell r="E805" t="str">
            <v>ZFGD</v>
          </cell>
          <cell r="F805" t="str">
            <v>PC</v>
          </cell>
          <cell r="G805" t="str">
            <v>2</v>
          </cell>
          <cell r="H805" t="str">
            <v>RETAIL</v>
          </cell>
          <cell r="I805" t="str">
            <v>24</v>
          </cell>
          <cell r="J805" t="str">
            <v>WF3</v>
          </cell>
          <cell r="K805" t="str">
            <v>2413</v>
          </cell>
          <cell r="L805" t="str">
            <v>ULTRAN</v>
          </cell>
          <cell r="M805" t="str">
            <v>241304</v>
          </cell>
          <cell r="N805" t="str">
            <v>ULTRAN LASUR</v>
          </cell>
        </row>
        <row r="806">
          <cell r="C806" t="str">
            <v>100001795</v>
          </cell>
          <cell r="D806" t="str">
            <v>EL-501 CHERRY RED 3002 VN-4L</v>
          </cell>
          <cell r="E806" t="str">
            <v>ZFGD</v>
          </cell>
          <cell r="F806" t="str">
            <v>PC</v>
          </cell>
          <cell r="G806" t="str">
            <v>2</v>
          </cell>
          <cell r="H806" t="str">
            <v>RETAIL</v>
          </cell>
          <cell r="I806" t="str">
            <v>24</v>
          </cell>
          <cell r="J806" t="str">
            <v>WF3</v>
          </cell>
          <cell r="K806" t="str">
            <v>2413</v>
          </cell>
          <cell r="L806" t="str">
            <v>ULTRAN</v>
          </cell>
          <cell r="M806" t="str">
            <v>241304</v>
          </cell>
          <cell r="N806" t="str">
            <v>ULTRAN LASUR</v>
          </cell>
        </row>
        <row r="807">
          <cell r="C807" t="str">
            <v>100001796</v>
          </cell>
          <cell r="D807" t="str">
            <v>EL-501 SUNSET YELLOW 2011 VN-1L</v>
          </cell>
          <cell r="E807" t="str">
            <v>ZFGD</v>
          </cell>
          <cell r="F807" t="str">
            <v>PC</v>
          </cell>
          <cell r="G807" t="str">
            <v>2</v>
          </cell>
          <cell r="H807" t="str">
            <v>RETAIL</v>
          </cell>
          <cell r="I807" t="str">
            <v>24</v>
          </cell>
          <cell r="J807" t="str">
            <v>WF3</v>
          </cell>
          <cell r="K807" t="str">
            <v>2413</v>
          </cell>
          <cell r="L807" t="str">
            <v>ULTRAN</v>
          </cell>
          <cell r="M807" t="str">
            <v>241304</v>
          </cell>
          <cell r="N807" t="str">
            <v>ULTRAN LASUR</v>
          </cell>
        </row>
        <row r="808">
          <cell r="C808" t="str">
            <v>100001797</v>
          </cell>
          <cell r="D808" t="str">
            <v>EL-501 SUNSET YELLOW 2011 VN-4L</v>
          </cell>
          <cell r="E808" t="str">
            <v>ZFGD</v>
          </cell>
          <cell r="F808" t="str">
            <v>PC</v>
          </cell>
          <cell r="G808" t="str">
            <v>2</v>
          </cell>
          <cell r="H808" t="str">
            <v>RETAIL</v>
          </cell>
          <cell r="I808" t="str">
            <v>24</v>
          </cell>
          <cell r="J808" t="str">
            <v>WF3</v>
          </cell>
          <cell r="K808" t="str">
            <v>2413</v>
          </cell>
          <cell r="L808" t="str">
            <v>ULTRAN</v>
          </cell>
          <cell r="M808" t="str">
            <v>241304</v>
          </cell>
          <cell r="N808" t="str">
            <v>ULTRAN LASUR</v>
          </cell>
        </row>
        <row r="809">
          <cell r="C809" t="str">
            <v>100001798</v>
          </cell>
          <cell r="D809" t="str">
            <v>EL-501 DUSTY BROWN 8006 VN-1L</v>
          </cell>
          <cell r="E809" t="str">
            <v>ZFGD</v>
          </cell>
          <cell r="F809" t="str">
            <v>PC</v>
          </cell>
          <cell r="G809" t="str">
            <v>2</v>
          </cell>
          <cell r="H809" t="str">
            <v>RETAIL</v>
          </cell>
          <cell r="I809" t="str">
            <v>24</v>
          </cell>
          <cell r="J809" t="str">
            <v>WF3</v>
          </cell>
          <cell r="K809" t="str">
            <v>2413</v>
          </cell>
          <cell r="L809" t="str">
            <v>ULTRAN</v>
          </cell>
          <cell r="M809" t="str">
            <v>241304</v>
          </cell>
          <cell r="N809" t="str">
            <v>ULTRAN LASUR</v>
          </cell>
        </row>
        <row r="810">
          <cell r="C810" t="str">
            <v>100001799</v>
          </cell>
          <cell r="D810" t="str">
            <v>EL-501 DUSTY BROWN 8006 VN-4L</v>
          </cell>
          <cell r="E810" t="str">
            <v>ZFGD</v>
          </cell>
          <cell r="F810" t="str">
            <v>PC</v>
          </cell>
          <cell r="G810" t="str">
            <v>2</v>
          </cell>
          <cell r="H810" t="str">
            <v>RETAIL</v>
          </cell>
          <cell r="I810" t="str">
            <v>24</v>
          </cell>
          <cell r="J810" t="str">
            <v>WF3</v>
          </cell>
          <cell r="K810" t="str">
            <v>2413</v>
          </cell>
          <cell r="L810" t="str">
            <v>ULTRAN</v>
          </cell>
          <cell r="M810" t="str">
            <v>241304</v>
          </cell>
          <cell r="N810" t="str">
            <v>ULTRAN LASUR</v>
          </cell>
        </row>
        <row r="811">
          <cell r="C811" t="str">
            <v>100001800</v>
          </cell>
          <cell r="D811" t="str">
            <v>EL-501 CARAMEL 8001 VN-1L</v>
          </cell>
          <cell r="E811" t="str">
            <v>ZFGD</v>
          </cell>
          <cell r="F811" t="str">
            <v>PC</v>
          </cell>
          <cell r="G811" t="str">
            <v>2</v>
          </cell>
          <cell r="H811" t="str">
            <v>RETAIL</v>
          </cell>
          <cell r="I811" t="str">
            <v>24</v>
          </cell>
          <cell r="J811" t="str">
            <v>WF3</v>
          </cell>
          <cell r="K811" t="str">
            <v>2413</v>
          </cell>
          <cell r="L811" t="str">
            <v>ULTRAN</v>
          </cell>
          <cell r="M811" t="str">
            <v>241304</v>
          </cell>
          <cell r="N811" t="str">
            <v>ULTRAN LASUR</v>
          </cell>
        </row>
        <row r="812">
          <cell r="C812" t="str">
            <v>100001801</v>
          </cell>
          <cell r="D812" t="str">
            <v>EL-501 CARAMEL 8001 VN-4L</v>
          </cell>
          <cell r="E812" t="str">
            <v>ZFGD</v>
          </cell>
          <cell r="F812" t="str">
            <v>PC</v>
          </cell>
          <cell r="G812" t="str">
            <v>2</v>
          </cell>
          <cell r="H812" t="str">
            <v>RETAIL</v>
          </cell>
          <cell r="I812" t="str">
            <v>24</v>
          </cell>
          <cell r="J812" t="str">
            <v>WF3</v>
          </cell>
          <cell r="K812" t="str">
            <v>2413</v>
          </cell>
          <cell r="L812" t="str">
            <v>ULTRAN</v>
          </cell>
          <cell r="M812" t="str">
            <v>241304</v>
          </cell>
          <cell r="N812" t="str">
            <v>ULTRAN LASUR</v>
          </cell>
        </row>
        <row r="813">
          <cell r="C813" t="str">
            <v>100001802</v>
          </cell>
          <cell r="D813" t="str">
            <v>EL-501 CHRYSANT YELLOW 1004 VN-1L</v>
          </cell>
          <cell r="E813" t="str">
            <v>ZFGD</v>
          </cell>
          <cell r="F813" t="str">
            <v>PC</v>
          </cell>
          <cell r="G813" t="str">
            <v>2</v>
          </cell>
          <cell r="H813" t="str">
            <v>RETAIL</v>
          </cell>
          <cell r="I813" t="str">
            <v>24</v>
          </cell>
          <cell r="J813" t="str">
            <v>WF3</v>
          </cell>
          <cell r="K813" t="str">
            <v>2413</v>
          </cell>
          <cell r="L813" t="str">
            <v>ULTRAN</v>
          </cell>
          <cell r="M813" t="str">
            <v>241304</v>
          </cell>
          <cell r="N813" t="str">
            <v>ULTRAN LASUR</v>
          </cell>
        </row>
        <row r="814">
          <cell r="C814" t="str">
            <v>100001803</v>
          </cell>
          <cell r="D814" t="str">
            <v>EL-501 CHRYSANT YELLOW 1004 VN-4L</v>
          </cell>
          <cell r="E814" t="str">
            <v>ZFGD</v>
          </cell>
          <cell r="F814" t="str">
            <v>PC</v>
          </cell>
          <cell r="G814" t="str">
            <v>2</v>
          </cell>
          <cell r="H814" t="str">
            <v>RETAIL</v>
          </cell>
          <cell r="I814" t="str">
            <v>24</v>
          </cell>
          <cell r="J814" t="str">
            <v>WF3</v>
          </cell>
          <cell r="K814" t="str">
            <v>2413</v>
          </cell>
          <cell r="L814" t="str">
            <v>ULTRAN</v>
          </cell>
          <cell r="M814" t="str">
            <v>241304</v>
          </cell>
          <cell r="N814" t="str">
            <v>ULTRAN LASUR</v>
          </cell>
        </row>
        <row r="815">
          <cell r="C815" t="str">
            <v>100001804</v>
          </cell>
          <cell r="D815" t="str">
            <v>EL-501 RED WOOD 8009 VN-1L</v>
          </cell>
          <cell r="E815" t="str">
            <v>ZFGD</v>
          </cell>
          <cell r="F815" t="str">
            <v>PC</v>
          </cell>
          <cell r="G815" t="str">
            <v>2</v>
          </cell>
          <cell r="H815" t="str">
            <v>RETAIL</v>
          </cell>
          <cell r="I815" t="str">
            <v>24</v>
          </cell>
          <cell r="J815" t="str">
            <v>WF3</v>
          </cell>
          <cell r="K815" t="str">
            <v>2413</v>
          </cell>
          <cell r="L815" t="str">
            <v>ULTRAN</v>
          </cell>
          <cell r="M815" t="str">
            <v>241304</v>
          </cell>
          <cell r="N815" t="str">
            <v>ULTRAN LASUR</v>
          </cell>
        </row>
        <row r="816">
          <cell r="C816" t="str">
            <v>100001805</v>
          </cell>
          <cell r="D816" t="str">
            <v>EL-501 RED WOOD 8009 VN-4L</v>
          </cell>
          <cell r="E816" t="str">
            <v>ZFGD</v>
          </cell>
          <cell r="F816" t="str">
            <v>PC</v>
          </cell>
          <cell r="G816" t="str">
            <v>2</v>
          </cell>
          <cell r="H816" t="str">
            <v>RETAIL</v>
          </cell>
          <cell r="I816" t="str">
            <v>24</v>
          </cell>
          <cell r="J816" t="str">
            <v>WF3</v>
          </cell>
          <cell r="K816" t="str">
            <v>2413</v>
          </cell>
          <cell r="L816" t="str">
            <v>ULTRAN</v>
          </cell>
          <cell r="M816" t="str">
            <v>241304</v>
          </cell>
          <cell r="N816" t="str">
            <v>ULTRAN LASUR</v>
          </cell>
        </row>
        <row r="817">
          <cell r="C817" t="str">
            <v>100001806</v>
          </cell>
          <cell r="D817" t="str">
            <v>EL-501 TROPICAL TEAK 8012 VN-1L</v>
          </cell>
          <cell r="E817" t="str">
            <v>ZFGD</v>
          </cell>
          <cell r="F817" t="str">
            <v>PC</v>
          </cell>
          <cell r="G817" t="str">
            <v>2</v>
          </cell>
          <cell r="H817" t="str">
            <v>RETAIL</v>
          </cell>
          <cell r="I817" t="str">
            <v>24</v>
          </cell>
          <cell r="J817" t="str">
            <v>WF3</v>
          </cell>
          <cell r="K817" t="str">
            <v>2413</v>
          </cell>
          <cell r="L817" t="str">
            <v>ULTRAN</v>
          </cell>
          <cell r="M817" t="str">
            <v>241304</v>
          </cell>
          <cell r="N817" t="str">
            <v>ULTRAN LASUR</v>
          </cell>
        </row>
        <row r="818">
          <cell r="C818" t="str">
            <v>100001807</v>
          </cell>
          <cell r="D818" t="str">
            <v>EL-501 TROPICAL TEAK 8012 VN-4L</v>
          </cell>
          <cell r="E818" t="str">
            <v>ZFGD</v>
          </cell>
          <cell r="F818" t="str">
            <v>PC</v>
          </cell>
          <cell r="G818" t="str">
            <v>2</v>
          </cell>
          <cell r="H818" t="str">
            <v>RETAIL</v>
          </cell>
          <cell r="I818" t="str">
            <v>24</v>
          </cell>
          <cell r="J818" t="str">
            <v>WF3</v>
          </cell>
          <cell r="K818" t="str">
            <v>2413</v>
          </cell>
          <cell r="L818" t="str">
            <v>ULTRAN</v>
          </cell>
          <cell r="M818" t="str">
            <v>241304</v>
          </cell>
          <cell r="N818" t="str">
            <v>ULTRAN LASUR</v>
          </cell>
        </row>
        <row r="819">
          <cell r="C819" t="str">
            <v>100001808</v>
          </cell>
          <cell r="D819" t="str">
            <v>EL-501 WALNUT 9013 VN-1L</v>
          </cell>
          <cell r="E819" t="str">
            <v>ZFGD</v>
          </cell>
          <cell r="F819" t="str">
            <v>PC</v>
          </cell>
          <cell r="G819" t="str">
            <v>2</v>
          </cell>
          <cell r="H819" t="str">
            <v>RETAIL</v>
          </cell>
          <cell r="I819" t="str">
            <v>24</v>
          </cell>
          <cell r="J819" t="str">
            <v>WF3</v>
          </cell>
          <cell r="K819" t="str">
            <v>2413</v>
          </cell>
          <cell r="L819" t="str">
            <v>ULTRAN</v>
          </cell>
          <cell r="M819" t="str">
            <v>241304</v>
          </cell>
          <cell r="N819" t="str">
            <v>ULTRAN LASUR</v>
          </cell>
        </row>
        <row r="820">
          <cell r="C820" t="str">
            <v>100001809</v>
          </cell>
          <cell r="D820" t="str">
            <v>EL-501 WALNUT 9013 VN-4L</v>
          </cell>
          <cell r="E820" t="str">
            <v>ZFGD</v>
          </cell>
          <cell r="F820" t="str">
            <v>PC</v>
          </cell>
          <cell r="G820" t="str">
            <v>2</v>
          </cell>
          <cell r="H820" t="str">
            <v>RETAIL</v>
          </cell>
          <cell r="I820" t="str">
            <v>24</v>
          </cell>
          <cell r="J820" t="str">
            <v>WF3</v>
          </cell>
          <cell r="K820" t="str">
            <v>2413</v>
          </cell>
          <cell r="L820" t="str">
            <v>ULTRAN</v>
          </cell>
          <cell r="M820" t="str">
            <v>241304</v>
          </cell>
          <cell r="N820" t="str">
            <v>ULTRAN LASUR</v>
          </cell>
        </row>
        <row r="821">
          <cell r="C821" t="str">
            <v>100001810</v>
          </cell>
          <cell r="D821" t="str">
            <v>EL-501 MAIZE 8107 VN-1L</v>
          </cell>
          <cell r="E821" t="str">
            <v>ZFGD</v>
          </cell>
          <cell r="F821" t="str">
            <v>PC</v>
          </cell>
          <cell r="G821" t="str">
            <v>2</v>
          </cell>
          <cell r="H821" t="str">
            <v>RETAIL</v>
          </cell>
          <cell r="I821" t="str">
            <v>24</v>
          </cell>
          <cell r="J821" t="str">
            <v>WF3</v>
          </cell>
          <cell r="K821" t="str">
            <v>2413</v>
          </cell>
          <cell r="L821" t="str">
            <v>ULTRAN</v>
          </cell>
          <cell r="M821" t="str">
            <v>241304</v>
          </cell>
          <cell r="N821" t="str">
            <v>ULTRAN LASUR</v>
          </cell>
        </row>
        <row r="822">
          <cell r="C822" t="str">
            <v>100001811</v>
          </cell>
          <cell r="D822" t="str">
            <v>EL-501 MAIZE 8107 VN-4L</v>
          </cell>
          <cell r="E822" t="str">
            <v>ZFGD</v>
          </cell>
          <cell r="F822" t="str">
            <v>PC</v>
          </cell>
          <cell r="G822" t="str">
            <v>2</v>
          </cell>
          <cell r="H822" t="str">
            <v>RETAIL</v>
          </cell>
          <cell r="I822" t="str">
            <v>24</v>
          </cell>
          <cell r="J822" t="str">
            <v>WF3</v>
          </cell>
          <cell r="K822" t="str">
            <v>2413</v>
          </cell>
          <cell r="L822" t="str">
            <v>ULTRAN</v>
          </cell>
          <cell r="M822" t="str">
            <v>241304</v>
          </cell>
          <cell r="N822" t="str">
            <v>ULTRAN LASUR</v>
          </cell>
        </row>
        <row r="823">
          <cell r="C823" t="str">
            <v>100001812</v>
          </cell>
          <cell r="D823" t="str">
            <v>EL-501 PADOUK 3008 VN-1L</v>
          </cell>
          <cell r="E823" t="str">
            <v>ZFGD</v>
          </cell>
          <cell r="F823" t="str">
            <v>PC</v>
          </cell>
          <cell r="G823" t="str">
            <v>2</v>
          </cell>
          <cell r="H823" t="str">
            <v>RETAIL</v>
          </cell>
          <cell r="I823" t="str">
            <v>24</v>
          </cell>
          <cell r="J823" t="str">
            <v>WF3</v>
          </cell>
          <cell r="K823" t="str">
            <v>2413</v>
          </cell>
          <cell r="L823" t="str">
            <v>ULTRAN</v>
          </cell>
          <cell r="M823" t="str">
            <v>241304</v>
          </cell>
          <cell r="N823" t="str">
            <v>ULTRAN LASUR</v>
          </cell>
        </row>
        <row r="824">
          <cell r="C824" t="str">
            <v>100001813</v>
          </cell>
          <cell r="D824" t="str">
            <v>EL-501 PADOUK 3008 VN-4L</v>
          </cell>
          <cell r="E824" t="str">
            <v>ZFGD</v>
          </cell>
          <cell r="F824" t="str">
            <v>PC</v>
          </cell>
          <cell r="G824" t="str">
            <v>2</v>
          </cell>
          <cell r="H824" t="str">
            <v>RETAIL</v>
          </cell>
          <cell r="I824" t="str">
            <v>24</v>
          </cell>
          <cell r="J824" t="str">
            <v>WF3</v>
          </cell>
          <cell r="K824" t="str">
            <v>2413</v>
          </cell>
          <cell r="L824" t="str">
            <v>ULTRAN</v>
          </cell>
          <cell r="M824" t="str">
            <v>241304</v>
          </cell>
          <cell r="N824" t="str">
            <v>ULTRAN LASUR</v>
          </cell>
        </row>
        <row r="825">
          <cell r="C825" t="str">
            <v>100001814</v>
          </cell>
          <cell r="D825" t="str">
            <v>EL-501 NATURAL GLOSS 0015 VN-1L</v>
          </cell>
          <cell r="E825" t="str">
            <v>ZFGD</v>
          </cell>
          <cell r="F825" t="str">
            <v>PC</v>
          </cell>
          <cell r="G825" t="str">
            <v>2</v>
          </cell>
          <cell r="H825" t="str">
            <v>RETAIL</v>
          </cell>
          <cell r="I825" t="str">
            <v>24</v>
          </cell>
          <cell r="J825" t="str">
            <v>WF3</v>
          </cell>
          <cell r="K825" t="str">
            <v>2413</v>
          </cell>
          <cell r="L825" t="str">
            <v>ULTRAN</v>
          </cell>
          <cell r="M825" t="str">
            <v>241304</v>
          </cell>
          <cell r="N825" t="str">
            <v>ULTRAN LASUR</v>
          </cell>
        </row>
        <row r="826">
          <cell r="C826" t="str">
            <v>100001815</v>
          </cell>
          <cell r="D826" t="str">
            <v>EL-501 NATURAL GLOSS 0015 VN-4L</v>
          </cell>
          <cell r="E826" t="str">
            <v>ZFGD</v>
          </cell>
          <cell r="F826" t="str">
            <v>PC</v>
          </cell>
          <cell r="G826" t="str">
            <v>2</v>
          </cell>
          <cell r="H826" t="str">
            <v>RETAIL</v>
          </cell>
          <cell r="I826" t="str">
            <v>24</v>
          </cell>
          <cell r="J826" t="str">
            <v>WF3</v>
          </cell>
          <cell r="K826" t="str">
            <v>2413</v>
          </cell>
          <cell r="L826" t="str">
            <v>ULTRAN</v>
          </cell>
          <cell r="M826" t="str">
            <v>241304</v>
          </cell>
          <cell r="N826" t="str">
            <v>ULTRAN LASUR</v>
          </cell>
        </row>
        <row r="827">
          <cell r="C827" t="str">
            <v>100001816</v>
          </cell>
          <cell r="D827" t="str">
            <v>EL-501 NATURAL DOF 0014 VN-1L</v>
          </cell>
          <cell r="E827" t="str">
            <v>ZFGD</v>
          </cell>
          <cell r="F827" t="str">
            <v>PC</v>
          </cell>
          <cell r="G827" t="str">
            <v>2</v>
          </cell>
          <cell r="H827" t="str">
            <v>RETAIL</v>
          </cell>
          <cell r="I827" t="str">
            <v>24</v>
          </cell>
          <cell r="J827" t="str">
            <v>WF3</v>
          </cell>
          <cell r="K827" t="str">
            <v>2413</v>
          </cell>
          <cell r="L827" t="str">
            <v>ULTRAN</v>
          </cell>
          <cell r="M827" t="str">
            <v>241304</v>
          </cell>
          <cell r="N827" t="str">
            <v>ULTRAN LASUR</v>
          </cell>
        </row>
        <row r="828">
          <cell r="C828" t="str">
            <v>100001817</v>
          </cell>
          <cell r="D828" t="str">
            <v>EL-501 NATURAL DOF 0014 VN-4L</v>
          </cell>
          <cell r="E828" t="str">
            <v>ZFGD</v>
          </cell>
          <cell r="F828" t="str">
            <v>PC</v>
          </cell>
          <cell r="G828" t="str">
            <v>2</v>
          </cell>
          <cell r="H828" t="str">
            <v>RETAIL</v>
          </cell>
          <cell r="I828" t="str">
            <v>24</v>
          </cell>
          <cell r="J828" t="str">
            <v>WF3</v>
          </cell>
          <cell r="K828" t="str">
            <v>2413</v>
          </cell>
          <cell r="L828" t="str">
            <v>ULTRAN</v>
          </cell>
          <cell r="M828" t="str">
            <v>241304</v>
          </cell>
          <cell r="N828" t="str">
            <v>ULTRAN LASUR</v>
          </cell>
        </row>
        <row r="829">
          <cell r="C829" t="str">
            <v>100001818</v>
          </cell>
          <cell r="D829" t="str">
            <v>EL-501 ROASTED RED 8310 VN-1L</v>
          </cell>
          <cell r="E829" t="str">
            <v>ZFGD</v>
          </cell>
          <cell r="F829" t="str">
            <v>PC</v>
          </cell>
          <cell r="G829" t="str">
            <v>2</v>
          </cell>
          <cell r="H829" t="str">
            <v>RETAIL</v>
          </cell>
          <cell r="I829" t="str">
            <v>24</v>
          </cell>
          <cell r="J829" t="str">
            <v>WF3</v>
          </cell>
          <cell r="K829" t="str">
            <v>2413</v>
          </cell>
          <cell r="L829" t="str">
            <v>ULTRAN</v>
          </cell>
          <cell r="M829" t="str">
            <v>241304</v>
          </cell>
          <cell r="N829" t="str">
            <v>ULTRAN LASUR</v>
          </cell>
        </row>
        <row r="830">
          <cell r="C830" t="str">
            <v>100001819</v>
          </cell>
          <cell r="D830" t="str">
            <v>EL-501 ROASTED RED 8310 VN-4L</v>
          </cell>
          <cell r="E830" t="str">
            <v>ZFGD</v>
          </cell>
          <cell r="F830" t="str">
            <v>PC</v>
          </cell>
          <cell r="G830" t="str">
            <v>2</v>
          </cell>
          <cell r="H830" t="str">
            <v>RETAIL</v>
          </cell>
          <cell r="I830" t="str">
            <v>24</v>
          </cell>
          <cell r="J830" t="str">
            <v>WF3</v>
          </cell>
          <cell r="K830" t="str">
            <v>2413</v>
          </cell>
          <cell r="L830" t="str">
            <v>ULTRAN</v>
          </cell>
          <cell r="M830" t="str">
            <v>241304</v>
          </cell>
          <cell r="N830" t="str">
            <v>ULTRAN LASUR</v>
          </cell>
        </row>
        <row r="831">
          <cell r="C831" t="str">
            <v>100001820</v>
          </cell>
          <cell r="D831" t="str">
            <v>EL-501 NATURAL SATIN 0016 VN-1L</v>
          </cell>
          <cell r="E831" t="str">
            <v>ZFGD</v>
          </cell>
          <cell r="F831" t="str">
            <v>PC</v>
          </cell>
          <cell r="G831" t="str">
            <v>2</v>
          </cell>
          <cell r="H831" t="str">
            <v>RETAIL</v>
          </cell>
          <cell r="I831" t="str">
            <v>24</v>
          </cell>
          <cell r="J831" t="str">
            <v>WF3</v>
          </cell>
          <cell r="K831" t="str">
            <v>2413</v>
          </cell>
          <cell r="L831" t="str">
            <v>ULTRAN</v>
          </cell>
          <cell r="M831" t="str">
            <v>241304</v>
          </cell>
          <cell r="N831" t="str">
            <v>ULTRAN LASUR</v>
          </cell>
        </row>
        <row r="832">
          <cell r="C832" t="str">
            <v>100001821</v>
          </cell>
          <cell r="D832" t="str">
            <v>EL-501 NATURAL SATIN 0016 VN-4L</v>
          </cell>
          <cell r="E832" t="str">
            <v>ZFGD</v>
          </cell>
          <cell r="F832" t="str">
            <v>PC</v>
          </cell>
          <cell r="G832" t="str">
            <v>2</v>
          </cell>
          <cell r="H832" t="str">
            <v>RETAIL</v>
          </cell>
          <cell r="I832" t="str">
            <v>24</v>
          </cell>
          <cell r="J832" t="str">
            <v>WF3</v>
          </cell>
          <cell r="K832" t="str">
            <v>2413</v>
          </cell>
          <cell r="L832" t="str">
            <v>ULTRAN</v>
          </cell>
          <cell r="M832" t="str">
            <v>241304</v>
          </cell>
          <cell r="N832" t="str">
            <v>ULTRAN LASUR</v>
          </cell>
        </row>
        <row r="833">
          <cell r="C833" t="str">
            <v>100001822</v>
          </cell>
          <cell r="D833" t="str">
            <v>EL-501 LS BLACK 9001 VN-1L</v>
          </cell>
          <cell r="E833" t="str">
            <v>ZFGD</v>
          </cell>
          <cell r="F833" t="str">
            <v>PC</v>
          </cell>
          <cell r="G833" t="str">
            <v>2</v>
          </cell>
          <cell r="H833" t="str">
            <v>RETAIL</v>
          </cell>
          <cell r="I833" t="str">
            <v>24</v>
          </cell>
          <cell r="J833" t="str">
            <v>WF3</v>
          </cell>
          <cell r="K833" t="str">
            <v>2413</v>
          </cell>
          <cell r="L833" t="str">
            <v>ULTRAN</v>
          </cell>
          <cell r="M833" t="str">
            <v>241304</v>
          </cell>
          <cell r="N833" t="str">
            <v>ULTRAN LASUR</v>
          </cell>
        </row>
        <row r="834">
          <cell r="C834" t="str">
            <v>100001823</v>
          </cell>
          <cell r="D834" t="str">
            <v>EL-501 LS BLACK 9001 VN-4L</v>
          </cell>
          <cell r="E834" t="str">
            <v>ZFGD</v>
          </cell>
          <cell r="F834" t="str">
            <v>PC</v>
          </cell>
          <cell r="G834" t="str">
            <v>2</v>
          </cell>
          <cell r="H834" t="str">
            <v>RETAIL</v>
          </cell>
          <cell r="I834" t="str">
            <v>24</v>
          </cell>
          <cell r="J834" t="str">
            <v>WF3</v>
          </cell>
          <cell r="K834" t="str">
            <v>2413</v>
          </cell>
          <cell r="L834" t="str">
            <v>ULTRAN</v>
          </cell>
          <cell r="M834" t="str">
            <v>241304</v>
          </cell>
          <cell r="N834" t="str">
            <v>ULTRAN LASUR</v>
          </cell>
        </row>
        <row r="835">
          <cell r="C835" t="str">
            <v>100001824</v>
          </cell>
          <cell r="D835" t="str">
            <v>EL-501 LS CANDY BROWN 1002 VN-1L</v>
          </cell>
          <cell r="E835" t="str">
            <v>ZFGD</v>
          </cell>
          <cell r="F835" t="str">
            <v>PC</v>
          </cell>
          <cell r="G835" t="str">
            <v>2</v>
          </cell>
          <cell r="H835" t="str">
            <v>RETAIL</v>
          </cell>
          <cell r="I835" t="str">
            <v>24</v>
          </cell>
          <cell r="J835" t="str">
            <v>WF3</v>
          </cell>
          <cell r="K835" t="str">
            <v>2413</v>
          </cell>
          <cell r="L835" t="str">
            <v>ULTRAN</v>
          </cell>
          <cell r="M835" t="str">
            <v>241304</v>
          </cell>
          <cell r="N835" t="str">
            <v>ULTRAN LASUR</v>
          </cell>
        </row>
        <row r="836">
          <cell r="C836" t="str">
            <v>100001825</v>
          </cell>
          <cell r="D836" t="str">
            <v>EL-501 LS CANDY BROWN 1002 VN-4L</v>
          </cell>
          <cell r="E836" t="str">
            <v>ZFGD</v>
          </cell>
          <cell r="F836" t="str">
            <v>PC</v>
          </cell>
          <cell r="G836" t="str">
            <v>2</v>
          </cell>
          <cell r="H836" t="str">
            <v>RETAIL</v>
          </cell>
          <cell r="I836" t="str">
            <v>24</v>
          </cell>
          <cell r="J836" t="str">
            <v>WF3</v>
          </cell>
          <cell r="K836" t="str">
            <v>2413</v>
          </cell>
          <cell r="L836" t="str">
            <v>ULTRAN</v>
          </cell>
          <cell r="M836" t="str">
            <v>241304</v>
          </cell>
          <cell r="N836" t="str">
            <v>ULTRAN LASUR</v>
          </cell>
        </row>
        <row r="837">
          <cell r="C837" t="str">
            <v>100001826</v>
          </cell>
          <cell r="D837" t="str">
            <v>EL-501 LS COCOA BROWN 2003 VN-1L</v>
          </cell>
          <cell r="E837" t="str">
            <v>ZFGD</v>
          </cell>
          <cell r="F837" t="str">
            <v>PC</v>
          </cell>
          <cell r="G837" t="str">
            <v>2</v>
          </cell>
          <cell r="H837" t="str">
            <v>RETAIL</v>
          </cell>
          <cell r="I837" t="str">
            <v>24</v>
          </cell>
          <cell r="J837" t="str">
            <v>WF3</v>
          </cell>
          <cell r="K837" t="str">
            <v>2413</v>
          </cell>
          <cell r="L837" t="str">
            <v>ULTRAN</v>
          </cell>
          <cell r="M837" t="str">
            <v>241304</v>
          </cell>
          <cell r="N837" t="str">
            <v>ULTRAN LASUR</v>
          </cell>
        </row>
        <row r="838">
          <cell r="C838" t="str">
            <v>100001827</v>
          </cell>
          <cell r="D838" t="str">
            <v>EL-501 LS COCOA BROWN 2003 VN-4L</v>
          </cell>
          <cell r="E838" t="str">
            <v>ZFGD</v>
          </cell>
          <cell r="F838" t="str">
            <v>PC</v>
          </cell>
          <cell r="G838" t="str">
            <v>2</v>
          </cell>
          <cell r="H838" t="str">
            <v>RETAIL</v>
          </cell>
          <cell r="I838" t="str">
            <v>24</v>
          </cell>
          <cell r="J838" t="str">
            <v>WF3</v>
          </cell>
          <cell r="K838" t="str">
            <v>2413</v>
          </cell>
          <cell r="L838" t="str">
            <v>ULTRAN</v>
          </cell>
          <cell r="M838" t="str">
            <v>241304</v>
          </cell>
          <cell r="N838" t="str">
            <v>ULTRAN LASUR</v>
          </cell>
        </row>
        <row r="839">
          <cell r="C839" t="str">
            <v>100001828</v>
          </cell>
          <cell r="D839" t="str">
            <v>EL-501 LS COFFEE BROWN 8004 VN-1L</v>
          </cell>
          <cell r="E839" t="str">
            <v>ZFGD</v>
          </cell>
          <cell r="F839" t="str">
            <v>PC</v>
          </cell>
          <cell r="G839" t="str">
            <v>2</v>
          </cell>
          <cell r="H839" t="str">
            <v>RETAIL</v>
          </cell>
          <cell r="I839" t="str">
            <v>24</v>
          </cell>
          <cell r="J839" t="str">
            <v>WF3</v>
          </cell>
          <cell r="K839" t="str">
            <v>2413</v>
          </cell>
          <cell r="L839" t="str">
            <v>ULTRAN</v>
          </cell>
          <cell r="M839" t="str">
            <v>241304</v>
          </cell>
          <cell r="N839" t="str">
            <v>ULTRAN LASUR</v>
          </cell>
        </row>
        <row r="840">
          <cell r="C840" t="str">
            <v>100001829</v>
          </cell>
          <cell r="D840" t="str">
            <v>EL-501 LS COFFEE BROWN 8004 VN-4L</v>
          </cell>
          <cell r="E840" t="str">
            <v>ZFGD</v>
          </cell>
          <cell r="F840" t="str">
            <v>PC</v>
          </cell>
          <cell r="G840" t="str">
            <v>2</v>
          </cell>
          <cell r="H840" t="str">
            <v>RETAIL</v>
          </cell>
          <cell r="I840" t="str">
            <v>24</v>
          </cell>
          <cell r="J840" t="str">
            <v>WF3</v>
          </cell>
          <cell r="K840" t="str">
            <v>2413</v>
          </cell>
          <cell r="L840" t="str">
            <v>ULTRAN</v>
          </cell>
          <cell r="M840" t="str">
            <v>241304</v>
          </cell>
          <cell r="N840" t="str">
            <v>ULTRAN LASUR</v>
          </cell>
        </row>
        <row r="841">
          <cell r="C841" t="str">
            <v>100001830</v>
          </cell>
          <cell r="D841" t="str">
            <v>EL-501 LS RED MAHONY 3005 VN-1L</v>
          </cell>
          <cell r="E841" t="str">
            <v>ZFGD</v>
          </cell>
          <cell r="F841" t="str">
            <v>PC</v>
          </cell>
          <cell r="G841" t="str">
            <v>2</v>
          </cell>
          <cell r="H841" t="str">
            <v>RETAIL</v>
          </cell>
          <cell r="I841" t="str">
            <v>24</v>
          </cell>
          <cell r="J841" t="str">
            <v>WF3</v>
          </cell>
          <cell r="K841" t="str">
            <v>2413</v>
          </cell>
          <cell r="L841" t="str">
            <v>ULTRAN</v>
          </cell>
          <cell r="M841" t="str">
            <v>241304</v>
          </cell>
          <cell r="N841" t="str">
            <v>ULTRAN LASUR</v>
          </cell>
        </row>
        <row r="842">
          <cell r="C842" t="str">
            <v>100001831</v>
          </cell>
          <cell r="D842" t="str">
            <v>EL-501 LS RED MAHONY 3005 VN-4L</v>
          </cell>
          <cell r="E842" t="str">
            <v>ZFGD</v>
          </cell>
          <cell r="F842" t="str">
            <v>PC</v>
          </cell>
          <cell r="G842" t="str">
            <v>2</v>
          </cell>
          <cell r="H842" t="str">
            <v>RETAIL</v>
          </cell>
          <cell r="I842" t="str">
            <v>24</v>
          </cell>
          <cell r="J842" t="str">
            <v>WF3</v>
          </cell>
          <cell r="K842" t="str">
            <v>2413</v>
          </cell>
          <cell r="L842" t="str">
            <v>ULTRAN</v>
          </cell>
          <cell r="M842" t="str">
            <v>241304</v>
          </cell>
          <cell r="N842" t="str">
            <v>ULTRAN LASUR</v>
          </cell>
        </row>
        <row r="843">
          <cell r="C843" t="str">
            <v>100001832</v>
          </cell>
          <cell r="D843" t="str">
            <v>EL-501 LS WALNUT BROWN 8106 VN-1L</v>
          </cell>
          <cell r="E843" t="str">
            <v>ZFGD</v>
          </cell>
          <cell r="F843" t="str">
            <v>PC</v>
          </cell>
          <cell r="G843" t="str">
            <v>2</v>
          </cell>
          <cell r="H843" t="str">
            <v>RETAIL</v>
          </cell>
          <cell r="I843" t="str">
            <v>24</v>
          </cell>
          <cell r="J843" t="str">
            <v>WF3</v>
          </cell>
          <cell r="K843" t="str">
            <v>2413</v>
          </cell>
          <cell r="L843" t="str">
            <v>ULTRAN</v>
          </cell>
          <cell r="M843" t="str">
            <v>241304</v>
          </cell>
          <cell r="N843" t="str">
            <v>ULTRAN LASUR</v>
          </cell>
        </row>
        <row r="844">
          <cell r="C844" t="str">
            <v>100001833</v>
          </cell>
          <cell r="D844" t="str">
            <v>EL-501 LS WALNUT BROWN 8106 VN-4L</v>
          </cell>
          <cell r="E844" t="str">
            <v>ZFGD</v>
          </cell>
          <cell r="F844" t="str">
            <v>PC</v>
          </cell>
          <cell r="G844" t="str">
            <v>2</v>
          </cell>
          <cell r="H844" t="str">
            <v>RETAIL</v>
          </cell>
          <cell r="I844" t="str">
            <v>24</v>
          </cell>
          <cell r="J844" t="str">
            <v>WF3</v>
          </cell>
          <cell r="K844" t="str">
            <v>2413</v>
          </cell>
          <cell r="L844" t="str">
            <v>ULTRAN</v>
          </cell>
          <cell r="M844" t="str">
            <v>241304</v>
          </cell>
          <cell r="N844" t="str">
            <v>ULTRAN LASUR</v>
          </cell>
        </row>
        <row r="845">
          <cell r="C845" t="str">
            <v>100001834</v>
          </cell>
          <cell r="D845" t="str">
            <v>EDL-601 TWILIGHT TEAK 8303 VN-1L</v>
          </cell>
          <cell r="E845" t="str">
            <v>ZFGD</v>
          </cell>
          <cell r="F845" t="str">
            <v>PC</v>
          </cell>
          <cell r="G845" t="str">
            <v>2</v>
          </cell>
          <cell r="H845" t="str">
            <v>RETAIL</v>
          </cell>
          <cell r="I845" t="str">
            <v>24</v>
          </cell>
          <cell r="J845" t="str">
            <v>WF3</v>
          </cell>
          <cell r="K845" t="str">
            <v>2413</v>
          </cell>
          <cell r="L845" t="str">
            <v>ULTRAN</v>
          </cell>
          <cell r="M845" t="str">
            <v>241304</v>
          </cell>
          <cell r="N845" t="str">
            <v>ULTRAN LASUR</v>
          </cell>
        </row>
        <row r="846">
          <cell r="C846" t="str">
            <v>100001835</v>
          </cell>
          <cell r="D846" t="str">
            <v>EDL-601 TWILIGHT TEAK 8303 VN-4L</v>
          </cell>
          <cell r="E846" t="str">
            <v>ZFGD</v>
          </cell>
          <cell r="F846" t="str">
            <v>PC</v>
          </cell>
          <cell r="G846" t="str">
            <v>2</v>
          </cell>
          <cell r="H846" t="str">
            <v>RETAIL</v>
          </cell>
          <cell r="I846" t="str">
            <v>24</v>
          </cell>
          <cell r="J846" t="str">
            <v>WF3</v>
          </cell>
          <cell r="K846" t="str">
            <v>2413</v>
          </cell>
          <cell r="L846" t="str">
            <v>ULTRAN</v>
          </cell>
          <cell r="M846" t="str">
            <v>241304</v>
          </cell>
          <cell r="N846" t="str">
            <v>ULTRAN LASUR</v>
          </cell>
        </row>
        <row r="847">
          <cell r="C847" t="str">
            <v>100001836</v>
          </cell>
          <cell r="D847" t="str">
            <v>EDL-601 SUNSET YELLOW 3002 VN-1L</v>
          </cell>
          <cell r="E847" t="str">
            <v>ZFGD</v>
          </cell>
          <cell r="F847" t="str">
            <v>PC</v>
          </cell>
          <cell r="G847" t="str">
            <v>2</v>
          </cell>
          <cell r="H847" t="str">
            <v>RETAIL</v>
          </cell>
          <cell r="I847" t="str">
            <v>24</v>
          </cell>
          <cell r="J847" t="str">
            <v>WF3</v>
          </cell>
          <cell r="K847" t="str">
            <v>2413</v>
          </cell>
          <cell r="L847" t="str">
            <v>ULTRAN</v>
          </cell>
          <cell r="M847" t="str">
            <v>241304</v>
          </cell>
          <cell r="N847" t="str">
            <v>ULTRAN LASUR</v>
          </cell>
        </row>
        <row r="848">
          <cell r="C848" t="str">
            <v>100001837</v>
          </cell>
          <cell r="D848" t="str">
            <v>EDL-601 SUNSET YELLOW 3002 VN-4L</v>
          </cell>
          <cell r="E848" t="str">
            <v>ZFGD</v>
          </cell>
          <cell r="F848" t="str">
            <v>PC</v>
          </cell>
          <cell r="G848" t="str">
            <v>2</v>
          </cell>
          <cell r="H848" t="str">
            <v>RETAIL</v>
          </cell>
          <cell r="I848" t="str">
            <v>24</v>
          </cell>
          <cell r="J848" t="str">
            <v>WF3</v>
          </cell>
          <cell r="K848" t="str">
            <v>2413</v>
          </cell>
          <cell r="L848" t="str">
            <v>ULTRAN</v>
          </cell>
          <cell r="M848" t="str">
            <v>241304</v>
          </cell>
          <cell r="N848" t="str">
            <v>ULTRAN LASUR</v>
          </cell>
        </row>
        <row r="849">
          <cell r="C849" t="str">
            <v>100001838</v>
          </cell>
          <cell r="D849" t="str">
            <v>EDL-601 CARAMEL 8001 VN-1L</v>
          </cell>
          <cell r="E849" t="str">
            <v>ZFGD</v>
          </cell>
          <cell r="F849" t="str">
            <v>PC</v>
          </cell>
          <cell r="G849" t="str">
            <v>2</v>
          </cell>
          <cell r="H849" t="str">
            <v>RETAIL</v>
          </cell>
          <cell r="I849" t="str">
            <v>24</v>
          </cell>
          <cell r="J849" t="str">
            <v>WF3</v>
          </cell>
          <cell r="K849" t="str">
            <v>2413</v>
          </cell>
          <cell r="L849" t="str">
            <v>ULTRAN</v>
          </cell>
          <cell r="M849" t="str">
            <v>241304</v>
          </cell>
          <cell r="N849" t="str">
            <v>ULTRAN LASUR</v>
          </cell>
        </row>
        <row r="850">
          <cell r="C850" t="str">
            <v>100001839</v>
          </cell>
          <cell r="D850" t="str">
            <v>EDL-601 CARAMEL 8001 VN-4L</v>
          </cell>
          <cell r="E850" t="str">
            <v>ZFGD</v>
          </cell>
          <cell r="F850" t="str">
            <v>PC</v>
          </cell>
          <cell r="G850" t="str">
            <v>2</v>
          </cell>
          <cell r="H850" t="str">
            <v>RETAIL</v>
          </cell>
          <cell r="I850" t="str">
            <v>24</v>
          </cell>
          <cell r="J850" t="str">
            <v>WF3</v>
          </cell>
          <cell r="K850" t="str">
            <v>2413</v>
          </cell>
          <cell r="L850" t="str">
            <v>ULTRAN</v>
          </cell>
          <cell r="M850" t="str">
            <v>241304</v>
          </cell>
          <cell r="N850" t="str">
            <v>ULTRAN LASUR</v>
          </cell>
        </row>
        <row r="851">
          <cell r="C851" t="str">
            <v>100001840</v>
          </cell>
          <cell r="D851" t="str">
            <v>EDL-601 NATURAL SATIN 0004 VN-1L</v>
          </cell>
          <cell r="E851" t="str">
            <v>ZFGD</v>
          </cell>
          <cell r="F851" t="str">
            <v>PC</v>
          </cell>
          <cell r="G851" t="str">
            <v>2</v>
          </cell>
          <cell r="H851" t="str">
            <v>RETAIL</v>
          </cell>
          <cell r="I851" t="str">
            <v>24</v>
          </cell>
          <cell r="J851" t="str">
            <v>WF3</v>
          </cell>
          <cell r="K851" t="str">
            <v>2413</v>
          </cell>
          <cell r="L851" t="str">
            <v>ULTRAN</v>
          </cell>
          <cell r="M851" t="str">
            <v>241304</v>
          </cell>
          <cell r="N851" t="str">
            <v>ULTRAN LASUR</v>
          </cell>
        </row>
        <row r="852">
          <cell r="C852" t="str">
            <v>100001841</v>
          </cell>
          <cell r="D852" t="str">
            <v>EDL-601 NATURAL SATIN 0004 VN-4L</v>
          </cell>
          <cell r="E852" t="str">
            <v>ZFGD</v>
          </cell>
          <cell r="F852" t="str">
            <v>PC</v>
          </cell>
          <cell r="G852" t="str">
            <v>2</v>
          </cell>
          <cell r="H852" t="str">
            <v>RETAIL</v>
          </cell>
          <cell r="I852" t="str">
            <v>24</v>
          </cell>
          <cell r="J852" t="str">
            <v>WF3</v>
          </cell>
          <cell r="K852" t="str">
            <v>2413</v>
          </cell>
          <cell r="L852" t="str">
            <v>ULTRAN</v>
          </cell>
          <cell r="M852" t="str">
            <v>241304</v>
          </cell>
          <cell r="N852" t="str">
            <v>ULTRAN LASUR</v>
          </cell>
        </row>
        <row r="853">
          <cell r="C853" t="str">
            <v>100001842</v>
          </cell>
          <cell r="D853" t="str">
            <v>HARDENER PUH-761 DN VN-0.2L</v>
          </cell>
          <cell r="E853" t="str">
            <v>ZFGD</v>
          </cell>
          <cell r="F853" t="str">
            <v>PC</v>
          </cell>
          <cell r="G853" t="str">
            <v>2</v>
          </cell>
          <cell r="H853" t="str">
            <v>RETAIL</v>
          </cell>
          <cell r="I853" t="str">
            <v>22</v>
          </cell>
          <cell r="J853" t="str">
            <v>WF2</v>
          </cell>
          <cell r="K853" t="str">
            <v>2216</v>
          </cell>
          <cell r="L853" t="str">
            <v>PU MULTIPURPOSE</v>
          </cell>
          <cell r="M853" t="str">
            <v>221601</v>
          </cell>
          <cell r="N853" t="str">
            <v>PROPAN MP PU ACR RMX</v>
          </cell>
        </row>
        <row r="854">
          <cell r="C854" t="str">
            <v>100001843</v>
          </cell>
          <cell r="D854" t="str">
            <v>HARDENER PUH-761 DN VN-1L</v>
          </cell>
          <cell r="E854" t="str">
            <v>ZFGD</v>
          </cell>
          <cell r="F854" t="str">
            <v>PC</v>
          </cell>
          <cell r="G854" t="str">
            <v>2</v>
          </cell>
          <cell r="H854" t="str">
            <v>RETAIL</v>
          </cell>
          <cell r="I854" t="str">
            <v>22</v>
          </cell>
          <cell r="J854" t="str">
            <v>WF2</v>
          </cell>
          <cell r="K854" t="str">
            <v>2216</v>
          </cell>
          <cell r="L854" t="str">
            <v>PU MULTIPURPOSE</v>
          </cell>
          <cell r="M854" t="str">
            <v>221601</v>
          </cell>
          <cell r="N854" t="str">
            <v>PROPAN MP PU ACR RMX</v>
          </cell>
        </row>
        <row r="855">
          <cell r="C855" t="str">
            <v>100001844</v>
          </cell>
          <cell r="D855" t="str">
            <v>PUSS-760-2K DN LOT TRONG VN-1LS</v>
          </cell>
          <cell r="E855" t="str">
            <v>ZFGD</v>
          </cell>
          <cell r="F855" t="str">
            <v>SET</v>
          </cell>
          <cell r="G855" t="str">
            <v>2</v>
          </cell>
          <cell r="H855" t="str">
            <v>RETAIL</v>
          </cell>
          <cell r="I855" t="str">
            <v>22</v>
          </cell>
          <cell r="J855" t="str">
            <v>WF2</v>
          </cell>
          <cell r="K855" t="str">
            <v>2216</v>
          </cell>
          <cell r="L855" t="str">
            <v>PU MULTIPURPOSE</v>
          </cell>
          <cell r="M855" t="str">
            <v>221601</v>
          </cell>
          <cell r="N855" t="str">
            <v>PROPAN MP PU ACR RMX</v>
          </cell>
        </row>
        <row r="856">
          <cell r="C856" t="str">
            <v>100001845</v>
          </cell>
          <cell r="D856" t="str">
            <v>PUSS-760-2K DN LOT TRONG VN-0.8L</v>
          </cell>
          <cell r="E856" t="str">
            <v>ZFGD</v>
          </cell>
          <cell r="F856" t="str">
            <v>PC</v>
          </cell>
          <cell r="G856" t="str">
            <v>2</v>
          </cell>
          <cell r="H856" t="str">
            <v>RETAIL</v>
          </cell>
          <cell r="I856" t="str">
            <v>22</v>
          </cell>
          <cell r="J856" t="str">
            <v>WF2</v>
          </cell>
          <cell r="K856" t="str">
            <v>2216</v>
          </cell>
          <cell r="L856" t="str">
            <v>PU MULTIPURPOSE</v>
          </cell>
          <cell r="M856" t="str">
            <v>221601</v>
          </cell>
          <cell r="N856" t="str">
            <v>PROPAN MP PU ACR RMX</v>
          </cell>
        </row>
        <row r="857">
          <cell r="C857" t="str">
            <v>100001846</v>
          </cell>
          <cell r="D857" t="str">
            <v>PUSS-760-2K DN LOT TRONG VN-5LS</v>
          </cell>
          <cell r="E857" t="str">
            <v>ZFGD</v>
          </cell>
          <cell r="F857" t="str">
            <v>SET</v>
          </cell>
          <cell r="G857" t="str">
            <v>2</v>
          </cell>
          <cell r="H857" t="str">
            <v>RETAIL</v>
          </cell>
          <cell r="I857" t="str">
            <v>22</v>
          </cell>
          <cell r="J857" t="str">
            <v>WF2</v>
          </cell>
          <cell r="K857" t="str">
            <v>2216</v>
          </cell>
          <cell r="L857" t="str">
            <v>PU MULTIPURPOSE</v>
          </cell>
          <cell r="M857" t="str">
            <v>221601</v>
          </cell>
          <cell r="N857" t="str">
            <v>PROPAN MP PU ACR RMX</v>
          </cell>
        </row>
        <row r="858">
          <cell r="C858" t="str">
            <v>100001847</v>
          </cell>
          <cell r="D858" t="str">
            <v>PUSS-760-2K DN LOT TRONG VN-4L</v>
          </cell>
          <cell r="E858" t="str">
            <v>ZFGD</v>
          </cell>
          <cell r="F858" t="str">
            <v>PC</v>
          </cell>
          <cell r="G858" t="str">
            <v>2</v>
          </cell>
          <cell r="H858" t="str">
            <v>RETAIL</v>
          </cell>
          <cell r="I858" t="str">
            <v>22</v>
          </cell>
          <cell r="J858" t="str">
            <v>WF2</v>
          </cell>
          <cell r="K858" t="str">
            <v>2216</v>
          </cell>
          <cell r="L858" t="str">
            <v>PU MULTIPURPOSE</v>
          </cell>
          <cell r="M858" t="str">
            <v>221601</v>
          </cell>
          <cell r="N858" t="str">
            <v>PROPAN MP PU ACR RMX</v>
          </cell>
        </row>
        <row r="859">
          <cell r="C859" t="str">
            <v>100001848</v>
          </cell>
          <cell r="D859" t="str">
            <v>PUL-765-2K DN MO 90% VN-1LS</v>
          </cell>
          <cell r="E859" t="str">
            <v>ZFGD</v>
          </cell>
          <cell r="F859" t="str">
            <v>SET</v>
          </cell>
          <cell r="G859" t="str">
            <v>2</v>
          </cell>
          <cell r="H859" t="str">
            <v>RETAIL</v>
          </cell>
          <cell r="I859" t="str">
            <v>22</v>
          </cell>
          <cell r="J859" t="str">
            <v>WF2</v>
          </cell>
          <cell r="K859" t="str">
            <v>2216</v>
          </cell>
          <cell r="L859" t="str">
            <v>PU MULTIPURPOSE</v>
          </cell>
          <cell r="M859" t="str">
            <v>221601</v>
          </cell>
          <cell r="N859" t="str">
            <v>PROPAN MP PU ACR RMX</v>
          </cell>
        </row>
        <row r="860">
          <cell r="C860" t="str">
            <v>100001849</v>
          </cell>
          <cell r="D860" t="str">
            <v>PUL-765-2K DN MO 90% VN-0.8L</v>
          </cell>
          <cell r="E860" t="str">
            <v>ZFGD</v>
          </cell>
          <cell r="F860" t="str">
            <v>PC</v>
          </cell>
          <cell r="G860" t="str">
            <v>2</v>
          </cell>
          <cell r="H860" t="str">
            <v>RETAIL</v>
          </cell>
          <cell r="I860" t="str">
            <v>22</v>
          </cell>
          <cell r="J860" t="str">
            <v>WF2</v>
          </cell>
          <cell r="K860" t="str">
            <v>2216</v>
          </cell>
          <cell r="L860" t="str">
            <v>PU MULTIPURPOSE</v>
          </cell>
          <cell r="M860" t="str">
            <v>221601</v>
          </cell>
          <cell r="N860" t="str">
            <v>PROPAN MP PU ACR RMX</v>
          </cell>
        </row>
        <row r="861">
          <cell r="C861" t="str">
            <v>100001850</v>
          </cell>
          <cell r="D861" t="str">
            <v>PUL-765-2K DN MO 90% VN-5LS</v>
          </cell>
          <cell r="E861" t="str">
            <v>ZFGD</v>
          </cell>
          <cell r="F861" t="str">
            <v>SET</v>
          </cell>
          <cell r="G861" t="str">
            <v>2</v>
          </cell>
          <cell r="H861" t="str">
            <v>RETAIL</v>
          </cell>
          <cell r="I861" t="str">
            <v>22</v>
          </cell>
          <cell r="J861" t="str">
            <v>WF2</v>
          </cell>
          <cell r="K861" t="str">
            <v>2216</v>
          </cell>
          <cell r="L861" t="str">
            <v>PU MULTIPURPOSE</v>
          </cell>
          <cell r="M861" t="str">
            <v>221601</v>
          </cell>
          <cell r="N861" t="str">
            <v>PROPAN MP PU ACR RMX</v>
          </cell>
        </row>
        <row r="862">
          <cell r="C862" t="str">
            <v>100001851</v>
          </cell>
          <cell r="D862" t="str">
            <v>PUL-765-2K DN MO 90% VN-4L</v>
          </cell>
          <cell r="E862" t="str">
            <v>ZFGD</v>
          </cell>
          <cell r="F862" t="str">
            <v>PC</v>
          </cell>
          <cell r="G862" t="str">
            <v>2</v>
          </cell>
          <cell r="H862" t="str">
            <v>RETAIL</v>
          </cell>
          <cell r="I862" t="str">
            <v>22</v>
          </cell>
          <cell r="J862" t="str">
            <v>WF2</v>
          </cell>
          <cell r="K862" t="str">
            <v>2216</v>
          </cell>
          <cell r="L862" t="str">
            <v>PU MULTIPURPOSE</v>
          </cell>
          <cell r="M862" t="str">
            <v>221601</v>
          </cell>
          <cell r="N862" t="str">
            <v>PROPAN MP PU ACR RMX</v>
          </cell>
        </row>
        <row r="863">
          <cell r="C863" t="str">
            <v>100001852</v>
          </cell>
          <cell r="D863" t="str">
            <v>PUL-765-2K DN BONG 100% VN-1LS</v>
          </cell>
          <cell r="E863" t="str">
            <v>ZFGD</v>
          </cell>
          <cell r="F863" t="str">
            <v>SET</v>
          </cell>
          <cell r="G863" t="str">
            <v>2</v>
          </cell>
          <cell r="H863" t="str">
            <v>RETAIL</v>
          </cell>
          <cell r="I863" t="str">
            <v>22</v>
          </cell>
          <cell r="J863" t="str">
            <v>WF2</v>
          </cell>
          <cell r="K863" t="str">
            <v>2216</v>
          </cell>
          <cell r="L863" t="str">
            <v>PU MULTIPURPOSE</v>
          </cell>
          <cell r="M863" t="str">
            <v>221601</v>
          </cell>
          <cell r="N863" t="str">
            <v>PROPAN MP PU ACR RMX</v>
          </cell>
        </row>
        <row r="864">
          <cell r="C864" t="str">
            <v>100001853</v>
          </cell>
          <cell r="D864" t="str">
            <v>PUL-765-2K DN BONG 100% VN-0.8L</v>
          </cell>
          <cell r="E864" t="str">
            <v>ZFGD</v>
          </cell>
          <cell r="F864" t="str">
            <v>PC</v>
          </cell>
          <cell r="G864" t="str">
            <v>2</v>
          </cell>
          <cell r="H864" t="str">
            <v>RETAIL</v>
          </cell>
          <cell r="I864" t="str">
            <v>22</v>
          </cell>
          <cell r="J864" t="str">
            <v>WF2</v>
          </cell>
          <cell r="K864" t="str">
            <v>2216</v>
          </cell>
          <cell r="L864" t="str">
            <v>PU MULTIPURPOSE</v>
          </cell>
          <cell r="M864" t="str">
            <v>221601</v>
          </cell>
          <cell r="N864" t="str">
            <v>PROPAN MP PU ACR RMX</v>
          </cell>
        </row>
        <row r="865">
          <cell r="C865" t="str">
            <v>100001854</v>
          </cell>
          <cell r="D865" t="str">
            <v>PUL-765-2K DN BONG 100% VN-5LS</v>
          </cell>
          <cell r="E865" t="str">
            <v>ZFGD</v>
          </cell>
          <cell r="F865" t="str">
            <v>SET</v>
          </cell>
          <cell r="G865" t="str">
            <v>2</v>
          </cell>
          <cell r="H865" t="str">
            <v>RETAIL</v>
          </cell>
          <cell r="I865" t="str">
            <v>22</v>
          </cell>
          <cell r="J865" t="str">
            <v>WF2</v>
          </cell>
          <cell r="K865" t="str">
            <v>2216</v>
          </cell>
          <cell r="L865" t="str">
            <v>PU MULTIPURPOSE</v>
          </cell>
          <cell r="M865" t="str">
            <v>221601</v>
          </cell>
          <cell r="N865" t="str">
            <v>PROPAN MP PU ACR RMX</v>
          </cell>
        </row>
        <row r="866">
          <cell r="C866" t="str">
            <v>100001855</v>
          </cell>
          <cell r="D866" t="str">
            <v>PUL-765-2K DN BONG 100% VN-4L</v>
          </cell>
          <cell r="E866" t="str">
            <v>ZFGD</v>
          </cell>
          <cell r="F866" t="str">
            <v>PC</v>
          </cell>
          <cell r="G866" t="str">
            <v>2</v>
          </cell>
          <cell r="H866" t="str">
            <v>RETAIL</v>
          </cell>
          <cell r="I866" t="str">
            <v>22</v>
          </cell>
          <cell r="J866" t="str">
            <v>WF2</v>
          </cell>
          <cell r="K866" t="str">
            <v>2216</v>
          </cell>
          <cell r="L866" t="str">
            <v>PU MULTIPURPOSE</v>
          </cell>
          <cell r="M866" t="str">
            <v>221601</v>
          </cell>
          <cell r="N866" t="str">
            <v>PROPAN MP PU ACR RMX</v>
          </cell>
        </row>
        <row r="867">
          <cell r="C867" t="str">
            <v>100001856</v>
          </cell>
          <cell r="D867" t="str">
            <v>PUL-765-2K DN MO 70% VN-1LS</v>
          </cell>
          <cell r="E867" t="str">
            <v>ZFGD</v>
          </cell>
          <cell r="F867" t="str">
            <v>SET</v>
          </cell>
          <cell r="G867" t="str">
            <v>2</v>
          </cell>
          <cell r="H867" t="str">
            <v>RETAIL</v>
          </cell>
          <cell r="I867" t="str">
            <v>22</v>
          </cell>
          <cell r="J867" t="str">
            <v>WF2</v>
          </cell>
          <cell r="K867" t="str">
            <v>2216</v>
          </cell>
          <cell r="L867" t="str">
            <v>PU MULTIPURPOSE</v>
          </cell>
          <cell r="M867" t="str">
            <v>221601</v>
          </cell>
          <cell r="N867" t="str">
            <v>PROPAN MP PU ACR RMX</v>
          </cell>
        </row>
        <row r="868">
          <cell r="C868" t="str">
            <v>100001857</v>
          </cell>
          <cell r="D868" t="str">
            <v>PUL-765-2K DN MO 70% VN-0.8L</v>
          </cell>
          <cell r="E868" t="str">
            <v>ZFGD</v>
          </cell>
          <cell r="F868" t="str">
            <v>PC</v>
          </cell>
          <cell r="G868" t="str">
            <v>2</v>
          </cell>
          <cell r="H868" t="str">
            <v>RETAIL</v>
          </cell>
          <cell r="I868" t="str">
            <v>22</v>
          </cell>
          <cell r="J868" t="str">
            <v>WF2</v>
          </cell>
          <cell r="K868" t="str">
            <v>2216</v>
          </cell>
          <cell r="L868" t="str">
            <v>PU MULTIPURPOSE</v>
          </cell>
          <cell r="M868" t="str">
            <v>221601</v>
          </cell>
          <cell r="N868" t="str">
            <v>PROPAN MP PU ACR RMX</v>
          </cell>
        </row>
        <row r="869">
          <cell r="C869" t="str">
            <v>100001858</v>
          </cell>
          <cell r="D869" t="str">
            <v>PUL-765-2K DN MO 70% VN-5LS</v>
          </cell>
          <cell r="E869" t="str">
            <v>ZFGD</v>
          </cell>
          <cell r="F869" t="str">
            <v>SET</v>
          </cell>
          <cell r="G869" t="str">
            <v>2</v>
          </cell>
          <cell r="H869" t="str">
            <v>RETAIL</v>
          </cell>
          <cell r="I869" t="str">
            <v>22</v>
          </cell>
          <cell r="J869" t="str">
            <v>WF2</v>
          </cell>
          <cell r="K869" t="str">
            <v>2216</v>
          </cell>
          <cell r="L869" t="str">
            <v>PU MULTIPURPOSE</v>
          </cell>
          <cell r="M869" t="str">
            <v>221601</v>
          </cell>
          <cell r="N869" t="str">
            <v>PROPAN MP PU ACR RMX</v>
          </cell>
        </row>
        <row r="870">
          <cell r="C870" t="str">
            <v>100001859</v>
          </cell>
          <cell r="D870" t="str">
            <v>PUL-765-2K DN MO 70% VN-4L</v>
          </cell>
          <cell r="E870" t="str">
            <v>ZFGD</v>
          </cell>
          <cell r="F870" t="str">
            <v>PC</v>
          </cell>
          <cell r="G870" t="str">
            <v>2</v>
          </cell>
          <cell r="H870" t="str">
            <v>RETAIL</v>
          </cell>
          <cell r="I870" t="str">
            <v>22</v>
          </cell>
          <cell r="J870" t="str">
            <v>WF2</v>
          </cell>
          <cell r="K870" t="str">
            <v>2216</v>
          </cell>
          <cell r="L870" t="str">
            <v>PU MULTIPURPOSE</v>
          </cell>
          <cell r="M870" t="str">
            <v>221601</v>
          </cell>
          <cell r="N870" t="str">
            <v>PROPAN MP PU ACR RMX</v>
          </cell>
        </row>
        <row r="871">
          <cell r="C871" t="str">
            <v>100001860</v>
          </cell>
          <cell r="D871" t="str">
            <v>PUSF-781-2K DN LOT TRANG VN-1LS</v>
          </cell>
          <cell r="E871" t="str">
            <v>ZFGD</v>
          </cell>
          <cell r="F871" t="str">
            <v>SET</v>
          </cell>
          <cell r="G871" t="str">
            <v>2</v>
          </cell>
          <cell r="H871" t="str">
            <v>RETAIL</v>
          </cell>
          <cell r="I871" t="str">
            <v>22</v>
          </cell>
          <cell r="J871" t="str">
            <v>WF2</v>
          </cell>
          <cell r="K871" t="str">
            <v>2216</v>
          </cell>
          <cell r="L871" t="str">
            <v>PU MULTIPURPOSE</v>
          </cell>
          <cell r="M871" t="str">
            <v>221601</v>
          </cell>
          <cell r="N871" t="str">
            <v>PROPAN MP PU ACR RMX</v>
          </cell>
        </row>
        <row r="872">
          <cell r="C872" t="str">
            <v>100001861</v>
          </cell>
          <cell r="D872" t="str">
            <v>PUSF-781-2K DN LOT TRANG VN-0.8L</v>
          </cell>
          <cell r="E872" t="str">
            <v>ZFGD</v>
          </cell>
          <cell r="F872" t="str">
            <v>PC</v>
          </cell>
          <cell r="G872" t="str">
            <v>2</v>
          </cell>
          <cell r="H872" t="str">
            <v>RETAIL</v>
          </cell>
          <cell r="I872" t="str">
            <v>22</v>
          </cell>
          <cell r="J872" t="str">
            <v>WF2</v>
          </cell>
          <cell r="K872" t="str">
            <v>2216</v>
          </cell>
          <cell r="L872" t="str">
            <v>PU MULTIPURPOSE</v>
          </cell>
          <cell r="M872" t="str">
            <v>221601</v>
          </cell>
          <cell r="N872" t="str">
            <v>PROPAN MP PU ACR RMX</v>
          </cell>
        </row>
        <row r="873">
          <cell r="C873" t="str">
            <v>100001862</v>
          </cell>
          <cell r="D873" t="str">
            <v>PUSF-781-2K DN LOT TRANG VN-5LS</v>
          </cell>
          <cell r="E873" t="str">
            <v>ZFGD</v>
          </cell>
          <cell r="F873" t="str">
            <v>SET</v>
          </cell>
          <cell r="G873" t="str">
            <v>2</v>
          </cell>
          <cell r="H873" t="str">
            <v>RETAIL</v>
          </cell>
          <cell r="I873" t="str">
            <v>22</v>
          </cell>
          <cell r="J873" t="str">
            <v>WF2</v>
          </cell>
          <cell r="K873" t="str">
            <v>2216</v>
          </cell>
          <cell r="L873" t="str">
            <v>PU MULTIPURPOSE</v>
          </cell>
          <cell r="M873" t="str">
            <v>221601</v>
          </cell>
          <cell r="N873" t="str">
            <v>PROPAN MP PU ACR RMX</v>
          </cell>
        </row>
        <row r="874">
          <cell r="C874" t="str">
            <v>100001863</v>
          </cell>
          <cell r="D874" t="str">
            <v>PUSF-781-2K DN LOT TRANG VN-4L</v>
          </cell>
          <cell r="E874" t="str">
            <v>ZFGD</v>
          </cell>
          <cell r="F874" t="str">
            <v>PC</v>
          </cell>
          <cell r="G874" t="str">
            <v>2</v>
          </cell>
          <cell r="H874" t="str">
            <v>RETAIL</v>
          </cell>
          <cell r="I874" t="str">
            <v>22</v>
          </cell>
          <cell r="J874" t="str">
            <v>WF2</v>
          </cell>
          <cell r="K874" t="str">
            <v>2216</v>
          </cell>
          <cell r="L874" t="str">
            <v>PU MULTIPURPOSE</v>
          </cell>
          <cell r="M874" t="str">
            <v>221601</v>
          </cell>
          <cell r="N874" t="str">
            <v>PROPAN MP PU ACR RMX</v>
          </cell>
        </row>
        <row r="875">
          <cell r="C875" t="str">
            <v>100001864</v>
          </cell>
          <cell r="D875" t="str">
            <v>PUC-786-2K DN DEN BONG SK012 VN-1LS</v>
          </cell>
          <cell r="E875" t="str">
            <v>ZFGD</v>
          </cell>
          <cell r="F875" t="str">
            <v>SET</v>
          </cell>
          <cell r="G875" t="str">
            <v>2</v>
          </cell>
          <cell r="H875" t="str">
            <v>RETAIL</v>
          </cell>
          <cell r="I875" t="str">
            <v>22</v>
          </cell>
          <cell r="J875" t="str">
            <v>WF2</v>
          </cell>
          <cell r="K875" t="str">
            <v>2216</v>
          </cell>
          <cell r="L875" t="str">
            <v>PU MULTIPURPOSE</v>
          </cell>
          <cell r="M875" t="str">
            <v>221601</v>
          </cell>
          <cell r="N875" t="str">
            <v>PROPAN MP PU ACR RMX</v>
          </cell>
        </row>
        <row r="876">
          <cell r="C876" t="str">
            <v>100001865</v>
          </cell>
          <cell r="D876" t="str">
            <v>PUC-786-2K DN DEN BONG SK012 VN-0.8L</v>
          </cell>
          <cell r="E876" t="str">
            <v>ZFGD</v>
          </cell>
          <cell r="F876" t="str">
            <v>PC</v>
          </cell>
          <cell r="G876" t="str">
            <v>2</v>
          </cell>
          <cell r="H876" t="str">
            <v>RETAIL</v>
          </cell>
          <cell r="I876" t="str">
            <v>22</v>
          </cell>
          <cell r="J876" t="str">
            <v>WF2</v>
          </cell>
          <cell r="K876" t="str">
            <v>2216</v>
          </cell>
          <cell r="L876" t="str">
            <v>PU MULTIPURPOSE</v>
          </cell>
          <cell r="M876" t="str">
            <v>221601</v>
          </cell>
          <cell r="N876" t="str">
            <v>PROPAN MP PU ACR RMX</v>
          </cell>
        </row>
        <row r="877">
          <cell r="C877" t="str">
            <v>100001866</v>
          </cell>
          <cell r="D877" t="str">
            <v>PUC-786-2K DN DEN BONG SK012 VN-5LS</v>
          </cell>
          <cell r="E877" t="str">
            <v>ZFGD</v>
          </cell>
          <cell r="F877" t="str">
            <v>SET</v>
          </cell>
          <cell r="G877" t="str">
            <v>2</v>
          </cell>
          <cell r="H877" t="str">
            <v>RETAIL</v>
          </cell>
          <cell r="I877" t="str">
            <v>22</v>
          </cell>
          <cell r="J877" t="str">
            <v>WF2</v>
          </cell>
          <cell r="K877" t="str">
            <v>2216</v>
          </cell>
          <cell r="L877" t="str">
            <v>PU MULTIPURPOSE</v>
          </cell>
          <cell r="M877" t="str">
            <v>221601</v>
          </cell>
          <cell r="N877" t="str">
            <v>PROPAN MP PU ACR RMX</v>
          </cell>
        </row>
        <row r="878">
          <cell r="C878" t="str">
            <v>100001867</v>
          </cell>
          <cell r="D878" t="str">
            <v>PUC-786-2K DN DEN BONG SK012 VN-4L</v>
          </cell>
          <cell r="E878" t="str">
            <v>ZFGD</v>
          </cell>
          <cell r="F878" t="str">
            <v>PC</v>
          </cell>
          <cell r="G878" t="str">
            <v>2</v>
          </cell>
          <cell r="H878" t="str">
            <v>RETAIL</v>
          </cell>
          <cell r="I878" t="str">
            <v>22</v>
          </cell>
          <cell r="J878" t="str">
            <v>WF2</v>
          </cell>
          <cell r="K878" t="str">
            <v>2216</v>
          </cell>
          <cell r="L878" t="str">
            <v>PU MULTIPURPOSE</v>
          </cell>
          <cell r="M878" t="str">
            <v>221601</v>
          </cell>
          <cell r="N878" t="str">
            <v>PROPAN MP PU ACR RMX</v>
          </cell>
        </row>
        <row r="879">
          <cell r="C879" t="str">
            <v>100001868</v>
          </cell>
          <cell r="D879" t="str">
            <v>PUC-786-2K DN DO SK001 VN-1LS</v>
          </cell>
          <cell r="E879" t="str">
            <v>ZFGD</v>
          </cell>
          <cell r="F879" t="str">
            <v>SET</v>
          </cell>
          <cell r="G879" t="str">
            <v>2</v>
          </cell>
          <cell r="H879" t="str">
            <v>RETAIL</v>
          </cell>
          <cell r="I879" t="str">
            <v>22</v>
          </cell>
          <cell r="J879" t="str">
            <v>WF2</v>
          </cell>
          <cell r="K879" t="str">
            <v>2216</v>
          </cell>
          <cell r="L879" t="str">
            <v>PU MULTIPURPOSE</v>
          </cell>
          <cell r="M879" t="str">
            <v>221601</v>
          </cell>
          <cell r="N879" t="str">
            <v>PROPAN MP PU ACR RMX</v>
          </cell>
        </row>
        <row r="880">
          <cell r="C880" t="str">
            <v>100001869</v>
          </cell>
          <cell r="D880" t="str">
            <v>PUC-786-2K DN DO SK001 VN-0.8L</v>
          </cell>
          <cell r="E880" t="str">
            <v>ZFGD</v>
          </cell>
          <cell r="F880" t="str">
            <v>PC</v>
          </cell>
          <cell r="G880" t="str">
            <v>2</v>
          </cell>
          <cell r="H880" t="str">
            <v>RETAIL</v>
          </cell>
          <cell r="I880" t="str">
            <v>22</v>
          </cell>
          <cell r="J880" t="str">
            <v>WF2</v>
          </cell>
          <cell r="K880" t="str">
            <v>2216</v>
          </cell>
          <cell r="L880" t="str">
            <v>PU MULTIPURPOSE</v>
          </cell>
          <cell r="M880" t="str">
            <v>221601</v>
          </cell>
          <cell r="N880" t="str">
            <v>PROPAN MP PU ACR RMX</v>
          </cell>
        </row>
        <row r="881">
          <cell r="C881" t="str">
            <v>100001870</v>
          </cell>
          <cell r="D881" t="str">
            <v>PUC-786-2K DN DO SK001 VN-5LS</v>
          </cell>
          <cell r="E881" t="str">
            <v>ZFGD</v>
          </cell>
          <cell r="F881" t="str">
            <v>SET</v>
          </cell>
          <cell r="G881" t="str">
            <v>2</v>
          </cell>
          <cell r="H881" t="str">
            <v>RETAIL</v>
          </cell>
          <cell r="I881" t="str">
            <v>22</v>
          </cell>
          <cell r="J881" t="str">
            <v>WF2</v>
          </cell>
          <cell r="K881" t="str">
            <v>2216</v>
          </cell>
          <cell r="L881" t="str">
            <v>PU MULTIPURPOSE</v>
          </cell>
          <cell r="M881" t="str">
            <v>221601</v>
          </cell>
          <cell r="N881" t="str">
            <v>PROPAN MP PU ACR RMX</v>
          </cell>
        </row>
        <row r="882">
          <cell r="C882" t="str">
            <v>100001871</v>
          </cell>
          <cell r="D882" t="str">
            <v>PUC-786-2K DN DO SK001 VN-4L</v>
          </cell>
          <cell r="E882" t="str">
            <v>ZFGD</v>
          </cell>
          <cell r="F882" t="str">
            <v>PC</v>
          </cell>
          <cell r="G882" t="str">
            <v>2</v>
          </cell>
          <cell r="H882" t="str">
            <v>RETAIL</v>
          </cell>
          <cell r="I882" t="str">
            <v>22</v>
          </cell>
          <cell r="J882" t="str">
            <v>WF2</v>
          </cell>
          <cell r="K882" t="str">
            <v>2216</v>
          </cell>
          <cell r="L882" t="str">
            <v>PU MULTIPURPOSE</v>
          </cell>
          <cell r="M882" t="str">
            <v>221601</v>
          </cell>
          <cell r="N882" t="str">
            <v>PROPAN MP PU ACR RMX</v>
          </cell>
        </row>
        <row r="883">
          <cell r="C883" t="str">
            <v>100001872</v>
          </cell>
          <cell r="D883" t="str">
            <v>PUC-786-2K DN XAM NHAT SK011 VN-1LS</v>
          </cell>
          <cell r="E883" t="str">
            <v>ZFGD</v>
          </cell>
          <cell r="F883" t="str">
            <v>SET</v>
          </cell>
          <cell r="G883" t="str">
            <v>2</v>
          </cell>
          <cell r="H883" t="str">
            <v>RETAIL</v>
          </cell>
          <cell r="I883" t="str">
            <v>22</v>
          </cell>
          <cell r="J883" t="str">
            <v>WF2</v>
          </cell>
          <cell r="K883" t="str">
            <v>2216</v>
          </cell>
          <cell r="L883" t="str">
            <v>PU MULTIPURPOSE</v>
          </cell>
          <cell r="M883" t="str">
            <v>221601</v>
          </cell>
          <cell r="N883" t="str">
            <v>PROPAN MP PU ACR RMX</v>
          </cell>
        </row>
        <row r="884">
          <cell r="C884" t="str">
            <v>100001873</v>
          </cell>
          <cell r="D884" t="str">
            <v>PUC-786-2K DN XAM NHAT SK011 VN-0.8L</v>
          </cell>
          <cell r="E884" t="str">
            <v>ZFGD</v>
          </cell>
          <cell r="F884" t="str">
            <v>PC</v>
          </cell>
          <cell r="G884" t="str">
            <v>2</v>
          </cell>
          <cell r="H884" t="str">
            <v>RETAIL</v>
          </cell>
          <cell r="I884" t="str">
            <v>22</v>
          </cell>
          <cell r="J884" t="str">
            <v>WF2</v>
          </cell>
          <cell r="K884" t="str">
            <v>2216</v>
          </cell>
          <cell r="L884" t="str">
            <v>PU MULTIPURPOSE</v>
          </cell>
          <cell r="M884" t="str">
            <v>221601</v>
          </cell>
          <cell r="N884" t="str">
            <v>PROPAN MP PU ACR RMX</v>
          </cell>
        </row>
        <row r="885">
          <cell r="C885" t="str">
            <v>100001874</v>
          </cell>
          <cell r="D885" t="str">
            <v>PUC-786-2K DN XAM NHAT SK011 VN-5LS</v>
          </cell>
          <cell r="E885" t="str">
            <v>ZFGD</v>
          </cell>
          <cell r="F885" t="str">
            <v>SET</v>
          </cell>
          <cell r="G885" t="str">
            <v>2</v>
          </cell>
          <cell r="H885" t="str">
            <v>RETAIL</v>
          </cell>
          <cell r="I885" t="str">
            <v>22</v>
          </cell>
          <cell r="J885" t="str">
            <v>WF2</v>
          </cell>
          <cell r="K885" t="str">
            <v>2216</v>
          </cell>
          <cell r="L885" t="str">
            <v>PU MULTIPURPOSE</v>
          </cell>
          <cell r="M885" t="str">
            <v>221601</v>
          </cell>
          <cell r="N885" t="str">
            <v>PROPAN MP PU ACR RMX</v>
          </cell>
        </row>
        <row r="886">
          <cell r="C886" t="str">
            <v>100001875</v>
          </cell>
          <cell r="D886" t="str">
            <v>PUC-786-2K DN XAM NHAT SK011 VN-4L</v>
          </cell>
          <cell r="E886" t="str">
            <v>ZFGD</v>
          </cell>
          <cell r="F886" t="str">
            <v>PC</v>
          </cell>
          <cell r="G886" t="str">
            <v>2</v>
          </cell>
          <cell r="H886" t="str">
            <v>RETAIL</v>
          </cell>
          <cell r="I886" t="str">
            <v>22</v>
          </cell>
          <cell r="J886" t="str">
            <v>WF2</v>
          </cell>
          <cell r="K886" t="str">
            <v>2216</v>
          </cell>
          <cell r="L886" t="str">
            <v>PU MULTIPURPOSE</v>
          </cell>
          <cell r="M886" t="str">
            <v>221601</v>
          </cell>
          <cell r="N886" t="str">
            <v>PROPAN MP PU ACR RMX</v>
          </cell>
        </row>
        <row r="887">
          <cell r="C887" t="str">
            <v>100001876</v>
          </cell>
          <cell r="D887" t="str">
            <v>PUC-786-2K DN XANH CHUOI SK005 VN-1LS</v>
          </cell>
          <cell r="E887" t="str">
            <v>ZFGD</v>
          </cell>
          <cell r="F887" t="str">
            <v>SET</v>
          </cell>
          <cell r="G887" t="str">
            <v>2</v>
          </cell>
          <cell r="H887" t="str">
            <v>RETAIL</v>
          </cell>
          <cell r="I887" t="str">
            <v>22</v>
          </cell>
          <cell r="J887" t="str">
            <v>WF2</v>
          </cell>
          <cell r="K887" t="str">
            <v>2216</v>
          </cell>
          <cell r="L887" t="str">
            <v>PU MULTIPURPOSE</v>
          </cell>
          <cell r="M887" t="str">
            <v>221601</v>
          </cell>
          <cell r="N887" t="str">
            <v>PROPAN MP PU ACR RMX</v>
          </cell>
        </row>
        <row r="888">
          <cell r="C888" t="str">
            <v>100001877</v>
          </cell>
          <cell r="D888" t="str">
            <v>PUC-786-2K DN XANH CHUOI SK005 VN-0.8L</v>
          </cell>
          <cell r="E888" t="str">
            <v>ZFGD</v>
          </cell>
          <cell r="F888" t="str">
            <v>PC</v>
          </cell>
          <cell r="G888" t="str">
            <v>2</v>
          </cell>
          <cell r="H888" t="str">
            <v>RETAIL</v>
          </cell>
          <cell r="I888" t="str">
            <v>22</v>
          </cell>
          <cell r="J888" t="str">
            <v>WF2</v>
          </cell>
          <cell r="K888" t="str">
            <v>2216</v>
          </cell>
          <cell r="L888" t="str">
            <v>PU MULTIPURPOSE</v>
          </cell>
          <cell r="M888" t="str">
            <v>221601</v>
          </cell>
          <cell r="N888" t="str">
            <v>PROPAN MP PU ACR RMX</v>
          </cell>
        </row>
        <row r="889">
          <cell r="C889" t="str">
            <v>100001878</v>
          </cell>
          <cell r="D889" t="str">
            <v>PUC-786-2K DN XANH CHUOI SK005 VN-5LS</v>
          </cell>
          <cell r="E889" t="str">
            <v>ZFGD</v>
          </cell>
          <cell r="F889" t="str">
            <v>SET</v>
          </cell>
          <cell r="G889" t="str">
            <v>2</v>
          </cell>
          <cell r="H889" t="str">
            <v>RETAIL</v>
          </cell>
          <cell r="I889" t="str">
            <v>22</v>
          </cell>
          <cell r="J889" t="str">
            <v>WF2</v>
          </cell>
          <cell r="K889" t="str">
            <v>2216</v>
          </cell>
          <cell r="L889" t="str">
            <v>PU MULTIPURPOSE</v>
          </cell>
          <cell r="M889" t="str">
            <v>221601</v>
          </cell>
          <cell r="N889" t="str">
            <v>PROPAN MP PU ACR RMX</v>
          </cell>
        </row>
        <row r="890">
          <cell r="C890" t="str">
            <v>100001879</v>
          </cell>
          <cell r="D890" t="str">
            <v>PUC-786-2K DN XANH CHUOI SK005 VN-4L</v>
          </cell>
          <cell r="E890" t="str">
            <v>ZFGD</v>
          </cell>
          <cell r="F890" t="str">
            <v>PC</v>
          </cell>
          <cell r="G890" t="str">
            <v>2</v>
          </cell>
          <cell r="H890" t="str">
            <v>RETAIL</v>
          </cell>
          <cell r="I890" t="str">
            <v>22</v>
          </cell>
          <cell r="J890" t="str">
            <v>WF2</v>
          </cell>
          <cell r="K890" t="str">
            <v>2216</v>
          </cell>
          <cell r="L890" t="str">
            <v>PU MULTIPURPOSE</v>
          </cell>
          <cell r="M890" t="str">
            <v>221601</v>
          </cell>
          <cell r="N890" t="str">
            <v>PROPAN MP PU ACR RMX</v>
          </cell>
        </row>
        <row r="891">
          <cell r="C891" t="str">
            <v>100001880</v>
          </cell>
          <cell r="D891" t="str">
            <v>PUC-786-2K DN VANG CHANH SK003 VN-1LS</v>
          </cell>
          <cell r="E891" t="str">
            <v>ZFGD</v>
          </cell>
          <cell r="F891" t="str">
            <v>SET</v>
          </cell>
          <cell r="G891" t="str">
            <v>2</v>
          </cell>
          <cell r="H891" t="str">
            <v>RETAIL</v>
          </cell>
          <cell r="I891" t="str">
            <v>22</v>
          </cell>
          <cell r="J891" t="str">
            <v>WF2</v>
          </cell>
          <cell r="K891" t="str">
            <v>2216</v>
          </cell>
          <cell r="L891" t="str">
            <v>PU MULTIPURPOSE</v>
          </cell>
          <cell r="M891" t="str">
            <v>221601</v>
          </cell>
          <cell r="N891" t="str">
            <v>PROPAN MP PU ACR RMX</v>
          </cell>
        </row>
        <row r="892">
          <cell r="C892" t="str">
            <v>100001881</v>
          </cell>
          <cell r="D892" t="str">
            <v>PUC-786-2K DN VANG CHANH SK003 VN-0.8L</v>
          </cell>
          <cell r="E892" t="str">
            <v>ZFGD</v>
          </cell>
          <cell r="F892" t="str">
            <v>PC</v>
          </cell>
          <cell r="G892" t="str">
            <v>2</v>
          </cell>
          <cell r="H892" t="str">
            <v>RETAIL</v>
          </cell>
          <cell r="I892" t="str">
            <v>22</v>
          </cell>
          <cell r="J892" t="str">
            <v>WF2</v>
          </cell>
          <cell r="K892" t="str">
            <v>2216</v>
          </cell>
          <cell r="L892" t="str">
            <v>PU MULTIPURPOSE</v>
          </cell>
          <cell r="M892" t="str">
            <v>221601</v>
          </cell>
          <cell r="N892" t="str">
            <v>PROPAN MP PU ACR RMX</v>
          </cell>
        </row>
        <row r="893">
          <cell r="C893" t="str">
            <v>100001882</v>
          </cell>
          <cell r="D893" t="str">
            <v>PUC-786-2K DN VANG CHANH SK003 VN-5LS</v>
          </cell>
          <cell r="E893" t="str">
            <v>ZFGD</v>
          </cell>
          <cell r="F893" t="str">
            <v>SET</v>
          </cell>
          <cell r="G893" t="str">
            <v>2</v>
          </cell>
          <cell r="H893" t="str">
            <v>RETAIL</v>
          </cell>
          <cell r="I893" t="str">
            <v>22</v>
          </cell>
          <cell r="J893" t="str">
            <v>WF2</v>
          </cell>
          <cell r="K893" t="str">
            <v>2216</v>
          </cell>
          <cell r="L893" t="str">
            <v>PU MULTIPURPOSE</v>
          </cell>
          <cell r="M893" t="str">
            <v>221601</v>
          </cell>
          <cell r="N893" t="str">
            <v>PROPAN MP PU ACR RMX</v>
          </cell>
        </row>
        <row r="894">
          <cell r="C894" t="str">
            <v>100001883</v>
          </cell>
          <cell r="D894" t="str">
            <v>PUC-786-2K DN VANG CHANH SK003 VN-4L</v>
          </cell>
          <cell r="E894" t="str">
            <v>ZFGD</v>
          </cell>
          <cell r="F894" t="str">
            <v>PC</v>
          </cell>
          <cell r="G894" t="str">
            <v>2</v>
          </cell>
          <cell r="H894" t="str">
            <v>RETAIL</v>
          </cell>
          <cell r="I894" t="str">
            <v>22</v>
          </cell>
          <cell r="J894" t="str">
            <v>WF2</v>
          </cell>
          <cell r="K894" t="str">
            <v>2216</v>
          </cell>
          <cell r="L894" t="str">
            <v>PU MULTIPURPOSE</v>
          </cell>
          <cell r="M894" t="str">
            <v>221601</v>
          </cell>
          <cell r="N894" t="str">
            <v>PROPAN MP PU ACR RMX</v>
          </cell>
        </row>
        <row r="895">
          <cell r="C895" t="str">
            <v>100001884</v>
          </cell>
          <cell r="D895" t="str">
            <v>PUC-786-2K DN XANH DAM SK009 VN-1LS</v>
          </cell>
          <cell r="E895" t="str">
            <v>ZFGD</v>
          </cell>
          <cell r="F895" t="str">
            <v>SET</v>
          </cell>
          <cell r="G895" t="str">
            <v>2</v>
          </cell>
          <cell r="H895" t="str">
            <v>RETAIL</v>
          </cell>
          <cell r="I895" t="str">
            <v>22</v>
          </cell>
          <cell r="J895" t="str">
            <v>WF2</v>
          </cell>
          <cell r="K895" t="str">
            <v>2216</v>
          </cell>
          <cell r="L895" t="str">
            <v>PU MULTIPURPOSE</v>
          </cell>
          <cell r="M895" t="str">
            <v>221601</v>
          </cell>
          <cell r="N895" t="str">
            <v>PROPAN MP PU ACR RMX</v>
          </cell>
        </row>
        <row r="896">
          <cell r="C896" t="str">
            <v>100001885</v>
          </cell>
          <cell r="D896" t="str">
            <v>PUC-786-2K DN XANH DAM SK009 VN-0.8L</v>
          </cell>
          <cell r="E896" t="str">
            <v>ZFGD</v>
          </cell>
          <cell r="F896" t="str">
            <v>PC</v>
          </cell>
          <cell r="G896" t="str">
            <v>2</v>
          </cell>
          <cell r="H896" t="str">
            <v>RETAIL</v>
          </cell>
          <cell r="I896" t="str">
            <v>22</v>
          </cell>
          <cell r="J896" t="str">
            <v>WF2</v>
          </cell>
          <cell r="K896" t="str">
            <v>2216</v>
          </cell>
          <cell r="L896" t="str">
            <v>PU MULTIPURPOSE</v>
          </cell>
          <cell r="M896" t="str">
            <v>221601</v>
          </cell>
          <cell r="N896" t="str">
            <v>PROPAN MP PU ACR RMX</v>
          </cell>
        </row>
        <row r="897">
          <cell r="C897" t="str">
            <v>100001886</v>
          </cell>
          <cell r="D897" t="str">
            <v>PUC-786-2K DN XANH DAM SK009 VN-5LS</v>
          </cell>
          <cell r="E897" t="str">
            <v>ZFGD</v>
          </cell>
          <cell r="F897" t="str">
            <v>SET</v>
          </cell>
          <cell r="G897" t="str">
            <v>2</v>
          </cell>
          <cell r="H897" t="str">
            <v>RETAIL</v>
          </cell>
          <cell r="I897" t="str">
            <v>22</v>
          </cell>
          <cell r="J897" t="str">
            <v>WF2</v>
          </cell>
          <cell r="K897" t="str">
            <v>2216</v>
          </cell>
          <cell r="L897" t="str">
            <v>PU MULTIPURPOSE</v>
          </cell>
          <cell r="M897" t="str">
            <v>221601</v>
          </cell>
          <cell r="N897" t="str">
            <v>PROPAN MP PU ACR RMX</v>
          </cell>
        </row>
        <row r="898">
          <cell r="C898" t="str">
            <v>100001887</v>
          </cell>
          <cell r="D898" t="str">
            <v>PUC-786-2K DN XANH DAM SK009 VN-4L</v>
          </cell>
          <cell r="E898" t="str">
            <v>ZFGD</v>
          </cell>
          <cell r="F898" t="str">
            <v>PC</v>
          </cell>
          <cell r="G898" t="str">
            <v>2</v>
          </cell>
          <cell r="H898" t="str">
            <v>RETAIL</v>
          </cell>
          <cell r="I898" t="str">
            <v>22</v>
          </cell>
          <cell r="J898" t="str">
            <v>WF2</v>
          </cell>
          <cell r="K898" t="str">
            <v>2216</v>
          </cell>
          <cell r="L898" t="str">
            <v>PU MULTIPURPOSE</v>
          </cell>
          <cell r="M898" t="str">
            <v>221601</v>
          </cell>
          <cell r="N898" t="str">
            <v>PROPAN MP PU ACR RMX</v>
          </cell>
        </row>
        <row r="899">
          <cell r="C899" t="str">
            <v>100001888</v>
          </cell>
          <cell r="D899" t="str">
            <v>PUC-786-2K DN TRANG BONG SK006 VN-1LS</v>
          </cell>
          <cell r="E899" t="str">
            <v>ZFGD</v>
          </cell>
          <cell r="F899" t="str">
            <v>SET</v>
          </cell>
          <cell r="G899" t="str">
            <v>2</v>
          </cell>
          <cell r="H899" t="str">
            <v>RETAIL</v>
          </cell>
          <cell r="I899" t="str">
            <v>22</v>
          </cell>
          <cell r="J899" t="str">
            <v>WF2</v>
          </cell>
          <cell r="K899" t="str">
            <v>2216</v>
          </cell>
          <cell r="L899" t="str">
            <v>PU MULTIPURPOSE</v>
          </cell>
          <cell r="M899" t="str">
            <v>221601</v>
          </cell>
          <cell r="N899" t="str">
            <v>PROPAN MP PU ACR RMX</v>
          </cell>
        </row>
        <row r="900">
          <cell r="C900" t="str">
            <v>100001889</v>
          </cell>
          <cell r="D900" t="str">
            <v>PUC-786-2K DN TRANG BONG SK006 VN-0.8L</v>
          </cell>
          <cell r="E900" t="str">
            <v>ZFGD</v>
          </cell>
          <cell r="F900" t="str">
            <v>PC</v>
          </cell>
          <cell r="G900" t="str">
            <v>2</v>
          </cell>
          <cell r="H900" t="str">
            <v>RETAIL</v>
          </cell>
          <cell r="I900" t="str">
            <v>22</v>
          </cell>
          <cell r="J900" t="str">
            <v>WF2</v>
          </cell>
          <cell r="K900" t="str">
            <v>2216</v>
          </cell>
          <cell r="L900" t="str">
            <v>PU MULTIPURPOSE</v>
          </cell>
          <cell r="M900" t="str">
            <v>221601</v>
          </cell>
          <cell r="N900" t="str">
            <v>PROPAN MP PU ACR RMX</v>
          </cell>
        </row>
        <row r="901">
          <cell r="C901" t="str">
            <v>100001890</v>
          </cell>
          <cell r="D901" t="str">
            <v>PUC-786-2K DN TRANG BONG SK006 VN-5LS</v>
          </cell>
          <cell r="E901" t="str">
            <v>ZFGD</v>
          </cell>
          <cell r="F901" t="str">
            <v>SET</v>
          </cell>
          <cell r="G901" t="str">
            <v>2</v>
          </cell>
          <cell r="H901" t="str">
            <v>RETAIL</v>
          </cell>
          <cell r="I901" t="str">
            <v>22</v>
          </cell>
          <cell r="J901" t="str">
            <v>WF2</v>
          </cell>
          <cell r="K901" t="str">
            <v>2216</v>
          </cell>
          <cell r="L901" t="str">
            <v>PU MULTIPURPOSE</v>
          </cell>
          <cell r="M901" t="str">
            <v>221601</v>
          </cell>
          <cell r="N901" t="str">
            <v>PROPAN MP PU ACR RMX</v>
          </cell>
        </row>
        <row r="902">
          <cell r="C902" t="str">
            <v>100001891</v>
          </cell>
          <cell r="D902" t="str">
            <v>PUC-786-2K DN TRANG BONG SK006 VN-4L</v>
          </cell>
          <cell r="E902" t="str">
            <v>ZFGD</v>
          </cell>
          <cell r="F902" t="str">
            <v>PC</v>
          </cell>
          <cell r="G902" t="str">
            <v>2</v>
          </cell>
          <cell r="H902" t="str">
            <v>RETAIL</v>
          </cell>
          <cell r="I902" t="str">
            <v>22</v>
          </cell>
          <cell r="J902" t="str">
            <v>WF2</v>
          </cell>
          <cell r="K902" t="str">
            <v>2216</v>
          </cell>
          <cell r="L902" t="str">
            <v>PU MULTIPURPOSE</v>
          </cell>
          <cell r="M902" t="str">
            <v>221601</v>
          </cell>
          <cell r="N902" t="str">
            <v>PROPAN MP PU ACR RMX</v>
          </cell>
        </row>
        <row r="903">
          <cell r="C903" t="str">
            <v>100001892</v>
          </cell>
          <cell r="D903" t="str">
            <v>PUC-786-2K DN KEM LOT SK002 VN-1LS</v>
          </cell>
          <cell r="E903" t="str">
            <v>ZFGD</v>
          </cell>
          <cell r="F903" t="str">
            <v>SET</v>
          </cell>
          <cell r="G903" t="str">
            <v>2</v>
          </cell>
          <cell r="H903" t="str">
            <v>RETAIL</v>
          </cell>
          <cell r="I903" t="str">
            <v>22</v>
          </cell>
          <cell r="J903" t="str">
            <v>WF2</v>
          </cell>
          <cell r="K903" t="str">
            <v>2216</v>
          </cell>
          <cell r="L903" t="str">
            <v>PU MULTIPURPOSE</v>
          </cell>
          <cell r="M903" t="str">
            <v>221601</v>
          </cell>
          <cell r="N903" t="str">
            <v>PROPAN MP PU ACR RMX</v>
          </cell>
        </row>
        <row r="904">
          <cell r="C904" t="str">
            <v>100001893</v>
          </cell>
          <cell r="D904" t="str">
            <v>PUC-786-2K DN KEM LOT SK002 VN-0.8L</v>
          </cell>
          <cell r="E904" t="str">
            <v>ZFGD</v>
          </cell>
          <cell r="F904" t="str">
            <v>PC</v>
          </cell>
          <cell r="G904" t="str">
            <v>2</v>
          </cell>
          <cell r="H904" t="str">
            <v>RETAIL</v>
          </cell>
          <cell r="I904" t="str">
            <v>22</v>
          </cell>
          <cell r="J904" t="str">
            <v>WF2</v>
          </cell>
          <cell r="K904" t="str">
            <v>2216</v>
          </cell>
          <cell r="L904" t="str">
            <v>PU MULTIPURPOSE</v>
          </cell>
          <cell r="M904" t="str">
            <v>221601</v>
          </cell>
          <cell r="N904" t="str">
            <v>PROPAN MP PU ACR RMX</v>
          </cell>
        </row>
        <row r="905">
          <cell r="C905" t="str">
            <v>100001894</v>
          </cell>
          <cell r="D905" t="str">
            <v>PUC-786-2K DN KEM LOT SK002 VN-5LS</v>
          </cell>
          <cell r="E905" t="str">
            <v>ZFGD</v>
          </cell>
          <cell r="F905" t="str">
            <v>SET</v>
          </cell>
          <cell r="G905" t="str">
            <v>2</v>
          </cell>
          <cell r="H905" t="str">
            <v>RETAIL</v>
          </cell>
          <cell r="I905" t="str">
            <v>22</v>
          </cell>
          <cell r="J905" t="str">
            <v>WF2</v>
          </cell>
          <cell r="K905" t="str">
            <v>2216</v>
          </cell>
          <cell r="L905" t="str">
            <v>PU MULTIPURPOSE</v>
          </cell>
          <cell r="M905" t="str">
            <v>221601</v>
          </cell>
          <cell r="N905" t="str">
            <v>PROPAN MP PU ACR RMX</v>
          </cell>
        </row>
        <row r="906">
          <cell r="C906" t="str">
            <v>100001895</v>
          </cell>
          <cell r="D906" t="str">
            <v>PUC-786-2K DN KEM LOT SK002 VN-4L</v>
          </cell>
          <cell r="E906" t="str">
            <v>ZFGD</v>
          </cell>
          <cell r="F906" t="str">
            <v>PC</v>
          </cell>
          <cell r="G906" t="str">
            <v>2</v>
          </cell>
          <cell r="H906" t="str">
            <v>RETAIL</v>
          </cell>
          <cell r="I906" t="str">
            <v>22</v>
          </cell>
          <cell r="J906" t="str">
            <v>WF2</v>
          </cell>
          <cell r="K906" t="str">
            <v>2216</v>
          </cell>
          <cell r="L906" t="str">
            <v>PU MULTIPURPOSE</v>
          </cell>
          <cell r="M906" t="str">
            <v>221601</v>
          </cell>
          <cell r="N906" t="str">
            <v>PROPAN MP PU ACR RMX</v>
          </cell>
        </row>
        <row r="907">
          <cell r="C907" t="str">
            <v>100001896</v>
          </cell>
          <cell r="D907" t="str">
            <v>PUC-786-2K DN XAM DAM SK004 VN-1LS</v>
          </cell>
          <cell r="E907" t="str">
            <v>ZFGD</v>
          </cell>
          <cell r="F907" t="str">
            <v>SET</v>
          </cell>
          <cell r="G907" t="str">
            <v>2</v>
          </cell>
          <cell r="H907" t="str">
            <v>RETAIL</v>
          </cell>
          <cell r="I907" t="str">
            <v>22</v>
          </cell>
          <cell r="J907" t="str">
            <v>WF2</v>
          </cell>
          <cell r="K907" t="str">
            <v>2216</v>
          </cell>
          <cell r="L907" t="str">
            <v>PU MULTIPURPOSE</v>
          </cell>
          <cell r="M907" t="str">
            <v>221601</v>
          </cell>
          <cell r="N907" t="str">
            <v>PROPAN MP PU ACR RMX</v>
          </cell>
        </row>
        <row r="908">
          <cell r="C908" t="str">
            <v>100001897</v>
          </cell>
          <cell r="D908" t="str">
            <v>PUC-786-2K DN XAM DAM SK004 VN-0.8L</v>
          </cell>
          <cell r="E908" t="str">
            <v>ZFGD</v>
          </cell>
          <cell r="F908" t="str">
            <v>PC</v>
          </cell>
          <cell r="G908" t="str">
            <v>2</v>
          </cell>
          <cell r="H908" t="str">
            <v>RETAIL</v>
          </cell>
          <cell r="I908" t="str">
            <v>22</v>
          </cell>
          <cell r="J908" t="str">
            <v>WF2</v>
          </cell>
          <cell r="K908" t="str">
            <v>2216</v>
          </cell>
          <cell r="L908" t="str">
            <v>PU MULTIPURPOSE</v>
          </cell>
          <cell r="M908" t="str">
            <v>221601</v>
          </cell>
          <cell r="N908" t="str">
            <v>PROPAN MP PU ACR RMX</v>
          </cell>
        </row>
        <row r="909">
          <cell r="C909" t="str">
            <v>100001898</v>
          </cell>
          <cell r="D909" t="str">
            <v>PUC-786-2K DN XAM DAM SK004 VN-5LS</v>
          </cell>
          <cell r="E909" t="str">
            <v>ZFGD</v>
          </cell>
          <cell r="F909" t="str">
            <v>SET</v>
          </cell>
          <cell r="G909" t="str">
            <v>2</v>
          </cell>
          <cell r="H909" t="str">
            <v>RETAIL</v>
          </cell>
          <cell r="I909" t="str">
            <v>22</v>
          </cell>
          <cell r="J909" t="str">
            <v>WF2</v>
          </cell>
          <cell r="K909" t="str">
            <v>2216</v>
          </cell>
          <cell r="L909" t="str">
            <v>PU MULTIPURPOSE</v>
          </cell>
          <cell r="M909" t="str">
            <v>221601</v>
          </cell>
          <cell r="N909" t="str">
            <v>PROPAN MP PU ACR RMX</v>
          </cell>
        </row>
        <row r="910">
          <cell r="C910" t="str">
            <v>100001899</v>
          </cell>
          <cell r="D910" t="str">
            <v>PUC-786-2K DN XAM DAM SK004 VN-4L</v>
          </cell>
          <cell r="E910" t="str">
            <v>ZFGD</v>
          </cell>
          <cell r="F910" t="str">
            <v>PC</v>
          </cell>
          <cell r="G910" t="str">
            <v>2</v>
          </cell>
          <cell r="H910" t="str">
            <v>RETAIL</v>
          </cell>
          <cell r="I910" t="str">
            <v>22</v>
          </cell>
          <cell r="J910" t="str">
            <v>WF2</v>
          </cell>
          <cell r="K910" t="str">
            <v>2216</v>
          </cell>
          <cell r="L910" t="str">
            <v>PU MULTIPURPOSE</v>
          </cell>
          <cell r="M910" t="str">
            <v>221601</v>
          </cell>
          <cell r="N910" t="str">
            <v>PROPAN MP PU ACR RMX</v>
          </cell>
        </row>
        <row r="911">
          <cell r="C911" t="str">
            <v>100001900</v>
          </cell>
          <cell r="D911" t="str">
            <v>PUC-786-2K DN XANH DA TROI SK007 VN-1LS</v>
          </cell>
          <cell r="E911" t="str">
            <v>ZFGD</v>
          </cell>
          <cell r="F911" t="str">
            <v>SET</v>
          </cell>
          <cell r="G911" t="str">
            <v>2</v>
          </cell>
          <cell r="H911" t="str">
            <v>RETAIL</v>
          </cell>
          <cell r="I911" t="str">
            <v>22</v>
          </cell>
          <cell r="J911" t="str">
            <v>WF2</v>
          </cell>
          <cell r="K911" t="str">
            <v>2216</v>
          </cell>
          <cell r="L911" t="str">
            <v>PU MULTIPURPOSE</v>
          </cell>
          <cell r="M911" t="str">
            <v>221601</v>
          </cell>
          <cell r="N911" t="str">
            <v>PROPAN MP PU ACR RMX</v>
          </cell>
        </row>
        <row r="912">
          <cell r="C912" t="str">
            <v>100001901</v>
          </cell>
          <cell r="D912" t="str">
            <v>PUC-786-2K DN XANH DA TROI SK007 VN-0.8L</v>
          </cell>
          <cell r="E912" t="str">
            <v>ZFGD</v>
          </cell>
          <cell r="F912" t="str">
            <v>PC</v>
          </cell>
          <cell r="G912" t="str">
            <v>2</v>
          </cell>
          <cell r="H912" t="str">
            <v>RETAIL</v>
          </cell>
          <cell r="I912" t="str">
            <v>22</v>
          </cell>
          <cell r="J912" t="str">
            <v>WF2</v>
          </cell>
          <cell r="K912" t="str">
            <v>2216</v>
          </cell>
          <cell r="L912" t="str">
            <v>PU MULTIPURPOSE</v>
          </cell>
          <cell r="M912" t="str">
            <v>221601</v>
          </cell>
          <cell r="N912" t="str">
            <v>PROPAN MP PU ACR RMX</v>
          </cell>
        </row>
        <row r="913">
          <cell r="C913" t="str">
            <v>100001902</v>
          </cell>
          <cell r="D913" t="str">
            <v>PUC-786-2K DN XANH DA TROI SK007 VN-5LS</v>
          </cell>
          <cell r="E913" t="str">
            <v>ZFGD</v>
          </cell>
          <cell r="F913" t="str">
            <v>SET</v>
          </cell>
          <cell r="G913" t="str">
            <v>2</v>
          </cell>
          <cell r="H913" t="str">
            <v>RETAIL</v>
          </cell>
          <cell r="I913" t="str">
            <v>22</v>
          </cell>
          <cell r="J913" t="str">
            <v>WF2</v>
          </cell>
          <cell r="K913" t="str">
            <v>2216</v>
          </cell>
          <cell r="L913" t="str">
            <v>PU MULTIPURPOSE</v>
          </cell>
          <cell r="M913" t="str">
            <v>221601</v>
          </cell>
          <cell r="N913" t="str">
            <v>PROPAN MP PU ACR RMX</v>
          </cell>
        </row>
        <row r="914">
          <cell r="C914" t="str">
            <v>100001903</v>
          </cell>
          <cell r="D914" t="str">
            <v>PUC-786-2K DN XANH DA TROI SK007 VN-4L</v>
          </cell>
          <cell r="E914" t="str">
            <v>ZFGD</v>
          </cell>
          <cell r="F914" t="str">
            <v>PC</v>
          </cell>
          <cell r="G914" t="str">
            <v>2</v>
          </cell>
          <cell r="H914" t="str">
            <v>RETAIL</v>
          </cell>
          <cell r="I914" t="str">
            <v>22</v>
          </cell>
          <cell r="J914" t="str">
            <v>WF2</v>
          </cell>
          <cell r="K914" t="str">
            <v>2216</v>
          </cell>
          <cell r="L914" t="str">
            <v>PU MULTIPURPOSE</v>
          </cell>
          <cell r="M914" t="str">
            <v>221601</v>
          </cell>
          <cell r="N914" t="str">
            <v>PROPAN MP PU ACR RMX</v>
          </cell>
        </row>
        <row r="915">
          <cell r="C915" t="str">
            <v>100001904</v>
          </cell>
          <cell r="D915" t="str">
            <v>PUC-786-2K DN XANH DUONG SK008 VN-1LS</v>
          </cell>
          <cell r="E915" t="str">
            <v>ZFGD</v>
          </cell>
          <cell r="F915" t="str">
            <v>SET</v>
          </cell>
          <cell r="G915" t="str">
            <v>2</v>
          </cell>
          <cell r="H915" t="str">
            <v>RETAIL</v>
          </cell>
          <cell r="I915" t="str">
            <v>22</v>
          </cell>
          <cell r="J915" t="str">
            <v>WF2</v>
          </cell>
          <cell r="K915" t="str">
            <v>2216</v>
          </cell>
          <cell r="L915" t="str">
            <v>PU MULTIPURPOSE</v>
          </cell>
          <cell r="M915" t="str">
            <v>221601</v>
          </cell>
          <cell r="N915" t="str">
            <v>PROPAN MP PU ACR RMX</v>
          </cell>
        </row>
        <row r="916">
          <cell r="C916" t="str">
            <v>100001905</v>
          </cell>
          <cell r="D916" t="str">
            <v>PUC-786-2K DN XANH DUONG SK008 VN-0.8L</v>
          </cell>
          <cell r="E916" t="str">
            <v>ZFGD</v>
          </cell>
          <cell r="F916" t="str">
            <v>PC</v>
          </cell>
          <cell r="G916" t="str">
            <v>2</v>
          </cell>
          <cell r="H916" t="str">
            <v>RETAIL</v>
          </cell>
          <cell r="I916" t="str">
            <v>22</v>
          </cell>
          <cell r="J916" t="str">
            <v>WF2</v>
          </cell>
          <cell r="K916" t="str">
            <v>2216</v>
          </cell>
          <cell r="L916" t="str">
            <v>PU MULTIPURPOSE</v>
          </cell>
          <cell r="M916" t="str">
            <v>221601</v>
          </cell>
          <cell r="N916" t="str">
            <v>PROPAN MP PU ACR RMX</v>
          </cell>
        </row>
        <row r="917">
          <cell r="C917" t="str">
            <v>100001906</v>
          </cell>
          <cell r="D917" t="str">
            <v>PUC-786-2K DN XANH DUONG SK008 VN-5LS</v>
          </cell>
          <cell r="E917" t="str">
            <v>ZFGD</v>
          </cell>
          <cell r="F917" t="str">
            <v>SET</v>
          </cell>
          <cell r="G917" t="str">
            <v>2</v>
          </cell>
          <cell r="H917" t="str">
            <v>RETAIL</v>
          </cell>
          <cell r="I917" t="str">
            <v>22</v>
          </cell>
          <cell r="J917" t="str">
            <v>WF2</v>
          </cell>
          <cell r="K917" t="str">
            <v>2216</v>
          </cell>
          <cell r="L917" t="str">
            <v>PU MULTIPURPOSE</v>
          </cell>
          <cell r="M917" t="str">
            <v>221601</v>
          </cell>
          <cell r="N917" t="str">
            <v>PROPAN MP PU ACR RMX</v>
          </cell>
        </row>
        <row r="918">
          <cell r="C918" t="str">
            <v>100001907</v>
          </cell>
          <cell r="D918" t="str">
            <v>PUC-786-2K DN XANH DUONG SK008 VN-4L</v>
          </cell>
          <cell r="E918" t="str">
            <v>ZFGD</v>
          </cell>
          <cell r="F918" t="str">
            <v>PC</v>
          </cell>
          <cell r="G918" t="str">
            <v>2</v>
          </cell>
          <cell r="H918" t="str">
            <v>RETAIL</v>
          </cell>
          <cell r="I918" t="str">
            <v>22</v>
          </cell>
          <cell r="J918" t="str">
            <v>WF2</v>
          </cell>
          <cell r="K918" t="str">
            <v>2216</v>
          </cell>
          <cell r="L918" t="str">
            <v>PU MULTIPURPOSE</v>
          </cell>
          <cell r="M918" t="str">
            <v>221601</v>
          </cell>
          <cell r="N918" t="str">
            <v>PROPAN MP PU ACR RMX</v>
          </cell>
        </row>
        <row r="919">
          <cell r="C919" t="str">
            <v>100001908</v>
          </cell>
          <cell r="D919" t="str">
            <v>PUC-786-2K DN XANH NGOC SK010 VN-1LS</v>
          </cell>
          <cell r="E919" t="str">
            <v>ZFGD</v>
          </cell>
          <cell r="F919" t="str">
            <v>SET</v>
          </cell>
          <cell r="G919" t="str">
            <v>2</v>
          </cell>
          <cell r="H919" t="str">
            <v>RETAIL</v>
          </cell>
          <cell r="I919" t="str">
            <v>22</v>
          </cell>
          <cell r="J919" t="str">
            <v>WF2</v>
          </cell>
          <cell r="K919" t="str">
            <v>2216</v>
          </cell>
          <cell r="L919" t="str">
            <v>PU MULTIPURPOSE</v>
          </cell>
          <cell r="M919" t="str">
            <v>221601</v>
          </cell>
          <cell r="N919" t="str">
            <v>PROPAN MP PU ACR RMX</v>
          </cell>
        </row>
        <row r="920">
          <cell r="C920" t="str">
            <v>100001909</v>
          </cell>
          <cell r="D920" t="str">
            <v>PUC-786-2K DN XANH NGOC SK010 VN-0.8L</v>
          </cell>
          <cell r="E920" t="str">
            <v>ZFGD</v>
          </cell>
          <cell r="F920" t="str">
            <v>PC</v>
          </cell>
          <cell r="G920" t="str">
            <v>2</v>
          </cell>
          <cell r="H920" t="str">
            <v>RETAIL</v>
          </cell>
          <cell r="I920" t="str">
            <v>22</v>
          </cell>
          <cell r="J920" t="str">
            <v>WF2</v>
          </cell>
          <cell r="K920" t="str">
            <v>2216</v>
          </cell>
          <cell r="L920" t="str">
            <v>PU MULTIPURPOSE</v>
          </cell>
          <cell r="M920" t="str">
            <v>221601</v>
          </cell>
          <cell r="N920" t="str">
            <v>PROPAN MP PU ACR RMX</v>
          </cell>
        </row>
        <row r="921">
          <cell r="C921" t="str">
            <v>100001910</v>
          </cell>
          <cell r="D921" t="str">
            <v>PUC-786-2K DN XANH NGOC SK010 VN-5LS</v>
          </cell>
          <cell r="E921" t="str">
            <v>ZFGD</v>
          </cell>
          <cell r="F921" t="str">
            <v>SET</v>
          </cell>
          <cell r="G921" t="str">
            <v>2</v>
          </cell>
          <cell r="H921" t="str">
            <v>RETAIL</v>
          </cell>
          <cell r="I921" t="str">
            <v>22</v>
          </cell>
          <cell r="J921" t="str">
            <v>WF2</v>
          </cell>
          <cell r="K921" t="str">
            <v>2216</v>
          </cell>
          <cell r="L921" t="str">
            <v>PU MULTIPURPOSE</v>
          </cell>
          <cell r="M921" t="str">
            <v>221601</v>
          </cell>
          <cell r="N921" t="str">
            <v>PROPAN MP PU ACR RMX</v>
          </cell>
        </row>
        <row r="922">
          <cell r="C922" t="str">
            <v>100001911</v>
          </cell>
          <cell r="D922" t="str">
            <v>PUC-786-2K DN XANH NGOC SK010 VN-4L</v>
          </cell>
          <cell r="E922" t="str">
            <v>ZFGD</v>
          </cell>
          <cell r="F922" t="str">
            <v>PC</v>
          </cell>
          <cell r="G922" t="str">
            <v>2</v>
          </cell>
          <cell r="H922" t="str">
            <v>RETAIL</v>
          </cell>
          <cell r="I922" t="str">
            <v>22</v>
          </cell>
          <cell r="J922" t="str">
            <v>WF2</v>
          </cell>
          <cell r="K922" t="str">
            <v>2216</v>
          </cell>
          <cell r="L922" t="str">
            <v>PU MULTIPURPOSE</v>
          </cell>
          <cell r="M922" t="str">
            <v>221601</v>
          </cell>
          <cell r="N922" t="str">
            <v>PROPAN MP PU ACR RMX</v>
          </cell>
        </row>
        <row r="923">
          <cell r="C923" t="str">
            <v>100002027</v>
          </cell>
          <cell r="D923" t="str">
            <v>MPUC-13600 TEXTURE BROWN KI VN-16KP</v>
          </cell>
          <cell r="E923" t="str">
            <v>ZFGD</v>
          </cell>
          <cell r="F923" t="str">
            <v>PC</v>
          </cell>
          <cell r="G923" t="str">
            <v>1</v>
          </cell>
          <cell r="H923" t="str">
            <v>INDUSTRY</v>
          </cell>
          <cell r="I923" t="str">
            <v>16</v>
          </cell>
          <cell r="J923" t="str">
            <v>METAL COATINGS</v>
          </cell>
          <cell r="K923" t="str">
            <v>1601</v>
          </cell>
          <cell r="L923" t="str">
            <v>METAL COATINGS</v>
          </cell>
          <cell r="M923" t="str">
            <v>160101</v>
          </cell>
          <cell r="N923" t="str">
            <v>METAL COATINGS</v>
          </cell>
        </row>
        <row r="924">
          <cell r="C924" t="str">
            <v>100002028</v>
          </cell>
          <cell r="D924" t="str">
            <v>MPUC-13600 IRISH WHITE 50 VN-16KP</v>
          </cell>
          <cell r="E924" t="str">
            <v>ZFGD</v>
          </cell>
          <cell r="F924" t="str">
            <v>PC</v>
          </cell>
          <cell r="G924" t="str">
            <v>1</v>
          </cell>
          <cell r="H924" t="str">
            <v>INDUSTRY</v>
          </cell>
          <cell r="I924" t="str">
            <v>16</v>
          </cell>
          <cell r="J924" t="str">
            <v>METAL COATINGS</v>
          </cell>
          <cell r="K924" t="str">
            <v>1601</v>
          </cell>
          <cell r="L924" t="str">
            <v>METAL COATINGS</v>
          </cell>
          <cell r="M924" t="str">
            <v>160101</v>
          </cell>
          <cell r="N924" t="str">
            <v>METAL COATINGS</v>
          </cell>
        </row>
        <row r="925">
          <cell r="C925" t="str">
            <v>100002029</v>
          </cell>
          <cell r="D925" t="str">
            <v>MPUC-13600 DARK BLUE MH 01 20 VN-16KP</v>
          </cell>
          <cell r="E925" t="str">
            <v>ZFGD</v>
          </cell>
          <cell r="F925" t="str">
            <v>PC</v>
          </cell>
          <cell r="G925" t="str">
            <v>1</v>
          </cell>
          <cell r="H925" t="str">
            <v>INDUSTRY</v>
          </cell>
          <cell r="I925" t="str">
            <v>16</v>
          </cell>
          <cell r="J925" t="str">
            <v>METAL COATINGS</v>
          </cell>
          <cell r="K925" t="str">
            <v>1601</v>
          </cell>
          <cell r="L925" t="str">
            <v>METAL COATINGS</v>
          </cell>
          <cell r="M925" t="str">
            <v>160101</v>
          </cell>
          <cell r="N925" t="str">
            <v>METAL COATINGS</v>
          </cell>
        </row>
        <row r="926">
          <cell r="C926" t="str">
            <v>100002039</v>
          </cell>
          <cell r="D926" t="str">
            <v>MEPH-12003 PS VN-2K</v>
          </cell>
          <cell r="E926" t="str">
            <v>ZFGD</v>
          </cell>
          <cell r="F926" t="str">
            <v>PC</v>
          </cell>
          <cell r="G926" t="str">
            <v>1</v>
          </cell>
          <cell r="H926" t="str">
            <v>INDUSTRY</v>
          </cell>
          <cell r="I926" t="str">
            <v>16</v>
          </cell>
          <cell r="J926" t="str">
            <v>METAL COATINGS</v>
          </cell>
          <cell r="K926" t="str">
            <v>1601</v>
          </cell>
          <cell r="L926" t="str">
            <v>METAL COATINGS</v>
          </cell>
          <cell r="M926" t="str">
            <v>160101</v>
          </cell>
          <cell r="N926" t="str">
            <v>METAL COATINGS</v>
          </cell>
        </row>
        <row r="927">
          <cell r="C927" t="str">
            <v>100002042</v>
          </cell>
          <cell r="D927" t="str">
            <v>MPULH-13700 PS VN-4K</v>
          </cell>
          <cell r="E927" t="str">
            <v>ZFGD</v>
          </cell>
          <cell r="F927" t="str">
            <v>PC</v>
          </cell>
          <cell r="G927" t="str">
            <v>1</v>
          </cell>
          <cell r="H927" t="str">
            <v>INDUSTRY</v>
          </cell>
          <cell r="I927" t="str">
            <v>16</v>
          </cell>
          <cell r="J927" t="str">
            <v>METAL COATINGS</v>
          </cell>
          <cell r="K927" t="str">
            <v>1601</v>
          </cell>
          <cell r="L927" t="str">
            <v>METAL COATINGS</v>
          </cell>
          <cell r="M927" t="str">
            <v>160101</v>
          </cell>
          <cell r="N927" t="str">
            <v>METAL COATINGS</v>
          </cell>
        </row>
        <row r="928">
          <cell r="C928" t="str">
            <v>100002078</v>
          </cell>
          <cell r="D928" t="str">
            <v>MPUC-13600 WHITE VN-16KP</v>
          </cell>
          <cell r="E928" t="str">
            <v>ZFGD</v>
          </cell>
          <cell r="F928" t="str">
            <v>PC</v>
          </cell>
          <cell r="G928" t="str">
            <v>1</v>
          </cell>
          <cell r="H928" t="str">
            <v>INDUSTRY</v>
          </cell>
          <cell r="I928" t="str">
            <v>16</v>
          </cell>
          <cell r="J928" t="str">
            <v>METAL COATINGS</v>
          </cell>
          <cell r="K928" t="str">
            <v>1601</v>
          </cell>
          <cell r="L928" t="str">
            <v>METAL COATINGS</v>
          </cell>
          <cell r="M928" t="str">
            <v>160101</v>
          </cell>
          <cell r="N928" t="str">
            <v>METAL COATINGS</v>
          </cell>
        </row>
        <row r="929">
          <cell r="C929" t="str">
            <v>100002084</v>
          </cell>
          <cell r="D929" t="str">
            <v>PCA-31100 RX CLR ROASTED TC VN-18KJ</v>
          </cell>
          <cell r="E929" t="str">
            <v>ZFGD</v>
          </cell>
          <cell r="F929" t="str">
            <v>PC</v>
          </cell>
          <cell r="G929" t="str">
            <v>1</v>
          </cell>
          <cell r="H929" t="str">
            <v>INDUSTRY</v>
          </cell>
          <cell r="I929" t="str">
            <v>11</v>
          </cell>
          <cell r="J929" t="str">
            <v>WOOD COATINGS</v>
          </cell>
          <cell r="K929" t="str">
            <v>1118</v>
          </cell>
          <cell r="L929" t="str">
            <v>COMPLEMENTARY</v>
          </cell>
          <cell r="M929" t="str">
            <v>111807</v>
          </cell>
          <cell r="N929" t="str">
            <v>PASTA</v>
          </cell>
        </row>
        <row r="930">
          <cell r="C930" t="str">
            <v>100002115</v>
          </cell>
          <cell r="D930" t="str">
            <v>MPUC-13600 DARK GREY 20 MH VN-16KP</v>
          </cell>
          <cell r="E930" t="str">
            <v>ZFGD</v>
          </cell>
          <cell r="F930" t="str">
            <v>PC</v>
          </cell>
          <cell r="G930" t="str">
            <v>1</v>
          </cell>
          <cell r="H930" t="str">
            <v>INDUSTRY</v>
          </cell>
          <cell r="I930" t="str">
            <v>16</v>
          </cell>
          <cell r="J930" t="str">
            <v>METAL COATINGS</v>
          </cell>
          <cell r="K930" t="str">
            <v>1601</v>
          </cell>
          <cell r="L930" t="str">
            <v>METAL COATINGS</v>
          </cell>
          <cell r="M930" t="str">
            <v>160101</v>
          </cell>
          <cell r="N930" t="str">
            <v>METAL COATINGS</v>
          </cell>
        </row>
        <row r="931">
          <cell r="C931" t="str">
            <v>100002124</v>
          </cell>
          <cell r="D931" t="str">
            <v>MPULH-13700 PS VN-1K</v>
          </cell>
          <cell r="E931" t="str">
            <v>ZFGD</v>
          </cell>
          <cell r="F931" t="str">
            <v>PC</v>
          </cell>
          <cell r="G931" t="str">
            <v>1</v>
          </cell>
          <cell r="H931" t="str">
            <v>INDUSTRY</v>
          </cell>
          <cell r="I931" t="str">
            <v>16</v>
          </cell>
          <cell r="J931" t="str">
            <v>METAL COATINGS</v>
          </cell>
          <cell r="K931" t="str">
            <v>1601</v>
          </cell>
          <cell r="L931" t="str">
            <v>METAL COATINGS</v>
          </cell>
          <cell r="M931" t="str">
            <v>160101</v>
          </cell>
          <cell r="N931" t="str">
            <v>METAL COATINGS</v>
          </cell>
        </row>
        <row r="932">
          <cell r="C932" t="str">
            <v>100002125</v>
          </cell>
          <cell r="D932" t="str">
            <v>MEP-12003 GREY VN-4.5K</v>
          </cell>
          <cell r="E932" t="str">
            <v>ZFGD</v>
          </cell>
          <cell r="F932" t="str">
            <v>PC</v>
          </cell>
          <cell r="G932" t="str">
            <v>1</v>
          </cell>
          <cell r="H932" t="str">
            <v>INDUSTRY</v>
          </cell>
          <cell r="I932" t="str">
            <v>16</v>
          </cell>
          <cell r="J932" t="str">
            <v>METAL COATINGS</v>
          </cell>
          <cell r="K932" t="str">
            <v>1601</v>
          </cell>
          <cell r="L932" t="str">
            <v>METAL COATINGS</v>
          </cell>
          <cell r="M932" t="str">
            <v>160101</v>
          </cell>
          <cell r="N932" t="str">
            <v>METAL COATINGS</v>
          </cell>
        </row>
        <row r="933">
          <cell r="C933" t="str">
            <v>100002127</v>
          </cell>
          <cell r="D933" t="str">
            <v>MEP-12003 BLACK VN-18KP</v>
          </cell>
          <cell r="E933" t="str">
            <v>ZFGD</v>
          </cell>
          <cell r="F933" t="str">
            <v>PC</v>
          </cell>
          <cell r="G933" t="str">
            <v>1</v>
          </cell>
          <cell r="H933" t="str">
            <v>INDUSTRY</v>
          </cell>
          <cell r="I933" t="str">
            <v>16</v>
          </cell>
          <cell r="J933" t="str">
            <v>METAL COATINGS</v>
          </cell>
          <cell r="K933" t="str">
            <v>1601</v>
          </cell>
          <cell r="L933" t="str">
            <v>METAL COATINGS</v>
          </cell>
          <cell r="M933" t="str">
            <v>160101</v>
          </cell>
          <cell r="N933" t="str">
            <v>METAL COATINGS</v>
          </cell>
        </row>
        <row r="934">
          <cell r="C934" t="str">
            <v>100002128</v>
          </cell>
          <cell r="D934" t="str">
            <v>MPUC-13600 BLACK VN-4K</v>
          </cell>
          <cell r="E934" t="str">
            <v>ZFGD</v>
          </cell>
          <cell r="F934" t="str">
            <v>PC</v>
          </cell>
          <cell r="G934" t="str">
            <v>1</v>
          </cell>
          <cell r="H934" t="str">
            <v>INDUSTRY</v>
          </cell>
          <cell r="I934" t="str">
            <v>16</v>
          </cell>
          <cell r="J934" t="str">
            <v>METAL COATINGS</v>
          </cell>
          <cell r="K934" t="str">
            <v>1601</v>
          </cell>
          <cell r="L934" t="str">
            <v>METAL COATINGS</v>
          </cell>
          <cell r="M934" t="str">
            <v>160101</v>
          </cell>
          <cell r="N934" t="str">
            <v>METAL COATINGS</v>
          </cell>
        </row>
        <row r="935">
          <cell r="C935" t="str">
            <v>100002129</v>
          </cell>
          <cell r="D935" t="str">
            <v>MPUC-13600 BLACK VN-16KP</v>
          </cell>
          <cell r="E935" t="str">
            <v>ZFGD</v>
          </cell>
          <cell r="F935" t="str">
            <v>PC</v>
          </cell>
          <cell r="G935" t="str">
            <v>1</v>
          </cell>
          <cell r="H935" t="str">
            <v>INDUSTRY</v>
          </cell>
          <cell r="I935" t="str">
            <v>16</v>
          </cell>
          <cell r="J935" t="str">
            <v>METAL COATINGS</v>
          </cell>
          <cell r="K935" t="str">
            <v>1601</v>
          </cell>
          <cell r="L935" t="str">
            <v>METAL COATINGS</v>
          </cell>
          <cell r="M935" t="str">
            <v>160101</v>
          </cell>
          <cell r="N935" t="str">
            <v>METAL COATINGS</v>
          </cell>
        </row>
        <row r="936">
          <cell r="C936" t="str">
            <v>100002141</v>
          </cell>
          <cell r="D936" t="str">
            <v>MPUC-13600 DARK BLUE MH 01 20 VN-4K</v>
          </cell>
          <cell r="E936" t="str">
            <v>ZFGD</v>
          </cell>
          <cell r="F936" t="str">
            <v>PC</v>
          </cell>
          <cell r="G936" t="str">
            <v>1</v>
          </cell>
          <cell r="H936" t="str">
            <v>INDUSTRY</v>
          </cell>
          <cell r="I936" t="str">
            <v>16</v>
          </cell>
          <cell r="J936" t="str">
            <v>METAL COATINGS</v>
          </cell>
          <cell r="K936" t="str">
            <v>1601</v>
          </cell>
          <cell r="L936" t="str">
            <v>METAL COATINGS</v>
          </cell>
          <cell r="M936" t="str">
            <v>160101</v>
          </cell>
          <cell r="N936" t="str">
            <v>METAL COATINGS</v>
          </cell>
        </row>
        <row r="937">
          <cell r="C937" t="str">
            <v>100002142</v>
          </cell>
          <cell r="D937" t="str">
            <v>PFM-222 VN-16KSP</v>
          </cell>
          <cell r="E937" t="str">
            <v>ZFGD</v>
          </cell>
          <cell r="F937" t="str">
            <v>SET</v>
          </cell>
          <cell r="G937" t="str">
            <v>5</v>
          </cell>
          <cell r="H937" t="str">
            <v>PROJECT</v>
          </cell>
          <cell r="I937" t="str">
            <v>56</v>
          </cell>
          <cell r="J937" t="str">
            <v>CPC1</v>
          </cell>
          <cell r="K937" t="str">
            <v>5602</v>
          </cell>
          <cell r="L937" t="str">
            <v>POLYFLOOR</v>
          </cell>
          <cell r="M937" t="str">
            <v>560202</v>
          </cell>
          <cell r="N937" t="str">
            <v>POLYFLOOR EPOXY</v>
          </cell>
        </row>
        <row r="938">
          <cell r="C938" t="str">
            <v>100002143</v>
          </cell>
          <cell r="D938" t="str">
            <v>PFM-222 VN-1.2K</v>
          </cell>
          <cell r="E938" t="str">
            <v>ZFGD</v>
          </cell>
          <cell r="F938" t="str">
            <v>PC</v>
          </cell>
          <cell r="G938" t="str">
            <v>5</v>
          </cell>
          <cell r="H938" t="str">
            <v>PROJECT</v>
          </cell>
          <cell r="I938" t="str">
            <v>56</v>
          </cell>
          <cell r="J938" t="str">
            <v>CPC1</v>
          </cell>
          <cell r="K938" t="str">
            <v>5602</v>
          </cell>
          <cell r="L938" t="str">
            <v>POLYFLOOR</v>
          </cell>
          <cell r="M938" t="str">
            <v>560202</v>
          </cell>
          <cell r="N938" t="str">
            <v>POLYFLOOR EPOXY</v>
          </cell>
        </row>
        <row r="939">
          <cell r="C939" t="str">
            <v>100002144</v>
          </cell>
          <cell r="D939" t="str">
            <v>PFM-222 VN-40KSP</v>
          </cell>
          <cell r="E939" t="str">
            <v>ZFGD</v>
          </cell>
          <cell r="F939" t="str">
            <v>SET</v>
          </cell>
          <cell r="G939" t="str">
            <v>5</v>
          </cell>
          <cell r="H939" t="str">
            <v>PROJECT</v>
          </cell>
          <cell r="I939" t="str">
            <v>56</v>
          </cell>
          <cell r="J939" t="str">
            <v>CPC1</v>
          </cell>
          <cell r="K939" t="str">
            <v>5602</v>
          </cell>
          <cell r="L939" t="str">
            <v>POLYFLOOR</v>
          </cell>
          <cell r="M939" t="str">
            <v>560202</v>
          </cell>
          <cell r="N939" t="str">
            <v>POLYFLOOR EPOXY</v>
          </cell>
        </row>
        <row r="940">
          <cell r="C940" t="str">
            <v>100002145</v>
          </cell>
          <cell r="D940" t="str">
            <v>PFM-222 VN-3K</v>
          </cell>
          <cell r="E940" t="str">
            <v>ZFGD</v>
          </cell>
          <cell r="F940" t="str">
            <v>PC</v>
          </cell>
          <cell r="G940" t="str">
            <v>5</v>
          </cell>
          <cell r="H940" t="str">
            <v>PROJECT</v>
          </cell>
          <cell r="I940" t="str">
            <v>56</v>
          </cell>
          <cell r="J940" t="str">
            <v>CPC1</v>
          </cell>
          <cell r="K940" t="str">
            <v>5602</v>
          </cell>
          <cell r="L940" t="str">
            <v>POLYFLOOR</v>
          </cell>
          <cell r="M940" t="str">
            <v>560202</v>
          </cell>
          <cell r="N940" t="str">
            <v>POLYFLOOR EPOXY</v>
          </cell>
        </row>
        <row r="941">
          <cell r="C941" t="str">
            <v>100002146</v>
          </cell>
          <cell r="D941" t="str">
            <v>PFM-222 SEALER VN-5KS</v>
          </cell>
          <cell r="E941" t="str">
            <v>ZFGD</v>
          </cell>
          <cell r="F941" t="str">
            <v>SET</v>
          </cell>
          <cell r="G941" t="str">
            <v>5</v>
          </cell>
          <cell r="H941" t="str">
            <v>PROJECT</v>
          </cell>
          <cell r="I941" t="str">
            <v>56</v>
          </cell>
          <cell r="J941" t="str">
            <v>CPC1</v>
          </cell>
          <cell r="K941" t="str">
            <v>5602</v>
          </cell>
          <cell r="L941" t="str">
            <v>POLYFLOOR</v>
          </cell>
          <cell r="M941" t="str">
            <v>560202</v>
          </cell>
          <cell r="N941" t="str">
            <v>POLYFLOOR EPOXY</v>
          </cell>
        </row>
        <row r="942">
          <cell r="C942" t="str">
            <v>100002147</v>
          </cell>
          <cell r="D942" t="str">
            <v>PFM-222 SEALER VN-3K</v>
          </cell>
          <cell r="E942" t="str">
            <v>ZFGD</v>
          </cell>
          <cell r="F942" t="str">
            <v>PC</v>
          </cell>
          <cell r="G942" t="str">
            <v>5</v>
          </cell>
          <cell r="H942" t="str">
            <v>PROJECT</v>
          </cell>
          <cell r="I942" t="str">
            <v>56</v>
          </cell>
          <cell r="J942" t="str">
            <v>CPC1</v>
          </cell>
          <cell r="K942" t="str">
            <v>5602</v>
          </cell>
          <cell r="L942" t="str">
            <v>POLYFLOOR</v>
          </cell>
          <cell r="M942" t="str">
            <v>560202</v>
          </cell>
          <cell r="N942" t="str">
            <v>POLYFLOOR EPOXY</v>
          </cell>
        </row>
        <row r="943">
          <cell r="C943" t="str">
            <v>100002148</v>
          </cell>
          <cell r="D943" t="str">
            <v>PFM-222 SEALER VN-20KSP</v>
          </cell>
          <cell r="E943" t="str">
            <v>ZFGD</v>
          </cell>
          <cell r="F943" t="str">
            <v>SET</v>
          </cell>
          <cell r="G943" t="str">
            <v>5</v>
          </cell>
          <cell r="H943" t="str">
            <v>PROJECT</v>
          </cell>
          <cell r="I943" t="str">
            <v>56</v>
          </cell>
          <cell r="J943" t="str">
            <v>CPC1</v>
          </cell>
          <cell r="K943" t="str">
            <v>5602</v>
          </cell>
          <cell r="L943" t="str">
            <v>POLYFLOOR</v>
          </cell>
          <cell r="M943" t="str">
            <v>560202</v>
          </cell>
          <cell r="N943" t="str">
            <v>POLYFLOOR EPOXY</v>
          </cell>
        </row>
        <row r="944">
          <cell r="C944" t="str">
            <v>100002149</v>
          </cell>
          <cell r="D944" t="str">
            <v>PFM-222 SEALER VN-12K</v>
          </cell>
          <cell r="E944" t="str">
            <v>ZFGD</v>
          </cell>
          <cell r="F944" t="str">
            <v>PC</v>
          </cell>
          <cell r="G944" t="str">
            <v>5</v>
          </cell>
          <cell r="H944" t="str">
            <v>PROJECT</v>
          </cell>
          <cell r="I944" t="str">
            <v>56</v>
          </cell>
          <cell r="J944" t="str">
            <v>CPC1</v>
          </cell>
          <cell r="K944" t="str">
            <v>5602</v>
          </cell>
          <cell r="L944" t="str">
            <v>POLYFLOOR</v>
          </cell>
          <cell r="M944" t="str">
            <v>560202</v>
          </cell>
          <cell r="N944" t="str">
            <v>POLYFLOOR EPOXY</v>
          </cell>
        </row>
        <row r="945">
          <cell r="C945" t="str">
            <v>100002150</v>
          </cell>
          <cell r="D945" t="str">
            <v>FILLER PFM-222 VN-14KZ</v>
          </cell>
          <cell r="E945" t="str">
            <v>ZFGD</v>
          </cell>
          <cell r="F945" t="str">
            <v>PC</v>
          </cell>
          <cell r="G945" t="str">
            <v>5</v>
          </cell>
          <cell r="H945" t="str">
            <v>PROJECT</v>
          </cell>
          <cell r="I945" t="str">
            <v>56</v>
          </cell>
          <cell r="J945" t="str">
            <v>CPC1</v>
          </cell>
          <cell r="K945" t="str">
            <v>5602</v>
          </cell>
          <cell r="L945" t="str">
            <v>POLYFLOOR</v>
          </cell>
          <cell r="M945" t="str">
            <v>560202</v>
          </cell>
          <cell r="N945" t="str">
            <v>POLYFLOOR EPOXY</v>
          </cell>
        </row>
        <row r="946">
          <cell r="C946" t="str">
            <v>100002151</v>
          </cell>
          <cell r="D946" t="str">
            <v>FILLER PFM-222 VN-17.5KZ</v>
          </cell>
          <cell r="E946" t="str">
            <v>ZFGD</v>
          </cell>
          <cell r="F946" t="str">
            <v>PC</v>
          </cell>
          <cell r="G946" t="str">
            <v>5</v>
          </cell>
          <cell r="H946" t="str">
            <v>PROJECT</v>
          </cell>
          <cell r="I946" t="str">
            <v>56</v>
          </cell>
          <cell r="J946" t="str">
            <v>CPC1</v>
          </cell>
          <cell r="K946" t="str">
            <v>5602</v>
          </cell>
          <cell r="L946" t="str">
            <v>POLYFLOOR</v>
          </cell>
          <cell r="M946" t="str">
            <v>560202</v>
          </cell>
          <cell r="N946" t="str">
            <v>POLYFLOOR EPOXY</v>
          </cell>
        </row>
        <row r="947">
          <cell r="C947" t="str">
            <v>100002152</v>
          </cell>
          <cell r="D947" t="str">
            <v>PFT-253 3K LIGHT GREEN TVT 01 VN-20KSP</v>
          </cell>
          <cell r="E947" t="str">
            <v>ZFGD</v>
          </cell>
          <cell r="F947" t="str">
            <v>SET</v>
          </cell>
          <cell r="G947" t="str">
            <v>5</v>
          </cell>
          <cell r="H947" t="str">
            <v>PROJECT</v>
          </cell>
          <cell r="I947" t="str">
            <v>56</v>
          </cell>
          <cell r="J947" t="str">
            <v>CPC1</v>
          </cell>
          <cell r="K947" t="str">
            <v>5602</v>
          </cell>
          <cell r="L947" t="str">
            <v>POLYFLOOR</v>
          </cell>
          <cell r="M947" t="str">
            <v>560202</v>
          </cell>
          <cell r="N947" t="str">
            <v>POLYFLOOR EPOXY</v>
          </cell>
        </row>
        <row r="948">
          <cell r="C948" t="str">
            <v>100002153</v>
          </cell>
          <cell r="D948" t="str">
            <v>PFT-253 3K LIGHT GREEN TVT 01 VN-8K</v>
          </cell>
          <cell r="E948" t="str">
            <v>ZFGD</v>
          </cell>
          <cell r="F948" t="str">
            <v>PC</v>
          </cell>
          <cell r="G948" t="str">
            <v>5</v>
          </cell>
          <cell r="H948" t="str">
            <v>PROJECT</v>
          </cell>
          <cell r="I948" t="str">
            <v>56</v>
          </cell>
          <cell r="J948" t="str">
            <v>CPC1</v>
          </cell>
          <cell r="K948" t="str">
            <v>5602</v>
          </cell>
          <cell r="L948" t="str">
            <v>POLYFLOOR</v>
          </cell>
          <cell r="M948" t="str">
            <v>560202</v>
          </cell>
          <cell r="N948" t="str">
            <v>POLYFLOOR EPOXY</v>
          </cell>
        </row>
        <row r="949">
          <cell r="C949" t="str">
            <v>100002154</v>
          </cell>
          <cell r="D949" t="str">
            <v>PFT-253 3K SPRING GREEN VN-20KSP</v>
          </cell>
          <cell r="E949" t="str">
            <v>ZFGD</v>
          </cell>
          <cell r="F949" t="str">
            <v>SET</v>
          </cell>
          <cell r="G949" t="str">
            <v>5</v>
          </cell>
          <cell r="H949" t="str">
            <v>PROJECT</v>
          </cell>
          <cell r="I949" t="str">
            <v>56</v>
          </cell>
          <cell r="J949" t="str">
            <v>CPC1</v>
          </cell>
          <cell r="K949" t="str">
            <v>5602</v>
          </cell>
          <cell r="L949" t="str">
            <v>POLYFLOOR</v>
          </cell>
          <cell r="M949" t="str">
            <v>560202</v>
          </cell>
          <cell r="N949" t="str">
            <v>POLYFLOOR EPOXY</v>
          </cell>
        </row>
        <row r="950">
          <cell r="C950" t="str">
            <v>100002155</v>
          </cell>
          <cell r="D950" t="str">
            <v>PFT-253 3K SPRING GREEN VN-8K</v>
          </cell>
          <cell r="E950" t="str">
            <v>ZFGD</v>
          </cell>
          <cell r="F950" t="str">
            <v>PC</v>
          </cell>
          <cell r="G950" t="str">
            <v>5</v>
          </cell>
          <cell r="H950" t="str">
            <v>PROJECT</v>
          </cell>
          <cell r="I950" t="str">
            <v>56</v>
          </cell>
          <cell r="J950" t="str">
            <v>CPC1</v>
          </cell>
          <cell r="K950" t="str">
            <v>5602</v>
          </cell>
          <cell r="L950" t="str">
            <v>POLYFLOOR</v>
          </cell>
          <cell r="M950" t="str">
            <v>560202</v>
          </cell>
          <cell r="N950" t="str">
            <v>POLYFLOOR EPOXY</v>
          </cell>
        </row>
        <row r="951">
          <cell r="C951" t="str">
            <v>100002156</v>
          </cell>
          <cell r="D951" t="str">
            <v>PFT-253 ISF LIGHT GREY II VN-20KSP</v>
          </cell>
          <cell r="E951" t="str">
            <v>ZFGD</v>
          </cell>
          <cell r="F951" t="str">
            <v>SET</v>
          </cell>
          <cell r="G951" t="str">
            <v>5</v>
          </cell>
          <cell r="H951" t="str">
            <v>PROJECT</v>
          </cell>
          <cell r="I951" t="str">
            <v>56</v>
          </cell>
          <cell r="J951" t="str">
            <v>CPC1</v>
          </cell>
          <cell r="K951" t="str">
            <v>5602</v>
          </cell>
          <cell r="L951" t="str">
            <v>POLYFLOOR</v>
          </cell>
          <cell r="M951" t="str">
            <v>560202</v>
          </cell>
          <cell r="N951" t="str">
            <v>POLYFLOOR EPOXY</v>
          </cell>
        </row>
        <row r="952">
          <cell r="C952" t="str">
            <v>100002157</v>
          </cell>
          <cell r="D952" t="str">
            <v>PFT-253 ISF LIGHT GREY II VN-16KP</v>
          </cell>
          <cell r="E952" t="str">
            <v>ZFGD</v>
          </cell>
          <cell r="F952" t="str">
            <v>PC</v>
          </cell>
          <cell r="G952" t="str">
            <v>5</v>
          </cell>
          <cell r="H952" t="str">
            <v>PROJECT</v>
          </cell>
          <cell r="I952" t="str">
            <v>56</v>
          </cell>
          <cell r="J952" t="str">
            <v>CPC1</v>
          </cell>
          <cell r="K952" t="str">
            <v>5602</v>
          </cell>
          <cell r="L952" t="str">
            <v>POLYFLOOR</v>
          </cell>
          <cell r="M952" t="str">
            <v>560202</v>
          </cell>
          <cell r="N952" t="str">
            <v>POLYFLOOR EPOXY</v>
          </cell>
        </row>
        <row r="953">
          <cell r="C953" t="str">
            <v>100002158</v>
          </cell>
          <cell r="D953" t="str">
            <v>PFT-253 ISF LIGHT GREY II VN-5KS</v>
          </cell>
          <cell r="E953" t="str">
            <v>ZFGD</v>
          </cell>
          <cell r="F953" t="str">
            <v>SET</v>
          </cell>
          <cell r="G953" t="str">
            <v>5</v>
          </cell>
          <cell r="H953" t="str">
            <v>PROJECT</v>
          </cell>
          <cell r="I953" t="str">
            <v>56</v>
          </cell>
          <cell r="J953" t="str">
            <v>CPC1</v>
          </cell>
          <cell r="K953" t="str">
            <v>5602</v>
          </cell>
          <cell r="L953" t="str">
            <v>POLYFLOOR</v>
          </cell>
          <cell r="M953" t="str">
            <v>560202</v>
          </cell>
          <cell r="N953" t="str">
            <v>POLYFLOOR EPOXY</v>
          </cell>
        </row>
        <row r="954">
          <cell r="C954" t="str">
            <v>100002159</v>
          </cell>
          <cell r="D954" t="str">
            <v>PFT-253 ISF LIGHT GREY II VN-4K</v>
          </cell>
          <cell r="E954" t="str">
            <v>ZFGD</v>
          </cell>
          <cell r="F954" t="str">
            <v>PC</v>
          </cell>
          <cell r="G954" t="str">
            <v>5</v>
          </cell>
          <cell r="H954" t="str">
            <v>PROJECT</v>
          </cell>
          <cell r="I954" t="str">
            <v>56</v>
          </cell>
          <cell r="J954" t="str">
            <v>CPC1</v>
          </cell>
          <cell r="K954" t="str">
            <v>5602</v>
          </cell>
          <cell r="L954" t="str">
            <v>POLYFLOOR</v>
          </cell>
          <cell r="M954" t="str">
            <v>560202</v>
          </cell>
          <cell r="N954" t="str">
            <v>POLYFLOOR EPOXY</v>
          </cell>
        </row>
        <row r="955">
          <cell r="C955" t="str">
            <v>100002160</v>
          </cell>
          <cell r="D955" t="str">
            <v>PFT-253 GREY DRG 4056 VN-20KSP</v>
          </cell>
          <cell r="E955" t="str">
            <v>ZFGD</v>
          </cell>
          <cell r="F955" t="str">
            <v>SET</v>
          </cell>
          <cell r="G955" t="str">
            <v>5</v>
          </cell>
          <cell r="H955" t="str">
            <v>PROJECT</v>
          </cell>
          <cell r="I955" t="str">
            <v>56</v>
          </cell>
          <cell r="J955" t="str">
            <v>CPC1</v>
          </cell>
          <cell r="K955" t="str">
            <v>5602</v>
          </cell>
          <cell r="L955" t="str">
            <v>POLYFLOOR</v>
          </cell>
          <cell r="M955" t="str">
            <v>560202</v>
          </cell>
          <cell r="N955" t="str">
            <v>POLYFLOOR EPOXY</v>
          </cell>
        </row>
        <row r="956">
          <cell r="C956" t="str">
            <v>100002161</v>
          </cell>
          <cell r="D956" t="str">
            <v>PFT-253 GREY DRG 4056 VN-16KP</v>
          </cell>
          <cell r="E956" t="str">
            <v>ZFGD</v>
          </cell>
          <cell r="F956" t="str">
            <v>PC</v>
          </cell>
          <cell r="G956" t="str">
            <v>5</v>
          </cell>
          <cell r="H956" t="str">
            <v>PROJECT</v>
          </cell>
          <cell r="I956" t="str">
            <v>56</v>
          </cell>
          <cell r="J956" t="str">
            <v>CPC1</v>
          </cell>
          <cell r="K956" t="str">
            <v>5602</v>
          </cell>
          <cell r="L956" t="str">
            <v>POLYFLOOR</v>
          </cell>
          <cell r="M956" t="str">
            <v>560202</v>
          </cell>
          <cell r="N956" t="str">
            <v>POLYFLOOR EPOXY</v>
          </cell>
        </row>
        <row r="957">
          <cell r="C957" t="str">
            <v>100002162</v>
          </cell>
          <cell r="D957" t="str">
            <v>PFT-253 GREY DRG 4056 VN-5KS</v>
          </cell>
          <cell r="E957" t="str">
            <v>ZFGD</v>
          </cell>
          <cell r="F957" t="str">
            <v>SET</v>
          </cell>
          <cell r="G957" t="str">
            <v>5</v>
          </cell>
          <cell r="H957" t="str">
            <v>PROJECT</v>
          </cell>
          <cell r="I957" t="str">
            <v>56</v>
          </cell>
          <cell r="J957" t="str">
            <v>CPC1</v>
          </cell>
          <cell r="K957" t="str">
            <v>5602</v>
          </cell>
          <cell r="L957" t="str">
            <v>POLYFLOOR</v>
          </cell>
          <cell r="M957" t="str">
            <v>560202</v>
          </cell>
          <cell r="N957" t="str">
            <v>POLYFLOOR EPOXY</v>
          </cell>
        </row>
        <row r="958">
          <cell r="C958" t="str">
            <v>100002163</v>
          </cell>
          <cell r="D958" t="str">
            <v>PFT-253 GREY DRG 4056 VN-4K</v>
          </cell>
          <cell r="E958" t="str">
            <v>ZFGD</v>
          </cell>
          <cell r="F958" t="str">
            <v>PC</v>
          </cell>
          <cell r="G958" t="str">
            <v>5</v>
          </cell>
          <cell r="H958" t="str">
            <v>PROJECT</v>
          </cell>
          <cell r="I958" t="str">
            <v>56</v>
          </cell>
          <cell r="J958" t="str">
            <v>CPC1</v>
          </cell>
          <cell r="K958" t="str">
            <v>5602</v>
          </cell>
          <cell r="L958" t="str">
            <v>POLYFLOOR</v>
          </cell>
          <cell r="M958" t="str">
            <v>560202</v>
          </cell>
          <cell r="N958" t="str">
            <v>POLYFLOOR EPOXY</v>
          </cell>
        </row>
        <row r="959">
          <cell r="C959" t="str">
            <v>100002164</v>
          </cell>
          <cell r="D959" t="str">
            <v>PFT-253 RED RAL 3028 VN-20KSP</v>
          </cell>
          <cell r="E959" t="str">
            <v>ZFGD</v>
          </cell>
          <cell r="F959" t="str">
            <v>SET</v>
          </cell>
          <cell r="G959" t="str">
            <v>5</v>
          </cell>
          <cell r="H959" t="str">
            <v>PROJECT</v>
          </cell>
          <cell r="I959" t="str">
            <v>56</v>
          </cell>
          <cell r="J959" t="str">
            <v>CPC1</v>
          </cell>
          <cell r="K959" t="str">
            <v>5602</v>
          </cell>
          <cell r="L959" t="str">
            <v>POLYFLOOR</v>
          </cell>
          <cell r="M959" t="str">
            <v>560202</v>
          </cell>
          <cell r="N959" t="str">
            <v>POLYFLOOR EPOXY</v>
          </cell>
        </row>
        <row r="960">
          <cell r="C960" t="str">
            <v>100002165</v>
          </cell>
          <cell r="D960" t="str">
            <v>PFT-253 RED RAL 3028 VN-16KP</v>
          </cell>
          <cell r="E960" t="str">
            <v>ZFGD</v>
          </cell>
          <cell r="F960" t="str">
            <v>PC</v>
          </cell>
          <cell r="G960" t="str">
            <v>5</v>
          </cell>
          <cell r="H960" t="str">
            <v>PROJECT</v>
          </cell>
          <cell r="I960" t="str">
            <v>56</v>
          </cell>
          <cell r="J960" t="str">
            <v>CPC1</v>
          </cell>
          <cell r="K960" t="str">
            <v>5602</v>
          </cell>
          <cell r="L960" t="str">
            <v>POLYFLOOR</v>
          </cell>
          <cell r="M960" t="str">
            <v>560202</v>
          </cell>
          <cell r="N960" t="str">
            <v>POLYFLOOR EPOXY</v>
          </cell>
        </row>
        <row r="961">
          <cell r="C961" t="str">
            <v>100002166</v>
          </cell>
          <cell r="D961" t="str">
            <v>PFT-253 RED RAL 3028 VN-5KS</v>
          </cell>
          <cell r="E961" t="str">
            <v>ZFGD</v>
          </cell>
          <cell r="F961" t="str">
            <v>SET</v>
          </cell>
          <cell r="G961" t="str">
            <v>5</v>
          </cell>
          <cell r="H961" t="str">
            <v>PROJECT</v>
          </cell>
          <cell r="I961" t="str">
            <v>56</v>
          </cell>
          <cell r="J961" t="str">
            <v>CPC1</v>
          </cell>
          <cell r="K961" t="str">
            <v>5602</v>
          </cell>
          <cell r="L961" t="str">
            <v>POLYFLOOR</v>
          </cell>
          <cell r="M961" t="str">
            <v>560202</v>
          </cell>
          <cell r="N961" t="str">
            <v>POLYFLOOR EPOXY</v>
          </cell>
        </row>
        <row r="962">
          <cell r="C962" t="str">
            <v>100002167</v>
          </cell>
          <cell r="D962" t="str">
            <v>PFT-253 RED RAL 3028 VN-4K</v>
          </cell>
          <cell r="E962" t="str">
            <v>ZFGD</v>
          </cell>
          <cell r="F962" t="str">
            <v>PC</v>
          </cell>
          <cell r="G962" t="str">
            <v>5</v>
          </cell>
          <cell r="H962" t="str">
            <v>PROJECT</v>
          </cell>
          <cell r="I962" t="str">
            <v>56</v>
          </cell>
          <cell r="J962" t="str">
            <v>CPC1</v>
          </cell>
          <cell r="K962" t="str">
            <v>5602</v>
          </cell>
          <cell r="L962" t="str">
            <v>POLYFLOOR</v>
          </cell>
          <cell r="M962" t="str">
            <v>560202</v>
          </cell>
          <cell r="N962" t="str">
            <v>POLYFLOOR EPOXY</v>
          </cell>
        </row>
        <row r="963">
          <cell r="C963" t="str">
            <v>100002168</v>
          </cell>
          <cell r="D963" t="str">
            <v>PFT-253 RAL 7046 VN-20KSP</v>
          </cell>
          <cell r="E963" t="str">
            <v>ZFGD</v>
          </cell>
          <cell r="F963" t="str">
            <v>SET</v>
          </cell>
          <cell r="G963" t="str">
            <v>5</v>
          </cell>
          <cell r="H963" t="str">
            <v>PROJECT</v>
          </cell>
          <cell r="I963" t="str">
            <v>56</v>
          </cell>
          <cell r="J963" t="str">
            <v>CPC1</v>
          </cell>
          <cell r="K963" t="str">
            <v>5602</v>
          </cell>
          <cell r="L963" t="str">
            <v>POLYFLOOR</v>
          </cell>
          <cell r="M963" t="str">
            <v>560202</v>
          </cell>
          <cell r="N963" t="str">
            <v>POLYFLOOR EPOXY</v>
          </cell>
        </row>
        <row r="964">
          <cell r="C964" t="str">
            <v>100002169</v>
          </cell>
          <cell r="D964" t="str">
            <v>PFT-253 RAL 7046 VN-16KP</v>
          </cell>
          <cell r="E964" t="str">
            <v>ZFGD</v>
          </cell>
          <cell r="F964" t="str">
            <v>PC</v>
          </cell>
          <cell r="G964" t="str">
            <v>5</v>
          </cell>
          <cell r="H964" t="str">
            <v>PROJECT</v>
          </cell>
          <cell r="I964" t="str">
            <v>56</v>
          </cell>
          <cell r="J964" t="str">
            <v>CPC1</v>
          </cell>
          <cell r="K964" t="str">
            <v>5602</v>
          </cell>
          <cell r="L964" t="str">
            <v>POLYFLOOR</v>
          </cell>
          <cell r="M964" t="str">
            <v>560202</v>
          </cell>
          <cell r="N964" t="str">
            <v>POLYFLOOR EPOXY</v>
          </cell>
        </row>
        <row r="965">
          <cell r="C965" t="str">
            <v>100002170</v>
          </cell>
          <cell r="D965" t="str">
            <v>PFT-253 RAL 7046 VN-5KS</v>
          </cell>
          <cell r="E965" t="str">
            <v>ZFGD</v>
          </cell>
          <cell r="F965" t="str">
            <v>SET</v>
          </cell>
          <cell r="G965" t="str">
            <v>5</v>
          </cell>
          <cell r="H965" t="str">
            <v>PROJECT</v>
          </cell>
          <cell r="I965" t="str">
            <v>56</v>
          </cell>
          <cell r="J965" t="str">
            <v>CPC1</v>
          </cell>
          <cell r="K965" t="str">
            <v>5602</v>
          </cell>
          <cell r="L965" t="str">
            <v>POLYFLOOR</v>
          </cell>
          <cell r="M965" t="str">
            <v>560202</v>
          </cell>
          <cell r="N965" t="str">
            <v>POLYFLOOR EPOXY</v>
          </cell>
        </row>
        <row r="966">
          <cell r="C966" t="str">
            <v>100002171</v>
          </cell>
          <cell r="D966" t="str">
            <v>PFT-253 RAL 7046 VN-4K</v>
          </cell>
          <cell r="E966" t="str">
            <v>ZFGD</v>
          </cell>
          <cell r="F966" t="str">
            <v>PC</v>
          </cell>
          <cell r="G966" t="str">
            <v>5</v>
          </cell>
          <cell r="H966" t="str">
            <v>PROJECT</v>
          </cell>
          <cell r="I966" t="str">
            <v>56</v>
          </cell>
          <cell r="J966" t="str">
            <v>CPC1</v>
          </cell>
          <cell r="K966" t="str">
            <v>5602</v>
          </cell>
          <cell r="L966" t="str">
            <v>POLYFLOOR</v>
          </cell>
          <cell r="M966" t="str">
            <v>560202</v>
          </cell>
          <cell r="N966" t="str">
            <v>POLYFLOOR EPOXY</v>
          </cell>
        </row>
        <row r="967">
          <cell r="C967" t="str">
            <v>100002172</v>
          </cell>
          <cell r="D967" t="str">
            <v>UPR-960 BLACK 9406 VN-1K</v>
          </cell>
          <cell r="E967" t="str">
            <v>ZFGD</v>
          </cell>
          <cell r="F967" t="str">
            <v>PC</v>
          </cell>
          <cell r="G967" t="str">
            <v>2</v>
          </cell>
          <cell r="H967" t="str">
            <v>RETAIL</v>
          </cell>
          <cell r="I967" t="str">
            <v>2D</v>
          </cell>
          <cell r="J967" t="str">
            <v>APCT2</v>
          </cell>
          <cell r="K967" t="str">
            <v>2D01</v>
          </cell>
          <cell r="L967" t="str">
            <v>ULTRAPROOF</v>
          </cell>
          <cell r="M967" t="str">
            <v>2D0101</v>
          </cell>
          <cell r="N967" t="str">
            <v>ULTRAPROOF RMX</v>
          </cell>
        </row>
        <row r="968">
          <cell r="C968" t="str">
            <v>100002173</v>
          </cell>
          <cell r="D968" t="str">
            <v>UPR-960 DARK BROWN 2406 VN-1K</v>
          </cell>
          <cell r="E968" t="str">
            <v>ZFGD</v>
          </cell>
          <cell r="F968" t="str">
            <v>PC</v>
          </cell>
          <cell r="G968" t="str">
            <v>2</v>
          </cell>
          <cell r="H968" t="str">
            <v>RETAIL</v>
          </cell>
          <cell r="I968" t="str">
            <v>2D</v>
          </cell>
          <cell r="J968" t="str">
            <v>APCT2</v>
          </cell>
          <cell r="K968" t="str">
            <v>2D01</v>
          </cell>
          <cell r="L968" t="str">
            <v>ULTRAPROOF</v>
          </cell>
          <cell r="M968" t="str">
            <v>2D0101</v>
          </cell>
          <cell r="N968" t="str">
            <v>ULTRAPROOF RMX</v>
          </cell>
        </row>
        <row r="969">
          <cell r="C969" t="str">
            <v>100002174</v>
          </cell>
          <cell r="D969" t="str">
            <v>UPR-960 HARVEST 3404 VN-1K</v>
          </cell>
          <cell r="E969" t="str">
            <v>ZFGD</v>
          </cell>
          <cell r="F969" t="str">
            <v>PC</v>
          </cell>
          <cell r="G969" t="str">
            <v>2</v>
          </cell>
          <cell r="H969" t="str">
            <v>RETAIL</v>
          </cell>
          <cell r="I969" t="str">
            <v>2D</v>
          </cell>
          <cell r="J969" t="str">
            <v>APCT2</v>
          </cell>
          <cell r="K969" t="str">
            <v>2D01</v>
          </cell>
          <cell r="L969" t="str">
            <v>ULTRAPROOF</v>
          </cell>
          <cell r="M969" t="str">
            <v>2D0101</v>
          </cell>
          <cell r="N969" t="str">
            <v>ULTRAPROOF RMX</v>
          </cell>
        </row>
        <row r="970">
          <cell r="C970" t="str">
            <v>100002175</v>
          </cell>
          <cell r="D970" t="str">
            <v>UPR-960 LIGHT GREY 7114 VN-1K</v>
          </cell>
          <cell r="E970" t="str">
            <v>ZFGD</v>
          </cell>
          <cell r="F970" t="str">
            <v>PC</v>
          </cell>
          <cell r="G970" t="str">
            <v>2</v>
          </cell>
          <cell r="H970" t="str">
            <v>RETAIL</v>
          </cell>
          <cell r="I970" t="str">
            <v>2D</v>
          </cell>
          <cell r="J970" t="str">
            <v>APCT2</v>
          </cell>
          <cell r="K970" t="str">
            <v>2D01</v>
          </cell>
          <cell r="L970" t="str">
            <v>ULTRAPROOF</v>
          </cell>
          <cell r="M970" t="str">
            <v>2D0101</v>
          </cell>
          <cell r="N970" t="str">
            <v>ULTRAPROOF RMX</v>
          </cell>
        </row>
        <row r="971">
          <cell r="C971" t="str">
            <v>100002176</v>
          </cell>
          <cell r="D971" t="str">
            <v>UPR-960 WHITE 9101 VN-1K</v>
          </cell>
          <cell r="E971" t="str">
            <v>ZFGD</v>
          </cell>
          <cell r="F971" t="str">
            <v>PC</v>
          </cell>
          <cell r="G971" t="str">
            <v>2</v>
          </cell>
          <cell r="H971" t="str">
            <v>RETAIL</v>
          </cell>
          <cell r="I971" t="str">
            <v>2D</v>
          </cell>
          <cell r="J971" t="str">
            <v>APCT2</v>
          </cell>
          <cell r="K971" t="str">
            <v>2D01</v>
          </cell>
          <cell r="L971" t="str">
            <v>ULTRAPROOF</v>
          </cell>
          <cell r="M971" t="str">
            <v>2D0101</v>
          </cell>
          <cell r="N971" t="str">
            <v>ULTRAPROOF RMX</v>
          </cell>
        </row>
        <row r="972">
          <cell r="C972" t="str">
            <v>100002177</v>
          </cell>
          <cell r="D972" t="str">
            <v>UPR-960 ARMY GREEN 7414 VN-1K</v>
          </cell>
          <cell r="E972" t="str">
            <v>ZFGD</v>
          </cell>
          <cell r="F972" t="str">
            <v>PC</v>
          </cell>
          <cell r="G972" t="str">
            <v>2</v>
          </cell>
          <cell r="H972" t="str">
            <v>RETAIL</v>
          </cell>
          <cell r="I972" t="str">
            <v>2D</v>
          </cell>
          <cell r="J972" t="str">
            <v>APCT2</v>
          </cell>
          <cell r="K972" t="str">
            <v>2D01</v>
          </cell>
          <cell r="L972" t="str">
            <v>ULTRAPROOF</v>
          </cell>
          <cell r="M972" t="str">
            <v>2D0101</v>
          </cell>
          <cell r="N972" t="str">
            <v>ULTRAPROOF RMX</v>
          </cell>
        </row>
        <row r="973">
          <cell r="C973" t="str">
            <v>100002178</v>
          </cell>
          <cell r="D973" t="str">
            <v>UPR-960 PASTEL GREY 8403 VN-1K</v>
          </cell>
          <cell r="E973" t="str">
            <v>ZFGD</v>
          </cell>
          <cell r="F973" t="str">
            <v>PC</v>
          </cell>
          <cell r="G973" t="str">
            <v>2</v>
          </cell>
          <cell r="H973" t="str">
            <v>RETAIL</v>
          </cell>
          <cell r="I973" t="str">
            <v>2D</v>
          </cell>
          <cell r="J973" t="str">
            <v>APCT2</v>
          </cell>
          <cell r="K973" t="str">
            <v>2D01</v>
          </cell>
          <cell r="L973" t="str">
            <v>ULTRAPROOF</v>
          </cell>
          <cell r="M973" t="str">
            <v>2D0101</v>
          </cell>
          <cell r="N973" t="str">
            <v>ULTRAPROOF RMX</v>
          </cell>
        </row>
        <row r="974">
          <cell r="C974" t="str">
            <v>100002179</v>
          </cell>
          <cell r="D974" t="str">
            <v>UPR-960 APRICOT 1141 VN-1K</v>
          </cell>
          <cell r="E974" t="str">
            <v>ZFGD</v>
          </cell>
          <cell r="F974" t="str">
            <v>PC</v>
          </cell>
          <cell r="G974" t="str">
            <v>2</v>
          </cell>
          <cell r="H974" t="str">
            <v>RETAIL</v>
          </cell>
          <cell r="I974" t="str">
            <v>2D</v>
          </cell>
          <cell r="J974" t="str">
            <v>APCT2</v>
          </cell>
          <cell r="K974" t="str">
            <v>2D01</v>
          </cell>
          <cell r="L974" t="str">
            <v>ULTRAPROOF</v>
          </cell>
          <cell r="M974" t="str">
            <v>2D0101</v>
          </cell>
          <cell r="N974" t="str">
            <v>ULTRAPROOF RMX</v>
          </cell>
        </row>
        <row r="975">
          <cell r="C975" t="str">
            <v>100002180</v>
          </cell>
          <cell r="D975" t="str">
            <v>UPR-960 SKY BLUE 7101 VN-1K</v>
          </cell>
          <cell r="E975" t="str">
            <v>ZFGD</v>
          </cell>
          <cell r="F975" t="str">
            <v>PC</v>
          </cell>
          <cell r="G975" t="str">
            <v>2</v>
          </cell>
          <cell r="H975" t="str">
            <v>RETAIL</v>
          </cell>
          <cell r="I975" t="str">
            <v>2D</v>
          </cell>
          <cell r="J975" t="str">
            <v>APCT2</v>
          </cell>
          <cell r="K975" t="str">
            <v>2D01</v>
          </cell>
          <cell r="L975" t="str">
            <v>ULTRAPROOF</v>
          </cell>
          <cell r="M975" t="str">
            <v>2D0101</v>
          </cell>
          <cell r="N975" t="str">
            <v>ULTRAPROOF RMX</v>
          </cell>
        </row>
        <row r="976">
          <cell r="C976" t="str">
            <v>100002181</v>
          </cell>
          <cell r="D976" t="str">
            <v>UPR-960 MARINE GREEN 7107 VN-1K</v>
          </cell>
          <cell r="E976" t="str">
            <v>ZFGD</v>
          </cell>
          <cell r="F976" t="str">
            <v>PC</v>
          </cell>
          <cell r="G976" t="str">
            <v>2</v>
          </cell>
          <cell r="H976" t="str">
            <v>RETAIL</v>
          </cell>
          <cell r="I976" t="str">
            <v>2D</v>
          </cell>
          <cell r="J976" t="str">
            <v>APCT2</v>
          </cell>
          <cell r="K976" t="str">
            <v>2D01</v>
          </cell>
          <cell r="L976" t="str">
            <v>ULTRAPROOF</v>
          </cell>
          <cell r="M976" t="str">
            <v>2D0101</v>
          </cell>
          <cell r="N976" t="str">
            <v>ULTRAPROOF RMX</v>
          </cell>
        </row>
        <row r="977">
          <cell r="C977" t="str">
            <v>100002182</v>
          </cell>
          <cell r="D977" t="str">
            <v>UPR-960 BLUE MYSTERY 0041 VN-1K</v>
          </cell>
          <cell r="E977" t="str">
            <v>ZFGD</v>
          </cell>
          <cell r="F977" t="str">
            <v>PC</v>
          </cell>
          <cell r="G977" t="str">
            <v>2</v>
          </cell>
          <cell r="H977" t="str">
            <v>RETAIL</v>
          </cell>
          <cell r="I977" t="str">
            <v>2D</v>
          </cell>
          <cell r="J977" t="str">
            <v>APCT2</v>
          </cell>
          <cell r="K977" t="str">
            <v>2D01</v>
          </cell>
          <cell r="L977" t="str">
            <v>ULTRAPROOF</v>
          </cell>
          <cell r="M977" t="str">
            <v>2D0101</v>
          </cell>
          <cell r="N977" t="str">
            <v>ULTRAPROOF RMX</v>
          </cell>
        </row>
        <row r="978">
          <cell r="C978" t="str">
            <v>100002183</v>
          </cell>
          <cell r="D978" t="str">
            <v>UPR-960 PRIME GREY 0044 VN-1K</v>
          </cell>
          <cell r="E978" t="str">
            <v>ZFGD</v>
          </cell>
          <cell r="F978" t="str">
            <v>PC</v>
          </cell>
          <cell r="G978" t="str">
            <v>2</v>
          </cell>
          <cell r="H978" t="str">
            <v>RETAIL</v>
          </cell>
          <cell r="I978" t="str">
            <v>2D</v>
          </cell>
          <cell r="J978" t="str">
            <v>APCT2</v>
          </cell>
          <cell r="K978" t="str">
            <v>2D01</v>
          </cell>
          <cell r="L978" t="str">
            <v>ULTRAPROOF</v>
          </cell>
          <cell r="M978" t="str">
            <v>2D0101</v>
          </cell>
          <cell r="N978" t="str">
            <v>ULTRAPROOF RMX</v>
          </cell>
        </row>
        <row r="979">
          <cell r="C979" t="str">
            <v>100002184</v>
          </cell>
          <cell r="D979" t="str">
            <v>UPR-960 SAND STONE 0045 VN-1K</v>
          </cell>
          <cell r="E979" t="str">
            <v>ZFGD</v>
          </cell>
          <cell r="F979" t="str">
            <v>PC</v>
          </cell>
          <cell r="G979" t="str">
            <v>2</v>
          </cell>
          <cell r="H979" t="str">
            <v>RETAIL</v>
          </cell>
          <cell r="I979" t="str">
            <v>2D</v>
          </cell>
          <cell r="J979" t="str">
            <v>APCT2</v>
          </cell>
          <cell r="K979" t="str">
            <v>2D01</v>
          </cell>
          <cell r="L979" t="str">
            <v>ULTRAPROOF</v>
          </cell>
          <cell r="M979" t="str">
            <v>2D0101</v>
          </cell>
          <cell r="N979" t="str">
            <v>ULTRAPROOF RMX</v>
          </cell>
        </row>
        <row r="980">
          <cell r="C980" t="str">
            <v>100002185</v>
          </cell>
          <cell r="D980" t="str">
            <v>UPR-960 SUNKISS 0046 VN-1K</v>
          </cell>
          <cell r="E980" t="str">
            <v>ZFGD</v>
          </cell>
          <cell r="F980" t="str">
            <v>PC</v>
          </cell>
          <cell r="G980" t="str">
            <v>2</v>
          </cell>
          <cell r="H980" t="str">
            <v>RETAIL</v>
          </cell>
          <cell r="I980" t="str">
            <v>2D</v>
          </cell>
          <cell r="J980" t="str">
            <v>APCT2</v>
          </cell>
          <cell r="K980" t="str">
            <v>2D01</v>
          </cell>
          <cell r="L980" t="str">
            <v>ULTRAPROOF</v>
          </cell>
          <cell r="M980" t="str">
            <v>2D0101</v>
          </cell>
          <cell r="N980" t="str">
            <v>ULTRAPROOF RMX</v>
          </cell>
        </row>
        <row r="981">
          <cell r="C981" t="str">
            <v>100002186</v>
          </cell>
          <cell r="D981" t="str">
            <v>UPR-960 SUMMER SALAD 0065 VN-1K</v>
          </cell>
          <cell r="E981" t="str">
            <v>ZFGD</v>
          </cell>
          <cell r="F981" t="str">
            <v>PC</v>
          </cell>
          <cell r="G981" t="str">
            <v>2</v>
          </cell>
          <cell r="H981" t="str">
            <v>RETAIL</v>
          </cell>
          <cell r="I981" t="str">
            <v>2D</v>
          </cell>
          <cell r="J981" t="str">
            <v>APCT2</v>
          </cell>
          <cell r="K981" t="str">
            <v>2D01</v>
          </cell>
          <cell r="L981" t="str">
            <v>ULTRAPROOF</v>
          </cell>
          <cell r="M981" t="str">
            <v>2D0101</v>
          </cell>
          <cell r="N981" t="str">
            <v>ULTRAPROOF RMX</v>
          </cell>
        </row>
        <row r="982">
          <cell r="C982" t="str">
            <v>100002187</v>
          </cell>
          <cell r="D982" t="str">
            <v>UPR-960 CAPPUCINO 0067 VN-1K</v>
          </cell>
          <cell r="E982" t="str">
            <v>ZFGD</v>
          </cell>
          <cell r="F982" t="str">
            <v>PC</v>
          </cell>
          <cell r="G982" t="str">
            <v>2</v>
          </cell>
          <cell r="H982" t="str">
            <v>RETAIL</v>
          </cell>
          <cell r="I982" t="str">
            <v>2D</v>
          </cell>
          <cell r="J982" t="str">
            <v>APCT2</v>
          </cell>
          <cell r="K982" t="str">
            <v>2D01</v>
          </cell>
          <cell r="L982" t="str">
            <v>ULTRAPROOF</v>
          </cell>
          <cell r="M982" t="str">
            <v>2D0101</v>
          </cell>
          <cell r="N982" t="str">
            <v>ULTRAPROOF RMX</v>
          </cell>
        </row>
        <row r="983">
          <cell r="C983" t="str">
            <v>100002188</v>
          </cell>
          <cell r="D983" t="str">
            <v>MX-94 ORANGE TD 01 VN-5KS</v>
          </cell>
          <cell r="E983" t="str">
            <v>ZFGD</v>
          </cell>
          <cell r="F983" t="str">
            <v>SET</v>
          </cell>
          <cell r="G983" t="str">
            <v>5</v>
          </cell>
          <cell r="H983" t="str">
            <v>PROJECT</v>
          </cell>
          <cell r="I983" t="str">
            <v>56</v>
          </cell>
          <cell r="J983" t="str">
            <v>CPC1</v>
          </cell>
          <cell r="K983" t="str">
            <v>5603</v>
          </cell>
          <cell r="L983" t="str">
            <v>MULTIPOX</v>
          </cell>
          <cell r="M983" t="str">
            <v>560301</v>
          </cell>
          <cell r="N983" t="str">
            <v>MULTIPOX</v>
          </cell>
        </row>
        <row r="984">
          <cell r="C984" t="str">
            <v>100002189</v>
          </cell>
          <cell r="D984" t="str">
            <v>MX-94 ORANGE TD 01 VN-4K</v>
          </cell>
          <cell r="E984" t="str">
            <v>ZFGD</v>
          </cell>
          <cell r="F984" t="str">
            <v>PC</v>
          </cell>
          <cell r="G984" t="str">
            <v>5</v>
          </cell>
          <cell r="H984" t="str">
            <v>PROJECT</v>
          </cell>
          <cell r="I984" t="str">
            <v>56</v>
          </cell>
          <cell r="J984" t="str">
            <v>CPC1</v>
          </cell>
          <cell r="K984" t="str">
            <v>5603</v>
          </cell>
          <cell r="L984" t="str">
            <v>MULTIPOX</v>
          </cell>
          <cell r="M984" t="str">
            <v>560301</v>
          </cell>
          <cell r="N984" t="str">
            <v>MULTIPOX</v>
          </cell>
        </row>
        <row r="985">
          <cell r="C985" t="str">
            <v>100002190</v>
          </cell>
          <cell r="D985" t="str">
            <v>MX-94 ORANGE TD 01 VN-20KSP</v>
          </cell>
          <cell r="E985" t="str">
            <v>ZFGD</v>
          </cell>
          <cell r="F985" t="str">
            <v>SET</v>
          </cell>
          <cell r="G985" t="str">
            <v>5</v>
          </cell>
          <cell r="H985" t="str">
            <v>PROJECT</v>
          </cell>
          <cell r="I985" t="str">
            <v>56</v>
          </cell>
          <cell r="J985" t="str">
            <v>CPC1</v>
          </cell>
          <cell r="K985" t="str">
            <v>5603</v>
          </cell>
          <cell r="L985" t="str">
            <v>MULTIPOX</v>
          </cell>
          <cell r="M985" t="str">
            <v>560301</v>
          </cell>
          <cell r="N985" t="str">
            <v>MULTIPOX</v>
          </cell>
        </row>
        <row r="986">
          <cell r="C986" t="str">
            <v>100002191</v>
          </cell>
          <cell r="D986" t="str">
            <v>MX-94 ORANGE TD 01 VN-16KP</v>
          </cell>
          <cell r="E986" t="str">
            <v>ZFGD</v>
          </cell>
          <cell r="F986" t="str">
            <v>PC</v>
          </cell>
          <cell r="G986" t="str">
            <v>5</v>
          </cell>
          <cell r="H986" t="str">
            <v>PROJECT</v>
          </cell>
          <cell r="I986" t="str">
            <v>56</v>
          </cell>
          <cell r="J986" t="str">
            <v>CPC1</v>
          </cell>
          <cell r="K986" t="str">
            <v>5603</v>
          </cell>
          <cell r="L986" t="str">
            <v>MULTIPOX</v>
          </cell>
          <cell r="M986" t="str">
            <v>560301</v>
          </cell>
          <cell r="N986" t="str">
            <v>MULTIPOX</v>
          </cell>
        </row>
        <row r="987">
          <cell r="C987" t="str">
            <v>100002192</v>
          </cell>
          <cell r="D987" t="str">
            <v>AP-281-01 RED OXIDE VN-18KP</v>
          </cell>
          <cell r="E987" t="str">
            <v>ZFGD</v>
          </cell>
          <cell r="F987" t="str">
            <v>PC</v>
          </cell>
          <cell r="G987" t="str">
            <v>5</v>
          </cell>
          <cell r="H987" t="str">
            <v>PROJECT</v>
          </cell>
          <cell r="I987" t="str">
            <v>59</v>
          </cell>
          <cell r="J987" t="str">
            <v>MPC</v>
          </cell>
          <cell r="K987" t="str">
            <v>5904</v>
          </cell>
          <cell r="L987" t="str">
            <v>METALKOTE</v>
          </cell>
          <cell r="M987" t="str">
            <v>590401</v>
          </cell>
          <cell r="N987" t="str">
            <v>METALKOTE-ALKYD SYS</v>
          </cell>
        </row>
        <row r="988">
          <cell r="C988" t="str">
            <v>100002193</v>
          </cell>
          <cell r="D988" t="str">
            <v>THINNER PT VN-3.8L</v>
          </cell>
          <cell r="E988" t="str">
            <v>ZFGD</v>
          </cell>
          <cell r="F988" t="str">
            <v>PC</v>
          </cell>
          <cell r="G988" t="str">
            <v>2</v>
          </cell>
          <cell r="H988" t="str">
            <v>RETAIL</v>
          </cell>
          <cell r="I988" t="str">
            <v>29</v>
          </cell>
          <cell r="J988" t="str">
            <v>MPC</v>
          </cell>
          <cell r="K988" t="str">
            <v>2915</v>
          </cell>
          <cell r="L988" t="str">
            <v>THINNER</v>
          </cell>
          <cell r="M988" t="str">
            <v>291502</v>
          </cell>
          <cell r="N988" t="str">
            <v>THINNER MPC</v>
          </cell>
        </row>
        <row r="989">
          <cell r="C989" t="str">
            <v>100002194</v>
          </cell>
          <cell r="D989" t="str">
            <v>THINNER PT VN-20LP</v>
          </cell>
          <cell r="E989" t="str">
            <v>ZFGD</v>
          </cell>
          <cell r="F989" t="str">
            <v>PC</v>
          </cell>
          <cell r="G989" t="str">
            <v>2</v>
          </cell>
          <cell r="H989" t="str">
            <v>RETAIL</v>
          </cell>
          <cell r="I989" t="str">
            <v>29</v>
          </cell>
          <cell r="J989" t="str">
            <v>MPC</v>
          </cell>
          <cell r="K989" t="str">
            <v>2915</v>
          </cell>
          <cell r="L989" t="str">
            <v>THINNER</v>
          </cell>
          <cell r="M989" t="str">
            <v>291502</v>
          </cell>
          <cell r="N989" t="str">
            <v>THINNER MPC</v>
          </cell>
        </row>
        <row r="990">
          <cell r="C990" t="str">
            <v>100002195</v>
          </cell>
          <cell r="D990" t="str">
            <v>HARDENER PFM-222 VN-0.8K</v>
          </cell>
          <cell r="E990" t="str">
            <v>ZFGD</v>
          </cell>
          <cell r="F990" t="str">
            <v>PC</v>
          </cell>
          <cell r="G990" t="str">
            <v>5</v>
          </cell>
          <cell r="H990" t="str">
            <v>PROJECT</v>
          </cell>
          <cell r="I990" t="str">
            <v>56</v>
          </cell>
          <cell r="J990" t="str">
            <v>CPC1</v>
          </cell>
          <cell r="K990" t="str">
            <v>5607</v>
          </cell>
          <cell r="L990" t="str">
            <v>OTHERS CPC1</v>
          </cell>
          <cell r="M990" t="str">
            <v>560703</v>
          </cell>
          <cell r="N990" t="str">
            <v>COMPLEMENTARY CPC1</v>
          </cell>
        </row>
        <row r="991">
          <cell r="C991" t="str">
            <v>100002196</v>
          </cell>
          <cell r="D991" t="str">
            <v>HARDENER PFM-222 VN-2K</v>
          </cell>
          <cell r="E991" t="str">
            <v>ZFGD</v>
          </cell>
          <cell r="F991" t="str">
            <v>PC</v>
          </cell>
          <cell r="G991" t="str">
            <v>5</v>
          </cell>
          <cell r="H991" t="str">
            <v>PROJECT</v>
          </cell>
          <cell r="I991" t="str">
            <v>56</v>
          </cell>
          <cell r="J991" t="str">
            <v>CPC1</v>
          </cell>
          <cell r="K991" t="str">
            <v>5607</v>
          </cell>
          <cell r="L991" t="str">
            <v>OTHERS CPC1</v>
          </cell>
          <cell r="M991" t="str">
            <v>560703</v>
          </cell>
          <cell r="N991" t="str">
            <v>COMPLEMENTARY CPC1</v>
          </cell>
        </row>
        <row r="992">
          <cell r="C992" t="str">
            <v>100002197</v>
          </cell>
          <cell r="D992" t="str">
            <v>HARDENER PFM-222 SEALER VN-2K</v>
          </cell>
          <cell r="E992" t="str">
            <v>ZFGD</v>
          </cell>
          <cell r="F992" t="str">
            <v>PC</v>
          </cell>
          <cell r="G992" t="str">
            <v>5</v>
          </cell>
          <cell r="H992" t="str">
            <v>PROJECT</v>
          </cell>
          <cell r="I992" t="str">
            <v>56</v>
          </cell>
          <cell r="J992" t="str">
            <v>CPC1</v>
          </cell>
          <cell r="K992" t="str">
            <v>5607</v>
          </cell>
          <cell r="L992" t="str">
            <v>OTHERS CPC1</v>
          </cell>
          <cell r="M992" t="str">
            <v>560703</v>
          </cell>
          <cell r="N992" t="str">
            <v>COMPLEMENTARY CPC1</v>
          </cell>
        </row>
        <row r="993">
          <cell r="C993" t="str">
            <v>100002198</v>
          </cell>
          <cell r="D993" t="str">
            <v>HARDENER PFM-222 SEALER VN-4K</v>
          </cell>
          <cell r="E993" t="str">
            <v>ZFGD</v>
          </cell>
          <cell r="F993" t="str">
            <v>PC</v>
          </cell>
          <cell r="G993" t="str">
            <v>5</v>
          </cell>
          <cell r="H993" t="str">
            <v>PROJECT</v>
          </cell>
          <cell r="I993" t="str">
            <v>56</v>
          </cell>
          <cell r="J993" t="str">
            <v>CPC1</v>
          </cell>
          <cell r="K993" t="str">
            <v>5607</v>
          </cell>
          <cell r="L993" t="str">
            <v>OTHERS CPC1</v>
          </cell>
          <cell r="M993" t="str">
            <v>560703</v>
          </cell>
          <cell r="N993" t="str">
            <v>COMPLEMENTARY CPC1</v>
          </cell>
        </row>
        <row r="994">
          <cell r="C994" t="str">
            <v>100002199</v>
          </cell>
          <cell r="D994" t="str">
            <v>HARDENER PFT-253 FKW VN-1K</v>
          </cell>
          <cell r="E994" t="str">
            <v>ZFGD</v>
          </cell>
          <cell r="F994" t="str">
            <v>PC</v>
          </cell>
          <cell r="G994" t="str">
            <v>5</v>
          </cell>
          <cell r="H994" t="str">
            <v>PROJECT</v>
          </cell>
          <cell r="I994" t="str">
            <v>56</v>
          </cell>
          <cell r="J994" t="str">
            <v>CPC1</v>
          </cell>
          <cell r="K994" t="str">
            <v>5607</v>
          </cell>
          <cell r="L994" t="str">
            <v>OTHERS CPC1</v>
          </cell>
          <cell r="M994" t="str">
            <v>560703</v>
          </cell>
          <cell r="N994" t="str">
            <v>COMPLEMENTARY CPC1</v>
          </cell>
        </row>
        <row r="995">
          <cell r="C995" t="str">
            <v>100002200</v>
          </cell>
          <cell r="D995" t="str">
            <v>HARDENER PFT-253 FKW VN-4K</v>
          </cell>
          <cell r="E995" t="str">
            <v>ZFGD</v>
          </cell>
          <cell r="F995" t="str">
            <v>PC</v>
          </cell>
          <cell r="G995" t="str">
            <v>5</v>
          </cell>
          <cell r="H995" t="str">
            <v>PROJECT</v>
          </cell>
          <cell r="I995" t="str">
            <v>56</v>
          </cell>
          <cell r="J995" t="str">
            <v>CPC1</v>
          </cell>
          <cell r="K995" t="str">
            <v>5607</v>
          </cell>
          <cell r="L995" t="str">
            <v>OTHERS CPC1</v>
          </cell>
          <cell r="M995" t="str">
            <v>560703</v>
          </cell>
          <cell r="N995" t="str">
            <v>COMPLEMENTARY CPC1</v>
          </cell>
        </row>
        <row r="996">
          <cell r="C996" t="str">
            <v>100002201</v>
          </cell>
          <cell r="D996" t="str">
            <v>PROPAN STONE CARE SC-50 SB GLOSS VN-1L</v>
          </cell>
          <cell r="E996" t="str">
            <v>ZFGD</v>
          </cell>
          <cell r="F996" t="str">
            <v>PC</v>
          </cell>
          <cell r="G996" t="str">
            <v>2</v>
          </cell>
          <cell r="H996" t="str">
            <v>RETAIL</v>
          </cell>
          <cell r="I996" t="str">
            <v>26</v>
          </cell>
          <cell r="J996" t="str">
            <v>SFC</v>
          </cell>
          <cell r="K996" t="str">
            <v>2601</v>
          </cell>
          <cell r="L996" t="str">
            <v>STONE CARE</v>
          </cell>
          <cell r="M996" t="str">
            <v>260101</v>
          </cell>
          <cell r="N996" t="str">
            <v>PROPAN STONE CARE</v>
          </cell>
        </row>
        <row r="997">
          <cell r="C997" t="str">
            <v>100002202</v>
          </cell>
          <cell r="D997" t="str">
            <v>DCL-125 WHITE GLOSS VN-0.9K</v>
          </cell>
          <cell r="E997" t="str">
            <v>ZFGD</v>
          </cell>
          <cell r="F997" t="str">
            <v>PC</v>
          </cell>
          <cell r="G997" t="str">
            <v>2</v>
          </cell>
          <cell r="H997" t="str">
            <v>RETAIL</v>
          </cell>
          <cell r="I997" t="str">
            <v>22</v>
          </cell>
          <cell r="J997" t="str">
            <v>WF2</v>
          </cell>
          <cell r="K997" t="str">
            <v>2208</v>
          </cell>
          <cell r="L997" t="str">
            <v>ACRYLUX</v>
          </cell>
          <cell r="M997" t="str">
            <v>220801</v>
          </cell>
          <cell r="N997" t="str">
            <v>ACRYLUX RMX</v>
          </cell>
        </row>
        <row r="998">
          <cell r="C998" t="str">
            <v>100002203</v>
          </cell>
          <cell r="D998" t="str">
            <v>DCL-125 WHITE GLOSS VN-4K</v>
          </cell>
          <cell r="E998" t="str">
            <v>ZFGD</v>
          </cell>
          <cell r="F998" t="str">
            <v>PC</v>
          </cell>
          <cell r="G998" t="str">
            <v>2</v>
          </cell>
          <cell r="H998" t="str">
            <v>RETAIL</v>
          </cell>
          <cell r="I998" t="str">
            <v>22</v>
          </cell>
          <cell r="J998" t="str">
            <v>WF2</v>
          </cell>
          <cell r="K998" t="str">
            <v>2208</v>
          </cell>
          <cell r="L998" t="str">
            <v>ACRYLUX</v>
          </cell>
          <cell r="M998" t="str">
            <v>220801</v>
          </cell>
          <cell r="N998" t="str">
            <v>ACRYLUX RMX</v>
          </cell>
        </row>
        <row r="999">
          <cell r="C999" t="str">
            <v>100002204</v>
          </cell>
          <cell r="D999" t="str">
            <v>DCL-125 WHITE GLOSS VN-16KP</v>
          </cell>
          <cell r="E999" t="str">
            <v>ZFGD</v>
          </cell>
          <cell r="F999" t="str">
            <v>PC</v>
          </cell>
          <cell r="G999" t="str">
            <v>2</v>
          </cell>
          <cell r="H999" t="str">
            <v>RETAIL</v>
          </cell>
          <cell r="I999" t="str">
            <v>22</v>
          </cell>
          <cell r="J999" t="str">
            <v>WF2</v>
          </cell>
          <cell r="K999" t="str">
            <v>2208</v>
          </cell>
          <cell r="L999" t="str">
            <v>ACRYLUX</v>
          </cell>
          <cell r="M999" t="str">
            <v>220801</v>
          </cell>
          <cell r="N999" t="str">
            <v>ACRYLUX RMX</v>
          </cell>
        </row>
        <row r="1000">
          <cell r="C1000" t="str">
            <v>100002205</v>
          </cell>
          <cell r="D1000" t="str">
            <v>DCL-125 WHITE SATIN VN-0.9K</v>
          </cell>
          <cell r="E1000" t="str">
            <v>ZFGD</v>
          </cell>
          <cell r="F1000" t="str">
            <v>PC</v>
          </cell>
          <cell r="G1000" t="str">
            <v>2</v>
          </cell>
          <cell r="H1000" t="str">
            <v>RETAIL</v>
          </cell>
          <cell r="I1000" t="str">
            <v>22</v>
          </cell>
          <cell r="J1000" t="str">
            <v>WF2</v>
          </cell>
          <cell r="K1000" t="str">
            <v>2208</v>
          </cell>
          <cell r="L1000" t="str">
            <v>ACRYLUX</v>
          </cell>
          <cell r="M1000" t="str">
            <v>220801</v>
          </cell>
          <cell r="N1000" t="str">
            <v>ACRYLUX RMX</v>
          </cell>
        </row>
        <row r="1001">
          <cell r="C1001" t="str">
            <v>100002206</v>
          </cell>
          <cell r="D1001" t="str">
            <v>DCL-125 WHITE SATIN VN-4K</v>
          </cell>
          <cell r="E1001" t="str">
            <v>ZFGD</v>
          </cell>
          <cell r="F1001" t="str">
            <v>PC</v>
          </cell>
          <cell r="G1001" t="str">
            <v>2</v>
          </cell>
          <cell r="H1001" t="str">
            <v>RETAIL</v>
          </cell>
          <cell r="I1001" t="str">
            <v>22</v>
          </cell>
          <cell r="J1001" t="str">
            <v>WF2</v>
          </cell>
          <cell r="K1001" t="str">
            <v>2208</v>
          </cell>
          <cell r="L1001" t="str">
            <v>ACRYLUX</v>
          </cell>
          <cell r="M1001" t="str">
            <v>220801</v>
          </cell>
          <cell r="N1001" t="str">
            <v>ACRYLUX RMX</v>
          </cell>
        </row>
        <row r="1002">
          <cell r="C1002" t="str">
            <v>100002207</v>
          </cell>
          <cell r="D1002" t="str">
            <v>DCL-125 WHITE SATIN VN-16KP</v>
          </cell>
          <cell r="E1002" t="str">
            <v>ZFGD</v>
          </cell>
          <cell r="F1002" t="str">
            <v>PC</v>
          </cell>
          <cell r="G1002" t="str">
            <v>2</v>
          </cell>
          <cell r="H1002" t="str">
            <v>RETAIL</v>
          </cell>
          <cell r="I1002" t="str">
            <v>22</v>
          </cell>
          <cell r="J1002" t="str">
            <v>WF2</v>
          </cell>
          <cell r="K1002" t="str">
            <v>2208</v>
          </cell>
          <cell r="L1002" t="str">
            <v>ACRYLUX</v>
          </cell>
          <cell r="M1002" t="str">
            <v>220801</v>
          </cell>
          <cell r="N1002" t="str">
            <v>ACRYLUX RMX</v>
          </cell>
        </row>
        <row r="1003">
          <cell r="C1003" t="str">
            <v>100002208</v>
          </cell>
          <cell r="D1003" t="str">
            <v>DCL-125 WHITE DOF VN-0.9K</v>
          </cell>
          <cell r="E1003" t="str">
            <v>ZFGD</v>
          </cell>
          <cell r="F1003" t="str">
            <v>PC</v>
          </cell>
          <cell r="G1003" t="str">
            <v>2</v>
          </cell>
          <cell r="H1003" t="str">
            <v>RETAIL</v>
          </cell>
          <cell r="I1003" t="str">
            <v>22</v>
          </cell>
          <cell r="J1003" t="str">
            <v>WF2</v>
          </cell>
          <cell r="K1003" t="str">
            <v>2208</v>
          </cell>
          <cell r="L1003" t="str">
            <v>ACRYLUX</v>
          </cell>
          <cell r="M1003" t="str">
            <v>220801</v>
          </cell>
          <cell r="N1003" t="str">
            <v>ACRYLUX RMX</v>
          </cell>
        </row>
        <row r="1004">
          <cell r="C1004" t="str">
            <v>100002209</v>
          </cell>
          <cell r="D1004" t="str">
            <v>DCL-125 WHITE DOF VN-4K</v>
          </cell>
          <cell r="E1004" t="str">
            <v>ZFGD</v>
          </cell>
          <cell r="F1004" t="str">
            <v>PC</v>
          </cell>
          <cell r="G1004" t="str">
            <v>2</v>
          </cell>
          <cell r="H1004" t="str">
            <v>RETAIL</v>
          </cell>
          <cell r="I1004" t="str">
            <v>22</v>
          </cell>
          <cell r="J1004" t="str">
            <v>WF2</v>
          </cell>
          <cell r="K1004" t="str">
            <v>2208</v>
          </cell>
          <cell r="L1004" t="str">
            <v>ACRYLUX</v>
          </cell>
          <cell r="M1004" t="str">
            <v>220801</v>
          </cell>
          <cell r="N1004" t="str">
            <v>ACRYLUX RMX</v>
          </cell>
        </row>
        <row r="1005">
          <cell r="C1005" t="str">
            <v>100002210</v>
          </cell>
          <cell r="D1005" t="str">
            <v>DCL-125 WHITE DOF VN-16KP</v>
          </cell>
          <cell r="E1005" t="str">
            <v>ZFGD</v>
          </cell>
          <cell r="F1005" t="str">
            <v>PC</v>
          </cell>
          <cell r="G1005" t="str">
            <v>2</v>
          </cell>
          <cell r="H1005" t="str">
            <v>RETAIL</v>
          </cell>
          <cell r="I1005" t="str">
            <v>22</v>
          </cell>
          <cell r="J1005" t="str">
            <v>WF2</v>
          </cell>
          <cell r="K1005" t="str">
            <v>2208</v>
          </cell>
          <cell r="L1005" t="str">
            <v>ACRYLUX</v>
          </cell>
          <cell r="M1005" t="str">
            <v>220801</v>
          </cell>
          <cell r="N1005" t="str">
            <v>ACRYLUX RMX</v>
          </cell>
        </row>
        <row r="1006">
          <cell r="C1006" t="str">
            <v>100002211</v>
          </cell>
          <cell r="D1006" t="str">
            <v>DCL-125 WHITE SEMI GLOSS VN-0.9K</v>
          </cell>
          <cell r="E1006" t="str">
            <v>ZFGD</v>
          </cell>
          <cell r="F1006" t="str">
            <v>PC</v>
          </cell>
          <cell r="G1006" t="str">
            <v>2</v>
          </cell>
          <cell r="H1006" t="str">
            <v>RETAIL</v>
          </cell>
          <cell r="I1006" t="str">
            <v>22</v>
          </cell>
          <cell r="J1006" t="str">
            <v>WF2</v>
          </cell>
          <cell r="K1006" t="str">
            <v>2208</v>
          </cell>
          <cell r="L1006" t="str">
            <v>ACRYLUX</v>
          </cell>
          <cell r="M1006" t="str">
            <v>220801</v>
          </cell>
          <cell r="N1006" t="str">
            <v>ACRYLUX RMX</v>
          </cell>
        </row>
        <row r="1007">
          <cell r="C1007" t="str">
            <v>100002212</v>
          </cell>
          <cell r="D1007" t="str">
            <v>DCL-125 WHITE SEMI GLOSS VN-4K</v>
          </cell>
          <cell r="E1007" t="str">
            <v>ZFGD</v>
          </cell>
          <cell r="F1007" t="str">
            <v>PC</v>
          </cell>
          <cell r="G1007" t="str">
            <v>2</v>
          </cell>
          <cell r="H1007" t="str">
            <v>RETAIL</v>
          </cell>
          <cell r="I1007" t="str">
            <v>22</v>
          </cell>
          <cell r="J1007" t="str">
            <v>WF2</v>
          </cell>
          <cell r="K1007" t="str">
            <v>2208</v>
          </cell>
          <cell r="L1007" t="str">
            <v>ACRYLUX</v>
          </cell>
          <cell r="M1007" t="str">
            <v>220801</v>
          </cell>
          <cell r="N1007" t="str">
            <v>ACRYLUX RMX</v>
          </cell>
        </row>
        <row r="1008">
          <cell r="C1008" t="str">
            <v>100002213</v>
          </cell>
          <cell r="D1008" t="str">
            <v>DCL-125 WHITE SEMI GLOSS VN-16KP</v>
          </cell>
          <cell r="E1008" t="str">
            <v>ZFGD</v>
          </cell>
          <cell r="F1008" t="str">
            <v>PC</v>
          </cell>
          <cell r="G1008" t="str">
            <v>2</v>
          </cell>
          <cell r="H1008" t="str">
            <v>RETAIL</v>
          </cell>
          <cell r="I1008" t="str">
            <v>22</v>
          </cell>
          <cell r="J1008" t="str">
            <v>WF2</v>
          </cell>
          <cell r="K1008" t="str">
            <v>2208</v>
          </cell>
          <cell r="L1008" t="str">
            <v>ACRYLUX</v>
          </cell>
          <cell r="M1008" t="str">
            <v>220801</v>
          </cell>
          <cell r="N1008" t="str">
            <v>ACRYLUX RMX</v>
          </cell>
        </row>
        <row r="1009">
          <cell r="C1009" t="str">
            <v>100002214</v>
          </cell>
          <cell r="D1009" t="str">
            <v>DCL-125 BLACK GLOSS VN-0.9K</v>
          </cell>
          <cell r="E1009" t="str">
            <v>ZFGD</v>
          </cell>
          <cell r="F1009" t="str">
            <v>PC</v>
          </cell>
          <cell r="G1009" t="str">
            <v>2</v>
          </cell>
          <cell r="H1009" t="str">
            <v>RETAIL</v>
          </cell>
          <cell r="I1009" t="str">
            <v>22</v>
          </cell>
          <cell r="J1009" t="str">
            <v>WF2</v>
          </cell>
          <cell r="K1009" t="str">
            <v>2208</v>
          </cell>
          <cell r="L1009" t="str">
            <v>ACRYLUX</v>
          </cell>
          <cell r="M1009" t="str">
            <v>220801</v>
          </cell>
          <cell r="N1009" t="str">
            <v>ACRYLUX RMX</v>
          </cell>
        </row>
        <row r="1010">
          <cell r="C1010" t="str">
            <v>100002215</v>
          </cell>
          <cell r="D1010" t="str">
            <v>DCL-125 BLACK GLOSS VN-4K</v>
          </cell>
          <cell r="E1010" t="str">
            <v>ZFGD</v>
          </cell>
          <cell r="F1010" t="str">
            <v>PC</v>
          </cell>
          <cell r="G1010" t="str">
            <v>2</v>
          </cell>
          <cell r="H1010" t="str">
            <v>RETAIL</v>
          </cell>
          <cell r="I1010" t="str">
            <v>22</v>
          </cell>
          <cell r="J1010" t="str">
            <v>WF2</v>
          </cell>
          <cell r="K1010" t="str">
            <v>2208</v>
          </cell>
          <cell r="L1010" t="str">
            <v>ACRYLUX</v>
          </cell>
          <cell r="M1010" t="str">
            <v>220801</v>
          </cell>
          <cell r="N1010" t="str">
            <v>ACRYLUX RMX</v>
          </cell>
        </row>
        <row r="1011">
          <cell r="C1011" t="str">
            <v>100002216</v>
          </cell>
          <cell r="D1011" t="str">
            <v>DCL-125 BLACK GLOSS VN-16KP</v>
          </cell>
          <cell r="E1011" t="str">
            <v>ZFGD</v>
          </cell>
          <cell r="F1011" t="str">
            <v>PC</v>
          </cell>
          <cell r="G1011" t="str">
            <v>2</v>
          </cell>
          <cell r="H1011" t="str">
            <v>RETAIL</v>
          </cell>
          <cell r="I1011" t="str">
            <v>22</v>
          </cell>
          <cell r="J1011" t="str">
            <v>WF2</v>
          </cell>
          <cell r="K1011" t="str">
            <v>2208</v>
          </cell>
          <cell r="L1011" t="str">
            <v>ACRYLUX</v>
          </cell>
          <cell r="M1011" t="str">
            <v>220801</v>
          </cell>
          <cell r="N1011" t="str">
            <v>ACRYLUX RMX</v>
          </cell>
        </row>
        <row r="1012">
          <cell r="C1012" t="str">
            <v>100002217</v>
          </cell>
          <cell r="D1012" t="str">
            <v>DCL-125 BLACK DOF VN-0.9K</v>
          </cell>
          <cell r="E1012" t="str">
            <v>ZFGD</v>
          </cell>
          <cell r="F1012" t="str">
            <v>PC</v>
          </cell>
          <cell r="G1012" t="str">
            <v>2</v>
          </cell>
          <cell r="H1012" t="str">
            <v>RETAIL</v>
          </cell>
          <cell r="I1012" t="str">
            <v>22</v>
          </cell>
          <cell r="J1012" t="str">
            <v>WF2</v>
          </cell>
          <cell r="K1012" t="str">
            <v>2208</v>
          </cell>
          <cell r="L1012" t="str">
            <v>ACRYLUX</v>
          </cell>
          <cell r="M1012" t="str">
            <v>220801</v>
          </cell>
          <cell r="N1012" t="str">
            <v>ACRYLUX RMX</v>
          </cell>
        </row>
        <row r="1013">
          <cell r="C1013" t="str">
            <v>100002218</v>
          </cell>
          <cell r="D1013" t="str">
            <v>DCL-125 BLACK DOF VN-4K</v>
          </cell>
          <cell r="E1013" t="str">
            <v>ZFGD</v>
          </cell>
          <cell r="F1013" t="str">
            <v>PC</v>
          </cell>
          <cell r="G1013" t="str">
            <v>2</v>
          </cell>
          <cell r="H1013" t="str">
            <v>RETAIL</v>
          </cell>
          <cell r="I1013" t="str">
            <v>22</v>
          </cell>
          <cell r="J1013" t="str">
            <v>WF2</v>
          </cell>
          <cell r="K1013" t="str">
            <v>2208</v>
          </cell>
          <cell r="L1013" t="str">
            <v>ACRYLUX</v>
          </cell>
          <cell r="M1013" t="str">
            <v>220801</v>
          </cell>
          <cell r="N1013" t="str">
            <v>ACRYLUX RMX</v>
          </cell>
        </row>
        <row r="1014">
          <cell r="C1014" t="str">
            <v>100002219</v>
          </cell>
          <cell r="D1014" t="str">
            <v>DCL-125 BLACK DOF VN-16KP</v>
          </cell>
          <cell r="E1014" t="str">
            <v>ZFGD</v>
          </cell>
          <cell r="F1014" t="str">
            <v>PC</v>
          </cell>
          <cell r="G1014" t="str">
            <v>2</v>
          </cell>
          <cell r="H1014" t="str">
            <v>RETAIL</v>
          </cell>
          <cell r="I1014" t="str">
            <v>22</v>
          </cell>
          <cell r="J1014" t="str">
            <v>WF2</v>
          </cell>
          <cell r="K1014" t="str">
            <v>2208</v>
          </cell>
          <cell r="L1014" t="str">
            <v>ACRYLUX</v>
          </cell>
          <cell r="M1014" t="str">
            <v>220801</v>
          </cell>
          <cell r="N1014" t="str">
            <v>ACRYLUX RMX</v>
          </cell>
        </row>
        <row r="1015">
          <cell r="C1015" t="str">
            <v>100002220</v>
          </cell>
          <cell r="D1015" t="str">
            <v>PUP-752-2K WHITE VN-1K</v>
          </cell>
          <cell r="E1015" t="str">
            <v>ZFGD</v>
          </cell>
          <cell r="F1015" t="str">
            <v>PC</v>
          </cell>
          <cell r="G1015" t="str">
            <v>2</v>
          </cell>
          <cell r="H1015" t="str">
            <v>RETAIL</v>
          </cell>
          <cell r="I1015" t="str">
            <v>22</v>
          </cell>
          <cell r="J1015" t="str">
            <v>WF2</v>
          </cell>
          <cell r="K1015" t="str">
            <v>2216</v>
          </cell>
          <cell r="L1015" t="str">
            <v>PU MULTIPURPOSE</v>
          </cell>
          <cell r="M1015" t="str">
            <v>221601</v>
          </cell>
          <cell r="N1015" t="str">
            <v>PROPAN MP PU ACR RMX</v>
          </cell>
        </row>
        <row r="1016">
          <cell r="C1016" t="str">
            <v>100002221</v>
          </cell>
          <cell r="D1016" t="str">
            <v>PUP-752-2K WHITE VN-4K</v>
          </cell>
          <cell r="E1016" t="str">
            <v>ZFGD</v>
          </cell>
          <cell r="F1016" t="str">
            <v>PC</v>
          </cell>
          <cell r="G1016" t="str">
            <v>2</v>
          </cell>
          <cell r="H1016" t="str">
            <v>RETAIL</v>
          </cell>
          <cell r="I1016" t="str">
            <v>22</v>
          </cell>
          <cell r="J1016" t="str">
            <v>WF2</v>
          </cell>
          <cell r="K1016" t="str">
            <v>2216</v>
          </cell>
          <cell r="L1016" t="str">
            <v>PU MULTIPURPOSE</v>
          </cell>
          <cell r="M1016" t="str">
            <v>221601</v>
          </cell>
          <cell r="N1016" t="str">
            <v>PROPAN MP PU ACR RMX</v>
          </cell>
        </row>
        <row r="1017">
          <cell r="C1017" t="str">
            <v>100002222</v>
          </cell>
          <cell r="D1017" t="str">
            <v>PUP-752-2K WHITE VN-16KP</v>
          </cell>
          <cell r="E1017" t="str">
            <v>ZFGD</v>
          </cell>
          <cell r="F1017" t="str">
            <v>PC</v>
          </cell>
          <cell r="G1017" t="str">
            <v>2</v>
          </cell>
          <cell r="H1017" t="str">
            <v>RETAIL</v>
          </cell>
          <cell r="I1017" t="str">
            <v>22</v>
          </cell>
          <cell r="J1017" t="str">
            <v>WF2</v>
          </cell>
          <cell r="K1017" t="str">
            <v>2216</v>
          </cell>
          <cell r="L1017" t="str">
            <v>PU MULTIPURPOSE</v>
          </cell>
          <cell r="M1017" t="str">
            <v>221601</v>
          </cell>
          <cell r="N1017" t="str">
            <v>PROPAN MP PU ACR RMX</v>
          </cell>
        </row>
        <row r="1018">
          <cell r="C1018" t="str">
            <v>100002223</v>
          </cell>
          <cell r="D1018" t="str">
            <v>2K ACRYLIC WHITE GLOSS VN-1KS</v>
          </cell>
          <cell r="E1018" t="str">
            <v>ZFGD</v>
          </cell>
          <cell r="F1018" t="str">
            <v>SET</v>
          </cell>
          <cell r="G1018" t="str">
            <v>2</v>
          </cell>
          <cell r="H1018" t="str">
            <v>RETAIL</v>
          </cell>
          <cell r="I1018" t="str">
            <v>22</v>
          </cell>
          <cell r="J1018" t="str">
            <v>WF2</v>
          </cell>
          <cell r="K1018" t="str">
            <v>2216</v>
          </cell>
          <cell r="L1018" t="str">
            <v>PU MULTIPURPOSE</v>
          </cell>
          <cell r="M1018" t="str">
            <v>221601</v>
          </cell>
          <cell r="N1018" t="str">
            <v>PROPAN MP PU ACR RMX</v>
          </cell>
        </row>
        <row r="1019">
          <cell r="C1019" t="str">
            <v>100002224</v>
          </cell>
          <cell r="D1019" t="str">
            <v>2K ACRYLIC WHITE GLOSS VN-0.8K</v>
          </cell>
          <cell r="E1019" t="str">
            <v>ZFGD</v>
          </cell>
          <cell r="F1019" t="str">
            <v>PC</v>
          </cell>
          <cell r="G1019" t="str">
            <v>2</v>
          </cell>
          <cell r="H1019" t="str">
            <v>RETAIL</v>
          </cell>
          <cell r="I1019" t="str">
            <v>22</v>
          </cell>
          <cell r="J1019" t="str">
            <v>WF2</v>
          </cell>
          <cell r="K1019" t="str">
            <v>2216</v>
          </cell>
          <cell r="L1019" t="str">
            <v>PU MULTIPURPOSE</v>
          </cell>
          <cell r="M1019" t="str">
            <v>221601</v>
          </cell>
          <cell r="N1019" t="str">
            <v>PROPAN MP PU ACR RMX</v>
          </cell>
        </row>
        <row r="1020">
          <cell r="C1020" t="str">
            <v>100002225</v>
          </cell>
          <cell r="D1020" t="str">
            <v>2K ACRYLIC WHITE GLOSS VN-5KS</v>
          </cell>
          <cell r="E1020" t="str">
            <v>ZFGD</v>
          </cell>
          <cell r="F1020" t="str">
            <v>SET</v>
          </cell>
          <cell r="G1020" t="str">
            <v>2</v>
          </cell>
          <cell r="H1020" t="str">
            <v>RETAIL</v>
          </cell>
          <cell r="I1020" t="str">
            <v>22</v>
          </cell>
          <cell r="J1020" t="str">
            <v>WF2</v>
          </cell>
          <cell r="K1020" t="str">
            <v>2216</v>
          </cell>
          <cell r="L1020" t="str">
            <v>PU MULTIPURPOSE</v>
          </cell>
          <cell r="M1020" t="str">
            <v>221601</v>
          </cell>
          <cell r="N1020" t="str">
            <v>PROPAN MP PU ACR RMX</v>
          </cell>
        </row>
        <row r="1021">
          <cell r="C1021" t="str">
            <v>100002226</v>
          </cell>
          <cell r="D1021" t="str">
            <v>2K ACRYLIC WHITE GLOSS VN-4K</v>
          </cell>
          <cell r="E1021" t="str">
            <v>ZFGD</v>
          </cell>
          <cell r="F1021" t="str">
            <v>PC</v>
          </cell>
          <cell r="G1021" t="str">
            <v>2</v>
          </cell>
          <cell r="H1021" t="str">
            <v>RETAIL</v>
          </cell>
          <cell r="I1021" t="str">
            <v>22</v>
          </cell>
          <cell r="J1021" t="str">
            <v>WF2</v>
          </cell>
          <cell r="K1021" t="str">
            <v>2216</v>
          </cell>
          <cell r="L1021" t="str">
            <v>PU MULTIPURPOSE</v>
          </cell>
          <cell r="M1021" t="str">
            <v>221601</v>
          </cell>
          <cell r="N1021" t="str">
            <v>PROPAN MP PU ACR RMX</v>
          </cell>
        </row>
        <row r="1022">
          <cell r="C1022" t="str">
            <v>100002227</v>
          </cell>
          <cell r="D1022" t="str">
            <v>2K ACRYLIC WHITE GLOSS VN-20KSP</v>
          </cell>
          <cell r="E1022" t="str">
            <v>ZFGD</v>
          </cell>
          <cell r="F1022" t="str">
            <v>SET</v>
          </cell>
          <cell r="G1022" t="str">
            <v>2</v>
          </cell>
          <cell r="H1022" t="str">
            <v>RETAIL</v>
          </cell>
          <cell r="I1022" t="str">
            <v>22</v>
          </cell>
          <cell r="J1022" t="str">
            <v>WF2</v>
          </cell>
          <cell r="K1022" t="str">
            <v>2216</v>
          </cell>
          <cell r="L1022" t="str">
            <v>PU MULTIPURPOSE</v>
          </cell>
          <cell r="M1022" t="str">
            <v>221601</v>
          </cell>
          <cell r="N1022" t="str">
            <v>PROPAN MP PU ACR RMX</v>
          </cell>
        </row>
        <row r="1023">
          <cell r="C1023" t="str">
            <v>100002228</v>
          </cell>
          <cell r="D1023" t="str">
            <v>2K ACRYLIC WHITE GLOSS VN-16KP</v>
          </cell>
          <cell r="E1023" t="str">
            <v>ZFGD</v>
          </cell>
          <cell r="F1023" t="str">
            <v>PC</v>
          </cell>
          <cell r="G1023" t="str">
            <v>2</v>
          </cell>
          <cell r="H1023" t="str">
            <v>RETAIL</v>
          </cell>
          <cell r="I1023" t="str">
            <v>22</v>
          </cell>
          <cell r="J1023" t="str">
            <v>WF2</v>
          </cell>
          <cell r="K1023" t="str">
            <v>2216</v>
          </cell>
          <cell r="L1023" t="str">
            <v>PU MULTIPURPOSE</v>
          </cell>
          <cell r="M1023" t="str">
            <v>221601</v>
          </cell>
          <cell r="N1023" t="str">
            <v>PROPAN MP PU ACR RMX</v>
          </cell>
        </row>
        <row r="1024">
          <cell r="C1024" t="str">
            <v>100002229</v>
          </cell>
          <cell r="D1024" t="str">
            <v>2K ACRYLIC CHILI RED GLOSS VN-1KS</v>
          </cell>
          <cell r="E1024" t="str">
            <v>ZFGD</v>
          </cell>
          <cell r="F1024" t="str">
            <v>SET</v>
          </cell>
          <cell r="G1024" t="str">
            <v>2</v>
          </cell>
          <cell r="H1024" t="str">
            <v>RETAIL</v>
          </cell>
          <cell r="I1024" t="str">
            <v>22</v>
          </cell>
          <cell r="J1024" t="str">
            <v>WF2</v>
          </cell>
          <cell r="K1024" t="str">
            <v>2216</v>
          </cell>
          <cell r="L1024" t="str">
            <v>PU MULTIPURPOSE</v>
          </cell>
          <cell r="M1024" t="str">
            <v>221601</v>
          </cell>
          <cell r="N1024" t="str">
            <v>PROPAN MP PU ACR RMX</v>
          </cell>
        </row>
        <row r="1025">
          <cell r="C1025" t="str">
            <v>100002230</v>
          </cell>
          <cell r="D1025" t="str">
            <v>2K ACRYLIC CHILI RED GLOSS VN-0.8K</v>
          </cell>
          <cell r="E1025" t="str">
            <v>ZFGD</v>
          </cell>
          <cell r="F1025" t="str">
            <v>PC</v>
          </cell>
          <cell r="G1025" t="str">
            <v>2</v>
          </cell>
          <cell r="H1025" t="str">
            <v>RETAIL</v>
          </cell>
          <cell r="I1025" t="str">
            <v>22</v>
          </cell>
          <cell r="J1025" t="str">
            <v>WF2</v>
          </cell>
          <cell r="K1025" t="str">
            <v>2216</v>
          </cell>
          <cell r="L1025" t="str">
            <v>PU MULTIPURPOSE</v>
          </cell>
          <cell r="M1025" t="str">
            <v>221601</v>
          </cell>
          <cell r="N1025" t="str">
            <v>PROPAN MP PU ACR RMX</v>
          </cell>
        </row>
        <row r="1026">
          <cell r="C1026" t="str">
            <v>100002231</v>
          </cell>
          <cell r="D1026" t="str">
            <v>2K ACRYLIC CHILI RED GLOSS VN-5KS</v>
          </cell>
          <cell r="E1026" t="str">
            <v>ZFGD</v>
          </cell>
          <cell r="F1026" t="str">
            <v>SET</v>
          </cell>
          <cell r="G1026" t="str">
            <v>2</v>
          </cell>
          <cell r="H1026" t="str">
            <v>RETAIL</v>
          </cell>
          <cell r="I1026" t="str">
            <v>22</v>
          </cell>
          <cell r="J1026" t="str">
            <v>WF2</v>
          </cell>
          <cell r="K1026" t="str">
            <v>2216</v>
          </cell>
          <cell r="L1026" t="str">
            <v>PU MULTIPURPOSE</v>
          </cell>
          <cell r="M1026" t="str">
            <v>221601</v>
          </cell>
          <cell r="N1026" t="str">
            <v>PROPAN MP PU ACR RMX</v>
          </cell>
        </row>
        <row r="1027">
          <cell r="C1027" t="str">
            <v>100002232</v>
          </cell>
          <cell r="D1027" t="str">
            <v>2K ACRYLIC CHILI RED GLOSS VN-4K</v>
          </cell>
          <cell r="E1027" t="str">
            <v>ZFGD</v>
          </cell>
          <cell r="F1027" t="str">
            <v>PC</v>
          </cell>
          <cell r="G1027" t="str">
            <v>2</v>
          </cell>
          <cell r="H1027" t="str">
            <v>RETAIL</v>
          </cell>
          <cell r="I1027" t="str">
            <v>22</v>
          </cell>
          <cell r="J1027" t="str">
            <v>WF2</v>
          </cell>
          <cell r="K1027" t="str">
            <v>2216</v>
          </cell>
          <cell r="L1027" t="str">
            <v>PU MULTIPURPOSE</v>
          </cell>
          <cell r="M1027" t="str">
            <v>221601</v>
          </cell>
          <cell r="N1027" t="str">
            <v>PROPAN MP PU ACR RMX</v>
          </cell>
        </row>
        <row r="1028">
          <cell r="C1028" t="str">
            <v>100002233</v>
          </cell>
          <cell r="D1028" t="str">
            <v>2K ACRYLIC CHILI RED GLOSS VN-20KSP</v>
          </cell>
          <cell r="E1028" t="str">
            <v>ZFGD</v>
          </cell>
          <cell r="F1028" t="str">
            <v>SET</v>
          </cell>
          <cell r="G1028" t="str">
            <v>2</v>
          </cell>
          <cell r="H1028" t="str">
            <v>RETAIL</v>
          </cell>
          <cell r="I1028" t="str">
            <v>22</v>
          </cell>
          <cell r="J1028" t="str">
            <v>WF2</v>
          </cell>
          <cell r="K1028" t="str">
            <v>2216</v>
          </cell>
          <cell r="L1028" t="str">
            <v>PU MULTIPURPOSE</v>
          </cell>
          <cell r="M1028" t="str">
            <v>221601</v>
          </cell>
          <cell r="N1028" t="str">
            <v>PROPAN MP PU ACR RMX</v>
          </cell>
        </row>
        <row r="1029">
          <cell r="C1029" t="str">
            <v>100002234</v>
          </cell>
          <cell r="D1029" t="str">
            <v>2K ACRYLIC CHILI RED GLOSS VN-16KP</v>
          </cell>
          <cell r="E1029" t="str">
            <v>ZFGD</v>
          </cell>
          <cell r="F1029" t="str">
            <v>PC</v>
          </cell>
          <cell r="G1029" t="str">
            <v>2</v>
          </cell>
          <cell r="H1029" t="str">
            <v>RETAIL</v>
          </cell>
          <cell r="I1029" t="str">
            <v>22</v>
          </cell>
          <cell r="J1029" t="str">
            <v>WF2</v>
          </cell>
          <cell r="K1029" t="str">
            <v>2216</v>
          </cell>
          <cell r="L1029" t="str">
            <v>PU MULTIPURPOSE</v>
          </cell>
          <cell r="M1029" t="str">
            <v>221601</v>
          </cell>
          <cell r="N1029" t="str">
            <v>PROPAN MP PU ACR RMX</v>
          </cell>
        </row>
        <row r="1030">
          <cell r="C1030" t="str">
            <v>100002235</v>
          </cell>
          <cell r="D1030" t="str">
            <v>2K ACRYLIC BLACK GLOSS VN-1KS</v>
          </cell>
          <cell r="E1030" t="str">
            <v>ZFGD</v>
          </cell>
          <cell r="F1030" t="str">
            <v>SET</v>
          </cell>
          <cell r="G1030" t="str">
            <v>2</v>
          </cell>
          <cell r="H1030" t="str">
            <v>RETAIL</v>
          </cell>
          <cell r="I1030" t="str">
            <v>22</v>
          </cell>
          <cell r="J1030" t="str">
            <v>WF2</v>
          </cell>
          <cell r="K1030" t="str">
            <v>2216</v>
          </cell>
          <cell r="L1030" t="str">
            <v>PU MULTIPURPOSE</v>
          </cell>
          <cell r="M1030" t="str">
            <v>221601</v>
          </cell>
          <cell r="N1030" t="str">
            <v>PROPAN MP PU ACR RMX</v>
          </cell>
        </row>
        <row r="1031">
          <cell r="C1031" t="str">
            <v>100002236</v>
          </cell>
          <cell r="D1031" t="str">
            <v>2K ACRYLIC BLACK GLOSS VN-0.8K</v>
          </cell>
          <cell r="E1031" t="str">
            <v>ZFGD</v>
          </cell>
          <cell r="F1031" t="str">
            <v>PC</v>
          </cell>
          <cell r="G1031" t="str">
            <v>2</v>
          </cell>
          <cell r="H1031" t="str">
            <v>RETAIL</v>
          </cell>
          <cell r="I1031" t="str">
            <v>22</v>
          </cell>
          <cell r="J1031" t="str">
            <v>WF2</v>
          </cell>
          <cell r="K1031" t="str">
            <v>2216</v>
          </cell>
          <cell r="L1031" t="str">
            <v>PU MULTIPURPOSE</v>
          </cell>
          <cell r="M1031" t="str">
            <v>221601</v>
          </cell>
          <cell r="N1031" t="str">
            <v>PROPAN MP PU ACR RMX</v>
          </cell>
        </row>
        <row r="1032">
          <cell r="C1032" t="str">
            <v>100002237</v>
          </cell>
          <cell r="D1032" t="str">
            <v>2K ACRYLIC BLACK GLOSS VN-5KS</v>
          </cell>
          <cell r="E1032" t="str">
            <v>ZFGD</v>
          </cell>
          <cell r="F1032" t="str">
            <v>SET</v>
          </cell>
          <cell r="G1032" t="str">
            <v>2</v>
          </cell>
          <cell r="H1032" t="str">
            <v>RETAIL</v>
          </cell>
          <cell r="I1032" t="str">
            <v>22</v>
          </cell>
          <cell r="J1032" t="str">
            <v>WF2</v>
          </cell>
          <cell r="K1032" t="str">
            <v>2216</v>
          </cell>
          <cell r="L1032" t="str">
            <v>PU MULTIPURPOSE</v>
          </cell>
          <cell r="M1032" t="str">
            <v>221601</v>
          </cell>
          <cell r="N1032" t="str">
            <v>PROPAN MP PU ACR RMX</v>
          </cell>
        </row>
        <row r="1033">
          <cell r="C1033" t="str">
            <v>100002238</v>
          </cell>
          <cell r="D1033" t="str">
            <v>2K ACRYLIC BLACK GLOSS VN-4K</v>
          </cell>
          <cell r="E1033" t="str">
            <v>ZFGD</v>
          </cell>
          <cell r="F1033" t="str">
            <v>PC</v>
          </cell>
          <cell r="G1033" t="str">
            <v>2</v>
          </cell>
          <cell r="H1033" t="str">
            <v>RETAIL</v>
          </cell>
          <cell r="I1033" t="str">
            <v>22</v>
          </cell>
          <cell r="J1033" t="str">
            <v>WF2</v>
          </cell>
          <cell r="K1033" t="str">
            <v>2216</v>
          </cell>
          <cell r="L1033" t="str">
            <v>PU MULTIPURPOSE</v>
          </cell>
          <cell r="M1033" t="str">
            <v>221601</v>
          </cell>
          <cell r="N1033" t="str">
            <v>PROPAN MP PU ACR RMX</v>
          </cell>
        </row>
        <row r="1034">
          <cell r="C1034" t="str">
            <v>100002239</v>
          </cell>
          <cell r="D1034" t="str">
            <v>2K ACRYLIC BLACK GLOSS VN-20KSP</v>
          </cell>
          <cell r="E1034" t="str">
            <v>ZFGD</v>
          </cell>
          <cell r="F1034" t="str">
            <v>SET</v>
          </cell>
          <cell r="G1034" t="str">
            <v>2</v>
          </cell>
          <cell r="H1034" t="str">
            <v>RETAIL</v>
          </cell>
          <cell r="I1034" t="str">
            <v>22</v>
          </cell>
          <cell r="J1034" t="str">
            <v>WF2</v>
          </cell>
          <cell r="K1034" t="str">
            <v>2216</v>
          </cell>
          <cell r="L1034" t="str">
            <v>PU MULTIPURPOSE</v>
          </cell>
          <cell r="M1034" t="str">
            <v>221601</v>
          </cell>
          <cell r="N1034" t="str">
            <v>PROPAN MP PU ACR RMX</v>
          </cell>
        </row>
        <row r="1035">
          <cell r="C1035" t="str">
            <v>100002240</v>
          </cell>
          <cell r="D1035" t="str">
            <v>2K ACRYLIC BLACK GLOSS VN-16KP</v>
          </cell>
          <cell r="E1035" t="str">
            <v>ZFGD</v>
          </cell>
          <cell r="F1035" t="str">
            <v>PC</v>
          </cell>
          <cell r="G1035" t="str">
            <v>2</v>
          </cell>
          <cell r="H1035" t="str">
            <v>RETAIL</v>
          </cell>
          <cell r="I1035" t="str">
            <v>22</v>
          </cell>
          <cell r="J1035" t="str">
            <v>WF2</v>
          </cell>
          <cell r="K1035" t="str">
            <v>2216</v>
          </cell>
          <cell r="L1035" t="str">
            <v>PU MULTIPURPOSE</v>
          </cell>
          <cell r="M1035" t="str">
            <v>221601</v>
          </cell>
          <cell r="N1035" t="str">
            <v>PROPAN MP PU ACR RMX</v>
          </cell>
        </row>
        <row r="1036">
          <cell r="C1036" t="str">
            <v>100002241</v>
          </cell>
          <cell r="D1036" t="str">
            <v>2K ACRYLIC GREY GLOSS VN-1KS</v>
          </cell>
          <cell r="E1036" t="str">
            <v>ZFGD</v>
          </cell>
          <cell r="F1036" t="str">
            <v>SET</v>
          </cell>
          <cell r="G1036" t="str">
            <v>2</v>
          </cell>
          <cell r="H1036" t="str">
            <v>RETAIL</v>
          </cell>
          <cell r="I1036" t="str">
            <v>22</v>
          </cell>
          <cell r="J1036" t="str">
            <v>WF2</v>
          </cell>
          <cell r="K1036" t="str">
            <v>2216</v>
          </cell>
          <cell r="L1036" t="str">
            <v>PU MULTIPURPOSE</v>
          </cell>
          <cell r="M1036" t="str">
            <v>221601</v>
          </cell>
          <cell r="N1036" t="str">
            <v>PROPAN MP PU ACR RMX</v>
          </cell>
        </row>
        <row r="1037">
          <cell r="C1037" t="str">
            <v>100002242</v>
          </cell>
          <cell r="D1037" t="str">
            <v>2K ACRYLIC GREY GLOSS VN-0.8K</v>
          </cell>
          <cell r="E1037" t="str">
            <v>ZFGD</v>
          </cell>
          <cell r="F1037" t="str">
            <v>PC</v>
          </cell>
          <cell r="G1037" t="str">
            <v>2</v>
          </cell>
          <cell r="H1037" t="str">
            <v>RETAIL</v>
          </cell>
          <cell r="I1037" t="str">
            <v>22</v>
          </cell>
          <cell r="J1037" t="str">
            <v>WF2</v>
          </cell>
          <cell r="K1037" t="str">
            <v>2216</v>
          </cell>
          <cell r="L1037" t="str">
            <v>PU MULTIPURPOSE</v>
          </cell>
          <cell r="M1037" t="str">
            <v>221601</v>
          </cell>
          <cell r="N1037" t="str">
            <v>PROPAN MP PU ACR RMX</v>
          </cell>
        </row>
        <row r="1038">
          <cell r="C1038" t="str">
            <v>100002243</v>
          </cell>
          <cell r="D1038" t="str">
            <v>2K ACRYLIC GREY GLOSS VN-5KS</v>
          </cell>
          <cell r="E1038" t="str">
            <v>ZFGD</v>
          </cell>
          <cell r="F1038" t="str">
            <v>SET</v>
          </cell>
          <cell r="G1038" t="str">
            <v>2</v>
          </cell>
          <cell r="H1038" t="str">
            <v>RETAIL</v>
          </cell>
          <cell r="I1038" t="str">
            <v>22</v>
          </cell>
          <cell r="J1038" t="str">
            <v>WF2</v>
          </cell>
          <cell r="K1038" t="str">
            <v>2216</v>
          </cell>
          <cell r="L1038" t="str">
            <v>PU MULTIPURPOSE</v>
          </cell>
          <cell r="M1038" t="str">
            <v>221601</v>
          </cell>
          <cell r="N1038" t="str">
            <v>PROPAN MP PU ACR RMX</v>
          </cell>
        </row>
        <row r="1039">
          <cell r="C1039" t="str">
            <v>100002244</v>
          </cell>
          <cell r="D1039" t="str">
            <v>2K ACRYLIC GREY GLOSS VN-4K</v>
          </cell>
          <cell r="E1039" t="str">
            <v>ZFGD</v>
          </cell>
          <cell r="F1039" t="str">
            <v>PC</v>
          </cell>
          <cell r="G1039" t="str">
            <v>2</v>
          </cell>
          <cell r="H1039" t="str">
            <v>RETAIL</v>
          </cell>
          <cell r="I1039" t="str">
            <v>22</v>
          </cell>
          <cell r="J1039" t="str">
            <v>WF2</v>
          </cell>
          <cell r="K1039" t="str">
            <v>2216</v>
          </cell>
          <cell r="L1039" t="str">
            <v>PU MULTIPURPOSE</v>
          </cell>
          <cell r="M1039" t="str">
            <v>221601</v>
          </cell>
          <cell r="N1039" t="str">
            <v>PROPAN MP PU ACR RMX</v>
          </cell>
        </row>
        <row r="1040">
          <cell r="C1040" t="str">
            <v>100002245</v>
          </cell>
          <cell r="D1040" t="str">
            <v>2K ACRYLIC GREY GLOSS VN-20KSP</v>
          </cell>
          <cell r="E1040" t="str">
            <v>ZFGD</v>
          </cell>
          <cell r="F1040" t="str">
            <v>SET</v>
          </cell>
          <cell r="G1040" t="str">
            <v>2</v>
          </cell>
          <cell r="H1040" t="str">
            <v>RETAIL</v>
          </cell>
          <cell r="I1040" t="str">
            <v>22</v>
          </cell>
          <cell r="J1040" t="str">
            <v>WF2</v>
          </cell>
          <cell r="K1040" t="str">
            <v>2216</v>
          </cell>
          <cell r="L1040" t="str">
            <v>PU MULTIPURPOSE</v>
          </cell>
          <cell r="M1040" t="str">
            <v>221601</v>
          </cell>
          <cell r="N1040" t="str">
            <v>PROPAN MP PU ACR RMX</v>
          </cell>
        </row>
        <row r="1041">
          <cell r="C1041" t="str">
            <v>100002246</v>
          </cell>
          <cell r="D1041" t="str">
            <v>2K ACRYLIC GREY GLOSS VN-16KP</v>
          </cell>
          <cell r="E1041" t="str">
            <v>ZFGD</v>
          </cell>
          <cell r="F1041" t="str">
            <v>PC</v>
          </cell>
          <cell r="G1041" t="str">
            <v>2</v>
          </cell>
          <cell r="H1041" t="str">
            <v>RETAIL</v>
          </cell>
          <cell r="I1041" t="str">
            <v>22</v>
          </cell>
          <cell r="J1041" t="str">
            <v>WF2</v>
          </cell>
          <cell r="K1041" t="str">
            <v>2216</v>
          </cell>
          <cell r="L1041" t="str">
            <v>PU MULTIPURPOSE</v>
          </cell>
          <cell r="M1041" t="str">
            <v>221601</v>
          </cell>
          <cell r="N1041" t="str">
            <v>PROPAN MP PU ACR RMX</v>
          </cell>
        </row>
        <row r="1042">
          <cell r="C1042" t="str">
            <v>100002247</v>
          </cell>
          <cell r="D1042" t="str">
            <v>2K ACRYLIC CREAM GLOSS VN-1KS</v>
          </cell>
          <cell r="E1042" t="str">
            <v>ZFGD</v>
          </cell>
          <cell r="F1042" t="str">
            <v>SET</v>
          </cell>
          <cell r="G1042" t="str">
            <v>2</v>
          </cell>
          <cell r="H1042" t="str">
            <v>RETAIL</v>
          </cell>
          <cell r="I1042" t="str">
            <v>22</v>
          </cell>
          <cell r="J1042" t="str">
            <v>WF2</v>
          </cell>
          <cell r="K1042" t="str">
            <v>2216</v>
          </cell>
          <cell r="L1042" t="str">
            <v>PU MULTIPURPOSE</v>
          </cell>
          <cell r="M1042" t="str">
            <v>221601</v>
          </cell>
          <cell r="N1042" t="str">
            <v>PROPAN MP PU ACR RMX</v>
          </cell>
        </row>
        <row r="1043">
          <cell r="C1043" t="str">
            <v>100002248</v>
          </cell>
          <cell r="D1043" t="str">
            <v>2K ACRYLIC CREAM GLOSS VN-0.8K</v>
          </cell>
          <cell r="E1043" t="str">
            <v>ZFGD</v>
          </cell>
          <cell r="F1043" t="str">
            <v>PC</v>
          </cell>
          <cell r="G1043" t="str">
            <v>2</v>
          </cell>
          <cell r="H1043" t="str">
            <v>RETAIL</v>
          </cell>
          <cell r="I1043" t="str">
            <v>22</v>
          </cell>
          <cell r="J1043" t="str">
            <v>WF2</v>
          </cell>
          <cell r="K1043" t="str">
            <v>2216</v>
          </cell>
          <cell r="L1043" t="str">
            <v>PU MULTIPURPOSE</v>
          </cell>
          <cell r="M1043" t="str">
            <v>221601</v>
          </cell>
          <cell r="N1043" t="str">
            <v>PROPAN MP PU ACR RMX</v>
          </cell>
        </row>
        <row r="1044">
          <cell r="C1044" t="str">
            <v>100002249</v>
          </cell>
          <cell r="D1044" t="str">
            <v>2K ACRYLIC CREAM GLOSS VN-5KS</v>
          </cell>
          <cell r="E1044" t="str">
            <v>ZFGD</v>
          </cell>
          <cell r="F1044" t="str">
            <v>SET</v>
          </cell>
          <cell r="G1044" t="str">
            <v>2</v>
          </cell>
          <cell r="H1044" t="str">
            <v>RETAIL</v>
          </cell>
          <cell r="I1044" t="str">
            <v>22</v>
          </cell>
          <cell r="J1044" t="str">
            <v>WF2</v>
          </cell>
          <cell r="K1044" t="str">
            <v>2216</v>
          </cell>
          <cell r="L1044" t="str">
            <v>PU MULTIPURPOSE</v>
          </cell>
          <cell r="M1044" t="str">
            <v>221601</v>
          </cell>
          <cell r="N1044" t="str">
            <v>PROPAN MP PU ACR RMX</v>
          </cell>
        </row>
        <row r="1045">
          <cell r="C1045" t="str">
            <v>100002250</v>
          </cell>
          <cell r="D1045" t="str">
            <v>2K ACRYLIC CREAM GLOSS VN-4K</v>
          </cell>
          <cell r="E1045" t="str">
            <v>ZFGD</v>
          </cell>
          <cell r="F1045" t="str">
            <v>PC</v>
          </cell>
          <cell r="G1045" t="str">
            <v>2</v>
          </cell>
          <cell r="H1045" t="str">
            <v>RETAIL</v>
          </cell>
          <cell r="I1045" t="str">
            <v>22</v>
          </cell>
          <cell r="J1045" t="str">
            <v>WF2</v>
          </cell>
          <cell r="K1045" t="str">
            <v>2216</v>
          </cell>
          <cell r="L1045" t="str">
            <v>PU MULTIPURPOSE</v>
          </cell>
          <cell r="M1045" t="str">
            <v>221601</v>
          </cell>
          <cell r="N1045" t="str">
            <v>PROPAN MP PU ACR RMX</v>
          </cell>
        </row>
        <row r="1046">
          <cell r="C1046" t="str">
            <v>100002251</v>
          </cell>
          <cell r="D1046" t="str">
            <v>2K ACRYLIC CREAM GLOSS VN-20KSP</v>
          </cell>
          <cell r="E1046" t="str">
            <v>ZFGD</v>
          </cell>
          <cell r="F1046" t="str">
            <v>SET</v>
          </cell>
          <cell r="G1046" t="str">
            <v>2</v>
          </cell>
          <cell r="H1046" t="str">
            <v>RETAIL</v>
          </cell>
          <cell r="I1046" t="str">
            <v>22</v>
          </cell>
          <cell r="J1046" t="str">
            <v>WF2</v>
          </cell>
          <cell r="K1046" t="str">
            <v>2216</v>
          </cell>
          <cell r="L1046" t="str">
            <v>PU MULTIPURPOSE</v>
          </cell>
          <cell r="M1046" t="str">
            <v>221601</v>
          </cell>
          <cell r="N1046" t="str">
            <v>PROPAN MP PU ACR RMX</v>
          </cell>
        </row>
        <row r="1047">
          <cell r="C1047" t="str">
            <v>100002252</v>
          </cell>
          <cell r="D1047" t="str">
            <v>2K ACRYLIC CREAM GLOSS VN-16KP</v>
          </cell>
          <cell r="E1047" t="str">
            <v>ZFGD</v>
          </cell>
          <cell r="F1047" t="str">
            <v>PC</v>
          </cell>
          <cell r="G1047" t="str">
            <v>2</v>
          </cell>
          <cell r="H1047" t="str">
            <v>RETAIL</v>
          </cell>
          <cell r="I1047" t="str">
            <v>22</v>
          </cell>
          <cell r="J1047" t="str">
            <v>WF2</v>
          </cell>
          <cell r="K1047" t="str">
            <v>2216</v>
          </cell>
          <cell r="L1047" t="str">
            <v>PU MULTIPURPOSE</v>
          </cell>
          <cell r="M1047" t="str">
            <v>221601</v>
          </cell>
          <cell r="N1047" t="str">
            <v>PROPAN MP PU ACR RMX</v>
          </cell>
        </row>
        <row r="1048">
          <cell r="C1048" t="str">
            <v>100002253</v>
          </cell>
          <cell r="D1048" t="str">
            <v>AZP-481 ZINC PHOSPHATE VN-1K</v>
          </cell>
          <cell r="E1048" t="str">
            <v>ZFGD</v>
          </cell>
          <cell r="F1048" t="str">
            <v>PC</v>
          </cell>
          <cell r="G1048" t="str">
            <v>2</v>
          </cell>
          <cell r="H1048" t="str">
            <v>RETAIL</v>
          </cell>
          <cell r="I1048" t="str">
            <v>29</v>
          </cell>
          <cell r="J1048" t="str">
            <v>MPC</v>
          </cell>
          <cell r="K1048" t="str">
            <v>2901</v>
          </cell>
          <cell r="L1048" t="str">
            <v>METALKOTE</v>
          </cell>
          <cell r="M1048" t="str">
            <v>290101</v>
          </cell>
          <cell r="N1048" t="str">
            <v>METALKOTE-ALKYD SYS</v>
          </cell>
        </row>
        <row r="1049">
          <cell r="C1049" t="str">
            <v>100002254</v>
          </cell>
          <cell r="D1049" t="str">
            <v>AZP-481 ZINC PHOSPHATE VN-4K</v>
          </cell>
          <cell r="E1049" t="str">
            <v>ZFGD</v>
          </cell>
          <cell r="F1049" t="str">
            <v>PC</v>
          </cell>
          <cell r="G1049" t="str">
            <v>2</v>
          </cell>
          <cell r="H1049" t="str">
            <v>RETAIL</v>
          </cell>
          <cell r="I1049" t="str">
            <v>29</v>
          </cell>
          <cell r="J1049" t="str">
            <v>MPC</v>
          </cell>
          <cell r="K1049" t="str">
            <v>2901</v>
          </cell>
          <cell r="L1049" t="str">
            <v>METALKOTE</v>
          </cell>
          <cell r="M1049" t="str">
            <v>290101</v>
          </cell>
          <cell r="N1049" t="str">
            <v>METALKOTE-ALKYD SYS</v>
          </cell>
        </row>
        <row r="1050">
          <cell r="C1050" t="str">
            <v>100002255</v>
          </cell>
          <cell r="D1050" t="str">
            <v>AZP-481 ZINC PHOSPHATE VN-18KP</v>
          </cell>
          <cell r="E1050" t="str">
            <v>ZFGD</v>
          </cell>
          <cell r="F1050" t="str">
            <v>PC</v>
          </cell>
          <cell r="G1050" t="str">
            <v>2</v>
          </cell>
          <cell r="H1050" t="str">
            <v>RETAIL</v>
          </cell>
          <cell r="I1050" t="str">
            <v>29</v>
          </cell>
          <cell r="J1050" t="str">
            <v>MPC</v>
          </cell>
          <cell r="K1050" t="str">
            <v>2901</v>
          </cell>
          <cell r="L1050" t="str">
            <v>METALKOTE</v>
          </cell>
          <cell r="M1050" t="str">
            <v>290101</v>
          </cell>
          <cell r="N1050" t="str">
            <v>METALKOTE-ALKYD SYS</v>
          </cell>
        </row>
        <row r="1051">
          <cell r="C1051" t="str">
            <v>100002256</v>
          </cell>
          <cell r="D1051" t="str">
            <v>AZP-481 RED OXIDE VN-1K</v>
          </cell>
          <cell r="E1051" t="str">
            <v>ZFGD</v>
          </cell>
          <cell r="F1051" t="str">
            <v>PC</v>
          </cell>
          <cell r="G1051" t="str">
            <v>2</v>
          </cell>
          <cell r="H1051" t="str">
            <v>RETAIL</v>
          </cell>
          <cell r="I1051" t="str">
            <v>29</v>
          </cell>
          <cell r="J1051" t="str">
            <v>MPC</v>
          </cell>
          <cell r="K1051" t="str">
            <v>2901</v>
          </cell>
          <cell r="L1051" t="str">
            <v>METALKOTE</v>
          </cell>
          <cell r="M1051" t="str">
            <v>290101</v>
          </cell>
          <cell r="N1051" t="str">
            <v>METALKOTE-ALKYD SYS</v>
          </cell>
        </row>
        <row r="1052">
          <cell r="C1052" t="str">
            <v>100002257</v>
          </cell>
          <cell r="D1052" t="str">
            <v>AZP-481 RED OXIDE VN-4K</v>
          </cell>
          <cell r="E1052" t="str">
            <v>ZFGD</v>
          </cell>
          <cell r="F1052" t="str">
            <v>PC</v>
          </cell>
          <cell r="G1052" t="str">
            <v>2</v>
          </cell>
          <cell r="H1052" t="str">
            <v>RETAIL</v>
          </cell>
          <cell r="I1052" t="str">
            <v>29</v>
          </cell>
          <cell r="J1052" t="str">
            <v>MPC</v>
          </cell>
          <cell r="K1052" t="str">
            <v>2901</v>
          </cell>
          <cell r="L1052" t="str">
            <v>METALKOTE</v>
          </cell>
          <cell r="M1052" t="str">
            <v>290101</v>
          </cell>
          <cell r="N1052" t="str">
            <v>METALKOTE-ALKYD SYS</v>
          </cell>
        </row>
        <row r="1053">
          <cell r="C1053" t="str">
            <v>100002258</v>
          </cell>
          <cell r="D1053" t="str">
            <v>AZP-481 RED OXIDE VN-18KP</v>
          </cell>
          <cell r="E1053" t="str">
            <v>ZFGD</v>
          </cell>
          <cell r="F1053" t="str">
            <v>PC</v>
          </cell>
          <cell r="G1053" t="str">
            <v>2</v>
          </cell>
          <cell r="H1053" t="str">
            <v>RETAIL</v>
          </cell>
          <cell r="I1053" t="str">
            <v>29</v>
          </cell>
          <cell r="J1053" t="str">
            <v>MPC</v>
          </cell>
          <cell r="K1053" t="str">
            <v>2901</v>
          </cell>
          <cell r="L1053" t="str">
            <v>METALKOTE</v>
          </cell>
          <cell r="M1053" t="str">
            <v>290101</v>
          </cell>
          <cell r="N1053" t="str">
            <v>METALKOTE-ALKYD SYS</v>
          </cell>
        </row>
        <row r="1054">
          <cell r="C1054" t="str">
            <v>100002436</v>
          </cell>
          <cell r="D1054" t="str">
            <v>PUH-56135 S VN-20KP</v>
          </cell>
          <cell r="E1054" t="str">
            <v>ZFGD</v>
          </cell>
          <cell r="F1054" t="str">
            <v>PC</v>
          </cell>
          <cell r="G1054" t="str">
            <v>1</v>
          </cell>
          <cell r="H1054" t="str">
            <v>INDUSTRY</v>
          </cell>
          <cell r="I1054" t="str">
            <v>11</v>
          </cell>
          <cell r="J1054" t="str">
            <v>WOOD COATINGS</v>
          </cell>
          <cell r="K1054" t="str">
            <v>1103</v>
          </cell>
          <cell r="L1054" t="str">
            <v>PU</v>
          </cell>
          <cell r="M1054" t="str">
            <v>110320</v>
          </cell>
          <cell r="N1054" t="str">
            <v>PU HARDENER</v>
          </cell>
        </row>
        <row r="1055">
          <cell r="C1055" t="str">
            <v>100002527</v>
          </cell>
          <cell r="D1055" t="str">
            <v>PUSS-51235 VN-20KP</v>
          </cell>
          <cell r="E1055" t="str">
            <v>ZFGD</v>
          </cell>
          <cell r="F1055" t="str">
            <v>PC</v>
          </cell>
          <cell r="G1055" t="str">
            <v>1</v>
          </cell>
          <cell r="H1055" t="str">
            <v>INDUSTRY</v>
          </cell>
          <cell r="I1055" t="str">
            <v>11</v>
          </cell>
          <cell r="J1055" t="str">
            <v>WOOD COATINGS</v>
          </cell>
          <cell r="K1055" t="str">
            <v>1103</v>
          </cell>
          <cell r="L1055" t="str">
            <v>PU</v>
          </cell>
          <cell r="M1055" t="str">
            <v>110323</v>
          </cell>
          <cell r="N1055" t="str">
            <v>PU SANDING SEALER</v>
          </cell>
        </row>
        <row r="1056">
          <cell r="C1056" t="str">
            <v>100002539</v>
          </cell>
          <cell r="D1056" t="str">
            <v>WBG-66900 IBW-200KB</v>
          </cell>
          <cell r="E1056" t="str">
            <v>ZFGD</v>
          </cell>
          <cell r="F1056" t="str">
            <v>PC</v>
          </cell>
          <cell r="G1056" t="str">
            <v>1</v>
          </cell>
          <cell r="H1056" t="str">
            <v>INDUSTRY</v>
          </cell>
          <cell r="I1056" t="str">
            <v>11</v>
          </cell>
          <cell r="J1056" t="str">
            <v>WOOD COATINGS</v>
          </cell>
          <cell r="K1056" t="str">
            <v>1111</v>
          </cell>
          <cell r="L1056" t="str">
            <v>WATERBASED SYSTEM INTERIOR</v>
          </cell>
          <cell r="M1056" t="str">
            <v>111104</v>
          </cell>
          <cell r="N1056" t="str">
            <v>WATERBASED SYSTEM INTERIOR</v>
          </cell>
        </row>
        <row r="1057">
          <cell r="C1057" t="str">
            <v>100002550</v>
          </cell>
          <cell r="D1057" t="str">
            <v>PFC-225 EPOCEM-1.5K</v>
          </cell>
          <cell r="E1057" t="str">
            <v>ZFGD</v>
          </cell>
          <cell r="F1057" t="str">
            <v>PC</v>
          </cell>
          <cell r="G1057" t="str">
            <v>5</v>
          </cell>
          <cell r="H1057" t="str">
            <v>PROJECT</v>
          </cell>
          <cell r="I1057" t="str">
            <v>56</v>
          </cell>
          <cell r="J1057" t="str">
            <v>CPC1</v>
          </cell>
          <cell r="K1057" t="str">
            <v>5602</v>
          </cell>
          <cell r="L1057" t="str">
            <v>POLYFLOOR</v>
          </cell>
          <cell r="M1057" t="str">
            <v>560201</v>
          </cell>
          <cell r="N1057" t="str">
            <v>POLYFLOOR CEMENT</v>
          </cell>
        </row>
        <row r="1058">
          <cell r="C1058" t="str">
            <v>100002551</v>
          </cell>
          <cell r="D1058" t="str">
            <v>PFC-225 SEALER-1.5K</v>
          </cell>
          <cell r="E1058" t="str">
            <v>ZFGD</v>
          </cell>
          <cell r="F1058" t="str">
            <v>PC</v>
          </cell>
          <cell r="G1058" t="str">
            <v>5</v>
          </cell>
          <cell r="H1058" t="str">
            <v>PROJECT</v>
          </cell>
          <cell r="I1058" t="str">
            <v>56</v>
          </cell>
          <cell r="J1058" t="str">
            <v>CPC1</v>
          </cell>
          <cell r="K1058" t="str">
            <v>5602</v>
          </cell>
          <cell r="L1058" t="str">
            <v>POLYFLOOR</v>
          </cell>
          <cell r="M1058" t="str">
            <v>560201</v>
          </cell>
          <cell r="N1058" t="str">
            <v>POLYFLOOR CEMENT</v>
          </cell>
        </row>
        <row r="1059">
          <cell r="C1059" t="str">
            <v>100002552</v>
          </cell>
          <cell r="D1059" t="str">
            <v>CEMENT POWDER PFC-225-25KZ</v>
          </cell>
          <cell r="E1059" t="str">
            <v>ZFGD</v>
          </cell>
          <cell r="F1059" t="str">
            <v>PC</v>
          </cell>
          <cell r="G1059" t="str">
            <v>5</v>
          </cell>
          <cell r="H1059" t="str">
            <v>PROJECT</v>
          </cell>
          <cell r="I1059" t="str">
            <v>56</v>
          </cell>
          <cell r="J1059" t="str">
            <v>CPC1</v>
          </cell>
          <cell r="K1059" t="str">
            <v>5602</v>
          </cell>
          <cell r="L1059" t="str">
            <v>POLYFLOOR</v>
          </cell>
          <cell r="M1059" t="str">
            <v>560201</v>
          </cell>
          <cell r="N1059" t="str">
            <v>POLYFLOOR CEMENT</v>
          </cell>
        </row>
        <row r="1060">
          <cell r="C1060" t="str">
            <v>100002557</v>
          </cell>
          <cell r="D1060" t="str">
            <v>HARDENER PFC-225 EPOCEM-4.5K</v>
          </cell>
          <cell r="E1060" t="str">
            <v>ZFGD</v>
          </cell>
          <cell r="F1060" t="str">
            <v>PC</v>
          </cell>
          <cell r="G1060" t="str">
            <v>5</v>
          </cell>
          <cell r="H1060" t="str">
            <v>PROJECT</v>
          </cell>
          <cell r="I1060" t="str">
            <v>56</v>
          </cell>
          <cell r="J1060" t="str">
            <v>CPC1</v>
          </cell>
          <cell r="K1060" t="str">
            <v>5607</v>
          </cell>
          <cell r="L1060" t="str">
            <v>OTHERS CPC1</v>
          </cell>
          <cell r="M1060" t="str">
            <v>560703</v>
          </cell>
          <cell r="N1060" t="str">
            <v>COMPLEMENTARY CPC1</v>
          </cell>
        </row>
        <row r="1061">
          <cell r="C1061" t="str">
            <v>100002558</v>
          </cell>
          <cell r="D1061" t="str">
            <v>HARDENER EPOXY CEMENT PFC-225 SEALER-4.5</v>
          </cell>
          <cell r="E1061" t="str">
            <v>ZFGD</v>
          </cell>
          <cell r="F1061" t="str">
            <v>PC</v>
          </cell>
          <cell r="G1061" t="str">
            <v>2</v>
          </cell>
          <cell r="H1061" t="str">
            <v>RETAIL</v>
          </cell>
          <cell r="I1061" t="str">
            <v>27</v>
          </cell>
          <cell r="J1061" t="str">
            <v>CPC1</v>
          </cell>
          <cell r="K1061" t="str">
            <v>2707</v>
          </cell>
          <cell r="L1061" t="str">
            <v>OTHERS CPC1</v>
          </cell>
          <cell r="M1061" t="str">
            <v>270703</v>
          </cell>
          <cell r="N1061" t="str">
            <v>COMPLEMENTARY CPC1</v>
          </cell>
        </row>
        <row r="1062">
          <cell r="C1062" t="str">
            <v>100002592</v>
          </cell>
          <cell r="D1062" t="str">
            <v>PUL-749-2K 30 SHEEN VN-16KP</v>
          </cell>
          <cell r="E1062" t="str">
            <v>ZFGD</v>
          </cell>
          <cell r="F1062" t="str">
            <v>PC</v>
          </cell>
          <cell r="G1062" t="str">
            <v>2</v>
          </cell>
          <cell r="H1062" t="str">
            <v>RETAIL</v>
          </cell>
          <cell r="I1062" t="str">
            <v>22</v>
          </cell>
          <cell r="J1062" t="str">
            <v>WF2</v>
          </cell>
          <cell r="K1062" t="str">
            <v>2213</v>
          </cell>
          <cell r="L1062" t="str">
            <v>PU-41</v>
          </cell>
          <cell r="M1062" t="str">
            <v>221302</v>
          </cell>
          <cell r="N1062" t="str">
            <v>PROPAN PU-41 RMX</v>
          </cell>
        </row>
        <row r="1063">
          <cell r="C1063" t="str">
            <v>100002593</v>
          </cell>
          <cell r="D1063" t="str">
            <v>PUL-749-2K 50 SHEEN VN-16KP</v>
          </cell>
          <cell r="E1063" t="str">
            <v>ZFGD</v>
          </cell>
          <cell r="F1063" t="str">
            <v>PC</v>
          </cell>
          <cell r="G1063" t="str">
            <v>2</v>
          </cell>
          <cell r="H1063" t="str">
            <v>RETAIL</v>
          </cell>
          <cell r="I1063" t="str">
            <v>22</v>
          </cell>
          <cell r="J1063" t="str">
            <v>WF2</v>
          </cell>
          <cell r="K1063" t="str">
            <v>2213</v>
          </cell>
          <cell r="L1063" t="str">
            <v>PU-41</v>
          </cell>
          <cell r="M1063" t="str">
            <v>221302</v>
          </cell>
          <cell r="N1063" t="str">
            <v>PROPAN PU-41 RMX</v>
          </cell>
        </row>
        <row r="1064">
          <cell r="C1064" t="str">
            <v>100002594</v>
          </cell>
          <cell r="D1064" t="str">
            <v>PUL-749 2K 90 SHEEN VN-16KP</v>
          </cell>
          <cell r="E1064" t="str">
            <v>ZFGD</v>
          </cell>
          <cell r="F1064" t="str">
            <v>PC</v>
          </cell>
          <cell r="G1064" t="str">
            <v>2</v>
          </cell>
          <cell r="H1064" t="str">
            <v>RETAIL</v>
          </cell>
          <cell r="I1064" t="str">
            <v>22</v>
          </cell>
          <cell r="J1064" t="str">
            <v>WF2</v>
          </cell>
          <cell r="K1064" t="str">
            <v>2213</v>
          </cell>
          <cell r="L1064" t="str">
            <v>PU-41</v>
          </cell>
          <cell r="M1064" t="str">
            <v>221302</v>
          </cell>
          <cell r="N1064" t="str">
            <v>PROPAN PU-41 RMX</v>
          </cell>
        </row>
        <row r="1065">
          <cell r="C1065" t="str">
            <v>100002605</v>
          </cell>
          <cell r="D1065" t="str">
            <v>PUC-757 GENTIAN BLUE GLOSS 08 VN-4K</v>
          </cell>
          <cell r="E1065" t="str">
            <v>ZFGD</v>
          </cell>
          <cell r="F1065" t="str">
            <v>PC</v>
          </cell>
          <cell r="G1065" t="str">
            <v>2</v>
          </cell>
          <cell r="H1065" t="str">
            <v>RETAIL</v>
          </cell>
          <cell r="I1065" t="str">
            <v>22</v>
          </cell>
          <cell r="J1065" t="str">
            <v>WF2</v>
          </cell>
          <cell r="K1065" t="str">
            <v>2216</v>
          </cell>
          <cell r="L1065" t="str">
            <v>PU MULTIPURPOSE</v>
          </cell>
          <cell r="M1065" t="str">
            <v>221601</v>
          </cell>
          <cell r="N1065" t="str">
            <v>PROPAN MP PU ACR RMX</v>
          </cell>
        </row>
        <row r="1066">
          <cell r="C1066" t="str">
            <v>100002606</v>
          </cell>
          <cell r="D1066" t="str">
            <v>PUC-757 GERANIUM MEDIUM GLOSS 22 VN-4K</v>
          </cell>
          <cell r="E1066" t="str">
            <v>ZFGD</v>
          </cell>
          <cell r="F1066" t="str">
            <v>PC</v>
          </cell>
          <cell r="G1066" t="str">
            <v>2</v>
          </cell>
          <cell r="H1066" t="str">
            <v>RETAIL</v>
          </cell>
          <cell r="I1066" t="str">
            <v>22</v>
          </cell>
          <cell r="J1066" t="str">
            <v>WF2</v>
          </cell>
          <cell r="K1066" t="str">
            <v>2216</v>
          </cell>
          <cell r="L1066" t="str">
            <v>PU MULTIPURPOSE</v>
          </cell>
          <cell r="M1066" t="str">
            <v>221601</v>
          </cell>
          <cell r="N1066" t="str">
            <v>PROPAN MP PU ACR RMX</v>
          </cell>
        </row>
        <row r="1067">
          <cell r="C1067" t="str">
            <v>100002619</v>
          </cell>
          <cell r="D1067" t="str">
            <v>PUP-52122 PUTTY VN-4K</v>
          </cell>
          <cell r="E1067" t="str">
            <v>ZFGD</v>
          </cell>
          <cell r="F1067" t="str">
            <v>PC</v>
          </cell>
          <cell r="G1067" t="str">
            <v>1</v>
          </cell>
          <cell r="H1067" t="str">
            <v>INDUSTRY</v>
          </cell>
          <cell r="I1067" t="str">
            <v>11</v>
          </cell>
          <cell r="J1067" t="str">
            <v>WOOD COATINGS</v>
          </cell>
          <cell r="K1067" t="str">
            <v>1103</v>
          </cell>
          <cell r="L1067" t="str">
            <v>PU</v>
          </cell>
          <cell r="M1067" t="str">
            <v>110322</v>
          </cell>
          <cell r="N1067" t="str">
            <v>PU PRIMER</v>
          </cell>
        </row>
        <row r="1068">
          <cell r="C1068" t="str">
            <v>100002646</v>
          </cell>
          <cell r="D1068" t="str">
            <v>PUH-56306 LY-1L</v>
          </cell>
          <cell r="E1068" t="str">
            <v>ZFGD</v>
          </cell>
          <cell r="F1068" t="str">
            <v>PC</v>
          </cell>
          <cell r="G1068" t="str">
            <v>1</v>
          </cell>
          <cell r="H1068" t="str">
            <v>INDUSTRY</v>
          </cell>
          <cell r="I1068" t="str">
            <v>11</v>
          </cell>
          <cell r="J1068" t="str">
            <v>WOOD COATINGS</v>
          </cell>
          <cell r="K1068" t="str">
            <v>1103</v>
          </cell>
          <cell r="L1068" t="str">
            <v>PU</v>
          </cell>
          <cell r="M1068" t="str">
            <v>110320</v>
          </cell>
          <cell r="N1068" t="str">
            <v>PU HARDENER</v>
          </cell>
        </row>
        <row r="1069">
          <cell r="C1069" t="str">
            <v>100002650</v>
          </cell>
          <cell r="D1069" t="str">
            <v>PUC-54205 AC WHITE 90 VN-16KP</v>
          </cell>
          <cell r="E1069" t="str">
            <v>ZFGD</v>
          </cell>
          <cell r="F1069" t="str">
            <v>PC</v>
          </cell>
          <cell r="G1069" t="str">
            <v>1</v>
          </cell>
          <cell r="H1069" t="str">
            <v>INDUSTRY</v>
          </cell>
          <cell r="I1069" t="str">
            <v>11</v>
          </cell>
          <cell r="J1069" t="str">
            <v>WOOD COATINGS</v>
          </cell>
          <cell r="K1069" t="str">
            <v>1103</v>
          </cell>
          <cell r="L1069" t="str">
            <v>PU</v>
          </cell>
          <cell r="M1069" t="str">
            <v>110319</v>
          </cell>
          <cell r="N1069" t="str">
            <v>PU COLOR</v>
          </cell>
        </row>
        <row r="1070">
          <cell r="C1070" t="str">
            <v>100002651</v>
          </cell>
          <cell r="D1070" t="str">
            <v>#NUHARDENER PFP-261-2K</v>
          </cell>
          <cell r="E1070" t="str">
            <v>ZFGD</v>
          </cell>
          <cell r="F1070" t="str">
            <v>PC</v>
          </cell>
          <cell r="G1070" t="str">
            <v>5</v>
          </cell>
          <cell r="H1070" t="str">
            <v>PROJECT</v>
          </cell>
          <cell r="I1070" t="str">
            <v>56</v>
          </cell>
          <cell r="J1070" t="str">
            <v>CPC1</v>
          </cell>
          <cell r="K1070" t="str">
            <v>5607</v>
          </cell>
          <cell r="L1070" t="str">
            <v>OTHERS CPC1</v>
          </cell>
          <cell r="M1070" t="str">
            <v>560703</v>
          </cell>
          <cell r="N1070" t="str">
            <v>COMPLEMENTARY CPC1</v>
          </cell>
        </row>
        <row r="1071">
          <cell r="C1071" t="str">
            <v>100002652</v>
          </cell>
          <cell r="D1071" t="str">
            <v>HARDENER PFT-253 3K VN-4K</v>
          </cell>
          <cell r="E1071" t="str">
            <v>ZFGD</v>
          </cell>
          <cell r="F1071" t="str">
            <v>PC</v>
          </cell>
          <cell r="G1071" t="str">
            <v>5</v>
          </cell>
          <cell r="H1071" t="str">
            <v>PROJECT</v>
          </cell>
          <cell r="I1071" t="str">
            <v>56</v>
          </cell>
          <cell r="J1071" t="str">
            <v>CPC1</v>
          </cell>
          <cell r="K1071" t="str">
            <v>5607</v>
          </cell>
          <cell r="L1071" t="str">
            <v>OTHERS CPC1</v>
          </cell>
          <cell r="M1071" t="str">
            <v>560703</v>
          </cell>
          <cell r="N1071" t="str">
            <v>COMPLEMENTARY CPC1</v>
          </cell>
        </row>
        <row r="1072">
          <cell r="C1072" t="str">
            <v>100002653</v>
          </cell>
          <cell r="D1072" t="str">
            <v>MX-94 BLACK-4K</v>
          </cell>
          <cell r="E1072" t="str">
            <v>ZFGD</v>
          </cell>
          <cell r="F1072" t="str">
            <v>PC</v>
          </cell>
          <cell r="G1072" t="str">
            <v>5</v>
          </cell>
          <cell r="H1072" t="str">
            <v>PROJECT</v>
          </cell>
          <cell r="I1072" t="str">
            <v>56</v>
          </cell>
          <cell r="J1072" t="str">
            <v>CPC1</v>
          </cell>
          <cell r="K1072" t="str">
            <v>5603</v>
          </cell>
          <cell r="L1072" t="str">
            <v>MULTIPOX</v>
          </cell>
          <cell r="M1072" t="str">
            <v>560301</v>
          </cell>
          <cell r="N1072" t="str">
            <v>MULTIPOX</v>
          </cell>
        </row>
        <row r="1073">
          <cell r="C1073" t="str">
            <v>100002654</v>
          </cell>
          <cell r="D1073" t="str">
            <v>PFT-253 3K LIGHT GREY-16KP</v>
          </cell>
          <cell r="E1073" t="str">
            <v>ZFGD</v>
          </cell>
          <cell r="F1073" t="str">
            <v>PC</v>
          </cell>
          <cell r="G1073" t="str">
            <v>5</v>
          </cell>
          <cell r="H1073" t="str">
            <v>PROJECT</v>
          </cell>
          <cell r="I1073" t="str">
            <v>56</v>
          </cell>
          <cell r="J1073" t="str">
            <v>CPC1</v>
          </cell>
          <cell r="K1073" t="str">
            <v>5602</v>
          </cell>
          <cell r="L1073" t="str">
            <v>POLYFLOOR</v>
          </cell>
          <cell r="M1073" t="str">
            <v>560202</v>
          </cell>
          <cell r="N1073" t="str">
            <v>POLYFLOOR EPOXY</v>
          </cell>
        </row>
        <row r="1074">
          <cell r="C1074" t="str">
            <v>100002655</v>
          </cell>
          <cell r="D1074" t="str">
            <v>#NOT USED - THINNER LASUR-3.8L</v>
          </cell>
          <cell r="E1074" t="str">
            <v>ZFGD</v>
          </cell>
          <cell r="F1074" t="str">
            <v>PC</v>
          </cell>
          <cell r="G1074" t="str">
            <v>2</v>
          </cell>
          <cell r="H1074" t="str">
            <v>RETAIL</v>
          </cell>
          <cell r="I1074" t="str">
            <v>21</v>
          </cell>
          <cell r="J1074" t="str">
            <v>WF1</v>
          </cell>
          <cell r="K1074" t="str">
            <v>2108</v>
          </cell>
          <cell r="L1074" t="str">
            <v>THINNER</v>
          </cell>
          <cell r="M1074" t="str">
            <v>210801</v>
          </cell>
          <cell r="N1074" t="str">
            <v>THINNER RETAIL</v>
          </cell>
        </row>
        <row r="1075">
          <cell r="C1075" t="str">
            <v>100002656</v>
          </cell>
          <cell r="D1075" t="str">
            <v>#NUEDL-601 CARAMEL 8001 VN-5L</v>
          </cell>
          <cell r="E1075" t="str">
            <v>ZFGD</v>
          </cell>
          <cell r="F1075" t="str">
            <v>PC</v>
          </cell>
          <cell r="G1075" t="str">
            <v>2</v>
          </cell>
          <cell r="H1075" t="str">
            <v>RETAIL</v>
          </cell>
          <cell r="I1075" t="str">
            <v>24</v>
          </cell>
          <cell r="J1075" t="str">
            <v>WF3</v>
          </cell>
          <cell r="K1075" t="str">
            <v>2401</v>
          </cell>
          <cell r="L1075" t="str">
            <v>WOOD CARE</v>
          </cell>
          <cell r="M1075" t="str">
            <v>240102</v>
          </cell>
          <cell r="N1075" t="str">
            <v>ULTRAN LASUR</v>
          </cell>
        </row>
        <row r="1076">
          <cell r="C1076" t="str">
            <v>100002657</v>
          </cell>
          <cell r="D1076" t="str">
            <v>#NUEL-501 CARAMEL 8001 VN-5L</v>
          </cell>
          <cell r="E1076" t="str">
            <v>ZFGD</v>
          </cell>
          <cell r="F1076" t="str">
            <v>PC</v>
          </cell>
          <cell r="G1076" t="str">
            <v>2</v>
          </cell>
          <cell r="H1076" t="str">
            <v>RETAIL</v>
          </cell>
          <cell r="I1076" t="str">
            <v>24</v>
          </cell>
          <cell r="J1076" t="str">
            <v>WF3</v>
          </cell>
          <cell r="K1076" t="str">
            <v>2401</v>
          </cell>
          <cell r="L1076" t="str">
            <v>WOOD CARE</v>
          </cell>
          <cell r="M1076" t="str">
            <v>240102</v>
          </cell>
          <cell r="N1076" t="str">
            <v>ULTRAN LASUR</v>
          </cell>
        </row>
        <row r="1077">
          <cell r="C1077" t="str">
            <v>100002658</v>
          </cell>
          <cell r="D1077" t="str">
            <v>#NUUS-970 CARITA 1137 VN-20LJ</v>
          </cell>
          <cell r="E1077" t="str">
            <v>ZFGD</v>
          </cell>
          <cell r="F1077" t="str">
            <v>PC</v>
          </cell>
          <cell r="G1077" t="str">
            <v>2</v>
          </cell>
          <cell r="H1077" t="str">
            <v>RETAIL</v>
          </cell>
          <cell r="I1077" t="str">
            <v>28</v>
          </cell>
          <cell r="J1077" t="str">
            <v>CPC2</v>
          </cell>
          <cell r="K1077" t="str">
            <v>2801</v>
          </cell>
          <cell r="L1077" t="str">
            <v>WATERPROOFING</v>
          </cell>
          <cell r="M1077" t="str">
            <v>280104</v>
          </cell>
          <cell r="N1077" t="str">
            <v>ULTRASEAL</v>
          </cell>
        </row>
        <row r="1078">
          <cell r="C1078" t="str">
            <v>100002659</v>
          </cell>
          <cell r="D1078" t="str">
            <v>PFT-253 PALE GREEN-16KP</v>
          </cell>
          <cell r="E1078" t="str">
            <v>ZFGD</v>
          </cell>
          <cell r="F1078" t="str">
            <v>PC</v>
          </cell>
          <cell r="G1078" t="str">
            <v>2</v>
          </cell>
          <cell r="H1078" t="str">
            <v>RETAIL</v>
          </cell>
          <cell r="I1078" t="str">
            <v>27</v>
          </cell>
          <cell r="J1078" t="str">
            <v>CPC1</v>
          </cell>
          <cell r="K1078" t="str">
            <v>2702</v>
          </cell>
          <cell r="L1078" t="str">
            <v>POLYFLOOR</v>
          </cell>
          <cell r="M1078" t="str">
            <v>270202</v>
          </cell>
          <cell r="N1078" t="str">
            <v>POLYFLOOR EPOXY</v>
          </cell>
        </row>
        <row r="1079">
          <cell r="C1079" t="str">
            <v>100002660</v>
          </cell>
          <cell r="D1079" t="str">
            <v>PUC-54205 AC WHITE 50 VN-4K</v>
          </cell>
          <cell r="E1079" t="str">
            <v>ZFGD</v>
          </cell>
          <cell r="F1079" t="str">
            <v>PC</v>
          </cell>
          <cell r="G1079" t="str">
            <v>1</v>
          </cell>
          <cell r="H1079" t="str">
            <v>INDUSTRY</v>
          </cell>
          <cell r="I1079" t="str">
            <v>11</v>
          </cell>
          <cell r="J1079" t="str">
            <v>WOOD COATINGS</v>
          </cell>
          <cell r="K1079" t="str">
            <v>1103</v>
          </cell>
          <cell r="L1079" t="str">
            <v>PU</v>
          </cell>
          <cell r="M1079" t="str">
            <v>110319</v>
          </cell>
          <cell r="N1079" t="str">
            <v>PU COLOR</v>
          </cell>
        </row>
        <row r="1080">
          <cell r="C1080" t="str">
            <v>100002661</v>
          </cell>
          <cell r="D1080" t="str">
            <v>#NUTHINNER PU-047 VT-20LJ</v>
          </cell>
          <cell r="E1080" t="str">
            <v>ZFGD</v>
          </cell>
          <cell r="F1080" t="str">
            <v>PC</v>
          </cell>
          <cell r="G1080" t="str">
            <v>2</v>
          </cell>
          <cell r="H1080" t="str">
            <v>RETAIL</v>
          </cell>
          <cell r="I1080" t="str">
            <v>22</v>
          </cell>
          <cell r="J1080" t="str">
            <v>WF2</v>
          </cell>
          <cell r="K1080" t="str">
            <v>2203</v>
          </cell>
          <cell r="L1080" t="str">
            <v>THINNER PU</v>
          </cell>
          <cell r="M1080" t="str">
            <v>220303</v>
          </cell>
          <cell r="N1080" t="str">
            <v>THINNER PU R</v>
          </cell>
        </row>
        <row r="1081">
          <cell r="C1081" t="str">
            <v>100002662</v>
          </cell>
          <cell r="D1081" t="str">
            <v>#NUEL-501 LS RED MAHONY VN-3005 VN-5L</v>
          </cell>
          <cell r="E1081" t="str">
            <v>ZFGD</v>
          </cell>
          <cell r="F1081" t="str">
            <v>PC</v>
          </cell>
          <cell r="G1081" t="str">
            <v>2</v>
          </cell>
          <cell r="H1081" t="str">
            <v>RETAIL</v>
          </cell>
          <cell r="I1081" t="str">
            <v>24</v>
          </cell>
          <cell r="J1081" t="str">
            <v>WF3</v>
          </cell>
          <cell r="K1081" t="str">
            <v>2401</v>
          </cell>
          <cell r="L1081" t="str">
            <v>WOOD CARE</v>
          </cell>
          <cell r="M1081" t="str">
            <v>240102</v>
          </cell>
          <cell r="N1081" t="str">
            <v>ULTRAN LASUR</v>
          </cell>
        </row>
        <row r="1082">
          <cell r="C1082" t="str">
            <v>100002663</v>
          </cell>
          <cell r="D1082" t="str">
            <v>#NUMEPH-12003 PS-2L</v>
          </cell>
          <cell r="E1082" t="str">
            <v>ZFGD</v>
          </cell>
          <cell r="F1082" t="str">
            <v>PC</v>
          </cell>
          <cell r="G1082" t="str">
            <v>1</v>
          </cell>
          <cell r="H1082" t="str">
            <v>INDUSTRY</v>
          </cell>
          <cell r="I1082" t="str">
            <v>11</v>
          </cell>
          <cell r="J1082" t="str">
            <v>WOOD COATINGS</v>
          </cell>
          <cell r="K1082" t="str">
            <v>1107</v>
          </cell>
          <cell r="L1082" t="str">
            <v>METAL COATING</v>
          </cell>
          <cell r="M1082" t="str">
            <v>110702</v>
          </cell>
          <cell r="N1082" t="str">
            <v>METAL COATING</v>
          </cell>
        </row>
        <row r="1083">
          <cell r="C1083" t="str">
            <v>100002664</v>
          </cell>
          <cell r="D1083" t="str">
            <v>#NUMEPH 12003 PS-0.5L</v>
          </cell>
          <cell r="E1083" t="str">
            <v>ZFGD</v>
          </cell>
          <cell r="F1083" t="str">
            <v>PC</v>
          </cell>
          <cell r="G1083" t="str">
            <v>1</v>
          </cell>
          <cell r="H1083" t="str">
            <v>INDUSTRY</v>
          </cell>
          <cell r="I1083" t="str">
            <v>11</v>
          </cell>
          <cell r="J1083" t="str">
            <v>WOOD COATINGS</v>
          </cell>
          <cell r="K1083" t="str">
            <v>1107</v>
          </cell>
          <cell r="L1083" t="str">
            <v>METAL COATING</v>
          </cell>
          <cell r="M1083" t="str">
            <v>110702</v>
          </cell>
          <cell r="N1083" t="str">
            <v>METAL COATING</v>
          </cell>
        </row>
        <row r="1084">
          <cell r="C1084" t="str">
            <v>100002665</v>
          </cell>
          <cell r="D1084" t="str">
            <v>HARDENER PFP-241 VN-0.62K</v>
          </cell>
          <cell r="E1084" t="str">
            <v>ZFGD</v>
          </cell>
          <cell r="F1084" t="str">
            <v>PC</v>
          </cell>
          <cell r="G1084" t="str">
            <v>5</v>
          </cell>
          <cell r="H1084" t="str">
            <v>PROJECT</v>
          </cell>
          <cell r="I1084" t="str">
            <v>56</v>
          </cell>
          <cell r="J1084" t="str">
            <v>CPC1</v>
          </cell>
          <cell r="K1084" t="str">
            <v>5607</v>
          </cell>
          <cell r="L1084" t="str">
            <v>OTHERS CPC1</v>
          </cell>
          <cell r="M1084" t="str">
            <v>560703</v>
          </cell>
          <cell r="N1084" t="str">
            <v>COMPLEMENTARY CPC1</v>
          </cell>
        </row>
        <row r="1085">
          <cell r="C1085" t="str">
            <v>100002666</v>
          </cell>
          <cell r="D1085" t="str">
            <v>#NUEDL-601 TWILIGHT TEAK 8303-5L</v>
          </cell>
          <cell r="E1085" t="str">
            <v>ZFGD</v>
          </cell>
          <cell r="F1085" t="str">
            <v>PC</v>
          </cell>
          <cell r="G1085" t="str">
            <v>2</v>
          </cell>
          <cell r="H1085" t="str">
            <v>RETAIL</v>
          </cell>
          <cell r="I1085" t="str">
            <v>24</v>
          </cell>
          <cell r="J1085" t="str">
            <v>WF3</v>
          </cell>
          <cell r="K1085" t="str">
            <v>2401</v>
          </cell>
          <cell r="L1085" t="str">
            <v>WOOD CARE</v>
          </cell>
          <cell r="M1085" t="str">
            <v>240102</v>
          </cell>
          <cell r="N1085" t="str">
            <v>ULTRAN LASUR</v>
          </cell>
        </row>
        <row r="1086">
          <cell r="C1086" t="str">
            <v>100002667</v>
          </cell>
          <cell r="D1086" t="str">
            <v>PFP-241 VN-4.38K</v>
          </cell>
          <cell r="E1086" t="str">
            <v>ZFGD</v>
          </cell>
          <cell r="F1086" t="str">
            <v>PC</v>
          </cell>
          <cell r="G1086" t="str">
            <v>5</v>
          </cell>
          <cell r="H1086" t="str">
            <v>PROJECT</v>
          </cell>
          <cell r="I1086" t="str">
            <v>56</v>
          </cell>
          <cell r="J1086" t="str">
            <v>CPC1</v>
          </cell>
          <cell r="K1086" t="str">
            <v>5602</v>
          </cell>
          <cell r="L1086" t="str">
            <v>POLYFLOOR</v>
          </cell>
          <cell r="M1086" t="str">
            <v>560202</v>
          </cell>
          <cell r="N1086" t="str">
            <v>POLYFLOOR EPOXY</v>
          </cell>
        </row>
        <row r="1087">
          <cell r="C1087" t="str">
            <v>100002668</v>
          </cell>
          <cell r="D1087" t="str">
            <v>#NUPUL-53306 AC EX CLEAR 10 VN-20LP</v>
          </cell>
          <cell r="E1087" t="str">
            <v>ZFGD</v>
          </cell>
          <cell r="F1087" t="str">
            <v>PC</v>
          </cell>
          <cell r="G1087" t="str">
            <v>1</v>
          </cell>
          <cell r="H1087" t="str">
            <v>INDUSTRY</v>
          </cell>
          <cell r="I1087" t="str">
            <v>11</v>
          </cell>
          <cell r="J1087" t="str">
            <v>WOOD COATINGS</v>
          </cell>
          <cell r="K1087" t="str">
            <v>1103</v>
          </cell>
          <cell r="L1087" t="str">
            <v>PU</v>
          </cell>
          <cell r="M1087" t="str">
            <v>110321</v>
          </cell>
          <cell r="N1087" t="str">
            <v>PU LACQUER</v>
          </cell>
        </row>
        <row r="1088">
          <cell r="C1088" t="str">
            <v>100002669</v>
          </cell>
          <cell r="D1088" t="str">
            <v>THINNER EPOXY VN-3.8L</v>
          </cell>
          <cell r="E1088" t="str">
            <v>ZFGD</v>
          </cell>
          <cell r="F1088" t="str">
            <v>PC</v>
          </cell>
          <cell r="G1088" t="str">
            <v>2</v>
          </cell>
          <cell r="H1088" t="str">
            <v>RETAIL</v>
          </cell>
          <cell r="I1088" t="str">
            <v>29</v>
          </cell>
          <cell r="J1088" t="str">
            <v>MPC</v>
          </cell>
          <cell r="K1088" t="str">
            <v>2915</v>
          </cell>
          <cell r="L1088" t="str">
            <v>THINNER</v>
          </cell>
          <cell r="M1088" t="str">
            <v>291502</v>
          </cell>
          <cell r="N1088" t="str">
            <v>THINNER MPC</v>
          </cell>
        </row>
        <row r="1089">
          <cell r="C1089" t="str">
            <v>100002670</v>
          </cell>
          <cell r="D1089" t="str">
            <v>PFT-253 LEAF GREEN-4K</v>
          </cell>
          <cell r="E1089" t="str">
            <v>ZFGD</v>
          </cell>
          <cell r="F1089" t="str">
            <v>PC</v>
          </cell>
          <cell r="G1089" t="str">
            <v>5</v>
          </cell>
          <cell r="H1089" t="str">
            <v>PROJECT</v>
          </cell>
          <cell r="I1089" t="str">
            <v>56</v>
          </cell>
          <cell r="J1089" t="str">
            <v>CPC1</v>
          </cell>
          <cell r="K1089" t="str">
            <v>5602</v>
          </cell>
          <cell r="L1089" t="str">
            <v>POLYFLOOR</v>
          </cell>
          <cell r="M1089" t="str">
            <v>560202</v>
          </cell>
          <cell r="N1089" t="str">
            <v>POLYFLOOR EPOXY</v>
          </cell>
        </row>
        <row r="1090">
          <cell r="C1090" t="str">
            <v>100002671</v>
          </cell>
          <cell r="D1090" t="str">
            <v>EL-501 RED WOOD-5L</v>
          </cell>
          <cell r="E1090" t="str">
            <v>ZFGD</v>
          </cell>
          <cell r="F1090" t="str">
            <v>PC</v>
          </cell>
          <cell r="G1090" t="str">
            <v>2</v>
          </cell>
          <cell r="H1090" t="str">
            <v>RETAIL</v>
          </cell>
          <cell r="I1090" t="str">
            <v>24</v>
          </cell>
          <cell r="J1090" t="str">
            <v>WF3</v>
          </cell>
          <cell r="K1090" t="str">
            <v>2413</v>
          </cell>
          <cell r="L1090" t="str">
            <v>ULTRAN</v>
          </cell>
          <cell r="M1090" t="str">
            <v>241304</v>
          </cell>
          <cell r="N1090" t="str">
            <v>ULTRAN LASUR</v>
          </cell>
        </row>
        <row r="1091">
          <cell r="C1091" t="str">
            <v>100002672</v>
          </cell>
          <cell r="D1091" t="str">
            <v>#NUAP-281 OXIDE RED VN-18LP</v>
          </cell>
          <cell r="E1091" t="str">
            <v>ZFGD</v>
          </cell>
          <cell r="F1091" t="str">
            <v>PC</v>
          </cell>
          <cell r="G1091" t="str">
            <v>2</v>
          </cell>
          <cell r="H1091" t="str">
            <v>RETAIL</v>
          </cell>
          <cell r="I1091" t="str">
            <v>29</v>
          </cell>
          <cell r="J1091" t="str">
            <v>MPC</v>
          </cell>
          <cell r="K1091" t="str">
            <v>2901</v>
          </cell>
          <cell r="L1091" t="str">
            <v>METALKOTE</v>
          </cell>
          <cell r="M1091" t="str">
            <v>290101</v>
          </cell>
          <cell r="N1091" t="str">
            <v>METALKOTE-ALKYD SYS</v>
          </cell>
        </row>
        <row r="1092">
          <cell r="C1092" t="str">
            <v>100002673</v>
          </cell>
          <cell r="D1092" t="str">
            <v>#NU AP-281-01 ZINC PHOSPHATE VN-18LP</v>
          </cell>
          <cell r="E1092" t="str">
            <v>ZFGD</v>
          </cell>
          <cell r="F1092" t="str">
            <v>PC</v>
          </cell>
          <cell r="G1092" t="str">
            <v>2</v>
          </cell>
          <cell r="H1092" t="str">
            <v>RETAIL</v>
          </cell>
          <cell r="I1092" t="str">
            <v>29</v>
          </cell>
          <cell r="J1092" t="str">
            <v>MPC</v>
          </cell>
          <cell r="K1092" t="str">
            <v>2901</v>
          </cell>
          <cell r="L1092" t="str">
            <v>METALKOTE</v>
          </cell>
          <cell r="M1092" t="str">
            <v>290101</v>
          </cell>
          <cell r="N1092" t="str">
            <v>METALKOTE-ALKYD SYS</v>
          </cell>
        </row>
        <row r="1093">
          <cell r="C1093" t="str">
            <v>100002675</v>
          </cell>
          <cell r="D1093" t="str">
            <v>PFT-613 MF GREY VN-27.8KP</v>
          </cell>
          <cell r="E1093" t="str">
            <v>ZFGD</v>
          </cell>
          <cell r="F1093" t="str">
            <v>PC</v>
          </cell>
          <cell r="G1093" t="str">
            <v>5</v>
          </cell>
          <cell r="H1093" t="str">
            <v>PROJECT</v>
          </cell>
          <cell r="I1093" t="str">
            <v>56</v>
          </cell>
          <cell r="J1093" t="str">
            <v>CPC1</v>
          </cell>
          <cell r="K1093" t="str">
            <v>5602</v>
          </cell>
          <cell r="L1093" t="str">
            <v>POLYFLOOR</v>
          </cell>
          <cell r="M1093" t="str">
            <v>560203</v>
          </cell>
          <cell r="N1093" t="str">
            <v>POLYFLOOR PU</v>
          </cell>
        </row>
        <row r="1094">
          <cell r="C1094" t="str">
            <v>100002676</v>
          </cell>
          <cell r="D1094" t="str">
            <v>MX-99 BLACK VN-1LS</v>
          </cell>
          <cell r="E1094" t="str">
            <v>ZFGD</v>
          </cell>
          <cell r="F1094" t="str">
            <v>SET</v>
          </cell>
          <cell r="G1094" t="str">
            <v>2</v>
          </cell>
          <cell r="H1094" t="str">
            <v>RETAIL</v>
          </cell>
          <cell r="I1094" t="str">
            <v>27</v>
          </cell>
          <cell r="J1094" t="str">
            <v>CPC1</v>
          </cell>
          <cell r="K1094" t="str">
            <v>2703</v>
          </cell>
          <cell r="L1094" t="str">
            <v>MULTIPOX</v>
          </cell>
          <cell r="M1094" t="str">
            <v>270302</v>
          </cell>
          <cell r="N1094" t="str">
            <v>MULTIPOX BASE</v>
          </cell>
        </row>
        <row r="1095">
          <cell r="C1095" t="str">
            <v>100002677</v>
          </cell>
          <cell r="D1095" t="str">
            <v>#NUMX-99 GENTIAN BLUE VN-1LS</v>
          </cell>
          <cell r="E1095" t="str">
            <v>ZFGD</v>
          </cell>
          <cell r="F1095" t="str">
            <v>SET</v>
          </cell>
          <cell r="G1095" t="str">
            <v>2</v>
          </cell>
          <cell r="H1095" t="str">
            <v>RETAIL</v>
          </cell>
          <cell r="I1095" t="str">
            <v>27</v>
          </cell>
          <cell r="J1095" t="str">
            <v>CPC1</v>
          </cell>
          <cell r="K1095" t="str">
            <v>2703</v>
          </cell>
          <cell r="L1095" t="str">
            <v>MULTIPOX</v>
          </cell>
          <cell r="M1095" t="str">
            <v>270301</v>
          </cell>
          <cell r="N1095" t="str">
            <v>MULTIPOX</v>
          </cell>
        </row>
        <row r="1096">
          <cell r="C1096" t="str">
            <v>100002678</v>
          </cell>
          <cell r="D1096" t="str">
            <v>MX-99 LEAF GREEN VN-1LS</v>
          </cell>
          <cell r="E1096" t="str">
            <v>ZFGD</v>
          </cell>
          <cell r="F1096" t="str">
            <v>SET</v>
          </cell>
          <cell r="G1096" t="str">
            <v>2</v>
          </cell>
          <cell r="H1096" t="str">
            <v>RETAIL</v>
          </cell>
          <cell r="I1096" t="str">
            <v>27</v>
          </cell>
          <cell r="J1096" t="str">
            <v>CPC1</v>
          </cell>
          <cell r="K1096" t="str">
            <v>2703</v>
          </cell>
          <cell r="L1096" t="str">
            <v>MULTIPOX</v>
          </cell>
          <cell r="M1096" t="str">
            <v>270302</v>
          </cell>
          <cell r="N1096" t="str">
            <v>MULTIPOX BASE</v>
          </cell>
        </row>
        <row r="1097">
          <cell r="C1097" t="str">
            <v>100002679</v>
          </cell>
          <cell r="D1097" t="str">
            <v>#NUMX-99 LIGHT GREY VN-1LS</v>
          </cell>
          <cell r="E1097" t="str">
            <v>ZFGD</v>
          </cell>
          <cell r="F1097" t="str">
            <v>SET</v>
          </cell>
          <cell r="G1097" t="str">
            <v>2</v>
          </cell>
          <cell r="H1097" t="str">
            <v>RETAIL</v>
          </cell>
          <cell r="I1097" t="str">
            <v>27</v>
          </cell>
          <cell r="J1097" t="str">
            <v>CPC1</v>
          </cell>
          <cell r="K1097" t="str">
            <v>2703</v>
          </cell>
          <cell r="L1097" t="str">
            <v>MULTIPOX</v>
          </cell>
          <cell r="M1097" t="str">
            <v>270301</v>
          </cell>
          <cell r="N1097" t="str">
            <v>MULTIPOX</v>
          </cell>
        </row>
        <row r="1098">
          <cell r="C1098" t="str">
            <v>100002680</v>
          </cell>
          <cell r="D1098" t="str">
            <v>#NUMX-99 WHITE VN-0.5L</v>
          </cell>
          <cell r="E1098" t="str">
            <v>ZFGD</v>
          </cell>
          <cell r="F1098" t="str">
            <v>PC</v>
          </cell>
          <cell r="G1098" t="str">
            <v>2</v>
          </cell>
          <cell r="H1098" t="str">
            <v>RETAIL</v>
          </cell>
          <cell r="I1098" t="str">
            <v>27</v>
          </cell>
          <cell r="J1098" t="str">
            <v>CPC1</v>
          </cell>
          <cell r="K1098" t="str">
            <v>2703</v>
          </cell>
          <cell r="L1098" t="str">
            <v>MULTIPOX</v>
          </cell>
          <cell r="M1098" t="str">
            <v>270301</v>
          </cell>
          <cell r="N1098" t="str">
            <v>MULTIPOX</v>
          </cell>
        </row>
        <row r="1099">
          <cell r="C1099" t="str">
            <v>100002681</v>
          </cell>
          <cell r="D1099" t="str">
            <v>MX-99 WHITE VN-1LS</v>
          </cell>
          <cell r="E1099" t="str">
            <v>ZFGD</v>
          </cell>
          <cell r="F1099" t="str">
            <v>SET</v>
          </cell>
          <cell r="G1099" t="str">
            <v>2</v>
          </cell>
          <cell r="H1099" t="str">
            <v>RETAIL</v>
          </cell>
          <cell r="I1099" t="str">
            <v>27</v>
          </cell>
          <cell r="J1099" t="str">
            <v>CPC1</v>
          </cell>
          <cell r="K1099" t="str">
            <v>2703</v>
          </cell>
          <cell r="L1099" t="str">
            <v>MULTIPOX</v>
          </cell>
          <cell r="M1099" t="str">
            <v>270302</v>
          </cell>
          <cell r="N1099" t="str">
            <v>MULTIPOX BASE</v>
          </cell>
        </row>
        <row r="1100">
          <cell r="C1100" t="str">
            <v>100002682</v>
          </cell>
          <cell r="D1100" t="str">
            <v>MX-99 BEIGE VN-1LS</v>
          </cell>
          <cell r="E1100" t="str">
            <v>ZFGD</v>
          </cell>
          <cell r="F1100" t="str">
            <v>SET</v>
          </cell>
          <cell r="G1100" t="str">
            <v>2</v>
          </cell>
          <cell r="H1100" t="str">
            <v>RETAIL</v>
          </cell>
          <cell r="I1100" t="str">
            <v>27</v>
          </cell>
          <cell r="J1100" t="str">
            <v>CPC1</v>
          </cell>
          <cell r="K1100" t="str">
            <v>2703</v>
          </cell>
          <cell r="L1100" t="str">
            <v>MULTIPOX</v>
          </cell>
          <cell r="M1100" t="str">
            <v>270302</v>
          </cell>
          <cell r="N1100" t="str">
            <v>MULTIPOX BASE</v>
          </cell>
        </row>
        <row r="1101">
          <cell r="C1101" t="str">
            <v>100002683</v>
          </cell>
          <cell r="D1101" t="str">
            <v>MX-99 GERANIUM VN-1LS</v>
          </cell>
          <cell r="E1101" t="str">
            <v>ZFGD</v>
          </cell>
          <cell r="F1101" t="str">
            <v>SET</v>
          </cell>
          <cell r="G1101" t="str">
            <v>2</v>
          </cell>
          <cell r="H1101" t="str">
            <v>RETAIL</v>
          </cell>
          <cell r="I1101" t="str">
            <v>27</v>
          </cell>
          <cell r="J1101" t="str">
            <v>CPC1</v>
          </cell>
          <cell r="K1101" t="str">
            <v>2703</v>
          </cell>
          <cell r="L1101" t="str">
            <v>MULTIPOX</v>
          </cell>
          <cell r="M1101" t="str">
            <v>270302</v>
          </cell>
          <cell r="N1101" t="str">
            <v>MULTIPOX BASE</v>
          </cell>
        </row>
        <row r="1102">
          <cell r="C1102" t="str">
            <v>100002684</v>
          </cell>
          <cell r="D1102" t="str">
            <v>#NUMX-99 LIGHT BLUE VN-1LS</v>
          </cell>
          <cell r="E1102" t="str">
            <v>ZFGD</v>
          </cell>
          <cell r="F1102" t="str">
            <v>SET</v>
          </cell>
          <cell r="G1102" t="str">
            <v>2</v>
          </cell>
          <cell r="H1102" t="str">
            <v>RETAIL</v>
          </cell>
          <cell r="I1102" t="str">
            <v>27</v>
          </cell>
          <cell r="J1102" t="str">
            <v>CPC1</v>
          </cell>
          <cell r="K1102" t="str">
            <v>2703</v>
          </cell>
          <cell r="L1102" t="str">
            <v>MULTIPOX</v>
          </cell>
          <cell r="M1102" t="str">
            <v>270301</v>
          </cell>
          <cell r="N1102" t="str">
            <v>MULTIPOX</v>
          </cell>
        </row>
        <row r="1103">
          <cell r="C1103" t="str">
            <v>100002685</v>
          </cell>
          <cell r="D1103" t="str">
            <v>#NUMX-99 PALE GREEN VN-1LS</v>
          </cell>
          <cell r="E1103" t="str">
            <v>ZFGD</v>
          </cell>
          <cell r="F1103" t="str">
            <v>SET</v>
          </cell>
          <cell r="G1103" t="str">
            <v>2</v>
          </cell>
          <cell r="H1103" t="str">
            <v>RETAIL</v>
          </cell>
          <cell r="I1103" t="str">
            <v>27</v>
          </cell>
          <cell r="J1103" t="str">
            <v>CPC1</v>
          </cell>
          <cell r="K1103" t="str">
            <v>2703</v>
          </cell>
          <cell r="L1103" t="str">
            <v>MULTIPOX</v>
          </cell>
          <cell r="M1103" t="str">
            <v>270301</v>
          </cell>
          <cell r="N1103" t="str">
            <v>MULTIPOX</v>
          </cell>
        </row>
        <row r="1104">
          <cell r="C1104" t="str">
            <v>100002686</v>
          </cell>
          <cell r="D1104" t="str">
            <v>#NUMX-99 CLEAR GLOSS VN-1LS</v>
          </cell>
          <cell r="E1104" t="str">
            <v>ZFGD</v>
          </cell>
          <cell r="F1104" t="str">
            <v>SET</v>
          </cell>
          <cell r="G1104" t="str">
            <v>2</v>
          </cell>
          <cell r="H1104" t="str">
            <v>RETAIL</v>
          </cell>
          <cell r="I1104" t="str">
            <v>27</v>
          </cell>
          <cell r="J1104" t="str">
            <v>CPC1</v>
          </cell>
          <cell r="K1104" t="str">
            <v>2703</v>
          </cell>
          <cell r="L1104" t="str">
            <v>MULTIPOX</v>
          </cell>
          <cell r="M1104" t="str">
            <v>270301</v>
          </cell>
          <cell r="N1104" t="str">
            <v>MULTIPOX</v>
          </cell>
        </row>
        <row r="1105">
          <cell r="C1105" t="str">
            <v>100002687</v>
          </cell>
          <cell r="D1105" t="str">
            <v>PROPAN STONE CARE SC-50 SB VN-20LP</v>
          </cell>
          <cell r="E1105" t="str">
            <v>ZFGD</v>
          </cell>
          <cell r="F1105" t="str">
            <v>PC</v>
          </cell>
          <cell r="G1105" t="str">
            <v>2</v>
          </cell>
          <cell r="H1105" t="str">
            <v>RETAIL</v>
          </cell>
          <cell r="I1105" t="str">
            <v>26</v>
          </cell>
          <cell r="J1105" t="str">
            <v>SFC</v>
          </cell>
          <cell r="K1105" t="str">
            <v>2601</v>
          </cell>
          <cell r="L1105" t="str">
            <v>STONE CARE</v>
          </cell>
          <cell r="M1105" t="str">
            <v>260101</v>
          </cell>
          <cell r="N1105" t="str">
            <v>PROPAN STONE CARE</v>
          </cell>
        </row>
        <row r="1106">
          <cell r="C1106" t="str">
            <v>100002688</v>
          </cell>
          <cell r="D1106" t="str">
            <v>PROPAN STONE CARE SC-50 SB VN-4L</v>
          </cell>
          <cell r="E1106" t="str">
            <v>ZFGD</v>
          </cell>
          <cell r="F1106" t="str">
            <v>PC</v>
          </cell>
          <cell r="G1106" t="str">
            <v>2</v>
          </cell>
          <cell r="H1106" t="str">
            <v>RETAIL</v>
          </cell>
          <cell r="I1106" t="str">
            <v>26</v>
          </cell>
          <cell r="J1106" t="str">
            <v>SFC</v>
          </cell>
          <cell r="K1106" t="str">
            <v>2601</v>
          </cell>
          <cell r="L1106" t="str">
            <v>STONE CARE</v>
          </cell>
          <cell r="M1106" t="str">
            <v>260101</v>
          </cell>
          <cell r="N1106" t="str">
            <v>PROPAN STONE CARE</v>
          </cell>
        </row>
        <row r="1107">
          <cell r="C1107" t="str">
            <v>100002689</v>
          </cell>
          <cell r="D1107" t="str">
            <v>AP-281 OXIDE RED VN-18KP</v>
          </cell>
          <cell r="E1107" t="str">
            <v>ZFGD</v>
          </cell>
          <cell r="F1107" t="str">
            <v>PC</v>
          </cell>
          <cell r="G1107" t="str">
            <v>5</v>
          </cell>
          <cell r="H1107" t="str">
            <v>PROJECT</v>
          </cell>
          <cell r="I1107" t="str">
            <v>59</v>
          </cell>
          <cell r="J1107" t="str">
            <v>MPC</v>
          </cell>
          <cell r="K1107" t="str">
            <v>5904</v>
          </cell>
          <cell r="L1107" t="str">
            <v>METALKOTE</v>
          </cell>
          <cell r="M1107" t="str">
            <v>590401</v>
          </cell>
          <cell r="N1107" t="str">
            <v>METALKOTE-ALKYD SYS</v>
          </cell>
        </row>
        <row r="1108">
          <cell r="C1108" t="str">
            <v>100002690</v>
          </cell>
          <cell r="D1108" t="str">
            <v>AP-281-01 ZINC PHOSPHATE VN-18KP</v>
          </cell>
          <cell r="E1108" t="str">
            <v>ZFGD</v>
          </cell>
          <cell r="F1108" t="str">
            <v>PC</v>
          </cell>
          <cell r="G1108" t="str">
            <v>5</v>
          </cell>
          <cell r="H1108" t="str">
            <v>PROJECT</v>
          </cell>
          <cell r="I1108" t="str">
            <v>59</v>
          </cell>
          <cell r="J1108" t="str">
            <v>MPC</v>
          </cell>
          <cell r="K1108" t="str">
            <v>5904</v>
          </cell>
          <cell r="L1108" t="str">
            <v>METALKOTE</v>
          </cell>
          <cell r="M1108" t="str">
            <v>590401</v>
          </cell>
          <cell r="N1108" t="str">
            <v>METALKOTE-ALKYD SYS</v>
          </cell>
        </row>
        <row r="1109">
          <cell r="C1109" t="str">
            <v>100002691</v>
          </cell>
          <cell r="D1109" t="str">
            <v>SYNTHETIC 2000 CHESNUT BROWN VN-3K</v>
          </cell>
          <cell r="E1109" t="str">
            <v>ZFGD</v>
          </cell>
          <cell r="F1109" t="str">
            <v>PC</v>
          </cell>
          <cell r="G1109" t="str">
            <v>5</v>
          </cell>
          <cell r="H1109" t="str">
            <v>PROJECT</v>
          </cell>
          <cell r="I1109" t="str">
            <v>59</v>
          </cell>
          <cell r="J1109" t="str">
            <v>MPC</v>
          </cell>
          <cell r="K1109" t="str">
            <v>5902</v>
          </cell>
          <cell r="L1109" t="str">
            <v>SYNTHETIC ENAMEL SB</v>
          </cell>
          <cell r="M1109" t="str">
            <v>590202</v>
          </cell>
          <cell r="N1109" t="str">
            <v>SYNTHETIC 2000</v>
          </cell>
        </row>
        <row r="1110">
          <cell r="C1110" t="str">
            <v>100002692</v>
          </cell>
          <cell r="D1110" t="str">
            <v>#NUTHINNER EPOXY VN-0.25L</v>
          </cell>
          <cell r="E1110" t="str">
            <v>ZFGD</v>
          </cell>
          <cell r="F1110" t="str">
            <v>PC</v>
          </cell>
          <cell r="G1110" t="str">
            <v>2</v>
          </cell>
          <cell r="H1110" t="str">
            <v>RETAIL</v>
          </cell>
          <cell r="I1110" t="str">
            <v>29</v>
          </cell>
          <cell r="J1110" t="str">
            <v>MPC</v>
          </cell>
          <cell r="K1110" t="str">
            <v>2904</v>
          </cell>
          <cell r="L1110" t="str">
            <v>OTHERS MPC</v>
          </cell>
          <cell r="M1110" t="str">
            <v>290402</v>
          </cell>
          <cell r="N1110" t="str">
            <v>THINNER MPC</v>
          </cell>
        </row>
        <row r="1111">
          <cell r="C1111" t="str">
            <v>100002693</v>
          </cell>
          <cell r="D1111" t="str">
            <v>#NUHARDENER MX-99 VN-0.25L</v>
          </cell>
          <cell r="E1111" t="str">
            <v>ZFGD</v>
          </cell>
          <cell r="F1111" t="str">
            <v>PC</v>
          </cell>
          <cell r="G1111" t="str">
            <v>2</v>
          </cell>
          <cell r="H1111" t="str">
            <v>RETAIL</v>
          </cell>
          <cell r="I1111" t="str">
            <v>27</v>
          </cell>
          <cell r="J1111" t="str">
            <v>CPC1</v>
          </cell>
          <cell r="K1111" t="str">
            <v>2703</v>
          </cell>
          <cell r="L1111" t="str">
            <v>MULTIPOX</v>
          </cell>
          <cell r="M1111" t="str">
            <v>270301</v>
          </cell>
          <cell r="N1111" t="str">
            <v>MULTIPOX</v>
          </cell>
        </row>
        <row r="1112">
          <cell r="C1112" t="str">
            <v>100002694</v>
          </cell>
          <cell r="D1112" t="str">
            <v>#NUTHINNER PU-047 VT VN-0.4L</v>
          </cell>
          <cell r="E1112" t="str">
            <v>ZFGD</v>
          </cell>
          <cell r="F1112" t="str">
            <v>PC</v>
          </cell>
          <cell r="G1112" t="str">
            <v>2</v>
          </cell>
          <cell r="H1112" t="str">
            <v>RETAIL</v>
          </cell>
          <cell r="I1112" t="str">
            <v>22</v>
          </cell>
          <cell r="J1112" t="str">
            <v>WF2</v>
          </cell>
          <cell r="K1112" t="str">
            <v>2203</v>
          </cell>
          <cell r="L1112" t="str">
            <v>THINNER PU</v>
          </cell>
          <cell r="M1112" t="str">
            <v>220303</v>
          </cell>
          <cell r="N1112" t="str">
            <v>THINNER PU R</v>
          </cell>
        </row>
        <row r="1113">
          <cell r="C1113" t="str">
            <v>100002695</v>
          </cell>
          <cell r="D1113" t="str">
            <v>PUL-748-2K HQ CLEAR GLOSS VN-1LS</v>
          </cell>
          <cell r="E1113" t="str">
            <v>ZFGD</v>
          </cell>
          <cell r="F1113" t="str">
            <v>SET</v>
          </cell>
          <cell r="G1113" t="str">
            <v>2</v>
          </cell>
          <cell r="H1113" t="str">
            <v>RETAIL</v>
          </cell>
          <cell r="I1113" t="str">
            <v>22</v>
          </cell>
          <cell r="J1113" t="str">
            <v>WF2</v>
          </cell>
          <cell r="K1113" t="str">
            <v>2215</v>
          </cell>
          <cell r="L1113" t="str">
            <v>PU ITALIAN</v>
          </cell>
          <cell r="M1113" t="str">
            <v>221501</v>
          </cell>
          <cell r="N1113" t="str">
            <v>PROPAN ITALIAN PU</v>
          </cell>
        </row>
        <row r="1114">
          <cell r="C1114" t="str">
            <v>100002696</v>
          </cell>
          <cell r="D1114" t="str">
            <v>#NUEL-501 CHOCOLATE VN-8303 VN-5L</v>
          </cell>
          <cell r="E1114" t="str">
            <v>ZFGD</v>
          </cell>
          <cell r="F1114" t="str">
            <v>PC</v>
          </cell>
          <cell r="G1114" t="str">
            <v>2</v>
          </cell>
          <cell r="H1114" t="str">
            <v>RETAIL</v>
          </cell>
          <cell r="I1114" t="str">
            <v>24</v>
          </cell>
          <cell r="J1114" t="str">
            <v>WF3</v>
          </cell>
          <cell r="K1114" t="str">
            <v>2401</v>
          </cell>
          <cell r="L1114" t="str">
            <v>WOOD CARE</v>
          </cell>
          <cell r="M1114" t="str">
            <v>240102</v>
          </cell>
          <cell r="N1114" t="str">
            <v>ULTRAN LASUR</v>
          </cell>
        </row>
        <row r="1115">
          <cell r="C1115" t="str">
            <v>100002697</v>
          </cell>
          <cell r="D1115" t="str">
            <v>#NUEL-501 SUNSET YELLOW VN-2011 VN-5L</v>
          </cell>
          <cell r="E1115" t="str">
            <v>ZFGD</v>
          </cell>
          <cell r="F1115" t="str">
            <v>PC</v>
          </cell>
          <cell r="G1115" t="str">
            <v>2</v>
          </cell>
          <cell r="H1115" t="str">
            <v>RETAIL</v>
          </cell>
          <cell r="I1115" t="str">
            <v>24</v>
          </cell>
          <cell r="J1115" t="str">
            <v>WF3</v>
          </cell>
          <cell r="K1115" t="str">
            <v>2401</v>
          </cell>
          <cell r="L1115" t="str">
            <v>WOOD CARE</v>
          </cell>
          <cell r="M1115" t="str">
            <v>240102</v>
          </cell>
          <cell r="N1115" t="str">
            <v>ULTRAN LASUR</v>
          </cell>
        </row>
        <row r="1116">
          <cell r="C1116" t="str">
            <v>100002698</v>
          </cell>
          <cell r="D1116" t="str">
            <v>#NUEL-501 CHRYSANT YELLOW VN-1004 VN-5L</v>
          </cell>
          <cell r="E1116" t="str">
            <v>ZFGD</v>
          </cell>
          <cell r="F1116" t="str">
            <v>PC</v>
          </cell>
          <cell r="G1116" t="str">
            <v>2</v>
          </cell>
          <cell r="H1116" t="str">
            <v>RETAIL</v>
          </cell>
          <cell r="I1116" t="str">
            <v>24</v>
          </cell>
          <cell r="J1116" t="str">
            <v>WF3</v>
          </cell>
          <cell r="K1116" t="str">
            <v>2401</v>
          </cell>
          <cell r="L1116" t="str">
            <v>WOOD CARE</v>
          </cell>
          <cell r="M1116" t="str">
            <v>240102</v>
          </cell>
          <cell r="N1116" t="str">
            <v>ULTRAN LASUR</v>
          </cell>
        </row>
        <row r="1117">
          <cell r="C1117" t="str">
            <v>100002699</v>
          </cell>
          <cell r="D1117" t="str">
            <v>#NUEL-501 TROPICAL TEAK VN-8012 VN-5L</v>
          </cell>
          <cell r="E1117" t="str">
            <v>ZFGD</v>
          </cell>
          <cell r="F1117" t="str">
            <v>PC</v>
          </cell>
          <cell r="G1117" t="str">
            <v>2</v>
          </cell>
          <cell r="H1117" t="str">
            <v>RETAIL</v>
          </cell>
          <cell r="I1117" t="str">
            <v>24</v>
          </cell>
          <cell r="J1117" t="str">
            <v>WF3</v>
          </cell>
          <cell r="K1117" t="str">
            <v>2401</v>
          </cell>
          <cell r="L1117" t="str">
            <v>WOOD CARE</v>
          </cell>
          <cell r="M1117" t="str">
            <v>240102</v>
          </cell>
          <cell r="N1117" t="str">
            <v>ULTRAN LASUR</v>
          </cell>
        </row>
        <row r="1118">
          <cell r="C1118" t="str">
            <v>100002700</v>
          </cell>
          <cell r="D1118" t="str">
            <v>#NUEL-501 WALNUT VN-9013 VN-5L</v>
          </cell>
          <cell r="E1118" t="str">
            <v>ZFGD</v>
          </cell>
          <cell r="F1118" t="str">
            <v>PC</v>
          </cell>
          <cell r="G1118" t="str">
            <v>2</v>
          </cell>
          <cell r="H1118" t="str">
            <v>RETAIL</v>
          </cell>
          <cell r="I1118" t="str">
            <v>24</v>
          </cell>
          <cell r="J1118" t="str">
            <v>WF3</v>
          </cell>
          <cell r="K1118" t="str">
            <v>2401</v>
          </cell>
          <cell r="L1118" t="str">
            <v>WOOD CARE</v>
          </cell>
          <cell r="M1118" t="str">
            <v>240102</v>
          </cell>
          <cell r="N1118" t="str">
            <v>ULTRAN LASUR</v>
          </cell>
        </row>
        <row r="1119">
          <cell r="C1119" t="str">
            <v>100002701</v>
          </cell>
          <cell r="D1119" t="str">
            <v>EL-501 NATURAL GLOSS VN-0015 VN-5L</v>
          </cell>
          <cell r="E1119" t="str">
            <v>ZFGD</v>
          </cell>
          <cell r="F1119" t="str">
            <v>PC</v>
          </cell>
          <cell r="G1119" t="str">
            <v>2</v>
          </cell>
          <cell r="H1119" t="str">
            <v>RETAIL</v>
          </cell>
          <cell r="I1119" t="str">
            <v>24</v>
          </cell>
          <cell r="J1119" t="str">
            <v>WF3</v>
          </cell>
          <cell r="K1119" t="str">
            <v>2413</v>
          </cell>
          <cell r="L1119" t="str">
            <v>ULTRAN</v>
          </cell>
          <cell r="M1119" t="str">
            <v>241304</v>
          </cell>
          <cell r="N1119" t="str">
            <v>ULTRAN LASUR</v>
          </cell>
        </row>
        <row r="1120">
          <cell r="C1120" t="str">
            <v>100002702</v>
          </cell>
          <cell r="D1120" t="str">
            <v>#NUEL-501 NATURAL DOF VN-0014 VN-5L</v>
          </cell>
          <cell r="E1120" t="str">
            <v>ZFGD</v>
          </cell>
          <cell r="F1120" t="str">
            <v>PC</v>
          </cell>
          <cell r="G1120" t="str">
            <v>2</v>
          </cell>
          <cell r="H1120" t="str">
            <v>RETAIL</v>
          </cell>
          <cell r="I1120" t="str">
            <v>24</v>
          </cell>
          <cell r="J1120" t="str">
            <v>WF3</v>
          </cell>
          <cell r="K1120" t="str">
            <v>2401</v>
          </cell>
          <cell r="L1120" t="str">
            <v>WOOD CARE</v>
          </cell>
          <cell r="M1120" t="str">
            <v>240102</v>
          </cell>
          <cell r="N1120" t="str">
            <v>ULTRAN LASUR</v>
          </cell>
        </row>
        <row r="1121">
          <cell r="C1121" t="str">
            <v>100002703</v>
          </cell>
          <cell r="D1121" t="str">
            <v>#NUEL-501 ROASTED RED VN-8310 VN-5L</v>
          </cell>
          <cell r="E1121" t="str">
            <v>ZFGD</v>
          </cell>
          <cell r="F1121" t="str">
            <v>PC</v>
          </cell>
          <cell r="G1121" t="str">
            <v>2</v>
          </cell>
          <cell r="H1121" t="str">
            <v>RETAIL</v>
          </cell>
          <cell r="I1121" t="str">
            <v>24</v>
          </cell>
          <cell r="J1121" t="str">
            <v>WF3</v>
          </cell>
          <cell r="K1121" t="str">
            <v>2401</v>
          </cell>
          <cell r="L1121" t="str">
            <v>WOOD CARE</v>
          </cell>
          <cell r="M1121" t="str">
            <v>240102</v>
          </cell>
          <cell r="N1121" t="str">
            <v>ULTRAN LASUR</v>
          </cell>
        </row>
        <row r="1122">
          <cell r="C1122" t="str">
            <v>100002704</v>
          </cell>
          <cell r="D1122" t="str">
            <v>#NUEL-501 NATURAL SATIN VN-0016 VN-5L</v>
          </cell>
          <cell r="E1122" t="str">
            <v>ZFGD</v>
          </cell>
          <cell r="F1122" t="str">
            <v>PC</v>
          </cell>
          <cell r="G1122" t="str">
            <v>2</v>
          </cell>
          <cell r="H1122" t="str">
            <v>RETAIL</v>
          </cell>
          <cell r="I1122" t="str">
            <v>24</v>
          </cell>
          <cell r="J1122" t="str">
            <v>WF3</v>
          </cell>
          <cell r="K1122" t="str">
            <v>2401</v>
          </cell>
          <cell r="L1122" t="str">
            <v>WOOD CARE</v>
          </cell>
          <cell r="M1122" t="str">
            <v>240102</v>
          </cell>
          <cell r="N1122" t="str">
            <v>ULTRAN LASUR</v>
          </cell>
        </row>
        <row r="1123">
          <cell r="C1123" t="str">
            <v>100002705</v>
          </cell>
          <cell r="D1123" t="str">
            <v>PFT-293 AS GREY-20KSP</v>
          </cell>
          <cell r="E1123" t="str">
            <v>ZFGD</v>
          </cell>
          <cell r="F1123" t="str">
            <v>SET</v>
          </cell>
          <cell r="G1123" t="str">
            <v>5</v>
          </cell>
          <cell r="H1123" t="str">
            <v>PROJECT</v>
          </cell>
          <cell r="I1123" t="str">
            <v>56</v>
          </cell>
          <cell r="J1123" t="str">
            <v>CPC1</v>
          </cell>
          <cell r="K1123" t="str">
            <v>5602</v>
          </cell>
          <cell r="L1123" t="str">
            <v>POLYFLOOR</v>
          </cell>
          <cell r="M1123" t="str">
            <v>560207</v>
          </cell>
          <cell r="N1123" t="str">
            <v>POLYFLOOR EPOXY SOLVENT FREE</v>
          </cell>
        </row>
        <row r="1124">
          <cell r="C1124" t="str">
            <v>100002706</v>
          </cell>
          <cell r="D1124" t="str">
            <v>MX-99 CLEAR GLOSS-20LP</v>
          </cell>
          <cell r="E1124" t="str">
            <v>ZFGD</v>
          </cell>
          <cell r="F1124" t="str">
            <v>PC</v>
          </cell>
          <cell r="G1124" t="str">
            <v>2</v>
          </cell>
          <cell r="H1124" t="str">
            <v>RETAIL</v>
          </cell>
          <cell r="I1124" t="str">
            <v>27</v>
          </cell>
          <cell r="J1124" t="str">
            <v>CPC1</v>
          </cell>
          <cell r="K1124" t="str">
            <v>2703</v>
          </cell>
          <cell r="L1124" t="str">
            <v>MULTIPOX</v>
          </cell>
          <cell r="M1124" t="str">
            <v>270302</v>
          </cell>
          <cell r="N1124" t="str">
            <v>MULTIPOX BASE</v>
          </cell>
        </row>
        <row r="1125">
          <cell r="C1125" t="str">
            <v>100002707</v>
          </cell>
          <cell r="D1125" t="str">
            <v>#NUTHINNER PU-047 VT VN-0.8L</v>
          </cell>
          <cell r="E1125" t="str">
            <v>ZFGD</v>
          </cell>
          <cell r="F1125" t="str">
            <v>PC</v>
          </cell>
          <cell r="G1125" t="str">
            <v>2</v>
          </cell>
          <cell r="H1125" t="str">
            <v>RETAIL</v>
          </cell>
          <cell r="I1125" t="str">
            <v>22</v>
          </cell>
          <cell r="J1125" t="str">
            <v>WF2</v>
          </cell>
          <cell r="K1125" t="str">
            <v>2203</v>
          </cell>
          <cell r="L1125" t="str">
            <v>THINNER PU</v>
          </cell>
          <cell r="M1125" t="str">
            <v>220303</v>
          </cell>
          <cell r="N1125" t="str">
            <v>THINNER PU R</v>
          </cell>
        </row>
        <row r="1126">
          <cell r="C1126" t="str">
            <v>100002708</v>
          </cell>
          <cell r="D1126" t="str">
            <v>PUC-757 AINO GREEN GLOSS 02 VN-16KP</v>
          </cell>
          <cell r="E1126" t="str">
            <v>ZFGD</v>
          </cell>
          <cell r="F1126" t="str">
            <v>PC</v>
          </cell>
          <cell r="G1126" t="str">
            <v>2</v>
          </cell>
          <cell r="H1126" t="str">
            <v>RETAIL</v>
          </cell>
          <cell r="I1126" t="str">
            <v>22</v>
          </cell>
          <cell r="J1126" t="str">
            <v>WF2</v>
          </cell>
          <cell r="K1126" t="str">
            <v>2216</v>
          </cell>
          <cell r="L1126" t="str">
            <v>PU MULTIPURPOSE</v>
          </cell>
          <cell r="M1126" t="str">
            <v>221601</v>
          </cell>
          <cell r="N1126" t="str">
            <v>PROPAN MP PU ACR RMX</v>
          </cell>
        </row>
        <row r="1127">
          <cell r="C1127" t="str">
            <v>100002718</v>
          </cell>
          <cell r="D1127" t="str">
            <v>PUL-53306 AC EX CLEAR 10 VN-4L</v>
          </cell>
          <cell r="E1127" t="str">
            <v>ZFGD</v>
          </cell>
          <cell r="F1127" t="str">
            <v>PC</v>
          </cell>
          <cell r="G1127" t="str">
            <v>1</v>
          </cell>
          <cell r="H1127" t="str">
            <v>INDUSTRY</v>
          </cell>
          <cell r="I1127" t="str">
            <v>11</v>
          </cell>
          <cell r="J1127" t="str">
            <v>WOOD COATINGS</v>
          </cell>
          <cell r="K1127" t="str">
            <v>1103</v>
          </cell>
          <cell r="L1127" t="str">
            <v>PU</v>
          </cell>
          <cell r="M1127" t="str">
            <v>110321</v>
          </cell>
          <cell r="N1127" t="str">
            <v>PU LACQUER</v>
          </cell>
        </row>
        <row r="1128">
          <cell r="C1128" t="str">
            <v>100002763</v>
          </cell>
          <cell r="D1128" t="str">
            <v>PFC-225 EPOCEM-23KSZ</v>
          </cell>
          <cell r="E1128" t="str">
            <v>ZFGD</v>
          </cell>
          <cell r="F1128" t="str">
            <v>SET</v>
          </cell>
          <cell r="G1128" t="str">
            <v>5</v>
          </cell>
          <cell r="H1128" t="str">
            <v>PROJECT</v>
          </cell>
          <cell r="I1128" t="str">
            <v>56</v>
          </cell>
          <cell r="J1128" t="str">
            <v>CPC1</v>
          </cell>
          <cell r="K1128" t="str">
            <v>5602</v>
          </cell>
          <cell r="L1128" t="str">
            <v>POLYFLOOR</v>
          </cell>
          <cell r="M1128" t="str">
            <v>560201</v>
          </cell>
          <cell r="N1128" t="str">
            <v>POLYFLOOR CEMENT</v>
          </cell>
        </row>
        <row r="1129">
          <cell r="C1129" t="str">
            <v>100002764</v>
          </cell>
          <cell r="D1129" t="str">
            <v>PFC-225 EPOCEM-31KSZ</v>
          </cell>
          <cell r="E1129" t="str">
            <v>ZFGD</v>
          </cell>
          <cell r="F1129" t="str">
            <v>SET</v>
          </cell>
          <cell r="G1129" t="str">
            <v>5</v>
          </cell>
          <cell r="H1129" t="str">
            <v>PROJECT</v>
          </cell>
          <cell r="I1129" t="str">
            <v>56</v>
          </cell>
          <cell r="J1129" t="str">
            <v>CPC1</v>
          </cell>
          <cell r="K1129" t="str">
            <v>5602</v>
          </cell>
          <cell r="L1129" t="str">
            <v>POLYFLOOR</v>
          </cell>
          <cell r="M1129" t="str">
            <v>560201</v>
          </cell>
          <cell r="N1129" t="str">
            <v>POLYFLOOR CEMENT</v>
          </cell>
        </row>
        <row r="1130">
          <cell r="C1130" t="str">
            <v>100002765</v>
          </cell>
          <cell r="D1130" t="str">
            <v>PFC-225 SEALER-4KS</v>
          </cell>
          <cell r="E1130" t="str">
            <v>ZFGD</v>
          </cell>
          <cell r="F1130" t="str">
            <v>SET</v>
          </cell>
          <cell r="G1130" t="str">
            <v>5</v>
          </cell>
          <cell r="H1130" t="str">
            <v>PROJECT</v>
          </cell>
          <cell r="I1130" t="str">
            <v>56</v>
          </cell>
          <cell r="J1130" t="str">
            <v>CPC1</v>
          </cell>
          <cell r="K1130" t="str">
            <v>5602</v>
          </cell>
          <cell r="L1130" t="str">
            <v>POLYFLOOR</v>
          </cell>
          <cell r="M1130" t="str">
            <v>560201</v>
          </cell>
          <cell r="N1130" t="str">
            <v>POLYFLOOR CEMENT</v>
          </cell>
        </row>
        <row r="1131">
          <cell r="C1131" t="str">
            <v>100002766</v>
          </cell>
          <cell r="D1131" t="str">
            <v>PFC-225 SEALER-6KS</v>
          </cell>
          <cell r="E1131" t="str">
            <v>ZFGD</v>
          </cell>
          <cell r="F1131" t="str">
            <v>SET</v>
          </cell>
          <cell r="G1131" t="str">
            <v>5</v>
          </cell>
          <cell r="H1131" t="str">
            <v>PROJECT</v>
          </cell>
          <cell r="I1131" t="str">
            <v>56</v>
          </cell>
          <cell r="J1131" t="str">
            <v>CPC1</v>
          </cell>
          <cell r="K1131" t="str">
            <v>5602</v>
          </cell>
          <cell r="L1131" t="str">
            <v>POLYFLOOR</v>
          </cell>
          <cell r="M1131" t="str">
            <v>560201</v>
          </cell>
          <cell r="N1131" t="str">
            <v>POLYFLOOR CEMENT</v>
          </cell>
        </row>
        <row r="1132">
          <cell r="C1132" t="str">
            <v>100002767</v>
          </cell>
          <cell r="D1132" t="str">
            <v>HARDENER PUH-761-0.2L</v>
          </cell>
          <cell r="E1132" t="str">
            <v>ZFGD</v>
          </cell>
          <cell r="F1132" t="str">
            <v>PC</v>
          </cell>
          <cell r="G1132" t="str">
            <v>2</v>
          </cell>
          <cell r="H1132" t="str">
            <v>RETAIL</v>
          </cell>
          <cell r="I1132" t="str">
            <v>22</v>
          </cell>
          <cell r="J1132" t="str">
            <v>WF2</v>
          </cell>
          <cell r="K1132" t="str">
            <v>2216</v>
          </cell>
          <cell r="L1132" t="str">
            <v>PU MULTIPURPOSE</v>
          </cell>
          <cell r="M1132" t="str">
            <v>221601</v>
          </cell>
          <cell r="N1132" t="str">
            <v>PROPAN MP PU ACR RMX</v>
          </cell>
        </row>
        <row r="1133">
          <cell r="C1133" t="str">
            <v>100002768</v>
          </cell>
          <cell r="D1133" t="str">
            <v>HARDENER PUH-76-0.2K</v>
          </cell>
          <cell r="E1133" t="str">
            <v>ZFGD</v>
          </cell>
          <cell r="F1133" t="str">
            <v>PC</v>
          </cell>
          <cell r="G1133" t="str">
            <v>2</v>
          </cell>
          <cell r="H1133" t="str">
            <v>RETAIL</v>
          </cell>
          <cell r="I1133" t="str">
            <v>22</v>
          </cell>
          <cell r="J1133" t="str">
            <v>WF2</v>
          </cell>
          <cell r="K1133" t="str">
            <v>2216</v>
          </cell>
          <cell r="L1133" t="str">
            <v>PU MULTIPURPOSE</v>
          </cell>
          <cell r="M1133" t="str">
            <v>221601</v>
          </cell>
          <cell r="N1133" t="str">
            <v>PROPAN MP PU ACR RMX</v>
          </cell>
        </row>
        <row r="1134">
          <cell r="C1134" t="str">
            <v>100002769</v>
          </cell>
          <cell r="D1134" t="str">
            <v>HARDENER PUH-76-0.2L</v>
          </cell>
          <cell r="E1134" t="str">
            <v>ZFGD</v>
          </cell>
          <cell r="F1134" t="str">
            <v>PC</v>
          </cell>
          <cell r="G1134" t="str">
            <v>2</v>
          </cell>
          <cell r="H1134" t="str">
            <v>RETAIL</v>
          </cell>
          <cell r="I1134" t="str">
            <v>22</v>
          </cell>
          <cell r="J1134" t="str">
            <v>WF2</v>
          </cell>
          <cell r="K1134" t="str">
            <v>2216</v>
          </cell>
          <cell r="L1134" t="str">
            <v>PU MULTIPURPOSE</v>
          </cell>
          <cell r="M1134" t="str">
            <v>221601</v>
          </cell>
          <cell r="N1134" t="str">
            <v>PROPAN MP PU ACR RMX</v>
          </cell>
        </row>
        <row r="1135">
          <cell r="C1135" t="str">
            <v>100002770</v>
          </cell>
          <cell r="D1135" t="str">
            <v>PUL-765-2K ACR CLEAR SATIN-1LS</v>
          </cell>
          <cell r="E1135" t="str">
            <v>ZFGD</v>
          </cell>
          <cell r="F1135" t="str">
            <v>PC</v>
          </cell>
          <cell r="G1135" t="str">
            <v>2</v>
          </cell>
          <cell r="H1135" t="str">
            <v>RETAIL</v>
          </cell>
          <cell r="I1135" t="str">
            <v>22</v>
          </cell>
          <cell r="J1135" t="str">
            <v>WF2</v>
          </cell>
          <cell r="K1135" t="str">
            <v>2216</v>
          </cell>
          <cell r="L1135" t="str">
            <v>PU MULTIPURPOSE</v>
          </cell>
          <cell r="M1135" t="str">
            <v>221601</v>
          </cell>
          <cell r="N1135" t="str">
            <v>PROPAN MP PU ACR RMX</v>
          </cell>
        </row>
        <row r="1136">
          <cell r="C1136" t="str">
            <v>100002771</v>
          </cell>
          <cell r="D1136" t="str">
            <v>#NU EL-501 LS CANDY BROWN-1002 VN-41L</v>
          </cell>
          <cell r="E1136" t="str">
            <v>ZFGD</v>
          </cell>
          <cell r="F1136" t="str">
            <v>PC</v>
          </cell>
          <cell r="G1136" t="str">
            <v>2</v>
          </cell>
          <cell r="H1136" t="str">
            <v>RETAIL</v>
          </cell>
          <cell r="I1136" t="str">
            <v>24</v>
          </cell>
          <cell r="J1136" t="str">
            <v>WF3</v>
          </cell>
          <cell r="K1136" t="str">
            <v>2401</v>
          </cell>
          <cell r="L1136" t="str">
            <v>WOOD CARE</v>
          </cell>
          <cell r="M1136" t="str">
            <v>240102</v>
          </cell>
          <cell r="N1136" t="str">
            <v>ULTRAN LASUR</v>
          </cell>
        </row>
        <row r="1137">
          <cell r="C1137" t="str">
            <v>100002772</v>
          </cell>
          <cell r="D1137" t="str">
            <v>#NUEDL-601 NATURAL SATIN-0004 VN-5L</v>
          </cell>
          <cell r="E1137" t="str">
            <v>ZFGD</v>
          </cell>
          <cell r="F1137" t="str">
            <v>PC</v>
          </cell>
          <cell r="G1137" t="str">
            <v>2</v>
          </cell>
          <cell r="H1137" t="str">
            <v>RETAIL</v>
          </cell>
          <cell r="I1137" t="str">
            <v>24</v>
          </cell>
          <cell r="J1137" t="str">
            <v>WF3</v>
          </cell>
          <cell r="K1137" t="str">
            <v>2401</v>
          </cell>
          <cell r="L1137" t="str">
            <v>WOOD CARE</v>
          </cell>
          <cell r="M1137" t="str">
            <v>240102</v>
          </cell>
          <cell r="N1137" t="str">
            <v>ULTRAN LASUR</v>
          </cell>
        </row>
        <row r="1138">
          <cell r="C1138" t="str">
            <v>100002781</v>
          </cell>
          <cell r="D1138" t="str">
            <v>US-970 PRIME GREY 9401 VN-4K</v>
          </cell>
          <cell r="E1138" t="str">
            <v>ZFGD</v>
          </cell>
          <cell r="F1138" t="str">
            <v>PC</v>
          </cell>
          <cell r="G1138" t="str">
            <v>2</v>
          </cell>
          <cell r="H1138" t="str">
            <v>RETAIL</v>
          </cell>
          <cell r="I1138" t="str">
            <v>28</v>
          </cell>
          <cell r="J1138" t="str">
            <v>CPC2</v>
          </cell>
          <cell r="K1138" t="str">
            <v>2807</v>
          </cell>
          <cell r="L1138" t="str">
            <v>ULTRASEAL</v>
          </cell>
          <cell r="M1138" t="str">
            <v>280701</v>
          </cell>
          <cell r="N1138" t="str">
            <v>ULTRASEAL</v>
          </cell>
        </row>
        <row r="1139">
          <cell r="C1139" t="str">
            <v>100002782</v>
          </cell>
          <cell r="D1139" t="str">
            <v>US-970 CAPPUCCINO 2111 VN-4K</v>
          </cell>
          <cell r="E1139" t="str">
            <v>ZFGD</v>
          </cell>
          <cell r="F1139" t="str">
            <v>PC</v>
          </cell>
          <cell r="G1139" t="str">
            <v>2</v>
          </cell>
          <cell r="H1139" t="str">
            <v>RETAIL</v>
          </cell>
          <cell r="I1139" t="str">
            <v>28</v>
          </cell>
          <cell r="J1139" t="str">
            <v>CPC2</v>
          </cell>
          <cell r="K1139" t="str">
            <v>2807</v>
          </cell>
          <cell r="L1139" t="str">
            <v>ULTRASEAL</v>
          </cell>
          <cell r="M1139" t="str">
            <v>280701</v>
          </cell>
          <cell r="N1139" t="str">
            <v>ULTRASEAL</v>
          </cell>
        </row>
        <row r="1140">
          <cell r="C1140" t="str">
            <v>100002783</v>
          </cell>
          <cell r="D1140" t="str">
            <v>AP-281 OXIDE RED VN-3K</v>
          </cell>
          <cell r="E1140" t="str">
            <v>ZFGD</v>
          </cell>
          <cell r="F1140" t="str">
            <v>PC</v>
          </cell>
          <cell r="G1140" t="str">
            <v>5</v>
          </cell>
          <cell r="H1140" t="str">
            <v>PROJECT</v>
          </cell>
          <cell r="I1140" t="str">
            <v>59</v>
          </cell>
          <cell r="J1140" t="str">
            <v>MPC</v>
          </cell>
          <cell r="K1140" t="str">
            <v>5904</v>
          </cell>
          <cell r="L1140" t="str">
            <v>METALKOTE</v>
          </cell>
          <cell r="M1140" t="str">
            <v>590401</v>
          </cell>
          <cell r="N1140" t="str">
            <v>METALKOTE-ALKYD SYS</v>
          </cell>
        </row>
        <row r="1141">
          <cell r="C1141" t="str">
            <v>100002784</v>
          </cell>
          <cell r="D1141" t="str">
            <v>CỨNG EPOXY EDP-551 VN-0.1K</v>
          </cell>
          <cell r="E1141" t="str">
            <v>ZFGD</v>
          </cell>
          <cell r="F1141" t="str">
            <v>PC</v>
          </cell>
          <cell r="G1141" t="str">
            <v>5</v>
          </cell>
          <cell r="H1141" t="str">
            <v>PROJECT</v>
          </cell>
          <cell r="I1141" t="str">
            <v>59</v>
          </cell>
          <cell r="J1141" t="str">
            <v>MPC</v>
          </cell>
          <cell r="K1141" t="str">
            <v>5904</v>
          </cell>
          <cell r="L1141" t="str">
            <v>METALKOTE</v>
          </cell>
          <cell r="M1141" t="str">
            <v>590402</v>
          </cell>
          <cell r="N1141" t="str">
            <v>METALKOTE-EPOXY SYS</v>
          </cell>
        </row>
        <row r="1142">
          <cell r="C1142" t="str">
            <v>100002785</v>
          </cell>
          <cell r="D1142" t="str">
            <v>CỨNG EPOXY EDP-551 VN-0.5K</v>
          </cell>
          <cell r="E1142" t="str">
            <v>ZFGD</v>
          </cell>
          <cell r="F1142" t="str">
            <v>PC</v>
          </cell>
          <cell r="G1142" t="str">
            <v>5</v>
          </cell>
          <cell r="H1142" t="str">
            <v>PROJECT</v>
          </cell>
          <cell r="I1142" t="str">
            <v>59</v>
          </cell>
          <cell r="J1142" t="str">
            <v>MPC</v>
          </cell>
          <cell r="K1142" t="str">
            <v>5904</v>
          </cell>
          <cell r="L1142" t="str">
            <v>METALKOTE</v>
          </cell>
          <cell r="M1142" t="str">
            <v>590402</v>
          </cell>
          <cell r="N1142" t="str">
            <v>METALKOTE-EPOXY SYS</v>
          </cell>
        </row>
        <row r="1143">
          <cell r="C1143" t="str">
            <v>100002786</v>
          </cell>
          <cell r="D1143" t="str">
            <v>#NOT USED HARDENER PFP-241 VN-2.5K.</v>
          </cell>
          <cell r="E1143" t="str">
            <v>ZFGD</v>
          </cell>
          <cell r="F1143" t="str">
            <v>PC</v>
          </cell>
          <cell r="G1143" t="str">
            <v>2</v>
          </cell>
          <cell r="H1143" t="str">
            <v>RETAIL</v>
          </cell>
          <cell r="I1143" t="str">
            <v>27</v>
          </cell>
          <cell r="J1143" t="str">
            <v>CPC1</v>
          </cell>
          <cell r="K1143" t="str">
            <v>2707</v>
          </cell>
          <cell r="L1143" t="str">
            <v>OTHERS CPC1</v>
          </cell>
          <cell r="M1143" t="str">
            <v>270703</v>
          </cell>
          <cell r="N1143" t="str">
            <v>COMPLEMENTARY CPC1</v>
          </cell>
        </row>
        <row r="1144">
          <cell r="C1144" t="str">
            <v>100002797</v>
          </cell>
          <cell r="D1144" t="str">
            <v>EDP-551 ZINC PHOSPHATE (XÁM) VN-1KS</v>
          </cell>
          <cell r="E1144" t="str">
            <v>ZFGD</v>
          </cell>
          <cell r="F1144" t="str">
            <v>SET</v>
          </cell>
          <cell r="G1144" t="str">
            <v>5</v>
          </cell>
          <cell r="H1144" t="str">
            <v>PROJECT</v>
          </cell>
          <cell r="I1144" t="str">
            <v>59</v>
          </cell>
          <cell r="J1144" t="str">
            <v>MPC</v>
          </cell>
          <cell r="K1144" t="str">
            <v>5904</v>
          </cell>
          <cell r="L1144" t="str">
            <v>METALKOTE</v>
          </cell>
          <cell r="M1144" t="str">
            <v>590402</v>
          </cell>
          <cell r="N1144" t="str">
            <v>METALKOTE-EPOXY SYS</v>
          </cell>
        </row>
        <row r="1145">
          <cell r="C1145" t="str">
            <v>100002798</v>
          </cell>
          <cell r="D1145" t="str">
            <v>EDP-551 ZINC CHROMATE (XANH) VN-1KS</v>
          </cell>
          <cell r="E1145" t="str">
            <v>ZFGD</v>
          </cell>
          <cell r="F1145" t="str">
            <v>SET</v>
          </cell>
          <cell r="G1145" t="str">
            <v>5</v>
          </cell>
          <cell r="H1145" t="str">
            <v>PROJECT</v>
          </cell>
          <cell r="I1145" t="str">
            <v>59</v>
          </cell>
          <cell r="J1145" t="str">
            <v>MPC</v>
          </cell>
          <cell r="K1145" t="str">
            <v>5904</v>
          </cell>
          <cell r="L1145" t="str">
            <v>METALKOTE</v>
          </cell>
          <cell r="M1145" t="str">
            <v>590402</v>
          </cell>
          <cell r="N1145" t="str">
            <v>METALKOTE-EPOXY SYS</v>
          </cell>
        </row>
        <row r="1146">
          <cell r="C1146" t="str">
            <v>100002799</v>
          </cell>
          <cell r="D1146" t="str">
            <v>EDP-551 RED OXIDE (ĐỎ) VN-1KS</v>
          </cell>
          <cell r="E1146" t="str">
            <v>ZFGD</v>
          </cell>
          <cell r="F1146" t="str">
            <v>SET</v>
          </cell>
          <cell r="G1146" t="str">
            <v>5</v>
          </cell>
          <cell r="H1146" t="str">
            <v>PROJECT</v>
          </cell>
          <cell r="I1146" t="str">
            <v>59</v>
          </cell>
          <cell r="J1146" t="str">
            <v>MPC</v>
          </cell>
          <cell r="K1146" t="str">
            <v>5904</v>
          </cell>
          <cell r="L1146" t="str">
            <v>METALKOTE</v>
          </cell>
          <cell r="M1146" t="str">
            <v>590402</v>
          </cell>
          <cell r="N1146" t="str">
            <v>METALKOTE-EPOXY SYS</v>
          </cell>
        </row>
        <row r="1147">
          <cell r="C1147" t="str">
            <v>100002800</v>
          </cell>
          <cell r="D1147" t="str">
            <v>EDP-551 WHITE (TRẮNG) VN-1KS</v>
          </cell>
          <cell r="E1147" t="str">
            <v>ZFGD</v>
          </cell>
          <cell r="F1147" t="str">
            <v>SET</v>
          </cell>
          <cell r="G1147" t="str">
            <v>5</v>
          </cell>
          <cell r="H1147" t="str">
            <v>PROJECT</v>
          </cell>
          <cell r="I1147" t="str">
            <v>59</v>
          </cell>
          <cell r="J1147" t="str">
            <v>MPC</v>
          </cell>
          <cell r="K1147" t="str">
            <v>5904</v>
          </cell>
          <cell r="L1147" t="str">
            <v>METALKOTE</v>
          </cell>
          <cell r="M1147" t="str">
            <v>590402</v>
          </cell>
          <cell r="N1147" t="str">
            <v>METALKOTE-EPOXY SYS</v>
          </cell>
        </row>
        <row r="1148">
          <cell r="C1148" t="str">
            <v>100002801</v>
          </cell>
          <cell r="D1148" t="str">
            <v>EDP-551 BLACK (ĐEN) VN-1KS</v>
          </cell>
          <cell r="E1148" t="str">
            <v>ZFGD</v>
          </cell>
          <cell r="F1148" t="str">
            <v>SET</v>
          </cell>
          <cell r="G1148" t="str">
            <v>5</v>
          </cell>
          <cell r="H1148" t="str">
            <v>PROJECT</v>
          </cell>
          <cell r="I1148" t="str">
            <v>59</v>
          </cell>
          <cell r="J1148" t="str">
            <v>MPC</v>
          </cell>
          <cell r="K1148" t="str">
            <v>5904</v>
          </cell>
          <cell r="L1148" t="str">
            <v>METALKOTE</v>
          </cell>
          <cell r="M1148" t="str">
            <v>590402</v>
          </cell>
          <cell r="N1148" t="str">
            <v>METALKOTE-EPOXY SYS</v>
          </cell>
        </row>
        <row r="1149">
          <cell r="C1149" t="str">
            <v>100002845</v>
          </cell>
          <cell r="D1149" t="str">
            <v>PFC-225 EPOCEM-2K</v>
          </cell>
          <cell r="E1149" t="str">
            <v>ZFGD</v>
          </cell>
          <cell r="F1149" t="str">
            <v>PC</v>
          </cell>
          <cell r="G1149" t="str">
            <v>5</v>
          </cell>
          <cell r="H1149" t="str">
            <v>PROJECT</v>
          </cell>
          <cell r="I1149" t="str">
            <v>56</v>
          </cell>
          <cell r="J1149" t="str">
            <v>CPC1</v>
          </cell>
          <cell r="K1149" t="str">
            <v>5602</v>
          </cell>
          <cell r="L1149" t="str">
            <v>POLYFLOOR</v>
          </cell>
          <cell r="M1149" t="str">
            <v>560201</v>
          </cell>
          <cell r="N1149" t="str">
            <v>POLYFLOOR CEMENT</v>
          </cell>
        </row>
        <row r="1150">
          <cell r="C1150" t="str">
            <v>100002846</v>
          </cell>
          <cell r="D1150" t="str">
            <v>HARDENER PFC-225 EPOCEM-2K</v>
          </cell>
          <cell r="E1150" t="str">
            <v>ZFGD</v>
          </cell>
          <cell r="F1150" t="str">
            <v>PC</v>
          </cell>
          <cell r="G1150" t="str">
            <v>5</v>
          </cell>
          <cell r="H1150" t="str">
            <v>PROJECT</v>
          </cell>
          <cell r="I1150" t="str">
            <v>56</v>
          </cell>
          <cell r="J1150" t="str">
            <v>CPC1</v>
          </cell>
          <cell r="K1150" t="str">
            <v>5607</v>
          </cell>
          <cell r="L1150" t="str">
            <v>OTHERS CPC1</v>
          </cell>
          <cell r="M1150" t="str">
            <v>560703</v>
          </cell>
          <cell r="N1150" t="str">
            <v>COMPLEMENTARY CPC1</v>
          </cell>
        </row>
        <row r="1151">
          <cell r="C1151" t="str">
            <v>100002847</v>
          </cell>
          <cell r="D1151" t="str">
            <v>CEMENT POWDER PFC-225-19KZ</v>
          </cell>
          <cell r="E1151" t="str">
            <v>ZFGD</v>
          </cell>
          <cell r="F1151" t="str">
            <v>PC</v>
          </cell>
          <cell r="G1151" t="str">
            <v>5</v>
          </cell>
          <cell r="H1151" t="str">
            <v>PROJECT</v>
          </cell>
          <cell r="I1151" t="str">
            <v>56</v>
          </cell>
          <cell r="J1151" t="str">
            <v>CPC1</v>
          </cell>
          <cell r="K1151" t="str">
            <v>5602</v>
          </cell>
          <cell r="L1151" t="str">
            <v>POLYFLOOR</v>
          </cell>
          <cell r="M1151" t="str">
            <v>560201</v>
          </cell>
          <cell r="N1151" t="str">
            <v>POLYFLOOR CEMENT</v>
          </cell>
        </row>
        <row r="1152">
          <cell r="C1152" t="str">
            <v>100002848</v>
          </cell>
          <cell r="D1152" t="str">
            <v>PFC-225 SEALER-1K</v>
          </cell>
          <cell r="E1152" t="str">
            <v>ZFGD</v>
          </cell>
          <cell r="F1152" t="str">
            <v>PC</v>
          </cell>
          <cell r="G1152" t="str">
            <v>5</v>
          </cell>
          <cell r="H1152" t="str">
            <v>PROJECT</v>
          </cell>
          <cell r="I1152" t="str">
            <v>56</v>
          </cell>
          <cell r="J1152" t="str">
            <v>CPC1</v>
          </cell>
          <cell r="K1152" t="str">
            <v>5602</v>
          </cell>
          <cell r="L1152" t="str">
            <v>POLYFLOOR</v>
          </cell>
          <cell r="M1152" t="str">
            <v>560201</v>
          </cell>
          <cell r="N1152" t="str">
            <v>POLYFLOOR CEMENT</v>
          </cell>
        </row>
        <row r="1153">
          <cell r="C1153" t="str">
            <v>100002849</v>
          </cell>
          <cell r="D1153" t="str">
            <v>HARDENER EPOXY CEMENT PFC-225 SEALER-3K</v>
          </cell>
          <cell r="E1153" t="str">
            <v>ZFGD</v>
          </cell>
          <cell r="F1153" t="str">
            <v>PC</v>
          </cell>
          <cell r="G1153" t="str">
            <v>2</v>
          </cell>
          <cell r="H1153" t="str">
            <v>RETAIL</v>
          </cell>
          <cell r="I1153" t="str">
            <v>27</v>
          </cell>
          <cell r="J1153" t="str">
            <v>CPC1</v>
          </cell>
          <cell r="K1153" t="str">
            <v>2707</v>
          </cell>
          <cell r="L1153" t="str">
            <v>OTHERS CPC1</v>
          </cell>
          <cell r="M1153" t="str">
            <v>270703</v>
          </cell>
          <cell r="N1153" t="str">
            <v>COMPLEMENTARY CPC1</v>
          </cell>
        </row>
        <row r="1154">
          <cell r="C1154" t="str">
            <v>100002850</v>
          </cell>
          <cell r="D1154" t="str">
            <v>PFT-293 AS GREY-16KP</v>
          </cell>
          <cell r="E1154" t="str">
            <v>ZFGD</v>
          </cell>
          <cell r="F1154" t="str">
            <v>PC</v>
          </cell>
          <cell r="G1154" t="str">
            <v>5</v>
          </cell>
          <cell r="H1154" t="str">
            <v>PROJECT</v>
          </cell>
          <cell r="I1154" t="str">
            <v>56</v>
          </cell>
          <cell r="J1154" t="str">
            <v>CPC1</v>
          </cell>
          <cell r="K1154" t="str">
            <v>5602</v>
          </cell>
          <cell r="L1154" t="str">
            <v>POLYFLOOR</v>
          </cell>
          <cell r="M1154" t="str">
            <v>560207</v>
          </cell>
          <cell r="N1154" t="str">
            <v>POLYFLOOR EPOXY SOLVENT FREE</v>
          </cell>
        </row>
        <row r="1155">
          <cell r="C1155" t="str">
            <v>100002851</v>
          </cell>
          <cell r="D1155" t="str">
            <v>HARDENER PFT-293 AS-4K</v>
          </cell>
          <cell r="E1155" t="str">
            <v>ZFGD</v>
          </cell>
          <cell r="F1155" t="str">
            <v>PC</v>
          </cell>
          <cell r="G1155" t="str">
            <v>5</v>
          </cell>
          <cell r="H1155" t="str">
            <v>PROJECT</v>
          </cell>
          <cell r="I1155" t="str">
            <v>56</v>
          </cell>
          <cell r="J1155" t="str">
            <v>CPC1</v>
          </cell>
          <cell r="K1155" t="str">
            <v>5607</v>
          </cell>
          <cell r="L1155" t="str">
            <v>OTHERS CPC1</v>
          </cell>
          <cell r="M1155" t="str">
            <v>560703</v>
          </cell>
          <cell r="N1155" t="str">
            <v>COMPLEMENTARY CPC1</v>
          </cell>
        </row>
        <row r="1156">
          <cell r="C1156" t="str">
            <v>100002921</v>
          </cell>
          <cell r="D1156" t="str">
            <v>ULTRAN UTO-555 VN-0.8L</v>
          </cell>
          <cell r="E1156" t="str">
            <v>ZFGD</v>
          </cell>
          <cell r="F1156" t="str">
            <v>PC</v>
          </cell>
          <cell r="G1156" t="str">
            <v>2</v>
          </cell>
          <cell r="H1156" t="str">
            <v>RETAIL</v>
          </cell>
          <cell r="I1156" t="str">
            <v>24</v>
          </cell>
          <cell r="J1156" t="str">
            <v>WF3</v>
          </cell>
          <cell r="K1156" t="str">
            <v>2413</v>
          </cell>
          <cell r="L1156" t="str">
            <v>ULTRAN</v>
          </cell>
          <cell r="M1156" t="str">
            <v>241309</v>
          </cell>
          <cell r="N1156" t="str">
            <v>ULTRAN TEAK OIL</v>
          </cell>
        </row>
        <row r="1157">
          <cell r="C1157" t="str">
            <v>100002922</v>
          </cell>
          <cell r="D1157" t="str">
            <v>ULTRAN UTO-555 VN-3.8L</v>
          </cell>
          <cell r="E1157" t="str">
            <v>ZFGD</v>
          </cell>
          <cell r="F1157" t="str">
            <v>PC</v>
          </cell>
          <cell r="G1157" t="str">
            <v>2</v>
          </cell>
          <cell r="H1157" t="str">
            <v>RETAIL</v>
          </cell>
          <cell r="I1157" t="str">
            <v>24</v>
          </cell>
          <cell r="J1157" t="str">
            <v>WF3</v>
          </cell>
          <cell r="K1157" t="str">
            <v>2413</v>
          </cell>
          <cell r="L1157" t="str">
            <v>ULTRAN</v>
          </cell>
          <cell r="M1157" t="str">
            <v>241309</v>
          </cell>
          <cell r="N1157" t="str">
            <v>ULTRAN TEAK OIL</v>
          </cell>
        </row>
        <row r="1158">
          <cell r="C1158" t="str">
            <v>100002923</v>
          </cell>
          <cell r="D1158" t="str">
            <v>ULTRAN UTO-555 VN-20LJ</v>
          </cell>
          <cell r="E1158" t="str">
            <v>ZFGD</v>
          </cell>
          <cell r="F1158" t="str">
            <v>PC</v>
          </cell>
          <cell r="G1158" t="str">
            <v>2</v>
          </cell>
          <cell r="H1158" t="str">
            <v>RETAIL</v>
          </cell>
          <cell r="I1158" t="str">
            <v>24</v>
          </cell>
          <cell r="J1158" t="str">
            <v>WF3</v>
          </cell>
          <cell r="K1158" t="str">
            <v>2413</v>
          </cell>
          <cell r="L1158" t="str">
            <v>ULTRAN</v>
          </cell>
          <cell r="M1158" t="str">
            <v>241309</v>
          </cell>
          <cell r="N1158" t="str">
            <v>ULTRAN TEAK OIL</v>
          </cell>
        </row>
        <row r="1159">
          <cell r="C1159" t="str">
            <v>100002971</v>
          </cell>
          <cell r="D1159" t="str">
            <v>MX-99 DARK GREY 20 MH VN-15KP</v>
          </cell>
          <cell r="E1159" t="str">
            <v>ZFGD</v>
          </cell>
          <cell r="F1159" t="str">
            <v>PC</v>
          </cell>
          <cell r="G1159" t="str">
            <v>2</v>
          </cell>
          <cell r="H1159" t="str">
            <v>RETAIL</v>
          </cell>
          <cell r="I1159" t="str">
            <v>27</v>
          </cell>
          <cell r="J1159" t="str">
            <v>CPC1</v>
          </cell>
          <cell r="K1159" t="str">
            <v>2703</v>
          </cell>
          <cell r="L1159" t="str">
            <v>MULTIPOX</v>
          </cell>
          <cell r="M1159" t="str">
            <v>270302</v>
          </cell>
          <cell r="N1159" t="str">
            <v>MULTIPOX BASE</v>
          </cell>
        </row>
        <row r="1160">
          <cell r="C1160" t="str">
            <v>100003011</v>
          </cell>
          <cell r="D1160" t="str">
            <v>MX-94 ROMAND GREY VN-16KP</v>
          </cell>
          <cell r="E1160" t="str">
            <v>ZFGD</v>
          </cell>
          <cell r="F1160" t="str">
            <v>PC</v>
          </cell>
          <cell r="G1160" t="str">
            <v>5</v>
          </cell>
          <cell r="H1160" t="str">
            <v>PROJECT</v>
          </cell>
          <cell r="I1160" t="str">
            <v>56</v>
          </cell>
          <cell r="J1160" t="str">
            <v>CPC1</v>
          </cell>
          <cell r="K1160" t="str">
            <v>5603</v>
          </cell>
          <cell r="L1160" t="str">
            <v>MULTIPOX</v>
          </cell>
          <cell r="M1160" t="str">
            <v>560301</v>
          </cell>
          <cell r="N1160" t="str">
            <v>MULTIPOX</v>
          </cell>
        </row>
        <row r="1161">
          <cell r="C1161" t="str">
            <v>100003012</v>
          </cell>
          <cell r="D1161" t="str">
            <v>MPUC-13600 SILVER VN-16KP</v>
          </cell>
          <cell r="E1161" t="str">
            <v>ZFGD</v>
          </cell>
          <cell r="F1161" t="str">
            <v>PC</v>
          </cell>
          <cell r="G1161" t="str">
            <v>1</v>
          </cell>
          <cell r="H1161" t="str">
            <v>INDUSTRY</v>
          </cell>
          <cell r="I1161" t="str">
            <v>16</v>
          </cell>
          <cell r="J1161" t="str">
            <v>METAL COATINGS</v>
          </cell>
          <cell r="K1161" t="str">
            <v>1601</v>
          </cell>
          <cell r="L1161" t="str">
            <v>METAL COATINGS</v>
          </cell>
          <cell r="M1161" t="str">
            <v>160101</v>
          </cell>
          <cell r="N1161" t="str">
            <v>METAL COATINGS</v>
          </cell>
        </row>
        <row r="1162">
          <cell r="C1162" t="str">
            <v>100003013</v>
          </cell>
          <cell r="D1162" t="str">
            <v>PFT-253 ROMAND GREY VN-16KP</v>
          </cell>
          <cell r="E1162" t="str">
            <v>ZFGD</v>
          </cell>
          <cell r="F1162" t="str">
            <v>PC</v>
          </cell>
          <cell r="G1162" t="str">
            <v>5</v>
          </cell>
          <cell r="H1162" t="str">
            <v>PROJECT</v>
          </cell>
          <cell r="I1162" t="str">
            <v>56</v>
          </cell>
          <cell r="J1162" t="str">
            <v>CPC1</v>
          </cell>
          <cell r="K1162" t="str">
            <v>5602</v>
          </cell>
          <cell r="L1162" t="str">
            <v>POLYFLOOR</v>
          </cell>
          <cell r="M1162" t="str">
            <v>560202</v>
          </cell>
          <cell r="N1162" t="str">
            <v>POLYFLOOR EPOXY</v>
          </cell>
        </row>
        <row r="1163">
          <cell r="C1163" t="str">
            <v>100003014</v>
          </cell>
          <cell r="D1163" t="str">
            <v>PUL-765-2K DN MO 50% VN-1LS</v>
          </cell>
          <cell r="E1163" t="str">
            <v>ZFGD</v>
          </cell>
          <cell r="F1163" t="str">
            <v>SET</v>
          </cell>
          <cell r="G1163" t="str">
            <v>2</v>
          </cell>
          <cell r="H1163" t="str">
            <v>RETAIL</v>
          </cell>
          <cell r="I1163" t="str">
            <v>22</v>
          </cell>
          <cell r="J1163" t="str">
            <v>WF2</v>
          </cell>
          <cell r="K1163" t="str">
            <v>2216</v>
          </cell>
          <cell r="L1163" t="str">
            <v>PU MULTIPURPOSE</v>
          </cell>
          <cell r="M1163" t="str">
            <v>221601</v>
          </cell>
          <cell r="N1163" t="str">
            <v>PROPAN MP PU ACR RMX</v>
          </cell>
        </row>
        <row r="1164">
          <cell r="C1164" t="str">
            <v>100003015</v>
          </cell>
          <cell r="D1164" t="str">
            <v>PUL-765-2K DN MO 50% VN-5LS</v>
          </cell>
          <cell r="E1164" t="str">
            <v>ZFGD</v>
          </cell>
          <cell r="F1164" t="str">
            <v>SET</v>
          </cell>
          <cell r="G1164" t="str">
            <v>2</v>
          </cell>
          <cell r="H1164" t="str">
            <v>RETAIL</v>
          </cell>
          <cell r="I1164" t="str">
            <v>22</v>
          </cell>
          <cell r="J1164" t="str">
            <v>WF2</v>
          </cell>
          <cell r="K1164" t="str">
            <v>2216</v>
          </cell>
          <cell r="L1164" t="str">
            <v>PU MULTIPURPOSE</v>
          </cell>
          <cell r="M1164" t="str">
            <v>221601</v>
          </cell>
          <cell r="N1164" t="str">
            <v>PROPAN MP PU ACR RMX</v>
          </cell>
        </row>
        <row r="1165">
          <cell r="C1165" t="str">
            <v>100003028</v>
          </cell>
          <cell r="D1165" t="str">
            <v>UPR-960 TRADITIONAL ORANGE 0047 VN-1K</v>
          </cell>
          <cell r="E1165" t="str">
            <v>ZFGD</v>
          </cell>
          <cell r="F1165" t="str">
            <v>PC</v>
          </cell>
          <cell r="G1165" t="str">
            <v>2</v>
          </cell>
          <cell r="H1165" t="str">
            <v>RETAIL</v>
          </cell>
          <cell r="I1165" t="str">
            <v>2D</v>
          </cell>
          <cell r="J1165" t="str">
            <v>APCT2</v>
          </cell>
          <cell r="K1165" t="str">
            <v>2D01</v>
          </cell>
          <cell r="L1165" t="str">
            <v>ULTRAPROOF</v>
          </cell>
          <cell r="M1165" t="str">
            <v>2D0101</v>
          </cell>
          <cell r="N1165" t="str">
            <v>ULTRAPROOF RMX</v>
          </cell>
        </row>
        <row r="1166">
          <cell r="C1166" t="str">
            <v>100003029</v>
          </cell>
          <cell r="D1166" t="str">
            <v>UPR-960 TRADITIONAL ORANGE 0047 VN-4K</v>
          </cell>
          <cell r="E1166" t="str">
            <v>ZFGD</v>
          </cell>
          <cell r="F1166" t="str">
            <v>PC</v>
          </cell>
          <cell r="G1166" t="str">
            <v>2</v>
          </cell>
          <cell r="H1166" t="str">
            <v>RETAIL</v>
          </cell>
          <cell r="I1166" t="str">
            <v>2D</v>
          </cell>
          <cell r="J1166" t="str">
            <v>APCT2</v>
          </cell>
          <cell r="K1166" t="str">
            <v>2D01</v>
          </cell>
          <cell r="L1166" t="str">
            <v>ULTRAPROOF</v>
          </cell>
          <cell r="M1166" t="str">
            <v>2D0101</v>
          </cell>
          <cell r="N1166" t="str">
            <v>ULTRAPROOF RMX</v>
          </cell>
        </row>
        <row r="1167">
          <cell r="C1167" t="str">
            <v>100003030</v>
          </cell>
          <cell r="D1167" t="str">
            <v>UPR-960 TRADITIONAL ORANGE 0047 VN-20KP</v>
          </cell>
          <cell r="E1167" t="str">
            <v>ZFGD</v>
          </cell>
          <cell r="F1167" t="str">
            <v>PC</v>
          </cell>
          <cell r="G1167" t="str">
            <v>2</v>
          </cell>
          <cell r="H1167" t="str">
            <v>RETAIL</v>
          </cell>
          <cell r="I1167" t="str">
            <v>2D</v>
          </cell>
          <cell r="J1167" t="str">
            <v>APCT2</v>
          </cell>
          <cell r="K1167" t="str">
            <v>2D01</v>
          </cell>
          <cell r="L1167" t="str">
            <v>ULTRAPROOF</v>
          </cell>
          <cell r="M1167" t="str">
            <v>2D0101</v>
          </cell>
          <cell r="N1167" t="str">
            <v>ULTRAPROOF RMX</v>
          </cell>
        </row>
        <row r="1168">
          <cell r="C1168" t="str">
            <v>100003031</v>
          </cell>
          <cell r="D1168" t="str">
            <v>UPR-960 ORANGE PUNCH 0066 VN-1K</v>
          </cell>
          <cell r="E1168" t="str">
            <v>ZFGD</v>
          </cell>
          <cell r="F1168" t="str">
            <v>PC</v>
          </cell>
          <cell r="G1168" t="str">
            <v>2</v>
          </cell>
          <cell r="H1168" t="str">
            <v>RETAIL</v>
          </cell>
          <cell r="I1168" t="str">
            <v>2D</v>
          </cell>
          <cell r="J1168" t="str">
            <v>APCT2</v>
          </cell>
          <cell r="K1168" t="str">
            <v>2D01</v>
          </cell>
          <cell r="L1168" t="str">
            <v>ULTRAPROOF</v>
          </cell>
          <cell r="M1168" t="str">
            <v>2D0101</v>
          </cell>
          <cell r="N1168" t="str">
            <v>ULTRAPROOF RMX</v>
          </cell>
        </row>
        <row r="1169">
          <cell r="C1169" t="str">
            <v>100003032</v>
          </cell>
          <cell r="D1169" t="str">
            <v>UPR-960 ORANGE PUNCH 0066 VN-4K</v>
          </cell>
          <cell r="E1169" t="str">
            <v>ZFGD</v>
          </cell>
          <cell r="F1169" t="str">
            <v>PC</v>
          </cell>
          <cell r="G1169" t="str">
            <v>2</v>
          </cell>
          <cell r="H1169" t="str">
            <v>RETAIL</v>
          </cell>
          <cell r="I1169" t="str">
            <v>2D</v>
          </cell>
          <cell r="J1169" t="str">
            <v>APCT2</v>
          </cell>
          <cell r="K1169" t="str">
            <v>2D01</v>
          </cell>
          <cell r="L1169" t="str">
            <v>ULTRAPROOF</v>
          </cell>
          <cell r="M1169" t="str">
            <v>2D0101</v>
          </cell>
          <cell r="N1169" t="str">
            <v>ULTRAPROOF RMX</v>
          </cell>
        </row>
        <row r="1170">
          <cell r="C1170" t="str">
            <v>100003033</v>
          </cell>
          <cell r="D1170" t="str">
            <v>UPR-960 ORANGE PUNCH 0066 VN-20KP</v>
          </cell>
          <cell r="E1170" t="str">
            <v>ZFGD</v>
          </cell>
          <cell r="F1170" t="str">
            <v>PC</v>
          </cell>
          <cell r="G1170" t="str">
            <v>2</v>
          </cell>
          <cell r="H1170" t="str">
            <v>RETAIL</v>
          </cell>
          <cell r="I1170" t="str">
            <v>2D</v>
          </cell>
          <cell r="J1170" t="str">
            <v>APCT2</v>
          </cell>
          <cell r="K1170" t="str">
            <v>2D01</v>
          </cell>
          <cell r="L1170" t="str">
            <v>ULTRAPROOF</v>
          </cell>
          <cell r="M1170" t="str">
            <v>2D0101</v>
          </cell>
          <cell r="N1170" t="str">
            <v>ULTRAPROOF RMX</v>
          </cell>
        </row>
        <row r="1171">
          <cell r="C1171" t="str">
            <v>100003056</v>
          </cell>
          <cell r="D1171" t="str">
            <v>AKP-20600 RED OXIDE VN-20KP</v>
          </cell>
          <cell r="E1171" t="str">
            <v>ZFGD</v>
          </cell>
          <cell r="F1171" t="str">
            <v>PC</v>
          </cell>
          <cell r="G1171" t="str">
            <v>1</v>
          </cell>
          <cell r="H1171" t="str">
            <v>INDUSTRY</v>
          </cell>
          <cell r="I1171" t="str">
            <v>15</v>
          </cell>
          <cell r="J1171" t="str">
            <v>MARINE COATINGS</v>
          </cell>
          <cell r="K1171" t="str">
            <v>1501</v>
          </cell>
          <cell r="L1171" t="str">
            <v>MARINE COATINGS</v>
          </cell>
          <cell r="M1171" t="str">
            <v>150105</v>
          </cell>
          <cell r="N1171" t="str">
            <v>ALKYD SYSTEM</v>
          </cell>
        </row>
        <row r="1172">
          <cell r="C1172" t="str">
            <v>100003057</v>
          </cell>
          <cell r="D1172" t="str">
            <v>AKC-50600 BLUE RAL 5019 VN-20KP</v>
          </cell>
          <cell r="E1172" t="str">
            <v>ZFGD</v>
          </cell>
          <cell r="F1172" t="str">
            <v>PC</v>
          </cell>
          <cell r="G1172" t="str">
            <v>1</v>
          </cell>
          <cell r="H1172" t="str">
            <v>INDUSTRY</v>
          </cell>
          <cell r="I1172" t="str">
            <v>15</v>
          </cell>
          <cell r="J1172" t="str">
            <v>MARINE COATINGS</v>
          </cell>
          <cell r="K1172" t="str">
            <v>1501</v>
          </cell>
          <cell r="L1172" t="str">
            <v>MARINE COATINGS</v>
          </cell>
          <cell r="M1172" t="str">
            <v>150105</v>
          </cell>
          <cell r="N1172" t="str">
            <v>ALKYD SYSTEM</v>
          </cell>
        </row>
        <row r="1173">
          <cell r="C1173" t="str">
            <v>100003063</v>
          </cell>
          <cell r="D1173" t="str">
            <v>THNC-71100 FD HT VN-20LJ</v>
          </cell>
          <cell r="E1173" t="str">
            <v>ZFGD</v>
          </cell>
          <cell r="F1173" t="str">
            <v>PC</v>
          </cell>
          <cell r="G1173" t="str">
            <v>1</v>
          </cell>
          <cell r="H1173" t="str">
            <v>INDUSTRY</v>
          </cell>
          <cell r="I1173" t="str">
            <v>14</v>
          </cell>
          <cell r="J1173" t="str">
            <v>THINNER</v>
          </cell>
          <cell r="K1173" t="str">
            <v>1412</v>
          </cell>
          <cell r="L1173" t="str">
            <v>THINNER NC</v>
          </cell>
          <cell r="M1173" t="str">
            <v>141205</v>
          </cell>
          <cell r="N1173" t="str">
            <v>THINNER NC</v>
          </cell>
        </row>
        <row r="1174">
          <cell r="C1174" t="str">
            <v>100003064</v>
          </cell>
          <cell r="D1174" t="str">
            <v>THNC-71100 FD HT VN-200LK</v>
          </cell>
          <cell r="E1174" t="str">
            <v>ZFGD</v>
          </cell>
          <cell r="F1174" t="str">
            <v>PC</v>
          </cell>
          <cell r="G1174" t="str">
            <v>1</v>
          </cell>
          <cell r="H1174" t="str">
            <v>INDUSTRY</v>
          </cell>
          <cell r="I1174" t="str">
            <v>14</v>
          </cell>
          <cell r="J1174" t="str">
            <v>THINNER</v>
          </cell>
          <cell r="K1174" t="str">
            <v>1412</v>
          </cell>
          <cell r="L1174" t="str">
            <v>THINNER NC</v>
          </cell>
          <cell r="M1174" t="str">
            <v>141205</v>
          </cell>
          <cell r="N1174" t="str">
            <v>THINNER NC</v>
          </cell>
        </row>
        <row r="1175">
          <cell r="C1175" t="str">
            <v>100003086</v>
          </cell>
          <cell r="D1175" t="str">
            <v>MPUC-13600 RAL 7045 20 VN-4K</v>
          </cell>
          <cell r="E1175" t="str">
            <v>ZFGD</v>
          </cell>
          <cell r="F1175" t="str">
            <v>PC</v>
          </cell>
          <cell r="G1175" t="str">
            <v>1</v>
          </cell>
          <cell r="H1175" t="str">
            <v>INDUSTRY</v>
          </cell>
          <cell r="I1175" t="str">
            <v>16</v>
          </cell>
          <cell r="J1175" t="str">
            <v>METAL COATINGS</v>
          </cell>
          <cell r="K1175" t="str">
            <v>1601</v>
          </cell>
          <cell r="L1175" t="str">
            <v>METAL COATINGS</v>
          </cell>
          <cell r="M1175" t="str">
            <v>160101</v>
          </cell>
          <cell r="N1175" t="str">
            <v>METAL COATINGS</v>
          </cell>
        </row>
        <row r="1176">
          <cell r="C1176" t="str">
            <v>100003087</v>
          </cell>
          <cell r="D1176" t="str">
            <v>MPUC-13600 RAL 7045 20 VN-16KP</v>
          </cell>
          <cell r="E1176" t="str">
            <v>ZFGD</v>
          </cell>
          <cell r="F1176" t="str">
            <v>PC</v>
          </cell>
          <cell r="G1176" t="str">
            <v>1</v>
          </cell>
          <cell r="H1176" t="str">
            <v>INDUSTRY</v>
          </cell>
          <cell r="I1176" t="str">
            <v>16</v>
          </cell>
          <cell r="J1176" t="str">
            <v>METAL COATINGS</v>
          </cell>
          <cell r="K1176" t="str">
            <v>1601</v>
          </cell>
          <cell r="L1176" t="str">
            <v>METAL COATINGS</v>
          </cell>
          <cell r="M1176" t="str">
            <v>160101</v>
          </cell>
          <cell r="N1176" t="str">
            <v>METAL COATINGS</v>
          </cell>
        </row>
        <row r="1177">
          <cell r="C1177" t="str">
            <v>100003339</v>
          </cell>
          <cell r="D1177" t="str">
            <v>MPUC-13600 RED FE 50 VN-16KP</v>
          </cell>
          <cell r="E1177" t="str">
            <v>ZFGD</v>
          </cell>
          <cell r="F1177" t="str">
            <v>PC</v>
          </cell>
          <cell r="G1177" t="str">
            <v>1</v>
          </cell>
          <cell r="H1177" t="str">
            <v>INDUSTRY</v>
          </cell>
          <cell r="I1177" t="str">
            <v>16</v>
          </cell>
          <cell r="J1177" t="str">
            <v>METAL COATINGS</v>
          </cell>
          <cell r="K1177" t="str">
            <v>1601</v>
          </cell>
          <cell r="L1177" t="str">
            <v>METAL COATINGS</v>
          </cell>
          <cell r="M1177" t="str">
            <v>160101</v>
          </cell>
          <cell r="N1177" t="str">
            <v>METAL COATINGS</v>
          </cell>
        </row>
        <row r="1178">
          <cell r="C1178" t="str">
            <v>100003340</v>
          </cell>
          <cell r="D1178" t="str">
            <v>MPUC-13600 RED FE 50 VN-4K</v>
          </cell>
          <cell r="E1178" t="str">
            <v>ZFGD</v>
          </cell>
          <cell r="F1178" t="str">
            <v>PC</v>
          </cell>
          <cell r="G1178" t="str">
            <v>1</v>
          </cell>
          <cell r="H1178" t="str">
            <v>INDUSTRY</v>
          </cell>
          <cell r="I1178" t="str">
            <v>16</v>
          </cell>
          <cell r="J1178" t="str">
            <v>METAL COATINGS</v>
          </cell>
          <cell r="K1178" t="str">
            <v>1601</v>
          </cell>
          <cell r="L1178" t="str">
            <v>METAL COATINGS</v>
          </cell>
          <cell r="M1178" t="str">
            <v>160101</v>
          </cell>
          <cell r="N1178" t="str">
            <v>METAL COATINGS</v>
          </cell>
        </row>
        <row r="1179">
          <cell r="C1179" t="str">
            <v>100003359</v>
          </cell>
          <cell r="D1179" t="str">
            <v>AP-98200 MN 02 VN-1K</v>
          </cell>
          <cell r="E1179" t="str">
            <v>ZFGD</v>
          </cell>
          <cell r="F1179" t="str">
            <v>PC</v>
          </cell>
          <cell r="G1179" t="str">
            <v>1</v>
          </cell>
          <cell r="H1179" t="str">
            <v>INDUSTRY</v>
          </cell>
          <cell r="I1179" t="str">
            <v>11</v>
          </cell>
          <cell r="J1179" t="str">
            <v>WOOD COATINGS</v>
          </cell>
          <cell r="K1179" t="str">
            <v>1118</v>
          </cell>
          <cell r="L1179" t="str">
            <v>COMPLEMENTARY</v>
          </cell>
          <cell r="M1179" t="str">
            <v>111802</v>
          </cell>
          <cell r="N1179" t="str">
            <v>ASOF : POWDER &amp; MATTING SOLUTION</v>
          </cell>
        </row>
        <row r="1180">
          <cell r="C1180" t="str">
            <v>100003361</v>
          </cell>
          <cell r="D1180" t="str">
            <v>ZC-990 WB WHITE 006 VN-0.9K</v>
          </cell>
          <cell r="E1180" t="str">
            <v>ZFGD</v>
          </cell>
          <cell r="F1180" t="str">
            <v>PC</v>
          </cell>
          <cell r="G1180" t="str">
            <v>2</v>
          </cell>
          <cell r="H1180" t="str">
            <v>RETAIL</v>
          </cell>
          <cell r="I1180" t="str">
            <v>29</v>
          </cell>
          <cell r="J1180" t="str">
            <v>MPC</v>
          </cell>
          <cell r="K1180" t="str">
            <v>2910</v>
          </cell>
          <cell r="L1180" t="str">
            <v>ZINCOAT</v>
          </cell>
          <cell r="M1180" t="str">
            <v>291001</v>
          </cell>
          <cell r="N1180" t="str">
            <v>ZINCOAT</v>
          </cell>
        </row>
        <row r="1181">
          <cell r="C1181" t="str">
            <v>100003367</v>
          </cell>
          <cell r="D1181" t="str">
            <v>ZC-990 WB LIGHT GREY 011 VN-0.9K</v>
          </cell>
          <cell r="E1181" t="str">
            <v>ZFGD</v>
          </cell>
          <cell r="F1181" t="str">
            <v>PC</v>
          </cell>
          <cell r="G1181" t="str">
            <v>2</v>
          </cell>
          <cell r="H1181" t="str">
            <v>RETAIL</v>
          </cell>
          <cell r="I1181" t="str">
            <v>29</v>
          </cell>
          <cell r="J1181" t="str">
            <v>MPC</v>
          </cell>
          <cell r="K1181" t="str">
            <v>2910</v>
          </cell>
          <cell r="L1181" t="str">
            <v>ZINCOAT</v>
          </cell>
          <cell r="M1181" t="str">
            <v>291001</v>
          </cell>
          <cell r="N1181" t="str">
            <v>ZINCOAT</v>
          </cell>
        </row>
        <row r="1182">
          <cell r="C1182" t="str">
            <v>100003368</v>
          </cell>
          <cell r="D1182" t="str">
            <v>ZC-990 WB BLACK 012 VN-0.9K</v>
          </cell>
          <cell r="E1182" t="str">
            <v>ZFGD</v>
          </cell>
          <cell r="F1182" t="str">
            <v>PC</v>
          </cell>
          <cell r="G1182" t="str">
            <v>2</v>
          </cell>
          <cell r="H1182" t="str">
            <v>RETAIL</v>
          </cell>
          <cell r="I1182" t="str">
            <v>29</v>
          </cell>
          <cell r="J1182" t="str">
            <v>MPC</v>
          </cell>
          <cell r="K1182" t="str">
            <v>2910</v>
          </cell>
          <cell r="L1182" t="str">
            <v>ZINCOAT</v>
          </cell>
          <cell r="M1182" t="str">
            <v>291001</v>
          </cell>
          <cell r="N1182" t="str">
            <v>ZINCOAT</v>
          </cell>
        </row>
        <row r="1183">
          <cell r="C1183" t="str">
            <v>100003369</v>
          </cell>
          <cell r="D1183" t="str">
            <v>ZC-990 WB BROWN 014 VN-0.9K</v>
          </cell>
          <cell r="E1183" t="str">
            <v>ZFGD</v>
          </cell>
          <cell r="F1183" t="str">
            <v>PC</v>
          </cell>
          <cell r="G1183" t="str">
            <v>2</v>
          </cell>
          <cell r="H1183" t="str">
            <v>RETAIL</v>
          </cell>
          <cell r="I1183" t="str">
            <v>29</v>
          </cell>
          <cell r="J1183" t="str">
            <v>MPC</v>
          </cell>
          <cell r="K1183" t="str">
            <v>2910</v>
          </cell>
          <cell r="L1183" t="str">
            <v>ZINCOAT</v>
          </cell>
          <cell r="M1183" t="str">
            <v>291001</v>
          </cell>
          <cell r="N1183" t="str">
            <v>ZINCOAT</v>
          </cell>
        </row>
        <row r="1184">
          <cell r="C1184" t="str">
            <v>100003370</v>
          </cell>
          <cell r="D1184" t="str">
            <v>ZC-990 WB RED 001 VN-0.9K</v>
          </cell>
          <cell r="E1184" t="str">
            <v>ZFGD</v>
          </cell>
          <cell r="F1184" t="str">
            <v>PC</v>
          </cell>
          <cell r="G1184" t="str">
            <v>2</v>
          </cell>
          <cell r="H1184" t="str">
            <v>RETAIL</v>
          </cell>
          <cell r="I1184" t="str">
            <v>29</v>
          </cell>
          <cell r="J1184" t="str">
            <v>MPC</v>
          </cell>
          <cell r="K1184" t="str">
            <v>2910</v>
          </cell>
          <cell r="L1184" t="str">
            <v>ZINCOAT</v>
          </cell>
          <cell r="M1184" t="str">
            <v>291001</v>
          </cell>
          <cell r="N1184" t="str">
            <v>ZINCOAT</v>
          </cell>
        </row>
        <row r="1185">
          <cell r="C1185" t="str">
            <v>100003371</v>
          </cell>
          <cell r="D1185" t="str">
            <v>ZC-990 WB YELLOW 003 VN-0.9K</v>
          </cell>
          <cell r="E1185" t="str">
            <v>ZFGD</v>
          </cell>
          <cell r="F1185" t="str">
            <v>PC</v>
          </cell>
          <cell r="G1185" t="str">
            <v>2</v>
          </cell>
          <cell r="H1185" t="str">
            <v>RETAIL</v>
          </cell>
          <cell r="I1185" t="str">
            <v>29</v>
          </cell>
          <cell r="J1185" t="str">
            <v>MPC</v>
          </cell>
          <cell r="K1185" t="str">
            <v>2910</v>
          </cell>
          <cell r="L1185" t="str">
            <v>ZINCOAT</v>
          </cell>
          <cell r="M1185" t="str">
            <v>291001</v>
          </cell>
          <cell r="N1185" t="str">
            <v>ZINCOAT</v>
          </cell>
        </row>
        <row r="1186">
          <cell r="C1186" t="str">
            <v>100003372</v>
          </cell>
          <cell r="D1186" t="str">
            <v>ZC-990 WB SKY BLUE 007 VN-0.9K</v>
          </cell>
          <cell r="E1186" t="str">
            <v>ZFGD</v>
          </cell>
          <cell r="F1186" t="str">
            <v>PC</v>
          </cell>
          <cell r="G1186" t="str">
            <v>2</v>
          </cell>
          <cell r="H1186" t="str">
            <v>RETAIL</v>
          </cell>
          <cell r="I1186" t="str">
            <v>29</v>
          </cell>
          <cell r="J1186" t="str">
            <v>MPC</v>
          </cell>
          <cell r="K1186" t="str">
            <v>2910</v>
          </cell>
          <cell r="L1186" t="str">
            <v>ZINCOAT</v>
          </cell>
          <cell r="M1186" t="str">
            <v>291001</v>
          </cell>
          <cell r="N1186" t="str">
            <v>ZINCOAT</v>
          </cell>
        </row>
        <row r="1187">
          <cell r="C1187" t="str">
            <v>100003373</v>
          </cell>
          <cell r="D1187" t="str">
            <v>ZC-990 WB LIGHT CREAM 002 VN-0.9K</v>
          </cell>
          <cell r="E1187" t="str">
            <v>ZFGD</v>
          </cell>
          <cell r="F1187" t="str">
            <v>PC</v>
          </cell>
          <cell r="G1187" t="str">
            <v>2</v>
          </cell>
          <cell r="H1187" t="str">
            <v>RETAIL</v>
          </cell>
          <cell r="I1187" t="str">
            <v>29</v>
          </cell>
          <cell r="J1187" t="str">
            <v>MPC</v>
          </cell>
          <cell r="K1187" t="str">
            <v>2910</v>
          </cell>
          <cell r="L1187" t="str">
            <v>ZINCOAT</v>
          </cell>
          <cell r="M1187" t="str">
            <v>291001</v>
          </cell>
          <cell r="N1187" t="str">
            <v>ZINCOAT</v>
          </cell>
        </row>
        <row r="1188">
          <cell r="C1188" t="str">
            <v>100003404</v>
          </cell>
          <cell r="D1188" t="str">
            <v>HARDENER PUH-74 VN-1K</v>
          </cell>
          <cell r="E1188" t="str">
            <v>ZFGD</v>
          </cell>
          <cell r="F1188" t="str">
            <v>PC</v>
          </cell>
          <cell r="G1188" t="str">
            <v>2</v>
          </cell>
          <cell r="H1188" t="str">
            <v>RETAIL</v>
          </cell>
          <cell r="I1188" t="str">
            <v>22</v>
          </cell>
          <cell r="J1188" t="str">
            <v>WF2</v>
          </cell>
          <cell r="K1188" t="str">
            <v>2212</v>
          </cell>
          <cell r="L1188" t="str">
            <v>PU EASY TO USE</v>
          </cell>
          <cell r="M1188" t="str">
            <v>221201</v>
          </cell>
          <cell r="N1188" t="str">
            <v>PROPAN EASY TO USE PU</v>
          </cell>
        </row>
        <row r="1189">
          <cell r="C1189" t="str">
            <v>100003405</v>
          </cell>
          <cell r="D1189" t="str">
            <v>HARDENER PUH-74 VN-4K</v>
          </cell>
          <cell r="E1189" t="str">
            <v>ZFGD</v>
          </cell>
          <cell r="F1189" t="str">
            <v>PC</v>
          </cell>
          <cell r="G1189" t="str">
            <v>2</v>
          </cell>
          <cell r="H1189" t="str">
            <v>RETAIL</v>
          </cell>
          <cell r="I1189" t="str">
            <v>22</v>
          </cell>
          <cell r="J1189" t="str">
            <v>WF2</v>
          </cell>
          <cell r="K1189" t="str">
            <v>2212</v>
          </cell>
          <cell r="L1189" t="str">
            <v>PU EASY TO USE</v>
          </cell>
          <cell r="M1189" t="str">
            <v>221201</v>
          </cell>
          <cell r="N1189" t="str">
            <v>PROPAN EASY TO USE PU</v>
          </cell>
        </row>
        <row r="1190">
          <cell r="C1190" t="str">
            <v>100003406</v>
          </cell>
          <cell r="D1190" t="str">
            <v>HARDENER PUH-74 VN-16KP</v>
          </cell>
          <cell r="E1190" t="str">
            <v>ZFGD</v>
          </cell>
          <cell r="F1190" t="str">
            <v>PC</v>
          </cell>
          <cell r="G1190" t="str">
            <v>2</v>
          </cell>
          <cell r="H1190" t="str">
            <v>RETAIL</v>
          </cell>
          <cell r="I1190" t="str">
            <v>22</v>
          </cell>
          <cell r="J1190" t="str">
            <v>WF2</v>
          </cell>
          <cell r="K1190" t="str">
            <v>2212</v>
          </cell>
          <cell r="L1190" t="str">
            <v>PU EASY TO USE</v>
          </cell>
          <cell r="M1190" t="str">
            <v>221201</v>
          </cell>
          <cell r="N1190" t="str">
            <v>PROPAN EASY TO USE PU</v>
          </cell>
        </row>
        <row r="1191">
          <cell r="C1191" t="str">
            <v>100003407</v>
          </cell>
          <cell r="D1191" t="str">
            <v>PUSS-742 2K VN-1K</v>
          </cell>
          <cell r="E1191" t="str">
            <v>ZFGD</v>
          </cell>
          <cell r="F1191" t="str">
            <v>PC</v>
          </cell>
          <cell r="G1191" t="str">
            <v>2</v>
          </cell>
          <cell r="H1191" t="str">
            <v>RETAIL</v>
          </cell>
          <cell r="I1191" t="str">
            <v>22</v>
          </cell>
          <cell r="J1191" t="str">
            <v>WF2</v>
          </cell>
          <cell r="K1191" t="str">
            <v>2201</v>
          </cell>
          <cell r="L1191" t="str">
            <v>PU COATING</v>
          </cell>
          <cell r="M1191" t="str">
            <v>220117</v>
          </cell>
          <cell r="N1191" t="str">
            <v>PROPAN PU</v>
          </cell>
        </row>
        <row r="1192">
          <cell r="C1192" t="str">
            <v>100003408</v>
          </cell>
          <cell r="D1192" t="str">
            <v>PUSS-742 2K VN-4K</v>
          </cell>
          <cell r="E1192" t="str">
            <v>ZFGD</v>
          </cell>
          <cell r="F1192" t="str">
            <v>PC</v>
          </cell>
          <cell r="G1192" t="str">
            <v>2</v>
          </cell>
          <cell r="H1192" t="str">
            <v>RETAIL</v>
          </cell>
          <cell r="I1192" t="str">
            <v>22</v>
          </cell>
          <cell r="J1192" t="str">
            <v>WF2</v>
          </cell>
          <cell r="K1192" t="str">
            <v>2201</v>
          </cell>
          <cell r="L1192" t="str">
            <v>PU COATING</v>
          </cell>
          <cell r="M1192" t="str">
            <v>220117</v>
          </cell>
          <cell r="N1192" t="str">
            <v>PROPAN PU</v>
          </cell>
        </row>
        <row r="1193">
          <cell r="C1193" t="str">
            <v>100003409</v>
          </cell>
          <cell r="D1193" t="str">
            <v>PUSS-742 2K VN-16KP</v>
          </cell>
          <cell r="E1193" t="str">
            <v>ZFGD</v>
          </cell>
          <cell r="F1193" t="str">
            <v>PC</v>
          </cell>
          <cell r="G1193" t="str">
            <v>2</v>
          </cell>
          <cell r="H1193" t="str">
            <v>RETAIL</v>
          </cell>
          <cell r="I1193" t="str">
            <v>22</v>
          </cell>
          <cell r="J1193" t="str">
            <v>WF2</v>
          </cell>
          <cell r="K1193" t="str">
            <v>2201</v>
          </cell>
          <cell r="L1193" t="str">
            <v>PU COATING</v>
          </cell>
          <cell r="M1193" t="str">
            <v>220117</v>
          </cell>
          <cell r="N1193" t="str">
            <v>PROPAN PU</v>
          </cell>
        </row>
        <row r="1194">
          <cell r="C1194" t="str">
            <v>100003410</v>
          </cell>
          <cell r="D1194" t="str">
            <v>PUL-747 2K BONG 100 VN-1K</v>
          </cell>
          <cell r="E1194" t="str">
            <v>ZFGD</v>
          </cell>
          <cell r="F1194" t="str">
            <v>PC</v>
          </cell>
          <cell r="G1194" t="str">
            <v>2</v>
          </cell>
          <cell r="H1194" t="str">
            <v>RETAIL</v>
          </cell>
          <cell r="I1194" t="str">
            <v>22</v>
          </cell>
          <cell r="J1194" t="str">
            <v>WF2</v>
          </cell>
          <cell r="K1194" t="str">
            <v>2201</v>
          </cell>
          <cell r="L1194" t="str">
            <v>PU COATING</v>
          </cell>
          <cell r="M1194" t="str">
            <v>220117</v>
          </cell>
          <cell r="N1194" t="str">
            <v>PROPAN PU</v>
          </cell>
        </row>
        <row r="1195">
          <cell r="C1195" t="str">
            <v>100003411</v>
          </cell>
          <cell r="D1195" t="str">
            <v>PUL-747 2K BONG 100 VN-4K</v>
          </cell>
          <cell r="E1195" t="str">
            <v>ZFGD</v>
          </cell>
          <cell r="F1195" t="str">
            <v>PC</v>
          </cell>
          <cell r="G1195" t="str">
            <v>2</v>
          </cell>
          <cell r="H1195" t="str">
            <v>RETAIL</v>
          </cell>
          <cell r="I1195" t="str">
            <v>22</v>
          </cell>
          <cell r="J1195" t="str">
            <v>WF2</v>
          </cell>
          <cell r="K1195" t="str">
            <v>2201</v>
          </cell>
          <cell r="L1195" t="str">
            <v>PU COATING</v>
          </cell>
          <cell r="M1195" t="str">
            <v>220117</v>
          </cell>
          <cell r="N1195" t="str">
            <v>PROPAN PU</v>
          </cell>
        </row>
        <row r="1196">
          <cell r="C1196" t="str">
            <v>100003412</v>
          </cell>
          <cell r="D1196" t="str">
            <v>PUL-747 2K BONG 100 VN-16KP</v>
          </cell>
          <cell r="E1196" t="str">
            <v>ZFGD</v>
          </cell>
          <cell r="F1196" t="str">
            <v>PC</v>
          </cell>
          <cell r="G1196" t="str">
            <v>2</v>
          </cell>
          <cell r="H1196" t="str">
            <v>RETAIL</v>
          </cell>
          <cell r="I1196" t="str">
            <v>22</v>
          </cell>
          <cell r="J1196" t="str">
            <v>WF2</v>
          </cell>
          <cell r="K1196" t="str">
            <v>2201</v>
          </cell>
          <cell r="L1196" t="str">
            <v>PU COATING</v>
          </cell>
          <cell r="M1196" t="str">
            <v>220117</v>
          </cell>
          <cell r="N1196" t="str">
            <v>PROPAN PU</v>
          </cell>
        </row>
        <row r="1197">
          <cell r="C1197" t="str">
            <v>100003481</v>
          </cell>
          <cell r="D1197" t="str">
            <v>PUL-747 2K BONG 10 VN-1K</v>
          </cell>
          <cell r="E1197" t="str">
            <v>ZFGD</v>
          </cell>
          <cell r="F1197" t="str">
            <v>PC</v>
          </cell>
          <cell r="G1197" t="str">
            <v>2</v>
          </cell>
          <cell r="H1197" t="str">
            <v>RETAIL</v>
          </cell>
          <cell r="I1197" t="str">
            <v>22</v>
          </cell>
          <cell r="J1197" t="str">
            <v>WF2</v>
          </cell>
          <cell r="K1197" t="str">
            <v>2201</v>
          </cell>
          <cell r="L1197" t="str">
            <v>PU COATING</v>
          </cell>
          <cell r="M1197" t="str">
            <v>220117</v>
          </cell>
          <cell r="N1197" t="str">
            <v>PROPAN PU</v>
          </cell>
        </row>
        <row r="1198">
          <cell r="C1198" t="str">
            <v>100003482</v>
          </cell>
          <cell r="D1198" t="str">
            <v>PUL-747 2K BONG 30 VN-1K</v>
          </cell>
          <cell r="E1198" t="str">
            <v>ZFGD</v>
          </cell>
          <cell r="F1198" t="str">
            <v>PC</v>
          </cell>
          <cell r="G1198" t="str">
            <v>2</v>
          </cell>
          <cell r="H1198" t="str">
            <v>RETAIL</v>
          </cell>
          <cell r="I1198" t="str">
            <v>22</v>
          </cell>
          <cell r="J1198" t="str">
            <v>WF2</v>
          </cell>
          <cell r="K1198" t="str">
            <v>2201</v>
          </cell>
          <cell r="L1198" t="str">
            <v>PU COATING</v>
          </cell>
          <cell r="M1198" t="str">
            <v>220117</v>
          </cell>
          <cell r="N1198" t="str">
            <v>PROPAN PU</v>
          </cell>
        </row>
        <row r="1199">
          <cell r="C1199" t="str">
            <v>100003483</v>
          </cell>
          <cell r="D1199" t="str">
            <v>PUL-747 2K BONG 70 VN-1K</v>
          </cell>
          <cell r="E1199" t="str">
            <v>ZFGD</v>
          </cell>
          <cell r="F1199" t="str">
            <v>PC</v>
          </cell>
          <cell r="G1199" t="str">
            <v>2</v>
          </cell>
          <cell r="H1199" t="str">
            <v>RETAIL</v>
          </cell>
          <cell r="I1199" t="str">
            <v>22</v>
          </cell>
          <cell r="J1199" t="str">
            <v>WF2</v>
          </cell>
          <cell r="K1199" t="str">
            <v>2201</v>
          </cell>
          <cell r="L1199" t="str">
            <v>PU COATING</v>
          </cell>
          <cell r="M1199" t="str">
            <v>220117</v>
          </cell>
          <cell r="N1199" t="str">
            <v>PROPAN PU</v>
          </cell>
        </row>
        <row r="1200">
          <cell r="C1200" t="str">
            <v>100003484</v>
          </cell>
          <cell r="D1200" t="str">
            <v>PUL-747 2K BONG 10 VN-4K</v>
          </cell>
          <cell r="E1200" t="str">
            <v>ZFGD</v>
          </cell>
          <cell r="F1200" t="str">
            <v>PC</v>
          </cell>
          <cell r="G1200" t="str">
            <v>2</v>
          </cell>
          <cell r="H1200" t="str">
            <v>RETAIL</v>
          </cell>
          <cell r="I1200" t="str">
            <v>22</v>
          </cell>
          <cell r="J1200" t="str">
            <v>WF2</v>
          </cell>
          <cell r="K1200" t="str">
            <v>2201</v>
          </cell>
          <cell r="L1200" t="str">
            <v>PU COATING</v>
          </cell>
          <cell r="M1200" t="str">
            <v>220117</v>
          </cell>
          <cell r="N1200" t="str">
            <v>PROPAN PU</v>
          </cell>
        </row>
        <row r="1201">
          <cell r="C1201" t="str">
            <v>100003485</v>
          </cell>
          <cell r="D1201" t="str">
            <v>PUL-747 2K BONG 30 VN-4K</v>
          </cell>
          <cell r="E1201" t="str">
            <v>ZFGD</v>
          </cell>
          <cell r="F1201" t="str">
            <v>PC</v>
          </cell>
          <cell r="G1201" t="str">
            <v>2</v>
          </cell>
          <cell r="H1201" t="str">
            <v>RETAIL</v>
          </cell>
          <cell r="I1201" t="str">
            <v>22</v>
          </cell>
          <cell r="J1201" t="str">
            <v>WF2</v>
          </cell>
          <cell r="K1201" t="str">
            <v>2201</v>
          </cell>
          <cell r="L1201" t="str">
            <v>PU COATING</v>
          </cell>
          <cell r="M1201" t="str">
            <v>220117</v>
          </cell>
          <cell r="N1201" t="str">
            <v>PROPAN PU</v>
          </cell>
        </row>
        <row r="1202">
          <cell r="C1202" t="str">
            <v>100003486</v>
          </cell>
          <cell r="D1202" t="str">
            <v>PUL-747 2K BONG 70 VN-4K</v>
          </cell>
          <cell r="E1202" t="str">
            <v>ZFGD</v>
          </cell>
          <cell r="F1202" t="str">
            <v>PC</v>
          </cell>
          <cell r="G1202" t="str">
            <v>2</v>
          </cell>
          <cell r="H1202" t="str">
            <v>RETAIL</v>
          </cell>
          <cell r="I1202" t="str">
            <v>22</v>
          </cell>
          <cell r="J1202" t="str">
            <v>WF2</v>
          </cell>
          <cell r="K1202" t="str">
            <v>2201</v>
          </cell>
          <cell r="L1202" t="str">
            <v>PU COATING</v>
          </cell>
          <cell r="M1202" t="str">
            <v>220117</v>
          </cell>
          <cell r="N1202" t="str">
            <v>PROPAN PU</v>
          </cell>
        </row>
        <row r="1203">
          <cell r="C1203" t="str">
            <v>100003487</v>
          </cell>
          <cell r="D1203" t="str">
            <v>PUL-747 2K BONG 10 VN-16KP</v>
          </cell>
          <cell r="E1203" t="str">
            <v>ZFGD</v>
          </cell>
          <cell r="F1203" t="str">
            <v>PC</v>
          </cell>
          <cell r="G1203" t="str">
            <v>2</v>
          </cell>
          <cell r="H1203" t="str">
            <v>RETAIL</v>
          </cell>
          <cell r="I1203" t="str">
            <v>22</v>
          </cell>
          <cell r="J1203" t="str">
            <v>WF2</v>
          </cell>
          <cell r="K1203" t="str">
            <v>2201</v>
          </cell>
          <cell r="L1203" t="str">
            <v>PU COATING</v>
          </cell>
          <cell r="M1203" t="str">
            <v>220117</v>
          </cell>
          <cell r="N1203" t="str">
            <v>PROPAN PU</v>
          </cell>
        </row>
        <row r="1204">
          <cell r="C1204" t="str">
            <v>100003488</v>
          </cell>
          <cell r="D1204" t="str">
            <v>PUL-747 2K BONG 30 VN-16KP</v>
          </cell>
          <cell r="E1204" t="str">
            <v>ZFGD</v>
          </cell>
          <cell r="F1204" t="str">
            <v>PC</v>
          </cell>
          <cell r="G1204" t="str">
            <v>2</v>
          </cell>
          <cell r="H1204" t="str">
            <v>RETAIL</v>
          </cell>
          <cell r="I1204" t="str">
            <v>22</v>
          </cell>
          <cell r="J1204" t="str">
            <v>WF2</v>
          </cell>
          <cell r="K1204" t="str">
            <v>2201</v>
          </cell>
          <cell r="L1204" t="str">
            <v>PU COATING</v>
          </cell>
          <cell r="M1204" t="str">
            <v>220117</v>
          </cell>
          <cell r="N1204" t="str">
            <v>PROPAN PU</v>
          </cell>
        </row>
        <row r="1205">
          <cell r="C1205" t="str">
            <v>100003489</v>
          </cell>
          <cell r="D1205" t="str">
            <v>PUL-747 2K BONG 70 VN-16KP</v>
          </cell>
          <cell r="E1205" t="str">
            <v>ZFGD</v>
          </cell>
          <cell r="F1205" t="str">
            <v>PC</v>
          </cell>
          <cell r="G1205" t="str">
            <v>2</v>
          </cell>
          <cell r="H1205" t="str">
            <v>RETAIL</v>
          </cell>
          <cell r="I1205" t="str">
            <v>22</v>
          </cell>
          <cell r="J1205" t="str">
            <v>WF2</v>
          </cell>
          <cell r="K1205" t="str">
            <v>2201</v>
          </cell>
          <cell r="L1205" t="str">
            <v>PU COATING</v>
          </cell>
          <cell r="M1205" t="str">
            <v>220117</v>
          </cell>
          <cell r="N1205" t="str">
            <v>PROPAN PU</v>
          </cell>
        </row>
        <row r="1206">
          <cell r="C1206" t="str">
            <v>100003506</v>
          </cell>
          <cell r="D1206" t="str">
            <v>PUH-56306 HG VN-4K</v>
          </cell>
          <cell r="E1206" t="str">
            <v>ZFGD</v>
          </cell>
          <cell r="F1206" t="str">
            <v>PC</v>
          </cell>
          <cell r="G1206" t="str">
            <v>1</v>
          </cell>
          <cell r="H1206" t="str">
            <v>INDUSTRY</v>
          </cell>
          <cell r="I1206" t="str">
            <v>11</v>
          </cell>
          <cell r="J1206" t="str">
            <v>WOOD COATINGS</v>
          </cell>
          <cell r="K1206" t="str">
            <v>1103</v>
          </cell>
          <cell r="L1206" t="str">
            <v>PU</v>
          </cell>
          <cell r="M1206" t="str">
            <v>110320</v>
          </cell>
          <cell r="N1206" t="str">
            <v>PU HARDENER</v>
          </cell>
        </row>
        <row r="1207">
          <cell r="C1207" t="str">
            <v>100003507</v>
          </cell>
          <cell r="D1207" t="str">
            <v>PUL-53306 AC EX CLEAR HG VN-4K</v>
          </cell>
          <cell r="E1207" t="str">
            <v>ZFGD</v>
          </cell>
          <cell r="F1207" t="str">
            <v>PC</v>
          </cell>
          <cell r="G1207" t="str">
            <v>1</v>
          </cell>
          <cell r="H1207" t="str">
            <v>INDUSTRY</v>
          </cell>
          <cell r="I1207" t="str">
            <v>11</v>
          </cell>
          <cell r="J1207" t="str">
            <v>WOOD COATINGS</v>
          </cell>
          <cell r="K1207" t="str">
            <v>1103</v>
          </cell>
          <cell r="L1207" t="str">
            <v>PU</v>
          </cell>
          <cell r="M1207" t="str">
            <v>110321</v>
          </cell>
          <cell r="N1207" t="str">
            <v>PU LACQUER</v>
          </cell>
        </row>
        <row r="1208">
          <cell r="C1208" t="str">
            <v>100003508</v>
          </cell>
          <cell r="D1208" t="str">
            <v>PUL-53306 AC EX CLEAR HG VN-16KP</v>
          </cell>
          <cell r="E1208" t="str">
            <v>ZFGD</v>
          </cell>
          <cell r="F1208" t="str">
            <v>PC</v>
          </cell>
          <cell r="G1208" t="str">
            <v>1</v>
          </cell>
          <cell r="H1208" t="str">
            <v>INDUSTRY</v>
          </cell>
          <cell r="I1208" t="str">
            <v>11</v>
          </cell>
          <cell r="J1208" t="str">
            <v>WOOD COATINGS</v>
          </cell>
          <cell r="K1208" t="str">
            <v>1103</v>
          </cell>
          <cell r="L1208" t="str">
            <v>PU</v>
          </cell>
          <cell r="M1208" t="str">
            <v>110321</v>
          </cell>
          <cell r="N1208" t="str">
            <v>PU LACQUER</v>
          </cell>
        </row>
        <row r="1209">
          <cell r="C1209" t="str">
            <v>100003557</v>
          </cell>
          <cell r="D1209" t="str">
            <v>PUL-747 2K BONG 50 VN-1K</v>
          </cell>
          <cell r="E1209" t="str">
            <v>ZFGD</v>
          </cell>
          <cell r="F1209" t="str">
            <v>PC</v>
          </cell>
          <cell r="G1209" t="str">
            <v>2</v>
          </cell>
          <cell r="H1209" t="str">
            <v>RETAIL</v>
          </cell>
          <cell r="I1209" t="str">
            <v>22</v>
          </cell>
          <cell r="J1209" t="str">
            <v>WF2</v>
          </cell>
          <cell r="K1209" t="str">
            <v>2201</v>
          </cell>
          <cell r="L1209" t="str">
            <v>PU COATING</v>
          </cell>
          <cell r="M1209" t="str">
            <v>220117</v>
          </cell>
          <cell r="N1209" t="str">
            <v>PROPAN PU</v>
          </cell>
        </row>
        <row r="1210">
          <cell r="C1210" t="str">
            <v>100003558</v>
          </cell>
          <cell r="D1210" t="str">
            <v>PUL-747 2K BONG 50 VN-4K</v>
          </cell>
          <cell r="E1210" t="str">
            <v>ZFGD</v>
          </cell>
          <cell r="F1210" t="str">
            <v>PC</v>
          </cell>
          <cell r="G1210" t="str">
            <v>2</v>
          </cell>
          <cell r="H1210" t="str">
            <v>RETAIL</v>
          </cell>
          <cell r="I1210" t="str">
            <v>22</v>
          </cell>
          <cell r="J1210" t="str">
            <v>WF2</v>
          </cell>
          <cell r="K1210" t="str">
            <v>2201</v>
          </cell>
          <cell r="L1210" t="str">
            <v>PU COATING</v>
          </cell>
          <cell r="M1210" t="str">
            <v>220117</v>
          </cell>
          <cell r="N1210" t="str">
            <v>PROPAN PU</v>
          </cell>
        </row>
        <row r="1211">
          <cell r="C1211" t="str">
            <v>100003559</v>
          </cell>
          <cell r="D1211" t="str">
            <v>PUL-747 2K BONG 50 VN-16KP</v>
          </cell>
          <cell r="E1211" t="str">
            <v>ZFGD</v>
          </cell>
          <cell r="F1211" t="str">
            <v>PC</v>
          </cell>
          <cell r="G1211" t="str">
            <v>2</v>
          </cell>
          <cell r="H1211" t="str">
            <v>RETAIL</v>
          </cell>
          <cell r="I1211" t="str">
            <v>22</v>
          </cell>
          <cell r="J1211" t="str">
            <v>WF2</v>
          </cell>
          <cell r="K1211" t="str">
            <v>2201</v>
          </cell>
          <cell r="L1211" t="str">
            <v>PU COATING</v>
          </cell>
          <cell r="M1211" t="str">
            <v>220117</v>
          </cell>
          <cell r="N1211" t="str">
            <v>PROPAN PU</v>
          </cell>
        </row>
        <row r="1212">
          <cell r="C1212" t="str">
            <v>100003565</v>
          </cell>
          <cell r="D1212" t="str">
            <v>UPR-960 YELLOW STONE 2206 VN-1K</v>
          </cell>
          <cell r="E1212" t="str">
            <v>ZFGD</v>
          </cell>
          <cell r="F1212" t="str">
            <v>PC</v>
          </cell>
          <cell r="G1212" t="str">
            <v>2</v>
          </cell>
          <cell r="H1212" t="str">
            <v>RETAIL</v>
          </cell>
          <cell r="I1212" t="str">
            <v>2D</v>
          </cell>
          <cell r="J1212" t="str">
            <v>APCT2</v>
          </cell>
          <cell r="K1212" t="str">
            <v>2D01</v>
          </cell>
          <cell r="L1212" t="str">
            <v>ULTRAPROOF</v>
          </cell>
          <cell r="M1212" t="str">
            <v>2D0101</v>
          </cell>
          <cell r="N1212" t="str">
            <v>ULTRAPROOF RMX</v>
          </cell>
        </row>
        <row r="1213">
          <cell r="C1213" t="str">
            <v>100003567</v>
          </cell>
          <cell r="D1213" t="str">
            <v>UPR-960 YELLOW STONE 2206 VN-20KP</v>
          </cell>
          <cell r="E1213" t="str">
            <v>ZFGD</v>
          </cell>
          <cell r="F1213" t="str">
            <v>PC</v>
          </cell>
          <cell r="G1213" t="str">
            <v>2</v>
          </cell>
          <cell r="H1213" t="str">
            <v>RETAIL</v>
          </cell>
          <cell r="I1213" t="str">
            <v>2D</v>
          </cell>
          <cell r="J1213" t="str">
            <v>APCT2</v>
          </cell>
          <cell r="K1213" t="str">
            <v>2D01</v>
          </cell>
          <cell r="L1213" t="str">
            <v>ULTRAPROOF</v>
          </cell>
          <cell r="M1213" t="str">
            <v>2D0101</v>
          </cell>
          <cell r="N1213" t="str">
            <v>ULTRAPROOF RMX</v>
          </cell>
        </row>
        <row r="1214">
          <cell r="C1214" t="str">
            <v>100003581</v>
          </cell>
          <cell r="D1214" t="str">
            <v>UPR-960 YELLOW SUNNY SPOT 8054 VN-1K</v>
          </cell>
          <cell r="E1214" t="str">
            <v>ZFGD</v>
          </cell>
          <cell r="F1214" t="str">
            <v>PC</v>
          </cell>
          <cell r="G1214" t="str">
            <v>2</v>
          </cell>
          <cell r="H1214" t="str">
            <v>RETAIL</v>
          </cell>
          <cell r="I1214" t="str">
            <v>2D</v>
          </cell>
          <cell r="J1214" t="str">
            <v>APCT2</v>
          </cell>
          <cell r="K1214" t="str">
            <v>2D01</v>
          </cell>
          <cell r="L1214" t="str">
            <v>ULTRAPROOF</v>
          </cell>
          <cell r="M1214" t="str">
            <v>2D0101</v>
          </cell>
          <cell r="N1214" t="str">
            <v>ULTRAPROOF RMX</v>
          </cell>
        </row>
        <row r="1215">
          <cell r="C1215" t="str">
            <v>100003582</v>
          </cell>
          <cell r="D1215" t="str">
            <v>UPR-960 YELLOW SUNNY SPOT 8054 VN-4K</v>
          </cell>
          <cell r="E1215" t="str">
            <v>ZFGD</v>
          </cell>
          <cell r="F1215" t="str">
            <v>PC</v>
          </cell>
          <cell r="G1215" t="str">
            <v>2</v>
          </cell>
          <cell r="H1215" t="str">
            <v>RETAIL</v>
          </cell>
          <cell r="I1215" t="str">
            <v>2D</v>
          </cell>
          <cell r="J1215" t="str">
            <v>APCT2</v>
          </cell>
          <cell r="K1215" t="str">
            <v>2D01</v>
          </cell>
          <cell r="L1215" t="str">
            <v>ULTRAPROOF</v>
          </cell>
          <cell r="M1215" t="str">
            <v>2D0101</v>
          </cell>
          <cell r="N1215" t="str">
            <v>ULTRAPROOF RMX</v>
          </cell>
        </row>
        <row r="1216">
          <cell r="C1216" t="str">
            <v>100003583</v>
          </cell>
          <cell r="D1216" t="str">
            <v>UPR-960 YELLOW SUNNY SPOT 8054 VN-20KP</v>
          </cell>
          <cell r="E1216" t="str">
            <v>ZFGD</v>
          </cell>
          <cell r="F1216" t="str">
            <v>PC</v>
          </cell>
          <cell r="G1216" t="str">
            <v>2</v>
          </cell>
          <cell r="H1216" t="str">
            <v>RETAIL</v>
          </cell>
          <cell r="I1216" t="str">
            <v>2D</v>
          </cell>
          <cell r="J1216" t="str">
            <v>APCT2</v>
          </cell>
          <cell r="K1216" t="str">
            <v>2D01</v>
          </cell>
          <cell r="L1216" t="str">
            <v>ULTRAPROOF</v>
          </cell>
          <cell r="M1216" t="str">
            <v>2D0101</v>
          </cell>
          <cell r="N1216" t="str">
            <v>ULTRAPROOF RMX</v>
          </cell>
        </row>
        <row r="1217">
          <cell r="C1217" t="str">
            <v>100003597</v>
          </cell>
          <cell r="D1217" t="str">
            <v>PUP-752-2K WHITE VN-200KB</v>
          </cell>
          <cell r="E1217" t="str">
            <v>ZFGD</v>
          </cell>
          <cell r="F1217" t="str">
            <v>PC</v>
          </cell>
          <cell r="G1217" t="str">
            <v>2</v>
          </cell>
          <cell r="H1217" t="str">
            <v>RETAIL</v>
          </cell>
          <cell r="I1217" t="str">
            <v>22</v>
          </cell>
          <cell r="J1217" t="str">
            <v>WF2</v>
          </cell>
          <cell r="K1217" t="str">
            <v>2216</v>
          </cell>
          <cell r="L1217" t="str">
            <v>PU MULTIPURPOSE</v>
          </cell>
          <cell r="M1217" t="str">
            <v>221601</v>
          </cell>
          <cell r="N1217" t="str">
            <v>PROPAN MP PU ACR RMX</v>
          </cell>
        </row>
        <row r="1218">
          <cell r="C1218" t="str">
            <v>100003601</v>
          </cell>
          <cell r="D1218" t="str">
            <v>AP-980 RED OXIDE VN-20KP</v>
          </cell>
          <cell r="E1218" t="str">
            <v>ZFGD</v>
          </cell>
          <cell r="F1218" t="str">
            <v>PC</v>
          </cell>
          <cell r="G1218" t="str">
            <v>2</v>
          </cell>
          <cell r="H1218" t="str">
            <v>RETAIL</v>
          </cell>
          <cell r="I1218" t="str">
            <v>29</v>
          </cell>
          <cell r="J1218" t="str">
            <v>MPC</v>
          </cell>
          <cell r="K1218" t="str">
            <v>2910</v>
          </cell>
          <cell r="L1218" t="str">
            <v>ZINCOAT</v>
          </cell>
          <cell r="M1218" t="str">
            <v>291001</v>
          </cell>
          <cell r="N1218" t="str">
            <v>ZINCOAT</v>
          </cell>
        </row>
        <row r="1219">
          <cell r="C1219" t="str">
            <v>100003602</v>
          </cell>
          <cell r="D1219" t="str">
            <v>AP-980 RED OXIDE VN-5K</v>
          </cell>
          <cell r="E1219" t="str">
            <v>ZFGD</v>
          </cell>
          <cell r="F1219" t="str">
            <v>PC</v>
          </cell>
          <cell r="G1219" t="str">
            <v>2</v>
          </cell>
          <cell r="H1219" t="str">
            <v>RETAIL</v>
          </cell>
          <cell r="I1219" t="str">
            <v>29</v>
          </cell>
          <cell r="J1219" t="str">
            <v>MPC</v>
          </cell>
          <cell r="K1219" t="str">
            <v>2910</v>
          </cell>
          <cell r="L1219" t="str">
            <v>ZINCOAT</v>
          </cell>
          <cell r="M1219" t="str">
            <v>291001</v>
          </cell>
          <cell r="N1219" t="str">
            <v>ZINCOAT</v>
          </cell>
        </row>
        <row r="1220">
          <cell r="C1220" t="str">
            <v>100003603</v>
          </cell>
          <cell r="D1220" t="str">
            <v>AP-980 BLACK VN-20KP</v>
          </cell>
          <cell r="E1220" t="str">
            <v>ZFGD</v>
          </cell>
          <cell r="F1220" t="str">
            <v>PC</v>
          </cell>
          <cell r="G1220" t="str">
            <v>2</v>
          </cell>
          <cell r="H1220" t="str">
            <v>RETAIL</v>
          </cell>
          <cell r="I1220" t="str">
            <v>29</v>
          </cell>
          <cell r="J1220" t="str">
            <v>MPC</v>
          </cell>
          <cell r="K1220" t="str">
            <v>2910</v>
          </cell>
          <cell r="L1220" t="str">
            <v>ZINCOAT</v>
          </cell>
          <cell r="M1220" t="str">
            <v>291001</v>
          </cell>
          <cell r="N1220" t="str">
            <v>ZINCOAT</v>
          </cell>
        </row>
        <row r="1221">
          <cell r="C1221" t="str">
            <v>100003604</v>
          </cell>
          <cell r="D1221" t="str">
            <v>AP-980 BLACK VN-5K</v>
          </cell>
          <cell r="E1221" t="str">
            <v>ZFGD</v>
          </cell>
          <cell r="F1221" t="str">
            <v>PC</v>
          </cell>
          <cell r="G1221" t="str">
            <v>2</v>
          </cell>
          <cell r="H1221" t="str">
            <v>RETAIL</v>
          </cell>
          <cell r="I1221" t="str">
            <v>29</v>
          </cell>
          <cell r="J1221" t="str">
            <v>MPC</v>
          </cell>
          <cell r="K1221" t="str">
            <v>2910</v>
          </cell>
          <cell r="L1221" t="str">
            <v>ZINCOAT</v>
          </cell>
          <cell r="M1221" t="str">
            <v>291001</v>
          </cell>
          <cell r="N1221" t="str">
            <v>ZINCOAT</v>
          </cell>
        </row>
        <row r="1222">
          <cell r="C1222" t="str">
            <v>100003605</v>
          </cell>
          <cell r="D1222" t="str">
            <v>THC-73100 402 VN-3.8L</v>
          </cell>
          <cell r="E1222" t="str">
            <v>ZFGD</v>
          </cell>
          <cell r="F1222" t="str">
            <v>PC</v>
          </cell>
          <cell r="G1222" t="str">
            <v>1</v>
          </cell>
          <cell r="H1222" t="str">
            <v>INDUSTRY</v>
          </cell>
          <cell r="I1222" t="str">
            <v>14</v>
          </cell>
          <cell r="J1222" t="str">
            <v>THINNER</v>
          </cell>
          <cell r="K1222" t="str">
            <v>1412</v>
          </cell>
          <cell r="L1222" t="str">
            <v>THINNER NC</v>
          </cell>
          <cell r="M1222" t="str">
            <v>141203</v>
          </cell>
          <cell r="N1222" t="str">
            <v>THINNER COMPLEMENTARY</v>
          </cell>
        </row>
        <row r="1223">
          <cell r="C1223" t="str">
            <v>100003606</v>
          </cell>
          <cell r="D1223" t="str">
            <v>NCE-945040880AK-20KP</v>
          </cell>
          <cell r="E1223" t="str">
            <v>ZFGD</v>
          </cell>
          <cell r="F1223" t="str">
            <v>PC</v>
          </cell>
          <cell r="G1223" t="str">
            <v>1</v>
          </cell>
          <cell r="H1223" t="str">
            <v>INDUSTRY</v>
          </cell>
          <cell r="I1223" t="str">
            <v>11</v>
          </cell>
          <cell r="J1223" t="str">
            <v>WOOD COATINGS</v>
          </cell>
          <cell r="K1223" t="str">
            <v>1104</v>
          </cell>
          <cell r="L1223" t="str">
            <v>NC</v>
          </cell>
          <cell r="M1223" t="str">
            <v>110404</v>
          </cell>
          <cell r="N1223" t="str">
            <v>ASOF : NC TOP COAT</v>
          </cell>
        </row>
        <row r="1224">
          <cell r="C1224" t="str">
            <v>100003614</v>
          </cell>
          <cell r="D1224" t="str">
            <v>PUC-756-NY ACR CREAM III 30 VN-16KP</v>
          </cell>
          <cell r="E1224" t="str">
            <v>ZFGD</v>
          </cell>
          <cell r="F1224" t="str">
            <v>PC</v>
          </cell>
          <cell r="G1224" t="str">
            <v>2</v>
          </cell>
          <cell r="H1224" t="str">
            <v>RETAIL</v>
          </cell>
          <cell r="I1224" t="str">
            <v>22</v>
          </cell>
          <cell r="J1224" t="str">
            <v>WF2</v>
          </cell>
          <cell r="K1224" t="str">
            <v>2216</v>
          </cell>
          <cell r="L1224" t="str">
            <v>PU MULTIPURPOSE</v>
          </cell>
          <cell r="M1224" t="str">
            <v>221601</v>
          </cell>
          <cell r="N1224" t="str">
            <v>PROPAN MP PU ACR RMX</v>
          </cell>
        </row>
        <row r="1225">
          <cell r="C1225" t="str">
            <v>100003641</v>
          </cell>
          <cell r="D1225" t="str">
            <v>AP-980 GREY VN-20KP</v>
          </cell>
          <cell r="E1225" t="str">
            <v>ZFGD</v>
          </cell>
          <cell r="F1225" t="str">
            <v>PC</v>
          </cell>
          <cell r="G1225" t="str">
            <v>2</v>
          </cell>
          <cell r="H1225" t="str">
            <v>RETAIL</v>
          </cell>
          <cell r="I1225" t="str">
            <v>29</v>
          </cell>
          <cell r="J1225" t="str">
            <v>MPC</v>
          </cell>
          <cell r="K1225" t="str">
            <v>2910</v>
          </cell>
          <cell r="L1225" t="str">
            <v>ZINCOAT</v>
          </cell>
          <cell r="M1225" t="str">
            <v>291001</v>
          </cell>
          <cell r="N1225" t="str">
            <v>ZINCOAT</v>
          </cell>
        </row>
        <row r="1226">
          <cell r="C1226" t="str">
            <v>100003642</v>
          </cell>
          <cell r="D1226" t="str">
            <v>AP-980 GREY VN-5K</v>
          </cell>
          <cell r="E1226" t="str">
            <v>ZFGD</v>
          </cell>
          <cell r="F1226" t="str">
            <v>PC</v>
          </cell>
          <cell r="G1226" t="str">
            <v>2</v>
          </cell>
          <cell r="H1226" t="str">
            <v>RETAIL</v>
          </cell>
          <cell r="I1226" t="str">
            <v>29</v>
          </cell>
          <cell r="J1226" t="str">
            <v>MPC</v>
          </cell>
          <cell r="K1226" t="str">
            <v>2910</v>
          </cell>
          <cell r="L1226" t="str">
            <v>ZINCOAT</v>
          </cell>
          <cell r="M1226" t="str">
            <v>291001</v>
          </cell>
          <cell r="N1226" t="str">
            <v>ZINCOAT</v>
          </cell>
        </row>
        <row r="1227">
          <cell r="C1227" t="str">
            <v>100003653</v>
          </cell>
          <cell r="D1227" t="str">
            <v>PFT-253 RAL 6002 VN-16KP</v>
          </cell>
          <cell r="E1227" t="str">
            <v>ZFGD</v>
          </cell>
          <cell r="F1227" t="str">
            <v>PC</v>
          </cell>
          <cell r="G1227" t="str">
            <v>5</v>
          </cell>
          <cell r="H1227" t="str">
            <v>PROJECT</v>
          </cell>
          <cell r="I1227" t="str">
            <v>56</v>
          </cell>
          <cell r="J1227" t="str">
            <v>CPC1</v>
          </cell>
          <cell r="K1227" t="str">
            <v>5602</v>
          </cell>
          <cell r="L1227" t="str">
            <v>POLYFLOOR</v>
          </cell>
          <cell r="M1227" t="str">
            <v>560202</v>
          </cell>
          <cell r="N1227" t="str">
            <v>POLYFLOOR EPOXY</v>
          </cell>
        </row>
        <row r="1228">
          <cell r="C1228" t="str">
            <v>100003654</v>
          </cell>
          <cell r="D1228" t="str">
            <v>PFT-253 RAL 3000 VN-16KP</v>
          </cell>
          <cell r="E1228" t="str">
            <v>ZFGD</v>
          </cell>
          <cell r="F1228" t="str">
            <v>PC</v>
          </cell>
          <cell r="G1228" t="str">
            <v>5</v>
          </cell>
          <cell r="H1228" t="str">
            <v>PROJECT</v>
          </cell>
          <cell r="I1228" t="str">
            <v>56</v>
          </cell>
          <cell r="J1228" t="str">
            <v>CPC1</v>
          </cell>
          <cell r="K1228" t="str">
            <v>5602</v>
          </cell>
          <cell r="L1228" t="str">
            <v>POLYFLOOR</v>
          </cell>
          <cell r="M1228" t="str">
            <v>560202</v>
          </cell>
          <cell r="N1228" t="str">
            <v>POLYFLOOR EPOXY</v>
          </cell>
        </row>
        <row r="1229">
          <cell r="C1229" t="str">
            <v>100003656</v>
          </cell>
          <cell r="D1229" t="str">
            <v>GEMINI BLUE-0.9L</v>
          </cell>
          <cell r="E1229" t="str">
            <v>ZFGD</v>
          </cell>
          <cell r="F1229" t="str">
            <v>PC</v>
          </cell>
          <cell r="G1229" t="str">
            <v>2</v>
          </cell>
          <cell r="H1229" t="str">
            <v>RETAIL</v>
          </cell>
          <cell r="I1229" t="str">
            <v>29</v>
          </cell>
          <cell r="J1229" t="str">
            <v>MPC</v>
          </cell>
          <cell r="K1229" t="str">
            <v>2902</v>
          </cell>
          <cell r="L1229" t="str">
            <v>SYNTHETIC ENAMEL SB</v>
          </cell>
          <cell r="M1229" t="str">
            <v>290210</v>
          </cell>
          <cell r="N1229" t="str">
            <v>GEMINI SYNTHETIC RMX</v>
          </cell>
        </row>
        <row r="1230">
          <cell r="C1230" t="str">
            <v>100003657</v>
          </cell>
          <cell r="D1230" t="str">
            <v>GEMINI BLACK 9406G-0.9L</v>
          </cell>
          <cell r="E1230" t="str">
            <v>ZFGD</v>
          </cell>
          <cell r="F1230" t="str">
            <v>PC</v>
          </cell>
          <cell r="G1230" t="str">
            <v>2</v>
          </cell>
          <cell r="H1230" t="str">
            <v>RETAIL</v>
          </cell>
          <cell r="I1230" t="str">
            <v>29</v>
          </cell>
          <cell r="J1230" t="str">
            <v>MPC</v>
          </cell>
          <cell r="K1230" t="str">
            <v>2902</v>
          </cell>
          <cell r="L1230" t="str">
            <v>SYNTHETIC ENAMEL SB</v>
          </cell>
          <cell r="M1230" t="str">
            <v>290210</v>
          </cell>
          <cell r="N1230" t="str">
            <v>GEMINI SYNTHETIC RMX</v>
          </cell>
        </row>
        <row r="1231">
          <cell r="C1231" t="str">
            <v>100003658</v>
          </cell>
          <cell r="D1231" t="str">
            <v>GEMINI WHITE 9101-0.9L</v>
          </cell>
          <cell r="E1231" t="str">
            <v>ZFGD</v>
          </cell>
          <cell r="F1231" t="str">
            <v>PC</v>
          </cell>
          <cell r="G1231" t="str">
            <v>2</v>
          </cell>
          <cell r="H1231" t="str">
            <v>RETAIL</v>
          </cell>
          <cell r="I1231" t="str">
            <v>29</v>
          </cell>
          <cell r="J1231" t="str">
            <v>MPC</v>
          </cell>
          <cell r="K1231" t="str">
            <v>2902</v>
          </cell>
          <cell r="L1231" t="str">
            <v>SYNTHETIC ENAMEL SB</v>
          </cell>
          <cell r="M1231" t="str">
            <v>290210</v>
          </cell>
          <cell r="N1231" t="str">
            <v>GEMINI SYNTHETIC RMX</v>
          </cell>
        </row>
        <row r="1232">
          <cell r="C1232" t="str">
            <v>100003659</v>
          </cell>
          <cell r="D1232" t="str">
            <v>GEMINI SUPER WHITE 9102-0.9L</v>
          </cell>
          <cell r="E1232" t="str">
            <v>ZFGD</v>
          </cell>
          <cell r="F1232" t="str">
            <v>PC</v>
          </cell>
          <cell r="G1232" t="str">
            <v>2</v>
          </cell>
          <cell r="H1232" t="str">
            <v>RETAIL</v>
          </cell>
          <cell r="I1232" t="str">
            <v>29</v>
          </cell>
          <cell r="J1232" t="str">
            <v>MPC</v>
          </cell>
          <cell r="K1232" t="str">
            <v>2902</v>
          </cell>
          <cell r="L1232" t="str">
            <v>SYNTHETIC ENAMEL SB</v>
          </cell>
          <cell r="M1232" t="str">
            <v>290210</v>
          </cell>
          <cell r="N1232" t="str">
            <v>GEMINI SYNTHETIC RMX</v>
          </cell>
        </row>
        <row r="1233">
          <cell r="C1233" t="str">
            <v>100003713</v>
          </cell>
          <cell r="D1233" t="str">
            <v>PFC-225 SEALER- 2K</v>
          </cell>
          <cell r="E1233" t="str">
            <v>ZFGD</v>
          </cell>
          <cell r="F1233" t="str">
            <v>PC</v>
          </cell>
          <cell r="G1233" t="str">
            <v>5</v>
          </cell>
          <cell r="H1233" t="str">
            <v>PROJECT</v>
          </cell>
          <cell r="I1233" t="str">
            <v>56</v>
          </cell>
          <cell r="J1233" t="str">
            <v>CPC1</v>
          </cell>
          <cell r="K1233" t="str">
            <v>5602</v>
          </cell>
          <cell r="L1233" t="str">
            <v>POLYFLOOR</v>
          </cell>
          <cell r="M1233" t="str">
            <v>560201</v>
          </cell>
          <cell r="N1233" t="str">
            <v>POLYFLOOR CEMENT</v>
          </cell>
        </row>
        <row r="1234">
          <cell r="C1234" t="str">
            <v>100003714</v>
          </cell>
          <cell r="D1234" t="str">
            <v>HARDENER PFC-225 SEALER- 2K</v>
          </cell>
          <cell r="E1234" t="str">
            <v>ZFGD</v>
          </cell>
          <cell r="F1234" t="str">
            <v>PC</v>
          </cell>
          <cell r="G1234" t="str">
            <v>5</v>
          </cell>
          <cell r="H1234" t="str">
            <v>PROJECT</v>
          </cell>
          <cell r="I1234" t="str">
            <v>56</v>
          </cell>
          <cell r="J1234" t="str">
            <v>CPC1</v>
          </cell>
          <cell r="K1234" t="str">
            <v>5607</v>
          </cell>
          <cell r="L1234" t="str">
            <v>OTHERS CPC1</v>
          </cell>
          <cell r="M1234" t="str">
            <v>560703</v>
          </cell>
          <cell r="N1234" t="str">
            <v>COMPLEMENTARY CPC1</v>
          </cell>
        </row>
        <row r="1235">
          <cell r="C1235" t="str">
            <v>100003746</v>
          </cell>
          <cell r="D1235" t="str">
            <v>MPUC-13600 BROWN MH 20 VN-16KP</v>
          </cell>
          <cell r="E1235" t="str">
            <v>ZFGD</v>
          </cell>
          <cell r="F1235" t="str">
            <v>PC</v>
          </cell>
          <cell r="G1235" t="str">
            <v>1</v>
          </cell>
          <cell r="H1235" t="str">
            <v>INDUSTRY</v>
          </cell>
          <cell r="I1235" t="str">
            <v>16</v>
          </cell>
          <cell r="J1235" t="str">
            <v>METAL COATINGS</v>
          </cell>
          <cell r="K1235" t="str">
            <v>1601</v>
          </cell>
          <cell r="L1235" t="str">
            <v>METAL COATINGS</v>
          </cell>
          <cell r="M1235" t="str">
            <v>160101</v>
          </cell>
          <cell r="N1235" t="str">
            <v>METAL COATINGS</v>
          </cell>
        </row>
        <row r="1236">
          <cell r="C1236" t="str">
            <v>100003747</v>
          </cell>
          <cell r="D1236" t="str">
            <v>MPUC-13600 BROWN MH 20 VN-4K</v>
          </cell>
          <cell r="E1236" t="str">
            <v>ZFGD</v>
          </cell>
          <cell r="F1236" t="str">
            <v>PC</v>
          </cell>
          <cell r="G1236" t="str">
            <v>1</v>
          </cell>
          <cell r="H1236" t="str">
            <v>INDUSTRY</v>
          </cell>
          <cell r="I1236" t="str">
            <v>16</v>
          </cell>
          <cell r="J1236" t="str">
            <v>METAL COATINGS</v>
          </cell>
          <cell r="K1236" t="str">
            <v>1601</v>
          </cell>
          <cell r="L1236" t="str">
            <v>METAL COATINGS</v>
          </cell>
          <cell r="M1236" t="str">
            <v>160101</v>
          </cell>
          <cell r="N1236" t="str">
            <v>METAL COATINGS</v>
          </cell>
        </row>
        <row r="1237">
          <cell r="C1237" t="str">
            <v>100003765</v>
          </cell>
          <cell r="D1237" t="str">
            <v>MX-99 AR CLEAR GLOSS VN-15KP</v>
          </cell>
          <cell r="E1237" t="str">
            <v>ZFGD</v>
          </cell>
          <cell r="F1237" t="str">
            <v>PC</v>
          </cell>
          <cell r="G1237" t="str">
            <v>2</v>
          </cell>
          <cell r="H1237" t="str">
            <v>RETAIL</v>
          </cell>
          <cell r="I1237" t="str">
            <v>27</v>
          </cell>
          <cell r="J1237" t="str">
            <v>CPC1</v>
          </cell>
          <cell r="K1237" t="str">
            <v>2703</v>
          </cell>
          <cell r="L1237" t="str">
            <v>MULTIPOX</v>
          </cell>
          <cell r="M1237" t="str">
            <v>270302</v>
          </cell>
          <cell r="N1237" t="str">
            <v>MULTIPOX BASE</v>
          </cell>
        </row>
        <row r="1238">
          <cell r="C1238" t="str">
            <v>100003800</v>
          </cell>
          <cell r="D1238" t="str">
            <v>AP-980 CLEAR GLOSS VN-20KP</v>
          </cell>
          <cell r="E1238" t="str">
            <v>ZFGD</v>
          </cell>
          <cell r="F1238" t="str">
            <v>PC</v>
          </cell>
          <cell r="G1238" t="str">
            <v>2</v>
          </cell>
          <cell r="H1238" t="str">
            <v>RETAIL</v>
          </cell>
          <cell r="I1238" t="str">
            <v>29</v>
          </cell>
          <cell r="J1238" t="str">
            <v>MPC</v>
          </cell>
          <cell r="K1238" t="str">
            <v>2910</v>
          </cell>
          <cell r="L1238" t="str">
            <v>ZINCOAT</v>
          </cell>
          <cell r="M1238" t="str">
            <v>291001</v>
          </cell>
          <cell r="N1238" t="str">
            <v>ZINCOAT</v>
          </cell>
        </row>
        <row r="1239">
          <cell r="C1239" t="str">
            <v>100003810</v>
          </cell>
          <cell r="D1239" t="str">
            <v>PUC-756-NY ACR CREAM 70 VN-16KP</v>
          </cell>
          <cell r="E1239" t="str">
            <v>ZFGD</v>
          </cell>
          <cell r="F1239" t="str">
            <v>PC</v>
          </cell>
          <cell r="G1239" t="str">
            <v>2</v>
          </cell>
          <cell r="H1239" t="str">
            <v>RETAIL</v>
          </cell>
          <cell r="I1239" t="str">
            <v>22</v>
          </cell>
          <cell r="J1239" t="str">
            <v>WF2</v>
          </cell>
          <cell r="K1239" t="str">
            <v>2216</v>
          </cell>
          <cell r="L1239" t="str">
            <v>PU MULTIPURPOSE</v>
          </cell>
          <cell r="M1239" t="str">
            <v>221601</v>
          </cell>
          <cell r="N1239" t="str">
            <v>PROPAN MP PU ACR RMX</v>
          </cell>
        </row>
        <row r="1240">
          <cell r="C1240" t="str">
            <v>100003949</v>
          </cell>
          <cell r="D1240" t="str">
            <v>DECORSHIELD DW-500 WHITE VN-0.8L</v>
          </cell>
          <cell r="E1240" t="str">
            <v>ZFGD</v>
          </cell>
          <cell r="F1240" t="str">
            <v>PC</v>
          </cell>
          <cell r="G1240" t="str">
            <v>2</v>
          </cell>
          <cell r="H1240" t="str">
            <v>RETAIL</v>
          </cell>
          <cell r="I1240" t="str">
            <v>25</v>
          </cell>
          <cell r="J1240" t="str">
            <v>APCT1</v>
          </cell>
          <cell r="K1240" t="str">
            <v>2502</v>
          </cell>
          <cell r="L1240" t="str">
            <v>DECOR</v>
          </cell>
          <cell r="M1240" t="str">
            <v>250203</v>
          </cell>
          <cell r="N1240" t="str">
            <v>DECORSHIELD RMX</v>
          </cell>
        </row>
        <row r="1241">
          <cell r="C1241" t="str">
            <v>100003950</v>
          </cell>
          <cell r="D1241" t="str">
            <v>DECORSHIELD DW-500 BASE A VN-0.8L</v>
          </cell>
          <cell r="E1241" t="str">
            <v>ZFGD</v>
          </cell>
          <cell r="F1241" t="str">
            <v>PC</v>
          </cell>
          <cell r="G1241" t="str">
            <v>2</v>
          </cell>
          <cell r="H1241" t="str">
            <v>RETAIL</v>
          </cell>
          <cell r="I1241" t="str">
            <v>25</v>
          </cell>
          <cell r="J1241" t="str">
            <v>APCT1</v>
          </cell>
          <cell r="K1241" t="str">
            <v>2502</v>
          </cell>
          <cell r="L1241" t="str">
            <v>DECOR</v>
          </cell>
          <cell r="M1241" t="str">
            <v>250203</v>
          </cell>
          <cell r="N1241" t="str">
            <v>DECORSHIELD RMX</v>
          </cell>
        </row>
        <row r="1242">
          <cell r="C1242" t="str">
            <v>100003951</v>
          </cell>
          <cell r="D1242" t="str">
            <v>DECORSHIELD DW-500 BASE B VN-0.8L</v>
          </cell>
          <cell r="E1242" t="str">
            <v>ZFGD</v>
          </cell>
          <cell r="F1242" t="str">
            <v>PC</v>
          </cell>
          <cell r="G1242" t="str">
            <v>2</v>
          </cell>
          <cell r="H1242" t="str">
            <v>RETAIL</v>
          </cell>
          <cell r="I1242" t="str">
            <v>25</v>
          </cell>
          <cell r="J1242" t="str">
            <v>APCT1</v>
          </cell>
          <cell r="K1242" t="str">
            <v>2502</v>
          </cell>
          <cell r="L1242" t="str">
            <v>DECOR</v>
          </cell>
          <cell r="M1242" t="str">
            <v>250203</v>
          </cell>
          <cell r="N1242" t="str">
            <v>DECORSHIELD RMX</v>
          </cell>
        </row>
        <row r="1243">
          <cell r="C1243" t="str">
            <v>100003952</v>
          </cell>
          <cell r="D1243" t="str">
            <v>DECORSHIELD DW-500 BASE D VN-0.8L</v>
          </cell>
          <cell r="E1243" t="str">
            <v>ZFGD</v>
          </cell>
          <cell r="F1243" t="str">
            <v>PC</v>
          </cell>
          <cell r="G1243" t="str">
            <v>2</v>
          </cell>
          <cell r="H1243" t="str">
            <v>RETAIL</v>
          </cell>
          <cell r="I1243" t="str">
            <v>25</v>
          </cell>
          <cell r="J1243" t="str">
            <v>APCT1</v>
          </cell>
          <cell r="K1243" t="str">
            <v>2502</v>
          </cell>
          <cell r="L1243" t="str">
            <v>DECOR</v>
          </cell>
          <cell r="M1243" t="str">
            <v>250203</v>
          </cell>
          <cell r="N1243" t="str">
            <v>DECORSHIELD RMX</v>
          </cell>
        </row>
        <row r="1244">
          <cell r="C1244" t="str">
            <v>100003958</v>
          </cell>
          <cell r="D1244" t="str">
            <v>DECORLOTUS DI-400 WHITE VN-0.8L</v>
          </cell>
          <cell r="E1244" t="str">
            <v>ZFGD</v>
          </cell>
          <cell r="F1244" t="str">
            <v>PC</v>
          </cell>
          <cell r="G1244" t="str">
            <v>2</v>
          </cell>
          <cell r="H1244" t="str">
            <v>RETAIL</v>
          </cell>
          <cell r="I1244" t="str">
            <v>25</v>
          </cell>
          <cell r="J1244" t="str">
            <v>APCT1</v>
          </cell>
          <cell r="K1244" t="str">
            <v>2502</v>
          </cell>
          <cell r="L1244" t="str">
            <v>DECOR</v>
          </cell>
          <cell r="M1244" t="str">
            <v>250221</v>
          </cell>
          <cell r="N1244" t="str">
            <v>DECORCRYL BASE</v>
          </cell>
        </row>
        <row r="1245">
          <cell r="C1245" t="str">
            <v>100003959</v>
          </cell>
          <cell r="D1245" t="str">
            <v>DECORLOTUS DI-400 BASE A VN-0.8L</v>
          </cell>
          <cell r="E1245" t="str">
            <v>ZFGD</v>
          </cell>
          <cell r="F1245" t="str">
            <v>PC</v>
          </cell>
          <cell r="G1245" t="str">
            <v>2</v>
          </cell>
          <cell r="H1245" t="str">
            <v>RETAIL</v>
          </cell>
          <cell r="I1245" t="str">
            <v>25</v>
          </cell>
          <cell r="J1245" t="str">
            <v>APCT1</v>
          </cell>
          <cell r="K1245" t="str">
            <v>2502</v>
          </cell>
          <cell r="L1245" t="str">
            <v>DECOR</v>
          </cell>
          <cell r="M1245" t="str">
            <v>250221</v>
          </cell>
          <cell r="N1245" t="str">
            <v>DECORCRYL BASE</v>
          </cell>
        </row>
        <row r="1246">
          <cell r="C1246" t="str">
            <v>100003960</v>
          </cell>
          <cell r="D1246" t="str">
            <v>DECORLOTUS DI-400 BASE B VN-0.8L</v>
          </cell>
          <cell r="E1246" t="str">
            <v>ZFGD</v>
          </cell>
          <cell r="F1246" t="str">
            <v>PC</v>
          </cell>
          <cell r="G1246" t="str">
            <v>2</v>
          </cell>
          <cell r="H1246" t="str">
            <v>RETAIL</v>
          </cell>
          <cell r="I1246" t="str">
            <v>25</v>
          </cell>
          <cell r="J1246" t="str">
            <v>APCT1</v>
          </cell>
          <cell r="K1246" t="str">
            <v>2502</v>
          </cell>
          <cell r="L1246" t="str">
            <v>DECOR</v>
          </cell>
          <cell r="M1246" t="str">
            <v>250221</v>
          </cell>
          <cell r="N1246" t="str">
            <v>DECORCRYL BASE</v>
          </cell>
        </row>
        <row r="1247">
          <cell r="C1247" t="str">
            <v>100003961</v>
          </cell>
          <cell r="D1247" t="str">
            <v>DECORLOTUS DI-400 BASE D VN-0.8L</v>
          </cell>
          <cell r="E1247" t="str">
            <v>ZFGD</v>
          </cell>
          <cell r="F1247" t="str">
            <v>PC</v>
          </cell>
          <cell r="G1247" t="str">
            <v>2</v>
          </cell>
          <cell r="H1247" t="str">
            <v>RETAIL</v>
          </cell>
          <cell r="I1247" t="str">
            <v>25</v>
          </cell>
          <cell r="J1247" t="str">
            <v>APCT1</v>
          </cell>
          <cell r="K1247" t="str">
            <v>2502</v>
          </cell>
          <cell r="L1247" t="str">
            <v>DECOR</v>
          </cell>
          <cell r="M1247" t="str">
            <v>250221</v>
          </cell>
          <cell r="N1247" t="str">
            <v>DECORCRYL BASE</v>
          </cell>
        </row>
        <row r="1248">
          <cell r="C1248" t="str">
            <v>100003967</v>
          </cell>
          <cell r="D1248" t="str">
            <v>UPR-960 BASE A VN-1K</v>
          </cell>
          <cell r="E1248" t="str">
            <v>ZFGD</v>
          </cell>
          <cell r="F1248" t="str">
            <v>PC</v>
          </cell>
          <cell r="G1248" t="str">
            <v>2</v>
          </cell>
          <cell r="H1248" t="str">
            <v>RETAIL</v>
          </cell>
          <cell r="I1248" t="str">
            <v>2D</v>
          </cell>
          <cell r="J1248" t="str">
            <v>APCT2</v>
          </cell>
          <cell r="K1248" t="str">
            <v>2D01</v>
          </cell>
          <cell r="L1248" t="str">
            <v>ULTRAPROOF</v>
          </cell>
          <cell r="M1248" t="str">
            <v>2D0101</v>
          </cell>
          <cell r="N1248" t="str">
            <v>ULTRAPROOF RMX</v>
          </cell>
        </row>
        <row r="1249">
          <cell r="C1249" t="str">
            <v>100003968</v>
          </cell>
          <cell r="D1249" t="str">
            <v>UPR-960 BASE B VN-1K</v>
          </cell>
          <cell r="E1249" t="str">
            <v>ZFGD</v>
          </cell>
          <cell r="F1249" t="str">
            <v>PC</v>
          </cell>
          <cell r="G1249" t="str">
            <v>2</v>
          </cell>
          <cell r="H1249" t="str">
            <v>RETAIL</v>
          </cell>
          <cell r="I1249" t="str">
            <v>2D</v>
          </cell>
          <cell r="J1249" t="str">
            <v>APCT2</v>
          </cell>
          <cell r="K1249" t="str">
            <v>2D01</v>
          </cell>
          <cell r="L1249" t="str">
            <v>ULTRAPROOF</v>
          </cell>
          <cell r="M1249" t="str">
            <v>2D0101</v>
          </cell>
          <cell r="N1249" t="str">
            <v>ULTRAPROOF RMX</v>
          </cell>
        </row>
        <row r="1250">
          <cell r="C1250" t="str">
            <v>100003969</v>
          </cell>
          <cell r="D1250" t="str">
            <v>UPR-960 BASE D VN-1K</v>
          </cell>
          <cell r="E1250" t="str">
            <v>ZFGD</v>
          </cell>
          <cell r="F1250" t="str">
            <v>PC</v>
          </cell>
          <cell r="G1250" t="str">
            <v>2</v>
          </cell>
          <cell r="H1250" t="str">
            <v>RETAIL</v>
          </cell>
          <cell r="I1250" t="str">
            <v>2D</v>
          </cell>
          <cell r="J1250" t="str">
            <v>APCT2</v>
          </cell>
          <cell r="K1250" t="str">
            <v>2D01</v>
          </cell>
          <cell r="L1250" t="str">
            <v>ULTRAPROOF</v>
          </cell>
          <cell r="M1250" t="str">
            <v>2D0101</v>
          </cell>
          <cell r="N1250" t="str">
            <v>ULTRAPROOF RMX</v>
          </cell>
        </row>
        <row r="1251">
          <cell r="C1251" t="str">
            <v>100003970</v>
          </cell>
          <cell r="D1251" t="str">
            <v>DECORSHIELD DW-500 WHITE VN-5L</v>
          </cell>
          <cell r="E1251" t="str">
            <v>ZFGD</v>
          </cell>
          <cell r="F1251" t="str">
            <v>PC</v>
          </cell>
          <cell r="G1251" t="str">
            <v>2</v>
          </cell>
          <cell r="H1251" t="str">
            <v>RETAIL</v>
          </cell>
          <cell r="I1251" t="str">
            <v>25</v>
          </cell>
          <cell r="J1251" t="str">
            <v>APCT1</v>
          </cell>
          <cell r="K1251" t="str">
            <v>2502</v>
          </cell>
          <cell r="L1251" t="str">
            <v>DECOR</v>
          </cell>
          <cell r="M1251" t="str">
            <v>250203</v>
          </cell>
          <cell r="N1251" t="str">
            <v>DECORSHIELD RMX</v>
          </cell>
        </row>
        <row r="1252">
          <cell r="C1252" t="str">
            <v>100003971</v>
          </cell>
          <cell r="D1252" t="str">
            <v>DECORSHIELD DW-500 BASE A VN-5L</v>
          </cell>
          <cell r="E1252" t="str">
            <v>ZFGD</v>
          </cell>
          <cell r="F1252" t="str">
            <v>PC</v>
          </cell>
          <cell r="G1252" t="str">
            <v>2</v>
          </cell>
          <cell r="H1252" t="str">
            <v>RETAIL</v>
          </cell>
          <cell r="I1252" t="str">
            <v>25</v>
          </cell>
          <cell r="J1252" t="str">
            <v>APCT1</v>
          </cell>
          <cell r="K1252" t="str">
            <v>2502</v>
          </cell>
          <cell r="L1252" t="str">
            <v>DECOR</v>
          </cell>
          <cell r="M1252" t="str">
            <v>250203</v>
          </cell>
          <cell r="N1252" t="str">
            <v>DECORSHIELD RMX</v>
          </cell>
        </row>
        <row r="1253">
          <cell r="C1253" t="str">
            <v>100003972</v>
          </cell>
          <cell r="D1253" t="str">
            <v>DECORSHIELD DW-500 BASE B VN-5L</v>
          </cell>
          <cell r="E1253" t="str">
            <v>ZFGD</v>
          </cell>
          <cell r="F1253" t="str">
            <v>PC</v>
          </cell>
          <cell r="G1253" t="str">
            <v>2</v>
          </cell>
          <cell r="H1253" t="str">
            <v>RETAIL</v>
          </cell>
          <cell r="I1253" t="str">
            <v>25</v>
          </cell>
          <cell r="J1253" t="str">
            <v>APCT1</v>
          </cell>
          <cell r="K1253" t="str">
            <v>2502</v>
          </cell>
          <cell r="L1253" t="str">
            <v>DECOR</v>
          </cell>
          <cell r="M1253" t="str">
            <v>250203</v>
          </cell>
          <cell r="N1253" t="str">
            <v>DECORSHIELD RMX</v>
          </cell>
        </row>
        <row r="1254">
          <cell r="C1254" t="str">
            <v>100003973</v>
          </cell>
          <cell r="D1254" t="str">
            <v>DECORSHIELD DW-500 BASE D VN-5L</v>
          </cell>
          <cell r="E1254" t="str">
            <v>ZFGD</v>
          </cell>
          <cell r="F1254" t="str">
            <v>PC</v>
          </cell>
          <cell r="G1254" t="str">
            <v>2</v>
          </cell>
          <cell r="H1254" t="str">
            <v>RETAIL</v>
          </cell>
          <cell r="I1254" t="str">
            <v>25</v>
          </cell>
          <cell r="J1254" t="str">
            <v>APCT1</v>
          </cell>
          <cell r="K1254" t="str">
            <v>2502</v>
          </cell>
          <cell r="L1254" t="str">
            <v>DECOR</v>
          </cell>
          <cell r="M1254" t="str">
            <v>250203</v>
          </cell>
          <cell r="N1254" t="str">
            <v>DECORSHIELD RMX</v>
          </cell>
        </row>
        <row r="1255">
          <cell r="C1255" t="str">
            <v>100003974</v>
          </cell>
          <cell r="D1255" t="str">
            <v>DECOR PRIMER AR-300 VN-5L</v>
          </cell>
          <cell r="E1255" t="str">
            <v>ZFGD</v>
          </cell>
          <cell r="F1255" t="str">
            <v>PC</v>
          </cell>
          <cell r="G1255" t="str">
            <v>2</v>
          </cell>
          <cell r="H1255" t="str">
            <v>RETAIL</v>
          </cell>
          <cell r="I1255" t="str">
            <v>25</v>
          </cell>
          <cell r="J1255" t="str">
            <v>APCT1</v>
          </cell>
          <cell r="K1255" t="str">
            <v>2502</v>
          </cell>
          <cell r="L1255" t="str">
            <v>DECOR</v>
          </cell>
          <cell r="M1255" t="str">
            <v>250209</v>
          </cell>
          <cell r="N1255" t="str">
            <v>DECOR PRIMER WB</v>
          </cell>
        </row>
        <row r="1256">
          <cell r="C1256" t="str">
            <v>100003979</v>
          </cell>
          <cell r="D1256" t="str">
            <v>DECORLOTUS DI-400 WHITE VN-5L</v>
          </cell>
          <cell r="E1256" t="str">
            <v>ZFGD</v>
          </cell>
          <cell r="F1256" t="str">
            <v>PC</v>
          </cell>
          <cell r="G1256" t="str">
            <v>2</v>
          </cell>
          <cell r="H1256" t="str">
            <v>RETAIL</v>
          </cell>
          <cell r="I1256" t="str">
            <v>25</v>
          </cell>
          <cell r="J1256" t="str">
            <v>APCT1</v>
          </cell>
          <cell r="K1256" t="str">
            <v>2502</v>
          </cell>
          <cell r="L1256" t="str">
            <v>DECOR</v>
          </cell>
          <cell r="M1256" t="str">
            <v>250221</v>
          </cell>
          <cell r="N1256" t="str">
            <v>DECORCRYL BASE</v>
          </cell>
        </row>
        <row r="1257">
          <cell r="C1257" t="str">
            <v>100003980</v>
          </cell>
          <cell r="D1257" t="str">
            <v>DECORLOTUS DI-400 BASE A VN-5L</v>
          </cell>
          <cell r="E1257" t="str">
            <v>ZFGD</v>
          </cell>
          <cell r="F1257" t="str">
            <v>PC</v>
          </cell>
          <cell r="G1257" t="str">
            <v>2</v>
          </cell>
          <cell r="H1257" t="str">
            <v>RETAIL</v>
          </cell>
          <cell r="I1257" t="str">
            <v>25</v>
          </cell>
          <cell r="J1257" t="str">
            <v>APCT1</v>
          </cell>
          <cell r="K1257" t="str">
            <v>2502</v>
          </cell>
          <cell r="L1257" t="str">
            <v>DECOR</v>
          </cell>
          <cell r="M1257" t="str">
            <v>250221</v>
          </cell>
          <cell r="N1257" t="str">
            <v>DECORCRYL BASE</v>
          </cell>
        </row>
        <row r="1258">
          <cell r="C1258" t="str">
            <v>100003981</v>
          </cell>
          <cell r="D1258" t="str">
            <v>DECORLOTUS DI-400 BASE B VN-5L</v>
          </cell>
          <cell r="E1258" t="str">
            <v>ZFGD</v>
          </cell>
          <cell r="F1258" t="str">
            <v>PC</v>
          </cell>
          <cell r="G1258" t="str">
            <v>2</v>
          </cell>
          <cell r="H1258" t="str">
            <v>RETAIL</v>
          </cell>
          <cell r="I1258" t="str">
            <v>25</v>
          </cell>
          <cell r="J1258" t="str">
            <v>APCT1</v>
          </cell>
          <cell r="K1258" t="str">
            <v>2502</v>
          </cell>
          <cell r="L1258" t="str">
            <v>DECOR</v>
          </cell>
          <cell r="M1258" t="str">
            <v>250221</v>
          </cell>
          <cell r="N1258" t="str">
            <v>DECORCRYL BASE</v>
          </cell>
        </row>
        <row r="1259">
          <cell r="C1259" t="str">
            <v>100003982</v>
          </cell>
          <cell r="D1259" t="str">
            <v>DECORLOTUS DI-400 BASE D VN-5L</v>
          </cell>
          <cell r="E1259" t="str">
            <v>ZFGD</v>
          </cell>
          <cell r="F1259" t="str">
            <v>PC</v>
          </cell>
          <cell r="G1259" t="str">
            <v>2</v>
          </cell>
          <cell r="H1259" t="str">
            <v>RETAIL</v>
          </cell>
          <cell r="I1259" t="str">
            <v>25</v>
          </cell>
          <cell r="J1259" t="str">
            <v>APCT1</v>
          </cell>
          <cell r="K1259" t="str">
            <v>2502</v>
          </cell>
          <cell r="L1259" t="str">
            <v>DECOR</v>
          </cell>
          <cell r="M1259" t="str">
            <v>250221</v>
          </cell>
          <cell r="N1259" t="str">
            <v>DECORCRYL BASE</v>
          </cell>
        </row>
        <row r="1260">
          <cell r="C1260" t="str">
            <v>100003988</v>
          </cell>
          <cell r="D1260" t="str">
            <v>UPR-960 BASE A VN-6K</v>
          </cell>
          <cell r="E1260" t="str">
            <v>ZFGD</v>
          </cell>
          <cell r="F1260" t="str">
            <v>PC</v>
          </cell>
          <cell r="G1260" t="str">
            <v>2</v>
          </cell>
          <cell r="H1260" t="str">
            <v>RETAIL</v>
          </cell>
          <cell r="I1260" t="str">
            <v>2D</v>
          </cell>
          <cell r="J1260" t="str">
            <v>APCT2</v>
          </cell>
          <cell r="K1260" t="str">
            <v>2D01</v>
          </cell>
          <cell r="L1260" t="str">
            <v>ULTRAPROOF</v>
          </cell>
          <cell r="M1260" t="str">
            <v>2D0101</v>
          </cell>
          <cell r="N1260" t="str">
            <v>ULTRAPROOF RMX</v>
          </cell>
        </row>
        <row r="1261">
          <cell r="C1261" t="str">
            <v>100003989</v>
          </cell>
          <cell r="D1261" t="str">
            <v>UPR-960 BASE B VN-6K</v>
          </cell>
          <cell r="E1261" t="str">
            <v>ZFGD</v>
          </cell>
          <cell r="F1261" t="str">
            <v>PC</v>
          </cell>
          <cell r="G1261" t="str">
            <v>2</v>
          </cell>
          <cell r="H1261" t="str">
            <v>RETAIL</v>
          </cell>
          <cell r="I1261" t="str">
            <v>2D</v>
          </cell>
          <cell r="J1261" t="str">
            <v>APCT2</v>
          </cell>
          <cell r="K1261" t="str">
            <v>2D01</v>
          </cell>
          <cell r="L1261" t="str">
            <v>ULTRAPROOF</v>
          </cell>
          <cell r="M1261" t="str">
            <v>2D0101</v>
          </cell>
          <cell r="N1261" t="str">
            <v>ULTRAPROOF RMX</v>
          </cell>
        </row>
        <row r="1262">
          <cell r="C1262" t="str">
            <v>100003990</v>
          </cell>
          <cell r="D1262" t="str">
            <v>UPR-960 BASE D VN-6K</v>
          </cell>
          <cell r="E1262" t="str">
            <v>ZFGD</v>
          </cell>
          <cell r="F1262" t="str">
            <v>PC</v>
          </cell>
          <cell r="G1262" t="str">
            <v>2</v>
          </cell>
          <cell r="H1262" t="str">
            <v>RETAIL</v>
          </cell>
          <cell r="I1262" t="str">
            <v>2D</v>
          </cell>
          <cell r="J1262" t="str">
            <v>APCT2</v>
          </cell>
          <cell r="K1262" t="str">
            <v>2D01</v>
          </cell>
          <cell r="L1262" t="str">
            <v>ULTRAPROOF</v>
          </cell>
          <cell r="M1262" t="str">
            <v>2D0101</v>
          </cell>
          <cell r="N1262" t="str">
            <v>ULTRAPROOF RMX</v>
          </cell>
        </row>
        <row r="1263">
          <cell r="C1263" t="str">
            <v>100003991</v>
          </cell>
          <cell r="D1263" t="str">
            <v>DECORSHIELD DW-500 WHITE VN-18LP</v>
          </cell>
          <cell r="E1263" t="str">
            <v>ZFGD</v>
          </cell>
          <cell r="F1263" t="str">
            <v>PC</v>
          </cell>
          <cell r="G1263" t="str">
            <v>2</v>
          </cell>
          <cell r="H1263" t="str">
            <v>RETAIL</v>
          </cell>
          <cell r="I1263" t="str">
            <v>25</v>
          </cell>
          <cell r="J1263" t="str">
            <v>APCT1</v>
          </cell>
          <cell r="K1263" t="str">
            <v>2502</v>
          </cell>
          <cell r="L1263" t="str">
            <v>DECOR</v>
          </cell>
          <cell r="M1263" t="str">
            <v>250203</v>
          </cell>
          <cell r="N1263" t="str">
            <v>DECORSHIELD RMX</v>
          </cell>
        </row>
        <row r="1264">
          <cell r="C1264" t="str">
            <v>100003992</v>
          </cell>
          <cell r="D1264" t="str">
            <v>DECORSHIELD DW-500 BASE A VN-18LP</v>
          </cell>
          <cell r="E1264" t="str">
            <v>ZFGD</v>
          </cell>
          <cell r="F1264" t="str">
            <v>PC</v>
          </cell>
          <cell r="G1264" t="str">
            <v>2</v>
          </cell>
          <cell r="H1264" t="str">
            <v>RETAIL</v>
          </cell>
          <cell r="I1264" t="str">
            <v>25</v>
          </cell>
          <cell r="J1264" t="str">
            <v>APCT1</v>
          </cell>
          <cell r="K1264" t="str">
            <v>2502</v>
          </cell>
          <cell r="L1264" t="str">
            <v>DECOR</v>
          </cell>
          <cell r="M1264" t="str">
            <v>250203</v>
          </cell>
          <cell r="N1264" t="str">
            <v>DECORSHIELD RMX</v>
          </cell>
        </row>
        <row r="1265">
          <cell r="C1265" t="str">
            <v>100003993</v>
          </cell>
          <cell r="D1265" t="str">
            <v>DECORSHIELD DW-500 BASE B VN-18LP</v>
          </cell>
          <cell r="E1265" t="str">
            <v>ZFGD</v>
          </cell>
          <cell r="F1265" t="str">
            <v>PC</v>
          </cell>
          <cell r="G1265" t="str">
            <v>2</v>
          </cell>
          <cell r="H1265" t="str">
            <v>RETAIL</v>
          </cell>
          <cell r="I1265" t="str">
            <v>25</v>
          </cell>
          <cell r="J1265" t="str">
            <v>APCT1</v>
          </cell>
          <cell r="K1265" t="str">
            <v>2502</v>
          </cell>
          <cell r="L1265" t="str">
            <v>DECOR</v>
          </cell>
          <cell r="M1265" t="str">
            <v>250203</v>
          </cell>
          <cell r="N1265" t="str">
            <v>DECORSHIELD RMX</v>
          </cell>
        </row>
        <row r="1266">
          <cell r="C1266" t="str">
            <v>100003994</v>
          </cell>
          <cell r="D1266" t="str">
            <v>DECORSHIELD DW-500 BASE D VN-18LP</v>
          </cell>
          <cell r="E1266" t="str">
            <v>ZFGD</v>
          </cell>
          <cell r="F1266" t="str">
            <v>PC</v>
          </cell>
          <cell r="G1266" t="str">
            <v>2</v>
          </cell>
          <cell r="H1266" t="str">
            <v>RETAIL</v>
          </cell>
          <cell r="I1266" t="str">
            <v>25</v>
          </cell>
          <cell r="J1266" t="str">
            <v>APCT1</v>
          </cell>
          <cell r="K1266" t="str">
            <v>2502</v>
          </cell>
          <cell r="L1266" t="str">
            <v>DECOR</v>
          </cell>
          <cell r="M1266" t="str">
            <v>250203</v>
          </cell>
          <cell r="N1266" t="str">
            <v>DECORSHIELD RMX</v>
          </cell>
        </row>
        <row r="1267">
          <cell r="C1267" t="str">
            <v>100003995</v>
          </cell>
          <cell r="D1267" t="str">
            <v>DECOR PRIMER AR-300 VN-18LP</v>
          </cell>
          <cell r="E1267" t="str">
            <v>ZFGD</v>
          </cell>
          <cell r="F1267" t="str">
            <v>PC</v>
          </cell>
          <cell r="G1267" t="str">
            <v>2</v>
          </cell>
          <cell r="H1267" t="str">
            <v>RETAIL</v>
          </cell>
          <cell r="I1267" t="str">
            <v>25</v>
          </cell>
          <cell r="J1267" t="str">
            <v>APCT1</v>
          </cell>
          <cell r="K1267" t="str">
            <v>2502</v>
          </cell>
          <cell r="L1267" t="str">
            <v>DECOR</v>
          </cell>
          <cell r="M1267" t="str">
            <v>250209</v>
          </cell>
          <cell r="N1267" t="str">
            <v>DECOR PRIMER WB</v>
          </cell>
        </row>
        <row r="1268">
          <cell r="C1268" t="str">
            <v>100004000</v>
          </cell>
          <cell r="D1268" t="str">
            <v>DECORLOTUS DI-400 WHITE VN-18LP</v>
          </cell>
          <cell r="E1268" t="str">
            <v>ZFGD</v>
          </cell>
          <cell r="F1268" t="str">
            <v>PC</v>
          </cell>
          <cell r="G1268" t="str">
            <v>2</v>
          </cell>
          <cell r="H1268" t="str">
            <v>RETAIL</v>
          </cell>
          <cell r="I1268" t="str">
            <v>25</v>
          </cell>
          <cell r="J1268" t="str">
            <v>APCT1</v>
          </cell>
          <cell r="K1268" t="str">
            <v>2502</v>
          </cell>
          <cell r="L1268" t="str">
            <v>DECOR</v>
          </cell>
          <cell r="M1268" t="str">
            <v>250221</v>
          </cell>
          <cell r="N1268" t="str">
            <v>DECORCRYL BASE</v>
          </cell>
        </row>
        <row r="1269">
          <cell r="C1269" t="str">
            <v>100004001</v>
          </cell>
          <cell r="D1269" t="str">
            <v>DECORLOTUS DI-400 BASE A VN-18LP</v>
          </cell>
          <cell r="E1269" t="str">
            <v>ZFGD</v>
          </cell>
          <cell r="F1269" t="str">
            <v>PC</v>
          </cell>
          <cell r="G1269" t="str">
            <v>2</v>
          </cell>
          <cell r="H1269" t="str">
            <v>RETAIL</v>
          </cell>
          <cell r="I1269" t="str">
            <v>25</v>
          </cell>
          <cell r="J1269" t="str">
            <v>APCT1</v>
          </cell>
          <cell r="K1269" t="str">
            <v>2502</v>
          </cell>
          <cell r="L1269" t="str">
            <v>DECOR</v>
          </cell>
          <cell r="M1269" t="str">
            <v>250221</v>
          </cell>
          <cell r="N1269" t="str">
            <v>DECORCRYL BASE</v>
          </cell>
        </row>
        <row r="1270">
          <cell r="C1270" t="str">
            <v>100004002</v>
          </cell>
          <cell r="D1270" t="str">
            <v>DECORLOTUS DI-400 BASE B VN-18LP</v>
          </cell>
          <cell r="E1270" t="str">
            <v>ZFGD</v>
          </cell>
          <cell r="F1270" t="str">
            <v>PC</v>
          </cell>
          <cell r="G1270" t="str">
            <v>2</v>
          </cell>
          <cell r="H1270" t="str">
            <v>RETAIL</v>
          </cell>
          <cell r="I1270" t="str">
            <v>25</v>
          </cell>
          <cell r="J1270" t="str">
            <v>APCT1</v>
          </cell>
          <cell r="K1270" t="str">
            <v>2502</v>
          </cell>
          <cell r="L1270" t="str">
            <v>DECOR</v>
          </cell>
          <cell r="M1270" t="str">
            <v>250221</v>
          </cell>
          <cell r="N1270" t="str">
            <v>DECORCRYL BASE</v>
          </cell>
        </row>
        <row r="1271">
          <cell r="C1271" t="str">
            <v>100004003</v>
          </cell>
          <cell r="D1271" t="str">
            <v>DECORLOTUS DI-400 BASE D VN-18LP</v>
          </cell>
          <cell r="E1271" t="str">
            <v>ZFGD</v>
          </cell>
          <cell r="F1271" t="str">
            <v>PC</v>
          </cell>
          <cell r="G1271" t="str">
            <v>2</v>
          </cell>
          <cell r="H1271" t="str">
            <v>RETAIL</v>
          </cell>
          <cell r="I1271" t="str">
            <v>25</v>
          </cell>
          <cell r="J1271" t="str">
            <v>APCT1</v>
          </cell>
          <cell r="K1271" t="str">
            <v>2502</v>
          </cell>
          <cell r="L1271" t="str">
            <v>DECOR</v>
          </cell>
          <cell r="M1271" t="str">
            <v>250221</v>
          </cell>
          <cell r="N1271" t="str">
            <v>DECORCRYL BASE</v>
          </cell>
        </row>
        <row r="1272">
          <cell r="C1272" t="str">
            <v>100004009</v>
          </cell>
          <cell r="D1272" t="str">
            <v>UPR-960 BASE A VN-20KP</v>
          </cell>
          <cell r="E1272" t="str">
            <v>ZFGD</v>
          </cell>
          <cell r="F1272" t="str">
            <v>PC</v>
          </cell>
          <cell r="G1272" t="str">
            <v>2</v>
          </cell>
          <cell r="H1272" t="str">
            <v>RETAIL</v>
          </cell>
          <cell r="I1272" t="str">
            <v>2D</v>
          </cell>
          <cell r="J1272" t="str">
            <v>APCT2</v>
          </cell>
          <cell r="K1272" t="str">
            <v>2D01</v>
          </cell>
          <cell r="L1272" t="str">
            <v>ULTRAPROOF</v>
          </cell>
          <cell r="M1272" t="str">
            <v>2D0101</v>
          </cell>
          <cell r="N1272" t="str">
            <v>ULTRAPROOF RMX</v>
          </cell>
        </row>
        <row r="1273">
          <cell r="C1273" t="str">
            <v>100004010</v>
          </cell>
          <cell r="D1273" t="str">
            <v>UPR-960 BASE B VN-20KP</v>
          </cell>
          <cell r="E1273" t="str">
            <v>ZFGD</v>
          </cell>
          <cell r="F1273" t="str">
            <v>PC</v>
          </cell>
          <cell r="G1273" t="str">
            <v>2</v>
          </cell>
          <cell r="H1273" t="str">
            <v>RETAIL</v>
          </cell>
          <cell r="I1273" t="str">
            <v>2D</v>
          </cell>
          <cell r="J1273" t="str">
            <v>APCT2</v>
          </cell>
          <cell r="K1273" t="str">
            <v>2D01</v>
          </cell>
          <cell r="L1273" t="str">
            <v>ULTRAPROOF</v>
          </cell>
          <cell r="M1273" t="str">
            <v>2D0101</v>
          </cell>
          <cell r="N1273" t="str">
            <v>ULTRAPROOF RMX</v>
          </cell>
        </row>
        <row r="1274">
          <cell r="C1274" t="str">
            <v>100004011</v>
          </cell>
          <cell r="D1274" t="str">
            <v>UPR-960 BASE D VN-20KP</v>
          </cell>
          <cell r="E1274" t="str">
            <v>ZFGD</v>
          </cell>
          <cell r="F1274" t="str">
            <v>PC</v>
          </cell>
          <cell r="G1274" t="str">
            <v>2</v>
          </cell>
          <cell r="H1274" t="str">
            <v>RETAIL</v>
          </cell>
          <cell r="I1274" t="str">
            <v>2D</v>
          </cell>
          <cell r="J1274" t="str">
            <v>APCT2</v>
          </cell>
          <cell r="K1274" t="str">
            <v>2D01</v>
          </cell>
          <cell r="L1274" t="str">
            <v>ULTRAPROOF</v>
          </cell>
          <cell r="M1274" t="str">
            <v>2D0101</v>
          </cell>
          <cell r="N1274" t="str">
            <v>ULTRAPROOF RMX</v>
          </cell>
        </row>
        <row r="1275">
          <cell r="C1275" t="str">
            <v>100004027</v>
          </cell>
          <cell r="D1275" t="str">
            <v>EDP-551 DARK GREY (XÁM XINGFA) VN-0.9K</v>
          </cell>
          <cell r="E1275" t="str">
            <v>ZFGD</v>
          </cell>
          <cell r="F1275" t="str">
            <v>PC</v>
          </cell>
          <cell r="G1275" t="str">
            <v>5</v>
          </cell>
          <cell r="H1275" t="str">
            <v>PROJECT</v>
          </cell>
          <cell r="I1275" t="str">
            <v>59</v>
          </cell>
          <cell r="J1275" t="str">
            <v>MPC</v>
          </cell>
          <cell r="K1275" t="str">
            <v>5904</v>
          </cell>
          <cell r="L1275" t="str">
            <v>METALKOTE</v>
          </cell>
          <cell r="M1275" t="str">
            <v>590402</v>
          </cell>
          <cell r="N1275" t="str">
            <v>METALKOTE-EPOXY SYS</v>
          </cell>
        </row>
        <row r="1276">
          <cell r="C1276" t="str">
            <v>100004028</v>
          </cell>
          <cell r="D1276" t="str">
            <v>EDP-551 DARK GREY (XÁM XINGFA) VN-4.5K</v>
          </cell>
          <cell r="E1276" t="str">
            <v>ZFGD</v>
          </cell>
          <cell r="F1276" t="str">
            <v>PC</v>
          </cell>
          <cell r="G1276" t="str">
            <v>5</v>
          </cell>
          <cell r="H1276" t="str">
            <v>PROJECT</v>
          </cell>
          <cell r="I1276" t="str">
            <v>59</v>
          </cell>
          <cell r="J1276" t="str">
            <v>MPC</v>
          </cell>
          <cell r="K1276" t="str">
            <v>5904</v>
          </cell>
          <cell r="L1276" t="str">
            <v>METALKOTE</v>
          </cell>
          <cell r="M1276" t="str">
            <v>590402</v>
          </cell>
          <cell r="N1276" t="str">
            <v>METALKOTE-EPOXY SYS</v>
          </cell>
        </row>
        <row r="1277">
          <cell r="C1277" t="str">
            <v>100004029</v>
          </cell>
          <cell r="D1277" t="str">
            <v>EDP-551 DARK GREY (XÁM XINGFA) VN-18KP</v>
          </cell>
          <cell r="E1277" t="str">
            <v>ZFGD</v>
          </cell>
          <cell r="F1277" t="str">
            <v>PC</v>
          </cell>
          <cell r="G1277" t="str">
            <v>5</v>
          </cell>
          <cell r="H1277" t="str">
            <v>PROJECT</v>
          </cell>
          <cell r="I1277" t="str">
            <v>59</v>
          </cell>
          <cell r="J1277" t="str">
            <v>MPC</v>
          </cell>
          <cell r="K1277" t="str">
            <v>5904</v>
          </cell>
          <cell r="L1277" t="str">
            <v>METALKOTE</v>
          </cell>
          <cell r="M1277" t="str">
            <v>590402</v>
          </cell>
          <cell r="N1277" t="str">
            <v>METALKOTE-EPOXY SYS</v>
          </cell>
        </row>
        <row r="1278">
          <cell r="C1278" t="str">
            <v>100004033</v>
          </cell>
          <cell r="D1278" t="str">
            <v>EDP-551 DARK GREY (XÁM XINGFA) VN-1KS</v>
          </cell>
          <cell r="E1278" t="str">
            <v>ZFGD</v>
          </cell>
          <cell r="F1278" t="str">
            <v>SET</v>
          </cell>
          <cell r="G1278" t="str">
            <v>5</v>
          </cell>
          <cell r="H1278" t="str">
            <v>PROJECT</v>
          </cell>
          <cell r="I1278" t="str">
            <v>59</v>
          </cell>
          <cell r="J1278" t="str">
            <v>MPC</v>
          </cell>
          <cell r="K1278" t="str">
            <v>5904</v>
          </cell>
          <cell r="L1278" t="str">
            <v>METALKOTE</v>
          </cell>
          <cell r="M1278" t="str">
            <v>590402</v>
          </cell>
          <cell r="N1278" t="str">
            <v>METALKOTE-EPOXY SYS</v>
          </cell>
        </row>
        <row r="1279">
          <cell r="C1279" t="str">
            <v>100004034</v>
          </cell>
          <cell r="D1279" t="str">
            <v>EDP-551 DARK GREY (XÁM XINGFA) VN-5KS</v>
          </cell>
          <cell r="E1279" t="str">
            <v>ZFGD</v>
          </cell>
          <cell r="F1279" t="str">
            <v>SET</v>
          </cell>
          <cell r="G1279" t="str">
            <v>5</v>
          </cell>
          <cell r="H1279" t="str">
            <v>PROJECT</v>
          </cell>
          <cell r="I1279" t="str">
            <v>59</v>
          </cell>
          <cell r="J1279" t="str">
            <v>MPC</v>
          </cell>
          <cell r="K1279" t="str">
            <v>5904</v>
          </cell>
          <cell r="L1279" t="str">
            <v>METALKOTE</v>
          </cell>
          <cell r="M1279" t="str">
            <v>590402</v>
          </cell>
          <cell r="N1279" t="str">
            <v>METALKOTE-EPOXY SYS</v>
          </cell>
        </row>
        <row r="1280">
          <cell r="C1280" t="str">
            <v>100004035</v>
          </cell>
          <cell r="D1280" t="str">
            <v>EDP-551 DARK GREY (XÁM XINGFA) VN-20KSP</v>
          </cell>
          <cell r="E1280" t="str">
            <v>ZFGD</v>
          </cell>
          <cell r="F1280" t="str">
            <v>SET</v>
          </cell>
          <cell r="G1280" t="str">
            <v>5</v>
          </cell>
          <cell r="H1280" t="str">
            <v>PROJECT</v>
          </cell>
          <cell r="I1280" t="str">
            <v>59</v>
          </cell>
          <cell r="J1280" t="str">
            <v>MPC</v>
          </cell>
          <cell r="K1280" t="str">
            <v>5904</v>
          </cell>
          <cell r="L1280" t="str">
            <v>METALKOTE</v>
          </cell>
          <cell r="M1280" t="str">
            <v>590402</v>
          </cell>
          <cell r="N1280" t="str">
            <v>METALKOTE-EPOXY SYS</v>
          </cell>
        </row>
        <row r="1281">
          <cell r="C1281" t="str">
            <v>100004049</v>
          </cell>
          <cell r="D1281" t="str">
            <v>EDL-601 BLACK 9001 VN-1L</v>
          </cell>
          <cell r="E1281" t="str">
            <v>ZFGD</v>
          </cell>
          <cell r="F1281" t="str">
            <v>PC</v>
          </cell>
          <cell r="G1281" t="str">
            <v>2</v>
          </cell>
          <cell r="H1281" t="str">
            <v>RETAIL</v>
          </cell>
          <cell r="I1281" t="str">
            <v>24</v>
          </cell>
          <cell r="J1281" t="str">
            <v>WF3</v>
          </cell>
          <cell r="K1281" t="str">
            <v>2413</v>
          </cell>
          <cell r="L1281" t="str">
            <v>ULTRAN</v>
          </cell>
          <cell r="M1281" t="str">
            <v>241304</v>
          </cell>
          <cell r="N1281" t="str">
            <v>ULTRAN LASUR</v>
          </cell>
        </row>
        <row r="1282">
          <cell r="C1282" t="str">
            <v>100004050</v>
          </cell>
          <cell r="D1282" t="str">
            <v>EDL-601 BLACK 9001 VN-4L</v>
          </cell>
          <cell r="E1282" t="str">
            <v>ZFGD</v>
          </cell>
          <cell r="F1282" t="str">
            <v>PC</v>
          </cell>
          <cell r="G1282" t="str">
            <v>2</v>
          </cell>
          <cell r="H1282" t="str">
            <v>RETAIL</v>
          </cell>
          <cell r="I1282" t="str">
            <v>24</v>
          </cell>
          <cell r="J1282" t="str">
            <v>WF3</v>
          </cell>
          <cell r="K1282" t="str">
            <v>2413</v>
          </cell>
          <cell r="L1282" t="str">
            <v>ULTRAN</v>
          </cell>
          <cell r="M1282" t="str">
            <v>241304</v>
          </cell>
          <cell r="N1282" t="str">
            <v>ULTRAN LASUR</v>
          </cell>
        </row>
        <row r="1283">
          <cell r="C1283" t="str">
            <v>100004063</v>
          </cell>
          <cell r="D1283" t="str">
            <v>PC 8K2-1L</v>
          </cell>
          <cell r="E1283" t="str">
            <v>ZFGD</v>
          </cell>
          <cell r="F1283" t="str">
            <v>PC</v>
          </cell>
          <cell r="G1283" t="str">
            <v>2</v>
          </cell>
          <cell r="H1283" t="str">
            <v>RETAIL</v>
          </cell>
          <cell r="I1283" t="str">
            <v>2F</v>
          </cell>
          <cell r="J1283" t="str">
            <v>TINTING</v>
          </cell>
          <cell r="K1283" t="str">
            <v>2F04</v>
          </cell>
          <cell r="L1283" t="str">
            <v>PASTA</v>
          </cell>
          <cell r="M1283" t="str">
            <v>2F0404</v>
          </cell>
          <cell r="N1283" t="str">
            <v>PASTA WB</v>
          </cell>
        </row>
        <row r="1284">
          <cell r="C1284" t="str">
            <v>100004064</v>
          </cell>
          <cell r="D1284" t="str">
            <v>PC 8R1-1L</v>
          </cell>
          <cell r="E1284" t="str">
            <v>ZFGD</v>
          </cell>
          <cell r="F1284" t="str">
            <v>PC</v>
          </cell>
          <cell r="G1284" t="str">
            <v>2</v>
          </cell>
          <cell r="H1284" t="str">
            <v>RETAIL</v>
          </cell>
          <cell r="I1284" t="str">
            <v>2F</v>
          </cell>
          <cell r="J1284" t="str">
            <v>TINTING</v>
          </cell>
          <cell r="K1284" t="str">
            <v>2F04</v>
          </cell>
          <cell r="L1284" t="str">
            <v>PASTA</v>
          </cell>
          <cell r="M1284" t="str">
            <v>2F0404</v>
          </cell>
          <cell r="N1284" t="str">
            <v>PASTA WB</v>
          </cell>
        </row>
        <row r="1285">
          <cell r="C1285" t="str">
            <v>100004065</v>
          </cell>
          <cell r="D1285" t="str">
            <v>PC 8R2-1L</v>
          </cell>
          <cell r="E1285" t="str">
            <v>ZFGD</v>
          </cell>
          <cell r="F1285" t="str">
            <v>PC</v>
          </cell>
          <cell r="G1285" t="str">
            <v>2</v>
          </cell>
          <cell r="H1285" t="str">
            <v>RETAIL</v>
          </cell>
          <cell r="I1285" t="str">
            <v>2F</v>
          </cell>
          <cell r="J1285" t="str">
            <v>TINTING</v>
          </cell>
          <cell r="K1285" t="str">
            <v>2F04</v>
          </cell>
          <cell r="L1285" t="str">
            <v>PASTA</v>
          </cell>
          <cell r="M1285" t="str">
            <v>2F0404</v>
          </cell>
          <cell r="N1285" t="str">
            <v>PASTA WB</v>
          </cell>
        </row>
        <row r="1286">
          <cell r="C1286" t="str">
            <v>100004066</v>
          </cell>
          <cell r="D1286" t="str">
            <v>PC 8R3-1L</v>
          </cell>
          <cell r="E1286" t="str">
            <v>ZFGD</v>
          </cell>
          <cell r="F1286" t="str">
            <v>PC</v>
          </cell>
          <cell r="G1286" t="str">
            <v>2</v>
          </cell>
          <cell r="H1286" t="str">
            <v>RETAIL</v>
          </cell>
          <cell r="I1286" t="str">
            <v>2F</v>
          </cell>
          <cell r="J1286" t="str">
            <v>TINTING</v>
          </cell>
          <cell r="K1286" t="str">
            <v>2F04</v>
          </cell>
          <cell r="L1286" t="str">
            <v>PASTA</v>
          </cell>
          <cell r="M1286" t="str">
            <v>2F0404</v>
          </cell>
          <cell r="N1286" t="str">
            <v>PASTA WB</v>
          </cell>
        </row>
        <row r="1287">
          <cell r="C1287" t="str">
            <v>100004067</v>
          </cell>
          <cell r="D1287" t="str">
            <v>PC 8Y1-1L</v>
          </cell>
          <cell r="E1287" t="str">
            <v>ZFGD</v>
          </cell>
          <cell r="F1287" t="str">
            <v>PC</v>
          </cell>
          <cell r="G1287" t="str">
            <v>2</v>
          </cell>
          <cell r="H1287" t="str">
            <v>RETAIL</v>
          </cell>
          <cell r="I1287" t="str">
            <v>2F</v>
          </cell>
          <cell r="J1287" t="str">
            <v>TINTING</v>
          </cell>
          <cell r="K1287" t="str">
            <v>2F04</v>
          </cell>
          <cell r="L1287" t="str">
            <v>PASTA</v>
          </cell>
          <cell r="M1287" t="str">
            <v>2F0404</v>
          </cell>
          <cell r="N1287" t="str">
            <v>PASTA WB</v>
          </cell>
        </row>
        <row r="1288">
          <cell r="C1288" t="str">
            <v>100004068</v>
          </cell>
          <cell r="D1288" t="str">
            <v>PC 8Y2-1L</v>
          </cell>
          <cell r="E1288" t="str">
            <v>ZFGD</v>
          </cell>
          <cell r="F1288" t="str">
            <v>PC</v>
          </cell>
          <cell r="G1288" t="str">
            <v>2</v>
          </cell>
          <cell r="H1288" t="str">
            <v>RETAIL</v>
          </cell>
          <cell r="I1288" t="str">
            <v>2F</v>
          </cell>
          <cell r="J1288" t="str">
            <v>TINTING</v>
          </cell>
          <cell r="K1288" t="str">
            <v>2F04</v>
          </cell>
          <cell r="L1288" t="str">
            <v>PASTA</v>
          </cell>
          <cell r="M1288" t="str">
            <v>2F0404</v>
          </cell>
          <cell r="N1288" t="str">
            <v>PASTA WB</v>
          </cell>
        </row>
        <row r="1289">
          <cell r="C1289" t="str">
            <v>100004069</v>
          </cell>
          <cell r="D1289" t="str">
            <v>PC 8Y3-1L</v>
          </cell>
          <cell r="E1289" t="str">
            <v>ZFGD</v>
          </cell>
          <cell r="F1289" t="str">
            <v>PC</v>
          </cell>
          <cell r="G1289" t="str">
            <v>2</v>
          </cell>
          <cell r="H1289" t="str">
            <v>RETAIL</v>
          </cell>
          <cell r="I1289" t="str">
            <v>2F</v>
          </cell>
          <cell r="J1289" t="str">
            <v>TINTING</v>
          </cell>
          <cell r="K1289" t="str">
            <v>2F04</v>
          </cell>
          <cell r="L1289" t="str">
            <v>PASTA</v>
          </cell>
          <cell r="M1289" t="str">
            <v>2F0404</v>
          </cell>
          <cell r="N1289" t="str">
            <v>PASTA WB</v>
          </cell>
        </row>
        <row r="1290">
          <cell r="C1290" t="str">
            <v>100004070</v>
          </cell>
          <cell r="D1290" t="str">
            <v>PC 8Y4-1L</v>
          </cell>
          <cell r="E1290" t="str">
            <v>ZFGD</v>
          </cell>
          <cell r="F1290" t="str">
            <v>PC</v>
          </cell>
          <cell r="G1290" t="str">
            <v>2</v>
          </cell>
          <cell r="H1290" t="str">
            <v>RETAIL</v>
          </cell>
          <cell r="I1290" t="str">
            <v>2F</v>
          </cell>
          <cell r="J1290" t="str">
            <v>TINTING</v>
          </cell>
          <cell r="K1290" t="str">
            <v>2F04</v>
          </cell>
          <cell r="L1290" t="str">
            <v>PASTA</v>
          </cell>
          <cell r="M1290" t="str">
            <v>2F0404</v>
          </cell>
          <cell r="N1290" t="str">
            <v>PASTA WB</v>
          </cell>
        </row>
        <row r="1291">
          <cell r="C1291" t="str">
            <v>100004071</v>
          </cell>
          <cell r="D1291" t="str">
            <v>PC 8W1-1L</v>
          </cell>
          <cell r="E1291" t="str">
            <v>ZFGD</v>
          </cell>
          <cell r="F1291" t="str">
            <v>PC</v>
          </cell>
          <cell r="G1291" t="str">
            <v>2</v>
          </cell>
          <cell r="H1291" t="str">
            <v>RETAIL</v>
          </cell>
          <cell r="I1291" t="str">
            <v>2F</v>
          </cell>
          <cell r="J1291" t="str">
            <v>TINTING</v>
          </cell>
          <cell r="K1291" t="str">
            <v>2F04</v>
          </cell>
          <cell r="L1291" t="str">
            <v>PASTA</v>
          </cell>
          <cell r="M1291" t="str">
            <v>2F0404</v>
          </cell>
          <cell r="N1291" t="str">
            <v>PASTA WB</v>
          </cell>
        </row>
        <row r="1292">
          <cell r="C1292" t="str">
            <v>100004072</v>
          </cell>
          <cell r="D1292" t="str">
            <v>PC 8V1-1L</v>
          </cell>
          <cell r="E1292" t="str">
            <v>ZFGD</v>
          </cell>
          <cell r="F1292" t="str">
            <v>PC</v>
          </cell>
          <cell r="G1292" t="str">
            <v>2</v>
          </cell>
          <cell r="H1292" t="str">
            <v>RETAIL</v>
          </cell>
          <cell r="I1292" t="str">
            <v>2F</v>
          </cell>
          <cell r="J1292" t="str">
            <v>TINTING</v>
          </cell>
          <cell r="K1292" t="str">
            <v>2F04</v>
          </cell>
          <cell r="L1292" t="str">
            <v>PASTA</v>
          </cell>
          <cell r="M1292" t="str">
            <v>2F0404</v>
          </cell>
          <cell r="N1292" t="str">
            <v>PASTA WB</v>
          </cell>
        </row>
        <row r="1293">
          <cell r="C1293" t="str">
            <v>100004073</v>
          </cell>
          <cell r="D1293" t="str">
            <v>PC 8B1-1L</v>
          </cell>
          <cell r="E1293" t="str">
            <v>ZFGD</v>
          </cell>
          <cell r="F1293" t="str">
            <v>PC</v>
          </cell>
          <cell r="G1293" t="str">
            <v>2</v>
          </cell>
          <cell r="H1293" t="str">
            <v>RETAIL</v>
          </cell>
          <cell r="I1293" t="str">
            <v>2F</v>
          </cell>
          <cell r="J1293" t="str">
            <v>TINTING</v>
          </cell>
          <cell r="K1293" t="str">
            <v>2F04</v>
          </cell>
          <cell r="L1293" t="str">
            <v>PASTA</v>
          </cell>
          <cell r="M1293" t="str">
            <v>2F0404</v>
          </cell>
          <cell r="N1293" t="str">
            <v>PASTA WB</v>
          </cell>
        </row>
        <row r="1294">
          <cell r="C1294" t="str">
            <v>100004074</v>
          </cell>
          <cell r="D1294" t="str">
            <v>PC 8B2-1L</v>
          </cell>
          <cell r="E1294" t="str">
            <v>ZFGD</v>
          </cell>
          <cell r="F1294" t="str">
            <v>PC</v>
          </cell>
          <cell r="G1294" t="str">
            <v>2</v>
          </cell>
          <cell r="H1294" t="str">
            <v>RETAIL</v>
          </cell>
          <cell r="I1294" t="str">
            <v>2F</v>
          </cell>
          <cell r="J1294" t="str">
            <v>TINTING</v>
          </cell>
          <cell r="K1294" t="str">
            <v>2F04</v>
          </cell>
          <cell r="L1294" t="str">
            <v>PASTA</v>
          </cell>
          <cell r="M1294" t="str">
            <v>2F0404</v>
          </cell>
          <cell r="N1294" t="str">
            <v>PASTA WB</v>
          </cell>
        </row>
        <row r="1295">
          <cell r="C1295" t="str">
            <v>100004075</v>
          </cell>
          <cell r="D1295" t="str">
            <v>PC 8G1-1L</v>
          </cell>
          <cell r="E1295" t="str">
            <v>ZFGD</v>
          </cell>
          <cell r="F1295" t="str">
            <v>PC</v>
          </cell>
          <cell r="G1295" t="str">
            <v>2</v>
          </cell>
          <cell r="H1295" t="str">
            <v>RETAIL</v>
          </cell>
          <cell r="I1295" t="str">
            <v>2F</v>
          </cell>
          <cell r="J1295" t="str">
            <v>TINTING</v>
          </cell>
          <cell r="K1295" t="str">
            <v>2F04</v>
          </cell>
          <cell r="L1295" t="str">
            <v>PASTA</v>
          </cell>
          <cell r="M1295" t="str">
            <v>2F0404</v>
          </cell>
          <cell r="N1295" t="str">
            <v>PASTA WB</v>
          </cell>
        </row>
        <row r="1296">
          <cell r="C1296" t="str">
            <v>100004087</v>
          </cell>
          <cell r="D1296" t="str">
            <v>P-01 CLEAR DOF 0014 VN-18LP</v>
          </cell>
          <cell r="E1296" t="str">
            <v>ZFGD</v>
          </cell>
          <cell r="F1296" t="str">
            <v>PC</v>
          </cell>
          <cell r="G1296" t="str">
            <v>2</v>
          </cell>
          <cell r="H1296" t="str">
            <v>RETAIL</v>
          </cell>
          <cell r="I1296" t="str">
            <v>24</v>
          </cell>
          <cell r="J1296" t="str">
            <v>WF3</v>
          </cell>
          <cell r="K1296" t="str">
            <v>2413</v>
          </cell>
          <cell r="L1296" t="str">
            <v>ULTRAN</v>
          </cell>
          <cell r="M1296" t="str">
            <v>241307</v>
          </cell>
          <cell r="N1296" t="str">
            <v>ULTRAN POLITUR P-01</v>
          </cell>
        </row>
        <row r="1297">
          <cell r="C1297" t="str">
            <v>100004149</v>
          </cell>
          <cell r="D1297" t="str">
            <v>US-970 SUNNY YELLOW 8454 VN-1K</v>
          </cell>
          <cell r="E1297" t="str">
            <v>ZFGD</v>
          </cell>
          <cell r="F1297" t="str">
            <v>PC</v>
          </cell>
          <cell r="G1297" t="str">
            <v>2</v>
          </cell>
          <cell r="H1297" t="str">
            <v>RETAIL</v>
          </cell>
          <cell r="I1297" t="str">
            <v>28</v>
          </cell>
          <cell r="J1297" t="str">
            <v>CPC2</v>
          </cell>
          <cell r="K1297" t="str">
            <v>2807</v>
          </cell>
          <cell r="L1297" t="str">
            <v>ULTRASEAL</v>
          </cell>
          <cell r="M1297" t="str">
            <v>280701</v>
          </cell>
          <cell r="N1297" t="str">
            <v>ULTRASEAL</v>
          </cell>
        </row>
        <row r="1298">
          <cell r="C1298" t="str">
            <v>100004150</v>
          </cell>
          <cell r="D1298" t="str">
            <v>US-970 SUNNY YELLOW 8454 VN-4K</v>
          </cell>
          <cell r="E1298" t="str">
            <v>ZFGD</v>
          </cell>
          <cell r="F1298" t="str">
            <v>PC</v>
          </cell>
          <cell r="G1298" t="str">
            <v>2</v>
          </cell>
          <cell r="H1298" t="str">
            <v>RETAIL</v>
          </cell>
          <cell r="I1298" t="str">
            <v>28</v>
          </cell>
          <cell r="J1298" t="str">
            <v>CPC2</v>
          </cell>
          <cell r="K1298" t="str">
            <v>2807</v>
          </cell>
          <cell r="L1298" t="str">
            <v>ULTRASEAL</v>
          </cell>
          <cell r="M1298" t="str">
            <v>280701</v>
          </cell>
          <cell r="N1298" t="str">
            <v>ULTRASEAL</v>
          </cell>
        </row>
        <row r="1299">
          <cell r="C1299" t="str">
            <v>100004151</v>
          </cell>
          <cell r="D1299" t="str">
            <v>US-970 SUNNY YELLOW 8454 VN-20KP</v>
          </cell>
          <cell r="E1299" t="str">
            <v>ZFGD</v>
          </cell>
          <cell r="F1299" t="str">
            <v>PC</v>
          </cell>
          <cell r="G1299" t="str">
            <v>2</v>
          </cell>
          <cell r="H1299" t="str">
            <v>RETAIL</v>
          </cell>
          <cell r="I1299" t="str">
            <v>28</v>
          </cell>
          <cell r="J1299" t="str">
            <v>CPC2</v>
          </cell>
          <cell r="K1299" t="str">
            <v>2807</v>
          </cell>
          <cell r="L1299" t="str">
            <v>ULTRASEAL</v>
          </cell>
          <cell r="M1299" t="str">
            <v>280701</v>
          </cell>
          <cell r="N1299" t="str">
            <v>ULTRASEAL</v>
          </cell>
        </row>
        <row r="1300">
          <cell r="C1300" t="str">
            <v>100004155</v>
          </cell>
          <cell r="D1300" t="str">
            <v>ZC-990 WB BASE A VN-0.9K</v>
          </cell>
          <cell r="E1300" t="str">
            <v>ZFGD</v>
          </cell>
          <cell r="F1300" t="str">
            <v>PC</v>
          </cell>
          <cell r="G1300" t="str">
            <v>2</v>
          </cell>
          <cell r="H1300" t="str">
            <v>RETAIL</v>
          </cell>
          <cell r="I1300" t="str">
            <v>29</v>
          </cell>
          <cell r="J1300" t="str">
            <v>MPC</v>
          </cell>
          <cell r="K1300" t="str">
            <v>2910</v>
          </cell>
          <cell r="L1300" t="str">
            <v>ZINCOAT</v>
          </cell>
          <cell r="M1300" t="str">
            <v>291001</v>
          </cell>
          <cell r="N1300" t="str">
            <v>ZINCOAT</v>
          </cell>
        </row>
        <row r="1301">
          <cell r="C1301" t="str">
            <v>100004156</v>
          </cell>
          <cell r="D1301" t="str">
            <v>ZC-990 WB BASE B VN-0.9K</v>
          </cell>
          <cell r="E1301" t="str">
            <v>ZFGD</v>
          </cell>
          <cell r="F1301" t="str">
            <v>PC</v>
          </cell>
          <cell r="G1301" t="str">
            <v>2</v>
          </cell>
          <cell r="H1301" t="str">
            <v>RETAIL</v>
          </cell>
          <cell r="I1301" t="str">
            <v>29</v>
          </cell>
          <cell r="J1301" t="str">
            <v>MPC</v>
          </cell>
          <cell r="K1301" t="str">
            <v>2910</v>
          </cell>
          <cell r="L1301" t="str">
            <v>ZINCOAT</v>
          </cell>
          <cell r="M1301" t="str">
            <v>291001</v>
          </cell>
          <cell r="N1301" t="str">
            <v>ZINCOAT</v>
          </cell>
        </row>
        <row r="1302">
          <cell r="C1302" t="str">
            <v>100004157</v>
          </cell>
          <cell r="D1302" t="str">
            <v>ZC-990 WB BASE D VN-0.9K</v>
          </cell>
          <cell r="E1302" t="str">
            <v>ZFGD</v>
          </cell>
          <cell r="F1302" t="str">
            <v>PC</v>
          </cell>
          <cell r="G1302" t="str">
            <v>2</v>
          </cell>
          <cell r="H1302" t="str">
            <v>RETAIL</v>
          </cell>
          <cell r="I1302" t="str">
            <v>29</v>
          </cell>
          <cell r="J1302" t="str">
            <v>MPC</v>
          </cell>
          <cell r="K1302" t="str">
            <v>2910</v>
          </cell>
          <cell r="L1302" t="str">
            <v>ZINCOAT</v>
          </cell>
          <cell r="M1302" t="str">
            <v>291001</v>
          </cell>
          <cell r="N1302" t="str">
            <v>ZINCOAT</v>
          </cell>
        </row>
        <row r="1303">
          <cell r="C1303" t="str">
            <v>100004168</v>
          </cell>
          <cell r="D1303" t="str">
            <v>PFT-253 RAL 6032 VN-16KP</v>
          </cell>
          <cell r="E1303" t="str">
            <v>ZFGD</v>
          </cell>
          <cell r="F1303" t="str">
            <v>PC</v>
          </cell>
          <cell r="G1303" t="str">
            <v>5</v>
          </cell>
          <cell r="H1303" t="str">
            <v>PROJECT</v>
          </cell>
          <cell r="I1303" t="str">
            <v>56</v>
          </cell>
          <cell r="J1303" t="str">
            <v>CPC1</v>
          </cell>
          <cell r="K1303" t="str">
            <v>5602</v>
          </cell>
          <cell r="L1303" t="str">
            <v>POLYFLOOR</v>
          </cell>
          <cell r="M1303" t="str">
            <v>560202</v>
          </cell>
          <cell r="N1303" t="str">
            <v>POLYFLOOR EPOXY</v>
          </cell>
        </row>
        <row r="1304">
          <cell r="C1304" t="str">
            <v>100004201</v>
          </cell>
          <cell r="D1304" t="str">
            <v>PUL-745 2K MỜ 90% VN-1K</v>
          </cell>
          <cell r="E1304" t="str">
            <v>ZFGD</v>
          </cell>
          <cell r="F1304" t="str">
            <v>PC</v>
          </cell>
          <cell r="G1304" t="str">
            <v>2</v>
          </cell>
          <cell r="H1304" t="str">
            <v>RETAIL</v>
          </cell>
          <cell r="I1304" t="str">
            <v>22</v>
          </cell>
          <cell r="J1304" t="str">
            <v>WF2</v>
          </cell>
          <cell r="K1304" t="str">
            <v>2212</v>
          </cell>
          <cell r="L1304" t="str">
            <v>PU EASY TO USE</v>
          </cell>
          <cell r="M1304" t="str">
            <v>221201</v>
          </cell>
          <cell r="N1304" t="str">
            <v>PROPAN EASY TO USE PU</v>
          </cell>
        </row>
        <row r="1305">
          <cell r="C1305" t="str">
            <v>100004202</v>
          </cell>
          <cell r="D1305" t="str">
            <v>PUL-745 2K BÓNG 100% VN-1K</v>
          </cell>
          <cell r="E1305" t="str">
            <v>ZFGD</v>
          </cell>
          <cell r="F1305" t="str">
            <v>PC</v>
          </cell>
          <cell r="G1305" t="str">
            <v>2</v>
          </cell>
          <cell r="H1305" t="str">
            <v>RETAIL</v>
          </cell>
          <cell r="I1305" t="str">
            <v>22</v>
          </cell>
          <cell r="J1305" t="str">
            <v>WF2</v>
          </cell>
          <cell r="K1305" t="str">
            <v>2212</v>
          </cell>
          <cell r="L1305" t="str">
            <v>PU EASY TO USE</v>
          </cell>
          <cell r="M1305" t="str">
            <v>221201</v>
          </cell>
          <cell r="N1305" t="str">
            <v>PROPAN EASY TO USE PU</v>
          </cell>
        </row>
        <row r="1306">
          <cell r="C1306" t="str">
            <v>100004203</v>
          </cell>
          <cell r="D1306" t="str">
            <v>PUL-745 2K MỜ 70% VN-1K</v>
          </cell>
          <cell r="E1306" t="str">
            <v>ZFGD</v>
          </cell>
          <cell r="F1306" t="str">
            <v>PC</v>
          </cell>
          <cell r="G1306" t="str">
            <v>2</v>
          </cell>
          <cell r="H1306" t="str">
            <v>RETAIL</v>
          </cell>
          <cell r="I1306" t="str">
            <v>22</v>
          </cell>
          <cell r="J1306" t="str">
            <v>WF2</v>
          </cell>
          <cell r="K1306" t="str">
            <v>2212</v>
          </cell>
          <cell r="L1306" t="str">
            <v>PU EASY TO USE</v>
          </cell>
          <cell r="M1306" t="str">
            <v>221201</v>
          </cell>
          <cell r="N1306" t="str">
            <v>PROPAN EASY TO USE PU</v>
          </cell>
        </row>
        <row r="1307">
          <cell r="C1307" t="str">
            <v>100004204</v>
          </cell>
          <cell r="D1307" t="str">
            <v>PUL-745 2K MỜ 100% VN-1K</v>
          </cell>
          <cell r="E1307" t="str">
            <v>ZFGD</v>
          </cell>
          <cell r="F1307" t="str">
            <v>PC</v>
          </cell>
          <cell r="G1307" t="str">
            <v>2</v>
          </cell>
          <cell r="H1307" t="str">
            <v>RETAIL</v>
          </cell>
          <cell r="I1307" t="str">
            <v>22</v>
          </cell>
          <cell r="J1307" t="str">
            <v>WF2</v>
          </cell>
          <cell r="K1307" t="str">
            <v>2212</v>
          </cell>
          <cell r="L1307" t="str">
            <v>PU EASY TO USE</v>
          </cell>
          <cell r="M1307" t="str">
            <v>221201</v>
          </cell>
          <cell r="N1307" t="str">
            <v>PROPAN EASY TO USE PU</v>
          </cell>
        </row>
        <row r="1308">
          <cell r="C1308" t="str">
            <v>100004205</v>
          </cell>
          <cell r="D1308" t="str">
            <v>PUL-745 2K MỜ 50% VN-1K</v>
          </cell>
          <cell r="E1308" t="str">
            <v>ZFGD</v>
          </cell>
          <cell r="F1308" t="str">
            <v>PC</v>
          </cell>
          <cell r="G1308" t="str">
            <v>2</v>
          </cell>
          <cell r="H1308" t="str">
            <v>RETAIL</v>
          </cell>
          <cell r="I1308" t="str">
            <v>22</v>
          </cell>
          <cell r="J1308" t="str">
            <v>WF2</v>
          </cell>
          <cell r="K1308" t="str">
            <v>2212</v>
          </cell>
          <cell r="L1308" t="str">
            <v>PU EASY TO USE</v>
          </cell>
          <cell r="M1308" t="str">
            <v>221201</v>
          </cell>
          <cell r="N1308" t="str">
            <v>PROPAN EASY TO USE PU</v>
          </cell>
        </row>
        <row r="1309">
          <cell r="C1309" t="str">
            <v>100004206</v>
          </cell>
          <cell r="D1309" t="str">
            <v>PUL-747 2K MỜ 100% VN-1K</v>
          </cell>
          <cell r="E1309" t="str">
            <v>ZFGD</v>
          </cell>
          <cell r="F1309" t="str">
            <v>PC</v>
          </cell>
          <cell r="G1309" t="str">
            <v>2</v>
          </cell>
          <cell r="H1309" t="str">
            <v>RETAIL</v>
          </cell>
          <cell r="I1309" t="str">
            <v>22</v>
          </cell>
          <cell r="J1309" t="str">
            <v>WF2</v>
          </cell>
          <cell r="K1309" t="str">
            <v>2201</v>
          </cell>
          <cell r="L1309" t="str">
            <v>PU COATING</v>
          </cell>
          <cell r="M1309" t="str">
            <v>220117</v>
          </cell>
          <cell r="N1309" t="str">
            <v>PROPAN PU</v>
          </cell>
        </row>
        <row r="1310">
          <cell r="C1310" t="str">
            <v>100004207</v>
          </cell>
          <cell r="D1310" t="str">
            <v>PUL-747 2K BÓNG 100% VN-1K</v>
          </cell>
          <cell r="E1310" t="str">
            <v>ZFGD</v>
          </cell>
          <cell r="F1310" t="str">
            <v>PC</v>
          </cell>
          <cell r="G1310" t="str">
            <v>2</v>
          </cell>
          <cell r="H1310" t="str">
            <v>RETAIL</v>
          </cell>
          <cell r="I1310" t="str">
            <v>22</v>
          </cell>
          <cell r="J1310" t="str">
            <v>WF2</v>
          </cell>
          <cell r="K1310" t="str">
            <v>2201</v>
          </cell>
          <cell r="L1310" t="str">
            <v>PU COATING</v>
          </cell>
          <cell r="M1310" t="str">
            <v>220117</v>
          </cell>
          <cell r="N1310" t="str">
            <v>PROPAN PU</v>
          </cell>
        </row>
        <row r="1311">
          <cell r="C1311" t="str">
            <v>100004208</v>
          </cell>
          <cell r="D1311" t="str">
            <v>PUL-747 2K MỜ 70% VN-1K</v>
          </cell>
          <cell r="E1311" t="str">
            <v>ZFGD</v>
          </cell>
          <cell r="F1311" t="str">
            <v>PC</v>
          </cell>
          <cell r="G1311" t="str">
            <v>2</v>
          </cell>
          <cell r="H1311" t="str">
            <v>RETAIL</v>
          </cell>
          <cell r="I1311" t="str">
            <v>22</v>
          </cell>
          <cell r="J1311" t="str">
            <v>WF2</v>
          </cell>
          <cell r="K1311" t="str">
            <v>2201</v>
          </cell>
          <cell r="L1311" t="str">
            <v>PU COATING</v>
          </cell>
          <cell r="M1311" t="str">
            <v>220117</v>
          </cell>
          <cell r="N1311" t="str">
            <v>PROPAN PU</v>
          </cell>
        </row>
        <row r="1312">
          <cell r="C1312" t="str">
            <v>100004209</v>
          </cell>
          <cell r="D1312" t="str">
            <v>PUL-747 2K MỜ 50% VN-1K</v>
          </cell>
          <cell r="E1312" t="str">
            <v>ZFGD</v>
          </cell>
          <cell r="F1312" t="str">
            <v>PC</v>
          </cell>
          <cell r="G1312" t="str">
            <v>2</v>
          </cell>
          <cell r="H1312" t="str">
            <v>RETAIL</v>
          </cell>
          <cell r="I1312" t="str">
            <v>22</v>
          </cell>
          <cell r="J1312" t="str">
            <v>WF2</v>
          </cell>
          <cell r="K1312" t="str">
            <v>2201</v>
          </cell>
          <cell r="L1312" t="str">
            <v>PU COATING</v>
          </cell>
          <cell r="M1312" t="str">
            <v>220117</v>
          </cell>
          <cell r="N1312" t="str">
            <v>PROPAN PU</v>
          </cell>
        </row>
        <row r="1313">
          <cell r="C1313" t="str">
            <v>100004210</v>
          </cell>
          <cell r="D1313" t="str">
            <v>PUL-747 2K MỜ 30% VN-1K</v>
          </cell>
          <cell r="E1313" t="str">
            <v>ZFGD</v>
          </cell>
          <cell r="F1313" t="str">
            <v>PC</v>
          </cell>
          <cell r="G1313" t="str">
            <v>2</v>
          </cell>
          <cell r="H1313" t="str">
            <v>RETAIL</v>
          </cell>
          <cell r="I1313" t="str">
            <v>22</v>
          </cell>
          <cell r="J1313" t="str">
            <v>WF2</v>
          </cell>
          <cell r="K1313" t="str">
            <v>2201</v>
          </cell>
          <cell r="L1313" t="str">
            <v>PU COATING</v>
          </cell>
          <cell r="M1313" t="str">
            <v>220117</v>
          </cell>
          <cell r="N1313" t="str">
            <v>PROPAN PU</v>
          </cell>
        </row>
        <row r="1314">
          <cell r="C1314" t="str">
            <v>100004211</v>
          </cell>
          <cell r="D1314" t="str">
            <v>PUL-765 2K BÓNG 100% VN-0.8K</v>
          </cell>
          <cell r="E1314" t="str">
            <v>ZFGD</v>
          </cell>
          <cell r="F1314" t="str">
            <v>PC</v>
          </cell>
          <cell r="G1314" t="str">
            <v>2</v>
          </cell>
          <cell r="H1314" t="str">
            <v>RETAIL</v>
          </cell>
          <cell r="I1314" t="str">
            <v>22</v>
          </cell>
          <cell r="J1314" t="str">
            <v>WF2</v>
          </cell>
          <cell r="K1314" t="str">
            <v>2216</v>
          </cell>
          <cell r="L1314" t="str">
            <v>PU MULTIPURPOSE</v>
          </cell>
          <cell r="M1314" t="str">
            <v>221601</v>
          </cell>
          <cell r="N1314" t="str">
            <v>PROPAN MP PU ACR RMX</v>
          </cell>
        </row>
        <row r="1315">
          <cell r="C1315" t="str">
            <v>100004212</v>
          </cell>
          <cell r="D1315" t="str">
            <v>PUL-765 2K MỜ 50% VN-0.8K</v>
          </cell>
          <cell r="E1315" t="str">
            <v>ZFGD</v>
          </cell>
          <cell r="F1315" t="str">
            <v>PC</v>
          </cell>
          <cell r="G1315" t="str">
            <v>2</v>
          </cell>
          <cell r="H1315" t="str">
            <v>RETAIL</v>
          </cell>
          <cell r="I1315" t="str">
            <v>22</v>
          </cell>
          <cell r="J1315" t="str">
            <v>WF2</v>
          </cell>
          <cell r="K1315" t="str">
            <v>2216</v>
          </cell>
          <cell r="L1315" t="str">
            <v>PU MULTIPURPOSE</v>
          </cell>
          <cell r="M1315" t="str">
            <v>221601</v>
          </cell>
          <cell r="N1315" t="str">
            <v>PROPAN MP PU ACR RMX</v>
          </cell>
        </row>
        <row r="1316">
          <cell r="C1316" t="str">
            <v>100004213</v>
          </cell>
          <cell r="D1316" t="str">
            <v>PUL-765 2K MỜ 70% VN-0.8K</v>
          </cell>
          <cell r="E1316" t="str">
            <v>ZFGD</v>
          </cell>
          <cell r="F1316" t="str">
            <v>PC</v>
          </cell>
          <cell r="G1316" t="str">
            <v>2</v>
          </cell>
          <cell r="H1316" t="str">
            <v>RETAIL</v>
          </cell>
          <cell r="I1316" t="str">
            <v>22</v>
          </cell>
          <cell r="J1316" t="str">
            <v>WF2</v>
          </cell>
          <cell r="K1316" t="str">
            <v>2216</v>
          </cell>
          <cell r="L1316" t="str">
            <v>PU MULTIPURPOSE</v>
          </cell>
          <cell r="M1316" t="str">
            <v>221601</v>
          </cell>
          <cell r="N1316" t="str">
            <v>PROPAN MP PU ACR RMX</v>
          </cell>
        </row>
        <row r="1317">
          <cell r="C1317" t="str">
            <v>100004214</v>
          </cell>
          <cell r="D1317" t="str">
            <v>PUL-765 2K MỜ 90% VN-0.8K</v>
          </cell>
          <cell r="E1317" t="str">
            <v>ZFGD</v>
          </cell>
          <cell r="F1317" t="str">
            <v>PC</v>
          </cell>
          <cell r="G1317" t="str">
            <v>2</v>
          </cell>
          <cell r="H1317" t="str">
            <v>RETAIL</v>
          </cell>
          <cell r="I1317" t="str">
            <v>22</v>
          </cell>
          <cell r="J1317" t="str">
            <v>WF2</v>
          </cell>
          <cell r="K1317" t="str">
            <v>2216</v>
          </cell>
          <cell r="L1317" t="str">
            <v>PU MULTIPURPOSE</v>
          </cell>
          <cell r="M1317" t="str">
            <v>221601</v>
          </cell>
          <cell r="N1317" t="str">
            <v>PROPAN MP PU ACR RMX</v>
          </cell>
        </row>
        <row r="1318">
          <cell r="C1318" t="str">
            <v>100004215</v>
          </cell>
          <cell r="D1318" t="str">
            <v>HARDENER PUH-761 VN-0.2K</v>
          </cell>
          <cell r="E1318" t="str">
            <v>ZFGD</v>
          </cell>
          <cell r="F1318" t="str">
            <v>PC</v>
          </cell>
          <cell r="G1318" t="str">
            <v>2</v>
          </cell>
          <cell r="H1318" t="str">
            <v>RETAIL</v>
          </cell>
          <cell r="I1318" t="str">
            <v>22</v>
          </cell>
          <cell r="J1318" t="str">
            <v>WF2</v>
          </cell>
          <cell r="K1318" t="str">
            <v>2216</v>
          </cell>
          <cell r="L1318" t="str">
            <v>PU MULTIPURPOSE</v>
          </cell>
          <cell r="M1318" t="str">
            <v>221601</v>
          </cell>
          <cell r="N1318" t="str">
            <v>PROPAN MP PU ACR RMX</v>
          </cell>
        </row>
        <row r="1319">
          <cell r="C1319" t="str">
            <v>100004216</v>
          </cell>
          <cell r="D1319" t="str">
            <v>HARDENER PUH-761 VN-1K</v>
          </cell>
          <cell r="E1319" t="str">
            <v>ZFGD</v>
          </cell>
          <cell r="F1319" t="str">
            <v>PC</v>
          </cell>
          <cell r="G1319" t="str">
            <v>2</v>
          </cell>
          <cell r="H1319" t="str">
            <v>RETAIL</v>
          </cell>
          <cell r="I1319" t="str">
            <v>22</v>
          </cell>
          <cell r="J1319" t="str">
            <v>WF2</v>
          </cell>
          <cell r="K1319" t="str">
            <v>2216</v>
          </cell>
          <cell r="L1319" t="str">
            <v>PU MULTIPURPOSE</v>
          </cell>
          <cell r="M1319" t="str">
            <v>221601</v>
          </cell>
          <cell r="N1319" t="str">
            <v>PROPAN MP PU ACR RMX</v>
          </cell>
        </row>
        <row r="1320">
          <cell r="C1320" t="str">
            <v>100004231</v>
          </cell>
          <cell r="D1320" t="str">
            <v>PUL-745 2K MỜ 90% VN-4K</v>
          </cell>
          <cell r="E1320" t="str">
            <v>ZFGD</v>
          </cell>
          <cell r="F1320" t="str">
            <v>PC</v>
          </cell>
          <cell r="G1320" t="str">
            <v>2</v>
          </cell>
          <cell r="H1320" t="str">
            <v>RETAIL</v>
          </cell>
          <cell r="I1320" t="str">
            <v>22</v>
          </cell>
          <cell r="J1320" t="str">
            <v>WF2</v>
          </cell>
          <cell r="K1320" t="str">
            <v>2212</v>
          </cell>
          <cell r="L1320" t="str">
            <v>PU EASY TO USE</v>
          </cell>
          <cell r="M1320" t="str">
            <v>221201</v>
          </cell>
          <cell r="N1320" t="str">
            <v>PROPAN EASY TO USE PU</v>
          </cell>
        </row>
        <row r="1321">
          <cell r="C1321" t="str">
            <v>100004232</v>
          </cell>
          <cell r="D1321" t="str">
            <v>PUL-745 2K BÓNG 100% VN-4K</v>
          </cell>
          <cell r="E1321" t="str">
            <v>ZFGD</v>
          </cell>
          <cell r="F1321" t="str">
            <v>PC</v>
          </cell>
          <cell r="G1321" t="str">
            <v>2</v>
          </cell>
          <cell r="H1321" t="str">
            <v>RETAIL</v>
          </cell>
          <cell r="I1321" t="str">
            <v>22</v>
          </cell>
          <cell r="J1321" t="str">
            <v>WF2</v>
          </cell>
          <cell r="K1321" t="str">
            <v>2212</v>
          </cell>
          <cell r="L1321" t="str">
            <v>PU EASY TO USE</v>
          </cell>
          <cell r="M1321" t="str">
            <v>221201</v>
          </cell>
          <cell r="N1321" t="str">
            <v>PROPAN EASY TO USE PU</v>
          </cell>
        </row>
        <row r="1322">
          <cell r="C1322" t="str">
            <v>100004233</v>
          </cell>
          <cell r="D1322" t="str">
            <v>PUL-745 2K MỜ 70% VN-4K</v>
          </cell>
          <cell r="E1322" t="str">
            <v>ZFGD</v>
          </cell>
          <cell r="F1322" t="str">
            <v>PC</v>
          </cell>
          <cell r="G1322" t="str">
            <v>2</v>
          </cell>
          <cell r="H1322" t="str">
            <v>RETAIL</v>
          </cell>
          <cell r="I1322" t="str">
            <v>22</v>
          </cell>
          <cell r="J1322" t="str">
            <v>WF2</v>
          </cell>
          <cell r="K1322" t="str">
            <v>2212</v>
          </cell>
          <cell r="L1322" t="str">
            <v>PU EASY TO USE</v>
          </cell>
          <cell r="M1322" t="str">
            <v>221201</v>
          </cell>
          <cell r="N1322" t="str">
            <v>PROPAN EASY TO USE PU</v>
          </cell>
        </row>
        <row r="1323">
          <cell r="C1323" t="str">
            <v>100004234</v>
          </cell>
          <cell r="D1323" t="str">
            <v>PUL-745 2K MỜ 100% VN-4K</v>
          </cell>
          <cell r="E1323" t="str">
            <v>ZFGD</v>
          </cell>
          <cell r="F1323" t="str">
            <v>PC</v>
          </cell>
          <cell r="G1323" t="str">
            <v>2</v>
          </cell>
          <cell r="H1323" t="str">
            <v>RETAIL</v>
          </cell>
          <cell r="I1323" t="str">
            <v>22</v>
          </cell>
          <cell r="J1323" t="str">
            <v>WF2</v>
          </cell>
          <cell r="K1323" t="str">
            <v>2212</v>
          </cell>
          <cell r="L1323" t="str">
            <v>PU EASY TO USE</v>
          </cell>
          <cell r="M1323" t="str">
            <v>221201</v>
          </cell>
          <cell r="N1323" t="str">
            <v>PROPAN EASY TO USE PU</v>
          </cell>
        </row>
        <row r="1324">
          <cell r="C1324" t="str">
            <v>100004235</v>
          </cell>
          <cell r="D1324" t="str">
            <v>PUL-745 2K MỜ 50% VN-4K</v>
          </cell>
          <cell r="E1324" t="str">
            <v>ZFGD</v>
          </cell>
          <cell r="F1324" t="str">
            <v>PC</v>
          </cell>
          <cell r="G1324" t="str">
            <v>2</v>
          </cell>
          <cell r="H1324" t="str">
            <v>RETAIL</v>
          </cell>
          <cell r="I1324" t="str">
            <v>22</v>
          </cell>
          <cell r="J1324" t="str">
            <v>WF2</v>
          </cell>
          <cell r="K1324" t="str">
            <v>2212</v>
          </cell>
          <cell r="L1324" t="str">
            <v>PU EASY TO USE</v>
          </cell>
          <cell r="M1324" t="str">
            <v>221201</v>
          </cell>
          <cell r="N1324" t="str">
            <v>PROPAN EASY TO USE PU</v>
          </cell>
        </row>
        <row r="1325">
          <cell r="C1325" t="str">
            <v>100004236</v>
          </cell>
          <cell r="D1325" t="str">
            <v>PUL-747 2K MỜ 100% VN-4K</v>
          </cell>
          <cell r="E1325" t="str">
            <v>ZFGD</v>
          </cell>
          <cell r="F1325" t="str">
            <v>PC</v>
          </cell>
          <cell r="G1325" t="str">
            <v>2</v>
          </cell>
          <cell r="H1325" t="str">
            <v>RETAIL</v>
          </cell>
          <cell r="I1325" t="str">
            <v>22</v>
          </cell>
          <cell r="J1325" t="str">
            <v>WF2</v>
          </cell>
          <cell r="K1325" t="str">
            <v>2201</v>
          </cell>
          <cell r="L1325" t="str">
            <v>PU COATING</v>
          </cell>
          <cell r="M1325" t="str">
            <v>220117</v>
          </cell>
          <cell r="N1325" t="str">
            <v>PROPAN PU</v>
          </cell>
        </row>
        <row r="1326">
          <cell r="C1326" t="str">
            <v>100004237</v>
          </cell>
          <cell r="D1326" t="str">
            <v>PUL-747 2K BÓNG 100% VN-4K</v>
          </cell>
          <cell r="E1326" t="str">
            <v>ZFGD</v>
          </cell>
          <cell r="F1326" t="str">
            <v>PC</v>
          </cell>
          <cell r="G1326" t="str">
            <v>2</v>
          </cell>
          <cell r="H1326" t="str">
            <v>RETAIL</v>
          </cell>
          <cell r="I1326" t="str">
            <v>22</v>
          </cell>
          <cell r="J1326" t="str">
            <v>WF2</v>
          </cell>
          <cell r="K1326" t="str">
            <v>2201</v>
          </cell>
          <cell r="L1326" t="str">
            <v>PU COATING</v>
          </cell>
          <cell r="M1326" t="str">
            <v>220117</v>
          </cell>
          <cell r="N1326" t="str">
            <v>PROPAN PU</v>
          </cell>
        </row>
        <row r="1327">
          <cell r="C1327" t="str">
            <v>100004238</v>
          </cell>
          <cell r="D1327" t="str">
            <v>PUL-747 2K MỜ 70% VN-4K</v>
          </cell>
          <cell r="E1327" t="str">
            <v>ZFGD</v>
          </cell>
          <cell r="F1327" t="str">
            <v>PC</v>
          </cell>
          <cell r="G1327" t="str">
            <v>2</v>
          </cell>
          <cell r="H1327" t="str">
            <v>RETAIL</v>
          </cell>
          <cell r="I1327" t="str">
            <v>22</v>
          </cell>
          <cell r="J1327" t="str">
            <v>WF2</v>
          </cell>
          <cell r="K1327" t="str">
            <v>2201</v>
          </cell>
          <cell r="L1327" t="str">
            <v>PU COATING</v>
          </cell>
          <cell r="M1327" t="str">
            <v>220117</v>
          </cell>
          <cell r="N1327" t="str">
            <v>PROPAN PU</v>
          </cell>
        </row>
        <row r="1328">
          <cell r="C1328" t="str">
            <v>100004239</v>
          </cell>
          <cell r="D1328" t="str">
            <v>PUL-747 2K MỜ 50% VN-4K</v>
          </cell>
          <cell r="E1328" t="str">
            <v>ZFGD</v>
          </cell>
          <cell r="F1328" t="str">
            <v>PC</v>
          </cell>
          <cell r="G1328" t="str">
            <v>2</v>
          </cell>
          <cell r="H1328" t="str">
            <v>RETAIL</v>
          </cell>
          <cell r="I1328" t="str">
            <v>22</v>
          </cell>
          <cell r="J1328" t="str">
            <v>WF2</v>
          </cell>
          <cell r="K1328" t="str">
            <v>2201</v>
          </cell>
          <cell r="L1328" t="str">
            <v>PU COATING</v>
          </cell>
          <cell r="M1328" t="str">
            <v>220117</v>
          </cell>
          <cell r="N1328" t="str">
            <v>PROPAN PU</v>
          </cell>
        </row>
        <row r="1329">
          <cell r="C1329" t="str">
            <v>100004240</v>
          </cell>
          <cell r="D1329" t="str">
            <v>PUL-747 2K MỜ 30% VN-4K</v>
          </cell>
          <cell r="E1329" t="str">
            <v>ZFGD</v>
          </cell>
          <cell r="F1329" t="str">
            <v>PC</v>
          </cell>
          <cell r="G1329" t="str">
            <v>2</v>
          </cell>
          <cell r="H1329" t="str">
            <v>RETAIL</v>
          </cell>
          <cell r="I1329" t="str">
            <v>22</v>
          </cell>
          <cell r="J1329" t="str">
            <v>WF2</v>
          </cell>
          <cell r="K1329" t="str">
            <v>2201</v>
          </cell>
          <cell r="L1329" t="str">
            <v>PU COATING</v>
          </cell>
          <cell r="M1329" t="str">
            <v>220117</v>
          </cell>
          <cell r="N1329" t="str">
            <v>PROPAN PU</v>
          </cell>
        </row>
        <row r="1330">
          <cell r="C1330" t="str">
            <v>100004241</v>
          </cell>
          <cell r="D1330" t="str">
            <v>PUL-765 2K BÓNG 100% VN-4K</v>
          </cell>
          <cell r="E1330" t="str">
            <v>ZFGD</v>
          </cell>
          <cell r="F1330" t="str">
            <v>PC</v>
          </cell>
          <cell r="G1330" t="str">
            <v>2</v>
          </cell>
          <cell r="H1330" t="str">
            <v>RETAIL</v>
          </cell>
          <cell r="I1330" t="str">
            <v>22</v>
          </cell>
          <cell r="J1330" t="str">
            <v>WF2</v>
          </cell>
          <cell r="K1330" t="str">
            <v>2216</v>
          </cell>
          <cell r="L1330" t="str">
            <v>PU MULTIPURPOSE</v>
          </cell>
          <cell r="M1330" t="str">
            <v>221601</v>
          </cell>
          <cell r="N1330" t="str">
            <v>PROPAN MP PU ACR RMX</v>
          </cell>
        </row>
        <row r="1331">
          <cell r="C1331" t="str">
            <v>100004242</v>
          </cell>
          <cell r="D1331" t="str">
            <v>PUL-765 2K MỜ 50% VN-4K</v>
          </cell>
          <cell r="E1331" t="str">
            <v>ZFGD</v>
          </cell>
          <cell r="F1331" t="str">
            <v>PC</v>
          </cell>
          <cell r="G1331" t="str">
            <v>2</v>
          </cell>
          <cell r="H1331" t="str">
            <v>RETAIL</v>
          </cell>
          <cell r="I1331" t="str">
            <v>22</v>
          </cell>
          <cell r="J1331" t="str">
            <v>WF2</v>
          </cell>
          <cell r="K1331" t="str">
            <v>2216</v>
          </cell>
          <cell r="L1331" t="str">
            <v>PU MULTIPURPOSE</v>
          </cell>
          <cell r="M1331" t="str">
            <v>221601</v>
          </cell>
          <cell r="N1331" t="str">
            <v>PROPAN MP PU ACR RMX</v>
          </cell>
        </row>
        <row r="1332">
          <cell r="C1332" t="str">
            <v>100004243</v>
          </cell>
          <cell r="D1332" t="str">
            <v>PUL-765 2K MỜ 70% VN-4K</v>
          </cell>
          <cell r="E1332" t="str">
            <v>ZFGD</v>
          </cell>
          <cell r="F1332" t="str">
            <v>PC</v>
          </cell>
          <cell r="G1332" t="str">
            <v>2</v>
          </cell>
          <cell r="H1332" t="str">
            <v>RETAIL</v>
          </cell>
          <cell r="I1332" t="str">
            <v>22</v>
          </cell>
          <cell r="J1332" t="str">
            <v>WF2</v>
          </cell>
          <cell r="K1332" t="str">
            <v>2216</v>
          </cell>
          <cell r="L1332" t="str">
            <v>PU MULTIPURPOSE</v>
          </cell>
          <cell r="M1332" t="str">
            <v>221601</v>
          </cell>
          <cell r="N1332" t="str">
            <v>PROPAN MP PU ACR RMX</v>
          </cell>
        </row>
        <row r="1333">
          <cell r="C1333" t="str">
            <v>100004244</v>
          </cell>
          <cell r="D1333" t="str">
            <v>PUL-765 2K MỜ 90% VN-4K</v>
          </cell>
          <cell r="E1333" t="str">
            <v>ZFGD</v>
          </cell>
          <cell r="F1333" t="str">
            <v>PC</v>
          </cell>
          <cell r="G1333" t="str">
            <v>2</v>
          </cell>
          <cell r="H1333" t="str">
            <v>RETAIL</v>
          </cell>
          <cell r="I1333" t="str">
            <v>22</v>
          </cell>
          <cell r="J1333" t="str">
            <v>WF2</v>
          </cell>
          <cell r="K1333" t="str">
            <v>2216</v>
          </cell>
          <cell r="L1333" t="str">
            <v>PU MULTIPURPOSE</v>
          </cell>
          <cell r="M1333" t="str">
            <v>221601</v>
          </cell>
          <cell r="N1333" t="str">
            <v>PROPAN MP PU ACR RMX</v>
          </cell>
        </row>
        <row r="1334">
          <cell r="C1334" t="str">
            <v>100004245</v>
          </cell>
          <cell r="D1334" t="str">
            <v>PUC-786 2K ÐEN BÓNG SK012 VN-4K</v>
          </cell>
          <cell r="E1334" t="str">
            <v>ZFGD</v>
          </cell>
          <cell r="F1334" t="str">
            <v>PC</v>
          </cell>
          <cell r="G1334" t="str">
            <v>2</v>
          </cell>
          <cell r="H1334" t="str">
            <v>RETAIL</v>
          </cell>
          <cell r="I1334" t="str">
            <v>22</v>
          </cell>
          <cell r="J1334" t="str">
            <v>WF2</v>
          </cell>
          <cell r="K1334" t="str">
            <v>2216</v>
          </cell>
          <cell r="L1334" t="str">
            <v>PU MULTIPURPOSE</v>
          </cell>
          <cell r="M1334" t="str">
            <v>221601</v>
          </cell>
          <cell r="N1334" t="str">
            <v>PROPAN MP PU ACR RMX</v>
          </cell>
        </row>
        <row r="1335">
          <cell r="C1335" t="str">
            <v>100004246</v>
          </cell>
          <cell r="D1335" t="str">
            <v>PUC-786 2K CHILI RED GLOSS VN-4K</v>
          </cell>
          <cell r="E1335" t="str">
            <v>ZFGD</v>
          </cell>
          <cell r="F1335" t="str">
            <v>PC</v>
          </cell>
          <cell r="G1335" t="str">
            <v>2</v>
          </cell>
          <cell r="H1335" t="str">
            <v>RETAIL</v>
          </cell>
          <cell r="I1335" t="str">
            <v>22</v>
          </cell>
          <cell r="J1335" t="str">
            <v>WF2</v>
          </cell>
          <cell r="K1335" t="str">
            <v>2216</v>
          </cell>
          <cell r="L1335" t="str">
            <v>PU MULTIPURPOSE</v>
          </cell>
          <cell r="M1335" t="str">
            <v>221601</v>
          </cell>
          <cell r="N1335" t="str">
            <v>PROPAN MP PU ACR RMX</v>
          </cell>
        </row>
        <row r="1336">
          <cell r="C1336" t="str">
            <v>100004247</v>
          </cell>
          <cell r="D1336" t="str">
            <v>PUC-786 2K KEM LỢT SK002 VN-4K</v>
          </cell>
          <cell r="E1336" t="str">
            <v>ZFGD</v>
          </cell>
          <cell r="F1336" t="str">
            <v>PC</v>
          </cell>
          <cell r="G1336" t="str">
            <v>2</v>
          </cell>
          <cell r="H1336" t="str">
            <v>RETAIL</v>
          </cell>
          <cell r="I1336" t="str">
            <v>22</v>
          </cell>
          <cell r="J1336" t="str">
            <v>WF2</v>
          </cell>
          <cell r="K1336" t="str">
            <v>2216</v>
          </cell>
          <cell r="L1336" t="str">
            <v>PU MULTIPURPOSE</v>
          </cell>
          <cell r="M1336" t="str">
            <v>221601</v>
          </cell>
          <cell r="N1336" t="str">
            <v>PROPAN MP PU ACR RMX</v>
          </cell>
        </row>
        <row r="1337">
          <cell r="C1337" t="str">
            <v>100004248</v>
          </cell>
          <cell r="D1337" t="str">
            <v>PUC-786 2K TRẮNG BÓNG SK006 VN-4K</v>
          </cell>
          <cell r="E1337" t="str">
            <v>ZFGD</v>
          </cell>
          <cell r="F1337" t="str">
            <v>PC</v>
          </cell>
          <cell r="G1337" t="str">
            <v>2</v>
          </cell>
          <cell r="H1337" t="str">
            <v>RETAIL</v>
          </cell>
          <cell r="I1337" t="str">
            <v>22</v>
          </cell>
          <cell r="J1337" t="str">
            <v>WF2</v>
          </cell>
          <cell r="K1337" t="str">
            <v>2216</v>
          </cell>
          <cell r="L1337" t="str">
            <v>PU MULTIPURPOSE</v>
          </cell>
          <cell r="M1337" t="str">
            <v>221601</v>
          </cell>
          <cell r="N1337" t="str">
            <v>PROPAN MP PU ACR RMX</v>
          </cell>
        </row>
        <row r="1338">
          <cell r="C1338" t="str">
            <v>100004249</v>
          </cell>
          <cell r="D1338" t="str">
            <v>PUC-786 2K LEMON YELLOW GLOSS VN-4K</v>
          </cell>
          <cell r="E1338" t="str">
            <v>ZFGD</v>
          </cell>
          <cell r="F1338" t="str">
            <v>PC</v>
          </cell>
          <cell r="G1338" t="str">
            <v>2</v>
          </cell>
          <cell r="H1338" t="str">
            <v>RETAIL</v>
          </cell>
          <cell r="I1338" t="str">
            <v>22</v>
          </cell>
          <cell r="J1338" t="str">
            <v>WF2</v>
          </cell>
          <cell r="K1338" t="str">
            <v>2216</v>
          </cell>
          <cell r="L1338" t="str">
            <v>PU MULTIPURPOSE</v>
          </cell>
          <cell r="M1338" t="str">
            <v>221601</v>
          </cell>
          <cell r="N1338" t="str">
            <v>PROPAN MP PU ACR RMX</v>
          </cell>
        </row>
        <row r="1339">
          <cell r="C1339" t="str">
            <v>100004250</v>
          </cell>
          <cell r="D1339" t="str">
            <v>PUC-786 2K XÁM ĐẬM SK004 VN-4K</v>
          </cell>
          <cell r="E1339" t="str">
            <v>ZFGD</v>
          </cell>
          <cell r="F1339" t="str">
            <v>PC</v>
          </cell>
          <cell r="G1339" t="str">
            <v>2</v>
          </cell>
          <cell r="H1339" t="str">
            <v>RETAIL</v>
          </cell>
          <cell r="I1339" t="str">
            <v>22</v>
          </cell>
          <cell r="J1339" t="str">
            <v>WF2</v>
          </cell>
          <cell r="K1339" t="str">
            <v>2216</v>
          </cell>
          <cell r="L1339" t="str">
            <v>PU MULTIPURPOSE</v>
          </cell>
          <cell r="M1339" t="str">
            <v>221601</v>
          </cell>
          <cell r="N1339" t="str">
            <v>PROPAN MP PU ACR RMX</v>
          </cell>
        </row>
        <row r="1340">
          <cell r="C1340" t="str">
            <v>100004251</v>
          </cell>
          <cell r="D1340" t="str">
            <v>PUC-786 2K XÁM NHẠT SK011 VN-4K</v>
          </cell>
          <cell r="E1340" t="str">
            <v>ZFGD</v>
          </cell>
          <cell r="F1340" t="str">
            <v>PC</v>
          </cell>
          <cell r="G1340" t="str">
            <v>2</v>
          </cell>
          <cell r="H1340" t="str">
            <v>RETAIL</v>
          </cell>
          <cell r="I1340" t="str">
            <v>22</v>
          </cell>
          <cell r="J1340" t="str">
            <v>WF2</v>
          </cell>
          <cell r="K1340" t="str">
            <v>2216</v>
          </cell>
          <cell r="L1340" t="str">
            <v>PU MULTIPURPOSE</v>
          </cell>
          <cell r="M1340" t="str">
            <v>221601</v>
          </cell>
          <cell r="N1340" t="str">
            <v>PROPAN MP PU ACR RMX</v>
          </cell>
        </row>
        <row r="1341">
          <cell r="C1341" t="str">
            <v>100004252</v>
          </cell>
          <cell r="D1341" t="str">
            <v>PUC-786 2K XANH CHUỐI SK005 VN-4K</v>
          </cell>
          <cell r="E1341" t="str">
            <v>ZFGD</v>
          </cell>
          <cell r="F1341" t="str">
            <v>PC</v>
          </cell>
          <cell r="G1341" t="str">
            <v>2</v>
          </cell>
          <cell r="H1341" t="str">
            <v>RETAIL</v>
          </cell>
          <cell r="I1341" t="str">
            <v>22</v>
          </cell>
          <cell r="J1341" t="str">
            <v>WF2</v>
          </cell>
          <cell r="K1341" t="str">
            <v>2216</v>
          </cell>
          <cell r="L1341" t="str">
            <v>PU MULTIPURPOSE</v>
          </cell>
          <cell r="M1341" t="str">
            <v>221601</v>
          </cell>
          <cell r="N1341" t="str">
            <v>PROPAN MP PU ACR RMX</v>
          </cell>
        </row>
        <row r="1342">
          <cell r="C1342" t="str">
            <v>100004253</v>
          </cell>
          <cell r="D1342" t="str">
            <v>PUC-786 2K XANH DA TRỜI SK007 VN-4K</v>
          </cell>
          <cell r="E1342" t="str">
            <v>ZFGD</v>
          </cell>
          <cell r="F1342" t="str">
            <v>PC</v>
          </cell>
          <cell r="G1342" t="str">
            <v>2</v>
          </cell>
          <cell r="H1342" t="str">
            <v>RETAIL</v>
          </cell>
          <cell r="I1342" t="str">
            <v>22</v>
          </cell>
          <cell r="J1342" t="str">
            <v>WF2</v>
          </cell>
          <cell r="K1342" t="str">
            <v>2216</v>
          </cell>
          <cell r="L1342" t="str">
            <v>PU MULTIPURPOSE</v>
          </cell>
          <cell r="M1342" t="str">
            <v>221601</v>
          </cell>
          <cell r="N1342" t="str">
            <v>PROPAN MP PU ACR RMX</v>
          </cell>
        </row>
        <row r="1343">
          <cell r="C1343" t="str">
            <v>100004254</v>
          </cell>
          <cell r="D1343" t="str">
            <v>PUC-786 2K XANH ĐẬM SK009 VN-4K</v>
          </cell>
          <cell r="E1343" t="str">
            <v>ZFGD</v>
          </cell>
          <cell r="F1343" t="str">
            <v>PC</v>
          </cell>
          <cell r="G1343" t="str">
            <v>2</v>
          </cell>
          <cell r="H1343" t="str">
            <v>RETAIL</v>
          </cell>
          <cell r="I1343" t="str">
            <v>22</v>
          </cell>
          <cell r="J1343" t="str">
            <v>WF2</v>
          </cell>
          <cell r="K1343" t="str">
            <v>2216</v>
          </cell>
          <cell r="L1343" t="str">
            <v>PU MULTIPURPOSE</v>
          </cell>
          <cell r="M1343" t="str">
            <v>221601</v>
          </cell>
          <cell r="N1343" t="str">
            <v>PROPAN MP PU ACR RMX</v>
          </cell>
        </row>
        <row r="1344">
          <cell r="C1344" t="str">
            <v>100004255</v>
          </cell>
          <cell r="D1344" t="str">
            <v>PUC-786 2K XANH DƯƠNG SK008 VN-4K</v>
          </cell>
          <cell r="E1344" t="str">
            <v>ZFGD</v>
          </cell>
          <cell r="F1344" t="str">
            <v>PC</v>
          </cell>
          <cell r="G1344" t="str">
            <v>2</v>
          </cell>
          <cell r="H1344" t="str">
            <v>RETAIL</v>
          </cell>
          <cell r="I1344" t="str">
            <v>22</v>
          </cell>
          <cell r="J1344" t="str">
            <v>WF2</v>
          </cell>
          <cell r="K1344" t="str">
            <v>2216</v>
          </cell>
          <cell r="L1344" t="str">
            <v>PU MULTIPURPOSE</v>
          </cell>
          <cell r="M1344" t="str">
            <v>221601</v>
          </cell>
          <cell r="N1344" t="str">
            <v>PROPAN MP PU ACR RMX</v>
          </cell>
        </row>
        <row r="1345">
          <cell r="C1345" t="str">
            <v>100004256</v>
          </cell>
          <cell r="D1345" t="str">
            <v>PUC-786 2K XANH NGỌC SK010 VN-4K</v>
          </cell>
          <cell r="E1345" t="str">
            <v>ZFGD</v>
          </cell>
          <cell r="F1345" t="str">
            <v>PC</v>
          </cell>
          <cell r="G1345" t="str">
            <v>2</v>
          </cell>
          <cell r="H1345" t="str">
            <v>RETAIL</v>
          </cell>
          <cell r="I1345" t="str">
            <v>22</v>
          </cell>
          <cell r="J1345" t="str">
            <v>WF2</v>
          </cell>
          <cell r="K1345" t="str">
            <v>2216</v>
          </cell>
          <cell r="L1345" t="str">
            <v>PU MULTIPURPOSE</v>
          </cell>
          <cell r="M1345" t="str">
            <v>221601</v>
          </cell>
          <cell r="N1345" t="str">
            <v>PROPAN MP PU ACR RMX</v>
          </cell>
        </row>
        <row r="1346">
          <cell r="C1346" t="str">
            <v>100004257</v>
          </cell>
          <cell r="D1346" t="str">
            <v>PUSS-760 2K LÓT TRONG VN-4K</v>
          </cell>
          <cell r="E1346" t="str">
            <v>ZFGD</v>
          </cell>
          <cell r="F1346" t="str">
            <v>PC</v>
          </cell>
          <cell r="G1346" t="str">
            <v>2</v>
          </cell>
          <cell r="H1346" t="str">
            <v>RETAIL</v>
          </cell>
          <cell r="I1346" t="str">
            <v>22</v>
          </cell>
          <cell r="J1346" t="str">
            <v>WF2</v>
          </cell>
          <cell r="K1346" t="str">
            <v>2216</v>
          </cell>
          <cell r="L1346" t="str">
            <v>PU MULTIPURPOSE</v>
          </cell>
          <cell r="M1346" t="str">
            <v>221601</v>
          </cell>
          <cell r="N1346" t="str">
            <v>PROPAN MP PU ACR RMX</v>
          </cell>
        </row>
        <row r="1347">
          <cell r="C1347" t="str">
            <v>100004258</v>
          </cell>
          <cell r="D1347" t="str">
            <v>PUSF-781 2K LÓT TRẮNG VN-4K</v>
          </cell>
          <cell r="E1347" t="str">
            <v>ZFGD</v>
          </cell>
          <cell r="F1347" t="str">
            <v>PC</v>
          </cell>
          <cell r="G1347" t="str">
            <v>2</v>
          </cell>
          <cell r="H1347" t="str">
            <v>RETAIL</v>
          </cell>
          <cell r="I1347" t="str">
            <v>22</v>
          </cell>
          <cell r="J1347" t="str">
            <v>WF2</v>
          </cell>
          <cell r="K1347" t="str">
            <v>2216</v>
          </cell>
          <cell r="L1347" t="str">
            <v>PU MULTIPURPOSE</v>
          </cell>
          <cell r="M1347" t="str">
            <v>221601</v>
          </cell>
          <cell r="N1347" t="str">
            <v>PROPAN MP PU ACR RMX</v>
          </cell>
        </row>
        <row r="1348">
          <cell r="C1348" t="str">
            <v>100004276</v>
          </cell>
          <cell r="D1348" t="str">
            <v>PUC-756 NY TRẮNG MỜ 100% VN-0.8K</v>
          </cell>
          <cell r="E1348" t="str">
            <v>ZFGD</v>
          </cell>
          <cell r="F1348" t="str">
            <v>PC</v>
          </cell>
          <cell r="G1348" t="str">
            <v>2</v>
          </cell>
          <cell r="H1348" t="str">
            <v>RETAIL</v>
          </cell>
          <cell r="I1348" t="str">
            <v>22</v>
          </cell>
          <cell r="J1348" t="str">
            <v>WF2</v>
          </cell>
          <cell r="K1348" t="str">
            <v>2216</v>
          </cell>
          <cell r="L1348" t="str">
            <v>PU MULTIPURPOSE</v>
          </cell>
          <cell r="M1348" t="str">
            <v>221601</v>
          </cell>
          <cell r="N1348" t="str">
            <v>PROPAN MP PU ACR RMX</v>
          </cell>
        </row>
        <row r="1349">
          <cell r="C1349" t="str">
            <v>100004277</v>
          </cell>
          <cell r="D1349" t="str">
            <v>PUC-756 NY TRẮNG BÓNG 100% VN-0.8K</v>
          </cell>
          <cell r="E1349" t="str">
            <v>ZFGD</v>
          </cell>
          <cell r="F1349" t="str">
            <v>PC</v>
          </cell>
          <cell r="G1349" t="str">
            <v>2</v>
          </cell>
          <cell r="H1349" t="str">
            <v>RETAIL</v>
          </cell>
          <cell r="I1349" t="str">
            <v>22</v>
          </cell>
          <cell r="J1349" t="str">
            <v>WF2</v>
          </cell>
          <cell r="K1349" t="str">
            <v>2216</v>
          </cell>
          <cell r="L1349" t="str">
            <v>PU MULTIPURPOSE</v>
          </cell>
          <cell r="M1349" t="str">
            <v>221601</v>
          </cell>
          <cell r="N1349" t="str">
            <v>PROPAN MP PU ACR RMX</v>
          </cell>
        </row>
        <row r="1350">
          <cell r="C1350" t="str">
            <v>100004278</v>
          </cell>
          <cell r="D1350" t="str">
            <v>PUC-756 NY TRẮNG MỜ 70% VN-0.8K</v>
          </cell>
          <cell r="E1350" t="str">
            <v>ZFGD</v>
          </cell>
          <cell r="F1350" t="str">
            <v>PC</v>
          </cell>
          <cell r="G1350" t="str">
            <v>2</v>
          </cell>
          <cell r="H1350" t="str">
            <v>RETAIL</v>
          </cell>
          <cell r="I1350" t="str">
            <v>22</v>
          </cell>
          <cell r="J1350" t="str">
            <v>WF2</v>
          </cell>
          <cell r="K1350" t="str">
            <v>2216</v>
          </cell>
          <cell r="L1350" t="str">
            <v>PU MULTIPURPOSE</v>
          </cell>
          <cell r="M1350" t="str">
            <v>221601</v>
          </cell>
          <cell r="N1350" t="str">
            <v>PROPAN MP PU ACR RMX</v>
          </cell>
        </row>
        <row r="1351">
          <cell r="C1351" t="str">
            <v>100004279</v>
          </cell>
          <cell r="D1351" t="str">
            <v>PUC-756 NY TRẮNG MỜ 50% VN-0.8K</v>
          </cell>
          <cell r="E1351" t="str">
            <v>ZFGD</v>
          </cell>
          <cell r="F1351" t="str">
            <v>PC</v>
          </cell>
          <cell r="G1351" t="str">
            <v>2</v>
          </cell>
          <cell r="H1351" t="str">
            <v>RETAIL</v>
          </cell>
          <cell r="I1351" t="str">
            <v>22</v>
          </cell>
          <cell r="J1351" t="str">
            <v>WF2</v>
          </cell>
          <cell r="K1351" t="str">
            <v>2216</v>
          </cell>
          <cell r="L1351" t="str">
            <v>PU MULTIPURPOSE</v>
          </cell>
          <cell r="M1351" t="str">
            <v>221601</v>
          </cell>
          <cell r="N1351" t="str">
            <v>PROPAN MP PU ACR RMX</v>
          </cell>
        </row>
        <row r="1352">
          <cell r="C1352" t="str">
            <v>100004280</v>
          </cell>
          <cell r="D1352" t="str">
            <v>PUC-756 NY TRẮNG MỜ 100% VN-4K</v>
          </cell>
          <cell r="E1352" t="str">
            <v>ZFGD</v>
          </cell>
          <cell r="F1352" t="str">
            <v>PC</v>
          </cell>
          <cell r="G1352" t="str">
            <v>2</v>
          </cell>
          <cell r="H1352" t="str">
            <v>RETAIL</v>
          </cell>
          <cell r="I1352" t="str">
            <v>22</v>
          </cell>
          <cell r="J1352" t="str">
            <v>WF2</v>
          </cell>
          <cell r="K1352" t="str">
            <v>2216</v>
          </cell>
          <cell r="L1352" t="str">
            <v>PU MULTIPURPOSE</v>
          </cell>
          <cell r="M1352" t="str">
            <v>221601</v>
          </cell>
          <cell r="N1352" t="str">
            <v>PROPAN MP PU ACR RMX</v>
          </cell>
        </row>
        <row r="1353">
          <cell r="C1353" t="str">
            <v>100004281</v>
          </cell>
          <cell r="D1353" t="str">
            <v>PUC-756 NY TRẮNG BÓNG 100% VN-4K</v>
          </cell>
          <cell r="E1353" t="str">
            <v>ZFGD</v>
          </cell>
          <cell r="F1353" t="str">
            <v>PC</v>
          </cell>
          <cell r="G1353" t="str">
            <v>2</v>
          </cell>
          <cell r="H1353" t="str">
            <v>RETAIL</v>
          </cell>
          <cell r="I1353" t="str">
            <v>22</v>
          </cell>
          <cell r="J1353" t="str">
            <v>WF2</v>
          </cell>
          <cell r="K1353" t="str">
            <v>2216</v>
          </cell>
          <cell r="L1353" t="str">
            <v>PU MULTIPURPOSE</v>
          </cell>
          <cell r="M1353" t="str">
            <v>221601</v>
          </cell>
          <cell r="N1353" t="str">
            <v>PROPAN MP PU ACR RMX</v>
          </cell>
        </row>
        <row r="1354">
          <cell r="C1354" t="str">
            <v>100004282</v>
          </cell>
          <cell r="D1354" t="str">
            <v>PUC-756 NY TRẮNG MỜ 70% VN-4K</v>
          </cell>
          <cell r="E1354" t="str">
            <v>ZFGD</v>
          </cell>
          <cell r="F1354" t="str">
            <v>PC</v>
          </cell>
          <cell r="G1354" t="str">
            <v>2</v>
          </cell>
          <cell r="H1354" t="str">
            <v>RETAIL</v>
          </cell>
          <cell r="I1354" t="str">
            <v>22</v>
          </cell>
          <cell r="J1354" t="str">
            <v>WF2</v>
          </cell>
          <cell r="K1354" t="str">
            <v>2216</v>
          </cell>
          <cell r="L1354" t="str">
            <v>PU MULTIPURPOSE</v>
          </cell>
          <cell r="M1354" t="str">
            <v>221601</v>
          </cell>
          <cell r="N1354" t="str">
            <v>PROPAN MP PU ACR RMX</v>
          </cell>
        </row>
        <row r="1355">
          <cell r="C1355" t="str">
            <v>100004283</v>
          </cell>
          <cell r="D1355" t="str">
            <v>PUC-756 NY TRẮNG MỜ 50% VN-4K</v>
          </cell>
          <cell r="E1355" t="str">
            <v>ZFGD</v>
          </cell>
          <cell r="F1355" t="str">
            <v>PC</v>
          </cell>
          <cell r="G1355" t="str">
            <v>2</v>
          </cell>
          <cell r="H1355" t="str">
            <v>RETAIL</v>
          </cell>
          <cell r="I1355" t="str">
            <v>22</v>
          </cell>
          <cell r="J1355" t="str">
            <v>WF2</v>
          </cell>
          <cell r="K1355" t="str">
            <v>2216</v>
          </cell>
          <cell r="L1355" t="str">
            <v>PU MULTIPURPOSE</v>
          </cell>
          <cell r="M1355" t="str">
            <v>221601</v>
          </cell>
          <cell r="N1355" t="str">
            <v>PROPAN MP PU ACR RMX</v>
          </cell>
        </row>
        <row r="1356">
          <cell r="C1356" t="str">
            <v>100004284</v>
          </cell>
          <cell r="D1356" t="str">
            <v>PUC-756 NY TRẮNG MỜ 100% VN-16KP</v>
          </cell>
          <cell r="E1356" t="str">
            <v>ZFGD</v>
          </cell>
          <cell r="F1356" t="str">
            <v>PC</v>
          </cell>
          <cell r="G1356" t="str">
            <v>2</v>
          </cell>
          <cell r="H1356" t="str">
            <v>RETAIL</v>
          </cell>
          <cell r="I1356" t="str">
            <v>22</v>
          </cell>
          <cell r="J1356" t="str">
            <v>WF2</v>
          </cell>
          <cell r="K1356" t="str">
            <v>2216</v>
          </cell>
          <cell r="L1356" t="str">
            <v>PU MULTIPURPOSE</v>
          </cell>
          <cell r="M1356" t="str">
            <v>221601</v>
          </cell>
          <cell r="N1356" t="str">
            <v>PROPAN MP PU ACR RMX</v>
          </cell>
        </row>
        <row r="1357">
          <cell r="C1357" t="str">
            <v>100004285</v>
          </cell>
          <cell r="D1357" t="str">
            <v>PUC-756 NY TRẮNG BÓNG 100% VN-16KP</v>
          </cell>
          <cell r="E1357" t="str">
            <v>ZFGD</v>
          </cell>
          <cell r="F1357" t="str">
            <v>PC</v>
          </cell>
          <cell r="G1357" t="str">
            <v>2</v>
          </cell>
          <cell r="H1357" t="str">
            <v>RETAIL</v>
          </cell>
          <cell r="I1357" t="str">
            <v>22</v>
          </cell>
          <cell r="J1357" t="str">
            <v>WF2</v>
          </cell>
          <cell r="K1357" t="str">
            <v>2216</v>
          </cell>
          <cell r="L1357" t="str">
            <v>PU MULTIPURPOSE</v>
          </cell>
          <cell r="M1357" t="str">
            <v>221601</v>
          </cell>
          <cell r="N1357" t="str">
            <v>PROPAN MP PU ACR RMX</v>
          </cell>
        </row>
        <row r="1358">
          <cell r="C1358" t="str">
            <v>100004286</v>
          </cell>
          <cell r="D1358" t="str">
            <v>PUC-756 NY TRẮNG MỜ 70% VN-16KP</v>
          </cell>
          <cell r="E1358" t="str">
            <v>ZFGD</v>
          </cell>
          <cell r="F1358" t="str">
            <v>PC</v>
          </cell>
          <cell r="G1358" t="str">
            <v>2</v>
          </cell>
          <cell r="H1358" t="str">
            <v>RETAIL</v>
          </cell>
          <cell r="I1358" t="str">
            <v>22</v>
          </cell>
          <cell r="J1358" t="str">
            <v>WF2</v>
          </cell>
          <cell r="K1358" t="str">
            <v>2216</v>
          </cell>
          <cell r="L1358" t="str">
            <v>PU MULTIPURPOSE</v>
          </cell>
          <cell r="M1358" t="str">
            <v>221601</v>
          </cell>
          <cell r="N1358" t="str">
            <v>PROPAN MP PU ACR RMX</v>
          </cell>
        </row>
        <row r="1359">
          <cell r="C1359" t="str">
            <v>100004287</v>
          </cell>
          <cell r="D1359" t="str">
            <v>PUC-756 NY TRẮNG MỜ 50% VN-16KP</v>
          </cell>
          <cell r="E1359" t="str">
            <v>ZFGD</v>
          </cell>
          <cell r="F1359" t="str">
            <v>PC</v>
          </cell>
          <cell r="G1359" t="str">
            <v>2</v>
          </cell>
          <cell r="H1359" t="str">
            <v>RETAIL</v>
          </cell>
          <cell r="I1359" t="str">
            <v>22</v>
          </cell>
          <cell r="J1359" t="str">
            <v>WF2</v>
          </cell>
          <cell r="K1359" t="str">
            <v>2216</v>
          </cell>
          <cell r="L1359" t="str">
            <v>PU MULTIPURPOSE</v>
          </cell>
          <cell r="M1359" t="str">
            <v>221601</v>
          </cell>
          <cell r="N1359" t="str">
            <v>PROPAN MP PU ACR RMX</v>
          </cell>
        </row>
        <row r="1360">
          <cell r="C1360" t="str">
            <v>100004288</v>
          </cell>
          <cell r="D1360" t="str">
            <v>PUL-745 2K MỜ 90% VN-16KP</v>
          </cell>
          <cell r="E1360" t="str">
            <v>ZFGD</v>
          </cell>
          <cell r="F1360" t="str">
            <v>PC</v>
          </cell>
          <cell r="G1360" t="str">
            <v>2</v>
          </cell>
          <cell r="H1360" t="str">
            <v>RETAIL</v>
          </cell>
          <cell r="I1360" t="str">
            <v>22</v>
          </cell>
          <cell r="J1360" t="str">
            <v>WF2</v>
          </cell>
          <cell r="K1360" t="str">
            <v>2212</v>
          </cell>
          <cell r="L1360" t="str">
            <v>PU EASY TO USE</v>
          </cell>
          <cell r="M1360" t="str">
            <v>221201</v>
          </cell>
          <cell r="N1360" t="str">
            <v>PROPAN EASY TO USE PU</v>
          </cell>
        </row>
        <row r="1361">
          <cell r="C1361" t="str">
            <v>100004289</v>
          </cell>
          <cell r="D1361" t="str">
            <v>PUL-745 2K BÓNG 100% VN-16KP</v>
          </cell>
          <cell r="E1361" t="str">
            <v>ZFGD</v>
          </cell>
          <cell r="F1361" t="str">
            <v>PC</v>
          </cell>
          <cell r="G1361" t="str">
            <v>2</v>
          </cell>
          <cell r="H1361" t="str">
            <v>RETAIL</v>
          </cell>
          <cell r="I1361" t="str">
            <v>22</v>
          </cell>
          <cell r="J1361" t="str">
            <v>WF2</v>
          </cell>
          <cell r="K1361" t="str">
            <v>2212</v>
          </cell>
          <cell r="L1361" t="str">
            <v>PU EASY TO USE</v>
          </cell>
          <cell r="M1361" t="str">
            <v>221201</v>
          </cell>
          <cell r="N1361" t="str">
            <v>PROPAN EASY TO USE PU</v>
          </cell>
        </row>
        <row r="1362">
          <cell r="C1362" t="str">
            <v>100004290</v>
          </cell>
          <cell r="D1362" t="str">
            <v>PUL-745 2K MỜ 70% VN-16KP</v>
          </cell>
          <cell r="E1362" t="str">
            <v>ZFGD</v>
          </cell>
          <cell r="F1362" t="str">
            <v>PC</v>
          </cell>
          <cell r="G1362" t="str">
            <v>2</v>
          </cell>
          <cell r="H1362" t="str">
            <v>RETAIL</v>
          </cell>
          <cell r="I1362" t="str">
            <v>22</v>
          </cell>
          <cell r="J1362" t="str">
            <v>WF2</v>
          </cell>
          <cell r="K1362" t="str">
            <v>2212</v>
          </cell>
          <cell r="L1362" t="str">
            <v>PU EASY TO USE</v>
          </cell>
          <cell r="M1362" t="str">
            <v>221201</v>
          </cell>
          <cell r="N1362" t="str">
            <v>PROPAN EASY TO USE PU</v>
          </cell>
        </row>
        <row r="1363">
          <cell r="C1363" t="str">
            <v>100004291</v>
          </cell>
          <cell r="D1363" t="str">
            <v>PUL-745 2K MỜ 100% VN-16KP</v>
          </cell>
          <cell r="E1363" t="str">
            <v>ZFGD</v>
          </cell>
          <cell r="F1363" t="str">
            <v>PC</v>
          </cell>
          <cell r="G1363" t="str">
            <v>2</v>
          </cell>
          <cell r="H1363" t="str">
            <v>RETAIL</v>
          </cell>
          <cell r="I1363" t="str">
            <v>22</v>
          </cell>
          <cell r="J1363" t="str">
            <v>WF2</v>
          </cell>
          <cell r="K1363" t="str">
            <v>2212</v>
          </cell>
          <cell r="L1363" t="str">
            <v>PU EASY TO USE</v>
          </cell>
          <cell r="M1363" t="str">
            <v>221201</v>
          </cell>
          <cell r="N1363" t="str">
            <v>PROPAN EASY TO USE PU</v>
          </cell>
        </row>
        <row r="1364">
          <cell r="C1364" t="str">
            <v>100004292</v>
          </cell>
          <cell r="D1364" t="str">
            <v>PUL-745 2K MỜ 50% VN-16KP</v>
          </cell>
          <cell r="E1364" t="str">
            <v>ZFGD</v>
          </cell>
          <cell r="F1364" t="str">
            <v>PC</v>
          </cell>
          <cell r="G1364" t="str">
            <v>2</v>
          </cell>
          <cell r="H1364" t="str">
            <v>RETAIL</v>
          </cell>
          <cell r="I1364" t="str">
            <v>22</v>
          </cell>
          <cell r="J1364" t="str">
            <v>WF2</v>
          </cell>
          <cell r="K1364" t="str">
            <v>2212</v>
          </cell>
          <cell r="L1364" t="str">
            <v>PU EASY TO USE</v>
          </cell>
          <cell r="M1364" t="str">
            <v>221201</v>
          </cell>
          <cell r="N1364" t="str">
            <v>PROPAN EASY TO USE PU</v>
          </cell>
        </row>
        <row r="1365">
          <cell r="C1365" t="str">
            <v>100004293</v>
          </cell>
          <cell r="D1365" t="str">
            <v>PUL-747 2K MỜ 100% VN-16KP</v>
          </cell>
          <cell r="E1365" t="str">
            <v>ZFGD</v>
          </cell>
          <cell r="F1365" t="str">
            <v>PC</v>
          </cell>
          <cell r="G1365" t="str">
            <v>2</v>
          </cell>
          <cell r="H1365" t="str">
            <v>RETAIL</v>
          </cell>
          <cell r="I1365" t="str">
            <v>22</v>
          </cell>
          <cell r="J1365" t="str">
            <v>WF2</v>
          </cell>
          <cell r="K1365" t="str">
            <v>2201</v>
          </cell>
          <cell r="L1365" t="str">
            <v>PU COATING</v>
          </cell>
          <cell r="M1365" t="str">
            <v>220117</v>
          </cell>
          <cell r="N1365" t="str">
            <v>PROPAN PU</v>
          </cell>
        </row>
        <row r="1366">
          <cell r="C1366" t="str">
            <v>100004294</v>
          </cell>
          <cell r="D1366" t="str">
            <v>PUL-747 2K BÓNG 100% VN-16KP</v>
          </cell>
          <cell r="E1366" t="str">
            <v>ZFGD</v>
          </cell>
          <cell r="F1366" t="str">
            <v>PC</v>
          </cell>
          <cell r="G1366" t="str">
            <v>2</v>
          </cell>
          <cell r="H1366" t="str">
            <v>RETAIL</v>
          </cell>
          <cell r="I1366" t="str">
            <v>22</v>
          </cell>
          <cell r="J1366" t="str">
            <v>WF2</v>
          </cell>
          <cell r="K1366" t="str">
            <v>2201</v>
          </cell>
          <cell r="L1366" t="str">
            <v>PU COATING</v>
          </cell>
          <cell r="M1366" t="str">
            <v>220117</v>
          </cell>
          <cell r="N1366" t="str">
            <v>PROPAN PU</v>
          </cell>
        </row>
        <row r="1367">
          <cell r="C1367" t="str">
            <v>100004295</v>
          </cell>
          <cell r="D1367" t="str">
            <v>PUL-747 2K MỜ 70% VN-16KP</v>
          </cell>
          <cell r="E1367" t="str">
            <v>ZFGD</v>
          </cell>
          <cell r="F1367" t="str">
            <v>PC</v>
          </cell>
          <cell r="G1367" t="str">
            <v>2</v>
          </cell>
          <cell r="H1367" t="str">
            <v>RETAIL</v>
          </cell>
          <cell r="I1367" t="str">
            <v>22</v>
          </cell>
          <cell r="J1367" t="str">
            <v>WF2</v>
          </cell>
          <cell r="K1367" t="str">
            <v>2201</v>
          </cell>
          <cell r="L1367" t="str">
            <v>PU COATING</v>
          </cell>
          <cell r="M1367" t="str">
            <v>220117</v>
          </cell>
          <cell r="N1367" t="str">
            <v>PROPAN PU</v>
          </cell>
        </row>
        <row r="1368">
          <cell r="C1368" t="str">
            <v>100004296</v>
          </cell>
          <cell r="D1368" t="str">
            <v>PUL-747 2K MỜ 50% VN-16KP</v>
          </cell>
          <cell r="E1368" t="str">
            <v>ZFGD</v>
          </cell>
          <cell r="F1368" t="str">
            <v>PC</v>
          </cell>
          <cell r="G1368" t="str">
            <v>2</v>
          </cell>
          <cell r="H1368" t="str">
            <v>RETAIL</v>
          </cell>
          <cell r="I1368" t="str">
            <v>22</v>
          </cell>
          <cell r="J1368" t="str">
            <v>WF2</v>
          </cell>
          <cell r="K1368" t="str">
            <v>2201</v>
          </cell>
          <cell r="L1368" t="str">
            <v>PU COATING</v>
          </cell>
          <cell r="M1368" t="str">
            <v>220117</v>
          </cell>
          <cell r="N1368" t="str">
            <v>PROPAN PU</v>
          </cell>
        </row>
        <row r="1369">
          <cell r="C1369" t="str">
            <v>100004297</v>
          </cell>
          <cell r="D1369" t="str">
            <v>PUL-747 2K MỜ 30% VN-16KP</v>
          </cell>
          <cell r="E1369" t="str">
            <v>ZFGD</v>
          </cell>
          <cell r="F1369" t="str">
            <v>PC</v>
          </cell>
          <cell r="G1369" t="str">
            <v>2</v>
          </cell>
          <cell r="H1369" t="str">
            <v>RETAIL</v>
          </cell>
          <cell r="I1369" t="str">
            <v>22</v>
          </cell>
          <cell r="J1369" t="str">
            <v>WF2</v>
          </cell>
          <cell r="K1369" t="str">
            <v>2201</v>
          </cell>
          <cell r="L1369" t="str">
            <v>PU COATING</v>
          </cell>
          <cell r="M1369" t="str">
            <v>220117</v>
          </cell>
          <cell r="N1369" t="str">
            <v>PROPAN PU</v>
          </cell>
        </row>
        <row r="1370">
          <cell r="C1370" t="str">
            <v>100004301</v>
          </cell>
          <cell r="D1370" t="str">
            <v>PUL-765 2K BÓNG 100% VN-1KS</v>
          </cell>
          <cell r="E1370" t="str">
            <v>ZFGD</v>
          </cell>
          <cell r="F1370" t="str">
            <v>SET</v>
          </cell>
          <cell r="G1370" t="str">
            <v>2</v>
          </cell>
          <cell r="H1370" t="str">
            <v>RETAIL</v>
          </cell>
          <cell r="I1370" t="str">
            <v>22</v>
          </cell>
          <cell r="J1370" t="str">
            <v>WF2</v>
          </cell>
          <cell r="K1370" t="str">
            <v>2216</v>
          </cell>
          <cell r="L1370" t="str">
            <v>PU MULTIPURPOSE</v>
          </cell>
          <cell r="M1370" t="str">
            <v>221601</v>
          </cell>
          <cell r="N1370" t="str">
            <v>PROPAN MP PU ACR RMX</v>
          </cell>
        </row>
        <row r="1371">
          <cell r="C1371" t="str">
            <v>100004302</v>
          </cell>
          <cell r="D1371" t="str">
            <v>PUL-765 2K MỜ 50% VN-1KS</v>
          </cell>
          <cell r="E1371" t="str">
            <v>ZFGD</v>
          </cell>
          <cell r="F1371" t="str">
            <v>SET</v>
          </cell>
          <cell r="G1371" t="str">
            <v>2</v>
          </cell>
          <cell r="H1371" t="str">
            <v>RETAIL</v>
          </cell>
          <cell r="I1371" t="str">
            <v>22</v>
          </cell>
          <cell r="J1371" t="str">
            <v>WF2</v>
          </cell>
          <cell r="K1371" t="str">
            <v>2216</v>
          </cell>
          <cell r="L1371" t="str">
            <v>PU MULTIPURPOSE</v>
          </cell>
          <cell r="M1371" t="str">
            <v>221601</v>
          </cell>
          <cell r="N1371" t="str">
            <v>PROPAN MP PU ACR RMX</v>
          </cell>
        </row>
        <row r="1372">
          <cell r="C1372" t="str">
            <v>100004303</v>
          </cell>
          <cell r="D1372" t="str">
            <v>PUL-765 2K MỜ 70% VN-1KS</v>
          </cell>
          <cell r="E1372" t="str">
            <v>ZFGD</v>
          </cell>
          <cell r="F1372" t="str">
            <v>SET</v>
          </cell>
          <cell r="G1372" t="str">
            <v>2</v>
          </cell>
          <cell r="H1372" t="str">
            <v>RETAIL</v>
          </cell>
          <cell r="I1372" t="str">
            <v>22</v>
          </cell>
          <cell r="J1372" t="str">
            <v>WF2</v>
          </cell>
          <cell r="K1372" t="str">
            <v>2216</v>
          </cell>
          <cell r="L1372" t="str">
            <v>PU MULTIPURPOSE</v>
          </cell>
          <cell r="M1372" t="str">
            <v>221601</v>
          </cell>
          <cell r="N1372" t="str">
            <v>PROPAN MP PU ACR RMX</v>
          </cell>
        </row>
        <row r="1373">
          <cell r="C1373" t="str">
            <v>100004304</v>
          </cell>
          <cell r="D1373" t="str">
            <v>PUL-765 2K MỜ 90% VN-1KS</v>
          </cell>
          <cell r="E1373" t="str">
            <v>ZFGD</v>
          </cell>
          <cell r="F1373" t="str">
            <v>SET</v>
          </cell>
          <cell r="G1373" t="str">
            <v>2</v>
          </cell>
          <cell r="H1373" t="str">
            <v>RETAIL</v>
          </cell>
          <cell r="I1373" t="str">
            <v>22</v>
          </cell>
          <cell r="J1373" t="str">
            <v>WF2</v>
          </cell>
          <cell r="K1373" t="str">
            <v>2216</v>
          </cell>
          <cell r="L1373" t="str">
            <v>PU MULTIPURPOSE</v>
          </cell>
          <cell r="M1373" t="str">
            <v>221601</v>
          </cell>
          <cell r="N1373" t="str">
            <v>PROPAN MP PU ACR RMX</v>
          </cell>
        </row>
        <row r="1374">
          <cell r="C1374" t="str">
            <v>100004305</v>
          </cell>
          <cell r="D1374" t="str">
            <v>PUC-786 2K ĐEN BÓNG SK012 VN-1KS</v>
          </cell>
          <cell r="E1374" t="str">
            <v>ZFGD</v>
          </cell>
          <cell r="F1374" t="str">
            <v>SET</v>
          </cell>
          <cell r="G1374" t="str">
            <v>2</v>
          </cell>
          <cell r="H1374" t="str">
            <v>RETAIL</v>
          </cell>
          <cell r="I1374" t="str">
            <v>22</v>
          </cell>
          <cell r="J1374" t="str">
            <v>WF2</v>
          </cell>
          <cell r="K1374" t="str">
            <v>2216</v>
          </cell>
          <cell r="L1374" t="str">
            <v>PU MULTIPURPOSE</v>
          </cell>
          <cell r="M1374" t="str">
            <v>221601</v>
          </cell>
          <cell r="N1374" t="str">
            <v>PROPAN MP PU ACR RMX</v>
          </cell>
        </row>
        <row r="1375">
          <cell r="C1375" t="str">
            <v>100004306</v>
          </cell>
          <cell r="D1375" t="str">
            <v>PUC-786 2K CHILI RED GLOSS VN-1KS</v>
          </cell>
          <cell r="E1375" t="str">
            <v>ZFGD</v>
          </cell>
          <cell r="F1375" t="str">
            <v>SET</v>
          </cell>
          <cell r="G1375" t="str">
            <v>2</v>
          </cell>
          <cell r="H1375" t="str">
            <v>RETAIL</v>
          </cell>
          <cell r="I1375" t="str">
            <v>22</v>
          </cell>
          <cell r="J1375" t="str">
            <v>WF2</v>
          </cell>
          <cell r="K1375" t="str">
            <v>2216</v>
          </cell>
          <cell r="L1375" t="str">
            <v>PU MULTIPURPOSE</v>
          </cell>
          <cell r="M1375" t="str">
            <v>221601</v>
          </cell>
          <cell r="N1375" t="str">
            <v>PROPAN MP PU ACR RMX</v>
          </cell>
        </row>
        <row r="1376">
          <cell r="C1376" t="str">
            <v>100004307</v>
          </cell>
          <cell r="D1376" t="str">
            <v>PUC-786 2K KEM LỢT SK002 VN-1KS</v>
          </cell>
          <cell r="E1376" t="str">
            <v>ZFGD</v>
          </cell>
          <cell r="F1376" t="str">
            <v>SET</v>
          </cell>
          <cell r="G1376" t="str">
            <v>2</v>
          </cell>
          <cell r="H1376" t="str">
            <v>RETAIL</v>
          </cell>
          <cell r="I1376" t="str">
            <v>22</v>
          </cell>
          <cell r="J1376" t="str">
            <v>WF2</v>
          </cell>
          <cell r="K1376" t="str">
            <v>2216</v>
          </cell>
          <cell r="L1376" t="str">
            <v>PU MULTIPURPOSE</v>
          </cell>
          <cell r="M1376" t="str">
            <v>221601</v>
          </cell>
          <cell r="N1376" t="str">
            <v>PROPAN MP PU ACR RMX</v>
          </cell>
        </row>
        <row r="1377">
          <cell r="C1377" t="str">
            <v>100004308</v>
          </cell>
          <cell r="D1377" t="str">
            <v>PUC-786 2K TRẮNG BÓNG SK006 VN-1KS</v>
          </cell>
          <cell r="E1377" t="str">
            <v>ZFGD</v>
          </cell>
          <cell r="F1377" t="str">
            <v>SET</v>
          </cell>
          <cell r="G1377" t="str">
            <v>2</v>
          </cell>
          <cell r="H1377" t="str">
            <v>RETAIL</v>
          </cell>
          <cell r="I1377" t="str">
            <v>22</v>
          </cell>
          <cell r="J1377" t="str">
            <v>WF2</v>
          </cell>
          <cell r="K1377" t="str">
            <v>2216</v>
          </cell>
          <cell r="L1377" t="str">
            <v>PU MULTIPURPOSE</v>
          </cell>
          <cell r="M1377" t="str">
            <v>221601</v>
          </cell>
          <cell r="N1377" t="str">
            <v>PROPAN MP PU ACR RMX</v>
          </cell>
        </row>
        <row r="1378">
          <cell r="C1378" t="str">
            <v>100004309</v>
          </cell>
          <cell r="D1378" t="str">
            <v>PUC-786 2K LEMON YELLOW GLOSS VN-1KS</v>
          </cell>
          <cell r="E1378" t="str">
            <v>ZFGD</v>
          </cell>
          <cell r="F1378" t="str">
            <v>SET</v>
          </cell>
          <cell r="G1378" t="str">
            <v>2</v>
          </cell>
          <cell r="H1378" t="str">
            <v>RETAIL</v>
          </cell>
          <cell r="I1378" t="str">
            <v>22</v>
          </cell>
          <cell r="J1378" t="str">
            <v>WF2</v>
          </cell>
          <cell r="K1378" t="str">
            <v>2216</v>
          </cell>
          <cell r="L1378" t="str">
            <v>PU MULTIPURPOSE</v>
          </cell>
          <cell r="M1378" t="str">
            <v>221601</v>
          </cell>
          <cell r="N1378" t="str">
            <v>PROPAN MP PU ACR RMX</v>
          </cell>
        </row>
        <row r="1379">
          <cell r="C1379" t="str">
            <v>100004310</v>
          </cell>
          <cell r="D1379" t="str">
            <v>PUC-786 2K XÁM ĐẬM SK004 VN-1KS</v>
          </cell>
          <cell r="E1379" t="str">
            <v>ZFGD</v>
          </cell>
          <cell r="F1379" t="str">
            <v>SET</v>
          </cell>
          <cell r="G1379" t="str">
            <v>2</v>
          </cell>
          <cell r="H1379" t="str">
            <v>RETAIL</v>
          </cell>
          <cell r="I1379" t="str">
            <v>22</v>
          </cell>
          <cell r="J1379" t="str">
            <v>WF2</v>
          </cell>
          <cell r="K1379" t="str">
            <v>2216</v>
          </cell>
          <cell r="L1379" t="str">
            <v>PU MULTIPURPOSE</v>
          </cell>
          <cell r="M1379" t="str">
            <v>221601</v>
          </cell>
          <cell r="N1379" t="str">
            <v>PROPAN MP PU ACR RMX</v>
          </cell>
        </row>
        <row r="1380">
          <cell r="C1380" t="str">
            <v>100004311</v>
          </cell>
          <cell r="D1380" t="str">
            <v>PUC-786 2K XÁM NHẠT SK011 VN-1KS</v>
          </cell>
          <cell r="E1380" t="str">
            <v>ZFGD</v>
          </cell>
          <cell r="F1380" t="str">
            <v>SET</v>
          </cell>
          <cell r="G1380" t="str">
            <v>2</v>
          </cell>
          <cell r="H1380" t="str">
            <v>RETAIL</v>
          </cell>
          <cell r="I1380" t="str">
            <v>22</v>
          </cell>
          <cell r="J1380" t="str">
            <v>WF2</v>
          </cell>
          <cell r="K1380" t="str">
            <v>2216</v>
          </cell>
          <cell r="L1380" t="str">
            <v>PU MULTIPURPOSE</v>
          </cell>
          <cell r="M1380" t="str">
            <v>221601</v>
          </cell>
          <cell r="N1380" t="str">
            <v>PROPAN MP PU ACR RMX</v>
          </cell>
        </row>
        <row r="1381">
          <cell r="C1381" t="str">
            <v>100004312</v>
          </cell>
          <cell r="D1381" t="str">
            <v>PUC-786 2K XANH CHUỐI SK005 VN-1KS</v>
          </cell>
          <cell r="E1381" t="str">
            <v>ZFGD</v>
          </cell>
          <cell r="F1381" t="str">
            <v>SET</v>
          </cell>
          <cell r="G1381" t="str">
            <v>2</v>
          </cell>
          <cell r="H1381" t="str">
            <v>RETAIL</v>
          </cell>
          <cell r="I1381" t="str">
            <v>22</v>
          </cell>
          <cell r="J1381" t="str">
            <v>WF2</v>
          </cell>
          <cell r="K1381" t="str">
            <v>2216</v>
          </cell>
          <cell r="L1381" t="str">
            <v>PU MULTIPURPOSE</v>
          </cell>
          <cell r="M1381" t="str">
            <v>221601</v>
          </cell>
          <cell r="N1381" t="str">
            <v>PROPAN MP PU ACR RMX</v>
          </cell>
        </row>
        <row r="1382">
          <cell r="C1382" t="str">
            <v>100004313</v>
          </cell>
          <cell r="D1382" t="str">
            <v>PUC-786 2K XANH DA TRỜI SK007 VN-1KS</v>
          </cell>
          <cell r="E1382" t="str">
            <v>ZFGD</v>
          </cell>
          <cell r="F1382" t="str">
            <v>SET</v>
          </cell>
          <cell r="G1382" t="str">
            <v>2</v>
          </cell>
          <cell r="H1382" t="str">
            <v>RETAIL</v>
          </cell>
          <cell r="I1382" t="str">
            <v>22</v>
          </cell>
          <cell r="J1382" t="str">
            <v>WF2</v>
          </cell>
          <cell r="K1382" t="str">
            <v>2216</v>
          </cell>
          <cell r="L1382" t="str">
            <v>PU MULTIPURPOSE</v>
          </cell>
          <cell r="M1382" t="str">
            <v>221601</v>
          </cell>
          <cell r="N1382" t="str">
            <v>PROPAN MP PU ACR RMX</v>
          </cell>
        </row>
        <row r="1383">
          <cell r="C1383" t="str">
            <v>100004314</v>
          </cell>
          <cell r="D1383" t="str">
            <v>PUC-786 2K XANH ĐẬM SK009 VN-1KS</v>
          </cell>
          <cell r="E1383" t="str">
            <v>ZFGD</v>
          </cell>
          <cell r="F1383" t="str">
            <v>SET</v>
          </cell>
          <cell r="G1383" t="str">
            <v>2</v>
          </cell>
          <cell r="H1383" t="str">
            <v>RETAIL</v>
          </cell>
          <cell r="I1383" t="str">
            <v>22</v>
          </cell>
          <cell r="J1383" t="str">
            <v>WF2</v>
          </cell>
          <cell r="K1383" t="str">
            <v>2216</v>
          </cell>
          <cell r="L1383" t="str">
            <v>PU MULTIPURPOSE</v>
          </cell>
          <cell r="M1383" t="str">
            <v>221601</v>
          </cell>
          <cell r="N1383" t="str">
            <v>PROPAN MP PU ACR RMX</v>
          </cell>
        </row>
        <row r="1384">
          <cell r="C1384" t="str">
            <v>100004315</v>
          </cell>
          <cell r="D1384" t="str">
            <v>PUC-786 2K XANH DƯƠNG SK008 VN-1KS</v>
          </cell>
          <cell r="E1384" t="str">
            <v>ZFGD</v>
          </cell>
          <cell r="F1384" t="str">
            <v>SET</v>
          </cell>
          <cell r="G1384" t="str">
            <v>2</v>
          </cell>
          <cell r="H1384" t="str">
            <v>RETAIL</v>
          </cell>
          <cell r="I1384" t="str">
            <v>22</v>
          </cell>
          <cell r="J1384" t="str">
            <v>WF2</v>
          </cell>
          <cell r="K1384" t="str">
            <v>2216</v>
          </cell>
          <cell r="L1384" t="str">
            <v>PU MULTIPURPOSE</v>
          </cell>
          <cell r="M1384" t="str">
            <v>221601</v>
          </cell>
          <cell r="N1384" t="str">
            <v>PROPAN MP PU ACR RMX</v>
          </cell>
        </row>
        <row r="1385">
          <cell r="C1385" t="str">
            <v>100004316</v>
          </cell>
          <cell r="D1385" t="str">
            <v>PUC-786 2K XANH NGỌC SK010 VN-1KS</v>
          </cell>
          <cell r="E1385" t="str">
            <v>ZFGD</v>
          </cell>
          <cell r="F1385" t="str">
            <v>SET</v>
          </cell>
          <cell r="G1385" t="str">
            <v>2</v>
          </cell>
          <cell r="H1385" t="str">
            <v>RETAIL</v>
          </cell>
          <cell r="I1385" t="str">
            <v>22</v>
          </cell>
          <cell r="J1385" t="str">
            <v>WF2</v>
          </cell>
          <cell r="K1385" t="str">
            <v>2216</v>
          </cell>
          <cell r="L1385" t="str">
            <v>PU MULTIPURPOSE</v>
          </cell>
          <cell r="M1385" t="str">
            <v>221601</v>
          </cell>
          <cell r="N1385" t="str">
            <v>PROPAN MP PU ACR RMX</v>
          </cell>
        </row>
        <row r="1386">
          <cell r="C1386" t="str">
            <v>100004317</v>
          </cell>
          <cell r="D1386" t="str">
            <v>PUSS-760 2K LÓT TRONG VN-1KS</v>
          </cell>
          <cell r="E1386" t="str">
            <v>ZFGD</v>
          </cell>
          <cell r="F1386" t="str">
            <v>SET</v>
          </cell>
          <cell r="G1386" t="str">
            <v>2</v>
          </cell>
          <cell r="H1386" t="str">
            <v>RETAIL</v>
          </cell>
          <cell r="I1386" t="str">
            <v>22</v>
          </cell>
          <cell r="J1386" t="str">
            <v>WF2</v>
          </cell>
          <cell r="K1386" t="str">
            <v>2216</v>
          </cell>
          <cell r="L1386" t="str">
            <v>PU MULTIPURPOSE</v>
          </cell>
          <cell r="M1386" t="str">
            <v>221601</v>
          </cell>
          <cell r="N1386" t="str">
            <v>PROPAN MP PU ACR RMX</v>
          </cell>
        </row>
        <row r="1387">
          <cell r="C1387" t="str">
            <v>100004318</v>
          </cell>
          <cell r="D1387" t="str">
            <v>PUSF-781 2K LÓT TRẮNG VN-1KS</v>
          </cell>
          <cell r="E1387" t="str">
            <v>ZFGD</v>
          </cell>
          <cell r="F1387" t="str">
            <v>SET</v>
          </cell>
          <cell r="G1387" t="str">
            <v>2</v>
          </cell>
          <cell r="H1387" t="str">
            <v>RETAIL</v>
          </cell>
          <cell r="I1387" t="str">
            <v>22</v>
          </cell>
          <cell r="J1387" t="str">
            <v>WF2</v>
          </cell>
          <cell r="K1387" t="str">
            <v>2216</v>
          </cell>
          <cell r="L1387" t="str">
            <v>PU MULTIPURPOSE</v>
          </cell>
          <cell r="M1387" t="str">
            <v>221601</v>
          </cell>
          <cell r="N1387" t="str">
            <v>PROPAN MP PU ACR RMX</v>
          </cell>
        </row>
        <row r="1388">
          <cell r="C1388" t="str">
            <v>100004319</v>
          </cell>
          <cell r="D1388" t="str">
            <v>PUL-765 2K BÓNG 100% VN-5KS</v>
          </cell>
          <cell r="E1388" t="str">
            <v>ZFGD</v>
          </cell>
          <cell r="F1388" t="str">
            <v>SET</v>
          </cell>
          <cell r="G1388" t="str">
            <v>2</v>
          </cell>
          <cell r="H1388" t="str">
            <v>RETAIL</v>
          </cell>
          <cell r="I1388" t="str">
            <v>22</v>
          </cell>
          <cell r="J1388" t="str">
            <v>WF2</v>
          </cell>
          <cell r="K1388" t="str">
            <v>2216</v>
          </cell>
          <cell r="L1388" t="str">
            <v>PU MULTIPURPOSE</v>
          </cell>
          <cell r="M1388" t="str">
            <v>221601</v>
          </cell>
          <cell r="N1388" t="str">
            <v>PROPAN MP PU ACR RMX</v>
          </cell>
        </row>
        <row r="1389">
          <cell r="C1389" t="str">
            <v>100004320</v>
          </cell>
          <cell r="D1389" t="str">
            <v>PUL-765 2K MỜ 50% VN-5KS</v>
          </cell>
          <cell r="E1389" t="str">
            <v>ZFGD</v>
          </cell>
          <cell r="F1389" t="str">
            <v>SET</v>
          </cell>
          <cell r="G1389" t="str">
            <v>2</v>
          </cell>
          <cell r="H1389" t="str">
            <v>RETAIL</v>
          </cell>
          <cell r="I1389" t="str">
            <v>22</v>
          </cell>
          <cell r="J1389" t="str">
            <v>WF2</v>
          </cell>
          <cell r="K1389" t="str">
            <v>2216</v>
          </cell>
          <cell r="L1389" t="str">
            <v>PU MULTIPURPOSE</v>
          </cell>
          <cell r="M1389" t="str">
            <v>221601</v>
          </cell>
          <cell r="N1389" t="str">
            <v>PROPAN MP PU ACR RMX</v>
          </cell>
        </row>
        <row r="1390">
          <cell r="C1390" t="str">
            <v>100004321</v>
          </cell>
          <cell r="D1390" t="str">
            <v>PUL-765 2K MỜ 70% VN-5KS</v>
          </cell>
          <cell r="E1390" t="str">
            <v>ZFGD</v>
          </cell>
          <cell r="F1390" t="str">
            <v>SET</v>
          </cell>
          <cell r="G1390" t="str">
            <v>2</v>
          </cell>
          <cell r="H1390" t="str">
            <v>RETAIL</v>
          </cell>
          <cell r="I1390" t="str">
            <v>22</v>
          </cell>
          <cell r="J1390" t="str">
            <v>WF2</v>
          </cell>
          <cell r="K1390" t="str">
            <v>2216</v>
          </cell>
          <cell r="L1390" t="str">
            <v>PU MULTIPURPOSE</v>
          </cell>
          <cell r="M1390" t="str">
            <v>221601</v>
          </cell>
          <cell r="N1390" t="str">
            <v>PROPAN MP PU ACR RMX</v>
          </cell>
        </row>
        <row r="1391">
          <cell r="C1391" t="str">
            <v>100004322</v>
          </cell>
          <cell r="D1391" t="str">
            <v>PUL-765 2K MỜ 90% VN-5KS</v>
          </cell>
          <cell r="E1391" t="str">
            <v>ZFGD</v>
          </cell>
          <cell r="F1391" t="str">
            <v>SET</v>
          </cell>
          <cell r="G1391" t="str">
            <v>2</v>
          </cell>
          <cell r="H1391" t="str">
            <v>RETAIL</v>
          </cell>
          <cell r="I1391" t="str">
            <v>22</v>
          </cell>
          <cell r="J1391" t="str">
            <v>WF2</v>
          </cell>
          <cell r="K1391" t="str">
            <v>2216</v>
          </cell>
          <cell r="L1391" t="str">
            <v>PU MULTIPURPOSE</v>
          </cell>
          <cell r="M1391" t="str">
            <v>221601</v>
          </cell>
          <cell r="N1391" t="str">
            <v>PROPAN MP PU ACR RMX</v>
          </cell>
        </row>
        <row r="1392">
          <cell r="C1392" t="str">
            <v>100004323</v>
          </cell>
          <cell r="D1392" t="str">
            <v>PUC-786 2K ĐEN BÓNG SK012 VN-5KS</v>
          </cell>
          <cell r="E1392" t="str">
            <v>ZFGD</v>
          </cell>
          <cell r="F1392" t="str">
            <v>SET</v>
          </cell>
          <cell r="G1392" t="str">
            <v>2</v>
          </cell>
          <cell r="H1392" t="str">
            <v>RETAIL</v>
          </cell>
          <cell r="I1392" t="str">
            <v>22</v>
          </cell>
          <cell r="J1392" t="str">
            <v>WF2</v>
          </cell>
          <cell r="K1392" t="str">
            <v>2216</v>
          </cell>
          <cell r="L1392" t="str">
            <v>PU MULTIPURPOSE</v>
          </cell>
          <cell r="M1392" t="str">
            <v>221601</v>
          </cell>
          <cell r="N1392" t="str">
            <v>PROPAN MP PU ACR RMX</v>
          </cell>
        </row>
        <row r="1393">
          <cell r="C1393" t="str">
            <v>100004324</v>
          </cell>
          <cell r="D1393" t="str">
            <v>PUC-786 2K CHILI RED GLOSS VN-5KS</v>
          </cell>
          <cell r="E1393" t="str">
            <v>ZFGD</v>
          </cell>
          <cell r="F1393" t="str">
            <v>SET</v>
          </cell>
          <cell r="G1393" t="str">
            <v>2</v>
          </cell>
          <cell r="H1393" t="str">
            <v>RETAIL</v>
          </cell>
          <cell r="I1393" t="str">
            <v>22</v>
          </cell>
          <cell r="J1393" t="str">
            <v>WF2</v>
          </cell>
          <cell r="K1393" t="str">
            <v>2216</v>
          </cell>
          <cell r="L1393" t="str">
            <v>PU MULTIPURPOSE</v>
          </cell>
          <cell r="M1393" t="str">
            <v>221601</v>
          </cell>
          <cell r="N1393" t="str">
            <v>PROPAN MP PU ACR RMX</v>
          </cell>
        </row>
        <row r="1394">
          <cell r="C1394" t="str">
            <v>100004325</v>
          </cell>
          <cell r="D1394" t="str">
            <v>PUC-786 2K KEM LỢT SK002 VN-5KS</v>
          </cell>
          <cell r="E1394" t="str">
            <v>ZFGD</v>
          </cell>
          <cell r="F1394" t="str">
            <v>SET</v>
          </cell>
          <cell r="G1394" t="str">
            <v>2</v>
          </cell>
          <cell r="H1394" t="str">
            <v>RETAIL</v>
          </cell>
          <cell r="I1394" t="str">
            <v>22</v>
          </cell>
          <cell r="J1394" t="str">
            <v>WF2</v>
          </cell>
          <cell r="K1394" t="str">
            <v>2216</v>
          </cell>
          <cell r="L1394" t="str">
            <v>PU MULTIPURPOSE</v>
          </cell>
          <cell r="M1394" t="str">
            <v>221601</v>
          </cell>
          <cell r="N1394" t="str">
            <v>PROPAN MP PU ACR RMX</v>
          </cell>
        </row>
        <row r="1395">
          <cell r="C1395" t="str">
            <v>100004326</v>
          </cell>
          <cell r="D1395" t="str">
            <v>PUC-786 2K TRẮNG BÓNG SK006 VN-5KS</v>
          </cell>
          <cell r="E1395" t="str">
            <v>ZFGD</v>
          </cell>
          <cell r="F1395" t="str">
            <v>SET</v>
          </cell>
          <cell r="G1395" t="str">
            <v>2</v>
          </cell>
          <cell r="H1395" t="str">
            <v>RETAIL</v>
          </cell>
          <cell r="I1395" t="str">
            <v>22</v>
          </cell>
          <cell r="J1395" t="str">
            <v>WF2</v>
          </cell>
          <cell r="K1395" t="str">
            <v>2216</v>
          </cell>
          <cell r="L1395" t="str">
            <v>PU MULTIPURPOSE</v>
          </cell>
          <cell r="M1395" t="str">
            <v>221601</v>
          </cell>
          <cell r="N1395" t="str">
            <v>PROPAN MP PU ACR RMX</v>
          </cell>
        </row>
        <row r="1396">
          <cell r="C1396" t="str">
            <v>100004327</v>
          </cell>
          <cell r="D1396" t="str">
            <v>PUC-786 2K LEMON YELLOW GLOSS VN-5KS</v>
          </cell>
          <cell r="E1396" t="str">
            <v>ZFGD</v>
          </cell>
          <cell r="F1396" t="str">
            <v>SET</v>
          </cell>
          <cell r="G1396" t="str">
            <v>2</v>
          </cell>
          <cell r="H1396" t="str">
            <v>RETAIL</v>
          </cell>
          <cell r="I1396" t="str">
            <v>22</v>
          </cell>
          <cell r="J1396" t="str">
            <v>WF2</v>
          </cell>
          <cell r="K1396" t="str">
            <v>2216</v>
          </cell>
          <cell r="L1396" t="str">
            <v>PU MULTIPURPOSE</v>
          </cell>
          <cell r="M1396" t="str">
            <v>221601</v>
          </cell>
          <cell r="N1396" t="str">
            <v>PROPAN MP PU ACR RMX</v>
          </cell>
        </row>
        <row r="1397">
          <cell r="C1397" t="str">
            <v>100004328</v>
          </cell>
          <cell r="D1397" t="str">
            <v>PUC-786 2K XÁM ĐẬM SK004 VN-5KS</v>
          </cell>
          <cell r="E1397" t="str">
            <v>ZFGD</v>
          </cell>
          <cell r="F1397" t="str">
            <v>SET</v>
          </cell>
          <cell r="G1397" t="str">
            <v>2</v>
          </cell>
          <cell r="H1397" t="str">
            <v>RETAIL</v>
          </cell>
          <cell r="I1397" t="str">
            <v>22</v>
          </cell>
          <cell r="J1397" t="str">
            <v>WF2</v>
          </cell>
          <cell r="K1397" t="str">
            <v>2216</v>
          </cell>
          <cell r="L1397" t="str">
            <v>PU MULTIPURPOSE</v>
          </cell>
          <cell r="M1397" t="str">
            <v>221601</v>
          </cell>
          <cell r="N1397" t="str">
            <v>PROPAN MP PU ACR RMX</v>
          </cell>
        </row>
        <row r="1398">
          <cell r="C1398" t="str">
            <v>100004329</v>
          </cell>
          <cell r="D1398" t="str">
            <v>PUC-786 2K XÁM NHẠT SK011 VN-5KS</v>
          </cell>
          <cell r="E1398" t="str">
            <v>ZFGD</v>
          </cell>
          <cell r="F1398" t="str">
            <v>SET</v>
          </cell>
          <cell r="G1398" t="str">
            <v>2</v>
          </cell>
          <cell r="H1398" t="str">
            <v>RETAIL</v>
          </cell>
          <cell r="I1398" t="str">
            <v>22</v>
          </cell>
          <cell r="J1398" t="str">
            <v>WF2</v>
          </cell>
          <cell r="K1398" t="str">
            <v>2216</v>
          </cell>
          <cell r="L1398" t="str">
            <v>PU MULTIPURPOSE</v>
          </cell>
          <cell r="M1398" t="str">
            <v>221601</v>
          </cell>
          <cell r="N1398" t="str">
            <v>PROPAN MP PU ACR RMX</v>
          </cell>
        </row>
        <row r="1399">
          <cell r="C1399" t="str">
            <v>100004330</v>
          </cell>
          <cell r="D1399" t="str">
            <v>PUC-786 2K XANH CHUỐI SK005 VN-5KS</v>
          </cell>
          <cell r="E1399" t="str">
            <v>ZFGD</v>
          </cell>
          <cell r="F1399" t="str">
            <v>SET</v>
          </cell>
          <cell r="G1399" t="str">
            <v>2</v>
          </cell>
          <cell r="H1399" t="str">
            <v>RETAIL</v>
          </cell>
          <cell r="I1399" t="str">
            <v>22</v>
          </cell>
          <cell r="J1399" t="str">
            <v>WF2</v>
          </cell>
          <cell r="K1399" t="str">
            <v>2216</v>
          </cell>
          <cell r="L1399" t="str">
            <v>PU MULTIPURPOSE</v>
          </cell>
          <cell r="M1399" t="str">
            <v>221601</v>
          </cell>
          <cell r="N1399" t="str">
            <v>PROPAN MP PU ACR RMX</v>
          </cell>
        </row>
        <row r="1400">
          <cell r="C1400" t="str">
            <v>100004331</v>
          </cell>
          <cell r="D1400" t="str">
            <v>PUC-786 2K XANH DA TRỜI SK007 VN-5KS</v>
          </cell>
          <cell r="E1400" t="str">
            <v>ZFGD</v>
          </cell>
          <cell r="F1400" t="str">
            <v>SET</v>
          </cell>
          <cell r="G1400" t="str">
            <v>2</v>
          </cell>
          <cell r="H1400" t="str">
            <v>RETAIL</v>
          </cell>
          <cell r="I1400" t="str">
            <v>22</v>
          </cell>
          <cell r="J1400" t="str">
            <v>WF2</v>
          </cell>
          <cell r="K1400" t="str">
            <v>2216</v>
          </cell>
          <cell r="L1400" t="str">
            <v>PU MULTIPURPOSE</v>
          </cell>
          <cell r="M1400" t="str">
            <v>221601</v>
          </cell>
          <cell r="N1400" t="str">
            <v>PROPAN MP PU ACR RMX</v>
          </cell>
        </row>
        <row r="1401">
          <cell r="C1401" t="str">
            <v>100004332</v>
          </cell>
          <cell r="D1401" t="str">
            <v>PUC-786 2K XANH ĐẬM SK009 VN-5KS</v>
          </cell>
          <cell r="E1401" t="str">
            <v>ZFGD</v>
          </cell>
          <cell r="F1401" t="str">
            <v>SET</v>
          </cell>
          <cell r="G1401" t="str">
            <v>2</v>
          </cell>
          <cell r="H1401" t="str">
            <v>RETAIL</v>
          </cell>
          <cell r="I1401" t="str">
            <v>22</v>
          </cell>
          <cell r="J1401" t="str">
            <v>WF2</v>
          </cell>
          <cell r="K1401" t="str">
            <v>2216</v>
          </cell>
          <cell r="L1401" t="str">
            <v>PU MULTIPURPOSE</v>
          </cell>
          <cell r="M1401" t="str">
            <v>221601</v>
          </cell>
          <cell r="N1401" t="str">
            <v>PROPAN MP PU ACR RMX</v>
          </cell>
        </row>
        <row r="1402">
          <cell r="C1402" t="str">
            <v>100004333</v>
          </cell>
          <cell r="D1402" t="str">
            <v>PUC-786 2K XANH DƯƠNG SK008 VN-5KS</v>
          </cell>
          <cell r="E1402" t="str">
            <v>ZFGD</v>
          </cell>
          <cell r="F1402" t="str">
            <v>SET</v>
          </cell>
          <cell r="G1402" t="str">
            <v>2</v>
          </cell>
          <cell r="H1402" t="str">
            <v>RETAIL</v>
          </cell>
          <cell r="I1402" t="str">
            <v>22</v>
          </cell>
          <cell r="J1402" t="str">
            <v>WF2</v>
          </cell>
          <cell r="K1402" t="str">
            <v>2216</v>
          </cell>
          <cell r="L1402" t="str">
            <v>PU MULTIPURPOSE</v>
          </cell>
          <cell r="M1402" t="str">
            <v>221601</v>
          </cell>
          <cell r="N1402" t="str">
            <v>PROPAN MP PU ACR RMX</v>
          </cell>
        </row>
        <row r="1403">
          <cell r="C1403" t="str">
            <v>100004334</v>
          </cell>
          <cell r="D1403" t="str">
            <v>PUC-786 2K XANH NGỌC SK010 VN-5KS</v>
          </cell>
          <cell r="E1403" t="str">
            <v>ZFGD</v>
          </cell>
          <cell r="F1403" t="str">
            <v>SET</v>
          </cell>
          <cell r="G1403" t="str">
            <v>2</v>
          </cell>
          <cell r="H1403" t="str">
            <v>RETAIL</v>
          </cell>
          <cell r="I1403" t="str">
            <v>22</v>
          </cell>
          <cell r="J1403" t="str">
            <v>WF2</v>
          </cell>
          <cell r="K1403" t="str">
            <v>2216</v>
          </cell>
          <cell r="L1403" t="str">
            <v>PU MULTIPURPOSE</v>
          </cell>
          <cell r="M1403" t="str">
            <v>221601</v>
          </cell>
          <cell r="N1403" t="str">
            <v>PROPAN MP PU ACR RMX</v>
          </cell>
        </row>
        <row r="1404">
          <cell r="C1404" t="str">
            <v>100004335</v>
          </cell>
          <cell r="D1404" t="str">
            <v>PUSS-760 2K LÓT TRONG VN-5KS</v>
          </cell>
          <cell r="E1404" t="str">
            <v>ZFGD</v>
          </cell>
          <cell r="F1404" t="str">
            <v>SET</v>
          </cell>
          <cell r="G1404" t="str">
            <v>2</v>
          </cell>
          <cell r="H1404" t="str">
            <v>RETAIL</v>
          </cell>
          <cell r="I1404" t="str">
            <v>22</v>
          </cell>
          <cell r="J1404" t="str">
            <v>WF2</v>
          </cell>
          <cell r="K1404" t="str">
            <v>2216</v>
          </cell>
          <cell r="L1404" t="str">
            <v>PU MULTIPURPOSE</v>
          </cell>
          <cell r="M1404" t="str">
            <v>221601</v>
          </cell>
          <cell r="N1404" t="str">
            <v>PROPAN MP PU ACR RMX</v>
          </cell>
        </row>
        <row r="1405">
          <cell r="C1405" t="str">
            <v>100004336</v>
          </cell>
          <cell r="D1405" t="str">
            <v>PUSF-781 2K LÓT TRẮNG VN-5KS</v>
          </cell>
          <cell r="E1405" t="str">
            <v>ZFGD</v>
          </cell>
          <cell r="F1405" t="str">
            <v>SET</v>
          </cell>
          <cell r="G1405" t="str">
            <v>2</v>
          </cell>
          <cell r="H1405" t="str">
            <v>RETAIL</v>
          </cell>
          <cell r="I1405" t="str">
            <v>22</v>
          </cell>
          <cell r="J1405" t="str">
            <v>WF2</v>
          </cell>
          <cell r="K1405" t="str">
            <v>2216</v>
          </cell>
          <cell r="L1405" t="str">
            <v>PU MULTIPURPOSE</v>
          </cell>
          <cell r="M1405" t="str">
            <v>221601</v>
          </cell>
          <cell r="N1405" t="str">
            <v>PROPAN MP PU ACR RMX</v>
          </cell>
        </row>
        <row r="1406">
          <cell r="C1406" t="str">
            <v>100004344</v>
          </cell>
          <cell r="D1406" t="str">
            <v>2K ACRYLIC BROWN SATIN VN-16KP</v>
          </cell>
          <cell r="E1406" t="str">
            <v>ZFGD</v>
          </cell>
          <cell r="F1406" t="str">
            <v>PC</v>
          </cell>
          <cell r="G1406" t="str">
            <v>2</v>
          </cell>
          <cell r="H1406" t="str">
            <v>RETAIL</v>
          </cell>
          <cell r="I1406" t="str">
            <v>22</v>
          </cell>
          <cell r="J1406" t="str">
            <v>WF2</v>
          </cell>
          <cell r="K1406" t="str">
            <v>2216</v>
          </cell>
          <cell r="L1406" t="str">
            <v>PU MULTIPURPOSE</v>
          </cell>
          <cell r="M1406" t="str">
            <v>221601</v>
          </cell>
          <cell r="N1406" t="str">
            <v>PROPAN MP PU ACR RMX</v>
          </cell>
        </row>
        <row r="1407">
          <cell r="C1407" t="str">
            <v>100004345</v>
          </cell>
          <cell r="D1407" t="str">
            <v>2K ACRYLIC BROWN SATIN VN-20KSP</v>
          </cell>
          <cell r="E1407" t="str">
            <v>ZFGD</v>
          </cell>
          <cell r="F1407" t="str">
            <v>SET</v>
          </cell>
          <cell r="G1407" t="str">
            <v>2</v>
          </cell>
          <cell r="H1407" t="str">
            <v>RETAIL</v>
          </cell>
          <cell r="I1407" t="str">
            <v>22</v>
          </cell>
          <cell r="J1407" t="str">
            <v>WF2</v>
          </cell>
          <cell r="K1407" t="str">
            <v>2216</v>
          </cell>
          <cell r="L1407" t="str">
            <v>PU MULTIPURPOSE</v>
          </cell>
          <cell r="M1407" t="str">
            <v>221601</v>
          </cell>
          <cell r="N1407" t="str">
            <v>PROPAN MP PU ACR RMX</v>
          </cell>
        </row>
        <row r="1408">
          <cell r="C1408" t="str">
            <v>100004376</v>
          </cell>
          <cell r="D1408" t="str">
            <v>2K ACRYLIC TRẮNG MỜ VN-1KS</v>
          </cell>
          <cell r="E1408" t="str">
            <v>ZFGD</v>
          </cell>
          <cell r="F1408" t="str">
            <v>SET</v>
          </cell>
          <cell r="G1408" t="str">
            <v>2</v>
          </cell>
          <cell r="H1408" t="str">
            <v>RETAIL</v>
          </cell>
          <cell r="I1408" t="str">
            <v>22</v>
          </cell>
          <cell r="J1408" t="str">
            <v>WF2</v>
          </cell>
          <cell r="K1408" t="str">
            <v>2216</v>
          </cell>
          <cell r="L1408" t="str">
            <v>PU MULTIPURPOSE</v>
          </cell>
          <cell r="M1408" t="str">
            <v>221601</v>
          </cell>
          <cell r="N1408" t="str">
            <v>PROPAN MP PU ACR RMX</v>
          </cell>
        </row>
        <row r="1409">
          <cell r="C1409" t="str">
            <v>100004377</v>
          </cell>
          <cell r="D1409" t="str">
            <v>2K ACRYLIC ĐEN MỜ VN-1KS</v>
          </cell>
          <cell r="E1409" t="str">
            <v>ZFGD</v>
          </cell>
          <cell r="F1409" t="str">
            <v>SET</v>
          </cell>
          <cell r="G1409" t="str">
            <v>2</v>
          </cell>
          <cell r="H1409" t="str">
            <v>RETAIL</v>
          </cell>
          <cell r="I1409" t="str">
            <v>22</v>
          </cell>
          <cell r="J1409" t="str">
            <v>WF2</v>
          </cell>
          <cell r="K1409" t="str">
            <v>2216</v>
          </cell>
          <cell r="L1409" t="str">
            <v>PU MULTIPURPOSE</v>
          </cell>
          <cell r="M1409" t="str">
            <v>221601</v>
          </cell>
          <cell r="N1409" t="str">
            <v>PROPAN MP PU ACR RMX</v>
          </cell>
        </row>
        <row r="1410">
          <cell r="C1410" t="str">
            <v>100004378</v>
          </cell>
          <cell r="D1410" t="str">
            <v>2K ACRYLIC TRẮNG MỜ VN-5KS</v>
          </cell>
          <cell r="E1410" t="str">
            <v>ZFGD</v>
          </cell>
          <cell r="F1410" t="str">
            <v>SET</v>
          </cell>
          <cell r="G1410" t="str">
            <v>2</v>
          </cell>
          <cell r="H1410" t="str">
            <v>RETAIL</v>
          </cell>
          <cell r="I1410" t="str">
            <v>22</v>
          </cell>
          <cell r="J1410" t="str">
            <v>WF2</v>
          </cell>
          <cell r="K1410" t="str">
            <v>2216</v>
          </cell>
          <cell r="L1410" t="str">
            <v>PU MULTIPURPOSE</v>
          </cell>
          <cell r="M1410" t="str">
            <v>221601</v>
          </cell>
          <cell r="N1410" t="str">
            <v>PROPAN MP PU ACR RMX</v>
          </cell>
        </row>
        <row r="1411">
          <cell r="C1411" t="str">
            <v>100004380</v>
          </cell>
          <cell r="D1411" t="str">
            <v>2K ACRYLIC TRẮNG MỜ VN-20KSP</v>
          </cell>
          <cell r="E1411" t="str">
            <v>ZFGD</v>
          </cell>
          <cell r="F1411" t="str">
            <v>SET</v>
          </cell>
          <cell r="G1411" t="str">
            <v>2</v>
          </cell>
          <cell r="H1411" t="str">
            <v>RETAIL</v>
          </cell>
          <cell r="I1411" t="str">
            <v>22</v>
          </cell>
          <cell r="J1411" t="str">
            <v>WF2</v>
          </cell>
          <cell r="K1411" t="str">
            <v>2216</v>
          </cell>
          <cell r="L1411" t="str">
            <v>PU MULTIPURPOSE</v>
          </cell>
          <cell r="M1411" t="str">
            <v>221601</v>
          </cell>
          <cell r="N1411" t="str">
            <v>PROPAN MP PU ACR RMX</v>
          </cell>
        </row>
        <row r="1412">
          <cell r="C1412" t="str">
            <v>100004382</v>
          </cell>
          <cell r="D1412" t="str">
            <v>2K ACRYLIC TRẮNG MỜ VN-0.8K</v>
          </cell>
          <cell r="E1412" t="str">
            <v>ZFGD</v>
          </cell>
          <cell r="F1412" t="str">
            <v>PC</v>
          </cell>
          <cell r="G1412" t="str">
            <v>2</v>
          </cell>
          <cell r="H1412" t="str">
            <v>RETAIL</v>
          </cell>
          <cell r="I1412" t="str">
            <v>22</v>
          </cell>
          <cell r="J1412" t="str">
            <v>WF2</v>
          </cell>
          <cell r="K1412" t="str">
            <v>2216</v>
          </cell>
          <cell r="L1412" t="str">
            <v>PU MULTIPURPOSE</v>
          </cell>
          <cell r="M1412" t="str">
            <v>221601</v>
          </cell>
          <cell r="N1412" t="str">
            <v>PROPAN MP PU ACR RMX</v>
          </cell>
        </row>
        <row r="1413">
          <cell r="C1413" t="str">
            <v>100004383</v>
          </cell>
          <cell r="D1413" t="str">
            <v>2K ACRYLIC ĐEN MỜ VN-0.8K</v>
          </cell>
          <cell r="E1413" t="str">
            <v>ZFGD</v>
          </cell>
          <cell r="F1413" t="str">
            <v>PC</v>
          </cell>
          <cell r="G1413" t="str">
            <v>2</v>
          </cell>
          <cell r="H1413" t="str">
            <v>RETAIL</v>
          </cell>
          <cell r="I1413" t="str">
            <v>22</v>
          </cell>
          <cell r="J1413" t="str">
            <v>WF2</v>
          </cell>
          <cell r="K1413" t="str">
            <v>2216</v>
          </cell>
          <cell r="L1413" t="str">
            <v>PU MULTIPURPOSE</v>
          </cell>
          <cell r="M1413" t="str">
            <v>221601</v>
          </cell>
          <cell r="N1413" t="str">
            <v>PROPAN MP PU ACR RMX</v>
          </cell>
        </row>
        <row r="1414">
          <cell r="C1414" t="str">
            <v>100004384</v>
          </cell>
          <cell r="D1414" t="str">
            <v>2K ACRYLIC TRẮNG MỜ VN-4K</v>
          </cell>
          <cell r="E1414" t="str">
            <v>ZFGD</v>
          </cell>
          <cell r="F1414" t="str">
            <v>PC</v>
          </cell>
          <cell r="G1414" t="str">
            <v>2</v>
          </cell>
          <cell r="H1414" t="str">
            <v>RETAIL</v>
          </cell>
          <cell r="I1414" t="str">
            <v>22</v>
          </cell>
          <cell r="J1414" t="str">
            <v>WF2</v>
          </cell>
          <cell r="K1414" t="str">
            <v>2216</v>
          </cell>
          <cell r="L1414" t="str">
            <v>PU MULTIPURPOSE</v>
          </cell>
          <cell r="M1414" t="str">
            <v>221601</v>
          </cell>
          <cell r="N1414" t="str">
            <v>PROPAN MP PU ACR RMX</v>
          </cell>
        </row>
        <row r="1415">
          <cell r="C1415" t="str">
            <v>100004385</v>
          </cell>
          <cell r="D1415" t="str">
            <v>2K ACRYLIC ĐEN MỜ VN-4K</v>
          </cell>
          <cell r="E1415" t="str">
            <v>ZFGD</v>
          </cell>
          <cell r="F1415" t="str">
            <v>PC</v>
          </cell>
          <cell r="G1415" t="str">
            <v>2</v>
          </cell>
          <cell r="H1415" t="str">
            <v>RETAIL</v>
          </cell>
          <cell r="I1415" t="str">
            <v>22</v>
          </cell>
          <cell r="J1415" t="str">
            <v>WF2</v>
          </cell>
          <cell r="K1415" t="str">
            <v>2216</v>
          </cell>
          <cell r="L1415" t="str">
            <v>PU MULTIPURPOSE</v>
          </cell>
          <cell r="M1415" t="str">
            <v>221601</v>
          </cell>
          <cell r="N1415" t="str">
            <v>PROPAN MP PU ACR RMX</v>
          </cell>
        </row>
        <row r="1416">
          <cell r="C1416" t="str">
            <v>100004386</v>
          </cell>
          <cell r="D1416" t="str">
            <v>2K ACRYLIC TRẮNG MỜ VN-16KP</v>
          </cell>
          <cell r="E1416" t="str">
            <v>ZFGD</v>
          </cell>
          <cell r="F1416" t="str">
            <v>PC</v>
          </cell>
          <cell r="G1416" t="str">
            <v>2</v>
          </cell>
          <cell r="H1416" t="str">
            <v>RETAIL</v>
          </cell>
          <cell r="I1416" t="str">
            <v>22</v>
          </cell>
          <cell r="J1416" t="str">
            <v>WF2</v>
          </cell>
          <cell r="K1416" t="str">
            <v>2216</v>
          </cell>
          <cell r="L1416" t="str">
            <v>PU MULTIPURPOSE</v>
          </cell>
          <cell r="M1416" t="str">
            <v>221601</v>
          </cell>
          <cell r="N1416" t="str">
            <v>PROPAN MP PU ACR RMX</v>
          </cell>
        </row>
        <row r="1417">
          <cell r="C1417" t="str">
            <v>100004397</v>
          </cell>
          <cell r="D1417" t="str">
            <v>HARDENER PUH-75 NY VN-1K.</v>
          </cell>
          <cell r="E1417" t="str">
            <v>ZFGD</v>
          </cell>
          <cell r="F1417" t="str">
            <v>PC</v>
          </cell>
          <cell r="G1417" t="str">
            <v>2</v>
          </cell>
          <cell r="H1417" t="str">
            <v>RETAIL</v>
          </cell>
          <cell r="I1417" t="str">
            <v>22</v>
          </cell>
          <cell r="J1417" t="str">
            <v>WF2</v>
          </cell>
          <cell r="K1417" t="str">
            <v>2216</v>
          </cell>
          <cell r="L1417" t="str">
            <v>PU MULTIPURPOSE</v>
          </cell>
          <cell r="M1417" t="str">
            <v>221601</v>
          </cell>
          <cell r="N1417" t="str">
            <v>PROPAN MP PU ACR RMX</v>
          </cell>
        </row>
        <row r="1418">
          <cell r="C1418" t="str">
            <v>100004398</v>
          </cell>
          <cell r="D1418" t="str">
            <v>HARDENER PUH-75 NY VN-0.2K.</v>
          </cell>
          <cell r="E1418" t="str">
            <v>ZFGD</v>
          </cell>
          <cell r="F1418" t="str">
            <v>PC</v>
          </cell>
          <cell r="G1418" t="str">
            <v>2</v>
          </cell>
          <cell r="H1418" t="str">
            <v>RETAIL</v>
          </cell>
          <cell r="I1418" t="str">
            <v>22</v>
          </cell>
          <cell r="J1418" t="str">
            <v>WF2</v>
          </cell>
          <cell r="K1418" t="str">
            <v>2216</v>
          </cell>
          <cell r="L1418" t="str">
            <v>PU MULTIPURPOSE</v>
          </cell>
          <cell r="M1418" t="str">
            <v>221601</v>
          </cell>
          <cell r="N1418" t="str">
            <v>PROPAN MP PU ACR RMX</v>
          </cell>
        </row>
        <row r="1419">
          <cell r="C1419" t="str">
            <v>100004414</v>
          </cell>
          <cell r="D1419" t="str">
            <v>PFT-253 GREY CCL VN-4K</v>
          </cell>
          <cell r="E1419" t="str">
            <v>ZFGD</v>
          </cell>
          <cell r="F1419" t="str">
            <v>PC</v>
          </cell>
          <cell r="G1419" t="str">
            <v>5</v>
          </cell>
          <cell r="H1419" t="str">
            <v>PROJECT</v>
          </cell>
          <cell r="I1419" t="str">
            <v>56</v>
          </cell>
          <cell r="J1419" t="str">
            <v>CPC1</v>
          </cell>
          <cell r="K1419" t="str">
            <v>5602</v>
          </cell>
          <cell r="L1419" t="str">
            <v>POLYFLOOR</v>
          </cell>
          <cell r="M1419" t="str">
            <v>560202</v>
          </cell>
          <cell r="N1419" t="str">
            <v>POLYFLOOR EPOXY</v>
          </cell>
        </row>
        <row r="1420">
          <cell r="C1420" t="str">
            <v>100004415</v>
          </cell>
          <cell r="D1420" t="str">
            <v>PFT-253 GREY CCL VN-16KP</v>
          </cell>
          <cell r="E1420" t="str">
            <v>ZFGD</v>
          </cell>
          <cell r="F1420" t="str">
            <v>PC</v>
          </cell>
          <cell r="G1420" t="str">
            <v>5</v>
          </cell>
          <cell r="H1420" t="str">
            <v>PROJECT</v>
          </cell>
          <cell r="I1420" t="str">
            <v>56</v>
          </cell>
          <cell r="J1420" t="str">
            <v>CPC1</v>
          </cell>
          <cell r="K1420" t="str">
            <v>5602</v>
          </cell>
          <cell r="L1420" t="str">
            <v>POLYFLOOR</v>
          </cell>
          <cell r="M1420" t="str">
            <v>560202</v>
          </cell>
          <cell r="N1420" t="str">
            <v>POLYFLOOR EPOXY</v>
          </cell>
        </row>
        <row r="1421">
          <cell r="C1421" t="str">
            <v>100004416</v>
          </cell>
          <cell r="D1421" t="str">
            <v>PFT-253 GREY CCL VN-5KS</v>
          </cell>
          <cell r="E1421" t="str">
            <v>ZFGD</v>
          </cell>
          <cell r="F1421" t="str">
            <v>SET</v>
          </cell>
          <cell r="G1421" t="str">
            <v>5</v>
          </cell>
          <cell r="H1421" t="str">
            <v>PROJECT</v>
          </cell>
          <cell r="I1421" t="str">
            <v>56</v>
          </cell>
          <cell r="J1421" t="str">
            <v>CPC1</v>
          </cell>
          <cell r="K1421" t="str">
            <v>5602</v>
          </cell>
          <cell r="L1421" t="str">
            <v>POLYFLOOR</v>
          </cell>
          <cell r="M1421" t="str">
            <v>560202</v>
          </cell>
          <cell r="N1421" t="str">
            <v>POLYFLOOR EPOXY</v>
          </cell>
        </row>
        <row r="1422">
          <cell r="C1422" t="str">
            <v>100004417</v>
          </cell>
          <cell r="D1422" t="str">
            <v>PFT-253 GREY CCL VN-20KSP</v>
          </cell>
          <cell r="E1422" t="str">
            <v>ZFGD</v>
          </cell>
          <cell r="F1422" t="str">
            <v>SET</v>
          </cell>
          <cell r="G1422" t="str">
            <v>5</v>
          </cell>
          <cell r="H1422" t="str">
            <v>PROJECT</v>
          </cell>
          <cell r="I1422" t="str">
            <v>56</v>
          </cell>
          <cell r="J1422" t="str">
            <v>CPC1</v>
          </cell>
          <cell r="K1422" t="str">
            <v>5602</v>
          </cell>
          <cell r="L1422" t="str">
            <v>POLYFLOOR</v>
          </cell>
          <cell r="M1422" t="str">
            <v>560202</v>
          </cell>
          <cell r="N1422" t="str">
            <v>POLYFLOOR EPOXY</v>
          </cell>
        </row>
        <row r="1423">
          <cell r="C1423" t="str">
            <v>100004431</v>
          </cell>
          <cell r="D1423" t="str">
            <v>MX-99 AVOCADO VN-0.6K</v>
          </cell>
          <cell r="E1423" t="str">
            <v>ZFGD</v>
          </cell>
          <cell r="F1423" t="str">
            <v>PC</v>
          </cell>
          <cell r="G1423" t="str">
            <v>2</v>
          </cell>
          <cell r="H1423" t="str">
            <v>RETAIL</v>
          </cell>
          <cell r="I1423" t="str">
            <v>27</v>
          </cell>
          <cell r="J1423" t="str">
            <v>CPC1</v>
          </cell>
          <cell r="K1423" t="str">
            <v>2703</v>
          </cell>
          <cell r="L1423" t="str">
            <v>MULTIPOX</v>
          </cell>
          <cell r="M1423" t="str">
            <v>270302</v>
          </cell>
          <cell r="N1423" t="str">
            <v>MULTIPOX BASE</v>
          </cell>
        </row>
        <row r="1424">
          <cell r="C1424" t="str">
            <v>100004432</v>
          </cell>
          <cell r="D1424" t="str">
            <v>MX-99 AVOCADO VN-3K</v>
          </cell>
          <cell r="E1424" t="str">
            <v>ZFGD</v>
          </cell>
          <cell r="F1424" t="str">
            <v>PC</v>
          </cell>
          <cell r="G1424" t="str">
            <v>2</v>
          </cell>
          <cell r="H1424" t="str">
            <v>RETAIL</v>
          </cell>
          <cell r="I1424" t="str">
            <v>27</v>
          </cell>
          <cell r="J1424" t="str">
            <v>CPC1</v>
          </cell>
          <cell r="K1424" t="str">
            <v>2703</v>
          </cell>
          <cell r="L1424" t="str">
            <v>MULTIPOX</v>
          </cell>
          <cell r="M1424" t="str">
            <v>270302</v>
          </cell>
          <cell r="N1424" t="str">
            <v>MULTIPOX BASE</v>
          </cell>
        </row>
        <row r="1425">
          <cell r="C1425" t="str">
            <v>100004433</v>
          </cell>
          <cell r="D1425" t="str">
            <v>MX-99 AVOCADO VN-15KP</v>
          </cell>
          <cell r="E1425" t="str">
            <v>ZFGD</v>
          </cell>
          <cell r="F1425" t="str">
            <v>PC</v>
          </cell>
          <cell r="G1425" t="str">
            <v>2</v>
          </cell>
          <cell r="H1425" t="str">
            <v>RETAIL</v>
          </cell>
          <cell r="I1425" t="str">
            <v>27</v>
          </cell>
          <cell r="J1425" t="str">
            <v>CPC1</v>
          </cell>
          <cell r="K1425" t="str">
            <v>2703</v>
          </cell>
          <cell r="L1425" t="str">
            <v>MULTIPOX</v>
          </cell>
          <cell r="M1425" t="str">
            <v>270302</v>
          </cell>
          <cell r="N1425" t="str">
            <v>MULTIPOX BASE</v>
          </cell>
        </row>
        <row r="1426">
          <cell r="C1426" t="str">
            <v>100004434</v>
          </cell>
          <cell r="D1426" t="str">
            <v>MX-99 AVOCADO VN-22.5KP</v>
          </cell>
          <cell r="E1426" t="str">
            <v>ZFGD</v>
          </cell>
          <cell r="F1426" t="str">
            <v>PC</v>
          </cell>
          <cell r="G1426" t="str">
            <v>2</v>
          </cell>
          <cell r="H1426" t="str">
            <v>RETAIL</v>
          </cell>
          <cell r="I1426" t="str">
            <v>27</v>
          </cell>
          <cell r="J1426" t="str">
            <v>CPC1</v>
          </cell>
          <cell r="K1426" t="str">
            <v>2703</v>
          </cell>
          <cell r="L1426" t="str">
            <v>MULTIPOX</v>
          </cell>
          <cell r="M1426" t="str">
            <v>270302</v>
          </cell>
          <cell r="N1426" t="str">
            <v>MULTIPOX BASE</v>
          </cell>
        </row>
        <row r="1427">
          <cell r="C1427" t="str">
            <v>100004435</v>
          </cell>
          <cell r="D1427" t="str">
            <v>MX-99 AVOCADO VN-1KS</v>
          </cell>
          <cell r="E1427" t="str">
            <v>ZFGD</v>
          </cell>
          <cell r="F1427" t="str">
            <v>SET</v>
          </cell>
          <cell r="G1427" t="str">
            <v>2</v>
          </cell>
          <cell r="H1427" t="str">
            <v>RETAIL</v>
          </cell>
          <cell r="I1427" t="str">
            <v>27</v>
          </cell>
          <cell r="J1427" t="str">
            <v>CPC1</v>
          </cell>
          <cell r="K1427" t="str">
            <v>2703</v>
          </cell>
          <cell r="L1427" t="str">
            <v>MULTIPOX</v>
          </cell>
          <cell r="M1427" t="str">
            <v>270302</v>
          </cell>
          <cell r="N1427" t="str">
            <v>MULTIPOX BASE</v>
          </cell>
        </row>
        <row r="1428">
          <cell r="C1428" t="str">
            <v>100004436</v>
          </cell>
          <cell r="D1428" t="str">
            <v>MX-99 AVOCADO VN-4KS</v>
          </cell>
          <cell r="E1428" t="str">
            <v>ZFGD</v>
          </cell>
          <cell r="F1428" t="str">
            <v>SET</v>
          </cell>
          <cell r="G1428" t="str">
            <v>2</v>
          </cell>
          <cell r="H1428" t="str">
            <v>RETAIL</v>
          </cell>
          <cell r="I1428" t="str">
            <v>27</v>
          </cell>
          <cell r="J1428" t="str">
            <v>CPC1</v>
          </cell>
          <cell r="K1428" t="str">
            <v>2703</v>
          </cell>
          <cell r="L1428" t="str">
            <v>MULTIPOX</v>
          </cell>
          <cell r="M1428" t="str">
            <v>270302</v>
          </cell>
          <cell r="N1428" t="str">
            <v>MULTIPOX BASE</v>
          </cell>
        </row>
        <row r="1429">
          <cell r="C1429" t="str">
            <v>100004437</v>
          </cell>
          <cell r="D1429" t="str">
            <v>MX-99 AVOCADO VN-20KSP</v>
          </cell>
          <cell r="E1429" t="str">
            <v>ZFGD</v>
          </cell>
          <cell r="F1429" t="str">
            <v>SET</v>
          </cell>
          <cell r="G1429" t="str">
            <v>2</v>
          </cell>
          <cell r="H1429" t="str">
            <v>RETAIL</v>
          </cell>
          <cell r="I1429" t="str">
            <v>27</v>
          </cell>
          <cell r="J1429" t="str">
            <v>CPC1</v>
          </cell>
          <cell r="K1429" t="str">
            <v>2703</v>
          </cell>
          <cell r="L1429" t="str">
            <v>MULTIPOX</v>
          </cell>
          <cell r="M1429" t="str">
            <v>270302</v>
          </cell>
          <cell r="N1429" t="str">
            <v>MULTIPOX BASE</v>
          </cell>
        </row>
        <row r="1430">
          <cell r="C1430" t="str">
            <v>100004438</v>
          </cell>
          <cell r="D1430" t="str">
            <v>MX-99 AVOCADO VN-30KSP</v>
          </cell>
          <cell r="E1430" t="str">
            <v>ZFGD</v>
          </cell>
          <cell r="F1430" t="str">
            <v>SET</v>
          </cell>
          <cell r="G1430" t="str">
            <v>2</v>
          </cell>
          <cell r="H1430" t="str">
            <v>RETAIL</v>
          </cell>
          <cell r="I1430" t="str">
            <v>27</v>
          </cell>
          <cell r="J1430" t="str">
            <v>CPC1</v>
          </cell>
          <cell r="K1430" t="str">
            <v>2703</v>
          </cell>
          <cell r="L1430" t="str">
            <v>MULTIPOX</v>
          </cell>
          <cell r="M1430" t="str">
            <v>270302</v>
          </cell>
          <cell r="N1430" t="str">
            <v>MULTIPOX BASE</v>
          </cell>
        </row>
        <row r="1431">
          <cell r="C1431" t="str">
            <v>100004440</v>
          </cell>
          <cell r="D1431" t="str">
            <v>UPR-960 APRICOT 1141 VN-6K</v>
          </cell>
          <cell r="E1431" t="str">
            <v>ZFGD</v>
          </cell>
          <cell r="F1431" t="str">
            <v>PC</v>
          </cell>
          <cell r="G1431" t="str">
            <v>2</v>
          </cell>
          <cell r="H1431" t="str">
            <v>RETAIL</v>
          </cell>
          <cell r="I1431" t="str">
            <v>2D</v>
          </cell>
          <cell r="J1431" t="str">
            <v>APCT2</v>
          </cell>
          <cell r="K1431" t="str">
            <v>2D01</v>
          </cell>
          <cell r="L1431" t="str">
            <v>ULTRAPROOF</v>
          </cell>
          <cell r="M1431" t="str">
            <v>2D0101</v>
          </cell>
          <cell r="N1431" t="str">
            <v>ULTRAPROOF RMX</v>
          </cell>
        </row>
        <row r="1432">
          <cell r="C1432" t="str">
            <v>100004441</v>
          </cell>
          <cell r="D1432" t="str">
            <v>UPR-960 ARMY GREEN 7414 VN-6K</v>
          </cell>
          <cell r="E1432" t="str">
            <v>ZFGD</v>
          </cell>
          <cell r="F1432" t="str">
            <v>PC</v>
          </cell>
          <cell r="G1432" t="str">
            <v>2</v>
          </cell>
          <cell r="H1432" t="str">
            <v>RETAIL</v>
          </cell>
          <cell r="I1432" t="str">
            <v>2D</v>
          </cell>
          <cell r="J1432" t="str">
            <v>APCT2</v>
          </cell>
          <cell r="K1432" t="str">
            <v>2D01</v>
          </cell>
          <cell r="L1432" t="str">
            <v>ULTRAPROOF</v>
          </cell>
          <cell r="M1432" t="str">
            <v>2D0101</v>
          </cell>
          <cell r="N1432" t="str">
            <v>ULTRAPROOF RMX</v>
          </cell>
        </row>
        <row r="1433">
          <cell r="C1433" t="str">
            <v>100004442</v>
          </cell>
          <cell r="D1433" t="str">
            <v>UPR-960 BLACK 9406 VN-6K</v>
          </cell>
          <cell r="E1433" t="str">
            <v>ZFGD</v>
          </cell>
          <cell r="F1433" t="str">
            <v>PC</v>
          </cell>
          <cell r="G1433" t="str">
            <v>2</v>
          </cell>
          <cell r="H1433" t="str">
            <v>RETAIL</v>
          </cell>
          <cell r="I1433" t="str">
            <v>2D</v>
          </cell>
          <cell r="J1433" t="str">
            <v>APCT2</v>
          </cell>
          <cell r="K1433" t="str">
            <v>2D01</v>
          </cell>
          <cell r="L1433" t="str">
            <v>ULTRAPROOF</v>
          </cell>
          <cell r="M1433" t="str">
            <v>2D0101</v>
          </cell>
          <cell r="N1433" t="str">
            <v>ULTRAPROOF RMX</v>
          </cell>
        </row>
        <row r="1434">
          <cell r="C1434" t="str">
            <v>100004443</v>
          </cell>
          <cell r="D1434" t="str">
            <v>UPR-960 BLUE MYSTERY 0041 VN-6K</v>
          </cell>
          <cell r="E1434" t="str">
            <v>ZFGD</v>
          </cell>
          <cell r="F1434" t="str">
            <v>PC</v>
          </cell>
          <cell r="G1434" t="str">
            <v>2</v>
          </cell>
          <cell r="H1434" t="str">
            <v>RETAIL</v>
          </cell>
          <cell r="I1434" t="str">
            <v>2D</v>
          </cell>
          <cell r="J1434" t="str">
            <v>APCT2</v>
          </cell>
          <cell r="K1434" t="str">
            <v>2D01</v>
          </cell>
          <cell r="L1434" t="str">
            <v>ULTRAPROOF</v>
          </cell>
          <cell r="M1434" t="str">
            <v>2D0101</v>
          </cell>
          <cell r="N1434" t="str">
            <v>ULTRAPROOF RMX</v>
          </cell>
        </row>
        <row r="1435">
          <cell r="C1435" t="str">
            <v>100004444</v>
          </cell>
          <cell r="D1435" t="str">
            <v>UPR-960 CAPPUCINO 0067 VN-6K</v>
          </cell>
          <cell r="E1435" t="str">
            <v>ZFGD</v>
          </cell>
          <cell r="F1435" t="str">
            <v>PC</v>
          </cell>
          <cell r="G1435" t="str">
            <v>2</v>
          </cell>
          <cell r="H1435" t="str">
            <v>RETAIL</v>
          </cell>
          <cell r="I1435" t="str">
            <v>2D</v>
          </cell>
          <cell r="J1435" t="str">
            <v>APCT2</v>
          </cell>
          <cell r="K1435" t="str">
            <v>2D01</v>
          </cell>
          <cell r="L1435" t="str">
            <v>ULTRAPROOF</v>
          </cell>
          <cell r="M1435" t="str">
            <v>2D0101</v>
          </cell>
          <cell r="N1435" t="str">
            <v>ULTRAPROOF RMX</v>
          </cell>
        </row>
        <row r="1436">
          <cell r="C1436" t="str">
            <v>100004445</v>
          </cell>
          <cell r="D1436" t="str">
            <v>UPR-960 DARK BROWN 2406 VN-6K</v>
          </cell>
          <cell r="E1436" t="str">
            <v>ZFGD</v>
          </cell>
          <cell r="F1436" t="str">
            <v>PC</v>
          </cell>
          <cell r="G1436" t="str">
            <v>2</v>
          </cell>
          <cell r="H1436" t="str">
            <v>RETAIL</v>
          </cell>
          <cell r="I1436" t="str">
            <v>2D</v>
          </cell>
          <cell r="J1436" t="str">
            <v>APCT2</v>
          </cell>
          <cell r="K1436" t="str">
            <v>2D01</v>
          </cell>
          <cell r="L1436" t="str">
            <v>ULTRAPROOF</v>
          </cell>
          <cell r="M1436" t="str">
            <v>2D0101</v>
          </cell>
          <cell r="N1436" t="str">
            <v>ULTRAPROOF RMX</v>
          </cell>
        </row>
        <row r="1437">
          <cell r="C1437" t="str">
            <v>100004446</v>
          </cell>
          <cell r="D1437" t="str">
            <v>UPR-960 HARVEST 3404 VN-6K</v>
          </cell>
          <cell r="E1437" t="str">
            <v>ZFGD</v>
          </cell>
          <cell r="F1437" t="str">
            <v>PC</v>
          </cell>
          <cell r="G1437" t="str">
            <v>2</v>
          </cell>
          <cell r="H1437" t="str">
            <v>RETAIL</v>
          </cell>
          <cell r="I1437" t="str">
            <v>2D</v>
          </cell>
          <cell r="J1437" t="str">
            <v>APCT2</v>
          </cell>
          <cell r="K1437" t="str">
            <v>2D01</v>
          </cell>
          <cell r="L1437" t="str">
            <v>ULTRAPROOF</v>
          </cell>
          <cell r="M1437" t="str">
            <v>2D0101</v>
          </cell>
          <cell r="N1437" t="str">
            <v>ULTRAPROOF RMX</v>
          </cell>
        </row>
        <row r="1438">
          <cell r="C1438" t="str">
            <v>100004447</v>
          </cell>
          <cell r="D1438" t="str">
            <v>UPR-960 LIGHT GREY 7114 VN-6K</v>
          </cell>
          <cell r="E1438" t="str">
            <v>ZFGD</v>
          </cell>
          <cell r="F1438" t="str">
            <v>PC</v>
          </cell>
          <cell r="G1438" t="str">
            <v>2</v>
          </cell>
          <cell r="H1438" t="str">
            <v>RETAIL</v>
          </cell>
          <cell r="I1438" t="str">
            <v>2D</v>
          </cell>
          <cell r="J1438" t="str">
            <v>APCT2</v>
          </cell>
          <cell r="K1438" t="str">
            <v>2D01</v>
          </cell>
          <cell r="L1438" t="str">
            <v>ULTRAPROOF</v>
          </cell>
          <cell r="M1438" t="str">
            <v>2D0101</v>
          </cell>
          <cell r="N1438" t="str">
            <v>ULTRAPROOF RMX</v>
          </cell>
        </row>
        <row r="1439">
          <cell r="C1439" t="str">
            <v>100004448</v>
          </cell>
          <cell r="D1439" t="str">
            <v>UPR-960 MARINE GREEN 7107 VN-6K</v>
          </cell>
          <cell r="E1439" t="str">
            <v>ZFGD</v>
          </cell>
          <cell r="F1439" t="str">
            <v>PC</v>
          </cell>
          <cell r="G1439" t="str">
            <v>2</v>
          </cell>
          <cell r="H1439" t="str">
            <v>RETAIL</v>
          </cell>
          <cell r="I1439" t="str">
            <v>2D</v>
          </cell>
          <cell r="J1439" t="str">
            <v>APCT2</v>
          </cell>
          <cell r="K1439" t="str">
            <v>2D01</v>
          </cell>
          <cell r="L1439" t="str">
            <v>ULTRAPROOF</v>
          </cell>
          <cell r="M1439" t="str">
            <v>2D0101</v>
          </cell>
          <cell r="N1439" t="str">
            <v>ULTRAPROOF RMX</v>
          </cell>
        </row>
        <row r="1440">
          <cell r="C1440" t="str">
            <v>100004449</v>
          </cell>
          <cell r="D1440" t="str">
            <v>UPR-960 ORANGE PUNCH 0066 VN-6K</v>
          </cell>
          <cell r="E1440" t="str">
            <v>ZFGD</v>
          </cell>
          <cell r="F1440" t="str">
            <v>PC</v>
          </cell>
          <cell r="G1440" t="str">
            <v>2</v>
          </cell>
          <cell r="H1440" t="str">
            <v>RETAIL</v>
          </cell>
          <cell r="I1440" t="str">
            <v>2D</v>
          </cell>
          <cell r="J1440" t="str">
            <v>APCT2</v>
          </cell>
          <cell r="K1440" t="str">
            <v>2D01</v>
          </cell>
          <cell r="L1440" t="str">
            <v>ULTRAPROOF</v>
          </cell>
          <cell r="M1440" t="str">
            <v>2D0101</v>
          </cell>
          <cell r="N1440" t="str">
            <v>ULTRAPROOF RMX</v>
          </cell>
        </row>
        <row r="1441">
          <cell r="C1441" t="str">
            <v>100004450</v>
          </cell>
          <cell r="D1441" t="str">
            <v>UPR-960 PASTEL GREY 8403 VN-6K</v>
          </cell>
          <cell r="E1441" t="str">
            <v>ZFGD</v>
          </cell>
          <cell r="F1441" t="str">
            <v>PC</v>
          </cell>
          <cell r="G1441" t="str">
            <v>2</v>
          </cell>
          <cell r="H1441" t="str">
            <v>RETAIL</v>
          </cell>
          <cell r="I1441" t="str">
            <v>2D</v>
          </cell>
          <cell r="J1441" t="str">
            <v>APCT2</v>
          </cell>
          <cell r="K1441" t="str">
            <v>2D01</v>
          </cell>
          <cell r="L1441" t="str">
            <v>ULTRAPROOF</v>
          </cell>
          <cell r="M1441" t="str">
            <v>2D0101</v>
          </cell>
          <cell r="N1441" t="str">
            <v>ULTRAPROOF RMX</v>
          </cell>
        </row>
        <row r="1442">
          <cell r="C1442" t="str">
            <v>100004451</v>
          </cell>
          <cell r="D1442" t="str">
            <v>UPR-960 PRIME GREY 0044 VN-6K</v>
          </cell>
          <cell r="E1442" t="str">
            <v>ZFGD</v>
          </cell>
          <cell r="F1442" t="str">
            <v>PC</v>
          </cell>
          <cell r="G1442" t="str">
            <v>2</v>
          </cell>
          <cell r="H1442" t="str">
            <v>RETAIL</v>
          </cell>
          <cell r="I1442" t="str">
            <v>2D</v>
          </cell>
          <cell r="J1442" t="str">
            <v>APCT2</v>
          </cell>
          <cell r="K1442" t="str">
            <v>2D01</v>
          </cell>
          <cell r="L1442" t="str">
            <v>ULTRAPROOF</v>
          </cell>
          <cell r="M1442" t="str">
            <v>2D0101</v>
          </cell>
          <cell r="N1442" t="str">
            <v>ULTRAPROOF RMX</v>
          </cell>
        </row>
        <row r="1443">
          <cell r="C1443" t="str">
            <v>100004452</v>
          </cell>
          <cell r="D1443" t="str">
            <v>UPR-960 SAND STONE 0045 VN-6K</v>
          </cell>
          <cell r="E1443" t="str">
            <v>ZFGD</v>
          </cell>
          <cell r="F1443" t="str">
            <v>PC</v>
          </cell>
          <cell r="G1443" t="str">
            <v>2</v>
          </cell>
          <cell r="H1443" t="str">
            <v>RETAIL</v>
          </cell>
          <cell r="I1443" t="str">
            <v>2D</v>
          </cell>
          <cell r="J1443" t="str">
            <v>APCT2</v>
          </cell>
          <cell r="K1443" t="str">
            <v>2D01</v>
          </cell>
          <cell r="L1443" t="str">
            <v>ULTRAPROOF</v>
          </cell>
          <cell r="M1443" t="str">
            <v>2D0101</v>
          </cell>
          <cell r="N1443" t="str">
            <v>ULTRAPROOF RMX</v>
          </cell>
        </row>
        <row r="1444">
          <cell r="C1444" t="str">
            <v>100004453</v>
          </cell>
          <cell r="D1444" t="str">
            <v>UPR-960 SKY BLUE 7101 VN-6K</v>
          </cell>
          <cell r="E1444" t="str">
            <v>ZFGD</v>
          </cell>
          <cell r="F1444" t="str">
            <v>PC</v>
          </cell>
          <cell r="G1444" t="str">
            <v>2</v>
          </cell>
          <cell r="H1444" t="str">
            <v>RETAIL</v>
          </cell>
          <cell r="I1444" t="str">
            <v>2D</v>
          </cell>
          <cell r="J1444" t="str">
            <v>APCT2</v>
          </cell>
          <cell r="K1444" t="str">
            <v>2D01</v>
          </cell>
          <cell r="L1444" t="str">
            <v>ULTRAPROOF</v>
          </cell>
          <cell r="M1444" t="str">
            <v>2D0101</v>
          </cell>
          <cell r="N1444" t="str">
            <v>ULTRAPROOF RMX</v>
          </cell>
        </row>
        <row r="1445">
          <cell r="C1445" t="str">
            <v>100004454</v>
          </cell>
          <cell r="D1445" t="str">
            <v>UPR-960 SUMMER SALAD 0065 VN-6K</v>
          </cell>
          <cell r="E1445" t="str">
            <v>ZFGD</v>
          </cell>
          <cell r="F1445" t="str">
            <v>PC</v>
          </cell>
          <cell r="G1445" t="str">
            <v>2</v>
          </cell>
          <cell r="H1445" t="str">
            <v>RETAIL</v>
          </cell>
          <cell r="I1445" t="str">
            <v>2D</v>
          </cell>
          <cell r="J1445" t="str">
            <v>APCT2</v>
          </cell>
          <cell r="K1445" t="str">
            <v>2D01</v>
          </cell>
          <cell r="L1445" t="str">
            <v>ULTRAPROOF</v>
          </cell>
          <cell r="M1445" t="str">
            <v>2D0101</v>
          </cell>
          <cell r="N1445" t="str">
            <v>ULTRAPROOF RMX</v>
          </cell>
        </row>
        <row r="1446">
          <cell r="C1446" t="str">
            <v>100004455</v>
          </cell>
          <cell r="D1446" t="str">
            <v>UPR-960 SUNKISS 0046 VN-6K</v>
          </cell>
          <cell r="E1446" t="str">
            <v>ZFGD</v>
          </cell>
          <cell r="F1446" t="str">
            <v>PC</v>
          </cell>
          <cell r="G1446" t="str">
            <v>2</v>
          </cell>
          <cell r="H1446" t="str">
            <v>RETAIL</v>
          </cell>
          <cell r="I1446" t="str">
            <v>2D</v>
          </cell>
          <cell r="J1446" t="str">
            <v>APCT2</v>
          </cell>
          <cell r="K1446" t="str">
            <v>2D01</v>
          </cell>
          <cell r="L1446" t="str">
            <v>ULTRAPROOF</v>
          </cell>
          <cell r="M1446" t="str">
            <v>2D0101</v>
          </cell>
          <cell r="N1446" t="str">
            <v>ULTRAPROOF RMX</v>
          </cell>
        </row>
        <row r="1447">
          <cell r="C1447" t="str">
            <v>100004456</v>
          </cell>
          <cell r="D1447" t="str">
            <v>UPR-960 TRADITIONAL ORANGE 0047 VN-6K</v>
          </cell>
          <cell r="E1447" t="str">
            <v>ZFGD</v>
          </cell>
          <cell r="F1447" t="str">
            <v>PC</v>
          </cell>
          <cell r="G1447" t="str">
            <v>2</v>
          </cell>
          <cell r="H1447" t="str">
            <v>RETAIL</v>
          </cell>
          <cell r="I1447" t="str">
            <v>2D</v>
          </cell>
          <cell r="J1447" t="str">
            <v>APCT2</v>
          </cell>
          <cell r="K1447" t="str">
            <v>2D01</v>
          </cell>
          <cell r="L1447" t="str">
            <v>ULTRAPROOF</v>
          </cell>
          <cell r="M1447" t="str">
            <v>2D0101</v>
          </cell>
          <cell r="N1447" t="str">
            <v>ULTRAPROOF RMX</v>
          </cell>
        </row>
        <row r="1448">
          <cell r="C1448" t="str">
            <v>100004457</v>
          </cell>
          <cell r="D1448" t="str">
            <v>UPR-960 WHITE 9101 VN-6K</v>
          </cell>
          <cell r="E1448" t="str">
            <v>ZFGD</v>
          </cell>
          <cell r="F1448" t="str">
            <v>PC</v>
          </cell>
          <cell r="G1448" t="str">
            <v>2</v>
          </cell>
          <cell r="H1448" t="str">
            <v>RETAIL</v>
          </cell>
          <cell r="I1448" t="str">
            <v>2D</v>
          </cell>
          <cell r="J1448" t="str">
            <v>APCT2</v>
          </cell>
          <cell r="K1448" t="str">
            <v>2D01</v>
          </cell>
          <cell r="L1448" t="str">
            <v>ULTRAPROOF</v>
          </cell>
          <cell r="M1448" t="str">
            <v>2D0101</v>
          </cell>
          <cell r="N1448" t="str">
            <v>ULTRAPROOF RMX</v>
          </cell>
        </row>
        <row r="1449">
          <cell r="C1449" t="str">
            <v>100004458</v>
          </cell>
          <cell r="D1449" t="str">
            <v>UPR-960 YELLOW STONE 2206 VN-6K</v>
          </cell>
          <cell r="E1449" t="str">
            <v>ZFGD</v>
          </cell>
          <cell r="F1449" t="str">
            <v>PC</v>
          </cell>
          <cell r="G1449" t="str">
            <v>2</v>
          </cell>
          <cell r="H1449" t="str">
            <v>RETAIL</v>
          </cell>
          <cell r="I1449" t="str">
            <v>2D</v>
          </cell>
          <cell r="J1449" t="str">
            <v>APCT2</v>
          </cell>
          <cell r="K1449" t="str">
            <v>2D01</v>
          </cell>
          <cell r="L1449" t="str">
            <v>ULTRAPROOF</v>
          </cell>
          <cell r="M1449" t="str">
            <v>2D0101</v>
          </cell>
          <cell r="N1449" t="str">
            <v>ULTRAPROOF RMX</v>
          </cell>
        </row>
        <row r="1450">
          <cell r="C1450" t="str">
            <v>100004459</v>
          </cell>
          <cell r="D1450" t="str">
            <v>UPR-960 YELLOW SUNNY SPOT 8054 VN-6K</v>
          </cell>
          <cell r="E1450" t="str">
            <v>ZFGD</v>
          </cell>
          <cell r="F1450" t="str">
            <v>PC</v>
          </cell>
          <cell r="G1450" t="str">
            <v>2</v>
          </cell>
          <cell r="H1450" t="str">
            <v>RETAIL</v>
          </cell>
          <cell r="I1450" t="str">
            <v>2D</v>
          </cell>
          <cell r="J1450" t="str">
            <v>APCT2</v>
          </cell>
          <cell r="K1450" t="str">
            <v>2D01</v>
          </cell>
          <cell r="L1450" t="str">
            <v>ULTRAPROOF</v>
          </cell>
          <cell r="M1450" t="str">
            <v>2D0101</v>
          </cell>
          <cell r="N1450" t="str">
            <v>ULTRAPROOF RMX</v>
          </cell>
        </row>
        <row r="1451">
          <cell r="C1451" t="str">
            <v>100004499</v>
          </cell>
          <cell r="D1451" t="str">
            <v>PC 8K2-CC</v>
          </cell>
          <cell r="E1451" t="str">
            <v>ZFGD</v>
          </cell>
          <cell r="F1451" t="str">
            <v>CC</v>
          </cell>
          <cell r="G1451" t="str">
            <v>2</v>
          </cell>
          <cell r="H1451" t="str">
            <v>RETAIL</v>
          </cell>
          <cell r="I1451" t="str">
            <v>2F</v>
          </cell>
          <cell r="J1451" t="str">
            <v>TINTING</v>
          </cell>
          <cell r="K1451" t="str">
            <v>2F04</v>
          </cell>
          <cell r="L1451" t="str">
            <v>PASTA</v>
          </cell>
          <cell r="M1451" t="str">
            <v>2F0404</v>
          </cell>
          <cell r="N1451" t="str">
            <v>PASTA WB</v>
          </cell>
        </row>
        <row r="1452">
          <cell r="C1452" t="str">
            <v>100004500</v>
          </cell>
          <cell r="D1452" t="str">
            <v>PC 8R1-CC</v>
          </cell>
          <cell r="E1452" t="str">
            <v>ZFGD</v>
          </cell>
          <cell r="F1452" t="str">
            <v>CC</v>
          </cell>
          <cell r="G1452" t="str">
            <v>2</v>
          </cell>
          <cell r="H1452" t="str">
            <v>RETAIL</v>
          </cell>
          <cell r="I1452" t="str">
            <v>2F</v>
          </cell>
          <cell r="J1452" t="str">
            <v>TINTING</v>
          </cell>
          <cell r="K1452" t="str">
            <v>2F04</v>
          </cell>
          <cell r="L1452" t="str">
            <v>PASTA</v>
          </cell>
          <cell r="M1452" t="str">
            <v>2F0404</v>
          </cell>
          <cell r="N1452" t="str">
            <v>PASTA WB</v>
          </cell>
        </row>
        <row r="1453">
          <cell r="C1453" t="str">
            <v>100004501</v>
          </cell>
          <cell r="D1453" t="str">
            <v>PC 8R2-CC</v>
          </cell>
          <cell r="E1453" t="str">
            <v>ZFGD</v>
          </cell>
          <cell r="F1453" t="str">
            <v>CC</v>
          </cell>
          <cell r="G1453" t="str">
            <v>2</v>
          </cell>
          <cell r="H1453" t="str">
            <v>RETAIL</v>
          </cell>
          <cell r="I1453" t="str">
            <v>2F</v>
          </cell>
          <cell r="J1453" t="str">
            <v>TINTING</v>
          </cell>
          <cell r="K1453" t="str">
            <v>2F04</v>
          </cell>
          <cell r="L1453" t="str">
            <v>PASTA</v>
          </cell>
          <cell r="M1453" t="str">
            <v>2F0404</v>
          </cell>
          <cell r="N1453" t="str">
            <v>PASTA WB</v>
          </cell>
        </row>
        <row r="1454">
          <cell r="C1454" t="str">
            <v>100004502</v>
          </cell>
          <cell r="D1454" t="str">
            <v>PC 8R3-CC</v>
          </cell>
          <cell r="E1454" t="str">
            <v>ZFGD</v>
          </cell>
          <cell r="F1454" t="str">
            <v>CC</v>
          </cell>
          <cell r="G1454" t="str">
            <v>2</v>
          </cell>
          <cell r="H1454" t="str">
            <v>RETAIL</v>
          </cell>
          <cell r="I1454" t="str">
            <v>2F</v>
          </cell>
          <cell r="J1454" t="str">
            <v>TINTING</v>
          </cell>
          <cell r="K1454" t="str">
            <v>2F04</v>
          </cell>
          <cell r="L1454" t="str">
            <v>PASTA</v>
          </cell>
          <cell r="M1454" t="str">
            <v>2F0404</v>
          </cell>
          <cell r="N1454" t="str">
            <v>PASTA WB</v>
          </cell>
        </row>
        <row r="1455">
          <cell r="C1455" t="str">
            <v>100004503</v>
          </cell>
          <cell r="D1455" t="str">
            <v>PC 8Y1-CC</v>
          </cell>
          <cell r="E1455" t="str">
            <v>ZFGD</v>
          </cell>
          <cell r="F1455" t="str">
            <v>CC</v>
          </cell>
          <cell r="G1455" t="str">
            <v>2</v>
          </cell>
          <cell r="H1455" t="str">
            <v>RETAIL</v>
          </cell>
          <cell r="I1455" t="str">
            <v>2F</v>
          </cell>
          <cell r="J1455" t="str">
            <v>TINTING</v>
          </cell>
          <cell r="K1455" t="str">
            <v>2F04</v>
          </cell>
          <cell r="L1455" t="str">
            <v>PASTA</v>
          </cell>
          <cell r="M1455" t="str">
            <v>2F0404</v>
          </cell>
          <cell r="N1455" t="str">
            <v>PASTA WB</v>
          </cell>
        </row>
        <row r="1456">
          <cell r="C1456" t="str">
            <v>100004504</v>
          </cell>
          <cell r="D1456" t="str">
            <v>PC 8Y2-CC</v>
          </cell>
          <cell r="E1456" t="str">
            <v>ZFGD</v>
          </cell>
          <cell r="F1456" t="str">
            <v>CC</v>
          </cell>
          <cell r="G1456" t="str">
            <v>2</v>
          </cell>
          <cell r="H1456" t="str">
            <v>RETAIL</v>
          </cell>
          <cell r="I1456" t="str">
            <v>2F</v>
          </cell>
          <cell r="J1456" t="str">
            <v>TINTING</v>
          </cell>
          <cell r="K1456" t="str">
            <v>2F04</v>
          </cell>
          <cell r="L1456" t="str">
            <v>PASTA</v>
          </cell>
          <cell r="M1456" t="str">
            <v>2F0404</v>
          </cell>
          <cell r="N1456" t="str">
            <v>PASTA WB</v>
          </cell>
        </row>
        <row r="1457">
          <cell r="C1457" t="str">
            <v>100004505</v>
          </cell>
          <cell r="D1457" t="str">
            <v>PC 8Y3-CC</v>
          </cell>
          <cell r="E1457" t="str">
            <v>ZFGD</v>
          </cell>
          <cell r="F1457" t="str">
            <v>CC</v>
          </cell>
          <cell r="G1457" t="str">
            <v>2</v>
          </cell>
          <cell r="H1457" t="str">
            <v>RETAIL</v>
          </cell>
          <cell r="I1457" t="str">
            <v>2F</v>
          </cell>
          <cell r="J1457" t="str">
            <v>TINTING</v>
          </cell>
          <cell r="K1457" t="str">
            <v>2F04</v>
          </cell>
          <cell r="L1457" t="str">
            <v>PASTA</v>
          </cell>
          <cell r="M1457" t="str">
            <v>2F0404</v>
          </cell>
          <cell r="N1457" t="str">
            <v>PASTA WB</v>
          </cell>
        </row>
        <row r="1458">
          <cell r="C1458" t="str">
            <v>100004506</v>
          </cell>
          <cell r="D1458" t="str">
            <v>PC 8Y4-CC</v>
          </cell>
          <cell r="E1458" t="str">
            <v>ZFGD</v>
          </cell>
          <cell r="F1458" t="str">
            <v>CC</v>
          </cell>
          <cell r="G1458" t="str">
            <v>2</v>
          </cell>
          <cell r="H1458" t="str">
            <v>RETAIL</v>
          </cell>
          <cell r="I1458" t="str">
            <v>2F</v>
          </cell>
          <cell r="J1458" t="str">
            <v>TINTING</v>
          </cell>
          <cell r="K1458" t="str">
            <v>2F04</v>
          </cell>
          <cell r="L1458" t="str">
            <v>PASTA</v>
          </cell>
          <cell r="M1458" t="str">
            <v>2F0404</v>
          </cell>
          <cell r="N1458" t="str">
            <v>PASTA WB</v>
          </cell>
        </row>
        <row r="1459">
          <cell r="C1459" t="str">
            <v>100004507</v>
          </cell>
          <cell r="D1459" t="str">
            <v>PC 8W1-CC</v>
          </cell>
          <cell r="E1459" t="str">
            <v>ZFGD</v>
          </cell>
          <cell r="F1459" t="str">
            <v>CC</v>
          </cell>
          <cell r="G1459" t="str">
            <v>2</v>
          </cell>
          <cell r="H1459" t="str">
            <v>RETAIL</v>
          </cell>
          <cell r="I1459" t="str">
            <v>2F</v>
          </cell>
          <cell r="J1459" t="str">
            <v>TINTING</v>
          </cell>
          <cell r="K1459" t="str">
            <v>2F04</v>
          </cell>
          <cell r="L1459" t="str">
            <v>PASTA</v>
          </cell>
          <cell r="M1459" t="str">
            <v>2F0404</v>
          </cell>
          <cell r="N1459" t="str">
            <v>PASTA WB</v>
          </cell>
        </row>
        <row r="1460">
          <cell r="C1460" t="str">
            <v>100004508</v>
          </cell>
          <cell r="D1460" t="str">
            <v>PC 8V1-CC</v>
          </cell>
          <cell r="E1460" t="str">
            <v>ZFGD</v>
          </cell>
          <cell r="F1460" t="str">
            <v>CC</v>
          </cell>
          <cell r="G1460" t="str">
            <v>2</v>
          </cell>
          <cell r="H1460" t="str">
            <v>RETAIL</v>
          </cell>
          <cell r="I1460" t="str">
            <v>2F</v>
          </cell>
          <cell r="J1460" t="str">
            <v>TINTING</v>
          </cell>
          <cell r="K1460" t="str">
            <v>2F04</v>
          </cell>
          <cell r="L1460" t="str">
            <v>PASTA</v>
          </cell>
          <cell r="M1460" t="str">
            <v>2F0404</v>
          </cell>
          <cell r="N1460" t="str">
            <v>PASTA WB</v>
          </cell>
        </row>
        <row r="1461">
          <cell r="C1461" t="str">
            <v>100004509</v>
          </cell>
          <cell r="D1461" t="str">
            <v>PC 8B1-CC</v>
          </cell>
          <cell r="E1461" t="str">
            <v>ZFGD</v>
          </cell>
          <cell r="F1461" t="str">
            <v>CC</v>
          </cell>
          <cell r="G1461" t="str">
            <v>2</v>
          </cell>
          <cell r="H1461" t="str">
            <v>RETAIL</v>
          </cell>
          <cell r="I1461" t="str">
            <v>2F</v>
          </cell>
          <cell r="J1461" t="str">
            <v>TINTING</v>
          </cell>
          <cell r="K1461" t="str">
            <v>2F04</v>
          </cell>
          <cell r="L1461" t="str">
            <v>PASTA</v>
          </cell>
          <cell r="M1461" t="str">
            <v>2F0404</v>
          </cell>
          <cell r="N1461" t="str">
            <v>PASTA WB</v>
          </cell>
        </row>
        <row r="1462">
          <cell r="C1462" t="str">
            <v>100004510</v>
          </cell>
          <cell r="D1462" t="str">
            <v>PC 8B2-CC</v>
          </cell>
          <cell r="E1462" t="str">
            <v>ZFGD</v>
          </cell>
          <cell r="F1462" t="str">
            <v>CC</v>
          </cell>
          <cell r="G1462" t="str">
            <v>2</v>
          </cell>
          <cell r="H1462" t="str">
            <v>RETAIL</v>
          </cell>
          <cell r="I1462" t="str">
            <v>2F</v>
          </cell>
          <cell r="J1462" t="str">
            <v>TINTING</v>
          </cell>
          <cell r="K1462" t="str">
            <v>2F04</v>
          </cell>
          <cell r="L1462" t="str">
            <v>PASTA</v>
          </cell>
          <cell r="M1462" t="str">
            <v>2F0404</v>
          </cell>
          <cell r="N1462" t="str">
            <v>PASTA WB</v>
          </cell>
        </row>
        <row r="1463">
          <cell r="C1463" t="str">
            <v>100004511</v>
          </cell>
          <cell r="D1463" t="str">
            <v>PC 8G1-CC</v>
          </cell>
          <cell r="E1463" t="str">
            <v>ZFGD</v>
          </cell>
          <cell r="F1463" t="str">
            <v>CC</v>
          </cell>
          <cell r="G1463" t="str">
            <v>2</v>
          </cell>
          <cell r="H1463" t="str">
            <v>RETAIL</v>
          </cell>
          <cell r="I1463" t="str">
            <v>2F</v>
          </cell>
          <cell r="J1463" t="str">
            <v>TINTING</v>
          </cell>
          <cell r="K1463" t="str">
            <v>2F04</v>
          </cell>
          <cell r="L1463" t="str">
            <v>PASTA</v>
          </cell>
          <cell r="M1463" t="str">
            <v>2F0404</v>
          </cell>
          <cell r="N1463" t="str">
            <v>PASTA WB</v>
          </cell>
        </row>
        <row r="1464">
          <cell r="C1464" t="str">
            <v>100004620</v>
          </cell>
          <cell r="D1464" t="str">
            <v>2K ACRYLIC XÁM XINGFA MỜ VN-0.8K</v>
          </cell>
          <cell r="E1464" t="str">
            <v>ZFGD</v>
          </cell>
          <cell r="F1464" t="str">
            <v>PC</v>
          </cell>
          <cell r="G1464" t="str">
            <v>2</v>
          </cell>
          <cell r="H1464" t="str">
            <v>RETAIL</v>
          </cell>
          <cell r="I1464" t="str">
            <v>22</v>
          </cell>
          <cell r="J1464" t="str">
            <v>WF2</v>
          </cell>
          <cell r="K1464" t="str">
            <v>2216</v>
          </cell>
          <cell r="L1464" t="str">
            <v>PU MULTIPURPOSE</v>
          </cell>
          <cell r="M1464" t="str">
            <v>221601</v>
          </cell>
          <cell r="N1464" t="str">
            <v>PROPAN MP PU ACR RMX</v>
          </cell>
        </row>
        <row r="1465">
          <cell r="C1465" t="str">
            <v>100004621</v>
          </cell>
          <cell r="D1465" t="str">
            <v>2K ACRYLIC XÁM XINGFA MỜ VN-16KP</v>
          </cell>
          <cell r="E1465" t="str">
            <v>ZFGD</v>
          </cell>
          <cell r="F1465" t="str">
            <v>PC</v>
          </cell>
          <cell r="G1465" t="str">
            <v>2</v>
          </cell>
          <cell r="H1465" t="str">
            <v>RETAIL</v>
          </cell>
          <cell r="I1465" t="str">
            <v>22</v>
          </cell>
          <cell r="J1465" t="str">
            <v>WF2</v>
          </cell>
          <cell r="K1465" t="str">
            <v>2216</v>
          </cell>
          <cell r="L1465" t="str">
            <v>PU MULTIPURPOSE</v>
          </cell>
          <cell r="M1465" t="str">
            <v>221601</v>
          </cell>
          <cell r="N1465" t="str">
            <v>PROPAN MP PU ACR RMX</v>
          </cell>
        </row>
        <row r="1466">
          <cell r="C1466" t="str">
            <v>100004622</v>
          </cell>
          <cell r="D1466" t="str">
            <v>2K ACRYLIC XÁM XINGFA MỜ VN-4K</v>
          </cell>
          <cell r="E1466" t="str">
            <v>ZFGD</v>
          </cell>
          <cell r="F1466" t="str">
            <v>PC</v>
          </cell>
          <cell r="G1466" t="str">
            <v>2</v>
          </cell>
          <cell r="H1466" t="str">
            <v>RETAIL</v>
          </cell>
          <cell r="I1466" t="str">
            <v>22</v>
          </cell>
          <cell r="J1466" t="str">
            <v>WF2</v>
          </cell>
          <cell r="K1466" t="str">
            <v>2216</v>
          </cell>
          <cell r="L1466" t="str">
            <v>PU MULTIPURPOSE</v>
          </cell>
          <cell r="M1466" t="str">
            <v>221601</v>
          </cell>
          <cell r="N1466" t="str">
            <v>PROPAN MP PU ACR RMX</v>
          </cell>
        </row>
        <row r="1467">
          <cell r="C1467" t="str">
            <v>100004623</v>
          </cell>
          <cell r="D1467" t="str">
            <v>2K ACRYLIC XÁM XINGFA MỜ VN-1KS</v>
          </cell>
          <cell r="E1467" t="str">
            <v>ZFGD</v>
          </cell>
          <cell r="F1467" t="str">
            <v>SET</v>
          </cell>
          <cell r="G1467" t="str">
            <v>2</v>
          </cell>
          <cell r="H1467" t="str">
            <v>RETAIL</v>
          </cell>
          <cell r="I1467" t="str">
            <v>22</v>
          </cell>
          <cell r="J1467" t="str">
            <v>WF2</v>
          </cell>
          <cell r="K1467" t="str">
            <v>2216</v>
          </cell>
          <cell r="L1467" t="str">
            <v>PU MULTIPURPOSE</v>
          </cell>
          <cell r="M1467" t="str">
            <v>221601</v>
          </cell>
          <cell r="N1467" t="str">
            <v>PROPAN MP PU ACR RMX</v>
          </cell>
        </row>
        <row r="1468">
          <cell r="C1468" t="str">
            <v>100004624</v>
          </cell>
          <cell r="D1468" t="str">
            <v>2K ACRYLIC XÁM XINGFA MỜ VN-20KSP</v>
          </cell>
          <cell r="E1468" t="str">
            <v>ZFGD</v>
          </cell>
          <cell r="F1468" t="str">
            <v>SET</v>
          </cell>
          <cell r="G1468" t="str">
            <v>2</v>
          </cell>
          <cell r="H1468" t="str">
            <v>RETAIL</v>
          </cell>
          <cell r="I1468" t="str">
            <v>22</v>
          </cell>
          <cell r="J1468" t="str">
            <v>WF2</v>
          </cell>
          <cell r="K1468" t="str">
            <v>2216</v>
          </cell>
          <cell r="L1468" t="str">
            <v>PU MULTIPURPOSE</v>
          </cell>
          <cell r="M1468" t="str">
            <v>221601</v>
          </cell>
          <cell r="N1468" t="str">
            <v>PROPAN MP PU ACR RMX</v>
          </cell>
        </row>
        <row r="1469">
          <cell r="C1469" t="str">
            <v>100004625</v>
          </cell>
          <cell r="D1469" t="str">
            <v>2K ACRYLIC XÁM XINGFA MỜ VN-5KS</v>
          </cell>
          <cell r="E1469" t="str">
            <v>ZFGD</v>
          </cell>
          <cell r="F1469" t="str">
            <v>SET</v>
          </cell>
          <cell r="G1469" t="str">
            <v>2</v>
          </cell>
          <cell r="H1469" t="str">
            <v>RETAIL</v>
          </cell>
          <cell r="I1469" t="str">
            <v>22</v>
          </cell>
          <cell r="J1469" t="str">
            <v>WF2</v>
          </cell>
          <cell r="K1469" t="str">
            <v>2216</v>
          </cell>
          <cell r="L1469" t="str">
            <v>PU MULTIPURPOSE</v>
          </cell>
          <cell r="M1469" t="str">
            <v>221601</v>
          </cell>
          <cell r="N1469" t="str">
            <v>PROPAN MP PU ACR RMX</v>
          </cell>
        </row>
        <row r="1470">
          <cell r="C1470" t="str">
            <v>100004681</v>
          </cell>
          <cell r="D1470" t="str">
            <v>DP-4010 BASE-18LP</v>
          </cell>
          <cell r="E1470" t="str">
            <v>ZFGD</v>
          </cell>
          <cell r="F1470" t="str">
            <v>PC</v>
          </cell>
          <cell r="G1470" t="str">
            <v>3</v>
          </cell>
          <cell r="H1470" t="str">
            <v>TRADING</v>
          </cell>
          <cell r="I1470" t="str">
            <v>38</v>
          </cell>
          <cell r="J1470" t="str">
            <v>ALKANA TRADING</v>
          </cell>
          <cell r="K1470" t="str">
            <v>3801</v>
          </cell>
          <cell r="L1470" t="str">
            <v>COATING</v>
          </cell>
          <cell r="M1470" t="str">
            <v>380101</v>
          </cell>
          <cell r="N1470" t="str">
            <v>DECOR PLAST</v>
          </cell>
        </row>
        <row r="1471">
          <cell r="C1471" t="str">
            <v>100004682</v>
          </cell>
          <cell r="D1471" t="str">
            <v>PFT-215 PALE GREEN VN-18KP</v>
          </cell>
          <cell r="E1471" t="str">
            <v>ZFGD</v>
          </cell>
          <cell r="F1471" t="str">
            <v>PC</v>
          </cell>
          <cell r="G1471" t="str">
            <v>5</v>
          </cell>
          <cell r="H1471" t="str">
            <v>PROJECT</v>
          </cell>
          <cell r="I1471" t="str">
            <v>56</v>
          </cell>
          <cell r="J1471" t="str">
            <v>CPC1</v>
          </cell>
          <cell r="K1471" t="str">
            <v>5602</v>
          </cell>
          <cell r="L1471" t="str">
            <v>POLYFLOOR</v>
          </cell>
          <cell r="M1471" t="str">
            <v>560207</v>
          </cell>
          <cell r="N1471" t="str">
            <v>POLYFLOOR EPOXY SOLVENT FREE</v>
          </cell>
        </row>
        <row r="1472">
          <cell r="C1472" t="str">
            <v>100004683</v>
          </cell>
          <cell r="D1472" t="str">
            <v>HARDENER PFT-215 VN-3K</v>
          </cell>
          <cell r="E1472" t="str">
            <v>ZFGD</v>
          </cell>
          <cell r="F1472" t="str">
            <v>PC</v>
          </cell>
          <cell r="G1472" t="str">
            <v>5</v>
          </cell>
          <cell r="H1472" t="str">
            <v>PROJECT</v>
          </cell>
          <cell r="I1472" t="str">
            <v>56</v>
          </cell>
          <cell r="J1472" t="str">
            <v>CPC1</v>
          </cell>
          <cell r="K1472" t="str">
            <v>5602</v>
          </cell>
          <cell r="L1472" t="str">
            <v>POLYFLOOR</v>
          </cell>
          <cell r="M1472" t="str">
            <v>560207</v>
          </cell>
          <cell r="N1472" t="str">
            <v>POLYFLOOR EPOXY SOLVENT FREE</v>
          </cell>
        </row>
        <row r="1473">
          <cell r="C1473" t="str">
            <v>100004684</v>
          </cell>
          <cell r="D1473" t="str">
            <v>PFT-215 PALE GREEN VN-21KSP</v>
          </cell>
          <cell r="E1473" t="str">
            <v>ZFGD</v>
          </cell>
          <cell r="F1473" t="str">
            <v>SET</v>
          </cell>
          <cell r="G1473" t="str">
            <v>5</v>
          </cell>
          <cell r="H1473" t="str">
            <v>PROJECT</v>
          </cell>
          <cell r="I1473" t="str">
            <v>56</v>
          </cell>
          <cell r="J1473" t="str">
            <v>CPC1</v>
          </cell>
          <cell r="K1473" t="str">
            <v>5602</v>
          </cell>
          <cell r="L1473" t="str">
            <v>POLYFLOOR</v>
          </cell>
          <cell r="M1473" t="str">
            <v>560207</v>
          </cell>
          <cell r="N1473" t="str">
            <v>POLYFLOOR EPOXY SOLVENT FREE</v>
          </cell>
        </row>
        <row r="1474">
          <cell r="C1474" t="str">
            <v>100004701</v>
          </cell>
          <cell r="D1474" t="str">
            <v>PFT-215 YELLOW VC VN-18KP</v>
          </cell>
          <cell r="E1474" t="str">
            <v>ZFGD</v>
          </cell>
          <cell r="F1474" t="str">
            <v>PC</v>
          </cell>
          <cell r="G1474" t="str">
            <v>5</v>
          </cell>
          <cell r="H1474" t="str">
            <v>PROJECT</v>
          </cell>
          <cell r="I1474" t="str">
            <v>56</v>
          </cell>
          <cell r="J1474" t="str">
            <v>CPC1</v>
          </cell>
          <cell r="K1474" t="str">
            <v>5602</v>
          </cell>
          <cell r="L1474" t="str">
            <v>POLYFLOOR</v>
          </cell>
          <cell r="M1474" t="str">
            <v>560207</v>
          </cell>
          <cell r="N1474" t="str">
            <v>POLYFLOOR EPOXY SOLVENT FREE</v>
          </cell>
        </row>
        <row r="1475">
          <cell r="C1475" t="str">
            <v>100004702</v>
          </cell>
          <cell r="D1475" t="str">
            <v>PFT-215 YELLOW VC VN-21KSP</v>
          </cell>
          <cell r="E1475" t="str">
            <v>ZFGD</v>
          </cell>
          <cell r="F1475" t="str">
            <v>SET</v>
          </cell>
          <cell r="G1475" t="str">
            <v>5</v>
          </cell>
          <cell r="H1475" t="str">
            <v>PROJECT</v>
          </cell>
          <cell r="I1475" t="str">
            <v>56</v>
          </cell>
          <cell r="J1475" t="str">
            <v>CPC1</v>
          </cell>
          <cell r="K1475" t="str">
            <v>5602</v>
          </cell>
          <cell r="L1475" t="str">
            <v>POLYFLOOR</v>
          </cell>
          <cell r="M1475" t="str">
            <v>560207</v>
          </cell>
          <cell r="N1475" t="str">
            <v>POLYFLOOR EPOXY SOLVENT FREE</v>
          </cell>
        </row>
        <row r="1476">
          <cell r="C1476" t="str">
            <v>100004713</v>
          </cell>
          <cell r="D1476" t="str">
            <v>MX-98 LIGHT GREY VN-18KP</v>
          </cell>
          <cell r="E1476" t="str">
            <v>ZFGD</v>
          </cell>
          <cell r="F1476" t="str">
            <v>PC</v>
          </cell>
          <cell r="G1476" t="str">
            <v>5</v>
          </cell>
          <cell r="H1476" t="str">
            <v>PROJECT</v>
          </cell>
          <cell r="I1476" t="str">
            <v>56</v>
          </cell>
          <cell r="J1476" t="str">
            <v>CPC1</v>
          </cell>
          <cell r="K1476" t="str">
            <v>5603</v>
          </cell>
          <cell r="L1476" t="str">
            <v>MULTIPOX</v>
          </cell>
          <cell r="M1476" t="str">
            <v>560301</v>
          </cell>
          <cell r="N1476" t="str">
            <v>MULTIPOX</v>
          </cell>
        </row>
        <row r="1477">
          <cell r="C1477" t="str">
            <v>100004714</v>
          </cell>
          <cell r="D1477" t="str">
            <v>HARDENER MX-98 VN-3K</v>
          </cell>
          <cell r="E1477" t="str">
            <v>ZFGD</v>
          </cell>
          <cell r="F1477" t="str">
            <v>PC</v>
          </cell>
          <cell r="G1477" t="str">
            <v>5</v>
          </cell>
          <cell r="H1477" t="str">
            <v>PROJECT</v>
          </cell>
          <cell r="I1477" t="str">
            <v>56</v>
          </cell>
          <cell r="J1477" t="str">
            <v>CPC1</v>
          </cell>
          <cell r="K1477" t="str">
            <v>5603</v>
          </cell>
          <cell r="L1477" t="str">
            <v>MULTIPOX</v>
          </cell>
          <cell r="M1477" t="str">
            <v>560301</v>
          </cell>
          <cell r="N1477" t="str">
            <v>MULTIPOX</v>
          </cell>
        </row>
        <row r="1478">
          <cell r="C1478" t="str">
            <v>100004715</v>
          </cell>
          <cell r="D1478" t="str">
            <v>MX-98 LIGHT GREY VN-21KSP</v>
          </cell>
          <cell r="E1478" t="str">
            <v>ZFGD</v>
          </cell>
          <cell r="F1478" t="str">
            <v>SET</v>
          </cell>
          <cell r="G1478" t="str">
            <v>5</v>
          </cell>
          <cell r="H1478" t="str">
            <v>PROJECT</v>
          </cell>
          <cell r="I1478" t="str">
            <v>56</v>
          </cell>
          <cell r="J1478" t="str">
            <v>CPC1</v>
          </cell>
          <cell r="K1478" t="str">
            <v>5603</v>
          </cell>
          <cell r="L1478" t="str">
            <v>MULTIPOX</v>
          </cell>
          <cell r="M1478" t="str">
            <v>560301</v>
          </cell>
          <cell r="N1478" t="str">
            <v>MULTIPOX</v>
          </cell>
        </row>
        <row r="1479">
          <cell r="C1479" t="str">
            <v>100004721</v>
          </cell>
          <cell r="D1479" t="str">
            <v>MX-98 TRẮNG VN-18KP</v>
          </cell>
          <cell r="E1479" t="str">
            <v>ZFGD</v>
          </cell>
          <cell r="F1479" t="str">
            <v>PC</v>
          </cell>
          <cell r="G1479" t="str">
            <v>5</v>
          </cell>
          <cell r="H1479" t="str">
            <v>PROJECT</v>
          </cell>
          <cell r="I1479" t="str">
            <v>56</v>
          </cell>
          <cell r="J1479" t="str">
            <v>CPC1</v>
          </cell>
          <cell r="K1479" t="str">
            <v>5603</v>
          </cell>
          <cell r="L1479" t="str">
            <v>MULTIPOX</v>
          </cell>
          <cell r="M1479" t="str">
            <v>560301</v>
          </cell>
          <cell r="N1479" t="str">
            <v>MULTIPOX</v>
          </cell>
        </row>
        <row r="1480">
          <cell r="C1480" t="str">
            <v>100004722</v>
          </cell>
          <cell r="D1480" t="str">
            <v>MX-98 TRẮNG VN-21KSP</v>
          </cell>
          <cell r="E1480" t="str">
            <v>ZFGD</v>
          </cell>
          <cell r="F1480" t="str">
            <v>SET</v>
          </cell>
          <cell r="G1480" t="str">
            <v>5</v>
          </cell>
          <cell r="H1480" t="str">
            <v>PROJECT</v>
          </cell>
          <cell r="I1480" t="str">
            <v>56</v>
          </cell>
          <cell r="J1480" t="str">
            <v>CPC1</v>
          </cell>
          <cell r="K1480" t="str">
            <v>5603</v>
          </cell>
          <cell r="L1480" t="str">
            <v>MULTIPOX</v>
          </cell>
          <cell r="M1480" t="str">
            <v>560301</v>
          </cell>
          <cell r="N1480" t="str">
            <v>MULTIPOX</v>
          </cell>
        </row>
        <row r="1481">
          <cell r="C1481" t="str">
            <v>100004725</v>
          </cell>
          <cell r="D1481" t="str">
            <v>#NUEDP-551 BLACK (ÐEN) VN-0.9K</v>
          </cell>
          <cell r="E1481" t="str">
            <v>ZFGD</v>
          </cell>
          <cell r="F1481" t="str">
            <v>PC</v>
          </cell>
          <cell r="G1481" t="str">
            <v>5</v>
          </cell>
          <cell r="H1481" t="str">
            <v>PROJECT</v>
          </cell>
          <cell r="I1481" t="str">
            <v>59</v>
          </cell>
          <cell r="J1481" t="str">
            <v>MPC</v>
          </cell>
          <cell r="K1481" t="str">
            <v>5904</v>
          </cell>
          <cell r="L1481" t="str">
            <v>METALKOTE</v>
          </cell>
          <cell r="M1481" t="str">
            <v>590402</v>
          </cell>
          <cell r="N1481" t="str">
            <v>METALKOTE-EPOXY SYS</v>
          </cell>
        </row>
        <row r="1482">
          <cell r="C1482" t="str">
            <v>100004726</v>
          </cell>
          <cell r="D1482" t="str">
            <v>#NUEDP-551 DARK GREY (XÁM XINGFA)VN-0.9K</v>
          </cell>
          <cell r="E1482" t="str">
            <v>ZFGD</v>
          </cell>
          <cell r="F1482" t="str">
            <v>PC</v>
          </cell>
          <cell r="G1482" t="str">
            <v>5</v>
          </cell>
          <cell r="H1482" t="str">
            <v>PROJECT</v>
          </cell>
          <cell r="I1482" t="str">
            <v>59</v>
          </cell>
          <cell r="J1482" t="str">
            <v>MPC</v>
          </cell>
          <cell r="K1482" t="str">
            <v>5904</v>
          </cell>
          <cell r="L1482" t="str">
            <v>METALKOTE</v>
          </cell>
          <cell r="M1482" t="str">
            <v>590402</v>
          </cell>
          <cell r="N1482" t="str">
            <v>METALKOTE-EPOXY SYS</v>
          </cell>
        </row>
        <row r="1483">
          <cell r="C1483" t="str">
            <v>100004727</v>
          </cell>
          <cell r="D1483" t="str">
            <v>#NUEDP-551 RED OXIDE (ĐỎ) VN-0.9K</v>
          </cell>
          <cell r="E1483" t="str">
            <v>ZFGD</v>
          </cell>
          <cell r="F1483" t="str">
            <v>PC</v>
          </cell>
          <cell r="G1483" t="str">
            <v>5</v>
          </cell>
          <cell r="H1483" t="str">
            <v>PROJECT</v>
          </cell>
          <cell r="I1483" t="str">
            <v>59</v>
          </cell>
          <cell r="J1483" t="str">
            <v>MPC</v>
          </cell>
          <cell r="K1483" t="str">
            <v>5904</v>
          </cell>
          <cell r="L1483" t="str">
            <v>METALKOTE</v>
          </cell>
          <cell r="M1483" t="str">
            <v>590402</v>
          </cell>
          <cell r="N1483" t="str">
            <v>METALKOTE-EPOXY SYS</v>
          </cell>
        </row>
        <row r="1484">
          <cell r="C1484" t="str">
            <v>100004728</v>
          </cell>
          <cell r="D1484" t="str">
            <v>#NUEDP-551 WHITE (TRẮNG) VN-0.9K</v>
          </cell>
          <cell r="E1484" t="str">
            <v>ZFGD</v>
          </cell>
          <cell r="F1484" t="str">
            <v>PC</v>
          </cell>
          <cell r="G1484" t="str">
            <v>5</v>
          </cell>
          <cell r="H1484" t="str">
            <v>PROJECT</v>
          </cell>
          <cell r="I1484" t="str">
            <v>59</v>
          </cell>
          <cell r="J1484" t="str">
            <v>MPC</v>
          </cell>
          <cell r="K1484" t="str">
            <v>5904</v>
          </cell>
          <cell r="L1484" t="str">
            <v>METALKOTE</v>
          </cell>
          <cell r="M1484" t="str">
            <v>590402</v>
          </cell>
          <cell r="N1484" t="str">
            <v>METALKOTE-EPOXY SYS</v>
          </cell>
        </row>
        <row r="1485">
          <cell r="C1485" t="str">
            <v>100004729</v>
          </cell>
          <cell r="D1485" t="str">
            <v>#NUEDP-551 ZINC CHROMATE (XANH) VN-0.9K</v>
          </cell>
          <cell r="E1485" t="str">
            <v>ZFGD</v>
          </cell>
          <cell r="F1485" t="str">
            <v>PC</v>
          </cell>
          <cell r="G1485" t="str">
            <v>5</v>
          </cell>
          <cell r="H1485" t="str">
            <v>PROJECT</v>
          </cell>
          <cell r="I1485" t="str">
            <v>59</v>
          </cell>
          <cell r="J1485" t="str">
            <v>MPC</v>
          </cell>
          <cell r="K1485" t="str">
            <v>5904</v>
          </cell>
          <cell r="L1485" t="str">
            <v>METALKOTE</v>
          </cell>
          <cell r="M1485" t="str">
            <v>590402</v>
          </cell>
          <cell r="N1485" t="str">
            <v>METALKOTE-EPOXY SYS</v>
          </cell>
        </row>
        <row r="1486">
          <cell r="C1486" t="str">
            <v>100004730</v>
          </cell>
          <cell r="D1486" t="str">
            <v>#NUEDP-551 ZINC PHOSPHATE (XÁM) VN-0.9K</v>
          </cell>
          <cell r="E1486" t="str">
            <v>ZFGD</v>
          </cell>
          <cell r="F1486" t="str">
            <v>PC</v>
          </cell>
          <cell r="G1486" t="str">
            <v>5</v>
          </cell>
          <cell r="H1486" t="str">
            <v>PROJECT</v>
          </cell>
          <cell r="I1486" t="str">
            <v>59</v>
          </cell>
          <cell r="J1486" t="str">
            <v>MPC</v>
          </cell>
          <cell r="K1486" t="str">
            <v>5904</v>
          </cell>
          <cell r="L1486" t="str">
            <v>METALKOTE</v>
          </cell>
          <cell r="M1486" t="str">
            <v>590402</v>
          </cell>
          <cell r="N1486" t="str">
            <v>METALKOTE-EPOXY SYS</v>
          </cell>
        </row>
        <row r="1487">
          <cell r="C1487" t="str">
            <v>100004731</v>
          </cell>
          <cell r="D1487" t="str">
            <v>#NUEDP-551 BLACK (ÐEN) VN-4.5K</v>
          </cell>
          <cell r="E1487" t="str">
            <v>ZFGD</v>
          </cell>
          <cell r="F1487" t="str">
            <v>PC</v>
          </cell>
          <cell r="G1487" t="str">
            <v>5</v>
          </cell>
          <cell r="H1487" t="str">
            <v>PROJECT</v>
          </cell>
          <cell r="I1487" t="str">
            <v>59</v>
          </cell>
          <cell r="J1487" t="str">
            <v>MPC</v>
          </cell>
          <cell r="K1487" t="str">
            <v>5904</v>
          </cell>
          <cell r="L1487" t="str">
            <v>METALKOTE</v>
          </cell>
          <cell r="M1487" t="str">
            <v>590402</v>
          </cell>
          <cell r="N1487" t="str">
            <v>METALKOTE-EPOXY SYS</v>
          </cell>
        </row>
        <row r="1488">
          <cell r="C1488" t="str">
            <v>100004732</v>
          </cell>
          <cell r="D1488" t="str">
            <v>#NEDP-551 DARK GREY (XÁM XINGFA) VN-4.5K</v>
          </cell>
          <cell r="E1488" t="str">
            <v>ZFGD</v>
          </cell>
          <cell r="F1488" t="str">
            <v>PC</v>
          </cell>
          <cell r="G1488" t="str">
            <v>5</v>
          </cell>
          <cell r="H1488" t="str">
            <v>PROJECT</v>
          </cell>
          <cell r="I1488" t="str">
            <v>59</v>
          </cell>
          <cell r="J1488" t="str">
            <v>MPC</v>
          </cell>
          <cell r="K1488" t="str">
            <v>5904</v>
          </cell>
          <cell r="L1488" t="str">
            <v>METALKOTE</v>
          </cell>
          <cell r="M1488" t="str">
            <v>590402</v>
          </cell>
          <cell r="N1488" t="str">
            <v>METALKOTE-EPOXY SYS</v>
          </cell>
        </row>
        <row r="1489">
          <cell r="C1489" t="str">
            <v>100004733</v>
          </cell>
          <cell r="D1489" t="str">
            <v>#NUEDP-551 RED OXIDE (ĐỎ) VN-4.5K</v>
          </cell>
          <cell r="E1489" t="str">
            <v>ZFGD</v>
          </cell>
          <cell r="F1489" t="str">
            <v>PC</v>
          </cell>
          <cell r="G1489" t="str">
            <v>5</v>
          </cell>
          <cell r="H1489" t="str">
            <v>PROJECT</v>
          </cell>
          <cell r="I1489" t="str">
            <v>59</v>
          </cell>
          <cell r="J1489" t="str">
            <v>MPC</v>
          </cell>
          <cell r="K1489" t="str">
            <v>5904</v>
          </cell>
          <cell r="L1489" t="str">
            <v>METALKOTE</v>
          </cell>
          <cell r="M1489" t="str">
            <v>590402</v>
          </cell>
          <cell r="N1489" t="str">
            <v>METALKOTE-EPOXY SYS</v>
          </cell>
        </row>
        <row r="1490">
          <cell r="C1490" t="str">
            <v>100004734</v>
          </cell>
          <cell r="D1490" t="str">
            <v>#NUEDP-551 WHITE (TRẮNG) VN-4.5K</v>
          </cell>
          <cell r="E1490" t="str">
            <v>ZFGD</v>
          </cell>
          <cell r="F1490" t="str">
            <v>PC</v>
          </cell>
          <cell r="G1490" t="str">
            <v>5</v>
          </cell>
          <cell r="H1490" t="str">
            <v>PROJECT</v>
          </cell>
          <cell r="I1490" t="str">
            <v>59</v>
          </cell>
          <cell r="J1490" t="str">
            <v>MPC</v>
          </cell>
          <cell r="K1490" t="str">
            <v>5904</v>
          </cell>
          <cell r="L1490" t="str">
            <v>METALKOTE</v>
          </cell>
          <cell r="M1490" t="str">
            <v>590402</v>
          </cell>
          <cell r="N1490" t="str">
            <v>METALKOTE-EPOXY SYS</v>
          </cell>
        </row>
        <row r="1491">
          <cell r="C1491" t="str">
            <v>100004735</v>
          </cell>
          <cell r="D1491" t="str">
            <v>#NUEDP-551 ZINC CHROMATE (XANH) VN-4.5K</v>
          </cell>
          <cell r="E1491" t="str">
            <v>ZFGD</v>
          </cell>
          <cell r="F1491" t="str">
            <v>PC</v>
          </cell>
          <cell r="G1491" t="str">
            <v>5</v>
          </cell>
          <cell r="H1491" t="str">
            <v>PROJECT</v>
          </cell>
          <cell r="I1491" t="str">
            <v>59</v>
          </cell>
          <cell r="J1491" t="str">
            <v>MPC</v>
          </cell>
          <cell r="K1491" t="str">
            <v>5904</v>
          </cell>
          <cell r="L1491" t="str">
            <v>METALKOTE</v>
          </cell>
          <cell r="M1491" t="str">
            <v>590402</v>
          </cell>
          <cell r="N1491" t="str">
            <v>METALKOTE-EPOXY SYS</v>
          </cell>
        </row>
        <row r="1492">
          <cell r="C1492" t="str">
            <v>100004736</v>
          </cell>
          <cell r="D1492" t="str">
            <v>#NUEDP-551 ZINC PHOSPHATE (XÁM) VN-4.5K</v>
          </cell>
          <cell r="E1492" t="str">
            <v>ZFGD</v>
          </cell>
          <cell r="F1492" t="str">
            <v>PC</v>
          </cell>
          <cell r="G1492" t="str">
            <v>5</v>
          </cell>
          <cell r="H1492" t="str">
            <v>PROJECT</v>
          </cell>
          <cell r="I1492" t="str">
            <v>59</v>
          </cell>
          <cell r="J1492" t="str">
            <v>MPC</v>
          </cell>
          <cell r="K1492" t="str">
            <v>5904</v>
          </cell>
          <cell r="L1492" t="str">
            <v>METALKOTE</v>
          </cell>
          <cell r="M1492" t="str">
            <v>590402</v>
          </cell>
          <cell r="N1492" t="str">
            <v>METALKOTE-EPOXY SYS</v>
          </cell>
        </row>
        <row r="1493">
          <cell r="C1493" t="str">
            <v>100004737</v>
          </cell>
          <cell r="D1493" t="str">
            <v>#NUEDP-551 BLACK (ÐEN) VN-18KP</v>
          </cell>
          <cell r="E1493" t="str">
            <v>ZFGD</v>
          </cell>
          <cell r="F1493" t="str">
            <v>PC</v>
          </cell>
          <cell r="G1493" t="str">
            <v>5</v>
          </cell>
          <cell r="H1493" t="str">
            <v>PROJECT</v>
          </cell>
          <cell r="I1493" t="str">
            <v>59</v>
          </cell>
          <cell r="J1493" t="str">
            <v>MPC</v>
          </cell>
          <cell r="K1493" t="str">
            <v>5904</v>
          </cell>
          <cell r="L1493" t="str">
            <v>METALKOTE</v>
          </cell>
          <cell r="M1493" t="str">
            <v>590402</v>
          </cell>
          <cell r="N1493" t="str">
            <v>METALKOTE-EPOXY SYS</v>
          </cell>
        </row>
        <row r="1494">
          <cell r="C1494" t="str">
            <v>100004738</v>
          </cell>
          <cell r="D1494" t="str">
            <v>#NEDP-551 DARK GREY (XÁM XINGFA) VN-18KP</v>
          </cell>
          <cell r="E1494" t="str">
            <v>ZFGD</v>
          </cell>
          <cell r="F1494" t="str">
            <v>PC</v>
          </cell>
          <cell r="G1494" t="str">
            <v>5</v>
          </cell>
          <cell r="H1494" t="str">
            <v>PROJECT</v>
          </cell>
          <cell r="I1494" t="str">
            <v>59</v>
          </cell>
          <cell r="J1494" t="str">
            <v>MPC</v>
          </cell>
          <cell r="K1494" t="str">
            <v>5904</v>
          </cell>
          <cell r="L1494" t="str">
            <v>METALKOTE</v>
          </cell>
          <cell r="M1494" t="str">
            <v>590402</v>
          </cell>
          <cell r="N1494" t="str">
            <v>METALKOTE-EPOXY SYS</v>
          </cell>
        </row>
        <row r="1495">
          <cell r="C1495" t="str">
            <v>100004739</v>
          </cell>
          <cell r="D1495" t="str">
            <v>#NUEDP-551 RED OXIDE (ĐỎ) VN-18KP</v>
          </cell>
          <cell r="E1495" t="str">
            <v>ZFGD</v>
          </cell>
          <cell r="F1495" t="str">
            <v>PC</v>
          </cell>
          <cell r="G1495" t="str">
            <v>5</v>
          </cell>
          <cell r="H1495" t="str">
            <v>PROJECT</v>
          </cell>
          <cell r="I1495" t="str">
            <v>59</v>
          </cell>
          <cell r="J1495" t="str">
            <v>MPC</v>
          </cell>
          <cell r="K1495" t="str">
            <v>5904</v>
          </cell>
          <cell r="L1495" t="str">
            <v>METALKOTE</v>
          </cell>
          <cell r="M1495" t="str">
            <v>590402</v>
          </cell>
          <cell r="N1495" t="str">
            <v>METALKOTE-EPOXY SYS</v>
          </cell>
        </row>
        <row r="1496">
          <cell r="C1496" t="str">
            <v>100004740</v>
          </cell>
          <cell r="D1496" t="str">
            <v>#NUEDP-551 WHITE (TRẮNG) VN-18KP</v>
          </cell>
          <cell r="E1496" t="str">
            <v>ZFGD</v>
          </cell>
          <cell r="F1496" t="str">
            <v>PC</v>
          </cell>
          <cell r="G1496" t="str">
            <v>5</v>
          </cell>
          <cell r="H1496" t="str">
            <v>PROJECT</v>
          </cell>
          <cell r="I1496" t="str">
            <v>59</v>
          </cell>
          <cell r="J1496" t="str">
            <v>MPC</v>
          </cell>
          <cell r="K1496" t="str">
            <v>5904</v>
          </cell>
          <cell r="L1496" t="str">
            <v>METALKOTE</v>
          </cell>
          <cell r="M1496" t="str">
            <v>590402</v>
          </cell>
          <cell r="N1496" t="str">
            <v>METALKOTE-EPOXY SYS</v>
          </cell>
        </row>
        <row r="1497">
          <cell r="C1497" t="str">
            <v>100004741</v>
          </cell>
          <cell r="D1497" t="str">
            <v>#NUEDP-551 ZINC CHROMATE (XANH) VN-18KP</v>
          </cell>
          <cell r="E1497" t="str">
            <v>ZFGD</v>
          </cell>
          <cell r="F1497" t="str">
            <v>PC</v>
          </cell>
          <cell r="G1497" t="str">
            <v>5</v>
          </cell>
          <cell r="H1497" t="str">
            <v>PROJECT</v>
          </cell>
          <cell r="I1497" t="str">
            <v>59</v>
          </cell>
          <cell r="J1497" t="str">
            <v>MPC</v>
          </cell>
          <cell r="K1497" t="str">
            <v>5904</v>
          </cell>
          <cell r="L1497" t="str">
            <v>METALKOTE</v>
          </cell>
          <cell r="M1497" t="str">
            <v>590402</v>
          </cell>
          <cell r="N1497" t="str">
            <v>METALKOTE-EPOXY SYS</v>
          </cell>
        </row>
        <row r="1498">
          <cell r="C1498" t="str">
            <v>100004743</v>
          </cell>
          <cell r="D1498" t="str">
            <v>#NUEDP-551 BLACK (ÐEN) VN-1KS</v>
          </cell>
          <cell r="E1498" t="str">
            <v>ZFGD</v>
          </cell>
          <cell r="F1498" t="str">
            <v>SET</v>
          </cell>
          <cell r="G1498" t="str">
            <v>5</v>
          </cell>
          <cell r="H1498" t="str">
            <v>PROJECT</v>
          </cell>
          <cell r="I1498" t="str">
            <v>59</v>
          </cell>
          <cell r="J1498" t="str">
            <v>MPC</v>
          </cell>
          <cell r="K1498" t="str">
            <v>5904</v>
          </cell>
          <cell r="L1498" t="str">
            <v>METALKOTE</v>
          </cell>
          <cell r="M1498" t="str">
            <v>590402</v>
          </cell>
          <cell r="N1498" t="str">
            <v>METALKOTE-EPOXY SYS</v>
          </cell>
        </row>
        <row r="1499">
          <cell r="C1499" t="str">
            <v>100004744</v>
          </cell>
          <cell r="D1499" t="str">
            <v>#NUEDP-551 DARK GREY (XÁM XINGFA) VN-1KS</v>
          </cell>
          <cell r="E1499" t="str">
            <v>ZFGD</v>
          </cell>
          <cell r="F1499" t="str">
            <v>SET</v>
          </cell>
          <cell r="G1499" t="str">
            <v>5</v>
          </cell>
          <cell r="H1499" t="str">
            <v>PROJECT</v>
          </cell>
          <cell r="I1499" t="str">
            <v>59</v>
          </cell>
          <cell r="J1499" t="str">
            <v>MPC</v>
          </cell>
          <cell r="K1499" t="str">
            <v>5904</v>
          </cell>
          <cell r="L1499" t="str">
            <v>METALKOTE</v>
          </cell>
          <cell r="M1499" t="str">
            <v>590402</v>
          </cell>
          <cell r="N1499" t="str">
            <v>METALKOTE-EPOXY SYS</v>
          </cell>
        </row>
        <row r="1500">
          <cell r="C1500" t="str">
            <v>100004745</v>
          </cell>
          <cell r="D1500" t="str">
            <v>#NUEDP-551 RED OXIDE (ĐỎ) VN-1KS</v>
          </cell>
          <cell r="E1500" t="str">
            <v>ZFGD</v>
          </cell>
          <cell r="F1500" t="str">
            <v>SET</v>
          </cell>
          <cell r="G1500" t="str">
            <v>5</v>
          </cell>
          <cell r="H1500" t="str">
            <v>PROJECT</v>
          </cell>
          <cell r="I1500" t="str">
            <v>59</v>
          </cell>
          <cell r="J1500" t="str">
            <v>MPC</v>
          </cell>
          <cell r="K1500" t="str">
            <v>5904</v>
          </cell>
          <cell r="L1500" t="str">
            <v>METALKOTE</v>
          </cell>
          <cell r="M1500" t="str">
            <v>590402</v>
          </cell>
          <cell r="N1500" t="str">
            <v>METALKOTE-EPOXY SYS</v>
          </cell>
        </row>
        <row r="1501">
          <cell r="C1501" t="str">
            <v>100004746</v>
          </cell>
          <cell r="D1501" t="str">
            <v>#NUEDP-551 WHITE (TRẮNG) VN-1KS</v>
          </cell>
          <cell r="E1501" t="str">
            <v>ZFGD</v>
          </cell>
          <cell r="F1501" t="str">
            <v>SET</v>
          </cell>
          <cell r="G1501" t="str">
            <v>5</v>
          </cell>
          <cell r="H1501" t="str">
            <v>PROJECT</v>
          </cell>
          <cell r="I1501" t="str">
            <v>59</v>
          </cell>
          <cell r="J1501" t="str">
            <v>MPC</v>
          </cell>
          <cell r="K1501" t="str">
            <v>5904</v>
          </cell>
          <cell r="L1501" t="str">
            <v>METALKOTE</v>
          </cell>
          <cell r="M1501" t="str">
            <v>590402</v>
          </cell>
          <cell r="N1501" t="str">
            <v>METALKOTE-EPOXY SYS</v>
          </cell>
        </row>
        <row r="1502">
          <cell r="C1502" t="str">
            <v>100004747</v>
          </cell>
          <cell r="D1502" t="str">
            <v>#NUEDP-551 ZINC CHROMATE (XANH) VN-1KS</v>
          </cell>
          <cell r="E1502" t="str">
            <v>ZFGD</v>
          </cell>
          <cell r="F1502" t="str">
            <v>SET</v>
          </cell>
          <cell r="G1502" t="str">
            <v>5</v>
          </cell>
          <cell r="H1502" t="str">
            <v>PROJECT</v>
          </cell>
          <cell r="I1502" t="str">
            <v>59</v>
          </cell>
          <cell r="J1502" t="str">
            <v>MPC</v>
          </cell>
          <cell r="K1502" t="str">
            <v>5904</v>
          </cell>
          <cell r="L1502" t="str">
            <v>METALKOTE</v>
          </cell>
          <cell r="M1502" t="str">
            <v>590402</v>
          </cell>
          <cell r="N1502" t="str">
            <v>METALKOTE-EPOXY SYS</v>
          </cell>
        </row>
        <row r="1503">
          <cell r="C1503" t="str">
            <v>100004748</v>
          </cell>
          <cell r="D1503" t="str">
            <v>#NUEDP-551 ZINC PHOSPHATE (XÁM) VN-1KS</v>
          </cell>
          <cell r="E1503" t="str">
            <v>ZFGD</v>
          </cell>
          <cell r="F1503" t="str">
            <v>SET</v>
          </cell>
          <cell r="G1503" t="str">
            <v>5</v>
          </cell>
          <cell r="H1503" t="str">
            <v>PROJECT</v>
          </cell>
          <cell r="I1503" t="str">
            <v>59</v>
          </cell>
          <cell r="J1503" t="str">
            <v>MPC</v>
          </cell>
          <cell r="K1503" t="str">
            <v>5904</v>
          </cell>
          <cell r="L1503" t="str">
            <v>METALKOTE</v>
          </cell>
          <cell r="M1503" t="str">
            <v>590402</v>
          </cell>
          <cell r="N1503" t="str">
            <v>METALKOTE-EPOXY SYS</v>
          </cell>
        </row>
        <row r="1504">
          <cell r="C1504" t="str">
            <v>100004749</v>
          </cell>
          <cell r="D1504" t="str">
            <v>#NUEDP-551 BLACK (ÐEN) VN-5KS</v>
          </cell>
          <cell r="E1504" t="str">
            <v>ZFGD</v>
          </cell>
          <cell r="F1504" t="str">
            <v>SET</v>
          </cell>
          <cell r="G1504" t="str">
            <v>5</v>
          </cell>
          <cell r="H1504" t="str">
            <v>PROJECT</v>
          </cell>
          <cell r="I1504" t="str">
            <v>59</v>
          </cell>
          <cell r="J1504" t="str">
            <v>MPC</v>
          </cell>
          <cell r="K1504" t="str">
            <v>5904</v>
          </cell>
          <cell r="L1504" t="str">
            <v>METALKOTE</v>
          </cell>
          <cell r="M1504" t="str">
            <v>590402</v>
          </cell>
          <cell r="N1504" t="str">
            <v>METALKOTE-EPOXY SYS</v>
          </cell>
        </row>
        <row r="1505">
          <cell r="C1505" t="str">
            <v>100004750</v>
          </cell>
          <cell r="D1505" t="str">
            <v>#NUEDP-551 DARK GREY (XÁM XINGFA) VN-5KS</v>
          </cell>
          <cell r="E1505" t="str">
            <v>ZFGD</v>
          </cell>
          <cell r="F1505" t="str">
            <v>SET</v>
          </cell>
          <cell r="G1505" t="str">
            <v>5</v>
          </cell>
          <cell r="H1505" t="str">
            <v>PROJECT</v>
          </cell>
          <cell r="I1505" t="str">
            <v>59</v>
          </cell>
          <cell r="J1505" t="str">
            <v>MPC</v>
          </cell>
          <cell r="K1505" t="str">
            <v>5904</v>
          </cell>
          <cell r="L1505" t="str">
            <v>METALKOTE</v>
          </cell>
          <cell r="M1505" t="str">
            <v>590402</v>
          </cell>
          <cell r="N1505" t="str">
            <v>METALKOTE-EPOXY SYS</v>
          </cell>
        </row>
        <row r="1506">
          <cell r="C1506" t="str">
            <v>100004751</v>
          </cell>
          <cell r="D1506" t="str">
            <v>#NUEDP-551 RED OXIDE (ĐỎ) VN-5KS</v>
          </cell>
          <cell r="E1506" t="str">
            <v>ZFGD</v>
          </cell>
          <cell r="F1506" t="str">
            <v>SET</v>
          </cell>
          <cell r="G1506" t="str">
            <v>5</v>
          </cell>
          <cell r="H1506" t="str">
            <v>PROJECT</v>
          </cell>
          <cell r="I1506" t="str">
            <v>59</v>
          </cell>
          <cell r="J1506" t="str">
            <v>MPC</v>
          </cell>
          <cell r="K1506" t="str">
            <v>5904</v>
          </cell>
          <cell r="L1506" t="str">
            <v>METALKOTE</v>
          </cell>
          <cell r="M1506" t="str">
            <v>590402</v>
          </cell>
          <cell r="N1506" t="str">
            <v>METALKOTE-EPOXY SYS</v>
          </cell>
        </row>
        <row r="1507">
          <cell r="C1507" t="str">
            <v>100004752</v>
          </cell>
          <cell r="D1507" t="str">
            <v>#NUEDP-551 WHITE (TRẮNG) VN-5KS</v>
          </cell>
          <cell r="E1507" t="str">
            <v>ZFGD</v>
          </cell>
          <cell r="F1507" t="str">
            <v>SET</v>
          </cell>
          <cell r="G1507" t="str">
            <v>5</v>
          </cell>
          <cell r="H1507" t="str">
            <v>PROJECT</v>
          </cell>
          <cell r="I1507" t="str">
            <v>59</v>
          </cell>
          <cell r="J1507" t="str">
            <v>MPC</v>
          </cell>
          <cell r="K1507" t="str">
            <v>5904</v>
          </cell>
          <cell r="L1507" t="str">
            <v>METALKOTE</v>
          </cell>
          <cell r="M1507" t="str">
            <v>590402</v>
          </cell>
          <cell r="N1507" t="str">
            <v>METALKOTE-EPOXY SYS</v>
          </cell>
        </row>
        <row r="1508">
          <cell r="C1508" t="str">
            <v>100004753</v>
          </cell>
          <cell r="D1508" t="str">
            <v>#NUEDP-551 ZINC CHROMATE (XANH) VN-5KS</v>
          </cell>
          <cell r="E1508" t="str">
            <v>ZFGD</v>
          </cell>
          <cell r="F1508" t="str">
            <v>SET</v>
          </cell>
          <cell r="G1508" t="str">
            <v>5</v>
          </cell>
          <cell r="H1508" t="str">
            <v>PROJECT</v>
          </cell>
          <cell r="I1508" t="str">
            <v>59</v>
          </cell>
          <cell r="J1508" t="str">
            <v>MPC</v>
          </cell>
          <cell r="K1508" t="str">
            <v>5904</v>
          </cell>
          <cell r="L1508" t="str">
            <v>METALKOTE</v>
          </cell>
          <cell r="M1508" t="str">
            <v>590402</v>
          </cell>
          <cell r="N1508" t="str">
            <v>METALKOTE-EPOXY SYS</v>
          </cell>
        </row>
        <row r="1509">
          <cell r="C1509" t="str">
            <v>100004754</v>
          </cell>
          <cell r="D1509" t="str">
            <v>#NUEDP-551 ZINC PHOSPHATE (XÁM) VN-5KS</v>
          </cell>
          <cell r="E1509" t="str">
            <v>ZFGD</v>
          </cell>
          <cell r="F1509" t="str">
            <v>SET</v>
          </cell>
          <cell r="G1509" t="str">
            <v>5</v>
          </cell>
          <cell r="H1509" t="str">
            <v>PROJECT</v>
          </cell>
          <cell r="I1509" t="str">
            <v>59</v>
          </cell>
          <cell r="J1509" t="str">
            <v>MPC</v>
          </cell>
          <cell r="K1509" t="str">
            <v>5904</v>
          </cell>
          <cell r="L1509" t="str">
            <v>METALKOTE</v>
          </cell>
          <cell r="M1509" t="str">
            <v>590402</v>
          </cell>
          <cell r="N1509" t="str">
            <v>METALKOTE-EPOXY SYS</v>
          </cell>
        </row>
        <row r="1510">
          <cell r="C1510" t="str">
            <v>100004755</v>
          </cell>
          <cell r="D1510" t="str">
            <v>#NUEDP-551 BLACK (ÐEN) VN-20KSP</v>
          </cell>
          <cell r="E1510" t="str">
            <v>ZFGD</v>
          </cell>
          <cell r="F1510" t="str">
            <v>SET</v>
          </cell>
          <cell r="G1510" t="str">
            <v>5</v>
          </cell>
          <cell r="H1510" t="str">
            <v>PROJECT</v>
          </cell>
          <cell r="I1510" t="str">
            <v>59</v>
          </cell>
          <cell r="J1510" t="str">
            <v>MPC</v>
          </cell>
          <cell r="K1510" t="str">
            <v>5904</v>
          </cell>
          <cell r="L1510" t="str">
            <v>METALKOTE</v>
          </cell>
          <cell r="M1510" t="str">
            <v>590402</v>
          </cell>
          <cell r="N1510" t="str">
            <v>METALKOTE-EPOXY SYS</v>
          </cell>
        </row>
        <row r="1511">
          <cell r="C1511" t="str">
            <v>100004756</v>
          </cell>
          <cell r="D1511" t="str">
            <v>#EDP-551 DARK GREY (XÁM XINGFA) VN-20KSP</v>
          </cell>
          <cell r="E1511" t="str">
            <v>ZFGD</v>
          </cell>
          <cell r="F1511" t="str">
            <v>SET</v>
          </cell>
          <cell r="G1511" t="str">
            <v>5</v>
          </cell>
          <cell r="H1511" t="str">
            <v>PROJECT</v>
          </cell>
          <cell r="I1511" t="str">
            <v>59</v>
          </cell>
          <cell r="J1511" t="str">
            <v>MPC</v>
          </cell>
          <cell r="K1511" t="str">
            <v>5904</v>
          </cell>
          <cell r="L1511" t="str">
            <v>METALKOTE</v>
          </cell>
          <cell r="M1511" t="str">
            <v>590402</v>
          </cell>
          <cell r="N1511" t="str">
            <v>METALKOTE-EPOXY SYS</v>
          </cell>
        </row>
        <row r="1512">
          <cell r="C1512" t="str">
            <v>100004757</v>
          </cell>
          <cell r="D1512" t="str">
            <v>#NUEDP-551 RED OXIDE (ĐỎ) VN-20KSP</v>
          </cell>
          <cell r="E1512" t="str">
            <v>ZFGD</v>
          </cell>
          <cell r="F1512" t="str">
            <v>SET</v>
          </cell>
          <cell r="G1512" t="str">
            <v>5</v>
          </cell>
          <cell r="H1512" t="str">
            <v>PROJECT</v>
          </cell>
          <cell r="I1512" t="str">
            <v>59</v>
          </cell>
          <cell r="J1512" t="str">
            <v>MPC</v>
          </cell>
          <cell r="K1512" t="str">
            <v>5904</v>
          </cell>
          <cell r="L1512" t="str">
            <v>METALKOTE</v>
          </cell>
          <cell r="M1512" t="str">
            <v>590402</v>
          </cell>
          <cell r="N1512" t="str">
            <v>METALKOTE-EPOXY SYS</v>
          </cell>
        </row>
        <row r="1513">
          <cell r="C1513" t="str">
            <v>100004758</v>
          </cell>
          <cell r="D1513" t="str">
            <v>#NUEDP-551 WHITE (TRẮNG) VN-20KSP</v>
          </cell>
          <cell r="E1513" t="str">
            <v>ZFGD</v>
          </cell>
          <cell r="F1513" t="str">
            <v>SET</v>
          </cell>
          <cell r="G1513" t="str">
            <v>5</v>
          </cell>
          <cell r="H1513" t="str">
            <v>PROJECT</v>
          </cell>
          <cell r="I1513" t="str">
            <v>59</v>
          </cell>
          <cell r="J1513" t="str">
            <v>MPC</v>
          </cell>
          <cell r="K1513" t="str">
            <v>5904</v>
          </cell>
          <cell r="L1513" t="str">
            <v>METALKOTE</v>
          </cell>
          <cell r="M1513" t="str">
            <v>590402</v>
          </cell>
          <cell r="N1513" t="str">
            <v>METALKOTE-EPOXY SYS</v>
          </cell>
        </row>
        <row r="1514">
          <cell r="C1514" t="str">
            <v>100004759</v>
          </cell>
          <cell r="D1514" t="str">
            <v>#NUEDP-551 ZINC CHROMATE (XANH) VN-20KSP</v>
          </cell>
          <cell r="E1514" t="str">
            <v>ZFGD</v>
          </cell>
          <cell r="F1514" t="str">
            <v>SET</v>
          </cell>
          <cell r="G1514" t="str">
            <v>5</v>
          </cell>
          <cell r="H1514" t="str">
            <v>PROJECT</v>
          </cell>
          <cell r="I1514" t="str">
            <v>59</v>
          </cell>
          <cell r="J1514" t="str">
            <v>MPC</v>
          </cell>
          <cell r="K1514" t="str">
            <v>5904</v>
          </cell>
          <cell r="L1514" t="str">
            <v>METALKOTE</v>
          </cell>
          <cell r="M1514" t="str">
            <v>590402</v>
          </cell>
          <cell r="N1514" t="str">
            <v>METALKOTE-EPOXY SYS</v>
          </cell>
        </row>
        <row r="1515">
          <cell r="C1515" t="str">
            <v>100004760</v>
          </cell>
          <cell r="D1515" t="str">
            <v>#NUEDP-551 ZINC PHOSPHATE (XÁM) VN-20KSP</v>
          </cell>
          <cell r="E1515" t="str">
            <v>ZFGD</v>
          </cell>
          <cell r="F1515" t="str">
            <v>SET</v>
          </cell>
          <cell r="G1515" t="str">
            <v>5</v>
          </cell>
          <cell r="H1515" t="str">
            <v>PROJECT</v>
          </cell>
          <cell r="I1515" t="str">
            <v>59</v>
          </cell>
          <cell r="J1515" t="str">
            <v>MPC</v>
          </cell>
          <cell r="K1515" t="str">
            <v>5904</v>
          </cell>
          <cell r="L1515" t="str">
            <v>METALKOTE</v>
          </cell>
          <cell r="M1515" t="str">
            <v>590402</v>
          </cell>
          <cell r="N1515" t="str">
            <v>METALKOTE-EPOXY SYS</v>
          </cell>
        </row>
        <row r="1516">
          <cell r="C1516" t="str">
            <v>100004825</v>
          </cell>
          <cell r="D1516" t="str">
            <v>PUP-54106 AC EX L72 DB VN-20KP</v>
          </cell>
          <cell r="E1516" t="str">
            <v>ZFGD</v>
          </cell>
          <cell r="F1516" t="str">
            <v>PC</v>
          </cell>
          <cell r="G1516" t="str">
            <v>1</v>
          </cell>
          <cell r="H1516" t="str">
            <v>INDUSTRY</v>
          </cell>
          <cell r="I1516" t="str">
            <v>11</v>
          </cell>
          <cell r="J1516" t="str">
            <v>WOOD COATINGS</v>
          </cell>
          <cell r="K1516" t="str">
            <v>1103</v>
          </cell>
          <cell r="L1516" t="str">
            <v>PU</v>
          </cell>
          <cell r="M1516" t="str">
            <v>110322</v>
          </cell>
          <cell r="N1516" t="str">
            <v>PU PRIMER</v>
          </cell>
        </row>
        <row r="1517">
          <cell r="C1517" t="str">
            <v>100004826</v>
          </cell>
          <cell r="D1517" t="str">
            <v>PUC-54206 AC EX BLUE 90 TADT VN-16KP</v>
          </cell>
          <cell r="E1517" t="str">
            <v>ZFGD</v>
          </cell>
          <cell r="F1517" t="str">
            <v>PC</v>
          </cell>
          <cell r="G1517" t="str">
            <v>1</v>
          </cell>
          <cell r="H1517" t="str">
            <v>INDUSTRY</v>
          </cell>
          <cell r="I1517" t="str">
            <v>11</v>
          </cell>
          <cell r="J1517" t="str">
            <v>WOOD COATINGS</v>
          </cell>
          <cell r="K1517" t="str">
            <v>1103</v>
          </cell>
          <cell r="L1517" t="str">
            <v>PU</v>
          </cell>
          <cell r="M1517" t="str">
            <v>110319</v>
          </cell>
          <cell r="N1517" t="str">
            <v>PU COLOR</v>
          </cell>
        </row>
        <row r="1518">
          <cell r="C1518" t="str">
            <v>100004829</v>
          </cell>
          <cell r="D1518" t="str">
            <v>MX-94 GREEN RAL 6024 VN-4K</v>
          </cell>
          <cell r="E1518" t="str">
            <v>ZFGD</v>
          </cell>
          <cell r="F1518" t="str">
            <v>PC</v>
          </cell>
          <cell r="G1518" t="str">
            <v>5</v>
          </cell>
          <cell r="H1518" t="str">
            <v>PROJECT</v>
          </cell>
          <cell r="I1518" t="str">
            <v>56</v>
          </cell>
          <cell r="J1518" t="str">
            <v>CPC1</v>
          </cell>
          <cell r="K1518" t="str">
            <v>5603</v>
          </cell>
          <cell r="L1518" t="str">
            <v>MULTIPOX</v>
          </cell>
          <cell r="M1518" t="str">
            <v>560301</v>
          </cell>
          <cell r="N1518" t="str">
            <v>MULTIPOX</v>
          </cell>
        </row>
        <row r="1519">
          <cell r="C1519" t="str">
            <v>100004830</v>
          </cell>
          <cell r="D1519" t="str">
            <v>MX-94 GREEN RAL 6024 VN-16KP</v>
          </cell>
          <cell r="E1519" t="str">
            <v>ZFGD</v>
          </cell>
          <cell r="F1519" t="str">
            <v>PC</v>
          </cell>
          <cell r="G1519" t="str">
            <v>5</v>
          </cell>
          <cell r="H1519" t="str">
            <v>PROJECT</v>
          </cell>
          <cell r="I1519" t="str">
            <v>56</v>
          </cell>
          <cell r="J1519" t="str">
            <v>CPC1</v>
          </cell>
          <cell r="K1519" t="str">
            <v>5603</v>
          </cell>
          <cell r="L1519" t="str">
            <v>MULTIPOX</v>
          </cell>
          <cell r="M1519" t="str">
            <v>560301</v>
          </cell>
          <cell r="N1519" t="str">
            <v>MULTIPOX</v>
          </cell>
        </row>
        <row r="1520">
          <cell r="C1520" t="str">
            <v>100004831</v>
          </cell>
          <cell r="D1520" t="str">
            <v>MX-94 GREEN RAL 6024 VN-5KS</v>
          </cell>
          <cell r="E1520" t="str">
            <v>ZFGD</v>
          </cell>
          <cell r="F1520" t="str">
            <v>SET</v>
          </cell>
          <cell r="G1520" t="str">
            <v>5</v>
          </cell>
          <cell r="H1520" t="str">
            <v>PROJECT</v>
          </cell>
          <cell r="I1520" t="str">
            <v>56</v>
          </cell>
          <cell r="J1520" t="str">
            <v>CPC1</v>
          </cell>
          <cell r="K1520" t="str">
            <v>5603</v>
          </cell>
          <cell r="L1520" t="str">
            <v>MULTIPOX</v>
          </cell>
          <cell r="M1520" t="str">
            <v>560301</v>
          </cell>
          <cell r="N1520" t="str">
            <v>MULTIPOX</v>
          </cell>
        </row>
        <row r="1521">
          <cell r="C1521" t="str">
            <v>100004832</v>
          </cell>
          <cell r="D1521" t="str">
            <v>MX-94 GREEN RAL 6024 VN-20KSP</v>
          </cell>
          <cell r="E1521" t="str">
            <v>ZFGD</v>
          </cell>
          <cell r="F1521" t="str">
            <v>SET</v>
          </cell>
          <cell r="G1521" t="str">
            <v>5</v>
          </cell>
          <cell r="H1521" t="str">
            <v>PROJECT</v>
          </cell>
          <cell r="I1521" t="str">
            <v>56</v>
          </cell>
          <cell r="J1521" t="str">
            <v>CPC1</v>
          </cell>
          <cell r="K1521" t="str">
            <v>5603</v>
          </cell>
          <cell r="L1521" t="str">
            <v>MULTIPOX</v>
          </cell>
          <cell r="M1521" t="str">
            <v>560301</v>
          </cell>
          <cell r="N1521" t="str">
            <v>MULTIPOX</v>
          </cell>
        </row>
        <row r="1522">
          <cell r="C1522" t="str">
            <v>100004868</v>
          </cell>
          <cell r="D1522" t="str">
            <v>PFT-215 LIGHT GREY VN-18KP</v>
          </cell>
          <cell r="E1522" t="str">
            <v>ZFGD</v>
          </cell>
          <cell r="F1522" t="str">
            <v>PC</v>
          </cell>
          <cell r="G1522" t="str">
            <v>5</v>
          </cell>
          <cell r="H1522" t="str">
            <v>PROJECT</v>
          </cell>
          <cell r="I1522" t="str">
            <v>56</v>
          </cell>
          <cell r="J1522" t="str">
            <v>CPC1</v>
          </cell>
          <cell r="K1522" t="str">
            <v>5602</v>
          </cell>
          <cell r="L1522" t="str">
            <v>POLYFLOOR</v>
          </cell>
          <cell r="M1522" t="str">
            <v>560207</v>
          </cell>
          <cell r="N1522" t="str">
            <v>POLYFLOOR EPOXY SOLVENT FREE</v>
          </cell>
        </row>
        <row r="1523">
          <cell r="C1523" t="str">
            <v>100004869</v>
          </cell>
          <cell r="D1523" t="str">
            <v>PFT-215 LIGHT GREY VN-21KSP</v>
          </cell>
          <cell r="E1523" t="str">
            <v>ZFGD</v>
          </cell>
          <cell r="F1523" t="str">
            <v>SET</v>
          </cell>
          <cell r="G1523" t="str">
            <v>5</v>
          </cell>
          <cell r="H1523" t="str">
            <v>PROJECT</v>
          </cell>
          <cell r="I1523" t="str">
            <v>56</v>
          </cell>
          <cell r="J1523" t="str">
            <v>CPC1</v>
          </cell>
          <cell r="K1523" t="str">
            <v>5602</v>
          </cell>
          <cell r="L1523" t="str">
            <v>POLYFLOOR</v>
          </cell>
          <cell r="M1523" t="str">
            <v>560207</v>
          </cell>
          <cell r="N1523" t="str">
            <v>POLYFLOOR EPOXY SOLVENT FREE</v>
          </cell>
        </row>
        <row r="1524">
          <cell r="C1524" t="str">
            <v>100004928</v>
          </cell>
          <cell r="D1524" t="str">
            <v>PFT-215 LEAF GREEN VN-18KP</v>
          </cell>
          <cell r="E1524" t="str">
            <v>ZFGD</v>
          </cell>
          <cell r="F1524" t="str">
            <v>PC</v>
          </cell>
          <cell r="G1524" t="str">
            <v>5</v>
          </cell>
          <cell r="H1524" t="str">
            <v>PROJECT</v>
          </cell>
          <cell r="I1524" t="str">
            <v>56</v>
          </cell>
          <cell r="J1524" t="str">
            <v>CPC1</v>
          </cell>
          <cell r="K1524" t="str">
            <v>5602</v>
          </cell>
          <cell r="L1524" t="str">
            <v>POLYFLOOR</v>
          </cell>
          <cell r="M1524" t="str">
            <v>560207</v>
          </cell>
          <cell r="N1524" t="str">
            <v>POLYFLOOR EPOXY SOLVENT FREE</v>
          </cell>
        </row>
        <row r="1525">
          <cell r="C1525" t="str">
            <v>100004929</v>
          </cell>
          <cell r="D1525" t="str">
            <v>PFT-215 LEAF GREEN VN-21KSP</v>
          </cell>
          <cell r="E1525" t="str">
            <v>ZFGD</v>
          </cell>
          <cell r="F1525" t="str">
            <v>SET</v>
          </cell>
          <cell r="G1525" t="str">
            <v>5</v>
          </cell>
          <cell r="H1525" t="str">
            <v>PROJECT</v>
          </cell>
          <cell r="I1525" t="str">
            <v>56</v>
          </cell>
          <cell r="J1525" t="str">
            <v>CPC1</v>
          </cell>
          <cell r="K1525" t="str">
            <v>5602</v>
          </cell>
          <cell r="L1525" t="str">
            <v>POLYFLOOR</v>
          </cell>
          <cell r="M1525" t="str">
            <v>560207</v>
          </cell>
          <cell r="N1525" t="str">
            <v>POLYFLOOR EPOXY SOLVENT FREE</v>
          </cell>
        </row>
        <row r="1526">
          <cell r="C1526" t="str">
            <v>100004932</v>
          </cell>
          <cell r="D1526" t="str">
            <v>PFT-253 GREEN RAL 6037-16KP</v>
          </cell>
          <cell r="E1526" t="str">
            <v>ZFGD</v>
          </cell>
          <cell r="F1526" t="str">
            <v>PC</v>
          </cell>
          <cell r="G1526" t="str">
            <v>5</v>
          </cell>
          <cell r="H1526" t="str">
            <v>PROJECT</v>
          </cell>
          <cell r="I1526" t="str">
            <v>56</v>
          </cell>
          <cell r="J1526" t="str">
            <v>CPC1</v>
          </cell>
          <cell r="K1526" t="str">
            <v>5602</v>
          </cell>
          <cell r="L1526" t="str">
            <v>POLYFLOOR</v>
          </cell>
          <cell r="M1526" t="str">
            <v>560202</v>
          </cell>
          <cell r="N1526" t="str">
            <v>POLYFLOOR EPOXY</v>
          </cell>
        </row>
        <row r="1527">
          <cell r="C1527" t="str">
            <v>100004933</v>
          </cell>
          <cell r="D1527" t="str">
            <v>PFT-253 GREEN RAL 6037-4K</v>
          </cell>
          <cell r="E1527" t="str">
            <v>ZFGD</v>
          </cell>
          <cell r="F1527" t="str">
            <v>PC</v>
          </cell>
          <cell r="G1527" t="str">
            <v>5</v>
          </cell>
          <cell r="H1527" t="str">
            <v>PROJECT</v>
          </cell>
          <cell r="I1527" t="str">
            <v>56</v>
          </cell>
          <cell r="J1527" t="str">
            <v>CPC1</v>
          </cell>
          <cell r="K1527" t="str">
            <v>5602</v>
          </cell>
          <cell r="L1527" t="str">
            <v>POLYFLOOR</v>
          </cell>
          <cell r="M1527" t="str">
            <v>560202</v>
          </cell>
          <cell r="N1527" t="str">
            <v>POLYFLOOR EPOXY</v>
          </cell>
        </row>
        <row r="1528">
          <cell r="C1528" t="str">
            <v>100004934</v>
          </cell>
          <cell r="D1528" t="str">
            <v>PFT-253 GREEN RAL 6037-20KSP</v>
          </cell>
          <cell r="E1528" t="str">
            <v>ZFGD</v>
          </cell>
          <cell r="F1528" t="str">
            <v>SET</v>
          </cell>
          <cell r="G1528" t="str">
            <v>5</v>
          </cell>
          <cell r="H1528" t="str">
            <v>PROJECT</v>
          </cell>
          <cell r="I1528" t="str">
            <v>56</v>
          </cell>
          <cell r="J1528" t="str">
            <v>CPC1</v>
          </cell>
          <cell r="K1528" t="str">
            <v>5602</v>
          </cell>
          <cell r="L1528" t="str">
            <v>POLYFLOOR</v>
          </cell>
          <cell r="M1528" t="str">
            <v>560202</v>
          </cell>
          <cell r="N1528" t="str">
            <v>POLYFLOOR EPOXY</v>
          </cell>
        </row>
        <row r="1529">
          <cell r="C1529" t="str">
            <v>100004935</v>
          </cell>
          <cell r="D1529" t="str">
            <v>PFT-253 GREEN RAL 6037-5KS</v>
          </cell>
          <cell r="E1529" t="str">
            <v>ZFGD</v>
          </cell>
          <cell r="F1529" t="str">
            <v>SET</v>
          </cell>
          <cell r="G1529" t="str">
            <v>5</v>
          </cell>
          <cell r="H1529" t="str">
            <v>PROJECT</v>
          </cell>
          <cell r="I1529" t="str">
            <v>56</v>
          </cell>
          <cell r="J1529" t="str">
            <v>CPC1</v>
          </cell>
          <cell r="K1529" t="str">
            <v>5602</v>
          </cell>
          <cell r="L1529" t="str">
            <v>POLYFLOOR</v>
          </cell>
          <cell r="M1529" t="str">
            <v>560202</v>
          </cell>
          <cell r="N1529" t="str">
            <v>POLYFLOOR EPOXY</v>
          </cell>
        </row>
        <row r="1530">
          <cell r="C1530" t="str">
            <v>100004974</v>
          </cell>
          <cell r="D1530" t="str">
            <v>PFT-215 AVOCADO VN-18KP</v>
          </cell>
          <cell r="E1530" t="str">
            <v>ZFGD</v>
          </cell>
          <cell r="F1530" t="str">
            <v>PC</v>
          </cell>
          <cell r="G1530" t="str">
            <v>5</v>
          </cell>
          <cell r="H1530" t="str">
            <v>PROJECT</v>
          </cell>
          <cell r="I1530" t="str">
            <v>56</v>
          </cell>
          <cell r="J1530" t="str">
            <v>CPC1</v>
          </cell>
          <cell r="K1530" t="str">
            <v>5602</v>
          </cell>
          <cell r="L1530" t="str">
            <v>POLYFLOOR</v>
          </cell>
          <cell r="M1530" t="str">
            <v>560207</v>
          </cell>
          <cell r="N1530" t="str">
            <v>POLYFLOOR EPOXY SOLVENT FREE</v>
          </cell>
        </row>
        <row r="1531">
          <cell r="C1531" t="str">
            <v>100004976</v>
          </cell>
          <cell r="D1531" t="str">
            <v>PFT-215 AVOCADO VN-21KSP</v>
          </cell>
          <cell r="E1531" t="str">
            <v>ZFGD</v>
          </cell>
          <cell r="F1531" t="str">
            <v>SET</v>
          </cell>
          <cell r="G1531" t="str">
            <v>5</v>
          </cell>
          <cell r="H1531" t="str">
            <v>PROJECT</v>
          </cell>
          <cell r="I1531" t="str">
            <v>56</v>
          </cell>
          <cell r="J1531" t="str">
            <v>CPC1</v>
          </cell>
          <cell r="K1531" t="str">
            <v>5602</v>
          </cell>
          <cell r="L1531" t="str">
            <v>POLYFLOOR</v>
          </cell>
          <cell r="M1531" t="str">
            <v>560207</v>
          </cell>
          <cell r="N1531" t="str">
            <v>POLYFLOOR EPOXY SOLVENT FREE</v>
          </cell>
        </row>
        <row r="1532">
          <cell r="C1532" t="str">
            <v>100004983</v>
          </cell>
          <cell r="D1532" t="str">
            <v>MX-94 GREEN PANTONE 7480C VN-16KP</v>
          </cell>
          <cell r="E1532" t="str">
            <v>ZFGD</v>
          </cell>
          <cell r="F1532" t="str">
            <v>PC</v>
          </cell>
          <cell r="G1532" t="str">
            <v>5</v>
          </cell>
          <cell r="H1532" t="str">
            <v>PROJECT</v>
          </cell>
          <cell r="I1532" t="str">
            <v>56</v>
          </cell>
          <cell r="J1532" t="str">
            <v>CPC1</v>
          </cell>
          <cell r="K1532" t="str">
            <v>5603</v>
          </cell>
          <cell r="L1532" t="str">
            <v>MULTIPOX</v>
          </cell>
          <cell r="M1532" t="str">
            <v>560301</v>
          </cell>
          <cell r="N1532" t="str">
            <v>MULTIPOX</v>
          </cell>
        </row>
        <row r="1533">
          <cell r="C1533" t="str">
            <v>100004984</v>
          </cell>
          <cell r="D1533" t="str">
            <v>MX-94 GREEN PANTONE 7480C VN-20KSP</v>
          </cell>
          <cell r="E1533" t="str">
            <v>ZFGD</v>
          </cell>
          <cell r="F1533" t="str">
            <v>SET</v>
          </cell>
          <cell r="G1533" t="str">
            <v>5</v>
          </cell>
          <cell r="H1533" t="str">
            <v>PROJECT</v>
          </cell>
          <cell r="I1533" t="str">
            <v>56</v>
          </cell>
          <cell r="J1533" t="str">
            <v>CPC1</v>
          </cell>
          <cell r="K1533" t="str">
            <v>5603</v>
          </cell>
          <cell r="L1533" t="str">
            <v>MULTIPOX</v>
          </cell>
          <cell r="M1533" t="str">
            <v>560301</v>
          </cell>
          <cell r="N1533" t="str">
            <v>MULTIPOX</v>
          </cell>
        </row>
        <row r="1534">
          <cell r="C1534" t="str">
            <v>100004994</v>
          </cell>
          <cell r="D1534" t="str">
            <v>WBG-66900 IBW-210KB</v>
          </cell>
          <cell r="E1534" t="str">
            <v>ZFGD</v>
          </cell>
          <cell r="F1534" t="str">
            <v>PC</v>
          </cell>
          <cell r="G1534" t="str">
            <v>1</v>
          </cell>
          <cell r="H1534" t="str">
            <v>INDUSTRY</v>
          </cell>
          <cell r="I1534" t="str">
            <v>11</v>
          </cell>
          <cell r="J1534" t="str">
            <v>WOOD COATINGS</v>
          </cell>
          <cell r="K1534" t="str">
            <v>1111</v>
          </cell>
          <cell r="L1534" t="str">
            <v>WATERBASED SYSTEM INTERIOR</v>
          </cell>
          <cell r="M1534" t="str">
            <v>111104</v>
          </cell>
          <cell r="N1534" t="str">
            <v>WATERBASED SYSTEM INTERIOR</v>
          </cell>
        </row>
        <row r="1535">
          <cell r="C1535" t="str">
            <v>100005010</v>
          </cell>
          <cell r="D1535" t="str">
            <v>MX-98 LIGHT GREY RAL 7043 VN-18KP</v>
          </cell>
          <cell r="E1535" t="str">
            <v>ZFGD</v>
          </cell>
          <cell r="F1535" t="str">
            <v>PC</v>
          </cell>
          <cell r="G1535" t="str">
            <v>5</v>
          </cell>
          <cell r="H1535" t="str">
            <v>PROJECT</v>
          </cell>
          <cell r="I1535" t="str">
            <v>56</v>
          </cell>
          <cell r="J1535" t="str">
            <v>CPC1</v>
          </cell>
          <cell r="K1535" t="str">
            <v>5603</v>
          </cell>
          <cell r="L1535" t="str">
            <v>MULTIPOX</v>
          </cell>
          <cell r="M1535" t="str">
            <v>560301</v>
          </cell>
          <cell r="N1535" t="str">
            <v>MULTIPOX</v>
          </cell>
        </row>
        <row r="1536">
          <cell r="C1536" t="str">
            <v>100005011</v>
          </cell>
          <cell r="D1536" t="str">
            <v>MX-98 LIGHT GREY RAL 7043 VN-21KSP</v>
          </cell>
          <cell r="E1536" t="str">
            <v>ZFGD</v>
          </cell>
          <cell r="F1536" t="str">
            <v>SET</v>
          </cell>
          <cell r="G1536" t="str">
            <v>5</v>
          </cell>
          <cell r="H1536" t="str">
            <v>PROJECT</v>
          </cell>
          <cell r="I1536" t="str">
            <v>56</v>
          </cell>
          <cell r="J1536" t="str">
            <v>CPC1</v>
          </cell>
          <cell r="K1536" t="str">
            <v>5603</v>
          </cell>
          <cell r="L1536" t="str">
            <v>MULTIPOX</v>
          </cell>
          <cell r="M1536" t="str">
            <v>560301</v>
          </cell>
          <cell r="N1536" t="str">
            <v>MULTIPOX</v>
          </cell>
        </row>
        <row r="1537">
          <cell r="C1537" t="str">
            <v>100005181</v>
          </cell>
          <cell r="D1537" t="str">
            <v>DP-4011 WHITE 9101-18LP</v>
          </cell>
          <cell r="E1537" t="str">
            <v>ZFGD</v>
          </cell>
          <cell r="F1537" t="str">
            <v>PC</v>
          </cell>
          <cell r="G1537" t="str">
            <v>3</v>
          </cell>
          <cell r="H1537" t="str">
            <v>TRADING</v>
          </cell>
          <cell r="I1537" t="str">
            <v>38</v>
          </cell>
          <cell r="J1537" t="str">
            <v>ALKANA TRADING</v>
          </cell>
          <cell r="K1537" t="str">
            <v>3801</v>
          </cell>
          <cell r="L1537" t="str">
            <v>COATING</v>
          </cell>
          <cell r="M1537" t="str">
            <v>380101</v>
          </cell>
          <cell r="N1537" t="str">
            <v>DECOR PLAST</v>
          </cell>
        </row>
        <row r="1538">
          <cell r="C1538" t="str">
            <v>100005288</v>
          </cell>
          <cell r="D1538" t="str">
            <v>PFT-215 DARK GREEN VN-18KP</v>
          </cell>
          <cell r="E1538" t="str">
            <v>ZFGD</v>
          </cell>
          <cell r="F1538" t="str">
            <v>PC</v>
          </cell>
          <cell r="G1538" t="str">
            <v>5</v>
          </cell>
          <cell r="H1538" t="str">
            <v>PROJECT</v>
          </cell>
          <cell r="I1538" t="str">
            <v>56</v>
          </cell>
          <cell r="J1538" t="str">
            <v>CPC1</v>
          </cell>
          <cell r="K1538" t="str">
            <v>5602</v>
          </cell>
          <cell r="L1538" t="str">
            <v>POLYFLOOR</v>
          </cell>
          <cell r="M1538" t="str">
            <v>560207</v>
          </cell>
          <cell r="N1538" t="str">
            <v>POLYFLOOR EPOXY SOLVENT FREE</v>
          </cell>
        </row>
        <row r="1539">
          <cell r="C1539" t="str">
            <v>100005289</v>
          </cell>
          <cell r="D1539" t="str">
            <v>PFT-215 DARK GREEN VN-21KSP</v>
          </cell>
          <cell r="E1539" t="str">
            <v>ZFGD</v>
          </cell>
          <cell r="F1539" t="str">
            <v>SET</v>
          </cell>
          <cell r="G1539" t="str">
            <v>5</v>
          </cell>
          <cell r="H1539" t="str">
            <v>PROJECT</v>
          </cell>
          <cell r="I1539" t="str">
            <v>56</v>
          </cell>
          <cell r="J1539" t="str">
            <v>CPC1</v>
          </cell>
          <cell r="K1539" t="str">
            <v>5602</v>
          </cell>
          <cell r="L1539" t="str">
            <v>POLYFLOOR</v>
          </cell>
          <cell r="M1539" t="str">
            <v>560207</v>
          </cell>
          <cell r="N1539" t="str">
            <v>POLYFLOOR EPOXY SOLVENT FREE</v>
          </cell>
        </row>
        <row r="1540">
          <cell r="C1540" t="str">
            <v>100005509</v>
          </cell>
          <cell r="D1540" t="str">
            <v>PFT-215 BC VN-18KP</v>
          </cell>
          <cell r="E1540" t="str">
            <v>ZFGD</v>
          </cell>
          <cell r="F1540" t="str">
            <v>PC</v>
          </cell>
          <cell r="G1540" t="str">
            <v>5</v>
          </cell>
          <cell r="H1540" t="str">
            <v>PROJECT</v>
          </cell>
          <cell r="I1540" t="str">
            <v>56</v>
          </cell>
          <cell r="J1540" t="str">
            <v>CPC1</v>
          </cell>
          <cell r="K1540" t="str">
            <v>5602</v>
          </cell>
          <cell r="L1540" t="str">
            <v>POLYFLOOR</v>
          </cell>
          <cell r="M1540" t="str">
            <v>560207</v>
          </cell>
          <cell r="N1540" t="str">
            <v>POLYFLOOR EPOXY SOLVENT FREE</v>
          </cell>
        </row>
        <row r="1541">
          <cell r="C1541" t="str">
            <v>100005510</v>
          </cell>
          <cell r="D1541" t="str">
            <v>PFT-215 BC VN-21KSP</v>
          </cell>
          <cell r="E1541" t="str">
            <v>ZFGD</v>
          </cell>
          <cell r="F1541" t="str">
            <v>SET</v>
          </cell>
          <cell r="G1541" t="str">
            <v>5</v>
          </cell>
          <cell r="H1541" t="str">
            <v>PROJECT</v>
          </cell>
          <cell r="I1541" t="str">
            <v>56</v>
          </cell>
          <cell r="J1541" t="str">
            <v>CPC1</v>
          </cell>
          <cell r="K1541" t="str">
            <v>5602</v>
          </cell>
          <cell r="L1541" t="str">
            <v>POLYFLOOR</v>
          </cell>
          <cell r="M1541" t="str">
            <v>560207</v>
          </cell>
          <cell r="N1541" t="str">
            <v>POLYFLOOR EPOXY SOLVENT FREE</v>
          </cell>
        </row>
        <row r="1542">
          <cell r="C1542" t="str">
            <v>100005511</v>
          </cell>
          <cell r="D1542" t="str">
            <v>PFT-253 BC VN-16KP</v>
          </cell>
          <cell r="E1542" t="str">
            <v>ZFGD</v>
          </cell>
          <cell r="F1542" t="str">
            <v>PC</v>
          </cell>
          <cell r="G1542" t="str">
            <v>5</v>
          </cell>
          <cell r="H1542" t="str">
            <v>PROJECT</v>
          </cell>
          <cell r="I1542" t="str">
            <v>56</v>
          </cell>
          <cell r="J1542" t="str">
            <v>CPC1</v>
          </cell>
          <cell r="K1542" t="str">
            <v>5602</v>
          </cell>
          <cell r="L1542" t="str">
            <v>POLYFLOOR</v>
          </cell>
          <cell r="M1542" t="str">
            <v>560202</v>
          </cell>
          <cell r="N1542" t="str">
            <v>POLYFLOOR EPOXY</v>
          </cell>
        </row>
        <row r="1543">
          <cell r="C1543" t="str">
            <v>100005512</v>
          </cell>
          <cell r="D1543" t="str">
            <v>PFT-253 BC VN-20KSP</v>
          </cell>
          <cell r="E1543" t="str">
            <v>ZFGD</v>
          </cell>
          <cell r="F1543" t="str">
            <v>SET</v>
          </cell>
          <cell r="G1543" t="str">
            <v>5</v>
          </cell>
          <cell r="H1543" t="str">
            <v>PROJECT</v>
          </cell>
          <cell r="I1543" t="str">
            <v>56</v>
          </cell>
          <cell r="J1543" t="str">
            <v>CPC1</v>
          </cell>
          <cell r="K1543" t="str">
            <v>5602</v>
          </cell>
          <cell r="L1543" t="str">
            <v>POLYFLOOR</v>
          </cell>
          <cell r="M1543" t="str">
            <v>560202</v>
          </cell>
          <cell r="N1543" t="str">
            <v>POLYFLOOR EPOXY</v>
          </cell>
        </row>
        <row r="1544">
          <cell r="C1544" t="str">
            <v>100005513</v>
          </cell>
          <cell r="D1544" t="str">
            <v>2K ACRYLIC WHITE GREY DOFF VN-4K</v>
          </cell>
          <cell r="E1544" t="str">
            <v>ZFGD</v>
          </cell>
          <cell r="F1544" t="str">
            <v>PC</v>
          </cell>
          <cell r="G1544" t="str">
            <v>2</v>
          </cell>
          <cell r="H1544" t="str">
            <v>RETAIL</v>
          </cell>
          <cell r="I1544" t="str">
            <v>22</v>
          </cell>
          <cell r="J1544" t="str">
            <v>WF2</v>
          </cell>
          <cell r="K1544" t="str">
            <v>2216</v>
          </cell>
          <cell r="L1544" t="str">
            <v>PU MULTIPURPOSE</v>
          </cell>
          <cell r="M1544" t="str">
            <v>221601</v>
          </cell>
          <cell r="N1544" t="str">
            <v>PROPAN MP PU ACR RMX</v>
          </cell>
        </row>
        <row r="1545">
          <cell r="C1545" t="str">
            <v>100005514</v>
          </cell>
          <cell r="D1545" t="str">
            <v>2K ACRYLIC WHITE GREY DOFF VN-5KS</v>
          </cell>
          <cell r="E1545" t="str">
            <v>ZFGD</v>
          </cell>
          <cell r="F1545" t="str">
            <v>SET</v>
          </cell>
          <cell r="G1545" t="str">
            <v>2</v>
          </cell>
          <cell r="H1545" t="str">
            <v>RETAIL</v>
          </cell>
          <cell r="I1545" t="str">
            <v>22</v>
          </cell>
          <cell r="J1545" t="str">
            <v>WF2</v>
          </cell>
          <cell r="K1545" t="str">
            <v>2216</v>
          </cell>
          <cell r="L1545" t="str">
            <v>PU MULTIPURPOSE</v>
          </cell>
          <cell r="M1545" t="str">
            <v>221601</v>
          </cell>
          <cell r="N1545" t="str">
            <v>PROPAN MP PU ACR RMX</v>
          </cell>
        </row>
        <row r="1546">
          <cell r="C1546" t="str">
            <v>100005530</v>
          </cell>
          <cell r="D1546" t="str">
            <v>MX-99 GREEN RAL 6017 VN-15KP</v>
          </cell>
          <cell r="E1546" t="str">
            <v>ZFGD</v>
          </cell>
          <cell r="F1546" t="str">
            <v>PC</v>
          </cell>
          <cell r="G1546" t="str">
            <v>2</v>
          </cell>
          <cell r="H1546" t="str">
            <v>RETAIL</v>
          </cell>
          <cell r="I1546" t="str">
            <v>27</v>
          </cell>
          <cell r="J1546" t="str">
            <v>CPC1</v>
          </cell>
          <cell r="K1546" t="str">
            <v>2703</v>
          </cell>
          <cell r="L1546" t="str">
            <v>MULTIPOX</v>
          </cell>
          <cell r="M1546" t="str">
            <v>270302</v>
          </cell>
          <cell r="N1546" t="str">
            <v>MULTIPOX BASE</v>
          </cell>
        </row>
        <row r="1547">
          <cell r="C1547" t="str">
            <v>100005531</v>
          </cell>
          <cell r="D1547" t="str">
            <v>MX-99 GREEN RAL 6017 VN-20KSP</v>
          </cell>
          <cell r="E1547" t="str">
            <v>ZFGD</v>
          </cell>
          <cell r="F1547" t="str">
            <v>SET</v>
          </cell>
          <cell r="G1547" t="str">
            <v>2</v>
          </cell>
          <cell r="H1547" t="str">
            <v>RETAIL</v>
          </cell>
          <cell r="I1547" t="str">
            <v>27</v>
          </cell>
          <cell r="J1547" t="str">
            <v>CPC1</v>
          </cell>
          <cell r="K1547" t="str">
            <v>2703</v>
          </cell>
          <cell r="L1547" t="str">
            <v>MULTIPOX</v>
          </cell>
          <cell r="M1547" t="str">
            <v>270302</v>
          </cell>
          <cell r="N1547" t="str">
            <v>MULTIPOX BASE</v>
          </cell>
        </row>
        <row r="1548">
          <cell r="C1548" t="str">
            <v>100005602</v>
          </cell>
          <cell r="D1548" t="str">
            <v>DP-4010 BROKEN WHITE 8108-18LP</v>
          </cell>
          <cell r="E1548" t="str">
            <v>ZFGD</v>
          </cell>
          <cell r="F1548" t="str">
            <v>PC</v>
          </cell>
          <cell r="G1548" t="str">
            <v>3</v>
          </cell>
          <cell r="H1548" t="str">
            <v>TRADING</v>
          </cell>
          <cell r="I1548" t="str">
            <v>38</v>
          </cell>
          <cell r="J1548" t="str">
            <v>ALKANA TRADING</v>
          </cell>
          <cell r="K1548" t="str">
            <v>3801</v>
          </cell>
          <cell r="L1548" t="str">
            <v>COATING</v>
          </cell>
          <cell r="M1548" t="str">
            <v>380101</v>
          </cell>
          <cell r="N1548" t="str">
            <v>DECOR PLAST</v>
          </cell>
        </row>
        <row r="1549">
          <cell r="C1549" t="str">
            <v>100005698</v>
          </cell>
          <cell r="D1549" t="str">
            <v>PFT-253 GREY RAL 7000 VN-16KP</v>
          </cell>
          <cell r="E1549" t="str">
            <v>ZFGD</v>
          </cell>
          <cell r="F1549" t="str">
            <v>PC</v>
          </cell>
          <cell r="G1549" t="str">
            <v>5</v>
          </cell>
          <cell r="H1549" t="str">
            <v>PROJECT</v>
          </cell>
          <cell r="I1549" t="str">
            <v>56</v>
          </cell>
          <cell r="J1549" t="str">
            <v>CPC1</v>
          </cell>
          <cell r="K1549" t="str">
            <v>5602</v>
          </cell>
          <cell r="L1549" t="str">
            <v>POLYFLOOR</v>
          </cell>
          <cell r="M1549" t="str">
            <v>560202</v>
          </cell>
          <cell r="N1549" t="str">
            <v>POLYFLOOR EPOXY</v>
          </cell>
        </row>
        <row r="1550">
          <cell r="C1550" t="str">
            <v>100005699</v>
          </cell>
          <cell r="D1550" t="str">
            <v>PFT-253 GREY RAL 7000 VN-20KSP</v>
          </cell>
          <cell r="E1550" t="str">
            <v>ZFGD</v>
          </cell>
          <cell r="F1550" t="str">
            <v>SET</v>
          </cell>
          <cell r="G1550" t="str">
            <v>5</v>
          </cell>
          <cell r="H1550" t="str">
            <v>PROJECT</v>
          </cell>
          <cell r="I1550" t="str">
            <v>56</v>
          </cell>
          <cell r="J1550" t="str">
            <v>CPC1</v>
          </cell>
          <cell r="K1550" t="str">
            <v>5602</v>
          </cell>
          <cell r="L1550" t="str">
            <v>POLYFLOOR</v>
          </cell>
          <cell r="M1550" t="str">
            <v>560202</v>
          </cell>
          <cell r="N1550" t="str">
            <v>POLYFLOOR EPOXY</v>
          </cell>
        </row>
        <row r="1551">
          <cell r="C1551" t="str">
            <v>100005751</v>
          </cell>
          <cell r="D1551" t="str">
            <v>PFT-215 GREY VN-18KP</v>
          </cell>
          <cell r="E1551" t="str">
            <v>ZFGD</v>
          </cell>
          <cell r="F1551" t="str">
            <v>PC</v>
          </cell>
          <cell r="G1551" t="str">
            <v>5</v>
          </cell>
          <cell r="H1551" t="str">
            <v>PROJECT</v>
          </cell>
          <cell r="I1551" t="str">
            <v>56</v>
          </cell>
          <cell r="J1551" t="str">
            <v>CPC1</v>
          </cell>
          <cell r="K1551" t="str">
            <v>5602</v>
          </cell>
          <cell r="L1551" t="str">
            <v>POLYFLOOR</v>
          </cell>
          <cell r="M1551" t="str">
            <v>560207</v>
          </cell>
          <cell r="N1551" t="str">
            <v>POLYFLOOR EPOXY SOLVENT FREE</v>
          </cell>
        </row>
        <row r="1552">
          <cell r="C1552" t="str">
            <v>100005752</v>
          </cell>
          <cell r="D1552" t="str">
            <v>PFT-215 GREY VN-21KSP</v>
          </cell>
          <cell r="E1552" t="str">
            <v>ZFGD</v>
          </cell>
          <cell r="F1552" t="str">
            <v>SET</v>
          </cell>
          <cell r="G1552" t="str">
            <v>5</v>
          </cell>
          <cell r="H1552" t="str">
            <v>PROJECT</v>
          </cell>
          <cell r="I1552" t="str">
            <v>56</v>
          </cell>
          <cell r="J1552" t="str">
            <v>CPC1</v>
          </cell>
          <cell r="K1552" t="str">
            <v>5602</v>
          </cell>
          <cell r="L1552" t="str">
            <v>POLYFLOOR</v>
          </cell>
          <cell r="M1552" t="str">
            <v>560207</v>
          </cell>
          <cell r="N1552" t="str">
            <v>POLYFLOOR EPOXY SOLVENT FREE</v>
          </cell>
        </row>
        <row r="1553">
          <cell r="C1553" t="str">
            <v>100005823</v>
          </cell>
          <cell r="D1553" t="str">
            <v>A-1000 141-4 SHINEY NICKEL MAX-2.5L</v>
          </cell>
          <cell r="E1553" t="str">
            <v>ZFGD</v>
          </cell>
          <cell r="F1553" t="str">
            <v>PC</v>
          </cell>
          <cell r="G1553" t="str">
            <v>2</v>
          </cell>
          <cell r="H1553" t="str">
            <v>RETAIL</v>
          </cell>
          <cell r="I1553" t="str">
            <v>29</v>
          </cell>
          <cell r="J1553" t="str">
            <v>MPC</v>
          </cell>
          <cell r="K1553" t="str">
            <v>2909</v>
          </cell>
          <cell r="L1553" t="str">
            <v>GO FAST</v>
          </cell>
          <cell r="M1553" t="str">
            <v>290901</v>
          </cell>
          <cell r="N1553" t="str">
            <v>GO FAST RMX</v>
          </cell>
        </row>
        <row r="1554">
          <cell r="C1554" t="str">
            <v>100005837</v>
          </cell>
          <cell r="D1554" t="str">
            <v>UPR-960 SUNKISS 0046 VN-20KP</v>
          </cell>
          <cell r="E1554" t="str">
            <v>ZFGD</v>
          </cell>
          <cell r="F1554" t="str">
            <v>PC</v>
          </cell>
          <cell r="G1554" t="str">
            <v>2</v>
          </cell>
          <cell r="H1554" t="str">
            <v>RETAIL</v>
          </cell>
          <cell r="I1554" t="str">
            <v>2D</v>
          </cell>
          <cell r="J1554" t="str">
            <v>APCT2</v>
          </cell>
          <cell r="K1554" t="str">
            <v>2D01</v>
          </cell>
          <cell r="L1554" t="str">
            <v>ULTRAPROOF</v>
          </cell>
          <cell r="M1554" t="str">
            <v>2D0101</v>
          </cell>
          <cell r="N1554" t="str">
            <v>ULTRAPROOF RMX</v>
          </cell>
        </row>
        <row r="1555">
          <cell r="C1555" t="str">
            <v>100005844</v>
          </cell>
          <cell r="D1555" t="str">
            <v>A-1000 NT 798 METROPOLIS MOOD MAX-2.5L</v>
          </cell>
          <cell r="E1555" t="str">
            <v>ZFGD</v>
          </cell>
          <cell r="F1555" t="str">
            <v>PC</v>
          </cell>
          <cell r="G1555" t="str">
            <v>2</v>
          </cell>
          <cell r="H1555" t="str">
            <v>RETAIL</v>
          </cell>
          <cell r="I1555" t="str">
            <v>29</v>
          </cell>
          <cell r="J1555" t="str">
            <v>MPC</v>
          </cell>
          <cell r="K1555" t="str">
            <v>2909</v>
          </cell>
          <cell r="L1555" t="str">
            <v>GO FAST</v>
          </cell>
          <cell r="M1555" t="str">
            <v>290901</v>
          </cell>
          <cell r="N1555" t="str">
            <v>GO FAST RMX</v>
          </cell>
        </row>
        <row r="1556">
          <cell r="C1556" t="str">
            <v>100005847</v>
          </cell>
          <cell r="D1556" t="str">
            <v>UPR-960 100-1 SPICE OF LIFE-20KP</v>
          </cell>
          <cell r="E1556" t="str">
            <v>ZFGD</v>
          </cell>
          <cell r="F1556" t="str">
            <v>PC</v>
          </cell>
          <cell r="G1556" t="str">
            <v>2</v>
          </cell>
          <cell r="H1556" t="str">
            <v>RETAIL</v>
          </cell>
          <cell r="I1556" t="str">
            <v>2D</v>
          </cell>
          <cell r="J1556" t="str">
            <v>APCT2</v>
          </cell>
          <cell r="K1556" t="str">
            <v>2D01</v>
          </cell>
          <cell r="L1556" t="str">
            <v>ULTRAPROOF</v>
          </cell>
          <cell r="M1556" t="str">
            <v>2D0101</v>
          </cell>
          <cell r="N1556" t="str">
            <v>ULTRAPROOF RMX</v>
          </cell>
        </row>
        <row r="1557">
          <cell r="C1557" t="str">
            <v>100005858</v>
          </cell>
          <cell r="D1557" t="str">
            <v>DI-400 OW 030 LINWOOD BEACH-18LP</v>
          </cell>
          <cell r="E1557" t="str">
            <v>ZFGD</v>
          </cell>
          <cell r="F1557" t="str">
            <v>PC</v>
          </cell>
          <cell r="G1557" t="str">
            <v>2</v>
          </cell>
          <cell r="H1557" t="str">
            <v>RETAIL</v>
          </cell>
          <cell r="I1557" t="str">
            <v>25</v>
          </cell>
          <cell r="J1557" t="str">
            <v>APCT1</v>
          </cell>
          <cell r="K1557" t="str">
            <v>2502</v>
          </cell>
          <cell r="L1557" t="str">
            <v>DECOR</v>
          </cell>
          <cell r="M1557" t="str">
            <v>250221</v>
          </cell>
          <cell r="N1557" t="str">
            <v>DECORCRYL BASE</v>
          </cell>
        </row>
        <row r="1558">
          <cell r="C1558" t="str">
            <v>100005893</v>
          </cell>
          <cell r="D1558" t="str">
            <v>MX-94 PEPPER 39B-4D VN-16KP</v>
          </cell>
          <cell r="E1558" t="str">
            <v>ZFGD</v>
          </cell>
          <cell r="F1558" t="str">
            <v>PC</v>
          </cell>
          <cell r="G1558" t="str">
            <v>5</v>
          </cell>
          <cell r="H1558" t="str">
            <v>PROJECT</v>
          </cell>
          <cell r="I1558" t="str">
            <v>56</v>
          </cell>
          <cell r="J1558" t="str">
            <v>CPC1</v>
          </cell>
          <cell r="K1558" t="str">
            <v>5603</v>
          </cell>
          <cell r="L1558" t="str">
            <v>MULTIPOX</v>
          </cell>
          <cell r="M1558" t="str">
            <v>560301</v>
          </cell>
          <cell r="N1558" t="str">
            <v>MULTIPOX</v>
          </cell>
        </row>
        <row r="1559">
          <cell r="C1559" t="str">
            <v>100005894</v>
          </cell>
          <cell r="D1559" t="str">
            <v>MX-94 PEPPER 39B-4D VN-20KSP</v>
          </cell>
          <cell r="E1559" t="str">
            <v>ZFGD</v>
          </cell>
          <cell r="F1559" t="str">
            <v>SET</v>
          </cell>
          <cell r="G1559" t="str">
            <v>5</v>
          </cell>
          <cell r="H1559" t="str">
            <v>PROJECT</v>
          </cell>
          <cell r="I1559" t="str">
            <v>56</v>
          </cell>
          <cell r="J1559" t="str">
            <v>CPC1</v>
          </cell>
          <cell r="K1559" t="str">
            <v>5603</v>
          </cell>
          <cell r="L1559" t="str">
            <v>MULTIPOX</v>
          </cell>
          <cell r="M1559" t="str">
            <v>560301</v>
          </cell>
          <cell r="N1559" t="str">
            <v>MULTIPOX</v>
          </cell>
        </row>
        <row r="1560">
          <cell r="C1560" t="str">
            <v>100005895</v>
          </cell>
          <cell r="D1560" t="str">
            <v>MX-94 PEPPER 39B-4D VN-4K</v>
          </cell>
          <cell r="E1560" t="str">
            <v>ZFGD</v>
          </cell>
          <cell r="F1560" t="str">
            <v>PC</v>
          </cell>
          <cell r="G1560" t="str">
            <v>5</v>
          </cell>
          <cell r="H1560" t="str">
            <v>PROJECT</v>
          </cell>
          <cell r="I1560" t="str">
            <v>56</v>
          </cell>
          <cell r="J1560" t="str">
            <v>CPC1</v>
          </cell>
          <cell r="K1560" t="str">
            <v>5603</v>
          </cell>
          <cell r="L1560" t="str">
            <v>MULTIPOX</v>
          </cell>
          <cell r="M1560" t="str">
            <v>560301</v>
          </cell>
          <cell r="N1560" t="str">
            <v>MULTIPOX</v>
          </cell>
        </row>
        <row r="1561">
          <cell r="C1561" t="str">
            <v>100005896</v>
          </cell>
          <cell r="D1561" t="str">
            <v>MX-94 PEPPER 39B-4D VN-5KS</v>
          </cell>
          <cell r="E1561" t="str">
            <v>ZFGD</v>
          </cell>
          <cell r="F1561" t="str">
            <v>SET</v>
          </cell>
          <cell r="G1561" t="str">
            <v>5</v>
          </cell>
          <cell r="H1561" t="str">
            <v>PROJECT</v>
          </cell>
          <cell r="I1561" t="str">
            <v>56</v>
          </cell>
          <cell r="J1561" t="str">
            <v>CPC1</v>
          </cell>
          <cell r="K1561" t="str">
            <v>5603</v>
          </cell>
          <cell r="L1561" t="str">
            <v>MULTIPOX</v>
          </cell>
          <cell r="M1561" t="str">
            <v>560301</v>
          </cell>
          <cell r="N1561" t="str">
            <v>MULTIPOX</v>
          </cell>
        </row>
        <row r="1562">
          <cell r="C1562" t="str">
            <v>100005902</v>
          </cell>
          <cell r="D1562" t="str">
            <v>U-PROOF U-93 LIGHT GREY VN-20KP</v>
          </cell>
          <cell r="E1562" t="str">
            <v>ZFGD</v>
          </cell>
          <cell r="F1562" t="str">
            <v>PC</v>
          </cell>
          <cell r="G1562" t="str">
            <v>2</v>
          </cell>
          <cell r="H1562" t="str">
            <v>RETAIL</v>
          </cell>
          <cell r="I1562" t="str">
            <v>2D</v>
          </cell>
          <cell r="J1562" t="str">
            <v>APCT2</v>
          </cell>
          <cell r="K1562" t="str">
            <v>2D02</v>
          </cell>
          <cell r="L1562" t="str">
            <v>U-PROOF</v>
          </cell>
          <cell r="M1562" t="str">
            <v>2D0201</v>
          </cell>
          <cell r="N1562" t="str">
            <v>U-PROOF</v>
          </cell>
        </row>
        <row r="1563">
          <cell r="C1563" t="str">
            <v>100005932</v>
          </cell>
          <cell r="D1563" t="str">
            <v>A-1000 166-2 GOLDEN VALLEY MAX-20LP</v>
          </cell>
          <cell r="E1563" t="str">
            <v>ZFGD</v>
          </cell>
          <cell r="F1563" t="str">
            <v>PC</v>
          </cell>
          <cell r="G1563" t="str">
            <v>2</v>
          </cell>
          <cell r="H1563" t="str">
            <v>RETAIL</v>
          </cell>
          <cell r="I1563" t="str">
            <v>29</v>
          </cell>
          <cell r="J1563" t="str">
            <v>MPC</v>
          </cell>
          <cell r="K1563" t="str">
            <v>2909</v>
          </cell>
          <cell r="L1563" t="str">
            <v>GO FAST</v>
          </cell>
          <cell r="M1563" t="str">
            <v>290901</v>
          </cell>
          <cell r="N1563" t="str">
            <v>GO FAST RMX</v>
          </cell>
        </row>
        <row r="1564">
          <cell r="C1564" t="str">
            <v>100005938</v>
          </cell>
          <cell r="D1564" t="str">
            <v>A-1000 143-4 SILVER THORNE MAX-0.9L</v>
          </cell>
          <cell r="E1564" t="str">
            <v>ZFGD</v>
          </cell>
          <cell r="F1564" t="str">
            <v>PC</v>
          </cell>
          <cell r="G1564" t="str">
            <v>2</v>
          </cell>
          <cell r="H1564" t="str">
            <v>RETAIL</v>
          </cell>
          <cell r="I1564" t="str">
            <v>29</v>
          </cell>
          <cell r="J1564" t="str">
            <v>MPC</v>
          </cell>
          <cell r="K1564" t="str">
            <v>2909</v>
          </cell>
          <cell r="L1564" t="str">
            <v>GO FAST</v>
          </cell>
          <cell r="M1564" t="str">
            <v>290901</v>
          </cell>
          <cell r="N1564" t="str">
            <v>GO FAST RMX</v>
          </cell>
        </row>
        <row r="1565">
          <cell r="C1565" t="str">
            <v>100005983</v>
          </cell>
          <cell r="D1565" t="str">
            <v>PFT-215 BLUE DKH 01 VN-18KP</v>
          </cell>
          <cell r="E1565" t="str">
            <v>ZFGD</v>
          </cell>
          <cell r="F1565" t="str">
            <v>PC</v>
          </cell>
          <cell r="G1565" t="str">
            <v>5</v>
          </cell>
          <cell r="H1565" t="str">
            <v>PROJECT</v>
          </cell>
          <cell r="I1565" t="str">
            <v>56</v>
          </cell>
          <cell r="J1565" t="str">
            <v>CPC1</v>
          </cell>
          <cell r="K1565" t="str">
            <v>5602</v>
          </cell>
          <cell r="L1565" t="str">
            <v>POLYFLOOR</v>
          </cell>
          <cell r="M1565" t="str">
            <v>560207</v>
          </cell>
          <cell r="N1565" t="str">
            <v>POLYFLOOR EPOXY SOLVENT FREE</v>
          </cell>
        </row>
        <row r="1566">
          <cell r="C1566" t="str">
            <v>100005984</v>
          </cell>
          <cell r="D1566" t="str">
            <v>PFT-215 BLUE DKH 01 VN-21KSP</v>
          </cell>
          <cell r="E1566" t="str">
            <v>ZFGD</v>
          </cell>
          <cell r="F1566" t="str">
            <v>SET</v>
          </cell>
          <cell r="G1566" t="str">
            <v>5</v>
          </cell>
          <cell r="H1566" t="str">
            <v>PROJECT</v>
          </cell>
          <cell r="I1566" t="str">
            <v>56</v>
          </cell>
          <cell r="J1566" t="str">
            <v>CPC1</v>
          </cell>
          <cell r="K1566" t="str">
            <v>5602</v>
          </cell>
          <cell r="L1566" t="str">
            <v>POLYFLOOR</v>
          </cell>
          <cell r="M1566" t="str">
            <v>560207</v>
          </cell>
          <cell r="N1566" t="str">
            <v>POLYFLOOR EPOXY SOLVENT FREE</v>
          </cell>
        </row>
        <row r="1567">
          <cell r="C1567" t="str">
            <v>100005987</v>
          </cell>
          <cell r="D1567" t="str">
            <v>UPR-960 YL 144 CHROMATELLA-20KP</v>
          </cell>
          <cell r="E1567" t="str">
            <v>ZFGD</v>
          </cell>
          <cell r="F1567" t="str">
            <v>PC</v>
          </cell>
          <cell r="G1567" t="str">
            <v>2</v>
          </cell>
          <cell r="H1567" t="str">
            <v>RETAIL</v>
          </cell>
          <cell r="I1567" t="str">
            <v>2D</v>
          </cell>
          <cell r="J1567" t="str">
            <v>APCT2</v>
          </cell>
          <cell r="K1567" t="str">
            <v>2D01</v>
          </cell>
          <cell r="L1567" t="str">
            <v>ULTRAPROOF</v>
          </cell>
          <cell r="M1567" t="str">
            <v>2D0101</v>
          </cell>
          <cell r="N1567" t="str">
            <v>ULTRAPROOF RMX</v>
          </cell>
        </row>
        <row r="1568">
          <cell r="C1568" t="str">
            <v>100005988</v>
          </cell>
          <cell r="D1568" t="str">
            <v>UPR-960 YL 454 SOLEIL-20KP</v>
          </cell>
          <cell r="E1568" t="str">
            <v>ZFGD</v>
          </cell>
          <cell r="F1568" t="str">
            <v>PC</v>
          </cell>
          <cell r="G1568" t="str">
            <v>2</v>
          </cell>
          <cell r="H1568" t="str">
            <v>RETAIL</v>
          </cell>
          <cell r="I1568" t="str">
            <v>2D</v>
          </cell>
          <cell r="J1568" t="str">
            <v>APCT2</v>
          </cell>
          <cell r="K1568" t="str">
            <v>2D01</v>
          </cell>
          <cell r="L1568" t="str">
            <v>ULTRAPROOF</v>
          </cell>
          <cell r="M1568" t="str">
            <v>2D0101</v>
          </cell>
          <cell r="N1568" t="str">
            <v>ULTRAPROOF RMX</v>
          </cell>
        </row>
        <row r="1569">
          <cell r="C1569" t="str">
            <v>100006001</v>
          </cell>
          <cell r="D1569" t="str">
            <v>A-1000 OW 003 COTTON SHEETS MAX-20LP</v>
          </cell>
          <cell r="E1569" t="str">
            <v>ZFGD</v>
          </cell>
          <cell r="F1569" t="str">
            <v>PC</v>
          </cell>
          <cell r="G1569" t="str">
            <v>2</v>
          </cell>
          <cell r="H1569" t="str">
            <v>RETAIL</v>
          </cell>
          <cell r="I1569" t="str">
            <v>29</v>
          </cell>
          <cell r="J1569" t="str">
            <v>MPC</v>
          </cell>
          <cell r="K1569" t="str">
            <v>2909</v>
          </cell>
          <cell r="L1569" t="str">
            <v>GO FAST</v>
          </cell>
          <cell r="M1569" t="str">
            <v>290901</v>
          </cell>
          <cell r="N1569" t="str">
            <v>GO FAST RMX</v>
          </cell>
        </row>
        <row r="1570">
          <cell r="C1570" t="str">
            <v>100006021</v>
          </cell>
          <cell r="D1570" t="str">
            <v>A-1000 RIVER BLUE 5413 MAX-0.9L</v>
          </cell>
          <cell r="E1570" t="str">
            <v>ZFGD</v>
          </cell>
          <cell r="F1570" t="str">
            <v>PC</v>
          </cell>
          <cell r="G1570" t="str">
            <v>2</v>
          </cell>
          <cell r="H1570" t="str">
            <v>RETAIL</v>
          </cell>
          <cell r="I1570" t="str">
            <v>29</v>
          </cell>
          <cell r="J1570" t="str">
            <v>MPC</v>
          </cell>
          <cell r="K1570" t="str">
            <v>2909</v>
          </cell>
          <cell r="L1570" t="str">
            <v>GO FAST</v>
          </cell>
          <cell r="M1570" t="str">
            <v>290901</v>
          </cell>
          <cell r="N1570" t="str">
            <v>GO FAST RMX</v>
          </cell>
        </row>
        <row r="1571">
          <cell r="C1571" t="str">
            <v>100006022</v>
          </cell>
          <cell r="D1571" t="str">
            <v>A-1000 DOF OW 003 COTTON SHEETS MAX-20LP</v>
          </cell>
          <cell r="E1571" t="str">
            <v>ZFGD</v>
          </cell>
          <cell r="F1571" t="str">
            <v>PC</v>
          </cell>
          <cell r="G1571" t="str">
            <v>2</v>
          </cell>
          <cell r="H1571" t="str">
            <v>RETAIL</v>
          </cell>
          <cell r="I1571" t="str">
            <v>29</v>
          </cell>
          <cell r="J1571" t="str">
            <v>MPC</v>
          </cell>
          <cell r="K1571" t="str">
            <v>2909</v>
          </cell>
          <cell r="L1571" t="str">
            <v>GO FAST</v>
          </cell>
          <cell r="M1571" t="str">
            <v>290901</v>
          </cell>
          <cell r="N1571" t="str">
            <v>GO FAST RMX</v>
          </cell>
        </row>
        <row r="1572">
          <cell r="C1572" t="str">
            <v>100006036</v>
          </cell>
          <cell r="D1572" t="str">
            <v>A-1000 BL 966 BLUE BOLT MAX -20LP</v>
          </cell>
          <cell r="E1572" t="str">
            <v>ZFGD</v>
          </cell>
          <cell r="F1572" t="str">
            <v>PC</v>
          </cell>
          <cell r="G1572" t="str">
            <v>2</v>
          </cell>
          <cell r="H1572" t="str">
            <v>RETAIL</v>
          </cell>
          <cell r="I1572" t="str">
            <v>29</v>
          </cell>
          <cell r="J1572" t="str">
            <v>MPC</v>
          </cell>
          <cell r="K1572" t="str">
            <v>2909</v>
          </cell>
          <cell r="L1572" t="str">
            <v>GO FAST</v>
          </cell>
          <cell r="M1572" t="str">
            <v>290901</v>
          </cell>
          <cell r="N1572" t="str">
            <v>GO FAST RMX</v>
          </cell>
        </row>
        <row r="1573">
          <cell r="C1573" t="str">
            <v>100006041</v>
          </cell>
          <cell r="D1573" t="str">
            <v>MX-93 LINE YELLOW VN-16KP</v>
          </cell>
          <cell r="E1573" t="str">
            <v>ZFGD</v>
          </cell>
          <cell r="F1573" t="str">
            <v>PC</v>
          </cell>
          <cell r="G1573" t="str">
            <v>5</v>
          </cell>
          <cell r="H1573" t="str">
            <v>PROJECT</v>
          </cell>
          <cell r="I1573" t="str">
            <v>56</v>
          </cell>
          <cell r="J1573" t="str">
            <v>CPC1</v>
          </cell>
          <cell r="K1573" t="str">
            <v>5603</v>
          </cell>
          <cell r="L1573" t="str">
            <v>MULTIPOX</v>
          </cell>
          <cell r="M1573" t="str">
            <v>560301</v>
          </cell>
          <cell r="N1573" t="str">
            <v>MULTIPOX</v>
          </cell>
        </row>
        <row r="1574">
          <cell r="C1574" t="str">
            <v>100006042</v>
          </cell>
          <cell r="D1574" t="str">
            <v>MX-93 LINE YELLOW VN-20KSP</v>
          </cell>
          <cell r="E1574" t="str">
            <v>ZFGD</v>
          </cell>
          <cell r="F1574" t="str">
            <v>SET</v>
          </cell>
          <cell r="G1574" t="str">
            <v>5</v>
          </cell>
          <cell r="H1574" t="str">
            <v>PROJECT</v>
          </cell>
          <cell r="I1574" t="str">
            <v>56</v>
          </cell>
          <cell r="J1574" t="str">
            <v>CPC1</v>
          </cell>
          <cell r="K1574" t="str">
            <v>5603</v>
          </cell>
          <cell r="L1574" t="str">
            <v>MULTIPOX</v>
          </cell>
          <cell r="M1574" t="str">
            <v>560301</v>
          </cell>
          <cell r="N1574" t="str">
            <v>MULTIPOX</v>
          </cell>
        </row>
        <row r="1575">
          <cell r="C1575" t="str">
            <v>100006043</v>
          </cell>
          <cell r="D1575" t="str">
            <v>MX-93 LINE YELLOW VN-4K</v>
          </cell>
          <cell r="E1575" t="str">
            <v>ZFGD</v>
          </cell>
          <cell r="F1575" t="str">
            <v>PC</v>
          </cell>
          <cell r="G1575" t="str">
            <v>5</v>
          </cell>
          <cell r="H1575" t="str">
            <v>PROJECT</v>
          </cell>
          <cell r="I1575" t="str">
            <v>56</v>
          </cell>
          <cell r="J1575" t="str">
            <v>CPC1</v>
          </cell>
          <cell r="K1575" t="str">
            <v>5603</v>
          </cell>
          <cell r="L1575" t="str">
            <v>MULTIPOX</v>
          </cell>
          <cell r="M1575" t="str">
            <v>560301</v>
          </cell>
          <cell r="N1575" t="str">
            <v>MULTIPOX</v>
          </cell>
        </row>
        <row r="1576">
          <cell r="C1576" t="str">
            <v>100006044</v>
          </cell>
          <cell r="D1576" t="str">
            <v>MX-93 LINE YELLOW VN-5KS</v>
          </cell>
          <cell r="E1576" t="str">
            <v>ZFGD</v>
          </cell>
          <cell r="F1576" t="str">
            <v>SET</v>
          </cell>
          <cell r="G1576" t="str">
            <v>5</v>
          </cell>
          <cell r="H1576" t="str">
            <v>PROJECT</v>
          </cell>
          <cell r="I1576" t="str">
            <v>56</v>
          </cell>
          <cell r="J1576" t="str">
            <v>CPC1</v>
          </cell>
          <cell r="K1576" t="str">
            <v>5603</v>
          </cell>
          <cell r="L1576" t="str">
            <v>MULTIPOX</v>
          </cell>
          <cell r="M1576" t="str">
            <v>560301</v>
          </cell>
          <cell r="N1576" t="str">
            <v>MULTIPOX</v>
          </cell>
        </row>
        <row r="1577">
          <cell r="C1577" t="str">
            <v>100006045</v>
          </cell>
          <cell r="D1577" t="str">
            <v>HARDENER MX-93 VN-1K</v>
          </cell>
          <cell r="E1577" t="str">
            <v>ZFGD</v>
          </cell>
          <cell r="F1577" t="str">
            <v>PC</v>
          </cell>
          <cell r="G1577" t="str">
            <v>5</v>
          </cell>
          <cell r="H1577" t="str">
            <v>PROJECT</v>
          </cell>
          <cell r="I1577" t="str">
            <v>56</v>
          </cell>
          <cell r="J1577" t="str">
            <v>CPC1</v>
          </cell>
          <cell r="K1577" t="str">
            <v>5603</v>
          </cell>
          <cell r="L1577" t="str">
            <v>MULTIPOX</v>
          </cell>
          <cell r="M1577" t="str">
            <v>560301</v>
          </cell>
          <cell r="N1577" t="str">
            <v>MULTIPOX</v>
          </cell>
        </row>
        <row r="1578">
          <cell r="C1578" t="str">
            <v>100006046</v>
          </cell>
          <cell r="D1578" t="str">
            <v>HARDENER MX-93 VN-4K</v>
          </cell>
          <cell r="E1578" t="str">
            <v>ZFGD</v>
          </cell>
          <cell r="F1578" t="str">
            <v>PC</v>
          </cell>
          <cell r="G1578" t="str">
            <v>5</v>
          </cell>
          <cell r="H1578" t="str">
            <v>PROJECT</v>
          </cell>
          <cell r="I1578" t="str">
            <v>56</v>
          </cell>
          <cell r="J1578" t="str">
            <v>CPC1</v>
          </cell>
          <cell r="K1578" t="str">
            <v>5603</v>
          </cell>
          <cell r="L1578" t="str">
            <v>MULTIPOX</v>
          </cell>
          <cell r="M1578" t="str">
            <v>560301</v>
          </cell>
          <cell r="N1578" t="str">
            <v>MULTIPOX</v>
          </cell>
        </row>
        <row r="1579">
          <cell r="C1579" t="str">
            <v>100006047</v>
          </cell>
          <cell r="D1579" t="str">
            <v>A-1000 BL 971 BLAZER BLUE MAX-20LP</v>
          </cell>
          <cell r="E1579" t="str">
            <v>ZFGD</v>
          </cell>
          <cell r="F1579" t="str">
            <v>PC</v>
          </cell>
          <cell r="G1579" t="str">
            <v>2</v>
          </cell>
          <cell r="H1579" t="str">
            <v>RETAIL</v>
          </cell>
          <cell r="I1579" t="str">
            <v>29</v>
          </cell>
          <cell r="J1579" t="str">
            <v>MPC</v>
          </cell>
          <cell r="K1579" t="str">
            <v>2909</v>
          </cell>
          <cell r="L1579" t="str">
            <v>GO FAST</v>
          </cell>
          <cell r="M1579" t="str">
            <v>290901</v>
          </cell>
          <cell r="N1579" t="str">
            <v>GO FAST RMX</v>
          </cell>
        </row>
        <row r="1580">
          <cell r="C1580" t="str">
            <v>100006080</v>
          </cell>
          <cell r="D1580" t="str">
            <v>UPR-960 SUNKISS 0046 VN-1K</v>
          </cell>
          <cell r="E1580" t="str">
            <v>ZFGD</v>
          </cell>
          <cell r="F1580" t="str">
            <v>PC</v>
          </cell>
          <cell r="G1580" t="str">
            <v>2</v>
          </cell>
          <cell r="H1580" t="str">
            <v>RETAIL</v>
          </cell>
          <cell r="I1580" t="str">
            <v>2D</v>
          </cell>
          <cell r="J1580" t="str">
            <v>APCT2</v>
          </cell>
          <cell r="K1580" t="str">
            <v>2D01</v>
          </cell>
          <cell r="L1580" t="str">
            <v>ULTRAPROOF</v>
          </cell>
          <cell r="M1580" t="str">
            <v>2D0101</v>
          </cell>
          <cell r="N1580" t="str">
            <v>ULTRAPROOF RMX</v>
          </cell>
        </row>
        <row r="1581">
          <cell r="C1581" t="str">
            <v>100006081</v>
          </cell>
          <cell r="D1581" t="str">
            <v>DI-400 087-5 YELLOW ROSE-18LP</v>
          </cell>
          <cell r="E1581" t="str">
            <v>ZFGD</v>
          </cell>
          <cell r="F1581" t="str">
            <v>PC</v>
          </cell>
          <cell r="G1581" t="str">
            <v>2</v>
          </cell>
          <cell r="H1581" t="str">
            <v>RETAIL</v>
          </cell>
          <cell r="I1581" t="str">
            <v>25</v>
          </cell>
          <cell r="J1581" t="str">
            <v>APCT1</v>
          </cell>
          <cell r="K1581" t="str">
            <v>2502</v>
          </cell>
          <cell r="L1581" t="str">
            <v>DECOR</v>
          </cell>
          <cell r="M1581" t="str">
            <v>250221</v>
          </cell>
          <cell r="N1581" t="str">
            <v>DECORCRYL BASE</v>
          </cell>
        </row>
        <row r="1582">
          <cell r="C1582" t="str">
            <v>100006123</v>
          </cell>
          <cell r="D1582" t="str">
            <v>HARDENER PFP-221 VN-2.5K</v>
          </cell>
          <cell r="E1582" t="str">
            <v>ZFGD</v>
          </cell>
          <cell r="F1582" t="str">
            <v>PC</v>
          </cell>
          <cell r="G1582" t="str">
            <v>5</v>
          </cell>
          <cell r="H1582" t="str">
            <v>PROJECT</v>
          </cell>
          <cell r="I1582" t="str">
            <v>56</v>
          </cell>
          <cell r="J1582" t="str">
            <v>CPC1</v>
          </cell>
          <cell r="K1582" t="str">
            <v>5602</v>
          </cell>
          <cell r="L1582" t="str">
            <v>POLYFLOOR</v>
          </cell>
          <cell r="M1582" t="str">
            <v>560202</v>
          </cell>
          <cell r="N1582" t="str">
            <v>POLYFLOOR EPOXY</v>
          </cell>
        </row>
        <row r="1583">
          <cell r="C1583" t="str">
            <v>100006124</v>
          </cell>
          <cell r="D1583" t="str">
            <v>PFP-221-2K SF BODY COAT VN-17.5KP</v>
          </cell>
          <cell r="E1583" t="str">
            <v>ZFGD</v>
          </cell>
          <cell r="F1583" t="str">
            <v>PC</v>
          </cell>
          <cell r="G1583" t="str">
            <v>5</v>
          </cell>
          <cell r="H1583" t="str">
            <v>PROJECT</v>
          </cell>
          <cell r="I1583" t="str">
            <v>56</v>
          </cell>
          <cell r="J1583" t="str">
            <v>CPC1</v>
          </cell>
          <cell r="K1583" t="str">
            <v>5602</v>
          </cell>
          <cell r="L1583" t="str">
            <v>POLYFLOOR</v>
          </cell>
          <cell r="M1583" t="str">
            <v>560202</v>
          </cell>
          <cell r="N1583" t="str">
            <v>POLYFLOOR EPOXY</v>
          </cell>
        </row>
        <row r="1584">
          <cell r="C1584" t="str">
            <v>100006125</v>
          </cell>
          <cell r="D1584" t="str">
            <v>PFP-221-2K SF BODY COAT VN-20KSP</v>
          </cell>
          <cell r="E1584" t="str">
            <v>ZFGD</v>
          </cell>
          <cell r="F1584" t="str">
            <v>SET</v>
          </cell>
          <cell r="G1584" t="str">
            <v>5</v>
          </cell>
          <cell r="H1584" t="str">
            <v>PROJECT</v>
          </cell>
          <cell r="I1584" t="str">
            <v>56</v>
          </cell>
          <cell r="J1584" t="str">
            <v>CPC1</v>
          </cell>
          <cell r="K1584" t="str">
            <v>5602</v>
          </cell>
          <cell r="L1584" t="str">
            <v>POLYFLOOR</v>
          </cell>
          <cell r="M1584" t="str">
            <v>560202</v>
          </cell>
          <cell r="N1584" t="str">
            <v>POLYFLOOR EPOXY</v>
          </cell>
        </row>
        <row r="1585">
          <cell r="C1585" t="str">
            <v>100006126</v>
          </cell>
          <cell r="D1585" t="str">
            <v>HARDENER PFP-251 VN-2.5K</v>
          </cell>
          <cell r="E1585" t="str">
            <v>ZFGD</v>
          </cell>
          <cell r="F1585" t="str">
            <v>PC</v>
          </cell>
          <cell r="G1585" t="str">
            <v>5</v>
          </cell>
          <cell r="H1585" t="str">
            <v>PROJECT</v>
          </cell>
          <cell r="I1585" t="str">
            <v>56</v>
          </cell>
          <cell r="J1585" t="str">
            <v>CPC1</v>
          </cell>
          <cell r="K1585" t="str">
            <v>5607</v>
          </cell>
          <cell r="L1585" t="str">
            <v>OTHERS CPC1</v>
          </cell>
          <cell r="M1585" t="str">
            <v>560703</v>
          </cell>
          <cell r="N1585" t="str">
            <v>COMPLEMENTARY CPC1</v>
          </cell>
        </row>
        <row r="1586">
          <cell r="C1586" t="str">
            <v>100006127</v>
          </cell>
          <cell r="D1586" t="str">
            <v>PFP-251-2K SF VN-5K</v>
          </cell>
          <cell r="E1586" t="str">
            <v>ZFGD</v>
          </cell>
          <cell r="F1586" t="str">
            <v>PC</v>
          </cell>
          <cell r="G1586" t="str">
            <v>5</v>
          </cell>
          <cell r="H1586" t="str">
            <v>PROJECT</v>
          </cell>
          <cell r="I1586" t="str">
            <v>56</v>
          </cell>
          <cell r="J1586" t="str">
            <v>CPC1</v>
          </cell>
          <cell r="K1586" t="str">
            <v>5602</v>
          </cell>
          <cell r="L1586" t="str">
            <v>POLYFLOOR</v>
          </cell>
          <cell r="M1586" t="str">
            <v>560202</v>
          </cell>
          <cell r="N1586" t="str">
            <v>POLYFLOOR EPOXY</v>
          </cell>
        </row>
        <row r="1587">
          <cell r="C1587" t="str">
            <v>100006128</v>
          </cell>
          <cell r="D1587" t="str">
            <v>PFP-251-2K SF VN-7.5KS</v>
          </cell>
          <cell r="E1587" t="str">
            <v>ZFGD</v>
          </cell>
          <cell r="F1587" t="str">
            <v>SET</v>
          </cell>
          <cell r="G1587" t="str">
            <v>5</v>
          </cell>
          <cell r="H1587" t="str">
            <v>PROJECT</v>
          </cell>
          <cell r="I1587" t="str">
            <v>56</v>
          </cell>
          <cell r="J1587" t="str">
            <v>CPC1</v>
          </cell>
          <cell r="K1587" t="str">
            <v>5602</v>
          </cell>
          <cell r="L1587" t="str">
            <v>POLYFLOOR</v>
          </cell>
          <cell r="M1587" t="str">
            <v>560202</v>
          </cell>
          <cell r="N1587" t="str">
            <v>POLYFLOOR EPOXY</v>
          </cell>
        </row>
        <row r="1588">
          <cell r="C1588" t="str">
            <v>100006135</v>
          </cell>
          <cell r="D1588" t="str">
            <v>PFT-215 CREAM IFS VN-18KP</v>
          </cell>
          <cell r="E1588" t="str">
            <v>ZFGD</v>
          </cell>
          <cell r="F1588" t="str">
            <v>PC</v>
          </cell>
          <cell r="G1588" t="str">
            <v>5</v>
          </cell>
          <cell r="H1588" t="str">
            <v>PROJECT</v>
          </cell>
          <cell r="I1588" t="str">
            <v>56</v>
          </cell>
          <cell r="J1588" t="str">
            <v>CPC1</v>
          </cell>
          <cell r="K1588" t="str">
            <v>5602</v>
          </cell>
          <cell r="L1588" t="str">
            <v>POLYFLOOR</v>
          </cell>
          <cell r="M1588" t="str">
            <v>560207</v>
          </cell>
          <cell r="N1588" t="str">
            <v>POLYFLOOR EPOXY SOLVENT FREE</v>
          </cell>
        </row>
        <row r="1589">
          <cell r="C1589" t="str">
            <v>100006136</v>
          </cell>
          <cell r="D1589" t="str">
            <v>PFT-215 CREAM IFS VN-21KSP</v>
          </cell>
          <cell r="E1589" t="str">
            <v>ZFGD</v>
          </cell>
          <cell r="F1589" t="str">
            <v>SET</v>
          </cell>
          <cell r="G1589" t="str">
            <v>5</v>
          </cell>
          <cell r="H1589" t="str">
            <v>PROJECT</v>
          </cell>
          <cell r="I1589" t="str">
            <v>56</v>
          </cell>
          <cell r="J1589" t="str">
            <v>CPC1</v>
          </cell>
          <cell r="K1589" t="str">
            <v>5602</v>
          </cell>
          <cell r="L1589" t="str">
            <v>POLYFLOOR</v>
          </cell>
          <cell r="M1589" t="str">
            <v>560207</v>
          </cell>
          <cell r="N1589" t="str">
            <v>POLYFLOOR EPOXY SOLVENT FREE</v>
          </cell>
        </row>
        <row r="1590">
          <cell r="C1590" t="str">
            <v>100006137</v>
          </cell>
          <cell r="D1590" t="str">
            <v>UFM-930 LIGHT GREY VN-20KP</v>
          </cell>
          <cell r="E1590" t="str">
            <v>ZFGD</v>
          </cell>
          <cell r="F1590" t="str">
            <v>PC</v>
          </cell>
          <cell r="G1590" t="str">
            <v>5</v>
          </cell>
          <cell r="H1590" t="str">
            <v>PROJECT</v>
          </cell>
          <cell r="I1590" t="str">
            <v>57</v>
          </cell>
          <cell r="J1590" t="str">
            <v>CPC2</v>
          </cell>
          <cell r="K1590" t="str">
            <v>5701</v>
          </cell>
          <cell r="L1590" t="str">
            <v>WATERPROOFING</v>
          </cell>
          <cell r="M1590" t="str">
            <v>570107</v>
          </cell>
          <cell r="N1590" t="str">
            <v>ULTRAFLEX MEMBRANE</v>
          </cell>
        </row>
        <row r="1591">
          <cell r="C1591" t="str">
            <v>100006147</v>
          </cell>
          <cell r="D1591" t="str">
            <v>PFT-253 CREAM IFS VN-16KP</v>
          </cell>
          <cell r="E1591" t="str">
            <v>ZFGD</v>
          </cell>
          <cell r="F1591" t="str">
            <v>PC</v>
          </cell>
          <cell r="G1591" t="str">
            <v>5</v>
          </cell>
          <cell r="H1591" t="str">
            <v>PROJECT</v>
          </cell>
          <cell r="I1591" t="str">
            <v>56</v>
          </cell>
          <cell r="J1591" t="str">
            <v>CPC1</v>
          </cell>
          <cell r="K1591" t="str">
            <v>5602</v>
          </cell>
          <cell r="L1591" t="str">
            <v>POLYFLOOR</v>
          </cell>
          <cell r="M1591" t="str">
            <v>560202</v>
          </cell>
          <cell r="N1591" t="str">
            <v>POLYFLOOR EPOXY</v>
          </cell>
        </row>
        <row r="1592">
          <cell r="C1592" t="str">
            <v>100006148</v>
          </cell>
          <cell r="D1592" t="str">
            <v>PFT-253 CREAM IFS VN-20KSP</v>
          </cell>
          <cell r="E1592" t="str">
            <v>ZFGD</v>
          </cell>
          <cell r="F1592" t="str">
            <v>SET</v>
          </cell>
          <cell r="G1592" t="str">
            <v>5</v>
          </cell>
          <cell r="H1592" t="str">
            <v>PROJECT</v>
          </cell>
          <cell r="I1592" t="str">
            <v>56</v>
          </cell>
          <cell r="J1592" t="str">
            <v>CPC1</v>
          </cell>
          <cell r="K1592" t="str">
            <v>5602</v>
          </cell>
          <cell r="L1592" t="str">
            <v>POLYFLOOR</v>
          </cell>
          <cell r="M1592" t="str">
            <v>560202</v>
          </cell>
          <cell r="N1592" t="str">
            <v>POLYFLOOR EPOXY</v>
          </cell>
        </row>
        <row r="1593">
          <cell r="C1593" t="str">
            <v>100006149</v>
          </cell>
          <cell r="D1593" t="str">
            <v>MX-99 CREAM IFS VN-15KP</v>
          </cell>
          <cell r="E1593" t="str">
            <v>ZFGD</v>
          </cell>
          <cell r="F1593" t="str">
            <v>PC</v>
          </cell>
          <cell r="G1593" t="str">
            <v>2</v>
          </cell>
          <cell r="H1593" t="str">
            <v>RETAIL</v>
          </cell>
          <cell r="I1593" t="str">
            <v>27</v>
          </cell>
          <cell r="J1593" t="str">
            <v>CPC1</v>
          </cell>
          <cell r="K1593" t="str">
            <v>2703</v>
          </cell>
          <cell r="L1593" t="str">
            <v>MULTIPOX</v>
          </cell>
          <cell r="M1593" t="str">
            <v>270302</v>
          </cell>
          <cell r="N1593" t="str">
            <v>MULTIPOX BASE</v>
          </cell>
        </row>
        <row r="1594">
          <cell r="C1594" t="str">
            <v>100006150</v>
          </cell>
          <cell r="D1594" t="str">
            <v>MX-99 CREAM IFS VN-20KSP</v>
          </cell>
          <cell r="E1594" t="str">
            <v>ZFGD</v>
          </cell>
          <cell r="F1594" t="str">
            <v>SET</v>
          </cell>
          <cell r="G1594" t="str">
            <v>2</v>
          </cell>
          <cell r="H1594" t="str">
            <v>RETAIL</v>
          </cell>
          <cell r="I1594" t="str">
            <v>27</v>
          </cell>
          <cell r="J1594" t="str">
            <v>CPC1</v>
          </cell>
          <cell r="K1594" t="str">
            <v>2703</v>
          </cell>
          <cell r="L1594" t="str">
            <v>MULTIPOX</v>
          </cell>
          <cell r="M1594" t="str">
            <v>270302</v>
          </cell>
          <cell r="N1594" t="str">
            <v>MULTIPOX BASE</v>
          </cell>
        </row>
        <row r="1595">
          <cell r="C1595" t="str">
            <v>100006151</v>
          </cell>
          <cell r="D1595" t="str">
            <v>MX-99 DARK GREEN VN-15KP</v>
          </cell>
          <cell r="E1595" t="str">
            <v>ZFGD</v>
          </cell>
          <cell r="F1595" t="str">
            <v>PC</v>
          </cell>
          <cell r="G1595" t="str">
            <v>2</v>
          </cell>
          <cell r="H1595" t="str">
            <v>RETAIL</v>
          </cell>
          <cell r="I1595" t="str">
            <v>27</v>
          </cell>
          <cell r="J1595" t="str">
            <v>CPC1</v>
          </cell>
          <cell r="K1595" t="str">
            <v>2703</v>
          </cell>
          <cell r="L1595" t="str">
            <v>MULTIPOX</v>
          </cell>
          <cell r="M1595" t="str">
            <v>270302</v>
          </cell>
          <cell r="N1595" t="str">
            <v>MULTIPOX BASE</v>
          </cell>
        </row>
        <row r="1596">
          <cell r="C1596" t="str">
            <v>100006152</v>
          </cell>
          <cell r="D1596" t="str">
            <v>MX-99 DARK GREEN VN-20KSP</v>
          </cell>
          <cell r="E1596" t="str">
            <v>ZFGD</v>
          </cell>
          <cell r="F1596" t="str">
            <v>SET</v>
          </cell>
          <cell r="G1596" t="str">
            <v>2</v>
          </cell>
          <cell r="H1596" t="str">
            <v>RETAIL</v>
          </cell>
          <cell r="I1596" t="str">
            <v>27</v>
          </cell>
          <cell r="J1596" t="str">
            <v>CPC1</v>
          </cell>
          <cell r="K1596" t="str">
            <v>2703</v>
          </cell>
          <cell r="L1596" t="str">
            <v>MULTIPOX</v>
          </cell>
          <cell r="M1596" t="str">
            <v>270302</v>
          </cell>
          <cell r="N1596" t="str">
            <v>MULTIPOX BASE</v>
          </cell>
        </row>
        <row r="1597">
          <cell r="C1597" t="str">
            <v>100006153</v>
          </cell>
          <cell r="D1597" t="str">
            <v>FILLER PFT VN-50K</v>
          </cell>
          <cell r="E1597" t="str">
            <v>ZFGD</v>
          </cell>
          <cell r="F1597" t="str">
            <v>PC</v>
          </cell>
          <cell r="G1597" t="str">
            <v>5</v>
          </cell>
          <cell r="H1597" t="str">
            <v>PROJECT</v>
          </cell>
          <cell r="I1597" t="str">
            <v>56</v>
          </cell>
          <cell r="J1597" t="str">
            <v>CPC1</v>
          </cell>
          <cell r="K1597" t="str">
            <v>5602</v>
          </cell>
          <cell r="L1597" t="str">
            <v>POLYFLOOR</v>
          </cell>
          <cell r="M1597" t="str">
            <v>560202</v>
          </cell>
          <cell r="N1597" t="str">
            <v>POLYFLOOR EPOXY</v>
          </cell>
        </row>
        <row r="1598">
          <cell r="C1598" t="str">
            <v>100006156</v>
          </cell>
          <cell r="D1598" t="str">
            <v>UPR-960 PASTEL GREY 8403 VN-6K</v>
          </cell>
          <cell r="E1598" t="str">
            <v>ZFGD</v>
          </cell>
          <cell r="F1598" t="str">
            <v>PC</v>
          </cell>
          <cell r="G1598" t="str">
            <v>2</v>
          </cell>
          <cell r="H1598" t="str">
            <v>RETAIL</v>
          </cell>
          <cell r="I1598" t="str">
            <v>2D</v>
          </cell>
          <cell r="J1598" t="str">
            <v>APCT2</v>
          </cell>
          <cell r="K1598" t="str">
            <v>2D01</v>
          </cell>
          <cell r="L1598" t="str">
            <v>ULTRAPROOF</v>
          </cell>
          <cell r="M1598" t="str">
            <v>2D0101</v>
          </cell>
          <cell r="N1598" t="str">
            <v>ULTRAPROOF RMX</v>
          </cell>
        </row>
        <row r="1599">
          <cell r="C1599" t="str">
            <v>100006157</v>
          </cell>
          <cell r="D1599" t="str">
            <v>MX-94 CREAM IFS VN-16KP</v>
          </cell>
          <cell r="E1599" t="str">
            <v>ZFGD</v>
          </cell>
          <cell r="F1599" t="str">
            <v>PC</v>
          </cell>
          <cell r="G1599" t="str">
            <v>5</v>
          </cell>
          <cell r="H1599" t="str">
            <v>PROJECT</v>
          </cell>
          <cell r="I1599" t="str">
            <v>56</v>
          </cell>
          <cell r="J1599" t="str">
            <v>CPC1</v>
          </cell>
          <cell r="K1599" t="str">
            <v>5603</v>
          </cell>
          <cell r="L1599" t="str">
            <v>MULTIPOX</v>
          </cell>
          <cell r="M1599" t="str">
            <v>560301</v>
          </cell>
          <cell r="N1599" t="str">
            <v>MULTIPOX</v>
          </cell>
        </row>
        <row r="1600">
          <cell r="C1600" t="str">
            <v>100006158</v>
          </cell>
          <cell r="D1600" t="str">
            <v>MX-94 CREAM IFS VN-20KSP</v>
          </cell>
          <cell r="E1600" t="str">
            <v>ZFGD</v>
          </cell>
          <cell r="F1600" t="str">
            <v>SET</v>
          </cell>
          <cell r="G1600" t="str">
            <v>5</v>
          </cell>
          <cell r="H1600" t="str">
            <v>PROJECT</v>
          </cell>
          <cell r="I1600" t="str">
            <v>56</v>
          </cell>
          <cell r="J1600" t="str">
            <v>CPC1</v>
          </cell>
          <cell r="K1600" t="str">
            <v>5603</v>
          </cell>
          <cell r="L1600" t="str">
            <v>MULTIPOX</v>
          </cell>
          <cell r="M1600" t="str">
            <v>560301</v>
          </cell>
          <cell r="N1600" t="str">
            <v>MULTIPOX</v>
          </cell>
        </row>
        <row r="1601">
          <cell r="C1601" t="str">
            <v>100006159</v>
          </cell>
          <cell r="D1601" t="str">
            <v>MX-94 CREAM IFS VN-4K</v>
          </cell>
          <cell r="E1601" t="str">
            <v>ZFGD</v>
          </cell>
          <cell r="F1601" t="str">
            <v>PC</v>
          </cell>
          <cell r="G1601" t="str">
            <v>5</v>
          </cell>
          <cell r="H1601" t="str">
            <v>PROJECT</v>
          </cell>
          <cell r="I1601" t="str">
            <v>56</v>
          </cell>
          <cell r="J1601" t="str">
            <v>CPC1</v>
          </cell>
          <cell r="K1601" t="str">
            <v>5603</v>
          </cell>
          <cell r="L1601" t="str">
            <v>MULTIPOX</v>
          </cell>
          <cell r="M1601" t="str">
            <v>560301</v>
          </cell>
          <cell r="N1601" t="str">
            <v>MULTIPOX</v>
          </cell>
        </row>
        <row r="1602">
          <cell r="C1602" t="str">
            <v>100006160</v>
          </cell>
          <cell r="D1602" t="str">
            <v>MX-94 CREAM IFS VN-5KS</v>
          </cell>
          <cell r="E1602" t="str">
            <v>ZFGD</v>
          </cell>
          <cell r="F1602" t="str">
            <v>SET</v>
          </cell>
          <cell r="G1602" t="str">
            <v>5</v>
          </cell>
          <cell r="H1602" t="str">
            <v>PROJECT</v>
          </cell>
          <cell r="I1602" t="str">
            <v>56</v>
          </cell>
          <cell r="J1602" t="str">
            <v>CPC1</v>
          </cell>
          <cell r="K1602" t="str">
            <v>5603</v>
          </cell>
          <cell r="L1602" t="str">
            <v>MULTIPOX</v>
          </cell>
          <cell r="M1602" t="str">
            <v>560301</v>
          </cell>
          <cell r="N1602" t="str">
            <v>MULTIPOX</v>
          </cell>
        </row>
        <row r="1603">
          <cell r="C1603" t="str">
            <v>100006172</v>
          </cell>
          <cell r="D1603" t="str">
            <v>DW-500 NT 675 NATURAL WHISPER VN-18LP</v>
          </cell>
          <cell r="E1603" t="str">
            <v>ZFGD</v>
          </cell>
          <cell r="F1603" t="str">
            <v>PC</v>
          </cell>
          <cell r="G1603" t="str">
            <v>2</v>
          </cell>
          <cell r="H1603" t="str">
            <v>RETAIL</v>
          </cell>
          <cell r="I1603" t="str">
            <v>25</v>
          </cell>
          <cell r="J1603" t="str">
            <v>APCT1</v>
          </cell>
          <cell r="K1603" t="str">
            <v>2502</v>
          </cell>
          <cell r="L1603" t="str">
            <v>DECOR</v>
          </cell>
          <cell r="M1603" t="str">
            <v>250203</v>
          </cell>
          <cell r="N1603" t="str">
            <v>DECORSHIELD RMX</v>
          </cell>
        </row>
        <row r="1604">
          <cell r="C1604" t="str">
            <v>100006175</v>
          </cell>
          <cell r="D1604" t="str">
            <v>UFM-930 RAL 6017 MAY GREEN-4K</v>
          </cell>
          <cell r="E1604" t="str">
            <v>ZFGD</v>
          </cell>
          <cell r="F1604" t="str">
            <v>PC</v>
          </cell>
          <cell r="G1604" t="str">
            <v>5</v>
          </cell>
          <cell r="H1604" t="str">
            <v>PROJECT</v>
          </cell>
          <cell r="I1604" t="str">
            <v>57</v>
          </cell>
          <cell r="J1604" t="str">
            <v>CPC2</v>
          </cell>
          <cell r="K1604" t="str">
            <v>5706</v>
          </cell>
          <cell r="L1604" t="str">
            <v>ULTRAFLEX</v>
          </cell>
          <cell r="M1604" t="str">
            <v>570602</v>
          </cell>
          <cell r="N1604" t="str">
            <v>ULTRAFLEX MEMBRANE</v>
          </cell>
        </row>
        <row r="1605">
          <cell r="C1605" t="str">
            <v>100006190</v>
          </cell>
          <cell r="D1605" t="str">
            <v>UPR-960 RD 895 FLAMING SWORD-20KP</v>
          </cell>
          <cell r="E1605" t="str">
            <v>ZFGD</v>
          </cell>
          <cell r="F1605" t="str">
            <v>PC</v>
          </cell>
          <cell r="G1605" t="str">
            <v>2</v>
          </cell>
          <cell r="H1605" t="str">
            <v>RETAIL</v>
          </cell>
          <cell r="I1605" t="str">
            <v>2D</v>
          </cell>
          <cell r="J1605" t="str">
            <v>APCT2</v>
          </cell>
          <cell r="K1605" t="str">
            <v>2D01</v>
          </cell>
          <cell r="L1605" t="str">
            <v>ULTRAPROOF</v>
          </cell>
          <cell r="M1605" t="str">
            <v>2D0101</v>
          </cell>
          <cell r="N1605" t="str">
            <v>ULTRAPROOF RMX</v>
          </cell>
        </row>
        <row r="1606">
          <cell r="C1606" t="str">
            <v>100006209</v>
          </cell>
          <cell r="D1606" t="str">
            <v>HARDENER PFP-251 VN-5K</v>
          </cell>
          <cell r="E1606" t="str">
            <v>ZFGD</v>
          </cell>
          <cell r="F1606" t="str">
            <v>PC</v>
          </cell>
          <cell r="G1606" t="str">
            <v>5</v>
          </cell>
          <cell r="H1606" t="str">
            <v>PROJECT</v>
          </cell>
          <cell r="I1606" t="str">
            <v>56</v>
          </cell>
          <cell r="J1606" t="str">
            <v>CPC1</v>
          </cell>
          <cell r="K1606" t="str">
            <v>5607</v>
          </cell>
          <cell r="L1606" t="str">
            <v>OTHERS CPC1</v>
          </cell>
          <cell r="M1606" t="str">
            <v>560703</v>
          </cell>
          <cell r="N1606" t="str">
            <v>COMPLEMENTARY CPC1</v>
          </cell>
        </row>
        <row r="1607">
          <cell r="C1607" t="str">
            <v>100006210</v>
          </cell>
          <cell r="D1607" t="str">
            <v>PFP-251-2K SF VN-10KP</v>
          </cell>
          <cell r="E1607" t="str">
            <v>ZFGD</v>
          </cell>
          <cell r="F1607" t="str">
            <v>PC</v>
          </cell>
          <cell r="G1607" t="str">
            <v>5</v>
          </cell>
          <cell r="H1607" t="str">
            <v>PROJECT</v>
          </cell>
          <cell r="I1607" t="str">
            <v>56</v>
          </cell>
          <cell r="J1607" t="str">
            <v>CPC1</v>
          </cell>
          <cell r="K1607" t="str">
            <v>5602</v>
          </cell>
          <cell r="L1607" t="str">
            <v>POLYFLOOR</v>
          </cell>
          <cell r="M1607" t="str">
            <v>560202</v>
          </cell>
          <cell r="N1607" t="str">
            <v>POLYFLOOR EPOXY</v>
          </cell>
        </row>
        <row r="1608">
          <cell r="C1608" t="str">
            <v>100006211</v>
          </cell>
          <cell r="D1608" t="str">
            <v>PFP-251-2K SF VN-15KSP</v>
          </cell>
          <cell r="E1608" t="str">
            <v>ZFGD</v>
          </cell>
          <cell r="F1608" t="str">
            <v>SET</v>
          </cell>
          <cell r="G1608" t="str">
            <v>5</v>
          </cell>
          <cell r="H1608" t="str">
            <v>PROJECT</v>
          </cell>
          <cell r="I1608" t="str">
            <v>56</v>
          </cell>
          <cell r="J1608" t="str">
            <v>CPC1</v>
          </cell>
          <cell r="K1608" t="str">
            <v>5602</v>
          </cell>
          <cell r="L1608" t="str">
            <v>POLYFLOOR</v>
          </cell>
          <cell r="M1608" t="str">
            <v>560202</v>
          </cell>
          <cell r="N1608" t="str">
            <v>POLYFLOOR EPOXY</v>
          </cell>
        </row>
        <row r="1609">
          <cell r="C1609" t="str">
            <v>100006214</v>
          </cell>
          <cell r="D1609" t="str">
            <v>UPR-960 031-6 BOY SCOUT BLUE-20KP</v>
          </cell>
          <cell r="E1609" t="str">
            <v>ZFGD</v>
          </cell>
          <cell r="F1609" t="str">
            <v>PC</v>
          </cell>
          <cell r="G1609" t="str">
            <v>2</v>
          </cell>
          <cell r="H1609" t="str">
            <v>RETAIL</v>
          </cell>
          <cell r="I1609" t="str">
            <v>2D</v>
          </cell>
          <cell r="J1609" t="str">
            <v>APCT2</v>
          </cell>
          <cell r="K1609" t="str">
            <v>2D01</v>
          </cell>
          <cell r="L1609" t="str">
            <v>ULTRAPROOF</v>
          </cell>
          <cell r="M1609" t="str">
            <v>2D0101</v>
          </cell>
          <cell r="N1609" t="str">
            <v>ULTRAPROOF RMX</v>
          </cell>
        </row>
        <row r="1610">
          <cell r="C1610" t="str">
            <v>100006241</v>
          </cell>
          <cell r="D1610" t="str">
            <v>HARDENER MX-94 VC VN-1K</v>
          </cell>
          <cell r="E1610" t="str">
            <v>ZFGD</v>
          </cell>
          <cell r="F1610" t="str">
            <v>PC</v>
          </cell>
          <cell r="G1610" t="str">
            <v>5</v>
          </cell>
          <cell r="H1610" t="str">
            <v>PROJECT</v>
          </cell>
          <cell r="I1610" t="str">
            <v>56</v>
          </cell>
          <cell r="J1610" t="str">
            <v>CPC1</v>
          </cell>
          <cell r="K1610" t="str">
            <v>5603</v>
          </cell>
          <cell r="L1610" t="str">
            <v>MULTIPOX</v>
          </cell>
          <cell r="M1610" t="str">
            <v>560301</v>
          </cell>
          <cell r="N1610" t="str">
            <v>MULTIPOX</v>
          </cell>
        </row>
        <row r="1611">
          <cell r="C1611" t="str">
            <v>100006242</v>
          </cell>
          <cell r="D1611" t="str">
            <v>HARDENER MX-94 VC VN-4K</v>
          </cell>
          <cell r="E1611" t="str">
            <v>ZFGD</v>
          </cell>
          <cell r="F1611" t="str">
            <v>PC</v>
          </cell>
          <cell r="G1611" t="str">
            <v>5</v>
          </cell>
          <cell r="H1611" t="str">
            <v>PROJECT</v>
          </cell>
          <cell r="I1611" t="str">
            <v>56</v>
          </cell>
          <cell r="J1611" t="str">
            <v>CPC1</v>
          </cell>
          <cell r="K1611" t="str">
            <v>5603</v>
          </cell>
          <cell r="L1611" t="str">
            <v>MULTIPOX</v>
          </cell>
          <cell r="M1611" t="str">
            <v>560301</v>
          </cell>
          <cell r="N1611" t="str">
            <v>MULTIPOX</v>
          </cell>
        </row>
        <row r="1612">
          <cell r="C1612" t="str">
            <v>100006247</v>
          </cell>
          <cell r="D1612" t="str">
            <v>PFT-215 GREEN RAL 6017 VN-18KP</v>
          </cell>
          <cell r="E1612" t="str">
            <v>ZFGD</v>
          </cell>
          <cell r="F1612" t="str">
            <v>PC</v>
          </cell>
          <cell r="G1612" t="str">
            <v>5</v>
          </cell>
          <cell r="H1612" t="str">
            <v>PROJECT</v>
          </cell>
          <cell r="I1612" t="str">
            <v>56</v>
          </cell>
          <cell r="J1612" t="str">
            <v>CPC1</v>
          </cell>
          <cell r="K1612" t="str">
            <v>5602</v>
          </cell>
          <cell r="L1612" t="str">
            <v>POLYFLOOR</v>
          </cell>
          <cell r="M1612" t="str">
            <v>560207</v>
          </cell>
          <cell r="N1612" t="str">
            <v>POLYFLOOR EPOXY SOLVENT FREE</v>
          </cell>
        </row>
        <row r="1613">
          <cell r="C1613" t="str">
            <v>100006248</v>
          </cell>
          <cell r="D1613" t="str">
            <v>PFT-215 GREEN RAL 6017 VN-21KSP</v>
          </cell>
          <cell r="E1613" t="str">
            <v>ZFGD</v>
          </cell>
          <cell r="F1613" t="str">
            <v>SET</v>
          </cell>
          <cell r="G1613" t="str">
            <v>5</v>
          </cell>
          <cell r="H1613" t="str">
            <v>PROJECT</v>
          </cell>
          <cell r="I1613" t="str">
            <v>56</v>
          </cell>
          <cell r="J1613" t="str">
            <v>CPC1</v>
          </cell>
          <cell r="K1613" t="str">
            <v>5602</v>
          </cell>
          <cell r="L1613" t="str">
            <v>POLYFLOOR</v>
          </cell>
          <cell r="M1613" t="str">
            <v>560207</v>
          </cell>
          <cell r="N1613" t="str">
            <v>POLYFLOOR EPOXY SOLVENT FREE</v>
          </cell>
        </row>
        <row r="1614">
          <cell r="C1614" t="str">
            <v>100006253</v>
          </cell>
          <cell r="D1614" t="str">
            <v>A-1000 NT 809 RAND MOON MAX-0.9L</v>
          </cell>
          <cell r="E1614" t="str">
            <v>ZFGD</v>
          </cell>
          <cell r="F1614" t="str">
            <v>PC</v>
          </cell>
          <cell r="G1614" t="str">
            <v>2</v>
          </cell>
          <cell r="H1614" t="str">
            <v>RETAIL</v>
          </cell>
          <cell r="I1614" t="str">
            <v>29</v>
          </cell>
          <cell r="J1614" t="str">
            <v>MPC</v>
          </cell>
          <cell r="K1614" t="str">
            <v>2909</v>
          </cell>
          <cell r="L1614" t="str">
            <v>GO FAST</v>
          </cell>
          <cell r="M1614" t="str">
            <v>290901</v>
          </cell>
          <cell r="N1614" t="str">
            <v>GO FAST RMX</v>
          </cell>
        </row>
        <row r="1615">
          <cell r="C1615" t="str">
            <v>100006254</v>
          </cell>
          <cell r="D1615" t="str">
            <v>UPR-960 100-2 KAREN CREAM -20KP</v>
          </cell>
          <cell r="E1615" t="str">
            <v>ZFGD</v>
          </cell>
          <cell r="F1615" t="str">
            <v>PC</v>
          </cell>
          <cell r="G1615" t="str">
            <v>2</v>
          </cell>
          <cell r="H1615" t="str">
            <v>RETAIL</v>
          </cell>
          <cell r="I1615" t="str">
            <v>2D</v>
          </cell>
          <cell r="J1615" t="str">
            <v>APCT2</v>
          </cell>
          <cell r="K1615" t="str">
            <v>2D01</v>
          </cell>
          <cell r="L1615" t="str">
            <v>ULTRAPROOF</v>
          </cell>
          <cell r="M1615" t="str">
            <v>2D0101</v>
          </cell>
          <cell r="N1615" t="str">
            <v>ULTRAPROOF RMX</v>
          </cell>
        </row>
        <row r="1616">
          <cell r="C1616" t="str">
            <v>100006265</v>
          </cell>
          <cell r="D1616" t="str">
            <v>HARDENER PFT-213 SF VN-1K</v>
          </cell>
          <cell r="E1616" t="str">
            <v>ZFGD</v>
          </cell>
          <cell r="F1616" t="str">
            <v>PC</v>
          </cell>
          <cell r="G1616" t="str">
            <v>5</v>
          </cell>
          <cell r="H1616" t="str">
            <v>PROJECT</v>
          </cell>
          <cell r="I1616" t="str">
            <v>56</v>
          </cell>
          <cell r="J1616" t="str">
            <v>CPC1</v>
          </cell>
          <cell r="K1616" t="str">
            <v>5607</v>
          </cell>
          <cell r="L1616" t="str">
            <v>OTHERS CPC1</v>
          </cell>
          <cell r="M1616" t="str">
            <v>560703</v>
          </cell>
          <cell r="N1616" t="str">
            <v>COMPLEMENTARY CPC1</v>
          </cell>
        </row>
        <row r="1617">
          <cell r="C1617" t="str">
            <v>100006266</v>
          </cell>
          <cell r="D1617" t="str">
            <v>HARDENER PFT-213 SF VN-4K</v>
          </cell>
          <cell r="E1617" t="str">
            <v>ZFGD</v>
          </cell>
          <cell r="F1617" t="str">
            <v>PC</v>
          </cell>
          <cell r="G1617" t="str">
            <v>5</v>
          </cell>
          <cell r="H1617" t="str">
            <v>PROJECT</v>
          </cell>
          <cell r="I1617" t="str">
            <v>56</v>
          </cell>
          <cell r="J1617" t="str">
            <v>CPC1</v>
          </cell>
          <cell r="K1617" t="str">
            <v>5607</v>
          </cell>
          <cell r="L1617" t="str">
            <v>OTHERS CPC1</v>
          </cell>
          <cell r="M1617" t="str">
            <v>560703</v>
          </cell>
          <cell r="N1617" t="str">
            <v>COMPLEMENTARY CPC1</v>
          </cell>
        </row>
        <row r="1618">
          <cell r="C1618" t="str">
            <v>100006267</v>
          </cell>
          <cell r="D1618" t="str">
            <v>HARDENER PFT-213-2K MOLD VN-5K</v>
          </cell>
          <cell r="E1618" t="str">
            <v>ZFGD</v>
          </cell>
          <cell r="F1618" t="str">
            <v>PC</v>
          </cell>
          <cell r="G1618" t="str">
            <v>5</v>
          </cell>
          <cell r="H1618" t="str">
            <v>PROJECT</v>
          </cell>
          <cell r="I1618" t="str">
            <v>56</v>
          </cell>
          <cell r="J1618" t="str">
            <v>CPC1</v>
          </cell>
          <cell r="K1618" t="str">
            <v>5607</v>
          </cell>
          <cell r="L1618" t="str">
            <v>OTHERS CPC1</v>
          </cell>
          <cell r="M1618" t="str">
            <v>560703</v>
          </cell>
          <cell r="N1618" t="str">
            <v>COMPLEMENTARY CPC1</v>
          </cell>
        </row>
        <row r="1619">
          <cell r="C1619" t="str">
            <v>100006268</v>
          </cell>
          <cell r="D1619" t="str">
            <v>PFT-213-2K SF LIGHT GREY 9124 VN-4K</v>
          </cell>
          <cell r="E1619" t="str">
            <v>ZFGD</v>
          </cell>
          <cell r="F1619" t="str">
            <v>PC</v>
          </cell>
          <cell r="G1619" t="str">
            <v>5</v>
          </cell>
          <cell r="H1619" t="str">
            <v>PROJECT</v>
          </cell>
          <cell r="I1619" t="str">
            <v>56</v>
          </cell>
          <cell r="J1619" t="str">
            <v>CPC1</v>
          </cell>
          <cell r="K1619" t="str">
            <v>5602</v>
          </cell>
          <cell r="L1619" t="str">
            <v>POLYFLOOR</v>
          </cell>
          <cell r="M1619" t="str">
            <v>560202</v>
          </cell>
          <cell r="N1619" t="str">
            <v>POLYFLOOR EPOXY</v>
          </cell>
        </row>
        <row r="1620">
          <cell r="C1620" t="str">
            <v>100006269</v>
          </cell>
          <cell r="D1620" t="str">
            <v>PFT-213-2K SF LIGHT GREY 9124 VN-16KP</v>
          </cell>
          <cell r="E1620" t="str">
            <v>ZFGD</v>
          </cell>
          <cell r="F1620" t="str">
            <v>PC</v>
          </cell>
          <cell r="G1620" t="str">
            <v>5</v>
          </cell>
          <cell r="H1620" t="str">
            <v>PROJECT</v>
          </cell>
          <cell r="I1620" t="str">
            <v>56</v>
          </cell>
          <cell r="J1620" t="str">
            <v>CPC1</v>
          </cell>
          <cell r="K1620" t="str">
            <v>5602</v>
          </cell>
          <cell r="L1620" t="str">
            <v>POLYFLOOR</v>
          </cell>
          <cell r="M1620" t="str">
            <v>560202</v>
          </cell>
          <cell r="N1620" t="str">
            <v>POLYFLOOR EPOXY</v>
          </cell>
        </row>
        <row r="1621">
          <cell r="C1621" t="str">
            <v>100006270</v>
          </cell>
          <cell r="D1621" t="str">
            <v>PFT-213-2K SF LIGHT GREY 9124 VN-5KS</v>
          </cell>
          <cell r="E1621" t="str">
            <v>ZFGD</v>
          </cell>
          <cell r="F1621" t="str">
            <v>SET</v>
          </cell>
          <cell r="G1621" t="str">
            <v>5</v>
          </cell>
          <cell r="H1621" t="str">
            <v>PROJECT</v>
          </cell>
          <cell r="I1621" t="str">
            <v>56</v>
          </cell>
          <cell r="J1621" t="str">
            <v>CPC1</v>
          </cell>
          <cell r="K1621" t="str">
            <v>5602</v>
          </cell>
          <cell r="L1621" t="str">
            <v>POLYFLOOR</v>
          </cell>
          <cell r="M1621" t="str">
            <v>560202</v>
          </cell>
          <cell r="N1621" t="str">
            <v>POLYFLOOR EPOXY</v>
          </cell>
        </row>
        <row r="1622">
          <cell r="C1622" t="str">
            <v>100006271</v>
          </cell>
          <cell r="D1622" t="str">
            <v>PFT-213-2K SF LIGHT GREY 9124 VN-20KSP</v>
          </cell>
          <cell r="E1622" t="str">
            <v>ZFGD</v>
          </cell>
          <cell r="F1622" t="str">
            <v>SET</v>
          </cell>
          <cell r="G1622" t="str">
            <v>5</v>
          </cell>
          <cell r="H1622" t="str">
            <v>PROJECT</v>
          </cell>
          <cell r="I1622" t="str">
            <v>56</v>
          </cell>
          <cell r="J1622" t="str">
            <v>CPC1</v>
          </cell>
          <cell r="K1622" t="str">
            <v>5602</v>
          </cell>
          <cell r="L1622" t="str">
            <v>POLYFLOOR</v>
          </cell>
          <cell r="M1622" t="str">
            <v>560202</v>
          </cell>
          <cell r="N1622" t="str">
            <v>POLYFLOOR EPOXY</v>
          </cell>
        </row>
        <row r="1623">
          <cell r="C1623" t="str">
            <v>100006272</v>
          </cell>
          <cell r="D1623" t="str">
            <v>PFT-213-2K SF WHITE 9101 VN-4K</v>
          </cell>
          <cell r="E1623" t="str">
            <v>ZFGD</v>
          </cell>
          <cell r="F1623" t="str">
            <v>PC</v>
          </cell>
          <cell r="G1623" t="str">
            <v>5</v>
          </cell>
          <cell r="H1623" t="str">
            <v>PROJECT</v>
          </cell>
          <cell r="I1623" t="str">
            <v>56</v>
          </cell>
          <cell r="J1623" t="str">
            <v>CPC1</v>
          </cell>
          <cell r="K1623" t="str">
            <v>5602</v>
          </cell>
          <cell r="L1623" t="str">
            <v>POLYFLOOR</v>
          </cell>
          <cell r="M1623" t="str">
            <v>560202</v>
          </cell>
          <cell r="N1623" t="str">
            <v>POLYFLOOR EPOXY</v>
          </cell>
        </row>
        <row r="1624">
          <cell r="C1624" t="str">
            <v>100006273</v>
          </cell>
          <cell r="D1624" t="str">
            <v>PFT-213-2K SF WHITE 9101 VN-16KP</v>
          </cell>
          <cell r="E1624" t="str">
            <v>ZFGD</v>
          </cell>
          <cell r="F1624" t="str">
            <v>PC</v>
          </cell>
          <cell r="G1624" t="str">
            <v>5</v>
          </cell>
          <cell r="H1624" t="str">
            <v>PROJECT</v>
          </cell>
          <cell r="I1624" t="str">
            <v>56</v>
          </cell>
          <cell r="J1624" t="str">
            <v>CPC1</v>
          </cell>
          <cell r="K1624" t="str">
            <v>5602</v>
          </cell>
          <cell r="L1624" t="str">
            <v>POLYFLOOR</v>
          </cell>
          <cell r="M1624" t="str">
            <v>560202</v>
          </cell>
          <cell r="N1624" t="str">
            <v>POLYFLOOR EPOXY</v>
          </cell>
        </row>
        <row r="1625">
          <cell r="C1625" t="str">
            <v>100006274</v>
          </cell>
          <cell r="D1625" t="str">
            <v>PFT-213-2K SF WHITE 9101 VN-5KS</v>
          </cell>
          <cell r="E1625" t="str">
            <v>ZFGD</v>
          </cell>
          <cell r="F1625" t="str">
            <v>SET</v>
          </cell>
          <cell r="G1625" t="str">
            <v>5</v>
          </cell>
          <cell r="H1625" t="str">
            <v>PROJECT</v>
          </cell>
          <cell r="I1625" t="str">
            <v>56</v>
          </cell>
          <cell r="J1625" t="str">
            <v>CPC1</v>
          </cell>
          <cell r="K1625" t="str">
            <v>5602</v>
          </cell>
          <cell r="L1625" t="str">
            <v>POLYFLOOR</v>
          </cell>
          <cell r="M1625" t="str">
            <v>560202</v>
          </cell>
          <cell r="N1625" t="str">
            <v>POLYFLOOR EPOXY</v>
          </cell>
        </row>
        <row r="1626">
          <cell r="C1626" t="str">
            <v>100006275</v>
          </cell>
          <cell r="D1626" t="str">
            <v>PFT-213-2K SF WHITE 9101 VN-20KSP</v>
          </cell>
          <cell r="E1626" t="str">
            <v>ZFGD</v>
          </cell>
          <cell r="F1626" t="str">
            <v>SET</v>
          </cell>
          <cell r="G1626" t="str">
            <v>5</v>
          </cell>
          <cell r="H1626" t="str">
            <v>PROJECT</v>
          </cell>
          <cell r="I1626" t="str">
            <v>56</v>
          </cell>
          <cell r="J1626" t="str">
            <v>CPC1</v>
          </cell>
          <cell r="K1626" t="str">
            <v>5602</v>
          </cell>
          <cell r="L1626" t="str">
            <v>POLYFLOOR</v>
          </cell>
          <cell r="M1626" t="str">
            <v>560202</v>
          </cell>
          <cell r="N1626" t="str">
            <v>POLYFLOOR EPOXY</v>
          </cell>
        </row>
        <row r="1627">
          <cell r="C1627" t="str">
            <v>100006276</v>
          </cell>
          <cell r="D1627" t="str">
            <v>PFT-213-2K SF MOLD CLEAR VN-10K</v>
          </cell>
          <cell r="E1627" t="str">
            <v>ZFGD</v>
          </cell>
          <cell r="F1627" t="str">
            <v>PC</v>
          </cell>
          <cell r="G1627" t="str">
            <v>5</v>
          </cell>
          <cell r="H1627" t="str">
            <v>PROJECT</v>
          </cell>
          <cell r="I1627" t="str">
            <v>56</v>
          </cell>
          <cell r="J1627" t="str">
            <v>CPC1</v>
          </cell>
          <cell r="K1627" t="str">
            <v>5602</v>
          </cell>
          <cell r="L1627" t="str">
            <v>POLYFLOOR</v>
          </cell>
          <cell r="M1627" t="str">
            <v>560202</v>
          </cell>
          <cell r="N1627" t="str">
            <v>POLYFLOOR EPOXY</v>
          </cell>
        </row>
        <row r="1628">
          <cell r="C1628" t="str">
            <v>100006277</v>
          </cell>
          <cell r="D1628" t="str">
            <v>PFT-213-2K SF MOLD CLEAR VN-15KS</v>
          </cell>
          <cell r="E1628" t="str">
            <v>ZFGD</v>
          </cell>
          <cell r="F1628" t="str">
            <v>SET</v>
          </cell>
          <cell r="G1628" t="str">
            <v>5</v>
          </cell>
          <cell r="H1628" t="str">
            <v>PROJECT</v>
          </cell>
          <cell r="I1628" t="str">
            <v>56</v>
          </cell>
          <cell r="J1628" t="str">
            <v>CPC1</v>
          </cell>
          <cell r="K1628" t="str">
            <v>5602</v>
          </cell>
          <cell r="L1628" t="str">
            <v>POLYFLOOR</v>
          </cell>
          <cell r="M1628" t="str">
            <v>560202</v>
          </cell>
          <cell r="N1628" t="str">
            <v>POLYFLOOR EPOXY</v>
          </cell>
        </row>
        <row r="1629">
          <cell r="C1629" t="str">
            <v>100006283</v>
          </cell>
          <cell r="D1629" t="str">
            <v>UPR-960 PRIME GREY 0044 VN-6K</v>
          </cell>
          <cell r="E1629" t="str">
            <v>ZFGD</v>
          </cell>
          <cell r="F1629" t="str">
            <v>PC</v>
          </cell>
          <cell r="G1629" t="str">
            <v>2</v>
          </cell>
          <cell r="H1629" t="str">
            <v>RETAIL</v>
          </cell>
          <cell r="I1629" t="str">
            <v>2D</v>
          </cell>
          <cell r="J1629" t="str">
            <v>APCT2</v>
          </cell>
          <cell r="K1629" t="str">
            <v>2D01</v>
          </cell>
          <cell r="L1629" t="str">
            <v>ULTRAPROOF</v>
          </cell>
          <cell r="M1629" t="str">
            <v>2D0101</v>
          </cell>
          <cell r="N1629" t="str">
            <v>ULTRAPROOF RMX</v>
          </cell>
        </row>
        <row r="1630">
          <cell r="C1630" t="str">
            <v>100006284</v>
          </cell>
          <cell r="D1630" t="str">
            <v>UFM-930 BASE A VN-20KP</v>
          </cell>
          <cell r="E1630" t="str">
            <v>ZFGD</v>
          </cell>
          <cell r="F1630" t="str">
            <v>PC</v>
          </cell>
          <cell r="G1630" t="str">
            <v>5</v>
          </cell>
          <cell r="H1630" t="str">
            <v>PROJECT</v>
          </cell>
          <cell r="I1630" t="str">
            <v>57</v>
          </cell>
          <cell r="J1630" t="str">
            <v>CPC2</v>
          </cell>
          <cell r="K1630" t="str">
            <v>5701</v>
          </cell>
          <cell r="L1630" t="str">
            <v>WATERPROOFING</v>
          </cell>
          <cell r="M1630" t="str">
            <v>570107</v>
          </cell>
          <cell r="N1630" t="str">
            <v>ULTRAFLEX MEMBRANE</v>
          </cell>
        </row>
        <row r="1631">
          <cell r="C1631" t="str">
            <v>100006285</v>
          </cell>
          <cell r="D1631" t="str">
            <v>UFM-930 BASE A VN-6K</v>
          </cell>
          <cell r="E1631" t="str">
            <v>ZFGD</v>
          </cell>
          <cell r="F1631" t="str">
            <v>PC</v>
          </cell>
          <cell r="G1631" t="str">
            <v>5</v>
          </cell>
          <cell r="H1631" t="str">
            <v>PROJECT</v>
          </cell>
          <cell r="I1631" t="str">
            <v>57</v>
          </cell>
          <cell r="J1631" t="str">
            <v>CPC2</v>
          </cell>
          <cell r="K1631" t="str">
            <v>5701</v>
          </cell>
          <cell r="L1631" t="str">
            <v>WATERPROOFING</v>
          </cell>
          <cell r="M1631" t="str">
            <v>570107</v>
          </cell>
          <cell r="N1631" t="str">
            <v>ULTRAFLEX MEMBRANE</v>
          </cell>
        </row>
        <row r="1632">
          <cell r="C1632" t="str">
            <v>100006286</v>
          </cell>
          <cell r="D1632" t="str">
            <v>UFM-930 BASE A VN-1K</v>
          </cell>
          <cell r="E1632" t="str">
            <v>ZFGD</v>
          </cell>
          <cell r="F1632" t="str">
            <v>PC</v>
          </cell>
          <cell r="G1632" t="str">
            <v>5</v>
          </cell>
          <cell r="H1632" t="str">
            <v>PROJECT</v>
          </cell>
          <cell r="I1632" t="str">
            <v>57</v>
          </cell>
          <cell r="J1632" t="str">
            <v>CPC2</v>
          </cell>
          <cell r="K1632" t="str">
            <v>5701</v>
          </cell>
          <cell r="L1632" t="str">
            <v>WATERPROOFING</v>
          </cell>
          <cell r="M1632" t="str">
            <v>570107</v>
          </cell>
          <cell r="N1632" t="str">
            <v>ULTRAFLEX MEMBRANE</v>
          </cell>
        </row>
        <row r="1633">
          <cell r="C1633" t="str">
            <v>100006287</v>
          </cell>
          <cell r="D1633" t="str">
            <v>UFM-930 BASE D VN-20KP</v>
          </cell>
          <cell r="E1633" t="str">
            <v>ZFGD</v>
          </cell>
          <cell r="F1633" t="str">
            <v>PC</v>
          </cell>
          <cell r="G1633" t="str">
            <v>5</v>
          </cell>
          <cell r="H1633" t="str">
            <v>PROJECT</v>
          </cell>
          <cell r="I1633" t="str">
            <v>57</v>
          </cell>
          <cell r="J1633" t="str">
            <v>CPC2</v>
          </cell>
          <cell r="K1633" t="str">
            <v>5701</v>
          </cell>
          <cell r="L1633" t="str">
            <v>WATERPROOFING</v>
          </cell>
          <cell r="M1633" t="str">
            <v>570107</v>
          </cell>
          <cell r="N1633" t="str">
            <v>ULTRAFLEX MEMBRANE</v>
          </cell>
        </row>
        <row r="1634">
          <cell r="C1634" t="str">
            <v>100006288</v>
          </cell>
          <cell r="D1634" t="str">
            <v>UFM-930 BASE D VN-6K</v>
          </cell>
          <cell r="E1634" t="str">
            <v>ZFGD</v>
          </cell>
          <cell r="F1634" t="str">
            <v>PC</v>
          </cell>
          <cell r="G1634" t="str">
            <v>5</v>
          </cell>
          <cell r="H1634" t="str">
            <v>PROJECT</v>
          </cell>
          <cell r="I1634" t="str">
            <v>57</v>
          </cell>
          <cell r="J1634" t="str">
            <v>CPC2</v>
          </cell>
          <cell r="K1634" t="str">
            <v>5701</v>
          </cell>
          <cell r="L1634" t="str">
            <v>WATERPROOFING</v>
          </cell>
          <cell r="M1634" t="str">
            <v>570107</v>
          </cell>
          <cell r="N1634" t="str">
            <v>ULTRAFLEX MEMBRANE</v>
          </cell>
        </row>
        <row r="1635">
          <cell r="C1635" t="str">
            <v>100006289</v>
          </cell>
          <cell r="D1635" t="str">
            <v>UFM-930 BASE D VN-1K</v>
          </cell>
          <cell r="E1635" t="str">
            <v>ZFGD</v>
          </cell>
          <cell r="F1635" t="str">
            <v>PC</v>
          </cell>
          <cell r="G1635" t="str">
            <v>5</v>
          </cell>
          <cell r="H1635" t="str">
            <v>PROJECT</v>
          </cell>
          <cell r="I1635" t="str">
            <v>57</v>
          </cell>
          <cell r="J1635" t="str">
            <v>CPC2</v>
          </cell>
          <cell r="K1635" t="str">
            <v>5701</v>
          </cell>
          <cell r="L1635" t="str">
            <v>WATERPROOFING</v>
          </cell>
          <cell r="M1635" t="str">
            <v>570107</v>
          </cell>
          <cell r="N1635" t="str">
            <v>ULTRAFLEX MEMBRANE</v>
          </cell>
        </row>
        <row r="1636">
          <cell r="C1636" t="str">
            <v>100006290</v>
          </cell>
          <cell r="D1636" t="str">
            <v>UFM-930 WHITE VN-20KP</v>
          </cell>
          <cell r="E1636" t="str">
            <v>ZFGD</v>
          </cell>
          <cell r="F1636" t="str">
            <v>PC</v>
          </cell>
          <cell r="G1636" t="str">
            <v>5</v>
          </cell>
          <cell r="H1636" t="str">
            <v>PROJECT</v>
          </cell>
          <cell r="I1636" t="str">
            <v>57</v>
          </cell>
          <cell r="J1636" t="str">
            <v>CPC2</v>
          </cell>
          <cell r="K1636" t="str">
            <v>5701</v>
          </cell>
          <cell r="L1636" t="str">
            <v>WATERPROOFING</v>
          </cell>
          <cell r="M1636" t="str">
            <v>570107</v>
          </cell>
          <cell r="N1636" t="str">
            <v>ULTRAFLEX MEMBRANE</v>
          </cell>
        </row>
        <row r="1637">
          <cell r="C1637" t="str">
            <v>100006291</v>
          </cell>
          <cell r="D1637" t="str">
            <v>UFM-930 WHITE VN-6K</v>
          </cell>
          <cell r="E1637" t="str">
            <v>ZFGD</v>
          </cell>
          <cell r="F1637" t="str">
            <v>PC</v>
          </cell>
          <cell r="G1637" t="str">
            <v>5</v>
          </cell>
          <cell r="H1637" t="str">
            <v>PROJECT</v>
          </cell>
          <cell r="I1637" t="str">
            <v>57</v>
          </cell>
          <cell r="J1637" t="str">
            <v>CPC2</v>
          </cell>
          <cell r="K1637" t="str">
            <v>5701</v>
          </cell>
          <cell r="L1637" t="str">
            <v>WATERPROOFING</v>
          </cell>
          <cell r="M1637" t="str">
            <v>570107</v>
          </cell>
          <cell r="N1637" t="str">
            <v>ULTRAFLEX MEMBRANE</v>
          </cell>
        </row>
        <row r="1638">
          <cell r="C1638" t="str">
            <v>100006292</v>
          </cell>
          <cell r="D1638" t="str">
            <v>UFM-930 WHITE VN-1K</v>
          </cell>
          <cell r="E1638" t="str">
            <v>ZFGD</v>
          </cell>
          <cell r="F1638" t="str">
            <v>PC</v>
          </cell>
          <cell r="G1638" t="str">
            <v>5</v>
          </cell>
          <cell r="H1638" t="str">
            <v>PROJECT</v>
          </cell>
          <cell r="I1638" t="str">
            <v>57</v>
          </cell>
          <cell r="J1638" t="str">
            <v>CPC2</v>
          </cell>
          <cell r="K1638" t="str">
            <v>5701</v>
          </cell>
          <cell r="L1638" t="str">
            <v>WATERPROOFING</v>
          </cell>
          <cell r="M1638" t="str">
            <v>570107</v>
          </cell>
          <cell r="N1638" t="str">
            <v>ULTRAFLEX MEMBRANE</v>
          </cell>
        </row>
        <row r="1639">
          <cell r="C1639" t="str">
            <v>100006302</v>
          </cell>
          <cell r="D1639" t="str">
            <v>MX-94 GREY MTT VN-16KP</v>
          </cell>
          <cell r="E1639" t="str">
            <v>ZFGD</v>
          </cell>
          <cell r="F1639" t="str">
            <v>PC</v>
          </cell>
          <cell r="G1639" t="str">
            <v>5</v>
          </cell>
          <cell r="H1639" t="str">
            <v>PROJECT</v>
          </cell>
          <cell r="I1639" t="str">
            <v>56</v>
          </cell>
          <cell r="J1639" t="str">
            <v>CPC1</v>
          </cell>
          <cell r="K1639" t="str">
            <v>5603</v>
          </cell>
          <cell r="L1639" t="str">
            <v>MULTIPOX</v>
          </cell>
          <cell r="M1639" t="str">
            <v>560301</v>
          </cell>
          <cell r="N1639" t="str">
            <v>MULTIPOX</v>
          </cell>
        </row>
        <row r="1640">
          <cell r="C1640" t="str">
            <v>100006303</v>
          </cell>
          <cell r="D1640" t="str">
            <v>MX-94 GREY MTT VN-20KSP</v>
          </cell>
          <cell r="E1640" t="str">
            <v>ZFGD</v>
          </cell>
          <cell r="F1640" t="str">
            <v>SET</v>
          </cell>
          <cell r="G1640" t="str">
            <v>5</v>
          </cell>
          <cell r="H1640" t="str">
            <v>PROJECT</v>
          </cell>
          <cell r="I1640" t="str">
            <v>56</v>
          </cell>
          <cell r="J1640" t="str">
            <v>CPC1</v>
          </cell>
          <cell r="K1640" t="str">
            <v>5603</v>
          </cell>
          <cell r="L1640" t="str">
            <v>MULTIPOX</v>
          </cell>
          <cell r="M1640" t="str">
            <v>560301</v>
          </cell>
          <cell r="N1640" t="str">
            <v>MULTIPOX</v>
          </cell>
        </row>
        <row r="1641">
          <cell r="C1641" t="str">
            <v>100006311</v>
          </cell>
          <cell r="D1641" t="str">
            <v>MX-94 IVORY RAL 1014 VN-16KP</v>
          </cell>
          <cell r="E1641" t="str">
            <v>ZFGD</v>
          </cell>
          <cell r="F1641" t="str">
            <v>PC</v>
          </cell>
          <cell r="G1641" t="str">
            <v>5</v>
          </cell>
          <cell r="H1641" t="str">
            <v>PROJECT</v>
          </cell>
          <cell r="I1641" t="str">
            <v>56</v>
          </cell>
          <cell r="J1641" t="str">
            <v>CPC1</v>
          </cell>
          <cell r="K1641" t="str">
            <v>5603</v>
          </cell>
          <cell r="L1641" t="str">
            <v>MULTIPOX</v>
          </cell>
          <cell r="M1641" t="str">
            <v>560301</v>
          </cell>
          <cell r="N1641" t="str">
            <v>MULTIPOX</v>
          </cell>
        </row>
        <row r="1642">
          <cell r="C1642" t="str">
            <v>100006312</v>
          </cell>
          <cell r="D1642" t="str">
            <v>MX-94 IVORY RAL 1014 VN-20KSP</v>
          </cell>
          <cell r="E1642" t="str">
            <v>ZFGD</v>
          </cell>
          <cell r="F1642" t="str">
            <v>SET</v>
          </cell>
          <cell r="G1642" t="str">
            <v>5</v>
          </cell>
          <cell r="H1642" t="str">
            <v>PROJECT</v>
          </cell>
          <cell r="I1642" t="str">
            <v>56</v>
          </cell>
          <cell r="J1642" t="str">
            <v>CPC1</v>
          </cell>
          <cell r="K1642" t="str">
            <v>5603</v>
          </cell>
          <cell r="L1642" t="str">
            <v>MULTIPOX</v>
          </cell>
          <cell r="M1642" t="str">
            <v>560301</v>
          </cell>
          <cell r="N1642" t="str">
            <v>MULTIPOX</v>
          </cell>
        </row>
        <row r="1643">
          <cell r="C1643" t="str">
            <v>100006313</v>
          </cell>
          <cell r="D1643" t="str">
            <v>MX-94 IVORY RAL 1014 VN-4K</v>
          </cell>
          <cell r="E1643" t="str">
            <v>ZFGD</v>
          </cell>
          <cell r="F1643" t="str">
            <v>PC</v>
          </cell>
          <cell r="G1643" t="str">
            <v>5</v>
          </cell>
          <cell r="H1643" t="str">
            <v>PROJECT</v>
          </cell>
          <cell r="I1643" t="str">
            <v>56</v>
          </cell>
          <cell r="J1643" t="str">
            <v>CPC1</v>
          </cell>
          <cell r="K1643" t="str">
            <v>5603</v>
          </cell>
          <cell r="L1643" t="str">
            <v>MULTIPOX</v>
          </cell>
          <cell r="M1643" t="str">
            <v>560301</v>
          </cell>
          <cell r="N1643" t="str">
            <v>MULTIPOX</v>
          </cell>
        </row>
        <row r="1644">
          <cell r="C1644" t="str">
            <v>100006314</v>
          </cell>
          <cell r="D1644" t="str">
            <v>MX-94 IVORY RAL 1014 VN-5KS</v>
          </cell>
          <cell r="E1644" t="str">
            <v>ZFGD</v>
          </cell>
          <cell r="F1644" t="str">
            <v>SET</v>
          </cell>
          <cell r="G1644" t="str">
            <v>5</v>
          </cell>
          <cell r="H1644" t="str">
            <v>PROJECT</v>
          </cell>
          <cell r="I1644" t="str">
            <v>56</v>
          </cell>
          <cell r="J1644" t="str">
            <v>CPC1</v>
          </cell>
          <cell r="K1644" t="str">
            <v>5603</v>
          </cell>
          <cell r="L1644" t="str">
            <v>MULTIPOX</v>
          </cell>
          <cell r="M1644" t="str">
            <v>560301</v>
          </cell>
          <cell r="N1644" t="str">
            <v>MULTIPOX</v>
          </cell>
        </row>
        <row r="1645">
          <cell r="C1645" t="str">
            <v>100006325</v>
          </cell>
          <cell r="D1645" t="str">
            <v>PFP-241 VN-0.875K</v>
          </cell>
          <cell r="E1645" t="str">
            <v>ZFGD</v>
          </cell>
          <cell r="F1645" t="str">
            <v>PC</v>
          </cell>
          <cell r="G1645" t="str">
            <v>5</v>
          </cell>
          <cell r="H1645" t="str">
            <v>PROJECT</v>
          </cell>
          <cell r="I1645" t="str">
            <v>56</v>
          </cell>
          <cell r="J1645" t="str">
            <v>CPC1</v>
          </cell>
          <cell r="K1645" t="str">
            <v>5602</v>
          </cell>
          <cell r="L1645" t="str">
            <v>POLYFLOOR</v>
          </cell>
          <cell r="M1645" t="str">
            <v>560202</v>
          </cell>
          <cell r="N1645" t="str">
            <v>POLYFLOOR EPOXY</v>
          </cell>
        </row>
        <row r="1646">
          <cell r="C1646" t="str">
            <v>100006326</v>
          </cell>
          <cell r="D1646" t="str">
            <v>HARDENER PFP-241 VN-0.125K</v>
          </cell>
          <cell r="E1646" t="str">
            <v>ZFGD</v>
          </cell>
          <cell r="F1646" t="str">
            <v>PC</v>
          </cell>
          <cell r="G1646" t="str">
            <v>5</v>
          </cell>
          <cell r="H1646" t="str">
            <v>PROJECT</v>
          </cell>
          <cell r="I1646" t="str">
            <v>56</v>
          </cell>
          <cell r="J1646" t="str">
            <v>CPC1</v>
          </cell>
          <cell r="K1646" t="str">
            <v>5607</v>
          </cell>
          <cell r="L1646" t="str">
            <v>OTHERS CPC1</v>
          </cell>
          <cell r="M1646" t="str">
            <v>560703</v>
          </cell>
          <cell r="N1646" t="str">
            <v>COMPLEMENTARY CPC1</v>
          </cell>
        </row>
        <row r="1647">
          <cell r="C1647" t="str">
            <v>100006327</v>
          </cell>
          <cell r="D1647" t="str">
            <v>PFP-241 VN-1KS</v>
          </cell>
          <cell r="E1647" t="str">
            <v>ZFGD</v>
          </cell>
          <cell r="F1647" t="str">
            <v>SET</v>
          </cell>
          <cell r="G1647" t="str">
            <v>5</v>
          </cell>
          <cell r="H1647" t="str">
            <v>PROJECT</v>
          </cell>
          <cell r="I1647" t="str">
            <v>56</v>
          </cell>
          <cell r="J1647" t="str">
            <v>CPC1</v>
          </cell>
          <cell r="K1647" t="str">
            <v>5602</v>
          </cell>
          <cell r="L1647" t="str">
            <v>POLYFLOOR</v>
          </cell>
          <cell r="M1647" t="str">
            <v>560202</v>
          </cell>
          <cell r="N1647" t="str">
            <v>POLYFLOOR EPOXY</v>
          </cell>
        </row>
        <row r="1648">
          <cell r="C1648" t="str">
            <v>100006328</v>
          </cell>
          <cell r="D1648" t="str">
            <v>MX-94 VC TRAFFIC YELLOW VN-0.8K</v>
          </cell>
          <cell r="E1648" t="str">
            <v>ZFGD</v>
          </cell>
          <cell r="F1648" t="str">
            <v>PC</v>
          </cell>
          <cell r="G1648" t="str">
            <v>5</v>
          </cell>
          <cell r="H1648" t="str">
            <v>PROJECT</v>
          </cell>
          <cell r="I1648" t="str">
            <v>56</v>
          </cell>
          <cell r="J1648" t="str">
            <v>CPC1</v>
          </cell>
          <cell r="K1648" t="str">
            <v>5603</v>
          </cell>
          <cell r="L1648" t="str">
            <v>MULTIPOX</v>
          </cell>
          <cell r="M1648" t="str">
            <v>560301</v>
          </cell>
          <cell r="N1648" t="str">
            <v>MULTIPOX</v>
          </cell>
        </row>
        <row r="1649">
          <cell r="C1649" t="str">
            <v>100006329</v>
          </cell>
          <cell r="D1649" t="str">
            <v>HARDENER MX-94 VC VN-0.2K</v>
          </cell>
          <cell r="E1649" t="str">
            <v>ZFGD</v>
          </cell>
          <cell r="F1649" t="str">
            <v>PC</v>
          </cell>
          <cell r="G1649" t="str">
            <v>5</v>
          </cell>
          <cell r="H1649" t="str">
            <v>PROJECT</v>
          </cell>
          <cell r="I1649" t="str">
            <v>56</v>
          </cell>
          <cell r="J1649" t="str">
            <v>CPC1</v>
          </cell>
          <cell r="K1649" t="str">
            <v>5603</v>
          </cell>
          <cell r="L1649" t="str">
            <v>MULTIPOX</v>
          </cell>
          <cell r="M1649" t="str">
            <v>560301</v>
          </cell>
          <cell r="N1649" t="str">
            <v>MULTIPOX</v>
          </cell>
        </row>
        <row r="1650">
          <cell r="C1650" t="str">
            <v>100006330</v>
          </cell>
          <cell r="D1650" t="str">
            <v>MX-94 VC TRAFFIC YELLOW VN-1KS</v>
          </cell>
          <cell r="E1650" t="str">
            <v>ZFGD</v>
          </cell>
          <cell r="F1650" t="str">
            <v>SET</v>
          </cell>
          <cell r="G1650" t="str">
            <v>5</v>
          </cell>
          <cell r="H1650" t="str">
            <v>PROJECT</v>
          </cell>
          <cell r="I1650" t="str">
            <v>56</v>
          </cell>
          <cell r="J1650" t="str">
            <v>CPC1</v>
          </cell>
          <cell r="K1650" t="str">
            <v>5603</v>
          </cell>
          <cell r="L1650" t="str">
            <v>MULTIPOX</v>
          </cell>
          <cell r="M1650" t="str">
            <v>560301</v>
          </cell>
          <cell r="N1650" t="str">
            <v>MULTIPOX</v>
          </cell>
        </row>
        <row r="1651">
          <cell r="C1651" t="str">
            <v>100006333</v>
          </cell>
          <cell r="D1651" t="str">
            <v>MX-94 PASTEL ORANGE RAL 2003 VN-16KP</v>
          </cell>
          <cell r="E1651" t="str">
            <v>ZFGD</v>
          </cell>
          <cell r="F1651" t="str">
            <v>PC</v>
          </cell>
          <cell r="G1651" t="str">
            <v>5</v>
          </cell>
          <cell r="H1651" t="str">
            <v>PROJECT</v>
          </cell>
          <cell r="I1651" t="str">
            <v>56</v>
          </cell>
          <cell r="J1651" t="str">
            <v>CPC1</v>
          </cell>
          <cell r="K1651" t="str">
            <v>5603</v>
          </cell>
          <cell r="L1651" t="str">
            <v>MULTIPOX</v>
          </cell>
          <cell r="M1651" t="str">
            <v>560301</v>
          </cell>
          <cell r="N1651" t="str">
            <v>MULTIPOX</v>
          </cell>
        </row>
        <row r="1652">
          <cell r="C1652" t="str">
            <v>100006334</v>
          </cell>
          <cell r="D1652" t="str">
            <v>MX-94 PASTEL ORANGE RAL 2003 VN-20KSP</v>
          </cell>
          <cell r="E1652" t="str">
            <v>ZFGD</v>
          </cell>
          <cell r="F1652" t="str">
            <v>SET</v>
          </cell>
          <cell r="G1652" t="str">
            <v>5</v>
          </cell>
          <cell r="H1652" t="str">
            <v>PROJECT</v>
          </cell>
          <cell r="I1652" t="str">
            <v>56</v>
          </cell>
          <cell r="J1652" t="str">
            <v>CPC1</v>
          </cell>
          <cell r="K1652" t="str">
            <v>5603</v>
          </cell>
          <cell r="L1652" t="str">
            <v>MULTIPOX</v>
          </cell>
          <cell r="M1652" t="str">
            <v>560301</v>
          </cell>
          <cell r="N1652" t="str">
            <v>MULTIPOX</v>
          </cell>
        </row>
        <row r="1653">
          <cell r="C1653" t="str">
            <v>100006335</v>
          </cell>
          <cell r="D1653" t="str">
            <v>MX-94 PASTEL ORANGE RAL 2003 VN-4K</v>
          </cell>
          <cell r="E1653" t="str">
            <v>ZFGD</v>
          </cell>
          <cell r="F1653" t="str">
            <v>PC</v>
          </cell>
          <cell r="G1653" t="str">
            <v>5</v>
          </cell>
          <cell r="H1653" t="str">
            <v>PROJECT</v>
          </cell>
          <cell r="I1653" t="str">
            <v>56</v>
          </cell>
          <cell r="J1653" t="str">
            <v>CPC1</v>
          </cell>
          <cell r="K1653" t="str">
            <v>5603</v>
          </cell>
          <cell r="L1653" t="str">
            <v>MULTIPOX</v>
          </cell>
          <cell r="M1653" t="str">
            <v>560301</v>
          </cell>
          <cell r="N1653" t="str">
            <v>MULTIPOX</v>
          </cell>
        </row>
        <row r="1654">
          <cell r="C1654" t="str">
            <v>100006336</v>
          </cell>
          <cell r="D1654" t="str">
            <v>MX-94 PASTEL ORANGE RAL 2003 VN-5KS</v>
          </cell>
          <cell r="E1654" t="str">
            <v>ZFGD</v>
          </cell>
          <cell r="F1654" t="str">
            <v>SET</v>
          </cell>
          <cell r="G1654" t="str">
            <v>5</v>
          </cell>
          <cell r="H1654" t="str">
            <v>PROJECT</v>
          </cell>
          <cell r="I1654" t="str">
            <v>56</v>
          </cell>
          <cell r="J1654" t="str">
            <v>CPC1</v>
          </cell>
          <cell r="K1654" t="str">
            <v>5603</v>
          </cell>
          <cell r="L1654" t="str">
            <v>MULTIPOX</v>
          </cell>
          <cell r="M1654" t="str">
            <v>560301</v>
          </cell>
          <cell r="N1654" t="str">
            <v>MULTIPOX</v>
          </cell>
        </row>
        <row r="1655">
          <cell r="C1655" t="str">
            <v>100006337</v>
          </cell>
          <cell r="D1655" t="str">
            <v>PFT-213-2K SF DARK GREEN 8417 VN-4K</v>
          </cell>
          <cell r="E1655" t="str">
            <v>ZFGD</v>
          </cell>
          <cell r="F1655" t="str">
            <v>PC</v>
          </cell>
          <cell r="G1655" t="str">
            <v>5</v>
          </cell>
          <cell r="H1655" t="str">
            <v>PROJECT</v>
          </cell>
          <cell r="I1655" t="str">
            <v>56</v>
          </cell>
          <cell r="J1655" t="str">
            <v>CPC1</v>
          </cell>
          <cell r="K1655" t="str">
            <v>5602</v>
          </cell>
          <cell r="L1655" t="str">
            <v>POLYFLOOR</v>
          </cell>
          <cell r="M1655" t="str">
            <v>560202</v>
          </cell>
          <cell r="N1655" t="str">
            <v>POLYFLOOR EPOXY</v>
          </cell>
        </row>
        <row r="1656">
          <cell r="C1656" t="str">
            <v>100006338</v>
          </cell>
          <cell r="D1656" t="str">
            <v>PFT-213-2K SF DARK GREEN 8417 VN-16KP</v>
          </cell>
          <cell r="E1656" t="str">
            <v>ZFGD</v>
          </cell>
          <cell r="F1656" t="str">
            <v>PC</v>
          </cell>
          <cell r="G1656" t="str">
            <v>5</v>
          </cell>
          <cell r="H1656" t="str">
            <v>PROJECT</v>
          </cell>
          <cell r="I1656" t="str">
            <v>56</v>
          </cell>
          <cell r="J1656" t="str">
            <v>CPC1</v>
          </cell>
          <cell r="K1656" t="str">
            <v>5602</v>
          </cell>
          <cell r="L1656" t="str">
            <v>POLYFLOOR</v>
          </cell>
          <cell r="M1656" t="str">
            <v>560202</v>
          </cell>
          <cell r="N1656" t="str">
            <v>POLYFLOOR EPOXY</v>
          </cell>
        </row>
        <row r="1657">
          <cell r="C1657" t="str">
            <v>100006339</v>
          </cell>
          <cell r="D1657" t="str">
            <v>PFT-213-2K SF DARK GREEN 8417 VN-5KS</v>
          </cell>
          <cell r="E1657" t="str">
            <v>ZFGD</v>
          </cell>
          <cell r="F1657" t="str">
            <v>SET</v>
          </cell>
          <cell r="G1657" t="str">
            <v>5</v>
          </cell>
          <cell r="H1657" t="str">
            <v>PROJECT</v>
          </cell>
          <cell r="I1657" t="str">
            <v>56</v>
          </cell>
          <cell r="J1657" t="str">
            <v>CPC1</v>
          </cell>
          <cell r="K1657" t="str">
            <v>5602</v>
          </cell>
          <cell r="L1657" t="str">
            <v>POLYFLOOR</v>
          </cell>
          <cell r="M1657" t="str">
            <v>560202</v>
          </cell>
          <cell r="N1657" t="str">
            <v>POLYFLOOR EPOXY</v>
          </cell>
        </row>
        <row r="1658">
          <cell r="C1658" t="str">
            <v>100006340</v>
          </cell>
          <cell r="D1658" t="str">
            <v>PFT-213-2K SF DARK GREEN 8417 VN-20KSP</v>
          </cell>
          <cell r="E1658" t="str">
            <v>ZFGD</v>
          </cell>
          <cell r="F1658" t="str">
            <v>SET</v>
          </cell>
          <cell r="G1658" t="str">
            <v>5</v>
          </cell>
          <cell r="H1658" t="str">
            <v>PROJECT</v>
          </cell>
          <cell r="I1658" t="str">
            <v>56</v>
          </cell>
          <cell r="J1658" t="str">
            <v>CPC1</v>
          </cell>
          <cell r="K1658" t="str">
            <v>5602</v>
          </cell>
          <cell r="L1658" t="str">
            <v>POLYFLOOR</v>
          </cell>
          <cell r="M1658" t="str">
            <v>560202</v>
          </cell>
          <cell r="N1658" t="str">
            <v>POLYFLOOR EPOXY</v>
          </cell>
        </row>
        <row r="1659">
          <cell r="C1659" t="str">
            <v>100006341</v>
          </cell>
          <cell r="D1659" t="str">
            <v>PFT-213-2K SF LEAF GREEN 8416 VN-4K</v>
          </cell>
          <cell r="E1659" t="str">
            <v>ZFGD</v>
          </cell>
          <cell r="F1659" t="str">
            <v>PC</v>
          </cell>
          <cell r="G1659" t="str">
            <v>5</v>
          </cell>
          <cell r="H1659" t="str">
            <v>PROJECT</v>
          </cell>
          <cell r="I1659" t="str">
            <v>56</v>
          </cell>
          <cell r="J1659" t="str">
            <v>CPC1</v>
          </cell>
          <cell r="K1659" t="str">
            <v>5602</v>
          </cell>
          <cell r="L1659" t="str">
            <v>POLYFLOOR</v>
          </cell>
          <cell r="M1659" t="str">
            <v>560202</v>
          </cell>
          <cell r="N1659" t="str">
            <v>POLYFLOOR EPOXY</v>
          </cell>
        </row>
        <row r="1660">
          <cell r="C1660" t="str">
            <v>100006342</v>
          </cell>
          <cell r="D1660" t="str">
            <v>PFT-213-2K SF LEAF GREEN 8416 VN-16KP</v>
          </cell>
          <cell r="E1660" t="str">
            <v>ZFGD</v>
          </cell>
          <cell r="F1660" t="str">
            <v>PC</v>
          </cell>
          <cell r="G1660" t="str">
            <v>5</v>
          </cell>
          <cell r="H1660" t="str">
            <v>PROJECT</v>
          </cell>
          <cell r="I1660" t="str">
            <v>56</v>
          </cell>
          <cell r="J1660" t="str">
            <v>CPC1</v>
          </cell>
          <cell r="K1660" t="str">
            <v>5602</v>
          </cell>
          <cell r="L1660" t="str">
            <v>POLYFLOOR</v>
          </cell>
          <cell r="M1660" t="str">
            <v>560202</v>
          </cell>
          <cell r="N1660" t="str">
            <v>POLYFLOOR EPOXY</v>
          </cell>
        </row>
        <row r="1661">
          <cell r="C1661" t="str">
            <v>100006343</v>
          </cell>
          <cell r="D1661" t="str">
            <v>PFT-213-2K SF LEAF GREEN 8416 VN-5KS</v>
          </cell>
          <cell r="E1661" t="str">
            <v>ZFGD</v>
          </cell>
          <cell r="F1661" t="str">
            <v>SET</v>
          </cell>
          <cell r="G1661" t="str">
            <v>5</v>
          </cell>
          <cell r="H1661" t="str">
            <v>PROJECT</v>
          </cell>
          <cell r="I1661" t="str">
            <v>56</v>
          </cell>
          <cell r="J1661" t="str">
            <v>CPC1</v>
          </cell>
          <cell r="K1661" t="str">
            <v>5602</v>
          </cell>
          <cell r="L1661" t="str">
            <v>POLYFLOOR</v>
          </cell>
          <cell r="M1661" t="str">
            <v>560202</v>
          </cell>
          <cell r="N1661" t="str">
            <v>POLYFLOOR EPOXY</v>
          </cell>
        </row>
        <row r="1662">
          <cell r="C1662" t="str">
            <v>100006344</v>
          </cell>
          <cell r="D1662" t="str">
            <v>PFT-213-2K SF LEAF GREEN 8416 VN-20KSP</v>
          </cell>
          <cell r="E1662" t="str">
            <v>ZFGD</v>
          </cell>
          <cell r="F1662" t="str">
            <v>SET</v>
          </cell>
          <cell r="G1662" t="str">
            <v>5</v>
          </cell>
          <cell r="H1662" t="str">
            <v>PROJECT</v>
          </cell>
          <cell r="I1662" t="str">
            <v>56</v>
          </cell>
          <cell r="J1662" t="str">
            <v>CPC1</v>
          </cell>
          <cell r="K1662" t="str">
            <v>5602</v>
          </cell>
          <cell r="L1662" t="str">
            <v>POLYFLOOR</v>
          </cell>
          <cell r="M1662" t="str">
            <v>560202</v>
          </cell>
          <cell r="N1662" t="str">
            <v>POLYFLOOR EPOXY</v>
          </cell>
        </row>
        <row r="1663">
          <cell r="C1663" t="str">
            <v>100006347</v>
          </cell>
          <cell r="D1663" t="str">
            <v>MX-94 NAVY MARCH VN-16KP</v>
          </cell>
          <cell r="E1663" t="str">
            <v>ZFGD</v>
          </cell>
          <cell r="F1663" t="str">
            <v>PC</v>
          </cell>
          <cell r="G1663" t="str">
            <v>5</v>
          </cell>
          <cell r="H1663" t="str">
            <v>PROJECT</v>
          </cell>
          <cell r="I1663" t="str">
            <v>56</v>
          </cell>
          <cell r="J1663" t="str">
            <v>CPC1</v>
          </cell>
          <cell r="K1663" t="str">
            <v>5603</v>
          </cell>
          <cell r="L1663" t="str">
            <v>MULTIPOX</v>
          </cell>
          <cell r="M1663" t="str">
            <v>560301</v>
          </cell>
          <cell r="N1663" t="str">
            <v>MULTIPOX</v>
          </cell>
        </row>
        <row r="1664">
          <cell r="C1664" t="str">
            <v>100006348</v>
          </cell>
          <cell r="D1664" t="str">
            <v>MX-94 NAVY MARCH VN-20KSP</v>
          </cell>
          <cell r="E1664" t="str">
            <v>ZFGD</v>
          </cell>
          <cell r="F1664" t="str">
            <v>SET</v>
          </cell>
          <cell r="G1664" t="str">
            <v>5</v>
          </cell>
          <cell r="H1664" t="str">
            <v>PROJECT</v>
          </cell>
          <cell r="I1664" t="str">
            <v>56</v>
          </cell>
          <cell r="J1664" t="str">
            <v>CPC1</v>
          </cell>
          <cell r="K1664" t="str">
            <v>5603</v>
          </cell>
          <cell r="L1664" t="str">
            <v>MULTIPOX</v>
          </cell>
          <cell r="M1664" t="str">
            <v>560301</v>
          </cell>
          <cell r="N1664" t="str">
            <v>MULTIPOX</v>
          </cell>
        </row>
        <row r="1665">
          <cell r="C1665" t="str">
            <v>100006349</v>
          </cell>
          <cell r="D1665" t="str">
            <v>MX-94 NAVY MARCH VN-4K</v>
          </cell>
          <cell r="E1665" t="str">
            <v>ZFGD</v>
          </cell>
          <cell r="F1665" t="str">
            <v>PC</v>
          </cell>
          <cell r="G1665" t="str">
            <v>5</v>
          </cell>
          <cell r="H1665" t="str">
            <v>PROJECT</v>
          </cell>
          <cell r="I1665" t="str">
            <v>56</v>
          </cell>
          <cell r="J1665" t="str">
            <v>CPC1</v>
          </cell>
          <cell r="K1665" t="str">
            <v>5603</v>
          </cell>
          <cell r="L1665" t="str">
            <v>MULTIPOX</v>
          </cell>
          <cell r="M1665" t="str">
            <v>560301</v>
          </cell>
          <cell r="N1665" t="str">
            <v>MULTIPOX</v>
          </cell>
        </row>
        <row r="1666">
          <cell r="C1666" t="str">
            <v>100006350</v>
          </cell>
          <cell r="D1666" t="str">
            <v>MX-94 NAVY MARCH VN-5KS</v>
          </cell>
          <cell r="E1666" t="str">
            <v>ZFGD</v>
          </cell>
          <cell r="F1666" t="str">
            <v>SET</v>
          </cell>
          <cell r="G1666" t="str">
            <v>5</v>
          </cell>
          <cell r="H1666" t="str">
            <v>PROJECT</v>
          </cell>
          <cell r="I1666" t="str">
            <v>56</v>
          </cell>
          <cell r="J1666" t="str">
            <v>CPC1</v>
          </cell>
          <cell r="K1666" t="str">
            <v>5603</v>
          </cell>
          <cell r="L1666" t="str">
            <v>MULTIPOX</v>
          </cell>
          <cell r="M1666" t="str">
            <v>560301</v>
          </cell>
          <cell r="N1666" t="str">
            <v>MULTIPOX</v>
          </cell>
        </row>
        <row r="1667">
          <cell r="C1667" t="str">
            <v>100006355</v>
          </cell>
          <cell r="D1667" t="str">
            <v>UFM-930 RAL 9001 CREAM-20KP</v>
          </cell>
          <cell r="E1667" t="str">
            <v>ZFGD</v>
          </cell>
          <cell r="F1667" t="str">
            <v>PC</v>
          </cell>
          <cell r="G1667" t="str">
            <v>5</v>
          </cell>
          <cell r="H1667" t="str">
            <v>PROJECT</v>
          </cell>
          <cell r="I1667" t="str">
            <v>57</v>
          </cell>
          <cell r="J1667" t="str">
            <v>CPC2</v>
          </cell>
          <cell r="K1667" t="str">
            <v>5706</v>
          </cell>
          <cell r="L1667" t="str">
            <v>ULTRAFLEX</v>
          </cell>
          <cell r="M1667" t="str">
            <v>570602</v>
          </cell>
          <cell r="N1667" t="str">
            <v>ULTRAFLEX MEMBRANE</v>
          </cell>
        </row>
        <row r="1668">
          <cell r="C1668" t="str">
            <v>100006371</v>
          </cell>
          <cell r="D1668" t="str">
            <v>MX-94 TECHILE GREY VN-16KP</v>
          </cell>
          <cell r="E1668" t="str">
            <v>ZFGD</v>
          </cell>
          <cell r="F1668" t="str">
            <v>PC</v>
          </cell>
          <cell r="G1668" t="str">
            <v>5</v>
          </cell>
          <cell r="H1668" t="str">
            <v>PROJECT</v>
          </cell>
          <cell r="I1668" t="str">
            <v>56</v>
          </cell>
          <cell r="J1668" t="str">
            <v>CPC1</v>
          </cell>
          <cell r="K1668" t="str">
            <v>5603</v>
          </cell>
          <cell r="L1668" t="str">
            <v>MULTIPOX</v>
          </cell>
          <cell r="M1668" t="str">
            <v>560301</v>
          </cell>
          <cell r="N1668" t="str">
            <v>MULTIPOX</v>
          </cell>
        </row>
        <row r="1669">
          <cell r="C1669" t="str">
            <v>100006372</v>
          </cell>
          <cell r="D1669" t="str">
            <v>MX-94 TECHILE GREY VN-20KSP</v>
          </cell>
          <cell r="E1669" t="str">
            <v>ZFGD</v>
          </cell>
          <cell r="F1669" t="str">
            <v>SET</v>
          </cell>
          <cell r="G1669" t="str">
            <v>5</v>
          </cell>
          <cell r="H1669" t="str">
            <v>PROJECT</v>
          </cell>
          <cell r="I1669" t="str">
            <v>56</v>
          </cell>
          <cell r="J1669" t="str">
            <v>CPC1</v>
          </cell>
          <cell r="K1669" t="str">
            <v>5603</v>
          </cell>
          <cell r="L1669" t="str">
            <v>MULTIPOX</v>
          </cell>
          <cell r="M1669" t="str">
            <v>560301</v>
          </cell>
          <cell r="N1669" t="str">
            <v>MULTIPOX</v>
          </cell>
        </row>
        <row r="1670">
          <cell r="C1670" t="str">
            <v>100006373</v>
          </cell>
          <cell r="D1670" t="str">
            <v>MX-94 TECHILE GREY VN-4K</v>
          </cell>
          <cell r="E1670" t="str">
            <v>ZFGD</v>
          </cell>
          <cell r="F1670" t="str">
            <v>PC</v>
          </cell>
          <cell r="G1670" t="str">
            <v>5</v>
          </cell>
          <cell r="H1670" t="str">
            <v>PROJECT</v>
          </cell>
          <cell r="I1670" t="str">
            <v>56</v>
          </cell>
          <cell r="J1670" t="str">
            <v>CPC1</v>
          </cell>
          <cell r="K1670" t="str">
            <v>5603</v>
          </cell>
          <cell r="L1670" t="str">
            <v>MULTIPOX</v>
          </cell>
          <cell r="M1670" t="str">
            <v>560301</v>
          </cell>
          <cell r="N1670" t="str">
            <v>MULTIPOX</v>
          </cell>
        </row>
        <row r="1671">
          <cell r="C1671" t="str">
            <v>100006374</v>
          </cell>
          <cell r="D1671" t="str">
            <v>MX-94 TECHILE GREY VN-5KS</v>
          </cell>
          <cell r="E1671" t="str">
            <v>ZFGD</v>
          </cell>
          <cell r="F1671" t="str">
            <v>SET</v>
          </cell>
          <cell r="G1671" t="str">
            <v>5</v>
          </cell>
          <cell r="H1671" t="str">
            <v>PROJECT</v>
          </cell>
          <cell r="I1671" t="str">
            <v>56</v>
          </cell>
          <cell r="J1671" t="str">
            <v>CPC1</v>
          </cell>
          <cell r="K1671" t="str">
            <v>5603</v>
          </cell>
          <cell r="L1671" t="str">
            <v>MULTIPOX</v>
          </cell>
          <cell r="M1671" t="str">
            <v>560301</v>
          </cell>
          <cell r="N1671" t="str">
            <v>MULTIPOX</v>
          </cell>
        </row>
        <row r="1672">
          <cell r="C1672" t="str">
            <v>100006389</v>
          </cell>
          <cell r="D1672" t="str">
            <v>HARDENER PUT-603-4K</v>
          </cell>
          <cell r="E1672" t="str">
            <v>ZFGD</v>
          </cell>
          <cell r="F1672" t="str">
            <v>PC</v>
          </cell>
          <cell r="G1672" t="str">
            <v>5</v>
          </cell>
          <cell r="H1672" t="str">
            <v>PROJECT</v>
          </cell>
          <cell r="I1672" t="str">
            <v>59</v>
          </cell>
          <cell r="J1672" t="str">
            <v>MPC</v>
          </cell>
          <cell r="K1672" t="str">
            <v>5904</v>
          </cell>
          <cell r="L1672" t="str">
            <v>METALKOTE</v>
          </cell>
          <cell r="M1672" t="str">
            <v>590405</v>
          </cell>
          <cell r="N1672" t="str">
            <v>METALKOTE-PU SYSTEM</v>
          </cell>
        </row>
        <row r="1673">
          <cell r="C1673" t="str">
            <v>100006390</v>
          </cell>
          <cell r="D1673" t="str">
            <v>HARDENER PUT-603-1K</v>
          </cell>
          <cell r="E1673" t="str">
            <v>ZFGD</v>
          </cell>
          <cell r="F1673" t="str">
            <v>PC</v>
          </cell>
          <cell r="G1673" t="str">
            <v>5</v>
          </cell>
          <cell r="H1673" t="str">
            <v>PROJECT</v>
          </cell>
          <cell r="I1673" t="str">
            <v>59</v>
          </cell>
          <cell r="J1673" t="str">
            <v>MPC</v>
          </cell>
          <cell r="K1673" t="str">
            <v>5904</v>
          </cell>
          <cell r="L1673" t="str">
            <v>METALKOTE</v>
          </cell>
          <cell r="M1673" t="str">
            <v>590405</v>
          </cell>
          <cell r="N1673" t="str">
            <v>METALKOTE-PU SYSTEM</v>
          </cell>
        </row>
        <row r="1674">
          <cell r="C1674" t="str">
            <v>100006391</v>
          </cell>
          <cell r="D1674" t="str">
            <v>PUT-603 LIGHT GREY RAL 7035-16KP</v>
          </cell>
          <cell r="E1674" t="str">
            <v>ZFGD</v>
          </cell>
          <cell r="F1674" t="str">
            <v>PC</v>
          </cell>
          <cell r="G1674" t="str">
            <v>5</v>
          </cell>
          <cell r="H1674" t="str">
            <v>PROJECT</v>
          </cell>
          <cell r="I1674" t="str">
            <v>59</v>
          </cell>
          <cell r="J1674" t="str">
            <v>MPC</v>
          </cell>
          <cell r="K1674" t="str">
            <v>5904</v>
          </cell>
          <cell r="L1674" t="str">
            <v>METALKOTE</v>
          </cell>
          <cell r="M1674" t="str">
            <v>590405</v>
          </cell>
          <cell r="N1674" t="str">
            <v>METALKOTE-PU SYSTEM</v>
          </cell>
        </row>
        <row r="1675">
          <cell r="C1675" t="str">
            <v>100006392</v>
          </cell>
          <cell r="D1675" t="str">
            <v>PUT-603 LIGHT GREY RAL 7035-4K</v>
          </cell>
          <cell r="E1675" t="str">
            <v>ZFGD</v>
          </cell>
          <cell r="F1675" t="str">
            <v>PC</v>
          </cell>
          <cell r="G1675" t="str">
            <v>5</v>
          </cell>
          <cell r="H1675" t="str">
            <v>PROJECT</v>
          </cell>
          <cell r="I1675" t="str">
            <v>59</v>
          </cell>
          <cell r="J1675" t="str">
            <v>MPC</v>
          </cell>
          <cell r="K1675" t="str">
            <v>5904</v>
          </cell>
          <cell r="L1675" t="str">
            <v>METALKOTE</v>
          </cell>
          <cell r="M1675" t="str">
            <v>590405</v>
          </cell>
          <cell r="N1675" t="str">
            <v>METALKOTE-PU SYSTEM</v>
          </cell>
        </row>
        <row r="1676">
          <cell r="C1676" t="str">
            <v>100006393</v>
          </cell>
          <cell r="D1676" t="str">
            <v>PUT-603 LIGHT GREY RAL 7035-20KSP</v>
          </cell>
          <cell r="E1676" t="str">
            <v>ZFGD</v>
          </cell>
          <cell r="F1676" t="str">
            <v>SET</v>
          </cell>
          <cell r="G1676" t="str">
            <v>5</v>
          </cell>
          <cell r="H1676" t="str">
            <v>PROJECT</v>
          </cell>
          <cell r="I1676" t="str">
            <v>59</v>
          </cell>
          <cell r="J1676" t="str">
            <v>MPC</v>
          </cell>
          <cell r="K1676" t="str">
            <v>5904</v>
          </cell>
          <cell r="L1676" t="str">
            <v>METALKOTE</v>
          </cell>
          <cell r="M1676" t="str">
            <v>590405</v>
          </cell>
          <cell r="N1676" t="str">
            <v>METALKOTE-PU SYSTEM</v>
          </cell>
        </row>
        <row r="1677">
          <cell r="C1677" t="str">
            <v>100006394</v>
          </cell>
          <cell r="D1677" t="str">
            <v>PUT-603 LIGHT GREY RAL 7035-5KS</v>
          </cell>
          <cell r="E1677" t="str">
            <v>ZFGD</v>
          </cell>
          <cell r="F1677" t="str">
            <v>SET</v>
          </cell>
          <cell r="G1677" t="str">
            <v>5</v>
          </cell>
          <cell r="H1677" t="str">
            <v>PROJECT</v>
          </cell>
          <cell r="I1677" t="str">
            <v>59</v>
          </cell>
          <cell r="J1677" t="str">
            <v>MPC</v>
          </cell>
          <cell r="K1677" t="str">
            <v>5904</v>
          </cell>
          <cell r="L1677" t="str">
            <v>METALKOTE</v>
          </cell>
          <cell r="M1677" t="str">
            <v>590405</v>
          </cell>
          <cell r="N1677" t="str">
            <v>METALKOTE-PU SYSTEM</v>
          </cell>
        </row>
        <row r="1678">
          <cell r="C1678" t="str">
            <v>100006395</v>
          </cell>
          <cell r="D1678" t="str">
            <v>HARDENER EDP-551-2K</v>
          </cell>
          <cell r="E1678" t="str">
            <v>ZFGD</v>
          </cell>
          <cell r="F1678" t="str">
            <v>PC</v>
          </cell>
          <cell r="G1678" t="str">
            <v>5</v>
          </cell>
          <cell r="H1678" t="str">
            <v>PROJECT</v>
          </cell>
          <cell r="I1678" t="str">
            <v>59</v>
          </cell>
          <cell r="J1678" t="str">
            <v>MPC</v>
          </cell>
          <cell r="K1678" t="str">
            <v>5904</v>
          </cell>
          <cell r="L1678" t="str">
            <v>METALKOTE</v>
          </cell>
          <cell r="M1678" t="str">
            <v>590402</v>
          </cell>
          <cell r="N1678" t="str">
            <v>METALKOTE-EPOXY SYS</v>
          </cell>
        </row>
        <row r="1679">
          <cell r="C1679" t="str">
            <v>100006396</v>
          </cell>
          <cell r="D1679" t="str">
            <v>EDP-551 ZINC PHOSPHATE-18KP</v>
          </cell>
          <cell r="E1679" t="str">
            <v>ZFGD</v>
          </cell>
          <cell r="F1679" t="str">
            <v>PC</v>
          </cell>
          <cell r="G1679" t="str">
            <v>5</v>
          </cell>
          <cell r="H1679" t="str">
            <v>PROJECT</v>
          </cell>
          <cell r="I1679" t="str">
            <v>59</v>
          </cell>
          <cell r="J1679" t="str">
            <v>MPC</v>
          </cell>
          <cell r="K1679" t="str">
            <v>5904</v>
          </cell>
          <cell r="L1679" t="str">
            <v>METALKOTE</v>
          </cell>
          <cell r="M1679" t="str">
            <v>590402</v>
          </cell>
          <cell r="N1679" t="str">
            <v>METALKOTE-EPOXY SYS</v>
          </cell>
        </row>
        <row r="1680">
          <cell r="C1680" t="str">
            <v>100006397</v>
          </cell>
          <cell r="D1680" t="str">
            <v>EDP-551 ZINC PHOSPHATE-20KSP</v>
          </cell>
          <cell r="E1680" t="str">
            <v>ZFGD</v>
          </cell>
          <cell r="F1680" t="str">
            <v>SET</v>
          </cell>
          <cell r="G1680" t="str">
            <v>5</v>
          </cell>
          <cell r="H1680" t="str">
            <v>PROJECT</v>
          </cell>
          <cell r="I1680" t="str">
            <v>59</v>
          </cell>
          <cell r="J1680" t="str">
            <v>MPC</v>
          </cell>
          <cell r="K1680" t="str">
            <v>5904</v>
          </cell>
          <cell r="L1680" t="str">
            <v>METALKOTE</v>
          </cell>
          <cell r="M1680" t="str">
            <v>590402</v>
          </cell>
          <cell r="N1680" t="str">
            <v>METALKOTE-EPOXY SYS</v>
          </cell>
        </row>
        <row r="1681">
          <cell r="C1681" t="str">
            <v>100006413</v>
          </cell>
          <cell r="D1681" t="str">
            <v>U-PROOF U-93 048-3 MORNING DELIGHT-20KP</v>
          </cell>
          <cell r="E1681" t="str">
            <v>ZFGD</v>
          </cell>
          <cell r="F1681" t="str">
            <v>PC</v>
          </cell>
          <cell r="G1681" t="str">
            <v>2</v>
          </cell>
          <cell r="H1681" t="str">
            <v>RETAIL</v>
          </cell>
          <cell r="I1681" t="str">
            <v>2D</v>
          </cell>
          <cell r="J1681" t="str">
            <v>APCT2</v>
          </cell>
          <cell r="K1681" t="str">
            <v>2D02</v>
          </cell>
          <cell r="L1681" t="str">
            <v>U-PROOF</v>
          </cell>
          <cell r="M1681" t="str">
            <v>2D0201</v>
          </cell>
          <cell r="N1681" t="str">
            <v>U-PROOF</v>
          </cell>
        </row>
        <row r="1682">
          <cell r="C1682" t="str">
            <v>100006414</v>
          </cell>
          <cell r="D1682" t="str">
            <v>THINNER EPOXY-25KJ</v>
          </cell>
          <cell r="E1682" t="str">
            <v>ZFGD</v>
          </cell>
          <cell r="F1682" t="str">
            <v>PC</v>
          </cell>
          <cell r="G1682" t="str">
            <v>5</v>
          </cell>
          <cell r="H1682" t="str">
            <v>PROJECT</v>
          </cell>
          <cell r="I1682" t="str">
            <v>59</v>
          </cell>
          <cell r="J1682" t="str">
            <v>MPC</v>
          </cell>
          <cell r="K1682" t="str">
            <v>5910</v>
          </cell>
          <cell r="L1682" t="str">
            <v>THINNER</v>
          </cell>
          <cell r="M1682" t="str">
            <v>591001</v>
          </cell>
          <cell r="N1682" t="str">
            <v>THINNER MPC</v>
          </cell>
        </row>
        <row r="1683">
          <cell r="C1683" t="str">
            <v>100006415</v>
          </cell>
          <cell r="D1683" t="str">
            <v>THINNER PU MD-25KJ</v>
          </cell>
          <cell r="E1683" t="str">
            <v>ZFGD</v>
          </cell>
          <cell r="F1683" t="str">
            <v>PC</v>
          </cell>
          <cell r="G1683" t="str">
            <v>5</v>
          </cell>
          <cell r="H1683" t="str">
            <v>PROJECT</v>
          </cell>
          <cell r="I1683" t="str">
            <v>58</v>
          </cell>
          <cell r="J1683" t="str">
            <v>WF2</v>
          </cell>
          <cell r="K1683" t="str">
            <v>5802</v>
          </cell>
          <cell r="L1683" t="str">
            <v/>
          </cell>
          <cell r="M1683" t="str">
            <v>580201</v>
          </cell>
          <cell r="N1683" t="str">
            <v>THINNER PU R</v>
          </cell>
        </row>
        <row r="1684">
          <cell r="C1684" t="str">
            <v>100006428</v>
          </cell>
          <cell r="D1684" t="str">
            <v>PFT-213-2K SF GREY 9125 VN-4K</v>
          </cell>
          <cell r="E1684" t="str">
            <v>ZFGD</v>
          </cell>
          <cell r="F1684" t="str">
            <v>PC</v>
          </cell>
          <cell r="G1684" t="str">
            <v>5</v>
          </cell>
          <cell r="H1684" t="str">
            <v>PROJECT</v>
          </cell>
          <cell r="I1684" t="str">
            <v>56</v>
          </cell>
          <cell r="J1684" t="str">
            <v>CPC1</v>
          </cell>
          <cell r="K1684" t="str">
            <v>5602</v>
          </cell>
          <cell r="L1684" t="str">
            <v>POLYFLOOR</v>
          </cell>
          <cell r="M1684" t="str">
            <v>560202</v>
          </cell>
          <cell r="N1684" t="str">
            <v>POLYFLOOR EPOXY</v>
          </cell>
        </row>
        <row r="1685">
          <cell r="C1685" t="str">
            <v>100006429</v>
          </cell>
          <cell r="D1685" t="str">
            <v>PFT-213-2K SF GREY 9125 VN-16KP</v>
          </cell>
          <cell r="E1685" t="str">
            <v>ZFGD</v>
          </cell>
          <cell r="F1685" t="str">
            <v>PC</v>
          </cell>
          <cell r="G1685" t="str">
            <v>5</v>
          </cell>
          <cell r="H1685" t="str">
            <v>PROJECT</v>
          </cell>
          <cell r="I1685" t="str">
            <v>56</v>
          </cell>
          <cell r="J1685" t="str">
            <v>CPC1</v>
          </cell>
          <cell r="K1685" t="str">
            <v>5602</v>
          </cell>
          <cell r="L1685" t="str">
            <v>POLYFLOOR</v>
          </cell>
          <cell r="M1685" t="str">
            <v>560202</v>
          </cell>
          <cell r="N1685" t="str">
            <v>POLYFLOOR EPOXY</v>
          </cell>
        </row>
        <row r="1686">
          <cell r="C1686" t="str">
            <v>100006430</v>
          </cell>
          <cell r="D1686" t="str">
            <v>PFT-213-2K SF GREY 9125 VN-5KS</v>
          </cell>
          <cell r="E1686" t="str">
            <v>ZFGD</v>
          </cell>
          <cell r="F1686" t="str">
            <v>SET</v>
          </cell>
          <cell r="G1686" t="str">
            <v>5</v>
          </cell>
          <cell r="H1686" t="str">
            <v>PROJECT</v>
          </cell>
          <cell r="I1686" t="str">
            <v>56</v>
          </cell>
          <cell r="J1686" t="str">
            <v>CPC1</v>
          </cell>
          <cell r="K1686" t="str">
            <v>5602</v>
          </cell>
          <cell r="L1686" t="str">
            <v>POLYFLOOR</v>
          </cell>
          <cell r="M1686" t="str">
            <v>560202</v>
          </cell>
          <cell r="N1686" t="str">
            <v>POLYFLOOR EPOXY</v>
          </cell>
        </row>
        <row r="1687">
          <cell r="C1687" t="str">
            <v>100006431</v>
          </cell>
          <cell r="D1687" t="str">
            <v>PFT-213-2K SF GREY 9125 VN-20KSP</v>
          </cell>
          <cell r="E1687" t="str">
            <v>ZFGD</v>
          </cell>
          <cell r="F1687" t="str">
            <v>SET</v>
          </cell>
          <cell r="G1687" t="str">
            <v>5</v>
          </cell>
          <cell r="H1687" t="str">
            <v>PROJECT</v>
          </cell>
          <cell r="I1687" t="str">
            <v>56</v>
          </cell>
          <cell r="J1687" t="str">
            <v>CPC1</v>
          </cell>
          <cell r="K1687" t="str">
            <v>5602</v>
          </cell>
          <cell r="L1687" t="str">
            <v>POLYFLOOR</v>
          </cell>
          <cell r="M1687" t="str">
            <v>560202</v>
          </cell>
          <cell r="N1687" t="str">
            <v>POLYFLOOR EPOXY</v>
          </cell>
        </row>
        <row r="1688">
          <cell r="C1688" t="str">
            <v>100006467</v>
          </cell>
          <cell r="D1688" t="str">
            <v>MX-93-2K SB LEAF GREEN VN-16KP</v>
          </cell>
          <cell r="E1688" t="str">
            <v>ZFGD</v>
          </cell>
          <cell r="F1688" t="str">
            <v>PC</v>
          </cell>
          <cell r="G1688" t="str">
            <v>5</v>
          </cell>
          <cell r="H1688" t="str">
            <v>PROJECT</v>
          </cell>
          <cell r="I1688" t="str">
            <v>56</v>
          </cell>
          <cell r="J1688" t="str">
            <v>CPC1</v>
          </cell>
          <cell r="K1688" t="str">
            <v>5603</v>
          </cell>
          <cell r="L1688" t="str">
            <v>MULTIPOX</v>
          </cell>
          <cell r="M1688" t="str">
            <v>560301</v>
          </cell>
          <cell r="N1688" t="str">
            <v>MULTIPOX</v>
          </cell>
        </row>
        <row r="1689">
          <cell r="C1689" t="str">
            <v>100006468</v>
          </cell>
          <cell r="D1689" t="str">
            <v>MX-93-2K SB LEAF GREEN VN-20KSP</v>
          </cell>
          <cell r="E1689" t="str">
            <v>ZFGD</v>
          </cell>
          <cell r="F1689" t="str">
            <v>SET</v>
          </cell>
          <cell r="G1689" t="str">
            <v>5</v>
          </cell>
          <cell r="H1689" t="str">
            <v>PROJECT</v>
          </cell>
          <cell r="I1689" t="str">
            <v>56</v>
          </cell>
          <cell r="J1689" t="str">
            <v>CPC1</v>
          </cell>
          <cell r="K1689" t="str">
            <v>5603</v>
          </cell>
          <cell r="L1689" t="str">
            <v>MULTIPOX</v>
          </cell>
          <cell r="M1689" t="str">
            <v>560301</v>
          </cell>
          <cell r="N1689" t="str">
            <v>MULTIPOX</v>
          </cell>
        </row>
        <row r="1690">
          <cell r="C1690" t="str">
            <v>100006469</v>
          </cell>
          <cell r="D1690" t="str">
            <v>MX-93-2K SB LEAF GREEN VN-4K</v>
          </cell>
          <cell r="E1690" t="str">
            <v>ZFGD</v>
          </cell>
          <cell r="F1690" t="str">
            <v>PC</v>
          </cell>
          <cell r="G1690" t="str">
            <v>5</v>
          </cell>
          <cell r="H1690" t="str">
            <v>PROJECT</v>
          </cell>
          <cell r="I1690" t="str">
            <v>56</v>
          </cell>
          <cell r="J1690" t="str">
            <v>CPC1</v>
          </cell>
          <cell r="K1690" t="str">
            <v>5603</v>
          </cell>
          <cell r="L1690" t="str">
            <v>MULTIPOX</v>
          </cell>
          <cell r="M1690" t="str">
            <v>560301</v>
          </cell>
          <cell r="N1690" t="str">
            <v>MULTIPOX</v>
          </cell>
        </row>
        <row r="1691">
          <cell r="C1691" t="str">
            <v>100006470</v>
          </cell>
          <cell r="D1691" t="str">
            <v>MX-93-2K SB LEAF GREEN VN-5KS</v>
          </cell>
          <cell r="E1691" t="str">
            <v>ZFGD</v>
          </cell>
          <cell r="F1691" t="str">
            <v>SET</v>
          </cell>
          <cell r="G1691" t="str">
            <v>5</v>
          </cell>
          <cell r="H1691" t="str">
            <v>PROJECT</v>
          </cell>
          <cell r="I1691" t="str">
            <v>56</v>
          </cell>
          <cell r="J1691" t="str">
            <v>CPC1</v>
          </cell>
          <cell r="K1691" t="str">
            <v>5603</v>
          </cell>
          <cell r="L1691" t="str">
            <v>MULTIPOX</v>
          </cell>
          <cell r="M1691" t="str">
            <v>560301</v>
          </cell>
          <cell r="N1691" t="str">
            <v>MULTIPOX</v>
          </cell>
        </row>
        <row r="1692">
          <cell r="C1692" t="str">
            <v>100006471</v>
          </cell>
          <cell r="D1692" t="str">
            <v>HARDENER MX-93 SB VN-4K</v>
          </cell>
          <cell r="E1692" t="str">
            <v>ZFGD</v>
          </cell>
          <cell r="F1692" t="str">
            <v>PC</v>
          </cell>
          <cell r="G1692" t="str">
            <v>5</v>
          </cell>
          <cell r="H1692" t="str">
            <v>PROJECT</v>
          </cell>
          <cell r="I1692" t="str">
            <v>56</v>
          </cell>
          <cell r="J1692" t="str">
            <v>CPC1</v>
          </cell>
          <cell r="K1692" t="str">
            <v>5603</v>
          </cell>
          <cell r="L1692" t="str">
            <v>MULTIPOX</v>
          </cell>
          <cell r="M1692" t="str">
            <v>560301</v>
          </cell>
          <cell r="N1692" t="str">
            <v>MULTIPOX</v>
          </cell>
        </row>
        <row r="1693">
          <cell r="C1693" t="str">
            <v>100006472</v>
          </cell>
          <cell r="D1693" t="str">
            <v>HARDENER MX-93 SB VN-1K</v>
          </cell>
          <cell r="E1693" t="str">
            <v>ZFGD</v>
          </cell>
          <cell r="F1693" t="str">
            <v>PC</v>
          </cell>
          <cell r="G1693" t="str">
            <v>5</v>
          </cell>
          <cell r="H1693" t="str">
            <v>PROJECT</v>
          </cell>
          <cell r="I1693" t="str">
            <v>56</v>
          </cell>
          <cell r="J1693" t="str">
            <v>CPC1</v>
          </cell>
          <cell r="K1693" t="str">
            <v>5603</v>
          </cell>
          <cell r="L1693" t="str">
            <v>MULTIPOX</v>
          </cell>
          <cell r="M1693" t="str">
            <v>560301</v>
          </cell>
          <cell r="N1693" t="str">
            <v>MULTIPOX</v>
          </cell>
        </row>
        <row r="1694">
          <cell r="C1694" t="str">
            <v>100006473</v>
          </cell>
          <cell r="D1694" t="str">
            <v>PFT-215 LEAF GREEN ZS VN-18KP</v>
          </cell>
          <cell r="E1694" t="str">
            <v>ZFGD</v>
          </cell>
          <cell r="F1694" t="str">
            <v>PC</v>
          </cell>
          <cell r="G1694" t="str">
            <v>5</v>
          </cell>
          <cell r="H1694" t="str">
            <v>PROJECT</v>
          </cell>
          <cell r="I1694" t="str">
            <v>56</v>
          </cell>
          <cell r="J1694" t="str">
            <v>CPC1</v>
          </cell>
          <cell r="K1694" t="str">
            <v>5602</v>
          </cell>
          <cell r="L1694" t="str">
            <v>POLYFLOOR</v>
          </cell>
          <cell r="M1694" t="str">
            <v>560207</v>
          </cell>
          <cell r="N1694" t="str">
            <v>POLYFLOOR EPOXY SOLVENT FREE</v>
          </cell>
        </row>
        <row r="1695">
          <cell r="C1695" t="str">
            <v>100006474</v>
          </cell>
          <cell r="D1695" t="str">
            <v>PFT-215 LEAF GREEN ZS VN-21KSP</v>
          </cell>
          <cell r="E1695" t="str">
            <v>ZFGD</v>
          </cell>
          <cell r="F1695" t="str">
            <v>SET</v>
          </cell>
          <cell r="G1695" t="str">
            <v>5</v>
          </cell>
          <cell r="H1695" t="str">
            <v>PROJECT</v>
          </cell>
          <cell r="I1695" t="str">
            <v>56</v>
          </cell>
          <cell r="J1695" t="str">
            <v>CPC1</v>
          </cell>
          <cell r="K1695" t="str">
            <v>5602</v>
          </cell>
          <cell r="L1695" t="str">
            <v>POLYFLOOR</v>
          </cell>
          <cell r="M1695" t="str">
            <v>560207</v>
          </cell>
          <cell r="N1695" t="str">
            <v>POLYFLOOR EPOXY SOLVENT FREE</v>
          </cell>
        </row>
        <row r="1696">
          <cell r="C1696" t="str">
            <v>100006480</v>
          </cell>
          <cell r="D1696" t="str">
            <v>HARDENER MX-98-2K SB VN-1K</v>
          </cell>
          <cell r="E1696" t="str">
            <v>ZFGD</v>
          </cell>
          <cell r="F1696" t="str">
            <v>PC</v>
          </cell>
          <cell r="G1696" t="str">
            <v>2</v>
          </cell>
          <cell r="H1696" t="str">
            <v>RETAIL</v>
          </cell>
          <cell r="I1696" t="str">
            <v>27</v>
          </cell>
          <cell r="J1696" t="str">
            <v>CPC1</v>
          </cell>
          <cell r="K1696" t="str">
            <v>2703</v>
          </cell>
          <cell r="L1696" t="str">
            <v>MULTIPOX</v>
          </cell>
          <cell r="M1696" t="str">
            <v>270301</v>
          </cell>
          <cell r="N1696" t="str">
            <v>MULTIPOX</v>
          </cell>
        </row>
        <row r="1697">
          <cell r="C1697" t="str">
            <v>100006481</v>
          </cell>
          <cell r="D1697" t="str">
            <v>HARDENER MX-98-2K SB VN-5K</v>
          </cell>
          <cell r="E1697" t="str">
            <v>ZFGD</v>
          </cell>
          <cell r="F1697" t="str">
            <v>PC</v>
          </cell>
          <cell r="G1697" t="str">
            <v>2</v>
          </cell>
          <cell r="H1697" t="str">
            <v>RETAIL</v>
          </cell>
          <cell r="I1697" t="str">
            <v>27</v>
          </cell>
          <cell r="J1697" t="str">
            <v>CPC1</v>
          </cell>
          <cell r="K1697" t="str">
            <v>2703</v>
          </cell>
          <cell r="L1697" t="str">
            <v>MULTIPOX</v>
          </cell>
          <cell r="M1697" t="str">
            <v>270301</v>
          </cell>
          <cell r="N1697" t="str">
            <v>MULTIPOX</v>
          </cell>
        </row>
        <row r="1698">
          <cell r="C1698" t="str">
            <v>100006482</v>
          </cell>
          <cell r="D1698" t="str">
            <v>MX-98-2K SB LEAF GREEN VN-3K</v>
          </cell>
          <cell r="E1698" t="str">
            <v>ZFGD</v>
          </cell>
          <cell r="F1698" t="str">
            <v>PC</v>
          </cell>
          <cell r="G1698" t="str">
            <v>2</v>
          </cell>
          <cell r="H1698" t="str">
            <v>RETAIL</v>
          </cell>
          <cell r="I1698" t="str">
            <v>27</v>
          </cell>
          <cell r="J1698" t="str">
            <v>CPC1</v>
          </cell>
          <cell r="K1698" t="str">
            <v>2703</v>
          </cell>
          <cell r="L1698" t="str">
            <v>MULTIPOX</v>
          </cell>
          <cell r="M1698" t="str">
            <v>270301</v>
          </cell>
          <cell r="N1698" t="str">
            <v>MULTIPOX</v>
          </cell>
        </row>
        <row r="1699">
          <cell r="C1699" t="str">
            <v>100006483</v>
          </cell>
          <cell r="D1699" t="str">
            <v>MX-98-2K SB LEAF GREEN VN-15KP</v>
          </cell>
          <cell r="E1699" t="str">
            <v>ZFGD</v>
          </cell>
          <cell r="F1699" t="str">
            <v>PC</v>
          </cell>
          <cell r="G1699" t="str">
            <v>2</v>
          </cell>
          <cell r="H1699" t="str">
            <v>RETAIL</v>
          </cell>
          <cell r="I1699" t="str">
            <v>27</v>
          </cell>
          <cell r="J1699" t="str">
            <v>CPC1</v>
          </cell>
          <cell r="K1699" t="str">
            <v>2703</v>
          </cell>
          <cell r="L1699" t="str">
            <v>MULTIPOX</v>
          </cell>
          <cell r="M1699" t="str">
            <v>270301</v>
          </cell>
          <cell r="N1699" t="str">
            <v>MULTIPOX</v>
          </cell>
        </row>
        <row r="1700">
          <cell r="C1700" t="str">
            <v>100006484</v>
          </cell>
          <cell r="D1700" t="str">
            <v>MX-98-2K SB LEAF GREEN VN-4KS</v>
          </cell>
          <cell r="E1700" t="str">
            <v>ZFGD</v>
          </cell>
          <cell r="F1700" t="str">
            <v>SET</v>
          </cell>
          <cell r="G1700" t="str">
            <v>2</v>
          </cell>
          <cell r="H1700" t="str">
            <v>RETAIL</v>
          </cell>
          <cell r="I1700" t="str">
            <v>27</v>
          </cell>
          <cell r="J1700" t="str">
            <v>CPC1</v>
          </cell>
          <cell r="K1700" t="str">
            <v>2703</v>
          </cell>
          <cell r="L1700" t="str">
            <v>MULTIPOX</v>
          </cell>
          <cell r="M1700" t="str">
            <v>270301</v>
          </cell>
          <cell r="N1700" t="str">
            <v>MULTIPOX</v>
          </cell>
        </row>
        <row r="1701">
          <cell r="C1701" t="str">
            <v>100006485</v>
          </cell>
          <cell r="D1701" t="str">
            <v>MX-98-2K SB LEAF GREEN VN-20KSP</v>
          </cell>
          <cell r="E1701" t="str">
            <v>ZFGD</v>
          </cell>
          <cell r="F1701" t="str">
            <v>SET</v>
          </cell>
          <cell r="G1701" t="str">
            <v>2</v>
          </cell>
          <cell r="H1701" t="str">
            <v>RETAIL</v>
          </cell>
          <cell r="I1701" t="str">
            <v>27</v>
          </cell>
          <cell r="J1701" t="str">
            <v>CPC1</v>
          </cell>
          <cell r="K1701" t="str">
            <v>2703</v>
          </cell>
          <cell r="L1701" t="str">
            <v>MULTIPOX</v>
          </cell>
          <cell r="M1701" t="str">
            <v>270301</v>
          </cell>
          <cell r="N1701" t="str">
            <v>MULTIPOX</v>
          </cell>
        </row>
        <row r="1702">
          <cell r="C1702" t="str">
            <v>100006486</v>
          </cell>
          <cell r="D1702" t="str">
            <v>MX-98-2K SB GENTIAN BLUE VN-3K</v>
          </cell>
          <cell r="E1702" t="str">
            <v>ZFGD</v>
          </cell>
          <cell r="F1702" t="str">
            <v>PC</v>
          </cell>
          <cell r="G1702" t="str">
            <v>2</v>
          </cell>
          <cell r="H1702" t="str">
            <v>RETAIL</v>
          </cell>
          <cell r="I1702" t="str">
            <v>27</v>
          </cell>
          <cell r="J1702" t="str">
            <v>CPC1</v>
          </cell>
          <cell r="K1702" t="str">
            <v>2703</v>
          </cell>
          <cell r="L1702" t="str">
            <v>MULTIPOX</v>
          </cell>
          <cell r="M1702" t="str">
            <v>270301</v>
          </cell>
          <cell r="N1702" t="str">
            <v>MULTIPOX</v>
          </cell>
        </row>
        <row r="1703">
          <cell r="C1703" t="str">
            <v>100006487</v>
          </cell>
          <cell r="D1703" t="str">
            <v>MX-98-2K SB GENTIAN BLUE VN-15KP</v>
          </cell>
          <cell r="E1703" t="str">
            <v>ZFGD</v>
          </cell>
          <cell r="F1703" t="str">
            <v>PC</v>
          </cell>
          <cell r="G1703" t="str">
            <v>2</v>
          </cell>
          <cell r="H1703" t="str">
            <v>RETAIL</v>
          </cell>
          <cell r="I1703" t="str">
            <v>27</v>
          </cell>
          <cell r="J1703" t="str">
            <v>CPC1</v>
          </cell>
          <cell r="K1703" t="str">
            <v>2703</v>
          </cell>
          <cell r="L1703" t="str">
            <v>MULTIPOX</v>
          </cell>
          <cell r="M1703" t="str">
            <v>270301</v>
          </cell>
          <cell r="N1703" t="str">
            <v>MULTIPOX</v>
          </cell>
        </row>
        <row r="1704">
          <cell r="C1704" t="str">
            <v>100006488</v>
          </cell>
          <cell r="D1704" t="str">
            <v>MX-98-2K SB GENTIAN BLUE VN-4KS</v>
          </cell>
          <cell r="E1704" t="str">
            <v>ZFGD</v>
          </cell>
          <cell r="F1704" t="str">
            <v>SET</v>
          </cell>
          <cell r="G1704" t="str">
            <v>2</v>
          </cell>
          <cell r="H1704" t="str">
            <v>RETAIL</v>
          </cell>
          <cell r="I1704" t="str">
            <v>27</v>
          </cell>
          <cell r="J1704" t="str">
            <v>CPC1</v>
          </cell>
          <cell r="K1704" t="str">
            <v>2703</v>
          </cell>
          <cell r="L1704" t="str">
            <v>MULTIPOX</v>
          </cell>
          <cell r="M1704" t="str">
            <v>270301</v>
          </cell>
          <cell r="N1704" t="str">
            <v>MULTIPOX</v>
          </cell>
        </row>
        <row r="1705">
          <cell r="C1705" t="str">
            <v>100006489</v>
          </cell>
          <cell r="D1705" t="str">
            <v>MX-98-2K SB GENTIAN BLUE VN-20KSP</v>
          </cell>
          <cell r="E1705" t="str">
            <v>ZFGD</v>
          </cell>
          <cell r="F1705" t="str">
            <v>SET</v>
          </cell>
          <cell r="G1705" t="str">
            <v>2</v>
          </cell>
          <cell r="H1705" t="str">
            <v>RETAIL</v>
          </cell>
          <cell r="I1705" t="str">
            <v>27</v>
          </cell>
          <cell r="J1705" t="str">
            <v>CPC1</v>
          </cell>
          <cell r="K1705" t="str">
            <v>2703</v>
          </cell>
          <cell r="L1705" t="str">
            <v>MULTIPOX</v>
          </cell>
          <cell r="M1705" t="str">
            <v>270301</v>
          </cell>
          <cell r="N1705" t="str">
            <v>MULTIPOX</v>
          </cell>
        </row>
        <row r="1706">
          <cell r="C1706" t="str">
            <v>100006490</v>
          </cell>
          <cell r="D1706" t="str">
            <v>MX-98-2K SB LIGHT GREY VN-3K</v>
          </cell>
          <cell r="E1706" t="str">
            <v>ZFGD</v>
          </cell>
          <cell r="F1706" t="str">
            <v>PC</v>
          </cell>
          <cell r="G1706" t="str">
            <v>2</v>
          </cell>
          <cell r="H1706" t="str">
            <v>RETAIL</v>
          </cell>
          <cell r="I1706" t="str">
            <v>27</v>
          </cell>
          <cell r="J1706" t="str">
            <v>CPC1</v>
          </cell>
          <cell r="K1706" t="str">
            <v>2703</v>
          </cell>
          <cell r="L1706" t="str">
            <v>MULTIPOX</v>
          </cell>
          <cell r="M1706" t="str">
            <v>270301</v>
          </cell>
          <cell r="N1706" t="str">
            <v>MULTIPOX</v>
          </cell>
        </row>
        <row r="1707">
          <cell r="C1707" t="str">
            <v>100006491</v>
          </cell>
          <cell r="D1707" t="str">
            <v>MX-98-2K SB LIGHT GREY VN-15KP</v>
          </cell>
          <cell r="E1707" t="str">
            <v>ZFGD</v>
          </cell>
          <cell r="F1707" t="str">
            <v>PC</v>
          </cell>
          <cell r="G1707" t="str">
            <v>2</v>
          </cell>
          <cell r="H1707" t="str">
            <v>RETAIL</v>
          </cell>
          <cell r="I1707" t="str">
            <v>27</v>
          </cell>
          <cell r="J1707" t="str">
            <v>CPC1</v>
          </cell>
          <cell r="K1707" t="str">
            <v>2703</v>
          </cell>
          <cell r="L1707" t="str">
            <v>MULTIPOX</v>
          </cell>
          <cell r="M1707" t="str">
            <v>270301</v>
          </cell>
          <cell r="N1707" t="str">
            <v>MULTIPOX</v>
          </cell>
        </row>
        <row r="1708">
          <cell r="C1708" t="str">
            <v>100006492</v>
          </cell>
          <cell r="D1708" t="str">
            <v>MX-98-2K SB LIGHT GREY VN-4KS</v>
          </cell>
          <cell r="E1708" t="str">
            <v>ZFGD</v>
          </cell>
          <cell r="F1708" t="str">
            <v>SET</v>
          </cell>
          <cell r="G1708" t="str">
            <v>2</v>
          </cell>
          <cell r="H1708" t="str">
            <v>RETAIL</v>
          </cell>
          <cell r="I1708" t="str">
            <v>27</v>
          </cell>
          <cell r="J1708" t="str">
            <v>CPC1</v>
          </cell>
          <cell r="K1708" t="str">
            <v>2703</v>
          </cell>
          <cell r="L1708" t="str">
            <v>MULTIPOX</v>
          </cell>
          <cell r="M1708" t="str">
            <v>270301</v>
          </cell>
          <cell r="N1708" t="str">
            <v>MULTIPOX</v>
          </cell>
        </row>
        <row r="1709">
          <cell r="C1709" t="str">
            <v>100006493</v>
          </cell>
          <cell r="D1709" t="str">
            <v>MX-98-2K SB LIGHT GREY VN-20KSP</v>
          </cell>
          <cell r="E1709" t="str">
            <v>ZFGD</v>
          </cell>
          <cell r="F1709" t="str">
            <v>SET</v>
          </cell>
          <cell r="G1709" t="str">
            <v>2</v>
          </cell>
          <cell r="H1709" t="str">
            <v>RETAIL</v>
          </cell>
          <cell r="I1709" t="str">
            <v>27</v>
          </cell>
          <cell r="J1709" t="str">
            <v>CPC1</v>
          </cell>
          <cell r="K1709" t="str">
            <v>2703</v>
          </cell>
          <cell r="L1709" t="str">
            <v>MULTIPOX</v>
          </cell>
          <cell r="M1709" t="str">
            <v>270301</v>
          </cell>
          <cell r="N1709" t="str">
            <v>MULTIPOX</v>
          </cell>
        </row>
        <row r="1710">
          <cell r="C1710" t="str">
            <v>100006495</v>
          </cell>
          <cell r="D1710" t="str">
            <v>UPR-960 PASTEL GREY 8403 VN-1K</v>
          </cell>
          <cell r="E1710" t="str">
            <v>ZFGD</v>
          </cell>
          <cell r="F1710" t="str">
            <v>PC</v>
          </cell>
          <cell r="G1710" t="str">
            <v>2</v>
          </cell>
          <cell r="H1710" t="str">
            <v>RETAIL</v>
          </cell>
          <cell r="I1710" t="str">
            <v>2D</v>
          </cell>
          <cell r="J1710" t="str">
            <v>APCT2</v>
          </cell>
          <cell r="K1710" t="str">
            <v>2D01</v>
          </cell>
          <cell r="L1710" t="str">
            <v>ULTRAPROOF</v>
          </cell>
          <cell r="M1710" t="str">
            <v>2D0101</v>
          </cell>
          <cell r="N1710" t="str">
            <v>ULTRAPROOF RMX</v>
          </cell>
        </row>
        <row r="1711">
          <cell r="C1711" t="str">
            <v>100006496</v>
          </cell>
          <cell r="D1711" t="str">
            <v>UFM-930 LIGHT GREY VN-1K</v>
          </cell>
          <cell r="E1711" t="str">
            <v>ZFGD</v>
          </cell>
          <cell r="F1711" t="str">
            <v>PC</v>
          </cell>
          <cell r="G1711" t="str">
            <v>5</v>
          </cell>
          <cell r="H1711" t="str">
            <v>PROJECT</v>
          </cell>
          <cell r="I1711" t="str">
            <v>57</v>
          </cell>
          <cell r="J1711" t="str">
            <v>CPC2</v>
          </cell>
          <cell r="K1711" t="str">
            <v>5701</v>
          </cell>
          <cell r="L1711" t="str">
            <v>WATERPROOFING</v>
          </cell>
          <cell r="M1711" t="str">
            <v>570107</v>
          </cell>
          <cell r="N1711" t="str">
            <v>ULTRAFLEX MEMBRANE</v>
          </cell>
        </row>
        <row r="1712">
          <cell r="C1712" t="str">
            <v>100006497</v>
          </cell>
          <cell r="D1712" t="str">
            <v>UFM-930 LIGHT GREY VN-6K</v>
          </cell>
          <cell r="E1712" t="str">
            <v>ZFGD</v>
          </cell>
          <cell r="F1712" t="str">
            <v>PC</v>
          </cell>
          <cell r="G1712" t="str">
            <v>5</v>
          </cell>
          <cell r="H1712" t="str">
            <v>PROJECT</v>
          </cell>
          <cell r="I1712" t="str">
            <v>57</v>
          </cell>
          <cell r="J1712" t="str">
            <v>CPC2</v>
          </cell>
          <cell r="K1712" t="str">
            <v>5701</v>
          </cell>
          <cell r="L1712" t="str">
            <v>WATERPROOFING</v>
          </cell>
          <cell r="M1712" t="str">
            <v>570107</v>
          </cell>
          <cell r="N1712" t="str">
            <v>ULTRAFLEX MEMBRANE</v>
          </cell>
        </row>
        <row r="1713">
          <cell r="C1713" t="str">
            <v>100006498</v>
          </cell>
          <cell r="D1713" t="str">
            <v>DI-400 087-5 YELLOW ROSE-5L</v>
          </cell>
          <cell r="E1713" t="str">
            <v>ZFGD</v>
          </cell>
          <cell r="F1713" t="str">
            <v>PC</v>
          </cell>
          <cell r="G1713" t="str">
            <v>2</v>
          </cell>
          <cell r="H1713" t="str">
            <v>RETAIL</v>
          </cell>
          <cell r="I1713" t="str">
            <v>25</v>
          </cell>
          <cell r="J1713" t="str">
            <v>APCT1</v>
          </cell>
          <cell r="K1713" t="str">
            <v>2502</v>
          </cell>
          <cell r="L1713" t="str">
            <v>DECOR</v>
          </cell>
          <cell r="M1713" t="str">
            <v>250221</v>
          </cell>
          <cell r="N1713" t="str">
            <v>DECORCRYL BASE</v>
          </cell>
        </row>
        <row r="1714">
          <cell r="C1714" t="str">
            <v>100006506</v>
          </cell>
          <cell r="D1714" t="str">
            <v>U-PROOF U-93 114-6 SUNBURST NOSE-4K</v>
          </cell>
          <cell r="E1714" t="str">
            <v>ZFGD</v>
          </cell>
          <cell r="F1714" t="str">
            <v>PC</v>
          </cell>
          <cell r="G1714" t="str">
            <v>2</v>
          </cell>
          <cell r="H1714" t="str">
            <v>RETAIL</v>
          </cell>
          <cell r="I1714" t="str">
            <v>2D</v>
          </cell>
          <cell r="J1714" t="str">
            <v>APCT2</v>
          </cell>
          <cell r="K1714" t="str">
            <v>2D02</v>
          </cell>
          <cell r="L1714" t="str">
            <v>U-PROOF</v>
          </cell>
          <cell r="M1714" t="str">
            <v>2D0201</v>
          </cell>
          <cell r="N1714" t="str">
            <v>U-PROOF</v>
          </cell>
        </row>
        <row r="1715">
          <cell r="C1715" t="str">
            <v>100006545</v>
          </cell>
          <cell r="D1715" t="str">
            <v>DI-400 NT 651 SAFFRON TINT-5L</v>
          </cell>
          <cell r="E1715" t="str">
            <v>ZFGD</v>
          </cell>
          <cell r="F1715" t="str">
            <v>PC</v>
          </cell>
          <cell r="G1715" t="str">
            <v>2</v>
          </cell>
          <cell r="H1715" t="str">
            <v>RETAIL</v>
          </cell>
          <cell r="I1715" t="str">
            <v>25</v>
          </cell>
          <cell r="J1715" t="str">
            <v>APCT1</v>
          </cell>
          <cell r="K1715" t="str">
            <v>2502</v>
          </cell>
          <cell r="L1715" t="str">
            <v>DECOR</v>
          </cell>
          <cell r="M1715" t="str">
            <v>250221</v>
          </cell>
          <cell r="N1715" t="str">
            <v>DECORCRYL BASE</v>
          </cell>
        </row>
        <row r="1716">
          <cell r="C1716" t="str">
            <v>100006553</v>
          </cell>
          <cell r="D1716" t="str">
            <v>VISKO PRIMER VP-4005 VN-21KP</v>
          </cell>
          <cell r="E1716" t="str">
            <v>ZFGD</v>
          </cell>
          <cell r="F1716" t="str">
            <v>PC</v>
          </cell>
          <cell r="G1716" t="str">
            <v>2</v>
          </cell>
          <cell r="H1716" t="str">
            <v>RETAIL</v>
          </cell>
          <cell r="I1716" t="str">
            <v>25</v>
          </cell>
          <cell r="J1716" t="str">
            <v>APCT1</v>
          </cell>
          <cell r="K1716" t="str">
            <v>2520</v>
          </cell>
          <cell r="L1716" t="str">
            <v>VISKO PRIMER</v>
          </cell>
          <cell r="M1716" t="str">
            <v>252001</v>
          </cell>
          <cell r="N1716" t="str">
            <v>VISKO PRIMER</v>
          </cell>
        </row>
        <row r="1717">
          <cell r="C1717" t="str">
            <v>100006554</v>
          </cell>
          <cell r="D1717" t="str">
            <v>VISKO TOP VT-4006 WHITE-9144 VN-25KP</v>
          </cell>
          <cell r="E1717" t="str">
            <v>ZFGD</v>
          </cell>
          <cell r="F1717" t="str">
            <v>PC</v>
          </cell>
          <cell r="G1717" t="str">
            <v>2</v>
          </cell>
          <cell r="H1717" t="str">
            <v>RETAIL</v>
          </cell>
          <cell r="I1717" t="str">
            <v>25</v>
          </cell>
          <cell r="J1717" t="str">
            <v>APCT1</v>
          </cell>
          <cell r="K1717" t="str">
            <v>2521</v>
          </cell>
          <cell r="L1717" t="str">
            <v>VISKO TOP</v>
          </cell>
          <cell r="M1717" t="str">
            <v>252101</v>
          </cell>
          <cell r="N1717" t="str">
            <v>VISKO TOP</v>
          </cell>
        </row>
        <row r="1718">
          <cell r="C1718" t="str">
            <v>100006555</v>
          </cell>
          <cell r="D1718" t="str">
            <v>VISKO TOP VT-4006 BASE A VN-25KP</v>
          </cell>
          <cell r="E1718" t="str">
            <v>ZFGD</v>
          </cell>
          <cell r="F1718" t="str">
            <v>PC</v>
          </cell>
          <cell r="G1718" t="str">
            <v>2</v>
          </cell>
          <cell r="H1718" t="str">
            <v>RETAIL</v>
          </cell>
          <cell r="I1718" t="str">
            <v>25</v>
          </cell>
          <cell r="J1718" t="str">
            <v>APCT1</v>
          </cell>
          <cell r="K1718" t="str">
            <v>2521</v>
          </cell>
          <cell r="L1718" t="str">
            <v>VISKO TOP</v>
          </cell>
          <cell r="M1718" t="str">
            <v>252101</v>
          </cell>
          <cell r="N1718" t="str">
            <v>VISKO TOP</v>
          </cell>
        </row>
        <row r="1719">
          <cell r="C1719" t="str">
            <v>100006568</v>
          </cell>
          <cell r="D1719" t="str">
            <v>PFP-241 HC VN-17.5KP</v>
          </cell>
          <cell r="E1719" t="str">
            <v>ZFGD</v>
          </cell>
          <cell r="F1719" t="str">
            <v>PC</v>
          </cell>
          <cell r="G1719" t="str">
            <v>5</v>
          </cell>
          <cell r="H1719" t="str">
            <v>PROJECT</v>
          </cell>
          <cell r="I1719" t="str">
            <v>56</v>
          </cell>
          <cell r="J1719" t="str">
            <v>CPC1</v>
          </cell>
          <cell r="K1719" t="str">
            <v>5602</v>
          </cell>
          <cell r="L1719" t="str">
            <v>POLYFLOOR</v>
          </cell>
          <cell r="M1719" t="str">
            <v>560202</v>
          </cell>
          <cell r="N1719" t="str">
            <v>POLYFLOOR EPOXY</v>
          </cell>
        </row>
        <row r="1720">
          <cell r="C1720" t="str">
            <v>100006569</v>
          </cell>
          <cell r="D1720" t="str">
            <v>PFP-241 HC VN-20KSP</v>
          </cell>
          <cell r="E1720" t="str">
            <v>ZFGD</v>
          </cell>
          <cell r="F1720" t="str">
            <v>SET</v>
          </cell>
          <cell r="G1720" t="str">
            <v>5</v>
          </cell>
          <cell r="H1720" t="str">
            <v>PROJECT</v>
          </cell>
          <cell r="I1720" t="str">
            <v>56</v>
          </cell>
          <cell r="J1720" t="str">
            <v>CPC1</v>
          </cell>
          <cell r="K1720" t="str">
            <v>5602</v>
          </cell>
          <cell r="L1720" t="str">
            <v>POLYFLOOR</v>
          </cell>
          <cell r="M1720" t="str">
            <v>560202</v>
          </cell>
          <cell r="N1720" t="str">
            <v>POLYFLOOR EPOXY</v>
          </cell>
        </row>
        <row r="1721">
          <cell r="C1721" t="str">
            <v>100006570</v>
          </cell>
          <cell r="D1721" t="str">
            <v>PFP-241 HC VN-3.5K</v>
          </cell>
          <cell r="E1721" t="str">
            <v>ZFGD</v>
          </cell>
          <cell r="F1721" t="str">
            <v>PC</v>
          </cell>
          <cell r="G1721" t="str">
            <v>5</v>
          </cell>
          <cell r="H1721" t="str">
            <v>PROJECT</v>
          </cell>
          <cell r="I1721" t="str">
            <v>56</v>
          </cell>
          <cell r="J1721" t="str">
            <v>CPC1</v>
          </cell>
          <cell r="K1721" t="str">
            <v>5602</v>
          </cell>
          <cell r="L1721" t="str">
            <v>POLYFLOOR</v>
          </cell>
          <cell r="M1721" t="str">
            <v>560202</v>
          </cell>
          <cell r="N1721" t="str">
            <v>POLYFLOOR EPOXY</v>
          </cell>
        </row>
        <row r="1722">
          <cell r="C1722" t="str">
            <v>100006571</v>
          </cell>
          <cell r="D1722" t="str">
            <v>PFP-241 HC VN-4KS</v>
          </cell>
          <cell r="E1722" t="str">
            <v>ZFGD</v>
          </cell>
          <cell r="F1722" t="str">
            <v>SET</v>
          </cell>
          <cell r="G1722" t="str">
            <v>5</v>
          </cell>
          <cell r="H1722" t="str">
            <v>PROJECT</v>
          </cell>
          <cell r="I1722" t="str">
            <v>56</v>
          </cell>
          <cell r="J1722" t="str">
            <v>CPC1</v>
          </cell>
          <cell r="K1722" t="str">
            <v>5602</v>
          </cell>
          <cell r="L1722" t="str">
            <v>POLYFLOOR</v>
          </cell>
          <cell r="M1722" t="str">
            <v>560202</v>
          </cell>
          <cell r="N1722" t="str">
            <v>POLYFLOOR EPOXY</v>
          </cell>
        </row>
        <row r="1723">
          <cell r="C1723" t="str">
            <v>120000120</v>
          </cell>
          <cell r="D1723" t="str">
            <v>US-970 PRIME GREY 9401 VN</v>
          </cell>
          <cell r="E1723" t="str">
            <v>ZSFG</v>
          </cell>
          <cell r="F1723" t="str">
            <v>KG</v>
          </cell>
          <cell r="G1723" t="str">
            <v>2</v>
          </cell>
          <cell r="H1723" t="str">
            <v>RETAIL</v>
          </cell>
          <cell r="I1723" t="str">
            <v>28</v>
          </cell>
          <cell r="J1723" t="str">
            <v>CPC2</v>
          </cell>
          <cell r="K1723" t="str">
            <v>2807</v>
          </cell>
          <cell r="L1723" t="str">
            <v>ULTRASEAL</v>
          </cell>
          <cell r="M1723" t="str">
            <v>280701</v>
          </cell>
          <cell r="N1723" t="str">
            <v>ULTRASEAL</v>
          </cell>
        </row>
        <row r="1724">
          <cell r="C1724" t="str">
            <v>120003765</v>
          </cell>
          <cell r="D1724" t="str">
            <v>PUP-54106 AC EX L72 DB VN</v>
          </cell>
          <cell r="E1724" t="str">
            <v>ZSFG</v>
          </cell>
          <cell r="F1724" t="str">
            <v>KG</v>
          </cell>
          <cell r="G1724" t="str">
            <v>1</v>
          </cell>
          <cell r="H1724" t="str">
            <v>INDUSTRY</v>
          </cell>
          <cell r="I1724" t="str">
            <v>11</v>
          </cell>
          <cell r="J1724" t="str">
            <v>WOOD COATINGS</v>
          </cell>
          <cell r="K1724" t="str">
            <v>1103</v>
          </cell>
          <cell r="L1724" t="str">
            <v>PU</v>
          </cell>
          <cell r="M1724" t="str">
            <v>110322</v>
          </cell>
          <cell r="N1724" t="str">
            <v>PU PRIMER</v>
          </cell>
        </row>
        <row r="1725">
          <cell r="C1725" t="str">
            <v>120003766</v>
          </cell>
          <cell r="D1725" t="str">
            <v>PUC-54206 AC EX BLUE 90 TADT VN</v>
          </cell>
          <cell r="E1725" t="str">
            <v>ZSFG</v>
          </cell>
          <cell r="F1725" t="str">
            <v>KG</v>
          </cell>
          <cell r="G1725" t="str">
            <v>1</v>
          </cell>
          <cell r="H1725" t="str">
            <v>INDUSTRY</v>
          </cell>
          <cell r="I1725" t="str">
            <v>11</v>
          </cell>
          <cell r="J1725" t="str">
            <v>WOOD COATINGS</v>
          </cell>
          <cell r="K1725" t="str">
            <v>1103</v>
          </cell>
          <cell r="L1725" t="str">
            <v>PU</v>
          </cell>
          <cell r="M1725" t="str">
            <v>110319</v>
          </cell>
          <cell r="N1725" t="str">
            <v>PU COLOR</v>
          </cell>
        </row>
        <row r="1726">
          <cell r="C1726" t="str">
            <v>170000006</v>
          </cell>
          <cell r="D1726" t="str">
            <v>SYNTHETIC 3000 RX WHITE-9101-0.8L</v>
          </cell>
          <cell r="E1726" t="str">
            <v>ZTRD</v>
          </cell>
          <cell r="F1726" t="str">
            <v>PC</v>
          </cell>
          <cell r="G1726" t="str">
            <v>X</v>
          </cell>
          <cell r="H1726" t="str">
            <v>TRD RETAIL</v>
          </cell>
          <cell r="I1726" t="str">
            <v>X7</v>
          </cell>
          <cell r="J1726" t="str">
            <v>CPC1</v>
          </cell>
          <cell r="K1726" t="str">
            <v>X703</v>
          </cell>
          <cell r="L1726" t="str">
            <v>MULTIPOX</v>
          </cell>
          <cell r="M1726" t="str">
            <v>X70302</v>
          </cell>
          <cell r="N1726" t="str">
            <v>MULTIPOX BASE</v>
          </cell>
        </row>
        <row r="1727">
          <cell r="C1727" t="str">
            <v>170000029</v>
          </cell>
          <cell r="D1727" t="str">
            <v>IMPRA WF-115 KAMPER-1K</v>
          </cell>
          <cell r="E1727" t="str">
            <v>ZTRD</v>
          </cell>
          <cell r="F1727" t="str">
            <v>PC</v>
          </cell>
          <cell r="G1727" t="str">
            <v>X</v>
          </cell>
          <cell r="H1727" t="str">
            <v>TRD RETAIL</v>
          </cell>
          <cell r="I1727" t="str">
            <v>X1</v>
          </cell>
          <cell r="J1727" t="str">
            <v>WF1</v>
          </cell>
          <cell r="K1727" t="str">
            <v>X115</v>
          </cell>
          <cell r="L1727" t="str">
            <v>IMPRA</v>
          </cell>
          <cell r="M1727" t="str">
            <v>X11511</v>
          </cell>
          <cell r="N1727" t="str">
            <v>IMPRA WOOD FILLER</v>
          </cell>
        </row>
        <row r="1728">
          <cell r="C1728" t="str">
            <v>170000030</v>
          </cell>
          <cell r="D1728" t="str">
            <v>PROPAN PFW-333 NATURAL-1K</v>
          </cell>
          <cell r="E1728" t="str">
            <v>ZTRD</v>
          </cell>
          <cell r="F1728" t="str">
            <v>PC</v>
          </cell>
          <cell r="G1728" t="str">
            <v>X</v>
          </cell>
          <cell r="H1728" t="str">
            <v>TRD RETAIL</v>
          </cell>
          <cell r="I1728" t="str">
            <v>X1</v>
          </cell>
          <cell r="J1728" t="str">
            <v>WF1</v>
          </cell>
          <cell r="K1728" t="str">
            <v>X107</v>
          </cell>
          <cell r="L1728" t="str">
            <v>FURNITURE WAX</v>
          </cell>
          <cell r="M1728" t="str">
            <v>X10701</v>
          </cell>
          <cell r="N1728" t="str">
            <v>PROPAN FURNITURE WAX</v>
          </cell>
        </row>
        <row r="1729">
          <cell r="C1729" t="str">
            <v>170000031</v>
          </cell>
          <cell r="D1729" t="str">
            <v>ULTRAN AQUA POLITUR MAHONY-1L</v>
          </cell>
          <cell r="E1729" t="str">
            <v>ZTRD</v>
          </cell>
          <cell r="F1729" t="str">
            <v>PC</v>
          </cell>
          <cell r="G1729" t="str">
            <v>X</v>
          </cell>
          <cell r="H1729" t="str">
            <v>TRD RETAIL</v>
          </cell>
          <cell r="I1729" t="str">
            <v>X4</v>
          </cell>
          <cell r="J1729" t="str">
            <v>WF3</v>
          </cell>
          <cell r="K1729" t="str">
            <v>X413</v>
          </cell>
          <cell r="L1729" t="str">
            <v>ULTRAN</v>
          </cell>
          <cell r="M1729" t="str">
            <v>X41303</v>
          </cell>
          <cell r="N1729" t="str">
            <v>ULTRAN AQUA POLITUR</v>
          </cell>
        </row>
        <row r="1730">
          <cell r="C1730" t="str">
            <v>170000032</v>
          </cell>
          <cell r="D1730" t="str">
            <v>ULTRAN UTO-555-0.8L</v>
          </cell>
          <cell r="E1730" t="str">
            <v>ZTRD</v>
          </cell>
          <cell r="F1730" t="str">
            <v>PC</v>
          </cell>
          <cell r="G1730" t="str">
            <v>X</v>
          </cell>
          <cell r="H1730" t="str">
            <v>TRD RETAIL</v>
          </cell>
          <cell r="I1730" t="str">
            <v>X4</v>
          </cell>
          <cell r="J1730" t="str">
            <v>WF3</v>
          </cell>
          <cell r="K1730" t="str">
            <v>X413</v>
          </cell>
          <cell r="L1730" t="str">
            <v>ULTRAN</v>
          </cell>
          <cell r="M1730" t="str">
            <v>X41309</v>
          </cell>
          <cell r="N1730" t="str">
            <v>ULTRAN TEAK OIL</v>
          </cell>
        </row>
        <row r="1731">
          <cell r="C1731" t="str">
            <v>170000033</v>
          </cell>
          <cell r="D1731" t="str">
            <v>ULTRAN UTO-555-3.8L</v>
          </cell>
          <cell r="E1731" t="str">
            <v>ZTRD</v>
          </cell>
          <cell r="F1731" t="str">
            <v>PC</v>
          </cell>
          <cell r="G1731" t="str">
            <v>X</v>
          </cell>
          <cell r="H1731" t="str">
            <v>TRD RETAIL</v>
          </cell>
          <cell r="I1731" t="str">
            <v>X4</v>
          </cell>
          <cell r="J1731" t="str">
            <v>WF3</v>
          </cell>
          <cell r="K1731" t="str">
            <v>X413</v>
          </cell>
          <cell r="L1731" t="str">
            <v>ULTRAN</v>
          </cell>
          <cell r="M1731" t="str">
            <v>X41309</v>
          </cell>
          <cell r="N1731" t="str">
            <v>ULTRAN TEAK OIL</v>
          </cell>
        </row>
        <row r="1732">
          <cell r="C1732" t="str">
            <v>170000034</v>
          </cell>
          <cell r="D1732" t="str">
            <v>PROPAN PPR-730-1K</v>
          </cell>
          <cell r="E1732" t="str">
            <v>ZTRD</v>
          </cell>
          <cell r="F1732" t="str">
            <v>PC</v>
          </cell>
          <cell r="G1732" t="str">
            <v>X</v>
          </cell>
          <cell r="H1732" t="str">
            <v>TRD RETAIL</v>
          </cell>
          <cell r="I1732" t="str">
            <v>X4</v>
          </cell>
          <cell r="J1732" t="str">
            <v>WF3</v>
          </cell>
          <cell r="K1732" t="str">
            <v>X405</v>
          </cell>
          <cell r="L1732" t="str">
            <v>PAINT REMOVER</v>
          </cell>
          <cell r="M1732" t="str">
            <v>X40501</v>
          </cell>
          <cell r="N1732" t="str">
            <v>PROPAN PAINT REMOVER</v>
          </cell>
        </row>
        <row r="1733">
          <cell r="C1733" t="str">
            <v>170000035</v>
          </cell>
          <cell r="D1733" t="str">
            <v>PUC-786-2K GREY GLOSS-4L</v>
          </cell>
          <cell r="E1733" t="str">
            <v>ZTRD</v>
          </cell>
          <cell r="F1733" t="str">
            <v>PC</v>
          </cell>
          <cell r="G1733" t="str">
            <v>X</v>
          </cell>
          <cell r="H1733" t="str">
            <v>TRD RETAIL</v>
          </cell>
          <cell r="I1733" t="str">
            <v>X2</v>
          </cell>
          <cell r="J1733" t="str">
            <v>WF2</v>
          </cell>
          <cell r="K1733" t="str">
            <v>X216</v>
          </cell>
          <cell r="L1733" t="str">
            <v>PU MULTIPURPOSE</v>
          </cell>
          <cell r="M1733" t="str">
            <v>X21601</v>
          </cell>
          <cell r="N1733" t="str">
            <v>PROPAN MP PU ACR RMX</v>
          </cell>
        </row>
        <row r="1734">
          <cell r="C1734" t="str">
            <v>170000036</v>
          </cell>
          <cell r="D1734" t="str">
            <v>PUC-786-2K WHITE GLOSS-4L</v>
          </cell>
          <cell r="E1734" t="str">
            <v>ZTRD</v>
          </cell>
          <cell r="F1734" t="str">
            <v>PC</v>
          </cell>
          <cell r="G1734" t="str">
            <v>X</v>
          </cell>
          <cell r="H1734" t="str">
            <v>TRD RETAIL</v>
          </cell>
          <cell r="I1734" t="str">
            <v>X2</v>
          </cell>
          <cell r="J1734" t="str">
            <v>WF2</v>
          </cell>
          <cell r="K1734" t="str">
            <v>X216</v>
          </cell>
          <cell r="L1734" t="str">
            <v>PU MULTIPURPOSE</v>
          </cell>
          <cell r="M1734" t="str">
            <v>X21601</v>
          </cell>
          <cell r="N1734" t="str">
            <v>PROPAN MP PU ACR RMX</v>
          </cell>
        </row>
        <row r="1735">
          <cell r="C1735" t="str">
            <v>170000037</v>
          </cell>
          <cell r="D1735" t="str">
            <v>PUSF-781-2K WHITE-4L</v>
          </cell>
          <cell r="E1735" t="str">
            <v>ZTRD</v>
          </cell>
          <cell r="F1735" t="str">
            <v>PC</v>
          </cell>
          <cell r="G1735" t="str">
            <v>X</v>
          </cell>
          <cell r="H1735" t="str">
            <v>TRD RETAIL</v>
          </cell>
          <cell r="I1735" t="str">
            <v>X2</v>
          </cell>
          <cell r="J1735" t="str">
            <v>WF2</v>
          </cell>
          <cell r="K1735" t="str">
            <v>X216</v>
          </cell>
          <cell r="L1735" t="str">
            <v>PU MULTIPURPOSE</v>
          </cell>
          <cell r="M1735" t="str">
            <v>X21601</v>
          </cell>
          <cell r="N1735" t="str">
            <v>PROPAN MP PU ACR RMX</v>
          </cell>
        </row>
        <row r="1736">
          <cell r="C1736" t="str">
            <v>170000038</v>
          </cell>
          <cell r="D1736" t="str">
            <v>PUSS-760-2K-4L</v>
          </cell>
          <cell r="E1736" t="str">
            <v>ZTRD</v>
          </cell>
          <cell r="F1736" t="str">
            <v>PC</v>
          </cell>
          <cell r="G1736" t="str">
            <v>X</v>
          </cell>
          <cell r="H1736" t="str">
            <v>TRD RETAIL</v>
          </cell>
          <cell r="I1736" t="str">
            <v>X2</v>
          </cell>
          <cell r="J1736" t="str">
            <v>WF2</v>
          </cell>
          <cell r="K1736" t="str">
            <v>X216</v>
          </cell>
          <cell r="L1736" t="str">
            <v>PU MULTIPURPOSE</v>
          </cell>
          <cell r="M1736" t="str">
            <v>X21601</v>
          </cell>
          <cell r="N1736" t="str">
            <v>PROPAN MP PU ACR RMX</v>
          </cell>
        </row>
        <row r="1737">
          <cell r="C1737" t="str">
            <v>170000039</v>
          </cell>
          <cell r="D1737" t="str">
            <v>DECOR DAE-550 TEAL-5412-2.5K</v>
          </cell>
          <cell r="E1737" t="str">
            <v>ZTRD</v>
          </cell>
          <cell r="F1737" t="str">
            <v>PC</v>
          </cell>
          <cell r="G1737" t="str">
            <v>Y</v>
          </cell>
          <cell r="H1737" t="str">
            <v>TRD PROJECT</v>
          </cell>
          <cell r="I1737" t="str">
            <v>Y2</v>
          </cell>
          <cell r="J1737" t="str">
            <v>APCT1</v>
          </cell>
          <cell r="K1737" t="str">
            <v>Y202</v>
          </cell>
          <cell r="L1737" t="str">
            <v>DECOR</v>
          </cell>
          <cell r="M1737" t="str">
            <v>Y20204</v>
          </cell>
          <cell r="N1737" t="str">
            <v>DECOR ACR ENAMEL SB RMX</v>
          </cell>
        </row>
        <row r="1738">
          <cell r="C1738" t="str">
            <v>170000040</v>
          </cell>
          <cell r="D1738" t="str">
            <v>ROST X-10-1L</v>
          </cell>
          <cell r="E1738" t="str">
            <v>ZTRD</v>
          </cell>
          <cell r="F1738" t="str">
            <v>PC</v>
          </cell>
          <cell r="G1738" t="str">
            <v>X</v>
          </cell>
          <cell r="H1738" t="str">
            <v>TRD RETAIL</v>
          </cell>
          <cell r="I1738" t="str">
            <v>X9</v>
          </cell>
          <cell r="J1738" t="str">
            <v>MPC</v>
          </cell>
          <cell r="K1738" t="str">
            <v>X913</v>
          </cell>
          <cell r="L1738" t="str">
            <v>ROST X</v>
          </cell>
          <cell r="M1738" t="str">
            <v>X91301</v>
          </cell>
          <cell r="N1738" t="str">
            <v>ROST X</v>
          </cell>
        </row>
        <row r="1739">
          <cell r="C1739" t="str">
            <v>170000041</v>
          </cell>
          <cell r="D1739" t="str">
            <v>IMPRA BOND IBW-630-10K</v>
          </cell>
          <cell r="E1739" t="str">
            <v>ZTRD</v>
          </cell>
          <cell r="F1739" t="str">
            <v>PC</v>
          </cell>
          <cell r="G1739" t="str">
            <v>X</v>
          </cell>
          <cell r="H1739" t="str">
            <v>TRD RETAIL</v>
          </cell>
          <cell r="I1739" t="str">
            <v>XB</v>
          </cell>
          <cell r="J1739" t="str">
            <v>A&amp;S</v>
          </cell>
          <cell r="K1739" t="str">
            <v>XB05</v>
          </cell>
          <cell r="L1739" t="str">
            <v>IMPRA BOND</v>
          </cell>
          <cell r="M1739" t="str">
            <v>XB0501</v>
          </cell>
          <cell r="N1739" t="str">
            <v>IMPRA BOND</v>
          </cell>
        </row>
        <row r="1740">
          <cell r="C1740" t="str">
            <v>170000042</v>
          </cell>
          <cell r="D1740" t="str">
            <v>DUROGLOSS BLACK GLOSS 9406G-0.9L</v>
          </cell>
          <cell r="E1740" t="str">
            <v>ZTRD</v>
          </cell>
          <cell r="F1740" t="str">
            <v>PC</v>
          </cell>
          <cell r="G1740" t="str">
            <v>X</v>
          </cell>
          <cell r="H1740" t="str">
            <v>TRD RETAIL</v>
          </cell>
          <cell r="I1740" t="str">
            <v>XA</v>
          </cell>
          <cell r="J1740" t="str">
            <v>PCR</v>
          </cell>
          <cell r="K1740" t="str">
            <v>XA01</v>
          </cell>
          <cell r="L1740" t="str">
            <v>DUROGLOSS</v>
          </cell>
          <cell r="M1740" t="str">
            <v>XA0101</v>
          </cell>
          <cell r="N1740" t="str">
            <v>DUROGLOSS</v>
          </cell>
        </row>
        <row r="1741">
          <cell r="C1741" t="str">
            <v>170000043</v>
          </cell>
          <cell r="D1741" t="str">
            <v>SICOSOL-1L</v>
          </cell>
          <cell r="E1741" t="str">
            <v>ZTRD</v>
          </cell>
          <cell r="F1741" t="str">
            <v>PC</v>
          </cell>
          <cell r="G1741" t="str">
            <v>X</v>
          </cell>
          <cell r="H1741" t="str">
            <v>TRD RETAIL</v>
          </cell>
          <cell r="I1741" t="str">
            <v>X6</v>
          </cell>
          <cell r="J1741" t="str">
            <v>SFC</v>
          </cell>
          <cell r="K1741" t="str">
            <v>X601</v>
          </cell>
          <cell r="L1741" t="str">
            <v>STONE CARE</v>
          </cell>
          <cell r="M1741" t="str">
            <v>X60104</v>
          </cell>
          <cell r="N1741" t="str">
            <v>SICOSOL</v>
          </cell>
        </row>
        <row r="1742">
          <cell r="C1742" t="str">
            <v>170000044</v>
          </cell>
          <cell r="D1742" t="str">
            <v>HARDENER UPL-77 E-1L</v>
          </cell>
          <cell r="E1742" t="str">
            <v>ZTRD</v>
          </cell>
          <cell r="F1742" t="str">
            <v>PC</v>
          </cell>
          <cell r="G1742" t="str">
            <v>X</v>
          </cell>
          <cell r="H1742" t="str">
            <v>TRD RETAIL</v>
          </cell>
          <cell r="I1742" t="str">
            <v>X4</v>
          </cell>
          <cell r="J1742" t="str">
            <v>WF3</v>
          </cell>
          <cell r="K1742" t="str">
            <v>X413</v>
          </cell>
          <cell r="L1742" t="str">
            <v>ULTRAN</v>
          </cell>
          <cell r="M1742" t="str">
            <v>X41301</v>
          </cell>
          <cell r="N1742" t="str">
            <v>ULTRAN PARQUET LACK</v>
          </cell>
        </row>
        <row r="1743">
          <cell r="C1743" t="str">
            <v>170000045</v>
          </cell>
          <cell r="D1743" t="str">
            <v>HARDENER PUH-73-0.25L</v>
          </cell>
          <cell r="E1743" t="str">
            <v>ZTRD</v>
          </cell>
          <cell r="F1743" t="str">
            <v>PC</v>
          </cell>
          <cell r="G1743" t="str">
            <v>X</v>
          </cell>
          <cell r="H1743" t="str">
            <v>TRD RETAIL</v>
          </cell>
          <cell r="I1743" t="str">
            <v>X2</v>
          </cell>
          <cell r="J1743" t="str">
            <v>WF2</v>
          </cell>
          <cell r="K1743" t="str">
            <v>X215</v>
          </cell>
          <cell r="L1743" t="str">
            <v>PU ITALIAN</v>
          </cell>
          <cell r="M1743" t="str">
            <v>X21501</v>
          </cell>
          <cell r="N1743" t="str">
            <v>PROPAN ITALIAN PU</v>
          </cell>
        </row>
        <row r="1744">
          <cell r="C1744" t="str">
            <v>170000046</v>
          </cell>
          <cell r="D1744" t="str">
            <v>HARDENER PUH-761-1L</v>
          </cell>
          <cell r="E1744" t="str">
            <v>ZTRD</v>
          </cell>
          <cell r="F1744" t="str">
            <v>PC</v>
          </cell>
          <cell r="G1744" t="str">
            <v>X</v>
          </cell>
          <cell r="H1744" t="str">
            <v>TRD RETAIL</v>
          </cell>
          <cell r="I1744" t="str">
            <v>X2</v>
          </cell>
          <cell r="J1744" t="str">
            <v>WF2</v>
          </cell>
          <cell r="K1744" t="str">
            <v>X216</v>
          </cell>
          <cell r="L1744" t="str">
            <v>PU MULTIPURPOSE</v>
          </cell>
          <cell r="M1744" t="str">
            <v>X21601</v>
          </cell>
          <cell r="N1744" t="str">
            <v>PROPAN MP PU ACR RMX</v>
          </cell>
        </row>
        <row r="1745">
          <cell r="C1745" t="str">
            <v>170000047</v>
          </cell>
          <cell r="D1745" t="str">
            <v>HARDENER PUH-76-1L</v>
          </cell>
          <cell r="E1745" t="str">
            <v>ZTRD</v>
          </cell>
          <cell r="F1745" t="str">
            <v>PC</v>
          </cell>
          <cell r="G1745" t="str">
            <v>X</v>
          </cell>
          <cell r="H1745" t="str">
            <v>TRD RETAIL</v>
          </cell>
          <cell r="I1745" t="str">
            <v>X2</v>
          </cell>
          <cell r="J1745" t="str">
            <v>WF2</v>
          </cell>
          <cell r="K1745" t="str">
            <v>X216</v>
          </cell>
          <cell r="L1745" t="str">
            <v>PU MULTIPURPOSE</v>
          </cell>
          <cell r="M1745" t="str">
            <v>X21601</v>
          </cell>
          <cell r="N1745" t="str">
            <v>PROPAN MP PU ACR RMX</v>
          </cell>
        </row>
        <row r="1746">
          <cell r="C1746" t="str">
            <v>170000048</v>
          </cell>
          <cell r="D1746" t="str">
            <v>HARDENER PUH-781-0.25L</v>
          </cell>
          <cell r="E1746" t="str">
            <v>ZTRD</v>
          </cell>
          <cell r="F1746" t="str">
            <v>PC</v>
          </cell>
          <cell r="G1746" t="str">
            <v>X</v>
          </cell>
          <cell r="H1746" t="str">
            <v>TRD RETAIL</v>
          </cell>
          <cell r="I1746" t="str">
            <v>X2</v>
          </cell>
          <cell r="J1746" t="str">
            <v>WF2</v>
          </cell>
          <cell r="K1746" t="str">
            <v>X215</v>
          </cell>
          <cell r="L1746" t="str">
            <v>PU ITALIAN</v>
          </cell>
          <cell r="M1746" t="str">
            <v>X21501</v>
          </cell>
          <cell r="N1746" t="str">
            <v>PROPAN ITALIAN PU</v>
          </cell>
        </row>
        <row r="1747">
          <cell r="C1747" t="str">
            <v>170000054</v>
          </cell>
          <cell r="D1747" t="str">
            <v>CERAKOTE CTP-980 WB-1KS</v>
          </cell>
          <cell r="E1747" t="str">
            <v>ZTRD</v>
          </cell>
          <cell r="F1747" t="str">
            <v>SET</v>
          </cell>
          <cell r="G1747" t="str">
            <v>Y</v>
          </cell>
          <cell r="H1747" t="str">
            <v>TRD PROJECT</v>
          </cell>
          <cell r="I1747" t="str">
            <v>Y6</v>
          </cell>
          <cell r="J1747" t="str">
            <v>CPC1</v>
          </cell>
          <cell r="K1747" t="str">
            <v>Y604</v>
          </cell>
          <cell r="L1747" t="str">
            <v>CERAKOTE</v>
          </cell>
          <cell r="M1747" t="str">
            <v>Y60401</v>
          </cell>
          <cell r="N1747" t="str">
            <v>CERAKOTE</v>
          </cell>
        </row>
        <row r="1748">
          <cell r="C1748" t="str">
            <v>170000055</v>
          </cell>
          <cell r="D1748" t="str">
            <v>PUC-786-2K HINO GREEN GLOSS-1LS</v>
          </cell>
          <cell r="E1748" t="str">
            <v>ZTRD</v>
          </cell>
          <cell r="F1748" t="str">
            <v>SET</v>
          </cell>
          <cell r="G1748" t="str">
            <v>X</v>
          </cell>
          <cell r="H1748" t="str">
            <v>TRD RETAIL</v>
          </cell>
          <cell r="I1748" t="str">
            <v>X2</v>
          </cell>
          <cell r="J1748" t="str">
            <v>WF2</v>
          </cell>
          <cell r="K1748" t="str">
            <v>X216</v>
          </cell>
          <cell r="L1748" t="str">
            <v>PU MULTIPURPOSE</v>
          </cell>
          <cell r="M1748" t="str">
            <v>X21601</v>
          </cell>
          <cell r="N1748" t="str">
            <v>PROPAN MP PU ACR RMX</v>
          </cell>
        </row>
        <row r="1749">
          <cell r="C1749" t="str">
            <v>170000056</v>
          </cell>
          <cell r="D1749" t="str">
            <v>PUC-786-2K BLACK GLOSS-1LS</v>
          </cell>
          <cell r="E1749" t="str">
            <v>ZTRD</v>
          </cell>
          <cell r="F1749" t="str">
            <v>SET</v>
          </cell>
          <cell r="G1749" t="str">
            <v>X</v>
          </cell>
          <cell r="H1749" t="str">
            <v>TRD RETAIL</v>
          </cell>
          <cell r="I1749" t="str">
            <v>X2</v>
          </cell>
          <cell r="J1749" t="str">
            <v>WF2</v>
          </cell>
          <cell r="K1749" t="str">
            <v>X216</v>
          </cell>
          <cell r="L1749" t="str">
            <v>PU MULTIPURPOSE</v>
          </cell>
          <cell r="M1749" t="str">
            <v>X21601</v>
          </cell>
          <cell r="N1749" t="str">
            <v>PROPAN MP PU ACR RMX</v>
          </cell>
        </row>
        <row r="1750">
          <cell r="C1750" t="str">
            <v>170000057</v>
          </cell>
          <cell r="D1750" t="str">
            <v>PUC-786-2K GREY GLOSS-1LS</v>
          </cell>
          <cell r="E1750" t="str">
            <v>ZTRD</v>
          </cell>
          <cell r="F1750" t="str">
            <v>SET</v>
          </cell>
          <cell r="G1750" t="str">
            <v>X</v>
          </cell>
          <cell r="H1750" t="str">
            <v>TRD RETAIL</v>
          </cell>
          <cell r="I1750" t="str">
            <v>X2</v>
          </cell>
          <cell r="J1750" t="str">
            <v>WF2</v>
          </cell>
          <cell r="K1750" t="str">
            <v>X216</v>
          </cell>
          <cell r="L1750" t="str">
            <v>PU MULTIPURPOSE</v>
          </cell>
          <cell r="M1750" t="str">
            <v>X21601</v>
          </cell>
          <cell r="N1750" t="str">
            <v>PROPAN MP PU ACR RMX</v>
          </cell>
        </row>
        <row r="1751">
          <cell r="C1751" t="str">
            <v>170000058</v>
          </cell>
          <cell r="D1751" t="str">
            <v>PUC-786-2K LEMON YELLOW GLOSS-1LS</v>
          </cell>
          <cell r="E1751" t="str">
            <v>ZTRD</v>
          </cell>
          <cell r="F1751" t="str">
            <v>SET</v>
          </cell>
          <cell r="G1751" t="str">
            <v>X</v>
          </cell>
          <cell r="H1751" t="str">
            <v>TRD RETAIL</v>
          </cell>
          <cell r="I1751" t="str">
            <v>X2</v>
          </cell>
          <cell r="J1751" t="str">
            <v>WF2</v>
          </cell>
          <cell r="K1751" t="str">
            <v>X216</v>
          </cell>
          <cell r="L1751" t="str">
            <v>PU MULTIPURPOSE</v>
          </cell>
          <cell r="M1751" t="str">
            <v>X21601</v>
          </cell>
          <cell r="N1751" t="str">
            <v>PROPAN MP PU ACR RMX</v>
          </cell>
        </row>
        <row r="1752">
          <cell r="C1752" t="str">
            <v>170000059</v>
          </cell>
          <cell r="D1752" t="str">
            <v>PUC-786-2K MARINE BLUE GLOSS-1LS</v>
          </cell>
          <cell r="E1752" t="str">
            <v>ZTRD</v>
          </cell>
          <cell r="F1752" t="str">
            <v>SET</v>
          </cell>
          <cell r="G1752" t="str">
            <v>X</v>
          </cell>
          <cell r="H1752" t="str">
            <v>TRD RETAIL</v>
          </cell>
          <cell r="I1752" t="str">
            <v>X2</v>
          </cell>
          <cell r="J1752" t="str">
            <v>WF2</v>
          </cell>
          <cell r="K1752" t="str">
            <v>X216</v>
          </cell>
          <cell r="L1752" t="str">
            <v>PU MULTIPURPOSE</v>
          </cell>
          <cell r="M1752" t="str">
            <v>X21601</v>
          </cell>
          <cell r="N1752" t="str">
            <v>PROPAN MP PU ACR RMX</v>
          </cell>
        </row>
        <row r="1753">
          <cell r="C1753" t="str">
            <v>170000066</v>
          </cell>
          <cell r="D1753" t="str">
            <v>PUL-765-2K CLEAR DOF-1LS</v>
          </cell>
          <cell r="E1753" t="str">
            <v>ZTRD</v>
          </cell>
          <cell r="F1753" t="str">
            <v>SET</v>
          </cell>
          <cell r="G1753" t="str">
            <v>X</v>
          </cell>
          <cell r="H1753" t="str">
            <v>TRD RETAIL</v>
          </cell>
          <cell r="I1753" t="str">
            <v>X2</v>
          </cell>
          <cell r="J1753" t="str">
            <v>WF2</v>
          </cell>
          <cell r="K1753" t="str">
            <v>X216</v>
          </cell>
          <cell r="L1753" t="str">
            <v>PU MULTIPURPOSE</v>
          </cell>
          <cell r="M1753" t="str">
            <v>X21601</v>
          </cell>
          <cell r="N1753" t="str">
            <v>PROPAN MP PU ACR RMX</v>
          </cell>
        </row>
        <row r="1754">
          <cell r="C1754" t="str">
            <v>170000067</v>
          </cell>
          <cell r="D1754" t="str">
            <v>PUL-765-2K CLEAR GLOSS-1LS</v>
          </cell>
          <cell r="E1754" t="str">
            <v>ZTRD</v>
          </cell>
          <cell r="F1754" t="str">
            <v>SET</v>
          </cell>
          <cell r="G1754" t="str">
            <v>X</v>
          </cell>
          <cell r="H1754" t="str">
            <v>TRD RETAIL</v>
          </cell>
          <cell r="I1754" t="str">
            <v>X2</v>
          </cell>
          <cell r="J1754" t="str">
            <v>WF2</v>
          </cell>
          <cell r="K1754" t="str">
            <v>X216</v>
          </cell>
          <cell r="L1754" t="str">
            <v>PU MULTIPURPOSE</v>
          </cell>
          <cell r="M1754" t="str">
            <v>X21601</v>
          </cell>
          <cell r="N1754" t="str">
            <v>PROPAN MP PU ACR RMX</v>
          </cell>
        </row>
        <row r="1755">
          <cell r="C1755" t="str">
            <v>170000068</v>
          </cell>
          <cell r="D1755" t="str">
            <v>PUC-786-2K WHITE GLOSS-1LS</v>
          </cell>
          <cell r="E1755" t="str">
            <v>ZTRD</v>
          </cell>
          <cell r="F1755" t="str">
            <v>SET</v>
          </cell>
          <cell r="G1755" t="str">
            <v>X</v>
          </cell>
          <cell r="H1755" t="str">
            <v>TRD RETAIL</v>
          </cell>
          <cell r="I1755" t="str">
            <v>X2</v>
          </cell>
          <cell r="J1755" t="str">
            <v>WF2</v>
          </cell>
          <cell r="K1755" t="str">
            <v>X216</v>
          </cell>
          <cell r="L1755" t="str">
            <v>PU MULTIPURPOSE</v>
          </cell>
          <cell r="M1755" t="str">
            <v>X21601</v>
          </cell>
          <cell r="N1755" t="str">
            <v>PROPAN MP PU ACR RMX</v>
          </cell>
        </row>
        <row r="1756">
          <cell r="C1756" t="str">
            <v>170000069</v>
          </cell>
          <cell r="D1756" t="str">
            <v>PUSF-781-2K WHITE-1LS</v>
          </cell>
          <cell r="E1756" t="str">
            <v>ZTRD</v>
          </cell>
          <cell r="F1756" t="str">
            <v>SET</v>
          </cell>
          <cell r="G1756" t="str">
            <v>X</v>
          </cell>
          <cell r="H1756" t="str">
            <v>TRD RETAIL</v>
          </cell>
          <cell r="I1756" t="str">
            <v>X2</v>
          </cell>
          <cell r="J1756" t="str">
            <v>WF2</v>
          </cell>
          <cell r="K1756" t="str">
            <v>X216</v>
          </cell>
          <cell r="L1756" t="str">
            <v>PU MULTIPURPOSE</v>
          </cell>
          <cell r="M1756" t="str">
            <v>X21601</v>
          </cell>
          <cell r="N1756" t="str">
            <v>PROPAN MP PU ACR RMX</v>
          </cell>
        </row>
        <row r="1757">
          <cell r="C1757" t="str">
            <v>170000070</v>
          </cell>
          <cell r="D1757" t="str">
            <v>PUSS-760-2K-1LS</v>
          </cell>
          <cell r="E1757" t="str">
            <v>ZTRD</v>
          </cell>
          <cell r="F1757" t="str">
            <v>SET</v>
          </cell>
          <cell r="G1757" t="str">
            <v>X</v>
          </cell>
          <cell r="H1757" t="str">
            <v>TRD RETAIL</v>
          </cell>
          <cell r="I1757" t="str">
            <v>X2</v>
          </cell>
          <cell r="J1757" t="str">
            <v>WF2</v>
          </cell>
          <cell r="K1757" t="str">
            <v>X216</v>
          </cell>
          <cell r="L1757" t="str">
            <v>PU MULTIPURPOSE</v>
          </cell>
          <cell r="M1757" t="str">
            <v>X21601</v>
          </cell>
          <cell r="N1757" t="str">
            <v>PROPAN MP PU ACR RMX</v>
          </cell>
        </row>
        <row r="1758">
          <cell r="C1758" t="str">
            <v>170000071</v>
          </cell>
          <cell r="D1758" t="str">
            <v>CERAKOTE 998 WHITE-3KS</v>
          </cell>
          <cell r="E1758" t="str">
            <v>ZTRD</v>
          </cell>
          <cell r="F1758" t="str">
            <v>SET</v>
          </cell>
          <cell r="G1758" t="str">
            <v>Y</v>
          </cell>
          <cell r="H1758" t="str">
            <v>TRD PROJECT</v>
          </cell>
          <cell r="I1758" t="str">
            <v>Y6</v>
          </cell>
          <cell r="J1758" t="str">
            <v>CPC1</v>
          </cell>
          <cell r="K1758" t="str">
            <v>Y604</v>
          </cell>
          <cell r="L1758" t="str">
            <v>CERAKOTE</v>
          </cell>
          <cell r="M1758" t="str">
            <v>Y60401</v>
          </cell>
          <cell r="N1758" t="str">
            <v>CERAKOTE</v>
          </cell>
        </row>
        <row r="1759">
          <cell r="C1759" t="str">
            <v>170000072</v>
          </cell>
          <cell r="D1759" t="str">
            <v>PCR 041 CE-1LS</v>
          </cell>
          <cell r="E1759" t="str">
            <v>ZTRD</v>
          </cell>
          <cell r="F1759" t="str">
            <v>SET</v>
          </cell>
          <cell r="G1759" t="str">
            <v>X</v>
          </cell>
          <cell r="H1759" t="str">
            <v>TRD RETAIL</v>
          </cell>
          <cell r="I1759" t="str">
            <v>XA</v>
          </cell>
          <cell r="J1759" t="str">
            <v>PCR</v>
          </cell>
          <cell r="K1759" t="str">
            <v>XA02</v>
          </cell>
          <cell r="L1759" t="str">
            <v>PCR</v>
          </cell>
          <cell r="M1759" t="str">
            <v>XA0201</v>
          </cell>
          <cell r="N1759" t="str">
            <v>PCR</v>
          </cell>
        </row>
        <row r="1760">
          <cell r="C1760" t="str">
            <v>170000073</v>
          </cell>
          <cell r="D1760" t="str">
            <v>#NUULTRAN UPL-77 E CLEAR GLOSS-3LS</v>
          </cell>
          <cell r="E1760" t="str">
            <v>ZTRD</v>
          </cell>
          <cell r="F1760" t="str">
            <v>SET</v>
          </cell>
          <cell r="G1760" t="str">
            <v>X</v>
          </cell>
          <cell r="H1760" t="str">
            <v>TRD RETAIL</v>
          </cell>
          <cell r="I1760" t="str">
            <v>X4</v>
          </cell>
          <cell r="J1760" t="str">
            <v>WF3</v>
          </cell>
          <cell r="K1760" t="str">
            <v>X413</v>
          </cell>
          <cell r="L1760" t="str">
            <v>ULTRAN</v>
          </cell>
          <cell r="M1760" t="str">
            <v>X41301</v>
          </cell>
          <cell r="N1760" t="str">
            <v>ULTRAN PARQUET LACK</v>
          </cell>
        </row>
        <row r="1761">
          <cell r="C1761" t="str">
            <v>170000074</v>
          </cell>
          <cell r="D1761" t="str">
            <v>#NUULTRAN UPL-77 E CLEAR MATT-3LS</v>
          </cell>
          <cell r="E1761" t="str">
            <v>ZTRD</v>
          </cell>
          <cell r="F1761" t="str">
            <v>SET</v>
          </cell>
          <cell r="G1761" t="str">
            <v>X</v>
          </cell>
          <cell r="H1761" t="str">
            <v>TRD RETAIL</v>
          </cell>
          <cell r="I1761" t="str">
            <v>X4</v>
          </cell>
          <cell r="J1761" t="str">
            <v>WF3</v>
          </cell>
          <cell r="K1761" t="str">
            <v>X413</v>
          </cell>
          <cell r="L1761" t="str">
            <v>ULTRAN</v>
          </cell>
          <cell r="M1761" t="str">
            <v>X41301</v>
          </cell>
          <cell r="N1761" t="str">
            <v>ULTRAN PARQUET LACK</v>
          </cell>
        </row>
        <row r="1762">
          <cell r="C1762" t="str">
            <v>170000075</v>
          </cell>
          <cell r="D1762" t="str">
            <v>ULTRAN UPL-77 E SEMI GLOSS-3LS</v>
          </cell>
          <cell r="E1762" t="str">
            <v>ZTRD</v>
          </cell>
          <cell r="F1762" t="str">
            <v>SET</v>
          </cell>
          <cell r="G1762" t="str">
            <v>X</v>
          </cell>
          <cell r="H1762" t="str">
            <v>TRD RETAIL</v>
          </cell>
          <cell r="I1762" t="str">
            <v>X4</v>
          </cell>
          <cell r="J1762" t="str">
            <v>WF3</v>
          </cell>
          <cell r="K1762" t="str">
            <v>X413</v>
          </cell>
          <cell r="L1762" t="str">
            <v>ULTRAN</v>
          </cell>
          <cell r="M1762" t="str">
            <v>X41301</v>
          </cell>
          <cell r="N1762" t="str">
            <v>ULTRAN PARQUET LACK</v>
          </cell>
        </row>
        <row r="1763">
          <cell r="C1763" t="str">
            <v>170000078</v>
          </cell>
          <cell r="D1763" t="str">
            <v>ULTRAN AEL-505 AKASIA-1L</v>
          </cell>
          <cell r="E1763" t="str">
            <v>ZTRD</v>
          </cell>
          <cell r="F1763" t="str">
            <v>PC</v>
          </cell>
          <cell r="G1763" t="str">
            <v>X</v>
          </cell>
          <cell r="H1763" t="str">
            <v>TRD RETAIL</v>
          </cell>
          <cell r="I1763" t="str">
            <v>X4</v>
          </cell>
          <cell r="J1763" t="str">
            <v>WF3</v>
          </cell>
          <cell r="K1763" t="str">
            <v>X413</v>
          </cell>
          <cell r="L1763" t="str">
            <v>ULTRAN</v>
          </cell>
          <cell r="M1763" t="str">
            <v>X41304</v>
          </cell>
          <cell r="N1763" t="str">
            <v>ULTRAN LASUR</v>
          </cell>
        </row>
        <row r="1764">
          <cell r="C1764" t="str">
            <v>170000079</v>
          </cell>
          <cell r="D1764" t="str">
            <v>ULTRAN AEL-505 SUNSET RED-1L</v>
          </cell>
          <cell r="E1764" t="str">
            <v>ZTRD</v>
          </cell>
          <cell r="F1764" t="str">
            <v>PC</v>
          </cell>
          <cell r="G1764" t="str">
            <v>X</v>
          </cell>
          <cell r="H1764" t="str">
            <v>TRD RETAIL</v>
          </cell>
          <cell r="I1764" t="str">
            <v>X4</v>
          </cell>
          <cell r="J1764" t="str">
            <v>WF3</v>
          </cell>
          <cell r="K1764" t="str">
            <v>X413</v>
          </cell>
          <cell r="L1764" t="str">
            <v>ULTRAN</v>
          </cell>
          <cell r="M1764" t="str">
            <v>X41304</v>
          </cell>
          <cell r="N1764" t="str">
            <v>ULTRAN LASUR</v>
          </cell>
        </row>
        <row r="1765">
          <cell r="C1765" t="str">
            <v>170000082</v>
          </cell>
          <cell r="D1765" t="str">
            <v>PFC-225 EPOCEM-2K</v>
          </cell>
          <cell r="E1765" t="str">
            <v>ZTRD</v>
          </cell>
          <cell r="F1765" t="str">
            <v>PC</v>
          </cell>
          <cell r="G1765" t="str">
            <v>Y</v>
          </cell>
          <cell r="H1765" t="str">
            <v>TRD PROJECT</v>
          </cell>
          <cell r="I1765" t="str">
            <v>Y6</v>
          </cell>
          <cell r="J1765" t="str">
            <v>CPC1</v>
          </cell>
          <cell r="K1765" t="str">
            <v>Y602</v>
          </cell>
          <cell r="L1765" t="str">
            <v>POLYFLOOR</v>
          </cell>
          <cell r="M1765" t="str">
            <v>Y60201</v>
          </cell>
          <cell r="N1765" t="str">
            <v>POLYFLOOR CEMENT</v>
          </cell>
        </row>
        <row r="1766">
          <cell r="C1766" t="str">
            <v>170000083</v>
          </cell>
          <cell r="D1766" t="str">
            <v>HARDENER PFC-225 EPOCEM-2K</v>
          </cell>
          <cell r="E1766" t="str">
            <v>ZTRD</v>
          </cell>
          <cell r="F1766" t="str">
            <v>PC</v>
          </cell>
          <cell r="G1766" t="str">
            <v>Y</v>
          </cell>
          <cell r="H1766" t="str">
            <v>TRD PROJECT</v>
          </cell>
          <cell r="I1766" t="str">
            <v>Y6</v>
          </cell>
          <cell r="J1766" t="str">
            <v>CPC1</v>
          </cell>
          <cell r="K1766" t="str">
            <v>Y607</v>
          </cell>
          <cell r="L1766" t="str">
            <v>OTHERS CPC1</v>
          </cell>
          <cell r="M1766" t="str">
            <v>Y60703</v>
          </cell>
          <cell r="N1766" t="str">
            <v>COMPLEMENTARY CPC1</v>
          </cell>
        </row>
        <row r="1767">
          <cell r="C1767" t="str">
            <v>170000084</v>
          </cell>
          <cell r="D1767" t="str">
            <v>CEMENT POWDER PFC-225 EPOCEM-19KZ</v>
          </cell>
          <cell r="E1767" t="str">
            <v>ZTRD</v>
          </cell>
          <cell r="F1767" t="str">
            <v>PC</v>
          </cell>
          <cell r="G1767" t="str">
            <v>Y</v>
          </cell>
          <cell r="H1767" t="str">
            <v>TRD PROJECT</v>
          </cell>
          <cell r="I1767" t="str">
            <v>Y6</v>
          </cell>
          <cell r="J1767" t="str">
            <v>CPC1</v>
          </cell>
          <cell r="K1767" t="str">
            <v>Y602</v>
          </cell>
          <cell r="L1767" t="str">
            <v>POLYFLOOR</v>
          </cell>
          <cell r="M1767" t="str">
            <v>Y60201</v>
          </cell>
          <cell r="N1767" t="str">
            <v>POLYFLOOR CEMENT</v>
          </cell>
        </row>
        <row r="1768">
          <cell r="C1768" t="str">
            <v>170000085</v>
          </cell>
          <cell r="D1768" t="str">
            <v>PFC-225 SEALER-2K</v>
          </cell>
          <cell r="E1768" t="str">
            <v>ZTRD</v>
          </cell>
          <cell r="F1768" t="str">
            <v>PC</v>
          </cell>
          <cell r="G1768" t="str">
            <v>Y</v>
          </cell>
          <cell r="H1768" t="str">
            <v>TRD PROJECT</v>
          </cell>
          <cell r="I1768" t="str">
            <v>Y6</v>
          </cell>
          <cell r="J1768" t="str">
            <v>CPC1</v>
          </cell>
          <cell r="K1768" t="str">
            <v>Y602</v>
          </cell>
          <cell r="L1768" t="str">
            <v>POLYFLOOR</v>
          </cell>
          <cell r="M1768" t="str">
            <v>Y60201</v>
          </cell>
          <cell r="N1768" t="str">
            <v>POLYFLOOR CEMENT</v>
          </cell>
        </row>
        <row r="1769">
          <cell r="C1769" t="str">
            <v>170000086</v>
          </cell>
          <cell r="D1769" t="str">
            <v>HARDENER PFC-225 SEALER-2K</v>
          </cell>
          <cell r="E1769" t="str">
            <v>ZTRD</v>
          </cell>
          <cell r="F1769" t="str">
            <v>PC</v>
          </cell>
          <cell r="G1769" t="str">
            <v>Y</v>
          </cell>
          <cell r="H1769" t="str">
            <v>TRD PROJECT</v>
          </cell>
          <cell r="I1769" t="str">
            <v>Y6</v>
          </cell>
          <cell r="J1769" t="str">
            <v>CPC1</v>
          </cell>
          <cell r="K1769" t="str">
            <v>Y607</v>
          </cell>
          <cell r="L1769" t="str">
            <v>OTHERS CPC1</v>
          </cell>
          <cell r="M1769" t="str">
            <v>Y60703</v>
          </cell>
          <cell r="N1769" t="str">
            <v>COMPLEMENTARY CPC1</v>
          </cell>
        </row>
        <row r="1770">
          <cell r="C1770" t="str">
            <v>170000095</v>
          </cell>
          <cell r="D1770" t="str">
            <v>DP-4011 PRIMER-18LP</v>
          </cell>
          <cell r="E1770" t="str">
            <v>ZTRD</v>
          </cell>
          <cell r="F1770" t="str">
            <v>PC</v>
          </cell>
          <cell r="G1770" t="str">
            <v>3</v>
          </cell>
          <cell r="H1770" t="str">
            <v>TRADING</v>
          </cell>
          <cell r="I1770" t="str">
            <v>38</v>
          </cell>
          <cell r="J1770" t="str">
            <v>ALKANA TRADING</v>
          </cell>
          <cell r="K1770" t="str">
            <v>3801</v>
          </cell>
          <cell r="L1770" t="str">
            <v>COATING</v>
          </cell>
          <cell r="M1770" t="str">
            <v>380101</v>
          </cell>
          <cell r="N1770" t="str">
            <v>DECOR PLAST</v>
          </cell>
        </row>
        <row r="1771">
          <cell r="C1771" t="str">
            <v>170000096</v>
          </cell>
          <cell r="D1771" t="str">
            <v>DP-4011 PRIMER-5L</v>
          </cell>
          <cell r="E1771" t="str">
            <v>ZTRD</v>
          </cell>
          <cell r="F1771" t="str">
            <v>PC</v>
          </cell>
          <cell r="G1771" t="str">
            <v>3</v>
          </cell>
          <cell r="H1771" t="str">
            <v>TRADING</v>
          </cell>
          <cell r="I1771" t="str">
            <v>38</v>
          </cell>
          <cell r="J1771" t="str">
            <v>ALKANA TRADING</v>
          </cell>
          <cell r="K1771" t="str">
            <v>3801</v>
          </cell>
          <cell r="L1771" t="str">
            <v>COATING</v>
          </cell>
          <cell r="M1771" t="str">
            <v>380101</v>
          </cell>
          <cell r="N1771" t="str">
            <v>DECOR PLAST</v>
          </cell>
        </row>
        <row r="1772">
          <cell r="C1772" t="str">
            <v>170000099</v>
          </cell>
          <cell r="D1772" t="str">
            <v>DP-4010 BLOSSOM 1149-18LP</v>
          </cell>
          <cell r="E1772" t="str">
            <v>ZTRD</v>
          </cell>
          <cell r="F1772" t="str">
            <v>PC</v>
          </cell>
          <cell r="G1772" t="str">
            <v>3</v>
          </cell>
          <cell r="H1772" t="str">
            <v>TRADING</v>
          </cell>
          <cell r="I1772" t="str">
            <v>38</v>
          </cell>
          <cell r="J1772" t="str">
            <v>ALKANA TRADING</v>
          </cell>
          <cell r="K1772" t="str">
            <v>3801</v>
          </cell>
          <cell r="L1772" t="str">
            <v>COATING</v>
          </cell>
          <cell r="M1772" t="str">
            <v>380101</v>
          </cell>
          <cell r="N1772" t="str">
            <v>DECOR PLAST</v>
          </cell>
        </row>
        <row r="1773">
          <cell r="C1773" t="str">
            <v>170000101</v>
          </cell>
          <cell r="D1773" t="str">
            <v>DP-4010 BROKEN WHITE 8108-18LP</v>
          </cell>
          <cell r="E1773" t="str">
            <v>ZTRD</v>
          </cell>
          <cell r="F1773" t="str">
            <v>PC</v>
          </cell>
          <cell r="G1773" t="str">
            <v>3</v>
          </cell>
          <cell r="H1773" t="str">
            <v>TRADING</v>
          </cell>
          <cell r="I1773" t="str">
            <v>38</v>
          </cell>
          <cell r="J1773" t="str">
            <v>ALKANA TRADING</v>
          </cell>
          <cell r="K1773" t="str">
            <v>3801</v>
          </cell>
          <cell r="L1773" t="str">
            <v>COATING</v>
          </cell>
          <cell r="M1773" t="str">
            <v>380101</v>
          </cell>
          <cell r="N1773" t="str">
            <v>DECOR PLAST</v>
          </cell>
        </row>
        <row r="1774">
          <cell r="C1774" t="str">
            <v>170000103</v>
          </cell>
          <cell r="D1774" t="str">
            <v>DP-4010 LEMON LIGHT 1156-18LP</v>
          </cell>
          <cell r="E1774" t="str">
            <v>ZTRD</v>
          </cell>
          <cell r="F1774" t="str">
            <v>PC</v>
          </cell>
          <cell r="G1774" t="str">
            <v>3</v>
          </cell>
          <cell r="H1774" t="str">
            <v>TRADING</v>
          </cell>
          <cell r="I1774" t="str">
            <v>38</v>
          </cell>
          <cell r="J1774" t="str">
            <v>ALKANA TRADING</v>
          </cell>
          <cell r="K1774" t="str">
            <v>3801</v>
          </cell>
          <cell r="L1774" t="str">
            <v>COATING</v>
          </cell>
          <cell r="M1774" t="str">
            <v>380101</v>
          </cell>
          <cell r="N1774" t="str">
            <v>DECOR PLAST</v>
          </cell>
        </row>
        <row r="1775">
          <cell r="C1775" t="str">
            <v>170000105</v>
          </cell>
          <cell r="D1775" t="str">
            <v>DP-4010 PRIME WHITE 5105-18LP</v>
          </cell>
          <cell r="E1775" t="str">
            <v>ZTRD</v>
          </cell>
          <cell r="F1775" t="str">
            <v>PC</v>
          </cell>
          <cell r="G1775" t="str">
            <v>3</v>
          </cell>
          <cell r="H1775" t="str">
            <v>TRADING</v>
          </cell>
          <cell r="I1775" t="str">
            <v>38</v>
          </cell>
          <cell r="J1775" t="str">
            <v>ALKANA TRADING</v>
          </cell>
          <cell r="K1775" t="str">
            <v>3801</v>
          </cell>
          <cell r="L1775" t="str">
            <v>COATING</v>
          </cell>
          <cell r="M1775" t="str">
            <v>380101</v>
          </cell>
          <cell r="N1775" t="str">
            <v>DECOR PLAST</v>
          </cell>
        </row>
        <row r="1776">
          <cell r="C1776" t="str">
            <v>170000107</v>
          </cell>
          <cell r="D1776" t="str">
            <v>DP-4010 TWILIGHT TWINKLE 6119-18LP</v>
          </cell>
          <cell r="E1776" t="str">
            <v>ZTRD</v>
          </cell>
          <cell r="F1776" t="str">
            <v>PC</v>
          </cell>
          <cell r="G1776" t="str">
            <v>3</v>
          </cell>
          <cell r="H1776" t="str">
            <v>TRADING</v>
          </cell>
          <cell r="I1776" t="str">
            <v>38</v>
          </cell>
          <cell r="J1776" t="str">
            <v>ALKANA TRADING</v>
          </cell>
          <cell r="K1776" t="str">
            <v>3801</v>
          </cell>
          <cell r="L1776" t="str">
            <v>COATING</v>
          </cell>
          <cell r="M1776" t="str">
            <v>380101</v>
          </cell>
          <cell r="N1776" t="str">
            <v>DECOR PLAST</v>
          </cell>
        </row>
        <row r="1777">
          <cell r="C1777" t="str">
            <v>170000109</v>
          </cell>
          <cell r="D1777" t="str">
            <v>DP-4010 ICE AGE 6114-18LP</v>
          </cell>
          <cell r="E1777" t="str">
            <v>ZTRD</v>
          </cell>
          <cell r="F1777" t="str">
            <v>PC</v>
          </cell>
          <cell r="G1777" t="str">
            <v>3</v>
          </cell>
          <cell r="H1777" t="str">
            <v>TRADING</v>
          </cell>
          <cell r="I1777" t="str">
            <v>38</v>
          </cell>
          <cell r="J1777" t="str">
            <v>ALKANA TRADING</v>
          </cell>
          <cell r="K1777" t="str">
            <v>3801</v>
          </cell>
          <cell r="L1777" t="str">
            <v>COATING</v>
          </cell>
          <cell r="M1777" t="str">
            <v>380101</v>
          </cell>
          <cell r="N1777" t="str">
            <v>DECOR PLAST</v>
          </cell>
        </row>
        <row r="1778">
          <cell r="C1778" t="str">
            <v>170000111</v>
          </cell>
          <cell r="D1778" t="str">
            <v>DP-4010 QUIET CORAL 2117-18LP</v>
          </cell>
          <cell r="E1778" t="str">
            <v>ZTRD</v>
          </cell>
          <cell r="F1778" t="str">
            <v>PC</v>
          </cell>
          <cell r="G1778" t="str">
            <v>3</v>
          </cell>
          <cell r="H1778" t="str">
            <v>TRADING</v>
          </cell>
          <cell r="I1778" t="str">
            <v>38</v>
          </cell>
          <cell r="J1778" t="str">
            <v>ALKANA TRADING</v>
          </cell>
          <cell r="K1778" t="str">
            <v>3801</v>
          </cell>
          <cell r="L1778" t="str">
            <v>COATING</v>
          </cell>
          <cell r="M1778" t="str">
            <v>380101</v>
          </cell>
          <cell r="N1778" t="str">
            <v>DECOR PLAST</v>
          </cell>
        </row>
        <row r="1779">
          <cell r="C1779" t="str">
            <v>170000115</v>
          </cell>
          <cell r="D1779" t="str">
            <v>DP-4010 JASMINE 2105-18LP</v>
          </cell>
          <cell r="E1779" t="str">
            <v>ZTRD</v>
          </cell>
          <cell r="F1779" t="str">
            <v>PC</v>
          </cell>
          <cell r="G1779" t="str">
            <v>3</v>
          </cell>
          <cell r="H1779" t="str">
            <v>TRADING</v>
          </cell>
          <cell r="I1779" t="str">
            <v>38</v>
          </cell>
          <cell r="J1779" t="str">
            <v>ALKANA TRADING</v>
          </cell>
          <cell r="K1779" t="str">
            <v>3801</v>
          </cell>
          <cell r="L1779" t="str">
            <v>COATING</v>
          </cell>
          <cell r="M1779" t="str">
            <v>380101</v>
          </cell>
          <cell r="N1779" t="str">
            <v>DECOR PLAST</v>
          </cell>
        </row>
        <row r="1780">
          <cell r="C1780" t="str">
            <v>170000117</v>
          </cell>
          <cell r="D1780" t="str">
            <v>DP-4010 GREEN VILLE 7130-18LP</v>
          </cell>
          <cell r="E1780" t="str">
            <v>ZTRD</v>
          </cell>
          <cell r="F1780" t="str">
            <v>PC</v>
          </cell>
          <cell r="G1780" t="str">
            <v>3</v>
          </cell>
          <cell r="H1780" t="str">
            <v>TRADING</v>
          </cell>
          <cell r="I1780" t="str">
            <v>38</v>
          </cell>
          <cell r="J1780" t="str">
            <v>ALKANA TRADING</v>
          </cell>
          <cell r="K1780" t="str">
            <v>3801</v>
          </cell>
          <cell r="L1780" t="str">
            <v>COATING</v>
          </cell>
          <cell r="M1780" t="str">
            <v>380101</v>
          </cell>
          <cell r="N1780" t="str">
            <v>DECOR PLAST</v>
          </cell>
        </row>
        <row r="1781">
          <cell r="C1781" t="str">
            <v>170000119</v>
          </cell>
          <cell r="D1781" t="str">
            <v>DP-4010 CASCADE 1113-18LP</v>
          </cell>
          <cell r="E1781" t="str">
            <v>ZTRD</v>
          </cell>
          <cell r="F1781" t="str">
            <v>PC</v>
          </cell>
          <cell r="G1781" t="str">
            <v>3</v>
          </cell>
          <cell r="H1781" t="str">
            <v>TRADING</v>
          </cell>
          <cell r="I1781" t="str">
            <v>38</v>
          </cell>
          <cell r="J1781" t="str">
            <v>ALKANA TRADING</v>
          </cell>
          <cell r="K1781" t="str">
            <v>3801</v>
          </cell>
          <cell r="L1781" t="str">
            <v>COATING</v>
          </cell>
          <cell r="M1781" t="str">
            <v>380101</v>
          </cell>
          <cell r="N1781" t="str">
            <v>DECOR PLAST</v>
          </cell>
        </row>
        <row r="1782">
          <cell r="C1782" t="str">
            <v>170000121</v>
          </cell>
          <cell r="D1782" t="str">
            <v>DP-4010 WHITE 9101-18LP</v>
          </cell>
          <cell r="E1782" t="str">
            <v>ZTRD</v>
          </cell>
          <cell r="F1782" t="str">
            <v>PC</v>
          </cell>
          <cell r="G1782" t="str">
            <v>3</v>
          </cell>
          <cell r="H1782" t="str">
            <v>TRADING</v>
          </cell>
          <cell r="I1782" t="str">
            <v>38</v>
          </cell>
          <cell r="J1782" t="str">
            <v>ALKANA TRADING</v>
          </cell>
          <cell r="K1782" t="str">
            <v>3801</v>
          </cell>
          <cell r="L1782" t="str">
            <v>COATING</v>
          </cell>
          <cell r="M1782" t="str">
            <v>380101</v>
          </cell>
          <cell r="N1782" t="str">
            <v>DECOR PLAST</v>
          </cell>
        </row>
        <row r="1783">
          <cell r="C1783" t="str">
            <v>170000122</v>
          </cell>
          <cell r="D1783" t="str">
            <v>DP-4010 WHITE 9101-3.8L</v>
          </cell>
          <cell r="E1783" t="str">
            <v>ZTRD</v>
          </cell>
          <cell r="F1783" t="str">
            <v>PC</v>
          </cell>
          <cell r="G1783" t="str">
            <v>3</v>
          </cell>
          <cell r="H1783" t="str">
            <v>TRADING</v>
          </cell>
          <cell r="I1783" t="str">
            <v>38</v>
          </cell>
          <cell r="J1783" t="str">
            <v>ALKANA TRADING</v>
          </cell>
          <cell r="K1783" t="str">
            <v>3801</v>
          </cell>
          <cell r="L1783" t="str">
            <v>COATING</v>
          </cell>
          <cell r="M1783" t="str">
            <v>380101</v>
          </cell>
          <cell r="N1783" t="str">
            <v>DECOR PLAST</v>
          </cell>
        </row>
        <row r="1784">
          <cell r="C1784" t="str">
            <v>170000123</v>
          </cell>
          <cell r="D1784" t="str">
            <v>DP-4010 BASE-18LP</v>
          </cell>
          <cell r="E1784" t="str">
            <v>ZTRD</v>
          </cell>
          <cell r="F1784" t="str">
            <v>PC</v>
          </cell>
          <cell r="G1784" t="str">
            <v>3</v>
          </cell>
          <cell r="H1784" t="str">
            <v>TRADING</v>
          </cell>
          <cell r="I1784" t="str">
            <v>38</v>
          </cell>
          <cell r="J1784" t="str">
            <v>ALKANA TRADING</v>
          </cell>
          <cell r="K1784" t="str">
            <v>3801</v>
          </cell>
          <cell r="L1784" t="str">
            <v>COATING</v>
          </cell>
          <cell r="M1784" t="str">
            <v>380101</v>
          </cell>
          <cell r="N1784" t="str">
            <v>DECOR PLAST</v>
          </cell>
        </row>
        <row r="1785">
          <cell r="C1785" t="str">
            <v>170000125</v>
          </cell>
          <cell r="D1785" t="str">
            <v>DP-4010 BASE-5L</v>
          </cell>
          <cell r="E1785" t="str">
            <v>ZTRD</v>
          </cell>
          <cell r="F1785" t="str">
            <v>PC</v>
          </cell>
          <cell r="G1785" t="str">
            <v>3</v>
          </cell>
          <cell r="H1785" t="str">
            <v>TRADING</v>
          </cell>
          <cell r="I1785" t="str">
            <v>38</v>
          </cell>
          <cell r="J1785" t="str">
            <v>ALKANA TRADING</v>
          </cell>
          <cell r="K1785" t="str">
            <v>3801</v>
          </cell>
          <cell r="L1785" t="str">
            <v>COATING</v>
          </cell>
          <cell r="M1785" t="str">
            <v>380101</v>
          </cell>
          <cell r="N1785" t="str">
            <v>DECOR PLAST</v>
          </cell>
        </row>
        <row r="1786">
          <cell r="C1786" t="str">
            <v>170000128</v>
          </cell>
          <cell r="D1786" t="str">
            <v>DP-4011 WHEAT 1158-18LP</v>
          </cell>
          <cell r="E1786" t="str">
            <v>ZTRD</v>
          </cell>
          <cell r="F1786" t="str">
            <v>PC</v>
          </cell>
          <cell r="G1786" t="str">
            <v>3</v>
          </cell>
          <cell r="H1786" t="str">
            <v>TRADING</v>
          </cell>
          <cell r="I1786" t="str">
            <v>38</v>
          </cell>
          <cell r="J1786" t="str">
            <v>ALKANA TRADING</v>
          </cell>
          <cell r="K1786" t="str">
            <v>3801</v>
          </cell>
          <cell r="L1786" t="str">
            <v>COATING</v>
          </cell>
          <cell r="M1786" t="str">
            <v>380101</v>
          </cell>
          <cell r="N1786" t="str">
            <v>DECOR PLAST</v>
          </cell>
        </row>
        <row r="1787">
          <cell r="C1787" t="str">
            <v>170000129</v>
          </cell>
          <cell r="D1787" t="str">
            <v>DP-4011 WHEAT 1158-5L</v>
          </cell>
          <cell r="E1787" t="str">
            <v>ZTRD</v>
          </cell>
          <cell r="F1787" t="str">
            <v>PC</v>
          </cell>
          <cell r="G1787" t="str">
            <v>3</v>
          </cell>
          <cell r="H1787" t="str">
            <v>TRADING</v>
          </cell>
          <cell r="I1787" t="str">
            <v>38</v>
          </cell>
          <cell r="J1787" t="str">
            <v>ALKANA TRADING</v>
          </cell>
          <cell r="K1787" t="str">
            <v>3801</v>
          </cell>
          <cell r="L1787" t="str">
            <v>COATING</v>
          </cell>
          <cell r="M1787" t="str">
            <v>380101</v>
          </cell>
          <cell r="N1787" t="str">
            <v>DECOR PLAST</v>
          </cell>
        </row>
        <row r="1788">
          <cell r="C1788" t="str">
            <v>170000130</v>
          </cell>
          <cell r="D1788" t="str">
            <v>DP-4011 GINGER PEACHY 1165-18LP</v>
          </cell>
          <cell r="E1788" t="str">
            <v>ZTRD</v>
          </cell>
          <cell r="F1788" t="str">
            <v>PC</v>
          </cell>
          <cell r="G1788" t="str">
            <v>3</v>
          </cell>
          <cell r="H1788" t="str">
            <v>TRADING</v>
          </cell>
          <cell r="I1788" t="str">
            <v>38</v>
          </cell>
          <cell r="J1788" t="str">
            <v>ALKANA TRADING</v>
          </cell>
          <cell r="K1788" t="str">
            <v>3801</v>
          </cell>
          <cell r="L1788" t="str">
            <v>COATING</v>
          </cell>
          <cell r="M1788" t="str">
            <v>380101</v>
          </cell>
          <cell r="N1788" t="str">
            <v>DECOR PLAST</v>
          </cell>
        </row>
        <row r="1789">
          <cell r="C1789" t="str">
            <v>170000131</v>
          </cell>
          <cell r="D1789" t="str">
            <v>DP-4011 GINGER PEACHY 1165-5L</v>
          </cell>
          <cell r="E1789" t="str">
            <v>ZTRD</v>
          </cell>
          <cell r="F1789" t="str">
            <v>PC</v>
          </cell>
          <cell r="G1789" t="str">
            <v>3</v>
          </cell>
          <cell r="H1789" t="str">
            <v>TRADING</v>
          </cell>
          <cell r="I1789" t="str">
            <v>38</v>
          </cell>
          <cell r="J1789" t="str">
            <v>ALKANA TRADING</v>
          </cell>
          <cell r="K1789" t="str">
            <v>3801</v>
          </cell>
          <cell r="L1789" t="str">
            <v>COATING</v>
          </cell>
          <cell r="M1789" t="str">
            <v>380101</v>
          </cell>
          <cell r="N1789" t="str">
            <v>DECOR PLAST</v>
          </cell>
        </row>
        <row r="1790">
          <cell r="C1790" t="str">
            <v>170000132</v>
          </cell>
          <cell r="D1790" t="str">
            <v>DP-4011 PEACH TREE 2121-18LP</v>
          </cell>
          <cell r="E1790" t="str">
            <v>ZTRD</v>
          </cell>
          <cell r="F1790" t="str">
            <v>PC</v>
          </cell>
          <cell r="G1790" t="str">
            <v>3</v>
          </cell>
          <cell r="H1790" t="str">
            <v>TRADING</v>
          </cell>
          <cell r="I1790" t="str">
            <v>38</v>
          </cell>
          <cell r="J1790" t="str">
            <v>ALKANA TRADING</v>
          </cell>
          <cell r="K1790" t="str">
            <v>3801</v>
          </cell>
          <cell r="L1790" t="str">
            <v>COATING</v>
          </cell>
          <cell r="M1790" t="str">
            <v>380101</v>
          </cell>
          <cell r="N1790" t="str">
            <v>DECOR PLAST</v>
          </cell>
        </row>
        <row r="1791">
          <cell r="C1791" t="str">
            <v>170000133</v>
          </cell>
          <cell r="D1791" t="str">
            <v>DP-4011 PEACH TREE 2121-5L</v>
          </cell>
          <cell r="E1791" t="str">
            <v>ZTRD</v>
          </cell>
          <cell r="F1791" t="str">
            <v>PC</v>
          </cell>
          <cell r="G1791" t="str">
            <v>3</v>
          </cell>
          <cell r="H1791" t="str">
            <v>TRADING</v>
          </cell>
          <cell r="I1791" t="str">
            <v>38</v>
          </cell>
          <cell r="J1791" t="str">
            <v>ALKANA TRADING</v>
          </cell>
          <cell r="K1791" t="str">
            <v>3801</v>
          </cell>
          <cell r="L1791" t="str">
            <v>COATING</v>
          </cell>
          <cell r="M1791" t="str">
            <v>380101</v>
          </cell>
          <cell r="N1791" t="str">
            <v>DECOR PLAST</v>
          </cell>
        </row>
        <row r="1792">
          <cell r="C1792" t="str">
            <v>170000139</v>
          </cell>
          <cell r="D1792" t="str">
            <v>DP-4011 PURPLE LINT 8139-5L</v>
          </cell>
          <cell r="E1792" t="str">
            <v>ZTRD</v>
          </cell>
          <cell r="F1792" t="str">
            <v>PC</v>
          </cell>
          <cell r="G1792" t="str">
            <v>3</v>
          </cell>
          <cell r="H1792" t="str">
            <v>TRADING</v>
          </cell>
          <cell r="I1792" t="str">
            <v>38</v>
          </cell>
          <cell r="J1792" t="str">
            <v>ALKANA TRADING</v>
          </cell>
          <cell r="K1792" t="str">
            <v>3801</v>
          </cell>
          <cell r="L1792" t="str">
            <v>COATING</v>
          </cell>
          <cell r="M1792" t="str">
            <v>380101</v>
          </cell>
          <cell r="N1792" t="str">
            <v>DECOR PLAST</v>
          </cell>
        </row>
        <row r="1793">
          <cell r="C1793" t="str">
            <v>170000140</v>
          </cell>
          <cell r="D1793" t="str">
            <v>DP-4011 SMOKE 7334-18LP</v>
          </cell>
          <cell r="E1793" t="str">
            <v>ZTRD</v>
          </cell>
          <cell r="F1793" t="str">
            <v>PC</v>
          </cell>
          <cell r="G1793" t="str">
            <v>3</v>
          </cell>
          <cell r="H1793" t="str">
            <v>TRADING</v>
          </cell>
          <cell r="I1793" t="str">
            <v>38</v>
          </cell>
          <cell r="J1793" t="str">
            <v>ALKANA TRADING</v>
          </cell>
          <cell r="K1793" t="str">
            <v>3801</v>
          </cell>
          <cell r="L1793" t="str">
            <v>COATING</v>
          </cell>
          <cell r="M1793" t="str">
            <v>380101</v>
          </cell>
          <cell r="N1793" t="str">
            <v>DECOR PLAST</v>
          </cell>
        </row>
        <row r="1794">
          <cell r="C1794" t="str">
            <v>170000141</v>
          </cell>
          <cell r="D1794" t="str">
            <v>DP-4011 SMOKE 7334-5L</v>
          </cell>
          <cell r="E1794" t="str">
            <v>ZTRD</v>
          </cell>
          <cell r="F1794" t="str">
            <v>PC</v>
          </cell>
          <cell r="G1794" t="str">
            <v>3</v>
          </cell>
          <cell r="H1794" t="str">
            <v>TRADING</v>
          </cell>
          <cell r="I1794" t="str">
            <v>38</v>
          </cell>
          <cell r="J1794" t="str">
            <v>ALKANA TRADING</v>
          </cell>
          <cell r="K1794" t="str">
            <v>3801</v>
          </cell>
          <cell r="L1794" t="str">
            <v>COATING</v>
          </cell>
          <cell r="M1794" t="str">
            <v>380101</v>
          </cell>
          <cell r="N1794" t="str">
            <v>DECOR PLAST</v>
          </cell>
        </row>
        <row r="1795">
          <cell r="C1795" t="str">
            <v>170000142</v>
          </cell>
          <cell r="D1795" t="str">
            <v>DP-4011 BLUE STREAMWARE 5124-18LP</v>
          </cell>
          <cell r="E1795" t="str">
            <v>ZTRD</v>
          </cell>
          <cell r="F1795" t="str">
            <v>PC</v>
          </cell>
          <cell r="G1795" t="str">
            <v>3</v>
          </cell>
          <cell r="H1795" t="str">
            <v>TRADING</v>
          </cell>
          <cell r="I1795" t="str">
            <v>38</v>
          </cell>
          <cell r="J1795" t="str">
            <v>ALKANA TRADING</v>
          </cell>
          <cell r="K1795" t="str">
            <v>3801</v>
          </cell>
          <cell r="L1795" t="str">
            <v>COATING</v>
          </cell>
          <cell r="M1795" t="str">
            <v>380101</v>
          </cell>
          <cell r="N1795" t="str">
            <v>DECOR PLAST</v>
          </cell>
        </row>
        <row r="1796">
          <cell r="C1796" t="str">
            <v>170000143</v>
          </cell>
          <cell r="D1796" t="str">
            <v>DP-4011 BLUE STREAMWARE 5124-5L</v>
          </cell>
          <cell r="E1796" t="str">
            <v>ZTRD</v>
          </cell>
          <cell r="F1796" t="str">
            <v>PC</v>
          </cell>
          <cell r="G1796" t="str">
            <v>3</v>
          </cell>
          <cell r="H1796" t="str">
            <v>TRADING</v>
          </cell>
          <cell r="I1796" t="str">
            <v>38</v>
          </cell>
          <cell r="J1796" t="str">
            <v>ALKANA TRADING</v>
          </cell>
          <cell r="K1796" t="str">
            <v>3801</v>
          </cell>
          <cell r="L1796" t="str">
            <v>COATING</v>
          </cell>
          <cell r="M1796" t="str">
            <v>380101</v>
          </cell>
          <cell r="N1796" t="str">
            <v>DECOR PLAST</v>
          </cell>
        </row>
        <row r="1797">
          <cell r="C1797" t="str">
            <v>170000144</v>
          </cell>
          <cell r="D1797" t="str">
            <v>DP-4011 SENSITIVE BLUE 5122-18LP</v>
          </cell>
          <cell r="E1797" t="str">
            <v>ZTRD</v>
          </cell>
          <cell r="F1797" t="str">
            <v>PC</v>
          </cell>
          <cell r="G1797" t="str">
            <v>3</v>
          </cell>
          <cell r="H1797" t="str">
            <v>TRADING</v>
          </cell>
          <cell r="I1797" t="str">
            <v>38</v>
          </cell>
          <cell r="J1797" t="str">
            <v>ALKANA TRADING</v>
          </cell>
          <cell r="K1797" t="str">
            <v>3801</v>
          </cell>
          <cell r="L1797" t="str">
            <v>COATING</v>
          </cell>
          <cell r="M1797" t="str">
            <v>380101</v>
          </cell>
          <cell r="N1797" t="str">
            <v>DECOR PLAST</v>
          </cell>
        </row>
        <row r="1798">
          <cell r="C1798" t="str">
            <v>170000145</v>
          </cell>
          <cell r="D1798" t="str">
            <v>DP-4011 SENSITIVE BLUE 5122-5L</v>
          </cell>
          <cell r="E1798" t="str">
            <v>ZTRD</v>
          </cell>
          <cell r="F1798" t="str">
            <v>PC</v>
          </cell>
          <cell r="G1798" t="str">
            <v>3</v>
          </cell>
          <cell r="H1798" t="str">
            <v>TRADING</v>
          </cell>
          <cell r="I1798" t="str">
            <v>38</v>
          </cell>
          <cell r="J1798" t="str">
            <v>ALKANA TRADING</v>
          </cell>
          <cell r="K1798" t="str">
            <v>3801</v>
          </cell>
          <cell r="L1798" t="str">
            <v>COATING</v>
          </cell>
          <cell r="M1798" t="str">
            <v>380101</v>
          </cell>
          <cell r="N1798" t="str">
            <v>DECOR PLAST</v>
          </cell>
        </row>
        <row r="1799">
          <cell r="C1799" t="str">
            <v>170000146</v>
          </cell>
          <cell r="D1799" t="str">
            <v>DP-4011 CALM BLUE 5125-18LP</v>
          </cell>
          <cell r="E1799" t="str">
            <v>ZTRD</v>
          </cell>
          <cell r="F1799" t="str">
            <v>PC</v>
          </cell>
          <cell r="G1799" t="str">
            <v>3</v>
          </cell>
          <cell r="H1799" t="str">
            <v>TRADING</v>
          </cell>
          <cell r="I1799" t="str">
            <v>38</v>
          </cell>
          <cell r="J1799" t="str">
            <v>ALKANA TRADING</v>
          </cell>
          <cell r="K1799" t="str">
            <v>3801</v>
          </cell>
          <cell r="L1799" t="str">
            <v>COATING</v>
          </cell>
          <cell r="M1799" t="str">
            <v>380101</v>
          </cell>
          <cell r="N1799" t="str">
            <v>DECOR PLAST</v>
          </cell>
        </row>
        <row r="1800">
          <cell r="C1800" t="str">
            <v>170000147</v>
          </cell>
          <cell r="D1800" t="str">
            <v>DP-4011 CALM BLUE 5125-5L</v>
          </cell>
          <cell r="E1800" t="str">
            <v>ZTRD</v>
          </cell>
          <cell r="F1800" t="str">
            <v>PC</v>
          </cell>
          <cell r="G1800" t="str">
            <v>3</v>
          </cell>
          <cell r="H1800" t="str">
            <v>TRADING</v>
          </cell>
          <cell r="I1800" t="str">
            <v>38</v>
          </cell>
          <cell r="J1800" t="str">
            <v>ALKANA TRADING</v>
          </cell>
          <cell r="K1800" t="str">
            <v>3801</v>
          </cell>
          <cell r="L1800" t="str">
            <v>COATING</v>
          </cell>
          <cell r="M1800" t="str">
            <v>380101</v>
          </cell>
          <cell r="N1800" t="str">
            <v>DECOR PLAST</v>
          </cell>
        </row>
        <row r="1801">
          <cell r="C1801" t="str">
            <v>170000148</v>
          </cell>
          <cell r="D1801" t="str">
            <v>DP-4011 BLUE DELIGHT 6120-18LP</v>
          </cell>
          <cell r="E1801" t="str">
            <v>ZTRD</v>
          </cell>
          <cell r="F1801" t="str">
            <v>PC</v>
          </cell>
          <cell r="G1801" t="str">
            <v>3</v>
          </cell>
          <cell r="H1801" t="str">
            <v>TRADING</v>
          </cell>
          <cell r="I1801" t="str">
            <v>38</v>
          </cell>
          <cell r="J1801" t="str">
            <v>ALKANA TRADING</v>
          </cell>
          <cell r="K1801" t="str">
            <v>3801</v>
          </cell>
          <cell r="L1801" t="str">
            <v>COATING</v>
          </cell>
          <cell r="M1801" t="str">
            <v>380101</v>
          </cell>
          <cell r="N1801" t="str">
            <v>DECOR PLAST</v>
          </cell>
        </row>
        <row r="1802">
          <cell r="C1802" t="str">
            <v>170000149</v>
          </cell>
          <cell r="D1802" t="str">
            <v>DP-4011 BLUE DELIGHT 6120-5L</v>
          </cell>
          <cell r="E1802" t="str">
            <v>ZTRD</v>
          </cell>
          <cell r="F1802" t="str">
            <v>PC</v>
          </cell>
          <cell r="G1802" t="str">
            <v>3</v>
          </cell>
          <cell r="H1802" t="str">
            <v>TRADING</v>
          </cell>
          <cell r="I1802" t="str">
            <v>38</v>
          </cell>
          <cell r="J1802" t="str">
            <v>ALKANA TRADING</v>
          </cell>
          <cell r="K1802" t="str">
            <v>3801</v>
          </cell>
          <cell r="L1802" t="str">
            <v>COATING</v>
          </cell>
          <cell r="M1802" t="str">
            <v>380101</v>
          </cell>
          <cell r="N1802" t="str">
            <v>DECOR PLAST</v>
          </cell>
        </row>
        <row r="1803">
          <cell r="C1803" t="str">
            <v>170000151</v>
          </cell>
          <cell r="D1803" t="str">
            <v>DP-4011 ALPINE 7134-5L</v>
          </cell>
          <cell r="E1803" t="str">
            <v>ZTRD</v>
          </cell>
          <cell r="F1803" t="str">
            <v>PC</v>
          </cell>
          <cell r="G1803" t="str">
            <v>3</v>
          </cell>
          <cell r="H1803" t="str">
            <v>TRADING</v>
          </cell>
          <cell r="I1803" t="str">
            <v>38</v>
          </cell>
          <cell r="J1803" t="str">
            <v>ALKANA TRADING</v>
          </cell>
          <cell r="K1803" t="str">
            <v>3801</v>
          </cell>
          <cell r="L1803" t="str">
            <v>COATING</v>
          </cell>
          <cell r="M1803" t="str">
            <v>380101</v>
          </cell>
          <cell r="N1803" t="str">
            <v>DECOR PLAST</v>
          </cell>
        </row>
        <row r="1804">
          <cell r="C1804" t="str">
            <v>170000154</v>
          </cell>
          <cell r="D1804" t="str">
            <v>DP-4011 WILD PRIMROSE 2020-18LP</v>
          </cell>
          <cell r="E1804" t="str">
            <v>ZTRD</v>
          </cell>
          <cell r="F1804" t="str">
            <v>PC</v>
          </cell>
          <cell r="G1804" t="str">
            <v>3</v>
          </cell>
          <cell r="H1804" t="str">
            <v>TRADING</v>
          </cell>
          <cell r="I1804" t="str">
            <v>38</v>
          </cell>
          <cell r="J1804" t="str">
            <v>ALKANA TRADING</v>
          </cell>
          <cell r="K1804" t="str">
            <v>3801</v>
          </cell>
          <cell r="L1804" t="str">
            <v>COATING</v>
          </cell>
          <cell r="M1804" t="str">
            <v>380101</v>
          </cell>
          <cell r="N1804" t="str">
            <v>DECOR PLAST</v>
          </cell>
        </row>
        <row r="1805">
          <cell r="C1805" t="str">
            <v>170000155</v>
          </cell>
          <cell r="D1805" t="str">
            <v>DP-4011 WILD PRIMROSE 2020-5L</v>
          </cell>
          <cell r="E1805" t="str">
            <v>ZTRD</v>
          </cell>
          <cell r="F1805" t="str">
            <v>PC</v>
          </cell>
          <cell r="G1805" t="str">
            <v>3</v>
          </cell>
          <cell r="H1805" t="str">
            <v>TRADING</v>
          </cell>
          <cell r="I1805" t="str">
            <v>38</v>
          </cell>
          <cell r="J1805" t="str">
            <v>ALKANA TRADING</v>
          </cell>
          <cell r="K1805" t="str">
            <v>3801</v>
          </cell>
          <cell r="L1805" t="str">
            <v>COATING</v>
          </cell>
          <cell r="M1805" t="str">
            <v>380101</v>
          </cell>
          <cell r="N1805" t="str">
            <v>DECOR PLAST</v>
          </cell>
        </row>
        <row r="1806">
          <cell r="C1806" t="str">
            <v>170000156</v>
          </cell>
          <cell r="D1806" t="str">
            <v>DP-4011 BASE-18LP</v>
          </cell>
          <cell r="E1806" t="str">
            <v>ZTRD</v>
          </cell>
          <cell r="F1806" t="str">
            <v>PC</v>
          </cell>
          <cell r="G1806" t="str">
            <v>3</v>
          </cell>
          <cell r="H1806" t="str">
            <v>TRADING</v>
          </cell>
          <cell r="I1806" t="str">
            <v>38</v>
          </cell>
          <cell r="J1806" t="str">
            <v>ALKANA TRADING</v>
          </cell>
          <cell r="K1806" t="str">
            <v>3801</v>
          </cell>
          <cell r="L1806" t="str">
            <v>COATING</v>
          </cell>
          <cell r="M1806" t="str">
            <v>380101</v>
          </cell>
          <cell r="N1806" t="str">
            <v>DECOR PLAST</v>
          </cell>
        </row>
        <row r="1807">
          <cell r="C1807" t="str">
            <v>170000157</v>
          </cell>
          <cell r="D1807" t="str">
            <v>DP-4011 BASE-5L</v>
          </cell>
          <cell r="E1807" t="str">
            <v>ZTRD</v>
          </cell>
          <cell r="F1807" t="str">
            <v>PC</v>
          </cell>
          <cell r="G1807" t="str">
            <v>3</v>
          </cell>
          <cell r="H1807" t="str">
            <v>TRADING</v>
          </cell>
          <cell r="I1807" t="str">
            <v>38</v>
          </cell>
          <cell r="J1807" t="str">
            <v>ALKANA TRADING</v>
          </cell>
          <cell r="K1807" t="str">
            <v>3801</v>
          </cell>
          <cell r="L1807" t="str">
            <v>COATING</v>
          </cell>
          <cell r="M1807" t="str">
            <v>380101</v>
          </cell>
          <cell r="N1807" t="str">
            <v>DECOR PLAST</v>
          </cell>
        </row>
        <row r="1808">
          <cell r="C1808" t="str">
            <v>170000158</v>
          </cell>
          <cell r="D1808" t="str">
            <v>DP-4011 WHITE 9101-18LP</v>
          </cell>
          <cell r="E1808" t="str">
            <v>ZTRD</v>
          </cell>
          <cell r="F1808" t="str">
            <v>PC</v>
          </cell>
          <cell r="G1808" t="str">
            <v>3</v>
          </cell>
          <cell r="H1808" t="str">
            <v>TRADING</v>
          </cell>
          <cell r="I1808" t="str">
            <v>38</v>
          </cell>
          <cell r="J1808" t="str">
            <v>ALKANA TRADING</v>
          </cell>
          <cell r="K1808" t="str">
            <v>3801</v>
          </cell>
          <cell r="L1808" t="str">
            <v>COATING</v>
          </cell>
          <cell r="M1808" t="str">
            <v>380101</v>
          </cell>
          <cell r="N1808" t="str">
            <v>DECOR PLAST</v>
          </cell>
        </row>
        <row r="1809">
          <cell r="C1809" t="str">
            <v>170000159</v>
          </cell>
          <cell r="D1809" t="str">
            <v>DP-4011 WHITE 9101-5L</v>
          </cell>
          <cell r="E1809" t="str">
            <v>ZTRD</v>
          </cell>
          <cell r="F1809" t="str">
            <v>PC</v>
          </cell>
          <cell r="G1809" t="str">
            <v>3</v>
          </cell>
          <cell r="H1809" t="str">
            <v>TRADING</v>
          </cell>
          <cell r="I1809" t="str">
            <v>38</v>
          </cell>
          <cell r="J1809" t="str">
            <v>ALKANA TRADING</v>
          </cell>
          <cell r="K1809" t="str">
            <v>3801</v>
          </cell>
          <cell r="L1809" t="str">
            <v>COATING</v>
          </cell>
          <cell r="M1809" t="str">
            <v>380101</v>
          </cell>
          <cell r="N1809" t="str">
            <v>DECOR PLAST</v>
          </cell>
        </row>
        <row r="1810">
          <cell r="C1810" t="str">
            <v>170000160</v>
          </cell>
          <cell r="D1810" t="str">
            <v>DP-4010 HONEY BUNCH 1023-18LP</v>
          </cell>
          <cell r="E1810" t="str">
            <v>ZTRD</v>
          </cell>
          <cell r="F1810" t="str">
            <v>PC</v>
          </cell>
          <cell r="G1810" t="str">
            <v>3</v>
          </cell>
          <cell r="H1810" t="str">
            <v>TRADING</v>
          </cell>
          <cell r="I1810" t="str">
            <v>38</v>
          </cell>
          <cell r="J1810" t="str">
            <v>ALKANA TRADING</v>
          </cell>
          <cell r="K1810" t="str">
            <v>3801</v>
          </cell>
          <cell r="L1810" t="str">
            <v>COATING</v>
          </cell>
          <cell r="M1810" t="str">
            <v>380101</v>
          </cell>
          <cell r="N1810" t="str">
            <v>DECOR PLAST</v>
          </cell>
        </row>
        <row r="1811">
          <cell r="C1811" t="str">
            <v>170000163</v>
          </cell>
          <cell r="D1811" t="str">
            <v>DP-4010 DEEP OASIS 5106-18LP</v>
          </cell>
          <cell r="E1811" t="str">
            <v>ZTRD</v>
          </cell>
          <cell r="F1811" t="str">
            <v>PC</v>
          </cell>
          <cell r="G1811" t="str">
            <v>3</v>
          </cell>
          <cell r="H1811" t="str">
            <v>TRADING</v>
          </cell>
          <cell r="I1811" t="str">
            <v>38</v>
          </cell>
          <cell r="J1811" t="str">
            <v>ALKANA TRADING</v>
          </cell>
          <cell r="K1811" t="str">
            <v>3801</v>
          </cell>
          <cell r="L1811" t="str">
            <v>COATING</v>
          </cell>
          <cell r="M1811" t="str">
            <v>380101</v>
          </cell>
          <cell r="N1811" t="str">
            <v>DECOR PLAST</v>
          </cell>
        </row>
        <row r="1812">
          <cell r="C1812" t="str">
            <v>170000166</v>
          </cell>
          <cell r="D1812" t="str">
            <v>DP-4010 BONNI BELLE 0313-18LP</v>
          </cell>
          <cell r="E1812" t="str">
            <v>ZTRD</v>
          </cell>
          <cell r="F1812" t="str">
            <v>PC</v>
          </cell>
          <cell r="G1812" t="str">
            <v>3</v>
          </cell>
          <cell r="H1812" t="str">
            <v>TRADING</v>
          </cell>
          <cell r="I1812" t="str">
            <v>38</v>
          </cell>
          <cell r="J1812" t="str">
            <v>ALKANA TRADING</v>
          </cell>
          <cell r="K1812" t="str">
            <v>3801</v>
          </cell>
          <cell r="L1812" t="str">
            <v>COATING</v>
          </cell>
          <cell r="M1812" t="str">
            <v>380101</v>
          </cell>
          <cell r="N1812" t="str">
            <v>DECOR PLAST</v>
          </cell>
        </row>
        <row r="1813">
          <cell r="C1813" t="str">
            <v>170000169</v>
          </cell>
          <cell r="D1813" t="str">
            <v>DP-4010 WHISPERING BREEZE 1152-18LP</v>
          </cell>
          <cell r="E1813" t="str">
            <v>ZTRD</v>
          </cell>
          <cell r="F1813" t="str">
            <v>PC</v>
          </cell>
          <cell r="G1813" t="str">
            <v>3</v>
          </cell>
          <cell r="H1813" t="str">
            <v>TRADING</v>
          </cell>
          <cell r="I1813" t="str">
            <v>38</v>
          </cell>
          <cell r="J1813" t="str">
            <v>ALKANA TRADING</v>
          </cell>
          <cell r="K1813" t="str">
            <v>3801</v>
          </cell>
          <cell r="L1813" t="str">
            <v>COATING</v>
          </cell>
          <cell r="M1813" t="str">
            <v>380101</v>
          </cell>
          <cell r="N1813" t="str">
            <v>DECOR PLAST</v>
          </cell>
        </row>
        <row r="1814">
          <cell r="C1814" t="str">
            <v>170000172</v>
          </cell>
          <cell r="D1814" t="str">
            <v>DP-4010 GREAT WHITE 0601-18LP</v>
          </cell>
          <cell r="E1814" t="str">
            <v>ZTRD</v>
          </cell>
          <cell r="F1814" t="str">
            <v>PC</v>
          </cell>
          <cell r="G1814" t="str">
            <v>3</v>
          </cell>
          <cell r="H1814" t="str">
            <v>TRADING</v>
          </cell>
          <cell r="I1814" t="str">
            <v>38</v>
          </cell>
          <cell r="J1814" t="str">
            <v>ALKANA TRADING</v>
          </cell>
          <cell r="K1814" t="str">
            <v>3801</v>
          </cell>
          <cell r="L1814" t="str">
            <v>COATING</v>
          </cell>
          <cell r="M1814" t="str">
            <v>380101</v>
          </cell>
          <cell r="N1814" t="str">
            <v>DECOR PLAST</v>
          </cell>
        </row>
        <row r="1815">
          <cell r="C1815" t="str">
            <v>170000175</v>
          </cell>
          <cell r="D1815" t="str">
            <v>DP-4010 ARABELLA 0753-18LP</v>
          </cell>
          <cell r="E1815" t="str">
            <v>ZTRD</v>
          </cell>
          <cell r="F1815" t="str">
            <v>PC</v>
          </cell>
          <cell r="G1815" t="str">
            <v>3</v>
          </cell>
          <cell r="H1815" t="str">
            <v>TRADING</v>
          </cell>
          <cell r="I1815" t="str">
            <v>38</v>
          </cell>
          <cell r="J1815" t="str">
            <v>ALKANA TRADING</v>
          </cell>
          <cell r="K1815" t="str">
            <v>3801</v>
          </cell>
          <cell r="L1815" t="str">
            <v>COATING</v>
          </cell>
          <cell r="M1815" t="str">
            <v>380101</v>
          </cell>
          <cell r="N1815" t="str">
            <v>DECOR PLAST</v>
          </cell>
        </row>
        <row r="1816">
          <cell r="C1816" t="str">
            <v>170000178</v>
          </cell>
          <cell r="D1816" t="str">
            <v>DP-4010 A TOUCH OF TEAL 0511-18LP</v>
          </cell>
          <cell r="E1816" t="str">
            <v>ZTRD</v>
          </cell>
          <cell r="F1816" t="str">
            <v>PC</v>
          </cell>
          <cell r="G1816" t="str">
            <v>3</v>
          </cell>
          <cell r="H1816" t="str">
            <v>TRADING</v>
          </cell>
          <cell r="I1816" t="str">
            <v>38</v>
          </cell>
          <cell r="J1816" t="str">
            <v>ALKANA TRADING</v>
          </cell>
          <cell r="K1816" t="str">
            <v>3801</v>
          </cell>
          <cell r="L1816" t="str">
            <v>COATING</v>
          </cell>
          <cell r="M1816" t="str">
            <v>380101</v>
          </cell>
          <cell r="N1816" t="str">
            <v>DECOR PLAST</v>
          </cell>
        </row>
        <row r="1817">
          <cell r="C1817" t="str">
            <v>170000181</v>
          </cell>
          <cell r="D1817" t="str">
            <v>DP-4010 SWEET SPRING 0042-18LP</v>
          </cell>
          <cell r="E1817" t="str">
            <v>ZTRD</v>
          </cell>
          <cell r="F1817" t="str">
            <v>PC</v>
          </cell>
          <cell r="G1817" t="str">
            <v>3</v>
          </cell>
          <cell r="H1817" t="str">
            <v>TRADING</v>
          </cell>
          <cell r="I1817" t="str">
            <v>38</v>
          </cell>
          <cell r="J1817" t="str">
            <v>ALKANA TRADING</v>
          </cell>
          <cell r="K1817" t="str">
            <v>3801</v>
          </cell>
          <cell r="L1817" t="str">
            <v>COATING</v>
          </cell>
          <cell r="M1817" t="str">
            <v>380101</v>
          </cell>
          <cell r="N1817" t="str">
            <v>DECOR PLAST</v>
          </cell>
        </row>
        <row r="1818">
          <cell r="C1818" t="str">
            <v>170000187</v>
          </cell>
          <cell r="D1818" t="str">
            <v>ULTRAMAS-40KZ</v>
          </cell>
          <cell r="E1818" t="str">
            <v>ZTRD</v>
          </cell>
          <cell r="F1818" t="str">
            <v>PC</v>
          </cell>
          <cell r="G1818" t="str">
            <v>3</v>
          </cell>
          <cell r="H1818" t="str">
            <v>TRADING</v>
          </cell>
          <cell r="I1818" t="str">
            <v>38</v>
          </cell>
          <cell r="J1818" t="str">
            <v>ALKANA TRADING</v>
          </cell>
          <cell r="K1818" t="str">
            <v>3801</v>
          </cell>
          <cell r="L1818" t="str">
            <v>COATING</v>
          </cell>
          <cell r="M1818" t="str">
            <v>380102</v>
          </cell>
          <cell r="N1818" t="str">
            <v>ULTRAMAS</v>
          </cell>
        </row>
        <row r="1819">
          <cell r="C1819" t="str">
            <v>170000188</v>
          </cell>
          <cell r="D1819" t="str">
            <v>ULTRAMAS(INT)-40KZ</v>
          </cell>
          <cell r="E1819" t="str">
            <v>ZTRD</v>
          </cell>
          <cell r="F1819" t="str">
            <v>PC</v>
          </cell>
          <cell r="G1819" t="str">
            <v>3</v>
          </cell>
          <cell r="H1819" t="str">
            <v>TRADING</v>
          </cell>
          <cell r="I1819" t="str">
            <v>38</v>
          </cell>
          <cell r="J1819" t="str">
            <v>ALKANA TRADING</v>
          </cell>
          <cell r="K1819" t="str">
            <v>3801</v>
          </cell>
          <cell r="L1819" t="str">
            <v>COATING</v>
          </cell>
          <cell r="M1819" t="str">
            <v>380102</v>
          </cell>
          <cell r="N1819" t="str">
            <v>ULTRAMAS</v>
          </cell>
        </row>
        <row r="1820">
          <cell r="C1820" t="str">
            <v>170000190</v>
          </cell>
          <cell r="D1820" t="str">
            <v>DECOR AR-300-5L</v>
          </cell>
          <cell r="E1820" t="str">
            <v>ZTRD</v>
          </cell>
          <cell r="F1820" t="str">
            <v>PC</v>
          </cell>
          <cell r="G1820" t="str">
            <v>X</v>
          </cell>
          <cell r="H1820" t="str">
            <v>TRD RETAIL</v>
          </cell>
          <cell r="I1820" t="str">
            <v>X5</v>
          </cell>
          <cell r="J1820" t="str">
            <v>APCT1</v>
          </cell>
          <cell r="K1820" t="str">
            <v>X502</v>
          </cell>
          <cell r="L1820" t="str">
            <v>DECOR</v>
          </cell>
          <cell r="M1820" t="str">
            <v>X50209</v>
          </cell>
          <cell r="N1820" t="str">
            <v>DECOR PRIMER WB</v>
          </cell>
        </row>
        <row r="1821">
          <cell r="C1821" t="str">
            <v>170000191</v>
          </cell>
          <cell r="D1821" t="str">
            <v>FIBERKOTE 888 PSANDER BRW 18-8004-1L</v>
          </cell>
          <cell r="E1821" t="str">
            <v>ZTRD</v>
          </cell>
          <cell r="F1821" t="str">
            <v>PC</v>
          </cell>
          <cell r="G1821" t="str">
            <v>X</v>
          </cell>
          <cell r="H1821" t="str">
            <v>TRD RETAIL</v>
          </cell>
          <cell r="I1821" t="str">
            <v>X6</v>
          </cell>
          <cell r="J1821" t="str">
            <v>SFC</v>
          </cell>
          <cell r="K1821" t="str">
            <v>X604</v>
          </cell>
          <cell r="L1821" t="str">
            <v>FIBERKOTE</v>
          </cell>
          <cell r="M1821" t="str">
            <v>X60401</v>
          </cell>
          <cell r="N1821" t="str">
            <v>FIBERKOTE RMX</v>
          </cell>
        </row>
        <row r="1822">
          <cell r="C1822" t="str">
            <v>170000193</v>
          </cell>
          <cell r="D1822" t="str">
            <v>EDP-551 BLACK-5KS</v>
          </cell>
          <cell r="E1822" t="str">
            <v>ZTRD</v>
          </cell>
          <cell r="F1822" t="str">
            <v>SET</v>
          </cell>
          <cell r="G1822" t="str">
            <v>Y</v>
          </cell>
          <cell r="H1822" t="str">
            <v>TRD PROJECT</v>
          </cell>
          <cell r="I1822" t="str">
            <v>Y9</v>
          </cell>
          <cell r="J1822" t="str">
            <v>MPC</v>
          </cell>
          <cell r="K1822" t="str">
            <v>Y904</v>
          </cell>
          <cell r="L1822" t="str">
            <v>METALKOTE</v>
          </cell>
          <cell r="M1822" t="str">
            <v>Y90402</v>
          </cell>
          <cell r="N1822" t="str">
            <v>METALKOTE-EPOXY SYS</v>
          </cell>
        </row>
        <row r="1823">
          <cell r="C1823" t="str">
            <v>170000194</v>
          </cell>
          <cell r="D1823" t="str">
            <v>PFP-261-18KP</v>
          </cell>
          <cell r="E1823" t="str">
            <v>ZTRD</v>
          </cell>
          <cell r="F1823" t="str">
            <v>PC</v>
          </cell>
          <cell r="G1823" t="str">
            <v>Y</v>
          </cell>
          <cell r="H1823" t="str">
            <v>TRD PROJECT</v>
          </cell>
          <cell r="I1823" t="str">
            <v>Y6</v>
          </cell>
          <cell r="J1823" t="str">
            <v>CPC1</v>
          </cell>
          <cell r="K1823" t="str">
            <v>Y602</v>
          </cell>
          <cell r="L1823" t="str">
            <v>POLYFLOOR</v>
          </cell>
          <cell r="M1823" t="str">
            <v>Y60202</v>
          </cell>
          <cell r="N1823" t="str">
            <v>POLYFLOOR EPOXY</v>
          </cell>
        </row>
        <row r="1824">
          <cell r="C1824" t="str">
            <v>170000195</v>
          </cell>
          <cell r="D1824" t="str">
            <v>CERAKOTE 998 LIGHT ALABASTER-3KS</v>
          </cell>
          <cell r="E1824" t="str">
            <v>ZTRD</v>
          </cell>
          <cell r="F1824" t="str">
            <v>SET</v>
          </cell>
          <cell r="G1824" t="str">
            <v>Y</v>
          </cell>
          <cell r="H1824" t="str">
            <v>TRD PROJECT</v>
          </cell>
          <cell r="I1824" t="str">
            <v>Y6</v>
          </cell>
          <cell r="J1824" t="str">
            <v>CPC1</v>
          </cell>
          <cell r="K1824" t="str">
            <v>Y604</v>
          </cell>
          <cell r="L1824" t="str">
            <v>CERAKOTE</v>
          </cell>
          <cell r="M1824" t="str">
            <v>Y60401</v>
          </cell>
          <cell r="N1824" t="str">
            <v>CERAKOTE</v>
          </cell>
        </row>
        <row r="1825">
          <cell r="C1825" t="str">
            <v>170000196</v>
          </cell>
          <cell r="D1825" t="str">
            <v>CERAKOTE 998 GENTIAN BLUE-3KS</v>
          </cell>
          <cell r="E1825" t="str">
            <v>ZTRD</v>
          </cell>
          <cell r="F1825" t="str">
            <v>SET</v>
          </cell>
          <cell r="G1825" t="str">
            <v>Y</v>
          </cell>
          <cell r="H1825" t="str">
            <v>TRD PROJECT</v>
          </cell>
          <cell r="I1825" t="str">
            <v>Y6</v>
          </cell>
          <cell r="J1825" t="str">
            <v>CPC1</v>
          </cell>
          <cell r="K1825" t="str">
            <v>Y604</v>
          </cell>
          <cell r="L1825" t="str">
            <v>CERAKOTE</v>
          </cell>
          <cell r="M1825" t="str">
            <v>Y60401</v>
          </cell>
          <cell r="N1825" t="str">
            <v>CERAKOTE</v>
          </cell>
        </row>
        <row r="1826">
          <cell r="C1826" t="str">
            <v>170000197</v>
          </cell>
          <cell r="D1826" t="str">
            <v>CERAKOTE 997 PU HQ WHITE-1LS</v>
          </cell>
          <cell r="E1826" t="str">
            <v>ZTRD</v>
          </cell>
          <cell r="F1826" t="str">
            <v>SET</v>
          </cell>
          <cell r="G1826" t="str">
            <v>Y</v>
          </cell>
          <cell r="H1826" t="str">
            <v>TRD PROJECT</v>
          </cell>
          <cell r="I1826" t="str">
            <v>Y6</v>
          </cell>
          <cell r="J1826" t="str">
            <v>CPC1</v>
          </cell>
          <cell r="K1826" t="str">
            <v>Y604</v>
          </cell>
          <cell r="L1826" t="str">
            <v>CERAKOTE</v>
          </cell>
          <cell r="M1826" t="str">
            <v>Y60401</v>
          </cell>
          <cell r="N1826" t="str">
            <v>CERAKOTE</v>
          </cell>
        </row>
        <row r="1827">
          <cell r="C1827" t="str">
            <v>170000198</v>
          </cell>
          <cell r="D1827" t="str">
            <v>ULTRAPROOF 960 TRANSPARANT-1K</v>
          </cell>
          <cell r="E1827" t="str">
            <v>ZTRD</v>
          </cell>
          <cell r="F1827" t="str">
            <v>PC</v>
          </cell>
          <cell r="G1827" t="str">
            <v>Y</v>
          </cell>
          <cell r="H1827" t="str">
            <v>TRD PROJECT</v>
          </cell>
          <cell r="I1827" t="str">
            <v>Y5</v>
          </cell>
          <cell r="J1827" t="str">
            <v>APCT2</v>
          </cell>
          <cell r="K1827" t="str">
            <v>Y501</v>
          </cell>
          <cell r="L1827" t="str">
            <v>ULTRAPROOF</v>
          </cell>
          <cell r="M1827" t="str">
            <v>Y50101</v>
          </cell>
          <cell r="N1827" t="str">
            <v>ULTRAPROOF RMX</v>
          </cell>
        </row>
        <row r="1828">
          <cell r="C1828" t="str">
            <v>170000199</v>
          </cell>
          <cell r="D1828" t="str">
            <v>ULTRAPROOF 960 TRANSPARANT-20KP</v>
          </cell>
          <cell r="E1828" t="str">
            <v>ZTRD</v>
          </cell>
          <cell r="F1828" t="str">
            <v>PC</v>
          </cell>
          <cell r="G1828" t="str">
            <v>Y</v>
          </cell>
          <cell r="H1828" t="str">
            <v>TRD PROJECT</v>
          </cell>
          <cell r="I1828" t="str">
            <v>Y5</v>
          </cell>
          <cell r="J1828" t="str">
            <v>APCT2</v>
          </cell>
          <cell r="K1828" t="str">
            <v>Y501</v>
          </cell>
          <cell r="L1828" t="str">
            <v>ULTRAPROOF</v>
          </cell>
          <cell r="M1828" t="str">
            <v>Y50101</v>
          </cell>
          <cell r="N1828" t="str">
            <v>ULTRAPROOF RMX</v>
          </cell>
        </row>
        <row r="1829">
          <cell r="C1829" t="str">
            <v>170000200</v>
          </cell>
          <cell r="D1829" t="str">
            <v>ULTRAPROOF 960 TRANSPARANT-4K</v>
          </cell>
          <cell r="E1829" t="str">
            <v>ZTRD</v>
          </cell>
          <cell r="F1829" t="str">
            <v>PC</v>
          </cell>
          <cell r="G1829" t="str">
            <v>Y</v>
          </cell>
          <cell r="H1829" t="str">
            <v>TRD PROJECT</v>
          </cell>
          <cell r="I1829" t="str">
            <v>Y5</v>
          </cell>
          <cell r="J1829" t="str">
            <v>APCT2</v>
          </cell>
          <cell r="K1829" t="str">
            <v>Y501</v>
          </cell>
          <cell r="L1829" t="str">
            <v>ULTRAPROOF</v>
          </cell>
          <cell r="M1829" t="str">
            <v>Y50101</v>
          </cell>
          <cell r="N1829" t="str">
            <v>ULTRAPROOF RMX</v>
          </cell>
        </row>
        <row r="1830">
          <cell r="C1830" t="str">
            <v>170000201</v>
          </cell>
          <cell r="D1830" t="str">
            <v>ULTRAPROOF 960 TRADITIONAL ORANGE-1K</v>
          </cell>
          <cell r="E1830" t="str">
            <v>ZTRD</v>
          </cell>
          <cell r="F1830" t="str">
            <v>PC</v>
          </cell>
          <cell r="G1830" t="str">
            <v>Y</v>
          </cell>
          <cell r="H1830" t="str">
            <v>TRD PROJECT</v>
          </cell>
          <cell r="I1830" t="str">
            <v>Y5</v>
          </cell>
          <cell r="J1830" t="str">
            <v>APCT2</v>
          </cell>
          <cell r="K1830" t="str">
            <v>Y501</v>
          </cell>
          <cell r="L1830" t="str">
            <v>ULTRAPROOF</v>
          </cell>
          <cell r="M1830" t="str">
            <v>Y50101</v>
          </cell>
          <cell r="N1830" t="str">
            <v>ULTRAPROOF RMX</v>
          </cell>
        </row>
        <row r="1831">
          <cell r="C1831" t="str">
            <v>170000202</v>
          </cell>
          <cell r="D1831" t="str">
            <v>ULTRAPROOF 960 TRADITIONAL ORANGE-20KP</v>
          </cell>
          <cell r="E1831" t="str">
            <v>ZTRD</v>
          </cell>
          <cell r="F1831" t="str">
            <v>PC</v>
          </cell>
          <cell r="G1831" t="str">
            <v>Y</v>
          </cell>
          <cell r="H1831" t="str">
            <v>TRD PROJECT</v>
          </cell>
          <cell r="I1831" t="str">
            <v>Y5</v>
          </cell>
          <cell r="J1831" t="str">
            <v>APCT2</v>
          </cell>
          <cell r="K1831" t="str">
            <v>Y501</v>
          </cell>
          <cell r="L1831" t="str">
            <v>ULTRAPROOF</v>
          </cell>
          <cell r="M1831" t="str">
            <v>Y50101</v>
          </cell>
          <cell r="N1831" t="str">
            <v>ULTRAPROOF RMX</v>
          </cell>
        </row>
        <row r="1832">
          <cell r="C1832" t="str">
            <v>170000203</v>
          </cell>
          <cell r="D1832" t="str">
            <v>ULTRAPROOF 960 TRADITIONAL ORANGE-4K</v>
          </cell>
          <cell r="E1832" t="str">
            <v>ZTRD</v>
          </cell>
          <cell r="F1832" t="str">
            <v>PC</v>
          </cell>
          <cell r="G1832" t="str">
            <v>Y</v>
          </cell>
          <cell r="H1832" t="str">
            <v>TRD PROJECT</v>
          </cell>
          <cell r="I1832" t="str">
            <v>Y5</v>
          </cell>
          <cell r="J1832" t="str">
            <v>APCT2</v>
          </cell>
          <cell r="K1832" t="str">
            <v>Y501</v>
          </cell>
          <cell r="L1832" t="str">
            <v>ULTRAPROOF</v>
          </cell>
          <cell r="M1832" t="str">
            <v>Y50101</v>
          </cell>
          <cell r="N1832" t="str">
            <v>ULTRAPROOF RMX</v>
          </cell>
        </row>
        <row r="1833">
          <cell r="C1833" t="str">
            <v>170000204</v>
          </cell>
          <cell r="D1833" t="str">
            <v>ULTRAPROOF 960 ORANGE PUNCH-1K</v>
          </cell>
          <cell r="E1833" t="str">
            <v>ZTRD</v>
          </cell>
          <cell r="F1833" t="str">
            <v>PC</v>
          </cell>
          <cell r="G1833" t="str">
            <v>Y</v>
          </cell>
          <cell r="H1833" t="str">
            <v>TRD PROJECT</v>
          </cell>
          <cell r="I1833" t="str">
            <v>Y5</v>
          </cell>
          <cell r="J1833" t="str">
            <v>APCT2</v>
          </cell>
          <cell r="K1833" t="str">
            <v>Y501</v>
          </cell>
          <cell r="L1833" t="str">
            <v>ULTRAPROOF</v>
          </cell>
          <cell r="M1833" t="str">
            <v>Y50101</v>
          </cell>
          <cell r="N1833" t="str">
            <v>ULTRAPROOF RMX</v>
          </cell>
        </row>
        <row r="1834">
          <cell r="C1834" t="str">
            <v>170000205</v>
          </cell>
          <cell r="D1834" t="str">
            <v>ULTRAPROOF 960 ORANGE PUNCH-20KP</v>
          </cell>
          <cell r="E1834" t="str">
            <v>ZTRD</v>
          </cell>
          <cell r="F1834" t="str">
            <v>PC</v>
          </cell>
          <cell r="G1834" t="str">
            <v>Y</v>
          </cell>
          <cell r="H1834" t="str">
            <v>TRD PROJECT</v>
          </cell>
          <cell r="I1834" t="str">
            <v>Y5</v>
          </cell>
          <cell r="J1834" t="str">
            <v>APCT2</v>
          </cell>
          <cell r="K1834" t="str">
            <v>Y501</v>
          </cell>
          <cell r="L1834" t="str">
            <v>ULTRAPROOF</v>
          </cell>
          <cell r="M1834" t="str">
            <v>Y50101</v>
          </cell>
          <cell r="N1834" t="str">
            <v>ULTRAPROOF RMX</v>
          </cell>
        </row>
        <row r="1835">
          <cell r="C1835" t="str">
            <v>170000206</v>
          </cell>
          <cell r="D1835" t="str">
            <v>ULTRAPROOF 960 ORANGE PUNCH-4K</v>
          </cell>
          <cell r="E1835" t="str">
            <v>ZTRD</v>
          </cell>
          <cell r="F1835" t="str">
            <v>PC</v>
          </cell>
          <cell r="G1835" t="str">
            <v>Y</v>
          </cell>
          <cell r="H1835" t="str">
            <v>TRD PROJECT</v>
          </cell>
          <cell r="I1835" t="str">
            <v>Y5</v>
          </cell>
          <cell r="J1835" t="str">
            <v>APCT2</v>
          </cell>
          <cell r="K1835" t="str">
            <v>Y501</v>
          </cell>
          <cell r="L1835" t="str">
            <v>ULTRAPROOF</v>
          </cell>
          <cell r="M1835" t="str">
            <v>Y50101</v>
          </cell>
          <cell r="N1835" t="str">
            <v>ULTRAPROOF RMX</v>
          </cell>
        </row>
        <row r="1836">
          <cell r="C1836" t="str">
            <v>170000207</v>
          </cell>
          <cell r="D1836" t="str">
            <v>ULTRADRY UD-901-1L</v>
          </cell>
          <cell r="E1836" t="str">
            <v>ZTRD</v>
          </cell>
          <cell r="F1836" t="str">
            <v>PC</v>
          </cell>
          <cell r="G1836" t="str">
            <v>Y</v>
          </cell>
          <cell r="H1836" t="str">
            <v>TRD PROJECT</v>
          </cell>
          <cell r="I1836" t="str">
            <v>Y7</v>
          </cell>
          <cell r="J1836" t="str">
            <v>CPC2</v>
          </cell>
          <cell r="K1836" t="str">
            <v>Y705</v>
          </cell>
          <cell r="L1836" t="str">
            <v>ULTRADRY</v>
          </cell>
          <cell r="M1836" t="str">
            <v>Y70501</v>
          </cell>
          <cell r="N1836" t="str">
            <v>ULTRADRY</v>
          </cell>
        </row>
        <row r="1837">
          <cell r="C1837" t="str">
            <v>170000208</v>
          </cell>
          <cell r="D1837" t="str">
            <v>ULTRALASTIC LIQUID UL-920-1K</v>
          </cell>
          <cell r="E1837" t="str">
            <v>ZTRD</v>
          </cell>
          <cell r="F1837" t="str">
            <v>PC</v>
          </cell>
          <cell r="G1837" t="str">
            <v>Y</v>
          </cell>
          <cell r="H1837" t="str">
            <v>TRD PROJECT</v>
          </cell>
          <cell r="I1837" t="str">
            <v>Y7</v>
          </cell>
          <cell r="J1837" t="str">
            <v>CPC2</v>
          </cell>
          <cell r="K1837" t="str">
            <v>Y707</v>
          </cell>
          <cell r="L1837" t="str">
            <v>ULTRALASTIC</v>
          </cell>
          <cell r="M1837" t="str">
            <v>Y70701</v>
          </cell>
          <cell r="N1837" t="str">
            <v>ULTRALASTIC</v>
          </cell>
        </row>
        <row r="1838">
          <cell r="C1838" t="str">
            <v>170000209</v>
          </cell>
          <cell r="D1838" t="str">
            <v>TRAFFIKOTE 108 WB BLUE-1K</v>
          </cell>
          <cell r="E1838" t="str">
            <v>ZTRD</v>
          </cell>
          <cell r="F1838" t="str">
            <v>PC</v>
          </cell>
          <cell r="G1838" t="str">
            <v>X</v>
          </cell>
          <cell r="H1838" t="str">
            <v>TRD RETAIL</v>
          </cell>
          <cell r="I1838" t="str">
            <v>X7</v>
          </cell>
          <cell r="J1838" t="str">
            <v>CPC1</v>
          </cell>
          <cell r="K1838" t="str">
            <v>X706</v>
          </cell>
          <cell r="L1838" t="str">
            <v>TRAFFIKOTE</v>
          </cell>
          <cell r="M1838" t="str">
            <v>X70603</v>
          </cell>
          <cell r="N1838" t="str">
            <v>TRAFFIKOTE WATER BASE</v>
          </cell>
        </row>
        <row r="1839">
          <cell r="C1839" t="str">
            <v>170000210</v>
          </cell>
          <cell r="D1839" t="str">
            <v>TRAFFIKOTE 108 WB WHITE-1K</v>
          </cell>
          <cell r="E1839" t="str">
            <v>ZTRD</v>
          </cell>
          <cell r="F1839" t="str">
            <v>PC</v>
          </cell>
          <cell r="G1839" t="str">
            <v>X</v>
          </cell>
          <cell r="H1839" t="str">
            <v>TRD RETAIL</v>
          </cell>
          <cell r="I1839" t="str">
            <v>X7</v>
          </cell>
          <cell r="J1839" t="str">
            <v>CPC1</v>
          </cell>
          <cell r="K1839" t="str">
            <v>X706</v>
          </cell>
          <cell r="L1839" t="str">
            <v>TRAFFIKOTE</v>
          </cell>
          <cell r="M1839" t="str">
            <v>X70603</v>
          </cell>
          <cell r="N1839" t="str">
            <v>TRAFFIKOTE WATER BASE</v>
          </cell>
        </row>
        <row r="1840">
          <cell r="C1840" t="str">
            <v>170000211</v>
          </cell>
          <cell r="D1840" t="str">
            <v>TRAFFIKOTE 108 WB YELLOW-1K</v>
          </cell>
          <cell r="E1840" t="str">
            <v>ZTRD</v>
          </cell>
          <cell r="F1840" t="str">
            <v>PC</v>
          </cell>
          <cell r="G1840" t="str">
            <v>X</v>
          </cell>
          <cell r="H1840" t="str">
            <v>TRD RETAIL</v>
          </cell>
          <cell r="I1840" t="str">
            <v>X7</v>
          </cell>
          <cell r="J1840" t="str">
            <v>CPC1</v>
          </cell>
          <cell r="K1840" t="str">
            <v>X706</v>
          </cell>
          <cell r="L1840" t="str">
            <v>TRAFFIKOTE</v>
          </cell>
          <cell r="M1840" t="str">
            <v>X70603</v>
          </cell>
          <cell r="N1840" t="str">
            <v>TRAFFIKOTE WATER BASE</v>
          </cell>
        </row>
        <row r="1841">
          <cell r="C1841" t="str">
            <v>170000212</v>
          </cell>
          <cell r="D1841" t="str">
            <v>TRAFFIKOTE 108 WB BLACK-1K</v>
          </cell>
          <cell r="E1841" t="str">
            <v>ZTRD</v>
          </cell>
          <cell r="F1841" t="str">
            <v>PC</v>
          </cell>
          <cell r="G1841" t="str">
            <v>X</v>
          </cell>
          <cell r="H1841" t="str">
            <v>TRD RETAIL</v>
          </cell>
          <cell r="I1841" t="str">
            <v>X7</v>
          </cell>
          <cell r="J1841" t="str">
            <v>CPC1</v>
          </cell>
          <cell r="K1841" t="str">
            <v>X706</v>
          </cell>
          <cell r="L1841" t="str">
            <v>TRAFFIKOTE</v>
          </cell>
          <cell r="M1841" t="str">
            <v>X70603</v>
          </cell>
          <cell r="N1841" t="str">
            <v>TRAFFIKOTE WATER BASE</v>
          </cell>
        </row>
        <row r="1842">
          <cell r="C1842" t="str">
            <v>170000213</v>
          </cell>
          <cell r="D1842" t="str">
            <v>TRAFFIKOTE 108 WB RED-1K</v>
          </cell>
          <cell r="E1842" t="str">
            <v>ZTRD</v>
          </cell>
          <cell r="F1842" t="str">
            <v>PC</v>
          </cell>
          <cell r="G1842" t="str">
            <v>X</v>
          </cell>
          <cell r="H1842" t="str">
            <v>TRD RETAIL</v>
          </cell>
          <cell r="I1842" t="str">
            <v>X7</v>
          </cell>
          <cell r="J1842" t="str">
            <v>CPC1</v>
          </cell>
          <cell r="K1842" t="str">
            <v>X706</v>
          </cell>
          <cell r="L1842" t="str">
            <v>TRAFFIKOTE</v>
          </cell>
          <cell r="M1842" t="str">
            <v>X70603</v>
          </cell>
          <cell r="N1842" t="str">
            <v>TRAFFIKOTE WATER BASE</v>
          </cell>
        </row>
        <row r="1843">
          <cell r="C1843" t="str">
            <v>170000214</v>
          </cell>
          <cell r="D1843" t="str">
            <v>TRAFFIKOTE 108 WB GREEN-1K</v>
          </cell>
          <cell r="E1843" t="str">
            <v>ZTRD</v>
          </cell>
          <cell r="F1843" t="str">
            <v>PC</v>
          </cell>
          <cell r="G1843" t="str">
            <v>X</v>
          </cell>
          <cell r="H1843" t="str">
            <v>TRD RETAIL</v>
          </cell>
          <cell r="I1843" t="str">
            <v>X7</v>
          </cell>
          <cell r="J1843" t="str">
            <v>CPC1</v>
          </cell>
          <cell r="K1843" t="str">
            <v>X706</v>
          </cell>
          <cell r="L1843" t="str">
            <v>TRAFFIKOTE</v>
          </cell>
          <cell r="M1843" t="str">
            <v>X70603</v>
          </cell>
          <cell r="N1843" t="str">
            <v>TRAFFIKOTE WATER BASE</v>
          </cell>
        </row>
        <row r="1844">
          <cell r="C1844" t="str">
            <v>170000215</v>
          </cell>
          <cell r="D1844" t="str">
            <v>FIBERKOTE 888 NATURAL DOF-1L</v>
          </cell>
          <cell r="E1844" t="str">
            <v>ZTRD</v>
          </cell>
          <cell r="F1844" t="str">
            <v>PC</v>
          </cell>
          <cell r="G1844" t="str">
            <v>X</v>
          </cell>
          <cell r="H1844" t="str">
            <v>TRD RETAIL</v>
          </cell>
          <cell r="I1844" t="str">
            <v>X6</v>
          </cell>
          <cell r="J1844" t="str">
            <v>SFC</v>
          </cell>
          <cell r="K1844" t="str">
            <v>X604</v>
          </cell>
          <cell r="L1844" t="str">
            <v>FIBERKOTE</v>
          </cell>
          <cell r="M1844" t="str">
            <v>X60401</v>
          </cell>
          <cell r="N1844" t="str">
            <v>FIBERKOTE RMX</v>
          </cell>
        </row>
        <row r="1845">
          <cell r="C1845" t="str">
            <v>170000216</v>
          </cell>
          <cell r="D1845" t="str">
            <v>FIBERKOTE 889 ROSE WOOD 18-3005-1L</v>
          </cell>
          <cell r="E1845" t="str">
            <v>ZTRD</v>
          </cell>
          <cell r="F1845" t="str">
            <v>PC</v>
          </cell>
          <cell r="G1845" t="str">
            <v>X</v>
          </cell>
          <cell r="H1845" t="str">
            <v>TRD RETAIL</v>
          </cell>
          <cell r="I1845" t="str">
            <v>X6</v>
          </cell>
          <cell r="J1845" t="str">
            <v>SFC</v>
          </cell>
          <cell r="K1845" t="str">
            <v>X604</v>
          </cell>
          <cell r="L1845" t="str">
            <v>FIBERKOTE</v>
          </cell>
          <cell r="M1845" t="str">
            <v>X60401</v>
          </cell>
          <cell r="N1845" t="str">
            <v>FIBERKOTE RMX</v>
          </cell>
        </row>
        <row r="1846">
          <cell r="C1846" t="str">
            <v>170000217</v>
          </cell>
          <cell r="D1846" t="str">
            <v>FIBERKOTE 889 CHERRY 18-8202-1L</v>
          </cell>
          <cell r="E1846" t="str">
            <v>ZTRD</v>
          </cell>
          <cell r="F1846" t="str">
            <v>PC</v>
          </cell>
          <cell r="G1846" t="str">
            <v>X</v>
          </cell>
          <cell r="H1846" t="str">
            <v>TRD RETAIL</v>
          </cell>
          <cell r="I1846" t="str">
            <v>X6</v>
          </cell>
          <cell r="J1846" t="str">
            <v>SFC</v>
          </cell>
          <cell r="K1846" t="str">
            <v>X604</v>
          </cell>
          <cell r="L1846" t="str">
            <v>FIBERKOTE</v>
          </cell>
          <cell r="M1846" t="str">
            <v>X60401</v>
          </cell>
          <cell r="N1846" t="str">
            <v>FIBERKOTE RMX</v>
          </cell>
        </row>
        <row r="1847">
          <cell r="C1847" t="str">
            <v>170000218</v>
          </cell>
          <cell r="D1847" t="str">
            <v>FIBERKOTE 889 AKASIA 18-8301-1L</v>
          </cell>
          <cell r="E1847" t="str">
            <v>ZTRD</v>
          </cell>
          <cell r="F1847" t="str">
            <v>PC</v>
          </cell>
          <cell r="G1847" t="str">
            <v>X</v>
          </cell>
          <cell r="H1847" t="str">
            <v>TRD RETAIL</v>
          </cell>
          <cell r="I1847" t="str">
            <v>X6</v>
          </cell>
          <cell r="J1847" t="str">
            <v>SFC</v>
          </cell>
          <cell r="K1847" t="str">
            <v>X604</v>
          </cell>
          <cell r="L1847" t="str">
            <v>FIBERKOTE</v>
          </cell>
          <cell r="M1847" t="str">
            <v>X60401</v>
          </cell>
          <cell r="N1847" t="str">
            <v>FIBERKOTE RMX</v>
          </cell>
        </row>
        <row r="1848">
          <cell r="C1848" t="str">
            <v>170000219</v>
          </cell>
          <cell r="D1848" t="str">
            <v>FIBERKOTE 889 OLIVE GREY 18-7003-1L</v>
          </cell>
          <cell r="E1848" t="str">
            <v>ZTRD</v>
          </cell>
          <cell r="F1848" t="str">
            <v>PC</v>
          </cell>
          <cell r="G1848" t="str">
            <v>X</v>
          </cell>
          <cell r="H1848" t="str">
            <v>TRD RETAIL</v>
          </cell>
          <cell r="I1848" t="str">
            <v>X6</v>
          </cell>
          <cell r="J1848" t="str">
            <v>SFC</v>
          </cell>
          <cell r="K1848" t="str">
            <v>X604</v>
          </cell>
          <cell r="L1848" t="str">
            <v>FIBERKOTE</v>
          </cell>
          <cell r="M1848" t="str">
            <v>X60401</v>
          </cell>
          <cell r="N1848" t="str">
            <v>FIBERKOTE RMX</v>
          </cell>
        </row>
        <row r="1849">
          <cell r="C1849" t="str">
            <v>170000220</v>
          </cell>
          <cell r="D1849" t="str">
            <v>FIBERKOTE 820-1L</v>
          </cell>
          <cell r="E1849" t="str">
            <v>ZTRD</v>
          </cell>
          <cell r="F1849" t="str">
            <v>PC</v>
          </cell>
          <cell r="G1849" t="str">
            <v>X</v>
          </cell>
          <cell r="H1849" t="str">
            <v>TRD RETAIL</v>
          </cell>
          <cell r="I1849" t="str">
            <v>X6</v>
          </cell>
          <cell r="J1849" t="str">
            <v>SFC</v>
          </cell>
          <cell r="K1849" t="str">
            <v>X604</v>
          </cell>
          <cell r="L1849" t="str">
            <v>FIBERKOTE</v>
          </cell>
          <cell r="M1849" t="str">
            <v>X60401</v>
          </cell>
          <cell r="N1849" t="str">
            <v>FIBERKOTE RMX</v>
          </cell>
        </row>
        <row r="1850">
          <cell r="C1850" t="str">
            <v>170000221</v>
          </cell>
          <cell r="D1850" t="str">
            <v>FIBERKOTE 887 CHERRY 18-8202-1L</v>
          </cell>
          <cell r="E1850" t="str">
            <v>ZTRD</v>
          </cell>
          <cell r="F1850" t="str">
            <v>PC</v>
          </cell>
          <cell r="G1850" t="str">
            <v>X</v>
          </cell>
          <cell r="H1850" t="str">
            <v>TRD RETAIL</v>
          </cell>
          <cell r="I1850" t="str">
            <v>X6</v>
          </cell>
          <cell r="J1850" t="str">
            <v>SFC</v>
          </cell>
          <cell r="K1850" t="str">
            <v>X604</v>
          </cell>
          <cell r="L1850" t="str">
            <v>FIBERKOTE</v>
          </cell>
          <cell r="M1850" t="str">
            <v>X60401</v>
          </cell>
          <cell r="N1850" t="str">
            <v>FIBERKOTE RMX</v>
          </cell>
        </row>
        <row r="1851">
          <cell r="C1851" t="str">
            <v>170000222</v>
          </cell>
          <cell r="D1851" t="str">
            <v>FIBERKOTE 887 PSANDER BRW 18-8004-1L</v>
          </cell>
          <cell r="E1851" t="str">
            <v>ZTRD</v>
          </cell>
          <cell r="F1851" t="str">
            <v>PC</v>
          </cell>
          <cell r="G1851" t="str">
            <v>X</v>
          </cell>
          <cell r="H1851" t="str">
            <v>TRD RETAIL</v>
          </cell>
          <cell r="I1851" t="str">
            <v>X6</v>
          </cell>
          <cell r="J1851" t="str">
            <v>SFC</v>
          </cell>
          <cell r="K1851" t="str">
            <v>X604</v>
          </cell>
          <cell r="L1851" t="str">
            <v>FIBERKOTE</v>
          </cell>
          <cell r="M1851" t="str">
            <v>X60401</v>
          </cell>
          <cell r="N1851" t="str">
            <v>FIBERKOTE RMX</v>
          </cell>
        </row>
        <row r="1852">
          <cell r="C1852" t="str">
            <v>170000223</v>
          </cell>
          <cell r="D1852" t="str">
            <v>GLASSKOTE 05 WB HARVEST-3404-2.5L</v>
          </cell>
          <cell r="E1852" t="str">
            <v>ZTRD</v>
          </cell>
          <cell r="F1852" t="str">
            <v>PC</v>
          </cell>
          <cell r="G1852" t="str">
            <v>X</v>
          </cell>
          <cell r="H1852" t="str">
            <v>TRD RETAIL</v>
          </cell>
          <cell r="I1852" t="str">
            <v>X6</v>
          </cell>
          <cell r="J1852" t="str">
            <v>SFC</v>
          </cell>
          <cell r="K1852" t="str">
            <v>X610</v>
          </cell>
          <cell r="L1852" t="str">
            <v>CAT GENTENG</v>
          </cell>
          <cell r="M1852" t="str">
            <v>X61004</v>
          </cell>
          <cell r="N1852" t="str">
            <v>GLASSKOTE GK-05 WB</v>
          </cell>
        </row>
        <row r="1853">
          <cell r="C1853" t="str">
            <v>170000224</v>
          </cell>
          <cell r="D1853" t="str">
            <v>GLASSKOTE 05 WB LEAF GREEN-7407-2.5L</v>
          </cell>
          <cell r="E1853" t="str">
            <v>ZTRD</v>
          </cell>
          <cell r="F1853" t="str">
            <v>PC</v>
          </cell>
          <cell r="G1853" t="str">
            <v>X</v>
          </cell>
          <cell r="H1853" t="str">
            <v>TRD RETAIL</v>
          </cell>
          <cell r="I1853" t="str">
            <v>X6</v>
          </cell>
          <cell r="J1853" t="str">
            <v>SFC</v>
          </cell>
          <cell r="K1853" t="str">
            <v>X610</v>
          </cell>
          <cell r="L1853" t="str">
            <v>CAT GENTENG</v>
          </cell>
          <cell r="M1853" t="str">
            <v>X61004</v>
          </cell>
          <cell r="N1853" t="str">
            <v>GLASSKOTE GK-05 WB</v>
          </cell>
        </row>
        <row r="1854">
          <cell r="C1854" t="str">
            <v>170000225</v>
          </cell>
          <cell r="D1854" t="str">
            <v>GLASSKOTE 05 WB TERACOTTA-3401-20LP</v>
          </cell>
          <cell r="E1854" t="str">
            <v>ZTRD</v>
          </cell>
          <cell r="F1854" t="str">
            <v>PC</v>
          </cell>
          <cell r="G1854" t="str">
            <v>X</v>
          </cell>
          <cell r="H1854" t="str">
            <v>TRD RETAIL</v>
          </cell>
          <cell r="I1854" t="str">
            <v>X6</v>
          </cell>
          <cell r="J1854" t="str">
            <v>SFC</v>
          </cell>
          <cell r="K1854" t="str">
            <v>X610</v>
          </cell>
          <cell r="L1854" t="str">
            <v>CAT GENTENG</v>
          </cell>
          <cell r="M1854" t="str">
            <v>X61004</v>
          </cell>
          <cell r="N1854" t="str">
            <v>GLASSKOTE GK-05 WB</v>
          </cell>
        </row>
        <row r="1855">
          <cell r="C1855" t="str">
            <v>170000226</v>
          </cell>
          <cell r="D1855" t="str">
            <v>GLASSKOTE 05 WB TILE RED-3403-20LP</v>
          </cell>
          <cell r="E1855" t="str">
            <v>ZTRD</v>
          </cell>
          <cell r="F1855" t="str">
            <v>PC</v>
          </cell>
          <cell r="G1855" t="str">
            <v>X</v>
          </cell>
          <cell r="H1855" t="str">
            <v>TRD RETAIL</v>
          </cell>
          <cell r="I1855" t="str">
            <v>X6</v>
          </cell>
          <cell r="J1855" t="str">
            <v>SFC</v>
          </cell>
          <cell r="K1855" t="str">
            <v>X610</v>
          </cell>
          <cell r="L1855" t="str">
            <v>CAT GENTENG</v>
          </cell>
          <cell r="M1855" t="str">
            <v>X61004</v>
          </cell>
          <cell r="N1855" t="str">
            <v>GLASSKOTE GK-05 WB</v>
          </cell>
        </row>
        <row r="1856">
          <cell r="C1856" t="str">
            <v>170000227</v>
          </cell>
          <cell r="D1856" t="str">
            <v>GLASSKOTE 05 WB NATURAL BROWN-2410-20LP</v>
          </cell>
          <cell r="E1856" t="str">
            <v>ZTRD</v>
          </cell>
          <cell r="F1856" t="str">
            <v>PC</v>
          </cell>
          <cell r="G1856" t="str">
            <v>X</v>
          </cell>
          <cell r="H1856" t="str">
            <v>TRD RETAIL</v>
          </cell>
          <cell r="I1856" t="str">
            <v>X6</v>
          </cell>
          <cell r="J1856" t="str">
            <v>SFC</v>
          </cell>
          <cell r="K1856" t="str">
            <v>X610</v>
          </cell>
          <cell r="L1856" t="str">
            <v>CAT GENTENG</v>
          </cell>
          <cell r="M1856" t="str">
            <v>X61004</v>
          </cell>
          <cell r="N1856" t="str">
            <v>GLASSKOTE GK-05 WB</v>
          </cell>
        </row>
        <row r="1857">
          <cell r="C1857" t="str">
            <v>170000228</v>
          </cell>
          <cell r="D1857" t="str">
            <v>GLASSKOTE 05 WB MIDNIGHT BLUE-5404-2.5L</v>
          </cell>
          <cell r="E1857" t="str">
            <v>ZTRD</v>
          </cell>
          <cell r="F1857" t="str">
            <v>PC</v>
          </cell>
          <cell r="G1857" t="str">
            <v>X</v>
          </cell>
          <cell r="H1857" t="str">
            <v>TRD RETAIL</v>
          </cell>
          <cell r="I1857" t="str">
            <v>X6</v>
          </cell>
          <cell r="J1857" t="str">
            <v>SFC</v>
          </cell>
          <cell r="K1857" t="str">
            <v>X610</v>
          </cell>
          <cell r="L1857" t="str">
            <v>CAT GENTENG</v>
          </cell>
          <cell r="M1857" t="str">
            <v>X61004</v>
          </cell>
          <cell r="N1857" t="str">
            <v>GLASSKOTE GK-05 WB</v>
          </cell>
        </row>
        <row r="1858">
          <cell r="C1858" t="str">
            <v>170000229</v>
          </cell>
          <cell r="D1858" t="str">
            <v>SICOSOL-2.5L</v>
          </cell>
          <cell r="E1858" t="str">
            <v>ZTRD</v>
          </cell>
          <cell r="F1858" t="str">
            <v>PC</v>
          </cell>
          <cell r="G1858" t="str">
            <v>X</v>
          </cell>
          <cell r="H1858" t="str">
            <v>TRD RETAIL</v>
          </cell>
          <cell r="I1858" t="str">
            <v>X6</v>
          </cell>
          <cell r="J1858" t="str">
            <v>SFC</v>
          </cell>
          <cell r="K1858" t="str">
            <v>X601</v>
          </cell>
          <cell r="L1858" t="str">
            <v>STONE CARE</v>
          </cell>
          <cell r="M1858" t="str">
            <v>X60104</v>
          </cell>
          <cell r="N1858" t="str">
            <v>SICOSOL</v>
          </cell>
        </row>
        <row r="1859">
          <cell r="C1859" t="str">
            <v>170000230</v>
          </cell>
          <cell r="D1859" t="str">
            <v>PROSEAL PAS-100 WHITE-0.3L</v>
          </cell>
          <cell r="E1859" t="str">
            <v>ZTRD</v>
          </cell>
          <cell r="F1859" t="str">
            <v>PC</v>
          </cell>
          <cell r="G1859" t="str">
            <v>X</v>
          </cell>
          <cell r="H1859" t="str">
            <v>TRD RETAIL</v>
          </cell>
          <cell r="I1859" t="str">
            <v>XB</v>
          </cell>
          <cell r="J1859" t="str">
            <v>A&amp;S</v>
          </cell>
          <cell r="K1859" t="str">
            <v>XB02</v>
          </cell>
          <cell r="L1859" t="str">
            <v>PROSEAL</v>
          </cell>
          <cell r="M1859" t="str">
            <v>XB0201</v>
          </cell>
          <cell r="N1859" t="str">
            <v>PROSEAL</v>
          </cell>
        </row>
        <row r="1860">
          <cell r="C1860" t="str">
            <v>170000231</v>
          </cell>
          <cell r="D1860" t="str">
            <v>PROSEAL PAS-100 CLEAR-0.3L</v>
          </cell>
          <cell r="E1860" t="str">
            <v>ZTRD</v>
          </cell>
          <cell r="F1860" t="str">
            <v>PC</v>
          </cell>
          <cell r="G1860" t="str">
            <v>X</v>
          </cell>
          <cell r="H1860" t="str">
            <v>TRD RETAIL</v>
          </cell>
          <cell r="I1860" t="str">
            <v>XB</v>
          </cell>
          <cell r="J1860" t="str">
            <v>A&amp;S</v>
          </cell>
          <cell r="K1860" t="str">
            <v>XB02</v>
          </cell>
          <cell r="L1860" t="str">
            <v>PROSEAL</v>
          </cell>
          <cell r="M1860" t="str">
            <v>XB0201</v>
          </cell>
          <cell r="N1860" t="str">
            <v>PROSEAL</v>
          </cell>
        </row>
        <row r="1861">
          <cell r="C1861" t="str">
            <v>170000232</v>
          </cell>
          <cell r="D1861" t="str">
            <v>ULTRAN USE-60 CLEAR GLOSS-1LS</v>
          </cell>
          <cell r="E1861" t="str">
            <v>ZTRD</v>
          </cell>
          <cell r="F1861" t="str">
            <v>SET</v>
          </cell>
          <cell r="G1861" t="str">
            <v>X</v>
          </cell>
          <cell r="H1861" t="str">
            <v>TRD RETAIL</v>
          </cell>
          <cell r="I1861" t="str">
            <v>X9</v>
          </cell>
          <cell r="J1861" t="str">
            <v>MPC</v>
          </cell>
          <cell r="K1861" t="str">
            <v>X903</v>
          </cell>
          <cell r="L1861" t="str">
            <v>ULTRAN SUPER ENAMEL</v>
          </cell>
          <cell r="M1861" t="str">
            <v>X90301</v>
          </cell>
          <cell r="N1861" t="str">
            <v>ULTRAN SUPER ENAMEL</v>
          </cell>
        </row>
        <row r="1862">
          <cell r="C1862" t="str">
            <v>170000233</v>
          </cell>
          <cell r="D1862" t="str">
            <v>STONKOTE SFC-633 CLEAR GLOSS-1LS</v>
          </cell>
          <cell r="E1862" t="str">
            <v>ZTRD</v>
          </cell>
          <cell r="F1862" t="str">
            <v>SET</v>
          </cell>
          <cell r="G1862" t="str">
            <v>X</v>
          </cell>
          <cell r="H1862" t="str">
            <v>TRD RETAIL</v>
          </cell>
          <cell r="I1862" t="str">
            <v>X6</v>
          </cell>
          <cell r="J1862" t="str">
            <v>SFC</v>
          </cell>
          <cell r="K1862" t="str">
            <v>X601</v>
          </cell>
          <cell r="L1862" t="str">
            <v>STONE CARE</v>
          </cell>
          <cell r="M1862" t="str">
            <v>X60106</v>
          </cell>
          <cell r="N1862" t="str">
            <v>STONKOTE</v>
          </cell>
        </row>
        <row r="1863">
          <cell r="C1863" t="str">
            <v>170000234</v>
          </cell>
          <cell r="D1863" t="str">
            <v>PRIMTOP 88 CANARY YELLOW-1K</v>
          </cell>
          <cell r="E1863" t="str">
            <v>ZTRD</v>
          </cell>
          <cell r="F1863" t="str">
            <v>PC</v>
          </cell>
          <cell r="G1863" t="str">
            <v>Y</v>
          </cell>
          <cell r="H1863" t="str">
            <v>TRD PROJECT</v>
          </cell>
          <cell r="I1863" t="str">
            <v>Y9</v>
          </cell>
          <cell r="J1863" t="str">
            <v>MPC</v>
          </cell>
          <cell r="K1863" t="str">
            <v>Y906</v>
          </cell>
          <cell r="L1863" t="str">
            <v>PRIMTOP</v>
          </cell>
          <cell r="M1863" t="str">
            <v>Y90602</v>
          </cell>
          <cell r="N1863" t="str">
            <v>PRIMTOP RMX</v>
          </cell>
        </row>
        <row r="1864">
          <cell r="C1864" t="str">
            <v>170000235</v>
          </cell>
          <cell r="D1864" t="str">
            <v>PRIMTOP 88 FOREST GREEN-1K</v>
          </cell>
          <cell r="E1864" t="str">
            <v>ZTRD</v>
          </cell>
          <cell r="F1864" t="str">
            <v>PC</v>
          </cell>
          <cell r="G1864" t="str">
            <v>Y</v>
          </cell>
          <cell r="H1864" t="str">
            <v>TRD PROJECT</v>
          </cell>
          <cell r="I1864" t="str">
            <v>Y9</v>
          </cell>
          <cell r="J1864" t="str">
            <v>MPC</v>
          </cell>
          <cell r="K1864" t="str">
            <v>Y906</v>
          </cell>
          <cell r="L1864" t="str">
            <v>PRIMTOP</v>
          </cell>
          <cell r="M1864" t="str">
            <v>Y90602</v>
          </cell>
          <cell r="N1864" t="str">
            <v>PRIMTOP RMX</v>
          </cell>
        </row>
        <row r="1865">
          <cell r="C1865" t="str">
            <v>170000236</v>
          </cell>
          <cell r="D1865" t="str">
            <v>PRIMTOP 88 ISLAND GREEN-1K</v>
          </cell>
          <cell r="E1865" t="str">
            <v>ZTRD</v>
          </cell>
          <cell r="F1865" t="str">
            <v>PC</v>
          </cell>
          <cell r="G1865" t="str">
            <v>Y</v>
          </cell>
          <cell r="H1865" t="str">
            <v>TRD PROJECT</v>
          </cell>
          <cell r="I1865" t="str">
            <v>Y9</v>
          </cell>
          <cell r="J1865" t="str">
            <v>MPC</v>
          </cell>
          <cell r="K1865" t="str">
            <v>Y906</v>
          </cell>
          <cell r="L1865" t="str">
            <v>PRIMTOP</v>
          </cell>
          <cell r="M1865" t="str">
            <v>Y90602</v>
          </cell>
          <cell r="N1865" t="str">
            <v>PRIMTOP RMX</v>
          </cell>
        </row>
        <row r="1866">
          <cell r="C1866" t="str">
            <v>170000237</v>
          </cell>
          <cell r="D1866" t="str">
            <v>PRIMTOP 88 IVORY-1K</v>
          </cell>
          <cell r="E1866" t="str">
            <v>ZTRD</v>
          </cell>
          <cell r="F1866" t="str">
            <v>PC</v>
          </cell>
          <cell r="G1866" t="str">
            <v>Y</v>
          </cell>
          <cell r="H1866" t="str">
            <v>TRD PROJECT</v>
          </cell>
          <cell r="I1866" t="str">
            <v>Y9</v>
          </cell>
          <cell r="J1866" t="str">
            <v>MPC</v>
          </cell>
          <cell r="K1866" t="str">
            <v>Y906</v>
          </cell>
          <cell r="L1866" t="str">
            <v>PRIMTOP</v>
          </cell>
          <cell r="M1866" t="str">
            <v>Y90602</v>
          </cell>
          <cell r="N1866" t="str">
            <v>PRIMTOP RMX</v>
          </cell>
        </row>
        <row r="1867">
          <cell r="C1867" t="str">
            <v>170000238</v>
          </cell>
          <cell r="D1867" t="str">
            <v>PRIMTOP 88 PLATINUM GREY-1K</v>
          </cell>
          <cell r="E1867" t="str">
            <v>ZTRD</v>
          </cell>
          <cell r="F1867" t="str">
            <v>PC</v>
          </cell>
          <cell r="G1867" t="str">
            <v>Y</v>
          </cell>
          <cell r="H1867" t="str">
            <v>TRD PROJECT</v>
          </cell>
          <cell r="I1867" t="str">
            <v>Y9</v>
          </cell>
          <cell r="J1867" t="str">
            <v>MPC</v>
          </cell>
          <cell r="K1867" t="str">
            <v>Y906</v>
          </cell>
          <cell r="L1867" t="str">
            <v>PRIMTOP</v>
          </cell>
          <cell r="M1867" t="str">
            <v>Y90602</v>
          </cell>
          <cell r="N1867" t="str">
            <v>PRIMTOP RMX</v>
          </cell>
        </row>
        <row r="1868">
          <cell r="C1868" t="str">
            <v>170000239</v>
          </cell>
          <cell r="D1868" t="str">
            <v>PRIMTOP 88 RIVER BLUE-1K</v>
          </cell>
          <cell r="E1868" t="str">
            <v>ZTRD</v>
          </cell>
          <cell r="F1868" t="str">
            <v>PC</v>
          </cell>
          <cell r="G1868" t="str">
            <v>Y</v>
          </cell>
          <cell r="H1868" t="str">
            <v>TRD PROJECT</v>
          </cell>
          <cell r="I1868" t="str">
            <v>Y9</v>
          </cell>
          <cell r="J1868" t="str">
            <v>MPC</v>
          </cell>
          <cell r="K1868" t="str">
            <v>Y906</v>
          </cell>
          <cell r="L1868" t="str">
            <v>PRIMTOP</v>
          </cell>
          <cell r="M1868" t="str">
            <v>Y90602</v>
          </cell>
          <cell r="N1868" t="str">
            <v>PRIMTOP RMX</v>
          </cell>
        </row>
        <row r="1869">
          <cell r="C1869" t="str">
            <v>170000240</v>
          </cell>
          <cell r="D1869" t="str">
            <v>PRIMTOP 88 VERMILLION RED-1K</v>
          </cell>
          <cell r="E1869" t="str">
            <v>ZTRD</v>
          </cell>
          <cell r="F1869" t="str">
            <v>PC</v>
          </cell>
          <cell r="G1869" t="str">
            <v>Y</v>
          </cell>
          <cell r="H1869" t="str">
            <v>TRD PROJECT</v>
          </cell>
          <cell r="I1869" t="str">
            <v>Y9</v>
          </cell>
          <cell r="J1869" t="str">
            <v>MPC</v>
          </cell>
          <cell r="K1869" t="str">
            <v>Y906</v>
          </cell>
          <cell r="L1869" t="str">
            <v>PRIMTOP</v>
          </cell>
          <cell r="M1869" t="str">
            <v>Y90602</v>
          </cell>
          <cell r="N1869" t="str">
            <v>PRIMTOP RMX</v>
          </cell>
        </row>
        <row r="1870">
          <cell r="C1870" t="str">
            <v>170000241</v>
          </cell>
          <cell r="D1870" t="str">
            <v>PRIMTOP 88 OLYMPIA YELLOW-1K</v>
          </cell>
          <cell r="E1870" t="str">
            <v>ZTRD</v>
          </cell>
          <cell r="F1870" t="str">
            <v>PC</v>
          </cell>
          <cell r="G1870" t="str">
            <v>Y</v>
          </cell>
          <cell r="H1870" t="str">
            <v>TRD PROJECT</v>
          </cell>
          <cell r="I1870" t="str">
            <v>Y9</v>
          </cell>
          <cell r="J1870" t="str">
            <v>MPC</v>
          </cell>
          <cell r="K1870" t="str">
            <v>Y906</v>
          </cell>
          <cell r="L1870" t="str">
            <v>PRIMTOP</v>
          </cell>
          <cell r="M1870" t="str">
            <v>Y90602</v>
          </cell>
          <cell r="N1870" t="str">
            <v>PRIMTOP RMX</v>
          </cell>
        </row>
        <row r="1871">
          <cell r="C1871" t="str">
            <v>170000242</v>
          </cell>
          <cell r="D1871" t="str">
            <v>PRIMTOP 88 ASH GREY-1K</v>
          </cell>
          <cell r="E1871" t="str">
            <v>ZTRD</v>
          </cell>
          <cell r="F1871" t="str">
            <v>PC</v>
          </cell>
          <cell r="G1871" t="str">
            <v>Y</v>
          </cell>
          <cell r="H1871" t="str">
            <v>TRD PROJECT</v>
          </cell>
          <cell r="I1871" t="str">
            <v>Y9</v>
          </cell>
          <cell r="J1871" t="str">
            <v>MPC</v>
          </cell>
          <cell r="K1871" t="str">
            <v>Y906</v>
          </cell>
          <cell r="L1871" t="str">
            <v>PRIMTOP</v>
          </cell>
          <cell r="M1871" t="str">
            <v>Y90602</v>
          </cell>
          <cell r="N1871" t="str">
            <v>PRIMTOP RMX</v>
          </cell>
        </row>
        <row r="1872">
          <cell r="C1872" t="str">
            <v>170000243</v>
          </cell>
          <cell r="D1872" t="str">
            <v>PRIMTOP 88 CANDY BROWN-1K</v>
          </cell>
          <cell r="E1872" t="str">
            <v>ZTRD</v>
          </cell>
          <cell r="F1872" t="str">
            <v>PC</v>
          </cell>
          <cell r="G1872" t="str">
            <v>Y</v>
          </cell>
          <cell r="H1872" t="str">
            <v>TRD PROJECT</v>
          </cell>
          <cell r="I1872" t="str">
            <v>Y9</v>
          </cell>
          <cell r="J1872" t="str">
            <v>MPC</v>
          </cell>
          <cell r="K1872" t="str">
            <v>Y906</v>
          </cell>
          <cell r="L1872" t="str">
            <v>PRIMTOP</v>
          </cell>
          <cell r="M1872" t="str">
            <v>Y90602</v>
          </cell>
          <cell r="N1872" t="str">
            <v>PRIMTOP RMX</v>
          </cell>
        </row>
        <row r="1873">
          <cell r="C1873" t="str">
            <v>170000244</v>
          </cell>
          <cell r="D1873" t="str">
            <v>PRIMTOP 88 BROWN-1K</v>
          </cell>
          <cell r="E1873" t="str">
            <v>ZTRD</v>
          </cell>
          <cell r="F1873" t="str">
            <v>PC</v>
          </cell>
          <cell r="G1873" t="str">
            <v>Y</v>
          </cell>
          <cell r="H1873" t="str">
            <v>TRD PROJECT</v>
          </cell>
          <cell r="I1873" t="str">
            <v>Y9</v>
          </cell>
          <cell r="J1873" t="str">
            <v>MPC</v>
          </cell>
          <cell r="K1873" t="str">
            <v>Y906</v>
          </cell>
          <cell r="L1873" t="str">
            <v>PRIMTOP</v>
          </cell>
          <cell r="M1873" t="str">
            <v>Y90602</v>
          </cell>
          <cell r="N1873" t="str">
            <v>PRIMTOP RMX</v>
          </cell>
        </row>
        <row r="1874">
          <cell r="C1874" t="str">
            <v>170000245</v>
          </cell>
          <cell r="D1874" t="str">
            <v>HARDENER CTC-998-0.2K</v>
          </cell>
          <cell r="E1874" t="str">
            <v>ZTRD</v>
          </cell>
          <cell r="F1874" t="str">
            <v>PC</v>
          </cell>
          <cell r="G1874" t="str">
            <v>Y</v>
          </cell>
          <cell r="H1874" t="str">
            <v>TRD PROJECT</v>
          </cell>
          <cell r="I1874" t="str">
            <v>Y6</v>
          </cell>
          <cell r="J1874" t="str">
            <v>CPC1</v>
          </cell>
          <cell r="K1874" t="str">
            <v>Y607</v>
          </cell>
          <cell r="L1874" t="str">
            <v>OTHERS CPC1</v>
          </cell>
          <cell r="M1874" t="str">
            <v>Y60703</v>
          </cell>
          <cell r="N1874" t="str">
            <v>COMPLEMENTARY CPC1</v>
          </cell>
        </row>
        <row r="1875">
          <cell r="C1875" t="str">
            <v>170000246</v>
          </cell>
          <cell r="D1875" t="str">
            <v>HARDENER CTC-998 PRIMER-0.2K</v>
          </cell>
          <cell r="E1875" t="str">
            <v>ZTRD</v>
          </cell>
          <cell r="F1875" t="str">
            <v>PC</v>
          </cell>
          <cell r="G1875" t="str">
            <v>Y</v>
          </cell>
          <cell r="H1875" t="str">
            <v>TRD PROJECT</v>
          </cell>
          <cell r="I1875" t="str">
            <v>Y6</v>
          </cell>
          <cell r="J1875" t="str">
            <v>CPC1</v>
          </cell>
          <cell r="K1875" t="str">
            <v>Y607</v>
          </cell>
          <cell r="L1875" t="str">
            <v>OTHERS CPC1</v>
          </cell>
          <cell r="M1875" t="str">
            <v>Y60703</v>
          </cell>
          <cell r="N1875" t="str">
            <v>COMPLEMENTARY CPC1</v>
          </cell>
        </row>
        <row r="1876">
          <cell r="C1876" t="str">
            <v>170000247</v>
          </cell>
          <cell r="D1876" t="str">
            <v>HARDENER SFC-613-0.5L</v>
          </cell>
          <cell r="E1876" t="str">
            <v>ZTRD</v>
          </cell>
          <cell r="F1876" t="str">
            <v>PC</v>
          </cell>
          <cell r="G1876" t="str">
            <v>X</v>
          </cell>
          <cell r="H1876" t="str">
            <v>TRD RETAIL</v>
          </cell>
          <cell r="I1876" t="str">
            <v>X6</v>
          </cell>
          <cell r="J1876" t="str">
            <v>SFC</v>
          </cell>
          <cell r="K1876" t="str">
            <v>X601</v>
          </cell>
          <cell r="L1876" t="str">
            <v>STONE CARE</v>
          </cell>
          <cell r="M1876" t="str">
            <v>X60106</v>
          </cell>
          <cell r="N1876" t="str">
            <v>STONKOTE</v>
          </cell>
        </row>
        <row r="1877">
          <cell r="C1877" t="str">
            <v>170000253</v>
          </cell>
          <cell r="D1877" t="str">
            <v>IMPRA WF-115 MERBAU-5K</v>
          </cell>
          <cell r="E1877" t="str">
            <v>ZTRD</v>
          </cell>
          <cell r="F1877" t="str">
            <v>PC</v>
          </cell>
          <cell r="G1877" t="str">
            <v>X</v>
          </cell>
          <cell r="H1877" t="str">
            <v>TRD RETAIL</v>
          </cell>
          <cell r="I1877" t="str">
            <v>X1</v>
          </cell>
          <cell r="J1877" t="str">
            <v>WF1</v>
          </cell>
          <cell r="K1877" t="str">
            <v>X115</v>
          </cell>
          <cell r="L1877" t="str">
            <v>IMPRA</v>
          </cell>
          <cell r="M1877" t="str">
            <v>X11511</v>
          </cell>
          <cell r="N1877" t="str">
            <v>IMPRA WOOD FILLER</v>
          </cell>
        </row>
        <row r="1878">
          <cell r="C1878" t="str">
            <v>170000254</v>
          </cell>
          <cell r="D1878" t="str">
            <v>IMPRA AWF-911 KAMPER-1K</v>
          </cell>
          <cell r="E1878" t="str">
            <v>ZTRD</v>
          </cell>
          <cell r="F1878" t="str">
            <v>PC</v>
          </cell>
          <cell r="G1878" t="str">
            <v>X</v>
          </cell>
          <cell r="H1878" t="str">
            <v>TRD RETAIL</v>
          </cell>
          <cell r="I1878" t="str">
            <v>X1</v>
          </cell>
          <cell r="J1878" t="str">
            <v>WF1</v>
          </cell>
          <cell r="K1878" t="str">
            <v>X114</v>
          </cell>
          <cell r="L1878" t="str">
            <v>IMPRA WB</v>
          </cell>
          <cell r="M1878" t="str">
            <v>X11403</v>
          </cell>
          <cell r="N1878" t="str">
            <v>IMPRA AQ WOOD FILLER</v>
          </cell>
        </row>
        <row r="1879">
          <cell r="C1879" t="str">
            <v>170000255</v>
          </cell>
          <cell r="D1879" t="str">
            <v>IMPRA AWF-911 KAMPER-25KP</v>
          </cell>
          <cell r="E1879" t="str">
            <v>ZTRD</v>
          </cell>
          <cell r="F1879" t="str">
            <v>PC</v>
          </cell>
          <cell r="G1879" t="str">
            <v>X</v>
          </cell>
          <cell r="H1879" t="str">
            <v>TRD RETAIL</v>
          </cell>
          <cell r="I1879" t="str">
            <v>X1</v>
          </cell>
          <cell r="J1879" t="str">
            <v>WF1</v>
          </cell>
          <cell r="K1879" t="str">
            <v>X114</v>
          </cell>
          <cell r="L1879" t="str">
            <v>IMPRA WB</v>
          </cell>
          <cell r="M1879" t="str">
            <v>X11403</v>
          </cell>
          <cell r="N1879" t="str">
            <v>IMPRA AQ WOOD FILLER</v>
          </cell>
        </row>
        <row r="1880">
          <cell r="C1880" t="str">
            <v>170000256</v>
          </cell>
          <cell r="D1880" t="str">
            <v>IMPRA AWF-911 SUNGKAI-1K</v>
          </cell>
          <cell r="E1880" t="str">
            <v>ZTRD</v>
          </cell>
          <cell r="F1880" t="str">
            <v>PC</v>
          </cell>
          <cell r="G1880" t="str">
            <v>X</v>
          </cell>
          <cell r="H1880" t="str">
            <v>TRD RETAIL</v>
          </cell>
          <cell r="I1880" t="str">
            <v>X1</v>
          </cell>
          <cell r="J1880" t="str">
            <v>WF1</v>
          </cell>
          <cell r="K1880" t="str">
            <v>X114</v>
          </cell>
          <cell r="L1880" t="str">
            <v>IMPRA WB</v>
          </cell>
          <cell r="M1880" t="str">
            <v>X11403</v>
          </cell>
          <cell r="N1880" t="str">
            <v>IMPRA AQ WOOD FILLER</v>
          </cell>
        </row>
        <row r="1881">
          <cell r="C1881" t="str">
            <v>170000257</v>
          </cell>
          <cell r="D1881" t="str">
            <v>IMPRA AWF-911 SUNGKAI-25KP</v>
          </cell>
          <cell r="E1881" t="str">
            <v>ZTRD</v>
          </cell>
          <cell r="F1881" t="str">
            <v>PC</v>
          </cell>
          <cell r="G1881" t="str">
            <v>X</v>
          </cell>
          <cell r="H1881" t="str">
            <v>TRD RETAIL</v>
          </cell>
          <cell r="I1881" t="str">
            <v>X1</v>
          </cell>
          <cell r="J1881" t="str">
            <v>WF1</v>
          </cell>
          <cell r="K1881" t="str">
            <v>X114</v>
          </cell>
          <cell r="L1881" t="str">
            <v>IMPRA WB</v>
          </cell>
          <cell r="M1881" t="str">
            <v>X11403</v>
          </cell>
          <cell r="N1881" t="str">
            <v>IMPRA AQ WOOD FILLER</v>
          </cell>
        </row>
        <row r="1882">
          <cell r="C1882" t="str">
            <v>170000258</v>
          </cell>
          <cell r="D1882" t="str">
            <v>IMPRA AWF-911 TEAK-1K</v>
          </cell>
          <cell r="E1882" t="str">
            <v>ZTRD</v>
          </cell>
          <cell r="F1882" t="str">
            <v>PC</v>
          </cell>
          <cell r="G1882" t="str">
            <v>X</v>
          </cell>
          <cell r="H1882" t="str">
            <v>TRD RETAIL</v>
          </cell>
          <cell r="I1882" t="str">
            <v>X1</v>
          </cell>
          <cell r="J1882" t="str">
            <v>WF1</v>
          </cell>
          <cell r="K1882" t="str">
            <v>X114</v>
          </cell>
          <cell r="L1882" t="str">
            <v>IMPRA WB</v>
          </cell>
          <cell r="M1882" t="str">
            <v>X11403</v>
          </cell>
          <cell r="N1882" t="str">
            <v>IMPRA AQ WOOD FILLER</v>
          </cell>
        </row>
        <row r="1883">
          <cell r="C1883" t="str">
            <v>170000259</v>
          </cell>
          <cell r="D1883" t="str">
            <v>IMPRA AWF-911 TEAK-25KP</v>
          </cell>
          <cell r="E1883" t="str">
            <v>ZTRD</v>
          </cell>
          <cell r="F1883" t="str">
            <v>PC</v>
          </cell>
          <cell r="G1883" t="str">
            <v>X</v>
          </cell>
          <cell r="H1883" t="str">
            <v>TRD RETAIL</v>
          </cell>
          <cell r="I1883" t="str">
            <v>X1</v>
          </cell>
          <cell r="J1883" t="str">
            <v>WF1</v>
          </cell>
          <cell r="K1883" t="str">
            <v>X114</v>
          </cell>
          <cell r="L1883" t="str">
            <v>IMPRA WB</v>
          </cell>
          <cell r="M1883" t="str">
            <v>X11403</v>
          </cell>
          <cell r="N1883" t="str">
            <v>IMPRA AQ WOOD FILLER</v>
          </cell>
        </row>
        <row r="1884">
          <cell r="C1884" t="str">
            <v>170000260</v>
          </cell>
          <cell r="D1884" t="str">
            <v>IMPRA AWF-911 JATI-1K</v>
          </cell>
          <cell r="E1884" t="str">
            <v>ZTRD</v>
          </cell>
          <cell r="F1884" t="str">
            <v>PC</v>
          </cell>
          <cell r="G1884" t="str">
            <v>X</v>
          </cell>
          <cell r="H1884" t="str">
            <v>TRD RETAIL</v>
          </cell>
          <cell r="I1884" t="str">
            <v>X1</v>
          </cell>
          <cell r="J1884" t="str">
            <v>WF1</v>
          </cell>
          <cell r="K1884" t="str">
            <v>X114</v>
          </cell>
          <cell r="L1884" t="str">
            <v>IMPRA WB</v>
          </cell>
          <cell r="M1884" t="str">
            <v>X11403</v>
          </cell>
          <cell r="N1884" t="str">
            <v>IMPRA AQ WOOD FILLER</v>
          </cell>
        </row>
        <row r="1885">
          <cell r="C1885" t="str">
            <v>170000261</v>
          </cell>
          <cell r="D1885" t="str">
            <v>IMPRA AWF-911 JATI-25KP</v>
          </cell>
          <cell r="E1885" t="str">
            <v>ZTRD</v>
          </cell>
          <cell r="F1885" t="str">
            <v>PC</v>
          </cell>
          <cell r="G1885" t="str">
            <v>X</v>
          </cell>
          <cell r="H1885" t="str">
            <v>TRD RETAIL</v>
          </cell>
          <cell r="I1885" t="str">
            <v>X1</v>
          </cell>
          <cell r="J1885" t="str">
            <v>WF1</v>
          </cell>
          <cell r="K1885" t="str">
            <v>X114</v>
          </cell>
          <cell r="L1885" t="str">
            <v>IMPRA WB</v>
          </cell>
          <cell r="M1885" t="str">
            <v>X11403</v>
          </cell>
          <cell r="N1885" t="str">
            <v>IMPRA AQ WOOD FILLER</v>
          </cell>
        </row>
        <row r="1886">
          <cell r="C1886" t="str">
            <v>170000262</v>
          </cell>
          <cell r="D1886" t="str">
            <v>IMPRA SH-114 WHITE-30KP</v>
          </cell>
          <cell r="E1886" t="str">
            <v>ZTRD</v>
          </cell>
          <cell r="F1886" t="str">
            <v>PC</v>
          </cell>
          <cell r="G1886" t="str">
            <v>X</v>
          </cell>
          <cell r="H1886" t="str">
            <v>TRD RETAIL</v>
          </cell>
          <cell r="I1886" t="str">
            <v>X1</v>
          </cell>
          <cell r="J1886" t="str">
            <v>WF1</v>
          </cell>
          <cell r="K1886" t="str">
            <v>X115</v>
          </cell>
          <cell r="L1886" t="str">
            <v>IMPRA</v>
          </cell>
          <cell r="M1886" t="str">
            <v>X11511</v>
          </cell>
          <cell r="N1886" t="str">
            <v>IMPRA WOOD FILLER</v>
          </cell>
        </row>
        <row r="1887">
          <cell r="C1887" t="str">
            <v>170000263</v>
          </cell>
          <cell r="D1887" t="str">
            <v>IMPRA WP-117 GREY-1K</v>
          </cell>
          <cell r="E1887" t="str">
            <v>ZTRD</v>
          </cell>
          <cell r="F1887" t="str">
            <v>PC</v>
          </cell>
          <cell r="G1887" t="str">
            <v>X</v>
          </cell>
          <cell r="H1887" t="str">
            <v>TRD RETAIL</v>
          </cell>
          <cell r="I1887" t="str">
            <v>X1</v>
          </cell>
          <cell r="J1887" t="str">
            <v>WF1</v>
          </cell>
          <cell r="K1887" t="str">
            <v>X115</v>
          </cell>
          <cell r="L1887" t="str">
            <v>IMPRA</v>
          </cell>
          <cell r="M1887" t="str">
            <v>X11511</v>
          </cell>
          <cell r="N1887" t="str">
            <v>IMPRA WOOD FILLER</v>
          </cell>
        </row>
        <row r="1888">
          <cell r="C1888" t="str">
            <v>170000264</v>
          </cell>
          <cell r="D1888" t="str">
            <v>IMPRA WP-117 WHITE-1K</v>
          </cell>
          <cell r="E1888" t="str">
            <v>ZTRD</v>
          </cell>
          <cell r="F1888" t="str">
            <v>PC</v>
          </cell>
          <cell r="G1888" t="str">
            <v>X</v>
          </cell>
          <cell r="H1888" t="str">
            <v>TRD RETAIL</v>
          </cell>
          <cell r="I1888" t="str">
            <v>X1</v>
          </cell>
          <cell r="J1888" t="str">
            <v>WF1</v>
          </cell>
          <cell r="K1888" t="str">
            <v>X115</v>
          </cell>
          <cell r="L1888" t="str">
            <v>IMPRA</v>
          </cell>
          <cell r="M1888" t="str">
            <v>X11511</v>
          </cell>
          <cell r="N1888" t="str">
            <v>IMPRA WOOD FILLER</v>
          </cell>
        </row>
        <row r="1889">
          <cell r="C1889" t="str">
            <v>170000265</v>
          </cell>
          <cell r="D1889" t="str">
            <v>IMPRA ICC-226 WHITE-1K</v>
          </cell>
          <cell r="E1889" t="str">
            <v>ZTRD</v>
          </cell>
          <cell r="F1889" t="str">
            <v>PC</v>
          </cell>
          <cell r="G1889" t="str">
            <v>X</v>
          </cell>
          <cell r="H1889" t="str">
            <v>TRD RETAIL</v>
          </cell>
          <cell r="I1889" t="str">
            <v>X2</v>
          </cell>
          <cell r="J1889" t="str">
            <v>WF2</v>
          </cell>
          <cell r="K1889" t="str">
            <v>X208</v>
          </cell>
          <cell r="L1889" t="str">
            <v>ACRYLUX</v>
          </cell>
          <cell r="M1889" t="str">
            <v>X20801</v>
          </cell>
          <cell r="N1889" t="str">
            <v>ACRYLUX RMX</v>
          </cell>
        </row>
        <row r="1890">
          <cell r="C1890" t="str">
            <v>170000266</v>
          </cell>
          <cell r="D1890" t="str">
            <v>DUROGLOSS BLACK TT 9406-0.9L</v>
          </cell>
          <cell r="E1890" t="str">
            <v>ZTRD</v>
          </cell>
          <cell r="F1890" t="str">
            <v>PC</v>
          </cell>
          <cell r="G1890" t="str">
            <v>X</v>
          </cell>
          <cell r="H1890" t="str">
            <v>TRD RETAIL</v>
          </cell>
          <cell r="I1890" t="str">
            <v>XA</v>
          </cell>
          <cell r="J1890" t="str">
            <v>PCR</v>
          </cell>
          <cell r="K1890" t="str">
            <v>XA01</v>
          </cell>
          <cell r="L1890" t="str">
            <v>DUROGLOSS</v>
          </cell>
          <cell r="M1890" t="str">
            <v>XA0101</v>
          </cell>
          <cell r="N1890" t="str">
            <v>DUROGLOSS</v>
          </cell>
        </row>
        <row r="1891">
          <cell r="C1891" t="str">
            <v>170000267</v>
          </cell>
          <cell r="D1891" t="str">
            <v>DUROGLOSS DARK CHROME YELLOW 1307-0.9L</v>
          </cell>
          <cell r="E1891" t="str">
            <v>ZTRD</v>
          </cell>
          <cell r="F1891" t="str">
            <v>PC</v>
          </cell>
          <cell r="G1891" t="str">
            <v>X</v>
          </cell>
          <cell r="H1891" t="str">
            <v>TRD RETAIL</v>
          </cell>
          <cell r="I1891" t="str">
            <v>XA</v>
          </cell>
          <cell r="J1891" t="str">
            <v>PCR</v>
          </cell>
          <cell r="K1891" t="str">
            <v>XA01</v>
          </cell>
          <cell r="L1891" t="str">
            <v>DUROGLOSS</v>
          </cell>
          <cell r="M1891" t="str">
            <v>XA0101</v>
          </cell>
          <cell r="N1891" t="str">
            <v>DUROGLOSS</v>
          </cell>
        </row>
        <row r="1892">
          <cell r="C1892" t="str">
            <v>170000268</v>
          </cell>
          <cell r="D1892" t="str">
            <v>DUROGLOSS SUZUKI YELLOW 1226-0.9L</v>
          </cell>
          <cell r="E1892" t="str">
            <v>ZTRD</v>
          </cell>
          <cell r="F1892" t="str">
            <v>PC</v>
          </cell>
          <cell r="G1892" t="str">
            <v>X</v>
          </cell>
          <cell r="H1892" t="str">
            <v>TRD RETAIL</v>
          </cell>
          <cell r="I1892" t="str">
            <v>XA</v>
          </cell>
          <cell r="J1892" t="str">
            <v>PCR</v>
          </cell>
          <cell r="K1892" t="str">
            <v>XA01</v>
          </cell>
          <cell r="L1892" t="str">
            <v>DUROGLOSS</v>
          </cell>
          <cell r="M1892" t="str">
            <v>XA0101</v>
          </cell>
          <cell r="N1892" t="str">
            <v>DUROGLOSS</v>
          </cell>
        </row>
        <row r="1893">
          <cell r="C1893" t="str">
            <v>170000269</v>
          </cell>
          <cell r="D1893" t="str">
            <v>DUROGLOSS RED CHILI 3330-0.9L</v>
          </cell>
          <cell r="E1893" t="str">
            <v>ZTRD</v>
          </cell>
          <cell r="F1893" t="str">
            <v>PC</v>
          </cell>
          <cell r="G1893" t="str">
            <v>X</v>
          </cell>
          <cell r="H1893" t="str">
            <v>TRD RETAIL</v>
          </cell>
          <cell r="I1893" t="str">
            <v>XA</v>
          </cell>
          <cell r="J1893" t="str">
            <v>PCR</v>
          </cell>
          <cell r="K1893" t="str">
            <v>XA01</v>
          </cell>
          <cell r="L1893" t="str">
            <v>DUROGLOSS</v>
          </cell>
          <cell r="M1893" t="str">
            <v>XA0101</v>
          </cell>
          <cell r="N1893" t="str">
            <v>DUROGLOSS</v>
          </cell>
        </row>
        <row r="1894">
          <cell r="C1894" t="str">
            <v>170000270</v>
          </cell>
          <cell r="D1894" t="str">
            <v>DUROGLOSS CYANINE GREEN 6422-0.9L</v>
          </cell>
          <cell r="E1894" t="str">
            <v>ZTRD</v>
          </cell>
          <cell r="F1894" t="str">
            <v>PC</v>
          </cell>
          <cell r="G1894" t="str">
            <v>X</v>
          </cell>
          <cell r="H1894" t="str">
            <v>TRD RETAIL</v>
          </cell>
          <cell r="I1894" t="str">
            <v>XA</v>
          </cell>
          <cell r="J1894" t="str">
            <v>PCR</v>
          </cell>
          <cell r="K1894" t="str">
            <v>XA01</v>
          </cell>
          <cell r="L1894" t="str">
            <v>DUROGLOSS</v>
          </cell>
          <cell r="M1894" t="str">
            <v>XA0101</v>
          </cell>
          <cell r="N1894" t="str">
            <v>DUROGLOSS</v>
          </cell>
        </row>
        <row r="1895">
          <cell r="C1895" t="str">
            <v>170000271</v>
          </cell>
          <cell r="D1895" t="str">
            <v>DUROGLOSS RED TT 3329-0.9L</v>
          </cell>
          <cell r="E1895" t="str">
            <v>ZTRD</v>
          </cell>
          <cell r="F1895" t="str">
            <v>PC</v>
          </cell>
          <cell r="G1895" t="str">
            <v>X</v>
          </cell>
          <cell r="H1895" t="str">
            <v>TRD RETAIL</v>
          </cell>
          <cell r="I1895" t="str">
            <v>XA</v>
          </cell>
          <cell r="J1895" t="str">
            <v>PCR</v>
          </cell>
          <cell r="K1895" t="str">
            <v>XA01</v>
          </cell>
          <cell r="L1895" t="str">
            <v>DUROGLOSS</v>
          </cell>
          <cell r="M1895" t="str">
            <v>XA0101</v>
          </cell>
          <cell r="N1895" t="str">
            <v>DUROGLOSS</v>
          </cell>
        </row>
        <row r="1896">
          <cell r="C1896" t="str">
            <v>170000272</v>
          </cell>
          <cell r="D1896" t="str">
            <v>DUROGLOSS COPPER BROWN 2416-0.9L</v>
          </cell>
          <cell r="E1896" t="str">
            <v>ZTRD</v>
          </cell>
          <cell r="F1896" t="str">
            <v>PC</v>
          </cell>
          <cell r="G1896" t="str">
            <v>X</v>
          </cell>
          <cell r="H1896" t="str">
            <v>TRD RETAIL</v>
          </cell>
          <cell r="I1896" t="str">
            <v>XA</v>
          </cell>
          <cell r="J1896" t="str">
            <v>PCR</v>
          </cell>
          <cell r="K1896" t="str">
            <v>XA01</v>
          </cell>
          <cell r="L1896" t="str">
            <v>DUROGLOSS</v>
          </cell>
          <cell r="M1896" t="str">
            <v>XA0101</v>
          </cell>
          <cell r="N1896" t="str">
            <v>DUROGLOSS</v>
          </cell>
        </row>
        <row r="1897">
          <cell r="C1897" t="str">
            <v>170000273</v>
          </cell>
          <cell r="D1897" t="str">
            <v>DUROGLOSS METRO ORANGE 2315-0.9L</v>
          </cell>
          <cell r="E1897" t="str">
            <v>ZTRD</v>
          </cell>
          <cell r="F1897" t="str">
            <v>PC</v>
          </cell>
          <cell r="G1897" t="str">
            <v>X</v>
          </cell>
          <cell r="H1897" t="str">
            <v>TRD RETAIL</v>
          </cell>
          <cell r="I1897" t="str">
            <v>XA</v>
          </cell>
          <cell r="J1897" t="str">
            <v>PCR</v>
          </cell>
          <cell r="K1897" t="str">
            <v>XA01</v>
          </cell>
          <cell r="L1897" t="str">
            <v>DUROGLOSS</v>
          </cell>
          <cell r="M1897" t="str">
            <v>XA0101</v>
          </cell>
          <cell r="N1897" t="str">
            <v>DUROGLOSS</v>
          </cell>
        </row>
        <row r="1898">
          <cell r="C1898" t="str">
            <v>170000274</v>
          </cell>
          <cell r="D1898" t="str">
            <v>DUROGLOSS VIOLET TT 5102A-0.9L</v>
          </cell>
          <cell r="E1898" t="str">
            <v>ZTRD</v>
          </cell>
          <cell r="F1898" t="str">
            <v>PC</v>
          </cell>
          <cell r="G1898" t="str">
            <v>X</v>
          </cell>
          <cell r="H1898" t="str">
            <v>TRD RETAIL</v>
          </cell>
          <cell r="I1898" t="str">
            <v>XA</v>
          </cell>
          <cell r="J1898" t="str">
            <v>PCR</v>
          </cell>
          <cell r="K1898" t="str">
            <v>XA01</v>
          </cell>
          <cell r="L1898" t="str">
            <v>DUROGLOSS</v>
          </cell>
          <cell r="M1898" t="str">
            <v>XA0101</v>
          </cell>
          <cell r="N1898" t="str">
            <v>DUROGLOSS</v>
          </cell>
        </row>
        <row r="1899">
          <cell r="C1899" t="str">
            <v>170000275</v>
          </cell>
          <cell r="D1899" t="str">
            <v>DUROGLOSS JET BLACK 9452-0.9L</v>
          </cell>
          <cell r="E1899" t="str">
            <v>ZTRD</v>
          </cell>
          <cell r="F1899" t="str">
            <v>PC</v>
          </cell>
          <cell r="G1899" t="str">
            <v>X</v>
          </cell>
          <cell r="H1899" t="str">
            <v>TRD RETAIL</v>
          </cell>
          <cell r="I1899" t="str">
            <v>XA</v>
          </cell>
          <cell r="J1899" t="str">
            <v>PCR</v>
          </cell>
          <cell r="K1899" t="str">
            <v>XA01</v>
          </cell>
          <cell r="L1899" t="str">
            <v>DUROGLOSS</v>
          </cell>
          <cell r="M1899" t="str">
            <v>XA0101</v>
          </cell>
          <cell r="N1899" t="str">
            <v>DUROGLOSS</v>
          </cell>
        </row>
        <row r="1900">
          <cell r="C1900" t="str">
            <v>170000276</v>
          </cell>
          <cell r="D1900" t="str">
            <v>DUROGLOSS HAVANA BROWN 2415-0.9L</v>
          </cell>
          <cell r="E1900" t="str">
            <v>ZTRD</v>
          </cell>
          <cell r="F1900" t="str">
            <v>PC</v>
          </cell>
          <cell r="G1900" t="str">
            <v>X</v>
          </cell>
          <cell r="H1900" t="str">
            <v>TRD RETAIL</v>
          </cell>
          <cell r="I1900" t="str">
            <v>XA</v>
          </cell>
          <cell r="J1900" t="str">
            <v>PCR</v>
          </cell>
          <cell r="K1900" t="str">
            <v>XA01</v>
          </cell>
          <cell r="L1900" t="str">
            <v>DUROGLOSS</v>
          </cell>
          <cell r="M1900" t="str">
            <v>XA0101</v>
          </cell>
          <cell r="N1900" t="str">
            <v>DUROGLOSS</v>
          </cell>
        </row>
        <row r="1901">
          <cell r="C1901" t="str">
            <v>170000277</v>
          </cell>
          <cell r="D1901" t="str">
            <v>DUROGLOSS BELL FLOWER 5304A-0.9L</v>
          </cell>
          <cell r="E1901" t="str">
            <v>ZTRD</v>
          </cell>
          <cell r="F1901" t="str">
            <v>PC</v>
          </cell>
          <cell r="G1901" t="str">
            <v>X</v>
          </cell>
          <cell r="H1901" t="str">
            <v>TRD RETAIL</v>
          </cell>
          <cell r="I1901" t="str">
            <v>XA</v>
          </cell>
          <cell r="J1901" t="str">
            <v>PCR</v>
          </cell>
          <cell r="K1901" t="str">
            <v>XA01</v>
          </cell>
          <cell r="L1901" t="str">
            <v>DUROGLOSS</v>
          </cell>
          <cell r="M1901" t="str">
            <v>XA0101</v>
          </cell>
          <cell r="N1901" t="str">
            <v>DUROGLOSS</v>
          </cell>
        </row>
        <row r="1902">
          <cell r="C1902" t="str">
            <v>170000278</v>
          </cell>
          <cell r="D1902" t="str">
            <v>DUROGLOSS VICTORY RED 3414-0.9L</v>
          </cell>
          <cell r="E1902" t="str">
            <v>ZTRD</v>
          </cell>
          <cell r="F1902" t="str">
            <v>PC</v>
          </cell>
          <cell r="G1902" t="str">
            <v>X</v>
          </cell>
          <cell r="H1902" t="str">
            <v>TRD RETAIL</v>
          </cell>
          <cell r="I1902" t="str">
            <v>XA</v>
          </cell>
          <cell r="J1902" t="str">
            <v>PCR</v>
          </cell>
          <cell r="K1902" t="str">
            <v>XA01</v>
          </cell>
          <cell r="L1902" t="str">
            <v>DUROGLOSS</v>
          </cell>
          <cell r="M1902" t="str">
            <v>XA0101</v>
          </cell>
          <cell r="N1902" t="str">
            <v>DUROGLOSS</v>
          </cell>
        </row>
        <row r="1903">
          <cell r="C1903" t="str">
            <v>170000279</v>
          </cell>
          <cell r="D1903" t="str">
            <v>DUROGLOSS TWEETY YELLOW 1220-0.9L</v>
          </cell>
          <cell r="E1903" t="str">
            <v>ZTRD</v>
          </cell>
          <cell r="F1903" t="str">
            <v>PC</v>
          </cell>
          <cell r="G1903" t="str">
            <v>X</v>
          </cell>
          <cell r="H1903" t="str">
            <v>TRD RETAIL</v>
          </cell>
          <cell r="I1903" t="str">
            <v>XA</v>
          </cell>
          <cell r="J1903" t="str">
            <v>PCR</v>
          </cell>
          <cell r="K1903" t="str">
            <v>XA01</v>
          </cell>
          <cell r="L1903" t="str">
            <v>DUROGLOSS</v>
          </cell>
          <cell r="M1903" t="str">
            <v>XA0101</v>
          </cell>
          <cell r="N1903" t="str">
            <v>DUROGLOSS</v>
          </cell>
        </row>
        <row r="1904">
          <cell r="C1904" t="str">
            <v>170000280</v>
          </cell>
          <cell r="D1904" t="str">
            <v>DUROGLOSS SCARLET RED 3331-0.9L</v>
          </cell>
          <cell r="E1904" t="str">
            <v>ZTRD</v>
          </cell>
          <cell r="F1904" t="str">
            <v>PC</v>
          </cell>
          <cell r="G1904" t="str">
            <v>X</v>
          </cell>
          <cell r="H1904" t="str">
            <v>TRD RETAIL</v>
          </cell>
          <cell r="I1904" t="str">
            <v>XA</v>
          </cell>
          <cell r="J1904" t="str">
            <v>PCR</v>
          </cell>
          <cell r="K1904" t="str">
            <v>XA01</v>
          </cell>
          <cell r="L1904" t="str">
            <v>DUROGLOSS</v>
          </cell>
          <cell r="M1904" t="str">
            <v>XA0101</v>
          </cell>
          <cell r="N1904" t="str">
            <v>DUROGLOSS</v>
          </cell>
        </row>
        <row r="1905">
          <cell r="C1905" t="str">
            <v>170000281</v>
          </cell>
          <cell r="D1905" t="str">
            <v>DUROGLOSS PERMANENT BLUE TT 5438-0.9L</v>
          </cell>
          <cell r="E1905" t="str">
            <v>ZTRD</v>
          </cell>
          <cell r="F1905" t="str">
            <v>PC</v>
          </cell>
          <cell r="G1905" t="str">
            <v>X</v>
          </cell>
          <cell r="H1905" t="str">
            <v>TRD RETAIL</v>
          </cell>
          <cell r="I1905" t="str">
            <v>XA</v>
          </cell>
          <cell r="J1905" t="str">
            <v>PCR</v>
          </cell>
          <cell r="K1905" t="str">
            <v>XA01</v>
          </cell>
          <cell r="L1905" t="str">
            <v>DUROGLOSS</v>
          </cell>
          <cell r="M1905" t="str">
            <v>XA0101</v>
          </cell>
          <cell r="N1905" t="str">
            <v>DUROGLOSS</v>
          </cell>
        </row>
        <row r="1906">
          <cell r="C1906" t="str">
            <v>170000282</v>
          </cell>
          <cell r="D1906" t="str">
            <v>DUROGLOSS ORANGE YELLOW 1218-0.9L</v>
          </cell>
          <cell r="E1906" t="str">
            <v>ZTRD</v>
          </cell>
          <cell r="F1906" t="str">
            <v>PC</v>
          </cell>
          <cell r="G1906" t="str">
            <v>X</v>
          </cell>
          <cell r="H1906" t="str">
            <v>TRD RETAIL</v>
          </cell>
          <cell r="I1906" t="str">
            <v>XA</v>
          </cell>
          <cell r="J1906" t="str">
            <v>PCR</v>
          </cell>
          <cell r="K1906" t="str">
            <v>XA01</v>
          </cell>
          <cell r="L1906" t="str">
            <v>DUROGLOSS</v>
          </cell>
          <cell r="M1906" t="str">
            <v>XA0101</v>
          </cell>
          <cell r="N1906" t="str">
            <v>DUROGLOSS</v>
          </cell>
        </row>
        <row r="1907">
          <cell r="C1907" t="str">
            <v>170000283</v>
          </cell>
          <cell r="D1907" t="str">
            <v>DUROGLOSS LASER RED 3326-0.9L</v>
          </cell>
          <cell r="E1907" t="str">
            <v>ZTRD</v>
          </cell>
          <cell r="F1907" t="str">
            <v>PC</v>
          </cell>
          <cell r="G1907" t="str">
            <v>X</v>
          </cell>
          <cell r="H1907" t="str">
            <v>TRD RETAIL</v>
          </cell>
          <cell r="I1907" t="str">
            <v>XA</v>
          </cell>
          <cell r="J1907" t="str">
            <v>PCR</v>
          </cell>
          <cell r="K1907" t="str">
            <v>XA01</v>
          </cell>
          <cell r="L1907" t="str">
            <v>DUROGLOSS</v>
          </cell>
          <cell r="M1907" t="str">
            <v>XA0101</v>
          </cell>
          <cell r="N1907" t="str">
            <v>DUROGLOSS</v>
          </cell>
        </row>
        <row r="1908">
          <cell r="C1908" t="str">
            <v>170000284</v>
          </cell>
          <cell r="D1908" t="str">
            <v>DUROGLOSS BLUE TT 5450-0.9L</v>
          </cell>
          <cell r="E1908" t="str">
            <v>ZTRD</v>
          </cell>
          <cell r="F1908" t="str">
            <v>PC</v>
          </cell>
          <cell r="G1908" t="str">
            <v>X</v>
          </cell>
          <cell r="H1908" t="str">
            <v>TRD RETAIL</v>
          </cell>
          <cell r="I1908" t="str">
            <v>XA</v>
          </cell>
          <cell r="J1908" t="str">
            <v>PCR</v>
          </cell>
          <cell r="K1908" t="str">
            <v>XA01</v>
          </cell>
          <cell r="L1908" t="str">
            <v>DUROGLOSS</v>
          </cell>
          <cell r="M1908" t="str">
            <v>XA0101</v>
          </cell>
          <cell r="N1908" t="str">
            <v>DUROGLOSS</v>
          </cell>
        </row>
        <row r="1909">
          <cell r="C1909" t="str">
            <v>170000285</v>
          </cell>
          <cell r="D1909" t="str">
            <v>DUROGLOSS BLUE OREO 5306-0.9L</v>
          </cell>
          <cell r="E1909" t="str">
            <v>ZTRD</v>
          </cell>
          <cell r="F1909" t="str">
            <v>PC</v>
          </cell>
          <cell r="G1909" t="str">
            <v>X</v>
          </cell>
          <cell r="H1909" t="str">
            <v>TRD RETAIL</v>
          </cell>
          <cell r="I1909" t="str">
            <v>XA</v>
          </cell>
          <cell r="J1909" t="str">
            <v>PCR</v>
          </cell>
          <cell r="K1909" t="str">
            <v>XA01</v>
          </cell>
          <cell r="L1909" t="str">
            <v>DUROGLOSS</v>
          </cell>
          <cell r="M1909" t="str">
            <v>XA0101</v>
          </cell>
          <cell r="N1909" t="str">
            <v>DUROGLOSS</v>
          </cell>
        </row>
        <row r="1910">
          <cell r="C1910" t="str">
            <v>170000286</v>
          </cell>
          <cell r="D1910" t="str">
            <v>ITALIAN PUSS-743-2K HQ-1LS</v>
          </cell>
          <cell r="E1910" t="str">
            <v>ZTRD</v>
          </cell>
          <cell r="F1910" t="str">
            <v>SET</v>
          </cell>
          <cell r="G1910" t="str">
            <v>X</v>
          </cell>
          <cell r="H1910" t="str">
            <v>TRD RETAIL</v>
          </cell>
          <cell r="I1910" t="str">
            <v>X2</v>
          </cell>
          <cell r="J1910" t="str">
            <v>WF2</v>
          </cell>
          <cell r="K1910" t="str">
            <v>X215</v>
          </cell>
          <cell r="L1910" t="str">
            <v>PU ITALIAN</v>
          </cell>
          <cell r="M1910" t="str">
            <v>X21501</v>
          </cell>
          <cell r="N1910" t="str">
            <v>PROPAN ITALIAN PU</v>
          </cell>
        </row>
        <row r="1911">
          <cell r="C1911" t="str">
            <v>170000287</v>
          </cell>
          <cell r="D1911" t="str">
            <v>PUL-765-2K CLEAR DOF-5LS</v>
          </cell>
          <cell r="E1911" t="str">
            <v>ZTRD</v>
          </cell>
          <cell r="F1911" t="str">
            <v>SET</v>
          </cell>
          <cell r="G1911" t="str">
            <v>X</v>
          </cell>
          <cell r="H1911" t="str">
            <v>TRD RETAIL</v>
          </cell>
          <cell r="I1911" t="str">
            <v>X2</v>
          </cell>
          <cell r="J1911" t="str">
            <v>WF2</v>
          </cell>
          <cell r="K1911" t="str">
            <v>X216</v>
          </cell>
          <cell r="L1911" t="str">
            <v>PU MULTIPURPOSE</v>
          </cell>
          <cell r="M1911" t="str">
            <v>X21601</v>
          </cell>
          <cell r="N1911" t="str">
            <v>PROPAN MP PU ACR RMX</v>
          </cell>
        </row>
        <row r="1912">
          <cell r="C1912" t="str">
            <v>170000288</v>
          </cell>
          <cell r="D1912" t="str">
            <v>PUL-765-2K CLEAR GLOSS-5LS</v>
          </cell>
          <cell r="E1912" t="str">
            <v>ZTRD</v>
          </cell>
          <cell r="F1912" t="str">
            <v>SET</v>
          </cell>
          <cell r="G1912" t="str">
            <v>X</v>
          </cell>
          <cell r="H1912" t="str">
            <v>TRD RETAIL</v>
          </cell>
          <cell r="I1912" t="str">
            <v>X2</v>
          </cell>
          <cell r="J1912" t="str">
            <v>WF2</v>
          </cell>
          <cell r="K1912" t="str">
            <v>X216</v>
          </cell>
          <cell r="L1912" t="str">
            <v>PU MULTIPURPOSE</v>
          </cell>
          <cell r="M1912" t="str">
            <v>X21601</v>
          </cell>
          <cell r="N1912" t="str">
            <v>PROPAN MP PU ACR RMX</v>
          </cell>
        </row>
        <row r="1913">
          <cell r="C1913" t="str">
            <v>170000289</v>
          </cell>
          <cell r="D1913" t="str">
            <v>PUL-765-2K CLEAR SATIN-5LS</v>
          </cell>
          <cell r="E1913" t="str">
            <v>ZTRD</v>
          </cell>
          <cell r="F1913" t="str">
            <v>SET</v>
          </cell>
          <cell r="G1913" t="str">
            <v>X</v>
          </cell>
          <cell r="H1913" t="str">
            <v>TRD RETAIL</v>
          </cell>
          <cell r="I1913" t="str">
            <v>X2</v>
          </cell>
          <cell r="J1913" t="str">
            <v>WF2</v>
          </cell>
          <cell r="K1913" t="str">
            <v>X216</v>
          </cell>
          <cell r="L1913" t="str">
            <v>PU MULTIPURPOSE</v>
          </cell>
          <cell r="M1913" t="str">
            <v>X21601</v>
          </cell>
          <cell r="N1913" t="str">
            <v>PROPAN MP PU ACR RMX</v>
          </cell>
        </row>
        <row r="1914">
          <cell r="C1914" t="str">
            <v>170000290</v>
          </cell>
          <cell r="D1914" t="str">
            <v>PUC-786-2K WHITE GLOSS-5LS</v>
          </cell>
          <cell r="E1914" t="str">
            <v>ZTRD</v>
          </cell>
          <cell r="F1914" t="str">
            <v>SET</v>
          </cell>
          <cell r="G1914" t="str">
            <v>X</v>
          </cell>
          <cell r="H1914" t="str">
            <v>TRD RETAIL</v>
          </cell>
          <cell r="I1914" t="str">
            <v>X2</v>
          </cell>
          <cell r="J1914" t="str">
            <v>WF2</v>
          </cell>
          <cell r="K1914" t="str">
            <v>X216</v>
          </cell>
          <cell r="L1914" t="str">
            <v>PU MULTIPURPOSE</v>
          </cell>
          <cell r="M1914" t="str">
            <v>X21601</v>
          </cell>
          <cell r="N1914" t="str">
            <v>PROPAN MP PU ACR RMX</v>
          </cell>
        </row>
        <row r="1915">
          <cell r="C1915" t="str">
            <v>170000291</v>
          </cell>
          <cell r="D1915" t="str">
            <v>PUC-786-2K HINO GREEN GLOSS-5LS</v>
          </cell>
          <cell r="E1915" t="str">
            <v>ZTRD</v>
          </cell>
          <cell r="F1915" t="str">
            <v>SET</v>
          </cell>
          <cell r="G1915" t="str">
            <v>X</v>
          </cell>
          <cell r="H1915" t="str">
            <v>TRD RETAIL</v>
          </cell>
          <cell r="I1915" t="str">
            <v>X2</v>
          </cell>
          <cell r="J1915" t="str">
            <v>WF2</v>
          </cell>
          <cell r="K1915" t="str">
            <v>X216</v>
          </cell>
          <cell r="L1915" t="str">
            <v>PU MULTIPURPOSE</v>
          </cell>
          <cell r="M1915" t="str">
            <v>X21601</v>
          </cell>
          <cell r="N1915" t="str">
            <v>PROPAN MP PU ACR RMX</v>
          </cell>
        </row>
        <row r="1916">
          <cell r="C1916" t="str">
            <v>170000292</v>
          </cell>
          <cell r="D1916" t="str">
            <v>PUC-786-2K BLACK GLOSS-5LS</v>
          </cell>
          <cell r="E1916" t="str">
            <v>ZTRD</v>
          </cell>
          <cell r="F1916" t="str">
            <v>SET</v>
          </cell>
          <cell r="G1916" t="str">
            <v>X</v>
          </cell>
          <cell r="H1916" t="str">
            <v>TRD RETAIL</v>
          </cell>
          <cell r="I1916" t="str">
            <v>X2</v>
          </cell>
          <cell r="J1916" t="str">
            <v>WF2</v>
          </cell>
          <cell r="K1916" t="str">
            <v>X216</v>
          </cell>
          <cell r="L1916" t="str">
            <v>PU MULTIPURPOSE</v>
          </cell>
          <cell r="M1916" t="str">
            <v>X21601</v>
          </cell>
          <cell r="N1916" t="str">
            <v>PROPAN MP PU ACR RMX</v>
          </cell>
        </row>
        <row r="1917">
          <cell r="C1917" t="str">
            <v>170000293</v>
          </cell>
          <cell r="D1917" t="str">
            <v>PUC-786-2K CHILI RED GLOSS-1LS</v>
          </cell>
          <cell r="E1917" t="str">
            <v>ZTRD</v>
          </cell>
          <cell r="F1917" t="str">
            <v>SET</v>
          </cell>
          <cell r="G1917" t="str">
            <v>X</v>
          </cell>
          <cell r="H1917" t="str">
            <v>TRD RETAIL</v>
          </cell>
          <cell r="I1917" t="str">
            <v>X2</v>
          </cell>
          <cell r="J1917" t="str">
            <v>WF2</v>
          </cell>
          <cell r="K1917" t="str">
            <v>X216</v>
          </cell>
          <cell r="L1917" t="str">
            <v>PU MULTIPURPOSE</v>
          </cell>
          <cell r="M1917" t="str">
            <v>X21601</v>
          </cell>
          <cell r="N1917" t="str">
            <v>PROPAN MP PU ACR RMX</v>
          </cell>
        </row>
        <row r="1918">
          <cell r="C1918" t="str">
            <v>170000294</v>
          </cell>
          <cell r="D1918" t="str">
            <v>PUC-786-2K CHILI RED GLOSS-5LS</v>
          </cell>
          <cell r="E1918" t="str">
            <v>ZTRD</v>
          </cell>
          <cell r="F1918" t="str">
            <v>SET</v>
          </cell>
          <cell r="G1918" t="str">
            <v>X</v>
          </cell>
          <cell r="H1918" t="str">
            <v>TRD RETAIL</v>
          </cell>
          <cell r="I1918" t="str">
            <v>X2</v>
          </cell>
          <cell r="J1918" t="str">
            <v>WF2</v>
          </cell>
          <cell r="K1918" t="str">
            <v>X216</v>
          </cell>
          <cell r="L1918" t="str">
            <v>PU MULTIPURPOSE</v>
          </cell>
          <cell r="M1918" t="str">
            <v>X21601</v>
          </cell>
          <cell r="N1918" t="str">
            <v>PROPAN MP PU ACR RMX</v>
          </cell>
        </row>
        <row r="1919">
          <cell r="C1919" t="str">
            <v>170000295</v>
          </cell>
          <cell r="D1919" t="str">
            <v>PUC-786-2K GREY GLOSS-5LS</v>
          </cell>
          <cell r="E1919" t="str">
            <v>ZTRD</v>
          </cell>
          <cell r="F1919" t="str">
            <v>SET</v>
          </cell>
          <cell r="G1919" t="str">
            <v>X</v>
          </cell>
          <cell r="H1919" t="str">
            <v>TRD RETAIL</v>
          </cell>
          <cell r="I1919" t="str">
            <v>X2</v>
          </cell>
          <cell r="J1919" t="str">
            <v>WF2</v>
          </cell>
          <cell r="K1919" t="str">
            <v>X216</v>
          </cell>
          <cell r="L1919" t="str">
            <v>PU MULTIPURPOSE</v>
          </cell>
          <cell r="M1919" t="str">
            <v>X21601</v>
          </cell>
          <cell r="N1919" t="str">
            <v>PROPAN MP PU ACR RMX</v>
          </cell>
        </row>
        <row r="1920">
          <cell r="C1920" t="str">
            <v>170000296</v>
          </cell>
          <cell r="D1920" t="str">
            <v>PUC-786-2K LEMON YELLOW GLOSS-5LS</v>
          </cell>
          <cell r="E1920" t="str">
            <v>ZTRD</v>
          </cell>
          <cell r="F1920" t="str">
            <v>SET</v>
          </cell>
          <cell r="G1920" t="str">
            <v>X</v>
          </cell>
          <cell r="H1920" t="str">
            <v>TRD RETAIL</v>
          </cell>
          <cell r="I1920" t="str">
            <v>X2</v>
          </cell>
          <cell r="J1920" t="str">
            <v>WF2</v>
          </cell>
          <cell r="K1920" t="str">
            <v>X216</v>
          </cell>
          <cell r="L1920" t="str">
            <v>PU MULTIPURPOSE</v>
          </cell>
          <cell r="M1920" t="str">
            <v>X21601</v>
          </cell>
          <cell r="N1920" t="str">
            <v>PROPAN MP PU ACR RMX</v>
          </cell>
        </row>
        <row r="1921">
          <cell r="C1921" t="str">
            <v>170000297</v>
          </cell>
          <cell r="D1921" t="str">
            <v>PUC-786-2K MARINE BLUE GLOSS-5LS</v>
          </cell>
          <cell r="E1921" t="str">
            <v>ZTRD</v>
          </cell>
          <cell r="F1921" t="str">
            <v>SET</v>
          </cell>
          <cell r="G1921" t="str">
            <v>X</v>
          </cell>
          <cell r="H1921" t="str">
            <v>TRD RETAIL</v>
          </cell>
          <cell r="I1921" t="str">
            <v>X2</v>
          </cell>
          <cell r="J1921" t="str">
            <v>WF2</v>
          </cell>
          <cell r="K1921" t="str">
            <v>X216</v>
          </cell>
          <cell r="L1921" t="str">
            <v>PU MULTIPURPOSE</v>
          </cell>
          <cell r="M1921" t="str">
            <v>X21601</v>
          </cell>
          <cell r="N1921" t="str">
            <v>PROPAN MP PU ACR RMX</v>
          </cell>
        </row>
        <row r="1922">
          <cell r="C1922" t="str">
            <v>170000298</v>
          </cell>
          <cell r="D1922" t="str">
            <v>PUSF-781-2K LIGHT GREY-1LS</v>
          </cell>
          <cell r="E1922" t="str">
            <v>ZTRD</v>
          </cell>
          <cell r="F1922" t="str">
            <v>SET</v>
          </cell>
          <cell r="G1922" t="str">
            <v>X</v>
          </cell>
          <cell r="H1922" t="str">
            <v>TRD RETAIL</v>
          </cell>
          <cell r="I1922" t="str">
            <v>X2</v>
          </cell>
          <cell r="J1922" t="str">
            <v>WF2</v>
          </cell>
          <cell r="K1922" t="str">
            <v>X216</v>
          </cell>
          <cell r="L1922" t="str">
            <v>PU MULTIPURPOSE</v>
          </cell>
          <cell r="M1922" t="str">
            <v>X21601</v>
          </cell>
          <cell r="N1922" t="str">
            <v>PROPAN MP PU ACR RMX</v>
          </cell>
        </row>
        <row r="1923">
          <cell r="C1923" t="str">
            <v>170000299</v>
          </cell>
          <cell r="D1923" t="str">
            <v>PUSF-781-2K LIGHT GREY-5LS</v>
          </cell>
          <cell r="E1923" t="str">
            <v>ZTRD</v>
          </cell>
          <cell r="F1923" t="str">
            <v>SET</v>
          </cell>
          <cell r="G1923" t="str">
            <v>X</v>
          </cell>
          <cell r="H1923" t="str">
            <v>TRD RETAIL</v>
          </cell>
          <cell r="I1923" t="str">
            <v>X2</v>
          </cell>
          <cell r="J1923" t="str">
            <v>WF2</v>
          </cell>
          <cell r="K1923" t="str">
            <v>X216</v>
          </cell>
          <cell r="L1923" t="str">
            <v>PU MULTIPURPOSE</v>
          </cell>
          <cell r="M1923" t="str">
            <v>X21601</v>
          </cell>
          <cell r="N1923" t="str">
            <v>PROPAN MP PU ACR RMX</v>
          </cell>
        </row>
        <row r="1924">
          <cell r="C1924" t="str">
            <v>170000300</v>
          </cell>
          <cell r="D1924" t="str">
            <v>PUSF-781-2K WHITE-5LS</v>
          </cell>
          <cell r="E1924" t="str">
            <v>ZTRD</v>
          </cell>
          <cell r="F1924" t="str">
            <v>SET</v>
          </cell>
          <cell r="G1924" t="str">
            <v>X</v>
          </cell>
          <cell r="H1924" t="str">
            <v>TRD RETAIL</v>
          </cell>
          <cell r="I1924" t="str">
            <v>X2</v>
          </cell>
          <cell r="J1924" t="str">
            <v>WF2</v>
          </cell>
          <cell r="K1924" t="str">
            <v>X216</v>
          </cell>
          <cell r="L1924" t="str">
            <v>PU MULTIPURPOSE</v>
          </cell>
          <cell r="M1924" t="str">
            <v>X21601</v>
          </cell>
          <cell r="N1924" t="str">
            <v>PROPAN MP PU ACR RMX</v>
          </cell>
        </row>
        <row r="1925">
          <cell r="C1925" t="str">
            <v>170000301</v>
          </cell>
          <cell r="D1925" t="str">
            <v>PUSS-760-2K-5LS</v>
          </cell>
          <cell r="E1925" t="str">
            <v>ZTRD</v>
          </cell>
          <cell r="F1925" t="str">
            <v>SET</v>
          </cell>
          <cell r="G1925" t="str">
            <v>X</v>
          </cell>
          <cell r="H1925" t="str">
            <v>TRD RETAIL</v>
          </cell>
          <cell r="I1925" t="str">
            <v>X2</v>
          </cell>
          <cell r="J1925" t="str">
            <v>WF2</v>
          </cell>
          <cell r="K1925" t="str">
            <v>X216</v>
          </cell>
          <cell r="L1925" t="str">
            <v>PU MULTIPURPOSE</v>
          </cell>
          <cell r="M1925" t="str">
            <v>X21601</v>
          </cell>
          <cell r="N1925" t="str">
            <v>PROPAN MP PU ACR RMX</v>
          </cell>
        </row>
        <row r="1926">
          <cell r="C1926" t="str">
            <v>170000302</v>
          </cell>
          <cell r="D1926" t="str">
            <v>PROPAN PWS-631 TEAK-1L</v>
          </cell>
          <cell r="E1926" t="str">
            <v>ZTRD</v>
          </cell>
          <cell r="F1926" t="str">
            <v>PC</v>
          </cell>
          <cell r="G1926" t="str">
            <v>X</v>
          </cell>
          <cell r="H1926" t="str">
            <v>TRD RETAIL</v>
          </cell>
          <cell r="I1926" t="str">
            <v>X4</v>
          </cell>
          <cell r="J1926" t="str">
            <v>WF3</v>
          </cell>
          <cell r="K1926" t="str">
            <v>X412</v>
          </cell>
          <cell r="L1926" t="str">
            <v>WOOD STAIN</v>
          </cell>
          <cell r="M1926" t="str">
            <v>X41201</v>
          </cell>
          <cell r="N1926" t="str">
            <v>PROPAN WOOD STAIN</v>
          </cell>
        </row>
        <row r="1927">
          <cell r="C1927" t="str">
            <v>170000303</v>
          </cell>
          <cell r="D1927" t="str">
            <v>PROPAN PWS-631 WALNUT-1L</v>
          </cell>
          <cell r="E1927" t="str">
            <v>ZTRD</v>
          </cell>
          <cell r="F1927" t="str">
            <v>PC</v>
          </cell>
          <cell r="G1927" t="str">
            <v>X</v>
          </cell>
          <cell r="H1927" t="str">
            <v>TRD RETAIL</v>
          </cell>
          <cell r="I1927" t="str">
            <v>X4</v>
          </cell>
          <cell r="J1927" t="str">
            <v>WF3</v>
          </cell>
          <cell r="K1927" t="str">
            <v>X412</v>
          </cell>
          <cell r="L1927" t="str">
            <v>WOOD STAIN</v>
          </cell>
          <cell r="M1927" t="str">
            <v>X41201</v>
          </cell>
          <cell r="N1927" t="str">
            <v>PROPAN WOOD STAIN</v>
          </cell>
        </row>
        <row r="1928">
          <cell r="C1928" t="str">
            <v>170000304</v>
          </cell>
          <cell r="D1928" t="str">
            <v>PROPAN PWS-631 DARK BROWN-1L</v>
          </cell>
          <cell r="E1928" t="str">
            <v>ZTRD</v>
          </cell>
          <cell r="F1928" t="str">
            <v>PC</v>
          </cell>
          <cell r="G1928" t="str">
            <v>X</v>
          </cell>
          <cell r="H1928" t="str">
            <v>TRD RETAIL</v>
          </cell>
          <cell r="I1928" t="str">
            <v>X4</v>
          </cell>
          <cell r="J1928" t="str">
            <v>WF3</v>
          </cell>
          <cell r="K1928" t="str">
            <v>X412</v>
          </cell>
          <cell r="L1928" t="str">
            <v>WOOD STAIN</v>
          </cell>
          <cell r="M1928" t="str">
            <v>X41201</v>
          </cell>
          <cell r="N1928" t="str">
            <v>PROPAN WOOD STAIN</v>
          </cell>
        </row>
        <row r="1929">
          <cell r="C1929" t="str">
            <v>170000305</v>
          </cell>
          <cell r="D1929" t="str">
            <v>PROPAN PWS-631 CHERRY-1L</v>
          </cell>
          <cell r="E1929" t="str">
            <v>ZTRD</v>
          </cell>
          <cell r="F1929" t="str">
            <v>PC</v>
          </cell>
          <cell r="G1929" t="str">
            <v>X</v>
          </cell>
          <cell r="H1929" t="str">
            <v>TRD RETAIL</v>
          </cell>
          <cell r="I1929" t="str">
            <v>X4</v>
          </cell>
          <cell r="J1929" t="str">
            <v>WF3</v>
          </cell>
          <cell r="K1929" t="str">
            <v>X412</v>
          </cell>
          <cell r="L1929" t="str">
            <v>WOOD STAIN</v>
          </cell>
          <cell r="M1929" t="str">
            <v>X41201</v>
          </cell>
          <cell r="N1929" t="str">
            <v>PROPAN WOOD STAIN</v>
          </cell>
        </row>
        <row r="1930">
          <cell r="C1930" t="str">
            <v>170000306</v>
          </cell>
          <cell r="D1930" t="str">
            <v>PROPAN PWS-631 LIGHT WALNUT-1L</v>
          </cell>
          <cell r="E1930" t="str">
            <v>ZTRD</v>
          </cell>
          <cell r="F1930" t="str">
            <v>PC</v>
          </cell>
          <cell r="G1930" t="str">
            <v>X</v>
          </cell>
          <cell r="H1930" t="str">
            <v>TRD RETAIL</v>
          </cell>
          <cell r="I1930" t="str">
            <v>X4</v>
          </cell>
          <cell r="J1930" t="str">
            <v>WF3</v>
          </cell>
          <cell r="K1930" t="str">
            <v>X412</v>
          </cell>
          <cell r="L1930" t="str">
            <v>WOOD STAIN</v>
          </cell>
          <cell r="M1930" t="str">
            <v>X41201</v>
          </cell>
          <cell r="N1930" t="str">
            <v>PROPAN WOOD STAIN</v>
          </cell>
        </row>
        <row r="1931">
          <cell r="C1931" t="str">
            <v>170000307</v>
          </cell>
          <cell r="D1931" t="str">
            <v>PROPAN PWS-631 AKASIA-1L</v>
          </cell>
          <cell r="E1931" t="str">
            <v>ZTRD</v>
          </cell>
          <cell r="F1931" t="str">
            <v>PC</v>
          </cell>
          <cell r="G1931" t="str">
            <v>X</v>
          </cell>
          <cell r="H1931" t="str">
            <v>TRD RETAIL</v>
          </cell>
          <cell r="I1931" t="str">
            <v>X4</v>
          </cell>
          <cell r="J1931" t="str">
            <v>WF3</v>
          </cell>
          <cell r="K1931" t="str">
            <v>X412</v>
          </cell>
          <cell r="L1931" t="str">
            <v>WOOD STAIN</v>
          </cell>
          <cell r="M1931" t="str">
            <v>X41201</v>
          </cell>
          <cell r="N1931" t="str">
            <v>PROPAN WOOD STAIN</v>
          </cell>
        </row>
        <row r="1932">
          <cell r="C1932" t="str">
            <v>170000308</v>
          </cell>
          <cell r="D1932" t="str">
            <v>PROPAN PWS-631 CLEAR GLOSS-1L</v>
          </cell>
          <cell r="E1932" t="str">
            <v>ZTRD</v>
          </cell>
          <cell r="F1932" t="str">
            <v>PC</v>
          </cell>
          <cell r="G1932" t="str">
            <v>X</v>
          </cell>
          <cell r="H1932" t="str">
            <v>TRD RETAIL</v>
          </cell>
          <cell r="I1932" t="str">
            <v>X4</v>
          </cell>
          <cell r="J1932" t="str">
            <v>WF3</v>
          </cell>
          <cell r="K1932" t="str">
            <v>X412</v>
          </cell>
          <cell r="L1932" t="str">
            <v>WOOD STAIN</v>
          </cell>
          <cell r="M1932" t="str">
            <v>X41201</v>
          </cell>
          <cell r="N1932" t="str">
            <v>PROPAN WOOD STAIN</v>
          </cell>
        </row>
        <row r="1933">
          <cell r="C1933" t="str">
            <v>170000309</v>
          </cell>
          <cell r="D1933" t="str">
            <v>PROPAN PWS-631 POLYSANDER-1L</v>
          </cell>
          <cell r="E1933" t="str">
            <v>ZTRD</v>
          </cell>
          <cell r="F1933" t="str">
            <v>PC</v>
          </cell>
          <cell r="G1933" t="str">
            <v>X</v>
          </cell>
          <cell r="H1933" t="str">
            <v>TRD RETAIL</v>
          </cell>
          <cell r="I1933" t="str">
            <v>X4</v>
          </cell>
          <cell r="J1933" t="str">
            <v>WF3</v>
          </cell>
          <cell r="K1933" t="str">
            <v>X412</v>
          </cell>
          <cell r="L1933" t="str">
            <v>WOOD STAIN</v>
          </cell>
          <cell r="M1933" t="str">
            <v>X41201</v>
          </cell>
          <cell r="N1933" t="str">
            <v>PROPAN WOOD STAIN</v>
          </cell>
        </row>
        <row r="1934">
          <cell r="C1934" t="str">
            <v>170000310</v>
          </cell>
          <cell r="D1934" t="str">
            <v>ULTRAN UTO-555-20LJ</v>
          </cell>
          <cell r="E1934" t="str">
            <v>ZTRD</v>
          </cell>
          <cell r="F1934" t="str">
            <v>PC</v>
          </cell>
          <cell r="G1934" t="str">
            <v>X</v>
          </cell>
          <cell r="H1934" t="str">
            <v>TRD RETAIL</v>
          </cell>
          <cell r="I1934" t="str">
            <v>X4</v>
          </cell>
          <cell r="J1934" t="str">
            <v>WF3</v>
          </cell>
          <cell r="K1934" t="str">
            <v>X413</v>
          </cell>
          <cell r="L1934" t="str">
            <v>ULTRAN</v>
          </cell>
          <cell r="M1934" t="str">
            <v>X41309</v>
          </cell>
          <cell r="N1934" t="str">
            <v>ULTRAN TEAK OIL</v>
          </cell>
        </row>
        <row r="1935">
          <cell r="C1935" t="str">
            <v>170000321</v>
          </cell>
          <cell r="D1935" t="str">
            <v>SYNTHETIC 3000 RX ASH GREY VN-18LP</v>
          </cell>
          <cell r="E1935" t="str">
            <v>ZTRD</v>
          </cell>
          <cell r="F1935" t="str">
            <v>PC</v>
          </cell>
          <cell r="G1935" t="str">
            <v>X</v>
          </cell>
          <cell r="H1935" t="str">
            <v>TRD RETAIL</v>
          </cell>
          <cell r="I1935" t="str">
            <v>X9</v>
          </cell>
          <cell r="J1935" t="str">
            <v>MPC</v>
          </cell>
          <cell r="K1935" t="str">
            <v>X902</v>
          </cell>
          <cell r="L1935" t="str">
            <v>SYNTHETIC ENAMEL SB</v>
          </cell>
          <cell r="M1935" t="str">
            <v>X90203</v>
          </cell>
          <cell r="N1935" t="str">
            <v>SYNTHETIC 3000</v>
          </cell>
        </row>
        <row r="1936">
          <cell r="C1936" t="str">
            <v>170000322</v>
          </cell>
          <cell r="D1936" t="str">
            <v>SYNTHETIC 3000 RX TUDOR GREY VN-18LP</v>
          </cell>
          <cell r="E1936" t="str">
            <v>ZTRD</v>
          </cell>
          <cell r="F1936" t="str">
            <v>PC</v>
          </cell>
          <cell r="G1936" t="str">
            <v>X</v>
          </cell>
          <cell r="H1936" t="str">
            <v>TRD RETAIL</v>
          </cell>
          <cell r="I1936" t="str">
            <v>X9</v>
          </cell>
          <cell r="J1936" t="str">
            <v>MPC</v>
          </cell>
          <cell r="K1936" t="str">
            <v>X902</v>
          </cell>
          <cell r="L1936" t="str">
            <v>SYNTHETIC ENAMEL SB</v>
          </cell>
          <cell r="M1936" t="str">
            <v>X90203</v>
          </cell>
          <cell r="N1936" t="str">
            <v>SYNTHETIC 3000</v>
          </cell>
        </row>
        <row r="1937">
          <cell r="C1937" t="str">
            <v>170000323</v>
          </cell>
          <cell r="D1937" t="str">
            <v>SYNTHETIC 3000 RX WHITE 9101-20LP</v>
          </cell>
          <cell r="E1937" t="str">
            <v>ZTRD</v>
          </cell>
          <cell r="F1937" t="str">
            <v>PC</v>
          </cell>
          <cell r="G1937" t="str">
            <v>X</v>
          </cell>
          <cell r="H1937" t="str">
            <v>TRD RETAIL</v>
          </cell>
          <cell r="I1937" t="str">
            <v>X9</v>
          </cell>
          <cell r="J1937" t="str">
            <v>MPC</v>
          </cell>
          <cell r="K1937" t="str">
            <v>X902</v>
          </cell>
          <cell r="L1937" t="str">
            <v>SYNTHETIC ENAMEL SB</v>
          </cell>
          <cell r="M1937" t="str">
            <v>X90203</v>
          </cell>
          <cell r="N1937" t="str">
            <v>SYNTHETIC 3000</v>
          </cell>
        </row>
        <row r="1938">
          <cell r="C1938" t="str">
            <v>170000324</v>
          </cell>
          <cell r="D1938" t="str">
            <v>SYNTHETIC 3000 RX WHITE 9101-5L</v>
          </cell>
          <cell r="E1938" t="str">
            <v>ZTRD</v>
          </cell>
          <cell r="F1938" t="str">
            <v>PC</v>
          </cell>
          <cell r="G1938" t="str">
            <v>X</v>
          </cell>
          <cell r="H1938" t="str">
            <v>TRD RETAIL</v>
          </cell>
          <cell r="I1938" t="str">
            <v>X9</v>
          </cell>
          <cell r="J1938" t="str">
            <v>MPC</v>
          </cell>
          <cell r="K1938" t="str">
            <v>X902</v>
          </cell>
          <cell r="L1938" t="str">
            <v>SYNTHETIC ENAMEL SB</v>
          </cell>
          <cell r="M1938" t="str">
            <v>X90203</v>
          </cell>
          <cell r="N1938" t="str">
            <v>SYNTHETIC 3000</v>
          </cell>
        </row>
        <row r="1939">
          <cell r="C1939" t="str">
            <v>170000325</v>
          </cell>
          <cell r="D1939" t="str">
            <v>DECOR LOTUS DLI-480 SATIN WHITE-4105-2.5</v>
          </cell>
          <cell r="E1939" t="str">
            <v>ZTRD</v>
          </cell>
          <cell r="F1939" t="str">
            <v>PC</v>
          </cell>
          <cell r="G1939" t="str">
            <v>X</v>
          </cell>
          <cell r="H1939" t="str">
            <v>TRD RETAIL</v>
          </cell>
          <cell r="I1939" t="str">
            <v>X5</v>
          </cell>
          <cell r="J1939" t="str">
            <v>APCT1</v>
          </cell>
          <cell r="K1939" t="str">
            <v>X502</v>
          </cell>
          <cell r="L1939" t="str">
            <v>DECOR</v>
          </cell>
          <cell r="M1939" t="str">
            <v>X50202</v>
          </cell>
          <cell r="N1939" t="str">
            <v>DECORLOTUS RMX</v>
          </cell>
        </row>
        <row r="1940">
          <cell r="C1940" t="str">
            <v>170000326</v>
          </cell>
          <cell r="D1940" t="str">
            <v>DECORLOTUS DLI-480 ADAM GREEN-7108-2.5L</v>
          </cell>
          <cell r="E1940" t="str">
            <v>ZTRD</v>
          </cell>
          <cell r="F1940" t="str">
            <v>PC</v>
          </cell>
          <cell r="G1940" t="str">
            <v>X</v>
          </cell>
          <cell r="H1940" t="str">
            <v>TRD RETAIL</v>
          </cell>
          <cell r="I1940" t="str">
            <v>X5</v>
          </cell>
          <cell r="J1940" t="str">
            <v>APCT1</v>
          </cell>
          <cell r="K1940" t="str">
            <v>X502</v>
          </cell>
          <cell r="L1940" t="str">
            <v>DECOR</v>
          </cell>
          <cell r="M1940" t="str">
            <v>X50202</v>
          </cell>
          <cell r="N1940" t="str">
            <v>DECORLOTUS RMX</v>
          </cell>
        </row>
        <row r="1941">
          <cell r="C1941" t="str">
            <v>170000327</v>
          </cell>
          <cell r="D1941" t="str">
            <v>DP-4010 GREENVILLE 7130-3.8L</v>
          </cell>
          <cell r="E1941" t="str">
            <v>ZTRD</v>
          </cell>
          <cell r="F1941" t="str">
            <v>PC</v>
          </cell>
          <cell r="G1941" t="str">
            <v>3</v>
          </cell>
          <cell r="H1941" t="str">
            <v>TRADING</v>
          </cell>
          <cell r="I1941" t="str">
            <v>38</v>
          </cell>
          <cell r="J1941" t="str">
            <v>ALKANA TRADING</v>
          </cell>
          <cell r="K1941" t="str">
            <v>3801</v>
          </cell>
          <cell r="L1941" t="str">
            <v>COATING</v>
          </cell>
          <cell r="M1941" t="str">
            <v>380101</v>
          </cell>
          <cell r="N1941" t="str">
            <v>DECOR PLAST</v>
          </cell>
        </row>
        <row r="1942">
          <cell r="C1942" t="str">
            <v>170000329</v>
          </cell>
          <cell r="D1942" t="str">
            <v>DP-4010 PAPER LACE 1102-18LP</v>
          </cell>
          <cell r="E1942" t="str">
            <v>ZTRD</v>
          </cell>
          <cell r="F1942" t="str">
            <v>PC</v>
          </cell>
          <cell r="G1942" t="str">
            <v>3</v>
          </cell>
          <cell r="H1942" t="str">
            <v>TRADING</v>
          </cell>
          <cell r="I1942" t="str">
            <v>38</v>
          </cell>
          <cell r="J1942" t="str">
            <v>ALKANA TRADING</v>
          </cell>
          <cell r="K1942" t="str">
            <v>3801</v>
          </cell>
          <cell r="L1942" t="str">
            <v>COATING</v>
          </cell>
          <cell r="M1942" t="str">
            <v>380101</v>
          </cell>
          <cell r="N1942" t="str">
            <v>DECOR PLAST</v>
          </cell>
        </row>
        <row r="1943">
          <cell r="C1943" t="str">
            <v>170000330</v>
          </cell>
          <cell r="D1943" t="str">
            <v>DP-4010 HONEY BUNCH 1023-3.8L</v>
          </cell>
          <cell r="E1943" t="str">
            <v>ZTRD</v>
          </cell>
          <cell r="F1943" t="str">
            <v>PC</v>
          </cell>
          <cell r="G1943" t="str">
            <v>3</v>
          </cell>
          <cell r="H1943" t="str">
            <v>TRADING</v>
          </cell>
          <cell r="I1943" t="str">
            <v>38</v>
          </cell>
          <cell r="J1943" t="str">
            <v>ALKANA TRADING</v>
          </cell>
          <cell r="K1943" t="str">
            <v>3801</v>
          </cell>
          <cell r="L1943" t="str">
            <v>COATING</v>
          </cell>
          <cell r="M1943" t="str">
            <v>380101</v>
          </cell>
          <cell r="N1943" t="str">
            <v>DECOR PLAST</v>
          </cell>
        </row>
        <row r="1944">
          <cell r="C1944" t="str">
            <v>170000331</v>
          </cell>
          <cell r="D1944" t="str">
            <v>DP-4010 BONNI BELLE 0313-3.8L</v>
          </cell>
          <cell r="E1944" t="str">
            <v>ZTRD</v>
          </cell>
          <cell r="F1944" t="str">
            <v>PC</v>
          </cell>
          <cell r="G1944" t="str">
            <v>3</v>
          </cell>
          <cell r="H1944" t="str">
            <v>TRADING</v>
          </cell>
          <cell r="I1944" t="str">
            <v>38</v>
          </cell>
          <cell r="J1944" t="str">
            <v>ALKANA TRADING</v>
          </cell>
          <cell r="K1944" t="str">
            <v>3801</v>
          </cell>
          <cell r="L1944" t="str">
            <v>COATING</v>
          </cell>
          <cell r="M1944" t="str">
            <v>380101</v>
          </cell>
          <cell r="N1944" t="str">
            <v>DECOR PLAST</v>
          </cell>
        </row>
        <row r="1945">
          <cell r="C1945" t="str">
            <v>170000332</v>
          </cell>
          <cell r="D1945" t="str">
            <v>DP-4010 GREAT WHITE 0601-3.8L</v>
          </cell>
          <cell r="E1945" t="str">
            <v>ZTRD</v>
          </cell>
          <cell r="F1945" t="str">
            <v>PC</v>
          </cell>
          <cell r="G1945" t="str">
            <v>3</v>
          </cell>
          <cell r="H1945" t="str">
            <v>TRADING</v>
          </cell>
          <cell r="I1945" t="str">
            <v>38</v>
          </cell>
          <cell r="J1945" t="str">
            <v>ALKANA TRADING</v>
          </cell>
          <cell r="K1945" t="str">
            <v>3801</v>
          </cell>
          <cell r="L1945" t="str">
            <v>COATING</v>
          </cell>
          <cell r="M1945" t="str">
            <v>380101</v>
          </cell>
          <cell r="N1945" t="str">
            <v>DECOR PLAST</v>
          </cell>
        </row>
        <row r="1946">
          <cell r="C1946" t="str">
            <v>170000333</v>
          </cell>
          <cell r="D1946" t="str">
            <v>DP-4010 ARABELLE 0753-3.8L</v>
          </cell>
          <cell r="E1946" t="str">
            <v>ZTRD</v>
          </cell>
          <cell r="F1946" t="str">
            <v>PC</v>
          </cell>
          <cell r="G1946" t="str">
            <v>3</v>
          </cell>
          <cell r="H1946" t="str">
            <v>TRADING</v>
          </cell>
          <cell r="I1946" t="str">
            <v>38</v>
          </cell>
          <cell r="J1946" t="str">
            <v>ALKANA TRADING</v>
          </cell>
          <cell r="K1946" t="str">
            <v>3801</v>
          </cell>
          <cell r="L1946" t="str">
            <v>COATING</v>
          </cell>
          <cell r="M1946" t="str">
            <v>380101</v>
          </cell>
          <cell r="N1946" t="str">
            <v>DECOR PLAST</v>
          </cell>
        </row>
        <row r="1947">
          <cell r="C1947" t="str">
            <v>170000334</v>
          </cell>
          <cell r="D1947" t="str">
            <v>DP-4010 A TOUCH OF TEAL 0511-3.8L</v>
          </cell>
          <cell r="E1947" t="str">
            <v>ZTRD</v>
          </cell>
          <cell r="F1947" t="str">
            <v>PC</v>
          </cell>
          <cell r="G1947" t="str">
            <v>3</v>
          </cell>
          <cell r="H1947" t="str">
            <v>TRADING</v>
          </cell>
          <cell r="I1947" t="str">
            <v>38</v>
          </cell>
          <cell r="J1947" t="str">
            <v>ALKANA TRADING</v>
          </cell>
          <cell r="K1947" t="str">
            <v>3801</v>
          </cell>
          <cell r="L1947" t="str">
            <v>COATING</v>
          </cell>
          <cell r="M1947" t="str">
            <v>380101</v>
          </cell>
          <cell r="N1947" t="str">
            <v>DECOR PLAST</v>
          </cell>
        </row>
        <row r="1948">
          <cell r="C1948" t="str">
            <v>170000335</v>
          </cell>
          <cell r="D1948" t="str">
            <v>DP-4010 SWEET SPRING 0042-3.8L</v>
          </cell>
          <cell r="E1948" t="str">
            <v>ZTRD</v>
          </cell>
          <cell r="F1948" t="str">
            <v>PC</v>
          </cell>
          <cell r="G1948" t="str">
            <v>3</v>
          </cell>
          <cell r="H1948" t="str">
            <v>TRADING</v>
          </cell>
          <cell r="I1948" t="str">
            <v>38</v>
          </cell>
          <cell r="J1948" t="str">
            <v>ALKANA TRADING</v>
          </cell>
          <cell r="K1948" t="str">
            <v>3801</v>
          </cell>
          <cell r="L1948" t="str">
            <v>COATING</v>
          </cell>
          <cell r="M1948" t="str">
            <v>380101</v>
          </cell>
          <cell r="N1948" t="str">
            <v>DECOR PLAST</v>
          </cell>
        </row>
        <row r="1949">
          <cell r="C1949" t="str">
            <v>170000336</v>
          </cell>
          <cell r="D1949" t="str">
            <v>CERAKOTE 998 PALE GREY-3KS</v>
          </cell>
          <cell r="E1949" t="str">
            <v>ZTRD</v>
          </cell>
          <cell r="F1949" t="str">
            <v>SET</v>
          </cell>
          <cell r="G1949" t="str">
            <v>Y</v>
          </cell>
          <cell r="H1949" t="str">
            <v>TRD PROJECT</v>
          </cell>
          <cell r="I1949" t="str">
            <v>Y6</v>
          </cell>
          <cell r="J1949" t="str">
            <v>CPC1</v>
          </cell>
          <cell r="K1949" t="str">
            <v>Y604</v>
          </cell>
          <cell r="L1949" t="str">
            <v>CERAKOTE</v>
          </cell>
          <cell r="M1949" t="str">
            <v>Y60401</v>
          </cell>
          <cell r="N1949" t="str">
            <v>CERAKOTE</v>
          </cell>
        </row>
        <row r="1950">
          <cell r="C1950" t="str">
            <v>170000337</v>
          </cell>
          <cell r="D1950" t="str">
            <v>CERAKOTE 998 SKY BLUE-3KS</v>
          </cell>
          <cell r="E1950" t="str">
            <v>ZTRD</v>
          </cell>
          <cell r="F1950" t="str">
            <v>SET</v>
          </cell>
          <cell r="G1950" t="str">
            <v>Y</v>
          </cell>
          <cell r="H1950" t="str">
            <v>TRD PROJECT</v>
          </cell>
          <cell r="I1950" t="str">
            <v>Y6</v>
          </cell>
          <cell r="J1950" t="str">
            <v>CPC1</v>
          </cell>
          <cell r="K1950" t="str">
            <v>Y604</v>
          </cell>
          <cell r="L1950" t="str">
            <v>CERAKOTE</v>
          </cell>
          <cell r="M1950" t="str">
            <v>Y60401</v>
          </cell>
          <cell r="N1950" t="str">
            <v>CERAKOTE</v>
          </cell>
        </row>
        <row r="1951">
          <cell r="C1951" t="str">
            <v>170000338</v>
          </cell>
          <cell r="D1951" t="str">
            <v>CERAKOTE 998 SEA GREEN-3KS</v>
          </cell>
          <cell r="E1951" t="str">
            <v>ZTRD</v>
          </cell>
          <cell r="F1951" t="str">
            <v>SET</v>
          </cell>
          <cell r="G1951" t="str">
            <v>Y</v>
          </cell>
          <cell r="H1951" t="str">
            <v>TRD PROJECT</v>
          </cell>
          <cell r="I1951" t="str">
            <v>Y6</v>
          </cell>
          <cell r="J1951" t="str">
            <v>CPC1</v>
          </cell>
          <cell r="K1951" t="str">
            <v>Y604</v>
          </cell>
          <cell r="L1951" t="str">
            <v>CERAKOTE</v>
          </cell>
          <cell r="M1951" t="str">
            <v>Y60401</v>
          </cell>
          <cell r="N1951" t="str">
            <v>CERAKOTE</v>
          </cell>
        </row>
        <row r="1952">
          <cell r="C1952" t="str">
            <v>170000339</v>
          </cell>
          <cell r="D1952" t="str">
            <v>CERAKOTE 998 BLACK-3KS</v>
          </cell>
          <cell r="E1952" t="str">
            <v>ZTRD</v>
          </cell>
          <cell r="F1952" t="str">
            <v>SET</v>
          </cell>
          <cell r="G1952" t="str">
            <v>Y</v>
          </cell>
          <cell r="H1952" t="str">
            <v>TRD PROJECT</v>
          </cell>
          <cell r="I1952" t="str">
            <v>Y6</v>
          </cell>
          <cell r="J1952" t="str">
            <v>CPC1</v>
          </cell>
          <cell r="K1952" t="str">
            <v>Y604</v>
          </cell>
          <cell r="L1952" t="str">
            <v>CERAKOTE</v>
          </cell>
          <cell r="M1952" t="str">
            <v>Y60401</v>
          </cell>
          <cell r="N1952" t="str">
            <v>CERAKOTE</v>
          </cell>
        </row>
        <row r="1953">
          <cell r="C1953" t="str">
            <v>170000340</v>
          </cell>
          <cell r="D1953" t="str">
            <v>PFT-613 MF GREEN RAL 6010-29.2KSP</v>
          </cell>
          <cell r="E1953" t="str">
            <v>ZTRD</v>
          </cell>
          <cell r="F1953" t="str">
            <v>SET</v>
          </cell>
          <cell r="G1953" t="str">
            <v>Y</v>
          </cell>
          <cell r="H1953" t="str">
            <v>TRD PROJECT</v>
          </cell>
          <cell r="I1953" t="str">
            <v>Y6</v>
          </cell>
          <cell r="J1953" t="str">
            <v>CPC1</v>
          </cell>
          <cell r="K1953" t="str">
            <v>Y602</v>
          </cell>
          <cell r="L1953" t="str">
            <v>POLYFLOOR</v>
          </cell>
          <cell r="M1953" t="str">
            <v>Y60203</v>
          </cell>
          <cell r="N1953" t="str">
            <v>POLYFLOOR PU</v>
          </cell>
        </row>
        <row r="1954">
          <cell r="C1954" t="str">
            <v>170000341</v>
          </cell>
          <cell r="D1954" t="str">
            <v>TNK-1000 WA LIGHT GREY-5K</v>
          </cell>
          <cell r="E1954" t="str">
            <v>ZTRD</v>
          </cell>
          <cell r="F1954" t="str">
            <v>PC</v>
          </cell>
          <cell r="G1954" t="str">
            <v>X</v>
          </cell>
          <cell r="H1954" t="str">
            <v>TRD RETAIL</v>
          </cell>
          <cell r="I1954" t="str">
            <v>X7</v>
          </cell>
          <cell r="J1954" t="str">
            <v>CPC1</v>
          </cell>
          <cell r="K1954" t="str">
            <v>X701</v>
          </cell>
          <cell r="L1954" t="str">
            <v>TENNOKOTE</v>
          </cell>
          <cell r="M1954" t="str">
            <v>X70101</v>
          </cell>
          <cell r="N1954" t="str">
            <v>TENNOKOTE</v>
          </cell>
        </row>
        <row r="1955">
          <cell r="C1955" t="str">
            <v>170000342</v>
          </cell>
          <cell r="D1955" t="str">
            <v>SYNTHETIC 3000 RX CANARY YELLOW-1208-0.8</v>
          </cell>
          <cell r="E1955" t="str">
            <v>ZTRD</v>
          </cell>
          <cell r="F1955" t="str">
            <v>PC</v>
          </cell>
          <cell r="G1955" t="str">
            <v>X</v>
          </cell>
          <cell r="H1955" t="str">
            <v>TRD RETAIL</v>
          </cell>
          <cell r="I1955" t="str">
            <v>X9</v>
          </cell>
          <cell r="J1955" t="str">
            <v>MPC</v>
          </cell>
          <cell r="K1955" t="str">
            <v>X902</v>
          </cell>
          <cell r="L1955" t="str">
            <v>SYNTHETIC ENAMEL SB</v>
          </cell>
          <cell r="M1955" t="str">
            <v>X90203</v>
          </cell>
          <cell r="N1955" t="str">
            <v>SYNTHETIC 3000</v>
          </cell>
        </row>
        <row r="1956">
          <cell r="C1956" t="str">
            <v>170000343</v>
          </cell>
          <cell r="D1956" t="str">
            <v>SYNTHETIC 3000 RX CANARY YELLOW-1208-5L</v>
          </cell>
          <cell r="E1956" t="str">
            <v>ZTRD</v>
          </cell>
          <cell r="F1956" t="str">
            <v>PC</v>
          </cell>
          <cell r="G1956" t="str">
            <v>X</v>
          </cell>
          <cell r="H1956" t="str">
            <v>TRD RETAIL</v>
          </cell>
          <cell r="I1956" t="str">
            <v>X9</v>
          </cell>
          <cell r="J1956" t="str">
            <v>MPC</v>
          </cell>
          <cell r="K1956" t="str">
            <v>X902</v>
          </cell>
          <cell r="L1956" t="str">
            <v>SYNTHETIC ENAMEL SB</v>
          </cell>
          <cell r="M1956" t="str">
            <v>X90203</v>
          </cell>
          <cell r="N1956" t="str">
            <v>SYNTHETIC 3000</v>
          </cell>
        </row>
        <row r="1957">
          <cell r="C1957" t="str">
            <v>170000344</v>
          </cell>
          <cell r="D1957" t="str">
            <v>SYNTHETIC 3000 RX RIVER BLUE-5413-0.8L</v>
          </cell>
          <cell r="E1957" t="str">
            <v>ZTRD</v>
          </cell>
          <cell r="F1957" t="str">
            <v>PC</v>
          </cell>
          <cell r="G1957" t="str">
            <v>X</v>
          </cell>
          <cell r="H1957" t="str">
            <v>TRD RETAIL</v>
          </cell>
          <cell r="I1957" t="str">
            <v>X9</v>
          </cell>
          <cell r="J1957" t="str">
            <v>MPC</v>
          </cell>
          <cell r="K1957" t="str">
            <v>X902</v>
          </cell>
          <cell r="L1957" t="str">
            <v>SYNTHETIC ENAMEL SB</v>
          </cell>
          <cell r="M1957" t="str">
            <v>X90203</v>
          </cell>
          <cell r="N1957" t="str">
            <v>SYNTHETIC 3000</v>
          </cell>
        </row>
        <row r="1958">
          <cell r="C1958" t="str">
            <v>170000345</v>
          </cell>
          <cell r="D1958" t="str">
            <v>SYNTHETIC 3000 RX RIVER BLUE-5413-5L</v>
          </cell>
          <cell r="E1958" t="str">
            <v>ZTRD</v>
          </cell>
          <cell r="F1958" t="str">
            <v>PC</v>
          </cell>
          <cell r="G1958" t="str">
            <v>X</v>
          </cell>
          <cell r="H1958" t="str">
            <v>TRD RETAIL</v>
          </cell>
          <cell r="I1958" t="str">
            <v>X9</v>
          </cell>
          <cell r="J1958" t="str">
            <v>MPC</v>
          </cell>
          <cell r="K1958" t="str">
            <v>X902</v>
          </cell>
          <cell r="L1958" t="str">
            <v>SYNTHETIC ENAMEL SB</v>
          </cell>
          <cell r="M1958" t="str">
            <v>X90203</v>
          </cell>
          <cell r="N1958" t="str">
            <v>SYNTHETIC 3000</v>
          </cell>
        </row>
        <row r="1959">
          <cell r="C1959" t="str">
            <v>170000346</v>
          </cell>
          <cell r="D1959" t="str">
            <v>SYNTHETIC 3000 RX GEORGIAN GREEN-7113-0.</v>
          </cell>
          <cell r="E1959" t="str">
            <v>ZTRD</v>
          </cell>
          <cell r="F1959" t="str">
            <v>PC</v>
          </cell>
          <cell r="G1959" t="str">
            <v>X</v>
          </cell>
          <cell r="H1959" t="str">
            <v>TRD RETAIL</v>
          </cell>
          <cell r="I1959" t="str">
            <v>X9</v>
          </cell>
          <cell r="J1959" t="str">
            <v>MPC</v>
          </cell>
          <cell r="K1959" t="str">
            <v>X902</v>
          </cell>
          <cell r="L1959" t="str">
            <v>SYNTHETIC ENAMEL SB</v>
          </cell>
          <cell r="M1959" t="str">
            <v>X90203</v>
          </cell>
          <cell r="N1959" t="str">
            <v>SYNTHETIC 3000</v>
          </cell>
        </row>
        <row r="1960">
          <cell r="C1960" t="str">
            <v>170000347</v>
          </cell>
          <cell r="D1960" t="str">
            <v>SYNTHETIC 3000 RX GEORGIAN GREEN-7113-5L</v>
          </cell>
          <cell r="E1960" t="str">
            <v>ZTRD</v>
          </cell>
          <cell r="F1960" t="str">
            <v>PC</v>
          </cell>
          <cell r="G1960" t="str">
            <v>X</v>
          </cell>
          <cell r="H1960" t="str">
            <v>TRD RETAIL</v>
          </cell>
          <cell r="I1960" t="str">
            <v>X9</v>
          </cell>
          <cell r="J1960" t="str">
            <v>MPC</v>
          </cell>
          <cell r="K1960" t="str">
            <v>X902</v>
          </cell>
          <cell r="L1960" t="str">
            <v>SYNTHETIC ENAMEL SB</v>
          </cell>
          <cell r="M1960" t="str">
            <v>X90203</v>
          </cell>
          <cell r="N1960" t="str">
            <v>SYNTHETIC 3000</v>
          </cell>
        </row>
        <row r="1961">
          <cell r="C1961" t="str">
            <v>170000348</v>
          </cell>
          <cell r="D1961" t="str">
            <v>SYNTHETIC 3000 RX ASH GREY-8106-0.8L</v>
          </cell>
          <cell r="E1961" t="str">
            <v>ZTRD</v>
          </cell>
          <cell r="F1961" t="str">
            <v>PC</v>
          </cell>
          <cell r="G1961" t="str">
            <v>X</v>
          </cell>
          <cell r="H1961" t="str">
            <v>TRD RETAIL</v>
          </cell>
          <cell r="I1961" t="str">
            <v>X9</v>
          </cell>
          <cell r="J1961" t="str">
            <v>MPC</v>
          </cell>
          <cell r="K1961" t="str">
            <v>X902</v>
          </cell>
          <cell r="L1961" t="str">
            <v>SYNTHETIC ENAMEL SB</v>
          </cell>
          <cell r="M1961" t="str">
            <v>X90203</v>
          </cell>
          <cell r="N1961" t="str">
            <v>SYNTHETIC 3000</v>
          </cell>
        </row>
        <row r="1962">
          <cell r="C1962" t="str">
            <v>170000349</v>
          </cell>
          <cell r="D1962" t="str">
            <v>SYNTHETIC 3000 RX ASH GREY-8106-5L</v>
          </cell>
          <cell r="E1962" t="str">
            <v>ZTRD</v>
          </cell>
          <cell r="F1962" t="str">
            <v>PC</v>
          </cell>
          <cell r="G1962" t="str">
            <v>X</v>
          </cell>
          <cell r="H1962" t="str">
            <v>TRD RETAIL</v>
          </cell>
          <cell r="I1962" t="str">
            <v>X9</v>
          </cell>
          <cell r="J1962" t="str">
            <v>MPC</v>
          </cell>
          <cell r="K1962" t="str">
            <v>X902</v>
          </cell>
          <cell r="L1962" t="str">
            <v>SYNTHETIC ENAMEL SB</v>
          </cell>
          <cell r="M1962" t="str">
            <v>X90203</v>
          </cell>
          <cell r="N1962" t="str">
            <v>SYNTHETIC 3000</v>
          </cell>
        </row>
        <row r="1963">
          <cell r="C1963" t="str">
            <v>170000350</v>
          </cell>
          <cell r="D1963" t="str">
            <v>SYNTHETIC 3000 RX LIGHT BLUE-5416-0.8L</v>
          </cell>
          <cell r="E1963" t="str">
            <v>ZTRD</v>
          </cell>
          <cell r="F1963" t="str">
            <v>PC</v>
          </cell>
          <cell r="G1963" t="str">
            <v>X</v>
          </cell>
          <cell r="H1963" t="str">
            <v>TRD RETAIL</v>
          </cell>
          <cell r="I1963" t="str">
            <v>X9</v>
          </cell>
          <cell r="J1963" t="str">
            <v>MPC</v>
          </cell>
          <cell r="K1963" t="str">
            <v>X902</v>
          </cell>
          <cell r="L1963" t="str">
            <v>SYNTHETIC ENAMEL SB</v>
          </cell>
          <cell r="M1963" t="str">
            <v>X90203</v>
          </cell>
          <cell r="N1963" t="str">
            <v>SYNTHETIC 3000</v>
          </cell>
        </row>
        <row r="1964">
          <cell r="C1964" t="str">
            <v>170000351</v>
          </cell>
          <cell r="D1964" t="str">
            <v>SYNTHETIC 3000 RX LIGHT BLUE-5416-5L</v>
          </cell>
          <cell r="E1964" t="str">
            <v>ZTRD</v>
          </cell>
          <cell r="F1964" t="str">
            <v>PC</v>
          </cell>
          <cell r="G1964" t="str">
            <v>X</v>
          </cell>
          <cell r="H1964" t="str">
            <v>TRD RETAIL</v>
          </cell>
          <cell r="I1964" t="str">
            <v>X9</v>
          </cell>
          <cell r="J1964" t="str">
            <v>MPC</v>
          </cell>
          <cell r="K1964" t="str">
            <v>X902</v>
          </cell>
          <cell r="L1964" t="str">
            <v>SYNTHETIC ENAMEL SB</v>
          </cell>
          <cell r="M1964" t="str">
            <v>X90203</v>
          </cell>
          <cell r="N1964" t="str">
            <v>SYNTHETIC 3000</v>
          </cell>
        </row>
        <row r="1965">
          <cell r="C1965" t="str">
            <v>170000352</v>
          </cell>
          <cell r="D1965" t="str">
            <v>SYNTHETIC 3000 RX GENTIAN BLUE-5409-0.8L</v>
          </cell>
          <cell r="E1965" t="str">
            <v>ZTRD</v>
          </cell>
          <cell r="F1965" t="str">
            <v>PC</v>
          </cell>
          <cell r="G1965" t="str">
            <v>X</v>
          </cell>
          <cell r="H1965" t="str">
            <v>TRD RETAIL</v>
          </cell>
          <cell r="I1965" t="str">
            <v>X9</v>
          </cell>
          <cell r="J1965" t="str">
            <v>MPC</v>
          </cell>
          <cell r="K1965" t="str">
            <v>X902</v>
          </cell>
          <cell r="L1965" t="str">
            <v>SYNTHETIC ENAMEL SB</v>
          </cell>
          <cell r="M1965" t="str">
            <v>X90203</v>
          </cell>
          <cell r="N1965" t="str">
            <v>SYNTHETIC 3000</v>
          </cell>
        </row>
        <row r="1966">
          <cell r="C1966" t="str">
            <v>170000353</v>
          </cell>
          <cell r="D1966" t="str">
            <v>SYNTHETIC 3000 RX GENTIAN BLUE-5409-5L</v>
          </cell>
          <cell r="E1966" t="str">
            <v>ZTRD</v>
          </cell>
          <cell r="F1966" t="str">
            <v>PC</v>
          </cell>
          <cell r="G1966" t="str">
            <v>X</v>
          </cell>
          <cell r="H1966" t="str">
            <v>TRD RETAIL</v>
          </cell>
          <cell r="I1966" t="str">
            <v>X9</v>
          </cell>
          <cell r="J1966" t="str">
            <v>MPC</v>
          </cell>
          <cell r="K1966" t="str">
            <v>X902</v>
          </cell>
          <cell r="L1966" t="str">
            <v>SYNTHETIC ENAMEL SB</v>
          </cell>
          <cell r="M1966" t="str">
            <v>X90203</v>
          </cell>
          <cell r="N1966" t="str">
            <v>SYNTHETIC 3000</v>
          </cell>
        </row>
        <row r="1967">
          <cell r="C1967" t="str">
            <v>170000354</v>
          </cell>
          <cell r="D1967" t="str">
            <v>SYNTHETIC 3000 RX BEIGE-1129-0.8L</v>
          </cell>
          <cell r="E1967" t="str">
            <v>ZTRD</v>
          </cell>
          <cell r="F1967" t="str">
            <v>PC</v>
          </cell>
          <cell r="G1967" t="str">
            <v>X</v>
          </cell>
          <cell r="H1967" t="str">
            <v>TRD RETAIL</v>
          </cell>
          <cell r="I1967" t="str">
            <v>X9</v>
          </cell>
          <cell r="J1967" t="str">
            <v>MPC</v>
          </cell>
          <cell r="K1967" t="str">
            <v>X902</v>
          </cell>
          <cell r="L1967" t="str">
            <v>SYNTHETIC ENAMEL SB</v>
          </cell>
          <cell r="M1967" t="str">
            <v>X90203</v>
          </cell>
          <cell r="N1967" t="str">
            <v>SYNTHETIC 3000</v>
          </cell>
        </row>
        <row r="1968">
          <cell r="C1968" t="str">
            <v>170000355</v>
          </cell>
          <cell r="D1968" t="str">
            <v>SYNTHETIC 3000 RX BEIGE-1129-5L</v>
          </cell>
          <cell r="E1968" t="str">
            <v>ZTRD</v>
          </cell>
          <cell r="F1968" t="str">
            <v>PC</v>
          </cell>
          <cell r="G1968" t="str">
            <v>X</v>
          </cell>
          <cell r="H1968" t="str">
            <v>TRD RETAIL</v>
          </cell>
          <cell r="I1968" t="str">
            <v>X9</v>
          </cell>
          <cell r="J1968" t="str">
            <v>MPC</v>
          </cell>
          <cell r="K1968" t="str">
            <v>X902</v>
          </cell>
          <cell r="L1968" t="str">
            <v>SYNTHETIC ENAMEL SB</v>
          </cell>
          <cell r="M1968" t="str">
            <v>X90203</v>
          </cell>
          <cell r="N1968" t="str">
            <v>SYNTHETIC 3000</v>
          </cell>
        </row>
        <row r="1969">
          <cell r="C1969" t="str">
            <v>170000356</v>
          </cell>
          <cell r="D1969" t="str">
            <v>SYNTHETIC 3000 RX LIGHT TAN-1403-0.8L</v>
          </cell>
          <cell r="E1969" t="str">
            <v>ZTRD</v>
          </cell>
          <cell r="F1969" t="str">
            <v>PC</v>
          </cell>
          <cell r="G1969" t="str">
            <v>X</v>
          </cell>
          <cell r="H1969" t="str">
            <v>TRD RETAIL</v>
          </cell>
          <cell r="I1969" t="str">
            <v>X9</v>
          </cell>
          <cell r="J1969" t="str">
            <v>MPC</v>
          </cell>
          <cell r="K1969" t="str">
            <v>X902</v>
          </cell>
          <cell r="L1969" t="str">
            <v>SYNTHETIC ENAMEL SB</v>
          </cell>
          <cell r="M1969" t="str">
            <v>X90203</v>
          </cell>
          <cell r="N1969" t="str">
            <v>SYNTHETIC 3000</v>
          </cell>
        </row>
        <row r="1970">
          <cell r="C1970" t="str">
            <v>170000357</v>
          </cell>
          <cell r="D1970" t="str">
            <v>SYNTHETIC 3000 RX KIWI-1401-0.8L</v>
          </cell>
          <cell r="E1970" t="str">
            <v>ZTRD</v>
          </cell>
          <cell r="F1970" t="str">
            <v>PC</v>
          </cell>
          <cell r="G1970" t="str">
            <v>X</v>
          </cell>
          <cell r="H1970" t="str">
            <v>TRD RETAIL</v>
          </cell>
          <cell r="I1970" t="str">
            <v>X9</v>
          </cell>
          <cell r="J1970" t="str">
            <v>MPC</v>
          </cell>
          <cell r="K1970" t="str">
            <v>X902</v>
          </cell>
          <cell r="L1970" t="str">
            <v>SYNTHETIC ENAMEL SB</v>
          </cell>
          <cell r="M1970" t="str">
            <v>X90203</v>
          </cell>
          <cell r="N1970" t="str">
            <v>SYNTHETIC 3000</v>
          </cell>
        </row>
        <row r="1971">
          <cell r="C1971" t="str">
            <v>170000358</v>
          </cell>
          <cell r="D1971" t="str">
            <v>SYNTHETIC 3000 RX KIWI-1401-5L</v>
          </cell>
          <cell r="E1971" t="str">
            <v>ZTRD</v>
          </cell>
          <cell r="F1971" t="str">
            <v>PC</v>
          </cell>
          <cell r="G1971" t="str">
            <v>X</v>
          </cell>
          <cell r="H1971" t="str">
            <v>TRD RETAIL</v>
          </cell>
          <cell r="I1971" t="str">
            <v>X9</v>
          </cell>
          <cell r="J1971" t="str">
            <v>MPC</v>
          </cell>
          <cell r="K1971" t="str">
            <v>X902</v>
          </cell>
          <cell r="L1971" t="str">
            <v>SYNTHETIC ENAMEL SB</v>
          </cell>
          <cell r="M1971" t="str">
            <v>X90203</v>
          </cell>
          <cell r="N1971" t="str">
            <v>SYNTHETIC 3000</v>
          </cell>
        </row>
        <row r="1972">
          <cell r="C1972" t="str">
            <v>170000359</v>
          </cell>
          <cell r="D1972" t="str">
            <v>SYNTHETIC 3000 RX PAPAYA-2305-0.8L</v>
          </cell>
          <cell r="E1972" t="str">
            <v>ZTRD</v>
          </cell>
          <cell r="F1972" t="str">
            <v>PC</v>
          </cell>
          <cell r="G1972" t="str">
            <v>X</v>
          </cell>
          <cell r="H1972" t="str">
            <v>TRD RETAIL</v>
          </cell>
          <cell r="I1972" t="str">
            <v>X9</v>
          </cell>
          <cell r="J1972" t="str">
            <v>MPC</v>
          </cell>
          <cell r="K1972" t="str">
            <v>X902</v>
          </cell>
          <cell r="L1972" t="str">
            <v>SYNTHETIC ENAMEL SB</v>
          </cell>
          <cell r="M1972" t="str">
            <v>X90203</v>
          </cell>
          <cell r="N1972" t="str">
            <v>SYNTHETIC 3000</v>
          </cell>
        </row>
        <row r="1973">
          <cell r="C1973" t="str">
            <v>170000360</v>
          </cell>
          <cell r="D1973" t="str">
            <v>SYNTHETIC 3000 RX PAPAYA-2305-5L</v>
          </cell>
          <cell r="E1973" t="str">
            <v>ZTRD</v>
          </cell>
          <cell r="F1973" t="str">
            <v>PC</v>
          </cell>
          <cell r="G1973" t="str">
            <v>X</v>
          </cell>
          <cell r="H1973" t="str">
            <v>TRD RETAIL</v>
          </cell>
          <cell r="I1973" t="str">
            <v>X9</v>
          </cell>
          <cell r="J1973" t="str">
            <v>MPC</v>
          </cell>
          <cell r="K1973" t="str">
            <v>X902</v>
          </cell>
          <cell r="L1973" t="str">
            <v>SYNTHETIC ENAMEL SB</v>
          </cell>
          <cell r="M1973" t="str">
            <v>X90203</v>
          </cell>
          <cell r="N1973" t="str">
            <v>SYNTHETIC 3000</v>
          </cell>
        </row>
        <row r="1974">
          <cell r="C1974" t="str">
            <v>170000361</v>
          </cell>
          <cell r="D1974" t="str">
            <v>SYNTHETIC 3000 RX LEMON YELLOW-1205-0.8L</v>
          </cell>
          <cell r="E1974" t="str">
            <v>ZTRD</v>
          </cell>
          <cell r="F1974" t="str">
            <v>PC</v>
          </cell>
          <cell r="G1974" t="str">
            <v>X</v>
          </cell>
          <cell r="H1974" t="str">
            <v>TRD RETAIL</v>
          </cell>
          <cell r="I1974" t="str">
            <v>X9</v>
          </cell>
          <cell r="J1974" t="str">
            <v>MPC</v>
          </cell>
          <cell r="K1974" t="str">
            <v>X902</v>
          </cell>
          <cell r="L1974" t="str">
            <v>SYNTHETIC ENAMEL SB</v>
          </cell>
          <cell r="M1974" t="str">
            <v>X90203</v>
          </cell>
          <cell r="N1974" t="str">
            <v>SYNTHETIC 3000</v>
          </cell>
        </row>
        <row r="1975">
          <cell r="C1975" t="str">
            <v>170000362</v>
          </cell>
          <cell r="D1975" t="str">
            <v>SYNTHETIC 3000 RX LEMON YELLOW-1205-5L</v>
          </cell>
          <cell r="E1975" t="str">
            <v>ZTRD</v>
          </cell>
          <cell r="F1975" t="str">
            <v>PC</v>
          </cell>
          <cell r="G1975" t="str">
            <v>X</v>
          </cell>
          <cell r="H1975" t="str">
            <v>TRD RETAIL</v>
          </cell>
          <cell r="I1975" t="str">
            <v>X9</v>
          </cell>
          <cell r="J1975" t="str">
            <v>MPC</v>
          </cell>
          <cell r="K1975" t="str">
            <v>X902</v>
          </cell>
          <cell r="L1975" t="str">
            <v>SYNTHETIC ENAMEL SB</v>
          </cell>
          <cell r="M1975" t="str">
            <v>X90203</v>
          </cell>
          <cell r="N1975" t="str">
            <v>SYNTHETIC 3000</v>
          </cell>
        </row>
        <row r="1976">
          <cell r="C1976" t="str">
            <v>170000363</v>
          </cell>
          <cell r="D1976" t="str">
            <v>SYNTHETIC 3000 RX ANTIQUE BROWN-2403-0.8</v>
          </cell>
          <cell r="E1976" t="str">
            <v>ZTRD</v>
          </cell>
          <cell r="F1976" t="str">
            <v>PC</v>
          </cell>
          <cell r="G1976" t="str">
            <v>X</v>
          </cell>
          <cell r="H1976" t="str">
            <v>TRD RETAIL</v>
          </cell>
          <cell r="I1976" t="str">
            <v>X9</v>
          </cell>
          <cell r="J1976" t="str">
            <v>MPC</v>
          </cell>
          <cell r="K1976" t="str">
            <v>X902</v>
          </cell>
          <cell r="L1976" t="str">
            <v>SYNTHETIC ENAMEL SB</v>
          </cell>
          <cell r="M1976" t="str">
            <v>X90203</v>
          </cell>
          <cell r="N1976" t="str">
            <v>SYNTHETIC 3000</v>
          </cell>
        </row>
        <row r="1977">
          <cell r="C1977" t="str">
            <v>170000364</v>
          </cell>
          <cell r="D1977" t="str">
            <v>SYNTHETIC 3000 RX MIDDLE GREY-9404-0.8L</v>
          </cell>
          <cell r="E1977" t="str">
            <v>ZTRD</v>
          </cell>
          <cell r="F1977" t="str">
            <v>PC</v>
          </cell>
          <cell r="G1977" t="str">
            <v>X</v>
          </cell>
          <cell r="H1977" t="str">
            <v>TRD RETAIL</v>
          </cell>
          <cell r="I1977" t="str">
            <v>X9</v>
          </cell>
          <cell r="J1977" t="str">
            <v>MPC</v>
          </cell>
          <cell r="K1977" t="str">
            <v>X902</v>
          </cell>
          <cell r="L1977" t="str">
            <v>SYNTHETIC ENAMEL SB</v>
          </cell>
          <cell r="M1977" t="str">
            <v>X90203</v>
          </cell>
          <cell r="N1977" t="str">
            <v>SYNTHETIC 3000</v>
          </cell>
        </row>
        <row r="1978">
          <cell r="C1978" t="str">
            <v>170000365</v>
          </cell>
          <cell r="D1978" t="str">
            <v>SYNTHETIC 3000 RX MIDDLE GREY-9404-5L</v>
          </cell>
          <cell r="E1978" t="str">
            <v>ZTRD</v>
          </cell>
          <cell r="F1978" t="str">
            <v>PC</v>
          </cell>
          <cell r="G1978" t="str">
            <v>X</v>
          </cell>
          <cell r="H1978" t="str">
            <v>TRD RETAIL</v>
          </cell>
          <cell r="I1978" t="str">
            <v>X9</v>
          </cell>
          <cell r="J1978" t="str">
            <v>MPC</v>
          </cell>
          <cell r="K1978" t="str">
            <v>X902</v>
          </cell>
          <cell r="L1978" t="str">
            <v>SYNTHETIC ENAMEL SB</v>
          </cell>
          <cell r="M1978" t="str">
            <v>X90203</v>
          </cell>
          <cell r="N1978" t="str">
            <v>SYNTHETIC 3000</v>
          </cell>
        </row>
        <row r="1979">
          <cell r="C1979" t="str">
            <v>170000366</v>
          </cell>
          <cell r="D1979" t="str">
            <v>SYNTHETIC 3000 RX SIENNA BROWN-2409-0.8L</v>
          </cell>
          <cell r="E1979" t="str">
            <v>ZTRD</v>
          </cell>
          <cell r="F1979" t="str">
            <v>PC</v>
          </cell>
          <cell r="G1979" t="str">
            <v>X</v>
          </cell>
          <cell r="H1979" t="str">
            <v>TRD RETAIL</v>
          </cell>
          <cell r="I1979" t="str">
            <v>X9</v>
          </cell>
          <cell r="J1979" t="str">
            <v>MPC</v>
          </cell>
          <cell r="K1979" t="str">
            <v>X902</v>
          </cell>
          <cell r="L1979" t="str">
            <v>SYNTHETIC ENAMEL SB</v>
          </cell>
          <cell r="M1979" t="str">
            <v>X90203</v>
          </cell>
          <cell r="N1979" t="str">
            <v>SYNTHETIC 3000</v>
          </cell>
        </row>
        <row r="1980">
          <cell r="C1980" t="str">
            <v>170000367</v>
          </cell>
          <cell r="D1980" t="str">
            <v>SYNTHETIC 3000 RX SIENNA BROWN-2409-5L</v>
          </cell>
          <cell r="E1980" t="str">
            <v>ZTRD</v>
          </cell>
          <cell r="F1980" t="str">
            <v>PC</v>
          </cell>
          <cell r="G1980" t="str">
            <v>X</v>
          </cell>
          <cell r="H1980" t="str">
            <v>TRD RETAIL</v>
          </cell>
          <cell r="I1980" t="str">
            <v>X9</v>
          </cell>
          <cell r="J1980" t="str">
            <v>MPC</v>
          </cell>
          <cell r="K1980" t="str">
            <v>X902</v>
          </cell>
          <cell r="L1980" t="str">
            <v>SYNTHETIC ENAMEL SB</v>
          </cell>
          <cell r="M1980" t="str">
            <v>X90203</v>
          </cell>
          <cell r="N1980" t="str">
            <v>SYNTHETIC 3000</v>
          </cell>
        </row>
        <row r="1981">
          <cell r="C1981" t="str">
            <v>170000368</v>
          </cell>
          <cell r="D1981" t="str">
            <v>SYNTHETIC 3000 RX PLATINUM GREY-6405-0.8</v>
          </cell>
          <cell r="E1981" t="str">
            <v>ZTRD</v>
          </cell>
          <cell r="F1981" t="str">
            <v>PC</v>
          </cell>
          <cell r="G1981" t="str">
            <v>X</v>
          </cell>
          <cell r="H1981" t="str">
            <v>TRD RETAIL</v>
          </cell>
          <cell r="I1981" t="str">
            <v>X9</v>
          </cell>
          <cell r="J1981" t="str">
            <v>MPC</v>
          </cell>
          <cell r="K1981" t="str">
            <v>X902</v>
          </cell>
          <cell r="L1981" t="str">
            <v>SYNTHETIC ENAMEL SB</v>
          </cell>
          <cell r="M1981" t="str">
            <v>X90203</v>
          </cell>
          <cell r="N1981" t="str">
            <v>SYNTHETIC 3000</v>
          </cell>
        </row>
        <row r="1982">
          <cell r="C1982" t="str">
            <v>170000369</v>
          </cell>
          <cell r="D1982" t="str">
            <v>SYNTHETIC 3000 RX PLATINUM GREY-6405-5L</v>
          </cell>
          <cell r="E1982" t="str">
            <v>ZTRD</v>
          </cell>
          <cell r="F1982" t="str">
            <v>PC</v>
          </cell>
          <cell r="G1982" t="str">
            <v>X</v>
          </cell>
          <cell r="H1982" t="str">
            <v>TRD RETAIL</v>
          </cell>
          <cell r="I1982" t="str">
            <v>X9</v>
          </cell>
          <cell r="J1982" t="str">
            <v>MPC</v>
          </cell>
          <cell r="K1982" t="str">
            <v>X902</v>
          </cell>
          <cell r="L1982" t="str">
            <v>SYNTHETIC ENAMEL SB</v>
          </cell>
          <cell r="M1982" t="str">
            <v>X90203</v>
          </cell>
          <cell r="N1982" t="str">
            <v>SYNTHETIC 3000</v>
          </cell>
        </row>
        <row r="1983">
          <cell r="C1983" t="str">
            <v>170000370</v>
          </cell>
          <cell r="D1983" t="str">
            <v>SYNTHETIC 3000 RX VERMILLON RED-3308-0.8</v>
          </cell>
          <cell r="E1983" t="str">
            <v>ZTRD</v>
          </cell>
          <cell r="F1983" t="str">
            <v>PC</v>
          </cell>
          <cell r="G1983" t="str">
            <v>X</v>
          </cell>
          <cell r="H1983" t="str">
            <v>TRD RETAIL</v>
          </cell>
          <cell r="I1983" t="str">
            <v>X9</v>
          </cell>
          <cell r="J1983" t="str">
            <v>MPC</v>
          </cell>
          <cell r="K1983" t="str">
            <v>X902</v>
          </cell>
          <cell r="L1983" t="str">
            <v>SYNTHETIC ENAMEL SB</v>
          </cell>
          <cell r="M1983" t="str">
            <v>X90203</v>
          </cell>
          <cell r="N1983" t="str">
            <v>SYNTHETIC 3000</v>
          </cell>
        </row>
        <row r="1984">
          <cell r="C1984" t="str">
            <v>170000371</v>
          </cell>
          <cell r="D1984" t="str">
            <v>SYNTHETIC 3000 RX VERMILLON RED-3308-5L</v>
          </cell>
          <cell r="E1984" t="str">
            <v>ZTRD</v>
          </cell>
          <cell r="F1984" t="str">
            <v>PC</v>
          </cell>
          <cell r="G1984" t="str">
            <v>X</v>
          </cell>
          <cell r="H1984" t="str">
            <v>TRD RETAIL</v>
          </cell>
          <cell r="I1984" t="str">
            <v>X9</v>
          </cell>
          <cell r="J1984" t="str">
            <v>MPC</v>
          </cell>
          <cell r="K1984" t="str">
            <v>X902</v>
          </cell>
          <cell r="L1984" t="str">
            <v>SYNTHETIC ENAMEL SB</v>
          </cell>
          <cell r="M1984" t="str">
            <v>X90203</v>
          </cell>
          <cell r="N1984" t="str">
            <v>SYNTHETIC 3000</v>
          </cell>
        </row>
        <row r="1985">
          <cell r="C1985" t="str">
            <v>170000372</v>
          </cell>
          <cell r="D1985" t="str">
            <v>SYNTHETIC 3000 RX MERLIN BLUE-5410-0.8L</v>
          </cell>
          <cell r="E1985" t="str">
            <v>ZTRD</v>
          </cell>
          <cell r="F1985" t="str">
            <v>PC</v>
          </cell>
          <cell r="G1985" t="str">
            <v>X</v>
          </cell>
          <cell r="H1985" t="str">
            <v>TRD RETAIL</v>
          </cell>
          <cell r="I1985" t="str">
            <v>X9</v>
          </cell>
          <cell r="J1985" t="str">
            <v>MPC</v>
          </cell>
          <cell r="K1985" t="str">
            <v>X902</v>
          </cell>
          <cell r="L1985" t="str">
            <v>SYNTHETIC ENAMEL SB</v>
          </cell>
          <cell r="M1985" t="str">
            <v>X90203</v>
          </cell>
          <cell r="N1985" t="str">
            <v>SYNTHETIC 3000</v>
          </cell>
        </row>
        <row r="1986">
          <cell r="C1986" t="str">
            <v>170000373</v>
          </cell>
          <cell r="D1986" t="str">
            <v>SYNTHETIC 3000 RX MERLIN BLUE-5410-5L</v>
          </cell>
          <cell r="E1986" t="str">
            <v>ZTRD</v>
          </cell>
          <cell r="F1986" t="str">
            <v>PC</v>
          </cell>
          <cell r="G1986" t="str">
            <v>X</v>
          </cell>
          <cell r="H1986" t="str">
            <v>TRD RETAIL</v>
          </cell>
          <cell r="I1986" t="str">
            <v>X9</v>
          </cell>
          <cell r="J1986" t="str">
            <v>MPC</v>
          </cell>
          <cell r="K1986" t="str">
            <v>X902</v>
          </cell>
          <cell r="L1986" t="str">
            <v>SYNTHETIC ENAMEL SB</v>
          </cell>
          <cell r="M1986" t="str">
            <v>X90203</v>
          </cell>
          <cell r="N1986" t="str">
            <v>SYNTHETIC 3000</v>
          </cell>
        </row>
        <row r="1987">
          <cell r="C1987" t="str">
            <v>170000374</v>
          </cell>
          <cell r="D1987" t="str">
            <v>SYNTHETIC 3000 RX CREATION BLUE-6105-0.8</v>
          </cell>
          <cell r="E1987" t="str">
            <v>ZTRD</v>
          </cell>
          <cell r="F1987" t="str">
            <v>PC</v>
          </cell>
          <cell r="G1987" t="str">
            <v>X</v>
          </cell>
          <cell r="H1987" t="str">
            <v>TRD RETAIL</v>
          </cell>
          <cell r="I1987" t="str">
            <v>X9</v>
          </cell>
          <cell r="J1987" t="str">
            <v>MPC</v>
          </cell>
          <cell r="K1987" t="str">
            <v>X902</v>
          </cell>
          <cell r="L1987" t="str">
            <v>SYNTHETIC ENAMEL SB</v>
          </cell>
          <cell r="M1987" t="str">
            <v>X90203</v>
          </cell>
          <cell r="N1987" t="str">
            <v>SYNTHETIC 3000</v>
          </cell>
        </row>
        <row r="1988">
          <cell r="C1988" t="str">
            <v>170000375</v>
          </cell>
          <cell r="D1988" t="str">
            <v>SYNTHETIC 3000 RX CREATION BLUE-6105-5L</v>
          </cell>
          <cell r="E1988" t="str">
            <v>ZTRD</v>
          </cell>
          <cell r="F1988" t="str">
            <v>PC</v>
          </cell>
          <cell r="G1988" t="str">
            <v>X</v>
          </cell>
          <cell r="H1988" t="str">
            <v>TRD RETAIL</v>
          </cell>
          <cell r="I1988" t="str">
            <v>X9</v>
          </cell>
          <cell r="J1988" t="str">
            <v>MPC</v>
          </cell>
          <cell r="K1988" t="str">
            <v>X902</v>
          </cell>
          <cell r="L1988" t="str">
            <v>SYNTHETIC ENAMEL SB</v>
          </cell>
          <cell r="M1988" t="str">
            <v>X90203</v>
          </cell>
          <cell r="N1988" t="str">
            <v>SYNTHETIC 3000</v>
          </cell>
        </row>
        <row r="1989">
          <cell r="C1989" t="str">
            <v>170000376</v>
          </cell>
          <cell r="D1989" t="str">
            <v>SYNTHETIC 3000 RX MANDARIN GREEN-6408-0.</v>
          </cell>
          <cell r="E1989" t="str">
            <v>ZTRD</v>
          </cell>
          <cell r="F1989" t="str">
            <v>PC</v>
          </cell>
          <cell r="G1989" t="str">
            <v>X</v>
          </cell>
          <cell r="H1989" t="str">
            <v>TRD RETAIL</v>
          </cell>
          <cell r="I1989" t="str">
            <v>X9</v>
          </cell>
          <cell r="J1989" t="str">
            <v>MPC</v>
          </cell>
          <cell r="K1989" t="str">
            <v>X902</v>
          </cell>
          <cell r="L1989" t="str">
            <v>SYNTHETIC ENAMEL SB</v>
          </cell>
          <cell r="M1989" t="str">
            <v>X90203</v>
          </cell>
          <cell r="N1989" t="str">
            <v>SYNTHETIC 3000</v>
          </cell>
        </row>
        <row r="1990">
          <cell r="C1990" t="str">
            <v>170000377</v>
          </cell>
          <cell r="D1990" t="str">
            <v>SYNTHETIC 3000 RX MANDARIN GREEN-6408-5L</v>
          </cell>
          <cell r="E1990" t="str">
            <v>ZTRD</v>
          </cell>
          <cell r="F1990" t="str">
            <v>PC</v>
          </cell>
          <cell r="G1990" t="str">
            <v>X</v>
          </cell>
          <cell r="H1990" t="str">
            <v>TRD RETAIL</v>
          </cell>
          <cell r="I1990" t="str">
            <v>X9</v>
          </cell>
          <cell r="J1990" t="str">
            <v>MPC</v>
          </cell>
          <cell r="K1990" t="str">
            <v>X902</v>
          </cell>
          <cell r="L1990" t="str">
            <v>SYNTHETIC ENAMEL SB</v>
          </cell>
          <cell r="M1990" t="str">
            <v>X90203</v>
          </cell>
          <cell r="N1990" t="str">
            <v>SYNTHETIC 3000</v>
          </cell>
        </row>
        <row r="1991">
          <cell r="C1991" t="str">
            <v>170000378</v>
          </cell>
          <cell r="D1991" t="str">
            <v>SYNTHETIC 3000 RX EVERGREEN-7301-0.8L</v>
          </cell>
          <cell r="E1991" t="str">
            <v>ZTRD</v>
          </cell>
          <cell r="F1991" t="str">
            <v>PC</v>
          </cell>
          <cell r="G1991" t="str">
            <v>X</v>
          </cell>
          <cell r="H1991" t="str">
            <v>TRD RETAIL</v>
          </cell>
          <cell r="I1991" t="str">
            <v>X9</v>
          </cell>
          <cell r="J1991" t="str">
            <v>MPC</v>
          </cell>
          <cell r="K1991" t="str">
            <v>X902</v>
          </cell>
          <cell r="L1991" t="str">
            <v>SYNTHETIC ENAMEL SB</v>
          </cell>
          <cell r="M1991" t="str">
            <v>X90203</v>
          </cell>
          <cell r="N1991" t="str">
            <v>SYNTHETIC 3000</v>
          </cell>
        </row>
        <row r="1992">
          <cell r="C1992" t="str">
            <v>170000379</v>
          </cell>
          <cell r="D1992" t="str">
            <v>SYNTHETIC 3000 RX EVERGREEN-7301-5L</v>
          </cell>
          <cell r="E1992" t="str">
            <v>ZTRD</v>
          </cell>
          <cell r="F1992" t="str">
            <v>PC</v>
          </cell>
          <cell r="G1992" t="str">
            <v>X</v>
          </cell>
          <cell r="H1992" t="str">
            <v>TRD RETAIL</v>
          </cell>
          <cell r="I1992" t="str">
            <v>X9</v>
          </cell>
          <cell r="J1992" t="str">
            <v>MPC</v>
          </cell>
          <cell r="K1992" t="str">
            <v>X902</v>
          </cell>
          <cell r="L1992" t="str">
            <v>SYNTHETIC ENAMEL SB</v>
          </cell>
          <cell r="M1992" t="str">
            <v>X90203</v>
          </cell>
          <cell r="N1992" t="str">
            <v>SYNTHETIC 3000</v>
          </cell>
        </row>
        <row r="1993">
          <cell r="C1993" t="str">
            <v>170000380</v>
          </cell>
          <cell r="D1993" t="str">
            <v>SYNTHETIC 3000 RX RED OXIDE-3407-0.8L</v>
          </cell>
          <cell r="E1993" t="str">
            <v>ZTRD</v>
          </cell>
          <cell r="F1993" t="str">
            <v>PC</v>
          </cell>
          <cell r="G1993" t="str">
            <v>X</v>
          </cell>
          <cell r="H1993" t="str">
            <v>TRD RETAIL</v>
          </cell>
          <cell r="I1993" t="str">
            <v>X9</v>
          </cell>
          <cell r="J1993" t="str">
            <v>MPC</v>
          </cell>
          <cell r="K1993" t="str">
            <v>X902</v>
          </cell>
          <cell r="L1993" t="str">
            <v>SYNTHETIC ENAMEL SB</v>
          </cell>
          <cell r="M1993" t="str">
            <v>X90203</v>
          </cell>
          <cell r="N1993" t="str">
            <v>SYNTHETIC 3000</v>
          </cell>
        </row>
        <row r="1994">
          <cell r="C1994" t="str">
            <v>170000381</v>
          </cell>
          <cell r="D1994" t="str">
            <v>SYNTHETIC 3000 RX RED OXIDE-3407-5L</v>
          </cell>
          <cell r="E1994" t="str">
            <v>ZTRD</v>
          </cell>
          <cell r="F1994" t="str">
            <v>PC</v>
          </cell>
          <cell r="G1994" t="str">
            <v>X</v>
          </cell>
          <cell r="H1994" t="str">
            <v>TRD RETAIL</v>
          </cell>
          <cell r="I1994" t="str">
            <v>X9</v>
          </cell>
          <cell r="J1994" t="str">
            <v>MPC</v>
          </cell>
          <cell r="K1994" t="str">
            <v>X902</v>
          </cell>
          <cell r="L1994" t="str">
            <v>SYNTHETIC ENAMEL SB</v>
          </cell>
          <cell r="M1994" t="str">
            <v>X90203</v>
          </cell>
          <cell r="N1994" t="str">
            <v>SYNTHETIC 3000</v>
          </cell>
        </row>
        <row r="1995">
          <cell r="C1995" t="str">
            <v>170000382</v>
          </cell>
          <cell r="D1995" t="str">
            <v>SYNTHETIC 3000 RX TRAFFIC GREEN-7403-0.8</v>
          </cell>
          <cell r="E1995" t="str">
            <v>ZTRD</v>
          </cell>
          <cell r="F1995" t="str">
            <v>PC</v>
          </cell>
          <cell r="G1995" t="str">
            <v>X</v>
          </cell>
          <cell r="H1995" t="str">
            <v>TRD RETAIL</v>
          </cell>
          <cell r="I1995" t="str">
            <v>X9</v>
          </cell>
          <cell r="J1995" t="str">
            <v>MPC</v>
          </cell>
          <cell r="K1995" t="str">
            <v>X902</v>
          </cell>
          <cell r="L1995" t="str">
            <v>SYNTHETIC ENAMEL SB</v>
          </cell>
          <cell r="M1995" t="str">
            <v>X90203</v>
          </cell>
          <cell r="N1995" t="str">
            <v>SYNTHETIC 3000</v>
          </cell>
        </row>
        <row r="1996">
          <cell r="C1996" t="str">
            <v>170000383</v>
          </cell>
          <cell r="D1996" t="str">
            <v>SYNTHETIC 3000 RX PEARL-2107-0.8L</v>
          </cell>
          <cell r="E1996" t="str">
            <v>ZTRD</v>
          </cell>
          <cell r="F1996" t="str">
            <v>PC</v>
          </cell>
          <cell r="G1996" t="str">
            <v>X</v>
          </cell>
          <cell r="H1996" t="str">
            <v>TRD RETAIL</v>
          </cell>
          <cell r="I1996" t="str">
            <v>X9</v>
          </cell>
          <cell r="J1996" t="str">
            <v>MPC</v>
          </cell>
          <cell r="K1996" t="str">
            <v>X902</v>
          </cell>
          <cell r="L1996" t="str">
            <v>SYNTHETIC ENAMEL SB</v>
          </cell>
          <cell r="M1996" t="str">
            <v>X90203</v>
          </cell>
          <cell r="N1996" t="str">
            <v>SYNTHETIC 3000</v>
          </cell>
        </row>
        <row r="1997">
          <cell r="C1997" t="str">
            <v>170000384</v>
          </cell>
          <cell r="D1997" t="str">
            <v>SYNTHETIC 3000 RX PINKA-3104-0.8L</v>
          </cell>
          <cell r="E1997" t="str">
            <v>ZTRD</v>
          </cell>
          <cell r="F1997" t="str">
            <v>PC</v>
          </cell>
          <cell r="G1997" t="str">
            <v>X</v>
          </cell>
          <cell r="H1997" t="str">
            <v>TRD RETAIL</v>
          </cell>
          <cell r="I1997" t="str">
            <v>X9</v>
          </cell>
          <cell r="J1997" t="str">
            <v>MPC</v>
          </cell>
          <cell r="K1997" t="str">
            <v>X902</v>
          </cell>
          <cell r="L1997" t="str">
            <v>SYNTHETIC ENAMEL SB</v>
          </cell>
          <cell r="M1997" t="str">
            <v>X90203</v>
          </cell>
          <cell r="N1997" t="str">
            <v>SYNTHETIC 3000</v>
          </cell>
        </row>
        <row r="1998">
          <cell r="C1998" t="str">
            <v>170000385</v>
          </cell>
          <cell r="D1998" t="str">
            <v>SYNTHETIC 3000 RX PINKA-3104-5L</v>
          </cell>
          <cell r="E1998" t="str">
            <v>ZTRD</v>
          </cell>
          <cell r="F1998" t="str">
            <v>PC</v>
          </cell>
          <cell r="G1998" t="str">
            <v>X</v>
          </cell>
          <cell r="H1998" t="str">
            <v>TRD RETAIL</v>
          </cell>
          <cell r="I1998" t="str">
            <v>X9</v>
          </cell>
          <cell r="J1998" t="str">
            <v>MPC</v>
          </cell>
          <cell r="K1998" t="str">
            <v>X902</v>
          </cell>
          <cell r="L1998" t="str">
            <v>SYNTHETIC ENAMEL SB</v>
          </cell>
          <cell r="M1998" t="str">
            <v>X90203</v>
          </cell>
          <cell r="N1998" t="str">
            <v>SYNTHETIC 3000</v>
          </cell>
        </row>
        <row r="1999">
          <cell r="C1999" t="str">
            <v>170000386</v>
          </cell>
          <cell r="D1999" t="str">
            <v>SYNTHETIC 3000 RX DARK GREEN-7412-0.8L</v>
          </cell>
          <cell r="E1999" t="str">
            <v>ZTRD</v>
          </cell>
          <cell r="F1999" t="str">
            <v>PC</v>
          </cell>
          <cell r="G1999" t="str">
            <v>X</v>
          </cell>
          <cell r="H1999" t="str">
            <v>TRD RETAIL</v>
          </cell>
          <cell r="I1999" t="str">
            <v>X9</v>
          </cell>
          <cell r="J1999" t="str">
            <v>MPC</v>
          </cell>
          <cell r="K1999" t="str">
            <v>X902</v>
          </cell>
          <cell r="L1999" t="str">
            <v>SYNTHETIC ENAMEL SB</v>
          </cell>
          <cell r="M1999" t="str">
            <v>X90203</v>
          </cell>
          <cell r="N1999" t="str">
            <v>SYNTHETIC 3000</v>
          </cell>
        </row>
        <row r="2000">
          <cell r="C2000" t="str">
            <v>170000387</v>
          </cell>
          <cell r="D2000" t="str">
            <v>SYNTHETIC 3000 RX MILK CREAM-1121-0.8L</v>
          </cell>
          <cell r="E2000" t="str">
            <v>ZTRD</v>
          </cell>
          <cell r="F2000" t="str">
            <v>PC</v>
          </cell>
          <cell r="G2000" t="str">
            <v>X</v>
          </cell>
          <cell r="H2000" t="str">
            <v>TRD RETAIL</v>
          </cell>
          <cell r="I2000" t="str">
            <v>X9</v>
          </cell>
          <cell r="J2000" t="str">
            <v>MPC</v>
          </cell>
          <cell r="K2000" t="str">
            <v>X902</v>
          </cell>
          <cell r="L2000" t="str">
            <v>SYNTHETIC ENAMEL SB</v>
          </cell>
          <cell r="M2000" t="str">
            <v>X90203</v>
          </cell>
          <cell r="N2000" t="str">
            <v>SYNTHETIC 3000</v>
          </cell>
        </row>
        <row r="2001">
          <cell r="C2001" t="str">
            <v>170000388</v>
          </cell>
          <cell r="D2001" t="str">
            <v>SYNTHETIC 3000 RX SILVER-9106-0.8L</v>
          </cell>
          <cell r="E2001" t="str">
            <v>ZTRD</v>
          </cell>
          <cell r="F2001" t="str">
            <v>PC</v>
          </cell>
          <cell r="G2001" t="str">
            <v>X</v>
          </cell>
          <cell r="H2001" t="str">
            <v>TRD RETAIL</v>
          </cell>
          <cell r="I2001" t="str">
            <v>X9</v>
          </cell>
          <cell r="J2001" t="str">
            <v>MPC</v>
          </cell>
          <cell r="K2001" t="str">
            <v>X902</v>
          </cell>
          <cell r="L2001" t="str">
            <v>SYNTHETIC ENAMEL SB</v>
          </cell>
          <cell r="M2001" t="str">
            <v>X90203</v>
          </cell>
          <cell r="N2001" t="str">
            <v>SYNTHETIC 3000</v>
          </cell>
        </row>
        <row r="2002">
          <cell r="C2002" t="str">
            <v>170000389</v>
          </cell>
          <cell r="D2002" t="str">
            <v>SYNTHETIC 3000 RX SILVER-9106-5L</v>
          </cell>
          <cell r="E2002" t="str">
            <v>ZTRD</v>
          </cell>
          <cell r="F2002" t="str">
            <v>PC</v>
          </cell>
          <cell r="G2002" t="str">
            <v>X</v>
          </cell>
          <cell r="H2002" t="str">
            <v>TRD RETAIL</v>
          </cell>
          <cell r="I2002" t="str">
            <v>X9</v>
          </cell>
          <cell r="J2002" t="str">
            <v>MPC</v>
          </cell>
          <cell r="K2002" t="str">
            <v>X902</v>
          </cell>
          <cell r="L2002" t="str">
            <v>SYNTHETIC ENAMEL SB</v>
          </cell>
          <cell r="M2002" t="str">
            <v>X90203</v>
          </cell>
          <cell r="N2002" t="str">
            <v>SYNTHETIC 3000</v>
          </cell>
        </row>
        <row r="2003">
          <cell r="C2003" t="str">
            <v>170000390</v>
          </cell>
          <cell r="D2003" t="str">
            <v>SYNTHETIC 3000 RX DARK GREEN DOF-7412D-0</v>
          </cell>
          <cell r="E2003" t="str">
            <v>ZTRD</v>
          </cell>
          <cell r="F2003" t="str">
            <v>PC</v>
          </cell>
          <cell r="G2003" t="str">
            <v>X</v>
          </cell>
          <cell r="H2003" t="str">
            <v>TRD RETAIL</v>
          </cell>
          <cell r="I2003" t="str">
            <v>X9</v>
          </cell>
          <cell r="J2003" t="str">
            <v>MPC</v>
          </cell>
          <cell r="K2003" t="str">
            <v>X902</v>
          </cell>
          <cell r="L2003" t="str">
            <v>SYNTHETIC ENAMEL SB</v>
          </cell>
          <cell r="M2003" t="str">
            <v>X90203</v>
          </cell>
          <cell r="N2003" t="str">
            <v>SYNTHETIC 3000</v>
          </cell>
        </row>
        <row r="2004">
          <cell r="C2004" t="str">
            <v>170000391</v>
          </cell>
          <cell r="D2004" t="str">
            <v>SYNTHETIC 3000 RX DARK GREEN DOF-7412D-5</v>
          </cell>
          <cell r="E2004" t="str">
            <v>ZTRD</v>
          </cell>
          <cell r="F2004" t="str">
            <v>PC</v>
          </cell>
          <cell r="G2004" t="str">
            <v>X</v>
          </cell>
          <cell r="H2004" t="str">
            <v>TRD RETAIL</v>
          </cell>
          <cell r="I2004" t="str">
            <v>X9</v>
          </cell>
          <cell r="J2004" t="str">
            <v>MPC</v>
          </cell>
          <cell r="K2004" t="str">
            <v>X902</v>
          </cell>
          <cell r="L2004" t="str">
            <v>SYNTHETIC ENAMEL SB</v>
          </cell>
          <cell r="M2004" t="str">
            <v>X90203</v>
          </cell>
          <cell r="N2004" t="str">
            <v>SYNTHETIC 3000</v>
          </cell>
        </row>
        <row r="2005">
          <cell r="C2005" t="str">
            <v>170000392</v>
          </cell>
          <cell r="D2005" t="str">
            <v>SYNTHETIC 3000 RX MISUBISHI 1213-0.8L</v>
          </cell>
          <cell r="E2005" t="str">
            <v>ZTRD</v>
          </cell>
          <cell r="F2005" t="str">
            <v>PC</v>
          </cell>
          <cell r="G2005" t="str">
            <v>X</v>
          </cell>
          <cell r="H2005" t="str">
            <v>TRD RETAIL</v>
          </cell>
          <cell r="I2005" t="str">
            <v>X9</v>
          </cell>
          <cell r="J2005" t="str">
            <v>MPC</v>
          </cell>
          <cell r="K2005" t="str">
            <v>X902</v>
          </cell>
          <cell r="L2005" t="str">
            <v>SYNTHETIC ENAMEL SB</v>
          </cell>
          <cell r="M2005" t="str">
            <v>X90203</v>
          </cell>
          <cell r="N2005" t="str">
            <v>SYNTHETIC 3000</v>
          </cell>
        </row>
        <row r="2006">
          <cell r="C2006" t="str">
            <v>170000393</v>
          </cell>
          <cell r="D2006" t="str">
            <v>SYNTHETIC 3000 RX MISUBISHI 1213-5L</v>
          </cell>
          <cell r="E2006" t="str">
            <v>ZTRD</v>
          </cell>
          <cell r="F2006" t="str">
            <v>PC</v>
          </cell>
          <cell r="G2006" t="str">
            <v>X</v>
          </cell>
          <cell r="H2006" t="str">
            <v>TRD RETAIL</v>
          </cell>
          <cell r="I2006" t="str">
            <v>X9</v>
          </cell>
          <cell r="J2006" t="str">
            <v>MPC</v>
          </cell>
          <cell r="K2006" t="str">
            <v>X902</v>
          </cell>
          <cell r="L2006" t="str">
            <v>SYNTHETIC ENAMEL SB</v>
          </cell>
          <cell r="M2006" t="str">
            <v>X90203</v>
          </cell>
          <cell r="N2006" t="str">
            <v>SYNTHETIC 3000</v>
          </cell>
        </row>
        <row r="2007">
          <cell r="C2007" t="str">
            <v>170000394</v>
          </cell>
          <cell r="D2007" t="str">
            <v>SYNTHETIC 3000 RX NEW HINO GREEN-8206-0.</v>
          </cell>
          <cell r="E2007" t="str">
            <v>ZTRD</v>
          </cell>
          <cell r="F2007" t="str">
            <v>PC</v>
          </cell>
          <cell r="G2007" t="str">
            <v>X</v>
          </cell>
          <cell r="H2007" t="str">
            <v>TRD RETAIL</v>
          </cell>
          <cell r="I2007" t="str">
            <v>X9</v>
          </cell>
          <cell r="J2007" t="str">
            <v>MPC</v>
          </cell>
          <cell r="K2007" t="str">
            <v>X902</v>
          </cell>
          <cell r="L2007" t="str">
            <v>SYNTHETIC ENAMEL SB</v>
          </cell>
          <cell r="M2007" t="str">
            <v>X90203</v>
          </cell>
          <cell r="N2007" t="str">
            <v>SYNTHETIC 3000</v>
          </cell>
        </row>
        <row r="2008">
          <cell r="C2008" t="str">
            <v>170000395</v>
          </cell>
          <cell r="D2008" t="str">
            <v>SYNTHETIC 3000 RX NEW HINO GREEN-8206-5L</v>
          </cell>
          <cell r="E2008" t="str">
            <v>ZTRD</v>
          </cell>
          <cell r="F2008" t="str">
            <v>PC</v>
          </cell>
          <cell r="G2008" t="str">
            <v>X</v>
          </cell>
          <cell r="H2008" t="str">
            <v>TRD RETAIL</v>
          </cell>
          <cell r="I2008" t="str">
            <v>X9</v>
          </cell>
          <cell r="J2008" t="str">
            <v>MPC</v>
          </cell>
          <cell r="K2008" t="str">
            <v>X902</v>
          </cell>
          <cell r="L2008" t="str">
            <v>SYNTHETIC ENAMEL SB</v>
          </cell>
          <cell r="M2008" t="str">
            <v>X90203</v>
          </cell>
          <cell r="N2008" t="str">
            <v>SYNTHETIC 3000</v>
          </cell>
        </row>
        <row r="2009">
          <cell r="C2009" t="str">
            <v>170000396</v>
          </cell>
          <cell r="D2009" t="str">
            <v>SYNTHETIC 3000 RX FUSO ORANGE-2308-0.8L</v>
          </cell>
          <cell r="E2009" t="str">
            <v>ZTRD</v>
          </cell>
          <cell r="F2009" t="str">
            <v>PC</v>
          </cell>
          <cell r="G2009" t="str">
            <v>X</v>
          </cell>
          <cell r="H2009" t="str">
            <v>TRD RETAIL</v>
          </cell>
          <cell r="I2009" t="str">
            <v>X9</v>
          </cell>
          <cell r="J2009" t="str">
            <v>MPC</v>
          </cell>
          <cell r="K2009" t="str">
            <v>X902</v>
          </cell>
          <cell r="L2009" t="str">
            <v>SYNTHETIC ENAMEL SB</v>
          </cell>
          <cell r="M2009" t="str">
            <v>X90203</v>
          </cell>
          <cell r="N2009" t="str">
            <v>SYNTHETIC 3000</v>
          </cell>
        </row>
        <row r="2010">
          <cell r="C2010" t="str">
            <v>170000397</v>
          </cell>
          <cell r="D2010" t="str">
            <v>WF-115 JATI-1K</v>
          </cell>
          <cell r="E2010" t="str">
            <v>ZTRD</v>
          </cell>
          <cell r="F2010" t="str">
            <v>PC</v>
          </cell>
          <cell r="G2010" t="str">
            <v>X</v>
          </cell>
          <cell r="H2010" t="str">
            <v>TRD RETAIL</v>
          </cell>
          <cell r="I2010" t="str">
            <v>X1</v>
          </cell>
          <cell r="J2010" t="str">
            <v>WF1</v>
          </cell>
          <cell r="K2010" t="str">
            <v>X115</v>
          </cell>
          <cell r="L2010" t="str">
            <v>IMPRA</v>
          </cell>
          <cell r="M2010" t="str">
            <v>X11511</v>
          </cell>
          <cell r="N2010" t="str">
            <v>IMPRA WOOD FILLER</v>
          </cell>
        </row>
        <row r="2011">
          <cell r="C2011" t="str">
            <v>170000398</v>
          </cell>
          <cell r="D2011" t="str">
            <v>WF-115 BORNEO-1K</v>
          </cell>
          <cell r="E2011" t="str">
            <v>ZTRD</v>
          </cell>
          <cell r="F2011" t="str">
            <v>PC</v>
          </cell>
          <cell r="G2011" t="str">
            <v>X</v>
          </cell>
          <cell r="H2011" t="str">
            <v>TRD RETAIL</v>
          </cell>
          <cell r="I2011" t="str">
            <v>X1</v>
          </cell>
          <cell r="J2011" t="str">
            <v>WF1</v>
          </cell>
          <cell r="K2011" t="str">
            <v>X115</v>
          </cell>
          <cell r="L2011" t="str">
            <v>IMPRA</v>
          </cell>
          <cell r="M2011" t="str">
            <v>X11511</v>
          </cell>
          <cell r="N2011" t="str">
            <v>IMPRA WOOD FILLER</v>
          </cell>
        </row>
        <row r="2012">
          <cell r="C2012" t="str">
            <v>170000399</v>
          </cell>
          <cell r="D2012" t="str">
            <v>WF-115 MERBAU-1K</v>
          </cell>
          <cell r="E2012" t="str">
            <v>ZTRD</v>
          </cell>
          <cell r="F2012" t="str">
            <v>PC</v>
          </cell>
          <cell r="G2012" t="str">
            <v>X</v>
          </cell>
          <cell r="H2012" t="str">
            <v>TRD RETAIL</v>
          </cell>
          <cell r="I2012" t="str">
            <v>X1</v>
          </cell>
          <cell r="J2012" t="str">
            <v>WF1</v>
          </cell>
          <cell r="K2012" t="str">
            <v>X115</v>
          </cell>
          <cell r="L2012" t="str">
            <v>IMPRA</v>
          </cell>
          <cell r="M2012" t="str">
            <v>X11511</v>
          </cell>
          <cell r="N2012" t="str">
            <v>IMPRA WOOD FILLER</v>
          </cell>
        </row>
        <row r="2013">
          <cell r="C2013" t="str">
            <v>170000400</v>
          </cell>
          <cell r="D2013" t="str">
            <v>SH-113 TEAK-1K</v>
          </cell>
          <cell r="E2013" t="str">
            <v>ZTRD</v>
          </cell>
          <cell r="F2013" t="str">
            <v>PC</v>
          </cell>
          <cell r="G2013" t="str">
            <v>X</v>
          </cell>
          <cell r="H2013" t="str">
            <v>TRD RETAIL</v>
          </cell>
          <cell r="I2013" t="str">
            <v>X1</v>
          </cell>
          <cell r="J2013" t="str">
            <v>WF1</v>
          </cell>
          <cell r="K2013" t="str">
            <v>X115</v>
          </cell>
          <cell r="L2013" t="str">
            <v>IMPRA</v>
          </cell>
          <cell r="M2013" t="str">
            <v>X11511</v>
          </cell>
          <cell r="N2013" t="str">
            <v>IMPRA WOOD FILLER</v>
          </cell>
        </row>
        <row r="2014">
          <cell r="C2014" t="str">
            <v>170000401</v>
          </cell>
          <cell r="D2014" t="str">
            <v>SH-113 SUNGKAI-1K</v>
          </cell>
          <cell r="E2014" t="str">
            <v>ZTRD</v>
          </cell>
          <cell r="F2014" t="str">
            <v>PC</v>
          </cell>
          <cell r="G2014" t="str">
            <v>X</v>
          </cell>
          <cell r="H2014" t="str">
            <v>TRD RETAIL</v>
          </cell>
          <cell r="I2014" t="str">
            <v>X1</v>
          </cell>
          <cell r="J2014" t="str">
            <v>WF1</v>
          </cell>
          <cell r="K2014" t="str">
            <v>X115</v>
          </cell>
          <cell r="L2014" t="str">
            <v>IMPRA</v>
          </cell>
          <cell r="M2014" t="str">
            <v>X11511</v>
          </cell>
          <cell r="N2014" t="str">
            <v>IMPRA WOOD FILLER</v>
          </cell>
        </row>
        <row r="2015">
          <cell r="C2015" t="str">
            <v>170000402</v>
          </cell>
          <cell r="D2015" t="str">
            <v>PPR-730-0.3K</v>
          </cell>
          <cell r="E2015" t="str">
            <v>ZTRD</v>
          </cell>
          <cell r="F2015" t="str">
            <v>PC</v>
          </cell>
          <cell r="G2015" t="str">
            <v>X</v>
          </cell>
          <cell r="H2015" t="str">
            <v>TRD RETAIL</v>
          </cell>
          <cell r="I2015" t="str">
            <v>X4</v>
          </cell>
          <cell r="J2015" t="str">
            <v>WF3</v>
          </cell>
          <cell r="K2015" t="str">
            <v>X405</v>
          </cell>
          <cell r="L2015" t="str">
            <v>PAINT REMOVER</v>
          </cell>
          <cell r="M2015" t="str">
            <v>X40501</v>
          </cell>
          <cell r="N2015" t="str">
            <v>PROPAN PAINT REMOVER</v>
          </cell>
        </row>
        <row r="2016">
          <cell r="C2016" t="str">
            <v>170000403</v>
          </cell>
          <cell r="D2016" t="str">
            <v>UPL-77 E CLEAR GLOSS-3LS</v>
          </cell>
          <cell r="E2016" t="str">
            <v>ZTRD</v>
          </cell>
          <cell r="F2016" t="str">
            <v>SET</v>
          </cell>
          <cell r="G2016" t="str">
            <v>X</v>
          </cell>
          <cell r="H2016" t="str">
            <v>TRD RETAIL</v>
          </cell>
          <cell r="I2016" t="str">
            <v>X4</v>
          </cell>
          <cell r="J2016" t="str">
            <v>WF3</v>
          </cell>
          <cell r="K2016" t="str">
            <v>X413</v>
          </cell>
          <cell r="L2016" t="str">
            <v>ULTRAN</v>
          </cell>
          <cell r="M2016" t="str">
            <v>X41301</v>
          </cell>
          <cell r="N2016" t="str">
            <v>ULTRAN PARQUET LACK</v>
          </cell>
        </row>
        <row r="2017">
          <cell r="C2017" t="str">
            <v>170000404</v>
          </cell>
          <cell r="D2017" t="str">
            <v>UPL-77 E CLEAR MATT-3LS</v>
          </cell>
          <cell r="E2017" t="str">
            <v>ZTRD</v>
          </cell>
          <cell r="F2017" t="str">
            <v>SET</v>
          </cell>
          <cell r="G2017" t="str">
            <v>X</v>
          </cell>
          <cell r="H2017" t="str">
            <v>TRD RETAIL</v>
          </cell>
          <cell r="I2017" t="str">
            <v>X4</v>
          </cell>
          <cell r="J2017" t="str">
            <v>WF3</v>
          </cell>
          <cell r="K2017" t="str">
            <v>X413</v>
          </cell>
          <cell r="L2017" t="str">
            <v>ULTRAN</v>
          </cell>
          <cell r="M2017" t="str">
            <v>X41301</v>
          </cell>
          <cell r="N2017" t="str">
            <v>ULTRAN PARQUET LACK</v>
          </cell>
        </row>
        <row r="2018">
          <cell r="C2018" t="str">
            <v>170000405</v>
          </cell>
          <cell r="D2018" t="str">
            <v>UPL-77 E SEMI GLOSS-3LS</v>
          </cell>
          <cell r="E2018" t="str">
            <v>ZTRD</v>
          </cell>
          <cell r="F2018" t="str">
            <v>SET</v>
          </cell>
          <cell r="G2018" t="str">
            <v>X</v>
          </cell>
          <cell r="H2018" t="str">
            <v>TRD RETAIL</v>
          </cell>
          <cell r="I2018" t="str">
            <v>X4</v>
          </cell>
          <cell r="J2018" t="str">
            <v>WF3</v>
          </cell>
          <cell r="K2018" t="str">
            <v>X413</v>
          </cell>
          <cell r="L2018" t="str">
            <v>ULTRAN</v>
          </cell>
          <cell r="M2018" t="str">
            <v>X41301</v>
          </cell>
          <cell r="N2018" t="str">
            <v>ULTRAN PARQUET LACK</v>
          </cell>
        </row>
        <row r="2019">
          <cell r="C2019" t="str">
            <v>170000407</v>
          </cell>
          <cell r="D2019" t="str">
            <v>HARDENER CTC-998-0.2K.</v>
          </cell>
          <cell r="E2019" t="str">
            <v>ZTRD</v>
          </cell>
          <cell r="F2019" t="str">
            <v>PC</v>
          </cell>
          <cell r="G2019" t="str">
            <v>Y</v>
          </cell>
          <cell r="H2019" t="str">
            <v>TRD PROJECT</v>
          </cell>
          <cell r="I2019" t="str">
            <v>Y6</v>
          </cell>
          <cell r="J2019" t="str">
            <v>CPC1</v>
          </cell>
          <cell r="K2019" t="str">
            <v>Y607</v>
          </cell>
          <cell r="L2019" t="str">
            <v>OTHERS CPC1</v>
          </cell>
          <cell r="M2019" t="str">
            <v>Y60703</v>
          </cell>
          <cell r="N2019" t="str">
            <v>COMPLEMENTARY CPC1</v>
          </cell>
        </row>
        <row r="2020">
          <cell r="C2020" t="str">
            <v>170000408</v>
          </cell>
          <cell r="D2020" t="str">
            <v>DP-4010 BLOSSOM 1149-3.8L</v>
          </cell>
          <cell r="E2020" t="str">
            <v>ZTRD</v>
          </cell>
          <cell r="F2020" t="str">
            <v>PC</v>
          </cell>
          <cell r="G2020" t="str">
            <v>3</v>
          </cell>
          <cell r="H2020" t="str">
            <v>TRADING</v>
          </cell>
          <cell r="I2020" t="str">
            <v>38</v>
          </cell>
          <cell r="J2020" t="str">
            <v>ALKANA TRADING</v>
          </cell>
          <cell r="K2020" t="str">
            <v>3801</v>
          </cell>
          <cell r="L2020" t="str">
            <v>COATING</v>
          </cell>
          <cell r="M2020" t="str">
            <v>380101</v>
          </cell>
          <cell r="N2020" t="str">
            <v>DECOR PLAST</v>
          </cell>
        </row>
        <row r="2021">
          <cell r="C2021" t="str">
            <v>170000409</v>
          </cell>
          <cell r="D2021" t="str">
            <v>DP-4010 BROKEN WHITE 8108-3.8L</v>
          </cell>
          <cell r="E2021" t="str">
            <v>ZTRD</v>
          </cell>
          <cell r="F2021" t="str">
            <v>PC</v>
          </cell>
          <cell r="G2021" t="str">
            <v>3</v>
          </cell>
          <cell r="H2021" t="str">
            <v>TRADING</v>
          </cell>
          <cell r="I2021" t="str">
            <v>38</v>
          </cell>
          <cell r="J2021" t="str">
            <v>ALKANA TRADING</v>
          </cell>
          <cell r="K2021" t="str">
            <v>3801</v>
          </cell>
          <cell r="L2021" t="str">
            <v>COATING</v>
          </cell>
          <cell r="M2021" t="str">
            <v>380101</v>
          </cell>
          <cell r="N2021" t="str">
            <v>DECOR PLAST</v>
          </cell>
        </row>
        <row r="2022">
          <cell r="C2022" t="str">
            <v>170000411</v>
          </cell>
          <cell r="D2022" t="str">
            <v>DP-4010 LEMON LIGHT 1156-3.8L</v>
          </cell>
          <cell r="E2022" t="str">
            <v>ZTRD</v>
          </cell>
          <cell r="F2022" t="str">
            <v>PC</v>
          </cell>
          <cell r="G2022" t="str">
            <v>3</v>
          </cell>
          <cell r="H2022" t="str">
            <v>TRADING</v>
          </cell>
          <cell r="I2022" t="str">
            <v>38</v>
          </cell>
          <cell r="J2022" t="str">
            <v>ALKANA TRADING</v>
          </cell>
          <cell r="K2022" t="str">
            <v>3801</v>
          </cell>
          <cell r="L2022" t="str">
            <v>COATING</v>
          </cell>
          <cell r="M2022" t="str">
            <v>380101</v>
          </cell>
          <cell r="N2022" t="str">
            <v>DECOR PLAST</v>
          </cell>
        </row>
        <row r="2023">
          <cell r="C2023" t="str">
            <v>170000412</v>
          </cell>
          <cell r="D2023" t="str">
            <v>DP-4010 PRIME WHITE 5105-3.8L</v>
          </cell>
          <cell r="E2023" t="str">
            <v>ZTRD</v>
          </cell>
          <cell r="F2023" t="str">
            <v>PC</v>
          </cell>
          <cell r="G2023" t="str">
            <v>3</v>
          </cell>
          <cell r="H2023" t="str">
            <v>TRADING</v>
          </cell>
          <cell r="I2023" t="str">
            <v>38</v>
          </cell>
          <cell r="J2023" t="str">
            <v>ALKANA TRADING</v>
          </cell>
          <cell r="K2023" t="str">
            <v>3801</v>
          </cell>
          <cell r="L2023" t="str">
            <v>COATING</v>
          </cell>
          <cell r="M2023" t="str">
            <v>380101</v>
          </cell>
          <cell r="N2023" t="str">
            <v>DECOR PLAST</v>
          </cell>
        </row>
        <row r="2024">
          <cell r="C2024" t="str">
            <v>170000413</v>
          </cell>
          <cell r="D2024" t="str">
            <v>DP-4010 TWILIGHT TWINKLE 6119-3.8L</v>
          </cell>
          <cell r="E2024" t="str">
            <v>ZTRD</v>
          </cell>
          <cell r="F2024" t="str">
            <v>PC</v>
          </cell>
          <cell r="G2024" t="str">
            <v>3</v>
          </cell>
          <cell r="H2024" t="str">
            <v>TRADING</v>
          </cell>
          <cell r="I2024" t="str">
            <v>38</v>
          </cell>
          <cell r="J2024" t="str">
            <v>ALKANA TRADING</v>
          </cell>
          <cell r="K2024" t="str">
            <v>3801</v>
          </cell>
          <cell r="L2024" t="str">
            <v>COATING</v>
          </cell>
          <cell r="M2024" t="str">
            <v>380101</v>
          </cell>
          <cell r="N2024" t="str">
            <v>DECOR PLAST</v>
          </cell>
        </row>
        <row r="2025">
          <cell r="C2025" t="str">
            <v>170000414</v>
          </cell>
          <cell r="D2025" t="str">
            <v>DP-4010 ICE AGE 6114-3.8L</v>
          </cell>
          <cell r="E2025" t="str">
            <v>ZTRD</v>
          </cell>
          <cell r="F2025" t="str">
            <v>PC</v>
          </cell>
          <cell r="G2025" t="str">
            <v>3</v>
          </cell>
          <cell r="H2025" t="str">
            <v>TRADING</v>
          </cell>
          <cell r="I2025" t="str">
            <v>38</v>
          </cell>
          <cell r="J2025" t="str">
            <v>ALKANA TRADING</v>
          </cell>
          <cell r="K2025" t="str">
            <v>3801</v>
          </cell>
          <cell r="L2025" t="str">
            <v>COATING</v>
          </cell>
          <cell r="M2025" t="str">
            <v>380101</v>
          </cell>
          <cell r="N2025" t="str">
            <v>DECOR PLAST</v>
          </cell>
        </row>
        <row r="2026">
          <cell r="C2026" t="str">
            <v>170000415</v>
          </cell>
          <cell r="D2026" t="str">
            <v>DP-4010 JASMINE 2105-3.8L</v>
          </cell>
          <cell r="E2026" t="str">
            <v>ZTRD</v>
          </cell>
          <cell r="F2026" t="str">
            <v>PC</v>
          </cell>
          <cell r="G2026" t="str">
            <v>3</v>
          </cell>
          <cell r="H2026" t="str">
            <v>TRADING</v>
          </cell>
          <cell r="I2026" t="str">
            <v>38</v>
          </cell>
          <cell r="J2026" t="str">
            <v>ALKANA TRADING</v>
          </cell>
          <cell r="K2026" t="str">
            <v>3801</v>
          </cell>
          <cell r="L2026" t="str">
            <v>COATING</v>
          </cell>
          <cell r="M2026" t="str">
            <v>380101</v>
          </cell>
          <cell r="N2026" t="str">
            <v>DECOR PLAST</v>
          </cell>
        </row>
        <row r="2027">
          <cell r="C2027" t="str">
            <v>170000419</v>
          </cell>
          <cell r="D2027" t="str">
            <v>DP-4010 DEEP OASIS 5106-3.8L</v>
          </cell>
          <cell r="E2027" t="str">
            <v>ZTRD</v>
          </cell>
          <cell r="F2027" t="str">
            <v>PC</v>
          </cell>
          <cell r="G2027" t="str">
            <v>3</v>
          </cell>
          <cell r="H2027" t="str">
            <v>TRADING</v>
          </cell>
          <cell r="I2027" t="str">
            <v>38</v>
          </cell>
          <cell r="J2027" t="str">
            <v>ALKANA TRADING</v>
          </cell>
          <cell r="K2027" t="str">
            <v>3801</v>
          </cell>
          <cell r="L2027" t="str">
            <v>COATING</v>
          </cell>
          <cell r="M2027" t="str">
            <v>380101</v>
          </cell>
          <cell r="N2027" t="str">
            <v>DECOR PLAST</v>
          </cell>
        </row>
        <row r="2028">
          <cell r="C2028" t="str">
            <v>170000421</v>
          </cell>
          <cell r="D2028" t="str">
            <v>DP-4010 WHISPERING BREEZE 1152-3.8L</v>
          </cell>
          <cell r="E2028" t="str">
            <v>ZTRD</v>
          </cell>
          <cell r="F2028" t="str">
            <v>PC</v>
          </cell>
          <cell r="G2028" t="str">
            <v>3</v>
          </cell>
          <cell r="H2028" t="str">
            <v>TRADING</v>
          </cell>
          <cell r="I2028" t="str">
            <v>38</v>
          </cell>
          <cell r="J2028" t="str">
            <v>ALKANA TRADING</v>
          </cell>
          <cell r="K2028" t="str">
            <v>3801</v>
          </cell>
          <cell r="L2028" t="str">
            <v>COATING</v>
          </cell>
          <cell r="M2028" t="str">
            <v>380101</v>
          </cell>
          <cell r="N2028" t="str">
            <v>DECOR PLAST</v>
          </cell>
        </row>
        <row r="2029">
          <cell r="C2029" t="str">
            <v>170000434</v>
          </cell>
          <cell r="D2029" t="str">
            <v>TENNOKOTE 1000 WA OXIDE RED-22.5KP</v>
          </cell>
          <cell r="E2029" t="str">
            <v>ZTRD</v>
          </cell>
          <cell r="F2029" t="str">
            <v>PC</v>
          </cell>
          <cell r="G2029" t="str">
            <v>X</v>
          </cell>
          <cell r="H2029" t="str">
            <v>TRD RETAIL</v>
          </cell>
          <cell r="I2029" t="str">
            <v>X7</v>
          </cell>
          <cell r="J2029" t="str">
            <v>CPC1</v>
          </cell>
          <cell r="K2029" t="str">
            <v>X701</v>
          </cell>
          <cell r="L2029" t="str">
            <v>TENNOKOTE</v>
          </cell>
          <cell r="M2029" t="str">
            <v>X70101</v>
          </cell>
          <cell r="N2029" t="str">
            <v>TENNOKOTE</v>
          </cell>
        </row>
        <row r="2030">
          <cell r="C2030" t="str">
            <v>170000435</v>
          </cell>
          <cell r="D2030" t="str">
            <v>UVS-20600 BLUE 50830-20KP</v>
          </cell>
          <cell r="E2030" t="str">
            <v>ZTRD</v>
          </cell>
          <cell r="F2030" t="str">
            <v>PC</v>
          </cell>
          <cell r="G2030" t="str">
            <v>W</v>
          </cell>
          <cell r="H2030" t="str">
            <v>TRD INDUSTRY</v>
          </cell>
          <cell r="I2030" t="str">
            <v>W1</v>
          </cell>
          <cell r="J2030" t="str">
            <v>WOOD COATINGS</v>
          </cell>
          <cell r="K2030" t="str">
            <v>W106</v>
          </cell>
          <cell r="L2030" t="str">
            <v>UV</v>
          </cell>
          <cell r="M2030" t="str">
            <v>W10606</v>
          </cell>
          <cell r="N2030" t="str">
            <v>UV STAIN</v>
          </cell>
        </row>
        <row r="2031">
          <cell r="C2031" t="str">
            <v>170000436</v>
          </cell>
          <cell r="D2031" t="str">
            <v>UVH-00900-1K</v>
          </cell>
          <cell r="E2031" t="str">
            <v>ZTRD</v>
          </cell>
          <cell r="F2031" t="str">
            <v>PC</v>
          </cell>
          <cell r="G2031" t="str">
            <v>W</v>
          </cell>
          <cell r="H2031" t="str">
            <v>TRD INDUSTRY</v>
          </cell>
          <cell r="I2031" t="str">
            <v>W1</v>
          </cell>
          <cell r="J2031" t="str">
            <v>WOOD COATINGS</v>
          </cell>
          <cell r="K2031" t="str">
            <v>W106</v>
          </cell>
          <cell r="L2031" t="str">
            <v>UV</v>
          </cell>
          <cell r="M2031" t="str">
            <v>W10602</v>
          </cell>
          <cell r="N2031" t="str">
            <v>UV COMPLEMENTARY</v>
          </cell>
        </row>
        <row r="2032">
          <cell r="C2032" t="str">
            <v>170000437</v>
          </cell>
          <cell r="D2032" t="str">
            <v>DECOR DAE-550 WHITE 9101-2.5K</v>
          </cell>
          <cell r="E2032" t="str">
            <v>ZTRD</v>
          </cell>
          <cell r="F2032" t="str">
            <v>PC</v>
          </cell>
          <cell r="G2032" t="str">
            <v>Y</v>
          </cell>
          <cell r="H2032" t="str">
            <v>TRD PROJECT</v>
          </cell>
          <cell r="I2032" t="str">
            <v>Y2</v>
          </cell>
          <cell r="J2032" t="str">
            <v>APCT1</v>
          </cell>
          <cell r="K2032" t="str">
            <v>Y202</v>
          </cell>
          <cell r="L2032" t="str">
            <v>DECOR</v>
          </cell>
          <cell r="M2032" t="str">
            <v>Y20204</v>
          </cell>
          <cell r="N2032" t="str">
            <v>DECOR ACR ENAMEL SB RMX</v>
          </cell>
        </row>
        <row r="2033">
          <cell r="C2033" t="str">
            <v>170000438</v>
          </cell>
          <cell r="D2033" t="str">
            <v>DECOR DAE-550 TRAFFIC YELLOW 1204-2.5K</v>
          </cell>
          <cell r="E2033" t="str">
            <v>ZTRD</v>
          </cell>
          <cell r="F2033" t="str">
            <v>PC</v>
          </cell>
          <cell r="G2033" t="str">
            <v>Y</v>
          </cell>
          <cell r="H2033" t="str">
            <v>TRD PROJECT</v>
          </cell>
          <cell r="I2033" t="str">
            <v>Y2</v>
          </cell>
          <cell r="J2033" t="str">
            <v>APCT1</v>
          </cell>
          <cell r="K2033" t="str">
            <v>Y202</v>
          </cell>
          <cell r="L2033" t="str">
            <v>DECOR</v>
          </cell>
          <cell r="M2033" t="str">
            <v>Y20204</v>
          </cell>
          <cell r="N2033" t="str">
            <v>DECOR ACR ENAMEL SB RMX</v>
          </cell>
        </row>
        <row r="2034">
          <cell r="C2034" t="str">
            <v>170000442</v>
          </cell>
          <cell r="D2034" t="str">
            <v>SILIKAT PENETRAN LD-201-5L</v>
          </cell>
          <cell r="E2034" t="str">
            <v>ZTRD</v>
          </cell>
          <cell r="F2034" t="str">
            <v>PC</v>
          </cell>
          <cell r="G2034" t="str">
            <v>X</v>
          </cell>
          <cell r="H2034" t="str">
            <v>TRD RETAIL</v>
          </cell>
          <cell r="I2034" t="str">
            <v>X7</v>
          </cell>
          <cell r="J2034" t="str">
            <v>CPC1</v>
          </cell>
          <cell r="K2034" t="str">
            <v>X711</v>
          </cell>
          <cell r="L2034" t="str">
            <v>SILICATE FLOOR</v>
          </cell>
          <cell r="M2034" t="str">
            <v>X71101</v>
          </cell>
          <cell r="N2034" t="str">
            <v>SILICATE FLOOR</v>
          </cell>
        </row>
        <row r="2035">
          <cell r="C2035" t="str">
            <v>170000443</v>
          </cell>
          <cell r="D2035" t="str">
            <v>SILIKAT PENETRAN LD-201-20LJ</v>
          </cell>
          <cell r="E2035" t="str">
            <v>ZTRD</v>
          </cell>
          <cell r="F2035" t="str">
            <v>PC</v>
          </cell>
          <cell r="G2035" t="str">
            <v>X</v>
          </cell>
          <cell r="H2035" t="str">
            <v>TRD RETAIL</v>
          </cell>
          <cell r="I2035" t="str">
            <v>X7</v>
          </cell>
          <cell r="J2035" t="str">
            <v>CPC1</v>
          </cell>
          <cell r="K2035" t="str">
            <v>X711</v>
          </cell>
          <cell r="L2035" t="str">
            <v>SILICATE FLOOR</v>
          </cell>
          <cell r="M2035" t="str">
            <v>X71101</v>
          </cell>
          <cell r="N2035" t="str">
            <v>SILICATE FLOOR</v>
          </cell>
        </row>
        <row r="2036">
          <cell r="C2036" t="str">
            <v>170000444</v>
          </cell>
          <cell r="D2036" t="str">
            <v>SILIKAT TOPPING CC-203-5L</v>
          </cell>
          <cell r="E2036" t="str">
            <v>ZTRD</v>
          </cell>
          <cell r="F2036" t="str">
            <v>PC</v>
          </cell>
          <cell r="G2036" t="str">
            <v>X</v>
          </cell>
          <cell r="H2036" t="str">
            <v>TRD RETAIL</v>
          </cell>
          <cell r="I2036" t="str">
            <v>X7</v>
          </cell>
          <cell r="J2036" t="str">
            <v>CPC1</v>
          </cell>
          <cell r="K2036" t="str">
            <v>X711</v>
          </cell>
          <cell r="L2036" t="str">
            <v>SILICATE FLOOR</v>
          </cell>
          <cell r="M2036" t="str">
            <v>X71101</v>
          </cell>
          <cell r="N2036" t="str">
            <v>SILICATE FLOOR</v>
          </cell>
        </row>
        <row r="2037">
          <cell r="C2037" t="str">
            <v>170000445</v>
          </cell>
          <cell r="D2037" t="str">
            <v>SILIKAT TOPPING CC-203-20LJ</v>
          </cell>
          <cell r="E2037" t="str">
            <v>ZTRD</v>
          </cell>
          <cell r="F2037" t="str">
            <v>PC</v>
          </cell>
          <cell r="G2037" t="str">
            <v>X</v>
          </cell>
          <cell r="H2037" t="str">
            <v>TRD RETAIL</v>
          </cell>
          <cell r="I2037" t="str">
            <v>X7</v>
          </cell>
          <cell r="J2037" t="str">
            <v>CPC1</v>
          </cell>
          <cell r="K2037" t="str">
            <v>X711</v>
          </cell>
          <cell r="L2037" t="str">
            <v>SILICATE FLOOR</v>
          </cell>
          <cell r="M2037" t="str">
            <v>X71101</v>
          </cell>
          <cell r="N2037" t="str">
            <v>SILICATE FLOOR</v>
          </cell>
        </row>
        <row r="2038">
          <cell r="C2038" t="str">
            <v>170000446</v>
          </cell>
          <cell r="D2038" t="str">
            <v>PFT-613 MF BLUE-27.8KSZ</v>
          </cell>
          <cell r="E2038" t="str">
            <v>ZTRD</v>
          </cell>
          <cell r="F2038" t="str">
            <v>SET</v>
          </cell>
          <cell r="G2038" t="str">
            <v>Y</v>
          </cell>
          <cell r="H2038" t="str">
            <v>TRD PROJECT</v>
          </cell>
          <cell r="I2038" t="str">
            <v>Y6</v>
          </cell>
          <cell r="J2038" t="str">
            <v>CPC1</v>
          </cell>
          <cell r="K2038" t="str">
            <v>Y602</v>
          </cell>
          <cell r="L2038" t="str">
            <v>POLYFLOOR</v>
          </cell>
          <cell r="M2038" t="str">
            <v>Y60203</v>
          </cell>
          <cell r="N2038" t="str">
            <v>POLYFLOOR PU</v>
          </cell>
        </row>
        <row r="2039">
          <cell r="C2039" t="str">
            <v>170000448</v>
          </cell>
          <cell r="D2039" t="str">
            <v>PUAS-620-2K WB BLUE-20KSP</v>
          </cell>
          <cell r="E2039" t="str">
            <v>ZTRD</v>
          </cell>
          <cell r="F2039" t="str">
            <v>SET</v>
          </cell>
          <cell r="G2039" t="str">
            <v>Y</v>
          </cell>
          <cell r="H2039" t="str">
            <v>TRD PROJECT</v>
          </cell>
          <cell r="I2039" t="str">
            <v>Y6</v>
          </cell>
          <cell r="J2039" t="str">
            <v>CPC1</v>
          </cell>
          <cell r="K2039" t="str">
            <v>Y602</v>
          </cell>
          <cell r="L2039" t="str">
            <v>POLYFLOOR</v>
          </cell>
          <cell r="M2039" t="str">
            <v>Y60212</v>
          </cell>
          <cell r="N2039" t="str">
            <v>TOP SEAL</v>
          </cell>
        </row>
        <row r="2040">
          <cell r="C2040" t="str">
            <v>170000450</v>
          </cell>
          <cell r="D2040" t="str">
            <v>PRCC-10356 WBC NEW 54-250KK</v>
          </cell>
          <cell r="E2040" t="str">
            <v>ZTRD</v>
          </cell>
          <cell r="F2040" t="str">
            <v>PC</v>
          </cell>
          <cell r="G2040" t="str">
            <v>W</v>
          </cell>
          <cell r="H2040" t="str">
            <v>TRD INDUSTRY</v>
          </cell>
          <cell r="I2040" t="str">
            <v>W2</v>
          </cell>
          <cell r="J2040" t="str">
            <v>CAN COATINGS</v>
          </cell>
          <cell r="K2040" t="str">
            <v>W201</v>
          </cell>
          <cell r="L2040" t="str">
            <v>CAN COATINGS</v>
          </cell>
          <cell r="M2040" t="str">
            <v>W20101</v>
          </cell>
          <cell r="N2040" t="str">
            <v>CAN COATINGS</v>
          </cell>
        </row>
        <row r="2041">
          <cell r="C2041" t="str">
            <v>170000451</v>
          </cell>
          <cell r="D2041" t="str">
            <v>PRCC-40102 CLEAR LACQUER-20KP</v>
          </cell>
          <cell r="E2041" t="str">
            <v>ZTRD</v>
          </cell>
          <cell r="F2041" t="str">
            <v>PC</v>
          </cell>
          <cell r="G2041" t="str">
            <v>W</v>
          </cell>
          <cell r="H2041" t="str">
            <v>TRD INDUSTRY</v>
          </cell>
          <cell r="I2041" t="str">
            <v>W2</v>
          </cell>
          <cell r="J2041" t="str">
            <v>CAN COATINGS</v>
          </cell>
          <cell r="K2041" t="str">
            <v>W201</v>
          </cell>
          <cell r="L2041" t="str">
            <v>CAN COATINGS</v>
          </cell>
          <cell r="M2041" t="str">
            <v>W20101</v>
          </cell>
          <cell r="N2041" t="str">
            <v>CAN COATINGS</v>
          </cell>
        </row>
        <row r="2042">
          <cell r="C2042" t="str">
            <v>170000452</v>
          </cell>
          <cell r="D2042" t="str">
            <v>PFT-613-3K MF WB GREY-27.8KSZ</v>
          </cell>
          <cell r="E2042" t="str">
            <v>ZTRD</v>
          </cell>
          <cell r="F2042" t="str">
            <v>SET</v>
          </cell>
          <cell r="G2042" t="str">
            <v>Y</v>
          </cell>
          <cell r="H2042" t="str">
            <v>TRD PROJECT</v>
          </cell>
          <cell r="I2042" t="str">
            <v>Y6</v>
          </cell>
          <cell r="J2042" t="str">
            <v>CPC1</v>
          </cell>
          <cell r="K2042" t="str">
            <v>Y602</v>
          </cell>
          <cell r="L2042" t="str">
            <v>POLYFLOOR</v>
          </cell>
          <cell r="M2042" t="str">
            <v>Y60203</v>
          </cell>
          <cell r="N2042" t="str">
            <v>POLYFLOOR PU</v>
          </cell>
        </row>
        <row r="2043">
          <cell r="C2043" t="str">
            <v>170000453</v>
          </cell>
          <cell r="D2043" t="str">
            <v>#NUPC 8K1-1L</v>
          </cell>
          <cell r="E2043" t="str">
            <v>ZTRD</v>
          </cell>
          <cell r="F2043" t="str">
            <v>PC</v>
          </cell>
          <cell r="G2043" t="str">
            <v>6</v>
          </cell>
          <cell r="H2043" t="str">
            <v>WORKSHOP</v>
          </cell>
          <cell r="I2043" t="str">
            <v>65</v>
          </cell>
          <cell r="J2043" t="str">
            <v/>
          </cell>
          <cell r="K2043" t="str">
            <v>6502</v>
          </cell>
          <cell r="L2043" t="str">
            <v/>
          </cell>
          <cell r="M2043" t="str">
            <v>650206</v>
          </cell>
          <cell r="N2043" t="str">
            <v/>
          </cell>
        </row>
        <row r="2044">
          <cell r="C2044" t="str">
            <v>170000454</v>
          </cell>
          <cell r="D2044" t="str">
            <v>#NUPC 8K2-1L</v>
          </cell>
          <cell r="E2044" t="str">
            <v>ZTRD</v>
          </cell>
          <cell r="F2044" t="str">
            <v>PC</v>
          </cell>
          <cell r="G2044" t="str">
            <v>6</v>
          </cell>
          <cell r="H2044" t="str">
            <v>WORKSHOP</v>
          </cell>
          <cell r="I2044" t="str">
            <v>65</v>
          </cell>
          <cell r="J2044" t="str">
            <v/>
          </cell>
          <cell r="K2044" t="str">
            <v>6502</v>
          </cell>
          <cell r="L2044" t="str">
            <v/>
          </cell>
          <cell r="M2044" t="str">
            <v>650206</v>
          </cell>
          <cell r="N2044" t="str">
            <v/>
          </cell>
        </row>
        <row r="2045">
          <cell r="C2045" t="str">
            <v>170000455</v>
          </cell>
          <cell r="D2045" t="str">
            <v>#NUPC 8R1-1L</v>
          </cell>
          <cell r="E2045" t="str">
            <v>ZTRD</v>
          </cell>
          <cell r="F2045" t="str">
            <v>PC</v>
          </cell>
          <cell r="G2045" t="str">
            <v>6</v>
          </cell>
          <cell r="H2045" t="str">
            <v>WORKSHOP</v>
          </cell>
          <cell r="I2045" t="str">
            <v>65</v>
          </cell>
          <cell r="J2045" t="str">
            <v/>
          </cell>
          <cell r="K2045" t="str">
            <v>6502</v>
          </cell>
          <cell r="L2045" t="str">
            <v/>
          </cell>
          <cell r="M2045" t="str">
            <v>650206</v>
          </cell>
          <cell r="N2045" t="str">
            <v/>
          </cell>
        </row>
        <row r="2046">
          <cell r="C2046" t="str">
            <v>170000456</v>
          </cell>
          <cell r="D2046" t="str">
            <v>#NUPC 8R2-1L</v>
          </cell>
          <cell r="E2046" t="str">
            <v>ZTRD</v>
          </cell>
          <cell r="F2046" t="str">
            <v>PC</v>
          </cell>
          <cell r="G2046" t="str">
            <v>6</v>
          </cell>
          <cell r="H2046" t="str">
            <v>WORKSHOP</v>
          </cell>
          <cell r="I2046" t="str">
            <v>65</v>
          </cell>
          <cell r="J2046" t="str">
            <v/>
          </cell>
          <cell r="K2046" t="str">
            <v>6502</v>
          </cell>
          <cell r="L2046" t="str">
            <v/>
          </cell>
          <cell r="M2046" t="str">
            <v>650206</v>
          </cell>
          <cell r="N2046" t="str">
            <v/>
          </cell>
        </row>
        <row r="2047">
          <cell r="C2047" t="str">
            <v>170000457</v>
          </cell>
          <cell r="D2047" t="str">
            <v>#NUPC 8R3-1L</v>
          </cell>
          <cell r="E2047" t="str">
            <v>ZTRD</v>
          </cell>
          <cell r="F2047" t="str">
            <v>PC</v>
          </cell>
          <cell r="G2047" t="str">
            <v>6</v>
          </cell>
          <cell r="H2047" t="str">
            <v>WORKSHOP</v>
          </cell>
          <cell r="I2047" t="str">
            <v>65</v>
          </cell>
          <cell r="J2047" t="str">
            <v/>
          </cell>
          <cell r="K2047" t="str">
            <v>6502</v>
          </cell>
          <cell r="L2047" t="str">
            <v/>
          </cell>
          <cell r="M2047" t="str">
            <v>650206</v>
          </cell>
          <cell r="N2047" t="str">
            <v/>
          </cell>
        </row>
        <row r="2048">
          <cell r="C2048" t="str">
            <v>170000458</v>
          </cell>
          <cell r="D2048" t="str">
            <v>#NUPC 8Y1-1L</v>
          </cell>
          <cell r="E2048" t="str">
            <v>ZTRD</v>
          </cell>
          <cell r="F2048" t="str">
            <v>PC</v>
          </cell>
          <cell r="G2048" t="str">
            <v>6</v>
          </cell>
          <cell r="H2048" t="str">
            <v>WORKSHOP</v>
          </cell>
          <cell r="I2048" t="str">
            <v>65</v>
          </cell>
          <cell r="J2048" t="str">
            <v/>
          </cell>
          <cell r="K2048" t="str">
            <v>6502</v>
          </cell>
          <cell r="L2048" t="str">
            <v/>
          </cell>
          <cell r="M2048" t="str">
            <v>650206</v>
          </cell>
          <cell r="N2048" t="str">
            <v/>
          </cell>
        </row>
        <row r="2049">
          <cell r="C2049" t="str">
            <v>170000459</v>
          </cell>
          <cell r="D2049" t="str">
            <v>#NUPC 8Y2-1L</v>
          </cell>
          <cell r="E2049" t="str">
            <v>ZTRD</v>
          </cell>
          <cell r="F2049" t="str">
            <v>PC</v>
          </cell>
          <cell r="G2049" t="str">
            <v>6</v>
          </cell>
          <cell r="H2049" t="str">
            <v>WORKSHOP</v>
          </cell>
          <cell r="I2049" t="str">
            <v>65</v>
          </cell>
          <cell r="J2049" t="str">
            <v/>
          </cell>
          <cell r="K2049" t="str">
            <v>6502</v>
          </cell>
          <cell r="L2049" t="str">
            <v/>
          </cell>
          <cell r="M2049" t="str">
            <v>650206</v>
          </cell>
          <cell r="N2049" t="str">
            <v/>
          </cell>
        </row>
        <row r="2050">
          <cell r="C2050" t="str">
            <v>170000460</v>
          </cell>
          <cell r="D2050" t="str">
            <v>#NUPC 8Y3-1L</v>
          </cell>
          <cell r="E2050" t="str">
            <v>ZTRD</v>
          </cell>
          <cell r="F2050" t="str">
            <v>PC</v>
          </cell>
          <cell r="G2050" t="str">
            <v>6</v>
          </cell>
          <cell r="H2050" t="str">
            <v>WORKSHOP</v>
          </cell>
          <cell r="I2050" t="str">
            <v>65</v>
          </cell>
          <cell r="J2050" t="str">
            <v/>
          </cell>
          <cell r="K2050" t="str">
            <v>6502</v>
          </cell>
          <cell r="L2050" t="str">
            <v/>
          </cell>
          <cell r="M2050" t="str">
            <v>650206</v>
          </cell>
          <cell r="N2050" t="str">
            <v/>
          </cell>
        </row>
        <row r="2051">
          <cell r="C2051" t="str">
            <v>170000461</v>
          </cell>
          <cell r="D2051" t="str">
            <v>#NUPC 8Y4-1L</v>
          </cell>
          <cell r="E2051" t="str">
            <v>ZTRD</v>
          </cell>
          <cell r="F2051" t="str">
            <v>PC</v>
          </cell>
          <cell r="G2051" t="str">
            <v>6</v>
          </cell>
          <cell r="H2051" t="str">
            <v>WORKSHOP</v>
          </cell>
          <cell r="I2051" t="str">
            <v>65</v>
          </cell>
          <cell r="J2051" t="str">
            <v/>
          </cell>
          <cell r="K2051" t="str">
            <v>6502</v>
          </cell>
          <cell r="L2051" t="str">
            <v/>
          </cell>
          <cell r="M2051" t="str">
            <v>650206</v>
          </cell>
          <cell r="N2051" t="str">
            <v/>
          </cell>
        </row>
        <row r="2052">
          <cell r="C2052" t="str">
            <v>170000462</v>
          </cell>
          <cell r="D2052" t="str">
            <v>#NUPC 8W1-1L</v>
          </cell>
          <cell r="E2052" t="str">
            <v>ZTRD</v>
          </cell>
          <cell r="F2052" t="str">
            <v>PC</v>
          </cell>
          <cell r="G2052" t="str">
            <v>6</v>
          </cell>
          <cell r="H2052" t="str">
            <v>WORKSHOP</v>
          </cell>
          <cell r="I2052" t="str">
            <v>65</v>
          </cell>
          <cell r="J2052" t="str">
            <v/>
          </cell>
          <cell r="K2052" t="str">
            <v>6502</v>
          </cell>
          <cell r="L2052" t="str">
            <v/>
          </cell>
          <cell r="M2052" t="str">
            <v>650206</v>
          </cell>
          <cell r="N2052" t="str">
            <v/>
          </cell>
        </row>
        <row r="2053">
          <cell r="C2053" t="str">
            <v>170000463</v>
          </cell>
          <cell r="D2053" t="str">
            <v>#NUPC 8V1-1L</v>
          </cell>
          <cell r="E2053" t="str">
            <v>ZTRD</v>
          </cell>
          <cell r="F2053" t="str">
            <v>PC</v>
          </cell>
          <cell r="G2053" t="str">
            <v>6</v>
          </cell>
          <cell r="H2053" t="str">
            <v>WORKSHOP</v>
          </cell>
          <cell r="I2053" t="str">
            <v>65</v>
          </cell>
          <cell r="J2053" t="str">
            <v/>
          </cell>
          <cell r="K2053" t="str">
            <v>6502</v>
          </cell>
          <cell r="L2053" t="str">
            <v/>
          </cell>
          <cell r="M2053" t="str">
            <v>650206</v>
          </cell>
          <cell r="N2053" t="str">
            <v/>
          </cell>
        </row>
        <row r="2054">
          <cell r="C2054" t="str">
            <v>170000464</v>
          </cell>
          <cell r="D2054" t="str">
            <v>#NUPC 8B1-1L</v>
          </cell>
          <cell r="E2054" t="str">
            <v>ZTRD</v>
          </cell>
          <cell r="F2054" t="str">
            <v>PC</v>
          </cell>
          <cell r="G2054" t="str">
            <v>6</v>
          </cell>
          <cell r="H2054" t="str">
            <v>WORKSHOP</v>
          </cell>
          <cell r="I2054" t="str">
            <v>65</v>
          </cell>
          <cell r="J2054" t="str">
            <v/>
          </cell>
          <cell r="K2054" t="str">
            <v>6502</v>
          </cell>
          <cell r="L2054" t="str">
            <v/>
          </cell>
          <cell r="M2054" t="str">
            <v>650206</v>
          </cell>
          <cell r="N2054" t="str">
            <v/>
          </cell>
        </row>
        <row r="2055">
          <cell r="C2055" t="str">
            <v>170000465</v>
          </cell>
          <cell r="D2055" t="str">
            <v>#NUPC 8B2-1L</v>
          </cell>
          <cell r="E2055" t="str">
            <v>ZTRD</v>
          </cell>
          <cell r="F2055" t="str">
            <v>PC</v>
          </cell>
          <cell r="G2055" t="str">
            <v>6</v>
          </cell>
          <cell r="H2055" t="str">
            <v>WORKSHOP</v>
          </cell>
          <cell r="I2055" t="str">
            <v>65</v>
          </cell>
          <cell r="J2055" t="str">
            <v/>
          </cell>
          <cell r="K2055" t="str">
            <v>6502</v>
          </cell>
          <cell r="L2055" t="str">
            <v/>
          </cell>
          <cell r="M2055" t="str">
            <v>650206</v>
          </cell>
          <cell r="N2055" t="str">
            <v/>
          </cell>
        </row>
        <row r="2056">
          <cell r="C2056" t="str">
            <v>170000466</v>
          </cell>
          <cell r="D2056" t="str">
            <v>#NUPC 8G1-1L</v>
          </cell>
          <cell r="E2056" t="str">
            <v>ZTRD</v>
          </cell>
          <cell r="F2056" t="str">
            <v>PC</v>
          </cell>
          <cell r="G2056" t="str">
            <v>6</v>
          </cell>
          <cell r="H2056" t="str">
            <v>WORKSHOP</v>
          </cell>
          <cell r="I2056" t="str">
            <v>65</v>
          </cell>
          <cell r="J2056" t="str">
            <v/>
          </cell>
          <cell r="K2056" t="str">
            <v>6502</v>
          </cell>
          <cell r="L2056" t="str">
            <v/>
          </cell>
          <cell r="M2056" t="str">
            <v>650206</v>
          </cell>
          <cell r="N2056" t="str">
            <v/>
          </cell>
        </row>
        <row r="2057">
          <cell r="C2057" t="str">
            <v>170000469</v>
          </cell>
          <cell r="D2057" t="str">
            <v>CERAKOTE CTP-980 WB-5KS</v>
          </cell>
          <cell r="E2057" t="str">
            <v>ZTRD</v>
          </cell>
          <cell r="F2057" t="str">
            <v>SET</v>
          </cell>
          <cell r="G2057" t="str">
            <v>Y</v>
          </cell>
          <cell r="H2057" t="str">
            <v>TRD PROJECT</v>
          </cell>
          <cell r="I2057" t="str">
            <v>Y6</v>
          </cell>
          <cell r="J2057" t="str">
            <v>CPC1</v>
          </cell>
          <cell r="K2057" t="str">
            <v>Y604</v>
          </cell>
          <cell r="L2057" t="str">
            <v>CERAKOTE</v>
          </cell>
          <cell r="M2057" t="str">
            <v>Y60401</v>
          </cell>
          <cell r="N2057" t="str">
            <v>CERAKOTE</v>
          </cell>
        </row>
        <row r="2058">
          <cell r="C2058" t="str">
            <v>170000471</v>
          </cell>
          <cell r="D2058" t="str">
            <v>A-1000 BASE A-0.9L</v>
          </cell>
          <cell r="E2058" t="str">
            <v>ZTRD</v>
          </cell>
          <cell r="F2058" t="str">
            <v>PC</v>
          </cell>
          <cell r="G2058" t="str">
            <v>X</v>
          </cell>
          <cell r="H2058" t="str">
            <v>TRD RETAIL</v>
          </cell>
          <cell r="I2058" t="str">
            <v>X9</v>
          </cell>
          <cell r="J2058" t="str">
            <v>MPC</v>
          </cell>
          <cell r="K2058" t="str">
            <v>X909</v>
          </cell>
          <cell r="L2058" t="str">
            <v>GO FAST</v>
          </cell>
          <cell r="M2058" t="str">
            <v>X90902</v>
          </cell>
          <cell r="N2058" t="str">
            <v>GO FAST BASE</v>
          </cell>
        </row>
        <row r="2059">
          <cell r="C2059" t="str">
            <v>170000472</v>
          </cell>
          <cell r="D2059" t="str">
            <v>A-1000 BASE A-2.5L</v>
          </cell>
          <cell r="E2059" t="str">
            <v>ZTRD</v>
          </cell>
          <cell r="F2059" t="str">
            <v>PC</v>
          </cell>
          <cell r="G2059" t="str">
            <v>X</v>
          </cell>
          <cell r="H2059" t="str">
            <v>TRD RETAIL</v>
          </cell>
          <cell r="I2059" t="str">
            <v>X9</v>
          </cell>
          <cell r="J2059" t="str">
            <v>MPC</v>
          </cell>
          <cell r="K2059" t="str">
            <v>X909</v>
          </cell>
          <cell r="L2059" t="str">
            <v>GO FAST</v>
          </cell>
          <cell r="M2059" t="str">
            <v>X90902</v>
          </cell>
          <cell r="N2059" t="str">
            <v>GO FAST BASE</v>
          </cell>
        </row>
        <row r="2060">
          <cell r="C2060" t="str">
            <v>170000473</v>
          </cell>
          <cell r="D2060" t="str">
            <v>A-1000 BASE A-20LP</v>
          </cell>
          <cell r="E2060" t="str">
            <v>ZTRD</v>
          </cell>
          <cell r="F2060" t="str">
            <v>PC</v>
          </cell>
          <cell r="G2060" t="str">
            <v>X</v>
          </cell>
          <cell r="H2060" t="str">
            <v>TRD RETAIL</v>
          </cell>
          <cell r="I2060" t="str">
            <v>X9</v>
          </cell>
          <cell r="J2060" t="str">
            <v>MPC</v>
          </cell>
          <cell r="K2060" t="str">
            <v>X909</v>
          </cell>
          <cell r="L2060" t="str">
            <v>GO FAST</v>
          </cell>
          <cell r="M2060" t="str">
            <v>X90902</v>
          </cell>
          <cell r="N2060" t="str">
            <v>GO FAST BASE</v>
          </cell>
        </row>
        <row r="2061">
          <cell r="C2061" t="str">
            <v>170000474</v>
          </cell>
          <cell r="D2061" t="str">
            <v>A-1000 BASE B-0.9L</v>
          </cell>
          <cell r="E2061" t="str">
            <v>ZTRD</v>
          </cell>
          <cell r="F2061" t="str">
            <v>PC</v>
          </cell>
          <cell r="G2061" t="str">
            <v>X</v>
          </cell>
          <cell r="H2061" t="str">
            <v>TRD RETAIL</v>
          </cell>
          <cell r="I2061" t="str">
            <v>X9</v>
          </cell>
          <cell r="J2061" t="str">
            <v>MPC</v>
          </cell>
          <cell r="K2061" t="str">
            <v>X909</v>
          </cell>
          <cell r="L2061" t="str">
            <v>GO FAST</v>
          </cell>
          <cell r="M2061" t="str">
            <v>X90902</v>
          </cell>
          <cell r="N2061" t="str">
            <v>GO FAST BASE</v>
          </cell>
        </row>
        <row r="2062">
          <cell r="C2062" t="str">
            <v>170000475</v>
          </cell>
          <cell r="D2062" t="str">
            <v>A-1000 BASE B-2.5L</v>
          </cell>
          <cell r="E2062" t="str">
            <v>ZTRD</v>
          </cell>
          <cell r="F2062" t="str">
            <v>PC</v>
          </cell>
          <cell r="G2062" t="str">
            <v>X</v>
          </cell>
          <cell r="H2062" t="str">
            <v>TRD RETAIL</v>
          </cell>
          <cell r="I2062" t="str">
            <v>X9</v>
          </cell>
          <cell r="J2062" t="str">
            <v>MPC</v>
          </cell>
          <cell r="K2062" t="str">
            <v>X909</v>
          </cell>
          <cell r="L2062" t="str">
            <v>GO FAST</v>
          </cell>
          <cell r="M2062" t="str">
            <v>X90902</v>
          </cell>
          <cell r="N2062" t="str">
            <v>GO FAST BASE</v>
          </cell>
        </row>
        <row r="2063">
          <cell r="C2063" t="str">
            <v>170000476</v>
          </cell>
          <cell r="D2063" t="str">
            <v>A-1000 BASE B-20LP</v>
          </cell>
          <cell r="E2063" t="str">
            <v>ZTRD</v>
          </cell>
          <cell r="F2063" t="str">
            <v>PC</v>
          </cell>
          <cell r="G2063" t="str">
            <v>X</v>
          </cell>
          <cell r="H2063" t="str">
            <v>TRD RETAIL</v>
          </cell>
          <cell r="I2063" t="str">
            <v>X9</v>
          </cell>
          <cell r="J2063" t="str">
            <v>MPC</v>
          </cell>
          <cell r="K2063" t="str">
            <v>X909</v>
          </cell>
          <cell r="L2063" t="str">
            <v>GO FAST</v>
          </cell>
          <cell r="M2063" t="str">
            <v>X90902</v>
          </cell>
          <cell r="N2063" t="str">
            <v>GO FAST BASE</v>
          </cell>
        </row>
        <row r="2064">
          <cell r="C2064" t="str">
            <v>170000477</v>
          </cell>
          <cell r="D2064" t="str">
            <v>A-1000 BASE D-0.9L</v>
          </cell>
          <cell r="E2064" t="str">
            <v>ZTRD</v>
          </cell>
          <cell r="F2064" t="str">
            <v>PC</v>
          </cell>
          <cell r="G2064" t="str">
            <v>X</v>
          </cell>
          <cell r="H2064" t="str">
            <v>TRD RETAIL</v>
          </cell>
          <cell r="I2064" t="str">
            <v>X9</v>
          </cell>
          <cell r="J2064" t="str">
            <v>MPC</v>
          </cell>
          <cell r="K2064" t="str">
            <v>X909</v>
          </cell>
          <cell r="L2064" t="str">
            <v>GO FAST</v>
          </cell>
          <cell r="M2064" t="str">
            <v>X90902</v>
          </cell>
          <cell r="N2064" t="str">
            <v>GO FAST BASE</v>
          </cell>
        </row>
        <row r="2065">
          <cell r="C2065" t="str">
            <v>170000478</v>
          </cell>
          <cell r="D2065" t="str">
            <v>A-1000 BASE D-2.5L</v>
          </cell>
          <cell r="E2065" t="str">
            <v>ZTRD</v>
          </cell>
          <cell r="F2065" t="str">
            <v>PC</v>
          </cell>
          <cell r="G2065" t="str">
            <v>X</v>
          </cell>
          <cell r="H2065" t="str">
            <v>TRD RETAIL</v>
          </cell>
          <cell r="I2065" t="str">
            <v>X9</v>
          </cell>
          <cell r="J2065" t="str">
            <v>MPC</v>
          </cell>
          <cell r="K2065" t="str">
            <v>X909</v>
          </cell>
          <cell r="L2065" t="str">
            <v>GO FAST</v>
          </cell>
          <cell r="M2065" t="str">
            <v>X90902</v>
          </cell>
          <cell r="N2065" t="str">
            <v>GO FAST BASE</v>
          </cell>
        </row>
        <row r="2066">
          <cell r="C2066" t="str">
            <v>170000479</v>
          </cell>
          <cell r="D2066" t="str">
            <v>A-1000 BASE D-20LP</v>
          </cell>
          <cell r="E2066" t="str">
            <v>ZTRD</v>
          </cell>
          <cell r="F2066" t="str">
            <v>PC</v>
          </cell>
          <cell r="G2066" t="str">
            <v>X</v>
          </cell>
          <cell r="H2066" t="str">
            <v>TRD RETAIL</v>
          </cell>
          <cell r="I2066" t="str">
            <v>X9</v>
          </cell>
          <cell r="J2066" t="str">
            <v>MPC</v>
          </cell>
          <cell r="K2066" t="str">
            <v>X909</v>
          </cell>
          <cell r="L2066" t="str">
            <v>GO FAST</v>
          </cell>
          <cell r="M2066" t="str">
            <v>X90902</v>
          </cell>
          <cell r="N2066" t="str">
            <v>GO FAST BASE</v>
          </cell>
        </row>
        <row r="2067">
          <cell r="C2067" t="str">
            <v>170000490</v>
          </cell>
          <cell r="D2067" t="str">
            <v>CERAKOTE CTP-980 WB-20KSP</v>
          </cell>
          <cell r="E2067" t="str">
            <v>ZTRD</v>
          </cell>
          <cell r="F2067" t="str">
            <v>SET</v>
          </cell>
          <cell r="G2067" t="str">
            <v>Y</v>
          </cell>
          <cell r="H2067" t="str">
            <v>TRD PROJECT</v>
          </cell>
          <cell r="I2067" t="str">
            <v>Y6</v>
          </cell>
          <cell r="J2067" t="str">
            <v>CPC1</v>
          </cell>
          <cell r="K2067" t="str">
            <v>Y604</v>
          </cell>
          <cell r="L2067" t="str">
            <v>CERAKOTE</v>
          </cell>
          <cell r="M2067" t="str">
            <v>Y60401</v>
          </cell>
          <cell r="N2067" t="str">
            <v>CERAKOTE</v>
          </cell>
        </row>
        <row r="2068">
          <cell r="C2068" t="str">
            <v>170000608</v>
          </cell>
          <cell r="D2068" t="str">
            <v>FIBERKOTE 820-2.5L</v>
          </cell>
          <cell r="E2068" t="str">
            <v>ZTRD</v>
          </cell>
          <cell r="F2068" t="str">
            <v>PC</v>
          </cell>
          <cell r="G2068" t="str">
            <v>X</v>
          </cell>
          <cell r="H2068" t="str">
            <v>TRD RETAIL</v>
          </cell>
          <cell r="I2068" t="str">
            <v>X6</v>
          </cell>
          <cell r="J2068" t="str">
            <v>SFC</v>
          </cell>
          <cell r="K2068" t="str">
            <v>X604</v>
          </cell>
          <cell r="L2068" t="str">
            <v>FIBERKOTE</v>
          </cell>
          <cell r="M2068" t="str">
            <v>X60401</v>
          </cell>
          <cell r="N2068" t="str">
            <v>FIBERKOTE RMX</v>
          </cell>
        </row>
        <row r="2069">
          <cell r="C2069" t="str">
            <v>170000626</v>
          </cell>
          <cell r="D2069" t="str">
            <v>FIBERKOTE 889 BASE D-1L</v>
          </cell>
          <cell r="E2069" t="str">
            <v>ZTRD</v>
          </cell>
          <cell r="F2069" t="str">
            <v>PC</v>
          </cell>
          <cell r="G2069" t="str">
            <v>X</v>
          </cell>
          <cell r="H2069" t="str">
            <v>TRD RETAIL</v>
          </cell>
          <cell r="I2069" t="str">
            <v>X6</v>
          </cell>
          <cell r="J2069" t="str">
            <v>SFC</v>
          </cell>
          <cell r="K2069" t="str">
            <v>X604</v>
          </cell>
          <cell r="L2069" t="str">
            <v>FIBERKOTE</v>
          </cell>
          <cell r="M2069" t="str">
            <v>X60402</v>
          </cell>
          <cell r="N2069" t="str">
            <v>FIBERKOTE BASE</v>
          </cell>
        </row>
        <row r="2070">
          <cell r="C2070" t="str">
            <v>170000627</v>
          </cell>
          <cell r="D2070" t="str">
            <v>FIBERKOTE 889 BASE D-2.5L</v>
          </cell>
          <cell r="E2070" t="str">
            <v>ZTRD</v>
          </cell>
          <cell r="F2070" t="str">
            <v>PC</v>
          </cell>
          <cell r="G2070" t="str">
            <v>X</v>
          </cell>
          <cell r="H2070" t="str">
            <v>TRD RETAIL</v>
          </cell>
          <cell r="I2070" t="str">
            <v>X6</v>
          </cell>
          <cell r="J2070" t="str">
            <v>SFC</v>
          </cell>
          <cell r="K2070" t="str">
            <v>X604</v>
          </cell>
          <cell r="L2070" t="str">
            <v>FIBERKOTE</v>
          </cell>
          <cell r="M2070" t="str">
            <v>X60402</v>
          </cell>
          <cell r="N2070" t="str">
            <v>FIBERKOTE BASE</v>
          </cell>
        </row>
        <row r="2071">
          <cell r="C2071" t="str">
            <v>170000628</v>
          </cell>
          <cell r="D2071" t="str">
            <v>FIBERKOTE 889 BASE Y-1L</v>
          </cell>
          <cell r="E2071" t="str">
            <v>ZTRD</v>
          </cell>
          <cell r="F2071" t="str">
            <v>PC</v>
          </cell>
          <cell r="G2071" t="str">
            <v>X</v>
          </cell>
          <cell r="H2071" t="str">
            <v>TRD RETAIL</v>
          </cell>
          <cell r="I2071" t="str">
            <v>X6</v>
          </cell>
          <cell r="J2071" t="str">
            <v>SFC</v>
          </cell>
          <cell r="K2071" t="str">
            <v>X604</v>
          </cell>
          <cell r="L2071" t="str">
            <v>FIBERKOTE</v>
          </cell>
          <cell r="M2071" t="str">
            <v>X60402</v>
          </cell>
          <cell r="N2071" t="str">
            <v>FIBERKOTE BASE</v>
          </cell>
        </row>
        <row r="2072">
          <cell r="C2072" t="str">
            <v>170000629</v>
          </cell>
          <cell r="D2072" t="str">
            <v>FIBERKOTE 889 BASE Y-2.5L</v>
          </cell>
          <cell r="E2072" t="str">
            <v>ZTRD</v>
          </cell>
          <cell r="F2072" t="str">
            <v>PC</v>
          </cell>
          <cell r="G2072" t="str">
            <v>X</v>
          </cell>
          <cell r="H2072" t="str">
            <v>TRD RETAIL</v>
          </cell>
          <cell r="I2072" t="str">
            <v>X6</v>
          </cell>
          <cell r="J2072" t="str">
            <v>SFC</v>
          </cell>
          <cell r="K2072" t="str">
            <v>X604</v>
          </cell>
          <cell r="L2072" t="str">
            <v>FIBERKOTE</v>
          </cell>
          <cell r="M2072" t="str">
            <v>X60402</v>
          </cell>
          <cell r="N2072" t="str">
            <v>FIBERKOTE BASE</v>
          </cell>
        </row>
        <row r="2073">
          <cell r="C2073" t="str">
            <v>170000714</v>
          </cell>
          <cell r="D2073" t="str">
            <v>PFM-212-2K SEALER SF-5KS</v>
          </cell>
          <cell r="E2073" t="str">
            <v>ZTRD</v>
          </cell>
          <cell r="F2073" t="str">
            <v>SET</v>
          </cell>
          <cell r="G2073" t="str">
            <v>Y</v>
          </cell>
          <cell r="H2073" t="str">
            <v>TRD PROJECT</v>
          </cell>
          <cell r="I2073" t="str">
            <v>Y6</v>
          </cell>
          <cell r="J2073" t="str">
            <v>CPC1</v>
          </cell>
          <cell r="K2073" t="str">
            <v>Y602</v>
          </cell>
          <cell r="L2073" t="str">
            <v>POLYFLOOR</v>
          </cell>
          <cell r="M2073" t="str">
            <v>Y60202</v>
          </cell>
          <cell r="N2073" t="str">
            <v>POLYFLOOR EPOXY</v>
          </cell>
        </row>
        <row r="2074">
          <cell r="C2074" t="str">
            <v>170000716</v>
          </cell>
          <cell r="D2074" t="str">
            <v>PFM-222-3K SF-40KSZ</v>
          </cell>
          <cell r="E2074" t="str">
            <v>ZTRD</v>
          </cell>
          <cell r="F2074" t="str">
            <v>SET</v>
          </cell>
          <cell r="G2074" t="str">
            <v>Y</v>
          </cell>
          <cell r="H2074" t="str">
            <v>TRD PROJECT</v>
          </cell>
          <cell r="I2074" t="str">
            <v>Y6</v>
          </cell>
          <cell r="J2074" t="str">
            <v>CPC1</v>
          </cell>
          <cell r="K2074" t="str">
            <v>Y602</v>
          </cell>
          <cell r="L2074" t="str">
            <v>POLYFLOOR</v>
          </cell>
          <cell r="M2074" t="str">
            <v>Y60202</v>
          </cell>
          <cell r="N2074" t="str">
            <v>POLYFLOOR EPOXY</v>
          </cell>
        </row>
        <row r="2075">
          <cell r="C2075" t="str">
            <v>170000838</v>
          </cell>
          <cell r="D2075" t="str">
            <v>PUL-765-2K GLOSS BASE D-5LS</v>
          </cell>
          <cell r="E2075" t="str">
            <v>ZTRD</v>
          </cell>
          <cell r="F2075" t="str">
            <v>SET</v>
          </cell>
          <cell r="G2075" t="str">
            <v>X</v>
          </cell>
          <cell r="H2075" t="str">
            <v>TRD RETAIL</v>
          </cell>
          <cell r="I2075" t="str">
            <v>X2</v>
          </cell>
          <cell r="J2075" t="str">
            <v>WF2</v>
          </cell>
          <cell r="K2075" t="str">
            <v>X216</v>
          </cell>
          <cell r="L2075" t="str">
            <v>PU MULTIPURPOSE</v>
          </cell>
          <cell r="M2075" t="str">
            <v>X21601</v>
          </cell>
          <cell r="N2075" t="str">
            <v>PROPAN MP PU ACR RMX</v>
          </cell>
        </row>
        <row r="2076">
          <cell r="C2076" t="str">
            <v>170000898</v>
          </cell>
          <cell r="D2076" t="str">
            <v>SKF-203-1K WB-20LJ</v>
          </cell>
          <cell r="E2076" t="str">
            <v>ZTRD</v>
          </cell>
          <cell r="F2076" t="str">
            <v>PC</v>
          </cell>
          <cell r="G2076" t="str">
            <v>Y</v>
          </cell>
          <cell r="H2076" t="str">
            <v>TRD PROJECT</v>
          </cell>
          <cell r="I2076" t="str">
            <v>Y6</v>
          </cell>
          <cell r="J2076" t="str">
            <v>CPC1</v>
          </cell>
          <cell r="K2076" t="str">
            <v>Y609</v>
          </cell>
          <cell r="L2076" t="str">
            <v>SILIKAT</v>
          </cell>
          <cell r="M2076" t="str">
            <v>Y60901</v>
          </cell>
          <cell r="N2076" t="str">
            <v>SILIKAT FLOOR</v>
          </cell>
        </row>
        <row r="2077">
          <cell r="C2077" t="str">
            <v>170000899</v>
          </cell>
          <cell r="D2077" t="str">
            <v>SKF-203-1K WB-5LJ</v>
          </cell>
          <cell r="E2077" t="str">
            <v>ZTRD</v>
          </cell>
          <cell r="F2077" t="str">
            <v>PC</v>
          </cell>
          <cell r="G2077" t="str">
            <v>Y</v>
          </cell>
          <cell r="H2077" t="str">
            <v>TRD PROJECT</v>
          </cell>
          <cell r="I2077" t="str">
            <v>Y6</v>
          </cell>
          <cell r="J2077" t="str">
            <v>CPC1</v>
          </cell>
          <cell r="K2077" t="str">
            <v>Y609</v>
          </cell>
          <cell r="L2077" t="str">
            <v>SILIKAT</v>
          </cell>
          <cell r="M2077" t="str">
            <v>Y60901</v>
          </cell>
          <cell r="N2077" t="str">
            <v>SILIKAT FLOOR</v>
          </cell>
        </row>
        <row r="2078">
          <cell r="C2078" t="str">
            <v>170000969</v>
          </cell>
          <cell r="D2078" t="str">
            <v>TENNOKOTE 1000 WA BASE A-25KSP</v>
          </cell>
          <cell r="E2078" t="str">
            <v>ZTRD</v>
          </cell>
          <cell r="F2078" t="str">
            <v>SET</v>
          </cell>
          <cell r="G2078" t="str">
            <v>X</v>
          </cell>
          <cell r="H2078" t="str">
            <v>TRD RETAIL</v>
          </cell>
          <cell r="I2078" t="str">
            <v>X7</v>
          </cell>
          <cell r="J2078" t="str">
            <v>CPC1</v>
          </cell>
          <cell r="K2078" t="str">
            <v>X701</v>
          </cell>
          <cell r="L2078" t="str">
            <v>TENNOKOTE</v>
          </cell>
          <cell r="M2078" t="str">
            <v>X70102</v>
          </cell>
          <cell r="N2078" t="str">
            <v>TENNOKOTE BASE</v>
          </cell>
        </row>
        <row r="2079">
          <cell r="C2079" t="str">
            <v>170000971</v>
          </cell>
          <cell r="D2079" t="str">
            <v>TENNOKOTE 1000 WA BASE A-5KS</v>
          </cell>
          <cell r="E2079" t="str">
            <v>ZTRD</v>
          </cell>
          <cell r="F2079" t="str">
            <v>SET</v>
          </cell>
          <cell r="G2079" t="str">
            <v>X</v>
          </cell>
          <cell r="H2079" t="str">
            <v>TRD RETAIL</v>
          </cell>
          <cell r="I2079" t="str">
            <v>X7</v>
          </cell>
          <cell r="J2079" t="str">
            <v>CPC1</v>
          </cell>
          <cell r="K2079" t="str">
            <v>X701</v>
          </cell>
          <cell r="L2079" t="str">
            <v>TENNOKOTE</v>
          </cell>
          <cell r="M2079" t="str">
            <v>X70102</v>
          </cell>
          <cell r="N2079" t="str">
            <v>TENNOKOTE BASE</v>
          </cell>
        </row>
        <row r="2080">
          <cell r="C2080" t="str">
            <v>170000973</v>
          </cell>
          <cell r="D2080" t="str">
            <v>TENNOKOTE 1000 WA BASE D-25KSP</v>
          </cell>
          <cell r="E2080" t="str">
            <v>ZTRD</v>
          </cell>
          <cell r="F2080" t="str">
            <v>SET</v>
          </cell>
          <cell r="G2080" t="str">
            <v>X</v>
          </cell>
          <cell r="H2080" t="str">
            <v>TRD RETAIL</v>
          </cell>
          <cell r="I2080" t="str">
            <v>X7</v>
          </cell>
          <cell r="J2080" t="str">
            <v>CPC1</v>
          </cell>
          <cell r="K2080" t="str">
            <v>X701</v>
          </cell>
          <cell r="L2080" t="str">
            <v>TENNOKOTE</v>
          </cell>
          <cell r="M2080" t="str">
            <v>X70102</v>
          </cell>
          <cell r="N2080" t="str">
            <v>TENNOKOTE BASE</v>
          </cell>
        </row>
        <row r="2081">
          <cell r="C2081" t="str">
            <v>170000975</v>
          </cell>
          <cell r="D2081" t="str">
            <v>TENNOKOTE 1000 WA BASE D-5KS</v>
          </cell>
          <cell r="E2081" t="str">
            <v>ZTRD</v>
          </cell>
          <cell r="F2081" t="str">
            <v>SET</v>
          </cell>
          <cell r="G2081" t="str">
            <v>X</v>
          </cell>
          <cell r="H2081" t="str">
            <v>TRD RETAIL</v>
          </cell>
          <cell r="I2081" t="str">
            <v>X7</v>
          </cell>
          <cell r="J2081" t="str">
            <v>CPC1</v>
          </cell>
          <cell r="K2081" t="str">
            <v>X701</v>
          </cell>
          <cell r="L2081" t="str">
            <v>TENNOKOTE</v>
          </cell>
          <cell r="M2081" t="str">
            <v>X70102</v>
          </cell>
          <cell r="N2081" t="str">
            <v>TENNOKOTE BASE</v>
          </cell>
        </row>
        <row r="2082">
          <cell r="C2082" t="str">
            <v>170000998</v>
          </cell>
          <cell r="D2082" t="str">
            <v>UFM-930 WHITE-1K</v>
          </cell>
          <cell r="E2082" t="str">
            <v>ZTRD</v>
          </cell>
          <cell r="F2082" t="str">
            <v>PC</v>
          </cell>
          <cell r="G2082" t="str">
            <v>Y</v>
          </cell>
          <cell r="H2082" t="str">
            <v>TRD PROJECT</v>
          </cell>
          <cell r="I2082" t="str">
            <v>Y7</v>
          </cell>
          <cell r="J2082" t="str">
            <v>CPC2</v>
          </cell>
          <cell r="K2082" t="str">
            <v>Y706</v>
          </cell>
          <cell r="L2082" t="str">
            <v>ULTRAFLEX</v>
          </cell>
          <cell r="M2082" t="str">
            <v>Y70602</v>
          </cell>
          <cell r="N2082" t="str">
            <v>ULTRAFLEX MEMBRANE</v>
          </cell>
        </row>
        <row r="2083">
          <cell r="C2083" t="str">
            <v>170000999</v>
          </cell>
          <cell r="D2083" t="str">
            <v>UFM-930 WHITE-20KP</v>
          </cell>
          <cell r="E2083" t="str">
            <v>ZTRD</v>
          </cell>
          <cell r="F2083" t="str">
            <v>PC</v>
          </cell>
          <cell r="G2083" t="str">
            <v>Y</v>
          </cell>
          <cell r="H2083" t="str">
            <v>TRD PROJECT</v>
          </cell>
          <cell r="I2083" t="str">
            <v>Y7</v>
          </cell>
          <cell r="J2083" t="str">
            <v>CPC2</v>
          </cell>
          <cell r="K2083" t="str">
            <v>Y706</v>
          </cell>
          <cell r="L2083" t="str">
            <v>ULTRAFLEX</v>
          </cell>
          <cell r="M2083" t="str">
            <v>Y70602</v>
          </cell>
          <cell r="N2083" t="str">
            <v>ULTRAFLEX MEMBRANE</v>
          </cell>
        </row>
        <row r="2084">
          <cell r="C2084" t="str">
            <v>170001034</v>
          </cell>
          <cell r="D2084" t="str">
            <v>WBS-224-1K WB-20KJ</v>
          </cell>
          <cell r="E2084" t="str">
            <v>ZTRD</v>
          </cell>
          <cell r="F2084" t="str">
            <v>PC</v>
          </cell>
          <cell r="G2084" t="str">
            <v>Y</v>
          </cell>
          <cell r="H2084" t="str">
            <v>TRD PROJECT</v>
          </cell>
          <cell r="I2084" t="str">
            <v>Y6</v>
          </cell>
          <cell r="J2084" t="str">
            <v>CPC1</v>
          </cell>
          <cell r="K2084" t="str">
            <v>Y602</v>
          </cell>
          <cell r="L2084" t="str">
            <v>POLYFLOOR</v>
          </cell>
          <cell r="M2084" t="str">
            <v>Y60201</v>
          </cell>
          <cell r="N2084" t="str">
            <v>POLYFLOOR CEMENT</v>
          </cell>
        </row>
        <row r="2085">
          <cell r="C2085" t="str">
            <v>170001149</v>
          </cell>
          <cell r="D2085" t="str">
            <v>DECOR DTX-250 WHITE-25KP</v>
          </cell>
          <cell r="E2085" t="str">
            <v>ZTRD</v>
          </cell>
          <cell r="F2085" t="str">
            <v>PC</v>
          </cell>
          <cell r="G2085" t="str">
            <v>X</v>
          </cell>
          <cell r="H2085" t="str">
            <v>TRD RETAIL</v>
          </cell>
          <cell r="I2085" t="str">
            <v>X5</v>
          </cell>
          <cell r="J2085" t="str">
            <v>APCT1</v>
          </cell>
          <cell r="K2085" t="str">
            <v>X502</v>
          </cell>
          <cell r="L2085" t="str">
            <v>DECOR</v>
          </cell>
          <cell r="M2085" t="str">
            <v>X50213</v>
          </cell>
          <cell r="N2085" t="str">
            <v>DECORTEX</v>
          </cell>
        </row>
        <row r="2086">
          <cell r="C2086" t="str">
            <v>170001207</v>
          </cell>
          <cell r="D2086" t="str">
            <v>TENNOKOTE 1000 WA GREEN-22.5KP</v>
          </cell>
          <cell r="E2086" t="str">
            <v>ZTRD</v>
          </cell>
          <cell r="F2086" t="str">
            <v>PC</v>
          </cell>
          <cell r="G2086" t="str">
            <v>X</v>
          </cell>
          <cell r="H2086" t="str">
            <v>TRD RETAIL</v>
          </cell>
          <cell r="I2086" t="str">
            <v>X7</v>
          </cell>
          <cell r="J2086" t="str">
            <v>CPC1</v>
          </cell>
          <cell r="K2086" t="str">
            <v>X701</v>
          </cell>
          <cell r="L2086" t="str">
            <v>TENNOKOTE</v>
          </cell>
          <cell r="M2086" t="str">
            <v>X70101</v>
          </cell>
          <cell r="N2086" t="str">
            <v>TENNOKOTE</v>
          </cell>
        </row>
        <row r="2087">
          <cell r="C2087" t="str">
            <v>170001208</v>
          </cell>
          <cell r="D2087" t="str">
            <v>TENNOKOTE 1000 WA WHITE-22.5KP</v>
          </cell>
          <cell r="E2087" t="str">
            <v>ZTRD</v>
          </cell>
          <cell r="F2087" t="str">
            <v>PC</v>
          </cell>
          <cell r="G2087" t="str">
            <v>X</v>
          </cell>
          <cell r="H2087" t="str">
            <v>TRD RETAIL</v>
          </cell>
          <cell r="I2087" t="str">
            <v>X7</v>
          </cell>
          <cell r="J2087" t="str">
            <v>CPC1</v>
          </cell>
          <cell r="K2087" t="str">
            <v>X701</v>
          </cell>
          <cell r="L2087" t="str">
            <v>TENNOKOTE</v>
          </cell>
          <cell r="M2087" t="str">
            <v>X70101</v>
          </cell>
          <cell r="N2087" t="str">
            <v>TENNOKOTE</v>
          </cell>
        </row>
        <row r="2088">
          <cell r="C2088" t="str">
            <v>170001238</v>
          </cell>
          <cell r="D2088" t="str">
            <v>ZEBRA GRF CHIKO DARK LEAF-7427-0.3L</v>
          </cell>
          <cell r="E2088" t="str">
            <v>ZTRD</v>
          </cell>
          <cell r="F2088" t="str">
            <v>PC</v>
          </cell>
          <cell r="G2088" t="str">
            <v>X</v>
          </cell>
          <cell r="H2088" t="str">
            <v>TRD RETAIL</v>
          </cell>
          <cell r="I2088" t="str">
            <v>XA</v>
          </cell>
          <cell r="J2088" t="str">
            <v>PCR</v>
          </cell>
          <cell r="K2088" t="str">
            <v>XA03</v>
          </cell>
          <cell r="L2088" t="str">
            <v>AEROSOL</v>
          </cell>
          <cell r="M2088" t="str">
            <v>XA0302</v>
          </cell>
          <cell r="N2088" t="str">
            <v>ZEBRA GRAFFITI</v>
          </cell>
        </row>
        <row r="2089">
          <cell r="C2089" t="str">
            <v>170001239</v>
          </cell>
          <cell r="D2089" t="str">
            <v>ZEBRA GRF SLUM GREEN-8301-0.3L</v>
          </cell>
          <cell r="E2089" t="str">
            <v>ZTRD</v>
          </cell>
          <cell r="F2089" t="str">
            <v>PC</v>
          </cell>
          <cell r="G2089" t="str">
            <v>X</v>
          </cell>
          <cell r="H2089" t="str">
            <v>TRD RETAIL</v>
          </cell>
          <cell r="I2089" t="str">
            <v>XA</v>
          </cell>
          <cell r="J2089" t="str">
            <v>PCR</v>
          </cell>
          <cell r="K2089" t="str">
            <v>XA03</v>
          </cell>
          <cell r="L2089" t="str">
            <v>AEROSOL</v>
          </cell>
          <cell r="M2089" t="str">
            <v>XA0302</v>
          </cell>
          <cell r="N2089" t="str">
            <v>ZEBRA GRAFFITI</v>
          </cell>
        </row>
        <row r="2090">
          <cell r="C2090" t="str">
            <v>170001240</v>
          </cell>
          <cell r="D2090" t="str">
            <v>ZEBRA GRF GREEN BEAM-8410-0.3L</v>
          </cell>
          <cell r="E2090" t="str">
            <v>ZTRD</v>
          </cell>
          <cell r="F2090" t="str">
            <v>PC</v>
          </cell>
          <cell r="G2090" t="str">
            <v>X</v>
          </cell>
          <cell r="H2090" t="str">
            <v>TRD RETAIL</v>
          </cell>
          <cell r="I2090" t="str">
            <v>XA</v>
          </cell>
          <cell r="J2090" t="str">
            <v>PCR</v>
          </cell>
          <cell r="K2090" t="str">
            <v>XA03</v>
          </cell>
          <cell r="L2090" t="str">
            <v>AEROSOL</v>
          </cell>
          <cell r="M2090" t="str">
            <v>XA0302</v>
          </cell>
          <cell r="N2090" t="str">
            <v>ZEBRA GRAFFITI</v>
          </cell>
        </row>
        <row r="2091">
          <cell r="C2091" t="str">
            <v>170001241</v>
          </cell>
          <cell r="D2091" t="str">
            <v>ZEBRA GRF VALE-3432-0.3L</v>
          </cell>
          <cell r="E2091" t="str">
            <v>ZTRD</v>
          </cell>
          <cell r="F2091" t="str">
            <v>PC</v>
          </cell>
          <cell r="G2091" t="str">
            <v>X</v>
          </cell>
          <cell r="H2091" t="str">
            <v>TRD RETAIL</v>
          </cell>
          <cell r="I2091" t="str">
            <v>XA</v>
          </cell>
          <cell r="J2091" t="str">
            <v>PCR</v>
          </cell>
          <cell r="K2091" t="str">
            <v>XA03</v>
          </cell>
          <cell r="L2091" t="str">
            <v>AEROSOL</v>
          </cell>
          <cell r="M2091" t="str">
            <v>XA0302</v>
          </cell>
          <cell r="N2091" t="str">
            <v>ZEBRA GRAFFITI</v>
          </cell>
        </row>
        <row r="2092">
          <cell r="C2092" t="str">
            <v>170001242</v>
          </cell>
          <cell r="D2092" t="str">
            <v>ZEBRA GRF PASTEL GREEN-3431-0.3L</v>
          </cell>
          <cell r="E2092" t="str">
            <v>ZTRD</v>
          </cell>
          <cell r="F2092" t="str">
            <v>PC</v>
          </cell>
          <cell r="G2092" t="str">
            <v>X</v>
          </cell>
          <cell r="H2092" t="str">
            <v>TRD RETAIL</v>
          </cell>
          <cell r="I2092" t="str">
            <v>XA</v>
          </cell>
          <cell r="J2092" t="str">
            <v>PCR</v>
          </cell>
          <cell r="K2092" t="str">
            <v>XA03</v>
          </cell>
          <cell r="L2092" t="str">
            <v>AEROSOL</v>
          </cell>
          <cell r="M2092" t="str">
            <v>XA0302</v>
          </cell>
          <cell r="N2092" t="str">
            <v>ZEBRA GRAFFITI</v>
          </cell>
        </row>
        <row r="2093">
          <cell r="C2093" t="str">
            <v>170001243</v>
          </cell>
          <cell r="D2093" t="str">
            <v>ZEBRA GRF ALPINE-8404-0.3L</v>
          </cell>
          <cell r="E2093" t="str">
            <v>ZTRD</v>
          </cell>
          <cell r="F2093" t="str">
            <v>PC</v>
          </cell>
          <cell r="G2093" t="str">
            <v>X</v>
          </cell>
          <cell r="H2093" t="str">
            <v>TRD RETAIL</v>
          </cell>
          <cell r="I2093" t="str">
            <v>XA</v>
          </cell>
          <cell r="J2093" t="str">
            <v>PCR</v>
          </cell>
          <cell r="K2093" t="str">
            <v>XA03</v>
          </cell>
          <cell r="L2093" t="str">
            <v>AEROSOL</v>
          </cell>
          <cell r="M2093" t="str">
            <v>XA0302</v>
          </cell>
          <cell r="N2093" t="str">
            <v>ZEBRA GRAFFITI</v>
          </cell>
        </row>
        <row r="2094">
          <cell r="C2094" t="str">
            <v>170001244</v>
          </cell>
          <cell r="D2094" t="str">
            <v>ZEBRA GRF OLIVE-1402-0.3L</v>
          </cell>
          <cell r="E2094" t="str">
            <v>ZTRD</v>
          </cell>
          <cell r="F2094" t="str">
            <v>PC</v>
          </cell>
          <cell r="G2094" t="str">
            <v>X</v>
          </cell>
          <cell r="H2094" t="str">
            <v>TRD RETAIL</v>
          </cell>
          <cell r="I2094" t="str">
            <v>XA</v>
          </cell>
          <cell r="J2094" t="str">
            <v>PCR</v>
          </cell>
          <cell r="K2094" t="str">
            <v>XA03</v>
          </cell>
          <cell r="L2094" t="str">
            <v>AEROSOL</v>
          </cell>
          <cell r="M2094" t="str">
            <v>XA0302</v>
          </cell>
          <cell r="N2094" t="str">
            <v>ZEBRA GRAFFITI</v>
          </cell>
        </row>
        <row r="2095">
          <cell r="C2095" t="str">
            <v>170001245</v>
          </cell>
          <cell r="D2095" t="str">
            <v>ZEBRA GRF SILVER-9106-0.3L</v>
          </cell>
          <cell r="E2095" t="str">
            <v>ZTRD</v>
          </cell>
          <cell r="F2095" t="str">
            <v>PC</v>
          </cell>
          <cell r="G2095" t="str">
            <v>X</v>
          </cell>
          <cell r="H2095" t="str">
            <v>TRD RETAIL</v>
          </cell>
          <cell r="I2095" t="str">
            <v>XA</v>
          </cell>
          <cell r="J2095" t="str">
            <v>PCR</v>
          </cell>
          <cell r="K2095" t="str">
            <v>XA03</v>
          </cell>
          <cell r="L2095" t="str">
            <v>AEROSOL</v>
          </cell>
          <cell r="M2095" t="str">
            <v>XA0302</v>
          </cell>
          <cell r="N2095" t="str">
            <v>ZEBRA GRAFFITI</v>
          </cell>
        </row>
        <row r="2096">
          <cell r="C2096" t="str">
            <v>170001246</v>
          </cell>
          <cell r="D2096" t="str">
            <v>ZEBRA GRF PURE WHITE-9101-0.3L</v>
          </cell>
          <cell r="E2096" t="str">
            <v>ZTRD</v>
          </cell>
          <cell r="F2096" t="str">
            <v>PC</v>
          </cell>
          <cell r="G2096" t="str">
            <v>X</v>
          </cell>
          <cell r="H2096" t="str">
            <v>TRD RETAIL</v>
          </cell>
          <cell r="I2096" t="str">
            <v>XA</v>
          </cell>
          <cell r="J2096" t="str">
            <v>PCR</v>
          </cell>
          <cell r="K2096" t="str">
            <v>XA03</v>
          </cell>
          <cell r="L2096" t="str">
            <v>AEROSOL</v>
          </cell>
          <cell r="M2096" t="str">
            <v>XA0302</v>
          </cell>
          <cell r="N2096" t="str">
            <v>ZEBRA GRAFFITI</v>
          </cell>
        </row>
        <row r="2097">
          <cell r="C2097" t="str">
            <v>170001247</v>
          </cell>
          <cell r="D2097" t="str">
            <v>ZEBRA GRF BLACK UNIVERSE-9406-0.3L</v>
          </cell>
          <cell r="E2097" t="str">
            <v>ZTRD</v>
          </cell>
          <cell r="F2097" t="str">
            <v>PC</v>
          </cell>
          <cell r="G2097" t="str">
            <v>X</v>
          </cell>
          <cell r="H2097" t="str">
            <v>TRD RETAIL</v>
          </cell>
          <cell r="I2097" t="str">
            <v>XA</v>
          </cell>
          <cell r="J2097" t="str">
            <v>PCR</v>
          </cell>
          <cell r="K2097" t="str">
            <v>XA03</v>
          </cell>
          <cell r="L2097" t="str">
            <v>AEROSOL</v>
          </cell>
          <cell r="M2097" t="str">
            <v>XA0302</v>
          </cell>
          <cell r="N2097" t="str">
            <v>ZEBRA GRAFFITI</v>
          </cell>
        </row>
        <row r="2098">
          <cell r="C2098" t="str">
            <v>170001248</v>
          </cell>
          <cell r="D2098" t="str">
            <v>ZEBRA GRF MAROON-4309-0.3L</v>
          </cell>
          <cell r="E2098" t="str">
            <v>ZTRD</v>
          </cell>
          <cell r="F2098" t="str">
            <v>PC</v>
          </cell>
          <cell r="G2098" t="str">
            <v>X</v>
          </cell>
          <cell r="H2098" t="str">
            <v>TRD RETAIL</v>
          </cell>
          <cell r="I2098" t="str">
            <v>XA</v>
          </cell>
          <cell r="J2098" t="str">
            <v>PCR</v>
          </cell>
          <cell r="K2098" t="str">
            <v>XA03</v>
          </cell>
          <cell r="L2098" t="str">
            <v>AEROSOL</v>
          </cell>
          <cell r="M2098" t="str">
            <v>XA0302</v>
          </cell>
          <cell r="N2098" t="str">
            <v>ZEBRA GRAFFITI</v>
          </cell>
        </row>
        <row r="2099">
          <cell r="C2099" t="str">
            <v>170001249</v>
          </cell>
          <cell r="D2099" t="str">
            <v>ZEBRA GRF RED DEVIL-3310-0.3L</v>
          </cell>
          <cell r="E2099" t="str">
            <v>ZTRD</v>
          </cell>
          <cell r="F2099" t="str">
            <v>PC</v>
          </cell>
          <cell r="G2099" t="str">
            <v>X</v>
          </cell>
          <cell r="H2099" t="str">
            <v>TRD RETAIL</v>
          </cell>
          <cell r="I2099" t="str">
            <v>XA</v>
          </cell>
          <cell r="J2099" t="str">
            <v>PCR</v>
          </cell>
          <cell r="K2099" t="str">
            <v>XA03</v>
          </cell>
          <cell r="L2099" t="str">
            <v>AEROSOL</v>
          </cell>
          <cell r="M2099" t="str">
            <v>XA0302</v>
          </cell>
          <cell r="N2099" t="str">
            <v>ZEBRA GRAFFITI</v>
          </cell>
        </row>
        <row r="2100">
          <cell r="C2100" t="str">
            <v>170001250</v>
          </cell>
          <cell r="D2100" t="str">
            <v>ZEBRA GRF SUNSET-3311-0.3L</v>
          </cell>
          <cell r="E2100" t="str">
            <v>ZTRD</v>
          </cell>
          <cell r="F2100" t="str">
            <v>PC</v>
          </cell>
          <cell r="G2100" t="str">
            <v>X</v>
          </cell>
          <cell r="H2100" t="str">
            <v>TRD RETAIL</v>
          </cell>
          <cell r="I2100" t="str">
            <v>XA</v>
          </cell>
          <cell r="J2100" t="str">
            <v>PCR</v>
          </cell>
          <cell r="K2100" t="str">
            <v>XA03</v>
          </cell>
          <cell r="L2100" t="str">
            <v>AEROSOL</v>
          </cell>
          <cell r="M2100" t="str">
            <v>XA0302</v>
          </cell>
          <cell r="N2100" t="str">
            <v>ZEBRA GRAFFITI</v>
          </cell>
        </row>
        <row r="2101">
          <cell r="C2101" t="str">
            <v>170001251</v>
          </cell>
          <cell r="D2101" t="str">
            <v>ZEBRA GRF SWEET SUNRISE-3336-0.3L</v>
          </cell>
          <cell r="E2101" t="str">
            <v>ZTRD</v>
          </cell>
          <cell r="F2101" t="str">
            <v>PC</v>
          </cell>
          <cell r="G2101" t="str">
            <v>X</v>
          </cell>
          <cell r="H2101" t="str">
            <v>TRD RETAIL</v>
          </cell>
          <cell r="I2101" t="str">
            <v>XA</v>
          </cell>
          <cell r="J2101" t="str">
            <v>PCR</v>
          </cell>
          <cell r="K2101" t="str">
            <v>XA03</v>
          </cell>
          <cell r="L2101" t="str">
            <v>AEROSOL</v>
          </cell>
          <cell r="M2101" t="str">
            <v>XA0302</v>
          </cell>
          <cell r="N2101" t="str">
            <v>ZEBRA GRAFFITI</v>
          </cell>
        </row>
        <row r="2102">
          <cell r="C2102" t="str">
            <v>170001252</v>
          </cell>
          <cell r="D2102" t="str">
            <v>ZEBRA GRF GROUND SHINE-2326-0.3L</v>
          </cell>
          <cell r="E2102" t="str">
            <v>ZTRD</v>
          </cell>
          <cell r="F2102" t="str">
            <v>PC</v>
          </cell>
          <cell r="G2102" t="str">
            <v>X</v>
          </cell>
          <cell r="H2102" t="str">
            <v>TRD RETAIL</v>
          </cell>
          <cell r="I2102" t="str">
            <v>XA</v>
          </cell>
          <cell r="J2102" t="str">
            <v>PCR</v>
          </cell>
          <cell r="K2102" t="str">
            <v>XA03</v>
          </cell>
          <cell r="L2102" t="str">
            <v>AEROSOL</v>
          </cell>
          <cell r="M2102" t="str">
            <v>XA0302</v>
          </cell>
          <cell r="N2102" t="str">
            <v>ZEBRA GRAFFITI</v>
          </cell>
        </row>
        <row r="2103">
          <cell r="C2103" t="str">
            <v>170001253</v>
          </cell>
          <cell r="D2103" t="str">
            <v>ZEBRA GRF CANARY YELLOW-2206-0.3L</v>
          </cell>
          <cell r="E2103" t="str">
            <v>ZTRD</v>
          </cell>
          <cell r="F2103" t="str">
            <v>PC</v>
          </cell>
          <cell r="G2103" t="str">
            <v>X</v>
          </cell>
          <cell r="H2103" t="str">
            <v>TRD RETAIL</v>
          </cell>
          <cell r="I2103" t="str">
            <v>XA</v>
          </cell>
          <cell r="J2103" t="str">
            <v>PCR</v>
          </cell>
          <cell r="K2103" t="str">
            <v>XA03</v>
          </cell>
          <cell r="L2103" t="str">
            <v>AEROSOL</v>
          </cell>
          <cell r="M2103" t="str">
            <v>XA0302</v>
          </cell>
          <cell r="N2103" t="str">
            <v>ZEBRA GRAFFITI</v>
          </cell>
        </row>
        <row r="2104">
          <cell r="C2104" t="str">
            <v>170001254</v>
          </cell>
          <cell r="D2104" t="str">
            <v>ZEBRA GRF LEMON-3337-0.3L</v>
          </cell>
          <cell r="E2104" t="str">
            <v>ZTRD</v>
          </cell>
          <cell r="F2104" t="str">
            <v>PC</v>
          </cell>
          <cell r="G2104" t="str">
            <v>X</v>
          </cell>
          <cell r="H2104" t="str">
            <v>TRD RETAIL</v>
          </cell>
          <cell r="I2104" t="str">
            <v>XA</v>
          </cell>
          <cell r="J2104" t="str">
            <v>PCR</v>
          </cell>
          <cell r="K2104" t="str">
            <v>XA03</v>
          </cell>
          <cell r="L2104" t="str">
            <v>AEROSOL</v>
          </cell>
          <cell r="M2104" t="str">
            <v>XA0302</v>
          </cell>
          <cell r="N2104" t="str">
            <v>ZEBRA GRAFFITI</v>
          </cell>
        </row>
        <row r="2105">
          <cell r="C2105" t="str">
            <v>170001255</v>
          </cell>
          <cell r="D2105" t="str">
            <v>ZEBRA GRF CORAL-4419-0.3L</v>
          </cell>
          <cell r="E2105" t="str">
            <v>ZTRD</v>
          </cell>
          <cell r="F2105" t="str">
            <v>PC</v>
          </cell>
          <cell r="G2105" t="str">
            <v>X</v>
          </cell>
          <cell r="H2105" t="str">
            <v>TRD RETAIL</v>
          </cell>
          <cell r="I2105" t="str">
            <v>XA</v>
          </cell>
          <cell r="J2105" t="str">
            <v>PCR</v>
          </cell>
          <cell r="K2105" t="str">
            <v>XA03</v>
          </cell>
          <cell r="L2105" t="str">
            <v>AEROSOL</v>
          </cell>
          <cell r="M2105" t="str">
            <v>XA0302</v>
          </cell>
          <cell r="N2105" t="str">
            <v>ZEBRA GRAFFITI</v>
          </cell>
        </row>
        <row r="2106">
          <cell r="C2106" t="str">
            <v>170001256</v>
          </cell>
          <cell r="D2106" t="str">
            <v>ZEBRA GRF PEACH-4416-0.3L</v>
          </cell>
          <cell r="E2106" t="str">
            <v>ZTRD</v>
          </cell>
          <cell r="F2106" t="str">
            <v>PC</v>
          </cell>
          <cell r="G2106" t="str">
            <v>X</v>
          </cell>
          <cell r="H2106" t="str">
            <v>TRD RETAIL</v>
          </cell>
          <cell r="I2106" t="str">
            <v>XA</v>
          </cell>
          <cell r="J2106" t="str">
            <v>PCR</v>
          </cell>
          <cell r="K2106" t="str">
            <v>XA03</v>
          </cell>
          <cell r="L2106" t="str">
            <v>AEROSOL</v>
          </cell>
          <cell r="M2106" t="str">
            <v>XA0302</v>
          </cell>
          <cell r="N2106" t="str">
            <v>ZEBRA GRAFFITI</v>
          </cell>
        </row>
        <row r="2107">
          <cell r="C2107" t="str">
            <v>170001257</v>
          </cell>
          <cell r="D2107" t="str">
            <v>ZEBRA GRF SCOUT BLUE-5464-0.3L</v>
          </cell>
          <cell r="E2107" t="str">
            <v>ZTRD</v>
          </cell>
          <cell r="F2107" t="str">
            <v>PC</v>
          </cell>
          <cell r="G2107" t="str">
            <v>X</v>
          </cell>
          <cell r="H2107" t="str">
            <v>TRD RETAIL</v>
          </cell>
          <cell r="I2107" t="str">
            <v>XA</v>
          </cell>
          <cell r="J2107" t="str">
            <v>PCR</v>
          </cell>
          <cell r="K2107" t="str">
            <v>XA03</v>
          </cell>
          <cell r="L2107" t="str">
            <v>AEROSOL</v>
          </cell>
          <cell r="M2107" t="str">
            <v>XA0302</v>
          </cell>
          <cell r="N2107" t="str">
            <v>ZEBRA GRAFFITI</v>
          </cell>
        </row>
        <row r="2108">
          <cell r="C2108" t="str">
            <v>170001258</v>
          </cell>
          <cell r="D2108" t="str">
            <v>ZEBRA GRF BLUE OCEAN-6434-0.3L</v>
          </cell>
          <cell r="E2108" t="str">
            <v>ZTRD</v>
          </cell>
          <cell r="F2108" t="str">
            <v>PC</v>
          </cell>
          <cell r="G2108" t="str">
            <v>X</v>
          </cell>
          <cell r="H2108" t="str">
            <v>TRD RETAIL</v>
          </cell>
          <cell r="I2108" t="str">
            <v>XA</v>
          </cell>
          <cell r="J2108" t="str">
            <v>PCR</v>
          </cell>
          <cell r="K2108" t="str">
            <v>XA03</v>
          </cell>
          <cell r="L2108" t="str">
            <v>AEROSOL</v>
          </cell>
          <cell r="M2108" t="str">
            <v>XA0302</v>
          </cell>
          <cell r="N2108" t="str">
            <v>ZEBRA GRAFFITI</v>
          </cell>
        </row>
        <row r="2109">
          <cell r="C2109" t="str">
            <v>170001259</v>
          </cell>
          <cell r="D2109" t="str">
            <v>ZEBRA GRF BRIGHT CYAN-6435-0.3L</v>
          </cell>
          <cell r="E2109" t="str">
            <v>ZTRD</v>
          </cell>
          <cell r="F2109" t="str">
            <v>PC</v>
          </cell>
          <cell r="G2109" t="str">
            <v>X</v>
          </cell>
          <cell r="H2109" t="str">
            <v>TRD RETAIL</v>
          </cell>
          <cell r="I2109" t="str">
            <v>XA</v>
          </cell>
          <cell r="J2109" t="str">
            <v>PCR</v>
          </cell>
          <cell r="K2109" t="str">
            <v>XA03</v>
          </cell>
          <cell r="L2109" t="str">
            <v>AEROSOL</v>
          </cell>
          <cell r="M2109" t="str">
            <v>XA0302</v>
          </cell>
          <cell r="N2109" t="str">
            <v>ZEBRA GRAFFITI</v>
          </cell>
        </row>
        <row r="2110">
          <cell r="C2110" t="str">
            <v>170001260</v>
          </cell>
          <cell r="D2110" t="str">
            <v>ZEBRA GRF BRAVE BLUE-6436-0.3L</v>
          </cell>
          <cell r="E2110" t="str">
            <v>ZTRD</v>
          </cell>
          <cell r="F2110" t="str">
            <v>PC</v>
          </cell>
          <cell r="G2110" t="str">
            <v>X</v>
          </cell>
          <cell r="H2110" t="str">
            <v>TRD RETAIL</v>
          </cell>
          <cell r="I2110" t="str">
            <v>XA</v>
          </cell>
          <cell r="J2110" t="str">
            <v>PCR</v>
          </cell>
          <cell r="K2110" t="str">
            <v>XA03</v>
          </cell>
          <cell r="L2110" t="str">
            <v>AEROSOL</v>
          </cell>
          <cell r="M2110" t="str">
            <v>XA0302</v>
          </cell>
          <cell r="N2110" t="str">
            <v>ZEBRA GRAFFITI</v>
          </cell>
        </row>
        <row r="2111">
          <cell r="C2111" t="str">
            <v>170001261</v>
          </cell>
          <cell r="D2111" t="str">
            <v>ZEBRA GRF DNZTWO BROWN-3427-0.3L</v>
          </cell>
          <cell r="E2111" t="str">
            <v>ZTRD</v>
          </cell>
          <cell r="F2111" t="str">
            <v>PC</v>
          </cell>
          <cell r="G2111" t="str">
            <v>X</v>
          </cell>
          <cell r="H2111" t="str">
            <v>TRD RETAIL</v>
          </cell>
          <cell r="I2111" t="str">
            <v>XA</v>
          </cell>
          <cell r="J2111" t="str">
            <v>PCR</v>
          </cell>
          <cell r="K2111" t="str">
            <v>XA03</v>
          </cell>
          <cell r="L2111" t="str">
            <v>AEROSOL</v>
          </cell>
          <cell r="M2111" t="str">
            <v>XA0302</v>
          </cell>
          <cell r="N2111" t="str">
            <v>ZEBRA GRAFFITI</v>
          </cell>
        </row>
        <row r="2112">
          <cell r="C2112" t="str">
            <v>170001262</v>
          </cell>
          <cell r="D2112" t="str">
            <v>ZEBRA GRF LATTE-3428-0.3L</v>
          </cell>
          <cell r="E2112" t="str">
            <v>ZTRD</v>
          </cell>
          <cell r="F2112" t="str">
            <v>PC</v>
          </cell>
          <cell r="G2112" t="str">
            <v>X</v>
          </cell>
          <cell r="H2112" t="str">
            <v>TRD RETAIL</v>
          </cell>
          <cell r="I2112" t="str">
            <v>XA</v>
          </cell>
          <cell r="J2112" t="str">
            <v>PCR</v>
          </cell>
          <cell r="K2112" t="str">
            <v>XA03</v>
          </cell>
          <cell r="L2112" t="str">
            <v>AEROSOL</v>
          </cell>
          <cell r="M2112" t="str">
            <v>XA0302</v>
          </cell>
          <cell r="N2112" t="str">
            <v>ZEBRA GRAFFITI</v>
          </cell>
        </row>
        <row r="2113">
          <cell r="C2113" t="str">
            <v>170001263</v>
          </cell>
          <cell r="D2113" t="str">
            <v>ZEBRA GRF LIGHT CREAM-4417-0.3L</v>
          </cell>
          <cell r="E2113" t="str">
            <v>ZTRD</v>
          </cell>
          <cell r="F2113" t="str">
            <v>PC</v>
          </cell>
          <cell r="G2113" t="str">
            <v>X</v>
          </cell>
          <cell r="H2113" t="str">
            <v>TRD RETAIL</v>
          </cell>
          <cell r="I2113" t="str">
            <v>XA</v>
          </cell>
          <cell r="J2113" t="str">
            <v>PCR</v>
          </cell>
          <cell r="K2113" t="str">
            <v>XA03</v>
          </cell>
          <cell r="L2113" t="str">
            <v>AEROSOL</v>
          </cell>
          <cell r="M2113" t="str">
            <v>XA0302</v>
          </cell>
          <cell r="N2113" t="str">
            <v>ZEBRA GRAFFITI</v>
          </cell>
        </row>
        <row r="2114">
          <cell r="C2114" t="str">
            <v>170001264</v>
          </cell>
          <cell r="D2114" t="str">
            <v>ZEBRA GRF BRICK BROWN-2401-0.3L</v>
          </cell>
          <cell r="E2114" t="str">
            <v>ZTRD</v>
          </cell>
          <cell r="F2114" t="str">
            <v>PC</v>
          </cell>
          <cell r="G2114" t="str">
            <v>X</v>
          </cell>
          <cell r="H2114" t="str">
            <v>TRD RETAIL</v>
          </cell>
          <cell r="I2114" t="str">
            <v>XA</v>
          </cell>
          <cell r="J2114" t="str">
            <v>PCR</v>
          </cell>
          <cell r="K2114" t="str">
            <v>XA03</v>
          </cell>
          <cell r="L2114" t="str">
            <v>AEROSOL</v>
          </cell>
          <cell r="M2114" t="str">
            <v>XA0302</v>
          </cell>
          <cell r="N2114" t="str">
            <v>ZEBRA GRAFFITI</v>
          </cell>
        </row>
        <row r="2115">
          <cell r="C2115" t="str">
            <v>170001265</v>
          </cell>
          <cell r="D2115" t="str">
            <v>ZEBRA GRF RACON VIOLET-4407-0.3L</v>
          </cell>
          <cell r="E2115" t="str">
            <v>ZTRD</v>
          </cell>
          <cell r="F2115" t="str">
            <v>PC</v>
          </cell>
          <cell r="G2115" t="str">
            <v>X</v>
          </cell>
          <cell r="H2115" t="str">
            <v>TRD RETAIL</v>
          </cell>
          <cell r="I2115" t="str">
            <v>XA</v>
          </cell>
          <cell r="J2115" t="str">
            <v>PCR</v>
          </cell>
          <cell r="K2115" t="str">
            <v>XA03</v>
          </cell>
          <cell r="L2115" t="str">
            <v>AEROSOL</v>
          </cell>
          <cell r="M2115" t="str">
            <v>XA0302</v>
          </cell>
          <cell r="N2115" t="str">
            <v>ZEBRA GRAFFITI</v>
          </cell>
        </row>
        <row r="2116">
          <cell r="C2116" t="str">
            <v>170001266</v>
          </cell>
          <cell r="D2116" t="str">
            <v>ZEBRA GRF THANOS-4408-0.3L</v>
          </cell>
          <cell r="E2116" t="str">
            <v>ZTRD</v>
          </cell>
          <cell r="F2116" t="str">
            <v>PC</v>
          </cell>
          <cell r="G2116" t="str">
            <v>X</v>
          </cell>
          <cell r="H2116" t="str">
            <v>TRD RETAIL</v>
          </cell>
          <cell r="I2116" t="str">
            <v>XA</v>
          </cell>
          <cell r="J2116" t="str">
            <v>PCR</v>
          </cell>
          <cell r="K2116" t="str">
            <v>XA03</v>
          </cell>
          <cell r="L2116" t="str">
            <v>AEROSOL</v>
          </cell>
          <cell r="M2116" t="str">
            <v>XA0302</v>
          </cell>
          <cell r="N2116" t="str">
            <v>ZEBRA GRAFFITI</v>
          </cell>
        </row>
        <row r="2117">
          <cell r="C2117" t="str">
            <v>170001267</v>
          </cell>
          <cell r="D2117" t="str">
            <v>ZEBRA GRF NICK COSMIC-5460-0.3L</v>
          </cell>
          <cell r="E2117" t="str">
            <v>ZTRD</v>
          </cell>
          <cell r="F2117" t="str">
            <v>PC</v>
          </cell>
          <cell r="G2117" t="str">
            <v>X</v>
          </cell>
          <cell r="H2117" t="str">
            <v>TRD RETAIL</v>
          </cell>
          <cell r="I2117" t="str">
            <v>XA</v>
          </cell>
          <cell r="J2117" t="str">
            <v>PCR</v>
          </cell>
          <cell r="K2117" t="str">
            <v>XA03</v>
          </cell>
          <cell r="L2117" t="str">
            <v>AEROSOL</v>
          </cell>
          <cell r="M2117" t="str">
            <v>XA0302</v>
          </cell>
          <cell r="N2117" t="str">
            <v>ZEBRA GRAFFITI</v>
          </cell>
        </row>
        <row r="2118">
          <cell r="C2118" t="str">
            <v>170001268</v>
          </cell>
          <cell r="D2118" t="str">
            <v>ZEBRA GRF DARK PURPLE-4414-0.3L</v>
          </cell>
          <cell r="E2118" t="str">
            <v>ZTRD</v>
          </cell>
          <cell r="F2118" t="str">
            <v>PC</v>
          </cell>
          <cell r="G2118" t="str">
            <v>X</v>
          </cell>
          <cell r="H2118" t="str">
            <v>TRD RETAIL</v>
          </cell>
          <cell r="I2118" t="str">
            <v>XA</v>
          </cell>
          <cell r="J2118" t="str">
            <v>PCR</v>
          </cell>
          <cell r="K2118" t="str">
            <v>XA03</v>
          </cell>
          <cell r="L2118" t="str">
            <v>AEROSOL</v>
          </cell>
          <cell r="M2118" t="str">
            <v>XA0302</v>
          </cell>
          <cell r="N2118" t="str">
            <v>ZEBRA GRAFFITI</v>
          </cell>
        </row>
        <row r="2119">
          <cell r="C2119" t="str">
            <v>170001269</v>
          </cell>
          <cell r="D2119" t="str">
            <v>ZEBRA GRF VIOLETA-5461-0.3L</v>
          </cell>
          <cell r="E2119" t="str">
            <v>ZTRD</v>
          </cell>
          <cell r="F2119" t="str">
            <v>PC</v>
          </cell>
          <cell r="G2119" t="str">
            <v>X</v>
          </cell>
          <cell r="H2119" t="str">
            <v>TRD RETAIL</v>
          </cell>
          <cell r="I2119" t="str">
            <v>XA</v>
          </cell>
          <cell r="J2119" t="str">
            <v>PCR</v>
          </cell>
          <cell r="K2119" t="str">
            <v>XA03</v>
          </cell>
          <cell r="L2119" t="str">
            <v>AEROSOL</v>
          </cell>
          <cell r="M2119" t="str">
            <v>XA0302</v>
          </cell>
          <cell r="N2119" t="str">
            <v>ZEBRA GRAFFITI</v>
          </cell>
        </row>
        <row r="2120">
          <cell r="C2120" t="str">
            <v>170001270</v>
          </cell>
          <cell r="D2120" t="str">
            <v>ZEBRA GRF LILAC-4413-0.3L</v>
          </cell>
          <cell r="E2120" t="str">
            <v>ZTRD</v>
          </cell>
          <cell r="F2120" t="str">
            <v>PC</v>
          </cell>
          <cell r="G2120" t="str">
            <v>X</v>
          </cell>
          <cell r="H2120" t="str">
            <v>TRD RETAIL</v>
          </cell>
          <cell r="I2120" t="str">
            <v>XA</v>
          </cell>
          <cell r="J2120" t="str">
            <v>PCR</v>
          </cell>
          <cell r="K2120" t="str">
            <v>XA03</v>
          </cell>
          <cell r="L2120" t="str">
            <v>AEROSOL</v>
          </cell>
          <cell r="M2120" t="str">
            <v>XA0302</v>
          </cell>
          <cell r="N2120" t="str">
            <v>ZEBRA GRAFFITI</v>
          </cell>
        </row>
        <row r="2121">
          <cell r="C2121" t="str">
            <v>170001271</v>
          </cell>
          <cell r="D2121" t="str">
            <v>ZEBRA GRF GUAVA-4310-0.3L</v>
          </cell>
          <cell r="E2121" t="str">
            <v>ZTRD</v>
          </cell>
          <cell r="F2121" t="str">
            <v>PC</v>
          </cell>
          <cell r="G2121" t="str">
            <v>X</v>
          </cell>
          <cell r="H2121" t="str">
            <v>TRD RETAIL</v>
          </cell>
          <cell r="I2121" t="str">
            <v>XA</v>
          </cell>
          <cell r="J2121" t="str">
            <v>PCR</v>
          </cell>
          <cell r="K2121" t="str">
            <v>XA03</v>
          </cell>
          <cell r="L2121" t="str">
            <v>AEROSOL</v>
          </cell>
          <cell r="M2121" t="str">
            <v>XA0302</v>
          </cell>
          <cell r="N2121" t="str">
            <v>ZEBRA GRAFFITI</v>
          </cell>
        </row>
        <row r="2122">
          <cell r="C2122" t="str">
            <v>170001272</v>
          </cell>
          <cell r="D2122" t="str">
            <v>ZEBRA GRF APRICOT-4421-0.3L</v>
          </cell>
          <cell r="E2122" t="str">
            <v>ZTRD</v>
          </cell>
          <cell r="F2122" t="str">
            <v>PC</v>
          </cell>
          <cell r="G2122" t="str">
            <v>X</v>
          </cell>
          <cell r="H2122" t="str">
            <v>TRD RETAIL</v>
          </cell>
          <cell r="I2122" t="str">
            <v>XA</v>
          </cell>
          <cell r="J2122" t="str">
            <v>PCR</v>
          </cell>
          <cell r="K2122" t="str">
            <v>XA03</v>
          </cell>
          <cell r="L2122" t="str">
            <v>AEROSOL</v>
          </cell>
          <cell r="M2122" t="str">
            <v>XA0301</v>
          </cell>
          <cell r="N2122" t="str">
            <v>ZEBRA PRO</v>
          </cell>
        </row>
        <row r="2123">
          <cell r="C2123" t="str">
            <v>170001273</v>
          </cell>
          <cell r="D2123" t="str">
            <v>ZEBRA GRF FUCHSIA FLIP-4411-0.3L</v>
          </cell>
          <cell r="E2123" t="str">
            <v>ZTRD</v>
          </cell>
          <cell r="F2123" t="str">
            <v>PC</v>
          </cell>
          <cell r="G2123" t="str">
            <v>X</v>
          </cell>
          <cell r="H2123" t="str">
            <v>TRD RETAIL</v>
          </cell>
          <cell r="I2123" t="str">
            <v>XA</v>
          </cell>
          <cell r="J2123" t="str">
            <v>PCR</v>
          </cell>
          <cell r="K2123" t="str">
            <v>XA03</v>
          </cell>
          <cell r="L2123" t="str">
            <v>AEROSOL</v>
          </cell>
          <cell r="M2123" t="str">
            <v>XA0302</v>
          </cell>
          <cell r="N2123" t="str">
            <v>ZEBRA GRAFFITI</v>
          </cell>
        </row>
        <row r="2124">
          <cell r="C2124" t="str">
            <v>170001274</v>
          </cell>
          <cell r="D2124" t="str">
            <v>ZEBRA GRF FLAMINGO-4308-0.3L</v>
          </cell>
          <cell r="E2124" t="str">
            <v>ZTRD</v>
          </cell>
          <cell r="F2124" t="str">
            <v>PC</v>
          </cell>
          <cell r="G2124" t="str">
            <v>X</v>
          </cell>
          <cell r="H2124" t="str">
            <v>TRD RETAIL</v>
          </cell>
          <cell r="I2124" t="str">
            <v>XA</v>
          </cell>
          <cell r="J2124" t="str">
            <v>PCR</v>
          </cell>
          <cell r="K2124" t="str">
            <v>XA03</v>
          </cell>
          <cell r="L2124" t="str">
            <v>AEROSOL</v>
          </cell>
          <cell r="M2124" t="str">
            <v>XA0302</v>
          </cell>
          <cell r="N2124" t="str">
            <v>ZEBRA GRAFFITI</v>
          </cell>
        </row>
        <row r="2125">
          <cell r="C2125" t="str">
            <v>170001275</v>
          </cell>
          <cell r="D2125" t="str">
            <v>ZEBRA GRF ROSEA PINK-4412-0.3L</v>
          </cell>
          <cell r="E2125" t="str">
            <v>ZTRD</v>
          </cell>
          <cell r="F2125" t="str">
            <v>PC</v>
          </cell>
          <cell r="G2125" t="str">
            <v>X</v>
          </cell>
          <cell r="H2125" t="str">
            <v>TRD RETAIL</v>
          </cell>
          <cell r="I2125" t="str">
            <v>XA</v>
          </cell>
          <cell r="J2125" t="str">
            <v>PCR</v>
          </cell>
          <cell r="K2125" t="str">
            <v>XA03</v>
          </cell>
          <cell r="L2125" t="str">
            <v>AEROSOL</v>
          </cell>
          <cell r="M2125" t="str">
            <v>XA0302</v>
          </cell>
          <cell r="N2125" t="str">
            <v>ZEBRA GRAFFITI</v>
          </cell>
        </row>
        <row r="2126">
          <cell r="C2126" t="str">
            <v>170001276</v>
          </cell>
          <cell r="D2126" t="str">
            <v>ZEBRA GRF WILD MERSK-4409-0.3L</v>
          </cell>
          <cell r="E2126" t="str">
            <v>ZTRD</v>
          </cell>
          <cell r="F2126" t="str">
            <v>PC</v>
          </cell>
          <cell r="G2126" t="str">
            <v>X</v>
          </cell>
          <cell r="H2126" t="str">
            <v>TRD RETAIL</v>
          </cell>
          <cell r="I2126" t="str">
            <v>XA</v>
          </cell>
          <cell r="J2126" t="str">
            <v>PCR</v>
          </cell>
          <cell r="K2126" t="str">
            <v>XA03</v>
          </cell>
          <cell r="L2126" t="str">
            <v>AEROSOL</v>
          </cell>
          <cell r="M2126" t="str">
            <v>XA0302</v>
          </cell>
          <cell r="N2126" t="str">
            <v>ZEBRA GRAFFITI</v>
          </cell>
        </row>
        <row r="2127">
          <cell r="C2127" t="str">
            <v>170001277</v>
          </cell>
          <cell r="D2127" t="str">
            <v>ZEBRA GRF RASBERRY-4415-0.3L</v>
          </cell>
          <cell r="E2127" t="str">
            <v>ZTRD</v>
          </cell>
          <cell r="F2127" t="str">
            <v>PC</v>
          </cell>
          <cell r="G2127" t="str">
            <v>X</v>
          </cell>
          <cell r="H2127" t="str">
            <v>TRD RETAIL</v>
          </cell>
          <cell r="I2127" t="str">
            <v>XA</v>
          </cell>
          <cell r="J2127" t="str">
            <v>PCR</v>
          </cell>
          <cell r="K2127" t="str">
            <v>XA03</v>
          </cell>
          <cell r="L2127" t="str">
            <v>AEROSOL</v>
          </cell>
          <cell r="M2127" t="str">
            <v>XA0302</v>
          </cell>
          <cell r="N2127" t="str">
            <v>ZEBRA GRAFFITI</v>
          </cell>
        </row>
        <row r="2128">
          <cell r="C2128" t="str">
            <v>170001278</v>
          </cell>
          <cell r="D2128" t="str">
            <v>ZEBRA GRF PIXEL-4418-0.3L</v>
          </cell>
          <cell r="E2128" t="str">
            <v>ZTRD</v>
          </cell>
          <cell r="F2128" t="str">
            <v>PC</v>
          </cell>
          <cell r="G2128" t="str">
            <v>X</v>
          </cell>
          <cell r="H2128" t="str">
            <v>TRD RETAIL</v>
          </cell>
          <cell r="I2128" t="str">
            <v>XA</v>
          </cell>
          <cell r="J2128" t="str">
            <v>PCR</v>
          </cell>
          <cell r="K2128" t="str">
            <v>XA03</v>
          </cell>
          <cell r="L2128" t="str">
            <v>AEROSOL</v>
          </cell>
          <cell r="M2128" t="str">
            <v>XA0302</v>
          </cell>
          <cell r="N2128" t="str">
            <v>ZEBRA GRAFFITI</v>
          </cell>
        </row>
        <row r="2129">
          <cell r="C2129" t="str">
            <v>170001279</v>
          </cell>
          <cell r="D2129" t="str">
            <v>ZEBRA GRF DROPS MARINE-7431-0.3L</v>
          </cell>
          <cell r="E2129" t="str">
            <v>ZTRD</v>
          </cell>
          <cell r="F2129" t="str">
            <v>PC</v>
          </cell>
          <cell r="G2129" t="str">
            <v>X</v>
          </cell>
          <cell r="H2129" t="str">
            <v>TRD RETAIL</v>
          </cell>
          <cell r="I2129" t="str">
            <v>XA</v>
          </cell>
          <cell r="J2129" t="str">
            <v>PCR</v>
          </cell>
          <cell r="K2129" t="str">
            <v>XA03</v>
          </cell>
          <cell r="L2129" t="str">
            <v>AEROSOL</v>
          </cell>
          <cell r="M2129" t="str">
            <v>XA0302</v>
          </cell>
          <cell r="N2129" t="str">
            <v>ZEBRA GRAFFITI</v>
          </cell>
        </row>
        <row r="2130">
          <cell r="C2130" t="str">
            <v>170001280</v>
          </cell>
          <cell r="D2130" t="str">
            <v>ZEBRA GRF RUNE ENERGY-7429-0.3L</v>
          </cell>
          <cell r="E2130" t="str">
            <v>ZTRD</v>
          </cell>
          <cell r="F2130" t="str">
            <v>PC</v>
          </cell>
          <cell r="G2130" t="str">
            <v>X</v>
          </cell>
          <cell r="H2130" t="str">
            <v>TRD RETAIL</v>
          </cell>
          <cell r="I2130" t="str">
            <v>XA</v>
          </cell>
          <cell r="J2130" t="str">
            <v>PCR</v>
          </cell>
          <cell r="K2130" t="str">
            <v>XA03</v>
          </cell>
          <cell r="L2130" t="str">
            <v>AEROSOL</v>
          </cell>
          <cell r="M2130" t="str">
            <v>XA0302</v>
          </cell>
          <cell r="N2130" t="str">
            <v>ZEBRA GRAFFITI</v>
          </cell>
        </row>
        <row r="2131">
          <cell r="C2131" t="str">
            <v>170001281</v>
          </cell>
          <cell r="D2131" t="str">
            <v>ZEBRA GRF AQUA MARINE-7313-0.3L</v>
          </cell>
          <cell r="E2131" t="str">
            <v>ZTRD</v>
          </cell>
          <cell r="F2131" t="str">
            <v>PC</v>
          </cell>
          <cell r="G2131" t="str">
            <v>X</v>
          </cell>
          <cell r="H2131" t="str">
            <v>TRD RETAIL</v>
          </cell>
          <cell r="I2131" t="str">
            <v>XA</v>
          </cell>
          <cell r="J2131" t="str">
            <v>PCR</v>
          </cell>
          <cell r="K2131" t="str">
            <v>XA03</v>
          </cell>
          <cell r="L2131" t="str">
            <v>AEROSOL</v>
          </cell>
          <cell r="M2131" t="str">
            <v>XA0302</v>
          </cell>
          <cell r="N2131" t="str">
            <v>ZEBRA GRAFFITI</v>
          </cell>
        </row>
        <row r="2132">
          <cell r="C2132" t="str">
            <v>170001282</v>
          </cell>
          <cell r="D2132" t="str">
            <v>ZEBRA GRF LIGHT MARINE-7428-0.3L</v>
          </cell>
          <cell r="E2132" t="str">
            <v>ZTRD</v>
          </cell>
          <cell r="F2132" t="str">
            <v>PC</v>
          </cell>
          <cell r="G2132" t="str">
            <v>X</v>
          </cell>
          <cell r="H2132" t="str">
            <v>TRD RETAIL</v>
          </cell>
          <cell r="I2132" t="str">
            <v>XA</v>
          </cell>
          <cell r="J2132" t="str">
            <v>PCR</v>
          </cell>
          <cell r="K2132" t="str">
            <v>XA03</v>
          </cell>
          <cell r="L2132" t="str">
            <v>AEROSOL</v>
          </cell>
          <cell r="M2132" t="str">
            <v>XA0302</v>
          </cell>
          <cell r="N2132" t="str">
            <v>ZEBRA GRAFFITI</v>
          </cell>
        </row>
        <row r="2133">
          <cell r="C2133" t="str">
            <v>170001283</v>
          </cell>
          <cell r="D2133" t="str">
            <v>ZEBRA GRF MISTY GREY-5459-0.3L</v>
          </cell>
          <cell r="E2133" t="str">
            <v>ZTRD</v>
          </cell>
          <cell r="F2133" t="str">
            <v>PC</v>
          </cell>
          <cell r="G2133" t="str">
            <v>X</v>
          </cell>
          <cell r="H2133" t="str">
            <v>TRD RETAIL</v>
          </cell>
          <cell r="I2133" t="str">
            <v>XA</v>
          </cell>
          <cell r="J2133" t="str">
            <v>PCR</v>
          </cell>
          <cell r="K2133" t="str">
            <v>XA03</v>
          </cell>
          <cell r="L2133" t="str">
            <v>AEROSOL</v>
          </cell>
          <cell r="M2133" t="str">
            <v>XA0302</v>
          </cell>
          <cell r="N2133" t="str">
            <v>ZEBRA GRAFFITI</v>
          </cell>
        </row>
        <row r="2134">
          <cell r="C2134" t="str">
            <v>170001284</v>
          </cell>
          <cell r="D2134" t="str">
            <v>ZEBRA GRF CHROMA GREY-9454-0.3L</v>
          </cell>
          <cell r="E2134" t="str">
            <v>ZTRD</v>
          </cell>
          <cell r="F2134" t="str">
            <v>PC</v>
          </cell>
          <cell r="G2134" t="str">
            <v>X</v>
          </cell>
          <cell r="H2134" t="str">
            <v>TRD RETAIL</v>
          </cell>
          <cell r="I2134" t="str">
            <v>XA</v>
          </cell>
          <cell r="J2134" t="str">
            <v>PCR</v>
          </cell>
          <cell r="K2134" t="str">
            <v>XA03</v>
          </cell>
          <cell r="L2134" t="str">
            <v>AEROSOL</v>
          </cell>
          <cell r="M2134" t="str">
            <v>XA0302</v>
          </cell>
          <cell r="N2134" t="str">
            <v>ZEBRA GRAFFITI</v>
          </cell>
        </row>
        <row r="2135">
          <cell r="C2135" t="str">
            <v>170001285</v>
          </cell>
          <cell r="D2135" t="str">
            <v>ZEBRA GRF CAPS CLEANER-0.3L</v>
          </cell>
          <cell r="E2135" t="str">
            <v>ZTRD</v>
          </cell>
          <cell r="F2135" t="str">
            <v>PC</v>
          </cell>
          <cell r="G2135" t="str">
            <v>X</v>
          </cell>
          <cell r="H2135" t="str">
            <v>TRD RETAIL</v>
          </cell>
          <cell r="I2135" t="str">
            <v>XA</v>
          </cell>
          <cell r="J2135" t="str">
            <v>PCR</v>
          </cell>
          <cell r="K2135" t="str">
            <v>XA03</v>
          </cell>
          <cell r="L2135" t="str">
            <v>AEROSOL</v>
          </cell>
          <cell r="M2135" t="str">
            <v>XA0302</v>
          </cell>
          <cell r="N2135" t="str">
            <v>ZEBRA GRAFFITI</v>
          </cell>
        </row>
        <row r="2136">
          <cell r="C2136" t="str">
            <v>170001297</v>
          </cell>
          <cell r="D2136" t="str">
            <v>ULTRAN EL-501 BASE-5L</v>
          </cell>
          <cell r="E2136" t="str">
            <v>ZTRD</v>
          </cell>
          <cell r="F2136" t="str">
            <v>PC</v>
          </cell>
          <cell r="G2136" t="str">
            <v>X</v>
          </cell>
          <cell r="H2136" t="str">
            <v>TRD RETAIL</v>
          </cell>
          <cell r="I2136" t="str">
            <v>X4</v>
          </cell>
          <cell r="J2136" t="str">
            <v>WF3</v>
          </cell>
          <cell r="K2136" t="str">
            <v>X413</v>
          </cell>
          <cell r="L2136" t="str">
            <v>ULTRAN</v>
          </cell>
          <cell r="M2136" t="str">
            <v>X41304</v>
          </cell>
          <cell r="N2136" t="str">
            <v>ULTRAN LASUR</v>
          </cell>
        </row>
        <row r="2137">
          <cell r="C2137" t="str">
            <v>170001298</v>
          </cell>
          <cell r="D2137" t="str">
            <v>ULTRAN EL-501 BASE DOF-5L</v>
          </cell>
          <cell r="E2137" t="str">
            <v>ZTRD</v>
          </cell>
          <cell r="F2137" t="str">
            <v>PC</v>
          </cell>
          <cell r="G2137" t="str">
            <v>X</v>
          </cell>
          <cell r="H2137" t="str">
            <v>TRD RETAIL</v>
          </cell>
          <cell r="I2137" t="str">
            <v>X4</v>
          </cell>
          <cell r="J2137" t="str">
            <v>WF3</v>
          </cell>
          <cell r="K2137" t="str">
            <v>X413</v>
          </cell>
          <cell r="L2137" t="str">
            <v>ULTRAN</v>
          </cell>
          <cell r="M2137" t="str">
            <v>X41304</v>
          </cell>
          <cell r="N2137" t="str">
            <v>ULTRAN LASUR</v>
          </cell>
        </row>
        <row r="2138">
          <cell r="C2138" t="str">
            <v>170001301</v>
          </cell>
          <cell r="D2138" t="str">
            <v>UFM-930 LIGHT GREY-20KP</v>
          </cell>
          <cell r="E2138" t="str">
            <v>ZTRD</v>
          </cell>
          <cell r="F2138" t="str">
            <v>PC</v>
          </cell>
          <cell r="G2138" t="str">
            <v>X</v>
          </cell>
          <cell r="H2138" t="str">
            <v>TRD RETAIL</v>
          </cell>
          <cell r="I2138" t="str">
            <v>X8</v>
          </cell>
          <cell r="J2138" t="str">
            <v>CPC2</v>
          </cell>
          <cell r="K2138" t="str">
            <v>X801</v>
          </cell>
          <cell r="L2138" t="str">
            <v>WATERPROOFING</v>
          </cell>
          <cell r="M2138" t="str">
            <v>X80108</v>
          </cell>
          <cell r="N2138" t="str">
            <v>ULTRAFLEX MEMBRANE</v>
          </cell>
        </row>
        <row r="2139">
          <cell r="C2139" t="str">
            <v>170001304</v>
          </cell>
          <cell r="D2139" t="str">
            <v>ZEBRA GRF LIGHT GREY-9460-0.3L</v>
          </cell>
          <cell r="E2139" t="str">
            <v>ZTRD</v>
          </cell>
          <cell r="F2139" t="str">
            <v>PC</v>
          </cell>
          <cell r="G2139" t="str">
            <v>X</v>
          </cell>
          <cell r="H2139" t="str">
            <v>TRD RETAIL</v>
          </cell>
          <cell r="I2139" t="str">
            <v>XA</v>
          </cell>
          <cell r="J2139" t="str">
            <v>PCR</v>
          </cell>
          <cell r="K2139" t="str">
            <v>XA03</v>
          </cell>
          <cell r="L2139" t="str">
            <v>AEROSOL</v>
          </cell>
          <cell r="M2139" t="str">
            <v>XA0302</v>
          </cell>
          <cell r="N2139" t="str">
            <v>ZEBRA GRAFFITI</v>
          </cell>
        </row>
        <row r="2140">
          <cell r="C2140" t="str">
            <v>170001350</v>
          </cell>
          <cell r="D2140" t="str">
            <v>PPR-730-1K</v>
          </cell>
          <cell r="E2140" t="str">
            <v>ZTRD</v>
          </cell>
          <cell r="F2140" t="str">
            <v>PC</v>
          </cell>
          <cell r="G2140" t="str">
            <v>X</v>
          </cell>
          <cell r="H2140" t="str">
            <v>TRD RETAIL</v>
          </cell>
          <cell r="I2140" t="str">
            <v>X4</v>
          </cell>
          <cell r="J2140" t="str">
            <v>WF3</v>
          </cell>
          <cell r="K2140" t="str">
            <v>X405</v>
          </cell>
          <cell r="L2140" t="str">
            <v>PAINT REMOVER</v>
          </cell>
          <cell r="M2140" t="str">
            <v>X40501</v>
          </cell>
          <cell r="N2140" t="str">
            <v>PROPAN PAINT REMOVER</v>
          </cell>
        </row>
        <row r="2141">
          <cell r="C2141" t="str">
            <v>170001357</v>
          </cell>
          <cell r="D2141" t="str">
            <v>UFM-930 BASE D-4K</v>
          </cell>
          <cell r="E2141" t="str">
            <v>ZTRD</v>
          </cell>
          <cell r="F2141" t="str">
            <v>PC</v>
          </cell>
          <cell r="G2141" t="str">
            <v>Y</v>
          </cell>
          <cell r="H2141" t="str">
            <v>TRD PROJECT</v>
          </cell>
          <cell r="I2141" t="str">
            <v>Y7</v>
          </cell>
          <cell r="J2141" t="str">
            <v>CPC2</v>
          </cell>
          <cell r="K2141" t="str">
            <v>Y706</v>
          </cell>
          <cell r="L2141" t="str">
            <v>ULTRAFLEX</v>
          </cell>
          <cell r="M2141" t="str">
            <v>Y70602</v>
          </cell>
          <cell r="N2141" t="str">
            <v>ULTRAFLEX MEMBRANE</v>
          </cell>
        </row>
        <row r="2142">
          <cell r="C2142" t="str">
            <v>170001358</v>
          </cell>
          <cell r="D2142" t="str">
            <v>UFM-930 BASE D-20KP</v>
          </cell>
          <cell r="E2142" t="str">
            <v>ZTRD</v>
          </cell>
          <cell r="F2142" t="str">
            <v>PC</v>
          </cell>
          <cell r="G2142" t="str">
            <v>Y</v>
          </cell>
          <cell r="H2142" t="str">
            <v>TRD PROJECT</v>
          </cell>
          <cell r="I2142" t="str">
            <v>Y7</v>
          </cell>
          <cell r="J2142" t="str">
            <v>CPC2</v>
          </cell>
          <cell r="K2142" t="str">
            <v>Y706</v>
          </cell>
          <cell r="L2142" t="str">
            <v>ULTRAFLEX</v>
          </cell>
          <cell r="M2142" t="str">
            <v>Y70602</v>
          </cell>
          <cell r="N2142" t="str">
            <v>ULTRAFLEX MEMBRANE</v>
          </cell>
        </row>
        <row r="2143">
          <cell r="C2143" t="str">
            <v>170001363</v>
          </cell>
          <cell r="D2143" t="str">
            <v>SKF-200-1K WB-20LJ</v>
          </cell>
          <cell r="E2143" t="str">
            <v>ZTRD</v>
          </cell>
          <cell r="F2143" t="str">
            <v>PC</v>
          </cell>
          <cell r="G2143" t="str">
            <v>Y</v>
          </cell>
          <cell r="H2143" t="str">
            <v>TRD PROJECT</v>
          </cell>
          <cell r="I2143" t="str">
            <v>Y6</v>
          </cell>
          <cell r="J2143" t="str">
            <v>CPC1</v>
          </cell>
          <cell r="K2143" t="str">
            <v>Y609</v>
          </cell>
          <cell r="L2143" t="str">
            <v>SILIKAT</v>
          </cell>
          <cell r="M2143" t="str">
            <v>Y60901</v>
          </cell>
          <cell r="N2143" t="str">
            <v>SILIKAT FLOOR</v>
          </cell>
        </row>
        <row r="2144">
          <cell r="C2144" t="str">
            <v>170001396</v>
          </cell>
          <cell r="D2144" t="str">
            <v>PUC-54220 AC WHITE 20-20KP</v>
          </cell>
          <cell r="E2144" t="str">
            <v>ZTRD</v>
          </cell>
          <cell r="F2144" t="str">
            <v>PC</v>
          </cell>
          <cell r="G2144" t="str">
            <v>W</v>
          </cell>
          <cell r="H2144" t="str">
            <v>TRD INDUSTRY</v>
          </cell>
          <cell r="I2144" t="str">
            <v>W1</v>
          </cell>
          <cell r="J2144" t="str">
            <v>WOOD COATINGS</v>
          </cell>
          <cell r="K2144" t="str">
            <v>W103</v>
          </cell>
          <cell r="L2144" t="str">
            <v>PU</v>
          </cell>
          <cell r="M2144" t="str">
            <v>W10319</v>
          </cell>
          <cell r="N2144" t="str">
            <v>PU COLOR</v>
          </cell>
        </row>
        <row r="2145">
          <cell r="C2145" t="str">
            <v>170001409</v>
          </cell>
          <cell r="D2145" t="str">
            <v>PUH-31 NY FD-1K</v>
          </cell>
          <cell r="E2145" t="str">
            <v>ZTRD</v>
          </cell>
          <cell r="F2145" t="str">
            <v>PC</v>
          </cell>
          <cell r="G2145" t="str">
            <v>W</v>
          </cell>
          <cell r="H2145" t="str">
            <v>TRD INDUSTRY</v>
          </cell>
          <cell r="I2145" t="str">
            <v>W1</v>
          </cell>
          <cell r="J2145" t="str">
            <v>WOOD COATINGS</v>
          </cell>
          <cell r="K2145" t="str">
            <v>W103</v>
          </cell>
          <cell r="L2145" t="str">
            <v>PU</v>
          </cell>
          <cell r="M2145" t="str">
            <v>W10320</v>
          </cell>
          <cell r="N2145" t="str">
            <v>PU HARDENER</v>
          </cell>
        </row>
        <row r="2146">
          <cell r="C2146" t="str">
            <v>170001410</v>
          </cell>
          <cell r="D2146" t="str">
            <v>RESIN PU CONCRETE-0135-3.6KJ</v>
          </cell>
          <cell r="E2146" t="str">
            <v>ZTRD</v>
          </cell>
          <cell r="F2146" t="str">
            <v>PC</v>
          </cell>
          <cell r="G2146" t="str">
            <v>Y</v>
          </cell>
          <cell r="H2146" t="str">
            <v>TRD PROJECT</v>
          </cell>
          <cell r="I2146" t="str">
            <v>Y6</v>
          </cell>
          <cell r="J2146" t="str">
            <v>CPC1</v>
          </cell>
          <cell r="K2146" t="str">
            <v>Y602</v>
          </cell>
          <cell r="L2146" t="str">
            <v>POLYFLOOR</v>
          </cell>
          <cell r="M2146" t="str">
            <v>Y60213</v>
          </cell>
          <cell r="N2146" t="str">
            <v>POLYFLOOR PU CONCRETE</v>
          </cell>
        </row>
        <row r="2147">
          <cell r="C2147" t="str">
            <v>170001411</v>
          </cell>
          <cell r="D2147" t="str">
            <v>HARDENER PU CONCRETE-013-4.8KJ</v>
          </cell>
          <cell r="E2147" t="str">
            <v>ZTRD</v>
          </cell>
          <cell r="F2147" t="str">
            <v>PC</v>
          </cell>
          <cell r="G2147" t="str">
            <v>Y</v>
          </cell>
          <cell r="H2147" t="str">
            <v>TRD PROJECT</v>
          </cell>
          <cell r="I2147" t="str">
            <v>Y6</v>
          </cell>
          <cell r="J2147" t="str">
            <v>CPC1</v>
          </cell>
          <cell r="K2147" t="str">
            <v>Y602</v>
          </cell>
          <cell r="L2147" t="str">
            <v>POLYFLOOR</v>
          </cell>
          <cell r="M2147" t="str">
            <v>Y60213</v>
          </cell>
          <cell r="N2147" t="str">
            <v>POLYFLOOR PU CONCRETE</v>
          </cell>
        </row>
        <row r="2148">
          <cell r="C2148" t="str">
            <v>170001413</v>
          </cell>
          <cell r="D2148" t="str">
            <v>GO FAST PRIMER LIGHT GREY-7114-0.9K</v>
          </cell>
          <cell r="E2148" t="str">
            <v>ZTRD</v>
          </cell>
          <cell r="F2148" t="str">
            <v>PC</v>
          </cell>
          <cell r="G2148" t="str">
            <v>X</v>
          </cell>
          <cell r="H2148" t="str">
            <v>TRD RETAIL</v>
          </cell>
          <cell r="I2148" t="str">
            <v>X9</v>
          </cell>
          <cell r="J2148" t="str">
            <v>MPC</v>
          </cell>
          <cell r="K2148" t="str">
            <v>X909</v>
          </cell>
          <cell r="L2148" t="str">
            <v>GO FAST</v>
          </cell>
          <cell r="M2148" t="str">
            <v>X90903</v>
          </cell>
          <cell r="N2148" t="str">
            <v>GO FAST PRIMER</v>
          </cell>
        </row>
        <row r="2149">
          <cell r="C2149" t="str">
            <v>170001414</v>
          </cell>
          <cell r="D2149" t="str">
            <v>GO FAST PRIMER LIGHT GREY-7114-20KP</v>
          </cell>
          <cell r="E2149" t="str">
            <v>ZTRD</v>
          </cell>
          <cell r="F2149" t="str">
            <v>PC</v>
          </cell>
          <cell r="G2149" t="str">
            <v>X</v>
          </cell>
          <cell r="H2149" t="str">
            <v>TRD RETAIL</v>
          </cell>
          <cell r="I2149" t="str">
            <v>X9</v>
          </cell>
          <cell r="J2149" t="str">
            <v>MPC</v>
          </cell>
          <cell r="K2149" t="str">
            <v>X909</v>
          </cell>
          <cell r="L2149" t="str">
            <v>GO FAST</v>
          </cell>
          <cell r="M2149" t="str">
            <v>X90903</v>
          </cell>
          <cell r="N2149" t="str">
            <v>GO FAST PRIMER</v>
          </cell>
        </row>
        <row r="2150">
          <cell r="C2150" t="str">
            <v>170001492</v>
          </cell>
          <cell r="D2150" t="str">
            <v>UFM-930 LIGHT GREY-4K</v>
          </cell>
          <cell r="E2150" t="str">
            <v>ZTRD</v>
          </cell>
          <cell r="F2150" t="str">
            <v>PC</v>
          </cell>
          <cell r="G2150" t="str">
            <v>X</v>
          </cell>
          <cell r="H2150" t="str">
            <v>TRD RETAIL</v>
          </cell>
          <cell r="I2150" t="str">
            <v>X8</v>
          </cell>
          <cell r="J2150" t="str">
            <v>CPC2</v>
          </cell>
          <cell r="K2150" t="str">
            <v>X801</v>
          </cell>
          <cell r="L2150" t="str">
            <v>WATERPROOFING</v>
          </cell>
          <cell r="M2150" t="str">
            <v>X80108</v>
          </cell>
          <cell r="N2150" t="str">
            <v>ULTRAFLEX MEMBRANE</v>
          </cell>
        </row>
        <row r="2151">
          <cell r="C2151" t="str">
            <v>170001549</v>
          </cell>
          <cell r="D2151" t="str">
            <v>SCT-33000 AL-20LP</v>
          </cell>
          <cell r="E2151" t="str">
            <v>ZTRD</v>
          </cell>
          <cell r="F2151" t="str">
            <v>PC</v>
          </cell>
          <cell r="G2151" t="str">
            <v>W</v>
          </cell>
          <cell r="H2151" t="str">
            <v>TRD INDUSTRY</v>
          </cell>
          <cell r="I2151" t="str">
            <v>W5</v>
          </cell>
          <cell r="J2151" t="str">
            <v>MARINE COATINGS</v>
          </cell>
          <cell r="K2151" t="str">
            <v>W501</v>
          </cell>
          <cell r="L2151" t="str">
            <v>MARINE COATINGS</v>
          </cell>
          <cell r="M2151" t="str">
            <v>W50110</v>
          </cell>
          <cell r="N2151" t="str">
            <v>SILICONE</v>
          </cell>
        </row>
        <row r="2152">
          <cell r="C2152" t="str">
            <v>170001550</v>
          </cell>
          <cell r="D2152" t="str">
            <v>SCT-33000 AL-5L</v>
          </cell>
          <cell r="E2152" t="str">
            <v>ZTRD</v>
          </cell>
          <cell r="F2152" t="str">
            <v>PC</v>
          </cell>
          <cell r="G2152" t="str">
            <v>W</v>
          </cell>
          <cell r="H2152" t="str">
            <v>TRD INDUSTRY</v>
          </cell>
          <cell r="I2152" t="str">
            <v>W5</v>
          </cell>
          <cell r="J2152" t="str">
            <v>MARINE COATINGS</v>
          </cell>
          <cell r="K2152" t="str">
            <v>W501</v>
          </cell>
          <cell r="L2152" t="str">
            <v>MARINE COATINGS</v>
          </cell>
          <cell r="M2152" t="str">
            <v>W50110</v>
          </cell>
          <cell r="N2152" t="str">
            <v>SILICONE</v>
          </cell>
        </row>
        <row r="2153">
          <cell r="C2153" t="str">
            <v>170001551</v>
          </cell>
          <cell r="D2153" t="str">
            <v>SCT-66000 AL-20LP</v>
          </cell>
          <cell r="E2153" t="str">
            <v>ZTRD</v>
          </cell>
          <cell r="F2153" t="str">
            <v>PC</v>
          </cell>
          <cell r="G2153" t="str">
            <v>W</v>
          </cell>
          <cell r="H2153" t="str">
            <v>TRD INDUSTRY</v>
          </cell>
          <cell r="I2153" t="str">
            <v>W5</v>
          </cell>
          <cell r="J2153" t="str">
            <v>MARINE COATINGS</v>
          </cell>
          <cell r="K2153" t="str">
            <v>W501</v>
          </cell>
          <cell r="L2153" t="str">
            <v>MARINE COATINGS</v>
          </cell>
          <cell r="M2153" t="str">
            <v>W50110</v>
          </cell>
          <cell r="N2153" t="str">
            <v>SILICONE</v>
          </cell>
        </row>
        <row r="2154">
          <cell r="C2154" t="str">
            <v>170001552</v>
          </cell>
          <cell r="D2154" t="str">
            <v>SCT-66000 AL-5L</v>
          </cell>
          <cell r="E2154" t="str">
            <v>ZTRD</v>
          </cell>
          <cell r="F2154" t="str">
            <v>PC</v>
          </cell>
          <cell r="G2154" t="str">
            <v>W</v>
          </cell>
          <cell r="H2154" t="str">
            <v>TRD INDUSTRY</v>
          </cell>
          <cell r="I2154" t="str">
            <v>W5</v>
          </cell>
          <cell r="J2154" t="str">
            <v>MARINE COATINGS</v>
          </cell>
          <cell r="K2154" t="str">
            <v>W501</v>
          </cell>
          <cell r="L2154" t="str">
            <v>MARINE COATINGS</v>
          </cell>
          <cell r="M2154" t="str">
            <v>W50110</v>
          </cell>
          <cell r="N2154" t="str">
            <v>SILICONE</v>
          </cell>
        </row>
        <row r="2155">
          <cell r="C2155" t="str">
            <v>170001553</v>
          </cell>
          <cell r="D2155" t="str">
            <v>SCP-20300 GREY-20LP</v>
          </cell>
          <cell r="E2155" t="str">
            <v>ZTRD</v>
          </cell>
          <cell r="F2155" t="str">
            <v>PC</v>
          </cell>
          <cell r="G2155" t="str">
            <v>W</v>
          </cell>
          <cell r="H2155" t="str">
            <v>TRD INDUSTRY</v>
          </cell>
          <cell r="I2155" t="str">
            <v>W5</v>
          </cell>
          <cell r="J2155" t="str">
            <v>MARINE COATINGS</v>
          </cell>
          <cell r="K2155" t="str">
            <v>W501</v>
          </cell>
          <cell r="L2155" t="str">
            <v>MARINE COATINGS</v>
          </cell>
          <cell r="M2155" t="str">
            <v>W50110</v>
          </cell>
          <cell r="N2155" t="str">
            <v>SILICONE</v>
          </cell>
        </row>
        <row r="2156">
          <cell r="C2156" t="str">
            <v>170001554</v>
          </cell>
          <cell r="D2156" t="str">
            <v>SCP-20300 GREY-5L</v>
          </cell>
          <cell r="E2156" t="str">
            <v>ZTRD</v>
          </cell>
          <cell r="F2156" t="str">
            <v>PC</v>
          </cell>
          <cell r="G2156" t="str">
            <v>W</v>
          </cell>
          <cell r="H2156" t="str">
            <v>TRD INDUSTRY</v>
          </cell>
          <cell r="I2156" t="str">
            <v>W5</v>
          </cell>
          <cell r="J2156" t="str">
            <v>MARINE COATINGS</v>
          </cell>
          <cell r="K2156" t="str">
            <v>W501</v>
          </cell>
          <cell r="L2156" t="str">
            <v>MARINE COATINGS</v>
          </cell>
          <cell r="M2156" t="str">
            <v>W50110</v>
          </cell>
          <cell r="N2156" t="str">
            <v>SILICONE</v>
          </cell>
        </row>
        <row r="2157">
          <cell r="C2157" t="str">
            <v>170001571</v>
          </cell>
          <cell r="D2157" t="str">
            <v>PFC-225-3K WB-23KSZ</v>
          </cell>
          <cell r="E2157" t="str">
            <v>ZTRD</v>
          </cell>
          <cell r="F2157" t="str">
            <v>SET</v>
          </cell>
          <cell r="G2157" t="str">
            <v>Y</v>
          </cell>
          <cell r="H2157" t="str">
            <v>TRD PROJECT</v>
          </cell>
          <cell r="I2157" t="str">
            <v>Y6</v>
          </cell>
          <cell r="J2157" t="str">
            <v>CPC1</v>
          </cell>
          <cell r="K2157" t="str">
            <v>Y602</v>
          </cell>
          <cell r="L2157" t="str">
            <v>POLYFLOOR</v>
          </cell>
          <cell r="M2157" t="str">
            <v>Y60201</v>
          </cell>
          <cell r="N2157" t="str">
            <v>POLYFLOOR CEMENT</v>
          </cell>
        </row>
        <row r="2158">
          <cell r="C2158" t="str">
            <v>170001583</v>
          </cell>
          <cell r="D2158" t="str">
            <v>TENNOKOTE 1000 WA OXIDE RED 3435-22.5KP</v>
          </cell>
          <cell r="E2158" t="str">
            <v>ZTRD</v>
          </cell>
          <cell r="F2158" t="str">
            <v>PC</v>
          </cell>
          <cell r="G2158" t="str">
            <v>X</v>
          </cell>
          <cell r="H2158" t="str">
            <v>TRD RETAIL</v>
          </cell>
          <cell r="I2158" t="str">
            <v>X7</v>
          </cell>
          <cell r="J2158" t="str">
            <v>CPC1</v>
          </cell>
          <cell r="K2158" t="str">
            <v>X701</v>
          </cell>
          <cell r="L2158" t="str">
            <v>TENNOKOTE</v>
          </cell>
          <cell r="M2158" t="str">
            <v>X70101</v>
          </cell>
          <cell r="N2158" t="str">
            <v>TENNOKOTE</v>
          </cell>
        </row>
        <row r="2159">
          <cell r="C2159" t="str">
            <v>170001585</v>
          </cell>
          <cell r="D2159" t="str">
            <v>TENNOKOTE 1000 WA WHITE 9101-5KS</v>
          </cell>
          <cell r="E2159" t="str">
            <v>ZTRD</v>
          </cell>
          <cell r="F2159" t="str">
            <v>SET</v>
          </cell>
          <cell r="G2159" t="str">
            <v>X</v>
          </cell>
          <cell r="H2159" t="str">
            <v>TRD RETAIL</v>
          </cell>
          <cell r="I2159" t="str">
            <v>X7</v>
          </cell>
          <cell r="J2159" t="str">
            <v>CPC1</v>
          </cell>
          <cell r="K2159" t="str">
            <v>X701</v>
          </cell>
          <cell r="L2159" t="str">
            <v>TENNOKOTE</v>
          </cell>
          <cell r="M2159" t="str">
            <v>X70101</v>
          </cell>
          <cell r="N2159" t="str">
            <v>TENNOKOTE</v>
          </cell>
        </row>
        <row r="2160">
          <cell r="C2160" t="str">
            <v>170001586</v>
          </cell>
          <cell r="D2160" t="str">
            <v>TENNOKOTE 1000 WA WHITE 9101-22.5KP</v>
          </cell>
          <cell r="E2160" t="str">
            <v>ZTRD</v>
          </cell>
          <cell r="F2160" t="str">
            <v>PC</v>
          </cell>
          <cell r="G2160" t="str">
            <v>X</v>
          </cell>
          <cell r="H2160" t="str">
            <v>TRD RETAIL</v>
          </cell>
          <cell r="I2160" t="str">
            <v>X7</v>
          </cell>
          <cell r="J2160" t="str">
            <v>CPC1</v>
          </cell>
          <cell r="K2160" t="str">
            <v>X701</v>
          </cell>
          <cell r="L2160" t="str">
            <v>TENNOKOTE</v>
          </cell>
          <cell r="M2160" t="str">
            <v>X70101</v>
          </cell>
          <cell r="N2160" t="str">
            <v>TENNOKOTE</v>
          </cell>
        </row>
        <row r="2161">
          <cell r="C2161" t="str">
            <v>170001599</v>
          </cell>
          <cell r="D2161" t="str">
            <v>#NUPFP-221-2K SF BODY COAT-20KSP</v>
          </cell>
          <cell r="E2161" t="str">
            <v>ZTRD</v>
          </cell>
          <cell r="F2161" t="str">
            <v>SET</v>
          </cell>
          <cell r="G2161" t="str">
            <v>X</v>
          </cell>
          <cell r="H2161" t="str">
            <v>TRD RETAIL</v>
          </cell>
          <cell r="I2161" t="str">
            <v>X7</v>
          </cell>
          <cell r="J2161" t="str">
            <v>CPC1</v>
          </cell>
          <cell r="K2161" t="str">
            <v>X702</v>
          </cell>
          <cell r="L2161" t="str">
            <v>POLYFLOOR</v>
          </cell>
          <cell r="M2161" t="str">
            <v>X70202</v>
          </cell>
          <cell r="N2161" t="str">
            <v>POLYFLOOR EPOXY</v>
          </cell>
        </row>
        <row r="2162">
          <cell r="C2162" t="str">
            <v>170001600</v>
          </cell>
          <cell r="D2162" t="str">
            <v>#NUPFT-215 M-2K SF GREEN RAL 6017-20KSP</v>
          </cell>
          <cell r="E2162" t="str">
            <v>ZTRD</v>
          </cell>
          <cell r="F2162" t="str">
            <v>SET</v>
          </cell>
          <cell r="G2162" t="str">
            <v>Y</v>
          </cell>
          <cell r="H2162" t="str">
            <v>TRD PROJECT</v>
          </cell>
          <cell r="I2162" t="str">
            <v>Y6</v>
          </cell>
          <cell r="J2162" t="str">
            <v>CPC1</v>
          </cell>
          <cell r="K2162" t="str">
            <v>Y602</v>
          </cell>
          <cell r="L2162" t="str">
            <v>POLYFLOOR</v>
          </cell>
          <cell r="M2162" t="str">
            <v>Y60207</v>
          </cell>
          <cell r="N2162" t="str">
            <v>POLYFLOOR EPOXY SOLVENT FREE</v>
          </cell>
        </row>
        <row r="2163">
          <cell r="C2163" t="str">
            <v>170001601</v>
          </cell>
          <cell r="D2163" t="str">
            <v>#NUEASL-243-2K SF CLEAR-5KS</v>
          </cell>
          <cell r="E2163" t="str">
            <v>ZTRD</v>
          </cell>
          <cell r="F2163" t="str">
            <v>SET</v>
          </cell>
          <cell r="G2163" t="str">
            <v>X</v>
          </cell>
          <cell r="H2163" t="str">
            <v>TRD RETAIL</v>
          </cell>
          <cell r="I2163" t="str">
            <v>X7</v>
          </cell>
          <cell r="J2163" t="str">
            <v>CPC1</v>
          </cell>
          <cell r="K2163" t="str">
            <v>X704</v>
          </cell>
          <cell r="L2163" t="str">
            <v>CERAKOTE</v>
          </cell>
          <cell r="M2163" t="str">
            <v>X70402</v>
          </cell>
          <cell r="N2163" t="str">
            <v>ANTI SLIP COATINGS</v>
          </cell>
        </row>
        <row r="2164">
          <cell r="C2164" t="str">
            <v>170001624</v>
          </cell>
          <cell r="D2164" t="str">
            <v>PUC-786-2K DOF BASE A*-5LS</v>
          </cell>
          <cell r="E2164" t="str">
            <v>ZTRD</v>
          </cell>
          <cell r="F2164" t="str">
            <v>SET</v>
          </cell>
          <cell r="G2164" t="str">
            <v>X</v>
          </cell>
          <cell r="H2164" t="str">
            <v>TRD RETAIL</v>
          </cell>
          <cell r="I2164" t="str">
            <v>X2</v>
          </cell>
          <cell r="J2164" t="str">
            <v>WF2</v>
          </cell>
          <cell r="K2164" t="str">
            <v>X216</v>
          </cell>
          <cell r="L2164" t="str">
            <v>PU MULTIPURPOSE</v>
          </cell>
          <cell r="M2164" t="str">
            <v>X21602</v>
          </cell>
          <cell r="N2164" t="str">
            <v>PROPAN MP PU ACR BASE</v>
          </cell>
        </row>
        <row r="2165">
          <cell r="C2165" t="str">
            <v>170001633</v>
          </cell>
          <cell r="D2165" t="str">
            <v>PFP-251-2K SF-15KSP</v>
          </cell>
          <cell r="E2165" t="str">
            <v>ZTRD</v>
          </cell>
          <cell r="F2165" t="str">
            <v>SET</v>
          </cell>
          <cell r="G2165" t="str">
            <v>Y</v>
          </cell>
          <cell r="H2165" t="str">
            <v>TRD PROJECT</v>
          </cell>
          <cell r="I2165" t="str">
            <v>Y6</v>
          </cell>
          <cell r="J2165" t="str">
            <v>CPC1</v>
          </cell>
          <cell r="K2165" t="str">
            <v>Y602</v>
          </cell>
          <cell r="L2165" t="str">
            <v>POLYFLOOR</v>
          </cell>
          <cell r="M2165" t="str">
            <v>Y60202</v>
          </cell>
          <cell r="N2165" t="str">
            <v>POLYFLOOR EPOXY</v>
          </cell>
        </row>
        <row r="2166">
          <cell r="C2166" t="str">
            <v>170001636</v>
          </cell>
          <cell r="D2166" t="str">
            <v>EASL-243-2K SF CLEAR-5KS</v>
          </cell>
          <cell r="E2166" t="str">
            <v>ZTRD</v>
          </cell>
          <cell r="F2166" t="str">
            <v>SET</v>
          </cell>
          <cell r="G2166" t="str">
            <v>X</v>
          </cell>
          <cell r="H2166" t="str">
            <v>TRD RETAIL</v>
          </cell>
          <cell r="I2166" t="str">
            <v>X7</v>
          </cell>
          <cell r="J2166" t="str">
            <v>CPC1</v>
          </cell>
          <cell r="K2166" t="str">
            <v>X704</v>
          </cell>
          <cell r="L2166" t="str">
            <v>CERAKOTE</v>
          </cell>
          <cell r="M2166" t="str">
            <v>X70402</v>
          </cell>
          <cell r="N2166" t="str">
            <v>ANTI SLIP COATINGS</v>
          </cell>
        </row>
        <row r="2167">
          <cell r="C2167" t="str">
            <v>170001637</v>
          </cell>
          <cell r="D2167" t="str">
            <v>PFM-222-3K SF-40KSZ</v>
          </cell>
          <cell r="E2167" t="str">
            <v>ZTRD</v>
          </cell>
          <cell r="F2167" t="str">
            <v>SET</v>
          </cell>
          <cell r="G2167" t="str">
            <v>Y</v>
          </cell>
          <cell r="H2167" t="str">
            <v>TRD PROJECT</v>
          </cell>
          <cell r="I2167" t="str">
            <v>Y6</v>
          </cell>
          <cell r="J2167" t="str">
            <v>CPC1</v>
          </cell>
          <cell r="K2167" t="str">
            <v>Y602</v>
          </cell>
          <cell r="L2167" t="str">
            <v>POLYFLOOR</v>
          </cell>
          <cell r="M2167" t="str">
            <v>Y60202</v>
          </cell>
          <cell r="N2167" t="str">
            <v>POLYFLOOR EPOXY</v>
          </cell>
        </row>
        <row r="2168">
          <cell r="C2168" t="str">
            <v>170001638</v>
          </cell>
          <cell r="D2168" t="str">
            <v>PFP-221-2K SF BODY COAT-20KSP</v>
          </cell>
          <cell r="E2168" t="str">
            <v>ZTRD</v>
          </cell>
          <cell r="F2168" t="str">
            <v>SET</v>
          </cell>
          <cell r="G2168" t="str">
            <v>X</v>
          </cell>
          <cell r="H2168" t="str">
            <v>TRD RETAIL</v>
          </cell>
          <cell r="I2168" t="str">
            <v>X7</v>
          </cell>
          <cell r="J2168" t="str">
            <v>CPC1</v>
          </cell>
          <cell r="K2168" t="str">
            <v>X702</v>
          </cell>
          <cell r="L2168" t="str">
            <v>POLYFLOOR</v>
          </cell>
          <cell r="M2168" t="str">
            <v>X70202</v>
          </cell>
          <cell r="N2168" t="str">
            <v>POLYFLOOR EPOXY</v>
          </cell>
        </row>
        <row r="2169">
          <cell r="C2169" t="str">
            <v>170001639</v>
          </cell>
          <cell r="D2169" t="str">
            <v>PFT-215 M-2K SF GREEN RAL 6017-20KSP</v>
          </cell>
          <cell r="E2169" t="str">
            <v>ZTRD</v>
          </cell>
          <cell r="F2169" t="str">
            <v>SET</v>
          </cell>
          <cell r="G2169" t="str">
            <v>Y</v>
          </cell>
          <cell r="H2169" t="str">
            <v>TRD PROJECT</v>
          </cell>
          <cell r="I2169" t="str">
            <v>Y6</v>
          </cell>
          <cell r="J2169" t="str">
            <v>CPC1</v>
          </cell>
          <cell r="K2169" t="str">
            <v>Y602</v>
          </cell>
          <cell r="L2169" t="str">
            <v>POLYFLOOR</v>
          </cell>
          <cell r="M2169" t="str">
            <v>Y60207</v>
          </cell>
          <cell r="N2169" t="str">
            <v>POLYFLOOR EPOXY SOLVENT FREE</v>
          </cell>
        </row>
        <row r="2170">
          <cell r="C2170" t="str">
            <v>170001655</v>
          </cell>
          <cell r="D2170" t="str">
            <v>A-1000 BLACK DOF-9406D-0.9L</v>
          </cell>
          <cell r="E2170" t="str">
            <v>ZTRD</v>
          </cell>
          <cell r="F2170" t="str">
            <v>PC</v>
          </cell>
          <cell r="G2170" t="str">
            <v>X</v>
          </cell>
          <cell r="H2170" t="str">
            <v>TRD RETAIL</v>
          </cell>
          <cell r="I2170" t="str">
            <v>X9</v>
          </cell>
          <cell r="J2170" t="str">
            <v>MPC</v>
          </cell>
          <cell r="K2170" t="str">
            <v>X909</v>
          </cell>
          <cell r="L2170" t="str">
            <v>GO FAST</v>
          </cell>
          <cell r="M2170" t="str">
            <v>X90901</v>
          </cell>
          <cell r="N2170" t="str">
            <v>GO FAST RMX</v>
          </cell>
        </row>
        <row r="2171">
          <cell r="C2171" t="str">
            <v>170001656</v>
          </cell>
          <cell r="D2171" t="str">
            <v>A-1000 BLACK-9406-0.9L</v>
          </cell>
          <cell r="E2171" t="str">
            <v>ZTRD</v>
          </cell>
          <cell r="F2171" t="str">
            <v>PC</v>
          </cell>
          <cell r="G2171" t="str">
            <v>X</v>
          </cell>
          <cell r="H2171" t="str">
            <v>TRD RETAIL</v>
          </cell>
          <cell r="I2171" t="str">
            <v>X9</v>
          </cell>
          <cell r="J2171" t="str">
            <v>MPC</v>
          </cell>
          <cell r="K2171" t="str">
            <v>X909</v>
          </cell>
          <cell r="L2171" t="str">
            <v>GO FAST</v>
          </cell>
          <cell r="M2171" t="str">
            <v>X90901</v>
          </cell>
          <cell r="N2171" t="str">
            <v>GO FAST RMX</v>
          </cell>
        </row>
        <row r="2172">
          <cell r="C2172" t="str">
            <v>170001657</v>
          </cell>
          <cell r="D2172" t="str">
            <v>A-1000 SUPER WHITE DOF-9102D-0.9L</v>
          </cell>
          <cell r="E2172" t="str">
            <v>ZTRD</v>
          </cell>
          <cell r="F2172" t="str">
            <v>PC</v>
          </cell>
          <cell r="G2172" t="str">
            <v>X</v>
          </cell>
          <cell r="H2172" t="str">
            <v>TRD RETAIL</v>
          </cell>
          <cell r="I2172" t="str">
            <v>X9</v>
          </cell>
          <cell r="J2172" t="str">
            <v>MPC</v>
          </cell>
          <cell r="K2172" t="str">
            <v>X909</v>
          </cell>
          <cell r="L2172" t="str">
            <v>GO FAST</v>
          </cell>
          <cell r="M2172" t="str">
            <v>X90901</v>
          </cell>
          <cell r="N2172" t="str">
            <v>GO FAST RMX</v>
          </cell>
        </row>
        <row r="2173">
          <cell r="C2173" t="str">
            <v>170001658</v>
          </cell>
          <cell r="D2173" t="str">
            <v>A-1000 SUPER WHITE-9102-0.9L</v>
          </cell>
          <cell r="E2173" t="str">
            <v>ZTRD</v>
          </cell>
          <cell r="F2173" t="str">
            <v>PC</v>
          </cell>
          <cell r="G2173" t="str">
            <v>X</v>
          </cell>
          <cell r="H2173" t="str">
            <v>TRD RETAIL</v>
          </cell>
          <cell r="I2173" t="str">
            <v>X9</v>
          </cell>
          <cell r="J2173" t="str">
            <v>MPC</v>
          </cell>
          <cell r="K2173" t="str">
            <v>X909</v>
          </cell>
          <cell r="L2173" t="str">
            <v>GO FAST</v>
          </cell>
          <cell r="M2173" t="str">
            <v>X90901</v>
          </cell>
          <cell r="N2173" t="str">
            <v>GO FAST RMX</v>
          </cell>
        </row>
        <row r="2174">
          <cell r="C2174" t="str">
            <v>170001667</v>
          </cell>
          <cell r="D2174" t="str">
            <v>A-1000 BLACK DOF-9406D-2.5L</v>
          </cell>
          <cell r="E2174" t="str">
            <v>ZTRD</v>
          </cell>
          <cell r="F2174" t="str">
            <v>PC</v>
          </cell>
          <cell r="G2174" t="str">
            <v>X</v>
          </cell>
          <cell r="H2174" t="str">
            <v>TRD RETAIL</v>
          </cell>
          <cell r="I2174" t="str">
            <v>X9</v>
          </cell>
          <cell r="J2174" t="str">
            <v>MPC</v>
          </cell>
          <cell r="K2174" t="str">
            <v>X909</v>
          </cell>
          <cell r="L2174" t="str">
            <v>GO FAST</v>
          </cell>
          <cell r="M2174" t="str">
            <v>X90901</v>
          </cell>
          <cell r="N2174" t="str">
            <v>GO FAST RMX</v>
          </cell>
        </row>
        <row r="2175">
          <cell r="C2175" t="str">
            <v>170001670</v>
          </cell>
          <cell r="D2175" t="str">
            <v>A-1000 SUPER WHITE-9102-2.5L</v>
          </cell>
          <cell r="E2175" t="str">
            <v>ZTRD</v>
          </cell>
          <cell r="F2175" t="str">
            <v>PC</v>
          </cell>
          <cell r="G2175" t="str">
            <v>X</v>
          </cell>
          <cell r="H2175" t="str">
            <v>TRD RETAIL</v>
          </cell>
          <cell r="I2175" t="str">
            <v>X9</v>
          </cell>
          <cell r="J2175" t="str">
            <v>MPC</v>
          </cell>
          <cell r="K2175" t="str">
            <v>X909</v>
          </cell>
          <cell r="L2175" t="str">
            <v>GO FAST</v>
          </cell>
          <cell r="M2175" t="str">
            <v>X90901</v>
          </cell>
          <cell r="N2175" t="str">
            <v>GO FAST RMX</v>
          </cell>
        </row>
        <row r="2176">
          <cell r="C2176" t="str">
            <v>170001671</v>
          </cell>
          <cell r="D2176" t="str">
            <v>A-1000 SUPER WHITE-9102-20LP</v>
          </cell>
          <cell r="E2176" t="str">
            <v>ZTRD</v>
          </cell>
          <cell r="F2176" t="str">
            <v>PC</v>
          </cell>
          <cell r="G2176" t="str">
            <v>X</v>
          </cell>
          <cell r="H2176" t="str">
            <v>TRD RETAIL</v>
          </cell>
          <cell r="I2176" t="str">
            <v>X9</v>
          </cell>
          <cell r="J2176" t="str">
            <v>MPC</v>
          </cell>
          <cell r="K2176" t="str">
            <v>X909</v>
          </cell>
          <cell r="L2176" t="str">
            <v>GO FAST</v>
          </cell>
          <cell r="M2176" t="str">
            <v>X90901</v>
          </cell>
          <cell r="N2176" t="str">
            <v>GO FAST RMX</v>
          </cell>
        </row>
        <row r="2177">
          <cell r="C2177" t="str">
            <v>170001673</v>
          </cell>
          <cell r="D2177" t="str">
            <v>A-1000 DOF BASE A-2.5L</v>
          </cell>
          <cell r="E2177" t="str">
            <v>ZTRD</v>
          </cell>
          <cell r="F2177" t="str">
            <v>PC</v>
          </cell>
          <cell r="G2177" t="str">
            <v>X</v>
          </cell>
          <cell r="H2177" t="str">
            <v>TRD RETAIL</v>
          </cell>
          <cell r="I2177" t="str">
            <v>X9</v>
          </cell>
          <cell r="J2177" t="str">
            <v>MPC</v>
          </cell>
          <cell r="K2177" t="str">
            <v>X909</v>
          </cell>
          <cell r="L2177" t="str">
            <v>GO FAST</v>
          </cell>
          <cell r="M2177" t="str">
            <v>X90902</v>
          </cell>
          <cell r="N2177" t="str">
            <v>GO FAST BASE</v>
          </cell>
        </row>
        <row r="2178">
          <cell r="C2178" t="str">
            <v>170001703</v>
          </cell>
          <cell r="D2178" t="str">
            <v>EASL-243-2K SF CLEAR-1KS</v>
          </cell>
          <cell r="E2178" t="str">
            <v>ZTRD</v>
          </cell>
          <cell r="F2178" t="str">
            <v>SET</v>
          </cell>
          <cell r="G2178" t="str">
            <v>X</v>
          </cell>
          <cell r="H2178" t="str">
            <v>TRD RETAIL</v>
          </cell>
          <cell r="I2178" t="str">
            <v>X7</v>
          </cell>
          <cell r="J2178" t="str">
            <v>CPC1</v>
          </cell>
          <cell r="K2178" t="str">
            <v>X704</v>
          </cell>
          <cell r="L2178" t="str">
            <v>CERAKOTE</v>
          </cell>
          <cell r="M2178" t="str">
            <v>X70402</v>
          </cell>
          <cell r="N2178" t="str">
            <v>ANTI SLIP COATINGS</v>
          </cell>
        </row>
        <row r="2179">
          <cell r="C2179" t="str">
            <v>170001730</v>
          </cell>
          <cell r="D2179" t="str">
            <v>UFM-930 BASE D-1K</v>
          </cell>
          <cell r="E2179" t="str">
            <v>ZTRD</v>
          </cell>
          <cell r="F2179" t="str">
            <v>PC</v>
          </cell>
          <cell r="G2179" t="str">
            <v>Y</v>
          </cell>
          <cell r="H2179" t="str">
            <v>TRD PROJECT</v>
          </cell>
          <cell r="I2179" t="str">
            <v>Y7</v>
          </cell>
          <cell r="J2179" t="str">
            <v>CPC2</v>
          </cell>
          <cell r="K2179" t="str">
            <v>Y706</v>
          </cell>
          <cell r="L2179" t="str">
            <v>ULTRAFLEX</v>
          </cell>
          <cell r="M2179" t="str">
            <v>Y70602</v>
          </cell>
          <cell r="N2179" t="str">
            <v>ULTRAFLEX MEMBRANE</v>
          </cell>
        </row>
        <row r="2180">
          <cell r="C2180" t="str">
            <v>170001731</v>
          </cell>
          <cell r="D2180" t="str">
            <v>UFM-930 WHITE-4K</v>
          </cell>
          <cell r="E2180" t="str">
            <v>ZTRD</v>
          </cell>
          <cell r="F2180" t="str">
            <v>PC</v>
          </cell>
          <cell r="G2180" t="str">
            <v>Y</v>
          </cell>
          <cell r="H2180" t="str">
            <v>TRD PROJECT</v>
          </cell>
          <cell r="I2180" t="str">
            <v>Y7</v>
          </cell>
          <cell r="J2180" t="str">
            <v>CPC2</v>
          </cell>
          <cell r="K2180" t="str">
            <v>Y706</v>
          </cell>
          <cell r="L2180" t="str">
            <v>ULTRAFLEX</v>
          </cell>
          <cell r="M2180" t="str">
            <v>Y70602</v>
          </cell>
          <cell r="N2180" t="str">
            <v>ULTRAFLEX MEMBRANE</v>
          </cell>
        </row>
        <row r="2181">
          <cell r="C2181" t="str">
            <v>170001732</v>
          </cell>
          <cell r="D2181" t="str">
            <v>WBL-61207 HV CLEAR 70-200KB</v>
          </cell>
          <cell r="E2181" t="str">
            <v>ZTRD</v>
          </cell>
          <cell r="F2181" t="str">
            <v>PC</v>
          </cell>
          <cell r="G2181" t="str">
            <v>W</v>
          </cell>
          <cell r="H2181" t="str">
            <v>TRD INDUSTRY</v>
          </cell>
          <cell r="I2181" t="str">
            <v>W1</v>
          </cell>
          <cell r="J2181" t="str">
            <v>WOOD COATINGS</v>
          </cell>
          <cell r="K2181" t="str">
            <v>W119</v>
          </cell>
          <cell r="L2181" t="str">
            <v>WATERBASED</v>
          </cell>
          <cell r="M2181" t="str">
            <v>W11902</v>
          </cell>
          <cell r="N2181" t="str">
            <v>WATERBASED SYSTEM INTERIOR</v>
          </cell>
        </row>
        <row r="2182">
          <cell r="C2182" t="str">
            <v>170001733</v>
          </cell>
          <cell r="D2182" t="str">
            <v>SUPER GOLD SG-07 WB GOLD-1230-0.5L</v>
          </cell>
          <cell r="E2182" t="str">
            <v>ZTRD</v>
          </cell>
          <cell r="F2182" t="str">
            <v>PC</v>
          </cell>
          <cell r="G2182" t="str">
            <v>X</v>
          </cell>
          <cell r="H2182" t="str">
            <v>TRD RETAIL</v>
          </cell>
          <cell r="I2182" t="str">
            <v>X6</v>
          </cell>
          <cell r="J2182" t="str">
            <v>SFC</v>
          </cell>
          <cell r="K2182" t="str">
            <v>X609</v>
          </cell>
          <cell r="L2182" t="str">
            <v>PROPAN SUPER GOLD</v>
          </cell>
          <cell r="M2182" t="str">
            <v>X60901</v>
          </cell>
          <cell r="N2182" t="str">
            <v>PROPAN SUPER GOLD</v>
          </cell>
        </row>
        <row r="2183">
          <cell r="C2183" t="str">
            <v>170001738</v>
          </cell>
          <cell r="D2183" t="str">
            <v>U-PROOF U-93 BASE A-20KP</v>
          </cell>
          <cell r="E2183" t="str">
            <v>ZTRD</v>
          </cell>
          <cell r="F2183" t="str">
            <v>PC</v>
          </cell>
          <cell r="G2183" t="str">
            <v>X</v>
          </cell>
          <cell r="H2183" t="str">
            <v>TRD RETAIL</v>
          </cell>
          <cell r="I2183" t="str">
            <v>XD</v>
          </cell>
          <cell r="J2183" t="str">
            <v>APCT2</v>
          </cell>
          <cell r="K2183" t="str">
            <v>XD02</v>
          </cell>
          <cell r="L2183" t="str">
            <v>U-PROOF</v>
          </cell>
          <cell r="M2183" t="str">
            <v>XD0201</v>
          </cell>
          <cell r="N2183" t="str">
            <v>U-PROOF</v>
          </cell>
        </row>
        <row r="2184">
          <cell r="C2184" t="str">
            <v>170001739</v>
          </cell>
          <cell r="D2184" t="str">
            <v>U-PROOF U-93 BASE B-20KP</v>
          </cell>
          <cell r="E2184" t="str">
            <v>ZTRD</v>
          </cell>
          <cell r="F2184" t="str">
            <v>PC</v>
          </cell>
          <cell r="G2184" t="str">
            <v>X</v>
          </cell>
          <cell r="H2184" t="str">
            <v>TRD RETAIL</v>
          </cell>
          <cell r="I2184" t="str">
            <v>XD</v>
          </cell>
          <cell r="J2184" t="str">
            <v>APCT2</v>
          </cell>
          <cell r="K2184" t="str">
            <v>XD02</v>
          </cell>
          <cell r="L2184" t="str">
            <v>U-PROOF</v>
          </cell>
          <cell r="M2184" t="str">
            <v>XD0201</v>
          </cell>
          <cell r="N2184" t="str">
            <v>U-PROOF</v>
          </cell>
        </row>
        <row r="2185">
          <cell r="C2185" t="str">
            <v>170001740</v>
          </cell>
          <cell r="D2185" t="str">
            <v>U-PROOF U-93 BASE C-20KP</v>
          </cell>
          <cell r="E2185" t="str">
            <v>ZTRD</v>
          </cell>
          <cell r="F2185" t="str">
            <v>PC</v>
          </cell>
          <cell r="G2185" t="str">
            <v>X</v>
          </cell>
          <cell r="H2185" t="str">
            <v>TRD RETAIL</v>
          </cell>
          <cell r="I2185" t="str">
            <v>XD</v>
          </cell>
          <cell r="J2185" t="str">
            <v>APCT2</v>
          </cell>
          <cell r="K2185" t="str">
            <v>XD02</v>
          </cell>
          <cell r="L2185" t="str">
            <v>U-PROOF</v>
          </cell>
          <cell r="M2185" t="str">
            <v>XD0201</v>
          </cell>
          <cell r="N2185" t="str">
            <v>U-PROOF</v>
          </cell>
        </row>
        <row r="2186">
          <cell r="C2186" t="str">
            <v>170001741</v>
          </cell>
          <cell r="D2186" t="str">
            <v>U-PROOF U-93 BASE A-4K</v>
          </cell>
          <cell r="E2186" t="str">
            <v>ZTRD</v>
          </cell>
          <cell r="F2186" t="str">
            <v>PC</v>
          </cell>
          <cell r="G2186" t="str">
            <v>X</v>
          </cell>
          <cell r="H2186" t="str">
            <v>TRD RETAIL</v>
          </cell>
          <cell r="I2186" t="str">
            <v>XD</v>
          </cell>
          <cell r="J2186" t="str">
            <v>APCT2</v>
          </cell>
          <cell r="K2186" t="str">
            <v>XD02</v>
          </cell>
          <cell r="L2186" t="str">
            <v>U-PROOF</v>
          </cell>
          <cell r="M2186" t="str">
            <v>XD0201</v>
          </cell>
          <cell r="N2186" t="str">
            <v>U-PROOF</v>
          </cell>
        </row>
        <row r="2187">
          <cell r="C2187" t="str">
            <v>170001742</v>
          </cell>
          <cell r="D2187" t="str">
            <v>U-PROOF U-93 BASE B-4K</v>
          </cell>
          <cell r="E2187" t="str">
            <v>ZTRD</v>
          </cell>
          <cell r="F2187" t="str">
            <v>PC</v>
          </cell>
          <cell r="G2187" t="str">
            <v>X</v>
          </cell>
          <cell r="H2187" t="str">
            <v>TRD RETAIL</v>
          </cell>
          <cell r="I2187" t="str">
            <v>XD</v>
          </cell>
          <cell r="J2187" t="str">
            <v>APCT2</v>
          </cell>
          <cell r="K2187" t="str">
            <v>XD02</v>
          </cell>
          <cell r="L2187" t="str">
            <v>U-PROOF</v>
          </cell>
          <cell r="M2187" t="str">
            <v>XD0201</v>
          </cell>
          <cell r="N2187" t="str">
            <v>U-PROOF</v>
          </cell>
        </row>
        <row r="2188">
          <cell r="C2188" t="str">
            <v>170001743</v>
          </cell>
          <cell r="D2188" t="str">
            <v>U-PROOF U-93 BASE C-4K</v>
          </cell>
          <cell r="E2188" t="str">
            <v>ZTRD</v>
          </cell>
          <cell r="F2188" t="str">
            <v>PC</v>
          </cell>
          <cell r="G2188" t="str">
            <v>X</v>
          </cell>
          <cell r="H2188" t="str">
            <v>TRD RETAIL</v>
          </cell>
          <cell r="I2188" t="str">
            <v>XD</v>
          </cell>
          <cell r="J2188" t="str">
            <v>APCT2</v>
          </cell>
          <cell r="K2188" t="str">
            <v>XD02</v>
          </cell>
          <cell r="L2188" t="str">
            <v>U-PROOF</v>
          </cell>
          <cell r="M2188" t="str">
            <v>XD0201</v>
          </cell>
          <cell r="N2188" t="str">
            <v>U-PROOF</v>
          </cell>
        </row>
        <row r="2189">
          <cell r="C2189" t="str">
            <v>170001744</v>
          </cell>
          <cell r="D2189" t="str">
            <v>TENNOKOTE 1000 WA YELLOW 2327-22.5KP</v>
          </cell>
          <cell r="E2189" t="str">
            <v>ZTRD</v>
          </cell>
          <cell r="F2189" t="str">
            <v>PC</v>
          </cell>
          <cell r="G2189" t="str">
            <v>X</v>
          </cell>
          <cell r="H2189" t="str">
            <v>TRD RETAIL</v>
          </cell>
          <cell r="I2189" t="str">
            <v>X7</v>
          </cell>
          <cell r="J2189" t="str">
            <v>CPC1</v>
          </cell>
          <cell r="K2189" t="str">
            <v>X701</v>
          </cell>
          <cell r="L2189" t="str">
            <v>TENNOKOTE</v>
          </cell>
          <cell r="M2189" t="str">
            <v>X70101</v>
          </cell>
          <cell r="N2189" t="str">
            <v>TENNOKOTE</v>
          </cell>
        </row>
        <row r="2190">
          <cell r="C2190" t="str">
            <v>170001745</v>
          </cell>
          <cell r="D2190" t="str">
            <v>TENNOKOTE RUBBER BLACK 1MM-100KB</v>
          </cell>
          <cell r="E2190" t="str">
            <v>ZTRD</v>
          </cell>
          <cell r="F2190" t="str">
            <v>PC</v>
          </cell>
          <cell r="G2190" t="str">
            <v>Y</v>
          </cell>
          <cell r="H2190" t="str">
            <v>TRD PROJECT</v>
          </cell>
          <cell r="I2190" t="str">
            <v>Y6</v>
          </cell>
          <cell r="J2190" t="str">
            <v>CPC1</v>
          </cell>
          <cell r="K2190" t="str">
            <v>Y614</v>
          </cell>
          <cell r="L2190" t="str">
            <v>TENNOKOTE CUSHION</v>
          </cell>
          <cell r="M2190" t="str">
            <v>Y61401</v>
          </cell>
          <cell r="N2190" t="str">
            <v>TENNOKOTE CUSHION</v>
          </cell>
        </row>
        <row r="2191">
          <cell r="C2191" t="str">
            <v>170001746</v>
          </cell>
          <cell r="D2191" t="str">
            <v>TENNOKOTE CEMENT TNK 1010 WA-15KS</v>
          </cell>
          <cell r="E2191" t="str">
            <v>ZTRD</v>
          </cell>
          <cell r="F2191" t="str">
            <v>SET</v>
          </cell>
          <cell r="G2191" t="str">
            <v>Y</v>
          </cell>
          <cell r="H2191" t="str">
            <v>TRD PROJECT</v>
          </cell>
          <cell r="I2191" t="str">
            <v>Y6</v>
          </cell>
          <cell r="J2191" t="str">
            <v>CPC1</v>
          </cell>
          <cell r="K2191" t="str">
            <v>Y614</v>
          </cell>
          <cell r="L2191" t="str">
            <v>TENNOKOTE CUSHION</v>
          </cell>
          <cell r="M2191" t="str">
            <v>Y61401</v>
          </cell>
          <cell r="N2191" t="str">
            <v>TENNOKOTE CUSHION</v>
          </cell>
        </row>
        <row r="2192">
          <cell r="C2192" t="str">
            <v>170001747</v>
          </cell>
          <cell r="D2192" t="str">
            <v>PU GLUE PUG-1030-5K</v>
          </cell>
          <cell r="E2192" t="str">
            <v>ZTRD</v>
          </cell>
          <cell r="F2192" t="str">
            <v>PC</v>
          </cell>
          <cell r="G2192" t="str">
            <v>Y</v>
          </cell>
          <cell r="H2192" t="str">
            <v>TRD PROJECT</v>
          </cell>
          <cell r="I2192" t="str">
            <v>Y6</v>
          </cell>
          <cell r="J2192" t="str">
            <v>CPC1</v>
          </cell>
          <cell r="K2192" t="str">
            <v>Y614</v>
          </cell>
          <cell r="L2192" t="str">
            <v>TENNOKOTE CUSHION</v>
          </cell>
          <cell r="M2192" t="str">
            <v>Y61401</v>
          </cell>
          <cell r="N2192" t="str">
            <v>TENNOKOTE CUSHION</v>
          </cell>
        </row>
        <row r="2193">
          <cell r="C2193" t="str">
            <v>170001749</v>
          </cell>
          <cell r="D2193" t="str">
            <v>TENNOKOTE 1000 WA OX RED 3435 N-25KSP</v>
          </cell>
          <cell r="E2193" t="str">
            <v>ZTRD</v>
          </cell>
          <cell r="F2193" t="str">
            <v>SET</v>
          </cell>
          <cell r="G2193" t="str">
            <v>X</v>
          </cell>
          <cell r="H2193" t="str">
            <v>TRD RETAIL</v>
          </cell>
          <cell r="I2193" t="str">
            <v>X7</v>
          </cell>
          <cell r="J2193" t="str">
            <v>CPC1</v>
          </cell>
          <cell r="K2193" t="str">
            <v>X701</v>
          </cell>
          <cell r="L2193" t="str">
            <v>TENNOKOTE</v>
          </cell>
          <cell r="M2193" t="str">
            <v>X70101</v>
          </cell>
          <cell r="N2193" t="str">
            <v>TENNOKOTE</v>
          </cell>
        </row>
        <row r="2194">
          <cell r="C2194" t="str">
            <v>170001750</v>
          </cell>
          <cell r="D2194" t="str">
            <v>TENNOKOTE 1000 WA YELLOW 2327 N-25KSP</v>
          </cell>
          <cell r="E2194" t="str">
            <v>ZTRD</v>
          </cell>
          <cell r="F2194" t="str">
            <v>SET</v>
          </cell>
          <cell r="G2194" t="str">
            <v>X</v>
          </cell>
          <cell r="H2194" t="str">
            <v>TRD RETAIL</v>
          </cell>
          <cell r="I2194" t="str">
            <v>X7</v>
          </cell>
          <cell r="J2194" t="str">
            <v>CPC1</v>
          </cell>
          <cell r="K2194" t="str">
            <v>X701</v>
          </cell>
          <cell r="L2194" t="str">
            <v>TENNOKOTE</v>
          </cell>
          <cell r="M2194" t="str">
            <v>X70101</v>
          </cell>
          <cell r="N2194" t="str">
            <v>TENNOKOTE</v>
          </cell>
        </row>
        <row r="2195">
          <cell r="C2195" t="str">
            <v>170001751</v>
          </cell>
          <cell r="D2195" t="str">
            <v>TENNOKOTE 1000 WA WHITE-9101 N-25KSP</v>
          </cell>
          <cell r="E2195" t="str">
            <v>ZTRD</v>
          </cell>
          <cell r="F2195" t="str">
            <v>SET</v>
          </cell>
          <cell r="G2195" t="str">
            <v>X</v>
          </cell>
          <cell r="H2195" t="str">
            <v>TRD RETAIL</v>
          </cell>
          <cell r="I2195" t="str">
            <v>X7</v>
          </cell>
          <cell r="J2195" t="str">
            <v>CPC1</v>
          </cell>
          <cell r="K2195" t="str">
            <v>X701</v>
          </cell>
          <cell r="L2195" t="str">
            <v>TENNOKOTE</v>
          </cell>
          <cell r="M2195" t="str">
            <v>X70101</v>
          </cell>
          <cell r="N2195" t="str">
            <v>TENNOKOTE</v>
          </cell>
        </row>
        <row r="2196">
          <cell r="C2196" t="str">
            <v>170001752</v>
          </cell>
          <cell r="D2196" t="str">
            <v>CEMENTO C-7 BASE C-20KSP</v>
          </cell>
          <cell r="E2196" t="str">
            <v>ZTRD</v>
          </cell>
          <cell r="F2196" t="str">
            <v>SET</v>
          </cell>
          <cell r="G2196" t="str">
            <v>Y</v>
          </cell>
          <cell r="H2196" t="str">
            <v>TRD PROJECT</v>
          </cell>
          <cell r="I2196" t="str">
            <v>Y7</v>
          </cell>
          <cell r="J2196" t="str">
            <v>CPC2</v>
          </cell>
          <cell r="K2196" t="str">
            <v>Y703</v>
          </cell>
          <cell r="L2196" t="str">
            <v>CEMENTO</v>
          </cell>
          <cell r="M2196" t="str">
            <v>Y70301</v>
          </cell>
          <cell r="N2196" t="str">
            <v>CEMENTO</v>
          </cell>
        </row>
        <row r="2197">
          <cell r="C2197" t="str">
            <v>170001753</v>
          </cell>
          <cell r="D2197" t="str">
            <v>CEMENTO C-7 BASE C-4KS</v>
          </cell>
          <cell r="E2197" t="str">
            <v>ZTRD</v>
          </cell>
          <cell r="F2197" t="str">
            <v>SET</v>
          </cell>
          <cell r="G2197" t="str">
            <v>Y</v>
          </cell>
          <cell r="H2197" t="str">
            <v>TRD PROJECT</v>
          </cell>
          <cell r="I2197" t="str">
            <v>Y7</v>
          </cell>
          <cell r="J2197" t="str">
            <v>CPC2</v>
          </cell>
          <cell r="K2197" t="str">
            <v>Y703</v>
          </cell>
          <cell r="L2197" t="str">
            <v>CEMENTO</v>
          </cell>
          <cell r="M2197" t="str">
            <v>Y70301</v>
          </cell>
          <cell r="N2197" t="str">
            <v>CEMENTO</v>
          </cell>
        </row>
        <row r="2198">
          <cell r="C2198" t="str">
            <v>850000075</v>
          </cell>
          <cell r="D2198" t="str">
            <v>#NUMPUC-13600 GRAPHITE GREY 50 VN-16KP</v>
          </cell>
          <cell r="E2198" t="str">
            <v>ZNSF</v>
          </cell>
          <cell r="F2198" t="str">
            <v>PC</v>
          </cell>
          <cell r="G2198" t="str">
            <v>1</v>
          </cell>
          <cell r="H2198" t="str">
            <v>INDUSTRY</v>
          </cell>
          <cell r="I2198" t="str">
            <v>11</v>
          </cell>
          <cell r="J2198" t="str">
            <v>WOOD COATINGS</v>
          </cell>
          <cell r="K2198" t="str">
            <v>1107</v>
          </cell>
          <cell r="L2198" t="str">
            <v>METAL COATING</v>
          </cell>
          <cell r="M2198" t="str">
            <v>110702</v>
          </cell>
          <cell r="N2198" t="str">
            <v>METAL COATING</v>
          </cell>
        </row>
        <row r="2199">
          <cell r="C2199" t="str">
            <v>850000091</v>
          </cell>
          <cell r="D2199" t="str">
            <v>#NUMX-99 DARK GREY 20 MH VN-15KP</v>
          </cell>
          <cell r="E2199" t="str">
            <v>ZNSF</v>
          </cell>
          <cell r="F2199" t="str">
            <v>PC</v>
          </cell>
          <cell r="G2199" t="str">
            <v>2</v>
          </cell>
          <cell r="H2199" t="str">
            <v>RETAIL</v>
          </cell>
          <cell r="I2199" t="str">
            <v>27</v>
          </cell>
          <cell r="J2199" t="str">
            <v>CPC1</v>
          </cell>
          <cell r="K2199" t="str">
            <v>2703</v>
          </cell>
          <cell r="L2199" t="str">
            <v>MULTIPOX</v>
          </cell>
          <cell r="M2199" t="str">
            <v>270301</v>
          </cell>
          <cell r="N2199" t="str">
            <v>MULTIPOX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51"/>
  <sheetViews>
    <sheetView tabSelected="1" workbookViewId="0">
      <selection activeCell="E11" sqref="E11"/>
    </sheetView>
  </sheetViews>
  <sheetFormatPr defaultRowHeight="14.5" x14ac:dyDescent="0.35"/>
  <cols>
    <col min="1" max="1" width="12.36328125" style="15" bestFit="1" customWidth="1"/>
    <col min="22" max="22" width="13.26953125" bestFit="1" customWidth="1"/>
    <col min="27" max="27" width="38.90625" bestFit="1" customWidth="1"/>
    <col min="29" max="29" width="16.08984375" bestFit="1" customWidth="1"/>
    <col min="35" max="35" width="11.36328125" bestFit="1" customWidth="1"/>
    <col min="36" max="36" width="12.36328125" bestFit="1" customWidth="1"/>
    <col min="42" max="42" width="11.36328125" bestFit="1" customWidth="1"/>
    <col min="43" max="43" width="12.36328125" bestFit="1" customWidth="1"/>
    <col min="50" max="50" width="10.453125" bestFit="1" customWidth="1"/>
    <col min="60" max="60" width="9.36328125" bestFit="1" customWidth="1"/>
    <col min="63" max="63" width="28.08984375" bestFit="1" customWidth="1"/>
    <col min="64" max="64" width="34" bestFit="1" customWidth="1"/>
    <col min="65" max="65" width="16.08984375" bestFit="1" customWidth="1"/>
  </cols>
  <sheetData>
    <row r="1" spans="1:65" ht="43.5" x14ac:dyDescent="0.35">
      <c r="A1" s="14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4" t="s">
        <v>40</v>
      </c>
      <c r="AP1" s="1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5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6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8" t="s">
        <v>1236</v>
      </c>
    </row>
    <row r="2" spans="1:65" x14ac:dyDescent="0.35">
      <c r="A2" s="10">
        <v>45992</v>
      </c>
      <c r="B2" s="9" t="s">
        <v>959</v>
      </c>
      <c r="C2" s="9" t="s">
        <v>64</v>
      </c>
      <c r="D2" s="9" t="s">
        <v>92</v>
      </c>
      <c r="E2" s="11">
        <v>60</v>
      </c>
      <c r="F2" s="9" t="s">
        <v>93</v>
      </c>
      <c r="G2" s="9" t="s">
        <v>65</v>
      </c>
      <c r="H2" s="9" t="s">
        <v>66</v>
      </c>
      <c r="I2" s="9">
        <v>11</v>
      </c>
      <c r="J2" s="9" t="s">
        <v>347</v>
      </c>
      <c r="K2" s="9" t="s">
        <v>347</v>
      </c>
      <c r="L2" s="9" t="s">
        <v>347</v>
      </c>
      <c r="M2" s="9" t="s">
        <v>348</v>
      </c>
      <c r="N2" s="9" t="s">
        <v>866</v>
      </c>
      <c r="O2" s="9" t="s">
        <v>97</v>
      </c>
      <c r="P2" s="9" t="s">
        <v>67</v>
      </c>
      <c r="Q2" s="9" t="s">
        <v>98</v>
      </c>
      <c r="R2" s="9" t="s">
        <v>347</v>
      </c>
      <c r="S2" s="9" t="s">
        <v>348</v>
      </c>
      <c r="T2" s="9" t="s">
        <v>818</v>
      </c>
      <c r="U2" s="9" t="s">
        <v>67</v>
      </c>
      <c r="V2" s="9" t="s">
        <v>130</v>
      </c>
      <c r="W2" s="9" t="s">
        <v>131</v>
      </c>
      <c r="X2" s="11">
        <v>10</v>
      </c>
      <c r="Y2" s="9" t="s">
        <v>843</v>
      </c>
      <c r="Z2" s="9" t="s">
        <v>68</v>
      </c>
      <c r="AA2" s="9" t="s">
        <v>844</v>
      </c>
      <c r="AB2" s="9" t="s">
        <v>67</v>
      </c>
      <c r="AC2" s="9" t="s">
        <v>547</v>
      </c>
      <c r="AD2" s="11">
        <v>5</v>
      </c>
      <c r="AE2" s="9" t="s">
        <v>70</v>
      </c>
      <c r="AF2" s="9" t="s">
        <v>71</v>
      </c>
      <c r="AG2" s="13">
        <v>1</v>
      </c>
      <c r="AH2" s="9" t="s">
        <v>92</v>
      </c>
      <c r="AI2" s="13">
        <v>1575000</v>
      </c>
      <c r="AJ2" s="13">
        <v>7875000</v>
      </c>
      <c r="AK2" s="11">
        <v>0</v>
      </c>
      <c r="AL2" s="11">
        <v>0</v>
      </c>
      <c r="AM2" s="11">
        <v>0</v>
      </c>
      <c r="AN2" s="9" t="s">
        <v>67</v>
      </c>
      <c r="AO2" s="11">
        <v>7875000</v>
      </c>
      <c r="AP2" s="13">
        <v>630000</v>
      </c>
      <c r="AQ2" s="13">
        <v>8505000</v>
      </c>
      <c r="AR2" s="11">
        <v>90</v>
      </c>
      <c r="AS2" s="9" t="s">
        <v>72</v>
      </c>
      <c r="AT2" s="12">
        <v>91.834999999999994</v>
      </c>
      <c r="AU2" s="9" t="s">
        <v>73</v>
      </c>
      <c r="AV2" s="9" t="s">
        <v>67</v>
      </c>
      <c r="AW2" s="9" t="s">
        <v>857</v>
      </c>
      <c r="AX2" s="10">
        <v>45867</v>
      </c>
      <c r="AY2" s="9" t="s">
        <v>960</v>
      </c>
      <c r="AZ2" s="9" t="s">
        <v>67</v>
      </c>
      <c r="BA2" s="9" t="s">
        <v>67</v>
      </c>
      <c r="BB2" s="12">
        <v>90</v>
      </c>
      <c r="BC2" s="9" t="s">
        <v>74</v>
      </c>
      <c r="BD2" s="9" t="s">
        <v>104</v>
      </c>
      <c r="BE2" s="9" t="s">
        <v>75</v>
      </c>
      <c r="BF2" s="11">
        <v>0</v>
      </c>
      <c r="BG2">
        <f t="shared" ref="BG2" si="0">MONTH(A2)</f>
        <v>12</v>
      </c>
      <c r="BH2" t="str">
        <f>VLOOKUP(BG2,[1]month!$A:$B,2,0)</f>
        <v>Desember</v>
      </c>
      <c r="BI2">
        <f t="shared" ref="BI2" si="1">YEAR(A2)</f>
        <v>2025</v>
      </c>
      <c r="BJ2" t="str">
        <f>VLOOKUP(I2,[1]Dist!$A:$B,2,0)</f>
        <v>Industry</v>
      </c>
      <c r="BK2" t="str">
        <f>IF(I2=11,VLOOKUP(Y2,[2]Sheet1!$C:$N,10,0),IF(I2=13,VLOOKUP(Y2,[3]Sheet1!$C:$N,10,0),IF(I2=15,VLOOKUP(Y2,[4]Sheet1!$C:$N,10,0),"Unknown")))</f>
        <v>NC</v>
      </c>
      <c r="BL2" t="str">
        <f>IF(I2=11,VLOOKUP(Y2,[2]Sheet1!$C:$N,12,0),IF(I2=13,VLOOKUP(Y2,[3]Sheet1!$C:$N,12,0),IF(I2=15,VLOOKUP(Y2,[4]Sheet1!$C:$N,12,0),"Unknown")))</f>
        <v>NC SYSTEM</v>
      </c>
      <c r="BM2" t="str">
        <f>VLOOKUP(W2,[1]branch!$A:$B,2,0)</f>
        <v>INDUSTRY</v>
      </c>
    </row>
    <row r="3" spans="1:65" x14ac:dyDescent="0.35">
      <c r="A3" s="10">
        <v>45992</v>
      </c>
      <c r="B3" s="9" t="s">
        <v>961</v>
      </c>
      <c r="C3" s="9" t="s">
        <v>64</v>
      </c>
      <c r="D3" s="9" t="s">
        <v>92</v>
      </c>
      <c r="E3" s="11">
        <v>60</v>
      </c>
      <c r="F3" s="9" t="s">
        <v>93</v>
      </c>
      <c r="G3" s="9" t="s">
        <v>65</v>
      </c>
      <c r="H3" s="9" t="s">
        <v>66</v>
      </c>
      <c r="I3" s="9">
        <v>11</v>
      </c>
      <c r="J3" s="9" t="s">
        <v>347</v>
      </c>
      <c r="K3" s="9" t="s">
        <v>347</v>
      </c>
      <c r="L3" s="9" t="s">
        <v>347</v>
      </c>
      <c r="M3" s="9" t="s">
        <v>348</v>
      </c>
      <c r="N3" s="9" t="s">
        <v>866</v>
      </c>
      <c r="O3" s="9" t="s">
        <v>97</v>
      </c>
      <c r="P3" s="9" t="s">
        <v>67</v>
      </c>
      <c r="Q3" s="9" t="s">
        <v>98</v>
      </c>
      <c r="R3" s="9" t="s">
        <v>347</v>
      </c>
      <c r="S3" s="9" t="s">
        <v>348</v>
      </c>
      <c r="T3" s="9" t="s">
        <v>818</v>
      </c>
      <c r="U3" s="9" t="s">
        <v>67</v>
      </c>
      <c r="V3" s="9" t="s">
        <v>130</v>
      </c>
      <c r="W3" s="9" t="s">
        <v>131</v>
      </c>
      <c r="X3" s="11">
        <v>20</v>
      </c>
      <c r="Y3" s="9" t="s">
        <v>862</v>
      </c>
      <c r="Z3" s="9" t="s">
        <v>68</v>
      </c>
      <c r="AA3" s="9" t="s">
        <v>863</v>
      </c>
      <c r="AB3" s="9" t="s">
        <v>67</v>
      </c>
      <c r="AC3" s="9" t="s">
        <v>547</v>
      </c>
      <c r="AD3" s="11">
        <v>5</v>
      </c>
      <c r="AE3" s="9" t="s">
        <v>70</v>
      </c>
      <c r="AF3" s="9" t="s">
        <v>71</v>
      </c>
      <c r="AG3" s="13">
        <v>1</v>
      </c>
      <c r="AH3" s="9" t="s">
        <v>92</v>
      </c>
      <c r="AI3" s="13">
        <v>1670400</v>
      </c>
      <c r="AJ3" s="13">
        <v>8352000</v>
      </c>
      <c r="AK3" s="11">
        <v>0</v>
      </c>
      <c r="AL3" s="11">
        <v>0</v>
      </c>
      <c r="AM3" s="11">
        <v>0</v>
      </c>
      <c r="AN3" s="9" t="s">
        <v>67</v>
      </c>
      <c r="AO3" s="11">
        <v>8352000</v>
      </c>
      <c r="AP3" s="13">
        <v>668160</v>
      </c>
      <c r="AQ3" s="13">
        <v>9020160</v>
      </c>
      <c r="AR3" s="11">
        <v>90</v>
      </c>
      <c r="AS3" s="9" t="s">
        <v>72</v>
      </c>
      <c r="AT3" s="12">
        <v>92.784999999999997</v>
      </c>
      <c r="AU3" s="9" t="s">
        <v>73</v>
      </c>
      <c r="AV3" s="9" t="s">
        <v>67</v>
      </c>
      <c r="AW3" s="9" t="s">
        <v>896</v>
      </c>
      <c r="AX3" s="10">
        <v>45917</v>
      </c>
      <c r="AY3" s="9" t="s">
        <v>962</v>
      </c>
      <c r="AZ3" s="9" t="s">
        <v>67</v>
      </c>
      <c r="BA3" s="9" t="s">
        <v>67</v>
      </c>
      <c r="BB3" s="12">
        <v>90</v>
      </c>
      <c r="BC3" s="9" t="s">
        <v>74</v>
      </c>
      <c r="BD3" s="9" t="s">
        <v>104</v>
      </c>
      <c r="BE3" s="9" t="s">
        <v>75</v>
      </c>
      <c r="BF3" s="11">
        <v>0</v>
      </c>
      <c r="BG3">
        <f t="shared" ref="BG3:BG66" si="2">MONTH(A3)</f>
        <v>12</v>
      </c>
      <c r="BH3" t="str">
        <f>VLOOKUP(BG3,[1]month!$A:$B,2,0)</f>
        <v>Desember</v>
      </c>
      <c r="BI3">
        <f t="shared" ref="BI3:BI66" si="3">YEAR(A3)</f>
        <v>2025</v>
      </c>
      <c r="BJ3" t="str">
        <f>VLOOKUP(I3,[1]Dist!$A:$B,2,0)</f>
        <v>Industry</v>
      </c>
      <c r="BK3" t="str">
        <f>IF(I3=11,VLOOKUP(Y3,[2]Sheet1!$C:$N,10,0),IF(I3=13,VLOOKUP(Y3,[3]Sheet1!$C:$N,10,0),IF(I3=15,VLOOKUP(Y3,[4]Sheet1!$C:$N,10,0),"Unknown")))</f>
        <v>NC</v>
      </c>
      <c r="BL3" t="str">
        <f>IF(I3=11,VLOOKUP(Y3,[2]Sheet1!$C:$N,12,0),IF(I3=13,VLOOKUP(Y3,[3]Sheet1!$C:$N,12,0),IF(I3=15,VLOOKUP(Y3,[4]Sheet1!$C:$N,12,0),"Unknown")))</f>
        <v>NC SYSTEM</v>
      </c>
      <c r="BM3" t="str">
        <f>VLOOKUP(W3,[1]branch!$A:$B,2,0)</f>
        <v>INDUSTRY</v>
      </c>
    </row>
    <row r="4" spans="1:65" x14ac:dyDescent="0.35">
      <c r="A4" s="10">
        <v>45992</v>
      </c>
      <c r="B4" s="9" t="s">
        <v>963</v>
      </c>
      <c r="C4" s="9" t="s">
        <v>64</v>
      </c>
      <c r="D4" s="9" t="s">
        <v>92</v>
      </c>
      <c r="E4" s="11">
        <v>60</v>
      </c>
      <c r="F4" s="9" t="s">
        <v>93</v>
      </c>
      <c r="G4" s="9" t="s">
        <v>65</v>
      </c>
      <c r="H4" s="9" t="s">
        <v>66</v>
      </c>
      <c r="I4" s="9">
        <v>11</v>
      </c>
      <c r="J4" s="9" t="s">
        <v>347</v>
      </c>
      <c r="K4" s="9" t="s">
        <v>347</v>
      </c>
      <c r="L4" s="9" t="s">
        <v>347</v>
      </c>
      <c r="M4" s="9" t="s">
        <v>348</v>
      </c>
      <c r="N4" s="9" t="s">
        <v>866</v>
      </c>
      <c r="O4" s="9" t="s">
        <v>97</v>
      </c>
      <c r="P4" s="9" t="s">
        <v>67</v>
      </c>
      <c r="Q4" s="9" t="s">
        <v>98</v>
      </c>
      <c r="R4" s="9" t="s">
        <v>347</v>
      </c>
      <c r="S4" s="9" t="s">
        <v>348</v>
      </c>
      <c r="T4" s="9" t="s">
        <v>818</v>
      </c>
      <c r="U4" s="9" t="s">
        <v>67</v>
      </c>
      <c r="V4" s="9" t="s">
        <v>130</v>
      </c>
      <c r="W4" s="9" t="s">
        <v>131</v>
      </c>
      <c r="X4" s="11">
        <v>50</v>
      </c>
      <c r="Y4" s="9" t="s">
        <v>273</v>
      </c>
      <c r="Z4" s="9" t="s">
        <v>68</v>
      </c>
      <c r="AA4" s="9" t="s">
        <v>274</v>
      </c>
      <c r="AB4" s="9" t="s">
        <v>67</v>
      </c>
      <c r="AC4" s="9" t="s">
        <v>191</v>
      </c>
      <c r="AD4" s="11">
        <v>15</v>
      </c>
      <c r="AE4" s="9" t="s">
        <v>70</v>
      </c>
      <c r="AF4" s="9" t="s">
        <v>71</v>
      </c>
      <c r="AG4" s="13">
        <v>1</v>
      </c>
      <c r="AH4" s="9" t="s">
        <v>92</v>
      </c>
      <c r="AI4" s="13">
        <v>1153480</v>
      </c>
      <c r="AJ4" s="13">
        <v>17302200</v>
      </c>
      <c r="AK4" s="11">
        <v>0</v>
      </c>
      <c r="AL4" s="11">
        <v>0</v>
      </c>
      <c r="AM4" s="11">
        <v>0</v>
      </c>
      <c r="AN4" s="9" t="s">
        <v>67</v>
      </c>
      <c r="AO4" s="11">
        <v>17302200</v>
      </c>
      <c r="AP4" s="13">
        <v>1384176</v>
      </c>
      <c r="AQ4" s="13">
        <v>18686376</v>
      </c>
      <c r="AR4" s="11">
        <v>294</v>
      </c>
      <c r="AS4" s="9" t="s">
        <v>72</v>
      </c>
      <c r="AT4" s="11">
        <v>300</v>
      </c>
      <c r="AU4" s="9" t="s">
        <v>73</v>
      </c>
      <c r="AV4" s="9" t="s">
        <v>67</v>
      </c>
      <c r="AW4" s="9" t="s">
        <v>926</v>
      </c>
      <c r="AX4" s="10">
        <v>45953</v>
      </c>
      <c r="AY4" s="9" t="s">
        <v>964</v>
      </c>
      <c r="AZ4" s="9" t="s">
        <v>67</v>
      </c>
      <c r="BA4" s="9" t="s">
        <v>67</v>
      </c>
      <c r="BB4" s="12">
        <v>300</v>
      </c>
      <c r="BC4" s="9" t="s">
        <v>74</v>
      </c>
      <c r="BD4" s="9" t="s">
        <v>104</v>
      </c>
      <c r="BE4" s="9" t="s">
        <v>75</v>
      </c>
      <c r="BF4" s="11">
        <v>0</v>
      </c>
      <c r="BG4">
        <f t="shared" si="2"/>
        <v>12</v>
      </c>
      <c r="BH4" t="str">
        <f>VLOOKUP(BG4,[1]month!$A:$B,2,0)</f>
        <v>Desember</v>
      </c>
      <c r="BI4">
        <f t="shared" si="3"/>
        <v>2025</v>
      </c>
      <c r="BJ4" t="str">
        <f>VLOOKUP(I4,[1]Dist!$A:$B,2,0)</f>
        <v>Industry</v>
      </c>
      <c r="BK4" t="str">
        <f>IF(I4=11,VLOOKUP(Y4,[2]Sheet1!$C:$N,10,0),IF(I4=13,VLOOKUP(Y4,[3]Sheet1!$C:$N,10,0),IF(I4=15,VLOOKUP(Y4,[4]Sheet1!$C:$N,10,0),"Unknown")))</f>
        <v>NC</v>
      </c>
      <c r="BL4" t="str">
        <f>IF(I4=11,VLOOKUP(Y4,[2]Sheet1!$C:$N,12,0),IF(I4=13,VLOOKUP(Y4,[3]Sheet1!$C:$N,12,0),IF(I4=15,VLOOKUP(Y4,[4]Sheet1!$C:$N,12,0),"Unknown")))</f>
        <v>NC SYSTEM</v>
      </c>
      <c r="BM4" t="str">
        <f>VLOOKUP(W4,[1]branch!$A:$B,2,0)</f>
        <v>INDUSTRY</v>
      </c>
    </row>
    <row r="5" spans="1:65" x14ac:dyDescent="0.35">
      <c r="A5" s="10">
        <v>45992</v>
      </c>
      <c r="B5" s="9" t="s">
        <v>965</v>
      </c>
      <c r="C5" s="9" t="s">
        <v>64</v>
      </c>
      <c r="D5" s="9" t="s">
        <v>92</v>
      </c>
      <c r="E5" s="11">
        <v>60</v>
      </c>
      <c r="F5" s="9" t="s">
        <v>93</v>
      </c>
      <c r="G5" s="9" t="s">
        <v>65</v>
      </c>
      <c r="H5" s="9" t="s">
        <v>66</v>
      </c>
      <c r="I5" s="9">
        <v>11</v>
      </c>
      <c r="J5" s="9" t="s">
        <v>347</v>
      </c>
      <c r="K5" s="9" t="s">
        <v>347</v>
      </c>
      <c r="L5" s="9" t="s">
        <v>347</v>
      </c>
      <c r="M5" s="9" t="s">
        <v>348</v>
      </c>
      <c r="N5" s="9" t="s">
        <v>866</v>
      </c>
      <c r="O5" s="9" t="s">
        <v>97</v>
      </c>
      <c r="P5" s="9" t="s">
        <v>67</v>
      </c>
      <c r="Q5" s="9" t="s">
        <v>98</v>
      </c>
      <c r="R5" s="9" t="s">
        <v>347</v>
      </c>
      <c r="S5" s="9" t="s">
        <v>348</v>
      </c>
      <c r="T5" s="9" t="s">
        <v>818</v>
      </c>
      <c r="U5" s="9" t="s">
        <v>67</v>
      </c>
      <c r="V5" s="9" t="s">
        <v>130</v>
      </c>
      <c r="W5" s="9" t="s">
        <v>131</v>
      </c>
      <c r="X5" s="11">
        <v>30</v>
      </c>
      <c r="Y5" s="9" t="s">
        <v>198</v>
      </c>
      <c r="Z5" s="9" t="s">
        <v>68</v>
      </c>
      <c r="AA5" s="9" t="s">
        <v>199</v>
      </c>
      <c r="AB5" s="9" t="s">
        <v>67</v>
      </c>
      <c r="AC5" s="9" t="s">
        <v>200</v>
      </c>
      <c r="AD5" s="11">
        <v>5</v>
      </c>
      <c r="AE5" s="9" t="s">
        <v>70</v>
      </c>
      <c r="AF5" s="9" t="s">
        <v>71</v>
      </c>
      <c r="AG5" s="13">
        <v>1</v>
      </c>
      <c r="AH5" s="9" t="s">
        <v>92</v>
      </c>
      <c r="AI5" s="13">
        <v>1245204</v>
      </c>
      <c r="AJ5" s="13">
        <v>6226020</v>
      </c>
      <c r="AK5" s="11">
        <v>0</v>
      </c>
      <c r="AL5" s="11">
        <v>0</v>
      </c>
      <c r="AM5" s="11">
        <v>0</v>
      </c>
      <c r="AN5" s="9" t="s">
        <v>67</v>
      </c>
      <c r="AO5" s="11">
        <v>6226020</v>
      </c>
      <c r="AP5" s="13">
        <v>498082</v>
      </c>
      <c r="AQ5" s="13">
        <v>6724102</v>
      </c>
      <c r="AR5" s="11">
        <v>90</v>
      </c>
      <c r="AS5" s="9" t="s">
        <v>72</v>
      </c>
      <c r="AT5" s="11">
        <v>90</v>
      </c>
      <c r="AU5" s="9" t="s">
        <v>73</v>
      </c>
      <c r="AV5" s="9" t="s">
        <v>67</v>
      </c>
      <c r="AW5" s="9" t="s">
        <v>929</v>
      </c>
      <c r="AX5" s="10">
        <v>45958</v>
      </c>
      <c r="AY5" s="9" t="s">
        <v>966</v>
      </c>
      <c r="AZ5" s="9" t="s">
        <v>67</v>
      </c>
      <c r="BA5" s="9" t="s">
        <v>67</v>
      </c>
      <c r="BB5" s="12">
        <v>90</v>
      </c>
      <c r="BC5" s="9" t="s">
        <v>74</v>
      </c>
      <c r="BD5" s="9" t="s">
        <v>104</v>
      </c>
      <c r="BE5" s="9" t="s">
        <v>75</v>
      </c>
      <c r="BF5" s="11">
        <v>0</v>
      </c>
      <c r="BG5">
        <f t="shared" si="2"/>
        <v>12</v>
      </c>
      <c r="BH5" t="str">
        <f>VLOOKUP(BG5,[1]month!$A:$B,2,0)</f>
        <v>Desember</v>
      </c>
      <c r="BI5">
        <f t="shared" si="3"/>
        <v>2025</v>
      </c>
      <c r="BJ5" t="str">
        <f>VLOOKUP(I5,[1]Dist!$A:$B,2,0)</f>
        <v>Industry</v>
      </c>
      <c r="BK5" t="str">
        <f>IF(I5=11,VLOOKUP(Y5,[2]Sheet1!$C:$N,10,0),IF(I5=13,VLOOKUP(Y5,[3]Sheet1!$C:$N,10,0),IF(I5=15,VLOOKUP(Y5,[4]Sheet1!$C:$N,10,0),"Unknown")))</f>
        <v>PU</v>
      </c>
      <c r="BL5" t="str">
        <f>IF(I5=11,VLOOKUP(Y5,[2]Sheet1!$C:$N,12,0),IF(I5=13,VLOOKUP(Y5,[3]Sheet1!$C:$N,12,0),IF(I5=15,VLOOKUP(Y5,[4]Sheet1!$C:$N,12,0),"Unknown")))</f>
        <v>PU LACQUER</v>
      </c>
      <c r="BM5" t="str">
        <f>VLOOKUP(W5,[1]branch!$A:$B,2,0)</f>
        <v>INDUSTRY</v>
      </c>
    </row>
    <row r="6" spans="1:65" x14ac:dyDescent="0.35">
      <c r="A6" s="10">
        <v>45992</v>
      </c>
      <c r="B6" s="9" t="s">
        <v>965</v>
      </c>
      <c r="C6" s="9" t="s">
        <v>64</v>
      </c>
      <c r="D6" s="9" t="s">
        <v>92</v>
      </c>
      <c r="E6" s="11">
        <v>60</v>
      </c>
      <c r="F6" s="9" t="s">
        <v>93</v>
      </c>
      <c r="G6" s="9" t="s">
        <v>65</v>
      </c>
      <c r="H6" s="9" t="s">
        <v>66</v>
      </c>
      <c r="I6" s="9">
        <v>11</v>
      </c>
      <c r="J6" s="9" t="s">
        <v>347</v>
      </c>
      <c r="K6" s="9" t="s">
        <v>347</v>
      </c>
      <c r="L6" s="9" t="s">
        <v>347</v>
      </c>
      <c r="M6" s="9" t="s">
        <v>348</v>
      </c>
      <c r="N6" s="9" t="s">
        <v>866</v>
      </c>
      <c r="O6" s="9" t="s">
        <v>97</v>
      </c>
      <c r="P6" s="9" t="s">
        <v>67</v>
      </c>
      <c r="Q6" s="9" t="s">
        <v>98</v>
      </c>
      <c r="R6" s="9" t="s">
        <v>347</v>
      </c>
      <c r="S6" s="9" t="s">
        <v>348</v>
      </c>
      <c r="T6" s="9" t="s">
        <v>818</v>
      </c>
      <c r="U6" s="9" t="s">
        <v>67</v>
      </c>
      <c r="V6" s="9" t="s">
        <v>130</v>
      </c>
      <c r="W6" s="9" t="s">
        <v>131</v>
      </c>
      <c r="X6" s="11">
        <v>50</v>
      </c>
      <c r="Y6" s="9" t="s">
        <v>353</v>
      </c>
      <c r="Z6" s="9" t="s">
        <v>68</v>
      </c>
      <c r="AA6" s="9" t="s">
        <v>354</v>
      </c>
      <c r="AB6" s="9" t="s">
        <v>67</v>
      </c>
      <c r="AC6" s="9" t="s">
        <v>103</v>
      </c>
      <c r="AD6" s="11">
        <v>1</v>
      </c>
      <c r="AE6" s="9" t="s">
        <v>70</v>
      </c>
      <c r="AF6" s="9" t="s">
        <v>71</v>
      </c>
      <c r="AG6" s="13">
        <v>1</v>
      </c>
      <c r="AH6" s="9" t="s">
        <v>92</v>
      </c>
      <c r="AI6" s="13">
        <v>10448800</v>
      </c>
      <c r="AJ6" s="13">
        <v>10448800</v>
      </c>
      <c r="AK6" s="11">
        <v>0</v>
      </c>
      <c r="AL6" s="11">
        <v>0</v>
      </c>
      <c r="AM6" s="11">
        <v>0</v>
      </c>
      <c r="AN6" s="9" t="s">
        <v>67</v>
      </c>
      <c r="AO6" s="11">
        <v>10448800</v>
      </c>
      <c r="AP6" s="13">
        <v>835904</v>
      </c>
      <c r="AQ6" s="13">
        <v>11284704</v>
      </c>
      <c r="AR6" s="11">
        <v>200</v>
      </c>
      <c r="AS6" s="9" t="s">
        <v>72</v>
      </c>
      <c r="AT6" s="12">
        <v>198.02</v>
      </c>
      <c r="AU6" s="9" t="s">
        <v>73</v>
      </c>
      <c r="AV6" s="9" t="s">
        <v>67</v>
      </c>
      <c r="AW6" s="9" t="s">
        <v>929</v>
      </c>
      <c r="AX6" s="10">
        <v>45958</v>
      </c>
      <c r="AY6" s="9" t="s">
        <v>966</v>
      </c>
      <c r="AZ6" s="9" t="s">
        <v>67</v>
      </c>
      <c r="BA6" s="9" t="s">
        <v>67</v>
      </c>
      <c r="BB6" s="12">
        <v>200</v>
      </c>
      <c r="BC6" s="9" t="s">
        <v>74</v>
      </c>
      <c r="BD6" s="9" t="s">
        <v>104</v>
      </c>
      <c r="BE6" s="9" t="s">
        <v>75</v>
      </c>
      <c r="BF6" s="11">
        <v>0</v>
      </c>
      <c r="BG6">
        <f t="shared" si="2"/>
        <v>12</v>
      </c>
      <c r="BH6" t="str">
        <f>VLOOKUP(BG6,[1]month!$A:$B,2,0)</f>
        <v>Desember</v>
      </c>
      <c r="BI6">
        <f t="shared" si="3"/>
        <v>2025</v>
      </c>
      <c r="BJ6" t="str">
        <f>VLOOKUP(I6,[1]Dist!$A:$B,2,0)</f>
        <v>Industry</v>
      </c>
      <c r="BK6" t="str">
        <f>IF(I6=11,VLOOKUP(Y6,[2]Sheet1!$C:$N,10,0),IF(I6=13,VLOOKUP(Y6,[3]Sheet1!$C:$N,10,0),IF(I6=15,VLOOKUP(Y6,[4]Sheet1!$C:$N,10,0),"Unknown")))</f>
        <v>PU</v>
      </c>
      <c r="BL6" t="str">
        <f>IF(I6=11,VLOOKUP(Y6,[2]Sheet1!$C:$N,12,0),IF(I6=13,VLOOKUP(Y6,[3]Sheet1!$C:$N,12,0),IF(I6=15,VLOOKUP(Y6,[4]Sheet1!$C:$N,12,0),"Unknown")))</f>
        <v>PU SANDING SEALER</v>
      </c>
      <c r="BM6" t="str">
        <f>VLOOKUP(W6,[1]branch!$A:$B,2,0)</f>
        <v>INDUSTRY</v>
      </c>
    </row>
    <row r="7" spans="1:65" x14ac:dyDescent="0.35">
      <c r="A7" s="10">
        <v>45992</v>
      </c>
      <c r="B7" s="9" t="s">
        <v>967</v>
      </c>
      <c r="C7" s="9" t="s">
        <v>64</v>
      </c>
      <c r="D7" s="9" t="s">
        <v>92</v>
      </c>
      <c r="E7" s="11">
        <v>60</v>
      </c>
      <c r="F7" s="9" t="s">
        <v>93</v>
      </c>
      <c r="G7" s="9" t="s">
        <v>65</v>
      </c>
      <c r="H7" s="9" t="s">
        <v>66</v>
      </c>
      <c r="I7" s="9">
        <v>11</v>
      </c>
      <c r="J7" s="9" t="s">
        <v>347</v>
      </c>
      <c r="K7" s="9" t="s">
        <v>347</v>
      </c>
      <c r="L7" s="9" t="s">
        <v>347</v>
      </c>
      <c r="M7" s="9" t="s">
        <v>348</v>
      </c>
      <c r="N7" s="9" t="s">
        <v>866</v>
      </c>
      <c r="O7" s="9" t="s">
        <v>97</v>
      </c>
      <c r="P7" s="9" t="s">
        <v>67</v>
      </c>
      <c r="Q7" s="9" t="s">
        <v>98</v>
      </c>
      <c r="R7" s="9" t="s">
        <v>347</v>
      </c>
      <c r="S7" s="9" t="s">
        <v>348</v>
      </c>
      <c r="T7" s="9" t="s">
        <v>818</v>
      </c>
      <c r="U7" s="9" t="s">
        <v>67</v>
      </c>
      <c r="V7" s="9" t="s">
        <v>130</v>
      </c>
      <c r="W7" s="9" t="s">
        <v>131</v>
      </c>
      <c r="X7" s="11">
        <v>30</v>
      </c>
      <c r="Y7" s="9" t="s">
        <v>105</v>
      </c>
      <c r="Z7" s="9" t="s">
        <v>68</v>
      </c>
      <c r="AA7" s="9" t="s">
        <v>106</v>
      </c>
      <c r="AB7" s="9" t="s">
        <v>67</v>
      </c>
      <c r="AC7" s="9" t="s">
        <v>107</v>
      </c>
      <c r="AD7" s="11">
        <v>5</v>
      </c>
      <c r="AE7" s="9" t="s">
        <v>70</v>
      </c>
      <c r="AF7" s="9" t="s">
        <v>71</v>
      </c>
      <c r="AG7" s="13">
        <v>1</v>
      </c>
      <c r="AH7" s="9" t="s">
        <v>92</v>
      </c>
      <c r="AI7" s="13">
        <v>1556000</v>
      </c>
      <c r="AJ7" s="13">
        <v>7780000</v>
      </c>
      <c r="AK7" s="11">
        <v>0</v>
      </c>
      <c r="AL7" s="11">
        <v>0</v>
      </c>
      <c r="AM7" s="11">
        <v>0</v>
      </c>
      <c r="AN7" s="9" t="s">
        <v>67</v>
      </c>
      <c r="AO7" s="11">
        <v>7780000</v>
      </c>
      <c r="AP7" s="13">
        <v>622400</v>
      </c>
      <c r="AQ7" s="13">
        <v>8402400</v>
      </c>
      <c r="AR7" s="11">
        <v>100</v>
      </c>
      <c r="AS7" s="9" t="s">
        <v>72</v>
      </c>
      <c r="AT7" s="12">
        <v>106.4</v>
      </c>
      <c r="AU7" s="9" t="s">
        <v>73</v>
      </c>
      <c r="AV7" s="9" t="s">
        <v>67</v>
      </c>
      <c r="AW7" s="9" t="s">
        <v>932</v>
      </c>
      <c r="AX7" s="10">
        <v>45961</v>
      </c>
      <c r="AY7" s="9" t="s">
        <v>968</v>
      </c>
      <c r="AZ7" s="9" t="s">
        <v>67</v>
      </c>
      <c r="BA7" s="9" t="s">
        <v>67</v>
      </c>
      <c r="BB7" s="12">
        <v>100</v>
      </c>
      <c r="BC7" s="9" t="s">
        <v>74</v>
      </c>
      <c r="BD7" s="9" t="s">
        <v>104</v>
      </c>
      <c r="BE7" s="9" t="s">
        <v>75</v>
      </c>
      <c r="BF7" s="11">
        <v>0</v>
      </c>
      <c r="BG7">
        <f t="shared" si="2"/>
        <v>12</v>
      </c>
      <c r="BH7" t="str">
        <f>VLOOKUP(BG7,[1]month!$A:$B,2,0)</f>
        <v>Desember</v>
      </c>
      <c r="BI7">
        <f t="shared" si="3"/>
        <v>2025</v>
      </c>
      <c r="BJ7" t="str">
        <f>VLOOKUP(I7,[1]Dist!$A:$B,2,0)</f>
        <v>Industry</v>
      </c>
      <c r="BK7" t="str">
        <f>IF(I7=11,VLOOKUP(Y7,[2]Sheet1!$C:$N,10,0),IF(I7=13,VLOOKUP(Y7,[3]Sheet1!$C:$N,10,0),IF(I7=15,VLOOKUP(Y7,[4]Sheet1!$C:$N,10,0),"Unknown")))</f>
        <v>PU</v>
      </c>
      <c r="BL7" t="str">
        <f>IF(I7=11,VLOOKUP(Y7,[2]Sheet1!$C:$N,12,0),IF(I7=13,VLOOKUP(Y7,[3]Sheet1!$C:$N,12,0),IF(I7=15,VLOOKUP(Y7,[4]Sheet1!$C:$N,12,0),"Unknown")))</f>
        <v>PU HARDENER</v>
      </c>
      <c r="BM7" t="str">
        <f>VLOOKUP(W7,[1]branch!$A:$B,2,0)</f>
        <v>INDUSTRY</v>
      </c>
    </row>
    <row r="8" spans="1:65" x14ac:dyDescent="0.35">
      <c r="A8" s="10">
        <v>45992</v>
      </c>
      <c r="B8" s="9" t="s">
        <v>969</v>
      </c>
      <c r="C8" s="9" t="s">
        <v>64</v>
      </c>
      <c r="D8" s="9" t="s">
        <v>92</v>
      </c>
      <c r="E8" s="11">
        <v>60</v>
      </c>
      <c r="F8" s="9" t="s">
        <v>93</v>
      </c>
      <c r="G8" s="9" t="s">
        <v>65</v>
      </c>
      <c r="H8" s="9" t="s">
        <v>66</v>
      </c>
      <c r="I8" s="9">
        <v>11</v>
      </c>
      <c r="J8" s="9" t="s">
        <v>347</v>
      </c>
      <c r="K8" s="9" t="s">
        <v>347</v>
      </c>
      <c r="L8" s="9" t="s">
        <v>347</v>
      </c>
      <c r="M8" s="9" t="s">
        <v>348</v>
      </c>
      <c r="N8" s="9" t="s">
        <v>866</v>
      </c>
      <c r="O8" s="9" t="s">
        <v>97</v>
      </c>
      <c r="P8" s="9" t="s">
        <v>67</v>
      </c>
      <c r="Q8" s="9" t="s">
        <v>98</v>
      </c>
      <c r="R8" s="9" t="s">
        <v>347</v>
      </c>
      <c r="S8" s="9" t="s">
        <v>348</v>
      </c>
      <c r="T8" s="9" t="s">
        <v>818</v>
      </c>
      <c r="U8" s="9" t="s">
        <v>67</v>
      </c>
      <c r="V8" s="9" t="s">
        <v>130</v>
      </c>
      <c r="W8" s="9" t="s">
        <v>131</v>
      </c>
      <c r="X8" s="11">
        <v>20</v>
      </c>
      <c r="Y8" s="9" t="s">
        <v>148</v>
      </c>
      <c r="Z8" s="9" t="s">
        <v>68</v>
      </c>
      <c r="AA8" s="9" t="s">
        <v>149</v>
      </c>
      <c r="AB8" s="9" t="s">
        <v>67</v>
      </c>
      <c r="AC8" s="9" t="s">
        <v>69</v>
      </c>
      <c r="AD8" s="11">
        <v>2</v>
      </c>
      <c r="AE8" s="9" t="s">
        <v>70</v>
      </c>
      <c r="AF8" s="9" t="s">
        <v>71</v>
      </c>
      <c r="AG8" s="13">
        <v>1</v>
      </c>
      <c r="AH8" s="9" t="s">
        <v>92</v>
      </c>
      <c r="AI8" s="13">
        <v>7298800</v>
      </c>
      <c r="AJ8" s="13">
        <v>14597600</v>
      </c>
      <c r="AK8" s="11">
        <v>0</v>
      </c>
      <c r="AL8" s="11">
        <v>0</v>
      </c>
      <c r="AM8" s="11">
        <v>0</v>
      </c>
      <c r="AN8" s="9" t="s">
        <v>67</v>
      </c>
      <c r="AO8" s="11">
        <v>14597600</v>
      </c>
      <c r="AP8" s="13">
        <v>1167808</v>
      </c>
      <c r="AQ8" s="13">
        <v>15765408</v>
      </c>
      <c r="AR8" s="11">
        <v>360</v>
      </c>
      <c r="AS8" s="9" t="s">
        <v>72</v>
      </c>
      <c r="AT8" s="11">
        <v>400</v>
      </c>
      <c r="AU8" s="9" t="s">
        <v>73</v>
      </c>
      <c r="AV8" s="9" t="s">
        <v>67</v>
      </c>
      <c r="AW8" s="9" t="s">
        <v>940</v>
      </c>
      <c r="AX8" s="10">
        <v>45972</v>
      </c>
      <c r="AY8" s="9" t="s">
        <v>970</v>
      </c>
      <c r="AZ8" s="9" t="s">
        <v>67</v>
      </c>
      <c r="BA8" s="9" t="s">
        <v>67</v>
      </c>
      <c r="BB8" s="12">
        <v>400</v>
      </c>
      <c r="BC8" s="9" t="s">
        <v>74</v>
      </c>
      <c r="BD8" s="9" t="s">
        <v>104</v>
      </c>
      <c r="BE8" s="9" t="s">
        <v>75</v>
      </c>
      <c r="BF8" s="11">
        <v>0</v>
      </c>
      <c r="BG8">
        <f t="shared" si="2"/>
        <v>12</v>
      </c>
      <c r="BH8" t="str">
        <f>VLOOKUP(BG8,[1]month!$A:$B,2,0)</f>
        <v>Desember</v>
      </c>
      <c r="BI8">
        <f t="shared" si="3"/>
        <v>2025</v>
      </c>
      <c r="BJ8" t="str">
        <f>VLOOKUP(I8,[1]Dist!$A:$B,2,0)</f>
        <v>Industry</v>
      </c>
      <c r="BK8" t="str">
        <f>IF(I8=11,VLOOKUP(Y8,[2]Sheet1!$C:$N,10,0),IF(I8=13,VLOOKUP(Y8,[3]Sheet1!$C:$N,10,0),IF(I8=15,VLOOKUP(Y8,[4]Sheet1!$C:$N,10,0),"Unknown")))</f>
        <v>THINNER NC</v>
      </c>
      <c r="BL8" t="str">
        <f>IF(I8=11,VLOOKUP(Y8,[2]Sheet1!$C:$N,12,0),IF(I8=13,VLOOKUP(Y8,[3]Sheet1!$C:$N,12,0),IF(I8=15,VLOOKUP(Y8,[4]Sheet1!$C:$N,12,0),"Unknown")))</f>
        <v>THINNER NC</v>
      </c>
      <c r="BM8" t="str">
        <f>VLOOKUP(W8,[1]branch!$A:$B,2,0)</f>
        <v>INDUSTRY</v>
      </c>
    </row>
    <row r="9" spans="1:65" x14ac:dyDescent="0.35">
      <c r="A9" s="10">
        <v>45992</v>
      </c>
      <c r="B9" s="9" t="s">
        <v>971</v>
      </c>
      <c r="C9" s="9" t="s">
        <v>64</v>
      </c>
      <c r="D9" s="9" t="s">
        <v>92</v>
      </c>
      <c r="E9" s="11">
        <v>60</v>
      </c>
      <c r="F9" s="9" t="s">
        <v>93</v>
      </c>
      <c r="G9" s="9" t="s">
        <v>65</v>
      </c>
      <c r="H9" s="9" t="s">
        <v>66</v>
      </c>
      <c r="I9" s="9">
        <v>11</v>
      </c>
      <c r="J9" s="9" t="s">
        <v>347</v>
      </c>
      <c r="K9" s="9" t="s">
        <v>347</v>
      </c>
      <c r="L9" s="9" t="s">
        <v>347</v>
      </c>
      <c r="M9" s="9" t="s">
        <v>348</v>
      </c>
      <c r="N9" s="9" t="s">
        <v>866</v>
      </c>
      <c r="O9" s="9" t="s">
        <v>97</v>
      </c>
      <c r="P9" s="9" t="s">
        <v>67</v>
      </c>
      <c r="Q9" s="9" t="s">
        <v>98</v>
      </c>
      <c r="R9" s="9" t="s">
        <v>347</v>
      </c>
      <c r="S9" s="9" t="s">
        <v>348</v>
      </c>
      <c r="T9" s="9" t="s">
        <v>818</v>
      </c>
      <c r="U9" s="9" t="s">
        <v>67</v>
      </c>
      <c r="V9" s="9" t="s">
        <v>130</v>
      </c>
      <c r="W9" s="9" t="s">
        <v>131</v>
      </c>
      <c r="X9" s="11">
        <v>10</v>
      </c>
      <c r="Y9" s="9" t="s">
        <v>721</v>
      </c>
      <c r="Z9" s="9" t="s">
        <v>68</v>
      </c>
      <c r="AA9" s="9" t="s">
        <v>722</v>
      </c>
      <c r="AB9" s="9" t="s">
        <v>67</v>
      </c>
      <c r="AC9" s="9" t="s">
        <v>120</v>
      </c>
      <c r="AD9" s="11">
        <v>5</v>
      </c>
      <c r="AE9" s="9" t="s">
        <v>70</v>
      </c>
      <c r="AF9" s="9" t="s">
        <v>71</v>
      </c>
      <c r="AG9" s="13">
        <v>1</v>
      </c>
      <c r="AH9" s="9" t="s">
        <v>92</v>
      </c>
      <c r="AI9" s="13">
        <v>6821800</v>
      </c>
      <c r="AJ9" s="13">
        <v>34109000</v>
      </c>
      <c r="AK9" s="11">
        <v>0</v>
      </c>
      <c r="AL9" s="11">
        <v>0</v>
      </c>
      <c r="AM9" s="11">
        <v>0</v>
      </c>
      <c r="AN9" s="9" t="s">
        <v>67</v>
      </c>
      <c r="AO9" s="11">
        <v>34109000</v>
      </c>
      <c r="AP9" s="13">
        <v>2728720</v>
      </c>
      <c r="AQ9" s="13">
        <v>36837720</v>
      </c>
      <c r="AR9" s="11">
        <v>940</v>
      </c>
      <c r="AS9" s="9" t="s">
        <v>72</v>
      </c>
      <c r="AT9" s="11">
        <v>1000</v>
      </c>
      <c r="AU9" s="9" t="s">
        <v>73</v>
      </c>
      <c r="AV9" s="9" t="s">
        <v>67</v>
      </c>
      <c r="AW9" s="9" t="s">
        <v>941</v>
      </c>
      <c r="AX9" s="10">
        <v>45975</v>
      </c>
      <c r="AY9" s="9" t="s">
        <v>972</v>
      </c>
      <c r="AZ9" s="9" t="s">
        <v>67</v>
      </c>
      <c r="BA9" s="9" t="s">
        <v>67</v>
      </c>
      <c r="BB9" s="12">
        <v>1000</v>
      </c>
      <c r="BC9" s="9" t="s">
        <v>74</v>
      </c>
      <c r="BD9" s="9" t="s">
        <v>104</v>
      </c>
      <c r="BE9" s="9" t="s">
        <v>75</v>
      </c>
      <c r="BF9" s="11">
        <v>0</v>
      </c>
      <c r="BG9">
        <f t="shared" si="2"/>
        <v>12</v>
      </c>
      <c r="BH9" t="str">
        <f>VLOOKUP(BG9,[1]month!$A:$B,2,0)</f>
        <v>Desember</v>
      </c>
      <c r="BI9">
        <f t="shared" si="3"/>
        <v>2025</v>
      </c>
      <c r="BJ9" t="str">
        <f>VLOOKUP(I9,[1]Dist!$A:$B,2,0)</f>
        <v>Industry</v>
      </c>
      <c r="BK9" t="str">
        <f>IF(I9=11,VLOOKUP(Y9,[2]Sheet1!$C:$N,10,0),IF(I9=13,VLOOKUP(Y9,[3]Sheet1!$C:$N,10,0),IF(I9=15,VLOOKUP(Y9,[4]Sheet1!$C:$N,10,0),"Unknown")))</f>
        <v>THINNER PU</v>
      </c>
      <c r="BL9" t="str">
        <f>IF(I9=11,VLOOKUP(Y9,[2]Sheet1!$C:$N,12,0),IF(I9=13,VLOOKUP(Y9,[3]Sheet1!$C:$N,12,0),IF(I9=15,VLOOKUP(Y9,[4]Sheet1!$C:$N,12,0),"Unknown")))</f>
        <v>THINNER PU</v>
      </c>
      <c r="BM9" t="str">
        <f>VLOOKUP(W9,[1]branch!$A:$B,2,0)</f>
        <v>INDUSTRY</v>
      </c>
    </row>
    <row r="10" spans="1:65" x14ac:dyDescent="0.35">
      <c r="A10" s="10">
        <v>45992</v>
      </c>
      <c r="B10" s="9" t="s">
        <v>971</v>
      </c>
      <c r="C10" s="9" t="s">
        <v>64</v>
      </c>
      <c r="D10" s="9" t="s">
        <v>92</v>
      </c>
      <c r="E10" s="11">
        <v>60</v>
      </c>
      <c r="F10" s="9" t="s">
        <v>93</v>
      </c>
      <c r="G10" s="9" t="s">
        <v>65</v>
      </c>
      <c r="H10" s="9" t="s">
        <v>66</v>
      </c>
      <c r="I10" s="9">
        <v>11</v>
      </c>
      <c r="J10" s="9" t="s">
        <v>347</v>
      </c>
      <c r="K10" s="9" t="s">
        <v>347</v>
      </c>
      <c r="L10" s="9" t="s">
        <v>347</v>
      </c>
      <c r="M10" s="9" t="s">
        <v>348</v>
      </c>
      <c r="N10" s="9" t="s">
        <v>866</v>
      </c>
      <c r="O10" s="9" t="s">
        <v>97</v>
      </c>
      <c r="P10" s="9" t="s">
        <v>67</v>
      </c>
      <c r="Q10" s="9" t="s">
        <v>98</v>
      </c>
      <c r="R10" s="9" t="s">
        <v>347</v>
      </c>
      <c r="S10" s="9" t="s">
        <v>348</v>
      </c>
      <c r="T10" s="9" t="s">
        <v>818</v>
      </c>
      <c r="U10" s="9" t="s">
        <v>67</v>
      </c>
      <c r="V10" s="9" t="s">
        <v>130</v>
      </c>
      <c r="W10" s="9" t="s">
        <v>131</v>
      </c>
      <c r="X10" s="11">
        <v>40</v>
      </c>
      <c r="Y10" s="9" t="s">
        <v>355</v>
      </c>
      <c r="Z10" s="9" t="s">
        <v>68</v>
      </c>
      <c r="AA10" s="9" t="s">
        <v>356</v>
      </c>
      <c r="AB10" s="9" t="s">
        <v>67</v>
      </c>
      <c r="AC10" s="9" t="s">
        <v>357</v>
      </c>
      <c r="AD10" s="11">
        <v>1</v>
      </c>
      <c r="AE10" s="9" t="s">
        <v>70</v>
      </c>
      <c r="AF10" s="9" t="s">
        <v>71</v>
      </c>
      <c r="AG10" s="13">
        <v>1</v>
      </c>
      <c r="AH10" s="9" t="s">
        <v>92</v>
      </c>
      <c r="AI10" s="13">
        <v>11402000</v>
      </c>
      <c r="AJ10" s="13">
        <v>11402000</v>
      </c>
      <c r="AK10" s="11">
        <v>0</v>
      </c>
      <c r="AL10" s="11">
        <v>0</v>
      </c>
      <c r="AM10" s="11">
        <v>0</v>
      </c>
      <c r="AN10" s="9" t="s">
        <v>67</v>
      </c>
      <c r="AO10" s="11">
        <v>11402000</v>
      </c>
      <c r="AP10" s="13">
        <v>912160</v>
      </c>
      <c r="AQ10" s="13">
        <v>12314160</v>
      </c>
      <c r="AR10" s="11">
        <v>198</v>
      </c>
      <c r="AS10" s="9" t="s">
        <v>72</v>
      </c>
      <c r="AT10" s="11">
        <v>200</v>
      </c>
      <c r="AU10" s="9" t="s">
        <v>73</v>
      </c>
      <c r="AV10" s="9" t="s">
        <v>67</v>
      </c>
      <c r="AW10" s="9" t="s">
        <v>941</v>
      </c>
      <c r="AX10" s="10">
        <v>45975</v>
      </c>
      <c r="AY10" s="9" t="s">
        <v>972</v>
      </c>
      <c r="AZ10" s="9" t="s">
        <v>67</v>
      </c>
      <c r="BA10" s="9" t="s">
        <v>67</v>
      </c>
      <c r="BB10" s="12">
        <v>200</v>
      </c>
      <c r="BC10" s="9" t="s">
        <v>74</v>
      </c>
      <c r="BD10" s="9" t="s">
        <v>104</v>
      </c>
      <c r="BE10" s="9" t="s">
        <v>75</v>
      </c>
      <c r="BF10" s="11">
        <v>0</v>
      </c>
      <c r="BG10">
        <f t="shared" si="2"/>
        <v>12</v>
      </c>
      <c r="BH10" t="str">
        <f>VLOOKUP(BG10,[1]month!$A:$B,2,0)</f>
        <v>Desember</v>
      </c>
      <c r="BI10">
        <f t="shared" si="3"/>
        <v>2025</v>
      </c>
      <c r="BJ10" t="str">
        <f>VLOOKUP(I10,[1]Dist!$A:$B,2,0)</f>
        <v>Industry</v>
      </c>
      <c r="BK10" t="str">
        <f>IF(I10=11,VLOOKUP(Y10,[2]Sheet1!$C:$N,10,0),IF(I10=13,VLOOKUP(Y10,[3]Sheet1!$C:$N,10,0),IF(I10=15,VLOOKUP(Y10,[4]Sheet1!$C:$N,10,0),"Unknown")))</f>
        <v>NC</v>
      </c>
      <c r="BL10" t="str">
        <f>IF(I10=11,VLOOKUP(Y10,[2]Sheet1!$C:$N,12,0),IF(I10=13,VLOOKUP(Y10,[3]Sheet1!$C:$N,12,0),IF(I10=15,VLOOKUP(Y10,[4]Sheet1!$C:$N,12,0),"Unknown")))</f>
        <v>NC SYSTEM</v>
      </c>
      <c r="BM10" t="str">
        <f>VLOOKUP(W10,[1]branch!$A:$B,2,0)</f>
        <v>INDUSTRY</v>
      </c>
    </row>
    <row r="11" spans="1:65" x14ac:dyDescent="0.35">
      <c r="A11" s="10">
        <v>45992</v>
      </c>
      <c r="B11" s="9" t="s">
        <v>971</v>
      </c>
      <c r="C11" s="9" t="s">
        <v>64</v>
      </c>
      <c r="D11" s="9" t="s">
        <v>92</v>
      </c>
      <c r="E11" s="11">
        <v>60</v>
      </c>
      <c r="F11" s="9" t="s">
        <v>93</v>
      </c>
      <c r="G11" s="9" t="s">
        <v>65</v>
      </c>
      <c r="H11" s="9" t="s">
        <v>66</v>
      </c>
      <c r="I11" s="9">
        <v>11</v>
      </c>
      <c r="J11" s="9" t="s">
        <v>347</v>
      </c>
      <c r="K11" s="9" t="s">
        <v>347</v>
      </c>
      <c r="L11" s="9" t="s">
        <v>347</v>
      </c>
      <c r="M11" s="9" t="s">
        <v>348</v>
      </c>
      <c r="N11" s="9" t="s">
        <v>866</v>
      </c>
      <c r="O11" s="9" t="s">
        <v>97</v>
      </c>
      <c r="P11" s="9" t="s">
        <v>67</v>
      </c>
      <c r="Q11" s="9" t="s">
        <v>98</v>
      </c>
      <c r="R11" s="9" t="s">
        <v>347</v>
      </c>
      <c r="S11" s="9" t="s">
        <v>348</v>
      </c>
      <c r="T11" s="9" t="s">
        <v>818</v>
      </c>
      <c r="U11" s="9" t="s">
        <v>67</v>
      </c>
      <c r="V11" s="9" t="s">
        <v>130</v>
      </c>
      <c r="W11" s="9" t="s">
        <v>131</v>
      </c>
      <c r="X11" s="11">
        <v>50</v>
      </c>
      <c r="Y11" s="9" t="s">
        <v>428</v>
      </c>
      <c r="Z11" s="9" t="s">
        <v>68</v>
      </c>
      <c r="AA11" s="9" t="s">
        <v>429</v>
      </c>
      <c r="AB11" s="9" t="s">
        <v>67</v>
      </c>
      <c r="AC11" s="9" t="s">
        <v>430</v>
      </c>
      <c r="AD11" s="11">
        <v>2</v>
      </c>
      <c r="AE11" s="9" t="s">
        <v>70</v>
      </c>
      <c r="AF11" s="9" t="s">
        <v>71</v>
      </c>
      <c r="AG11" s="13">
        <v>1</v>
      </c>
      <c r="AH11" s="9" t="s">
        <v>92</v>
      </c>
      <c r="AI11" s="13">
        <v>7109800</v>
      </c>
      <c r="AJ11" s="13">
        <v>14219600</v>
      </c>
      <c r="AK11" s="11">
        <v>0</v>
      </c>
      <c r="AL11" s="11">
        <v>0</v>
      </c>
      <c r="AM11" s="11">
        <v>0</v>
      </c>
      <c r="AN11" s="9" t="s">
        <v>67</v>
      </c>
      <c r="AO11" s="11">
        <v>14219600</v>
      </c>
      <c r="AP11" s="13">
        <v>1137568</v>
      </c>
      <c r="AQ11" s="13">
        <v>15357168</v>
      </c>
      <c r="AR11" s="11">
        <v>39</v>
      </c>
      <c r="AS11" s="9" t="s">
        <v>72</v>
      </c>
      <c r="AT11" s="11">
        <v>40</v>
      </c>
      <c r="AU11" s="9" t="s">
        <v>73</v>
      </c>
      <c r="AV11" s="9" t="s">
        <v>67</v>
      </c>
      <c r="AW11" s="9" t="s">
        <v>941</v>
      </c>
      <c r="AX11" s="10">
        <v>45975</v>
      </c>
      <c r="AY11" s="9" t="s">
        <v>972</v>
      </c>
      <c r="AZ11" s="9" t="s">
        <v>67</v>
      </c>
      <c r="BA11" s="9" t="s">
        <v>67</v>
      </c>
      <c r="BB11" s="12">
        <v>40</v>
      </c>
      <c r="BC11" s="9" t="s">
        <v>74</v>
      </c>
      <c r="BD11" s="9" t="s">
        <v>104</v>
      </c>
      <c r="BE11" s="9" t="s">
        <v>75</v>
      </c>
      <c r="BF11" s="11">
        <v>0</v>
      </c>
      <c r="BG11">
        <f t="shared" si="2"/>
        <v>12</v>
      </c>
      <c r="BH11" t="str">
        <f>VLOOKUP(BG11,[1]month!$A:$B,2,0)</f>
        <v>Desember</v>
      </c>
      <c r="BI11">
        <f t="shared" si="3"/>
        <v>2025</v>
      </c>
      <c r="BJ11" t="str">
        <f>VLOOKUP(I11,[1]Dist!$A:$B,2,0)</f>
        <v>Industry</v>
      </c>
      <c r="BK11" t="str">
        <f>IF(I11=11,VLOOKUP(Y11,[2]Sheet1!$C:$N,10,0),IF(I11=13,VLOOKUP(Y11,[3]Sheet1!$C:$N,10,0),IF(I11=15,VLOOKUP(Y11,[4]Sheet1!$C:$N,10,0),"Unknown")))</f>
        <v>ALKYD OIL</v>
      </c>
      <c r="BL11" t="str">
        <f>IF(I11=11,VLOOKUP(Y11,[2]Sheet1!$C:$N,12,0),IF(I11=13,VLOOKUP(Y11,[3]Sheet1!$C:$N,12,0),IF(I11=15,VLOOKUP(Y11,[4]Sheet1!$C:$N,12,0),"Unknown")))</f>
        <v>ALKYD &amp; OIL SYSTEM</v>
      </c>
      <c r="BM11" t="str">
        <f>VLOOKUP(W11,[1]branch!$A:$B,2,0)</f>
        <v>INDUSTRY</v>
      </c>
    </row>
    <row r="12" spans="1:65" x14ac:dyDescent="0.35">
      <c r="A12" s="10">
        <v>45992</v>
      </c>
      <c r="B12" s="9" t="s">
        <v>973</v>
      </c>
      <c r="C12" s="9" t="s">
        <v>64</v>
      </c>
      <c r="D12" s="9" t="s">
        <v>92</v>
      </c>
      <c r="E12" s="11">
        <v>60</v>
      </c>
      <c r="F12" s="9" t="s">
        <v>93</v>
      </c>
      <c r="G12" s="9" t="s">
        <v>65</v>
      </c>
      <c r="H12" s="9" t="s">
        <v>66</v>
      </c>
      <c r="I12" s="9">
        <v>11</v>
      </c>
      <c r="J12" s="9" t="s">
        <v>347</v>
      </c>
      <c r="K12" s="9" t="s">
        <v>347</v>
      </c>
      <c r="L12" s="9" t="s">
        <v>347</v>
      </c>
      <c r="M12" s="9" t="s">
        <v>348</v>
      </c>
      <c r="N12" s="9" t="s">
        <v>866</v>
      </c>
      <c r="O12" s="9" t="s">
        <v>97</v>
      </c>
      <c r="P12" s="9" t="s">
        <v>67</v>
      </c>
      <c r="Q12" s="9" t="s">
        <v>98</v>
      </c>
      <c r="R12" s="9" t="s">
        <v>347</v>
      </c>
      <c r="S12" s="9" t="s">
        <v>348</v>
      </c>
      <c r="T12" s="9" t="s">
        <v>818</v>
      </c>
      <c r="U12" s="9" t="s">
        <v>67</v>
      </c>
      <c r="V12" s="9" t="s">
        <v>130</v>
      </c>
      <c r="W12" s="9" t="s">
        <v>131</v>
      </c>
      <c r="X12" s="11">
        <v>10</v>
      </c>
      <c r="Y12" s="9" t="s">
        <v>148</v>
      </c>
      <c r="Z12" s="9" t="s">
        <v>68</v>
      </c>
      <c r="AA12" s="9" t="s">
        <v>149</v>
      </c>
      <c r="AB12" s="9" t="s">
        <v>67</v>
      </c>
      <c r="AC12" s="9" t="s">
        <v>69</v>
      </c>
      <c r="AD12" s="11">
        <v>4</v>
      </c>
      <c r="AE12" s="9" t="s">
        <v>70</v>
      </c>
      <c r="AF12" s="9" t="s">
        <v>71</v>
      </c>
      <c r="AG12" s="13">
        <v>1</v>
      </c>
      <c r="AH12" s="9" t="s">
        <v>92</v>
      </c>
      <c r="AI12" s="13">
        <v>7298800</v>
      </c>
      <c r="AJ12" s="13">
        <v>29195200</v>
      </c>
      <c r="AK12" s="11">
        <v>0</v>
      </c>
      <c r="AL12" s="11">
        <v>0</v>
      </c>
      <c r="AM12" s="11">
        <v>0</v>
      </c>
      <c r="AN12" s="9" t="s">
        <v>67</v>
      </c>
      <c r="AO12" s="11">
        <v>29195200</v>
      </c>
      <c r="AP12" s="13">
        <v>2335616</v>
      </c>
      <c r="AQ12" s="13">
        <v>31530816</v>
      </c>
      <c r="AR12" s="11">
        <v>720</v>
      </c>
      <c r="AS12" s="9" t="s">
        <v>72</v>
      </c>
      <c r="AT12" s="11">
        <v>800</v>
      </c>
      <c r="AU12" s="9" t="s">
        <v>73</v>
      </c>
      <c r="AV12" s="9" t="s">
        <v>67</v>
      </c>
      <c r="AW12" s="9" t="s">
        <v>946</v>
      </c>
      <c r="AX12" s="10">
        <v>45982</v>
      </c>
      <c r="AY12" s="9" t="s">
        <v>974</v>
      </c>
      <c r="AZ12" s="9" t="s">
        <v>67</v>
      </c>
      <c r="BA12" s="9" t="s">
        <v>67</v>
      </c>
      <c r="BB12" s="12">
        <v>800</v>
      </c>
      <c r="BC12" s="9" t="s">
        <v>74</v>
      </c>
      <c r="BD12" s="9" t="s">
        <v>104</v>
      </c>
      <c r="BE12" s="9" t="s">
        <v>75</v>
      </c>
      <c r="BF12" s="11">
        <v>0</v>
      </c>
      <c r="BG12">
        <f t="shared" si="2"/>
        <v>12</v>
      </c>
      <c r="BH12" t="str">
        <f>VLOOKUP(BG12,[1]month!$A:$B,2,0)</f>
        <v>Desember</v>
      </c>
      <c r="BI12">
        <f t="shared" si="3"/>
        <v>2025</v>
      </c>
      <c r="BJ12" t="str">
        <f>VLOOKUP(I12,[1]Dist!$A:$B,2,0)</f>
        <v>Industry</v>
      </c>
      <c r="BK12" t="str">
        <f>IF(I12=11,VLOOKUP(Y12,[2]Sheet1!$C:$N,10,0),IF(I12=13,VLOOKUP(Y12,[3]Sheet1!$C:$N,10,0),IF(I12=15,VLOOKUP(Y12,[4]Sheet1!$C:$N,10,0),"Unknown")))</f>
        <v>THINNER NC</v>
      </c>
      <c r="BL12" t="str">
        <f>IF(I12=11,VLOOKUP(Y12,[2]Sheet1!$C:$N,12,0),IF(I12=13,VLOOKUP(Y12,[3]Sheet1!$C:$N,12,0),IF(I12=15,VLOOKUP(Y12,[4]Sheet1!$C:$N,12,0),"Unknown")))</f>
        <v>THINNER NC</v>
      </c>
      <c r="BM12" t="str">
        <f>VLOOKUP(W12,[1]branch!$A:$B,2,0)</f>
        <v>INDUSTRY</v>
      </c>
    </row>
    <row r="13" spans="1:65" x14ac:dyDescent="0.35">
      <c r="A13" s="10">
        <v>45992</v>
      </c>
      <c r="B13" s="9" t="s">
        <v>973</v>
      </c>
      <c r="C13" s="9" t="s">
        <v>64</v>
      </c>
      <c r="D13" s="9" t="s">
        <v>92</v>
      </c>
      <c r="E13" s="11">
        <v>60</v>
      </c>
      <c r="F13" s="9" t="s">
        <v>93</v>
      </c>
      <c r="G13" s="9" t="s">
        <v>65</v>
      </c>
      <c r="H13" s="9" t="s">
        <v>66</v>
      </c>
      <c r="I13" s="9">
        <v>11</v>
      </c>
      <c r="J13" s="9" t="s">
        <v>347</v>
      </c>
      <c r="K13" s="9" t="s">
        <v>347</v>
      </c>
      <c r="L13" s="9" t="s">
        <v>347</v>
      </c>
      <c r="M13" s="9" t="s">
        <v>348</v>
      </c>
      <c r="N13" s="9" t="s">
        <v>866</v>
      </c>
      <c r="O13" s="9" t="s">
        <v>97</v>
      </c>
      <c r="P13" s="9" t="s">
        <v>67</v>
      </c>
      <c r="Q13" s="9" t="s">
        <v>98</v>
      </c>
      <c r="R13" s="9" t="s">
        <v>347</v>
      </c>
      <c r="S13" s="9" t="s">
        <v>348</v>
      </c>
      <c r="T13" s="9" t="s">
        <v>818</v>
      </c>
      <c r="U13" s="9" t="s">
        <v>67</v>
      </c>
      <c r="V13" s="9" t="s">
        <v>130</v>
      </c>
      <c r="W13" s="9" t="s">
        <v>131</v>
      </c>
      <c r="X13" s="11">
        <v>20</v>
      </c>
      <c r="Y13" s="9" t="s">
        <v>587</v>
      </c>
      <c r="Z13" s="9" t="s">
        <v>68</v>
      </c>
      <c r="AA13" s="9" t="s">
        <v>588</v>
      </c>
      <c r="AB13" s="9" t="s">
        <v>67</v>
      </c>
      <c r="AC13" s="9" t="s">
        <v>373</v>
      </c>
      <c r="AD13" s="11">
        <v>5</v>
      </c>
      <c r="AE13" s="9" t="s">
        <v>70</v>
      </c>
      <c r="AF13" s="9" t="s">
        <v>71</v>
      </c>
      <c r="AG13" s="13">
        <v>1</v>
      </c>
      <c r="AH13" s="9" t="s">
        <v>92</v>
      </c>
      <c r="AI13" s="13">
        <v>1462120</v>
      </c>
      <c r="AJ13" s="13">
        <v>7310600</v>
      </c>
      <c r="AK13" s="11">
        <v>0</v>
      </c>
      <c r="AL13" s="11">
        <v>0</v>
      </c>
      <c r="AM13" s="11">
        <v>0</v>
      </c>
      <c r="AN13" s="9" t="s">
        <v>67</v>
      </c>
      <c r="AO13" s="11">
        <v>7310600</v>
      </c>
      <c r="AP13" s="13">
        <v>584848</v>
      </c>
      <c r="AQ13" s="13">
        <v>7895448</v>
      </c>
      <c r="AR13" s="11">
        <v>20</v>
      </c>
      <c r="AS13" s="9" t="s">
        <v>72</v>
      </c>
      <c r="AT13" s="12">
        <v>18.7</v>
      </c>
      <c r="AU13" s="9" t="s">
        <v>73</v>
      </c>
      <c r="AV13" s="9" t="s">
        <v>67</v>
      </c>
      <c r="AW13" s="9" t="s">
        <v>946</v>
      </c>
      <c r="AX13" s="10">
        <v>45982</v>
      </c>
      <c r="AY13" s="9" t="s">
        <v>974</v>
      </c>
      <c r="AZ13" s="9" t="s">
        <v>67</v>
      </c>
      <c r="BA13" s="9" t="s">
        <v>67</v>
      </c>
      <c r="BB13" s="12">
        <v>20</v>
      </c>
      <c r="BC13" s="9" t="s">
        <v>74</v>
      </c>
      <c r="BD13" s="9" t="s">
        <v>104</v>
      </c>
      <c r="BE13" s="9" t="s">
        <v>75</v>
      </c>
      <c r="BF13" s="11">
        <v>0</v>
      </c>
      <c r="BG13">
        <f t="shared" si="2"/>
        <v>12</v>
      </c>
      <c r="BH13" t="str">
        <f>VLOOKUP(BG13,[1]month!$A:$B,2,0)</f>
        <v>Desember</v>
      </c>
      <c r="BI13">
        <f t="shared" si="3"/>
        <v>2025</v>
      </c>
      <c r="BJ13" t="str">
        <f>VLOOKUP(I13,[1]Dist!$A:$B,2,0)</f>
        <v>Industry</v>
      </c>
      <c r="BK13" t="str">
        <f>IF(I13=11,VLOOKUP(Y13,[2]Sheet1!$C:$N,10,0),IF(I13=13,VLOOKUP(Y13,[3]Sheet1!$C:$N,10,0),IF(I13=15,VLOOKUP(Y13,[4]Sheet1!$C:$N,10,0),"Unknown")))</f>
        <v>STAIN &amp; GLAZE INTERIOR</v>
      </c>
      <c r="BL13" t="str">
        <f>IF(I13=11,VLOOKUP(Y13,[2]Sheet1!$C:$N,12,0),IF(I13=13,VLOOKUP(Y13,[3]Sheet1!$C:$N,12,0),IF(I13=15,VLOOKUP(Y13,[4]Sheet1!$C:$N,12,0),"Unknown")))</f>
        <v>STAIN INTERIOR</v>
      </c>
      <c r="BM13" t="str">
        <f>VLOOKUP(W13,[1]branch!$A:$B,2,0)</f>
        <v>INDUSTRY</v>
      </c>
    </row>
    <row r="14" spans="1:65" x14ac:dyDescent="0.35">
      <c r="A14" s="10">
        <v>45992</v>
      </c>
      <c r="B14" s="9" t="s">
        <v>973</v>
      </c>
      <c r="C14" s="9" t="s">
        <v>64</v>
      </c>
      <c r="D14" s="9" t="s">
        <v>92</v>
      </c>
      <c r="E14" s="11">
        <v>60</v>
      </c>
      <c r="F14" s="9" t="s">
        <v>93</v>
      </c>
      <c r="G14" s="9" t="s">
        <v>65</v>
      </c>
      <c r="H14" s="9" t="s">
        <v>66</v>
      </c>
      <c r="I14" s="9">
        <v>11</v>
      </c>
      <c r="J14" s="9" t="s">
        <v>347</v>
      </c>
      <c r="K14" s="9" t="s">
        <v>347</v>
      </c>
      <c r="L14" s="9" t="s">
        <v>347</v>
      </c>
      <c r="M14" s="9" t="s">
        <v>348</v>
      </c>
      <c r="N14" s="9" t="s">
        <v>866</v>
      </c>
      <c r="O14" s="9" t="s">
        <v>97</v>
      </c>
      <c r="P14" s="9" t="s">
        <v>67</v>
      </c>
      <c r="Q14" s="9" t="s">
        <v>98</v>
      </c>
      <c r="R14" s="9" t="s">
        <v>347</v>
      </c>
      <c r="S14" s="9" t="s">
        <v>348</v>
      </c>
      <c r="T14" s="9" t="s">
        <v>818</v>
      </c>
      <c r="U14" s="9" t="s">
        <v>67</v>
      </c>
      <c r="V14" s="9" t="s">
        <v>130</v>
      </c>
      <c r="W14" s="9" t="s">
        <v>131</v>
      </c>
      <c r="X14" s="11">
        <v>40</v>
      </c>
      <c r="Y14" s="9" t="s">
        <v>815</v>
      </c>
      <c r="Z14" s="9" t="s">
        <v>68</v>
      </c>
      <c r="AA14" s="9" t="s">
        <v>816</v>
      </c>
      <c r="AB14" s="9" t="s">
        <v>67</v>
      </c>
      <c r="AC14" s="9" t="s">
        <v>367</v>
      </c>
      <c r="AD14" s="11">
        <v>10</v>
      </c>
      <c r="AE14" s="9" t="s">
        <v>70</v>
      </c>
      <c r="AF14" s="9" t="s">
        <v>71</v>
      </c>
      <c r="AG14" s="13">
        <v>1</v>
      </c>
      <c r="AH14" s="9" t="s">
        <v>92</v>
      </c>
      <c r="AI14" s="13">
        <v>1836000</v>
      </c>
      <c r="AJ14" s="13">
        <v>18360000</v>
      </c>
      <c r="AK14" s="11">
        <v>0</v>
      </c>
      <c r="AL14" s="11">
        <v>0</v>
      </c>
      <c r="AM14" s="11">
        <v>0</v>
      </c>
      <c r="AN14" s="9" t="s">
        <v>67</v>
      </c>
      <c r="AO14" s="11">
        <v>18360000</v>
      </c>
      <c r="AP14" s="13">
        <v>1468800</v>
      </c>
      <c r="AQ14" s="13">
        <v>19828800</v>
      </c>
      <c r="AR14" s="11">
        <v>180</v>
      </c>
      <c r="AS14" s="9" t="s">
        <v>72</v>
      </c>
      <c r="AT14" s="12">
        <v>174.76</v>
      </c>
      <c r="AU14" s="9" t="s">
        <v>73</v>
      </c>
      <c r="AV14" s="9" t="s">
        <v>67</v>
      </c>
      <c r="AW14" s="9" t="s">
        <v>946</v>
      </c>
      <c r="AX14" s="10">
        <v>45982</v>
      </c>
      <c r="AY14" s="9" t="s">
        <v>974</v>
      </c>
      <c r="AZ14" s="9" t="s">
        <v>67</v>
      </c>
      <c r="BA14" s="9" t="s">
        <v>67</v>
      </c>
      <c r="BB14" s="12">
        <v>180</v>
      </c>
      <c r="BC14" s="9" t="s">
        <v>74</v>
      </c>
      <c r="BD14" s="9" t="s">
        <v>104</v>
      </c>
      <c r="BE14" s="9" t="s">
        <v>75</v>
      </c>
      <c r="BF14" s="11">
        <v>0</v>
      </c>
      <c r="BG14">
        <f t="shared" si="2"/>
        <v>12</v>
      </c>
      <c r="BH14" t="str">
        <f>VLOOKUP(BG14,[1]month!$A:$B,2,0)</f>
        <v>Desember</v>
      </c>
      <c r="BI14">
        <f t="shared" si="3"/>
        <v>2025</v>
      </c>
      <c r="BJ14" t="str">
        <f>VLOOKUP(I14,[1]Dist!$A:$B,2,0)</f>
        <v>Industry</v>
      </c>
      <c r="BK14" t="str">
        <f>IF(I14=11,VLOOKUP(Y14,[2]Sheet1!$C:$N,10,0),IF(I14=13,VLOOKUP(Y14,[3]Sheet1!$C:$N,10,0),IF(I14=15,VLOOKUP(Y14,[4]Sheet1!$C:$N,10,0),"Unknown")))</f>
        <v>NC</v>
      </c>
      <c r="BL14" t="str">
        <f>IF(I14=11,VLOOKUP(Y14,[2]Sheet1!$C:$N,12,0),IF(I14=13,VLOOKUP(Y14,[3]Sheet1!$C:$N,12,0),IF(I14=15,VLOOKUP(Y14,[4]Sheet1!$C:$N,12,0),"Unknown")))</f>
        <v>NC SYSTEM</v>
      </c>
      <c r="BM14" t="str">
        <f>VLOOKUP(W14,[1]branch!$A:$B,2,0)</f>
        <v>INDUSTRY</v>
      </c>
    </row>
    <row r="15" spans="1:65" x14ac:dyDescent="0.35">
      <c r="A15" s="10">
        <v>45992</v>
      </c>
      <c r="B15" s="9" t="s">
        <v>975</v>
      </c>
      <c r="C15" s="9" t="s">
        <v>64</v>
      </c>
      <c r="D15" s="9" t="s">
        <v>92</v>
      </c>
      <c r="E15" s="11">
        <v>60</v>
      </c>
      <c r="F15" s="9" t="s">
        <v>93</v>
      </c>
      <c r="G15" s="9" t="s">
        <v>65</v>
      </c>
      <c r="H15" s="9" t="s">
        <v>66</v>
      </c>
      <c r="I15" s="9">
        <v>11</v>
      </c>
      <c r="J15" s="9" t="s">
        <v>347</v>
      </c>
      <c r="K15" s="9" t="s">
        <v>347</v>
      </c>
      <c r="L15" s="9" t="s">
        <v>347</v>
      </c>
      <c r="M15" s="9" t="s">
        <v>348</v>
      </c>
      <c r="N15" s="9" t="s">
        <v>866</v>
      </c>
      <c r="O15" s="9" t="s">
        <v>97</v>
      </c>
      <c r="P15" s="9" t="s">
        <v>67</v>
      </c>
      <c r="Q15" s="9" t="s">
        <v>98</v>
      </c>
      <c r="R15" s="9" t="s">
        <v>347</v>
      </c>
      <c r="S15" s="9" t="s">
        <v>348</v>
      </c>
      <c r="T15" s="9" t="s">
        <v>818</v>
      </c>
      <c r="U15" s="9" t="s">
        <v>67</v>
      </c>
      <c r="V15" s="9" t="s">
        <v>130</v>
      </c>
      <c r="W15" s="9" t="s">
        <v>131</v>
      </c>
      <c r="X15" s="11">
        <v>40</v>
      </c>
      <c r="Y15" s="9" t="s">
        <v>355</v>
      </c>
      <c r="Z15" s="9" t="s">
        <v>68</v>
      </c>
      <c r="AA15" s="9" t="s">
        <v>356</v>
      </c>
      <c r="AB15" s="9" t="s">
        <v>67</v>
      </c>
      <c r="AC15" s="9" t="s">
        <v>357</v>
      </c>
      <c r="AD15" s="11">
        <v>1</v>
      </c>
      <c r="AE15" s="9" t="s">
        <v>70</v>
      </c>
      <c r="AF15" s="9" t="s">
        <v>71</v>
      </c>
      <c r="AG15" s="13">
        <v>1</v>
      </c>
      <c r="AH15" s="9" t="s">
        <v>92</v>
      </c>
      <c r="AI15" s="13">
        <v>11402000</v>
      </c>
      <c r="AJ15" s="13">
        <v>11402000</v>
      </c>
      <c r="AK15" s="11">
        <v>0</v>
      </c>
      <c r="AL15" s="11">
        <v>0</v>
      </c>
      <c r="AM15" s="11">
        <v>0</v>
      </c>
      <c r="AN15" s="9" t="s">
        <v>67</v>
      </c>
      <c r="AO15" s="11">
        <v>11402000</v>
      </c>
      <c r="AP15" s="13">
        <v>912160</v>
      </c>
      <c r="AQ15" s="13">
        <v>12314160</v>
      </c>
      <c r="AR15" s="11">
        <v>198</v>
      </c>
      <c r="AS15" s="9" t="s">
        <v>72</v>
      </c>
      <c r="AT15" s="11">
        <v>200</v>
      </c>
      <c r="AU15" s="9" t="s">
        <v>73</v>
      </c>
      <c r="AV15" s="9" t="s">
        <v>67</v>
      </c>
      <c r="AW15" s="9" t="s">
        <v>941</v>
      </c>
      <c r="AX15" s="10">
        <v>45975</v>
      </c>
      <c r="AY15" s="9" t="s">
        <v>976</v>
      </c>
      <c r="AZ15" s="9" t="s">
        <v>67</v>
      </c>
      <c r="BA15" s="9" t="s">
        <v>67</v>
      </c>
      <c r="BB15" s="12">
        <v>200</v>
      </c>
      <c r="BC15" s="9" t="s">
        <v>74</v>
      </c>
      <c r="BD15" s="9" t="s">
        <v>104</v>
      </c>
      <c r="BE15" s="9" t="s">
        <v>75</v>
      </c>
      <c r="BF15" s="11">
        <v>0</v>
      </c>
      <c r="BG15">
        <f t="shared" si="2"/>
        <v>12</v>
      </c>
      <c r="BH15" t="str">
        <f>VLOOKUP(BG15,[1]month!$A:$B,2,0)</f>
        <v>Desember</v>
      </c>
      <c r="BI15">
        <f t="shared" si="3"/>
        <v>2025</v>
      </c>
      <c r="BJ15" t="str">
        <f>VLOOKUP(I15,[1]Dist!$A:$B,2,0)</f>
        <v>Industry</v>
      </c>
      <c r="BK15" t="str">
        <f>IF(I15=11,VLOOKUP(Y15,[2]Sheet1!$C:$N,10,0),IF(I15=13,VLOOKUP(Y15,[3]Sheet1!$C:$N,10,0),IF(I15=15,VLOOKUP(Y15,[4]Sheet1!$C:$N,10,0),"Unknown")))</f>
        <v>NC</v>
      </c>
      <c r="BL15" t="str">
        <f>IF(I15=11,VLOOKUP(Y15,[2]Sheet1!$C:$N,12,0),IF(I15=13,VLOOKUP(Y15,[3]Sheet1!$C:$N,12,0),IF(I15=15,VLOOKUP(Y15,[4]Sheet1!$C:$N,12,0),"Unknown")))</f>
        <v>NC SYSTEM</v>
      </c>
      <c r="BM15" t="str">
        <f>VLOOKUP(W15,[1]branch!$A:$B,2,0)</f>
        <v>INDUSTRY</v>
      </c>
    </row>
    <row r="16" spans="1:65" x14ac:dyDescent="0.35">
      <c r="A16" s="10">
        <v>45992</v>
      </c>
      <c r="B16" s="9" t="s">
        <v>977</v>
      </c>
      <c r="C16" s="9" t="s">
        <v>64</v>
      </c>
      <c r="D16" s="9" t="s">
        <v>92</v>
      </c>
      <c r="E16" s="11">
        <v>30</v>
      </c>
      <c r="F16" s="9" t="s">
        <v>93</v>
      </c>
      <c r="G16" s="9" t="s">
        <v>65</v>
      </c>
      <c r="H16" s="9" t="s">
        <v>66</v>
      </c>
      <c r="I16" s="9">
        <v>11</v>
      </c>
      <c r="J16" s="9" t="s">
        <v>94</v>
      </c>
      <c r="K16" s="9" t="s">
        <v>94</v>
      </c>
      <c r="L16" s="9" t="s">
        <v>94</v>
      </c>
      <c r="M16" s="9" t="s">
        <v>95</v>
      </c>
      <c r="N16" s="9" t="s">
        <v>586</v>
      </c>
      <c r="O16" s="9" t="s">
        <v>97</v>
      </c>
      <c r="P16" s="9" t="s">
        <v>67</v>
      </c>
      <c r="Q16" s="9" t="s">
        <v>98</v>
      </c>
      <c r="R16" s="9" t="s">
        <v>715</v>
      </c>
      <c r="S16" s="9" t="s">
        <v>95</v>
      </c>
      <c r="T16" s="9" t="s">
        <v>716</v>
      </c>
      <c r="U16" s="9" t="s">
        <v>67</v>
      </c>
      <c r="V16" s="9" t="s">
        <v>99</v>
      </c>
      <c r="W16" s="9" t="s">
        <v>100</v>
      </c>
      <c r="X16" s="11">
        <v>10</v>
      </c>
      <c r="Y16" s="9" t="s">
        <v>105</v>
      </c>
      <c r="Z16" s="9" t="s">
        <v>68</v>
      </c>
      <c r="AA16" s="9" t="s">
        <v>106</v>
      </c>
      <c r="AB16" s="9" t="s">
        <v>67</v>
      </c>
      <c r="AC16" s="9" t="s">
        <v>107</v>
      </c>
      <c r="AD16" s="11">
        <v>4</v>
      </c>
      <c r="AE16" s="9" t="s">
        <v>70</v>
      </c>
      <c r="AF16" s="9" t="s">
        <v>71</v>
      </c>
      <c r="AG16" s="13">
        <v>1</v>
      </c>
      <c r="AH16" s="9" t="s">
        <v>92</v>
      </c>
      <c r="AI16" s="13">
        <v>1978000</v>
      </c>
      <c r="AJ16" s="13">
        <v>7912000</v>
      </c>
      <c r="AK16" s="11">
        <v>0</v>
      </c>
      <c r="AL16" s="11">
        <v>0</v>
      </c>
      <c r="AM16" s="11">
        <v>0</v>
      </c>
      <c r="AN16" s="9" t="s">
        <v>67</v>
      </c>
      <c r="AO16" s="11">
        <v>7912000</v>
      </c>
      <c r="AP16" s="13">
        <v>632960</v>
      </c>
      <c r="AQ16" s="13">
        <v>8544960</v>
      </c>
      <c r="AR16" s="11">
        <v>80</v>
      </c>
      <c r="AS16" s="9" t="s">
        <v>72</v>
      </c>
      <c r="AT16" s="12">
        <v>85.12</v>
      </c>
      <c r="AU16" s="9" t="s">
        <v>73</v>
      </c>
      <c r="AV16" s="9" t="s">
        <v>67</v>
      </c>
      <c r="AW16" s="9" t="s">
        <v>978</v>
      </c>
      <c r="AX16" s="10">
        <v>45988</v>
      </c>
      <c r="AY16" s="9" t="s">
        <v>979</v>
      </c>
      <c r="AZ16" s="9" t="s">
        <v>67</v>
      </c>
      <c r="BA16" s="9" t="s">
        <v>67</v>
      </c>
      <c r="BB16" s="12">
        <v>80</v>
      </c>
      <c r="BC16" s="9" t="s">
        <v>74</v>
      </c>
      <c r="BD16" s="9" t="s">
        <v>104</v>
      </c>
      <c r="BE16" s="9" t="s">
        <v>75</v>
      </c>
      <c r="BF16" s="11">
        <v>0</v>
      </c>
      <c r="BG16">
        <f t="shared" si="2"/>
        <v>12</v>
      </c>
      <c r="BH16" t="str">
        <f>VLOOKUP(BG16,[1]month!$A:$B,2,0)</f>
        <v>Desember</v>
      </c>
      <c r="BI16">
        <f t="shared" si="3"/>
        <v>2025</v>
      </c>
      <c r="BJ16" t="str">
        <f>VLOOKUP(I16,[1]Dist!$A:$B,2,0)</f>
        <v>Industry</v>
      </c>
      <c r="BK16" t="str">
        <f>IF(I16=11,VLOOKUP(Y16,[2]Sheet1!$C:$N,10,0),IF(I16=13,VLOOKUP(Y16,[3]Sheet1!$C:$N,10,0),IF(I16=15,VLOOKUP(Y16,[4]Sheet1!$C:$N,10,0),"Unknown")))</f>
        <v>PU</v>
      </c>
      <c r="BL16" t="str">
        <f>IF(I16=11,VLOOKUP(Y16,[2]Sheet1!$C:$N,12,0),IF(I16=13,VLOOKUP(Y16,[3]Sheet1!$C:$N,12,0),IF(I16=15,VLOOKUP(Y16,[4]Sheet1!$C:$N,12,0),"Unknown")))</f>
        <v>PU HARDENER</v>
      </c>
      <c r="BM16" t="str">
        <f>VLOOKUP(W16,[1]branch!$A:$B,2,0)</f>
        <v>INDUSTRY</v>
      </c>
    </row>
    <row r="17" spans="1:65" x14ac:dyDescent="0.35">
      <c r="A17" s="10">
        <v>45992</v>
      </c>
      <c r="B17" s="9" t="s">
        <v>977</v>
      </c>
      <c r="C17" s="9" t="s">
        <v>64</v>
      </c>
      <c r="D17" s="9" t="s">
        <v>92</v>
      </c>
      <c r="E17" s="11">
        <v>30</v>
      </c>
      <c r="F17" s="9" t="s">
        <v>93</v>
      </c>
      <c r="G17" s="9" t="s">
        <v>65</v>
      </c>
      <c r="H17" s="9" t="s">
        <v>66</v>
      </c>
      <c r="I17" s="9">
        <v>11</v>
      </c>
      <c r="J17" s="9" t="s">
        <v>94</v>
      </c>
      <c r="K17" s="9" t="s">
        <v>94</v>
      </c>
      <c r="L17" s="9" t="s">
        <v>94</v>
      </c>
      <c r="M17" s="9" t="s">
        <v>95</v>
      </c>
      <c r="N17" s="9" t="s">
        <v>586</v>
      </c>
      <c r="O17" s="9" t="s">
        <v>97</v>
      </c>
      <c r="P17" s="9" t="s">
        <v>67</v>
      </c>
      <c r="Q17" s="9" t="s">
        <v>98</v>
      </c>
      <c r="R17" s="9" t="s">
        <v>715</v>
      </c>
      <c r="S17" s="9" t="s">
        <v>95</v>
      </c>
      <c r="T17" s="9" t="s">
        <v>716</v>
      </c>
      <c r="U17" s="9" t="s">
        <v>67</v>
      </c>
      <c r="V17" s="9" t="s">
        <v>99</v>
      </c>
      <c r="W17" s="9" t="s">
        <v>100</v>
      </c>
      <c r="X17" s="11">
        <v>20</v>
      </c>
      <c r="Y17" s="9" t="s">
        <v>101</v>
      </c>
      <c r="Z17" s="9" t="s">
        <v>68</v>
      </c>
      <c r="AA17" s="9" t="s">
        <v>102</v>
      </c>
      <c r="AB17" s="9" t="s">
        <v>67</v>
      </c>
      <c r="AC17" s="9" t="s">
        <v>103</v>
      </c>
      <c r="AD17" s="11">
        <v>8</v>
      </c>
      <c r="AE17" s="9" t="s">
        <v>70</v>
      </c>
      <c r="AF17" s="9" t="s">
        <v>71</v>
      </c>
      <c r="AG17" s="13">
        <v>1</v>
      </c>
      <c r="AH17" s="9" t="s">
        <v>92</v>
      </c>
      <c r="AI17" s="13">
        <v>1172000</v>
      </c>
      <c r="AJ17" s="13">
        <v>9376000</v>
      </c>
      <c r="AK17" s="11">
        <v>0</v>
      </c>
      <c r="AL17" s="11">
        <v>0</v>
      </c>
      <c r="AM17" s="11">
        <v>0</v>
      </c>
      <c r="AN17" s="9" t="s">
        <v>67</v>
      </c>
      <c r="AO17" s="11">
        <v>9376000</v>
      </c>
      <c r="AP17" s="13">
        <v>750080</v>
      </c>
      <c r="AQ17" s="13">
        <v>10126080</v>
      </c>
      <c r="AR17" s="11">
        <v>160</v>
      </c>
      <c r="AS17" s="9" t="s">
        <v>72</v>
      </c>
      <c r="AT17" s="12">
        <v>155.36000000000001</v>
      </c>
      <c r="AU17" s="9" t="s">
        <v>73</v>
      </c>
      <c r="AV17" s="9" t="s">
        <v>67</v>
      </c>
      <c r="AW17" s="9" t="s">
        <v>978</v>
      </c>
      <c r="AX17" s="10">
        <v>45988</v>
      </c>
      <c r="AY17" s="9" t="s">
        <v>979</v>
      </c>
      <c r="AZ17" s="9" t="s">
        <v>67</v>
      </c>
      <c r="BA17" s="9" t="s">
        <v>67</v>
      </c>
      <c r="BB17" s="12">
        <v>160</v>
      </c>
      <c r="BC17" s="9" t="s">
        <v>74</v>
      </c>
      <c r="BD17" s="9" t="s">
        <v>104</v>
      </c>
      <c r="BE17" s="9" t="s">
        <v>75</v>
      </c>
      <c r="BF17" s="11">
        <v>0</v>
      </c>
      <c r="BG17">
        <f t="shared" si="2"/>
        <v>12</v>
      </c>
      <c r="BH17" t="str">
        <f>VLOOKUP(BG17,[1]month!$A:$B,2,0)</f>
        <v>Desember</v>
      </c>
      <c r="BI17">
        <f t="shared" si="3"/>
        <v>2025</v>
      </c>
      <c r="BJ17" t="str">
        <f>VLOOKUP(I17,[1]Dist!$A:$B,2,0)</f>
        <v>Industry</v>
      </c>
      <c r="BK17" t="str">
        <f>IF(I17=11,VLOOKUP(Y17,[2]Sheet1!$C:$N,10,0),IF(I17=13,VLOOKUP(Y17,[3]Sheet1!$C:$N,10,0),IF(I17=15,VLOOKUP(Y17,[4]Sheet1!$C:$N,10,0),"Unknown")))</f>
        <v>PU</v>
      </c>
      <c r="BL17" t="str">
        <f>IF(I17=11,VLOOKUP(Y17,[2]Sheet1!$C:$N,12,0),IF(I17=13,VLOOKUP(Y17,[3]Sheet1!$C:$N,12,0),IF(I17=15,VLOOKUP(Y17,[4]Sheet1!$C:$N,12,0),"Unknown")))</f>
        <v>PU SANDING SEALER</v>
      </c>
      <c r="BM17" t="str">
        <f>VLOOKUP(W17,[1]branch!$A:$B,2,0)</f>
        <v>INDUSTRY</v>
      </c>
    </row>
    <row r="18" spans="1:65" x14ac:dyDescent="0.35">
      <c r="A18" s="10">
        <v>45992</v>
      </c>
      <c r="B18" s="9" t="s">
        <v>977</v>
      </c>
      <c r="C18" s="9" t="s">
        <v>64</v>
      </c>
      <c r="D18" s="9" t="s">
        <v>92</v>
      </c>
      <c r="E18" s="11">
        <v>30</v>
      </c>
      <c r="F18" s="9" t="s">
        <v>93</v>
      </c>
      <c r="G18" s="9" t="s">
        <v>65</v>
      </c>
      <c r="H18" s="9" t="s">
        <v>66</v>
      </c>
      <c r="I18" s="9">
        <v>11</v>
      </c>
      <c r="J18" s="9" t="s">
        <v>94</v>
      </c>
      <c r="K18" s="9" t="s">
        <v>94</v>
      </c>
      <c r="L18" s="9" t="s">
        <v>94</v>
      </c>
      <c r="M18" s="9" t="s">
        <v>95</v>
      </c>
      <c r="N18" s="9" t="s">
        <v>586</v>
      </c>
      <c r="O18" s="9" t="s">
        <v>97</v>
      </c>
      <c r="P18" s="9" t="s">
        <v>67</v>
      </c>
      <c r="Q18" s="9" t="s">
        <v>98</v>
      </c>
      <c r="R18" s="9" t="s">
        <v>715</v>
      </c>
      <c r="S18" s="9" t="s">
        <v>95</v>
      </c>
      <c r="T18" s="9" t="s">
        <v>716</v>
      </c>
      <c r="U18" s="9" t="s">
        <v>67</v>
      </c>
      <c r="V18" s="9" t="s">
        <v>99</v>
      </c>
      <c r="W18" s="9" t="s">
        <v>100</v>
      </c>
      <c r="X18" s="11">
        <v>30</v>
      </c>
      <c r="Y18" s="9" t="s">
        <v>111</v>
      </c>
      <c r="Z18" s="9" t="s">
        <v>68</v>
      </c>
      <c r="AA18" s="9" t="s">
        <v>112</v>
      </c>
      <c r="AB18" s="9" t="s">
        <v>67</v>
      </c>
      <c r="AC18" s="9" t="s">
        <v>110</v>
      </c>
      <c r="AD18" s="11">
        <v>4</v>
      </c>
      <c r="AE18" s="9" t="s">
        <v>70</v>
      </c>
      <c r="AF18" s="9" t="s">
        <v>71</v>
      </c>
      <c r="AG18" s="13">
        <v>1</v>
      </c>
      <c r="AH18" s="9" t="s">
        <v>92</v>
      </c>
      <c r="AI18" s="13">
        <v>1564000</v>
      </c>
      <c r="AJ18" s="13">
        <v>6256000</v>
      </c>
      <c r="AK18" s="11">
        <v>0</v>
      </c>
      <c r="AL18" s="11">
        <v>0</v>
      </c>
      <c r="AM18" s="11">
        <v>0</v>
      </c>
      <c r="AN18" s="9" t="s">
        <v>67</v>
      </c>
      <c r="AO18" s="11">
        <v>6256000</v>
      </c>
      <c r="AP18" s="13">
        <v>500480</v>
      </c>
      <c r="AQ18" s="13">
        <v>6756480</v>
      </c>
      <c r="AR18" s="11">
        <v>80</v>
      </c>
      <c r="AS18" s="9" t="s">
        <v>72</v>
      </c>
      <c r="AT18" s="12">
        <v>76.92</v>
      </c>
      <c r="AU18" s="9" t="s">
        <v>73</v>
      </c>
      <c r="AV18" s="9" t="s">
        <v>67</v>
      </c>
      <c r="AW18" s="9" t="s">
        <v>978</v>
      </c>
      <c r="AX18" s="10">
        <v>45988</v>
      </c>
      <c r="AY18" s="9" t="s">
        <v>979</v>
      </c>
      <c r="AZ18" s="9" t="s">
        <v>67</v>
      </c>
      <c r="BA18" s="9" t="s">
        <v>67</v>
      </c>
      <c r="BB18" s="12">
        <v>80</v>
      </c>
      <c r="BC18" s="9" t="s">
        <v>74</v>
      </c>
      <c r="BD18" s="9" t="s">
        <v>104</v>
      </c>
      <c r="BE18" s="9" t="s">
        <v>75</v>
      </c>
      <c r="BF18" s="11">
        <v>0</v>
      </c>
      <c r="BG18">
        <f t="shared" si="2"/>
        <v>12</v>
      </c>
      <c r="BH18" t="str">
        <f>VLOOKUP(BG18,[1]month!$A:$B,2,0)</f>
        <v>Desember</v>
      </c>
      <c r="BI18">
        <f t="shared" si="3"/>
        <v>2025</v>
      </c>
      <c r="BJ18" t="str">
        <f>VLOOKUP(I18,[1]Dist!$A:$B,2,0)</f>
        <v>Industry</v>
      </c>
      <c r="BK18" t="str">
        <f>IF(I18=11,VLOOKUP(Y18,[2]Sheet1!$C:$N,10,0),IF(I18=13,VLOOKUP(Y18,[3]Sheet1!$C:$N,10,0),IF(I18=15,VLOOKUP(Y18,[4]Sheet1!$C:$N,10,0),"Unknown")))</f>
        <v>PU</v>
      </c>
      <c r="BL18" t="str">
        <f>IF(I18=11,VLOOKUP(Y18,[2]Sheet1!$C:$N,12,0),IF(I18=13,VLOOKUP(Y18,[3]Sheet1!$C:$N,12,0),IF(I18=15,VLOOKUP(Y18,[4]Sheet1!$C:$N,12,0),"Unknown")))</f>
        <v>PU LACQUER</v>
      </c>
      <c r="BM18" t="str">
        <f>VLOOKUP(W18,[1]branch!$A:$B,2,0)</f>
        <v>INDUSTRY</v>
      </c>
    </row>
    <row r="19" spans="1:65" x14ac:dyDescent="0.35">
      <c r="A19" s="10">
        <v>45992</v>
      </c>
      <c r="B19" s="9" t="s">
        <v>977</v>
      </c>
      <c r="C19" s="9" t="s">
        <v>64</v>
      </c>
      <c r="D19" s="9" t="s">
        <v>92</v>
      </c>
      <c r="E19" s="11">
        <v>30</v>
      </c>
      <c r="F19" s="9" t="s">
        <v>93</v>
      </c>
      <c r="G19" s="9" t="s">
        <v>65</v>
      </c>
      <c r="H19" s="9" t="s">
        <v>66</v>
      </c>
      <c r="I19" s="9">
        <v>11</v>
      </c>
      <c r="J19" s="9" t="s">
        <v>94</v>
      </c>
      <c r="K19" s="9" t="s">
        <v>94</v>
      </c>
      <c r="L19" s="9" t="s">
        <v>94</v>
      </c>
      <c r="M19" s="9" t="s">
        <v>95</v>
      </c>
      <c r="N19" s="9" t="s">
        <v>586</v>
      </c>
      <c r="O19" s="9" t="s">
        <v>97</v>
      </c>
      <c r="P19" s="9" t="s">
        <v>67</v>
      </c>
      <c r="Q19" s="9" t="s">
        <v>98</v>
      </c>
      <c r="R19" s="9" t="s">
        <v>715</v>
      </c>
      <c r="S19" s="9" t="s">
        <v>95</v>
      </c>
      <c r="T19" s="9" t="s">
        <v>716</v>
      </c>
      <c r="U19" s="9" t="s">
        <v>67</v>
      </c>
      <c r="V19" s="9" t="s">
        <v>99</v>
      </c>
      <c r="W19" s="9" t="s">
        <v>100</v>
      </c>
      <c r="X19" s="11">
        <v>40</v>
      </c>
      <c r="Y19" s="9" t="s">
        <v>113</v>
      </c>
      <c r="Z19" s="9" t="s">
        <v>68</v>
      </c>
      <c r="AA19" s="9" t="s">
        <v>114</v>
      </c>
      <c r="AB19" s="9" t="s">
        <v>67</v>
      </c>
      <c r="AC19" s="9" t="s">
        <v>115</v>
      </c>
      <c r="AD19" s="11">
        <v>2</v>
      </c>
      <c r="AE19" s="9" t="s">
        <v>70</v>
      </c>
      <c r="AF19" s="9" t="s">
        <v>71</v>
      </c>
      <c r="AG19" s="13">
        <v>1</v>
      </c>
      <c r="AH19" s="9" t="s">
        <v>92</v>
      </c>
      <c r="AI19" s="13">
        <v>2296000</v>
      </c>
      <c r="AJ19" s="13">
        <v>4592000</v>
      </c>
      <c r="AK19" s="11">
        <v>0</v>
      </c>
      <c r="AL19" s="11">
        <v>0</v>
      </c>
      <c r="AM19" s="11">
        <v>0</v>
      </c>
      <c r="AN19" s="9" t="s">
        <v>67</v>
      </c>
      <c r="AO19" s="11">
        <v>4592000</v>
      </c>
      <c r="AP19" s="13">
        <v>367360</v>
      </c>
      <c r="AQ19" s="13">
        <v>4959360</v>
      </c>
      <c r="AR19" s="11">
        <v>40</v>
      </c>
      <c r="AS19" s="9" t="s">
        <v>72</v>
      </c>
      <c r="AT19" s="12">
        <v>37.380000000000003</v>
      </c>
      <c r="AU19" s="9" t="s">
        <v>73</v>
      </c>
      <c r="AV19" s="9" t="s">
        <v>67</v>
      </c>
      <c r="AW19" s="9" t="s">
        <v>978</v>
      </c>
      <c r="AX19" s="10">
        <v>45988</v>
      </c>
      <c r="AY19" s="9" t="s">
        <v>979</v>
      </c>
      <c r="AZ19" s="9" t="s">
        <v>67</v>
      </c>
      <c r="BA19" s="9" t="s">
        <v>67</v>
      </c>
      <c r="BB19" s="12">
        <v>40</v>
      </c>
      <c r="BC19" s="9" t="s">
        <v>74</v>
      </c>
      <c r="BD19" s="9" t="s">
        <v>104</v>
      </c>
      <c r="BE19" s="9" t="s">
        <v>75</v>
      </c>
      <c r="BF19" s="11">
        <v>0</v>
      </c>
      <c r="BG19">
        <f t="shared" si="2"/>
        <v>12</v>
      </c>
      <c r="BH19" t="str">
        <f>VLOOKUP(BG19,[1]month!$A:$B,2,0)</f>
        <v>Desember</v>
      </c>
      <c r="BI19">
        <f t="shared" si="3"/>
        <v>2025</v>
      </c>
      <c r="BJ19" t="str">
        <f>VLOOKUP(I19,[1]Dist!$A:$B,2,0)</f>
        <v>Industry</v>
      </c>
      <c r="BK19" t="str">
        <f>IF(I19=11,VLOOKUP(Y19,[2]Sheet1!$C:$N,10,0),IF(I19=13,VLOOKUP(Y19,[3]Sheet1!$C:$N,10,0),IF(I19=15,VLOOKUP(Y19,[4]Sheet1!$C:$N,10,0),"Unknown")))</f>
        <v>PU</v>
      </c>
      <c r="BL19" t="str">
        <f>IF(I19=11,VLOOKUP(Y19,[2]Sheet1!$C:$N,12,0),IF(I19=13,VLOOKUP(Y19,[3]Sheet1!$C:$N,12,0),IF(I19=15,VLOOKUP(Y19,[4]Sheet1!$C:$N,12,0),"Unknown")))</f>
        <v>PU HARDENER</v>
      </c>
      <c r="BM19" t="str">
        <f>VLOOKUP(W19,[1]branch!$A:$B,2,0)</f>
        <v>INDUSTRY</v>
      </c>
    </row>
    <row r="20" spans="1:65" x14ac:dyDescent="0.35">
      <c r="A20" s="10">
        <v>45992</v>
      </c>
      <c r="B20" s="9" t="s">
        <v>977</v>
      </c>
      <c r="C20" s="9" t="s">
        <v>64</v>
      </c>
      <c r="D20" s="9" t="s">
        <v>92</v>
      </c>
      <c r="E20" s="11">
        <v>30</v>
      </c>
      <c r="F20" s="9" t="s">
        <v>93</v>
      </c>
      <c r="G20" s="9" t="s">
        <v>65</v>
      </c>
      <c r="H20" s="9" t="s">
        <v>66</v>
      </c>
      <c r="I20" s="9">
        <v>11</v>
      </c>
      <c r="J20" s="9" t="s">
        <v>94</v>
      </c>
      <c r="K20" s="9" t="s">
        <v>94</v>
      </c>
      <c r="L20" s="9" t="s">
        <v>94</v>
      </c>
      <c r="M20" s="9" t="s">
        <v>95</v>
      </c>
      <c r="N20" s="9" t="s">
        <v>586</v>
      </c>
      <c r="O20" s="9" t="s">
        <v>97</v>
      </c>
      <c r="P20" s="9" t="s">
        <v>67</v>
      </c>
      <c r="Q20" s="9" t="s">
        <v>98</v>
      </c>
      <c r="R20" s="9" t="s">
        <v>715</v>
      </c>
      <c r="S20" s="9" t="s">
        <v>95</v>
      </c>
      <c r="T20" s="9" t="s">
        <v>716</v>
      </c>
      <c r="U20" s="9" t="s">
        <v>67</v>
      </c>
      <c r="V20" s="9" t="s">
        <v>99</v>
      </c>
      <c r="W20" s="9" t="s">
        <v>100</v>
      </c>
      <c r="X20" s="11">
        <v>60</v>
      </c>
      <c r="Y20" s="9" t="s">
        <v>552</v>
      </c>
      <c r="Z20" s="9" t="s">
        <v>68</v>
      </c>
      <c r="AA20" s="9" t="s">
        <v>553</v>
      </c>
      <c r="AB20" s="9" t="s">
        <v>67</v>
      </c>
      <c r="AC20" s="9" t="s">
        <v>139</v>
      </c>
      <c r="AD20" s="11">
        <v>1</v>
      </c>
      <c r="AE20" s="9" t="s">
        <v>70</v>
      </c>
      <c r="AF20" s="9" t="s">
        <v>71</v>
      </c>
      <c r="AG20" s="13">
        <v>1</v>
      </c>
      <c r="AH20" s="9" t="s">
        <v>92</v>
      </c>
      <c r="AI20" s="13">
        <v>7021000</v>
      </c>
      <c r="AJ20" s="13">
        <v>7021000</v>
      </c>
      <c r="AK20" s="11">
        <v>0</v>
      </c>
      <c r="AL20" s="11">
        <v>0</v>
      </c>
      <c r="AM20" s="11">
        <v>0</v>
      </c>
      <c r="AN20" s="9" t="s">
        <v>67</v>
      </c>
      <c r="AO20" s="11">
        <v>7021000</v>
      </c>
      <c r="AP20" s="13">
        <v>561680</v>
      </c>
      <c r="AQ20" s="13">
        <v>7582680</v>
      </c>
      <c r="AR20" s="11">
        <v>176</v>
      </c>
      <c r="AS20" s="9" t="s">
        <v>72</v>
      </c>
      <c r="AT20" s="11">
        <v>200</v>
      </c>
      <c r="AU20" s="9" t="s">
        <v>73</v>
      </c>
      <c r="AV20" s="9" t="s">
        <v>67</v>
      </c>
      <c r="AW20" s="9" t="s">
        <v>978</v>
      </c>
      <c r="AX20" s="10">
        <v>45988</v>
      </c>
      <c r="AY20" s="9" t="s">
        <v>979</v>
      </c>
      <c r="AZ20" s="9" t="s">
        <v>67</v>
      </c>
      <c r="BA20" s="9" t="s">
        <v>67</v>
      </c>
      <c r="BB20" s="12">
        <v>200</v>
      </c>
      <c r="BC20" s="9" t="s">
        <v>74</v>
      </c>
      <c r="BD20" s="9" t="s">
        <v>104</v>
      </c>
      <c r="BE20" s="9" t="s">
        <v>75</v>
      </c>
      <c r="BF20" s="11">
        <v>0</v>
      </c>
      <c r="BG20">
        <f t="shared" si="2"/>
        <v>12</v>
      </c>
      <c r="BH20" t="str">
        <f>VLOOKUP(BG20,[1]month!$A:$B,2,0)</f>
        <v>Desember</v>
      </c>
      <c r="BI20">
        <f t="shared" si="3"/>
        <v>2025</v>
      </c>
      <c r="BJ20" t="str">
        <f>VLOOKUP(I20,[1]Dist!$A:$B,2,0)</f>
        <v>Industry</v>
      </c>
      <c r="BK20" t="str">
        <f>IF(I20=11,VLOOKUP(Y20,[2]Sheet1!$C:$N,10,0),IF(I20=13,VLOOKUP(Y20,[3]Sheet1!$C:$N,10,0),IF(I20=15,VLOOKUP(Y20,[4]Sheet1!$C:$N,10,0),"Unknown")))</f>
        <v>THINNER NC</v>
      </c>
      <c r="BL20" t="str">
        <f>IF(I20=11,VLOOKUP(Y20,[2]Sheet1!$C:$N,12,0),IF(I20=13,VLOOKUP(Y20,[3]Sheet1!$C:$N,12,0),IF(I20=15,VLOOKUP(Y20,[4]Sheet1!$C:$N,12,0),"Unknown")))</f>
        <v>THINNER COMPLEMENTARY</v>
      </c>
      <c r="BM20" t="str">
        <f>VLOOKUP(W20,[1]branch!$A:$B,2,0)</f>
        <v>INDUSTRY</v>
      </c>
    </row>
    <row r="21" spans="1:65" x14ac:dyDescent="0.35">
      <c r="A21" s="10">
        <v>45992</v>
      </c>
      <c r="B21" s="9" t="s">
        <v>977</v>
      </c>
      <c r="C21" s="9" t="s">
        <v>64</v>
      </c>
      <c r="D21" s="9" t="s">
        <v>92</v>
      </c>
      <c r="E21" s="11">
        <v>30</v>
      </c>
      <c r="F21" s="9" t="s">
        <v>93</v>
      </c>
      <c r="G21" s="9" t="s">
        <v>65</v>
      </c>
      <c r="H21" s="9" t="s">
        <v>66</v>
      </c>
      <c r="I21" s="9">
        <v>11</v>
      </c>
      <c r="J21" s="9" t="s">
        <v>94</v>
      </c>
      <c r="K21" s="9" t="s">
        <v>94</v>
      </c>
      <c r="L21" s="9" t="s">
        <v>94</v>
      </c>
      <c r="M21" s="9" t="s">
        <v>95</v>
      </c>
      <c r="N21" s="9" t="s">
        <v>586</v>
      </c>
      <c r="O21" s="9" t="s">
        <v>97</v>
      </c>
      <c r="P21" s="9" t="s">
        <v>67</v>
      </c>
      <c r="Q21" s="9" t="s">
        <v>98</v>
      </c>
      <c r="R21" s="9" t="s">
        <v>715</v>
      </c>
      <c r="S21" s="9" t="s">
        <v>95</v>
      </c>
      <c r="T21" s="9" t="s">
        <v>716</v>
      </c>
      <c r="U21" s="9" t="s">
        <v>67</v>
      </c>
      <c r="V21" s="9" t="s">
        <v>99</v>
      </c>
      <c r="W21" s="9" t="s">
        <v>100</v>
      </c>
      <c r="X21" s="11">
        <v>80</v>
      </c>
      <c r="Y21" s="9" t="s">
        <v>759</v>
      </c>
      <c r="Z21" s="9" t="s">
        <v>68</v>
      </c>
      <c r="AA21" s="9" t="s">
        <v>760</v>
      </c>
      <c r="AB21" s="9" t="s">
        <v>67</v>
      </c>
      <c r="AC21" s="9" t="s">
        <v>139</v>
      </c>
      <c r="AD21" s="11">
        <v>1</v>
      </c>
      <c r="AE21" s="9" t="s">
        <v>70</v>
      </c>
      <c r="AF21" s="9" t="s">
        <v>71</v>
      </c>
      <c r="AG21" s="13">
        <v>1</v>
      </c>
      <c r="AH21" s="9" t="s">
        <v>92</v>
      </c>
      <c r="AI21" s="13">
        <v>8560000</v>
      </c>
      <c r="AJ21" s="13">
        <v>8560000</v>
      </c>
      <c r="AK21" s="11">
        <v>0</v>
      </c>
      <c r="AL21" s="11">
        <v>0</v>
      </c>
      <c r="AM21" s="11">
        <v>0</v>
      </c>
      <c r="AN21" s="9" t="s">
        <v>67</v>
      </c>
      <c r="AO21" s="11">
        <v>8560000</v>
      </c>
      <c r="AP21" s="13">
        <v>684800</v>
      </c>
      <c r="AQ21" s="13">
        <v>9244800</v>
      </c>
      <c r="AR21" s="11">
        <v>176</v>
      </c>
      <c r="AS21" s="9" t="s">
        <v>72</v>
      </c>
      <c r="AT21" s="11">
        <v>200</v>
      </c>
      <c r="AU21" s="9" t="s">
        <v>73</v>
      </c>
      <c r="AV21" s="9" t="s">
        <v>67</v>
      </c>
      <c r="AW21" s="9" t="s">
        <v>978</v>
      </c>
      <c r="AX21" s="10">
        <v>45988</v>
      </c>
      <c r="AY21" s="9" t="s">
        <v>979</v>
      </c>
      <c r="AZ21" s="9" t="s">
        <v>67</v>
      </c>
      <c r="BA21" s="9" t="s">
        <v>67</v>
      </c>
      <c r="BB21" s="12">
        <v>200</v>
      </c>
      <c r="BC21" s="9" t="s">
        <v>74</v>
      </c>
      <c r="BD21" s="9" t="s">
        <v>104</v>
      </c>
      <c r="BE21" s="9" t="s">
        <v>75</v>
      </c>
      <c r="BF21" s="11">
        <v>0</v>
      </c>
      <c r="BG21">
        <f t="shared" si="2"/>
        <v>12</v>
      </c>
      <c r="BH21" t="str">
        <f>VLOOKUP(BG21,[1]month!$A:$B,2,0)</f>
        <v>Desember</v>
      </c>
      <c r="BI21">
        <f t="shared" si="3"/>
        <v>2025</v>
      </c>
      <c r="BJ21" t="str">
        <f>VLOOKUP(I21,[1]Dist!$A:$B,2,0)</f>
        <v>Industry</v>
      </c>
      <c r="BK21" t="str">
        <f>IF(I21=11,VLOOKUP(Y21,[2]Sheet1!$C:$N,10,0),IF(I21=13,VLOOKUP(Y21,[3]Sheet1!$C:$N,10,0),IF(I21=15,VLOOKUP(Y21,[4]Sheet1!$C:$N,10,0),"Unknown")))</f>
        <v>THINNER NC</v>
      </c>
      <c r="BL21" t="str">
        <f>IF(I21=11,VLOOKUP(Y21,[2]Sheet1!$C:$N,12,0),IF(I21=13,VLOOKUP(Y21,[3]Sheet1!$C:$N,12,0),IF(I21=15,VLOOKUP(Y21,[4]Sheet1!$C:$N,12,0),"Unknown")))</f>
        <v>THINNER COMPLEMENTARY</v>
      </c>
      <c r="BM21" t="str">
        <f>VLOOKUP(W21,[1]branch!$A:$B,2,0)</f>
        <v>INDUSTRY</v>
      </c>
    </row>
    <row r="22" spans="1:65" x14ac:dyDescent="0.35">
      <c r="A22" s="10">
        <v>45992</v>
      </c>
      <c r="B22" s="9" t="s">
        <v>980</v>
      </c>
      <c r="C22" s="9" t="s">
        <v>64</v>
      </c>
      <c r="D22" s="9" t="s">
        <v>92</v>
      </c>
      <c r="E22" s="11">
        <v>60</v>
      </c>
      <c r="F22" s="9" t="s">
        <v>93</v>
      </c>
      <c r="G22" s="9" t="s">
        <v>65</v>
      </c>
      <c r="H22" s="9" t="s">
        <v>66</v>
      </c>
      <c r="I22" s="9">
        <v>11</v>
      </c>
      <c r="J22" s="9" t="s">
        <v>713</v>
      </c>
      <c r="K22" s="9" t="s">
        <v>713</v>
      </c>
      <c r="L22" s="9" t="s">
        <v>713</v>
      </c>
      <c r="M22" s="9" t="s">
        <v>714</v>
      </c>
      <c r="N22" s="9" t="s">
        <v>877</v>
      </c>
      <c r="O22" s="9" t="s">
        <v>97</v>
      </c>
      <c r="P22" s="9" t="s">
        <v>67</v>
      </c>
      <c r="Q22" s="9" t="s">
        <v>98</v>
      </c>
      <c r="R22" s="9" t="s">
        <v>713</v>
      </c>
      <c r="S22" s="9" t="s">
        <v>714</v>
      </c>
      <c r="T22" s="9" t="s">
        <v>803</v>
      </c>
      <c r="U22" s="9" t="s">
        <v>67</v>
      </c>
      <c r="V22" s="9" t="s">
        <v>221</v>
      </c>
      <c r="W22" s="9" t="s">
        <v>222</v>
      </c>
      <c r="X22" s="11">
        <v>10</v>
      </c>
      <c r="Y22" s="9" t="s">
        <v>657</v>
      </c>
      <c r="Z22" s="9" t="s">
        <v>68</v>
      </c>
      <c r="AA22" s="9" t="s">
        <v>658</v>
      </c>
      <c r="AB22" s="9" t="s">
        <v>67</v>
      </c>
      <c r="AC22" s="9" t="s">
        <v>659</v>
      </c>
      <c r="AD22" s="11">
        <v>3</v>
      </c>
      <c r="AE22" s="9" t="s">
        <v>70</v>
      </c>
      <c r="AF22" s="9" t="s">
        <v>71</v>
      </c>
      <c r="AG22" s="13">
        <v>1</v>
      </c>
      <c r="AH22" s="9" t="s">
        <v>92</v>
      </c>
      <c r="AI22" s="13">
        <v>1700000</v>
      </c>
      <c r="AJ22" s="13">
        <v>5100000</v>
      </c>
      <c r="AK22" s="11">
        <v>0</v>
      </c>
      <c r="AL22" s="11">
        <v>0</v>
      </c>
      <c r="AM22" s="11">
        <v>0</v>
      </c>
      <c r="AN22" s="9" t="s">
        <v>67</v>
      </c>
      <c r="AO22" s="11">
        <v>5100000</v>
      </c>
      <c r="AP22" s="13">
        <v>408000</v>
      </c>
      <c r="AQ22" s="13">
        <v>5508000</v>
      </c>
      <c r="AR22" s="11">
        <v>60</v>
      </c>
      <c r="AS22" s="9" t="s">
        <v>72</v>
      </c>
      <c r="AT22" s="11">
        <v>48</v>
      </c>
      <c r="AU22" s="9" t="s">
        <v>73</v>
      </c>
      <c r="AV22" s="9" t="s">
        <v>67</v>
      </c>
      <c r="AW22" s="9" t="s">
        <v>981</v>
      </c>
      <c r="AX22" s="10">
        <v>45989</v>
      </c>
      <c r="AY22" s="9" t="s">
        <v>982</v>
      </c>
      <c r="AZ22" s="9" t="s">
        <v>67</v>
      </c>
      <c r="BA22" s="9" t="s">
        <v>67</v>
      </c>
      <c r="BB22" s="12">
        <v>60</v>
      </c>
      <c r="BC22" s="9" t="s">
        <v>74</v>
      </c>
      <c r="BD22" s="9" t="s">
        <v>104</v>
      </c>
      <c r="BE22" s="9" t="s">
        <v>75</v>
      </c>
      <c r="BF22" s="11">
        <v>0</v>
      </c>
      <c r="BG22">
        <f t="shared" si="2"/>
        <v>12</v>
      </c>
      <c r="BH22" t="str">
        <f>VLOOKUP(BG22,[1]month!$A:$B,2,0)</f>
        <v>Desember</v>
      </c>
      <c r="BI22">
        <f t="shared" si="3"/>
        <v>2025</v>
      </c>
      <c r="BJ22" t="str">
        <f>VLOOKUP(I22,[1]Dist!$A:$B,2,0)</f>
        <v>Industry</v>
      </c>
      <c r="BK22" t="str">
        <f>IF(I22=11,VLOOKUP(Y22,[2]Sheet1!$C:$N,10,0),IF(I22=13,VLOOKUP(Y22,[3]Sheet1!$C:$N,10,0),IF(I22=15,VLOOKUP(Y22,[4]Sheet1!$C:$N,10,0),"Unknown")))</f>
        <v>PU</v>
      </c>
      <c r="BL22" t="str">
        <f>IF(I22=11,VLOOKUP(Y22,[2]Sheet1!$C:$N,12,0),IF(I22=13,VLOOKUP(Y22,[3]Sheet1!$C:$N,12,0),IF(I22=15,VLOOKUP(Y22,[4]Sheet1!$C:$N,12,0),"Unknown")))</f>
        <v>WOOD FILLER PU</v>
      </c>
      <c r="BM22" t="str">
        <f>VLOOKUP(W22,[1]branch!$A:$B,2,0)</f>
        <v>INDUSTRY</v>
      </c>
    </row>
    <row r="23" spans="1:65" x14ac:dyDescent="0.35">
      <c r="A23" s="10">
        <v>45992</v>
      </c>
      <c r="B23" s="9" t="s">
        <v>980</v>
      </c>
      <c r="C23" s="9" t="s">
        <v>64</v>
      </c>
      <c r="D23" s="9" t="s">
        <v>92</v>
      </c>
      <c r="E23" s="11">
        <v>60</v>
      </c>
      <c r="F23" s="9" t="s">
        <v>93</v>
      </c>
      <c r="G23" s="9" t="s">
        <v>65</v>
      </c>
      <c r="H23" s="9" t="s">
        <v>66</v>
      </c>
      <c r="I23" s="9">
        <v>11</v>
      </c>
      <c r="J23" s="9" t="s">
        <v>713</v>
      </c>
      <c r="K23" s="9" t="s">
        <v>713</v>
      </c>
      <c r="L23" s="9" t="s">
        <v>713</v>
      </c>
      <c r="M23" s="9" t="s">
        <v>714</v>
      </c>
      <c r="N23" s="9" t="s">
        <v>877</v>
      </c>
      <c r="O23" s="9" t="s">
        <v>97</v>
      </c>
      <c r="P23" s="9" t="s">
        <v>67</v>
      </c>
      <c r="Q23" s="9" t="s">
        <v>98</v>
      </c>
      <c r="R23" s="9" t="s">
        <v>713</v>
      </c>
      <c r="S23" s="9" t="s">
        <v>714</v>
      </c>
      <c r="T23" s="9" t="s">
        <v>803</v>
      </c>
      <c r="U23" s="9" t="s">
        <v>67</v>
      </c>
      <c r="V23" s="9" t="s">
        <v>221</v>
      </c>
      <c r="W23" s="9" t="s">
        <v>222</v>
      </c>
      <c r="X23" s="11">
        <v>20</v>
      </c>
      <c r="Y23" s="9" t="s">
        <v>244</v>
      </c>
      <c r="Z23" s="9" t="s">
        <v>68</v>
      </c>
      <c r="AA23" s="9" t="s">
        <v>245</v>
      </c>
      <c r="AB23" s="9" t="s">
        <v>67</v>
      </c>
      <c r="AC23" s="9" t="s">
        <v>229</v>
      </c>
      <c r="AD23" s="11">
        <v>4</v>
      </c>
      <c r="AE23" s="9" t="s">
        <v>70</v>
      </c>
      <c r="AF23" s="9" t="s">
        <v>71</v>
      </c>
      <c r="AG23" s="13">
        <v>1</v>
      </c>
      <c r="AH23" s="9" t="s">
        <v>92</v>
      </c>
      <c r="AI23" s="13">
        <v>1536000</v>
      </c>
      <c r="AJ23" s="13">
        <v>6144000</v>
      </c>
      <c r="AK23" s="11">
        <v>0</v>
      </c>
      <c r="AL23" s="11">
        <v>0</v>
      </c>
      <c r="AM23" s="11">
        <v>0</v>
      </c>
      <c r="AN23" s="9" t="s">
        <v>67</v>
      </c>
      <c r="AO23" s="11">
        <v>6144000</v>
      </c>
      <c r="AP23" s="13">
        <v>491520</v>
      </c>
      <c r="AQ23" s="13">
        <v>6635520</v>
      </c>
      <c r="AR23" s="11">
        <v>80</v>
      </c>
      <c r="AS23" s="9" t="s">
        <v>72</v>
      </c>
      <c r="AT23" s="11">
        <v>80</v>
      </c>
      <c r="AU23" s="9" t="s">
        <v>73</v>
      </c>
      <c r="AV23" s="9" t="s">
        <v>67</v>
      </c>
      <c r="AW23" s="9" t="s">
        <v>981</v>
      </c>
      <c r="AX23" s="10">
        <v>45989</v>
      </c>
      <c r="AY23" s="9" t="s">
        <v>982</v>
      </c>
      <c r="AZ23" s="9" t="s">
        <v>67</v>
      </c>
      <c r="BA23" s="9" t="s">
        <v>67</v>
      </c>
      <c r="BB23" s="12">
        <v>80</v>
      </c>
      <c r="BC23" s="9" t="s">
        <v>74</v>
      </c>
      <c r="BD23" s="9" t="s">
        <v>104</v>
      </c>
      <c r="BE23" s="9" t="s">
        <v>75</v>
      </c>
      <c r="BF23" s="11">
        <v>0</v>
      </c>
      <c r="BG23">
        <f t="shared" si="2"/>
        <v>12</v>
      </c>
      <c r="BH23" t="str">
        <f>VLOOKUP(BG23,[1]month!$A:$B,2,0)</f>
        <v>Desember</v>
      </c>
      <c r="BI23">
        <f t="shared" si="3"/>
        <v>2025</v>
      </c>
      <c r="BJ23" t="str">
        <f>VLOOKUP(I23,[1]Dist!$A:$B,2,0)</f>
        <v>Industry</v>
      </c>
      <c r="BK23" t="str">
        <f>IF(I23=11,VLOOKUP(Y23,[2]Sheet1!$C:$N,10,0),IF(I23=13,VLOOKUP(Y23,[3]Sheet1!$C:$N,10,0),IF(I23=15,VLOOKUP(Y23,[4]Sheet1!$C:$N,10,0),"Unknown")))</f>
        <v>PU</v>
      </c>
      <c r="BL23" t="str">
        <f>IF(I23=11,VLOOKUP(Y23,[2]Sheet1!$C:$N,12,0),IF(I23=13,VLOOKUP(Y23,[3]Sheet1!$C:$N,12,0),IF(I23=15,VLOOKUP(Y23,[4]Sheet1!$C:$N,12,0),"Unknown")))</f>
        <v>PU LACQUER</v>
      </c>
      <c r="BM23" t="str">
        <f>VLOOKUP(W23,[1]branch!$A:$B,2,0)</f>
        <v>INDUSTRY</v>
      </c>
    </row>
    <row r="24" spans="1:65" x14ac:dyDescent="0.35">
      <c r="A24" s="10">
        <v>45992</v>
      </c>
      <c r="B24" s="9" t="s">
        <v>980</v>
      </c>
      <c r="C24" s="9" t="s">
        <v>64</v>
      </c>
      <c r="D24" s="9" t="s">
        <v>92</v>
      </c>
      <c r="E24" s="11">
        <v>60</v>
      </c>
      <c r="F24" s="9" t="s">
        <v>93</v>
      </c>
      <c r="G24" s="9" t="s">
        <v>65</v>
      </c>
      <c r="H24" s="9" t="s">
        <v>66</v>
      </c>
      <c r="I24" s="9">
        <v>11</v>
      </c>
      <c r="J24" s="9" t="s">
        <v>713</v>
      </c>
      <c r="K24" s="9" t="s">
        <v>713</v>
      </c>
      <c r="L24" s="9" t="s">
        <v>713</v>
      </c>
      <c r="M24" s="9" t="s">
        <v>714</v>
      </c>
      <c r="N24" s="9" t="s">
        <v>877</v>
      </c>
      <c r="O24" s="9" t="s">
        <v>97</v>
      </c>
      <c r="P24" s="9" t="s">
        <v>67</v>
      </c>
      <c r="Q24" s="9" t="s">
        <v>98</v>
      </c>
      <c r="R24" s="9" t="s">
        <v>713</v>
      </c>
      <c r="S24" s="9" t="s">
        <v>714</v>
      </c>
      <c r="T24" s="9" t="s">
        <v>803</v>
      </c>
      <c r="U24" s="9" t="s">
        <v>67</v>
      </c>
      <c r="V24" s="9" t="s">
        <v>221</v>
      </c>
      <c r="W24" s="9" t="s">
        <v>222</v>
      </c>
      <c r="X24" s="11">
        <v>30</v>
      </c>
      <c r="Y24" s="9" t="s">
        <v>257</v>
      </c>
      <c r="Z24" s="9" t="s">
        <v>68</v>
      </c>
      <c r="AA24" s="9" t="s">
        <v>258</v>
      </c>
      <c r="AB24" s="9" t="s">
        <v>67</v>
      </c>
      <c r="AC24" s="9" t="s">
        <v>259</v>
      </c>
      <c r="AD24" s="11">
        <v>2</v>
      </c>
      <c r="AE24" s="9" t="s">
        <v>70</v>
      </c>
      <c r="AF24" s="9" t="s">
        <v>71</v>
      </c>
      <c r="AG24" s="13">
        <v>1</v>
      </c>
      <c r="AH24" s="9" t="s">
        <v>92</v>
      </c>
      <c r="AI24" s="13">
        <v>2190000</v>
      </c>
      <c r="AJ24" s="13">
        <v>4380000</v>
      </c>
      <c r="AK24" s="11">
        <v>0</v>
      </c>
      <c r="AL24" s="11">
        <v>0</v>
      </c>
      <c r="AM24" s="11">
        <v>0</v>
      </c>
      <c r="AN24" s="9" t="s">
        <v>67</v>
      </c>
      <c r="AO24" s="11">
        <v>4380000</v>
      </c>
      <c r="AP24" s="13">
        <v>350400</v>
      </c>
      <c r="AQ24" s="13">
        <v>4730400</v>
      </c>
      <c r="AR24" s="11">
        <v>40</v>
      </c>
      <c r="AS24" s="9" t="s">
        <v>72</v>
      </c>
      <c r="AT24" s="12">
        <v>39.619999999999997</v>
      </c>
      <c r="AU24" s="9" t="s">
        <v>73</v>
      </c>
      <c r="AV24" s="9" t="s">
        <v>67</v>
      </c>
      <c r="AW24" s="9" t="s">
        <v>981</v>
      </c>
      <c r="AX24" s="10">
        <v>45989</v>
      </c>
      <c r="AY24" s="9" t="s">
        <v>982</v>
      </c>
      <c r="AZ24" s="9" t="s">
        <v>67</v>
      </c>
      <c r="BA24" s="9" t="s">
        <v>67</v>
      </c>
      <c r="BB24" s="12">
        <v>40</v>
      </c>
      <c r="BC24" s="9" t="s">
        <v>74</v>
      </c>
      <c r="BD24" s="9" t="s">
        <v>104</v>
      </c>
      <c r="BE24" s="9" t="s">
        <v>75</v>
      </c>
      <c r="BF24" s="11">
        <v>0</v>
      </c>
      <c r="BG24">
        <f t="shared" si="2"/>
        <v>12</v>
      </c>
      <c r="BH24" t="str">
        <f>VLOOKUP(BG24,[1]month!$A:$B,2,0)</f>
        <v>Desember</v>
      </c>
      <c r="BI24">
        <f t="shared" si="3"/>
        <v>2025</v>
      </c>
      <c r="BJ24" t="str">
        <f>VLOOKUP(I24,[1]Dist!$A:$B,2,0)</f>
        <v>Industry</v>
      </c>
      <c r="BK24" t="str">
        <f>IF(I24=11,VLOOKUP(Y24,[2]Sheet1!$C:$N,10,0),IF(I24=13,VLOOKUP(Y24,[3]Sheet1!$C:$N,10,0),IF(I24=15,VLOOKUP(Y24,[4]Sheet1!$C:$N,10,0),"Unknown")))</f>
        <v>PU</v>
      </c>
      <c r="BL24" t="str">
        <f>IF(I24=11,VLOOKUP(Y24,[2]Sheet1!$C:$N,12,0),IF(I24=13,VLOOKUP(Y24,[3]Sheet1!$C:$N,12,0),IF(I24=15,VLOOKUP(Y24,[4]Sheet1!$C:$N,12,0),"Unknown")))</f>
        <v>PU HARDENER</v>
      </c>
      <c r="BM24" t="str">
        <f>VLOOKUP(W24,[1]branch!$A:$B,2,0)</f>
        <v>INDUSTRY</v>
      </c>
    </row>
    <row r="25" spans="1:65" x14ac:dyDescent="0.35">
      <c r="A25" s="10">
        <v>45992</v>
      </c>
      <c r="B25" s="9" t="s">
        <v>980</v>
      </c>
      <c r="C25" s="9" t="s">
        <v>64</v>
      </c>
      <c r="D25" s="9" t="s">
        <v>92</v>
      </c>
      <c r="E25" s="11">
        <v>60</v>
      </c>
      <c r="F25" s="9" t="s">
        <v>93</v>
      </c>
      <c r="G25" s="9" t="s">
        <v>65</v>
      </c>
      <c r="H25" s="9" t="s">
        <v>66</v>
      </c>
      <c r="I25" s="9">
        <v>11</v>
      </c>
      <c r="J25" s="9" t="s">
        <v>713</v>
      </c>
      <c r="K25" s="9" t="s">
        <v>713</v>
      </c>
      <c r="L25" s="9" t="s">
        <v>713</v>
      </c>
      <c r="M25" s="9" t="s">
        <v>714</v>
      </c>
      <c r="N25" s="9" t="s">
        <v>877</v>
      </c>
      <c r="O25" s="9" t="s">
        <v>97</v>
      </c>
      <c r="P25" s="9" t="s">
        <v>67</v>
      </c>
      <c r="Q25" s="9" t="s">
        <v>98</v>
      </c>
      <c r="R25" s="9" t="s">
        <v>713</v>
      </c>
      <c r="S25" s="9" t="s">
        <v>714</v>
      </c>
      <c r="T25" s="9" t="s">
        <v>803</v>
      </c>
      <c r="U25" s="9" t="s">
        <v>67</v>
      </c>
      <c r="V25" s="9" t="s">
        <v>221</v>
      </c>
      <c r="W25" s="9" t="s">
        <v>222</v>
      </c>
      <c r="X25" s="11">
        <v>40</v>
      </c>
      <c r="Y25" s="9" t="s">
        <v>118</v>
      </c>
      <c r="Z25" s="9" t="s">
        <v>68</v>
      </c>
      <c r="AA25" s="9" t="s">
        <v>119</v>
      </c>
      <c r="AB25" s="9" t="s">
        <v>67</v>
      </c>
      <c r="AC25" s="9" t="s">
        <v>120</v>
      </c>
      <c r="AD25" s="11">
        <v>8</v>
      </c>
      <c r="AE25" s="9" t="s">
        <v>70</v>
      </c>
      <c r="AF25" s="9" t="s">
        <v>71</v>
      </c>
      <c r="AG25" s="13">
        <v>1</v>
      </c>
      <c r="AH25" s="9" t="s">
        <v>92</v>
      </c>
      <c r="AI25" s="13">
        <v>7869200</v>
      </c>
      <c r="AJ25" s="13">
        <v>62953600</v>
      </c>
      <c r="AK25" s="11">
        <v>0</v>
      </c>
      <c r="AL25" s="11">
        <v>0</v>
      </c>
      <c r="AM25" s="11">
        <v>0</v>
      </c>
      <c r="AN25" s="9" t="s">
        <v>67</v>
      </c>
      <c r="AO25" s="11">
        <v>62953600</v>
      </c>
      <c r="AP25" s="13">
        <v>5036288</v>
      </c>
      <c r="AQ25" s="13">
        <v>67989888</v>
      </c>
      <c r="AR25" s="11">
        <v>1480</v>
      </c>
      <c r="AS25" s="9" t="s">
        <v>72</v>
      </c>
      <c r="AT25" s="11">
        <v>1600</v>
      </c>
      <c r="AU25" s="9" t="s">
        <v>73</v>
      </c>
      <c r="AV25" s="9" t="s">
        <v>67</v>
      </c>
      <c r="AW25" s="9" t="s">
        <v>981</v>
      </c>
      <c r="AX25" s="10">
        <v>45989</v>
      </c>
      <c r="AY25" s="9" t="s">
        <v>982</v>
      </c>
      <c r="AZ25" s="9" t="s">
        <v>67</v>
      </c>
      <c r="BA25" s="9" t="s">
        <v>67</v>
      </c>
      <c r="BB25" s="12">
        <v>1600</v>
      </c>
      <c r="BC25" s="9" t="s">
        <v>74</v>
      </c>
      <c r="BD25" s="9" t="s">
        <v>104</v>
      </c>
      <c r="BE25" s="9" t="s">
        <v>75</v>
      </c>
      <c r="BF25" s="11">
        <v>0</v>
      </c>
      <c r="BG25">
        <f t="shared" si="2"/>
        <v>12</v>
      </c>
      <c r="BH25" t="str">
        <f>VLOOKUP(BG25,[1]month!$A:$B,2,0)</f>
        <v>Desember</v>
      </c>
      <c r="BI25">
        <f t="shared" si="3"/>
        <v>2025</v>
      </c>
      <c r="BJ25" t="str">
        <f>VLOOKUP(I25,[1]Dist!$A:$B,2,0)</f>
        <v>Industry</v>
      </c>
      <c r="BK25" t="str">
        <f>IF(I25=11,VLOOKUP(Y25,[2]Sheet1!$C:$N,10,0),IF(I25=13,VLOOKUP(Y25,[3]Sheet1!$C:$N,10,0),IF(I25=15,VLOOKUP(Y25,[4]Sheet1!$C:$N,10,0),"Unknown")))</f>
        <v>THINNER PU</v>
      </c>
      <c r="BL25" t="str">
        <f>IF(I25=11,VLOOKUP(Y25,[2]Sheet1!$C:$N,12,0),IF(I25=13,VLOOKUP(Y25,[3]Sheet1!$C:$N,12,0),IF(I25=15,VLOOKUP(Y25,[4]Sheet1!$C:$N,12,0),"Unknown")))</f>
        <v>THINNER PU</v>
      </c>
      <c r="BM25" t="str">
        <f>VLOOKUP(W25,[1]branch!$A:$B,2,0)</f>
        <v>INDUSTRY</v>
      </c>
    </row>
    <row r="26" spans="1:65" x14ac:dyDescent="0.35">
      <c r="A26" s="10">
        <v>45992</v>
      </c>
      <c r="B26" s="9" t="s">
        <v>983</v>
      </c>
      <c r="C26" s="9" t="s">
        <v>64</v>
      </c>
      <c r="D26" s="9" t="s">
        <v>92</v>
      </c>
      <c r="E26" s="11">
        <v>60</v>
      </c>
      <c r="F26" s="9" t="s">
        <v>93</v>
      </c>
      <c r="G26" s="9" t="s">
        <v>65</v>
      </c>
      <c r="H26" s="9" t="s">
        <v>66</v>
      </c>
      <c r="I26" s="9">
        <v>11</v>
      </c>
      <c r="J26" s="9" t="s">
        <v>132</v>
      </c>
      <c r="K26" s="9" t="s">
        <v>132</v>
      </c>
      <c r="L26" s="9" t="s">
        <v>132</v>
      </c>
      <c r="M26" s="9" t="s">
        <v>133</v>
      </c>
      <c r="N26" s="9" t="s">
        <v>586</v>
      </c>
      <c r="O26" s="9" t="s">
        <v>97</v>
      </c>
      <c r="P26" s="9" t="s">
        <v>67</v>
      </c>
      <c r="Q26" s="9" t="s">
        <v>98</v>
      </c>
      <c r="R26" s="9" t="s">
        <v>672</v>
      </c>
      <c r="S26" s="9" t="s">
        <v>133</v>
      </c>
      <c r="T26" s="9" t="s">
        <v>823</v>
      </c>
      <c r="U26" s="9" t="s">
        <v>67</v>
      </c>
      <c r="V26" s="9" t="s">
        <v>130</v>
      </c>
      <c r="W26" s="9" t="s">
        <v>131</v>
      </c>
      <c r="X26" s="11">
        <v>10</v>
      </c>
      <c r="Y26" s="9" t="s">
        <v>669</v>
      </c>
      <c r="Z26" s="9" t="s">
        <v>68</v>
      </c>
      <c r="AA26" s="9" t="s">
        <v>670</v>
      </c>
      <c r="AB26" s="9" t="s">
        <v>67</v>
      </c>
      <c r="AC26" s="9" t="s">
        <v>135</v>
      </c>
      <c r="AD26" s="11">
        <v>1</v>
      </c>
      <c r="AE26" s="9" t="s">
        <v>70</v>
      </c>
      <c r="AF26" s="9" t="s">
        <v>71</v>
      </c>
      <c r="AG26" s="13">
        <v>1</v>
      </c>
      <c r="AH26" s="9" t="s">
        <v>92</v>
      </c>
      <c r="AI26" s="13">
        <v>18660000</v>
      </c>
      <c r="AJ26" s="13">
        <v>18660000</v>
      </c>
      <c r="AK26" s="11">
        <v>0</v>
      </c>
      <c r="AL26" s="11">
        <v>0</v>
      </c>
      <c r="AM26" s="11">
        <v>0</v>
      </c>
      <c r="AN26" s="9" t="s">
        <v>67</v>
      </c>
      <c r="AO26" s="11">
        <v>18660000</v>
      </c>
      <c r="AP26" s="13">
        <v>1492800</v>
      </c>
      <c r="AQ26" s="13">
        <v>20152800</v>
      </c>
      <c r="AR26" s="11">
        <v>200</v>
      </c>
      <c r="AS26" s="9" t="s">
        <v>72</v>
      </c>
      <c r="AT26" s="12">
        <v>194.17</v>
      </c>
      <c r="AU26" s="9" t="s">
        <v>73</v>
      </c>
      <c r="AV26" s="9" t="s">
        <v>67</v>
      </c>
      <c r="AW26" s="9" t="s">
        <v>984</v>
      </c>
      <c r="AX26" s="10">
        <v>45988</v>
      </c>
      <c r="AY26" s="9" t="s">
        <v>985</v>
      </c>
      <c r="AZ26" s="9" t="s">
        <v>67</v>
      </c>
      <c r="BA26" s="9" t="s">
        <v>67</v>
      </c>
      <c r="BB26" s="12">
        <v>200</v>
      </c>
      <c r="BC26" s="9" t="s">
        <v>74</v>
      </c>
      <c r="BD26" s="9" t="s">
        <v>104</v>
      </c>
      <c r="BE26" s="9" t="s">
        <v>75</v>
      </c>
      <c r="BF26" s="11">
        <v>0</v>
      </c>
      <c r="BG26">
        <f t="shared" si="2"/>
        <v>12</v>
      </c>
      <c r="BH26" t="str">
        <f>VLOOKUP(BG26,[1]month!$A:$B,2,0)</f>
        <v>Desember</v>
      </c>
      <c r="BI26">
        <f t="shared" si="3"/>
        <v>2025</v>
      </c>
      <c r="BJ26" t="str">
        <f>VLOOKUP(I26,[1]Dist!$A:$B,2,0)</f>
        <v>Industry</v>
      </c>
      <c r="BK26" t="str">
        <f>IF(I26=11,VLOOKUP(Y26,[2]Sheet1!$C:$N,10,0),IF(I26=13,VLOOKUP(Y26,[3]Sheet1!$C:$N,10,0),IF(I26=15,VLOOKUP(Y26,[4]Sheet1!$C:$N,10,0),"Unknown")))</f>
        <v>NC</v>
      </c>
      <c r="BL26" t="str">
        <f>IF(I26=11,VLOOKUP(Y26,[2]Sheet1!$C:$N,12,0),IF(I26=13,VLOOKUP(Y26,[3]Sheet1!$C:$N,12,0),IF(I26=15,VLOOKUP(Y26,[4]Sheet1!$C:$N,12,0),"Unknown")))</f>
        <v>ASOF : NC BASE COAT</v>
      </c>
      <c r="BM26" t="str">
        <f>VLOOKUP(W26,[1]branch!$A:$B,2,0)</f>
        <v>INDUSTRY</v>
      </c>
    </row>
    <row r="27" spans="1:65" x14ac:dyDescent="0.35">
      <c r="A27" s="10">
        <v>45992</v>
      </c>
      <c r="B27" s="9" t="s">
        <v>983</v>
      </c>
      <c r="C27" s="9" t="s">
        <v>64</v>
      </c>
      <c r="D27" s="9" t="s">
        <v>92</v>
      </c>
      <c r="E27" s="11">
        <v>60</v>
      </c>
      <c r="F27" s="9" t="s">
        <v>93</v>
      </c>
      <c r="G27" s="9" t="s">
        <v>65</v>
      </c>
      <c r="H27" s="9" t="s">
        <v>66</v>
      </c>
      <c r="I27" s="9">
        <v>11</v>
      </c>
      <c r="J27" s="9" t="s">
        <v>132</v>
      </c>
      <c r="K27" s="9" t="s">
        <v>132</v>
      </c>
      <c r="L27" s="9" t="s">
        <v>132</v>
      </c>
      <c r="M27" s="9" t="s">
        <v>133</v>
      </c>
      <c r="N27" s="9" t="s">
        <v>586</v>
      </c>
      <c r="O27" s="9" t="s">
        <v>97</v>
      </c>
      <c r="P27" s="9" t="s">
        <v>67</v>
      </c>
      <c r="Q27" s="9" t="s">
        <v>98</v>
      </c>
      <c r="R27" s="9" t="s">
        <v>672</v>
      </c>
      <c r="S27" s="9" t="s">
        <v>133</v>
      </c>
      <c r="T27" s="9" t="s">
        <v>823</v>
      </c>
      <c r="U27" s="9" t="s">
        <v>67</v>
      </c>
      <c r="V27" s="9" t="s">
        <v>130</v>
      </c>
      <c r="W27" s="9" t="s">
        <v>131</v>
      </c>
      <c r="X27" s="11">
        <v>30</v>
      </c>
      <c r="Y27" s="9" t="s">
        <v>437</v>
      </c>
      <c r="Z27" s="9" t="s">
        <v>68</v>
      </c>
      <c r="AA27" s="9" t="s">
        <v>625</v>
      </c>
      <c r="AB27" s="9" t="s">
        <v>67</v>
      </c>
      <c r="AC27" s="9" t="s">
        <v>142</v>
      </c>
      <c r="AD27" s="11">
        <v>1</v>
      </c>
      <c r="AE27" s="9" t="s">
        <v>70</v>
      </c>
      <c r="AF27" s="9" t="s">
        <v>71</v>
      </c>
      <c r="AG27" s="13">
        <v>1</v>
      </c>
      <c r="AH27" s="9" t="s">
        <v>92</v>
      </c>
      <c r="AI27" s="13">
        <v>14148000</v>
      </c>
      <c r="AJ27" s="13">
        <v>14148000</v>
      </c>
      <c r="AK27" s="11">
        <v>0</v>
      </c>
      <c r="AL27" s="11">
        <v>0</v>
      </c>
      <c r="AM27" s="11">
        <v>0</v>
      </c>
      <c r="AN27" s="9" t="s">
        <v>67</v>
      </c>
      <c r="AO27" s="11">
        <v>14148000</v>
      </c>
      <c r="AP27" s="13">
        <v>1131840</v>
      </c>
      <c r="AQ27" s="13">
        <v>15279840</v>
      </c>
      <c r="AR27" s="11">
        <v>180</v>
      </c>
      <c r="AS27" s="9" t="s">
        <v>72</v>
      </c>
      <c r="AT27" s="12">
        <v>181.82</v>
      </c>
      <c r="AU27" s="9" t="s">
        <v>73</v>
      </c>
      <c r="AV27" s="9" t="s">
        <v>67</v>
      </c>
      <c r="AW27" s="9" t="s">
        <v>984</v>
      </c>
      <c r="AX27" s="10">
        <v>45988</v>
      </c>
      <c r="AY27" s="9" t="s">
        <v>985</v>
      </c>
      <c r="AZ27" s="9" t="s">
        <v>67</v>
      </c>
      <c r="BA27" s="9" t="s">
        <v>67</v>
      </c>
      <c r="BB27" s="12">
        <v>180</v>
      </c>
      <c r="BC27" s="9" t="s">
        <v>74</v>
      </c>
      <c r="BD27" s="9" t="s">
        <v>104</v>
      </c>
      <c r="BE27" s="9" t="s">
        <v>75</v>
      </c>
      <c r="BF27" s="11">
        <v>0</v>
      </c>
      <c r="BG27">
        <f t="shared" si="2"/>
        <v>12</v>
      </c>
      <c r="BH27" t="str">
        <f>VLOOKUP(BG27,[1]month!$A:$B,2,0)</f>
        <v>Desember</v>
      </c>
      <c r="BI27">
        <f t="shared" si="3"/>
        <v>2025</v>
      </c>
      <c r="BJ27" t="str">
        <f>VLOOKUP(I27,[1]Dist!$A:$B,2,0)</f>
        <v>Industry</v>
      </c>
      <c r="BK27" t="str">
        <f>IF(I27=11,VLOOKUP(Y27,[2]Sheet1!$C:$N,10,0),IF(I27=13,VLOOKUP(Y27,[3]Sheet1!$C:$N,10,0),IF(I27=15,VLOOKUP(Y27,[4]Sheet1!$C:$N,10,0),"Unknown")))</f>
        <v>NC</v>
      </c>
      <c r="BL27" t="str">
        <f>IF(I27=11,VLOOKUP(Y27,[2]Sheet1!$C:$N,12,0),IF(I27=13,VLOOKUP(Y27,[3]Sheet1!$C:$N,12,0),IF(I27=15,VLOOKUP(Y27,[4]Sheet1!$C:$N,12,0),"Unknown")))</f>
        <v>ASOF : NC TOP COAT</v>
      </c>
      <c r="BM27" t="str">
        <f>VLOOKUP(W27,[1]branch!$A:$B,2,0)</f>
        <v>INDUSTRY</v>
      </c>
    </row>
    <row r="28" spans="1:65" x14ac:dyDescent="0.35">
      <c r="A28" s="10">
        <v>45992</v>
      </c>
      <c r="B28" s="9" t="s">
        <v>983</v>
      </c>
      <c r="C28" s="9" t="s">
        <v>64</v>
      </c>
      <c r="D28" s="9" t="s">
        <v>92</v>
      </c>
      <c r="E28" s="11">
        <v>60</v>
      </c>
      <c r="F28" s="9" t="s">
        <v>93</v>
      </c>
      <c r="G28" s="9" t="s">
        <v>65</v>
      </c>
      <c r="H28" s="9" t="s">
        <v>66</v>
      </c>
      <c r="I28" s="9">
        <v>11</v>
      </c>
      <c r="J28" s="9" t="s">
        <v>132</v>
      </c>
      <c r="K28" s="9" t="s">
        <v>132</v>
      </c>
      <c r="L28" s="9" t="s">
        <v>132</v>
      </c>
      <c r="M28" s="9" t="s">
        <v>133</v>
      </c>
      <c r="N28" s="9" t="s">
        <v>586</v>
      </c>
      <c r="O28" s="9" t="s">
        <v>97</v>
      </c>
      <c r="P28" s="9" t="s">
        <v>67</v>
      </c>
      <c r="Q28" s="9" t="s">
        <v>98</v>
      </c>
      <c r="R28" s="9" t="s">
        <v>672</v>
      </c>
      <c r="S28" s="9" t="s">
        <v>133</v>
      </c>
      <c r="T28" s="9" t="s">
        <v>823</v>
      </c>
      <c r="U28" s="9" t="s">
        <v>67</v>
      </c>
      <c r="V28" s="9" t="s">
        <v>130</v>
      </c>
      <c r="W28" s="9" t="s">
        <v>131</v>
      </c>
      <c r="X28" s="11">
        <v>40</v>
      </c>
      <c r="Y28" s="9" t="s">
        <v>136</v>
      </c>
      <c r="Z28" s="9" t="s">
        <v>68</v>
      </c>
      <c r="AA28" s="9" t="s">
        <v>636</v>
      </c>
      <c r="AB28" s="9" t="s">
        <v>67</v>
      </c>
      <c r="AC28" s="9" t="s">
        <v>137</v>
      </c>
      <c r="AD28" s="11">
        <v>2</v>
      </c>
      <c r="AE28" s="9" t="s">
        <v>70</v>
      </c>
      <c r="AF28" s="9" t="s">
        <v>71</v>
      </c>
      <c r="AG28" s="13">
        <v>1</v>
      </c>
      <c r="AH28" s="9" t="s">
        <v>92</v>
      </c>
      <c r="AI28" s="13">
        <v>12924000</v>
      </c>
      <c r="AJ28" s="13">
        <v>25848000</v>
      </c>
      <c r="AK28" s="11">
        <v>0</v>
      </c>
      <c r="AL28" s="11">
        <v>0</v>
      </c>
      <c r="AM28" s="11">
        <v>0</v>
      </c>
      <c r="AN28" s="9" t="s">
        <v>67</v>
      </c>
      <c r="AO28" s="11">
        <v>25848000</v>
      </c>
      <c r="AP28" s="13">
        <v>2067840</v>
      </c>
      <c r="AQ28" s="13">
        <v>27915840</v>
      </c>
      <c r="AR28" s="11">
        <v>360</v>
      </c>
      <c r="AS28" s="9" t="s">
        <v>72</v>
      </c>
      <c r="AT28" s="12">
        <v>367.34</v>
      </c>
      <c r="AU28" s="9" t="s">
        <v>73</v>
      </c>
      <c r="AV28" s="9" t="s">
        <v>67</v>
      </c>
      <c r="AW28" s="9" t="s">
        <v>984</v>
      </c>
      <c r="AX28" s="10">
        <v>45988</v>
      </c>
      <c r="AY28" s="9" t="s">
        <v>985</v>
      </c>
      <c r="AZ28" s="9" t="s">
        <v>67</v>
      </c>
      <c r="BA28" s="9" t="s">
        <v>67</v>
      </c>
      <c r="BB28" s="12">
        <v>360</v>
      </c>
      <c r="BC28" s="9" t="s">
        <v>74</v>
      </c>
      <c r="BD28" s="9" t="s">
        <v>104</v>
      </c>
      <c r="BE28" s="9" t="s">
        <v>75</v>
      </c>
      <c r="BF28" s="11">
        <v>0</v>
      </c>
      <c r="BG28">
        <f t="shared" si="2"/>
        <v>12</v>
      </c>
      <c r="BH28" t="str">
        <f>VLOOKUP(BG28,[1]month!$A:$B,2,0)</f>
        <v>Desember</v>
      </c>
      <c r="BI28">
        <f t="shared" si="3"/>
        <v>2025</v>
      </c>
      <c r="BJ28" t="str">
        <f>VLOOKUP(I28,[1]Dist!$A:$B,2,0)</f>
        <v>Industry</v>
      </c>
      <c r="BK28" t="str">
        <f>IF(I28=11,VLOOKUP(Y28,[2]Sheet1!$C:$N,10,0),IF(I28=13,VLOOKUP(Y28,[3]Sheet1!$C:$N,10,0),IF(I28=15,VLOOKUP(Y28,[4]Sheet1!$C:$N,10,0),"Unknown")))</f>
        <v>NC</v>
      </c>
      <c r="BL28" t="str">
        <f>IF(I28=11,VLOOKUP(Y28,[2]Sheet1!$C:$N,12,0),IF(I28=13,VLOOKUP(Y28,[3]Sheet1!$C:$N,12,0),IF(I28=15,VLOOKUP(Y28,[4]Sheet1!$C:$N,12,0),"Unknown")))</f>
        <v>ASOF : NC BASE COAT</v>
      </c>
      <c r="BM28" t="str">
        <f>VLOOKUP(W28,[1]branch!$A:$B,2,0)</f>
        <v>INDUSTRY</v>
      </c>
    </row>
    <row r="29" spans="1:65" x14ac:dyDescent="0.35">
      <c r="A29" s="10">
        <v>45992</v>
      </c>
      <c r="B29" s="9" t="s">
        <v>983</v>
      </c>
      <c r="C29" s="9" t="s">
        <v>64</v>
      </c>
      <c r="D29" s="9" t="s">
        <v>92</v>
      </c>
      <c r="E29" s="11">
        <v>60</v>
      </c>
      <c r="F29" s="9" t="s">
        <v>93</v>
      </c>
      <c r="G29" s="9" t="s">
        <v>65</v>
      </c>
      <c r="H29" s="9" t="s">
        <v>66</v>
      </c>
      <c r="I29" s="9">
        <v>11</v>
      </c>
      <c r="J29" s="9" t="s">
        <v>132</v>
      </c>
      <c r="K29" s="9" t="s">
        <v>132</v>
      </c>
      <c r="L29" s="9" t="s">
        <v>132</v>
      </c>
      <c r="M29" s="9" t="s">
        <v>133</v>
      </c>
      <c r="N29" s="9" t="s">
        <v>586</v>
      </c>
      <c r="O29" s="9" t="s">
        <v>97</v>
      </c>
      <c r="P29" s="9" t="s">
        <v>67</v>
      </c>
      <c r="Q29" s="9" t="s">
        <v>98</v>
      </c>
      <c r="R29" s="9" t="s">
        <v>672</v>
      </c>
      <c r="S29" s="9" t="s">
        <v>133</v>
      </c>
      <c r="T29" s="9" t="s">
        <v>823</v>
      </c>
      <c r="U29" s="9" t="s">
        <v>67</v>
      </c>
      <c r="V29" s="9" t="s">
        <v>130</v>
      </c>
      <c r="W29" s="9" t="s">
        <v>131</v>
      </c>
      <c r="X29" s="11">
        <v>50</v>
      </c>
      <c r="Y29" s="9" t="s">
        <v>609</v>
      </c>
      <c r="Z29" s="9" t="s">
        <v>68</v>
      </c>
      <c r="AA29" s="9" t="s">
        <v>642</v>
      </c>
      <c r="AB29" s="9" t="s">
        <v>67</v>
      </c>
      <c r="AC29" s="9" t="s">
        <v>82</v>
      </c>
      <c r="AD29" s="11">
        <v>1</v>
      </c>
      <c r="AE29" s="9" t="s">
        <v>70</v>
      </c>
      <c r="AF29" s="9" t="s">
        <v>71</v>
      </c>
      <c r="AG29" s="13">
        <v>1</v>
      </c>
      <c r="AH29" s="9" t="s">
        <v>92</v>
      </c>
      <c r="AI29" s="13">
        <v>1148400</v>
      </c>
      <c r="AJ29" s="13">
        <v>1148400</v>
      </c>
      <c r="AK29" s="11">
        <v>0</v>
      </c>
      <c r="AL29" s="11">
        <v>0</v>
      </c>
      <c r="AM29" s="11">
        <v>0</v>
      </c>
      <c r="AN29" s="9" t="s">
        <v>67</v>
      </c>
      <c r="AO29" s="11">
        <v>1148400</v>
      </c>
      <c r="AP29" s="13">
        <v>91872</v>
      </c>
      <c r="AQ29" s="13">
        <v>1240272</v>
      </c>
      <c r="AR29" s="11">
        <v>4</v>
      </c>
      <c r="AS29" s="9" t="s">
        <v>72</v>
      </c>
      <c r="AT29" s="12">
        <v>4.26</v>
      </c>
      <c r="AU29" s="9" t="s">
        <v>73</v>
      </c>
      <c r="AV29" s="9" t="s">
        <v>67</v>
      </c>
      <c r="AW29" s="9" t="s">
        <v>984</v>
      </c>
      <c r="AX29" s="10">
        <v>45988</v>
      </c>
      <c r="AY29" s="9" t="s">
        <v>985</v>
      </c>
      <c r="AZ29" s="9" t="s">
        <v>67</v>
      </c>
      <c r="BA29" s="9" t="s">
        <v>67</v>
      </c>
      <c r="BB29" s="12">
        <v>4</v>
      </c>
      <c r="BC29" s="9" t="s">
        <v>74</v>
      </c>
      <c r="BD29" s="9" t="s">
        <v>104</v>
      </c>
      <c r="BE29" s="9" t="s">
        <v>75</v>
      </c>
      <c r="BF29" s="11">
        <v>0</v>
      </c>
      <c r="BG29">
        <f t="shared" si="2"/>
        <v>12</v>
      </c>
      <c r="BH29" t="str">
        <f>VLOOKUP(BG29,[1]month!$A:$B,2,0)</f>
        <v>Desember</v>
      </c>
      <c r="BI29">
        <f t="shared" si="3"/>
        <v>2025</v>
      </c>
      <c r="BJ29" t="str">
        <f>VLOOKUP(I29,[1]Dist!$A:$B,2,0)</f>
        <v>Industry</v>
      </c>
      <c r="BK29" t="str">
        <f>IF(I29=11,VLOOKUP(Y29,[2]Sheet1!$C:$N,10,0),IF(I29=13,VLOOKUP(Y29,[3]Sheet1!$C:$N,10,0),IF(I29=15,VLOOKUP(Y29,[4]Sheet1!$C:$N,10,0),"Unknown")))</f>
        <v>STAIN &amp; GLAZE INTERIOR</v>
      </c>
      <c r="BL29" t="str">
        <f>IF(I29=11,VLOOKUP(Y29,[2]Sheet1!$C:$N,12,0),IF(I29=13,VLOOKUP(Y29,[3]Sheet1!$C:$N,12,0),IF(I29=15,VLOOKUP(Y29,[4]Sheet1!$C:$N,12,0),"Unknown")))</f>
        <v>STAIN INTERIOR</v>
      </c>
      <c r="BM29" t="str">
        <f>VLOOKUP(W29,[1]branch!$A:$B,2,0)</f>
        <v>INDUSTRY</v>
      </c>
    </row>
    <row r="30" spans="1:65" x14ac:dyDescent="0.35">
      <c r="A30" s="10">
        <v>45992</v>
      </c>
      <c r="B30" s="9" t="s">
        <v>983</v>
      </c>
      <c r="C30" s="9" t="s">
        <v>64</v>
      </c>
      <c r="D30" s="9" t="s">
        <v>92</v>
      </c>
      <c r="E30" s="11">
        <v>60</v>
      </c>
      <c r="F30" s="9" t="s">
        <v>93</v>
      </c>
      <c r="G30" s="9" t="s">
        <v>65</v>
      </c>
      <c r="H30" s="9" t="s">
        <v>66</v>
      </c>
      <c r="I30" s="9">
        <v>11</v>
      </c>
      <c r="J30" s="9" t="s">
        <v>132</v>
      </c>
      <c r="K30" s="9" t="s">
        <v>132</v>
      </c>
      <c r="L30" s="9" t="s">
        <v>132</v>
      </c>
      <c r="M30" s="9" t="s">
        <v>133</v>
      </c>
      <c r="N30" s="9" t="s">
        <v>586</v>
      </c>
      <c r="O30" s="9" t="s">
        <v>97</v>
      </c>
      <c r="P30" s="9" t="s">
        <v>67</v>
      </c>
      <c r="Q30" s="9" t="s">
        <v>98</v>
      </c>
      <c r="R30" s="9" t="s">
        <v>672</v>
      </c>
      <c r="S30" s="9" t="s">
        <v>133</v>
      </c>
      <c r="T30" s="9" t="s">
        <v>823</v>
      </c>
      <c r="U30" s="9" t="s">
        <v>67</v>
      </c>
      <c r="V30" s="9" t="s">
        <v>130</v>
      </c>
      <c r="W30" s="9" t="s">
        <v>131</v>
      </c>
      <c r="X30" s="11">
        <v>60</v>
      </c>
      <c r="Y30" s="9" t="s">
        <v>514</v>
      </c>
      <c r="Z30" s="9" t="s">
        <v>68</v>
      </c>
      <c r="AA30" s="9" t="s">
        <v>654</v>
      </c>
      <c r="AB30" s="9" t="s">
        <v>67</v>
      </c>
      <c r="AC30" s="9" t="s">
        <v>139</v>
      </c>
      <c r="AD30" s="11">
        <v>1</v>
      </c>
      <c r="AE30" s="9" t="s">
        <v>70</v>
      </c>
      <c r="AF30" s="9" t="s">
        <v>71</v>
      </c>
      <c r="AG30" s="13">
        <v>1</v>
      </c>
      <c r="AH30" s="9" t="s">
        <v>92</v>
      </c>
      <c r="AI30" s="13">
        <v>5856000</v>
      </c>
      <c r="AJ30" s="13">
        <v>5856000</v>
      </c>
      <c r="AK30" s="11">
        <v>0</v>
      </c>
      <c r="AL30" s="11">
        <v>0</v>
      </c>
      <c r="AM30" s="11">
        <v>0</v>
      </c>
      <c r="AN30" s="9" t="s">
        <v>67</v>
      </c>
      <c r="AO30" s="11">
        <v>5856000</v>
      </c>
      <c r="AP30" s="13">
        <v>468480</v>
      </c>
      <c r="AQ30" s="13">
        <v>6324480</v>
      </c>
      <c r="AR30" s="11">
        <v>160</v>
      </c>
      <c r="AS30" s="9" t="s">
        <v>72</v>
      </c>
      <c r="AT30" s="11">
        <v>200</v>
      </c>
      <c r="AU30" s="9" t="s">
        <v>73</v>
      </c>
      <c r="AV30" s="9" t="s">
        <v>67</v>
      </c>
      <c r="AW30" s="9" t="s">
        <v>984</v>
      </c>
      <c r="AX30" s="10">
        <v>45988</v>
      </c>
      <c r="AY30" s="9" t="s">
        <v>985</v>
      </c>
      <c r="AZ30" s="9" t="s">
        <v>67</v>
      </c>
      <c r="BA30" s="9" t="s">
        <v>67</v>
      </c>
      <c r="BB30" s="12">
        <v>160</v>
      </c>
      <c r="BC30" s="9" t="s">
        <v>74</v>
      </c>
      <c r="BD30" s="9" t="s">
        <v>104</v>
      </c>
      <c r="BE30" s="9" t="s">
        <v>75</v>
      </c>
      <c r="BF30" s="11">
        <v>0</v>
      </c>
      <c r="BG30">
        <f t="shared" si="2"/>
        <v>12</v>
      </c>
      <c r="BH30" t="str">
        <f>VLOOKUP(BG30,[1]month!$A:$B,2,0)</f>
        <v>Desember</v>
      </c>
      <c r="BI30">
        <f t="shared" si="3"/>
        <v>2025</v>
      </c>
      <c r="BJ30" t="str">
        <f>VLOOKUP(I30,[1]Dist!$A:$B,2,0)</f>
        <v>Industry</v>
      </c>
      <c r="BK30" t="str">
        <f>IF(I30=11,VLOOKUP(Y30,[2]Sheet1!$C:$N,10,0),IF(I30=13,VLOOKUP(Y30,[3]Sheet1!$C:$N,10,0),IF(I30=15,VLOOKUP(Y30,[4]Sheet1!$C:$N,10,0),"Unknown")))</f>
        <v>THINNER NC</v>
      </c>
      <c r="BL30" t="str">
        <f>IF(I30=11,VLOOKUP(Y30,[2]Sheet1!$C:$N,12,0),IF(I30=13,VLOOKUP(Y30,[3]Sheet1!$C:$N,12,0),IF(I30=15,VLOOKUP(Y30,[4]Sheet1!$C:$N,12,0),"Unknown")))</f>
        <v>THINNER COMPLEMENTARY</v>
      </c>
      <c r="BM30" t="str">
        <f>VLOOKUP(W30,[1]branch!$A:$B,2,0)</f>
        <v>INDUSTRY</v>
      </c>
    </row>
    <row r="31" spans="1:65" x14ac:dyDescent="0.35">
      <c r="A31" s="10">
        <v>45992</v>
      </c>
      <c r="B31" s="9" t="s">
        <v>983</v>
      </c>
      <c r="C31" s="9" t="s">
        <v>64</v>
      </c>
      <c r="D31" s="9" t="s">
        <v>92</v>
      </c>
      <c r="E31" s="11">
        <v>60</v>
      </c>
      <c r="F31" s="9" t="s">
        <v>93</v>
      </c>
      <c r="G31" s="9" t="s">
        <v>65</v>
      </c>
      <c r="H31" s="9" t="s">
        <v>66</v>
      </c>
      <c r="I31" s="9">
        <v>11</v>
      </c>
      <c r="J31" s="9" t="s">
        <v>132</v>
      </c>
      <c r="K31" s="9" t="s">
        <v>132</v>
      </c>
      <c r="L31" s="9" t="s">
        <v>132</v>
      </c>
      <c r="M31" s="9" t="s">
        <v>133</v>
      </c>
      <c r="N31" s="9" t="s">
        <v>586</v>
      </c>
      <c r="O31" s="9" t="s">
        <v>97</v>
      </c>
      <c r="P31" s="9" t="s">
        <v>67</v>
      </c>
      <c r="Q31" s="9" t="s">
        <v>98</v>
      </c>
      <c r="R31" s="9" t="s">
        <v>672</v>
      </c>
      <c r="S31" s="9" t="s">
        <v>133</v>
      </c>
      <c r="T31" s="9" t="s">
        <v>823</v>
      </c>
      <c r="U31" s="9" t="s">
        <v>67</v>
      </c>
      <c r="V31" s="9" t="s">
        <v>130</v>
      </c>
      <c r="W31" s="9" t="s">
        <v>131</v>
      </c>
      <c r="X31" s="11">
        <v>80</v>
      </c>
      <c r="Y31" s="9" t="s">
        <v>141</v>
      </c>
      <c r="Z31" s="9" t="s">
        <v>68</v>
      </c>
      <c r="AA31" s="9" t="s">
        <v>626</v>
      </c>
      <c r="AB31" s="9" t="s">
        <v>67</v>
      </c>
      <c r="AC31" s="9" t="s">
        <v>69</v>
      </c>
      <c r="AD31" s="11">
        <v>2</v>
      </c>
      <c r="AE31" s="9" t="s">
        <v>70</v>
      </c>
      <c r="AF31" s="9" t="s">
        <v>71</v>
      </c>
      <c r="AG31" s="13">
        <v>1</v>
      </c>
      <c r="AH31" s="9" t="s">
        <v>92</v>
      </c>
      <c r="AI31" s="13">
        <v>6448000</v>
      </c>
      <c r="AJ31" s="13">
        <v>12896000</v>
      </c>
      <c r="AK31" s="11">
        <v>0</v>
      </c>
      <c r="AL31" s="11">
        <v>0</v>
      </c>
      <c r="AM31" s="11">
        <v>0</v>
      </c>
      <c r="AN31" s="9" t="s">
        <v>67</v>
      </c>
      <c r="AO31" s="11">
        <v>12896000</v>
      </c>
      <c r="AP31" s="13">
        <v>1031680</v>
      </c>
      <c r="AQ31" s="13">
        <v>13927680</v>
      </c>
      <c r="AR31" s="11">
        <v>320</v>
      </c>
      <c r="AS31" s="9" t="s">
        <v>72</v>
      </c>
      <c r="AT31" s="12">
        <v>359.56</v>
      </c>
      <c r="AU31" s="9" t="s">
        <v>73</v>
      </c>
      <c r="AV31" s="9" t="s">
        <v>67</v>
      </c>
      <c r="AW31" s="9" t="s">
        <v>984</v>
      </c>
      <c r="AX31" s="10">
        <v>45988</v>
      </c>
      <c r="AY31" s="9" t="s">
        <v>985</v>
      </c>
      <c r="AZ31" s="9" t="s">
        <v>67</v>
      </c>
      <c r="BA31" s="9" t="s">
        <v>67</v>
      </c>
      <c r="BB31" s="12">
        <v>320</v>
      </c>
      <c r="BC31" s="9" t="s">
        <v>74</v>
      </c>
      <c r="BD31" s="9" t="s">
        <v>104</v>
      </c>
      <c r="BE31" s="9" t="s">
        <v>75</v>
      </c>
      <c r="BF31" s="11">
        <v>0</v>
      </c>
      <c r="BG31">
        <f t="shared" si="2"/>
        <v>12</v>
      </c>
      <c r="BH31" t="str">
        <f>VLOOKUP(BG31,[1]month!$A:$B,2,0)</f>
        <v>Desember</v>
      </c>
      <c r="BI31">
        <f t="shared" si="3"/>
        <v>2025</v>
      </c>
      <c r="BJ31" t="str">
        <f>VLOOKUP(I31,[1]Dist!$A:$B,2,0)</f>
        <v>Industry</v>
      </c>
      <c r="BK31" t="str">
        <f>IF(I31=11,VLOOKUP(Y31,[2]Sheet1!$C:$N,10,0),IF(I31=13,VLOOKUP(Y31,[3]Sheet1!$C:$N,10,0),IF(I31=15,VLOOKUP(Y31,[4]Sheet1!$C:$N,10,0),"Unknown")))</f>
        <v>THINNER NC</v>
      </c>
      <c r="BL31" t="str">
        <f>IF(I31=11,VLOOKUP(Y31,[2]Sheet1!$C:$N,12,0),IF(I31=13,VLOOKUP(Y31,[3]Sheet1!$C:$N,12,0),IF(I31=15,VLOOKUP(Y31,[4]Sheet1!$C:$N,12,0),"Unknown")))</f>
        <v>THINNER NC</v>
      </c>
      <c r="BM31" t="str">
        <f>VLOOKUP(W31,[1]branch!$A:$B,2,0)</f>
        <v>INDUSTRY</v>
      </c>
    </row>
    <row r="32" spans="1:65" x14ac:dyDescent="0.35">
      <c r="A32" s="10">
        <v>45992</v>
      </c>
      <c r="B32" s="9" t="s">
        <v>983</v>
      </c>
      <c r="C32" s="9" t="s">
        <v>64</v>
      </c>
      <c r="D32" s="9" t="s">
        <v>92</v>
      </c>
      <c r="E32" s="11">
        <v>60</v>
      </c>
      <c r="F32" s="9" t="s">
        <v>93</v>
      </c>
      <c r="G32" s="9" t="s">
        <v>65</v>
      </c>
      <c r="H32" s="9" t="s">
        <v>66</v>
      </c>
      <c r="I32" s="9">
        <v>11</v>
      </c>
      <c r="J32" s="9" t="s">
        <v>132</v>
      </c>
      <c r="K32" s="9" t="s">
        <v>132</v>
      </c>
      <c r="L32" s="9" t="s">
        <v>132</v>
      </c>
      <c r="M32" s="9" t="s">
        <v>133</v>
      </c>
      <c r="N32" s="9" t="s">
        <v>586</v>
      </c>
      <c r="O32" s="9" t="s">
        <v>97</v>
      </c>
      <c r="P32" s="9" t="s">
        <v>67</v>
      </c>
      <c r="Q32" s="9" t="s">
        <v>98</v>
      </c>
      <c r="R32" s="9" t="s">
        <v>672</v>
      </c>
      <c r="S32" s="9" t="s">
        <v>133</v>
      </c>
      <c r="T32" s="9" t="s">
        <v>823</v>
      </c>
      <c r="U32" s="9" t="s">
        <v>67</v>
      </c>
      <c r="V32" s="9" t="s">
        <v>130</v>
      </c>
      <c r="W32" s="9" t="s">
        <v>131</v>
      </c>
      <c r="X32" s="11">
        <v>100</v>
      </c>
      <c r="Y32" s="9" t="s">
        <v>589</v>
      </c>
      <c r="Z32" s="9" t="s">
        <v>68</v>
      </c>
      <c r="AA32" s="9" t="s">
        <v>590</v>
      </c>
      <c r="AB32" s="9" t="s">
        <v>67</v>
      </c>
      <c r="AC32" s="9" t="s">
        <v>591</v>
      </c>
      <c r="AD32" s="11">
        <v>1</v>
      </c>
      <c r="AE32" s="9" t="s">
        <v>70</v>
      </c>
      <c r="AF32" s="9" t="s">
        <v>71</v>
      </c>
      <c r="AG32" s="13">
        <v>1</v>
      </c>
      <c r="AH32" s="9" t="s">
        <v>92</v>
      </c>
      <c r="AI32" s="13">
        <v>32900400</v>
      </c>
      <c r="AJ32" s="13">
        <v>32900400</v>
      </c>
      <c r="AK32" s="11">
        <v>0</v>
      </c>
      <c r="AL32" s="11">
        <v>0</v>
      </c>
      <c r="AM32" s="11">
        <v>0</v>
      </c>
      <c r="AN32" s="9" t="s">
        <v>67</v>
      </c>
      <c r="AO32" s="11">
        <v>32900400</v>
      </c>
      <c r="AP32" s="13">
        <v>2632032</v>
      </c>
      <c r="AQ32" s="13">
        <v>35532432</v>
      </c>
      <c r="AR32" s="11">
        <v>180</v>
      </c>
      <c r="AS32" s="9" t="s">
        <v>72</v>
      </c>
      <c r="AT32" s="12">
        <v>192.93</v>
      </c>
      <c r="AU32" s="9" t="s">
        <v>73</v>
      </c>
      <c r="AV32" s="9" t="s">
        <v>67</v>
      </c>
      <c r="AW32" s="9" t="s">
        <v>984</v>
      </c>
      <c r="AX32" s="10">
        <v>45988</v>
      </c>
      <c r="AY32" s="9" t="s">
        <v>985</v>
      </c>
      <c r="AZ32" s="9" t="s">
        <v>67</v>
      </c>
      <c r="BA32" s="9" t="s">
        <v>67</v>
      </c>
      <c r="BB32" s="12">
        <v>180</v>
      </c>
      <c r="BC32" s="9" t="s">
        <v>74</v>
      </c>
      <c r="BD32" s="9" t="s">
        <v>104</v>
      </c>
      <c r="BE32" s="9" t="s">
        <v>75</v>
      </c>
      <c r="BF32" s="11">
        <v>0</v>
      </c>
      <c r="BG32">
        <f t="shared" si="2"/>
        <v>12</v>
      </c>
      <c r="BH32" t="str">
        <f>VLOOKUP(BG32,[1]month!$A:$B,2,0)</f>
        <v>Desember</v>
      </c>
      <c r="BI32">
        <f t="shared" si="3"/>
        <v>2025</v>
      </c>
      <c r="BJ32" t="str">
        <f>VLOOKUP(I32,[1]Dist!$A:$B,2,0)</f>
        <v>Industry</v>
      </c>
      <c r="BK32" t="str">
        <f>IF(I32=11,VLOOKUP(Y32,[2]Sheet1!$C:$N,10,0),IF(I32=13,VLOOKUP(Y32,[3]Sheet1!$C:$N,10,0),IF(I32=15,VLOOKUP(Y32,[4]Sheet1!$C:$N,10,0),"Unknown")))</f>
        <v>ALKYD OIL</v>
      </c>
      <c r="BL32" t="str">
        <f>IF(I32=11,VLOOKUP(Y32,[2]Sheet1!$C:$N,12,0),IF(I32=13,VLOOKUP(Y32,[3]Sheet1!$C:$N,12,0),IF(I32=15,VLOOKUP(Y32,[4]Sheet1!$C:$N,12,0),"Unknown")))</f>
        <v>ALKYD &amp; OIL SYSTEM</v>
      </c>
      <c r="BM32" t="str">
        <f>VLOOKUP(W32,[1]branch!$A:$B,2,0)</f>
        <v>INDUSTRY</v>
      </c>
    </row>
    <row r="33" spans="1:65" x14ac:dyDescent="0.35">
      <c r="A33" s="10">
        <v>45992</v>
      </c>
      <c r="B33" s="9" t="s">
        <v>986</v>
      </c>
      <c r="C33" s="9" t="s">
        <v>64</v>
      </c>
      <c r="D33" s="9" t="s">
        <v>92</v>
      </c>
      <c r="E33" s="11">
        <v>60</v>
      </c>
      <c r="F33" s="9" t="s">
        <v>93</v>
      </c>
      <c r="G33" s="9" t="s">
        <v>65</v>
      </c>
      <c r="H33" s="9" t="s">
        <v>66</v>
      </c>
      <c r="I33" s="9">
        <v>11</v>
      </c>
      <c r="J33" s="9" t="s">
        <v>533</v>
      </c>
      <c r="K33" s="9" t="s">
        <v>533</v>
      </c>
      <c r="L33" s="9" t="s">
        <v>533</v>
      </c>
      <c r="M33" s="9" t="s">
        <v>534</v>
      </c>
      <c r="N33" s="9" t="s">
        <v>891</v>
      </c>
      <c r="O33" s="9" t="s">
        <v>97</v>
      </c>
      <c r="P33" s="9" t="s">
        <v>67</v>
      </c>
      <c r="Q33" s="9" t="s">
        <v>98</v>
      </c>
      <c r="R33" s="9" t="s">
        <v>533</v>
      </c>
      <c r="S33" s="9" t="s">
        <v>534</v>
      </c>
      <c r="T33" s="9" t="s">
        <v>834</v>
      </c>
      <c r="U33" s="9" t="s">
        <v>67</v>
      </c>
      <c r="V33" s="9" t="s">
        <v>535</v>
      </c>
      <c r="W33" s="9" t="s">
        <v>536</v>
      </c>
      <c r="X33" s="11">
        <v>10</v>
      </c>
      <c r="Y33" s="9" t="s">
        <v>537</v>
      </c>
      <c r="Z33" s="9" t="s">
        <v>538</v>
      </c>
      <c r="AA33" s="9" t="s">
        <v>539</v>
      </c>
      <c r="AB33" s="9" t="s">
        <v>67</v>
      </c>
      <c r="AC33" s="9" t="s">
        <v>139</v>
      </c>
      <c r="AD33" s="11">
        <v>21910</v>
      </c>
      <c r="AE33" s="9" t="s">
        <v>72</v>
      </c>
      <c r="AF33" s="9" t="s">
        <v>71</v>
      </c>
      <c r="AG33" s="13">
        <v>1</v>
      </c>
      <c r="AH33" s="9" t="s">
        <v>92</v>
      </c>
      <c r="AI33" s="13">
        <v>27150</v>
      </c>
      <c r="AJ33" s="13">
        <v>594856500</v>
      </c>
      <c r="AK33" s="11">
        <v>0</v>
      </c>
      <c r="AL33" s="11">
        <v>0</v>
      </c>
      <c r="AM33" s="11">
        <v>0</v>
      </c>
      <c r="AN33" s="9" t="s">
        <v>67</v>
      </c>
      <c r="AO33" s="11">
        <v>594856500</v>
      </c>
      <c r="AP33" s="13">
        <v>47588520</v>
      </c>
      <c r="AQ33" s="13">
        <v>642445020</v>
      </c>
      <c r="AR33" s="11">
        <v>21910</v>
      </c>
      <c r="AS33" s="9" t="s">
        <v>72</v>
      </c>
      <c r="AT33" s="12">
        <v>23005.5</v>
      </c>
      <c r="AU33" s="9" t="s">
        <v>73</v>
      </c>
      <c r="AV33" s="9" t="s">
        <v>67</v>
      </c>
      <c r="AW33" s="9" t="s">
        <v>987</v>
      </c>
      <c r="AX33" s="10">
        <v>45992</v>
      </c>
      <c r="AY33" s="9" t="s">
        <v>988</v>
      </c>
      <c r="AZ33" s="9" t="s">
        <v>67</v>
      </c>
      <c r="BA33" s="9" t="s">
        <v>67</v>
      </c>
      <c r="BB33" s="12">
        <v>21910</v>
      </c>
      <c r="BC33" s="9" t="s">
        <v>74</v>
      </c>
      <c r="BD33" s="9" t="s">
        <v>104</v>
      </c>
      <c r="BE33" s="9" t="s">
        <v>75</v>
      </c>
      <c r="BF33" s="11">
        <v>0</v>
      </c>
      <c r="BG33">
        <f t="shared" si="2"/>
        <v>12</v>
      </c>
      <c r="BH33" t="str">
        <f>VLOOKUP(BG33,[1]month!$A:$B,2,0)</f>
        <v>Desember</v>
      </c>
      <c r="BI33">
        <f t="shared" si="3"/>
        <v>2025</v>
      </c>
      <c r="BJ33" t="str">
        <f>VLOOKUP(I33,[1]Dist!$A:$B,2,0)</f>
        <v>Industry</v>
      </c>
      <c r="BK33" t="str">
        <f>IF(I33=11,VLOOKUP(Y33,[2]Sheet1!$C:$N,10,0),IF(I33=13,VLOOKUP(Y33,[3]Sheet1!$C:$N,10,0),IF(I33=15,VLOOKUP(Y33,[4]Sheet1!$C:$N,10,0),"Unknown")))</f>
        <v>THINNER NC</v>
      </c>
      <c r="BL33" t="str">
        <f>IF(I33=11,VLOOKUP(Y33,[2]Sheet1!$C:$N,12,0),IF(I33=13,VLOOKUP(Y33,[3]Sheet1!$C:$N,12,0),IF(I33=15,VLOOKUP(Y33,[4]Sheet1!$C:$N,12,0),"Unknown")))</f>
        <v>THINNER COMPLEMENTARY</v>
      </c>
      <c r="BM33" t="str">
        <f>VLOOKUP(W33,[1]branch!$A:$B,2,0)</f>
        <v>INDUSTRY</v>
      </c>
    </row>
    <row r="34" spans="1:65" x14ac:dyDescent="0.35">
      <c r="A34" s="10">
        <v>45992</v>
      </c>
      <c r="B34" s="9" t="s">
        <v>989</v>
      </c>
      <c r="C34" s="9" t="s">
        <v>64</v>
      </c>
      <c r="D34" s="9" t="s">
        <v>92</v>
      </c>
      <c r="E34" s="11">
        <v>45</v>
      </c>
      <c r="F34" s="9" t="s">
        <v>93</v>
      </c>
      <c r="G34" s="9" t="s">
        <v>65</v>
      </c>
      <c r="H34" s="9" t="s">
        <v>66</v>
      </c>
      <c r="I34" s="9">
        <v>11</v>
      </c>
      <c r="J34" s="9" t="s">
        <v>425</v>
      </c>
      <c r="K34" s="9" t="s">
        <v>425</v>
      </c>
      <c r="L34" s="9" t="s">
        <v>425</v>
      </c>
      <c r="M34" s="9" t="s">
        <v>426</v>
      </c>
      <c r="N34" s="9" t="s">
        <v>724</v>
      </c>
      <c r="O34" s="9" t="s">
        <v>97</v>
      </c>
      <c r="P34" s="9" t="s">
        <v>67</v>
      </c>
      <c r="Q34" s="9" t="s">
        <v>98</v>
      </c>
      <c r="R34" s="9" t="s">
        <v>725</v>
      </c>
      <c r="S34" s="9" t="s">
        <v>426</v>
      </c>
      <c r="T34" s="9" t="s">
        <v>913</v>
      </c>
      <c r="U34" s="9" t="s">
        <v>67</v>
      </c>
      <c r="V34" s="9" t="s">
        <v>130</v>
      </c>
      <c r="W34" s="9" t="s">
        <v>131</v>
      </c>
      <c r="X34" s="11">
        <v>10</v>
      </c>
      <c r="Y34" s="9" t="s">
        <v>640</v>
      </c>
      <c r="Z34" s="9" t="s">
        <v>68</v>
      </c>
      <c r="AA34" s="9" t="s">
        <v>641</v>
      </c>
      <c r="AB34" s="9" t="s">
        <v>67</v>
      </c>
      <c r="AC34" s="9" t="s">
        <v>427</v>
      </c>
      <c r="AD34" s="11">
        <v>2</v>
      </c>
      <c r="AE34" s="9" t="s">
        <v>70</v>
      </c>
      <c r="AF34" s="9" t="s">
        <v>71</v>
      </c>
      <c r="AG34" s="13">
        <v>1</v>
      </c>
      <c r="AH34" s="9" t="s">
        <v>92</v>
      </c>
      <c r="AI34" s="13">
        <v>11688000</v>
      </c>
      <c r="AJ34" s="13">
        <v>23376000</v>
      </c>
      <c r="AK34" s="11">
        <v>0</v>
      </c>
      <c r="AL34" s="11">
        <v>0</v>
      </c>
      <c r="AM34" s="11">
        <v>0</v>
      </c>
      <c r="AN34" s="9" t="s">
        <v>67</v>
      </c>
      <c r="AO34" s="11">
        <v>23376000</v>
      </c>
      <c r="AP34" s="13">
        <v>1870080</v>
      </c>
      <c r="AQ34" s="13">
        <v>25246080</v>
      </c>
      <c r="AR34" s="11">
        <v>40</v>
      </c>
      <c r="AS34" s="9" t="s">
        <v>72</v>
      </c>
      <c r="AT34" s="12">
        <v>33.058</v>
      </c>
      <c r="AU34" s="9" t="s">
        <v>73</v>
      </c>
      <c r="AV34" s="9" t="s">
        <v>67</v>
      </c>
      <c r="AW34" s="9" t="s">
        <v>990</v>
      </c>
      <c r="AX34" s="10">
        <v>45988</v>
      </c>
      <c r="AY34" s="9" t="s">
        <v>991</v>
      </c>
      <c r="AZ34" s="9" t="s">
        <v>67</v>
      </c>
      <c r="BA34" s="9" t="s">
        <v>67</v>
      </c>
      <c r="BB34" s="12">
        <v>40</v>
      </c>
      <c r="BC34" s="9" t="s">
        <v>74</v>
      </c>
      <c r="BD34" s="9" t="s">
        <v>104</v>
      </c>
      <c r="BE34" s="9" t="s">
        <v>75</v>
      </c>
      <c r="BF34" s="11">
        <v>0</v>
      </c>
      <c r="BG34">
        <f t="shared" si="2"/>
        <v>12</v>
      </c>
      <c r="BH34" t="str">
        <f>VLOOKUP(BG34,[1]month!$A:$B,2,0)</f>
        <v>Desember</v>
      </c>
      <c r="BI34">
        <f t="shared" si="3"/>
        <v>2025</v>
      </c>
      <c r="BJ34" t="str">
        <f>VLOOKUP(I34,[1]Dist!$A:$B,2,0)</f>
        <v>Industry</v>
      </c>
      <c r="BK34" t="str">
        <f>IF(I34=11,VLOOKUP(Y34,[2]Sheet1!$C:$N,10,0),IF(I34=13,VLOOKUP(Y34,[3]Sheet1!$C:$N,10,0),IF(I34=15,VLOOKUP(Y34,[4]Sheet1!$C:$N,10,0),"Unknown")))</f>
        <v>UV</v>
      </c>
      <c r="BL34" t="str">
        <f>IF(I34=11,VLOOKUP(Y34,[2]Sheet1!$C:$N,12,0),IF(I34=13,VLOOKUP(Y34,[3]Sheet1!$C:$N,12,0),IF(I34=15,VLOOKUP(Y34,[4]Sheet1!$C:$N,12,0),"Unknown")))</f>
        <v>UV PRIMER</v>
      </c>
      <c r="BM34" t="str">
        <f>VLOOKUP(W34,[1]branch!$A:$B,2,0)</f>
        <v>INDUSTRY</v>
      </c>
    </row>
    <row r="35" spans="1:65" x14ac:dyDescent="0.35">
      <c r="A35" s="10">
        <v>45992</v>
      </c>
      <c r="B35" s="9" t="s">
        <v>992</v>
      </c>
      <c r="C35" s="9" t="s">
        <v>64</v>
      </c>
      <c r="D35" s="9" t="s">
        <v>92</v>
      </c>
      <c r="E35" s="11">
        <v>45</v>
      </c>
      <c r="F35" s="9" t="s">
        <v>93</v>
      </c>
      <c r="G35" s="9" t="s">
        <v>65</v>
      </c>
      <c r="H35" s="9" t="s">
        <v>66</v>
      </c>
      <c r="I35" s="9">
        <v>11</v>
      </c>
      <c r="J35" s="9" t="s">
        <v>425</v>
      </c>
      <c r="K35" s="9" t="s">
        <v>425</v>
      </c>
      <c r="L35" s="9" t="s">
        <v>425</v>
      </c>
      <c r="M35" s="9" t="s">
        <v>426</v>
      </c>
      <c r="N35" s="9" t="s">
        <v>724</v>
      </c>
      <c r="O35" s="9" t="s">
        <v>97</v>
      </c>
      <c r="P35" s="9" t="s">
        <v>67</v>
      </c>
      <c r="Q35" s="9" t="s">
        <v>98</v>
      </c>
      <c r="R35" s="9" t="s">
        <v>725</v>
      </c>
      <c r="S35" s="9" t="s">
        <v>426</v>
      </c>
      <c r="T35" s="9" t="s">
        <v>913</v>
      </c>
      <c r="U35" s="9" t="s">
        <v>67</v>
      </c>
      <c r="V35" s="9" t="s">
        <v>130</v>
      </c>
      <c r="W35" s="9" t="s">
        <v>131</v>
      </c>
      <c r="X35" s="11">
        <v>10</v>
      </c>
      <c r="Y35" s="9" t="s">
        <v>686</v>
      </c>
      <c r="Z35" s="9" t="s">
        <v>68</v>
      </c>
      <c r="AA35" s="9" t="s">
        <v>687</v>
      </c>
      <c r="AB35" s="9" t="s">
        <v>67</v>
      </c>
      <c r="AC35" s="9" t="s">
        <v>660</v>
      </c>
      <c r="AD35" s="11">
        <v>3</v>
      </c>
      <c r="AE35" s="9" t="s">
        <v>70</v>
      </c>
      <c r="AF35" s="9" t="s">
        <v>71</v>
      </c>
      <c r="AG35" s="13">
        <v>1</v>
      </c>
      <c r="AH35" s="9" t="s">
        <v>92</v>
      </c>
      <c r="AI35" s="13">
        <v>6684000</v>
      </c>
      <c r="AJ35" s="13">
        <v>20052000</v>
      </c>
      <c r="AK35" s="11">
        <v>0</v>
      </c>
      <c r="AL35" s="11">
        <v>0</v>
      </c>
      <c r="AM35" s="11">
        <v>0</v>
      </c>
      <c r="AN35" s="9" t="s">
        <v>67</v>
      </c>
      <c r="AO35" s="11">
        <v>20052000</v>
      </c>
      <c r="AP35" s="13">
        <v>1604160</v>
      </c>
      <c r="AQ35" s="13">
        <v>21656160</v>
      </c>
      <c r="AR35" s="11">
        <v>60</v>
      </c>
      <c r="AS35" s="9" t="s">
        <v>72</v>
      </c>
      <c r="AT35" s="12">
        <v>50.420999999999999</v>
      </c>
      <c r="AU35" s="9" t="s">
        <v>73</v>
      </c>
      <c r="AV35" s="9" t="s">
        <v>67</v>
      </c>
      <c r="AW35" s="9" t="s">
        <v>993</v>
      </c>
      <c r="AX35" s="10">
        <v>45986</v>
      </c>
      <c r="AY35" s="9" t="s">
        <v>994</v>
      </c>
      <c r="AZ35" s="9" t="s">
        <v>67</v>
      </c>
      <c r="BA35" s="9" t="s">
        <v>67</v>
      </c>
      <c r="BB35" s="12">
        <v>60</v>
      </c>
      <c r="BC35" s="9" t="s">
        <v>74</v>
      </c>
      <c r="BD35" s="9" t="s">
        <v>104</v>
      </c>
      <c r="BE35" s="9" t="s">
        <v>75</v>
      </c>
      <c r="BF35" s="11">
        <v>0</v>
      </c>
      <c r="BG35">
        <f t="shared" si="2"/>
        <v>12</v>
      </c>
      <c r="BH35" t="str">
        <f>VLOOKUP(BG35,[1]month!$A:$B,2,0)</f>
        <v>Desember</v>
      </c>
      <c r="BI35">
        <f t="shared" si="3"/>
        <v>2025</v>
      </c>
      <c r="BJ35" t="str">
        <f>VLOOKUP(I35,[1]Dist!$A:$B,2,0)</f>
        <v>Industry</v>
      </c>
      <c r="BK35" t="str">
        <f>IF(I35=11,VLOOKUP(Y35,[2]Sheet1!$C:$N,10,0),IF(I35=13,VLOOKUP(Y35,[3]Sheet1!$C:$N,10,0),IF(I35=15,VLOOKUP(Y35,[4]Sheet1!$C:$N,10,0),"Unknown")))</f>
        <v>UV</v>
      </c>
      <c r="BL35" t="str">
        <f>IF(I35=11,VLOOKUP(Y35,[2]Sheet1!$C:$N,12,0),IF(I35=13,VLOOKUP(Y35,[3]Sheet1!$C:$N,12,0),IF(I35=15,VLOOKUP(Y35,[4]Sheet1!$C:$N,12,0),"Unknown")))</f>
        <v>UV PRIMER</v>
      </c>
      <c r="BM35" t="str">
        <f>VLOOKUP(W35,[1]branch!$A:$B,2,0)</f>
        <v>INDUSTRY</v>
      </c>
    </row>
    <row r="36" spans="1:65" x14ac:dyDescent="0.35">
      <c r="A36" s="10">
        <v>45992</v>
      </c>
      <c r="B36" s="9" t="s">
        <v>992</v>
      </c>
      <c r="C36" s="9" t="s">
        <v>64</v>
      </c>
      <c r="D36" s="9" t="s">
        <v>92</v>
      </c>
      <c r="E36" s="11">
        <v>45</v>
      </c>
      <c r="F36" s="9" t="s">
        <v>93</v>
      </c>
      <c r="G36" s="9" t="s">
        <v>65</v>
      </c>
      <c r="H36" s="9" t="s">
        <v>66</v>
      </c>
      <c r="I36" s="9">
        <v>11</v>
      </c>
      <c r="J36" s="9" t="s">
        <v>425</v>
      </c>
      <c r="K36" s="9" t="s">
        <v>425</v>
      </c>
      <c r="L36" s="9" t="s">
        <v>425</v>
      </c>
      <c r="M36" s="9" t="s">
        <v>426</v>
      </c>
      <c r="N36" s="9" t="s">
        <v>724</v>
      </c>
      <c r="O36" s="9" t="s">
        <v>97</v>
      </c>
      <c r="P36" s="9" t="s">
        <v>67</v>
      </c>
      <c r="Q36" s="9" t="s">
        <v>98</v>
      </c>
      <c r="R36" s="9" t="s">
        <v>725</v>
      </c>
      <c r="S36" s="9" t="s">
        <v>426</v>
      </c>
      <c r="T36" s="9" t="s">
        <v>913</v>
      </c>
      <c r="U36" s="9" t="s">
        <v>67</v>
      </c>
      <c r="V36" s="9" t="s">
        <v>130</v>
      </c>
      <c r="W36" s="9" t="s">
        <v>131</v>
      </c>
      <c r="X36" s="11">
        <v>20</v>
      </c>
      <c r="Y36" s="9" t="s">
        <v>732</v>
      </c>
      <c r="Z36" s="9" t="s">
        <v>68</v>
      </c>
      <c r="AA36" s="9" t="s">
        <v>733</v>
      </c>
      <c r="AB36" s="9" t="s">
        <v>67</v>
      </c>
      <c r="AC36" s="9" t="s">
        <v>660</v>
      </c>
      <c r="AD36" s="11">
        <v>2</v>
      </c>
      <c r="AE36" s="9" t="s">
        <v>70</v>
      </c>
      <c r="AF36" s="9" t="s">
        <v>71</v>
      </c>
      <c r="AG36" s="13">
        <v>1</v>
      </c>
      <c r="AH36" s="9" t="s">
        <v>92</v>
      </c>
      <c r="AI36" s="13">
        <v>6306000</v>
      </c>
      <c r="AJ36" s="13">
        <v>12612000</v>
      </c>
      <c r="AK36" s="11">
        <v>0</v>
      </c>
      <c r="AL36" s="11">
        <v>0</v>
      </c>
      <c r="AM36" s="11">
        <v>0</v>
      </c>
      <c r="AN36" s="9" t="s">
        <v>67</v>
      </c>
      <c r="AO36" s="11">
        <v>12612000</v>
      </c>
      <c r="AP36" s="13">
        <v>1008960</v>
      </c>
      <c r="AQ36" s="13">
        <v>13620960</v>
      </c>
      <c r="AR36" s="11">
        <v>40</v>
      </c>
      <c r="AS36" s="9" t="s">
        <v>72</v>
      </c>
      <c r="AT36" s="12">
        <v>26.49</v>
      </c>
      <c r="AU36" s="9" t="s">
        <v>73</v>
      </c>
      <c r="AV36" s="9" t="s">
        <v>67</v>
      </c>
      <c r="AW36" s="9" t="s">
        <v>993</v>
      </c>
      <c r="AX36" s="10">
        <v>45986</v>
      </c>
      <c r="AY36" s="9" t="s">
        <v>994</v>
      </c>
      <c r="AZ36" s="9" t="s">
        <v>67</v>
      </c>
      <c r="BA36" s="9" t="s">
        <v>67</v>
      </c>
      <c r="BB36" s="12">
        <v>40</v>
      </c>
      <c r="BC36" s="9" t="s">
        <v>74</v>
      </c>
      <c r="BD36" s="9" t="s">
        <v>104</v>
      </c>
      <c r="BE36" s="9" t="s">
        <v>75</v>
      </c>
      <c r="BF36" s="11">
        <v>0</v>
      </c>
      <c r="BG36">
        <f t="shared" si="2"/>
        <v>12</v>
      </c>
      <c r="BH36" t="str">
        <f>VLOOKUP(BG36,[1]month!$A:$B,2,0)</f>
        <v>Desember</v>
      </c>
      <c r="BI36">
        <f t="shared" si="3"/>
        <v>2025</v>
      </c>
      <c r="BJ36" t="str">
        <f>VLOOKUP(I36,[1]Dist!$A:$B,2,0)</f>
        <v>Industry</v>
      </c>
      <c r="BK36" t="str">
        <f>IF(I36=11,VLOOKUP(Y36,[2]Sheet1!$C:$N,10,0),IF(I36=13,VLOOKUP(Y36,[3]Sheet1!$C:$N,10,0),IF(I36=15,VLOOKUP(Y36,[4]Sheet1!$C:$N,10,0),"Unknown")))</f>
        <v>UV</v>
      </c>
      <c r="BL36" t="str">
        <f>IF(I36=11,VLOOKUP(Y36,[2]Sheet1!$C:$N,12,0),IF(I36=13,VLOOKUP(Y36,[3]Sheet1!$C:$N,12,0),IF(I36=15,VLOOKUP(Y36,[4]Sheet1!$C:$N,12,0),"Unknown")))</f>
        <v>UV PRIMER</v>
      </c>
      <c r="BM36" t="str">
        <f>VLOOKUP(W36,[1]branch!$A:$B,2,0)</f>
        <v>INDUSTRY</v>
      </c>
    </row>
    <row r="37" spans="1:65" x14ac:dyDescent="0.35">
      <c r="A37" s="10">
        <v>45992</v>
      </c>
      <c r="B37" s="9" t="s">
        <v>992</v>
      </c>
      <c r="C37" s="9" t="s">
        <v>64</v>
      </c>
      <c r="D37" s="9" t="s">
        <v>92</v>
      </c>
      <c r="E37" s="11">
        <v>45</v>
      </c>
      <c r="F37" s="9" t="s">
        <v>93</v>
      </c>
      <c r="G37" s="9" t="s">
        <v>65</v>
      </c>
      <c r="H37" s="9" t="s">
        <v>66</v>
      </c>
      <c r="I37" s="9">
        <v>11</v>
      </c>
      <c r="J37" s="9" t="s">
        <v>425</v>
      </c>
      <c r="K37" s="9" t="s">
        <v>425</v>
      </c>
      <c r="L37" s="9" t="s">
        <v>425</v>
      </c>
      <c r="M37" s="9" t="s">
        <v>426</v>
      </c>
      <c r="N37" s="9" t="s">
        <v>724</v>
      </c>
      <c r="O37" s="9" t="s">
        <v>97</v>
      </c>
      <c r="P37" s="9" t="s">
        <v>67</v>
      </c>
      <c r="Q37" s="9" t="s">
        <v>98</v>
      </c>
      <c r="R37" s="9" t="s">
        <v>725</v>
      </c>
      <c r="S37" s="9" t="s">
        <v>426</v>
      </c>
      <c r="T37" s="9" t="s">
        <v>913</v>
      </c>
      <c r="U37" s="9" t="s">
        <v>67</v>
      </c>
      <c r="V37" s="9" t="s">
        <v>130</v>
      </c>
      <c r="W37" s="9" t="s">
        <v>131</v>
      </c>
      <c r="X37" s="11">
        <v>40</v>
      </c>
      <c r="Y37" s="9" t="s">
        <v>728</v>
      </c>
      <c r="Z37" s="9" t="s">
        <v>68</v>
      </c>
      <c r="AA37" s="9" t="s">
        <v>729</v>
      </c>
      <c r="AB37" s="9" t="s">
        <v>67</v>
      </c>
      <c r="AC37" s="9" t="s">
        <v>650</v>
      </c>
      <c r="AD37" s="11">
        <v>1</v>
      </c>
      <c r="AE37" s="9" t="s">
        <v>70</v>
      </c>
      <c r="AF37" s="9" t="s">
        <v>71</v>
      </c>
      <c r="AG37" s="13">
        <v>1</v>
      </c>
      <c r="AH37" s="9" t="s">
        <v>92</v>
      </c>
      <c r="AI37" s="13">
        <v>2163500</v>
      </c>
      <c r="AJ37" s="13">
        <v>2163500</v>
      </c>
      <c r="AK37" s="11">
        <v>0</v>
      </c>
      <c r="AL37" s="11">
        <v>0</v>
      </c>
      <c r="AM37" s="11">
        <v>0</v>
      </c>
      <c r="AN37" s="9" t="s">
        <v>67</v>
      </c>
      <c r="AO37" s="11">
        <v>2163500</v>
      </c>
      <c r="AP37" s="13">
        <v>173080</v>
      </c>
      <c r="AQ37" s="13">
        <v>2336580</v>
      </c>
      <c r="AR37" s="11">
        <v>5</v>
      </c>
      <c r="AS37" s="9" t="s">
        <v>72</v>
      </c>
      <c r="AT37" s="12">
        <v>4.1319999999999997</v>
      </c>
      <c r="AU37" s="9" t="s">
        <v>73</v>
      </c>
      <c r="AV37" s="9" t="s">
        <v>67</v>
      </c>
      <c r="AW37" s="9" t="s">
        <v>993</v>
      </c>
      <c r="AX37" s="10">
        <v>45986</v>
      </c>
      <c r="AY37" s="9" t="s">
        <v>994</v>
      </c>
      <c r="AZ37" s="9" t="s">
        <v>67</v>
      </c>
      <c r="BA37" s="9" t="s">
        <v>67</v>
      </c>
      <c r="BB37" s="12">
        <v>5</v>
      </c>
      <c r="BC37" s="9" t="s">
        <v>74</v>
      </c>
      <c r="BD37" s="9" t="s">
        <v>104</v>
      </c>
      <c r="BE37" s="9" t="s">
        <v>75</v>
      </c>
      <c r="BF37" s="11">
        <v>0</v>
      </c>
      <c r="BG37">
        <f t="shared" si="2"/>
        <v>12</v>
      </c>
      <c r="BH37" t="str">
        <f>VLOOKUP(BG37,[1]month!$A:$B,2,0)</f>
        <v>Desember</v>
      </c>
      <c r="BI37">
        <f t="shared" si="3"/>
        <v>2025</v>
      </c>
      <c r="BJ37" t="str">
        <f>VLOOKUP(I37,[1]Dist!$A:$B,2,0)</f>
        <v>Industry</v>
      </c>
      <c r="BK37" t="str">
        <f>IF(I37=11,VLOOKUP(Y37,[2]Sheet1!$C:$N,10,0),IF(I37=13,VLOOKUP(Y37,[3]Sheet1!$C:$N,10,0),IF(I37=15,VLOOKUP(Y37,[4]Sheet1!$C:$N,10,0),"Unknown")))</f>
        <v>UV</v>
      </c>
      <c r="BL37" t="str">
        <f>IF(I37=11,VLOOKUP(Y37,[2]Sheet1!$C:$N,12,0),IF(I37=13,VLOOKUP(Y37,[3]Sheet1!$C:$N,12,0),IF(I37=15,VLOOKUP(Y37,[4]Sheet1!$C:$N,12,0),"Unknown")))</f>
        <v>UV STAIN</v>
      </c>
      <c r="BM37" t="str">
        <f>VLOOKUP(W37,[1]branch!$A:$B,2,0)</f>
        <v>INDUSTRY</v>
      </c>
    </row>
    <row r="38" spans="1:65" x14ac:dyDescent="0.35">
      <c r="A38" s="10">
        <v>45992</v>
      </c>
      <c r="B38" s="9" t="s">
        <v>992</v>
      </c>
      <c r="C38" s="9" t="s">
        <v>64</v>
      </c>
      <c r="D38" s="9" t="s">
        <v>92</v>
      </c>
      <c r="E38" s="11">
        <v>45</v>
      </c>
      <c r="F38" s="9" t="s">
        <v>93</v>
      </c>
      <c r="G38" s="9" t="s">
        <v>65</v>
      </c>
      <c r="H38" s="9" t="s">
        <v>66</v>
      </c>
      <c r="I38" s="9">
        <v>11</v>
      </c>
      <c r="J38" s="9" t="s">
        <v>425</v>
      </c>
      <c r="K38" s="9" t="s">
        <v>425</v>
      </c>
      <c r="L38" s="9" t="s">
        <v>425</v>
      </c>
      <c r="M38" s="9" t="s">
        <v>426</v>
      </c>
      <c r="N38" s="9" t="s">
        <v>724</v>
      </c>
      <c r="O38" s="9" t="s">
        <v>97</v>
      </c>
      <c r="P38" s="9" t="s">
        <v>67</v>
      </c>
      <c r="Q38" s="9" t="s">
        <v>98</v>
      </c>
      <c r="R38" s="9" t="s">
        <v>725</v>
      </c>
      <c r="S38" s="9" t="s">
        <v>426</v>
      </c>
      <c r="T38" s="9" t="s">
        <v>913</v>
      </c>
      <c r="U38" s="9" t="s">
        <v>67</v>
      </c>
      <c r="V38" s="9" t="s">
        <v>130</v>
      </c>
      <c r="W38" s="9" t="s">
        <v>131</v>
      </c>
      <c r="X38" s="11">
        <v>50</v>
      </c>
      <c r="Y38" s="9" t="s">
        <v>726</v>
      </c>
      <c r="Z38" s="9" t="s">
        <v>68</v>
      </c>
      <c r="AA38" s="9" t="s">
        <v>727</v>
      </c>
      <c r="AB38" s="9" t="s">
        <v>67</v>
      </c>
      <c r="AC38" s="9" t="s">
        <v>650</v>
      </c>
      <c r="AD38" s="11">
        <v>1</v>
      </c>
      <c r="AE38" s="9" t="s">
        <v>70</v>
      </c>
      <c r="AF38" s="9" t="s">
        <v>71</v>
      </c>
      <c r="AG38" s="13">
        <v>1</v>
      </c>
      <c r="AH38" s="9" t="s">
        <v>92</v>
      </c>
      <c r="AI38" s="13">
        <v>1972000</v>
      </c>
      <c r="AJ38" s="13">
        <v>1972000</v>
      </c>
      <c r="AK38" s="11">
        <v>0</v>
      </c>
      <c r="AL38" s="11">
        <v>0</v>
      </c>
      <c r="AM38" s="11">
        <v>0</v>
      </c>
      <c r="AN38" s="9" t="s">
        <v>67</v>
      </c>
      <c r="AO38" s="11">
        <v>1972000</v>
      </c>
      <c r="AP38" s="13">
        <v>157760</v>
      </c>
      <c r="AQ38" s="13">
        <v>2129760</v>
      </c>
      <c r="AR38" s="11">
        <v>5</v>
      </c>
      <c r="AS38" s="9" t="s">
        <v>72</v>
      </c>
      <c r="AT38" s="12">
        <v>4.0650000000000004</v>
      </c>
      <c r="AU38" s="9" t="s">
        <v>73</v>
      </c>
      <c r="AV38" s="9" t="s">
        <v>67</v>
      </c>
      <c r="AW38" s="9" t="s">
        <v>993</v>
      </c>
      <c r="AX38" s="10">
        <v>45986</v>
      </c>
      <c r="AY38" s="9" t="s">
        <v>994</v>
      </c>
      <c r="AZ38" s="9" t="s">
        <v>67</v>
      </c>
      <c r="BA38" s="9" t="s">
        <v>67</v>
      </c>
      <c r="BB38" s="12">
        <v>5</v>
      </c>
      <c r="BC38" s="9" t="s">
        <v>74</v>
      </c>
      <c r="BD38" s="9" t="s">
        <v>104</v>
      </c>
      <c r="BE38" s="9" t="s">
        <v>75</v>
      </c>
      <c r="BF38" s="11">
        <v>0</v>
      </c>
      <c r="BG38">
        <f t="shared" si="2"/>
        <v>12</v>
      </c>
      <c r="BH38" t="str">
        <f>VLOOKUP(BG38,[1]month!$A:$B,2,0)</f>
        <v>Desember</v>
      </c>
      <c r="BI38">
        <f t="shared" si="3"/>
        <v>2025</v>
      </c>
      <c r="BJ38" t="str">
        <f>VLOOKUP(I38,[1]Dist!$A:$B,2,0)</f>
        <v>Industry</v>
      </c>
      <c r="BK38" t="str">
        <f>IF(I38=11,VLOOKUP(Y38,[2]Sheet1!$C:$N,10,0),IF(I38=13,VLOOKUP(Y38,[3]Sheet1!$C:$N,10,0),IF(I38=15,VLOOKUP(Y38,[4]Sheet1!$C:$N,10,0),"Unknown")))</f>
        <v>UV</v>
      </c>
      <c r="BL38" t="str">
        <f>IF(I38=11,VLOOKUP(Y38,[2]Sheet1!$C:$N,12,0),IF(I38=13,VLOOKUP(Y38,[3]Sheet1!$C:$N,12,0),IF(I38=15,VLOOKUP(Y38,[4]Sheet1!$C:$N,12,0),"Unknown")))</f>
        <v>UV STAIN</v>
      </c>
      <c r="BM38" t="str">
        <f>VLOOKUP(W38,[1]branch!$A:$B,2,0)</f>
        <v>INDUSTRY</v>
      </c>
    </row>
    <row r="39" spans="1:65" x14ac:dyDescent="0.35">
      <c r="A39" s="10">
        <v>45992</v>
      </c>
      <c r="B39" s="9" t="s">
        <v>992</v>
      </c>
      <c r="C39" s="9" t="s">
        <v>64</v>
      </c>
      <c r="D39" s="9" t="s">
        <v>92</v>
      </c>
      <c r="E39" s="11">
        <v>45</v>
      </c>
      <c r="F39" s="9" t="s">
        <v>93</v>
      </c>
      <c r="G39" s="9" t="s">
        <v>65</v>
      </c>
      <c r="H39" s="9" t="s">
        <v>66</v>
      </c>
      <c r="I39" s="9">
        <v>11</v>
      </c>
      <c r="J39" s="9" t="s">
        <v>425</v>
      </c>
      <c r="K39" s="9" t="s">
        <v>425</v>
      </c>
      <c r="L39" s="9" t="s">
        <v>425</v>
      </c>
      <c r="M39" s="9" t="s">
        <v>426</v>
      </c>
      <c r="N39" s="9" t="s">
        <v>724</v>
      </c>
      <c r="O39" s="9" t="s">
        <v>97</v>
      </c>
      <c r="P39" s="9" t="s">
        <v>67</v>
      </c>
      <c r="Q39" s="9" t="s">
        <v>98</v>
      </c>
      <c r="R39" s="9" t="s">
        <v>725</v>
      </c>
      <c r="S39" s="9" t="s">
        <v>426</v>
      </c>
      <c r="T39" s="9" t="s">
        <v>913</v>
      </c>
      <c r="U39" s="9" t="s">
        <v>67</v>
      </c>
      <c r="V39" s="9" t="s">
        <v>130</v>
      </c>
      <c r="W39" s="9" t="s">
        <v>131</v>
      </c>
      <c r="X39" s="11">
        <v>60</v>
      </c>
      <c r="Y39" s="9" t="s">
        <v>730</v>
      </c>
      <c r="Z39" s="9" t="s">
        <v>68</v>
      </c>
      <c r="AA39" s="9" t="s">
        <v>731</v>
      </c>
      <c r="AB39" s="9" t="s">
        <v>67</v>
      </c>
      <c r="AC39" s="9" t="s">
        <v>650</v>
      </c>
      <c r="AD39" s="11">
        <v>1</v>
      </c>
      <c r="AE39" s="9" t="s">
        <v>70</v>
      </c>
      <c r="AF39" s="9" t="s">
        <v>71</v>
      </c>
      <c r="AG39" s="13">
        <v>1</v>
      </c>
      <c r="AH39" s="9" t="s">
        <v>92</v>
      </c>
      <c r="AI39" s="13">
        <v>2085000</v>
      </c>
      <c r="AJ39" s="13">
        <v>2085000</v>
      </c>
      <c r="AK39" s="11">
        <v>0</v>
      </c>
      <c r="AL39" s="11">
        <v>0</v>
      </c>
      <c r="AM39" s="11">
        <v>0</v>
      </c>
      <c r="AN39" s="9" t="s">
        <v>67</v>
      </c>
      <c r="AO39" s="11">
        <v>2085000</v>
      </c>
      <c r="AP39" s="13">
        <v>166800</v>
      </c>
      <c r="AQ39" s="13">
        <v>2251800</v>
      </c>
      <c r="AR39" s="11">
        <v>5</v>
      </c>
      <c r="AS39" s="9" t="s">
        <v>72</v>
      </c>
      <c r="AT39" s="12">
        <v>4.3479999999999999</v>
      </c>
      <c r="AU39" s="9" t="s">
        <v>73</v>
      </c>
      <c r="AV39" s="9" t="s">
        <v>67</v>
      </c>
      <c r="AW39" s="9" t="s">
        <v>993</v>
      </c>
      <c r="AX39" s="10">
        <v>45986</v>
      </c>
      <c r="AY39" s="9" t="s">
        <v>994</v>
      </c>
      <c r="AZ39" s="9" t="s">
        <v>67</v>
      </c>
      <c r="BA39" s="9" t="s">
        <v>67</v>
      </c>
      <c r="BB39" s="12">
        <v>5</v>
      </c>
      <c r="BC39" s="9" t="s">
        <v>74</v>
      </c>
      <c r="BD39" s="9" t="s">
        <v>104</v>
      </c>
      <c r="BE39" s="9" t="s">
        <v>75</v>
      </c>
      <c r="BF39" s="11">
        <v>0</v>
      </c>
      <c r="BG39">
        <f t="shared" si="2"/>
        <v>12</v>
      </c>
      <c r="BH39" t="str">
        <f>VLOOKUP(BG39,[1]month!$A:$B,2,0)</f>
        <v>Desember</v>
      </c>
      <c r="BI39">
        <f t="shared" si="3"/>
        <v>2025</v>
      </c>
      <c r="BJ39" t="str">
        <f>VLOOKUP(I39,[1]Dist!$A:$B,2,0)</f>
        <v>Industry</v>
      </c>
      <c r="BK39" t="str">
        <f>IF(I39=11,VLOOKUP(Y39,[2]Sheet1!$C:$N,10,0),IF(I39=13,VLOOKUP(Y39,[3]Sheet1!$C:$N,10,0),IF(I39=15,VLOOKUP(Y39,[4]Sheet1!$C:$N,10,0),"Unknown")))</f>
        <v>UV</v>
      </c>
      <c r="BL39" t="str">
        <f>IF(I39=11,VLOOKUP(Y39,[2]Sheet1!$C:$N,12,0),IF(I39=13,VLOOKUP(Y39,[3]Sheet1!$C:$N,12,0),IF(I39=15,VLOOKUP(Y39,[4]Sheet1!$C:$N,12,0),"Unknown")))</f>
        <v>UV STAIN</v>
      </c>
      <c r="BM39" t="str">
        <f>VLOOKUP(W39,[1]branch!$A:$B,2,0)</f>
        <v>INDUSTRY</v>
      </c>
    </row>
    <row r="40" spans="1:65" x14ac:dyDescent="0.35">
      <c r="A40" s="10">
        <v>45992</v>
      </c>
      <c r="B40" s="9" t="s">
        <v>992</v>
      </c>
      <c r="C40" s="9" t="s">
        <v>64</v>
      </c>
      <c r="D40" s="9" t="s">
        <v>92</v>
      </c>
      <c r="E40" s="11">
        <v>45</v>
      </c>
      <c r="F40" s="9" t="s">
        <v>93</v>
      </c>
      <c r="G40" s="9" t="s">
        <v>65</v>
      </c>
      <c r="H40" s="9" t="s">
        <v>66</v>
      </c>
      <c r="I40" s="9">
        <v>11</v>
      </c>
      <c r="J40" s="9" t="s">
        <v>425</v>
      </c>
      <c r="K40" s="9" t="s">
        <v>425</v>
      </c>
      <c r="L40" s="9" t="s">
        <v>425</v>
      </c>
      <c r="M40" s="9" t="s">
        <v>426</v>
      </c>
      <c r="N40" s="9" t="s">
        <v>724</v>
      </c>
      <c r="O40" s="9" t="s">
        <v>97</v>
      </c>
      <c r="P40" s="9" t="s">
        <v>67</v>
      </c>
      <c r="Q40" s="9" t="s">
        <v>98</v>
      </c>
      <c r="R40" s="9" t="s">
        <v>725</v>
      </c>
      <c r="S40" s="9" t="s">
        <v>426</v>
      </c>
      <c r="T40" s="9" t="s">
        <v>913</v>
      </c>
      <c r="U40" s="9" t="s">
        <v>67</v>
      </c>
      <c r="V40" s="9" t="s">
        <v>130</v>
      </c>
      <c r="W40" s="9" t="s">
        <v>131</v>
      </c>
      <c r="X40" s="11">
        <v>70</v>
      </c>
      <c r="Y40" s="9" t="s">
        <v>651</v>
      </c>
      <c r="Z40" s="9" t="s">
        <v>68</v>
      </c>
      <c r="AA40" s="9" t="s">
        <v>652</v>
      </c>
      <c r="AB40" s="9" t="s">
        <v>67</v>
      </c>
      <c r="AC40" s="9" t="s">
        <v>653</v>
      </c>
      <c r="AD40" s="11">
        <v>2</v>
      </c>
      <c r="AE40" s="9" t="s">
        <v>70</v>
      </c>
      <c r="AF40" s="9" t="s">
        <v>71</v>
      </c>
      <c r="AG40" s="13">
        <v>1</v>
      </c>
      <c r="AH40" s="9" t="s">
        <v>92</v>
      </c>
      <c r="AI40" s="13">
        <v>5554000</v>
      </c>
      <c r="AJ40" s="13">
        <v>11108000</v>
      </c>
      <c r="AK40" s="11">
        <v>0</v>
      </c>
      <c r="AL40" s="11">
        <v>0</v>
      </c>
      <c r="AM40" s="11">
        <v>0</v>
      </c>
      <c r="AN40" s="9" t="s">
        <v>67</v>
      </c>
      <c r="AO40" s="11">
        <v>11108000</v>
      </c>
      <c r="AP40" s="13">
        <v>888640</v>
      </c>
      <c r="AQ40" s="13">
        <v>11996640</v>
      </c>
      <c r="AR40" s="11">
        <v>40</v>
      </c>
      <c r="AS40" s="9" t="s">
        <v>72</v>
      </c>
      <c r="AT40" s="12">
        <v>31.74</v>
      </c>
      <c r="AU40" s="9" t="s">
        <v>73</v>
      </c>
      <c r="AV40" s="9" t="s">
        <v>67</v>
      </c>
      <c r="AW40" s="9" t="s">
        <v>993</v>
      </c>
      <c r="AX40" s="10">
        <v>45986</v>
      </c>
      <c r="AY40" s="9" t="s">
        <v>994</v>
      </c>
      <c r="AZ40" s="9" t="s">
        <v>67</v>
      </c>
      <c r="BA40" s="9" t="s">
        <v>67</v>
      </c>
      <c r="BB40" s="12">
        <v>40</v>
      </c>
      <c r="BC40" s="9" t="s">
        <v>74</v>
      </c>
      <c r="BD40" s="9" t="s">
        <v>104</v>
      </c>
      <c r="BE40" s="9" t="s">
        <v>75</v>
      </c>
      <c r="BF40" s="11">
        <v>0</v>
      </c>
      <c r="BG40">
        <f t="shared" si="2"/>
        <v>12</v>
      </c>
      <c r="BH40" t="str">
        <f>VLOOKUP(BG40,[1]month!$A:$B,2,0)</f>
        <v>Desember</v>
      </c>
      <c r="BI40">
        <f t="shared" si="3"/>
        <v>2025</v>
      </c>
      <c r="BJ40" t="str">
        <f>VLOOKUP(I40,[1]Dist!$A:$B,2,0)</f>
        <v>Industry</v>
      </c>
      <c r="BK40" t="str">
        <f>IF(I40=11,VLOOKUP(Y40,[2]Sheet1!$C:$N,10,0),IF(I40=13,VLOOKUP(Y40,[3]Sheet1!$C:$N,10,0),IF(I40=15,VLOOKUP(Y40,[4]Sheet1!$C:$N,10,0),"Unknown")))</f>
        <v>UV</v>
      </c>
      <c r="BL40" t="str">
        <f>IF(I40=11,VLOOKUP(Y40,[2]Sheet1!$C:$N,12,0),IF(I40=13,VLOOKUP(Y40,[3]Sheet1!$C:$N,12,0),IF(I40=15,VLOOKUP(Y40,[4]Sheet1!$C:$N,12,0),"Unknown")))</f>
        <v>UV TOP COAT CLEAR</v>
      </c>
      <c r="BM40" t="str">
        <f>VLOOKUP(W40,[1]branch!$A:$B,2,0)</f>
        <v>INDUSTRY</v>
      </c>
    </row>
    <row r="41" spans="1:65" x14ac:dyDescent="0.35">
      <c r="A41" s="10">
        <v>45992</v>
      </c>
      <c r="B41" s="9" t="s">
        <v>995</v>
      </c>
      <c r="C41" s="9" t="s">
        <v>64</v>
      </c>
      <c r="D41" s="9" t="s">
        <v>92</v>
      </c>
      <c r="E41" s="11">
        <v>45</v>
      </c>
      <c r="F41" s="9" t="s">
        <v>93</v>
      </c>
      <c r="G41" s="9" t="s">
        <v>65</v>
      </c>
      <c r="H41" s="9" t="s">
        <v>66</v>
      </c>
      <c r="I41" s="9">
        <v>15</v>
      </c>
      <c r="J41" s="9" t="s">
        <v>638</v>
      </c>
      <c r="K41" s="9" t="s">
        <v>638</v>
      </c>
      <c r="L41" s="9" t="s">
        <v>638</v>
      </c>
      <c r="M41" s="9" t="s">
        <v>639</v>
      </c>
      <c r="N41" s="9" t="s">
        <v>883</v>
      </c>
      <c r="O41" s="9" t="s">
        <v>410</v>
      </c>
      <c r="P41" s="9" t="s">
        <v>67</v>
      </c>
      <c r="Q41" s="9" t="s">
        <v>98</v>
      </c>
      <c r="R41" s="9" t="s">
        <v>638</v>
      </c>
      <c r="S41" s="9" t="s">
        <v>639</v>
      </c>
      <c r="T41" s="9" t="s">
        <v>821</v>
      </c>
      <c r="U41" s="9" t="s">
        <v>385</v>
      </c>
      <c r="V41" s="9" t="s">
        <v>386</v>
      </c>
      <c r="W41" s="9" t="s">
        <v>387</v>
      </c>
      <c r="X41" s="11">
        <v>30</v>
      </c>
      <c r="Y41" s="9" t="s">
        <v>602</v>
      </c>
      <c r="Z41" s="9" t="s">
        <v>68</v>
      </c>
      <c r="AA41" s="9" t="s">
        <v>603</v>
      </c>
      <c r="AB41" s="9" t="s">
        <v>67</v>
      </c>
      <c r="AC41" s="9" t="s">
        <v>604</v>
      </c>
      <c r="AD41" s="11">
        <v>1</v>
      </c>
      <c r="AE41" s="9" t="s">
        <v>156</v>
      </c>
      <c r="AF41" s="9" t="s">
        <v>71</v>
      </c>
      <c r="AG41" s="13">
        <v>1</v>
      </c>
      <c r="AH41" s="9" t="s">
        <v>92</v>
      </c>
      <c r="AI41" s="13">
        <v>1700000</v>
      </c>
      <c r="AJ41" s="13">
        <v>1700000</v>
      </c>
      <c r="AK41" s="11">
        <v>0</v>
      </c>
      <c r="AL41" s="11">
        <v>0</v>
      </c>
      <c r="AM41" s="11">
        <v>0</v>
      </c>
      <c r="AN41" s="9" t="s">
        <v>67</v>
      </c>
      <c r="AO41" s="11">
        <v>1700000</v>
      </c>
      <c r="AP41" s="13">
        <v>136000</v>
      </c>
      <c r="AQ41" s="13">
        <v>1836000</v>
      </c>
      <c r="AR41" s="11">
        <v>20</v>
      </c>
      <c r="AS41" s="9" t="s">
        <v>72</v>
      </c>
      <c r="AT41" s="12">
        <v>21.28</v>
      </c>
      <c r="AU41" s="9" t="s">
        <v>73</v>
      </c>
      <c r="AV41" s="9" t="s">
        <v>67</v>
      </c>
      <c r="AW41" s="9" t="s">
        <v>996</v>
      </c>
      <c r="AX41" s="10">
        <v>45989</v>
      </c>
      <c r="AY41" s="9" t="s">
        <v>997</v>
      </c>
      <c r="AZ41" s="9" t="s">
        <v>67</v>
      </c>
      <c r="BA41" s="9" t="s">
        <v>67</v>
      </c>
      <c r="BB41" s="12">
        <v>20</v>
      </c>
      <c r="BC41" s="9" t="s">
        <v>74</v>
      </c>
      <c r="BD41" s="9" t="s">
        <v>104</v>
      </c>
      <c r="BE41" s="9" t="s">
        <v>75</v>
      </c>
      <c r="BF41" s="11">
        <v>0</v>
      </c>
      <c r="BG41">
        <f t="shared" si="2"/>
        <v>12</v>
      </c>
      <c r="BH41" t="str">
        <f>VLOOKUP(BG41,[1]month!$A:$B,2,0)</f>
        <v>Desember</v>
      </c>
      <c r="BI41">
        <f t="shared" si="3"/>
        <v>2025</v>
      </c>
      <c r="BJ41" t="str">
        <f>VLOOKUP(I41,[1]Dist!$A:$B,2,0)</f>
        <v>Project</v>
      </c>
      <c r="BK41" t="str">
        <f>IF(I41=11,VLOOKUP(Y41,[2]Sheet1!$C:$N,10,0),IF(I41=13,VLOOKUP(Y41,[3]Sheet1!$C:$N,10,0),IF(I41=15,VLOOKUP(Y41,[4]Sheet1!$C:$N,10,0),"Unknown")))</f>
        <v>POLYFLOOR</v>
      </c>
      <c r="BL41" t="str">
        <f>IF(I41=11,VLOOKUP(Y41,[2]Sheet1!$C:$N,12,0),IF(I41=13,VLOOKUP(Y41,[3]Sheet1!$C:$N,12,0),IF(I41=15,VLOOKUP(Y41,[4]Sheet1!$C:$N,12,0),"Unknown")))</f>
        <v>POLYFLOOR EPOXY</v>
      </c>
      <c r="BM41" t="str">
        <f>VLOOKUP(W41,[1]branch!$A:$B,2,0)</f>
        <v>PROJECT</v>
      </c>
    </row>
    <row r="42" spans="1:65" x14ac:dyDescent="0.35">
      <c r="A42" s="10">
        <v>45992</v>
      </c>
      <c r="B42" s="9" t="s">
        <v>998</v>
      </c>
      <c r="C42" s="9" t="s">
        <v>64</v>
      </c>
      <c r="D42" s="9" t="s">
        <v>92</v>
      </c>
      <c r="E42" s="11">
        <v>45</v>
      </c>
      <c r="F42" s="9" t="s">
        <v>93</v>
      </c>
      <c r="G42" s="9" t="s">
        <v>65</v>
      </c>
      <c r="H42" s="9" t="s">
        <v>66</v>
      </c>
      <c r="I42" s="9">
        <v>15</v>
      </c>
      <c r="J42" s="9" t="s">
        <v>638</v>
      </c>
      <c r="K42" s="9" t="s">
        <v>638</v>
      </c>
      <c r="L42" s="9" t="s">
        <v>638</v>
      </c>
      <c r="M42" s="9" t="s">
        <v>639</v>
      </c>
      <c r="N42" s="9" t="s">
        <v>883</v>
      </c>
      <c r="O42" s="9" t="s">
        <v>410</v>
      </c>
      <c r="P42" s="9" t="s">
        <v>67</v>
      </c>
      <c r="Q42" s="9" t="s">
        <v>98</v>
      </c>
      <c r="R42" s="9" t="s">
        <v>638</v>
      </c>
      <c r="S42" s="9" t="s">
        <v>639</v>
      </c>
      <c r="T42" s="9" t="s">
        <v>821</v>
      </c>
      <c r="U42" s="9" t="s">
        <v>385</v>
      </c>
      <c r="V42" s="9" t="s">
        <v>386</v>
      </c>
      <c r="W42" s="9" t="s">
        <v>387</v>
      </c>
      <c r="X42" s="11">
        <v>10</v>
      </c>
      <c r="Y42" s="9" t="s">
        <v>897</v>
      </c>
      <c r="Z42" s="9" t="s">
        <v>68</v>
      </c>
      <c r="AA42" s="9" t="s">
        <v>898</v>
      </c>
      <c r="AB42" s="9" t="s">
        <v>67</v>
      </c>
      <c r="AC42" s="9" t="s">
        <v>899</v>
      </c>
      <c r="AD42" s="11">
        <v>1</v>
      </c>
      <c r="AE42" s="9" t="s">
        <v>156</v>
      </c>
      <c r="AF42" s="9" t="s">
        <v>71</v>
      </c>
      <c r="AG42" s="13">
        <v>1</v>
      </c>
      <c r="AH42" s="9" t="s">
        <v>92</v>
      </c>
      <c r="AI42" s="13">
        <v>2800000</v>
      </c>
      <c r="AJ42" s="13">
        <v>2800000</v>
      </c>
      <c r="AK42" s="11">
        <v>0</v>
      </c>
      <c r="AL42" s="11">
        <v>0</v>
      </c>
      <c r="AM42" s="11">
        <v>0</v>
      </c>
      <c r="AN42" s="9" t="s">
        <v>67</v>
      </c>
      <c r="AO42" s="11">
        <v>2800000</v>
      </c>
      <c r="AP42" s="13">
        <v>224000</v>
      </c>
      <c r="AQ42" s="13">
        <v>3024000</v>
      </c>
      <c r="AR42" s="11">
        <v>15</v>
      </c>
      <c r="AS42" s="9" t="s">
        <v>72</v>
      </c>
      <c r="AT42" s="12">
        <v>13.821999999999999</v>
      </c>
      <c r="AU42" s="9" t="s">
        <v>73</v>
      </c>
      <c r="AV42" s="9" t="s">
        <v>67</v>
      </c>
      <c r="AW42" s="9" t="s">
        <v>996</v>
      </c>
      <c r="AX42" s="10">
        <v>45989</v>
      </c>
      <c r="AY42" s="9" t="s">
        <v>999</v>
      </c>
      <c r="AZ42" s="9" t="s">
        <v>67</v>
      </c>
      <c r="BA42" s="9" t="s">
        <v>67</v>
      </c>
      <c r="BB42" s="12">
        <v>15</v>
      </c>
      <c r="BC42" s="9" t="s">
        <v>74</v>
      </c>
      <c r="BD42" s="9" t="s">
        <v>104</v>
      </c>
      <c r="BE42" s="9" t="s">
        <v>75</v>
      </c>
      <c r="BF42" s="11">
        <v>0</v>
      </c>
      <c r="BG42">
        <f t="shared" si="2"/>
        <v>12</v>
      </c>
      <c r="BH42" t="str">
        <f>VLOOKUP(BG42,[1]month!$A:$B,2,0)</f>
        <v>Desember</v>
      </c>
      <c r="BI42">
        <f t="shared" si="3"/>
        <v>2025</v>
      </c>
      <c r="BJ42" t="str">
        <f>VLOOKUP(I42,[1]Dist!$A:$B,2,0)</f>
        <v>Project</v>
      </c>
      <c r="BK42" t="str">
        <f>IF(I42=11,VLOOKUP(Y42,[2]Sheet1!$C:$N,10,0),IF(I42=13,VLOOKUP(Y42,[3]Sheet1!$C:$N,10,0),IF(I42=15,VLOOKUP(Y42,[4]Sheet1!$C:$N,10,0),"Unknown")))</f>
        <v>POLYFLOOR</v>
      </c>
      <c r="BL42" t="str">
        <f>IF(I42=11,VLOOKUP(Y42,[2]Sheet1!$C:$N,12,0),IF(I42=13,VLOOKUP(Y42,[3]Sheet1!$C:$N,12,0),IF(I42=15,VLOOKUP(Y42,[4]Sheet1!$C:$N,12,0),"Unknown")))</f>
        <v>POLYFLOOR EPOXY</v>
      </c>
      <c r="BM42" t="str">
        <f>VLOOKUP(W42,[1]branch!$A:$B,2,0)</f>
        <v>PROJECT</v>
      </c>
    </row>
    <row r="43" spans="1:65" x14ac:dyDescent="0.35">
      <c r="A43" s="10">
        <v>45992</v>
      </c>
      <c r="B43" s="9" t="s">
        <v>998</v>
      </c>
      <c r="C43" s="9" t="s">
        <v>64</v>
      </c>
      <c r="D43" s="9" t="s">
        <v>92</v>
      </c>
      <c r="E43" s="11">
        <v>45</v>
      </c>
      <c r="F43" s="9" t="s">
        <v>93</v>
      </c>
      <c r="G43" s="9" t="s">
        <v>65</v>
      </c>
      <c r="H43" s="9" t="s">
        <v>66</v>
      </c>
      <c r="I43" s="9">
        <v>15</v>
      </c>
      <c r="J43" s="9" t="s">
        <v>638</v>
      </c>
      <c r="K43" s="9" t="s">
        <v>638</v>
      </c>
      <c r="L43" s="9" t="s">
        <v>638</v>
      </c>
      <c r="M43" s="9" t="s">
        <v>639</v>
      </c>
      <c r="N43" s="9" t="s">
        <v>883</v>
      </c>
      <c r="O43" s="9" t="s">
        <v>410</v>
      </c>
      <c r="P43" s="9" t="s">
        <v>67</v>
      </c>
      <c r="Q43" s="9" t="s">
        <v>98</v>
      </c>
      <c r="R43" s="9" t="s">
        <v>638</v>
      </c>
      <c r="S43" s="9" t="s">
        <v>639</v>
      </c>
      <c r="T43" s="9" t="s">
        <v>821</v>
      </c>
      <c r="U43" s="9" t="s">
        <v>385</v>
      </c>
      <c r="V43" s="9" t="s">
        <v>386</v>
      </c>
      <c r="W43" s="9" t="s">
        <v>387</v>
      </c>
      <c r="X43" s="11">
        <v>20</v>
      </c>
      <c r="Y43" s="9" t="s">
        <v>661</v>
      </c>
      <c r="Z43" s="9" t="s">
        <v>68</v>
      </c>
      <c r="AA43" s="9" t="s">
        <v>662</v>
      </c>
      <c r="AB43" s="9" t="s">
        <v>67</v>
      </c>
      <c r="AC43" s="9" t="s">
        <v>663</v>
      </c>
      <c r="AD43" s="11">
        <v>8</v>
      </c>
      <c r="AE43" s="9" t="s">
        <v>156</v>
      </c>
      <c r="AF43" s="9" t="s">
        <v>71</v>
      </c>
      <c r="AG43" s="13">
        <v>1</v>
      </c>
      <c r="AH43" s="9" t="s">
        <v>92</v>
      </c>
      <c r="AI43" s="13">
        <v>2650000</v>
      </c>
      <c r="AJ43" s="13">
        <v>21200000</v>
      </c>
      <c r="AK43" s="11">
        <v>0</v>
      </c>
      <c r="AL43" s="11">
        <v>0</v>
      </c>
      <c r="AM43" s="11">
        <v>0</v>
      </c>
      <c r="AN43" s="9" t="s">
        <v>67</v>
      </c>
      <c r="AO43" s="11">
        <v>21200000</v>
      </c>
      <c r="AP43" s="13">
        <v>1696000</v>
      </c>
      <c r="AQ43" s="13">
        <v>22896000</v>
      </c>
      <c r="AR43" s="11">
        <v>168</v>
      </c>
      <c r="AS43" s="9" t="s">
        <v>72</v>
      </c>
      <c r="AT43" s="11">
        <v>96</v>
      </c>
      <c r="AU43" s="9" t="s">
        <v>73</v>
      </c>
      <c r="AV43" s="9" t="s">
        <v>67</v>
      </c>
      <c r="AW43" s="9" t="s">
        <v>996</v>
      </c>
      <c r="AX43" s="10">
        <v>45989</v>
      </c>
      <c r="AY43" s="9" t="s">
        <v>999</v>
      </c>
      <c r="AZ43" s="9" t="s">
        <v>67</v>
      </c>
      <c r="BA43" s="9" t="s">
        <v>67</v>
      </c>
      <c r="BB43" s="12">
        <v>168</v>
      </c>
      <c r="BC43" s="9" t="s">
        <v>74</v>
      </c>
      <c r="BD43" s="9" t="s">
        <v>104</v>
      </c>
      <c r="BE43" s="9" t="s">
        <v>75</v>
      </c>
      <c r="BF43" s="11">
        <v>0</v>
      </c>
      <c r="BG43">
        <f t="shared" si="2"/>
        <v>12</v>
      </c>
      <c r="BH43" t="str">
        <f>VLOOKUP(BG43,[1]month!$A:$B,2,0)</f>
        <v>Desember</v>
      </c>
      <c r="BI43">
        <f t="shared" si="3"/>
        <v>2025</v>
      </c>
      <c r="BJ43" t="str">
        <f>VLOOKUP(I43,[1]Dist!$A:$B,2,0)</f>
        <v>Project</v>
      </c>
      <c r="BK43" t="str">
        <f>IF(I43=11,VLOOKUP(Y43,[2]Sheet1!$C:$N,10,0),IF(I43=13,VLOOKUP(Y43,[3]Sheet1!$C:$N,10,0),IF(I43=15,VLOOKUP(Y43,[4]Sheet1!$C:$N,10,0),"Unknown")))</f>
        <v>POLYFLOOR</v>
      </c>
      <c r="BL43" t="str">
        <f>IF(I43=11,VLOOKUP(Y43,[2]Sheet1!$C:$N,12,0),IF(I43=13,VLOOKUP(Y43,[3]Sheet1!$C:$N,12,0),IF(I43=15,VLOOKUP(Y43,[4]Sheet1!$C:$N,12,0),"Unknown")))</f>
        <v>POLYFLOOR EPOXY SOLVENT FREE</v>
      </c>
      <c r="BM43" t="str">
        <f>VLOOKUP(W43,[1]branch!$A:$B,2,0)</f>
        <v>PROJECT</v>
      </c>
    </row>
    <row r="44" spans="1:65" x14ac:dyDescent="0.35">
      <c r="A44" s="10">
        <v>45992</v>
      </c>
      <c r="B44" s="9" t="s">
        <v>1000</v>
      </c>
      <c r="C44" s="9" t="s">
        <v>64</v>
      </c>
      <c r="D44" s="9" t="s">
        <v>92</v>
      </c>
      <c r="E44" s="11">
        <v>60</v>
      </c>
      <c r="F44" s="9" t="s">
        <v>93</v>
      </c>
      <c r="G44" s="9" t="s">
        <v>65</v>
      </c>
      <c r="H44" s="9" t="s">
        <v>66</v>
      </c>
      <c r="I44" s="9">
        <v>13</v>
      </c>
      <c r="J44" s="9" t="s">
        <v>309</v>
      </c>
      <c r="K44" s="9" t="s">
        <v>309</v>
      </c>
      <c r="L44" s="9" t="s">
        <v>309</v>
      </c>
      <c r="M44" s="9" t="s">
        <v>310</v>
      </c>
      <c r="N44" s="9" t="s">
        <v>869</v>
      </c>
      <c r="O44" s="9" t="s">
        <v>150</v>
      </c>
      <c r="P44" s="9" t="s">
        <v>67</v>
      </c>
      <c r="Q44" s="9" t="s">
        <v>98</v>
      </c>
      <c r="R44" s="9" t="s">
        <v>309</v>
      </c>
      <c r="S44" s="9" t="s">
        <v>310</v>
      </c>
      <c r="T44" s="9" t="s">
        <v>798</v>
      </c>
      <c r="U44" s="9" t="s">
        <v>67</v>
      </c>
      <c r="V44" s="9" t="s">
        <v>311</v>
      </c>
      <c r="W44" s="9" t="s">
        <v>312</v>
      </c>
      <c r="X44" s="11">
        <v>10</v>
      </c>
      <c r="Y44" s="9" t="s">
        <v>257</v>
      </c>
      <c r="Z44" s="9" t="s">
        <v>68</v>
      </c>
      <c r="AA44" s="9" t="s">
        <v>258</v>
      </c>
      <c r="AB44" s="9" t="s">
        <v>67</v>
      </c>
      <c r="AC44" s="9" t="s">
        <v>259</v>
      </c>
      <c r="AD44" s="11">
        <v>2</v>
      </c>
      <c r="AE44" s="9" t="s">
        <v>70</v>
      </c>
      <c r="AF44" s="9" t="s">
        <v>71</v>
      </c>
      <c r="AG44" s="13">
        <v>1</v>
      </c>
      <c r="AH44" s="9" t="s">
        <v>92</v>
      </c>
      <c r="AI44" s="13">
        <v>2280000</v>
      </c>
      <c r="AJ44" s="13">
        <v>4560000</v>
      </c>
      <c r="AK44" s="11">
        <v>0</v>
      </c>
      <c r="AL44" s="11">
        <v>0</v>
      </c>
      <c r="AM44" s="11">
        <v>0</v>
      </c>
      <c r="AN44" s="9" t="s">
        <v>67</v>
      </c>
      <c r="AO44" s="11">
        <v>4560000</v>
      </c>
      <c r="AP44" s="13">
        <v>364800</v>
      </c>
      <c r="AQ44" s="13">
        <v>4924800</v>
      </c>
      <c r="AR44" s="11">
        <v>40</v>
      </c>
      <c r="AS44" s="9" t="s">
        <v>72</v>
      </c>
      <c r="AT44" s="12">
        <v>39.619999999999997</v>
      </c>
      <c r="AU44" s="9" t="s">
        <v>73</v>
      </c>
      <c r="AV44" s="9" t="s">
        <v>67</v>
      </c>
      <c r="AW44" s="9" t="s">
        <v>1001</v>
      </c>
      <c r="AX44" s="10">
        <v>45989</v>
      </c>
      <c r="AY44" s="9" t="s">
        <v>1002</v>
      </c>
      <c r="AZ44" s="9" t="s">
        <v>67</v>
      </c>
      <c r="BA44" s="9" t="s">
        <v>67</v>
      </c>
      <c r="BB44" s="12">
        <v>40</v>
      </c>
      <c r="BC44" s="9" t="s">
        <v>74</v>
      </c>
      <c r="BD44" s="9" t="s">
        <v>104</v>
      </c>
      <c r="BE44" s="9" t="s">
        <v>75</v>
      </c>
      <c r="BF44" s="11">
        <v>0</v>
      </c>
      <c r="BG44">
        <f t="shared" si="2"/>
        <v>12</v>
      </c>
      <c r="BH44" t="str">
        <f>VLOOKUP(BG44,[1]month!$A:$B,2,0)</f>
        <v>Desember</v>
      </c>
      <c r="BI44">
        <f t="shared" si="3"/>
        <v>2025</v>
      </c>
      <c r="BJ44" t="str">
        <f>VLOOKUP(I44,[1]Dist!$A:$B,2,0)</f>
        <v>Retail</v>
      </c>
      <c r="BK44" t="str">
        <f>IF(I44=11,VLOOKUP(Y44,[2]Sheet1!$C:$N,10,0),IF(I44=13,VLOOKUP(Y44,[3]Sheet1!$C:$N,10,0),IF(I44=15,VLOOKUP(Y44,[4]Sheet1!$C:$N,10,0),"Unknown")))</f>
        <v>PU</v>
      </c>
      <c r="BL44" t="str">
        <f>IF(I44=11,VLOOKUP(Y44,[2]Sheet1!$C:$N,12,0),IF(I44=13,VLOOKUP(Y44,[3]Sheet1!$C:$N,12,0),IF(I44=15,VLOOKUP(Y44,[4]Sheet1!$C:$N,12,0),"Unknown")))</f>
        <v>PU HARDENER</v>
      </c>
      <c r="BM44" t="str">
        <f>VLOOKUP(W44,[1]branch!$A:$B,2,0)</f>
        <v>DANANG</v>
      </c>
    </row>
    <row r="45" spans="1:65" x14ac:dyDescent="0.35">
      <c r="A45" s="10">
        <v>45992</v>
      </c>
      <c r="B45" s="9" t="s">
        <v>1003</v>
      </c>
      <c r="C45" s="9" t="s">
        <v>64</v>
      </c>
      <c r="D45" s="9" t="s">
        <v>92</v>
      </c>
      <c r="E45" s="11">
        <v>60</v>
      </c>
      <c r="F45" s="9" t="s">
        <v>93</v>
      </c>
      <c r="G45" s="9" t="s">
        <v>65</v>
      </c>
      <c r="H45" s="9" t="s">
        <v>66</v>
      </c>
      <c r="I45" s="9">
        <v>13</v>
      </c>
      <c r="J45" s="9" t="s">
        <v>264</v>
      </c>
      <c r="K45" s="9" t="s">
        <v>264</v>
      </c>
      <c r="L45" s="9" t="s">
        <v>264</v>
      </c>
      <c r="M45" s="9" t="s">
        <v>265</v>
      </c>
      <c r="N45" s="9" t="s">
        <v>881</v>
      </c>
      <c r="O45" s="9" t="s">
        <v>150</v>
      </c>
      <c r="P45" s="9" t="s">
        <v>67</v>
      </c>
      <c r="Q45" s="9" t="s">
        <v>98</v>
      </c>
      <c r="R45" s="9" t="s">
        <v>264</v>
      </c>
      <c r="S45" s="9" t="s">
        <v>265</v>
      </c>
      <c r="T45" s="9" t="s">
        <v>799</v>
      </c>
      <c r="U45" s="9" t="s">
        <v>67</v>
      </c>
      <c r="V45" s="9" t="s">
        <v>266</v>
      </c>
      <c r="W45" s="9" t="s">
        <v>267</v>
      </c>
      <c r="X45" s="11">
        <v>40</v>
      </c>
      <c r="Y45" s="9" t="s">
        <v>477</v>
      </c>
      <c r="Z45" s="9" t="s">
        <v>68</v>
      </c>
      <c r="AA45" s="9" t="s">
        <v>478</v>
      </c>
      <c r="AB45" s="9" t="s">
        <v>67</v>
      </c>
      <c r="AC45" s="9" t="s">
        <v>326</v>
      </c>
      <c r="AD45" s="11">
        <v>24</v>
      </c>
      <c r="AE45" s="9" t="s">
        <v>156</v>
      </c>
      <c r="AF45" s="9" t="s">
        <v>71</v>
      </c>
      <c r="AG45" s="13">
        <v>1</v>
      </c>
      <c r="AH45" s="9" t="s">
        <v>92</v>
      </c>
      <c r="AI45" s="13">
        <v>206364</v>
      </c>
      <c r="AJ45" s="13">
        <v>4952736</v>
      </c>
      <c r="AK45" s="11">
        <v>911303</v>
      </c>
      <c r="AL45" s="11">
        <v>0</v>
      </c>
      <c r="AM45" s="11">
        <v>0</v>
      </c>
      <c r="AN45" s="9" t="s">
        <v>271</v>
      </c>
      <c r="AO45" s="11">
        <v>4041433</v>
      </c>
      <c r="AP45" s="13">
        <v>323315</v>
      </c>
      <c r="AQ45" s="13">
        <v>4364748</v>
      </c>
      <c r="AR45" s="11">
        <v>24</v>
      </c>
      <c r="AS45" s="9" t="s">
        <v>72</v>
      </c>
      <c r="AT45" s="12">
        <v>24.48</v>
      </c>
      <c r="AU45" s="9" t="s">
        <v>73</v>
      </c>
      <c r="AV45" s="9" t="s">
        <v>67</v>
      </c>
      <c r="AW45" s="9" t="s">
        <v>939</v>
      </c>
      <c r="AX45" s="10">
        <v>45978</v>
      </c>
      <c r="AY45" s="9" t="s">
        <v>1004</v>
      </c>
      <c r="AZ45" s="9" t="s">
        <v>67</v>
      </c>
      <c r="BA45" s="9" t="s">
        <v>67</v>
      </c>
      <c r="BB45" s="12">
        <v>24</v>
      </c>
      <c r="BC45" s="9" t="s">
        <v>74</v>
      </c>
      <c r="BD45" s="9" t="s">
        <v>104</v>
      </c>
      <c r="BE45" s="9" t="s">
        <v>75</v>
      </c>
      <c r="BF45" s="11">
        <v>0</v>
      </c>
      <c r="BG45">
        <f t="shared" si="2"/>
        <v>12</v>
      </c>
      <c r="BH45" t="str">
        <f>VLOOKUP(BG45,[1]month!$A:$B,2,0)</f>
        <v>Desember</v>
      </c>
      <c r="BI45">
        <f t="shared" si="3"/>
        <v>2025</v>
      </c>
      <c r="BJ45" t="str">
        <f>VLOOKUP(I45,[1]Dist!$A:$B,2,0)</f>
        <v>Retail</v>
      </c>
      <c r="BK45" t="str">
        <f>IF(I45=11,VLOOKUP(Y45,[2]Sheet1!$C:$N,10,0),IF(I45=13,VLOOKUP(Y45,[3]Sheet1!$C:$N,10,0),IF(I45=15,VLOOKUP(Y45,[4]Sheet1!$C:$N,10,0),"Unknown")))</f>
        <v>PU MULTIPURPOSE</v>
      </c>
      <c r="BL45" t="str">
        <f>IF(I45=11,VLOOKUP(Y45,[2]Sheet1!$C:$N,12,0),IF(I45=13,VLOOKUP(Y45,[3]Sheet1!$C:$N,12,0),IF(I45=15,VLOOKUP(Y45,[4]Sheet1!$C:$N,12,0),"Unknown")))</f>
        <v>PROPAN MP PU ACR RMX</v>
      </c>
      <c r="BM45" t="str">
        <f>VLOOKUP(W45,[1]branch!$A:$B,2,0)</f>
        <v>HO CHI MINH</v>
      </c>
    </row>
    <row r="46" spans="1:65" x14ac:dyDescent="0.35">
      <c r="A46" s="10">
        <v>45992</v>
      </c>
      <c r="B46" s="9" t="s">
        <v>1003</v>
      </c>
      <c r="C46" s="9" t="s">
        <v>64</v>
      </c>
      <c r="D46" s="9" t="s">
        <v>92</v>
      </c>
      <c r="E46" s="11">
        <v>60</v>
      </c>
      <c r="F46" s="9" t="s">
        <v>93</v>
      </c>
      <c r="G46" s="9" t="s">
        <v>65</v>
      </c>
      <c r="H46" s="9" t="s">
        <v>66</v>
      </c>
      <c r="I46" s="9">
        <v>13</v>
      </c>
      <c r="J46" s="9" t="s">
        <v>264</v>
      </c>
      <c r="K46" s="9" t="s">
        <v>264</v>
      </c>
      <c r="L46" s="9" t="s">
        <v>264</v>
      </c>
      <c r="M46" s="9" t="s">
        <v>265</v>
      </c>
      <c r="N46" s="9" t="s">
        <v>881</v>
      </c>
      <c r="O46" s="9" t="s">
        <v>150</v>
      </c>
      <c r="P46" s="9" t="s">
        <v>67</v>
      </c>
      <c r="Q46" s="9" t="s">
        <v>98</v>
      </c>
      <c r="R46" s="9" t="s">
        <v>264</v>
      </c>
      <c r="S46" s="9" t="s">
        <v>265</v>
      </c>
      <c r="T46" s="9" t="s">
        <v>799</v>
      </c>
      <c r="U46" s="9" t="s">
        <v>67</v>
      </c>
      <c r="V46" s="9" t="s">
        <v>266</v>
      </c>
      <c r="W46" s="9" t="s">
        <v>267</v>
      </c>
      <c r="X46" s="11">
        <v>50</v>
      </c>
      <c r="Y46" s="9" t="s">
        <v>268</v>
      </c>
      <c r="Z46" s="9" t="s">
        <v>68</v>
      </c>
      <c r="AA46" s="9" t="s">
        <v>269</v>
      </c>
      <c r="AB46" s="9" t="s">
        <v>67</v>
      </c>
      <c r="AC46" s="9" t="s">
        <v>270</v>
      </c>
      <c r="AD46" s="11">
        <v>312</v>
      </c>
      <c r="AE46" s="9" t="s">
        <v>70</v>
      </c>
      <c r="AF46" s="9" t="s">
        <v>71</v>
      </c>
      <c r="AG46" s="13">
        <v>1</v>
      </c>
      <c r="AH46" s="9" t="s">
        <v>92</v>
      </c>
      <c r="AI46" s="13">
        <v>77273</v>
      </c>
      <c r="AJ46" s="13">
        <v>24109176</v>
      </c>
      <c r="AK46" s="11">
        <v>4436088</v>
      </c>
      <c r="AL46" s="11">
        <v>0</v>
      </c>
      <c r="AM46" s="11">
        <v>0</v>
      </c>
      <c r="AN46" s="9" t="s">
        <v>271</v>
      </c>
      <c r="AO46" s="11">
        <v>19673088</v>
      </c>
      <c r="AP46" s="13">
        <v>1573847</v>
      </c>
      <c r="AQ46" s="13">
        <v>21246935</v>
      </c>
      <c r="AR46" s="12">
        <v>207.16800000000001</v>
      </c>
      <c r="AS46" s="9" t="s">
        <v>72</v>
      </c>
      <c r="AT46" s="12">
        <v>249.6</v>
      </c>
      <c r="AU46" s="9" t="s">
        <v>73</v>
      </c>
      <c r="AV46" s="9" t="s">
        <v>67</v>
      </c>
      <c r="AW46" s="9" t="s">
        <v>939</v>
      </c>
      <c r="AX46" s="10">
        <v>45978</v>
      </c>
      <c r="AY46" s="9" t="s">
        <v>1004</v>
      </c>
      <c r="AZ46" s="9" t="s">
        <v>67</v>
      </c>
      <c r="BA46" s="9" t="s">
        <v>67</v>
      </c>
      <c r="BB46" s="12">
        <v>249.6</v>
      </c>
      <c r="BC46" s="9" t="s">
        <v>74</v>
      </c>
      <c r="BD46" s="9" t="s">
        <v>104</v>
      </c>
      <c r="BE46" s="9" t="s">
        <v>75</v>
      </c>
      <c r="BF46" s="11">
        <v>0</v>
      </c>
      <c r="BG46">
        <f t="shared" si="2"/>
        <v>12</v>
      </c>
      <c r="BH46" t="str">
        <f>VLOOKUP(BG46,[1]month!$A:$B,2,0)</f>
        <v>Desember</v>
      </c>
      <c r="BI46">
        <f t="shared" si="3"/>
        <v>2025</v>
      </c>
      <c r="BJ46" t="str">
        <f>VLOOKUP(I46,[1]Dist!$A:$B,2,0)</f>
        <v>Retail</v>
      </c>
      <c r="BK46" t="str">
        <f>IF(I46=11,VLOOKUP(Y46,[2]Sheet1!$C:$N,10,0),IF(I46=13,VLOOKUP(Y46,[3]Sheet1!$C:$N,10,0),IF(I46=15,VLOOKUP(Y46,[4]Sheet1!$C:$N,10,0),"Unknown")))</f>
        <v>ULTRAN</v>
      </c>
      <c r="BL46" t="str">
        <f>IF(I46=11,VLOOKUP(Y46,[2]Sheet1!$C:$N,12,0),IF(I46=13,VLOOKUP(Y46,[3]Sheet1!$C:$N,12,0),IF(I46=15,VLOOKUP(Y46,[4]Sheet1!$C:$N,12,0),"Unknown")))</f>
        <v>ULTRAN VERNIS</v>
      </c>
      <c r="BM46" t="str">
        <f>VLOOKUP(W46,[1]branch!$A:$B,2,0)</f>
        <v>HO CHI MINH</v>
      </c>
    </row>
    <row r="47" spans="1:65" x14ac:dyDescent="0.35">
      <c r="A47" s="10">
        <v>45992</v>
      </c>
      <c r="B47" s="9" t="s">
        <v>1005</v>
      </c>
      <c r="C47" s="9" t="s">
        <v>64</v>
      </c>
      <c r="D47" s="9" t="s">
        <v>92</v>
      </c>
      <c r="E47" s="11">
        <v>60</v>
      </c>
      <c r="F47" s="9" t="s">
        <v>93</v>
      </c>
      <c r="G47" s="9" t="s">
        <v>65</v>
      </c>
      <c r="H47" s="9" t="s">
        <v>66</v>
      </c>
      <c r="I47" s="9">
        <v>13</v>
      </c>
      <c r="J47" s="9" t="s">
        <v>264</v>
      </c>
      <c r="K47" s="9" t="s">
        <v>264</v>
      </c>
      <c r="L47" s="9" t="s">
        <v>264</v>
      </c>
      <c r="M47" s="9" t="s">
        <v>265</v>
      </c>
      <c r="N47" s="9" t="s">
        <v>881</v>
      </c>
      <c r="O47" s="9" t="s">
        <v>150</v>
      </c>
      <c r="P47" s="9" t="s">
        <v>67</v>
      </c>
      <c r="Q47" s="9" t="s">
        <v>98</v>
      </c>
      <c r="R47" s="9" t="s">
        <v>264</v>
      </c>
      <c r="S47" s="9" t="s">
        <v>265</v>
      </c>
      <c r="T47" s="9" t="s">
        <v>799</v>
      </c>
      <c r="U47" s="9" t="s">
        <v>67</v>
      </c>
      <c r="V47" s="9" t="s">
        <v>266</v>
      </c>
      <c r="W47" s="9" t="s">
        <v>267</v>
      </c>
      <c r="X47" s="11">
        <v>100</v>
      </c>
      <c r="Y47" s="9" t="s">
        <v>433</v>
      </c>
      <c r="Z47" s="9" t="s">
        <v>68</v>
      </c>
      <c r="AA47" s="9" t="s">
        <v>434</v>
      </c>
      <c r="AB47" s="9" t="s">
        <v>67</v>
      </c>
      <c r="AC47" s="9" t="s">
        <v>158</v>
      </c>
      <c r="AD47" s="11">
        <v>16</v>
      </c>
      <c r="AE47" s="9" t="s">
        <v>156</v>
      </c>
      <c r="AF47" s="9" t="s">
        <v>71</v>
      </c>
      <c r="AG47" s="13">
        <v>1</v>
      </c>
      <c r="AH47" s="9" t="s">
        <v>92</v>
      </c>
      <c r="AI47" s="13">
        <v>635455</v>
      </c>
      <c r="AJ47" s="13">
        <v>10167280</v>
      </c>
      <c r="AK47" s="11">
        <v>1870780</v>
      </c>
      <c r="AL47" s="11">
        <v>0</v>
      </c>
      <c r="AM47" s="11">
        <v>0</v>
      </c>
      <c r="AN47" s="9" t="s">
        <v>271</v>
      </c>
      <c r="AO47" s="11">
        <v>8296500</v>
      </c>
      <c r="AP47" s="13">
        <v>663720</v>
      </c>
      <c r="AQ47" s="13">
        <v>8960220</v>
      </c>
      <c r="AR47" s="11">
        <v>80</v>
      </c>
      <c r="AS47" s="9" t="s">
        <v>72</v>
      </c>
      <c r="AT47" s="12">
        <v>47.68</v>
      </c>
      <c r="AU47" s="9" t="s">
        <v>73</v>
      </c>
      <c r="AV47" s="9" t="s">
        <v>67</v>
      </c>
      <c r="AW47" s="9" t="s">
        <v>945</v>
      </c>
      <c r="AX47" s="10">
        <v>45982</v>
      </c>
      <c r="AY47" s="9" t="s">
        <v>1006</v>
      </c>
      <c r="AZ47" s="9" t="s">
        <v>67</v>
      </c>
      <c r="BA47" s="9" t="s">
        <v>67</v>
      </c>
      <c r="BB47" s="12">
        <v>80</v>
      </c>
      <c r="BC47" s="9" t="s">
        <v>74</v>
      </c>
      <c r="BD47" s="9" t="s">
        <v>104</v>
      </c>
      <c r="BE47" s="9" t="s">
        <v>75</v>
      </c>
      <c r="BF47" s="11">
        <v>0</v>
      </c>
      <c r="BG47">
        <f t="shared" si="2"/>
        <v>12</v>
      </c>
      <c r="BH47" t="str">
        <f>VLOOKUP(BG47,[1]month!$A:$B,2,0)</f>
        <v>Desember</v>
      </c>
      <c r="BI47">
        <f t="shared" si="3"/>
        <v>2025</v>
      </c>
      <c r="BJ47" t="str">
        <f>VLOOKUP(I47,[1]Dist!$A:$B,2,0)</f>
        <v>Retail</v>
      </c>
      <c r="BK47" t="str">
        <f>IF(I47=11,VLOOKUP(Y47,[2]Sheet1!$C:$N,10,0),IF(I47=13,VLOOKUP(Y47,[3]Sheet1!$C:$N,10,0),IF(I47=15,VLOOKUP(Y47,[4]Sheet1!$C:$N,10,0),"Unknown")))</f>
        <v>METALKOTE</v>
      </c>
      <c r="BL47" t="str">
        <f>IF(I47=11,VLOOKUP(Y47,[2]Sheet1!$C:$N,12,0),IF(I47=13,VLOOKUP(Y47,[3]Sheet1!$C:$N,12,0),IF(I47=15,VLOOKUP(Y47,[4]Sheet1!$C:$N,12,0),"Unknown")))</f>
        <v>METALKOTE-EPOXY SYS</v>
      </c>
      <c r="BM47" t="str">
        <f>VLOOKUP(W47,[1]branch!$A:$B,2,0)</f>
        <v>HO CHI MINH</v>
      </c>
    </row>
    <row r="48" spans="1:65" x14ac:dyDescent="0.35">
      <c r="A48" s="10">
        <v>45992</v>
      </c>
      <c r="B48" s="9" t="s">
        <v>1007</v>
      </c>
      <c r="C48" s="9" t="s">
        <v>64</v>
      </c>
      <c r="D48" s="9" t="s">
        <v>92</v>
      </c>
      <c r="E48" s="11">
        <v>60</v>
      </c>
      <c r="F48" s="9" t="s">
        <v>93</v>
      </c>
      <c r="G48" s="9" t="s">
        <v>65</v>
      </c>
      <c r="H48" s="9" t="s">
        <v>66</v>
      </c>
      <c r="I48" s="9">
        <v>13</v>
      </c>
      <c r="J48" s="9" t="s">
        <v>264</v>
      </c>
      <c r="K48" s="9" t="s">
        <v>264</v>
      </c>
      <c r="L48" s="9" t="s">
        <v>264</v>
      </c>
      <c r="M48" s="9" t="s">
        <v>265</v>
      </c>
      <c r="N48" s="9" t="s">
        <v>881</v>
      </c>
      <c r="O48" s="9" t="s">
        <v>150</v>
      </c>
      <c r="P48" s="9" t="s">
        <v>67</v>
      </c>
      <c r="Q48" s="9" t="s">
        <v>98</v>
      </c>
      <c r="R48" s="9" t="s">
        <v>264</v>
      </c>
      <c r="S48" s="9" t="s">
        <v>265</v>
      </c>
      <c r="T48" s="9" t="s">
        <v>799</v>
      </c>
      <c r="U48" s="9" t="s">
        <v>67</v>
      </c>
      <c r="V48" s="9" t="s">
        <v>266</v>
      </c>
      <c r="W48" s="9" t="s">
        <v>267</v>
      </c>
      <c r="X48" s="11">
        <v>20</v>
      </c>
      <c r="Y48" s="9" t="s">
        <v>324</v>
      </c>
      <c r="Z48" s="9" t="s">
        <v>68</v>
      </c>
      <c r="AA48" s="9" t="s">
        <v>325</v>
      </c>
      <c r="AB48" s="9" t="s">
        <v>67</v>
      </c>
      <c r="AC48" s="9" t="s">
        <v>326</v>
      </c>
      <c r="AD48" s="11">
        <v>24</v>
      </c>
      <c r="AE48" s="9" t="s">
        <v>156</v>
      </c>
      <c r="AF48" s="9" t="s">
        <v>71</v>
      </c>
      <c r="AG48" s="13">
        <v>1</v>
      </c>
      <c r="AH48" s="9" t="s">
        <v>92</v>
      </c>
      <c r="AI48" s="13">
        <v>206364</v>
      </c>
      <c r="AJ48" s="13">
        <v>4952736</v>
      </c>
      <c r="AK48" s="11">
        <v>911303</v>
      </c>
      <c r="AL48" s="11">
        <v>0</v>
      </c>
      <c r="AM48" s="11">
        <v>0</v>
      </c>
      <c r="AN48" s="9" t="s">
        <v>271</v>
      </c>
      <c r="AO48" s="11">
        <v>4041433</v>
      </c>
      <c r="AP48" s="13">
        <v>323315</v>
      </c>
      <c r="AQ48" s="13">
        <v>4364748</v>
      </c>
      <c r="AR48" s="11">
        <v>24</v>
      </c>
      <c r="AS48" s="9" t="s">
        <v>72</v>
      </c>
      <c r="AT48" s="12">
        <v>24.96</v>
      </c>
      <c r="AU48" s="9" t="s">
        <v>73</v>
      </c>
      <c r="AV48" s="9" t="s">
        <v>67</v>
      </c>
      <c r="AW48" s="9" t="s">
        <v>939</v>
      </c>
      <c r="AX48" s="10">
        <v>45978</v>
      </c>
      <c r="AY48" s="9" t="s">
        <v>1008</v>
      </c>
      <c r="AZ48" s="9" t="s">
        <v>67</v>
      </c>
      <c r="BA48" s="9" t="s">
        <v>67</v>
      </c>
      <c r="BB48" s="12">
        <v>24</v>
      </c>
      <c r="BC48" s="9" t="s">
        <v>74</v>
      </c>
      <c r="BD48" s="9" t="s">
        <v>104</v>
      </c>
      <c r="BE48" s="9" t="s">
        <v>75</v>
      </c>
      <c r="BF48" s="11">
        <v>0</v>
      </c>
      <c r="BG48">
        <f t="shared" si="2"/>
        <v>12</v>
      </c>
      <c r="BH48" t="str">
        <f>VLOOKUP(BG48,[1]month!$A:$B,2,0)</f>
        <v>Desember</v>
      </c>
      <c r="BI48">
        <f t="shared" si="3"/>
        <v>2025</v>
      </c>
      <c r="BJ48" t="str">
        <f>VLOOKUP(I48,[1]Dist!$A:$B,2,0)</f>
        <v>Retail</v>
      </c>
      <c r="BK48" t="str">
        <f>IF(I48=11,VLOOKUP(Y48,[2]Sheet1!$C:$N,10,0),IF(I48=13,VLOOKUP(Y48,[3]Sheet1!$C:$N,10,0),IF(I48=15,VLOOKUP(Y48,[4]Sheet1!$C:$N,10,0),"Unknown")))</f>
        <v>PU MULTIPURPOSE</v>
      </c>
      <c r="BL48" t="str">
        <f>IF(I48=11,VLOOKUP(Y48,[2]Sheet1!$C:$N,12,0),IF(I48=13,VLOOKUP(Y48,[3]Sheet1!$C:$N,12,0),IF(I48=15,VLOOKUP(Y48,[4]Sheet1!$C:$N,12,0),"Unknown")))</f>
        <v>PROPAN MP PU ACR RMX</v>
      </c>
      <c r="BM48" t="str">
        <f>VLOOKUP(W48,[1]branch!$A:$B,2,0)</f>
        <v>HO CHI MINH</v>
      </c>
    </row>
    <row r="49" spans="1:65" x14ac:dyDescent="0.35">
      <c r="A49" s="10">
        <v>45992</v>
      </c>
      <c r="B49" s="9" t="s">
        <v>1009</v>
      </c>
      <c r="C49" s="9" t="s">
        <v>64</v>
      </c>
      <c r="D49" s="9" t="s">
        <v>92</v>
      </c>
      <c r="E49" s="11">
        <v>60</v>
      </c>
      <c r="F49" s="9" t="s">
        <v>93</v>
      </c>
      <c r="G49" s="9" t="s">
        <v>65</v>
      </c>
      <c r="H49" s="9" t="s">
        <v>66</v>
      </c>
      <c r="I49" s="9">
        <v>13</v>
      </c>
      <c r="J49" s="9" t="s">
        <v>264</v>
      </c>
      <c r="K49" s="9" t="s">
        <v>264</v>
      </c>
      <c r="L49" s="9" t="s">
        <v>264</v>
      </c>
      <c r="M49" s="9" t="s">
        <v>265</v>
      </c>
      <c r="N49" s="9" t="s">
        <v>881</v>
      </c>
      <c r="O49" s="9" t="s">
        <v>150</v>
      </c>
      <c r="P49" s="9" t="s">
        <v>67</v>
      </c>
      <c r="Q49" s="9" t="s">
        <v>98</v>
      </c>
      <c r="R49" s="9" t="s">
        <v>264</v>
      </c>
      <c r="S49" s="9" t="s">
        <v>265</v>
      </c>
      <c r="T49" s="9" t="s">
        <v>799</v>
      </c>
      <c r="U49" s="9" t="s">
        <v>67</v>
      </c>
      <c r="V49" s="9" t="s">
        <v>266</v>
      </c>
      <c r="W49" s="9" t="s">
        <v>267</v>
      </c>
      <c r="X49" s="11">
        <v>70</v>
      </c>
      <c r="Y49" s="9" t="s">
        <v>324</v>
      </c>
      <c r="Z49" s="9" t="s">
        <v>68</v>
      </c>
      <c r="AA49" s="9" t="s">
        <v>325</v>
      </c>
      <c r="AB49" s="9" t="s">
        <v>67</v>
      </c>
      <c r="AC49" s="9" t="s">
        <v>326</v>
      </c>
      <c r="AD49" s="11">
        <v>24</v>
      </c>
      <c r="AE49" s="9" t="s">
        <v>156</v>
      </c>
      <c r="AF49" s="9" t="s">
        <v>71</v>
      </c>
      <c r="AG49" s="13">
        <v>1</v>
      </c>
      <c r="AH49" s="9" t="s">
        <v>92</v>
      </c>
      <c r="AI49" s="13">
        <v>206364</v>
      </c>
      <c r="AJ49" s="13">
        <v>4952736</v>
      </c>
      <c r="AK49" s="11">
        <v>911303</v>
      </c>
      <c r="AL49" s="11">
        <v>0</v>
      </c>
      <c r="AM49" s="11">
        <v>0</v>
      </c>
      <c r="AN49" s="9" t="s">
        <v>271</v>
      </c>
      <c r="AO49" s="11">
        <v>4041433</v>
      </c>
      <c r="AP49" s="13">
        <v>323315</v>
      </c>
      <c r="AQ49" s="13">
        <v>4364748</v>
      </c>
      <c r="AR49" s="11">
        <v>24</v>
      </c>
      <c r="AS49" s="9" t="s">
        <v>72</v>
      </c>
      <c r="AT49" s="12">
        <v>24.96</v>
      </c>
      <c r="AU49" s="9" t="s">
        <v>73</v>
      </c>
      <c r="AV49" s="9" t="s">
        <v>67</v>
      </c>
      <c r="AW49" s="9" t="s">
        <v>922</v>
      </c>
      <c r="AX49" s="10">
        <v>45952</v>
      </c>
      <c r="AY49" s="9" t="s">
        <v>1010</v>
      </c>
      <c r="AZ49" s="9" t="s">
        <v>67</v>
      </c>
      <c r="BA49" s="9" t="s">
        <v>67</v>
      </c>
      <c r="BB49" s="12">
        <v>24</v>
      </c>
      <c r="BC49" s="9" t="s">
        <v>74</v>
      </c>
      <c r="BD49" s="9" t="s">
        <v>104</v>
      </c>
      <c r="BE49" s="9" t="s">
        <v>75</v>
      </c>
      <c r="BF49" s="11">
        <v>0</v>
      </c>
      <c r="BG49">
        <f t="shared" si="2"/>
        <v>12</v>
      </c>
      <c r="BH49" t="str">
        <f>VLOOKUP(BG49,[1]month!$A:$B,2,0)</f>
        <v>Desember</v>
      </c>
      <c r="BI49">
        <f t="shared" si="3"/>
        <v>2025</v>
      </c>
      <c r="BJ49" t="str">
        <f>VLOOKUP(I49,[1]Dist!$A:$B,2,0)</f>
        <v>Retail</v>
      </c>
      <c r="BK49" t="str">
        <f>IF(I49=11,VLOOKUP(Y49,[2]Sheet1!$C:$N,10,0),IF(I49=13,VLOOKUP(Y49,[3]Sheet1!$C:$N,10,0),IF(I49=15,VLOOKUP(Y49,[4]Sheet1!$C:$N,10,0),"Unknown")))</f>
        <v>PU MULTIPURPOSE</v>
      </c>
      <c r="BL49" t="str">
        <f>IF(I49=11,VLOOKUP(Y49,[2]Sheet1!$C:$N,12,0),IF(I49=13,VLOOKUP(Y49,[3]Sheet1!$C:$N,12,0),IF(I49=15,VLOOKUP(Y49,[4]Sheet1!$C:$N,12,0),"Unknown")))</f>
        <v>PROPAN MP PU ACR RMX</v>
      </c>
      <c r="BM49" t="str">
        <f>VLOOKUP(W49,[1]branch!$A:$B,2,0)</f>
        <v>HO CHI MINH</v>
      </c>
    </row>
    <row r="50" spans="1:65" x14ac:dyDescent="0.35">
      <c r="A50" s="10">
        <v>45992</v>
      </c>
      <c r="B50" s="9" t="s">
        <v>1011</v>
      </c>
      <c r="C50" s="9" t="s">
        <v>64</v>
      </c>
      <c r="D50" s="9" t="s">
        <v>92</v>
      </c>
      <c r="E50" s="11">
        <v>0</v>
      </c>
      <c r="F50" s="9" t="s">
        <v>93</v>
      </c>
      <c r="G50" s="9" t="s">
        <v>65</v>
      </c>
      <c r="H50" s="9" t="s">
        <v>66</v>
      </c>
      <c r="I50" s="9">
        <v>15</v>
      </c>
      <c r="J50" s="9" t="s">
        <v>673</v>
      </c>
      <c r="K50" s="9" t="s">
        <v>673</v>
      </c>
      <c r="L50" s="9" t="s">
        <v>673</v>
      </c>
      <c r="M50" s="9" t="s">
        <v>674</v>
      </c>
      <c r="N50" s="9" t="s">
        <v>902</v>
      </c>
      <c r="O50" s="9" t="s">
        <v>384</v>
      </c>
      <c r="P50" s="9" t="s">
        <v>67</v>
      </c>
      <c r="Q50" s="9" t="s">
        <v>98</v>
      </c>
      <c r="R50" s="9" t="s">
        <v>673</v>
      </c>
      <c r="S50" s="9" t="s">
        <v>674</v>
      </c>
      <c r="T50" s="9" t="s">
        <v>856</v>
      </c>
      <c r="U50" s="9" t="s">
        <v>385</v>
      </c>
      <c r="V50" s="9" t="s">
        <v>386</v>
      </c>
      <c r="W50" s="9" t="s">
        <v>387</v>
      </c>
      <c r="X50" s="11">
        <v>10</v>
      </c>
      <c r="Y50" s="9" t="s">
        <v>485</v>
      </c>
      <c r="Z50" s="9" t="s">
        <v>76</v>
      </c>
      <c r="AA50" s="9" t="s">
        <v>486</v>
      </c>
      <c r="AB50" s="9" t="s">
        <v>67</v>
      </c>
      <c r="AC50" s="9" t="s">
        <v>487</v>
      </c>
      <c r="AD50" s="11">
        <v>4</v>
      </c>
      <c r="AE50" s="9" t="s">
        <v>70</v>
      </c>
      <c r="AF50" s="9" t="s">
        <v>71</v>
      </c>
      <c r="AG50" s="13">
        <v>1</v>
      </c>
      <c r="AH50" s="9" t="s">
        <v>92</v>
      </c>
      <c r="AI50" s="13">
        <v>1388889</v>
      </c>
      <c r="AJ50" s="13">
        <v>5555556</v>
      </c>
      <c r="AK50" s="11">
        <v>0</v>
      </c>
      <c r="AL50" s="11">
        <v>0</v>
      </c>
      <c r="AM50" s="11">
        <v>0</v>
      </c>
      <c r="AN50" s="9" t="s">
        <v>67</v>
      </c>
      <c r="AO50" s="11">
        <v>5555556</v>
      </c>
      <c r="AP50" s="13">
        <v>444444</v>
      </c>
      <c r="AQ50" s="13">
        <v>6000000</v>
      </c>
      <c r="AR50" s="11">
        <v>80</v>
      </c>
      <c r="AS50" s="9" t="s">
        <v>72</v>
      </c>
      <c r="AT50" s="12">
        <v>57.56</v>
      </c>
      <c r="AU50" s="9" t="s">
        <v>73</v>
      </c>
      <c r="AV50" s="9" t="s">
        <v>67</v>
      </c>
      <c r="AW50" s="9" t="s">
        <v>1012</v>
      </c>
      <c r="AX50" s="10">
        <v>45992</v>
      </c>
      <c r="AY50" s="9" t="s">
        <v>1013</v>
      </c>
      <c r="AZ50" s="9" t="s">
        <v>67</v>
      </c>
      <c r="BA50" s="9" t="s">
        <v>67</v>
      </c>
      <c r="BB50" s="12">
        <v>80</v>
      </c>
      <c r="BC50" s="9" t="s">
        <v>74</v>
      </c>
      <c r="BD50" s="9" t="s">
        <v>104</v>
      </c>
      <c r="BE50" s="9" t="s">
        <v>75</v>
      </c>
      <c r="BF50" s="11">
        <v>0</v>
      </c>
      <c r="BG50">
        <f t="shared" si="2"/>
        <v>12</v>
      </c>
      <c r="BH50" t="str">
        <f>VLOOKUP(BG50,[1]month!$A:$B,2,0)</f>
        <v>Desember</v>
      </c>
      <c r="BI50">
        <f t="shared" si="3"/>
        <v>2025</v>
      </c>
      <c r="BJ50" t="str">
        <f>VLOOKUP(I50,[1]Dist!$A:$B,2,0)</f>
        <v>Project</v>
      </c>
      <c r="BK50" t="str">
        <f>IF(I50=11,VLOOKUP(Y50,[2]Sheet1!$C:$N,10,0),IF(I50=13,VLOOKUP(Y50,[3]Sheet1!$C:$N,10,0),IF(I50=15,VLOOKUP(Y50,[4]Sheet1!$C:$N,10,0),"Unknown")))</f>
        <v>WATERPROOFING</v>
      </c>
      <c r="BL50" t="str">
        <f>IF(I50=11,VLOOKUP(Y50,[2]Sheet1!$C:$N,12,0),IF(I50=13,VLOOKUP(Y50,[3]Sheet1!$C:$N,12,0),IF(I50=15,VLOOKUP(Y50,[4]Sheet1!$C:$N,12,0),"Unknown")))</f>
        <v>ULTRAFLEX MEMBRANE</v>
      </c>
      <c r="BM50" t="str">
        <f>VLOOKUP(W50,[1]branch!$A:$B,2,0)</f>
        <v>PROJECT</v>
      </c>
    </row>
    <row r="51" spans="1:65" x14ac:dyDescent="0.35">
      <c r="A51" s="10">
        <v>45992</v>
      </c>
      <c r="B51" s="9" t="s">
        <v>1014</v>
      </c>
      <c r="C51" s="9" t="s">
        <v>64</v>
      </c>
      <c r="D51" s="9" t="s">
        <v>92</v>
      </c>
      <c r="E51" s="11">
        <v>45</v>
      </c>
      <c r="F51" s="9" t="s">
        <v>93</v>
      </c>
      <c r="G51" s="9" t="s">
        <v>65</v>
      </c>
      <c r="H51" s="9" t="s">
        <v>66</v>
      </c>
      <c r="I51" s="9">
        <v>13</v>
      </c>
      <c r="J51" s="9" t="s">
        <v>684</v>
      </c>
      <c r="K51" s="9" t="s">
        <v>684</v>
      </c>
      <c r="L51" s="9" t="s">
        <v>684</v>
      </c>
      <c r="M51" s="9" t="s">
        <v>685</v>
      </c>
      <c r="N51" s="9" t="s">
        <v>870</v>
      </c>
      <c r="O51" s="9" t="s">
        <v>150</v>
      </c>
      <c r="P51" s="9" t="s">
        <v>67</v>
      </c>
      <c r="Q51" s="9" t="s">
        <v>98</v>
      </c>
      <c r="R51" s="9" t="s">
        <v>684</v>
      </c>
      <c r="S51" s="9" t="s">
        <v>685</v>
      </c>
      <c r="T51" s="9" t="s">
        <v>819</v>
      </c>
      <c r="U51" s="9" t="s">
        <v>67</v>
      </c>
      <c r="V51" s="9" t="s">
        <v>311</v>
      </c>
      <c r="W51" s="9" t="s">
        <v>312</v>
      </c>
      <c r="X51" s="11">
        <v>10</v>
      </c>
      <c r="Y51" s="9" t="s">
        <v>578</v>
      </c>
      <c r="Z51" s="9" t="s">
        <v>68</v>
      </c>
      <c r="AA51" s="9" t="s">
        <v>579</v>
      </c>
      <c r="AB51" s="9" t="s">
        <v>67</v>
      </c>
      <c r="AC51" s="9" t="s">
        <v>383</v>
      </c>
      <c r="AD51" s="11">
        <v>3</v>
      </c>
      <c r="AE51" s="9" t="s">
        <v>70</v>
      </c>
      <c r="AF51" s="9" t="s">
        <v>71</v>
      </c>
      <c r="AG51" s="13">
        <v>1</v>
      </c>
      <c r="AH51" s="9" t="s">
        <v>92</v>
      </c>
      <c r="AI51" s="13">
        <v>577273</v>
      </c>
      <c r="AJ51" s="13">
        <v>1731819</v>
      </c>
      <c r="AK51" s="11">
        <v>173182</v>
      </c>
      <c r="AL51" s="11">
        <v>0</v>
      </c>
      <c r="AM51" s="11">
        <v>0</v>
      </c>
      <c r="AN51" s="9" t="s">
        <v>415</v>
      </c>
      <c r="AO51" s="11">
        <v>1558637</v>
      </c>
      <c r="AP51" s="13">
        <v>124691</v>
      </c>
      <c r="AQ51" s="13">
        <v>1683328</v>
      </c>
      <c r="AR51" s="12">
        <v>3.9449999999999998</v>
      </c>
      <c r="AS51" s="9" t="s">
        <v>72</v>
      </c>
      <c r="AT51" s="11">
        <v>3</v>
      </c>
      <c r="AU51" s="9" t="s">
        <v>73</v>
      </c>
      <c r="AV51" s="9" t="s">
        <v>67</v>
      </c>
      <c r="AW51" s="9" t="s">
        <v>1015</v>
      </c>
      <c r="AX51" s="10">
        <v>45989</v>
      </c>
      <c r="AY51" s="9" t="s">
        <v>1016</v>
      </c>
      <c r="AZ51" s="9" t="s">
        <v>67</v>
      </c>
      <c r="BA51" s="9" t="s">
        <v>67</v>
      </c>
      <c r="BB51" s="12">
        <v>3</v>
      </c>
      <c r="BC51" s="9" t="s">
        <v>74</v>
      </c>
      <c r="BD51" s="9" t="s">
        <v>104</v>
      </c>
      <c r="BE51" s="9" t="s">
        <v>75</v>
      </c>
      <c r="BF51" s="11">
        <v>0</v>
      </c>
      <c r="BG51">
        <f t="shared" si="2"/>
        <v>12</v>
      </c>
      <c r="BH51" t="str">
        <f>VLOOKUP(BG51,[1]month!$A:$B,2,0)</f>
        <v>Desember</v>
      </c>
      <c r="BI51">
        <f t="shared" si="3"/>
        <v>2025</v>
      </c>
      <c r="BJ51" t="str">
        <f>VLOOKUP(I51,[1]Dist!$A:$B,2,0)</f>
        <v>Retail</v>
      </c>
      <c r="BK51" t="str">
        <f>IF(I51=11,VLOOKUP(Y51,[2]Sheet1!$C:$N,10,0),IF(I51=13,VLOOKUP(Y51,[3]Sheet1!$C:$N,10,0),IF(I51=15,VLOOKUP(Y51,[4]Sheet1!$C:$N,10,0),"Unknown")))</f>
        <v>PASTA</v>
      </c>
      <c r="BL51" t="str">
        <f>IF(I51=11,VLOOKUP(Y51,[2]Sheet1!$C:$N,12,0),IF(I51=13,VLOOKUP(Y51,[3]Sheet1!$C:$N,12,0),IF(I51=15,VLOOKUP(Y51,[4]Sheet1!$C:$N,12,0),"Unknown")))</f>
        <v>PASTA WB</v>
      </c>
      <c r="BM51" t="str">
        <f>VLOOKUP(W51,[1]branch!$A:$B,2,0)</f>
        <v>DANANG</v>
      </c>
    </row>
    <row r="52" spans="1:65" x14ac:dyDescent="0.35">
      <c r="A52" s="10">
        <v>45992</v>
      </c>
      <c r="B52" s="9" t="s">
        <v>1017</v>
      </c>
      <c r="C52" s="9" t="s">
        <v>64</v>
      </c>
      <c r="D52" s="9" t="s">
        <v>92</v>
      </c>
      <c r="E52" s="11">
        <v>45</v>
      </c>
      <c r="F52" s="9" t="s">
        <v>93</v>
      </c>
      <c r="G52" s="9" t="s">
        <v>65</v>
      </c>
      <c r="H52" s="9" t="s">
        <v>66</v>
      </c>
      <c r="I52" s="9">
        <v>13</v>
      </c>
      <c r="J52" s="9" t="s">
        <v>684</v>
      </c>
      <c r="K52" s="9" t="s">
        <v>684</v>
      </c>
      <c r="L52" s="9" t="s">
        <v>684</v>
      </c>
      <c r="M52" s="9" t="s">
        <v>685</v>
      </c>
      <c r="N52" s="9" t="s">
        <v>870</v>
      </c>
      <c r="O52" s="9" t="s">
        <v>150</v>
      </c>
      <c r="P52" s="9" t="s">
        <v>67</v>
      </c>
      <c r="Q52" s="9" t="s">
        <v>98</v>
      </c>
      <c r="R52" s="9" t="s">
        <v>684</v>
      </c>
      <c r="S52" s="9" t="s">
        <v>685</v>
      </c>
      <c r="T52" s="9" t="s">
        <v>819</v>
      </c>
      <c r="U52" s="9" t="s">
        <v>67</v>
      </c>
      <c r="V52" s="9" t="s">
        <v>311</v>
      </c>
      <c r="W52" s="9" t="s">
        <v>312</v>
      </c>
      <c r="X52" s="11">
        <v>10</v>
      </c>
      <c r="Y52" s="9" t="s">
        <v>416</v>
      </c>
      <c r="Z52" s="9" t="s">
        <v>68</v>
      </c>
      <c r="AA52" s="9" t="s">
        <v>417</v>
      </c>
      <c r="AB52" s="9" t="s">
        <v>67</v>
      </c>
      <c r="AC52" s="9" t="s">
        <v>263</v>
      </c>
      <c r="AD52" s="11">
        <v>11</v>
      </c>
      <c r="AE52" s="9" t="s">
        <v>70</v>
      </c>
      <c r="AF52" s="9" t="s">
        <v>71</v>
      </c>
      <c r="AG52" s="13">
        <v>1</v>
      </c>
      <c r="AH52" s="9" t="s">
        <v>92</v>
      </c>
      <c r="AI52" s="13">
        <v>518181</v>
      </c>
      <c r="AJ52" s="13">
        <v>5699991</v>
      </c>
      <c r="AK52" s="11">
        <v>1515856</v>
      </c>
      <c r="AL52" s="11">
        <v>0</v>
      </c>
      <c r="AM52" s="11">
        <v>0</v>
      </c>
      <c r="AN52" s="9" t="s">
        <v>933</v>
      </c>
      <c r="AO52" s="11">
        <v>4184135</v>
      </c>
      <c r="AP52" s="13">
        <v>334731</v>
      </c>
      <c r="AQ52" s="13">
        <v>4518866</v>
      </c>
      <c r="AR52" s="11">
        <v>66</v>
      </c>
      <c r="AS52" s="9" t="s">
        <v>72</v>
      </c>
      <c r="AT52" s="12">
        <v>54.56</v>
      </c>
      <c r="AU52" s="9" t="s">
        <v>73</v>
      </c>
      <c r="AV52" s="9" t="s">
        <v>67</v>
      </c>
      <c r="AW52" s="9" t="s">
        <v>1018</v>
      </c>
      <c r="AX52" s="10">
        <v>45989</v>
      </c>
      <c r="AY52" s="9" t="s">
        <v>1019</v>
      </c>
      <c r="AZ52" s="9" t="s">
        <v>67</v>
      </c>
      <c r="BA52" s="9" t="s">
        <v>67</v>
      </c>
      <c r="BB52" s="12">
        <v>66</v>
      </c>
      <c r="BC52" s="9" t="s">
        <v>74</v>
      </c>
      <c r="BD52" s="9" t="s">
        <v>104</v>
      </c>
      <c r="BE52" s="9" t="s">
        <v>75</v>
      </c>
      <c r="BF52" s="11">
        <v>0</v>
      </c>
      <c r="BG52">
        <f t="shared" si="2"/>
        <v>12</v>
      </c>
      <c r="BH52" t="str">
        <f>VLOOKUP(BG52,[1]month!$A:$B,2,0)</f>
        <v>Desember</v>
      </c>
      <c r="BI52">
        <f t="shared" si="3"/>
        <v>2025</v>
      </c>
      <c r="BJ52" t="str">
        <f>VLOOKUP(I52,[1]Dist!$A:$B,2,0)</f>
        <v>Retail</v>
      </c>
      <c r="BK52" t="str">
        <f>IF(I52=11,VLOOKUP(Y52,[2]Sheet1!$C:$N,10,0),IF(I52=13,VLOOKUP(Y52,[3]Sheet1!$C:$N,10,0),IF(I52=15,VLOOKUP(Y52,[4]Sheet1!$C:$N,10,0),"Unknown")))</f>
        <v>ULTRAPROOF</v>
      </c>
      <c r="BL52" t="str">
        <f>IF(I52=11,VLOOKUP(Y52,[2]Sheet1!$C:$N,12,0),IF(I52=13,VLOOKUP(Y52,[3]Sheet1!$C:$N,12,0),IF(I52=15,VLOOKUP(Y52,[4]Sheet1!$C:$N,12,0),"Unknown")))</f>
        <v>ULTRAPROOF RMX</v>
      </c>
      <c r="BM52" t="str">
        <f>VLOOKUP(W52,[1]branch!$A:$B,2,0)</f>
        <v>DANANG</v>
      </c>
    </row>
    <row r="53" spans="1:65" x14ac:dyDescent="0.35">
      <c r="A53" s="10">
        <v>45992</v>
      </c>
      <c r="B53" s="9" t="s">
        <v>1017</v>
      </c>
      <c r="C53" s="9" t="s">
        <v>64</v>
      </c>
      <c r="D53" s="9" t="s">
        <v>92</v>
      </c>
      <c r="E53" s="11">
        <v>45</v>
      </c>
      <c r="F53" s="9" t="s">
        <v>93</v>
      </c>
      <c r="G53" s="9" t="s">
        <v>65</v>
      </c>
      <c r="H53" s="9" t="s">
        <v>66</v>
      </c>
      <c r="I53" s="9">
        <v>13</v>
      </c>
      <c r="J53" s="9" t="s">
        <v>684</v>
      </c>
      <c r="K53" s="9" t="s">
        <v>684</v>
      </c>
      <c r="L53" s="9" t="s">
        <v>684</v>
      </c>
      <c r="M53" s="9" t="s">
        <v>685</v>
      </c>
      <c r="N53" s="9" t="s">
        <v>870</v>
      </c>
      <c r="O53" s="9" t="s">
        <v>150</v>
      </c>
      <c r="P53" s="9" t="s">
        <v>67</v>
      </c>
      <c r="Q53" s="9" t="s">
        <v>98</v>
      </c>
      <c r="R53" s="9" t="s">
        <v>684</v>
      </c>
      <c r="S53" s="9" t="s">
        <v>685</v>
      </c>
      <c r="T53" s="9" t="s">
        <v>819</v>
      </c>
      <c r="U53" s="9" t="s">
        <v>67</v>
      </c>
      <c r="V53" s="9" t="s">
        <v>311</v>
      </c>
      <c r="W53" s="9" t="s">
        <v>312</v>
      </c>
      <c r="X53" s="11">
        <v>20</v>
      </c>
      <c r="Y53" s="9" t="s">
        <v>418</v>
      </c>
      <c r="Z53" s="9" t="s">
        <v>68</v>
      </c>
      <c r="AA53" s="9" t="s">
        <v>419</v>
      </c>
      <c r="AB53" s="9" t="s">
        <v>67</v>
      </c>
      <c r="AC53" s="9" t="s">
        <v>263</v>
      </c>
      <c r="AD53" s="11">
        <v>11</v>
      </c>
      <c r="AE53" s="9" t="s">
        <v>70</v>
      </c>
      <c r="AF53" s="9" t="s">
        <v>71</v>
      </c>
      <c r="AG53" s="13">
        <v>1</v>
      </c>
      <c r="AH53" s="9" t="s">
        <v>92</v>
      </c>
      <c r="AI53" s="13">
        <v>471819</v>
      </c>
      <c r="AJ53" s="13">
        <v>5190009</v>
      </c>
      <c r="AK53" s="11">
        <v>1380231</v>
      </c>
      <c r="AL53" s="11">
        <v>0</v>
      </c>
      <c r="AM53" s="11">
        <v>0</v>
      </c>
      <c r="AN53" s="9" t="s">
        <v>933</v>
      </c>
      <c r="AO53" s="11">
        <v>3809778</v>
      </c>
      <c r="AP53" s="13">
        <v>304782</v>
      </c>
      <c r="AQ53" s="13">
        <v>4114560</v>
      </c>
      <c r="AR53" s="11">
        <v>66</v>
      </c>
      <c r="AS53" s="9" t="s">
        <v>72</v>
      </c>
      <c r="AT53" s="11">
        <v>55</v>
      </c>
      <c r="AU53" s="9" t="s">
        <v>73</v>
      </c>
      <c r="AV53" s="9" t="s">
        <v>67</v>
      </c>
      <c r="AW53" s="9" t="s">
        <v>1018</v>
      </c>
      <c r="AX53" s="10">
        <v>45989</v>
      </c>
      <c r="AY53" s="9" t="s">
        <v>1019</v>
      </c>
      <c r="AZ53" s="9" t="s">
        <v>67</v>
      </c>
      <c r="BA53" s="9" t="s">
        <v>67</v>
      </c>
      <c r="BB53" s="12">
        <v>66</v>
      </c>
      <c r="BC53" s="9" t="s">
        <v>74</v>
      </c>
      <c r="BD53" s="9" t="s">
        <v>104</v>
      </c>
      <c r="BE53" s="9" t="s">
        <v>75</v>
      </c>
      <c r="BF53" s="11">
        <v>0</v>
      </c>
      <c r="BG53">
        <f t="shared" si="2"/>
        <v>12</v>
      </c>
      <c r="BH53" t="str">
        <f>VLOOKUP(BG53,[1]month!$A:$B,2,0)</f>
        <v>Desember</v>
      </c>
      <c r="BI53">
        <f t="shared" si="3"/>
        <v>2025</v>
      </c>
      <c r="BJ53" t="str">
        <f>VLOOKUP(I53,[1]Dist!$A:$B,2,0)</f>
        <v>Retail</v>
      </c>
      <c r="BK53" t="str">
        <f>IF(I53=11,VLOOKUP(Y53,[2]Sheet1!$C:$N,10,0),IF(I53=13,VLOOKUP(Y53,[3]Sheet1!$C:$N,10,0),IF(I53=15,VLOOKUP(Y53,[4]Sheet1!$C:$N,10,0),"Unknown")))</f>
        <v>ULTRAPROOF</v>
      </c>
      <c r="BL53" t="str">
        <f>IF(I53=11,VLOOKUP(Y53,[2]Sheet1!$C:$N,12,0),IF(I53=13,VLOOKUP(Y53,[3]Sheet1!$C:$N,12,0),IF(I53=15,VLOOKUP(Y53,[4]Sheet1!$C:$N,12,0),"Unknown")))</f>
        <v>ULTRAPROOF RMX</v>
      </c>
      <c r="BM53" t="str">
        <f>VLOOKUP(W53,[1]branch!$A:$B,2,0)</f>
        <v>DANANG</v>
      </c>
    </row>
    <row r="54" spans="1:65" x14ac:dyDescent="0.35">
      <c r="A54" s="10">
        <v>45992</v>
      </c>
      <c r="B54" s="9" t="s">
        <v>1017</v>
      </c>
      <c r="C54" s="9" t="s">
        <v>64</v>
      </c>
      <c r="D54" s="9" t="s">
        <v>92</v>
      </c>
      <c r="E54" s="11">
        <v>45</v>
      </c>
      <c r="F54" s="9" t="s">
        <v>93</v>
      </c>
      <c r="G54" s="9" t="s">
        <v>65</v>
      </c>
      <c r="H54" s="9" t="s">
        <v>66</v>
      </c>
      <c r="I54" s="9">
        <v>13</v>
      </c>
      <c r="J54" s="9" t="s">
        <v>684</v>
      </c>
      <c r="K54" s="9" t="s">
        <v>684</v>
      </c>
      <c r="L54" s="9" t="s">
        <v>684</v>
      </c>
      <c r="M54" s="9" t="s">
        <v>685</v>
      </c>
      <c r="N54" s="9" t="s">
        <v>870</v>
      </c>
      <c r="O54" s="9" t="s">
        <v>150</v>
      </c>
      <c r="P54" s="9" t="s">
        <v>67</v>
      </c>
      <c r="Q54" s="9" t="s">
        <v>98</v>
      </c>
      <c r="R54" s="9" t="s">
        <v>684</v>
      </c>
      <c r="S54" s="9" t="s">
        <v>685</v>
      </c>
      <c r="T54" s="9" t="s">
        <v>819</v>
      </c>
      <c r="U54" s="9" t="s">
        <v>67</v>
      </c>
      <c r="V54" s="9" t="s">
        <v>311</v>
      </c>
      <c r="W54" s="9" t="s">
        <v>312</v>
      </c>
      <c r="X54" s="11">
        <v>30</v>
      </c>
      <c r="Y54" s="9" t="s">
        <v>543</v>
      </c>
      <c r="Z54" s="9" t="s">
        <v>68</v>
      </c>
      <c r="AA54" s="9" t="s">
        <v>544</v>
      </c>
      <c r="AB54" s="9" t="s">
        <v>67</v>
      </c>
      <c r="AC54" s="9" t="s">
        <v>263</v>
      </c>
      <c r="AD54" s="11">
        <v>11</v>
      </c>
      <c r="AE54" s="9" t="s">
        <v>70</v>
      </c>
      <c r="AF54" s="9" t="s">
        <v>71</v>
      </c>
      <c r="AG54" s="13">
        <v>1</v>
      </c>
      <c r="AH54" s="9" t="s">
        <v>92</v>
      </c>
      <c r="AI54" s="13">
        <v>605455</v>
      </c>
      <c r="AJ54" s="13">
        <v>6660005</v>
      </c>
      <c r="AK54" s="11">
        <v>1771162</v>
      </c>
      <c r="AL54" s="11">
        <v>0</v>
      </c>
      <c r="AM54" s="11">
        <v>0</v>
      </c>
      <c r="AN54" s="9" t="s">
        <v>933</v>
      </c>
      <c r="AO54" s="11">
        <v>4888843</v>
      </c>
      <c r="AP54" s="13">
        <v>391107</v>
      </c>
      <c r="AQ54" s="13">
        <v>5279950</v>
      </c>
      <c r="AR54" s="11">
        <v>66</v>
      </c>
      <c r="AS54" s="9" t="s">
        <v>72</v>
      </c>
      <c r="AT54" s="12">
        <v>54.78</v>
      </c>
      <c r="AU54" s="9" t="s">
        <v>73</v>
      </c>
      <c r="AV54" s="9" t="s">
        <v>67</v>
      </c>
      <c r="AW54" s="9" t="s">
        <v>1018</v>
      </c>
      <c r="AX54" s="10">
        <v>45989</v>
      </c>
      <c r="AY54" s="9" t="s">
        <v>1019</v>
      </c>
      <c r="AZ54" s="9" t="s">
        <v>67</v>
      </c>
      <c r="BA54" s="9" t="s">
        <v>67</v>
      </c>
      <c r="BB54" s="12">
        <v>66</v>
      </c>
      <c r="BC54" s="9" t="s">
        <v>74</v>
      </c>
      <c r="BD54" s="9" t="s">
        <v>104</v>
      </c>
      <c r="BE54" s="9" t="s">
        <v>75</v>
      </c>
      <c r="BF54" s="11">
        <v>0</v>
      </c>
      <c r="BG54">
        <f t="shared" si="2"/>
        <v>12</v>
      </c>
      <c r="BH54" t="str">
        <f>VLOOKUP(BG54,[1]month!$A:$B,2,0)</f>
        <v>Desember</v>
      </c>
      <c r="BI54">
        <f t="shared" si="3"/>
        <v>2025</v>
      </c>
      <c r="BJ54" t="str">
        <f>VLOOKUP(I54,[1]Dist!$A:$B,2,0)</f>
        <v>Retail</v>
      </c>
      <c r="BK54" t="str">
        <f>IF(I54=11,VLOOKUP(Y54,[2]Sheet1!$C:$N,10,0),IF(I54=13,VLOOKUP(Y54,[3]Sheet1!$C:$N,10,0),IF(I54=15,VLOOKUP(Y54,[4]Sheet1!$C:$N,10,0),"Unknown")))</f>
        <v>ULTRAPROOF</v>
      </c>
      <c r="BL54" t="str">
        <f>IF(I54=11,VLOOKUP(Y54,[2]Sheet1!$C:$N,12,0),IF(I54=13,VLOOKUP(Y54,[3]Sheet1!$C:$N,12,0),IF(I54=15,VLOOKUP(Y54,[4]Sheet1!$C:$N,12,0),"Unknown")))</f>
        <v>ULTRAPROOF RMX</v>
      </c>
      <c r="BM54" t="str">
        <f>VLOOKUP(W54,[1]branch!$A:$B,2,0)</f>
        <v>DANANG</v>
      </c>
    </row>
    <row r="55" spans="1:65" x14ac:dyDescent="0.35">
      <c r="A55" s="10">
        <v>45992</v>
      </c>
      <c r="B55" s="9" t="s">
        <v>1020</v>
      </c>
      <c r="C55" s="9" t="s">
        <v>64</v>
      </c>
      <c r="D55" s="9" t="s">
        <v>92</v>
      </c>
      <c r="E55" s="11">
        <v>45</v>
      </c>
      <c r="F55" s="9" t="s">
        <v>93</v>
      </c>
      <c r="G55" s="9" t="s">
        <v>65</v>
      </c>
      <c r="H55" s="9" t="s">
        <v>66</v>
      </c>
      <c r="I55" s="9">
        <v>13</v>
      </c>
      <c r="J55" s="9" t="s">
        <v>684</v>
      </c>
      <c r="K55" s="9" t="s">
        <v>684</v>
      </c>
      <c r="L55" s="9" t="s">
        <v>684</v>
      </c>
      <c r="M55" s="9" t="s">
        <v>685</v>
      </c>
      <c r="N55" s="9" t="s">
        <v>870</v>
      </c>
      <c r="O55" s="9" t="s">
        <v>150</v>
      </c>
      <c r="P55" s="9" t="s">
        <v>67</v>
      </c>
      <c r="Q55" s="9" t="s">
        <v>98</v>
      </c>
      <c r="R55" s="9" t="s">
        <v>684</v>
      </c>
      <c r="S55" s="9" t="s">
        <v>685</v>
      </c>
      <c r="T55" s="9" t="s">
        <v>819</v>
      </c>
      <c r="U55" s="9" t="s">
        <v>67</v>
      </c>
      <c r="V55" s="9" t="s">
        <v>311</v>
      </c>
      <c r="W55" s="9" t="s">
        <v>312</v>
      </c>
      <c r="X55" s="11">
        <v>10</v>
      </c>
      <c r="Y55" s="9" t="s">
        <v>421</v>
      </c>
      <c r="Z55" s="9" t="s">
        <v>68</v>
      </c>
      <c r="AA55" s="9" t="s">
        <v>422</v>
      </c>
      <c r="AB55" s="9" t="s">
        <v>67</v>
      </c>
      <c r="AC55" s="9" t="s">
        <v>263</v>
      </c>
      <c r="AD55" s="11">
        <v>12</v>
      </c>
      <c r="AE55" s="9" t="s">
        <v>70</v>
      </c>
      <c r="AF55" s="9" t="s">
        <v>71</v>
      </c>
      <c r="AG55" s="13">
        <v>1</v>
      </c>
      <c r="AH55" s="9" t="s">
        <v>92</v>
      </c>
      <c r="AI55" s="13">
        <v>111819</v>
      </c>
      <c r="AJ55" s="13">
        <v>1341828</v>
      </c>
      <c r="AK55" s="11">
        <v>258302</v>
      </c>
      <c r="AL55" s="11">
        <v>0</v>
      </c>
      <c r="AM55" s="11">
        <v>0</v>
      </c>
      <c r="AN55" s="9" t="s">
        <v>314</v>
      </c>
      <c r="AO55" s="11">
        <v>1083526</v>
      </c>
      <c r="AP55" s="13">
        <v>86682</v>
      </c>
      <c r="AQ55" s="13">
        <v>1170208</v>
      </c>
      <c r="AR55" s="11">
        <v>12</v>
      </c>
      <c r="AS55" s="9" t="s">
        <v>72</v>
      </c>
      <c r="AT55" s="12">
        <v>9.9600000000000009</v>
      </c>
      <c r="AU55" s="9" t="s">
        <v>73</v>
      </c>
      <c r="AV55" s="9" t="s">
        <v>67</v>
      </c>
      <c r="AW55" s="9" t="s">
        <v>1021</v>
      </c>
      <c r="AX55" s="10">
        <v>45989</v>
      </c>
      <c r="AY55" s="9" t="s">
        <v>1022</v>
      </c>
      <c r="AZ55" s="9" t="s">
        <v>67</v>
      </c>
      <c r="BA55" s="9" t="s">
        <v>67</v>
      </c>
      <c r="BB55" s="12">
        <v>12</v>
      </c>
      <c r="BC55" s="9" t="s">
        <v>74</v>
      </c>
      <c r="BD55" s="9" t="s">
        <v>104</v>
      </c>
      <c r="BE55" s="9" t="s">
        <v>75</v>
      </c>
      <c r="BF55" s="11">
        <v>0</v>
      </c>
      <c r="BG55">
        <f t="shared" si="2"/>
        <v>12</v>
      </c>
      <c r="BH55" t="str">
        <f>VLOOKUP(BG55,[1]month!$A:$B,2,0)</f>
        <v>Desember</v>
      </c>
      <c r="BI55">
        <f t="shared" si="3"/>
        <v>2025</v>
      </c>
      <c r="BJ55" t="str">
        <f>VLOOKUP(I55,[1]Dist!$A:$B,2,0)</f>
        <v>Retail</v>
      </c>
      <c r="BK55" t="str">
        <f>IF(I55=11,VLOOKUP(Y55,[2]Sheet1!$C:$N,10,0),IF(I55=13,VLOOKUP(Y55,[3]Sheet1!$C:$N,10,0),IF(I55=15,VLOOKUP(Y55,[4]Sheet1!$C:$N,10,0),"Unknown")))</f>
        <v>ULTRAPROOF</v>
      </c>
      <c r="BL55" t="str">
        <f>IF(I55=11,VLOOKUP(Y55,[2]Sheet1!$C:$N,12,0),IF(I55=13,VLOOKUP(Y55,[3]Sheet1!$C:$N,12,0),IF(I55=15,VLOOKUP(Y55,[4]Sheet1!$C:$N,12,0),"Unknown")))</f>
        <v>ULTRAPROOF RMX</v>
      </c>
      <c r="BM55" t="str">
        <f>VLOOKUP(W55,[1]branch!$A:$B,2,0)</f>
        <v>DANANG</v>
      </c>
    </row>
    <row r="56" spans="1:65" x14ac:dyDescent="0.35">
      <c r="A56" s="10">
        <v>45992</v>
      </c>
      <c r="B56" s="9" t="s">
        <v>1020</v>
      </c>
      <c r="C56" s="9" t="s">
        <v>64</v>
      </c>
      <c r="D56" s="9" t="s">
        <v>92</v>
      </c>
      <c r="E56" s="11">
        <v>45</v>
      </c>
      <c r="F56" s="9" t="s">
        <v>93</v>
      </c>
      <c r="G56" s="9" t="s">
        <v>65</v>
      </c>
      <c r="H56" s="9" t="s">
        <v>66</v>
      </c>
      <c r="I56" s="9">
        <v>13</v>
      </c>
      <c r="J56" s="9" t="s">
        <v>684</v>
      </c>
      <c r="K56" s="9" t="s">
        <v>684</v>
      </c>
      <c r="L56" s="9" t="s">
        <v>684</v>
      </c>
      <c r="M56" s="9" t="s">
        <v>685</v>
      </c>
      <c r="N56" s="9" t="s">
        <v>870</v>
      </c>
      <c r="O56" s="9" t="s">
        <v>150</v>
      </c>
      <c r="P56" s="9" t="s">
        <v>67</v>
      </c>
      <c r="Q56" s="9" t="s">
        <v>98</v>
      </c>
      <c r="R56" s="9" t="s">
        <v>684</v>
      </c>
      <c r="S56" s="9" t="s">
        <v>685</v>
      </c>
      <c r="T56" s="9" t="s">
        <v>819</v>
      </c>
      <c r="U56" s="9" t="s">
        <v>67</v>
      </c>
      <c r="V56" s="9" t="s">
        <v>311</v>
      </c>
      <c r="W56" s="9" t="s">
        <v>312</v>
      </c>
      <c r="X56" s="11">
        <v>20</v>
      </c>
      <c r="Y56" s="9" t="s">
        <v>850</v>
      </c>
      <c r="Z56" s="9" t="s">
        <v>76</v>
      </c>
      <c r="AA56" s="9" t="s">
        <v>851</v>
      </c>
      <c r="AB56" s="9" t="s">
        <v>67</v>
      </c>
      <c r="AC56" s="9" t="s">
        <v>852</v>
      </c>
      <c r="AD56" s="11">
        <v>2</v>
      </c>
      <c r="AE56" s="9" t="s">
        <v>70</v>
      </c>
      <c r="AF56" s="9" t="s">
        <v>71</v>
      </c>
      <c r="AG56" s="13">
        <v>1</v>
      </c>
      <c r="AH56" s="9" t="s">
        <v>92</v>
      </c>
      <c r="AI56" s="13">
        <v>1272727</v>
      </c>
      <c r="AJ56" s="13">
        <v>2545454</v>
      </c>
      <c r="AK56" s="11">
        <v>490000</v>
      </c>
      <c r="AL56" s="11">
        <v>0</v>
      </c>
      <c r="AM56" s="11">
        <v>0</v>
      </c>
      <c r="AN56" s="9" t="s">
        <v>314</v>
      </c>
      <c r="AO56" s="11">
        <v>2055454</v>
      </c>
      <c r="AP56" s="13">
        <v>164436</v>
      </c>
      <c r="AQ56" s="13">
        <v>2219890</v>
      </c>
      <c r="AR56" s="11">
        <v>40</v>
      </c>
      <c r="AS56" s="9" t="s">
        <v>72</v>
      </c>
      <c r="AT56" s="12">
        <v>32.786000000000001</v>
      </c>
      <c r="AU56" s="9" t="s">
        <v>73</v>
      </c>
      <c r="AV56" s="9" t="s">
        <v>67</v>
      </c>
      <c r="AW56" s="9" t="s">
        <v>1021</v>
      </c>
      <c r="AX56" s="10">
        <v>45989</v>
      </c>
      <c r="AY56" s="9" t="s">
        <v>1022</v>
      </c>
      <c r="AZ56" s="9" t="s">
        <v>67</v>
      </c>
      <c r="BA56" s="9" t="s">
        <v>67</v>
      </c>
      <c r="BB56" s="12">
        <v>40</v>
      </c>
      <c r="BC56" s="9" t="s">
        <v>74</v>
      </c>
      <c r="BD56" s="9" t="s">
        <v>104</v>
      </c>
      <c r="BE56" s="9" t="s">
        <v>75</v>
      </c>
      <c r="BF56" s="11">
        <v>0</v>
      </c>
      <c r="BG56">
        <f t="shared" si="2"/>
        <v>12</v>
      </c>
      <c r="BH56" t="str">
        <f>VLOOKUP(BG56,[1]month!$A:$B,2,0)</f>
        <v>Desember</v>
      </c>
      <c r="BI56">
        <f t="shared" si="3"/>
        <v>2025</v>
      </c>
      <c r="BJ56" t="str">
        <f>VLOOKUP(I56,[1]Dist!$A:$B,2,0)</f>
        <v>Retail</v>
      </c>
      <c r="BK56" t="str">
        <f>IF(I56=11,VLOOKUP(Y56,[2]Sheet1!$C:$N,10,0),IF(I56=13,VLOOKUP(Y56,[3]Sheet1!$C:$N,10,0),IF(I56=15,VLOOKUP(Y56,[4]Sheet1!$C:$N,10,0),"Unknown")))</f>
        <v>U-PROOF</v>
      </c>
      <c r="BL56" t="str">
        <f>IF(I56=11,VLOOKUP(Y56,[2]Sheet1!$C:$N,12,0),IF(I56=13,VLOOKUP(Y56,[3]Sheet1!$C:$N,12,0),IF(I56=15,VLOOKUP(Y56,[4]Sheet1!$C:$N,12,0),"Unknown")))</f>
        <v>U-PROOF</v>
      </c>
      <c r="BM56" t="str">
        <f>VLOOKUP(W56,[1]branch!$A:$B,2,0)</f>
        <v>DANANG</v>
      </c>
    </row>
    <row r="57" spans="1:65" x14ac:dyDescent="0.35">
      <c r="A57" s="10">
        <v>45992</v>
      </c>
      <c r="B57" s="9" t="s">
        <v>1020</v>
      </c>
      <c r="C57" s="9" t="s">
        <v>64</v>
      </c>
      <c r="D57" s="9" t="s">
        <v>92</v>
      </c>
      <c r="E57" s="11">
        <v>45</v>
      </c>
      <c r="F57" s="9" t="s">
        <v>93</v>
      </c>
      <c r="G57" s="9" t="s">
        <v>65</v>
      </c>
      <c r="H57" s="9" t="s">
        <v>66</v>
      </c>
      <c r="I57" s="9">
        <v>13</v>
      </c>
      <c r="J57" s="9" t="s">
        <v>684</v>
      </c>
      <c r="K57" s="9" t="s">
        <v>684</v>
      </c>
      <c r="L57" s="9" t="s">
        <v>684</v>
      </c>
      <c r="M57" s="9" t="s">
        <v>685</v>
      </c>
      <c r="N57" s="9" t="s">
        <v>870</v>
      </c>
      <c r="O57" s="9" t="s">
        <v>150</v>
      </c>
      <c r="P57" s="9" t="s">
        <v>67</v>
      </c>
      <c r="Q57" s="9" t="s">
        <v>98</v>
      </c>
      <c r="R57" s="9" t="s">
        <v>684</v>
      </c>
      <c r="S57" s="9" t="s">
        <v>685</v>
      </c>
      <c r="T57" s="9" t="s">
        <v>819</v>
      </c>
      <c r="U57" s="9" t="s">
        <v>67</v>
      </c>
      <c r="V57" s="9" t="s">
        <v>311</v>
      </c>
      <c r="W57" s="9" t="s">
        <v>312</v>
      </c>
      <c r="X57" s="11">
        <v>30</v>
      </c>
      <c r="Y57" s="9" t="s">
        <v>809</v>
      </c>
      <c r="Z57" s="9" t="s">
        <v>76</v>
      </c>
      <c r="AA57" s="9" t="s">
        <v>810</v>
      </c>
      <c r="AB57" s="9" t="s">
        <v>67</v>
      </c>
      <c r="AC57" s="9" t="s">
        <v>701</v>
      </c>
      <c r="AD57" s="11">
        <v>24</v>
      </c>
      <c r="AE57" s="9" t="s">
        <v>70</v>
      </c>
      <c r="AF57" s="9" t="s">
        <v>71</v>
      </c>
      <c r="AG57" s="13">
        <v>1</v>
      </c>
      <c r="AH57" s="9" t="s">
        <v>92</v>
      </c>
      <c r="AI57" s="13">
        <v>120000</v>
      </c>
      <c r="AJ57" s="13">
        <v>2880000</v>
      </c>
      <c r="AK57" s="11">
        <v>554400</v>
      </c>
      <c r="AL57" s="11">
        <v>0</v>
      </c>
      <c r="AM57" s="11">
        <v>0</v>
      </c>
      <c r="AN57" s="9" t="s">
        <v>314</v>
      </c>
      <c r="AO57" s="11">
        <v>2325600</v>
      </c>
      <c r="AP57" s="13">
        <v>186048</v>
      </c>
      <c r="AQ57" s="13">
        <v>2511648</v>
      </c>
      <c r="AR57" s="12">
        <v>13.2</v>
      </c>
      <c r="AS57" s="9" t="s">
        <v>72</v>
      </c>
      <c r="AT57" s="11">
        <v>12</v>
      </c>
      <c r="AU57" s="9" t="s">
        <v>73</v>
      </c>
      <c r="AV57" s="9" t="s">
        <v>67</v>
      </c>
      <c r="AW57" s="9" t="s">
        <v>1021</v>
      </c>
      <c r="AX57" s="10">
        <v>45989</v>
      </c>
      <c r="AY57" s="9" t="s">
        <v>1022</v>
      </c>
      <c r="AZ57" s="9" t="s">
        <v>67</v>
      </c>
      <c r="BA57" s="9" t="s">
        <v>67</v>
      </c>
      <c r="BB57" s="12">
        <v>12</v>
      </c>
      <c r="BC57" s="9" t="s">
        <v>74</v>
      </c>
      <c r="BD57" s="9" t="s">
        <v>104</v>
      </c>
      <c r="BE57" s="9" t="s">
        <v>75</v>
      </c>
      <c r="BF57" s="11">
        <v>0</v>
      </c>
      <c r="BG57">
        <f t="shared" si="2"/>
        <v>12</v>
      </c>
      <c r="BH57" t="str">
        <f>VLOOKUP(BG57,[1]month!$A:$B,2,0)</f>
        <v>Desember</v>
      </c>
      <c r="BI57">
        <f t="shared" si="3"/>
        <v>2025</v>
      </c>
      <c r="BJ57" t="str">
        <f>VLOOKUP(I57,[1]Dist!$A:$B,2,0)</f>
        <v>Retail</v>
      </c>
      <c r="BK57" t="str">
        <f>IF(I57=11,VLOOKUP(Y57,[2]Sheet1!$C:$N,10,0),IF(I57=13,VLOOKUP(Y57,[3]Sheet1!$C:$N,10,0),IF(I57=15,VLOOKUP(Y57,[4]Sheet1!$C:$N,10,0),"Unknown")))</f>
        <v>PROPAN SUPER GOLD</v>
      </c>
      <c r="BL57" t="str">
        <f>IF(I57=11,VLOOKUP(Y57,[2]Sheet1!$C:$N,12,0),IF(I57=13,VLOOKUP(Y57,[3]Sheet1!$C:$N,12,0),IF(I57=15,VLOOKUP(Y57,[4]Sheet1!$C:$N,12,0),"Unknown")))</f>
        <v>PROPAN SUPER GOLD</v>
      </c>
      <c r="BM57" t="str">
        <f>VLOOKUP(W57,[1]branch!$A:$B,2,0)</f>
        <v>DANANG</v>
      </c>
    </row>
    <row r="58" spans="1:65" x14ac:dyDescent="0.35">
      <c r="A58" s="10">
        <v>45992</v>
      </c>
      <c r="B58" s="9" t="s">
        <v>1023</v>
      </c>
      <c r="C58" s="9" t="s">
        <v>64</v>
      </c>
      <c r="D58" s="9" t="s">
        <v>92</v>
      </c>
      <c r="E58" s="11">
        <v>30</v>
      </c>
      <c r="F58" s="9" t="s">
        <v>93</v>
      </c>
      <c r="G58" s="9" t="s">
        <v>65</v>
      </c>
      <c r="H58" s="9" t="s">
        <v>66</v>
      </c>
      <c r="I58" s="9">
        <v>11</v>
      </c>
      <c r="J58" s="9" t="s">
        <v>734</v>
      </c>
      <c r="K58" s="9" t="s">
        <v>734</v>
      </c>
      <c r="L58" s="9" t="s">
        <v>734</v>
      </c>
      <c r="M58" s="9" t="s">
        <v>773</v>
      </c>
      <c r="N58" s="9" t="s">
        <v>664</v>
      </c>
      <c r="O58" s="9" t="s">
        <v>97</v>
      </c>
      <c r="P58" s="9" t="s">
        <v>67</v>
      </c>
      <c r="Q58" s="9" t="s">
        <v>98</v>
      </c>
      <c r="R58" s="9" t="s">
        <v>774</v>
      </c>
      <c r="S58" s="9" t="s">
        <v>773</v>
      </c>
      <c r="T58" s="9" t="s">
        <v>775</v>
      </c>
      <c r="U58" s="9" t="s">
        <v>67</v>
      </c>
      <c r="V58" s="9" t="s">
        <v>99</v>
      </c>
      <c r="W58" s="9" t="s">
        <v>100</v>
      </c>
      <c r="X58" s="11">
        <v>20</v>
      </c>
      <c r="Y58" s="9" t="s">
        <v>244</v>
      </c>
      <c r="Z58" s="9" t="s">
        <v>68</v>
      </c>
      <c r="AA58" s="9" t="s">
        <v>245</v>
      </c>
      <c r="AB58" s="9" t="s">
        <v>67</v>
      </c>
      <c r="AC58" s="9" t="s">
        <v>229</v>
      </c>
      <c r="AD58" s="11">
        <v>10</v>
      </c>
      <c r="AE58" s="9" t="s">
        <v>70</v>
      </c>
      <c r="AF58" s="9" t="s">
        <v>71</v>
      </c>
      <c r="AG58" s="13">
        <v>1</v>
      </c>
      <c r="AH58" s="9" t="s">
        <v>92</v>
      </c>
      <c r="AI58" s="13">
        <v>1561600</v>
      </c>
      <c r="AJ58" s="13">
        <v>15616000</v>
      </c>
      <c r="AK58" s="11">
        <v>0</v>
      </c>
      <c r="AL58" s="11">
        <v>0</v>
      </c>
      <c r="AM58" s="11">
        <v>0</v>
      </c>
      <c r="AN58" s="9" t="s">
        <v>67</v>
      </c>
      <c r="AO58" s="11">
        <v>15616000</v>
      </c>
      <c r="AP58" s="13">
        <v>1249280</v>
      </c>
      <c r="AQ58" s="13">
        <v>16865280</v>
      </c>
      <c r="AR58" s="11">
        <v>200</v>
      </c>
      <c r="AS58" s="9" t="s">
        <v>72</v>
      </c>
      <c r="AT58" s="11">
        <v>200</v>
      </c>
      <c r="AU58" s="9" t="s">
        <v>73</v>
      </c>
      <c r="AV58" s="9" t="s">
        <v>67</v>
      </c>
      <c r="AW58" s="9" t="s">
        <v>889</v>
      </c>
      <c r="AX58" s="10">
        <v>45910</v>
      </c>
      <c r="AY58" s="9" t="s">
        <v>1024</v>
      </c>
      <c r="AZ58" s="9" t="s">
        <v>67</v>
      </c>
      <c r="BA58" s="9" t="s">
        <v>67</v>
      </c>
      <c r="BB58" s="12">
        <v>200</v>
      </c>
      <c r="BC58" s="9" t="s">
        <v>74</v>
      </c>
      <c r="BD58" s="9" t="s">
        <v>104</v>
      </c>
      <c r="BE58" s="9" t="s">
        <v>75</v>
      </c>
      <c r="BF58" s="11">
        <v>0</v>
      </c>
      <c r="BG58">
        <f t="shared" si="2"/>
        <v>12</v>
      </c>
      <c r="BH58" t="str">
        <f>VLOOKUP(BG58,[1]month!$A:$B,2,0)</f>
        <v>Desember</v>
      </c>
      <c r="BI58">
        <f t="shared" si="3"/>
        <v>2025</v>
      </c>
      <c r="BJ58" t="str">
        <f>VLOOKUP(I58,[1]Dist!$A:$B,2,0)</f>
        <v>Industry</v>
      </c>
      <c r="BK58" t="str">
        <f>IF(I58=11,VLOOKUP(Y58,[2]Sheet1!$C:$N,10,0),IF(I58=13,VLOOKUP(Y58,[3]Sheet1!$C:$N,10,0),IF(I58=15,VLOOKUP(Y58,[4]Sheet1!$C:$N,10,0),"Unknown")))</f>
        <v>PU</v>
      </c>
      <c r="BL58" t="str">
        <f>IF(I58=11,VLOOKUP(Y58,[2]Sheet1!$C:$N,12,0),IF(I58=13,VLOOKUP(Y58,[3]Sheet1!$C:$N,12,0),IF(I58=15,VLOOKUP(Y58,[4]Sheet1!$C:$N,12,0),"Unknown")))</f>
        <v>PU LACQUER</v>
      </c>
      <c r="BM58" t="str">
        <f>VLOOKUP(W58,[1]branch!$A:$B,2,0)</f>
        <v>INDUSTRY</v>
      </c>
    </row>
    <row r="59" spans="1:65" x14ac:dyDescent="0.35">
      <c r="A59" s="10">
        <v>45992</v>
      </c>
      <c r="B59" s="9" t="s">
        <v>1025</v>
      </c>
      <c r="C59" s="9" t="s">
        <v>64</v>
      </c>
      <c r="D59" s="9" t="s">
        <v>92</v>
      </c>
      <c r="E59" s="11">
        <v>30</v>
      </c>
      <c r="F59" s="9" t="s">
        <v>93</v>
      </c>
      <c r="G59" s="9" t="s">
        <v>65</v>
      </c>
      <c r="H59" s="9" t="s">
        <v>66</v>
      </c>
      <c r="I59" s="9">
        <v>11</v>
      </c>
      <c r="J59" s="9" t="s">
        <v>734</v>
      </c>
      <c r="K59" s="9" t="s">
        <v>734</v>
      </c>
      <c r="L59" s="9" t="s">
        <v>734</v>
      </c>
      <c r="M59" s="9" t="s">
        <v>773</v>
      </c>
      <c r="N59" s="9" t="s">
        <v>664</v>
      </c>
      <c r="O59" s="9" t="s">
        <v>97</v>
      </c>
      <c r="P59" s="9" t="s">
        <v>67</v>
      </c>
      <c r="Q59" s="9" t="s">
        <v>98</v>
      </c>
      <c r="R59" s="9" t="s">
        <v>774</v>
      </c>
      <c r="S59" s="9" t="s">
        <v>773</v>
      </c>
      <c r="T59" s="9" t="s">
        <v>775</v>
      </c>
      <c r="U59" s="9" t="s">
        <v>67</v>
      </c>
      <c r="V59" s="9" t="s">
        <v>99</v>
      </c>
      <c r="W59" s="9" t="s">
        <v>100</v>
      </c>
      <c r="X59" s="11">
        <v>10</v>
      </c>
      <c r="Y59" s="9" t="s">
        <v>507</v>
      </c>
      <c r="Z59" s="9" t="s">
        <v>68</v>
      </c>
      <c r="AA59" s="9" t="s">
        <v>508</v>
      </c>
      <c r="AB59" s="9" t="s">
        <v>67</v>
      </c>
      <c r="AC59" s="9" t="s">
        <v>251</v>
      </c>
      <c r="AD59" s="11">
        <v>5</v>
      </c>
      <c r="AE59" s="9" t="s">
        <v>70</v>
      </c>
      <c r="AF59" s="9" t="s">
        <v>71</v>
      </c>
      <c r="AG59" s="13">
        <v>1</v>
      </c>
      <c r="AH59" s="9" t="s">
        <v>92</v>
      </c>
      <c r="AI59" s="13">
        <v>1370000</v>
      </c>
      <c r="AJ59" s="13">
        <v>6850000</v>
      </c>
      <c r="AK59" s="11">
        <v>0</v>
      </c>
      <c r="AL59" s="11">
        <v>0</v>
      </c>
      <c r="AM59" s="11">
        <v>0</v>
      </c>
      <c r="AN59" s="9" t="s">
        <v>67</v>
      </c>
      <c r="AO59" s="11">
        <v>6850000</v>
      </c>
      <c r="AP59" s="13">
        <v>548000</v>
      </c>
      <c r="AQ59" s="13">
        <v>7398000</v>
      </c>
      <c r="AR59" s="11">
        <v>100</v>
      </c>
      <c r="AS59" s="9" t="s">
        <v>72</v>
      </c>
      <c r="AT59" s="12">
        <v>90.9</v>
      </c>
      <c r="AU59" s="9" t="s">
        <v>73</v>
      </c>
      <c r="AV59" s="9" t="s">
        <v>67</v>
      </c>
      <c r="AW59" s="9" t="s">
        <v>937</v>
      </c>
      <c r="AX59" s="10">
        <v>45971</v>
      </c>
      <c r="AY59" s="9" t="s">
        <v>1026</v>
      </c>
      <c r="AZ59" s="9" t="s">
        <v>67</v>
      </c>
      <c r="BA59" s="9" t="s">
        <v>67</v>
      </c>
      <c r="BB59" s="12">
        <v>100</v>
      </c>
      <c r="BC59" s="9" t="s">
        <v>74</v>
      </c>
      <c r="BD59" s="9" t="s">
        <v>104</v>
      </c>
      <c r="BE59" s="9" t="s">
        <v>75</v>
      </c>
      <c r="BF59" s="11">
        <v>0</v>
      </c>
      <c r="BG59">
        <f t="shared" si="2"/>
        <v>12</v>
      </c>
      <c r="BH59" t="str">
        <f>VLOOKUP(BG59,[1]month!$A:$B,2,0)</f>
        <v>Desember</v>
      </c>
      <c r="BI59">
        <f t="shared" si="3"/>
        <v>2025</v>
      </c>
      <c r="BJ59" t="str">
        <f>VLOOKUP(I59,[1]Dist!$A:$B,2,0)</f>
        <v>Industry</v>
      </c>
      <c r="BK59" t="str">
        <f>IF(I59=11,VLOOKUP(Y59,[2]Sheet1!$C:$N,10,0),IF(I59=13,VLOOKUP(Y59,[3]Sheet1!$C:$N,10,0),IF(I59=15,VLOOKUP(Y59,[4]Sheet1!$C:$N,10,0),"Unknown")))</f>
        <v>PU</v>
      </c>
      <c r="BL59" t="str">
        <f>IF(I59=11,VLOOKUP(Y59,[2]Sheet1!$C:$N,12,0),IF(I59=13,VLOOKUP(Y59,[3]Sheet1!$C:$N,12,0),IF(I59=15,VLOOKUP(Y59,[4]Sheet1!$C:$N,12,0),"Unknown")))</f>
        <v>PU SANDING SEALER</v>
      </c>
      <c r="BM59" t="str">
        <f>VLOOKUP(W59,[1]branch!$A:$B,2,0)</f>
        <v>INDUSTRY</v>
      </c>
    </row>
    <row r="60" spans="1:65" x14ac:dyDescent="0.35">
      <c r="A60" s="10">
        <v>45992</v>
      </c>
      <c r="B60" s="9" t="s">
        <v>1025</v>
      </c>
      <c r="C60" s="9" t="s">
        <v>64</v>
      </c>
      <c r="D60" s="9" t="s">
        <v>92</v>
      </c>
      <c r="E60" s="11">
        <v>30</v>
      </c>
      <c r="F60" s="9" t="s">
        <v>93</v>
      </c>
      <c r="G60" s="9" t="s">
        <v>65</v>
      </c>
      <c r="H60" s="9" t="s">
        <v>66</v>
      </c>
      <c r="I60" s="9">
        <v>11</v>
      </c>
      <c r="J60" s="9" t="s">
        <v>734</v>
      </c>
      <c r="K60" s="9" t="s">
        <v>734</v>
      </c>
      <c r="L60" s="9" t="s">
        <v>734</v>
      </c>
      <c r="M60" s="9" t="s">
        <v>773</v>
      </c>
      <c r="N60" s="9" t="s">
        <v>664</v>
      </c>
      <c r="O60" s="9" t="s">
        <v>97</v>
      </c>
      <c r="P60" s="9" t="s">
        <v>67</v>
      </c>
      <c r="Q60" s="9" t="s">
        <v>98</v>
      </c>
      <c r="R60" s="9" t="s">
        <v>774</v>
      </c>
      <c r="S60" s="9" t="s">
        <v>773</v>
      </c>
      <c r="T60" s="9" t="s">
        <v>775</v>
      </c>
      <c r="U60" s="9" t="s">
        <v>67</v>
      </c>
      <c r="V60" s="9" t="s">
        <v>99</v>
      </c>
      <c r="W60" s="9" t="s">
        <v>100</v>
      </c>
      <c r="X60" s="11">
        <v>50</v>
      </c>
      <c r="Y60" s="9" t="s">
        <v>257</v>
      </c>
      <c r="Z60" s="9" t="s">
        <v>68</v>
      </c>
      <c r="AA60" s="9" t="s">
        <v>258</v>
      </c>
      <c r="AB60" s="9" t="s">
        <v>67</v>
      </c>
      <c r="AC60" s="9" t="s">
        <v>259</v>
      </c>
      <c r="AD60" s="11">
        <v>10</v>
      </c>
      <c r="AE60" s="9" t="s">
        <v>70</v>
      </c>
      <c r="AF60" s="9" t="s">
        <v>71</v>
      </c>
      <c r="AG60" s="13">
        <v>1</v>
      </c>
      <c r="AH60" s="9" t="s">
        <v>92</v>
      </c>
      <c r="AI60" s="13">
        <v>2361400</v>
      </c>
      <c r="AJ60" s="13">
        <v>23614000</v>
      </c>
      <c r="AK60" s="11">
        <v>0</v>
      </c>
      <c r="AL60" s="11">
        <v>0</v>
      </c>
      <c r="AM60" s="11">
        <v>0</v>
      </c>
      <c r="AN60" s="9" t="s">
        <v>67</v>
      </c>
      <c r="AO60" s="11">
        <v>23614000</v>
      </c>
      <c r="AP60" s="13">
        <v>1889120</v>
      </c>
      <c r="AQ60" s="13">
        <v>25503120</v>
      </c>
      <c r="AR60" s="11">
        <v>200</v>
      </c>
      <c r="AS60" s="9" t="s">
        <v>72</v>
      </c>
      <c r="AT60" s="12">
        <v>198.1</v>
      </c>
      <c r="AU60" s="9" t="s">
        <v>73</v>
      </c>
      <c r="AV60" s="9" t="s">
        <v>67</v>
      </c>
      <c r="AW60" s="9" t="s">
        <v>937</v>
      </c>
      <c r="AX60" s="10">
        <v>45971</v>
      </c>
      <c r="AY60" s="9" t="s">
        <v>1026</v>
      </c>
      <c r="AZ60" s="9" t="s">
        <v>67</v>
      </c>
      <c r="BA60" s="9" t="s">
        <v>67</v>
      </c>
      <c r="BB60" s="12">
        <v>200</v>
      </c>
      <c r="BC60" s="9" t="s">
        <v>74</v>
      </c>
      <c r="BD60" s="9" t="s">
        <v>104</v>
      </c>
      <c r="BE60" s="9" t="s">
        <v>75</v>
      </c>
      <c r="BF60" s="11">
        <v>0</v>
      </c>
      <c r="BG60">
        <f t="shared" si="2"/>
        <v>12</v>
      </c>
      <c r="BH60" t="str">
        <f>VLOOKUP(BG60,[1]month!$A:$B,2,0)</f>
        <v>Desember</v>
      </c>
      <c r="BI60">
        <f t="shared" si="3"/>
        <v>2025</v>
      </c>
      <c r="BJ60" t="str">
        <f>VLOOKUP(I60,[1]Dist!$A:$B,2,0)</f>
        <v>Industry</v>
      </c>
      <c r="BK60" t="str">
        <f>IF(I60=11,VLOOKUP(Y60,[2]Sheet1!$C:$N,10,0),IF(I60=13,VLOOKUP(Y60,[3]Sheet1!$C:$N,10,0),IF(I60=15,VLOOKUP(Y60,[4]Sheet1!$C:$N,10,0),"Unknown")))</f>
        <v>PU</v>
      </c>
      <c r="BL60" t="str">
        <f>IF(I60=11,VLOOKUP(Y60,[2]Sheet1!$C:$N,12,0),IF(I60=13,VLOOKUP(Y60,[3]Sheet1!$C:$N,12,0),IF(I60=15,VLOOKUP(Y60,[4]Sheet1!$C:$N,12,0),"Unknown")))</f>
        <v>PU HARDENER</v>
      </c>
      <c r="BM60" t="str">
        <f>VLOOKUP(W60,[1]branch!$A:$B,2,0)</f>
        <v>INDUSTRY</v>
      </c>
    </row>
    <row r="61" spans="1:65" x14ac:dyDescent="0.35">
      <c r="A61" s="10">
        <v>45992</v>
      </c>
      <c r="B61" s="9" t="s">
        <v>1025</v>
      </c>
      <c r="C61" s="9" t="s">
        <v>64</v>
      </c>
      <c r="D61" s="9" t="s">
        <v>92</v>
      </c>
      <c r="E61" s="11">
        <v>30</v>
      </c>
      <c r="F61" s="9" t="s">
        <v>93</v>
      </c>
      <c r="G61" s="9" t="s">
        <v>65</v>
      </c>
      <c r="H61" s="9" t="s">
        <v>66</v>
      </c>
      <c r="I61" s="9">
        <v>11</v>
      </c>
      <c r="J61" s="9" t="s">
        <v>734</v>
      </c>
      <c r="K61" s="9" t="s">
        <v>734</v>
      </c>
      <c r="L61" s="9" t="s">
        <v>734</v>
      </c>
      <c r="M61" s="9" t="s">
        <v>773</v>
      </c>
      <c r="N61" s="9" t="s">
        <v>664</v>
      </c>
      <c r="O61" s="9" t="s">
        <v>97</v>
      </c>
      <c r="P61" s="9" t="s">
        <v>67</v>
      </c>
      <c r="Q61" s="9" t="s">
        <v>98</v>
      </c>
      <c r="R61" s="9" t="s">
        <v>774</v>
      </c>
      <c r="S61" s="9" t="s">
        <v>773</v>
      </c>
      <c r="T61" s="9" t="s">
        <v>775</v>
      </c>
      <c r="U61" s="9" t="s">
        <v>67</v>
      </c>
      <c r="V61" s="9" t="s">
        <v>99</v>
      </c>
      <c r="W61" s="9" t="s">
        <v>100</v>
      </c>
      <c r="X61" s="11">
        <v>60</v>
      </c>
      <c r="Y61" s="9" t="s">
        <v>552</v>
      </c>
      <c r="Z61" s="9" t="s">
        <v>68</v>
      </c>
      <c r="AA61" s="9" t="s">
        <v>553</v>
      </c>
      <c r="AB61" s="9" t="s">
        <v>67</v>
      </c>
      <c r="AC61" s="9" t="s">
        <v>139</v>
      </c>
      <c r="AD61" s="11">
        <v>1</v>
      </c>
      <c r="AE61" s="9" t="s">
        <v>70</v>
      </c>
      <c r="AF61" s="9" t="s">
        <v>71</v>
      </c>
      <c r="AG61" s="13">
        <v>1</v>
      </c>
      <c r="AH61" s="9" t="s">
        <v>92</v>
      </c>
      <c r="AI61" s="13">
        <v>7180000</v>
      </c>
      <c r="AJ61" s="13">
        <v>7180000</v>
      </c>
      <c r="AK61" s="11">
        <v>0</v>
      </c>
      <c r="AL61" s="11">
        <v>0</v>
      </c>
      <c r="AM61" s="11">
        <v>0</v>
      </c>
      <c r="AN61" s="9" t="s">
        <v>67</v>
      </c>
      <c r="AO61" s="11">
        <v>7180000</v>
      </c>
      <c r="AP61" s="13">
        <v>574400</v>
      </c>
      <c r="AQ61" s="13">
        <v>7754400</v>
      </c>
      <c r="AR61" s="11">
        <v>176</v>
      </c>
      <c r="AS61" s="9" t="s">
        <v>72</v>
      </c>
      <c r="AT61" s="11">
        <v>200</v>
      </c>
      <c r="AU61" s="9" t="s">
        <v>73</v>
      </c>
      <c r="AV61" s="9" t="s">
        <v>67</v>
      </c>
      <c r="AW61" s="9" t="s">
        <v>937</v>
      </c>
      <c r="AX61" s="10">
        <v>45971</v>
      </c>
      <c r="AY61" s="9" t="s">
        <v>1026</v>
      </c>
      <c r="AZ61" s="9" t="s">
        <v>67</v>
      </c>
      <c r="BA61" s="9" t="s">
        <v>67</v>
      </c>
      <c r="BB61" s="12">
        <v>200</v>
      </c>
      <c r="BC61" s="9" t="s">
        <v>74</v>
      </c>
      <c r="BD61" s="9" t="s">
        <v>104</v>
      </c>
      <c r="BE61" s="9" t="s">
        <v>75</v>
      </c>
      <c r="BF61" s="11">
        <v>0</v>
      </c>
      <c r="BG61">
        <f t="shared" si="2"/>
        <v>12</v>
      </c>
      <c r="BH61" t="str">
        <f>VLOOKUP(BG61,[1]month!$A:$B,2,0)</f>
        <v>Desember</v>
      </c>
      <c r="BI61">
        <f t="shared" si="3"/>
        <v>2025</v>
      </c>
      <c r="BJ61" t="str">
        <f>VLOOKUP(I61,[1]Dist!$A:$B,2,0)</f>
        <v>Industry</v>
      </c>
      <c r="BK61" t="str">
        <f>IF(I61=11,VLOOKUP(Y61,[2]Sheet1!$C:$N,10,0),IF(I61=13,VLOOKUP(Y61,[3]Sheet1!$C:$N,10,0),IF(I61=15,VLOOKUP(Y61,[4]Sheet1!$C:$N,10,0),"Unknown")))</f>
        <v>THINNER NC</v>
      </c>
      <c r="BL61" t="str">
        <f>IF(I61=11,VLOOKUP(Y61,[2]Sheet1!$C:$N,12,0),IF(I61=13,VLOOKUP(Y61,[3]Sheet1!$C:$N,12,0),IF(I61=15,VLOOKUP(Y61,[4]Sheet1!$C:$N,12,0),"Unknown")))</f>
        <v>THINNER COMPLEMENTARY</v>
      </c>
      <c r="BM61" t="str">
        <f>VLOOKUP(W61,[1]branch!$A:$B,2,0)</f>
        <v>INDUSTRY</v>
      </c>
    </row>
    <row r="62" spans="1:65" x14ac:dyDescent="0.35">
      <c r="A62" s="10">
        <v>45992</v>
      </c>
      <c r="B62" s="9" t="s">
        <v>1025</v>
      </c>
      <c r="C62" s="9" t="s">
        <v>64</v>
      </c>
      <c r="D62" s="9" t="s">
        <v>92</v>
      </c>
      <c r="E62" s="11">
        <v>30</v>
      </c>
      <c r="F62" s="9" t="s">
        <v>93</v>
      </c>
      <c r="G62" s="9" t="s">
        <v>65</v>
      </c>
      <c r="H62" s="9" t="s">
        <v>66</v>
      </c>
      <c r="I62" s="9">
        <v>11</v>
      </c>
      <c r="J62" s="9" t="s">
        <v>734</v>
      </c>
      <c r="K62" s="9" t="s">
        <v>734</v>
      </c>
      <c r="L62" s="9" t="s">
        <v>734</v>
      </c>
      <c r="M62" s="9" t="s">
        <v>773</v>
      </c>
      <c r="N62" s="9" t="s">
        <v>664</v>
      </c>
      <c r="O62" s="9" t="s">
        <v>97</v>
      </c>
      <c r="P62" s="9" t="s">
        <v>67</v>
      </c>
      <c r="Q62" s="9" t="s">
        <v>98</v>
      </c>
      <c r="R62" s="9" t="s">
        <v>774</v>
      </c>
      <c r="S62" s="9" t="s">
        <v>773</v>
      </c>
      <c r="T62" s="9" t="s">
        <v>775</v>
      </c>
      <c r="U62" s="9" t="s">
        <v>67</v>
      </c>
      <c r="V62" s="9" t="s">
        <v>99</v>
      </c>
      <c r="W62" s="9" t="s">
        <v>100</v>
      </c>
      <c r="X62" s="11">
        <v>160</v>
      </c>
      <c r="Y62" s="9" t="s">
        <v>203</v>
      </c>
      <c r="Z62" s="9" t="s">
        <v>68</v>
      </c>
      <c r="AA62" s="9" t="s">
        <v>204</v>
      </c>
      <c r="AB62" s="9" t="s">
        <v>67</v>
      </c>
      <c r="AC62" s="9" t="s">
        <v>205</v>
      </c>
      <c r="AD62" s="11">
        <v>1</v>
      </c>
      <c r="AE62" s="9" t="s">
        <v>70</v>
      </c>
      <c r="AF62" s="9" t="s">
        <v>71</v>
      </c>
      <c r="AG62" s="13">
        <v>1</v>
      </c>
      <c r="AH62" s="9" t="s">
        <v>92</v>
      </c>
      <c r="AI62" s="13">
        <v>1064000</v>
      </c>
      <c r="AJ62" s="13">
        <v>1064000</v>
      </c>
      <c r="AK62" s="11">
        <v>0</v>
      </c>
      <c r="AL62" s="11">
        <v>0</v>
      </c>
      <c r="AM62" s="11">
        <v>0</v>
      </c>
      <c r="AN62" s="9" t="s">
        <v>67</v>
      </c>
      <c r="AO62" s="11">
        <v>1064000</v>
      </c>
      <c r="AP62" s="13">
        <v>85120</v>
      </c>
      <c r="AQ62" s="13">
        <v>1149120</v>
      </c>
      <c r="AR62" s="12">
        <v>19.600000000000001</v>
      </c>
      <c r="AS62" s="9" t="s">
        <v>72</v>
      </c>
      <c r="AT62" s="11">
        <v>20</v>
      </c>
      <c r="AU62" s="9" t="s">
        <v>73</v>
      </c>
      <c r="AV62" s="9" t="s">
        <v>67</v>
      </c>
      <c r="AW62" s="9" t="s">
        <v>937</v>
      </c>
      <c r="AX62" s="10">
        <v>45971</v>
      </c>
      <c r="AY62" s="9" t="s">
        <v>1026</v>
      </c>
      <c r="AZ62" s="9" t="s">
        <v>67</v>
      </c>
      <c r="BA62" s="9" t="s">
        <v>67</v>
      </c>
      <c r="BB62" s="12">
        <v>20</v>
      </c>
      <c r="BC62" s="9" t="s">
        <v>74</v>
      </c>
      <c r="BD62" s="9" t="s">
        <v>104</v>
      </c>
      <c r="BE62" s="9" t="s">
        <v>75</v>
      </c>
      <c r="BF62" s="11">
        <v>0</v>
      </c>
      <c r="BG62">
        <f t="shared" si="2"/>
        <v>12</v>
      </c>
      <c r="BH62" t="str">
        <f>VLOOKUP(BG62,[1]month!$A:$B,2,0)</f>
        <v>Desember</v>
      </c>
      <c r="BI62">
        <f t="shared" si="3"/>
        <v>2025</v>
      </c>
      <c r="BJ62" t="str">
        <f>VLOOKUP(I62,[1]Dist!$A:$B,2,0)</f>
        <v>Industry</v>
      </c>
      <c r="BK62" t="str">
        <f>IF(I62=11,VLOOKUP(Y62,[2]Sheet1!$C:$N,10,0),IF(I62=13,VLOOKUP(Y62,[3]Sheet1!$C:$N,10,0),IF(I62=15,VLOOKUP(Y62,[4]Sheet1!$C:$N,10,0),"Unknown")))</f>
        <v>COMPLEMENTARY</v>
      </c>
      <c r="BL62" t="str">
        <f>IF(I62=11,VLOOKUP(Y62,[2]Sheet1!$C:$N,12,0),IF(I62=13,VLOOKUP(Y62,[3]Sheet1!$C:$N,12,0),IF(I62=15,VLOOKUP(Y62,[4]Sheet1!$C:$N,12,0),"Unknown")))</f>
        <v>RETARDER</v>
      </c>
      <c r="BM62" t="str">
        <f>VLOOKUP(W62,[1]branch!$A:$B,2,0)</f>
        <v>INDUSTRY</v>
      </c>
    </row>
    <row r="63" spans="1:65" x14ac:dyDescent="0.35">
      <c r="A63" s="10">
        <v>45992</v>
      </c>
      <c r="B63" s="9" t="s">
        <v>1027</v>
      </c>
      <c r="C63" s="9" t="s">
        <v>64</v>
      </c>
      <c r="D63" s="9" t="s">
        <v>92</v>
      </c>
      <c r="E63" s="11">
        <v>30</v>
      </c>
      <c r="F63" s="9" t="s">
        <v>93</v>
      </c>
      <c r="G63" s="9" t="s">
        <v>65</v>
      </c>
      <c r="H63" s="9" t="s">
        <v>66</v>
      </c>
      <c r="I63" s="9">
        <v>11</v>
      </c>
      <c r="J63" s="9" t="s">
        <v>734</v>
      </c>
      <c r="K63" s="9" t="s">
        <v>734</v>
      </c>
      <c r="L63" s="9" t="s">
        <v>734</v>
      </c>
      <c r="M63" s="9" t="s">
        <v>773</v>
      </c>
      <c r="N63" s="9" t="s">
        <v>664</v>
      </c>
      <c r="O63" s="9" t="s">
        <v>97</v>
      </c>
      <c r="P63" s="9" t="s">
        <v>67</v>
      </c>
      <c r="Q63" s="9" t="s">
        <v>98</v>
      </c>
      <c r="R63" s="9" t="s">
        <v>774</v>
      </c>
      <c r="S63" s="9" t="s">
        <v>773</v>
      </c>
      <c r="T63" s="9" t="s">
        <v>775</v>
      </c>
      <c r="U63" s="9" t="s">
        <v>67</v>
      </c>
      <c r="V63" s="9" t="s">
        <v>99</v>
      </c>
      <c r="W63" s="9" t="s">
        <v>100</v>
      </c>
      <c r="X63" s="11">
        <v>10</v>
      </c>
      <c r="Y63" s="9" t="s">
        <v>238</v>
      </c>
      <c r="Z63" s="9" t="s">
        <v>68</v>
      </c>
      <c r="AA63" s="9" t="s">
        <v>239</v>
      </c>
      <c r="AB63" s="9" t="s">
        <v>67</v>
      </c>
      <c r="AC63" s="9" t="s">
        <v>237</v>
      </c>
      <c r="AD63" s="11">
        <v>4</v>
      </c>
      <c r="AE63" s="9" t="s">
        <v>70</v>
      </c>
      <c r="AF63" s="9" t="s">
        <v>71</v>
      </c>
      <c r="AG63" s="13">
        <v>1</v>
      </c>
      <c r="AH63" s="9" t="s">
        <v>92</v>
      </c>
      <c r="AI63" s="13">
        <v>804200</v>
      </c>
      <c r="AJ63" s="13">
        <v>3216800</v>
      </c>
      <c r="AK63" s="11">
        <v>0</v>
      </c>
      <c r="AL63" s="11">
        <v>0</v>
      </c>
      <c r="AM63" s="11">
        <v>0</v>
      </c>
      <c r="AN63" s="9" t="s">
        <v>67</v>
      </c>
      <c r="AO63" s="11">
        <v>3216800</v>
      </c>
      <c r="AP63" s="13">
        <v>257344</v>
      </c>
      <c r="AQ63" s="13">
        <v>3474144</v>
      </c>
      <c r="AR63" s="11">
        <v>16</v>
      </c>
      <c r="AS63" s="9" t="s">
        <v>72</v>
      </c>
      <c r="AT63" s="12">
        <v>7.88</v>
      </c>
      <c r="AU63" s="9" t="s">
        <v>73</v>
      </c>
      <c r="AV63" s="9" t="s">
        <v>67</v>
      </c>
      <c r="AW63" s="9" t="s">
        <v>1028</v>
      </c>
      <c r="AX63" s="10">
        <v>45989</v>
      </c>
      <c r="AY63" s="9" t="s">
        <v>1029</v>
      </c>
      <c r="AZ63" s="9" t="s">
        <v>67</v>
      </c>
      <c r="BA63" s="9" t="s">
        <v>67</v>
      </c>
      <c r="BB63" s="12">
        <v>16</v>
      </c>
      <c r="BC63" s="9" t="s">
        <v>74</v>
      </c>
      <c r="BD63" s="9" t="s">
        <v>104</v>
      </c>
      <c r="BE63" s="9" t="s">
        <v>75</v>
      </c>
      <c r="BF63" s="11">
        <v>0</v>
      </c>
      <c r="BG63">
        <f t="shared" si="2"/>
        <v>12</v>
      </c>
      <c r="BH63" t="str">
        <f>VLOOKUP(BG63,[1]month!$A:$B,2,0)</f>
        <v>Desember</v>
      </c>
      <c r="BI63">
        <f t="shared" si="3"/>
        <v>2025</v>
      </c>
      <c r="BJ63" t="str">
        <f>VLOOKUP(I63,[1]Dist!$A:$B,2,0)</f>
        <v>Industry</v>
      </c>
      <c r="BK63" t="str">
        <f>IF(I63=11,VLOOKUP(Y63,[2]Sheet1!$C:$N,10,0),IF(I63=13,VLOOKUP(Y63,[3]Sheet1!$C:$N,10,0),IF(I63=15,VLOOKUP(Y63,[4]Sheet1!$C:$N,10,0),"Unknown")))</f>
        <v>COMPLEMENTARY</v>
      </c>
      <c r="BL63" t="str">
        <f>IF(I63=11,VLOOKUP(Y63,[2]Sheet1!$C:$N,12,0),IF(I63=13,VLOOKUP(Y63,[3]Sheet1!$C:$N,12,0),IF(I63=15,VLOOKUP(Y63,[4]Sheet1!$C:$N,12,0),"Unknown")))</f>
        <v>PASTA</v>
      </c>
      <c r="BM63" t="str">
        <f>VLOOKUP(W63,[1]branch!$A:$B,2,0)</f>
        <v>INDUSTRY</v>
      </c>
    </row>
    <row r="64" spans="1:65" x14ac:dyDescent="0.35">
      <c r="A64" s="10">
        <v>45992</v>
      </c>
      <c r="B64" s="9" t="s">
        <v>1027</v>
      </c>
      <c r="C64" s="9" t="s">
        <v>64</v>
      </c>
      <c r="D64" s="9" t="s">
        <v>92</v>
      </c>
      <c r="E64" s="11">
        <v>30</v>
      </c>
      <c r="F64" s="9" t="s">
        <v>93</v>
      </c>
      <c r="G64" s="9" t="s">
        <v>65</v>
      </c>
      <c r="H64" s="9" t="s">
        <v>66</v>
      </c>
      <c r="I64" s="9">
        <v>11</v>
      </c>
      <c r="J64" s="9" t="s">
        <v>734</v>
      </c>
      <c r="K64" s="9" t="s">
        <v>734</v>
      </c>
      <c r="L64" s="9" t="s">
        <v>734</v>
      </c>
      <c r="M64" s="9" t="s">
        <v>773</v>
      </c>
      <c r="N64" s="9" t="s">
        <v>664</v>
      </c>
      <c r="O64" s="9" t="s">
        <v>97</v>
      </c>
      <c r="P64" s="9" t="s">
        <v>67</v>
      </c>
      <c r="Q64" s="9" t="s">
        <v>98</v>
      </c>
      <c r="R64" s="9" t="s">
        <v>774</v>
      </c>
      <c r="S64" s="9" t="s">
        <v>773</v>
      </c>
      <c r="T64" s="9" t="s">
        <v>775</v>
      </c>
      <c r="U64" s="9" t="s">
        <v>67</v>
      </c>
      <c r="V64" s="9" t="s">
        <v>99</v>
      </c>
      <c r="W64" s="9" t="s">
        <v>100</v>
      </c>
      <c r="X64" s="11">
        <v>20</v>
      </c>
      <c r="Y64" s="9" t="s">
        <v>80</v>
      </c>
      <c r="Z64" s="9" t="s">
        <v>68</v>
      </c>
      <c r="AA64" s="9" t="s">
        <v>81</v>
      </c>
      <c r="AB64" s="9" t="s">
        <v>67</v>
      </c>
      <c r="AC64" s="9" t="s">
        <v>82</v>
      </c>
      <c r="AD64" s="11">
        <v>1</v>
      </c>
      <c r="AE64" s="9" t="s">
        <v>70</v>
      </c>
      <c r="AF64" s="9" t="s">
        <v>71</v>
      </c>
      <c r="AG64" s="13">
        <v>1</v>
      </c>
      <c r="AH64" s="9" t="s">
        <v>92</v>
      </c>
      <c r="AI64" s="13">
        <v>828880</v>
      </c>
      <c r="AJ64" s="13">
        <v>828880</v>
      </c>
      <c r="AK64" s="11">
        <v>0</v>
      </c>
      <c r="AL64" s="11">
        <v>0</v>
      </c>
      <c r="AM64" s="11">
        <v>0</v>
      </c>
      <c r="AN64" s="9" t="s">
        <v>67</v>
      </c>
      <c r="AO64" s="11">
        <v>828880</v>
      </c>
      <c r="AP64" s="13">
        <v>66310</v>
      </c>
      <c r="AQ64" s="13">
        <v>895190</v>
      </c>
      <c r="AR64" s="11">
        <v>4</v>
      </c>
      <c r="AS64" s="9" t="s">
        <v>72</v>
      </c>
      <c r="AT64" s="12">
        <v>4.76</v>
      </c>
      <c r="AU64" s="9" t="s">
        <v>73</v>
      </c>
      <c r="AV64" s="9" t="s">
        <v>67</v>
      </c>
      <c r="AW64" s="9" t="s">
        <v>1028</v>
      </c>
      <c r="AX64" s="10">
        <v>45989</v>
      </c>
      <c r="AY64" s="9" t="s">
        <v>1029</v>
      </c>
      <c r="AZ64" s="9" t="s">
        <v>67</v>
      </c>
      <c r="BA64" s="9" t="s">
        <v>67</v>
      </c>
      <c r="BB64" s="12">
        <v>4</v>
      </c>
      <c r="BC64" s="9" t="s">
        <v>74</v>
      </c>
      <c r="BD64" s="9" t="s">
        <v>104</v>
      </c>
      <c r="BE64" s="9" t="s">
        <v>75</v>
      </c>
      <c r="BF64" s="11">
        <v>0</v>
      </c>
      <c r="BG64">
        <f t="shared" si="2"/>
        <v>12</v>
      </c>
      <c r="BH64" t="str">
        <f>VLOOKUP(BG64,[1]month!$A:$B,2,0)</f>
        <v>Desember</v>
      </c>
      <c r="BI64">
        <f t="shared" si="3"/>
        <v>2025</v>
      </c>
      <c r="BJ64" t="str">
        <f>VLOOKUP(I64,[1]Dist!$A:$B,2,0)</f>
        <v>Industry</v>
      </c>
      <c r="BK64" t="str">
        <f>IF(I64=11,VLOOKUP(Y64,[2]Sheet1!$C:$N,10,0),IF(I64=13,VLOOKUP(Y64,[3]Sheet1!$C:$N,10,0),IF(I64=15,VLOOKUP(Y64,[4]Sheet1!$C:$N,10,0),"Unknown")))</f>
        <v>STAIN &amp; GLAZE INTERIOR</v>
      </c>
      <c r="BL64" t="str">
        <f>IF(I64=11,VLOOKUP(Y64,[2]Sheet1!$C:$N,12,0),IF(I64=13,VLOOKUP(Y64,[3]Sheet1!$C:$N,12,0),IF(I64=15,VLOOKUP(Y64,[4]Sheet1!$C:$N,12,0),"Unknown")))</f>
        <v>STAIN INTERIOR</v>
      </c>
      <c r="BM64" t="str">
        <f>VLOOKUP(W64,[1]branch!$A:$B,2,0)</f>
        <v>INDUSTRY</v>
      </c>
    </row>
    <row r="65" spans="1:65" x14ac:dyDescent="0.35">
      <c r="A65" s="10">
        <v>45992</v>
      </c>
      <c r="B65" s="9" t="s">
        <v>1027</v>
      </c>
      <c r="C65" s="9" t="s">
        <v>64</v>
      </c>
      <c r="D65" s="9" t="s">
        <v>92</v>
      </c>
      <c r="E65" s="11">
        <v>30</v>
      </c>
      <c r="F65" s="9" t="s">
        <v>93</v>
      </c>
      <c r="G65" s="9" t="s">
        <v>65</v>
      </c>
      <c r="H65" s="9" t="s">
        <v>66</v>
      </c>
      <c r="I65" s="9">
        <v>11</v>
      </c>
      <c r="J65" s="9" t="s">
        <v>734</v>
      </c>
      <c r="K65" s="9" t="s">
        <v>734</v>
      </c>
      <c r="L65" s="9" t="s">
        <v>734</v>
      </c>
      <c r="M65" s="9" t="s">
        <v>773</v>
      </c>
      <c r="N65" s="9" t="s">
        <v>664</v>
      </c>
      <c r="O65" s="9" t="s">
        <v>97</v>
      </c>
      <c r="P65" s="9" t="s">
        <v>67</v>
      </c>
      <c r="Q65" s="9" t="s">
        <v>98</v>
      </c>
      <c r="R65" s="9" t="s">
        <v>774</v>
      </c>
      <c r="S65" s="9" t="s">
        <v>773</v>
      </c>
      <c r="T65" s="9" t="s">
        <v>775</v>
      </c>
      <c r="U65" s="9" t="s">
        <v>67</v>
      </c>
      <c r="V65" s="9" t="s">
        <v>99</v>
      </c>
      <c r="W65" s="9" t="s">
        <v>100</v>
      </c>
      <c r="X65" s="11">
        <v>30</v>
      </c>
      <c r="Y65" s="9" t="s">
        <v>507</v>
      </c>
      <c r="Z65" s="9" t="s">
        <v>68</v>
      </c>
      <c r="AA65" s="9" t="s">
        <v>508</v>
      </c>
      <c r="AB65" s="9" t="s">
        <v>67</v>
      </c>
      <c r="AC65" s="9" t="s">
        <v>251</v>
      </c>
      <c r="AD65" s="11">
        <v>5</v>
      </c>
      <c r="AE65" s="9" t="s">
        <v>70</v>
      </c>
      <c r="AF65" s="9" t="s">
        <v>71</v>
      </c>
      <c r="AG65" s="13">
        <v>1</v>
      </c>
      <c r="AH65" s="9" t="s">
        <v>92</v>
      </c>
      <c r="AI65" s="13">
        <v>1370000</v>
      </c>
      <c r="AJ65" s="13">
        <v>6850000</v>
      </c>
      <c r="AK65" s="11">
        <v>0</v>
      </c>
      <c r="AL65" s="11">
        <v>0</v>
      </c>
      <c r="AM65" s="11">
        <v>0</v>
      </c>
      <c r="AN65" s="9" t="s">
        <v>67</v>
      </c>
      <c r="AO65" s="11">
        <v>6850000</v>
      </c>
      <c r="AP65" s="13">
        <v>548000</v>
      </c>
      <c r="AQ65" s="13">
        <v>7398000</v>
      </c>
      <c r="AR65" s="11">
        <v>100</v>
      </c>
      <c r="AS65" s="9" t="s">
        <v>72</v>
      </c>
      <c r="AT65" s="12">
        <v>90.9</v>
      </c>
      <c r="AU65" s="9" t="s">
        <v>73</v>
      </c>
      <c r="AV65" s="9" t="s">
        <v>67</v>
      </c>
      <c r="AW65" s="9" t="s">
        <v>1028</v>
      </c>
      <c r="AX65" s="10">
        <v>45989</v>
      </c>
      <c r="AY65" s="9" t="s">
        <v>1029</v>
      </c>
      <c r="AZ65" s="9" t="s">
        <v>67</v>
      </c>
      <c r="BA65" s="9" t="s">
        <v>67</v>
      </c>
      <c r="BB65" s="12">
        <v>100</v>
      </c>
      <c r="BC65" s="9" t="s">
        <v>74</v>
      </c>
      <c r="BD65" s="9" t="s">
        <v>104</v>
      </c>
      <c r="BE65" s="9" t="s">
        <v>75</v>
      </c>
      <c r="BF65" s="11">
        <v>0</v>
      </c>
      <c r="BG65">
        <f t="shared" si="2"/>
        <v>12</v>
      </c>
      <c r="BH65" t="str">
        <f>VLOOKUP(BG65,[1]month!$A:$B,2,0)</f>
        <v>Desember</v>
      </c>
      <c r="BI65">
        <f t="shared" si="3"/>
        <v>2025</v>
      </c>
      <c r="BJ65" t="str">
        <f>VLOOKUP(I65,[1]Dist!$A:$B,2,0)</f>
        <v>Industry</v>
      </c>
      <c r="BK65" t="str">
        <f>IF(I65=11,VLOOKUP(Y65,[2]Sheet1!$C:$N,10,0),IF(I65=13,VLOOKUP(Y65,[3]Sheet1!$C:$N,10,0),IF(I65=15,VLOOKUP(Y65,[4]Sheet1!$C:$N,10,0),"Unknown")))</f>
        <v>PU</v>
      </c>
      <c r="BL65" t="str">
        <f>IF(I65=11,VLOOKUP(Y65,[2]Sheet1!$C:$N,12,0),IF(I65=13,VLOOKUP(Y65,[3]Sheet1!$C:$N,12,0),IF(I65=15,VLOOKUP(Y65,[4]Sheet1!$C:$N,12,0),"Unknown")))</f>
        <v>PU SANDING SEALER</v>
      </c>
      <c r="BM65" t="str">
        <f>VLOOKUP(W65,[1]branch!$A:$B,2,0)</f>
        <v>INDUSTRY</v>
      </c>
    </row>
    <row r="66" spans="1:65" x14ac:dyDescent="0.35">
      <c r="A66" s="10">
        <v>45992</v>
      </c>
      <c r="B66" s="9" t="s">
        <v>1027</v>
      </c>
      <c r="C66" s="9" t="s">
        <v>64</v>
      </c>
      <c r="D66" s="9" t="s">
        <v>92</v>
      </c>
      <c r="E66" s="11">
        <v>30</v>
      </c>
      <c r="F66" s="9" t="s">
        <v>93</v>
      </c>
      <c r="G66" s="9" t="s">
        <v>65</v>
      </c>
      <c r="H66" s="9" t="s">
        <v>66</v>
      </c>
      <c r="I66" s="9">
        <v>11</v>
      </c>
      <c r="J66" s="9" t="s">
        <v>734</v>
      </c>
      <c r="K66" s="9" t="s">
        <v>734</v>
      </c>
      <c r="L66" s="9" t="s">
        <v>734</v>
      </c>
      <c r="M66" s="9" t="s">
        <v>773</v>
      </c>
      <c r="N66" s="9" t="s">
        <v>664</v>
      </c>
      <c r="O66" s="9" t="s">
        <v>97</v>
      </c>
      <c r="P66" s="9" t="s">
        <v>67</v>
      </c>
      <c r="Q66" s="9" t="s">
        <v>98</v>
      </c>
      <c r="R66" s="9" t="s">
        <v>774</v>
      </c>
      <c r="S66" s="9" t="s">
        <v>773</v>
      </c>
      <c r="T66" s="9" t="s">
        <v>775</v>
      </c>
      <c r="U66" s="9" t="s">
        <v>67</v>
      </c>
      <c r="V66" s="9" t="s">
        <v>99</v>
      </c>
      <c r="W66" s="9" t="s">
        <v>100</v>
      </c>
      <c r="X66" s="11">
        <v>40</v>
      </c>
      <c r="Y66" s="9" t="s">
        <v>203</v>
      </c>
      <c r="Z66" s="9" t="s">
        <v>68</v>
      </c>
      <c r="AA66" s="9" t="s">
        <v>204</v>
      </c>
      <c r="AB66" s="9" t="s">
        <v>67</v>
      </c>
      <c r="AC66" s="9" t="s">
        <v>205</v>
      </c>
      <c r="AD66" s="11">
        <v>2</v>
      </c>
      <c r="AE66" s="9" t="s">
        <v>70</v>
      </c>
      <c r="AF66" s="9" t="s">
        <v>71</v>
      </c>
      <c r="AG66" s="13">
        <v>1</v>
      </c>
      <c r="AH66" s="9" t="s">
        <v>92</v>
      </c>
      <c r="AI66" s="13">
        <v>1064000</v>
      </c>
      <c r="AJ66" s="13">
        <v>2128000</v>
      </c>
      <c r="AK66" s="11">
        <v>0</v>
      </c>
      <c r="AL66" s="11">
        <v>0</v>
      </c>
      <c r="AM66" s="11">
        <v>0</v>
      </c>
      <c r="AN66" s="9" t="s">
        <v>67</v>
      </c>
      <c r="AO66" s="11">
        <v>2128000</v>
      </c>
      <c r="AP66" s="13">
        <v>170240</v>
      </c>
      <c r="AQ66" s="13">
        <v>2298240</v>
      </c>
      <c r="AR66" s="12">
        <v>39.200000000000003</v>
      </c>
      <c r="AS66" s="9" t="s">
        <v>72</v>
      </c>
      <c r="AT66" s="11">
        <v>40</v>
      </c>
      <c r="AU66" s="9" t="s">
        <v>73</v>
      </c>
      <c r="AV66" s="9" t="s">
        <v>67</v>
      </c>
      <c r="AW66" s="9" t="s">
        <v>1028</v>
      </c>
      <c r="AX66" s="10">
        <v>45989</v>
      </c>
      <c r="AY66" s="9" t="s">
        <v>1029</v>
      </c>
      <c r="AZ66" s="9" t="s">
        <v>67</v>
      </c>
      <c r="BA66" s="9" t="s">
        <v>67</v>
      </c>
      <c r="BB66" s="12">
        <v>40</v>
      </c>
      <c r="BC66" s="9" t="s">
        <v>74</v>
      </c>
      <c r="BD66" s="9" t="s">
        <v>104</v>
      </c>
      <c r="BE66" s="9" t="s">
        <v>75</v>
      </c>
      <c r="BF66" s="11">
        <v>0</v>
      </c>
      <c r="BG66">
        <f t="shared" si="2"/>
        <v>12</v>
      </c>
      <c r="BH66" t="str">
        <f>VLOOKUP(BG66,[1]month!$A:$B,2,0)</f>
        <v>Desember</v>
      </c>
      <c r="BI66">
        <f t="shared" si="3"/>
        <v>2025</v>
      </c>
      <c r="BJ66" t="str">
        <f>VLOOKUP(I66,[1]Dist!$A:$B,2,0)</f>
        <v>Industry</v>
      </c>
      <c r="BK66" t="str">
        <f>IF(I66=11,VLOOKUP(Y66,[2]Sheet1!$C:$N,10,0),IF(I66=13,VLOOKUP(Y66,[3]Sheet1!$C:$N,10,0),IF(I66=15,VLOOKUP(Y66,[4]Sheet1!$C:$N,10,0),"Unknown")))</f>
        <v>COMPLEMENTARY</v>
      </c>
      <c r="BL66" t="str">
        <f>IF(I66=11,VLOOKUP(Y66,[2]Sheet1!$C:$N,12,0),IF(I66=13,VLOOKUP(Y66,[3]Sheet1!$C:$N,12,0),IF(I66=15,VLOOKUP(Y66,[4]Sheet1!$C:$N,12,0),"Unknown")))</f>
        <v>RETARDER</v>
      </c>
      <c r="BM66" t="str">
        <f>VLOOKUP(W66,[1]branch!$A:$B,2,0)</f>
        <v>INDUSTRY</v>
      </c>
    </row>
    <row r="67" spans="1:65" x14ac:dyDescent="0.35">
      <c r="A67" s="10">
        <v>45992</v>
      </c>
      <c r="B67" s="9" t="s">
        <v>1027</v>
      </c>
      <c r="C67" s="9" t="s">
        <v>64</v>
      </c>
      <c r="D67" s="9" t="s">
        <v>92</v>
      </c>
      <c r="E67" s="11">
        <v>30</v>
      </c>
      <c r="F67" s="9" t="s">
        <v>93</v>
      </c>
      <c r="G67" s="9" t="s">
        <v>65</v>
      </c>
      <c r="H67" s="9" t="s">
        <v>66</v>
      </c>
      <c r="I67" s="9">
        <v>11</v>
      </c>
      <c r="J67" s="9" t="s">
        <v>734</v>
      </c>
      <c r="K67" s="9" t="s">
        <v>734</v>
      </c>
      <c r="L67" s="9" t="s">
        <v>734</v>
      </c>
      <c r="M67" s="9" t="s">
        <v>773</v>
      </c>
      <c r="N67" s="9" t="s">
        <v>664</v>
      </c>
      <c r="O67" s="9" t="s">
        <v>97</v>
      </c>
      <c r="P67" s="9" t="s">
        <v>67</v>
      </c>
      <c r="Q67" s="9" t="s">
        <v>98</v>
      </c>
      <c r="R67" s="9" t="s">
        <v>774</v>
      </c>
      <c r="S67" s="9" t="s">
        <v>773</v>
      </c>
      <c r="T67" s="9" t="s">
        <v>775</v>
      </c>
      <c r="U67" s="9" t="s">
        <v>67</v>
      </c>
      <c r="V67" s="9" t="s">
        <v>99</v>
      </c>
      <c r="W67" s="9" t="s">
        <v>100</v>
      </c>
      <c r="X67" s="11">
        <v>50</v>
      </c>
      <c r="Y67" s="9" t="s">
        <v>552</v>
      </c>
      <c r="Z67" s="9" t="s">
        <v>68</v>
      </c>
      <c r="AA67" s="9" t="s">
        <v>553</v>
      </c>
      <c r="AB67" s="9" t="s">
        <v>67</v>
      </c>
      <c r="AC67" s="9" t="s">
        <v>139</v>
      </c>
      <c r="AD67" s="11">
        <v>4</v>
      </c>
      <c r="AE67" s="9" t="s">
        <v>70</v>
      </c>
      <c r="AF67" s="9" t="s">
        <v>71</v>
      </c>
      <c r="AG67" s="13">
        <v>1</v>
      </c>
      <c r="AH67" s="9" t="s">
        <v>92</v>
      </c>
      <c r="AI67" s="13">
        <v>7180000</v>
      </c>
      <c r="AJ67" s="13">
        <v>28720000</v>
      </c>
      <c r="AK67" s="11">
        <v>0</v>
      </c>
      <c r="AL67" s="11">
        <v>0</v>
      </c>
      <c r="AM67" s="11">
        <v>0</v>
      </c>
      <c r="AN67" s="9" t="s">
        <v>67</v>
      </c>
      <c r="AO67" s="11">
        <v>28720000</v>
      </c>
      <c r="AP67" s="13">
        <v>2297600</v>
      </c>
      <c r="AQ67" s="13">
        <v>31017600</v>
      </c>
      <c r="AR67" s="11">
        <v>704</v>
      </c>
      <c r="AS67" s="9" t="s">
        <v>72</v>
      </c>
      <c r="AT67" s="11">
        <v>800</v>
      </c>
      <c r="AU67" s="9" t="s">
        <v>73</v>
      </c>
      <c r="AV67" s="9" t="s">
        <v>67</v>
      </c>
      <c r="AW67" s="9" t="s">
        <v>1028</v>
      </c>
      <c r="AX67" s="10">
        <v>45989</v>
      </c>
      <c r="AY67" s="9" t="s">
        <v>1029</v>
      </c>
      <c r="AZ67" s="9" t="s">
        <v>67</v>
      </c>
      <c r="BA67" s="9" t="s">
        <v>67</v>
      </c>
      <c r="BB67" s="12">
        <v>800</v>
      </c>
      <c r="BC67" s="9" t="s">
        <v>74</v>
      </c>
      <c r="BD67" s="9" t="s">
        <v>104</v>
      </c>
      <c r="BE67" s="9" t="s">
        <v>75</v>
      </c>
      <c r="BF67" s="11">
        <v>0</v>
      </c>
      <c r="BG67">
        <f t="shared" ref="BG67:BG130" si="4">MONTH(A67)</f>
        <v>12</v>
      </c>
      <c r="BH67" t="str">
        <f>VLOOKUP(BG67,[1]month!$A:$B,2,0)</f>
        <v>Desember</v>
      </c>
      <c r="BI67">
        <f t="shared" ref="BI67:BI130" si="5">YEAR(A67)</f>
        <v>2025</v>
      </c>
      <c r="BJ67" t="str">
        <f>VLOOKUP(I67,[1]Dist!$A:$B,2,0)</f>
        <v>Industry</v>
      </c>
      <c r="BK67" t="str">
        <f>IF(I67=11,VLOOKUP(Y67,[2]Sheet1!$C:$N,10,0),IF(I67=13,VLOOKUP(Y67,[3]Sheet1!$C:$N,10,0),IF(I67=15,VLOOKUP(Y67,[4]Sheet1!$C:$N,10,0),"Unknown")))</f>
        <v>THINNER NC</v>
      </c>
      <c r="BL67" t="str">
        <f>IF(I67=11,VLOOKUP(Y67,[2]Sheet1!$C:$N,12,0),IF(I67=13,VLOOKUP(Y67,[3]Sheet1!$C:$N,12,0),IF(I67=15,VLOOKUP(Y67,[4]Sheet1!$C:$N,12,0),"Unknown")))</f>
        <v>THINNER COMPLEMENTARY</v>
      </c>
      <c r="BM67" t="str">
        <f>VLOOKUP(W67,[1]branch!$A:$B,2,0)</f>
        <v>INDUSTRY</v>
      </c>
    </row>
    <row r="68" spans="1:65" x14ac:dyDescent="0.35">
      <c r="A68" s="10">
        <v>45992</v>
      </c>
      <c r="B68" s="9" t="s">
        <v>1030</v>
      </c>
      <c r="C68" s="9" t="s">
        <v>64</v>
      </c>
      <c r="D68" s="9" t="s">
        <v>92</v>
      </c>
      <c r="E68" s="11">
        <v>30</v>
      </c>
      <c r="F68" s="9" t="s">
        <v>93</v>
      </c>
      <c r="G68" s="9" t="s">
        <v>65</v>
      </c>
      <c r="H68" s="9" t="s">
        <v>66</v>
      </c>
      <c r="I68" s="9">
        <v>11</v>
      </c>
      <c r="J68" s="9" t="s">
        <v>746</v>
      </c>
      <c r="K68" s="9" t="s">
        <v>746</v>
      </c>
      <c r="L68" s="9" t="s">
        <v>746</v>
      </c>
      <c r="M68" s="9" t="s">
        <v>747</v>
      </c>
      <c r="N68" s="9" t="s">
        <v>748</v>
      </c>
      <c r="O68" s="9" t="s">
        <v>97</v>
      </c>
      <c r="P68" s="9" t="s">
        <v>67</v>
      </c>
      <c r="Q68" s="9" t="s">
        <v>98</v>
      </c>
      <c r="R68" s="9" t="s">
        <v>746</v>
      </c>
      <c r="S68" s="9" t="s">
        <v>747</v>
      </c>
      <c r="T68" s="9" t="s">
        <v>835</v>
      </c>
      <c r="U68" s="9" t="s">
        <v>67</v>
      </c>
      <c r="V68" s="9" t="s">
        <v>194</v>
      </c>
      <c r="W68" s="9" t="s">
        <v>195</v>
      </c>
      <c r="X68" s="11">
        <v>10</v>
      </c>
      <c r="Y68" s="9" t="s">
        <v>118</v>
      </c>
      <c r="Z68" s="9" t="s">
        <v>68</v>
      </c>
      <c r="AA68" s="9" t="s">
        <v>119</v>
      </c>
      <c r="AB68" s="9" t="s">
        <v>67</v>
      </c>
      <c r="AC68" s="9" t="s">
        <v>120</v>
      </c>
      <c r="AD68" s="11">
        <v>3</v>
      </c>
      <c r="AE68" s="9" t="s">
        <v>70</v>
      </c>
      <c r="AF68" s="9" t="s">
        <v>71</v>
      </c>
      <c r="AG68" s="13">
        <v>1</v>
      </c>
      <c r="AH68" s="9" t="s">
        <v>92</v>
      </c>
      <c r="AI68" s="13">
        <v>8460000</v>
      </c>
      <c r="AJ68" s="13">
        <v>25380000</v>
      </c>
      <c r="AK68" s="11">
        <v>0</v>
      </c>
      <c r="AL68" s="11">
        <v>0</v>
      </c>
      <c r="AM68" s="11">
        <v>0</v>
      </c>
      <c r="AN68" s="9" t="s">
        <v>67</v>
      </c>
      <c r="AO68" s="11">
        <v>25380000</v>
      </c>
      <c r="AP68" s="13">
        <v>2030400</v>
      </c>
      <c r="AQ68" s="13">
        <v>27410400</v>
      </c>
      <c r="AR68" s="11">
        <v>555</v>
      </c>
      <c r="AS68" s="9" t="s">
        <v>72</v>
      </c>
      <c r="AT68" s="11">
        <v>600</v>
      </c>
      <c r="AU68" s="9" t="s">
        <v>73</v>
      </c>
      <c r="AV68" s="9" t="s">
        <v>67</v>
      </c>
      <c r="AW68" s="9" t="s">
        <v>1031</v>
      </c>
      <c r="AX68" s="10">
        <v>45989</v>
      </c>
      <c r="AY68" s="9" t="s">
        <v>1032</v>
      </c>
      <c r="AZ68" s="9" t="s">
        <v>67</v>
      </c>
      <c r="BA68" s="9" t="s">
        <v>67</v>
      </c>
      <c r="BB68" s="12">
        <v>600</v>
      </c>
      <c r="BC68" s="9" t="s">
        <v>74</v>
      </c>
      <c r="BD68" s="9" t="s">
        <v>104</v>
      </c>
      <c r="BE68" s="9" t="s">
        <v>75</v>
      </c>
      <c r="BF68" s="11">
        <v>0</v>
      </c>
      <c r="BG68">
        <f t="shared" si="4"/>
        <v>12</v>
      </c>
      <c r="BH68" t="str">
        <f>VLOOKUP(BG68,[1]month!$A:$B,2,0)</f>
        <v>Desember</v>
      </c>
      <c r="BI68">
        <f t="shared" si="5"/>
        <v>2025</v>
      </c>
      <c r="BJ68" t="str">
        <f>VLOOKUP(I68,[1]Dist!$A:$B,2,0)</f>
        <v>Industry</v>
      </c>
      <c r="BK68" t="str">
        <f>IF(I68=11,VLOOKUP(Y68,[2]Sheet1!$C:$N,10,0),IF(I68=13,VLOOKUP(Y68,[3]Sheet1!$C:$N,10,0),IF(I68=15,VLOOKUP(Y68,[4]Sheet1!$C:$N,10,0),"Unknown")))</f>
        <v>THINNER PU</v>
      </c>
      <c r="BL68" t="str">
        <f>IF(I68=11,VLOOKUP(Y68,[2]Sheet1!$C:$N,12,0),IF(I68=13,VLOOKUP(Y68,[3]Sheet1!$C:$N,12,0),IF(I68=15,VLOOKUP(Y68,[4]Sheet1!$C:$N,12,0),"Unknown")))</f>
        <v>THINNER PU</v>
      </c>
      <c r="BM68" t="str">
        <f>VLOOKUP(W68,[1]branch!$A:$B,2,0)</f>
        <v>INDUSTRY</v>
      </c>
    </row>
    <row r="69" spans="1:65" x14ac:dyDescent="0.35">
      <c r="A69" s="10">
        <v>45992</v>
      </c>
      <c r="B69" s="9" t="s">
        <v>1030</v>
      </c>
      <c r="C69" s="9" t="s">
        <v>64</v>
      </c>
      <c r="D69" s="9" t="s">
        <v>92</v>
      </c>
      <c r="E69" s="11">
        <v>30</v>
      </c>
      <c r="F69" s="9" t="s">
        <v>93</v>
      </c>
      <c r="G69" s="9" t="s">
        <v>65</v>
      </c>
      <c r="H69" s="9" t="s">
        <v>66</v>
      </c>
      <c r="I69" s="9">
        <v>11</v>
      </c>
      <c r="J69" s="9" t="s">
        <v>746</v>
      </c>
      <c r="K69" s="9" t="s">
        <v>746</v>
      </c>
      <c r="L69" s="9" t="s">
        <v>746</v>
      </c>
      <c r="M69" s="9" t="s">
        <v>747</v>
      </c>
      <c r="N69" s="9" t="s">
        <v>748</v>
      </c>
      <c r="O69" s="9" t="s">
        <v>97</v>
      </c>
      <c r="P69" s="9" t="s">
        <v>67</v>
      </c>
      <c r="Q69" s="9" t="s">
        <v>98</v>
      </c>
      <c r="R69" s="9" t="s">
        <v>746</v>
      </c>
      <c r="S69" s="9" t="s">
        <v>747</v>
      </c>
      <c r="T69" s="9" t="s">
        <v>835</v>
      </c>
      <c r="U69" s="9" t="s">
        <v>67</v>
      </c>
      <c r="V69" s="9" t="s">
        <v>194</v>
      </c>
      <c r="W69" s="9" t="s">
        <v>195</v>
      </c>
      <c r="X69" s="11">
        <v>20</v>
      </c>
      <c r="Y69" s="9" t="s">
        <v>291</v>
      </c>
      <c r="Z69" s="9" t="s">
        <v>68</v>
      </c>
      <c r="AA69" s="9" t="s">
        <v>292</v>
      </c>
      <c r="AB69" s="9" t="s">
        <v>67</v>
      </c>
      <c r="AC69" s="9" t="s">
        <v>293</v>
      </c>
      <c r="AD69" s="11">
        <v>7</v>
      </c>
      <c r="AE69" s="9" t="s">
        <v>70</v>
      </c>
      <c r="AF69" s="9" t="s">
        <v>71</v>
      </c>
      <c r="AG69" s="13">
        <v>1</v>
      </c>
      <c r="AH69" s="9" t="s">
        <v>92</v>
      </c>
      <c r="AI69" s="13">
        <v>2356000</v>
      </c>
      <c r="AJ69" s="13">
        <v>16492000</v>
      </c>
      <c r="AK69" s="11">
        <v>0</v>
      </c>
      <c r="AL69" s="11">
        <v>0</v>
      </c>
      <c r="AM69" s="11">
        <v>0</v>
      </c>
      <c r="AN69" s="9" t="s">
        <v>67</v>
      </c>
      <c r="AO69" s="11">
        <v>16492000</v>
      </c>
      <c r="AP69" s="13">
        <v>1319360</v>
      </c>
      <c r="AQ69" s="13">
        <v>17811360</v>
      </c>
      <c r="AR69" s="11">
        <v>140</v>
      </c>
      <c r="AS69" s="9" t="s">
        <v>72</v>
      </c>
      <c r="AT69" s="11">
        <v>140</v>
      </c>
      <c r="AU69" s="9" t="s">
        <v>73</v>
      </c>
      <c r="AV69" s="9" t="s">
        <v>67</v>
      </c>
      <c r="AW69" s="9" t="s">
        <v>1031</v>
      </c>
      <c r="AX69" s="10">
        <v>45989</v>
      </c>
      <c r="AY69" s="9" t="s">
        <v>1032</v>
      </c>
      <c r="AZ69" s="9" t="s">
        <v>67</v>
      </c>
      <c r="BA69" s="9" t="s">
        <v>67</v>
      </c>
      <c r="BB69" s="12">
        <v>140</v>
      </c>
      <c r="BC69" s="9" t="s">
        <v>74</v>
      </c>
      <c r="BD69" s="9" t="s">
        <v>104</v>
      </c>
      <c r="BE69" s="9" t="s">
        <v>75</v>
      </c>
      <c r="BF69" s="11">
        <v>0</v>
      </c>
      <c r="BG69">
        <f t="shared" si="4"/>
        <v>12</v>
      </c>
      <c r="BH69" t="str">
        <f>VLOOKUP(BG69,[1]month!$A:$B,2,0)</f>
        <v>Desember</v>
      </c>
      <c r="BI69">
        <f t="shared" si="5"/>
        <v>2025</v>
      </c>
      <c r="BJ69" t="str">
        <f>VLOOKUP(I69,[1]Dist!$A:$B,2,0)</f>
        <v>Industry</v>
      </c>
      <c r="BK69" t="str">
        <f>IF(I69=11,VLOOKUP(Y69,[2]Sheet1!$C:$N,10,0),IF(I69=13,VLOOKUP(Y69,[3]Sheet1!$C:$N,10,0),IF(I69=15,VLOOKUP(Y69,[4]Sheet1!$C:$N,10,0),"Unknown")))</f>
        <v>PU</v>
      </c>
      <c r="BL69" t="str">
        <f>IF(I69=11,VLOOKUP(Y69,[2]Sheet1!$C:$N,12,0),IF(I69=13,VLOOKUP(Y69,[3]Sheet1!$C:$N,12,0),IF(I69=15,VLOOKUP(Y69,[4]Sheet1!$C:$N,12,0),"Unknown")))</f>
        <v>PU SANDING SEALER</v>
      </c>
      <c r="BM69" t="str">
        <f>VLOOKUP(W69,[1]branch!$A:$B,2,0)</f>
        <v>INDUSTRY</v>
      </c>
    </row>
    <row r="70" spans="1:65" x14ac:dyDescent="0.35">
      <c r="A70" s="10">
        <v>45992</v>
      </c>
      <c r="B70" s="9" t="s">
        <v>1030</v>
      </c>
      <c r="C70" s="9" t="s">
        <v>64</v>
      </c>
      <c r="D70" s="9" t="s">
        <v>92</v>
      </c>
      <c r="E70" s="11">
        <v>30</v>
      </c>
      <c r="F70" s="9" t="s">
        <v>93</v>
      </c>
      <c r="G70" s="9" t="s">
        <v>65</v>
      </c>
      <c r="H70" s="9" t="s">
        <v>66</v>
      </c>
      <c r="I70" s="9">
        <v>11</v>
      </c>
      <c r="J70" s="9" t="s">
        <v>746</v>
      </c>
      <c r="K70" s="9" t="s">
        <v>746</v>
      </c>
      <c r="L70" s="9" t="s">
        <v>746</v>
      </c>
      <c r="M70" s="9" t="s">
        <v>747</v>
      </c>
      <c r="N70" s="9" t="s">
        <v>748</v>
      </c>
      <c r="O70" s="9" t="s">
        <v>97</v>
      </c>
      <c r="P70" s="9" t="s">
        <v>67</v>
      </c>
      <c r="Q70" s="9" t="s">
        <v>98</v>
      </c>
      <c r="R70" s="9" t="s">
        <v>746</v>
      </c>
      <c r="S70" s="9" t="s">
        <v>747</v>
      </c>
      <c r="T70" s="9" t="s">
        <v>835</v>
      </c>
      <c r="U70" s="9" t="s">
        <v>67</v>
      </c>
      <c r="V70" s="9" t="s">
        <v>194</v>
      </c>
      <c r="W70" s="9" t="s">
        <v>195</v>
      </c>
      <c r="X70" s="11">
        <v>30</v>
      </c>
      <c r="Y70" s="9" t="s">
        <v>123</v>
      </c>
      <c r="Z70" s="9" t="s">
        <v>68</v>
      </c>
      <c r="AA70" s="9" t="s">
        <v>124</v>
      </c>
      <c r="AB70" s="9" t="s">
        <v>67</v>
      </c>
      <c r="AC70" s="9" t="s">
        <v>125</v>
      </c>
      <c r="AD70" s="11">
        <v>7</v>
      </c>
      <c r="AE70" s="9" t="s">
        <v>70</v>
      </c>
      <c r="AF70" s="9" t="s">
        <v>71</v>
      </c>
      <c r="AG70" s="13">
        <v>1</v>
      </c>
      <c r="AH70" s="9" t="s">
        <v>92</v>
      </c>
      <c r="AI70" s="13">
        <v>2856000</v>
      </c>
      <c r="AJ70" s="13">
        <v>19992000</v>
      </c>
      <c r="AK70" s="11">
        <v>0</v>
      </c>
      <c r="AL70" s="11">
        <v>0</v>
      </c>
      <c r="AM70" s="11">
        <v>0</v>
      </c>
      <c r="AN70" s="9" t="s">
        <v>67</v>
      </c>
      <c r="AO70" s="11">
        <v>19992000</v>
      </c>
      <c r="AP70" s="13">
        <v>1599360</v>
      </c>
      <c r="AQ70" s="13">
        <v>21591360</v>
      </c>
      <c r="AR70" s="12">
        <v>137.19999999999999</v>
      </c>
      <c r="AS70" s="9" t="s">
        <v>72</v>
      </c>
      <c r="AT70" s="11">
        <v>140</v>
      </c>
      <c r="AU70" s="9" t="s">
        <v>73</v>
      </c>
      <c r="AV70" s="9" t="s">
        <v>67</v>
      </c>
      <c r="AW70" s="9" t="s">
        <v>1031</v>
      </c>
      <c r="AX70" s="10">
        <v>45989</v>
      </c>
      <c r="AY70" s="9" t="s">
        <v>1032</v>
      </c>
      <c r="AZ70" s="9" t="s">
        <v>67</v>
      </c>
      <c r="BA70" s="9" t="s">
        <v>67</v>
      </c>
      <c r="BB70" s="12">
        <v>140</v>
      </c>
      <c r="BC70" s="9" t="s">
        <v>74</v>
      </c>
      <c r="BD70" s="9" t="s">
        <v>104</v>
      </c>
      <c r="BE70" s="9" t="s">
        <v>75</v>
      </c>
      <c r="BF70" s="11">
        <v>0</v>
      </c>
      <c r="BG70">
        <f t="shared" si="4"/>
        <v>12</v>
      </c>
      <c r="BH70" t="str">
        <f>VLOOKUP(BG70,[1]month!$A:$B,2,0)</f>
        <v>Desember</v>
      </c>
      <c r="BI70">
        <f t="shared" si="5"/>
        <v>2025</v>
      </c>
      <c r="BJ70" t="str">
        <f>VLOOKUP(I70,[1]Dist!$A:$B,2,0)</f>
        <v>Industry</v>
      </c>
      <c r="BK70" t="str">
        <f>IF(I70=11,VLOOKUP(Y70,[2]Sheet1!$C:$N,10,0),IF(I70=13,VLOOKUP(Y70,[3]Sheet1!$C:$N,10,0),IF(I70=15,VLOOKUP(Y70,[4]Sheet1!$C:$N,10,0),"Unknown")))</f>
        <v>PU</v>
      </c>
      <c r="BL70" t="str">
        <f>IF(I70=11,VLOOKUP(Y70,[2]Sheet1!$C:$N,12,0),IF(I70=13,VLOOKUP(Y70,[3]Sheet1!$C:$N,12,0),IF(I70=15,VLOOKUP(Y70,[4]Sheet1!$C:$N,12,0),"Unknown")))</f>
        <v>PU HARDENER</v>
      </c>
      <c r="BM70" t="str">
        <f>VLOOKUP(W70,[1]branch!$A:$B,2,0)</f>
        <v>INDUSTRY</v>
      </c>
    </row>
    <row r="71" spans="1:65" x14ac:dyDescent="0.35">
      <c r="A71" s="10">
        <v>45992</v>
      </c>
      <c r="B71" s="9" t="s">
        <v>1033</v>
      </c>
      <c r="C71" s="9" t="s">
        <v>64</v>
      </c>
      <c r="D71" s="9" t="s">
        <v>92</v>
      </c>
      <c r="E71" s="11">
        <v>30</v>
      </c>
      <c r="F71" s="9" t="s">
        <v>93</v>
      </c>
      <c r="G71" s="9" t="s">
        <v>65</v>
      </c>
      <c r="H71" s="9" t="s">
        <v>66</v>
      </c>
      <c r="I71" s="9">
        <v>11</v>
      </c>
      <c r="J71" s="9" t="s">
        <v>746</v>
      </c>
      <c r="K71" s="9" t="s">
        <v>746</v>
      </c>
      <c r="L71" s="9" t="s">
        <v>746</v>
      </c>
      <c r="M71" s="9" t="s">
        <v>747</v>
      </c>
      <c r="N71" s="9" t="s">
        <v>748</v>
      </c>
      <c r="O71" s="9" t="s">
        <v>97</v>
      </c>
      <c r="P71" s="9" t="s">
        <v>67</v>
      </c>
      <c r="Q71" s="9" t="s">
        <v>98</v>
      </c>
      <c r="R71" s="9" t="s">
        <v>746</v>
      </c>
      <c r="S71" s="9" t="s">
        <v>747</v>
      </c>
      <c r="T71" s="9" t="s">
        <v>835</v>
      </c>
      <c r="U71" s="9" t="s">
        <v>67</v>
      </c>
      <c r="V71" s="9" t="s">
        <v>194</v>
      </c>
      <c r="W71" s="9" t="s">
        <v>195</v>
      </c>
      <c r="X71" s="11">
        <v>10</v>
      </c>
      <c r="Y71" s="9" t="s">
        <v>196</v>
      </c>
      <c r="Z71" s="9" t="s">
        <v>68</v>
      </c>
      <c r="AA71" s="9" t="s">
        <v>197</v>
      </c>
      <c r="AB71" s="9" t="s">
        <v>67</v>
      </c>
      <c r="AC71" s="9" t="s">
        <v>103</v>
      </c>
      <c r="AD71" s="11">
        <v>4</v>
      </c>
      <c r="AE71" s="9" t="s">
        <v>70</v>
      </c>
      <c r="AF71" s="9" t="s">
        <v>71</v>
      </c>
      <c r="AG71" s="13">
        <v>1</v>
      </c>
      <c r="AH71" s="9" t="s">
        <v>92</v>
      </c>
      <c r="AI71" s="13">
        <v>1670000</v>
      </c>
      <c r="AJ71" s="13">
        <v>6680000</v>
      </c>
      <c r="AK71" s="11">
        <v>0</v>
      </c>
      <c r="AL71" s="11">
        <v>0</v>
      </c>
      <c r="AM71" s="11">
        <v>0</v>
      </c>
      <c r="AN71" s="9" t="s">
        <v>67</v>
      </c>
      <c r="AO71" s="11">
        <v>6680000</v>
      </c>
      <c r="AP71" s="13">
        <v>534400</v>
      </c>
      <c r="AQ71" s="13">
        <v>7214400</v>
      </c>
      <c r="AR71" s="11">
        <v>80</v>
      </c>
      <c r="AS71" s="9" t="s">
        <v>72</v>
      </c>
      <c r="AT71" s="12">
        <v>79.2</v>
      </c>
      <c r="AU71" s="9" t="s">
        <v>73</v>
      </c>
      <c r="AV71" s="9" t="s">
        <v>67</v>
      </c>
      <c r="AW71" s="9" t="s">
        <v>1034</v>
      </c>
      <c r="AX71" s="10">
        <v>45989</v>
      </c>
      <c r="AY71" s="9" t="s">
        <v>1035</v>
      </c>
      <c r="AZ71" s="9" t="s">
        <v>67</v>
      </c>
      <c r="BA71" s="9" t="s">
        <v>67</v>
      </c>
      <c r="BB71" s="12">
        <v>80</v>
      </c>
      <c r="BC71" s="9" t="s">
        <v>74</v>
      </c>
      <c r="BD71" s="9" t="s">
        <v>104</v>
      </c>
      <c r="BE71" s="9" t="s">
        <v>75</v>
      </c>
      <c r="BF71" s="11">
        <v>0</v>
      </c>
      <c r="BG71">
        <f t="shared" si="4"/>
        <v>12</v>
      </c>
      <c r="BH71" t="str">
        <f>VLOOKUP(BG71,[1]month!$A:$B,2,0)</f>
        <v>Desember</v>
      </c>
      <c r="BI71">
        <f t="shared" si="5"/>
        <v>2025</v>
      </c>
      <c r="BJ71" t="str">
        <f>VLOOKUP(I71,[1]Dist!$A:$B,2,0)</f>
        <v>Industry</v>
      </c>
      <c r="BK71" t="str">
        <f>IF(I71=11,VLOOKUP(Y71,[2]Sheet1!$C:$N,10,0),IF(I71=13,VLOOKUP(Y71,[3]Sheet1!$C:$N,10,0),IF(I71=15,VLOOKUP(Y71,[4]Sheet1!$C:$N,10,0),"Unknown")))</f>
        <v>PU</v>
      </c>
      <c r="BL71" t="str">
        <f>IF(I71=11,VLOOKUP(Y71,[2]Sheet1!$C:$N,12,0),IF(I71=13,VLOOKUP(Y71,[3]Sheet1!$C:$N,12,0),IF(I71=15,VLOOKUP(Y71,[4]Sheet1!$C:$N,12,0),"Unknown")))</f>
        <v>PU SANDING SEALER</v>
      </c>
      <c r="BM71" t="str">
        <f>VLOOKUP(W71,[1]branch!$A:$B,2,0)</f>
        <v>INDUSTRY</v>
      </c>
    </row>
    <row r="72" spans="1:65" x14ac:dyDescent="0.35">
      <c r="A72" s="10">
        <v>45992</v>
      </c>
      <c r="B72" s="9" t="s">
        <v>1033</v>
      </c>
      <c r="C72" s="9" t="s">
        <v>64</v>
      </c>
      <c r="D72" s="9" t="s">
        <v>92</v>
      </c>
      <c r="E72" s="11">
        <v>30</v>
      </c>
      <c r="F72" s="9" t="s">
        <v>93</v>
      </c>
      <c r="G72" s="9" t="s">
        <v>65</v>
      </c>
      <c r="H72" s="9" t="s">
        <v>66</v>
      </c>
      <c r="I72" s="9">
        <v>11</v>
      </c>
      <c r="J72" s="9" t="s">
        <v>746</v>
      </c>
      <c r="K72" s="9" t="s">
        <v>746</v>
      </c>
      <c r="L72" s="9" t="s">
        <v>746</v>
      </c>
      <c r="M72" s="9" t="s">
        <v>747</v>
      </c>
      <c r="N72" s="9" t="s">
        <v>748</v>
      </c>
      <c r="O72" s="9" t="s">
        <v>97</v>
      </c>
      <c r="P72" s="9" t="s">
        <v>67</v>
      </c>
      <c r="Q72" s="9" t="s">
        <v>98</v>
      </c>
      <c r="R72" s="9" t="s">
        <v>746</v>
      </c>
      <c r="S72" s="9" t="s">
        <v>747</v>
      </c>
      <c r="T72" s="9" t="s">
        <v>835</v>
      </c>
      <c r="U72" s="9" t="s">
        <v>67</v>
      </c>
      <c r="V72" s="9" t="s">
        <v>194</v>
      </c>
      <c r="W72" s="9" t="s">
        <v>195</v>
      </c>
      <c r="X72" s="11">
        <v>20</v>
      </c>
      <c r="Y72" s="9" t="s">
        <v>198</v>
      </c>
      <c r="Z72" s="9" t="s">
        <v>68</v>
      </c>
      <c r="AA72" s="9" t="s">
        <v>199</v>
      </c>
      <c r="AB72" s="9" t="s">
        <v>67</v>
      </c>
      <c r="AC72" s="9" t="s">
        <v>200</v>
      </c>
      <c r="AD72" s="11">
        <v>2</v>
      </c>
      <c r="AE72" s="9" t="s">
        <v>70</v>
      </c>
      <c r="AF72" s="9" t="s">
        <v>71</v>
      </c>
      <c r="AG72" s="13">
        <v>1</v>
      </c>
      <c r="AH72" s="9" t="s">
        <v>92</v>
      </c>
      <c r="AI72" s="13">
        <v>1893600</v>
      </c>
      <c r="AJ72" s="13">
        <v>3787200</v>
      </c>
      <c r="AK72" s="11">
        <v>0</v>
      </c>
      <c r="AL72" s="11">
        <v>0</v>
      </c>
      <c r="AM72" s="11">
        <v>0</v>
      </c>
      <c r="AN72" s="9" t="s">
        <v>67</v>
      </c>
      <c r="AO72" s="11">
        <v>3787200</v>
      </c>
      <c r="AP72" s="13">
        <v>302976</v>
      </c>
      <c r="AQ72" s="13">
        <v>4090176</v>
      </c>
      <c r="AR72" s="11">
        <v>36</v>
      </c>
      <c r="AS72" s="9" t="s">
        <v>72</v>
      </c>
      <c r="AT72" s="11">
        <v>36</v>
      </c>
      <c r="AU72" s="9" t="s">
        <v>73</v>
      </c>
      <c r="AV72" s="9" t="s">
        <v>67</v>
      </c>
      <c r="AW72" s="9" t="s">
        <v>1034</v>
      </c>
      <c r="AX72" s="10">
        <v>45989</v>
      </c>
      <c r="AY72" s="9" t="s">
        <v>1035</v>
      </c>
      <c r="AZ72" s="9" t="s">
        <v>67</v>
      </c>
      <c r="BA72" s="9" t="s">
        <v>67</v>
      </c>
      <c r="BB72" s="12">
        <v>36</v>
      </c>
      <c r="BC72" s="9" t="s">
        <v>74</v>
      </c>
      <c r="BD72" s="9" t="s">
        <v>104</v>
      </c>
      <c r="BE72" s="9" t="s">
        <v>75</v>
      </c>
      <c r="BF72" s="11">
        <v>0</v>
      </c>
      <c r="BG72">
        <f t="shared" si="4"/>
        <v>12</v>
      </c>
      <c r="BH72" t="str">
        <f>VLOOKUP(BG72,[1]month!$A:$B,2,0)</f>
        <v>Desember</v>
      </c>
      <c r="BI72">
        <f t="shared" si="5"/>
        <v>2025</v>
      </c>
      <c r="BJ72" t="str">
        <f>VLOOKUP(I72,[1]Dist!$A:$B,2,0)</f>
        <v>Industry</v>
      </c>
      <c r="BK72" t="str">
        <f>IF(I72=11,VLOOKUP(Y72,[2]Sheet1!$C:$N,10,0),IF(I72=13,VLOOKUP(Y72,[3]Sheet1!$C:$N,10,0),IF(I72=15,VLOOKUP(Y72,[4]Sheet1!$C:$N,10,0),"Unknown")))</f>
        <v>PU</v>
      </c>
      <c r="BL72" t="str">
        <f>IF(I72=11,VLOOKUP(Y72,[2]Sheet1!$C:$N,12,0),IF(I72=13,VLOOKUP(Y72,[3]Sheet1!$C:$N,12,0),IF(I72=15,VLOOKUP(Y72,[4]Sheet1!$C:$N,12,0),"Unknown")))</f>
        <v>PU LACQUER</v>
      </c>
      <c r="BM72" t="str">
        <f>VLOOKUP(W72,[1]branch!$A:$B,2,0)</f>
        <v>INDUSTRY</v>
      </c>
    </row>
    <row r="73" spans="1:65" x14ac:dyDescent="0.35">
      <c r="A73" s="10">
        <v>45992</v>
      </c>
      <c r="B73" s="9" t="s">
        <v>1033</v>
      </c>
      <c r="C73" s="9" t="s">
        <v>64</v>
      </c>
      <c r="D73" s="9" t="s">
        <v>92</v>
      </c>
      <c r="E73" s="11">
        <v>30</v>
      </c>
      <c r="F73" s="9" t="s">
        <v>93</v>
      </c>
      <c r="G73" s="9" t="s">
        <v>65</v>
      </c>
      <c r="H73" s="9" t="s">
        <v>66</v>
      </c>
      <c r="I73" s="9">
        <v>11</v>
      </c>
      <c r="J73" s="9" t="s">
        <v>746</v>
      </c>
      <c r="K73" s="9" t="s">
        <v>746</v>
      </c>
      <c r="L73" s="9" t="s">
        <v>746</v>
      </c>
      <c r="M73" s="9" t="s">
        <v>747</v>
      </c>
      <c r="N73" s="9" t="s">
        <v>748</v>
      </c>
      <c r="O73" s="9" t="s">
        <v>97</v>
      </c>
      <c r="P73" s="9" t="s">
        <v>67</v>
      </c>
      <c r="Q73" s="9" t="s">
        <v>98</v>
      </c>
      <c r="R73" s="9" t="s">
        <v>746</v>
      </c>
      <c r="S73" s="9" t="s">
        <v>747</v>
      </c>
      <c r="T73" s="9" t="s">
        <v>835</v>
      </c>
      <c r="U73" s="9" t="s">
        <v>67</v>
      </c>
      <c r="V73" s="9" t="s">
        <v>194</v>
      </c>
      <c r="W73" s="9" t="s">
        <v>195</v>
      </c>
      <c r="X73" s="11">
        <v>30</v>
      </c>
      <c r="Y73" s="9" t="s">
        <v>105</v>
      </c>
      <c r="Z73" s="9" t="s">
        <v>68</v>
      </c>
      <c r="AA73" s="9" t="s">
        <v>106</v>
      </c>
      <c r="AB73" s="9" t="s">
        <v>67</v>
      </c>
      <c r="AC73" s="9" t="s">
        <v>107</v>
      </c>
      <c r="AD73" s="11">
        <v>3</v>
      </c>
      <c r="AE73" s="9" t="s">
        <v>70</v>
      </c>
      <c r="AF73" s="9" t="s">
        <v>71</v>
      </c>
      <c r="AG73" s="13">
        <v>1</v>
      </c>
      <c r="AH73" s="9" t="s">
        <v>92</v>
      </c>
      <c r="AI73" s="13">
        <v>1990000</v>
      </c>
      <c r="AJ73" s="13">
        <v>5970000</v>
      </c>
      <c r="AK73" s="11">
        <v>0</v>
      </c>
      <c r="AL73" s="11">
        <v>0</v>
      </c>
      <c r="AM73" s="11">
        <v>0</v>
      </c>
      <c r="AN73" s="9" t="s">
        <v>67</v>
      </c>
      <c r="AO73" s="11">
        <v>5970000</v>
      </c>
      <c r="AP73" s="13">
        <v>477600</v>
      </c>
      <c r="AQ73" s="13">
        <v>6447600</v>
      </c>
      <c r="AR73" s="11">
        <v>60</v>
      </c>
      <c r="AS73" s="9" t="s">
        <v>72</v>
      </c>
      <c r="AT73" s="12">
        <v>63.84</v>
      </c>
      <c r="AU73" s="9" t="s">
        <v>73</v>
      </c>
      <c r="AV73" s="9" t="s">
        <v>67</v>
      </c>
      <c r="AW73" s="9" t="s">
        <v>1034</v>
      </c>
      <c r="AX73" s="10">
        <v>45989</v>
      </c>
      <c r="AY73" s="9" t="s">
        <v>1035</v>
      </c>
      <c r="AZ73" s="9" t="s">
        <v>67</v>
      </c>
      <c r="BA73" s="9" t="s">
        <v>67</v>
      </c>
      <c r="BB73" s="12">
        <v>60</v>
      </c>
      <c r="BC73" s="9" t="s">
        <v>74</v>
      </c>
      <c r="BD73" s="9" t="s">
        <v>104</v>
      </c>
      <c r="BE73" s="9" t="s">
        <v>75</v>
      </c>
      <c r="BF73" s="11">
        <v>0</v>
      </c>
      <c r="BG73">
        <f t="shared" si="4"/>
        <v>12</v>
      </c>
      <c r="BH73" t="str">
        <f>VLOOKUP(BG73,[1]month!$A:$B,2,0)</f>
        <v>Desember</v>
      </c>
      <c r="BI73">
        <f t="shared" si="5"/>
        <v>2025</v>
      </c>
      <c r="BJ73" t="str">
        <f>VLOOKUP(I73,[1]Dist!$A:$B,2,0)</f>
        <v>Industry</v>
      </c>
      <c r="BK73" t="str">
        <f>IF(I73=11,VLOOKUP(Y73,[2]Sheet1!$C:$N,10,0),IF(I73=13,VLOOKUP(Y73,[3]Sheet1!$C:$N,10,0),IF(I73=15,VLOOKUP(Y73,[4]Sheet1!$C:$N,10,0),"Unknown")))</f>
        <v>PU</v>
      </c>
      <c r="BL73" t="str">
        <f>IF(I73=11,VLOOKUP(Y73,[2]Sheet1!$C:$N,12,0),IF(I73=13,VLOOKUP(Y73,[3]Sheet1!$C:$N,12,0),IF(I73=15,VLOOKUP(Y73,[4]Sheet1!$C:$N,12,0),"Unknown")))</f>
        <v>PU HARDENER</v>
      </c>
      <c r="BM73" t="str">
        <f>VLOOKUP(W73,[1]branch!$A:$B,2,0)</f>
        <v>INDUSTRY</v>
      </c>
    </row>
    <row r="74" spans="1:65" x14ac:dyDescent="0.35">
      <c r="A74" s="10">
        <v>45992</v>
      </c>
      <c r="B74" s="9" t="s">
        <v>1033</v>
      </c>
      <c r="C74" s="9" t="s">
        <v>64</v>
      </c>
      <c r="D74" s="9" t="s">
        <v>92</v>
      </c>
      <c r="E74" s="11">
        <v>30</v>
      </c>
      <c r="F74" s="9" t="s">
        <v>93</v>
      </c>
      <c r="G74" s="9" t="s">
        <v>65</v>
      </c>
      <c r="H74" s="9" t="s">
        <v>66</v>
      </c>
      <c r="I74" s="9">
        <v>11</v>
      </c>
      <c r="J74" s="9" t="s">
        <v>746</v>
      </c>
      <c r="K74" s="9" t="s">
        <v>746</v>
      </c>
      <c r="L74" s="9" t="s">
        <v>746</v>
      </c>
      <c r="M74" s="9" t="s">
        <v>747</v>
      </c>
      <c r="N74" s="9" t="s">
        <v>748</v>
      </c>
      <c r="O74" s="9" t="s">
        <v>97</v>
      </c>
      <c r="P74" s="9" t="s">
        <v>67</v>
      </c>
      <c r="Q74" s="9" t="s">
        <v>98</v>
      </c>
      <c r="R74" s="9" t="s">
        <v>746</v>
      </c>
      <c r="S74" s="9" t="s">
        <v>747</v>
      </c>
      <c r="T74" s="9" t="s">
        <v>835</v>
      </c>
      <c r="U74" s="9" t="s">
        <v>67</v>
      </c>
      <c r="V74" s="9" t="s">
        <v>194</v>
      </c>
      <c r="W74" s="9" t="s">
        <v>195</v>
      </c>
      <c r="X74" s="11">
        <v>40</v>
      </c>
      <c r="Y74" s="9" t="s">
        <v>404</v>
      </c>
      <c r="Z74" s="9" t="s">
        <v>68</v>
      </c>
      <c r="AA74" s="9" t="s">
        <v>405</v>
      </c>
      <c r="AB74" s="9" t="s">
        <v>67</v>
      </c>
      <c r="AC74" s="9" t="s">
        <v>406</v>
      </c>
      <c r="AD74" s="11">
        <v>1</v>
      </c>
      <c r="AE74" s="9" t="s">
        <v>70</v>
      </c>
      <c r="AF74" s="9" t="s">
        <v>71</v>
      </c>
      <c r="AG74" s="13">
        <v>1</v>
      </c>
      <c r="AH74" s="9" t="s">
        <v>92</v>
      </c>
      <c r="AI74" s="13">
        <v>1630000</v>
      </c>
      <c r="AJ74" s="13">
        <v>1630000</v>
      </c>
      <c r="AK74" s="11">
        <v>0</v>
      </c>
      <c r="AL74" s="11">
        <v>0</v>
      </c>
      <c r="AM74" s="11">
        <v>0</v>
      </c>
      <c r="AN74" s="9" t="s">
        <v>67</v>
      </c>
      <c r="AO74" s="11">
        <v>1630000</v>
      </c>
      <c r="AP74" s="13">
        <v>130400</v>
      </c>
      <c r="AQ74" s="13">
        <v>1760400</v>
      </c>
      <c r="AR74" s="11">
        <v>20</v>
      </c>
      <c r="AS74" s="9" t="s">
        <v>72</v>
      </c>
      <c r="AT74" s="12">
        <v>12.9</v>
      </c>
      <c r="AU74" s="9" t="s">
        <v>73</v>
      </c>
      <c r="AV74" s="9" t="s">
        <v>67</v>
      </c>
      <c r="AW74" s="9" t="s">
        <v>1034</v>
      </c>
      <c r="AX74" s="10">
        <v>45989</v>
      </c>
      <c r="AY74" s="9" t="s">
        <v>1035</v>
      </c>
      <c r="AZ74" s="9" t="s">
        <v>67</v>
      </c>
      <c r="BA74" s="9" t="s">
        <v>67</v>
      </c>
      <c r="BB74" s="12">
        <v>20</v>
      </c>
      <c r="BC74" s="9" t="s">
        <v>74</v>
      </c>
      <c r="BD74" s="9" t="s">
        <v>104</v>
      </c>
      <c r="BE74" s="9" t="s">
        <v>75</v>
      </c>
      <c r="BF74" s="11">
        <v>0</v>
      </c>
      <c r="BG74">
        <f t="shared" si="4"/>
        <v>12</v>
      </c>
      <c r="BH74" t="str">
        <f>VLOOKUP(BG74,[1]month!$A:$B,2,0)</f>
        <v>Desember</v>
      </c>
      <c r="BI74">
        <f t="shared" si="5"/>
        <v>2025</v>
      </c>
      <c r="BJ74" t="str">
        <f>VLOOKUP(I74,[1]Dist!$A:$B,2,0)</f>
        <v>Industry</v>
      </c>
      <c r="BK74" t="str">
        <f>IF(I74=11,VLOOKUP(Y74,[2]Sheet1!$C:$N,10,0),IF(I74=13,VLOOKUP(Y74,[3]Sheet1!$C:$N,10,0),IF(I74=15,VLOOKUP(Y74,[4]Sheet1!$C:$N,10,0),"Unknown")))</f>
        <v>STAIN &amp; GLAZE INTERIOR</v>
      </c>
      <c r="BL74" t="str">
        <f>IF(I74=11,VLOOKUP(Y74,[2]Sheet1!$C:$N,12,0),IF(I74=13,VLOOKUP(Y74,[3]Sheet1!$C:$N,12,0),IF(I74=15,VLOOKUP(Y74,[4]Sheet1!$C:$N,12,0),"Unknown")))</f>
        <v>ASOF : STAIN &amp; GLAZE</v>
      </c>
      <c r="BM74" t="str">
        <f>VLOOKUP(W74,[1]branch!$A:$B,2,0)</f>
        <v>INDUSTRY</v>
      </c>
    </row>
    <row r="75" spans="1:65" x14ac:dyDescent="0.35">
      <c r="A75" s="10">
        <v>45992</v>
      </c>
      <c r="B75" s="9" t="s">
        <v>1033</v>
      </c>
      <c r="C75" s="9" t="s">
        <v>64</v>
      </c>
      <c r="D75" s="9" t="s">
        <v>92</v>
      </c>
      <c r="E75" s="11">
        <v>30</v>
      </c>
      <c r="F75" s="9" t="s">
        <v>93</v>
      </c>
      <c r="G75" s="9" t="s">
        <v>65</v>
      </c>
      <c r="H75" s="9" t="s">
        <v>66</v>
      </c>
      <c r="I75" s="9">
        <v>11</v>
      </c>
      <c r="J75" s="9" t="s">
        <v>746</v>
      </c>
      <c r="K75" s="9" t="s">
        <v>746</v>
      </c>
      <c r="L75" s="9" t="s">
        <v>746</v>
      </c>
      <c r="M75" s="9" t="s">
        <v>747</v>
      </c>
      <c r="N75" s="9" t="s">
        <v>748</v>
      </c>
      <c r="O75" s="9" t="s">
        <v>97</v>
      </c>
      <c r="P75" s="9" t="s">
        <v>67</v>
      </c>
      <c r="Q75" s="9" t="s">
        <v>98</v>
      </c>
      <c r="R75" s="9" t="s">
        <v>746</v>
      </c>
      <c r="S75" s="9" t="s">
        <v>747</v>
      </c>
      <c r="T75" s="9" t="s">
        <v>835</v>
      </c>
      <c r="U75" s="9" t="s">
        <v>67</v>
      </c>
      <c r="V75" s="9" t="s">
        <v>194</v>
      </c>
      <c r="W75" s="9" t="s">
        <v>195</v>
      </c>
      <c r="X75" s="11">
        <v>50</v>
      </c>
      <c r="Y75" s="9" t="s">
        <v>89</v>
      </c>
      <c r="Z75" s="9" t="s">
        <v>68</v>
      </c>
      <c r="AA75" s="9" t="s">
        <v>90</v>
      </c>
      <c r="AB75" s="9" t="s">
        <v>67</v>
      </c>
      <c r="AC75" s="9" t="s">
        <v>91</v>
      </c>
      <c r="AD75" s="11">
        <v>1</v>
      </c>
      <c r="AE75" s="9" t="s">
        <v>70</v>
      </c>
      <c r="AF75" s="9" t="s">
        <v>71</v>
      </c>
      <c r="AG75" s="13">
        <v>1</v>
      </c>
      <c r="AH75" s="9" t="s">
        <v>92</v>
      </c>
      <c r="AI75" s="13">
        <v>1326400</v>
      </c>
      <c r="AJ75" s="13">
        <v>1326400</v>
      </c>
      <c r="AK75" s="11">
        <v>0</v>
      </c>
      <c r="AL75" s="11">
        <v>0</v>
      </c>
      <c r="AM75" s="11">
        <v>0</v>
      </c>
      <c r="AN75" s="9" t="s">
        <v>67</v>
      </c>
      <c r="AO75" s="11">
        <v>1326400</v>
      </c>
      <c r="AP75" s="13">
        <v>106112</v>
      </c>
      <c r="AQ75" s="13">
        <v>1432512</v>
      </c>
      <c r="AR75" s="11">
        <v>4</v>
      </c>
      <c r="AS75" s="9" t="s">
        <v>72</v>
      </c>
      <c r="AT75" s="12">
        <v>3.81</v>
      </c>
      <c r="AU75" s="9" t="s">
        <v>73</v>
      </c>
      <c r="AV75" s="9" t="s">
        <v>67</v>
      </c>
      <c r="AW75" s="9" t="s">
        <v>1034</v>
      </c>
      <c r="AX75" s="10">
        <v>45989</v>
      </c>
      <c r="AY75" s="9" t="s">
        <v>1035</v>
      </c>
      <c r="AZ75" s="9" t="s">
        <v>67</v>
      </c>
      <c r="BA75" s="9" t="s">
        <v>67</v>
      </c>
      <c r="BB75" s="12">
        <v>4</v>
      </c>
      <c r="BC75" s="9" t="s">
        <v>74</v>
      </c>
      <c r="BD75" s="9" t="s">
        <v>104</v>
      </c>
      <c r="BE75" s="9" t="s">
        <v>75</v>
      </c>
      <c r="BF75" s="11">
        <v>0</v>
      </c>
      <c r="BG75">
        <f t="shared" si="4"/>
        <v>12</v>
      </c>
      <c r="BH75" t="str">
        <f>VLOOKUP(BG75,[1]month!$A:$B,2,0)</f>
        <v>Desember</v>
      </c>
      <c r="BI75">
        <f t="shared" si="5"/>
        <v>2025</v>
      </c>
      <c r="BJ75" t="str">
        <f>VLOOKUP(I75,[1]Dist!$A:$B,2,0)</f>
        <v>Industry</v>
      </c>
      <c r="BK75" t="str">
        <f>IF(I75=11,VLOOKUP(Y75,[2]Sheet1!$C:$N,10,0),IF(I75=13,VLOOKUP(Y75,[3]Sheet1!$C:$N,10,0),IF(I75=15,VLOOKUP(Y75,[4]Sheet1!$C:$N,10,0),"Unknown")))</f>
        <v>COMPLEMENTARY</v>
      </c>
      <c r="BL75" t="str">
        <f>IF(I75=11,VLOOKUP(Y75,[2]Sheet1!$C:$N,12,0),IF(I75=13,VLOOKUP(Y75,[3]Sheet1!$C:$N,12,0),IF(I75=15,VLOOKUP(Y75,[4]Sheet1!$C:$N,12,0),"Unknown")))</f>
        <v>PASTA</v>
      </c>
      <c r="BM75" t="str">
        <f>VLOOKUP(W75,[1]branch!$A:$B,2,0)</f>
        <v>INDUSTRY</v>
      </c>
    </row>
    <row r="76" spans="1:65" x14ac:dyDescent="0.35">
      <c r="A76" s="10">
        <v>45992</v>
      </c>
      <c r="B76" s="9" t="s">
        <v>1033</v>
      </c>
      <c r="C76" s="9" t="s">
        <v>64</v>
      </c>
      <c r="D76" s="9" t="s">
        <v>92</v>
      </c>
      <c r="E76" s="11">
        <v>30</v>
      </c>
      <c r="F76" s="9" t="s">
        <v>93</v>
      </c>
      <c r="G76" s="9" t="s">
        <v>65</v>
      </c>
      <c r="H76" s="9" t="s">
        <v>66</v>
      </c>
      <c r="I76" s="9">
        <v>11</v>
      </c>
      <c r="J76" s="9" t="s">
        <v>746</v>
      </c>
      <c r="K76" s="9" t="s">
        <v>746</v>
      </c>
      <c r="L76" s="9" t="s">
        <v>746</v>
      </c>
      <c r="M76" s="9" t="s">
        <v>747</v>
      </c>
      <c r="N76" s="9" t="s">
        <v>748</v>
      </c>
      <c r="O76" s="9" t="s">
        <v>97</v>
      </c>
      <c r="P76" s="9" t="s">
        <v>67</v>
      </c>
      <c r="Q76" s="9" t="s">
        <v>98</v>
      </c>
      <c r="R76" s="9" t="s">
        <v>746</v>
      </c>
      <c r="S76" s="9" t="s">
        <v>747</v>
      </c>
      <c r="T76" s="9" t="s">
        <v>835</v>
      </c>
      <c r="U76" s="9" t="s">
        <v>67</v>
      </c>
      <c r="V76" s="9" t="s">
        <v>194</v>
      </c>
      <c r="W76" s="9" t="s">
        <v>195</v>
      </c>
      <c r="X76" s="11">
        <v>70</v>
      </c>
      <c r="Y76" s="9" t="s">
        <v>510</v>
      </c>
      <c r="Z76" s="9" t="s">
        <v>68</v>
      </c>
      <c r="AA76" s="9" t="s">
        <v>511</v>
      </c>
      <c r="AB76" s="9" t="s">
        <v>67</v>
      </c>
      <c r="AC76" s="9" t="s">
        <v>91</v>
      </c>
      <c r="AD76" s="11">
        <v>1</v>
      </c>
      <c r="AE76" s="9" t="s">
        <v>70</v>
      </c>
      <c r="AF76" s="9" t="s">
        <v>71</v>
      </c>
      <c r="AG76" s="13">
        <v>1</v>
      </c>
      <c r="AH76" s="9" t="s">
        <v>92</v>
      </c>
      <c r="AI76" s="13">
        <v>1142400</v>
      </c>
      <c r="AJ76" s="13">
        <v>1142400</v>
      </c>
      <c r="AK76" s="11">
        <v>0</v>
      </c>
      <c r="AL76" s="11">
        <v>0</v>
      </c>
      <c r="AM76" s="11">
        <v>0</v>
      </c>
      <c r="AN76" s="9" t="s">
        <v>67</v>
      </c>
      <c r="AO76" s="11">
        <v>1142400</v>
      </c>
      <c r="AP76" s="13">
        <v>91392</v>
      </c>
      <c r="AQ76" s="13">
        <v>1233792</v>
      </c>
      <c r="AR76" s="11">
        <v>4</v>
      </c>
      <c r="AS76" s="9" t="s">
        <v>72</v>
      </c>
      <c r="AT76" s="12">
        <v>2.34</v>
      </c>
      <c r="AU76" s="9" t="s">
        <v>73</v>
      </c>
      <c r="AV76" s="9" t="s">
        <v>67</v>
      </c>
      <c r="AW76" s="9" t="s">
        <v>1034</v>
      </c>
      <c r="AX76" s="10">
        <v>45989</v>
      </c>
      <c r="AY76" s="9" t="s">
        <v>1035</v>
      </c>
      <c r="AZ76" s="9" t="s">
        <v>67</v>
      </c>
      <c r="BA76" s="9" t="s">
        <v>67</v>
      </c>
      <c r="BB76" s="12">
        <v>4</v>
      </c>
      <c r="BC76" s="9" t="s">
        <v>74</v>
      </c>
      <c r="BD76" s="9" t="s">
        <v>104</v>
      </c>
      <c r="BE76" s="9" t="s">
        <v>75</v>
      </c>
      <c r="BF76" s="11">
        <v>0</v>
      </c>
      <c r="BG76">
        <f t="shared" si="4"/>
        <v>12</v>
      </c>
      <c r="BH76" t="str">
        <f>VLOOKUP(BG76,[1]month!$A:$B,2,0)</f>
        <v>Desember</v>
      </c>
      <c r="BI76">
        <f t="shared" si="5"/>
        <v>2025</v>
      </c>
      <c r="BJ76" t="str">
        <f>VLOOKUP(I76,[1]Dist!$A:$B,2,0)</f>
        <v>Industry</v>
      </c>
      <c r="BK76" t="str">
        <f>IF(I76=11,VLOOKUP(Y76,[2]Sheet1!$C:$N,10,0),IF(I76=13,VLOOKUP(Y76,[3]Sheet1!$C:$N,10,0),IF(I76=15,VLOOKUP(Y76,[4]Sheet1!$C:$N,10,0),"Unknown")))</f>
        <v>COMPLEMENTARY</v>
      </c>
      <c r="BL76" t="str">
        <f>IF(I76=11,VLOOKUP(Y76,[2]Sheet1!$C:$N,12,0),IF(I76=13,VLOOKUP(Y76,[3]Sheet1!$C:$N,12,0),IF(I76=15,VLOOKUP(Y76,[4]Sheet1!$C:$N,12,0),"Unknown")))</f>
        <v>PASTA</v>
      </c>
      <c r="BM76" t="str">
        <f>VLOOKUP(W76,[1]branch!$A:$B,2,0)</f>
        <v>INDUSTRY</v>
      </c>
    </row>
    <row r="77" spans="1:65" x14ac:dyDescent="0.35">
      <c r="A77" s="10">
        <v>45992</v>
      </c>
      <c r="B77" s="9" t="s">
        <v>1033</v>
      </c>
      <c r="C77" s="9" t="s">
        <v>64</v>
      </c>
      <c r="D77" s="9" t="s">
        <v>92</v>
      </c>
      <c r="E77" s="11">
        <v>30</v>
      </c>
      <c r="F77" s="9" t="s">
        <v>93</v>
      </c>
      <c r="G77" s="9" t="s">
        <v>65</v>
      </c>
      <c r="H77" s="9" t="s">
        <v>66</v>
      </c>
      <c r="I77" s="9">
        <v>11</v>
      </c>
      <c r="J77" s="9" t="s">
        <v>746</v>
      </c>
      <c r="K77" s="9" t="s">
        <v>746</v>
      </c>
      <c r="L77" s="9" t="s">
        <v>746</v>
      </c>
      <c r="M77" s="9" t="s">
        <v>747</v>
      </c>
      <c r="N77" s="9" t="s">
        <v>748</v>
      </c>
      <c r="O77" s="9" t="s">
        <v>97</v>
      </c>
      <c r="P77" s="9" t="s">
        <v>67</v>
      </c>
      <c r="Q77" s="9" t="s">
        <v>98</v>
      </c>
      <c r="R77" s="9" t="s">
        <v>746</v>
      </c>
      <c r="S77" s="9" t="s">
        <v>747</v>
      </c>
      <c r="T77" s="9" t="s">
        <v>835</v>
      </c>
      <c r="U77" s="9" t="s">
        <v>67</v>
      </c>
      <c r="V77" s="9" t="s">
        <v>194</v>
      </c>
      <c r="W77" s="9" t="s">
        <v>195</v>
      </c>
      <c r="X77" s="11">
        <v>80</v>
      </c>
      <c r="Y77" s="9" t="s">
        <v>440</v>
      </c>
      <c r="Z77" s="9" t="s">
        <v>68</v>
      </c>
      <c r="AA77" s="9" t="s">
        <v>441</v>
      </c>
      <c r="AB77" s="9" t="s">
        <v>67</v>
      </c>
      <c r="AC77" s="9" t="s">
        <v>91</v>
      </c>
      <c r="AD77" s="11">
        <v>1</v>
      </c>
      <c r="AE77" s="9" t="s">
        <v>70</v>
      </c>
      <c r="AF77" s="9" t="s">
        <v>71</v>
      </c>
      <c r="AG77" s="13">
        <v>1</v>
      </c>
      <c r="AH77" s="9" t="s">
        <v>92</v>
      </c>
      <c r="AI77" s="13">
        <v>3423600</v>
      </c>
      <c r="AJ77" s="13">
        <v>3423600</v>
      </c>
      <c r="AK77" s="11">
        <v>0</v>
      </c>
      <c r="AL77" s="11">
        <v>0</v>
      </c>
      <c r="AM77" s="11">
        <v>0</v>
      </c>
      <c r="AN77" s="9" t="s">
        <v>67</v>
      </c>
      <c r="AO77" s="11">
        <v>3423600</v>
      </c>
      <c r="AP77" s="13">
        <v>273888</v>
      </c>
      <c r="AQ77" s="13">
        <v>3697488</v>
      </c>
      <c r="AR77" s="11">
        <v>4</v>
      </c>
      <c r="AS77" s="9" t="s">
        <v>72</v>
      </c>
      <c r="AT77" s="12">
        <v>3.85</v>
      </c>
      <c r="AU77" s="9" t="s">
        <v>73</v>
      </c>
      <c r="AV77" s="9" t="s">
        <v>67</v>
      </c>
      <c r="AW77" s="9" t="s">
        <v>1034</v>
      </c>
      <c r="AX77" s="10">
        <v>45989</v>
      </c>
      <c r="AY77" s="9" t="s">
        <v>1035</v>
      </c>
      <c r="AZ77" s="9" t="s">
        <v>67</v>
      </c>
      <c r="BA77" s="9" t="s">
        <v>67</v>
      </c>
      <c r="BB77" s="12">
        <v>4</v>
      </c>
      <c r="BC77" s="9" t="s">
        <v>74</v>
      </c>
      <c r="BD77" s="9" t="s">
        <v>104</v>
      </c>
      <c r="BE77" s="9" t="s">
        <v>75</v>
      </c>
      <c r="BF77" s="11">
        <v>0</v>
      </c>
      <c r="BG77">
        <f t="shared" si="4"/>
        <v>12</v>
      </c>
      <c r="BH77" t="str">
        <f>VLOOKUP(BG77,[1]month!$A:$B,2,0)</f>
        <v>Desember</v>
      </c>
      <c r="BI77">
        <f t="shared" si="5"/>
        <v>2025</v>
      </c>
      <c r="BJ77" t="str">
        <f>VLOOKUP(I77,[1]Dist!$A:$B,2,0)</f>
        <v>Industry</v>
      </c>
      <c r="BK77" t="str">
        <f>IF(I77=11,VLOOKUP(Y77,[2]Sheet1!$C:$N,10,0),IF(I77=13,VLOOKUP(Y77,[3]Sheet1!$C:$N,10,0),IF(I77=15,VLOOKUP(Y77,[4]Sheet1!$C:$N,10,0),"Unknown")))</f>
        <v>COMPLEMENTARY</v>
      </c>
      <c r="BL77" t="str">
        <f>IF(I77=11,VLOOKUP(Y77,[2]Sheet1!$C:$N,12,0),IF(I77=13,VLOOKUP(Y77,[3]Sheet1!$C:$N,12,0),IF(I77=15,VLOOKUP(Y77,[4]Sheet1!$C:$N,12,0),"Unknown")))</f>
        <v>PASTA</v>
      </c>
      <c r="BM77" t="str">
        <f>VLOOKUP(W77,[1]branch!$A:$B,2,0)</f>
        <v>INDUSTRY</v>
      </c>
    </row>
    <row r="78" spans="1:65" x14ac:dyDescent="0.35">
      <c r="A78" s="10">
        <v>45992</v>
      </c>
      <c r="B78" s="9" t="s">
        <v>1033</v>
      </c>
      <c r="C78" s="9" t="s">
        <v>64</v>
      </c>
      <c r="D78" s="9" t="s">
        <v>92</v>
      </c>
      <c r="E78" s="11">
        <v>30</v>
      </c>
      <c r="F78" s="9" t="s">
        <v>93</v>
      </c>
      <c r="G78" s="9" t="s">
        <v>65</v>
      </c>
      <c r="H78" s="9" t="s">
        <v>66</v>
      </c>
      <c r="I78" s="9">
        <v>11</v>
      </c>
      <c r="J78" s="9" t="s">
        <v>746</v>
      </c>
      <c r="K78" s="9" t="s">
        <v>746</v>
      </c>
      <c r="L78" s="9" t="s">
        <v>746</v>
      </c>
      <c r="M78" s="9" t="s">
        <v>747</v>
      </c>
      <c r="N78" s="9" t="s">
        <v>748</v>
      </c>
      <c r="O78" s="9" t="s">
        <v>97</v>
      </c>
      <c r="P78" s="9" t="s">
        <v>67</v>
      </c>
      <c r="Q78" s="9" t="s">
        <v>98</v>
      </c>
      <c r="R78" s="9" t="s">
        <v>746</v>
      </c>
      <c r="S78" s="9" t="s">
        <v>747</v>
      </c>
      <c r="T78" s="9" t="s">
        <v>835</v>
      </c>
      <c r="U78" s="9" t="s">
        <v>67</v>
      </c>
      <c r="V78" s="9" t="s">
        <v>194</v>
      </c>
      <c r="W78" s="9" t="s">
        <v>195</v>
      </c>
      <c r="X78" s="11">
        <v>90</v>
      </c>
      <c r="Y78" s="9" t="s">
        <v>363</v>
      </c>
      <c r="Z78" s="9" t="s">
        <v>68</v>
      </c>
      <c r="AA78" s="9" t="s">
        <v>364</v>
      </c>
      <c r="AB78" s="9" t="s">
        <v>67</v>
      </c>
      <c r="AC78" s="9" t="s">
        <v>91</v>
      </c>
      <c r="AD78" s="11">
        <v>1</v>
      </c>
      <c r="AE78" s="9" t="s">
        <v>70</v>
      </c>
      <c r="AF78" s="9" t="s">
        <v>71</v>
      </c>
      <c r="AG78" s="13">
        <v>1</v>
      </c>
      <c r="AH78" s="9" t="s">
        <v>92</v>
      </c>
      <c r="AI78" s="13">
        <v>1012400</v>
      </c>
      <c r="AJ78" s="13">
        <v>1012400</v>
      </c>
      <c r="AK78" s="11">
        <v>0</v>
      </c>
      <c r="AL78" s="11">
        <v>0</v>
      </c>
      <c r="AM78" s="11">
        <v>0</v>
      </c>
      <c r="AN78" s="9" t="s">
        <v>67</v>
      </c>
      <c r="AO78" s="11">
        <v>1012400</v>
      </c>
      <c r="AP78" s="13">
        <v>80992</v>
      </c>
      <c r="AQ78" s="13">
        <v>1093392</v>
      </c>
      <c r="AR78" s="11">
        <v>4</v>
      </c>
      <c r="AS78" s="9" t="s">
        <v>72</v>
      </c>
      <c r="AT78" s="12">
        <v>2.44</v>
      </c>
      <c r="AU78" s="9" t="s">
        <v>73</v>
      </c>
      <c r="AV78" s="9" t="s">
        <v>67</v>
      </c>
      <c r="AW78" s="9" t="s">
        <v>1034</v>
      </c>
      <c r="AX78" s="10">
        <v>45989</v>
      </c>
      <c r="AY78" s="9" t="s">
        <v>1035</v>
      </c>
      <c r="AZ78" s="9" t="s">
        <v>67</v>
      </c>
      <c r="BA78" s="9" t="s">
        <v>67</v>
      </c>
      <c r="BB78" s="12">
        <v>4</v>
      </c>
      <c r="BC78" s="9" t="s">
        <v>74</v>
      </c>
      <c r="BD78" s="9" t="s">
        <v>104</v>
      </c>
      <c r="BE78" s="9" t="s">
        <v>75</v>
      </c>
      <c r="BF78" s="11">
        <v>0</v>
      </c>
      <c r="BG78">
        <f t="shared" si="4"/>
        <v>12</v>
      </c>
      <c r="BH78" t="str">
        <f>VLOOKUP(BG78,[1]month!$A:$B,2,0)</f>
        <v>Desember</v>
      </c>
      <c r="BI78">
        <f t="shared" si="5"/>
        <v>2025</v>
      </c>
      <c r="BJ78" t="str">
        <f>VLOOKUP(I78,[1]Dist!$A:$B,2,0)</f>
        <v>Industry</v>
      </c>
      <c r="BK78" t="str">
        <f>IF(I78=11,VLOOKUP(Y78,[2]Sheet1!$C:$N,10,0),IF(I78=13,VLOOKUP(Y78,[3]Sheet1!$C:$N,10,0),IF(I78=15,VLOOKUP(Y78,[4]Sheet1!$C:$N,10,0),"Unknown")))</f>
        <v>COMPLEMENTARY</v>
      </c>
      <c r="BL78" t="str">
        <f>IF(I78=11,VLOOKUP(Y78,[2]Sheet1!$C:$N,12,0),IF(I78=13,VLOOKUP(Y78,[3]Sheet1!$C:$N,12,0),IF(I78=15,VLOOKUP(Y78,[4]Sheet1!$C:$N,12,0),"Unknown")))</f>
        <v>PASTA</v>
      </c>
      <c r="BM78" t="str">
        <f>VLOOKUP(W78,[1]branch!$A:$B,2,0)</f>
        <v>INDUSTRY</v>
      </c>
    </row>
    <row r="79" spans="1:65" x14ac:dyDescent="0.35">
      <c r="A79" s="10">
        <v>45992</v>
      </c>
      <c r="B79" s="9" t="s">
        <v>1033</v>
      </c>
      <c r="C79" s="9" t="s">
        <v>64</v>
      </c>
      <c r="D79" s="9" t="s">
        <v>92</v>
      </c>
      <c r="E79" s="11">
        <v>30</v>
      </c>
      <c r="F79" s="9" t="s">
        <v>93</v>
      </c>
      <c r="G79" s="9" t="s">
        <v>65</v>
      </c>
      <c r="H79" s="9" t="s">
        <v>66</v>
      </c>
      <c r="I79" s="9">
        <v>11</v>
      </c>
      <c r="J79" s="9" t="s">
        <v>746</v>
      </c>
      <c r="K79" s="9" t="s">
        <v>746</v>
      </c>
      <c r="L79" s="9" t="s">
        <v>746</v>
      </c>
      <c r="M79" s="9" t="s">
        <v>747</v>
      </c>
      <c r="N79" s="9" t="s">
        <v>748</v>
      </c>
      <c r="O79" s="9" t="s">
        <v>97</v>
      </c>
      <c r="P79" s="9" t="s">
        <v>67</v>
      </c>
      <c r="Q79" s="9" t="s">
        <v>98</v>
      </c>
      <c r="R79" s="9" t="s">
        <v>746</v>
      </c>
      <c r="S79" s="9" t="s">
        <v>747</v>
      </c>
      <c r="T79" s="9" t="s">
        <v>835</v>
      </c>
      <c r="U79" s="9" t="s">
        <v>67</v>
      </c>
      <c r="V79" s="9" t="s">
        <v>194</v>
      </c>
      <c r="W79" s="9" t="s">
        <v>195</v>
      </c>
      <c r="X79" s="11">
        <v>100</v>
      </c>
      <c r="Y79" s="9" t="s">
        <v>211</v>
      </c>
      <c r="Z79" s="9" t="s">
        <v>68</v>
      </c>
      <c r="AA79" s="9" t="s">
        <v>212</v>
      </c>
      <c r="AB79" s="9" t="s">
        <v>67</v>
      </c>
      <c r="AC79" s="9" t="s">
        <v>139</v>
      </c>
      <c r="AD79" s="11">
        <v>1</v>
      </c>
      <c r="AE79" s="9" t="s">
        <v>70</v>
      </c>
      <c r="AF79" s="9" t="s">
        <v>71</v>
      </c>
      <c r="AG79" s="13">
        <v>1</v>
      </c>
      <c r="AH79" s="9" t="s">
        <v>92</v>
      </c>
      <c r="AI79" s="13">
        <v>990000</v>
      </c>
      <c r="AJ79" s="13">
        <v>990000</v>
      </c>
      <c r="AK79" s="11">
        <v>0</v>
      </c>
      <c r="AL79" s="11">
        <v>0</v>
      </c>
      <c r="AM79" s="11">
        <v>0</v>
      </c>
      <c r="AN79" s="9" t="s">
        <v>67</v>
      </c>
      <c r="AO79" s="11">
        <v>990000</v>
      </c>
      <c r="AP79" s="13">
        <v>79200</v>
      </c>
      <c r="AQ79" s="13">
        <v>1069200</v>
      </c>
      <c r="AR79" s="12">
        <v>17.600000000000001</v>
      </c>
      <c r="AS79" s="9" t="s">
        <v>72</v>
      </c>
      <c r="AT79" s="11">
        <v>20</v>
      </c>
      <c r="AU79" s="9" t="s">
        <v>73</v>
      </c>
      <c r="AV79" s="9" t="s">
        <v>67</v>
      </c>
      <c r="AW79" s="9" t="s">
        <v>1034</v>
      </c>
      <c r="AX79" s="10">
        <v>45989</v>
      </c>
      <c r="AY79" s="9" t="s">
        <v>1035</v>
      </c>
      <c r="AZ79" s="9" t="s">
        <v>67</v>
      </c>
      <c r="BA79" s="9" t="s">
        <v>67</v>
      </c>
      <c r="BB79" s="12">
        <v>20</v>
      </c>
      <c r="BC79" s="9" t="s">
        <v>74</v>
      </c>
      <c r="BD79" s="9" t="s">
        <v>104</v>
      </c>
      <c r="BE79" s="9" t="s">
        <v>75</v>
      </c>
      <c r="BF79" s="11">
        <v>0</v>
      </c>
      <c r="BG79">
        <f t="shared" si="4"/>
        <v>12</v>
      </c>
      <c r="BH79" t="str">
        <f>VLOOKUP(BG79,[1]month!$A:$B,2,0)</f>
        <v>Desember</v>
      </c>
      <c r="BI79">
        <f t="shared" si="5"/>
        <v>2025</v>
      </c>
      <c r="BJ79" t="str">
        <f>VLOOKUP(I79,[1]Dist!$A:$B,2,0)</f>
        <v>Industry</v>
      </c>
      <c r="BK79" t="str">
        <f>IF(I79=11,VLOOKUP(Y79,[2]Sheet1!$C:$N,10,0),IF(I79=13,VLOOKUP(Y79,[3]Sheet1!$C:$N,10,0),IF(I79=15,VLOOKUP(Y79,[4]Sheet1!$C:$N,10,0),"Unknown")))</f>
        <v>THINNER NC</v>
      </c>
      <c r="BL79" t="str">
        <f>IF(I79=11,VLOOKUP(Y79,[2]Sheet1!$C:$N,12,0),IF(I79=13,VLOOKUP(Y79,[3]Sheet1!$C:$N,12,0),IF(I79=15,VLOOKUP(Y79,[4]Sheet1!$C:$N,12,0),"Unknown")))</f>
        <v>THINNER COMPLEMENTARY</v>
      </c>
      <c r="BM79" t="str">
        <f>VLOOKUP(W79,[1]branch!$A:$B,2,0)</f>
        <v>INDUSTRY</v>
      </c>
    </row>
    <row r="80" spans="1:65" x14ac:dyDescent="0.35">
      <c r="A80" s="10">
        <v>45992</v>
      </c>
      <c r="B80" s="9" t="s">
        <v>1036</v>
      </c>
      <c r="C80" s="9" t="s">
        <v>64</v>
      </c>
      <c r="D80" s="9" t="s">
        <v>92</v>
      </c>
      <c r="E80" s="11">
        <v>30</v>
      </c>
      <c r="F80" s="9" t="s">
        <v>93</v>
      </c>
      <c r="G80" s="9" t="s">
        <v>65</v>
      </c>
      <c r="H80" s="9" t="s">
        <v>66</v>
      </c>
      <c r="I80" s="9">
        <v>11</v>
      </c>
      <c r="J80" s="9" t="s">
        <v>746</v>
      </c>
      <c r="K80" s="9" t="s">
        <v>746</v>
      </c>
      <c r="L80" s="9" t="s">
        <v>746</v>
      </c>
      <c r="M80" s="9" t="s">
        <v>747</v>
      </c>
      <c r="N80" s="9" t="s">
        <v>748</v>
      </c>
      <c r="O80" s="9" t="s">
        <v>97</v>
      </c>
      <c r="P80" s="9" t="s">
        <v>67</v>
      </c>
      <c r="Q80" s="9" t="s">
        <v>98</v>
      </c>
      <c r="R80" s="9" t="s">
        <v>746</v>
      </c>
      <c r="S80" s="9" t="s">
        <v>747</v>
      </c>
      <c r="T80" s="9" t="s">
        <v>835</v>
      </c>
      <c r="U80" s="9" t="s">
        <v>67</v>
      </c>
      <c r="V80" s="9" t="s">
        <v>194</v>
      </c>
      <c r="W80" s="9" t="s">
        <v>195</v>
      </c>
      <c r="X80" s="11">
        <v>10</v>
      </c>
      <c r="Y80" s="9" t="s">
        <v>223</v>
      </c>
      <c r="Z80" s="9" t="s">
        <v>68</v>
      </c>
      <c r="AA80" s="9" t="s">
        <v>224</v>
      </c>
      <c r="AB80" s="9" t="s">
        <v>67</v>
      </c>
      <c r="AC80" s="9" t="s">
        <v>231</v>
      </c>
      <c r="AD80" s="11">
        <v>1</v>
      </c>
      <c r="AE80" s="9" t="s">
        <v>70</v>
      </c>
      <c r="AF80" s="9" t="s">
        <v>71</v>
      </c>
      <c r="AG80" s="13">
        <v>1</v>
      </c>
      <c r="AH80" s="9" t="s">
        <v>92</v>
      </c>
      <c r="AI80" s="13">
        <v>399600</v>
      </c>
      <c r="AJ80" s="13">
        <v>399600</v>
      </c>
      <c r="AK80" s="11">
        <v>0</v>
      </c>
      <c r="AL80" s="11">
        <v>0</v>
      </c>
      <c r="AM80" s="11">
        <v>0</v>
      </c>
      <c r="AN80" s="9" t="s">
        <v>67</v>
      </c>
      <c r="AO80" s="11">
        <v>399600</v>
      </c>
      <c r="AP80" s="13">
        <v>31968</v>
      </c>
      <c r="AQ80" s="13">
        <v>431568</v>
      </c>
      <c r="AR80" s="11">
        <v>2</v>
      </c>
      <c r="AS80" s="9" t="s">
        <v>72</v>
      </c>
      <c r="AT80" s="12">
        <v>2.2000000000000002</v>
      </c>
      <c r="AU80" s="9" t="s">
        <v>73</v>
      </c>
      <c r="AV80" s="9" t="s">
        <v>67</v>
      </c>
      <c r="AW80" s="9" t="s">
        <v>1037</v>
      </c>
      <c r="AX80" s="10">
        <v>45989</v>
      </c>
      <c r="AY80" s="9" t="s">
        <v>1038</v>
      </c>
      <c r="AZ80" s="9" t="s">
        <v>67</v>
      </c>
      <c r="BA80" s="9" t="s">
        <v>67</v>
      </c>
      <c r="BB80" s="12">
        <v>2</v>
      </c>
      <c r="BC80" s="9" t="s">
        <v>74</v>
      </c>
      <c r="BD80" s="9" t="s">
        <v>104</v>
      </c>
      <c r="BE80" s="9" t="s">
        <v>75</v>
      </c>
      <c r="BF80" s="11">
        <v>0</v>
      </c>
      <c r="BG80">
        <f t="shared" si="4"/>
        <v>12</v>
      </c>
      <c r="BH80" t="str">
        <f>VLOOKUP(BG80,[1]month!$A:$B,2,0)</f>
        <v>Desember</v>
      </c>
      <c r="BI80">
        <f t="shared" si="5"/>
        <v>2025</v>
      </c>
      <c r="BJ80" t="str">
        <f>VLOOKUP(I80,[1]Dist!$A:$B,2,0)</f>
        <v>Industry</v>
      </c>
      <c r="BK80" t="str">
        <f>IF(I80=11,VLOOKUP(Y80,[2]Sheet1!$C:$N,10,0),IF(I80=13,VLOOKUP(Y80,[3]Sheet1!$C:$N,10,0),IF(I80=15,VLOOKUP(Y80,[4]Sheet1!$C:$N,10,0),"Unknown")))</f>
        <v>METAL COATINGS</v>
      </c>
      <c r="BL80" t="str">
        <f>IF(I80=11,VLOOKUP(Y80,[2]Sheet1!$C:$N,12,0),IF(I80=13,VLOOKUP(Y80,[3]Sheet1!$C:$N,12,0),IF(I80=15,VLOOKUP(Y80,[4]Sheet1!$C:$N,12,0),"Unknown")))</f>
        <v>METAL COATINGS</v>
      </c>
      <c r="BM80" t="str">
        <f>VLOOKUP(W80,[1]branch!$A:$B,2,0)</f>
        <v>INDUSTRY</v>
      </c>
    </row>
    <row r="81" spans="1:65" x14ac:dyDescent="0.35">
      <c r="A81" s="10">
        <v>45992</v>
      </c>
      <c r="B81" s="9" t="s">
        <v>1039</v>
      </c>
      <c r="C81" s="9" t="s">
        <v>64</v>
      </c>
      <c r="D81" s="9" t="s">
        <v>92</v>
      </c>
      <c r="E81" s="11">
        <v>30</v>
      </c>
      <c r="F81" s="9" t="s">
        <v>93</v>
      </c>
      <c r="G81" s="9" t="s">
        <v>65</v>
      </c>
      <c r="H81" s="9" t="s">
        <v>66</v>
      </c>
      <c r="I81" s="9">
        <v>13</v>
      </c>
      <c r="J81" s="9" t="s">
        <v>828</v>
      </c>
      <c r="K81" s="9" t="s">
        <v>828</v>
      </c>
      <c r="L81" s="9" t="s">
        <v>828</v>
      </c>
      <c r="M81" s="9" t="s">
        <v>829</v>
      </c>
      <c r="N81" s="9" t="s">
        <v>830</v>
      </c>
      <c r="O81" s="9" t="s">
        <v>150</v>
      </c>
      <c r="P81" s="9" t="s">
        <v>67</v>
      </c>
      <c r="Q81" s="9" t="s">
        <v>98</v>
      </c>
      <c r="R81" s="9" t="s">
        <v>828</v>
      </c>
      <c r="S81" s="9" t="s">
        <v>829</v>
      </c>
      <c r="T81" s="9" t="s">
        <v>831</v>
      </c>
      <c r="U81" s="9" t="s">
        <v>67</v>
      </c>
      <c r="V81" s="9" t="s">
        <v>832</v>
      </c>
      <c r="W81" s="9" t="s">
        <v>833</v>
      </c>
      <c r="X81" s="11">
        <v>10</v>
      </c>
      <c r="Y81" s="9" t="s">
        <v>634</v>
      </c>
      <c r="Z81" s="9" t="s">
        <v>68</v>
      </c>
      <c r="AA81" s="9" t="s">
        <v>635</v>
      </c>
      <c r="AB81" s="9" t="s">
        <v>67</v>
      </c>
      <c r="AC81" s="9" t="s">
        <v>382</v>
      </c>
      <c r="AD81" s="11">
        <v>3</v>
      </c>
      <c r="AE81" s="9" t="s">
        <v>70</v>
      </c>
      <c r="AF81" s="9" t="s">
        <v>71</v>
      </c>
      <c r="AG81" s="13">
        <v>1</v>
      </c>
      <c r="AH81" s="9" t="s">
        <v>92</v>
      </c>
      <c r="AI81" s="13">
        <v>3136364</v>
      </c>
      <c r="AJ81" s="13">
        <v>9409092</v>
      </c>
      <c r="AK81" s="11">
        <v>1811250</v>
      </c>
      <c r="AL81" s="11">
        <v>0</v>
      </c>
      <c r="AM81" s="11">
        <v>0</v>
      </c>
      <c r="AN81" s="9" t="s">
        <v>314</v>
      </c>
      <c r="AO81" s="11">
        <v>7597842</v>
      </c>
      <c r="AP81" s="13">
        <v>607827</v>
      </c>
      <c r="AQ81" s="13">
        <v>8205669</v>
      </c>
      <c r="AR81" s="12">
        <v>67.5</v>
      </c>
      <c r="AS81" s="9" t="s">
        <v>72</v>
      </c>
      <c r="AT81" s="11">
        <v>54</v>
      </c>
      <c r="AU81" s="9" t="s">
        <v>73</v>
      </c>
      <c r="AV81" s="9" t="s">
        <v>67</v>
      </c>
      <c r="AW81" s="9" t="s">
        <v>1040</v>
      </c>
      <c r="AX81" s="10">
        <v>45992</v>
      </c>
      <c r="AY81" s="9" t="s">
        <v>1041</v>
      </c>
      <c r="AZ81" s="9" t="s">
        <v>67</v>
      </c>
      <c r="BA81" s="9" t="s">
        <v>67</v>
      </c>
      <c r="BB81" s="12">
        <v>54</v>
      </c>
      <c r="BC81" s="9" t="s">
        <v>74</v>
      </c>
      <c r="BD81" s="9" t="s">
        <v>104</v>
      </c>
      <c r="BE81" s="9" t="s">
        <v>75</v>
      </c>
      <c r="BF81" s="11">
        <v>0</v>
      </c>
      <c r="BG81">
        <f t="shared" si="4"/>
        <v>12</v>
      </c>
      <c r="BH81" t="str">
        <f>VLOOKUP(BG81,[1]month!$A:$B,2,0)</f>
        <v>Desember</v>
      </c>
      <c r="BI81">
        <f t="shared" si="5"/>
        <v>2025</v>
      </c>
      <c r="BJ81" t="str">
        <f>VLOOKUP(I81,[1]Dist!$A:$B,2,0)</f>
        <v>Retail</v>
      </c>
      <c r="BK81" t="str">
        <f>IF(I81=11,VLOOKUP(Y81,[2]Sheet1!$C:$N,10,0),IF(I81=13,VLOOKUP(Y81,[3]Sheet1!$C:$N,10,0),IF(I81=15,VLOOKUP(Y81,[4]Sheet1!$C:$N,10,0),"Unknown")))</f>
        <v>DECOR</v>
      </c>
      <c r="BL81" t="str">
        <f>IF(I81=11,VLOOKUP(Y81,[2]Sheet1!$C:$N,12,0),IF(I81=13,VLOOKUP(Y81,[3]Sheet1!$C:$N,12,0),IF(I81=15,VLOOKUP(Y81,[4]Sheet1!$C:$N,12,0),"Unknown")))</f>
        <v>DECORSHIELD RMX</v>
      </c>
      <c r="BM81" t="str">
        <f>VLOOKUP(W81,[1]branch!$A:$B,2,0)</f>
        <v>HO CHI MINH</v>
      </c>
    </row>
    <row r="82" spans="1:65" x14ac:dyDescent="0.35">
      <c r="A82" s="10">
        <v>45992</v>
      </c>
      <c r="B82" s="9" t="s">
        <v>1039</v>
      </c>
      <c r="C82" s="9" t="s">
        <v>64</v>
      </c>
      <c r="D82" s="9" t="s">
        <v>92</v>
      </c>
      <c r="E82" s="11">
        <v>30</v>
      </c>
      <c r="F82" s="9" t="s">
        <v>93</v>
      </c>
      <c r="G82" s="9" t="s">
        <v>65</v>
      </c>
      <c r="H82" s="9" t="s">
        <v>66</v>
      </c>
      <c r="I82" s="9">
        <v>13</v>
      </c>
      <c r="J82" s="9" t="s">
        <v>828</v>
      </c>
      <c r="K82" s="9" t="s">
        <v>828</v>
      </c>
      <c r="L82" s="9" t="s">
        <v>828</v>
      </c>
      <c r="M82" s="9" t="s">
        <v>829</v>
      </c>
      <c r="N82" s="9" t="s">
        <v>830</v>
      </c>
      <c r="O82" s="9" t="s">
        <v>150</v>
      </c>
      <c r="P82" s="9" t="s">
        <v>67</v>
      </c>
      <c r="Q82" s="9" t="s">
        <v>98</v>
      </c>
      <c r="R82" s="9" t="s">
        <v>828</v>
      </c>
      <c r="S82" s="9" t="s">
        <v>829</v>
      </c>
      <c r="T82" s="9" t="s">
        <v>831</v>
      </c>
      <c r="U82" s="9" t="s">
        <v>67</v>
      </c>
      <c r="V82" s="9" t="s">
        <v>832</v>
      </c>
      <c r="W82" s="9" t="s">
        <v>833</v>
      </c>
      <c r="X82" s="11">
        <v>20</v>
      </c>
      <c r="Y82" s="9" t="s">
        <v>628</v>
      </c>
      <c r="Z82" s="9" t="s">
        <v>68</v>
      </c>
      <c r="AA82" s="9" t="s">
        <v>629</v>
      </c>
      <c r="AB82" s="9" t="s">
        <v>67</v>
      </c>
      <c r="AC82" s="9" t="s">
        <v>382</v>
      </c>
      <c r="AD82" s="11">
        <v>1</v>
      </c>
      <c r="AE82" s="9" t="s">
        <v>70</v>
      </c>
      <c r="AF82" s="9" t="s">
        <v>71</v>
      </c>
      <c r="AG82" s="13">
        <v>1</v>
      </c>
      <c r="AH82" s="9" t="s">
        <v>92</v>
      </c>
      <c r="AI82" s="13">
        <v>3370000</v>
      </c>
      <c r="AJ82" s="13">
        <v>3370000</v>
      </c>
      <c r="AK82" s="11">
        <v>648725</v>
      </c>
      <c r="AL82" s="11">
        <v>0</v>
      </c>
      <c r="AM82" s="11">
        <v>0</v>
      </c>
      <c r="AN82" s="9" t="s">
        <v>314</v>
      </c>
      <c r="AO82" s="11">
        <v>2721275</v>
      </c>
      <c r="AP82" s="13">
        <v>217702</v>
      </c>
      <c r="AQ82" s="13">
        <v>2938977</v>
      </c>
      <c r="AR82" s="12">
        <v>23.76</v>
      </c>
      <c r="AS82" s="9" t="s">
        <v>72</v>
      </c>
      <c r="AT82" s="11">
        <v>18</v>
      </c>
      <c r="AU82" s="9" t="s">
        <v>73</v>
      </c>
      <c r="AV82" s="9" t="s">
        <v>67</v>
      </c>
      <c r="AW82" s="9" t="s">
        <v>1040</v>
      </c>
      <c r="AX82" s="10">
        <v>45992</v>
      </c>
      <c r="AY82" s="9" t="s">
        <v>1041</v>
      </c>
      <c r="AZ82" s="9" t="s">
        <v>67</v>
      </c>
      <c r="BA82" s="9" t="s">
        <v>67</v>
      </c>
      <c r="BB82" s="12">
        <v>18</v>
      </c>
      <c r="BC82" s="9" t="s">
        <v>74</v>
      </c>
      <c r="BD82" s="9" t="s">
        <v>104</v>
      </c>
      <c r="BE82" s="9" t="s">
        <v>75</v>
      </c>
      <c r="BF82" s="11">
        <v>0</v>
      </c>
      <c r="BG82">
        <f t="shared" si="4"/>
        <v>12</v>
      </c>
      <c r="BH82" t="str">
        <f>VLOOKUP(BG82,[1]month!$A:$B,2,0)</f>
        <v>Desember</v>
      </c>
      <c r="BI82">
        <f t="shared" si="5"/>
        <v>2025</v>
      </c>
      <c r="BJ82" t="str">
        <f>VLOOKUP(I82,[1]Dist!$A:$B,2,0)</f>
        <v>Retail</v>
      </c>
      <c r="BK82" t="str">
        <f>IF(I82=11,VLOOKUP(Y82,[2]Sheet1!$C:$N,10,0),IF(I82=13,VLOOKUP(Y82,[3]Sheet1!$C:$N,10,0),IF(I82=15,VLOOKUP(Y82,[4]Sheet1!$C:$N,10,0),"Unknown")))</f>
        <v>DECOR</v>
      </c>
      <c r="BL82" t="str">
        <f>IF(I82=11,VLOOKUP(Y82,[2]Sheet1!$C:$N,12,0),IF(I82=13,VLOOKUP(Y82,[3]Sheet1!$C:$N,12,0),IF(I82=15,VLOOKUP(Y82,[4]Sheet1!$C:$N,12,0),"Unknown")))</f>
        <v>DECORSHIELD RMX</v>
      </c>
      <c r="BM82" t="str">
        <f>VLOOKUP(W82,[1]branch!$A:$B,2,0)</f>
        <v>HO CHI MINH</v>
      </c>
    </row>
    <row r="83" spans="1:65" x14ac:dyDescent="0.35">
      <c r="A83" s="10">
        <v>45992</v>
      </c>
      <c r="B83" s="9" t="s">
        <v>1042</v>
      </c>
      <c r="C83" s="9" t="s">
        <v>64</v>
      </c>
      <c r="D83" s="9" t="s">
        <v>92</v>
      </c>
      <c r="E83" s="11">
        <v>30</v>
      </c>
      <c r="F83" s="9" t="s">
        <v>93</v>
      </c>
      <c r="G83" s="9" t="s">
        <v>65</v>
      </c>
      <c r="H83" s="9" t="s">
        <v>66</v>
      </c>
      <c r="I83" s="9">
        <v>13</v>
      </c>
      <c r="J83" s="9" t="s">
        <v>846</v>
      </c>
      <c r="K83" s="9" t="s">
        <v>846</v>
      </c>
      <c r="L83" s="9" t="s">
        <v>846</v>
      </c>
      <c r="M83" s="9" t="s">
        <v>1589</v>
      </c>
      <c r="N83" s="9" t="s">
        <v>931</v>
      </c>
      <c r="O83" s="9" t="s">
        <v>601</v>
      </c>
      <c r="P83" s="9" t="s">
        <v>67</v>
      </c>
      <c r="Q83" s="9" t="s">
        <v>98</v>
      </c>
      <c r="R83" s="9" t="s">
        <v>846</v>
      </c>
      <c r="S83" s="9" t="s">
        <v>1589</v>
      </c>
      <c r="T83" s="9" t="s">
        <v>1590</v>
      </c>
      <c r="U83" s="9" t="s">
        <v>67</v>
      </c>
      <c r="V83" s="9" t="s">
        <v>151</v>
      </c>
      <c r="W83" s="9" t="s">
        <v>152</v>
      </c>
      <c r="X83" s="11">
        <v>10</v>
      </c>
      <c r="Y83" s="9" t="s">
        <v>340</v>
      </c>
      <c r="Z83" s="9" t="s">
        <v>68</v>
      </c>
      <c r="AA83" s="9" t="s">
        <v>341</v>
      </c>
      <c r="AB83" s="9" t="s">
        <v>67</v>
      </c>
      <c r="AC83" s="9" t="s">
        <v>270</v>
      </c>
      <c r="AD83" s="11">
        <v>1</v>
      </c>
      <c r="AE83" s="9" t="s">
        <v>70</v>
      </c>
      <c r="AF83" s="9" t="s">
        <v>71</v>
      </c>
      <c r="AG83" s="13">
        <v>1</v>
      </c>
      <c r="AH83" s="9" t="s">
        <v>92</v>
      </c>
      <c r="AI83" s="13">
        <v>88889</v>
      </c>
      <c r="AJ83" s="13">
        <v>88889</v>
      </c>
      <c r="AK83" s="11">
        <v>0</v>
      </c>
      <c r="AL83" s="11">
        <v>0</v>
      </c>
      <c r="AM83" s="11">
        <v>0</v>
      </c>
      <c r="AN83" s="9" t="s">
        <v>67</v>
      </c>
      <c r="AO83" s="11">
        <v>88889</v>
      </c>
      <c r="AP83" s="13">
        <v>7111</v>
      </c>
      <c r="AQ83" s="13">
        <v>96000</v>
      </c>
      <c r="AR83" s="12">
        <v>0.66400000000000003</v>
      </c>
      <c r="AS83" s="9" t="s">
        <v>72</v>
      </c>
      <c r="AT83" s="12">
        <v>0.8</v>
      </c>
      <c r="AU83" s="9" t="s">
        <v>73</v>
      </c>
      <c r="AV83" s="9" t="s">
        <v>67</v>
      </c>
      <c r="AW83" s="9" t="s">
        <v>1043</v>
      </c>
      <c r="AX83" s="10">
        <v>45992</v>
      </c>
      <c r="AY83" s="9" t="s">
        <v>1044</v>
      </c>
      <c r="AZ83" s="9" t="s">
        <v>67</v>
      </c>
      <c r="BA83" s="9" t="s">
        <v>67</v>
      </c>
      <c r="BB83" s="12">
        <v>0.8</v>
      </c>
      <c r="BC83" s="9" t="s">
        <v>74</v>
      </c>
      <c r="BD83" s="9" t="s">
        <v>104</v>
      </c>
      <c r="BE83" s="9" t="s">
        <v>75</v>
      </c>
      <c r="BF83" s="11">
        <v>0</v>
      </c>
      <c r="BG83">
        <f t="shared" si="4"/>
        <v>12</v>
      </c>
      <c r="BH83" t="str">
        <f>VLOOKUP(BG83,[1]month!$A:$B,2,0)</f>
        <v>Desember</v>
      </c>
      <c r="BI83">
        <f t="shared" si="5"/>
        <v>2025</v>
      </c>
      <c r="BJ83" t="str">
        <f>VLOOKUP(I83,[1]Dist!$A:$B,2,0)</f>
        <v>Retail</v>
      </c>
      <c r="BK83" t="str">
        <f>IF(I83=11,VLOOKUP(Y83,[2]Sheet1!$C:$N,10,0),IF(I83=13,VLOOKUP(Y83,[3]Sheet1!$C:$N,10,0),IF(I83=15,VLOOKUP(Y83,[4]Sheet1!$C:$N,10,0),"Unknown")))</f>
        <v>ULTRAN</v>
      </c>
      <c r="BL83" t="str">
        <f>IF(I83=11,VLOOKUP(Y83,[2]Sheet1!$C:$N,12,0),IF(I83=13,VLOOKUP(Y83,[3]Sheet1!$C:$N,12,0),IF(I83=15,VLOOKUP(Y83,[4]Sheet1!$C:$N,12,0),"Unknown")))</f>
        <v>ULTRAN VERNIS</v>
      </c>
      <c r="BM83" t="str">
        <f>VLOOKUP(W83,[1]branch!$A:$B,2,0)</f>
        <v>HO CHI MINH</v>
      </c>
    </row>
    <row r="84" spans="1:65" x14ac:dyDescent="0.35">
      <c r="A84" s="10">
        <v>45992</v>
      </c>
      <c r="B84" s="9" t="s">
        <v>1045</v>
      </c>
      <c r="C84" s="9" t="s">
        <v>64</v>
      </c>
      <c r="D84" s="9" t="s">
        <v>92</v>
      </c>
      <c r="E84" s="11">
        <v>0</v>
      </c>
      <c r="F84" s="9" t="s">
        <v>93</v>
      </c>
      <c r="G84" s="9" t="s">
        <v>65</v>
      </c>
      <c r="H84" s="9" t="s">
        <v>66</v>
      </c>
      <c r="I84" s="9">
        <v>11</v>
      </c>
      <c r="J84" s="9" t="s">
        <v>919</v>
      </c>
      <c r="K84" s="9" t="s">
        <v>919</v>
      </c>
      <c r="L84" s="9" t="s">
        <v>919</v>
      </c>
      <c r="M84" s="9" t="s">
        <v>920</v>
      </c>
      <c r="N84" s="9" t="s">
        <v>871</v>
      </c>
      <c r="O84" s="9" t="s">
        <v>97</v>
      </c>
      <c r="P84" s="9" t="s">
        <v>67</v>
      </c>
      <c r="Q84" s="9" t="s">
        <v>98</v>
      </c>
      <c r="R84" s="9" t="s">
        <v>919</v>
      </c>
      <c r="S84" s="9" t="s">
        <v>920</v>
      </c>
      <c r="T84" s="9" t="s">
        <v>921</v>
      </c>
      <c r="U84" s="9" t="s">
        <v>67</v>
      </c>
      <c r="V84" s="9" t="s">
        <v>194</v>
      </c>
      <c r="W84" s="9" t="s">
        <v>195</v>
      </c>
      <c r="X84" s="11">
        <v>20</v>
      </c>
      <c r="Y84" s="9" t="s">
        <v>123</v>
      </c>
      <c r="Z84" s="9" t="s">
        <v>68</v>
      </c>
      <c r="AA84" s="9" t="s">
        <v>124</v>
      </c>
      <c r="AB84" s="9" t="s">
        <v>67</v>
      </c>
      <c r="AC84" s="9" t="s">
        <v>125</v>
      </c>
      <c r="AD84" s="11">
        <v>1</v>
      </c>
      <c r="AE84" s="9" t="s">
        <v>70</v>
      </c>
      <c r="AF84" s="9" t="s">
        <v>71</v>
      </c>
      <c r="AG84" s="13">
        <v>1</v>
      </c>
      <c r="AH84" s="9" t="s">
        <v>92</v>
      </c>
      <c r="AI84" s="13">
        <v>3338000</v>
      </c>
      <c r="AJ84" s="13">
        <v>3338000</v>
      </c>
      <c r="AK84" s="11">
        <v>0</v>
      </c>
      <c r="AL84" s="11">
        <v>0</v>
      </c>
      <c r="AM84" s="11">
        <v>0</v>
      </c>
      <c r="AN84" s="9" t="s">
        <v>67</v>
      </c>
      <c r="AO84" s="11">
        <v>3338000</v>
      </c>
      <c r="AP84" s="13">
        <v>267040</v>
      </c>
      <c r="AQ84" s="13">
        <v>3605040</v>
      </c>
      <c r="AR84" s="12">
        <v>19.600000000000001</v>
      </c>
      <c r="AS84" s="9" t="s">
        <v>72</v>
      </c>
      <c r="AT84" s="11">
        <v>20</v>
      </c>
      <c r="AU84" s="9" t="s">
        <v>73</v>
      </c>
      <c r="AV84" s="9" t="s">
        <v>67</v>
      </c>
      <c r="AW84" s="9" t="s">
        <v>1046</v>
      </c>
      <c r="AX84" s="10">
        <v>45992</v>
      </c>
      <c r="AY84" s="9" t="s">
        <v>1047</v>
      </c>
      <c r="AZ84" s="9" t="s">
        <v>67</v>
      </c>
      <c r="BA84" s="9" t="s">
        <v>67</v>
      </c>
      <c r="BB84" s="12">
        <v>20</v>
      </c>
      <c r="BC84" s="9" t="s">
        <v>74</v>
      </c>
      <c r="BD84" s="9" t="s">
        <v>104</v>
      </c>
      <c r="BE84" s="9" t="s">
        <v>75</v>
      </c>
      <c r="BF84" s="11">
        <v>0</v>
      </c>
      <c r="BG84">
        <f t="shared" si="4"/>
        <v>12</v>
      </c>
      <c r="BH84" t="str">
        <f>VLOOKUP(BG84,[1]month!$A:$B,2,0)</f>
        <v>Desember</v>
      </c>
      <c r="BI84">
        <f t="shared" si="5"/>
        <v>2025</v>
      </c>
      <c r="BJ84" t="str">
        <f>VLOOKUP(I84,[1]Dist!$A:$B,2,0)</f>
        <v>Industry</v>
      </c>
      <c r="BK84" t="str">
        <f>IF(I84=11,VLOOKUP(Y84,[2]Sheet1!$C:$N,10,0),IF(I84=13,VLOOKUP(Y84,[3]Sheet1!$C:$N,10,0),IF(I84=15,VLOOKUP(Y84,[4]Sheet1!$C:$N,10,0),"Unknown")))</f>
        <v>PU</v>
      </c>
      <c r="BL84" t="str">
        <f>IF(I84=11,VLOOKUP(Y84,[2]Sheet1!$C:$N,12,0),IF(I84=13,VLOOKUP(Y84,[3]Sheet1!$C:$N,12,0),IF(I84=15,VLOOKUP(Y84,[4]Sheet1!$C:$N,12,0),"Unknown")))</f>
        <v>PU HARDENER</v>
      </c>
      <c r="BM84" t="str">
        <f>VLOOKUP(W84,[1]branch!$A:$B,2,0)</f>
        <v>INDUSTRY</v>
      </c>
    </row>
    <row r="85" spans="1:65" x14ac:dyDescent="0.35">
      <c r="A85" s="10">
        <v>45992</v>
      </c>
      <c r="B85" s="9" t="s">
        <v>1045</v>
      </c>
      <c r="C85" s="9" t="s">
        <v>64</v>
      </c>
      <c r="D85" s="9" t="s">
        <v>92</v>
      </c>
      <c r="E85" s="11">
        <v>0</v>
      </c>
      <c r="F85" s="9" t="s">
        <v>93</v>
      </c>
      <c r="G85" s="9" t="s">
        <v>65</v>
      </c>
      <c r="H85" s="9" t="s">
        <v>66</v>
      </c>
      <c r="I85" s="9">
        <v>11</v>
      </c>
      <c r="J85" s="9" t="s">
        <v>919</v>
      </c>
      <c r="K85" s="9" t="s">
        <v>919</v>
      </c>
      <c r="L85" s="9" t="s">
        <v>919</v>
      </c>
      <c r="M85" s="9" t="s">
        <v>920</v>
      </c>
      <c r="N85" s="9" t="s">
        <v>871</v>
      </c>
      <c r="O85" s="9" t="s">
        <v>97</v>
      </c>
      <c r="P85" s="9" t="s">
        <v>67</v>
      </c>
      <c r="Q85" s="9" t="s">
        <v>98</v>
      </c>
      <c r="R85" s="9" t="s">
        <v>919</v>
      </c>
      <c r="S85" s="9" t="s">
        <v>920</v>
      </c>
      <c r="T85" s="9" t="s">
        <v>921</v>
      </c>
      <c r="U85" s="9" t="s">
        <v>67</v>
      </c>
      <c r="V85" s="9" t="s">
        <v>194</v>
      </c>
      <c r="W85" s="9" t="s">
        <v>195</v>
      </c>
      <c r="X85" s="11">
        <v>30</v>
      </c>
      <c r="Y85" s="9" t="s">
        <v>218</v>
      </c>
      <c r="Z85" s="9" t="s">
        <v>68</v>
      </c>
      <c r="AA85" s="9" t="s">
        <v>219</v>
      </c>
      <c r="AB85" s="9" t="s">
        <v>67</v>
      </c>
      <c r="AC85" s="9" t="s">
        <v>220</v>
      </c>
      <c r="AD85" s="11">
        <v>2</v>
      </c>
      <c r="AE85" s="9" t="s">
        <v>70</v>
      </c>
      <c r="AF85" s="9" t="s">
        <v>71</v>
      </c>
      <c r="AG85" s="13">
        <v>1</v>
      </c>
      <c r="AH85" s="9" t="s">
        <v>92</v>
      </c>
      <c r="AI85" s="13">
        <v>2166000</v>
      </c>
      <c r="AJ85" s="13">
        <v>4332000</v>
      </c>
      <c r="AK85" s="11">
        <v>0</v>
      </c>
      <c r="AL85" s="11">
        <v>0</v>
      </c>
      <c r="AM85" s="11">
        <v>0</v>
      </c>
      <c r="AN85" s="9" t="s">
        <v>67</v>
      </c>
      <c r="AO85" s="11">
        <v>4332000</v>
      </c>
      <c r="AP85" s="13">
        <v>346560</v>
      </c>
      <c r="AQ85" s="13">
        <v>4678560</v>
      </c>
      <c r="AR85" s="11">
        <v>40</v>
      </c>
      <c r="AS85" s="9" t="s">
        <v>72</v>
      </c>
      <c r="AT85" s="12">
        <v>30.54</v>
      </c>
      <c r="AU85" s="9" t="s">
        <v>73</v>
      </c>
      <c r="AV85" s="9" t="s">
        <v>67</v>
      </c>
      <c r="AW85" s="9" t="s">
        <v>1046</v>
      </c>
      <c r="AX85" s="10">
        <v>45992</v>
      </c>
      <c r="AY85" s="9" t="s">
        <v>1047</v>
      </c>
      <c r="AZ85" s="9" t="s">
        <v>67</v>
      </c>
      <c r="BA85" s="9" t="s">
        <v>67</v>
      </c>
      <c r="BB85" s="12">
        <v>40</v>
      </c>
      <c r="BC85" s="9" t="s">
        <v>74</v>
      </c>
      <c r="BD85" s="9" t="s">
        <v>104</v>
      </c>
      <c r="BE85" s="9" t="s">
        <v>75</v>
      </c>
      <c r="BF85" s="11">
        <v>0</v>
      </c>
      <c r="BG85">
        <f t="shared" si="4"/>
        <v>12</v>
      </c>
      <c r="BH85" t="str">
        <f>VLOOKUP(BG85,[1]month!$A:$B,2,0)</f>
        <v>Desember</v>
      </c>
      <c r="BI85">
        <f t="shared" si="5"/>
        <v>2025</v>
      </c>
      <c r="BJ85" t="str">
        <f>VLOOKUP(I85,[1]Dist!$A:$B,2,0)</f>
        <v>Industry</v>
      </c>
      <c r="BK85" t="str">
        <f>IF(I85=11,VLOOKUP(Y85,[2]Sheet1!$C:$N,10,0),IF(I85=13,VLOOKUP(Y85,[3]Sheet1!$C:$N,10,0),IF(I85=15,VLOOKUP(Y85,[4]Sheet1!$C:$N,10,0),"Unknown")))</f>
        <v>PU</v>
      </c>
      <c r="BL85" t="str">
        <f>IF(I85=11,VLOOKUP(Y85,[2]Sheet1!$C:$N,12,0),IF(I85=13,VLOOKUP(Y85,[3]Sheet1!$C:$N,12,0),IF(I85=15,VLOOKUP(Y85,[4]Sheet1!$C:$N,12,0),"Unknown")))</f>
        <v>PU PRIMER</v>
      </c>
      <c r="BM85" t="str">
        <f>VLOOKUP(W85,[1]branch!$A:$B,2,0)</f>
        <v>INDUSTRY</v>
      </c>
    </row>
    <row r="86" spans="1:65" x14ac:dyDescent="0.35">
      <c r="A86" s="10">
        <v>45992</v>
      </c>
      <c r="B86" s="9" t="s">
        <v>1045</v>
      </c>
      <c r="C86" s="9" t="s">
        <v>64</v>
      </c>
      <c r="D86" s="9" t="s">
        <v>92</v>
      </c>
      <c r="E86" s="11">
        <v>0</v>
      </c>
      <c r="F86" s="9" t="s">
        <v>93</v>
      </c>
      <c r="G86" s="9" t="s">
        <v>65</v>
      </c>
      <c r="H86" s="9" t="s">
        <v>66</v>
      </c>
      <c r="I86" s="9">
        <v>11</v>
      </c>
      <c r="J86" s="9" t="s">
        <v>919</v>
      </c>
      <c r="K86" s="9" t="s">
        <v>919</v>
      </c>
      <c r="L86" s="9" t="s">
        <v>919</v>
      </c>
      <c r="M86" s="9" t="s">
        <v>920</v>
      </c>
      <c r="N86" s="9" t="s">
        <v>871</v>
      </c>
      <c r="O86" s="9" t="s">
        <v>97</v>
      </c>
      <c r="P86" s="9" t="s">
        <v>67</v>
      </c>
      <c r="Q86" s="9" t="s">
        <v>98</v>
      </c>
      <c r="R86" s="9" t="s">
        <v>919</v>
      </c>
      <c r="S86" s="9" t="s">
        <v>920</v>
      </c>
      <c r="T86" s="9" t="s">
        <v>921</v>
      </c>
      <c r="U86" s="9" t="s">
        <v>67</v>
      </c>
      <c r="V86" s="9" t="s">
        <v>194</v>
      </c>
      <c r="W86" s="9" t="s">
        <v>195</v>
      </c>
      <c r="X86" s="11">
        <v>40</v>
      </c>
      <c r="Y86" s="9" t="s">
        <v>105</v>
      </c>
      <c r="Z86" s="9" t="s">
        <v>68</v>
      </c>
      <c r="AA86" s="9" t="s">
        <v>106</v>
      </c>
      <c r="AB86" s="9" t="s">
        <v>67</v>
      </c>
      <c r="AC86" s="9" t="s">
        <v>107</v>
      </c>
      <c r="AD86" s="11">
        <v>1</v>
      </c>
      <c r="AE86" s="9" t="s">
        <v>70</v>
      </c>
      <c r="AF86" s="9" t="s">
        <v>71</v>
      </c>
      <c r="AG86" s="13">
        <v>1</v>
      </c>
      <c r="AH86" s="9" t="s">
        <v>92</v>
      </c>
      <c r="AI86" s="13">
        <v>1670000</v>
      </c>
      <c r="AJ86" s="13">
        <v>1670000</v>
      </c>
      <c r="AK86" s="11">
        <v>0</v>
      </c>
      <c r="AL86" s="11">
        <v>0</v>
      </c>
      <c r="AM86" s="11">
        <v>0</v>
      </c>
      <c r="AN86" s="9" t="s">
        <v>67</v>
      </c>
      <c r="AO86" s="11">
        <v>1670000</v>
      </c>
      <c r="AP86" s="13">
        <v>133600</v>
      </c>
      <c r="AQ86" s="13">
        <v>1803600</v>
      </c>
      <c r="AR86" s="11">
        <v>20</v>
      </c>
      <c r="AS86" s="9" t="s">
        <v>72</v>
      </c>
      <c r="AT86" s="12">
        <v>21.28</v>
      </c>
      <c r="AU86" s="9" t="s">
        <v>73</v>
      </c>
      <c r="AV86" s="9" t="s">
        <v>67</v>
      </c>
      <c r="AW86" s="9" t="s">
        <v>1046</v>
      </c>
      <c r="AX86" s="10">
        <v>45992</v>
      </c>
      <c r="AY86" s="9" t="s">
        <v>1047</v>
      </c>
      <c r="AZ86" s="9" t="s">
        <v>67</v>
      </c>
      <c r="BA86" s="9" t="s">
        <v>67</v>
      </c>
      <c r="BB86" s="12">
        <v>20</v>
      </c>
      <c r="BC86" s="9" t="s">
        <v>74</v>
      </c>
      <c r="BD86" s="9" t="s">
        <v>104</v>
      </c>
      <c r="BE86" s="9" t="s">
        <v>75</v>
      </c>
      <c r="BF86" s="11">
        <v>0</v>
      </c>
      <c r="BG86">
        <f t="shared" si="4"/>
        <v>12</v>
      </c>
      <c r="BH86" t="str">
        <f>VLOOKUP(BG86,[1]month!$A:$B,2,0)</f>
        <v>Desember</v>
      </c>
      <c r="BI86">
        <f t="shared" si="5"/>
        <v>2025</v>
      </c>
      <c r="BJ86" t="str">
        <f>VLOOKUP(I86,[1]Dist!$A:$B,2,0)</f>
        <v>Industry</v>
      </c>
      <c r="BK86" t="str">
        <f>IF(I86=11,VLOOKUP(Y86,[2]Sheet1!$C:$N,10,0),IF(I86=13,VLOOKUP(Y86,[3]Sheet1!$C:$N,10,0),IF(I86=15,VLOOKUP(Y86,[4]Sheet1!$C:$N,10,0),"Unknown")))</f>
        <v>PU</v>
      </c>
      <c r="BL86" t="str">
        <f>IF(I86=11,VLOOKUP(Y86,[2]Sheet1!$C:$N,12,0),IF(I86=13,VLOOKUP(Y86,[3]Sheet1!$C:$N,12,0),IF(I86=15,VLOOKUP(Y86,[4]Sheet1!$C:$N,12,0),"Unknown")))</f>
        <v>PU HARDENER</v>
      </c>
      <c r="BM86" t="str">
        <f>VLOOKUP(W86,[1]branch!$A:$B,2,0)</f>
        <v>INDUSTRY</v>
      </c>
    </row>
    <row r="87" spans="1:65" x14ac:dyDescent="0.35">
      <c r="A87" s="10">
        <v>45993</v>
      </c>
      <c r="B87" s="9" t="s">
        <v>1048</v>
      </c>
      <c r="C87" s="9" t="s">
        <v>64</v>
      </c>
      <c r="D87" s="9" t="s">
        <v>92</v>
      </c>
      <c r="E87" s="11">
        <v>30</v>
      </c>
      <c r="F87" s="9" t="s">
        <v>93</v>
      </c>
      <c r="G87" s="9" t="s">
        <v>65</v>
      </c>
      <c r="H87" s="9" t="s">
        <v>66</v>
      </c>
      <c r="I87" s="9">
        <v>11</v>
      </c>
      <c r="J87" s="9" t="s">
        <v>94</v>
      </c>
      <c r="K87" s="9" t="s">
        <v>94</v>
      </c>
      <c r="L87" s="9" t="s">
        <v>94</v>
      </c>
      <c r="M87" s="9" t="s">
        <v>95</v>
      </c>
      <c r="N87" s="9" t="s">
        <v>586</v>
      </c>
      <c r="O87" s="9" t="s">
        <v>97</v>
      </c>
      <c r="P87" s="9" t="s">
        <v>67</v>
      </c>
      <c r="Q87" s="9" t="s">
        <v>98</v>
      </c>
      <c r="R87" s="9" t="s">
        <v>719</v>
      </c>
      <c r="S87" s="9" t="s">
        <v>95</v>
      </c>
      <c r="T87" s="9" t="s">
        <v>720</v>
      </c>
      <c r="U87" s="9" t="s">
        <v>67</v>
      </c>
      <c r="V87" s="9" t="s">
        <v>99</v>
      </c>
      <c r="W87" s="9" t="s">
        <v>100</v>
      </c>
      <c r="X87" s="11">
        <v>10</v>
      </c>
      <c r="Y87" s="9" t="s">
        <v>101</v>
      </c>
      <c r="Z87" s="9" t="s">
        <v>68</v>
      </c>
      <c r="AA87" s="9" t="s">
        <v>102</v>
      </c>
      <c r="AB87" s="9" t="s">
        <v>67</v>
      </c>
      <c r="AC87" s="9" t="s">
        <v>103</v>
      </c>
      <c r="AD87" s="11">
        <v>15</v>
      </c>
      <c r="AE87" s="9" t="s">
        <v>70</v>
      </c>
      <c r="AF87" s="9" t="s">
        <v>71</v>
      </c>
      <c r="AG87" s="13">
        <v>1</v>
      </c>
      <c r="AH87" s="9" t="s">
        <v>92</v>
      </c>
      <c r="AI87" s="13">
        <v>1172000</v>
      </c>
      <c r="AJ87" s="13">
        <v>17580000</v>
      </c>
      <c r="AK87" s="11">
        <v>0</v>
      </c>
      <c r="AL87" s="11">
        <v>0</v>
      </c>
      <c r="AM87" s="11">
        <v>0</v>
      </c>
      <c r="AN87" s="9" t="s">
        <v>67</v>
      </c>
      <c r="AO87" s="11">
        <v>17580000</v>
      </c>
      <c r="AP87" s="13">
        <v>1406400</v>
      </c>
      <c r="AQ87" s="13">
        <v>18986400</v>
      </c>
      <c r="AR87" s="11">
        <v>300</v>
      </c>
      <c r="AS87" s="9" t="s">
        <v>72</v>
      </c>
      <c r="AT87" s="12">
        <v>291.3</v>
      </c>
      <c r="AU87" s="9" t="s">
        <v>73</v>
      </c>
      <c r="AV87" s="9" t="s">
        <v>67</v>
      </c>
      <c r="AW87" s="9" t="s">
        <v>949</v>
      </c>
      <c r="AX87" s="10">
        <v>45982</v>
      </c>
      <c r="AY87" s="9" t="s">
        <v>1049</v>
      </c>
      <c r="AZ87" s="9" t="s">
        <v>67</v>
      </c>
      <c r="BA87" s="9" t="s">
        <v>67</v>
      </c>
      <c r="BB87" s="12">
        <v>300</v>
      </c>
      <c r="BC87" s="9" t="s">
        <v>74</v>
      </c>
      <c r="BD87" s="9" t="s">
        <v>104</v>
      </c>
      <c r="BE87" s="9" t="s">
        <v>75</v>
      </c>
      <c r="BF87" s="11">
        <v>0</v>
      </c>
      <c r="BG87">
        <f t="shared" si="4"/>
        <v>12</v>
      </c>
      <c r="BH87" t="str">
        <f>VLOOKUP(BG87,[1]month!$A:$B,2,0)</f>
        <v>Desember</v>
      </c>
      <c r="BI87">
        <f t="shared" si="5"/>
        <v>2025</v>
      </c>
      <c r="BJ87" t="str">
        <f>VLOOKUP(I87,[1]Dist!$A:$B,2,0)</f>
        <v>Industry</v>
      </c>
      <c r="BK87" t="str">
        <f>IF(I87=11,VLOOKUP(Y87,[2]Sheet1!$C:$N,10,0),IF(I87=13,VLOOKUP(Y87,[3]Sheet1!$C:$N,10,0),IF(I87=15,VLOOKUP(Y87,[4]Sheet1!$C:$N,10,0),"Unknown")))</f>
        <v>PU</v>
      </c>
      <c r="BL87" t="str">
        <f>IF(I87=11,VLOOKUP(Y87,[2]Sheet1!$C:$N,12,0),IF(I87=13,VLOOKUP(Y87,[3]Sheet1!$C:$N,12,0),IF(I87=15,VLOOKUP(Y87,[4]Sheet1!$C:$N,12,0),"Unknown")))</f>
        <v>PU SANDING SEALER</v>
      </c>
      <c r="BM87" t="str">
        <f>VLOOKUP(W87,[1]branch!$A:$B,2,0)</f>
        <v>INDUSTRY</v>
      </c>
    </row>
    <row r="88" spans="1:65" x14ac:dyDescent="0.35">
      <c r="A88" s="10">
        <v>45993</v>
      </c>
      <c r="B88" s="9" t="s">
        <v>1048</v>
      </c>
      <c r="C88" s="9" t="s">
        <v>64</v>
      </c>
      <c r="D88" s="9" t="s">
        <v>92</v>
      </c>
      <c r="E88" s="11">
        <v>30</v>
      </c>
      <c r="F88" s="9" t="s">
        <v>93</v>
      </c>
      <c r="G88" s="9" t="s">
        <v>65</v>
      </c>
      <c r="H88" s="9" t="s">
        <v>66</v>
      </c>
      <c r="I88" s="9">
        <v>11</v>
      </c>
      <c r="J88" s="9" t="s">
        <v>94</v>
      </c>
      <c r="K88" s="9" t="s">
        <v>94</v>
      </c>
      <c r="L88" s="9" t="s">
        <v>94</v>
      </c>
      <c r="M88" s="9" t="s">
        <v>95</v>
      </c>
      <c r="N88" s="9" t="s">
        <v>586</v>
      </c>
      <c r="O88" s="9" t="s">
        <v>97</v>
      </c>
      <c r="P88" s="9" t="s">
        <v>67</v>
      </c>
      <c r="Q88" s="9" t="s">
        <v>98</v>
      </c>
      <c r="R88" s="9" t="s">
        <v>719</v>
      </c>
      <c r="S88" s="9" t="s">
        <v>95</v>
      </c>
      <c r="T88" s="9" t="s">
        <v>720</v>
      </c>
      <c r="U88" s="9" t="s">
        <v>67</v>
      </c>
      <c r="V88" s="9" t="s">
        <v>99</v>
      </c>
      <c r="W88" s="9" t="s">
        <v>100</v>
      </c>
      <c r="X88" s="11">
        <v>20</v>
      </c>
      <c r="Y88" s="9" t="s">
        <v>105</v>
      </c>
      <c r="Z88" s="9" t="s">
        <v>68</v>
      </c>
      <c r="AA88" s="9" t="s">
        <v>106</v>
      </c>
      <c r="AB88" s="9" t="s">
        <v>67</v>
      </c>
      <c r="AC88" s="9" t="s">
        <v>107</v>
      </c>
      <c r="AD88" s="11">
        <v>7</v>
      </c>
      <c r="AE88" s="9" t="s">
        <v>70</v>
      </c>
      <c r="AF88" s="9" t="s">
        <v>71</v>
      </c>
      <c r="AG88" s="13">
        <v>1</v>
      </c>
      <c r="AH88" s="9" t="s">
        <v>92</v>
      </c>
      <c r="AI88" s="13">
        <v>1978000</v>
      </c>
      <c r="AJ88" s="13">
        <v>13846000</v>
      </c>
      <c r="AK88" s="11">
        <v>0</v>
      </c>
      <c r="AL88" s="11">
        <v>0</v>
      </c>
      <c r="AM88" s="11">
        <v>0</v>
      </c>
      <c r="AN88" s="9" t="s">
        <v>67</v>
      </c>
      <c r="AO88" s="11">
        <v>13846000</v>
      </c>
      <c r="AP88" s="13">
        <v>1107680</v>
      </c>
      <c r="AQ88" s="13">
        <v>14953680</v>
      </c>
      <c r="AR88" s="11">
        <v>140</v>
      </c>
      <c r="AS88" s="9" t="s">
        <v>72</v>
      </c>
      <c r="AT88" s="12">
        <v>148.96</v>
      </c>
      <c r="AU88" s="9" t="s">
        <v>73</v>
      </c>
      <c r="AV88" s="9" t="s">
        <v>67</v>
      </c>
      <c r="AW88" s="9" t="s">
        <v>949</v>
      </c>
      <c r="AX88" s="10">
        <v>45982</v>
      </c>
      <c r="AY88" s="9" t="s">
        <v>1049</v>
      </c>
      <c r="AZ88" s="9" t="s">
        <v>67</v>
      </c>
      <c r="BA88" s="9" t="s">
        <v>67</v>
      </c>
      <c r="BB88" s="12">
        <v>140</v>
      </c>
      <c r="BC88" s="9" t="s">
        <v>74</v>
      </c>
      <c r="BD88" s="9" t="s">
        <v>104</v>
      </c>
      <c r="BE88" s="9" t="s">
        <v>75</v>
      </c>
      <c r="BF88" s="11">
        <v>0</v>
      </c>
      <c r="BG88">
        <f t="shared" si="4"/>
        <v>12</v>
      </c>
      <c r="BH88" t="str">
        <f>VLOOKUP(BG88,[1]month!$A:$B,2,0)</f>
        <v>Desember</v>
      </c>
      <c r="BI88">
        <f t="shared" si="5"/>
        <v>2025</v>
      </c>
      <c r="BJ88" t="str">
        <f>VLOOKUP(I88,[1]Dist!$A:$B,2,0)</f>
        <v>Industry</v>
      </c>
      <c r="BK88" t="str">
        <f>IF(I88=11,VLOOKUP(Y88,[2]Sheet1!$C:$N,10,0),IF(I88=13,VLOOKUP(Y88,[3]Sheet1!$C:$N,10,0),IF(I88=15,VLOOKUP(Y88,[4]Sheet1!$C:$N,10,0),"Unknown")))</f>
        <v>PU</v>
      </c>
      <c r="BL88" t="str">
        <f>IF(I88=11,VLOOKUP(Y88,[2]Sheet1!$C:$N,12,0),IF(I88=13,VLOOKUP(Y88,[3]Sheet1!$C:$N,12,0),IF(I88=15,VLOOKUP(Y88,[4]Sheet1!$C:$N,12,0),"Unknown")))</f>
        <v>PU HARDENER</v>
      </c>
      <c r="BM88" t="str">
        <f>VLOOKUP(W88,[1]branch!$A:$B,2,0)</f>
        <v>INDUSTRY</v>
      </c>
    </row>
    <row r="89" spans="1:65" x14ac:dyDescent="0.35">
      <c r="A89" s="10">
        <v>45993</v>
      </c>
      <c r="B89" s="9" t="s">
        <v>1050</v>
      </c>
      <c r="C89" s="9" t="s">
        <v>64</v>
      </c>
      <c r="D89" s="9" t="s">
        <v>92</v>
      </c>
      <c r="E89" s="11">
        <v>30</v>
      </c>
      <c r="F89" s="9" t="s">
        <v>93</v>
      </c>
      <c r="G89" s="9" t="s">
        <v>65</v>
      </c>
      <c r="H89" s="9" t="s">
        <v>66</v>
      </c>
      <c r="I89" s="9">
        <v>11</v>
      </c>
      <c r="J89" s="9" t="s">
        <v>94</v>
      </c>
      <c r="K89" s="9" t="s">
        <v>94</v>
      </c>
      <c r="L89" s="9" t="s">
        <v>94</v>
      </c>
      <c r="M89" s="9" t="s">
        <v>95</v>
      </c>
      <c r="N89" s="9" t="s">
        <v>586</v>
      </c>
      <c r="O89" s="9" t="s">
        <v>97</v>
      </c>
      <c r="P89" s="9" t="s">
        <v>67</v>
      </c>
      <c r="Q89" s="9" t="s">
        <v>98</v>
      </c>
      <c r="R89" s="9" t="s">
        <v>719</v>
      </c>
      <c r="S89" s="9" t="s">
        <v>95</v>
      </c>
      <c r="T89" s="9" t="s">
        <v>720</v>
      </c>
      <c r="U89" s="9" t="s">
        <v>67</v>
      </c>
      <c r="V89" s="9" t="s">
        <v>99</v>
      </c>
      <c r="W89" s="9" t="s">
        <v>100</v>
      </c>
      <c r="X89" s="11">
        <v>10</v>
      </c>
      <c r="Y89" s="9" t="s">
        <v>108</v>
      </c>
      <c r="Z89" s="9" t="s">
        <v>68</v>
      </c>
      <c r="AA89" s="9" t="s">
        <v>109</v>
      </c>
      <c r="AB89" s="9" t="s">
        <v>67</v>
      </c>
      <c r="AC89" s="9" t="s">
        <v>110</v>
      </c>
      <c r="AD89" s="11">
        <v>10</v>
      </c>
      <c r="AE89" s="9" t="s">
        <v>70</v>
      </c>
      <c r="AF89" s="9" t="s">
        <v>71</v>
      </c>
      <c r="AG89" s="13">
        <v>1</v>
      </c>
      <c r="AH89" s="9" t="s">
        <v>92</v>
      </c>
      <c r="AI89" s="13">
        <v>1528000</v>
      </c>
      <c r="AJ89" s="13">
        <v>15280000</v>
      </c>
      <c r="AK89" s="11">
        <v>0</v>
      </c>
      <c r="AL89" s="11">
        <v>0</v>
      </c>
      <c r="AM89" s="11">
        <v>0</v>
      </c>
      <c r="AN89" s="9" t="s">
        <v>67</v>
      </c>
      <c r="AO89" s="11">
        <v>15280000</v>
      </c>
      <c r="AP89" s="13">
        <v>1222400</v>
      </c>
      <c r="AQ89" s="13">
        <v>16502400</v>
      </c>
      <c r="AR89" s="11">
        <v>200</v>
      </c>
      <c r="AS89" s="9" t="s">
        <v>72</v>
      </c>
      <c r="AT89" s="12">
        <v>194.2</v>
      </c>
      <c r="AU89" s="9" t="s">
        <v>73</v>
      </c>
      <c r="AV89" s="9" t="s">
        <v>67</v>
      </c>
      <c r="AW89" s="9" t="s">
        <v>1051</v>
      </c>
      <c r="AX89" s="10">
        <v>45992</v>
      </c>
      <c r="AY89" s="9" t="s">
        <v>1052</v>
      </c>
      <c r="AZ89" s="9" t="s">
        <v>67</v>
      </c>
      <c r="BA89" s="9" t="s">
        <v>67</v>
      </c>
      <c r="BB89" s="12">
        <v>200</v>
      </c>
      <c r="BC89" s="9" t="s">
        <v>74</v>
      </c>
      <c r="BD89" s="9" t="s">
        <v>104</v>
      </c>
      <c r="BE89" s="9" t="s">
        <v>75</v>
      </c>
      <c r="BF89" s="11">
        <v>0</v>
      </c>
      <c r="BG89">
        <f t="shared" si="4"/>
        <v>12</v>
      </c>
      <c r="BH89" t="str">
        <f>VLOOKUP(BG89,[1]month!$A:$B,2,0)</f>
        <v>Desember</v>
      </c>
      <c r="BI89">
        <f t="shared" si="5"/>
        <v>2025</v>
      </c>
      <c r="BJ89" t="str">
        <f>VLOOKUP(I89,[1]Dist!$A:$B,2,0)</f>
        <v>Industry</v>
      </c>
      <c r="BK89" t="str">
        <f>IF(I89=11,VLOOKUP(Y89,[2]Sheet1!$C:$N,10,0),IF(I89=13,VLOOKUP(Y89,[3]Sheet1!$C:$N,10,0),IF(I89=15,VLOOKUP(Y89,[4]Sheet1!$C:$N,10,0),"Unknown")))</f>
        <v>PU</v>
      </c>
      <c r="BL89" t="str">
        <f>IF(I89=11,VLOOKUP(Y89,[2]Sheet1!$C:$N,12,0),IF(I89=13,VLOOKUP(Y89,[3]Sheet1!$C:$N,12,0),IF(I89=15,VLOOKUP(Y89,[4]Sheet1!$C:$N,12,0),"Unknown")))</f>
        <v>PU LACQUER</v>
      </c>
      <c r="BM89" t="str">
        <f>VLOOKUP(W89,[1]branch!$A:$B,2,0)</f>
        <v>INDUSTRY</v>
      </c>
    </row>
    <row r="90" spans="1:65" x14ac:dyDescent="0.35">
      <c r="A90" s="10">
        <v>45993</v>
      </c>
      <c r="B90" s="9" t="s">
        <v>1050</v>
      </c>
      <c r="C90" s="9" t="s">
        <v>64</v>
      </c>
      <c r="D90" s="9" t="s">
        <v>92</v>
      </c>
      <c r="E90" s="11">
        <v>30</v>
      </c>
      <c r="F90" s="9" t="s">
        <v>93</v>
      </c>
      <c r="G90" s="9" t="s">
        <v>65</v>
      </c>
      <c r="H90" s="9" t="s">
        <v>66</v>
      </c>
      <c r="I90" s="9">
        <v>11</v>
      </c>
      <c r="J90" s="9" t="s">
        <v>94</v>
      </c>
      <c r="K90" s="9" t="s">
        <v>94</v>
      </c>
      <c r="L90" s="9" t="s">
        <v>94</v>
      </c>
      <c r="M90" s="9" t="s">
        <v>95</v>
      </c>
      <c r="N90" s="9" t="s">
        <v>586</v>
      </c>
      <c r="O90" s="9" t="s">
        <v>97</v>
      </c>
      <c r="P90" s="9" t="s">
        <v>67</v>
      </c>
      <c r="Q90" s="9" t="s">
        <v>98</v>
      </c>
      <c r="R90" s="9" t="s">
        <v>719</v>
      </c>
      <c r="S90" s="9" t="s">
        <v>95</v>
      </c>
      <c r="T90" s="9" t="s">
        <v>720</v>
      </c>
      <c r="U90" s="9" t="s">
        <v>67</v>
      </c>
      <c r="V90" s="9" t="s">
        <v>99</v>
      </c>
      <c r="W90" s="9" t="s">
        <v>100</v>
      </c>
      <c r="X90" s="11">
        <v>20</v>
      </c>
      <c r="Y90" s="9" t="s">
        <v>113</v>
      </c>
      <c r="Z90" s="9" t="s">
        <v>68</v>
      </c>
      <c r="AA90" s="9" t="s">
        <v>114</v>
      </c>
      <c r="AB90" s="9" t="s">
        <v>67</v>
      </c>
      <c r="AC90" s="9" t="s">
        <v>115</v>
      </c>
      <c r="AD90" s="11">
        <v>5</v>
      </c>
      <c r="AE90" s="9" t="s">
        <v>70</v>
      </c>
      <c r="AF90" s="9" t="s">
        <v>71</v>
      </c>
      <c r="AG90" s="13">
        <v>1</v>
      </c>
      <c r="AH90" s="9" t="s">
        <v>92</v>
      </c>
      <c r="AI90" s="13">
        <v>2296000</v>
      </c>
      <c r="AJ90" s="13">
        <v>11480000</v>
      </c>
      <c r="AK90" s="11">
        <v>0</v>
      </c>
      <c r="AL90" s="11">
        <v>0</v>
      </c>
      <c r="AM90" s="11">
        <v>0</v>
      </c>
      <c r="AN90" s="9" t="s">
        <v>67</v>
      </c>
      <c r="AO90" s="11">
        <v>11480000</v>
      </c>
      <c r="AP90" s="13">
        <v>918400</v>
      </c>
      <c r="AQ90" s="13">
        <v>12398400</v>
      </c>
      <c r="AR90" s="11">
        <v>100</v>
      </c>
      <c r="AS90" s="9" t="s">
        <v>72</v>
      </c>
      <c r="AT90" s="12">
        <v>93.45</v>
      </c>
      <c r="AU90" s="9" t="s">
        <v>73</v>
      </c>
      <c r="AV90" s="9" t="s">
        <v>67</v>
      </c>
      <c r="AW90" s="9" t="s">
        <v>1051</v>
      </c>
      <c r="AX90" s="10">
        <v>45992</v>
      </c>
      <c r="AY90" s="9" t="s">
        <v>1052</v>
      </c>
      <c r="AZ90" s="9" t="s">
        <v>67</v>
      </c>
      <c r="BA90" s="9" t="s">
        <v>67</v>
      </c>
      <c r="BB90" s="12">
        <v>100</v>
      </c>
      <c r="BC90" s="9" t="s">
        <v>74</v>
      </c>
      <c r="BD90" s="9" t="s">
        <v>104</v>
      </c>
      <c r="BE90" s="9" t="s">
        <v>75</v>
      </c>
      <c r="BF90" s="11">
        <v>0</v>
      </c>
      <c r="BG90">
        <f t="shared" si="4"/>
        <v>12</v>
      </c>
      <c r="BH90" t="str">
        <f>VLOOKUP(BG90,[1]month!$A:$B,2,0)</f>
        <v>Desember</v>
      </c>
      <c r="BI90">
        <f t="shared" si="5"/>
        <v>2025</v>
      </c>
      <c r="BJ90" t="str">
        <f>VLOOKUP(I90,[1]Dist!$A:$B,2,0)</f>
        <v>Industry</v>
      </c>
      <c r="BK90" t="str">
        <f>IF(I90=11,VLOOKUP(Y90,[2]Sheet1!$C:$N,10,0),IF(I90=13,VLOOKUP(Y90,[3]Sheet1!$C:$N,10,0),IF(I90=15,VLOOKUP(Y90,[4]Sheet1!$C:$N,10,0),"Unknown")))</f>
        <v>PU</v>
      </c>
      <c r="BL90" t="str">
        <f>IF(I90=11,VLOOKUP(Y90,[2]Sheet1!$C:$N,12,0),IF(I90=13,VLOOKUP(Y90,[3]Sheet1!$C:$N,12,0),IF(I90=15,VLOOKUP(Y90,[4]Sheet1!$C:$N,12,0),"Unknown")))</f>
        <v>PU HARDENER</v>
      </c>
      <c r="BM90" t="str">
        <f>VLOOKUP(W90,[1]branch!$A:$B,2,0)</f>
        <v>INDUSTRY</v>
      </c>
    </row>
    <row r="91" spans="1:65" x14ac:dyDescent="0.35">
      <c r="A91" s="10">
        <v>45993</v>
      </c>
      <c r="B91" s="9" t="s">
        <v>1053</v>
      </c>
      <c r="C91" s="9" t="s">
        <v>64</v>
      </c>
      <c r="D91" s="9" t="s">
        <v>92</v>
      </c>
      <c r="E91" s="11">
        <v>30</v>
      </c>
      <c r="F91" s="9" t="s">
        <v>93</v>
      </c>
      <c r="G91" s="9" t="s">
        <v>65</v>
      </c>
      <c r="H91" s="9" t="s">
        <v>66</v>
      </c>
      <c r="I91" s="9">
        <v>11</v>
      </c>
      <c r="J91" s="9" t="s">
        <v>94</v>
      </c>
      <c r="K91" s="9" t="s">
        <v>94</v>
      </c>
      <c r="L91" s="9" t="s">
        <v>94</v>
      </c>
      <c r="M91" s="9" t="s">
        <v>95</v>
      </c>
      <c r="N91" s="9" t="s">
        <v>586</v>
      </c>
      <c r="O91" s="9" t="s">
        <v>97</v>
      </c>
      <c r="P91" s="9" t="s">
        <v>67</v>
      </c>
      <c r="Q91" s="9" t="s">
        <v>98</v>
      </c>
      <c r="R91" s="9" t="s">
        <v>717</v>
      </c>
      <c r="S91" s="9" t="s">
        <v>95</v>
      </c>
      <c r="T91" s="9" t="s">
        <v>718</v>
      </c>
      <c r="U91" s="9" t="s">
        <v>67</v>
      </c>
      <c r="V91" s="9" t="s">
        <v>99</v>
      </c>
      <c r="W91" s="9" t="s">
        <v>100</v>
      </c>
      <c r="X91" s="11">
        <v>10</v>
      </c>
      <c r="Y91" s="9" t="s">
        <v>101</v>
      </c>
      <c r="Z91" s="9" t="s">
        <v>68</v>
      </c>
      <c r="AA91" s="9" t="s">
        <v>102</v>
      </c>
      <c r="AB91" s="9" t="s">
        <v>67</v>
      </c>
      <c r="AC91" s="9" t="s">
        <v>103</v>
      </c>
      <c r="AD91" s="11">
        <v>5</v>
      </c>
      <c r="AE91" s="9" t="s">
        <v>70</v>
      </c>
      <c r="AF91" s="9" t="s">
        <v>71</v>
      </c>
      <c r="AG91" s="13">
        <v>1</v>
      </c>
      <c r="AH91" s="9" t="s">
        <v>92</v>
      </c>
      <c r="AI91" s="13">
        <v>1172000</v>
      </c>
      <c r="AJ91" s="13">
        <v>5860000</v>
      </c>
      <c r="AK91" s="11">
        <v>0</v>
      </c>
      <c r="AL91" s="11">
        <v>0</v>
      </c>
      <c r="AM91" s="11">
        <v>0</v>
      </c>
      <c r="AN91" s="9" t="s">
        <v>67</v>
      </c>
      <c r="AO91" s="11">
        <v>5860000</v>
      </c>
      <c r="AP91" s="13">
        <v>468800</v>
      </c>
      <c r="AQ91" s="13">
        <v>6328800</v>
      </c>
      <c r="AR91" s="11">
        <v>100</v>
      </c>
      <c r="AS91" s="9" t="s">
        <v>72</v>
      </c>
      <c r="AT91" s="12">
        <v>97.1</v>
      </c>
      <c r="AU91" s="9" t="s">
        <v>73</v>
      </c>
      <c r="AV91" s="9" t="s">
        <v>67</v>
      </c>
      <c r="AW91" s="9" t="s">
        <v>1054</v>
      </c>
      <c r="AX91" s="10">
        <v>45986</v>
      </c>
      <c r="AY91" s="9" t="s">
        <v>1055</v>
      </c>
      <c r="AZ91" s="9" t="s">
        <v>67</v>
      </c>
      <c r="BA91" s="9" t="s">
        <v>67</v>
      </c>
      <c r="BB91" s="12">
        <v>100</v>
      </c>
      <c r="BC91" s="9" t="s">
        <v>74</v>
      </c>
      <c r="BD91" s="9" t="s">
        <v>104</v>
      </c>
      <c r="BE91" s="9" t="s">
        <v>75</v>
      </c>
      <c r="BF91" s="11">
        <v>0</v>
      </c>
      <c r="BG91">
        <f t="shared" si="4"/>
        <v>12</v>
      </c>
      <c r="BH91" t="str">
        <f>VLOOKUP(BG91,[1]month!$A:$B,2,0)</f>
        <v>Desember</v>
      </c>
      <c r="BI91">
        <f t="shared" si="5"/>
        <v>2025</v>
      </c>
      <c r="BJ91" t="str">
        <f>VLOOKUP(I91,[1]Dist!$A:$B,2,0)</f>
        <v>Industry</v>
      </c>
      <c r="BK91" t="str">
        <f>IF(I91=11,VLOOKUP(Y91,[2]Sheet1!$C:$N,10,0),IF(I91=13,VLOOKUP(Y91,[3]Sheet1!$C:$N,10,0),IF(I91=15,VLOOKUP(Y91,[4]Sheet1!$C:$N,10,0),"Unknown")))</f>
        <v>PU</v>
      </c>
      <c r="BL91" t="str">
        <f>IF(I91=11,VLOOKUP(Y91,[2]Sheet1!$C:$N,12,0),IF(I91=13,VLOOKUP(Y91,[3]Sheet1!$C:$N,12,0),IF(I91=15,VLOOKUP(Y91,[4]Sheet1!$C:$N,12,0),"Unknown")))</f>
        <v>PU SANDING SEALER</v>
      </c>
      <c r="BM91" t="str">
        <f>VLOOKUP(W91,[1]branch!$A:$B,2,0)</f>
        <v>INDUSTRY</v>
      </c>
    </row>
    <row r="92" spans="1:65" x14ac:dyDescent="0.35">
      <c r="A92" s="10">
        <v>45993</v>
      </c>
      <c r="B92" s="9" t="s">
        <v>1053</v>
      </c>
      <c r="C92" s="9" t="s">
        <v>64</v>
      </c>
      <c r="D92" s="9" t="s">
        <v>92</v>
      </c>
      <c r="E92" s="11">
        <v>30</v>
      </c>
      <c r="F92" s="9" t="s">
        <v>93</v>
      </c>
      <c r="G92" s="9" t="s">
        <v>65</v>
      </c>
      <c r="H92" s="9" t="s">
        <v>66</v>
      </c>
      <c r="I92" s="9">
        <v>11</v>
      </c>
      <c r="J92" s="9" t="s">
        <v>94</v>
      </c>
      <c r="K92" s="9" t="s">
        <v>94</v>
      </c>
      <c r="L92" s="9" t="s">
        <v>94</v>
      </c>
      <c r="M92" s="9" t="s">
        <v>95</v>
      </c>
      <c r="N92" s="9" t="s">
        <v>586</v>
      </c>
      <c r="O92" s="9" t="s">
        <v>97</v>
      </c>
      <c r="P92" s="9" t="s">
        <v>67</v>
      </c>
      <c r="Q92" s="9" t="s">
        <v>98</v>
      </c>
      <c r="R92" s="9" t="s">
        <v>717</v>
      </c>
      <c r="S92" s="9" t="s">
        <v>95</v>
      </c>
      <c r="T92" s="9" t="s">
        <v>718</v>
      </c>
      <c r="U92" s="9" t="s">
        <v>67</v>
      </c>
      <c r="V92" s="9" t="s">
        <v>99</v>
      </c>
      <c r="W92" s="9" t="s">
        <v>100</v>
      </c>
      <c r="X92" s="11">
        <v>20</v>
      </c>
      <c r="Y92" s="9" t="s">
        <v>105</v>
      </c>
      <c r="Z92" s="9" t="s">
        <v>68</v>
      </c>
      <c r="AA92" s="9" t="s">
        <v>106</v>
      </c>
      <c r="AB92" s="9" t="s">
        <v>67</v>
      </c>
      <c r="AC92" s="9" t="s">
        <v>107</v>
      </c>
      <c r="AD92" s="11">
        <v>2</v>
      </c>
      <c r="AE92" s="9" t="s">
        <v>70</v>
      </c>
      <c r="AF92" s="9" t="s">
        <v>71</v>
      </c>
      <c r="AG92" s="13">
        <v>1</v>
      </c>
      <c r="AH92" s="9" t="s">
        <v>92</v>
      </c>
      <c r="AI92" s="13">
        <v>1978000</v>
      </c>
      <c r="AJ92" s="13">
        <v>3956000</v>
      </c>
      <c r="AK92" s="11">
        <v>0</v>
      </c>
      <c r="AL92" s="11">
        <v>0</v>
      </c>
      <c r="AM92" s="11">
        <v>0</v>
      </c>
      <c r="AN92" s="9" t="s">
        <v>67</v>
      </c>
      <c r="AO92" s="11">
        <v>3956000</v>
      </c>
      <c r="AP92" s="13">
        <v>316480</v>
      </c>
      <c r="AQ92" s="13">
        <v>4272480</v>
      </c>
      <c r="AR92" s="11">
        <v>40</v>
      </c>
      <c r="AS92" s="9" t="s">
        <v>72</v>
      </c>
      <c r="AT92" s="12">
        <v>42.56</v>
      </c>
      <c r="AU92" s="9" t="s">
        <v>73</v>
      </c>
      <c r="AV92" s="9" t="s">
        <v>67</v>
      </c>
      <c r="AW92" s="9" t="s">
        <v>1054</v>
      </c>
      <c r="AX92" s="10">
        <v>45986</v>
      </c>
      <c r="AY92" s="9" t="s">
        <v>1055</v>
      </c>
      <c r="AZ92" s="9" t="s">
        <v>67</v>
      </c>
      <c r="BA92" s="9" t="s">
        <v>67</v>
      </c>
      <c r="BB92" s="12">
        <v>40</v>
      </c>
      <c r="BC92" s="9" t="s">
        <v>74</v>
      </c>
      <c r="BD92" s="9" t="s">
        <v>104</v>
      </c>
      <c r="BE92" s="9" t="s">
        <v>75</v>
      </c>
      <c r="BF92" s="11">
        <v>0</v>
      </c>
      <c r="BG92">
        <f t="shared" si="4"/>
        <v>12</v>
      </c>
      <c r="BH92" t="str">
        <f>VLOOKUP(BG92,[1]month!$A:$B,2,0)</f>
        <v>Desember</v>
      </c>
      <c r="BI92">
        <f t="shared" si="5"/>
        <v>2025</v>
      </c>
      <c r="BJ92" t="str">
        <f>VLOOKUP(I92,[1]Dist!$A:$B,2,0)</f>
        <v>Industry</v>
      </c>
      <c r="BK92" t="str">
        <f>IF(I92=11,VLOOKUP(Y92,[2]Sheet1!$C:$N,10,0),IF(I92=13,VLOOKUP(Y92,[3]Sheet1!$C:$N,10,0),IF(I92=15,VLOOKUP(Y92,[4]Sheet1!$C:$N,10,0),"Unknown")))</f>
        <v>PU</v>
      </c>
      <c r="BL92" t="str">
        <f>IF(I92=11,VLOOKUP(Y92,[2]Sheet1!$C:$N,12,0),IF(I92=13,VLOOKUP(Y92,[3]Sheet1!$C:$N,12,0),IF(I92=15,VLOOKUP(Y92,[4]Sheet1!$C:$N,12,0),"Unknown")))</f>
        <v>PU HARDENER</v>
      </c>
      <c r="BM92" t="str">
        <f>VLOOKUP(W92,[1]branch!$A:$B,2,0)</f>
        <v>INDUSTRY</v>
      </c>
    </row>
    <row r="93" spans="1:65" x14ac:dyDescent="0.35">
      <c r="A93" s="10">
        <v>45993</v>
      </c>
      <c r="B93" s="9" t="s">
        <v>1053</v>
      </c>
      <c r="C93" s="9" t="s">
        <v>64</v>
      </c>
      <c r="D93" s="9" t="s">
        <v>92</v>
      </c>
      <c r="E93" s="11">
        <v>30</v>
      </c>
      <c r="F93" s="9" t="s">
        <v>93</v>
      </c>
      <c r="G93" s="9" t="s">
        <v>65</v>
      </c>
      <c r="H93" s="9" t="s">
        <v>66</v>
      </c>
      <c r="I93" s="9">
        <v>11</v>
      </c>
      <c r="J93" s="9" t="s">
        <v>94</v>
      </c>
      <c r="K93" s="9" t="s">
        <v>94</v>
      </c>
      <c r="L93" s="9" t="s">
        <v>94</v>
      </c>
      <c r="M93" s="9" t="s">
        <v>95</v>
      </c>
      <c r="N93" s="9" t="s">
        <v>586</v>
      </c>
      <c r="O93" s="9" t="s">
        <v>97</v>
      </c>
      <c r="P93" s="9" t="s">
        <v>67</v>
      </c>
      <c r="Q93" s="9" t="s">
        <v>98</v>
      </c>
      <c r="R93" s="9" t="s">
        <v>717</v>
      </c>
      <c r="S93" s="9" t="s">
        <v>95</v>
      </c>
      <c r="T93" s="9" t="s">
        <v>718</v>
      </c>
      <c r="U93" s="9" t="s">
        <v>67</v>
      </c>
      <c r="V93" s="9" t="s">
        <v>99</v>
      </c>
      <c r="W93" s="9" t="s">
        <v>100</v>
      </c>
      <c r="X93" s="11">
        <v>30</v>
      </c>
      <c r="Y93" s="9" t="s">
        <v>113</v>
      </c>
      <c r="Z93" s="9" t="s">
        <v>68</v>
      </c>
      <c r="AA93" s="9" t="s">
        <v>114</v>
      </c>
      <c r="AB93" s="9" t="s">
        <v>67</v>
      </c>
      <c r="AC93" s="9" t="s">
        <v>115</v>
      </c>
      <c r="AD93" s="11">
        <v>3</v>
      </c>
      <c r="AE93" s="9" t="s">
        <v>70</v>
      </c>
      <c r="AF93" s="9" t="s">
        <v>71</v>
      </c>
      <c r="AG93" s="13">
        <v>1</v>
      </c>
      <c r="AH93" s="9" t="s">
        <v>92</v>
      </c>
      <c r="AI93" s="13">
        <v>2296000</v>
      </c>
      <c r="AJ93" s="13">
        <v>6888000</v>
      </c>
      <c r="AK93" s="11">
        <v>0</v>
      </c>
      <c r="AL93" s="11">
        <v>0</v>
      </c>
      <c r="AM93" s="11">
        <v>0</v>
      </c>
      <c r="AN93" s="9" t="s">
        <v>67</v>
      </c>
      <c r="AO93" s="11">
        <v>6888000</v>
      </c>
      <c r="AP93" s="13">
        <v>551040</v>
      </c>
      <c r="AQ93" s="13">
        <v>7439040</v>
      </c>
      <c r="AR93" s="11">
        <v>60</v>
      </c>
      <c r="AS93" s="9" t="s">
        <v>72</v>
      </c>
      <c r="AT93" s="12">
        <v>56.07</v>
      </c>
      <c r="AU93" s="9" t="s">
        <v>73</v>
      </c>
      <c r="AV93" s="9" t="s">
        <v>67</v>
      </c>
      <c r="AW93" s="9" t="s">
        <v>1054</v>
      </c>
      <c r="AX93" s="10">
        <v>45986</v>
      </c>
      <c r="AY93" s="9" t="s">
        <v>1055</v>
      </c>
      <c r="AZ93" s="9" t="s">
        <v>67</v>
      </c>
      <c r="BA93" s="9" t="s">
        <v>67</v>
      </c>
      <c r="BB93" s="12">
        <v>60</v>
      </c>
      <c r="BC93" s="9" t="s">
        <v>74</v>
      </c>
      <c r="BD93" s="9" t="s">
        <v>104</v>
      </c>
      <c r="BE93" s="9" t="s">
        <v>75</v>
      </c>
      <c r="BF93" s="11">
        <v>0</v>
      </c>
      <c r="BG93">
        <f t="shared" si="4"/>
        <v>12</v>
      </c>
      <c r="BH93" t="str">
        <f>VLOOKUP(BG93,[1]month!$A:$B,2,0)</f>
        <v>Desember</v>
      </c>
      <c r="BI93">
        <f t="shared" si="5"/>
        <v>2025</v>
      </c>
      <c r="BJ93" t="str">
        <f>VLOOKUP(I93,[1]Dist!$A:$B,2,0)</f>
        <v>Industry</v>
      </c>
      <c r="BK93" t="str">
        <f>IF(I93=11,VLOOKUP(Y93,[2]Sheet1!$C:$N,10,0),IF(I93=13,VLOOKUP(Y93,[3]Sheet1!$C:$N,10,0),IF(I93=15,VLOOKUP(Y93,[4]Sheet1!$C:$N,10,0),"Unknown")))</f>
        <v>PU</v>
      </c>
      <c r="BL93" t="str">
        <f>IF(I93=11,VLOOKUP(Y93,[2]Sheet1!$C:$N,12,0),IF(I93=13,VLOOKUP(Y93,[3]Sheet1!$C:$N,12,0),IF(I93=15,VLOOKUP(Y93,[4]Sheet1!$C:$N,12,0),"Unknown")))</f>
        <v>PU HARDENER</v>
      </c>
      <c r="BM93" t="str">
        <f>VLOOKUP(W93,[1]branch!$A:$B,2,0)</f>
        <v>INDUSTRY</v>
      </c>
    </row>
    <row r="94" spans="1:65" x14ac:dyDescent="0.35">
      <c r="A94" s="10">
        <v>45993</v>
      </c>
      <c r="B94" s="9" t="s">
        <v>1053</v>
      </c>
      <c r="C94" s="9" t="s">
        <v>64</v>
      </c>
      <c r="D94" s="9" t="s">
        <v>92</v>
      </c>
      <c r="E94" s="11">
        <v>30</v>
      </c>
      <c r="F94" s="9" t="s">
        <v>93</v>
      </c>
      <c r="G94" s="9" t="s">
        <v>65</v>
      </c>
      <c r="H94" s="9" t="s">
        <v>66</v>
      </c>
      <c r="I94" s="9">
        <v>11</v>
      </c>
      <c r="J94" s="9" t="s">
        <v>94</v>
      </c>
      <c r="K94" s="9" t="s">
        <v>94</v>
      </c>
      <c r="L94" s="9" t="s">
        <v>94</v>
      </c>
      <c r="M94" s="9" t="s">
        <v>95</v>
      </c>
      <c r="N94" s="9" t="s">
        <v>586</v>
      </c>
      <c r="O94" s="9" t="s">
        <v>97</v>
      </c>
      <c r="P94" s="9" t="s">
        <v>67</v>
      </c>
      <c r="Q94" s="9" t="s">
        <v>98</v>
      </c>
      <c r="R94" s="9" t="s">
        <v>717</v>
      </c>
      <c r="S94" s="9" t="s">
        <v>95</v>
      </c>
      <c r="T94" s="9" t="s">
        <v>718</v>
      </c>
      <c r="U94" s="9" t="s">
        <v>67</v>
      </c>
      <c r="V94" s="9" t="s">
        <v>99</v>
      </c>
      <c r="W94" s="9" t="s">
        <v>100</v>
      </c>
      <c r="X94" s="11">
        <v>40</v>
      </c>
      <c r="Y94" s="9" t="s">
        <v>108</v>
      </c>
      <c r="Z94" s="9" t="s">
        <v>68</v>
      </c>
      <c r="AA94" s="9" t="s">
        <v>109</v>
      </c>
      <c r="AB94" s="9" t="s">
        <v>67</v>
      </c>
      <c r="AC94" s="9" t="s">
        <v>110</v>
      </c>
      <c r="AD94" s="11">
        <v>5</v>
      </c>
      <c r="AE94" s="9" t="s">
        <v>70</v>
      </c>
      <c r="AF94" s="9" t="s">
        <v>71</v>
      </c>
      <c r="AG94" s="13">
        <v>1</v>
      </c>
      <c r="AH94" s="9" t="s">
        <v>92</v>
      </c>
      <c r="AI94" s="13">
        <v>1528000</v>
      </c>
      <c r="AJ94" s="13">
        <v>7640000</v>
      </c>
      <c r="AK94" s="11">
        <v>0</v>
      </c>
      <c r="AL94" s="11">
        <v>0</v>
      </c>
      <c r="AM94" s="11">
        <v>0</v>
      </c>
      <c r="AN94" s="9" t="s">
        <v>67</v>
      </c>
      <c r="AO94" s="11">
        <v>7640000</v>
      </c>
      <c r="AP94" s="13">
        <v>611200</v>
      </c>
      <c r="AQ94" s="13">
        <v>8251200</v>
      </c>
      <c r="AR94" s="11">
        <v>100</v>
      </c>
      <c r="AS94" s="9" t="s">
        <v>72</v>
      </c>
      <c r="AT94" s="12">
        <v>97.1</v>
      </c>
      <c r="AU94" s="9" t="s">
        <v>73</v>
      </c>
      <c r="AV94" s="9" t="s">
        <v>67</v>
      </c>
      <c r="AW94" s="9" t="s">
        <v>1054</v>
      </c>
      <c r="AX94" s="10">
        <v>45986</v>
      </c>
      <c r="AY94" s="9" t="s">
        <v>1055</v>
      </c>
      <c r="AZ94" s="9" t="s">
        <v>67</v>
      </c>
      <c r="BA94" s="9" t="s">
        <v>67</v>
      </c>
      <c r="BB94" s="12">
        <v>100</v>
      </c>
      <c r="BC94" s="9" t="s">
        <v>74</v>
      </c>
      <c r="BD94" s="9" t="s">
        <v>104</v>
      </c>
      <c r="BE94" s="9" t="s">
        <v>75</v>
      </c>
      <c r="BF94" s="11">
        <v>0</v>
      </c>
      <c r="BG94">
        <f t="shared" si="4"/>
        <v>12</v>
      </c>
      <c r="BH94" t="str">
        <f>VLOOKUP(BG94,[1]month!$A:$B,2,0)</f>
        <v>Desember</v>
      </c>
      <c r="BI94">
        <f t="shared" si="5"/>
        <v>2025</v>
      </c>
      <c r="BJ94" t="str">
        <f>VLOOKUP(I94,[1]Dist!$A:$B,2,0)</f>
        <v>Industry</v>
      </c>
      <c r="BK94" t="str">
        <f>IF(I94=11,VLOOKUP(Y94,[2]Sheet1!$C:$N,10,0),IF(I94=13,VLOOKUP(Y94,[3]Sheet1!$C:$N,10,0),IF(I94=15,VLOOKUP(Y94,[4]Sheet1!$C:$N,10,0),"Unknown")))</f>
        <v>PU</v>
      </c>
      <c r="BL94" t="str">
        <f>IF(I94=11,VLOOKUP(Y94,[2]Sheet1!$C:$N,12,0),IF(I94=13,VLOOKUP(Y94,[3]Sheet1!$C:$N,12,0),IF(I94=15,VLOOKUP(Y94,[4]Sheet1!$C:$N,12,0),"Unknown")))</f>
        <v>PU LACQUER</v>
      </c>
      <c r="BM94" t="str">
        <f>VLOOKUP(W94,[1]branch!$A:$B,2,0)</f>
        <v>INDUSTRY</v>
      </c>
    </row>
    <row r="95" spans="1:65" x14ac:dyDescent="0.35">
      <c r="A95" s="10">
        <v>45993</v>
      </c>
      <c r="B95" s="9" t="s">
        <v>1053</v>
      </c>
      <c r="C95" s="9" t="s">
        <v>64</v>
      </c>
      <c r="D95" s="9" t="s">
        <v>92</v>
      </c>
      <c r="E95" s="11">
        <v>30</v>
      </c>
      <c r="F95" s="9" t="s">
        <v>93</v>
      </c>
      <c r="G95" s="9" t="s">
        <v>65</v>
      </c>
      <c r="H95" s="9" t="s">
        <v>66</v>
      </c>
      <c r="I95" s="9">
        <v>11</v>
      </c>
      <c r="J95" s="9" t="s">
        <v>94</v>
      </c>
      <c r="K95" s="9" t="s">
        <v>94</v>
      </c>
      <c r="L95" s="9" t="s">
        <v>94</v>
      </c>
      <c r="M95" s="9" t="s">
        <v>95</v>
      </c>
      <c r="N95" s="9" t="s">
        <v>586</v>
      </c>
      <c r="O95" s="9" t="s">
        <v>97</v>
      </c>
      <c r="P95" s="9" t="s">
        <v>67</v>
      </c>
      <c r="Q95" s="9" t="s">
        <v>98</v>
      </c>
      <c r="R95" s="9" t="s">
        <v>717</v>
      </c>
      <c r="S95" s="9" t="s">
        <v>95</v>
      </c>
      <c r="T95" s="9" t="s">
        <v>718</v>
      </c>
      <c r="U95" s="9" t="s">
        <v>67</v>
      </c>
      <c r="V95" s="9" t="s">
        <v>99</v>
      </c>
      <c r="W95" s="9" t="s">
        <v>100</v>
      </c>
      <c r="X95" s="11">
        <v>60</v>
      </c>
      <c r="Y95" s="9" t="s">
        <v>118</v>
      </c>
      <c r="Z95" s="9" t="s">
        <v>68</v>
      </c>
      <c r="AA95" s="9" t="s">
        <v>119</v>
      </c>
      <c r="AB95" s="9" t="s">
        <v>67</v>
      </c>
      <c r="AC95" s="9" t="s">
        <v>120</v>
      </c>
      <c r="AD95" s="11">
        <v>1</v>
      </c>
      <c r="AE95" s="9" t="s">
        <v>70</v>
      </c>
      <c r="AF95" s="9" t="s">
        <v>71</v>
      </c>
      <c r="AG95" s="13">
        <v>1</v>
      </c>
      <c r="AH95" s="9" t="s">
        <v>92</v>
      </c>
      <c r="AI95" s="13">
        <v>7500000</v>
      </c>
      <c r="AJ95" s="13">
        <v>7500000</v>
      </c>
      <c r="AK95" s="11">
        <v>0</v>
      </c>
      <c r="AL95" s="11">
        <v>0</v>
      </c>
      <c r="AM95" s="11">
        <v>0</v>
      </c>
      <c r="AN95" s="9" t="s">
        <v>67</v>
      </c>
      <c r="AO95" s="11">
        <v>7500000</v>
      </c>
      <c r="AP95" s="13">
        <v>600000</v>
      </c>
      <c r="AQ95" s="13">
        <v>8100000</v>
      </c>
      <c r="AR95" s="11">
        <v>185</v>
      </c>
      <c r="AS95" s="9" t="s">
        <v>72</v>
      </c>
      <c r="AT95" s="11">
        <v>200</v>
      </c>
      <c r="AU95" s="9" t="s">
        <v>73</v>
      </c>
      <c r="AV95" s="9" t="s">
        <v>67</v>
      </c>
      <c r="AW95" s="9" t="s">
        <v>1054</v>
      </c>
      <c r="AX95" s="10">
        <v>45986</v>
      </c>
      <c r="AY95" s="9" t="s">
        <v>1055</v>
      </c>
      <c r="AZ95" s="9" t="s">
        <v>67</v>
      </c>
      <c r="BA95" s="9" t="s">
        <v>67</v>
      </c>
      <c r="BB95" s="12">
        <v>200</v>
      </c>
      <c r="BC95" s="9" t="s">
        <v>74</v>
      </c>
      <c r="BD95" s="9" t="s">
        <v>104</v>
      </c>
      <c r="BE95" s="9" t="s">
        <v>75</v>
      </c>
      <c r="BF95" s="11">
        <v>0</v>
      </c>
      <c r="BG95">
        <f t="shared" si="4"/>
        <v>12</v>
      </c>
      <c r="BH95" t="str">
        <f>VLOOKUP(BG95,[1]month!$A:$B,2,0)</f>
        <v>Desember</v>
      </c>
      <c r="BI95">
        <f t="shared" si="5"/>
        <v>2025</v>
      </c>
      <c r="BJ95" t="str">
        <f>VLOOKUP(I95,[1]Dist!$A:$B,2,0)</f>
        <v>Industry</v>
      </c>
      <c r="BK95" t="str">
        <f>IF(I95=11,VLOOKUP(Y95,[2]Sheet1!$C:$N,10,0),IF(I95=13,VLOOKUP(Y95,[3]Sheet1!$C:$N,10,0),IF(I95=15,VLOOKUP(Y95,[4]Sheet1!$C:$N,10,0),"Unknown")))</f>
        <v>THINNER PU</v>
      </c>
      <c r="BL95" t="str">
        <f>IF(I95=11,VLOOKUP(Y95,[2]Sheet1!$C:$N,12,0),IF(I95=13,VLOOKUP(Y95,[3]Sheet1!$C:$N,12,0),IF(I95=15,VLOOKUP(Y95,[4]Sheet1!$C:$N,12,0),"Unknown")))</f>
        <v>THINNER PU</v>
      </c>
      <c r="BM95" t="str">
        <f>VLOOKUP(W95,[1]branch!$A:$B,2,0)</f>
        <v>INDUSTRY</v>
      </c>
    </row>
    <row r="96" spans="1:65" x14ac:dyDescent="0.35">
      <c r="A96" s="10">
        <v>45993</v>
      </c>
      <c r="B96" s="9" t="s">
        <v>1053</v>
      </c>
      <c r="C96" s="9" t="s">
        <v>64</v>
      </c>
      <c r="D96" s="9" t="s">
        <v>92</v>
      </c>
      <c r="E96" s="11">
        <v>30</v>
      </c>
      <c r="F96" s="9" t="s">
        <v>93</v>
      </c>
      <c r="G96" s="9" t="s">
        <v>65</v>
      </c>
      <c r="H96" s="9" t="s">
        <v>66</v>
      </c>
      <c r="I96" s="9">
        <v>11</v>
      </c>
      <c r="J96" s="9" t="s">
        <v>94</v>
      </c>
      <c r="K96" s="9" t="s">
        <v>94</v>
      </c>
      <c r="L96" s="9" t="s">
        <v>94</v>
      </c>
      <c r="M96" s="9" t="s">
        <v>95</v>
      </c>
      <c r="N96" s="9" t="s">
        <v>586</v>
      </c>
      <c r="O96" s="9" t="s">
        <v>97</v>
      </c>
      <c r="P96" s="9" t="s">
        <v>67</v>
      </c>
      <c r="Q96" s="9" t="s">
        <v>98</v>
      </c>
      <c r="R96" s="9" t="s">
        <v>717</v>
      </c>
      <c r="S96" s="9" t="s">
        <v>95</v>
      </c>
      <c r="T96" s="9" t="s">
        <v>718</v>
      </c>
      <c r="U96" s="9" t="s">
        <v>67</v>
      </c>
      <c r="V96" s="9" t="s">
        <v>99</v>
      </c>
      <c r="W96" s="9" t="s">
        <v>100</v>
      </c>
      <c r="X96" s="11">
        <v>70</v>
      </c>
      <c r="Y96" s="9" t="s">
        <v>552</v>
      </c>
      <c r="Z96" s="9" t="s">
        <v>68</v>
      </c>
      <c r="AA96" s="9" t="s">
        <v>553</v>
      </c>
      <c r="AB96" s="9" t="s">
        <v>67</v>
      </c>
      <c r="AC96" s="9" t="s">
        <v>139</v>
      </c>
      <c r="AD96" s="11">
        <v>2</v>
      </c>
      <c r="AE96" s="9" t="s">
        <v>70</v>
      </c>
      <c r="AF96" s="9" t="s">
        <v>71</v>
      </c>
      <c r="AG96" s="13">
        <v>1</v>
      </c>
      <c r="AH96" s="9" t="s">
        <v>92</v>
      </c>
      <c r="AI96" s="13">
        <v>7021000</v>
      </c>
      <c r="AJ96" s="13">
        <v>14042000</v>
      </c>
      <c r="AK96" s="11">
        <v>0</v>
      </c>
      <c r="AL96" s="11">
        <v>0</v>
      </c>
      <c r="AM96" s="11">
        <v>0</v>
      </c>
      <c r="AN96" s="9" t="s">
        <v>67</v>
      </c>
      <c r="AO96" s="11">
        <v>14042000</v>
      </c>
      <c r="AP96" s="13">
        <v>1123360</v>
      </c>
      <c r="AQ96" s="13">
        <v>15165360</v>
      </c>
      <c r="AR96" s="11">
        <v>352</v>
      </c>
      <c r="AS96" s="9" t="s">
        <v>72</v>
      </c>
      <c r="AT96" s="11">
        <v>400</v>
      </c>
      <c r="AU96" s="9" t="s">
        <v>73</v>
      </c>
      <c r="AV96" s="9" t="s">
        <v>67</v>
      </c>
      <c r="AW96" s="9" t="s">
        <v>1054</v>
      </c>
      <c r="AX96" s="10">
        <v>45986</v>
      </c>
      <c r="AY96" s="9" t="s">
        <v>1055</v>
      </c>
      <c r="AZ96" s="9" t="s">
        <v>67</v>
      </c>
      <c r="BA96" s="9" t="s">
        <v>67</v>
      </c>
      <c r="BB96" s="12">
        <v>400</v>
      </c>
      <c r="BC96" s="9" t="s">
        <v>74</v>
      </c>
      <c r="BD96" s="9" t="s">
        <v>104</v>
      </c>
      <c r="BE96" s="9" t="s">
        <v>75</v>
      </c>
      <c r="BF96" s="11">
        <v>0</v>
      </c>
      <c r="BG96">
        <f t="shared" si="4"/>
        <v>12</v>
      </c>
      <c r="BH96" t="str">
        <f>VLOOKUP(BG96,[1]month!$A:$B,2,0)</f>
        <v>Desember</v>
      </c>
      <c r="BI96">
        <f t="shared" si="5"/>
        <v>2025</v>
      </c>
      <c r="BJ96" t="str">
        <f>VLOOKUP(I96,[1]Dist!$A:$B,2,0)</f>
        <v>Industry</v>
      </c>
      <c r="BK96" t="str">
        <f>IF(I96=11,VLOOKUP(Y96,[2]Sheet1!$C:$N,10,0),IF(I96=13,VLOOKUP(Y96,[3]Sheet1!$C:$N,10,0),IF(I96=15,VLOOKUP(Y96,[4]Sheet1!$C:$N,10,0),"Unknown")))</f>
        <v>THINNER NC</v>
      </c>
      <c r="BL96" t="str">
        <f>IF(I96=11,VLOOKUP(Y96,[2]Sheet1!$C:$N,12,0),IF(I96=13,VLOOKUP(Y96,[3]Sheet1!$C:$N,12,0),IF(I96=15,VLOOKUP(Y96,[4]Sheet1!$C:$N,12,0),"Unknown")))</f>
        <v>THINNER COMPLEMENTARY</v>
      </c>
      <c r="BM96" t="str">
        <f>VLOOKUP(W96,[1]branch!$A:$B,2,0)</f>
        <v>INDUSTRY</v>
      </c>
    </row>
    <row r="97" spans="1:65" x14ac:dyDescent="0.35">
      <c r="A97" s="10">
        <v>45993</v>
      </c>
      <c r="B97" s="9" t="s">
        <v>1053</v>
      </c>
      <c r="C97" s="9" t="s">
        <v>64</v>
      </c>
      <c r="D97" s="9" t="s">
        <v>92</v>
      </c>
      <c r="E97" s="11">
        <v>30</v>
      </c>
      <c r="F97" s="9" t="s">
        <v>93</v>
      </c>
      <c r="G97" s="9" t="s">
        <v>65</v>
      </c>
      <c r="H97" s="9" t="s">
        <v>66</v>
      </c>
      <c r="I97" s="9">
        <v>11</v>
      </c>
      <c r="J97" s="9" t="s">
        <v>94</v>
      </c>
      <c r="K97" s="9" t="s">
        <v>94</v>
      </c>
      <c r="L97" s="9" t="s">
        <v>94</v>
      </c>
      <c r="M97" s="9" t="s">
        <v>95</v>
      </c>
      <c r="N97" s="9" t="s">
        <v>586</v>
      </c>
      <c r="O97" s="9" t="s">
        <v>97</v>
      </c>
      <c r="P97" s="9" t="s">
        <v>67</v>
      </c>
      <c r="Q97" s="9" t="s">
        <v>98</v>
      </c>
      <c r="R97" s="9" t="s">
        <v>717</v>
      </c>
      <c r="S97" s="9" t="s">
        <v>95</v>
      </c>
      <c r="T97" s="9" t="s">
        <v>718</v>
      </c>
      <c r="U97" s="9" t="s">
        <v>67</v>
      </c>
      <c r="V97" s="9" t="s">
        <v>99</v>
      </c>
      <c r="W97" s="9" t="s">
        <v>100</v>
      </c>
      <c r="X97" s="11">
        <v>80</v>
      </c>
      <c r="Y97" s="9" t="s">
        <v>759</v>
      </c>
      <c r="Z97" s="9" t="s">
        <v>68</v>
      </c>
      <c r="AA97" s="9" t="s">
        <v>760</v>
      </c>
      <c r="AB97" s="9" t="s">
        <v>67</v>
      </c>
      <c r="AC97" s="9" t="s">
        <v>139</v>
      </c>
      <c r="AD97" s="11">
        <v>1</v>
      </c>
      <c r="AE97" s="9" t="s">
        <v>70</v>
      </c>
      <c r="AF97" s="9" t="s">
        <v>71</v>
      </c>
      <c r="AG97" s="13">
        <v>1</v>
      </c>
      <c r="AH97" s="9" t="s">
        <v>92</v>
      </c>
      <c r="AI97" s="13">
        <v>8560000</v>
      </c>
      <c r="AJ97" s="13">
        <v>8560000</v>
      </c>
      <c r="AK97" s="11">
        <v>0</v>
      </c>
      <c r="AL97" s="11">
        <v>0</v>
      </c>
      <c r="AM97" s="11">
        <v>0</v>
      </c>
      <c r="AN97" s="9" t="s">
        <v>67</v>
      </c>
      <c r="AO97" s="11">
        <v>8560000</v>
      </c>
      <c r="AP97" s="13">
        <v>684800</v>
      </c>
      <c r="AQ97" s="13">
        <v>9244800</v>
      </c>
      <c r="AR97" s="11">
        <v>176</v>
      </c>
      <c r="AS97" s="9" t="s">
        <v>72</v>
      </c>
      <c r="AT97" s="11">
        <v>200</v>
      </c>
      <c r="AU97" s="9" t="s">
        <v>73</v>
      </c>
      <c r="AV97" s="9" t="s">
        <v>67</v>
      </c>
      <c r="AW97" s="9" t="s">
        <v>1054</v>
      </c>
      <c r="AX97" s="10">
        <v>45986</v>
      </c>
      <c r="AY97" s="9" t="s">
        <v>1055</v>
      </c>
      <c r="AZ97" s="9" t="s">
        <v>67</v>
      </c>
      <c r="BA97" s="9" t="s">
        <v>67</v>
      </c>
      <c r="BB97" s="12">
        <v>200</v>
      </c>
      <c r="BC97" s="9" t="s">
        <v>74</v>
      </c>
      <c r="BD97" s="9" t="s">
        <v>104</v>
      </c>
      <c r="BE97" s="9" t="s">
        <v>75</v>
      </c>
      <c r="BF97" s="11">
        <v>0</v>
      </c>
      <c r="BG97">
        <f t="shared" si="4"/>
        <v>12</v>
      </c>
      <c r="BH97" t="str">
        <f>VLOOKUP(BG97,[1]month!$A:$B,2,0)</f>
        <v>Desember</v>
      </c>
      <c r="BI97">
        <f t="shared" si="5"/>
        <v>2025</v>
      </c>
      <c r="BJ97" t="str">
        <f>VLOOKUP(I97,[1]Dist!$A:$B,2,0)</f>
        <v>Industry</v>
      </c>
      <c r="BK97" t="str">
        <f>IF(I97=11,VLOOKUP(Y97,[2]Sheet1!$C:$N,10,0),IF(I97=13,VLOOKUP(Y97,[3]Sheet1!$C:$N,10,0),IF(I97=15,VLOOKUP(Y97,[4]Sheet1!$C:$N,10,0),"Unknown")))</f>
        <v>THINNER NC</v>
      </c>
      <c r="BL97" t="str">
        <f>IF(I97=11,VLOOKUP(Y97,[2]Sheet1!$C:$N,12,0),IF(I97=13,VLOOKUP(Y97,[3]Sheet1!$C:$N,12,0),IF(I97=15,VLOOKUP(Y97,[4]Sheet1!$C:$N,12,0),"Unknown")))</f>
        <v>THINNER COMPLEMENTARY</v>
      </c>
      <c r="BM97" t="str">
        <f>VLOOKUP(W97,[1]branch!$A:$B,2,0)</f>
        <v>INDUSTRY</v>
      </c>
    </row>
    <row r="98" spans="1:65" x14ac:dyDescent="0.35">
      <c r="A98" s="10">
        <v>45993</v>
      </c>
      <c r="B98" s="9" t="s">
        <v>1053</v>
      </c>
      <c r="C98" s="9" t="s">
        <v>64</v>
      </c>
      <c r="D98" s="9" t="s">
        <v>92</v>
      </c>
      <c r="E98" s="11">
        <v>30</v>
      </c>
      <c r="F98" s="9" t="s">
        <v>93</v>
      </c>
      <c r="G98" s="9" t="s">
        <v>65</v>
      </c>
      <c r="H98" s="9" t="s">
        <v>66</v>
      </c>
      <c r="I98" s="9">
        <v>11</v>
      </c>
      <c r="J98" s="9" t="s">
        <v>94</v>
      </c>
      <c r="K98" s="9" t="s">
        <v>94</v>
      </c>
      <c r="L98" s="9" t="s">
        <v>94</v>
      </c>
      <c r="M98" s="9" t="s">
        <v>95</v>
      </c>
      <c r="N98" s="9" t="s">
        <v>586</v>
      </c>
      <c r="O98" s="9" t="s">
        <v>97</v>
      </c>
      <c r="P98" s="9" t="s">
        <v>67</v>
      </c>
      <c r="Q98" s="9" t="s">
        <v>98</v>
      </c>
      <c r="R98" s="9" t="s">
        <v>717</v>
      </c>
      <c r="S98" s="9" t="s">
        <v>95</v>
      </c>
      <c r="T98" s="9" t="s">
        <v>718</v>
      </c>
      <c r="U98" s="9" t="s">
        <v>67</v>
      </c>
      <c r="V98" s="9" t="s">
        <v>99</v>
      </c>
      <c r="W98" s="9" t="s">
        <v>100</v>
      </c>
      <c r="X98" s="11">
        <v>90</v>
      </c>
      <c r="Y98" s="9" t="s">
        <v>116</v>
      </c>
      <c r="Z98" s="9" t="s">
        <v>68</v>
      </c>
      <c r="AA98" s="9" t="s">
        <v>117</v>
      </c>
      <c r="AB98" s="9" t="s">
        <v>67</v>
      </c>
      <c r="AC98" s="9" t="s">
        <v>82</v>
      </c>
      <c r="AD98" s="11">
        <v>1</v>
      </c>
      <c r="AE98" s="9" t="s">
        <v>70</v>
      </c>
      <c r="AF98" s="9" t="s">
        <v>71</v>
      </c>
      <c r="AG98" s="13">
        <v>1</v>
      </c>
      <c r="AH98" s="9" t="s">
        <v>92</v>
      </c>
      <c r="AI98" s="13">
        <v>12294000</v>
      </c>
      <c r="AJ98" s="13">
        <v>12294000</v>
      </c>
      <c r="AK98" s="11">
        <v>0</v>
      </c>
      <c r="AL98" s="11">
        <v>0</v>
      </c>
      <c r="AM98" s="11">
        <v>0</v>
      </c>
      <c r="AN98" s="9" t="s">
        <v>67</v>
      </c>
      <c r="AO98" s="11">
        <v>12294000</v>
      </c>
      <c r="AP98" s="13">
        <v>983520</v>
      </c>
      <c r="AQ98" s="13">
        <v>13277520</v>
      </c>
      <c r="AR98" s="11">
        <v>180</v>
      </c>
      <c r="AS98" s="9" t="s">
        <v>72</v>
      </c>
      <c r="AT98" s="12">
        <v>193.55</v>
      </c>
      <c r="AU98" s="9" t="s">
        <v>73</v>
      </c>
      <c r="AV98" s="9" t="s">
        <v>67</v>
      </c>
      <c r="AW98" s="9" t="s">
        <v>1054</v>
      </c>
      <c r="AX98" s="10">
        <v>45986</v>
      </c>
      <c r="AY98" s="9" t="s">
        <v>1055</v>
      </c>
      <c r="AZ98" s="9" t="s">
        <v>67</v>
      </c>
      <c r="BA98" s="9" t="s">
        <v>67</v>
      </c>
      <c r="BB98" s="12">
        <v>180</v>
      </c>
      <c r="BC98" s="9" t="s">
        <v>74</v>
      </c>
      <c r="BD98" s="9" t="s">
        <v>104</v>
      </c>
      <c r="BE98" s="9" t="s">
        <v>75</v>
      </c>
      <c r="BF98" s="11">
        <v>0</v>
      </c>
      <c r="BG98">
        <f t="shared" si="4"/>
        <v>12</v>
      </c>
      <c r="BH98" t="str">
        <f>VLOOKUP(BG98,[1]month!$A:$B,2,0)</f>
        <v>Desember</v>
      </c>
      <c r="BI98">
        <f t="shared" si="5"/>
        <v>2025</v>
      </c>
      <c r="BJ98" t="str">
        <f>VLOOKUP(I98,[1]Dist!$A:$B,2,0)</f>
        <v>Industry</v>
      </c>
      <c r="BK98" t="str">
        <f>IF(I98=11,VLOOKUP(Y98,[2]Sheet1!$C:$N,10,0),IF(I98=13,VLOOKUP(Y98,[3]Sheet1!$C:$N,10,0),IF(I98=15,VLOOKUP(Y98,[4]Sheet1!$C:$N,10,0),"Unknown")))</f>
        <v>STAIN &amp; GLAZE INTERIOR</v>
      </c>
      <c r="BL98" t="str">
        <f>IF(I98=11,VLOOKUP(Y98,[2]Sheet1!$C:$N,12,0),IF(I98=13,VLOOKUP(Y98,[3]Sheet1!$C:$N,12,0),IF(I98=15,VLOOKUP(Y98,[4]Sheet1!$C:$N,12,0),"Unknown")))</f>
        <v>STAIN INTERIOR</v>
      </c>
      <c r="BM98" t="str">
        <f>VLOOKUP(W98,[1]branch!$A:$B,2,0)</f>
        <v>INDUSTRY</v>
      </c>
    </row>
    <row r="99" spans="1:65" x14ac:dyDescent="0.35">
      <c r="A99" s="10">
        <v>45993</v>
      </c>
      <c r="B99" s="9" t="s">
        <v>1053</v>
      </c>
      <c r="C99" s="9" t="s">
        <v>64</v>
      </c>
      <c r="D99" s="9" t="s">
        <v>92</v>
      </c>
      <c r="E99" s="11">
        <v>30</v>
      </c>
      <c r="F99" s="9" t="s">
        <v>93</v>
      </c>
      <c r="G99" s="9" t="s">
        <v>65</v>
      </c>
      <c r="H99" s="9" t="s">
        <v>66</v>
      </c>
      <c r="I99" s="9">
        <v>11</v>
      </c>
      <c r="J99" s="9" t="s">
        <v>94</v>
      </c>
      <c r="K99" s="9" t="s">
        <v>94</v>
      </c>
      <c r="L99" s="9" t="s">
        <v>94</v>
      </c>
      <c r="M99" s="9" t="s">
        <v>95</v>
      </c>
      <c r="N99" s="9" t="s">
        <v>586</v>
      </c>
      <c r="O99" s="9" t="s">
        <v>97</v>
      </c>
      <c r="P99" s="9" t="s">
        <v>67</v>
      </c>
      <c r="Q99" s="9" t="s">
        <v>98</v>
      </c>
      <c r="R99" s="9" t="s">
        <v>717</v>
      </c>
      <c r="S99" s="9" t="s">
        <v>95</v>
      </c>
      <c r="T99" s="9" t="s">
        <v>718</v>
      </c>
      <c r="U99" s="9" t="s">
        <v>67</v>
      </c>
      <c r="V99" s="9" t="s">
        <v>99</v>
      </c>
      <c r="W99" s="9" t="s">
        <v>100</v>
      </c>
      <c r="X99" s="11">
        <v>110</v>
      </c>
      <c r="Y99" s="9" t="s">
        <v>771</v>
      </c>
      <c r="Z99" s="9" t="s">
        <v>68</v>
      </c>
      <c r="AA99" s="9" t="s">
        <v>772</v>
      </c>
      <c r="AB99" s="9" t="s">
        <v>67</v>
      </c>
      <c r="AC99" s="9" t="s">
        <v>143</v>
      </c>
      <c r="AD99" s="11">
        <v>1</v>
      </c>
      <c r="AE99" s="9" t="s">
        <v>70</v>
      </c>
      <c r="AF99" s="9" t="s">
        <v>71</v>
      </c>
      <c r="AG99" s="13">
        <v>1</v>
      </c>
      <c r="AH99" s="9" t="s">
        <v>92</v>
      </c>
      <c r="AI99" s="13">
        <v>2512800</v>
      </c>
      <c r="AJ99" s="13">
        <v>2512800</v>
      </c>
      <c r="AK99" s="11">
        <v>0</v>
      </c>
      <c r="AL99" s="11">
        <v>0</v>
      </c>
      <c r="AM99" s="11">
        <v>0</v>
      </c>
      <c r="AN99" s="9" t="s">
        <v>67</v>
      </c>
      <c r="AO99" s="11">
        <v>2512800</v>
      </c>
      <c r="AP99" s="13">
        <v>201024</v>
      </c>
      <c r="AQ99" s="13">
        <v>2713824</v>
      </c>
      <c r="AR99" s="11">
        <v>18</v>
      </c>
      <c r="AS99" s="9" t="s">
        <v>72</v>
      </c>
      <c r="AT99" s="12">
        <v>16.821999999999999</v>
      </c>
      <c r="AU99" s="9" t="s">
        <v>73</v>
      </c>
      <c r="AV99" s="9" t="s">
        <v>67</v>
      </c>
      <c r="AW99" s="9" t="s">
        <v>1054</v>
      </c>
      <c r="AX99" s="10">
        <v>45986</v>
      </c>
      <c r="AY99" s="9" t="s">
        <v>1055</v>
      </c>
      <c r="AZ99" s="9" t="s">
        <v>67</v>
      </c>
      <c r="BA99" s="9" t="s">
        <v>67</v>
      </c>
      <c r="BB99" s="12">
        <v>18</v>
      </c>
      <c r="BC99" s="9" t="s">
        <v>74</v>
      </c>
      <c r="BD99" s="9" t="s">
        <v>104</v>
      </c>
      <c r="BE99" s="9" t="s">
        <v>75</v>
      </c>
      <c r="BF99" s="11">
        <v>0</v>
      </c>
      <c r="BG99">
        <f t="shared" si="4"/>
        <v>12</v>
      </c>
      <c r="BH99" t="str">
        <f>VLOOKUP(BG99,[1]month!$A:$B,2,0)</f>
        <v>Desember</v>
      </c>
      <c r="BI99">
        <f t="shared" si="5"/>
        <v>2025</v>
      </c>
      <c r="BJ99" t="str">
        <f>VLOOKUP(I99,[1]Dist!$A:$B,2,0)</f>
        <v>Industry</v>
      </c>
      <c r="BK99" t="str">
        <f>IF(I99=11,VLOOKUP(Y99,[2]Sheet1!$C:$N,10,0),IF(I99=13,VLOOKUP(Y99,[3]Sheet1!$C:$N,10,0),IF(I99=15,VLOOKUP(Y99,[4]Sheet1!$C:$N,10,0),"Unknown")))</f>
        <v>PU</v>
      </c>
      <c r="BL99" t="str">
        <f>IF(I99=11,VLOOKUP(Y99,[2]Sheet1!$C:$N,12,0),IF(I99=13,VLOOKUP(Y99,[3]Sheet1!$C:$N,12,0),IF(I99=15,VLOOKUP(Y99,[4]Sheet1!$C:$N,12,0),"Unknown")))</f>
        <v>GLAZE PU</v>
      </c>
      <c r="BM99" t="str">
        <f>VLOOKUP(W99,[1]branch!$A:$B,2,0)</f>
        <v>INDUSTRY</v>
      </c>
    </row>
    <row r="100" spans="1:65" x14ac:dyDescent="0.35">
      <c r="A100" s="10">
        <v>45993</v>
      </c>
      <c r="B100" s="9" t="s">
        <v>1056</v>
      </c>
      <c r="C100" s="9" t="s">
        <v>64</v>
      </c>
      <c r="D100" s="9" t="s">
        <v>92</v>
      </c>
      <c r="E100" s="11">
        <v>60</v>
      </c>
      <c r="F100" s="9" t="s">
        <v>93</v>
      </c>
      <c r="G100" s="9" t="s">
        <v>65</v>
      </c>
      <c r="H100" s="9" t="s">
        <v>66</v>
      </c>
      <c r="I100" s="9">
        <v>11</v>
      </c>
      <c r="J100" s="9" t="s">
        <v>227</v>
      </c>
      <c r="K100" s="9" t="s">
        <v>227</v>
      </c>
      <c r="L100" s="9" t="s">
        <v>227</v>
      </c>
      <c r="M100" s="9" t="s">
        <v>228</v>
      </c>
      <c r="N100" s="9" t="s">
        <v>872</v>
      </c>
      <c r="O100" s="9" t="s">
        <v>97</v>
      </c>
      <c r="P100" s="9" t="s">
        <v>67</v>
      </c>
      <c r="Q100" s="9" t="s">
        <v>98</v>
      </c>
      <c r="R100" s="9" t="s">
        <v>227</v>
      </c>
      <c r="S100" s="9" t="s">
        <v>228</v>
      </c>
      <c r="T100" s="9" t="s">
        <v>817</v>
      </c>
      <c r="U100" s="9" t="s">
        <v>67</v>
      </c>
      <c r="V100" s="9" t="s">
        <v>221</v>
      </c>
      <c r="W100" s="9" t="s">
        <v>222</v>
      </c>
      <c r="X100" s="11">
        <v>30</v>
      </c>
      <c r="Y100" s="9" t="s">
        <v>260</v>
      </c>
      <c r="Z100" s="9" t="s">
        <v>68</v>
      </c>
      <c r="AA100" s="9" t="s">
        <v>723</v>
      </c>
      <c r="AB100" s="9" t="s">
        <v>67</v>
      </c>
      <c r="AC100" s="9" t="s">
        <v>248</v>
      </c>
      <c r="AD100" s="11">
        <v>25</v>
      </c>
      <c r="AE100" s="9" t="s">
        <v>70</v>
      </c>
      <c r="AF100" s="9" t="s">
        <v>71</v>
      </c>
      <c r="AG100" s="13">
        <v>1</v>
      </c>
      <c r="AH100" s="9" t="s">
        <v>92</v>
      </c>
      <c r="AI100" s="13">
        <v>2787200</v>
      </c>
      <c r="AJ100" s="13">
        <v>69680000</v>
      </c>
      <c r="AK100" s="11">
        <v>0</v>
      </c>
      <c r="AL100" s="11">
        <v>0</v>
      </c>
      <c r="AM100" s="11">
        <v>0</v>
      </c>
      <c r="AN100" s="9" t="s">
        <v>67</v>
      </c>
      <c r="AO100" s="11">
        <v>69680000</v>
      </c>
      <c r="AP100" s="13">
        <v>5574401</v>
      </c>
      <c r="AQ100" s="13">
        <v>75254401</v>
      </c>
      <c r="AR100" s="11">
        <v>490</v>
      </c>
      <c r="AS100" s="9" t="s">
        <v>72</v>
      </c>
      <c r="AT100" s="11">
        <v>500</v>
      </c>
      <c r="AU100" s="9" t="s">
        <v>73</v>
      </c>
      <c r="AV100" s="9" t="s">
        <v>67</v>
      </c>
      <c r="AW100" s="9" t="s">
        <v>952</v>
      </c>
      <c r="AX100" s="10">
        <v>45986</v>
      </c>
      <c r="AY100" s="9" t="s">
        <v>1057</v>
      </c>
      <c r="AZ100" s="9" t="s">
        <v>67</v>
      </c>
      <c r="BA100" s="9" t="s">
        <v>67</v>
      </c>
      <c r="BB100" s="12">
        <v>500</v>
      </c>
      <c r="BC100" s="9" t="s">
        <v>74</v>
      </c>
      <c r="BD100" s="9" t="s">
        <v>104</v>
      </c>
      <c r="BE100" s="9" t="s">
        <v>75</v>
      </c>
      <c r="BF100" s="11">
        <v>0</v>
      </c>
      <c r="BG100">
        <f t="shared" si="4"/>
        <v>12</v>
      </c>
      <c r="BH100" t="str">
        <f>VLOOKUP(BG100,[1]month!$A:$B,2,0)</f>
        <v>Desember</v>
      </c>
      <c r="BI100">
        <f t="shared" si="5"/>
        <v>2025</v>
      </c>
      <c r="BJ100" t="str">
        <f>VLOOKUP(I100,[1]Dist!$A:$B,2,0)</f>
        <v>Industry</v>
      </c>
      <c r="BK100" t="str">
        <f>IF(I100=11,VLOOKUP(Y100,[2]Sheet1!$C:$N,10,0),IF(I100=13,VLOOKUP(Y100,[3]Sheet1!$C:$N,10,0),IF(I100=15,VLOOKUP(Y100,[4]Sheet1!$C:$N,10,0),"Unknown")))</f>
        <v>PU</v>
      </c>
      <c r="BL100" t="str">
        <f>IF(I100=11,VLOOKUP(Y100,[2]Sheet1!$C:$N,12,0),IF(I100=13,VLOOKUP(Y100,[3]Sheet1!$C:$N,12,0),IF(I100=15,VLOOKUP(Y100,[4]Sheet1!$C:$N,12,0),"Unknown")))</f>
        <v>PU LACQUER</v>
      </c>
      <c r="BM100" t="str">
        <f>VLOOKUP(W100,[1]branch!$A:$B,2,0)</f>
        <v>INDUSTRY</v>
      </c>
    </row>
    <row r="101" spans="1:65" x14ac:dyDescent="0.35">
      <c r="A101" s="10">
        <v>45993</v>
      </c>
      <c r="B101" s="9" t="s">
        <v>1056</v>
      </c>
      <c r="C101" s="9" t="s">
        <v>64</v>
      </c>
      <c r="D101" s="9" t="s">
        <v>92</v>
      </c>
      <c r="E101" s="11">
        <v>60</v>
      </c>
      <c r="F101" s="9" t="s">
        <v>93</v>
      </c>
      <c r="G101" s="9" t="s">
        <v>65</v>
      </c>
      <c r="H101" s="9" t="s">
        <v>66</v>
      </c>
      <c r="I101" s="9">
        <v>11</v>
      </c>
      <c r="J101" s="9" t="s">
        <v>227</v>
      </c>
      <c r="K101" s="9" t="s">
        <v>227</v>
      </c>
      <c r="L101" s="9" t="s">
        <v>227</v>
      </c>
      <c r="M101" s="9" t="s">
        <v>228</v>
      </c>
      <c r="N101" s="9" t="s">
        <v>872</v>
      </c>
      <c r="O101" s="9" t="s">
        <v>97</v>
      </c>
      <c r="P101" s="9" t="s">
        <v>67</v>
      </c>
      <c r="Q101" s="9" t="s">
        <v>98</v>
      </c>
      <c r="R101" s="9" t="s">
        <v>227</v>
      </c>
      <c r="S101" s="9" t="s">
        <v>228</v>
      </c>
      <c r="T101" s="9" t="s">
        <v>817</v>
      </c>
      <c r="U101" s="9" t="s">
        <v>67</v>
      </c>
      <c r="V101" s="9" t="s">
        <v>221</v>
      </c>
      <c r="W101" s="9" t="s">
        <v>222</v>
      </c>
      <c r="X101" s="11">
        <v>40</v>
      </c>
      <c r="Y101" s="9" t="s">
        <v>246</v>
      </c>
      <c r="Z101" s="9" t="s">
        <v>68</v>
      </c>
      <c r="AA101" s="9" t="s">
        <v>247</v>
      </c>
      <c r="AB101" s="9" t="s">
        <v>67</v>
      </c>
      <c r="AC101" s="9" t="s">
        <v>248</v>
      </c>
      <c r="AD101" s="11">
        <v>11</v>
      </c>
      <c r="AE101" s="9" t="s">
        <v>70</v>
      </c>
      <c r="AF101" s="9" t="s">
        <v>71</v>
      </c>
      <c r="AG101" s="13">
        <v>1</v>
      </c>
      <c r="AH101" s="9" t="s">
        <v>92</v>
      </c>
      <c r="AI101" s="13">
        <v>2519400</v>
      </c>
      <c r="AJ101" s="13">
        <v>27713400</v>
      </c>
      <c r="AK101" s="11">
        <v>0</v>
      </c>
      <c r="AL101" s="11">
        <v>0</v>
      </c>
      <c r="AM101" s="11">
        <v>0</v>
      </c>
      <c r="AN101" s="9" t="s">
        <v>67</v>
      </c>
      <c r="AO101" s="11">
        <v>27713400</v>
      </c>
      <c r="AP101" s="13">
        <v>2217072</v>
      </c>
      <c r="AQ101" s="13">
        <v>29930472</v>
      </c>
      <c r="AR101" s="12">
        <v>211.2</v>
      </c>
      <c r="AS101" s="9" t="s">
        <v>72</v>
      </c>
      <c r="AT101" s="11">
        <v>220</v>
      </c>
      <c r="AU101" s="9" t="s">
        <v>73</v>
      </c>
      <c r="AV101" s="9" t="s">
        <v>67</v>
      </c>
      <c r="AW101" s="9" t="s">
        <v>952</v>
      </c>
      <c r="AX101" s="10">
        <v>45986</v>
      </c>
      <c r="AY101" s="9" t="s">
        <v>1057</v>
      </c>
      <c r="AZ101" s="9" t="s">
        <v>67</v>
      </c>
      <c r="BA101" s="9" t="s">
        <v>67</v>
      </c>
      <c r="BB101" s="12">
        <v>220</v>
      </c>
      <c r="BC101" s="9" t="s">
        <v>74</v>
      </c>
      <c r="BD101" s="9" t="s">
        <v>104</v>
      </c>
      <c r="BE101" s="9" t="s">
        <v>75</v>
      </c>
      <c r="BF101" s="11">
        <v>0</v>
      </c>
      <c r="BG101">
        <f t="shared" si="4"/>
        <v>12</v>
      </c>
      <c r="BH101" t="str">
        <f>VLOOKUP(BG101,[1]month!$A:$B,2,0)</f>
        <v>Desember</v>
      </c>
      <c r="BI101">
        <f t="shared" si="5"/>
        <v>2025</v>
      </c>
      <c r="BJ101" t="str">
        <f>VLOOKUP(I101,[1]Dist!$A:$B,2,0)</f>
        <v>Industry</v>
      </c>
      <c r="BK101" t="str">
        <f>IF(I101=11,VLOOKUP(Y101,[2]Sheet1!$C:$N,10,0),IF(I101=13,VLOOKUP(Y101,[3]Sheet1!$C:$N,10,0),IF(I101=15,VLOOKUP(Y101,[4]Sheet1!$C:$N,10,0),"Unknown")))</f>
        <v>PU</v>
      </c>
      <c r="BL101" t="str">
        <f>IF(I101=11,VLOOKUP(Y101,[2]Sheet1!$C:$N,12,0),IF(I101=13,VLOOKUP(Y101,[3]Sheet1!$C:$N,12,0),IF(I101=15,VLOOKUP(Y101,[4]Sheet1!$C:$N,12,0),"Unknown")))</f>
        <v>PU LACQUER</v>
      </c>
      <c r="BM101" t="str">
        <f>VLOOKUP(W101,[1]branch!$A:$B,2,0)</f>
        <v>INDUSTRY</v>
      </c>
    </row>
    <row r="102" spans="1:65" x14ac:dyDescent="0.35">
      <c r="A102" s="10">
        <v>45993</v>
      </c>
      <c r="B102" s="9" t="s">
        <v>1056</v>
      </c>
      <c r="C102" s="9" t="s">
        <v>64</v>
      </c>
      <c r="D102" s="9" t="s">
        <v>92</v>
      </c>
      <c r="E102" s="11">
        <v>60</v>
      </c>
      <c r="F102" s="9" t="s">
        <v>93</v>
      </c>
      <c r="G102" s="9" t="s">
        <v>65</v>
      </c>
      <c r="H102" s="9" t="s">
        <v>66</v>
      </c>
      <c r="I102" s="9">
        <v>11</v>
      </c>
      <c r="J102" s="9" t="s">
        <v>227</v>
      </c>
      <c r="K102" s="9" t="s">
        <v>227</v>
      </c>
      <c r="L102" s="9" t="s">
        <v>227</v>
      </c>
      <c r="M102" s="9" t="s">
        <v>228</v>
      </c>
      <c r="N102" s="9" t="s">
        <v>872</v>
      </c>
      <c r="O102" s="9" t="s">
        <v>97</v>
      </c>
      <c r="P102" s="9" t="s">
        <v>67</v>
      </c>
      <c r="Q102" s="9" t="s">
        <v>98</v>
      </c>
      <c r="R102" s="9" t="s">
        <v>227</v>
      </c>
      <c r="S102" s="9" t="s">
        <v>228</v>
      </c>
      <c r="T102" s="9" t="s">
        <v>817</v>
      </c>
      <c r="U102" s="9" t="s">
        <v>67</v>
      </c>
      <c r="V102" s="9" t="s">
        <v>221</v>
      </c>
      <c r="W102" s="9" t="s">
        <v>222</v>
      </c>
      <c r="X102" s="11">
        <v>50</v>
      </c>
      <c r="Y102" s="9" t="s">
        <v>211</v>
      </c>
      <c r="Z102" s="9" t="s">
        <v>68</v>
      </c>
      <c r="AA102" s="9" t="s">
        <v>212</v>
      </c>
      <c r="AB102" s="9" t="s">
        <v>67</v>
      </c>
      <c r="AC102" s="9" t="s">
        <v>139</v>
      </c>
      <c r="AD102" s="11">
        <v>16</v>
      </c>
      <c r="AE102" s="9" t="s">
        <v>70</v>
      </c>
      <c r="AF102" s="9" t="s">
        <v>71</v>
      </c>
      <c r="AG102" s="13">
        <v>1</v>
      </c>
      <c r="AH102" s="9" t="s">
        <v>92</v>
      </c>
      <c r="AI102" s="13">
        <v>800400</v>
      </c>
      <c r="AJ102" s="13">
        <v>12806400</v>
      </c>
      <c r="AK102" s="11">
        <v>0</v>
      </c>
      <c r="AL102" s="11">
        <v>0</v>
      </c>
      <c r="AM102" s="11">
        <v>0</v>
      </c>
      <c r="AN102" s="9" t="s">
        <v>67</v>
      </c>
      <c r="AO102" s="11">
        <v>12806400</v>
      </c>
      <c r="AP102" s="13">
        <v>1024512</v>
      </c>
      <c r="AQ102" s="13">
        <v>13830912</v>
      </c>
      <c r="AR102" s="12">
        <v>281.60000000000002</v>
      </c>
      <c r="AS102" s="9" t="s">
        <v>72</v>
      </c>
      <c r="AT102" s="11">
        <v>320</v>
      </c>
      <c r="AU102" s="9" t="s">
        <v>73</v>
      </c>
      <c r="AV102" s="9" t="s">
        <v>67</v>
      </c>
      <c r="AW102" s="9" t="s">
        <v>952</v>
      </c>
      <c r="AX102" s="10">
        <v>45986</v>
      </c>
      <c r="AY102" s="9" t="s">
        <v>1057</v>
      </c>
      <c r="AZ102" s="9" t="s">
        <v>67</v>
      </c>
      <c r="BA102" s="9" t="s">
        <v>67</v>
      </c>
      <c r="BB102" s="12">
        <v>320</v>
      </c>
      <c r="BC102" s="9" t="s">
        <v>74</v>
      </c>
      <c r="BD102" s="9" t="s">
        <v>104</v>
      </c>
      <c r="BE102" s="9" t="s">
        <v>75</v>
      </c>
      <c r="BF102" s="11">
        <v>0</v>
      </c>
      <c r="BG102">
        <f t="shared" si="4"/>
        <v>12</v>
      </c>
      <c r="BH102" t="str">
        <f>VLOOKUP(BG102,[1]month!$A:$B,2,0)</f>
        <v>Desember</v>
      </c>
      <c r="BI102">
        <f t="shared" si="5"/>
        <v>2025</v>
      </c>
      <c r="BJ102" t="str">
        <f>VLOOKUP(I102,[1]Dist!$A:$B,2,0)</f>
        <v>Industry</v>
      </c>
      <c r="BK102" t="str">
        <f>IF(I102=11,VLOOKUP(Y102,[2]Sheet1!$C:$N,10,0),IF(I102=13,VLOOKUP(Y102,[3]Sheet1!$C:$N,10,0),IF(I102=15,VLOOKUP(Y102,[4]Sheet1!$C:$N,10,0),"Unknown")))</f>
        <v>THINNER NC</v>
      </c>
      <c r="BL102" t="str">
        <f>IF(I102=11,VLOOKUP(Y102,[2]Sheet1!$C:$N,12,0),IF(I102=13,VLOOKUP(Y102,[3]Sheet1!$C:$N,12,0),IF(I102=15,VLOOKUP(Y102,[4]Sheet1!$C:$N,12,0),"Unknown")))</f>
        <v>THINNER COMPLEMENTARY</v>
      </c>
      <c r="BM102" t="str">
        <f>VLOOKUP(W102,[1]branch!$A:$B,2,0)</f>
        <v>INDUSTRY</v>
      </c>
    </row>
    <row r="103" spans="1:65" x14ac:dyDescent="0.35">
      <c r="A103" s="10">
        <v>45993</v>
      </c>
      <c r="B103" s="9" t="s">
        <v>1056</v>
      </c>
      <c r="C103" s="9" t="s">
        <v>64</v>
      </c>
      <c r="D103" s="9" t="s">
        <v>92</v>
      </c>
      <c r="E103" s="11">
        <v>60</v>
      </c>
      <c r="F103" s="9" t="s">
        <v>93</v>
      </c>
      <c r="G103" s="9" t="s">
        <v>65</v>
      </c>
      <c r="H103" s="9" t="s">
        <v>66</v>
      </c>
      <c r="I103" s="9">
        <v>11</v>
      </c>
      <c r="J103" s="9" t="s">
        <v>227</v>
      </c>
      <c r="K103" s="9" t="s">
        <v>227</v>
      </c>
      <c r="L103" s="9" t="s">
        <v>227</v>
      </c>
      <c r="M103" s="9" t="s">
        <v>228</v>
      </c>
      <c r="N103" s="9" t="s">
        <v>872</v>
      </c>
      <c r="O103" s="9" t="s">
        <v>97</v>
      </c>
      <c r="P103" s="9" t="s">
        <v>67</v>
      </c>
      <c r="Q103" s="9" t="s">
        <v>98</v>
      </c>
      <c r="R103" s="9" t="s">
        <v>227</v>
      </c>
      <c r="S103" s="9" t="s">
        <v>228</v>
      </c>
      <c r="T103" s="9" t="s">
        <v>817</v>
      </c>
      <c r="U103" s="9" t="s">
        <v>67</v>
      </c>
      <c r="V103" s="9" t="s">
        <v>221</v>
      </c>
      <c r="W103" s="9" t="s">
        <v>222</v>
      </c>
      <c r="X103" s="11">
        <v>60</v>
      </c>
      <c r="Y103" s="9" t="s">
        <v>564</v>
      </c>
      <c r="Z103" s="9" t="s">
        <v>68</v>
      </c>
      <c r="AA103" s="9" t="s">
        <v>565</v>
      </c>
      <c r="AB103" s="9" t="s">
        <v>67</v>
      </c>
      <c r="AC103" s="9" t="s">
        <v>237</v>
      </c>
      <c r="AD103" s="11">
        <v>4</v>
      </c>
      <c r="AE103" s="9" t="s">
        <v>70</v>
      </c>
      <c r="AF103" s="9" t="s">
        <v>71</v>
      </c>
      <c r="AG103" s="13">
        <v>1</v>
      </c>
      <c r="AH103" s="9" t="s">
        <v>92</v>
      </c>
      <c r="AI103" s="13">
        <v>1211720</v>
      </c>
      <c r="AJ103" s="13">
        <v>4846880</v>
      </c>
      <c r="AK103" s="11">
        <v>0</v>
      </c>
      <c r="AL103" s="11">
        <v>0</v>
      </c>
      <c r="AM103" s="11">
        <v>0</v>
      </c>
      <c r="AN103" s="9" t="s">
        <v>67</v>
      </c>
      <c r="AO103" s="11">
        <v>4846880</v>
      </c>
      <c r="AP103" s="13">
        <v>387750</v>
      </c>
      <c r="AQ103" s="13">
        <v>5234630</v>
      </c>
      <c r="AR103" s="11">
        <v>16</v>
      </c>
      <c r="AS103" s="9" t="s">
        <v>72</v>
      </c>
      <c r="AT103" s="12">
        <v>9.7560000000000002</v>
      </c>
      <c r="AU103" s="9" t="s">
        <v>73</v>
      </c>
      <c r="AV103" s="9" t="s">
        <v>67</v>
      </c>
      <c r="AW103" s="9" t="s">
        <v>952</v>
      </c>
      <c r="AX103" s="10">
        <v>45986</v>
      </c>
      <c r="AY103" s="9" t="s">
        <v>1057</v>
      </c>
      <c r="AZ103" s="9" t="s">
        <v>67</v>
      </c>
      <c r="BA103" s="9" t="s">
        <v>67</v>
      </c>
      <c r="BB103" s="12">
        <v>16</v>
      </c>
      <c r="BC103" s="9" t="s">
        <v>74</v>
      </c>
      <c r="BD103" s="9" t="s">
        <v>104</v>
      </c>
      <c r="BE103" s="9" t="s">
        <v>75</v>
      </c>
      <c r="BF103" s="11">
        <v>0</v>
      </c>
      <c r="BG103">
        <f t="shared" si="4"/>
        <v>12</v>
      </c>
      <c r="BH103" t="str">
        <f>VLOOKUP(BG103,[1]month!$A:$B,2,0)</f>
        <v>Desember</v>
      </c>
      <c r="BI103">
        <f t="shared" si="5"/>
        <v>2025</v>
      </c>
      <c r="BJ103" t="str">
        <f>VLOOKUP(I103,[1]Dist!$A:$B,2,0)</f>
        <v>Industry</v>
      </c>
      <c r="BK103" t="str">
        <f>IF(I103=11,VLOOKUP(Y103,[2]Sheet1!$C:$N,10,0),IF(I103=13,VLOOKUP(Y103,[3]Sheet1!$C:$N,10,0),IF(I103=15,VLOOKUP(Y103,[4]Sheet1!$C:$N,10,0),"Unknown")))</f>
        <v>COMPLEMENTARY</v>
      </c>
      <c r="BL103" t="str">
        <f>IF(I103=11,VLOOKUP(Y103,[2]Sheet1!$C:$N,12,0),IF(I103=13,VLOOKUP(Y103,[3]Sheet1!$C:$N,12,0),IF(I103=15,VLOOKUP(Y103,[4]Sheet1!$C:$N,12,0),"Unknown")))</f>
        <v>PASTA</v>
      </c>
      <c r="BM103" t="str">
        <f>VLOOKUP(W103,[1]branch!$A:$B,2,0)</f>
        <v>INDUSTRY</v>
      </c>
    </row>
    <row r="104" spans="1:65" x14ac:dyDescent="0.35">
      <c r="A104" s="10">
        <v>45993</v>
      </c>
      <c r="B104" s="9" t="s">
        <v>1056</v>
      </c>
      <c r="C104" s="9" t="s">
        <v>64</v>
      </c>
      <c r="D104" s="9" t="s">
        <v>92</v>
      </c>
      <c r="E104" s="11">
        <v>60</v>
      </c>
      <c r="F104" s="9" t="s">
        <v>93</v>
      </c>
      <c r="G104" s="9" t="s">
        <v>65</v>
      </c>
      <c r="H104" s="9" t="s">
        <v>66</v>
      </c>
      <c r="I104" s="9">
        <v>11</v>
      </c>
      <c r="J104" s="9" t="s">
        <v>227</v>
      </c>
      <c r="K104" s="9" t="s">
        <v>227</v>
      </c>
      <c r="L104" s="9" t="s">
        <v>227</v>
      </c>
      <c r="M104" s="9" t="s">
        <v>228</v>
      </c>
      <c r="N104" s="9" t="s">
        <v>872</v>
      </c>
      <c r="O104" s="9" t="s">
        <v>97</v>
      </c>
      <c r="P104" s="9" t="s">
        <v>67</v>
      </c>
      <c r="Q104" s="9" t="s">
        <v>98</v>
      </c>
      <c r="R104" s="9" t="s">
        <v>227</v>
      </c>
      <c r="S104" s="9" t="s">
        <v>228</v>
      </c>
      <c r="T104" s="9" t="s">
        <v>817</v>
      </c>
      <c r="U104" s="9" t="s">
        <v>67</v>
      </c>
      <c r="V104" s="9" t="s">
        <v>221</v>
      </c>
      <c r="W104" s="9" t="s">
        <v>222</v>
      </c>
      <c r="X104" s="11">
        <v>70</v>
      </c>
      <c r="Y104" s="9" t="s">
        <v>126</v>
      </c>
      <c r="Z104" s="9" t="s">
        <v>68</v>
      </c>
      <c r="AA104" s="9" t="s">
        <v>127</v>
      </c>
      <c r="AB104" s="9" t="s">
        <v>67</v>
      </c>
      <c r="AC104" s="9" t="s">
        <v>237</v>
      </c>
      <c r="AD104" s="11">
        <v>4</v>
      </c>
      <c r="AE104" s="9" t="s">
        <v>70</v>
      </c>
      <c r="AF104" s="9" t="s">
        <v>71</v>
      </c>
      <c r="AG104" s="13">
        <v>1</v>
      </c>
      <c r="AH104" s="9" t="s">
        <v>92</v>
      </c>
      <c r="AI104" s="13">
        <v>2630640</v>
      </c>
      <c r="AJ104" s="13">
        <v>10522560</v>
      </c>
      <c r="AK104" s="11">
        <v>0</v>
      </c>
      <c r="AL104" s="11">
        <v>0</v>
      </c>
      <c r="AM104" s="11">
        <v>0</v>
      </c>
      <c r="AN104" s="9" t="s">
        <v>67</v>
      </c>
      <c r="AO104" s="11">
        <v>10522560</v>
      </c>
      <c r="AP104" s="13">
        <v>841805</v>
      </c>
      <c r="AQ104" s="13">
        <v>11364365</v>
      </c>
      <c r="AR104" s="11">
        <v>16</v>
      </c>
      <c r="AS104" s="9" t="s">
        <v>72</v>
      </c>
      <c r="AT104" s="12">
        <v>15.24</v>
      </c>
      <c r="AU104" s="9" t="s">
        <v>73</v>
      </c>
      <c r="AV104" s="9" t="s">
        <v>67</v>
      </c>
      <c r="AW104" s="9" t="s">
        <v>952</v>
      </c>
      <c r="AX104" s="10">
        <v>45986</v>
      </c>
      <c r="AY104" s="9" t="s">
        <v>1057</v>
      </c>
      <c r="AZ104" s="9" t="s">
        <v>67</v>
      </c>
      <c r="BA104" s="9" t="s">
        <v>67</v>
      </c>
      <c r="BB104" s="12">
        <v>16</v>
      </c>
      <c r="BC104" s="9" t="s">
        <v>74</v>
      </c>
      <c r="BD104" s="9" t="s">
        <v>104</v>
      </c>
      <c r="BE104" s="9" t="s">
        <v>75</v>
      </c>
      <c r="BF104" s="11">
        <v>0</v>
      </c>
      <c r="BG104">
        <f t="shared" si="4"/>
        <v>12</v>
      </c>
      <c r="BH104" t="str">
        <f>VLOOKUP(BG104,[1]month!$A:$B,2,0)</f>
        <v>Desember</v>
      </c>
      <c r="BI104">
        <f t="shared" si="5"/>
        <v>2025</v>
      </c>
      <c r="BJ104" t="str">
        <f>VLOOKUP(I104,[1]Dist!$A:$B,2,0)</f>
        <v>Industry</v>
      </c>
      <c r="BK104" t="str">
        <f>IF(I104=11,VLOOKUP(Y104,[2]Sheet1!$C:$N,10,0),IF(I104=13,VLOOKUP(Y104,[3]Sheet1!$C:$N,10,0),IF(I104=15,VLOOKUP(Y104,[4]Sheet1!$C:$N,10,0),"Unknown")))</f>
        <v>COMPLEMENTARY</v>
      </c>
      <c r="BL104" t="str">
        <f>IF(I104=11,VLOOKUP(Y104,[2]Sheet1!$C:$N,12,0),IF(I104=13,VLOOKUP(Y104,[3]Sheet1!$C:$N,12,0),IF(I104=15,VLOOKUP(Y104,[4]Sheet1!$C:$N,12,0),"Unknown")))</f>
        <v>PASTA</v>
      </c>
      <c r="BM104" t="str">
        <f>VLOOKUP(W104,[1]branch!$A:$B,2,0)</f>
        <v>INDUSTRY</v>
      </c>
    </row>
    <row r="105" spans="1:65" x14ac:dyDescent="0.35">
      <c r="A105" s="10">
        <v>45993</v>
      </c>
      <c r="B105" s="9" t="s">
        <v>1056</v>
      </c>
      <c r="C105" s="9" t="s">
        <v>64</v>
      </c>
      <c r="D105" s="9" t="s">
        <v>92</v>
      </c>
      <c r="E105" s="11">
        <v>60</v>
      </c>
      <c r="F105" s="9" t="s">
        <v>93</v>
      </c>
      <c r="G105" s="9" t="s">
        <v>65</v>
      </c>
      <c r="H105" s="9" t="s">
        <v>66</v>
      </c>
      <c r="I105" s="9">
        <v>11</v>
      </c>
      <c r="J105" s="9" t="s">
        <v>227</v>
      </c>
      <c r="K105" s="9" t="s">
        <v>227</v>
      </c>
      <c r="L105" s="9" t="s">
        <v>227</v>
      </c>
      <c r="M105" s="9" t="s">
        <v>228</v>
      </c>
      <c r="N105" s="9" t="s">
        <v>872</v>
      </c>
      <c r="O105" s="9" t="s">
        <v>97</v>
      </c>
      <c r="P105" s="9" t="s">
        <v>67</v>
      </c>
      <c r="Q105" s="9" t="s">
        <v>98</v>
      </c>
      <c r="R105" s="9" t="s">
        <v>227</v>
      </c>
      <c r="S105" s="9" t="s">
        <v>228</v>
      </c>
      <c r="T105" s="9" t="s">
        <v>817</v>
      </c>
      <c r="U105" s="9" t="s">
        <v>67</v>
      </c>
      <c r="V105" s="9" t="s">
        <v>221</v>
      </c>
      <c r="W105" s="9" t="s">
        <v>222</v>
      </c>
      <c r="X105" s="11">
        <v>80</v>
      </c>
      <c r="Y105" s="9" t="s">
        <v>235</v>
      </c>
      <c r="Z105" s="9" t="s">
        <v>68</v>
      </c>
      <c r="AA105" s="9" t="s">
        <v>236</v>
      </c>
      <c r="AB105" s="9" t="s">
        <v>67</v>
      </c>
      <c r="AC105" s="9" t="s">
        <v>237</v>
      </c>
      <c r="AD105" s="11">
        <v>4</v>
      </c>
      <c r="AE105" s="9" t="s">
        <v>70</v>
      </c>
      <c r="AF105" s="9" t="s">
        <v>71</v>
      </c>
      <c r="AG105" s="13">
        <v>1</v>
      </c>
      <c r="AH105" s="9" t="s">
        <v>92</v>
      </c>
      <c r="AI105" s="13">
        <v>1975960</v>
      </c>
      <c r="AJ105" s="13">
        <v>7903840</v>
      </c>
      <c r="AK105" s="11">
        <v>0</v>
      </c>
      <c r="AL105" s="11">
        <v>0</v>
      </c>
      <c r="AM105" s="11">
        <v>0</v>
      </c>
      <c r="AN105" s="9" t="s">
        <v>67</v>
      </c>
      <c r="AO105" s="11">
        <v>7903840</v>
      </c>
      <c r="AP105" s="13">
        <v>632307</v>
      </c>
      <c r="AQ105" s="13">
        <v>8536147</v>
      </c>
      <c r="AR105" s="11">
        <v>16</v>
      </c>
      <c r="AS105" s="9" t="s">
        <v>72</v>
      </c>
      <c r="AT105" s="12">
        <v>15.24</v>
      </c>
      <c r="AU105" s="9" t="s">
        <v>73</v>
      </c>
      <c r="AV105" s="9" t="s">
        <v>67</v>
      </c>
      <c r="AW105" s="9" t="s">
        <v>952</v>
      </c>
      <c r="AX105" s="10">
        <v>45986</v>
      </c>
      <c r="AY105" s="9" t="s">
        <v>1057</v>
      </c>
      <c r="AZ105" s="9" t="s">
        <v>67</v>
      </c>
      <c r="BA105" s="9" t="s">
        <v>67</v>
      </c>
      <c r="BB105" s="12">
        <v>16</v>
      </c>
      <c r="BC105" s="9" t="s">
        <v>74</v>
      </c>
      <c r="BD105" s="9" t="s">
        <v>104</v>
      </c>
      <c r="BE105" s="9" t="s">
        <v>75</v>
      </c>
      <c r="BF105" s="11">
        <v>0</v>
      </c>
      <c r="BG105">
        <f t="shared" si="4"/>
        <v>12</v>
      </c>
      <c r="BH105" t="str">
        <f>VLOOKUP(BG105,[1]month!$A:$B,2,0)</f>
        <v>Desember</v>
      </c>
      <c r="BI105">
        <f t="shared" si="5"/>
        <v>2025</v>
      </c>
      <c r="BJ105" t="str">
        <f>VLOOKUP(I105,[1]Dist!$A:$B,2,0)</f>
        <v>Industry</v>
      </c>
      <c r="BK105" t="str">
        <f>IF(I105=11,VLOOKUP(Y105,[2]Sheet1!$C:$N,10,0),IF(I105=13,VLOOKUP(Y105,[3]Sheet1!$C:$N,10,0),IF(I105=15,VLOOKUP(Y105,[4]Sheet1!$C:$N,10,0),"Unknown")))</f>
        <v>COMPLEMENTARY</v>
      </c>
      <c r="BL105" t="str">
        <f>IF(I105=11,VLOOKUP(Y105,[2]Sheet1!$C:$N,12,0),IF(I105=13,VLOOKUP(Y105,[3]Sheet1!$C:$N,12,0),IF(I105=15,VLOOKUP(Y105,[4]Sheet1!$C:$N,12,0),"Unknown")))</f>
        <v>PASTA</v>
      </c>
      <c r="BM105" t="str">
        <f>VLOOKUP(W105,[1]branch!$A:$B,2,0)</f>
        <v>INDUSTRY</v>
      </c>
    </row>
    <row r="106" spans="1:65" x14ac:dyDescent="0.35">
      <c r="A106" s="10">
        <v>45993</v>
      </c>
      <c r="B106" s="9" t="s">
        <v>1056</v>
      </c>
      <c r="C106" s="9" t="s">
        <v>64</v>
      </c>
      <c r="D106" s="9" t="s">
        <v>92</v>
      </c>
      <c r="E106" s="11">
        <v>60</v>
      </c>
      <c r="F106" s="9" t="s">
        <v>93</v>
      </c>
      <c r="G106" s="9" t="s">
        <v>65</v>
      </c>
      <c r="H106" s="9" t="s">
        <v>66</v>
      </c>
      <c r="I106" s="9">
        <v>11</v>
      </c>
      <c r="J106" s="9" t="s">
        <v>227</v>
      </c>
      <c r="K106" s="9" t="s">
        <v>227</v>
      </c>
      <c r="L106" s="9" t="s">
        <v>227</v>
      </c>
      <c r="M106" s="9" t="s">
        <v>228</v>
      </c>
      <c r="N106" s="9" t="s">
        <v>872</v>
      </c>
      <c r="O106" s="9" t="s">
        <v>97</v>
      </c>
      <c r="P106" s="9" t="s">
        <v>67</v>
      </c>
      <c r="Q106" s="9" t="s">
        <v>98</v>
      </c>
      <c r="R106" s="9" t="s">
        <v>227</v>
      </c>
      <c r="S106" s="9" t="s">
        <v>228</v>
      </c>
      <c r="T106" s="9" t="s">
        <v>817</v>
      </c>
      <c r="U106" s="9" t="s">
        <v>67</v>
      </c>
      <c r="V106" s="9" t="s">
        <v>221</v>
      </c>
      <c r="W106" s="9" t="s">
        <v>222</v>
      </c>
      <c r="X106" s="11">
        <v>90</v>
      </c>
      <c r="Y106" s="9" t="s">
        <v>238</v>
      </c>
      <c r="Z106" s="9" t="s">
        <v>68</v>
      </c>
      <c r="AA106" s="9" t="s">
        <v>239</v>
      </c>
      <c r="AB106" s="9" t="s">
        <v>67</v>
      </c>
      <c r="AC106" s="9" t="s">
        <v>237</v>
      </c>
      <c r="AD106" s="11">
        <v>16</v>
      </c>
      <c r="AE106" s="9" t="s">
        <v>70</v>
      </c>
      <c r="AF106" s="9" t="s">
        <v>71</v>
      </c>
      <c r="AG106" s="13">
        <v>1</v>
      </c>
      <c r="AH106" s="9" t="s">
        <v>92</v>
      </c>
      <c r="AI106" s="13">
        <v>798080</v>
      </c>
      <c r="AJ106" s="13">
        <v>12769280</v>
      </c>
      <c r="AK106" s="11">
        <v>0</v>
      </c>
      <c r="AL106" s="11">
        <v>0</v>
      </c>
      <c r="AM106" s="11">
        <v>0</v>
      </c>
      <c r="AN106" s="9" t="s">
        <v>67</v>
      </c>
      <c r="AO106" s="11">
        <v>12769280</v>
      </c>
      <c r="AP106" s="13">
        <v>1021542</v>
      </c>
      <c r="AQ106" s="13">
        <v>13790822</v>
      </c>
      <c r="AR106" s="11">
        <v>64</v>
      </c>
      <c r="AS106" s="9" t="s">
        <v>72</v>
      </c>
      <c r="AT106" s="12">
        <v>31.52</v>
      </c>
      <c r="AU106" s="9" t="s">
        <v>73</v>
      </c>
      <c r="AV106" s="9" t="s">
        <v>67</v>
      </c>
      <c r="AW106" s="9" t="s">
        <v>952</v>
      </c>
      <c r="AX106" s="10">
        <v>45986</v>
      </c>
      <c r="AY106" s="9" t="s">
        <v>1057</v>
      </c>
      <c r="AZ106" s="9" t="s">
        <v>67</v>
      </c>
      <c r="BA106" s="9" t="s">
        <v>67</v>
      </c>
      <c r="BB106" s="12">
        <v>64</v>
      </c>
      <c r="BC106" s="9" t="s">
        <v>74</v>
      </c>
      <c r="BD106" s="9" t="s">
        <v>104</v>
      </c>
      <c r="BE106" s="9" t="s">
        <v>75</v>
      </c>
      <c r="BF106" s="11">
        <v>0</v>
      </c>
      <c r="BG106">
        <f t="shared" si="4"/>
        <v>12</v>
      </c>
      <c r="BH106" t="str">
        <f>VLOOKUP(BG106,[1]month!$A:$B,2,0)</f>
        <v>Desember</v>
      </c>
      <c r="BI106">
        <f t="shared" si="5"/>
        <v>2025</v>
      </c>
      <c r="BJ106" t="str">
        <f>VLOOKUP(I106,[1]Dist!$A:$B,2,0)</f>
        <v>Industry</v>
      </c>
      <c r="BK106" t="str">
        <f>IF(I106=11,VLOOKUP(Y106,[2]Sheet1!$C:$N,10,0),IF(I106=13,VLOOKUP(Y106,[3]Sheet1!$C:$N,10,0),IF(I106=15,VLOOKUP(Y106,[4]Sheet1!$C:$N,10,0),"Unknown")))</f>
        <v>COMPLEMENTARY</v>
      </c>
      <c r="BL106" t="str">
        <f>IF(I106=11,VLOOKUP(Y106,[2]Sheet1!$C:$N,12,0),IF(I106=13,VLOOKUP(Y106,[3]Sheet1!$C:$N,12,0),IF(I106=15,VLOOKUP(Y106,[4]Sheet1!$C:$N,12,0),"Unknown")))</f>
        <v>PASTA</v>
      </c>
      <c r="BM106" t="str">
        <f>VLOOKUP(W106,[1]branch!$A:$B,2,0)</f>
        <v>INDUSTRY</v>
      </c>
    </row>
    <row r="107" spans="1:65" x14ac:dyDescent="0.35">
      <c r="A107" s="10">
        <v>45993</v>
      </c>
      <c r="B107" s="9" t="s">
        <v>1056</v>
      </c>
      <c r="C107" s="9" t="s">
        <v>64</v>
      </c>
      <c r="D107" s="9" t="s">
        <v>92</v>
      </c>
      <c r="E107" s="11">
        <v>60</v>
      </c>
      <c r="F107" s="9" t="s">
        <v>93</v>
      </c>
      <c r="G107" s="9" t="s">
        <v>65</v>
      </c>
      <c r="H107" s="9" t="s">
        <v>66</v>
      </c>
      <c r="I107" s="9">
        <v>11</v>
      </c>
      <c r="J107" s="9" t="s">
        <v>227</v>
      </c>
      <c r="K107" s="9" t="s">
        <v>227</v>
      </c>
      <c r="L107" s="9" t="s">
        <v>227</v>
      </c>
      <c r="M107" s="9" t="s">
        <v>228</v>
      </c>
      <c r="N107" s="9" t="s">
        <v>872</v>
      </c>
      <c r="O107" s="9" t="s">
        <v>97</v>
      </c>
      <c r="P107" s="9" t="s">
        <v>67</v>
      </c>
      <c r="Q107" s="9" t="s">
        <v>98</v>
      </c>
      <c r="R107" s="9" t="s">
        <v>227</v>
      </c>
      <c r="S107" s="9" t="s">
        <v>228</v>
      </c>
      <c r="T107" s="9" t="s">
        <v>817</v>
      </c>
      <c r="U107" s="9" t="s">
        <v>67</v>
      </c>
      <c r="V107" s="9" t="s">
        <v>221</v>
      </c>
      <c r="W107" s="9" t="s">
        <v>222</v>
      </c>
      <c r="X107" s="11">
        <v>100</v>
      </c>
      <c r="Y107" s="9" t="s">
        <v>240</v>
      </c>
      <c r="Z107" s="9" t="s">
        <v>68</v>
      </c>
      <c r="AA107" s="9" t="s">
        <v>241</v>
      </c>
      <c r="AB107" s="9" t="s">
        <v>67</v>
      </c>
      <c r="AC107" s="9" t="s">
        <v>237</v>
      </c>
      <c r="AD107" s="11">
        <v>16</v>
      </c>
      <c r="AE107" s="9" t="s">
        <v>70</v>
      </c>
      <c r="AF107" s="9" t="s">
        <v>71</v>
      </c>
      <c r="AG107" s="13">
        <v>1</v>
      </c>
      <c r="AH107" s="9" t="s">
        <v>92</v>
      </c>
      <c r="AI107" s="13">
        <v>1558600</v>
      </c>
      <c r="AJ107" s="13">
        <v>24937600</v>
      </c>
      <c r="AK107" s="11">
        <v>0</v>
      </c>
      <c r="AL107" s="11">
        <v>0</v>
      </c>
      <c r="AM107" s="11">
        <v>0</v>
      </c>
      <c r="AN107" s="9" t="s">
        <v>67</v>
      </c>
      <c r="AO107" s="11">
        <v>24937600</v>
      </c>
      <c r="AP107" s="13">
        <v>1995008</v>
      </c>
      <c r="AQ107" s="13">
        <v>26932608</v>
      </c>
      <c r="AR107" s="11">
        <v>64</v>
      </c>
      <c r="AS107" s="9" t="s">
        <v>72</v>
      </c>
      <c r="AT107" s="12">
        <v>60.96</v>
      </c>
      <c r="AU107" s="9" t="s">
        <v>73</v>
      </c>
      <c r="AV107" s="9" t="s">
        <v>67</v>
      </c>
      <c r="AW107" s="9" t="s">
        <v>952</v>
      </c>
      <c r="AX107" s="10">
        <v>45986</v>
      </c>
      <c r="AY107" s="9" t="s">
        <v>1057</v>
      </c>
      <c r="AZ107" s="9" t="s">
        <v>67</v>
      </c>
      <c r="BA107" s="9" t="s">
        <v>67</v>
      </c>
      <c r="BB107" s="12">
        <v>64</v>
      </c>
      <c r="BC107" s="9" t="s">
        <v>74</v>
      </c>
      <c r="BD107" s="9" t="s">
        <v>104</v>
      </c>
      <c r="BE107" s="9" t="s">
        <v>75</v>
      </c>
      <c r="BF107" s="11">
        <v>0</v>
      </c>
      <c r="BG107">
        <f t="shared" si="4"/>
        <v>12</v>
      </c>
      <c r="BH107" t="str">
        <f>VLOOKUP(BG107,[1]month!$A:$B,2,0)</f>
        <v>Desember</v>
      </c>
      <c r="BI107">
        <f t="shared" si="5"/>
        <v>2025</v>
      </c>
      <c r="BJ107" t="str">
        <f>VLOOKUP(I107,[1]Dist!$A:$B,2,0)</f>
        <v>Industry</v>
      </c>
      <c r="BK107" t="str">
        <f>IF(I107=11,VLOOKUP(Y107,[2]Sheet1!$C:$N,10,0),IF(I107=13,VLOOKUP(Y107,[3]Sheet1!$C:$N,10,0),IF(I107=15,VLOOKUP(Y107,[4]Sheet1!$C:$N,10,0),"Unknown")))</f>
        <v>COMPLEMENTARY</v>
      </c>
      <c r="BL107" t="str">
        <f>IF(I107=11,VLOOKUP(Y107,[2]Sheet1!$C:$N,12,0),IF(I107=13,VLOOKUP(Y107,[3]Sheet1!$C:$N,12,0),IF(I107=15,VLOOKUP(Y107,[4]Sheet1!$C:$N,12,0),"Unknown")))</f>
        <v>PASTA</v>
      </c>
      <c r="BM107" t="str">
        <f>VLOOKUP(W107,[1]branch!$A:$B,2,0)</f>
        <v>INDUSTRY</v>
      </c>
    </row>
    <row r="108" spans="1:65" x14ac:dyDescent="0.35">
      <c r="A108" s="10">
        <v>45993</v>
      </c>
      <c r="B108" s="9" t="s">
        <v>1056</v>
      </c>
      <c r="C108" s="9" t="s">
        <v>64</v>
      </c>
      <c r="D108" s="9" t="s">
        <v>92</v>
      </c>
      <c r="E108" s="11">
        <v>60</v>
      </c>
      <c r="F108" s="9" t="s">
        <v>93</v>
      </c>
      <c r="G108" s="9" t="s">
        <v>65</v>
      </c>
      <c r="H108" s="9" t="s">
        <v>66</v>
      </c>
      <c r="I108" s="9">
        <v>11</v>
      </c>
      <c r="J108" s="9" t="s">
        <v>227</v>
      </c>
      <c r="K108" s="9" t="s">
        <v>227</v>
      </c>
      <c r="L108" s="9" t="s">
        <v>227</v>
      </c>
      <c r="M108" s="9" t="s">
        <v>228</v>
      </c>
      <c r="N108" s="9" t="s">
        <v>872</v>
      </c>
      <c r="O108" s="9" t="s">
        <v>97</v>
      </c>
      <c r="P108" s="9" t="s">
        <v>67</v>
      </c>
      <c r="Q108" s="9" t="s">
        <v>98</v>
      </c>
      <c r="R108" s="9" t="s">
        <v>227</v>
      </c>
      <c r="S108" s="9" t="s">
        <v>228</v>
      </c>
      <c r="T108" s="9" t="s">
        <v>817</v>
      </c>
      <c r="U108" s="9" t="s">
        <v>67</v>
      </c>
      <c r="V108" s="9" t="s">
        <v>221</v>
      </c>
      <c r="W108" s="9" t="s">
        <v>222</v>
      </c>
      <c r="X108" s="11">
        <v>110</v>
      </c>
      <c r="Y108" s="9" t="s">
        <v>680</v>
      </c>
      <c r="Z108" s="9" t="s">
        <v>68</v>
      </c>
      <c r="AA108" s="9" t="s">
        <v>681</v>
      </c>
      <c r="AB108" s="9" t="s">
        <v>67</v>
      </c>
      <c r="AC108" s="9" t="s">
        <v>237</v>
      </c>
      <c r="AD108" s="11">
        <v>3</v>
      </c>
      <c r="AE108" s="9" t="s">
        <v>70</v>
      </c>
      <c r="AF108" s="9" t="s">
        <v>71</v>
      </c>
      <c r="AG108" s="13">
        <v>1</v>
      </c>
      <c r="AH108" s="9" t="s">
        <v>92</v>
      </c>
      <c r="AI108" s="13">
        <v>2783200</v>
      </c>
      <c r="AJ108" s="13">
        <v>8349600</v>
      </c>
      <c r="AK108" s="11">
        <v>0</v>
      </c>
      <c r="AL108" s="11">
        <v>0</v>
      </c>
      <c r="AM108" s="11">
        <v>0</v>
      </c>
      <c r="AN108" s="9" t="s">
        <v>67</v>
      </c>
      <c r="AO108" s="11">
        <v>8349600</v>
      </c>
      <c r="AP108" s="13">
        <v>667968</v>
      </c>
      <c r="AQ108" s="13">
        <v>9017568</v>
      </c>
      <c r="AR108" s="11">
        <v>12</v>
      </c>
      <c r="AS108" s="9" t="s">
        <v>72</v>
      </c>
      <c r="AT108" s="12">
        <v>10.907999999999999</v>
      </c>
      <c r="AU108" s="9" t="s">
        <v>73</v>
      </c>
      <c r="AV108" s="9" t="s">
        <v>67</v>
      </c>
      <c r="AW108" s="9" t="s">
        <v>952</v>
      </c>
      <c r="AX108" s="10">
        <v>45986</v>
      </c>
      <c r="AY108" s="9" t="s">
        <v>1057</v>
      </c>
      <c r="AZ108" s="9" t="s">
        <v>67</v>
      </c>
      <c r="BA108" s="9" t="s">
        <v>67</v>
      </c>
      <c r="BB108" s="12">
        <v>12</v>
      </c>
      <c r="BC108" s="9" t="s">
        <v>74</v>
      </c>
      <c r="BD108" s="9" t="s">
        <v>104</v>
      </c>
      <c r="BE108" s="9" t="s">
        <v>75</v>
      </c>
      <c r="BF108" s="11">
        <v>0</v>
      </c>
      <c r="BG108">
        <f t="shared" si="4"/>
        <v>12</v>
      </c>
      <c r="BH108" t="str">
        <f>VLOOKUP(BG108,[1]month!$A:$B,2,0)</f>
        <v>Desember</v>
      </c>
      <c r="BI108">
        <f t="shared" si="5"/>
        <v>2025</v>
      </c>
      <c r="BJ108" t="str">
        <f>VLOOKUP(I108,[1]Dist!$A:$B,2,0)</f>
        <v>Industry</v>
      </c>
      <c r="BK108" t="str">
        <f>IF(I108=11,VLOOKUP(Y108,[2]Sheet1!$C:$N,10,0),IF(I108=13,VLOOKUP(Y108,[3]Sheet1!$C:$N,10,0),IF(I108=15,VLOOKUP(Y108,[4]Sheet1!$C:$N,10,0),"Unknown")))</f>
        <v>COMPLEMENTARY</v>
      </c>
      <c r="BL108" t="str">
        <f>IF(I108=11,VLOOKUP(Y108,[2]Sheet1!$C:$N,12,0),IF(I108=13,VLOOKUP(Y108,[3]Sheet1!$C:$N,12,0),IF(I108=15,VLOOKUP(Y108,[4]Sheet1!$C:$N,12,0),"Unknown")))</f>
        <v>PASTA</v>
      </c>
      <c r="BM108" t="str">
        <f>VLOOKUP(W108,[1]branch!$A:$B,2,0)</f>
        <v>INDUSTRY</v>
      </c>
    </row>
    <row r="109" spans="1:65" x14ac:dyDescent="0.35">
      <c r="A109" s="10">
        <v>45993</v>
      </c>
      <c r="B109" s="9" t="s">
        <v>1056</v>
      </c>
      <c r="C109" s="9" t="s">
        <v>64</v>
      </c>
      <c r="D109" s="9" t="s">
        <v>92</v>
      </c>
      <c r="E109" s="11">
        <v>60</v>
      </c>
      <c r="F109" s="9" t="s">
        <v>93</v>
      </c>
      <c r="G109" s="9" t="s">
        <v>65</v>
      </c>
      <c r="H109" s="9" t="s">
        <v>66</v>
      </c>
      <c r="I109" s="9">
        <v>11</v>
      </c>
      <c r="J109" s="9" t="s">
        <v>227</v>
      </c>
      <c r="K109" s="9" t="s">
        <v>227</v>
      </c>
      <c r="L109" s="9" t="s">
        <v>227</v>
      </c>
      <c r="M109" s="9" t="s">
        <v>228</v>
      </c>
      <c r="N109" s="9" t="s">
        <v>872</v>
      </c>
      <c r="O109" s="9" t="s">
        <v>97</v>
      </c>
      <c r="P109" s="9" t="s">
        <v>67</v>
      </c>
      <c r="Q109" s="9" t="s">
        <v>98</v>
      </c>
      <c r="R109" s="9" t="s">
        <v>227</v>
      </c>
      <c r="S109" s="9" t="s">
        <v>228</v>
      </c>
      <c r="T109" s="9" t="s">
        <v>817</v>
      </c>
      <c r="U109" s="9" t="s">
        <v>67</v>
      </c>
      <c r="V109" s="9" t="s">
        <v>221</v>
      </c>
      <c r="W109" s="9" t="s">
        <v>222</v>
      </c>
      <c r="X109" s="11">
        <v>120</v>
      </c>
      <c r="Y109" s="9" t="s">
        <v>500</v>
      </c>
      <c r="Z109" s="9" t="s">
        <v>68</v>
      </c>
      <c r="AA109" s="9" t="s">
        <v>501</v>
      </c>
      <c r="AB109" s="9" t="s">
        <v>67</v>
      </c>
      <c r="AC109" s="9" t="s">
        <v>509</v>
      </c>
      <c r="AD109" s="11">
        <v>10</v>
      </c>
      <c r="AE109" s="9" t="s">
        <v>70</v>
      </c>
      <c r="AF109" s="9" t="s">
        <v>71</v>
      </c>
      <c r="AG109" s="13">
        <v>1</v>
      </c>
      <c r="AH109" s="9" t="s">
        <v>92</v>
      </c>
      <c r="AI109" s="13">
        <v>2618200</v>
      </c>
      <c r="AJ109" s="13">
        <v>26182000</v>
      </c>
      <c r="AK109" s="11">
        <v>0</v>
      </c>
      <c r="AL109" s="11">
        <v>0</v>
      </c>
      <c r="AM109" s="11">
        <v>0</v>
      </c>
      <c r="AN109" s="9" t="s">
        <v>67</v>
      </c>
      <c r="AO109" s="11">
        <v>26182000</v>
      </c>
      <c r="AP109" s="13">
        <v>2094560</v>
      </c>
      <c r="AQ109" s="13">
        <v>28276560</v>
      </c>
      <c r="AR109" s="11">
        <v>200</v>
      </c>
      <c r="AS109" s="9" t="s">
        <v>72</v>
      </c>
      <c r="AT109" s="12">
        <v>153.80000000000001</v>
      </c>
      <c r="AU109" s="9" t="s">
        <v>73</v>
      </c>
      <c r="AV109" s="9" t="s">
        <v>67</v>
      </c>
      <c r="AW109" s="9" t="s">
        <v>952</v>
      </c>
      <c r="AX109" s="10">
        <v>45986</v>
      </c>
      <c r="AY109" s="9" t="s">
        <v>1057</v>
      </c>
      <c r="AZ109" s="9" t="s">
        <v>67</v>
      </c>
      <c r="BA109" s="9" t="s">
        <v>67</v>
      </c>
      <c r="BB109" s="12">
        <v>200</v>
      </c>
      <c r="BC109" s="9" t="s">
        <v>74</v>
      </c>
      <c r="BD109" s="9" t="s">
        <v>104</v>
      </c>
      <c r="BE109" s="9" t="s">
        <v>75</v>
      </c>
      <c r="BF109" s="11">
        <v>0</v>
      </c>
      <c r="BG109">
        <f t="shared" si="4"/>
        <v>12</v>
      </c>
      <c r="BH109" t="str">
        <f>VLOOKUP(BG109,[1]month!$A:$B,2,0)</f>
        <v>Desember</v>
      </c>
      <c r="BI109">
        <f t="shared" si="5"/>
        <v>2025</v>
      </c>
      <c r="BJ109" t="str">
        <f>VLOOKUP(I109,[1]Dist!$A:$B,2,0)</f>
        <v>Industry</v>
      </c>
      <c r="BK109" t="str">
        <f>IF(I109=11,VLOOKUP(Y109,[2]Sheet1!$C:$N,10,0),IF(I109=13,VLOOKUP(Y109,[3]Sheet1!$C:$N,10,0),IF(I109=15,VLOOKUP(Y109,[4]Sheet1!$C:$N,10,0),"Unknown")))</f>
        <v>PU</v>
      </c>
      <c r="BL109" t="str">
        <f>IF(I109=11,VLOOKUP(Y109,[2]Sheet1!$C:$N,12,0),IF(I109=13,VLOOKUP(Y109,[3]Sheet1!$C:$N,12,0),IF(I109=15,VLOOKUP(Y109,[4]Sheet1!$C:$N,12,0),"Unknown")))</f>
        <v>PU PRIMER</v>
      </c>
      <c r="BM109" t="str">
        <f>VLOOKUP(W109,[1]branch!$A:$B,2,0)</f>
        <v>INDUSTRY</v>
      </c>
    </row>
    <row r="110" spans="1:65" x14ac:dyDescent="0.35">
      <c r="A110" s="10">
        <v>45993</v>
      </c>
      <c r="B110" s="9" t="s">
        <v>1056</v>
      </c>
      <c r="C110" s="9" t="s">
        <v>64</v>
      </c>
      <c r="D110" s="9" t="s">
        <v>92</v>
      </c>
      <c r="E110" s="11">
        <v>60</v>
      </c>
      <c r="F110" s="9" t="s">
        <v>93</v>
      </c>
      <c r="G110" s="9" t="s">
        <v>65</v>
      </c>
      <c r="H110" s="9" t="s">
        <v>66</v>
      </c>
      <c r="I110" s="9">
        <v>11</v>
      </c>
      <c r="J110" s="9" t="s">
        <v>227</v>
      </c>
      <c r="K110" s="9" t="s">
        <v>227</v>
      </c>
      <c r="L110" s="9" t="s">
        <v>227</v>
      </c>
      <c r="M110" s="9" t="s">
        <v>228</v>
      </c>
      <c r="N110" s="9" t="s">
        <v>872</v>
      </c>
      <c r="O110" s="9" t="s">
        <v>97</v>
      </c>
      <c r="P110" s="9" t="s">
        <v>67</v>
      </c>
      <c r="Q110" s="9" t="s">
        <v>98</v>
      </c>
      <c r="R110" s="9" t="s">
        <v>227</v>
      </c>
      <c r="S110" s="9" t="s">
        <v>228</v>
      </c>
      <c r="T110" s="9" t="s">
        <v>817</v>
      </c>
      <c r="U110" s="9" t="s">
        <v>67</v>
      </c>
      <c r="V110" s="9" t="s">
        <v>221</v>
      </c>
      <c r="W110" s="9" t="s">
        <v>222</v>
      </c>
      <c r="X110" s="11">
        <v>130</v>
      </c>
      <c r="Y110" s="9" t="s">
        <v>566</v>
      </c>
      <c r="Z110" s="9" t="s">
        <v>68</v>
      </c>
      <c r="AA110" s="9" t="s">
        <v>567</v>
      </c>
      <c r="AB110" s="9" t="s">
        <v>67</v>
      </c>
      <c r="AC110" s="9" t="s">
        <v>237</v>
      </c>
      <c r="AD110" s="11">
        <v>4</v>
      </c>
      <c r="AE110" s="9" t="s">
        <v>70</v>
      </c>
      <c r="AF110" s="9" t="s">
        <v>71</v>
      </c>
      <c r="AG110" s="13">
        <v>1</v>
      </c>
      <c r="AH110" s="9" t="s">
        <v>92</v>
      </c>
      <c r="AI110" s="13">
        <v>1124760</v>
      </c>
      <c r="AJ110" s="13">
        <v>4499040</v>
      </c>
      <c r="AK110" s="11">
        <v>0</v>
      </c>
      <c r="AL110" s="11">
        <v>0</v>
      </c>
      <c r="AM110" s="11">
        <v>0</v>
      </c>
      <c r="AN110" s="9" t="s">
        <v>67</v>
      </c>
      <c r="AO110" s="11">
        <v>4499040</v>
      </c>
      <c r="AP110" s="13">
        <v>359923</v>
      </c>
      <c r="AQ110" s="13">
        <v>4858963</v>
      </c>
      <c r="AR110" s="11">
        <v>16</v>
      </c>
      <c r="AS110" s="9" t="s">
        <v>72</v>
      </c>
      <c r="AT110" s="12">
        <v>13.12</v>
      </c>
      <c r="AU110" s="9" t="s">
        <v>73</v>
      </c>
      <c r="AV110" s="9" t="s">
        <v>67</v>
      </c>
      <c r="AW110" s="9" t="s">
        <v>952</v>
      </c>
      <c r="AX110" s="10">
        <v>45986</v>
      </c>
      <c r="AY110" s="9" t="s">
        <v>1057</v>
      </c>
      <c r="AZ110" s="9" t="s">
        <v>67</v>
      </c>
      <c r="BA110" s="9" t="s">
        <v>67</v>
      </c>
      <c r="BB110" s="12">
        <v>16</v>
      </c>
      <c r="BC110" s="9" t="s">
        <v>74</v>
      </c>
      <c r="BD110" s="9" t="s">
        <v>104</v>
      </c>
      <c r="BE110" s="9" t="s">
        <v>75</v>
      </c>
      <c r="BF110" s="11">
        <v>0</v>
      </c>
      <c r="BG110">
        <f t="shared" si="4"/>
        <v>12</v>
      </c>
      <c r="BH110" t="str">
        <f>VLOOKUP(BG110,[1]month!$A:$B,2,0)</f>
        <v>Desember</v>
      </c>
      <c r="BI110">
        <f t="shared" si="5"/>
        <v>2025</v>
      </c>
      <c r="BJ110" t="str">
        <f>VLOOKUP(I110,[1]Dist!$A:$B,2,0)</f>
        <v>Industry</v>
      </c>
      <c r="BK110" t="str">
        <f>IF(I110=11,VLOOKUP(Y110,[2]Sheet1!$C:$N,10,0),IF(I110=13,VLOOKUP(Y110,[3]Sheet1!$C:$N,10,0),IF(I110=15,VLOOKUP(Y110,[4]Sheet1!$C:$N,10,0),"Unknown")))</f>
        <v>COMPLEMENTARY</v>
      </c>
      <c r="BL110" t="str">
        <f>IF(I110=11,VLOOKUP(Y110,[2]Sheet1!$C:$N,12,0),IF(I110=13,VLOOKUP(Y110,[3]Sheet1!$C:$N,12,0),IF(I110=15,VLOOKUP(Y110,[4]Sheet1!$C:$N,12,0),"Unknown")))</f>
        <v>PASTA</v>
      </c>
      <c r="BM110" t="str">
        <f>VLOOKUP(W110,[1]branch!$A:$B,2,0)</f>
        <v>INDUSTRY</v>
      </c>
    </row>
    <row r="111" spans="1:65" x14ac:dyDescent="0.35">
      <c r="A111" s="10">
        <v>45993</v>
      </c>
      <c r="B111" s="9" t="s">
        <v>1056</v>
      </c>
      <c r="C111" s="9" t="s">
        <v>64</v>
      </c>
      <c r="D111" s="9" t="s">
        <v>92</v>
      </c>
      <c r="E111" s="11">
        <v>60</v>
      </c>
      <c r="F111" s="9" t="s">
        <v>93</v>
      </c>
      <c r="G111" s="9" t="s">
        <v>65</v>
      </c>
      <c r="H111" s="9" t="s">
        <v>66</v>
      </c>
      <c r="I111" s="9">
        <v>11</v>
      </c>
      <c r="J111" s="9" t="s">
        <v>227</v>
      </c>
      <c r="K111" s="9" t="s">
        <v>227</v>
      </c>
      <c r="L111" s="9" t="s">
        <v>227</v>
      </c>
      <c r="M111" s="9" t="s">
        <v>228</v>
      </c>
      <c r="N111" s="9" t="s">
        <v>872</v>
      </c>
      <c r="O111" s="9" t="s">
        <v>97</v>
      </c>
      <c r="P111" s="9" t="s">
        <v>67</v>
      </c>
      <c r="Q111" s="9" t="s">
        <v>98</v>
      </c>
      <c r="R111" s="9" t="s">
        <v>227</v>
      </c>
      <c r="S111" s="9" t="s">
        <v>228</v>
      </c>
      <c r="T111" s="9" t="s">
        <v>817</v>
      </c>
      <c r="U111" s="9" t="s">
        <v>67</v>
      </c>
      <c r="V111" s="9" t="s">
        <v>221</v>
      </c>
      <c r="W111" s="9" t="s">
        <v>222</v>
      </c>
      <c r="X111" s="11">
        <v>140</v>
      </c>
      <c r="Y111" s="9" t="s">
        <v>242</v>
      </c>
      <c r="Z111" s="9" t="s">
        <v>68</v>
      </c>
      <c r="AA111" s="9" t="s">
        <v>243</v>
      </c>
      <c r="AB111" s="9" t="s">
        <v>67</v>
      </c>
      <c r="AC111" s="9" t="s">
        <v>217</v>
      </c>
      <c r="AD111" s="11">
        <v>15</v>
      </c>
      <c r="AE111" s="9" t="s">
        <v>70</v>
      </c>
      <c r="AF111" s="9" t="s">
        <v>71</v>
      </c>
      <c r="AG111" s="13">
        <v>1</v>
      </c>
      <c r="AH111" s="9" t="s">
        <v>92</v>
      </c>
      <c r="AI111" s="13">
        <v>2659400</v>
      </c>
      <c r="AJ111" s="13">
        <v>39891000</v>
      </c>
      <c r="AK111" s="11">
        <v>0</v>
      </c>
      <c r="AL111" s="11">
        <v>0</v>
      </c>
      <c r="AM111" s="11">
        <v>0</v>
      </c>
      <c r="AN111" s="9" t="s">
        <v>67</v>
      </c>
      <c r="AO111" s="11">
        <v>39891000</v>
      </c>
      <c r="AP111" s="13">
        <v>3191280</v>
      </c>
      <c r="AQ111" s="13">
        <v>43082280</v>
      </c>
      <c r="AR111" s="11">
        <v>300</v>
      </c>
      <c r="AS111" s="9" t="s">
        <v>72</v>
      </c>
      <c r="AT111" s="12">
        <v>250.05</v>
      </c>
      <c r="AU111" s="9" t="s">
        <v>73</v>
      </c>
      <c r="AV111" s="9" t="s">
        <v>67</v>
      </c>
      <c r="AW111" s="9" t="s">
        <v>952</v>
      </c>
      <c r="AX111" s="10">
        <v>45986</v>
      </c>
      <c r="AY111" s="9" t="s">
        <v>1057</v>
      </c>
      <c r="AZ111" s="9" t="s">
        <v>67</v>
      </c>
      <c r="BA111" s="9" t="s">
        <v>67</v>
      </c>
      <c r="BB111" s="12">
        <v>300</v>
      </c>
      <c r="BC111" s="9" t="s">
        <v>74</v>
      </c>
      <c r="BD111" s="9" t="s">
        <v>104</v>
      </c>
      <c r="BE111" s="9" t="s">
        <v>75</v>
      </c>
      <c r="BF111" s="11">
        <v>0</v>
      </c>
      <c r="BG111">
        <f t="shared" si="4"/>
        <v>12</v>
      </c>
      <c r="BH111" t="str">
        <f>VLOOKUP(BG111,[1]month!$A:$B,2,0)</f>
        <v>Desember</v>
      </c>
      <c r="BI111">
        <f t="shared" si="5"/>
        <v>2025</v>
      </c>
      <c r="BJ111" t="str">
        <f>VLOOKUP(I111,[1]Dist!$A:$B,2,0)</f>
        <v>Industry</v>
      </c>
      <c r="BK111" t="str">
        <f>IF(I111=11,VLOOKUP(Y111,[2]Sheet1!$C:$N,10,0),IF(I111=13,VLOOKUP(Y111,[3]Sheet1!$C:$N,10,0),IF(I111=15,VLOOKUP(Y111,[4]Sheet1!$C:$N,10,0),"Unknown")))</f>
        <v>PU</v>
      </c>
      <c r="BL111" t="str">
        <f>IF(I111=11,VLOOKUP(Y111,[2]Sheet1!$C:$N,12,0),IF(I111=13,VLOOKUP(Y111,[3]Sheet1!$C:$N,12,0),IF(I111=15,VLOOKUP(Y111,[4]Sheet1!$C:$N,12,0),"Unknown")))</f>
        <v>PU COLOR</v>
      </c>
      <c r="BM111" t="str">
        <f>VLOOKUP(W111,[1]branch!$A:$B,2,0)</f>
        <v>INDUSTRY</v>
      </c>
    </row>
    <row r="112" spans="1:65" x14ac:dyDescent="0.35">
      <c r="A112" s="10">
        <v>45993</v>
      </c>
      <c r="B112" s="9" t="s">
        <v>1056</v>
      </c>
      <c r="C112" s="9" t="s">
        <v>64</v>
      </c>
      <c r="D112" s="9" t="s">
        <v>92</v>
      </c>
      <c r="E112" s="11">
        <v>60</v>
      </c>
      <c r="F112" s="9" t="s">
        <v>93</v>
      </c>
      <c r="G112" s="9" t="s">
        <v>65</v>
      </c>
      <c r="H112" s="9" t="s">
        <v>66</v>
      </c>
      <c r="I112" s="9">
        <v>11</v>
      </c>
      <c r="J112" s="9" t="s">
        <v>227</v>
      </c>
      <c r="K112" s="9" t="s">
        <v>227</v>
      </c>
      <c r="L112" s="9" t="s">
        <v>227</v>
      </c>
      <c r="M112" s="9" t="s">
        <v>228</v>
      </c>
      <c r="N112" s="9" t="s">
        <v>872</v>
      </c>
      <c r="O112" s="9" t="s">
        <v>97</v>
      </c>
      <c r="P112" s="9" t="s">
        <v>67</v>
      </c>
      <c r="Q112" s="9" t="s">
        <v>98</v>
      </c>
      <c r="R112" s="9" t="s">
        <v>227</v>
      </c>
      <c r="S112" s="9" t="s">
        <v>228</v>
      </c>
      <c r="T112" s="9" t="s">
        <v>817</v>
      </c>
      <c r="U112" s="9" t="s">
        <v>67</v>
      </c>
      <c r="V112" s="9" t="s">
        <v>221</v>
      </c>
      <c r="W112" s="9" t="s">
        <v>222</v>
      </c>
      <c r="X112" s="11">
        <v>150</v>
      </c>
      <c r="Y112" s="9" t="s">
        <v>215</v>
      </c>
      <c r="Z112" s="9" t="s">
        <v>68</v>
      </c>
      <c r="AA112" s="9" t="s">
        <v>216</v>
      </c>
      <c r="AB112" s="9" t="s">
        <v>67</v>
      </c>
      <c r="AC112" s="9" t="s">
        <v>217</v>
      </c>
      <c r="AD112" s="11">
        <v>7</v>
      </c>
      <c r="AE112" s="9" t="s">
        <v>70</v>
      </c>
      <c r="AF112" s="9" t="s">
        <v>71</v>
      </c>
      <c r="AG112" s="13">
        <v>1</v>
      </c>
      <c r="AH112" s="9" t="s">
        <v>92</v>
      </c>
      <c r="AI112" s="13">
        <v>2620400</v>
      </c>
      <c r="AJ112" s="13">
        <v>18342800</v>
      </c>
      <c r="AK112" s="11">
        <v>0</v>
      </c>
      <c r="AL112" s="11">
        <v>0</v>
      </c>
      <c r="AM112" s="11">
        <v>0</v>
      </c>
      <c r="AN112" s="9" t="s">
        <v>67</v>
      </c>
      <c r="AO112" s="11">
        <v>18342800</v>
      </c>
      <c r="AP112" s="13">
        <v>1467424</v>
      </c>
      <c r="AQ112" s="13">
        <v>19810224</v>
      </c>
      <c r="AR112" s="11">
        <v>140</v>
      </c>
      <c r="AS112" s="9" t="s">
        <v>72</v>
      </c>
      <c r="AT112" s="12">
        <v>117.67</v>
      </c>
      <c r="AU112" s="9" t="s">
        <v>73</v>
      </c>
      <c r="AV112" s="9" t="s">
        <v>67</v>
      </c>
      <c r="AW112" s="9" t="s">
        <v>952</v>
      </c>
      <c r="AX112" s="10">
        <v>45986</v>
      </c>
      <c r="AY112" s="9" t="s">
        <v>1057</v>
      </c>
      <c r="AZ112" s="9" t="s">
        <v>67</v>
      </c>
      <c r="BA112" s="9" t="s">
        <v>67</v>
      </c>
      <c r="BB112" s="12">
        <v>140</v>
      </c>
      <c r="BC112" s="9" t="s">
        <v>74</v>
      </c>
      <c r="BD112" s="9" t="s">
        <v>104</v>
      </c>
      <c r="BE112" s="9" t="s">
        <v>75</v>
      </c>
      <c r="BF112" s="11">
        <v>0</v>
      </c>
      <c r="BG112">
        <f t="shared" si="4"/>
        <v>12</v>
      </c>
      <c r="BH112" t="str">
        <f>VLOOKUP(BG112,[1]month!$A:$B,2,0)</f>
        <v>Desember</v>
      </c>
      <c r="BI112">
        <f t="shared" si="5"/>
        <v>2025</v>
      </c>
      <c r="BJ112" t="str">
        <f>VLOOKUP(I112,[1]Dist!$A:$B,2,0)</f>
        <v>Industry</v>
      </c>
      <c r="BK112" t="str">
        <f>IF(I112=11,VLOOKUP(Y112,[2]Sheet1!$C:$N,10,0),IF(I112=13,VLOOKUP(Y112,[3]Sheet1!$C:$N,10,0),IF(I112=15,VLOOKUP(Y112,[4]Sheet1!$C:$N,10,0),"Unknown")))</f>
        <v>PU</v>
      </c>
      <c r="BL112" t="str">
        <f>IF(I112=11,VLOOKUP(Y112,[2]Sheet1!$C:$N,12,0),IF(I112=13,VLOOKUP(Y112,[3]Sheet1!$C:$N,12,0),IF(I112=15,VLOOKUP(Y112,[4]Sheet1!$C:$N,12,0),"Unknown")))</f>
        <v>PU COLOR</v>
      </c>
      <c r="BM112" t="str">
        <f>VLOOKUP(W112,[1]branch!$A:$B,2,0)</f>
        <v>INDUSTRY</v>
      </c>
    </row>
    <row r="113" spans="1:65" x14ac:dyDescent="0.35">
      <c r="A113" s="10">
        <v>45993</v>
      </c>
      <c r="B113" s="9" t="s">
        <v>1056</v>
      </c>
      <c r="C113" s="9" t="s">
        <v>64</v>
      </c>
      <c r="D113" s="9" t="s">
        <v>92</v>
      </c>
      <c r="E113" s="11">
        <v>60</v>
      </c>
      <c r="F113" s="9" t="s">
        <v>93</v>
      </c>
      <c r="G113" s="9" t="s">
        <v>65</v>
      </c>
      <c r="H113" s="9" t="s">
        <v>66</v>
      </c>
      <c r="I113" s="9">
        <v>11</v>
      </c>
      <c r="J113" s="9" t="s">
        <v>227</v>
      </c>
      <c r="K113" s="9" t="s">
        <v>227</v>
      </c>
      <c r="L113" s="9" t="s">
        <v>227</v>
      </c>
      <c r="M113" s="9" t="s">
        <v>228</v>
      </c>
      <c r="N113" s="9" t="s">
        <v>872</v>
      </c>
      <c r="O113" s="9" t="s">
        <v>97</v>
      </c>
      <c r="P113" s="9" t="s">
        <v>67</v>
      </c>
      <c r="Q113" s="9" t="s">
        <v>98</v>
      </c>
      <c r="R113" s="9" t="s">
        <v>227</v>
      </c>
      <c r="S113" s="9" t="s">
        <v>228</v>
      </c>
      <c r="T113" s="9" t="s">
        <v>817</v>
      </c>
      <c r="U113" s="9" t="s">
        <v>67</v>
      </c>
      <c r="V113" s="9" t="s">
        <v>221</v>
      </c>
      <c r="W113" s="9" t="s">
        <v>222</v>
      </c>
      <c r="X113" s="11">
        <v>160</v>
      </c>
      <c r="Y113" s="9" t="s">
        <v>244</v>
      </c>
      <c r="Z113" s="9" t="s">
        <v>68</v>
      </c>
      <c r="AA113" s="9" t="s">
        <v>245</v>
      </c>
      <c r="AB113" s="9" t="s">
        <v>67</v>
      </c>
      <c r="AC113" s="9" t="s">
        <v>229</v>
      </c>
      <c r="AD113" s="11">
        <v>15</v>
      </c>
      <c r="AE113" s="9" t="s">
        <v>70</v>
      </c>
      <c r="AF113" s="9" t="s">
        <v>71</v>
      </c>
      <c r="AG113" s="13">
        <v>1</v>
      </c>
      <c r="AH113" s="9" t="s">
        <v>92</v>
      </c>
      <c r="AI113" s="13">
        <v>1403000</v>
      </c>
      <c r="AJ113" s="13">
        <v>21045000</v>
      </c>
      <c r="AK113" s="11">
        <v>0</v>
      </c>
      <c r="AL113" s="11">
        <v>0</v>
      </c>
      <c r="AM113" s="11">
        <v>0</v>
      </c>
      <c r="AN113" s="9" t="s">
        <v>67</v>
      </c>
      <c r="AO113" s="11">
        <v>21045000</v>
      </c>
      <c r="AP113" s="13">
        <v>1683600</v>
      </c>
      <c r="AQ113" s="13">
        <v>22728600</v>
      </c>
      <c r="AR113" s="11">
        <v>300</v>
      </c>
      <c r="AS113" s="9" t="s">
        <v>72</v>
      </c>
      <c r="AT113" s="11">
        <v>300</v>
      </c>
      <c r="AU113" s="9" t="s">
        <v>73</v>
      </c>
      <c r="AV113" s="9" t="s">
        <v>67</v>
      </c>
      <c r="AW113" s="9" t="s">
        <v>952</v>
      </c>
      <c r="AX113" s="10">
        <v>45986</v>
      </c>
      <c r="AY113" s="9" t="s">
        <v>1057</v>
      </c>
      <c r="AZ113" s="9" t="s">
        <v>67</v>
      </c>
      <c r="BA113" s="9" t="s">
        <v>67</v>
      </c>
      <c r="BB113" s="12">
        <v>300</v>
      </c>
      <c r="BC113" s="9" t="s">
        <v>74</v>
      </c>
      <c r="BD113" s="9" t="s">
        <v>104</v>
      </c>
      <c r="BE113" s="9" t="s">
        <v>75</v>
      </c>
      <c r="BF113" s="11">
        <v>0</v>
      </c>
      <c r="BG113">
        <f t="shared" si="4"/>
        <v>12</v>
      </c>
      <c r="BH113" t="str">
        <f>VLOOKUP(BG113,[1]month!$A:$B,2,0)</f>
        <v>Desember</v>
      </c>
      <c r="BI113">
        <f t="shared" si="5"/>
        <v>2025</v>
      </c>
      <c r="BJ113" t="str">
        <f>VLOOKUP(I113,[1]Dist!$A:$B,2,0)</f>
        <v>Industry</v>
      </c>
      <c r="BK113" t="str">
        <f>IF(I113=11,VLOOKUP(Y113,[2]Sheet1!$C:$N,10,0),IF(I113=13,VLOOKUP(Y113,[3]Sheet1!$C:$N,10,0),IF(I113=15,VLOOKUP(Y113,[4]Sheet1!$C:$N,10,0),"Unknown")))</f>
        <v>PU</v>
      </c>
      <c r="BL113" t="str">
        <f>IF(I113=11,VLOOKUP(Y113,[2]Sheet1!$C:$N,12,0),IF(I113=13,VLOOKUP(Y113,[3]Sheet1!$C:$N,12,0),IF(I113=15,VLOOKUP(Y113,[4]Sheet1!$C:$N,12,0),"Unknown")))</f>
        <v>PU LACQUER</v>
      </c>
      <c r="BM113" t="str">
        <f>VLOOKUP(W113,[1]branch!$A:$B,2,0)</f>
        <v>INDUSTRY</v>
      </c>
    </row>
    <row r="114" spans="1:65" x14ac:dyDescent="0.35">
      <c r="A114" s="10">
        <v>45993</v>
      </c>
      <c r="B114" s="9" t="s">
        <v>1056</v>
      </c>
      <c r="C114" s="9" t="s">
        <v>64</v>
      </c>
      <c r="D114" s="9" t="s">
        <v>92</v>
      </c>
      <c r="E114" s="11">
        <v>60</v>
      </c>
      <c r="F114" s="9" t="s">
        <v>93</v>
      </c>
      <c r="G114" s="9" t="s">
        <v>65</v>
      </c>
      <c r="H114" s="9" t="s">
        <v>66</v>
      </c>
      <c r="I114" s="9">
        <v>11</v>
      </c>
      <c r="J114" s="9" t="s">
        <v>227</v>
      </c>
      <c r="K114" s="9" t="s">
        <v>227</v>
      </c>
      <c r="L114" s="9" t="s">
        <v>227</v>
      </c>
      <c r="M114" s="9" t="s">
        <v>228</v>
      </c>
      <c r="N114" s="9" t="s">
        <v>872</v>
      </c>
      <c r="O114" s="9" t="s">
        <v>97</v>
      </c>
      <c r="P114" s="9" t="s">
        <v>67</v>
      </c>
      <c r="Q114" s="9" t="s">
        <v>98</v>
      </c>
      <c r="R114" s="9" t="s">
        <v>227</v>
      </c>
      <c r="S114" s="9" t="s">
        <v>228</v>
      </c>
      <c r="T114" s="9" t="s">
        <v>817</v>
      </c>
      <c r="U114" s="9" t="s">
        <v>67</v>
      </c>
      <c r="V114" s="9" t="s">
        <v>221</v>
      </c>
      <c r="W114" s="9" t="s">
        <v>222</v>
      </c>
      <c r="X114" s="11">
        <v>170</v>
      </c>
      <c r="Y114" s="9" t="s">
        <v>201</v>
      </c>
      <c r="Z114" s="9" t="s">
        <v>68</v>
      </c>
      <c r="AA114" s="9" t="s">
        <v>202</v>
      </c>
      <c r="AB114" s="9" t="s">
        <v>67</v>
      </c>
      <c r="AC114" s="9" t="s">
        <v>139</v>
      </c>
      <c r="AD114" s="11">
        <v>1</v>
      </c>
      <c r="AE114" s="9" t="s">
        <v>70</v>
      </c>
      <c r="AF114" s="9" t="s">
        <v>71</v>
      </c>
      <c r="AG114" s="13">
        <v>1</v>
      </c>
      <c r="AH114" s="9" t="s">
        <v>92</v>
      </c>
      <c r="AI114" s="13">
        <v>6378000</v>
      </c>
      <c r="AJ114" s="13">
        <v>6378000</v>
      </c>
      <c r="AK114" s="11">
        <v>0</v>
      </c>
      <c r="AL114" s="11">
        <v>0</v>
      </c>
      <c r="AM114" s="11">
        <v>0</v>
      </c>
      <c r="AN114" s="9" t="s">
        <v>67</v>
      </c>
      <c r="AO114" s="11">
        <v>6378000</v>
      </c>
      <c r="AP114" s="13">
        <v>510240</v>
      </c>
      <c r="AQ114" s="13">
        <v>6888240</v>
      </c>
      <c r="AR114" s="11">
        <v>156</v>
      </c>
      <c r="AS114" s="9" t="s">
        <v>72</v>
      </c>
      <c r="AT114" s="11">
        <v>200</v>
      </c>
      <c r="AU114" s="9" t="s">
        <v>73</v>
      </c>
      <c r="AV114" s="9" t="s">
        <v>67</v>
      </c>
      <c r="AW114" s="9" t="s">
        <v>952</v>
      </c>
      <c r="AX114" s="10">
        <v>45986</v>
      </c>
      <c r="AY114" s="9" t="s">
        <v>1057</v>
      </c>
      <c r="AZ114" s="9" t="s">
        <v>67</v>
      </c>
      <c r="BA114" s="9" t="s">
        <v>67</v>
      </c>
      <c r="BB114" s="12">
        <v>200</v>
      </c>
      <c r="BC114" s="9" t="s">
        <v>74</v>
      </c>
      <c r="BD114" s="9" t="s">
        <v>104</v>
      </c>
      <c r="BE114" s="9" t="s">
        <v>75</v>
      </c>
      <c r="BF114" s="11">
        <v>0</v>
      </c>
      <c r="BG114">
        <f t="shared" si="4"/>
        <v>12</v>
      </c>
      <c r="BH114" t="str">
        <f>VLOOKUP(BG114,[1]month!$A:$B,2,0)</f>
        <v>Desember</v>
      </c>
      <c r="BI114">
        <f t="shared" si="5"/>
        <v>2025</v>
      </c>
      <c r="BJ114" t="str">
        <f>VLOOKUP(I114,[1]Dist!$A:$B,2,0)</f>
        <v>Industry</v>
      </c>
      <c r="BK114" t="str">
        <f>IF(I114=11,VLOOKUP(Y114,[2]Sheet1!$C:$N,10,0),IF(I114=13,VLOOKUP(Y114,[3]Sheet1!$C:$N,10,0),IF(I114=15,VLOOKUP(Y114,[4]Sheet1!$C:$N,10,0),"Unknown")))</f>
        <v>THINNER NC</v>
      </c>
      <c r="BL114" t="str">
        <f>IF(I114=11,VLOOKUP(Y114,[2]Sheet1!$C:$N,12,0),IF(I114=13,VLOOKUP(Y114,[3]Sheet1!$C:$N,12,0),IF(I114=15,VLOOKUP(Y114,[4]Sheet1!$C:$N,12,0),"Unknown")))</f>
        <v>THINNER COMPLEMENTARY</v>
      </c>
      <c r="BM114" t="str">
        <f>VLOOKUP(W114,[1]branch!$A:$B,2,0)</f>
        <v>INDUSTRY</v>
      </c>
    </row>
    <row r="115" spans="1:65" x14ac:dyDescent="0.35">
      <c r="A115" s="10">
        <v>45993</v>
      </c>
      <c r="B115" s="9" t="s">
        <v>1056</v>
      </c>
      <c r="C115" s="9" t="s">
        <v>64</v>
      </c>
      <c r="D115" s="9" t="s">
        <v>92</v>
      </c>
      <c r="E115" s="11">
        <v>60</v>
      </c>
      <c r="F115" s="9" t="s">
        <v>93</v>
      </c>
      <c r="G115" s="9" t="s">
        <v>65</v>
      </c>
      <c r="H115" s="9" t="s">
        <v>66</v>
      </c>
      <c r="I115" s="9">
        <v>11</v>
      </c>
      <c r="J115" s="9" t="s">
        <v>227</v>
      </c>
      <c r="K115" s="9" t="s">
        <v>227</v>
      </c>
      <c r="L115" s="9" t="s">
        <v>227</v>
      </c>
      <c r="M115" s="9" t="s">
        <v>228</v>
      </c>
      <c r="N115" s="9" t="s">
        <v>872</v>
      </c>
      <c r="O115" s="9" t="s">
        <v>97</v>
      </c>
      <c r="P115" s="9" t="s">
        <v>67</v>
      </c>
      <c r="Q115" s="9" t="s">
        <v>98</v>
      </c>
      <c r="R115" s="9" t="s">
        <v>227</v>
      </c>
      <c r="S115" s="9" t="s">
        <v>228</v>
      </c>
      <c r="T115" s="9" t="s">
        <v>817</v>
      </c>
      <c r="U115" s="9" t="s">
        <v>67</v>
      </c>
      <c r="V115" s="9" t="s">
        <v>221</v>
      </c>
      <c r="W115" s="9" t="s">
        <v>222</v>
      </c>
      <c r="X115" s="11">
        <v>180</v>
      </c>
      <c r="Y115" s="9" t="s">
        <v>80</v>
      </c>
      <c r="Z115" s="9" t="s">
        <v>68</v>
      </c>
      <c r="AA115" s="9" t="s">
        <v>81</v>
      </c>
      <c r="AB115" s="9" t="s">
        <v>67</v>
      </c>
      <c r="AC115" s="9" t="s">
        <v>82</v>
      </c>
      <c r="AD115" s="11">
        <v>3</v>
      </c>
      <c r="AE115" s="9" t="s">
        <v>70</v>
      </c>
      <c r="AF115" s="9" t="s">
        <v>71</v>
      </c>
      <c r="AG115" s="13">
        <v>1</v>
      </c>
      <c r="AH115" s="9" t="s">
        <v>92</v>
      </c>
      <c r="AI115" s="13">
        <v>705760</v>
      </c>
      <c r="AJ115" s="13">
        <v>2117280</v>
      </c>
      <c r="AK115" s="11">
        <v>0</v>
      </c>
      <c r="AL115" s="11">
        <v>0</v>
      </c>
      <c r="AM115" s="11">
        <v>0</v>
      </c>
      <c r="AN115" s="9" t="s">
        <v>67</v>
      </c>
      <c r="AO115" s="11">
        <v>2117280</v>
      </c>
      <c r="AP115" s="13">
        <v>169382</v>
      </c>
      <c r="AQ115" s="13">
        <v>2286662</v>
      </c>
      <c r="AR115" s="11">
        <v>12</v>
      </c>
      <c r="AS115" s="9" t="s">
        <v>72</v>
      </c>
      <c r="AT115" s="12">
        <v>14.28</v>
      </c>
      <c r="AU115" s="9" t="s">
        <v>73</v>
      </c>
      <c r="AV115" s="9" t="s">
        <v>67</v>
      </c>
      <c r="AW115" s="9" t="s">
        <v>952</v>
      </c>
      <c r="AX115" s="10">
        <v>45986</v>
      </c>
      <c r="AY115" s="9" t="s">
        <v>1057</v>
      </c>
      <c r="AZ115" s="9" t="s">
        <v>67</v>
      </c>
      <c r="BA115" s="9" t="s">
        <v>67</v>
      </c>
      <c r="BB115" s="12">
        <v>12</v>
      </c>
      <c r="BC115" s="9" t="s">
        <v>74</v>
      </c>
      <c r="BD115" s="9" t="s">
        <v>104</v>
      </c>
      <c r="BE115" s="9" t="s">
        <v>75</v>
      </c>
      <c r="BF115" s="11">
        <v>0</v>
      </c>
      <c r="BG115">
        <f t="shared" si="4"/>
        <v>12</v>
      </c>
      <c r="BH115" t="str">
        <f>VLOOKUP(BG115,[1]month!$A:$B,2,0)</f>
        <v>Desember</v>
      </c>
      <c r="BI115">
        <f t="shared" si="5"/>
        <v>2025</v>
      </c>
      <c r="BJ115" t="str">
        <f>VLOOKUP(I115,[1]Dist!$A:$B,2,0)</f>
        <v>Industry</v>
      </c>
      <c r="BK115" t="str">
        <f>IF(I115=11,VLOOKUP(Y115,[2]Sheet1!$C:$N,10,0),IF(I115=13,VLOOKUP(Y115,[3]Sheet1!$C:$N,10,0),IF(I115=15,VLOOKUP(Y115,[4]Sheet1!$C:$N,10,0),"Unknown")))</f>
        <v>STAIN &amp; GLAZE INTERIOR</v>
      </c>
      <c r="BL115" t="str">
        <f>IF(I115=11,VLOOKUP(Y115,[2]Sheet1!$C:$N,12,0),IF(I115=13,VLOOKUP(Y115,[3]Sheet1!$C:$N,12,0),IF(I115=15,VLOOKUP(Y115,[4]Sheet1!$C:$N,12,0),"Unknown")))</f>
        <v>STAIN INTERIOR</v>
      </c>
      <c r="BM115" t="str">
        <f>VLOOKUP(W115,[1]branch!$A:$B,2,0)</f>
        <v>INDUSTRY</v>
      </c>
    </row>
    <row r="116" spans="1:65" x14ac:dyDescent="0.35">
      <c r="A116" s="10">
        <v>45993</v>
      </c>
      <c r="B116" s="9" t="s">
        <v>1056</v>
      </c>
      <c r="C116" s="9" t="s">
        <v>64</v>
      </c>
      <c r="D116" s="9" t="s">
        <v>92</v>
      </c>
      <c r="E116" s="11">
        <v>60</v>
      </c>
      <c r="F116" s="9" t="s">
        <v>93</v>
      </c>
      <c r="G116" s="9" t="s">
        <v>65</v>
      </c>
      <c r="H116" s="9" t="s">
        <v>66</v>
      </c>
      <c r="I116" s="9">
        <v>11</v>
      </c>
      <c r="J116" s="9" t="s">
        <v>227</v>
      </c>
      <c r="K116" s="9" t="s">
        <v>227</v>
      </c>
      <c r="L116" s="9" t="s">
        <v>227</v>
      </c>
      <c r="M116" s="9" t="s">
        <v>228</v>
      </c>
      <c r="N116" s="9" t="s">
        <v>872</v>
      </c>
      <c r="O116" s="9" t="s">
        <v>97</v>
      </c>
      <c r="P116" s="9" t="s">
        <v>67</v>
      </c>
      <c r="Q116" s="9" t="s">
        <v>98</v>
      </c>
      <c r="R116" s="9" t="s">
        <v>227</v>
      </c>
      <c r="S116" s="9" t="s">
        <v>228</v>
      </c>
      <c r="T116" s="9" t="s">
        <v>817</v>
      </c>
      <c r="U116" s="9" t="s">
        <v>67</v>
      </c>
      <c r="V116" s="9" t="s">
        <v>221</v>
      </c>
      <c r="W116" s="9" t="s">
        <v>222</v>
      </c>
      <c r="X116" s="11">
        <v>190</v>
      </c>
      <c r="Y116" s="9" t="s">
        <v>87</v>
      </c>
      <c r="Z116" s="9" t="s">
        <v>68</v>
      </c>
      <c r="AA116" s="9" t="s">
        <v>88</v>
      </c>
      <c r="AB116" s="9" t="s">
        <v>67</v>
      </c>
      <c r="AC116" s="9" t="s">
        <v>82</v>
      </c>
      <c r="AD116" s="11">
        <v>3</v>
      </c>
      <c r="AE116" s="9" t="s">
        <v>70</v>
      </c>
      <c r="AF116" s="9" t="s">
        <v>71</v>
      </c>
      <c r="AG116" s="13">
        <v>1</v>
      </c>
      <c r="AH116" s="9" t="s">
        <v>92</v>
      </c>
      <c r="AI116" s="13">
        <v>990040</v>
      </c>
      <c r="AJ116" s="13">
        <v>2970120</v>
      </c>
      <c r="AK116" s="11">
        <v>0</v>
      </c>
      <c r="AL116" s="11">
        <v>0</v>
      </c>
      <c r="AM116" s="11">
        <v>0</v>
      </c>
      <c r="AN116" s="9" t="s">
        <v>67</v>
      </c>
      <c r="AO116" s="11">
        <v>2970120</v>
      </c>
      <c r="AP116" s="13">
        <v>237610</v>
      </c>
      <c r="AQ116" s="13">
        <v>3207730</v>
      </c>
      <c r="AR116" s="11">
        <v>12</v>
      </c>
      <c r="AS116" s="9" t="s">
        <v>72</v>
      </c>
      <c r="AT116" s="12">
        <v>12.63</v>
      </c>
      <c r="AU116" s="9" t="s">
        <v>73</v>
      </c>
      <c r="AV116" s="9" t="s">
        <v>67</v>
      </c>
      <c r="AW116" s="9" t="s">
        <v>952</v>
      </c>
      <c r="AX116" s="10">
        <v>45986</v>
      </c>
      <c r="AY116" s="9" t="s">
        <v>1057</v>
      </c>
      <c r="AZ116" s="9" t="s">
        <v>67</v>
      </c>
      <c r="BA116" s="9" t="s">
        <v>67</v>
      </c>
      <c r="BB116" s="12">
        <v>12</v>
      </c>
      <c r="BC116" s="9" t="s">
        <v>74</v>
      </c>
      <c r="BD116" s="9" t="s">
        <v>104</v>
      </c>
      <c r="BE116" s="9" t="s">
        <v>75</v>
      </c>
      <c r="BF116" s="11">
        <v>0</v>
      </c>
      <c r="BG116">
        <f t="shared" si="4"/>
        <v>12</v>
      </c>
      <c r="BH116" t="str">
        <f>VLOOKUP(BG116,[1]month!$A:$B,2,0)</f>
        <v>Desember</v>
      </c>
      <c r="BI116">
        <f t="shared" si="5"/>
        <v>2025</v>
      </c>
      <c r="BJ116" t="str">
        <f>VLOOKUP(I116,[1]Dist!$A:$B,2,0)</f>
        <v>Industry</v>
      </c>
      <c r="BK116" t="str">
        <f>IF(I116=11,VLOOKUP(Y116,[2]Sheet1!$C:$N,10,0),IF(I116=13,VLOOKUP(Y116,[3]Sheet1!$C:$N,10,0),IF(I116=15,VLOOKUP(Y116,[4]Sheet1!$C:$N,10,0),"Unknown")))</f>
        <v>STAIN &amp; GLAZE INTERIOR</v>
      </c>
      <c r="BL116" t="str">
        <f>IF(I116=11,VLOOKUP(Y116,[2]Sheet1!$C:$N,12,0),IF(I116=13,VLOOKUP(Y116,[3]Sheet1!$C:$N,12,0),IF(I116=15,VLOOKUP(Y116,[4]Sheet1!$C:$N,12,0),"Unknown")))</f>
        <v>STAIN INTERIOR</v>
      </c>
      <c r="BM116" t="str">
        <f>VLOOKUP(W116,[1]branch!$A:$B,2,0)</f>
        <v>INDUSTRY</v>
      </c>
    </row>
    <row r="117" spans="1:65" x14ac:dyDescent="0.35">
      <c r="A117" s="10">
        <v>45993</v>
      </c>
      <c r="B117" s="9" t="s">
        <v>1056</v>
      </c>
      <c r="C117" s="9" t="s">
        <v>64</v>
      </c>
      <c r="D117" s="9" t="s">
        <v>92</v>
      </c>
      <c r="E117" s="11">
        <v>60</v>
      </c>
      <c r="F117" s="9" t="s">
        <v>93</v>
      </c>
      <c r="G117" s="9" t="s">
        <v>65</v>
      </c>
      <c r="H117" s="9" t="s">
        <v>66</v>
      </c>
      <c r="I117" s="9">
        <v>11</v>
      </c>
      <c r="J117" s="9" t="s">
        <v>227</v>
      </c>
      <c r="K117" s="9" t="s">
        <v>227</v>
      </c>
      <c r="L117" s="9" t="s">
        <v>227</v>
      </c>
      <c r="M117" s="9" t="s">
        <v>228</v>
      </c>
      <c r="N117" s="9" t="s">
        <v>872</v>
      </c>
      <c r="O117" s="9" t="s">
        <v>97</v>
      </c>
      <c r="P117" s="9" t="s">
        <v>67</v>
      </c>
      <c r="Q117" s="9" t="s">
        <v>98</v>
      </c>
      <c r="R117" s="9" t="s">
        <v>227</v>
      </c>
      <c r="S117" s="9" t="s">
        <v>228</v>
      </c>
      <c r="T117" s="9" t="s">
        <v>817</v>
      </c>
      <c r="U117" s="9" t="s">
        <v>67</v>
      </c>
      <c r="V117" s="9" t="s">
        <v>221</v>
      </c>
      <c r="W117" s="9" t="s">
        <v>222</v>
      </c>
      <c r="X117" s="11">
        <v>200</v>
      </c>
      <c r="Y117" s="9" t="s">
        <v>351</v>
      </c>
      <c r="Z117" s="9" t="s">
        <v>68</v>
      </c>
      <c r="AA117" s="9" t="s">
        <v>352</v>
      </c>
      <c r="AB117" s="9" t="s">
        <v>67</v>
      </c>
      <c r="AC117" s="9" t="s">
        <v>205</v>
      </c>
      <c r="AD117" s="11">
        <v>1</v>
      </c>
      <c r="AE117" s="9" t="s">
        <v>70</v>
      </c>
      <c r="AF117" s="9" t="s">
        <v>71</v>
      </c>
      <c r="AG117" s="13">
        <v>1</v>
      </c>
      <c r="AH117" s="9" t="s">
        <v>92</v>
      </c>
      <c r="AI117" s="13">
        <v>7234000</v>
      </c>
      <c r="AJ117" s="13">
        <v>7234000</v>
      </c>
      <c r="AK117" s="11">
        <v>0</v>
      </c>
      <c r="AL117" s="11">
        <v>0</v>
      </c>
      <c r="AM117" s="11">
        <v>0</v>
      </c>
      <c r="AN117" s="9" t="s">
        <v>67</v>
      </c>
      <c r="AO117" s="11">
        <v>7234000</v>
      </c>
      <c r="AP117" s="13">
        <v>578720</v>
      </c>
      <c r="AQ117" s="13">
        <v>7812720</v>
      </c>
      <c r="AR117" s="11">
        <v>196</v>
      </c>
      <c r="AS117" s="9" t="s">
        <v>72</v>
      </c>
      <c r="AT117" s="11">
        <v>200</v>
      </c>
      <c r="AU117" s="9" t="s">
        <v>73</v>
      </c>
      <c r="AV117" s="9" t="s">
        <v>67</v>
      </c>
      <c r="AW117" s="9" t="s">
        <v>952</v>
      </c>
      <c r="AX117" s="10">
        <v>45986</v>
      </c>
      <c r="AY117" s="9" t="s">
        <v>1057</v>
      </c>
      <c r="AZ117" s="9" t="s">
        <v>67</v>
      </c>
      <c r="BA117" s="9" t="s">
        <v>67</v>
      </c>
      <c r="BB117" s="12">
        <v>200</v>
      </c>
      <c r="BC117" s="9" t="s">
        <v>74</v>
      </c>
      <c r="BD117" s="9" t="s">
        <v>104</v>
      </c>
      <c r="BE117" s="9" t="s">
        <v>75</v>
      </c>
      <c r="BF117" s="11">
        <v>0</v>
      </c>
      <c r="BG117">
        <f t="shared" si="4"/>
        <v>12</v>
      </c>
      <c r="BH117" t="str">
        <f>VLOOKUP(BG117,[1]month!$A:$B,2,0)</f>
        <v>Desember</v>
      </c>
      <c r="BI117">
        <f t="shared" si="5"/>
        <v>2025</v>
      </c>
      <c r="BJ117" t="str">
        <f>VLOOKUP(I117,[1]Dist!$A:$B,2,0)</f>
        <v>Industry</v>
      </c>
      <c r="BK117" t="str">
        <f>IF(I117=11,VLOOKUP(Y117,[2]Sheet1!$C:$N,10,0),IF(I117=13,VLOOKUP(Y117,[3]Sheet1!$C:$N,10,0),IF(I117=15,VLOOKUP(Y117,[4]Sheet1!$C:$N,10,0),"Unknown")))</f>
        <v>COMPLEMENTARY</v>
      </c>
      <c r="BL117" t="str">
        <f>IF(I117=11,VLOOKUP(Y117,[2]Sheet1!$C:$N,12,0),IF(I117=13,VLOOKUP(Y117,[3]Sheet1!$C:$N,12,0),IF(I117=15,VLOOKUP(Y117,[4]Sheet1!$C:$N,12,0),"Unknown")))</f>
        <v>RETARDER</v>
      </c>
      <c r="BM117" t="str">
        <f>VLOOKUP(W117,[1]branch!$A:$B,2,0)</f>
        <v>INDUSTRY</v>
      </c>
    </row>
    <row r="118" spans="1:65" x14ac:dyDescent="0.35">
      <c r="A118" s="10">
        <v>45993</v>
      </c>
      <c r="B118" s="9" t="s">
        <v>1058</v>
      </c>
      <c r="C118" s="9" t="s">
        <v>64</v>
      </c>
      <c r="D118" s="9" t="s">
        <v>92</v>
      </c>
      <c r="E118" s="11">
        <v>60</v>
      </c>
      <c r="F118" s="9" t="s">
        <v>93</v>
      </c>
      <c r="G118" s="9" t="s">
        <v>65</v>
      </c>
      <c r="H118" s="9" t="s">
        <v>66</v>
      </c>
      <c r="I118" s="9">
        <v>11</v>
      </c>
      <c r="J118" s="9" t="s">
        <v>227</v>
      </c>
      <c r="K118" s="9" t="s">
        <v>227</v>
      </c>
      <c r="L118" s="9" t="s">
        <v>227</v>
      </c>
      <c r="M118" s="9" t="s">
        <v>228</v>
      </c>
      <c r="N118" s="9" t="s">
        <v>872</v>
      </c>
      <c r="O118" s="9" t="s">
        <v>97</v>
      </c>
      <c r="P118" s="9" t="s">
        <v>67</v>
      </c>
      <c r="Q118" s="9" t="s">
        <v>98</v>
      </c>
      <c r="R118" s="9" t="s">
        <v>227</v>
      </c>
      <c r="S118" s="9" t="s">
        <v>228</v>
      </c>
      <c r="T118" s="9" t="s">
        <v>817</v>
      </c>
      <c r="U118" s="9" t="s">
        <v>67</v>
      </c>
      <c r="V118" s="9" t="s">
        <v>221</v>
      </c>
      <c r="W118" s="9" t="s">
        <v>222</v>
      </c>
      <c r="X118" s="11">
        <v>10</v>
      </c>
      <c r="Y118" s="9" t="s">
        <v>249</v>
      </c>
      <c r="Z118" s="9" t="s">
        <v>68</v>
      </c>
      <c r="AA118" s="9" t="s">
        <v>250</v>
      </c>
      <c r="AB118" s="9" t="s">
        <v>67</v>
      </c>
      <c r="AC118" s="9" t="s">
        <v>251</v>
      </c>
      <c r="AD118" s="11">
        <v>5</v>
      </c>
      <c r="AE118" s="9" t="s">
        <v>70</v>
      </c>
      <c r="AF118" s="9" t="s">
        <v>71</v>
      </c>
      <c r="AG118" s="13">
        <v>1</v>
      </c>
      <c r="AH118" s="9" t="s">
        <v>92</v>
      </c>
      <c r="AI118" s="13">
        <v>10878000</v>
      </c>
      <c r="AJ118" s="13">
        <v>54390000</v>
      </c>
      <c r="AK118" s="11">
        <v>0</v>
      </c>
      <c r="AL118" s="11">
        <v>0</v>
      </c>
      <c r="AM118" s="11">
        <v>0</v>
      </c>
      <c r="AN118" s="9" t="s">
        <v>67</v>
      </c>
      <c r="AO118" s="11">
        <v>54390000</v>
      </c>
      <c r="AP118" s="13">
        <v>4351200</v>
      </c>
      <c r="AQ118" s="13">
        <v>58741200</v>
      </c>
      <c r="AR118" s="11">
        <v>1000</v>
      </c>
      <c r="AS118" s="9" t="s">
        <v>72</v>
      </c>
      <c r="AT118" s="12">
        <v>909.1</v>
      </c>
      <c r="AU118" s="9" t="s">
        <v>73</v>
      </c>
      <c r="AV118" s="9" t="s">
        <v>67</v>
      </c>
      <c r="AW118" s="9" t="s">
        <v>951</v>
      </c>
      <c r="AX118" s="10">
        <v>45986</v>
      </c>
      <c r="AY118" s="9" t="s">
        <v>1059</v>
      </c>
      <c r="AZ118" s="9" t="s">
        <v>67</v>
      </c>
      <c r="BA118" s="9" t="s">
        <v>67</v>
      </c>
      <c r="BB118" s="12">
        <v>1000</v>
      </c>
      <c r="BC118" s="9" t="s">
        <v>74</v>
      </c>
      <c r="BD118" s="9" t="s">
        <v>104</v>
      </c>
      <c r="BE118" s="9" t="s">
        <v>75</v>
      </c>
      <c r="BF118" s="11">
        <v>0</v>
      </c>
      <c r="BG118">
        <f t="shared" si="4"/>
        <v>12</v>
      </c>
      <c r="BH118" t="str">
        <f>VLOOKUP(BG118,[1]month!$A:$B,2,0)</f>
        <v>Desember</v>
      </c>
      <c r="BI118">
        <f t="shared" si="5"/>
        <v>2025</v>
      </c>
      <c r="BJ118" t="str">
        <f>VLOOKUP(I118,[1]Dist!$A:$B,2,0)</f>
        <v>Industry</v>
      </c>
      <c r="BK118" t="str">
        <f>IF(I118=11,VLOOKUP(Y118,[2]Sheet1!$C:$N,10,0),IF(I118=13,VLOOKUP(Y118,[3]Sheet1!$C:$N,10,0),IF(I118=15,VLOOKUP(Y118,[4]Sheet1!$C:$N,10,0),"Unknown")))</f>
        <v>PU</v>
      </c>
      <c r="BL118" t="str">
        <f>IF(I118=11,VLOOKUP(Y118,[2]Sheet1!$C:$N,12,0),IF(I118=13,VLOOKUP(Y118,[3]Sheet1!$C:$N,12,0),IF(I118=15,VLOOKUP(Y118,[4]Sheet1!$C:$N,12,0),"Unknown")))</f>
        <v>PU SANDING SEALER</v>
      </c>
      <c r="BM118" t="str">
        <f>VLOOKUP(W118,[1]branch!$A:$B,2,0)</f>
        <v>INDUSTRY</v>
      </c>
    </row>
    <row r="119" spans="1:65" x14ac:dyDescent="0.35">
      <c r="A119" s="10">
        <v>45993</v>
      </c>
      <c r="B119" s="9" t="s">
        <v>1058</v>
      </c>
      <c r="C119" s="9" t="s">
        <v>64</v>
      </c>
      <c r="D119" s="9" t="s">
        <v>92</v>
      </c>
      <c r="E119" s="11">
        <v>60</v>
      </c>
      <c r="F119" s="9" t="s">
        <v>93</v>
      </c>
      <c r="G119" s="9" t="s">
        <v>65</v>
      </c>
      <c r="H119" s="9" t="s">
        <v>66</v>
      </c>
      <c r="I119" s="9">
        <v>11</v>
      </c>
      <c r="J119" s="9" t="s">
        <v>227</v>
      </c>
      <c r="K119" s="9" t="s">
        <v>227</v>
      </c>
      <c r="L119" s="9" t="s">
        <v>227</v>
      </c>
      <c r="M119" s="9" t="s">
        <v>228</v>
      </c>
      <c r="N119" s="9" t="s">
        <v>872</v>
      </c>
      <c r="O119" s="9" t="s">
        <v>97</v>
      </c>
      <c r="P119" s="9" t="s">
        <v>67</v>
      </c>
      <c r="Q119" s="9" t="s">
        <v>98</v>
      </c>
      <c r="R119" s="9" t="s">
        <v>227</v>
      </c>
      <c r="S119" s="9" t="s">
        <v>228</v>
      </c>
      <c r="T119" s="9" t="s">
        <v>817</v>
      </c>
      <c r="U119" s="9" t="s">
        <v>67</v>
      </c>
      <c r="V119" s="9" t="s">
        <v>221</v>
      </c>
      <c r="W119" s="9" t="s">
        <v>222</v>
      </c>
      <c r="X119" s="11">
        <v>20</v>
      </c>
      <c r="Y119" s="9" t="s">
        <v>252</v>
      </c>
      <c r="Z119" s="9" t="s">
        <v>68</v>
      </c>
      <c r="AA119" s="9" t="s">
        <v>253</v>
      </c>
      <c r="AB119" s="9" t="s">
        <v>67</v>
      </c>
      <c r="AC119" s="9" t="s">
        <v>254</v>
      </c>
      <c r="AD119" s="11">
        <v>2</v>
      </c>
      <c r="AE119" s="9" t="s">
        <v>70</v>
      </c>
      <c r="AF119" s="9" t="s">
        <v>71</v>
      </c>
      <c r="AG119" s="13">
        <v>1</v>
      </c>
      <c r="AH119" s="9" t="s">
        <v>92</v>
      </c>
      <c r="AI119" s="13">
        <v>16192000</v>
      </c>
      <c r="AJ119" s="13">
        <v>32384000</v>
      </c>
      <c r="AK119" s="11">
        <v>0</v>
      </c>
      <c r="AL119" s="11">
        <v>0</v>
      </c>
      <c r="AM119" s="11">
        <v>0</v>
      </c>
      <c r="AN119" s="9" t="s">
        <v>67</v>
      </c>
      <c r="AO119" s="11">
        <v>32384000</v>
      </c>
      <c r="AP119" s="13">
        <v>2590720</v>
      </c>
      <c r="AQ119" s="13">
        <v>34974720</v>
      </c>
      <c r="AR119" s="11">
        <v>400</v>
      </c>
      <c r="AS119" s="9" t="s">
        <v>72</v>
      </c>
      <c r="AT119" s="12">
        <v>300.76</v>
      </c>
      <c r="AU119" s="9" t="s">
        <v>73</v>
      </c>
      <c r="AV119" s="9" t="s">
        <v>67</v>
      </c>
      <c r="AW119" s="9" t="s">
        <v>951</v>
      </c>
      <c r="AX119" s="10">
        <v>45986</v>
      </c>
      <c r="AY119" s="9" t="s">
        <v>1059</v>
      </c>
      <c r="AZ119" s="9" t="s">
        <v>67</v>
      </c>
      <c r="BA119" s="9" t="s">
        <v>67</v>
      </c>
      <c r="BB119" s="12">
        <v>400</v>
      </c>
      <c r="BC119" s="9" t="s">
        <v>74</v>
      </c>
      <c r="BD119" s="9" t="s">
        <v>104</v>
      </c>
      <c r="BE119" s="9" t="s">
        <v>75</v>
      </c>
      <c r="BF119" s="11">
        <v>0</v>
      </c>
      <c r="BG119">
        <f t="shared" si="4"/>
        <v>12</v>
      </c>
      <c r="BH119" t="str">
        <f>VLOOKUP(BG119,[1]month!$A:$B,2,0)</f>
        <v>Desember</v>
      </c>
      <c r="BI119">
        <f t="shared" si="5"/>
        <v>2025</v>
      </c>
      <c r="BJ119" t="str">
        <f>VLOOKUP(I119,[1]Dist!$A:$B,2,0)</f>
        <v>Industry</v>
      </c>
      <c r="BK119" t="str">
        <f>IF(I119=11,VLOOKUP(Y119,[2]Sheet1!$C:$N,10,0),IF(I119=13,VLOOKUP(Y119,[3]Sheet1!$C:$N,10,0),IF(I119=15,VLOOKUP(Y119,[4]Sheet1!$C:$N,10,0),"Unknown")))</f>
        <v>PU</v>
      </c>
      <c r="BL119" t="str">
        <f>IF(I119=11,VLOOKUP(Y119,[2]Sheet1!$C:$N,12,0),IF(I119=13,VLOOKUP(Y119,[3]Sheet1!$C:$N,12,0),IF(I119=15,VLOOKUP(Y119,[4]Sheet1!$C:$N,12,0),"Unknown")))</f>
        <v>PU PRIMER</v>
      </c>
      <c r="BM119" t="str">
        <f>VLOOKUP(W119,[1]branch!$A:$B,2,0)</f>
        <v>INDUSTRY</v>
      </c>
    </row>
    <row r="120" spans="1:65" x14ac:dyDescent="0.35">
      <c r="A120" s="10">
        <v>45993</v>
      </c>
      <c r="B120" s="9" t="s">
        <v>1058</v>
      </c>
      <c r="C120" s="9" t="s">
        <v>64</v>
      </c>
      <c r="D120" s="9" t="s">
        <v>92</v>
      </c>
      <c r="E120" s="11">
        <v>60</v>
      </c>
      <c r="F120" s="9" t="s">
        <v>93</v>
      </c>
      <c r="G120" s="9" t="s">
        <v>65</v>
      </c>
      <c r="H120" s="9" t="s">
        <v>66</v>
      </c>
      <c r="I120" s="9">
        <v>11</v>
      </c>
      <c r="J120" s="9" t="s">
        <v>227</v>
      </c>
      <c r="K120" s="9" t="s">
        <v>227</v>
      </c>
      <c r="L120" s="9" t="s">
        <v>227</v>
      </c>
      <c r="M120" s="9" t="s">
        <v>228</v>
      </c>
      <c r="N120" s="9" t="s">
        <v>872</v>
      </c>
      <c r="O120" s="9" t="s">
        <v>97</v>
      </c>
      <c r="P120" s="9" t="s">
        <v>67</v>
      </c>
      <c r="Q120" s="9" t="s">
        <v>98</v>
      </c>
      <c r="R120" s="9" t="s">
        <v>227</v>
      </c>
      <c r="S120" s="9" t="s">
        <v>228</v>
      </c>
      <c r="T120" s="9" t="s">
        <v>817</v>
      </c>
      <c r="U120" s="9" t="s">
        <v>67</v>
      </c>
      <c r="V120" s="9" t="s">
        <v>221</v>
      </c>
      <c r="W120" s="9" t="s">
        <v>222</v>
      </c>
      <c r="X120" s="11">
        <v>30</v>
      </c>
      <c r="Y120" s="9" t="s">
        <v>118</v>
      </c>
      <c r="Z120" s="9" t="s">
        <v>68</v>
      </c>
      <c r="AA120" s="9" t="s">
        <v>119</v>
      </c>
      <c r="AB120" s="9" t="s">
        <v>67</v>
      </c>
      <c r="AC120" s="9" t="s">
        <v>120</v>
      </c>
      <c r="AD120" s="11">
        <v>25</v>
      </c>
      <c r="AE120" s="9" t="s">
        <v>70</v>
      </c>
      <c r="AF120" s="9" t="s">
        <v>71</v>
      </c>
      <c r="AG120" s="13">
        <v>1</v>
      </c>
      <c r="AH120" s="9" t="s">
        <v>92</v>
      </c>
      <c r="AI120" s="13">
        <v>7640000</v>
      </c>
      <c r="AJ120" s="13">
        <v>191000000</v>
      </c>
      <c r="AK120" s="11">
        <v>0</v>
      </c>
      <c r="AL120" s="11">
        <v>0</v>
      </c>
      <c r="AM120" s="11">
        <v>0</v>
      </c>
      <c r="AN120" s="9" t="s">
        <v>67</v>
      </c>
      <c r="AO120" s="11">
        <v>191000000</v>
      </c>
      <c r="AP120" s="13">
        <v>15280000</v>
      </c>
      <c r="AQ120" s="13">
        <v>206280000</v>
      </c>
      <c r="AR120" s="11">
        <v>4625</v>
      </c>
      <c r="AS120" s="9" t="s">
        <v>72</v>
      </c>
      <c r="AT120" s="11">
        <v>5000</v>
      </c>
      <c r="AU120" s="9" t="s">
        <v>73</v>
      </c>
      <c r="AV120" s="9" t="s">
        <v>67</v>
      </c>
      <c r="AW120" s="9" t="s">
        <v>951</v>
      </c>
      <c r="AX120" s="10">
        <v>45986</v>
      </c>
      <c r="AY120" s="9" t="s">
        <v>1059</v>
      </c>
      <c r="AZ120" s="9" t="s">
        <v>67</v>
      </c>
      <c r="BA120" s="9" t="s">
        <v>67</v>
      </c>
      <c r="BB120" s="12">
        <v>5000</v>
      </c>
      <c r="BC120" s="9" t="s">
        <v>74</v>
      </c>
      <c r="BD120" s="9" t="s">
        <v>104</v>
      </c>
      <c r="BE120" s="9" t="s">
        <v>75</v>
      </c>
      <c r="BF120" s="11">
        <v>0</v>
      </c>
      <c r="BG120">
        <f t="shared" si="4"/>
        <v>12</v>
      </c>
      <c r="BH120" t="str">
        <f>VLOOKUP(BG120,[1]month!$A:$B,2,0)</f>
        <v>Desember</v>
      </c>
      <c r="BI120">
        <f t="shared" si="5"/>
        <v>2025</v>
      </c>
      <c r="BJ120" t="str">
        <f>VLOOKUP(I120,[1]Dist!$A:$B,2,0)</f>
        <v>Industry</v>
      </c>
      <c r="BK120" t="str">
        <f>IF(I120=11,VLOOKUP(Y120,[2]Sheet1!$C:$N,10,0),IF(I120=13,VLOOKUP(Y120,[3]Sheet1!$C:$N,10,0),IF(I120=15,VLOOKUP(Y120,[4]Sheet1!$C:$N,10,0),"Unknown")))</f>
        <v>THINNER PU</v>
      </c>
      <c r="BL120" t="str">
        <f>IF(I120=11,VLOOKUP(Y120,[2]Sheet1!$C:$N,12,0),IF(I120=13,VLOOKUP(Y120,[3]Sheet1!$C:$N,12,0),IF(I120=15,VLOOKUP(Y120,[4]Sheet1!$C:$N,12,0),"Unknown")))</f>
        <v>THINNER PU</v>
      </c>
      <c r="BM120" t="str">
        <f>VLOOKUP(W120,[1]branch!$A:$B,2,0)</f>
        <v>INDUSTRY</v>
      </c>
    </row>
    <row r="121" spans="1:65" x14ac:dyDescent="0.35">
      <c r="A121" s="10">
        <v>45993</v>
      </c>
      <c r="B121" s="9" t="s">
        <v>1058</v>
      </c>
      <c r="C121" s="9" t="s">
        <v>64</v>
      </c>
      <c r="D121" s="9" t="s">
        <v>92</v>
      </c>
      <c r="E121" s="11">
        <v>60</v>
      </c>
      <c r="F121" s="9" t="s">
        <v>93</v>
      </c>
      <c r="G121" s="9" t="s">
        <v>65</v>
      </c>
      <c r="H121" s="9" t="s">
        <v>66</v>
      </c>
      <c r="I121" s="9">
        <v>11</v>
      </c>
      <c r="J121" s="9" t="s">
        <v>227</v>
      </c>
      <c r="K121" s="9" t="s">
        <v>227</v>
      </c>
      <c r="L121" s="9" t="s">
        <v>227</v>
      </c>
      <c r="M121" s="9" t="s">
        <v>228</v>
      </c>
      <c r="N121" s="9" t="s">
        <v>872</v>
      </c>
      <c r="O121" s="9" t="s">
        <v>97</v>
      </c>
      <c r="P121" s="9" t="s">
        <v>67</v>
      </c>
      <c r="Q121" s="9" t="s">
        <v>98</v>
      </c>
      <c r="R121" s="9" t="s">
        <v>227</v>
      </c>
      <c r="S121" s="9" t="s">
        <v>228</v>
      </c>
      <c r="T121" s="9" t="s">
        <v>817</v>
      </c>
      <c r="U121" s="9" t="s">
        <v>67</v>
      </c>
      <c r="V121" s="9" t="s">
        <v>221</v>
      </c>
      <c r="W121" s="9" t="s">
        <v>222</v>
      </c>
      <c r="X121" s="11">
        <v>40</v>
      </c>
      <c r="Y121" s="9" t="s">
        <v>257</v>
      </c>
      <c r="Z121" s="9" t="s">
        <v>68</v>
      </c>
      <c r="AA121" s="9" t="s">
        <v>258</v>
      </c>
      <c r="AB121" s="9" t="s">
        <v>67</v>
      </c>
      <c r="AC121" s="9" t="s">
        <v>259</v>
      </c>
      <c r="AD121" s="11">
        <v>45</v>
      </c>
      <c r="AE121" s="9" t="s">
        <v>70</v>
      </c>
      <c r="AF121" s="9" t="s">
        <v>71</v>
      </c>
      <c r="AG121" s="13">
        <v>1</v>
      </c>
      <c r="AH121" s="9" t="s">
        <v>92</v>
      </c>
      <c r="AI121" s="13">
        <v>2082800</v>
      </c>
      <c r="AJ121" s="13">
        <v>93726000</v>
      </c>
      <c r="AK121" s="11">
        <v>0</v>
      </c>
      <c r="AL121" s="11">
        <v>0</v>
      </c>
      <c r="AM121" s="11">
        <v>0</v>
      </c>
      <c r="AN121" s="9" t="s">
        <v>67</v>
      </c>
      <c r="AO121" s="11">
        <v>93726000</v>
      </c>
      <c r="AP121" s="13">
        <v>7498080</v>
      </c>
      <c r="AQ121" s="13">
        <v>101224080</v>
      </c>
      <c r="AR121" s="11">
        <v>900</v>
      </c>
      <c r="AS121" s="9" t="s">
        <v>72</v>
      </c>
      <c r="AT121" s="12">
        <v>891.45</v>
      </c>
      <c r="AU121" s="9" t="s">
        <v>73</v>
      </c>
      <c r="AV121" s="9" t="s">
        <v>67</v>
      </c>
      <c r="AW121" s="9" t="s">
        <v>951</v>
      </c>
      <c r="AX121" s="10">
        <v>45986</v>
      </c>
      <c r="AY121" s="9" t="s">
        <v>1059</v>
      </c>
      <c r="AZ121" s="9" t="s">
        <v>67</v>
      </c>
      <c r="BA121" s="9" t="s">
        <v>67</v>
      </c>
      <c r="BB121" s="12">
        <v>900</v>
      </c>
      <c r="BC121" s="9" t="s">
        <v>74</v>
      </c>
      <c r="BD121" s="9" t="s">
        <v>104</v>
      </c>
      <c r="BE121" s="9" t="s">
        <v>75</v>
      </c>
      <c r="BF121" s="11">
        <v>0</v>
      </c>
      <c r="BG121">
        <f t="shared" si="4"/>
        <v>12</v>
      </c>
      <c r="BH121" t="str">
        <f>VLOOKUP(BG121,[1]month!$A:$B,2,0)</f>
        <v>Desember</v>
      </c>
      <c r="BI121">
        <f t="shared" si="5"/>
        <v>2025</v>
      </c>
      <c r="BJ121" t="str">
        <f>VLOOKUP(I121,[1]Dist!$A:$B,2,0)</f>
        <v>Industry</v>
      </c>
      <c r="BK121" t="str">
        <f>IF(I121=11,VLOOKUP(Y121,[2]Sheet1!$C:$N,10,0),IF(I121=13,VLOOKUP(Y121,[3]Sheet1!$C:$N,10,0),IF(I121=15,VLOOKUP(Y121,[4]Sheet1!$C:$N,10,0),"Unknown")))</f>
        <v>PU</v>
      </c>
      <c r="BL121" t="str">
        <f>IF(I121=11,VLOOKUP(Y121,[2]Sheet1!$C:$N,12,0),IF(I121=13,VLOOKUP(Y121,[3]Sheet1!$C:$N,12,0),IF(I121=15,VLOOKUP(Y121,[4]Sheet1!$C:$N,12,0),"Unknown")))</f>
        <v>PU HARDENER</v>
      </c>
      <c r="BM121" t="str">
        <f>VLOOKUP(W121,[1]branch!$A:$B,2,0)</f>
        <v>INDUSTRY</v>
      </c>
    </row>
    <row r="122" spans="1:65" x14ac:dyDescent="0.35">
      <c r="A122" s="10">
        <v>45993</v>
      </c>
      <c r="B122" s="9" t="s">
        <v>1058</v>
      </c>
      <c r="C122" s="9" t="s">
        <v>64</v>
      </c>
      <c r="D122" s="9" t="s">
        <v>92</v>
      </c>
      <c r="E122" s="11">
        <v>60</v>
      </c>
      <c r="F122" s="9" t="s">
        <v>93</v>
      </c>
      <c r="G122" s="9" t="s">
        <v>65</v>
      </c>
      <c r="H122" s="9" t="s">
        <v>66</v>
      </c>
      <c r="I122" s="9">
        <v>11</v>
      </c>
      <c r="J122" s="9" t="s">
        <v>227</v>
      </c>
      <c r="K122" s="9" t="s">
        <v>227</v>
      </c>
      <c r="L122" s="9" t="s">
        <v>227</v>
      </c>
      <c r="M122" s="9" t="s">
        <v>228</v>
      </c>
      <c r="N122" s="9" t="s">
        <v>872</v>
      </c>
      <c r="O122" s="9" t="s">
        <v>97</v>
      </c>
      <c r="P122" s="9" t="s">
        <v>67</v>
      </c>
      <c r="Q122" s="9" t="s">
        <v>98</v>
      </c>
      <c r="R122" s="9" t="s">
        <v>227</v>
      </c>
      <c r="S122" s="9" t="s">
        <v>228</v>
      </c>
      <c r="T122" s="9" t="s">
        <v>817</v>
      </c>
      <c r="U122" s="9" t="s">
        <v>67</v>
      </c>
      <c r="V122" s="9" t="s">
        <v>221</v>
      </c>
      <c r="W122" s="9" t="s">
        <v>222</v>
      </c>
      <c r="X122" s="11">
        <v>50</v>
      </c>
      <c r="Y122" s="9" t="s">
        <v>123</v>
      </c>
      <c r="Z122" s="9" t="s">
        <v>68</v>
      </c>
      <c r="AA122" s="9" t="s">
        <v>124</v>
      </c>
      <c r="AB122" s="9" t="s">
        <v>67</v>
      </c>
      <c r="AC122" s="9" t="s">
        <v>125</v>
      </c>
      <c r="AD122" s="11">
        <v>33</v>
      </c>
      <c r="AE122" s="9" t="s">
        <v>70</v>
      </c>
      <c r="AF122" s="9" t="s">
        <v>71</v>
      </c>
      <c r="AG122" s="13">
        <v>1</v>
      </c>
      <c r="AH122" s="9" t="s">
        <v>92</v>
      </c>
      <c r="AI122" s="13">
        <v>3174600</v>
      </c>
      <c r="AJ122" s="13">
        <v>104761800</v>
      </c>
      <c r="AK122" s="11">
        <v>0</v>
      </c>
      <c r="AL122" s="11">
        <v>0</v>
      </c>
      <c r="AM122" s="11">
        <v>0</v>
      </c>
      <c r="AN122" s="9" t="s">
        <v>67</v>
      </c>
      <c r="AO122" s="11">
        <v>104761800</v>
      </c>
      <c r="AP122" s="13">
        <v>8380944</v>
      </c>
      <c r="AQ122" s="13">
        <v>113142744</v>
      </c>
      <c r="AR122" s="12">
        <v>646.79999999999995</v>
      </c>
      <c r="AS122" s="9" t="s">
        <v>72</v>
      </c>
      <c r="AT122" s="11">
        <v>660</v>
      </c>
      <c r="AU122" s="9" t="s">
        <v>73</v>
      </c>
      <c r="AV122" s="9" t="s">
        <v>67</v>
      </c>
      <c r="AW122" s="9" t="s">
        <v>951</v>
      </c>
      <c r="AX122" s="10">
        <v>45986</v>
      </c>
      <c r="AY122" s="9" t="s">
        <v>1059</v>
      </c>
      <c r="AZ122" s="9" t="s">
        <v>67</v>
      </c>
      <c r="BA122" s="9" t="s">
        <v>67</v>
      </c>
      <c r="BB122" s="12">
        <v>660</v>
      </c>
      <c r="BC122" s="9" t="s">
        <v>74</v>
      </c>
      <c r="BD122" s="9" t="s">
        <v>104</v>
      </c>
      <c r="BE122" s="9" t="s">
        <v>75</v>
      </c>
      <c r="BF122" s="11">
        <v>0</v>
      </c>
      <c r="BG122">
        <f t="shared" si="4"/>
        <v>12</v>
      </c>
      <c r="BH122" t="str">
        <f>VLOOKUP(BG122,[1]month!$A:$B,2,0)</f>
        <v>Desember</v>
      </c>
      <c r="BI122">
        <f t="shared" si="5"/>
        <v>2025</v>
      </c>
      <c r="BJ122" t="str">
        <f>VLOOKUP(I122,[1]Dist!$A:$B,2,0)</f>
        <v>Industry</v>
      </c>
      <c r="BK122" t="str">
        <f>IF(I122=11,VLOOKUP(Y122,[2]Sheet1!$C:$N,10,0),IF(I122=13,VLOOKUP(Y122,[3]Sheet1!$C:$N,10,0),IF(I122=15,VLOOKUP(Y122,[4]Sheet1!$C:$N,10,0),"Unknown")))</f>
        <v>PU</v>
      </c>
      <c r="BL122" t="str">
        <f>IF(I122=11,VLOOKUP(Y122,[2]Sheet1!$C:$N,12,0),IF(I122=13,VLOOKUP(Y122,[3]Sheet1!$C:$N,12,0),IF(I122=15,VLOOKUP(Y122,[4]Sheet1!$C:$N,12,0),"Unknown")))</f>
        <v>PU HARDENER</v>
      </c>
      <c r="BM122" t="str">
        <f>VLOOKUP(W122,[1]branch!$A:$B,2,0)</f>
        <v>INDUSTRY</v>
      </c>
    </row>
    <row r="123" spans="1:65" x14ac:dyDescent="0.35">
      <c r="A123" s="10">
        <v>45993</v>
      </c>
      <c r="B123" s="9" t="s">
        <v>1060</v>
      </c>
      <c r="C123" s="9" t="s">
        <v>64</v>
      </c>
      <c r="D123" s="9" t="s">
        <v>92</v>
      </c>
      <c r="E123" s="11">
        <v>60</v>
      </c>
      <c r="F123" s="9" t="s">
        <v>93</v>
      </c>
      <c r="G123" s="9" t="s">
        <v>65</v>
      </c>
      <c r="H123" s="9" t="s">
        <v>66</v>
      </c>
      <c r="I123" s="9">
        <v>11</v>
      </c>
      <c r="J123" s="9" t="s">
        <v>347</v>
      </c>
      <c r="K123" s="9" t="s">
        <v>347</v>
      </c>
      <c r="L123" s="9" t="s">
        <v>347</v>
      </c>
      <c r="M123" s="9" t="s">
        <v>348</v>
      </c>
      <c r="N123" s="9" t="s">
        <v>866</v>
      </c>
      <c r="O123" s="9" t="s">
        <v>97</v>
      </c>
      <c r="P123" s="9" t="s">
        <v>67</v>
      </c>
      <c r="Q123" s="9" t="s">
        <v>98</v>
      </c>
      <c r="R123" s="9" t="s">
        <v>347</v>
      </c>
      <c r="S123" s="9" t="s">
        <v>348</v>
      </c>
      <c r="T123" s="9" t="s">
        <v>818</v>
      </c>
      <c r="U123" s="9" t="s">
        <v>67</v>
      </c>
      <c r="V123" s="9" t="s">
        <v>130</v>
      </c>
      <c r="W123" s="9" t="s">
        <v>131</v>
      </c>
      <c r="X123" s="11">
        <v>40</v>
      </c>
      <c r="Y123" s="9" t="s">
        <v>548</v>
      </c>
      <c r="Z123" s="9" t="s">
        <v>68</v>
      </c>
      <c r="AA123" s="9" t="s">
        <v>549</v>
      </c>
      <c r="AB123" s="9" t="s">
        <v>67</v>
      </c>
      <c r="AC123" s="9" t="s">
        <v>82</v>
      </c>
      <c r="AD123" s="11">
        <v>1</v>
      </c>
      <c r="AE123" s="9" t="s">
        <v>70</v>
      </c>
      <c r="AF123" s="9" t="s">
        <v>71</v>
      </c>
      <c r="AG123" s="13">
        <v>1</v>
      </c>
      <c r="AH123" s="9" t="s">
        <v>92</v>
      </c>
      <c r="AI123" s="13">
        <v>5283840</v>
      </c>
      <c r="AJ123" s="13">
        <v>5283840</v>
      </c>
      <c r="AK123" s="11">
        <v>0</v>
      </c>
      <c r="AL123" s="11">
        <v>0</v>
      </c>
      <c r="AM123" s="11">
        <v>0</v>
      </c>
      <c r="AN123" s="9" t="s">
        <v>67</v>
      </c>
      <c r="AO123" s="11">
        <v>5283840</v>
      </c>
      <c r="AP123" s="13">
        <v>422707</v>
      </c>
      <c r="AQ123" s="13">
        <v>5706547</v>
      </c>
      <c r="AR123" s="11">
        <v>16</v>
      </c>
      <c r="AS123" s="9" t="s">
        <v>72</v>
      </c>
      <c r="AT123" s="12">
        <v>18.82</v>
      </c>
      <c r="AU123" s="9" t="s">
        <v>73</v>
      </c>
      <c r="AV123" s="9" t="s">
        <v>67</v>
      </c>
      <c r="AW123" s="9" t="s">
        <v>926</v>
      </c>
      <c r="AX123" s="10">
        <v>45953</v>
      </c>
      <c r="AY123" s="9" t="s">
        <v>1061</v>
      </c>
      <c r="AZ123" s="9" t="s">
        <v>67</v>
      </c>
      <c r="BA123" s="9" t="s">
        <v>67</v>
      </c>
      <c r="BB123" s="12">
        <v>16</v>
      </c>
      <c r="BC123" s="9" t="s">
        <v>74</v>
      </c>
      <c r="BD123" s="9" t="s">
        <v>104</v>
      </c>
      <c r="BE123" s="9" t="s">
        <v>75</v>
      </c>
      <c r="BF123" s="11">
        <v>0</v>
      </c>
      <c r="BG123">
        <f t="shared" si="4"/>
        <v>12</v>
      </c>
      <c r="BH123" t="str">
        <f>VLOOKUP(BG123,[1]month!$A:$B,2,0)</f>
        <v>Desember</v>
      </c>
      <c r="BI123">
        <f t="shared" si="5"/>
        <v>2025</v>
      </c>
      <c r="BJ123" t="str">
        <f>VLOOKUP(I123,[1]Dist!$A:$B,2,0)</f>
        <v>Industry</v>
      </c>
      <c r="BK123" t="str">
        <f>IF(I123=11,VLOOKUP(Y123,[2]Sheet1!$C:$N,10,0),IF(I123=13,VLOOKUP(Y123,[3]Sheet1!$C:$N,10,0),IF(I123=15,VLOOKUP(Y123,[4]Sheet1!$C:$N,10,0),"Unknown")))</f>
        <v>STAIN &amp; GLAZE INTERIOR</v>
      </c>
      <c r="BL123" t="str">
        <f>IF(I123=11,VLOOKUP(Y123,[2]Sheet1!$C:$N,12,0),IF(I123=13,VLOOKUP(Y123,[3]Sheet1!$C:$N,12,0),IF(I123=15,VLOOKUP(Y123,[4]Sheet1!$C:$N,12,0),"Unknown")))</f>
        <v>STAIN INTERIOR</v>
      </c>
      <c r="BM123" t="str">
        <f>VLOOKUP(W123,[1]branch!$A:$B,2,0)</f>
        <v>INDUSTRY</v>
      </c>
    </row>
    <row r="124" spans="1:65" x14ac:dyDescent="0.35">
      <c r="A124" s="10">
        <v>45993</v>
      </c>
      <c r="B124" s="9" t="s">
        <v>1060</v>
      </c>
      <c r="C124" s="9" t="s">
        <v>64</v>
      </c>
      <c r="D124" s="9" t="s">
        <v>92</v>
      </c>
      <c r="E124" s="11">
        <v>60</v>
      </c>
      <c r="F124" s="9" t="s">
        <v>93</v>
      </c>
      <c r="G124" s="9" t="s">
        <v>65</v>
      </c>
      <c r="H124" s="9" t="s">
        <v>66</v>
      </c>
      <c r="I124" s="9">
        <v>11</v>
      </c>
      <c r="J124" s="9" t="s">
        <v>347</v>
      </c>
      <c r="K124" s="9" t="s">
        <v>347</v>
      </c>
      <c r="L124" s="9" t="s">
        <v>347</v>
      </c>
      <c r="M124" s="9" t="s">
        <v>348</v>
      </c>
      <c r="N124" s="9" t="s">
        <v>866</v>
      </c>
      <c r="O124" s="9" t="s">
        <v>97</v>
      </c>
      <c r="P124" s="9" t="s">
        <v>67</v>
      </c>
      <c r="Q124" s="9" t="s">
        <v>98</v>
      </c>
      <c r="R124" s="9" t="s">
        <v>347</v>
      </c>
      <c r="S124" s="9" t="s">
        <v>348</v>
      </c>
      <c r="T124" s="9" t="s">
        <v>818</v>
      </c>
      <c r="U124" s="9" t="s">
        <v>67</v>
      </c>
      <c r="V124" s="9" t="s">
        <v>130</v>
      </c>
      <c r="W124" s="9" t="s">
        <v>131</v>
      </c>
      <c r="X124" s="11">
        <v>50</v>
      </c>
      <c r="Y124" s="9" t="s">
        <v>273</v>
      </c>
      <c r="Z124" s="9" t="s">
        <v>68</v>
      </c>
      <c r="AA124" s="9" t="s">
        <v>274</v>
      </c>
      <c r="AB124" s="9" t="s">
        <v>67</v>
      </c>
      <c r="AC124" s="9" t="s">
        <v>191</v>
      </c>
      <c r="AD124" s="11">
        <v>5</v>
      </c>
      <c r="AE124" s="9" t="s">
        <v>70</v>
      </c>
      <c r="AF124" s="9" t="s">
        <v>71</v>
      </c>
      <c r="AG124" s="13">
        <v>1</v>
      </c>
      <c r="AH124" s="9" t="s">
        <v>92</v>
      </c>
      <c r="AI124" s="13">
        <v>1153480</v>
      </c>
      <c r="AJ124" s="13">
        <v>5767400</v>
      </c>
      <c r="AK124" s="11">
        <v>0</v>
      </c>
      <c r="AL124" s="11">
        <v>0</v>
      </c>
      <c r="AM124" s="11">
        <v>0</v>
      </c>
      <c r="AN124" s="9" t="s">
        <v>67</v>
      </c>
      <c r="AO124" s="11">
        <v>5767400</v>
      </c>
      <c r="AP124" s="13">
        <v>461392</v>
      </c>
      <c r="AQ124" s="13">
        <v>6228792</v>
      </c>
      <c r="AR124" s="11">
        <v>98</v>
      </c>
      <c r="AS124" s="9" t="s">
        <v>72</v>
      </c>
      <c r="AT124" s="11">
        <v>100</v>
      </c>
      <c r="AU124" s="9" t="s">
        <v>73</v>
      </c>
      <c r="AV124" s="9" t="s">
        <v>67</v>
      </c>
      <c r="AW124" s="9" t="s">
        <v>926</v>
      </c>
      <c r="AX124" s="10">
        <v>45953</v>
      </c>
      <c r="AY124" s="9" t="s">
        <v>1061</v>
      </c>
      <c r="AZ124" s="9" t="s">
        <v>67</v>
      </c>
      <c r="BA124" s="9" t="s">
        <v>67</v>
      </c>
      <c r="BB124" s="12">
        <v>100</v>
      </c>
      <c r="BC124" s="9" t="s">
        <v>74</v>
      </c>
      <c r="BD124" s="9" t="s">
        <v>104</v>
      </c>
      <c r="BE124" s="9" t="s">
        <v>75</v>
      </c>
      <c r="BF124" s="11">
        <v>0</v>
      </c>
      <c r="BG124">
        <f t="shared" si="4"/>
        <v>12</v>
      </c>
      <c r="BH124" t="str">
        <f>VLOOKUP(BG124,[1]month!$A:$B,2,0)</f>
        <v>Desember</v>
      </c>
      <c r="BI124">
        <f t="shared" si="5"/>
        <v>2025</v>
      </c>
      <c r="BJ124" t="str">
        <f>VLOOKUP(I124,[1]Dist!$A:$B,2,0)</f>
        <v>Industry</v>
      </c>
      <c r="BK124" t="str">
        <f>IF(I124=11,VLOOKUP(Y124,[2]Sheet1!$C:$N,10,0),IF(I124=13,VLOOKUP(Y124,[3]Sheet1!$C:$N,10,0),IF(I124=15,VLOOKUP(Y124,[4]Sheet1!$C:$N,10,0),"Unknown")))</f>
        <v>NC</v>
      </c>
      <c r="BL124" t="str">
        <f>IF(I124=11,VLOOKUP(Y124,[2]Sheet1!$C:$N,12,0),IF(I124=13,VLOOKUP(Y124,[3]Sheet1!$C:$N,12,0),IF(I124=15,VLOOKUP(Y124,[4]Sheet1!$C:$N,12,0),"Unknown")))</f>
        <v>NC SYSTEM</v>
      </c>
      <c r="BM124" t="str">
        <f>VLOOKUP(W124,[1]branch!$A:$B,2,0)</f>
        <v>INDUSTRY</v>
      </c>
    </row>
    <row r="125" spans="1:65" x14ac:dyDescent="0.35">
      <c r="A125" s="10">
        <v>45993</v>
      </c>
      <c r="B125" s="9" t="s">
        <v>1062</v>
      </c>
      <c r="C125" s="9" t="s">
        <v>64</v>
      </c>
      <c r="D125" s="9" t="s">
        <v>92</v>
      </c>
      <c r="E125" s="11">
        <v>60</v>
      </c>
      <c r="F125" s="9" t="s">
        <v>93</v>
      </c>
      <c r="G125" s="9" t="s">
        <v>65</v>
      </c>
      <c r="H125" s="9" t="s">
        <v>66</v>
      </c>
      <c r="I125" s="9">
        <v>11</v>
      </c>
      <c r="J125" s="9" t="s">
        <v>347</v>
      </c>
      <c r="K125" s="9" t="s">
        <v>347</v>
      </c>
      <c r="L125" s="9" t="s">
        <v>347</v>
      </c>
      <c r="M125" s="9" t="s">
        <v>348</v>
      </c>
      <c r="N125" s="9" t="s">
        <v>866</v>
      </c>
      <c r="O125" s="9" t="s">
        <v>97</v>
      </c>
      <c r="P125" s="9" t="s">
        <v>67</v>
      </c>
      <c r="Q125" s="9" t="s">
        <v>98</v>
      </c>
      <c r="R125" s="9" t="s">
        <v>347</v>
      </c>
      <c r="S125" s="9" t="s">
        <v>348</v>
      </c>
      <c r="T125" s="9" t="s">
        <v>818</v>
      </c>
      <c r="U125" s="9" t="s">
        <v>67</v>
      </c>
      <c r="V125" s="9" t="s">
        <v>130</v>
      </c>
      <c r="W125" s="9" t="s">
        <v>131</v>
      </c>
      <c r="X125" s="11">
        <v>50</v>
      </c>
      <c r="Y125" s="9" t="s">
        <v>353</v>
      </c>
      <c r="Z125" s="9" t="s">
        <v>68</v>
      </c>
      <c r="AA125" s="9" t="s">
        <v>354</v>
      </c>
      <c r="AB125" s="9" t="s">
        <v>67</v>
      </c>
      <c r="AC125" s="9" t="s">
        <v>103</v>
      </c>
      <c r="AD125" s="11">
        <v>1</v>
      </c>
      <c r="AE125" s="9" t="s">
        <v>70</v>
      </c>
      <c r="AF125" s="9" t="s">
        <v>71</v>
      </c>
      <c r="AG125" s="13">
        <v>1</v>
      </c>
      <c r="AH125" s="9" t="s">
        <v>92</v>
      </c>
      <c r="AI125" s="13">
        <v>10448800</v>
      </c>
      <c r="AJ125" s="13">
        <v>10448800</v>
      </c>
      <c r="AK125" s="11">
        <v>0</v>
      </c>
      <c r="AL125" s="11">
        <v>0</v>
      </c>
      <c r="AM125" s="11">
        <v>0</v>
      </c>
      <c r="AN125" s="9" t="s">
        <v>67</v>
      </c>
      <c r="AO125" s="11">
        <v>10448800</v>
      </c>
      <c r="AP125" s="13">
        <v>835904</v>
      </c>
      <c r="AQ125" s="13">
        <v>11284704</v>
      </c>
      <c r="AR125" s="11">
        <v>200</v>
      </c>
      <c r="AS125" s="9" t="s">
        <v>72</v>
      </c>
      <c r="AT125" s="12">
        <v>198.02</v>
      </c>
      <c r="AU125" s="9" t="s">
        <v>73</v>
      </c>
      <c r="AV125" s="9" t="s">
        <v>67</v>
      </c>
      <c r="AW125" s="9" t="s">
        <v>929</v>
      </c>
      <c r="AX125" s="10">
        <v>45958</v>
      </c>
      <c r="AY125" s="9" t="s">
        <v>1063</v>
      </c>
      <c r="AZ125" s="9" t="s">
        <v>67</v>
      </c>
      <c r="BA125" s="9" t="s">
        <v>67</v>
      </c>
      <c r="BB125" s="12">
        <v>200</v>
      </c>
      <c r="BC125" s="9" t="s">
        <v>74</v>
      </c>
      <c r="BD125" s="9" t="s">
        <v>104</v>
      </c>
      <c r="BE125" s="9" t="s">
        <v>75</v>
      </c>
      <c r="BF125" s="11">
        <v>0</v>
      </c>
      <c r="BG125">
        <f t="shared" si="4"/>
        <v>12</v>
      </c>
      <c r="BH125" t="str">
        <f>VLOOKUP(BG125,[1]month!$A:$B,2,0)</f>
        <v>Desember</v>
      </c>
      <c r="BI125">
        <f t="shared" si="5"/>
        <v>2025</v>
      </c>
      <c r="BJ125" t="str">
        <f>VLOOKUP(I125,[1]Dist!$A:$B,2,0)</f>
        <v>Industry</v>
      </c>
      <c r="BK125" t="str">
        <f>IF(I125=11,VLOOKUP(Y125,[2]Sheet1!$C:$N,10,0),IF(I125=13,VLOOKUP(Y125,[3]Sheet1!$C:$N,10,0),IF(I125=15,VLOOKUP(Y125,[4]Sheet1!$C:$N,10,0),"Unknown")))</f>
        <v>PU</v>
      </c>
      <c r="BL125" t="str">
        <f>IF(I125=11,VLOOKUP(Y125,[2]Sheet1!$C:$N,12,0),IF(I125=13,VLOOKUP(Y125,[3]Sheet1!$C:$N,12,0),IF(I125=15,VLOOKUP(Y125,[4]Sheet1!$C:$N,12,0),"Unknown")))</f>
        <v>PU SANDING SEALER</v>
      </c>
      <c r="BM125" t="str">
        <f>VLOOKUP(W125,[1]branch!$A:$B,2,0)</f>
        <v>INDUSTRY</v>
      </c>
    </row>
    <row r="126" spans="1:65" x14ac:dyDescent="0.35">
      <c r="A126" s="10">
        <v>45993</v>
      </c>
      <c r="B126" s="9" t="s">
        <v>1064</v>
      </c>
      <c r="C126" s="9" t="s">
        <v>64</v>
      </c>
      <c r="D126" s="9" t="s">
        <v>92</v>
      </c>
      <c r="E126" s="11">
        <v>60</v>
      </c>
      <c r="F126" s="9" t="s">
        <v>93</v>
      </c>
      <c r="G126" s="9" t="s">
        <v>65</v>
      </c>
      <c r="H126" s="9" t="s">
        <v>66</v>
      </c>
      <c r="I126" s="9">
        <v>11</v>
      </c>
      <c r="J126" s="9" t="s">
        <v>347</v>
      </c>
      <c r="K126" s="9" t="s">
        <v>347</v>
      </c>
      <c r="L126" s="9" t="s">
        <v>347</v>
      </c>
      <c r="M126" s="9" t="s">
        <v>348</v>
      </c>
      <c r="N126" s="9" t="s">
        <v>866</v>
      </c>
      <c r="O126" s="9" t="s">
        <v>97</v>
      </c>
      <c r="P126" s="9" t="s">
        <v>67</v>
      </c>
      <c r="Q126" s="9" t="s">
        <v>98</v>
      </c>
      <c r="R126" s="9" t="s">
        <v>347</v>
      </c>
      <c r="S126" s="9" t="s">
        <v>348</v>
      </c>
      <c r="T126" s="9" t="s">
        <v>818</v>
      </c>
      <c r="U126" s="9" t="s">
        <v>67</v>
      </c>
      <c r="V126" s="9" t="s">
        <v>130</v>
      </c>
      <c r="W126" s="9" t="s">
        <v>131</v>
      </c>
      <c r="X126" s="11">
        <v>30</v>
      </c>
      <c r="Y126" s="9" t="s">
        <v>105</v>
      </c>
      <c r="Z126" s="9" t="s">
        <v>68</v>
      </c>
      <c r="AA126" s="9" t="s">
        <v>106</v>
      </c>
      <c r="AB126" s="9" t="s">
        <v>67</v>
      </c>
      <c r="AC126" s="9" t="s">
        <v>107</v>
      </c>
      <c r="AD126" s="11">
        <v>5</v>
      </c>
      <c r="AE126" s="9" t="s">
        <v>70</v>
      </c>
      <c r="AF126" s="9" t="s">
        <v>71</v>
      </c>
      <c r="AG126" s="13">
        <v>1</v>
      </c>
      <c r="AH126" s="9" t="s">
        <v>92</v>
      </c>
      <c r="AI126" s="13">
        <v>1556000</v>
      </c>
      <c r="AJ126" s="13">
        <v>7780000</v>
      </c>
      <c r="AK126" s="11">
        <v>0</v>
      </c>
      <c r="AL126" s="11">
        <v>0</v>
      </c>
      <c r="AM126" s="11">
        <v>0</v>
      </c>
      <c r="AN126" s="9" t="s">
        <v>67</v>
      </c>
      <c r="AO126" s="11">
        <v>7780000</v>
      </c>
      <c r="AP126" s="13">
        <v>622400</v>
      </c>
      <c r="AQ126" s="13">
        <v>8402400</v>
      </c>
      <c r="AR126" s="11">
        <v>100</v>
      </c>
      <c r="AS126" s="9" t="s">
        <v>72</v>
      </c>
      <c r="AT126" s="12">
        <v>106.4</v>
      </c>
      <c r="AU126" s="9" t="s">
        <v>73</v>
      </c>
      <c r="AV126" s="9" t="s">
        <v>67</v>
      </c>
      <c r="AW126" s="9" t="s">
        <v>932</v>
      </c>
      <c r="AX126" s="10">
        <v>45961</v>
      </c>
      <c r="AY126" s="9" t="s">
        <v>1065</v>
      </c>
      <c r="AZ126" s="9" t="s">
        <v>67</v>
      </c>
      <c r="BA126" s="9" t="s">
        <v>67</v>
      </c>
      <c r="BB126" s="12">
        <v>100</v>
      </c>
      <c r="BC126" s="9" t="s">
        <v>74</v>
      </c>
      <c r="BD126" s="9" t="s">
        <v>104</v>
      </c>
      <c r="BE126" s="9" t="s">
        <v>75</v>
      </c>
      <c r="BF126" s="11">
        <v>0</v>
      </c>
      <c r="BG126">
        <f t="shared" si="4"/>
        <v>12</v>
      </c>
      <c r="BH126" t="str">
        <f>VLOOKUP(BG126,[1]month!$A:$B,2,0)</f>
        <v>Desember</v>
      </c>
      <c r="BI126">
        <f t="shared" si="5"/>
        <v>2025</v>
      </c>
      <c r="BJ126" t="str">
        <f>VLOOKUP(I126,[1]Dist!$A:$B,2,0)</f>
        <v>Industry</v>
      </c>
      <c r="BK126" t="str">
        <f>IF(I126=11,VLOOKUP(Y126,[2]Sheet1!$C:$N,10,0),IF(I126=13,VLOOKUP(Y126,[3]Sheet1!$C:$N,10,0),IF(I126=15,VLOOKUP(Y126,[4]Sheet1!$C:$N,10,0),"Unknown")))</f>
        <v>PU</v>
      </c>
      <c r="BL126" t="str">
        <f>IF(I126=11,VLOOKUP(Y126,[2]Sheet1!$C:$N,12,0),IF(I126=13,VLOOKUP(Y126,[3]Sheet1!$C:$N,12,0),IF(I126=15,VLOOKUP(Y126,[4]Sheet1!$C:$N,12,0),"Unknown")))</f>
        <v>PU HARDENER</v>
      </c>
      <c r="BM126" t="str">
        <f>VLOOKUP(W126,[1]branch!$A:$B,2,0)</f>
        <v>INDUSTRY</v>
      </c>
    </row>
    <row r="127" spans="1:65" x14ac:dyDescent="0.35">
      <c r="A127" s="10">
        <v>45993</v>
      </c>
      <c r="B127" s="9" t="s">
        <v>1066</v>
      </c>
      <c r="C127" s="9" t="s">
        <v>64</v>
      </c>
      <c r="D127" s="9" t="s">
        <v>92</v>
      </c>
      <c r="E127" s="11">
        <v>60</v>
      </c>
      <c r="F127" s="9" t="s">
        <v>93</v>
      </c>
      <c r="G127" s="9" t="s">
        <v>65</v>
      </c>
      <c r="H127" s="9" t="s">
        <v>66</v>
      </c>
      <c r="I127" s="9">
        <v>11</v>
      </c>
      <c r="J127" s="9" t="s">
        <v>347</v>
      </c>
      <c r="K127" s="9" t="s">
        <v>347</v>
      </c>
      <c r="L127" s="9" t="s">
        <v>347</v>
      </c>
      <c r="M127" s="9" t="s">
        <v>348</v>
      </c>
      <c r="N127" s="9" t="s">
        <v>866</v>
      </c>
      <c r="O127" s="9" t="s">
        <v>97</v>
      </c>
      <c r="P127" s="9" t="s">
        <v>67</v>
      </c>
      <c r="Q127" s="9" t="s">
        <v>98</v>
      </c>
      <c r="R127" s="9" t="s">
        <v>347</v>
      </c>
      <c r="S127" s="9" t="s">
        <v>348</v>
      </c>
      <c r="T127" s="9" t="s">
        <v>818</v>
      </c>
      <c r="U127" s="9" t="s">
        <v>67</v>
      </c>
      <c r="V127" s="9" t="s">
        <v>130</v>
      </c>
      <c r="W127" s="9" t="s">
        <v>131</v>
      </c>
      <c r="X127" s="11">
        <v>20</v>
      </c>
      <c r="Y127" s="9" t="s">
        <v>358</v>
      </c>
      <c r="Z127" s="9" t="s">
        <v>68</v>
      </c>
      <c r="AA127" s="9" t="s">
        <v>359</v>
      </c>
      <c r="AB127" s="9" t="s">
        <v>67</v>
      </c>
      <c r="AC127" s="9" t="s">
        <v>191</v>
      </c>
      <c r="AD127" s="11">
        <v>5</v>
      </c>
      <c r="AE127" s="9" t="s">
        <v>70</v>
      </c>
      <c r="AF127" s="9" t="s">
        <v>71</v>
      </c>
      <c r="AG127" s="13">
        <v>1</v>
      </c>
      <c r="AH127" s="9" t="s">
        <v>92</v>
      </c>
      <c r="AI127" s="13">
        <v>1140800</v>
      </c>
      <c r="AJ127" s="13">
        <v>5704000</v>
      </c>
      <c r="AK127" s="11">
        <v>0</v>
      </c>
      <c r="AL127" s="11">
        <v>0</v>
      </c>
      <c r="AM127" s="11">
        <v>0</v>
      </c>
      <c r="AN127" s="9" t="s">
        <v>67</v>
      </c>
      <c r="AO127" s="11">
        <v>5704000</v>
      </c>
      <c r="AP127" s="13">
        <v>456320</v>
      </c>
      <c r="AQ127" s="13">
        <v>6160320</v>
      </c>
      <c r="AR127" s="11">
        <v>97</v>
      </c>
      <c r="AS127" s="9" t="s">
        <v>72</v>
      </c>
      <c r="AT127" s="11">
        <v>100</v>
      </c>
      <c r="AU127" s="9" t="s">
        <v>73</v>
      </c>
      <c r="AV127" s="9" t="s">
        <v>67</v>
      </c>
      <c r="AW127" s="9" t="s">
        <v>935</v>
      </c>
      <c r="AX127" s="10">
        <v>45972</v>
      </c>
      <c r="AY127" s="9" t="s">
        <v>1067</v>
      </c>
      <c r="AZ127" s="9" t="s">
        <v>67</v>
      </c>
      <c r="BA127" s="9" t="s">
        <v>67</v>
      </c>
      <c r="BB127" s="12">
        <v>100</v>
      </c>
      <c r="BC127" s="9" t="s">
        <v>74</v>
      </c>
      <c r="BD127" s="9" t="s">
        <v>104</v>
      </c>
      <c r="BE127" s="9" t="s">
        <v>75</v>
      </c>
      <c r="BF127" s="11">
        <v>0</v>
      </c>
      <c r="BG127">
        <f t="shared" si="4"/>
        <v>12</v>
      </c>
      <c r="BH127" t="str">
        <f>VLOOKUP(BG127,[1]month!$A:$B,2,0)</f>
        <v>Desember</v>
      </c>
      <c r="BI127">
        <f t="shared" si="5"/>
        <v>2025</v>
      </c>
      <c r="BJ127" t="str">
        <f>VLOOKUP(I127,[1]Dist!$A:$B,2,0)</f>
        <v>Industry</v>
      </c>
      <c r="BK127" t="str">
        <f>IF(I127=11,VLOOKUP(Y127,[2]Sheet1!$C:$N,10,0),IF(I127=13,VLOOKUP(Y127,[3]Sheet1!$C:$N,10,0),IF(I127=15,VLOOKUP(Y127,[4]Sheet1!$C:$N,10,0),"Unknown")))</f>
        <v>NC</v>
      </c>
      <c r="BL127" t="str">
        <f>IF(I127=11,VLOOKUP(Y127,[2]Sheet1!$C:$N,12,0),IF(I127=13,VLOOKUP(Y127,[3]Sheet1!$C:$N,12,0),IF(I127=15,VLOOKUP(Y127,[4]Sheet1!$C:$N,12,0),"Unknown")))</f>
        <v>NC SYSTEM</v>
      </c>
      <c r="BM127" t="str">
        <f>VLOOKUP(W127,[1]branch!$A:$B,2,0)</f>
        <v>INDUSTRY</v>
      </c>
    </row>
    <row r="128" spans="1:65" x14ac:dyDescent="0.35">
      <c r="A128" s="10">
        <v>45993</v>
      </c>
      <c r="B128" s="9" t="s">
        <v>1066</v>
      </c>
      <c r="C128" s="9" t="s">
        <v>64</v>
      </c>
      <c r="D128" s="9" t="s">
        <v>92</v>
      </c>
      <c r="E128" s="11">
        <v>60</v>
      </c>
      <c r="F128" s="9" t="s">
        <v>93</v>
      </c>
      <c r="G128" s="9" t="s">
        <v>65</v>
      </c>
      <c r="H128" s="9" t="s">
        <v>66</v>
      </c>
      <c r="I128" s="9">
        <v>11</v>
      </c>
      <c r="J128" s="9" t="s">
        <v>347</v>
      </c>
      <c r="K128" s="9" t="s">
        <v>347</v>
      </c>
      <c r="L128" s="9" t="s">
        <v>347</v>
      </c>
      <c r="M128" s="9" t="s">
        <v>348</v>
      </c>
      <c r="N128" s="9" t="s">
        <v>866</v>
      </c>
      <c r="O128" s="9" t="s">
        <v>97</v>
      </c>
      <c r="P128" s="9" t="s">
        <v>67</v>
      </c>
      <c r="Q128" s="9" t="s">
        <v>98</v>
      </c>
      <c r="R128" s="9" t="s">
        <v>347</v>
      </c>
      <c r="S128" s="9" t="s">
        <v>348</v>
      </c>
      <c r="T128" s="9" t="s">
        <v>818</v>
      </c>
      <c r="U128" s="9" t="s">
        <v>67</v>
      </c>
      <c r="V128" s="9" t="s">
        <v>130</v>
      </c>
      <c r="W128" s="9" t="s">
        <v>131</v>
      </c>
      <c r="X128" s="11">
        <v>110</v>
      </c>
      <c r="Y128" s="9" t="s">
        <v>515</v>
      </c>
      <c r="Z128" s="9" t="s">
        <v>68</v>
      </c>
      <c r="AA128" s="9" t="s">
        <v>516</v>
      </c>
      <c r="AB128" s="9" t="s">
        <v>67</v>
      </c>
      <c r="AC128" s="9" t="s">
        <v>79</v>
      </c>
      <c r="AD128" s="11">
        <v>1</v>
      </c>
      <c r="AE128" s="9" t="s">
        <v>70</v>
      </c>
      <c r="AF128" s="9" t="s">
        <v>71</v>
      </c>
      <c r="AG128" s="13">
        <v>1</v>
      </c>
      <c r="AH128" s="9" t="s">
        <v>92</v>
      </c>
      <c r="AI128" s="13">
        <v>8190000</v>
      </c>
      <c r="AJ128" s="13">
        <v>8190000</v>
      </c>
      <c r="AK128" s="11">
        <v>0</v>
      </c>
      <c r="AL128" s="11">
        <v>0</v>
      </c>
      <c r="AM128" s="11">
        <v>0</v>
      </c>
      <c r="AN128" s="9" t="s">
        <v>67</v>
      </c>
      <c r="AO128" s="11">
        <v>8190000</v>
      </c>
      <c r="AP128" s="13">
        <v>655200</v>
      </c>
      <c r="AQ128" s="13">
        <v>8845200</v>
      </c>
      <c r="AR128" s="11">
        <v>160</v>
      </c>
      <c r="AS128" s="9" t="s">
        <v>72</v>
      </c>
      <c r="AT128" s="11">
        <v>200</v>
      </c>
      <c r="AU128" s="9" t="s">
        <v>73</v>
      </c>
      <c r="AV128" s="9" t="s">
        <v>67</v>
      </c>
      <c r="AW128" s="9" t="s">
        <v>935</v>
      </c>
      <c r="AX128" s="10">
        <v>45972</v>
      </c>
      <c r="AY128" s="9" t="s">
        <v>1067</v>
      </c>
      <c r="AZ128" s="9" t="s">
        <v>67</v>
      </c>
      <c r="BA128" s="9" t="s">
        <v>67</v>
      </c>
      <c r="BB128" s="12">
        <v>200</v>
      </c>
      <c r="BC128" s="9" t="s">
        <v>74</v>
      </c>
      <c r="BD128" s="9" t="s">
        <v>104</v>
      </c>
      <c r="BE128" s="9" t="s">
        <v>75</v>
      </c>
      <c r="BF128" s="11">
        <v>0</v>
      </c>
      <c r="BG128">
        <f t="shared" si="4"/>
        <v>12</v>
      </c>
      <c r="BH128" t="str">
        <f>VLOOKUP(BG128,[1]month!$A:$B,2,0)</f>
        <v>Desember</v>
      </c>
      <c r="BI128">
        <f t="shared" si="5"/>
        <v>2025</v>
      </c>
      <c r="BJ128" t="str">
        <f>VLOOKUP(I128,[1]Dist!$A:$B,2,0)</f>
        <v>Industry</v>
      </c>
      <c r="BK128" t="str">
        <f>IF(I128=11,VLOOKUP(Y128,[2]Sheet1!$C:$N,10,0),IF(I128=13,VLOOKUP(Y128,[3]Sheet1!$C:$N,10,0),IF(I128=15,VLOOKUP(Y128,[4]Sheet1!$C:$N,10,0),"Unknown")))</f>
        <v>THINNER NC</v>
      </c>
      <c r="BL128" t="str">
        <f>IF(I128=11,VLOOKUP(Y128,[2]Sheet1!$C:$N,12,0),IF(I128=13,VLOOKUP(Y128,[3]Sheet1!$C:$N,12,0),IF(I128=15,VLOOKUP(Y128,[4]Sheet1!$C:$N,12,0),"Unknown")))</f>
        <v>THINNER GLAZE</v>
      </c>
      <c r="BM128" t="str">
        <f>VLOOKUP(W128,[1]branch!$A:$B,2,0)</f>
        <v>INDUSTRY</v>
      </c>
    </row>
    <row r="129" spans="1:65" x14ac:dyDescent="0.35">
      <c r="A129" s="10">
        <v>45993</v>
      </c>
      <c r="B129" s="9" t="s">
        <v>1068</v>
      </c>
      <c r="C129" s="9" t="s">
        <v>64</v>
      </c>
      <c r="D129" s="9" t="s">
        <v>92</v>
      </c>
      <c r="E129" s="11">
        <v>60</v>
      </c>
      <c r="F129" s="9" t="s">
        <v>93</v>
      </c>
      <c r="G129" s="9" t="s">
        <v>65</v>
      </c>
      <c r="H129" s="9" t="s">
        <v>66</v>
      </c>
      <c r="I129" s="9">
        <v>11</v>
      </c>
      <c r="J129" s="9" t="s">
        <v>347</v>
      </c>
      <c r="K129" s="9" t="s">
        <v>347</v>
      </c>
      <c r="L129" s="9" t="s">
        <v>347</v>
      </c>
      <c r="M129" s="9" t="s">
        <v>348</v>
      </c>
      <c r="N129" s="9" t="s">
        <v>866</v>
      </c>
      <c r="O129" s="9" t="s">
        <v>97</v>
      </c>
      <c r="P129" s="9" t="s">
        <v>67</v>
      </c>
      <c r="Q129" s="9" t="s">
        <v>98</v>
      </c>
      <c r="R129" s="9" t="s">
        <v>347</v>
      </c>
      <c r="S129" s="9" t="s">
        <v>348</v>
      </c>
      <c r="T129" s="9" t="s">
        <v>818</v>
      </c>
      <c r="U129" s="9" t="s">
        <v>67</v>
      </c>
      <c r="V129" s="9" t="s">
        <v>130</v>
      </c>
      <c r="W129" s="9" t="s">
        <v>131</v>
      </c>
      <c r="X129" s="11">
        <v>40</v>
      </c>
      <c r="Y129" s="9" t="s">
        <v>355</v>
      </c>
      <c r="Z129" s="9" t="s">
        <v>68</v>
      </c>
      <c r="AA129" s="9" t="s">
        <v>356</v>
      </c>
      <c r="AB129" s="9" t="s">
        <v>67</v>
      </c>
      <c r="AC129" s="9" t="s">
        <v>357</v>
      </c>
      <c r="AD129" s="11">
        <v>1</v>
      </c>
      <c r="AE129" s="9" t="s">
        <v>70</v>
      </c>
      <c r="AF129" s="9" t="s">
        <v>71</v>
      </c>
      <c r="AG129" s="13">
        <v>1</v>
      </c>
      <c r="AH129" s="9" t="s">
        <v>92</v>
      </c>
      <c r="AI129" s="13">
        <v>11402000</v>
      </c>
      <c r="AJ129" s="13">
        <v>11402000</v>
      </c>
      <c r="AK129" s="11">
        <v>0</v>
      </c>
      <c r="AL129" s="11">
        <v>0</v>
      </c>
      <c r="AM129" s="11">
        <v>0</v>
      </c>
      <c r="AN129" s="9" t="s">
        <v>67</v>
      </c>
      <c r="AO129" s="11">
        <v>11402000</v>
      </c>
      <c r="AP129" s="13">
        <v>912160</v>
      </c>
      <c r="AQ129" s="13">
        <v>12314160</v>
      </c>
      <c r="AR129" s="11">
        <v>198</v>
      </c>
      <c r="AS129" s="9" t="s">
        <v>72</v>
      </c>
      <c r="AT129" s="11">
        <v>200</v>
      </c>
      <c r="AU129" s="9" t="s">
        <v>73</v>
      </c>
      <c r="AV129" s="9" t="s">
        <v>67</v>
      </c>
      <c r="AW129" s="9" t="s">
        <v>941</v>
      </c>
      <c r="AX129" s="10">
        <v>45975</v>
      </c>
      <c r="AY129" s="9" t="s">
        <v>1069</v>
      </c>
      <c r="AZ129" s="9" t="s">
        <v>67</v>
      </c>
      <c r="BA129" s="9" t="s">
        <v>67</v>
      </c>
      <c r="BB129" s="12">
        <v>200</v>
      </c>
      <c r="BC129" s="9" t="s">
        <v>74</v>
      </c>
      <c r="BD129" s="9" t="s">
        <v>104</v>
      </c>
      <c r="BE129" s="9" t="s">
        <v>75</v>
      </c>
      <c r="BF129" s="11">
        <v>0</v>
      </c>
      <c r="BG129">
        <f t="shared" si="4"/>
        <v>12</v>
      </c>
      <c r="BH129" t="str">
        <f>VLOOKUP(BG129,[1]month!$A:$B,2,0)</f>
        <v>Desember</v>
      </c>
      <c r="BI129">
        <f t="shared" si="5"/>
        <v>2025</v>
      </c>
      <c r="BJ129" t="str">
        <f>VLOOKUP(I129,[1]Dist!$A:$B,2,0)</f>
        <v>Industry</v>
      </c>
      <c r="BK129" t="str">
        <f>IF(I129=11,VLOOKUP(Y129,[2]Sheet1!$C:$N,10,0),IF(I129=13,VLOOKUP(Y129,[3]Sheet1!$C:$N,10,0),IF(I129=15,VLOOKUP(Y129,[4]Sheet1!$C:$N,10,0),"Unknown")))</f>
        <v>NC</v>
      </c>
      <c r="BL129" t="str">
        <f>IF(I129=11,VLOOKUP(Y129,[2]Sheet1!$C:$N,12,0),IF(I129=13,VLOOKUP(Y129,[3]Sheet1!$C:$N,12,0),IF(I129=15,VLOOKUP(Y129,[4]Sheet1!$C:$N,12,0),"Unknown")))</f>
        <v>NC SYSTEM</v>
      </c>
      <c r="BM129" t="str">
        <f>VLOOKUP(W129,[1]branch!$A:$B,2,0)</f>
        <v>INDUSTRY</v>
      </c>
    </row>
    <row r="130" spans="1:65" x14ac:dyDescent="0.35">
      <c r="A130" s="10">
        <v>45993</v>
      </c>
      <c r="B130" s="9" t="s">
        <v>1070</v>
      </c>
      <c r="C130" s="9" t="s">
        <v>64</v>
      </c>
      <c r="D130" s="9" t="s">
        <v>92</v>
      </c>
      <c r="E130" s="11">
        <v>60</v>
      </c>
      <c r="F130" s="9" t="s">
        <v>93</v>
      </c>
      <c r="G130" s="9" t="s">
        <v>65</v>
      </c>
      <c r="H130" s="9" t="s">
        <v>66</v>
      </c>
      <c r="I130" s="9">
        <v>11</v>
      </c>
      <c r="J130" s="9" t="s">
        <v>347</v>
      </c>
      <c r="K130" s="9" t="s">
        <v>347</v>
      </c>
      <c r="L130" s="9" t="s">
        <v>347</v>
      </c>
      <c r="M130" s="9" t="s">
        <v>348</v>
      </c>
      <c r="N130" s="9" t="s">
        <v>866</v>
      </c>
      <c r="O130" s="9" t="s">
        <v>97</v>
      </c>
      <c r="P130" s="9" t="s">
        <v>67</v>
      </c>
      <c r="Q130" s="9" t="s">
        <v>98</v>
      </c>
      <c r="R130" s="9" t="s">
        <v>347</v>
      </c>
      <c r="S130" s="9" t="s">
        <v>348</v>
      </c>
      <c r="T130" s="9" t="s">
        <v>818</v>
      </c>
      <c r="U130" s="9" t="s">
        <v>67</v>
      </c>
      <c r="V130" s="9" t="s">
        <v>130</v>
      </c>
      <c r="W130" s="9" t="s">
        <v>131</v>
      </c>
      <c r="X130" s="11">
        <v>10</v>
      </c>
      <c r="Y130" s="9" t="s">
        <v>148</v>
      </c>
      <c r="Z130" s="9" t="s">
        <v>68</v>
      </c>
      <c r="AA130" s="9" t="s">
        <v>149</v>
      </c>
      <c r="AB130" s="9" t="s">
        <v>67</v>
      </c>
      <c r="AC130" s="9" t="s">
        <v>69</v>
      </c>
      <c r="AD130" s="11">
        <v>5</v>
      </c>
      <c r="AE130" s="9" t="s">
        <v>70</v>
      </c>
      <c r="AF130" s="9" t="s">
        <v>71</v>
      </c>
      <c r="AG130" s="13">
        <v>1</v>
      </c>
      <c r="AH130" s="9" t="s">
        <v>92</v>
      </c>
      <c r="AI130" s="13">
        <v>7298800</v>
      </c>
      <c r="AJ130" s="13">
        <v>36494000</v>
      </c>
      <c r="AK130" s="11">
        <v>0</v>
      </c>
      <c r="AL130" s="11">
        <v>0</v>
      </c>
      <c r="AM130" s="11">
        <v>0</v>
      </c>
      <c r="AN130" s="9" t="s">
        <v>67</v>
      </c>
      <c r="AO130" s="11">
        <v>36494000</v>
      </c>
      <c r="AP130" s="13">
        <v>2919520</v>
      </c>
      <c r="AQ130" s="13">
        <v>39413520</v>
      </c>
      <c r="AR130" s="11">
        <v>900</v>
      </c>
      <c r="AS130" s="9" t="s">
        <v>72</v>
      </c>
      <c r="AT130" s="11">
        <v>1000</v>
      </c>
      <c r="AU130" s="9" t="s">
        <v>73</v>
      </c>
      <c r="AV130" s="9" t="s">
        <v>67</v>
      </c>
      <c r="AW130" s="9" t="s">
        <v>946</v>
      </c>
      <c r="AX130" s="10">
        <v>45982</v>
      </c>
      <c r="AY130" s="9" t="s">
        <v>1071</v>
      </c>
      <c r="AZ130" s="9" t="s">
        <v>67</v>
      </c>
      <c r="BA130" s="9" t="s">
        <v>67</v>
      </c>
      <c r="BB130" s="12">
        <v>1000</v>
      </c>
      <c r="BC130" s="9" t="s">
        <v>74</v>
      </c>
      <c r="BD130" s="9" t="s">
        <v>104</v>
      </c>
      <c r="BE130" s="9" t="s">
        <v>75</v>
      </c>
      <c r="BF130" s="11">
        <v>0</v>
      </c>
      <c r="BG130">
        <f t="shared" si="4"/>
        <v>12</v>
      </c>
      <c r="BH130" t="str">
        <f>VLOOKUP(BG130,[1]month!$A:$B,2,0)</f>
        <v>Desember</v>
      </c>
      <c r="BI130">
        <f t="shared" si="5"/>
        <v>2025</v>
      </c>
      <c r="BJ130" t="str">
        <f>VLOOKUP(I130,[1]Dist!$A:$B,2,0)</f>
        <v>Industry</v>
      </c>
      <c r="BK130" t="str">
        <f>IF(I130=11,VLOOKUP(Y130,[2]Sheet1!$C:$N,10,0),IF(I130=13,VLOOKUP(Y130,[3]Sheet1!$C:$N,10,0),IF(I130=15,VLOOKUP(Y130,[4]Sheet1!$C:$N,10,0),"Unknown")))</f>
        <v>THINNER NC</v>
      </c>
      <c r="BL130" t="str">
        <f>IF(I130=11,VLOOKUP(Y130,[2]Sheet1!$C:$N,12,0),IF(I130=13,VLOOKUP(Y130,[3]Sheet1!$C:$N,12,0),IF(I130=15,VLOOKUP(Y130,[4]Sheet1!$C:$N,12,0),"Unknown")))</f>
        <v>THINNER NC</v>
      </c>
      <c r="BM130" t="str">
        <f>VLOOKUP(W130,[1]branch!$A:$B,2,0)</f>
        <v>INDUSTRY</v>
      </c>
    </row>
    <row r="131" spans="1:65" x14ac:dyDescent="0.35">
      <c r="A131" s="10">
        <v>45993</v>
      </c>
      <c r="B131" s="9" t="s">
        <v>1070</v>
      </c>
      <c r="C131" s="9" t="s">
        <v>64</v>
      </c>
      <c r="D131" s="9" t="s">
        <v>92</v>
      </c>
      <c r="E131" s="11">
        <v>60</v>
      </c>
      <c r="F131" s="9" t="s">
        <v>93</v>
      </c>
      <c r="G131" s="9" t="s">
        <v>65</v>
      </c>
      <c r="H131" s="9" t="s">
        <v>66</v>
      </c>
      <c r="I131" s="9">
        <v>11</v>
      </c>
      <c r="J131" s="9" t="s">
        <v>347</v>
      </c>
      <c r="K131" s="9" t="s">
        <v>347</v>
      </c>
      <c r="L131" s="9" t="s">
        <v>347</v>
      </c>
      <c r="M131" s="9" t="s">
        <v>348</v>
      </c>
      <c r="N131" s="9" t="s">
        <v>866</v>
      </c>
      <c r="O131" s="9" t="s">
        <v>97</v>
      </c>
      <c r="P131" s="9" t="s">
        <v>67</v>
      </c>
      <c r="Q131" s="9" t="s">
        <v>98</v>
      </c>
      <c r="R131" s="9" t="s">
        <v>347</v>
      </c>
      <c r="S131" s="9" t="s">
        <v>348</v>
      </c>
      <c r="T131" s="9" t="s">
        <v>818</v>
      </c>
      <c r="U131" s="9" t="s">
        <v>67</v>
      </c>
      <c r="V131" s="9" t="s">
        <v>130</v>
      </c>
      <c r="W131" s="9" t="s">
        <v>131</v>
      </c>
      <c r="X131" s="11">
        <v>20</v>
      </c>
      <c r="Y131" s="9" t="s">
        <v>587</v>
      </c>
      <c r="Z131" s="9" t="s">
        <v>68</v>
      </c>
      <c r="AA131" s="9" t="s">
        <v>588</v>
      </c>
      <c r="AB131" s="9" t="s">
        <v>67</v>
      </c>
      <c r="AC131" s="9" t="s">
        <v>373</v>
      </c>
      <c r="AD131" s="11">
        <v>10</v>
      </c>
      <c r="AE131" s="9" t="s">
        <v>70</v>
      </c>
      <c r="AF131" s="9" t="s">
        <v>71</v>
      </c>
      <c r="AG131" s="13">
        <v>1</v>
      </c>
      <c r="AH131" s="9" t="s">
        <v>92</v>
      </c>
      <c r="AI131" s="13">
        <v>1462120</v>
      </c>
      <c r="AJ131" s="13">
        <v>14621200</v>
      </c>
      <c r="AK131" s="11">
        <v>0</v>
      </c>
      <c r="AL131" s="11">
        <v>0</v>
      </c>
      <c r="AM131" s="11">
        <v>0</v>
      </c>
      <c r="AN131" s="9" t="s">
        <v>67</v>
      </c>
      <c r="AO131" s="11">
        <v>14621200</v>
      </c>
      <c r="AP131" s="13">
        <v>1169696</v>
      </c>
      <c r="AQ131" s="13">
        <v>15790896</v>
      </c>
      <c r="AR131" s="11">
        <v>40</v>
      </c>
      <c r="AS131" s="9" t="s">
        <v>72</v>
      </c>
      <c r="AT131" s="12">
        <v>37.4</v>
      </c>
      <c r="AU131" s="9" t="s">
        <v>73</v>
      </c>
      <c r="AV131" s="9" t="s">
        <v>67</v>
      </c>
      <c r="AW131" s="9" t="s">
        <v>946</v>
      </c>
      <c r="AX131" s="10">
        <v>45982</v>
      </c>
      <c r="AY131" s="9" t="s">
        <v>1071</v>
      </c>
      <c r="AZ131" s="9" t="s">
        <v>67</v>
      </c>
      <c r="BA131" s="9" t="s">
        <v>67</v>
      </c>
      <c r="BB131" s="12">
        <v>40</v>
      </c>
      <c r="BC131" s="9" t="s">
        <v>74</v>
      </c>
      <c r="BD131" s="9" t="s">
        <v>104</v>
      </c>
      <c r="BE131" s="9" t="s">
        <v>75</v>
      </c>
      <c r="BF131" s="11">
        <v>0</v>
      </c>
      <c r="BG131">
        <f t="shared" ref="BG131:BG194" si="6">MONTH(A131)</f>
        <v>12</v>
      </c>
      <c r="BH131" t="str">
        <f>VLOOKUP(BG131,[1]month!$A:$B,2,0)</f>
        <v>Desember</v>
      </c>
      <c r="BI131">
        <f t="shared" ref="BI131:BI194" si="7">YEAR(A131)</f>
        <v>2025</v>
      </c>
      <c r="BJ131" t="str">
        <f>VLOOKUP(I131,[1]Dist!$A:$B,2,0)</f>
        <v>Industry</v>
      </c>
      <c r="BK131" t="str">
        <f>IF(I131=11,VLOOKUP(Y131,[2]Sheet1!$C:$N,10,0),IF(I131=13,VLOOKUP(Y131,[3]Sheet1!$C:$N,10,0),IF(I131=15,VLOOKUP(Y131,[4]Sheet1!$C:$N,10,0),"Unknown")))</f>
        <v>STAIN &amp; GLAZE INTERIOR</v>
      </c>
      <c r="BL131" t="str">
        <f>IF(I131=11,VLOOKUP(Y131,[2]Sheet1!$C:$N,12,0),IF(I131=13,VLOOKUP(Y131,[3]Sheet1!$C:$N,12,0),IF(I131=15,VLOOKUP(Y131,[4]Sheet1!$C:$N,12,0),"Unknown")))</f>
        <v>STAIN INTERIOR</v>
      </c>
      <c r="BM131" t="str">
        <f>VLOOKUP(W131,[1]branch!$A:$B,2,0)</f>
        <v>INDUSTRY</v>
      </c>
    </row>
    <row r="132" spans="1:65" x14ac:dyDescent="0.35">
      <c r="A132" s="10">
        <v>45993</v>
      </c>
      <c r="B132" s="9" t="s">
        <v>1070</v>
      </c>
      <c r="C132" s="9" t="s">
        <v>64</v>
      </c>
      <c r="D132" s="9" t="s">
        <v>92</v>
      </c>
      <c r="E132" s="11">
        <v>60</v>
      </c>
      <c r="F132" s="9" t="s">
        <v>93</v>
      </c>
      <c r="G132" s="9" t="s">
        <v>65</v>
      </c>
      <c r="H132" s="9" t="s">
        <v>66</v>
      </c>
      <c r="I132" s="9">
        <v>11</v>
      </c>
      <c r="J132" s="9" t="s">
        <v>347</v>
      </c>
      <c r="K132" s="9" t="s">
        <v>347</v>
      </c>
      <c r="L132" s="9" t="s">
        <v>347</v>
      </c>
      <c r="M132" s="9" t="s">
        <v>348</v>
      </c>
      <c r="N132" s="9" t="s">
        <v>866</v>
      </c>
      <c r="O132" s="9" t="s">
        <v>97</v>
      </c>
      <c r="P132" s="9" t="s">
        <v>67</v>
      </c>
      <c r="Q132" s="9" t="s">
        <v>98</v>
      </c>
      <c r="R132" s="9" t="s">
        <v>347</v>
      </c>
      <c r="S132" s="9" t="s">
        <v>348</v>
      </c>
      <c r="T132" s="9" t="s">
        <v>818</v>
      </c>
      <c r="U132" s="9" t="s">
        <v>67</v>
      </c>
      <c r="V132" s="9" t="s">
        <v>130</v>
      </c>
      <c r="W132" s="9" t="s">
        <v>131</v>
      </c>
      <c r="X132" s="11">
        <v>40</v>
      </c>
      <c r="Y132" s="9" t="s">
        <v>815</v>
      </c>
      <c r="Z132" s="9" t="s">
        <v>68</v>
      </c>
      <c r="AA132" s="9" t="s">
        <v>816</v>
      </c>
      <c r="AB132" s="9" t="s">
        <v>67</v>
      </c>
      <c r="AC132" s="9" t="s">
        <v>367</v>
      </c>
      <c r="AD132" s="11">
        <v>5</v>
      </c>
      <c r="AE132" s="9" t="s">
        <v>70</v>
      </c>
      <c r="AF132" s="9" t="s">
        <v>71</v>
      </c>
      <c r="AG132" s="13">
        <v>1</v>
      </c>
      <c r="AH132" s="9" t="s">
        <v>92</v>
      </c>
      <c r="AI132" s="13">
        <v>1836000</v>
      </c>
      <c r="AJ132" s="13">
        <v>9180000</v>
      </c>
      <c r="AK132" s="11">
        <v>0</v>
      </c>
      <c r="AL132" s="11">
        <v>0</v>
      </c>
      <c r="AM132" s="11">
        <v>0</v>
      </c>
      <c r="AN132" s="9" t="s">
        <v>67</v>
      </c>
      <c r="AO132" s="11">
        <v>9180000</v>
      </c>
      <c r="AP132" s="13">
        <v>734400</v>
      </c>
      <c r="AQ132" s="13">
        <v>9914400</v>
      </c>
      <c r="AR132" s="11">
        <v>90</v>
      </c>
      <c r="AS132" s="9" t="s">
        <v>72</v>
      </c>
      <c r="AT132" s="12">
        <v>87.38</v>
      </c>
      <c r="AU132" s="9" t="s">
        <v>73</v>
      </c>
      <c r="AV132" s="9" t="s">
        <v>67</v>
      </c>
      <c r="AW132" s="9" t="s">
        <v>946</v>
      </c>
      <c r="AX132" s="10">
        <v>45982</v>
      </c>
      <c r="AY132" s="9" t="s">
        <v>1071</v>
      </c>
      <c r="AZ132" s="9" t="s">
        <v>67</v>
      </c>
      <c r="BA132" s="9" t="s">
        <v>67</v>
      </c>
      <c r="BB132" s="12">
        <v>90</v>
      </c>
      <c r="BC132" s="9" t="s">
        <v>74</v>
      </c>
      <c r="BD132" s="9" t="s">
        <v>104</v>
      </c>
      <c r="BE132" s="9" t="s">
        <v>75</v>
      </c>
      <c r="BF132" s="11">
        <v>0</v>
      </c>
      <c r="BG132">
        <f t="shared" si="6"/>
        <v>12</v>
      </c>
      <c r="BH132" t="str">
        <f>VLOOKUP(BG132,[1]month!$A:$B,2,0)</f>
        <v>Desember</v>
      </c>
      <c r="BI132">
        <f t="shared" si="7"/>
        <v>2025</v>
      </c>
      <c r="BJ132" t="str">
        <f>VLOOKUP(I132,[1]Dist!$A:$B,2,0)</f>
        <v>Industry</v>
      </c>
      <c r="BK132" t="str">
        <f>IF(I132=11,VLOOKUP(Y132,[2]Sheet1!$C:$N,10,0),IF(I132=13,VLOOKUP(Y132,[3]Sheet1!$C:$N,10,0),IF(I132=15,VLOOKUP(Y132,[4]Sheet1!$C:$N,10,0),"Unknown")))</f>
        <v>NC</v>
      </c>
      <c r="BL132" t="str">
        <f>IF(I132=11,VLOOKUP(Y132,[2]Sheet1!$C:$N,12,0),IF(I132=13,VLOOKUP(Y132,[3]Sheet1!$C:$N,12,0),IF(I132=15,VLOOKUP(Y132,[4]Sheet1!$C:$N,12,0),"Unknown")))</f>
        <v>NC SYSTEM</v>
      </c>
      <c r="BM132" t="str">
        <f>VLOOKUP(W132,[1]branch!$A:$B,2,0)</f>
        <v>INDUSTRY</v>
      </c>
    </row>
    <row r="133" spans="1:65" x14ac:dyDescent="0.35">
      <c r="A133" s="10">
        <v>45993</v>
      </c>
      <c r="B133" s="9" t="s">
        <v>1072</v>
      </c>
      <c r="C133" s="9" t="s">
        <v>64</v>
      </c>
      <c r="D133" s="9" t="s">
        <v>92</v>
      </c>
      <c r="E133" s="11">
        <v>60</v>
      </c>
      <c r="F133" s="9" t="s">
        <v>93</v>
      </c>
      <c r="G133" s="9" t="s">
        <v>65</v>
      </c>
      <c r="H133" s="9" t="s">
        <v>66</v>
      </c>
      <c r="I133" s="9">
        <v>11</v>
      </c>
      <c r="J133" s="9" t="s">
        <v>347</v>
      </c>
      <c r="K133" s="9" t="s">
        <v>347</v>
      </c>
      <c r="L133" s="9" t="s">
        <v>347</v>
      </c>
      <c r="M133" s="9" t="s">
        <v>348</v>
      </c>
      <c r="N133" s="9" t="s">
        <v>866</v>
      </c>
      <c r="O133" s="9" t="s">
        <v>97</v>
      </c>
      <c r="P133" s="9" t="s">
        <v>67</v>
      </c>
      <c r="Q133" s="9" t="s">
        <v>98</v>
      </c>
      <c r="R133" s="9" t="s">
        <v>347</v>
      </c>
      <c r="S133" s="9" t="s">
        <v>348</v>
      </c>
      <c r="T133" s="9" t="s">
        <v>818</v>
      </c>
      <c r="U133" s="9" t="s">
        <v>67</v>
      </c>
      <c r="V133" s="9" t="s">
        <v>130</v>
      </c>
      <c r="W133" s="9" t="s">
        <v>131</v>
      </c>
      <c r="X133" s="11">
        <v>10</v>
      </c>
      <c r="Y133" s="9" t="s">
        <v>605</v>
      </c>
      <c r="Z133" s="9" t="s">
        <v>68</v>
      </c>
      <c r="AA133" s="9" t="s">
        <v>606</v>
      </c>
      <c r="AB133" s="9" t="s">
        <v>67</v>
      </c>
      <c r="AC133" s="9" t="s">
        <v>293</v>
      </c>
      <c r="AD133" s="11">
        <v>5</v>
      </c>
      <c r="AE133" s="9" t="s">
        <v>70</v>
      </c>
      <c r="AF133" s="9" t="s">
        <v>71</v>
      </c>
      <c r="AG133" s="13">
        <v>1</v>
      </c>
      <c r="AH133" s="9" t="s">
        <v>92</v>
      </c>
      <c r="AI133" s="13">
        <v>2344000</v>
      </c>
      <c r="AJ133" s="13">
        <v>11720000</v>
      </c>
      <c r="AK133" s="11">
        <v>0</v>
      </c>
      <c r="AL133" s="11">
        <v>0</v>
      </c>
      <c r="AM133" s="11">
        <v>0</v>
      </c>
      <c r="AN133" s="9" t="s">
        <v>67</v>
      </c>
      <c r="AO133" s="11">
        <v>11720000</v>
      </c>
      <c r="AP133" s="13">
        <v>937600</v>
      </c>
      <c r="AQ133" s="13">
        <v>12657600</v>
      </c>
      <c r="AR133" s="11">
        <v>100</v>
      </c>
      <c r="AS133" s="9" t="s">
        <v>72</v>
      </c>
      <c r="AT133" s="11">
        <v>100</v>
      </c>
      <c r="AU133" s="9" t="s">
        <v>73</v>
      </c>
      <c r="AV133" s="9" t="s">
        <v>67</v>
      </c>
      <c r="AW133" s="9" t="s">
        <v>1073</v>
      </c>
      <c r="AX133" s="10">
        <v>45986</v>
      </c>
      <c r="AY133" s="9" t="s">
        <v>1074</v>
      </c>
      <c r="AZ133" s="9" t="s">
        <v>67</v>
      </c>
      <c r="BA133" s="9" t="s">
        <v>67</v>
      </c>
      <c r="BB133" s="12">
        <v>100</v>
      </c>
      <c r="BC133" s="9" t="s">
        <v>74</v>
      </c>
      <c r="BD133" s="9" t="s">
        <v>104</v>
      </c>
      <c r="BE133" s="9" t="s">
        <v>75</v>
      </c>
      <c r="BF133" s="11">
        <v>0</v>
      </c>
      <c r="BG133">
        <f t="shared" si="6"/>
        <v>12</v>
      </c>
      <c r="BH133" t="str">
        <f>VLOOKUP(BG133,[1]month!$A:$B,2,0)</f>
        <v>Desember</v>
      </c>
      <c r="BI133">
        <f t="shared" si="7"/>
        <v>2025</v>
      </c>
      <c r="BJ133" t="str">
        <f>VLOOKUP(I133,[1]Dist!$A:$B,2,0)</f>
        <v>Industry</v>
      </c>
      <c r="BK133" t="str">
        <f>IF(I133=11,VLOOKUP(Y133,[2]Sheet1!$C:$N,10,0),IF(I133=13,VLOOKUP(Y133,[3]Sheet1!$C:$N,10,0),IF(I133=15,VLOOKUP(Y133,[4]Sheet1!$C:$N,10,0),"Unknown")))</f>
        <v>PU</v>
      </c>
      <c r="BL133" t="str">
        <f>IF(I133=11,VLOOKUP(Y133,[2]Sheet1!$C:$N,12,0),IF(I133=13,VLOOKUP(Y133,[3]Sheet1!$C:$N,12,0),IF(I133=15,VLOOKUP(Y133,[4]Sheet1!$C:$N,12,0),"Unknown")))</f>
        <v>PU SANDING SEALER</v>
      </c>
      <c r="BM133" t="str">
        <f>VLOOKUP(W133,[1]branch!$A:$B,2,0)</f>
        <v>INDUSTRY</v>
      </c>
    </row>
    <row r="134" spans="1:65" x14ac:dyDescent="0.35">
      <c r="A134" s="10">
        <v>45993</v>
      </c>
      <c r="B134" s="9" t="s">
        <v>1072</v>
      </c>
      <c r="C134" s="9" t="s">
        <v>64</v>
      </c>
      <c r="D134" s="9" t="s">
        <v>92</v>
      </c>
      <c r="E134" s="11">
        <v>60</v>
      </c>
      <c r="F134" s="9" t="s">
        <v>93</v>
      </c>
      <c r="G134" s="9" t="s">
        <v>65</v>
      </c>
      <c r="H134" s="9" t="s">
        <v>66</v>
      </c>
      <c r="I134" s="9">
        <v>11</v>
      </c>
      <c r="J134" s="9" t="s">
        <v>347</v>
      </c>
      <c r="K134" s="9" t="s">
        <v>347</v>
      </c>
      <c r="L134" s="9" t="s">
        <v>347</v>
      </c>
      <c r="M134" s="9" t="s">
        <v>348</v>
      </c>
      <c r="N134" s="9" t="s">
        <v>866</v>
      </c>
      <c r="O134" s="9" t="s">
        <v>97</v>
      </c>
      <c r="P134" s="9" t="s">
        <v>67</v>
      </c>
      <c r="Q134" s="9" t="s">
        <v>98</v>
      </c>
      <c r="R134" s="9" t="s">
        <v>347</v>
      </c>
      <c r="S134" s="9" t="s">
        <v>348</v>
      </c>
      <c r="T134" s="9" t="s">
        <v>818</v>
      </c>
      <c r="U134" s="9" t="s">
        <v>67</v>
      </c>
      <c r="V134" s="9" t="s">
        <v>130</v>
      </c>
      <c r="W134" s="9" t="s">
        <v>131</v>
      </c>
      <c r="X134" s="11">
        <v>60</v>
      </c>
      <c r="Y134" s="9" t="s">
        <v>428</v>
      </c>
      <c r="Z134" s="9" t="s">
        <v>68</v>
      </c>
      <c r="AA134" s="9" t="s">
        <v>429</v>
      </c>
      <c r="AB134" s="9" t="s">
        <v>67</v>
      </c>
      <c r="AC134" s="9" t="s">
        <v>430</v>
      </c>
      <c r="AD134" s="11">
        <v>3</v>
      </c>
      <c r="AE134" s="9" t="s">
        <v>70</v>
      </c>
      <c r="AF134" s="9" t="s">
        <v>71</v>
      </c>
      <c r="AG134" s="13">
        <v>1</v>
      </c>
      <c r="AH134" s="9" t="s">
        <v>92</v>
      </c>
      <c r="AI134" s="13">
        <v>7109800</v>
      </c>
      <c r="AJ134" s="13">
        <v>21329400</v>
      </c>
      <c r="AK134" s="11">
        <v>0</v>
      </c>
      <c r="AL134" s="11">
        <v>0</v>
      </c>
      <c r="AM134" s="11">
        <v>0</v>
      </c>
      <c r="AN134" s="9" t="s">
        <v>67</v>
      </c>
      <c r="AO134" s="11">
        <v>21329400</v>
      </c>
      <c r="AP134" s="13">
        <v>1706352</v>
      </c>
      <c r="AQ134" s="13">
        <v>23035752</v>
      </c>
      <c r="AR134" s="12">
        <v>58.5</v>
      </c>
      <c r="AS134" s="9" t="s">
        <v>72</v>
      </c>
      <c r="AT134" s="11">
        <v>60</v>
      </c>
      <c r="AU134" s="9" t="s">
        <v>73</v>
      </c>
      <c r="AV134" s="9" t="s">
        <v>67</v>
      </c>
      <c r="AW134" s="9" t="s">
        <v>1073</v>
      </c>
      <c r="AX134" s="10">
        <v>45986</v>
      </c>
      <c r="AY134" s="9" t="s">
        <v>1074</v>
      </c>
      <c r="AZ134" s="9" t="s">
        <v>67</v>
      </c>
      <c r="BA134" s="9" t="s">
        <v>67</v>
      </c>
      <c r="BB134" s="12">
        <v>60</v>
      </c>
      <c r="BC134" s="9" t="s">
        <v>74</v>
      </c>
      <c r="BD134" s="9" t="s">
        <v>104</v>
      </c>
      <c r="BE134" s="9" t="s">
        <v>75</v>
      </c>
      <c r="BF134" s="11">
        <v>0</v>
      </c>
      <c r="BG134">
        <f t="shared" si="6"/>
        <v>12</v>
      </c>
      <c r="BH134" t="str">
        <f>VLOOKUP(BG134,[1]month!$A:$B,2,0)</f>
        <v>Desember</v>
      </c>
      <c r="BI134">
        <f t="shared" si="7"/>
        <v>2025</v>
      </c>
      <c r="BJ134" t="str">
        <f>VLOOKUP(I134,[1]Dist!$A:$B,2,0)</f>
        <v>Industry</v>
      </c>
      <c r="BK134" t="str">
        <f>IF(I134=11,VLOOKUP(Y134,[2]Sheet1!$C:$N,10,0),IF(I134=13,VLOOKUP(Y134,[3]Sheet1!$C:$N,10,0),IF(I134=15,VLOOKUP(Y134,[4]Sheet1!$C:$N,10,0),"Unknown")))</f>
        <v>ALKYD OIL</v>
      </c>
      <c r="BL134" t="str">
        <f>IF(I134=11,VLOOKUP(Y134,[2]Sheet1!$C:$N,12,0),IF(I134=13,VLOOKUP(Y134,[3]Sheet1!$C:$N,12,0),IF(I134=15,VLOOKUP(Y134,[4]Sheet1!$C:$N,12,0),"Unknown")))</f>
        <v>ALKYD &amp; OIL SYSTEM</v>
      </c>
      <c r="BM134" t="str">
        <f>VLOOKUP(W134,[1]branch!$A:$B,2,0)</f>
        <v>INDUSTRY</v>
      </c>
    </row>
    <row r="135" spans="1:65" x14ac:dyDescent="0.35">
      <c r="A135" s="10">
        <v>45993</v>
      </c>
      <c r="B135" s="9" t="s">
        <v>1075</v>
      </c>
      <c r="C135" s="9" t="s">
        <v>64</v>
      </c>
      <c r="D135" s="9" t="s">
        <v>92</v>
      </c>
      <c r="E135" s="11">
        <v>30</v>
      </c>
      <c r="F135" s="9" t="s">
        <v>93</v>
      </c>
      <c r="G135" s="9" t="s">
        <v>65</v>
      </c>
      <c r="H135" s="9" t="s">
        <v>66</v>
      </c>
      <c r="I135" s="9">
        <v>11</v>
      </c>
      <c r="J135" s="9" t="s">
        <v>192</v>
      </c>
      <c r="K135" s="9" t="s">
        <v>192</v>
      </c>
      <c r="L135" s="9" t="s">
        <v>192</v>
      </c>
      <c r="M135" s="9" t="s">
        <v>193</v>
      </c>
      <c r="N135" s="9" t="s">
        <v>868</v>
      </c>
      <c r="O135" s="9" t="s">
        <v>97</v>
      </c>
      <c r="P135" s="9" t="s">
        <v>67</v>
      </c>
      <c r="Q135" s="9" t="s">
        <v>98</v>
      </c>
      <c r="R135" s="9" t="s">
        <v>192</v>
      </c>
      <c r="S135" s="9" t="s">
        <v>193</v>
      </c>
      <c r="T135" s="9" t="s">
        <v>820</v>
      </c>
      <c r="U135" s="9" t="s">
        <v>67</v>
      </c>
      <c r="V135" s="9" t="s">
        <v>194</v>
      </c>
      <c r="W135" s="9" t="s">
        <v>195</v>
      </c>
      <c r="X135" s="11">
        <v>10</v>
      </c>
      <c r="Y135" s="9" t="s">
        <v>196</v>
      </c>
      <c r="Z135" s="9" t="s">
        <v>68</v>
      </c>
      <c r="AA135" s="9" t="s">
        <v>197</v>
      </c>
      <c r="AB135" s="9" t="s">
        <v>67</v>
      </c>
      <c r="AC135" s="9" t="s">
        <v>103</v>
      </c>
      <c r="AD135" s="11">
        <v>15</v>
      </c>
      <c r="AE135" s="9" t="s">
        <v>70</v>
      </c>
      <c r="AF135" s="9" t="s">
        <v>71</v>
      </c>
      <c r="AG135" s="13">
        <v>1</v>
      </c>
      <c r="AH135" s="9" t="s">
        <v>92</v>
      </c>
      <c r="AI135" s="13">
        <v>1161200</v>
      </c>
      <c r="AJ135" s="13">
        <v>17418000</v>
      </c>
      <c r="AK135" s="11">
        <v>0</v>
      </c>
      <c r="AL135" s="11">
        <v>0</v>
      </c>
      <c r="AM135" s="11">
        <v>0</v>
      </c>
      <c r="AN135" s="9" t="s">
        <v>67</v>
      </c>
      <c r="AO135" s="11">
        <v>17418000</v>
      </c>
      <c r="AP135" s="13">
        <v>1393440</v>
      </c>
      <c r="AQ135" s="13">
        <v>18811440</v>
      </c>
      <c r="AR135" s="11">
        <v>300</v>
      </c>
      <c r="AS135" s="9" t="s">
        <v>72</v>
      </c>
      <c r="AT135" s="11">
        <v>297</v>
      </c>
      <c r="AU135" s="9" t="s">
        <v>73</v>
      </c>
      <c r="AV135" s="9" t="s">
        <v>67</v>
      </c>
      <c r="AW135" s="9" t="s">
        <v>1076</v>
      </c>
      <c r="AX135" s="10">
        <v>45992</v>
      </c>
      <c r="AY135" s="9" t="s">
        <v>1077</v>
      </c>
      <c r="AZ135" s="9" t="s">
        <v>67</v>
      </c>
      <c r="BA135" s="9" t="s">
        <v>67</v>
      </c>
      <c r="BB135" s="12">
        <v>300</v>
      </c>
      <c r="BC135" s="9" t="s">
        <v>74</v>
      </c>
      <c r="BD135" s="9" t="s">
        <v>104</v>
      </c>
      <c r="BE135" s="9" t="s">
        <v>75</v>
      </c>
      <c r="BF135" s="11">
        <v>0</v>
      </c>
      <c r="BG135">
        <f t="shared" si="6"/>
        <v>12</v>
      </c>
      <c r="BH135" t="str">
        <f>VLOOKUP(BG135,[1]month!$A:$B,2,0)</f>
        <v>Desember</v>
      </c>
      <c r="BI135">
        <f t="shared" si="7"/>
        <v>2025</v>
      </c>
      <c r="BJ135" t="str">
        <f>VLOOKUP(I135,[1]Dist!$A:$B,2,0)</f>
        <v>Industry</v>
      </c>
      <c r="BK135" t="str">
        <f>IF(I135=11,VLOOKUP(Y135,[2]Sheet1!$C:$N,10,0),IF(I135=13,VLOOKUP(Y135,[3]Sheet1!$C:$N,10,0),IF(I135=15,VLOOKUP(Y135,[4]Sheet1!$C:$N,10,0),"Unknown")))</f>
        <v>PU</v>
      </c>
      <c r="BL135" t="str">
        <f>IF(I135=11,VLOOKUP(Y135,[2]Sheet1!$C:$N,12,0),IF(I135=13,VLOOKUP(Y135,[3]Sheet1!$C:$N,12,0),IF(I135=15,VLOOKUP(Y135,[4]Sheet1!$C:$N,12,0),"Unknown")))</f>
        <v>PU SANDING SEALER</v>
      </c>
      <c r="BM135" t="str">
        <f>VLOOKUP(W135,[1]branch!$A:$B,2,0)</f>
        <v>INDUSTRY</v>
      </c>
    </row>
    <row r="136" spans="1:65" x14ac:dyDescent="0.35">
      <c r="A136" s="10">
        <v>45993</v>
      </c>
      <c r="B136" s="9" t="s">
        <v>1075</v>
      </c>
      <c r="C136" s="9" t="s">
        <v>64</v>
      </c>
      <c r="D136" s="9" t="s">
        <v>92</v>
      </c>
      <c r="E136" s="11">
        <v>30</v>
      </c>
      <c r="F136" s="9" t="s">
        <v>93</v>
      </c>
      <c r="G136" s="9" t="s">
        <v>65</v>
      </c>
      <c r="H136" s="9" t="s">
        <v>66</v>
      </c>
      <c r="I136" s="9">
        <v>11</v>
      </c>
      <c r="J136" s="9" t="s">
        <v>192</v>
      </c>
      <c r="K136" s="9" t="s">
        <v>192</v>
      </c>
      <c r="L136" s="9" t="s">
        <v>192</v>
      </c>
      <c r="M136" s="9" t="s">
        <v>193</v>
      </c>
      <c r="N136" s="9" t="s">
        <v>868</v>
      </c>
      <c r="O136" s="9" t="s">
        <v>97</v>
      </c>
      <c r="P136" s="9" t="s">
        <v>67</v>
      </c>
      <c r="Q136" s="9" t="s">
        <v>98</v>
      </c>
      <c r="R136" s="9" t="s">
        <v>192</v>
      </c>
      <c r="S136" s="9" t="s">
        <v>193</v>
      </c>
      <c r="T136" s="9" t="s">
        <v>820</v>
      </c>
      <c r="U136" s="9" t="s">
        <v>67</v>
      </c>
      <c r="V136" s="9" t="s">
        <v>194</v>
      </c>
      <c r="W136" s="9" t="s">
        <v>195</v>
      </c>
      <c r="X136" s="11">
        <v>20</v>
      </c>
      <c r="Y136" s="9" t="s">
        <v>105</v>
      </c>
      <c r="Z136" s="9" t="s">
        <v>68</v>
      </c>
      <c r="AA136" s="9" t="s">
        <v>106</v>
      </c>
      <c r="AB136" s="9" t="s">
        <v>67</v>
      </c>
      <c r="AC136" s="9" t="s">
        <v>107</v>
      </c>
      <c r="AD136" s="11">
        <v>10</v>
      </c>
      <c r="AE136" s="9" t="s">
        <v>70</v>
      </c>
      <c r="AF136" s="9" t="s">
        <v>71</v>
      </c>
      <c r="AG136" s="13">
        <v>1</v>
      </c>
      <c r="AH136" s="9" t="s">
        <v>92</v>
      </c>
      <c r="AI136" s="13">
        <v>1768200</v>
      </c>
      <c r="AJ136" s="13">
        <v>17682000</v>
      </c>
      <c r="AK136" s="11">
        <v>0</v>
      </c>
      <c r="AL136" s="11">
        <v>0</v>
      </c>
      <c r="AM136" s="11">
        <v>0</v>
      </c>
      <c r="AN136" s="9" t="s">
        <v>67</v>
      </c>
      <c r="AO136" s="11">
        <v>17682000</v>
      </c>
      <c r="AP136" s="13">
        <v>1414560</v>
      </c>
      <c r="AQ136" s="13">
        <v>19096560</v>
      </c>
      <c r="AR136" s="11">
        <v>200</v>
      </c>
      <c r="AS136" s="9" t="s">
        <v>72</v>
      </c>
      <c r="AT136" s="12">
        <v>212.8</v>
      </c>
      <c r="AU136" s="9" t="s">
        <v>73</v>
      </c>
      <c r="AV136" s="9" t="s">
        <v>67</v>
      </c>
      <c r="AW136" s="9" t="s">
        <v>1076</v>
      </c>
      <c r="AX136" s="10">
        <v>45992</v>
      </c>
      <c r="AY136" s="9" t="s">
        <v>1077</v>
      </c>
      <c r="AZ136" s="9" t="s">
        <v>67</v>
      </c>
      <c r="BA136" s="9" t="s">
        <v>67</v>
      </c>
      <c r="BB136" s="12">
        <v>200</v>
      </c>
      <c r="BC136" s="9" t="s">
        <v>74</v>
      </c>
      <c r="BD136" s="9" t="s">
        <v>104</v>
      </c>
      <c r="BE136" s="9" t="s">
        <v>75</v>
      </c>
      <c r="BF136" s="11">
        <v>0</v>
      </c>
      <c r="BG136">
        <f t="shared" si="6"/>
        <v>12</v>
      </c>
      <c r="BH136" t="str">
        <f>VLOOKUP(BG136,[1]month!$A:$B,2,0)</f>
        <v>Desember</v>
      </c>
      <c r="BI136">
        <f t="shared" si="7"/>
        <v>2025</v>
      </c>
      <c r="BJ136" t="str">
        <f>VLOOKUP(I136,[1]Dist!$A:$B,2,0)</f>
        <v>Industry</v>
      </c>
      <c r="BK136" t="str">
        <f>IF(I136=11,VLOOKUP(Y136,[2]Sheet1!$C:$N,10,0),IF(I136=13,VLOOKUP(Y136,[3]Sheet1!$C:$N,10,0),IF(I136=15,VLOOKUP(Y136,[4]Sheet1!$C:$N,10,0),"Unknown")))</f>
        <v>PU</v>
      </c>
      <c r="BL136" t="str">
        <f>IF(I136=11,VLOOKUP(Y136,[2]Sheet1!$C:$N,12,0),IF(I136=13,VLOOKUP(Y136,[3]Sheet1!$C:$N,12,0),IF(I136=15,VLOOKUP(Y136,[4]Sheet1!$C:$N,12,0),"Unknown")))</f>
        <v>PU HARDENER</v>
      </c>
      <c r="BM136" t="str">
        <f>VLOOKUP(W136,[1]branch!$A:$B,2,0)</f>
        <v>INDUSTRY</v>
      </c>
    </row>
    <row r="137" spans="1:65" x14ac:dyDescent="0.35">
      <c r="A137" s="10">
        <v>45993</v>
      </c>
      <c r="B137" s="9" t="s">
        <v>1075</v>
      </c>
      <c r="C137" s="9" t="s">
        <v>64</v>
      </c>
      <c r="D137" s="9" t="s">
        <v>92</v>
      </c>
      <c r="E137" s="11">
        <v>30</v>
      </c>
      <c r="F137" s="9" t="s">
        <v>93</v>
      </c>
      <c r="G137" s="9" t="s">
        <v>65</v>
      </c>
      <c r="H137" s="9" t="s">
        <v>66</v>
      </c>
      <c r="I137" s="9">
        <v>11</v>
      </c>
      <c r="J137" s="9" t="s">
        <v>192</v>
      </c>
      <c r="K137" s="9" t="s">
        <v>192</v>
      </c>
      <c r="L137" s="9" t="s">
        <v>192</v>
      </c>
      <c r="M137" s="9" t="s">
        <v>193</v>
      </c>
      <c r="N137" s="9" t="s">
        <v>868</v>
      </c>
      <c r="O137" s="9" t="s">
        <v>97</v>
      </c>
      <c r="P137" s="9" t="s">
        <v>67</v>
      </c>
      <c r="Q137" s="9" t="s">
        <v>98</v>
      </c>
      <c r="R137" s="9" t="s">
        <v>192</v>
      </c>
      <c r="S137" s="9" t="s">
        <v>193</v>
      </c>
      <c r="T137" s="9" t="s">
        <v>820</v>
      </c>
      <c r="U137" s="9" t="s">
        <v>67</v>
      </c>
      <c r="V137" s="9" t="s">
        <v>194</v>
      </c>
      <c r="W137" s="9" t="s">
        <v>195</v>
      </c>
      <c r="X137" s="11">
        <v>30</v>
      </c>
      <c r="Y137" s="9" t="s">
        <v>118</v>
      </c>
      <c r="Z137" s="9" t="s">
        <v>68</v>
      </c>
      <c r="AA137" s="9" t="s">
        <v>119</v>
      </c>
      <c r="AB137" s="9" t="s">
        <v>67</v>
      </c>
      <c r="AC137" s="9" t="s">
        <v>120</v>
      </c>
      <c r="AD137" s="11">
        <v>9</v>
      </c>
      <c r="AE137" s="9" t="s">
        <v>70</v>
      </c>
      <c r="AF137" s="9" t="s">
        <v>71</v>
      </c>
      <c r="AG137" s="13">
        <v>1</v>
      </c>
      <c r="AH137" s="9" t="s">
        <v>92</v>
      </c>
      <c r="AI137" s="13">
        <v>8182000</v>
      </c>
      <c r="AJ137" s="13">
        <v>73638000</v>
      </c>
      <c r="AK137" s="11">
        <v>0</v>
      </c>
      <c r="AL137" s="11">
        <v>0</v>
      </c>
      <c r="AM137" s="11">
        <v>0</v>
      </c>
      <c r="AN137" s="9" t="s">
        <v>67</v>
      </c>
      <c r="AO137" s="11">
        <v>73638000</v>
      </c>
      <c r="AP137" s="13">
        <v>5891039</v>
      </c>
      <c r="AQ137" s="13">
        <v>79529039</v>
      </c>
      <c r="AR137" s="11">
        <v>1665</v>
      </c>
      <c r="AS137" s="9" t="s">
        <v>72</v>
      </c>
      <c r="AT137" s="11">
        <v>1800</v>
      </c>
      <c r="AU137" s="9" t="s">
        <v>73</v>
      </c>
      <c r="AV137" s="9" t="s">
        <v>67</v>
      </c>
      <c r="AW137" s="9" t="s">
        <v>1076</v>
      </c>
      <c r="AX137" s="10">
        <v>45992</v>
      </c>
      <c r="AY137" s="9" t="s">
        <v>1077</v>
      </c>
      <c r="AZ137" s="9" t="s">
        <v>67</v>
      </c>
      <c r="BA137" s="9" t="s">
        <v>67</v>
      </c>
      <c r="BB137" s="12">
        <v>1800</v>
      </c>
      <c r="BC137" s="9" t="s">
        <v>74</v>
      </c>
      <c r="BD137" s="9" t="s">
        <v>104</v>
      </c>
      <c r="BE137" s="9" t="s">
        <v>75</v>
      </c>
      <c r="BF137" s="11">
        <v>0</v>
      </c>
      <c r="BG137">
        <f t="shared" si="6"/>
        <v>12</v>
      </c>
      <c r="BH137" t="str">
        <f>VLOOKUP(BG137,[1]month!$A:$B,2,0)</f>
        <v>Desember</v>
      </c>
      <c r="BI137">
        <f t="shared" si="7"/>
        <v>2025</v>
      </c>
      <c r="BJ137" t="str">
        <f>VLOOKUP(I137,[1]Dist!$A:$B,2,0)</f>
        <v>Industry</v>
      </c>
      <c r="BK137" t="str">
        <f>IF(I137=11,VLOOKUP(Y137,[2]Sheet1!$C:$N,10,0),IF(I137=13,VLOOKUP(Y137,[3]Sheet1!$C:$N,10,0),IF(I137=15,VLOOKUP(Y137,[4]Sheet1!$C:$N,10,0),"Unknown")))</f>
        <v>THINNER PU</v>
      </c>
      <c r="BL137" t="str">
        <f>IF(I137=11,VLOOKUP(Y137,[2]Sheet1!$C:$N,12,0),IF(I137=13,VLOOKUP(Y137,[3]Sheet1!$C:$N,12,0),IF(I137=15,VLOOKUP(Y137,[4]Sheet1!$C:$N,12,0),"Unknown")))</f>
        <v>THINNER PU</v>
      </c>
      <c r="BM137" t="str">
        <f>VLOOKUP(W137,[1]branch!$A:$B,2,0)</f>
        <v>INDUSTRY</v>
      </c>
    </row>
    <row r="138" spans="1:65" x14ac:dyDescent="0.35">
      <c r="A138" s="10">
        <v>45993</v>
      </c>
      <c r="B138" s="9" t="s">
        <v>1075</v>
      </c>
      <c r="C138" s="9" t="s">
        <v>64</v>
      </c>
      <c r="D138" s="9" t="s">
        <v>92</v>
      </c>
      <c r="E138" s="11">
        <v>30</v>
      </c>
      <c r="F138" s="9" t="s">
        <v>93</v>
      </c>
      <c r="G138" s="9" t="s">
        <v>65</v>
      </c>
      <c r="H138" s="9" t="s">
        <v>66</v>
      </c>
      <c r="I138" s="9">
        <v>11</v>
      </c>
      <c r="J138" s="9" t="s">
        <v>192</v>
      </c>
      <c r="K138" s="9" t="s">
        <v>192</v>
      </c>
      <c r="L138" s="9" t="s">
        <v>192</v>
      </c>
      <c r="M138" s="9" t="s">
        <v>193</v>
      </c>
      <c r="N138" s="9" t="s">
        <v>868</v>
      </c>
      <c r="O138" s="9" t="s">
        <v>97</v>
      </c>
      <c r="P138" s="9" t="s">
        <v>67</v>
      </c>
      <c r="Q138" s="9" t="s">
        <v>98</v>
      </c>
      <c r="R138" s="9" t="s">
        <v>192</v>
      </c>
      <c r="S138" s="9" t="s">
        <v>193</v>
      </c>
      <c r="T138" s="9" t="s">
        <v>820</v>
      </c>
      <c r="U138" s="9" t="s">
        <v>67</v>
      </c>
      <c r="V138" s="9" t="s">
        <v>194</v>
      </c>
      <c r="W138" s="9" t="s">
        <v>195</v>
      </c>
      <c r="X138" s="11">
        <v>40</v>
      </c>
      <c r="Y138" s="9" t="s">
        <v>529</v>
      </c>
      <c r="Z138" s="9" t="s">
        <v>68</v>
      </c>
      <c r="AA138" s="9" t="s">
        <v>530</v>
      </c>
      <c r="AB138" s="9" t="s">
        <v>67</v>
      </c>
      <c r="AC138" s="9" t="s">
        <v>137</v>
      </c>
      <c r="AD138" s="11">
        <v>10</v>
      </c>
      <c r="AE138" s="9" t="s">
        <v>70</v>
      </c>
      <c r="AF138" s="9" t="s">
        <v>71</v>
      </c>
      <c r="AG138" s="13">
        <v>1</v>
      </c>
      <c r="AH138" s="9" t="s">
        <v>92</v>
      </c>
      <c r="AI138" s="13">
        <v>1430640</v>
      </c>
      <c r="AJ138" s="13">
        <v>14306400</v>
      </c>
      <c r="AK138" s="11">
        <v>0</v>
      </c>
      <c r="AL138" s="11">
        <v>0</v>
      </c>
      <c r="AM138" s="11">
        <v>0</v>
      </c>
      <c r="AN138" s="9" t="s">
        <v>67</v>
      </c>
      <c r="AO138" s="11">
        <v>14306400</v>
      </c>
      <c r="AP138" s="13">
        <v>1144512</v>
      </c>
      <c r="AQ138" s="13">
        <v>15450912</v>
      </c>
      <c r="AR138" s="11">
        <v>180</v>
      </c>
      <c r="AS138" s="9" t="s">
        <v>72</v>
      </c>
      <c r="AT138" s="12">
        <v>179.1</v>
      </c>
      <c r="AU138" s="9" t="s">
        <v>73</v>
      </c>
      <c r="AV138" s="9" t="s">
        <v>67</v>
      </c>
      <c r="AW138" s="9" t="s">
        <v>1076</v>
      </c>
      <c r="AX138" s="10">
        <v>45992</v>
      </c>
      <c r="AY138" s="9" t="s">
        <v>1077</v>
      </c>
      <c r="AZ138" s="9" t="s">
        <v>67</v>
      </c>
      <c r="BA138" s="9" t="s">
        <v>67</v>
      </c>
      <c r="BB138" s="12">
        <v>180</v>
      </c>
      <c r="BC138" s="9" t="s">
        <v>74</v>
      </c>
      <c r="BD138" s="9" t="s">
        <v>104</v>
      </c>
      <c r="BE138" s="9" t="s">
        <v>75</v>
      </c>
      <c r="BF138" s="11">
        <v>0</v>
      </c>
      <c r="BG138">
        <f t="shared" si="6"/>
        <v>12</v>
      </c>
      <c r="BH138" t="str">
        <f>VLOOKUP(BG138,[1]month!$A:$B,2,0)</f>
        <v>Desember</v>
      </c>
      <c r="BI138">
        <f t="shared" si="7"/>
        <v>2025</v>
      </c>
      <c r="BJ138" t="str">
        <f>VLOOKUP(I138,[1]Dist!$A:$B,2,0)</f>
        <v>Industry</v>
      </c>
      <c r="BK138" t="str">
        <f>IF(I138=11,VLOOKUP(Y138,[2]Sheet1!$C:$N,10,0),IF(I138=13,VLOOKUP(Y138,[3]Sheet1!$C:$N,10,0),IF(I138=15,VLOOKUP(Y138,[4]Sheet1!$C:$N,10,0),"Unknown")))</f>
        <v>NC</v>
      </c>
      <c r="BL138" t="str">
        <f>IF(I138=11,VLOOKUP(Y138,[2]Sheet1!$C:$N,12,0),IF(I138=13,VLOOKUP(Y138,[3]Sheet1!$C:$N,12,0),IF(I138=15,VLOOKUP(Y138,[4]Sheet1!$C:$N,12,0),"Unknown")))</f>
        <v>ASOF : NC BASE COAT</v>
      </c>
      <c r="BM138" t="str">
        <f>VLOOKUP(W138,[1]branch!$A:$B,2,0)</f>
        <v>INDUSTRY</v>
      </c>
    </row>
    <row r="139" spans="1:65" x14ac:dyDescent="0.35">
      <c r="A139" s="10">
        <v>45993</v>
      </c>
      <c r="B139" s="9" t="s">
        <v>1075</v>
      </c>
      <c r="C139" s="9" t="s">
        <v>64</v>
      </c>
      <c r="D139" s="9" t="s">
        <v>92</v>
      </c>
      <c r="E139" s="11">
        <v>30</v>
      </c>
      <c r="F139" s="9" t="s">
        <v>93</v>
      </c>
      <c r="G139" s="9" t="s">
        <v>65</v>
      </c>
      <c r="H139" s="9" t="s">
        <v>66</v>
      </c>
      <c r="I139" s="9">
        <v>11</v>
      </c>
      <c r="J139" s="9" t="s">
        <v>192</v>
      </c>
      <c r="K139" s="9" t="s">
        <v>192</v>
      </c>
      <c r="L139" s="9" t="s">
        <v>192</v>
      </c>
      <c r="M139" s="9" t="s">
        <v>193</v>
      </c>
      <c r="N139" s="9" t="s">
        <v>868</v>
      </c>
      <c r="O139" s="9" t="s">
        <v>97</v>
      </c>
      <c r="P139" s="9" t="s">
        <v>67</v>
      </c>
      <c r="Q139" s="9" t="s">
        <v>98</v>
      </c>
      <c r="R139" s="9" t="s">
        <v>192</v>
      </c>
      <c r="S139" s="9" t="s">
        <v>193</v>
      </c>
      <c r="T139" s="9" t="s">
        <v>820</v>
      </c>
      <c r="U139" s="9" t="s">
        <v>67</v>
      </c>
      <c r="V139" s="9" t="s">
        <v>194</v>
      </c>
      <c r="W139" s="9" t="s">
        <v>195</v>
      </c>
      <c r="X139" s="11">
        <v>50</v>
      </c>
      <c r="Y139" s="9" t="s">
        <v>531</v>
      </c>
      <c r="Z139" s="9" t="s">
        <v>68</v>
      </c>
      <c r="AA139" s="9" t="s">
        <v>532</v>
      </c>
      <c r="AB139" s="9" t="s">
        <v>67</v>
      </c>
      <c r="AC139" s="9" t="s">
        <v>142</v>
      </c>
      <c r="AD139" s="11">
        <v>10</v>
      </c>
      <c r="AE139" s="9" t="s">
        <v>70</v>
      </c>
      <c r="AF139" s="9" t="s">
        <v>71</v>
      </c>
      <c r="AG139" s="13">
        <v>1</v>
      </c>
      <c r="AH139" s="9" t="s">
        <v>92</v>
      </c>
      <c r="AI139" s="13">
        <v>1659060</v>
      </c>
      <c r="AJ139" s="13">
        <v>16590600</v>
      </c>
      <c r="AK139" s="11">
        <v>0</v>
      </c>
      <c r="AL139" s="11">
        <v>0</v>
      </c>
      <c r="AM139" s="11">
        <v>0</v>
      </c>
      <c r="AN139" s="9" t="s">
        <v>67</v>
      </c>
      <c r="AO139" s="11">
        <v>16590600</v>
      </c>
      <c r="AP139" s="13">
        <v>1327248</v>
      </c>
      <c r="AQ139" s="13">
        <v>17917848</v>
      </c>
      <c r="AR139" s="12">
        <v>176.4</v>
      </c>
      <c r="AS139" s="9" t="s">
        <v>72</v>
      </c>
      <c r="AT139" s="11">
        <v>180</v>
      </c>
      <c r="AU139" s="9" t="s">
        <v>73</v>
      </c>
      <c r="AV139" s="9" t="s">
        <v>67</v>
      </c>
      <c r="AW139" s="9" t="s">
        <v>1076</v>
      </c>
      <c r="AX139" s="10">
        <v>45992</v>
      </c>
      <c r="AY139" s="9" t="s">
        <v>1077</v>
      </c>
      <c r="AZ139" s="9" t="s">
        <v>67</v>
      </c>
      <c r="BA139" s="9" t="s">
        <v>67</v>
      </c>
      <c r="BB139" s="12">
        <v>180</v>
      </c>
      <c r="BC139" s="9" t="s">
        <v>74</v>
      </c>
      <c r="BD139" s="9" t="s">
        <v>104</v>
      </c>
      <c r="BE139" s="9" t="s">
        <v>75</v>
      </c>
      <c r="BF139" s="11">
        <v>0</v>
      </c>
      <c r="BG139">
        <f t="shared" si="6"/>
        <v>12</v>
      </c>
      <c r="BH139" t="str">
        <f>VLOOKUP(BG139,[1]month!$A:$B,2,0)</f>
        <v>Desember</v>
      </c>
      <c r="BI139">
        <f t="shared" si="7"/>
        <v>2025</v>
      </c>
      <c r="BJ139" t="str">
        <f>VLOOKUP(I139,[1]Dist!$A:$B,2,0)</f>
        <v>Industry</v>
      </c>
      <c r="BK139" t="str">
        <f>IF(I139=11,VLOOKUP(Y139,[2]Sheet1!$C:$N,10,0),IF(I139=13,VLOOKUP(Y139,[3]Sheet1!$C:$N,10,0),IF(I139=15,VLOOKUP(Y139,[4]Sheet1!$C:$N,10,0),"Unknown")))</f>
        <v>NC</v>
      </c>
      <c r="BL139" t="str">
        <f>IF(I139=11,VLOOKUP(Y139,[2]Sheet1!$C:$N,12,0),IF(I139=13,VLOOKUP(Y139,[3]Sheet1!$C:$N,12,0),IF(I139=15,VLOOKUP(Y139,[4]Sheet1!$C:$N,12,0),"Unknown")))</f>
        <v>ASOF : NC TOP COAT</v>
      </c>
      <c r="BM139" t="str">
        <f>VLOOKUP(W139,[1]branch!$A:$B,2,0)</f>
        <v>INDUSTRY</v>
      </c>
    </row>
    <row r="140" spans="1:65" x14ac:dyDescent="0.35">
      <c r="A140" s="10">
        <v>45993</v>
      </c>
      <c r="B140" s="9" t="s">
        <v>1075</v>
      </c>
      <c r="C140" s="9" t="s">
        <v>64</v>
      </c>
      <c r="D140" s="9" t="s">
        <v>92</v>
      </c>
      <c r="E140" s="11">
        <v>30</v>
      </c>
      <c r="F140" s="9" t="s">
        <v>93</v>
      </c>
      <c r="G140" s="9" t="s">
        <v>65</v>
      </c>
      <c r="H140" s="9" t="s">
        <v>66</v>
      </c>
      <c r="I140" s="9">
        <v>11</v>
      </c>
      <c r="J140" s="9" t="s">
        <v>192</v>
      </c>
      <c r="K140" s="9" t="s">
        <v>192</v>
      </c>
      <c r="L140" s="9" t="s">
        <v>192</v>
      </c>
      <c r="M140" s="9" t="s">
        <v>193</v>
      </c>
      <c r="N140" s="9" t="s">
        <v>868</v>
      </c>
      <c r="O140" s="9" t="s">
        <v>97</v>
      </c>
      <c r="P140" s="9" t="s">
        <v>67</v>
      </c>
      <c r="Q140" s="9" t="s">
        <v>98</v>
      </c>
      <c r="R140" s="9" t="s">
        <v>192</v>
      </c>
      <c r="S140" s="9" t="s">
        <v>193</v>
      </c>
      <c r="T140" s="9" t="s">
        <v>820</v>
      </c>
      <c r="U140" s="9" t="s">
        <v>67</v>
      </c>
      <c r="V140" s="9" t="s">
        <v>194</v>
      </c>
      <c r="W140" s="9" t="s">
        <v>195</v>
      </c>
      <c r="X140" s="11">
        <v>60</v>
      </c>
      <c r="Y140" s="9" t="s">
        <v>201</v>
      </c>
      <c r="Z140" s="9" t="s">
        <v>68</v>
      </c>
      <c r="AA140" s="9" t="s">
        <v>202</v>
      </c>
      <c r="AB140" s="9" t="s">
        <v>67</v>
      </c>
      <c r="AC140" s="9" t="s">
        <v>139</v>
      </c>
      <c r="AD140" s="11">
        <v>2</v>
      </c>
      <c r="AE140" s="9" t="s">
        <v>70</v>
      </c>
      <c r="AF140" s="9" t="s">
        <v>71</v>
      </c>
      <c r="AG140" s="13">
        <v>1</v>
      </c>
      <c r="AH140" s="9" t="s">
        <v>92</v>
      </c>
      <c r="AI140" s="13">
        <v>6636000</v>
      </c>
      <c r="AJ140" s="13">
        <v>13272000</v>
      </c>
      <c r="AK140" s="11">
        <v>0</v>
      </c>
      <c r="AL140" s="11">
        <v>0</v>
      </c>
      <c r="AM140" s="11">
        <v>0</v>
      </c>
      <c r="AN140" s="9" t="s">
        <v>67</v>
      </c>
      <c r="AO140" s="11">
        <v>13272000</v>
      </c>
      <c r="AP140" s="13">
        <v>1061760</v>
      </c>
      <c r="AQ140" s="13">
        <v>14333760</v>
      </c>
      <c r="AR140" s="11">
        <v>312</v>
      </c>
      <c r="AS140" s="9" t="s">
        <v>72</v>
      </c>
      <c r="AT140" s="11">
        <v>400</v>
      </c>
      <c r="AU140" s="9" t="s">
        <v>73</v>
      </c>
      <c r="AV140" s="9" t="s">
        <v>67</v>
      </c>
      <c r="AW140" s="9" t="s">
        <v>1076</v>
      </c>
      <c r="AX140" s="10">
        <v>45992</v>
      </c>
      <c r="AY140" s="9" t="s">
        <v>1077</v>
      </c>
      <c r="AZ140" s="9" t="s">
        <v>67</v>
      </c>
      <c r="BA140" s="9" t="s">
        <v>67</v>
      </c>
      <c r="BB140" s="12">
        <v>400</v>
      </c>
      <c r="BC140" s="9" t="s">
        <v>74</v>
      </c>
      <c r="BD140" s="9" t="s">
        <v>104</v>
      </c>
      <c r="BE140" s="9" t="s">
        <v>75</v>
      </c>
      <c r="BF140" s="11">
        <v>0</v>
      </c>
      <c r="BG140">
        <f t="shared" si="6"/>
        <v>12</v>
      </c>
      <c r="BH140" t="str">
        <f>VLOOKUP(BG140,[1]month!$A:$B,2,0)</f>
        <v>Desember</v>
      </c>
      <c r="BI140">
        <f t="shared" si="7"/>
        <v>2025</v>
      </c>
      <c r="BJ140" t="str">
        <f>VLOOKUP(I140,[1]Dist!$A:$B,2,0)</f>
        <v>Industry</v>
      </c>
      <c r="BK140" t="str">
        <f>IF(I140=11,VLOOKUP(Y140,[2]Sheet1!$C:$N,10,0),IF(I140=13,VLOOKUP(Y140,[3]Sheet1!$C:$N,10,0),IF(I140=15,VLOOKUP(Y140,[4]Sheet1!$C:$N,10,0),"Unknown")))</f>
        <v>THINNER NC</v>
      </c>
      <c r="BL140" t="str">
        <f>IF(I140=11,VLOOKUP(Y140,[2]Sheet1!$C:$N,12,0),IF(I140=13,VLOOKUP(Y140,[3]Sheet1!$C:$N,12,0),IF(I140=15,VLOOKUP(Y140,[4]Sheet1!$C:$N,12,0),"Unknown")))</f>
        <v>THINNER COMPLEMENTARY</v>
      </c>
      <c r="BM140" t="str">
        <f>VLOOKUP(W140,[1]branch!$A:$B,2,0)</f>
        <v>INDUSTRY</v>
      </c>
    </row>
    <row r="141" spans="1:65" x14ac:dyDescent="0.35">
      <c r="A141" s="10">
        <v>45993</v>
      </c>
      <c r="B141" s="9" t="s">
        <v>1075</v>
      </c>
      <c r="C141" s="9" t="s">
        <v>64</v>
      </c>
      <c r="D141" s="9" t="s">
        <v>92</v>
      </c>
      <c r="E141" s="11">
        <v>30</v>
      </c>
      <c r="F141" s="9" t="s">
        <v>93</v>
      </c>
      <c r="G141" s="9" t="s">
        <v>65</v>
      </c>
      <c r="H141" s="9" t="s">
        <v>66</v>
      </c>
      <c r="I141" s="9">
        <v>11</v>
      </c>
      <c r="J141" s="9" t="s">
        <v>192</v>
      </c>
      <c r="K141" s="9" t="s">
        <v>192</v>
      </c>
      <c r="L141" s="9" t="s">
        <v>192</v>
      </c>
      <c r="M141" s="9" t="s">
        <v>193</v>
      </c>
      <c r="N141" s="9" t="s">
        <v>868</v>
      </c>
      <c r="O141" s="9" t="s">
        <v>97</v>
      </c>
      <c r="P141" s="9" t="s">
        <v>67</v>
      </c>
      <c r="Q141" s="9" t="s">
        <v>98</v>
      </c>
      <c r="R141" s="9" t="s">
        <v>192</v>
      </c>
      <c r="S141" s="9" t="s">
        <v>193</v>
      </c>
      <c r="T141" s="9" t="s">
        <v>820</v>
      </c>
      <c r="U141" s="9" t="s">
        <v>67</v>
      </c>
      <c r="V141" s="9" t="s">
        <v>194</v>
      </c>
      <c r="W141" s="9" t="s">
        <v>195</v>
      </c>
      <c r="X141" s="11">
        <v>70</v>
      </c>
      <c r="Y141" s="9" t="s">
        <v>206</v>
      </c>
      <c r="Z141" s="9" t="s">
        <v>68</v>
      </c>
      <c r="AA141" s="9" t="s">
        <v>207</v>
      </c>
      <c r="AB141" s="9" t="s">
        <v>67</v>
      </c>
      <c r="AC141" s="9" t="s">
        <v>208</v>
      </c>
      <c r="AD141" s="11">
        <v>10</v>
      </c>
      <c r="AE141" s="9" t="s">
        <v>70</v>
      </c>
      <c r="AF141" s="9" t="s">
        <v>71</v>
      </c>
      <c r="AG141" s="13">
        <v>1</v>
      </c>
      <c r="AH141" s="9" t="s">
        <v>92</v>
      </c>
      <c r="AI141" s="13">
        <v>1609800</v>
      </c>
      <c r="AJ141" s="13">
        <v>16098000</v>
      </c>
      <c r="AK141" s="11">
        <v>0</v>
      </c>
      <c r="AL141" s="11">
        <v>0</v>
      </c>
      <c r="AM141" s="11">
        <v>0</v>
      </c>
      <c r="AN141" s="9" t="s">
        <v>67</v>
      </c>
      <c r="AO141" s="11">
        <v>16098000</v>
      </c>
      <c r="AP141" s="13">
        <v>1287840</v>
      </c>
      <c r="AQ141" s="13">
        <v>17385840</v>
      </c>
      <c r="AR141" s="11">
        <v>196</v>
      </c>
      <c r="AS141" s="9" t="s">
        <v>72</v>
      </c>
      <c r="AT141" s="11">
        <v>200</v>
      </c>
      <c r="AU141" s="9" t="s">
        <v>73</v>
      </c>
      <c r="AV141" s="9" t="s">
        <v>67</v>
      </c>
      <c r="AW141" s="9" t="s">
        <v>1076</v>
      </c>
      <c r="AX141" s="10">
        <v>45992</v>
      </c>
      <c r="AY141" s="9" t="s">
        <v>1077</v>
      </c>
      <c r="AZ141" s="9" t="s">
        <v>67</v>
      </c>
      <c r="BA141" s="9" t="s">
        <v>67</v>
      </c>
      <c r="BB141" s="12">
        <v>200</v>
      </c>
      <c r="BC141" s="9" t="s">
        <v>74</v>
      </c>
      <c r="BD141" s="9" t="s">
        <v>104</v>
      </c>
      <c r="BE141" s="9" t="s">
        <v>75</v>
      </c>
      <c r="BF141" s="11">
        <v>0</v>
      </c>
      <c r="BG141">
        <f t="shared" si="6"/>
        <v>12</v>
      </c>
      <c r="BH141" t="str">
        <f>VLOOKUP(BG141,[1]month!$A:$B,2,0)</f>
        <v>Desember</v>
      </c>
      <c r="BI141">
        <f t="shared" si="7"/>
        <v>2025</v>
      </c>
      <c r="BJ141" t="str">
        <f>VLOOKUP(I141,[1]Dist!$A:$B,2,0)</f>
        <v>Industry</v>
      </c>
      <c r="BK141" t="str">
        <f>IF(I141=11,VLOOKUP(Y141,[2]Sheet1!$C:$N,10,0),IF(I141=13,VLOOKUP(Y141,[3]Sheet1!$C:$N,10,0),IF(I141=15,VLOOKUP(Y141,[4]Sheet1!$C:$N,10,0),"Unknown")))</f>
        <v>PU</v>
      </c>
      <c r="BL141" t="str">
        <f>IF(I141=11,VLOOKUP(Y141,[2]Sheet1!$C:$N,12,0),IF(I141=13,VLOOKUP(Y141,[3]Sheet1!$C:$N,12,0),IF(I141=15,VLOOKUP(Y141,[4]Sheet1!$C:$N,12,0),"Unknown")))</f>
        <v>PU LACQUER</v>
      </c>
      <c r="BM141" t="str">
        <f>VLOOKUP(W141,[1]branch!$A:$B,2,0)</f>
        <v>INDUSTRY</v>
      </c>
    </row>
    <row r="142" spans="1:65" x14ac:dyDescent="0.35">
      <c r="A142" s="10">
        <v>45993</v>
      </c>
      <c r="B142" s="9" t="s">
        <v>1075</v>
      </c>
      <c r="C142" s="9" t="s">
        <v>64</v>
      </c>
      <c r="D142" s="9" t="s">
        <v>92</v>
      </c>
      <c r="E142" s="11">
        <v>30</v>
      </c>
      <c r="F142" s="9" t="s">
        <v>93</v>
      </c>
      <c r="G142" s="9" t="s">
        <v>65</v>
      </c>
      <c r="H142" s="9" t="s">
        <v>66</v>
      </c>
      <c r="I142" s="9">
        <v>11</v>
      </c>
      <c r="J142" s="9" t="s">
        <v>192</v>
      </c>
      <c r="K142" s="9" t="s">
        <v>192</v>
      </c>
      <c r="L142" s="9" t="s">
        <v>192</v>
      </c>
      <c r="M142" s="9" t="s">
        <v>193</v>
      </c>
      <c r="N142" s="9" t="s">
        <v>868</v>
      </c>
      <c r="O142" s="9" t="s">
        <v>97</v>
      </c>
      <c r="P142" s="9" t="s">
        <v>67</v>
      </c>
      <c r="Q142" s="9" t="s">
        <v>98</v>
      </c>
      <c r="R142" s="9" t="s">
        <v>192</v>
      </c>
      <c r="S142" s="9" t="s">
        <v>193</v>
      </c>
      <c r="T142" s="9" t="s">
        <v>820</v>
      </c>
      <c r="U142" s="9" t="s">
        <v>67</v>
      </c>
      <c r="V142" s="9" t="s">
        <v>194</v>
      </c>
      <c r="W142" s="9" t="s">
        <v>195</v>
      </c>
      <c r="X142" s="11">
        <v>80</v>
      </c>
      <c r="Y142" s="9" t="s">
        <v>257</v>
      </c>
      <c r="Z142" s="9" t="s">
        <v>68</v>
      </c>
      <c r="AA142" s="9" t="s">
        <v>258</v>
      </c>
      <c r="AB142" s="9" t="s">
        <v>67</v>
      </c>
      <c r="AC142" s="9" t="s">
        <v>259</v>
      </c>
      <c r="AD142" s="11">
        <v>5</v>
      </c>
      <c r="AE142" s="9" t="s">
        <v>70</v>
      </c>
      <c r="AF142" s="9" t="s">
        <v>71</v>
      </c>
      <c r="AG142" s="13">
        <v>1</v>
      </c>
      <c r="AH142" s="9" t="s">
        <v>92</v>
      </c>
      <c r="AI142" s="13">
        <v>2121400</v>
      </c>
      <c r="AJ142" s="13">
        <v>10607000</v>
      </c>
      <c r="AK142" s="11">
        <v>0</v>
      </c>
      <c r="AL142" s="11">
        <v>0</v>
      </c>
      <c r="AM142" s="11">
        <v>0</v>
      </c>
      <c r="AN142" s="9" t="s">
        <v>67</v>
      </c>
      <c r="AO142" s="11">
        <v>10607000</v>
      </c>
      <c r="AP142" s="13">
        <v>848560</v>
      </c>
      <c r="AQ142" s="13">
        <v>11455560</v>
      </c>
      <c r="AR142" s="11">
        <v>100</v>
      </c>
      <c r="AS142" s="9" t="s">
        <v>72</v>
      </c>
      <c r="AT142" s="12">
        <v>99.05</v>
      </c>
      <c r="AU142" s="9" t="s">
        <v>73</v>
      </c>
      <c r="AV142" s="9" t="s">
        <v>67</v>
      </c>
      <c r="AW142" s="9" t="s">
        <v>1076</v>
      </c>
      <c r="AX142" s="10">
        <v>45992</v>
      </c>
      <c r="AY142" s="9" t="s">
        <v>1077</v>
      </c>
      <c r="AZ142" s="9" t="s">
        <v>67</v>
      </c>
      <c r="BA142" s="9" t="s">
        <v>67</v>
      </c>
      <c r="BB142" s="12">
        <v>100</v>
      </c>
      <c r="BC142" s="9" t="s">
        <v>74</v>
      </c>
      <c r="BD142" s="9" t="s">
        <v>104</v>
      </c>
      <c r="BE142" s="9" t="s">
        <v>75</v>
      </c>
      <c r="BF142" s="11">
        <v>0</v>
      </c>
      <c r="BG142">
        <f t="shared" si="6"/>
        <v>12</v>
      </c>
      <c r="BH142" t="str">
        <f>VLOOKUP(BG142,[1]month!$A:$B,2,0)</f>
        <v>Desember</v>
      </c>
      <c r="BI142">
        <f t="shared" si="7"/>
        <v>2025</v>
      </c>
      <c r="BJ142" t="str">
        <f>VLOOKUP(I142,[1]Dist!$A:$B,2,0)</f>
        <v>Industry</v>
      </c>
      <c r="BK142" t="str">
        <f>IF(I142=11,VLOOKUP(Y142,[2]Sheet1!$C:$N,10,0),IF(I142=13,VLOOKUP(Y142,[3]Sheet1!$C:$N,10,0),IF(I142=15,VLOOKUP(Y142,[4]Sheet1!$C:$N,10,0),"Unknown")))</f>
        <v>PU</v>
      </c>
      <c r="BL142" t="str">
        <f>IF(I142=11,VLOOKUP(Y142,[2]Sheet1!$C:$N,12,0),IF(I142=13,VLOOKUP(Y142,[3]Sheet1!$C:$N,12,0),IF(I142=15,VLOOKUP(Y142,[4]Sheet1!$C:$N,12,0),"Unknown")))</f>
        <v>PU HARDENER</v>
      </c>
      <c r="BM142" t="str">
        <f>VLOOKUP(W142,[1]branch!$A:$B,2,0)</f>
        <v>INDUSTRY</v>
      </c>
    </row>
    <row r="143" spans="1:65" x14ac:dyDescent="0.35">
      <c r="A143" s="10">
        <v>45993</v>
      </c>
      <c r="B143" s="9" t="s">
        <v>1075</v>
      </c>
      <c r="C143" s="9" t="s">
        <v>64</v>
      </c>
      <c r="D143" s="9" t="s">
        <v>92</v>
      </c>
      <c r="E143" s="11">
        <v>30</v>
      </c>
      <c r="F143" s="9" t="s">
        <v>93</v>
      </c>
      <c r="G143" s="9" t="s">
        <v>65</v>
      </c>
      <c r="H143" s="9" t="s">
        <v>66</v>
      </c>
      <c r="I143" s="9">
        <v>11</v>
      </c>
      <c r="J143" s="9" t="s">
        <v>192</v>
      </c>
      <c r="K143" s="9" t="s">
        <v>192</v>
      </c>
      <c r="L143" s="9" t="s">
        <v>192</v>
      </c>
      <c r="M143" s="9" t="s">
        <v>193</v>
      </c>
      <c r="N143" s="9" t="s">
        <v>868</v>
      </c>
      <c r="O143" s="9" t="s">
        <v>97</v>
      </c>
      <c r="P143" s="9" t="s">
        <v>67</v>
      </c>
      <c r="Q143" s="9" t="s">
        <v>98</v>
      </c>
      <c r="R143" s="9" t="s">
        <v>192</v>
      </c>
      <c r="S143" s="9" t="s">
        <v>193</v>
      </c>
      <c r="T143" s="9" t="s">
        <v>820</v>
      </c>
      <c r="U143" s="9" t="s">
        <v>67</v>
      </c>
      <c r="V143" s="9" t="s">
        <v>194</v>
      </c>
      <c r="W143" s="9" t="s">
        <v>195</v>
      </c>
      <c r="X143" s="11">
        <v>90</v>
      </c>
      <c r="Y143" s="9" t="s">
        <v>203</v>
      </c>
      <c r="Z143" s="9" t="s">
        <v>68</v>
      </c>
      <c r="AA143" s="9" t="s">
        <v>204</v>
      </c>
      <c r="AB143" s="9" t="s">
        <v>67</v>
      </c>
      <c r="AC143" s="9" t="s">
        <v>205</v>
      </c>
      <c r="AD143" s="11">
        <v>10</v>
      </c>
      <c r="AE143" s="9" t="s">
        <v>70</v>
      </c>
      <c r="AF143" s="9" t="s">
        <v>71</v>
      </c>
      <c r="AG143" s="13">
        <v>1</v>
      </c>
      <c r="AH143" s="9" t="s">
        <v>92</v>
      </c>
      <c r="AI143" s="13">
        <v>903400</v>
      </c>
      <c r="AJ143" s="13">
        <v>9034000</v>
      </c>
      <c r="AK143" s="11">
        <v>0</v>
      </c>
      <c r="AL143" s="11">
        <v>0</v>
      </c>
      <c r="AM143" s="11">
        <v>0</v>
      </c>
      <c r="AN143" s="9" t="s">
        <v>67</v>
      </c>
      <c r="AO143" s="11">
        <v>9034000</v>
      </c>
      <c r="AP143" s="13">
        <v>722720</v>
      </c>
      <c r="AQ143" s="13">
        <v>9756720</v>
      </c>
      <c r="AR143" s="11">
        <v>196</v>
      </c>
      <c r="AS143" s="9" t="s">
        <v>72</v>
      </c>
      <c r="AT143" s="11">
        <v>200</v>
      </c>
      <c r="AU143" s="9" t="s">
        <v>73</v>
      </c>
      <c r="AV143" s="9" t="s">
        <v>67</v>
      </c>
      <c r="AW143" s="9" t="s">
        <v>1076</v>
      </c>
      <c r="AX143" s="10">
        <v>45992</v>
      </c>
      <c r="AY143" s="9" t="s">
        <v>1077</v>
      </c>
      <c r="AZ143" s="9" t="s">
        <v>67</v>
      </c>
      <c r="BA143" s="9" t="s">
        <v>67</v>
      </c>
      <c r="BB143" s="12">
        <v>200</v>
      </c>
      <c r="BC143" s="9" t="s">
        <v>74</v>
      </c>
      <c r="BD143" s="9" t="s">
        <v>104</v>
      </c>
      <c r="BE143" s="9" t="s">
        <v>75</v>
      </c>
      <c r="BF143" s="11">
        <v>0</v>
      </c>
      <c r="BG143">
        <f t="shared" si="6"/>
        <v>12</v>
      </c>
      <c r="BH143" t="str">
        <f>VLOOKUP(BG143,[1]month!$A:$B,2,0)</f>
        <v>Desember</v>
      </c>
      <c r="BI143">
        <f t="shared" si="7"/>
        <v>2025</v>
      </c>
      <c r="BJ143" t="str">
        <f>VLOOKUP(I143,[1]Dist!$A:$B,2,0)</f>
        <v>Industry</v>
      </c>
      <c r="BK143" t="str">
        <f>IF(I143=11,VLOOKUP(Y143,[2]Sheet1!$C:$N,10,0),IF(I143=13,VLOOKUP(Y143,[3]Sheet1!$C:$N,10,0),IF(I143=15,VLOOKUP(Y143,[4]Sheet1!$C:$N,10,0),"Unknown")))</f>
        <v>COMPLEMENTARY</v>
      </c>
      <c r="BL143" t="str">
        <f>IF(I143=11,VLOOKUP(Y143,[2]Sheet1!$C:$N,12,0),IF(I143=13,VLOOKUP(Y143,[3]Sheet1!$C:$N,12,0),IF(I143=15,VLOOKUP(Y143,[4]Sheet1!$C:$N,12,0),"Unknown")))</f>
        <v>RETARDER</v>
      </c>
      <c r="BM143" t="str">
        <f>VLOOKUP(W143,[1]branch!$A:$B,2,0)</f>
        <v>INDUSTRY</v>
      </c>
    </row>
    <row r="144" spans="1:65" x14ac:dyDescent="0.35">
      <c r="A144" s="10">
        <v>45993</v>
      </c>
      <c r="B144" s="9" t="s">
        <v>1075</v>
      </c>
      <c r="C144" s="9" t="s">
        <v>64</v>
      </c>
      <c r="D144" s="9" t="s">
        <v>92</v>
      </c>
      <c r="E144" s="11">
        <v>30</v>
      </c>
      <c r="F144" s="9" t="s">
        <v>93</v>
      </c>
      <c r="G144" s="9" t="s">
        <v>65</v>
      </c>
      <c r="H144" s="9" t="s">
        <v>66</v>
      </c>
      <c r="I144" s="9">
        <v>11</v>
      </c>
      <c r="J144" s="9" t="s">
        <v>192</v>
      </c>
      <c r="K144" s="9" t="s">
        <v>192</v>
      </c>
      <c r="L144" s="9" t="s">
        <v>192</v>
      </c>
      <c r="M144" s="9" t="s">
        <v>193</v>
      </c>
      <c r="N144" s="9" t="s">
        <v>868</v>
      </c>
      <c r="O144" s="9" t="s">
        <v>97</v>
      </c>
      <c r="P144" s="9" t="s">
        <v>67</v>
      </c>
      <c r="Q144" s="9" t="s">
        <v>98</v>
      </c>
      <c r="R144" s="9" t="s">
        <v>192</v>
      </c>
      <c r="S144" s="9" t="s">
        <v>193</v>
      </c>
      <c r="T144" s="9" t="s">
        <v>820</v>
      </c>
      <c r="U144" s="9" t="s">
        <v>67</v>
      </c>
      <c r="V144" s="9" t="s">
        <v>194</v>
      </c>
      <c r="W144" s="9" t="s">
        <v>195</v>
      </c>
      <c r="X144" s="11">
        <v>100</v>
      </c>
      <c r="Y144" s="9" t="s">
        <v>185</v>
      </c>
      <c r="Z144" s="9" t="s">
        <v>68</v>
      </c>
      <c r="AA144" s="9" t="s">
        <v>186</v>
      </c>
      <c r="AB144" s="9" t="s">
        <v>67</v>
      </c>
      <c r="AC144" s="9" t="s">
        <v>187</v>
      </c>
      <c r="AD144" s="11">
        <v>5</v>
      </c>
      <c r="AE144" s="9" t="s">
        <v>70</v>
      </c>
      <c r="AF144" s="9" t="s">
        <v>71</v>
      </c>
      <c r="AG144" s="13">
        <v>1</v>
      </c>
      <c r="AH144" s="9" t="s">
        <v>92</v>
      </c>
      <c r="AI144" s="13">
        <v>203000</v>
      </c>
      <c r="AJ144" s="13">
        <v>1015000</v>
      </c>
      <c r="AK144" s="11">
        <v>0</v>
      </c>
      <c r="AL144" s="11">
        <v>0</v>
      </c>
      <c r="AM144" s="11">
        <v>0</v>
      </c>
      <c r="AN144" s="9" t="s">
        <v>67</v>
      </c>
      <c r="AO144" s="11">
        <v>1015000</v>
      </c>
      <c r="AP144" s="13">
        <v>81200</v>
      </c>
      <c r="AQ144" s="13">
        <v>1096200</v>
      </c>
      <c r="AR144" s="11">
        <v>20</v>
      </c>
      <c r="AS144" s="9" t="s">
        <v>72</v>
      </c>
      <c r="AT144" s="12">
        <v>10.4</v>
      </c>
      <c r="AU144" s="9" t="s">
        <v>73</v>
      </c>
      <c r="AV144" s="9" t="s">
        <v>67</v>
      </c>
      <c r="AW144" s="9" t="s">
        <v>1076</v>
      </c>
      <c r="AX144" s="10">
        <v>45992</v>
      </c>
      <c r="AY144" s="9" t="s">
        <v>1077</v>
      </c>
      <c r="AZ144" s="9" t="s">
        <v>67</v>
      </c>
      <c r="BA144" s="9" t="s">
        <v>67</v>
      </c>
      <c r="BB144" s="12">
        <v>20</v>
      </c>
      <c r="BC144" s="9" t="s">
        <v>74</v>
      </c>
      <c r="BD144" s="9" t="s">
        <v>104</v>
      </c>
      <c r="BE144" s="9" t="s">
        <v>75</v>
      </c>
      <c r="BF144" s="11">
        <v>0</v>
      </c>
      <c r="BG144">
        <f t="shared" si="6"/>
        <v>12</v>
      </c>
      <c r="BH144" t="str">
        <f>VLOOKUP(BG144,[1]month!$A:$B,2,0)</f>
        <v>Desember</v>
      </c>
      <c r="BI144">
        <f t="shared" si="7"/>
        <v>2025</v>
      </c>
      <c r="BJ144" t="str">
        <f>VLOOKUP(I144,[1]Dist!$A:$B,2,0)</f>
        <v>Industry</v>
      </c>
      <c r="BK144" t="str">
        <f>IF(I144=11,VLOOKUP(Y144,[2]Sheet1!$C:$N,10,0),IF(I144=13,VLOOKUP(Y144,[3]Sheet1!$C:$N,10,0),IF(I144=15,VLOOKUP(Y144,[4]Sheet1!$C:$N,10,0),"Unknown")))</f>
        <v>PU</v>
      </c>
      <c r="BL144" t="str">
        <f>IF(I144=11,VLOOKUP(Y144,[2]Sheet1!$C:$N,12,0),IF(I144=13,VLOOKUP(Y144,[3]Sheet1!$C:$N,12,0),IF(I144=15,VLOOKUP(Y144,[4]Sheet1!$C:$N,12,0),"Unknown")))</f>
        <v>PU PRIMER</v>
      </c>
      <c r="BM144" t="str">
        <f>VLOOKUP(W144,[1]branch!$A:$B,2,0)</f>
        <v>INDUSTRY</v>
      </c>
    </row>
    <row r="145" spans="1:65" x14ac:dyDescent="0.35">
      <c r="A145" s="10">
        <v>45993</v>
      </c>
      <c r="B145" s="9" t="s">
        <v>1075</v>
      </c>
      <c r="C145" s="9" t="s">
        <v>64</v>
      </c>
      <c r="D145" s="9" t="s">
        <v>92</v>
      </c>
      <c r="E145" s="11">
        <v>30</v>
      </c>
      <c r="F145" s="9" t="s">
        <v>93</v>
      </c>
      <c r="G145" s="9" t="s">
        <v>65</v>
      </c>
      <c r="H145" s="9" t="s">
        <v>66</v>
      </c>
      <c r="I145" s="9">
        <v>11</v>
      </c>
      <c r="J145" s="9" t="s">
        <v>192</v>
      </c>
      <c r="K145" s="9" t="s">
        <v>192</v>
      </c>
      <c r="L145" s="9" t="s">
        <v>192</v>
      </c>
      <c r="M145" s="9" t="s">
        <v>193</v>
      </c>
      <c r="N145" s="9" t="s">
        <v>868</v>
      </c>
      <c r="O145" s="9" t="s">
        <v>97</v>
      </c>
      <c r="P145" s="9" t="s">
        <v>67</v>
      </c>
      <c r="Q145" s="9" t="s">
        <v>98</v>
      </c>
      <c r="R145" s="9" t="s">
        <v>192</v>
      </c>
      <c r="S145" s="9" t="s">
        <v>193</v>
      </c>
      <c r="T145" s="9" t="s">
        <v>820</v>
      </c>
      <c r="U145" s="9" t="s">
        <v>67</v>
      </c>
      <c r="V145" s="9" t="s">
        <v>194</v>
      </c>
      <c r="W145" s="9" t="s">
        <v>195</v>
      </c>
      <c r="X145" s="11">
        <v>110</v>
      </c>
      <c r="Y145" s="9" t="s">
        <v>189</v>
      </c>
      <c r="Z145" s="9" t="s">
        <v>68</v>
      </c>
      <c r="AA145" s="9" t="s">
        <v>190</v>
      </c>
      <c r="AB145" s="9" t="s">
        <v>67</v>
      </c>
      <c r="AC145" s="9" t="s">
        <v>188</v>
      </c>
      <c r="AD145" s="11">
        <v>2</v>
      </c>
      <c r="AE145" s="9" t="s">
        <v>70</v>
      </c>
      <c r="AF145" s="9" t="s">
        <v>71</v>
      </c>
      <c r="AG145" s="13">
        <v>1</v>
      </c>
      <c r="AH145" s="9" t="s">
        <v>92</v>
      </c>
      <c r="AI145" s="13">
        <v>1470000</v>
      </c>
      <c r="AJ145" s="13">
        <v>2940000</v>
      </c>
      <c r="AK145" s="11">
        <v>0</v>
      </c>
      <c r="AL145" s="11">
        <v>0</v>
      </c>
      <c r="AM145" s="11">
        <v>0</v>
      </c>
      <c r="AN145" s="9" t="s">
        <v>67</v>
      </c>
      <c r="AO145" s="11">
        <v>2940000</v>
      </c>
      <c r="AP145" s="13">
        <v>235200</v>
      </c>
      <c r="AQ145" s="13">
        <v>3175200</v>
      </c>
      <c r="AR145" s="12">
        <v>34.4</v>
      </c>
      <c r="AS145" s="9" t="s">
        <v>72</v>
      </c>
      <c r="AT145" s="11">
        <v>40</v>
      </c>
      <c r="AU145" s="9" t="s">
        <v>73</v>
      </c>
      <c r="AV145" s="9" t="s">
        <v>67</v>
      </c>
      <c r="AW145" s="9" t="s">
        <v>1076</v>
      </c>
      <c r="AX145" s="10">
        <v>45992</v>
      </c>
      <c r="AY145" s="9" t="s">
        <v>1077</v>
      </c>
      <c r="AZ145" s="9" t="s">
        <v>67</v>
      </c>
      <c r="BA145" s="9" t="s">
        <v>67</v>
      </c>
      <c r="BB145" s="12">
        <v>40</v>
      </c>
      <c r="BC145" s="9" t="s">
        <v>74</v>
      </c>
      <c r="BD145" s="9" t="s">
        <v>104</v>
      </c>
      <c r="BE145" s="9" t="s">
        <v>75</v>
      </c>
      <c r="BF145" s="11">
        <v>0</v>
      </c>
      <c r="BG145">
        <f t="shared" si="6"/>
        <v>12</v>
      </c>
      <c r="BH145" t="str">
        <f>VLOOKUP(BG145,[1]month!$A:$B,2,0)</f>
        <v>Desember</v>
      </c>
      <c r="BI145">
        <f t="shared" si="7"/>
        <v>2025</v>
      </c>
      <c r="BJ145" t="str">
        <f>VLOOKUP(I145,[1]Dist!$A:$B,2,0)</f>
        <v>Industry</v>
      </c>
      <c r="BK145" t="str">
        <f>IF(I145=11,VLOOKUP(Y145,[2]Sheet1!$C:$N,10,0),IF(I145=13,VLOOKUP(Y145,[3]Sheet1!$C:$N,10,0),IF(I145=15,VLOOKUP(Y145,[4]Sheet1!$C:$N,10,0),"Unknown")))</f>
        <v>ALKYD OIL</v>
      </c>
      <c r="BL145" t="str">
        <f>IF(I145=11,VLOOKUP(Y145,[2]Sheet1!$C:$N,12,0),IF(I145=13,VLOOKUP(Y145,[3]Sheet1!$C:$N,12,0),IF(I145=15,VLOOKUP(Y145,[4]Sheet1!$C:$N,12,0),"Unknown")))</f>
        <v>ALKYD &amp; OIL SYSTEM</v>
      </c>
      <c r="BM145" t="str">
        <f>VLOOKUP(W145,[1]branch!$A:$B,2,0)</f>
        <v>INDUSTRY</v>
      </c>
    </row>
    <row r="146" spans="1:65" x14ac:dyDescent="0.35">
      <c r="A146" s="10">
        <v>45993</v>
      </c>
      <c r="B146" s="9" t="s">
        <v>1075</v>
      </c>
      <c r="C146" s="9" t="s">
        <v>64</v>
      </c>
      <c r="D146" s="9" t="s">
        <v>92</v>
      </c>
      <c r="E146" s="11">
        <v>30</v>
      </c>
      <c r="F146" s="9" t="s">
        <v>93</v>
      </c>
      <c r="G146" s="9" t="s">
        <v>65</v>
      </c>
      <c r="H146" s="9" t="s">
        <v>66</v>
      </c>
      <c r="I146" s="9">
        <v>11</v>
      </c>
      <c r="J146" s="9" t="s">
        <v>192</v>
      </c>
      <c r="K146" s="9" t="s">
        <v>192</v>
      </c>
      <c r="L146" s="9" t="s">
        <v>192</v>
      </c>
      <c r="M146" s="9" t="s">
        <v>193</v>
      </c>
      <c r="N146" s="9" t="s">
        <v>868</v>
      </c>
      <c r="O146" s="9" t="s">
        <v>97</v>
      </c>
      <c r="P146" s="9" t="s">
        <v>67</v>
      </c>
      <c r="Q146" s="9" t="s">
        <v>98</v>
      </c>
      <c r="R146" s="9" t="s">
        <v>192</v>
      </c>
      <c r="S146" s="9" t="s">
        <v>193</v>
      </c>
      <c r="T146" s="9" t="s">
        <v>820</v>
      </c>
      <c r="U146" s="9" t="s">
        <v>67</v>
      </c>
      <c r="V146" s="9" t="s">
        <v>194</v>
      </c>
      <c r="W146" s="9" t="s">
        <v>195</v>
      </c>
      <c r="X146" s="11">
        <v>120</v>
      </c>
      <c r="Y146" s="9" t="s">
        <v>80</v>
      </c>
      <c r="Z146" s="9" t="s">
        <v>68</v>
      </c>
      <c r="AA146" s="9" t="s">
        <v>81</v>
      </c>
      <c r="AB146" s="9" t="s">
        <v>67</v>
      </c>
      <c r="AC146" s="9" t="s">
        <v>82</v>
      </c>
      <c r="AD146" s="11">
        <v>4</v>
      </c>
      <c r="AE146" s="9" t="s">
        <v>70</v>
      </c>
      <c r="AF146" s="9" t="s">
        <v>71</v>
      </c>
      <c r="AG146" s="13">
        <v>1</v>
      </c>
      <c r="AH146" s="9" t="s">
        <v>92</v>
      </c>
      <c r="AI146" s="13">
        <v>853440</v>
      </c>
      <c r="AJ146" s="13">
        <v>3413760</v>
      </c>
      <c r="AK146" s="11">
        <v>0</v>
      </c>
      <c r="AL146" s="11">
        <v>0</v>
      </c>
      <c r="AM146" s="11">
        <v>0</v>
      </c>
      <c r="AN146" s="9" t="s">
        <v>67</v>
      </c>
      <c r="AO146" s="11">
        <v>3413760</v>
      </c>
      <c r="AP146" s="13">
        <v>273101</v>
      </c>
      <c r="AQ146" s="13">
        <v>3686861</v>
      </c>
      <c r="AR146" s="11">
        <v>16</v>
      </c>
      <c r="AS146" s="9" t="s">
        <v>72</v>
      </c>
      <c r="AT146" s="12">
        <v>19.04</v>
      </c>
      <c r="AU146" s="9" t="s">
        <v>73</v>
      </c>
      <c r="AV146" s="9" t="s">
        <v>67</v>
      </c>
      <c r="AW146" s="9" t="s">
        <v>1076</v>
      </c>
      <c r="AX146" s="10">
        <v>45992</v>
      </c>
      <c r="AY146" s="9" t="s">
        <v>1077</v>
      </c>
      <c r="AZ146" s="9" t="s">
        <v>67</v>
      </c>
      <c r="BA146" s="9" t="s">
        <v>67</v>
      </c>
      <c r="BB146" s="12">
        <v>16</v>
      </c>
      <c r="BC146" s="9" t="s">
        <v>74</v>
      </c>
      <c r="BD146" s="9" t="s">
        <v>104</v>
      </c>
      <c r="BE146" s="9" t="s">
        <v>75</v>
      </c>
      <c r="BF146" s="11">
        <v>0</v>
      </c>
      <c r="BG146">
        <f t="shared" si="6"/>
        <v>12</v>
      </c>
      <c r="BH146" t="str">
        <f>VLOOKUP(BG146,[1]month!$A:$B,2,0)</f>
        <v>Desember</v>
      </c>
      <c r="BI146">
        <f t="shared" si="7"/>
        <v>2025</v>
      </c>
      <c r="BJ146" t="str">
        <f>VLOOKUP(I146,[1]Dist!$A:$B,2,0)</f>
        <v>Industry</v>
      </c>
      <c r="BK146" t="str">
        <f>IF(I146=11,VLOOKUP(Y146,[2]Sheet1!$C:$N,10,0),IF(I146=13,VLOOKUP(Y146,[3]Sheet1!$C:$N,10,0),IF(I146=15,VLOOKUP(Y146,[4]Sheet1!$C:$N,10,0),"Unknown")))</f>
        <v>STAIN &amp; GLAZE INTERIOR</v>
      </c>
      <c r="BL146" t="str">
        <f>IF(I146=11,VLOOKUP(Y146,[2]Sheet1!$C:$N,12,0),IF(I146=13,VLOOKUP(Y146,[3]Sheet1!$C:$N,12,0),IF(I146=15,VLOOKUP(Y146,[4]Sheet1!$C:$N,12,0),"Unknown")))</f>
        <v>STAIN INTERIOR</v>
      </c>
      <c r="BM146" t="str">
        <f>VLOOKUP(W146,[1]branch!$A:$B,2,0)</f>
        <v>INDUSTRY</v>
      </c>
    </row>
    <row r="147" spans="1:65" x14ac:dyDescent="0.35">
      <c r="A147" s="10">
        <v>45993</v>
      </c>
      <c r="B147" s="9" t="s">
        <v>1075</v>
      </c>
      <c r="C147" s="9" t="s">
        <v>64</v>
      </c>
      <c r="D147" s="9" t="s">
        <v>92</v>
      </c>
      <c r="E147" s="11">
        <v>30</v>
      </c>
      <c r="F147" s="9" t="s">
        <v>93</v>
      </c>
      <c r="G147" s="9" t="s">
        <v>65</v>
      </c>
      <c r="H147" s="9" t="s">
        <v>66</v>
      </c>
      <c r="I147" s="9">
        <v>11</v>
      </c>
      <c r="J147" s="9" t="s">
        <v>192</v>
      </c>
      <c r="K147" s="9" t="s">
        <v>192</v>
      </c>
      <c r="L147" s="9" t="s">
        <v>192</v>
      </c>
      <c r="M147" s="9" t="s">
        <v>193</v>
      </c>
      <c r="N147" s="9" t="s">
        <v>868</v>
      </c>
      <c r="O147" s="9" t="s">
        <v>97</v>
      </c>
      <c r="P147" s="9" t="s">
        <v>67</v>
      </c>
      <c r="Q147" s="9" t="s">
        <v>98</v>
      </c>
      <c r="R147" s="9" t="s">
        <v>192</v>
      </c>
      <c r="S147" s="9" t="s">
        <v>193</v>
      </c>
      <c r="T147" s="9" t="s">
        <v>820</v>
      </c>
      <c r="U147" s="9" t="s">
        <v>67</v>
      </c>
      <c r="V147" s="9" t="s">
        <v>194</v>
      </c>
      <c r="W147" s="9" t="s">
        <v>195</v>
      </c>
      <c r="X147" s="11">
        <v>130</v>
      </c>
      <c r="Y147" s="9" t="s">
        <v>83</v>
      </c>
      <c r="Z147" s="9" t="s">
        <v>68</v>
      </c>
      <c r="AA147" s="9" t="s">
        <v>84</v>
      </c>
      <c r="AB147" s="9" t="s">
        <v>67</v>
      </c>
      <c r="AC147" s="9" t="s">
        <v>82</v>
      </c>
      <c r="AD147" s="11">
        <v>8</v>
      </c>
      <c r="AE147" s="9" t="s">
        <v>70</v>
      </c>
      <c r="AF147" s="9" t="s">
        <v>71</v>
      </c>
      <c r="AG147" s="13">
        <v>1</v>
      </c>
      <c r="AH147" s="9" t="s">
        <v>92</v>
      </c>
      <c r="AI147" s="13">
        <v>981320</v>
      </c>
      <c r="AJ147" s="13">
        <v>7850560</v>
      </c>
      <c r="AK147" s="11">
        <v>0</v>
      </c>
      <c r="AL147" s="11">
        <v>0</v>
      </c>
      <c r="AM147" s="11">
        <v>0</v>
      </c>
      <c r="AN147" s="9" t="s">
        <v>67</v>
      </c>
      <c r="AO147" s="11">
        <v>7850560</v>
      </c>
      <c r="AP147" s="13">
        <v>628045</v>
      </c>
      <c r="AQ147" s="13">
        <v>8478605</v>
      </c>
      <c r="AR147" s="11">
        <v>32</v>
      </c>
      <c r="AS147" s="9" t="s">
        <v>72</v>
      </c>
      <c r="AT147" s="12">
        <v>37.68</v>
      </c>
      <c r="AU147" s="9" t="s">
        <v>73</v>
      </c>
      <c r="AV147" s="9" t="s">
        <v>67</v>
      </c>
      <c r="AW147" s="9" t="s">
        <v>1076</v>
      </c>
      <c r="AX147" s="10">
        <v>45992</v>
      </c>
      <c r="AY147" s="9" t="s">
        <v>1077</v>
      </c>
      <c r="AZ147" s="9" t="s">
        <v>67</v>
      </c>
      <c r="BA147" s="9" t="s">
        <v>67</v>
      </c>
      <c r="BB147" s="12">
        <v>32</v>
      </c>
      <c r="BC147" s="9" t="s">
        <v>74</v>
      </c>
      <c r="BD147" s="9" t="s">
        <v>104</v>
      </c>
      <c r="BE147" s="9" t="s">
        <v>75</v>
      </c>
      <c r="BF147" s="11">
        <v>0</v>
      </c>
      <c r="BG147">
        <f t="shared" si="6"/>
        <v>12</v>
      </c>
      <c r="BH147" t="str">
        <f>VLOOKUP(BG147,[1]month!$A:$B,2,0)</f>
        <v>Desember</v>
      </c>
      <c r="BI147">
        <f t="shared" si="7"/>
        <v>2025</v>
      </c>
      <c r="BJ147" t="str">
        <f>VLOOKUP(I147,[1]Dist!$A:$B,2,0)</f>
        <v>Industry</v>
      </c>
      <c r="BK147" t="str">
        <f>IF(I147=11,VLOOKUP(Y147,[2]Sheet1!$C:$N,10,0),IF(I147=13,VLOOKUP(Y147,[3]Sheet1!$C:$N,10,0),IF(I147=15,VLOOKUP(Y147,[4]Sheet1!$C:$N,10,0),"Unknown")))</f>
        <v>STAIN &amp; GLAZE INTERIOR</v>
      </c>
      <c r="BL147" t="str">
        <f>IF(I147=11,VLOOKUP(Y147,[2]Sheet1!$C:$N,12,0),IF(I147=13,VLOOKUP(Y147,[3]Sheet1!$C:$N,12,0),IF(I147=15,VLOOKUP(Y147,[4]Sheet1!$C:$N,12,0),"Unknown")))</f>
        <v>STAIN INTERIOR</v>
      </c>
      <c r="BM147" t="str">
        <f>VLOOKUP(W147,[1]branch!$A:$B,2,0)</f>
        <v>INDUSTRY</v>
      </c>
    </row>
    <row r="148" spans="1:65" x14ac:dyDescent="0.35">
      <c r="A148" s="10">
        <v>45993</v>
      </c>
      <c r="B148" s="9" t="s">
        <v>1075</v>
      </c>
      <c r="C148" s="9" t="s">
        <v>64</v>
      </c>
      <c r="D148" s="9" t="s">
        <v>92</v>
      </c>
      <c r="E148" s="11">
        <v>30</v>
      </c>
      <c r="F148" s="9" t="s">
        <v>93</v>
      </c>
      <c r="G148" s="9" t="s">
        <v>65</v>
      </c>
      <c r="H148" s="9" t="s">
        <v>66</v>
      </c>
      <c r="I148" s="9">
        <v>11</v>
      </c>
      <c r="J148" s="9" t="s">
        <v>192</v>
      </c>
      <c r="K148" s="9" t="s">
        <v>192</v>
      </c>
      <c r="L148" s="9" t="s">
        <v>192</v>
      </c>
      <c r="M148" s="9" t="s">
        <v>193</v>
      </c>
      <c r="N148" s="9" t="s">
        <v>868</v>
      </c>
      <c r="O148" s="9" t="s">
        <v>97</v>
      </c>
      <c r="P148" s="9" t="s">
        <v>67</v>
      </c>
      <c r="Q148" s="9" t="s">
        <v>98</v>
      </c>
      <c r="R148" s="9" t="s">
        <v>192</v>
      </c>
      <c r="S148" s="9" t="s">
        <v>193</v>
      </c>
      <c r="T148" s="9" t="s">
        <v>820</v>
      </c>
      <c r="U148" s="9" t="s">
        <v>67</v>
      </c>
      <c r="V148" s="9" t="s">
        <v>194</v>
      </c>
      <c r="W148" s="9" t="s">
        <v>195</v>
      </c>
      <c r="X148" s="11">
        <v>140</v>
      </c>
      <c r="Y148" s="9" t="s">
        <v>512</v>
      </c>
      <c r="Z148" s="9" t="s">
        <v>68</v>
      </c>
      <c r="AA148" s="9" t="s">
        <v>513</v>
      </c>
      <c r="AB148" s="9" t="s">
        <v>67</v>
      </c>
      <c r="AC148" s="9" t="s">
        <v>91</v>
      </c>
      <c r="AD148" s="11">
        <v>4</v>
      </c>
      <c r="AE148" s="9" t="s">
        <v>70</v>
      </c>
      <c r="AF148" s="9" t="s">
        <v>71</v>
      </c>
      <c r="AG148" s="13">
        <v>1</v>
      </c>
      <c r="AH148" s="9" t="s">
        <v>92</v>
      </c>
      <c r="AI148" s="13">
        <v>527800</v>
      </c>
      <c r="AJ148" s="13">
        <v>2111200</v>
      </c>
      <c r="AK148" s="11">
        <v>0</v>
      </c>
      <c r="AL148" s="11">
        <v>0</v>
      </c>
      <c r="AM148" s="11">
        <v>0</v>
      </c>
      <c r="AN148" s="9" t="s">
        <v>67</v>
      </c>
      <c r="AO148" s="11">
        <v>2111200</v>
      </c>
      <c r="AP148" s="13">
        <v>168896</v>
      </c>
      <c r="AQ148" s="13">
        <v>2280096</v>
      </c>
      <c r="AR148" s="11">
        <v>16</v>
      </c>
      <c r="AS148" s="9" t="s">
        <v>72</v>
      </c>
      <c r="AT148" s="12">
        <v>10.52</v>
      </c>
      <c r="AU148" s="9" t="s">
        <v>73</v>
      </c>
      <c r="AV148" s="9" t="s">
        <v>67</v>
      </c>
      <c r="AW148" s="9" t="s">
        <v>1076</v>
      </c>
      <c r="AX148" s="10">
        <v>45992</v>
      </c>
      <c r="AY148" s="9" t="s">
        <v>1077</v>
      </c>
      <c r="AZ148" s="9" t="s">
        <v>67</v>
      </c>
      <c r="BA148" s="9" t="s">
        <v>67</v>
      </c>
      <c r="BB148" s="12">
        <v>16</v>
      </c>
      <c r="BC148" s="9" t="s">
        <v>74</v>
      </c>
      <c r="BD148" s="9" t="s">
        <v>104</v>
      </c>
      <c r="BE148" s="9" t="s">
        <v>75</v>
      </c>
      <c r="BF148" s="11">
        <v>0</v>
      </c>
      <c r="BG148">
        <f t="shared" si="6"/>
        <v>12</v>
      </c>
      <c r="BH148" t="str">
        <f>VLOOKUP(BG148,[1]month!$A:$B,2,0)</f>
        <v>Desember</v>
      </c>
      <c r="BI148">
        <f t="shared" si="7"/>
        <v>2025</v>
      </c>
      <c r="BJ148" t="str">
        <f>VLOOKUP(I148,[1]Dist!$A:$B,2,0)</f>
        <v>Industry</v>
      </c>
      <c r="BK148" t="str">
        <f>IF(I148=11,VLOOKUP(Y148,[2]Sheet1!$C:$N,10,0),IF(I148=13,VLOOKUP(Y148,[3]Sheet1!$C:$N,10,0),IF(I148=15,VLOOKUP(Y148,[4]Sheet1!$C:$N,10,0),"Unknown")))</f>
        <v>COMPLEMENTARY</v>
      </c>
      <c r="BL148" t="str">
        <f>IF(I148=11,VLOOKUP(Y148,[2]Sheet1!$C:$N,12,0),IF(I148=13,VLOOKUP(Y148,[3]Sheet1!$C:$N,12,0),IF(I148=15,VLOOKUP(Y148,[4]Sheet1!$C:$N,12,0),"Unknown")))</f>
        <v>PASTA</v>
      </c>
      <c r="BM148" t="str">
        <f>VLOOKUP(W148,[1]branch!$A:$B,2,0)</f>
        <v>INDUSTRY</v>
      </c>
    </row>
    <row r="149" spans="1:65" x14ac:dyDescent="0.35">
      <c r="A149" s="10">
        <v>45993</v>
      </c>
      <c r="B149" s="9" t="s">
        <v>1075</v>
      </c>
      <c r="C149" s="9" t="s">
        <v>64</v>
      </c>
      <c r="D149" s="9" t="s">
        <v>92</v>
      </c>
      <c r="E149" s="11">
        <v>30</v>
      </c>
      <c r="F149" s="9" t="s">
        <v>93</v>
      </c>
      <c r="G149" s="9" t="s">
        <v>65</v>
      </c>
      <c r="H149" s="9" t="s">
        <v>66</v>
      </c>
      <c r="I149" s="9">
        <v>11</v>
      </c>
      <c r="J149" s="9" t="s">
        <v>192</v>
      </c>
      <c r="K149" s="9" t="s">
        <v>192</v>
      </c>
      <c r="L149" s="9" t="s">
        <v>192</v>
      </c>
      <c r="M149" s="9" t="s">
        <v>193</v>
      </c>
      <c r="N149" s="9" t="s">
        <v>868</v>
      </c>
      <c r="O149" s="9" t="s">
        <v>97</v>
      </c>
      <c r="P149" s="9" t="s">
        <v>67</v>
      </c>
      <c r="Q149" s="9" t="s">
        <v>98</v>
      </c>
      <c r="R149" s="9" t="s">
        <v>192</v>
      </c>
      <c r="S149" s="9" t="s">
        <v>193</v>
      </c>
      <c r="T149" s="9" t="s">
        <v>820</v>
      </c>
      <c r="U149" s="9" t="s">
        <v>67</v>
      </c>
      <c r="V149" s="9" t="s">
        <v>194</v>
      </c>
      <c r="W149" s="9" t="s">
        <v>195</v>
      </c>
      <c r="X149" s="11">
        <v>150</v>
      </c>
      <c r="Y149" s="9" t="s">
        <v>363</v>
      </c>
      <c r="Z149" s="9" t="s">
        <v>68</v>
      </c>
      <c r="AA149" s="9" t="s">
        <v>364</v>
      </c>
      <c r="AB149" s="9" t="s">
        <v>67</v>
      </c>
      <c r="AC149" s="9" t="s">
        <v>91</v>
      </c>
      <c r="AD149" s="11">
        <v>4</v>
      </c>
      <c r="AE149" s="9" t="s">
        <v>70</v>
      </c>
      <c r="AF149" s="9" t="s">
        <v>71</v>
      </c>
      <c r="AG149" s="13">
        <v>1</v>
      </c>
      <c r="AH149" s="9" t="s">
        <v>92</v>
      </c>
      <c r="AI149" s="13">
        <v>676840</v>
      </c>
      <c r="AJ149" s="13">
        <v>2707360</v>
      </c>
      <c r="AK149" s="11">
        <v>0</v>
      </c>
      <c r="AL149" s="11">
        <v>0</v>
      </c>
      <c r="AM149" s="11">
        <v>0</v>
      </c>
      <c r="AN149" s="9" t="s">
        <v>67</v>
      </c>
      <c r="AO149" s="11">
        <v>2707360</v>
      </c>
      <c r="AP149" s="13">
        <v>216589</v>
      </c>
      <c r="AQ149" s="13">
        <v>2923949</v>
      </c>
      <c r="AR149" s="11">
        <v>16</v>
      </c>
      <c r="AS149" s="9" t="s">
        <v>72</v>
      </c>
      <c r="AT149" s="12">
        <v>9.76</v>
      </c>
      <c r="AU149" s="9" t="s">
        <v>73</v>
      </c>
      <c r="AV149" s="9" t="s">
        <v>67</v>
      </c>
      <c r="AW149" s="9" t="s">
        <v>1076</v>
      </c>
      <c r="AX149" s="10">
        <v>45992</v>
      </c>
      <c r="AY149" s="9" t="s">
        <v>1077</v>
      </c>
      <c r="AZ149" s="9" t="s">
        <v>67</v>
      </c>
      <c r="BA149" s="9" t="s">
        <v>67</v>
      </c>
      <c r="BB149" s="12">
        <v>16</v>
      </c>
      <c r="BC149" s="9" t="s">
        <v>74</v>
      </c>
      <c r="BD149" s="9" t="s">
        <v>104</v>
      </c>
      <c r="BE149" s="9" t="s">
        <v>75</v>
      </c>
      <c r="BF149" s="11">
        <v>0</v>
      </c>
      <c r="BG149">
        <f t="shared" si="6"/>
        <v>12</v>
      </c>
      <c r="BH149" t="str">
        <f>VLOOKUP(BG149,[1]month!$A:$B,2,0)</f>
        <v>Desember</v>
      </c>
      <c r="BI149">
        <f t="shared" si="7"/>
        <v>2025</v>
      </c>
      <c r="BJ149" t="str">
        <f>VLOOKUP(I149,[1]Dist!$A:$B,2,0)</f>
        <v>Industry</v>
      </c>
      <c r="BK149" t="str">
        <f>IF(I149=11,VLOOKUP(Y149,[2]Sheet1!$C:$N,10,0),IF(I149=13,VLOOKUP(Y149,[3]Sheet1!$C:$N,10,0),IF(I149=15,VLOOKUP(Y149,[4]Sheet1!$C:$N,10,0),"Unknown")))</f>
        <v>COMPLEMENTARY</v>
      </c>
      <c r="BL149" t="str">
        <f>IF(I149=11,VLOOKUP(Y149,[2]Sheet1!$C:$N,12,0),IF(I149=13,VLOOKUP(Y149,[3]Sheet1!$C:$N,12,0),IF(I149=15,VLOOKUP(Y149,[4]Sheet1!$C:$N,12,0),"Unknown")))</f>
        <v>PASTA</v>
      </c>
      <c r="BM149" t="str">
        <f>VLOOKUP(W149,[1]branch!$A:$B,2,0)</f>
        <v>INDUSTRY</v>
      </c>
    </row>
    <row r="150" spans="1:65" x14ac:dyDescent="0.35">
      <c r="A150" s="10">
        <v>45993</v>
      </c>
      <c r="B150" s="9" t="s">
        <v>1078</v>
      </c>
      <c r="C150" s="9" t="s">
        <v>64</v>
      </c>
      <c r="D150" s="9" t="s">
        <v>92</v>
      </c>
      <c r="E150" s="11">
        <v>30</v>
      </c>
      <c r="F150" s="9" t="s">
        <v>93</v>
      </c>
      <c r="G150" s="9" t="s">
        <v>65</v>
      </c>
      <c r="H150" s="9" t="s">
        <v>66</v>
      </c>
      <c r="I150" s="9">
        <v>11</v>
      </c>
      <c r="J150" s="9" t="s">
        <v>192</v>
      </c>
      <c r="K150" s="9" t="s">
        <v>192</v>
      </c>
      <c r="L150" s="9" t="s">
        <v>192</v>
      </c>
      <c r="M150" s="9" t="s">
        <v>193</v>
      </c>
      <c r="N150" s="9" t="s">
        <v>868</v>
      </c>
      <c r="O150" s="9" t="s">
        <v>97</v>
      </c>
      <c r="P150" s="9" t="s">
        <v>67</v>
      </c>
      <c r="Q150" s="9" t="s">
        <v>98</v>
      </c>
      <c r="R150" s="9" t="s">
        <v>192</v>
      </c>
      <c r="S150" s="9" t="s">
        <v>193</v>
      </c>
      <c r="T150" s="9" t="s">
        <v>820</v>
      </c>
      <c r="U150" s="9" t="s">
        <v>67</v>
      </c>
      <c r="V150" s="9" t="s">
        <v>194</v>
      </c>
      <c r="W150" s="9" t="s">
        <v>195</v>
      </c>
      <c r="X150" s="11">
        <v>10</v>
      </c>
      <c r="Y150" s="9" t="s">
        <v>294</v>
      </c>
      <c r="Z150" s="9" t="s">
        <v>68</v>
      </c>
      <c r="AA150" s="9" t="s">
        <v>295</v>
      </c>
      <c r="AB150" s="9" t="s">
        <v>67</v>
      </c>
      <c r="AC150" s="9" t="s">
        <v>248</v>
      </c>
      <c r="AD150" s="11">
        <v>5</v>
      </c>
      <c r="AE150" s="9" t="s">
        <v>70</v>
      </c>
      <c r="AF150" s="9" t="s">
        <v>71</v>
      </c>
      <c r="AG150" s="13">
        <v>1</v>
      </c>
      <c r="AH150" s="9" t="s">
        <v>92</v>
      </c>
      <c r="AI150" s="13">
        <v>3772000</v>
      </c>
      <c r="AJ150" s="13">
        <v>18860000</v>
      </c>
      <c r="AK150" s="11">
        <v>0</v>
      </c>
      <c r="AL150" s="11">
        <v>0</v>
      </c>
      <c r="AM150" s="11">
        <v>0</v>
      </c>
      <c r="AN150" s="9" t="s">
        <v>67</v>
      </c>
      <c r="AO150" s="11">
        <v>18860000</v>
      </c>
      <c r="AP150" s="13">
        <v>1508800</v>
      </c>
      <c r="AQ150" s="13">
        <v>20368800</v>
      </c>
      <c r="AR150" s="11">
        <v>96</v>
      </c>
      <c r="AS150" s="9" t="s">
        <v>72</v>
      </c>
      <c r="AT150" s="11">
        <v>100</v>
      </c>
      <c r="AU150" s="9" t="s">
        <v>73</v>
      </c>
      <c r="AV150" s="9" t="s">
        <v>67</v>
      </c>
      <c r="AW150" s="9" t="s">
        <v>1079</v>
      </c>
      <c r="AX150" s="10">
        <v>45992</v>
      </c>
      <c r="AY150" s="9" t="s">
        <v>1080</v>
      </c>
      <c r="AZ150" s="9" t="s">
        <v>67</v>
      </c>
      <c r="BA150" s="9" t="s">
        <v>67</v>
      </c>
      <c r="BB150" s="12">
        <v>100</v>
      </c>
      <c r="BC150" s="9" t="s">
        <v>74</v>
      </c>
      <c r="BD150" s="9" t="s">
        <v>104</v>
      </c>
      <c r="BE150" s="9" t="s">
        <v>75</v>
      </c>
      <c r="BF150" s="11">
        <v>0</v>
      </c>
      <c r="BG150">
        <f t="shared" si="6"/>
        <v>12</v>
      </c>
      <c r="BH150" t="str">
        <f>VLOOKUP(BG150,[1]month!$A:$B,2,0)</f>
        <v>Desember</v>
      </c>
      <c r="BI150">
        <f t="shared" si="7"/>
        <v>2025</v>
      </c>
      <c r="BJ150" t="str">
        <f>VLOOKUP(I150,[1]Dist!$A:$B,2,0)</f>
        <v>Industry</v>
      </c>
      <c r="BK150" t="str">
        <f>IF(I150=11,VLOOKUP(Y150,[2]Sheet1!$C:$N,10,0),IF(I150=13,VLOOKUP(Y150,[3]Sheet1!$C:$N,10,0),IF(I150=15,VLOOKUP(Y150,[4]Sheet1!$C:$N,10,0),"Unknown")))</f>
        <v>PU</v>
      </c>
      <c r="BL150" t="str">
        <f>IF(I150=11,VLOOKUP(Y150,[2]Sheet1!$C:$N,12,0),IF(I150=13,VLOOKUP(Y150,[3]Sheet1!$C:$N,12,0),IF(I150=15,VLOOKUP(Y150,[4]Sheet1!$C:$N,12,0),"Unknown")))</f>
        <v>PU LACQUER</v>
      </c>
      <c r="BM150" t="str">
        <f>VLOOKUP(W150,[1]branch!$A:$B,2,0)</f>
        <v>INDUSTRY</v>
      </c>
    </row>
    <row r="151" spans="1:65" x14ac:dyDescent="0.35">
      <c r="A151" s="10">
        <v>45993</v>
      </c>
      <c r="B151" s="9" t="s">
        <v>1078</v>
      </c>
      <c r="C151" s="9" t="s">
        <v>64</v>
      </c>
      <c r="D151" s="9" t="s">
        <v>92</v>
      </c>
      <c r="E151" s="11">
        <v>30</v>
      </c>
      <c r="F151" s="9" t="s">
        <v>93</v>
      </c>
      <c r="G151" s="9" t="s">
        <v>65</v>
      </c>
      <c r="H151" s="9" t="s">
        <v>66</v>
      </c>
      <c r="I151" s="9">
        <v>11</v>
      </c>
      <c r="J151" s="9" t="s">
        <v>192</v>
      </c>
      <c r="K151" s="9" t="s">
        <v>192</v>
      </c>
      <c r="L151" s="9" t="s">
        <v>192</v>
      </c>
      <c r="M151" s="9" t="s">
        <v>193</v>
      </c>
      <c r="N151" s="9" t="s">
        <v>868</v>
      </c>
      <c r="O151" s="9" t="s">
        <v>97</v>
      </c>
      <c r="P151" s="9" t="s">
        <v>67</v>
      </c>
      <c r="Q151" s="9" t="s">
        <v>98</v>
      </c>
      <c r="R151" s="9" t="s">
        <v>192</v>
      </c>
      <c r="S151" s="9" t="s">
        <v>193</v>
      </c>
      <c r="T151" s="9" t="s">
        <v>820</v>
      </c>
      <c r="U151" s="9" t="s">
        <v>67</v>
      </c>
      <c r="V151" s="9" t="s">
        <v>194</v>
      </c>
      <c r="W151" s="9" t="s">
        <v>195</v>
      </c>
      <c r="X151" s="11">
        <v>20</v>
      </c>
      <c r="Y151" s="9" t="s">
        <v>291</v>
      </c>
      <c r="Z151" s="9" t="s">
        <v>68</v>
      </c>
      <c r="AA151" s="9" t="s">
        <v>292</v>
      </c>
      <c r="AB151" s="9" t="s">
        <v>67</v>
      </c>
      <c r="AC151" s="9" t="s">
        <v>293</v>
      </c>
      <c r="AD151" s="11">
        <v>5</v>
      </c>
      <c r="AE151" s="9" t="s">
        <v>70</v>
      </c>
      <c r="AF151" s="9" t="s">
        <v>71</v>
      </c>
      <c r="AG151" s="13">
        <v>1</v>
      </c>
      <c r="AH151" s="9" t="s">
        <v>92</v>
      </c>
      <c r="AI151" s="13">
        <v>2628000</v>
      </c>
      <c r="AJ151" s="13">
        <v>13140000</v>
      </c>
      <c r="AK151" s="11">
        <v>0</v>
      </c>
      <c r="AL151" s="11">
        <v>0</v>
      </c>
      <c r="AM151" s="11">
        <v>0</v>
      </c>
      <c r="AN151" s="9" t="s">
        <v>67</v>
      </c>
      <c r="AO151" s="11">
        <v>13140000</v>
      </c>
      <c r="AP151" s="13">
        <v>1051200</v>
      </c>
      <c r="AQ151" s="13">
        <v>14191200</v>
      </c>
      <c r="AR151" s="11">
        <v>100</v>
      </c>
      <c r="AS151" s="9" t="s">
        <v>72</v>
      </c>
      <c r="AT151" s="11">
        <v>100</v>
      </c>
      <c r="AU151" s="9" t="s">
        <v>73</v>
      </c>
      <c r="AV151" s="9" t="s">
        <v>67</v>
      </c>
      <c r="AW151" s="9" t="s">
        <v>1079</v>
      </c>
      <c r="AX151" s="10">
        <v>45992</v>
      </c>
      <c r="AY151" s="9" t="s">
        <v>1080</v>
      </c>
      <c r="AZ151" s="9" t="s">
        <v>67</v>
      </c>
      <c r="BA151" s="9" t="s">
        <v>67</v>
      </c>
      <c r="BB151" s="12">
        <v>100</v>
      </c>
      <c r="BC151" s="9" t="s">
        <v>74</v>
      </c>
      <c r="BD151" s="9" t="s">
        <v>104</v>
      </c>
      <c r="BE151" s="9" t="s">
        <v>75</v>
      </c>
      <c r="BF151" s="11">
        <v>0</v>
      </c>
      <c r="BG151">
        <f t="shared" si="6"/>
        <v>12</v>
      </c>
      <c r="BH151" t="str">
        <f>VLOOKUP(BG151,[1]month!$A:$B,2,0)</f>
        <v>Desember</v>
      </c>
      <c r="BI151">
        <f t="shared" si="7"/>
        <v>2025</v>
      </c>
      <c r="BJ151" t="str">
        <f>VLOOKUP(I151,[1]Dist!$A:$B,2,0)</f>
        <v>Industry</v>
      </c>
      <c r="BK151" t="str">
        <f>IF(I151=11,VLOOKUP(Y151,[2]Sheet1!$C:$N,10,0),IF(I151=13,VLOOKUP(Y151,[3]Sheet1!$C:$N,10,0),IF(I151=15,VLOOKUP(Y151,[4]Sheet1!$C:$N,10,0),"Unknown")))</f>
        <v>PU</v>
      </c>
      <c r="BL151" t="str">
        <f>IF(I151=11,VLOOKUP(Y151,[2]Sheet1!$C:$N,12,0),IF(I151=13,VLOOKUP(Y151,[3]Sheet1!$C:$N,12,0),IF(I151=15,VLOOKUP(Y151,[4]Sheet1!$C:$N,12,0),"Unknown")))</f>
        <v>PU SANDING SEALER</v>
      </c>
      <c r="BM151" t="str">
        <f>VLOOKUP(W151,[1]branch!$A:$B,2,0)</f>
        <v>INDUSTRY</v>
      </c>
    </row>
    <row r="152" spans="1:65" x14ac:dyDescent="0.35">
      <c r="A152" s="10">
        <v>45993</v>
      </c>
      <c r="B152" s="9" t="s">
        <v>1078</v>
      </c>
      <c r="C152" s="9" t="s">
        <v>64</v>
      </c>
      <c r="D152" s="9" t="s">
        <v>92</v>
      </c>
      <c r="E152" s="11">
        <v>30</v>
      </c>
      <c r="F152" s="9" t="s">
        <v>93</v>
      </c>
      <c r="G152" s="9" t="s">
        <v>65</v>
      </c>
      <c r="H152" s="9" t="s">
        <v>66</v>
      </c>
      <c r="I152" s="9">
        <v>11</v>
      </c>
      <c r="J152" s="9" t="s">
        <v>192</v>
      </c>
      <c r="K152" s="9" t="s">
        <v>192</v>
      </c>
      <c r="L152" s="9" t="s">
        <v>192</v>
      </c>
      <c r="M152" s="9" t="s">
        <v>193</v>
      </c>
      <c r="N152" s="9" t="s">
        <v>868</v>
      </c>
      <c r="O152" s="9" t="s">
        <v>97</v>
      </c>
      <c r="P152" s="9" t="s">
        <v>67</v>
      </c>
      <c r="Q152" s="9" t="s">
        <v>98</v>
      </c>
      <c r="R152" s="9" t="s">
        <v>192</v>
      </c>
      <c r="S152" s="9" t="s">
        <v>193</v>
      </c>
      <c r="T152" s="9" t="s">
        <v>820</v>
      </c>
      <c r="U152" s="9" t="s">
        <v>67</v>
      </c>
      <c r="V152" s="9" t="s">
        <v>194</v>
      </c>
      <c r="W152" s="9" t="s">
        <v>195</v>
      </c>
      <c r="X152" s="11">
        <v>30</v>
      </c>
      <c r="Y152" s="9" t="s">
        <v>123</v>
      </c>
      <c r="Z152" s="9" t="s">
        <v>68</v>
      </c>
      <c r="AA152" s="9" t="s">
        <v>124</v>
      </c>
      <c r="AB152" s="9" t="s">
        <v>67</v>
      </c>
      <c r="AC152" s="9" t="s">
        <v>125</v>
      </c>
      <c r="AD152" s="11">
        <v>6</v>
      </c>
      <c r="AE152" s="9" t="s">
        <v>70</v>
      </c>
      <c r="AF152" s="9" t="s">
        <v>71</v>
      </c>
      <c r="AG152" s="13">
        <v>1</v>
      </c>
      <c r="AH152" s="9" t="s">
        <v>92</v>
      </c>
      <c r="AI152" s="13">
        <v>4370000</v>
      </c>
      <c r="AJ152" s="13">
        <v>26220000</v>
      </c>
      <c r="AK152" s="11">
        <v>0</v>
      </c>
      <c r="AL152" s="11">
        <v>0</v>
      </c>
      <c r="AM152" s="11">
        <v>0</v>
      </c>
      <c r="AN152" s="9" t="s">
        <v>67</v>
      </c>
      <c r="AO152" s="11">
        <v>26220000</v>
      </c>
      <c r="AP152" s="13">
        <v>2097600</v>
      </c>
      <c r="AQ152" s="13">
        <v>28317600</v>
      </c>
      <c r="AR152" s="12">
        <v>117.6</v>
      </c>
      <c r="AS152" s="9" t="s">
        <v>72</v>
      </c>
      <c r="AT152" s="11">
        <v>120</v>
      </c>
      <c r="AU152" s="9" t="s">
        <v>73</v>
      </c>
      <c r="AV152" s="9" t="s">
        <v>67</v>
      </c>
      <c r="AW152" s="9" t="s">
        <v>1079</v>
      </c>
      <c r="AX152" s="10">
        <v>45992</v>
      </c>
      <c r="AY152" s="9" t="s">
        <v>1080</v>
      </c>
      <c r="AZ152" s="9" t="s">
        <v>67</v>
      </c>
      <c r="BA152" s="9" t="s">
        <v>67</v>
      </c>
      <c r="BB152" s="12">
        <v>120</v>
      </c>
      <c r="BC152" s="9" t="s">
        <v>74</v>
      </c>
      <c r="BD152" s="9" t="s">
        <v>104</v>
      </c>
      <c r="BE152" s="9" t="s">
        <v>75</v>
      </c>
      <c r="BF152" s="11">
        <v>0</v>
      </c>
      <c r="BG152">
        <f t="shared" si="6"/>
        <v>12</v>
      </c>
      <c r="BH152" t="str">
        <f>VLOOKUP(BG152,[1]month!$A:$B,2,0)</f>
        <v>Desember</v>
      </c>
      <c r="BI152">
        <f t="shared" si="7"/>
        <v>2025</v>
      </c>
      <c r="BJ152" t="str">
        <f>VLOOKUP(I152,[1]Dist!$A:$B,2,0)</f>
        <v>Industry</v>
      </c>
      <c r="BK152" t="str">
        <f>IF(I152=11,VLOOKUP(Y152,[2]Sheet1!$C:$N,10,0),IF(I152=13,VLOOKUP(Y152,[3]Sheet1!$C:$N,10,0),IF(I152=15,VLOOKUP(Y152,[4]Sheet1!$C:$N,10,0),"Unknown")))</f>
        <v>PU</v>
      </c>
      <c r="BL152" t="str">
        <f>IF(I152=11,VLOOKUP(Y152,[2]Sheet1!$C:$N,12,0),IF(I152=13,VLOOKUP(Y152,[3]Sheet1!$C:$N,12,0),IF(I152=15,VLOOKUP(Y152,[4]Sheet1!$C:$N,12,0),"Unknown")))</f>
        <v>PU HARDENER</v>
      </c>
      <c r="BM152" t="str">
        <f>VLOOKUP(W152,[1]branch!$A:$B,2,0)</f>
        <v>INDUSTRY</v>
      </c>
    </row>
    <row r="153" spans="1:65" x14ac:dyDescent="0.35">
      <c r="A153" s="10">
        <v>45993</v>
      </c>
      <c r="B153" s="9" t="s">
        <v>1081</v>
      </c>
      <c r="C153" s="9" t="s">
        <v>64</v>
      </c>
      <c r="D153" s="9" t="s">
        <v>92</v>
      </c>
      <c r="E153" s="11">
        <v>30</v>
      </c>
      <c r="F153" s="9" t="s">
        <v>93</v>
      </c>
      <c r="G153" s="9" t="s">
        <v>65</v>
      </c>
      <c r="H153" s="9" t="s">
        <v>66</v>
      </c>
      <c r="I153" s="9">
        <v>11</v>
      </c>
      <c r="J153" s="9" t="s">
        <v>192</v>
      </c>
      <c r="K153" s="9" t="s">
        <v>192</v>
      </c>
      <c r="L153" s="9" t="s">
        <v>192</v>
      </c>
      <c r="M153" s="9" t="s">
        <v>193</v>
      </c>
      <c r="N153" s="9" t="s">
        <v>868</v>
      </c>
      <c r="O153" s="9" t="s">
        <v>97</v>
      </c>
      <c r="P153" s="9" t="s">
        <v>67</v>
      </c>
      <c r="Q153" s="9" t="s">
        <v>98</v>
      </c>
      <c r="R153" s="9" t="s">
        <v>192</v>
      </c>
      <c r="S153" s="9" t="s">
        <v>193</v>
      </c>
      <c r="T153" s="9" t="s">
        <v>820</v>
      </c>
      <c r="U153" s="9" t="s">
        <v>67</v>
      </c>
      <c r="V153" s="9" t="s">
        <v>194</v>
      </c>
      <c r="W153" s="9" t="s">
        <v>195</v>
      </c>
      <c r="X153" s="11">
        <v>50</v>
      </c>
      <c r="Y153" s="9" t="s">
        <v>529</v>
      </c>
      <c r="Z153" s="9" t="s">
        <v>68</v>
      </c>
      <c r="AA153" s="9" t="s">
        <v>530</v>
      </c>
      <c r="AB153" s="9" t="s">
        <v>67</v>
      </c>
      <c r="AC153" s="9" t="s">
        <v>137</v>
      </c>
      <c r="AD153" s="11">
        <v>1</v>
      </c>
      <c r="AE153" s="9" t="s">
        <v>70</v>
      </c>
      <c r="AF153" s="9" t="s">
        <v>71</v>
      </c>
      <c r="AG153" s="13">
        <v>1</v>
      </c>
      <c r="AH153" s="9" t="s">
        <v>92</v>
      </c>
      <c r="AI153" s="13">
        <v>1430640</v>
      </c>
      <c r="AJ153" s="13">
        <v>1430640</v>
      </c>
      <c r="AK153" s="11">
        <v>0</v>
      </c>
      <c r="AL153" s="11">
        <v>0</v>
      </c>
      <c r="AM153" s="11">
        <v>0</v>
      </c>
      <c r="AN153" s="9" t="s">
        <v>67</v>
      </c>
      <c r="AO153" s="11">
        <v>1430640</v>
      </c>
      <c r="AP153" s="13">
        <v>114451</v>
      </c>
      <c r="AQ153" s="13">
        <v>1545091</v>
      </c>
      <c r="AR153" s="11">
        <v>18</v>
      </c>
      <c r="AS153" s="9" t="s">
        <v>72</v>
      </c>
      <c r="AT153" s="12">
        <v>17.91</v>
      </c>
      <c r="AU153" s="9" t="s">
        <v>73</v>
      </c>
      <c r="AV153" s="9" t="s">
        <v>67</v>
      </c>
      <c r="AW153" s="9" t="s">
        <v>943</v>
      </c>
      <c r="AX153" s="10">
        <v>45980</v>
      </c>
      <c r="AY153" s="9" t="s">
        <v>1082</v>
      </c>
      <c r="AZ153" s="9" t="s">
        <v>67</v>
      </c>
      <c r="BA153" s="9" t="s">
        <v>67</v>
      </c>
      <c r="BB153" s="12">
        <v>18</v>
      </c>
      <c r="BC153" s="9" t="s">
        <v>74</v>
      </c>
      <c r="BD153" s="9" t="s">
        <v>104</v>
      </c>
      <c r="BE153" s="9" t="s">
        <v>75</v>
      </c>
      <c r="BF153" s="11">
        <v>0</v>
      </c>
      <c r="BG153">
        <f t="shared" si="6"/>
        <v>12</v>
      </c>
      <c r="BH153" t="str">
        <f>VLOOKUP(BG153,[1]month!$A:$B,2,0)</f>
        <v>Desember</v>
      </c>
      <c r="BI153">
        <f t="shared" si="7"/>
        <v>2025</v>
      </c>
      <c r="BJ153" t="str">
        <f>VLOOKUP(I153,[1]Dist!$A:$B,2,0)</f>
        <v>Industry</v>
      </c>
      <c r="BK153" t="str">
        <f>IF(I153=11,VLOOKUP(Y153,[2]Sheet1!$C:$N,10,0),IF(I153=13,VLOOKUP(Y153,[3]Sheet1!$C:$N,10,0),IF(I153=15,VLOOKUP(Y153,[4]Sheet1!$C:$N,10,0),"Unknown")))</f>
        <v>NC</v>
      </c>
      <c r="BL153" t="str">
        <f>IF(I153=11,VLOOKUP(Y153,[2]Sheet1!$C:$N,12,0),IF(I153=13,VLOOKUP(Y153,[3]Sheet1!$C:$N,12,0),IF(I153=15,VLOOKUP(Y153,[4]Sheet1!$C:$N,12,0),"Unknown")))</f>
        <v>ASOF : NC BASE COAT</v>
      </c>
      <c r="BM153" t="str">
        <f>VLOOKUP(W153,[1]branch!$A:$B,2,0)</f>
        <v>INDUSTRY</v>
      </c>
    </row>
    <row r="154" spans="1:65" x14ac:dyDescent="0.35">
      <c r="A154" s="10">
        <v>45993</v>
      </c>
      <c r="B154" s="9" t="s">
        <v>1083</v>
      </c>
      <c r="C154" s="9" t="s">
        <v>64</v>
      </c>
      <c r="D154" s="9" t="s">
        <v>92</v>
      </c>
      <c r="E154" s="11">
        <v>45</v>
      </c>
      <c r="F154" s="9" t="s">
        <v>93</v>
      </c>
      <c r="G154" s="9" t="s">
        <v>65</v>
      </c>
      <c r="H154" s="9" t="s">
        <v>66</v>
      </c>
      <c r="I154" s="9">
        <v>11</v>
      </c>
      <c r="J154" s="9" t="s">
        <v>289</v>
      </c>
      <c r="K154" s="9" t="s">
        <v>289</v>
      </c>
      <c r="L154" s="9" t="s">
        <v>289</v>
      </c>
      <c r="M154" s="9" t="s">
        <v>290</v>
      </c>
      <c r="N154" s="9" t="s">
        <v>868</v>
      </c>
      <c r="O154" s="9" t="s">
        <v>97</v>
      </c>
      <c r="P154" s="9" t="s">
        <v>67</v>
      </c>
      <c r="Q154" s="9" t="s">
        <v>98</v>
      </c>
      <c r="R154" s="9" t="s">
        <v>289</v>
      </c>
      <c r="S154" s="9" t="s">
        <v>290</v>
      </c>
      <c r="T154" s="9" t="s">
        <v>797</v>
      </c>
      <c r="U154" s="9" t="s">
        <v>67</v>
      </c>
      <c r="V154" s="9" t="s">
        <v>194</v>
      </c>
      <c r="W154" s="9" t="s">
        <v>195</v>
      </c>
      <c r="X154" s="11">
        <v>10</v>
      </c>
      <c r="Y154" s="9" t="s">
        <v>118</v>
      </c>
      <c r="Z154" s="9" t="s">
        <v>68</v>
      </c>
      <c r="AA154" s="9" t="s">
        <v>119</v>
      </c>
      <c r="AB154" s="9" t="s">
        <v>67</v>
      </c>
      <c r="AC154" s="9" t="s">
        <v>120</v>
      </c>
      <c r="AD154" s="11">
        <v>5</v>
      </c>
      <c r="AE154" s="9" t="s">
        <v>70</v>
      </c>
      <c r="AF154" s="9" t="s">
        <v>71</v>
      </c>
      <c r="AG154" s="13">
        <v>1</v>
      </c>
      <c r="AH154" s="9" t="s">
        <v>92</v>
      </c>
      <c r="AI154" s="13">
        <v>7538800</v>
      </c>
      <c r="AJ154" s="13">
        <v>37694000</v>
      </c>
      <c r="AK154" s="11">
        <v>0</v>
      </c>
      <c r="AL154" s="11">
        <v>0</v>
      </c>
      <c r="AM154" s="11">
        <v>0</v>
      </c>
      <c r="AN154" s="9" t="s">
        <v>67</v>
      </c>
      <c r="AO154" s="11">
        <v>37694000</v>
      </c>
      <c r="AP154" s="13">
        <v>3015519</v>
      </c>
      <c r="AQ154" s="13">
        <v>40709519</v>
      </c>
      <c r="AR154" s="11">
        <v>925</v>
      </c>
      <c r="AS154" s="9" t="s">
        <v>72</v>
      </c>
      <c r="AT154" s="11">
        <v>1000</v>
      </c>
      <c r="AU154" s="9" t="s">
        <v>73</v>
      </c>
      <c r="AV154" s="9" t="s">
        <v>67</v>
      </c>
      <c r="AW154" s="9" t="s">
        <v>942</v>
      </c>
      <c r="AX154" s="10">
        <v>45974</v>
      </c>
      <c r="AY154" s="9" t="s">
        <v>1084</v>
      </c>
      <c r="AZ154" s="9" t="s">
        <v>67</v>
      </c>
      <c r="BA154" s="9" t="s">
        <v>67</v>
      </c>
      <c r="BB154" s="12">
        <v>1000</v>
      </c>
      <c r="BC154" s="9" t="s">
        <v>74</v>
      </c>
      <c r="BD154" s="9" t="s">
        <v>104</v>
      </c>
      <c r="BE154" s="9" t="s">
        <v>75</v>
      </c>
      <c r="BF154" s="11">
        <v>0</v>
      </c>
      <c r="BG154">
        <f t="shared" si="6"/>
        <v>12</v>
      </c>
      <c r="BH154" t="str">
        <f>VLOOKUP(BG154,[1]month!$A:$B,2,0)</f>
        <v>Desember</v>
      </c>
      <c r="BI154">
        <f t="shared" si="7"/>
        <v>2025</v>
      </c>
      <c r="BJ154" t="str">
        <f>VLOOKUP(I154,[1]Dist!$A:$B,2,0)</f>
        <v>Industry</v>
      </c>
      <c r="BK154" t="str">
        <f>IF(I154=11,VLOOKUP(Y154,[2]Sheet1!$C:$N,10,0),IF(I154=13,VLOOKUP(Y154,[3]Sheet1!$C:$N,10,0),IF(I154=15,VLOOKUP(Y154,[4]Sheet1!$C:$N,10,0),"Unknown")))</f>
        <v>THINNER PU</v>
      </c>
      <c r="BL154" t="str">
        <f>IF(I154=11,VLOOKUP(Y154,[2]Sheet1!$C:$N,12,0),IF(I154=13,VLOOKUP(Y154,[3]Sheet1!$C:$N,12,0),IF(I154=15,VLOOKUP(Y154,[4]Sheet1!$C:$N,12,0),"Unknown")))</f>
        <v>THINNER PU</v>
      </c>
      <c r="BM154" t="str">
        <f>VLOOKUP(W154,[1]branch!$A:$B,2,0)</f>
        <v>INDUSTRY</v>
      </c>
    </row>
    <row r="155" spans="1:65" x14ac:dyDescent="0.35">
      <c r="A155" s="10">
        <v>45993</v>
      </c>
      <c r="B155" s="9" t="s">
        <v>1083</v>
      </c>
      <c r="C155" s="9" t="s">
        <v>64</v>
      </c>
      <c r="D155" s="9" t="s">
        <v>92</v>
      </c>
      <c r="E155" s="11">
        <v>45</v>
      </c>
      <c r="F155" s="9" t="s">
        <v>93</v>
      </c>
      <c r="G155" s="9" t="s">
        <v>65</v>
      </c>
      <c r="H155" s="9" t="s">
        <v>66</v>
      </c>
      <c r="I155" s="9">
        <v>11</v>
      </c>
      <c r="J155" s="9" t="s">
        <v>289</v>
      </c>
      <c r="K155" s="9" t="s">
        <v>289</v>
      </c>
      <c r="L155" s="9" t="s">
        <v>289</v>
      </c>
      <c r="M155" s="9" t="s">
        <v>290</v>
      </c>
      <c r="N155" s="9" t="s">
        <v>868</v>
      </c>
      <c r="O155" s="9" t="s">
        <v>97</v>
      </c>
      <c r="P155" s="9" t="s">
        <v>67</v>
      </c>
      <c r="Q155" s="9" t="s">
        <v>98</v>
      </c>
      <c r="R155" s="9" t="s">
        <v>289</v>
      </c>
      <c r="S155" s="9" t="s">
        <v>290</v>
      </c>
      <c r="T155" s="9" t="s">
        <v>797</v>
      </c>
      <c r="U155" s="9" t="s">
        <v>67</v>
      </c>
      <c r="V155" s="9" t="s">
        <v>194</v>
      </c>
      <c r="W155" s="9" t="s">
        <v>195</v>
      </c>
      <c r="X155" s="11">
        <v>20</v>
      </c>
      <c r="Y155" s="9" t="s">
        <v>196</v>
      </c>
      <c r="Z155" s="9" t="s">
        <v>68</v>
      </c>
      <c r="AA155" s="9" t="s">
        <v>197</v>
      </c>
      <c r="AB155" s="9" t="s">
        <v>67</v>
      </c>
      <c r="AC155" s="9" t="s">
        <v>103</v>
      </c>
      <c r="AD155" s="11">
        <v>8</v>
      </c>
      <c r="AE155" s="9" t="s">
        <v>70</v>
      </c>
      <c r="AF155" s="9" t="s">
        <v>71</v>
      </c>
      <c r="AG155" s="13">
        <v>1</v>
      </c>
      <c r="AH155" s="9" t="s">
        <v>92</v>
      </c>
      <c r="AI155" s="13">
        <v>1029220</v>
      </c>
      <c r="AJ155" s="13">
        <v>8233760</v>
      </c>
      <c r="AK155" s="11">
        <v>0</v>
      </c>
      <c r="AL155" s="11">
        <v>0</v>
      </c>
      <c r="AM155" s="11">
        <v>0</v>
      </c>
      <c r="AN155" s="9" t="s">
        <v>67</v>
      </c>
      <c r="AO155" s="11">
        <v>8233760</v>
      </c>
      <c r="AP155" s="13">
        <v>658701</v>
      </c>
      <c r="AQ155" s="13">
        <v>8892461</v>
      </c>
      <c r="AR155" s="11">
        <v>160</v>
      </c>
      <c r="AS155" s="9" t="s">
        <v>72</v>
      </c>
      <c r="AT155" s="12">
        <v>158.4</v>
      </c>
      <c r="AU155" s="9" t="s">
        <v>73</v>
      </c>
      <c r="AV155" s="9" t="s">
        <v>67</v>
      </c>
      <c r="AW155" s="9" t="s">
        <v>942</v>
      </c>
      <c r="AX155" s="10">
        <v>45974</v>
      </c>
      <c r="AY155" s="9" t="s">
        <v>1084</v>
      </c>
      <c r="AZ155" s="9" t="s">
        <v>67</v>
      </c>
      <c r="BA155" s="9" t="s">
        <v>67</v>
      </c>
      <c r="BB155" s="12">
        <v>160</v>
      </c>
      <c r="BC155" s="9" t="s">
        <v>74</v>
      </c>
      <c r="BD155" s="9" t="s">
        <v>104</v>
      </c>
      <c r="BE155" s="9" t="s">
        <v>75</v>
      </c>
      <c r="BF155" s="11">
        <v>0</v>
      </c>
      <c r="BG155">
        <f t="shared" si="6"/>
        <v>12</v>
      </c>
      <c r="BH155" t="str">
        <f>VLOOKUP(BG155,[1]month!$A:$B,2,0)</f>
        <v>Desember</v>
      </c>
      <c r="BI155">
        <f t="shared" si="7"/>
        <v>2025</v>
      </c>
      <c r="BJ155" t="str">
        <f>VLOOKUP(I155,[1]Dist!$A:$B,2,0)</f>
        <v>Industry</v>
      </c>
      <c r="BK155" t="str">
        <f>IF(I155=11,VLOOKUP(Y155,[2]Sheet1!$C:$N,10,0),IF(I155=13,VLOOKUP(Y155,[3]Sheet1!$C:$N,10,0),IF(I155=15,VLOOKUP(Y155,[4]Sheet1!$C:$N,10,0),"Unknown")))</f>
        <v>PU</v>
      </c>
      <c r="BL155" t="str">
        <f>IF(I155=11,VLOOKUP(Y155,[2]Sheet1!$C:$N,12,0),IF(I155=13,VLOOKUP(Y155,[3]Sheet1!$C:$N,12,0),IF(I155=15,VLOOKUP(Y155,[4]Sheet1!$C:$N,12,0),"Unknown")))</f>
        <v>PU SANDING SEALER</v>
      </c>
      <c r="BM155" t="str">
        <f>VLOOKUP(W155,[1]branch!$A:$B,2,0)</f>
        <v>INDUSTRY</v>
      </c>
    </row>
    <row r="156" spans="1:65" x14ac:dyDescent="0.35">
      <c r="A156" s="10">
        <v>45993</v>
      </c>
      <c r="B156" s="9" t="s">
        <v>1083</v>
      </c>
      <c r="C156" s="9" t="s">
        <v>64</v>
      </c>
      <c r="D156" s="9" t="s">
        <v>92</v>
      </c>
      <c r="E156" s="11">
        <v>45</v>
      </c>
      <c r="F156" s="9" t="s">
        <v>93</v>
      </c>
      <c r="G156" s="9" t="s">
        <v>65</v>
      </c>
      <c r="H156" s="9" t="s">
        <v>66</v>
      </c>
      <c r="I156" s="9">
        <v>11</v>
      </c>
      <c r="J156" s="9" t="s">
        <v>289</v>
      </c>
      <c r="K156" s="9" t="s">
        <v>289</v>
      </c>
      <c r="L156" s="9" t="s">
        <v>289</v>
      </c>
      <c r="M156" s="9" t="s">
        <v>290</v>
      </c>
      <c r="N156" s="9" t="s">
        <v>868</v>
      </c>
      <c r="O156" s="9" t="s">
        <v>97</v>
      </c>
      <c r="P156" s="9" t="s">
        <v>67</v>
      </c>
      <c r="Q156" s="9" t="s">
        <v>98</v>
      </c>
      <c r="R156" s="9" t="s">
        <v>289</v>
      </c>
      <c r="S156" s="9" t="s">
        <v>290</v>
      </c>
      <c r="T156" s="9" t="s">
        <v>797</v>
      </c>
      <c r="U156" s="9" t="s">
        <v>67</v>
      </c>
      <c r="V156" s="9" t="s">
        <v>194</v>
      </c>
      <c r="W156" s="9" t="s">
        <v>195</v>
      </c>
      <c r="X156" s="11">
        <v>30</v>
      </c>
      <c r="Y156" s="9" t="s">
        <v>105</v>
      </c>
      <c r="Z156" s="9" t="s">
        <v>68</v>
      </c>
      <c r="AA156" s="9" t="s">
        <v>106</v>
      </c>
      <c r="AB156" s="9" t="s">
        <v>67</v>
      </c>
      <c r="AC156" s="9" t="s">
        <v>107</v>
      </c>
      <c r="AD156" s="11">
        <v>4</v>
      </c>
      <c r="AE156" s="9" t="s">
        <v>70</v>
      </c>
      <c r="AF156" s="9" t="s">
        <v>71</v>
      </c>
      <c r="AG156" s="13">
        <v>1</v>
      </c>
      <c r="AH156" s="9" t="s">
        <v>92</v>
      </c>
      <c r="AI156" s="13">
        <v>1634680</v>
      </c>
      <c r="AJ156" s="13">
        <v>6538720</v>
      </c>
      <c r="AK156" s="11">
        <v>0</v>
      </c>
      <c r="AL156" s="11">
        <v>0</v>
      </c>
      <c r="AM156" s="11">
        <v>0</v>
      </c>
      <c r="AN156" s="9" t="s">
        <v>67</v>
      </c>
      <c r="AO156" s="11">
        <v>6538720</v>
      </c>
      <c r="AP156" s="13">
        <v>523098</v>
      </c>
      <c r="AQ156" s="13">
        <v>7061818</v>
      </c>
      <c r="AR156" s="11">
        <v>80</v>
      </c>
      <c r="AS156" s="9" t="s">
        <v>72</v>
      </c>
      <c r="AT156" s="12">
        <v>85.12</v>
      </c>
      <c r="AU156" s="9" t="s">
        <v>73</v>
      </c>
      <c r="AV156" s="9" t="s">
        <v>67</v>
      </c>
      <c r="AW156" s="9" t="s">
        <v>942</v>
      </c>
      <c r="AX156" s="10">
        <v>45974</v>
      </c>
      <c r="AY156" s="9" t="s">
        <v>1084</v>
      </c>
      <c r="AZ156" s="9" t="s">
        <v>67</v>
      </c>
      <c r="BA156" s="9" t="s">
        <v>67</v>
      </c>
      <c r="BB156" s="12">
        <v>80</v>
      </c>
      <c r="BC156" s="9" t="s">
        <v>74</v>
      </c>
      <c r="BD156" s="9" t="s">
        <v>104</v>
      </c>
      <c r="BE156" s="9" t="s">
        <v>75</v>
      </c>
      <c r="BF156" s="11">
        <v>0</v>
      </c>
      <c r="BG156">
        <f t="shared" si="6"/>
        <v>12</v>
      </c>
      <c r="BH156" t="str">
        <f>VLOOKUP(BG156,[1]month!$A:$B,2,0)</f>
        <v>Desember</v>
      </c>
      <c r="BI156">
        <f t="shared" si="7"/>
        <v>2025</v>
      </c>
      <c r="BJ156" t="str">
        <f>VLOOKUP(I156,[1]Dist!$A:$B,2,0)</f>
        <v>Industry</v>
      </c>
      <c r="BK156" t="str">
        <f>IF(I156=11,VLOOKUP(Y156,[2]Sheet1!$C:$N,10,0),IF(I156=13,VLOOKUP(Y156,[3]Sheet1!$C:$N,10,0),IF(I156=15,VLOOKUP(Y156,[4]Sheet1!$C:$N,10,0),"Unknown")))</f>
        <v>PU</v>
      </c>
      <c r="BL156" t="str">
        <f>IF(I156=11,VLOOKUP(Y156,[2]Sheet1!$C:$N,12,0),IF(I156=13,VLOOKUP(Y156,[3]Sheet1!$C:$N,12,0),IF(I156=15,VLOOKUP(Y156,[4]Sheet1!$C:$N,12,0),"Unknown")))</f>
        <v>PU HARDENER</v>
      </c>
      <c r="BM156" t="str">
        <f>VLOOKUP(W156,[1]branch!$A:$B,2,0)</f>
        <v>INDUSTRY</v>
      </c>
    </row>
    <row r="157" spans="1:65" x14ac:dyDescent="0.35">
      <c r="A157" s="10">
        <v>45993</v>
      </c>
      <c r="B157" s="9" t="s">
        <v>1083</v>
      </c>
      <c r="C157" s="9" t="s">
        <v>64</v>
      </c>
      <c r="D157" s="9" t="s">
        <v>92</v>
      </c>
      <c r="E157" s="11">
        <v>45</v>
      </c>
      <c r="F157" s="9" t="s">
        <v>93</v>
      </c>
      <c r="G157" s="9" t="s">
        <v>65</v>
      </c>
      <c r="H157" s="9" t="s">
        <v>66</v>
      </c>
      <c r="I157" s="9">
        <v>11</v>
      </c>
      <c r="J157" s="9" t="s">
        <v>289</v>
      </c>
      <c r="K157" s="9" t="s">
        <v>289</v>
      </c>
      <c r="L157" s="9" t="s">
        <v>289</v>
      </c>
      <c r="M157" s="9" t="s">
        <v>290</v>
      </c>
      <c r="N157" s="9" t="s">
        <v>868</v>
      </c>
      <c r="O157" s="9" t="s">
        <v>97</v>
      </c>
      <c r="P157" s="9" t="s">
        <v>67</v>
      </c>
      <c r="Q157" s="9" t="s">
        <v>98</v>
      </c>
      <c r="R157" s="9" t="s">
        <v>289</v>
      </c>
      <c r="S157" s="9" t="s">
        <v>290</v>
      </c>
      <c r="T157" s="9" t="s">
        <v>797</v>
      </c>
      <c r="U157" s="9" t="s">
        <v>67</v>
      </c>
      <c r="V157" s="9" t="s">
        <v>194</v>
      </c>
      <c r="W157" s="9" t="s">
        <v>195</v>
      </c>
      <c r="X157" s="11">
        <v>40</v>
      </c>
      <c r="Y157" s="9" t="s">
        <v>294</v>
      </c>
      <c r="Z157" s="9" t="s">
        <v>68</v>
      </c>
      <c r="AA157" s="9" t="s">
        <v>295</v>
      </c>
      <c r="AB157" s="9" t="s">
        <v>67</v>
      </c>
      <c r="AC157" s="9" t="s">
        <v>248</v>
      </c>
      <c r="AD157" s="11">
        <v>5</v>
      </c>
      <c r="AE157" s="9" t="s">
        <v>70</v>
      </c>
      <c r="AF157" s="9" t="s">
        <v>71</v>
      </c>
      <c r="AG157" s="13">
        <v>1</v>
      </c>
      <c r="AH157" s="9" t="s">
        <v>92</v>
      </c>
      <c r="AI157" s="13">
        <v>2481960</v>
      </c>
      <c r="AJ157" s="13">
        <v>12409800</v>
      </c>
      <c r="AK157" s="11">
        <v>0</v>
      </c>
      <c r="AL157" s="11">
        <v>0</v>
      </c>
      <c r="AM157" s="11">
        <v>0</v>
      </c>
      <c r="AN157" s="9" t="s">
        <v>67</v>
      </c>
      <c r="AO157" s="11">
        <v>12409800</v>
      </c>
      <c r="AP157" s="13">
        <v>992784</v>
      </c>
      <c r="AQ157" s="13">
        <v>13402584</v>
      </c>
      <c r="AR157" s="11">
        <v>96</v>
      </c>
      <c r="AS157" s="9" t="s">
        <v>72</v>
      </c>
      <c r="AT157" s="11">
        <v>100</v>
      </c>
      <c r="AU157" s="9" t="s">
        <v>73</v>
      </c>
      <c r="AV157" s="9" t="s">
        <v>67</v>
      </c>
      <c r="AW157" s="9" t="s">
        <v>942</v>
      </c>
      <c r="AX157" s="10">
        <v>45974</v>
      </c>
      <c r="AY157" s="9" t="s">
        <v>1084</v>
      </c>
      <c r="AZ157" s="9" t="s">
        <v>67</v>
      </c>
      <c r="BA157" s="9" t="s">
        <v>67</v>
      </c>
      <c r="BB157" s="12">
        <v>100</v>
      </c>
      <c r="BC157" s="9" t="s">
        <v>74</v>
      </c>
      <c r="BD157" s="9" t="s">
        <v>104</v>
      </c>
      <c r="BE157" s="9" t="s">
        <v>75</v>
      </c>
      <c r="BF157" s="11">
        <v>0</v>
      </c>
      <c r="BG157">
        <f t="shared" si="6"/>
        <v>12</v>
      </c>
      <c r="BH157" t="str">
        <f>VLOOKUP(BG157,[1]month!$A:$B,2,0)</f>
        <v>Desember</v>
      </c>
      <c r="BI157">
        <f t="shared" si="7"/>
        <v>2025</v>
      </c>
      <c r="BJ157" t="str">
        <f>VLOOKUP(I157,[1]Dist!$A:$B,2,0)</f>
        <v>Industry</v>
      </c>
      <c r="BK157" t="str">
        <f>IF(I157=11,VLOOKUP(Y157,[2]Sheet1!$C:$N,10,0),IF(I157=13,VLOOKUP(Y157,[3]Sheet1!$C:$N,10,0),IF(I157=15,VLOOKUP(Y157,[4]Sheet1!$C:$N,10,0),"Unknown")))</f>
        <v>PU</v>
      </c>
      <c r="BL157" t="str">
        <f>IF(I157=11,VLOOKUP(Y157,[2]Sheet1!$C:$N,12,0),IF(I157=13,VLOOKUP(Y157,[3]Sheet1!$C:$N,12,0),IF(I157=15,VLOOKUP(Y157,[4]Sheet1!$C:$N,12,0),"Unknown")))</f>
        <v>PU LACQUER</v>
      </c>
      <c r="BM157" t="str">
        <f>VLOOKUP(W157,[1]branch!$A:$B,2,0)</f>
        <v>INDUSTRY</v>
      </c>
    </row>
    <row r="158" spans="1:65" x14ac:dyDescent="0.35">
      <c r="A158" s="10">
        <v>45993</v>
      </c>
      <c r="B158" s="9" t="s">
        <v>1083</v>
      </c>
      <c r="C158" s="9" t="s">
        <v>64</v>
      </c>
      <c r="D158" s="9" t="s">
        <v>92</v>
      </c>
      <c r="E158" s="11">
        <v>45</v>
      </c>
      <c r="F158" s="9" t="s">
        <v>93</v>
      </c>
      <c r="G158" s="9" t="s">
        <v>65</v>
      </c>
      <c r="H158" s="9" t="s">
        <v>66</v>
      </c>
      <c r="I158" s="9">
        <v>11</v>
      </c>
      <c r="J158" s="9" t="s">
        <v>289</v>
      </c>
      <c r="K158" s="9" t="s">
        <v>289</v>
      </c>
      <c r="L158" s="9" t="s">
        <v>289</v>
      </c>
      <c r="M158" s="9" t="s">
        <v>290</v>
      </c>
      <c r="N158" s="9" t="s">
        <v>868</v>
      </c>
      <c r="O158" s="9" t="s">
        <v>97</v>
      </c>
      <c r="P158" s="9" t="s">
        <v>67</v>
      </c>
      <c r="Q158" s="9" t="s">
        <v>98</v>
      </c>
      <c r="R158" s="9" t="s">
        <v>289</v>
      </c>
      <c r="S158" s="9" t="s">
        <v>290</v>
      </c>
      <c r="T158" s="9" t="s">
        <v>797</v>
      </c>
      <c r="U158" s="9" t="s">
        <v>67</v>
      </c>
      <c r="V158" s="9" t="s">
        <v>194</v>
      </c>
      <c r="W158" s="9" t="s">
        <v>195</v>
      </c>
      <c r="X158" s="11">
        <v>50</v>
      </c>
      <c r="Y158" s="9" t="s">
        <v>123</v>
      </c>
      <c r="Z158" s="9" t="s">
        <v>68</v>
      </c>
      <c r="AA158" s="9" t="s">
        <v>124</v>
      </c>
      <c r="AB158" s="9" t="s">
        <v>67</v>
      </c>
      <c r="AC158" s="9" t="s">
        <v>125</v>
      </c>
      <c r="AD158" s="11">
        <v>3</v>
      </c>
      <c r="AE158" s="9" t="s">
        <v>70</v>
      </c>
      <c r="AF158" s="9" t="s">
        <v>71</v>
      </c>
      <c r="AG158" s="13">
        <v>1</v>
      </c>
      <c r="AH158" s="9" t="s">
        <v>92</v>
      </c>
      <c r="AI158" s="13">
        <v>2517840</v>
      </c>
      <c r="AJ158" s="13">
        <v>7553520</v>
      </c>
      <c r="AK158" s="11">
        <v>0</v>
      </c>
      <c r="AL158" s="11">
        <v>0</v>
      </c>
      <c r="AM158" s="11">
        <v>0</v>
      </c>
      <c r="AN158" s="9" t="s">
        <v>67</v>
      </c>
      <c r="AO158" s="11">
        <v>7553520</v>
      </c>
      <c r="AP158" s="13">
        <v>604282</v>
      </c>
      <c r="AQ158" s="13">
        <v>8157802</v>
      </c>
      <c r="AR158" s="12">
        <v>58.8</v>
      </c>
      <c r="AS158" s="9" t="s">
        <v>72</v>
      </c>
      <c r="AT158" s="11">
        <v>60</v>
      </c>
      <c r="AU158" s="9" t="s">
        <v>73</v>
      </c>
      <c r="AV158" s="9" t="s">
        <v>67</v>
      </c>
      <c r="AW158" s="9" t="s">
        <v>942</v>
      </c>
      <c r="AX158" s="10">
        <v>45974</v>
      </c>
      <c r="AY158" s="9" t="s">
        <v>1084</v>
      </c>
      <c r="AZ158" s="9" t="s">
        <v>67</v>
      </c>
      <c r="BA158" s="9" t="s">
        <v>67</v>
      </c>
      <c r="BB158" s="12">
        <v>60</v>
      </c>
      <c r="BC158" s="9" t="s">
        <v>74</v>
      </c>
      <c r="BD158" s="9" t="s">
        <v>104</v>
      </c>
      <c r="BE158" s="9" t="s">
        <v>75</v>
      </c>
      <c r="BF158" s="11">
        <v>0</v>
      </c>
      <c r="BG158">
        <f t="shared" si="6"/>
        <v>12</v>
      </c>
      <c r="BH158" t="str">
        <f>VLOOKUP(BG158,[1]month!$A:$B,2,0)</f>
        <v>Desember</v>
      </c>
      <c r="BI158">
        <f t="shared" si="7"/>
        <v>2025</v>
      </c>
      <c r="BJ158" t="str">
        <f>VLOOKUP(I158,[1]Dist!$A:$B,2,0)</f>
        <v>Industry</v>
      </c>
      <c r="BK158" t="str">
        <f>IF(I158=11,VLOOKUP(Y158,[2]Sheet1!$C:$N,10,0),IF(I158=13,VLOOKUP(Y158,[3]Sheet1!$C:$N,10,0),IF(I158=15,VLOOKUP(Y158,[4]Sheet1!$C:$N,10,0),"Unknown")))</f>
        <v>PU</v>
      </c>
      <c r="BL158" t="str">
        <f>IF(I158=11,VLOOKUP(Y158,[2]Sheet1!$C:$N,12,0),IF(I158=13,VLOOKUP(Y158,[3]Sheet1!$C:$N,12,0),IF(I158=15,VLOOKUP(Y158,[4]Sheet1!$C:$N,12,0),"Unknown")))</f>
        <v>PU HARDENER</v>
      </c>
      <c r="BM158" t="str">
        <f>VLOOKUP(W158,[1]branch!$A:$B,2,0)</f>
        <v>INDUSTRY</v>
      </c>
    </row>
    <row r="159" spans="1:65" x14ac:dyDescent="0.35">
      <c r="A159" s="10">
        <v>45993</v>
      </c>
      <c r="B159" s="9" t="s">
        <v>1085</v>
      </c>
      <c r="C159" s="9" t="s">
        <v>64</v>
      </c>
      <c r="D159" s="9" t="s">
        <v>92</v>
      </c>
      <c r="E159" s="11">
        <v>45</v>
      </c>
      <c r="F159" s="9" t="s">
        <v>93</v>
      </c>
      <c r="G159" s="9" t="s">
        <v>65</v>
      </c>
      <c r="H159" s="9" t="s">
        <v>66</v>
      </c>
      <c r="I159" s="9">
        <v>11</v>
      </c>
      <c r="J159" s="9" t="s">
        <v>289</v>
      </c>
      <c r="K159" s="9" t="s">
        <v>289</v>
      </c>
      <c r="L159" s="9" t="s">
        <v>289</v>
      </c>
      <c r="M159" s="9" t="s">
        <v>290</v>
      </c>
      <c r="N159" s="9" t="s">
        <v>868</v>
      </c>
      <c r="O159" s="9" t="s">
        <v>97</v>
      </c>
      <c r="P159" s="9" t="s">
        <v>67</v>
      </c>
      <c r="Q159" s="9" t="s">
        <v>98</v>
      </c>
      <c r="R159" s="9" t="s">
        <v>289</v>
      </c>
      <c r="S159" s="9" t="s">
        <v>290</v>
      </c>
      <c r="T159" s="9" t="s">
        <v>797</v>
      </c>
      <c r="U159" s="9" t="s">
        <v>67</v>
      </c>
      <c r="V159" s="9" t="s">
        <v>194</v>
      </c>
      <c r="W159" s="9" t="s">
        <v>195</v>
      </c>
      <c r="X159" s="11">
        <v>170</v>
      </c>
      <c r="Y159" s="9" t="s">
        <v>211</v>
      </c>
      <c r="Z159" s="9" t="s">
        <v>68</v>
      </c>
      <c r="AA159" s="9" t="s">
        <v>212</v>
      </c>
      <c r="AB159" s="9" t="s">
        <v>67</v>
      </c>
      <c r="AC159" s="9" t="s">
        <v>139</v>
      </c>
      <c r="AD159" s="11">
        <v>5</v>
      </c>
      <c r="AE159" s="9" t="s">
        <v>70</v>
      </c>
      <c r="AF159" s="9" t="s">
        <v>71</v>
      </c>
      <c r="AG159" s="13">
        <v>1</v>
      </c>
      <c r="AH159" s="9" t="s">
        <v>92</v>
      </c>
      <c r="AI159" s="13">
        <v>781180</v>
      </c>
      <c r="AJ159" s="13">
        <v>3905900</v>
      </c>
      <c r="AK159" s="11">
        <v>0</v>
      </c>
      <c r="AL159" s="11">
        <v>0</v>
      </c>
      <c r="AM159" s="11">
        <v>0</v>
      </c>
      <c r="AN159" s="9" t="s">
        <v>67</v>
      </c>
      <c r="AO159" s="11">
        <v>3905900</v>
      </c>
      <c r="AP159" s="13">
        <v>312472</v>
      </c>
      <c r="AQ159" s="13">
        <v>4218372</v>
      </c>
      <c r="AR159" s="11">
        <v>88</v>
      </c>
      <c r="AS159" s="9" t="s">
        <v>72</v>
      </c>
      <c r="AT159" s="11">
        <v>100</v>
      </c>
      <c r="AU159" s="9" t="s">
        <v>73</v>
      </c>
      <c r="AV159" s="9" t="s">
        <v>67</v>
      </c>
      <c r="AW159" s="9" t="s">
        <v>925</v>
      </c>
      <c r="AX159" s="10">
        <v>45953</v>
      </c>
      <c r="AY159" s="9" t="s">
        <v>1086</v>
      </c>
      <c r="AZ159" s="9" t="s">
        <v>67</v>
      </c>
      <c r="BA159" s="9" t="s">
        <v>67</v>
      </c>
      <c r="BB159" s="12">
        <v>100</v>
      </c>
      <c r="BC159" s="9" t="s">
        <v>74</v>
      </c>
      <c r="BD159" s="9" t="s">
        <v>104</v>
      </c>
      <c r="BE159" s="9" t="s">
        <v>75</v>
      </c>
      <c r="BF159" s="11">
        <v>0</v>
      </c>
      <c r="BG159">
        <f t="shared" si="6"/>
        <v>12</v>
      </c>
      <c r="BH159" t="str">
        <f>VLOOKUP(BG159,[1]month!$A:$B,2,0)</f>
        <v>Desember</v>
      </c>
      <c r="BI159">
        <f t="shared" si="7"/>
        <v>2025</v>
      </c>
      <c r="BJ159" t="str">
        <f>VLOOKUP(I159,[1]Dist!$A:$B,2,0)</f>
        <v>Industry</v>
      </c>
      <c r="BK159" t="str">
        <f>IF(I159=11,VLOOKUP(Y159,[2]Sheet1!$C:$N,10,0),IF(I159=13,VLOOKUP(Y159,[3]Sheet1!$C:$N,10,0),IF(I159=15,VLOOKUP(Y159,[4]Sheet1!$C:$N,10,0),"Unknown")))</f>
        <v>THINNER NC</v>
      </c>
      <c r="BL159" t="str">
        <f>IF(I159=11,VLOOKUP(Y159,[2]Sheet1!$C:$N,12,0),IF(I159=13,VLOOKUP(Y159,[3]Sheet1!$C:$N,12,0),IF(I159=15,VLOOKUP(Y159,[4]Sheet1!$C:$N,12,0),"Unknown")))</f>
        <v>THINNER COMPLEMENTARY</v>
      </c>
      <c r="BM159" t="str">
        <f>VLOOKUP(W159,[1]branch!$A:$B,2,0)</f>
        <v>INDUSTRY</v>
      </c>
    </row>
    <row r="160" spans="1:65" x14ac:dyDescent="0.35">
      <c r="A160" s="10">
        <v>45993</v>
      </c>
      <c r="B160" s="9" t="s">
        <v>1087</v>
      </c>
      <c r="C160" s="9" t="s">
        <v>64</v>
      </c>
      <c r="D160" s="9" t="s">
        <v>92</v>
      </c>
      <c r="E160" s="11">
        <v>60</v>
      </c>
      <c r="F160" s="9" t="s">
        <v>93</v>
      </c>
      <c r="G160" s="9" t="s">
        <v>65</v>
      </c>
      <c r="H160" s="9" t="s">
        <v>66</v>
      </c>
      <c r="I160" s="9">
        <v>11</v>
      </c>
      <c r="J160" s="9" t="s">
        <v>132</v>
      </c>
      <c r="K160" s="9" t="s">
        <v>132</v>
      </c>
      <c r="L160" s="9" t="s">
        <v>132</v>
      </c>
      <c r="M160" s="9" t="s">
        <v>133</v>
      </c>
      <c r="N160" s="9" t="s">
        <v>96</v>
      </c>
      <c r="O160" s="9" t="s">
        <v>97</v>
      </c>
      <c r="P160" s="9" t="s">
        <v>67</v>
      </c>
      <c r="Q160" s="9" t="s">
        <v>98</v>
      </c>
      <c r="R160" s="9" t="s">
        <v>737</v>
      </c>
      <c r="S160" s="9" t="s">
        <v>133</v>
      </c>
      <c r="T160" s="9" t="s">
        <v>827</v>
      </c>
      <c r="U160" s="9" t="s">
        <v>67</v>
      </c>
      <c r="V160" s="9" t="s">
        <v>130</v>
      </c>
      <c r="W160" s="9" t="s">
        <v>131</v>
      </c>
      <c r="X160" s="11">
        <v>10</v>
      </c>
      <c r="Y160" s="9" t="s">
        <v>138</v>
      </c>
      <c r="Z160" s="9" t="s">
        <v>68</v>
      </c>
      <c r="AA160" s="9" t="s">
        <v>573</v>
      </c>
      <c r="AB160" s="9" t="s">
        <v>67</v>
      </c>
      <c r="AC160" s="9" t="s">
        <v>139</v>
      </c>
      <c r="AD160" s="11">
        <v>1</v>
      </c>
      <c r="AE160" s="9" t="s">
        <v>70</v>
      </c>
      <c r="AF160" s="9" t="s">
        <v>71</v>
      </c>
      <c r="AG160" s="13">
        <v>1</v>
      </c>
      <c r="AH160" s="9" t="s">
        <v>92</v>
      </c>
      <c r="AI160" s="13">
        <v>7208000</v>
      </c>
      <c r="AJ160" s="13">
        <v>7208000</v>
      </c>
      <c r="AK160" s="11">
        <v>0</v>
      </c>
      <c r="AL160" s="11">
        <v>0</v>
      </c>
      <c r="AM160" s="11">
        <v>0</v>
      </c>
      <c r="AN160" s="9" t="s">
        <v>67</v>
      </c>
      <c r="AO160" s="11">
        <v>7208000</v>
      </c>
      <c r="AP160" s="13">
        <v>576640</v>
      </c>
      <c r="AQ160" s="13">
        <v>7784640</v>
      </c>
      <c r="AR160" s="11">
        <v>170</v>
      </c>
      <c r="AS160" s="9" t="s">
        <v>72</v>
      </c>
      <c r="AT160" s="12">
        <v>193.18</v>
      </c>
      <c r="AU160" s="9" t="s">
        <v>73</v>
      </c>
      <c r="AV160" s="9" t="s">
        <v>67</v>
      </c>
      <c r="AW160" s="9" t="s">
        <v>1088</v>
      </c>
      <c r="AX160" s="10">
        <v>45992</v>
      </c>
      <c r="AY160" s="9" t="s">
        <v>1089</v>
      </c>
      <c r="AZ160" s="9" t="s">
        <v>67</v>
      </c>
      <c r="BA160" s="9" t="s">
        <v>67</v>
      </c>
      <c r="BB160" s="12">
        <v>170</v>
      </c>
      <c r="BC160" s="9" t="s">
        <v>74</v>
      </c>
      <c r="BD160" s="9" t="s">
        <v>104</v>
      </c>
      <c r="BE160" s="9" t="s">
        <v>75</v>
      </c>
      <c r="BF160" s="11">
        <v>0</v>
      </c>
      <c r="BG160">
        <f t="shared" si="6"/>
        <v>12</v>
      </c>
      <c r="BH160" t="str">
        <f>VLOOKUP(BG160,[1]month!$A:$B,2,0)</f>
        <v>Desember</v>
      </c>
      <c r="BI160">
        <f t="shared" si="7"/>
        <v>2025</v>
      </c>
      <c r="BJ160" t="str">
        <f>VLOOKUP(I160,[1]Dist!$A:$B,2,0)</f>
        <v>Industry</v>
      </c>
      <c r="BK160" t="str">
        <f>IF(I160=11,VLOOKUP(Y160,[2]Sheet1!$C:$N,10,0),IF(I160=13,VLOOKUP(Y160,[3]Sheet1!$C:$N,10,0),IF(I160=15,VLOOKUP(Y160,[4]Sheet1!$C:$N,10,0),"Unknown")))</f>
        <v>THINNER NC</v>
      </c>
      <c r="BL160" t="str">
        <f>IF(I160=11,VLOOKUP(Y160,[2]Sheet1!$C:$N,12,0),IF(I160=13,VLOOKUP(Y160,[3]Sheet1!$C:$N,12,0),IF(I160=15,VLOOKUP(Y160,[4]Sheet1!$C:$N,12,0),"Unknown")))</f>
        <v>THINNER COMPLEMENTARY</v>
      </c>
      <c r="BM160" t="str">
        <f>VLOOKUP(W160,[1]branch!$A:$B,2,0)</f>
        <v>INDUSTRY</v>
      </c>
    </row>
    <row r="161" spans="1:65" x14ac:dyDescent="0.35">
      <c r="A161" s="10">
        <v>45993</v>
      </c>
      <c r="B161" s="9" t="s">
        <v>1090</v>
      </c>
      <c r="C161" s="9" t="s">
        <v>64</v>
      </c>
      <c r="D161" s="9" t="s">
        <v>92</v>
      </c>
      <c r="E161" s="11">
        <v>30</v>
      </c>
      <c r="F161" s="9" t="s">
        <v>93</v>
      </c>
      <c r="G161" s="9" t="s">
        <v>65</v>
      </c>
      <c r="H161" s="9" t="s">
        <v>66</v>
      </c>
      <c r="I161" s="9">
        <v>11</v>
      </c>
      <c r="J161" s="9" t="s">
        <v>379</v>
      </c>
      <c r="K161" s="9" t="s">
        <v>379</v>
      </c>
      <c r="L161" s="9" t="s">
        <v>379</v>
      </c>
      <c r="M161" s="9" t="s">
        <v>380</v>
      </c>
      <c r="N161" s="9" t="s">
        <v>882</v>
      </c>
      <c r="O161" s="9" t="s">
        <v>97</v>
      </c>
      <c r="P161" s="9" t="s">
        <v>67</v>
      </c>
      <c r="Q161" s="9" t="s">
        <v>98</v>
      </c>
      <c r="R161" s="9" t="s">
        <v>379</v>
      </c>
      <c r="S161" s="9" t="s">
        <v>380</v>
      </c>
      <c r="T161" s="9" t="s">
        <v>801</v>
      </c>
      <c r="U161" s="9" t="s">
        <v>67</v>
      </c>
      <c r="V161" s="9" t="s">
        <v>194</v>
      </c>
      <c r="W161" s="9" t="s">
        <v>195</v>
      </c>
      <c r="X161" s="11">
        <v>10</v>
      </c>
      <c r="Y161" s="9" t="s">
        <v>148</v>
      </c>
      <c r="Z161" s="9" t="s">
        <v>68</v>
      </c>
      <c r="AA161" s="9" t="s">
        <v>149</v>
      </c>
      <c r="AB161" s="9" t="s">
        <v>67</v>
      </c>
      <c r="AC161" s="9" t="s">
        <v>69</v>
      </c>
      <c r="AD161" s="11">
        <v>2</v>
      </c>
      <c r="AE161" s="9" t="s">
        <v>70</v>
      </c>
      <c r="AF161" s="9" t="s">
        <v>71</v>
      </c>
      <c r="AG161" s="13">
        <v>1</v>
      </c>
      <c r="AH161" s="9" t="s">
        <v>92</v>
      </c>
      <c r="AI161" s="13">
        <v>7594000</v>
      </c>
      <c r="AJ161" s="13">
        <v>15188000</v>
      </c>
      <c r="AK161" s="11">
        <v>0</v>
      </c>
      <c r="AL161" s="11">
        <v>0</v>
      </c>
      <c r="AM161" s="11">
        <v>0</v>
      </c>
      <c r="AN161" s="9" t="s">
        <v>67</v>
      </c>
      <c r="AO161" s="11">
        <v>15188000</v>
      </c>
      <c r="AP161" s="13">
        <v>1215040</v>
      </c>
      <c r="AQ161" s="13">
        <v>16403040</v>
      </c>
      <c r="AR161" s="11">
        <v>360</v>
      </c>
      <c r="AS161" s="9" t="s">
        <v>72</v>
      </c>
      <c r="AT161" s="11">
        <v>400</v>
      </c>
      <c r="AU161" s="9" t="s">
        <v>73</v>
      </c>
      <c r="AV161" s="9" t="s">
        <v>67</v>
      </c>
      <c r="AW161" s="9" t="s">
        <v>1091</v>
      </c>
      <c r="AX161" s="10">
        <v>45992</v>
      </c>
      <c r="AY161" s="9" t="s">
        <v>1092</v>
      </c>
      <c r="AZ161" s="9" t="s">
        <v>67</v>
      </c>
      <c r="BA161" s="9" t="s">
        <v>67</v>
      </c>
      <c r="BB161" s="12">
        <v>400</v>
      </c>
      <c r="BC161" s="9" t="s">
        <v>74</v>
      </c>
      <c r="BD161" s="9" t="s">
        <v>104</v>
      </c>
      <c r="BE161" s="9" t="s">
        <v>75</v>
      </c>
      <c r="BF161" s="11">
        <v>0</v>
      </c>
      <c r="BG161">
        <f t="shared" si="6"/>
        <v>12</v>
      </c>
      <c r="BH161" t="str">
        <f>VLOOKUP(BG161,[1]month!$A:$B,2,0)</f>
        <v>Desember</v>
      </c>
      <c r="BI161">
        <f t="shared" si="7"/>
        <v>2025</v>
      </c>
      <c r="BJ161" t="str">
        <f>VLOOKUP(I161,[1]Dist!$A:$B,2,0)</f>
        <v>Industry</v>
      </c>
      <c r="BK161" t="str">
        <f>IF(I161=11,VLOOKUP(Y161,[2]Sheet1!$C:$N,10,0),IF(I161=13,VLOOKUP(Y161,[3]Sheet1!$C:$N,10,0),IF(I161=15,VLOOKUP(Y161,[4]Sheet1!$C:$N,10,0),"Unknown")))</f>
        <v>THINNER NC</v>
      </c>
      <c r="BL161" t="str">
        <f>IF(I161=11,VLOOKUP(Y161,[2]Sheet1!$C:$N,12,0),IF(I161=13,VLOOKUP(Y161,[3]Sheet1!$C:$N,12,0),IF(I161=15,VLOOKUP(Y161,[4]Sheet1!$C:$N,12,0),"Unknown")))</f>
        <v>THINNER NC</v>
      </c>
      <c r="BM161" t="str">
        <f>VLOOKUP(W161,[1]branch!$A:$B,2,0)</f>
        <v>INDUSTRY</v>
      </c>
    </row>
    <row r="162" spans="1:65" x14ac:dyDescent="0.35">
      <c r="A162" s="10">
        <v>45993</v>
      </c>
      <c r="B162" s="9" t="s">
        <v>1090</v>
      </c>
      <c r="C162" s="9" t="s">
        <v>64</v>
      </c>
      <c r="D162" s="9" t="s">
        <v>92</v>
      </c>
      <c r="E162" s="11">
        <v>30</v>
      </c>
      <c r="F162" s="9" t="s">
        <v>93</v>
      </c>
      <c r="G162" s="9" t="s">
        <v>65</v>
      </c>
      <c r="H162" s="9" t="s">
        <v>66</v>
      </c>
      <c r="I162" s="9">
        <v>11</v>
      </c>
      <c r="J162" s="9" t="s">
        <v>379</v>
      </c>
      <c r="K162" s="9" t="s">
        <v>379</v>
      </c>
      <c r="L162" s="9" t="s">
        <v>379</v>
      </c>
      <c r="M162" s="9" t="s">
        <v>380</v>
      </c>
      <c r="N162" s="9" t="s">
        <v>882</v>
      </c>
      <c r="O162" s="9" t="s">
        <v>97</v>
      </c>
      <c r="P162" s="9" t="s">
        <v>67</v>
      </c>
      <c r="Q162" s="9" t="s">
        <v>98</v>
      </c>
      <c r="R162" s="9" t="s">
        <v>379</v>
      </c>
      <c r="S162" s="9" t="s">
        <v>380</v>
      </c>
      <c r="T162" s="9" t="s">
        <v>801</v>
      </c>
      <c r="U162" s="9" t="s">
        <v>67</v>
      </c>
      <c r="V162" s="9" t="s">
        <v>194</v>
      </c>
      <c r="W162" s="9" t="s">
        <v>195</v>
      </c>
      <c r="X162" s="11">
        <v>20</v>
      </c>
      <c r="Y162" s="9" t="s">
        <v>365</v>
      </c>
      <c r="Z162" s="9" t="s">
        <v>68</v>
      </c>
      <c r="AA162" s="9" t="s">
        <v>366</v>
      </c>
      <c r="AB162" s="9" t="s">
        <v>67</v>
      </c>
      <c r="AC162" s="9" t="s">
        <v>357</v>
      </c>
      <c r="AD162" s="11">
        <v>7</v>
      </c>
      <c r="AE162" s="9" t="s">
        <v>70</v>
      </c>
      <c r="AF162" s="9" t="s">
        <v>71</v>
      </c>
      <c r="AG162" s="13">
        <v>1</v>
      </c>
      <c r="AH162" s="9" t="s">
        <v>92</v>
      </c>
      <c r="AI162" s="13">
        <v>1893200</v>
      </c>
      <c r="AJ162" s="13">
        <v>13252400</v>
      </c>
      <c r="AK162" s="11">
        <v>0</v>
      </c>
      <c r="AL162" s="11">
        <v>0</v>
      </c>
      <c r="AM162" s="11">
        <v>0</v>
      </c>
      <c r="AN162" s="9" t="s">
        <v>67</v>
      </c>
      <c r="AO162" s="11">
        <v>13252400</v>
      </c>
      <c r="AP162" s="13">
        <v>1060192</v>
      </c>
      <c r="AQ162" s="13">
        <v>14312592</v>
      </c>
      <c r="AR162" s="12">
        <v>137.19999999999999</v>
      </c>
      <c r="AS162" s="9" t="s">
        <v>72</v>
      </c>
      <c r="AT162" s="11">
        <v>140</v>
      </c>
      <c r="AU162" s="9" t="s">
        <v>73</v>
      </c>
      <c r="AV162" s="9" t="s">
        <v>67</v>
      </c>
      <c r="AW162" s="9" t="s">
        <v>1091</v>
      </c>
      <c r="AX162" s="10">
        <v>45992</v>
      </c>
      <c r="AY162" s="9" t="s">
        <v>1092</v>
      </c>
      <c r="AZ162" s="9" t="s">
        <v>67</v>
      </c>
      <c r="BA162" s="9" t="s">
        <v>67</v>
      </c>
      <c r="BB162" s="12">
        <v>140</v>
      </c>
      <c r="BC162" s="9" t="s">
        <v>74</v>
      </c>
      <c r="BD162" s="9" t="s">
        <v>104</v>
      </c>
      <c r="BE162" s="9" t="s">
        <v>75</v>
      </c>
      <c r="BF162" s="11">
        <v>0</v>
      </c>
      <c r="BG162">
        <f t="shared" si="6"/>
        <v>12</v>
      </c>
      <c r="BH162" t="str">
        <f>VLOOKUP(BG162,[1]month!$A:$B,2,0)</f>
        <v>Desember</v>
      </c>
      <c r="BI162">
        <f t="shared" si="7"/>
        <v>2025</v>
      </c>
      <c r="BJ162" t="str">
        <f>VLOOKUP(I162,[1]Dist!$A:$B,2,0)</f>
        <v>Industry</v>
      </c>
      <c r="BK162" t="str">
        <f>IF(I162=11,VLOOKUP(Y162,[2]Sheet1!$C:$N,10,0),IF(I162=13,VLOOKUP(Y162,[3]Sheet1!$C:$N,10,0),IF(I162=15,VLOOKUP(Y162,[4]Sheet1!$C:$N,10,0),"Unknown")))</f>
        <v>NC</v>
      </c>
      <c r="BL162" t="str">
        <f>IF(I162=11,VLOOKUP(Y162,[2]Sheet1!$C:$N,12,0),IF(I162=13,VLOOKUP(Y162,[3]Sheet1!$C:$N,12,0),IF(I162=15,VLOOKUP(Y162,[4]Sheet1!$C:$N,12,0),"Unknown")))</f>
        <v>NC SYSTEM</v>
      </c>
      <c r="BM162" t="str">
        <f>VLOOKUP(W162,[1]branch!$A:$B,2,0)</f>
        <v>INDUSTRY</v>
      </c>
    </row>
    <row r="163" spans="1:65" x14ac:dyDescent="0.35">
      <c r="A163" s="10">
        <v>45993</v>
      </c>
      <c r="B163" s="9" t="s">
        <v>1090</v>
      </c>
      <c r="C163" s="9" t="s">
        <v>64</v>
      </c>
      <c r="D163" s="9" t="s">
        <v>92</v>
      </c>
      <c r="E163" s="11">
        <v>30</v>
      </c>
      <c r="F163" s="9" t="s">
        <v>93</v>
      </c>
      <c r="G163" s="9" t="s">
        <v>65</v>
      </c>
      <c r="H163" s="9" t="s">
        <v>66</v>
      </c>
      <c r="I163" s="9">
        <v>11</v>
      </c>
      <c r="J163" s="9" t="s">
        <v>379</v>
      </c>
      <c r="K163" s="9" t="s">
        <v>379</v>
      </c>
      <c r="L163" s="9" t="s">
        <v>379</v>
      </c>
      <c r="M163" s="9" t="s">
        <v>380</v>
      </c>
      <c r="N163" s="9" t="s">
        <v>882</v>
      </c>
      <c r="O163" s="9" t="s">
        <v>97</v>
      </c>
      <c r="P163" s="9" t="s">
        <v>67</v>
      </c>
      <c r="Q163" s="9" t="s">
        <v>98</v>
      </c>
      <c r="R163" s="9" t="s">
        <v>379</v>
      </c>
      <c r="S163" s="9" t="s">
        <v>380</v>
      </c>
      <c r="T163" s="9" t="s">
        <v>801</v>
      </c>
      <c r="U163" s="9" t="s">
        <v>67</v>
      </c>
      <c r="V163" s="9" t="s">
        <v>194</v>
      </c>
      <c r="W163" s="9" t="s">
        <v>195</v>
      </c>
      <c r="X163" s="11">
        <v>40</v>
      </c>
      <c r="Y163" s="9" t="s">
        <v>620</v>
      </c>
      <c r="Z163" s="9" t="s">
        <v>68</v>
      </c>
      <c r="AA163" s="9" t="s">
        <v>621</v>
      </c>
      <c r="AB163" s="9" t="s">
        <v>67</v>
      </c>
      <c r="AC163" s="9" t="s">
        <v>191</v>
      </c>
      <c r="AD163" s="11">
        <v>2</v>
      </c>
      <c r="AE163" s="9" t="s">
        <v>70</v>
      </c>
      <c r="AF163" s="9" t="s">
        <v>71</v>
      </c>
      <c r="AG163" s="13">
        <v>1</v>
      </c>
      <c r="AH163" s="9" t="s">
        <v>92</v>
      </c>
      <c r="AI163" s="13">
        <v>1538200</v>
      </c>
      <c r="AJ163" s="13">
        <v>3076400</v>
      </c>
      <c r="AK163" s="11">
        <v>0</v>
      </c>
      <c r="AL163" s="11">
        <v>0</v>
      </c>
      <c r="AM163" s="11">
        <v>0</v>
      </c>
      <c r="AN163" s="9" t="s">
        <v>67</v>
      </c>
      <c r="AO163" s="11">
        <v>3076400</v>
      </c>
      <c r="AP163" s="13">
        <v>246112</v>
      </c>
      <c r="AQ163" s="13">
        <v>3322512</v>
      </c>
      <c r="AR163" s="12">
        <v>39.200000000000003</v>
      </c>
      <c r="AS163" s="9" t="s">
        <v>72</v>
      </c>
      <c r="AT163" s="11">
        <v>40</v>
      </c>
      <c r="AU163" s="9" t="s">
        <v>73</v>
      </c>
      <c r="AV163" s="9" t="s">
        <v>67</v>
      </c>
      <c r="AW163" s="9" t="s">
        <v>1091</v>
      </c>
      <c r="AX163" s="10">
        <v>45992</v>
      </c>
      <c r="AY163" s="9" t="s">
        <v>1092</v>
      </c>
      <c r="AZ163" s="9" t="s">
        <v>67</v>
      </c>
      <c r="BA163" s="9" t="s">
        <v>67</v>
      </c>
      <c r="BB163" s="12">
        <v>40</v>
      </c>
      <c r="BC163" s="9" t="s">
        <v>74</v>
      </c>
      <c r="BD163" s="9" t="s">
        <v>104</v>
      </c>
      <c r="BE163" s="9" t="s">
        <v>75</v>
      </c>
      <c r="BF163" s="11">
        <v>0</v>
      </c>
      <c r="BG163">
        <f t="shared" si="6"/>
        <v>12</v>
      </c>
      <c r="BH163" t="str">
        <f>VLOOKUP(BG163,[1]month!$A:$B,2,0)</f>
        <v>Desember</v>
      </c>
      <c r="BI163">
        <f t="shared" si="7"/>
        <v>2025</v>
      </c>
      <c r="BJ163" t="str">
        <f>VLOOKUP(I163,[1]Dist!$A:$B,2,0)</f>
        <v>Industry</v>
      </c>
      <c r="BK163" t="str">
        <f>IF(I163=11,VLOOKUP(Y163,[2]Sheet1!$C:$N,10,0),IF(I163=13,VLOOKUP(Y163,[3]Sheet1!$C:$N,10,0),IF(I163=15,VLOOKUP(Y163,[4]Sheet1!$C:$N,10,0),"Unknown")))</f>
        <v>NC</v>
      </c>
      <c r="BL163" t="str">
        <f>IF(I163=11,VLOOKUP(Y163,[2]Sheet1!$C:$N,12,0),IF(I163=13,VLOOKUP(Y163,[3]Sheet1!$C:$N,12,0),IF(I163=15,VLOOKUP(Y163,[4]Sheet1!$C:$N,12,0),"Unknown")))</f>
        <v>NC SYSTEM</v>
      </c>
      <c r="BM163" t="str">
        <f>VLOOKUP(W163,[1]branch!$A:$B,2,0)</f>
        <v>INDUSTRY</v>
      </c>
    </row>
    <row r="164" spans="1:65" x14ac:dyDescent="0.35">
      <c r="A164" s="10">
        <v>45993</v>
      </c>
      <c r="B164" s="9" t="s">
        <v>1090</v>
      </c>
      <c r="C164" s="9" t="s">
        <v>64</v>
      </c>
      <c r="D164" s="9" t="s">
        <v>92</v>
      </c>
      <c r="E164" s="11">
        <v>30</v>
      </c>
      <c r="F164" s="9" t="s">
        <v>93</v>
      </c>
      <c r="G164" s="9" t="s">
        <v>65</v>
      </c>
      <c r="H164" s="9" t="s">
        <v>66</v>
      </c>
      <c r="I164" s="9">
        <v>11</v>
      </c>
      <c r="J164" s="9" t="s">
        <v>379</v>
      </c>
      <c r="K164" s="9" t="s">
        <v>379</v>
      </c>
      <c r="L164" s="9" t="s">
        <v>379</v>
      </c>
      <c r="M164" s="9" t="s">
        <v>380</v>
      </c>
      <c r="N164" s="9" t="s">
        <v>882</v>
      </c>
      <c r="O164" s="9" t="s">
        <v>97</v>
      </c>
      <c r="P164" s="9" t="s">
        <v>67</v>
      </c>
      <c r="Q164" s="9" t="s">
        <v>98</v>
      </c>
      <c r="R164" s="9" t="s">
        <v>379</v>
      </c>
      <c r="S164" s="9" t="s">
        <v>380</v>
      </c>
      <c r="T164" s="9" t="s">
        <v>801</v>
      </c>
      <c r="U164" s="9" t="s">
        <v>67</v>
      </c>
      <c r="V164" s="9" t="s">
        <v>194</v>
      </c>
      <c r="W164" s="9" t="s">
        <v>195</v>
      </c>
      <c r="X164" s="11">
        <v>50</v>
      </c>
      <c r="Y164" s="9" t="s">
        <v>246</v>
      </c>
      <c r="Z164" s="9" t="s">
        <v>68</v>
      </c>
      <c r="AA164" s="9" t="s">
        <v>247</v>
      </c>
      <c r="AB164" s="9" t="s">
        <v>67</v>
      </c>
      <c r="AC164" s="9" t="s">
        <v>248</v>
      </c>
      <c r="AD164" s="11">
        <v>1</v>
      </c>
      <c r="AE164" s="9" t="s">
        <v>70</v>
      </c>
      <c r="AF164" s="9" t="s">
        <v>71</v>
      </c>
      <c r="AG164" s="13">
        <v>1</v>
      </c>
      <c r="AH164" s="9" t="s">
        <v>92</v>
      </c>
      <c r="AI164" s="13">
        <v>2440000</v>
      </c>
      <c r="AJ164" s="13">
        <v>2440000</v>
      </c>
      <c r="AK164" s="11">
        <v>0</v>
      </c>
      <c r="AL164" s="11">
        <v>0</v>
      </c>
      <c r="AM164" s="11">
        <v>0</v>
      </c>
      <c r="AN164" s="9" t="s">
        <v>67</v>
      </c>
      <c r="AO164" s="11">
        <v>2440000</v>
      </c>
      <c r="AP164" s="13">
        <v>195200</v>
      </c>
      <c r="AQ164" s="13">
        <v>2635200</v>
      </c>
      <c r="AR164" s="12">
        <v>19.2</v>
      </c>
      <c r="AS164" s="9" t="s">
        <v>72</v>
      </c>
      <c r="AT164" s="11">
        <v>20</v>
      </c>
      <c r="AU164" s="9" t="s">
        <v>73</v>
      </c>
      <c r="AV164" s="9" t="s">
        <v>67</v>
      </c>
      <c r="AW164" s="9" t="s">
        <v>1091</v>
      </c>
      <c r="AX164" s="10">
        <v>45992</v>
      </c>
      <c r="AY164" s="9" t="s">
        <v>1092</v>
      </c>
      <c r="AZ164" s="9" t="s">
        <v>67</v>
      </c>
      <c r="BA164" s="9" t="s">
        <v>67</v>
      </c>
      <c r="BB164" s="12">
        <v>20</v>
      </c>
      <c r="BC164" s="9" t="s">
        <v>74</v>
      </c>
      <c r="BD164" s="9" t="s">
        <v>104</v>
      </c>
      <c r="BE164" s="9" t="s">
        <v>75</v>
      </c>
      <c r="BF164" s="11">
        <v>0</v>
      </c>
      <c r="BG164">
        <f t="shared" si="6"/>
        <v>12</v>
      </c>
      <c r="BH164" t="str">
        <f>VLOOKUP(BG164,[1]month!$A:$B,2,0)</f>
        <v>Desember</v>
      </c>
      <c r="BI164">
        <f t="shared" si="7"/>
        <v>2025</v>
      </c>
      <c r="BJ164" t="str">
        <f>VLOOKUP(I164,[1]Dist!$A:$B,2,0)</f>
        <v>Industry</v>
      </c>
      <c r="BK164" t="str">
        <f>IF(I164=11,VLOOKUP(Y164,[2]Sheet1!$C:$N,10,0),IF(I164=13,VLOOKUP(Y164,[3]Sheet1!$C:$N,10,0),IF(I164=15,VLOOKUP(Y164,[4]Sheet1!$C:$N,10,0),"Unknown")))</f>
        <v>PU</v>
      </c>
      <c r="BL164" t="str">
        <f>IF(I164=11,VLOOKUP(Y164,[2]Sheet1!$C:$N,12,0),IF(I164=13,VLOOKUP(Y164,[3]Sheet1!$C:$N,12,0),IF(I164=15,VLOOKUP(Y164,[4]Sheet1!$C:$N,12,0),"Unknown")))</f>
        <v>PU LACQUER</v>
      </c>
      <c r="BM164" t="str">
        <f>VLOOKUP(W164,[1]branch!$A:$B,2,0)</f>
        <v>INDUSTRY</v>
      </c>
    </row>
    <row r="165" spans="1:65" x14ac:dyDescent="0.35">
      <c r="A165" s="10">
        <v>45993</v>
      </c>
      <c r="B165" s="9" t="s">
        <v>1090</v>
      </c>
      <c r="C165" s="9" t="s">
        <v>64</v>
      </c>
      <c r="D165" s="9" t="s">
        <v>92</v>
      </c>
      <c r="E165" s="11">
        <v>30</v>
      </c>
      <c r="F165" s="9" t="s">
        <v>93</v>
      </c>
      <c r="G165" s="9" t="s">
        <v>65</v>
      </c>
      <c r="H165" s="9" t="s">
        <v>66</v>
      </c>
      <c r="I165" s="9">
        <v>11</v>
      </c>
      <c r="J165" s="9" t="s">
        <v>379</v>
      </c>
      <c r="K165" s="9" t="s">
        <v>379</v>
      </c>
      <c r="L165" s="9" t="s">
        <v>379</v>
      </c>
      <c r="M165" s="9" t="s">
        <v>380</v>
      </c>
      <c r="N165" s="9" t="s">
        <v>882</v>
      </c>
      <c r="O165" s="9" t="s">
        <v>97</v>
      </c>
      <c r="P165" s="9" t="s">
        <v>67</v>
      </c>
      <c r="Q165" s="9" t="s">
        <v>98</v>
      </c>
      <c r="R165" s="9" t="s">
        <v>379</v>
      </c>
      <c r="S165" s="9" t="s">
        <v>380</v>
      </c>
      <c r="T165" s="9" t="s">
        <v>801</v>
      </c>
      <c r="U165" s="9" t="s">
        <v>67</v>
      </c>
      <c r="V165" s="9" t="s">
        <v>194</v>
      </c>
      <c r="W165" s="9" t="s">
        <v>195</v>
      </c>
      <c r="X165" s="11">
        <v>60</v>
      </c>
      <c r="Y165" s="9" t="s">
        <v>294</v>
      </c>
      <c r="Z165" s="9" t="s">
        <v>68</v>
      </c>
      <c r="AA165" s="9" t="s">
        <v>295</v>
      </c>
      <c r="AB165" s="9" t="s">
        <v>67</v>
      </c>
      <c r="AC165" s="9" t="s">
        <v>248</v>
      </c>
      <c r="AD165" s="11">
        <v>1</v>
      </c>
      <c r="AE165" s="9" t="s">
        <v>70</v>
      </c>
      <c r="AF165" s="9" t="s">
        <v>71</v>
      </c>
      <c r="AG165" s="13">
        <v>1</v>
      </c>
      <c r="AH165" s="9" t="s">
        <v>92</v>
      </c>
      <c r="AI165" s="13">
        <v>3772000</v>
      </c>
      <c r="AJ165" s="13">
        <v>3772000</v>
      </c>
      <c r="AK165" s="11">
        <v>0</v>
      </c>
      <c r="AL165" s="11">
        <v>0</v>
      </c>
      <c r="AM165" s="11">
        <v>0</v>
      </c>
      <c r="AN165" s="9" t="s">
        <v>67</v>
      </c>
      <c r="AO165" s="11">
        <v>3772000</v>
      </c>
      <c r="AP165" s="13">
        <v>301760</v>
      </c>
      <c r="AQ165" s="13">
        <v>4073760</v>
      </c>
      <c r="AR165" s="12">
        <v>19.2</v>
      </c>
      <c r="AS165" s="9" t="s">
        <v>72</v>
      </c>
      <c r="AT165" s="11">
        <v>20</v>
      </c>
      <c r="AU165" s="9" t="s">
        <v>73</v>
      </c>
      <c r="AV165" s="9" t="s">
        <v>67</v>
      </c>
      <c r="AW165" s="9" t="s">
        <v>1091</v>
      </c>
      <c r="AX165" s="10">
        <v>45992</v>
      </c>
      <c r="AY165" s="9" t="s">
        <v>1092</v>
      </c>
      <c r="AZ165" s="9" t="s">
        <v>67</v>
      </c>
      <c r="BA165" s="9" t="s">
        <v>67</v>
      </c>
      <c r="BB165" s="12">
        <v>20</v>
      </c>
      <c r="BC165" s="9" t="s">
        <v>74</v>
      </c>
      <c r="BD165" s="9" t="s">
        <v>104</v>
      </c>
      <c r="BE165" s="9" t="s">
        <v>75</v>
      </c>
      <c r="BF165" s="11">
        <v>0</v>
      </c>
      <c r="BG165">
        <f t="shared" si="6"/>
        <v>12</v>
      </c>
      <c r="BH165" t="str">
        <f>VLOOKUP(BG165,[1]month!$A:$B,2,0)</f>
        <v>Desember</v>
      </c>
      <c r="BI165">
        <f t="shared" si="7"/>
        <v>2025</v>
      </c>
      <c r="BJ165" t="str">
        <f>VLOOKUP(I165,[1]Dist!$A:$B,2,0)</f>
        <v>Industry</v>
      </c>
      <c r="BK165" t="str">
        <f>IF(I165=11,VLOOKUP(Y165,[2]Sheet1!$C:$N,10,0),IF(I165=13,VLOOKUP(Y165,[3]Sheet1!$C:$N,10,0),IF(I165=15,VLOOKUP(Y165,[4]Sheet1!$C:$N,10,0),"Unknown")))</f>
        <v>PU</v>
      </c>
      <c r="BL165" t="str">
        <f>IF(I165=11,VLOOKUP(Y165,[2]Sheet1!$C:$N,12,0),IF(I165=13,VLOOKUP(Y165,[3]Sheet1!$C:$N,12,0),IF(I165=15,VLOOKUP(Y165,[4]Sheet1!$C:$N,12,0),"Unknown")))</f>
        <v>PU LACQUER</v>
      </c>
      <c r="BM165" t="str">
        <f>VLOOKUP(W165,[1]branch!$A:$B,2,0)</f>
        <v>INDUSTRY</v>
      </c>
    </row>
    <row r="166" spans="1:65" x14ac:dyDescent="0.35">
      <c r="A166" s="10">
        <v>45993</v>
      </c>
      <c r="B166" s="9" t="s">
        <v>1090</v>
      </c>
      <c r="C166" s="9" t="s">
        <v>64</v>
      </c>
      <c r="D166" s="9" t="s">
        <v>92</v>
      </c>
      <c r="E166" s="11">
        <v>30</v>
      </c>
      <c r="F166" s="9" t="s">
        <v>93</v>
      </c>
      <c r="G166" s="9" t="s">
        <v>65</v>
      </c>
      <c r="H166" s="9" t="s">
        <v>66</v>
      </c>
      <c r="I166" s="9">
        <v>11</v>
      </c>
      <c r="J166" s="9" t="s">
        <v>379</v>
      </c>
      <c r="K166" s="9" t="s">
        <v>379</v>
      </c>
      <c r="L166" s="9" t="s">
        <v>379</v>
      </c>
      <c r="M166" s="9" t="s">
        <v>380</v>
      </c>
      <c r="N166" s="9" t="s">
        <v>882</v>
      </c>
      <c r="O166" s="9" t="s">
        <v>97</v>
      </c>
      <c r="P166" s="9" t="s">
        <v>67</v>
      </c>
      <c r="Q166" s="9" t="s">
        <v>98</v>
      </c>
      <c r="R166" s="9" t="s">
        <v>379</v>
      </c>
      <c r="S166" s="9" t="s">
        <v>380</v>
      </c>
      <c r="T166" s="9" t="s">
        <v>801</v>
      </c>
      <c r="U166" s="9" t="s">
        <v>67</v>
      </c>
      <c r="V166" s="9" t="s">
        <v>194</v>
      </c>
      <c r="W166" s="9" t="s">
        <v>195</v>
      </c>
      <c r="X166" s="11">
        <v>70</v>
      </c>
      <c r="Y166" s="9" t="s">
        <v>77</v>
      </c>
      <c r="Z166" s="9" t="s">
        <v>68</v>
      </c>
      <c r="AA166" s="9" t="s">
        <v>78</v>
      </c>
      <c r="AB166" s="9" t="s">
        <v>67</v>
      </c>
      <c r="AC166" s="9" t="s">
        <v>79</v>
      </c>
      <c r="AD166" s="11">
        <v>2</v>
      </c>
      <c r="AE166" s="9" t="s">
        <v>70</v>
      </c>
      <c r="AF166" s="9" t="s">
        <v>71</v>
      </c>
      <c r="AG166" s="13">
        <v>1</v>
      </c>
      <c r="AH166" s="9" t="s">
        <v>92</v>
      </c>
      <c r="AI166" s="13">
        <v>829600</v>
      </c>
      <c r="AJ166" s="13">
        <v>1659200</v>
      </c>
      <c r="AK166" s="11">
        <v>0</v>
      </c>
      <c r="AL166" s="11">
        <v>0</v>
      </c>
      <c r="AM166" s="11">
        <v>0</v>
      </c>
      <c r="AN166" s="9" t="s">
        <v>67</v>
      </c>
      <c r="AO166" s="11">
        <v>1659200</v>
      </c>
      <c r="AP166" s="13">
        <v>132736</v>
      </c>
      <c r="AQ166" s="13">
        <v>1791936</v>
      </c>
      <c r="AR166" s="11">
        <v>32</v>
      </c>
      <c r="AS166" s="9" t="s">
        <v>72</v>
      </c>
      <c r="AT166" s="11">
        <v>40</v>
      </c>
      <c r="AU166" s="9" t="s">
        <v>73</v>
      </c>
      <c r="AV166" s="9" t="s">
        <v>67</v>
      </c>
      <c r="AW166" s="9" t="s">
        <v>1091</v>
      </c>
      <c r="AX166" s="10">
        <v>45992</v>
      </c>
      <c r="AY166" s="9" t="s">
        <v>1092</v>
      </c>
      <c r="AZ166" s="9" t="s">
        <v>67</v>
      </c>
      <c r="BA166" s="9" t="s">
        <v>67</v>
      </c>
      <c r="BB166" s="12">
        <v>40</v>
      </c>
      <c r="BC166" s="9" t="s">
        <v>74</v>
      </c>
      <c r="BD166" s="9" t="s">
        <v>104</v>
      </c>
      <c r="BE166" s="9" t="s">
        <v>75</v>
      </c>
      <c r="BF166" s="11">
        <v>0</v>
      </c>
      <c r="BG166">
        <f t="shared" si="6"/>
        <v>12</v>
      </c>
      <c r="BH166" t="str">
        <f>VLOOKUP(BG166,[1]month!$A:$B,2,0)</f>
        <v>Desember</v>
      </c>
      <c r="BI166">
        <f t="shared" si="7"/>
        <v>2025</v>
      </c>
      <c r="BJ166" t="str">
        <f>VLOOKUP(I166,[1]Dist!$A:$B,2,0)</f>
        <v>Industry</v>
      </c>
      <c r="BK166" t="str">
        <f>IF(I166=11,VLOOKUP(Y166,[2]Sheet1!$C:$N,10,0),IF(I166=13,VLOOKUP(Y166,[3]Sheet1!$C:$N,10,0),IF(I166=15,VLOOKUP(Y166,[4]Sheet1!$C:$N,10,0),"Unknown")))</f>
        <v>THINNER NC</v>
      </c>
      <c r="BL166" t="str">
        <f>IF(I166=11,VLOOKUP(Y166,[2]Sheet1!$C:$N,12,0),IF(I166=13,VLOOKUP(Y166,[3]Sheet1!$C:$N,12,0),IF(I166=15,VLOOKUP(Y166,[4]Sheet1!$C:$N,12,0),"Unknown")))</f>
        <v>THINNER GLAZE</v>
      </c>
      <c r="BM166" t="str">
        <f>VLOOKUP(W166,[1]branch!$A:$B,2,0)</f>
        <v>INDUSTRY</v>
      </c>
    </row>
    <row r="167" spans="1:65" x14ac:dyDescent="0.35">
      <c r="A167" s="10">
        <v>45993</v>
      </c>
      <c r="B167" s="9" t="s">
        <v>1093</v>
      </c>
      <c r="C167" s="9" t="s">
        <v>64</v>
      </c>
      <c r="D167" s="9" t="s">
        <v>92</v>
      </c>
      <c r="E167" s="11">
        <v>30</v>
      </c>
      <c r="F167" s="9" t="s">
        <v>93</v>
      </c>
      <c r="G167" s="9" t="s">
        <v>65</v>
      </c>
      <c r="H167" s="9" t="s">
        <v>66</v>
      </c>
      <c r="I167" s="9">
        <v>15</v>
      </c>
      <c r="J167" s="9" t="s">
        <v>675</v>
      </c>
      <c r="K167" s="9" t="s">
        <v>675</v>
      </c>
      <c r="L167" s="9" t="s">
        <v>675</v>
      </c>
      <c r="M167" s="9" t="s">
        <v>676</v>
      </c>
      <c r="N167" s="9" t="s">
        <v>890</v>
      </c>
      <c r="O167" s="9" t="s">
        <v>601</v>
      </c>
      <c r="P167" s="9" t="s">
        <v>67</v>
      </c>
      <c r="Q167" s="9" t="s">
        <v>98</v>
      </c>
      <c r="R167" s="9" t="s">
        <v>675</v>
      </c>
      <c r="S167" s="9" t="s">
        <v>676</v>
      </c>
      <c r="T167" s="9" t="s">
        <v>930</v>
      </c>
      <c r="U167" s="9" t="s">
        <v>385</v>
      </c>
      <c r="V167" s="9" t="s">
        <v>386</v>
      </c>
      <c r="W167" s="9" t="s">
        <v>387</v>
      </c>
      <c r="X167" s="11">
        <v>10</v>
      </c>
      <c r="Y167" s="9" t="s">
        <v>496</v>
      </c>
      <c r="Z167" s="9" t="s">
        <v>68</v>
      </c>
      <c r="AA167" s="9" t="s">
        <v>497</v>
      </c>
      <c r="AB167" s="9" t="s">
        <v>67</v>
      </c>
      <c r="AC167" s="9" t="s">
        <v>389</v>
      </c>
      <c r="AD167" s="11">
        <v>4</v>
      </c>
      <c r="AE167" s="9" t="s">
        <v>70</v>
      </c>
      <c r="AF167" s="9" t="s">
        <v>71</v>
      </c>
      <c r="AG167" s="13">
        <v>1</v>
      </c>
      <c r="AH167" s="9" t="s">
        <v>92</v>
      </c>
      <c r="AI167" s="13">
        <v>847000</v>
      </c>
      <c r="AJ167" s="13">
        <v>3388000</v>
      </c>
      <c r="AK167" s="11">
        <v>0</v>
      </c>
      <c r="AL167" s="11">
        <v>0</v>
      </c>
      <c r="AM167" s="11">
        <v>0</v>
      </c>
      <c r="AN167" s="9" t="s">
        <v>67</v>
      </c>
      <c r="AO167" s="11">
        <v>3388000</v>
      </c>
      <c r="AP167" s="13">
        <v>271040</v>
      </c>
      <c r="AQ167" s="13">
        <v>3659040</v>
      </c>
      <c r="AR167" s="12">
        <v>13.76</v>
      </c>
      <c r="AS167" s="9" t="s">
        <v>72</v>
      </c>
      <c r="AT167" s="11">
        <v>16</v>
      </c>
      <c r="AU167" s="9" t="s">
        <v>73</v>
      </c>
      <c r="AV167" s="9" t="s">
        <v>67</v>
      </c>
      <c r="AW167" s="9" t="s">
        <v>1094</v>
      </c>
      <c r="AX167" s="10">
        <v>45993</v>
      </c>
      <c r="AY167" s="9" t="s">
        <v>1095</v>
      </c>
      <c r="AZ167" s="9" t="s">
        <v>67</v>
      </c>
      <c r="BA167" s="9" t="s">
        <v>67</v>
      </c>
      <c r="BB167" s="12">
        <v>16</v>
      </c>
      <c r="BC167" s="9" t="s">
        <v>74</v>
      </c>
      <c r="BD167" s="9" t="s">
        <v>104</v>
      </c>
      <c r="BE167" s="9" t="s">
        <v>75</v>
      </c>
      <c r="BF167" s="11">
        <v>0</v>
      </c>
      <c r="BG167">
        <f t="shared" si="6"/>
        <v>12</v>
      </c>
      <c r="BH167" t="str">
        <f>VLOOKUP(BG167,[1]month!$A:$B,2,0)</f>
        <v>Desember</v>
      </c>
      <c r="BI167">
        <f t="shared" si="7"/>
        <v>2025</v>
      </c>
      <c r="BJ167" t="str">
        <f>VLOOKUP(I167,[1]Dist!$A:$B,2,0)</f>
        <v>Project</v>
      </c>
      <c r="BK167" t="str">
        <f>IF(I167=11,VLOOKUP(Y167,[2]Sheet1!$C:$N,10,0),IF(I167=13,VLOOKUP(Y167,[3]Sheet1!$C:$N,10,0),IF(I167=15,VLOOKUP(Y167,[4]Sheet1!$C:$N,10,0),"Unknown")))</f>
        <v>ULTRAN</v>
      </c>
      <c r="BL167" t="str">
        <f>IF(I167=11,VLOOKUP(Y167,[2]Sheet1!$C:$N,12,0),IF(I167=13,VLOOKUP(Y167,[3]Sheet1!$C:$N,12,0),IF(I167=15,VLOOKUP(Y167,[4]Sheet1!$C:$N,12,0),"Unknown")))</f>
        <v>ULTRAN LASUR</v>
      </c>
      <c r="BM167" t="str">
        <f>VLOOKUP(W167,[1]branch!$A:$B,2,0)</f>
        <v>PROJECT</v>
      </c>
    </row>
    <row r="168" spans="1:65" x14ac:dyDescent="0.35">
      <c r="A168" s="10">
        <v>45993</v>
      </c>
      <c r="B168" s="9" t="s">
        <v>1096</v>
      </c>
      <c r="C168" s="9" t="s">
        <v>64</v>
      </c>
      <c r="D168" s="9" t="s">
        <v>92</v>
      </c>
      <c r="E168" s="11">
        <v>30</v>
      </c>
      <c r="F168" s="9" t="s">
        <v>93</v>
      </c>
      <c r="G168" s="9" t="s">
        <v>65</v>
      </c>
      <c r="H168" s="9" t="s">
        <v>66</v>
      </c>
      <c r="I168" s="9">
        <v>11</v>
      </c>
      <c r="J168" s="9" t="s">
        <v>411</v>
      </c>
      <c r="K168" s="9" t="s">
        <v>411</v>
      </c>
      <c r="L168" s="9" t="s">
        <v>411</v>
      </c>
      <c r="M168" s="9" t="s">
        <v>412</v>
      </c>
      <c r="N168" s="9" t="s">
        <v>877</v>
      </c>
      <c r="O168" s="9" t="s">
        <v>97</v>
      </c>
      <c r="P168" s="9" t="s">
        <v>67</v>
      </c>
      <c r="Q168" s="9" t="s">
        <v>98</v>
      </c>
      <c r="R168" s="9" t="s">
        <v>411</v>
      </c>
      <c r="S168" s="9" t="s">
        <v>412</v>
      </c>
      <c r="T168" s="9" t="s">
        <v>807</v>
      </c>
      <c r="U168" s="9" t="s">
        <v>67</v>
      </c>
      <c r="V168" s="9" t="s">
        <v>121</v>
      </c>
      <c r="W168" s="9" t="s">
        <v>122</v>
      </c>
      <c r="X168" s="11">
        <v>10</v>
      </c>
      <c r="Y168" s="9" t="s">
        <v>118</v>
      </c>
      <c r="Z168" s="9" t="s">
        <v>68</v>
      </c>
      <c r="AA168" s="9" t="s">
        <v>119</v>
      </c>
      <c r="AB168" s="9" t="s">
        <v>67</v>
      </c>
      <c r="AC168" s="9" t="s">
        <v>120</v>
      </c>
      <c r="AD168" s="11">
        <v>3</v>
      </c>
      <c r="AE168" s="9" t="s">
        <v>70</v>
      </c>
      <c r="AF168" s="9" t="s">
        <v>71</v>
      </c>
      <c r="AG168" s="13">
        <v>1</v>
      </c>
      <c r="AH168" s="9" t="s">
        <v>92</v>
      </c>
      <c r="AI168" s="13">
        <v>9157400</v>
      </c>
      <c r="AJ168" s="13">
        <v>27472200</v>
      </c>
      <c r="AK168" s="11">
        <v>0</v>
      </c>
      <c r="AL168" s="11">
        <v>0</v>
      </c>
      <c r="AM168" s="11">
        <v>0</v>
      </c>
      <c r="AN168" s="9" t="s">
        <v>67</v>
      </c>
      <c r="AO168" s="11">
        <v>27472200</v>
      </c>
      <c r="AP168" s="13">
        <v>2197776</v>
      </c>
      <c r="AQ168" s="13">
        <v>29669976</v>
      </c>
      <c r="AR168" s="11">
        <v>555</v>
      </c>
      <c r="AS168" s="9" t="s">
        <v>72</v>
      </c>
      <c r="AT168" s="11">
        <v>600</v>
      </c>
      <c r="AU168" s="9" t="s">
        <v>73</v>
      </c>
      <c r="AV168" s="9" t="s">
        <v>67</v>
      </c>
      <c r="AW168" s="9" t="s">
        <v>1097</v>
      </c>
      <c r="AX168" s="10">
        <v>45992</v>
      </c>
      <c r="AY168" s="9" t="s">
        <v>1098</v>
      </c>
      <c r="AZ168" s="9" t="s">
        <v>67</v>
      </c>
      <c r="BA168" s="9" t="s">
        <v>67</v>
      </c>
      <c r="BB168" s="12">
        <v>600</v>
      </c>
      <c r="BC168" s="9" t="s">
        <v>74</v>
      </c>
      <c r="BD168" s="9" t="s">
        <v>104</v>
      </c>
      <c r="BE168" s="9" t="s">
        <v>75</v>
      </c>
      <c r="BF168" s="11">
        <v>0</v>
      </c>
      <c r="BG168">
        <f t="shared" si="6"/>
        <v>12</v>
      </c>
      <c r="BH168" t="str">
        <f>VLOOKUP(BG168,[1]month!$A:$B,2,0)</f>
        <v>Desember</v>
      </c>
      <c r="BI168">
        <f t="shared" si="7"/>
        <v>2025</v>
      </c>
      <c r="BJ168" t="str">
        <f>VLOOKUP(I168,[1]Dist!$A:$B,2,0)</f>
        <v>Industry</v>
      </c>
      <c r="BK168" t="str">
        <f>IF(I168=11,VLOOKUP(Y168,[2]Sheet1!$C:$N,10,0),IF(I168=13,VLOOKUP(Y168,[3]Sheet1!$C:$N,10,0),IF(I168=15,VLOOKUP(Y168,[4]Sheet1!$C:$N,10,0),"Unknown")))</f>
        <v>THINNER PU</v>
      </c>
      <c r="BL168" t="str">
        <f>IF(I168=11,VLOOKUP(Y168,[2]Sheet1!$C:$N,12,0),IF(I168=13,VLOOKUP(Y168,[3]Sheet1!$C:$N,12,0),IF(I168=15,VLOOKUP(Y168,[4]Sheet1!$C:$N,12,0),"Unknown")))</f>
        <v>THINNER PU</v>
      </c>
      <c r="BM168" t="str">
        <f>VLOOKUP(W168,[1]branch!$A:$B,2,0)</f>
        <v>INDUSTRY</v>
      </c>
    </row>
    <row r="169" spans="1:65" x14ac:dyDescent="0.35">
      <c r="A169" s="10">
        <v>45993</v>
      </c>
      <c r="B169" s="9" t="s">
        <v>1096</v>
      </c>
      <c r="C169" s="9" t="s">
        <v>64</v>
      </c>
      <c r="D169" s="9" t="s">
        <v>92</v>
      </c>
      <c r="E169" s="11">
        <v>30</v>
      </c>
      <c r="F169" s="9" t="s">
        <v>93</v>
      </c>
      <c r="G169" s="9" t="s">
        <v>65</v>
      </c>
      <c r="H169" s="9" t="s">
        <v>66</v>
      </c>
      <c r="I169" s="9">
        <v>11</v>
      </c>
      <c r="J169" s="9" t="s">
        <v>411</v>
      </c>
      <c r="K169" s="9" t="s">
        <v>411</v>
      </c>
      <c r="L169" s="9" t="s">
        <v>411</v>
      </c>
      <c r="M169" s="9" t="s">
        <v>412</v>
      </c>
      <c r="N169" s="9" t="s">
        <v>877</v>
      </c>
      <c r="O169" s="9" t="s">
        <v>97</v>
      </c>
      <c r="P169" s="9" t="s">
        <v>67</v>
      </c>
      <c r="Q169" s="9" t="s">
        <v>98</v>
      </c>
      <c r="R169" s="9" t="s">
        <v>411</v>
      </c>
      <c r="S169" s="9" t="s">
        <v>412</v>
      </c>
      <c r="T169" s="9" t="s">
        <v>807</v>
      </c>
      <c r="U169" s="9" t="s">
        <v>67</v>
      </c>
      <c r="V169" s="9" t="s">
        <v>121</v>
      </c>
      <c r="W169" s="9" t="s">
        <v>122</v>
      </c>
      <c r="X169" s="11">
        <v>20</v>
      </c>
      <c r="Y169" s="9" t="s">
        <v>721</v>
      </c>
      <c r="Z169" s="9" t="s">
        <v>68</v>
      </c>
      <c r="AA169" s="9" t="s">
        <v>722</v>
      </c>
      <c r="AB169" s="9" t="s">
        <v>67</v>
      </c>
      <c r="AC169" s="9" t="s">
        <v>120</v>
      </c>
      <c r="AD169" s="11">
        <v>8</v>
      </c>
      <c r="AE169" s="9" t="s">
        <v>70</v>
      </c>
      <c r="AF169" s="9" t="s">
        <v>71</v>
      </c>
      <c r="AG169" s="13">
        <v>1</v>
      </c>
      <c r="AH169" s="9" t="s">
        <v>92</v>
      </c>
      <c r="AI169" s="13">
        <v>7700000</v>
      </c>
      <c r="AJ169" s="13">
        <v>61600000</v>
      </c>
      <c r="AK169" s="11">
        <v>0</v>
      </c>
      <c r="AL169" s="11">
        <v>0</v>
      </c>
      <c r="AM169" s="11">
        <v>0</v>
      </c>
      <c r="AN169" s="9" t="s">
        <v>67</v>
      </c>
      <c r="AO169" s="11">
        <v>61600000</v>
      </c>
      <c r="AP169" s="13">
        <v>4928000</v>
      </c>
      <c r="AQ169" s="13">
        <v>66528000</v>
      </c>
      <c r="AR169" s="11">
        <v>1504</v>
      </c>
      <c r="AS169" s="9" t="s">
        <v>72</v>
      </c>
      <c r="AT169" s="11">
        <v>1600</v>
      </c>
      <c r="AU169" s="9" t="s">
        <v>73</v>
      </c>
      <c r="AV169" s="9" t="s">
        <v>67</v>
      </c>
      <c r="AW169" s="9" t="s">
        <v>1097</v>
      </c>
      <c r="AX169" s="10">
        <v>45992</v>
      </c>
      <c r="AY169" s="9" t="s">
        <v>1098</v>
      </c>
      <c r="AZ169" s="9" t="s">
        <v>67</v>
      </c>
      <c r="BA169" s="9" t="s">
        <v>67</v>
      </c>
      <c r="BB169" s="12">
        <v>1600</v>
      </c>
      <c r="BC169" s="9" t="s">
        <v>74</v>
      </c>
      <c r="BD169" s="9" t="s">
        <v>104</v>
      </c>
      <c r="BE169" s="9" t="s">
        <v>75</v>
      </c>
      <c r="BF169" s="11">
        <v>0</v>
      </c>
      <c r="BG169">
        <f t="shared" si="6"/>
        <v>12</v>
      </c>
      <c r="BH169" t="str">
        <f>VLOOKUP(BG169,[1]month!$A:$B,2,0)</f>
        <v>Desember</v>
      </c>
      <c r="BI169">
        <f t="shared" si="7"/>
        <v>2025</v>
      </c>
      <c r="BJ169" t="str">
        <f>VLOOKUP(I169,[1]Dist!$A:$B,2,0)</f>
        <v>Industry</v>
      </c>
      <c r="BK169" t="str">
        <f>IF(I169=11,VLOOKUP(Y169,[2]Sheet1!$C:$N,10,0),IF(I169=13,VLOOKUP(Y169,[3]Sheet1!$C:$N,10,0),IF(I169=15,VLOOKUP(Y169,[4]Sheet1!$C:$N,10,0),"Unknown")))</f>
        <v>THINNER PU</v>
      </c>
      <c r="BL169" t="str">
        <f>IF(I169=11,VLOOKUP(Y169,[2]Sheet1!$C:$N,12,0),IF(I169=13,VLOOKUP(Y169,[3]Sheet1!$C:$N,12,0),IF(I169=15,VLOOKUP(Y169,[4]Sheet1!$C:$N,12,0),"Unknown")))</f>
        <v>THINNER PU</v>
      </c>
      <c r="BM169" t="str">
        <f>VLOOKUP(W169,[1]branch!$A:$B,2,0)</f>
        <v>INDUSTRY</v>
      </c>
    </row>
    <row r="170" spans="1:65" x14ac:dyDescent="0.35">
      <c r="A170" s="10">
        <v>45993</v>
      </c>
      <c r="B170" s="9" t="s">
        <v>1096</v>
      </c>
      <c r="C170" s="9" t="s">
        <v>64</v>
      </c>
      <c r="D170" s="9" t="s">
        <v>92</v>
      </c>
      <c r="E170" s="11">
        <v>30</v>
      </c>
      <c r="F170" s="9" t="s">
        <v>93</v>
      </c>
      <c r="G170" s="9" t="s">
        <v>65</v>
      </c>
      <c r="H170" s="9" t="s">
        <v>66</v>
      </c>
      <c r="I170" s="9">
        <v>11</v>
      </c>
      <c r="J170" s="9" t="s">
        <v>411</v>
      </c>
      <c r="K170" s="9" t="s">
        <v>411</v>
      </c>
      <c r="L170" s="9" t="s">
        <v>411</v>
      </c>
      <c r="M170" s="9" t="s">
        <v>412</v>
      </c>
      <c r="N170" s="9" t="s">
        <v>877</v>
      </c>
      <c r="O170" s="9" t="s">
        <v>97</v>
      </c>
      <c r="P170" s="9" t="s">
        <v>67</v>
      </c>
      <c r="Q170" s="9" t="s">
        <v>98</v>
      </c>
      <c r="R170" s="9" t="s">
        <v>411</v>
      </c>
      <c r="S170" s="9" t="s">
        <v>412</v>
      </c>
      <c r="T170" s="9" t="s">
        <v>807</v>
      </c>
      <c r="U170" s="9" t="s">
        <v>67</v>
      </c>
      <c r="V170" s="9" t="s">
        <v>121</v>
      </c>
      <c r="W170" s="9" t="s">
        <v>122</v>
      </c>
      <c r="X170" s="11">
        <v>30</v>
      </c>
      <c r="Y170" s="9" t="s">
        <v>562</v>
      </c>
      <c r="Z170" s="9" t="s">
        <v>68</v>
      </c>
      <c r="AA170" s="9" t="s">
        <v>563</v>
      </c>
      <c r="AB170" s="9" t="s">
        <v>67</v>
      </c>
      <c r="AC170" s="9" t="s">
        <v>191</v>
      </c>
      <c r="AD170" s="11">
        <v>3</v>
      </c>
      <c r="AE170" s="9" t="s">
        <v>70</v>
      </c>
      <c r="AF170" s="9" t="s">
        <v>71</v>
      </c>
      <c r="AG170" s="13">
        <v>1</v>
      </c>
      <c r="AH170" s="9" t="s">
        <v>92</v>
      </c>
      <c r="AI170" s="13">
        <v>1509000</v>
      </c>
      <c r="AJ170" s="13">
        <v>4527000</v>
      </c>
      <c r="AK170" s="11">
        <v>0</v>
      </c>
      <c r="AL170" s="11">
        <v>0</v>
      </c>
      <c r="AM170" s="11">
        <v>0</v>
      </c>
      <c r="AN170" s="9" t="s">
        <v>67</v>
      </c>
      <c r="AO170" s="11">
        <v>4527000</v>
      </c>
      <c r="AP170" s="13">
        <v>362160</v>
      </c>
      <c r="AQ170" s="13">
        <v>4889160</v>
      </c>
      <c r="AR170" s="11">
        <v>60</v>
      </c>
      <c r="AS170" s="9" t="s">
        <v>72</v>
      </c>
      <c r="AT170" s="11">
        <v>60</v>
      </c>
      <c r="AU170" s="9" t="s">
        <v>73</v>
      </c>
      <c r="AV170" s="9" t="s">
        <v>67</v>
      </c>
      <c r="AW170" s="9" t="s">
        <v>1097</v>
      </c>
      <c r="AX170" s="10">
        <v>45992</v>
      </c>
      <c r="AY170" s="9" t="s">
        <v>1098</v>
      </c>
      <c r="AZ170" s="9" t="s">
        <v>67</v>
      </c>
      <c r="BA170" s="9" t="s">
        <v>67</v>
      </c>
      <c r="BB170" s="12">
        <v>60</v>
      </c>
      <c r="BC170" s="9" t="s">
        <v>74</v>
      </c>
      <c r="BD170" s="9" t="s">
        <v>104</v>
      </c>
      <c r="BE170" s="9" t="s">
        <v>75</v>
      </c>
      <c r="BF170" s="11">
        <v>0</v>
      </c>
      <c r="BG170">
        <f t="shared" si="6"/>
        <v>12</v>
      </c>
      <c r="BH170" t="str">
        <f>VLOOKUP(BG170,[1]month!$A:$B,2,0)</f>
        <v>Desember</v>
      </c>
      <c r="BI170">
        <f t="shared" si="7"/>
        <v>2025</v>
      </c>
      <c r="BJ170" t="str">
        <f>VLOOKUP(I170,[1]Dist!$A:$B,2,0)</f>
        <v>Industry</v>
      </c>
      <c r="BK170" t="str">
        <f>IF(I170=11,VLOOKUP(Y170,[2]Sheet1!$C:$N,10,0),IF(I170=13,VLOOKUP(Y170,[3]Sheet1!$C:$N,10,0),IF(I170=15,VLOOKUP(Y170,[4]Sheet1!$C:$N,10,0),"Unknown")))</f>
        <v>NC</v>
      </c>
      <c r="BL170" t="str">
        <f>IF(I170=11,VLOOKUP(Y170,[2]Sheet1!$C:$N,12,0),IF(I170=13,VLOOKUP(Y170,[3]Sheet1!$C:$N,12,0),IF(I170=15,VLOOKUP(Y170,[4]Sheet1!$C:$N,12,0),"Unknown")))</f>
        <v>NC SYSTEM</v>
      </c>
      <c r="BM170" t="str">
        <f>VLOOKUP(W170,[1]branch!$A:$B,2,0)</f>
        <v>INDUSTRY</v>
      </c>
    </row>
    <row r="171" spans="1:65" x14ac:dyDescent="0.35">
      <c r="A171" s="10">
        <v>45993</v>
      </c>
      <c r="B171" s="9" t="s">
        <v>1096</v>
      </c>
      <c r="C171" s="9" t="s">
        <v>64</v>
      </c>
      <c r="D171" s="9" t="s">
        <v>92</v>
      </c>
      <c r="E171" s="11">
        <v>30</v>
      </c>
      <c r="F171" s="9" t="s">
        <v>93</v>
      </c>
      <c r="G171" s="9" t="s">
        <v>65</v>
      </c>
      <c r="H171" s="9" t="s">
        <v>66</v>
      </c>
      <c r="I171" s="9">
        <v>11</v>
      </c>
      <c r="J171" s="9" t="s">
        <v>411</v>
      </c>
      <c r="K171" s="9" t="s">
        <v>411</v>
      </c>
      <c r="L171" s="9" t="s">
        <v>411</v>
      </c>
      <c r="M171" s="9" t="s">
        <v>412</v>
      </c>
      <c r="N171" s="9" t="s">
        <v>877</v>
      </c>
      <c r="O171" s="9" t="s">
        <v>97</v>
      </c>
      <c r="P171" s="9" t="s">
        <v>67</v>
      </c>
      <c r="Q171" s="9" t="s">
        <v>98</v>
      </c>
      <c r="R171" s="9" t="s">
        <v>411</v>
      </c>
      <c r="S171" s="9" t="s">
        <v>412</v>
      </c>
      <c r="T171" s="9" t="s">
        <v>807</v>
      </c>
      <c r="U171" s="9" t="s">
        <v>67</v>
      </c>
      <c r="V171" s="9" t="s">
        <v>121</v>
      </c>
      <c r="W171" s="9" t="s">
        <v>122</v>
      </c>
      <c r="X171" s="11">
        <v>40</v>
      </c>
      <c r="Y171" s="9" t="s">
        <v>291</v>
      </c>
      <c r="Z171" s="9" t="s">
        <v>68</v>
      </c>
      <c r="AA171" s="9" t="s">
        <v>292</v>
      </c>
      <c r="AB171" s="9" t="s">
        <v>67</v>
      </c>
      <c r="AC171" s="9" t="s">
        <v>293</v>
      </c>
      <c r="AD171" s="11">
        <v>3</v>
      </c>
      <c r="AE171" s="9" t="s">
        <v>70</v>
      </c>
      <c r="AF171" s="9" t="s">
        <v>71</v>
      </c>
      <c r="AG171" s="13">
        <v>1</v>
      </c>
      <c r="AH171" s="9" t="s">
        <v>92</v>
      </c>
      <c r="AI171" s="13">
        <v>2804000</v>
      </c>
      <c r="AJ171" s="13">
        <v>8412000</v>
      </c>
      <c r="AK171" s="11">
        <v>0</v>
      </c>
      <c r="AL171" s="11">
        <v>0</v>
      </c>
      <c r="AM171" s="11">
        <v>0</v>
      </c>
      <c r="AN171" s="9" t="s">
        <v>67</v>
      </c>
      <c r="AO171" s="11">
        <v>8412000</v>
      </c>
      <c r="AP171" s="13">
        <v>672960</v>
      </c>
      <c r="AQ171" s="13">
        <v>9084960</v>
      </c>
      <c r="AR171" s="11">
        <v>60</v>
      </c>
      <c r="AS171" s="9" t="s">
        <v>72</v>
      </c>
      <c r="AT171" s="11">
        <v>60</v>
      </c>
      <c r="AU171" s="9" t="s">
        <v>73</v>
      </c>
      <c r="AV171" s="9" t="s">
        <v>67</v>
      </c>
      <c r="AW171" s="9" t="s">
        <v>1097</v>
      </c>
      <c r="AX171" s="10">
        <v>45992</v>
      </c>
      <c r="AY171" s="9" t="s">
        <v>1098</v>
      </c>
      <c r="AZ171" s="9" t="s">
        <v>67</v>
      </c>
      <c r="BA171" s="9" t="s">
        <v>67</v>
      </c>
      <c r="BB171" s="12">
        <v>60</v>
      </c>
      <c r="BC171" s="9" t="s">
        <v>74</v>
      </c>
      <c r="BD171" s="9" t="s">
        <v>104</v>
      </c>
      <c r="BE171" s="9" t="s">
        <v>75</v>
      </c>
      <c r="BF171" s="11">
        <v>0</v>
      </c>
      <c r="BG171">
        <f t="shared" si="6"/>
        <v>12</v>
      </c>
      <c r="BH171" t="str">
        <f>VLOOKUP(BG171,[1]month!$A:$B,2,0)</f>
        <v>Desember</v>
      </c>
      <c r="BI171">
        <f t="shared" si="7"/>
        <v>2025</v>
      </c>
      <c r="BJ171" t="str">
        <f>VLOOKUP(I171,[1]Dist!$A:$B,2,0)</f>
        <v>Industry</v>
      </c>
      <c r="BK171" t="str">
        <f>IF(I171=11,VLOOKUP(Y171,[2]Sheet1!$C:$N,10,0),IF(I171=13,VLOOKUP(Y171,[3]Sheet1!$C:$N,10,0),IF(I171=15,VLOOKUP(Y171,[4]Sheet1!$C:$N,10,0),"Unknown")))</f>
        <v>PU</v>
      </c>
      <c r="BL171" t="str">
        <f>IF(I171=11,VLOOKUP(Y171,[2]Sheet1!$C:$N,12,0),IF(I171=13,VLOOKUP(Y171,[3]Sheet1!$C:$N,12,0),IF(I171=15,VLOOKUP(Y171,[4]Sheet1!$C:$N,12,0),"Unknown")))</f>
        <v>PU SANDING SEALER</v>
      </c>
      <c r="BM171" t="str">
        <f>VLOOKUP(W171,[1]branch!$A:$B,2,0)</f>
        <v>INDUSTRY</v>
      </c>
    </row>
    <row r="172" spans="1:65" x14ac:dyDescent="0.35">
      <c r="A172" s="10">
        <v>45993</v>
      </c>
      <c r="B172" s="9" t="s">
        <v>1096</v>
      </c>
      <c r="C172" s="9" t="s">
        <v>64</v>
      </c>
      <c r="D172" s="9" t="s">
        <v>92</v>
      </c>
      <c r="E172" s="11">
        <v>30</v>
      </c>
      <c r="F172" s="9" t="s">
        <v>93</v>
      </c>
      <c r="G172" s="9" t="s">
        <v>65</v>
      </c>
      <c r="H172" s="9" t="s">
        <v>66</v>
      </c>
      <c r="I172" s="9">
        <v>11</v>
      </c>
      <c r="J172" s="9" t="s">
        <v>411</v>
      </c>
      <c r="K172" s="9" t="s">
        <v>411</v>
      </c>
      <c r="L172" s="9" t="s">
        <v>411</v>
      </c>
      <c r="M172" s="9" t="s">
        <v>412</v>
      </c>
      <c r="N172" s="9" t="s">
        <v>877</v>
      </c>
      <c r="O172" s="9" t="s">
        <v>97</v>
      </c>
      <c r="P172" s="9" t="s">
        <v>67</v>
      </c>
      <c r="Q172" s="9" t="s">
        <v>98</v>
      </c>
      <c r="R172" s="9" t="s">
        <v>411</v>
      </c>
      <c r="S172" s="9" t="s">
        <v>412</v>
      </c>
      <c r="T172" s="9" t="s">
        <v>807</v>
      </c>
      <c r="U172" s="9" t="s">
        <v>67</v>
      </c>
      <c r="V172" s="9" t="s">
        <v>121</v>
      </c>
      <c r="W172" s="9" t="s">
        <v>122</v>
      </c>
      <c r="X172" s="11">
        <v>50</v>
      </c>
      <c r="Y172" s="9" t="s">
        <v>123</v>
      </c>
      <c r="Z172" s="9" t="s">
        <v>68</v>
      </c>
      <c r="AA172" s="9" t="s">
        <v>124</v>
      </c>
      <c r="AB172" s="9" t="s">
        <v>67</v>
      </c>
      <c r="AC172" s="9" t="s">
        <v>125</v>
      </c>
      <c r="AD172" s="11">
        <v>2</v>
      </c>
      <c r="AE172" s="9" t="s">
        <v>70</v>
      </c>
      <c r="AF172" s="9" t="s">
        <v>71</v>
      </c>
      <c r="AG172" s="13">
        <v>1</v>
      </c>
      <c r="AH172" s="9" t="s">
        <v>92</v>
      </c>
      <c r="AI172" s="13">
        <v>3007600</v>
      </c>
      <c r="AJ172" s="13">
        <v>6015200</v>
      </c>
      <c r="AK172" s="11">
        <v>0</v>
      </c>
      <c r="AL172" s="11">
        <v>0</v>
      </c>
      <c r="AM172" s="11">
        <v>0</v>
      </c>
      <c r="AN172" s="9" t="s">
        <v>67</v>
      </c>
      <c r="AO172" s="11">
        <v>6015200</v>
      </c>
      <c r="AP172" s="13">
        <v>481216</v>
      </c>
      <c r="AQ172" s="13">
        <v>6496416</v>
      </c>
      <c r="AR172" s="12">
        <v>39.200000000000003</v>
      </c>
      <c r="AS172" s="9" t="s">
        <v>72</v>
      </c>
      <c r="AT172" s="11">
        <v>40</v>
      </c>
      <c r="AU172" s="9" t="s">
        <v>73</v>
      </c>
      <c r="AV172" s="9" t="s">
        <v>67</v>
      </c>
      <c r="AW172" s="9" t="s">
        <v>1097</v>
      </c>
      <c r="AX172" s="10">
        <v>45992</v>
      </c>
      <c r="AY172" s="9" t="s">
        <v>1098</v>
      </c>
      <c r="AZ172" s="9" t="s">
        <v>67</v>
      </c>
      <c r="BA172" s="9" t="s">
        <v>67</v>
      </c>
      <c r="BB172" s="12">
        <v>40</v>
      </c>
      <c r="BC172" s="9" t="s">
        <v>74</v>
      </c>
      <c r="BD172" s="9" t="s">
        <v>104</v>
      </c>
      <c r="BE172" s="9" t="s">
        <v>75</v>
      </c>
      <c r="BF172" s="11">
        <v>0</v>
      </c>
      <c r="BG172">
        <f t="shared" si="6"/>
        <v>12</v>
      </c>
      <c r="BH172" t="str">
        <f>VLOOKUP(BG172,[1]month!$A:$B,2,0)</f>
        <v>Desember</v>
      </c>
      <c r="BI172">
        <f t="shared" si="7"/>
        <v>2025</v>
      </c>
      <c r="BJ172" t="str">
        <f>VLOOKUP(I172,[1]Dist!$A:$B,2,0)</f>
        <v>Industry</v>
      </c>
      <c r="BK172" t="str">
        <f>IF(I172=11,VLOOKUP(Y172,[2]Sheet1!$C:$N,10,0),IF(I172=13,VLOOKUP(Y172,[3]Sheet1!$C:$N,10,0),IF(I172=15,VLOOKUP(Y172,[4]Sheet1!$C:$N,10,0),"Unknown")))</f>
        <v>PU</v>
      </c>
      <c r="BL172" t="str">
        <f>IF(I172=11,VLOOKUP(Y172,[2]Sheet1!$C:$N,12,0),IF(I172=13,VLOOKUP(Y172,[3]Sheet1!$C:$N,12,0),IF(I172=15,VLOOKUP(Y172,[4]Sheet1!$C:$N,12,0),"Unknown")))</f>
        <v>PU HARDENER</v>
      </c>
      <c r="BM172" t="str">
        <f>VLOOKUP(W172,[1]branch!$A:$B,2,0)</f>
        <v>INDUSTRY</v>
      </c>
    </row>
    <row r="173" spans="1:65" x14ac:dyDescent="0.35">
      <c r="A173" s="10">
        <v>45993</v>
      </c>
      <c r="B173" s="9" t="s">
        <v>1096</v>
      </c>
      <c r="C173" s="9" t="s">
        <v>64</v>
      </c>
      <c r="D173" s="9" t="s">
        <v>92</v>
      </c>
      <c r="E173" s="11">
        <v>30</v>
      </c>
      <c r="F173" s="9" t="s">
        <v>93</v>
      </c>
      <c r="G173" s="9" t="s">
        <v>65</v>
      </c>
      <c r="H173" s="9" t="s">
        <v>66</v>
      </c>
      <c r="I173" s="9">
        <v>11</v>
      </c>
      <c r="J173" s="9" t="s">
        <v>411</v>
      </c>
      <c r="K173" s="9" t="s">
        <v>411</v>
      </c>
      <c r="L173" s="9" t="s">
        <v>411</v>
      </c>
      <c r="M173" s="9" t="s">
        <v>412</v>
      </c>
      <c r="N173" s="9" t="s">
        <v>877</v>
      </c>
      <c r="O173" s="9" t="s">
        <v>97</v>
      </c>
      <c r="P173" s="9" t="s">
        <v>67</v>
      </c>
      <c r="Q173" s="9" t="s">
        <v>98</v>
      </c>
      <c r="R173" s="9" t="s">
        <v>411</v>
      </c>
      <c r="S173" s="9" t="s">
        <v>412</v>
      </c>
      <c r="T173" s="9" t="s">
        <v>807</v>
      </c>
      <c r="U173" s="9" t="s">
        <v>67</v>
      </c>
      <c r="V173" s="9" t="s">
        <v>121</v>
      </c>
      <c r="W173" s="9" t="s">
        <v>122</v>
      </c>
      <c r="X173" s="11">
        <v>60</v>
      </c>
      <c r="Y173" s="9" t="s">
        <v>80</v>
      </c>
      <c r="Z173" s="9" t="s">
        <v>68</v>
      </c>
      <c r="AA173" s="9" t="s">
        <v>81</v>
      </c>
      <c r="AB173" s="9" t="s">
        <v>67</v>
      </c>
      <c r="AC173" s="9" t="s">
        <v>82</v>
      </c>
      <c r="AD173" s="11">
        <v>4</v>
      </c>
      <c r="AE173" s="9" t="s">
        <v>70</v>
      </c>
      <c r="AF173" s="9" t="s">
        <v>71</v>
      </c>
      <c r="AG173" s="13">
        <v>1</v>
      </c>
      <c r="AH173" s="9" t="s">
        <v>92</v>
      </c>
      <c r="AI173" s="13">
        <v>926840</v>
      </c>
      <c r="AJ173" s="13">
        <v>3707360</v>
      </c>
      <c r="AK173" s="11">
        <v>0</v>
      </c>
      <c r="AL173" s="11">
        <v>0</v>
      </c>
      <c r="AM173" s="11">
        <v>0</v>
      </c>
      <c r="AN173" s="9" t="s">
        <v>67</v>
      </c>
      <c r="AO173" s="11">
        <v>3707360</v>
      </c>
      <c r="AP173" s="13">
        <v>296589</v>
      </c>
      <c r="AQ173" s="13">
        <v>4003949</v>
      </c>
      <c r="AR173" s="11">
        <v>16</v>
      </c>
      <c r="AS173" s="9" t="s">
        <v>72</v>
      </c>
      <c r="AT173" s="12">
        <v>19.04</v>
      </c>
      <c r="AU173" s="9" t="s">
        <v>73</v>
      </c>
      <c r="AV173" s="9" t="s">
        <v>67</v>
      </c>
      <c r="AW173" s="9" t="s">
        <v>1097</v>
      </c>
      <c r="AX173" s="10">
        <v>45992</v>
      </c>
      <c r="AY173" s="9" t="s">
        <v>1098</v>
      </c>
      <c r="AZ173" s="9" t="s">
        <v>67</v>
      </c>
      <c r="BA173" s="9" t="s">
        <v>67</v>
      </c>
      <c r="BB173" s="12">
        <v>16</v>
      </c>
      <c r="BC173" s="9" t="s">
        <v>74</v>
      </c>
      <c r="BD173" s="9" t="s">
        <v>104</v>
      </c>
      <c r="BE173" s="9" t="s">
        <v>75</v>
      </c>
      <c r="BF173" s="11">
        <v>0</v>
      </c>
      <c r="BG173">
        <f t="shared" si="6"/>
        <v>12</v>
      </c>
      <c r="BH173" t="str">
        <f>VLOOKUP(BG173,[1]month!$A:$B,2,0)</f>
        <v>Desember</v>
      </c>
      <c r="BI173">
        <f t="shared" si="7"/>
        <v>2025</v>
      </c>
      <c r="BJ173" t="str">
        <f>VLOOKUP(I173,[1]Dist!$A:$B,2,0)</f>
        <v>Industry</v>
      </c>
      <c r="BK173" t="str">
        <f>IF(I173=11,VLOOKUP(Y173,[2]Sheet1!$C:$N,10,0),IF(I173=13,VLOOKUP(Y173,[3]Sheet1!$C:$N,10,0),IF(I173=15,VLOOKUP(Y173,[4]Sheet1!$C:$N,10,0),"Unknown")))</f>
        <v>STAIN &amp; GLAZE INTERIOR</v>
      </c>
      <c r="BL173" t="str">
        <f>IF(I173=11,VLOOKUP(Y173,[2]Sheet1!$C:$N,12,0),IF(I173=13,VLOOKUP(Y173,[3]Sheet1!$C:$N,12,0),IF(I173=15,VLOOKUP(Y173,[4]Sheet1!$C:$N,12,0),"Unknown")))</f>
        <v>STAIN INTERIOR</v>
      </c>
      <c r="BM173" t="str">
        <f>VLOOKUP(W173,[1]branch!$A:$B,2,0)</f>
        <v>INDUSTRY</v>
      </c>
    </row>
    <row r="174" spans="1:65" x14ac:dyDescent="0.35">
      <c r="A174" s="10">
        <v>45993</v>
      </c>
      <c r="B174" s="9" t="s">
        <v>1096</v>
      </c>
      <c r="C174" s="9" t="s">
        <v>64</v>
      </c>
      <c r="D174" s="9" t="s">
        <v>92</v>
      </c>
      <c r="E174" s="11">
        <v>30</v>
      </c>
      <c r="F174" s="9" t="s">
        <v>93</v>
      </c>
      <c r="G174" s="9" t="s">
        <v>65</v>
      </c>
      <c r="H174" s="9" t="s">
        <v>66</v>
      </c>
      <c r="I174" s="9">
        <v>11</v>
      </c>
      <c r="J174" s="9" t="s">
        <v>411</v>
      </c>
      <c r="K174" s="9" t="s">
        <v>411</v>
      </c>
      <c r="L174" s="9" t="s">
        <v>411</v>
      </c>
      <c r="M174" s="9" t="s">
        <v>412</v>
      </c>
      <c r="N174" s="9" t="s">
        <v>877</v>
      </c>
      <c r="O174" s="9" t="s">
        <v>97</v>
      </c>
      <c r="P174" s="9" t="s">
        <v>67</v>
      </c>
      <c r="Q174" s="9" t="s">
        <v>98</v>
      </c>
      <c r="R174" s="9" t="s">
        <v>411</v>
      </c>
      <c r="S174" s="9" t="s">
        <v>412</v>
      </c>
      <c r="T174" s="9" t="s">
        <v>807</v>
      </c>
      <c r="U174" s="9" t="s">
        <v>67</v>
      </c>
      <c r="V174" s="9" t="s">
        <v>121</v>
      </c>
      <c r="W174" s="9" t="s">
        <v>122</v>
      </c>
      <c r="X174" s="11">
        <v>70</v>
      </c>
      <c r="Y174" s="9" t="s">
        <v>238</v>
      </c>
      <c r="Z174" s="9" t="s">
        <v>68</v>
      </c>
      <c r="AA174" s="9" t="s">
        <v>239</v>
      </c>
      <c r="AB174" s="9" t="s">
        <v>67</v>
      </c>
      <c r="AC174" s="9" t="s">
        <v>237</v>
      </c>
      <c r="AD174" s="11">
        <v>8</v>
      </c>
      <c r="AE174" s="9" t="s">
        <v>70</v>
      </c>
      <c r="AF174" s="9" t="s">
        <v>71</v>
      </c>
      <c r="AG174" s="13">
        <v>1</v>
      </c>
      <c r="AH174" s="9" t="s">
        <v>92</v>
      </c>
      <c r="AI174" s="13">
        <v>1215200</v>
      </c>
      <c r="AJ174" s="13">
        <v>9721600</v>
      </c>
      <c r="AK174" s="11">
        <v>0</v>
      </c>
      <c r="AL174" s="11">
        <v>0</v>
      </c>
      <c r="AM174" s="11">
        <v>0</v>
      </c>
      <c r="AN174" s="9" t="s">
        <v>67</v>
      </c>
      <c r="AO174" s="11">
        <v>9721600</v>
      </c>
      <c r="AP174" s="13">
        <v>777728</v>
      </c>
      <c r="AQ174" s="13">
        <v>10499328</v>
      </c>
      <c r="AR174" s="11">
        <v>32</v>
      </c>
      <c r="AS174" s="9" t="s">
        <v>72</v>
      </c>
      <c r="AT174" s="12">
        <v>15.76</v>
      </c>
      <c r="AU174" s="9" t="s">
        <v>73</v>
      </c>
      <c r="AV174" s="9" t="s">
        <v>67</v>
      </c>
      <c r="AW174" s="9" t="s">
        <v>1097</v>
      </c>
      <c r="AX174" s="10">
        <v>45992</v>
      </c>
      <c r="AY174" s="9" t="s">
        <v>1098</v>
      </c>
      <c r="AZ174" s="9" t="s">
        <v>67</v>
      </c>
      <c r="BA174" s="9" t="s">
        <v>67</v>
      </c>
      <c r="BB174" s="12">
        <v>32</v>
      </c>
      <c r="BC174" s="9" t="s">
        <v>74</v>
      </c>
      <c r="BD174" s="9" t="s">
        <v>104</v>
      </c>
      <c r="BE174" s="9" t="s">
        <v>75</v>
      </c>
      <c r="BF174" s="11">
        <v>0</v>
      </c>
      <c r="BG174">
        <f t="shared" si="6"/>
        <v>12</v>
      </c>
      <c r="BH174" t="str">
        <f>VLOOKUP(BG174,[1]month!$A:$B,2,0)</f>
        <v>Desember</v>
      </c>
      <c r="BI174">
        <f t="shared" si="7"/>
        <v>2025</v>
      </c>
      <c r="BJ174" t="str">
        <f>VLOOKUP(I174,[1]Dist!$A:$B,2,0)</f>
        <v>Industry</v>
      </c>
      <c r="BK174" t="str">
        <f>IF(I174=11,VLOOKUP(Y174,[2]Sheet1!$C:$N,10,0),IF(I174=13,VLOOKUP(Y174,[3]Sheet1!$C:$N,10,0),IF(I174=15,VLOOKUP(Y174,[4]Sheet1!$C:$N,10,0),"Unknown")))</f>
        <v>COMPLEMENTARY</v>
      </c>
      <c r="BL174" t="str">
        <f>IF(I174=11,VLOOKUP(Y174,[2]Sheet1!$C:$N,12,0),IF(I174=13,VLOOKUP(Y174,[3]Sheet1!$C:$N,12,0),IF(I174=15,VLOOKUP(Y174,[4]Sheet1!$C:$N,12,0),"Unknown")))</f>
        <v>PASTA</v>
      </c>
      <c r="BM174" t="str">
        <f>VLOOKUP(W174,[1]branch!$A:$B,2,0)</f>
        <v>INDUSTRY</v>
      </c>
    </row>
    <row r="175" spans="1:65" x14ac:dyDescent="0.35">
      <c r="A175" s="10">
        <v>45993</v>
      </c>
      <c r="B175" s="9" t="s">
        <v>1099</v>
      </c>
      <c r="C175" s="9" t="s">
        <v>64</v>
      </c>
      <c r="D175" s="9" t="s">
        <v>92</v>
      </c>
      <c r="E175" s="11">
        <v>7</v>
      </c>
      <c r="F175" s="9" t="s">
        <v>93</v>
      </c>
      <c r="G175" s="9" t="s">
        <v>65</v>
      </c>
      <c r="H175" s="9" t="s">
        <v>66</v>
      </c>
      <c r="I175" s="9">
        <v>11</v>
      </c>
      <c r="J175" s="9" t="s">
        <v>296</v>
      </c>
      <c r="K175" s="9" t="s">
        <v>296</v>
      </c>
      <c r="L175" s="9" t="s">
        <v>296</v>
      </c>
      <c r="M175" s="9" t="s">
        <v>297</v>
      </c>
      <c r="N175" s="9" t="s">
        <v>447</v>
      </c>
      <c r="O175" s="9" t="s">
        <v>97</v>
      </c>
      <c r="P175" s="9" t="s">
        <v>67</v>
      </c>
      <c r="Q175" s="9" t="s">
        <v>98</v>
      </c>
      <c r="R175" s="9" t="s">
        <v>780</v>
      </c>
      <c r="S175" s="9" t="s">
        <v>297</v>
      </c>
      <c r="T175" s="9" t="s">
        <v>781</v>
      </c>
      <c r="U175" s="9" t="s">
        <v>67</v>
      </c>
      <c r="V175" s="9" t="s">
        <v>194</v>
      </c>
      <c r="W175" s="9" t="s">
        <v>195</v>
      </c>
      <c r="X175" s="11">
        <v>10</v>
      </c>
      <c r="Y175" s="9" t="s">
        <v>682</v>
      </c>
      <c r="Z175" s="9" t="s">
        <v>68</v>
      </c>
      <c r="AA175" s="9" t="s">
        <v>683</v>
      </c>
      <c r="AB175" s="9" t="s">
        <v>67</v>
      </c>
      <c r="AC175" s="9" t="s">
        <v>637</v>
      </c>
      <c r="AD175" s="11">
        <v>3</v>
      </c>
      <c r="AE175" s="9" t="s">
        <v>70</v>
      </c>
      <c r="AF175" s="9" t="s">
        <v>71</v>
      </c>
      <c r="AG175" s="13">
        <v>1</v>
      </c>
      <c r="AH175" s="9" t="s">
        <v>92</v>
      </c>
      <c r="AI175" s="13">
        <v>1076400</v>
      </c>
      <c r="AJ175" s="13">
        <v>3229200</v>
      </c>
      <c r="AK175" s="11">
        <v>0</v>
      </c>
      <c r="AL175" s="11">
        <v>0</v>
      </c>
      <c r="AM175" s="11">
        <v>0</v>
      </c>
      <c r="AN175" s="9" t="s">
        <v>67</v>
      </c>
      <c r="AO175" s="11">
        <v>3229200</v>
      </c>
      <c r="AP175" s="13">
        <v>258336</v>
      </c>
      <c r="AQ175" s="13">
        <v>3487536</v>
      </c>
      <c r="AR175" s="11">
        <v>60</v>
      </c>
      <c r="AS175" s="9" t="s">
        <v>72</v>
      </c>
      <c r="AT175" s="12">
        <v>41.67</v>
      </c>
      <c r="AU175" s="9" t="s">
        <v>73</v>
      </c>
      <c r="AV175" s="9" t="s">
        <v>67</v>
      </c>
      <c r="AW175" s="9" t="s">
        <v>1100</v>
      </c>
      <c r="AX175" s="10">
        <v>45988</v>
      </c>
      <c r="AY175" s="9" t="s">
        <v>1101</v>
      </c>
      <c r="AZ175" s="9" t="s">
        <v>67</v>
      </c>
      <c r="BA175" s="9" t="s">
        <v>67</v>
      </c>
      <c r="BB175" s="12">
        <v>60</v>
      </c>
      <c r="BC175" s="9" t="s">
        <v>74</v>
      </c>
      <c r="BD175" s="9" t="s">
        <v>104</v>
      </c>
      <c r="BE175" s="9" t="s">
        <v>75</v>
      </c>
      <c r="BF175" s="11">
        <v>0</v>
      </c>
      <c r="BG175">
        <f t="shared" si="6"/>
        <v>12</v>
      </c>
      <c r="BH175" t="str">
        <f>VLOOKUP(BG175,[1]month!$A:$B,2,0)</f>
        <v>Desember</v>
      </c>
      <c r="BI175">
        <f t="shared" si="7"/>
        <v>2025</v>
      </c>
      <c r="BJ175" t="str">
        <f>VLOOKUP(I175,[1]Dist!$A:$B,2,0)</f>
        <v>Industry</v>
      </c>
      <c r="BK175" t="str">
        <f>IF(I175=11,VLOOKUP(Y175,[2]Sheet1!$C:$N,10,0),IF(I175=13,VLOOKUP(Y175,[3]Sheet1!$C:$N,10,0),IF(I175=15,VLOOKUP(Y175,[4]Sheet1!$C:$N,10,0),"Unknown")))</f>
        <v>WATERBASED</v>
      </c>
      <c r="BL175" t="str">
        <f>IF(I175=11,VLOOKUP(Y175,[2]Sheet1!$C:$N,12,0),IF(I175=13,VLOOKUP(Y175,[3]Sheet1!$C:$N,12,0),IF(I175=15,VLOOKUP(Y175,[4]Sheet1!$C:$N,12,0),"Unknown")))</f>
        <v>WATERBASED SYSTEM INTERIOR</v>
      </c>
      <c r="BM175" t="str">
        <f>VLOOKUP(W175,[1]branch!$A:$B,2,0)</f>
        <v>INDUSTRY</v>
      </c>
    </row>
    <row r="176" spans="1:65" x14ac:dyDescent="0.35">
      <c r="A176" s="10">
        <v>45993</v>
      </c>
      <c r="B176" s="9" t="s">
        <v>1102</v>
      </c>
      <c r="C176" s="9" t="s">
        <v>64</v>
      </c>
      <c r="D176" s="9" t="s">
        <v>92</v>
      </c>
      <c r="E176" s="11">
        <v>7</v>
      </c>
      <c r="F176" s="9" t="s">
        <v>93</v>
      </c>
      <c r="G176" s="9" t="s">
        <v>65</v>
      </c>
      <c r="H176" s="9" t="s">
        <v>66</v>
      </c>
      <c r="I176" s="9">
        <v>11</v>
      </c>
      <c r="J176" s="9" t="s">
        <v>296</v>
      </c>
      <c r="K176" s="9" t="s">
        <v>296</v>
      </c>
      <c r="L176" s="9" t="s">
        <v>296</v>
      </c>
      <c r="M176" s="9" t="s">
        <v>297</v>
      </c>
      <c r="N176" s="9" t="s">
        <v>447</v>
      </c>
      <c r="O176" s="9" t="s">
        <v>97</v>
      </c>
      <c r="P176" s="9" t="s">
        <v>67</v>
      </c>
      <c r="Q176" s="9" t="s">
        <v>98</v>
      </c>
      <c r="R176" s="9" t="s">
        <v>780</v>
      </c>
      <c r="S176" s="9" t="s">
        <v>297</v>
      </c>
      <c r="T176" s="9" t="s">
        <v>781</v>
      </c>
      <c r="U176" s="9" t="s">
        <v>67</v>
      </c>
      <c r="V176" s="9" t="s">
        <v>194</v>
      </c>
      <c r="W176" s="9" t="s">
        <v>195</v>
      </c>
      <c r="X176" s="11">
        <v>10</v>
      </c>
      <c r="Y176" s="9" t="s">
        <v>148</v>
      </c>
      <c r="Z176" s="9" t="s">
        <v>68</v>
      </c>
      <c r="AA176" s="9" t="s">
        <v>149</v>
      </c>
      <c r="AB176" s="9" t="s">
        <v>67</v>
      </c>
      <c r="AC176" s="9" t="s">
        <v>69</v>
      </c>
      <c r="AD176" s="11">
        <v>2</v>
      </c>
      <c r="AE176" s="9" t="s">
        <v>70</v>
      </c>
      <c r="AF176" s="9" t="s">
        <v>71</v>
      </c>
      <c r="AG176" s="13">
        <v>1</v>
      </c>
      <c r="AH176" s="9" t="s">
        <v>92</v>
      </c>
      <c r="AI176" s="13">
        <v>7484000</v>
      </c>
      <c r="AJ176" s="13">
        <v>14968000</v>
      </c>
      <c r="AK176" s="11">
        <v>0</v>
      </c>
      <c r="AL176" s="11">
        <v>0</v>
      </c>
      <c r="AM176" s="11">
        <v>0</v>
      </c>
      <c r="AN176" s="9" t="s">
        <v>67</v>
      </c>
      <c r="AO176" s="11">
        <v>14968000</v>
      </c>
      <c r="AP176" s="13">
        <v>1197440</v>
      </c>
      <c r="AQ176" s="13">
        <v>16165440</v>
      </c>
      <c r="AR176" s="11">
        <v>360</v>
      </c>
      <c r="AS176" s="9" t="s">
        <v>72</v>
      </c>
      <c r="AT176" s="11">
        <v>400</v>
      </c>
      <c r="AU176" s="9" t="s">
        <v>73</v>
      </c>
      <c r="AV176" s="9" t="s">
        <v>67</v>
      </c>
      <c r="AW176" s="9" t="s">
        <v>1103</v>
      </c>
      <c r="AX176" s="10">
        <v>45992</v>
      </c>
      <c r="AY176" s="9" t="s">
        <v>1104</v>
      </c>
      <c r="AZ176" s="9" t="s">
        <v>67</v>
      </c>
      <c r="BA176" s="9" t="s">
        <v>67</v>
      </c>
      <c r="BB176" s="12">
        <v>400</v>
      </c>
      <c r="BC176" s="9" t="s">
        <v>74</v>
      </c>
      <c r="BD176" s="9" t="s">
        <v>104</v>
      </c>
      <c r="BE176" s="9" t="s">
        <v>75</v>
      </c>
      <c r="BF176" s="11">
        <v>0</v>
      </c>
      <c r="BG176">
        <f t="shared" si="6"/>
        <v>12</v>
      </c>
      <c r="BH176" t="str">
        <f>VLOOKUP(BG176,[1]month!$A:$B,2,0)</f>
        <v>Desember</v>
      </c>
      <c r="BI176">
        <f t="shared" si="7"/>
        <v>2025</v>
      </c>
      <c r="BJ176" t="str">
        <f>VLOOKUP(I176,[1]Dist!$A:$B,2,0)</f>
        <v>Industry</v>
      </c>
      <c r="BK176" t="str">
        <f>IF(I176=11,VLOOKUP(Y176,[2]Sheet1!$C:$N,10,0),IF(I176=13,VLOOKUP(Y176,[3]Sheet1!$C:$N,10,0),IF(I176=15,VLOOKUP(Y176,[4]Sheet1!$C:$N,10,0),"Unknown")))</f>
        <v>THINNER NC</v>
      </c>
      <c r="BL176" t="str">
        <f>IF(I176=11,VLOOKUP(Y176,[2]Sheet1!$C:$N,12,0),IF(I176=13,VLOOKUP(Y176,[3]Sheet1!$C:$N,12,0),IF(I176=15,VLOOKUP(Y176,[4]Sheet1!$C:$N,12,0),"Unknown")))</f>
        <v>THINNER NC</v>
      </c>
      <c r="BM176" t="str">
        <f>VLOOKUP(W176,[1]branch!$A:$B,2,0)</f>
        <v>INDUSTRY</v>
      </c>
    </row>
    <row r="177" spans="1:65" x14ac:dyDescent="0.35">
      <c r="A177" s="10">
        <v>45993</v>
      </c>
      <c r="B177" s="9" t="s">
        <v>1102</v>
      </c>
      <c r="C177" s="9" t="s">
        <v>64</v>
      </c>
      <c r="D177" s="9" t="s">
        <v>92</v>
      </c>
      <c r="E177" s="11">
        <v>7</v>
      </c>
      <c r="F177" s="9" t="s">
        <v>93</v>
      </c>
      <c r="G177" s="9" t="s">
        <v>65</v>
      </c>
      <c r="H177" s="9" t="s">
        <v>66</v>
      </c>
      <c r="I177" s="9">
        <v>11</v>
      </c>
      <c r="J177" s="9" t="s">
        <v>296</v>
      </c>
      <c r="K177" s="9" t="s">
        <v>296</v>
      </c>
      <c r="L177" s="9" t="s">
        <v>296</v>
      </c>
      <c r="M177" s="9" t="s">
        <v>297</v>
      </c>
      <c r="N177" s="9" t="s">
        <v>447</v>
      </c>
      <c r="O177" s="9" t="s">
        <v>97</v>
      </c>
      <c r="P177" s="9" t="s">
        <v>67</v>
      </c>
      <c r="Q177" s="9" t="s">
        <v>98</v>
      </c>
      <c r="R177" s="9" t="s">
        <v>780</v>
      </c>
      <c r="S177" s="9" t="s">
        <v>297</v>
      </c>
      <c r="T177" s="9" t="s">
        <v>781</v>
      </c>
      <c r="U177" s="9" t="s">
        <v>67</v>
      </c>
      <c r="V177" s="9" t="s">
        <v>194</v>
      </c>
      <c r="W177" s="9" t="s">
        <v>195</v>
      </c>
      <c r="X177" s="11">
        <v>20</v>
      </c>
      <c r="Y177" s="9" t="s">
        <v>298</v>
      </c>
      <c r="Z177" s="9" t="s">
        <v>68</v>
      </c>
      <c r="AA177" s="9" t="s">
        <v>299</v>
      </c>
      <c r="AB177" s="9" t="s">
        <v>67</v>
      </c>
      <c r="AC177" s="9" t="s">
        <v>300</v>
      </c>
      <c r="AD177" s="11">
        <v>10</v>
      </c>
      <c r="AE177" s="9" t="s">
        <v>70</v>
      </c>
      <c r="AF177" s="9" t="s">
        <v>71</v>
      </c>
      <c r="AG177" s="13">
        <v>1</v>
      </c>
      <c r="AH177" s="9" t="s">
        <v>92</v>
      </c>
      <c r="AI177" s="13">
        <v>1752000</v>
      </c>
      <c r="AJ177" s="13">
        <v>17520000</v>
      </c>
      <c r="AK177" s="11">
        <v>0</v>
      </c>
      <c r="AL177" s="11">
        <v>0</v>
      </c>
      <c r="AM177" s="11">
        <v>0</v>
      </c>
      <c r="AN177" s="9" t="s">
        <v>67</v>
      </c>
      <c r="AO177" s="11">
        <v>17520000</v>
      </c>
      <c r="AP177" s="13">
        <v>1401600</v>
      </c>
      <c r="AQ177" s="13">
        <v>18921600</v>
      </c>
      <c r="AR177" s="11">
        <v>200</v>
      </c>
      <c r="AS177" s="9" t="s">
        <v>72</v>
      </c>
      <c r="AT177" s="12">
        <v>166.67</v>
      </c>
      <c r="AU177" s="9" t="s">
        <v>73</v>
      </c>
      <c r="AV177" s="9" t="s">
        <v>67</v>
      </c>
      <c r="AW177" s="9" t="s">
        <v>1103</v>
      </c>
      <c r="AX177" s="10">
        <v>45992</v>
      </c>
      <c r="AY177" s="9" t="s">
        <v>1104</v>
      </c>
      <c r="AZ177" s="9" t="s">
        <v>67</v>
      </c>
      <c r="BA177" s="9" t="s">
        <v>67</v>
      </c>
      <c r="BB177" s="12">
        <v>200</v>
      </c>
      <c r="BC177" s="9" t="s">
        <v>74</v>
      </c>
      <c r="BD177" s="9" t="s">
        <v>104</v>
      </c>
      <c r="BE177" s="9" t="s">
        <v>75</v>
      </c>
      <c r="BF177" s="11">
        <v>0</v>
      </c>
      <c r="BG177">
        <f t="shared" si="6"/>
        <v>12</v>
      </c>
      <c r="BH177" t="str">
        <f>VLOOKUP(BG177,[1]month!$A:$B,2,0)</f>
        <v>Desember</v>
      </c>
      <c r="BI177">
        <f t="shared" si="7"/>
        <v>2025</v>
      </c>
      <c r="BJ177" t="str">
        <f>VLOOKUP(I177,[1]Dist!$A:$B,2,0)</f>
        <v>Industry</v>
      </c>
      <c r="BK177" t="str">
        <f>IF(I177=11,VLOOKUP(Y177,[2]Sheet1!$C:$N,10,0),IF(I177=13,VLOOKUP(Y177,[3]Sheet1!$C:$N,10,0),IF(I177=15,VLOOKUP(Y177,[4]Sheet1!$C:$N,10,0),"Unknown")))</f>
        <v>NC</v>
      </c>
      <c r="BL177" t="str">
        <f>IF(I177=11,VLOOKUP(Y177,[2]Sheet1!$C:$N,12,0),IF(I177=13,VLOOKUP(Y177,[3]Sheet1!$C:$N,12,0),IF(I177=15,VLOOKUP(Y177,[4]Sheet1!$C:$N,12,0),"Unknown")))</f>
        <v>NC SYSTEM</v>
      </c>
      <c r="BM177" t="str">
        <f>VLOOKUP(W177,[1]branch!$A:$B,2,0)</f>
        <v>INDUSTRY</v>
      </c>
    </row>
    <row r="178" spans="1:65" x14ac:dyDescent="0.35">
      <c r="A178" s="10">
        <v>45993</v>
      </c>
      <c r="B178" s="9" t="s">
        <v>1102</v>
      </c>
      <c r="C178" s="9" t="s">
        <v>64</v>
      </c>
      <c r="D178" s="9" t="s">
        <v>92</v>
      </c>
      <c r="E178" s="11">
        <v>7</v>
      </c>
      <c r="F178" s="9" t="s">
        <v>93</v>
      </c>
      <c r="G178" s="9" t="s">
        <v>65</v>
      </c>
      <c r="H178" s="9" t="s">
        <v>66</v>
      </c>
      <c r="I178" s="9">
        <v>11</v>
      </c>
      <c r="J178" s="9" t="s">
        <v>296</v>
      </c>
      <c r="K178" s="9" t="s">
        <v>296</v>
      </c>
      <c r="L178" s="9" t="s">
        <v>296</v>
      </c>
      <c r="M178" s="9" t="s">
        <v>297</v>
      </c>
      <c r="N178" s="9" t="s">
        <v>447</v>
      </c>
      <c r="O178" s="9" t="s">
        <v>97</v>
      </c>
      <c r="P178" s="9" t="s">
        <v>67</v>
      </c>
      <c r="Q178" s="9" t="s">
        <v>98</v>
      </c>
      <c r="R178" s="9" t="s">
        <v>780</v>
      </c>
      <c r="S178" s="9" t="s">
        <v>297</v>
      </c>
      <c r="T178" s="9" t="s">
        <v>781</v>
      </c>
      <c r="U178" s="9" t="s">
        <v>67</v>
      </c>
      <c r="V178" s="9" t="s">
        <v>194</v>
      </c>
      <c r="W178" s="9" t="s">
        <v>195</v>
      </c>
      <c r="X178" s="11">
        <v>30</v>
      </c>
      <c r="Y178" s="9" t="s">
        <v>218</v>
      </c>
      <c r="Z178" s="9" t="s">
        <v>68</v>
      </c>
      <c r="AA178" s="9" t="s">
        <v>219</v>
      </c>
      <c r="AB178" s="9" t="s">
        <v>67</v>
      </c>
      <c r="AC178" s="9" t="s">
        <v>220</v>
      </c>
      <c r="AD178" s="11">
        <v>4</v>
      </c>
      <c r="AE178" s="9" t="s">
        <v>70</v>
      </c>
      <c r="AF178" s="9" t="s">
        <v>71</v>
      </c>
      <c r="AG178" s="13">
        <v>1</v>
      </c>
      <c r="AH178" s="9" t="s">
        <v>92</v>
      </c>
      <c r="AI178" s="13">
        <v>1928000</v>
      </c>
      <c r="AJ178" s="13">
        <v>7712000</v>
      </c>
      <c r="AK178" s="11">
        <v>0</v>
      </c>
      <c r="AL178" s="11">
        <v>0</v>
      </c>
      <c r="AM178" s="11">
        <v>0</v>
      </c>
      <c r="AN178" s="9" t="s">
        <v>67</v>
      </c>
      <c r="AO178" s="11">
        <v>7712000</v>
      </c>
      <c r="AP178" s="13">
        <v>616960</v>
      </c>
      <c r="AQ178" s="13">
        <v>8328960</v>
      </c>
      <c r="AR178" s="11">
        <v>80</v>
      </c>
      <c r="AS178" s="9" t="s">
        <v>72</v>
      </c>
      <c r="AT178" s="12">
        <v>61.08</v>
      </c>
      <c r="AU178" s="9" t="s">
        <v>73</v>
      </c>
      <c r="AV178" s="9" t="s">
        <v>67</v>
      </c>
      <c r="AW178" s="9" t="s">
        <v>1103</v>
      </c>
      <c r="AX178" s="10">
        <v>45992</v>
      </c>
      <c r="AY178" s="9" t="s">
        <v>1104</v>
      </c>
      <c r="AZ178" s="9" t="s">
        <v>67</v>
      </c>
      <c r="BA178" s="9" t="s">
        <v>67</v>
      </c>
      <c r="BB178" s="12">
        <v>80</v>
      </c>
      <c r="BC178" s="9" t="s">
        <v>74</v>
      </c>
      <c r="BD178" s="9" t="s">
        <v>104</v>
      </c>
      <c r="BE178" s="9" t="s">
        <v>75</v>
      </c>
      <c r="BF178" s="11">
        <v>0</v>
      </c>
      <c r="BG178">
        <f t="shared" si="6"/>
        <v>12</v>
      </c>
      <c r="BH178" t="str">
        <f>VLOOKUP(BG178,[1]month!$A:$B,2,0)</f>
        <v>Desember</v>
      </c>
      <c r="BI178">
        <f t="shared" si="7"/>
        <v>2025</v>
      </c>
      <c r="BJ178" t="str">
        <f>VLOOKUP(I178,[1]Dist!$A:$B,2,0)</f>
        <v>Industry</v>
      </c>
      <c r="BK178" t="str">
        <f>IF(I178=11,VLOOKUP(Y178,[2]Sheet1!$C:$N,10,0),IF(I178=13,VLOOKUP(Y178,[3]Sheet1!$C:$N,10,0),IF(I178=15,VLOOKUP(Y178,[4]Sheet1!$C:$N,10,0),"Unknown")))</f>
        <v>PU</v>
      </c>
      <c r="BL178" t="str">
        <f>IF(I178=11,VLOOKUP(Y178,[2]Sheet1!$C:$N,12,0),IF(I178=13,VLOOKUP(Y178,[3]Sheet1!$C:$N,12,0),IF(I178=15,VLOOKUP(Y178,[4]Sheet1!$C:$N,12,0),"Unknown")))</f>
        <v>PU PRIMER</v>
      </c>
      <c r="BM178" t="str">
        <f>VLOOKUP(W178,[1]branch!$A:$B,2,0)</f>
        <v>INDUSTRY</v>
      </c>
    </row>
    <row r="179" spans="1:65" x14ac:dyDescent="0.35">
      <c r="A179" s="10">
        <v>45993</v>
      </c>
      <c r="B179" s="9" t="s">
        <v>1102</v>
      </c>
      <c r="C179" s="9" t="s">
        <v>64</v>
      </c>
      <c r="D179" s="9" t="s">
        <v>92</v>
      </c>
      <c r="E179" s="11">
        <v>7</v>
      </c>
      <c r="F179" s="9" t="s">
        <v>93</v>
      </c>
      <c r="G179" s="9" t="s">
        <v>65</v>
      </c>
      <c r="H179" s="9" t="s">
        <v>66</v>
      </c>
      <c r="I179" s="9">
        <v>11</v>
      </c>
      <c r="J179" s="9" t="s">
        <v>296</v>
      </c>
      <c r="K179" s="9" t="s">
        <v>296</v>
      </c>
      <c r="L179" s="9" t="s">
        <v>296</v>
      </c>
      <c r="M179" s="9" t="s">
        <v>297</v>
      </c>
      <c r="N179" s="9" t="s">
        <v>447</v>
      </c>
      <c r="O179" s="9" t="s">
        <v>97</v>
      </c>
      <c r="P179" s="9" t="s">
        <v>67</v>
      </c>
      <c r="Q179" s="9" t="s">
        <v>98</v>
      </c>
      <c r="R179" s="9" t="s">
        <v>780</v>
      </c>
      <c r="S179" s="9" t="s">
        <v>297</v>
      </c>
      <c r="T179" s="9" t="s">
        <v>781</v>
      </c>
      <c r="U179" s="9" t="s">
        <v>67</v>
      </c>
      <c r="V179" s="9" t="s">
        <v>194</v>
      </c>
      <c r="W179" s="9" t="s">
        <v>195</v>
      </c>
      <c r="X179" s="11">
        <v>40</v>
      </c>
      <c r="Y179" s="9" t="s">
        <v>105</v>
      </c>
      <c r="Z179" s="9" t="s">
        <v>68</v>
      </c>
      <c r="AA179" s="9" t="s">
        <v>106</v>
      </c>
      <c r="AB179" s="9" t="s">
        <v>67</v>
      </c>
      <c r="AC179" s="9" t="s">
        <v>107</v>
      </c>
      <c r="AD179" s="11">
        <v>4</v>
      </c>
      <c r="AE179" s="9" t="s">
        <v>70</v>
      </c>
      <c r="AF179" s="9" t="s">
        <v>71</v>
      </c>
      <c r="AG179" s="13">
        <v>1</v>
      </c>
      <c r="AH179" s="9" t="s">
        <v>92</v>
      </c>
      <c r="AI179" s="13">
        <v>1796000</v>
      </c>
      <c r="AJ179" s="13">
        <v>7184000</v>
      </c>
      <c r="AK179" s="11">
        <v>0</v>
      </c>
      <c r="AL179" s="11">
        <v>0</v>
      </c>
      <c r="AM179" s="11">
        <v>0</v>
      </c>
      <c r="AN179" s="9" t="s">
        <v>67</v>
      </c>
      <c r="AO179" s="11">
        <v>7184000</v>
      </c>
      <c r="AP179" s="13">
        <v>574720</v>
      </c>
      <c r="AQ179" s="13">
        <v>7758720</v>
      </c>
      <c r="AR179" s="11">
        <v>80</v>
      </c>
      <c r="AS179" s="9" t="s">
        <v>72</v>
      </c>
      <c r="AT179" s="12">
        <v>85.12</v>
      </c>
      <c r="AU179" s="9" t="s">
        <v>73</v>
      </c>
      <c r="AV179" s="9" t="s">
        <v>67</v>
      </c>
      <c r="AW179" s="9" t="s">
        <v>1103</v>
      </c>
      <c r="AX179" s="10">
        <v>45992</v>
      </c>
      <c r="AY179" s="9" t="s">
        <v>1104</v>
      </c>
      <c r="AZ179" s="9" t="s">
        <v>67</v>
      </c>
      <c r="BA179" s="9" t="s">
        <v>67</v>
      </c>
      <c r="BB179" s="12">
        <v>80</v>
      </c>
      <c r="BC179" s="9" t="s">
        <v>74</v>
      </c>
      <c r="BD179" s="9" t="s">
        <v>104</v>
      </c>
      <c r="BE179" s="9" t="s">
        <v>75</v>
      </c>
      <c r="BF179" s="11">
        <v>0</v>
      </c>
      <c r="BG179">
        <f t="shared" si="6"/>
        <v>12</v>
      </c>
      <c r="BH179" t="str">
        <f>VLOOKUP(BG179,[1]month!$A:$B,2,0)</f>
        <v>Desember</v>
      </c>
      <c r="BI179">
        <f t="shared" si="7"/>
        <v>2025</v>
      </c>
      <c r="BJ179" t="str">
        <f>VLOOKUP(I179,[1]Dist!$A:$B,2,0)</f>
        <v>Industry</v>
      </c>
      <c r="BK179" t="str">
        <f>IF(I179=11,VLOOKUP(Y179,[2]Sheet1!$C:$N,10,0),IF(I179=13,VLOOKUP(Y179,[3]Sheet1!$C:$N,10,0),IF(I179=15,VLOOKUP(Y179,[4]Sheet1!$C:$N,10,0),"Unknown")))</f>
        <v>PU</v>
      </c>
      <c r="BL179" t="str">
        <f>IF(I179=11,VLOOKUP(Y179,[2]Sheet1!$C:$N,12,0),IF(I179=13,VLOOKUP(Y179,[3]Sheet1!$C:$N,12,0),IF(I179=15,VLOOKUP(Y179,[4]Sheet1!$C:$N,12,0),"Unknown")))</f>
        <v>PU HARDENER</v>
      </c>
      <c r="BM179" t="str">
        <f>VLOOKUP(W179,[1]branch!$A:$B,2,0)</f>
        <v>INDUSTRY</v>
      </c>
    </row>
    <row r="180" spans="1:65" x14ac:dyDescent="0.35">
      <c r="A180" s="10">
        <v>45993</v>
      </c>
      <c r="B180" s="9" t="s">
        <v>1102</v>
      </c>
      <c r="C180" s="9" t="s">
        <v>64</v>
      </c>
      <c r="D180" s="9" t="s">
        <v>92</v>
      </c>
      <c r="E180" s="11">
        <v>7</v>
      </c>
      <c r="F180" s="9" t="s">
        <v>93</v>
      </c>
      <c r="G180" s="9" t="s">
        <v>65</v>
      </c>
      <c r="H180" s="9" t="s">
        <v>66</v>
      </c>
      <c r="I180" s="9">
        <v>11</v>
      </c>
      <c r="J180" s="9" t="s">
        <v>296</v>
      </c>
      <c r="K180" s="9" t="s">
        <v>296</v>
      </c>
      <c r="L180" s="9" t="s">
        <v>296</v>
      </c>
      <c r="M180" s="9" t="s">
        <v>297</v>
      </c>
      <c r="N180" s="9" t="s">
        <v>447</v>
      </c>
      <c r="O180" s="9" t="s">
        <v>97</v>
      </c>
      <c r="P180" s="9" t="s">
        <v>67</v>
      </c>
      <c r="Q180" s="9" t="s">
        <v>98</v>
      </c>
      <c r="R180" s="9" t="s">
        <v>780</v>
      </c>
      <c r="S180" s="9" t="s">
        <v>297</v>
      </c>
      <c r="T180" s="9" t="s">
        <v>781</v>
      </c>
      <c r="U180" s="9" t="s">
        <v>67</v>
      </c>
      <c r="V180" s="9" t="s">
        <v>194</v>
      </c>
      <c r="W180" s="9" t="s">
        <v>195</v>
      </c>
      <c r="X180" s="11">
        <v>60</v>
      </c>
      <c r="Y180" s="9" t="s">
        <v>89</v>
      </c>
      <c r="Z180" s="9" t="s">
        <v>68</v>
      </c>
      <c r="AA180" s="9" t="s">
        <v>90</v>
      </c>
      <c r="AB180" s="9" t="s">
        <v>67</v>
      </c>
      <c r="AC180" s="9" t="s">
        <v>91</v>
      </c>
      <c r="AD180" s="11">
        <v>2</v>
      </c>
      <c r="AE180" s="9" t="s">
        <v>70</v>
      </c>
      <c r="AF180" s="9" t="s">
        <v>71</v>
      </c>
      <c r="AG180" s="13">
        <v>1</v>
      </c>
      <c r="AH180" s="9" t="s">
        <v>92</v>
      </c>
      <c r="AI180" s="13">
        <v>870880</v>
      </c>
      <c r="AJ180" s="13">
        <v>1741760</v>
      </c>
      <c r="AK180" s="11">
        <v>0</v>
      </c>
      <c r="AL180" s="11">
        <v>0</v>
      </c>
      <c r="AM180" s="11">
        <v>0</v>
      </c>
      <c r="AN180" s="9" t="s">
        <v>67</v>
      </c>
      <c r="AO180" s="11">
        <v>1741760</v>
      </c>
      <c r="AP180" s="13">
        <v>139341</v>
      </c>
      <c r="AQ180" s="13">
        <v>1881101</v>
      </c>
      <c r="AR180" s="11">
        <v>8</v>
      </c>
      <c r="AS180" s="9" t="s">
        <v>72</v>
      </c>
      <c r="AT180" s="12">
        <v>7.62</v>
      </c>
      <c r="AU180" s="9" t="s">
        <v>73</v>
      </c>
      <c r="AV180" s="9" t="s">
        <v>67</v>
      </c>
      <c r="AW180" s="9" t="s">
        <v>1103</v>
      </c>
      <c r="AX180" s="10">
        <v>45992</v>
      </c>
      <c r="AY180" s="9" t="s">
        <v>1104</v>
      </c>
      <c r="AZ180" s="9" t="s">
        <v>67</v>
      </c>
      <c r="BA180" s="9" t="s">
        <v>67</v>
      </c>
      <c r="BB180" s="12">
        <v>8</v>
      </c>
      <c r="BC180" s="9" t="s">
        <v>74</v>
      </c>
      <c r="BD180" s="9" t="s">
        <v>104</v>
      </c>
      <c r="BE180" s="9" t="s">
        <v>75</v>
      </c>
      <c r="BF180" s="11">
        <v>0</v>
      </c>
      <c r="BG180">
        <f t="shared" si="6"/>
        <v>12</v>
      </c>
      <c r="BH180" t="str">
        <f>VLOOKUP(BG180,[1]month!$A:$B,2,0)</f>
        <v>Desember</v>
      </c>
      <c r="BI180">
        <f t="shared" si="7"/>
        <v>2025</v>
      </c>
      <c r="BJ180" t="str">
        <f>VLOOKUP(I180,[1]Dist!$A:$B,2,0)</f>
        <v>Industry</v>
      </c>
      <c r="BK180" t="str">
        <f>IF(I180=11,VLOOKUP(Y180,[2]Sheet1!$C:$N,10,0),IF(I180=13,VLOOKUP(Y180,[3]Sheet1!$C:$N,10,0),IF(I180=15,VLOOKUP(Y180,[4]Sheet1!$C:$N,10,0),"Unknown")))</f>
        <v>COMPLEMENTARY</v>
      </c>
      <c r="BL180" t="str">
        <f>IF(I180=11,VLOOKUP(Y180,[2]Sheet1!$C:$N,12,0),IF(I180=13,VLOOKUP(Y180,[3]Sheet1!$C:$N,12,0),IF(I180=15,VLOOKUP(Y180,[4]Sheet1!$C:$N,12,0),"Unknown")))</f>
        <v>PASTA</v>
      </c>
      <c r="BM180" t="str">
        <f>VLOOKUP(W180,[1]branch!$A:$B,2,0)</f>
        <v>INDUSTRY</v>
      </c>
    </row>
    <row r="181" spans="1:65" x14ac:dyDescent="0.35">
      <c r="A181" s="10">
        <v>45993</v>
      </c>
      <c r="B181" s="9" t="s">
        <v>1102</v>
      </c>
      <c r="C181" s="9" t="s">
        <v>64</v>
      </c>
      <c r="D181" s="9" t="s">
        <v>92</v>
      </c>
      <c r="E181" s="11">
        <v>7</v>
      </c>
      <c r="F181" s="9" t="s">
        <v>93</v>
      </c>
      <c r="G181" s="9" t="s">
        <v>65</v>
      </c>
      <c r="H181" s="9" t="s">
        <v>66</v>
      </c>
      <c r="I181" s="9">
        <v>11</v>
      </c>
      <c r="J181" s="9" t="s">
        <v>296</v>
      </c>
      <c r="K181" s="9" t="s">
        <v>296</v>
      </c>
      <c r="L181" s="9" t="s">
        <v>296</v>
      </c>
      <c r="M181" s="9" t="s">
        <v>297</v>
      </c>
      <c r="N181" s="9" t="s">
        <v>447</v>
      </c>
      <c r="O181" s="9" t="s">
        <v>97</v>
      </c>
      <c r="P181" s="9" t="s">
        <v>67</v>
      </c>
      <c r="Q181" s="9" t="s">
        <v>98</v>
      </c>
      <c r="R181" s="9" t="s">
        <v>780</v>
      </c>
      <c r="S181" s="9" t="s">
        <v>297</v>
      </c>
      <c r="T181" s="9" t="s">
        <v>781</v>
      </c>
      <c r="U181" s="9" t="s">
        <v>67</v>
      </c>
      <c r="V181" s="9" t="s">
        <v>194</v>
      </c>
      <c r="W181" s="9" t="s">
        <v>195</v>
      </c>
      <c r="X181" s="11">
        <v>70</v>
      </c>
      <c r="Y181" s="9" t="s">
        <v>80</v>
      </c>
      <c r="Z181" s="9" t="s">
        <v>68</v>
      </c>
      <c r="AA181" s="9" t="s">
        <v>81</v>
      </c>
      <c r="AB181" s="9" t="s">
        <v>67</v>
      </c>
      <c r="AC181" s="9" t="s">
        <v>82</v>
      </c>
      <c r="AD181" s="11">
        <v>1</v>
      </c>
      <c r="AE181" s="9" t="s">
        <v>70</v>
      </c>
      <c r="AF181" s="9" t="s">
        <v>71</v>
      </c>
      <c r="AG181" s="13">
        <v>1</v>
      </c>
      <c r="AH181" s="9" t="s">
        <v>92</v>
      </c>
      <c r="AI181" s="13">
        <v>1734560</v>
      </c>
      <c r="AJ181" s="13">
        <v>1734560</v>
      </c>
      <c r="AK181" s="11">
        <v>0</v>
      </c>
      <c r="AL181" s="11">
        <v>0</v>
      </c>
      <c r="AM181" s="11">
        <v>0</v>
      </c>
      <c r="AN181" s="9" t="s">
        <v>67</v>
      </c>
      <c r="AO181" s="11">
        <v>1734560</v>
      </c>
      <c r="AP181" s="13">
        <v>138765</v>
      </c>
      <c r="AQ181" s="13">
        <v>1873325</v>
      </c>
      <c r="AR181" s="11">
        <v>4</v>
      </c>
      <c r="AS181" s="9" t="s">
        <v>72</v>
      </c>
      <c r="AT181" s="12">
        <v>4.76</v>
      </c>
      <c r="AU181" s="9" t="s">
        <v>73</v>
      </c>
      <c r="AV181" s="9" t="s">
        <v>67</v>
      </c>
      <c r="AW181" s="9" t="s">
        <v>1103</v>
      </c>
      <c r="AX181" s="10">
        <v>45992</v>
      </c>
      <c r="AY181" s="9" t="s">
        <v>1104</v>
      </c>
      <c r="AZ181" s="9" t="s">
        <v>67</v>
      </c>
      <c r="BA181" s="9" t="s">
        <v>67</v>
      </c>
      <c r="BB181" s="12">
        <v>4</v>
      </c>
      <c r="BC181" s="9" t="s">
        <v>74</v>
      </c>
      <c r="BD181" s="9" t="s">
        <v>104</v>
      </c>
      <c r="BE181" s="9" t="s">
        <v>75</v>
      </c>
      <c r="BF181" s="11">
        <v>0</v>
      </c>
      <c r="BG181">
        <f t="shared" si="6"/>
        <v>12</v>
      </c>
      <c r="BH181" t="str">
        <f>VLOOKUP(BG181,[1]month!$A:$B,2,0)</f>
        <v>Desember</v>
      </c>
      <c r="BI181">
        <f t="shared" si="7"/>
        <v>2025</v>
      </c>
      <c r="BJ181" t="str">
        <f>VLOOKUP(I181,[1]Dist!$A:$B,2,0)</f>
        <v>Industry</v>
      </c>
      <c r="BK181" t="str">
        <f>IF(I181=11,VLOOKUP(Y181,[2]Sheet1!$C:$N,10,0),IF(I181=13,VLOOKUP(Y181,[3]Sheet1!$C:$N,10,0),IF(I181=15,VLOOKUP(Y181,[4]Sheet1!$C:$N,10,0),"Unknown")))</f>
        <v>STAIN &amp; GLAZE INTERIOR</v>
      </c>
      <c r="BL181" t="str">
        <f>IF(I181=11,VLOOKUP(Y181,[2]Sheet1!$C:$N,12,0),IF(I181=13,VLOOKUP(Y181,[3]Sheet1!$C:$N,12,0),IF(I181=15,VLOOKUP(Y181,[4]Sheet1!$C:$N,12,0),"Unknown")))</f>
        <v>STAIN INTERIOR</v>
      </c>
      <c r="BM181" t="str">
        <f>VLOOKUP(W181,[1]branch!$A:$B,2,0)</f>
        <v>INDUSTRY</v>
      </c>
    </row>
    <row r="182" spans="1:65" x14ac:dyDescent="0.35">
      <c r="A182" s="10">
        <v>45993</v>
      </c>
      <c r="B182" s="9" t="s">
        <v>1102</v>
      </c>
      <c r="C182" s="9" t="s">
        <v>64</v>
      </c>
      <c r="D182" s="9" t="s">
        <v>92</v>
      </c>
      <c r="E182" s="11">
        <v>7</v>
      </c>
      <c r="F182" s="9" t="s">
        <v>93</v>
      </c>
      <c r="G182" s="9" t="s">
        <v>65</v>
      </c>
      <c r="H182" s="9" t="s">
        <v>66</v>
      </c>
      <c r="I182" s="9">
        <v>11</v>
      </c>
      <c r="J182" s="9" t="s">
        <v>296</v>
      </c>
      <c r="K182" s="9" t="s">
        <v>296</v>
      </c>
      <c r="L182" s="9" t="s">
        <v>296</v>
      </c>
      <c r="M182" s="9" t="s">
        <v>297</v>
      </c>
      <c r="N182" s="9" t="s">
        <v>447</v>
      </c>
      <c r="O182" s="9" t="s">
        <v>97</v>
      </c>
      <c r="P182" s="9" t="s">
        <v>67</v>
      </c>
      <c r="Q182" s="9" t="s">
        <v>98</v>
      </c>
      <c r="R182" s="9" t="s">
        <v>780</v>
      </c>
      <c r="S182" s="9" t="s">
        <v>297</v>
      </c>
      <c r="T182" s="9" t="s">
        <v>781</v>
      </c>
      <c r="U182" s="9" t="s">
        <v>67</v>
      </c>
      <c r="V182" s="9" t="s">
        <v>194</v>
      </c>
      <c r="W182" s="9" t="s">
        <v>195</v>
      </c>
      <c r="X182" s="11">
        <v>80</v>
      </c>
      <c r="Y182" s="9" t="s">
        <v>83</v>
      </c>
      <c r="Z182" s="9" t="s">
        <v>68</v>
      </c>
      <c r="AA182" s="9" t="s">
        <v>84</v>
      </c>
      <c r="AB182" s="9" t="s">
        <v>67</v>
      </c>
      <c r="AC182" s="9" t="s">
        <v>82</v>
      </c>
      <c r="AD182" s="11">
        <v>1</v>
      </c>
      <c r="AE182" s="9" t="s">
        <v>70</v>
      </c>
      <c r="AF182" s="9" t="s">
        <v>71</v>
      </c>
      <c r="AG182" s="13">
        <v>1</v>
      </c>
      <c r="AH182" s="9" t="s">
        <v>92</v>
      </c>
      <c r="AI182" s="13">
        <v>1352400</v>
      </c>
      <c r="AJ182" s="13">
        <v>1352400</v>
      </c>
      <c r="AK182" s="11">
        <v>0</v>
      </c>
      <c r="AL182" s="11">
        <v>0</v>
      </c>
      <c r="AM182" s="11">
        <v>0</v>
      </c>
      <c r="AN182" s="9" t="s">
        <v>67</v>
      </c>
      <c r="AO182" s="11">
        <v>1352400</v>
      </c>
      <c r="AP182" s="13">
        <v>108192</v>
      </c>
      <c r="AQ182" s="13">
        <v>1460592</v>
      </c>
      <c r="AR182" s="11">
        <v>4</v>
      </c>
      <c r="AS182" s="9" t="s">
        <v>72</v>
      </c>
      <c r="AT182" s="12">
        <v>4.71</v>
      </c>
      <c r="AU182" s="9" t="s">
        <v>73</v>
      </c>
      <c r="AV182" s="9" t="s">
        <v>67</v>
      </c>
      <c r="AW182" s="9" t="s">
        <v>1103</v>
      </c>
      <c r="AX182" s="10">
        <v>45992</v>
      </c>
      <c r="AY182" s="9" t="s">
        <v>1104</v>
      </c>
      <c r="AZ182" s="9" t="s">
        <v>67</v>
      </c>
      <c r="BA182" s="9" t="s">
        <v>67</v>
      </c>
      <c r="BB182" s="12">
        <v>4</v>
      </c>
      <c r="BC182" s="9" t="s">
        <v>74</v>
      </c>
      <c r="BD182" s="9" t="s">
        <v>104</v>
      </c>
      <c r="BE182" s="9" t="s">
        <v>75</v>
      </c>
      <c r="BF182" s="11">
        <v>0</v>
      </c>
      <c r="BG182">
        <f t="shared" si="6"/>
        <v>12</v>
      </c>
      <c r="BH182" t="str">
        <f>VLOOKUP(BG182,[1]month!$A:$B,2,0)</f>
        <v>Desember</v>
      </c>
      <c r="BI182">
        <f t="shared" si="7"/>
        <v>2025</v>
      </c>
      <c r="BJ182" t="str">
        <f>VLOOKUP(I182,[1]Dist!$A:$B,2,0)</f>
        <v>Industry</v>
      </c>
      <c r="BK182" t="str">
        <f>IF(I182=11,VLOOKUP(Y182,[2]Sheet1!$C:$N,10,0),IF(I182=13,VLOOKUP(Y182,[3]Sheet1!$C:$N,10,0),IF(I182=15,VLOOKUP(Y182,[4]Sheet1!$C:$N,10,0),"Unknown")))</f>
        <v>STAIN &amp; GLAZE INTERIOR</v>
      </c>
      <c r="BL182" t="str">
        <f>IF(I182=11,VLOOKUP(Y182,[2]Sheet1!$C:$N,12,0),IF(I182=13,VLOOKUP(Y182,[3]Sheet1!$C:$N,12,0),IF(I182=15,VLOOKUP(Y182,[4]Sheet1!$C:$N,12,0),"Unknown")))</f>
        <v>STAIN INTERIOR</v>
      </c>
      <c r="BM182" t="str">
        <f>VLOOKUP(W182,[1]branch!$A:$B,2,0)</f>
        <v>INDUSTRY</v>
      </c>
    </row>
    <row r="183" spans="1:65" x14ac:dyDescent="0.35">
      <c r="A183" s="10">
        <v>45993</v>
      </c>
      <c r="B183" s="9" t="s">
        <v>1102</v>
      </c>
      <c r="C183" s="9" t="s">
        <v>64</v>
      </c>
      <c r="D183" s="9" t="s">
        <v>92</v>
      </c>
      <c r="E183" s="11">
        <v>7</v>
      </c>
      <c r="F183" s="9" t="s">
        <v>93</v>
      </c>
      <c r="G183" s="9" t="s">
        <v>65</v>
      </c>
      <c r="H183" s="9" t="s">
        <v>66</v>
      </c>
      <c r="I183" s="9">
        <v>11</v>
      </c>
      <c r="J183" s="9" t="s">
        <v>296</v>
      </c>
      <c r="K183" s="9" t="s">
        <v>296</v>
      </c>
      <c r="L183" s="9" t="s">
        <v>296</v>
      </c>
      <c r="M183" s="9" t="s">
        <v>297</v>
      </c>
      <c r="N183" s="9" t="s">
        <v>447</v>
      </c>
      <c r="O183" s="9" t="s">
        <v>97</v>
      </c>
      <c r="P183" s="9" t="s">
        <v>67</v>
      </c>
      <c r="Q183" s="9" t="s">
        <v>98</v>
      </c>
      <c r="R183" s="9" t="s">
        <v>780</v>
      </c>
      <c r="S183" s="9" t="s">
        <v>297</v>
      </c>
      <c r="T183" s="9" t="s">
        <v>781</v>
      </c>
      <c r="U183" s="9" t="s">
        <v>67</v>
      </c>
      <c r="V183" s="9" t="s">
        <v>194</v>
      </c>
      <c r="W183" s="9" t="s">
        <v>195</v>
      </c>
      <c r="X183" s="11">
        <v>90</v>
      </c>
      <c r="Y183" s="9" t="s">
        <v>594</v>
      </c>
      <c r="Z183" s="9" t="s">
        <v>68</v>
      </c>
      <c r="AA183" s="9" t="s">
        <v>595</v>
      </c>
      <c r="AB183" s="9" t="s">
        <v>67</v>
      </c>
      <c r="AC183" s="9" t="s">
        <v>596</v>
      </c>
      <c r="AD183" s="11">
        <v>1</v>
      </c>
      <c r="AE183" s="9" t="s">
        <v>70</v>
      </c>
      <c r="AF183" s="9" t="s">
        <v>71</v>
      </c>
      <c r="AG183" s="13">
        <v>1</v>
      </c>
      <c r="AH183" s="9" t="s">
        <v>92</v>
      </c>
      <c r="AI183" s="13">
        <v>199200</v>
      </c>
      <c r="AJ183" s="13">
        <v>199200</v>
      </c>
      <c r="AK183" s="11">
        <v>0</v>
      </c>
      <c r="AL183" s="11">
        <v>0</v>
      </c>
      <c r="AM183" s="11">
        <v>0</v>
      </c>
      <c r="AN183" s="9" t="s">
        <v>67</v>
      </c>
      <c r="AO183" s="11">
        <v>199200</v>
      </c>
      <c r="AP183" s="13">
        <v>15936</v>
      </c>
      <c r="AQ183" s="13">
        <v>215136</v>
      </c>
      <c r="AR183" s="11">
        <v>4</v>
      </c>
      <c r="AS183" s="9" t="s">
        <v>72</v>
      </c>
      <c r="AT183" s="12">
        <v>3.81</v>
      </c>
      <c r="AU183" s="9" t="s">
        <v>73</v>
      </c>
      <c r="AV183" s="9" t="s">
        <v>67</v>
      </c>
      <c r="AW183" s="9" t="s">
        <v>1103</v>
      </c>
      <c r="AX183" s="10">
        <v>45992</v>
      </c>
      <c r="AY183" s="9" t="s">
        <v>1104</v>
      </c>
      <c r="AZ183" s="9" t="s">
        <v>67</v>
      </c>
      <c r="BA183" s="9" t="s">
        <v>67</v>
      </c>
      <c r="BB183" s="12">
        <v>4</v>
      </c>
      <c r="BC183" s="9" t="s">
        <v>74</v>
      </c>
      <c r="BD183" s="9" t="s">
        <v>104</v>
      </c>
      <c r="BE183" s="9" t="s">
        <v>75</v>
      </c>
      <c r="BF183" s="11">
        <v>0</v>
      </c>
      <c r="BG183">
        <f t="shared" si="6"/>
        <v>12</v>
      </c>
      <c r="BH183" t="str">
        <f>VLOOKUP(BG183,[1]month!$A:$B,2,0)</f>
        <v>Desember</v>
      </c>
      <c r="BI183">
        <f t="shared" si="7"/>
        <v>2025</v>
      </c>
      <c r="BJ183" t="str">
        <f>VLOOKUP(I183,[1]Dist!$A:$B,2,0)</f>
        <v>Industry</v>
      </c>
      <c r="BK183" t="str">
        <f>IF(I183=11,VLOOKUP(Y183,[2]Sheet1!$C:$N,10,0),IF(I183=13,VLOOKUP(Y183,[3]Sheet1!$C:$N,10,0),IF(I183=15,VLOOKUP(Y183,[4]Sheet1!$C:$N,10,0),"Unknown")))</f>
        <v>COMPLEMENTARY</v>
      </c>
      <c r="BL183" t="str">
        <f>IF(I183=11,VLOOKUP(Y183,[2]Sheet1!$C:$N,12,0),IF(I183=13,VLOOKUP(Y183,[3]Sheet1!$C:$N,12,0),IF(I183=15,VLOOKUP(Y183,[4]Sheet1!$C:$N,12,0),"Unknown")))</f>
        <v>ASOF : POWDER &amp; MATTING SOLUTION</v>
      </c>
      <c r="BM183" t="str">
        <f>VLOOKUP(W183,[1]branch!$A:$B,2,0)</f>
        <v>INDUSTRY</v>
      </c>
    </row>
    <row r="184" spans="1:65" x14ac:dyDescent="0.35">
      <c r="A184" s="10">
        <v>45993</v>
      </c>
      <c r="B184" s="9" t="s">
        <v>1105</v>
      </c>
      <c r="C184" s="9" t="s">
        <v>64</v>
      </c>
      <c r="D184" s="9" t="s">
        <v>92</v>
      </c>
      <c r="E184" s="11">
        <v>60</v>
      </c>
      <c r="F184" s="9" t="s">
        <v>93</v>
      </c>
      <c r="G184" s="9" t="s">
        <v>65</v>
      </c>
      <c r="H184" s="9" t="s">
        <v>66</v>
      </c>
      <c r="I184" s="9">
        <v>11</v>
      </c>
      <c r="J184" s="9" t="s">
        <v>571</v>
      </c>
      <c r="K184" s="9" t="s">
        <v>571</v>
      </c>
      <c r="L184" s="9" t="s">
        <v>571</v>
      </c>
      <c r="M184" s="9" t="s">
        <v>572</v>
      </c>
      <c r="N184" s="9" t="s">
        <v>884</v>
      </c>
      <c r="O184" s="9" t="s">
        <v>97</v>
      </c>
      <c r="P184" s="9" t="s">
        <v>67</v>
      </c>
      <c r="Q184" s="9" t="s">
        <v>98</v>
      </c>
      <c r="R184" s="9" t="s">
        <v>571</v>
      </c>
      <c r="S184" s="9" t="s">
        <v>572</v>
      </c>
      <c r="T184" s="9" t="s">
        <v>865</v>
      </c>
      <c r="U184" s="9" t="s">
        <v>67</v>
      </c>
      <c r="V184" s="9" t="s">
        <v>130</v>
      </c>
      <c r="W184" s="9" t="s">
        <v>131</v>
      </c>
      <c r="X184" s="11">
        <v>10</v>
      </c>
      <c r="Y184" s="9" t="s">
        <v>744</v>
      </c>
      <c r="Z184" s="9" t="s">
        <v>68</v>
      </c>
      <c r="AA184" s="9" t="s">
        <v>745</v>
      </c>
      <c r="AB184" s="9" t="s">
        <v>67</v>
      </c>
      <c r="AC184" s="9" t="s">
        <v>649</v>
      </c>
      <c r="AD184" s="11">
        <v>5</v>
      </c>
      <c r="AE184" s="9" t="s">
        <v>70</v>
      </c>
      <c r="AF184" s="9" t="s">
        <v>71</v>
      </c>
      <c r="AG184" s="13">
        <v>1</v>
      </c>
      <c r="AH184" s="9" t="s">
        <v>92</v>
      </c>
      <c r="AI184" s="13">
        <v>3178000</v>
      </c>
      <c r="AJ184" s="13">
        <v>15890000</v>
      </c>
      <c r="AK184" s="11">
        <v>0</v>
      </c>
      <c r="AL184" s="11">
        <v>0</v>
      </c>
      <c r="AM184" s="11">
        <v>0</v>
      </c>
      <c r="AN184" s="9" t="s">
        <v>67</v>
      </c>
      <c r="AO184" s="11">
        <v>15890000</v>
      </c>
      <c r="AP184" s="13">
        <v>1271200</v>
      </c>
      <c r="AQ184" s="13">
        <v>17161200</v>
      </c>
      <c r="AR184" s="11">
        <v>100</v>
      </c>
      <c r="AS184" s="9" t="s">
        <v>72</v>
      </c>
      <c r="AT184" s="12">
        <v>93.46</v>
      </c>
      <c r="AU184" s="9" t="s">
        <v>73</v>
      </c>
      <c r="AV184" s="9" t="s">
        <v>67</v>
      </c>
      <c r="AW184" s="9" t="s">
        <v>1106</v>
      </c>
      <c r="AX184" s="10">
        <v>45992</v>
      </c>
      <c r="AY184" s="9" t="s">
        <v>1107</v>
      </c>
      <c r="AZ184" s="9" t="s">
        <v>67</v>
      </c>
      <c r="BA184" s="9" t="s">
        <v>67</v>
      </c>
      <c r="BB184" s="12">
        <v>100</v>
      </c>
      <c r="BC184" s="9" t="s">
        <v>74</v>
      </c>
      <c r="BD184" s="9" t="s">
        <v>104</v>
      </c>
      <c r="BE184" s="9" t="s">
        <v>75</v>
      </c>
      <c r="BF184" s="11">
        <v>0</v>
      </c>
      <c r="BG184">
        <f t="shared" si="6"/>
        <v>12</v>
      </c>
      <c r="BH184" t="str">
        <f>VLOOKUP(BG184,[1]month!$A:$B,2,0)</f>
        <v>Desember</v>
      </c>
      <c r="BI184">
        <f t="shared" si="7"/>
        <v>2025</v>
      </c>
      <c r="BJ184" t="str">
        <f>VLOOKUP(I184,[1]Dist!$A:$B,2,0)</f>
        <v>Industry</v>
      </c>
      <c r="BK184" t="str">
        <f>IF(I184=11,VLOOKUP(Y184,[2]Sheet1!$C:$N,10,0),IF(I184=13,VLOOKUP(Y184,[3]Sheet1!$C:$N,10,0),IF(I184=15,VLOOKUP(Y184,[4]Sheet1!$C:$N,10,0),"Unknown")))</f>
        <v>WATERBASED</v>
      </c>
      <c r="BL184" t="str">
        <f>IF(I184=11,VLOOKUP(Y184,[2]Sheet1!$C:$N,12,0),IF(I184=13,VLOOKUP(Y184,[3]Sheet1!$C:$N,12,0),IF(I184=15,VLOOKUP(Y184,[4]Sheet1!$C:$N,12,0),"Unknown")))</f>
        <v>WATERBASED SYSTEM INTERIOR</v>
      </c>
      <c r="BM184" t="str">
        <f>VLOOKUP(W184,[1]branch!$A:$B,2,0)</f>
        <v>INDUSTRY</v>
      </c>
    </row>
    <row r="185" spans="1:65" x14ac:dyDescent="0.35">
      <c r="A185" s="10">
        <v>45993</v>
      </c>
      <c r="B185" s="9" t="s">
        <v>1108</v>
      </c>
      <c r="C185" s="9" t="s">
        <v>64</v>
      </c>
      <c r="D185" s="9" t="s">
        <v>92</v>
      </c>
      <c r="E185" s="11">
        <v>60</v>
      </c>
      <c r="F185" s="9" t="s">
        <v>93</v>
      </c>
      <c r="G185" s="9" t="s">
        <v>65</v>
      </c>
      <c r="H185" s="9" t="s">
        <v>66</v>
      </c>
      <c r="I185" s="9">
        <v>11</v>
      </c>
      <c r="J185" s="9" t="s">
        <v>571</v>
      </c>
      <c r="K185" s="9" t="s">
        <v>571</v>
      </c>
      <c r="L185" s="9" t="s">
        <v>571</v>
      </c>
      <c r="M185" s="9" t="s">
        <v>572</v>
      </c>
      <c r="N185" s="9" t="s">
        <v>301</v>
      </c>
      <c r="O185" s="9" t="s">
        <v>97</v>
      </c>
      <c r="P185" s="9" t="s">
        <v>67</v>
      </c>
      <c r="Q185" s="9" t="s">
        <v>98</v>
      </c>
      <c r="R185" s="9" t="s">
        <v>776</v>
      </c>
      <c r="S185" s="9" t="s">
        <v>572</v>
      </c>
      <c r="T185" s="9" t="s">
        <v>777</v>
      </c>
      <c r="U185" s="9" t="s">
        <v>67</v>
      </c>
      <c r="V185" s="9" t="s">
        <v>130</v>
      </c>
      <c r="W185" s="9" t="s">
        <v>131</v>
      </c>
      <c r="X185" s="11">
        <v>10</v>
      </c>
      <c r="Y185" s="9" t="s">
        <v>742</v>
      </c>
      <c r="Z185" s="9" t="s">
        <v>68</v>
      </c>
      <c r="AA185" s="9" t="s">
        <v>743</v>
      </c>
      <c r="AB185" s="9" t="s">
        <v>67</v>
      </c>
      <c r="AC185" s="9" t="s">
        <v>648</v>
      </c>
      <c r="AD185" s="11">
        <v>1</v>
      </c>
      <c r="AE185" s="9" t="s">
        <v>70</v>
      </c>
      <c r="AF185" s="9" t="s">
        <v>71</v>
      </c>
      <c r="AG185" s="13">
        <v>1</v>
      </c>
      <c r="AH185" s="9" t="s">
        <v>92</v>
      </c>
      <c r="AI185" s="13">
        <v>3188000</v>
      </c>
      <c r="AJ185" s="13">
        <v>3188000</v>
      </c>
      <c r="AK185" s="11">
        <v>0</v>
      </c>
      <c r="AL185" s="11">
        <v>0</v>
      </c>
      <c r="AM185" s="11">
        <v>0</v>
      </c>
      <c r="AN185" s="9" t="s">
        <v>67</v>
      </c>
      <c r="AO185" s="11">
        <v>3188000</v>
      </c>
      <c r="AP185" s="13">
        <v>255040</v>
      </c>
      <c r="AQ185" s="13">
        <v>3443040</v>
      </c>
      <c r="AR185" s="11">
        <v>20</v>
      </c>
      <c r="AS185" s="9" t="s">
        <v>72</v>
      </c>
      <c r="AT185" s="12">
        <v>19.231000000000002</v>
      </c>
      <c r="AU185" s="9" t="s">
        <v>73</v>
      </c>
      <c r="AV185" s="9" t="s">
        <v>67</v>
      </c>
      <c r="AW185" s="9" t="s">
        <v>1109</v>
      </c>
      <c r="AX185" s="10">
        <v>45985</v>
      </c>
      <c r="AY185" s="9" t="s">
        <v>1110</v>
      </c>
      <c r="AZ185" s="9" t="s">
        <v>67</v>
      </c>
      <c r="BA185" s="9" t="s">
        <v>67</v>
      </c>
      <c r="BB185" s="12">
        <v>20</v>
      </c>
      <c r="BC185" s="9" t="s">
        <v>74</v>
      </c>
      <c r="BD185" s="9" t="s">
        <v>104</v>
      </c>
      <c r="BE185" s="9" t="s">
        <v>75</v>
      </c>
      <c r="BF185" s="11">
        <v>0</v>
      </c>
      <c r="BG185">
        <f t="shared" si="6"/>
        <v>12</v>
      </c>
      <c r="BH185" t="str">
        <f>VLOOKUP(BG185,[1]month!$A:$B,2,0)</f>
        <v>Desember</v>
      </c>
      <c r="BI185">
        <f t="shared" si="7"/>
        <v>2025</v>
      </c>
      <c r="BJ185" t="str">
        <f>VLOOKUP(I185,[1]Dist!$A:$B,2,0)</f>
        <v>Industry</v>
      </c>
      <c r="BK185" t="str">
        <f>IF(I185=11,VLOOKUP(Y185,[2]Sheet1!$C:$N,10,0),IF(I185=13,VLOOKUP(Y185,[3]Sheet1!$C:$N,10,0),IF(I185=15,VLOOKUP(Y185,[4]Sheet1!$C:$N,10,0),"Unknown")))</f>
        <v>WATERBASED</v>
      </c>
      <c r="BL185" t="str">
        <f>IF(I185=11,VLOOKUP(Y185,[2]Sheet1!$C:$N,12,0),IF(I185=13,VLOOKUP(Y185,[3]Sheet1!$C:$N,12,0),IF(I185=15,VLOOKUP(Y185,[4]Sheet1!$C:$N,12,0),"Unknown")))</f>
        <v>WATERBASED SYSTEM INTERIOR</v>
      </c>
      <c r="BM185" t="str">
        <f>VLOOKUP(W185,[1]branch!$A:$B,2,0)</f>
        <v>INDUSTRY</v>
      </c>
    </row>
    <row r="186" spans="1:65" x14ac:dyDescent="0.35">
      <c r="A186" s="10">
        <v>45993</v>
      </c>
      <c r="B186" s="9" t="s">
        <v>1108</v>
      </c>
      <c r="C186" s="9" t="s">
        <v>64</v>
      </c>
      <c r="D186" s="9" t="s">
        <v>92</v>
      </c>
      <c r="E186" s="11">
        <v>60</v>
      </c>
      <c r="F186" s="9" t="s">
        <v>93</v>
      </c>
      <c r="G186" s="9" t="s">
        <v>65</v>
      </c>
      <c r="H186" s="9" t="s">
        <v>66</v>
      </c>
      <c r="I186" s="9">
        <v>11</v>
      </c>
      <c r="J186" s="9" t="s">
        <v>571</v>
      </c>
      <c r="K186" s="9" t="s">
        <v>571</v>
      </c>
      <c r="L186" s="9" t="s">
        <v>571</v>
      </c>
      <c r="M186" s="9" t="s">
        <v>572</v>
      </c>
      <c r="N186" s="9" t="s">
        <v>301</v>
      </c>
      <c r="O186" s="9" t="s">
        <v>97</v>
      </c>
      <c r="P186" s="9" t="s">
        <v>67</v>
      </c>
      <c r="Q186" s="9" t="s">
        <v>98</v>
      </c>
      <c r="R186" s="9" t="s">
        <v>776</v>
      </c>
      <c r="S186" s="9" t="s">
        <v>572</v>
      </c>
      <c r="T186" s="9" t="s">
        <v>777</v>
      </c>
      <c r="U186" s="9" t="s">
        <v>67</v>
      </c>
      <c r="V186" s="9" t="s">
        <v>130</v>
      </c>
      <c r="W186" s="9" t="s">
        <v>131</v>
      </c>
      <c r="X186" s="11">
        <v>20</v>
      </c>
      <c r="Y186" s="9" t="s">
        <v>740</v>
      </c>
      <c r="Z186" s="9" t="s">
        <v>68</v>
      </c>
      <c r="AA186" s="9" t="s">
        <v>741</v>
      </c>
      <c r="AB186" s="9" t="s">
        <v>67</v>
      </c>
      <c r="AC186" s="9" t="s">
        <v>649</v>
      </c>
      <c r="AD186" s="11">
        <v>2</v>
      </c>
      <c r="AE186" s="9" t="s">
        <v>70</v>
      </c>
      <c r="AF186" s="9" t="s">
        <v>71</v>
      </c>
      <c r="AG186" s="13">
        <v>1</v>
      </c>
      <c r="AH186" s="9" t="s">
        <v>92</v>
      </c>
      <c r="AI186" s="13">
        <v>1774000</v>
      </c>
      <c r="AJ186" s="13">
        <v>3548000</v>
      </c>
      <c r="AK186" s="11">
        <v>0</v>
      </c>
      <c r="AL186" s="11">
        <v>0</v>
      </c>
      <c r="AM186" s="11">
        <v>0</v>
      </c>
      <c r="AN186" s="9" t="s">
        <v>67</v>
      </c>
      <c r="AO186" s="11">
        <v>3548000</v>
      </c>
      <c r="AP186" s="13">
        <v>283840</v>
      </c>
      <c r="AQ186" s="13">
        <v>3831840</v>
      </c>
      <c r="AR186" s="11">
        <v>40</v>
      </c>
      <c r="AS186" s="9" t="s">
        <v>72</v>
      </c>
      <c r="AT186" s="12">
        <v>31.745999999999999</v>
      </c>
      <c r="AU186" s="9" t="s">
        <v>73</v>
      </c>
      <c r="AV186" s="9" t="s">
        <v>67</v>
      </c>
      <c r="AW186" s="9" t="s">
        <v>1109</v>
      </c>
      <c r="AX186" s="10">
        <v>45985</v>
      </c>
      <c r="AY186" s="9" t="s">
        <v>1110</v>
      </c>
      <c r="AZ186" s="9" t="s">
        <v>67</v>
      </c>
      <c r="BA186" s="9" t="s">
        <v>67</v>
      </c>
      <c r="BB186" s="12">
        <v>40</v>
      </c>
      <c r="BC186" s="9" t="s">
        <v>74</v>
      </c>
      <c r="BD186" s="9" t="s">
        <v>104</v>
      </c>
      <c r="BE186" s="9" t="s">
        <v>75</v>
      </c>
      <c r="BF186" s="11">
        <v>0</v>
      </c>
      <c r="BG186">
        <f t="shared" si="6"/>
        <v>12</v>
      </c>
      <c r="BH186" t="str">
        <f>VLOOKUP(BG186,[1]month!$A:$B,2,0)</f>
        <v>Desember</v>
      </c>
      <c r="BI186">
        <f t="shared" si="7"/>
        <v>2025</v>
      </c>
      <c r="BJ186" t="str">
        <f>VLOOKUP(I186,[1]Dist!$A:$B,2,0)</f>
        <v>Industry</v>
      </c>
      <c r="BK186" t="str">
        <f>IF(I186=11,VLOOKUP(Y186,[2]Sheet1!$C:$N,10,0),IF(I186=13,VLOOKUP(Y186,[3]Sheet1!$C:$N,10,0),IF(I186=15,VLOOKUP(Y186,[4]Sheet1!$C:$N,10,0),"Unknown")))</f>
        <v>WATERBASED</v>
      </c>
      <c r="BL186" t="str">
        <f>IF(I186=11,VLOOKUP(Y186,[2]Sheet1!$C:$N,12,0),IF(I186=13,VLOOKUP(Y186,[3]Sheet1!$C:$N,12,0),IF(I186=15,VLOOKUP(Y186,[4]Sheet1!$C:$N,12,0),"Unknown")))</f>
        <v>WATERBASED SYSTEM INTERIOR</v>
      </c>
      <c r="BM186" t="str">
        <f>VLOOKUP(W186,[1]branch!$A:$B,2,0)</f>
        <v>INDUSTRY</v>
      </c>
    </row>
    <row r="187" spans="1:65" x14ac:dyDescent="0.35">
      <c r="A187" s="10">
        <v>45993</v>
      </c>
      <c r="B187" s="9" t="s">
        <v>1111</v>
      </c>
      <c r="C187" s="9" t="s">
        <v>64</v>
      </c>
      <c r="D187" s="9" t="s">
        <v>92</v>
      </c>
      <c r="E187" s="11">
        <v>60</v>
      </c>
      <c r="F187" s="9" t="s">
        <v>93</v>
      </c>
      <c r="G187" s="9" t="s">
        <v>65</v>
      </c>
      <c r="H187" s="9" t="s">
        <v>66</v>
      </c>
      <c r="I187" s="9">
        <v>11</v>
      </c>
      <c r="J187" s="9" t="s">
        <v>571</v>
      </c>
      <c r="K187" s="9" t="s">
        <v>571</v>
      </c>
      <c r="L187" s="9" t="s">
        <v>571</v>
      </c>
      <c r="M187" s="9" t="s">
        <v>572</v>
      </c>
      <c r="N187" s="9" t="s">
        <v>301</v>
      </c>
      <c r="O187" s="9" t="s">
        <v>97</v>
      </c>
      <c r="P187" s="9" t="s">
        <v>67</v>
      </c>
      <c r="Q187" s="9" t="s">
        <v>98</v>
      </c>
      <c r="R187" s="9" t="s">
        <v>776</v>
      </c>
      <c r="S187" s="9" t="s">
        <v>572</v>
      </c>
      <c r="T187" s="9" t="s">
        <v>777</v>
      </c>
      <c r="U187" s="9" t="s">
        <v>67</v>
      </c>
      <c r="V187" s="9" t="s">
        <v>130</v>
      </c>
      <c r="W187" s="9" t="s">
        <v>131</v>
      </c>
      <c r="X187" s="11">
        <v>10</v>
      </c>
      <c r="Y187" s="9" t="s">
        <v>738</v>
      </c>
      <c r="Z187" s="9" t="s">
        <v>68</v>
      </c>
      <c r="AA187" s="9" t="s">
        <v>739</v>
      </c>
      <c r="AB187" s="9" t="s">
        <v>67</v>
      </c>
      <c r="AC187" s="9" t="s">
        <v>649</v>
      </c>
      <c r="AD187" s="11">
        <v>1</v>
      </c>
      <c r="AE187" s="9" t="s">
        <v>70</v>
      </c>
      <c r="AF187" s="9" t="s">
        <v>71</v>
      </c>
      <c r="AG187" s="13">
        <v>1</v>
      </c>
      <c r="AH187" s="9" t="s">
        <v>92</v>
      </c>
      <c r="AI187" s="13">
        <v>2068000</v>
      </c>
      <c r="AJ187" s="13">
        <v>2068000</v>
      </c>
      <c r="AK187" s="11">
        <v>0</v>
      </c>
      <c r="AL187" s="11">
        <v>0</v>
      </c>
      <c r="AM187" s="11">
        <v>0</v>
      </c>
      <c r="AN187" s="9" t="s">
        <v>67</v>
      </c>
      <c r="AO187" s="11">
        <v>2068000</v>
      </c>
      <c r="AP187" s="13">
        <v>165440</v>
      </c>
      <c r="AQ187" s="13">
        <v>2233440</v>
      </c>
      <c r="AR187" s="11">
        <v>20</v>
      </c>
      <c r="AS187" s="9" t="s">
        <v>72</v>
      </c>
      <c r="AT187" s="12">
        <v>14.925000000000001</v>
      </c>
      <c r="AU187" s="9" t="s">
        <v>73</v>
      </c>
      <c r="AV187" s="9" t="s">
        <v>67</v>
      </c>
      <c r="AW187" s="9" t="s">
        <v>1112</v>
      </c>
      <c r="AX187" s="10">
        <v>45989</v>
      </c>
      <c r="AY187" s="9" t="s">
        <v>1113</v>
      </c>
      <c r="AZ187" s="9" t="s">
        <v>67</v>
      </c>
      <c r="BA187" s="9" t="s">
        <v>67</v>
      </c>
      <c r="BB187" s="12">
        <v>20</v>
      </c>
      <c r="BC187" s="9" t="s">
        <v>74</v>
      </c>
      <c r="BD187" s="9" t="s">
        <v>104</v>
      </c>
      <c r="BE187" s="9" t="s">
        <v>75</v>
      </c>
      <c r="BF187" s="11">
        <v>0</v>
      </c>
      <c r="BG187">
        <f t="shared" si="6"/>
        <v>12</v>
      </c>
      <c r="BH187" t="str">
        <f>VLOOKUP(BG187,[1]month!$A:$B,2,0)</f>
        <v>Desember</v>
      </c>
      <c r="BI187">
        <f t="shared" si="7"/>
        <v>2025</v>
      </c>
      <c r="BJ187" t="str">
        <f>VLOOKUP(I187,[1]Dist!$A:$B,2,0)</f>
        <v>Industry</v>
      </c>
      <c r="BK187" t="str">
        <f>IF(I187=11,VLOOKUP(Y187,[2]Sheet1!$C:$N,10,0),IF(I187=13,VLOOKUP(Y187,[3]Sheet1!$C:$N,10,0),IF(I187=15,VLOOKUP(Y187,[4]Sheet1!$C:$N,10,0),"Unknown")))</f>
        <v>WATERBASED</v>
      </c>
      <c r="BL187" t="str">
        <f>IF(I187=11,VLOOKUP(Y187,[2]Sheet1!$C:$N,12,0),IF(I187=13,VLOOKUP(Y187,[3]Sheet1!$C:$N,12,0),IF(I187=15,VLOOKUP(Y187,[4]Sheet1!$C:$N,12,0),"Unknown")))</f>
        <v>WATERBASED SYSTEM INTERIOR</v>
      </c>
      <c r="BM187" t="str">
        <f>VLOOKUP(W187,[1]branch!$A:$B,2,0)</f>
        <v>INDUSTRY</v>
      </c>
    </row>
    <row r="188" spans="1:65" x14ac:dyDescent="0.35">
      <c r="A188" s="10">
        <v>45993</v>
      </c>
      <c r="B188" s="9" t="s">
        <v>1111</v>
      </c>
      <c r="C188" s="9" t="s">
        <v>64</v>
      </c>
      <c r="D188" s="9" t="s">
        <v>92</v>
      </c>
      <c r="E188" s="11">
        <v>60</v>
      </c>
      <c r="F188" s="9" t="s">
        <v>93</v>
      </c>
      <c r="G188" s="9" t="s">
        <v>65</v>
      </c>
      <c r="H188" s="9" t="s">
        <v>66</v>
      </c>
      <c r="I188" s="9">
        <v>11</v>
      </c>
      <c r="J188" s="9" t="s">
        <v>571</v>
      </c>
      <c r="K188" s="9" t="s">
        <v>571</v>
      </c>
      <c r="L188" s="9" t="s">
        <v>571</v>
      </c>
      <c r="M188" s="9" t="s">
        <v>572</v>
      </c>
      <c r="N188" s="9" t="s">
        <v>301</v>
      </c>
      <c r="O188" s="9" t="s">
        <v>97</v>
      </c>
      <c r="P188" s="9" t="s">
        <v>67</v>
      </c>
      <c r="Q188" s="9" t="s">
        <v>98</v>
      </c>
      <c r="R188" s="9" t="s">
        <v>776</v>
      </c>
      <c r="S188" s="9" t="s">
        <v>572</v>
      </c>
      <c r="T188" s="9" t="s">
        <v>777</v>
      </c>
      <c r="U188" s="9" t="s">
        <v>67</v>
      </c>
      <c r="V188" s="9" t="s">
        <v>130</v>
      </c>
      <c r="W188" s="9" t="s">
        <v>131</v>
      </c>
      <c r="X188" s="11">
        <v>20</v>
      </c>
      <c r="Y188" s="9" t="s">
        <v>740</v>
      </c>
      <c r="Z188" s="9" t="s">
        <v>68</v>
      </c>
      <c r="AA188" s="9" t="s">
        <v>741</v>
      </c>
      <c r="AB188" s="9" t="s">
        <v>67</v>
      </c>
      <c r="AC188" s="9" t="s">
        <v>649</v>
      </c>
      <c r="AD188" s="11">
        <v>1</v>
      </c>
      <c r="AE188" s="9" t="s">
        <v>70</v>
      </c>
      <c r="AF188" s="9" t="s">
        <v>71</v>
      </c>
      <c r="AG188" s="13">
        <v>1</v>
      </c>
      <c r="AH188" s="9" t="s">
        <v>92</v>
      </c>
      <c r="AI188" s="13">
        <v>1774000</v>
      </c>
      <c r="AJ188" s="13">
        <v>1774000</v>
      </c>
      <c r="AK188" s="11">
        <v>0</v>
      </c>
      <c r="AL188" s="11">
        <v>0</v>
      </c>
      <c r="AM188" s="11">
        <v>0</v>
      </c>
      <c r="AN188" s="9" t="s">
        <v>67</v>
      </c>
      <c r="AO188" s="11">
        <v>1774000</v>
      </c>
      <c r="AP188" s="13">
        <v>141920</v>
      </c>
      <c r="AQ188" s="13">
        <v>1915920</v>
      </c>
      <c r="AR188" s="11">
        <v>20</v>
      </c>
      <c r="AS188" s="9" t="s">
        <v>72</v>
      </c>
      <c r="AT188" s="12">
        <v>15.872999999999999</v>
      </c>
      <c r="AU188" s="9" t="s">
        <v>73</v>
      </c>
      <c r="AV188" s="9" t="s">
        <v>67</v>
      </c>
      <c r="AW188" s="9" t="s">
        <v>1112</v>
      </c>
      <c r="AX188" s="10">
        <v>45989</v>
      </c>
      <c r="AY188" s="9" t="s">
        <v>1113</v>
      </c>
      <c r="AZ188" s="9" t="s">
        <v>67</v>
      </c>
      <c r="BA188" s="9" t="s">
        <v>67</v>
      </c>
      <c r="BB188" s="12">
        <v>20</v>
      </c>
      <c r="BC188" s="9" t="s">
        <v>74</v>
      </c>
      <c r="BD188" s="9" t="s">
        <v>104</v>
      </c>
      <c r="BE188" s="9" t="s">
        <v>75</v>
      </c>
      <c r="BF188" s="11">
        <v>0</v>
      </c>
      <c r="BG188">
        <f t="shared" si="6"/>
        <v>12</v>
      </c>
      <c r="BH188" t="str">
        <f>VLOOKUP(BG188,[1]month!$A:$B,2,0)</f>
        <v>Desember</v>
      </c>
      <c r="BI188">
        <f t="shared" si="7"/>
        <v>2025</v>
      </c>
      <c r="BJ188" t="str">
        <f>VLOOKUP(I188,[1]Dist!$A:$B,2,0)</f>
        <v>Industry</v>
      </c>
      <c r="BK188" t="str">
        <f>IF(I188=11,VLOOKUP(Y188,[2]Sheet1!$C:$N,10,0),IF(I188=13,VLOOKUP(Y188,[3]Sheet1!$C:$N,10,0),IF(I188=15,VLOOKUP(Y188,[4]Sheet1!$C:$N,10,0),"Unknown")))</f>
        <v>WATERBASED</v>
      </c>
      <c r="BL188" t="str">
        <f>IF(I188=11,VLOOKUP(Y188,[2]Sheet1!$C:$N,12,0),IF(I188=13,VLOOKUP(Y188,[3]Sheet1!$C:$N,12,0),IF(I188=15,VLOOKUP(Y188,[4]Sheet1!$C:$N,12,0),"Unknown")))</f>
        <v>WATERBASED SYSTEM INTERIOR</v>
      </c>
      <c r="BM188" t="str">
        <f>VLOOKUP(W188,[1]branch!$A:$B,2,0)</f>
        <v>INDUSTRY</v>
      </c>
    </row>
    <row r="189" spans="1:65" x14ac:dyDescent="0.35">
      <c r="A189" s="10">
        <v>45993</v>
      </c>
      <c r="B189" s="9" t="s">
        <v>1114</v>
      </c>
      <c r="C189" s="9" t="s">
        <v>64</v>
      </c>
      <c r="D189" s="9" t="s">
        <v>92</v>
      </c>
      <c r="E189" s="11">
        <v>60</v>
      </c>
      <c r="F189" s="9" t="s">
        <v>93</v>
      </c>
      <c r="G189" s="9" t="s">
        <v>65</v>
      </c>
      <c r="H189" s="9" t="s">
        <v>66</v>
      </c>
      <c r="I189" s="9">
        <v>13</v>
      </c>
      <c r="J189" s="9" t="s">
        <v>309</v>
      </c>
      <c r="K189" s="9" t="s">
        <v>309</v>
      </c>
      <c r="L189" s="9" t="s">
        <v>309</v>
      </c>
      <c r="M189" s="9" t="s">
        <v>310</v>
      </c>
      <c r="N189" s="9" t="s">
        <v>869</v>
      </c>
      <c r="O189" s="9" t="s">
        <v>150</v>
      </c>
      <c r="P189" s="9" t="s">
        <v>67</v>
      </c>
      <c r="Q189" s="9" t="s">
        <v>98</v>
      </c>
      <c r="R189" s="9" t="s">
        <v>309</v>
      </c>
      <c r="S189" s="9" t="s">
        <v>310</v>
      </c>
      <c r="T189" s="9" t="s">
        <v>798</v>
      </c>
      <c r="U189" s="9" t="s">
        <v>67</v>
      </c>
      <c r="V189" s="9" t="s">
        <v>311</v>
      </c>
      <c r="W189" s="9" t="s">
        <v>312</v>
      </c>
      <c r="X189" s="11">
        <v>10</v>
      </c>
      <c r="Y189" s="9" t="s">
        <v>159</v>
      </c>
      <c r="Z189" s="9" t="s">
        <v>68</v>
      </c>
      <c r="AA189" s="9" t="s">
        <v>160</v>
      </c>
      <c r="AB189" s="9" t="s">
        <v>67</v>
      </c>
      <c r="AC189" s="9" t="s">
        <v>161</v>
      </c>
      <c r="AD189" s="11">
        <v>10</v>
      </c>
      <c r="AE189" s="9" t="s">
        <v>70</v>
      </c>
      <c r="AF189" s="9" t="s">
        <v>71</v>
      </c>
      <c r="AG189" s="13">
        <v>1</v>
      </c>
      <c r="AH189" s="9" t="s">
        <v>92</v>
      </c>
      <c r="AI189" s="13">
        <v>944545</v>
      </c>
      <c r="AJ189" s="13">
        <v>9445450</v>
      </c>
      <c r="AK189" s="11">
        <v>0</v>
      </c>
      <c r="AL189" s="11">
        <v>0</v>
      </c>
      <c r="AM189" s="11">
        <v>0</v>
      </c>
      <c r="AN189" s="9" t="s">
        <v>67</v>
      </c>
      <c r="AO189" s="11">
        <v>9445450</v>
      </c>
      <c r="AP189" s="13">
        <v>755636</v>
      </c>
      <c r="AQ189" s="13">
        <v>10201086</v>
      </c>
      <c r="AR189" s="11">
        <v>176</v>
      </c>
      <c r="AS189" s="9" t="s">
        <v>72</v>
      </c>
      <c r="AT189" s="11">
        <v>200</v>
      </c>
      <c r="AU189" s="9" t="s">
        <v>73</v>
      </c>
      <c r="AV189" s="9" t="s">
        <v>67</v>
      </c>
      <c r="AW189" s="9" t="s">
        <v>1115</v>
      </c>
      <c r="AX189" s="10">
        <v>45992</v>
      </c>
      <c r="AY189" s="9" t="s">
        <v>1116</v>
      </c>
      <c r="AZ189" s="9" t="s">
        <v>67</v>
      </c>
      <c r="BA189" s="9" t="s">
        <v>67</v>
      </c>
      <c r="BB189" s="12">
        <v>200</v>
      </c>
      <c r="BC189" s="9" t="s">
        <v>74</v>
      </c>
      <c r="BD189" s="9" t="s">
        <v>104</v>
      </c>
      <c r="BE189" s="9" t="s">
        <v>75</v>
      </c>
      <c r="BF189" s="11">
        <v>0</v>
      </c>
      <c r="BG189">
        <f t="shared" si="6"/>
        <v>12</v>
      </c>
      <c r="BH189" t="str">
        <f>VLOOKUP(BG189,[1]month!$A:$B,2,0)</f>
        <v>Desember</v>
      </c>
      <c r="BI189">
        <f t="shared" si="7"/>
        <v>2025</v>
      </c>
      <c r="BJ189" t="str">
        <f>VLOOKUP(I189,[1]Dist!$A:$B,2,0)</f>
        <v>Retail</v>
      </c>
      <c r="BK189" t="str">
        <f>IF(I189=11,VLOOKUP(Y189,[2]Sheet1!$C:$N,10,0),IF(I189=13,VLOOKUP(Y189,[3]Sheet1!$C:$N,10,0),IF(I189=15,VLOOKUP(Y189,[4]Sheet1!$C:$N,10,0),"Unknown")))</f>
        <v>THINNER PU</v>
      </c>
      <c r="BL189" t="str">
        <f>IF(I189=11,VLOOKUP(Y189,[2]Sheet1!$C:$N,12,0),IF(I189=13,VLOOKUP(Y189,[3]Sheet1!$C:$N,12,0),IF(I189=15,VLOOKUP(Y189,[4]Sheet1!$C:$N,12,0),"Unknown")))</f>
        <v>THINNER PU R</v>
      </c>
      <c r="BM189" t="str">
        <f>VLOOKUP(W189,[1]branch!$A:$B,2,0)</f>
        <v>DANANG</v>
      </c>
    </row>
    <row r="190" spans="1:65" x14ac:dyDescent="0.35">
      <c r="A190" s="10">
        <v>45993</v>
      </c>
      <c r="B190" s="9" t="s">
        <v>1117</v>
      </c>
      <c r="C190" s="9" t="s">
        <v>64</v>
      </c>
      <c r="D190" s="9" t="s">
        <v>92</v>
      </c>
      <c r="E190" s="11">
        <v>60</v>
      </c>
      <c r="F190" s="9" t="s">
        <v>93</v>
      </c>
      <c r="G190" s="9" t="s">
        <v>65</v>
      </c>
      <c r="H190" s="9" t="s">
        <v>66</v>
      </c>
      <c r="I190" s="9">
        <v>13</v>
      </c>
      <c r="J190" s="9" t="s">
        <v>332</v>
      </c>
      <c r="K190" s="9" t="s">
        <v>332</v>
      </c>
      <c r="L190" s="9" t="s">
        <v>332</v>
      </c>
      <c r="M190" s="9" t="s">
        <v>333</v>
      </c>
      <c r="N190" s="9" t="s">
        <v>880</v>
      </c>
      <c r="O190" s="9" t="s">
        <v>150</v>
      </c>
      <c r="P190" s="9" t="s">
        <v>67</v>
      </c>
      <c r="Q190" s="9" t="s">
        <v>98</v>
      </c>
      <c r="R190" s="9" t="s">
        <v>332</v>
      </c>
      <c r="S190" s="9" t="s">
        <v>333</v>
      </c>
      <c r="T190" s="9" t="s">
        <v>822</v>
      </c>
      <c r="U190" s="9" t="s">
        <v>67</v>
      </c>
      <c r="V190" s="9" t="s">
        <v>266</v>
      </c>
      <c r="W190" s="9" t="s">
        <v>267</v>
      </c>
      <c r="X190" s="11">
        <v>10</v>
      </c>
      <c r="Y190" s="9" t="s">
        <v>694</v>
      </c>
      <c r="Z190" s="9" t="s">
        <v>76</v>
      </c>
      <c r="AA190" s="9" t="s">
        <v>695</v>
      </c>
      <c r="AB190" s="9" t="s">
        <v>67</v>
      </c>
      <c r="AC190" s="9" t="s">
        <v>692</v>
      </c>
      <c r="AD190" s="11">
        <v>1</v>
      </c>
      <c r="AE190" s="9" t="s">
        <v>156</v>
      </c>
      <c r="AF190" s="9" t="s">
        <v>71</v>
      </c>
      <c r="AG190" s="13">
        <v>1</v>
      </c>
      <c r="AH190" s="9" t="s">
        <v>92</v>
      </c>
      <c r="AI190" s="13">
        <v>934545</v>
      </c>
      <c r="AJ190" s="13">
        <v>934545</v>
      </c>
      <c r="AK190" s="11">
        <v>164013</v>
      </c>
      <c r="AL190" s="11">
        <v>0</v>
      </c>
      <c r="AM190" s="11">
        <v>0</v>
      </c>
      <c r="AN190" s="9" t="s">
        <v>157</v>
      </c>
      <c r="AO190" s="11">
        <v>770532</v>
      </c>
      <c r="AP190" s="13">
        <v>61643</v>
      </c>
      <c r="AQ190" s="13">
        <v>832175</v>
      </c>
      <c r="AR190" s="12">
        <v>4.8</v>
      </c>
      <c r="AS190" s="9" t="s">
        <v>72</v>
      </c>
      <c r="AT190" s="11">
        <v>5</v>
      </c>
      <c r="AU190" s="9" t="s">
        <v>73</v>
      </c>
      <c r="AV190" s="9" t="s">
        <v>67</v>
      </c>
      <c r="AW190" s="9" t="s">
        <v>1118</v>
      </c>
      <c r="AX190" s="10">
        <v>45992</v>
      </c>
      <c r="AY190" s="9" t="s">
        <v>1119</v>
      </c>
      <c r="AZ190" s="9" t="s">
        <v>67</v>
      </c>
      <c r="BA190" s="9" t="s">
        <v>67</v>
      </c>
      <c r="BB190" s="12">
        <v>5</v>
      </c>
      <c r="BC190" s="9" t="s">
        <v>74</v>
      </c>
      <c r="BD190" s="9" t="s">
        <v>104</v>
      </c>
      <c r="BE190" s="9" t="s">
        <v>75</v>
      </c>
      <c r="BF190" s="11">
        <v>0</v>
      </c>
      <c r="BG190">
        <f t="shared" si="6"/>
        <v>12</v>
      </c>
      <c r="BH190" t="str">
        <f>VLOOKUP(BG190,[1]month!$A:$B,2,0)</f>
        <v>Desember</v>
      </c>
      <c r="BI190">
        <f t="shared" si="7"/>
        <v>2025</v>
      </c>
      <c r="BJ190" t="str">
        <f>VLOOKUP(I190,[1]Dist!$A:$B,2,0)</f>
        <v>Retail</v>
      </c>
      <c r="BK190" t="str">
        <f>IF(I190=11,VLOOKUP(Y190,[2]Sheet1!$C:$N,10,0),IF(I190=13,VLOOKUP(Y190,[3]Sheet1!$C:$N,10,0),IF(I190=15,VLOOKUP(Y190,[4]Sheet1!$C:$N,10,0),"Unknown")))</f>
        <v>PU MULTIPURPOSE</v>
      </c>
      <c r="BL190" t="str">
        <f>IF(I190=11,VLOOKUP(Y190,[2]Sheet1!$C:$N,12,0),IF(I190=13,VLOOKUP(Y190,[3]Sheet1!$C:$N,12,0),IF(I190=15,VLOOKUP(Y190,[4]Sheet1!$C:$N,12,0),"Unknown")))</f>
        <v>PROPAN MP PU ACR RMX</v>
      </c>
      <c r="BM190" t="str">
        <f>VLOOKUP(W190,[1]branch!$A:$B,2,0)</f>
        <v>HO CHI MINH</v>
      </c>
    </row>
    <row r="191" spans="1:65" x14ac:dyDescent="0.35">
      <c r="A191" s="10">
        <v>45993</v>
      </c>
      <c r="B191" s="9" t="s">
        <v>1117</v>
      </c>
      <c r="C191" s="9" t="s">
        <v>64</v>
      </c>
      <c r="D191" s="9" t="s">
        <v>92</v>
      </c>
      <c r="E191" s="11">
        <v>60</v>
      </c>
      <c r="F191" s="9" t="s">
        <v>93</v>
      </c>
      <c r="G191" s="9" t="s">
        <v>65</v>
      </c>
      <c r="H191" s="9" t="s">
        <v>66</v>
      </c>
      <c r="I191" s="9">
        <v>13</v>
      </c>
      <c r="J191" s="9" t="s">
        <v>332</v>
      </c>
      <c r="K191" s="9" t="s">
        <v>332</v>
      </c>
      <c r="L191" s="9" t="s">
        <v>332</v>
      </c>
      <c r="M191" s="9" t="s">
        <v>333</v>
      </c>
      <c r="N191" s="9" t="s">
        <v>880</v>
      </c>
      <c r="O191" s="9" t="s">
        <v>150</v>
      </c>
      <c r="P191" s="9" t="s">
        <v>67</v>
      </c>
      <c r="Q191" s="9" t="s">
        <v>98</v>
      </c>
      <c r="R191" s="9" t="s">
        <v>332</v>
      </c>
      <c r="S191" s="9" t="s">
        <v>333</v>
      </c>
      <c r="T191" s="9" t="s">
        <v>822</v>
      </c>
      <c r="U191" s="9" t="s">
        <v>67</v>
      </c>
      <c r="V191" s="9" t="s">
        <v>266</v>
      </c>
      <c r="W191" s="9" t="s">
        <v>267</v>
      </c>
      <c r="X191" s="11">
        <v>20</v>
      </c>
      <c r="Y191" s="9" t="s">
        <v>481</v>
      </c>
      <c r="Z191" s="9" t="s">
        <v>68</v>
      </c>
      <c r="AA191" s="9" t="s">
        <v>482</v>
      </c>
      <c r="AB191" s="9" t="s">
        <v>67</v>
      </c>
      <c r="AC191" s="9" t="s">
        <v>155</v>
      </c>
      <c r="AD191" s="11">
        <v>24</v>
      </c>
      <c r="AE191" s="9" t="s">
        <v>156</v>
      </c>
      <c r="AF191" s="9" t="s">
        <v>71</v>
      </c>
      <c r="AG191" s="13">
        <v>1</v>
      </c>
      <c r="AH191" s="9" t="s">
        <v>92</v>
      </c>
      <c r="AI191" s="13">
        <v>200000</v>
      </c>
      <c r="AJ191" s="13">
        <v>4800000</v>
      </c>
      <c r="AK191" s="11">
        <v>842400</v>
      </c>
      <c r="AL191" s="11">
        <v>0</v>
      </c>
      <c r="AM191" s="11">
        <v>0</v>
      </c>
      <c r="AN191" s="9" t="s">
        <v>157</v>
      </c>
      <c r="AO191" s="11">
        <v>3957600</v>
      </c>
      <c r="AP191" s="13">
        <v>316608</v>
      </c>
      <c r="AQ191" s="13">
        <v>4274208</v>
      </c>
      <c r="AR191" s="11">
        <v>24</v>
      </c>
      <c r="AS191" s="9" t="s">
        <v>72</v>
      </c>
      <c r="AT191" s="12">
        <v>21.36</v>
      </c>
      <c r="AU191" s="9" t="s">
        <v>73</v>
      </c>
      <c r="AV191" s="9" t="s">
        <v>67</v>
      </c>
      <c r="AW191" s="9" t="s">
        <v>1118</v>
      </c>
      <c r="AX191" s="10">
        <v>45992</v>
      </c>
      <c r="AY191" s="9" t="s">
        <v>1119</v>
      </c>
      <c r="AZ191" s="9" t="s">
        <v>67</v>
      </c>
      <c r="BA191" s="9" t="s">
        <v>67</v>
      </c>
      <c r="BB191" s="12">
        <v>24</v>
      </c>
      <c r="BC191" s="9" t="s">
        <v>74</v>
      </c>
      <c r="BD191" s="9" t="s">
        <v>104</v>
      </c>
      <c r="BE191" s="9" t="s">
        <v>75</v>
      </c>
      <c r="BF191" s="11">
        <v>0</v>
      </c>
      <c r="BG191">
        <f t="shared" si="6"/>
        <v>12</v>
      </c>
      <c r="BH191" t="str">
        <f>VLOOKUP(BG191,[1]month!$A:$B,2,0)</f>
        <v>Desember</v>
      </c>
      <c r="BI191">
        <f t="shared" si="7"/>
        <v>2025</v>
      </c>
      <c r="BJ191" t="str">
        <f>VLOOKUP(I191,[1]Dist!$A:$B,2,0)</f>
        <v>Retail</v>
      </c>
      <c r="BK191" t="str">
        <f>IF(I191=11,VLOOKUP(Y191,[2]Sheet1!$C:$N,10,0),IF(I191=13,VLOOKUP(Y191,[3]Sheet1!$C:$N,10,0),IF(I191=15,VLOOKUP(Y191,[4]Sheet1!$C:$N,10,0),"Unknown")))</f>
        <v>PU MULTIPURPOSE</v>
      </c>
      <c r="BL191" t="str">
        <f>IF(I191=11,VLOOKUP(Y191,[2]Sheet1!$C:$N,12,0),IF(I191=13,VLOOKUP(Y191,[3]Sheet1!$C:$N,12,0),IF(I191=15,VLOOKUP(Y191,[4]Sheet1!$C:$N,12,0),"Unknown")))</f>
        <v>PROPAN MP PU ACR RMX</v>
      </c>
      <c r="BM191" t="str">
        <f>VLOOKUP(W191,[1]branch!$A:$B,2,0)</f>
        <v>HO CHI MINH</v>
      </c>
    </row>
    <row r="192" spans="1:65" x14ac:dyDescent="0.35">
      <c r="A192" s="10">
        <v>45993</v>
      </c>
      <c r="B192" s="9" t="s">
        <v>1117</v>
      </c>
      <c r="C192" s="9" t="s">
        <v>64</v>
      </c>
      <c r="D192" s="9" t="s">
        <v>92</v>
      </c>
      <c r="E192" s="11">
        <v>60</v>
      </c>
      <c r="F192" s="9" t="s">
        <v>93</v>
      </c>
      <c r="G192" s="9" t="s">
        <v>65</v>
      </c>
      <c r="H192" s="9" t="s">
        <v>66</v>
      </c>
      <c r="I192" s="9">
        <v>13</v>
      </c>
      <c r="J192" s="9" t="s">
        <v>332</v>
      </c>
      <c r="K192" s="9" t="s">
        <v>332</v>
      </c>
      <c r="L192" s="9" t="s">
        <v>332</v>
      </c>
      <c r="M192" s="9" t="s">
        <v>333</v>
      </c>
      <c r="N192" s="9" t="s">
        <v>880</v>
      </c>
      <c r="O192" s="9" t="s">
        <v>150</v>
      </c>
      <c r="P192" s="9" t="s">
        <v>67</v>
      </c>
      <c r="Q192" s="9" t="s">
        <v>98</v>
      </c>
      <c r="R192" s="9" t="s">
        <v>332</v>
      </c>
      <c r="S192" s="9" t="s">
        <v>333</v>
      </c>
      <c r="T192" s="9" t="s">
        <v>822</v>
      </c>
      <c r="U192" s="9" t="s">
        <v>67</v>
      </c>
      <c r="V192" s="9" t="s">
        <v>266</v>
      </c>
      <c r="W192" s="9" t="s">
        <v>267</v>
      </c>
      <c r="X192" s="11">
        <v>30</v>
      </c>
      <c r="Y192" s="9" t="s">
        <v>423</v>
      </c>
      <c r="Z192" s="9" t="s">
        <v>68</v>
      </c>
      <c r="AA192" s="9" t="s">
        <v>424</v>
      </c>
      <c r="AB192" s="9" t="s">
        <v>67</v>
      </c>
      <c r="AC192" s="9" t="s">
        <v>270</v>
      </c>
      <c r="AD192" s="11">
        <v>96</v>
      </c>
      <c r="AE192" s="9" t="s">
        <v>70</v>
      </c>
      <c r="AF192" s="9" t="s">
        <v>71</v>
      </c>
      <c r="AG192" s="13">
        <v>1</v>
      </c>
      <c r="AH192" s="9" t="s">
        <v>92</v>
      </c>
      <c r="AI192" s="13">
        <v>77273</v>
      </c>
      <c r="AJ192" s="13">
        <v>7418208</v>
      </c>
      <c r="AK192" s="11">
        <v>1301895</v>
      </c>
      <c r="AL192" s="11">
        <v>0</v>
      </c>
      <c r="AM192" s="11">
        <v>0</v>
      </c>
      <c r="AN192" s="9" t="s">
        <v>157</v>
      </c>
      <c r="AO192" s="11">
        <v>6116313</v>
      </c>
      <c r="AP192" s="13">
        <v>489305</v>
      </c>
      <c r="AQ192" s="13">
        <v>6605618</v>
      </c>
      <c r="AR192" s="12">
        <v>71.424000000000007</v>
      </c>
      <c r="AS192" s="9" t="s">
        <v>72</v>
      </c>
      <c r="AT192" s="12">
        <v>76.8</v>
      </c>
      <c r="AU192" s="9" t="s">
        <v>73</v>
      </c>
      <c r="AV192" s="9" t="s">
        <v>67</v>
      </c>
      <c r="AW192" s="9" t="s">
        <v>1118</v>
      </c>
      <c r="AX192" s="10">
        <v>45992</v>
      </c>
      <c r="AY192" s="9" t="s">
        <v>1119</v>
      </c>
      <c r="AZ192" s="9" t="s">
        <v>67</v>
      </c>
      <c r="BA192" s="9" t="s">
        <v>67</v>
      </c>
      <c r="BB192" s="12">
        <v>76.8</v>
      </c>
      <c r="BC192" s="9" t="s">
        <v>74</v>
      </c>
      <c r="BD192" s="9" t="s">
        <v>104</v>
      </c>
      <c r="BE192" s="9" t="s">
        <v>75</v>
      </c>
      <c r="BF192" s="11">
        <v>0</v>
      </c>
      <c r="BG192">
        <f t="shared" si="6"/>
        <v>12</v>
      </c>
      <c r="BH192" t="str">
        <f>VLOOKUP(BG192,[1]month!$A:$B,2,0)</f>
        <v>Desember</v>
      </c>
      <c r="BI192">
        <f t="shared" si="7"/>
        <v>2025</v>
      </c>
      <c r="BJ192" t="str">
        <f>VLOOKUP(I192,[1]Dist!$A:$B,2,0)</f>
        <v>Retail</v>
      </c>
      <c r="BK192" t="str">
        <f>IF(I192=11,VLOOKUP(Y192,[2]Sheet1!$C:$N,10,0),IF(I192=13,VLOOKUP(Y192,[3]Sheet1!$C:$N,10,0),IF(I192=15,VLOOKUP(Y192,[4]Sheet1!$C:$N,10,0),"Unknown")))</f>
        <v>ULTRAN</v>
      </c>
      <c r="BL192" t="str">
        <f>IF(I192=11,VLOOKUP(Y192,[2]Sheet1!$C:$N,12,0),IF(I192=13,VLOOKUP(Y192,[3]Sheet1!$C:$N,12,0),IF(I192=15,VLOOKUP(Y192,[4]Sheet1!$C:$N,12,0),"Unknown")))</f>
        <v>ULTRAN VERNIS</v>
      </c>
      <c r="BM192" t="str">
        <f>VLOOKUP(W192,[1]branch!$A:$B,2,0)</f>
        <v>HO CHI MINH</v>
      </c>
    </row>
    <row r="193" spans="1:65" x14ac:dyDescent="0.35">
      <c r="A193" s="10">
        <v>45993</v>
      </c>
      <c r="B193" s="9" t="s">
        <v>1117</v>
      </c>
      <c r="C193" s="9" t="s">
        <v>64</v>
      </c>
      <c r="D193" s="9" t="s">
        <v>92</v>
      </c>
      <c r="E193" s="11">
        <v>60</v>
      </c>
      <c r="F193" s="9" t="s">
        <v>93</v>
      </c>
      <c r="G193" s="9" t="s">
        <v>65</v>
      </c>
      <c r="H193" s="9" t="s">
        <v>66</v>
      </c>
      <c r="I193" s="9">
        <v>13</v>
      </c>
      <c r="J193" s="9" t="s">
        <v>332</v>
      </c>
      <c r="K193" s="9" t="s">
        <v>332</v>
      </c>
      <c r="L193" s="9" t="s">
        <v>332</v>
      </c>
      <c r="M193" s="9" t="s">
        <v>333</v>
      </c>
      <c r="N193" s="9" t="s">
        <v>880</v>
      </c>
      <c r="O193" s="9" t="s">
        <v>150</v>
      </c>
      <c r="P193" s="9" t="s">
        <v>67</v>
      </c>
      <c r="Q193" s="9" t="s">
        <v>98</v>
      </c>
      <c r="R193" s="9" t="s">
        <v>332</v>
      </c>
      <c r="S193" s="9" t="s">
        <v>333</v>
      </c>
      <c r="T193" s="9" t="s">
        <v>822</v>
      </c>
      <c r="U193" s="9" t="s">
        <v>67</v>
      </c>
      <c r="V193" s="9" t="s">
        <v>266</v>
      </c>
      <c r="W193" s="9" t="s">
        <v>267</v>
      </c>
      <c r="X193" s="11">
        <v>40</v>
      </c>
      <c r="Y193" s="9" t="s">
        <v>334</v>
      </c>
      <c r="Z193" s="9" t="s">
        <v>68</v>
      </c>
      <c r="AA193" s="9" t="s">
        <v>335</v>
      </c>
      <c r="AB193" s="9" t="s">
        <v>67</v>
      </c>
      <c r="AC193" s="9" t="s">
        <v>270</v>
      </c>
      <c r="AD193" s="11">
        <v>72</v>
      </c>
      <c r="AE193" s="9" t="s">
        <v>70</v>
      </c>
      <c r="AF193" s="9" t="s">
        <v>71</v>
      </c>
      <c r="AG193" s="13">
        <v>1</v>
      </c>
      <c r="AH193" s="9" t="s">
        <v>92</v>
      </c>
      <c r="AI193" s="13">
        <v>77273</v>
      </c>
      <c r="AJ193" s="13">
        <v>5563656</v>
      </c>
      <c r="AK193" s="11">
        <v>976421</v>
      </c>
      <c r="AL193" s="11">
        <v>0</v>
      </c>
      <c r="AM193" s="11">
        <v>0</v>
      </c>
      <c r="AN193" s="9" t="s">
        <v>157</v>
      </c>
      <c r="AO193" s="11">
        <v>4587235</v>
      </c>
      <c r="AP193" s="13">
        <v>366979</v>
      </c>
      <c r="AQ193" s="13">
        <v>4954214</v>
      </c>
      <c r="AR193" s="12">
        <v>47.808</v>
      </c>
      <c r="AS193" s="9" t="s">
        <v>72</v>
      </c>
      <c r="AT193" s="12">
        <v>57.6</v>
      </c>
      <c r="AU193" s="9" t="s">
        <v>73</v>
      </c>
      <c r="AV193" s="9" t="s">
        <v>67</v>
      </c>
      <c r="AW193" s="9" t="s">
        <v>1118</v>
      </c>
      <c r="AX193" s="10">
        <v>45992</v>
      </c>
      <c r="AY193" s="9" t="s">
        <v>1119</v>
      </c>
      <c r="AZ193" s="9" t="s">
        <v>67</v>
      </c>
      <c r="BA193" s="9" t="s">
        <v>67</v>
      </c>
      <c r="BB193" s="12">
        <v>57.6</v>
      </c>
      <c r="BC193" s="9" t="s">
        <v>74</v>
      </c>
      <c r="BD193" s="9" t="s">
        <v>104</v>
      </c>
      <c r="BE193" s="9" t="s">
        <v>75</v>
      </c>
      <c r="BF193" s="11">
        <v>0</v>
      </c>
      <c r="BG193">
        <f t="shared" si="6"/>
        <v>12</v>
      </c>
      <c r="BH193" t="str">
        <f>VLOOKUP(BG193,[1]month!$A:$B,2,0)</f>
        <v>Desember</v>
      </c>
      <c r="BI193">
        <f t="shared" si="7"/>
        <v>2025</v>
      </c>
      <c r="BJ193" t="str">
        <f>VLOOKUP(I193,[1]Dist!$A:$B,2,0)</f>
        <v>Retail</v>
      </c>
      <c r="BK193" t="str">
        <f>IF(I193=11,VLOOKUP(Y193,[2]Sheet1!$C:$N,10,0),IF(I193=13,VLOOKUP(Y193,[3]Sheet1!$C:$N,10,0),IF(I193=15,VLOOKUP(Y193,[4]Sheet1!$C:$N,10,0),"Unknown")))</f>
        <v>ULTRAN</v>
      </c>
      <c r="BL193" t="str">
        <f>IF(I193=11,VLOOKUP(Y193,[2]Sheet1!$C:$N,12,0),IF(I193=13,VLOOKUP(Y193,[3]Sheet1!$C:$N,12,0),IF(I193=15,VLOOKUP(Y193,[4]Sheet1!$C:$N,12,0),"Unknown")))</f>
        <v>ULTRAN VERNIS</v>
      </c>
      <c r="BM193" t="str">
        <f>VLOOKUP(W193,[1]branch!$A:$B,2,0)</f>
        <v>HO CHI MINH</v>
      </c>
    </row>
    <row r="194" spans="1:65" x14ac:dyDescent="0.35">
      <c r="A194" s="10">
        <v>45993</v>
      </c>
      <c r="B194" s="9" t="s">
        <v>1117</v>
      </c>
      <c r="C194" s="9" t="s">
        <v>64</v>
      </c>
      <c r="D194" s="9" t="s">
        <v>92</v>
      </c>
      <c r="E194" s="11">
        <v>60</v>
      </c>
      <c r="F194" s="9" t="s">
        <v>93</v>
      </c>
      <c r="G194" s="9" t="s">
        <v>65</v>
      </c>
      <c r="H194" s="9" t="s">
        <v>66</v>
      </c>
      <c r="I194" s="9">
        <v>13</v>
      </c>
      <c r="J194" s="9" t="s">
        <v>332</v>
      </c>
      <c r="K194" s="9" t="s">
        <v>332</v>
      </c>
      <c r="L194" s="9" t="s">
        <v>332</v>
      </c>
      <c r="M194" s="9" t="s">
        <v>333</v>
      </c>
      <c r="N194" s="9" t="s">
        <v>880</v>
      </c>
      <c r="O194" s="9" t="s">
        <v>150</v>
      </c>
      <c r="P194" s="9" t="s">
        <v>67</v>
      </c>
      <c r="Q194" s="9" t="s">
        <v>98</v>
      </c>
      <c r="R194" s="9" t="s">
        <v>332</v>
      </c>
      <c r="S194" s="9" t="s">
        <v>333</v>
      </c>
      <c r="T194" s="9" t="s">
        <v>822</v>
      </c>
      <c r="U194" s="9" t="s">
        <v>67</v>
      </c>
      <c r="V194" s="9" t="s">
        <v>266</v>
      </c>
      <c r="W194" s="9" t="s">
        <v>267</v>
      </c>
      <c r="X194" s="11">
        <v>50</v>
      </c>
      <c r="Y194" s="9" t="s">
        <v>336</v>
      </c>
      <c r="Z194" s="9" t="s">
        <v>68</v>
      </c>
      <c r="AA194" s="9" t="s">
        <v>337</v>
      </c>
      <c r="AB194" s="9" t="s">
        <v>67</v>
      </c>
      <c r="AC194" s="9" t="s">
        <v>270</v>
      </c>
      <c r="AD194" s="11">
        <v>72</v>
      </c>
      <c r="AE194" s="9" t="s">
        <v>70</v>
      </c>
      <c r="AF194" s="9" t="s">
        <v>71</v>
      </c>
      <c r="AG194" s="13">
        <v>1</v>
      </c>
      <c r="AH194" s="9" t="s">
        <v>92</v>
      </c>
      <c r="AI194" s="13">
        <v>77273</v>
      </c>
      <c r="AJ194" s="13">
        <v>5563656</v>
      </c>
      <c r="AK194" s="11">
        <v>976421</v>
      </c>
      <c r="AL194" s="11">
        <v>0</v>
      </c>
      <c r="AM194" s="11">
        <v>0</v>
      </c>
      <c r="AN194" s="9" t="s">
        <v>157</v>
      </c>
      <c r="AO194" s="11">
        <v>4587235</v>
      </c>
      <c r="AP194" s="13">
        <v>366979</v>
      </c>
      <c r="AQ194" s="13">
        <v>4954214</v>
      </c>
      <c r="AR194" s="12">
        <v>47.808</v>
      </c>
      <c r="AS194" s="9" t="s">
        <v>72</v>
      </c>
      <c r="AT194" s="12">
        <v>57.6</v>
      </c>
      <c r="AU194" s="9" t="s">
        <v>73</v>
      </c>
      <c r="AV194" s="9" t="s">
        <v>67</v>
      </c>
      <c r="AW194" s="9" t="s">
        <v>1118</v>
      </c>
      <c r="AX194" s="10">
        <v>45992</v>
      </c>
      <c r="AY194" s="9" t="s">
        <v>1119</v>
      </c>
      <c r="AZ194" s="9" t="s">
        <v>67</v>
      </c>
      <c r="BA194" s="9" t="s">
        <v>67</v>
      </c>
      <c r="BB194" s="12">
        <v>57.6</v>
      </c>
      <c r="BC194" s="9" t="s">
        <v>74</v>
      </c>
      <c r="BD194" s="9" t="s">
        <v>104</v>
      </c>
      <c r="BE194" s="9" t="s">
        <v>75</v>
      </c>
      <c r="BF194" s="11">
        <v>0</v>
      </c>
      <c r="BG194">
        <f t="shared" si="6"/>
        <v>12</v>
      </c>
      <c r="BH194" t="str">
        <f>VLOOKUP(BG194,[1]month!$A:$B,2,0)</f>
        <v>Desember</v>
      </c>
      <c r="BI194">
        <f t="shared" si="7"/>
        <v>2025</v>
      </c>
      <c r="BJ194" t="str">
        <f>VLOOKUP(I194,[1]Dist!$A:$B,2,0)</f>
        <v>Retail</v>
      </c>
      <c r="BK194" t="str">
        <f>IF(I194=11,VLOOKUP(Y194,[2]Sheet1!$C:$N,10,0),IF(I194=13,VLOOKUP(Y194,[3]Sheet1!$C:$N,10,0),IF(I194=15,VLOOKUP(Y194,[4]Sheet1!$C:$N,10,0),"Unknown")))</f>
        <v>ULTRAN</v>
      </c>
      <c r="BL194" t="str">
        <f>IF(I194=11,VLOOKUP(Y194,[2]Sheet1!$C:$N,12,0),IF(I194=13,VLOOKUP(Y194,[3]Sheet1!$C:$N,12,0),IF(I194=15,VLOOKUP(Y194,[4]Sheet1!$C:$N,12,0),"Unknown")))</f>
        <v>ULTRAN VERNIS</v>
      </c>
      <c r="BM194" t="str">
        <f>VLOOKUP(W194,[1]branch!$A:$B,2,0)</f>
        <v>HO CHI MINH</v>
      </c>
    </row>
    <row r="195" spans="1:65" x14ac:dyDescent="0.35">
      <c r="A195" s="10">
        <v>45993</v>
      </c>
      <c r="B195" s="9" t="s">
        <v>1117</v>
      </c>
      <c r="C195" s="9" t="s">
        <v>64</v>
      </c>
      <c r="D195" s="9" t="s">
        <v>92</v>
      </c>
      <c r="E195" s="11">
        <v>60</v>
      </c>
      <c r="F195" s="9" t="s">
        <v>93</v>
      </c>
      <c r="G195" s="9" t="s">
        <v>65</v>
      </c>
      <c r="H195" s="9" t="s">
        <v>66</v>
      </c>
      <c r="I195" s="9">
        <v>13</v>
      </c>
      <c r="J195" s="9" t="s">
        <v>332</v>
      </c>
      <c r="K195" s="9" t="s">
        <v>332</v>
      </c>
      <c r="L195" s="9" t="s">
        <v>332</v>
      </c>
      <c r="M195" s="9" t="s">
        <v>333</v>
      </c>
      <c r="N195" s="9" t="s">
        <v>880</v>
      </c>
      <c r="O195" s="9" t="s">
        <v>150</v>
      </c>
      <c r="P195" s="9" t="s">
        <v>67</v>
      </c>
      <c r="Q195" s="9" t="s">
        <v>98</v>
      </c>
      <c r="R195" s="9" t="s">
        <v>332</v>
      </c>
      <c r="S195" s="9" t="s">
        <v>333</v>
      </c>
      <c r="T195" s="9" t="s">
        <v>822</v>
      </c>
      <c r="U195" s="9" t="s">
        <v>67</v>
      </c>
      <c r="V195" s="9" t="s">
        <v>266</v>
      </c>
      <c r="W195" s="9" t="s">
        <v>267</v>
      </c>
      <c r="X195" s="11">
        <v>60</v>
      </c>
      <c r="Y195" s="9" t="s">
        <v>338</v>
      </c>
      <c r="Z195" s="9" t="s">
        <v>68</v>
      </c>
      <c r="AA195" s="9" t="s">
        <v>339</v>
      </c>
      <c r="AB195" s="9" t="s">
        <v>67</v>
      </c>
      <c r="AC195" s="9" t="s">
        <v>270</v>
      </c>
      <c r="AD195" s="11">
        <v>120</v>
      </c>
      <c r="AE195" s="9" t="s">
        <v>70</v>
      </c>
      <c r="AF195" s="9" t="s">
        <v>71</v>
      </c>
      <c r="AG195" s="13">
        <v>1</v>
      </c>
      <c r="AH195" s="9" t="s">
        <v>92</v>
      </c>
      <c r="AI195" s="13">
        <v>77273</v>
      </c>
      <c r="AJ195" s="13">
        <v>9272760</v>
      </c>
      <c r="AK195" s="11">
        <v>1627369</v>
      </c>
      <c r="AL195" s="11">
        <v>0</v>
      </c>
      <c r="AM195" s="11">
        <v>0</v>
      </c>
      <c r="AN195" s="9" t="s">
        <v>157</v>
      </c>
      <c r="AO195" s="11">
        <v>7645391</v>
      </c>
      <c r="AP195" s="13">
        <v>611631</v>
      </c>
      <c r="AQ195" s="13">
        <v>8257022</v>
      </c>
      <c r="AR195" s="12">
        <v>79.680000000000007</v>
      </c>
      <c r="AS195" s="9" t="s">
        <v>72</v>
      </c>
      <c r="AT195" s="11">
        <v>96</v>
      </c>
      <c r="AU195" s="9" t="s">
        <v>73</v>
      </c>
      <c r="AV195" s="9" t="s">
        <v>67</v>
      </c>
      <c r="AW195" s="9" t="s">
        <v>1118</v>
      </c>
      <c r="AX195" s="10">
        <v>45992</v>
      </c>
      <c r="AY195" s="9" t="s">
        <v>1119</v>
      </c>
      <c r="AZ195" s="9" t="s">
        <v>67</v>
      </c>
      <c r="BA195" s="9" t="s">
        <v>67</v>
      </c>
      <c r="BB195" s="12">
        <v>96</v>
      </c>
      <c r="BC195" s="9" t="s">
        <v>74</v>
      </c>
      <c r="BD195" s="9" t="s">
        <v>104</v>
      </c>
      <c r="BE195" s="9" t="s">
        <v>75</v>
      </c>
      <c r="BF195" s="11">
        <v>0</v>
      </c>
      <c r="BG195">
        <f t="shared" ref="BG195:BG258" si="8">MONTH(A195)</f>
        <v>12</v>
      </c>
      <c r="BH195" t="str">
        <f>VLOOKUP(BG195,[1]month!$A:$B,2,0)</f>
        <v>Desember</v>
      </c>
      <c r="BI195">
        <f t="shared" ref="BI195:BI258" si="9">YEAR(A195)</f>
        <v>2025</v>
      </c>
      <c r="BJ195" t="str">
        <f>VLOOKUP(I195,[1]Dist!$A:$B,2,0)</f>
        <v>Retail</v>
      </c>
      <c r="BK195" t="str">
        <f>IF(I195=11,VLOOKUP(Y195,[2]Sheet1!$C:$N,10,0),IF(I195=13,VLOOKUP(Y195,[3]Sheet1!$C:$N,10,0),IF(I195=15,VLOOKUP(Y195,[4]Sheet1!$C:$N,10,0),"Unknown")))</f>
        <v>ULTRAN</v>
      </c>
      <c r="BL195" t="str">
        <f>IF(I195=11,VLOOKUP(Y195,[2]Sheet1!$C:$N,12,0),IF(I195=13,VLOOKUP(Y195,[3]Sheet1!$C:$N,12,0),IF(I195=15,VLOOKUP(Y195,[4]Sheet1!$C:$N,12,0),"Unknown")))</f>
        <v>ULTRAN VERNIS</v>
      </c>
      <c r="BM195" t="str">
        <f>VLOOKUP(W195,[1]branch!$A:$B,2,0)</f>
        <v>HO CHI MINH</v>
      </c>
    </row>
    <row r="196" spans="1:65" x14ac:dyDescent="0.35">
      <c r="A196" s="10">
        <v>45993</v>
      </c>
      <c r="B196" s="9" t="s">
        <v>1117</v>
      </c>
      <c r="C196" s="9" t="s">
        <v>64</v>
      </c>
      <c r="D196" s="9" t="s">
        <v>92</v>
      </c>
      <c r="E196" s="11">
        <v>60</v>
      </c>
      <c r="F196" s="9" t="s">
        <v>93</v>
      </c>
      <c r="G196" s="9" t="s">
        <v>65</v>
      </c>
      <c r="H196" s="9" t="s">
        <v>66</v>
      </c>
      <c r="I196" s="9">
        <v>13</v>
      </c>
      <c r="J196" s="9" t="s">
        <v>332</v>
      </c>
      <c r="K196" s="9" t="s">
        <v>332</v>
      </c>
      <c r="L196" s="9" t="s">
        <v>332</v>
      </c>
      <c r="M196" s="9" t="s">
        <v>333</v>
      </c>
      <c r="N196" s="9" t="s">
        <v>880</v>
      </c>
      <c r="O196" s="9" t="s">
        <v>150</v>
      </c>
      <c r="P196" s="9" t="s">
        <v>67</v>
      </c>
      <c r="Q196" s="9" t="s">
        <v>98</v>
      </c>
      <c r="R196" s="9" t="s">
        <v>332</v>
      </c>
      <c r="S196" s="9" t="s">
        <v>333</v>
      </c>
      <c r="T196" s="9" t="s">
        <v>822</v>
      </c>
      <c r="U196" s="9" t="s">
        <v>67</v>
      </c>
      <c r="V196" s="9" t="s">
        <v>266</v>
      </c>
      <c r="W196" s="9" t="s">
        <v>267</v>
      </c>
      <c r="X196" s="11">
        <v>70</v>
      </c>
      <c r="Y196" s="9" t="s">
        <v>268</v>
      </c>
      <c r="Z196" s="9" t="s">
        <v>68</v>
      </c>
      <c r="AA196" s="9" t="s">
        <v>269</v>
      </c>
      <c r="AB196" s="9" t="s">
        <v>67</v>
      </c>
      <c r="AC196" s="9" t="s">
        <v>270</v>
      </c>
      <c r="AD196" s="11">
        <v>360</v>
      </c>
      <c r="AE196" s="9" t="s">
        <v>70</v>
      </c>
      <c r="AF196" s="9" t="s">
        <v>71</v>
      </c>
      <c r="AG196" s="13">
        <v>1</v>
      </c>
      <c r="AH196" s="9" t="s">
        <v>92</v>
      </c>
      <c r="AI196" s="13">
        <v>77273</v>
      </c>
      <c r="AJ196" s="13">
        <v>27818280</v>
      </c>
      <c r="AK196" s="11">
        <v>4882110</v>
      </c>
      <c r="AL196" s="11">
        <v>0</v>
      </c>
      <c r="AM196" s="11">
        <v>0</v>
      </c>
      <c r="AN196" s="9" t="s">
        <v>157</v>
      </c>
      <c r="AO196" s="11">
        <v>22936170</v>
      </c>
      <c r="AP196" s="13">
        <v>1834893</v>
      </c>
      <c r="AQ196" s="13">
        <v>24771063</v>
      </c>
      <c r="AR196" s="12">
        <v>239.04</v>
      </c>
      <c r="AS196" s="9" t="s">
        <v>72</v>
      </c>
      <c r="AT196" s="11">
        <v>288</v>
      </c>
      <c r="AU196" s="9" t="s">
        <v>73</v>
      </c>
      <c r="AV196" s="9" t="s">
        <v>67</v>
      </c>
      <c r="AW196" s="9" t="s">
        <v>1118</v>
      </c>
      <c r="AX196" s="10">
        <v>45992</v>
      </c>
      <c r="AY196" s="9" t="s">
        <v>1119</v>
      </c>
      <c r="AZ196" s="9" t="s">
        <v>67</v>
      </c>
      <c r="BA196" s="9" t="s">
        <v>67</v>
      </c>
      <c r="BB196" s="12">
        <v>288</v>
      </c>
      <c r="BC196" s="9" t="s">
        <v>74</v>
      </c>
      <c r="BD196" s="9" t="s">
        <v>104</v>
      </c>
      <c r="BE196" s="9" t="s">
        <v>75</v>
      </c>
      <c r="BF196" s="11">
        <v>0</v>
      </c>
      <c r="BG196">
        <f t="shared" si="8"/>
        <v>12</v>
      </c>
      <c r="BH196" t="str">
        <f>VLOOKUP(BG196,[1]month!$A:$B,2,0)</f>
        <v>Desember</v>
      </c>
      <c r="BI196">
        <f t="shared" si="9"/>
        <v>2025</v>
      </c>
      <c r="BJ196" t="str">
        <f>VLOOKUP(I196,[1]Dist!$A:$B,2,0)</f>
        <v>Retail</v>
      </c>
      <c r="BK196" t="str">
        <f>IF(I196=11,VLOOKUP(Y196,[2]Sheet1!$C:$N,10,0),IF(I196=13,VLOOKUP(Y196,[3]Sheet1!$C:$N,10,0),IF(I196=15,VLOOKUP(Y196,[4]Sheet1!$C:$N,10,0),"Unknown")))</f>
        <v>ULTRAN</v>
      </c>
      <c r="BL196" t="str">
        <f>IF(I196=11,VLOOKUP(Y196,[2]Sheet1!$C:$N,12,0),IF(I196=13,VLOOKUP(Y196,[3]Sheet1!$C:$N,12,0),IF(I196=15,VLOOKUP(Y196,[4]Sheet1!$C:$N,12,0),"Unknown")))</f>
        <v>ULTRAN VERNIS</v>
      </c>
      <c r="BM196" t="str">
        <f>VLOOKUP(W196,[1]branch!$A:$B,2,0)</f>
        <v>HO CHI MINH</v>
      </c>
    </row>
    <row r="197" spans="1:65" x14ac:dyDescent="0.35">
      <c r="A197" s="10">
        <v>45993</v>
      </c>
      <c r="B197" s="9" t="s">
        <v>1117</v>
      </c>
      <c r="C197" s="9" t="s">
        <v>64</v>
      </c>
      <c r="D197" s="9" t="s">
        <v>92</v>
      </c>
      <c r="E197" s="11">
        <v>60</v>
      </c>
      <c r="F197" s="9" t="s">
        <v>93</v>
      </c>
      <c r="G197" s="9" t="s">
        <v>65</v>
      </c>
      <c r="H197" s="9" t="s">
        <v>66</v>
      </c>
      <c r="I197" s="9">
        <v>13</v>
      </c>
      <c r="J197" s="9" t="s">
        <v>332</v>
      </c>
      <c r="K197" s="9" t="s">
        <v>332</v>
      </c>
      <c r="L197" s="9" t="s">
        <v>332</v>
      </c>
      <c r="M197" s="9" t="s">
        <v>333</v>
      </c>
      <c r="N197" s="9" t="s">
        <v>880</v>
      </c>
      <c r="O197" s="9" t="s">
        <v>150</v>
      </c>
      <c r="P197" s="9" t="s">
        <v>67</v>
      </c>
      <c r="Q197" s="9" t="s">
        <v>98</v>
      </c>
      <c r="R197" s="9" t="s">
        <v>332</v>
      </c>
      <c r="S197" s="9" t="s">
        <v>333</v>
      </c>
      <c r="T197" s="9" t="s">
        <v>822</v>
      </c>
      <c r="U197" s="9" t="s">
        <v>67</v>
      </c>
      <c r="V197" s="9" t="s">
        <v>266</v>
      </c>
      <c r="W197" s="9" t="s">
        <v>267</v>
      </c>
      <c r="X197" s="11">
        <v>80</v>
      </c>
      <c r="Y197" s="9" t="s">
        <v>340</v>
      </c>
      <c r="Z197" s="9" t="s">
        <v>68</v>
      </c>
      <c r="AA197" s="9" t="s">
        <v>341</v>
      </c>
      <c r="AB197" s="9" t="s">
        <v>67</v>
      </c>
      <c r="AC197" s="9" t="s">
        <v>270</v>
      </c>
      <c r="AD197" s="11">
        <v>120</v>
      </c>
      <c r="AE197" s="9" t="s">
        <v>70</v>
      </c>
      <c r="AF197" s="9" t="s">
        <v>71</v>
      </c>
      <c r="AG197" s="13">
        <v>1</v>
      </c>
      <c r="AH197" s="9" t="s">
        <v>92</v>
      </c>
      <c r="AI197" s="13">
        <v>77273</v>
      </c>
      <c r="AJ197" s="13">
        <v>9272760</v>
      </c>
      <c r="AK197" s="11">
        <v>1627369</v>
      </c>
      <c r="AL197" s="11">
        <v>0</v>
      </c>
      <c r="AM197" s="11">
        <v>0</v>
      </c>
      <c r="AN197" s="9" t="s">
        <v>157</v>
      </c>
      <c r="AO197" s="11">
        <v>7645391</v>
      </c>
      <c r="AP197" s="13">
        <v>611631</v>
      </c>
      <c r="AQ197" s="13">
        <v>8257022</v>
      </c>
      <c r="AR197" s="12">
        <v>79.680000000000007</v>
      </c>
      <c r="AS197" s="9" t="s">
        <v>72</v>
      </c>
      <c r="AT197" s="11">
        <v>96</v>
      </c>
      <c r="AU197" s="9" t="s">
        <v>73</v>
      </c>
      <c r="AV197" s="9" t="s">
        <v>67</v>
      </c>
      <c r="AW197" s="9" t="s">
        <v>1118</v>
      </c>
      <c r="AX197" s="10">
        <v>45992</v>
      </c>
      <c r="AY197" s="9" t="s">
        <v>1119</v>
      </c>
      <c r="AZ197" s="9" t="s">
        <v>67</v>
      </c>
      <c r="BA197" s="9" t="s">
        <v>67</v>
      </c>
      <c r="BB197" s="12">
        <v>96</v>
      </c>
      <c r="BC197" s="9" t="s">
        <v>74</v>
      </c>
      <c r="BD197" s="9" t="s">
        <v>104</v>
      </c>
      <c r="BE197" s="9" t="s">
        <v>75</v>
      </c>
      <c r="BF197" s="11">
        <v>0</v>
      </c>
      <c r="BG197">
        <f t="shared" si="8"/>
        <v>12</v>
      </c>
      <c r="BH197" t="str">
        <f>VLOOKUP(BG197,[1]month!$A:$B,2,0)</f>
        <v>Desember</v>
      </c>
      <c r="BI197">
        <f t="shared" si="9"/>
        <v>2025</v>
      </c>
      <c r="BJ197" t="str">
        <f>VLOOKUP(I197,[1]Dist!$A:$B,2,0)</f>
        <v>Retail</v>
      </c>
      <c r="BK197" t="str">
        <f>IF(I197=11,VLOOKUP(Y197,[2]Sheet1!$C:$N,10,0),IF(I197=13,VLOOKUP(Y197,[3]Sheet1!$C:$N,10,0),IF(I197=15,VLOOKUP(Y197,[4]Sheet1!$C:$N,10,0),"Unknown")))</f>
        <v>ULTRAN</v>
      </c>
      <c r="BL197" t="str">
        <f>IF(I197=11,VLOOKUP(Y197,[2]Sheet1!$C:$N,12,0),IF(I197=13,VLOOKUP(Y197,[3]Sheet1!$C:$N,12,0),IF(I197=15,VLOOKUP(Y197,[4]Sheet1!$C:$N,12,0),"Unknown")))</f>
        <v>ULTRAN VERNIS</v>
      </c>
      <c r="BM197" t="str">
        <f>VLOOKUP(W197,[1]branch!$A:$B,2,0)</f>
        <v>HO CHI MINH</v>
      </c>
    </row>
    <row r="198" spans="1:65" x14ac:dyDescent="0.35">
      <c r="A198" s="10">
        <v>45993</v>
      </c>
      <c r="B198" s="9" t="s">
        <v>1120</v>
      </c>
      <c r="C198" s="9" t="s">
        <v>64</v>
      </c>
      <c r="D198" s="9" t="s">
        <v>92</v>
      </c>
      <c r="E198" s="11">
        <v>60</v>
      </c>
      <c r="F198" s="9" t="s">
        <v>93</v>
      </c>
      <c r="G198" s="9" t="s">
        <v>65</v>
      </c>
      <c r="H198" s="9" t="s">
        <v>66</v>
      </c>
      <c r="I198" s="9">
        <v>13</v>
      </c>
      <c r="J198" s="9" t="s">
        <v>264</v>
      </c>
      <c r="K198" s="9" t="s">
        <v>264</v>
      </c>
      <c r="L198" s="9" t="s">
        <v>264</v>
      </c>
      <c r="M198" s="9" t="s">
        <v>265</v>
      </c>
      <c r="N198" s="9" t="s">
        <v>881</v>
      </c>
      <c r="O198" s="9" t="s">
        <v>150</v>
      </c>
      <c r="P198" s="9" t="s">
        <v>67</v>
      </c>
      <c r="Q198" s="9" t="s">
        <v>98</v>
      </c>
      <c r="R198" s="9" t="s">
        <v>264</v>
      </c>
      <c r="S198" s="9" t="s">
        <v>265</v>
      </c>
      <c r="T198" s="9" t="s">
        <v>799</v>
      </c>
      <c r="U198" s="9" t="s">
        <v>67</v>
      </c>
      <c r="V198" s="9" t="s">
        <v>266</v>
      </c>
      <c r="W198" s="9" t="s">
        <v>267</v>
      </c>
      <c r="X198" s="11">
        <v>10</v>
      </c>
      <c r="Y198" s="9" t="s">
        <v>423</v>
      </c>
      <c r="Z198" s="9" t="s">
        <v>68</v>
      </c>
      <c r="AA198" s="9" t="s">
        <v>424</v>
      </c>
      <c r="AB198" s="9" t="s">
        <v>67</v>
      </c>
      <c r="AC198" s="9" t="s">
        <v>270</v>
      </c>
      <c r="AD198" s="11">
        <v>72</v>
      </c>
      <c r="AE198" s="9" t="s">
        <v>70</v>
      </c>
      <c r="AF198" s="9" t="s">
        <v>71</v>
      </c>
      <c r="AG198" s="13">
        <v>1</v>
      </c>
      <c r="AH198" s="9" t="s">
        <v>92</v>
      </c>
      <c r="AI198" s="13">
        <v>77273</v>
      </c>
      <c r="AJ198" s="13">
        <v>5563656</v>
      </c>
      <c r="AK198" s="11">
        <v>1023712</v>
      </c>
      <c r="AL198" s="11">
        <v>0</v>
      </c>
      <c r="AM198" s="11">
        <v>0</v>
      </c>
      <c r="AN198" s="9" t="s">
        <v>271</v>
      </c>
      <c r="AO198" s="11">
        <v>4539944</v>
      </c>
      <c r="AP198" s="13">
        <v>363196</v>
      </c>
      <c r="AQ198" s="13">
        <v>4903140</v>
      </c>
      <c r="AR198" s="12">
        <v>53.567999999999998</v>
      </c>
      <c r="AS198" s="9" t="s">
        <v>72</v>
      </c>
      <c r="AT198" s="12">
        <v>57.6</v>
      </c>
      <c r="AU198" s="9" t="s">
        <v>73</v>
      </c>
      <c r="AV198" s="9" t="s">
        <v>67</v>
      </c>
      <c r="AW198" s="9" t="s">
        <v>1121</v>
      </c>
      <c r="AX198" s="10">
        <v>45992</v>
      </c>
      <c r="AY198" s="9" t="s">
        <v>1122</v>
      </c>
      <c r="AZ198" s="9" t="s">
        <v>67</v>
      </c>
      <c r="BA198" s="9" t="s">
        <v>67</v>
      </c>
      <c r="BB198" s="12">
        <v>57.6</v>
      </c>
      <c r="BC198" s="9" t="s">
        <v>74</v>
      </c>
      <c r="BD198" s="9" t="s">
        <v>104</v>
      </c>
      <c r="BE198" s="9" t="s">
        <v>75</v>
      </c>
      <c r="BF198" s="11">
        <v>0</v>
      </c>
      <c r="BG198">
        <f t="shared" si="8"/>
        <v>12</v>
      </c>
      <c r="BH198" t="str">
        <f>VLOOKUP(BG198,[1]month!$A:$B,2,0)</f>
        <v>Desember</v>
      </c>
      <c r="BI198">
        <f t="shared" si="9"/>
        <v>2025</v>
      </c>
      <c r="BJ198" t="str">
        <f>VLOOKUP(I198,[1]Dist!$A:$B,2,0)</f>
        <v>Retail</v>
      </c>
      <c r="BK198" t="str">
        <f>IF(I198=11,VLOOKUP(Y198,[2]Sheet1!$C:$N,10,0),IF(I198=13,VLOOKUP(Y198,[3]Sheet1!$C:$N,10,0),IF(I198=15,VLOOKUP(Y198,[4]Sheet1!$C:$N,10,0),"Unknown")))</f>
        <v>ULTRAN</v>
      </c>
      <c r="BL198" t="str">
        <f>IF(I198=11,VLOOKUP(Y198,[2]Sheet1!$C:$N,12,0),IF(I198=13,VLOOKUP(Y198,[3]Sheet1!$C:$N,12,0),IF(I198=15,VLOOKUP(Y198,[4]Sheet1!$C:$N,12,0),"Unknown")))</f>
        <v>ULTRAN VERNIS</v>
      </c>
      <c r="BM198" t="str">
        <f>VLOOKUP(W198,[1]branch!$A:$B,2,0)</f>
        <v>HO CHI MINH</v>
      </c>
    </row>
    <row r="199" spans="1:65" x14ac:dyDescent="0.35">
      <c r="A199" s="10">
        <v>45993</v>
      </c>
      <c r="B199" s="9" t="s">
        <v>1120</v>
      </c>
      <c r="C199" s="9" t="s">
        <v>64</v>
      </c>
      <c r="D199" s="9" t="s">
        <v>92</v>
      </c>
      <c r="E199" s="11">
        <v>60</v>
      </c>
      <c r="F199" s="9" t="s">
        <v>93</v>
      </c>
      <c r="G199" s="9" t="s">
        <v>65</v>
      </c>
      <c r="H199" s="9" t="s">
        <v>66</v>
      </c>
      <c r="I199" s="9">
        <v>13</v>
      </c>
      <c r="J199" s="9" t="s">
        <v>264</v>
      </c>
      <c r="K199" s="9" t="s">
        <v>264</v>
      </c>
      <c r="L199" s="9" t="s">
        <v>264</v>
      </c>
      <c r="M199" s="9" t="s">
        <v>265</v>
      </c>
      <c r="N199" s="9" t="s">
        <v>881</v>
      </c>
      <c r="O199" s="9" t="s">
        <v>150</v>
      </c>
      <c r="P199" s="9" t="s">
        <v>67</v>
      </c>
      <c r="Q199" s="9" t="s">
        <v>98</v>
      </c>
      <c r="R199" s="9" t="s">
        <v>264</v>
      </c>
      <c r="S199" s="9" t="s">
        <v>265</v>
      </c>
      <c r="T199" s="9" t="s">
        <v>799</v>
      </c>
      <c r="U199" s="9" t="s">
        <v>67</v>
      </c>
      <c r="V199" s="9" t="s">
        <v>266</v>
      </c>
      <c r="W199" s="9" t="s">
        <v>267</v>
      </c>
      <c r="X199" s="11">
        <v>20</v>
      </c>
      <c r="Y199" s="9" t="s">
        <v>268</v>
      </c>
      <c r="Z199" s="9" t="s">
        <v>68</v>
      </c>
      <c r="AA199" s="9" t="s">
        <v>269</v>
      </c>
      <c r="AB199" s="9" t="s">
        <v>67</v>
      </c>
      <c r="AC199" s="9" t="s">
        <v>270</v>
      </c>
      <c r="AD199" s="11">
        <v>360</v>
      </c>
      <c r="AE199" s="9" t="s">
        <v>70</v>
      </c>
      <c r="AF199" s="9" t="s">
        <v>71</v>
      </c>
      <c r="AG199" s="13">
        <v>1</v>
      </c>
      <c r="AH199" s="9" t="s">
        <v>92</v>
      </c>
      <c r="AI199" s="13">
        <v>77273</v>
      </c>
      <c r="AJ199" s="13">
        <v>27818280</v>
      </c>
      <c r="AK199" s="11">
        <v>5118564</v>
      </c>
      <c r="AL199" s="11">
        <v>0</v>
      </c>
      <c r="AM199" s="11">
        <v>0</v>
      </c>
      <c r="AN199" s="9" t="s">
        <v>271</v>
      </c>
      <c r="AO199" s="11">
        <v>22699716</v>
      </c>
      <c r="AP199" s="13">
        <v>1815977</v>
      </c>
      <c r="AQ199" s="13">
        <v>24515693</v>
      </c>
      <c r="AR199" s="12">
        <v>239.04</v>
      </c>
      <c r="AS199" s="9" t="s">
        <v>72</v>
      </c>
      <c r="AT199" s="11">
        <v>288</v>
      </c>
      <c r="AU199" s="9" t="s">
        <v>73</v>
      </c>
      <c r="AV199" s="9" t="s">
        <v>67</v>
      </c>
      <c r="AW199" s="9" t="s">
        <v>1121</v>
      </c>
      <c r="AX199" s="10">
        <v>45992</v>
      </c>
      <c r="AY199" s="9" t="s">
        <v>1122</v>
      </c>
      <c r="AZ199" s="9" t="s">
        <v>67</v>
      </c>
      <c r="BA199" s="9" t="s">
        <v>67</v>
      </c>
      <c r="BB199" s="12">
        <v>288</v>
      </c>
      <c r="BC199" s="9" t="s">
        <v>74</v>
      </c>
      <c r="BD199" s="9" t="s">
        <v>104</v>
      </c>
      <c r="BE199" s="9" t="s">
        <v>75</v>
      </c>
      <c r="BF199" s="11">
        <v>0</v>
      </c>
      <c r="BG199">
        <f t="shared" si="8"/>
        <v>12</v>
      </c>
      <c r="BH199" t="str">
        <f>VLOOKUP(BG199,[1]month!$A:$B,2,0)</f>
        <v>Desember</v>
      </c>
      <c r="BI199">
        <f t="shared" si="9"/>
        <v>2025</v>
      </c>
      <c r="BJ199" t="str">
        <f>VLOOKUP(I199,[1]Dist!$A:$B,2,0)</f>
        <v>Retail</v>
      </c>
      <c r="BK199" t="str">
        <f>IF(I199=11,VLOOKUP(Y199,[2]Sheet1!$C:$N,10,0),IF(I199=13,VLOOKUP(Y199,[3]Sheet1!$C:$N,10,0),IF(I199=15,VLOOKUP(Y199,[4]Sheet1!$C:$N,10,0),"Unknown")))</f>
        <v>ULTRAN</v>
      </c>
      <c r="BL199" t="str">
        <f>IF(I199=11,VLOOKUP(Y199,[2]Sheet1!$C:$N,12,0),IF(I199=13,VLOOKUP(Y199,[3]Sheet1!$C:$N,12,0),IF(I199=15,VLOOKUP(Y199,[4]Sheet1!$C:$N,12,0),"Unknown")))</f>
        <v>ULTRAN VERNIS</v>
      </c>
      <c r="BM199" t="str">
        <f>VLOOKUP(W199,[1]branch!$A:$B,2,0)</f>
        <v>HO CHI MINH</v>
      </c>
    </row>
    <row r="200" spans="1:65" x14ac:dyDescent="0.35">
      <c r="A200" s="10">
        <v>45993</v>
      </c>
      <c r="B200" s="9" t="s">
        <v>1123</v>
      </c>
      <c r="C200" s="9" t="s">
        <v>64</v>
      </c>
      <c r="D200" s="9" t="s">
        <v>92</v>
      </c>
      <c r="E200" s="11">
        <v>60</v>
      </c>
      <c r="F200" s="9" t="s">
        <v>93</v>
      </c>
      <c r="G200" s="9" t="s">
        <v>65</v>
      </c>
      <c r="H200" s="9" t="s">
        <v>66</v>
      </c>
      <c r="I200" s="9">
        <v>13</v>
      </c>
      <c r="J200" s="9" t="s">
        <v>264</v>
      </c>
      <c r="K200" s="9" t="s">
        <v>264</v>
      </c>
      <c r="L200" s="9" t="s">
        <v>264</v>
      </c>
      <c r="M200" s="9" t="s">
        <v>265</v>
      </c>
      <c r="N200" s="9" t="s">
        <v>881</v>
      </c>
      <c r="O200" s="9" t="s">
        <v>150</v>
      </c>
      <c r="P200" s="9" t="s">
        <v>67</v>
      </c>
      <c r="Q200" s="9" t="s">
        <v>98</v>
      </c>
      <c r="R200" s="9" t="s">
        <v>264</v>
      </c>
      <c r="S200" s="9" t="s">
        <v>265</v>
      </c>
      <c r="T200" s="9" t="s">
        <v>799</v>
      </c>
      <c r="U200" s="9" t="s">
        <v>67</v>
      </c>
      <c r="V200" s="9" t="s">
        <v>266</v>
      </c>
      <c r="W200" s="9" t="s">
        <v>267</v>
      </c>
      <c r="X200" s="11">
        <v>30</v>
      </c>
      <c r="Y200" s="9" t="s">
        <v>473</v>
      </c>
      <c r="Z200" s="9" t="s">
        <v>68</v>
      </c>
      <c r="AA200" s="9" t="s">
        <v>474</v>
      </c>
      <c r="AB200" s="9" t="s">
        <v>67</v>
      </c>
      <c r="AC200" s="9" t="s">
        <v>472</v>
      </c>
      <c r="AD200" s="11">
        <v>4</v>
      </c>
      <c r="AE200" s="9" t="s">
        <v>70</v>
      </c>
      <c r="AF200" s="9" t="s">
        <v>71</v>
      </c>
      <c r="AG200" s="13">
        <v>1</v>
      </c>
      <c r="AH200" s="9" t="s">
        <v>92</v>
      </c>
      <c r="AI200" s="13">
        <v>313636</v>
      </c>
      <c r="AJ200" s="13">
        <v>1254544</v>
      </c>
      <c r="AK200" s="11">
        <v>230836</v>
      </c>
      <c r="AL200" s="11">
        <v>0</v>
      </c>
      <c r="AM200" s="11">
        <v>0</v>
      </c>
      <c r="AN200" s="9" t="s">
        <v>271</v>
      </c>
      <c r="AO200" s="11">
        <v>1023708</v>
      </c>
      <c r="AP200" s="13">
        <v>81897</v>
      </c>
      <c r="AQ200" s="13">
        <v>1105605</v>
      </c>
      <c r="AR200" s="11">
        <v>16</v>
      </c>
      <c r="AS200" s="9" t="s">
        <v>72</v>
      </c>
      <c r="AT200" s="12">
        <v>21.28</v>
      </c>
      <c r="AU200" s="9" t="s">
        <v>73</v>
      </c>
      <c r="AV200" s="9" t="s">
        <v>67</v>
      </c>
      <c r="AW200" s="9" t="s">
        <v>1121</v>
      </c>
      <c r="AX200" s="10">
        <v>45992</v>
      </c>
      <c r="AY200" s="9" t="s">
        <v>1124</v>
      </c>
      <c r="AZ200" s="9" t="s">
        <v>67</v>
      </c>
      <c r="BA200" s="9" t="s">
        <v>67</v>
      </c>
      <c r="BB200" s="12">
        <v>16</v>
      </c>
      <c r="BC200" s="9" t="s">
        <v>74</v>
      </c>
      <c r="BD200" s="9" t="s">
        <v>104</v>
      </c>
      <c r="BE200" s="9" t="s">
        <v>75</v>
      </c>
      <c r="BF200" s="11">
        <v>0</v>
      </c>
      <c r="BG200">
        <f t="shared" si="8"/>
        <v>12</v>
      </c>
      <c r="BH200" t="str">
        <f>VLOOKUP(BG200,[1]month!$A:$B,2,0)</f>
        <v>Desember</v>
      </c>
      <c r="BI200">
        <f t="shared" si="9"/>
        <v>2025</v>
      </c>
      <c r="BJ200" t="str">
        <f>VLOOKUP(I200,[1]Dist!$A:$B,2,0)</f>
        <v>Retail</v>
      </c>
      <c r="BK200" t="str">
        <f>IF(I200=11,VLOOKUP(Y200,[2]Sheet1!$C:$N,10,0),IF(I200=13,VLOOKUP(Y200,[3]Sheet1!$C:$N,10,0),IF(I200=15,VLOOKUP(Y200,[4]Sheet1!$C:$N,10,0),"Unknown")))</f>
        <v>METALKOTE</v>
      </c>
      <c r="BL200" t="str">
        <f>IF(I200=11,VLOOKUP(Y200,[2]Sheet1!$C:$N,12,0),IF(I200=13,VLOOKUP(Y200,[3]Sheet1!$C:$N,12,0),IF(I200=15,VLOOKUP(Y200,[4]Sheet1!$C:$N,12,0),"Unknown")))</f>
        <v>METALKOTE-ALKYD SYS</v>
      </c>
      <c r="BM200" t="str">
        <f>VLOOKUP(W200,[1]branch!$A:$B,2,0)</f>
        <v>HO CHI MINH</v>
      </c>
    </row>
    <row r="201" spans="1:65" x14ac:dyDescent="0.35">
      <c r="A201" s="10">
        <v>45993</v>
      </c>
      <c r="B201" s="9" t="s">
        <v>1123</v>
      </c>
      <c r="C201" s="9" t="s">
        <v>64</v>
      </c>
      <c r="D201" s="9" t="s">
        <v>92</v>
      </c>
      <c r="E201" s="11">
        <v>60</v>
      </c>
      <c r="F201" s="9" t="s">
        <v>93</v>
      </c>
      <c r="G201" s="9" t="s">
        <v>65</v>
      </c>
      <c r="H201" s="9" t="s">
        <v>66</v>
      </c>
      <c r="I201" s="9">
        <v>13</v>
      </c>
      <c r="J201" s="9" t="s">
        <v>264</v>
      </c>
      <c r="K201" s="9" t="s">
        <v>264</v>
      </c>
      <c r="L201" s="9" t="s">
        <v>264</v>
      </c>
      <c r="M201" s="9" t="s">
        <v>265</v>
      </c>
      <c r="N201" s="9" t="s">
        <v>881</v>
      </c>
      <c r="O201" s="9" t="s">
        <v>150</v>
      </c>
      <c r="P201" s="9" t="s">
        <v>67</v>
      </c>
      <c r="Q201" s="9" t="s">
        <v>98</v>
      </c>
      <c r="R201" s="9" t="s">
        <v>264</v>
      </c>
      <c r="S201" s="9" t="s">
        <v>265</v>
      </c>
      <c r="T201" s="9" t="s">
        <v>799</v>
      </c>
      <c r="U201" s="9" t="s">
        <v>67</v>
      </c>
      <c r="V201" s="9" t="s">
        <v>266</v>
      </c>
      <c r="W201" s="9" t="s">
        <v>267</v>
      </c>
      <c r="X201" s="11">
        <v>40</v>
      </c>
      <c r="Y201" s="9" t="s">
        <v>470</v>
      </c>
      <c r="Z201" s="9" t="s">
        <v>68</v>
      </c>
      <c r="AA201" s="9" t="s">
        <v>471</v>
      </c>
      <c r="AB201" s="9" t="s">
        <v>67</v>
      </c>
      <c r="AC201" s="9" t="s">
        <v>472</v>
      </c>
      <c r="AD201" s="11">
        <v>24</v>
      </c>
      <c r="AE201" s="9" t="s">
        <v>70</v>
      </c>
      <c r="AF201" s="9" t="s">
        <v>71</v>
      </c>
      <c r="AG201" s="13">
        <v>1</v>
      </c>
      <c r="AH201" s="9" t="s">
        <v>92</v>
      </c>
      <c r="AI201" s="13">
        <v>88181</v>
      </c>
      <c r="AJ201" s="13">
        <v>2116344</v>
      </c>
      <c r="AK201" s="11">
        <v>389408</v>
      </c>
      <c r="AL201" s="11">
        <v>0</v>
      </c>
      <c r="AM201" s="11">
        <v>0</v>
      </c>
      <c r="AN201" s="9" t="s">
        <v>271</v>
      </c>
      <c r="AO201" s="11">
        <v>1726936</v>
      </c>
      <c r="AP201" s="13">
        <v>138155</v>
      </c>
      <c r="AQ201" s="13">
        <v>1865091</v>
      </c>
      <c r="AR201" s="11">
        <v>24</v>
      </c>
      <c r="AS201" s="9" t="s">
        <v>72</v>
      </c>
      <c r="AT201" s="12">
        <v>31.92</v>
      </c>
      <c r="AU201" s="9" t="s">
        <v>73</v>
      </c>
      <c r="AV201" s="9" t="s">
        <v>67</v>
      </c>
      <c r="AW201" s="9" t="s">
        <v>1121</v>
      </c>
      <c r="AX201" s="10">
        <v>45992</v>
      </c>
      <c r="AY201" s="9" t="s">
        <v>1124</v>
      </c>
      <c r="AZ201" s="9" t="s">
        <v>67</v>
      </c>
      <c r="BA201" s="9" t="s">
        <v>67</v>
      </c>
      <c r="BB201" s="12">
        <v>24</v>
      </c>
      <c r="BC201" s="9" t="s">
        <v>74</v>
      </c>
      <c r="BD201" s="9" t="s">
        <v>104</v>
      </c>
      <c r="BE201" s="9" t="s">
        <v>75</v>
      </c>
      <c r="BF201" s="11">
        <v>0</v>
      </c>
      <c r="BG201">
        <f t="shared" si="8"/>
        <v>12</v>
      </c>
      <c r="BH201" t="str">
        <f>VLOOKUP(BG201,[1]month!$A:$B,2,0)</f>
        <v>Desember</v>
      </c>
      <c r="BI201">
        <f t="shared" si="9"/>
        <v>2025</v>
      </c>
      <c r="BJ201" t="str">
        <f>VLOOKUP(I201,[1]Dist!$A:$B,2,0)</f>
        <v>Retail</v>
      </c>
      <c r="BK201" t="str">
        <f>IF(I201=11,VLOOKUP(Y201,[2]Sheet1!$C:$N,10,0),IF(I201=13,VLOOKUP(Y201,[3]Sheet1!$C:$N,10,0),IF(I201=15,VLOOKUP(Y201,[4]Sheet1!$C:$N,10,0),"Unknown")))</f>
        <v>METALKOTE</v>
      </c>
      <c r="BL201" t="str">
        <f>IF(I201=11,VLOOKUP(Y201,[2]Sheet1!$C:$N,12,0),IF(I201=13,VLOOKUP(Y201,[3]Sheet1!$C:$N,12,0),IF(I201=15,VLOOKUP(Y201,[4]Sheet1!$C:$N,12,0),"Unknown")))</f>
        <v>METALKOTE-ALKYD SYS</v>
      </c>
      <c r="BM201" t="str">
        <f>VLOOKUP(W201,[1]branch!$A:$B,2,0)</f>
        <v>HO CHI MINH</v>
      </c>
    </row>
    <row r="202" spans="1:65" x14ac:dyDescent="0.35">
      <c r="A202" s="10">
        <v>45993</v>
      </c>
      <c r="B202" s="9" t="s">
        <v>1125</v>
      </c>
      <c r="C202" s="9" t="s">
        <v>64</v>
      </c>
      <c r="D202" s="9" t="s">
        <v>92</v>
      </c>
      <c r="E202" s="11">
        <v>45</v>
      </c>
      <c r="F202" s="9" t="s">
        <v>93</v>
      </c>
      <c r="G202" s="9" t="s">
        <v>65</v>
      </c>
      <c r="H202" s="9" t="s">
        <v>66</v>
      </c>
      <c r="I202" s="9">
        <v>11</v>
      </c>
      <c r="J202" s="9" t="s">
        <v>646</v>
      </c>
      <c r="K202" s="9" t="s">
        <v>646</v>
      </c>
      <c r="L202" s="9" t="s">
        <v>646</v>
      </c>
      <c r="M202" s="9" t="s">
        <v>647</v>
      </c>
      <c r="N202" s="9" t="s">
        <v>867</v>
      </c>
      <c r="O202" s="9" t="s">
        <v>97</v>
      </c>
      <c r="P202" s="9" t="s">
        <v>67</v>
      </c>
      <c r="Q202" s="9" t="s">
        <v>98</v>
      </c>
      <c r="R202" s="9" t="s">
        <v>646</v>
      </c>
      <c r="S202" s="9" t="s">
        <v>647</v>
      </c>
      <c r="T202" s="9" t="s">
        <v>825</v>
      </c>
      <c r="U202" s="9" t="s">
        <v>67</v>
      </c>
      <c r="V202" s="9" t="s">
        <v>130</v>
      </c>
      <c r="W202" s="9" t="s">
        <v>131</v>
      </c>
      <c r="X202" s="11">
        <v>10</v>
      </c>
      <c r="Y202" s="9" t="s">
        <v>164</v>
      </c>
      <c r="Z202" s="9" t="s">
        <v>68</v>
      </c>
      <c r="AA202" s="9" t="s">
        <v>165</v>
      </c>
      <c r="AB202" s="9" t="s">
        <v>67</v>
      </c>
      <c r="AC202" s="9" t="s">
        <v>166</v>
      </c>
      <c r="AD202" s="11">
        <v>15</v>
      </c>
      <c r="AE202" s="9" t="s">
        <v>70</v>
      </c>
      <c r="AF202" s="9" t="s">
        <v>71</v>
      </c>
      <c r="AG202" s="13">
        <v>1</v>
      </c>
      <c r="AH202" s="9" t="s">
        <v>92</v>
      </c>
      <c r="AI202" s="13">
        <v>984000</v>
      </c>
      <c r="AJ202" s="13">
        <v>14760000</v>
      </c>
      <c r="AK202" s="11">
        <v>0</v>
      </c>
      <c r="AL202" s="11">
        <v>0</v>
      </c>
      <c r="AM202" s="11">
        <v>0</v>
      </c>
      <c r="AN202" s="9" t="s">
        <v>67</v>
      </c>
      <c r="AO202" s="11">
        <v>14760000</v>
      </c>
      <c r="AP202" s="13">
        <v>1180800</v>
      </c>
      <c r="AQ202" s="13">
        <v>15940800</v>
      </c>
      <c r="AR202" s="11">
        <v>240</v>
      </c>
      <c r="AS202" s="9" t="s">
        <v>72</v>
      </c>
      <c r="AT202" s="12">
        <v>230.7</v>
      </c>
      <c r="AU202" s="9" t="s">
        <v>73</v>
      </c>
      <c r="AV202" s="9" t="s">
        <v>67</v>
      </c>
      <c r="AW202" s="9" t="s">
        <v>1126</v>
      </c>
      <c r="AX202" s="10">
        <v>45992</v>
      </c>
      <c r="AY202" s="9" t="s">
        <v>1127</v>
      </c>
      <c r="AZ202" s="9" t="s">
        <v>67</v>
      </c>
      <c r="BA202" s="9" t="s">
        <v>67</v>
      </c>
      <c r="BB202" s="12">
        <v>240</v>
      </c>
      <c r="BC202" s="9" t="s">
        <v>74</v>
      </c>
      <c r="BD202" s="9" t="s">
        <v>104</v>
      </c>
      <c r="BE202" s="9" t="s">
        <v>75</v>
      </c>
      <c r="BF202" s="11">
        <v>0</v>
      </c>
      <c r="BG202">
        <f t="shared" si="8"/>
        <v>12</v>
      </c>
      <c r="BH202" t="str">
        <f>VLOOKUP(BG202,[1]month!$A:$B,2,0)</f>
        <v>Desember</v>
      </c>
      <c r="BI202">
        <f t="shared" si="9"/>
        <v>2025</v>
      </c>
      <c r="BJ202" t="str">
        <f>VLOOKUP(I202,[1]Dist!$A:$B,2,0)</f>
        <v>Industry</v>
      </c>
      <c r="BK202" t="str">
        <f>IF(I202=11,VLOOKUP(Y202,[2]Sheet1!$C:$N,10,0),IF(I202=13,VLOOKUP(Y202,[3]Sheet1!$C:$N,10,0),IF(I202=15,VLOOKUP(Y202,[4]Sheet1!$C:$N,10,0),"Unknown")))</f>
        <v>PU</v>
      </c>
      <c r="BL202" t="str">
        <f>IF(I202=11,VLOOKUP(Y202,[2]Sheet1!$C:$N,12,0),IF(I202=13,VLOOKUP(Y202,[3]Sheet1!$C:$N,12,0),IF(I202=15,VLOOKUP(Y202,[4]Sheet1!$C:$N,12,0),"Unknown")))</f>
        <v>UNION SANDING SEALER</v>
      </c>
      <c r="BM202" t="str">
        <f>VLOOKUP(W202,[1]branch!$A:$B,2,0)</f>
        <v>INDUSTRY</v>
      </c>
    </row>
    <row r="203" spans="1:65" x14ac:dyDescent="0.35">
      <c r="A203" s="10">
        <v>45993</v>
      </c>
      <c r="B203" s="9" t="s">
        <v>1125</v>
      </c>
      <c r="C203" s="9" t="s">
        <v>64</v>
      </c>
      <c r="D203" s="9" t="s">
        <v>92</v>
      </c>
      <c r="E203" s="11">
        <v>45</v>
      </c>
      <c r="F203" s="9" t="s">
        <v>93</v>
      </c>
      <c r="G203" s="9" t="s">
        <v>65</v>
      </c>
      <c r="H203" s="9" t="s">
        <v>66</v>
      </c>
      <c r="I203" s="9">
        <v>11</v>
      </c>
      <c r="J203" s="9" t="s">
        <v>646</v>
      </c>
      <c r="K203" s="9" t="s">
        <v>646</v>
      </c>
      <c r="L203" s="9" t="s">
        <v>646</v>
      </c>
      <c r="M203" s="9" t="s">
        <v>647</v>
      </c>
      <c r="N203" s="9" t="s">
        <v>867</v>
      </c>
      <c r="O203" s="9" t="s">
        <v>97</v>
      </c>
      <c r="P203" s="9" t="s">
        <v>67</v>
      </c>
      <c r="Q203" s="9" t="s">
        <v>98</v>
      </c>
      <c r="R203" s="9" t="s">
        <v>646</v>
      </c>
      <c r="S203" s="9" t="s">
        <v>647</v>
      </c>
      <c r="T203" s="9" t="s">
        <v>825</v>
      </c>
      <c r="U203" s="9" t="s">
        <v>67</v>
      </c>
      <c r="V203" s="9" t="s">
        <v>130</v>
      </c>
      <c r="W203" s="9" t="s">
        <v>131</v>
      </c>
      <c r="X203" s="11">
        <v>20</v>
      </c>
      <c r="Y203" s="9" t="s">
        <v>167</v>
      </c>
      <c r="Z203" s="9" t="s">
        <v>68</v>
      </c>
      <c r="AA203" s="9" t="s">
        <v>168</v>
      </c>
      <c r="AB203" s="9" t="s">
        <v>67</v>
      </c>
      <c r="AC203" s="9" t="s">
        <v>169</v>
      </c>
      <c r="AD203" s="11">
        <v>32</v>
      </c>
      <c r="AE203" s="9" t="s">
        <v>70</v>
      </c>
      <c r="AF203" s="9" t="s">
        <v>71</v>
      </c>
      <c r="AG203" s="13">
        <v>1</v>
      </c>
      <c r="AH203" s="9" t="s">
        <v>92</v>
      </c>
      <c r="AI203" s="13">
        <v>417200</v>
      </c>
      <c r="AJ203" s="13">
        <v>13350400</v>
      </c>
      <c r="AK203" s="11">
        <v>0</v>
      </c>
      <c r="AL203" s="11">
        <v>0</v>
      </c>
      <c r="AM203" s="11">
        <v>0</v>
      </c>
      <c r="AN203" s="9" t="s">
        <v>67</v>
      </c>
      <c r="AO203" s="11">
        <v>13350400</v>
      </c>
      <c r="AP203" s="13">
        <v>1068032</v>
      </c>
      <c r="AQ203" s="13">
        <v>14418432</v>
      </c>
      <c r="AR203" s="11">
        <v>128</v>
      </c>
      <c r="AS203" s="9" t="s">
        <v>72</v>
      </c>
      <c r="AT203" s="11">
        <v>128</v>
      </c>
      <c r="AU203" s="9" t="s">
        <v>73</v>
      </c>
      <c r="AV203" s="9" t="s">
        <v>67</v>
      </c>
      <c r="AW203" s="9" t="s">
        <v>1126</v>
      </c>
      <c r="AX203" s="10">
        <v>45992</v>
      </c>
      <c r="AY203" s="9" t="s">
        <v>1127</v>
      </c>
      <c r="AZ203" s="9" t="s">
        <v>67</v>
      </c>
      <c r="BA203" s="9" t="s">
        <v>67</v>
      </c>
      <c r="BB203" s="12">
        <v>128</v>
      </c>
      <c r="BC203" s="9" t="s">
        <v>74</v>
      </c>
      <c r="BD203" s="9" t="s">
        <v>104</v>
      </c>
      <c r="BE203" s="9" t="s">
        <v>75</v>
      </c>
      <c r="BF203" s="11">
        <v>0</v>
      </c>
      <c r="BG203">
        <f t="shared" si="8"/>
        <v>12</v>
      </c>
      <c r="BH203" t="str">
        <f>VLOOKUP(BG203,[1]month!$A:$B,2,0)</f>
        <v>Desember</v>
      </c>
      <c r="BI203">
        <f t="shared" si="9"/>
        <v>2025</v>
      </c>
      <c r="BJ203" t="str">
        <f>VLOOKUP(I203,[1]Dist!$A:$B,2,0)</f>
        <v>Industry</v>
      </c>
      <c r="BK203" t="str">
        <f>IF(I203=11,VLOOKUP(Y203,[2]Sheet1!$C:$N,10,0),IF(I203=13,VLOOKUP(Y203,[3]Sheet1!$C:$N,10,0),IF(I203=15,VLOOKUP(Y203,[4]Sheet1!$C:$N,10,0),"Unknown")))</f>
        <v>PU</v>
      </c>
      <c r="BL203" t="str">
        <f>IF(I203=11,VLOOKUP(Y203,[2]Sheet1!$C:$N,12,0),IF(I203=13,VLOOKUP(Y203,[3]Sheet1!$C:$N,12,0),IF(I203=15,VLOOKUP(Y203,[4]Sheet1!$C:$N,12,0),"Unknown")))</f>
        <v>UNION HARDENER</v>
      </c>
      <c r="BM203" t="str">
        <f>VLOOKUP(W203,[1]branch!$A:$B,2,0)</f>
        <v>INDUSTRY</v>
      </c>
    </row>
    <row r="204" spans="1:65" x14ac:dyDescent="0.35">
      <c r="A204" s="10">
        <v>45993</v>
      </c>
      <c r="B204" s="9" t="s">
        <v>1125</v>
      </c>
      <c r="C204" s="9" t="s">
        <v>64</v>
      </c>
      <c r="D204" s="9" t="s">
        <v>92</v>
      </c>
      <c r="E204" s="11">
        <v>45</v>
      </c>
      <c r="F204" s="9" t="s">
        <v>93</v>
      </c>
      <c r="G204" s="9" t="s">
        <v>65</v>
      </c>
      <c r="H204" s="9" t="s">
        <v>66</v>
      </c>
      <c r="I204" s="9">
        <v>11</v>
      </c>
      <c r="J204" s="9" t="s">
        <v>646</v>
      </c>
      <c r="K204" s="9" t="s">
        <v>646</v>
      </c>
      <c r="L204" s="9" t="s">
        <v>646</v>
      </c>
      <c r="M204" s="9" t="s">
        <v>647</v>
      </c>
      <c r="N204" s="9" t="s">
        <v>867</v>
      </c>
      <c r="O204" s="9" t="s">
        <v>97</v>
      </c>
      <c r="P204" s="9" t="s">
        <v>67</v>
      </c>
      <c r="Q204" s="9" t="s">
        <v>98</v>
      </c>
      <c r="R204" s="9" t="s">
        <v>646</v>
      </c>
      <c r="S204" s="9" t="s">
        <v>647</v>
      </c>
      <c r="T204" s="9" t="s">
        <v>825</v>
      </c>
      <c r="U204" s="9" t="s">
        <v>67</v>
      </c>
      <c r="V204" s="9" t="s">
        <v>130</v>
      </c>
      <c r="W204" s="9" t="s">
        <v>131</v>
      </c>
      <c r="X204" s="11">
        <v>30</v>
      </c>
      <c r="Y204" s="9" t="s">
        <v>176</v>
      </c>
      <c r="Z204" s="9" t="s">
        <v>68</v>
      </c>
      <c r="AA204" s="9" t="s">
        <v>177</v>
      </c>
      <c r="AB204" s="9" t="s">
        <v>67</v>
      </c>
      <c r="AC204" s="9" t="s">
        <v>178</v>
      </c>
      <c r="AD204" s="11">
        <v>20</v>
      </c>
      <c r="AE204" s="9" t="s">
        <v>70</v>
      </c>
      <c r="AF204" s="9" t="s">
        <v>71</v>
      </c>
      <c r="AG204" s="13">
        <v>1</v>
      </c>
      <c r="AH204" s="9" t="s">
        <v>92</v>
      </c>
      <c r="AI204" s="13">
        <v>417200</v>
      </c>
      <c r="AJ204" s="13">
        <v>8344000</v>
      </c>
      <c r="AK204" s="11">
        <v>0</v>
      </c>
      <c r="AL204" s="11">
        <v>0</v>
      </c>
      <c r="AM204" s="11">
        <v>0</v>
      </c>
      <c r="AN204" s="9" t="s">
        <v>67</v>
      </c>
      <c r="AO204" s="11">
        <v>8344000</v>
      </c>
      <c r="AP204" s="13">
        <v>667520</v>
      </c>
      <c r="AQ204" s="13">
        <v>9011520</v>
      </c>
      <c r="AR204" s="11">
        <v>80</v>
      </c>
      <c r="AS204" s="9" t="s">
        <v>72</v>
      </c>
      <c r="AT204" s="12">
        <v>79.2</v>
      </c>
      <c r="AU204" s="9" t="s">
        <v>73</v>
      </c>
      <c r="AV204" s="9" t="s">
        <v>67</v>
      </c>
      <c r="AW204" s="9" t="s">
        <v>1126</v>
      </c>
      <c r="AX204" s="10">
        <v>45992</v>
      </c>
      <c r="AY204" s="9" t="s">
        <v>1127</v>
      </c>
      <c r="AZ204" s="9" t="s">
        <v>67</v>
      </c>
      <c r="BA204" s="9" t="s">
        <v>67</v>
      </c>
      <c r="BB204" s="12">
        <v>80</v>
      </c>
      <c r="BC204" s="9" t="s">
        <v>74</v>
      </c>
      <c r="BD204" s="9" t="s">
        <v>104</v>
      </c>
      <c r="BE204" s="9" t="s">
        <v>75</v>
      </c>
      <c r="BF204" s="11">
        <v>0</v>
      </c>
      <c r="BG204">
        <f t="shared" si="8"/>
        <v>12</v>
      </c>
      <c r="BH204" t="str">
        <f>VLOOKUP(BG204,[1]month!$A:$B,2,0)</f>
        <v>Desember</v>
      </c>
      <c r="BI204">
        <f t="shared" si="9"/>
        <v>2025</v>
      </c>
      <c r="BJ204" t="str">
        <f>VLOOKUP(I204,[1]Dist!$A:$B,2,0)</f>
        <v>Industry</v>
      </c>
      <c r="BK204" t="str">
        <f>IF(I204=11,VLOOKUP(Y204,[2]Sheet1!$C:$N,10,0),IF(I204=13,VLOOKUP(Y204,[3]Sheet1!$C:$N,10,0),IF(I204=15,VLOOKUP(Y204,[4]Sheet1!$C:$N,10,0),"Unknown")))</f>
        <v>PU</v>
      </c>
      <c r="BL204" t="str">
        <f>IF(I204=11,VLOOKUP(Y204,[2]Sheet1!$C:$N,12,0),IF(I204=13,VLOOKUP(Y204,[3]Sheet1!$C:$N,12,0),IF(I204=15,VLOOKUP(Y204,[4]Sheet1!$C:$N,12,0),"Unknown")))</f>
        <v>UNION HARDENER</v>
      </c>
      <c r="BM204" t="str">
        <f>VLOOKUP(W204,[1]branch!$A:$B,2,0)</f>
        <v>INDUSTRY</v>
      </c>
    </row>
    <row r="205" spans="1:65" x14ac:dyDescent="0.35">
      <c r="A205" s="10">
        <v>45993</v>
      </c>
      <c r="B205" s="9" t="s">
        <v>1125</v>
      </c>
      <c r="C205" s="9" t="s">
        <v>64</v>
      </c>
      <c r="D205" s="9" t="s">
        <v>92</v>
      </c>
      <c r="E205" s="11">
        <v>45</v>
      </c>
      <c r="F205" s="9" t="s">
        <v>93</v>
      </c>
      <c r="G205" s="9" t="s">
        <v>65</v>
      </c>
      <c r="H205" s="9" t="s">
        <v>66</v>
      </c>
      <c r="I205" s="9">
        <v>11</v>
      </c>
      <c r="J205" s="9" t="s">
        <v>646</v>
      </c>
      <c r="K205" s="9" t="s">
        <v>646</v>
      </c>
      <c r="L205" s="9" t="s">
        <v>646</v>
      </c>
      <c r="M205" s="9" t="s">
        <v>647</v>
      </c>
      <c r="N205" s="9" t="s">
        <v>867</v>
      </c>
      <c r="O205" s="9" t="s">
        <v>97</v>
      </c>
      <c r="P205" s="9" t="s">
        <v>67</v>
      </c>
      <c r="Q205" s="9" t="s">
        <v>98</v>
      </c>
      <c r="R205" s="9" t="s">
        <v>646</v>
      </c>
      <c r="S205" s="9" t="s">
        <v>647</v>
      </c>
      <c r="T205" s="9" t="s">
        <v>825</v>
      </c>
      <c r="U205" s="9" t="s">
        <v>67</v>
      </c>
      <c r="V205" s="9" t="s">
        <v>130</v>
      </c>
      <c r="W205" s="9" t="s">
        <v>131</v>
      </c>
      <c r="X205" s="11">
        <v>40</v>
      </c>
      <c r="Y205" s="9" t="s">
        <v>170</v>
      </c>
      <c r="Z205" s="9" t="s">
        <v>68</v>
      </c>
      <c r="AA205" s="9" t="s">
        <v>171</v>
      </c>
      <c r="AB205" s="9" t="s">
        <v>67</v>
      </c>
      <c r="AC205" s="9" t="s">
        <v>172</v>
      </c>
      <c r="AD205" s="11">
        <v>10</v>
      </c>
      <c r="AE205" s="9" t="s">
        <v>70</v>
      </c>
      <c r="AF205" s="9" t="s">
        <v>71</v>
      </c>
      <c r="AG205" s="13">
        <v>1</v>
      </c>
      <c r="AH205" s="9" t="s">
        <v>92</v>
      </c>
      <c r="AI205" s="13">
        <v>1302400</v>
      </c>
      <c r="AJ205" s="13">
        <v>13024000</v>
      </c>
      <c r="AK205" s="11">
        <v>0</v>
      </c>
      <c r="AL205" s="11">
        <v>0</v>
      </c>
      <c r="AM205" s="11">
        <v>0</v>
      </c>
      <c r="AN205" s="9" t="s">
        <v>67</v>
      </c>
      <c r="AO205" s="11">
        <v>13024000</v>
      </c>
      <c r="AP205" s="13">
        <v>1041920</v>
      </c>
      <c r="AQ205" s="13">
        <v>14065920</v>
      </c>
      <c r="AR205" s="11">
        <v>160</v>
      </c>
      <c r="AS205" s="9" t="s">
        <v>72</v>
      </c>
      <c r="AT205" s="11">
        <v>160</v>
      </c>
      <c r="AU205" s="9" t="s">
        <v>73</v>
      </c>
      <c r="AV205" s="9" t="s">
        <v>67</v>
      </c>
      <c r="AW205" s="9" t="s">
        <v>1126</v>
      </c>
      <c r="AX205" s="10">
        <v>45992</v>
      </c>
      <c r="AY205" s="9" t="s">
        <v>1127</v>
      </c>
      <c r="AZ205" s="9" t="s">
        <v>67</v>
      </c>
      <c r="BA205" s="9" t="s">
        <v>67</v>
      </c>
      <c r="BB205" s="12">
        <v>160</v>
      </c>
      <c r="BC205" s="9" t="s">
        <v>74</v>
      </c>
      <c r="BD205" s="9" t="s">
        <v>104</v>
      </c>
      <c r="BE205" s="9" t="s">
        <v>75</v>
      </c>
      <c r="BF205" s="11">
        <v>0</v>
      </c>
      <c r="BG205">
        <f t="shared" si="8"/>
        <v>12</v>
      </c>
      <c r="BH205" t="str">
        <f>VLOOKUP(BG205,[1]month!$A:$B,2,0)</f>
        <v>Desember</v>
      </c>
      <c r="BI205">
        <f t="shared" si="9"/>
        <v>2025</v>
      </c>
      <c r="BJ205" t="str">
        <f>VLOOKUP(I205,[1]Dist!$A:$B,2,0)</f>
        <v>Industry</v>
      </c>
      <c r="BK205" t="str">
        <f>IF(I205=11,VLOOKUP(Y205,[2]Sheet1!$C:$N,10,0),IF(I205=13,VLOOKUP(Y205,[3]Sheet1!$C:$N,10,0),IF(I205=15,VLOOKUP(Y205,[4]Sheet1!$C:$N,10,0),"Unknown")))</f>
        <v>PU</v>
      </c>
      <c r="BL205" t="str">
        <f>IF(I205=11,VLOOKUP(Y205,[2]Sheet1!$C:$N,12,0),IF(I205=13,VLOOKUP(Y205,[3]Sheet1!$C:$N,12,0),IF(I205=15,VLOOKUP(Y205,[4]Sheet1!$C:$N,12,0),"Unknown")))</f>
        <v>UNION TOP COAT</v>
      </c>
      <c r="BM205" t="str">
        <f>VLOOKUP(W205,[1]branch!$A:$B,2,0)</f>
        <v>INDUSTRY</v>
      </c>
    </row>
    <row r="206" spans="1:65" x14ac:dyDescent="0.35">
      <c r="A206" s="10">
        <v>45993</v>
      </c>
      <c r="B206" s="9" t="s">
        <v>1125</v>
      </c>
      <c r="C206" s="9" t="s">
        <v>64</v>
      </c>
      <c r="D206" s="9" t="s">
        <v>92</v>
      </c>
      <c r="E206" s="11">
        <v>45</v>
      </c>
      <c r="F206" s="9" t="s">
        <v>93</v>
      </c>
      <c r="G206" s="9" t="s">
        <v>65</v>
      </c>
      <c r="H206" s="9" t="s">
        <v>66</v>
      </c>
      <c r="I206" s="9">
        <v>11</v>
      </c>
      <c r="J206" s="9" t="s">
        <v>646</v>
      </c>
      <c r="K206" s="9" t="s">
        <v>646</v>
      </c>
      <c r="L206" s="9" t="s">
        <v>646</v>
      </c>
      <c r="M206" s="9" t="s">
        <v>647</v>
      </c>
      <c r="N206" s="9" t="s">
        <v>867</v>
      </c>
      <c r="O206" s="9" t="s">
        <v>97</v>
      </c>
      <c r="P206" s="9" t="s">
        <v>67</v>
      </c>
      <c r="Q206" s="9" t="s">
        <v>98</v>
      </c>
      <c r="R206" s="9" t="s">
        <v>646</v>
      </c>
      <c r="S206" s="9" t="s">
        <v>647</v>
      </c>
      <c r="T206" s="9" t="s">
        <v>825</v>
      </c>
      <c r="U206" s="9" t="s">
        <v>67</v>
      </c>
      <c r="V206" s="9" t="s">
        <v>130</v>
      </c>
      <c r="W206" s="9" t="s">
        <v>131</v>
      </c>
      <c r="X206" s="11">
        <v>50</v>
      </c>
      <c r="Y206" s="9" t="s">
        <v>452</v>
      </c>
      <c r="Z206" s="9" t="s">
        <v>68</v>
      </c>
      <c r="AA206" s="9" t="s">
        <v>453</v>
      </c>
      <c r="AB206" s="9" t="s">
        <v>67</v>
      </c>
      <c r="AC206" s="9" t="s">
        <v>91</v>
      </c>
      <c r="AD206" s="11">
        <v>1</v>
      </c>
      <c r="AE206" s="9" t="s">
        <v>70</v>
      </c>
      <c r="AF206" s="9" t="s">
        <v>71</v>
      </c>
      <c r="AG206" s="13">
        <v>1</v>
      </c>
      <c r="AH206" s="9" t="s">
        <v>92</v>
      </c>
      <c r="AI206" s="13">
        <v>1159600</v>
      </c>
      <c r="AJ206" s="13">
        <v>1159600</v>
      </c>
      <c r="AK206" s="11">
        <v>0</v>
      </c>
      <c r="AL206" s="11">
        <v>0</v>
      </c>
      <c r="AM206" s="11">
        <v>0</v>
      </c>
      <c r="AN206" s="9" t="s">
        <v>67</v>
      </c>
      <c r="AO206" s="11">
        <v>1159600</v>
      </c>
      <c r="AP206" s="13">
        <v>92768</v>
      </c>
      <c r="AQ206" s="13">
        <v>1252368</v>
      </c>
      <c r="AR206" s="11">
        <v>4</v>
      </c>
      <c r="AS206" s="9" t="s">
        <v>72</v>
      </c>
      <c r="AT206" s="12">
        <v>3.92</v>
      </c>
      <c r="AU206" s="9" t="s">
        <v>73</v>
      </c>
      <c r="AV206" s="9" t="s">
        <v>67</v>
      </c>
      <c r="AW206" s="9" t="s">
        <v>1126</v>
      </c>
      <c r="AX206" s="10">
        <v>45992</v>
      </c>
      <c r="AY206" s="9" t="s">
        <v>1127</v>
      </c>
      <c r="AZ206" s="9" t="s">
        <v>67</v>
      </c>
      <c r="BA206" s="9" t="s">
        <v>67</v>
      </c>
      <c r="BB206" s="12">
        <v>4</v>
      </c>
      <c r="BC206" s="9" t="s">
        <v>74</v>
      </c>
      <c r="BD206" s="9" t="s">
        <v>104</v>
      </c>
      <c r="BE206" s="9" t="s">
        <v>75</v>
      </c>
      <c r="BF206" s="11">
        <v>0</v>
      </c>
      <c r="BG206">
        <f t="shared" si="8"/>
        <v>12</v>
      </c>
      <c r="BH206" t="str">
        <f>VLOOKUP(BG206,[1]month!$A:$B,2,0)</f>
        <v>Desember</v>
      </c>
      <c r="BI206">
        <f t="shared" si="9"/>
        <v>2025</v>
      </c>
      <c r="BJ206" t="str">
        <f>VLOOKUP(I206,[1]Dist!$A:$B,2,0)</f>
        <v>Industry</v>
      </c>
      <c r="BK206" t="str">
        <f>IF(I206=11,VLOOKUP(Y206,[2]Sheet1!$C:$N,10,0),IF(I206=13,VLOOKUP(Y206,[3]Sheet1!$C:$N,10,0),IF(I206=15,VLOOKUP(Y206,[4]Sheet1!$C:$N,10,0),"Unknown")))</f>
        <v>COMPLEMENTARY</v>
      </c>
      <c r="BL206" t="str">
        <f>IF(I206=11,VLOOKUP(Y206,[2]Sheet1!$C:$N,12,0),IF(I206=13,VLOOKUP(Y206,[3]Sheet1!$C:$N,12,0),IF(I206=15,VLOOKUP(Y206,[4]Sheet1!$C:$N,12,0),"Unknown")))</f>
        <v>PASTA</v>
      </c>
      <c r="BM206" t="str">
        <f>VLOOKUP(W206,[1]branch!$A:$B,2,0)</f>
        <v>INDUSTRY</v>
      </c>
    </row>
    <row r="207" spans="1:65" x14ac:dyDescent="0.35">
      <c r="A207" s="10">
        <v>45993</v>
      </c>
      <c r="B207" s="9" t="s">
        <v>1125</v>
      </c>
      <c r="C207" s="9" t="s">
        <v>64</v>
      </c>
      <c r="D207" s="9" t="s">
        <v>92</v>
      </c>
      <c r="E207" s="11">
        <v>45</v>
      </c>
      <c r="F207" s="9" t="s">
        <v>93</v>
      </c>
      <c r="G207" s="9" t="s">
        <v>65</v>
      </c>
      <c r="H207" s="9" t="s">
        <v>66</v>
      </c>
      <c r="I207" s="9">
        <v>11</v>
      </c>
      <c r="J207" s="9" t="s">
        <v>646</v>
      </c>
      <c r="K207" s="9" t="s">
        <v>646</v>
      </c>
      <c r="L207" s="9" t="s">
        <v>646</v>
      </c>
      <c r="M207" s="9" t="s">
        <v>647</v>
      </c>
      <c r="N207" s="9" t="s">
        <v>867</v>
      </c>
      <c r="O207" s="9" t="s">
        <v>97</v>
      </c>
      <c r="P207" s="9" t="s">
        <v>67</v>
      </c>
      <c r="Q207" s="9" t="s">
        <v>98</v>
      </c>
      <c r="R207" s="9" t="s">
        <v>646</v>
      </c>
      <c r="S207" s="9" t="s">
        <v>647</v>
      </c>
      <c r="T207" s="9" t="s">
        <v>825</v>
      </c>
      <c r="U207" s="9" t="s">
        <v>67</v>
      </c>
      <c r="V207" s="9" t="s">
        <v>130</v>
      </c>
      <c r="W207" s="9" t="s">
        <v>131</v>
      </c>
      <c r="X207" s="11">
        <v>60</v>
      </c>
      <c r="Y207" s="9" t="s">
        <v>376</v>
      </c>
      <c r="Z207" s="9" t="s">
        <v>68</v>
      </c>
      <c r="AA207" s="9" t="s">
        <v>377</v>
      </c>
      <c r="AB207" s="9" t="s">
        <v>67</v>
      </c>
      <c r="AC207" s="9" t="s">
        <v>175</v>
      </c>
      <c r="AD207" s="11">
        <v>3</v>
      </c>
      <c r="AE207" s="9" t="s">
        <v>70</v>
      </c>
      <c r="AF207" s="9" t="s">
        <v>71</v>
      </c>
      <c r="AG207" s="13">
        <v>1</v>
      </c>
      <c r="AH207" s="9" t="s">
        <v>92</v>
      </c>
      <c r="AI207" s="13">
        <v>8320000</v>
      </c>
      <c r="AJ207" s="13">
        <v>24960000</v>
      </c>
      <c r="AK207" s="11">
        <v>0</v>
      </c>
      <c r="AL207" s="11">
        <v>0</v>
      </c>
      <c r="AM207" s="11">
        <v>0</v>
      </c>
      <c r="AN207" s="9" t="s">
        <v>67</v>
      </c>
      <c r="AO207" s="11">
        <v>24960000</v>
      </c>
      <c r="AP207" s="13">
        <v>1996800</v>
      </c>
      <c r="AQ207" s="13">
        <v>26956800</v>
      </c>
      <c r="AR207" s="11">
        <v>528</v>
      </c>
      <c r="AS207" s="9" t="s">
        <v>72</v>
      </c>
      <c r="AT207" s="11">
        <v>600</v>
      </c>
      <c r="AU207" s="9" t="s">
        <v>73</v>
      </c>
      <c r="AV207" s="9" t="s">
        <v>67</v>
      </c>
      <c r="AW207" s="9" t="s">
        <v>1126</v>
      </c>
      <c r="AX207" s="10">
        <v>45992</v>
      </c>
      <c r="AY207" s="9" t="s">
        <v>1127</v>
      </c>
      <c r="AZ207" s="9" t="s">
        <v>67</v>
      </c>
      <c r="BA207" s="9" t="s">
        <v>67</v>
      </c>
      <c r="BB207" s="12">
        <v>600</v>
      </c>
      <c r="BC207" s="9" t="s">
        <v>74</v>
      </c>
      <c r="BD207" s="9" t="s">
        <v>104</v>
      </c>
      <c r="BE207" s="9" t="s">
        <v>75</v>
      </c>
      <c r="BF207" s="11">
        <v>0</v>
      </c>
      <c r="BG207">
        <f t="shared" si="8"/>
        <v>12</v>
      </c>
      <c r="BH207" t="str">
        <f>VLOOKUP(BG207,[1]month!$A:$B,2,0)</f>
        <v>Desember</v>
      </c>
      <c r="BI207">
        <f t="shared" si="9"/>
        <v>2025</v>
      </c>
      <c r="BJ207" t="str">
        <f>VLOOKUP(I207,[1]Dist!$A:$B,2,0)</f>
        <v>Industry</v>
      </c>
      <c r="BK207" t="str">
        <f>IF(I207=11,VLOOKUP(Y207,[2]Sheet1!$C:$N,10,0),IF(I207=13,VLOOKUP(Y207,[3]Sheet1!$C:$N,10,0),IF(I207=15,VLOOKUP(Y207,[4]Sheet1!$C:$N,10,0),"Unknown")))</f>
        <v>THINNER PU</v>
      </c>
      <c r="BL207" t="str">
        <f>IF(I207=11,VLOOKUP(Y207,[2]Sheet1!$C:$N,12,0),IF(I207=13,VLOOKUP(Y207,[3]Sheet1!$C:$N,12,0),IF(I207=15,VLOOKUP(Y207,[4]Sheet1!$C:$N,12,0),"Unknown")))</f>
        <v>UNION THINNER</v>
      </c>
      <c r="BM207" t="str">
        <f>VLOOKUP(W207,[1]branch!$A:$B,2,0)</f>
        <v>INDUSTRY</v>
      </c>
    </row>
    <row r="208" spans="1:65" x14ac:dyDescent="0.35">
      <c r="A208" s="10">
        <v>45993</v>
      </c>
      <c r="B208" s="9" t="s">
        <v>1125</v>
      </c>
      <c r="C208" s="9" t="s">
        <v>64</v>
      </c>
      <c r="D208" s="9" t="s">
        <v>92</v>
      </c>
      <c r="E208" s="11">
        <v>45</v>
      </c>
      <c r="F208" s="9" t="s">
        <v>93</v>
      </c>
      <c r="G208" s="9" t="s">
        <v>65</v>
      </c>
      <c r="H208" s="9" t="s">
        <v>66</v>
      </c>
      <c r="I208" s="9">
        <v>11</v>
      </c>
      <c r="J208" s="9" t="s">
        <v>646</v>
      </c>
      <c r="K208" s="9" t="s">
        <v>646</v>
      </c>
      <c r="L208" s="9" t="s">
        <v>646</v>
      </c>
      <c r="M208" s="9" t="s">
        <v>647</v>
      </c>
      <c r="N208" s="9" t="s">
        <v>867</v>
      </c>
      <c r="O208" s="9" t="s">
        <v>97</v>
      </c>
      <c r="P208" s="9" t="s">
        <v>67</v>
      </c>
      <c r="Q208" s="9" t="s">
        <v>98</v>
      </c>
      <c r="R208" s="9" t="s">
        <v>646</v>
      </c>
      <c r="S208" s="9" t="s">
        <v>647</v>
      </c>
      <c r="T208" s="9" t="s">
        <v>825</v>
      </c>
      <c r="U208" s="9" t="s">
        <v>67</v>
      </c>
      <c r="V208" s="9" t="s">
        <v>130</v>
      </c>
      <c r="W208" s="9" t="s">
        <v>131</v>
      </c>
      <c r="X208" s="11">
        <v>80</v>
      </c>
      <c r="Y208" s="9" t="s">
        <v>370</v>
      </c>
      <c r="Z208" s="9" t="s">
        <v>68</v>
      </c>
      <c r="AA208" s="9" t="s">
        <v>371</v>
      </c>
      <c r="AB208" s="9" t="s">
        <v>67</v>
      </c>
      <c r="AC208" s="9" t="s">
        <v>182</v>
      </c>
      <c r="AD208" s="11">
        <v>4</v>
      </c>
      <c r="AE208" s="9" t="s">
        <v>70</v>
      </c>
      <c r="AF208" s="9" t="s">
        <v>71</v>
      </c>
      <c r="AG208" s="13">
        <v>1</v>
      </c>
      <c r="AH208" s="9" t="s">
        <v>92</v>
      </c>
      <c r="AI208" s="13">
        <v>1458000</v>
      </c>
      <c r="AJ208" s="13">
        <v>5832000</v>
      </c>
      <c r="AK208" s="11">
        <v>0</v>
      </c>
      <c r="AL208" s="11">
        <v>0</v>
      </c>
      <c r="AM208" s="11">
        <v>0</v>
      </c>
      <c r="AN208" s="9" t="s">
        <v>67</v>
      </c>
      <c r="AO208" s="11">
        <v>5832000</v>
      </c>
      <c r="AP208" s="13">
        <v>466560</v>
      </c>
      <c r="AQ208" s="13">
        <v>6298560</v>
      </c>
      <c r="AR208" s="11">
        <v>76</v>
      </c>
      <c r="AS208" s="9" t="s">
        <v>72</v>
      </c>
      <c r="AT208" s="11">
        <v>80</v>
      </c>
      <c r="AU208" s="9" t="s">
        <v>73</v>
      </c>
      <c r="AV208" s="9" t="s">
        <v>67</v>
      </c>
      <c r="AW208" s="9" t="s">
        <v>1126</v>
      </c>
      <c r="AX208" s="10">
        <v>45992</v>
      </c>
      <c r="AY208" s="9" t="s">
        <v>1127</v>
      </c>
      <c r="AZ208" s="9" t="s">
        <v>67</v>
      </c>
      <c r="BA208" s="9" t="s">
        <v>67</v>
      </c>
      <c r="BB208" s="12">
        <v>80</v>
      </c>
      <c r="BC208" s="9" t="s">
        <v>74</v>
      </c>
      <c r="BD208" s="9" t="s">
        <v>104</v>
      </c>
      <c r="BE208" s="9" t="s">
        <v>75</v>
      </c>
      <c r="BF208" s="11">
        <v>0</v>
      </c>
      <c r="BG208">
        <f t="shared" si="8"/>
        <v>12</v>
      </c>
      <c r="BH208" t="str">
        <f>VLOOKUP(BG208,[1]month!$A:$B,2,0)</f>
        <v>Desember</v>
      </c>
      <c r="BI208">
        <f t="shared" si="9"/>
        <v>2025</v>
      </c>
      <c r="BJ208" t="str">
        <f>VLOOKUP(I208,[1]Dist!$A:$B,2,0)</f>
        <v>Industry</v>
      </c>
      <c r="BK208" t="str">
        <f>IF(I208=11,VLOOKUP(Y208,[2]Sheet1!$C:$N,10,0),IF(I208=13,VLOOKUP(Y208,[3]Sheet1!$C:$N,10,0),IF(I208=15,VLOOKUP(Y208,[4]Sheet1!$C:$N,10,0),"Unknown")))</f>
        <v>THINNER PU</v>
      </c>
      <c r="BL208" t="str">
        <f>IF(I208=11,VLOOKUP(Y208,[2]Sheet1!$C:$N,12,0),IF(I208=13,VLOOKUP(Y208,[3]Sheet1!$C:$N,12,0),IF(I208=15,VLOOKUP(Y208,[4]Sheet1!$C:$N,12,0),"Unknown")))</f>
        <v>UNION THINNER</v>
      </c>
      <c r="BM208" t="str">
        <f>VLOOKUP(W208,[1]branch!$A:$B,2,0)</f>
        <v>INDUSTRY</v>
      </c>
    </row>
    <row r="209" spans="1:65" x14ac:dyDescent="0.35">
      <c r="A209" s="10">
        <v>45993</v>
      </c>
      <c r="B209" s="9" t="s">
        <v>1125</v>
      </c>
      <c r="C209" s="9" t="s">
        <v>64</v>
      </c>
      <c r="D209" s="9" t="s">
        <v>92</v>
      </c>
      <c r="E209" s="11">
        <v>45</v>
      </c>
      <c r="F209" s="9" t="s">
        <v>93</v>
      </c>
      <c r="G209" s="9" t="s">
        <v>65</v>
      </c>
      <c r="H209" s="9" t="s">
        <v>66</v>
      </c>
      <c r="I209" s="9">
        <v>11</v>
      </c>
      <c r="J209" s="9" t="s">
        <v>646</v>
      </c>
      <c r="K209" s="9" t="s">
        <v>646</v>
      </c>
      <c r="L209" s="9" t="s">
        <v>646</v>
      </c>
      <c r="M209" s="9" t="s">
        <v>647</v>
      </c>
      <c r="N209" s="9" t="s">
        <v>867</v>
      </c>
      <c r="O209" s="9" t="s">
        <v>97</v>
      </c>
      <c r="P209" s="9" t="s">
        <v>67</v>
      </c>
      <c r="Q209" s="9" t="s">
        <v>98</v>
      </c>
      <c r="R209" s="9" t="s">
        <v>646</v>
      </c>
      <c r="S209" s="9" t="s">
        <v>647</v>
      </c>
      <c r="T209" s="9" t="s">
        <v>825</v>
      </c>
      <c r="U209" s="9" t="s">
        <v>67</v>
      </c>
      <c r="V209" s="9" t="s">
        <v>130</v>
      </c>
      <c r="W209" s="9" t="s">
        <v>131</v>
      </c>
      <c r="X209" s="11">
        <v>90</v>
      </c>
      <c r="Y209" s="9" t="s">
        <v>183</v>
      </c>
      <c r="Z209" s="9" t="s">
        <v>68</v>
      </c>
      <c r="AA209" s="9" t="s">
        <v>184</v>
      </c>
      <c r="AB209" s="9" t="s">
        <v>67</v>
      </c>
      <c r="AC209" s="9" t="s">
        <v>139</v>
      </c>
      <c r="AD209" s="11">
        <v>2</v>
      </c>
      <c r="AE209" s="9" t="s">
        <v>70</v>
      </c>
      <c r="AF209" s="9" t="s">
        <v>71</v>
      </c>
      <c r="AG209" s="13">
        <v>1</v>
      </c>
      <c r="AH209" s="9" t="s">
        <v>92</v>
      </c>
      <c r="AI209" s="13">
        <v>4540000</v>
      </c>
      <c r="AJ209" s="13">
        <v>9080000</v>
      </c>
      <c r="AK209" s="11">
        <v>0</v>
      </c>
      <c r="AL209" s="11">
        <v>0</v>
      </c>
      <c r="AM209" s="11">
        <v>0</v>
      </c>
      <c r="AN209" s="9" t="s">
        <v>67</v>
      </c>
      <c r="AO209" s="11">
        <v>9080000</v>
      </c>
      <c r="AP209" s="13">
        <v>726400</v>
      </c>
      <c r="AQ209" s="13">
        <v>9806400</v>
      </c>
      <c r="AR209" s="11">
        <v>320</v>
      </c>
      <c r="AS209" s="9" t="s">
        <v>72</v>
      </c>
      <c r="AT209" s="11">
        <v>400</v>
      </c>
      <c r="AU209" s="9" t="s">
        <v>73</v>
      </c>
      <c r="AV209" s="9" t="s">
        <v>67</v>
      </c>
      <c r="AW209" s="9" t="s">
        <v>1126</v>
      </c>
      <c r="AX209" s="10">
        <v>45992</v>
      </c>
      <c r="AY209" s="9" t="s">
        <v>1127</v>
      </c>
      <c r="AZ209" s="9" t="s">
        <v>67</v>
      </c>
      <c r="BA209" s="9" t="s">
        <v>67</v>
      </c>
      <c r="BB209" s="12">
        <v>400</v>
      </c>
      <c r="BC209" s="9" t="s">
        <v>74</v>
      </c>
      <c r="BD209" s="9" t="s">
        <v>104</v>
      </c>
      <c r="BE209" s="9" t="s">
        <v>75</v>
      </c>
      <c r="BF209" s="11">
        <v>0</v>
      </c>
      <c r="BG209">
        <f t="shared" si="8"/>
        <v>12</v>
      </c>
      <c r="BH209" t="str">
        <f>VLOOKUP(BG209,[1]month!$A:$B,2,0)</f>
        <v>Desember</v>
      </c>
      <c r="BI209">
        <f t="shared" si="9"/>
        <v>2025</v>
      </c>
      <c r="BJ209" t="str">
        <f>VLOOKUP(I209,[1]Dist!$A:$B,2,0)</f>
        <v>Industry</v>
      </c>
      <c r="BK209" t="str">
        <f>IF(I209=11,VLOOKUP(Y209,[2]Sheet1!$C:$N,10,0),IF(I209=13,VLOOKUP(Y209,[3]Sheet1!$C:$N,10,0),IF(I209=15,VLOOKUP(Y209,[4]Sheet1!$C:$N,10,0),"Unknown")))</f>
        <v>THINNER NC</v>
      </c>
      <c r="BL209" t="str">
        <f>IF(I209=11,VLOOKUP(Y209,[2]Sheet1!$C:$N,12,0),IF(I209=13,VLOOKUP(Y209,[3]Sheet1!$C:$N,12,0),IF(I209=15,VLOOKUP(Y209,[4]Sheet1!$C:$N,12,0),"Unknown")))</f>
        <v>THINNER COMPLEMENTARY</v>
      </c>
      <c r="BM209" t="str">
        <f>VLOOKUP(W209,[1]branch!$A:$B,2,0)</f>
        <v>INDUSTRY</v>
      </c>
    </row>
    <row r="210" spans="1:65" x14ac:dyDescent="0.35">
      <c r="A210" s="10">
        <v>45993</v>
      </c>
      <c r="B210" s="9" t="s">
        <v>1125</v>
      </c>
      <c r="C210" s="9" t="s">
        <v>64</v>
      </c>
      <c r="D210" s="9" t="s">
        <v>92</v>
      </c>
      <c r="E210" s="11">
        <v>45</v>
      </c>
      <c r="F210" s="9" t="s">
        <v>93</v>
      </c>
      <c r="G210" s="9" t="s">
        <v>65</v>
      </c>
      <c r="H210" s="9" t="s">
        <v>66</v>
      </c>
      <c r="I210" s="9">
        <v>11</v>
      </c>
      <c r="J210" s="9" t="s">
        <v>646</v>
      </c>
      <c r="K210" s="9" t="s">
        <v>646</v>
      </c>
      <c r="L210" s="9" t="s">
        <v>646</v>
      </c>
      <c r="M210" s="9" t="s">
        <v>647</v>
      </c>
      <c r="N210" s="9" t="s">
        <v>867</v>
      </c>
      <c r="O210" s="9" t="s">
        <v>97</v>
      </c>
      <c r="P210" s="9" t="s">
        <v>67</v>
      </c>
      <c r="Q210" s="9" t="s">
        <v>98</v>
      </c>
      <c r="R210" s="9" t="s">
        <v>646</v>
      </c>
      <c r="S210" s="9" t="s">
        <v>647</v>
      </c>
      <c r="T210" s="9" t="s">
        <v>825</v>
      </c>
      <c r="U210" s="9" t="s">
        <v>67</v>
      </c>
      <c r="V210" s="9" t="s">
        <v>130</v>
      </c>
      <c r="W210" s="9" t="s">
        <v>131</v>
      </c>
      <c r="X210" s="11">
        <v>100</v>
      </c>
      <c r="Y210" s="9" t="s">
        <v>599</v>
      </c>
      <c r="Z210" s="9" t="s">
        <v>68</v>
      </c>
      <c r="AA210" s="9" t="s">
        <v>600</v>
      </c>
      <c r="AB210" s="9" t="s">
        <v>67</v>
      </c>
      <c r="AC210" s="9" t="s">
        <v>91</v>
      </c>
      <c r="AD210" s="11">
        <v>1</v>
      </c>
      <c r="AE210" s="9" t="s">
        <v>70</v>
      </c>
      <c r="AF210" s="9" t="s">
        <v>71</v>
      </c>
      <c r="AG210" s="13">
        <v>1</v>
      </c>
      <c r="AH210" s="9" t="s">
        <v>92</v>
      </c>
      <c r="AI210" s="13">
        <v>848400</v>
      </c>
      <c r="AJ210" s="13">
        <v>848400</v>
      </c>
      <c r="AK210" s="11">
        <v>0</v>
      </c>
      <c r="AL210" s="11">
        <v>0</v>
      </c>
      <c r="AM210" s="11">
        <v>0</v>
      </c>
      <c r="AN210" s="9" t="s">
        <v>67</v>
      </c>
      <c r="AO210" s="11">
        <v>848400</v>
      </c>
      <c r="AP210" s="13">
        <v>67872</v>
      </c>
      <c r="AQ210" s="13">
        <v>916272</v>
      </c>
      <c r="AR210" s="11">
        <v>4</v>
      </c>
      <c r="AS210" s="9" t="s">
        <v>72</v>
      </c>
      <c r="AT210" s="12">
        <v>3.64</v>
      </c>
      <c r="AU210" s="9" t="s">
        <v>73</v>
      </c>
      <c r="AV210" s="9" t="s">
        <v>67</v>
      </c>
      <c r="AW210" s="9" t="s">
        <v>1126</v>
      </c>
      <c r="AX210" s="10">
        <v>45992</v>
      </c>
      <c r="AY210" s="9" t="s">
        <v>1127</v>
      </c>
      <c r="AZ210" s="9" t="s">
        <v>67</v>
      </c>
      <c r="BA210" s="9" t="s">
        <v>67</v>
      </c>
      <c r="BB210" s="12">
        <v>4</v>
      </c>
      <c r="BC210" s="9" t="s">
        <v>74</v>
      </c>
      <c r="BD210" s="9" t="s">
        <v>104</v>
      </c>
      <c r="BE210" s="9" t="s">
        <v>75</v>
      </c>
      <c r="BF210" s="11">
        <v>0</v>
      </c>
      <c r="BG210">
        <f t="shared" si="8"/>
        <v>12</v>
      </c>
      <c r="BH210" t="str">
        <f>VLOOKUP(BG210,[1]month!$A:$B,2,0)</f>
        <v>Desember</v>
      </c>
      <c r="BI210">
        <f t="shared" si="9"/>
        <v>2025</v>
      </c>
      <c r="BJ210" t="str">
        <f>VLOOKUP(I210,[1]Dist!$A:$B,2,0)</f>
        <v>Industry</v>
      </c>
      <c r="BK210" t="str">
        <f>IF(I210=11,VLOOKUP(Y210,[2]Sheet1!$C:$N,10,0),IF(I210=13,VLOOKUP(Y210,[3]Sheet1!$C:$N,10,0),IF(I210=15,VLOOKUP(Y210,[4]Sheet1!$C:$N,10,0),"Unknown")))</f>
        <v>COMPLEMENTARY</v>
      </c>
      <c r="BL210" t="str">
        <f>IF(I210=11,VLOOKUP(Y210,[2]Sheet1!$C:$N,12,0),IF(I210=13,VLOOKUP(Y210,[3]Sheet1!$C:$N,12,0),IF(I210=15,VLOOKUP(Y210,[4]Sheet1!$C:$N,12,0),"Unknown")))</f>
        <v>PASTA</v>
      </c>
      <c r="BM210" t="str">
        <f>VLOOKUP(W210,[1]branch!$A:$B,2,0)</f>
        <v>INDUSTRY</v>
      </c>
    </row>
    <row r="211" spans="1:65" x14ac:dyDescent="0.35">
      <c r="A211" s="10">
        <v>45993</v>
      </c>
      <c r="B211" s="9" t="s">
        <v>1128</v>
      </c>
      <c r="C211" s="9" t="s">
        <v>64</v>
      </c>
      <c r="D211" s="9" t="s">
        <v>92</v>
      </c>
      <c r="E211" s="11">
        <v>30</v>
      </c>
      <c r="F211" s="9" t="s">
        <v>93</v>
      </c>
      <c r="G211" s="9" t="s">
        <v>65</v>
      </c>
      <c r="H211" s="9" t="s">
        <v>66</v>
      </c>
      <c r="I211" s="9">
        <v>11</v>
      </c>
      <c r="J211" s="9" t="s">
        <v>757</v>
      </c>
      <c r="K211" s="9" t="s">
        <v>757</v>
      </c>
      <c r="L211" s="9" t="s">
        <v>757</v>
      </c>
      <c r="M211" s="9" t="s">
        <v>904</v>
      </c>
      <c r="N211" s="9" t="s">
        <v>679</v>
      </c>
      <c r="O211" s="9" t="s">
        <v>97</v>
      </c>
      <c r="P211" s="9" t="s">
        <v>67</v>
      </c>
      <c r="Q211" s="9" t="s">
        <v>98</v>
      </c>
      <c r="R211" s="9" t="s">
        <v>758</v>
      </c>
      <c r="S211" s="9" t="s">
        <v>904</v>
      </c>
      <c r="T211" s="9" t="s">
        <v>874</v>
      </c>
      <c r="U211" s="9" t="s">
        <v>67</v>
      </c>
      <c r="V211" s="9" t="s">
        <v>99</v>
      </c>
      <c r="W211" s="9" t="s">
        <v>100</v>
      </c>
      <c r="X211" s="11">
        <v>10</v>
      </c>
      <c r="Y211" s="9" t="s">
        <v>435</v>
      </c>
      <c r="Z211" s="9" t="s">
        <v>68</v>
      </c>
      <c r="AA211" s="9" t="s">
        <v>436</v>
      </c>
      <c r="AB211" s="9" t="s">
        <v>67</v>
      </c>
      <c r="AC211" s="9" t="s">
        <v>254</v>
      </c>
      <c r="AD211" s="11">
        <v>10</v>
      </c>
      <c r="AE211" s="9" t="s">
        <v>70</v>
      </c>
      <c r="AF211" s="9" t="s">
        <v>71</v>
      </c>
      <c r="AG211" s="13">
        <v>1</v>
      </c>
      <c r="AH211" s="9" t="s">
        <v>92</v>
      </c>
      <c r="AI211" s="13">
        <v>1964000</v>
      </c>
      <c r="AJ211" s="13">
        <v>19640000</v>
      </c>
      <c r="AK211" s="11">
        <v>0</v>
      </c>
      <c r="AL211" s="11">
        <v>0</v>
      </c>
      <c r="AM211" s="11">
        <v>0</v>
      </c>
      <c r="AN211" s="9" t="s">
        <v>67</v>
      </c>
      <c r="AO211" s="11">
        <v>19640000</v>
      </c>
      <c r="AP211" s="13">
        <v>1571200</v>
      </c>
      <c r="AQ211" s="13">
        <v>21211200</v>
      </c>
      <c r="AR211" s="11">
        <v>200</v>
      </c>
      <c r="AS211" s="9" t="s">
        <v>72</v>
      </c>
      <c r="AT211" s="12">
        <v>150.4</v>
      </c>
      <c r="AU211" s="9" t="s">
        <v>73</v>
      </c>
      <c r="AV211" s="9" t="s">
        <v>67</v>
      </c>
      <c r="AW211" s="9" t="s">
        <v>1129</v>
      </c>
      <c r="AX211" s="10">
        <v>45988</v>
      </c>
      <c r="AY211" s="9" t="s">
        <v>1130</v>
      </c>
      <c r="AZ211" s="9" t="s">
        <v>67</v>
      </c>
      <c r="BA211" s="9" t="s">
        <v>67</v>
      </c>
      <c r="BB211" s="12">
        <v>200</v>
      </c>
      <c r="BC211" s="9" t="s">
        <v>74</v>
      </c>
      <c r="BD211" s="9" t="s">
        <v>104</v>
      </c>
      <c r="BE211" s="9" t="s">
        <v>75</v>
      </c>
      <c r="BF211" s="11">
        <v>0</v>
      </c>
      <c r="BG211">
        <f t="shared" si="8"/>
        <v>12</v>
      </c>
      <c r="BH211" t="str">
        <f>VLOOKUP(BG211,[1]month!$A:$B,2,0)</f>
        <v>Desember</v>
      </c>
      <c r="BI211">
        <f t="shared" si="9"/>
        <v>2025</v>
      </c>
      <c r="BJ211" t="str">
        <f>VLOOKUP(I211,[1]Dist!$A:$B,2,0)</f>
        <v>Industry</v>
      </c>
      <c r="BK211" t="str">
        <f>IF(I211=11,VLOOKUP(Y211,[2]Sheet1!$C:$N,10,0),IF(I211=13,VLOOKUP(Y211,[3]Sheet1!$C:$N,10,0),IF(I211=15,VLOOKUP(Y211,[4]Sheet1!$C:$N,10,0),"Unknown")))</f>
        <v>PU</v>
      </c>
      <c r="BL211" t="str">
        <f>IF(I211=11,VLOOKUP(Y211,[2]Sheet1!$C:$N,12,0),IF(I211=13,VLOOKUP(Y211,[3]Sheet1!$C:$N,12,0),IF(I211=15,VLOOKUP(Y211,[4]Sheet1!$C:$N,12,0),"Unknown")))</f>
        <v>PU PRIMER</v>
      </c>
      <c r="BM211" t="str">
        <f>VLOOKUP(W211,[1]branch!$A:$B,2,0)</f>
        <v>INDUSTRY</v>
      </c>
    </row>
    <row r="212" spans="1:65" x14ac:dyDescent="0.35">
      <c r="A212" s="10">
        <v>45993</v>
      </c>
      <c r="B212" s="9" t="s">
        <v>1128</v>
      </c>
      <c r="C212" s="9" t="s">
        <v>64</v>
      </c>
      <c r="D212" s="9" t="s">
        <v>92</v>
      </c>
      <c r="E212" s="11">
        <v>30</v>
      </c>
      <c r="F212" s="9" t="s">
        <v>93</v>
      </c>
      <c r="G212" s="9" t="s">
        <v>65</v>
      </c>
      <c r="H212" s="9" t="s">
        <v>66</v>
      </c>
      <c r="I212" s="9">
        <v>11</v>
      </c>
      <c r="J212" s="9" t="s">
        <v>757</v>
      </c>
      <c r="K212" s="9" t="s">
        <v>757</v>
      </c>
      <c r="L212" s="9" t="s">
        <v>757</v>
      </c>
      <c r="M212" s="9" t="s">
        <v>904</v>
      </c>
      <c r="N212" s="9" t="s">
        <v>679</v>
      </c>
      <c r="O212" s="9" t="s">
        <v>97</v>
      </c>
      <c r="P212" s="9" t="s">
        <v>67</v>
      </c>
      <c r="Q212" s="9" t="s">
        <v>98</v>
      </c>
      <c r="R212" s="9" t="s">
        <v>758</v>
      </c>
      <c r="S212" s="9" t="s">
        <v>904</v>
      </c>
      <c r="T212" s="9" t="s">
        <v>874</v>
      </c>
      <c r="U212" s="9" t="s">
        <v>67</v>
      </c>
      <c r="V212" s="9" t="s">
        <v>99</v>
      </c>
      <c r="W212" s="9" t="s">
        <v>100</v>
      </c>
      <c r="X212" s="11">
        <v>30</v>
      </c>
      <c r="Y212" s="9" t="s">
        <v>564</v>
      </c>
      <c r="Z212" s="9" t="s">
        <v>68</v>
      </c>
      <c r="AA212" s="9" t="s">
        <v>565</v>
      </c>
      <c r="AB212" s="9" t="s">
        <v>67</v>
      </c>
      <c r="AC212" s="9" t="s">
        <v>237</v>
      </c>
      <c r="AD212" s="11">
        <v>5</v>
      </c>
      <c r="AE212" s="9" t="s">
        <v>70</v>
      </c>
      <c r="AF212" s="9" t="s">
        <v>71</v>
      </c>
      <c r="AG212" s="13">
        <v>1</v>
      </c>
      <c r="AH212" s="9" t="s">
        <v>92</v>
      </c>
      <c r="AI212" s="13">
        <v>1360800</v>
      </c>
      <c r="AJ212" s="13">
        <v>6804000</v>
      </c>
      <c r="AK212" s="11">
        <v>0</v>
      </c>
      <c r="AL212" s="11">
        <v>0</v>
      </c>
      <c r="AM212" s="11">
        <v>0</v>
      </c>
      <c r="AN212" s="9" t="s">
        <v>67</v>
      </c>
      <c r="AO212" s="11">
        <v>6804000</v>
      </c>
      <c r="AP212" s="13">
        <v>544320</v>
      </c>
      <c r="AQ212" s="13">
        <v>7348320</v>
      </c>
      <c r="AR212" s="11">
        <v>20</v>
      </c>
      <c r="AS212" s="9" t="s">
        <v>72</v>
      </c>
      <c r="AT212" s="12">
        <v>12.195</v>
      </c>
      <c r="AU212" s="9" t="s">
        <v>73</v>
      </c>
      <c r="AV212" s="9" t="s">
        <v>67</v>
      </c>
      <c r="AW212" s="9" t="s">
        <v>1129</v>
      </c>
      <c r="AX212" s="10">
        <v>45988</v>
      </c>
      <c r="AY212" s="9" t="s">
        <v>1130</v>
      </c>
      <c r="AZ212" s="9" t="s">
        <v>67</v>
      </c>
      <c r="BA212" s="9" t="s">
        <v>67</v>
      </c>
      <c r="BB212" s="12">
        <v>20</v>
      </c>
      <c r="BC212" s="9" t="s">
        <v>74</v>
      </c>
      <c r="BD212" s="9" t="s">
        <v>104</v>
      </c>
      <c r="BE212" s="9" t="s">
        <v>75</v>
      </c>
      <c r="BF212" s="11">
        <v>0</v>
      </c>
      <c r="BG212">
        <f t="shared" si="8"/>
        <v>12</v>
      </c>
      <c r="BH212" t="str">
        <f>VLOOKUP(BG212,[1]month!$A:$B,2,0)</f>
        <v>Desember</v>
      </c>
      <c r="BI212">
        <f t="shared" si="9"/>
        <v>2025</v>
      </c>
      <c r="BJ212" t="str">
        <f>VLOOKUP(I212,[1]Dist!$A:$B,2,0)</f>
        <v>Industry</v>
      </c>
      <c r="BK212" t="str">
        <f>IF(I212=11,VLOOKUP(Y212,[2]Sheet1!$C:$N,10,0),IF(I212=13,VLOOKUP(Y212,[3]Sheet1!$C:$N,10,0),IF(I212=15,VLOOKUP(Y212,[4]Sheet1!$C:$N,10,0),"Unknown")))</f>
        <v>COMPLEMENTARY</v>
      </c>
      <c r="BL212" t="str">
        <f>IF(I212=11,VLOOKUP(Y212,[2]Sheet1!$C:$N,12,0),IF(I212=13,VLOOKUP(Y212,[3]Sheet1!$C:$N,12,0),IF(I212=15,VLOOKUP(Y212,[4]Sheet1!$C:$N,12,0),"Unknown")))</f>
        <v>PASTA</v>
      </c>
      <c r="BM212" t="str">
        <f>VLOOKUP(W212,[1]branch!$A:$B,2,0)</f>
        <v>INDUSTRY</v>
      </c>
    </row>
    <row r="213" spans="1:65" x14ac:dyDescent="0.35">
      <c r="A213" s="10">
        <v>45993</v>
      </c>
      <c r="B213" s="9" t="s">
        <v>1128</v>
      </c>
      <c r="C213" s="9" t="s">
        <v>64</v>
      </c>
      <c r="D213" s="9" t="s">
        <v>92</v>
      </c>
      <c r="E213" s="11">
        <v>30</v>
      </c>
      <c r="F213" s="9" t="s">
        <v>93</v>
      </c>
      <c r="G213" s="9" t="s">
        <v>65</v>
      </c>
      <c r="H213" s="9" t="s">
        <v>66</v>
      </c>
      <c r="I213" s="9">
        <v>11</v>
      </c>
      <c r="J213" s="9" t="s">
        <v>757</v>
      </c>
      <c r="K213" s="9" t="s">
        <v>757</v>
      </c>
      <c r="L213" s="9" t="s">
        <v>757</v>
      </c>
      <c r="M213" s="9" t="s">
        <v>904</v>
      </c>
      <c r="N213" s="9" t="s">
        <v>679</v>
      </c>
      <c r="O213" s="9" t="s">
        <v>97</v>
      </c>
      <c r="P213" s="9" t="s">
        <v>67</v>
      </c>
      <c r="Q213" s="9" t="s">
        <v>98</v>
      </c>
      <c r="R213" s="9" t="s">
        <v>758</v>
      </c>
      <c r="S213" s="9" t="s">
        <v>904</v>
      </c>
      <c r="T213" s="9" t="s">
        <v>874</v>
      </c>
      <c r="U213" s="9" t="s">
        <v>67</v>
      </c>
      <c r="V213" s="9" t="s">
        <v>99</v>
      </c>
      <c r="W213" s="9" t="s">
        <v>100</v>
      </c>
      <c r="X213" s="11">
        <v>40</v>
      </c>
      <c r="Y213" s="9" t="s">
        <v>126</v>
      </c>
      <c r="Z213" s="9" t="s">
        <v>68</v>
      </c>
      <c r="AA213" s="9" t="s">
        <v>127</v>
      </c>
      <c r="AB213" s="9" t="s">
        <v>67</v>
      </c>
      <c r="AC213" s="9" t="s">
        <v>237</v>
      </c>
      <c r="AD213" s="11">
        <v>3</v>
      </c>
      <c r="AE213" s="9" t="s">
        <v>70</v>
      </c>
      <c r="AF213" s="9" t="s">
        <v>71</v>
      </c>
      <c r="AG213" s="13">
        <v>1</v>
      </c>
      <c r="AH213" s="9" t="s">
        <v>92</v>
      </c>
      <c r="AI213" s="13">
        <v>3393600</v>
      </c>
      <c r="AJ213" s="13">
        <v>10180800</v>
      </c>
      <c r="AK213" s="11">
        <v>0</v>
      </c>
      <c r="AL213" s="11">
        <v>0</v>
      </c>
      <c r="AM213" s="11">
        <v>0</v>
      </c>
      <c r="AN213" s="9" t="s">
        <v>67</v>
      </c>
      <c r="AO213" s="11">
        <v>10180800</v>
      </c>
      <c r="AP213" s="13">
        <v>814464</v>
      </c>
      <c r="AQ213" s="13">
        <v>10995264</v>
      </c>
      <c r="AR213" s="11">
        <v>12</v>
      </c>
      <c r="AS213" s="9" t="s">
        <v>72</v>
      </c>
      <c r="AT213" s="12">
        <v>11.43</v>
      </c>
      <c r="AU213" s="9" t="s">
        <v>73</v>
      </c>
      <c r="AV213" s="9" t="s">
        <v>67</v>
      </c>
      <c r="AW213" s="9" t="s">
        <v>1129</v>
      </c>
      <c r="AX213" s="10">
        <v>45988</v>
      </c>
      <c r="AY213" s="9" t="s">
        <v>1130</v>
      </c>
      <c r="AZ213" s="9" t="s">
        <v>67</v>
      </c>
      <c r="BA213" s="9" t="s">
        <v>67</v>
      </c>
      <c r="BB213" s="12">
        <v>12</v>
      </c>
      <c r="BC213" s="9" t="s">
        <v>74</v>
      </c>
      <c r="BD213" s="9" t="s">
        <v>104</v>
      </c>
      <c r="BE213" s="9" t="s">
        <v>75</v>
      </c>
      <c r="BF213" s="11">
        <v>0</v>
      </c>
      <c r="BG213">
        <f t="shared" si="8"/>
        <v>12</v>
      </c>
      <c r="BH213" t="str">
        <f>VLOOKUP(BG213,[1]month!$A:$B,2,0)</f>
        <v>Desember</v>
      </c>
      <c r="BI213">
        <f t="shared" si="9"/>
        <v>2025</v>
      </c>
      <c r="BJ213" t="str">
        <f>VLOOKUP(I213,[1]Dist!$A:$B,2,0)</f>
        <v>Industry</v>
      </c>
      <c r="BK213" t="str">
        <f>IF(I213=11,VLOOKUP(Y213,[2]Sheet1!$C:$N,10,0),IF(I213=13,VLOOKUP(Y213,[3]Sheet1!$C:$N,10,0),IF(I213=15,VLOOKUP(Y213,[4]Sheet1!$C:$N,10,0),"Unknown")))</f>
        <v>COMPLEMENTARY</v>
      </c>
      <c r="BL213" t="str">
        <f>IF(I213=11,VLOOKUP(Y213,[2]Sheet1!$C:$N,12,0),IF(I213=13,VLOOKUP(Y213,[3]Sheet1!$C:$N,12,0),IF(I213=15,VLOOKUP(Y213,[4]Sheet1!$C:$N,12,0),"Unknown")))</f>
        <v>PASTA</v>
      </c>
      <c r="BM213" t="str">
        <f>VLOOKUP(W213,[1]branch!$A:$B,2,0)</f>
        <v>INDUSTRY</v>
      </c>
    </row>
    <row r="214" spans="1:65" x14ac:dyDescent="0.35">
      <c r="A214" s="10">
        <v>45993</v>
      </c>
      <c r="B214" s="9" t="s">
        <v>1131</v>
      </c>
      <c r="C214" s="9" t="s">
        <v>64</v>
      </c>
      <c r="D214" s="9" t="s">
        <v>92</v>
      </c>
      <c r="E214" s="11">
        <v>0</v>
      </c>
      <c r="F214" s="9" t="s">
        <v>93</v>
      </c>
      <c r="G214" s="9" t="s">
        <v>65</v>
      </c>
      <c r="H214" s="9" t="s">
        <v>66</v>
      </c>
      <c r="I214" s="9">
        <v>15</v>
      </c>
      <c r="J214" s="9" t="s">
        <v>792</v>
      </c>
      <c r="K214" s="9" t="s">
        <v>792</v>
      </c>
      <c r="L214" s="9" t="s">
        <v>792</v>
      </c>
      <c r="M214" s="9" t="s">
        <v>793</v>
      </c>
      <c r="N214" s="9" t="s">
        <v>794</v>
      </c>
      <c r="O214" s="9" t="s">
        <v>384</v>
      </c>
      <c r="P214" s="9" t="s">
        <v>67</v>
      </c>
      <c r="Q214" s="9" t="s">
        <v>98</v>
      </c>
      <c r="R214" s="9" t="s">
        <v>792</v>
      </c>
      <c r="S214" s="9" t="s">
        <v>793</v>
      </c>
      <c r="T214" s="9" t="s">
        <v>1132</v>
      </c>
      <c r="U214" s="9" t="s">
        <v>385</v>
      </c>
      <c r="V214" s="9" t="s">
        <v>386</v>
      </c>
      <c r="W214" s="9" t="s">
        <v>387</v>
      </c>
      <c r="X214" s="11">
        <v>10</v>
      </c>
      <c r="Y214" s="9" t="s">
        <v>485</v>
      </c>
      <c r="Z214" s="9" t="s">
        <v>76</v>
      </c>
      <c r="AA214" s="9" t="s">
        <v>486</v>
      </c>
      <c r="AB214" s="9" t="s">
        <v>67</v>
      </c>
      <c r="AC214" s="9" t="s">
        <v>487</v>
      </c>
      <c r="AD214" s="11">
        <v>1</v>
      </c>
      <c r="AE214" s="9" t="s">
        <v>70</v>
      </c>
      <c r="AF214" s="9" t="s">
        <v>71</v>
      </c>
      <c r="AG214" s="13">
        <v>1</v>
      </c>
      <c r="AH214" s="9" t="s">
        <v>92</v>
      </c>
      <c r="AI214" s="13">
        <v>1767273</v>
      </c>
      <c r="AJ214" s="13">
        <v>1767273</v>
      </c>
      <c r="AK214" s="11">
        <v>0</v>
      </c>
      <c r="AL214" s="11">
        <v>0</v>
      </c>
      <c r="AM214" s="11">
        <v>0</v>
      </c>
      <c r="AN214" s="9" t="s">
        <v>67</v>
      </c>
      <c r="AO214" s="11">
        <v>1767273</v>
      </c>
      <c r="AP214" s="13">
        <v>141382</v>
      </c>
      <c r="AQ214" s="13">
        <v>1908655</v>
      </c>
      <c r="AR214" s="11">
        <v>20</v>
      </c>
      <c r="AS214" s="9" t="s">
        <v>72</v>
      </c>
      <c r="AT214" s="12">
        <v>14.39</v>
      </c>
      <c r="AU214" s="9" t="s">
        <v>73</v>
      </c>
      <c r="AV214" s="9" t="s">
        <v>67</v>
      </c>
      <c r="AW214" s="9" t="s">
        <v>1133</v>
      </c>
      <c r="AX214" s="10">
        <v>45993</v>
      </c>
      <c r="AY214" s="9" t="s">
        <v>1134</v>
      </c>
      <c r="AZ214" s="9" t="s">
        <v>67</v>
      </c>
      <c r="BA214" s="9" t="s">
        <v>67</v>
      </c>
      <c r="BB214" s="12">
        <v>20</v>
      </c>
      <c r="BC214" s="9" t="s">
        <v>74</v>
      </c>
      <c r="BD214" s="9" t="s">
        <v>104</v>
      </c>
      <c r="BE214" s="9" t="s">
        <v>75</v>
      </c>
      <c r="BF214" s="11">
        <v>0</v>
      </c>
      <c r="BG214">
        <f t="shared" si="8"/>
        <v>12</v>
      </c>
      <c r="BH214" t="str">
        <f>VLOOKUP(BG214,[1]month!$A:$B,2,0)</f>
        <v>Desember</v>
      </c>
      <c r="BI214">
        <f t="shared" si="9"/>
        <v>2025</v>
      </c>
      <c r="BJ214" t="str">
        <f>VLOOKUP(I214,[1]Dist!$A:$B,2,0)</f>
        <v>Project</v>
      </c>
      <c r="BK214" t="str">
        <f>IF(I214=11,VLOOKUP(Y214,[2]Sheet1!$C:$N,10,0),IF(I214=13,VLOOKUP(Y214,[3]Sheet1!$C:$N,10,0),IF(I214=15,VLOOKUP(Y214,[4]Sheet1!$C:$N,10,0),"Unknown")))</f>
        <v>WATERPROOFING</v>
      </c>
      <c r="BL214" t="str">
        <f>IF(I214=11,VLOOKUP(Y214,[2]Sheet1!$C:$N,12,0),IF(I214=13,VLOOKUP(Y214,[3]Sheet1!$C:$N,12,0),IF(I214=15,VLOOKUP(Y214,[4]Sheet1!$C:$N,12,0),"Unknown")))</f>
        <v>ULTRAFLEX MEMBRANE</v>
      </c>
      <c r="BM214" t="str">
        <f>VLOOKUP(W214,[1]branch!$A:$B,2,0)</f>
        <v>PROJECT</v>
      </c>
    </row>
    <row r="215" spans="1:65" x14ac:dyDescent="0.35">
      <c r="A215" s="10">
        <v>45993</v>
      </c>
      <c r="B215" s="9" t="s">
        <v>1135</v>
      </c>
      <c r="C215" s="9" t="s">
        <v>64</v>
      </c>
      <c r="D215" s="9" t="s">
        <v>92</v>
      </c>
      <c r="E215" s="11">
        <v>30</v>
      </c>
      <c r="F215" s="9" t="s">
        <v>93</v>
      </c>
      <c r="G215" s="9" t="s">
        <v>65</v>
      </c>
      <c r="H215" s="9" t="s">
        <v>66</v>
      </c>
      <c r="I215" s="9">
        <v>13</v>
      </c>
      <c r="J215" s="9" t="s">
        <v>828</v>
      </c>
      <c r="K215" s="9" t="s">
        <v>828</v>
      </c>
      <c r="L215" s="9" t="s">
        <v>828</v>
      </c>
      <c r="M215" s="9" t="s">
        <v>829</v>
      </c>
      <c r="N215" s="9" t="s">
        <v>830</v>
      </c>
      <c r="O215" s="9" t="s">
        <v>150</v>
      </c>
      <c r="P215" s="9" t="s">
        <v>67</v>
      </c>
      <c r="Q215" s="9" t="s">
        <v>98</v>
      </c>
      <c r="R215" s="9" t="s">
        <v>828</v>
      </c>
      <c r="S215" s="9" t="s">
        <v>829</v>
      </c>
      <c r="T215" s="9" t="s">
        <v>831</v>
      </c>
      <c r="U215" s="9" t="s">
        <v>67</v>
      </c>
      <c r="V215" s="9" t="s">
        <v>832</v>
      </c>
      <c r="W215" s="9" t="s">
        <v>833</v>
      </c>
      <c r="X215" s="11">
        <v>10</v>
      </c>
      <c r="Y215" s="9" t="s">
        <v>602</v>
      </c>
      <c r="Z215" s="9" t="s">
        <v>68</v>
      </c>
      <c r="AA215" s="9" t="s">
        <v>603</v>
      </c>
      <c r="AB215" s="9" t="s">
        <v>67</v>
      </c>
      <c r="AC215" s="9" t="s">
        <v>604</v>
      </c>
      <c r="AD215" s="11">
        <v>5</v>
      </c>
      <c r="AE215" s="9" t="s">
        <v>156</v>
      </c>
      <c r="AF215" s="9" t="s">
        <v>71</v>
      </c>
      <c r="AG215" s="13">
        <v>1</v>
      </c>
      <c r="AH215" s="9" t="s">
        <v>92</v>
      </c>
      <c r="AI215" s="13">
        <v>2156000</v>
      </c>
      <c r="AJ215" s="13">
        <v>10780000</v>
      </c>
      <c r="AK215" s="11">
        <v>0</v>
      </c>
      <c r="AL215" s="11">
        <v>0</v>
      </c>
      <c r="AM215" s="11">
        <v>0</v>
      </c>
      <c r="AN215" s="9" t="s">
        <v>67</v>
      </c>
      <c r="AO215" s="11">
        <v>10780000</v>
      </c>
      <c r="AP215" s="13">
        <v>862400</v>
      </c>
      <c r="AQ215" s="13">
        <v>11642400</v>
      </c>
      <c r="AR215" s="11">
        <v>100</v>
      </c>
      <c r="AS215" s="9" t="s">
        <v>72</v>
      </c>
      <c r="AT215" s="12">
        <v>106.4</v>
      </c>
      <c r="AU215" s="9" t="s">
        <v>73</v>
      </c>
      <c r="AV215" s="9" t="s">
        <v>67</v>
      </c>
      <c r="AW215" s="9" t="s">
        <v>1136</v>
      </c>
      <c r="AX215" s="10">
        <v>45988</v>
      </c>
      <c r="AY215" s="9" t="s">
        <v>1137</v>
      </c>
      <c r="AZ215" s="9" t="s">
        <v>67</v>
      </c>
      <c r="BA215" s="9" t="s">
        <v>67</v>
      </c>
      <c r="BB215" s="12">
        <v>100</v>
      </c>
      <c r="BC215" s="9" t="s">
        <v>74</v>
      </c>
      <c r="BD215" s="9" t="s">
        <v>104</v>
      </c>
      <c r="BE215" s="9" t="s">
        <v>75</v>
      </c>
      <c r="BF215" s="11">
        <v>0</v>
      </c>
      <c r="BG215">
        <f t="shared" si="8"/>
        <v>12</v>
      </c>
      <c r="BH215" t="str">
        <f>VLOOKUP(BG215,[1]month!$A:$B,2,0)</f>
        <v>Desember</v>
      </c>
      <c r="BI215">
        <f t="shared" si="9"/>
        <v>2025</v>
      </c>
      <c r="BJ215" t="str">
        <f>VLOOKUP(I215,[1]Dist!$A:$B,2,0)</f>
        <v>Retail</v>
      </c>
      <c r="BK215" t="str">
        <f>IF(I215=11,VLOOKUP(Y215,[2]Sheet1!$C:$N,10,0),IF(I215=13,VLOOKUP(Y215,[3]Sheet1!$C:$N,10,0),IF(I215=15,VLOOKUP(Y215,[4]Sheet1!$C:$N,10,0),"Unknown")))</f>
        <v>POLYFLOOR</v>
      </c>
      <c r="BL215" t="str">
        <f>IF(I215=11,VLOOKUP(Y215,[2]Sheet1!$C:$N,12,0),IF(I215=13,VLOOKUP(Y215,[3]Sheet1!$C:$N,12,0),IF(I215=15,VLOOKUP(Y215,[4]Sheet1!$C:$N,12,0),"Unknown")))</f>
        <v>POLYFLOOR EPOXY</v>
      </c>
      <c r="BM215" t="str">
        <f>VLOOKUP(W215,[1]branch!$A:$B,2,0)</f>
        <v>HO CHI MINH</v>
      </c>
    </row>
    <row r="216" spans="1:65" x14ac:dyDescent="0.35">
      <c r="A216" s="10">
        <v>45993</v>
      </c>
      <c r="B216" s="9" t="s">
        <v>1135</v>
      </c>
      <c r="C216" s="9" t="s">
        <v>64</v>
      </c>
      <c r="D216" s="9" t="s">
        <v>92</v>
      </c>
      <c r="E216" s="11">
        <v>30</v>
      </c>
      <c r="F216" s="9" t="s">
        <v>93</v>
      </c>
      <c r="G216" s="9" t="s">
        <v>65</v>
      </c>
      <c r="H216" s="9" t="s">
        <v>66</v>
      </c>
      <c r="I216" s="9">
        <v>13</v>
      </c>
      <c r="J216" s="9" t="s">
        <v>828</v>
      </c>
      <c r="K216" s="9" t="s">
        <v>828</v>
      </c>
      <c r="L216" s="9" t="s">
        <v>828</v>
      </c>
      <c r="M216" s="9" t="s">
        <v>829</v>
      </c>
      <c r="N216" s="9" t="s">
        <v>830</v>
      </c>
      <c r="O216" s="9" t="s">
        <v>150</v>
      </c>
      <c r="P216" s="9" t="s">
        <v>67</v>
      </c>
      <c r="Q216" s="9" t="s">
        <v>98</v>
      </c>
      <c r="R216" s="9" t="s">
        <v>828</v>
      </c>
      <c r="S216" s="9" t="s">
        <v>829</v>
      </c>
      <c r="T216" s="9" t="s">
        <v>831</v>
      </c>
      <c r="U216" s="9" t="s">
        <v>67</v>
      </c>
      <c r="V216" s="9" t="s">
        <v>832</v>
      </c>
      <c r="W216" s="9" t="s">
        <v>833</v>
      </c>
      <c r="X216" s="11">
        <v>20</v>
      </c>
      <c r="Y216" s="9" t="s">
        <v>519</v>
      </c>
      <c r="Z216" s="9" t="s">
        <v>68</v>
      </c>
      <c r="AA216" s="9" t="s">
        <v>808</v>
      </c>
      <c r="AB216" s="9" t="s">
        <v>67</v>
      </c>
      <c r="AC216" s="9" t="s">
        <v>520</v>
      </c>
      <c r="AD216" s="11">
        <v>10</v>
      </c>
      <c r="AE216" s="9" t="s">
        <v>156</v>
      </c>
      <c r="AF216" s="9" t="s">
        <v>71</v>
      </c>
      <c r="AG216" s="13">
        <v>1</v>
      </c>
      <c r="AH216" s="9" t="s">
        <v>92</v>
      </c>
      <c r="AI216" s="13">
        <v>3067000</v>
      </c>
      <c r="AJ216" s="13">
        <v>30670000</v>
      </c>
      <c r="AK216" s="11">
        <v>0</v>
      </c>
      <c r="AL216" s="11">
        <v>0</v>
      </c>
      <c r="AM216" s="11">
        <v>0</v>
      </c>
      <c r="AN216" s="9" t="s">
        <v>67</v>
      </c>
      <c r="AO216" s="11">
        <v>30670000</v>
      </c>
      <c r="AP216" s="13">
        <v>2453600</v>
      </c>
      <c r="AQ216" s="13">
        <v>33123600</v>
      </c>
      <c r="AR216" s="11">
        <v>200</v>
      </c>
      <c r="AS216" s="9" t="s">
        <v>72</v>
      </c>
      <c r="AT216" s="12">
        <v>128.21</v>
      </c>
      <c r="AU216" s="9" t="s">
        <v>73</v>
      </c>
      <c r="AV216" s="9" t="s">
        <v>67</v>
      </c>
      <c r="AW216" s="9" t="s">
        <v>1136</v>
      </c>
      <c r="AX216" s="10">
        <v>45988</v>
      </c>
      <c r="AY216" s="9" t="s">
        <v>1137</v>
      </c>
      <c r="AZ216" s="9" t="s">
        <v>67</v>
      </c>
      <c r="BA216" s="9" t="s">
        <v>67</v>
      </c>
      <c r="BB216" s="12">
        <v>200</v>
      </c>
      <c r="BC216" s="9" t="s">
        <v>74</v>
      </c>
      <c r="BD216" s="9" t="s">
        <v>104</v>
      </c>
      <c r="BE216" s="9" t="s">
        <v>75</v>
      </c>
      <c r="BF216" s="11">
        <v>0</v>
      </c>
      <c r="BG216">
        <f t="shared" si="8"/>
        <v>12</v>
      </c>
      <c r="BH216" t="str">
        <f>VLOOKUP(BG216,[1]month!$A:$B,2,0)</f>
        <v>Desember</v>
      </c>
      <c r="BI216">
        <f t="shared" si="9"/>
        <v>2025</v>
      </c>
      <c r="BJ216" t="str">
        <f>VLOOKUP(I216,[1]Dist!$A:$B,2,0)</f>
        <v>Retail</v>
      </c>
      <c r="BK216" t="str">
        <f>IF(I216=11,VLOOKUP(Y216,[2]Sheet1!$C:$N,10,0),IF(I216=13,VLOOKUP(Y216,[3]Sheet1!$C:$N,10,0),IF(I216=15,VLOOKUP(Y216,[4]Sheet1!$C:$N,10,0),"Unknown")))</f>
        <v>MULTIPOX</v>
      </c>
      <c r="BL216" t="str">
        <f>IF(I216=11,VLOOKUP(Y216,[2]Sheet1!$C:$N,12,0),IF(I216=13,VLOOKUP(Y216,[3]Sheet1!$C:$N,12,0),IF(I216=15,VLOOKUP(Y216,[4]Sheet1!$C:$N,12,0),"Unknown")))</f>
        <v>MULTIPOX</v>
      </c>
      <c r="BM216" t="str">
        <f>VLOOKUP(W216,[1]branch!$A:$B,2,0)</f>
        <v>HO CHI MINH</v>
      </c>
    </row>
    <row r="217" spans="1:65" x14ac:dyDescent="0.35">
      <c r="A217" s="10">
        <v>45993</v>
      </c>
      <c r="B217" s="9" t="s">
        <v>1138</v>
      </c>
      <c r="C217" s="9" t="s">
        <v>64</v>
      </c>
      <c r="D217" s="9" t="s">
        <v>92</v>
      </c>
      <c r="E217" s="11">
        <v>30</v>
      </c>
      <c r="F217" s="9" t="s">
        <v>93</v>
      </c>
      <c r="G217" s="9" t="s">
        <v>65</v>
      </c>
      <c r="H217" s="9" t="s">
        <v>66</v>
      </c>
      <c r="I217" s="9">
        <v>13</v>
      </c>
      <c r="J217" s="9" t="s">
        <v>828</v>
      </c>
      <c r="K217" s="9" t="s">
        <v>828</v>
      </c>
      <c r="L217" s="9" t="s">
        <v>828</v>
      </c>
      <c r="M217" s="9" t="s">
        <v>829</v>
      </c>
      <c r="N217" s="9" t="s">
        <v>830</v>
      </c>
      <c r="O217" s="9" t="s">
        <v>150</v>
      </c>
      <c r="P217" s="9" t="s">
        <v>67</v>
      </c>
      <c r="Q217" s="9" t="s">
        <v>98</v>
      </c>
      <c r="R217" s="9" t="s">
        <v>828</v>
      </c>
      <c r="S217" s="9" t="s">
        <v>829</v>
      </c>
      <c r="T217" s="9" t="s">
        <v>831</v>
      </c>
      <c r="U217" s="9" t="s">
        <v>67</v>
      </c>
      <c r="V217" s="9" t="s">
        <v>832</v>
      </c>
      <c r="W217" s="9" t="s">
        <v>833</v>
      </c>
      <c r="X217" s="11">
        <v>10</v>
      </c>
      <c r="Y217" s="9" t="s">
        <v>763</v>
      </c>
      <c r="Z217" s="9" t="s">
        <v>76</v>
      </c>
      <c r="AA217" s="9" t="s">
        <v>764</v>
      </c>
      <c r="AB217" s="9" t="s">
        <v>67</v>
      </c>
      <c r="AC217" s="9" t="s">
        <v>765</v>
      </c>
      <c r="AD217" s="11">
        <v>8</v>
      </c>
      <c r="AE217" s="9" t="s">
        <v>70</v>
      </c>
      <c r="AF217" s="9" t="s">
        <v>71</v>
      </c>
      <c r="AG217" s="13">
        <v>1</v>
      </c>
      <c r="AH217" s="9" t="s">
        <v>92</v>
      </c>
      <c r="AI217" s="13">
        <v>950000</v>
      </c>
      <c r="AJ217" s="13">
        <v>7600000</v>
      </c>
      <c r="AK217" s="11">
        <v>0</v>
      </c>
      <c r="AL217" s="11">
        <v>0</v>
      </c>
      <c r="AM217" s="11">
        <v>0</v>
      </c>
      <c r="AN217" s="9" t="s">
        <v>67</v>
      </c>
      <c r="AO217" s="11">
        <v>7600000</v>
      </c>
      <c r="AP217" s="13">
        <v>608000</v>
      </c>
      <c r="AQ217" s="13">
        <v>8208000</v>
      </c>
      <c r="AR217" s="11">
        <v>160</v>
      </c>
      <c r="AS217" s="9" t="s">
        <v>72</v>
      </c>
      <c r="AT217" s="12">
        <v>152.38399999999999</v>
      </c>
      <c r="AU217" s="9" t="s">
        <v>73</v>
      </c>
      <c r="AV217" s="9" t="s">
        <v>67</v>
      </c>
      <c r="AW217" s="9" t="s">
        <v>1139</v>
      </c>
      <c r="AX217" s="10">
        <v>45992</v>
      </c>
      <c r="AY217" s="9" t="s">
        <v>1140</v>
      </c>
      <c r="AZ217" s="9" t="s">
        <v>67</v>
      </c>
      <c r="BA217" s="9" t="s">
        <v>67</v>
      </c>
      <c r="BB217" s="12">
        <v>160</v>
      </c>
      <c r="BC217" s="9" t="s">
        <v>74</v>
      </c>
      <c r="BD217" s="9" t="s">
        <v>104</v>
      </c>
      <c r="BE217" s="9" t="s">
        <v>75</v>
      </c>
      <c r="BF217" s="11">
        <v>0</v>
      </c>
      <c r="BG217">
        <f t="shared" si="8"/>
        <v>12</v>
      </c>
      <c r="BH217" t="str">
        <f>VLOOKUP(BG217,[1]month!$A:$B,2,0)</f>
        <v>Desember</v>
      </c>
      <c r="BI217">
        <f t="shared" si="9"/>
        <v>2025</v>
      </c>
      <c r="BJ217" t="str">
        <f>VLOOKUP(I217,[1]Dist!$A:$B,2,0)</f>
        <v>Retail</v>
      </c>
      <c r="BK217" t="str">
        <f>IF(I217=11,VLOOKUP(Y217,[2]Sheet1!$C:$N,10,0),IF(I217=13,VLOOKUP(Y217,[3]Sheet1!$C:$N,10,0),IF(I217=15,VLOOKUP(Y217,[4]Sheet1!$C:$N,10,0),"Unknown")))</f>
        <v>POLYFLOOR</v>
      </c>
      <c r="BL217" t="str">
        <f>IF(I217=11,VLOOKUP(Y217,[2]Sheet1!$C:$N,12,0),IF(I217=13,VLOOKUP(Y217,[3]Sheet1!$C:$N,12,0),IF(I217=15,VLOOKUP(Y217,[4]Sheet1!$C:$N,12,0),"Unknown")))</f>
        <v>POLYFLOOR CEMENT</v>
      </c>
      <c r="BM217" t="str">
        <f>VLOOKUP(W217,[1]branch!$A:$B,2,0)</f>
        <v>HO CHI MINH</v>
      </c>
    </row>
    <row r="218" spans="1:65" x14ac:dyDescent="0.35">
      <c r="A218" s="10">
        <v>45993</v>
      </c>
      <c r="B218" s="9" t="s">
        <v>1141</v>
      </c>
      <c r="C218" s="9" t="s">
        <v>64</v>
      </c>
      <c r="D218" s="9" t="s">
        <v>92</v>
      </c>
      <c r="E218" s="11">
        <v>30</v>
      </c>
      <c r="F218" s="9" t="s">
        <v>93</v>
      </c>
      <c r="G218" s="9" t="s">
        <v>65</v>
      </c>
      <c r="H218" s="9" t="s">
        <v>66</v>
      </c>
      <c r="I218" s="9">
        <v>13</v>
      </c>
      <c r="J218" s="9" t="s">
        <v>828</v>
      </c>
      <c r="K218" s="9" t="s">
        <v>828</v>
      </c>
      <c r="L218" s="9" t="s">
        <v>828</v>
      </c>
      <c r="M218" s="9" t="s">
        <v>829</v>
      </c>
      <c r="N218" s="9" t="s">
        <v>830</v>
      </c>
      <c r="O218" s="9" t="s">
        <v>150</v>
      </c>
      <c r="P218" s="9" t="s">
        <v>67</v>
      </c>
      <c r="Q218" s="9" t="s">
        <v>98</v>
      </c>
      <c r="R218" s="9" t="s">
        <v>828</v>
      </c>
      <c r="S218" s="9" t="s">
        <v>829</v>
      </c>
      <c r="T218" s="9" t="s">
        <v>831</v>
      </c>
      <c r="U218" s="9" t="s">
        <v>67</v>
      </c>
      <c r="V218" s="9" t="s">
        <v>832</v>
      </c>
      <c r="W218" s="9" t="s">
        <v>833</v>
      </c>
      <c r="X218" s="11">
        <v>10</v>
      </c>
      <c r="Y218" s="9" t="s">
        <v>634</v>
      </c>
      <c r="Z218" s="9" t="s">
        <v>68</v>
      </c>
      <c r="AA218" s="9" t="s">
        <v>635</v>
      </c>
      <c r="AB218" s="9" t="s">
        <v>67</v>
      </c>
      <c r="AC218" s="9" t="s">
        <v>382</v>
      </c>
      <c r="AD218" s="11">
        <v>1</v>
      </c>
      <c r="AE218" s="9" t="s">
        <v>70</v>
      </c>
      <c r="AF218" s="9" t="s">
        <v>71</v>
      </c>
      <c r="AG218" s="13">
        <v>1</v>
      </c>
      <c r="AH218" s="9" t="s">
        <v>92</v>
      </c>
      <c r="AI218" s="13">
        <v>3136364</v>
      </c>
      <c r="AJ218" s="13">
        <v>3136364</v>
      </c>
      <c r="AK218" s="11">
        <v>603750</v>
      </c>
      <c r="AL218" s="11">
        <v>0</v>
      </c>
      <c r="AM218" s="11">
        <v>0</v>
      </c>
      <c r="AN218" s="9" t="s">
        <v>314</v>
      </c>
      <c r="AO218" s="11">
        <v>2532614</v>
      </c>
      <c r="AP218" s="13">
        <v>202609</v>
      </c>
      <c r="AQ218" s="13">
        <v>2735223</v>
      </c>
      <c r="AR218" s="12">
        <v>22.5</v>
      </c>
      <c r="AS218" s="9" t="s">
        <v>72</v>
      </c>
      <c r="AT218" s="11">
        <v>18</v>
      </c>
      <c r="AU218" s="9" t="s">
        <v>73</v>
      </c>
      <c r="AV218" s="9" t="s">
        <v>67</v>
      </c>
      <c r="AW218" s="9" t="s">
        <v>1040</v>
      </c>
      <c r="AX218" s="10">
        <v>45992</v>
      </c>
      <c r="AY218" s="9" t="s">
        <v>1142</v>
      </c>
      <c r="AZ218" s="9" t="s">
        <v>67</v>
      </c>
      <c r="BA218" s="9" t="s">
        <v>67</v>
      </c>
      <c r="BB218" s="12">
        <v>18</v>
      </c>
      <c r="BC218" s="9" t="s">
        <v>74</v>
      </c>
      <c r="BD218" s="9" t="s">
        <v>104</v>
      </c>
      <c r="BE218" s="9" t="s">
        <v>75</v>
      </c>
      <c r="BF218" s="11">
        <v>0</v>
      </c>
      <c r="BG218">
        <f t="shared" si="8"/>
        <v>12</v>
      </c>
      <c r="BH218" t="str">
        <f>VLOOKUP(BG218,[1]month!$A:$B,2,0)</f>
        <v>Desember</v>
      </c>
      <c r="BI218">
        <f t="shared" si="9"/>
        <v>2025</v>
      </c>
      <c r="BJ218" t="str">
        <f>VLOOKUP(I218,[1]Dist!$A:$B,2,0)</f>
        <v>Retail</v>
      </c>
      <c r="BK218" t="str">
        <f>IF(I218=11,VLOOKUP(Y218,[2]Sheet1!$C:$N,10,0),IF(I218=13,VLOOKUP(Y218,[3]Sheet1!$C:$N,10,0),IF(I218=15,VLOOKUP(Y218,[4]Sheet1!$C:$N,10,0),"Unknown")))</f>
        <v>DECOR</v>
      </c>
      <c r="BL218" t="str">
        <f>IF(I218=11,VLOOKUP(Y218,[2]Sheet1!$C:$N,12,0),IF(I218=13,VLOOKUP(Y218,[3]Sheet1!$C:$N,12,0),IF(I218=15,VLOOKUP(Y218,[4]Sheet1!$C:$N,12,0),"Unknown")))</f>
        <v>DECORSHIELD RMX</v>
      </c>
      <c r="BM218" t="str">
        <f>VLOOKUP(W218,[1]branch!$A:$B,2,0)</f>
        <v>HO CHI MINH</v>
      </c>
    </row>
    <row r="219" spans="1:65" x14ac:dyDescent="0.35">
      <c r="A219" s="10">
        <v>45993</v>
      </c>
      <c r="B219" s="9" t="s">
        <v>1141</v>
      </c>
      <c r="C219" s="9" t="s">
        <v>64</v>
      </c>
      <c r="D219" s="9" t="s">
        <v>92</v>
      </c>
      <c r="E219" s="11">
        <v>30</v>
      </c>
      <c r="F219" s="9" t="s">
        <v>93</v>
      </c>
      <c r="G219" s="9" t="s">
        <v>65</v>
      </c>
      <c r="H219" s="9" t="s">
        <v>66</v>
      </c>
      <c r="I219" s="9">
        <v>13</v>
      </c>
      <c r="J219" s="9" t="s">
        <v>828</v>
      </c>
      <c r="K219" s="9" t="s">
        <v>828</v>
      </c>
      <c r="L219" s="9" t="s">
        <v>828</v>
      </c>
      <c r="M219" s="9" t="s">
        <v>829</v>
      </c>
      <c r="N219" s="9" t="s">
        <v>830</v>
      </c>
      <c r="O219" s="9" t="s">
        <v>150</v>
      </c>
      <c r="P219" s="9" t="s">
        <v>67</v>
      </c>
      <c r="Q219" s="9" t="s">
        <v>98</v>
      </c>
      <c r="R219" s="9" t="s">
        <v>828</v>
      </c>
      <c r="S219" s="9" t="s">
        <v>829</v>
      </c>
      <c r="T219" s="9" t="s">
        <v>831</v>
      </c>
      <c r="U219" s="9" t="s">
        <v>67</v>
      </c>
      <c r="V219" s="9" t="s">
        <v>832</v>
      </c>
      <c r="W219" s="9" t="s">
        <v>833</v>
      </c>
      <c r="X219" s="11">
        <v>20</v>
      </c>
      <c r="Y219" s="9" t="s">
        <v>628</v>
      </c>
      <c r="Z219" s="9" t="s">
        <v>68</v>
      </c>
      <c r="AA219" s="9" t="s">
        <v>629</v>
      </c>
      <c r="AB219" s="9" t="s">
        <v>67</v>
      </c>
      <c r="AC219" s="9" t="s">
        <v>382</v>
      </c>
      <c r="AD219" s="11">
        <v>1</v>
      </c>
      <c r="AE219" s="9" t="s">
        <v>70</v>
      </c>
      <c r="AF219" s="9" t="s">
        <v>71</v>
      </c>
      <c r="AG219" s="13">
        <v>1</v>
      </c>
      <c r="AH219" s="9" t="s">
        <v>92</v>
      </c>
      <c r="AI219" s="13">
        <v>3370000</v>
      </c>
      <c r="AJ219" s="13">
        <v>3370000</v>
      </c>
      <c r="AK219" s="11">
        <v>648725</v>
      </c>
      <c r="AL219" s="11">
        <v>0</v>
      </c>
      <c r="AM219" s="11">
        <v>0</v>
      </c>
      <c r="AN219" s="9" t="s">
        <v>314</v>
      </c>
      <c r="AO219" s="11">
        <v>2721275</v>
      </c>
      <c r="AP219" s="13">
        <v>217702</v>
      </c>
      <c r="AQ219" s="13">
        <v>2938977</v>
      </c>
      <c r="AR219" s="12">
        <v>23.76</v>
      </c>
      <c r="AS219" s="9" t="s">
        <v>72</v>
      </c>
      <c r="AT219" s="11">
        <v>18</v>
      </c>
      <c r="AU219" s="9" t="s">
        <v>73</v>
      </c>
      <c r="AV219" s="9" t="s">
        <v>67</v>
      </c>
      <c r="AW219" s="9" t="s">
        <v>1040</v>
      </c>
      <c r="AX219" s="10">
        <v>45992</v>
      </c>
      <c r="AY219" s="9" t="s">
        <v>1142</v>
      </c>
      <c r="AZ219" s="9" t="s">
        <v>67</v>
      </c>
      <c r="BA219" s="9" t="s">
        <v>67</v>
      </c>
      <c r="BB219" s="12">
        <v>18</v>
      </c>
      <c r="BC219" s="9" t="s">
        <v>74</v>
      </c>
      <c r="BD219" s="9" t="s">
        <v>104</v>
      </c>
      <c r="BE219" s="9" t="s">
        <v>75</v>
      </c>
      <c r="BF219" s="11">
        <v>0</v>
      </c>
      <c r="BG219">
        <f t="shared" si="8"/>
        <v>12</v>
      </c>
      <c r="BH219" t="str">
        <f>VLOOKUP(BG219,[1]month!$A:$B,2,0)</f>
        <v>Desember</v>
      </c>
      <c r="BI219">
        <f t="shared" si="9"/>
        <v>2025</v>
      </c>
      <c r="BJ219" t="str">
        <f>VLOOKUP(I219,[1]Dist!$A:$B,2,0)</f>
        <v>Retail</v>
      </c>
      <c r="BK219" t="str">
        <f>IF(I219=11,VLOOKUP(Y219,[2]Sheet1!$C:$N,10,0),IF(I219=13,VLOOKUP(Y219,[3]Sheet1!$C:$N,10,0),IF(I219=15,VLOOKUP(Y219,[4]Sheet1!$C:$N,10,0),"Unknown")))</f>
        <v>DECOR</v>
      </c>
      <c r="BL219" t="str">
        <f>IF(I219=11,VLOOKUP(Y219,[2]Sheet1!$C:$N,12,0),IF(I219=13,VLOOKUP(Y219,[3]Sheet1!$C:$N,12,0),IF(I219=15,VLOOKUP(Y219,[4]Sheet1!$C:$N,12,0),"Unknown")))</f>
        <v>DECORSHIELD RMX</v>
      </c>
      <c r="BM219" t="str">
        <f>VLOOKUP(W219,[1]branch!$A:$B,2,0)</f>
        <v>HO CHI MINH</v>
      </c>
    </row>
    <row r="220" spans="1:65" x14ac:dyDescent="0.35">
      <c r="A220" s="10">
        <v>45993</v>
      </c>
      <c r="B220" s="9" t="s">
        <v>1143</v>
      </c>
      <c r="C220" s="9" t="s">
        <v>64</v>
      </c>
      <c r="D220" s="9" t="s">
        <v>92</v>
      </c>
      <c r="E220" s="11">
        <v>45</v>
      </c>
      <c r="F220" s="9" t="s">
        <v>93</v>
      </c>
      <c r="G220" s="9" t="s">
        <v>65</v>
      </c>
      <c r="H220" s="9" t="s">
        <v>66</v>
      </c>
      <c r="I220" s="9">
        <v>11</v>
      </c>
      <c r="J220" s="9" t="s">
        <v>162</v>
      </c>
      <c r="K220" s="9" t="s">
        <v>162</v>
      </c>
      <c r="L220" s="9" t="s">
        <v>162</v>
      </c>
      <c r="M220" s="9" t="s">
        <v>163</v>
      </c>
      <c r="N220" s="9" t="s">
        <v>867</v>
      </c>
      <c r="O220" s="9" t="s">
        <v>97</v>
      </c>
      <c r="P220" s="9" t="s">
        <v>67</v>
      </c>
      <c r="Q220" s="9" t="s">
        <v>98</v>
      </c>
      <c r="R220" s="9" t="s">
        <v>162</v>
      </c>
      <c r="S220" s="9" t="s">
        <v>163</v>
      </c>
      <c r="T220" s="9" t="s">
        <v>795</v>
      </c>
      <c r="U220" s="9" t="s">
        <v>67</v>
      </c>
      <c r="V220" s="9" t="s">
        <v>130</v>
      </c>
      <c r="W220" s="9" t="s">
        <v>131</v>
      </c>
      <c r="X220" s="11">
        <v>10</v>
      </c>
      <c r="Y220" s="9" t="s">
        <v>164</v>
      </c>
      <c r="Z220" s="9" t="s">
        <v>68</v>
      </c>
      <c r="AA220" s="9" t="s">
        <v>165</v>
      </c>
      <c r="AB220" s="9" t="s">
        <v>67</v>
      </c>
      <c r="AC220" s="9" t="s">
        <v>166</v>
      </c>
      <c r="AD220" s="11">
        <v>13</v>
      </c>
      <c r="AE220" s="9" t="s">
        <v>70</v>
      </c>
      <c r="AF220" s="9" t="s">
        <v>71</v>
      </c>
      <c r="AG220" s="13">
        <v>1</v>
      </c>
      <c r="AH220" s="9" t="s">
        <v>92</v>
      </c>
      <c r="AI220" s="13">
        <v>984000</v>
      </c>
      <c r="AJ220" s="13">
        <v>12792000</v>
      </c>
      <c r="AK220" s="11">
        <v>0</v>
      </c>
      <c r="AL220" s="11">
        <v>0</v>
      </c>
      <c r="AM220" s="11">
        <v>0</v>
      </c>
      <c r="AN220" s="9" t="s">
        <v>67</v>
      </c>
      <c r="AO220" s="11">
        <v>12792000</v>
      </c>
      <c r="AP220" s="13">
        <v>1023360</v>
      </c>
      <c r="AQ220" s="13">
        <v>13815360</v>
      </c>
      <c r="AR220" s="11">
        <v>208</v>
      </c>
      <c r="AS220" s="9" t="s">
        <v>72</v>
      </c>
      <c r="AT220" s="12">
        <v>199.94</v>
      </c>
      <c r="AU220" s="9" t="s">
        <v>73</v>
      </c>
      <c r="AV220" s="9" t="s">
        <v>67</v>
      </c>
      <c r="AW220" s="9" t="s">
        <v>1144</v>
      </c>
      <c r="AX220" s="10">
        <v>45987</v>
      </c>
      <c r="AY220" s="9" t="s">
        <v>1145</v>
      </c>
      <c r="AZ220" s="9" t="s">
        <v>67</v>
      </c>
      <c r="BA220" s="9" t="s">
        <v>67</v>
      </c>
      <c r="BB220" s="12">
        <v>208</v>
      </c>
      <c r="BC220" s="9" t="s">
        <v>74</v>
      </c>
      <c r="BD220" s="9" t="s">
        <v>104</v>
      </c>
      <c r="BE220" s="9" t="s">
        <v>75</v>
      </c>
      <c r="BF220" s="11">
        <v>0</v>
      </c>
      <c r="BG220">
        <f t="shared" si="8"/>
        <v>12</v>
      </c>
      <c r="BH220" t="str">
        <f>VLOOKUP(BG220,[1]month!$A:$B,2,0)</f>
        <v>Desember</v>
      </c>
      <c r="BI220">
        <f t="shared" si="9"/>
        <v>2025</v>
      </c>
      <c r="BJ220" t="str">
        <f>VLOOKUP(I220,[1]Dist!$A:$B,2,0)</f>
        <v>Industry</v>
      </c>
      <c r="BK220" t="str">
        <f>IF(I220=11,VLOOKUP(Y220,[2]Sheet1!$C:$N,10,0),IF(I220=13,VLOOKUP(Y220,[3]Sheet1!$C:$N,10,0),IF(I220=15,VLOOKUP(Y220,[4]Sheet1!$C:$N,10,0),"Unknown")))</f>
        <v>PU</v>
      </c>
      <c r="BL220" t="str">
        <f>IF(I220=11,VLOOKUP(Y220,[2]Sheet1!$C:$N,12,0),IF(I220=13,VLOOKUP(Y220,[3]Sheet1!$C:$N,12,0),IF(I220=15,VLOOKUP(Y220,[4]Sheet1!$C:$N,12,0),"Unknown")))</f>
        <v>UNION SANDING SEALER</v>
      </c>
      <c r="BM220" t="str">
        <f>VLOOKUP(W220,[1]branch!$A:$B,2,0)</f>
        <v>INDUSTRY</v>
      </c>
    </row>
    <row r="221" spans="1:65" x14ac:dyDescent="0.35">
      <c r="A221" s="10">
        <v>45993</v>
      </c>
      <c r="B221" s="9" t="s">
        <v>1143</v>
      </c>
      <c r="C221" s="9" t="s">
        <v>64</v>
      </c>
      <c r="D221" s="9" t="s">
        <v>92</v>
      </c>
      <c r="E221" s="11">
        <v>45</v>
      </c>
      <c r="F221" s="9" t="s">
        <v>93</v>
      </c>
      <c r="G221" s="9" t="s">
        <v>65</v>
      </c>
      <c r="H221" s="9" t="s">
        <v>66</v>
      </c>
      <c r="I221" s="9">
        <v>11</v>
      </c>
      <c r="J221" s="9" t="s">
        <v>162</v>
      </c>
      <c r="K221" s="9" t="s">
        <v>162</v>
      </c>
      <c r="L221" s="9" t="s">
        <v>162</v>
      </c>
      <c r="M221" s="9" t="s">
        <v>163</v>
      </c>
      <c r="N221" s="9" t="s">
        <v>867</v>
      </c>
      <c r="O221" s="9" t="s">
        <v>97</v>
      </c>
      <c r="P221" s="9" t="s">
        <v>67</v>
      </c>
      <c r="Q221" s="9" t="s">
        <v>98</v>
      </c>
      <c r="R221" s="9" t="s">
        <v>162</v>
      </c>
      <c r="S221" s="9" t="s">
        <v>163</v>
      </c>
      <c r="T221" s="9" t="s">
        <v>795</v>
      </c>
      <c r="U221" s="9" t="s">
        <v>67</v>
      </c>
      <c r="V221" s="9" t="s">
        <v>130</v>
      </c>
      <c r="W221" s="9" t="s">
        <v>131</v>
      </c>
      <c r="X221" s="11">
        <v>20</v>
      </c>
      <c r="Y221" s="9" t="s">
        <v>167</v>
      </c>
      <c r="Z221" s="9" t="s">
        <v>68</v>
      </c>
      <c r="AA221" s="9" t="s">
        <v>168</v>
      </c>
      <c r="AB221" s="9" t="s">
        <v>67</v>
      </c>
      <c r="AC221" s="9" t="s">
        <v>169</v>
      </c>
      <c r="AD221" s="11">
        <v>26</v>
      </c>
      <c r="AE221" s="9" t="s">
        <v>70</v>
      </c>
      <c r="AF221" s="9" t="s">
        <v>71</v>
      </c>
      <c r="AG221" s="13">
        <v>1</v>
      </c>
      <c r="AH221" s="9" t="s">
        <v>92</v>
      </c>
      <c r="AI221" s="13">
        <v>417200</v>
      </c>
      <c r="AJ221" s="13">
        <v>10847200</v>
      </c>
      <c r="AK221" s="11">
        <v>0</v>
      </c>
      <c r="AL221" s="11">
        <v>0</v>
      </c>
      <c r="AM221" s="11">
        <v>0</v>
      </c>
      <c r="AN221" s="9" t="s">
        <v>67</v>
      </c>
      <c r="AO221" s="11">
        <v>10847200</v>
      </c>
      <c r="AP221" s="13">
        <v>867776</v>
      </c>
      <c r="AQ221" s="13">
        <v>11714976</v>
      </c>
      <c r="AR221" s="11">
        <v>104</v>
      </c>
      <c r="AS221" s="9" t="s">
        <v>72</v>
      </c>
      <c r="AT221" s="11">
        <v>104</v>
      </c>
      <c r="AU221" s="9" t="s">
        <v>73</v>
      </c>
      <c r="AV221" s="9" t="s">
        <v>67</v>
      </c>
      <c r="AW221" s="9" t="s">
        <v>1144</v>
      </c>
      <c r="AX221" s="10">
        <v>45987</v>
      </c>
      <c r="AY221" s="9" t="s">
        <v>1145</v>
      </c>
      <c r="AZ221" s="9" t="s">
        <v>67</v>
      </c>
      <c r="BA221" s="9" t="s">
        <v>67</v>
      </c>
      <c r="BB221" s="12">
        <v>104</v>
      </c>
      <c r="BC221" s="9" t="s">
        <v>74</v>
      </c>
      <c r="BD221" s="9" t="s">
        <v>104</v>
      </c>
      <c r="BE221" s="9" t="s">
        <v>75</v>
      </c>
      <c r="BF221" s="11">
        <v>0</v>
      </c>
      <c r="BG221">
        <f t="shared" si="8"/>
        <v>12</v>
      </c>
      <c r="BH221" t="str">
        <f>VLOOKUP(BG221,[1]month!$A:$B,2,0)</f>
        <v>Desember</v>
      </c>
      <c r="BI221">
        <f t="shared" si="9"/>
        <v>2025</v>
      </c>
      <c r="BJ221" t="str">
        <f>VLOOKUP(I221,[1]Dist!$A:$B,2,0)</f>
        <v>Industry</v>
      </c>
      <c r="BK221" t="str">
        <f>IF(I221=11,VLOOKUP(Y221,[2]Sheet1!$C:$N,10,0),IF(I221=13,VLOOKUP(Y221,[3]Sheet1!$C:$N,10,0),IF(I221=15,VLOOKUP(Y221,[4]Sheet1!$C:$N,10,0),"Unknown")))</f>
        <v>PU</v>
      </c>
      <c r="BL221" t="str">
        <f>IF(I221=11,VLOOKUP(Y221,[2]Sheet1!$C:$N,12,0),IF(I221=13,VLOOKUP(Y221,[3]Sheet1!$C:$N,12,0),IF(I221=15,VLOOKUP(Y221,[4]Sheet1!$C:$N,12,0),"Unknown")))</f>
        <v>UNION HARDENER</v>
      </c>
      <c r="BM221" t="str">
        <f>VLOOKUP(W221,[1]branch!$A:$B,2,0)</f>
        <v>INDUSTRY</v>
      </c>
    </row>
    <row r="222" spans="1:65" x14ac:dyDescent="0.35">
      <c r="A222" s="10">
        <v>45993</v>
      </c>
      <c r="B222" s="9" t="s">
        <v>1143</v>
      </c>
      <c r="C222" s="9" t="s">
        <v>64</v>
      </c>
      <c r="D222" s="9" t="s">
        <v>92</v>
      </c>
      <c r="E222" s="11">
        <v>45</v>
      </c>
      <c r="F222" s="9" t="s">
        <v>93</v>
      </c>
      <c r="G222" s="9" t="s">
        <v>65</v>
      </c>
      <c r="H222" s="9" t="s">
        <v>66</v>
      </c>
      <c r="I222" s="9">
        <v>11</v>
      </c>
      <c r="J222" s="9" t="s">
        <v>162</v>
      </c>
      <c r="K222" s="9" t="s">
        <v>162</v>
      </c>
      <c r="L222" s="9" t="s">
        <v>162</v>
      </c>
      <c r="M222" s="9" t="s">
        <v>163</v>
      </c>
      <c r="N222" s="9" t="s">
        <v>867</v>
      </c>
      <c r="O222" s="9" t="s">
        <v>97</v>
      </c>
      <c r="P222" s="9" t="s">
        <v>67</v>
      </c>
      <c r="Q222" s="9" t="s">
        <v>98</v>
      </c>
      <c r="R222" s="9" t="s">
        <v>162</v>
      </c>
      <c r="S222" s="9" t="s">
        <v>163</v>
      </c>
      <c r="T222" s="9" t="s">
        <v>795</v>
      </c>
      <c r="U222" s="9" t="s">
        <v>67</v>
      </c>
      <c r="V222" s="9" t="s">
        <v>130</v>
      </c>
      <c r="W222" s="9" t="s">
        <v>131</v>
      </c>
      <c r="X222" s="11">
        <v>30</v>
      </c>
      <c r="Y222" s="9" t="s">
        <v>170</v>
      </c>
      <c r="Z222" s="9" t="s">
        <v>68</v>
      </c>
      <c r="AA222" s="9" t="s">
        <v>171</v>
      </c>
      <c r="AB222" s="9" t="s">
        <v>67</v>
      </c>
      <c r="AC222" s="9" t="s">
        <v>172</v>
      </c>
      <c r="AD222" s="11">
        <v>14</v>
      </c>
      <c r="AE222" s="9" t="s">
        <v>70</v>
      </c>
      <c r="AF222" s="9" t="s">
        <v>71</v>
      </c>
      <c r="AG222" s="13">
        <v>1</v>
      </c>
      <c r="AH222" s="9" t="s">
        <v>92</v>
      </c>
      <c r="AI222" s="13">
        <v>1302400</v>
      </c>
      <c r="AJ222" s="13">
        <v>18233600</v>
      </c>
      <c r="AK222" s="11">
        <v>0</v>
      </c>
      <c r="AL222" s="11">
        <v>0</v>
      </c>
      <c r="AM222" s="11">
        <v>0</v>
      </c>
      <c r="AN222" s="9" t="s">
        <v>67</v>
      </c>
      <c r="AO222" s="11">
        <v>18233600</v>
      </c>
      <c r="AP222" s="13">
        <v>1458688</v>
      </c>
      <c r="AQ222" s="13">
        <v>19692288</v>
      </c>
      <c r="AR222" s="11">
        <v>224</v>
      </c>
      <c r="AS222" s="9" t="s">
        <v>72</v>
      </c>
      <c r="AT222" s="11">
        <v>224</v>
      </c>
      <c r="AU222" s="9" t="s">
        <v>73</v>
      </c>
      <c r="AV222" s="9" t="s">
        <v>67</v>
      </c>
      <c r="AW222" s="9" t="s">
        <v>1144</v>
      </c>
      <c r="AX222" s="10">
        <v>45987</v>
      </c>
      <c r="AY222" s="9" t="s">
        <v>1145</v>
      </c>
      <c r="AZ222" s="9" t="s">
        <v>67</v>
      </c>
      <c r="BA222" s="9" t="s">
        <v>67</v>
      </c>
      <c r="BB222" s="12">
        <v>224</v>
      </c>
      <c r="BC222" s="9" t="s">
        <v>74</v>
      </c>
      <c r="BD222" s="9" t="s">
        <v>104</v>
      </c>
      <c r="BE222" s="9" t="s">
        <v>75</v>
      </c>
      <c r="BF222" s="11">
        <v>0</v>
      </c>
      <c r="BG222">
        <f t="shared" si="8"/>
        <v>12</v>
      </c>
      <c r="BH222" t="str">
        <f>VLOOKUP(BG222,[1]month!$A:$B,2,0)</f>
        <v>Desember</v>
      </c>
      <c r="BI222">
        <f t="shared" si="9"/>
        <v>2025</v>
      </c>
      <c r="BJ222" t="str">
        <f>VLOOKUP(I222,[1]Dist!$A:$B,2,0)</f>
        <v>Industry</v>
      </c>
      <c r="BK222" t="str">
        <f>IF(I222=11,VLOOKUP(Y222,[2]Sheet1!$C:$N,10,0),IF(I222=13,VLOOKUP(Y222,[3]Sheet1!$C:$N,10,0),IF(I222=15,VLOOKUP(Y222,[4]Sheet1!$C:$N,10,0),"Unknown")))</f>
        <v>PU</v>
      </c>
      <c r="BL222" t="str">
        <f>IF(I222=11,VLOOKUP(Y222,[2]Sheet1!$C:$N,12,0),IF(I222=13,VLOOKUP(Y222,[3]Sheet1!$C:$N,12,0),IF(I222=15,VLOOKUP(Y222,[4]Sheet1!$C:$N,12,0),"Unknown")))</f>
        <v>UNION TOP COAT</v>
      </c>
      <c r="BM222" t="str">
        <f>VLOOKUP(W222,[1]branch!$A:$B,2,0)</f>
        <v>INDUSTRY</v>
      </c>
    </row>
    <row r="223" spans="1:65" x14ac:dyDescent="0.35">
      <c r="A223" s="10">
        <v>45993</v>
      </c>
      <c r="B223" s="9" t="s">
        <v>1143</v>
      </c>
      <c r="C223" s="9" t="s">
        <v>64</v>
      </c>
      <c r="D223" s="9" t="s">
        <v>92</v>
      </c>
      <c r="E223" s="11">
        <v>45</v>
      </c>
      <c r="F223" s="9" t="s">
        <v>93</v>
      </c>
      <c r="G223" s="9" t="s">
        <v>65</v>
      </c>
      <c r="H223" s="9" t="s">
        <v>66</v>
      </c>
      <c r="I223" s="9">
        <v>11</v>
      </c>
      <c r="J223" s="9" t="s">
        <v>162</v>
      </c>
      <c r="K223" s="9" t="s">
        <v>162</v>
      </c>
      <c r="L223" s="9" t="s">
        <v>162</v>
      </c>
      <c r="M223" s="9" t="s">
        <v>163</v>
      </c>
      <c r="N223" s="9" t="s">
        <v>867</v>
      </c>
      <c r="O223" s="9" t="s">
        <v>97</v>
      </c>
      <c r="P223" s="9" t="s">
        <v>67</v>
      </c>
      <c r="Q223" s="9" t="s">
        <v>98</v>
      </c>
      <c r="R223" s="9" t="s">
        <v>162</v>
      </c>
      <c r="S223" s="9" t="s">
        <v>163</v>
      </c>
      <c r="T223" s="9" t="s">
        <v>795</v>
      </c>
      <c r="U223" s="9" t="s">
        <v>67</v>
      </c>
      <c r="V223" s="9" t="s">
        <v>130</v>
      </c>
      <c r="W223" s="9" t="s">
        <v>131</v>
      </c>
      <c r="X223" s="11">
        <v>40</v>
      </c>
      <c r="Y223" s="9" t="s">
        <v>176</v>
      </c>
      <c r="Z223" s="9" t="s">
        <v>68</v>
      </c>
      <c r="AA223" s="9" t="s">
        <v>177</v>
      </c>
      <c r="AB223" s="9" t="s">
        <v>67</v>
      </c>
      <c r="AC223" s="9" t="s">
        <v>178</v>
      </c>
      <c r="AD223" s="11">
        <v>28</v>
      </c>
      <c r="AE223" s="9" t="s">
        <v>70</v>
      </c>
      <c r="AF223" s="9" t="s">
        <v>71</v>
      </c>
      <c r="AG223" s="13">
        <v>1</v>
      </c>
      <c r="AH223" s="9" t="s">
        <v>92</v>
      </c>
      <c r="AI223" s="13">
        <v>417200</v>
      </c>
      <c r="AJ223" s="13">
        <v>11681600</v>
      </c>
      <c r="AK223" s="11">
        <v>0</v>
      </c>
      <c r="AL223" s="11">
        <v>0</v>
      </c>
      <c r="AM223" s="11">
        <v>0</v>
      </c>
      <c r="AN223" s="9" t="s">
        <v>67</v>
      </c>
      <c r="AO223" s="11">
        <v>11681600</v>
      </c>
      <c r="AP223" s="13">
        <v>934528</v>
      </c>
      <c r="AQ223" s="13">
        <v>12616128</v>
      </c>
      <c r="AR223" s="11">
        <v>112</v>
      </c>
      <c r="AS223" s="9" t="s">
        <v>72</v>
      </c>
      <c r="AT223" s="12">
        <v>110.88</v>
      </c>
      <c r="AU223" s="9" t="s">
        <v>73</v>
      </c>
      <c r="AV223" s="9" t="s">
        <v>67</v>
      </c>
      <c r="AW223" s="9" t="s">
        <v>1144</v>
      </c>
      <c r="AX223" s="10">
        <v>45987</v>
      </c>
      <c r="AY223" s="9" t="s">
        <v>1145</v>
      </c>
      <c r="AZ223" s="9" t="s">
        <v>67</v>
      </c>
      <c r="BA223" s="9" t="s">
        <v>67</v>
      </c>
      <c r="BB223" s="12">
        <v>112</v>
      </c>
      <c r="BC223" s="9" t="s">
        <v>74</v>
      </c>
      <c r="BD223" s="9" t="s">
        <v>104</v>
      </c>
      <c r="BE223" s="9" t="s">
        <v>75</v>
      </c>
      <c r="BF223" s="11">
        <v>0</v>
      </c>
      <c r="BG223">
        <f t="shared" si="8"/>
        <v>12</v>
      </c>
      <c r="BH223" t="str">
        <f>VLOOKUP(BG223,[1]month!$A:$B,2,0)</f>
        <v>Desember</v>
      </c>
      <c r="BI223">
        <f t="shared" si="9"/>
        <v>2025</v>
      </c>
      <c r="BJ223" t="str">
        <f>VLOOKUP(I223,[1]Dist!$A:$B,2,0)</f>
        <v>Industry</v>
      </c>
      <c r="BK223" t="str">
        <f>IF(I223=11,VLOOKUP(Y223,[2]Sheet1!$C:$N,10,0),IF(I223=13,VLOOKUP(Y223,[3]Sheet1!$C:$N,10,0),IF(I223=15,VLOOKUP(Y223,[4]Sheet1!$C:$N,10,0),"Unknown")))</f>
        <v>PU</v>
      </c>
      <c r="BL223" t="str">
        <f>IF(I223=11,VLOOKUP(Y223,[2]Sheet1!$C:$N,12,0),IF(I223=13,VLOOKUP(Y223,[3]Sheet1!$C:$N,12,0),IF(I223=15,VLOOKUP(Y223,[4]Sheet1!$C:$N,12,0),"Unknown")))</f>
        <v>UNION HARDENER</v>
      </c>
      <c r="BM223" t="str">
        <f>VLOOKUP(W223,[1]branch!$A:$B,2,0)</f>
        <v>INDUSTRY</v>
      </c>
    </row>
    <row r="224" spans="1:65" x14ac:dyDescent="0.35">
      <c r="A224" s="10">
        <v>45993</v>
      </c>
      <c r="B224" s="9" t="s">
        <v>1143</v>
      </c>
      <c r="C224" s="9" t="s">
        <v>64</v>
      </c>
      <c r="D224" s="9" t="s">
        <v>92</v>
      </c>
      <c r="E224" s="11">
        <v>45</v>
      </c>
      <c r="F224" s="9" t="s">
        <v>93</v>
      </c>
      <c r="G224" s="9" t="s">
        <v>65</v>
      </c>
      <c r="H224" s="9" t="s">
        <v>66</v>
      </c>
      <c r="I224" s="9">
        <v>11</v>
      </c>
      <c r="J224" s="9" t="s">
        <v>162</v>
      </c>
      <c r="K224" s="9" t="s">
        <v>162</v>
      </c>
      <c r="L224" s="9" t="s">
        <v>162</v>
      </c>
      <c r="M224" s="9" t="s">
        <v>163</v>
      </c>
      <c r="N224" s="9" t="s">
        <v>867</v>
      </c>
      <c r="O224" s="9" t="s">
        <v>97</v>
      </c>
      <c r="P224" s="9" t="s">
        <v>67</v>
      </c>
      <c r="Q224" s="9" t="s">
        <v>98</v>
      </c>
      <c r="R224" s="9" t="s">
        <v>162</v>
      </c>
      <c r="S224" s="9" t="s">
        <v>163</v>
      </c>
      <c r="T224" s="9" t="s">
        <v>795</v>
      </c>
      <c r="U224" s="9" t="s">
        <v>67</v>
      </c>
      <c r="V224" s="9" t="s">
        <v>130</v>
      </c>
      <c r="W224" s="9" t="s">
        <v>131</v>
      </c>
      <c r="X224" s="11">
        <v>50</v>
      </c>
      <c r="Y224" s="9" t="s">
        <v>173</v>
      </c>
      <c r="Z224" s="9" t="s">
        <v>68</v>
      </c>
      <c r="AA224" s="9" t="s">
        <v>174</v>
      </c>
      <c r="AB224" s="9" t="s">
        <v>67</v>
      </c>
      <c r="AC224" s="9" t="s">
        <v>175</v>
      </c>
      <c r="AD224" s="11">
        <v>5</v>
      </c>
      <c r="AE224" s="9" t="s">
        <v>70</v>
      </c>
      <c r="AF224" s="9" t="s">
        <v>71</v>
      </c>
      <c r="AG224" s="13">
        <v>1</v>
      </c>
      <c r="AH224" s="9" t="s">
        <v>92</v>
      </c>
      <c r="AI224" s="13">
        <v>8320000</v>
      </c>
      <c r="AJ224" s="13">
        <v>41600000</v>
      </c>
      <c r="AK224" s="11">
        <v>0</v>
      </c>
      <c r="AL224" s="11">
        <v>0</v>
      </c>
      <c r="AM224" s="11">
        <v>0</v>
      </c>
      <c r="AN224" s="9" t="s">
        <v>67</v>
      </c>
      <c r="AO224" s="11">
        <v>41600000</v>
      </c>
      <c r="AP224" s="13">
        <v>3328000</v>
      </c>
      <c r="AQ224" s="13">
        <v>44928000</v>
      </c>
      <c r="AR224" s="11">
        <v>880</v>
      </c>
      <c r="AS224" s="9" t="s">
        <v>72</v>
      </c>
      <c r="AT224" s="11">
        <v>1000</v>
      </c>
      <c r="AU224" s="9" t="s">
        <v>73</v>
      </c>
      <c r="AV224" s="9" t="s">
        <v>67</v>
      </c>
      <c r="AW224" s="9" t="s">
        <v>1144</v>
      </c>
      <c r="AX224" s="10">
        <v>45987</v>
      </c>
      <c r="AY224" s="9" t="s">
        <v>1145</v>
      </c>
      <c r="AZ224" s="9" t="s">
        <v>67</v>
      </c>
      <c r="BA224" s="9" t="s">
        <v>67</v>
      </c>
      <c r="BB224" s="12">
        <v>1000</v>
      </c>
      <c r="BC224" s="9" t="s">
        <v>74</v>
      </c>
      <c r="BD224" s="9" t="s">
        <v>104</v>
      </c>
      <c r="BE224" s="9" t="s">
        <v>75</v>
      </c>
      <c r="BF224" s="11">
        <v>0</v>
      </c>
      <c r="BG224">
        <f t="shared" si="8"/>
        <v>12</v>
      </c>
      <c r="BH224" t="str">
        <f>VLOOKUP(BG224,[1]month!$A:$B,2,0)</f>
        <v>Desember</v>
      </c>
      <c r="BI224">
        <f t="shared" si="9"/>
        <v>2025</v>
      </c>
      <c r="BJ224" t="str">
        <f>VLOOKUP(I224,[1]Dist!$A:$B,2,0)</f>
        <v>Industry</v>
      </c>
      <c r="BK224" t="str">
        <f>IF(I224=11,VLOOKUP(Y224,[2]Sheet1!$C:$N,10,0),IF(I224=13,VLOOKUP(Y224,[3]Sheet1!$C:$N,10,0),IF(I224=15,VLOOKUP(Y224,[4]Sheet1!$C:$N,10,0),"Unknown")))</f>
        <v>THINNER PU</v>
      </c>
      <c r="BL224" t="str">
        <f>IF(I224=11,VLOOKUP(Y224,[2]Sheet1!$C:$N,12,0),IF(I224=13,VLOOKUP(Y224,[3]Sheet1!$C:$N,12,0),IF(I224=15,VLOOKUP(Y224,[4]Sheet1!$C:$N,12,0),"Unknown")))</f>
        <v>UNION THINNER</v>
      </c>
      <c r="BM224" t="str">
        <f>VLOOKUP(W224,[1]branch!$A:$B,2,0)</f>
        <v>INDUSTRY</v>
      </c>
    </row>
    <row r="225" spans="1:65" x14ac:dyDescent="0.35">
      <c r="A225" s="10">
        <v>45993</v>
      </c>
      <c r="B225" s="9" t="s">
        <v>1146</v>
      </c>
      <c r="C225" s="9" t="s">
        <v>64</v>
      </c>
      <c r="D225" s="9" t="s">
        <v>92</v>
      </c>
      <c r="E225" s="11">
        <v>45</v>
      </c>
      <c r="F225" s="9" t="s">
        <v>93</v>
      </c>
      <c r="G225" s="9" t="s">
        <v>65</v>
      </c>
      <c r="H225" s="9" t="s">
        <v>66</v>
      </c>
      <c r="I225" s="9">
        <v>11</v>
      </c>
      <c r="J225" s="9" t="s">
        <v>162</v>
      </c>
      <c r="K225" s="9" t="s">
        <v>162</v>
      </c>
      <c r="L225" s="9" t="s">
        <v>162</v>
      </c>
      <c r="M225" s="9" t="s">
        <v>163</v>
      </c>
      <c r="N225" s="9" t="s">
        <v>867</v>
      </c>
      <c r="O225" s="9" t="s">
        <v>97</v>
      </c>
      <c r="P225" s="9" t="s">
        <v>67</v>
      </c>
      <c r="Q225" s="9" t="s">
        <v>98</v>
      </c>
      <c r="R225" s="9" t="s">
        <v>162</v>
      </c>
      <c r="S225" s="9" t="s">
        <v>163</v>
      </c>
      <c r="T225" s="9" t="s">
        <v>795</v>
      </c>
      <c r="U225" s="9" t="s">
        <v>67</v>
      </c>
      <c r="V225" s="9" t="s">
        <v>130</v>
      </c>
      <c r="W225" s="9" t="s">
        <v>131</v>
      </c>
      <c r="X225" s="11">
        <v>10</v>
      </c>
      <c r="Y225" s="9" t="s">
        <v>450</v>
      </c>
      <c r="Z225" s="9" t="s">
        <v>68</v>
      </c>
      <c r="AA225" s="9" t="s">
        <v>451</v>
      </c>
      <c r="AB225" s="9" t="s">
        <v>67</v>
      </c>
      <c r="AC225" s="9" t="s">
        <v>91</v>
      </c>
      <c r="AD225" s="11">
        <v>10</v>
      </c>
      <c r="AE225" s="9" t="s">
        <v>70</v>
      </c>
      <c r="AF225" s="9" t="s">
        <v>71</v>
      </c>
      <c r="AG225" s="13">
        <v>1</v>
      </c>
      <c r="AH225" s="9" t="s">
        <v>92</v>
      </c>
      <c r="AI225" s="13">
        <v>1291200</v>
      </c>
      <c r="AJ225" s="13">
        <v>12912000</v>
      </c>
      <c r="AK225" s="11">
        <v>0</v>
      </c>
      <c r="AL225" s="11">
        <v>0</v>
      </c>
      <c r="AM225" s="11">
        <v>0</v>
      </c>
      <c r="AN225" s="9" t="s">
        <v>67</v>
      </c>
      <c r="AO225" s="11">
        <v>12912000</v>
      </c>
      <c r="AP225" s="13">
        <v>1032960</v>
      </c>
      <c r="AQ225" s="13">
        <v>13944960</v>
      </c>
      <c r="AR225" s="11">
        <v>40</v>
      </c>
      <c r="AS225" s="9" t="s">
        <v>72</v>
      </c>
      <c r="AT225" s="12">
        <v>36.4</v>
      </c>
      <c r="AU225" s="9" t="s">
        <v>73</v>
      </c>
      <c r="AV225" s="9" t="s">
        <v>67</v>
      </c>
      <c r="AW225" s="9" t="s">
        <v>954</v>
      </c>
      <c r="AX225" s="10">
        <v>45987</v>
      </c>
      <c r="AY225" s="9" t="s">
        <v>1147</v>
      </c>
      <c r="AZ225" s="9" t="s">
        <v>67</v>
      </c>
      <c r="BA225" s="9" t="s">
        <v>67</v>
      </c>
      <c r="BB225" s="12">
        <v>40</v>
      </c>
      <c r="BC225" s="9" t="s">
        <v>74</v>
      </c>
      <c r="BD225" s="9" t="s">
        <v>104</v>
      </c>
      <c r="BE225" s="9" t="s">
        <v>75</v>
      </c>
      <c r="BF225" s="11">
        <v>0</v>
      </c>
      <c r="BG225">
        <f t="shared" si="8"/>
        <v>12</v>
      </c>
      <c r="BH225" t="str">
        <f>VLOOKUP(BG225,[1]month!$A:$B,2,0)</f>
        <v>Desember</v>
      </c>
      <c r="BI225">
        <f t="shared" si="9"/>
        <v>2025</v>
      </c>
      <c r="BJ225" t="str">
        <f>VLOOKUP(I225,[1]Dist!$A:$B,2,0)</f>
        <v>Industry</v>
      </c>
      <c r="BK225" t="str">
        <f>IF(I225=11,VLOOKUP(Y225,[2]Sheet1!$C:$N,10,0),IF(I225=13,VLOOKUP(Y225,[3]Sheet1!$C:$N,10,0),IF(I225=15,VLOOKUP(Y225,[4]Sheet1!$C:$N,10,0),"Unknown")))</f>
        <v>COMPLEMENTARY</v>
      </c>
      <c r="BL225" t="str">
        <f>IF(I225=11,VLOOKUP(Y225,[2]Sheet1!$C:$N,12,0),IF(I225=13,VLOOKUP(Y225,[3]Sheet1!$C:$N,12,0),IF(I225=15,VLOOKUP(Y225,[4]Sheet1!$C:$N,12,0),"Unknown")))</f>
        <v>PASTA</v>
      </c>
      <c r="BM225" t="str">
        <f>VLOOKUP(W225,[1]branch!$A:$B,2,0)</f>
        <v>INDUSTRY</v>
      </c>
    </row>
    <row r="226" spans="1:65" x14ac:dyDescent="0.35">
      <c r="A226" s="10">
        <v>45993</v>
      </c>
      <c r="B226" s="9" t="s">
        <v>1146</v>
      </c>
      <c r="C226" s="9" t="s">
        <v>64</v>
      </c>
      <c r="D226" s="9" t="s">
        <v>92</v>
      </c>
      <c r="E226" s="11">
        <v>45</v>
      </c>
      <c r="F226" s="9" t="s">
        <v>93</v>
      </c>
      <c r="G226" s="9" t="s">
        <v>65</v>
      </c>
      <c r="H226" s="9" t="s">
        <v>66</v>
      </c>
      <c r="I226" s="9">
        <v>11</v>
      </c>
      <c r="J226" s="9" t="s">
        <v>162</v>
      </c>
      <c r="K226" s="9" t="s">
        <v>162</v>
      </c>
      <c r="L226" s="9" t="s">
        <v>162</v>
      </c>
      <c r="M226" s="9" t="s">
        <v>163</v>
      </c>
      <c r="N226" s="9" t="s">
        <v>867</v>
      </c>
      <c r="O226" s="9" t="s">
        <v>97</v>
      </c>
      <c r="P226" s="9" t="s">
        <v>67</v>
      </c>
      <c r="Q226" s="9" t="s">
        <v>98</v>
      </c>
      <c r="R226" s="9" t="s">
        <v>162</v>
      </c>
      <c r="S226" s="9" t="s">
        <v>163</v>
      </c>
      <c r="T226" s="9" t="s">
        <v>795</v>
      </c>
      <c r="U226" s="9" t="s">
        <v>67</v>
      </c>
      <c r="V226" s="9" t="s">
        <v>130</v>
      </c>
      <c r="W226" s="9" t="s">
        <v>131</v>
      </c>
      <c r="X226" s="11">
        <v>20</v>
      </c>
      <c r="Y226" s="9" t="s">
        <v>454</v>
      </c>
      <c r="Z226" s="9" t="s">
        <v>68</v>
      </c>
      <c r="AA226" s="9" t="s">
        <v>455</v>
      </c>
      <c r="AB226" s="9" t="s">
        <v>67</v>
      </c>
      <c r="AC226" s="9" t="s">
        <v>91</v>
      </c>
      <c r="AD226" s="11">
        <v>9</v>
      </c>
      <c r="AE226" s="9" t="s">
        <v>70</v>
      </c>
      <c r="AF226" s="9" t="s">
        <v>71</v>
      </c>
      <c r="AG226" s="13">
        <v>1</v>
      </c>
      <c r="AH226" s="9" t="s">
        <v>92</v>
      </c>
      <c r="AI226" s="13">
        <v>938400</v>
      </c>
      <c r="AJ226" s="13">
        <v>8445600</v>
      </c>
      <c r="AK226" s="11">
        <v>0</v>
      </c>
      <c r="AL226" s="11">
        <v>0</v>
      </c>
      <c r="AM226" s="11">
        <v>0</v>
      </c>
      <c r="AN226" s="9" t="s">
        <v>67</v>
      </c>
      <c r="AO226" s="11">
        <v>8445600</v>
      </c>
      <c r="AP226" s="13">
        <v>675648</v>
      </c>
      <c r="AQ226" s="13">
        <v>9121248</v>
      </c>
      <c r="AR226" s="11">
        <v>36</v>
      </c>
      <c r="AS226" s="9" t="s">
        <v>72</v>
      </c>
      <c r="AT226" s="12">
        <v>35.28</v>
      </c>
      <c r="AU226" s="9" t="s">
        <v>73</v>
      </c>
      <c r="AV226" s="9" t="s">
        <v>67</v>
      </c>
      <c r="AW226" s="9" t="s">
        <v>954</v>
      </c>
      <c r="AX226" s="10">
        <v>45987</v>
      </c>
      <c r="AY226" s="9" t="s">
        <v>1147</v>
      </c>
      <c r="AZ226" s="9" t="s">
        <v>67</v>
      </c>
      <c r="BA226" s="9" t="s">
        <v>67</v>
      </c>
      <c r="BB226" s="12">
        <v>36</v>
      </c>
      <c r="BC226" s="9" t="s">
        <v>74</v>
      </c>
      <c r="BD226" s="9" t="s">
        <v>104</v>
      </c>
      <c r="BE226" s="9" t="s">
        <v>75</v>
      </c>
      <c r="BF226" s="11">
        <v>0</v>
      </c>
      <c r="BG226">
        <f t="shared" si="8"/>
        <v>12</v>
      </c>
      <c r="BH226" t="str">
        <f>VLOOKUP(BG226,[1]month!$A:$B,2,0)</f>
        <v>Desember</v>
      </c>
      <c r="BI226">
        <f t="shared" si="9"/>
        <v>2025</v>
      </c>
      <c r="BJ226" t="str">
        <f>VLOOKUP(I226,[1]Dist!$A:$B,2,0)</f>
        <v>Industry</v>
      </c>
      <c r="BK226" t="str">
        <f>IF(I226=11,VLOOKUP(Y226,[2]Sheet1!$C:$N,10,0),IF(I226=13,VLOOKUP(Y226,[3]Sheet1!$C:$N,10,0),IF(I226=15,VLOOKUP(Y226,[4]Sheet1!$C:$N,10,0),"Unknown")))</f>
        <v>COMPLEMENTARY</v>
      </c>
      <c r="BL226" t="str">
        <f>IF(I226=11,VLOOKUP(Y226,[2]Sheet1!$C:$N,12,0),IF(I226=13,VLOOKUP(Y226,[3]Sheet1!$C:$N,12,0),IF(I226=15,VLOOKUP(Y226,[4]Sheet1!$C:$N,12,0),"Unknown")))</f>
        <v>PASTA</v>
      </c>
      <c r="BM226" t="str">
        <f>VLOOKUP(W226,[1]branch!$A:$B,2,0)</f>
        <v>INDUSTRY</v>
      </c>
    </row>
    <row r="227" spans="1:65" x14ac:dyDescent="0.35">
      <c r="A227" s="10">
        <v>45993</v>
      </c>
      <c r="B227" s="9" t="s">
        <v>1146</v>
      </c>
      <c r="C227" s="9" t="s">
        <v>64</v>
      </c>
      <c r="D227" s="9" t="s">
        <v>92</v>
      </c>
      <c r="E227" s="11">
        <v>45</v>
      </c>
      <c r="F227" s="9" t="s">
        <v>93</v>
      </c>
      <c r="G227" s="9" t="s">
        <v>65</v>
      </c>
      <c r="H227" s="9" t="s">
        <v>66</v>
      </c>
      <c r="I227" s="9">
        <v>11</v>
      </c>
      <c r="J227" s="9" t="s">
        <v>162</v>
      </c>
      <c r="K227" s="9" t="s">
        <v>162</v>
      </c>
      <c r="L227" s="9" t="s">
        <v>162</v>
      </c>
      <c r="M227" s="9" t="s">
        <v>163</v>
      </c>
      <c r="N227" s="9" t="s">
        <v>867</v>
      </c>
      <c r="O227" s="9" t="s">
        <v>97</v>
      </c>
      <c r="P227" s="9" t="s">
        <v>67</v>
      </c>
      <c r="Q227" s="9" t="s">
        <v>98</v>
      </c>
      <c r="R227" s="9" t="s">
        <v>162</v>
      </c>
      <c r="S227" s="9" t="s">
        <v>163</v>
      </c>
      <c r="T227" s="9" t="s">
        <v>795</v>
      </c>
      <c r="U227" s="9" t="s">
        <v>67</v>
      </c>
      <c r="V227" s="9" t="s">
        <v>130</v>
      </c>
      <c r="W227" s="9" t="s">
        <v>131</v>
      </c>
      <c r="X227" s="11">
        <v>30</v>
      </c>
      <c r="Y227" s="9" t="s">
        <v>374</v>
      </c>
      <c r="Z227" s="9" t="s">
        <v>68</v>
      </c>
      <c r="AA227" s="9" t="s">
        <v>375</v>
      </c>
      <c r="AB227" s="9" t="s">
        <v>67</v>
      </c>
      <c r="AC227" s="9" t="s">
        <v>91</v>
      </c>
      <c r="AD227" s="11">
        <v>30</v>
      </c>
      <c r="AE227" s="9" t="s">
        <v>70</v>
      </c>
      <c r="AF227" s="9" t="s">
        <v>71</v>
      </c>
      <c r="AG227" s="13">
        <v>1</v>
      </c>
      <c r="AH227" s="9" t="s">
        <v>92</v>
      </c>
      <c r="AI227" s="13">
        <v>703200</v>
      </c>
      <c r="AJ227" s="13">
        <v>21096000</v>
      </c>
      <c r="AK227" s="11">
        <v>0</v>
      </c>
      <c r="AL227" s="11">
        <v>0</v>
      </c>
      <c r="AM227" s="11">
        <v>0</v>
      </c>
      <c r="AN227" s="9" t="s">
        <v>67</v>
      </c>
      <c r="AO227" s="11">
        <v>21096000</v>
      </c>
      <c r="AP227" s="13">
        <v>1687680</v>
      </c>
      <c r="AQ227" s="13">
        <v>22783680</v>
      </c>
      <c r="AR227" s="11">
        <v>120</v>
      </c>
      <c r="AS227" s="9" t="s">
        <v>72</v>
      </c>
      <c r="AT227" s="12">
        <v>93.9</v>
      </c>
      <c r="AU227" s="9" t="s">
        <v>73</v>
      </c>
      <c r="AV227" s="9" t="s">
        <v>67</v>
      </c>
      <c r="AW227" s="9" t="s">
        <v>954</v>
      </c>
      <c r="AX227" s="10">
        <v>45987</v>
      </c>
      <c r="AY227" s="9" t="s">
        <v>1147</v>
      </c>
      <c r="AZ227" s="9" t="s">
        <v>67</v>
      </c>
      <c r="BA227" s="9" t="s">
        <v>67</v>
      </c>
      <c r="BB227" s="12">
        <v>120</v>
      </c>
      <c r="BC227" s="9" t="s">
        <v>74</v>
      </c>
      <c r="BD227" s="9" t="s">
        <v>104</v>
      </c>
      <c r="BE227" s="9" t="s">
        <v>75</v>
      </c>
      <c r="BF227" s="11">
        <v>0</v>
      </c>
      <c r="BG227">
        <f t="shared" si="8"/>
        <v>12</v>
      </c>
      <c r="BH227" t="str">
        <f>VLOOKUP(BG227,[1]month!$A:$B,2,0)</f>
        <v>Desember</v>
      </c>
      <c r="BI227">
        <f t="shared" si="9"/>
        <v>2025</v>
      </c>
      <c r="BJ227" t="str">
        <f>VLOOKUP(I227,[1]Dist!$A:$B,2,0)</f>
        <v>Industry</v>
      </c>
      <c r="BK227" t="str">
        <f>IF(I227=11,VLOOKUP(Y227,[2]Sheet1!$C:$N,10,0),IF(I227=13,VLOOKUP(Y227,[3]Sheet1!$C:$N,10,0),IF(I227=15,VLOOKUP(Y227,[4]Sheet1!$C:$N,10,0),"Unknown")))</f>
        <v>COMPLEMENTARY</v>
      </c>
      <c r="BL227" t="str">
        <f>IF(I227=11,VLOOKUP(Y227,[2]Sheet1!$C:$N,12,0),IF(I227=13,VLOOKUP(Y227,[3]Sheet1!$C:$N,12,0),IF(I227=15,VLOOKUP(Y227,[4]Sheet1!$C:$N,12,0),"Unknown")))</f>
        <v>PASTA</v>
      </c>
      <c r="BM227" t="str">
        <f>VLOOKUP(W227,[1]branch!$A:$B,2,0)</f>
        <v>INDUSTRY</v>
      </c>
    </row>
    <row r="228" spans="1:65" x14ac:dyDescent="0.35">
      <c r="A228" s="10">
        <v>45993</v>
      </c>
      <c r="B228" s="9" t="s">
        <v>1146</v>
      </c>
      <c r="C228" s="9" t="s">
        <v>64</v>
      </c>
      <c r="D228" s="9" t="s">
        <v>92</v>
      </c>
      <c r="E228" s="11">
        <v>45</v>
      </c>
      <c r="F228" s="9" t="s">
        <v>93</v>
      </c>
      <c r="G228" s="9" t="s">
        <v>65</v>
      </c>
      <c r="H228" s="9" t="s">
        <v>66</v>
      </c>
      <c r="I228" s="9">
        <v>11</v>
      </c>
      <c r="J228" s="9" t="s">
        <v>162</v>
      </c>
      <c r="K228" s="9" t="s">
        <v>162</v>
      </c>
      <c r="L228" s="9" t="s">
        <v>162</v>
      </c>
      <c r="M228" s="9" t="s">
        <v>163</v>
      </c>
      <c r="N228" s="9" t="s">
        <v>867</v>
      </c>
      <c r="O228" s="9" t="s">
        <v>97</v>
      </c>
      <c r="P228" s="9" t="s">
        <v>67</v>
      </c>
      <c r="Q228" s="9" t="s">
        <v>98</v>
      </c>
      <c r="R228" s="9" t="s">
        <v>162</v>
      </c>
      <c r="S228" s="9" t="s">
        <v>163</v>
      </c>
      <c r="T228" s="9" t="s">
        <v>795</v>
      </c>
      <c r="U228" s="9" t="s">
        <v>67</v>
      </c>
      <c r="V228" s="9" t="s">
        <v>130</v>
      </c>
      <c r="W228" s="9" t="s">
        <v>131</v>
      </c>
      <c r="X228" s="11">
        <v>40</v>
      </c>
      <c r="Y228" s="9" t="s">
        <v>456</v>
      </c>
      <c r="Z228" s="9" t="s">
        <v>68</v>
      </c>
      <c r="AA228" s="9" t="s">
        <v>457</v>
      </c>
      <c r="AB228" s="9" t="s">
        <v>67</v>
      </c>
      <c r="AC228" s="9" t="s">
        <v>91</v>
      </c>
      <c r="AD228" s="11">
        <v>11</v>
      </c>
      <c r="AE228" s="9" t="s">
        <v>70</v>
      </c>
      <c r="AF228" s="9" t="s">
        <v>71</v>
      </c>
      <c r="AG228" s="13">
        <v>1</v>
      </c>
      <c r="AH228" s="9" t="s">
        <v>92</v>
      </c>
      <c r="AI228" s="13">
        <v>818000</v>
      </c>
      <c r="AJ228" s="13">
        <v>8998000</v>
      </c>
      <c r="AK228" s="11">
        <v>0</v>
      </c>
      <c r="AL228" s="11">
        <v>0</v>
      </c>
      <c r="AM228" s="11">
        <v>0</v>
      </c>
      <c r="AN228" s="9" t="s">
        <v>67</v>
      </c>
      <c r="AO228" s="11">
        <v>8998000</v>
      </c>
      <c r="AP228" s="13">
        <v>719840</v>
      </c>
      <c r="AQ228" s="13">
        <v>9717840</v>
      </c>
      <c r="AR228" s="11">
        <v>44</v>
      </c>
      <c r="AS228" s="9" t="s">
        <v>72</v>
      </c>
      <c r="AT228" s="12">
        <v>21.45</v>
      </c>
      <c r="AU228" s="9" t="s">
        <v>73</v>
      </c>
      <c r="AV228" s="9" t="s">
        <v>67</v>
      </c>
      <c r="AW228" s="9" t="s">
        <v>954</v>
      </c>
      <c r="AX228" s="10">
        <v>45987</v>
      </c>
      <c r="AY228" s="9" t="s">
        <v>1147</v>
      </c>
      <c r="AZ228" s="9" t="s">
        <v>67</v>
      </c>
      <c r="BA228" s="9" t="s">
        <v>67</v>
      </c>
      <c r="BB228" s="12">
        <v>44</v>
      </c>
      <c r="BC228" s="9" t="s">
        <v>74</v>
      </c>
      <c r="BD228" s="9" t="s">
        <v>104</v>
      </c>
      <c r="BE228" s="9" t="s">
        <v>75</v>
      </c>
      <c r="BF228" s="11">
        <v>0</v>
      </c>
      <c r="BG228">
        <f t="shared" si="8"/>
        <v>12</v>
      </c>
      <c r="BH228" t="str">
        <f>VLOOKUP(BG228,[1]month!$A:$B,2,0)</f>
        <v>Desember</v>
      </c>
      <c r="BI228">
        <f t="shared" si="9"/>
        <v>2025</v>
      </c>
      <c r="BJ228" t="str">
        <f>VLOOKUP(I228,[1]Dist!$A:$B,2,0)</f>
        <v>Industry</v>
      </c>
      <c r="BK228" t="str">
        <f>IF(I228=11,VLOOKUP(Y228,[2]Sheet1!$C:$N,10,0),IF(I228=13,VLOOKUP(Y228,[3]Sheet1!$C:$N,10,0),IF(I228=15,VLOOKUP(Y228,[4]Sheet1!$C:$N,10,0),"Unknown")))</f>
        <v>COMPLEMENTARY</v>
      </c>
      <c r="BL228" t="str">
        <f>IF(I228=11,VLOOKUP(Y228,[2]Sheet1!$C:$N,12,0),IF(I228=13,VLOOKUP(Y228,[3]Sheet1!$C:$N,12,0),IF(I228=15,VLOOKUP(Y228,[4]Sheet1!$C:$N,12,0),"Unknown")))</f>
        <v>PASTA</v>
      </c>
      <c r="BM228" t="str">
        <f>VLOOKUP(W228,[1]branch!$A:$B,2,0)</f>
        <v>INDUSTRY</v>
      </c>
    </row>
    <row r="229" spans="1:65" x14ac:dyDescent="0.35">
      <c r="A229" s="10">
        <v>45993</v>
      </c>
      <c r="B229" s="9" t="s">
        <v>1148</v>
      </c>
      <c r="C229" s="9" t="s">
        <v>64</v>
      </c>
      <c r="D229" s="9" t="s">
        <v>92</v>
      </c>
      <c r="E229" s="11">
        <v>60</v>
      </c>
      <c r="F229" s="9" t="s">
        <v>93</v>
      </c>
      <c r="G229" s="9" t="s">
        <v>65</v>
      </c>
      <c r="H229" s="9" t="s">
        <v>66</v>
      </c>
      <c r="I229" s="9">
        <v>11</v>
      </c>
      <c r="J229" s="9" t="s">
        <v>128</v>
      </c>
      <c r="K229" s="9" t="s">
        <v>128</v>
      </c>
      <c r="L229" s="9" t="s">
        <v>128</v>
      </c>
      <c r="M229" s="9" t="s">
        <v>129</v>
      </c>
      <c r="N229" s="9" t="s">
        <v>873</v>
      </c>
      <c r="O229" s="9" t="s">
        <v>97</v>
      </c>
      <c r="P229" s="9" t="s">
        <v>67</v>
      </c>
      <c r="Q229" s="9" t="s">
        <v>98</v>
      </c>
      <c r="R229" s="9" t="s">
        <v>128</v>
      </c>
      <c r="S229" s="9" t="s">
        <v>129</v>
      </c>
      <c r="T229" s="9" t="s">
        <v>796</v>
      </c>
      <c r="U229" s="9" t="s">
        <v>67</v>
      </c>
      <c r="V229" s="9" t="s">
        <v>130</v>
      </c>
      <c r="W229" s="9" t="s">
        <v>131</v>
      </c>
      <c r="X229" s="11">
        <v>90</v>
      </c>
      <c r="Y229" s="9" t="s">
        <v>374</v>
      </c>
      <c r="Z229" s="9" t="s">
        <v>68</v>
      </c>
      <c r="AA229" s="9" t="s">
        <v>375</v>
      </c>
      <c r="AB229" s="9" t="s">
        <v>67</v>
      </c>
      <c r="AC229" s="9" t="s">
        <v>91</v>
      </c>
      <c r="AD229" s="11">
        <v>8</v>
      </c>
      <c r="AE229" s="9" t="s">
        <v>70</v>
      </c>
      <c r="AF229" s="9" t="s">
        <v>71</v>
      </c>
      <c r="AG229" s="13">
        <v>1</v>
      </c>
      <c r="AH229" s="9" t="s">
        <v>92</v>
      </c>
      <c r="AI229" s="13">
        <v>703200</v>
      </c>
      <c r="AJ229" s="13">
        <v>5625600</v>
      </c>
      <c r="AK229" s="11">
        <v>0</v>
      </c>
      <c r="AL229" s="11">
        <v>0</v>
      </c>
      <c r="AM229" s="11">
        <v>0</v>
      </c>
      <c r="AN229" s="9" t="s">
        <v>67</v>
      </c>
      <c r="AO229" s="11">
        <v>5625600</v>
      </c>
      <c r="AP229" s="13">
        <v>450048</v>
      </c>
      <c r="AQ229" s="13">
        <v>6075648</v>
      </c>
      <c r="AR229" s="11">
        <v>32</v>
      </c>
      <c r="AS229" s="9" t="s">
        <v>72</v>
      </c>
      <c r="AT229" s="12">
        <v>25.04</v>
      </c>
      <c r="AU229" s="9" t="s">
        <v>73</v>
      </c>
      <c r="AV229" s="9" t="s">
        <v>67</v>
      </c>
      <c r="AW229" s="9" t="s">
        <v>907</v>
      </c>
      <c r="AX229" s="10">
        <v>45931</v>
      </c>
      <c r="AY229" s="9" t="s">
        <v>1149</v>
      </c>
      <c r="AZ229" s="9" t="s">
        <v>67</v>
      </c>
      <c r="BA229" s="9" t="s">
        <v>67</v>
      </c>
      <c r="BB229" s="12">
        <v>32</v>
      </c>
      <c r="BC229" s="9" t="s">
        <v>74</v>
      </c>
      <c r="BD229" s="9" t="s">
        <v>104</v>
      </c>
      <c r="BE229" s="9" t="s">
        <v>75</v>
      </c>
      <c r="BF229" s="11">
        <v>0</v>
      </c>
      <c r="BG229">
        <f t="shared" si="8"/>
        <v>12</v>
      </c>
      <c r="BH229" t="str">
        <f>VLOOKUP(BG229,[1]month!$A:$B,2,0)</f>
        <v>Desember</v>
      </c>
      <c r="BI229">
        <f t="shared" si="9"/>
        <v>2025</v>
      </c>
      <c r="BJ229" t="str">
        <f>VLOOKUP(I229,[1]Dist!$A:$B,2,0)</f>
        <v>Industry</v>
      </c>
      <c r="BK229" t="str">
        <f>IF(I229=11,VLOOKUP(Y229,[2]Sheet1!$C:$N,10,0),IF(I229=13,VLOOKUP(Y229,[3]Sheet1!$C:$N,10,0),IF(I229=15,VLOOKUP(Y229,[4]Sheet1!$C:$N,10,0),"Unknown")))</f>
        <v>COMPLEMENTARY</v>
      </c>
      <c r="BL229" t="str">
        <f>IF(I229=11,VLOOKUP(Y229,[2]Sheet1!$C:$N,12,0),IF(I229=13,VLOOKUP(Y229,[3]Sheet1!$C:$N,12,0),IF(I229=15,VLOOKUP(Y229,[4]Sheet1!$C:$N,12,0),"Unknown")))</f>
        <v>PASTA</v>
      </c>
      <c r="BM229" t="str">
        <f>VLOOKUP(W229,[1]branch!$A:$B,2,0)</f>
        <v>INDUSTRY</v>
      </c>
    </row>
    <row r="230" spans="1:65" x14ac:dyDescent="0.35">
      <c r="A230" s="10">
        <v>45993</v>
      </c>
      <c r="B230" s="9" t="s">
        <v>1150</v>
      </c>
      <c r="C230" s="9" t="s">
        <v>64</v>
      </c>
      <c r="D230" s="9" t="s">
        <v>92</v>
      </c>
      <c r="E230" s="11">
        <v>60</v>
      </c>
      <c r="F230" s="9" t="s">
        <v>93</v>
      </c>
      <c r="G230" s="9" t="s">
        <v>65</v>
      </c>
      <c r="H230" s="9" t="s">
        <v>66</v>
      </c>
      <c r="I230" s="9">
        <v>11</v>
      </c>
      <c r="J230" s="9" t="s">
        <v>128</v>
      </c>
      <c r="K230" s="9" t="s">
        <v>128</v>
      </c>
      <c r="L230" s="9" t="s">
        <v>128</v>
      </c>
      <c r="M230" s="9" t="s">
        <v>129</v>
      </c>
      <c r="N230" s="9" t="s">
        <v>873</v>
      </c>
      <c r="O230" s="9" t="s">
        <v>97</v>
      </c>
      <c r="P230" s="9" t="s">
        <v>67</v>
      </c>
      <c r="Q230" s="9" t="s">
        <v>98</v>
      </c>
      <c r="R230" s="9" t="s">
        <v>128</v>
      </c>
      <c r="S230" s="9" t="s">
        <v>129</v>
      </c>
      <c r="T230" s="9" t="s">
        <v>796</v>
      </c>
      <c r="U230" s="9" t="s">
        <v>67</v>
      </c>
      <c r="V230" s="9" t="s">
        <v>130</v>
      </c>
      <c r="W230" s="9" t="s">
        <v>131</v>
      </c>
      <c r="X230" s="11">
        <v>10</v>
      </c>
      <c r="Y230" s="9" t="s">
        <v>164</v>
      </c>
      <c r="Z230" s="9" t="s">
        <v>68</v>
      </c>
      <c r="AA230" s="9" t="s">
        <v>165</v>
      </c>
      <c r="AB230" s="9" t="s">
        <v>67</v>
      </c>
      <c r="AC230" s="9" t="s">
        <v>166</v>
      </c>
      <c r="AD230" s="11">
        <v>10</v>
      </c>
      <c r="AE230" s="9" t="s">
        <v>70</v>
      </c>
      <c r="AF230" s="9" t="s">
        <v>71</v>
      </c>
      <c r="AG230" s="13">
        <v>1</v>
      </c>
      <c r="AH230" s="9" t="s">
        <v>92</v>
      </c>
      <c r="AI230" s="13">
        <v>984000</v>
      </c>
      <c r="AJ230" s="13">
        <v>9840000</v>
      </c>
      <c r="AK230" s="11">
        <v>0</v>
      </c>
      <c r="AL230" s="11">
        <v>0</v>
      </c>
      <c r="AM230" s="11">
        <v>0</v>
      </c>
      <c r="AN230" s="9" t="s">
        <v>67</v>
      </c>
      <c r="AO230" s="11">
        <v>9840000</v>
      </c>
      <c r="AP230" s="13">
        <v>787200</v>
      </c>
      <c r="AQ230" s="13">
        <v>10627200</v>
      </c>
      <c r="AR230" s="11">
        <v>160</v>
      </c>
      <c r="AS230" s="9" t="s">
        <v>72</v>
      </c>
      <c r="AT230" s="12">
        <v>153.80000000000001</v>
      </c>
      <c r="AU230" s="9" t="s">
        <v>73</v>
      </c>
      <c r="AV230" s="9" t="s">
        <v>67</v>
      </c>
      <c r="AW230" s="9" t="s">
        <v>934</v>
      </c>
      <c r="AX230" s="10">
        <v>45968</v>
      </c>
      <c r="AY230" s="9" t="s">
        <v>1151</v>
      </c>
      <c r="AZ230" s="9" t="s">
        <v>67</v>
      </c>
      <c r="BA230" s="9" t="s">
        <v>67</v>
      </c>
      <c r="BB230" s="12">
        <v>160</v>
      </c>
      <c r="BC230" s="9" t="s">
        <v>74</v>
      </c>
      <c r="BD230" s="9" t="s">
        <v>104</v>
      </c>
      <c r="BE230" s="9" t="s">
        <v>75</v>
      </c>
      <c r="BF230" s="11">
        <v>0</v>
      </c>
      <c r="BG230">
        <f t="shared" si="8"/>
        <v>12</v>
      </c>
      <c r="BH230" t="str">
        <f>VLOOKUP(BG230,[1]month!$A:$B,2,0)</f>
        <v>Desember</v>
      </c>
      <c r="BI230">
        <f t="shared" si="9"/>
        <v>2025</v>
      </c>
      <c r="BJ230" t="str">
        <f>VLOOKUP(I230,[1]Dist!$A:$B,2,0)</f>
        <v>Industry</v>
      </c>
      <c r="BK230" t="str">
        <f>IF(I230=11,VLOOKUP(Y230,[2]Sheet1!$C:$N,10,0),IF(I230=13,VLOOKUP(Y230,[3]Sheet1!$C:$N,10,0),IF(I230=15,VLOOKUP(Y230,[4]Sheet1!$C:$N,10,0),"Unknown")))</f>
        <v>PU</v>
      </c>
      <c r="BL230" t="str">
        <f>IF(I230=11,VLOOKUP(Y230,[2]Sheet1!$C:$N,12,0),IF(I230=13,VLOOKUP(Y230,[3]Sheet1!$C:$N,12,0),IF(I230=15,VLOOKUP(Y230,[4]Sheet1!$C:$N,12,0),"Unknown")))</f>
        <v>UNION SANDING SEALER</v>
      </c>
      <c r="BM230" t="str">
        <f>VLOOKUP(W230,[1]branch!$A:$B,2,0)</f>
        <v>INDUSTRY</v>
      </c>
    </row>
    <row r="231" spans="1:65" x14ac:dyDescent="0.35">
      <c r="A231" s="10">
        <v>45993</v>
      </c>
      <c r="B231" s="9" t="s">
        <v>1150</v>
      </c>
      <c r="C231" s="9" t="s">
        <v>64</v>
      </c>
      <c r="D231" s="9" t="s">
        <v>92</v>
      </c>
      <c r="E231" s="11">
        <v>60</v>
      </c>
      <c r="F231" s="9" t="s">
        <v>93</v>
      </c>
      <c r="G231" s="9" t="s">
        <v>65</v>
      </c>
      <c r="H231" s="9" t="s">
        <v>66</v>
      </c>
      <c r="I231" s="9">
        <v>11</v>
      </c>
      <c r="J231" s="9" t="s">
        <v>128</v>
      </c>
      <c r="K231" s="9" t="s">
        <v>128</v>
      </c>
      <c r="L231" s="9" t="s">
        <v>128</v>
      </c>
      <c r="M231" s="9" t="s">
        <v>129</v>
      </c>
      <c r="N231" s="9" t="s">
        <v>873</v>
      </c>
      <c r="O231" s="9" t="s">
        <v>97</v>
      </c>
      <c r="P231" s="9" t="s">
        <v>67</v>
      </c>
      <c r="Q231" s="9" t="s">
        <v>98</v>
      </c>
      <c r="R231" s="9" t="s">
        <v>128</v>
      </c>
      <c r="S231" s="9" t="s">
        <v>129</v>
      </c>
      <c r="T231" s="9" t="s">
        <v>796</v>
      </c>
      <c r="U231" s="9" t="s">
        <v>67</v>
      </c>
      <c r="V231" s="9" t="s">
        <v>130</v>
      </c>
      <c r="W231" s="9" t="s">
        <v>131</v>
      </c>
      <c r="X231" s="11">
        <v>30</v>
      </c>
      <c r="Y231" s="9" t="s">
        <v>167</v>
      </c>
      <c r="Z231" s="9" t="s">
        <v>68</v>
      </c>
      <c r="AA231" s="9" t="s">
        <v>168</v>
      </c>
      <c r="AB231" s="9" t="s">
        <v>67</v>
      </c>
      <c r="AC231" s="9" t="s">
        <v>169</v>
      </c>
      <c r="AD231" s="11">
        <v>20</v>
      </c>
      <c r="AE231" s="9" t="s">
        <v>70</v>
      </c>
      <c r="AF231" s="9" t="s">
        <v>71</v>
      </c>
      <c r="AG231" s="13">
        <v>1</v>
      </c>
      <c r="AH231" s="9" t="s">
        <v>92</v>
      </c>
      <c r="AI231" s="13">
        <v>417200</v>
      </c>
      <c r="AJ231" s="13">
        <v>8344000</v>
      </c>
      <c r="AK231" s="11">
        <v>0</v>
      </c>
      <c r="AL231" s="11">
        <v>0</v>
      </c>
      <c r="AM231" s="11">
        <v>0</v>
      </c>
      <c r="AN231" s="9" t="s">
        <v>67</v>
      </c>
      <c r="AO231" s="11">
        <v>8344000</v>
      </c>
      <c r="AP231" s="13">
        <v>667520</v>
      </c>
      <c r="AQ231" s="13">
        <v>9011520</v>
      </c>
      <c r="AR231" s="11">
        <v>80</v>
      </c>
      <c r="AS231" s="9" t="s">
        <v>72</v>
      </c>
      <c r="AT231" s="11">
        <v>80</v>
      </c>
      <c r="AU231" s="9" t="s">
        <v>73</v>
      </c>
      <c r="AV231" s="9" t="s">
        <v>67</v>
      </c>
      <c r="AW231" s="9" t="s">
        <v>934</v>
      </c>
      <c r="AX231" s="10">
        <v>45968</v>
      </c>
      <c r="AY231" s="9" t="s">
        <v>1151</v>
      </c>
      <c r="AZ231" s="9" t="s">
        <v>67</v>
      </c>
      <c r="BA231" s="9" t="s">
        <v>67</v>
      </c>
      <c r="BB231" s="12">
        <v>80</v>
      </c>
      <c r="BC231" s="9" t="s">
        <v>74</v>
      </c>
      <c r="BD231" s="9" t="s">
        <v>104</v>
      </c>
      <c r="BE231" s="9" t="s">
        <v>75</v>
      </c>
      <c r="BF231" s="11">
        <v>0</v>
      </c>
      <c r="BG231">
        <f t="shared" si="8"/>
        <v>12</v>
      </c>
      <c r="BH231" t="str">
        <f>VLOOKUP(BG231,[1]month!$A:$B,2,0)</f>
        <v>Desember</v>
      </c>
      <c r="BI231">
        <f t="shared" si="9"/>
        <v>2025</v>
      </c>
      <c r="BJ231" t="str">
        <f>VLOOKUP(I231,[1]Dist!$A:$B,2,0)</f>
        <v>Industry</v>
      </c>
      <c r="BK231" t="str">
        <f>IF(I231=11,VLOOKUP(Y231,[2]Sheet1!$C:$N,10,0),IF(I231=13,VLOOKUP(Y231,[3]Sheet1!$C:$N,10,0),IF(I231=15,VLOOKUP(Y231,[4]Sheet1!$C:$N,10,0),"Unknown")))</f>
        <v>PU</v>
      </c>
      <c r="BL231" t="str">
        <f>IF(I231=11,VLOOKUP(Y231,[2]Sheet1!$C:$N,12,0),IF(I231=13,VLOOKUP(Y231,[3]Sheet1!$C:$N,12,0),IF(I231=15,VLOOKUP(Y231,[4]Sheet1!$C:$N,12,0),"Unknown")))</f>
        <v>UNION HARDENER</v>
      </c>
      <c r="BM231" t="str">
        <f>VLOOKUP(W231,[1]branch!$A:$B,2,0)</f>
        <v>INDUSTRY</v>
      </c>
    </row>
    <row r="232" spans="1:65" x14ac:dyDescent="0.35">
      <c r="A232" s="10">
        <v>45993</v>
      </c>
      <c r="B232" s="9" t="s">
        <v>1150</v>
      </c>
      <c r="C232" s="9" t="s">
        <v>64</v>
      </c>
      <c r="D232" s="9" t="s">
        <v>92</v>
      </c>
      <c r="E232" s="11">
        <v>60</v>
      </c>
      <c r="F232" s="9" t="s">
        <v>93</v>
      </c>
      <c r="G232" s="9" t="s">
        <v>65</v>
      </c>
      <c r="H232" s="9" t="s">
        <v>66</v>
      </c>
      <c r="I232" s="9">
        <v>11</v>
      </c>
      <c r="J232" s="9" t="s">
        <v>128</v>
      </c>
      <c r="K232" s="9" t="s">
        <v>128</v>
      </c>
      <c r="L232" s="9" t="s">
        <v>128</v>
      </c>
      <c r="M232" s="9" t="s">
        <v>129</v>
      </c>
      <c r="N232" s="9" t="s">
        <v>873</v>
      </c>
      <c r="O232" s="9" t="s">
        <v>97</v>
      </c>
      <c r="P232" s="9" t="s">
        <v>67</v>
      </c>
      <c r="Q232" s="9" t="s">
        <v>98</v>
      </c>
      <c r="R232" s="9" t="s">
        <v>128</v>
      </c>
      <c r="S232" s="9" t="s">
        <v>129</v>
      </c>
      <c r="T232" s="9" t="s">
        <v>796</v>
      </c>
      <c r="U232" s="9" t="s">
        <v>67</v>
      </c>
      <c r="V232" s="9" t="s">
        <v>130</v>
      </c>
      <c r="W232" s="9" t="s">
        <v>131</v>
      </c>
      <c r="X232" s="11">
        <v>60</v>
      </c>
      <c r="Y232" s="9" t="s">
        <v>170</v>
      </c>
      <c r="Z232" s="9" t="s">
        <v>68</v>
      </c>
      <c r="AA232" s="9" t="s">
        <v>171</v>
      </c>
      <c r="AB232" s="9" t="s">
        <v>67</v>
      </c>
      <c r="AC232" s="9" t="s">
        <v>172</v>
      </c>
      <c r="AD232" s="11">
        <v>4</v>
      </c>
      <c r="AE232" s="9" t="s">
        <v>70</v>
      </c>
      <c r="AF232" s="9" t="s">
        <v>71</v>
      </c>
      <c r="AG232" s="13">
        <v>1</v>
      </c>
      <c r="AH232" s="9" t="s">
        <v>92</v>
      </c>
      <c r="AI232" s="13">
        <v>1302400</v>
      </c>
      <c r="AJ232" s="13">
        <v>5209600</v>
      </c>
      <c r="AK232" s="11">
        <v>0</v>
      </c>
      <c r="AL232" s="11">
        <v>0</v>
      </c>
      <c r="AM232" s="11">
        <v>0</v>
      </c>
      <c r="AN232" s="9" t="s">
        <v>67</v>
      </c>
      <c r="AO232" s="11">
        <v>5209600</v>
      </c>
      <c r="AP232" s="13">
        <v>416768</v>
      </c>
      <c r="AQ232" s="13">
        <v>5626368</v>
      </c>
      <c r="AR232" s="11">
        <v>64</v>
      </c>
      <c r="AS232" s="9" t="s">
        <v>72</v>
      </c>
      <c r="AT232" s="11">
        <v>64</v>
      </c>
      <c r="AU232" s="9" t="s">
        <v>73</v>
      </c>
      <c r="AV232" s="9" t="s">
        <v>67</v>
      </c>
      <c r="AW232" s="9" t="s">
        <v>934</v>
      </c>
      <c r="AX232" s="10">
        <v>45968</v>
      </c>
      <c r="AY232" s="9" t="s">
        <v>1151</v>
      </c>
      <c r="AZ232" s="9" t="s">
        <v>67</v>
      </c>
      <c r="BA232" s="9" t="s">
        <v>67</v>
      </c>
      <c r="BB232" s="12">
        <v>64</v>
      </c>
      <c r="BC232" s="9" t="s">
        <v>74</v>
      </c>
      <c r="BD232" s="9" t="s">
        <v>104</v>
      </c>
      <c r="BE232" s="9" t="s">
        <v>75</v>
      </c>
      <c r="BF232" s="11">
        <v>0</v>
      </c>
      <c r="BG232">
        <f t="shared" si="8"/>
        <v>12</v>
      </c>
      <c r="BH232" t="str">
        <f>VLOOKUP(BG232,[1]month!$A:$B,2,0)</f>
        <v>Desember</v>
      </c>
      <c r="BI232">
        <f t="shared" si="9"/>
        <v>2025</v>
      </c>
      <c r="BJ232" t="str">
        <f>VLOOKUP(I232,[1]Dist!$A:$B,2,0)</f>
        <v>Industry</v>
      </c>
      <c r="BK232" t="str">
        <f>IF(I232=11,VLOOKUP(Y232,[2]Sheet1!$C:$N,10,0),IF(I232=13,VLOOKUP(Y232,[3]Sheet1!$C:$N,10,0),IF(I232=15,VLOOKUP(Y232,[4]Sheet1!$C:$N,10,0),"Unknown")))</f>
        <v>PU</v>
      </c>
      <c r="BL232" t="str">
        <f>IF(I232=11,VLOOKUP(Y232,[2]Sheet1!$C:$N,12,0),IF(I232=13,VLOOKUP(Y232,[3]Sheet1!$C:$N,12,0),IF(I232=15,VLOOKUP(Y232,[4]Sheet1!$C:$N,12,0),"Unknown")))</f>
        <v>UNION TOP COAT</v>
      </c>
      <c r="BM232" t="str">
        <f>VLOOKUP(W232,[1]branch!$A:$B,2,0)</f>
        <v>INDUSTRY</v>
      </c>
    </row>
    <row r="233" spans="1:65" x14ac:dyDescent="0.35">
      <c r="A233" s="10">
        <v>45993</v>
      </c>
      <c r="B233" s="9" t="s">
        <v>1150</v>
      </c>
      <c r="C233" s="9" t="s">
        <v>64</v>
      </c>
      <c r="D233" s="9" t="s">
        <v>92</v>
      </c>
      <c r="E233" s="11">
        <v>60</v>
      </c>
      <c r="F233" s="9" t="s">
        <v>93</v>
      </c>
      <c r="G233" s="9" t="s">
        <v>65</v>
      </c>
      <c r="H233" s="9" t="s">
        <v>66</v>
      </c>
      <c r="I233" s="9">
        <v>11</v>
      </c>
      <c r="J233" s="9" t="s">
        <v>128</v>
      </c>
      <c r="K233" s="9" t="s">
        <v>128</v>
      </c>
      <c r="L233" s="9" t="s">
        <v>128</v>
      </c>
      <c r="M233" s="9" t="s">
        <v>129</v>
      </c>
      <c r="N233" s="9" t="s">
        <v>873</v>
      </c>
      <c r="O233" s="9" t="s">
        <v>97</v>
      </c>
      <c r="P233" s="9" t="s">
        <v>67</v>
      </c>
      <c r="Q233" s="9" t="s">
        <v>98</v>
      </c>
      <c r="R233" s="9" t="s">
        <v>128</v>
      </c>
      <c r="S233" s="9" t="s">
        <v>129</v>
      </c>
      <c r="T233" s="9" t="s">
        <v>796</v>
      </c>
      <c r="U233" s="9" t="s">
        <v>67</v>
      </c>
      <c r="V233" s="9" t="s">
        <v>130</v>
      </c>
      <c r="W233" s="9" t="s">
        <v>131</v>
      </c>
      <c r="X233" s="11">
        <v>80</v>
      </c>
      <c r="Y233" s="9" t="s">
        <v>176</v>
      </c>
      <c r="Z233" s="9" t="s">
        <v>68</v>
      </c>
      <c r="AA233" s="9" t="s">
        <v>177</v>
      </c>
      <c r="AB233" s="9" t="s">
        <v>67</v>
      </c>
      <c r="AC233" s="9" t="s">
        <v>178</v>
      </c>
      <c r="AD233" s="11">
        <v>8</v>
      </c>
      <c r="AE233" s="9" t="s">
        <v>70</v>
      </c>
      <c r="AF233" s="9" t="s">
        <v>71</v>
      </c>
      <c r="AG233" s="13">
        <v>1</v>
      </c>
      <c r="AH233" s="9" t="s">
        <v>92</v>
      </c>
      <c r="AI233" s="13">
        <v>417200</v>
      </c>
      <c r="AJ233" s="13">
        <v>3337600</v>
      </c>
      <c r="AK233" s="11">
        <v>0</v>
      </c>
      <c r="AL233" s="11">
        <v>0</v>
      </c>
      <c r="AM233" s="11">
        <v>0</v>
      </c>
      <c r="AN233" s="9" t="s">
        <v>67</v>
      </c>
      <c r="AO233" s="11">
        <v>3337600</v>
      </c>
      <c r="AP233" s="13">
        <v>267008</v>
      </c>
      <c r="AQ233" s="13">
        <v>3604608</v>
      </c>
      <c r="AR233" s="11">
        <v>32</v>
      </c>
      <c r="AS233" s="9" t="s">
        <v>72</v>
      </c>
      <c r="AT233" s="12">
        <v>31.68</v>
      </c>
      <c r="AU233" s="9" t="s">
        <v>73</v>
      </c>
      <c r="AV233" s="9" t="s">
        <v>67</v>
      </c>
      <c r="AW233" s="9" t="s">
        <v>934</v>
      </c>
      <c r="AX233" s="10">
        <v>45968</v>
      </c>
      <c r="AY233" s="9" t="s">
        <v>1151</v>
      </c>
      <c r="AZ233" s="9" t="s">
        <v>67</v>
      </c>
      <c r="BA233" s="9" t="s">
        <v>67</v>
      </c>
      <c r="BB233" s="12">
        <v>32</v>
      </c>
      <c r="BC233" s="9" t="s">
        <v>74</v>
      </c>
      <c r="BD233" s="9" t="s">
        <v>104</v>
      </c>
      <c r="BE233" s="9" t="s">
        <v>75</v>
      </c>
      <c r="BF233" s="11">
        <v>0</v>
      </c>
      <c r="BG233">
        <f t="shared" si="8"/>
        <v>12</v>
      </c>
      <c r="BH233" t="str">
        <f>VLOOKUP(BG233,[1]month!$A:$B,2,0)</f>
        <v>Desember</v>
      </c>
      <c r="BI233">
        <f t="shared" si="9"/>
        <v>2025</v>
      </c>
      <c r="BJ233" t="str">
        <f>VLOOKUP(I233,[1]Dist!$A:$B,2,0)</f>
        <v>Industry</v>
      </c>
      <c r="BK233" t="str">
        <f>IF(I233=11,VLOOKUP(Y233,[2]Sheet1!$C:$N,10,0),IF(I233=13,VLOOKUP(Y233,[3]Sheet1!$C:$N,10,0),IF(I233=15,VLOOKUP(Y233,[4]Sheet1!$C:$N,10,0),"Unknown")))</f>
        <v>PU</v>
      </c>
      <c r="BL233" t="str">
        <f>IF(I233=11,VLOOKUP(Y233,[2]Sheet1!$C:$N,12,0),IF(I233=13,VLOOKUP(Y233,[3]Sheet1!$C:$N,12,0),IF(I233=15,VLOOKUP(Y233,[4]Sheet1!$C:$N,12,0),"Unknown")))</f>
        <v>UNION HARDENER</v>
      </c>
      <c r="BM233" t="str">
        <f>VLOOKUP(W233,[1]branch!$A:$B,2,0)</f>
        <v>INDUSTRY</v>
      </c>
    </row>
    <row r="234" spans="1:65" x14ac:dyDescent="0.35">
      <c r="A234" s="10">
        <v>45993</v>
      </c>
      <c r="B234" s="9" t="s">
        <v>1150</v>
      </c>
      <c r="C234" s="9" t="s">
        <v>64</v>
      </c>
      <c r="D234" s="9" t="s">
        <v>92</v>
      </c>
      <c r="E234" s="11">
        <v>60</v>
      </c>
      <c r="F234" s="9" t="s">
        <v>93</v>
      </c>
      <c r="G234" s="9" t="s">
        <v>65</v>
      </c>
      <c r="H234" s="9" t="s">
        <v>66</v>
      </c>
      <c r="I234" s="9">
        <v>11</v>
      </c>
      <c r="J234" s="9" t="s">
        <v>128</v>
      </c>
      <c r="K234" s="9" t="s">
        <v>128</v>
      </c>
      <c r="L234" s="9" t="s">
        <v>128</v>
      </c>
      <c r="M234" s="9" t="s">
        <v>129</v>
      </c>
      <c r="N234" s="9" t="s">
        <v>873</v>
      </c>
      <c r="O234" s="9" t="s">
        <v>97</v>
      </c>
      <c r="P234" s="9" t="s">
        <v>67</v>
      </c>
      <c r="Q234" s="9" t="s">
        <v>98</v>
      </c>
      <c r="R234" s="9" t="s">
        <v>128</v>
      </c>
      <c r="S234" s="9" t="s">
        <v>129</v>
      </c>
      <c r="T234" s="9" t="s">
        <v>796</v>
      </c>
      <c r="U234" s="9" t="s">
        <v>67</v>
      </c>
      <c r="V234" s="9" t="s">
        <v>130</v>
      </c>
      <c r="W234" s="9" t="s">
        <v>131</v>
      </c>
      <c r="X234" s="11">
        <v>110</v>
      </c>
      <c r="Y234" s="9" t="s">
        <v>599</v>
      </c>
      <c r="Z234" s="9" t="s">
        <v>68</v>
      </c>
      <c r="AA234" s="9" t="s">
        <v>600</v>
      </c>
      <c r="AB234" s="9" t="s">
        <v>67</v>
      </c>
      <c r="AC234" s="9" t="s">
        <v>91</v>
      </c>
      <c r="AD234" s="11">
        <v>4</v>
      </c>
      <c r="AE234" s="9" t="s">
        <v>70</v>
      </c>
      <c r="AF234" s="9" t="s">
        <v>71</v>
      </c>
      <c r="AG234" s="13">
        <v>1</v>
      </c>
      <c r="AH234" s="9" t="s">
        <v>92</v>
      </c>
      <c r="AI234" s="13">
        <v>848400</v>
      </c>
      <c r="AJ234" s="13">
        <v>3393600</v>
      </c>
      <c r="AK234" s="11">
        <v>0</v>
      </c>
      <c r="AL234" s="11">
        <v>0</v>
      </c>
      <c r="AM234" s="11">
        <v>0</v>
      </c>
      <c r="AN234" s="9" t="s">
        <v>67</v>
      </c>
      <c r="AO234" s="11">
        <v>3393600</v>
      </c>
      <c r="AP234" s="13">
        <v>271488</v>
      </c>
      <c r="AQ234" s="13">
        <v>3665088</v>
      </c>
      <c r="AR234" s="11">
        <v>16</v>
      </c>
      <c r="AS234" s="9" t="s">
        <v>72</v>
      </c>
      <c r="AT234" s="12">
        <v>14.56</v>
      </c>
      <c r="AU234" s="9" t="s">
        <v>73</v>
      </c>
      <c r="AV234" s="9" t="s">
        <v>67</v>
      </c>
      <c r="AW234" s="9" t="s">
        <v>934</v>
      </c>
      <c r="AX234" s="10">
        <v>45968</v>
      </c>
      <c r="AY234" s="9" t="s">
        <v>1151</v>
      </c>
      <c r="AZ234" s="9" t="s">
        <v>67</v>
      </c>
      <c r="BA234" s="9" t="s">
        <v>67</v>
      </c>
      <c r="BB234" s="12">
        <v>16</v>
      </c>
      <c r="BC234" s="9" t="s">
        <v>74</v>
      </c>
      <c r="BD234" s="9" t="s">
        <v>104</v>
      </c>
      <c r="BE234" s="9" t="s">
        <v>75</v>
      </c>
      <c r="BF234" s="11">
        <v>0</v>
      </c>
      <c r="BG234">
        <f t="shared" si="8"/>
        <v>12</v>
      </c>
      <c r="BH234" t="str">
        <f>VLOOKUP(BG234,[1]month!$A:$B,2,0)</f>
        <v>Desember</v>
      </c>
      <c r="BI234">
        <f t="shared" si="9"/>
        <v>2025</v>
      </c>
      <c r="BJ234" t="str">
        <f>VLOOKUP(I234,[1]Dist!$A:$B,2,0)</f>
        <v>Industry</v>
      </c>
      <c r="BK234" t="str">
        <f>IF(I234=11,VLOOKUP(Y234,[2]Sheet1!$C:$N,10,0),IF(I234=13,VLOOKUP(Y234,[3]Sheet1!$C:$N,10,0),IF(I234=15,VLOOKUP(Y234,[4]Sheet1!$C:$N,10,0),"Unknown")))</f>
        <v>COMPLEMENTARY</v>
      </c>
      <c r="BL234" t="str">
        <f>IF(I234=11,VLOOKUP(Y234,[2]Sheet1!$C:$N,12,0),IF(I234=13,VLOOKUP(Y234,[3]Sheet1!$C:$N,12,0),IF(I234=15,VLOOKUP(Y234,[4]Sheet1!$C:$N,12,0),"Unknown")))</f>
        <v>PASTA</v>
      </c>
      <c r="BM234" t="str">
        <f>VLOOKUP(W234,[1]branch!$A:$B,2,0)</f>
        <v>INDUSTRY</v>
      </c>
    </row>
    <row r="235" spans="1:65" x14ac:dyDescent="0.35">
      <c r="A235" s="10">
        <v>45993</v>
      </c>
      <c r="B235" s="9" t="s">
        <v>1150</v>
      </c>
      <c r="C235" s="9" t="s">
        <v>64</v>
      </c>
      <c r="D235" s="9" t="s">
        <v>92</v>
      </c>
      <c r="E235" s="11">
        <v>60</v>
      </c>
      <c r="F235" s="9" t="s">
        <v>93</v>
      </c>
      <c r="G235" s="9" t="s">
        <v>65</v>
      </c>
      <c r="H235" s="9" t="s">
        <v>66</v>
      </c>
      <c r="I235" s="9">
        <v>11</v>
      </c>
      <c r="J235" s="9" t="s">
        <v>128</v>
      </c>
      <c r="K235" s="9" t="s">
        <v>128</v>
      </c>
      <c r="L235" s="9" t="s">
        <v>128</v>
      </c>
      <c r="M235" s="9" t="s">
        <v>129</v>
      </c>
      <c r="N235" s="9" t="s">
        <v>873</v>
      </c>
      <c r="O235" s="9" t="s">
        <v>97</v>
      </c>
      <c r="P235" s="9" t="s">
        <v>67</v>
      </c>
      <c r="Q235" s="9" t="s">
        <v>98</v>
      </c>
      <c r="R235" s="9" t="s">
        <v>128</v>
      </c>
      <c r="S235" s="9" t="s">
        <v>129</v>
      </c>
      <c r="T235" s="9" t="s">
        <v>796</v>
      </c>
      <c r="U235" s="9" t="s">
        <v>67</v>
      </c>
      <c r="V235" s="9" t="s">
        <v>130</v>
      </c>
      <c r="W235" s="9" t="s">
        <v>131</v>
      </c>
      <c r="X235" s="11">
        <v>120</v>
      </c>
      <c r="Y235" s="9" t="s">
        <v>452</v>
      </c>
      <c r="Z235" s="9" t="s">
        <v>68</v>
      </c>
      <c r="AA235" s="9" t="s">
        <v>453</v>
      </c>
      <c r="AB235" s="9" t="s">
        <v>67</v>
      </c>
      <c r="AC235" s="9" t="s">
        <v>91</v>
      </c>
      <c r="AD235" s="11">
        <v>4</v>
      </c>
      <c r="AE235" s="9" t="s">
        <v>70</v>
      </c>
      <c r="AF235" s="9" t="s">
        <v>71</v>
      </c>
      <c r="AG235" s="13">
        <v>1</v>
      </c>
      <c r="AH235" s="9" t="s">
        <v>92</v>
      </c>
      <c r="AI235" s="13">
        <v>1159600</v>
      </c>
      <c r="AJ235" s="13">
        <v>4638400</v>
      </c>
      <c r="AK235" s="11">
        <v>0</v>
      </c>
      <c r="AL235" s="11">
        <v>0</v>
      </c>
      <c r="AM235" s="11">
        <v>0</v>
      </c>
      <c r="AN235" s="9" t="s">
        <v>67</v>
      </c>
      <c r="AO235" s="11">
        <v>4638400</v>
      </c>
      <c r="AP235" s="13">
        <v>371072</v>
      </c>
      <c r="AQ235" s="13">
        <v>5009472</v>
      </c>
      <c r="AR235" s="11">
        <v>16</v>
      </c>
      <c r="AS235" s="9" t="s">
        <v>72</v>
      </c>
      <c r="AT235" s="12">
        <v>15.68</v>
      </c>
      <c r="AU235" s="9" t="s">
        <v>73</v>
      </c>
      <c r="AV235" s="9" t="s">
        <v>67</v>
      </c>
      <c r="AW235" s="9" t="s">
        <v>934</v>
      </c>
      <c r="AX235" s="10">
        <v>45968</v>
      </c>
      <c r="AY235" s="9" t="s">
        <v>1151</v>
      </c>
      <c r="AZ235" s="9" t="s">
        <v>67</v>
      </c>
      <c r="BA235" s="9" t="s">
        <v>67</v>
      </c>
      <c r="BB235" s="12">
        <v>16</v>
      </c>
      <c r="BC235" s="9" t="s">
        <v>74</v>
      </c>
      <c r="BD235" s="9" t="s">
        <v>104</v>
      </c>
      <c r="BE235" s="9" t="s">
        <v>75</v>
      </c>
      <c r="BF235" s="11">
        <v>0</v>
      </c>
      <c r="BG235">
        <f t="shared" si="8"/>
        <v>12</v>
      </c>
      <c r="BH235" t="str">
        <f>VLOOKUP(BG235,[1]month!$A:$B,2,0)</f>
        <v>Desember</v>
      </c>
      <c r="BI235">
        <f t="shared" si="9"/>
        <v>2025</v>
      </c>
      <c r="BJ235" t="str">
        <f>VLOOKUP(I235,[1]Dist!$A:$B,2,0)</f>
        <v>Industry</v>
      </c>
      <c r="BK235" t="str">
        <f>IF(I235=11,VLOOKUP(Y235,[2]Sheet1!$C:$N,10,0),IF(I235=13,VLOOKUP(Y235,[3]Sheet1!$C:$N,10,0),IF(I235=15,VLOOKUP(Y235,[4]Sheet1!$C:$N,10,0),"Unknown")))</f>
        <v>COMPLEMENTARY</v>
      </c>
      <c r="BL235" t="str">
        <f>IF(I235=11,VLOOKUP(Y235,[2]Sheet1!$C:$N,12,0),IF(I235=13,VLOOKUP(Y235,[3]Sheet1!$C:$N,12,0),IF(I235=15,VLOOKUP(Y235,[4]Sheet1!$C:$N,12,0),"Unknown")))</f>
        <v>PASTA</v>
      </c>
      <c r="BM235" t="str">
        <f>VLOOKUP(W235,[1]branch!$A:$B,2,0)</f>
        <v>INDUSTRY</v>
      </c>
    </row>
    <row r="236" spans="1:65" x14ac:dyDescent="0.35">
      <c r="A236" s="10">
        <v>45993</v>
      </c>
      <c r="B236" s="9" t="s">
        <v>1150</v>
      </c>
      <c r="C236" s="9" t="s">
        <v>64</v>
      </c>
      <c r="D236" s="9" t="s">
        <v>92</v>
      </c>
      <c r="E236" s="11">
        <v>60</v>
      </c>
      <c r="F236" s="9" t="s">
        <v>93</v>
      </c>
      <c r="G236" s="9" t="s">
        <v>65</v>
      </c>
      <c r="H236" s="9" t="s">
        <v>66</v>
      </c>
      <c r="I236" s="9">
        <v>11</v>
      </c>
      <c r="J236" s="9" t="s">
        <v>128</v>
      </c>
      <c r="K236" s="9" t="s">
        <v>128</v>
      </c>
      <c r="L236" s="9" t="s">
        <v>128</v>
      </c>
      <c r="M236" s="9" t="s">
        <v>129</v>
      </c>
      <c r="N236" s="9" t="s">
        <v>873</v>
      </c>
      <c r="O236" s="9" t="s">
        <v>97</v>
      </c>
      <c r="P236" s="9" t="s">
        <v>67</v>
      </c>
      <c r="Q236" s="9" t="s">
        <v>98</v>
      </c>
      <c r="R236" s="9" t="s">
        <v>128</v>
      </c>
      <c r="S236" s="9" t="s">
        <v>129</v>
      </c>
      <c r="T236" s="9" t="s">
        <v>796</v>
      </c>
      <c r="U236" s="9" t="s">
        <v>67</v>
      </c>
      <c r="V236" s="9" t="s">
        <v>130</v>
      </c>
      <c r="W236" s="9" t="s">
        <v>131</v>
      </c>
      <c r="X236" s="11">
        <v>170</v>
      </c>
      <c r="Y236" s="9" t="s">
        <v>376</v>
      </c>
      <c r="Z236" s="9" t="s">
        <v>68</v>
      </c>
      <c r="AA236" s="9" t="s">
        <v>377</v>
      </c>
      <c r="AB236" s="9" t="s">
        <v>67</v>
      </c>
      <c r="AC236" s="9" t="s">
        <v>175</v>
      </c>
      <c r="AD236" s="11">
        <v>3</v>
      </c>
      <c r="AE236" s="9" t="s">
        <v>70</v>
      </c>
      <c r="AF236" s="9" t="s">
        <v>71</v>
      </c>
      <c r="AG236" s="13">
        <v>1</v>
      </c>
      <c r="AH236" s="9" t="s">
        <v>92</v>
      </c>
      <c r="AI236" s="13">
        <v>8320000</v>
      </c>
      <c r="AJ236" s="13">
        <v>24960000</v>
      </c>
      <c r="AK236" s="11">
        <v>0</v>
      </c>
      <c r="AL236" s="11">
        <v>0</v>
      </c>
      <c r="AM236" s="11">
        <v>0</v>
      </c>
      <c r="AN236" s="9" t="s">
        <v>67</v>
      </c>
      <c r="AO236" s="11">
        <v>24960000</v>
      </c>
      <c r="AP236" s="13">
        <v>1996800</v>
      </c>
      <c r="AQ236" s="13">
        <v>26956800</v>
      </c>
      <c r="AR236" s="11">
        <v>528</v>
      </c>
      <c r="AS236" s="9" t="s">
        <v>72</v>
      </c>
      <c r="AT236" s="11">
        <v>600</v>
      </c>
      <c r="AU236" s="9" t="s">
        <v>73</v>
      </c>
      <c r="AV236" s="9" t="s">
        <v>67</v>
      </c>
      <c r="AW236" s="9" t="s">
        <v>934</v>
      </c>
      <c r="AX236" s="10">
        <v>45968</v>
      </c>
      <c r="AY236" s="9" t="s">
        <v>1151</v>
      </c>
      <c r="AZ236" s="9" t="s">
        <v>67</v>
      </c>
      <c r="BA236" s="9" t="s">
        <v>67</v>
      </c>
      <c r="BB236" s="12">
        <v>600</v>
      </c>
      <c r="BC236" s="9" t="s">
        <v>74</v>
      </c>
      <c r="BD236" s="9" t="s">
        <v>104</v>
      </c>
      <c r="BE236" s="9" t="s">
        <v>75</v>
      </c>
      <c r="BF236" s="11">
        <v>0</v>
      </c>
      <c r="BG236">
        <f t="shared" si="8"/>
        <v>12</v>
      </c>
      <c r="BH236" t="str">
        <f>VLOOKUP(BG236,[1]month!$A:$B,2,0)</f>
        <v>Desember</v>
      </c>
      <c r="BI236">
        <f t="shared" si="9"/>
        <v>2025</v>
      </c>
      <c r="BJ236" t="str">
        <f>VLOOKUP(I236,[1]Dist!$A:$B,2,0)</f>
        <v>Industry</v>
      </c>
      <c r="BK236" t="str">
        <f>IF(I236=11,VLOOKUP(Y236,[2]Sheet1!$C:$N,10,0),IF(I236=13,VLOOKUP(Y236,[3]Sheet1!$C:$N,10,0),IF(I236=15,VLOOKUP(Y236,[4]Sheet1!$C:$N,10,0),"Unknown")))</f>
        <v>THINNER PU</v>
      </c>
      <c r="BL236" t="str">
        <f>IF(I236=11,VLOOKUP(Y236,[2]Sheet1!$C:$N,12,0),IF(I236=13,VLOOKUP(Y236,[3]Sheet1!$C:$N,12,0),IF(I236=15,VLOOKUP(Y236,[4]Sheet1!$C:$N,12,0),"Unknown")))</f>
        <v>UNION THINNER</v>
      </c>
      <c r="BM236" t="str">
        <f>VLOOKUP(W236,[1]branch!$A:$B,2,0)</f>
        <v>INDUSTRY</v>
      </c>
    </row>
    <row r="237" spans="1:65" x14ac:dyDescent="0.35">
      <c r="A237" s="10">
        <v>45993</v>
      </c>
      <c r="B237" s="9" t="s">
        <v>1150</v>
      </c>
      <c r="C237" s="9" t="s">
        <v>64</v>
      </c>
      <c r="D237" s="9" t="s">
        <v>92</v>
      </c>
      <c r="E237" s="11">
        <v>60</v>
      </c>
      <c r="F237" s="9" t="s">
        <v>93</v>
      </c>
      <c r="G237" s="9" t="s">
        <v>65</v>
      </c>
      <c r="H237" s="9" t="s">
        <v>66</v>
      </c>
      <c r="I237" s="9">
        <v>11</v>
      </c>
      <c r="J237" s="9" t="s">
        <v>128</v>
      </c>
      <c r="K237" s="9" t="s">
        <v>128</v>
      </c>
      <c r="L237" s="9" t="s">
        <v>128</v>
      </c>
      <c r="M237" s="9" t="s">
        <v>129</v>
      </c>
      <c r="N237" s="9" t="s">
        <v>873</v>
      </c>
      <c r="O237" s="9" t="s">
        <v>97</v>
      </c>
      <c r="P237" s="9" t="s">
        <v>67</v>
      </c>
      <c r="Q237" s="9" t="s">
        <v>98</v>
      </c>
      <c r="R237" s="9" t="s">
        <v>128</v>
      </c>
      <c r="S237" s="9" t="s">
        <v>129</v>
      </c>
      <c r="T237" s="9" t="s">
        <v>796</v>
      </c>
      <c r="U237" s="9" t="s">
        <v>67</v>
      </c>
      <c r="V237" s="9" t="s">
        <v>130</v>
      </c>
      <c r="W237" s="9" t="s">
        <v>131</v>
      </c>
      <c r="X237" s="11">
        <v>180</v>
      </c>
      <c r="Y237" s="9" t="s">
        <v>183</v>
      </c>
      <c r="Z237" s="9" t="s">
        <v>68</v>
      </c>
      <c r="AA237" s="9" t="s">
        <v>184</v>
      </c>
      <c r="AB237" s="9" t="s">
        <v>67</v>
      </c>
      <c r="AC237" s="9" t="s">
        <v>139</v>
      </c>
      <c r="AD237" s="11">
        <v>1</v>
      </c>
      <c r="AE237" s="9" t="s">
        <v>70</v>
      </c>
      <c r="AF237" s="9" t="s">
        <v>71</v>
      </c>
      <c r="AG237" s="13">
        <v>1</v>
      </c>
      <c r="AH237" s="9" t="s">
        <v>92</v>
      </c>
      <c r="AI237" s="13">
        <v>4540000</v>
      </c>
      <c r="AJ237" s="13">
        <v>4540000</v>
      </c>
      <c r="AK237" s="11">
        <v>0</v>
      </c>
      <c r="AL237" s="11">
        <v>0</v>
      </c>
      <c r="AM237" s="11">
        <v>0</v>
      </c>
      <c r="AN237" s="9" t="s">
        <v>67</v>
      </c>
      <c r="AO237" s="11">
        <v>4540000</v>
      </c>
      <c r="AP237" s="13">
        <v>363200</v>
      </c>
      <c r="AQ237" s="13">
        <v>4903200</v>
      </c>
      <c r="AR237" s="11">
        <v>160</v>
      </c>
      <c r="AS237" s="9" t="s">
        <v>72</v>
      </c>
      <c r="AT237" s="11">
        <v>200</v>
      </c>
      <c r="AU237" s="9" t="s">
        <v>73</v>
      </c>
      <c r="AV237" s="9" t="s">
        <v>67</v>
      </c>
      <c r="AW237" s="9" t="s">
        <v>934</v>
      </c>
      <c r="AX237" s="10">
        <v>45968</v>
      </c>
      <c r="AY237" s="9" t="s">
        <v>1151</v>
      </c>
      <c r="AZ237" s="9" t="s">
        <v>67</v>
      </c>
      <c r="BA237" s="9" t="s">
        <v>67</v>
      </c>
      <c r="BB237" s="12">
        <v>200</v>
      </c>
      <c r="BC237" s="9" t="s">
        <v>74</v>
      </c>
      <c r="BD237" s="9" t="s">
        <v>104</v>
      </c>
      <c r="BE237" s="9" t="s">
        <v>75</v>
      </c>
      <c r="BF237" s="11">
        <v>0</v>
      </c>
      <c r="BG237">
        <f t="shared" si="8"/>
        <v>12</v>
      </c>
      <c r="BH237" t="str">
        <f>VLOOKUP(BG237,[1]month!$A:$B,2,0)</f>
        <v>Desember</v>
      </c>
      <c r="BI237">
        <f t="shared" si="9"/>
        <v>2025</v>
      </c>
      <c r="BJ237" t="str">
        <f>VLOOKUP(I237,[1]Dist!$A:$B,2,0)</f>
        <v>Industry</v>
      </c>
      <c r="BK237" t="str">
        <f>IF(I237=11,VLOOKUP(Y237,[2]Sheet1!$C:$N,10,0),IF(I237=13,VLOOKUP(Y237,[3]Sheet1!$C:$N,10,0),IF(I237=15,VLOOKUP(Y237,[4]Sheet1!$C:$N,10,0),"Unknown")))</f>
        <v>THINNER NC</v>
      </c>
      <c r="BL237" t="str">
        <f>IF(I237=11,VLOOKUP(Y237,[2]Sheet1!$C:$N,12,0),IF(I237=13,VLOOKUP(Y237,[3]Sheet1!$C:$N,12,0),IF(I237=15,VLOOKUP(Y237,[4]Sheet1!$C:$N,12,0),"Unknown")))</f>
        <v>THINNER COMPLEMENTARY</v>
      </c>
      <c r="BM237" t="str">
        <f>VLOOKUP(W237,[1]branch!$A:$B,2,0)</f>
        <v>INDUSTRY</v>
      </c>
    </row>
    <row r="238" spans="1:65" x14ac:dyDescent="0.35">
      <c r="A238" s="10">
        <v>45994</v>
      </c>
      <c r="B238" s="9" t="s">
        <v>1152</v>
      </c>
      <c r="C238" s="9" t="s">
        <v>64</v>
      </c>
      <c r="D238" s="9" t="s">
        <v>92</v>
      </c>
      <c r="E238" s="11">
        <v>60</v>
      </c>
      <c r="F238" s="9" t="s">
        <v>93</v>
      </c>
      <c r="G238" s="9" t="s">
        <v>65</v>
      </c>
      <c r="H238" s="9" t="s">
        <v>66</v>
      </c>
      <c r="I238" s="9">
        <v>11</v>
      </c>
      <c r="J238" s="9" t="s">
        <v>347</v>
      </c>
      <c r="K238" s="9" t="s">
        <v>347</v>
      </c>
      <c r="L238" s="9" t="s">
        <v>347</v>
      </c>
      <c r="M238" s="9" t="s">
        <v>348</v>
      </c>
      <c r="N238" s="9" t="s">
        <v>866</v>
      </c>
      <c r="O238" s="9" t="s">
        <v>97</v>
      </c>
      <c r="P238" s="9" t="s">
        <v>67</v>
      </c>
      <c r="Q238" s="9" t="s">
        <v>98</v>
      </c>
      <c r="R238" s="9" t="s">
        <v>347</v>
      </c>
      <c r="S238" s="9" t="s">
        <v>348</v>
      </c>
      <c r="T238" s="9" t="s">
        <v>818</v>
      </c>
      <c r="U238" s="9" t="s">
        <v>67</v>
      </c>
      <c r="V238" s="9" t="s">
        <v>130</v>
      </c>
      <c r="W238" s="9" t="s">
        <v>131</v>
      </c>
      <c r="X238" s="11">
        <v>90</v>
      </c>
      <c r="Y238" s="9" t="s">
        <v>521</v>
      </c>
      <c r="Z238" s="9" t="s">
        <v>68</v>
      </c>
      <c r="AA238" s="9" t="s">
        <v>522</v>
      </c>
      <c r="AB238" s="9" t="s">
        <v>67</v>
      </c>
      <c r="AC238" s="9" t="s">
        <v>91</v>
      </c>
      <c r="AD238" s="11">
        <v>1</v>
      </c>
      <c r="AE238" s="9" t="s">
        <v>70</v>
      </c>
      <c r="AF238" s="9" t="s">
        <v>71</v>
      </c>
      <c r="AG238" s="13">
        <v>1</v>
      </c>
      <c r="AH238" s="9" t="s">
        <v>92</v>
      </c>
      <c r="AI238" s="13">
        <v>6144300</v>
      </c>
      <c r="AJ238" s="13">
        <v>6144300</v>
      </c>
      <c r="AK238" s="11">
        <v>0</v>
      </c>
      <c r="AL238" s="11">
        <v>0</v>
      </c>
      <c r="AM238" s="11">
        <v>0</v>
      </c>
      <c r="AN238" s="9" t="s">
        <v>67</v>
      </c>
      <c r="AO238" s="11">
        <v>6144300</v>
      </c>
      <c r="AP238" s="13">
        <v>491544</v>
      </c>
      <c r="AQ238" s="13">
        <v>6635844</v>
      </c>
      <c r="AR238" s="11">
        <v>18</v>
      </c>
      <c r="AS238" s="9" t="s">
        <v>72</v>
      </c>
      <c r="AT238" s="12">
        <v>17.14</v>
      </c>
      <c r="AU238" s="9" t="s">
        <v>73</v>
      </c>
      <c r="AV238" s="9" t="s">
        <v>67</v>
      </c>
      <c r="AW238" s="9" t="s">
        <v>935</v>
      </c>
      <c r="AX238" s="10">
        <v>45972</v>
      </c>
      <c r="AY238" s="9" t="s">
        <v>1153</v>
      </c>
      <c r="AZ238" s="9" t="s">
        <v>67</v>
      </c>
      <c r="BA238" s="9" t="s">
        <v>67</v>
      </c>
      <c r="BB238" s="12">
        <v>18</v>
      </c>
      <c r="BC238" s="9" t="s">
        <v>74</v>
      </c>
      <c r="BD238" s="9" t="s">
        <v>104</v>
      </c>
      <c r="BE238" s="9" t="s">
        <v>75</v>
      </c>
      <c r="BF238" s="11">
        <v>0</v>
      </c>
      <c r="BG238">
        <f t="shared" si="8"/>
        <v>12</v>
      </c>
      <c r="BH238" t="str">
        <f>VLOOKUP(BG238,[1]month!$A:$B,2,0)</f>
        <v>Desember</v>
      </c>
      <c r="BI238">
        <f t="shared" si="9"/>
        <v>2025</v>
      </c>
      <c r="BJ238" t="str">
        <f>VLOOKUP(I238,[1]Dist!$A:$B,2,0)</f>
        <v>Industry</v>
      </c>
      <c r="BK238" t="str">
        <f>IF(I238=11,VLOOKUP(Y238,[2]Sheet1!$C:$N,10,0),IF(I238=13,VLOOKUP(Y238,[3]Sheet1!$C:$N,10,0),IF(I238=15,VLOOKUP(Y238,[4]Sheet1!$C:$N,10,0),"Unknown")))</f>
        <v>COMPLEMENTARY</v>
      </c>
      <c r="BL238" t="str">
        <f>IF(I238=11,VLOOKUP(Y238,[2]Sheet1!$C:$N,12,0),IF(I238=13,VLOOKUP(Y238,[3]Sheet1!$C:$N,12,0),IF(I238=15,VLOOKUP(Y238,[4]Sheet1!$C:$N,12,0),"Unknown")))</f>
        <v>PASTA</v>
      </c>
      <c r="BM238" t="str">
        <f>VLOOKUP(W238,[1]branch!$A:$B,2,0)</f>
        <v>INDUSTRY</v>
      </c>
    </row>
    <row r="239" spans="1:65" x14ac:dyDescent="0.35">
      <c r="A239" s="10">
        <v>45994</v>
      </c>
      <c r="B239" s="9" t="s">
        <v>1152</v>
      </c>
      <c r="C239" s="9" t="s">
        <v>64</v>
      </c>
      <c r="D239" s="9" t="s">
        <v>92</v>
      </c>
      <c r="E239" s="11">
        <v>60</v>
      </c>
      <c r="F239" s="9" t="s">
        <v>93</v>
      </c>
      <c r="G239" s="9" t="s">
        <v>65</v>
      </c>
      <c r="H239" s="9" t="s">
        <v>66</v>
      </c>
      <c r="I239" s="9">
        <v>11</v>
      </c>
      <c r="J239" s="9" t="s">
        <v>347</v>
      </c>
      <c r="K239" s="9" t="s">
        <v>347</v>
      </c>
      <c r="L239" s="9" t="s">
        <v>347</v>
      </c>
      <c r="M239" s="9" t="s">
        <v>348</v>
      </c>
      <c r="N239" s="9" t="s">
        <v>866</v>
      </c>
      <c r="O239" s="9" t="s">
        <v>97</v>
      </c>
      <c r="P239" s="9" t="s">
        <v>67</v>
      </c>
      <c r="Q239" s="9" t="s">
        <v>98</v>
      </c>
      <c r="R239" s="9" t="s">
        <v>347</v>
      </c>
      <c r="S239" s="9" t="s">
        <v>348</v>
      </c>
      <c r="T239" s="9" t="s">
        <v>818</v>
      </c>
      <c r="U239" s="9" t="s">
        <v>67</v>
      </c>
      <c r="V239" s="9" t="s">
        <v>130</v>
      </c>
      <c r="W239" s="9" t="s">
        <v>131</v>
      </c>
      <c r="X239" s="11">
        <v>110</v>
      </c>
      <c r="Y239" s="9" t="s">
        <v>515</v>
      </c>
      <c r="Z239" s="9" t="s">
        <v>68</v>
      </c>
      <c r="AA239" s="9" t="s">
        <v>516</v>
      </c>
      <c r="AB239" s="9" t="s">
        <v>67</v>
      </c>
      <c r="AC239" s="9" t="s">
        <v>79</v>
      </c>
      <c r="AD239" s="11">
        <v>1</v>
      </c>
      <c r="AE239" s="9" t="s">
        <v>70</v>
      </c>
      <c r="AF239" s="9" t="s">
        <v>71</v>
      </c>
      <c r="AG239" s="13">
        <v>1</v>
      </c>
      <c r="AH239" s="9" t="s">
        <v>92</v>
      </c>
      <c r="AI239" s="13">
        <v>8190000</v>
      </c>
      <c r="AJ239" s="13">
        <v>8190000</v>
      </c>
      <c r="AK239" s="11">
        <v>0</v>
      </c>
      <c r="AL239" s="11">
        <v>0</v>
      </c>
      <c r="AM239" s="11">
        <v>0</v>
      </c>
      <c r="AN239" s="9" t="s">
        <v>67</v>
      </c>
      <c r="AO239" s="11">
        <v>8190000</v>
      </c>
      <c r="AP239" s="13">
        <v>655200</v>
      </c>
      <c r="AQ239" s="13">
        <v>8845200</v>
      </c>
      <c r="AR239" s="11">
        <v>160</v>
      </c>
      <c r="AS239" s="9" t="s">
        <v>72</v>
      </c>
      <c r="AT239" s="11">
        <v>200</v>
      </c>
      <c r="AU239" s="9" t="s">
        <v>73</v>
      </c>
      <c r="AV239" s="9" t="s">
        <v>67</v>
      </c>
      <c r="AW239" s="9" t="s">
        <v>935</v>
      </c>
      <c r="AX239" s="10">
        <v>45972</v>
      </c>
      <c r="AY239" s="9" t="s">
        <v>1153</v>
      </c>
      <c r="AZ239" s="9" t="s">
        <v>67</v>
      </c>
      <c r="BA239" s="9" t="s">
        <v>67</v>
      </c>
      <c r="BB239" s="12">
        <v>200</v>
      </c>
      <c r="BC239" s="9" t="s">
        <v>74</v>
      </c>
      <c r="BD239" s="9" t="s">
        <v>104</v>
      </c>
      <c r="BE239" s="9" t="s">
        <v>75</v>
      </c>
      <c r="BF239" s="11">
        <v>0</v>
      </c>
      <c r="BG239">
        <f t="shared" si="8"/>
        <v>12</v>
      </c>
      <c r="BH239" t="str">
        <f>VLOOKUP(BG239,[1]month!$A:$B,2,0)</f>
        <v>Desember</v>
      </c>
      <c r="BI239">
        <f t="shared" si="9"/>
        <v>2025</v>
      </c>
      <c r="BJ239" t="str">
        <f>VLOOKUP(I239,[1]Dist!$A:$B,2,0)</f>
        <v>Industry</v>
      </c>
      <c r="BK239" t="str">
        <f>IF(I239=11,VLOOKUP(Y239,[2]Sheet1!$C:$N,10,0),IF(I239=13,VLOOKUP(Y239,[3]Sheet1!$C:$N,10,0),IF(I239=15,VLOOKUP(Y239,[4]Sheet1!$C:$N,10,0),"Unknown")))</f>
        <v>THINNER NC</v>
      </c>
      <c r="BL239" t="str">
        <f>IF(I239=11,VLOOKUP(Y239,[2]Sheet1!$C:$N,12,0),IF(I239=13,VLOOKUP(Y239,[3]Sheet1!$C:$N,12,0),IF(I239=15,VLOOKUP(Y239,[4]Sheet1!$C:$N,12,0),"Unknown")))</f>
        <v>THINNER GLAZE</v>
      </c>
      <c r="BM239" t="str">
        <f>VLOOKUP(W239,[1]branch!$A:$B,2,0)</f>
        <v>INDUSTRY</v>
      </c>
    </row>
    <row r="240" spans="1:65" x14ac:dyDescent="0.35">
      <c r="A240" s="10">
        <v>45994</v>
      </c>
      <c r="B240" s="9" t="s">
        <v>1152</v>
      </c>
      <c r="C240" s="9" t="s">
        <v>64</v>
      </c>
      <c r="D240" s="9" t="s">
        <v>92</v>
      </c>
      <c r="E240" s="11">
        <v>60</v>
      </c>
      <c r="F240" s="9" t="s">
        <v>93</v>
      </c>
      <c r="G240" s="9" t="s">
        <v>65</v>
      </c>
      <c r="H240" s="9" t="s">
        <v>66</v>
      </c>
      <c r="I240" s="9">
        <v>11</v>
      </c>
      <c r="J240" s="9" t="s">
        <v>347</v>
      </c>
      <c r="K240" s="9" t="s">
        <v>347</v>
      </c>
      <c r="L240" s="9" t="s">
        <v>347</v>
      </c>
      <c r="M240" s="9" t="s">
        <v>348</v>
      </c>
      <c r="N240" s="9" t="s">
        <v>866</v>
      </c>
      <c r="O240" s="9" t="s">
        <v>97</v>
      </c>
      <c r="P240" s="9" t="s">
        <v>67</v>
      </c>
      <c r="Q240" s="9" t="s">
        <v>98</v>
      </c>
      <c r="R240" s="9" t="s">
        <v>347</v>
      </c>
      <c r="S240" s="9" t="s">
        <v>348</v>
      </c>
      <c r="T240" s="9" t="s">
        <v>818</v>
      </c>
      <c r="U240" s="9" t="s">
        <v>67</v>
      </c>
      <c r="V240" s="9" t="s">
        <v>130</v>
      </c>
      <c r="W240" s="9" t="s">
        <v>131</v>
      </c>
      <c r="X240" s="11">
        <v>120</v>
      </c>
      <c r="Y240" s="9" t="s">
        <v>349</v>
      </c>
      <c r="Z240" s="9" t="s">
        <v>68</v>
      </c>
      <c r="AA240" s="9" t="s">
        <v>350</v>
      </c>
      <c r="AB240" s="9" t="s">
        <v>67</v>
      </c>
      <c r="AC240" s="9" t="s">
        <v>120</v>
      </c>
      <c r="AD240" s="11">
        <v>1</v>
      </c>
      <c r="AE240" s="9" t="s">
        <v>70</v>
      </c>
      <c r="AF240" s="9" t="s">
        <v>71</v>
      </c>
      <c r="AG240" s="13">
        <v>1</v>
      </c>
      <c r="AH240" s="9" t="s">
        <v>92</v>
      </c>
      <c r="AI240" s="13">
        <v>7898000</v>
      </c>
      <c r="AJ240" s="13">
        <v>7898000</v>
      </c>
      <c r="AK240" s="11">
        <v>0</v>
      </c>
      <c r="AL240" s="11">
        <v>0</v>
      </c>
      <c r="AM240" s="11">
        <v>0</v>
      </c>
      <c r="AN240" s="9" t="s">
        <v>67</v>
      </c>
      <c r="AO240" s="11">
        <v>7898000</v>
      </c>
      <c r="AP240" s="13">
        <v>631840</v>
      </c>
      <c r="AQ240" s="13">
        <v>8529840</v>
      </c>
      <c r="AR240" s="12">
        <v>178.8</v>
      </c>
      <c r="AS240" s="9" t="s">
        <v>72</v>
      </c>
      <c r="AT240" s="11">
        <v>200</v>
      </c>
      <c r="AU240" s="9" t="s">
        <v>73</v>
      </c>
      <c r="AV240" s="9" t="s">
        <v>67</v>
      </c>
      <c r="AW240" s="9" t="s">
        <v>935</v>
      </c>
      <c r="AX240" s="10">
        <v>45972</v>
      </c>
      <c r="AY240" s="9" t="s">
        <v>1153</v>
      </c>
      <c r="AZ240" s="9" t="s">
        <v>67</v>
      </c>
      <c r="BA240" s="9" t="s">
        <v>67</v>
      </c>
      <c r="BB240" s="12">
        <v>200</v>
      </c>
      <c r="BC240" s="9" t="s">
        <v>74</v>
      </c>
      <c r="BD240" s="9" t="s">
        <v>104</v>
      </c>
      <c r="BE240" s="9" t="s">
        <v>75</v>
      </c>
      <c r="BF240" s="11">
        <v>0</v>
      </c>
      <c r="BG240">
        <f t="shared" si="8"/>
        <v>12</v>
      </c>
      <c r="BH240" t="str">
        <f>VLOOKUP(BG240,[1]month!$A:$B,2,0)</f>
        <v>Desember</v>
      </c>
      <c r="BI240">
        <f t="shared" si="9"/>
        <v>2025</v>
      </c>
      <c r="BJ240" t="str">
        <f>VLOOKUP(I240,[1]Dist!$A:$B,2,0)</f>
        <v>Industry</v>
      </c>
      <c r="BK240" t="str">
        <f>IF(I240=11,VLOOKUP(Y240,[2]Sheet1!$C:$N,10,0),IF(I240=13,VLOOKUP(Y240,[3]Sheet1!$C:$N,10,0),IF(I240=15,VLOOKUP(Y240,[4]Sheet1!$C:$N,10,0),"Unknown")))</f>
        <v>THINNER PU</v>
      </c>
      <c r="BL240" t="str">
        <f>IF(I240=11,VLOOKUP(Y240,[2]Sheet1!$C:$N,12,0),IF(I240=13,VLOOKUP(Y240,[3]Sheet1!$C:$N,12,0),IF(I240=15,VLOOKUP(Y240,[4]Sheet1!$C:$N,12,0),"Unknown")))</f>
        <v>THINNER PU</v>
      </c>
      <c r="BM240" t="str">
        <f>VLOOKUP(W240,[1]branch!$A:$B,2,0)</f>
        <v>INDUSTRY</v>
      </c>
    </row>
    <row r="241" spans="1:65" x14ac:dyDescent="0.35">
      <c r="A241" s="10">
        <v>45994</v>
      </c>
      <c r="B241" s="9" t="s">
        <v>1154</v>
      </c>
      <c r="C241" s="9" t="s">
        <v>64</v>
      </c>
      <c r="D241" s="9" t="s">
        <v>92</v>
      </c>
      <c r="E241" s="11">
        <v>60</v>
      </c>
      <c r="F241" s="9" t="s">
        <v>93</v>
      </c>
      <c r="G241" s="9" t="s">
        <v>65</v>
      </c>
      <c r="H241" s="9" t="s">
        <v>66</v>
      </c>
      <c r="I241" s="9">
        <v>11</v>
      </c>
      <c r="J241" s="9" t="s">
        <v>347</v>
      </c>
      <c r="K241" s="9" t="s">
        <v>347</v>
      </c>
      <c r="L241" s="9" t="s">
        <v>347</v>
      </c>
      <c r="M241" s="9" t="s">
        <v>348</v>
      </c>
      <c r="N241" s="9" t="s">
        <v>866</v>
      </c>
      <c r="O241" s="9" t="s">
        <v>97</v>
      </c>
      <c r="P241" s="9" t="s">
        <v>67</v>
      </c>
      <c r="Q241" s="9" t="s">
        <v>98</v>
      </c>
      <c r="R241" s="9" t="s">
        <v>347</v>
      </c>
      <c r="S241" s="9" t="s">
        <v>348</v>
      </c>
      <c r="T241" s="9" t="s">
        <v>818</v>
      </c>
      <c r="U241" s="9" t="s">
        <v>67</v>
      </c>
      <c r="V241" s="9" t="s">
        <v>130</v>
      </c>
      <c r="W241" s="9" t="s">
        <v>131</v>
      </c>
      <c r="X241" s="11">
        <v>10</v>
      </c>
      <c r="Y241" s="9" t="s">
        <v>721</v>
      </c>
      <c r="Z241" s="9" t="s">
        <v>68</v>
      </c>
      <c r="AA241" s="9" t="s">
        <v>722</v>
      </c>
      <c r="AB241" s="9" t="s">
        <v>67</v>
      </c>
      <c r="AC241" s="9" t="s">
        <v>120</v>
      </c>
      <c r="AD241" s="11">
        <v>3</v>
      </c>
      <c r="AE241" s="9" t="s">
        <v>70</v>
      </c>
      <c r="AF241" s="9" t="s">
        <v>71</v>
      </c>
      <c r="AG241" s="13">
        <v>1</v>
      </c>
      <c r="AH241" s="9" t="s">
        <v>92</v>
      </c>
      <c r="AI241" s="13">
        <v>6821800</v>
      </c>
      <c r="AJ241" s="13">
        <v>20465400</v>
      </c>
      <c r="AK241" s="11">
        <v>0</v>
      </c>
      <c r="AL241" s="11">
        <v>0</v>
      </c>
      <c r="AM241" s="11">
        <v>0</v>
      </c>
      <c r="AN241" s="9" t="s">
        <v>67</v>
      </c>
      <c r="AO241" s="11">
        <v>20465400</v>
      </c>
      <c r="AP241" s="13">
        <v>1637232</v>
      </c>
      <c r="AQ241" s="13">
        <v>22102632</v>
      </c>
      <c r="AR241" s="11">
        <v>564</v>
      </c>
      <c r="AS241" s="9" t="s">
        <v>72</v>
      </c>
      <c r="AT241" s="11">
        <v>600</v>
      </c>
      <c r="AU241" s="9" t="s">
        <v>73</v>
      </c>
      <c r="AV241" s="9" t="s">
        <v>67</v>
      </c>
      <c r="AW241" s="9" t="s">
        <v>941</v>
      </c>
      <c r="AX241" s="10">
        <v>45975</v>
      </c>
      <c r="AY241" s="9" t="s">
        <v>1155</v>
      </c>
      <c r="AZ241" s="9" t="s">
        <v>67</v>
      </c>
      <c r="BA241" s="9" t="s">
        <v>67</v>
      </c>
      <c r="BB241" s="12">
        <v>600</v>
      </c>
      <c r="BC241" s="9" t="s">
        <v>74</v>
      </c>
      <c r="BD241" s="9" t="s">
        <v>104</v>
      </c>
      <c r="BE241" s="9" t="s">
        <v>75</v>
      </c>
      <c r="BF241" s="11">
        <v>0</v>
      </c>
      <c r="BG241">
        <f t="shared" si="8"/>
        <v>12</v>
      </c>
      <c r="BH241" t="str">
        <f>VLOOKUP(BG241,[1]month!$A:$B,2,0)</f>
        <v>Desember</v>
      </c>
      <c r="BI241">
        <f t="shared" si="9"/>
        <v>2025</v>
      </c>
      <c r="BJ241" t="str">
        <f>VLOOKUP(I241,[1]Dist!$A:$B,2,0)</f>
        <v>Industry</v>
      </c>
      <c r="BK241" t="str">
        <f>IF(I241=11,VLOOKUP(Y241,[2]Sheet1!$C:$N,10,0),IF(I241=13,VLOOKUP(Y241,[3]Sheet1!$C:$N,10,0),IF(I241=15,VLOOKUP(Y241,[4]Sheet1!$C:$N,10,0),"Unknown")))</f>
        <v>THINNER PU</v>
      </c>
      <c r="BL241" t="str">
        <f>IF(I241=11,VLOOKUP(Y241,[2]Sheet1!$C:$N,12,0),IF(I241=13,VLOOKUP(Y241,[3]Sheet1!$C:$N,12,0),IF(I241=15,VLOOKUP(Y241,[4]Sheet1!$C:$N,12,0),"Unknown")))</f>
        <v>THINNER PU</v>
      </c>
      <c r="BM241" t="str">
        <f>VLOOKUP(W241,[1]branch!$A:$B,2,0)</f>
        <v>INDUSTRY</v>
      </c>
    </row>
    <row r="242" spans="1:65" x14ac:dyDescent="0.35">
      <c r="A242" s="10">
        <v>45994</v>
      </c>
      <c r="B242" s="9" t="s">
        <v>1154</v>
      </c>
      <c r="C242" s="9" t="s">
        <v>64</v>
      </c>
      <c r="D242" s="9" t="s">
        <v>92</v>
      </c>
      <c r="E242" s="11">
        <v>60</v>
      </c>
      <c r="F242" s="9" t="s">
        <v>93</v>
      </c>
      <c r="G242" s="9" t="s">
        <v>65</v>
      </c>
      <c r="H242" s="9" t="s">
        <v>66</v>
      </c>
      <c r="I242" s="9">
        <v>11</v>
      </c>
      <c r="J242" s="9" t="s">
        <v>347</v>
      </c>
      <c r="K242" s="9" t="s">
        <v>347</v>
      </c>
      <c r="L242" s="9" t="s">
        <v>347</v>
      </c>
      <c r="M242" s="9" t="s">
        <v>348</v>
      </c>
      <c r="N242" s="9" t="s">
        <v>866</v>
      </c>
      <c r="O242" s="9" t="s">
        <v>97</v>
      </c>
      <c r="P242" s="9" t="s">
        <v>67</v>
      </c>
      <c r="Q242" s="9" t="s">
        <v>98</v>
      </c>
      <c r="R242" s="9" t="s">
        <v>347</v>
      </c>
      <c r="S242" s="9" t="s">
        <v>348</v>
      </c>
      <c r="T242" s="9" t="s">
        <v>818</v>
      </c>
      <c r="U242" s="9" t="s">
        <v>67</v>
      </c>
      <c r="V242" s="9" t="s">
        <v>130</v>
      </c>
      <c r="W242" s="9" t="s">
        <v>131</v>
      </c>
      <c r="X242" s="11">
        <v>40</v>
      </c>
      <c r="Y242" s="9" t="s">
        <v>355</v>
      </c>
      <c r="Z242" s="9" t="s">
        <v>68</v>
      </c>
      <c r="AA242" s="9" t="s">
        <v>356</v>
      </c>
      <c r="AB242" s="9" t="s">
        <v>67</v>
      </c>
      <c r="AC242" s="9" t="s">
        <v>357</v>
      </c>
      <c r="AD242" s="11">
        <v>1</v>
      </c>
      <c r="AE242" s="9" t="s">
        <v>70</v>
      </c>
      <c r="AF242" s="9" t="s">
        <v>71</v>
      </c>
      <c r="AG242" s="13">
        <v>1</v>
      </c>
      <c r="AH242" s="9" t="s">
        <v>92</v>
      </c>
      <c r="AI242" s="13">
        <v>11402000</v>
      </c>
      <c r="AJ242" s="13">
        <v>11402000</v>
      </c>
      <c r="AK242" s="11">
        <v>0</v>
      </c>
      <c r="AL242" s="11">
        <v>0</v>
      </c>
      <c r="AM242" s="11">
        <v>0</v>
      </c>
      <c r="AN242" s="9" t="s">
        <v>67</v>
      </c>
      <c r="AO242" s="11">
        <v>11402000</v>
      </c>
      <c r="AP242" s="13">
        <v>912160</v>
      </c>
      <c r="AQ242" s="13">
        <v>12314160</v>
      </c>
      <c r="AR242" s="11">
        <v>198</v>
      </c>
      <c r="AS242" s="9" t="s">
        <v>72</v>
      </c>
      <c r="AT242" s="11">
        <v>200</v>
      </c>
      <c r="AU242" s="9" t="s">
        <v>73</v>
      </c>
      <c r="AV242" s="9" t="s">
        <v>67</v>
      </c>
      <c r="AW242" s="9" t="s">
        <v>941</v>
      </c>
      <c r="AX242" s="10">
        <v>45975</v>
      </c>
      <c r="AY242" s="9" t="s">
        <v>1155</v>
      </c>
      <c r="AZ242" s="9" t="s">
        <v>67</v>
      </c>
      <c r="BA242" s="9" t="s">
        <v>67</v>
      </c>
      <c r="BB242" s="12">
        <v>200</v>
      </c>
      <c r="BC242" s="9" t="s">
        <v>74</v>
      </c>
      <c r="BD242" s="9" t="s">
        <v>104</v>
      </c>
      <c r="BE242" s="9" t="s">
        <v>75</v>
      </c>
      <c r="BF242" s="11">
        <v>0</v>
      </c>
      <c r="BG242">
        <f t="shared" si="8"/>
        <v>12</v>
      </c>
      <c r="BH242" t="str">
        <f>VLOOKUP(BG242,[1]month!$A:$B,2,0)</f>
        <v>Desember</v>
      </c>
      <c r="BI242">
        <f t="shared" si="9"/>
        <v>2025</v>
      </c>
      <c r="BJ242" t="str">
        <f>VLOOKUP(I242,[1]Dist!$A:$B,2,0)</f>
        <v>Industry</v>
      </c>
      <c r="BK242" t="str">
        <f>IF(I242=11,VLOOKUP(Y242,[2]Sheet1!$C:$N,10,0),IF(I242=13,VLOOKUP(Y242,[3]Sheet1!$C:$N,10,0),IF(I242=15,VLOOKUP(Y242,[4]Sheet1!$C:$N,10,0),"Unknown")))</f>
        <v>NC</v>
      </c>
      <c r="BL242" t="str">
        <f>IF(I242=11,VLOOKUP(Y242,[2]Sheet1!$C:$N,12,0),IF(I242=13,VLOOKUP(Y242,[3]Sheet1!$C:$N,12,0),IF(I242=15,VLOOKUP(Y242,[4]Sheet1!$C:$N,12,0),"Unknown")))</f>
        <v>NC SYSTEM</v>
      </c>
      <c r="BM242" t="str">
        <f>VLOOKUP(W242,[1]branch!$A:$B,2,0)</f>
        <v>INDUSTRY</v>
      </c>
    </row>
    <row r="243" spans="1:65" x14ac:dyDescent="0.35">
      <c r="A243" s="10">
        <v>45994</v>
      </c>
      <c r="B243" s="9" t="s">
        <v>1156</v>
      </c>
      <c r="C243" s="9" t="s">
        <v>64</v>
      </c>
      <c r="D243" s="9" t="s">
        <v>92</v>
      </c>
      <c r="E243" s="11">
        <v>60</v>
      </c>
      <c r="F243" s="9" t="s">
        <v>93</v>
      </c>
      <c r="G243" s="9" t="s">
        <v>65</v>
      </c>
      <c r="H243" s="9" t="s">
        <v>66</v>
      </c>
      <c r="I243" s="9">
        <v>11</v>
      </c>
      <c r="J243" s="9" t="s">
        <v>347</v>
      </c>
      <c r="K243" s="9" t="s">
        <v>347</v>
      </c>
      <c r="L243" s="9" t="s">
        <v>347</v>
      </c>
      <c r="M243" s="9" t="s">
        <v>348</v>
      </c>
      <c r="N243" s="9" t="s">
        <v>866</v>
      </c>
      <c r="O243" s="9" t="s">
        <v>97</v>
      </c>
      <c r="P243" s="9" t="s">
        <v>67</v>
      </c>
      <c r="Q243" s="9" t="s">
        <v>98</v>
      </c>
      <c r="R243" s="9" t="s">
        <v>347</v>
      </c>
      <c r="S243" s="9" t="s">
        <v>348</v>
      </c>
      <c r="T243" s="9" t="s">
        <v>818</v>
      </c>
      <c r="U243" s="9" t="s">
        <v>67</v>
      </c>
      <c r="V243" s="9" t="s">
        <v>130</v>
      </c>
      <c r="W243" s="9" t="s">
        <v>131</v>
      </c>
      <c r="X243" s="11">
        <v>10</v>
      </c>
      <c r="Y243" s="9" t="s">
        <v>148</v>
      </c>
      <c r="Z243" s="9" t="s">
        <v>68</v>
      </c>
      <c r="AA243" s="9" t="s">
        <v>149</v>
      </c>
      <c r="AB243" s="9" t="s">
        <v>67</v>
      </c>
      <c r="AC243" s="9" t="s">
        <v>69</v>
      </c>
      <c r="AD243" s="11">
        <v>4</v>
      </c>
      <c r="AE243" s="9" t="s">
        <v>70</v>
      </c>
      <c r="AF243" s="9" t="s">
        <v>71</v>
      </c>
      <c r="AG243" s="13">
        <v>1</v>
      </c>
      <c r="AH243" s="9" t="s">
        <v>92</v>
      </c>
      <c r="AI243" s="13">
        <v>7298800</v>
      </c>
      <c r="AJ243" s="13">
        <v>29195200</v>
      </c>
      <c r="AK243" s="11">
        <v>0</v>
      </c>
      <c r="AL243" s="11">
        <v>0</v>
      </c>
      <c r="AM243" s="11">
        <v>0</v>
      </c>
      <c r="AN243" s="9" t="s">
        <v>67</v>
      </c>
      <c r="AO243" s="11">
        <v>29195200</v>
      </c>
      <c r="AP243" s="13">
        <v>2335616</v>
      </c>
      <c r="AQ243" s="13">
        <v>31530816</v>
      </c>
      <c r="AR243" s="11">
        <v>720</v>
      </c>
      <c r="AS243" s="9" t="s">
        <v>72</v>
      </c>
      <c r="AT243" s="11">
        <v>800</v>
      </c>
      <c r="AU243" s="9" t="s">
        <v>73</v>
      </c>
      <c r="AV243" s="9" t="s">
        <v>67</v>
      </c>
      <c r="AW243" s="9" t="s">
        <v>946</v>
      </c>
      <c r="AX243" s="10">
        <v>45982</v>
      </c>
      <c r="AY243" s="9" t="s">
        <v>1157</v>
      </c>
      <c r="AZ243" s="9" t="s">
        <v>67</v>
      </c>
      <c r="BA243" s="9" t="s">
        <v>67</v>
      </c>
      <c r="BB243" s="12">
        <v>800</v>
      </c>
      <c r="BC243" s="9" t="s">
        <v>74</v>
      </c>
      <c r="BD243" s="9" t="s">
        <v>104</v>
      </c>
      <c r="BE243" s="9" t="s">
        <v>75</v>
      </c>
      <c r="BF243" s="11">
        <v>0</v>
      </c>
      <c r="BG243">
        <f t="shared" si="8"/>
        <v>12</v>
      </c>
      <c r="BH243" t="str">
        <f>VLOOKUP(BG243,[1]month!$A:$B,2,0)</f>
        <v>Desember</v>
      </c>
      <c r="BI243">
        <f t="shared" si="9"/>
        <v>2025</v>
      </c>
      <c r="BJ243" t="str">
        <f>VLOOKUP(I243,[1]Dist!$A:$B,2,0)</f>
        <v>Industry</v>
      </c>
      <c r="BK243" t="str">
        <f>IF(I243=11,VLOOKUP(Y243,[2]Sheet1!$C:$N,10,0),IF(I243=13,VLOOKUP(Y243,[3]Sheet1!$C:$N,10,0),IF(I243=15,VLOOKUP(Y243,[4]Sheet1!$C:$N,10,0),"Unknown")))</f>
        <v>THINNER NC</v>
      </c>
      <c r="BL243" t="str">
        <f>IF(I243=11,VLOOKUP(Y243,[2]Sheet1!$C:$N,12,0),IF(I243=13,VLOOKUP(Y243,[3]Sheet1!$C:$N,12,0),IF(I243=15,VLOOKUP(Y243,[4]Sheet1!$C:$N,12,0),"Unknown")))</f>
        <v>THINNER NC</v>
      </c>
      <c r="BM243" t="str">
        <f>VLOOKUP(W243,[1]branch!$A:$B,2,0)</f>
        <v>INDUSTRY</v>
      </c>
    </row>
    <row r="244" spans="1:65" x14ac:dyDescent="0.35">
      <c r="A244" s="10">
        <v>45994</v>
      </c>
      <c r="B244" s="9" t="s">
        <v>1156</v>
      </c>
      <c r="C244" s="9" t="s">
        <v>64</v>
      </c>
      <c r="D244" s="9" t="s">
        <v>92</v>
      </c>
      <c r="E244" s="11">
        <v>60</v>
      </c>
      <c r="F244" s="9" t="s">
        <v>93</v>
      </c>
      <c r="G244" s="9" t="s">
        <v>65</v>
      </c>
      <c r="H244" s="9" t="s">
        <v>66</v>
      </c>
      <c r="I244" s="9">
        <v>11</v>
      </c>
      <c r="J244" s="9" t="s">
        <v>347</v>
      </c>
      <c r="K244" s="9" t="s">
        <v>347</v>
      </c>
      <c r="L244" s="9" t="s">
        <v>347</v>
      </c>
      <c r="M244" s="9" t="s">
        <v>348</v>
      </c>
      <c r="N244" s="9" t="s">
        <v>866</v>
      </c>
      <c r="O244" s="9" t="s">
        <v>97</v>
      </c>
      <c r="P244" s="9" t="s">
        <v>67</v>
      </c>
      <c r="Q244" s="9" t="s">
        <v>98</v>
      </c>
      <c r="R244" s="9" t="s">
        <v>347</v>
      </c>
      <c r="S244" s="9" t="s">
        <v>348</v>
      </c>
      <c r="T244" s="9" t="s">
        <v>818</v>
      </c>
      <c r="U244" s="9" t="s">
        <v>67</v>
      </c>
      <c r="V244" s="9" t="s">
        <v>130</v>
      </c>
      <c r="W244" s="9" t="s">
        <v>131</v>
      </c>
      <c r="X244" s="11">
        <v>40</v>
      </c>
      <c r="Y244" s="9" t="s">
        <v>815</v>
      </c>
      <c r="Z244" s="9" t="s">
        <v>68</v>
      </c>
      <c r="AA244" s="9" t="s">
        <v>816</v>
      </c>
      <c r="AB244" s="9" t="s">
        <v>67</v>
      </c>
      <c r="AC244" s="9" t="s">
        <v>367</v>
      </c>
      <c r="AD244" s="11">
        <v>5</v>
      </c>
      <c r="AE244" s="9" t="s">
        <v>70</v>
      </c>
      <c r="AF244" s="9" t="s">
        <v>71</v>
      </c>
      <c r="AG244" s="13">
        <v>1</v>
      </c>
      <c r="AH244" s="9" t="s">
        <v>92</v>
      </c>
      <c r="AI244" s="13">
        <v>1836000</v>
      </c>
      <c r="AJ244" s="13">
        <v>9180000</v>
      </c>
      <c r="AK244" s="11">
        <v>0</v>
      </c>
      <c r="AL244" s="11">
        <v>0</v>
      </c>
      <c r="AM244" s="11">
        <v>0</v>
      </c>
      <c r="AN244" s="9" t="s">
        <v>67</v>
      </c>
      <c r="AO244" s="11">
        <v>9180000</v>
      </c>
      <c r="AP244" s="13">
        <v>734400</v>
      </c>
      <c r="AQ244" s="13">
        <v>9914400</v>
      </c>
      <c r="AR244" s="11">
        <v>90</v>
      </c>
      <c r="AS244" s="9" t="s">
        <v>72</v>
      </c>
      <c r="AT244" s="12">
        <v>87.38</v>
      </c>
      <c r="AU244" s="9" t="s">
        <v>73</v>
      </c>
      <c r="AV244" s="9" t="s">
        <v>67</v>
      </c>
      <c r="AW244" s="9" t="s">
        <v>946</v>
      </c>
      <c r="AX244" s="10">
        <v>45982</v>
      </c>
      <c r="AY244" s="9" t="s">
        <v>1157</v>
      </c>
      <c r="AZ244" s="9" t="s">
        <v>67</v>
      </c>
      <c r="BA244" s="9" t="s">
        <v>67</v>
      </c>
      <c r="BB244" s="12">
        <v>90</v>
      </c>
      <c r="BC244" s="9" t="s">
        <v>74</v>
      </c>
      <c r="BD244" s="9" t="s">
        <v>104</v>
      </c>
      <c r="BE244" s="9" t="s">
        <v>75</v>
      </c>
      <c r="BF244" s="11">
        <v>0</v>
      </c>
      <c r="BG244">
        <f t="shared" si="8"/>
        <v>12</v>
      </c>
      <c r="BH244" t="str">
        <f>VLOOKUP(BG244,[1]month!$A:$B,2,0)</f>
        <v>Desember</v>
      </c>
      <c r="BI244">
        <f t="shared" si="9"/>
        <v>2025</v>
      </c>
      <c r="BJ244" t="str">
        <f>VLOOKUP(I244,[1]Dist!$A:$B,2,0)</f>
        <v>Industry</v>
      </c>
      <c r="BK244" t="str">
        <f>IF(I244=11,VLOOKUP(Y244,[2]Sheet1!$C:$N,10,0),IF(I244=13,VLOOKUP(Y244,[3]Sheet1!$C:$N,10,0),IF(I244=15,VLOOKUP(Y244,[4]Sheet1!$C:$N,10,0),"Unknown")))</f>
        <v>NC</v>
      </c>
      <c r="BL244" t="str">
        <f>IF(I244=11,VLOOKUP(Y244,[2]Sheet1!$C:$N,12,0),IF(I244=13,VLOOKUP(Y244,[3]Sheet1!$C:$N,12,0),IF(I244=15,VLOOKUP(Y244,[4]Sheet1!$C:$N,12,0),"Unknown")))</f>
        <v>NC SYSTEM</v>
      </c>
      <c r="BM244" t="str">
        <f>VLOOKUP(W244,[1]branch!$A:$B,2,0)</f>
        <v>INDUSTRY</v>
      </c>
    </row>
    <row r="245" spans="1:65" x14ac:dyDescent="0.35">
      <c r="A245" s="10">
        <v>45994</v>
      </c>
      <c r="B245" s="9" t="s">
        <v>1158</v>
      </c>
      <c r="C245" s="9" t="s">
        <v>64</v>
      </c>
      <c r="D245" s="9" t="s">
        <v>92</v>
      </c>
      <c r="E245" s="11">
        <v>60</v>
      </c>
      <c r="F245" s="9" t="s">
        <v>93</v>
      </c>
      <c r="G245" s="9" t="s">
        <v>65</v>
      </c>
      <c r="H245" s="9" t="s">
        <v>66</v>
      </c>
      <c r="I245" s="9">
        <v>11</v>
      </c>
      <c r="J245" s="9" t="s">
        <v>347</v>
      </c>
      <c r="K245" s="9" t="s">
        <v>347</v>
      </c>
      <c r="L245" s="9" t="s">
        <v>347</v>
      </c>
      <c r="M245" s="9" t="s">
        <v>348</v>
      </c>
      <c r="N245" s="9" t="s">
        <v>866</v>
      </c>
      <c r="O245" s="9" t="s">
        <v>97</v>
      </c>
      <c r="P245" s="9" t="s">
        <v>67</v>
      </c>
      <c r="Q245" s="9" t="s">
        <v>98</v>
      </c>
      <c r="R245" s="9" t="s">
        <v>347</v>
      </c>
      <c r="S245" s="9" t="s">
        <v>348</v>
      </c>
      <c r="T245" s="9" t="s">
        <v>818</v>
      </c>
      <c r="U245" s="9" t="s">
        <v>67</v>
      </c>
      <c r="V245" s="9" t="s">
        <v>130</v>
      </c>
      <c r="W245" s="9" t="s">
        <v>131</v>
      </c>
      <c r="X245" s="11">
        <v>20</v>
      </c>
      <c r="Y245" s="9" t="s">
        <v>273</v>
      </c>
      <c r="Z245" s="9" t="s">
        <v>68</v>
      </c>
      <c r="AA245" s="9" t="s">
        <v>274</v>
      </c>
      <c r="AB245" s="9" t="s">
        <v>67</v>
      </c>
      <c r="AC245" s="9" t="s">
        <v>191</v>
      </c>
      <c r="AD245" s="11">
        <v>5</v>
      </c>
      <c r="AE245" s="9" t="s">
        <v>70</v>
      </c>
      <c r="AF245" s="9" t="s">
        <v>71</v>
      </c>
      <c r="AG245" s="13">
        <v>1</v>
      </c>
      <c r="AH245" s="9" t="s">
        <v>92</v>
      </c>
      <c r="AI245" s="13">
        <v>1153480</v>
      </c>
      <c r="AJ245" s="13">
        <v>5767400</v>
      </c>
      <c r="AK245" s="11">
        <v>0</v>
      </c>
      <c r="AL245" s="11">
        <v>0</v>
      </c>
      <c r="AM245" s="11">
        <v>0</v>
      </c>
      <c r="AN245" s="9" t="s">
        <v>67</v>
      </c>
      <c r="AO245" s="11">
        <v>5767400</v>
      </c>
      <c r="AP245" s="13">
        <v>461392</v>
      </c>
      <c r="AQ245" s="13">
        <v>6228792</v>
      </c>
      <c r="AR245" s="11">
        <v>98</v>
      </c>
      <c r="AS245" s="9" t="s">
        <v>72</v>
      </c>
      <c r="AT245" s="11">
        <v>100</v>
      </c>
      <c r="AU245" s="9" t="s">
        <v>73</v>
      </c>
      <c r="AV245" s="9" t="s">
        <v>67</v>
      </c>
      <c r="AW245" s="9" t="s">
        <v>1073</v>
      </c>
      <c r="AX245" s="10">
        <v>45986</v>
      </c>
      <c r="AY245" s="9" t="s">
        <v>1159</v>
      </c>
      <c r="AZ245" s="9" t="s">
        <v>67</v>
      </c>
      <c r="BA245" s="9" t="s">
        <v>67</v>
      </c>
      <c r="BB245" s="12">
        <v>100</v>
      </c>
      <c r="BC245" s="9" t="s">
        <v>74</v>
      </c>
      <c r="BD245" s="9" t="s">
        <v>104</v>
      </c>
      <c r="BE245" s="9" t="s">
        <v>75</v>
      </c>
      <c r="BF245" s="11">
        <v>0</v>
      </c>
      <c r="BG245">
        <f t="shared" si="8"/>
        <v>12</v>
      </c>
      <c r="BH245" t="str">
        <f>VLOOKUP(BG245,[1]month!$A:$B,2,0)</f>
        <v>Desember</v>
      </c>
      <c r="BI245">
        <f t="shared" si="9"/>
        <v>2025</v>
      </c>
      <c r="BJ245" t="str">
        <f>VLOOKUP(I245,[1]Dist!$A:$B,2,0)</f>
        <v>Industry</v>
      </c>
      <c r="BK245" t="str">
        <f>IF(I245=11,VLOOKUP(Y245,[2]Sheet1!$C:$N,10,0),IF(I245=13,VLOOKUP(Y245,[3]Sheet1!$C:$N,10,0),IF(I245=15,VLOOKUP(Y245,[4]Sheet1!$C:$N,10,0),"Unknown")))</f>
        <v>NC</v>
      </c>
      <c r="BL245" t="str">
        <f>IF(I245=11,VLOOKUP(Y245,[2]Sheet1!$C:$N,12,0),IF(I245=13,VLOOKUP(Y245,[3]Sheet1!$C:$N,12,0),IF(I245=15,VLOOKUP(Y245,[4]Sheet1!$C:$N,12,0),"Unknown")))</f>
        <v>NC SYSTEM</v>
      </c>
      <c r="BM245" t="str">
        <f>VLOOKUP(W245,[1]branch!$A:$B,2,0)</f>
        <v>INDUSTRY</v>
      </c>
    </row>
    <row r="246" spans="1:65" x14ac:dyDescent="0.35">
      <c r="A246" s="10">
        <v>45994</v>
      </c>
      <c r="B246" s="9" t="s">
        <v>1158</v>
      </c>
      <c r="C246" s="9" t="s">
        <v>64</v>
      </c>
      <c r="D246" s="9" t="s">
        <v>92</v>
      </c>
      <c r="E246" s="11">
        <v>60</v>
      </c>
      <c r="F246" s="9" t="s">
        <v>93</v>
      </c>
      <c r="G246" s="9" t="s">
        <v>65</v>
      </c>
      <c r="H246" s="9" t="s">
        <v>66</v>
      </c>
      <c r="I246" s="9">
        <v>11</v>
      </c>
      <c r="J246" s="9" t="s">
        <v>347</v>
      </c>
      <c r="K246" s="9" t="s">
        <v>347</v>
      </c>
      <c r="L246" s="9" t="s">
        <v>347</v>
      </c>
      <c r="M246" s="9" t="s">
        <v>348</v>
      </c>
      <c r="N246" s="9" t="s">
        <v>866</v>
      </c>
      <c r="O246" s="9" t="s">
        <v>97</v>
      </c>
      <c r="P246" s="9" t="s">
        <v>67</v>
      </c>
      <c r="Q246" s="9" t="s">
        <v>98</v>
      </c>
      <c r="R246" s="9" t="s">
        <v>347</v>
      </c>
      <c r="S246" s="9" t="s">
        <v>348</v>
      </c>
      <c r="T246" s="9" t="s">
        <v>818</v>
      </c>
      <c r="U246" s="9" t="s">
        <v>67</v>
      </c>
      <c r="V246" s="9" t="s">
        <v>130</v>
      </c>
      <c r="W246" s="9" t="s">
        <v>131</v>
      </c>
      <c r="X246" s="11">
        <v>60</v>
      </c>
      <c r="Y246" s="9" t="s">
        <v>428</v>
      </c>
      <c r="Z246" s="9" t="s">
        <v>68</v>
      </c>
      <c r="AA246" s="9" t="s">
        <v>429</v>
      </c>
      <c r="AB246" s="9" t="s">
        <v>67</v>
      </c>
      <c r="AC246" s="9" t="s">
        <v>430</v>
      </c>
      <c r="AD246" s="11">
        <v>2</v>
      </c>
      <c r="AE246" s="9" t="s">
        <v>70</v>
      </c>
      <c r="AF246" s="9" t="s">
        <v>71</v>
      </c>
      <c r="AG246" s="13">
        <v>1</v>
      </c>
      <c r="AH246" s="9" t="s">
        <v>92</v>
      </c>
      <c r="AI246" s="13">
        <v>7109800</v>
      </c>
      <c r="AJ246" s="13">
        <v>14219600</v>
      </c>
      <c r="AK246" s="11">
        <v>0</v>
      </c>
      <c r="AL246" s="11">
        <v>0</v>
      </c>
      <c r="AM246" s="11">
        <v>0</v>
      </c>
      <c r="AN246" s="9" t="s">
        <v>67</v>
      </c>
      <c r="AO246" s="11">
        <v>14219600</v>
      </c>
      <c r="AP246" s="13">
        <v>1137568</v>
      </c>
      <c r="AQ246" s="13">
        <v>15357168</v>
      </c>
      <c r="AR246" s="11">
        <v>39</v>
      </c>
      <c r="AS246" s="9" t="s">
        <v>72</v>
      </c>
      <c r="AT246" s="11">
        <v>40</v>
      </c>
      <c r="AU246" s="9" t="s">
        <v>73</v>
      </c>
      <c r="AV246" s="9" t="s">
        <v>67</v>
      </c>
      <c r="AW246" s="9" t="s">
        <v>1073</v>
      </c>
      <c r="AX246" s="10">
        <v>45986</v>
      </c>
      <c r="AY246" s="9" t="s">
        <v>1159</v>
      </c>
      <c r="AZ246" s="9" t="s">
        <v>67</v>
      </c>
      <c r="BA246" s="9" t="s">
        <v>67</v>
      </c>
      <c r="BB246" s="12">
        <v>40</v>
      </c>
      <c r="BC246" s="9" t="s">
        <v>74</v>
      </c>
      <c r="BD246" s="9" t="s">
        <v>104</v>
      </c>
      <c r="BE246" s="9" t="s">
        <v>75</v>
      </c>
      <c r="BF246" s="11">
        <v>0</v>
      </c>
      <c r="BG246">
        <f t="shared" si="8"/>
        <v>12</v>
      </c>
      <c r="BH246" t="str">
        <f>VLOOKUP(BG246,[1]month!$A:$B,2,0)</f>
        <v>Desember</v>
      </c>
      <c r="BI246">
        <f t="shared" si="9"/>
        <v>2025</v>
      </c>
      <c r="BJ246" t="str">
        <f>VLOOKUP(I246,[1]Dist!$A:$B,2,0)</f>
        <v>Industry</v>
      </c>
      <c r="BK246" t="str">
        <f>IF(I246=11,VLOOKUP(Y246,[2]Sheet1!$C:$N,10,0),IF(I246=13,VLOOKUP(Y246,[3]Sheet1!$C:$N,10,0),IF(I246=15,VLOOKUP(Y246,[4]Sheet1!$C:$N,10,0),"Unknown")))</f>
        <v>ALKYD OIL</v>
      </c>
      <c r="BL246" t="str">
        <f>IF(I246=11,VLOOKUP(Y246,[2]Sheet1!$C:$N,12,0),IF(I246=13,VLOOKUP(Y246,[3]Sheet1!$C:$N,12,0),IF(I246=15,VLOOKUP(Y246,[4]Sheet1!$C:$N,12,0),"Unknown")))</f>
        <v>ALKYD &amp; OIL SYSTEM</v>
      </c>
      <c r="BM246" t="str">
        <f>VLOOKUP(W246,[1]branch!$A:$B,2,0)</f>
        <v>INDUSTRY</v>
      </c>
    </row>
    <row r="247" spans="1:65" x14ac:dyDescent="0.35">
      <c r="A247" s="10">
        <v>45994</v>
      </c>
      <c r="B247" s="9" t="s">
        <v>1160</v>
      </c>
      <c r="C247" s="9" t="s">
        <v>64</v>
      </c>
      <c r="D247" s="9" t="s">
        <v>92</v>
      </c>
      <c r="E247" s="11">
        <v>30</v>
      </c>
      <c r="F247" s="9" t="s">
        <v>93</v>
      </c>
      <c r="G247" s="9" t="s">
        <v>65</v>
      </c>
      <c r="H247" s="9" t="s">
        <v>66</v>
      </c>
      <c r="I247" s="9">
        <v>11</v>
      </c>
      <c r="J247" s="9" t="s">
        <v>94</v>
      </c>
      <c r="K247" s="9" t="s">
        <v>94</v>
      </c>
      <c r="L247" s="9" t="s">
        <v>94</v>
      </c>
      <c r="M247" s="9" t="s">
        <v>95</v>
      </c>
      <c r="N247" s="9" t="s">
        <v>586</v>
      </c>
      <c r="O247" s="9" t="s">
        <v>97</v>
      </c>
      <c r="P247" s="9" t="s">
        <v>67</v>
      </c>
      <c r="Q247" s="9" t="s">
        <v>98</v>
      </c>
      <c r="R247" s="9" t="s">
        <v>719</v>
      </c>
      <c r="S247" s="9" t="s">
        <v>95</v>
      </c>
      <c r="T247" s="9" t="s">
        <v>720</v>
      </c>
      <c r="U247" s="9" t="s">
        <v>67</v>
      </c>
      <c r="V247" s="9" t="s">
        <v>99</v>
      </c>
      <c r="W247" s="9" t="s">
        <v>100</v>
      </c>
      <c r="X247" s="11">
        <v>10</v>
      </c>
      <c r="Y247" s="9" t="s">
        <v>144</v>
      </c>
      <c r="Z247" s="9" t="s">
        <v>68</v>
      </c>
      <c r="AA247" s="9" t="s">
        <v>145</v>
      </c>
      <c r="AB247" s="9" t="s">
        <v>67</v>
      </c>
      <c r="AC247" s="9" t="s">
        <v>82</v>
      </c>
      <c r="AD247" s="11">
        <v>1</v>
      </c>
      <c r="AE247" s="9" t="s">
        <v>70</v>
      </c>
      <c r="AF247" s="9" t="s">
        <v>71</v>
      </c>
      <c r="AG247" s="13">
        <v>1</v>
      </c>
      <c r="AH247" s="9" t="s">
        <v>92</v>
      </c>
      <c r="AI247" s="13">
        <v>13020000</v>
      </c>
      <c r="AJ247" s="13">
        <v>13020000</v>
      </c>
      <c r="AK247" s="11">
        <v>0</v>
      </c>
      <c r="AL247" s="11">
        <v>0</v>
      </c>
      <c r="AM247" s="11">
        <v>0</v>
      </c>
      <c r="AN247" s="9" t="s">
        <v>67</v>
      </c>
      <c r="AO247" s="11">
        <v>13020000</v>
      </c>
      <c r="AP247" s="13">
        <v>1041600</v>
      </c>
      <c r="AQ247" s="13">
        <v>14061600</v>
      </c>
      <c r="AR247" s="11">
        <v>182</v>
      </c>
      <c r="AS247" s="9" t="s">
        <v>72</v>
      </c>
      <c r="AT247" s="11">
        <v>200</v>
      </c>
      <c r="AU247" s="9" t="s">
        <v>73</v>
      </c>
      <c r="AV247" s="9" t="s">
        <v>67</v>
      </c>
      <c r="AW247" s="9" t="s">
        <v>1161</v>
      </c>
      <c r="AX247" s="10">
        <v>45993</v>
      </c>
      <c r="AY247" s="9" t="s">
        <v>1162</v>
      </c>
      <c r="AZ247" s="9" t="s">
        <v>67</v>
      </c>
      <c r="BA247" s="9" t="s">
        <v>67</v>
      </c>
      <c r="BB247" s="12">
        <v>200</v>
      </c>
      <c r="BC247" s="9" t="s">
        <v>74</v>
      </c>
      <c r="BD247" s="9" t="s">
        <v>104</v>
      </c>
      <c r="BE247" s="9" t="s">
        <v>75</v>
      </c>
      <c r="BF247" s="11">
        <v>0</v>
      </c>
      <c r="BG247">
        <f t="shared" si="8"/>
        <v>12</v>
      </c>
      <c r="BH247" t="str">
        <f>VLOOKUP(BG247,[1]month!$A:$B,2,0)</f>
        <v>Desember</v>
      </c>
      <c r="BI247">
        <f t="shared" si="9"/>
        <v>2025</v>
      </c>
      <c r="BJ247" t="str">
        <f>VLOOKUP(I247,[1]Dist!$A:$B,2,0)</f>
        <v>Industry</v>
      </c>
      <c r="BK247" t="str">
        <f>IF(I247=11,VLOOKUP(Y247,[2]Sheet1!$C:$N,10,0),IF(I247=13,VLOOKUP(Y247,[3]Sheet1!$C:$N,10,0),IF(I247=15,VLOOKUP(Y247,[4]Sheet1!$C:$N,10,0),"Unknown")))</f>
        <v>STAIN &amp; GLAZE INTERIOR</v>
      </c>
      <c r="BL247" t="str">
        <f>IF(I247=11,VLOOKUP(Y247,[2]Sheet1!$C:$N,12,0),IF(I247=13,VLOOKUP(Y247,[3]Sheet1!$C:$N,12,0),IF(I247=15,VLOOKUP(Y247,[4]Sheet1!$C:$N,12,0),"Unknown")))</f>
        <v>STAIN INTERIOR</v>
      </c>
      <c r="BM247" t="str">
        <f>VLOOKUP(W247,[1]branch!$A:$B,2,0)</f>
        <v>INDUSTRY</v>
      </c>
    </row>
    <row r="248" spans="1:65" x14ac:dyDescent="0.35">
      <c r="A248" s="10">
        <v>45994</v>
      </c>
      <c r="B248" s="9" t="s">
        <v>1160</v>
      </c>
      <c r="C248" s="9" t="s">
        <v>64</v>
      </c>
      <c r="D248" s="9" t="s">
        <v>92</v>
      </c>
      <c r="E248" s="11">
        <v>30</v>
      </c>
      <c r="F248" s="9" t="s">
        <v>93</v>
      </c>
      <c r="G248" s="9" t="s">
        <v>65</v>
      </c>
      <c r="H248" s="9" t="s">
        <v>66</v>
      </c>
      <c r="I248" s="9">
        <v>11</v>
      </c>
      <c r="J248" s="9" t="s">
        <v>94</v>
      </c>
      <c r="K248" s="9" t="s">
        <v>94</v>
      </c>
      <c r="L248" s="9" t="s">
        <v>94</v>
      </c>
      <c r="M248" s="9" t="s">
        <v>95</v>
      </c>
      <c r="N248" s="9" t="s">
        <v>586</v>
      </c>
      <c r="O248" s="9" t="s">
        <v>97</v>
      </c>
      <c r="P248" s="9" t="s">
        <v>67</v>
      </c>
      <c r="Q248" s="9" t="s">
        <v>98</v>
      </c>
      <c r="R248" s="9" t="s">
        <v>719</v>
      </c>
      <c r="S248" s="9" t="s">
        <v>95</v>
      </c>
      <c r="T248" s="9" t="s">
        <v>720</v>
      </c>
      <c r="U248" s="9" t="s">
        <v>67</v>
      </c>
      <c r="V248" s="9" t="s">
        <v>99</v>
      </c>
      <c r="W248" s="9" t="s">
        <v>100</v>
      </c>
      <c r="X248" s="11">
        <v>30</v>
      </c>
      <c r="Y248" s="9" t="s">
        <v>552</v>
      </c>
      <c r="Z248" s="9" t="s">
        <v>68</v>
      </c>
      <c r="AA248" s="9" t="s">
        <v>553</v>
      </c>
      <c r="AB248" s="9" t="s">
        <v>67</v>
      </c>
      <c r="AC248" s="9" t="s">
        <v>139</v>
      </c>
      <c r="AD248" s="11">
        <v>1</v>
      </c>
      <c r="AE248" s="9" t="s">
        <v>70</v>
      </c>
      <c r="AF248" s="9" t="s">
        <v>71</v>
      </c>
      <c r="AG248" s="13">
        <v>1</v>
      </c>
      <c r="AH248" s="9" t="s">
        <v>92</v>
      </c>
      <c r="AI248" s="13">
        <v>7021000</v>
      </c>
      <c r="AJ248" s="13">
        <v>7021000</v>
      </c>
      <c r="AK248" s="11">
        <v>0</v>
      </c>
      <c r="AL248" s="11">
        <v>0</v>
      </c>
      <c r="AM248" s="11">
        <v>0</v>
      </c>
      <c r="AN248" s="9" t="s">
        <v>67</v>
      </c>
      <c r="AO248" s="11">
        <v>7021000</v>
      </c>
      <c r="AP248" s="13">
        <v>561680</v>
      </c>
      <c r="AQ248" s="13">
        <v>7582680</v>
      </c>
      <c r="AR248" s="11">
        <v>176</v>
      </c>
      <c r="AS248" s="9" t="s">
        <v>72</v>
      </c>
      <c r="AT248" s="11">
        <v>200</v>
      </c>
      <c r="AU248" s="9" t="s">
        <v>73</v>
      </c>
      <c r="AV248" s="9" t="s">
        <v>67</v>
      </c>
      <c r="AW248" s="9" t="s">
        <v>1161</v>
      </c>
      <c r="AX248" s="10">
        <v>45993</v>
      </c>
      <c r="AY248" s="9" t="s">
        <v>1162</v>
      </c>
      <c r="AZ248" s="9" t="s">
        <v>67</v>
      </c>
      <c r="BA248" s="9" t="s">
        <v>67</v>
      </c>
      <c r="BB248" s="12">
        <v>200</v>
      </c>
      <c r="BC248" s="9" t="s">
        <v>74</v>
      </c>
      <c r="BD248" s="9" t="s">
        <v>104</v>
      </c>
      <c r="BE248" s="9" t="s">
        <v>75</v>
      </c>
      <c r="BF248" s="11">
        <v>0</v>
      </c>
      <c r="BG248">
        <f t="shared" si="8"/>
        <v>12</v>
      </c>
      <c r="BH248" t="str">
        <f>VLOOKUP(BG248,[1]month!$A:$B,2,0)</f>
        <v>Desember</v>
      </c>
      <c r="BI248">
        <f t="shared" si="9"/>
        <v>2025</v>
      </c>
      <c r="BJ248" t="str">
        <f>VLOOKUP(I248,[1]Dist!$A:$B,2,0)</f>
        <v>Industry</v>
      </c>
      <c r="BK248" t="str">
        <f>IF(I248=11,VLOOKUP(Y248,[2]Sheet1!$C:$N,10,0),IF(I248=13,VLOOKUP(Y248,[3]Sheet1!$C:$N,10,0),IF(I248=15,VLOOKUP(Y248,[4]Sheet1!$C:$N,10,0),"Unknown")))</f>
        <v>THINNER NC</v>
      </c>
      <c r="BL248" t="str">
        <f>IF(I248=11,VLOOKUP(Y248,[2]Sheet1!$C:$N,12,0),IF(I248=13,VLOOKUP(Y248,[3]Sheet1!$C:$N,12,0),IF(I248=15,VLOOKUP(Y248,[4]Sheet1!$C:$N,12,0),"Unknown")))</f>
        <v>THINNER COMPLEMENTARY</v>
      </c>
      <c r="BM248" t="str">
        <f>VLOOKUP(W248,[1]branch!$A:$B,2,0)</f>
        <v>INDUSTRY</v>
      </c>
    </row>
    <row r="249" spans="1:65" x14ac:dyDescent="0.35">
      <c r="A249" s="10">
        <v>45994</v>
      </c>
      <c r="B249" s="9" t="s">
        <v>1160</v>
      </c>
      <c r="C249" s="9" t="s">
        <v>64</v>
      </c>
      <c r="D249" s="9" t="s">
        <v>92</v>
      </c>
      <c r="E249" s="11">
        <v>30</v>
      </c>
      <c r="F249" s="9" t="s">
        <v>93</v>
      </c>
      <c r="G249" s="9" t="s">
        <v>65</v>
      </c>
      <c r="H249" s="9" t="s">
        <v>66</v>
      </c>
      <c r="I249" s="9">
        <v>11</v>
      </c>
      <c r="J249" s="9" t="s">
        <v>94</v>
      </c>
      <c r="K249" s="9" t="s">
        <v>94</v>
      </c>
      <c r="L249" s="9" t="s">
        <v>94</v>
      </c>
      <c r="M249" s="9" t="s">
        <v>95</v>
      </c>
      <c r="N249" s="9" t="s">
        <v>586</v>
      </c>
      <c r="O249" s="9" t="s">
        <v>97</v>
      </c>
      <c r="P249" s="9" t="s">
        <v>67</v>
      </c>
      <c r="Q249" s="9" t="s">
        <v>98</v>
      </c>
      <c r="R249" s="9" t="s">
        <v>719</v>
      </c>
      <c r="S249" s="9" t="s">
        <v>95</v>
      </c>
      <c r="T249" s="9" t="s">
        <v>720</v>
      </c>
      <c r="U249" s="9" t="s">
        <v>67</v>
      </c>
      <c r="V249" s="9" t="s">
        <v>99</v>
      </c>
      <c r="W249" s="9" t="s">
        <v>100</v>
      </c>
      <c r="X249" s="11">
        <v>40</v>
      </c>
      <c r="Y249" s="9" t="s">
        <v>759</v>
      </c>
      <c r="Z249" s="9" t="s">
        <v>68</v>
      </c>
      <c r="AA249" s="9" t="s">
        <v>760</v>
      </c>
      <c r="AB249" s="9" t="s">
        <v>67</v>
      </c>
      <c r="AC249" s="9" t="s">
        <v>139</v>
      </c>
      <c r="AD249" s="11">
        <v>1</v>
      </c>
      <c r="AE249" s="9" t="s">
        <v>70</v>
      </c>
      <c r="AF249" s="9" t="s">
        <v>71</v>
      </c>
      <c r="AG249" s="13">
        <v>1</v>
      </c>
      <c r="AH249" s="9" t="s">
        <v>92</v>
      </c>
      <c r="AI249" s="13">
        <v>8560000</v>
      </c>
      <c r="AJ249" s="13">
        <v>8560000</v>
      </c>
      <c r="AK249" s="11">
        <v>0</v>
      </c>
      <c r="AL249" s="11">
        <v>0</v>
      </c>
      <c r="AM249" s="11">
        <v>0</v>
      </c>
      <c r="AN249" s="9" t="s">
        <v>67</v>
      </c>
      <c r="AO249" s="11">
        <v>8560000</v>
      </c>
      <c r="AP249" s="13">
        <v>684800</v>
      </c>
      <c r="AQ249" s="13">
        <v>9244800</v>
      </c>
      <c r="AR249" s="11">
        <v>176</v>
      </c>
      <c r="AS249" s="9" t="s">
        <v>72</v>
      </c>
      <c r="AT249" s="11">
        <v>200</v>
      </c>
      <c r="AU249" s="9" t="s">
        <v>73</v>
      </c>
      <c r="AV249" s="9" t="s">
        <v>67</v>
      </c>
      <c r="AW249" s="9" t="s">
        <v>1161</v>
      </c>
      <c r="AX249" s="10">
        <v>45993</v>
      </c>
      <c r="AY249" s="9" t="s">
        <v>1162</v>
      </c>
      <c r="AZ249" s="9" t="s">
        <v>67</v>
      </c>
      <c r="BA249" s="9" t="s">
        <v>67</v>
      </c>
      <c r="BB249" s="12">
        <v>200</v>
      </c>
      <c r="BC249" s="9" t="s">
        <v>74</v>
      </c>
      <c r="BD249" s="9" t="s">
        <v>104</v>
      </c>
      <c r="BE249" s="9" t="s">
        <v>75</v>
      </c>
      <c r="BF249" s="11">
        <v>0</v>
      </c>
      <c r="BG249">
        <f t="shared" si="8"/>
        <v>12</v>
      </c>
      <c r="BH249" t="str">
        <f>VLOOKUP(BG249,[1]month!$A:$B,2,0)</f>
        <v>Desember</v>
      </c>
      <c r="BI249">
        <f t="shared" si="9"/>
        <v>2025</v>
      </c>
      <c r="BJ249" t="str">
        <f>VLOOKUP(I249,[1]Dist!$A:$B,2,0)</f>
        <v>Industry</v>
      </c>
      <c r="BK249" t="str">
        <f>IF(I249=11,VLOOKUP(Y249,[2]Sheet1!$C:$N,10,0),IF(I249=13,VLOOKUP(Y249,[3]Sheet1!$C:$N,10,0),IF(I249=15,VLOOKUP(Y249,[4]Sheet1!$C:$N,10,0),"Unknown")))</f>
        <v>THINNER NC</v>
      </c>
      <c r="BL249" t="str">
        <f>IF(I249=11,VLOOKUP(Y249,[2]Sheet1!$C:$N,12,0),IF(I249=13,VLOOKUP(Y249,[3]Sheet1!$C:$N,12,0),IF(I249=15,VLOOKUP(Y249,[4]Sheet1!$C:$N,12,0),"Unknown")))</f>
        <v>THINNER COMPLEMENTARY</v>
      </c>
      <c r="BM249" t="str">
        <f>VLOOKUP(W249,[1]branch!$A:$B,2,0)</f>
        <v>INDUSTRY</v>
      </c>
    </row>
    <row r="250" spans="1:65" x14ac:dyDescent="0.35">
      <c r="A250" s="10">
        <v>45994</v>
      </c>
      <c r="B250" s="9" t="s">
        <v>1160</v>
      </c>
      <c r="C250" s="9" t="s">
        <v>64</v>
      </c>
      <c r="D250" s="9" t="s">
        <v>92</v>
      </c>
      <c r="E250" s="11">
        <v>30</v>
      </c>
      <c r="F250" s="9" t="s">
        <v>93</v>
      </c>
      <c r="G250" s="9" t="s">
        <v>65</v>
      </c>
      <c r="H250" s="9" t="s">
        <v>66</v>
      </c>
      <c r="I250" s="9">
        <v>11</v>
      </c>
      <c r="J250" s="9" t="s">
        <v>94</v>
      </c>
      <c r="K250" s="9" t="s">
        <v>94</v>
      </c>
      <c r="L250" s="9" t="s">
        <v>94</v>
      </c>
      <c r="M250" s="9" t="s">
        <v>95</v>
      </c>
      <c r="N250" s="9" t="s">
        <v>586</v>
      </c>
      <c r="O250" s="9" t="s">
        <v>97</v>
      </c>
      <c r="P250" s="9" t="s">
        <v>67</v>
      </c>
      <c r="Q250" s="9" t="s">
        <v>98</v>
      </c>
      <c r="R250" s="9" t="s">
        <v>719</v>
      </c>
      <c r="S250" s="9" t="s">
        <v>95</v>
      </c>
      <c r="T250" s="9" t="s">
        <v>720</v>
      </c>
      <c r="U250" s="9" t="s">
        <v>67</v>
      </c>
      <c r="V250" s="9" t="s">
        <v>99</v>
      </c>
      <c r="W250" s="9" t="s">
        <v>100</v>
      </c>
      <c r="X250" s="11">
        <v>41</v>
      </c>
      <c r="Y250" s="9" t="s">
        <v>118</v>
      </c>
      <c r="Z250" s="9" t="s">
        <v>68</v>
      </c>
      <c r="AA250" s="9" t="s">
        <v>119</v>
      </c>
      <c r="AB250" s="9" t="s">
        <v>67</v>
      </c>
      <c r="AC250" s="9" t="s">
        <v>120</v>
      </c>
      <c r="AD250" s="11">
        <v>1</v>
      </c>
      <c r="AE250" s="9" t="s">
        <v>70</v>
      </c>
      <c r="AF250" s="9" t="s">
        <v>71</v>
      </c>
      <c r="AG250" s="13">
        <v>1</v>
      </c>
      <c r="AH250" s="9" t="s">
        <v>92</v>
      </c>
      <c r="AI250" s="13">
        <v>7500000</v>
      </c>
      <c r="AJ250" s="13">
        <v>7500000</v>
      </c>
      <c r="AK250" s="11">
        <v>0</v>
      </c>
      <c r="AL250" s="11">
        <v>0</v>
      </c>
      <c r="AM250" s="11">
        <v>0</v>
      </c>
      <c r="AN250" s="9" t="s">
        <v>67</v>
      </c>
      <c r="AO250" s="11">
        <v>7500000</v>
      </c>
      <c r="AP250" s="13">
        <v>600000</v>
      </c>
      <c r="AQ250" s="13">
        <v>8100000</v>
      </c>
      <c r="AR250" s="11">
        <v>185</v>
      </c>
      <c r="AS250" s="9" t="s">
        <v>72</v>
      </c>
      <c r="AT250" s="11">
        <v>200</v>
      </c>
      <c r="AU250" s="9" t="s">
        <v>73</v>
      </c>
      <c r="AV250" s="9" t="s">
        <v>67</v>
      </c>
      <c r="AW250" s="9" t="s">
        <v>1161</v>
      </c>
      <c r="AX250" s="10">
        <v>45993</v>
      </c>
      <c r="AY250" s="9" t="s">
        <v>1162</v>
      </c>
      <c r="AZ250" s="9" t="s">
        <v>67</v>
      </c>
      <c r="BA250" s="9" t="s">
        <v>67</v>
      </c>
      <c r="BB250" s="12">
        <v>200</v>
      </c>
      <c r="BC250" s="9" t="s">
        <v>74</v>
      </c>
      <c r="BD250" s="9" t="s">
        <v>104</v>
      </c>
      <c r="BE250" s="9" t="s">
        <v>75</v>
      </c>
      <c r="BF250" s="11">
        <v>0</v>
      </c>
      <c r="BG250">
        <f t="shared" si="8"/>
        <v>12</v>
      </c>
      <c r="BH250" t="str">
        <f>VLOOKUP(BG250,[1]month!$A:$B,2,0)</f>
        <v>Desember</v>
      </c>
      <c r="BI250">
        <f t="shared" si="9"/>
        <v>2025</v>
      </c>
      <c r="BJ250" t="str">
        <f>VLOOKUP(I250,[1]Dist!$A:$B,2,0)</f>
        <v>Industry</v>
      </c>
      <c r="BK250" t="str">
        <f>IF(I250=11,VLOOKUP(Y250,[2]Sheet1!$C:$N,10,0),IF(I250=13,VLOOKUP(Y250,[3]Sheet1!$C:$N,10,0),IF(I250=15,VLOOKUP(Y250,[4]Sheet1!$C:$N,10,0),"Unknown")))</f>
        <v>THINNER PU</v>
      </c>
      <c r="BL250" t="str">
        <f>IF(I250=11,VLOOKUP(Y250,[2]Sheet1!$C:$N,12,0),IF(I250=13,VLOOKUP(Y250,[3]Sheet1!$C:$N,12,0),IF(I250=15,VLOOKUP(Y250,[4]Sheet1!$C:$N,12,0),"Unknown")))</f>
        <v>THINNER PU</v>
      </c>
      <c r="BM250" t="str">
        <f>VLOOKUP(W250,[1]branch!$A:$B,2,0)</f>
        <v>INDUSTRY</v>
      </c>
    </row>
    <row r="251" spans="1:65" x14ac:dyDescent="0.35">
      <c r="A251" s="10">
        <v>45994</v>
      </c>
      <c r="B251" s="9" t="s">
        <v>1163</v>
      </c>
      <c r="C251" s="9" t="s">
        <v>64</v>
      </c>
      <c r="D251" s="9" t="s">
        <v>92</v>
      </c>
      <c r="E251" s="11">
        <v>30</v>
      </c>
      <c r="F251" s="9" t="s">
        <v>93</v>
      </c>
      <c r="G251" s="9" t="s">
        <v>65</v>
      </c>
      <c r="H251" s="9" t="s">
        <v>66</v>
      </c>
      <c r="I251" s="9">
        <v>11</v>
      </c>
      <c r="J251" s="9" t="s">
        <v>749</v>
      </c>
      <c r="K251" s="9" t="s">
        <v>749</v>
      </c>
      <c r="L251" s="9" t="s">
        <v>749</v>
      </c>
      <c r="M251" s="9" t="s">
        <v>750</v>
      </c>
      <c r="N251" s="9" t="s">
        <v>906</v>
      </c>
      <c r="O251" s="9" t="s">
        <v>97</v>
      </c>
      <c r="P251" s="9" t="s">
        <v>67</v>
      </c>
      <c r="Q251" s="9" t="s">
        <v>98</v>
      </c>
      <c r="R251" s="9" t="s">
        <v>927</v>
      </c>
      <c r="S251" s="9" t="s">
        <v>750</v>
      </c>
      <c r="T251" s="9" t="s">
        <v>928</v>
      </c>
      <c r="U251" s="9" t="s">
        <v>67</v>
      </c>
      <c r="V251" s="9" t="s">
        <v>146</v>
      </c>
      <c r="W251" s="9" t="s">
        <v>147</v>
      </c>
      <c r="X251" s="11">
        <v>10</v>
      </c>
      <c r="Y251" s="9" t="s">
        <v>80</v>
      </c>
      <c r="Z251" s="9" t="s">
        <v>68</v>
      </c>
      <c r="AA251" s="9" t="s">
        <v>81</v>
      </c>
      <c r="AB251" s="9" t="s">
        <v>67</v>
      </c>
      <c r="AC251" s="9" t="s">
        <v>82</v>
      </c>
      <c r="AD251" s="11">
        <v>2</v>
      </c>
      <c r="AE251" s="9" t="s">
        <v>70</v>
      </c>
      <c r="AF251" s="9" t="s">
        <v>71</v>
      </c>
      <c r="AG251" s="13">
        <v>1</v>
      </c>
      <c r="AH251" s="9" t="s">
        <v>92</v>
      </c>
      <c r="AI251" s="13">
        <v>707200</v>
      </c>
      <c r="AJ251" s="13">
        <v>1414400</v>
      </c>
      <c r="AK251" s="11">
        <v>0</v>
      </c>
      <c r="AL251" s="11">
        <v>0</v>
      </c>
      <c r="AM251" s="11">
        <v>0</v>
      </c>
      <c r="AN251" s="9" t="s">
        <v>67</v>
      </c>
      <c r="AO251" s="11">
        <v>1414400</v>
      </c>
      <c r="AP251" s="13">
        <v>113152</v>
      </c>
      <c r="AQ251" s="13">
        <v>1527552</v>
      </c>
      <c r="AR251" s="11">
        <v>8</v>
      </c>
      <c r="AS251" s="9" t="s">
        <v>72</v>
      </c>
      <c r="AT251" s="12">
        <v>9.52</v>
      </c>
      <c r="AU251" s="9" t="s">
        <v>73</v>
      </c>
      <c r="AV251" s="9" t="s">
        <v>67</v>
      </c>
      <c r="AW251" s="9" t="s">
        <v>1164</v>
      </c>
      <c r="AX251" s="10">
        <v>45993</v>
      </c>
      <c r="AY251" s="9" t="s">
        <v>1165</v>
      </c>
      <c r="AZ251" s="9" t="s">
        <v>67</v>
      </c>
      <c r="BA251" s="9" t="s">
        <v>67</v>
      </c>
      <c r="BB251" s="12">
        <v>8</v>
      </c>
      <c r="BC251" s="9" t="s">
        <v>74</v>
      </c>
      <c r="BD251" s="9" t="s">
        <v>104</v>
      </c>
      <c r="BE251" s="9" t="s">
        <v>75</v>
      </c>
      <c r="BF251" s="11">
        <v>0</v>
      </c>
      <c r="BG251">
        <f t="shared" si="8"/>
        <v>12</v>
      </c>
      <c r="BH251" t="str">
        <f>VLOOKUP(BG251,[1]month!$A:$B,2,0)</f>
        <v>Desember</v>
      </c>
      <c r="BI251">
        <f t="shared" si="9"/>
        <v>2025</v>
      </c>
      <c r="BJ251" t="str">
        <f>VLOOKUP(I251,[1]Dist!$A:$B,2,0)</f>
        <v>Industry</v>
      </c>
      <c r="BK251" t="str">
        <f>IF(I251=11,VLOOKUP(Y251,[2]Sheet1!$C:$N,10,0),IF(I251=13,VLOOKUP(Y251,[3]Sheet1!$C:$N,10,0),IF(I251=15,VLOOKUP(Y251,[4]Sheet1!$C:$N,10,0),"Unknown")))</f>
        <v>STAIN &amp; GLAZE INTERIOR</v>
      </c>
      <c r="BL251" t="str">
        <f>IF(I251=11,VLOOKUP(Y251,[2]Sheet1!$C:$N,12,0),IF(I251=13,VLOOKUP(Y251,[3]Sheet1!$C:$N,12,0),IF(I251=15,VLOOKUP(Y251,[4]Sheet1!$C:$N,12,0),"Unknown")))</f>
        <v>STAIN INTERIOR</v>
      </c>
      <c r="BM251" t="str">
        <f>VLOOKUP(W251,[1]branch!$A:$B,2,0)</f>
        <v>INDUSTRY</v>
      </c>
    </row>
    <row r="252" spans="1:65" x14ac:dyDescent="0.35">
      <c r="A252" s="10">
        <v>45994</v>
      </c>
      <c r="B252" s="9" t="s">
        <v>1163</v>
      </c>
      <c r="C252" s="9" t="s">
        <v>64</v>
      </c>
      <c r="D252" s="9" t="s">
        <v>92</v>
      </c>
      <c r="E252" s="11">
        <v>30</v>
      </c>
      <c r="F252" s="9" t="s">
        <v>93</v>
      </c>
      <c r="G252" s="9" t="s">
        <v>65</v>
      </c>
      <c r="H252" s="9" t="s">
        <v>66</v>
      </c>
      <c r="I252" s="9">
        <v>11</v>
      </c>
      <c r="J252" s="9" t="s">
        <v>749</v>
      </c>
      <c r="K252" s="9" t="s">
        <v>749</v>
      </c>
      <c r="L252" s="9" t="s">
        <v>749</v>
      </c>
      <c r="M252" s="9" t="s">
        <v>750</v>
      </c>
      <c r="N252" s="9" t="s">
        <v>906</v>
      </c>
      <c r="O252" s="9" t="s">
        <v>97</v>
      </c>
      <c r="P252" s="9" t="s">
        <v>67</v>
      </c>
      <c r="Q252" s="9" t="s">
        <v>98</v>
      </c>
      <c r="R252" s="9" t="s">
        <v>927</v>
      </c>
      <c r="S252" s="9" t="s">
        <v>750</v>
      </c>
      <c r="T252" s="9" t="s">
        <v>928</v>
      </c>
      <c r="U252" s="9" t="s">
        <v>67</v>
      </c>
      <c r="V252" s="9" t="s">
        <v>146</v>
      </c>
      <c r="W252" s="9" t="s">
        <v>147</v>
      </c>
      <c r="X252" s="11">
        <v>20</v>
      </c>
      <c r="Y252" s="9" t="s">
        <v>83</v>
      </c>
      <c r="Z252" s="9" t="s">
        <v>68</v>
      </c>
      <c r="AA252" s="9" t="s">
        <v>84</v>
      </c>
      <c r="AB252" s="9" t="s">
        <v>67</v>
      </c>
      <c r="AC252" s="9" t="s">
        <v>82</v>
      </c>
      <c r="AD252" s="11">
        <v>2</v>
      </c>
      <c r="AE252" s="9" t="s">
        <v>70</v>
      </c>
      <c r="AF252" s="9" t="s">
        <v>71</v>
      </c>
      <c r="AG252" s="13">
        <v>1</v>
      </c>
      <c r="AH252" s="9" t="s">
        <v>92</v>
      </c>
      <c r="AI252" s="13">
        <v>1012000</v>
      </c>
      <c r="AJ252" s="13">
        <v>2024000</v>
      </c>
      <c r="AK252" s="11">
        <v>0</v>
      </c>
      <c r="AL252" s="11">
        <v>0</v>
      </c>
      <c r="AM252" s="11">
        <v>0</v>
      </c>
      <c r="AN252" s="9" t="s">
        <v>67</v>
      </c>
      <c r="AO252" s="11">
        <v>2024000</v>
      </c>
      <c r="AP252" s="13">
        <v>161920</v>
      </c>
      <c r="AQ252" s="13">
        <v>2185920</v>
      </c>
      <c r="AR252" s="11">
        <v>8</v>
      </c>
      <c r="AS252" s="9" t="s">
        <v>72</v>
      </c>
      <c r="AT252" s="12">
        <v>9.42</v>
      </c>
      <c r="AU252" s="9" t="s">
        <v>73</v>
      </c>
      <c r="AV252" s="9" t="s">
        <v>67</v>
      </c>
      <c r="AW252" s="9" t="s">
        <v>1164</v>
      </c>
      <c r="AX252" s="10">
        <v>45993</v>
      </c>
      <c r="AY252" s="9" t="s">
        <v>1165</v>
      </c>
      <c r="AZ252" s="9" t="s">
        <v>67</v>
      </c>
      <c r="BA252" s="9" t="s">
        <v>67</v>
      </c>
      <c r="BB252" s="12">
        <v>8</v>
      </c>
      <c r="BC252" s="9" t="s">
        <v>74</v>
      </c>
      <c r="BD252" s="9" t="s">
        <v>104</v>
      </c>
      <c r="BE252" s="9" t="s">
        <v>75</v>
      </c>
      <c r="BF252" s="11">
        <v>0</v>
      </c>
      <c r="BG252">
        <f t="shared" si="8"/>
        <v>12</v>
      </c>
      <c r="BH252" t="str">
        <f>VLOOKUP(BG252,[1]month!$A:$B,2,0)</f>
        <v>Desember</v>
      </c>
      <c r="BI252">
        <f t="shared" si="9"/>
        <v>2025</v>
      </c>
      <c r="BJ252" t="str">
        <f>VLOOKUP(I252,[1]Dist!$A:$B,2,0)</f>
        <v>Industry</v>
      </c>
      <c r="BK252" t="str">
        <f>IF(I252=11,VLOOKUP(Y252,[2]Sheet1!$C:$N,10,0),IF(I252=13,VLOOKUP(Y252,[3]Sheet1!$C:$N,10,0),IF(I252=15,VLOOKUP(Y252,[4]Sheet1!$C:$N,10,0),"Unknown")))</f>
        <v>STAIN &amp; GLAZE INTERIOR</v>
      </c>
      <c r="BL252" t="str">
        <f>IF(I252=11,VLOOKUP(Y252,[2]Sheet1!$C:$N,12,0),IF(I252=13,VLOOKUP(Y252,[3]Sheet1!$C:$N,12,0),IF(I252=15,VLOOKUP(Y252,[4]Sheet1!$C:$N,12,0),"Unknown")))</f>
        <v>STAIN INTERIOR</v>
      </c>
      <c r="BM252" t="str">
        <f>VLOOKUP(W252,[1]branch!$A:$B,2,0)</f>
        <v>INDUSTRY</v>
      </c>
    </row>
    <row r="253" spans="1:65" x14ac:dyDescent="0.35">
      <c r="A253" s="10">
        <v>45994</v>
      </c>
      <c r="B253" s="9" t="s">
        <v>1163</v>
      </c>
      <c r="C253" s="9" t="s">
        <v>64</v>
      </c>
      <c r="D253" s="9" t="s">
        <v>92</v>
      </c>
      <c r="E253" s="11">
        <v>30</v>
      </c>
      <c r="F253" s="9" t="s">
        <v>93</v>
      </c>
      <c r="G253" s="9" t="s">
        <v>65</v>
      </c>
      <c r="H253" s="9" t="s">
        <v>66</v>
      </c>
      <c r="I253" s="9">
        <v>11</v>
      </c>
      <c r="J253" s="9" t="s">
        <v>749</v>
      </c>
      <c r="K253" s="9" t="s">
        <v>749</v>
      </c>
      <c r="L253" s="9" t="s">
        <v>749</v>
      </c>
      <c r="M253" s="9" t="s">
        <v>750</v>
      </c>
      <c r="N253" s="9" t="s">
        <v>906</v>
      </c>
      <c r="O253" s="9" t="s">
        <v>97</v>
      </c>
      <c r="P253" s="9" t="s">
        <v>67</v>
      </c>
      <c r="Q253" s="9" t="s">
        <v>98</v>
      </c>
      <c r="R253" s="9" t="s">
        <v>927</v>
      </c>
      <c r="S253" s="9" t="s">
        <v>750</v>
      </c>
      <c r="T253" s="9" t="s">
        <v>928</v>
      </c>
      <c r="U253" s="9" t="s">
        <v>67</v>
      </c>
      <c r="V253" s="9" t="s">
        <v>146</v>
      </c>
      <c r="W253" s="9" t="s">
        <v>147</v>
      </c>
      <c r="X253" s="11">
        <v>30</v>
      </c>
      <c r="Y253" s="9" t="s">
        <v>85</v>
      </c>
      <c r="Z253" s="9" t="s">
        <v>68</v>
      </c>
      <c r="AA253" s="9" t="s">
        <v>86</v>
      </c>
      <c r="AB253" s="9" t="s">
        <v>67</v>
      </c>
      <c r="AC253" s="9" t="s">
        <v>82</v>
      </c>
      <c r="AD253" s="11">
        <v>2</v>
      </c>
      <c r="AE253" s="9" t="s">
        <v>70</v>
      </c>
      <c r="AF253" s="9" t="s">
        <v>71</v>
      </c>
      <c r="AG253" s="13">
        <v>1</v>
      </c>
      <c r="AH253" s="9" t="s">
        <v>92</v>
      </c>
      <c r="AI253" s="13">
        <v>784800</v>
      </c>
      <c r="AJ253" s="13">
        <v>1569600</v>
      </c>
      <c r="AK253" s="11">
        <v>0</v>
      </c>
      <c r="AL253" s="11">
        <v>0</v>
      </c>
      <c r="AM253" s="11">
        <v>0</v>
      </c>
      <c r="AN253" s="9" t="s">
        <v>67</v>
      </c>
      <c r="AO253" s="11">
        <v>1569600</v>
      </c>
      <c r="AP253" s="13">
        <v>125568</v>
      </c>
      <c r="AQ253" s="13">
        <v>1695168</v>
      </c>
      <c r="AR253" s="11">
        <v>8</v>
      </c>
      <c r="AS253" s="9" t="s">
        <v>72</v>
      </c>
      <c r="AT253" s="12">
        <v>9.52</v>
      </c>
      <c r="AU253" s="9" t="s">
        <v>73</v>
      </c>
      <c r="AV253" s="9" t="s">
        <v>67</v>
      </c>
      <c r="AW253" s="9" t="s">
        <v>1164</v>
      </c>
      <c r="AX253" s="10">
        <v>45993</v>
      </c>
      <c r="AY253" s="9" t="s">
        <v>1165</v>
      </c>
      <c r="AZ253" s="9" t="s">
        <v>67</v>
      </c>
      <c r="BA253" s="9" t="s">
        <v>67</v>
      </c>
      <c r="BB253" s="12">
        <v>8</v>
      </c>
      <c r="BC253" s="9" t="s">
        <v>74</v>
      </c>
      <c r="BD253" s="9" t="s">
        <v>104</v>
      </c>
      <c r="BE253" s="9" t="s">
        <v>75</v>
      </c>
      <c r="BF253" s="11">
        <v>0</v>
      </c>
      <c r="BG253">
        <f t="shared" si="8"/>
        <v>12</v>
      </c>
      <c r="BH253" t="str">
        <f>VLOOKUP(BG253,[1]month!$A:$B,2,0)</f>
        <v>Desember</v>
      </c>
      <c r="BI253">
        <f t="shared" si="9"/>
        <v>2025</v>
      </c>
      <c r="BJ253" t="str">
        <f>VLOOKUP(I253,[1]Dist!$A:$B,2,0)</f>
        <v>Industry</v>
      </c>
      <c r="BK253" t="str">
        <f>IF(I253=11,VLOOKUP(Y253,[2]Sheet1!$C:$N,10,0),IF(I253=13,VLOOKUP(Y253,[3]Sheet1!$C:$N,10,0),IF(I253=15,VLOOKUP(Y253,[4]Sheet1!$C:$N,10,0),"Unknown")))</f>
        <v>STAIN &amp; GLAZE INTERIOR</v>
      </c>
      <c r="BL253" t="str">
        <f>IF(I253=11,VLOOKUP(Y253,[2]Sheet1!$C:$N,12,0),IF(I253=13,VLOOKUP(Y253,[3]Sheet1!$C:$N,12,0),IF(I253=15,VLOOKUP(Y253,[4]Sheet1!$C:$N,12,0),"Unknown")))</f>
        <v>STAIN INTERIOR</v>
      </c>
      <c r="BM253" t="str">
        <f>VLOOKUP(W253,[1]branch!$A:$B,2,0)</f>
        <v>INDUSTRY</v>
      </c>
    </row>
    <row r="254" spans="1:65" x14ac:dyDescent="0.35">
      <c r="A254" s="10">
        <v>45994</v>
      </c>
      <c r="B254" s="9" t="s">
        <v>1163</v>
      </c>
      <c r="C254" s="9" t="s">
        <v>64</v>
      </c>
      <c r="D254" s="9" t="s">
        <v>92</v>
      </c>
      <c r="E254" s="11">
        <v>30</v>
      </c>
      <c r="F254" s="9" t="s">
        <v>93</v>
      </c>
      <c r="G254" s="9" t="s">
        <v>65</v>
      </c>
      <c r="H254" s="9" t="s">
        <v>66</v>
      </c>
      <c r="I254" s="9">
        <v>11</v>
      </c>
      <c r="J254" s="9" t="s">
        <v>749</v>
      </c>
      <c r="K254" s="9" t="s">
        <v>749</v>
      </c>
      <c r="L254" s="9" t="s">
        <v>749</v>
      </c>
      <c r="M254" s="9" t="s">
        <v>750</v>
      </c>
      <c r="N254" s="9" t="s">
        <v>906</v>
      </c>
      <c r="O254" s="9" t="s">
        <v>97</v>
      </c>
      <c r="P254" s="9" t="s">
        <v>67</v>
      </c>
      <c r="Q254" s="9" t="s">
        <v>98</v>
      </c>
      <c r="R254" s="9" t="s">
        <v>927</v>
      </c>
      <c r="S254" s="9" t="s">
        <v>750</v>
      </c>
      <c r="T254" s="9" t="s">
        <v>928</v>
      </c>
      <c r="U254" s="9" t="s">
        <v>67</v>
      </c>
      <c r="V254" s="9" t="s">
        <v>146</v>
      </c>
      <c r="W254" s="9" t="s">
        <v>147</v>
      </c>
      <c r="X254" s="11">
        <v>40</v>
      </c>
      <c r="Y254" s="9" t="s">
        <v>118</v>
      </c>
      <c r="Z254" s="9" t="s">
        <v>68</v>
      </c>
      <c r="AA254" s="9" t="s">
        <v>119</v>
      </c>
      <c r="AB254" s="9" t="s">
        <v>67</v>
      </c>
      <c r="AC254" s="9" t="s">
        <v>120</v>
      </c>
      <c r="AD254" s="11">
        <v>3</v>
      </c>
      <c r="AE254" s="9" t="s">
        <v>70</v>
      </c>
      <c r="AF254" s="9" t="s">
        <v>71</v>
      </c>
      <c r="AG254" s="13">
        <v>1</v>
      </c>
      <c r="AH254" s="9" t="s">
        <v>92</v>
      </c>
      <c r="AI254" s="13">
        <v>8820000</v>
      </c>
      <c r="AJ254" s="13">
        <v>26460000</v>
      </c>
      <c r="AK254" s="11">
        <v>0</v>
      </c>
      <c r="AL254" s="11">
        <v>0</v>
      </c>
      <c r="AM254" s="11">
        <v>0</v>
      </c>
      <c r="AN254" s="9" t="s">
        <v>67</v>
      </c>
      <c r="AO254" s="11">
        <v>26460000</v>
      </c>
      <c r="AP254" s="13">
        <v>2116800</v>
      </c>
      <c r="AQ254" s="13">
        <v>28576800</v>
      </c>
      <c r="AR254" s="11">
        <v>555</v>
      </c>
      <c r="AS254" s="9" t="s">
        <v>72</v>
      </c>
      <c r="AT254" s="11">
        <v>600</v>
      </c>
      <c r="AU254" s="9" t="s">
        <v>73</v>
      </c>
      <c r="AV254" s="9" t="s">
        <v>67</v>
      </c>
      <c r="AW254" s="9" t="s">
        <v>1164</v>
      </c>
      <c r="AX254" s="10">
        <v>45993</v>
      </c>
      <c r="AY254" s="9" t="s">
        <v>1165</v>
      </c>
      <c r="AZ254" s="9" t="s">
        <v>67</v>
      </c>
      <c r="BA254" s="9" t="s">
        <v>67</v>
      </c>
      <c r="BB254" s="12">
        <v>600</v>
      </c>
      <c r="BC254" s="9" t="s">
        <v>74</v>
      </c>
      <c r="BD254" s="9" t="s">
        <v>104</v>
      </c>
      <c r="BE254" s="9" t="s">
        <v>75</v>
      </c>
      <c r="BF254" s="11">
        <v>0</v>
      </c>
      <c r="BG254">
        <f t="shared" si="8"/>
        <v>12</v>
      </c>
      <c r="BH254" t="str">
        <f>VLOOKUP(BG254,[1]month!$A:$B,2,0)</f>
        <v>Desember</v>
      </c>
      <c r="BI254">
        <f t="shared" si="9"/>
        <v>2025</v>
      </c>
      <c r="BJ254" t="str">
        <f>VLOOKUP(I254,[1]Dist!$A:$B,2,0)</f>
        <v>Industry</v>
      </c>
      <c r="BK254" t="str">
        <f>IF(I254=11,VLOOKUP(Y254,[2]Sheet1!$C:$N,10,0),IF(I254=13,VLOOKUP(Y254,[3]Sheet1!$C:$N,10,0),IF(I254=15,VLOOKUP(Y254,[4]Sheet1!$C:$N,10,0),"Unknown")))</f>
        <v>THINNER PU</v>
      </c>
      <c r="BL254" t="str">
        <f>IF(I254=11,VLOOKUP(Y254,[2]Sheet1!$C:$N,12,0),IF(I254=13,VLOOKUP(Y254,[3]Sheet1!$C:$N,12,0),IF(I254=15,VLOOKUP(Y254,[4]Sheet1!$C:$N,12,0),"Unknown")))</f>
        <v>THINNER PU</v>
      </c>
      <c r="BM254" t="str">
        <f>VLOOKUP(W254,[1]branch!$A:$B,2,0)</f>
        <v>INDUSTRY</v>
      </c>
    </row>
    <row r="255" spans="1:65" x14ac:dyDescent="0.35">
      <c r="A255" s="10">
        <v>45994</v>
      </c>
      <c r="B255" s="9" t="s">
        <v>1163</v>
      </c>
      <c r="C255" s="9" t="s">
        <v>64</v>
      </c>
      <c r="D255" s="9" t="s">
        <v>92</v>
      </c>
      <c r="E255" s="11">
        <v>30</v>
      </c>
      <c r="F255" s="9" t="s">
        <v>93</v>
      </c>
      <c r="G255" s="9" t="s">
        <v>65</v>
      </c>
      <c r="H255" s="9" t="s">
        <v>66</v>
      </c>
      <c r="I255" s="9">
        <v>11</v>
      </c>
      <c r="J255" s="9" t="s">
        <v>749</v>
      </c>
      <c r="K255" s="9" t="s">
        <v>749</v>
      </c>
      <c r="L255" s="9" t="s">
        <v>749</v>
      </c>
      <c r="M255" s="9" t="s">
        <v>750</v>
      </c>
      <c r="N255" s="9" t="s">
        <v>906</v>
      </c>
      <c r="O255" s="9" t="s">
        <v>97</v>
      </c>
      <c r="P255" s="9" t="s">
        <v>67</v>
      </c>
      <c r="Q255" s="9" t="s">
        <v>98</v>
      </c>
      <c r="R255" s="9" t="s">
        <v>927</v>
      </c>
      <c r="S255" s="9" t="s">
        <v>750</v>
      </c>
      <c r="T255" s="9" t="s">
        <v>928</v>
      </c>
      <c r="U255" s="9" t="s">
        <v>67</v>
      </c>
      <c r="V255" s="9" t="s">
        <v>146</v>
      </c>
      <c r="W255" s="9" t="s">
        <v>147</v>
      </c>
      <c r="X255" s="11">
        <v>50</v>
      </c>
      <c r="Y255" s="9" t="s">
        <v>196</v>
      </c>
      <c r="Z255" s="9" t="s">
        <v>68</v>
      </c>
      <c r="AA255" s="9" t="s">
        <v>197</v>
      </c>
      <c r="AB255" s="9" t="s">
        <v>67</v>
      </c>
      <c r="AC255" s="9" t="s">
        <v>103</v>
      </c>
      <c r="AD255" s="11">
        <v>4</v>
      </c>
      <c r="AE255" s="9" t="s">
        <v>70</v>
      </c>
      <c r="AF255" s="9" t="s">
        <v>71</v>
      </c>
      <c r="AG255" s="13">
        <v>1</v>
      </c>
      <c r="AH255" s="9" t="s">
        <v>92</v>
      </c>
      <c r="AI255" s="13">
        <v>1726000</v>
      </c>
      <c r="AJ255" s="13">
        <v>6904000</v>
      </c>
      <c r="AK255" s="11">
        <v>0</v>
      </c>
      <c r="AL255" s="11">
        <v>0</v>
      </c>
      <c r="AM255" s="11">
        <v>0</v>
      </c>
      <c r="AN255" s="9" t="s">
        <v>67</v>
      </c>
      <c r="AO255" s="11">
        <v>6904000</v>
      </c>
      <c r="AP255" s="13">
        <v>552320</v>
      </c>
      <c r="AQ255" s="13">
        <v>7456320</v>
      </c>
      <c r="AR255" s="11">
        <v>80</v>
      </c>
      <c r="AS255" s="9" t="s">
        <v>72</v>
      </c>
      <c r="AT255" s="12">
        <v>79.2</v>
      </c>
      <c r="AU255" s="9" t="s">
        <v>73</v>
      </c>
      <c r="AV255" s="9" t="s">
        <v>67</v>
      </c>
      <c r="AW255" s="9" t="s">
        <v>1164</v>
      </c>
      <c r="AX255" s="10">
        <v>45993</v>
      </c>
      <c r="AY255" s="9" t="s">
        <v>1165</v>
      </c>
      <c r="AZ255" s="9" t="s">
        <v>67</v>
      </c>
      <c r="BA255" s="9" t="s">
        <v>67</v>
      </c>
      <c r="BB255" s="12">
        <v>80</v>
      </c>
      <c r="BC255" s="9" t="s">
        <v>74</v>
      </c>
      <c r="BD255" s="9" t="s">
        <v>104</v>
      </c>
      <c r="BE255" s="9" t="s">
        <v>75</v>
      </c>
      <c r="BF255" s="11">
        <v>0</v>
      </c>
      <c r="BG255">
        <f t="shared" si="8"/>
        <v>12</v>
      </c>
      <c r="BH255" t="str">
        <f>VLOOKUP(BG255,[1]month!$A:$B,2,0)</f>
        <v>Desember</v>
      </c>
      <c r="BI255">
        <f t="shared" si="9"/>
        <v>2025</v>
      </c>
      <c r="BJ255" t="str">
        <f>VLOOKUP(I255,[1]Dist!$A:$B,2,0)</f>
        <v>Industry</v>
      </c>
      <c r="BK255" t="str">
        <f>IF(I255=11,VLOOKUP(Y255,[2]Sheet1!$C:$N,10,0),IF(I255=13,VLOOKUP(Y255,[3]Sheet1!$C:$N,10,0),IF(I255=15,VLOOKUP(Y255,[4]Sheet1!$C:$N,10,0),"Unknown")))</f>
        <v>PU</v>
      </c>
      <c r="BL255" t="str">
        <f>IF(I255=11,VLOOKUP(Y255,[2]Sheet1!$C:$N,12,0),IF(I255=13,VLOOKUP(Y255,[3]Sheet1!$C:$N,12,0),IF(I255=15,VLOOKUP(Y255,[4]Sheet1!$C:$N,12,0),"Unknown")))</f>
        <v>PU SANDING SEALER</v>
      </c>
      <c r="BM255" t="str">
        <f>VLOOKUP(W255,[1]branch!$A:$B,2,0)</f>
        <v>INDUSTRY</v>
      </c>
    </row>
    <row r="256" spans="1:65" x14ac:dyDescent="0.35">
      <c r="A256" s="10">
        <v>45994</v>
      </c>
      <c r="B256" s="9" t="s">
        <v>1163</v>
      </c>
      <c r="C256" s="9" t="s">
        <v>64</v>
      </c>
      <c r="D256" s="9" t="s">
        <v>92</v>
      </c>
      <c r="E256" s="11">
        <v>30</v>
      </c>
      <c r="F256" s="9" t="s">
        <v>93</v>
      </c>
      <c r="G256" s="9" t="s">
        <v>65</v>
      </c>
      <c r="H256" s="9" t="s">
        <v>66</v>
      </c>
      <c r="I256" s="9">
        <v>11</v>
      </c>
      <c r="J256" s="9" t="s">
        <v>749</v>
      </c>
      <c r="K256" s="9" t="s">
        <v>749</v>
      </c>
      <c r="L256" s="9" t="s">
        <v>749</v>
      </c>
      <c r="M256" s="9" t="s">
        <v>750</v>
      </c>
      <c r="N256" s="9" t="s">
        <v>906</v>
      </c>
      <c r="O256" s="9" t="s">
        <v>97</v>
      </c>
      <c r="P256" s="9" t="s">
        <v>67</v>
      </c>
      <c r="Q256" s="9" t="s">
        <v>98</v>
      </c>
      <c r="R256" s="9" t="s">
        <v>927</v>
      </c>
      <c r="S256" s="9" t="s">
        <v>750</v>
      </c>
      <c r="T256" s="9" t="s">
        <v>928</v>
      </c>
      <c r="U256" s="9" t="s">
        <v>67</v>
      </c>
      <c r="V256" s="9" t="s">
        <v>146</v>
      </c>
      <c r="W256" s="9" t="s">
        <v>147</v>
      </c>
      <c r="X256" s="11">
        <v>60</v>
      </c>
      <c r="Y256" s="9" t="s">
        <v>105</v>
      </c>
      <c r="Z256" s="9" t="s">
        <v>68</v>
      </c>
      <c r="AA256" s="9" t="s">
        <v>106</v>
      </c>
      <c r="AB256" s="9" t="s">
        <v>67</v>
      </c>
      <c r="AC256" s="9" t="s">
        <v>107</v>
      </c>
      <c r="AD256" s="11">
        <v>2</v>
      </c>
      <c r="AE256" s="9" t="s">
        <v>70</v>
      </c>
      <c r="AF256" s="9" t="s">
        <v>71</v>
      </c>
      <c r="AG256" s="13">
        <v>1</v>
      </c>
      <c r="AH256" s="9" t="s">
        <v>92</v>
      </c>
      <c r="AI256" s="13">
        <v>1928000</v>
      </c>
      <c r="AJ256" s="13">
        <v>3856000</v>
      </c>
      <c r="AK256" s="11">
        <v>0</v>
      </c>
      <c r="AL256" s="11">
        <v>0</v>
      </c>
      <c r="AM256" s="11">
        <v>0</v>
      </c>
      <c r="AN256" s="9" t="s">
        <v>67</v>
      </c>
      <c r="AO256" s="11">
        <v>3856000</v>
      </c>
      <c r="AP256" s="13">
        <v>308480</v>
      </c>
      <c r="AQ256" s="13">
        <v>4164480</v>
      </c>
      <c r="AR256" s="11">
        <v>40</v>
      </c>
      <c r="AS256" s="9" t="s">
        <v>72</v>
      </c>
      <c r="AT256" s="12">
        <v>42.56</v>
      </c>
      <c r="AU256" s="9" t="s">
        <v>73</v>
      </c>
      <c r="AV256" s="9" t="s">
        <v>67</v>
      </c>
      <c r="AW256" s="9" t="s">
        <v>1164</v>
      </c>
      <c r="AX256" s="10">
        <v>45993</v>
      </c>
      <c r="AY256" s="9" t="s">
        <v>1165</v>
      </c>
      <c r="AZ256" s="9" t="s">
        <v>67</v>
      </c>
      <c r="BA256" s="9" t="s">
        <v>67</v>
      </c>
      <c r="BB256" s="12">
        <v>40</v>
      </c>
      <c r="BC256" s="9" t="s">
        <v>74</v>
      </c>
      <c r="BD256" s="9" t="s">
        <v>104</v>
      </c>
      <c r="BE256" s="9" t="s">
        <v>75</v>
      </c>
      <c r="BF256" s="11">
        <v>0</v>
      </c>
      <c r="BG256">
        <f t="shared" si="8"/>
        <v>12</v>
      </c>
      <c r="BH256" t="str">
        <f>VLOOKUP(BG256,[1]month!$A:$B,2,0)</f>
        <v>Desember</v>
      </c>
      <c r="BI256">
        <f t="shared" si="9"/>
        <v>2025</v>
      </c>
      <c r="BJ256" t="str">
        <f>VLOOKUP(I256,[1]Dist!$A:$B,2,0)</f>
        <v>Industry</v>
      </c>
      <c r="BK256" t="str">
        <f>IF(I256=11,VLOOKUP(Y256,[2]Sheet1!$C:$N,10,0),IF(I256=13,VLOOKUP(Y256,[3]Sheet1!$C:$N,10,0),IF(I256=15,VLOOKUP(Y256,[4]Sheet1!$C:$N,10,0),"Unknown")))</f>
        <v>PU</v>
      </c>
      <c r="BL256" t="str">
        <f>IF(I256=11,VLOOKUP(Y256,[2]Sheet1!$C:$N,12,0),IF(I256=13,VLOOKUP(Y256,[3]Sheet1!$C:$N,12,0),IF(I256=15,VLOOKUP(Y256,[4]Sheet1!$C:$N,12,0),"Unknown")))</f>
        <v>PU HARDENER</v>
      </c>
      <c r="BM256" t="str">
        <f>VLOOKUP(W256,[1]branch!$A:$B,2,0)</f>
        <v>INDUSTRY</v>
      </c>
    </row>
    <row r="257" spans="1:65" x14ac:dyDescent="0.35">
      <c r="A257" s="10">
        <v>45994</v>
      </c>
      <c r="B257" s="9" t="s">
        <v>1163</v>
      </c>
      <c r="C257" s="9" t="s">
        <v>64</v>
      </c>
      <c r="D257" s="9" t="s">
        <v>92</v>
      </c>
      <c r="E257" s="11">
        <v>30</v>
      </c>
      <c r="F257" s="9" t="s">
        <v>93</v>
      </c>
      <c r="G257" s="9" t="s">
        <v>65</v>
      </c>
      <c r="H257" s="9" t="s">
        <v>66</v>
      </c>
      <c r="I257" s="9">
        <v>11</v>
      </c>
      <c r="J257" s="9" t="s">
        <v>749</v>
      </c>
      <c r="K257" s="9" t="s">
        <v>749</v>
      </c>
      <c r="L257" s="9" t="s">
        <v>749</v>
      </c>
      <c r="M257" s="9" t="s">
        <v>750</v>
      </c>
      <c r="N257" s="9" t="s">
        <v>906</v>
      </c>
      <c r="O257" s="9" t="s">
        <v>97</v>
      </c>
      <c r="P257" s="9" t="s">
        <v>67</v>
      </c>
      <c r="Q257" s="9" t="s">
        <v>98</v>
      </c>
      <c r="R257" s="9" t="s">
        <v>927</v>
      </c>
      <c r="S257" s="9" t="s">
        <v>750</v>
      </c>
      <c r="T257" s="9" t="s">
        <v>928</v>
      </c>
      <c r="U257" s="9" t="s">
        <v>67</v>
      </c>
      <c r="V257" s="9" t="s">
        <v>146</v>
      </c>
      <c r="W257" s="9" t="s">
        <v>147</v>
      </c>
      <c r="X257" s="11">
        <v>70</v>
      </c>
      <c r="Y257" s="9" t="s">
        <v>206</v>
      </c>
      <c r="Z257" s="9" t="s">
        <v>68</v>
      </c>
      <c r="AA257" s="9" t="s">
        <v>207</v>
      </c>
      <c r="AB257" s="9" t="s">
        <v>67</v>
      </c>
      <c r="AC257" s="9" t="s">
        <v>208</v>
      </c>
      <c r="AD257" s="11">
        <v>4</v>
      </c>
      <c r="AE257" s="9" t="s">
        <v>70</v>
      </c>
      <c r="AF257" s="9" t="s">
        <v>71</v>
      </c>
      <c r="AG257" s="13">
        <v>1</v>
      </c>
      <c r="AH257" s="9" t="s">
        <v>92</v>
      </c>
      <c r="AI257" s="13">
        <v>1738000</v>
      </c>
      <c r="AJ257" s="13">
        <v>6952000</v>
      </c>
      <c r="AK257" s="11">
        <v>0</v>
      </c>
      <c r="AL257" s="11">
        <v>0</v>
      </c>
      <c r="AM257" s="11">
        <v>0</v>
      </c>
      <c r="AN257" s="9" t="s">
        <v>67</v>
      </c>
      <c r="AO257" s="11">
        <v>6952000</v>
      </c>
      <c r="AP257" s="13">
        <v>556160</v>
      </c>
      <c r="AQ257" s="13">
        <v>7508160</v>
      </c>
      <c r="AR257" s="12">
        <v>78.400000000000006</v>
      </c>
      <c r="AS257" s="9" t="s">
        <v>72</v>
      </c>
      <c r="AT257" s="11">
        <v>80</v>
      </c>
      <c r="AU257" s="9" t="s">
        <v>73</v>
      </c>
      <c r="AV257" s="9" t="s">
        <v>67</v>
      </c>
      <c r="AW257" s="9" t="s">
        <v>1164</v>
      </c>
      <c r="AX257" s="10">
        <v>45993</v>
      </c>
      <c r="AY257" s="9" t="s">
        <v>1165</v>
      </c>
      <c r="AZ257" s="9" t="s">
        <v>67</v>
      </c>
      <c r="BA257" s="9" t="s">
        <v>67</v>
      </c>
      <c r="BB257" s="12">
        <v>80</v>
      </c>
      <c r="BC257" s="9" t="s">
        <v>74</v>
      </c>
      <c r="BD257" s="9" t="s">
        <v>104</v>
      </c>
      <c r="BE257" s="9" t="s">
        <v>75</v>
      </c>
      <c r="BF257" s="11">
        <v>0</v>
      </c>
      <c r="BG257">
        <f t="shared" si="8"/>
        <v>12</v>
      </c>
      <c r="BH257" t="str">
        <f>VLOOKUP(BG257,[1]month!$A:$B,2,0)</f>
        <v>Desember</v>
      </c>
      <c r="BI257">
        <f t="shared" si="9"/>
        <v>2025</v>
      </c>
      <c r="BJ257" t="str">
        <f>VLOOKUP(I257,[1]Dist!$A:$B,2,0)</f>
        <v>Industry</v>
      </c>
      <c r="BK257" t="str">
        <f>IF(I257=11,VLOOKUP(Y257,[2]Sheet1!$C:$N,10,0),IF(I257=13,VLOOKUP(Y257,[3]Sheet1!$C:$N,10,0),IF(I257=15,VLOOKUP(Y257,[4]Sheet1!$C:$N,10,0),"Unknown")))</f>
        <v>PU</v>
      </c>
      <c r="BL257" t="str">
        <f>IF(I257=11,VLOOKUP(Y257,[2]Sheet1!$C:$N,12,0),IF(I257=13,VLOOKUP(Y257,[3]Sheet1!$C:$N,12,0),IF(I257=15,VLOOKUP(Y257,[4]Sheet1!$C:$N,12,0),"Unknown")))</f>
        <v>PU LACQUER</v>
      </c>
      <c r="BM257" t="str">
        <f>VLOOKUP(W257,[1]branch!$A:$B,2,0)</f>
        <v>INDUSTRY</v>
      </c>
    </row>
    <row r="258" spans="1:65" x14ac:dyDescent="0.35">
      <c r="A258" s="10">
        <v>45994</v>
      </c>
      <c r="B258" s="9" t="s">
        <v>1163</v>
      </c>
      <c r="C258" s="9" t="s">
        <v>64</v>
      </c>
      <c r="D258" s="9" t="s">
        <v>92</v>
      </c>
      <c r="E258" s="11">
        <v>30</v>
      </c>
      <c r="F258" s="9" t="s">
        <v>93</v>
      </c>
      <c r="G258" s="9" t="s">
        <v>65</v>
      </c>
      <c r="H258" s="9" t="s">
        <v>66</v>
      </c>
      <c r="I258" s="9">
        <v>11</v>
      </c>
      <c r="J258" s="9" t="s">
        <v>749</v>
      </c>
      <c r="K258" s="9" t="s">
        <v>749</v>
      </c>
      <c r="L258" s="9" t="s">
        <v>749</v>
      </c>
      <c r="M258" s="9" t="s">
        <v>750</v>
      </c>
      <c r="N258" s="9" t="s">
        <v>906</v>
      </c>
      <c r="O258" s="9" t="s">
        <v>97</v>
      </c>
      <c r="P258" s="9" t="s">
        <v>67</v>
      </c>
      <c r="Q258" s="9" t="s">
        <v>98</v>
      </c>
      <c r="R258" s="9" t="s">
        <v>927</v>
      </c>
      <c r="S258" s="9" t="s">
        <v>750</v>
      </c>
      <c r="T258" s="9" t="s">
        <v>928</v>
      </c>
      <c r="U258" s="9" t="s">
        <v>67</v>
      </c>
      <c r="V258" s="9" t="s">
        <v>146</v>
      </c>
      <c r="W258" s="9" t="s">
        <v>147</v>
      </c>
      <c r="X258" s="11">
        <v>80</v>
      </c>
      <c r="Y258" s="9" t="s">
        <v>458</v>
      </c>
      <c r="Z258" s="9" t="s">
        <v>68</v>
      </c>
      <c r="AA258" s="9" t="s">
        <v>459</v>
      </c>
      <c r="AB258" s="9" t="s">
        <v>67</v>
      </c>
      <c r="AC258" s="9" t="s">
        <v>272</v>
      </c>
      <c r="AD258" s="11">
        <v>1</v>
      </c>
      <c r="AE258" s="9" t="s">
        <v>70</v>
      </c>
      <c r="AF258" s="9" t="s">
        <v>71</v>
      </c>
      <c r="AG258" s="13">
        <v>1</v>
      </c>
      <c r="AH258" s="9" t="s">
        <v>92</v>
      </c>
      <c r="AI258" s="13">
        <v>1992000</v>
      </c>
      <c r="AJ258" s="13">
        <v>1992000</v>
      </c>
      <c r="AK258" s="11">
        <v>0</v>
      </c>
      <c r="AL258" s="11">
        <v>0</v>
      </c>
      <c r="AM258" s="11">
        <v>0</v>
      </c>
      <c r="AN258" s="9" t="s">
        <v>67</v>
      </c>
      <c r="AO258" s="11">
        <v>1992000</v>
      </c>
      <c r="AP258" s="13">
        <v>159360</v>
      </c>
      <c r="AQ258" s="13">
        <v>2151360</v>
      </c>
      <c r="AR258" s="11">
        <v>20</v>
      </c>
      <c r="AS258" s="9" t="s">
        <v>72</v>
      </c>
      <c r="AT258" s="12">
        <v>20.62</v>
      </c>
      <c r="AU258" s="9" t="s">
        <v>73</v>
      </c>
      <c r="AV258" s="9" t="s">
        <v>67</v>
      </c>
      <c r="AW258" s="9" t="s">
        <v>1164</v>
      </c>
      <c r="AX258" s="10">
        <v>45993</v>
      </c>
      <c r="AY258" s="9" t="s">
        <v>1165</v>
      </c>
      <c r="AZ258" s="9" t="s">
        <v>67</v>
      </c>
      <c r="BA258" s="9" t="s">
        <v>67</v>
      </c>
      <c r="BB258" s="12">
        <v>20</v>
      </c>
      <c r="BC258" s="9" t="s">
        <v>74</v>
      </c>
      <c r="BD258" s="9" t="s">
        <v>104</v>
      </c>
      <c r="BE258" s="9" t="s">
        <v>75</v>
      </c>
      <c r="BF258" s="11">
        <v>0</v>
      </c>
      <c r="BG258">
        <f t="shared" si="8"/>
        <v>12</v>
      </c>
      <c r="BH258" t="str">
        <f>VLOOKUP(BG258,[1]month!$A:$B,2,0)</f>
        <v>Desember</v>
      </c>
      <c r="BI258">
        <f t="shared" si="9"/>
        <v>2025</v>
      </c>
      <c r="BJ258" t="str">
        <f>VLOOKUP(I258,[1]Dist!$A:$B,2,0)</f>
        <v>Industry</v>
      </c>
      <c r="BK258" t="str">
        <f>IF(I258=11,VLOOKUP(Y258,[2]Sheet1!$C:$N,10,0),IF(I258=13,VLOOKUP(Y258,[3]Sheet1!$C:$N,10,0),IF(I258=15,VLOOKUP(Y258,[4]Sheet1!$C:$N,10,0),"Unknown")))</f>
        <v>PU</v>
      </c>
      <c r="BL258" t="str">
        <f>IF(I258=11,VLOOKUP(Y258,[2]Sheet1!$C:$N,12,0),IF(I258=13,VLOOKUP(Y258,[3]Sheet1!$C:$N,12,0),IF(I258=15,VLOOKUP(Y258,[4]Sheet1!$C:$N,12,0),"Unknown")))</f>
        <v>PU HARDENER</v>
      </c>
      <c r="BM258" t="str">
        <f>VLOOKUP(W258,[1]branch!$A:$B,2,0)</f>
        <v>INDUSTRY</v>
      </c>
    </row>
    <row r="259" spans="1:65" x14ac:dyDescent="0.35">
      <c r="A259" s="10">
        <v>45994</v>
      </c>
      <c r="B259" s="9" t="s">
        <v>1163</v>
      </c>
      <c r="C259" s="9" t="s">
        <v>64</v>
      </c>
      <c r="D259" s="9" t="s">
        <v>92</v>
      </c>
      <c r="E259" s="11">
        <v>30</v>
      </c>
      <c r="F259" s="9" t="s">
        <v>93</v>
      </c>
      <c r="G259" s="9" t="s">
        <v>65</v>
      </c>
      <c r="H259" s="9" t="s">
        <v>66</v>
      </c>
      <c r="I259" s="9">
        <v>11</v>
      </c>
      <c r="J259" s="9" t="s">
        <v>749</v>
      </c>
      <c r="K259" s="9" t="s">
        <v>749</v>
      </c>
      <c r="L259" s="9" t="s">
        <v>749</v>
      </c>
      <c r="M259" s="9" t="s">
        <v>750</v>
      </c>
      <c r="N259" s="9" t="s">
        <v>906</v>
      </c>
      <c r="O259" s="9" t="s">
        <v>97</v>
      </c>
      <c r="P259" s="9" t="s">
        <v>67</v>
      </c>
      <c r="Q259" s="9" t="s">
        <v>98</v>
      </c>
      <c r="R259" s="9" t="s">
        <v>927</v>
      </c>
      <c r="S259" s="9" t="s">
        <v>750</v>
      </c>
      <c r="T259" s="9" t="s">
        <v>928</v>
      </c>
      <c r="U259" s="9" t="s">
        <v>67</v>
      </c>
      <c r="V259" s="9" t="s">
        <v>146</v>
      </c>
      <c r="W259" s="9" t="s">
        <v>147</v>
      </c>
      <c r="X259" s="11">
        <v>90</v>
      </c>
      <c r="Y259" s="9" t="s">
        <v>211</v>
      </c>
      <c r="Z259" s="9" t="s">
        <v>68</v>
      </c>
      <c r="AA259" s="9" t="s">
        <v>212</v>
      </c>
      <c r="AB259" s="9" t="s">
        <v>67</v>
      </c>
      <c r="AC259" s="9" t="s">
        <v>139</v>
      </c>
      <c r="AD259" s="11">
        <v>3</v>
      </c>
      <c r="AE259" s="9" t="s">
        <v>70</v>
      </c>
      <c r="AF259" s="9" t="s">
        <v>71</v>
      </c>
      <c r="AG259" s="13">
        <v>1</v>
      </c>
      <c r="AH259" s="9" t="s">
        <v>92</v>
      </c>
      <c r="AI259" s="13">
        <v>1076000</v>
      </c>
      <c r="AJ259" s="13">
        <v>3228000</v>
      </c>
      <c r="AK259" s="11">
        <v>0</v>
      </c>
      <c r="AL259" s="11">
        <v>0</v>
      </c>
      <c r="AM259" s="11">
        <v>0</v>
      </c>
      <c r="AN259" s="9" t="s">
        <v>67</v>
      </c>
      <c r="AO259" s="11">
        <v>3228000</v>
      </c>
      <c r="AP259" s="13">
        <v>258240</v>
      </c>
      <c r="AQ259" s="13">
        <v>3486240</v>
      </c>
      <c r="AR259" s="12">
        <v>52.8</v>
      </c>
      <c r="AS259" s="9" t="s">
        <v>72</v>
      </c>
      <c r="AT259" s="11">
        <v>60</v>
      </c>
      <c r="AU259" s="9" t="s">
        <v>73</v>
      </c>
      <c r="AV259" s="9" t="s">
        <v>67</v>
      </c>
      <c r="AW259" s="9" t="s">
        <v>1164</v>
      </c>
      <c r="AX259" s="10">
        <v>45993</v>
      </c>
      <c r="AY259" s="9" t="s">
        <v>1165</v>
      </c>
      <c r="AZ259" s="9" t="s">
        <v>67</v>
      </c>
      <c r="BA259" s="9" t="s">
        <v>67</v>
      </c>
      <c r="BB259" s="12">
        <v>60</v>
      </c>
      <c r="BC259" s="9" t="s">
        <v>74</v>
      </c>
      <c r="BD259" s="9" t="s">
        <v>104</v>
      </c>
      <c r="BE259" s="9" t="s">
        <v>75</v>
      </c>
      <c r="BF259" s="11">
        <v>0</v>
      </c>
      <c r="BG259">
        <f t="shared" ref="BG259:BG322" si="10">MONTH(A259)</f>
        <v>12</v>
      </c>
      <c r="BH259" t="str">
        <f>VLOOKUP(BG259,[1]month!$A:$B,2,0)</f>
        <v>Desember</v>
      </c>
      <c r="BI259">
        <f t="shared" ref="BI259:BI322" si="11">YEAR(A259)</f>
        <v>2025</v>
      </c>
      <c r="BJ259" t="str">
        <f>VLOOKUP(I259,[1]Dist!$A:$B,2,0)</f>
        <v>Industry</v>
      </c>
      <c r="BK259" t="str">
        <f>IF(I259=11,VLOOKUP(Y259,[2]Sheet1!$C:$N,10,0),IF(I259=13,VLOOKUP(Y259,[3]Sheet1!$C:$N,10,0),IF(I259=15,VLOOKUP(Y259,[4]Sheet1!$C:$N,10,0),"Unknown")))</f>
        <v>THINNER NC</v>
      </c>
      <c r="BL259" t="str">
        <f>IF(I259=11,VLOOKUP(Y259,[2]Sheet1!$C:$N,12,0),IF(I259=13,VLOOKUP(Y259,[3]Sheet1!$C:$N,12,0),IF(I259=15,VLOOKUP(Y259,[4]Sheet1!$C:$N,12,0),"Unknown")))</f>
        <v>THINNER COMPLEMENTARY</v>
      </c>
      <c r="BM259" t="str">
        <f>VLOOKUP(W259,[1]branch!$A:$B,2,0)</f>
        <v>INDUSTRY</v>
      </c>
    </row>
    <row r="260" spans="1:65" x14ac:dyDescent="0.35">
      <c r="A260" s="10">
        <v>45994</v>
      </c>
      <c r="B260" s="9" t="s">
        <v>1163</v>
      </c>
      <c r="C260" s="9" t="s">
        <v>64</v>
      </c>
      <c r="D260" s="9" t="s">
        <v>92</v>
      </c>
      <c r="E260" s="11">
        <v>30</v>
      </c>
      <c r="F260" s="9" t="s">
        <v>93</v>
      </c>
      <c r="G260" s="9" t="s">
        <v>65</v>
      </c>
      <c r="H260" s="9" t="s">
        <v>66</v>
      </c>
      <c r="I260" s="9">
        <v>11</v>
      </c>
      <c r="J260" s="9" t="s">
        <v>749</v>
      </c>
      <c r="K260" s="9" t="s">
        <v>749</v>
      </c>
      <c r="L260" s="9" t="s">
        <v>749</v>
      </c>
      <c r="M260" s="9" t="s">
        <v>750</v>
      </c>
      <c r="N260" s="9" t="s">
        <v>906</v>
      </c>
      <c r="O260" s="9" t="s">
        <v>97</v>
      </c>
      <c r="P260" s="9" t="s">
        <v>67</v>
      </c>
      <c r="Q260" s="9" t="s">
        <v>98</v>
      </c>
      <c r="R260" s="9" t="s">
        <v>927</v>
      </c>
      <c r="S260" s="9" t="s">
        <v>750</v>
      </c>
      <c r="T260" s="9" t="s">
        <v>928</v>
      </c>
      <c r="U260" s="9" t="s">
        <v>67</v>
      </c>
      <c r="V260" s="9" t="s">
        <v>146</v>
      </c>
      <c r="W260" s="9" t="s">
        <v>147</v>
      </c>
      <c r="X260" s="11">
        <v>100</v>
      </c>
      <c r="Y260" s="9" t="s">
        <v>77</v>
      </c>
      <c r="Z260" s="9" t="s">
        <v>68</v>
      </c>
      <c r="AA260" s="9" t="s">
        <v>78</v>
      </c>
      <c r="AB260" s="9" t="s">
        <v>67</v>
      </c>
      <c r="AC260" s="9" t="s">
        <v>79</v>
      </c>
      <c r="AD260" s="11">
        <v>3</v>
      </c>
      <c r="AE260" s="9" t="s">
        <v>70</v>
      </c>
      <c r="AF260" s="9" t="s">
        <v>71</v>
      </c>
      <c r="AG260" s="13">
        <v>1</v>
      </c>
      <c r="AH260" s="9" t="s">
        <v>92</v>
      </c>
      <c r="AI260" s="13">
        <v>962000</v>
      </c>
      <c r="AJ260" s="13">
        <v>2886000</v>
      </c>
      <c r="AK260" s="11">
        <v>0</v>
      </c>
      <c r="AL260" s="11">
        <v>0</v>
      </c>
      <c r="AM260" s="11">
        <v>0</v>
      </c>
      <c r="AN260" s="9" t="s">
        <v>67</v>
      </c>
      <c r="AO260" s="11">
        <v>2886000</v>
      </c>
      <c r="AP260" s="13">
        <v>230880</v>
      </c>
      <c r="AQ260" s="13">
        <v>3116880</v>
      </c>
      <c r="AR260" s="11">
        <v>48</v>
      </c>
      <c r="AS260" s="9" t="s">
        <v>72</v>
      </c>
      <c r="AT260" s="11">
        <v>60</v>
      </c>
      <c r="AU260" s="9" t="s">
        <v>73</v>
      </c>
      <c r="AV260" s="9" t="s">
        <v>67</v>
      </c>
      <c r="AW260" s="9" t="s">
        <v>1164</v>
      </c>
      <c r="AX260" s="10">
        <v>45993</v>
      </c>
      <c r="AY260" s="9" t="s">
        <v>1165</v>
      </c>
      <c r="AZ260" s="9" t="s">
        <v>67</v>
      </c>
      <c r="BA260" s="9" t="s">
        <v>67</v>
      </c>
      <c r="BB260" s="12">
        <v>60</v>
      </c>
      <c r="BC260" s="9" t="s">
        <v>74</v>
      </c>
      <c r="BD260" s="9" t="s">
        <v>104</v>
      </c>
      <c r="BE260" s="9" t="s">
        <v>75</v>
      </c>
      <c r="BF260" s="11">
        <v>0</v>
      </c>
      <c r="BG260">
        <f t="shared" si="10"/>
        <v>12</v>
      </c>
      <c r="BH260" t="str">
        <f>VLOOKUP(BG260,[1]month!$A:$B,2,0)</f>
        <v>Desember</v>
      </c>
      <c r="BI260">
        <f t="shared" si="11"/>
        <v>2025</v>
      </c>
      <c r="BJ260" t="str">
        <f>VLOOKUP(I260,[1]Dist!$A:$B,2,0)</f>
        <v>Industry</v>
      </c>
      <c r="BK260" t="str">
        <f>IF(I260=11,VLOOKUP(Y260,[2]Sheet1!$C:$N,10,0),IF(I260=13,VLOOKUP(Y260,[3]Sheet1!$C:$N,10,0),IF(I260=15,VLOOKUP(Y260,[4]Sheet1!$C:$N,10,0),"Unknown")))</f>
        <v>THINNER NC</v>
      </c>
      <c r="BL260" t="str">
        <f>IF(I260=11,VLOOKUP(Y260,[2]Sheet1!$C:$N,12,0),IF(I260=13,VLOOKUP(Y260,[3]Sheet1!$C:$N,12,0),IF(I260=15,VLOOKUP(Y260,[4]Sheet1!$C:$N,12,0),"Unknown")))</f>
        <v>THINNER GLAZE</v>
      </c>
      <c r="BM260" t="str">
        <f>VLOOKUP(W260,[1]branch!$A:$B,2,0)</f>
        <v>INDUSTRY</v>
      </c>
    </row>
    <row r="261" spans="1:65" x14ac:dyDescent="0.35">
      <c r="A261" s="10">
        <v>45994</v>
      </c>
      <c r="B261" s="9" t="s">
        <v>1163</v>
      </c>
      <c r="C261" s="9" t="s">
        <v>64</v>
      </c>
      <c r="D261" s="9" t="s">
        <v>92</v>
      </c>
      <c r="E261" s="11">
        <v>30</v>
      </c>
      <c r="F261" s="9" t="s">
        <v>93</v>
      </c>
      <c r="G261" s="9" t="s">
        <v>65</v>
      </c>
      <c r="H261" s="9" t="s">
        <v>66</v>
      </c>
      <c r="I261" s="9">
        <v>11</v>
      </c>
      <c r="J261" s="9" t="s">
        <v>749</v>
      </c>
      <c r="K261" s="9" t="s">
        <v>749</v>
      </c>
      <c r="L261" s="9" t="s">
        <v>749</v>
      </c>
      <c r="M261" s="9" t="s">
        <v>750</v>
      </c>
      <c r="N261" s="9" t="s">
        <v>906</v>
      </c>
      <c r="O261" s="9" t="s">
        <v>97</v>
      </c>
      <c r="P261" s="9" t="s">
        <v>67</v>
      </c>
      <c r="Q261" s="9" t="s">
        <v>98</v>
      </c>
      <c r="R261" s="9" t="s">
        <v>927</v>
      </c>
      <c r="S261" s="9" t="s">
        <v>750</v>
      </c>
      <c r="T261" s="9" t="s">
        <v>928</v>
      </c>
      <c r="U261" s="9" t="s">
        <v>67</v>
      </c>
      <c r="V261" s="9" t="s">
        <v>146</v>
      </c>
      <c r="W261" s="9" t="s">
        <v>147</v>
      </c>
      <c r="X261" s="11">
        <v>110</v>
      </c>
      <c r="Y261" s="9" t="s">
        <v>209</v>
      </c>
      <c r="Z261" s="9" t="s">
        <v>68</v>
      </c>
      <c r="AA261" s="9" t="s">
        <v>210</v>
      </c>
      <c r="AB261" s="9" t="s">
        <v>67</v>
      </c>
      <c r="AC261" s="9" t="s">
        <v>143</v>
      </c>
      <c r="AD261" s="11">
        <v>4</v>
      </c>
      <c r="AE261" s="9" t="s">
        <v>70</v>
      </c>
      <c r="AF261" s="9" t="s">
        <v>71</v>
      </c>
      <c r="AG261" s="13">
        <v>1</v>
      </c>
      <c r="AH261" s="9" t="s">
        <v>92</v>
      </c>
      <c r="AI261" s="13">
        <v>1173200</v>
      </c>
      <c r="AJ261" s="13">
        <v>4692800</v>
      </c>
      <c r="AK261" s="11">
        <v>0</v>
      </c>
      <c r="AL261" s="11">
        <v>0</v>
      </c>
      <c r="AM261" s="11">
        <v>0</v>
      </c>
      <c r="AN261" s="9" t="s">
        <v>67</v>
      </c>
      <c r="AO261" s="11">
        <v>4692800</v>
      </c>
      <c r="AP261" s="13">
        <v>375424</v>
      </c>
      <c r="AQ261" s="13">
        <v>5068224</v>
      </c>
      <c r="AR261" s="11">
        <v>16</v>
      </c>
      <c r="AS261" s="9" t="s">
        <v>72</v>
      </c>
      <c r="AT261" s="12">
        <v>15.52</v>
      </c>
      <c r="AU261" s="9" t="s">
        <v>73</v>
      </c>
      <c r="AV261" s="9" t="s">
        <v>67</v>
      </c>
      <c r="AW261" s="9" t="s">
        <v>1164</v>
      </c>
      <c r="AX261" s="10">
        <v>45993</v>
      </c>
      <c r="AY261" s="9" t="s">
        <v>1165</v>
      </c>
      <c r="AZ261" s="9" t="s">
        <v>67</v>
      </c>
      <c r="BA261" s="9" t="s">
        <v>67</v>
      </c>
      <c r="BB261" s="12">
        <v>16</v>
      </c>
      <c r="BC261" s="9" t="s">
        <v>74</v>
      </c>
      <c r="BD261" s="9" t="s">
        <v>104</v>
      </c>
      <c r="BE261" s="9" t="s">
        <v>75</v>
      </c>
      <c r="BF261" s="11">
        <v>0</v>
      </c>
      <c r="BG261">
        <f t="shared" si="10"/>
        <v>12</v>
      </c>
      <c r="BH261" t="str">
        <f>VLOOKUP(BG261,[1]month!$A:$B,2,0)</f>
        <v>Desember</v>
      </c>
      <c r="BI261">
        <f t="shared" si="11"/>
        <v>2025</v>
      </c>
      <c r="BJ261" t="str">
        <f>VLOOKUP(I261,[1]Dist!$A:$B,2,0)</f>
        <v>Industry</v>
      </c>
      <c r="BK261" t="str">
        <f>IF(I261=11,VLOOKUP(Y261,[2]Sheet1!$C:$N,10,0),IF(I261=13,VLOOKUP(Y261,[3]Sheet1!$C:$N,10,0),IF(I261=15,VLOOKUP(Y261,[4]Sheet1!$C:$N,10,0),"Unknown")))</f>
        <v>PU</v>
      </c>
      <c r="BL261" t="str">
        <f>IF(I261=11,VLOOKUP(Y261,[2]Sheet1!$C:$N,12,0),IF(I261=13,VLOOKUP(Y261,[3]Sheet1!$C:$N,12,0),IF(I261=15,VLOOKUP(Y261,[4]Sheet1!$C:$N,12,0),"Unknown")))</f>
        <v>GLAZE PU</v>
      </c>
      <c r="BM261" t="str">
        <f>VLOOKUP(W261,[1]branch!$A:$B,2,0)</f>
        <v>INDUSTRY</v>
      </c>
    </row>
    <row r="262" spans="1:65" x14ac:dyDescent="0.35">
      <c r="A262" s="10">
        <v>45994</v>
      </c>
      <c r="B262" s="9" t="s">
        <v>1163</v>
      </c>
      <c r="C262" s="9" t="s">
        <v>64</v>
      </c>
      <c r="D262" s="9" t="s">
        <v>92</v>
      </c>
      <c r="E262" s="11">
        <v>30</v>
      </c>
      <c r="F262" s="9" t="s">
        <v>93</v>
      </c>
      <c r="G262" s="9" t="s">
        <v>65</v>
      </c>
      <c r="H262" s="9" t="s">
        <v>66</v>
      </c>
      <c r="I262" s="9">
        <v>11</v>
      </c>
      <c r="J262" s="9" t="s">
        <v>749</v>
      </c>
      <c r="K262" s="9" t="s">
        <v>749</v>
      </c>
      <c r="L262" s="9" t="s">
        <v>749</v>
      </c>
      <c r="M262" s="9" t="s">
        <v>750</v>
      </c>
      <c r="N262" s="9" t="s">
        <v>906</v>
      </c>
      <c r="O262" s="9" t="s">
        <v>97</v>
      </c>
      <c r="P262" s="9" t="s">
        <v>67</v>
      </c>
      <c r="Q262" s="9" t="s">
        <v>98</v>
      </c>
      <c r="R262" s="9" t="s">
        <v>927</v>
      </c>
      <c r="S262" s="9" t="s">
        <v>750</v>
      </c>
      <c r="T262" s="9" t="s">
        <v>928</v>
      </c>
      <c r="U262" s="9" t="s">
        <v>67</v>
      </c>
      <c r="V262" s="9" t="s">
        <v>146</v>
      </c>
      <c r="W262" s="9" t="s">
        <v>147</v>
      </c>
      <c r="X262" s="11">
        <v>120</v>
      </c>
      <c r="Y262" s="9" t="s">
        <v>255</v>
      </c>
      <c r="Z262" s="9" t="s">
        <v>68</v>
      </c>
      <c r="AA262" s="9" t="s">
        <v>256</v>
      </c>
      <c r="AB262" s="9" t="s">
        <v>67</v>
      </c>
      <c r="AC262" s="9" t="s">
        <v>139</v>
      </c>
      <c r="AD262" s="11">
        <v>1</v>
      </c>
      <c r="AE262" s="9" t="s">
        <v>70</v>
      </c>
      <c r="AF262" s="9" t="s">
        <v>71</v>
      </c>
      <c r="AG262" s="13">
        <v>1</v>
      </c>
      <c r="AH262" s="9" t="s">
        <v>92</v>
      </c>
      <c r="AI262" s="13">
        <v>820000</v>
      </c>
      <c r="AJ262" s="13">
        <v>820000</v>
      </c>
      <c r="AK262" s="11">
        <v>0</v>
      </c>
      <c r="AL262" s="11">
        <v>0</v>
      </c>
      <c r="AM262" s="11">
        <v>0</v>
      </c>
      <c r="AN262" s="9" t="s">
        <v>67</v>
      </c>
      <c r="AO262" s="11">
        <v>820000</v>
      </c>
      <c r="AP262" s="13">
        <v>65600</v>
      </c>
      <c r="AQ262" s="13">
        <v>885600</v>
      </c>
      <c r="AR262" s="11">
        <v>16</v>
      </c>
      <c r="AS262" s="9" t="s">
        <v>72</v>
      </c>
      <c r="AT262" s="11">
        <v>20</v>
      </c>
      <c r="AU262" s="9" t="s">
        <v>73</v>
      </c>
      <c r="AV262" s="9" t="s">
        <v>67</v>
      </c>
      <c r="AW262" s="9" t="s">
        <v>1164</v>
      </c>
      <c r="AX262" s="10">
        <v>45993</v>
      </c>
      <c r="AY262" s="9" t="s">
        <v>1165</v>
      </c>
      <c r="AZ262" s="9" t="s">
        <v>67</v>
      </c>
      <c r="BA262" s="9" t="s">
        <v>67</v>
      </c>
      <c r="BB262" s="12">
        <v>20</v>
      </c>
      <c r="BC262" s="9" t="s">
        <v>74</v>
      </c>
      <c r="BD262" s="9" t="s">
        <v>104</v>
      </c>
      <c r="BE262" s="9" t="s">
        <v>75</v>
      </c>
      <c r="BF262" s="11">
        <v>0</v>
      </c>
      <c r="BG262">
        <f t="shared" si="10"/>
        <v>12</v>
      </c>
      <c r="BH262" t="str">
        <f>VLOOKUP(BG262,[1]month!$A:$B,2,0)</f>
        <v>Desember</v>
      </c>
      <c r="BI262">
        <f t="shared" si="11"/>
        <v>2025</v>
      </c>
      <c r="BJ262" t="str">
        <f>VLOOKUP(I262,[1]Dist!$A:$B,2,0)</f>
        <v>Industry</v>
      </c>
      <c r="BK262" t="str">
        <f>IF(I262=11,VLOOKUP(Y262,[2]Sheet1!$C:$N,10,0),IF(I262=13,VLOOKUP(Y262,[3]Sheet1!$C:$N,10,0),IF(I262=15,VLOOKUP(Y262,[4]Sheet1!$C:$N,10,0),"Unknown")))</f>
        <v>THINNER NC</v>
      </c>
      <c r="BL262" t="str">
        <f>IF(I262=11,VLOOKUP(Y262,[2]Sheet1!$C:$N,12,0),IF(I262=13,VLOOKUP(Y262,[3]Sheet1!$C:$N,12,0),IF(I262=15,VLOOKUP(Y262,[4]Sheet1!$C:$N,12,0),"Unknown")))</f>
        <v>THINNER COMPLEMENTARY</v>
      </c>
      <c r="BM262" t="str">
        <f>VLOOKUP(W262,[1]branch!$A:$B,2,0)</f>
        <v>INDUSTRY</v>
      </c>
    </row>
    <row r="263" spans="1:65" x14ac:dyDescent="0.35">
      <c r="A263" s="10">
        <v>45994</v>
      </c>
      <c r="B263" s="9" t="s">
        <v>1166</v>
      </c>
      <c r="C263" s="9" t="s">
        <v>64</v>
      </c>
      <c r="D263" s="9" t="s">
        <v>92</v>
      </c>
      <c r="E263" s="11">
        <v>30</v>
      </c>
      <c r="F263" s="9" t="s">
        <v>93</v>
      </c>
      <c r="G263" s="9" t="s">
        <v>65</v>
      </c>
      <c r="H263" s="9" t="s">
        <v>66</v>
      </c>
      <c r="I263" s="9">
        <v>11</v>
      </c>
      <c r="J263" s="9" t="s">
        <v>523</v>
      </c>
      <c r="K263" s="9" t="s">
        <v>523</v>
      </c>
      <c r="L263" s="9" t="s">
        <v>523</v>
      </c>
      <c r="M263" s="9" t="s">
        <v>524</v>
      </c>
      <c r="N263" s="9" t="s">
        <v>903</v>
      </c>
      <c r="O263" s="9" t="s">
        <v>378</v>
      </c>
      <c r="P263" s="9" t="s">
        <v>67</v>
      </c>
      <c r="Q263" s="9" t="s">
        <v>98</v>
      </c>
      <c r="R263" s="9" t="s">
        <v>523</v>
      </c>
      <c r="S263" s="9" t="s">
        <v>524</v>
      </c>
      <c r="T263" s="9" t="s">
        <v>804</v>
      </c>
      <c r="U263" s="9" t="s">
        <v>67</v>
      </c>
      <c r="V263" s="9" t="s">
        <v>146</v>
      </c>
      <c r="W263" s="9" t="s">
        <v>147</v>
      </c>
      <c r="X263" s="11">
        <v>10</v>
      </c>
      <c r="Y263" s="9" t="s">
        <v>665</v>
      </c>
      <c r="Z263" s="9" t="s">
        <v>68</v>
      </c>
      <c r="AA263" s="9" t="s">
        <v>525</v>
      </c>
      <c r="AB263" s="9" t="s">
        <v>67</v>
      </c>
      <c r="AC263" s="9" t="s">
        <v>666</v>
      </c>
      <c r="AD263" s="11">
        <v>4</v>
      </c>
      <c r="AE263" s="9" t="s">
        <v>70</v>
      </c>
      <c r="AF263" s="9" t="s">
        <v>71</v>
      </c>
      <c r="AG263" s="13">
        <v>1</v>
      </c>
      <c r="AH263" s="9" t="s">
        <v>92</v>
      </c>
      <c r="AI263" s="13">
        <v>23868000</v>
      </c>
      <c r="AJ263" s="13">
        <v>95472000</v>
      </c>
      <c r="AK263" s="11">
        <v>0</v>
      </c>
      <c r="AL263" s="11">
        <v>0</v>
      </c>
      <c r="AM263" s="11">
        <v>0</v>
      </c>
      <c r="AN263" s="9" t="s">
        <v>67</v>
      </c>
      <c r="AO263" s="11">
        <v>95472000</v>
      </c>
      <c r="AP263" s="13">
        <v>7637760</v>
      </c>
      <c r="AQ263" s="13">
        <v>103109760</v>
      </c>
      <c r="AR263" s="11">
        <v>800</v>
      </c>
      <c r="AS263" s="9" t="s">
        <v>72</v>
      </c>
      <c r="AT263" s="12">
        <v>776.68</v>
      </c>
      <c r="AU263" s="9" t="s">
        <v>73</v>
      </c>
      <c r="AV263" s="9" t="s">
        <v>67</v>
      </c>
      <c r="AW263" s="9" t="s">
        <v>1167</v>
      </c>
      <c r="AX263" s="10">
        <v>45989</v>
      </c>
      <c r="AY263" s="9" t="s">
        <v>1168</v>
      </c>
      <c r="AZ263" s="9" t="s">
        <v>67</v>
      </c>
      <c r="BA263" s="9" t="s">
        <v>67</v>
      </c>
      <c r="BB263" s="12">
        <v>800</v>
      </c>
      <c r="BC263" s="9" t="s">
        <v>74</v>
      </c>
      <c r="BD263" s="9" t="s">
        <v>104</v>
      </c>
      <c r="BE263" s="9" t="s">
        <v>75</v>
      </c>
      <c r="BF263" s="11">
        <v>0</v>
      </c>
      <c r="BG263">
        <f t="shared" si="10"/>
        <v>12</v>
      </c>
      <c r="BH263" t="str">
        <f>VLOOKUP(BG263,[1]month!$A:$B,2,0)</f>
        <v>Desember</v>
      </c>
      <c r="BI263">
        <f t="shared" si="11"/>
        <v>2025</v>
      </c>
      <c r="BJ263" t="str">
        <f>VLOOKUP(I263,[1]Dist!$A:$B,2,0)</f>
        <v>Industry</v>
      </c>
      <c r="BK263" t="str">
        <f>IF(I263=11,VLOOKUP(Y263,[2]Sheet1!$C:$N,10,0),IF(I263=13,VLOOKUP(Y263,[3]Sheet1!$C:$N,10,0),IF(I263=15,VLOOKUP(Y263,[4]Sheet1!$C:$N,10,0),"Unknown")))</f>
        <v>CAN COATINGS</v>
      </c>
      <c r="BL263" t="str">
        <f>IF(I263=11,VLOOKUP(Y263,[2]Sheet1!$C:$N,12,0),IF(I263=13,VLOOKUP(Y263,[3]Sheet1!$C:$N,12,0),IF(I263=15,VLOOKUP(Y263,[4]Sheet1!$C:$N,12,0),"Unknown")))</f>
        <v>CAN COATINGS</v>
      </c>
      <c r="BM263" t="str">
        <f>VLOOKUP(W263,[1]branch!$A:$B,2,0)</f>
        <v>INDUSTRY</v>
      </c>
    </row>
    <row r="264" spans="1:65" x14ac:dyDescent="0.35">
      <c r="A264" s="10">
        <v>45994</v>
      </c>
      <c r="B264" s="9" t="s">
        <v>1169</v>
      </c>
      <c r="C264" s="9" t="s">
        <v>64</v>
      </c>
      <c r="D264" s="9" t="s">
        <v>92</v>
      </c>
      <c r="E264" s="11">
        <v>60</v>
      </c>
      <c r="F264" s="9" t="s">
        <v>93</v>
      </c>
      <c r="G264" s="9" t="s">
        <v>65</v>
      </c>
      <c r="H264" s="9" t="s">
        <v>66</v>
      </c>
      <c r="I264" s="9">
        <v>11</v>
      </c>
      <c r="J264" s="9" t="s">
        <v>275</v>
      </c>
      <c r="K264" s="9" t="s">
        <v>275</v>
      </c>
      <c r="L264" s="9" t="s">
        <v>275</v>
      </c>
      <c r="M264" s="9" t="s">
        <v>276</v>
      </c>
      <c r="N264" s="9" t="s">
        <v>876</v>
      </c>
      <c r="O264" s="9" t="s">
        <v>97</v>
      </c>
      <c r="P264" s="9" t="s">
        <v>67</v>
      </c>
      <c r="Q264" s="9" t="s">
        <v>98</v>
      </c>
      <c r="R264" s="9" t="s">
        <v>275</v>
      </c>
      <c r="S264" s="9" t="s">
        <v>276</v>
      </c>
      <c r="T264" s="9" t="s">
        <v>800</v>
      </c>
      <c r="U264" s="9" t="s">
        <v>67</v>
      </c>
      <c r="V264" s="9" t="s">
        <v>130</v>
      </c>
      <c r="W264" s="9" t="s">
        <v>131</v>
      </c>
      <c r="X264" s="11">
        <v>20</v>
      </c>
      <c r="Y264" s="9" t="s">
        <v>277</v>
      </c>
      <c r="Z264" s="9" t="s">
        <v>68</v>
      </c>
      <c r="AA264" s="9" t="s">
        <v>278</v>
      </c>
      <c r="AB264" s="9" t="s">
        <v>67</v>
      </c>
      <c r="AC264" s="9" t="s">
        <v>279</v>
      </c>
      <c r="AD264" s="11">
        <v>1</v>
      </c>
      <c r="AE264" s="9" t="s">
        <v>70</v>
      </c>
      <c r="AF264" s="9" t="s">
        <v>71</v>
      </c>
      <c r="AG264" s="13">
        <v>1</v>
      </c>
      <c r="AH264" s="9" t="s">
        <v>92</v>
      </c>
      <c r="AI264" s="13">
        <v>1317000</v>
      </c>
      <c r="AJ264" s="13">
        <v>1317000</v>
      </c>
      <c r="AK264" s="11">
        <v>0</v>
      </c>
      <c r="AL264" s="11">
        <v>0</v>
      </c>
      <c r="AM264" s="11">
        <v>0</v>
      </c>
      <c r="AN264" s="9" t="s">
        <v>67</v>
      </c>
      <c r="AO264" s="11">
        <v>1317000</v>
      </c>
      <c r="AP264" s="13">
        <v>105360</v>
      </c>
      <c r="AQ264" s="13">
        <v>1422360</v>
      </c>
      <c r="AR264" s="12">
        <v>27.6</v>
      </c>
      <c r="AS264" s="9" t="s">
        <v>72</v>
      </c>
      <c r="AT264" s="11">
        <v>30</v>
      </c>
      <c r="AU264" s="9" t="s">
        <v>73</v>
      </c>
      <c r="AV264" s="9" t="s">
        <v>67</v>
      </c>
      <c r="AW264" s="9" t="s">
        <v>1170</v>
      </c>
      <c r="AX264" s="10">
        <v>45993</v>
      </c>
      <c r="AY264" s="9" t="s">
        <v>1171</v>
      </c>
      <c r="AZ264" s="9" t="s">
        <v>67</v>
      </c>
      <c r="BA264" s="9" t="s">
        <v>67</v>
      </c>
      <c r="BB264" s="12">
        <v>30</v>
      </c>
      <c r="BC264" s="9" t="s">
        <v>74</v>
      </c>
      <c r="BD264" s="9" t="s">
        <v>104</v>
      </c>
      <c r="BE264" s="9" t="s">
        <v>75</v>
      </c>
      <c r="BF264" s="11">
        <v>0</v>
      </c>
      <c r="BG264">
        <f t="shared" si="10"/>
        <v>12</v>
      </c>
      <c r="BH264" t="str">
        <f>VLOOKUP(BG264,[1]month!$A:$B,2,0)</f>
        <v>Desember</v>
      </c>
      <c r="BI264">
        <f t="shared" si="11"/>
        <v>2025</v>
      </c>
      <c r="BJ264" t="str">
        <f>VLOOKUP(I264,[1]Dist!$A:$B,2,0)</f>
        <v>Industry</v>
      </c>
      <c r="BK264" t="str">
        <f>IF(I264=11,VLOOKUP(Y264,[2]Sheet1!$C:$N,10,0),IF(I264=13,VLOOKUP(Y264,[3]Sheet1!$C:$N,10,0),IF(I264=15,VLOOKUP(Y264,[4]Sheet1!$C:$N,10,0),"Unknown")))</f>
        <v>THINNER PU</v>
      </c>
      <c r="BL264" t="str">
        <f>IF(I264=11,VLOOKUP(Y264,[2]Sheet1!$C:$N,12,0),IF(I264=13,VLOOKUP(Y264,[3]Sheet1!$C:$N,12,0),IF(I264=15,VLOOKUP(Y264,[4]Sheet1!$C:$N,12,0),"Unknown")))</f>
        <v>UNION THINNER</v>
      </c>
      <c r="BM264" t="str">
        <f>VLOOKUP(W264,[1]branch!$A:$B,2,0)</f>
        <v>INDUSTRY</v>
      </c>
    </row>
    <row r="265" spans="1:65" x14ac:dyDescent="0.35">
      <c r="A265" s="10">
        <v>45994</v>
      </c>
      <c r="B265" s="9" t="s">
        <v>1169</v>
      </c>
      <c r="C265" s="9" t="s">
        <v>64</v>
      </c>
      <c r="D265" s="9" t="s">
        <v>92</v>
      </c>
      <c r="E265" s="11">
        <v>60</v>
      </c>
      <c r="F265" s="9" t="s">
        <v>93</v>
      </c>
      <c r="G265" s="9" t="s">
        <v>65</v>
      </c>
      <c r="H265" s="9" t="s">
        <v>66</v>
      </c>
      <c r="I265" s="9">
        <v>11</v>
      </c>
      <c r="J265" s="9" t="s">
        <v>275</v>
      </c>
      <c r="K265" s="9" t="s">
        <v>275</v>
      </c>
      <c r="L265" s="9" t="s">
        <v>275</v>
      </c>
      <c r="M265" s="9" t="s">
        <v>276</v>
      </c>
      <c r="N265" s="9" t="s">
        <v>876</v>
      </c>
      <c r="O265" s="9" t="s">
        <v>97</v>
      </c>
      <c r="P265" s="9" t="s">
        <v>67</v>
      </c>
      <c r="Q265" s="9" t="s">
        <v>98</v>
      </c>
      <c r="R265" s="9" t="s">
        <v>275</v>
      </c>
      <c r="S265" s="9" t="s">
        <v>276</v>
      </c>
      <c r="T265" s="9" t="s">
        <v>800</v>
      </c>
      <c r="U265" s="9" t="s">
        <v>67</v>
      </c>
      <c r="V265" s="9" t="s">
        <v>130</v>
      </c>
      <c r="W265" s="9" t="s">
        <v>131</v>
      </c>
      <c r="X265" s="11">
        <v>30</v>
      </c>
      <c r="Y265" s="9" t="s">
        <v>280</v>
      </c>
      <c r="Z265" s="9" t="s">
        <v>68</v>
      </c>
      <c r="AA265" s="9" t="s">
        <v>281</v>
      </c>
      <c r="AB265" s="9" t="s">
        <v>67</v>
      </c>
      <c r="AC265" s="9" t="s">
        <v>282</v>
      </c>
      <c r="AD265" s="11">
        <v>4</v>
      </c>
      <c r="AE265" s="9" t="s">
        <v>70</v>
      </c>
      <c r="AF265" s="9" t="s">
        <v>71</v>
      </c>
      <c r="AG265" s="13">
        <v>1</v>
      </c>
      <c r="AH265" s="9" t="s">
        <v>92</v>
      </c>
      <c r="AI265" s="13">
        <v>1939200</v>
      </c>
      <c r="AJ265" s="13">
        <v>7756800</v>
      </c>
      <c r="AK265" s="11">
        <v>0</v>
      </c>
      <c r="AL265" s="11">
        <v>0</v>
      </c>
      <c r="AM265" s="11">
        <v>0</v>
      </c>
      <c r="AN265" s="9" t="s">
        <v>67</v>
      </c>
      <c r="AO265" s="11">
        <v>7756800</v>
      </c>
      <c r="AP265" s="13">
        <v>620544</v>
      </c>
      <c r="AQ265" s="13">
        <v>8377344</v>
      </c>
      <c r="AR265" s="11">
        <v>64</v>
      </c>
      <c r="AS265" s="9" t="s">
        <v>72</v>
      </c>
      <c r="AT265" s="12">
        <v>53.8</v>
      </c>
      <c r="AU265" s="9" t="s">
        <v>73</v>
      </c>
      <c r="AV265" s="9" t="s">
        <v>67</v>
      </c>
      <c r="AW265" s="9" t="s">
        <v>1170</v>
      </c>
      <c r="AX265" s="10">
        <v>45993</v>
      </c>
      <c r="AY265" s="9" t="s">
        <v>1171</v>
      </c>
      <c r="AZ265" s="9" t="s">
        <v>67</v>
      </c>
      <c r="BA265" s="9" t="s">
        <v>67</v>
      </c>
      <c r="BB265" s="12">
        <v>64</v>
      </c>
      <c r="BC265" s="9" t="s">
        <v>74</v>
      </c>
      <c r="BD265" s="9" t="s">
        <v>104</v>
      </c>
      <c r="BE265" s="9" t="s">
        <v>75</v>
      </c>
      <c r="BF265" s="11">
        <v>0</v>
      </c>
      <c r="BG265">
        <f t="shared" si="10"/>
        <v>12</v>
      </c>
      <c r="BH265" t="str">
        <f>VLOOKUP(BG265,[1]month!$A:$B,2,0)</f>
        <v>Desember</v>
      </c>
      <c r="BI265">
        <f t="shared" si="11"/>
        <v>2025</v>
      </c>
      <c r="BJ265" t="str">
        <f>VLOOKUP(I265,[1]Dist!$A:$B,2,0)</f>
        <v>Industry</v>
      </c>
      <c r="BK265" t="str">
        <f>IF(I265=11,VLOOKUP(Y265,[2]Sheet1!$C:$N,10,0),IF(I265=13,VLOOKUP(Y265,[3]Sheet1!$C:$N,10,0),IF(I265=15,VLOOKUP(Y265,[4]Sheet1!$C:$N,10,0),"Unknown")))</f>
        <v>PU</v>
      </c>
      <c r="BL265" t="str">
        <f>IF(I265=11,VLOOKUP(Y265,[2]Sheet1!$C:$N,12,0),IF(I265=13,VLOOKUP(Y265,[3]Sheet1!$C:$N,12,0),IF(I265=15,VLOOKUP(Y265,[4]Sheet1!$C:$N,12,0),"Unknown")))</f>
        <v>UNION TOP COAT</v>
      </c>
      <c r="BM265" t="str">
        <f>VLOOKUP(W265,[1]branch!$A:$B,2,0)</f>
        <v>INDUSTRY</v>
      </c>
    </row>
    <row r="266" spans="1:65" x14ac:dyDescent="0.35">
      <c r="A266" s="10">
        <v>45994</v>
      </c>
      <c r="B266" s="9" t="s">
        <v>1169</v>
      </c>
      <c r="C266" s="9" t="s">
        <v>64</v>
      </c>
      <c r="D266" s="9" t="s">
        <v>92</v>
      </c>
      <c r="E266" s="11">
        <v>60</v>
      </c>
      <c r="F266" s="9" t="s">
        <v>93</v>
      </c>
      <c r="G266" s="9" t="s">
        <v>65</v>
      </c>
      <c r="H266" s="9" t="s">
        <v>66</v>
      </c>
      <c r="I266" s="9">
        <v>11</v>
      </c>
      <c r="J266" s="9" t="s">
        <v>275</v>
      </c>
      <c r="K266" s="9" t="s">
        <v>275</v>
      </c>
      <c r="L266" s="9" t="s">
        <v>275</v>
      </c>
      <c r="M266" s="9" t="s">
        <v>276</v>
      </c>
      <c r="N266" s="9" t="s">
        <v>876</v>
      </c>
      <c r="O266" s="9" t="s">
        <v>97</v>
      </c>
      <c r="P266" s="9" t="s">
        <v>67</v>
      </c>
      <c r="Q266" s="9" t="s">
        <v>98</v>
      </c>
      <c r="R266" s="9" t="s">
        <v>275</v>
      </c>
      <c r="S266" s="9" t="s">
        <v>276</v>
      </c>
      <c r="T266" s="9" t="s">
        <v>800</v>
      </c>
      <c r="U266" s="9" t="s">
        <v>67</v>
      </c>
      <c r="V266" s="9" t="s">
        <v>130</v>
      </c>
      <c r="W266" s="9" t="s">
        <v>131</v>
      </c>
      <c r="X266" s="11">
        <v>40</v>
      </c>
      <c r="Y266" s="9" t="s">
        <v>398</v>
      </c>
      <c r="Z266" s="9" t="s">
        <v>68</v>
      </c>
      <c r="AA266" s="9" t="s">
        <v>399</v>
      </c>
      <c r="AB266" s="9" t="s">
        <v>67</v>
      </c>
      <c r="AC266" s="9" t="s">
        <v>400</v>
      </c>
      <c r="AD266" s="11">
        <v>8</v>
      </c>
      <c r="AE266" s="9" t="s">
        <v>70</v>
      </c>
      <c r="AF266" s="9" t="s">
        <v>71</v>
      </c>
      <c r="AG266" s="13">
        <v>1</v>
      </c>
      <c r="AH266" s="9" t="s">
        <v>92</v>
      </c>
      <c r="AI266" s="13">
        <v>1915200</v>
      </c>
      <c r="AJ266" s="13">
        <v>15321600</v>
      </c>
      <c r="AK266" s="11">
        <v>0</v>
      </c>
      <c r="AL266" s="11">
        <v>0</v>
      </c>
      <c r="AM266" s="11">
        <v>0</v>
      </c>
      <c r="AN266" s="9" t="s">
        <v>67</v>
      </c>
      <c r="AO266" s="11">
        <v>15321600</v>
      </c>
      <c r="AP266" s="13">
        <v>1225728</v>
      </c>
      <c r="AQ266" s="13">
        <v>16547328</v>
      </c>
      <c r="AR266" s="11">
        <v>128</v>
      </c>
      <c r="AS266" s="9" t="s">
        <v>72</v>
      </c>
      <c r="AT266" s="12">
        <v>133.36000000000001</v>
      </c>
      <c r="AU266" s="9" t="s">
        <v>73</v>
      </c>
      <c r="AV266" s="9" t="s">
        <v>67</v>
      </c>
      <c r="AW266" s="9" t="s">
        <v>1170</v>
      </c>
      <c r="AX266" s="10">
        <v>45993</v>
      </c>
      <c r="AY266" s="9" t="s">
        <v>1171</v>
      </c>
      <c r="AZ266" s="9" t="s">
        <v>67</v>
      </c>
      <c r="BA266" s="9" t="s">
        <v>67</v>
      </c>
      <c r="BB266" s="12">
        <v>128</v>
      </c>
      <c r="BC266" s="9" t="s">
        <v>74</v>
      </c>
      <c r="BD266" s="9" t="s">
        <v>104</v>
      </c>
      <c r="BE266" s="9" t="s">
        <v>75</v>
      </c>
      <c r="BF266" s="11">
        <v>0</v>
      </c>
      <c r="BG266">
        <f t="shared" si="10"/>
        <v>12</v>
      </c>
      <c r="BH266" t="str">
        <f>VLOOKUP(BG266,[1]month!$A:$B,2,0)</f>
        <v>Desember</v>
      </c>
      <c r="BI266">
        <f t="shared" si="11"/>
        <v>2025</v>
      </c>
      <c r="BJ266" t="str">
        <f>VLOOKUP(I266,[1]Dist!$A:$B,2,0)</f>
        <v>Industry</v>
      </c>
      <c r="BK266" t="str">
        <f>IF(I266=11,VLOOKUP(Y266,[2]Sheet1!$C:$N,10,0),IF(I266=13,VLOOKUP(Y266,[3]Sheet1!$C:$N,10,0),IF(I266=15,VLOOKUP(Y266,[4]Sheet1!$C:$N,10,0),"Unknown")))</f>
        <v>PU</v>
      </c>
      <c r="BL266" t="str">
        <f>IF(I266=11,VLOOKUP(Y266,[2]Sheet1!$C:$N,12,0),IF(I266=13,VLOOKUP(Y266,[3]Sheet1!$C:$N,12,0),IF(I266=15,VLOOKUP(Y266,[4]Sheet1!$C:$N,12,0),"Unknown")))</f>
        <v>UNION TOP COAT</v>
      </c>
      <c r="BM266" t="str">
        <f>VLOOKUP(W266,[1]branch!$A:$B,2,0)</f>
        <v>INDUSTRY</v>
      </c>
    </row>
    <row r="267" spans="1:65" x14ac:dyDescent="0.35">
      <c r="A267" s="10">
        <v>45994</v>
      </c>
      <c r="B267" s="9" t="s">
        <v>1169</v>
      </c>
      <c r="C267" s="9" t="s">
        <v>64</v>
      </c>
      <c r="D267" s="9" t="s">
        <v>92</v>
      </c>
      <c r="E267" s="11">
        <v>60</v>
      </c>
      <c r="F267" s="9" t="s">
        <v>93</v>
      </c>
      <c r="G267" s="9" t="s">
        <v>65</v>
      </c>
      <c r="H267" s="9" t="s">
        <v>66</v>
      </c>
      <c r="I267" s="9">
        <v>11</v>
      </c>
      <c r="J267" s="9" t="s">
        <v>275</v>
      </c>
      <c r="K267" s="9" t="s">
        <v>275</v>
      </c>
      <c r="L267" s="9" t="s">
        <v>275</v>
      </c>
      <c r="M267" s="9" t="s">
        <v>276</v>
      </c>
      <c r="N267" s="9" t="s">
        <v>876</v>
      </c>
      <c r="O267" s="9" t="s">
        <v>97</v>
      </c>
      <c r="P267" s="9" t="s">
        <v>67</v>
      </c>
      <c r="Q267" s="9" t="s">
        <v>98</v>
      </c>
      <c r="R267" s="9" t="s">
        <v>275</v>
      </c>
      <c r="S267" s="9" t="s">
        <v>276</v>
      </c>
      <c r="T267" s="9" t="s">
        <v>800</v>
      </c>
      <c r="U267" s="9" t="s">
        <v>67</v>
      </c>
      <c r="V267" s="9" t="s">
        <v>130</v>
      </c>
      <c r="W267" s="9" t="s">
        <v>131</v>
      </c>
      <c r="X267" s="11">
        <v>50</v>
      </c>
      <c r="Y267" s="9" t="s">
        <v>504</v>
      </c>
      <c r="Z267" s="9" t="s">
        <v>68</v>
      </c>
      <c r="AA267" s="9" t="s">
        <v>505</v>
      </c>
      <c r="AB267" s="9" t="s">
        <v>67</v>
      </c>
      <c r="AC267" s="9" t="s">
        <v>506</v>
      </c>
      <c r="AD267" s="11">
        <v>2</v>
      </c>
      <c r="AE267" s="9" t="s">
        <v>70</v>
      </c>
      <c r="AF267" s="9" t="s">
        <v>71</v>
      </c>
      <c r="AG267" s="13">
        <v>1</v>
      </c>
      <c r="AH267" s="9" t="s">
        <v>92</v>
      </c>
      <c r="AI267" s="13">
        <v>2038400</v>
      </c>
      <c r="AJ267" s="13">
        <v>4076800</v>
      </c>
      <c r="AK267" s="11">
        <v>0</v>
      </c>
      <c r="AL267" s="11">
        <v>0</v>
      </c>
      <c r="AM267" s="11">
        <v>0</v>
      </c>
      <c r="AN267" s="9" t="s">
        <v>67</v>
      </c>
      <c r="AO267" s="11">
        <v>4076800</v>
      </c>
      <c r="AP267" s="13">
        <v>326144</v>
      </c>
      <c r="AQ267" s="13">
        <v>4402944</v>
      </c>
      <c r="AR267" s="11">
        <v>32</v>
      </c>
      <c r="AS267" s="9" t="s">
        <v>72</v>
      </c>
      <c r="AT267" s="12">
        <v>33.340000000000003</v>
      </c>
      <c r="AU267" s="9" t="s">
        <v>73</v>
      </c>
      <c r="AV267" s="9" t="s">
        <v>67</v>
      </c>
      <c r="AW267" s="9" t="s">
        <v>1170</v>
      </c>
      <c r="AX267" s="10">
        <v>45993</v>
      </c>
      <c r="AY267" s="9" t="s">
        <v>1171</v>
      </c>
      <c r="AZ267" s="9" t="s">
        <v>67</v>
      </c>
      <c r="BA267" s="9" t="s">
        <v>67</v>
      </c>
      <c r="BB267" s="12">
        <v>32</v>
      </c>
      <c r="BC267" s="9" t="s">
        <v>74</v>
      </c>
      <c r="BD267" s="9" t="s">
        <v>104</v>
      </c>
      <c r="BE267" s="9" t="s">
        <v>75</v>
      </c>
      <c r="BF267" s="11">
        <v>0</v>
      </c>
      <c r="BG267">
        <f t="shared" si="10"/>
        <v>12</v>
      </c>
      <c r="BH267" t="str">
        <f>VLOOKUP(BG267,[1]month!$A:$B,2,0)</f>
        <v>Desember</v>
      </c>
      <c r="BI267">
        <f t="shared" si="11"/>
        <v>2025</v>
      </c>
      <c r="BJ267" t="str">
        <f>VLOOKUP(I267,[1]Dist!$A:$B,2,0)</f>
        <v>Industry</v>
      </c>
      <c r="BK267" t="str">
        <f>IF(I267=11,VLOOKUP(Y267,[2]Sheet1!$C:$N,10,0),IF(I267=13,VLOOKUP(Y267,[3]Sheet1!$C:$N,10,0),IF(I267=15,VLOOKUP(Y267,[4]Sheet1!$C:$N,10,0),"Unknown")))</f>
        <v>PU</v>
      </c>
      <c r="BL267" t="str">
        <f>IF(I267=11,VLOOKUP(Y267,[2]Sheet1!$C:$N,12,0),IF(I267=13,VLOOKUP(Y267,[3]Sheet1!$C:$N,12,0),IF(I267=15,VLOOKUP(Y267,[4]Sheet1!$C:$N,12,0),"Unknown")))</f>
        <v>UNION TOP COAT</v>
      </c>
      <c r="BM267" t="str">
        <f>VLOOKUP(W267,[1]branch!$A:$B,2,0)</f>
        <v>INDUSTRY</v>
      </c>
    </row>
    <row r="268" spans="1:65" x14ac:dyDescent="0.35">
      <c r="A268" s="10">
        <v>45994</v>
      </c>
      <c r="B268" s="9" t="s">
        <v>1169</v>
      </c>
      <c r="C268" s="9" t="s">
        <v>64</v>
      </c>
      <c r="D268" s="9" t="s">
        <v>92</v>
      </c>
      <c r="E268" s="11">
        <v>60</v>
      </c>
      <c r="F268" s="9" t="s">
        <v>93</v>
      </c>
      <c r="G268" s="9" t="s">
        <v>65</v>
      </c>
      <c r="H268" s="9" t="s">
        <v>66</v>
      </c>
      <c r="I268" s="9">
        <v>11</v>
      </c>
      <c r="J268" s="9" t="s">
        <v>275</v>
      </c>
      <c r="K268" s="9" t="s">
        <v>275</v>
      </c>
      <c r="L268" s="9" t="s">
        <v>275</v>
      </c>
      <c r="M268" s="9" t="s">
        <v>276</v>
      </c>
      <c r="N268" s="9" t="s">
        <v>876</v>
      </c>
      <c r="O268" s="9" t="s">
        <v>97</v>
      </c>
      <c r="P268" s="9" t="s">
        <v>67</v>
      </c>
      <c r="Q268" s="9" t="s">
        <v>98</v>
      </c>
      <c r="R268" s="9" t="s">
        <v>275</v>
      </c>
      <c r="S268" s="9" t="s">
        <v>276</v>
      </c>
      <c r="T268" s="9" t="s">
        <v>800</v>
      </c>
      <c r="U268" s="9" t="s">
        <v>67</v>
      </c>
      <c r="V268" s="9" t="s">
        <v>130</v>
      </c>
      <c r="W268" s="9" t="s">
        <v>131</v>
      </c>
      <c r="X268" s="11">
        <v>60</v>
      </c>
      <c r="Y268" s="9" t="s">
        <v>858</v>
      </c>
      <c r="Z268" s="9" t="s">
        <v>68</v>
      </c>
      <c r="AA268" s="9" t="s">
        <v>859</v>
      </c>
      <c r="AB268" s="9" t="s">
        <v>67</v>
      </c>
      <c r="AC268" s="9" t="s">
        <v>372</v>
      </c>
      <c r="AD268" s="11">
        <v>7</v>
      </c>
      <c r="AE268" s="9" t="s">
        <v>70</v>
      </c>
      <c r="AF268" s="9" t="s">
        <v>71</v>
      </c>
      <c r="AG268" s="13">
        <v>1</v>
      </c>
      <c r="AH268" s="9" t="s">
        <v>92</v>
      </c>
      <c r="AI268" s="13">
        <v>2478400</v>
      </c>
      <c r="AJ268" s="13">
        <v>17348800</v>
      </c>
      <c r="AK268" s="11">
        <v>0</v>
      </c>
      <c r="AL268" s="11">
        <v>0</v>
      </c>
      <c r="AM268" s="11">
        <v>0</v>
      </c>
      <c r="AN268" s="9" t="s">
        <v>67</v>
      </c>
      <c r="AO268" s="11">
        <v>17348800</v>
      </c>
      <c r="AP268" s="13">
        <v>1387904</v>
      </c>
      <c r="AQ268" s="13">
        <v>18736704</v>
      </c>
      <c r="AR268" s="11">
        <v>112</v>
      </c>
      <c r="AS268" s="9" t="s">
        <v>72</v>
      </c>
      <c r="AT268" s="12">
        <v>114.289</v>
      </c>
      <c r="AU268" s="9" t="s">
        <v>73</v>
      </c>
      <c r="AV268" s="9" t="s">
        <v>67</v>
      </c>
      <c r="AW268" s="9" t="s">
        <v>1170</v>
      </c>
      <c r="AX268" s="10">
        <v>45993</v>
      </c>
      <c r="AY268" s="9" t="s">
        <v>1171</v>
      </c>
      <c r="AZ268" s="9" t="s">
        <v>67</v>
      </c>
      <c r="BA268" s="9" t="s">
        <v>67</v>
      </c>
      <c r="BB268" s="12">
        <v>112</v>
      </c>
      <c r="BC268" s="9" t="s">
        <v>74</v>
      </c>
      <c r="BD268" s="9" t="s">
        <v>104</v>
      </c>
      <c r="BE268" s="9" t="s">
        <v>75</v>
      </c>
      <c r="BF268" s="11">
        <v>0</v>
      </c>
      <c r="BG268">
        <f t="shared" si="10"/>
        <v>12</v>
      </c>
      <c r="BH268" t="str">
        <f>VLOOKUP(BG268,[1]month!$A:$B,2,0)</f>
        <v>Desember</v>
      </c>
      <c r="BI268">
        <f t="shared" si="11"/>
        <v>2025</v>
      </c>
      <c r="BJ268" t="str">
        <f>VLOOKUP(I268,[1]Dist!$A:$B,2,0)</f>
        <v>Industry</v>
      </c>
      <c r="BK268" t="str">
        <f>IF(I268=11,VLOOKUP(Y268,[2]Sheet1!$C:$N,10,0),IF(I268=13,VLOOKUP(Y268,[3]Sheet1!$C:$N,10,0),IF(I268=15,VLOOKUP(Y268,[4]Sheet1!$C:$N,10,0),"Unknown")))</f>
        <v>PU</v>
      </c>
      <c r="BL268" t="str">
        <f>IF(I268=11,VLOOKUP(Y268,[2]Sheet1!$C:$N,12,0),IF(I268=13,VLOOKUP(Y268,[3]Sheet1!$C:$N,12,0),IF(I268=15,VLOOKUP(Y268,[4]Sheet1!$C:$N,12,0),"Unknown")))</f>
        <v>UNION HARDENER</v>
      </c>
      <c r="BM268" t="str">
        <f>VLOOKUP(W268,[1]branch!$A:$B,2,0)</f>
        <v>INDUSTRY</v>
      </c>
    </row>
    <row r="269" spans="1:65" x14ac:dyDescent="0.35">
      <c r="A269" s="10">
        <v>45994</v>
      </c>
      <c r="B269" s="9" t="s">
        <v>1169</v>
      </c>
      <c r="C269" s="9" t="s">
        <v>64</v>
      </c>
      <c r="D269" s="9" t="s">
        <v>92</v>
      </c>
      <c r="E269" s="11">
        <v>60</v>
      </c>
      <c r="F269" s="9" t="s">
        <v>93</v>
      </c>
      <c r="G269" s="9" t="s">
        <v>65</v>
      </c>
      <c r="H269" s="9" t="s">
        <v>66</v>
      </c>
      <c r="I269" s="9">
        <v>11</v>
      </c>
      <c r="J269" s="9" t="s">
        <v>275</v>
      </c>
      <c r="K269" s="9" t="s">
        <v>275</v>
      </c>
      <c r="L269" s="9" t="s">
        <v>275</v>
      </c>
      <c r="M269" s="9" t="s">
        <v>276</v>
      </c>
      <c r="N269" s="9" t="s">
        <v>876</v>
      </c>
      <c r="O269" s="9" t="s">
        <v>97</v>
      </c>
      <c r="P269" s="9" t="s">
        <v>67</v>
      </c>
      <c r="Q269" s="9" t="s">
        <v>98</v>
      </c>
      <c r="R269" s="9" t="s">
        <v>275</v>
      </c>
      <c r="S269" s="9" t="s">
        <v>276</v>
      </c>
      <c r="T269" s="9" t="s">
        <v>800</v>
      </c>
      <c r="U269" s="9" t="s">
        <v>67</v>
      </c>
      <c r="V269" s="9" t="s">
        <v>130</v>
      </c>
      <c r="W269" s="9" t="s">
        <v>131</v>
      </c>
      <c r="X269" s="11">
        <v>70</v>
      </c>
      <c r="Y269" s="9" t="s">
        <v>401</v>
      </c>
      <c r="Z269" s="9" t="s">
        <v>68</v>
      </c>
      <c r="AA269" s="9" t="s">
        <v>402</v>
      </c>
      <c r="AB269" s="9" t="s">
        <v>67</v>
      </c>
      <c r="AC269" s="9" t="s">
        <v>403</v>
      </c>
      <c r="AD269" s="11">
        <v>6</v>
      </c>
      <c r="AE269" s="9" t="s">
        <v>70</v>
      </c>
      <c r="AF269" s="9" t="s">
        <v>71</v>
      </c>
      <c r="AG269" s="13">
        <v>1</v>
      </c>
      <c r="AH269" s="9" t="s">
        <v>92</v>
      </c>
      <c r="AI269" s="13">
        <v>1004800</v>
      </c>
      <c r="AJ269" s="13">
        <v>6028800</v>
      </c>
      <c r="AK269" s="11">
        <v>0</v>
      </c>
      <c r="AL269" s="11">
        <v>0</v>
      </c>
      <c r="AM269" s="11">
        <v>0</v>
      </c>
      <c r="AN269" s="9" t="s">
        <v>67</v>
      </c>
      <c r="AO269" s="11">
        <v>6028800</v>
      </c>
      <c r="AP269" s="13">
        <v>482304</v>
      </c>
      <c r="AQ269" s="13">
        <v>6511104</v>
      </c>
      <c r="AR269" s="11">
        <v>96</v>
      </c>
      <c r="AS269" s="9" t="s">
        <v>72</v>
      </c>
      <c r="AT269" s="11">
        <v>96</v>
      </c>
      <c r="AU269" s="9" t="s">
        <v>73</v>
      </c>
      <c r="AV269" s="9" t="s">
        <v>67</v>
      </c>
      <c r="AW269" s="9" t="s">
        <v>1170</v>
      </c>
      <c r="AX269" s="10">
        <v>45993</v>
      </c>
      <c r="AY269" s="9" t="s">
        <v>1171</v>
      </c>
      <c r="AZ269" s="9" t="s">
        <v>67</v>
      </c>
      <c r="BA269" s="9" t="s">
        <v>67</v>
      </c>
      <c r="BB269" s="12">
        <v>96</v>
      </c>
      <c r="BC269" s="9" t="s">
        <v>74</v>
      </c>
      <c r="BD269" s="9" t="s">
        <v>104</v>
      </c>
      <c r="BE269" s="9" t="s">
        <v>75</v>
      </c>
      <c r="BF269" s="11">
        <v>0</v>
      </c>
      <c r="BG269">
        <f t="shared" si="10"/>
        <v>12</v>
      </c>
      <c r="BH269" t="str">
        <f>VLOOKUP(BG269,[1]month!$A:$B,2,0)</f>
        <v>Desember</v>
      </c>
      <c r="BI269">
        <f t="shared" si="11"/>
        <v>2025</v>
      </c>
      <c r="BJ269" t="str">
        <f>VLOOKUP(I269,[1]Dist!$A:$B,2,0)</f>
        <v>Industry</v>
      </c>
      <c r="BK269" t="str">
        <f>IF(I269=11,VLOOKUP(Y269,[2]Sheet1!$C:$N,10,0),IF(I269=13,VLOOKUP(Y269,[3]Sheet1!$C:$N,10,0),IF(I269=15,VLOOKUP(Y269,[4]Sheet1!$C:$N,10,0),"Unknown")))</f>
        <v>PU</v>
      </c>
      <c r="BL269" t="str">
        <f>IF(I269=11,VLOOKUP(Y269,[2]Sheet1!$C:$N,12,0),IF(I269=13,VLOOKUP(Y269,[3]Sheet1!$C:$N,12,0),IF(I269=15,VLOOKUP(Y269,[4]Sheet1!$C:$N,12,0),"Unknown")))</f>
        <v>UNION TOP COAT</v>
      </c>
      <c r="BM269" t="str">
        <f>VLOOKUP(W269,[1]branch!$A:$B,2,0)</f>
        <v>INDUSTRY</v>
      </c>
    </row>
    <row r="270" spans="1:65" x14ac:dyDescent="0.35">
      <c r="A270" s="10">
        <v>45994</v>
      </c>
      <c r="B270" s="9" t="s">
        <v>1169</v>
      </c>
      <c r="C270" s="9" t="s">
        <v>64</v>
      </c>
      <c r="D270" s="9" t="s">
        <v>92</v>
      </c>
      <c r="E270" s="11">
        <v>60</v>
      </c>
      <c r="F270" s="9" t="s">
        <v>93</v>
      </c>
      <c r="G270" s="9" t="s">
        <v>65</v>
      </c>
      <c r="H270" s="9" t="s">
        <v>66</v>
      </c>
      <c r="I270" s="9">
        <v>11</v>
      </c>
      <c r="J270" s="9" t="s">
        <v>275</v>
      </c>
      <c r="K270" s="9" t="s">
        <v>275</v>
      </c>
      <c r="L270" s="9" t="s">
        <v>275</v>
      </c>
      <c r="M270" s="9" t="s">
        <v>276</v>
      </c>
      <c r="N270" s="9" t="s">
        <v>876</v>
      </c>
      <c r="O270" s="9" t="s">
        <v>97</v>
      </c>
      <c r="P270" s="9" t="s">
        <v>67</v>
      </c>
      <c r="Q270" s="9" t="s">
        <v>98</v>
      </c>
      <c r="R270" s="9" t="s">
        <v>275</v>
      </c>
      <c r="S270" s="9" t="s">
        <v>276</v>
      </c>
      <c r="T270" s="9" t="s">
        <v>800</v>
      </c>
      <c r="U270" s="9" t="s">
        <v>67</v>
      </c>
      <c r="V270" s="9" t="s">
        <v>130</v>
      </c>
      <c r="W270" s="9" t="s">
        <v>131</v>
      </c>
      <c r="X270" s="11">
        <v>80</v>
      </c>
      <c r="Y270" s="9" t="s">
        <v>526</v>
      </c>
      <c r="Z270" s="9" t="s">
        <v>68</v>
      </c>
      <c r="AA270" s="9" t="s">
        <v>527</v>
      </c>
      <c r="AB270" s="9" t="s">
        <v>67</v>
      </c>
      <c r="AC270" s="9" t="s">
        <v>528</v>
      </c>
      <c r="AD270" s="11">
        <v>4</v>
      </c>
      <c r="AE270" s="9" t="s">
        <v>70</v>
      </c>
      <c r="AF270" s="9" t="s">
        <v>71</v>
      </c>
      <c r="AG270" s="13">
        <v>1</v>
      </c>
      <c r="AH270" s="9" t="s">
        <v>92</v>
      </c>
      <c r="AI270" s="13">
        <v>1041600</v>
      </c>
      <c r="AJ270" s="13">
        <v>4166400</v>
      </c>
      <c r="AK270" s="11">
        <v>0</v>
      </c>
      <c r="AL270" s="11">
        <v>0</v>
      </c>
      <c r="AM270" s="11">
        <v>0</v>
      </c>
      <c r="AN270" s="9" t="s">
        <v>67</v>
      </c>
      <c r="AO270" s="11">
        <v>4166400</v>
      </c>
      <c r="AP270" s="13">
        <v>333312</v>
      </c>
      <c r="AQ270" s="13">
        <v>4499712</v>
      </c>
      <c r="AR270" s="11">
        <v>64</v>
      </c>
      <c r="AS270" s="9" t="s">
        <v>72</v>
      </c>
      <c r="AT270" s="11">
        <v>64</v>
      </c>
      <c r="AU270" s="9" t="s">
        <v>73</v>
      </c>
      <c r="AV270" s="9" t="s">
        <v>67</v>
      </c>
      <c r="AW270" s="9" t="s">
        <v>1170</v>
      </c>
      <c r="AX270" s="10">
        <v>45993</v>
      </c>
      <c r="AY270" s="9" t="s">
        <v>1171</v>
      </c>
      <c r="AZ270" s="9" t="s">
        <v>67</v>
      </c>
      <c r="BA270" s="9" t="s">
        <v>67</v>
      </c>
      <c r="BB270" s="12">
        <v>64</v>
      </c>
      <c r="BC270" s="9" t="s">
        <v>74</v>
      </c>
      <c r="BD270" s="9" t="s">
        <v>104</v>
      </c>
      <c r="BE270" s="9" t="s">
        <v>75</v>
      </c>
      <c r="BF270" s="11">
        <v>0</v>
      </c>
      <c r="BG270">
        <f t="shared" si="10"/>
        <v>12</v>
      </c>
      <c r="BH270" t="str">
        <f>VLOOKUP(BG270,[1]month!$A:$B,2,0)</f>
        <v>Desember</v>
      </c>
      <c r="BI270">
        <f t="shared" si="11"/>
        <v>2025</v>
      </c>
      <c r="BJ270" t="str">
        <f>VLOOKUP(I270,[1]Dist!$A:$B,2,0)</f>
        <v>Industry</v>
      </c>
      <c r="BK270" t="str">
        <f>IF(I270=11,VLOOKUP(Y270,[2]Sheet1!$C:$N,10,0),IF(I270=13,VLOOKUP(Y270,[3]Sheet1!$C:$N,10,0),IF(I270=15,VLOOKUP(Y270,[4]Sheet1!$C:$N,10,0),"Unknown")))</f>
        <v>PU</v>
      </c>
      <c r="BL270" t="str">
        <f>IF(I270=11,VLOOKUP(Y270,[2]Sheet1!$C:$N,12,0),IF(I270=13,VLOOKUP(Y270,[3]Sheet1!$C:$N,12,0),IF(I270=15,VLOOKUP(Y270,[4]Sheet1!$C:$N,12,0),"Unknown")))</f>
        <v>UNION TOP COAT</v>
      </c>
      <c r="BM270" t="str">
        <f>VLOOKUP(W270,[1]branch!$A:$B,2,0)</f>
        <v>INDUSTRY</v>
      </c>
    </row>
    <row r="271" spans="1:65" x14ac:dyDescent="0.35">
      <c r="A271" s="10">
        <v>45994</v>
      </c>
      <c r="B271" s="9" t="s">
        <v>1169</v>
      </c>
      <c r="C271" s="9" t="s">
        <v>64</v>
      </c>
      <c r="D271" s="9" t="s">
        <v>92</v>
      </c>
      <c r="E271" s="11">
        <v>60</v>
      </c>
      <c r="F271" s="9" t="s">
        <v>93</v>
      </c>
      <c r="G271" s="9" t="s">
        <v>65</v>
      </c>
      <c r="H271" s="9" t="s">
        <v>66</v>
      </c>
      <c r="I271" s="9">
        <v>11</v>
      </c>
      <c r="J271" s="9" t="s">
        <v>275</v>
      </c>
      <c r="K271" s="9" t="s">
        <v>275</v>
      </c>
      <c r="L271" s="9" t="s">
        <v>275</v>
      </c>
      <c r="M271" s="9" t="s">
        <v>276</v>
      </c>
      <c r="N271" s="9" t="s">
        <v>876</v>
      </c>
      <c r="O271" s="9" t="s">
        <v>97</v>
      </c>
      <c r="P271" s="9" t="s">
        <v>67</v>
      </c>
      <c r="Q271" s="9" t="s">
        <v>98</v>
      </c>
      <c r="R271" s="9" t="s">
        <v>275</v>
      </c>
      <c r="S271" s="9" t="s">
        <v>276</v>
      </c>
      <c r="T271" s="9" t="s">
        <v>800</v>
      </c>
      <c r="U271" s="9" t="s">
        <v>67</v>
      </c>
      <c r="V271" s="9" t="s">
        <v>130</v>
      </c>
      <c r="W271" s="9" t="s">
        <v>131</v>
      </c>
      <c r="X271" s="11">
        <v>90</v>
      </c>
      <c r="Y271" s="9" t="s">
        <v>170</v>
      </c>
      <c r="Z271" s="9" t="s">
        <v>68</v>
      </c>
      <c r="AA271" s="9" t="s">
        <v>171</v>
      </c>
      <c r="AB271" s="9" t="s">
        <v>67</v>
      </c>
      <c r="AC271" s="9" t="s">
        <v>172</v>
      </c>
      <c r="AD271" s="11">
        <v>6</v>
      </c>
      <c r="AE271" s="9" t="s">
        <v>70</v>
      </c>
      <c r="AF271" s="9" t="s">
        <v>71</v>
      </c>
      <c r="AG271" s="13">
        <v>1</v>
      </c>
      <c r="AH271" s="9" t="s">
        <v>92</v>
      </c>
      <c r="AI271" s="13">
        <v>1288000</v>
      </c>
      <c r="AJ271" s="13">
        <v>7728000</v>
      </c>
      <c r="AK271" s="11">
        <v>0</v>
      </c>
      <c r="AL271" s="11">
        <v>0</v>
      </c>
      <c r="AM271" s="11">
        <v>0</v>
      </c>
      <c r="AN271" s="9" t="s">
        <v>67</v>
      </c>
      <c r="AO271" s="11">
        <v>7728000</v>
      </c>
      <c r="AP271" s="13">
        <v>618240</v>
      </c>
      <c r="AQ271" s="13">
        <v>8346240</v>
      </c>
      <c r="AR271" s="11">
        <v>96</v>
      </c>
      <c r="AS271" s="9" t="s">
        <v>72</v>
      </c>
      <c r="AT271" s="11">
        <v>96</v>
      </c>
      <c r="AU271" s="9" t="s">
        <v>73</v>
      </c>
      <c r="AV271" s="9" t="s">
        <v>67</v>
      </c>
      <c r="AW271" s="9" t="s">
        <v>1170</v>
      </c>
      <c r="AX271" s="10">
        <v>45993</v>
      </c>
      <c r="AY271" s="9" t="s">
        <v>1171</v>
      </c>
      <c r="AZ271" s="9" t="s">
        <v>67</v>
      </c>
      <c r="BA271" s="9" t="s">
        <v>67</v>
      </c>
      <c r="BB271" s="12">
        <v>96</v>
      </c>
      <c r="BC271" s="9" t="s">
        <v>74</v>
      </c>
      <c r="BD271" s="9" t="s">
        <v>104</v>
      </c>
      <c r="BE271" s="9" t="s">
        <v>75</v>
      </c>
      <c r="BF271" s="11">
        <v>0</v>
      </c>
      <c r="BG271">
        <f t="shared" si="10"/>
        <v>12</v>
      </c>
      <c r="BH271" t="str">
        <f>VLOOKUP(BG271,[1]month!$A:$B,2,0)</f>
        <v>Desember</v>
      </c>
      <c r="BI271">
        <f t="shared" si="11"/>
        <v>2025</v>
      </c>
      <c r="BJ271" t="str">
        <f>VLOOKUP(I271,[1]Dist!$A:$B,2,0)</f>
        <v>Industry</v>
      </c>
      <c r="BK271" t="str">
        <f>IF(I271=11,VLOOKUP(Y271,[2]Sheet1!$C:$N,10,0),IF(I271=13,VLOOKUP(Y271,[3]Sheet1!$C:$N,10,0),IF(I271=15,VLOOKUP(Y271,[4]Sheet1!$C:$N,10,0),"Unknown")))</f>
        <v>PU</v>
      </c>
      <c r="BL271" t="str">
        <f>IF(I271=11,VLOOKUP(Y271,[2]Sheet1!$C:$N,12,0),IF(I271=13,VLOOKUP(Y271,[3]Sheet1!$C:$N,12,0),IF(I271=15,VLOOKUP(Y271,[4]Sheet1!$C:$N,12,0),"Unknown")))</f>
        <v>UNION TOP COAT</v>
      </c>
      <c r="BM271" t="str">
        <f>VLOOKUP(W271,[1]branch!$A:$B,2,0)</f>
        <v>INDUSTRY</v>
      </c>
    </row>
    <row r="272" spans="1:65" x14ac:dyDescent="0.35">
      <c r="A272" s="10">
        <v>45994</v>
      </c>
      <c r="B272" s="9" t="s">
        <v>1169</v>
      </c>
      <c r="C272" s="9" t="s">
        <v>64</v>
      </c>
      <c r="D272" s="9" t="s">
        <v>92</v>
      </c>
      <c r="E272" s="11">
        <v>60</v>
      </c>
      <c r="F272" s="9" t="s">
        <v>93</v>
      </c>
      <c r="G272" s="9" t="s">
        <v>65</v>
      </c>
      <c r="H272" s="9" t="s">
        <v>66</v>
      </c>
      <c r="I272" s="9">
        <v>11</v>
      </c>
      <c r="J272" s="9" t="s">
        <v>275</v>
      </c>
      <c r="K272" s="9" t="s">
        <v>275</v>
      </c>
      <c r="L272" s="9" t="s">
        <v>275</v>
      </c>
      <c r="M272" s="9" t="s">
        <v>276</v>
      </c>
      <c r="N272" s="9" t="s">
        <v>876</v>
      </c>
      <c r="O272" s="9" t="s">
        <v>97</v>
      </c>
      <c r="P272" s="9" t="s">
        <v>67</v>
      </c>
      <c r="Q272" s="9" t="s">
        <v>98</v>
      </c>
      <c r="R272" s="9" t="s">
        <v>275</v>
      </c>
      <c r="S272" s="9" t="s">
        <v>276</v>
      </c>
      <c r="T272" s="9" t="s">
        <v>800</v>
      </c>
      <c r="U272" s="9" t="s">
        <v>67</v>
      </c>
      <c r="V272" s="9" t="s">
        <v>130</v>
      </c>
      <c r="W272" s="9" t="s">
        <v>131</v>
      </c>
      <c r="X272" s="11">
        <v>100</v>
      </c>
      <c r="Y272" s="9" t="s">
        <v>283</v>
      </c>
      <c r="Z272" s="9" t="s">
        <v>68</v>
      </c>
      <c r="AA272" s="9" t="s">
        <v>284</v>
      </c>
      <c r="AB272" s="9" t="s">
        <v>67</v>
      </c>
      <c r="AC272" s="9" t="s">
        <v>285</v>
      </c>
      <c r="AD272" s="11">
        <v>3</v>
      </c>
      <c r="AE272" s="9" t="s">
        <v>70</v>
      </c>
      <c r="AF272" s="9" t="s">
        <v>71</v>
      </c>
      <c r="AG272" s="13">
        <v>1</v>
      </c>
      <c r="AH272" s="9" t="s">
        <v>92</v>
      </c>
      <c r="AI272" s="13">
        <v>11780000</v>
      </c>
      <c r="AJ272" s="13">
        <v>35340000</v>
      </c>
      <c r="AK272" s="11">
        <v>0</v>
      </c>
      <c r="AL272" s="11">
        <v>0</v>
      </c>
      <c r="AM272" s="11">
        <v>0</v>
      </c>
      <c r="AN272" s="9" t="s">
        <v>67</v>
      </c>
      <c r="AO272" s="11">
        <v>35340000</v>
      </c>
      <c r="AP272" s="13">
        <v>2827200</v>
      </c>
      <c r="AQ272" s="13">
        <v>38167200</v>
      </c>
      <c r="AR272" s="11">
        <v>600</v>
      </c>
      <c r="AS272" s="9" t="s">
        <v>72</v>
      </c>
      <c r="AT272" s="12">
        <v>545.46</v>
      </c>
      <c r="AU272" s="9" t="s">
        <v>73</v>
      </c>
      <c r="AV272" s="9" t="s">
        <v>67</v>
      </c>
      <c r="AW272" s="9" t="s">
        <v>1170</v>
      </c>
      <c r="AX272" s="10">
        <v>45993</v>
      </c>
      <c r="AY272" s="9" t="s">
        <v>1171</v>
      </c>
      <c r="AZ272" s="9" t="s">
        <v>67</v>
      </c>
      <c r="BA272" s="9" t="s">
        <v>67</v>
      </c>
      <c r="BB272" s="12">
        <v>600</v>
      </c>
      <c r="BC272" s="9" t="s">
        <v>74</v>
      </c>
      <c r="BD272" s="9" t="s">
        <v>104</v>
      </c>
      <c r="BE272" s="9" t="s">
        <v>75</v>
      </c>
      <c r="BF272" s="11">
        <v>0</v>
      </c>
      <c r="BG272">
        <f t="shared" si="10"/>
        <v>12</v>
      </c>
      <c r="BH272" t="str">
        <f>VLOOKUP(BG272,[1]month!$A:$B,2,0)</f>
        <v>Desember</v>
      </c>
      <c r="BI272">
        <f t="shared" si="11"/>
        <v>2025</v>
      </c>
      <c r="BJ272" t="str">
        <f>VLOOKUP(I272,[1]Dist!$A:$B,2,0)</f>
        <v>Industry</v>
      </c>
      <c r="BK272" t="str">
        <f>IF(I272=11,VLOOKUP(Y272,[2]Sheet1!$C:$N,10,0),IF(I272=13,VLOOKUP(Y272,[3]Sheet1!$C:$N,10,0),IF(I272=15,VLOOKUP(Y272,[4]Sheet1!$C:$N,10,0),"Unknown")))</f>
        <v>PU</v>
      </c>
      <c r="BL272" t="str">
        <f>IF(I272=11,VLOOKUP(Y272,[2]Sheet1!$C:$N,12,0),IF(I272=13,VLOOKUP(Y272,[3]Sheet1!$C:$N,12,0),IF(I272=15,VLOOKUP(Y272,[4]Sheet1!$C:$N,12,0),"Unknown")))</f>
        <v>UNION SANDING SEALER</v>
      </c>
      <c r="BM272" t="str">
        <f>VLOOKUP(W272,[1]branch!$A:$B,2,0)</f>
        <v>INDUSTRY</v>
      </c>
    </row>
    <row r="273" spans="1:65" x14ac:dyDescent="0.35">
      <c r="A273" s="10">
        <v>45994</v>
      </c>
      <c r="B273" s="9" t="s">
        <v>1169</v>
      </c>
      <c r="C273" s="9" t="s">
        <v>64</v>
      </c>
      <c r="D273" s="9" t="s">
        <v>92</v>
      </c>
      <c r="E273" s="11">
        <v>60</v>
      </c>
      <c r="F273" s="9" t="s">
        <v>93</v>
      </c>
      <c r="G273" s="9" t="s">
        <v>65</v>
      </c>
      <c r="H273" s="9" t="s">
        <v>66</v>
      </c>
      <c r="I273" s="9">
        <v>11</v>
      </c>
      <c r="J273" s="9" t="s">
        <v>275</v>
      </c>
      <c r="K273" s="9" t="s">
        <v>275</v>
      </c>
      <c r="L273" s="9" t="s">
        <v>275</v>
      </c>
      <c r="M273" s="9" t="s">
        <v>276</v>
      </c>
      <c r="N273" s="9" t="s">
        <v>876</v>
      </c>
      <c r="O273" s="9" t="s">
        <v>97</v>
      </c>
      <c r="P273" s="9" t="s">
        <v>67</v>
      </c>
      <c r="Q273" s="9" t="s">
        <v>98</v>
      </c>
      <c r="R273" s="9" t="s">
        <v>275</v>
      </c>
      <c r="S273" s="9" t="s">
        <v>276</v>
      </c>
      <c r="T273" s="9" t="s">
        <v>800</v>
      </c>
      <c r="U273" s="9" t="s">
        <v>67</v>
      </c>
      <c r="V273" s="9" t="s">
        <v>130</v>
      </c>
      <c r="W273" s="9" t="s">
        <v>131</v>
      </c>
      <c r="X273" s="11">
        <v>130</v>
      </c>
      <c r="Y273" s="9" t="s">
        <v>376</v>
      </c>
      <c r="Z273" s="9" t="s">
        <v>68</v>
      </c>
      <c r="AA273" s="9" t="s">
        <v>377</v>
      </c>
      <c r="AB273" s="9" t="s">
        <v>67</v>
      </c>
      <c r="AC273" s="9" t="s">
        <v>175</v>
      </c>
      <c r="AD273" s="11">
        <v>5</v>
      </c>
      <c r="AE273" s="9" t="s">
        <v>70</v>
      </c>
      <c r="AF273" s="9" t="s">
        <v>71</v>
      </c>
      <c r="AG273" s="13">
        <v>1</v>
      </c>
      <c r="AH273" s="9" t="s">
        <v>92</v>
      </c>
      <c r="AI273" s="13">
        <v>7720000</v>
      </c>
      <c r="AJ273" s="13">
        <v>38600000</v>
      </c>
      <c r="AK273" s="11">
        <v>0</v>
      </c>
      <c r="AL273" s="11">
        <v>0</v>
      </c>
      <c r="AM273" s="11">
        <v>0</v>
      </c>
      <c r="AN273" s="9" t="s">
        <v>67</v>
      </c>
      <c r="AO273" s="11">
        <v>38600000</v>
      </c>
      <c r="AP273" s="13">
        <v>3088000</v>
      </c>
      <c r="AQ273" s="13">
        <v>41688000</v>
      </c>
      <c r="AR273" s="11">
        <v>880</v>
      </c>
      <c r="AS273" s="9" t="s">
        <v>72</v>
      </c>
      <c r="AT273" s="11">
        <v>1000</v>
      </c>
      <c r="AU273" s="9" t="s">
        <v>73</v>
      </c>
      <c r="AV273" s="9" t="s">
        <v>67</v>
      </c>
      <c r="AW273" s="9" t="s">
        <v>1170</v>
      </c>
      <c r="AX273" s="10">
        <v>45993</v>
      </c>
      <c r="AY273" s="9" t="s">
        <v>1171</v>
      </c>
      <c r="AZ273" s="9" t="s">
        <v>67</v>
      </c>
      <c r="BA273" s="9" t="s">
        <v>67</v>
      </c>
      <c r="BB273" s="12">
        <v>1000</v>
      </c>
      <c r="BC273" s="9" t="s">
        <v>74</v>
      </c>
      <c r="BD273" s="9" t="s">
        <v>104</v>
      </c>
      <c r="BE273" s="9" t="s">
        <v>75</v>
      </c>
      <c r="BF273" s="11">
        <v>0</v>
      </c>
      <c r="BG273">
        <f t="shared" si="10"/>
        <v>12</v>
      </c>
      <c r="BH273" t="str">
        <f>VLOOKUP(BG273,[1]month!$A:$B,2,0)</f>
        <v>Desember</v>
      </c>
      <c r="BI273">
        <f t="shared" si="11"/>
        <v>2025</v>
      </c>
      <c r="BJ273" t="str">
        <f>VLOOKUP(I273,[1]Dist!$A:$B,2,0)</f>
        <v>Industry</v>
      </c>
      <c r="BK273" t="str">
        <f>IF(I273=11,VLOOKUP(Y273,[2]Sheet1!$C:$N,10,0),IF(I273=13,VLOOKUP(Y273,[3]Sheet1!$C:$N,10,0),IF(I273=15,VLOOKUP(Y273,[4]Sheet1!$C:$N,10,0),"Unknown")))</f>
        <v>THINNER PU</v>
      </c>
      <c r="BL273" t="str">
        <f>IF(I273=11,VLOOKUP(Y273,[2]Sheet1!$C:$N,12,0),IF(I273=13,VLOOKUP(Y273,[3]Sheet1!$C:$N,12,0),IF(I273=15,VLOOKUP(Y273,[4]Sheet1!$C:$N,12,0),"Unknown")))</f>
        <v>UNION THINNER</v>
      </c>
      <c r="BM273" t="str">
        <f>VLOOKUP(W273,[1]branch!$A:$B,2,0)</f>
        <v>INDUSTRY</v>
      </c>
    </row>
    <row r="274" spans="1:65" x14ac:dyDescent="0.35">
      <c r="A274" s="10">
        <v>45994</v>
      </c>
      <c r="B274" s="9" t="s">
        <v>1169</v>
      </c>
      <c r="C274" s="9" t="s">
        <v>64</v>
      </c>
      <c r="D274" s="9" t="s">
        <v>92</v>
      </c>
      <c r="E274" s="11">
        <v>60</v>
      </c>
      <c r="F274" s="9" t="s">
        <v>93</v>
      </c>
      <c r="G274" s="9" t="s">
        <v>65</v>
      </c>
      <c r="H274" s="9" t="s">
        <v>66</v>
      </c>
      <c r="I274" s="9">
        <v>11</v>
      </c>
      <c r="J274" s="9" t="s">
        <v>275</v>
      </c>
      <c r="K274" s="9" t="s">
        <v>275</v>
      </c>
      <c r="L274" s="9" t="s">
        <v>275</v>
      </c>
      <c r="M274" s="9" t="s">
        <v>276</v>
      </c>
      <c r="N274" s="9" t="s">
        <v>876</v>
      </c>
      <c r="O274" s="9" t="s">
        <v>97</v>
      </c>
      <c r="P274" s="9" t="s">
        <v>67</v>
      </c>
      <c r="Q274" s="9" t="s">
        <v>98</v>
      </c>
      <c r="R274" s="9" t="s">
        <v>275</v>
      </c>
      <c r="S274" s="9" t="s">
        <v>276</v>
      </c>
      <c r="T274" s="9" t="s">
        <v>800</v>
      </c>
      <c r="U274" s="9" t="s">
        <v>67</v>
      </c>
      <c r="V274" s="9" t="s">
        <v>130</v>
      </c>
      <c r="W274" s="9" t="s">
        <v>131</v>
      </c>
      <c r="X274" s="11">
        <v>140</v>
      </c>
      <c r="Y274" s="9" t="s">
        <v>232</v>
      </c>
      <c r="Z274" s="9" t="s">
        <v>68</v>
      </c>
      <c r="AA274" s="9" t="s">
        <v>233</v>
      </c>
      <c r="AB274" s="9" t="s">
        <v>67</v>
      </c>
      <c r="AC274" s="9" t="s">
        <v>234</v>
      </c>
      <c r="AD274" s="11">
        <v>8</v>
      </c>
      <c r="AE274" s="9" t="s">
        <v>70</v>
      </c>
      <c r="AF274" s="9" t="s">
        <v>71</v>
      </c>
      <c r="AG274" s="13">
        <v>1</v>
      </c>
      <c r="AH274" s="9" t="s">
        <v>92</v>
      </c>
      <c r="AI274" s="13">
        <v>1232000</v>
      </c>
      <c r="AJ274" s="13">
        <v>9856000</v>
      </c>
      <c r="AK274" s="11">
        <v>0</v>
      </c>
      <c r="AL274" s="11">
        <v>0</v>
      </c>
      <c r="AM274" s="11">
        <v>0</v>
      </c>
      <c r="AN274" s="9" t="s">
        <v>67</v>
      </c>
      <c r="AO274" s="11">
        <v>9856000</v>
      </c>
      <c r="AP274" s="13">
        <v>788480</v>
      </c>
      <c r="AQ274" s="13">
        <v>10644480</v>
      </c>
      <c r="AR274" s="11">
        <v>160</v>
      </c>
      <c r="AS274" s="9" t="s">
        <v>72</v>
      </c>
      <c r="AT274" s="11">
        <v>128</v>
      </c>
      <c r="AU274" s="9" t="s">
        <v>73</v>
      </c>
      <c r="AV274" s="9" t="s">
        <v>67</v>
      </c>
      <c r="AW274" s="9" t="s">
        <v>1170</v>
      </c>
      <c r="AX274" s="10">
        <v>45993</v>
      </c>
      <c r="AY274" s="9" t="s">
        <v>1171</v>
      </c>
      <c r="AZ274" s="9" t="s">
        <v>67</v>
      </c>
      <c r="BA274" s="9" t="s">
        <v>67</v>
      </c>
      <c r="BB274" s="12">
        <v>160</v>
      </c>
      <c r="BC274" s="9" t="s">
        <v>74</v>
      </c>
      <c r="BD274" s="9" t="s">
        <v>104</v>
      </c>
      <c r="BE274" s="9" t="s">
        <v>75</v>
      </c>
      <c r="BF274" s="11">
        <v>0</v>
      </c>
      <c r="BG274">
        <f t="shared" si="10"/>
        <v>12</v>
      </c>
      <c r="BH274" t="str">
        <f>VLOOKUP(BG274,[1]month!$A:$B,2,0)</f>
        <v>Desember</v>
      </c>
      <c r="BI274">
        <f t="shared" si="11"/>
        <v>2025</v>
      </c>
      <c r="BJ274" t="str">
        <f>VLOOKUP(I274,[1]Dist!$A:$B,2,0)</f>
        <v>Industry</v>
      </c>
      <c r="BK274" t="str">
        <f>IF(I274=11,VLOOKUP(Y274,[2]Sheet1!$C:$N,10,0),IF(I274=13,VLOOKUP(Y274,[3]Sheet1!$C:$N,10,0),IF(I274=15,VLOOKUP(Y274,[4]Sheet1!$C:$N,10,0),"Unknown")))</f>
        <v>PU</v>
      </c>
      <c r="BL274" t="str">
        <f>IF(I274=11,VLOOKUP(Y274,[2]Sheet1!$C:$N,12,0),IF(I274=13,VLOOKUP(Y274,[3]Sheet1!$C:$N,12,0),IF(I274=15,VLOOKUP(Y274,[4]Sheet1!$C:$N,12,0),"Unknown")))</f>
        <v>UNION FILLER</v>
      </c>
      <c r="BM274" t="str">
        <f>VLOOKUP(W274,[1]branch!$A:$B,2,0)</f>
        <v>INDUSTRY</v>
      </c>
    </row>
    <row r="275" spans="1:65" x14ac:dyDescent="0.35">
      <c r="A275" s="10">
        <v>45994</v>
      </c>
      <c r="B275" s="9" t="s">
        <v>1169</v>
      </c>
      <c r="C275" s="9" t="s">
        <v>64</v>
      </c>
      <c r="D275" s="9" t="s">
        <v>92</v>
      </c>
      <c r="E275" s="11">
        <v>60</v>
      </c>
      <c r="F275" s="9" t="s">
        <v>93</v>
      </c>
      <c r="G275" s="9" t="s">
        <v>65</v>
      </c>
      <c r="H275" s="9" t="s">
        <v>66</v>
      </c>
      <c r="I275" s="9">
        <v>11</v>
      </c>
      <c r="J275" s="9" t="s">
        <v>275</v>
      </c>
      <c r="K275" s="9" t="s">
        <v>275</v>
      </c>
      <c r="L275" s="9" t="s">
        <v>275</v>
      </c>
      <c r="M275" s="9" t="s">
        <v>276</v>
      </c>
      <c r="N275" s="9" t="s">
        <v>876</v>
      </c>
      <c r="O275" s="9" t="s">
        <v>97</v>
      </c>
      <c r="P275" s="9" t="s">
        <v>67</v>
      </c>
      <c r="Q275" s="9" t="s">
        <v>98</v>
      </c>
      <c r="R275" s="9" t="s">
        <v>275</v>
      </c>
      <c r="S275" s="9" t="s">
        <v>276</v>
      </c>
      <c r="T275" s="9" t="s">
        <v>800</v>
      </c>
      <c r="U275" s="9" t="s">
        <v>67</v>
      </c>
      <c r="V275" s="9" t="s">
        <v>130</v>
      </c>
      <c r="W275" s="9" t="s">
        <v>131</v>
      </c>
      <c r="X275" s="11">
        <v>150</v>
      </c>
      <c r="Y275" s="9" t="s">
        <v>396</v>
      </c>
      <c r="Z275" s="9" t="s">
        <v>68</v>
      </c>
      <c r="AA275" s="9" t="s">
        <v>397</v>
      </c>
      <c r="AB275" s="9" t="s">
        <v>67</v>
      </c>
      <c r="AC275" s="9" t="s">
        <v>139</v>
      </c>
      <c r="AD275" s="11">
        <v>4</v>
      </c>
      <c r="AE275" s="9" t="s">
        <v>70</v>
      </c>
      <c r="AF275" s="9" t="s">
        <v>71</v>
      </c>
      <c r="AG275" s="13">
        <v>1</v>
      </c>
      <c r="AH275" s="9" t="s">
        <v>92</v>
      </c>
      <c r="AI275" s="13">
        <v>939240</v>
      </c>
      <c r="AJ275" s="13">
        <v>3756960</v>
      </c>
      <c r="AK275" s="11">
        <v>0</v>
      </c>
      <c r="AL275" s="11">
        <v>0</v>
      </c>
      <c r="AM275" s="11">
        <v>0</v>
      </c>
      <c r="AN275" s="9" t="s">
        <v>67</v>
      </c>
      <c r="AO275" s="11">
        <v>3756960</v>
      </c>
      <c r="AP275" s="13">
        <v>300557</v>
      </c>
      <c r="AQ275" s="13">
        <v>4057517</v>
      </c>
      <c r="AR275" s="11">
        <v>72</v>
      </c>
      <c r="AS275" s="9" t="s">
        <v>72</v>
      </c>
      <c r="AT275" s="11">
        <v>75</v>
      </c>
      <c r="AU275" s="9" t="s">
        <v>73</v>
      </c>
      <c r="AV275" s="9" t="s">
        <v>67</v>
      </c>
      <c r="AW275" s="9" t="s">
        <v>1170</v>
      </c>
      <c r="AX275" s="10">
        <v>45993</v>
      </c>
      <c r="AY275" s="9" t="s">
        <v>1171</v>
      </c>
      <c r="AZ275" s="9" t="s">
        <v>67</v>
      </c>
      <c r="BA275" s="9" t="s">
        <v>67</v>
      </c>
      <c r="BB275" s="12">
        <v>72</v>
      </c>
      <c r="BC275" s="9" t="s">
        <v>74</v>
      </c>
      <c r="BD275" s="9" t="s">
        <v>104</v>
      </c>
      <c r="BE275" s="9" t="s">
        <v>75</v>
      </c>
      <c r="BF275" s="11">
        <v>0</v>
      </c>
      <c r="BG275">
        <f t="shared" si="10"/>
        <v>12</v>
      </c>
      <c r="BH275" t="str">
        <f>VLOOKUP(BG275,[1]month!$A:$B,2,0)</f>
        <v>Desember</v>
      </c>
      <c r="BI275">
        <f t="shared" si="11"/>
        <v>2025</v>
      </c>
      <c r="BJ275" t="str">
        <f>VLOOKUP(I275,[1]Dist!$A:$B,2,0)</f>
        <v>Industry</v>
      </c>
      <c r="BK275" t="str">
        <f>IF(I275=11,VLOOKUP(Y275,[2]Sheet1!$C:$N,10,0),IF(I275=13,VLOOKUP(Y275,[3]Sheet1!$C:$N,10,0),IF(I275=15,VLOOKUP(Y275,[4]Sheet1!$C:$N,10,0),"Unknown")))</f>
        <v>THINNER NC</v>
      </c>
      <c r="BL275" t="str">
        <f>IF(I275=11,VLOOKUP(Y275,[2]Sheet1!$C:$N,12,0),IF(I275=13,VLOOKUP(Y275,[3]Sheet1!$C:$N,12,0),IF(I275=15,VLOOKUP(Y275,[4]Sheet1!$C:$N,12,0),"Unknown")))</f>
        <v>THINNER COMPLEMENTARY</v>
      </c>
      <c r="BM275" t="str">
        <f>VLOOKUP(W275,[1]branch!$A:$B,2,0)</f>
        <v>INDUSTRY</v>
      </c>
    </row>
    <row r="276" spans="1:65" x14ac:dyDescent="0.35">
      <c r="A276" s="10">
        <v>45994</v>
      </c>
      <c r="B276" s="9" t="s">
        <v>1169</v>
      </c>
      <c r="C276" s="9" t="s">
        <v>64</v>
      </c>
      <c r="D276" s="9" t="s">
        <v>92</v>
      </c>
      <c r="E276" s="11">
        <v>60</v>
      </c>
      <c r="F276" s="9" t="s">
        <v>93</v>
      </c>
      <c r="G276" s="9" t="s">
        <v>65</v>
      </c>
      <c r="H276" s="9" t="s">
        <v>66</v>
      </c>
      <c r="I276" s="9">
        <v>11</v>
      </c>
      <c r="J276" s="9" t="s">
        <v>275</v>
      </c>
      <c r="K276" s="9" t="s">
        <v>275</v>
      </c>
      <c r="L276" s="9" t="s">
        <v>275</v>
      </c>
      <c r="M276" s="9" t="s">
        <v>276</v>
      </c>
      <c r="N276" s="9" t="s">
        <v>876</v>
      </c>
      <c r="O276" s="9" t="s">
        <v>97</v>
      </c>
      <c r="P276" s="9" t="s">
        <v>67</v>
      </c>
      <c r="Q276" s="9" t="s">
        <v>98</v>
      </c>
      <c r="R276" s="9" t="s">
        <v>275</v>
      </c>
      <c r="S276" s="9" t="s">
        <v>276</v>
      </c>
      <c r="T276" s="9" t="s">
        <v>800</v>
      </c>
      <c r="U276" s="9" t="s">
        <v>67</v>
      </c>
      <c r="V276" s="9" t="s">
        <v>130</v>
      </c>
      <c r="W276" s="9" t="s">
        <v>131</v>
      </c>
      <c r="X276" s="11">
        <v>160</v>
      </c>
      <c r="Y276" s="9" t="s">
        <v>179</v>
      </c>
      <c r="Z276" s="9" t="s">
        <v>68</v>
      </c>
      <c r="AA276" s="9" t="s">
        <v>180</v>
      </c>
      <c r="AB276" s="9" t="s">
        <v>67</v>
      </c>
      <c r="AC276" s="9" t="s">
        <v>181</v>
      </c>
      <c r="AD276" s="11">
        <v>1</v>
      </c>
      <c r="AE276" s="9" t="s">
        <v>70</v>
      </c>
      <c r="AF276" s="9" t="s">
        <v>71</v>
      </c>
      <c r="AG276" s="13">
        <v>1</v>
      </c>
      <c r="AH276" s="9" t="s">
        <v>92</v>
      </c>
      <c r="AI276" s="13">
        <v>8426000</v>
      </c>
      <c r="AJ276" s="13">
        <v>8426000</v>
      </c>
      <c r="AK276" s="11">
        <v>0</v>
      </c>
      <c r="AL276" s="11">
        <v>0</v>
      </c>
      <c r="AM276" s="11">
        <v>0</v>
      </c>
      <c r="AN276" s="9" t="s">
        <v>67</v>
      </c>
      <c r="AO276" s="11">
        <v>8426000</v>
      </c>
      <c r="AP276" s="13">
        <v>674080</v>
      </c>
      <c r="AQ276" s="13">
        <v>9100080</v>
      </c>
      <c r="AR276" s="11">
        <v>180</v>
      </c>
      <c r="AS276" s="9" t="s">
        <v>72</v>
      </c>
      <c r="AT276" s="11">
        <v>200</v>
      </c>
      <c r="AU276" s="9" t="s">
        <v>73</v>
      </c>
      <c r="AV276" s="9" t="s">
        <v>67</v>
      </c>
      <c r="AW276" s="9" t="s">
        <v>1170</v>
      </c>
      <c r="AX276" s="10">
        <v>45993</v>
      </c>
      <c r="AY276" s="9" t="s">
        <v>1171</v>
      </c>
      <c r="AZ276" s="9" t="s">
        <v>67</v>
      </c>
      <c r="BA276" s="9" t="s">
        <v>67</v>
      </c>
      <c r="BB276" s="12">
        <v>200</v>
      </c>
      <c r="BC276" s="9" t="s">
        <v>74</v>
      </c>
      <c r="BD276" s="9" t="s">
        <v>104</v>
      </c>
      <c r="BE276" s="9" t="s">
        <v>75</v>
      </c>
      <c r="BF276" s="11">
        <v>0</v>
      </c>
      <c r="BG276">
        <f t="shared" si="10"/>
        <v>12</v>
      </c>
      <c r="BH276" t="str">
        <f>VLOOKUP(BG276,[1]month!$A:$B,2,0)</f>
        <v>Desember</v>
      </c>
      <c r="BI276">
        <f t="shared" si="11"/>
        <v>2025</v>
      </c>
      <c r="BJ276" t="str">
        <f>VLOOKUP(I276,[1]Dist!$A:$B,2,0)</f>
        <v>Industry</v>
      </c>
      <c r="BK276" t="str">
        <f>IF(I276=11,VLOOKUP(Y276,[2]Sheet1!$C:$N,10,0),IF(I276=13,VLOOKUP(Y276,[3]Sheet1!$C:$N,10,0),IF(I276=15,VLOOKUP(Y276,[4]Sheet1!$C:$N,10,0),"Unknown")))</f>
        <v>THINNER PU</v>
      </c>
      <c r="BL276" t="str">
        <f>IF(I276=11,VLOOKUP(Y276,[2]Sheet1!$C:$N,12,0),IF(I276=13,VLOOKUP(Y276,[3]Sheet1!$C:$N,12,0),IF(I276=15,VLOOKUP(Y276,[4]Sheet1!$C:$N,12,0),"Unknown")))</f>
        <v>THINNER PU</v>
      </c>
      <c r="BM276" t="str">
        <f>VLOOKUP(W276,[1]branch!$A:$B,2,0)</f>
        <v>INDUSTRY</v>
      </c>
    </row>
    <row r="277" spans="1:65" x14ac:dyDescent="0.35">
      <c r="A277" s="10">
        <v>45994</v>
      </c>
      <c r="B277" s="9" t="s">
        <v>1169</v>
      </c>
      <c r="C277" s="9" t="s">
        <v>64</v>
      </c>
      <c r="D277" s="9" t="s">
        <v>92</v>
      </c>
      <c r="E277" s="11">
        <v>60</v>
      </c>
      <c r="F277" s="9" t="s">
        <v>93</v>
      </c>
      <c r="G277" s="9" t="s">
        <v>65</v>
      </c>
      <c r="H277" s="9" t="s">
        <v>66</v>
      </c>
      <c r="I277" s="9">
        <v>11</v>
      </c>
      <c r="J277" s="9" t="s">
        <v>275</v>
      </c>
      <c r="K277" s="9" t="s">
        <v>275</v>
      </c>
      <c r="L277" s="9" t="s">
        <v>275</v>
      </c>
      <c r="M277" s="9" t="s">
        <v>276</v>
      </c>
      <c r="N277" s="9" t="s">
        <v>876</v>
      </c>
      <c r="O277" s="9" t="s">
        <v>97</v>
      </c>
      <c r="P277" s="9" t="s">
        <v>67</v>
      </c>
      <c r="Q277" s="9" t="s">
        <v>98</v>
      </c>
      <c r="R277" s="9" t="s">
        <v>275</v>
      </c>
      <c r="S277" s="9" t="s">
        <v>276</v>
      </c>
      <c r="T277" s="9" t="s">
        <v>800</v>
      </c>
      <c r="U277" s="9" t="s">
        <v>67</v>
      </c>
      <c r="V277" s="9" t="s">
        <v>130</v>
      </c>
      <c r="W277" s="9" t="s">
        <v>131</v>
      </c>
      <c r="X277" s="11">
        <v>170</v>
      </c>
      <c r="Y277" s="9" t="s">
        <v>363</v>
      </c>
      <c r="Z277" s="9" t="s">
        <v>68</v>
      </c>
      <c r="AA277" s="9" t="s">
        <v>364</v>
      </c>
      <c r="AB277" s="9" t="s">
        <v>67</v>
      </c>
      <c r="AC277" s="9" t="s">
        <v>91</v>
      </c>
      <c r="AD277" s="11">
        <v>4</v>
      </c>
      <c r="AE277" s="9" t="s">
        <v>70</v>
      </c>
      <c r="AF277" s="9" t="s">
        <v>71</v>
      </c>
      <c r="AG277" s="13">
        <v>1</v>
      </c>
      <c r="AH277" s="9" t="s">
        <v>92</v>
      </c>
      <c r="AI277" s="13">
        <v>681200</v>
      </c>
      <c r="AJ277" s="13">
        <v>2724800</v>
      </c>
      <c r="AK277" s="11">
        <v>0</v>
      </c>
      <c r="AL277" s="11">
        <v>0</v>
      </c>
      <c r="AM277" s="11">
        <v>0</v>
      </c>
      <c r="AN277" s="9" t="s">
        <v>67</v>
      </c>
      <c r="AO277" s="11">
        <v>2724800</v>
      </c>
      <c r="AP277" s="13">
        <v>217984</v>
      </c>
      <c r="AQ277" s="13">
        <v>2942784</v>
      </c>
      <c r="AR277" s="11">
        <v>16</v>
      </c>
      <c r="AS277" s="9" t="s">
        <v>72</v>
      </c>
      <c r="AT277" s="12">
        <v>9.76</v>
      </c>
      <c r="AU277" s="9" t="s">
        <v>73</v>
      </c>
      <c r="AV277" s="9" t="s">
        <v>67</v>
      </c>
      <c r="AW277" s="9" t="s">
        <v>1170</v>
      </c>
      <c r="AX277" s="10">
        <v>45993</v>
      </c>
      <c r="AY277" s="9" t="s">
        <v>1171</v>
      </c>
      <c r="AZ277" s="9" t="s">
        <v>67</v>
      </c>
      <c r="BA277" s="9" t="s">
        <v>67</v>
      </c>
      <c r="BB277" s="12">
        <v>16</v>
      </c>
      <c r="BC277" s="9" t="s">
        <v>74</v>
      </c>
      <c r="BD277" s="9" t="s">
        <v>104</v>
      </c>
      <c r="BE277" s="9" t="s">
        <v>75</v>
      </c>
      <c r="BF277" s="11">
        <v>0</v>
      </c>
      <c r="BG277">
        <f t="shared" si="10"/>
        <v>12</v>
      </c>
      <c r="BH277" t="str">
        <f>VLOOKUP(BG277,[1]month!$A:$B,2,0)</f>
        <v>Desember</v>
      </c>
      <c r="BI277">
        <f t="shared" si="11"/>
        <v>2025</v>
      </c>
      <c r="BJ277" t="str">
        <f>VLOOKUP(I277,[1]Dist!$A:$B,2,0)</f>
        <v>Industry</v>
      </c>
      <c r="BK277" t="str">
        <f>IF(I277=11,VLOOKUP(Y277,[2]Sheet1!$C:$N,10,0),IF(I277=13,VLOOKUP(Y277,[3]Sheet1!$C:$N,10,0),IF(I277=15,VLOOKUP(Y277,[4]Sheet1!$C:$N,10,0),"Unknown")))</f>
        <v>COMPLEMENTARY</v>
      </c>
      <c r="BL277" t="str">
        <f>IF(I277=11,VLOOKUP(Y277,[2]Sheet1!$C:$N,12,0),IF(I277=13,VLOOKUP(Y277,[3]Sheet1!$C:$N,12,0),IF(I277=15,VLOOKUP(Y277,[4]Sheet1!$C:$N,12,0),"Unknown")))</f>
        <v>PASTA</v>
      </c>
      <c r="BM277" t="str">
        <f>VLOOKUP(W277,[1]branch!$A:$B,2,0)</f>
        <v>INDUSTRY</v>
      </c>
    </row>
    <row r="278" spans="1:65" x14ac:dyDescent="0.35">
      <c r="A278" s="10">
        <v>45994</v>
      </c>
      <c r="B278" s="9" t="s">
        <v>1169</v>
      </c>
      <c r="C278" s="9" t="s">
        <v>64</v>
      </c>
      <c r="D278" s="9" t="s">
        <v>92</v>
      </c>
      <c r="E278" s="11">
        <v>60</v>
      </c>
      <c r="F278" s="9" t="s">
        <v>93</v>
      </c>
      <c r="G278" s="9" t="s">
        <v>65</v>
      </c>
      <c r="H278" s="9" t="s">
        <v>66</v>
      </c>
      <c r="I278" s="9">
        <v>11</v>
      </c>
      <c r="J278" s="9" t="s">
        <v>275</v>
      </c>
      <c r="K278" s="9" t="s">
        <v>275</v>
      </c>
      <c r="L278" s="9" t="s">
        <v>275</v>
      </c>
      <c r="M278" s="9" t="s">
        <v>276</v>
      </c>
      <c r="N278" s="9" t="s">
        <v>876</v>
      </c>
      <c r="O278" s="9" t="s">
        <v>97</v>
      </c>
      <c r="P278" s="9" t="s">
        <v>67</v>
      </c>
      <c r="Q278" s="9" t="s">
        <v>98</v>
      </c>
      <c r="R278" s="9" t="s">
        <v>275</v>
      </c>
      <c r="S278" s="9" t="s">
        <v>276</v>
      </c>
      <c r="T278" s="9" t="s">
        <v>800</v>
      </c>
      <c r="U278" s="9" t="s">
        <v>67</v>
      </c>
      <c r="V278" s="9" t="s">
        <v>130</v>
      </c>
      <c r="W278" s="9" t="s">
        <v>131</v>
      </c>
      <c r="X278" s="11">
        <v>180</v>
      </c>
      <c r="Y278" s="9" t="s">
        <v>502</v>
      </c>
      <c r="Z278" s="9" t="s">
        <v>68</v>
      </c>
      <c r="AA278" s="9" t="s">
        <v>503</v>
      </c>
      <c r="AB278" s="9" t="s">
        <v>67</v>
      </c>
      <c r="AC278" s="9" t="s">
        <v>139</v>
      </c>
      <c r="AD278" s="11">
        <v>3</v>
      </c>
      <c r="AE278" s="9" t="s">
        <v>70</v>
      </c>
      <c r="AF278" s="9" t="s">
        <v>71</v>
      </c>
      <c r="AG278" s="13">
        <v>1</v>
      </c>
      <c r="AH278" s="9" t="s">
        <v>92</v>
      </c>
      <c r="AI278" s="13">
        <v>1443400</v>
      </c>
      <c r="AJ278" s="13">
        <v>4330200</v>
      </c>
      <c r="AK278" s="11">
        <v>0</v>
      </c>
      <c r="AL278" s="11">
        <v>0</v>
      </c>
      <c r="AM278" s="11">
        <v>0</v>
      </c>
      <c r="AN278" s="9" t="s">
        <v>67</v>
      </c>
      <c r="AO278" s="11">
        <v>4330200</v>
      </c>
      <c r="AP278" s="13">
        <v>346416</v>
      </c>
      <c r="AQ278" s="13">
        <v>4676616</v>
      </c>
      <c r="AR278" s="12">
        <v>58.2</v>
      </c>
      <c r="AS278" s="9" t="s">
        <v>72</v>
      </c>
      <c r="AT278" s="11">
        <v>60</v>
      </c>
      <c r="AU278" s="9" t="s">
        <v>73</v>
      </c>
      <c r="AV278" s="9" t="s">
        <v>67</v>
      </c>
      <c r="AW278" s="9" t="s">
        <v>1170</v>
      </c>
      <c r="AX278" s="10">
        <v>45993</v>
      </c>
      <c r="AY278" s="9" t="s">
        <v>1171</v>
      </c>
      <c r="AZ278" s="9" t="s">
        <v>67</v>
      </c>
      <c r="BA278" s="9" t="s">
        <v>67</v>
      </c>
      <c r="BB278" s="12">
        <v>60</v>
      </c>
      <c r="BC278" s="9" t="s">
        <v>74</v>
      </c>
      <c r="BD278" s="9" t="s">
        <v>104</v>
      </c>
      <c r="BE278" s="9" t="s">
        <v>75</v>
      </c>
      <c r="BF278" s="11">
        <v>0</v>
      </c>
      <c r="BG278">
        <f t="shared" si="10"/>
        <v>12</v>
      </c>
      <c r="BH278" t="str">
        <f>VLOOKUP(BG278,[1]month!$A:$B,2,0)</f>
        <v>Desember</v>
      </c>
      <c r="BI278">
        <f t="shared" si="11"/>
        <v>2025</v>
      </c>
      <c r="BJ278" t="str">
        <f>VLOOKUP(I278,[1]Dist!$A:$B,2,0)</f>
        <v>Industry</v>
      </c>
      <c r="BK278" t="str">
        <f>IF(I278=11,VLOOKUP(Y278,[2]Sheet1!$C:$N,10,0),IF(I278=13,VLOOKUP(Y278,[3]Sheet1!$C:$N,10,0),IF(I278=15,VLOOKUP(Y278,[4]Sheet1!$C:$N,10,0),"Unknown")))</f>
        <v>THINNER NC</v>
      </c>
      <c r="BL278" t="str">
        <f>IF(I278=11,VLOOKUP(Y278,[2]Sheet1!$C:$N,12,0),IF(I278=13,VLOOKUP(Y278,[3]Sheet1!$C:$N,12,0),IF(I278=15,VLOOKUP(Y278,[4]Sheet1!$C:$N,12,0),"Unknown")))</f>
        <v>THINNER COMPLEMENTARY</v>
      </c>
      <c r="BM278" t="str">
        <f>VLOOKUP(W278,[1]branch!$A:$B,2,0)</f>
        <v>INDUSTRY</v>
      </c>
    </row>
    <row r="279" spans="1:65" x14ac:dyDescent="0.35">
      <c r="A279" s="10">
        <v>45994</v>
      </c>
      <c r="B279" s="9" t="s">
        <v>1169</v>
      </c>
      <c r="C279" s="9" t="s">
        <v>64</v>
      </c>
      <c r="D279" s="9" t="s">
        <v>92</v>
      </c>
      <c r="E279" s="11">
        <v>60</v>
      </c>
      <c r="F279" s="9" t="s">
        <v>93</v>
      </c>
      <c r="G279" s="9" t="s">
        <v>65</v>
      </c>
      <c r="H279" s="9" t="s">
        <v>66</v>
      </c>
      <c r="I279" s="9">
        <v>11</v>
      </c>
      <c r="J279" s="9" t="s">
        <v>275</v>
      </c>
      <c r="K279" s="9" t="s">
        <v>275</v>
      </c>
      <c r="L279" s="9" t="s">
        <v>275</v>
      </c>
      <c r="M279" s="9" t="s">
        <v>276</v>
      </c>
      <c r="N279" s="9" t="s">
        <v>876</v>
      </c>
      <c r="O279" s="9" t="s">
        <v>97</v>
      </c>
      <c r="P279" s="9" t="s">
        <v>67</v>
      </c>
      <c r="Q279" s="9" t="s">
        <v>98</v>
      </c>
      <c r="R279" s="9" t="s">
        <v>275</v>
      </c>
      <c r="S279" s="9" t="s">
        <v>276</v>
      </c>
      <c r="T279" s="9" t="s">
        <v>800</v>
      </c>
      <c r="U279" s="9" t="s">
        <v>67</v>
      </c>
      <c r="V279" s="9" t="s">
        <v>130</v>
      </c>
      <c r="W279" s="9" t="s">
        <v>131</v>
      </c>
      <c r="X279" s="11">
        <v>190</v>
      </c>
      <c r="Y279" s="9" t="s">
        <v>554</v>
      </c>
      <c r="Z279" s="9" t="s">
        <v>68</v>
      </c>
      <c r="AA279" s="9" t="s">
        <v>555</v>
      </c>
      <c r="AB279" s="9" t="s">
        <v>67</v>
      </c>
      <c r="AC279" s="9" t="s">
        <v>139</v>
      </c>
      <c r="AD279" s="11">
        <v>2</v>
      </c>
      <c r="AE279" s="9" t="s">
        <v>70</v>
      </c>
      <c r="AF279" s="9" t="s">
        <v>71</v>
      </c>
      <c r="AG279" s="13">
        <v>1</v>
      </c>
      <c r="AH279" s="9" t="s">
        <v>92</v>
      </c>
      <c r="AI279" s="13">
        <v>645600</v>
      </c>
      <c r="AJ279" s="13">
        <v>1291200</v>
      </c>
      <c r="AK279" s="11">
        <v>0</v>
      </c>
      <c r="AL279" s="11">
        <v>0</v>
      </c>
      <c r="AM279" s="11">
        <v>0</v>
      </c>
      <c r="AN279" s="9" t="s">
        <v>67</v>
      </c>
      <c r="AO279" s="11">
        <v>1291200</v>
      </c>
      <c r="AP279" s="13">
        <v>103296</v>
      </c>
      <c r="AQ279" s="13">
        <v>1394496</v>
      </c>
      <c r="AR279" s="11">
        <v>36</v>
      </c>
      <c r="AS279" s="9" t="s">
        <v>72</v>
      </c>
      <c r="AT279" s="11">
        <v>40</v>
      </c>
      <c r="AU279" s="9" t="s">
        <v>73</v>
      </c>
      <c r="AV279" s="9" t="s">
        <v>67</v>
      </c>
      <c r="AW279" s="9" t="s">
        <v>1170</v>
      </c>
      <c r="AX279" s="10">
        <v>45993</v>
      </c>
      <c r="AY279" s="9" t="s">
        <v>1171</v>
      </c>
      <c r="AZ279" s="9" t="s">
        <v>67</v>
      </c>
      <c r="BA279" s="9" t="s">
        <v>67</v>
      </c>
      <c r="BB279" s="12">
        <v>40</v>
      </c>
      <c r="BC279" s="9" t="s">
        <v>74</v>
      </c>
      <c r="BD279" s="9" t="s">
        <v>104</v>
      </c>
      <c r="BE279" s="9" t="s">
        <v>75</v>
      </c>
      <c r="BF279" s="11">
        <v>0</v>
      </c>
      <c r="BG279">
        <f t="shared" si="10"/>
        <v>12</v>
      </c>
      <c r="BH279" t="str">
        <f>VLOOKUP(BG279,[1]month!$A:$B,2,0)</f>
        <v>Desember</v>
      </c>
      <c r="BI279">
        <f t="shared" si="11"/>
        <v>2025</v>
      </c>
      <c r="BJ279" t="str">
        <f>VLOOKUP(I279,[1]Dist!$A:$B,2,0)</f>
        <v>Industry</v>
      </c>
      <c r="BK279" t="str">
        <f>IF(I279=11,VLOOKUP(Y279,[2]Sheet1!$C:$N,10,0),IF(I279=13,VLOOKUP(Y279,[3]Sheet1!$C:$N,10,0),IF(I279=15,VLOOKUP(Y279,[4]Sheet1!$C:$N,10,0),"Unknown")))</f>
        <v>THINNER NC</v>
      </c>
      <c r="BL279" t="str">
        <f>IF(I279=11,VLOOKUP(Y279,[2]Sheet1!$C:$N,12,0),IF(I279=13,VLOOKUP(Y279,[3]Sheet1!$C:$N,12,0),IF(I279=15,VLOOKUP(Y279,[4]Sheet1!$C:$N,12,0),"Unknown")))</f>
        <v>THINNER COMPLEMENTARY</v>
      </c>
      <c r="BM279" t="str">
        <f>VLOOKUP(W279,[1]branch!$A:$B,2,0)</f>
        <v>INDUSTRY</v>
      </c>
    </row>
    <row r="280" spans="1:65" x14ac:dyDescent="0.35">
      <c r="A280" s="10">
        <v>45994</v>
      </c>
      <c r="B280" s="9" t="s">
        <v>1169</v>
      </c>
      <c r="C280" s="9" t="s">
        <v>64</v>
      </c>
      <c r="D280" s="9" t="s">
        <v>92</v>
      </c>
      <c r="E280" s="11">
        <v>60</v>
      </c>
      <c r="F280" s="9" t="s">
        <v>93</v>
      </c>
      <c r="G280" s="9" t="s">
        <v>65</v>
      </c>
      <c r="H280" s="9" t="s">
        <v>66</v>
      </c>
      <c r="I280" s="9">
        <v>11</v>
      </c>
      <c r="J280" s="9" t="s">
        <v>275</v>
      </c>
      <c r="K280" s="9" t="s">
        <v>275</v>
      </c>
      <c r="L280" s="9" t="s">
        <v>275</v>
      </c>
      <c r="M280" s="9" t="s">
        <v>276</v>
      </c>
      <c r="N280" s="9" t="s">
        <v>876</v>
      </c>
      <c r="O280" s="9" t="s">
        <v>97</v>
      </c>
      <c r="P280" s="9" t="s">
        <v>67</v>
      </c>
      <c r="Q280" s="9" t="s">
        <v>98</v>
      </c>
      <c r="R280" s="9" t="s">
        <v>275</v>
      </c>
      <c r="S280" s="9" t="s">
        <v>276</v>
      </c>
      <c r="T280" s="9" t="s">
        <v>800</v>
      </c>
      <c r="U280" s="9" t="s">
        <v>67</v>
      </c>
      <c r="V280" s="9" t="s">
        <v>130</v>
      </c>
      <c r="W280" s="9" t="s">
        <v>131</v>
      </c>
      <c r="X280" s="11">
        <v>200</v>
      </c>
      <c r="Y280" s="9" t="s">
        <v>607</v>
      </c>
      <c r="Z280" s="9" t="s">
        <v>68</v>
      </c>
      <c r="AA280" s="9" t="s">
        <v>608</v>
      </c>
      <c r="AB280" s="9" t="s">
        <v>67</v>
      </c>
      <c r="AC280" s="9" t="s">
        <v>91</v>
      </c>
      <c r="AD280" s="11">
        <v>2</v>
      </c>
      <c r="AE280" s="9" t="s">
        <v>70</v>
      </c>
      <c r="AF280" s="9" t="s">
        <v>71</v>
      </c>
      <c r="AG280" s="13">
        <v>1</v>
      </c>
      <c r="AH280" s="9" t="s">
        <v>92</v>
      </c>
      <c r="AI280" s="13">
        <v>662800</v>
      </c>
      <c r="AJ280" s="13">
        <v>1325600</v>
      </c>
      <c r="AK280" s="11">
        <v>0</v>
      </c>
      <c r="AL280" s="11">
        <v>0</v>
      </c>
      <c r="AM280" s="11">
        <v>0</v>
      </c>
      <c r="AN280" s="9" t="s">
        <v>67</v>
      </c>
      <c r="AO280" s="11">
        <v>1325600</v>
      </c>
      <c r="AP280" s="13">
        <v>106048</v>
      </c>
      <c r="AQ280" s="13">
        <v>1431648</v>
      </c>
      <c r="AR280" s="11">
        <v>8</v>
      </c>
      <c r="AS280" s="9" t="s">
        <v>72</v>
      </c>
      <c r="AT280" s="12">
        <v>6.26</v>
      </c>
      <c r="AU280" s="9" t="s">
        <v>73</v>
      </c>
      <c r="AV280" s="9" t="s">
        <v>67</v>
      </c>
      <c r="AW280" s="9" t="s">
        <v>1170</v>
      </c>
      <c r="AX280" s="10">
        <v>45993</v>
      </c>
      <c r="AY280" s="9" t="s">
        <v>1171</v>
      </c>
      <c r="AZ280" s="9" t="s">
        <v>67</v>
      </c>
      <c r="BA280" s="9" t="s">
        <v>67</v>
      </c>
      <c r="BB280" s="12">
        <v>8</v>
      </c>
      <c r="BC280" s="9" t="s">
        <v>74</v>
      </c>
      <c r="BD280" s="9" t="s">
        <v>104</v>
      </c>
      <c r="BE280" s="9" t="s">
        <v>75</v>
      </c>
      <c r="BF280" s="11">
        <v>0</v>
      </c>
      <c r="BG280">
        <f t="shared" si="10"/>
        <v>12</v>
      </c>
      <c r="BH280" t="str">
        <f>VLOOKUP(BG280,[1]month!$A:$B,2,0)</f>
        <v>Desember</v>
      </c>
      <c r="BI280">
        <f t="shared" si="11"/>
        <v>2025</v>
      </c>
      <c r="BJ280" t="str">
        <f>VLOOKUP(I280,[1]Dist!$A:$B,2,0)</f>
        <v>Industry</v>
      </c>
      <c r="BK280" t="str">
        <f>IF(I280=11,VLOOKUP(Y280,[2]Sheet1!$C:$N,10,0),IF(I280=13,VLOOKUP(Y280,[3]Sheet1!$C:$N,10,0),IF(I280=15,VLOOKUP(Y280,[4]Sheet1!$C:$N,10,0),"Unknown")))</f>
        <v>COMPLEMENTARY</v>
      </c>
      <c r="BL280" t="str">
        <f>IF(I280=11,VLOOKUP(Y280,[2]Sheet1!$C:$N,12,0),IF(I280=13,VLOOKUP(Y280,[3]Sheet1!$C:$N,12,0),IF(I280=15,VLOOKUP(Y280,[4]Sheet1!$C:$N,12,0),"Unknown")))</f>
        <v>PASTA</v>
      </c>
      <c r="BM280" t="str">
        <f>VLOOKUP(W280,[1]branch!$A:$B,2,0)</f>
        <v>INDUSTRY</v>
      </c>
    </row>
    <row r="281" spans="1:65" x14ac:dyDescent="0.35">
      <c r="A281" s="10">
        <v>45994</v>
      </c>
      <c r="B281" s="9" t="s">
        <v>1169</v>
      </c>
      <c r="C281" s="9" t="s">
        <v>64</v>
      </c>
      <c r="D281" s="9" t="s">
        <v>92</v>
      </c>
      <c r="E281" s="11">
        <v>60</v>
      </c>
      <c r="F281" s="9" t="s">
        <v>93</v>
      </c>
      <c r="G281" s="9" t="s">
        <v>65</v>
      </c>
      <c r="H281" s="9" t="s">
        <v>66</v>
      </c>
      <c r="I281" s="9">
        <v>11</v>
      </c>
      <c r="J281" s="9" t="s">
        <v>275</v>
      </c>
      <c r="K281" s="9" t="s">
        <v>275</v>
      </c>
      <c r="L281" s="9" t="s">
        <v>275</v>
      </c>
      <c r="M281" s="9" t="s">
        <v>276</v>
      </c>
      <c r="N281" s="9" t="s">
        <v>876</v>
      </c>
      <c r="O281" s="9" t="s">
        <v>97</v>
      </c>
      <c r="P281" s="9" t="s">
        <v>67</v>
      </c>
      <c r="Q281" s="9" t="s">
        <v>98</v>
      </c>
      <c r="R281" s="9" t="s">
        <v>275</v>
      </c>
      <c r="S281" s="9" t="s">
        <v>276</v>
      </c>
      <c r="T281" s="9" t="s">
        <v>800</v>
      </c>
      <c r="U281" s="9" t="s">
        <v>67</v>
      </c>
      <c r="V281" s="9" t="s">
        <v>130</v>
      </c>
      <c r="W281" s="9" t="s">
        <v>131</v>
      </c>
      <c r="X281" s="11">
        <v>201</v>
      </c>
      <c r="Y281" s="9" t="s">
        <v>860</v>
      </c>
      <c r="Z281" s="9" t="s">
        <v>68</v>
      </c>
      <c r="AA281" s="9" t="s">
        <v>861</v>
      </c>
      <c r="AB281" s="9" t="s">
        <v>67</v>
      </c>
      <c r="AC281" s="9" t="s">
        <v>178</v>
      </c>
      <c r="AD281" s="11">
        <v>27</v>
      </c>
      <c r="AE281" s="9" t="s">
        <v>70</v>
      </c>
      <c r="AF281" s="9" t="s">
        <v>71</v>
      </c>
      <c r="AG281" s="13">
        <v>1</v>
      </c>
      <c r="AH281" s="9" t="s">
        <v>92</v>
      </c>
      <c r="AI281" s="13">
        <v>1467200</v>
      </c>
      <c r="AJ281" s="13">
        <v>39614400</v>
      </c>
      <c r="AK281" s="11">
        <v>0</v>
      </c>
      <c r="AL281" s="11">
        <v>0</v>
      </c>
      <c r="AM281" s="11">
        <v>0</v>
      </c>
      <c r="AN281" s="9" t="s">
        <v>67</v>
      </c>
      <c r="AO281" s="11">
        <v>39614400</v>
      </c>
      <c r="AP281" s="13">
        <v>3169152</v>
      </c>
      <c r="AQ281" s="13">
        <v>42783552</v>
      </c>
      <c r="AR281" s="11">
        <v>432</v>
      </c>
      <c r="AS281" s="9" t="s">
        <v>72</v>
      </c>
      <c r="AT281" s="12">
        <v>427.73399999999998</v>
      </c>
      <c r="AU281" s="9" t="s">
        <v>73</v>
      </c>
      <c r="AV281" s="9" t="s">
        <v>67</v>
      </c>
      <c r="AW281" s="9" t="s">
        <v>1170</v>
      </c>
      <c r="AX281" s="10">
        <v>45993</v>
      </c>
      <c r="AY281" s="9" t="s">
        <v>1171</v>
      </c>
      <c r="AZ281" s="9" t="s">
        <v>67</v>
      </c>
      <c r="BA281" s="9" t="s">
        <v>67</v>
      </c>
      <c r="BB281" s="12">
        <v>432</v>
      </c>
      <c r="BC281" s="9" t="s">
        <v>74</v>
      </c>
      <c r="BD281" s="9" t="s">
        <v>104</v>
      </c>
      <c r="BE281" s="9" t="s">
        <v>75</v>
      </c>
      <c r="BF281" s="11">
        <v>0</v>
      </c>
      <c r="BG281">
        <f t="shared" si="10"/>
        <v>12</v>
      </c>
      <c r="BH281" t="str">
        <f>VLOOKUP(BG281,[1]month!$A:$B,2,0)</f>
        <v>Desember</v>
      </c>
      <c r="BI281">
        <f t="shared" si="11"/>
        <v>2025</v>
      </c>
      <c r="BJ281" t="str">
        <f>VLOOKUP(I281,[1]Dist!$A:$B,2,0)</f>
        <v>Industry</v>
      </c>
      <c r="BK281" t="str">
        <f>IF(I281=11,VLOOKUP(Y281,[2]Sheet1!$C:$N,10,0),IF(I281=13,VLOOKUP(Y281,[3]Sheet1!$C:$N,10,0),IF(I281=15,VLOOKUP(Y281,[4]Sheet1!$C:$N,10,0),"Unknown")))</f>
        <v>PU</v>
      </c>
      <c r="BL281" t="str">
        <f>IF(I281=11,VLOOKUP(Y281,[2]Sheet1!$C:$N,12,0),IF(I281=13,VLOOKUP(Y281,[3]Sheet1!$C:$N,12,0),IF(I281=15,VLOOKUP(Y281,[4]Sheet1!$C:$N,12,0),"Unknown")))</f>
        <v>UNION HARDENER</v>
      </c>
      <c r="BM281" t="str">
        <f>VLOOKUP(W281,[1]branch!$A:$B,2,0)</f>
        <v>INDUSTRY</v>
      </c>
    </row>
    <row r="282" spans="1:65" x14ac:dyDescent="0.35">
      <c r="A282" s="10">
        <v>45994</v>
      </c>
      <c r="B282" s="9" t="s">
        <v>1169</v>
      </c>
      <c r="C282" s="9" t="s">
        <v>64</v>
      </c>
      <c r="D282" s="9" t="s">
        <v>92</v>
      </c>
      <c r="E282" s="11">
        <v>60</v>
      </c>
      <c r="F282" s="9" t="s">
        <v>93</v>
      </c>
      <c r="G282" s="9" t="s">
        <v>65</v>
      </c>
      <c r="H282" s="9" t="s">
        <v>66</v>
      </c>
      <c r="I282" s="9">
        <v>11</v>
      </c>
      <c r="J282" s="9" t="s">
        <v>275</v>
      </c>
      <c r="K282" s="9" t="s">
        <v>275</v>
      </c>
      <c r="L282" s="9" t="s">
        <v>275</v>
      </c>
      <c r="M282" s="9" t="s">
        <v>276</v>
      </c>
      <c r="N282" s="9" t="s">
        <v>876</v>
      </c>
      <c r="O282" s="9" t="s">
        <v>97</v>
      </c>
      <c r="P282" s="9" t="s">
        <v>67</v>
      </c>
      <c r="Q282" s="9" t="s">
        <v>98</v>
      </c>
      <c r="R282" s="9" t="s">
        <v>275</v>
      </c>
      <c r="S282" s="9" t="s">
        <v>276</v>
      </c>
      <c r="T282" s="9" t="s">
        <v>800</v>
      </c>
      <c r="U282" s="9" t="s">
        <v>67</v>
      </c>
      <c r="V282" s="9" t="s">
        <v>130</v>
      </c>
      <c r="W282" s="9" t="s">
        <v>131</v>
      </c>
      <c r="X282" s="11">
        <v>202</v>
      </c>
      <c r="Y282" s="9" t="s">
        <v>860</v>
      </c>
      <c r="Z282" s="9" t="s">
        <v>68</v>
      </c>
      <c r="AA282" s="9" t="s">
        <v>861</v>
      </c>
      <c r="AB282" s="9" t="s">
        <v>67</v>
      </c>
      <c r="AC282" s="9" t="s">
        <v>178</v>
      </c>
      <c r="AD282" s="11">
        <v>3</v>
      </c>
      <c r="AE282" s="9" t="s">
        <v>70</v>
      </c>
      <c r="AF282" s="9" t="s">
        <v>71</v>
      </c>
      <c r="AG282" s="13">
        <v>1</v>
      </c>
      <c r="AH282" s="9" t="s">
        <v>92</v>
      </c>
      <c r="AI282" s="13">
        <v>1467200</v>
      </c>
      <c r="AJ282" s="13">
        <v>4401600</v>
      </c>
      <c r="AK282" s="11">
        <v>0</v>
      </c>
      <c r="AL282" s="11">
        <v>0</v>
      </c>
      <c r="AM282" s="11">
        <v>0</v>
      </c>
      <c r="AN282" s="9" t="s">
        <v>67</v>
      </c>
      <c r="AO282" s="11">
        <v>4401600</v>
      </c>
      <c r="AP282" s="13">
        <v>352128</v>
      </c>
      <c r="AQ282" s="13">
        <v>4753728</v>
      </c>
      <c r="AR282" s="11">
        <v>48</v>
      </c>
      <c r="AS282" s="9" t="s">
        <v>72</v>
      </c>
      <c r="AT282" s="12">
        <v>47.526000000000003</v>
      </c>
      <c r="AU282" s="9" t="s">
        <v>73</v>
      </c>
      <c r="AV282" s="9" t="s">
        <v>67</v>
      </c>
      <c r="AW282" s="9" t="s">
        <v>1170</v>
      </c>
      <c r="AX282" s="10">
        <v>45993</v>
      </c>
      <c r="AY282" s="9" t="s">
        <v>1171</v>
      </c>
      <c r="AZ282" s="9" t="s">
        <v>67</v>
      </c>
      <c r="BA282" s="9" t="s">
        <v>67</v>
      </c>
      <c r="BB282" s="12">
        <v>48</v>
      </c>
      <c r="BC282" s="9" t="s">
        <v>74</v>
      </c>
      <c r="BD282" s="9" t="s">
        <v>104</v>
      </c>
      <c r="BE282" s="9" t="s">
        <v>75</v>
      </c>
      <c r="BF282" s="11">
        <v>0</v>
      </c>
      <c r="BG282">
        <f t="shared" si="10"/>
        <v>12</v>
      </c>
      <c r="BH282" t="str">
        <f>VLOOKUP(BG282,[1]month!$A:$B,2,0)</f>
        <v>Desember</v>
      </c>
      <c r="BI282">
        <f t="shared" si="11"/>
        <v>2025</v>
      </c>
      <c r="BJ282" t="str">
        <f>VLOOKUP(I282,[1]Dist!$A:$B,2,0)</f>
        <v>Industry</v>
      </c>
      <c r="BK282" t="str">
        <f>IF(I282=11,VLOOKUP(Y282,[2]Sheet1!$C:$N,10,0),IF(I282=13,VLOOKUP(Y282,[3]Sheet1!$C:$N,10,0),IF(I282=15,VLOOKUP(Y282,[4]Sheet1!$C:$N,10,0),"Unknown")))</f>
        <v>PU</v>
      </c>
      <c r="BL282" t="str">
        <f>IF(I282=11,VLOOKUP(Y282,[2]Sheet1!$C:$N,12,0),IF(I282=13,VLOOKUP(Y282,[3]Sheet1!$C:$N,12,0),IF(I282=15,VLOOKUP(Y282,[4]Sheet1!$C:$N,12,0),"Unknown")))</f>
        <v>UNION HARDENER</v>
      </c>
      <c r="BM282" t="str">
        <f>VLOOKUP(W282,[1]branch!$A:$B,2,0)</f>
        <v>INDUSTRY</v>
      </c>
    </row>
    <row r="283" spans="1:65" x14ac:dyDescent="0.35">
      <c r="A283" s="10">
        <v>45994</v>
      </c>
      <c r="B283" s="9" t="s">
        <v>1172</v>
      </c>
      <c r="C283" s="9" t="s">
        <v>64</v>
      </c>
      <c r="D283" s="9" t="s">
        <v>92</v>
      </c>
      <c r="E283" s="11">
        <v>60</v>
      </c>
      <c r="F283" s="9" t="s">
        <v>93</v>
      </c>
      <c r="G283" s="9" t="s">
        <v>65</v>
      </c>
      <c r="H283" s="9" t="s">
        <v>66</v>
      </c>
      <c r="I283" s="9">
        <v>11</v>
      </c>
      <c r="J283" s="9" t="s">
        <v>132</v>
      </c>
      <c r="K283" s="9" t="s">
        <v>132</v>
      </c>
      <c r="L283" s="9" t="s">
        <v>132</v>
      </c>
      <c r="M283" s="9" t="s">
        <v>133</v>
      </c>
      <c r="N283" s="9" t="s">
        <v>586</v>
      </c>
      <c r="O283" s="9" t="s">
        <v>97</v>
      </c>
      <c r="P283" s="9" t="s">
        <v>67</v>
      </c>
      <c r="Q283" s="9" t="s">
        <v>98</v>
      </c>
      <c r="R283" s="9" t="s">
        <v>672</v>
      </c>
      <c r="S283" s="9" t="s">
        <v>133</v>
      </c>
      <c r="T283" s="9" t="s">
        <v>823</v>
      </c>
      <c r="U283" s="9" t="s">
        <v>67</v>
      </c>
      <c r="V283" s="9" t="s">
        <v>130</v>
      </c>
      <c r="W283" s="9" t="s">
        <v>131</v>
      </c>
      <c r="X283" s="11">
        <v>40</v>
      </c>
      <c r="Y283" s="9" t="s">
        <v>136</v>
      </c>
      <c r="Z283" s="9" t="s">
        <v>68</v>
      </c>
      <c r="AA283" s="9" t="s">
        <v>636</v>
      </c>
      <c r="AB283" s="9" t="s">
        <v>67</v>
      </c>
      <c r="AC283" s="9" t="s">
        <v>137</v>
      </c>
      <c r="AD283" s="11">
        <v>1</v>
      </c>
      <c r="AE283" s="9" t="s">
        <v>70</v>
      </c>
      <c r="AF283" s="9" t="s">
        <v>71</v>
      </c>
      <c r="AG283" s="13">
        <v>1</v>
      </c>
      <c r="AH283" s="9" t="s">
        <v>92</v>
      </c>
      <c r="AI283" s="13">
        <v>12924000</v>
      </c>
      <c r="AJ283" s="13">
        <v>12924000</v>
      </c>
      <c r="AK283" s="11">
        <v>0</v>
      </c>
      <c r="AL283" s="11">
        <v>0</v>
      </c>
      <c r="AM283" s="11">
        <v>0</v>
      </c>
      <c r="AN283" s="9" t="s">
        <v>67</v>
      </c>
      <c r="AO283" s="11">
        <v>12924000</v>
      </c>
      <c r="AP283" s="13">
        <v>1033920</v>
      </c>
      <c r="AQ283" s="13">
        <v>13957920</v>
      </c>
      <c r="AR283" s="11">
        <v>180</v>
      </c>
      <c r="AS283" s="9" t="s">
        <v>72</v>
      </c>
      <c r="AT283" s="12">
        <v>183.67</v>
      </c>
      <c r="AU283" s="9" t="s">
        <v>73</v>
      </c>
      <c r="AV283" s="9" t="s">
        <v>67</v>
      </c>
      <c r="AW283" s="9" t="s">
        <v>984</v>
      </c>
      <c r="AX283" s="10">
        <v>45988</v>
      </c>
      <c r="AY283" s="9" t="s">
        <v>1173</v>
      </c>
      <c r="AZ283" s="9" t="s">
        <v>67</v>
      </c>
      <c r="BA283" s="9" t="s">
        <v>67</v>
      </c>
      <c r="BB283" s="12">
        <v>180</v>
      </c>
      <c r="BC283" s="9" t="s">
        <v>74</v>
      </c>
      <c r="BD283" s="9" t="s">
        <v>104</v>
      </c>
      <c r="BE283" s="9" t="s">
        <v>75</v>
      </c>
      <c r="BF283" s="11">
        <v>0</v>
      </c>
      <c r="BG283">
        <f t="shared" si="10"/>
        <v>12</v>
      </c>
      <c r="BH283" t="str">
        <f>VLOOKUP(BG283,[1]month!$A:$B,2,0)</f>
        <v>Desember</v>
      </c>
      <c r="BI283">
        <f t="shared" si="11"/>
        <v>2025</v>
      </c>
      <c r="BJ283" t="str">
        <f>VLOOKUP(I283,[1]Dist!$A:$B,2,0)</f>
        <v>Industry</v>
      </c>
      <c r="BK283" t="str">
        <f>IF(I283=11,VLOOKUP(Y283,[2]Sheet1!$C:$N,10,0),IF(I283=13,VLOOKUP(Y283,[3]Sheet1!$C:$N,10,0),IF(I283=15,VLOOKUP(Y283,[4]Sheet1!$C:$N,10,0),"Unknown")))</f>
        <v>NC</v>
      </c>
      <c r="BL283" t="str">
        <f>IF(I283=11,VLOOKUP(Y283,[2]Sheet1!$C:$N,12,0),IF(I283=13,VLOOKUP(Y283,[3]Sheet1!$C:$N,12,0),IF(I283=15,VLOOKUP(Y283,[4]Sheet1!$C:$N,12,0),"Unknown")))</f>
        <v>ASOF : NC BASE COAT</v>
      </c>
      <c r="BM283" t="str">
        <f>VLOOKUP(W283,[1]branch!$A:$B,2,0)</f>
        <v>INDUSTRY</v>
      </c>
    </row>
    <row r="284" spans="1:65" x14ac:dyDescent="0.35">
      <c r="A284" s="10">
        <v>45994</v>
      </c>
      <c r="B284" s="9" t="s">
        <v>1172</v>
      </c>
      <c r="C284" s="9" t="s">
        <v>64</v>
      </c>
      <c r="D284" s="9" t="s">
        <v>92</v>
      </c>
      <c r="E284" s="11">
        <v>60</v>
      </c>
      <c r="F284" s="9" t="s">
        <v>93</v>
      </c>
      <c r="G284" s="9" t="s">
        <v>65</v>
      </c>
      <c r="H284" s="9" t="s">
        <v>66</v>
      </c>
      <c r="I284" s="9">
        <v>11</v>
      </c>
      <c r="J284" s="9" t="s">
        <v>132</v>
      </c>
      <c r="K284" s="9" t="s">
        <v>132</v>
      </c>
      <c r="L284" s="9" t="s">
        <v>132</v>
      </c>
      <c r="M284" s="9" t="s">
        <v>133</v>
      </c>
      <c r="N284" s="9" t="s">
        <v>586</v>
      </c>
      <c r="O284" s="9" t="s">
        <v>97</v>
      </c>
      <c r="P284" s="9" t="s">
        <v>67</v>
      </c>
      <c r="Q284" s="9" t="s">
        <v>98</v>
      </c>
      <c r="R284" s="9" t="s">
        <v>672</v>
      </c>
      <c r="S284" s="9" t="s">
        <v>133</v>
      </c>
      <c r="T284" s="9" t="s">
        <v>823</v>
      </c>
      <c r="U284" s="9" t="s">
        <v>67</v>
      </c>
      <c r="V284" s="9" t="s">
        <v>130</v>
      </c>
      <c r="W284" s="9" t="s">
        <v>131</v>
      </c>
      <c r="X284" s="11">
        <v>70</v>
      </c>
      <c r="Y284" s="9" t="s">
        <v>140</v>
      </c>
      <c r="Z284" s="9" t="s">
        <v>68</v>
      </c>
      <c r="AA284" s="9" t="s">
        <v>597</v>
      </c>
      <c r="AB284" s="9" t="s">
        <v>67</v>
      </c>
      <c r="AC284" s="9" t="s">
        <v>79</v>
      </c>
      <c r="AD284" s="11">
        <v>1</v>
      </c>
      <c r="AE284" s="9" t="s">
        <v>70</v>
      </c>
      <c r="AF284" s="9" t="s">
        <v>71</v>
      </c>
      <c r="AG284" s="13">
        <v>1</v>
      </c>
      <c r="AH284" s="9" t="s">
        <v>92</v>
      </c>
      <c r="AI284" s="13">
        <v>7035000</v>
      </c>
      <c r="AJ284" s="13">
        <v>7035000</v>
      </c>
      <c r="AK284" s="11">
        <v>0</v>
      </c>
      <c r="AL284" s="11">
        <v>0</v>
      </c>
      <c r="AM284" s="11">
        <v>0</v>
      </c>
      <c r="AN284" s="9" t="s">
        <v>67</v>
      </c>
      <c r="AO284" s="11">
        <v>7035000</v>
      </c>
      <c r="AP284" s="13">
        <v>562800</v>
      </c>
      <c r="AQ284" s="13">
        <v>7597800</v>
      </c>
      <c r="AR284" s="11">
        <v>150</v>
      </c>
      <c r="AS284" s="9" t="s">
        <v>72</v>
      </c>
      <c r="AT284" s="12">
        <v>187.5</v>
      </c>
      <c r="AU284" s="9" t="s">
        <v>73</v>
      </c>
      <c r="AV284" s="9" t="s">
        <v>67</v>
      </c>
      <c r="AW284" s="9" t="s">
        <v>984</v>
      </c>
      <c r="AX284" s="10">
        <v>45988</v>
      </c>
      <c r="AY284" s="9" t="s">
        <v>1173</v>
      </c>
      <c r="AZ284" s="9" t="s">
        <v>67</v>
      </c>
      <c r="BA284" s="9" t="s">
        <v>67</v>
      </c>
      <c r="BB284" s="12">
        <v>150</v>
      </c>
      <c r="BC284" s="9" t="s">
        <v>74</v>
      </c>
      <c r="BD284" s="9" t="s">
        <v>104</v>
      </c>
      <c r="BE284" s="9" t="s">
        <v>75</v>
      </c>
      <c r="BF284" s="11">
        <v>0</v>
      </c>
      <c r="BG284">
        <f t="shared" si="10"/>
        <v>12</v>
      </c>
      <c r="BH284" t="str">
        <f>VLOOKUP(BG284,[1]month!$A:$B,2,0)</f>
        <v>Desember</v>
      </c>
      <c r="BI284">
        <f t="shared" si="11"/>
        <v>2025</v>
      </c>
      <c r="BJ284" t="str">
        <f>VLOOKUP(I284,[1]Dist!$A:$B,2,0)</f>
        <v>Industry</v>
      </c>
      <c r="BK284" t="str">
        <f>IF(I284=11,VLOOKUP(Y284,[2]Sheet1!$C:$N,10,0),IF(I284=13,VLOOKUP(Y284,[3]Sheet1!$C:$N,10,0),IF(I284=15,VLOOKUP(Y284,[4]Sheet1!$C:$N,10,0),"Unknown")))</f>
        <v>THINNER NC</v>
      </c>
      <c r="BL284" t="str">
        <f>IF(I284=11,VLOOKUP(Y284,[2]Sheet1!$C:$N,12,0),IF(I284=13,VLOOKUP(Y284,[3]Sheet1!$C:$N,12,0),IF(I284=15,VLOOKUP(Y284,[4]Sheet1!$C:$N,12,0),"Unknown")))</f>
        <v>THINNER GLAZE</v>
      </c>
      <c r="BM284" t="str">
        <f>VLOOKUP(W284,[1]branch!$A:$B,2,0)</f>
        <v>INDUSTRY</v>
      </c>
    </row>
    <row r="285" spans="1:65" x14ac:dyDescent="0.35">
      <c r="A285" s="10">
        <v>45994</v>
      </c>
      <c r="B285" s="9" t="s">
        <v>1172</v>
      </c>
      <c r="C285" s="9" t="s">
        <v>64</v>
      </c>
      <c r="D285" s="9" t="s">
        <v>92</v>
      </c>
      <c r="E285" s="11">
        <v>60</v>
      </c>
      <c r="F285" s="9" t="s">
        <v>93</v>
      </c>
      <c r="G285" s="9" t="s">
        <v>65</v>
      </c>
      <c r="H285" s="9" t="s">
        <v>66</v>
      </c>
      <c r="I285" s="9">
        <v>11</v>
      </c>
      <c r="J285" s="9" t="s">
        <v>132</v>
      </c>
      <c r="K285" s="9" t="s">
        <v>132</v>
      </c>
      <c r="L285" s="9" t="s">
        <v>132</v>
      </c>
      <c r="M285" s="9" t="s">
        <v>133</v>
      </c>
      <c r="N285" s="9" t="s">
        <v>586</v>
      </c>
      <c r="O285" s="9" t="s">
        <v>97</v>
      </c>
      <c r="P285" s="9" t="s">
        <v>67</v>
      </c>
      <c r="Q285" s="9" t="s">
        <v>98</v>
      </c>
      <c r="R285" s="9" t="s">
        <v>672</v>
      </c>
      <c r="S285" s="9" t="s">
        <v>133</v>
      </c>
      <c r="T285" s="9" t="s">
        <v>823</v>
      </c>
      <c r="U285" s="9" t="s">
        <v>67</v>
      </c>
      <c r="V285" s="9" t="s">
        <v>130</v>
      </c>
      <c r="W285" s="9" t="s">
        <v>131</v>
      </c>
      <c r="X285" s="11">
        <v>80</v>
      </c>
      <c r="Y285" s="9" t="s">
        <v>141</v>
      </c>
      <c r="Z285" s="9" t="s">
        <v>68</v>
      </c>
      <c r="AA285" s="9" t="s">
        <v>626</v>
      </c>
      <c r="AB285" s="9" t="s">
        <v>67</v>
      </c>
      <c r="AC285" s="9" t="s">
        <v>69</v>
      </c>
      <c r="AD285" s="11">
        <v>4</v>
      </c>
      <c r="AE285" s="9" t="s">
        <v>70</v>
      </c>
      <c r="AF285" s="9" t="s">
        <v>71</v>
      </c>
      <c r="AG285" s="13">
        <v>1</v>
      </c>
      <c r="AH285" s="9" t="s">
        <v>92</v>
      </c>
      <c r="AI285" s="13">
        <v>6448000</v>
      </c>
      <c r="AJ285" s="13">
        <v>25792000</v>
      </c>
      <c r="AK285" s="11">
        <v>0</v>
      </c>
      <c r="AL285" s="11">
        <v>0</v>
      </c>
      <c r="AM285" s="11">
        <v>0</v>
      </c>
      <c r="AN285" s="9" t="s">
        <v>67</v>
      </c>
      <c r="AO285" s="11">
        <v>25792000</v>
      </c>
      <c r="AP285" s="13">
        <v>2063360</v>
      </c>
      <c r="AQ285" s="13">
        <v>27855360</v>
      </c>
      <c r="AR285" s="11">
        <v>640</v>
      </c>
      <c r="AS285" s="9" t="s">
        <v>72</v>
      </c>
      <c r="AT285" s="12">
        <v>719.12</v>
      </c>
      <c r="AU285" s="9" t="s">
        <v>73</v>
      </c>
      <c r="AV285" s="9" t="s">
        <v>67</v>
      </c>
      <c r="AW285" s="9" t="s">
        <v>984</v>
      </c>
      <c r="AX285" s="10">
        <v>45988</v>
      </c>
      <c r="AY285" s="9" t="s">
        <v>1173</v>
      </c>
      <c r="AZ285" s="9" t="s">
        <v>67</v>
      </c>
      <c r="BA285" s="9" t="s">
        <v>67</v>
      </c>
      <c r="BB285" s="12">
        <v>640</v>
      </c>
      <c r="BC285" s="9" t="s">
        <v>74</v>
      </c>
      <c r="BD285" s="9" t="s">
        <v>104</v>
      </c>
      <c r="BE285" s="9" t="s">
        <v>75</v>
      </c>
      <c r="BF285" s="11">
        <v>0</v>
      </c>
      <c r="BG285">
        <f t="shared" si="10"/>
        <v>12</v>
      </c>
      <c r="BH285" t="str">
        <f>VLOOKUP(BG285,[1]month!$A:$B,2,0)</f>
        <v>Desember</v>
      </c>
      <c r="BI285">
        <f t="shared" si="11"/>
        <v>2025</v>
      </c>
      <c r="BJ285" t="str">
        <f>VLOOKUP(I285,[1]Dist!$A:$B,2,0)</f>
        <v>Industry</v>
      </c>
      <c r="BK285" t="str">
        <f>IF(I285=11,VLOOKUP(Y285,[2]Sheet1!$C:$N,10,0),IF(I285=13,VLOOKUP(Y285,[3]Sheet1!$C:$N,10,0),IF(I285=15,VLOOKUP(Y285,[4]Sheet1!$C:$N,10,0),"Unknown")))</f>
        <v>THINNER NC</v>
      </c>
      <c r="BL285" t="str">
        <f>IF(I285=11,VLOOKUP(Y285,[2]Sheet1!$C:$N,12,0),IF(I285=13,VLOOKUP(Y285,[3]Sheet1!$C:$N,12,0),IF(I285=15,VLOOKUP(Y285,[4]Sheet1!$C:$N,12,0),"Unknown")))</f>
        <v>THINNER NC</v>
      </c>
      <c r="BM285" t="str">
        <f>VLOOKUP(W285,[1]branch!$A:$B,2,0)</f>
        <v>INDUSTRY</v>
      </c>
    </row>
    <row r="286" spans="1:65" x14ac:dyDescent="0.35">
      <c r="A286" s="10">
        <v>45994</v>
      </c>
      <c r="B286" s="9" t="s">
        <v>1172</v>
      </c>
      <c r="C286" s="9" t="s">
        <v>64</v>
      </c>
      <c r="D286" s="9" t="s">
        <v>92</v>
      </c>
      <c r="E286" s="11">
        <v>60</v>
      </c>
      <c r="F286" s="9" t="s">
        <v>93</v>
      </c>
      <c r="G286" s="9" t="s">
        <v>65</v>
      </c>
      <c r="H286" s="9" t="s">
        <v>66</v>
      </c>
      <c r="I286" s="9">
        <v>11</v>
      </c>
      <c r="J286" s="9" t="s">
        <v>132</v>
      </c>
      <c r="K286" s="9" t="s">
        <v>132</v>
      </c>
      <c r="L286" s="9" t="s">
        <v>132</v>
      </c>
      <c r="M286" s="9" t="s">
        <v>133</v>
      </c>
      <c r="N286" s="9" t="s">
        <v>586</v>
      </c>
      <c r="O286" s="9" t="s">
        <v>97</v>
      </c>
      <c r="P286" s="9" t="s">
        <v>67</v>
      </c>
      <c r="Q286" s="9" t="s">
        <v>98</v>
      </c>
      <c r="R286" s="9" t="s">
        <v>672</v>
      </c>
      <c r="S286" s="9" t="s">
        <v>133</v>
      </c>
      <c r="T286" s="9" t="s">
        <v>823</v>
      </c>
      <c r="U286" s="9" t="s">
        <v>67</v>
      </c>
      <c r="V286" s="9" t="s">
        <v>130</v>
      </c>
      <c r="W286" s="9" t="s">
        <v>131</v>
      </c>
      <c r="X286" s="11">
        <v>90</v>
      </c>
      <c r="Y286" s="9" t="s">
        <v>782</v>
      </c>
      <c r="Z286" s="9" t="s">
        <v>68</v>
      </c>
      <c r="AA286" s="9" t="s">
        <v>783</v>
      </c>
      <c r="AB286" s="9" t="s">
        <v>67</v>
      </c>
      <c r="AC286" s="9" t="s">
        <v>135</v>
      </c>
      <c r="AD286" s="11">
        <v>2</v>
      </c>
      <c r="AE286" s="9" t="s">
        <v>70</v>
      </c>
      <c r="AF286" s="9" t="s">
        <v>71</v>
      </c>
      <c r="AG286" s="13">
        <v>1</v>
      </c>
      <c r="AH286" s="9" t="s">
        <v>92</v>
      </c>
      <c r="AI286" s="13">
        <v>2062000</v>
      </c>
      <c r="AJ286" s="13">
        <v>4124000</v>
      </c>
      <c r="AK286" s="11">
        <v>0</v>
      </c>
      <c r="AL286" s="11">
        <v>0</v>
      </c>
      <c r="AM286" s="11">
        <v>0</v>
      </c>
      <c r="AN286" s="9" t="s">
        <v>67</v>
      </c>
      <c r="AO286" s="11">
        <v>4124000</v>
      </c>
      <c r="AP286" s="13">
        <v>329920</v>
      </c>
      <c r="AQ286" s="13">
        <v>4453920</v>
      </c>
      <c r="AR286" s="11">
        <v>40</v>
      </c>
      <c r="AS286" s="9" t="s">
        <v>72</v>
      </c>
      <c r="AT286" s="12">
        <v>35.088000000000001</v>
      </c>
      <c r="AU286" s="9" t="s">
        <v>73</v>
      </c>
      <c r="AV286" s="9" t="s">
        <v>67</v>
      </c>
      <c r="AW286" s="9" t="s">
        <v>984</v>
      </c>
      <c r="AX286" s="10">
        <v>45988</v>
      </c>
      <c r="AY286" s="9" t="s">
        <v>1173</v>
      </c>
      <c r="AZ286" s="9" t="s">
        <v>67</v>
      </c>
      <c r="BA286" s="9" t="s">
        <v>67</v>
      </c>
      <c r="BB286" s="12">
        <v>40</v>
      </c>
      <c r="BC286" s="9" t="s">
        <v>74</v>
      </c>
      <c r="BD286" s="9" t="s">
        <v>104</v>
      </c>
      <c r="BE286" s="9" t="s">
        <v>75</v>
      </c>
      <c r="BF286" s="11">
        <v>0</v>
      </c>
      <c r="BG286">
        <f t="shared" si="10"/>
        <v>12</v>
      </c>
      <c r="BH286" t="str">
        <f>VLOOKUP(BG286,[1]month!$A:$B,2,0)</f>
        <v>Desember</v>
      </c>
      <c r="BI286">
        <f t="shared" si="11"/>
        <v>2025</v>
      </c>
      <c r="BJ286" t="str">
        <f>VLOOKUP(I286,[1]Dist!$A:$B,2,0)</f>
        <v>Industry</v>
      </c>
      <c r="BK286" t="str">
        <f>IF(I286=11,VLOOKUP(Y286,[2]Sheet1!$C:$N,10,0),IF(I286=13,VLOOKUP(Y286,[3]Sheet1!$C:$N,10,0),IF(I286=15,VLOOKUP(Y286,[4]Sheet1!$C:$N,10,0),"Unknown")))</f>
        <v>NC</v>
      </c>
      <c r="BL286" t="str">
        <f>IF(I286=11,VLOOKUP(Y286,[2]Sheet1!$C:$N,12,0),IF(I286=13,VLOOKUP(Y286,[3]Sheet1!$C:$N,12,0),IF(I286=15,VLOOKUP(Y286,[4]Sheet1!$C:$N,12,0),"Unknown")))</f>
        <v>ASOF : NC BASE COAT</v>
      </c>
      <c r="BM286" t="str">
        <f>VLOOKUP(W286,[1]branch!$A:$B,2,0)</f>
        <v>INDUSTRY</v>
      </c>
    </row>
    <row r="287" spans="1:65" x14ac:dyDescent="0.35">
      <c r="A287" s="10">
        <v>45994</v>
      </c>
      <c r="B287" s="9" t="s">
        <v>1172</v>
      </c>
      <c r="C287" s="9" t="s">
        <v>64</v>
      </c>
      <c r="D287" s="9" t="s">
        <v>92</v>
      </c>
      <c r="E287" s="11">
        <v>60</v>
      </c>
      <c r="F287" s="9" t="s">
        <v>93</v>
      </c>
      <c r="G287" s="9" t="s">
        <v>65</v>
      </c>
      <c r="H287" s="9" t="s">
        <v>66</v>
      </c>
      <c r="I287" s="9">
        <v>11</v>
      </c>
      <c r="J287" s="9" t="s">
        <v>132</v>
      </c>
      <c r="K287" s="9" t="s">
        <v>132</v>
      </c>
      <c r="L287" s="9" t="s">
        <v>132</v>
      </c>
      <c r="M287" s="9" t="s">
        <v>133</v>
      </c>
      <c r="N287" s="9" t="s">
        <v>586</v>
      </c>
      <c r="O287" s="9" t="s">
        <v>97</v>
      </c>
      <c r="P287" s="9" t="s">
        <v>67</v>
      </c>
      <c r="Q287" s="9" t="s">
        <v>98</v>
      </c>
      <c r="R287" s="9" t="s">
        <v>672</v>
      </c>
      <c r="S287" s="9" t="s">
        <v>133</v>
      </c>
      <c r="T287" s="9" t="s">
        <v>823</v>
      </c>
      <c r="U287" s="9" t="s">
        <v>67</v>
      </c>
      <c r="V287" s="9" t="s">
        <v>130</v>
      </c>
      <c r="W287" s="9" t="s">
        <v>131</v>
      </c>
      <c r="X287" s="11">
        <v>91</v>
      </c>
      <c r="Y287" s="9" t="s">
        <v>542</v>
      </c>
      <c r="Z287" s="9" t="s">
        <v>68</v>
      </c>
      <c r="AA287" s="9" t="s">
        <v>627</v>
      </c>
      <c r="AB287" s="9" t="s">
        <v>67</v>
      </c>
      <c r="AC287" s="9" t="s">
        <v>135</v>
      </c>
      <c r="AD287" s="11">
        <v>1</v>
      </c>
      <c r="AE287" s="9" t="s">
        <v>70</v>
      </c>
      <c r="AF287" s="9" t="s">
        <v>71</v>
      </c>
      <c r="AG287" s="13">
        <v>1</v>
      </c>
      <c r="AH287" s="9" t="s">
        <v>92</v>
      </c>
      <c r="AI287" s="13">
        <v>17460000</v>
      </c>
      <c r="AJ287" s="13">
        <v>17460000</v>
      </c>
      <c r="AK287" s="11">
        <v>0</v>
      </c>
      <c r="AL287" s="11">
        <v>0</v>
      </c>
      <c r="AM287" s="11">
        <v>0</v>
      </c>
      <c r="AN287" s="9" t="s">
        <v>67</v>
      </c>
      <c r="AO287" s="11">
        <v>17460000</v>
      </c>
      <c r="AP287" s="13">
        <v>1396800</v>
      </c>
      <c r="AQ287" s="13">
        <v>18856800</v>
      </c>
      <c r="AR287" s="11">
        <v>200</v>
      </c>
      <c r="AS287" s="9" t="s">
        <v>72</v>
      </c>
      <c r="AT287" s="12">
        <v>185.19</v>
      </c>
      <c r="AU287" s="9" t="s">
        <v>73</v>
      </c>
      <c r="AV287" s="9" t="s">
        <v>67</v>
      </c>
      <c r="AW287" s="9" t="s">
        <v>984</v>
      </c>
      <c r="AX287" s="10">
        <v>45988</v>
      </c>
      <c r="AY287" s="9" t="s">
        <v>1173</v>
      </c>
      <c r="AZ287" s="9" t="s">
        <v>67</v>
      </c>
      <c r="BA287" s="9" t="s">
        <v>67</v>
      </c>
      <c r="BB287" s="12">
        <v>200</v>
      </c>
      <c r="BC287" s="9" t="s">
        <v>74</v>
      </c>
      <c r="BD287" s="9" t="s">
        <v>104</v>
      </c>
      <c r="BE287" s="9" t="s">
        <v>75</v>
      </c>
      <c r="BF287" s="11">
        <v>0</v>
      </c>
      <c r="BG287">
        <f t="shared" si="10"/>
        <v>12</v>
      </c>
      <c r="BH287" t="str">
        <f>VLOOKUP(BG287,[1]month!$A:$B,2,0)</f>
        <v>Desember</v>
      </c>
      <c r="BI287">
        <f t="shared" si="11"/>
        <v>2025</v>
      </c>
      <c r="BJ287" t="str">
        <f>VLOOKUP(I287,[1]Dist!$A:$B,2,0)</f>
        <v>Industry</v>
      </c>
      <c r="BK287" t="str">
        <f>IF(I287=11,VLOOKUP(Y287,[2]Sheet1!$C:$N,10,0),IF(I287=13,VLOOKUP(Y287,[3]Sheet1!$C:$N,10,0),IF(I287=15,VLOOKUP(Y287,[4]Sheet1!$C:$N,10,0),"Unknown")))</f>
        <v>NC</v>
      </c>
      <c r="BL287" t="str">
        <f>IF(I287=11,VLOOKUP(Y287,[2]Sheet1!$C:$N,12,0),IF(I287=13,VLOOKUP(Y287,[3]Sheet1!$C:$N,12,0),IF(I287=15,VLOOKUP(Y287,[4]Sheet1!$C:$N,12,0),"Unknown")))</f>
        <v>ASOF : NC BASE COAT</v>
      </c>
      <c r="BM287" t="str">
        <f>VLOOKUP(W287,[1]branch!$A:$B,2,0)</f>
        <v>INDUSTRY</v>
      </c>
    </row>
    <row r="288" spans="1:65" x14ac:dyDescent="0.35">
      <c r="A288" s="10">
        <v>45994</v>
      </c>
      <c r="B288" s="9" t="s">
        <v>1174</v>
      </c>
      <c r="C288" s="9" t="s">
        <v>64</v>
      </c>
      <c r="D288" s="9" t="s">
        <v>92</v>
      </c>
      <c r="E288" s="11">
        <v>30</v>
      </c>
      <c r="F288" s="9" t="s">
        <v>93</v>
      </c>
      <c r="G288" s="9" t="s">
        <v>65</v>
      </c>
      <c r="H288" s="9" t="s">
        <v>66</v>
      </c>
      <c r="I288" s="9">
        <v>11</v>
      </c>
      <c r="J288" s="9" t="s">
        <v>751</v>
      </c>
      <c r="K288" s="9" t="s">
        <v>751</v>
      </c>
      <c r="L288" s="9" t="s">
        <v>751</v>
      </c>
      <c r="M288" s="9" t="s">
        <v>752</v>
      </c>
      <c r="N288" s="9" t="s">
        <v>395</v>
      </c>
      <c r="O288" s="9" t="s">
        <v>97</v>
      </c>
      <c r="P288" s="9" t="s">
        <v>67</v>
      </c>
      <c r="Q288" s="9" t="s">
        <v>98</v>
      </c>
      <c r="R288" s="9" t="s">
        <v>900</v>
      </c>
      <c r="S288" s="9" t="s">
        <v>752</v>
      </c>
      <c r="T288" s="9" t="s">
        <v>901</v>
      </c>
      <c r="U288" s="9" t="s">
        <v>67</v>
      </c>
      <c r="V288" s="9" t="s">
        <v>99</v>
      </c>
      <c r="W288" s="9" t="s">
        <v>100</v>
      </c>
      <c r="X288" s="11">
        <v>70</v>
      </c>
      <c r="Y288" s="9" t="s">
        <v>552</v>
      </c>
      <c r="Z288" s="9" t="s">
        <v>68</v>
      </c>
      <c r="AA288" s="9" t="s">
        <v>553</v>
      </c>
      <c r="AB288" s="9" t="s">
        <v>67</v>
      </c>
      <c r="AC288" s="9" t="s">
        <v>139</v>
      </c>
      <c r="AD288" s="11">
        <v>10</v>
      </c>
      <c r="AE288" s="9" t="s">
        <v>70</v>
      </c>
      <c r="AF288" s="9" t="s">
        <v>71</v>
      </c>
      <c r="AG288" s="13">
        <v>1</v>
      </c>
      <c r="AH288" s="9" t="s">
        <v>92</v>
      </c>
      <c r="AI288" s="13">
        <v>7718000</v>
      </c>
      <c r="AJ288" s="13">
        <v>77180000</v>
      </c>
      <c r="AK288" s="11">
        <v>0</v>
      </c>
      <c r="AL288" s="11">
        <v>0</v>
      </c>
      <c r="AM288" s="11">
        <v>0</v>
      </c>
      <c r="AN288" s="9" t="s">
        <v>67</v>
      </c>
      <c r="AO288" s="11">
        <v>77180000</v>
      </c>
      <c r="AP288" s="13">
        <v>6174400</v>
      </c>
      <c r="AQ288" s="13">
        <v>83354400</v>
      </c>
      <c r="AR288" s="11">
        <v>1760</v>
      </c>
      <c r="AS288" s="9" t="s">
        <v>72</v>
      </c>
      <c r="AT288" s="11">
        <v>2000</v>
      </c>
      <c r="AU288" s="9" t="s">
        <v>73</v>
      </c>
      <c r="AV288" s="9" t="s">
        <v>67</v>
      </c>
      <c r="AW288" s="9" t="s">
        <v>914</v>
      </c>
      <c r="AX288" s="10">
        <v>45937</v>
      </c>
      <c r="AY288" s="9" t="s">
        <v>1175</v>
      </c>
      <c r="AZ288" s="9" t="s">
        <v>67</v>
      </c>
      <c r="BA288" s="9" t="s">
        <v>67</v>
      </c>
      <c r="BB288" s="12">
        <v>2000</v>
      </c>
      <c r="BC288" s="9" t="s">
        <v>74</v>
      </c>
      <c r="BD288" s="9" t="s">
        <v>104</v>
      </c>
      <c r="BE288" s="9" t="s">
        <v>75</v>
      </c>
      <c r="BF288" s="11">
        <v>0</v>
      </c>
      <c r="BG288">
        <f t="shared" si="10"/>
        <v>12</v>
      </c>
      <c r="BH288" t="str">
        <f>VLOOKUP(BG288,[1]month!$A:$B,2,0)</f>
        <v>Desember</v>
      </c>
      <c r="BI288">
        <f t="shared" si="11"/>
        <v>2025</v>
      </c>
      <c r="BJ288" t="str">
        <f>VLOOKUP(I288,[1]Dist!$A:$B,2,0)</f>
        <v>Industry</v>
      </c>
      <c r="BK288" t="str">
        <f>IF(I288=11,VLOOKUP(Y288,[2]Sheet1!$C:$N,10,0),IF(I288=13,VLOOKUP(Y288,[3]Sheet1!$C:$N,10,0),IF(I288=15,VLOOKUP(Y288,[4]Sheet1!$C:$N,10,0),"Unknown")))</f>
        <v>THINNER NC</v>
      </c>
      <c r="BL288" t="str">
        <f>IF(I288=11,VLOOKUP(Y288,[2]Sheet1!$C:$N,12,0),IF(I288=13,VLOOKUP(Y288,[3]Sheet1!$C:$N,12,0),IF(I288=15,VLOOKUP(Y288,[4]Sheet1!$C:$N,12,0),"Unknown")))</f>
        <v>THINNER COMPLEMENTARY</v>
      </c>
      <c r="BM288" t="str">
        <f>VLOOKUP(W288,[1]branch!$A:$B,2,0)</f>
        <v>INDUSTRY</v>
      </c>
    </row>
    <row r="289" spans="1:65" x14ac:dyDescent="0.35">
      <c r="A289" s="10">
        <v>45994</v>
      </c>
      <c r="B289" s="9" t="s">
        <v>1176</v>
      </c>
      <c r="C289" s="9" t="s">
        <v>64</v>
      </c>
      <c r="D289" s="9" t="s">
        <v>92</v>
      </c>
      <c r="E289" s="11">
        <v>30</v>
      </c>
      <c r="F289" s="9" t="s">
        <v>93</v>
      </c>
      <c r="G289" s="9" t="s">
        <v>65</v>
      </c>
      <c r="H289" s="9" t="s">
        <v>66</v>
      </c>
      <c r="I289" s="9">
        <v>11</v>
      </c>
      <c r="J289" s="9" t="s">
        <v>751</v>
      </c>
      <c r="K289" s="9" t="s">
        <v>751</v>
      </c>
      <c r="L289" s="9" t="s">
        <v>751</v>
      </c>
      <c r="M289" s="9" t="s">
        <v>752</v>
      </c>
      <c r="N289" s="9" t="s">
        <v>395</v>
      </c>
      <c r="O289" s="9" t="s">
        <v>97</v>
      </c>
      <c r="P289" s="9" t="s">
        <v>67</v>
      </c>
      <c r="Q289" s="9" t="s">
        <v>98</v>
      </c>
      <c r="R289" s="9" t="s">
        <v>900</v>
      </c>
      <c r="S289" s="9" t="s">
        <v>752</v>
      </c>
      <c r="T289" s="9" t="s">
        <v>901</v>
      </c>
      <c r="U289" s="9" t="s">
        <v>67</v>
      </c>
      <c r="V289" s="9" t="s">
        <v>99</v>
      </c>
      <c r="W289" s="9" t="s">
        <v>100</v>
      </c>
      <c r="X289" s="11">
        <v>30</v>
      </c>
      <c r="Y289" s="9" t="s">
        <v>753</v>
      </c>
      <c r="Z289" s="9" t="s">
        <v>68</v>
      </c>
      <c r="AA289" s="9" t="s">
        <v>754</v>
      </c>
      <c r="AB289" s="9" t="s">
        <v>67</v>
      </c>
      <c r="AC289" s="9" t="s">
        <v>142</v>
      </c>
      <c r="AD289" s="11">
        <v>6</v>
      </c>
      <c r="AE289" s="9" t="s">
        <v>70</v>
      </c>
      <c r="AF289" s="9" t="s">
        <v>71</v>
      </c>
      <c r="AG289" s="13">
        <v>1</v>
      </c>
      <c r="AH289" s="9" t="s">
        <v>92</v>
      </c>
      <c r="AI289" s="13">
        <v>1833840</v>
      </c>
      <c r="AJ289" s="13">
        <v>11003040</v>
      </c>
      <c r="AK289" s="11">
        <v>0</v>
      </c>
      <c r="AL289" s="11">
        <v>0</v>
      </c>
      <c r="AM289" s="11">
        <v>0</v>
      </c>
      <c r="AN289" s="9" t="s">
        <v>67</v>
      </c>
      <c r="AO289" s="11">
        <v>11003040</v>
      </c>
      <c r="AP289" s="13">
        <v>880243</v>
      </c>
      <c r="AQ289" s="13">
        <v>11883283</v>
      </c>
      <c r="AR289" s="11">
        <v>108</v>
      </c>
      <c r="AS289" s="9" t="s">
        <v>72</v>
      </c>
      <c r="AT289" s="12">
        <v>109.08</v>
      </c>
      <c r="AU289" s="9" t="s">
        <v>73</v>
      </c>
      <c r="AV289" s="9" t="s">
        <v>67</v>
      </c>
      <c r="AW289" s="9" t="s">
        <v>955</v>
      </c>
      <c r="AX289" s="10">
        <v>45985</v>
      </c>
      <c r="AY289" s="9" t="s">
        <v>1177</v>
      </c>
      <c r="AZ289" s="9" t="s">
        <v>67</v>
      </c>
      <c r="BA289" s="9" t="s">
        <v>67</v>
      </c>
      <c r="BB289" s="12">
        <v>108</v>
      </c>
      <c r="BC289" s="9" t="s">
        <v>74</v>
      </c>
      <c r="BD289" s="9" t="s">
        <v>104</v>
      </c>
      <c r="BE289" s="9" t="s">
        <v>75</v>
      </c>
      <c r="BF289" s="11">
        <v>0</v>
      </c>
      <c r="BG289">
        <f t="shared" si="10"/>
        <v>12</v>
      </c>
      <c r="BH289" t="str">
        <f>VLOOKUP(BG289,[1]month!$A:$B,2,0)</f>
        <v>Desember</v>
      </c>
      <c r="BI289">
        <f t="shared" si="11"/>
        <v>2025</v>
      </c>
      <c r="BJ289" t="str">
        <f>VLOOKUP(I289,[1]Dist!$A:$B,2,0)</f>
        <v>Industry</v>
      </c>
      <c r="BK289" t="str">
        <f>IF(I289=11,VLOOKUP(Y289,[2]Sheet1!$C:$N,10,0),IF(I289=13,VLOOKUP(Y289,[3]Sheet1!$C:$N,10,0),IF(I289=15,VLOOKUP(Y289,[4]Sheet1!$C:$N,10,0),"Unknown")))</f>
        <v>NC</v>
      </c>
      <c r="BL289" t="str">
        <f>IF(I289=11,VLOOKUP(Y289,[2]Sheet1!$C:$N,12,0),IF(I289=13,VLOOKUP(Y289,[3]Sheet1!$C:$N,12,0),IF(I289=15,VLOOKUP(Y289,[4]Sheet1!$C:$N,12,0),"Unknown")))</f>
        <v>ASOF : NC TOP COAT</v>
      </c>
      <c r="BM289" t="str">
        <f>VLOOKUP(W289,[1]branch!$A:$B,2,0)</f>
        <v>INDUSTRY</v>
      </c>
    </row>
    <row r="290" spans="1:65" x14ac:dyDescent="0.35">
      <c r="A290" s="10">
        <v>45994</v>
      </c>
      <c r="B290" s="9" t="s">
        <v>1176</v>
      </c>
      <c r="C290" s="9" t="s">
        <v>64</v>
      </c>
      <c r="D290" s="9" t="s">
        <v>92</v>
      </c>
      <c r="E290" s="11">
        <v>30</v>
      </c>
      <c r="F290" s="9" t="s">
        <v>93</v>
      </c>
      <c r="G290" s="9" t="s">
        <v>65</v>
      </c>
      <c r="H290" s="9" t="s">
        <v>66</v>
      </c>
      <c r="I290" s="9">
        <v>11</v>
      </c>
      <c r="J290" s="9" t="s">
        <v>751</v>
      </c>
      <c r="K290" s="9" t="s">
        <v>751</v>
      </c>
      <c r="L290" s="9" t="s">
        <v>751</v>
      </c>
      <c r="M290" s="9" t="s">
        <v>752</v>
      </c>
      <c r="N290" s="9" t="s">
        <v>395</v>
      </c>
      <c r="O290" s="9" t="s">
        <v>97</v>
      </c>
      <c r="P290" s="9" t="s">
        <v>67</v>
      </c>
      <c r="Q290" s="9" t="s">
        <v>98</v>
      </c>
      <c r="R290" s="9" t="s">
        <v>900</v>
      </c>
      <c r="S290" s="9" t="s">
        <v>752</v>
      </c>
      <c r="T290" s="9" t="s">
        <v>901</v>
      </c>
      <c r="U290" s="9" t="s">
        <v>67</v>
      </c>
      <c r="V290" s="9" t="s">
        <v>99</v>
      </c>
      <c r="W290" s="9" t="s">
        <v>100</v>
      </c>
      <c r="X290" s="11">
        <v>40</v>
      </c>
      <c r="Y290" s="9" t="s">
        <v>755</v>
      </c>
      <c r="Z290" s="9" t="s">
        <v>68</v>
      </c>
      <c r="AA290" s="9" t="s">
        <v>756</v>
      </c>
      <c r="AB290" s="9" t="s">
        <v>67</v>
      </c>
      <c r="AC290" s="9" t="s">
        <v>137</v>
      </c>
      <c r="AD290" s="11">
        <v>11</v>
      </c>
      <c r="AE290" s="9" t="s">
        <v>70</v>
      </c>
      <c r="AF290" s="9" t="s">
        <v>71</v>
      </c>
      <c r="AG290" s="13">
        <v>1</v>
      </c>
      <c r="AH290" s="9" t="s">
        <v>92</v>
      </c>
      <c r="AI290" s="13">
        <v>1693200</v>
      </c>
      <c r="AJ290" s="13">
        <v>18625200</v>
      </c>
      <c r="AK290" s="11">
        <v>0</v>
      </c>
      <c r="AL290" s="11">
        <v>0</v>
      </c>
      <c r="AM290" s="11">
        <v>0</v>
      </c>
      <c r="AN290" s="9" t="s">
        <v>67</v>
      </c>
      <c r="AO290" s="11">
        <v>18625200</v>
      </c>
      <c r="AP290" s="13">
        <v>1490016</v>
      </c>
      <c r="AQ290" s="13">
        <v>20115216</v>
      </c>
      <c r="AR290" s="12">
        <v>215.6</v>
      </c>
      <c r="AS290" s="9" t="s">
        <v>72</v>
      </c>
      <c r="AT290" s="11">
        <v>220</v>
      </c>
      <c r="AU290" s="9" t="s">
        <v>73</v>
      </c>
      <c r="AV290" s="9" t="s">
        <v>67</v>
      </c>
      <c r="AW290" s="9" t="s">
        <v>955</v>
      </c>
      <c r="AX290" s="10">
        <v>45985</v>
      </c>
      <c r="AY290" s="9" t="s">
        <v>1177</v>
      </c>
      <c r="AZ290" s="9" t="s">
        <v>67</v>
      </c>
      <c r="BA290" s="9" t="s">
        <v>67</v>
      </c>
      <c r="BB290" s="12">
        <v>220</v>
      </c>
      <c r="BC290" s="9" t="s">
        <v>74</v>
      </c>
      <c r="BD290" s="9" t="s">
        <v>104</v>
      </c>
      <c r="BE290" s="9" t="s">
        <v>75</v>
      </c>
      <c r="BF290" s="11">
        <v>0</v>
      </c>
      <c r="BG290">
        <f t="shared" si="10"/>
        <v>12</v>
      </c>
      <c r="BH290" t="str">
        <f>VLOOKUP(BG290,[1]month!$A:$B,2,0)</f>
        <v>Desember</v>
      </c>
      <c r="BI290">
        <f t="shared" si="11"/>
        <v>2025</v>
      </c>
      <c r="BJ290" t="str">
        <f>VLOOKUP(I290,[1]Dist!$A:$B,2,0)</f>
        <v>Industry</v>
      </c>
      <c r="BK290" t="str">
        <f>IF(I290=11,VLOOKUP(Y290,[2]Sheet1!$C:$N,10,0),IF(I290=13,VLOOKUP(Y290,[3]Sheet1!$C:$N,10,0),IF(I290=15,VLOOKUP(Y290,[4]Sheet1!$C:$N,10,0),"Unknown")))</f>
        <v>NC</v>
      </c>
      <c r="BL290" t="str">
        <f>IF(I290=11,VLOOKUP(Y290,[2]Sheet1!$C:$N,12,0),IF(I290=13,VLOOKUP(Y290,[3]Sheet1!$C:$N,12,0),IF(I290=15,VLOOKUP(Y290,[4]Sheet1!$C:$N,12,0),"Unknown")))</f>
        <v>ASOF : NC BASE COAT</v>
      </c>
      <c r="BM290" t="str">
        <f>VLOOKUP(W290,[1]branch!$A:$B,2,0)</f>
        <v>INDUSTRY</v>
      </c>
    </row>
    <row r="291" spans="1:65" x14ac:dyDescent="0.35">
      <c r="A291" s="10">
        <v>45994</v>
      </c>
      <c r="B291" s="9" t="s">
        <v>1176</v>
      </c>
      <c r="C291" s="9" t="s">
        <v>64</v>
      </c>
      <c r="D291" s="9" t="s">
        <v>92</v>
      </c>
      <c r="E291" s="11">
        <v>30</v>
      </c>
      <c r="F291" s="9" t="s">
        <v>93</v>
      </c>
      <c r="G291" s="9" t="s">
        <v>65</v>
      </c>
      <c r="H291" s="9" t="s">
        <v>66</v>
      </c>
      <c r="I291" s="9">
        <v>11</v>
      </c>
      <c r="J291" s="9" t="s">
        <v>751</v>
      </c>
      <c r="K291" s="9" t="s">
        <v>751</v>
      </c>
      <c r="L291" s="9" t="s">
        <v>751</v>
      </c>
      <c r="M291" s="9" t="s">
        <v>752</v>
      </c>
      <c r="N291" s="9" t="s">
        <v>395</v>
      </c>
      <c r="O291" s="9" t="s">
        <v>97</v>
      </c>
      <c r="P291" s="9" t="s">
        <v>67</v>
      </c>
      <c r="Q291" s="9" t="s">
        <v>98</v>
      </c>
      <c r="R291" s="9" t="s">
        <v>900</v>
      </c>
      <c r="S291" s="9" t="s">
        <v>752</v>
      </c>
      <c r="T291" s="9" t="s">
        <v>901</v>
      </c>
      <c r="U291" s="9" t="s">
        <v>67</v>
      </c>
      <c r="V291" s="9" t="s">
        <v>99</v>
      </c>
      <c r="W291" s="9" t="s">
        <v>100</v>
      </c>
      <c r="X291" s="11">
        <v>60</v>
      </c>
      <c r="Y291" s="9" t="s">
        <v>550</v>
      </c>
      <c r="Z291" s="9" t="s">
        <v>68</v>
      </c>
      <c r="AA291" s="9" t="s">
        <v>551</v>
      </c>
      <c r="AB291" s="9" t="s">
        <v>67</v>
      </c>
      <c r="AC291" s="9" t="s">
        <v>237</v>
      </c>
      <c r="AD291" s="11">
        <v>2</v>
      </c>
      <c r="AE291" s="9" t="s">
        <v>70</v>
      </c>
      <c r="AF291" s="9" t="s">
        <v>71</v>
      </c>
      <c r="AG291" s="13">
        <v>1</v>
      </c>
      <c r="AH291" s="9" t="s">
        <v>92</v>
      </c>
      <c r="AI291" s="13">
        <v>1367200</v>
      </c>
      <c r="AJ291" s="13">
        <v>2734400</v>
      </c>
      <c r="AK291" s="11">
        <v>0</v>
      </c>
      <c r="AL291" s="11">
        <v>0</v>
      </c>
      <c r="AM291" s="11">
        <v>0</v>
      </c>
      <c r="AN291" s="9" t="s">
        <v>67</v>
      </c>
      <c r="AO291" s="11">
        <v>2734400</v>
      </c>
      <c r="AP291" s="13">
        <v>218752</v>
      </c>
      <c r="AQ291" s="13">
        <v>2953152</v>
      </c>
      <c r="AR291" s="11">
        <v>8</v>
      </c>
      <c r="AS291" s="9" t="s">
        <v>72</v>
      </c>
      <c r="AT291" s="12">
        <v>5.16</v>
      </c>
      <c r="AU291" s="9" t="s">
        <v>73</v>
      </c>
      <c r="AV291" s="9" t="s">
        <v>67</v>
      </c>
      <c r="AW291" s="9" t="s">
        <v>955</v>
      </c>
      <c r="AX291" s="10">
        <v>45985</v>
      </c>
      <c r="AY291" s="9" t="s">
        <v>1177</v>
      </c>
      <c r="AZ291" s="9" t="s">
        <v>67</v>
      </c>
      <c r="BA291" s="9" t="s">
        <v>67</v>
      </c>
      <c r="BB291" s="12">
        <v>8</v>
      </c>
      <c r="BC291" s="9" t="s">
        <v>74</v>
      </c>
      <c r="BD291" s="9" t="s">
        <v>104</v>
      </c>
      <c r="BE291" s="9" t="s">
        <v>75</v>
      </c>
      <c r="BF291" s="11">
        <v>0</v>
      </c>
      <c r="BG291">
        <f t="shared" si="10"/>
        <v>12</v>
      </c>
      <c r="BH291" t="str">
        <f>VLOOKUP(BG291,[1]month!$A:$B,2,0)</f>
        <v>Desember</v>
      </c>
      <c r="BI291">
        <f t="shared" si="11"/>
        <v>2025</v>
      </c>
      <c r="BJ291" t="str">
        <f>VLOOKUP(I291,[1]Dist!$A:$B,2,0)</f>
        <v>Industry</v>
      </c>
      <c r="BK291" t="str">
        <f>IF(I291=11,VLOOKUP(Y291,[2]Sheet1!$C:$N,10,0),IF(I291=13,VLOOKUP(Y291,[3]Sheet1!$C:$N,10,0),IF(I291=15,VLOOKUP(Y291,[4]Sheet1!$C:$N,10,0),"Unknown")))</f>
        <v>COMPLEMENTARY</v>
      </c>
      <c r="BL291" t="str">
        <f>IF(I291=11,VLOOKUP(Y291,[2]Sheet1!$C:$N,12,0),IF(I291=13,VLOOKUP(Y291,[3]Sheet1!$C:$N,12,0),IF(I291=15,VLOOKUP(Y291,[4]Sheet1!$C:$N,12,0),"Unknown")))</f>
        <v>PASTA</v>
      </c>
      <c r="BM291" t="str">
        <f>VLOOKUP(W291,[1]branch!$A:$B,2,0)</f>
        <v>INDUSTRY</v>
      </c>
    </row>
    <row r="292" spans="1:65" x14ac:dyDescent="0.35">
      <c r="A292" s="10">
        <v>45994</v>
      </c>
      <c r="B292" s="9" t="s">
        <v>1176</v>
      </c>
      <c r="C292" s="9" t="s">
        <v>64</v>
      </c>
      <c r="D292" s="9" t="s">
        <v>92</v>
      </c>
      <c r="E292" s="11">
        <v>30</v>
      </c>
      <c r="F292" s="9" t="s">
        <v>93</v>
      </c>
      <c r="G292" s="9" t="s">
        <v>65</v>
      </c>
      <c r="H292" s="9" t="s">
        <v>66</v>
      </c>
      <c r="I292" s="9">
        <v>11</v>
      </c>
      <c r="J292" s="9" t="s">
        <v>751</v>
      </c>
      <c r="K292" s="9" t="s">
        <v>751</v>
      </c>
      <c r="L292" s="9" t="s">
        <v>751</v>
      </c>
      <c r="M292" s="9" t="s">
        <v>752</v>
      </c>
      <c r="N292" s="9" t="s">
        <v>395</v>
      </c>
      <c r="O292" s="9" t="s">
        <v>97</v>
      </c>
      <c r="P292" s="9" t="s">
        <v>67</v>
      </c>
      <c r="Q292" s="9" t="s">
        <v>98</v>
      </c>
      <c r="R292" s="9" t="s">
        <v>900</v>
      </c>
      <c r="S292" s="9" t="s">
        <v>752</v>
      </c>
      <c r="T292" s="9" t="s">
        <v>901</v>
      </c>
      <c r="U292" s="9" t="s">
        <v>67</v>
      </c>
      <c r="V292" s="9" t="s">
        <v>99</v>
      </c>
      <c r="W292" s="9" t="s">
        <v>100</v>
      </c>
      <c r="X292" s="11">
        <v>100</v>
      </c>
      <c r="Y292" s="9" t="s">
        <v>80</v>
      </c>
      <c r="Z292" s="9" t="s">
        <v>68</v>
      </c>
      <c r="AA292" s="9" t="s">
        <v>81</v>
      </c>
      <c r="AB292" s="9" t="s">
        <v>67</v>
      </c>
      <c r="AC292" s="9" t="s">
        <v>82</v>
      </c>
      <c r="AD292" s="11">
        <v>1</v>
      </c>
      <c r="AE292" s="9" t="s">
        <v>70</v>
      </c>
      <c r="AF292" s="9" t="s">
        <v>71</v>
      </c>
      <c r="AG292" s="13">
        <v>1</v>
      </c>
      <c r="AH292" s="9" t="s">
        <v>92</v>
      </c>
      <c r="AI292" s="13">
        <v>638800</v>
      </c>
      <c r="AJ292" s="13">
        <v>638800</v>
      </c>
      <c r="AK292" s="11">
        <v>0</v>
      </c>
      <c r="AL292" s="11">
        <v>0</v>
      </c>
      <c r="AM292" s="11">
        <v>0</v>
      </c>
      <c r="AN292" s="9" t="s">
        <v>67</v>
      </c>
      <c r="AO292" s="11">
        <v>638800</v>
      </c>
      <c r="AP292" s="13">
        <v>51104</v>
      </c>
      <c r="AQ292" s="13">
        <v>689904</v>
      </c>
      <c r="AR292" s="11">
        <v>4</v>
      </c>
      <c r="AS292" s="9" t="s">
        <v>72</v>
      </c>
      <c r="AT292" s="12">
        <v>4.76</v>
      </c>
      <c r="AU292" s="9" t="s">
        <v>73</v>
      </c>
      <c r="AV292" s="9" t="s">
        <v>67</v>
      </c>
      <c r="AW292" s="9" t="s">
        <v>955</v>
      </c>
      <c r="AX292" s="10">
        <v>45985</v>
      </c>
      <c r="AY292" s="9" t="s">
        <v>1177</v>
      </c>
      <c r="AZ292" s="9" t="s">
        <v>67</v>
      </c>
      <c r="BA292" s="9" t="s">
        <v>67</v>
      </c>
      <c r="BB292" s="12">
        <v>4</v>
      </c>
      <c r="BC292" s="9" t="s">
        <v>74</v>
      </c>
      <c r="BD292" s="9" t="s">
        <v>104</v>
      </c>
      <c r="BE292" s="9" t="s">
        <v>75</v>
      </c>
      <c r="BF292" s="11">
        <v>0</v>
      </c>
      <c r="BG292">
        <f t="shared" si="10"/>
        <v>12</v>
      </c>
      <c r="BH292" t="str">
        <f>VLOOKUP(BG292,[1]month!$A:$B,2,0)</f>
        <v>Desember</v>
      </c>
      <c r="BI292">
        <f t="shared" si="11"/>
        <v>2025</v>
      </c>
      <c r="BJ292" t="str">
        <f>VLOOKUP(I292,[1]Dist!$A:$B,2,0)</f>
        <v>Industry</v>
      </c>
      <c r="BK292" t="str">
        <f>IF(I292=11,VLOOKUP(Y292,[2]Sheet1!$C:$N,10,0),IF(I292=13,VLOOKUP(Y292,[3]Sheet1!$C:$N,10,0),IF(I292=15,VLOOKUP(Y292,[4]Sheet1!$C:$N,10,0),"Unknown")))</f>
        <v>STAIN &amp; GLAZE INTERIOR</v>
      </c>
      <c r="BL292" t="str">
        <f>IF(I292=11,VLOOKUP(Y292,[2]Sheet1!$C:$N,12,0),IF(I292=13,VLOOKUP(Y292,[3]Sheet1!$C:$N,12,0),IF(I292=15,VLOOKUP(Y292,[4]Sheet1!$C:$N,12,0),"Unknown")))</f>
        <v>STAIN INTERIOR</v>
      </c>
      <c r="BM292" t="str">
        <f>VLOOKUP(W292,[1]branch!$A:$B,2,0)</f>
        <v>INDUSTRY</v>
      </c>
    </row>
    <row r="293" spans="1:65" x14ac:dyDescent="0.35">
      <c r="A293" s="10">
        <v>45994</v>
      </c>
      <c r="B293" s="9" t="s">
        <v>1176</v>
      </c>
      <c r="C293" s="9" t="s">
        <v>64</v>
      </c>
      <c r="D293" s="9" t="s">
        <v>92</v>
      </c>
      <c r="E293" s="11">
        <v>30</v>
      </c>
      <c r="F293" s="9" t="s">
        <v>93</v>
      </c>
      <c r="G293" s="9" t="s">
        <v>65</v>
      </c>
      <c r="H293" s="9" t="s">
        <v>66</v>
      </c>
      <c r="I293" s="9">
        <v>11</v>
      </c>
      <c r="J293" s="9" t="s">
        <v>751</v>
      </c>
      <c r="K293" s="9" t="s">
        <v>751</v>
      </c>
      <c r="L293" s="9" t="s">
        <v>751</v>
      </c>
      <c r="M293" s="9" t="s">
        <v>752</v>
      </c>
      <c r="N293" s="9" t="s">
        <v>395</v>
      </c>
      <c r="O293" s="9" t="s">
        <v>97</v>
      </c>
      <c r="P293" s="9" t="s">
        <v>67</v>
      </c>
      <c r="Q293" s="9" t="s">
        <v>98</v>
      </c>
      <c r="R293" s="9" t="s">
        <v>900</v>
      </c>
      <c r="S293" s="9" t="s">
        <v>752</v>
      </c>
      <c r="T293" s="9" t="s">
        <v>901</v>
      </c>
      <c r="U293" s="9" t="s">
        <v>67</v>
      </c>
      <c r="V293" s="9" t="s">
        <v>99</v>
      </c>
      <c r="W293" s="9" t="s">
        <v>100</v>
      </c>
      <c r="X293" s="11">
        <v>110</v>
      </c>
      <c r="Y293" s="9" t="s">
        <v>552</v>
      </c>
      <c r="Z293" s="9" t="s">
        <v>68</v>
      </c>
      <c r="AA293" s="9" t="s">
        <v>553</v>
      </c>
      <c r="AB293" s="9" t="s">
        <v>67</v>
      </c>
      <c r="AC293" s="9" t="s">
        <v>139</v>
      </c>
      <c r="AD293" s="11">
        <v>7</v>
      </c>
      <c r="AE293" s="9" t="s">
        <v>70</v>
      </c>
      <c r="AF293" s="9" t="s">
        <v>71</v>
      </c>
      <c r="AG293" s="13">
        <v>1</v>
      </c>
      <c r="AH293" s="9" t="s">
        <v>92</v>
      </c>
      <c r="AI293" s="13">
        <v>7718000</v>
      </c>
      <c r="AJ293" s="13">
        <v>54026000</v>
      </c>
      <c r="AK293" s="11">
        <v>0</v>
      </c>
      <c r="AL293" s="11">
        <v>0</v>
      </c>
      <c r="AM293" s="11">
        <v>0</v>
      </c>
      <c r="AN293" s="9" t="s">
        <v>67</v>
      </c>
      <c r="AO293" s="11">
        <v>54026000</v>
      </c>
      <c r="AP293" s="13">
        <v>4322080</v>
      </c>
      <c r="AQ293" s="13">
        <v>58348080</v>
      </c>
      <c r="AR293" s="11">
        <v>1232</v>
      </c>
      <c r="AS293" s="9" t="s">
        <v>72</v>
      </c>
      <c r="AT293" s="11">
        <v>1400</v>
      </c>
      <c r="AU293" s="9" t="s">
        <v>73</v>
      </c>
      <c r="AV293" s="9" t="s">
        <v>67</v>
      </c>
      <c r="AW293" s="9" t="s">
        <v>955</v>
      </c>
      <c r="AX293" s="10">
        <v>45985</v>
      </c>
      <c r="AY293" s="9" t="s">
        <v>1177</v>
      </c>
      <c r="AZ293" s="9" t="s">
        <v>67</v>
      </c>
      <c r="BA293" s="9" t="s">
        <v>67</v>
      </c>
      <c r="BB293" s="12">
        <v>1400</v>
      </c>
      <c r="BC293" s="9" t="s">
        <v>74</v>
      </c>
      <c r="BD293" s="9" t="s">
        <v>104</v>
      </c>
      <c r="BE293" s="9" t="s">
        <v>75</v>
      </c>
      <c r="BF293" s="11">
        <v>0</v>
      </c>
      <c r="BG293">
        <f t="shared" si="10"/>
        <v>12</v>
      </c>
      <c r="BH293" t="str">
        <f>VLOOKUP(BG293,[1]month!$A:$B,2,0)</f>
        <v>Desember</v>
      </c>
      <c r="BI293">
        <f t="shared" si="11"/>
        <v>2025</v>
      </c>
      <c r="BJ293" t="str">
        <f>VLOOKUP(I293,[1]Dist!$A:$B,2,0)</f>
        <v>Industry</v>
      </c>
      <c r="BK293" t="str">
        <f>IF(I293=11,VLOOKUP(Y293,[2]Sheet1!$C:$N,10,0),IF(I293=13,VLOOKUP(Y293,[3]Sheet1!$C:$N,10,0),IF(I293=15,VLOOKUP(Y293,[4]Sheet1!$C:$N,10,0),"Unknown")))</f>
        <v>THINNER NC</v>
      </c>
      <c r="BL293" t="str">
        <f>IF(I293=11,VLOOKUP(Y293,[2]Sheet1!$C:$N,12,0),IF(I293=13,VLOOKUP(Y293,[3]Sheet1!$C:$N,12,0),IF(I293=15,VLOOKUP(Y293,[4]Sheet1!$C:$N,12,0),"Unknown")))</f>
        <v>THINNER COMPLEMENTARY</v>
      </c>
      <c r="BM293" t="str">
        <f>VLOOKUP(W293,[1]branch!$A:$B,2,0)</f>
        <v>INDUSTRY</v>
      </c>
    </row>
    <row r="294" spans="1:65" x14ac:dyDescent="0.35">
      <c r="A294" s="10">
        <v>45994</v>
      </c>
      <c r="B294" s="9" t="s">
        <v>1176</v>
      </c>
      <c r="C294" s="9" t="s">
        <v>64</v>
      </c>
      <c r="D294" s="9" t="s">
        <v>92</v>
      </c>
      <c r="E294" s="11">
        <v>30</v>
      </c>
      <c r="F294" s="9" t="s">
        <v>93</v>
      </c>
      <c r="G294" s="9" t="s">
        <v>65</v>
      </c>
      <c r="H294" s="9" t="s">
        <v>66</v>
      </c>
      <c r="I294" s="9">
        <v>11</v>
      </c>
      <c r="J294" s="9" t="s">
        <v>751</v>
      </c>
      <c r="K294" s="9" t="s">
        <v>751</v>
      </c>
      <c r="L294" s="9" t="s">
        <v>751</v>
      </c>
      <c r="M294" s="9" t="s">
        <v>752</v>
      </c>
      <c r="N294" s="9" t="s">
        <v>395</v>
      </c>
      <c r="O294" s="9" t="s">
        <v>97</v>
      </c>
      <c r="P294" s="9" t="s">
        <v>67</v>
      </c>
      <c r="Q294" s="9" t="s">
        <v>98</v>
      </c>
      <c r="R294" s="9" t="s">
        <v>900</v>
      </c>
      <c r="S294" s="9" t="s">
        <v>752</v>
      </c>
      <c r="T294" s="9" t="s">
        <v>901</v>
      </c>
      <c r="U294" s="9" t="s">
        <v>67</v>
      </c>
      <c r="V294" s="9" t="s">
        <v>99</v>
      </c>
      <c r="W294" s="9" t="s">
        <v>100</v>
      </c>
      <c r="X294" s="11">
        <v>120</v>
      </c>
      <c r="Y294" s="9" t="s">
        <v>118</v>
      </c>
      <c r="Z294" s="9" t="s">
        <v>68</v>
      </c>
      <c r="AA294" s="9" t="s">
        <v>119</v>
      </c>
      <c r="AB294" s="9" t="s">
        <v>67</v>
      </c>
      <c r="AC294" s="9" t="s">
        <v>120</v>
      </c>
      <c r="AD294" s="11">
        <v>1</v>
      </c>
      <c r="AE294" s="9" t="s">
        <v>70</v>
      </c>
      <c r="AF294" s="9" t="s">
        <v>71</v>
      </c>
      <c r="AG294" s="13">
        <v>1</v>
      </c>
      <c r="AH294" s="9" t="s">
        <v>92</v>
      </c>
      <c r="AI294" s="13">
        <v>7640000</v>
      </c>
      <c r="AJ294" s="13">
        <v>7640000</v>
      </c>
      <c r="AK294" s="11">
        <v>0</v>
      </c>
      <c r="AL294" s="11">
        <v>0</v>
      </c>
      <c r="AM294" s="11">
        <v>0</v>
      </c>
      <c r="AN294" s="9" t="s">
        <v>67</v>
      </c>
      <c r="AO294" s="11">
        <v>7640000</v>
      </c>
      <c r="AP294" s="13">
        <v>611200</v>
      </c>
      <c r="AQ294" s="13">
        <v>8251200</v>
      </c>
      <c r="AR294" s="11">
        <v>185</v>
      </c>
      <c r="AS294" s="9" t="s">
        <v>72</v>
      </c>
      <c r="AT294" s="11">
        <v>200</v>
      </c>
      <c r="AU294" s="9" t="s">
        <v>73</v>
      </c>
      <c r="AV294" s="9" t="s">
        <v>67</v>
      </c>
      <c r="AW294" s="9" t="s">
        <v>955</v>
      </c>
      <c r="AX294" s="10">
        <v>45985</v>
      </c>
      <c r="AY294" s="9" t="s">
        <v>1177</v>
      </c>
      <c r="AZ294" s="9" t="s">
        <v>67</v>
      </c>
      <c r="BA294" s="9" t="s">
        <v>67</v>
      </c>
      <c r="BB294" s="12">
        <v>200</v>
      </c>
      <c r="BC294" s="9" t="s">
        <v>74</v>
      </c>
      <c r="BD294" s="9" t="s">
        <v>104</v>
      </c>
      <c r="BE294" s="9" t="s">
        <v>75</v>
      </c>
      <c r="BF294" s="11">
        <v>0</v>
      </c>
      <c r="BG294">
        <f t="shared" si="10"/>
        <v>12</v>
      </c>
      <c r="BH294" t="str">
        <f>VLOOKUP(BG294,[1]month!$A:$B,2,0)</f>
        <v>Desember</v>
      </c>
      <c r="BI294">
        <f t="shared" si="11"/>
        <v>2025</v>
      </c>
      <c r="BJ294" t="str">
        <f>VLOOKUP(I294,[1]Dist!$A:$B,2,0)</f>
        <v>Industry</v>
      </c>
      <c r="BK294" t="str">
        <f>IF(I294=11,VLOOKUP(Y294,[2]Sheet1!$C:$N,10,0),IF(I294=13,VLOOKUP(Y294,[3]Sheet1!$C:$N,10,0),IF(I294=15,VLOOKUP(Y294,[4]Sheet1!$C:$N,10,0),"Unknown")))</f>
        <v>THINNER PU</v>
      </c>
      <c r="BL294" t="str">
        <f>IF(I294=11,VLOOKUP(Y294,[2]Sheet1!$C:$N,12,0),IF(I294=13,VLOOKUP(Y294,[3]Sheet1!$C:$N,12,0),IF(I294=15,VLOOKUP(Y294,[4]Sheet1!$C:$N,12,0),"Unknown")))</f>
        <v>THINNER PU</v>
      </c>
      <c r="BM294" t="str">
        <f>VLOOKUP(W294,[1]branch!$A:$B,2,0)</f>
        <v>INDUSTRY</v>
      </c>
    </row>
    <row r="295" spans="1:65" x14ac:dyDescent="0.35">
      <c r="A295" s="10">
        <v>45994</v>
      </c>
      <c r="B295" s="9" t="s">
        <v>1178</v>
      </c>
      <c r="C295" s="9" t="s">
        <v>64</v>
      </c>
      <c r="D295" s="9" t="s">
        <v>92</v>
      </c>
      <c r="E295" s="11">
        <v>30</v>
      </c>
      <c r="F295" s="9" t="s">
        <v>93</v>
      </c>
      <c r="G295" s="9" t="s">
        <v>65</v>
      </c>
      <c r="H295" s="9" t="s">
        <v>66</v>
      </c>
      <c r="I295" s="9">
        <v>11</v>
      </c>
      <c r="J295" s="9" t="s">
        <v>751</v>
      </c>
      <c r="K295" s="9" t="s">
        <v>751</v>
      </c>
      <c r="L295" s="9" t="s">
        <v>751</v>
      </c>
      <c r="M295" s="9" t="s">
        <v>752</v>
      </c>
      <c r="N295" s="9" t="s">
        <v>395</v>
      </c>
      <c r="O295" s="9" t="s">
        <v>97</v>
      </c>
      <c r="P295" s="9" t="s">
        <v>67</v>
      </c>
      <c r="Q295" s="9" t="s">
        <v>98</v>
      </c>
      <c r="R295" s="9" t="s">
        <v>900</v>
      </c>
      <c r="S295" s="9" t="s">
        <v>752</v>
      </c>
      <c r="T295" s="9" t="s">
        <v>901</v>
      </c>
      <c r="U295" s="9" t="s">
        <v>67</v>
      </c>
      <c r="V295" s="9" t="s">
        <v>99</v>
      </c>
      <c r="W295" s="9" t="s">
        <v>100</v>
      </c>
      <c r="X295" s="11">
        <v>10</v>
      </c>
      <c r="Y295" s="9" t="s">
        <v>517</v>
      </c>
      <c r="Z295" s="9" t="s">
        <v>68</v>
      </c>
      <c r="AA295" s="9" t="s">
        <v>518</v>
      </c>
      <c r="AB295" s="9" t="s">
        <v>67</v>
      </c>
      <c r="AC295" s="9" t="s">
        <v>134</v>
      </c>
      <c r="AD295" s="11">
        <v>1</v>
      </c>
      <c r="AE295" s="9" t="s">
        <v>70</v>
      </c>
      <c r="AF295" s="9" t="s">
        <v>71</v>
      </c>
      <c r="AG295" s="13">
        <v>1</v>
      </c>
      <c r="AH295" s="9" t="s">
        <v>92</v>
      </c>
      <c r="AI295" s="13">
        <v>1029200</v>
      </c>
      <c r="AJ295" s="13">
        <v>1029200</v>
      </c>
      <c r="AK295" s="11">
        <v>0</v>
      </c>
      <c r="AL295" s="11">
        <v>0</v>
      </c>
      <c r="AM295" s="11">
        <v>0</v>
      </c>
      <c r="AN295" s="9" t="s">
        <v>67</v>
      </c>
      <c r="AO295" s="11">
        <v>1029200</v>
      </c>
      <c r="AP295" s="13">
        <v>82336</v>
      </c>
      <c r="AQ295" s="13">
        <v>1111536</v>
      </c>
      <c r="AR295" s="11">
        <v>4</v>
      </c>
      <c r="AS295" s="9" t="s">
        <v>72</v>
      </c>
      <c r="AT295" s="12">
        <v>4.21</v>
      </c>
      <c r="AU295" s="9" t="s">
        <v>73</v>
      </c>
      <c r="AV295" s="9" t="s">
        <v>67</v>
      </c>
      <c r="AW295" s="9" t="s">
        <v>956</v>
      </c>
      <c r="AX295" s="10">
        <v>45988</v>
      </c>
      <c r="AY295" s="9" t="s">
        <v>1179</v>
      </c>
      <c r="AZ295" s="9" t="s">
        <v>67</v>
      </c>
      <c r="BA295" s="9" t="s">
        <v>67</v>
      </c>
      <c r="BB295" s="12">
        <v>4</v>
      </c>
      <c r="BC295" s="9" t="s">
        <v>74</v>
      </c>
      <c r="BD295" s="9" t="s">
        <v>104</v>
      </c>
      <c r="BE295" s="9" t="s">
        <v>75</v>
      </c>
      <c r="BF295" s="11">
        <v>0</v>
      </c>
      <c r="BG295">
        <f t="shared" si="10"/>
        <v>12</v>
      </c>
      <c r="BH295" t="str">
        <f>VLOOKUP(BG295,[1]month!$A:$B,2,0)</f>
        <v>Desember</v>
      </c>
      <c r="BI295">
        <f t="shared" si="11"/>
        <v>2025</v>
      </c>
      <c r="BJ295" t="str">
        <f>VLOOKUP(I295,[1]Dist!$A:$B,2,0)</f>
        <v>Industry</v>
      </c>
      <c r="BK295" t="str">
        <f>IF(I295=11,VLOOKUP(Y295,[2]Sheet1!$C:$N,10,0),IF(I295=13,VLOOKUP(Y295,[3]Sheet1!$C:$N,10,0),IF(I295=15,VLOOKUP(Y295,[4]Sheet1!$C:$N,10,0),"Unknown")))</f>
        <v>STAIN &amp; GLAZE INTERIOR</v>
      </c>
      <c r="BL295" t="str">
        <f>IF(I295=11,VLOOKUP(Y295,[2]Sheet1!$C:$N,12,0),IF(I295=13,VLOOKUP(Y295,[3]Sheet1!$C:$N,12,0),IF(I295=15,VLOOKUP(Y295,[4]Sheet1!$C:$N,12,0),"Unknown")))</f>
        <v>ASOF : STAIN &amp; GLAZE</v>
      </c>
      <c r="BM295" t="str">
        <f>VLOOKUP(W295,[1]branch!$A:$B,2,0)</f>
        <v>INDUSTRY</v>
      </c>
    </row>
    <row r="296" spans="1:65" x14ac:dyDescent="0.35">
      <c r="A296" s="10">
        <v>45994</v>
      </c>
      <c r="B296" s="9" t="s">
        <v>1178</v>
      </c>
      <c r="C296" s="9" t="s">
        <v>64</v>
      </c>
      <c r="D296" s="9" t="s">
        <v>92</v>
      </c>
      <c r="E296" s="11">
        <v>30</v>
      </c>
      <c r="F296" s="9" t="s">
        <v>93</v>
      </c>
      <c r="G296" s="9" t="s">
        <v>65</v>
      </c>
      <c r="H296" s="9" t="s">
        <v>66</v>
      </c>
      <c r="I296" s="9">
        <v>11</v>
      </c>
      <c r="J296" s="9" t="s">
        <v>751</v>
      </c>
      <c r="K296" s="9" t="s">
        <v>751</v>
      </c>
      <c r="L296" s="9" t="s">
        <v>751</v>
      </c>
      <c r="M296" s="9" t="s">
        <v>752</v>
      </c>
      <c r="N296" s="9" t="s">
        <v>395</v>
      </c>
      <c r="O296" s="9" t="s">
        <v>97</v>
      </c>
      <c r="P296" s="9" t="s">
        <v>67</v>
      </c>
      <c r="Q296" s="9" t="s">
        <v>98</v>
      </c>
      <c r="R296" s="9" t="s">
        <v>900</v>
      </c>
      <c r="S296" s="9" t="s">
        <v>752</v>
      </c>
      <c r="T296" s="9" t="s">
        <v>901</v>
      </c>
      <c r="U296" s="9" t="s">
        <v>67</v>
      </c>
      <c r="V296" s="9" t="s">
        <v>99</v>
      </c>
      <c r="W296" s="9" t="s">
        <v>100</v>
      </c>
      <c r="X296" s="11">
        <v>40</v>
      </c>
      <c r="Y296" s="9" t="s">
        <v>755</v>
      </c>
      <c r="Z296" s="9" t="s">
        <v>68</v>
      </c>
      <c r="AA296" s="9" t="s">
        <v>756</v>
      </c>
      <c r="AB296" s="9" t="s">
        <v>67</v>
      </c>
      <c r="AC296" s="9" t="s">
        <v>137</v>
      </c>
      <c r="AD296" s="11">
        <v>5</v>
      </c>
      <c r="AE296" s="9" t="s">
        <v>70</v>
      </c>
      <c r="AF296" s="9" t="s">
        <v>71</v>
      </c>
      <c r="AG296" s="13">
        <v>1</v>
      </c>
      <c r="AH296" s="9" t="s">
        <v>92</v>
      </c>
      <c r="AI296" s="13">
        <v>1835800</v>
      </c>
      <c r="AJ296" s="13">
        <v>9179000</v>
      </c>
      <c r="AK296" s="11">
        <v>0</v>
      </c>
      <c r="AL296" s="11">
        <v>0</v>
      </c>
      <c r="AM296" s="11">
        <v>0</v>
      </c>
      <c r="AN296" s="9" t="s">
        <v>67</v>
      </c>
      <c r="AO296" s="11">
        <v>9179000</v>
      </c>
      <c r="AP296" s="13">
        <v>734320</v>
      </c>
      <c r="AQ296" s="13">
        <v>9913320</v>
      </c>
      <c r="AR296" s="11">
        <v>98</v>
      </c>
      <c r="AS296" s="9" t="s">
        <v>72</v>
      </c>
      <c r="AT296" s="11">
        <v>100</v>
      </c>
      <c r="AU296" s="9" t="s">
        <v>73</v>
      </c>
      <c r="AV296" s="9" t="s">
        <v>67</v>
      </c>
      <c r="AW296" s="9" t="s">
        <v>956</v>
      </c>
      <c r="AX296" s="10">
        <v>45988</v>
      </c>
      <c r="AY296" s="9" t="s">
        <v>1179</v>
      </c>
      <c r="AZ296" s="9" t="s">
        <v>67</v>
      </c>
      <c r="BA296" s="9" t="s">
        <v>67</v>
      </c>
      <c r="BB296" s="12">
        <v>100</v>
      </c>
      <c r="BC296" s="9" t="s">
        <v>74</v>
      </c>
      <c r="BD296" s="9" t="s">
        <v>104</v>
      </c>
      <c r="BE296" s="9" t="s">
        <v>75</v>
      </c>
      <c r="BF296" s="11">
        <v>0</v>
      </c>
      <c r="BG296">
        <f t="shared" si="10"/>
        <v>12</v>
      </c>
      <c r="BH296" t="str">
        <f>VLOOKUP(BG296,[1]month!$A:$B,2,0)</f>
        <v>Desember</v>
      </c>
      <c r="BI296">
        <f t="shared" si="11"/>
        <v>2025</v>
      </c>
      <c r="BJ296" t="str">
        <f>VLOOKUP(I296,[1]Dist!$A:$B,2,0)</f>
        <v>Industry</v>
      </c>
      <c r="BK296" t="str">
        <f>IF(I296=11,VLOOKUP(Y296,[2]Sheet1!$C:$N,10,0),IF(I296=13,VLOOKUP(Y296,[3]Sheet1!$C:$N,10,0),IF(I296=15,VLOOKUP(Y296,[4]Sheet1!$C:$N,10,0),"Unknown")))</f>
        <v>NC</v>
      </c>
      <c r="BL296" t="str">
        <f>IF(I296=11,VLOOKUP(Y296,[2]Sheet1!$C:$N,12,0),IF(I296=13,VLOOKUP(Y296,[3]Sheet1!$C:$N,12,0),IF(I296=15,VLOOKUP(Y296,[4]Sheet1!$C:$N,12,0),"Unknown")))</f>
        <v>ASOF : NC BASE COAT</v>
      </c>
      <c r="BM296" t="str">
        <f>VLOOKUP(W296,[1]branch!$A:$B,2,0)</f>
        <v>INDUSTRY</v>
      </c>
    </row>
    <row r="297" spans="1:65" x14ac:dyDescent="0.35">
      <c r="A297" s="10">
        <v>45994</v>
      </c>
      <c r="B297" s="9" t="s">
        <v>1178</v>
      </c>
      <c r="C297" s="9" t="s">
        <v>64</v>
      </c>
      <c r="D297" s="9" t="s">
        <v>92</v>
      </c>
      <c r="E297" s="11">
        <v>30</v>
      </c>
      <c r="F297" s="9" t="s">
        <v>93</v>
      </c>
      <c r="G297" s="9" t="s">
        <v>65</v>
      </c>
      <c r="H297" s="9" t="s">
        <v>66</v>
      </c>
      <c r="I297" s="9">
        <v>11</v>
      </c>
      <c r="J297" s="9" t="s">
        <v>751</v>
      </c>
      <c r="K297" s="9" t="s">
        <v>751</v>
      </c>
      <c r="L297" s="9" t="s">
        <v>751</v>
      </c>
      <c r="M297" s="9" t="s">
        <v>752</v>
      </c>
      <c r="N297" s="9" t="s">
        <v>395</v>
      </c>
      <c r="O297" s="9" t="s">
        <v>97</v>
      </c>
      <c r="P297" s="9" t="s">
        <v>67</v>
      </c>
      <c r="Q297" s="9" t="s">
        <v>98</v>
      </c>
      <c r="R297" s="9" t="s">
        <v>900</v>
      </c>
      <c r="S297" s="9" t="s">
        <v>752</v>
      </c>
      <c r="T297" s="9" t="s">
        <v>901</v>
      </c>
      <c r="U297" s="9" t="s">
        <v>67</v>
      </c>
      <c r="V297" s="9" t="s">
        <v>99</v>
      </c>
      <c r="W297" s="9" t="s">
        <v>100</v>
      </c>
      <c r="X297" s="11">
        <v>60</v>
      </c>
      <c r="Y297" s="9" t="s">
        <v>85</v>
      </c>
      <c r="Z297" s="9" t="s">
        <v>68</v>
      </c>
      <c r="AA297" s="9" t="s">
        <v>86</v>
      </c>
      <c r="AB297" s="9" t="s">
        <v>67</v>
      </c>
      <c r="AC297" s="9" t="s">
        <v>82</v>
      </c>
      <c r="AD297" s="11">
        <v>1</v>
      </c>
      <c r="AE297" s="9" t="s">
        <v>70</v>
      </c>
      <c r="AF297" s="9" t="s">
        <v>71</v>
      </c>
      <c r="AG297" s="13">
        <v>1</v>
      </c>
      <c r="AH297" s="9" t="s">
        <v>92</v>
      </c>
      <c r="AI297" s="13">
        <v>714400</v>
      </c>
      <c r="AJ297" s="13">
        <v>714400</v>
      </c>
      <c r="AK297" s="11">
        <v>0</v>
      </c>
      <c r="AL297" s="11">
        <v>0</v>
      </c>
      <c r="AM297" s="11">
        <v>0</v>
      </c>
      <c r="AN297" s="9" t="s">
        <v>67</v>
      </c>
      <c r="AO297" s="11">
        <v>714400</v>
      </c>
      <c r="AP297" s="13">
        <v>57152</v>
      </c>
      <c r="AQ297" s="13">
        <v>771552</v>
      </c>
      <c r="AR297" s="11">
        <v>4</v>
      </c>
      <c r="AS297" s="9" t="s">
        <v>72</v>
      </c>
      <c r="AT297" s="12">
        <v>4.76</v>
      </c>
      <c r="AU297" s="9" t="s">
        <v>73</v>
      </c>
      <c r="AV297" s="9" t="s">
        <v>67</v>
      </c>
      <c r="AW297" s="9" t="s">
        <v>956</v>
      </c>
      <c r="AX297" s="10">
        <v>45988</v>
      </c>
      <c r="AY297" s="9" t="s">
        <v>1179</v>
      </c>
      <c r="AZ297" s="9" t="s">
        <v>67</v>
      </c>
      <c r="BA297" s="9" t="s">
        <v>67</v>
      </c>
      <c r="BB297" s="12">
        <v>4</v>
      </c>
      <c r="BC297" s="9" t="s">
        <v>74</v>
      </c>
      <c r="BD297" s="9" t="s">
        <v>104</v>
      </c>
      <c r="BE297" s="9" t="s">
        <v>75</v>
      </c>
      <c r="BF297" s="11">
        <v>0</v>
      </c>
      <c r="BG297">
        <f t="shared" si="10"/>
        <v>12</v>
      </c>
      <c r="BH297" t="str">
        <f>VLOOKUP(BG297,[1]month!$A:$B,2,0)</f>
        <v>Desember</v>
      </c>
      <c r="BI297">
        <f t="shared" si="11"/>
        <v>2025</v>
      </c>
      <c r="BJ297" t="str">
        <f>VLOOKUP(I297,[1]Dist!$A:$B,2,0)</f>
        <v>Industry</v>
      </c>
      <c r="BK297" t="str">
        <f>IF(I297=11,VLOOKUP(Y297,[2]Sheet1!$C:$N,10,0),IF(I297=13,VLOOKUP(Y297,[3]Sheet1!$C:$N,10,0),IF(I297=15,VLOOKUP(Y297,[4]Sheet1!$C:$N,10,0),"Unknown")))</f>
        <v>STAIN &amp; GLAZE INTERIOR</v>
      </c>
      <c r="BL297" t="str">
        <f>IF(I297=11,VLOOKUP(Y297,[2]Sheet1!$C:$N,12,0),IF(I297=13,VLOOKUP(Y297,[3]Sheet1!$C:$N,12,0),IF(I297=15,VLOOKUP(Y297,[4]Sheet1!$C:$N,12,0),"Unknown")))</f>
        <v>STAIN INTERIOR</v>
      </c>
      <c r="BM297" t="str">
        <f>VLOOKUP(W297,[1]branch!$A:$B,2,0)</f>
        <v>INDUSTRY</v>
      </c>
    </row>
    <row r="298" spans="1:65" x14ac:dyDescent="0.35">
      <c r="A298" s="10">
        <v>45994</v>
      </c>
      <c r="B298" s="9" t="s">
        <v>1178</v>
      </c>
      <c r="C298" s="9" t="s">
        <v>64</v>
      </c>
      <c r="D298" s="9" t="s">
        <v>92</v>
      </c>
      <c r="E298" s="11">
        <v>30</v>
      </c>
      <c r="F298" s="9" t="s">
        <v>93</v>
      </c>
      <c r="G298" s="9" t="s">
        <v>65</v>
      </c>
      <c r="H298" s="9" t="s">
        <v>66</v>
      </c>
      <c r="I298" s="9">
        <v>11</v>
      </c>
      <c r="J298" s="9" t="s">
        <v>751</v>
      </c>
      <c r="K298" s="9" t="s">
        <v>751</v>
      </c>
      <c r="L298" s="9" t="s">
        <v>751</v>
      </c>
      <c r="M298" s="9" t="s">
        <v>752</v>
      </c>
      <c r="N298" s="9" t="s">
        <v>395</v>
      </c>
      <c r="O298" s="9" t="s">
        <v>97</v>
      </c>
      <c r="P298" s="9" t="s">
        <v>67</v>
      </c>
      <c r="Q298" s="9" t="s">
        <v>98</v>
      </c>
      <c r="R298" s="9" t="s">
        <v>900</v>
      </c>
      <c r="S298" s="9" t="s">
        <v>752</v>
      </c>
      <c r="T298" s="9" t="s">
        <v>901</v>
      </c>
      <c r="U298" s="9" t="s">
        <v>67</v>
      </c>
      <c r="V298" s="9" t="s">
        <v>99</v>
      </c>
      <c r="W298" s="9" t="s">
        <v>100</v>
      </c>
      <c r="X298" s="11">
        <v>70</v>
      </c>
      <c r="Y298" s="9" t="s">
        <v>552</v>
      </c>
      <c r="Z298" s="9" t="s">
        <v>68</v>
      </c>
      <c r="AA298" s="9" t="s">
        <v>553</v>
      </c>
      <c r="AB298" s="9" t="s">
        <v>67</v>
      </c>
      <c r="AC298" s="9" t="s">
        <v>139</v>
      </c>
      <c r="AD298" s="11">
        <v>2</v>
      </c>
      <c r="AE298" s="9" t="s">
        <v>70</v>
      </c>
      <c r="AF298" s="9" t="s">
        <v>71</v>
      </c>
      <c r="AG298" s="13">
        <v>1</v>
      </c>
      <c r="AH298" s="9" t="s">
        <v>92</v>
      </c>
      <c r="AI298" s="13">
        <v>7718000</v>
      </c>
      <c r="AJ298" s="13">
        <v>15436000</v>
      </c>
      <c r="AK298" s="11">
        <v>0</v>
      </c>
      <c r="AL298" s="11">
        <v>0</v>
      </c>
      <c r="AM298" s="11">
        <v>0</v>
      </c>
      <c r="AN298" s="9" t="s">
        <v>67</v>
      </c>
      <c r="AO298" s="11">
        <v>15436000</v>
      </c>
      <c r="AP298" s="13">
        <v>1234880</v>
      </c>
      <c r="AQ298" s="13">
        <v>16670880</v>
      </c>
      <c r="AR298" s="11">
        <v>352</v>
      </c>
      <c r="AS298" s="9" t="s">
        <v>72</v>
      </c>
      <c r="AT298" s="11">
        <v>400</v>
      </c>
      <c r="AU298" s="9" t="s">
        <v>73</v>
      </c>
      <c r="AV298" s="9" t="s">
        <v>67</v>
      </c>
      <c r="AW298" s="9" t="s">
        <v>956</v>
      </c>
      <c r="AX298" s="10">
        <v>45988</v>
      </c>
      <c r="AY298" s="9" t="s">
        <v>1179</v>
      </c>
      <c r="AZ298" s="9" t="s">
        <v>67</v>
      </c>
      <c r="BA298" s="9" t="s">
        <v>67</v>
      </c>
      <c r="BB298" s="12">
        <v>400</v>
      </c>
      <c r="BC298" s="9" t="s">
        <v>74</v>
      </c>
      <c r="BD298" s="9" t="s">
        <v>104</v>
      </c>
      <c r="BE298" s="9" t="s">
        <v>75</v>
      </c>
      <c r="BF298" s="11">
        <v>0</v>
      </c>
      <c r="BG298">
        <f t="shared" si="10"/>
        <v>12</v>
      </c>
      <c r="BH298" t="str">
        <f>VLOOKUP(BG298,[1]month!$A:$B,2,0)</f>
        <v>Desember</v>
      </c>
      <c r="BI298">
        <f t="shared" si="11"/>
        <v>2025</v>
      </c>
      <c r="BJ298" t="str">
        <f>VLOOKUP(I298,[1]Dist!$A:$B,2,0)</f>
        <v>Industry</v>
      </c>
      <c r="BK298" t="str">
        <f>IF(I298=11,VLOOKUP(Y298,[2]Sheet1!$C:$N,10,0),IF(I298=13,VLOOKUP(Y298,[3]Sheet1!$C:$N,10,0),IF(I298=15,VLOOKUP(Y298,[4]Sheet1!$C:$N,10,0),"Unknown")))</f>
        <v>THINNER NC</v>
      </c>
      <c r="BL298" t="str">
        <f>IF(I298=11,VLOOKUP(Y298,[2]Sheet1!$C:$N,12,0),IF(I298=13,VLOOKUP(Y298,[3]Sheet1!$C:$N,12,0),IF(I298=15,VLOOKUP(Y298,[4]Sheet1!$C:$N,12,0),"Unknown")))</f>
        <v>THINNER COMPLEMENTARY</v>
      </c>
      <c r="BM298" t="str">
        <f>VLOOKUP(W298,[1]branch!$A:$B,2,0)</f>
        <v>INDUSTRY</v>
      </c>
    </row>
    <row r="299" spans="1:65" x14ac:dyDescent="0.35">
      <c r="A299" s="10">
        <v>45994</v>
      </c>
      <c r="B299" s="9" t="s">
        <v>1178</v>
      </c>
      <c r="C299" s="9" t="s">
        <v>64</v>
      </c>
      <c r="D299" s="9" t="s">
        <v>92</v>
      </c>
      <c r="E299" s="11">
        <v>30</v>
      </c>
      <c r="F299" s="9" t="s">
        <v>93</v>
      </c>
      <c r="G299" s="9" t="s">
        <v>65</v>
      </c>
      <c r="H299" s="9" t="s">
        <v>66</v>
      </c>
      <c r="I299" s="9">
        <v>11</v>
      </c>
      <c r="J299" s="9" t="s">
        <v>751</v>
      </c>
      <c r="K299" s="9" t="s">
        <v>751</v>
      </c>
      <c r="L299" s="9" t="s">
        <v>751</v>
      </c>
      <c r="M299" s="9" t="s">
        <v>752</v>
      </c>
      <c r="N299" s="9" t="s">
        <v>395</v>
      </c>
      <c r="O299" s="9" t="s">
        <v>97</v>
      </c>
      <c r="P299" s="9" t="s">
        <v>67</v>
      </c>
      <c r="Q299" s="9" t="s">
        <v>98</v>
      </c>
      <c r="R299" s="9" t="s">
        <v>900</v>
      </c>
      <c r="S299" s="9" t="s">
        <v>752</v>
      </c>
      <c r="T299" s="9" t="s">
        <v>901</v>
      </c>
      <c r="U299" s="9" t="s">
        <v>67</v>
      </c>
      <c r="V299" s="9" t="s">
        <v>99</v>
      </c>
      <c r="W299" s="9" t="s">
        <v>100</v>
      </c>
      <c r="X299" s="11">
        <v>80</v>
      </c>
      <c r="Y299" s="9" t="s">
        <v>488</v>
      </c>
      <c r="Z299" s="9" t="s">
        <v>68</v>
      </c>
      <c r="AA299" s="9" t="s">
        <v>489</v>
      </c>
      <c r="AB299" s="9" t="s">
        <v>67</v>
      </c>
      <c r="AC299" s="9" t="s">
        <v>139</v>
      </c>
      <c r="AD299" s="11">
        <v>5</v>
      </c>
      <c r="AE299" s="9" t="s">
        <v>70</v>
      </c>
      <c r="AF299" s="9" t="s">
        <v>71</v>
      </c>
      <c r="AG299" s="13">
        <v>1</v>
      </c>
      <c r="AH299" s="9" t="s">
        <v>92</v>
      </c>
      <c r="AI299" s="13">
        <v>802000</v>
      </c>
      <c r="AJ299" s="13">
        <v>4010000</v>
      </c>
      <c r="AK299" s="11">
        <v>0</v>
      </c>
      <c r="AL299" s="11">
        <v>0</v>
      </c>
      <c r="AM299" s="11">
        <v>0</v>
      </c>
      <c r="AN299" s="9" t="s">
        <v>67</v>
      </c>
      <c r="AO299" s="11">
        <v>4010000</v>
      </c>
      <c r="AP299" s="13">
        <v>320800</v>
      </c>
      <c r="AQ299" s="13">
        <v>4330800</v>
      </c>
      <c r="AR299" s="11">
        <v>88</v>
      </c>
      <c r="AS299" s="9" t="s">
        <v>72</v>
      </c>
      <c r="AT299" s="11">
        <v>100</v>
      </c>
      <c r="AU299" s="9" t="s">
        <v>73</v>
      </c>
      <c r="AV299" s="9" t="s">
        <v>67</v>
      </c>
      <c r="AW299" s="9" t="s">
        <v>956</v>
      </c>
      <c r="AX299" s="10">
        <v>45988</v>
      </c>
      <c r="AY299" s="9" t="s">
        <v>1179</v>
      </c>
      <c r="AZ299" s="9" t="s">
        <v>67</v>
      </c>
      <c r="BA299" s="9" t="s">
        <v>67</v>
      </c>
      <c r="BB299" s="12">
        <v>100</v>
      </c>
      <c r="BC299" s="9" t="s">
        <v>74</v>
      </c>
      <c r="BD299" s="9" t="s">
        <v>104</v>
      </c>
      <c r="BE299" s="9" t="s">
        <v>75</v>
      </c>
      <c r="BF299" s="11">
        <v>0</v>
      </c>
      <c r="BG299">
        <f t="shared" si="10"/>
        <v>12</v>
      </c>
      <c r="BH299" t="str">
        <f>VLOOKUP(BG299,[1]month!$A:$B,2,0)</f>
        <v>Desember</v>
      </c>
      <c r="BI299">
        <f t="shared" si="11"/>
        <v>2025</v>
      </c>
      <c r="BJ299" t="str">
        <f>VLOOKUP(I299,[1]Dist!$A:$B,2,0)</f>
        <v>Industry</v>
      </c>
      <c r="BK299" t="str">
        <f>IF(I299=11,VLOOKUP(Y299,[2]Sheet1!$C:$N,10,0),IF(I299=13,VLOOKUP(Y299,[3]Sheet1!$C:$N,10,0),IF(I299=15,VLOOKUP(Y299,[4]Sheet1!$C:$N,10,0),"Unknown")))</f>
        <v>THINNER NC</v>
      </c>
      <c r="BL299" t="str">
        <f>IF(I299=11,VLOOKUP(Y299,[2]Sheet1!$C:$N,12,0),IF(I299=13,VLOOKUP(Y299,[3]Sheet1!$C:$N,12,0),IF(I299=15,VLOOKUP(Y299,[4]Sheet1!$C:$N,12,0),"Unknown")))</f>
        <v>THINNER COMPLEMENTARY</v>
      </c>
      <c r="BM299" t="str">
        <f>VLOOKUP(W299,[1]branch!$A:$B,2,0)</f>
        <v>INDUSTRY</v>
      </c>
    </row>
    <row r="300" spans="1:65" x14ac:dyDescent="0.35">
      <c r="A300" s="10">
        <v>45994</v>
      </c>
      <c r="B300" s="9" t="s">
        <v>1178</v>
      </c>
      <c r="C300" s="9" t="s">
        <v>64</v>
      </c>
      <c r="D300" s="9" t="s">
        <v>92</v>
      </c>
      <c r="E300" s="11">
        <v>30</v>
      </c>
      <c r="F300" s="9" t="s">
        <v>93</v>
      </c>
      <c r="G300" s="9" t="s">
        <v>65</v>
      </c>
      <c r="H300" s="9" t="s">
        <v>66</v>
      </c>
      <c r="I300" s="9">
        <v>11</v>
      </c>
      <c r="J300" s="9" t="s">
        <v>751</v>
      </c>
      <c r="K300" s="9" t="s">
        <v>751</v>
      </c>
      <c r="L300" s="9" t="s">
        <v>751</v>
      </c>
      <c r="M300" s="9" t="s">
        <v>752</v>
      </c>
      <c r="N300" s="9" t="s">
        <v>395</v>
      </c>
      <c r="O300" s="9" t="s">
        <v>97</v>
      </c>
      <c r="P300" s="9" t="s">
        <v>67</v>
      </c>
      <c r="Q300" s="9" t="s">
        <v>98</v>
      </c>
      <c r="R300" s="9" t="s">
        <v>900</v>
      </c>
      <c r="S300" s="9" t="s">
        <v>752</v>
      </c>
      <c r="T300" s="9" t="s">
        <v>901</v>
      </c>
      <c r="U300" s="9" t="s">
        <v>67</v>
      </c>
      <c r="V300" s="9" t="s">
        <v>99</v>
      </c>
      <c r="W300" s="9" t="s">
        <v>100</v>
      </c>
      <c r="X300" s="11">
        <v>90</v>
      </c>
      <c r="Y300" s="9" t="s">
        <v>213</v>
      </c>
      <c r="Z300" s="9" t="s">
        <v>68</v>
      </c>
      <c r="AA300" s="9" t="s">
        <v>214</v>
      </c>
      <c r="AB300" s="9" t="s">
        <v>67</v>
      </c>
      <c r="AC300" s="9" t="s">
        <v>120</v>
      </c>
      <c r="AD300" s="11">
        <v>2</v>
      </c>
      <c r="AE300" s="9" t="s">
        <v>70</v>
      </c>
      <c r="AF300" s="9" t="s">
        <v>71</v>
      </c>
      <c r="AG300" s="13">
        <v>1</v>
      </c>
      <c r="AH300" s="9" t="s">
        <v>92</v>
      </c>
      <c r="AI300" s="13">
        <v>864000</v>
      </c>
      <c r="AJ300" s="13">
        <v>1728000</v>
      </c>
      <c r="AK300" s="11">
        <v>0</v>
      </c>
      <c r="AL300" s="11">
        <v>0</v>
      </c>
      <c r="AM300" s="11">
        <v>0</v>
      </c>
      <c r="AN300" s="9" t="s">
        <v>67</v>
      </c>
      <c r="AO300" s="11">
        <v>1728000</v>
      </c>
      <c r="AP300" s="13">
        <v>138240</v>
      </c>
      <c r="AQ300" s="13">
        <v>1866240</v>
      </c>
      <c r="AR300" s="11">
        <v>37</v>
      </c>
      <c r="AS300" s="9" t="s">
        <v>72</v>
      </c>
      <c r="AT300" s="11">
        <v>40</v>
      </c>
      <c r="AU300" s="9" t="s">
        <v>73</v>
      </c>
      <c r="AV300" s="9" t="s">
        <v>67</v>
      </c>
      <c r="AW300" s="9" t="s">
        <v>956</v>
      </c>
      <c r="AX300" s="10">
        <v>45988</v>
      </c>
      <c r="AY300" s="9" t="s">
        <v>1179</v>
      </c>
      <c r="AZ300" s="9" t="s">
        <v>67</v>
      </c>
      <c r="BA300" s="9" t="s">
        <v>67</v>
      </c>
      <c r="BB300" s="12">
        <v>40</v>
      </c>
      <c r="BC300" s="9" t="s">
        <v>74</v>
      </c>
      <c r="BD300" s="9" t="s">
        <v>104</v>
      </c>
      <c r="BE300" s="9" t="s">
        <v>75</v>
      </c>
      <c r="BF300" s="11">
        <v>0</v>
      </c>
      <c r="BG300">
        <f t="shared" si="10"/>
        <v>12</v>
      </c>
      <c r="BH300" t="str">
        <f>VLOOKUP(BG300,[1]month!$A:$B,2,0)</f>
        <v>Desember</v>
      </c>
      <c r="BI300">
        <f t="shared" si="11"/>
        <v>2025</v>
      </c>
      <c r="BJ300" t="str">
        <f>VLOOKUP(I300,[1]Dist!$A:$B,2,0)</f>
        <v>Industry</v>
      </c>
      <c r="BK300" t="str">
        <f>IF(I300=11,VLOOKUP(Y300,[2]Sheet1!$C:$N,10,0),IF(I300=13,VLOOKUP(Y300,[3]Sheet1!$C:$N,10,0),IF(I300=15,VLOOKUP(Y300,[4]Sheet1!$C:$N,10,0),"Unknown")))</f>
        <v>THINNER PU</v>
      </c>
      <c r="BL300" t="str">
        <f>IF(I300=11,VLOOKUP(Y300,[2]Sheet1!$C:$N,12,0),IF(I300=13,VLOOKUP(Y300,[3]Sheet1!$C:$N,12,0),IF(I300=15,VLOOKUP(Y300,[4]Sheet1!$C:$N,12,0),"Unknown")))</f>
        <v>THINNER PU</v>
      </c>
      <c r="BM300" t="str">
        <f>VLOOKUP(W300,[1]branch!$A:$B,2,0)</f>
        <v>INDUSTRY</v>
      </c>
    </row>
    <row r="301" spans="1:65" x14ac:dyDescent="0.35">
      <c r="A301" s="10">
        <v>45994</v>
      </c>
      <c r="B301" s="9" t="s">
        <v>1178</v>
      </c>
      <c r="C301" s="9" t="s">
        <v>64</v>
      </c>
      <c r="D301" s="9" t="s">
        <v>92</v>
      </c>
      <c r="E301" s="11">
        <v>30</v>
      </c>
      <c r="F301" s="9" t="s">
        <v>93</v>
      </c>
      <c r="G301" s="9" t="s">
        <v>65</v>
      </c>
      <c r="H301" s="9" t="s">
        <v>66</v>
      </c>
      <c r="I301" s="9">
        <v>11</v>
      </c>
      <c r="J301" s="9" t="s">
        <v>751</v>
      </c>
      <c r="K301" s="9" t="s">
        <v>751</v>
      </c>
      <c r="L301" s="9" t="s">
        <v>751</v>
      </c>
      <c r="M301" s="9" t="s">
        <v>752</v>
      </c>
      <c r="N301" s="9" t="s">
        <v>395</v>
      </c>
      <c r="O301" s="9" t="s">
        <v>97</v>
      </c>
      <c r="P301" s="9" t="s">
        <v>67</v>
      </c>
      <c r="Q301" s="9" t="s">
        <v>98</v>
      </c>
      <c r="R301" s="9" t="s">
        <v>900</v>
      </c>
      <c r="S301" s="9" t="s">
        <v>752</v>
      </c>
      <c r="T301" s="9" t="s">
        <v>901</v>
      </c>
      <c r="U301" s="9" t="s">
        <v>67</v>
      </c>
      <c r="V301" s="9" t="s">
        <v>99</v>
      </c>
      <c r="W301" s="9" t="s">
        <v>100</v>
      </c>
      <c r="X301" s="11">
        <v>91</v>
      </c>
      <c r="Y301" s="9" t="s">
        <v>556</v>
      </c>
      <c r="Z301" s="9" t="s">
        <v>68</v>
      </c>
      <c r="AA301" s="9" t="s">
        <v>557</v>
      </c>
      <c r="AB301" s="9" t="s">
        <v>67</v>
      </c>
      <c r="AC301" s="9" t="s">
        <v>134</v>
      </c>
      <c r="AD301" s="11">
        <v>1</v>
      </c>
      <c r="AE301" s="9" t="s">
        <v>70</v>
      </c>
      <c r="AF301" s="9" t="s">
        <v>71</v>
      </c>
      <c r="AG301" s="13">
        <v>1</v>
      </c>
      <c r="AH301" s="9" t="s">
        <v>92</v>
      </c>
      <c r="AI301" s="13">
        <v>1048000</v>
      </c>
      <c r="AJ301" s="13">
        <v>1048000</v>
      </c>
      <c r="AK301" s="11">
        <v>0</v>
      </c>
      <c r="AL301" s="11">
        <v>0</v>
      </c>
      <c r="AM301" s="11">
        <v>0</v>
      </c>
      <c r="AN301" s="9" t="s">
        <v>67</v>
      </c>
      <c r="AO301" s="11">
        <v>1048000</v>
      </c>
      <c r="AP301" s="13">
        <v>83840</v>
      </c>
      <c r="AQ301" s="13">
        <v>1131840</v>
      </c>
      <c r="AR301" s="11">
        <v>4</v>
      </c>
      <c r="AS301" s="9" t="s">
        <v>72</v>
      </c>
      <c r="AT301" s="12">
        <v>4.55</v>
      </c>
      <c r="AU301" s="9" t="s">
        <v>73</v>
      </c>
      <c r="AV301" s="9" t="s">
        <v>67</v>
      </c>
      <c r="AW301" s="9" t="s">
        <v>956</v>
      </c>
      <c r="AX301" s="10">
        <v>45988</v>
      </c>
      <c r="AY301" s="9" t="s">
        <v>1179</v>
      </c>
      <c r="AZ301" s="9" t="s">
        <v>67</v>
      </c>
      <c r="BA301" s="9" t="s">
        <v>67</v>
      </c>
      <c r="BB301" s="12">
        <v>4</v>
      </c>
      <c r="BC301" s="9" t="s">
        <v>74</v>
      </c>
      <c r="BD301" s="9" t="s">
        <v>104</v>
      </c>
      <c r="BE301" s="9" t="s">
        <v>75</v>
      </c>
      <c r="BF301" s="11">
        <v>0</v>
      </c>
      <c r="BG301">
        <f t="shared" si="10"/>
        <v>12</v>
      </c>
      <c r="BH301" t="str">
        <f>VLOOKUP(BG301,[1]month!$A:$B,2,0)</f>
        <v>Desember</v>
      </c>
      <c r="BI301">
        <f t="shared" si="11"/>
        <v>2025</v>
      </c>
      <c r="BJ301" t="str">
        <f>VLOOKUP(I301,[1]Dist!$A:$B,2,0)</f>
        <v>Industry</v>
      </c>
      <c r="BK301" t="str">
        <f>IF(I301=11,VLOOKUP(Y301,[2]Sheet1!$C:$N,10,0),IF(I301=13,VLOOKUP(Y301,[3]Sheet1!$C:$N,10,0),IF(I301=15,VLOOKUP(Y301,[4]Sheet1!$C:$N,10,0),"Unknown")))</f>
        <v>STAIN &amp; GLAZE INTERIOR</v>
      </c>
      <c r="BL301" t="str">
        <f>IF(I301=11,VLOOKUP(Y301,[2]Sheet1!$C:$N,12,0),IF(I301=13,VLOOKUP(Y301,[3]Sheet1!$C:$N,12,0),IF(I301=15,VLOOKUP(Y301,[4]Sheet1!$C:$N,12,0),"Unknown")))</f>
        <v>ASOF : STAIN &amp; GLAZE</v>
      </c>
      <c r="BM301" t="str">
        <f>VLOOKUP(W301,[1]branch!$A:$B,2,0)</f>
        <v>INDUSTRY</v>
      </c>
    </row>
    <row r="302" spans="1:65" x14ac:dyDescent="0.35">
      <c r="A302" s="10">
        <v>45994</v>
      </c>
      <c r="B302" s="9" t="s">
        <v>1178</v>
      </c>
      <c r="C302" s="9" t="s">
        <v>64</v>
      </c>
      <c r="D302" s="9" t="s">
        <v>92</v>
      </c>
      <c r="E302" s="11">
        <v>30</v>
      </c>
      <c r="F302" s="9" t="s">
        <v>93</v>
      </c>
      <c r="G302" s="9" t="s">
        <v>65</v>
      </c>
      <c r="H302" s="9" t="s">
        <v>66</v>
      </c>
      <c r="I302" s="9">
        <v>11</v>
      </c>
      <c r="J302" s="9" t="s">
        <v>751</v>
      </c>
      <c r="K302" s="9" t="s">
        <v>751</v>
      </c>
      <c r="L302" s="9" t="s">
        <v>751</v>
      </c>
      <c r="M302" s="9" t="s">
        <v>752</v>
      </c>
      <c r="N302" s="9" t="s">
        <v>395</v>
      </c>
      <c r="O302" s="9" t="s">
        <v>97</v>
      </c>
      <c r="P302" s="9" t="s">
        <v>67</v>
      </c>
      <c r="Q302" s="9" t="s">
        <v>98</v>
      </c>
      <c r="R302" s="9" t="s">
        <v>900</v>
      </c>
      <c r="S302" s="9" t="s">
        <v>752</v>
      </c>
      <c r="T302" s="9" t="s">
        <v>901</v>
      </c>
      <c r="U302" s="9" t="s">
        <v>67</v>
      </c>
      <c r="V302" s="9" t="s">
        <v>99</v>
      </c>
      <c r="W302" s="9" t="s">
        <v>100</v>
      </c>
      <c r="X302" s="11">
        <v>92</v>
      </c>
      <c r="Y302" s="9" t="s">
        <v>753</v>
      </c>
      <c r="Z302" s="9" t="s">
        <v>68</v>
      </c>
      <c r="AA302" s="9" t="s">
        <v>754</v>
      </c>
      <c r="AB302" s="9" t="s">
        <v>67</v>
      </c>
      <c r="AC302" s="9" t="s">
        <v>142</v>
      </c>
      <c r="AD302" s="11">
        <v>3</v>
      </c>
      <c r="AE302" s="9" t="s">
        <v>70</v>
      </c>
      <c r="AF302" s="9" t="s">
        <v>71</v>
      </c>
      <c r="AG302" s="13">
        <v>1</v>
      </c>
      <c r="AH302" s="9" t="s">
        <v>92</v>
      </c>
      <c r="AI302" s="13">
        <v>1833840</v>
      </c>
      <c r="AJ302" s="13">
        <v>5501520</v>
      </c>
      <c r="AK302" s="11">
        <v>0</v>
      </c>
      <c r="AL302" s="11">
        <v>0</v>
      </c>
      <c r="AM302" s="11">
        <v>0</v>
      </c>
      <c r="AN302" s="9" t="s">
        <v>67</v>
      </c>
      <c r="AO302" s="11">
        <v>5501520</v>
      </c>
      <c r="AP302" s="13">
        <v>440122</v>
      </c>
      <c r="AQ302" s="13">
        <v>5941642</v>
      </c>
      <c r="AR302" s="11">
        <v>54</v>
      </c>
      <c r="AS302" s="9" t="s">
        <v>72</v>
      </c>
      <c r="AT302" s="12">
        <v>54.54</v>
      </c>
      <c r="AU302" s="9" t="s">
        <v>73</v>
      </c>
      <c r="AV302" s="9" t="s">
        <v>67</v>
      </c>
      <c r="AW302" s="9" t="s">
        <v>956</v>
      </c>
      <c r="AX302" s="10">
        <v>45988</v>
      </c>
      <c r="AY302" s="9" t="s">
        <v>1179</v>
      </c>
      <c r="AZ302" s="9" t="s">
        <v>67</v>
      </c>
      <c r="BA302" s="9" t="s">
        <v>67</v>
      </c>
      <c r="BB302" s="12">
        <v>54</v>
      </c>
      <c r="BC302" s="9" t="s">
        <v>74</v>
      </c>
      <c r="BD302" s="9" t="s">
        <v>104</v>
      </c>
      <c r="BE302" s="9" t="s">
        <v>75</v>
      </c>
      <c r="BF302" s="11">
        <v>0</v>
      </c>
      <c r="BG302">
        <f t="shared" si="10"/>
        <v>12</v>
      </c>
      <c r="BH302" t="str">
        <f>VLOOKUP(BG302,[1]month!$A:$B,2,0)</f>
        <v>Desember</v>
      </c>
      <c r="BI302">
        <f t="shared" si="11"/>
        <v>2025</v>
      </c>
      <c r="BJ302" t="str">
        <f>VLOOKUP(I302,[1]Dist!$A:$B,2,0)</f>
        <v>Industry</v>
      </c>
      <c r="BK302" t="str">
        <f>IF(I302=11,VLOOKUP(Y302,[2]Sheet1!$C:$N,10,0),IF(I302=13,VLOOKUP(Y302,[3]Sheet1!$C:$N,10,0),IF(I302=15,VLOOKUP(Y302,[4]Sheet1!$C:$N,10,0),"Unknown")))</f>
        <v>NC</v>
      </c>
      <c r="BL302" t="str">
        <f>IF(I302=11,VLOOKUP(Y302,[2]Sheet1!$C:$N,12,0),IF(I302=13,VLOOKUP(Y302,[3]Sheet1!$C:$N,12,0),IF(I302=15,VLOOKUP(Y302,[4]Sheet1!$C:$N,12,0),"Unknown")))</f>
        <v>ASOF : NC TOP COAT</v>
      </c>
      <c r="BM302" t="str">
        <f>VLOOKUP(W302,[1]branch!$A:$B,2,0)</f>
        <v>INDUSTRY</v>
      </c>
    </row>
    <row r="303" spans="1:65" x14ac:dyDescent="0.35">
      <c r="A303" s="10">
        <v>45994</v>
      </c>
      <c r="B303" s="9" t="s">
        <v>1180</v>
      </c>
      <c r="C303" s="9" t="s">
        <v>64</v>
      </c>
      <c r="D303" s="9" t="s">
        <v>92</v>
      </c>
      <c r="E303" s="11">
        <v>30</v>
      </c>
      <c r="F303" s="9" t="s">
        <v>93</v>
      </c>
      <c r="G303" s="9" t="s">
        <v>65</v>
      </c>
      <c r="H303" s="9" t="s">
        <v>66</v>
      </c>
      <c r="I303" s="9">
        <v>11</v>
      </c>
      <c r="J303" s="9" t="s">
        <v>751</v>
      </c>
      <c r="K303" s="9" t="s">
        <v>751</v>
      </c>
      <c r="L303" s="9" t="s">
        <v>751</v>
      </c>
      <c r="M303" s="9" t="s">
        <v>752</v>
      </c>
      <c r="N303" s="9" t="s">
        <v>395</v>
      </c>
      <c r="O303" s="9" t="s">
        <v>97</v>
      </c>
      <c r="P303" s="9" t="s">
        <v>67</v>
      </c>
      <c r="Q303" s="9" t="s">
        <v>98</v>
      </c>
      <c r="R303" s="9" t="s">
        <v>900</v>
      </c>
      <c r="S303" s="9" t="s">
        <v>752</v>
      </c>
      <c r="T303" s="9" t="s">
        <v>901</v>
      </c>
      <c r="U303" s="9" t="s">
        <v>67</v>
      </c>
      <c r="V303" s="9" t="s">
        <v>99</v>
      </c>
      <c r="W303" s="9" t="s">
        <v>100</v>
      </c>
      <c r="X303" s="11">
        <v>30</v>
      </c>
      <c r="Y303" s="9" t="s">
        <v>240</v>
      </c>
      <c r="Z303" s="9" t="s">
        <v>68</v>
      </c>
      <c r="AA303" s="9" t="s">
        <v>241</v>
      </c>
      <c r="AB303" s="9" t="s">
        <v>67</v>
      </c>
      <c r="AC303" s="9" t="s">
        <v>237</v>
      </c>
      <c r="AD303" s="11">
        <v>1</v>
      </c>
      <c r="AE303" s="9" t="s">
        <v>70</v>
      </c>
      <c r="AF303" s="9" t="s">
        <v>71</v>
      </c>
      <c r="AG303" s="13">
        <v>1</v>
      </c>
      <c r="AH303" s="9" t="s">
        <v>92</v>
      </c>
      <c r="AI303" s="13">
        <v>2342000</v>
      </c>
      <c r="AJ303" s="13">
        <v>2342000</v>
      </c>
      <c r="AK303" s="11">
        <v>0</v>
      </c>
      <c r="AL303" s="11">
        <v>0</v>
      </c>
      <c r="AM303" s="11">
        <v>0</v>
      </c>
      <c r="AN303" s="9" t="s">
        <v>67</v>
      </c>
      <c r="AO303" s="11">
        <v>2342000</v>
      </c>
      <c r="AP303" s="13">
        <v>187360</v>
      </c>
      <c r="AQ303" s="13">
        <v>2529360</v>
      </c>
      <c r="AR303" s="11">
        <v>4</v>
      </c>
      <c r="AS303" s="9" t="s">
        <v>72</v>
      </c>
      <c r="AT303" s="12">
        <v>3.81</v>
      </c>
      <c r="AU303" s="9" t="s">
        <v>73</v>
      </c>
      <c r="AV303" s="9" t="s">
        <v>67</v>
      </c>
      <c r="AW303" s="9" t="s">
        <v>1181</v>
      </c>
      <c r="AX303" s="10">
        <v>45992</v>
      </c>
      <c r="AY303" s="9" t="s">
        <v>1182</v>
      </c>
      <c r="AZ303" s="9" t="s">
        <v>67</v>
      </c>
      <c r="BA303" s="9" t="s">
        <v>67</v>
      </c>
      <c r="BB303" s="12">
        <v>4</v>
      </c>
      <c r="BC303" s="9" t="s">
        <v>74</v>
      </c>
      <c r="BD303" s="9" t="s">
        <v>104</v>
      </c>
      <c r="BE303" s="9" t="s">
        <v>75</v>
      </c>
      <c r="BF303" s="11">
        <v>0</v>
      </c>
      <c r="BG303">
        <f t="shared" si="10"/>
        <v>12</v>
      </c>
      <c r="BH303" t="str">
        <f>VLOOKUP(BG303,[1]month!$A:$B,2,0)</f>
        <v>Desember</v>
      </c>
      <c r="BI303">
        <f t="shared" si="11"/>
        <v>2025</v>
      </c>
      <c r="BJ303" t="str">
        <f>VLOOKUP(I303,[1]Dist!$A:$B,2,0)</f>
        <v>Industry</v>
      </c>
      <c r="BK303" t="str">
        <f>IF(I303=11,VLOOKUP(Y303,[2]Sheet1!$C:$N,10,0),IF(I303=13,VLOOKUP(Y303,[3]Sheet1!$C:$N,10,0),IF(I303=15,VLOOKUP(Y303,[4]Sheet1!$C:$N,10,0),"Unknown")))</f>
        <v>COMPLEMENTARY</v>
      </c>
      <c r="BL303" t="str">
        <f>IF(I303=11,VLOOKUP(Y303,[2]Sheet1!$C:$N,12,0),IF(I303=13,VLOOKUP(Y303,[3]Sheet1!$C:$N,12,0),IF(I303=15,VLOOKUP(Y303,[4]Sheet1!$C:$N,12,0),"Unknown")))</f>
        <v>PASTA</v>
      </c>
      <c r="BM303" t="str">
        <f>VLOOKUP(W303,[1]branch!$A:$B,2,0)</f>
        <v>INDUSTRY</v>
      </c>
    </row>
    <row r="304" spans="1:65" x14ac:dyDescent="0.35">
      <c r="A304" s="10">
        <v>45994</v>
      </c>
      <c r="B304" s="9" t="s">
        <v>1180</v>
      </c>
      <c r="C304" s="9" t="s">
        <v>64</v>
      </c>
      <c r="D304" s="9" t="s">
        <v>92</v>
      </c>
      <c r="E304" s="11">
        <v>30</v>
      </c>
      <c r="F304" s="9" t="s">
        <v>93</v>
      </c>
      <c r="G304" s="9" t="s">
        <v>65</v>
      </c>
      <c r="H304" s="9" t="s">
        <v>66</v>
      </c>
      <c r="I304" s="9">
        <v>11</v>
      </c>
      <c r="J304" s="9" t="s">
        <v>751</v>
      </c>
      <c r="K304" s="9" t="s">
        <v>751</v>
      </c>
      <c r="L304" s="9" t="s">
        <v>751</v>
      </c>
      <c r="M304" s="9" t="s">
        <v>752</v>
      </c>
      <c r="N304" s="9" t="s">
        <v>395</v>
      </c>
      <c r="O304" s="9" t="s">
        <v>97</v>
      </c>
      <c r="P304" s="9" t="s">
        <v>67</v>
      </c>
      <c r="Q304" s="9" t="s">
        <v>98</v>
      </c>
      <c r="R304" s="9" t="s">
        <v>900</v>
      </c>
      <c r="S304" s="9" t="s">
        <v>752</v>
      </c>
      <c r="T304" s="9" t="s">
        <v>901</v>
      </c>
      <c r="U304" s="9" t="s">
        <v>67</v>
      </c>
      <c r="V304" s="9" t="s">
        <v>99</v>
      </c>
      <c r="W304" s="9" t="s">
        <v>100</v>
      </c>
      <c r="X304" s="11">
        <v>40</v>
      </c>
      <c r="Y304" s="9" t="s">
        <v>550</v>
      </c>
      <c r="Z304" s="9" t="s">
        <v>68</v>
      </c>
      <c r="AA304" s="9" t="s">
        <v>551</v>
      </c>
      <c r="AB304" s="9" t="s">
        <v>67</v>
      </c>
      <c r="AC304" s="9" t="s">
        <v>237</v>
      </c>
      <c r="AD304" s="11">
        <v>1</v>
      </c>
      <c r="AE304" s="9" t="s">
        <v>70</v>
      </c>
      <c r="AF304" s="9" t="s">
        <v>71</v>
      </c>
      <c r="AG304" s="13">
        <v>1</v>
      </c>
      <c r="AH304" s="9" t="s">
        <v>92</v>
      </c>
      <c r="AI304" s="13">
        <v>1367200</v>
      </c>
      <c r="AJ304" s="13">
        <v>1367200</v>
      </c>
      <c r="AK304" s="11">
        <v>0</v>
      </c>
      <c r="AL304" s="11">
        <v>0</v>
      </c>
      <c r="AM304" s="11">
        <v>0</v>
      </c>
      <c r="AN304" s="9" t="s">
        <v>67</v>
      </c>
      <c r="AO304" s="11">
        <v>1367200</v>
      </c>
      <c r="AP304" s="13">
        <v>109376</v>
      </c>
      <c r="AQ304" s="13">
        <v>1476576</v>
      </c>
      <c r="AR304" s="11">
        <v>4</v>
      </c>
      <c r="AS304" s="9" t="s">
        <v>72</v>
      </c>
      <c r="AT304" s="12">
        <v>2.58</v>
      </c>
      <c r="AU304" s="9" t="s">
        <v>73</v>
      </c>
      <c r="AV304" s="9" t="s">
        <v>67</v>
      </c>
      <c r="AW304" s="9" t="s">
        <v>1181</v>
      </c>
      <c r="AX304" s="10">
        <v>45992</v>
      </c>
      <c r="AY304" s="9" t="s">
        <v>1182</v>
      </c>
      <c r="AZ304" s="9" t="s">
        <v>67</v>
      </c>
      <c r="BA304" s="9" t="s">
        <v>67</v>
      </c>
      <c r="BB304" s="12">
        <v>4</v>
      </c>
      <c r="BC304" s="9" t="s">
        <v>74</v>
      </c>
      <c r="BD304" s="9" t="s">
        <v>104</v>
      </c>
      <c r="BE304" s="9" t="s">
        <v>75</v>
      </c>
      <c r="BF304" s="11">
        <v>0</v>
      </c>
      <c r="BG304">
        <f t="shared" si="10"/>
        <v>12</v>
      </c>
      <c r="BH304" t="str">
        <f>VLOOKUP(BG304,[1]month!$A:$B,2,0)</f>
        <v>Desember</v>
      </c>
      <c r="BI304">
        <f t="shared" si="11"/>
        <v>2025</v>
      </c>
      <c r="BJ304" t="str">
        <f>VLOOKUP(I304,[1]Dist!$A:$B,2,0)</f>
        <v>Industry</v>
      </c>
      <c r="BK304" t="str">
        <f>IF(I304=11,VLOOKUP(Y304,[2]Sheet1!$C:$N,10,0),IF(I304=13,VLOOKUP(Y304,[3]Sheet1!$C:$N,10,0),IF(I304=15,VLOOKUP(Y304,[4]Sheet1!$C:$N,10,0),"Unknown")))</f>
        <v>COMPLEMENTARY</v>
      </c>
      <c r="BL304" t="str">
        <f>IF(I304=11,VLOOKUP(Y304,[2]Sheet1!$C:$N,12,0),IF(I304=13,VLOOKUP(Y304,[3]Sheet1!$C:$N,12,0),IF(I304=15,VLOOKUP(Y304,[4]Sheet1!$C:$N,12,0),"Unknown")))</f>
        <v>PASTA</v>
      </c>
      <c r="BM304" t="str">
        <f>VLOOKUP(W304,[1]branch!$A:$B,2,0)</f>
        <v>INDUSTRY</v>
      </c>
    </row>
    <row r="305" spans="1:65" x14ac:dyDescent="0.35">
      <c r="A305" s="10">
        <v>45994</v>
      </c>
      <c r="B305" s="9" t="s">
        <v>1180</v>
      </c>
      <c r="C305" s="9" t="s">
        <v>64</v>
      </c>
      <c r="D305" s="9" t="s">
        <v>92</v>
      </c>
      <c r="E305" s="11">
        <v>30</v>
      </c>
      <c r="F305" s="9" t="s">
        <v>93</v>
      </c>
      <c r="G305" s="9" t="s">
        <v>65</v>
      </c>
      <c r="H305" s="9" t="s">
        <v>66</v>
      </c>
      <c r="I305" s="9">
        <v>11</v>
      </c>
      <c r="J305" s="9" t="s">
        <v>751</v>
      </c>
      <c r="K305" s="9" t="s">
        <v>751</v>
      </c>
      <c r="L305" s="9" t="s">
        <v>751</v>
      </c>
      <c r="M305" s="9" t="s">
        <v>752</v>
      </c>
      <c r="N305" s="9" t="s">
        <v>395</v>
      </c>
      <c r="O305" s="9" t="s">
        <v>97</v>
      </c>
      <c r="P305" s="9" t="s">
        <v>67</v>
      </c>
      <c r="Q305" s="9" t="s">
        <v>98</v>
      </c>
      <c r="R305" s="9" t="s">
        <v>900</v>
      </c>
      <c r="S305" s="9" t="s">
        <v>752</v>
      </c>
      <c r="T305" s="9" t="s">
        <v>901</v>
      </c>
      <c r="U305" s="9" t="s">
        <v>67</v>
      </c>
      <c r="V305" s="9" t="s">
        <v>99</v>
      </c>
      <c r="W305" s="9" t="s">
        <v>100</v>
      </c>
      <c r="X305" s="11">
        <v>50</v>
      </c>
      <c r="Y305" s="9" t="s">
        <v>238</v>
      </c>
      <c r="Z305" s="9" t="s">
        <v>68</v>
      </c>
      <c r="AA305" s="9" t="s">
        <v>239</v>
      </c>
      <c r="AB305" s="9" t="s">
        <v>67</v>
      </c>
      <c r="AC305" s="9" t="s">
        <v>237</v>
      </c>
      <c r="AD305" s="11">
        <v>1</v>
      </c>
      <c r="AE305" s="9" t="s">
        <v>70</v>
      </c>
      <c r="AF305" s="9" t="s">
        <v>71</v>
      </c>
      <c r="AG305" s="13">
        <v>1</v>
      </c>
      <c r="AH305" s="9" t="s">
        <v>92</v>
      </c>
      <c r="AI305" s="13">
        <v>864400</v>
      </c>
      <c r="AJ305" s="13">
        <v>864400</v>
      </c>
      <c r="AK305" s="11">
        <v>0</v>
      </c>
      <c r="AL305" s="11">
        <v>0</v>
      </c>
      <c r="AM305" s="11">
        <v>0</v>
      </c>
      <c r="AN305" s="9" t="s">
        <v>67</v>
      </c>
      <c r="AO305" s="11">
        <v>864400</v>
      </c>
      <c r="AP305" s="13">
        <v>69152</v>
      </c>
      <c r="AQ305" s="13">
        <v>933552</v>
      </c>
      <c r="AR305" s="11">
        <v>4</v>
      </c>
      <c r="AS305" s="9" t="s">
        <v>72</v>
      </c>
      <c r="AT305" s="12">
        <v>1.97</v>
      </c>
      <c r="AU305" s="9" t="s">
        <v>73</v>
      </c>
      <c r="AV305" s="9" t="s">
        <v>67</v>
      </c>
      <c r="AW305" s="9" t="s">
        <v>1181</v>
      </c>
      <c r="AX305" s="10">
        <v>45992</v>
      </c>
      <c r="AY305" s="9" t="s">
        <v>1182</v>
      </c>
      <c r="AZ305" s="9" t="s">
        <v>67</v>
      </c>
      <c r="BA305" s="9" t="s">
        <v>67</v>
      </c>
      <c r="BB305" s="12">
        <v>4</v>
      </c>
      <c r="BC305" s="9" t="s">
        <v>74</v>
      </c>
      <c r="BD305" s="9" t="s">
        <v>104</v>
      </c>
      <c r="BE305" s="9" t="s">
        <v>75</v>
      </c>
      <c r="BF305" s="11">
        <v>0</v>
      </c>
      <c r="BG305">
        <f t="shared" si="10"/>
        <v>12</v>
      </c>
      <c r="BH305" t="str">
        <f>VLOOKUP(BG305,[1]month!$A:$B,2,0)</f>
        <v>Desember</v>
      </c>
      <c r="BI305">
        <f t="shared" si="11"/>
        <v>2025</v>
      </c>
      <c r="BJ305" t="str">
        <f>VLOOKUP(I305,[1]Dist!$A:$B,2,0)</f>
        <v>Industry</v>
      </c>
      <c r="BK305" t="str">
        <f>IF(I305=11,VLOOKUP(Y305,[2]Sheet1!$C:$N,10,0),IF(I305=13,VLOOKUP(Y305,[3]Sheet1!$C:$N,10,0),IF(I305=15,VLOOKUP(Y305,[4]Sheet1!$C:$N,10,0),"Unknown")))</f>
        <v>COMPLEMENTARY</v>
      </c>
      <c r="BL305" t="str">
        <f>IF(I305=11,VLOOKUP(Y305,[2]Sheet1!$C:$N,12,0),IF(I305=13,VLOOKUP(Y305,[3]Sheet1!$C:$N,12,0),IF(I305=15,VLOOKUP(Y305,[4]Sheet1!$C:$N,12,0),"Unknown")))</f>
        <v>PASTA</v>
      </c>
      <c r="BM305" t="str">
        <f>VLOOKUP(W305,[1]branch!$A:$B,2,0)</f>
        <v>INDUSTRY</v>
      </c>
    </row>
    <row r="306" spans="1:65" x14ac:dyDescent="0.35">
      <c r="A306" s="10">
        <v>45994</v>
      </c>
      <c r="B306" s="9" t="s">
        <v>1180</v>
      </c>
      <c r="C306" s="9" t="s">
        <v>64</v>
      </c>
      <c r="D306" s="9" t="s">
        <v>92</v>
      </c>
      <c r="E306" s="11">
        <v>30</v>
      </c>
      <c r="F306" s="9" t="s">
        <v>93</v>
      </c>
      <c r="G306" s="9" t="s">
        <v>65</v>
      </c>
      <c r="H306" s="9" t="s">
        <v>66</v>
      </c>
      <c r="I306" s="9">
        <v>11</v>
      </c>
      <c r="J306" s="9" t="s">
        <v>751</v>
      </c>
      <c r="K306" s="9" t="s">
        <v>751</v>
      </c>
      <c r="L306" s="9" t="s">
        <v>751</v>
      </c>
      <c r="M306" s="9" t="s">
        <v>752</v>
      </c>
      <c r="N306" s="9" t="s">
        <v>395</v>
      </c>
      <c r="O306" s="9" t="s">
        <v>97</v>
      </c>
      <c r="P306" s="9" t="s">
        <v>67</v>
      </c>
      <c r="Q306" s="9" t="s">
        <v>98</v>
      </c>
      <c r="R306" s="9" t="s">
        <v>900</v>
      </c>
      <c r="S306" s="9" t="s">
        <v>752</v>
      </c>
      <c r="T306" s="9" t="s">
        <v>901</v>
      </c>
      <c r="U306" s="9" t="s">
        <v>67</v>
      </c>
      <c r="V306" s="9" t="s">
        <v>99</v>
      </c>
      <c r="W306" s="9" t="s">
        <v>100</v>
      </c>
      <c r="X306" s="11">
        <v>60</v>
      </c>
      <c r="Y306" s="9" t="s">
        <v>564</v>
      </c>
      <c r="Z306" s="9" t="s">
        <v>68</v>
      </c>
      <c r="AA306" s="9" t="s">
        <v>565</v>
      </c>
      <c r="AB306" s="9" t="s">
        <v>67</v>
      </c>
      <c r="AC306" s="9" t="s">
        <v>237</v>
      </c>
      <c r="AD306" s="11">
        <v>1</v>
      </c>
      <c r="AE306" s="9" t="s">
        <v>70</v>
      </c>
      <c r="AF306" s="9" t="s">
        <v>71</v>
      </c>
      <c r="AG306" s="13">
        <v>1</v>
      </c>
      <c r="AH306" s="9" t="s">
        <v>92</v>
      </c>
      <c r="AI306" s="13">
        <v>1298800</v>
      </c>
      <c r="AJ306" s="13">
        <v>1298800</v>
      </c>
      <c r="AK306" s="11">
        <v>0</v>
      </c>
      <c r="AL306" s="11">
        <v>0</v>
      </c>
      <c r="AM306" s="11">
        <v>0</v>
      </c>
      <c r="AN306" s="9" t="s">
        <v>67</v>
      </c>
      <c r="AO306" s="11">
        <v>1298800</v>
      </c>
      <c r="AP306" s="13">
        <v>103904</v>
      </c>
      <c r="AQ306" s="13">
        <v>1402704</v>
      </c>
      <c r="AR306" s="11">
        <v>4</v>
      </c>
      <c r="AS306" s="9" t="s">
        <v>72</v>
      </c>
      <c r="AT306" s="12">
        <v>2.4390000000000001</v>
      </c>
      <c r="AU306" s="9" t="s">
        <v>73</v>
      </c>
      <c r="AV306" s="9" t="s">
        <v>67</v>
      </c>
      <c r="AW306" s="9" t="s">
        <v>1181</v>
      </c>
      <c r="AX306" s="10">
        <v>45992</v>
      </c>
      <c r="AY306" s="9" t="s">
        <v>1182</v>
      </c>
      <c r="AZ306" s="9" t="s">
        <v>67</v>
      </c>
      <c r="BA306" s="9" t="s">
        <v>67</v>
      </c>
      <c r="BB306" s="12">
        <v>4</v>
      </c>
      <c r="BC306" s="9" t="s">
        <v>74</v>
      </c>
      <c r="BD306" s="9" t="s">
        <v>104</v>
      </c>
      <c r="BE306" s="9" t="s">
        <v>75</v>
      </c>
      <c r="BF306" s="11">
        <v>0</v>
      </c>
      <c r="BG306">
        <f t="shared" si="10"/>
        <v>12</v>
      </c>
      <c r="BH306" t="str">
        <f>VLOOKUP(BG306,[1]month!$A:$B,2,0)</f>
        <v>Desember</v>
      </c>
      <c r="BI306">
        <f t="shared" si="11"/>
        <v>2025</v>
      </c>
      <c r="BJ306" t="str">
        <f>VLOOKUP(I306,[1]Dist!$A:$B,2,0)</f>
        <v>Industry</v>
      </c>
      <c r="BK306" t="str">
        <f>IF(I306=11,VLOOKUP(Y306,[2]Sheet1!$C:$N,10,0),IF(I306=13,VLOOKUP(Y306,[3]Sheet1!$C:$N,10,0),IF(I306=15,VLOOKUP(Y306,[4]Sheet1!$C:$N,10,0),"Unknown")))</f>
        <v>COMPLEMENTARY</v>
      </c>
      <c r="BL306" t="str">
        <f>IF(I306=11,VLOOKUP(Y306,[2]Sheet1!$C:$N,12,0),IF(I306=13,VLOOKUP(Y306,[3]Sheet1!$C:$N,12,0),IF(I306=15,VLOOKUP(Y306,[4]Sheet1!$C:$N,12,0),"Unknown")))</f>
        <v>PASTA</v>
      </c>
      <c r="BM306" t="str">
        <f>VLOOKUP(W306,[1]branch!$A:$B,2,0)</f>
        <v>INDUSTRY</v>
      </c>
    </row>
    <row r="307" spans="1:65" x14ac:dyDescent="0.35">
      <c r="A307" s="10">
        <v>45994</v>
      </c>
      <c r="B307" s="9" t="s">
        <v>1180</v>
      </c>
      <c r="C307" s="9" t="s">
        <v>64</v>
      </c>
      <c r="D307" s="9" t="s">
        <v>92</v>
      </c>
      <c r="E307" s="11">
        <v>30</v>
      </c>
      <c r="F307" s="9" t="s">
        <v>93</v>
      </c>
      <c r="G307" s="9" t="s">
        <v>65</v>
      </c>
      <c r="H307" s="9" t="s">
        <v>66</v>
      </c>
      <c r="I307" s="9">
        <v>11</v>
      </c>
      <c r="J307" s="9" t="s">
        <v>751</v>
      </c>
      <c r="K307" s="9" t="s">
        <v>751</v>
      </c>
      <c r="L307" s="9" t="s">
        <v>751</v>
      </c>
      <c r="M307" s="9" t="s">
        <v>752</v>
      </c>
      <c r="N307" s="9" t="s">
        <v>395</v>
      </c>
      <c r="O307" s="9" t="s">
        <v>97</v>
      </c>
      <c r="P307" s="9" t="s">
        <v>67</v>
      </c>
      <c r="Q307" s="9" t="s">
        <v>98</v>
      </c>
      <c r="R307" s="9" t="s">
        <v>900</v>
      </c>
      <c r="S307" s="9" t="s">
        <v>752</v>
      </c>
      <c r="T307" s="9" t="s">
        <v>901</v>
      </c>
      <c r="U307" s="9" t="s">
        <v>67</v>
      </c>
      <c r="V307" s="9" t="s">
        <v>99</v>
      </c>
      <c r="W307" s="9" t="s">
        <v>100</v>
      </c>
      <c r="X307" s="11">
        <v>80</v>
      </c>
      <c r="Y307" s="9" t="s">
        <v>257</v>
      </c>
      <c r="Z307" s="9" t="s">
        <v>68</v>
      </c>
      <c r="AA307" s="9" t="s">
        <v>258</v>
      </c>
      <c r="AB307" s="9" t="s">
        <v>67</v>
      </c>
      <c r="AC307" s="9" t="s">
        <v>259</v>
      </c>
      <c r="AD307" s="11">
        <v>2</v>
      </c>
      <c r="AE307" s="9" t="s">
        <v>70</v>
      </c>
      <c r="AF307" s="9" t="s">
        <v>71</v>
      </c>
      <c r="AG307" s="13">
        <v>1</v>
      </c>
      <c r="AH307" s="9" t="s">
        <v>92</v>
      </c>
      <c r="AI307" s="13">
        <v>1802400</v>
      </c>
      <c r="AJ307" s="13">
        <v>3604800</v>
      </c>
      <c r="AK307" s="11">
        <v>0</v>
      </c>
      <c r="AL307" s="11">
        <v>0</v>
      </c>
      <c r="AM307" s="11">
        <v>0</v>
      </c>
      <c r="AN307" s="9" t="s">
        <v>67</v>
      </c>
      <c r="AO307" s="11">
        <v>3604800</v>
      </c>
      <c r="AP307" s="13">
        <v>288384</v>
      </c>
      <c r="AQ307" s="13">
        <v>3893184</v>
      </c>
      <c r="AR307" s="11">
        <v>40</v>
      </c>
      <c r="AS307" s="9" t="s">
        <v>72</v>
      </c>
      <c r="AT307" s="12">
        <v>39.619999999999997</v>
      </c>
      <c r="AU307" s="9" t="s">
        <v>73</v>
      </c>
      <c r="AV307" s="9" t="s">
        <v>67</v>
      </c>
      <c r="AW307" s="9" t="s">
        <v>1181</v>
      </c>
      <c r="AX307" s="10">
        <v>45992</v>
      </c>
      <c r="AY307" s="9" t="s">
        <v>1182</v>
      </c>
      <c r="AZ307" s="9" t="s">
        <v>67</v>
      </c>
      <c r="BA307" s="9" t="s">
        <v>67</v>
      </c>
      <c r="BB307" s="12">
        <v>40</v>
      </c>
      <c r="BC307" s="9" t="s">
        <v>74</v>
      </c>
      <c r="BD307" s="9" t="s">
        <v>104</v>
      </c>
      <c r="BE307" s="9" t="s">
        <v>75</v>
      </c>
      <c r="BF307" s="11">
        <v>0</v>
      </c>
      <c r="BG307">
        <f t="shared" si="10"/>
        <v>12</v>
      </c>
      <c r="BH307" t="str">
        <f>VLOOKUP(BG307,[1]month!$A:$B,2,0)</f>
        <v>Desember</v>
      </c>
      <c r="BI307">
        <f t="shared" si="11"/>
        <v>2025</v>
      </c>
      <c r="BJ307" t="str">
        <f>VLOOKUP(I307,[1]Dist!$A:$B,2,0)</f>
        <v>Industry</v>
      </c>
      <c r="BK307" t="str">
        <f>IF(I307=11,VLOOKUP(Y307,[2]Sheet1!$C:$N,10,0),IF(I307=13,VLOOKUP(Y307,[3]Sheet1!$C:$N,10,0),IF(I307=15,VLOOKUP(Y307,[4]Sheet1!$C:$N,10,0),"Unknown")))</f>
        <v>PU</v>
      </c>
      <c r="BL307" t="str">
        <f>IF(I307=11,VLOOKUP(Y307,[2]Sheet1!$C:$N,12,0),IF(I307=13,VLOOKUP(Y307,[3]Sheet1!$C:$N,12,0),IF(I307=15,VLOOKUP(Y307,[4]Sheet1!$C:$N,12,0),"Unknown")))</f>
        <v>PU HARDENER</v>
      </c>
      <c r="BM307" t="str">
        <f>VLOOKUP(W307,[1]branch!$A:$B,2,0)</f>
        <v>INDUSTRY</v>
      </c>
    </row>
    <row r="308" spans="1:65" x14ac:dyDescent="0.35">
      <c r="A308" s="10">
        <v>45994</v>
      </c>
      <c r="B308" s="9" t="s">
        <v>1180</v>
      </c>
      <c r="C308" s="9" t="s">
        <v>64</v>
      </c>
      <c r="D308" s="9" t="s">
        <v>92</v>
      </c>
      <c r="E308" s="11">
        <v>30</v>
      </c>
      <c r="F308" s="9" t="s">
        <v>93</v>
      </c>
      <c r="G308" s="9" t="s">
        <v>65</v>
      </c>
      <c r="H308" s="9" t="s">
        <v>66</v>
      </c>
      <c r="I308" s="9">
        <v>11</v>
      </c>
      <c r="J308" s="9" t="s">
        <v>751</v>
      </c>
      <c r="K308" s="9" t="s">
        <v>751</v>
      </c>
      <c r="L308" s="9" t="s">
        <v>751</v>
      </c>
      <c r="M308" s="9" t="s">
        <v>752</v>
      </c>
      <c r="N308" s="9" t="s">
        <v>395</v>
      </c>
      <c r="O308" s="9" t="s">
        <v>97</v>
      </c>
      <c r="P308" s="9" t="s">
        <v>67</v>
      </c>
      <c r="Q308" s="9" t="s">
        <v>98</v>
      </c>
      <c r="R308" s="9" t="s">
        <v>900</v>
      </c>
      <c r="S308" s="9" t="s">
        <v>752</v>
      </c>
      <c r="T308" s="9" t="s">
        <v>901</v>
      </c>
      <c r="U308" s="9" t="s">
        <v>67</v>
      </c>
      <c r="V308" s="9" t="s">
        <v>99</v>
      </c>
      <c r="W308" s="9" t="s">
        <v>100</v>
      </c>
      <c r="X308" s="11">
        <v>90</v>
      </c>
      <c r="Y308" s="9" t="s">
        <v>244</v>
      </c>
      <c r="Z308" s="9" t="s">
        <v>68</v>
      </c>
      <c r="AA308" s="9" t="s">
        <v>245</v>
      </c>
      <c r="AB308" s="9" t="s">
        <v>67</v>
      </c>
      <c r="AC308" s="9" t="s">
        <v>229</v>
      </c>
      <c r="AD308" s="11">
        <v>2</v>
      </c>
      <c r="AE308" s="9" t="s">
        <v>70</v>
      </c>
      <c r="AF308" s="9" t="s">
        <v>71</v>
      </c>
      <c r="AG308" s="13">
        <v>1</v>
      </c>
      <c r="AH308" s="9" t="s">
        <v>92</v>
      </c>
      <c r="AI308" s="13">
        <v>1754400</v>
      </c>
      <c r="AJ308" s="13">
        <v>3508800</v>
      </c>
      <c r="AK308" s="11">
        <v>0</v>
      </c>
      <c r="AL308" s="11">
        <v>0</v>
      </c>
      <c r="AM308" s="11">
        <v>0</v>
      </c>
      <c r="AN308" s="9" t="s">
        <v>67</v>
      </c>
      <c r="AO308" s="11">
        <v>3508800</v>
      </c>
      <c r="AP308" s="13">
        <v>280704</v>
      </c>
      <c r="AQ308" s="13">
        <v>3789504</v>
      </c>
      <c r="AR308" s="11">
        <v>40</v>
      </c>
      <c r="AS308" s="9" t="s">
        <v>72</v>
      </c>
      <c r="AT308" s="11">
        <v>40</v>
      </c>
      <c r="AU308" s="9" t="s">
        <v>73</v>
      </c>
      <c r="AV308" s="9" t="s">
        <v>67</v>
      </c>
      <c r="AW308" s="9" t="s">
        <v>1181</v>
      </c>
      <c r="AX308" s="10">
        <v>45992</v>
      </c>
      <c r="AY308" s="9" t="s">
        <v>1182</v>
      </c>
      <c r="AZ308" s="9" t="s">
        <v>67</v>
      </c>
      <c r="BA308" s="9" t="s">
        <v>67</v>
      </c>
      <c r="BB308" s="12">
        <v>40</v>
      </c>
      <c r="BC308" s="9" t="s">
        <v>74</v>
      </c>
      <c r="BD308" s="9" t="s">
        <v>104</v>
      </c>
      <c r="BE308" s="9" t="s">
        <v>75</v>
      </c>
      <c r="BF308" s="11">
        <v>0</v>
      </c>
      <c r="BG308">
        <f t="shared" si="10"/>
        <v>12</v>
      </c>
      <c r="BH308" t="str">
        <f>VLOOKUP(BG308,[1]month!$A:$B,2,0)</f>
        <v>Desember</v>
      </c>
      <c r="BI308">
        <f t="shared" si="11"/>
        <v>2025</v>
      </c>
      <c r="BJ308" t="str">
        <f>VLOOKUP(I308,[1]Dist!$A:$B,2,0)</f>
        <v>Industry</v>
      </c>
      <c r="BK308" t="str">
        <f>IF(I308=11,VLOOKUP(Y308,[2]Sheet1!$C:$N,10,0),IF(I308=13,VLOOKUP(Y308,[3]Sheet1!$C:$N,10,0),IF(I308=15,VLOOKUP(Y308,[4]Sheet1!$C:$N,10,0),"Unknown")))</f>
        <v>PU</v>
      </c>
      <c r="BL308" t="str">
        <f>IF(I308=11,VLOOKUP(Y308,[2]Sheet1!$C:$N,12,0),IF(I308=13,VLOOKUP(Y308,[3]Sheet1!$C:$N,12,0),IF(I308=15,VLOOKUP(Y308,[4]Sheet1!$C:$N,12,0),"Unknown")))</f>
        <v>PU LACQUER</v>
      </c>
      <c r="BM308" t="str">
        <f>VLOOKUP(W308,[1]branch!$A:$B,2,0)</f>
        <v>INDUSTRY</v>
      </c>
    </row>
    <row r="309" spans="1:65" x14ac:dyDescent="0.35">
      <c r="A309" s="10">
        <v>45994</v>
      </c>
      <c r="B309" s="9" t="s">
        <v>1180</v>
      </c>
      <c r="C309" s="9" t="s">
        <v>64</v>
      </c>
      <c r="D309" s="9" t="s">
        <v>92</v>
      </c>
      <c r="E309" s="11">
        <v>30</v>
      </c>
      <c r="F309" s="9" t="s">
        <v>93</v>
      </c>
      <c r="G309" s="9" t="s">
        <v>65</v>
      </c>
      <c r="H309" s="9" t="s">
        <v>66</v>
      </c>
      <c r="I309" s="9">
        <v>11</v>
      </c>
      <c r="J309" s="9" t="s">
        <v>751</v>
      </c>
      <c r="K309" s="9" t="s">
        <v>751</v>
      </c>
      <c r="L309" s="9" t="s">
        <v>751</v>
      </c>
      <c r="M309" s="9" t="s">
        <v>752</v>
      </c>
      <c r="N309" s="9" t="s">
        <v>395</v>
      </c>
      <c r="O309" s="9" t="s">
        <v>97</v>
      </c>
      <c r="P309" s="9" t="s">
        <v>67</v>
      </c>
      <c r="Q309" s="9" t="s">
        <v>98</v>
      </c>
      <c r="R309" s="9" t="s">
        <v>900</v>
      </c>
      <c r="S309" s="9" t="s">
        <v>752</v>
      </c>
      <c r="T309" s="9" t="s">
        <v>901</v>
      </c>
      <c r="U309" s="9" t="s">
        <v>67</v>
      </c>
      <c r="V309" s="9" t="s">
        <v>99</v>
      </c>
      <c r="W309" s="9" t="s">
        <v>100</v>
      </c>
      <c r="X309" s="11">
        <v>100</v>
      </c>
      <c r="Y309" s="9" t="s">
        <v>507</v>
      </c>
      <c r="Z309" s="9" t="s">
        <v>68</v>
      </c>
      <c r="AA309" s="9" t="s">
        <v>508</v>
      </c>
      <c r="AB309" s="9" t="s">
        <v>67</v>
      </c>
      <c r="AC309" s="9" t="s">
        <v>251</v>
      </c>
      <c r="AD309" s="11">
        <v>2</v>
      </c>
      <c r="AE309" s="9" t="s">
        <v>70</v>
      </c>
      <c r="AF309" s="9" t="s">
        <v>71</v>
      </c>
      <c r="AG309" s="13">
        <v>1</v>
      </c>
      <c r="AH309" s="9" t="s">
        <v>92</v>
      </c>
      <c r="AI309" s="13">
        <v>1513400</v>
      </c>
      <c r="AJ309" s="13">
        <v>3026800</v>
      </c>
      <c r="AK309" s="11">
        <v>0</v>
      </c>
      <c r="AL309" s="11">
        <v>0</v>
      </c>
      <c r="AM309" s="11">
        <v>0</v>
      </c>
      <c r="AN309" s="9" t="s">
        <v>67</v>
      </c>
      <c r="AO309" s="11">
        <v>3026800</v>
      </c>
      <c r="AP309" s="13">
        <v>242144</v>
      </c>
      <c r="AQ309" s="13">
        <v>3268944</v>
      </c>
      <c r="AR309" s="11">
        <v>40</v>
      </c>
      <c r="AS309" s="9" t="s">
        <v>72</v>
      </c>
      <c r="AT309" s="12">
        <v>36.36</v>
      </c>
      <c r="AU309" s="9" t="s">
        <v>73</v>
      </c>
      <c r="AV309" s="9" t="s">
        <v>67</v>
      </c>
      <c r="AW309" s="9" t="s">
        <v>1181</v>
      </c>
      <c r="AX309" s="10">
        <v>45992</v>
      </c>
      <c r="AY309" s="9" t="s">
        <v>1182</v>
      </c>
      <c r="AZ309" s="9" t="s">
        <v>67</v>
      </c>
      <c r="BA309" s="9" t="s">
        <v>67</v>
      </c>
      <c r="BB309" s="12">
        <v>40</v>
      </c>
      <c r="BC309" s="9" t="s">
        <v>74</v>
      </c>
      <c r="BD309" s="9" t="s">
        <v>104</v>
      </c>
      <c r="BE309" s="9" t="s">
        <v>75</v>
      </c>
      <c r="BF309" s="11">
        <v>0</v>
      </c>
      <c r="BG309">
        <f t="shared" si="10"/>
        <v>12</v>
      </c>
      <c r="BH309" t="str">
        <f>VLOOKUP(BG309,[1]month!$A:$B,2,0)</f>
        <v>Desember</v>
      </c>
      <c r="BI309">
        <f t="shared" si="11"/>
        <v>2025</v>
      </c>
      <c r="BJ309" t="str">
        <f>VLOOKUP(I309,[1]Dist!$A:$B,2,0)</f>
        <v>Industry</v>
      </c>
      <c r="BK309" t="str">
        <f>IF(I309=11,VLOOKUP(Y309,[2]Sheet1!$C:$N,10,0),IF(I309=13,VLOOKUP(Y309,[3]Sheet1!$C:$N,10,0),IF(I309=15,VLOOKUP(Y309,[4]Sheet1!$C:$N,10,0),"Unknown")))</f>
        <v>PU</v>
      </c>
      <c r="BL309" t="str">
        <f>IF(I309=11,VLOOKUP(Y309,[2]Sheet1!$C:$N,12,0),IF(I309=13,VLOOKUP(Y309,[3]Sheet1!$C:$N,12,0),IF(I309=15,VLOOKUP(Y309,[4]Sheet1!$C:$N,12,0),"Unknown")))</f>
        <v>PU SANDING SEALER</v>
      </c>
      <c r="BM309" t="str">
        <f>VLOOKUP(W309,[1]branch!$A:$B,2,0)</f>
        <v>INDUSTRY</v>
      </c>
    </row>
    <row r="310" spans="1:65" x14ac:dyDescent="0.35">
      <c r="A310" s="10">
        <v>45994</v>
      </c>
      <c r="B310" s="9" t="s">
        <v>1180</v>
      </c>
      <c r="C310" s="9" t="s">
        <v>64</v>
      </c>
      <c r="D310" s="9" t="s">
        <v>92</v>
      </c>
      <c r="E310" s="11">
        <v>30</v>
      </c>
      <c r="F310" s="9" t="s">
        <v>93</v>
      </c>
      <c r="G310" s="9" t="s">
        <v>65</v>
      </c>
      <c r="H310" s="9" t="s">
        <v>66</v>
      </c>
      <c r="I310" s="9">
        <v>11</v>
      </c>
      <c r="J310" s="9" t="s">
        <v>751</v>
      </c>
      <c r="K310" s="9" t="s">
        <v>751</v>
      </c>
      <c r="L310" s="9" t="s">
        <v>751</v>
      </c>
      <c r="M310" s="9" t="s">
        <v>752</v>
      </c>
      <c r="N310" s="9" t="s">
        <v>395</v>
      </c>
      <c r="O310" s="9" t="s">
        <v>97</v>
      </c>
      <c r="P310" s="9" t="s">
        <v>67</v>
      </c>
      <c r="Q310" s="9" t="s">
        <v>98</v>
      </c>
      <c r="R310" s="9" t="s">
        <v>900</v>
      </c>
      <c r="S310" s="9" t="s">
        <v>752</v>
      </c>
      <c r="T310" s="9" t="s">
        <v>901</v>
      </c>
      <c r="U310" s="9" t="s">
        <v>67</v>
      </c>
      <c r="V310" s="9" t="s">
        <v>99</v>
      </c>
      <c r="W310" s="9" t="s">
        <v>100</v>
      </c>
      <c r="X310" s="11">
        <v>110</v>
      </c>
      <c r="Y310" s="9" t="s">
        <v>203</v>
      </c>
      <c r="Z310" s="9" t="s">
        <v>68</v>
      </c>
      <c r="AA310" s="9" t="s">
        <v>204</v>
      </c>
      <c r="AB310" s="9" t="s">
        <v>67</v>
      </c>
      <c r="AC310" s="9" t="s">
        <v>205</v>
      </c>
      <c r="AD310" s="11">
        <v>1</v>
      </c>
      <c r="AE310" s="9" t="s">
        <v>70</v>
      </c>
      <c r="AF310" s="9" t="s">
        <v>71</v>
      </c>
      <c r="AG310" s="13">
        <v>1</v>
      </c>
      <c r="AH310" s="9" t="s">
        <v>92</v>
      </c>
      <c r="AI310" s="13">
        <v>990000</v>
      </c>
      <c r="AJ310" s="13">
        <v>990000</v>
      </c>
      <c r="AK310" s="11">
        <v>0</v>
      </c>
      <c r="AL310" s="11">
        <v>0</v>
      </c>
      <c r="AM310" s="11">
        <v>0</v>
      </c>
      <c r="AN310" s="9" t="s">
        <v>67</v>
      </c>
      <c r="AO310" s="11">
        <v>990000</v>
      </c>
      <c r="AP310" s="13">
        <v>79200</v>
      </c>
      <c r="AQ310" s="13">
        <v>1069200</v>
      </c>
      <c r="AR310" s="12">
        <v>19.600000000000001</v>
      </c>
      <c r="AS310" s="9" t="s">
        <v>72</v>
      </c>
      <c r="AT310" s="11">
        <v>20</v>
      </c>
      <c r="AU310" s="9" t="s">
        <v>73</v>
      </c>
      <c r="AV310" s="9" t="s">
        <v>67</v>
      </c>
      <c r="AW310" s="9" t="s">
        <v>1181</v>
      </c>
      <c r="AX310" s="10">
        <v>45992</v>
      </c>
      <c r="AY310" s="9" t="s">
        <v>1182</v>
      </c>
      <c r="AZ310" s="9" t="s">
        <v>67</v>
      </c>
      <c r="BA310" s="9" t="s">
        <v>67</v>
      </c>
      <c r="BB310" s="12">
        <v>20</v>
      </c>
      <c r="BC310" s="9" t="s">
        <v>74</v>
      </c>
      <c r="BD310" s="9" t="s">
        <v>104</v>
      </c>
      <c r="BE310" s="9" t="s">
        <v>75</v>
      </c>
      <c r="BF310" s="11">
        <v>0</v>
      </c>
      <c r="BG310">
        <f t="shared" si="10"/>
        <v>12</v>
      </c>
      <c r="BH310" t="str">
        <f>VLOOKUP(BG310,[1]month!$A:$B,2,0)</f>
        <v>Desember</v>
      </c>
      <c r="BI310">
        <f t="shared" si="11"/>
        <v>2025</v>
      </c>
      <c r="BJ310" t="str">
        <f>VLOOKUP(I310,[1]Dist!$A:$B,2,0)</f>
        <v>Industry</v>
      </c>
      <c r="BK310" t="str">
        <f>IF(I310=11,VLOOKUP(Y310,[2]Sheet1!$C:$N,10,0),IF(I310=13,VLOOKUP(Y310,[3]Sheet1!$C:$N,10,0),IF(I310=15,VLOOKUP(Y310,[4]Sheet1!$C:$N,10,0),"Unknown")))</f>
        <v>COMPLEMENTARY</v>
      </c>
      <c r="BL310" t="str">
        <f>IF(I310=11,VLOOKUP(Y310,[2]Sheet1!$C:$N,12,0),IF(I310=13,VLOOKUP(Y310,[3]Sheet1!$C:$N,12,0),IF(I310=15,VLOOKUP(Y310,[4]Sheet1!$C:$N,12,0),"Unknown")))</f>
        <v>RETARDER</v>
      </c>
      <c r="BM310" t="str">
        <f>VLOOKUP(W310,[1]branch!$A:$B,2,0)</f>
        <v>INDUSTRY</v>
      </c>
    </row>
    <row r="311" spans="1:65" x14ac:dyDescent="0.35">
      <c r="A311" s="10">
        <v>45994</v>
      </c>
      <c r="B311" s="9" t="s">
        <v>1180</v>
      </c>
      <c r="C311" s="9" t="s">
        <v>64</v>
      </c>
      <c r="D311" s="9" t="s">
        <v>92</v>
      </c>
      <c r="E311" s="11">
        <v>30</v>
      </c>
      <c r="F311" s="9" t="s">
        <v>93</v>
      </c>
      <c r="G311" s="9" t="s">
        <v>65</v>
      </c>
      <c r="H311" s="9" t="s">
        <v>66</v>
      </c>
      <c r="I311" s="9">
        <v>11</v>
      </c>
      <c r="J311" s="9" t="s">
        <v>751</v>
      </c>
      <c r="K311" s="9" t="s">
        <v>751</v>
      </c>
      <c r="L311" s="9" t="s">
        <v>751</v>
      </c>
      <c r="M311" s="9" t="s">
        <v>752</v>
      </c>
      <c r="N311" s="9" t="s">
        <v>395</v>
      </c>
      <c r="O311" s="9" t="s">
        <v>97</v>
      </c>
      <c r="P311" s="9" t="s">
        <v>67</v>
      </c>
      <c r="Q311" s="9" t="s">
        <v>98</v>
      </c>
      <c r="R311" s="9" t="s">
        <v>900</v>
      </c>
      <c r="S311" s="9" t="s">
        <v>752</v>
      </c>
      <c r="T311" s="9" t="s">
        <v>901</v>
      </c>
      <c r="U311" s="9" t="s">
        <v>67</v>
      </c>
      <c r="V311" s="9" t="s">
        <v>99</v>
      </c>
      <c r="W311" s="9" t="s">
        <v>100</v>
      </c>
      <c r="X311" s="11">
        <v>140</v>
      </c>
      <c r="Y311" s="9" t="s">
        <v>552</v>
      </c>
      <c r="Z311" s="9" t="s">
        <v>68</v>
      </c>
      <c r="AA311" s="9" t="s">
        <v>553</v>
      </c>
      <c r="AB311" s="9" t="s">
        <v>67</v>
      </c>
      <c r="AC311" s="9" t="s">
        <v>139</v>
      </c>
      <c r="AD311" s="11">
        <v>1</v>
      </c>
      <c r="AE311" s="9" t="s">
        <v>70</v>
      </c>
      <c r="AF311" s="9" t="s">
        <v>71</v>
      </c>
      <c r="AG311" s="13">
        <v>1</v>
      </c>
      <c r="AH311" s="9" t="s">
        <v>92</v>
      </c>
      <c r="AI311" s="13">
        <v>7718000</v>
      </c>
      <c r="AJ311" s="13">
        <v>7718000</v>
      </c>
      <c r="AK311" s="11">
        <v>0</v>
      </c>
      <c r="AL311" s="11">
        <v>0</v>
      </c>
      <c r="AM311" s="11">
        <v>0</v>
      </c>
      <c r="AN311" s="9" t="s">
        <v>67</v>
      </c>
      <c r="AO311" s="11">
        <v>7718000</v>
      </c>
      <c r="AP311" s="13">
        <v>617440</v>
      </c>
      <c r="AQ311" s="13">
        <v>8335440</v>
      </c>
      <c r="AR311" s="11">
        <v>176</v>
      </c>
      <c r="AS311" s="9" t="s">
        <v>72</v>
      </c>
      <c r="AT311" s="11">
        <v>200</v>
      </c>
      <c r="AU311" s="9" t="s">
        <v>73</v>
      </c>
      <c r="AV311" s="9" t="s">
        <v>67</v>
      </c>
      <c r="AW311" s="9" t="s">
        <v>1181</v>
      </c>
      <c r="AX311" s="10">
        <v>45992</v>
      </c>
      <c r="AY311" s="9" t="s">
        <v>1182</v>
      </c>
      <c r="AZ311" s="9" t="s">
        <v>67</v>
      </c>
      <c r="BA311" s="9" t="s">
        <v>67</v>
      </c>
      <c r="BB311" s="12">
        <v>200</v>
      </c>
      <c r="BC311" s="9" t="s">
        <v>74</v>
      </c>
      <c r="BD311" s="9" t="s">
        <v>104</v>
      </c>
      <c r="BE311" s="9" t="s">
        <v>75</v>
      </c>
      <c r="BF311" s="11">
        <v>0</v>
      </c>
      <c r="BG311">
        <f t="shared" si="10"/>
        <v>12</v>
      </c>
      <c r="BH311" t="str">
        <f>VLOOKUP(BG311,[1]month!$A:$B,2,0)</f>
        <v>Desember</v>
      </c>
      <c r="BI311">
        <f t="shared" si="11"/>
        <v>2025</v>
      </c>
      <c r="BJ311" t="str">
        <f>VLOOKUP(I311,[1]Dist!$A:$B,2,0)</f>
        <v>Industry</v>
      </c>
      <c r="BK311" t="str">
        <f>IF(I311=11,VLOOKUP(Y311,[2]Sheet1!$C:$N,10,0),IF(I311=13,VLOOKUP(Y311,[3]Sheet1!$C:$N,10,0),IF(I311=15,VLOOKUP(Y311,[4]Sheet1!$C:$N,10,0),"Unknown")))</f>
        <v>THINNER NC</v>
      </c>
      <c r="BL311" t="str">
        <f>IF(I311=11,VLOOKUP(Y311,[2]Sheet1!$C:$N,12,0),IF(I311=13,VLOOKUP(Y311,[3]Sheet1!$C:$N,12,0),IF(I311=15,VLOOKUP(Y311,[4]Sheet1!$C:$N,12,0),"Unknown")))</f>
        <v>THINNER COMPLEMENTARY</v>
      </c>
      <c r="BM311" t="str">
        <f>VLOOKUP(W311,[1]branch!$A:$B,2,0)</f>
        <v>INDUSTRY</v>
      </c>
    </row>
    <row r="312" spans="1:65" x14ac:dyDescent="0.35">
      <c r="A312" s="10">
        <v>45994</v>
      </c>
      <c r="B312" s="9" t="s">
        <v>1183</v>
      </c>
      <c r="C312" s="9" t="s">
        <v>64</v>
      </c>
      <c r="D312" s="9" t="s">
        <v>92</v>
      </c>
      <c r="E312" s="11">
        <v>30</v>
      </c>
      <c r="F312" s="9" t="s">
        <v>93</v>
      </c>
      <c r="G312" s="9" t="s">
        <v>65</v>
      </c>
      <c r="H312" s="9" t="s">
        <v>66</v>
      </c>
      <c r="I312" s="9">
        <v>11</v>
      </c>
      <c r="J312" s="9" t="s">
        <v>438</v>
      </c>
      <c r="K312" s="9" t="s">
        <v>438</v>
      </c>
      <c r="L312" s="9" t="s">
        <v>438</v>
      </c>
      <c r="M312" s="9" t="s">
        <v>439</v>
      </c>
      <c r="N312" s="9" t="s">
        <v>867</v>
      </c>
      <c r="O312" s="9" t="s">
        <v>97</v>
      </c>
      <c r="P312" s="9" t="s">
        <v>67</v>
      </c>
      <c r="Q312" s="9" t="s">
        <v>98</v>
      </c>
      <c r="R312" s="9" t="s">
        <v>438</v>
      </c>
      <c r="S312" s="9" t="s">
        <v>439</v>
      </c>
      <c r="T312" s="9" t="s">
        <v>837</v>
      </c>
      <c r="U312" s="9" t="s">
        <v>67</v>
      </c>
      <c r="V312" s="9" t="s">
        <v>99</v>
      </c>
      <c r="W312" s="9" t="s">
        <v>100</v>
      </c>
      <c r="X312" s="11">
        <v>10</v>
      </c>
      <c r="Y312" s="9" t="s">
        <v>213</v>
      </c>
      <c r="Z312" s="9" t="s">
        <v>68</v>
      </c>
      <c r="AA312" s="9" t="s">
        <v>214</v>
      </c>
      <c r="AB312" s="9" t="s">
        <v>67</v>
      </c>
      <c r="AC312" s="9" t="s">
        <v>120</v>
      </c>
      <c r="AD312" s="11">
        <v>12</v>
      </c>
      <c r="AE312" s="9" t="s">
        <v>70</v>
      </c>
      <c r="AF312" s="9" t="s">
        <v>71</v>
      </c>
      <c r="AG312" s="13">
        <v>1</v>
      </c>
      <c r="AH312" s="9" t="s">
        <v>92</v>
      </c>
      <c r="AI312" s="13">
        <v>938600</v>
      </c>
      <c r="AJ312" s="13">
        <v>11263200</v>
      </c>
      <c r="AK312" s="11">
        <v>0</v>
      </c>
      <c r="AL312" s="11">
        <v>0</v>
      </c>
      <c r="AM312" s="11">
        <v>0</v>
      </c>
      <c r="AN312" s="9" t="s">
        <v>67</v>
      </c>
      <c r="AO312" s="11">
        <v>11263200</v>
      </c>
      <c r="AP312" s="13">
        <v>901055</v>
      </c>
      <c r="AQ312" s="13">
        <v>12164255</v>
      </c>
      <c r="AR312" s="11">
        <v>222</v>
      </c>
      <c r="AS312" s="9" t="s">
        <v>72</v>
      </c>
      <c r="AT312" s="11">
        <v>240</v>
      </c>
      <c r="AU312" s="9" t="s">
        <v>73</v>
      </c>
      <c r="AV312" s="9" t="s">
        <v>67</v>
      </c>
      <c r="AW312" s="9" t="s">
        <v>1184</v>
      </c>
      <c r="AX312" s="10">
        <v>45988</v>
      </c>
      <c r="AY312" s="9" t="s">
        <v>1185</v>
      </c>
      <c r="AZ312" s="9" t="s">
        <v>67</v>
      </c>
      <c r="BA312" s="9" t="s">
        <v>67</v>
      </c>
      <c r="BB312" s="12">
        <v>240</v>
      </c>
      <c r="BC312" s="9" t="s">
        <v>74</v>
      </c>
      <c r="BD312" s="9" t="s">
        <v>104</v>
      </c>
      <c r="BE312" s="9" t="s">
        <v>75</v>
      </c>
      <c r="BF312" s="11">
        <v>0</v>
      </c>
      <c r="BG312">
        <f t="shared" si="10"/>
        <v>12</v>
      </c>
      <c r="BH312" t="str">
        <f>VLOOKUP(BG312,[1]month!$A:$B,2,0)</f>
        <v>Desember</v>
      </c>
      <c r="BI312">
        <f t="shared" si="11"/>
        <v>2025</v>
      </c>
      <c r="BJ312" t="str">
        <f>VLOOKUP(I312,[1]Dist!$A:$B,2,0)</f>
        <v>Industry</v>
      </c>
      <c r="BK312" t="str">
        <f>IF(I312=11,VLOOKUP(Y312,[2]Sheet1!$C:$N,10,0),IF(I312=13,VLOOKUP(Y312,[3]Sheet1!$C:$N,10,0),IF(I312=15,VLOOKUP(Y312,[4]Sheet1!$C:$N,10,0),"Unknown")))</f>
        <v>THINNER PU</v>
      </c>
      <c r="BL312" t="str">
        <f>IF(I312=11,VLOOKUP(Y312,[2]Sheet1!$C:$N,12,0),IF(I312=13,VLOOKUP(Y312,[3]Sheet1!$C:$N,12,0),IF(I312=15,VLOOKUP(Y312,[4]Sheet1!$C:$N,12,0),"Unknown")))</f>
        <v>THINNER PU</v>
      </c>
      <c r="BM312" t="str">
        <f>VLOOKUP(W312,[1]branch!$A:$B,2,0)</f>
        <v>INDUSTRY</v>
      </c>
    </row>
    <row r="313" spans="1:65" x14ac:dyDescent="0.35">
      <c r="A313" s="10">
        <v>45994</v>
      </c>
      <c r="B313" s="9" t="s">
        <v>1183</v>
      </c>
      <c r="C313" s="9" t="s">
        <v>64</v>
      </c>
      <c r="D313" s="9" t="s">
        <v>92</v>
      </c>
      <c r="E313" s="11">
        <v>30</v>
      </c>
      <c r="F313" s="9" t="s">
        <v>93</v>
      </c>
      <c r="G313" s="9" t="s">
        <v>65</v>
      </c>
      <c r="H313" s="9" t="s">
        <v>66</v>
      </c>
      <c r="I313" s="9">
        <v>11</v>
      </c>
      <c r="J313" s="9" t="s">
        <v>438</v>
      </c>
      <c r="K313" s="9" t="s">
        <v>438</v>
      </c>
      <c r="L313" s="9" t="s">
        <v>438</v>
      </c>
      <c r="M313" s="9" t="s">
        <v>439</v>
      </c>
      <c r="N313" s="9" t="s">
        <v>867</v>
      </c>
      <c r="O313" s="9" t="s">
        <v>97</v>
      </c>
      <c r="P313" s="9" t="s">
        <v>67</v>
      </c>
      <c r="Q313" s="9" t="s">
        <v>98</v>
      </c>
      <c r="R313" s="9" t="s">
        <v>438</v>
      </c>
      <c r="S313" s="9" t="s">
        <v>439</v>
      </c>
      <c r="T313" s="9" t="s">
        <v>837</v>
      </c>
      <c r="U313" s="9" t="s">
        <v>67</v>
      </c>
      <c r="V313" s="9" t="s">
        <v>99</v>
      </c>
      <c r="W313" s="9" t="s">
        <v>100</v>
      </c>
      <c r="X313" s="11">
        <v>20</v>
      </c>
      <c r="Y313" s="9" t="s">
        <v>196</v>
      </c>
      <c r="Z313" s="9" t="s">
        <v>68</v>
      </c>
      <c r="AA313" s="9" t="s">
        <v>197</v>
      </c>
      <c r="AB313" s="9" t="s">
        <v>67</v>
      </c>
      <c r="AC313" s="9" t="s">
        <v>103</v>
      </c>
      <c r="AD313" s="11">
        <v>8</v>
      </c>
      <c r="AE313" s="9" t="s">
        <v>70</v>
      </c>
      <c r="AF313" s="9" t="s">
        <v>71</v>
      </c>
      <c r="AG313" s="13">
        <v>1</v>
      </c>
      <c r="AH313" s="9" t="s">
        <v>92</v>
      </c>
      <c r="AI313" s="13">
        <v>1236000</v>
      </c>
      <c r="AJ313" s="13">
        <v>9888000</v>
      </c>
      <c r="AK313" s="11">
        <v>0</v>
      </c>
      <c r="AL313" s="11">
        <v>0</v>
      </c>
      <c r="AM313" s="11">
        <v>0</v>
      </c>
      <c r="AN313" s="9" t="s">
        <v>67</v>
      </c>
      <c r="AO313" s="11">
        <v>9888000</v>
      </c>
      <c r="AP313" s="13">
        <v>791040</v>
      </c>
      <c r="AQ313" s="13">
        <v>10679040</v>
      </c>
      <c r="AR313" s="11">
        <v>160</v>
      </c>
      <c r="AS313" s="9" t="s">
        <v>72</v>
      </c>
      <c r="AT313" s="12">
        <v>158.4</v>
      </c>
      <c r="AU313" s="9" t="s">
        <v>73</v>
      </c>
      <c r="AV313" s="9" t="s">
        <v>67</v>
      </c>
      <c r="AW313" s="9" t="s">
        <v>1184</v>
      </c>
      <c r="AX313" s="10">
        <v>45988</v>
      </c>
      <c r="AY313" s="9" t="s">
        <v>1185</v>
      </c>
      <c r="AZ313" s="9" t="s">
        <v>67</v>
      </c>
      <c r="BA313" s="9" t="s">
        <v>67</v>
      </c>
      <c r="BB313" s="12">
        <v>160</v>
      </c>
      <c r="BC313" s="9" t="s">
        <v>74</v>
      </c>
      <c r="BD313" s="9" t="s">
        <v>104</v>
      </c>
      <c r="BE313" s="9" t="s">
        <v>75</v>
      </c>
      <c r="BF313" s="11">
        <v>0</v>
      </c>
      <c r="BG313">
        <f t="shared" si="10"/>
        <v>12</v>
      </c>
      <c r="BH313" t="str">
        <f>VLOOKUP(BG313,[1]month!$A:$B,2,0)</f>
        <v>Desember</v>
      </c>
      <c r="BI313">
        <f t="shared" si="11"/>
        <v>2025</v>
      </c>
      <c r="BJ313" t="str">
        <f>VLOOKUP(I313,[1]Dist!$A:$B,2,0)</f>
        <v>Industry</v>
      </c>
      <c r="BK313" t="str">
        <f>IF(I313=11,VLOOKUP(Y313,[2]Sheet1!$C:$N,10,0),IF(I313=13,VLOOKUP(Y313,[3]Sheet1!$C:$N,10,0),IF(I313=15,VLOOKUP(Y313,[4]Sheet1!$C:$N,10,0),"Unknown")))</f>
        <v>PU</v>
      </c>
      <c r="BL313" t="str">
        <f>IF(I313=11,VLOOKUP(Y313,[2]Sheet1!$C:$N,12,0),IF(I313=13,VLOOKUP(Y313,[3]Sheet1!$C:$N,12,0),IF(I313=15,VLOOKUP(Y313,[4]Sheet1!$C:$N,12,0),"Unknown")))</f>
        <v>PU SANDING SEALER</v>
      </c>
      <c r="BM313" t="str">
        <f>VLOOKUP(W313,[1]branch!$A:$B,2,0)</f>
        <v>INDUSTRY</v>
      </c>
    </row>
    <row r="314" spans="1:65" x14ac:dyDescent="0.35">
      <c r="A314" s="10">
        <v>45994</v>
      </c>
      <c r="B314" s="9" t="s">
        <v>1183</v>
      </c>
      <c r="C314" s="9" t="s">
        <v>64</v>
      </c>
      <c r="D314" s="9" t="s">
        <v>92</v>
      </c>
      <c r="E314" s="11">
        <v>30</v>
      </c>
      <c r="F314" s="9" t="s">
        <v>93</v>
      </c>
      <c r="G314" s="9" t="s">
        <v>65</v>
      </c>
      <c r="H314" s="9" t="s">
        <v>66</v>
      </c>
      <c r="I314" s="9">
        <v>11</v>
      </c>
      <c r="J314" s="9" t="s">
        <v>438</v>
      </c>
      <c r="K314" s="9" t="s">
        <v>438</v>
      </c>
      <c r="L314" s="9" t="s">
        <v>438</v>
      </c>
      <c r="M314" s="9" t="s">
        <v>439</v>
      </c>
      <c r="N314" s="9" t="s">
        <v>867</v>
      </c>
      <c r="O314" s="9" t="s">
        <v>97</v>
      </c>
      <c r="P314" s="9" t="s">
        <v>67</v>
      </c>
      <c r="Q314" s="9" t="s">
        <v>98</v>
      </c>
      <c r="R314" s="9" t="s">
        <v>438</v>
      </c>
      <c r="S314" s="9" t="s">
        <v>439</v>
      </c>
      <c r="T314" s="9" t="s">
        <v>837</v>
      </c>
      <c r="U314" s="9" t="s">
        <v>67</v>
      </c>
      <c r="V314" s="9" t="s">
        <v>99</v>
      </c>
      <c r="W314" s="9" t="s">
        <v>100</v>
      </c>
      <c r="X314" s="11">
        <v>30</v>
      </c>
      <c r="Y314" s="9" t="s">
        <v>105</v>
      </c>
      <c r="Z314" s="9" t="s">
        <v>68</v>
      </c>
      <c r="AA314" s="9" t="s">
        <v>106</v>
      </c>
      <c r="AB314" s="9" t="s">
        <v>67</v>
      </c>
      <c r="AC314" s="9" t="s">
        <v>107</v>
      </c>
      <c r="AD314" s="11">
        <v>4</v>
      </c>
      <c r="AE314" s="9" t="s">
        <v>70</v>
      </c>
      <c r="AF314" s="9" t="s">
        <v>71</v>
      </c>
      <c r="AG314" s="13">
        <v>1</v>
      </c>
      <c r="AH314" s="9" t="s">
        <v>92</v>
      </c>
      <c r="AI314" s="13">
        <v>2173400</v>
      </c>
      <c r="AJ314" s="13">
        <v>8693600</v>
      </c>
      <c r="AK314" s="11">
        <v>0</v>
      </c>
      <c r="AL314" s="11">
        <v>0</v>
      </c>
      <c r="AM314" s="11">
        <v>0</v>
      </c>
      <c r="AN314" s="9" t="s">
        <v>67</v>
      </c>
      <c r="AO314" s="11">
        <v>8693600</v>
      </c>
      <c r="AP314" s="13">
        <v>695488</v>
      </c>
      <c r="AQ314" s="13">
        <v>9389088</v>
      </c>
      <c r="AR314" s="11">
        <v>80</v>
      </c>
      <c r="AS314" s="9" t="s">
        <v>72</v>
      </c>
      <c r="AT314" s="12">
        <v>85.12</v>
      </c>
      <c r="AU314" s="9" t="s">
        <v>73</v>
      </c>
      <c r="AV314" s="9" t="s">
        <v>67</v>
      </c>
      <c r="AW314" s="9" t="s">
        <v>1184</v>
      </c>
      <c r="AX314" s="10">
        <v>45988</v>
      </c>
      <c r="AY314" s="9" t="s">
        <v>1185</v>
      </c>
      <c r="AZ314" s="9" t="s">
        <v>67</v>
      </c>
      <c r="BA314" s="9" t="s">
        <v>67</v>
      </c>
      <c r="BB314" s="12">
        <v>80</v>
      </c>
      <c r="BC314" s="9" t="s">
        <v>74</v>
      </c>
      <c r="BD314" s="9" t="s">
        <v>104</v>
      </c>
      <c r="BE314" s="9" t="s">
        <v>75</v>
      </c>
      <c r="BF314" s="11">
        <v>0</v>
      </c>
      <c r="BG314">
        <f t="shared" si="10"/>
        <v>12</v>
      </c>
      <c r="BH314" t="str">
        <f>VLOOKUP(BG314,[1]month!$A:$B,2,0)</f>
        <v>Desember</v>
      </c>
      <c r="BI314">
        <f t="shared" si="11"/>
        <v>2025</v>
      </c>
      <c r="BJ314" t="str">
        <f>VLOOKUP(I314,[1]Dist!$A:$B,2,0)</f>
        <v>Industry</v>
      </c>
      <c r="BK314" t="str">
        <f>IF(I314=11,VLOOKUP(Y314,[2]Sheet1!$C:$N,10,0),IF(I314=13,VLOOKUP(Y314,[3]Sheet1!$C:$N,10,0),IF(I314=15,VLOOKUP(Y314,[4]Sheet1!$C:$N,10,0),"Unknown")))</f>
        <v>PU</v>
      </c>
      <c r="BL314" t="str">
        <f>IF(I314=11,VLOOKUP(Y314,[2]Sheet1!$C:$N,12,0),IF(I314=13,VLOOKUP(Y314,[3]Sheet1!$C:$N,12,0),IF(I314=15,VLOOKUP(Y314,[4]Sheet1!$C:$N,12,0),"Unknown")))</f>
        <v>PU HARDENER</v>
      </c>
      <c r="BM314" t="str">
        <f>VLOOKUP(W314,[1]branch!$A:$B,2,0)</f>
        <v>INDUSTRY</v>
      </c>
    </row>
    <row r="315" spans="1:65" x14ac:dyDescent="0.35">
      <c r="A315" s="10">
        <v>45994</v>
      </c>
      <c r="B315" s="9" t="s">
        <v>1183</v>
      </c>
      <c r="C315" s="9" t="s">
        <v>64</v>
      </c>
      <c r="D315" s="9" t="s">
        <v>92</v>
      </c>
      <c r="E315" s="11">
        <v>30</v>
      </c>
      <c r="F315" s="9" t="s">
        <v>93</v>
      </c>
      <c r="G315" s="9" t="s">
        <v>65</v>
      </c>
      <c r="H315" s="9" t="s">
        <v>66</v>
      </c>
      <c r="I315" s="9">
        <v>11</v>
      </c>
      <c r="J315" s="9" t="s">
        <v>438</v>
      </c>
      <c r="K315" s="9" t="s">
        <v>438</v>
      </c>
      <c r="L315" s="9" t="s">
        <v>438</v>
      </c>
      <c r="M315" s="9" t="s">
        <v>439</v>
      </c>
      <c r="N315" s="9" t="s">
        <v>867</v>
      </c>
      <c r="O315" s="9" t="s">
        <v>97</v>
      </c>
      <c r="P315" s="9" t="s">
        <v>67</v>
      </c>
      <c r="Q315" s="9" t="s">
        <v>98</v>
      </c>
      <c r="R315" s="9" t="s">
        <v>438</v>
      </c>
      <c r="S315" s="9" t="s">
        <v>439</v>
      </c>
      <c r="T315" s="9" t="s">
        <v>837</v>
      </c>
      <c r="U315" s="9" t="s">
        <v>67</v>
      </c>
      <c r="V315" s="9" t="s">
        <v>99</v>
      </c>
      <c r="W315" s="9" t="s">
        <v>100</v>
      </c>
      <c r="X315" s="11">
        <v>40</v>
      </c>
      <c r="Y315" s="9" t="s">
        <v>630</v>
      </c>
      <c r="Z315" s="9" t="s">
        <v>68</v>
      </c>
      <c r="AA315" s="9" t="s">
        <v>631</v>
      </c>
      <c r="AB315" s="9" t="s">
        <v>67</v>
      </c>
      <c r="AC315" s="9" t="s">
        <v>561</v>
      </c>
      <c r="AD315" s="11">
        <v>1</v>
      </c>
      <c r="AE315" s="9" t="s">
        <v>70</v>
      </c>
      <c r="AF315" s="9" t="s">
        <v>71</v>
      </c>
      <c r="AG315" s="13">
        <v>1</v>
      </c>
      <c r="AH315" s="9" t="s">
        <v>92</v>
      </c>
      <c r="AI315" s="13">
        <v>839560</v>
      </c>
      <c r="AJ315" s="13">
        <v>839560</v>
      </c>
      <c r="AK315" s="11">
        <v>0</v>
      </c>
      <c r="AL315" s="11">
        <v>0</v>
      </c>
      <c r="AM315" s="11">
        <v>0</v>
      </c>
      <c r="AN315" s="9" t="s">
        <v>67</v>
      </c>
      <c r="AO315" s="11">
        <v>839560</v>
      </c>
      <c r="AP315" s="13">
        <v>67165</v>
      </c>
      <c r="AQ315" s="13">
        <v>906725</v>
      </c>
      <c r="AR315" s="11">
        <v>4</v>
      </c>
      <c r="AS315" s="9" t="s">
        <v>72</v>
      </c>
      <c r="AT315" s="12">
        <v>2.5</v>
      </c>
      <c r="AU315" s="9" t="s">
        <v>73</v>
      </c>
      <c r="AV315" s="9" t="s">
        <v>67</v>
      </c>
      <c r="AW315" s="9" t="s">
        <v>1184</v>
      </c>
      <c r="AX315" s="10">
        <v>45988</v>
      </c>
      <c r="AY315" s="9" t="s">
        <v>1185</v>
      </c>
      <c r="AZ315" s="9" t="s">
        <v>67</v>
      </c>
      <c r="BA315" s="9" t="s">
        <v>67</v>
      </c>
      <c r="BB315" s="12">
        <v>4</v>
      </c>
      <c r="BC315" s="9" t="s">
        <v>74</v>
      </c>
      <c r="BD315" s="9" t="s">
        <v>104</v>
      </c>
      <c r="BE315" s="9" t="s">
        <v>75</v>
      </c>
      <c r="BF315" s="11">
        <v>0</v>
      </c>
      <c r="BG315">
        <f t="shared" si="10"/>
        <v>12</v>
      </c>
      <c r="BH315" t="str">
        <f>VLOOKUP(BG315,[1]month!$A:$B,2,0)</f>
        <v>Desember</v>
      </c>
      <c r="BI315">
        <f t="shared" si="11"/>
        <v>2025</v>
      </c>
      <c r="BJ315" t="str">
        <f>VLOOKUP(I315,[1]Dist!$A:$B,2,0)</f>
        <v>Industry</v>
      </c>
      <c r="BK315" t="str">
        <f>IF(I315=11,VLOOKUP(Y315,[2]Sheet1!$C:$N,10,0),IF(I315=13,VLOOKUP(Y315,[3]Sheet1!$C:$N,10,0),IF(I315=15,VLOOKUP(Y315,[4]Sheet1!$C:$N,10,0),"Unknown")))</f>
        <v>COMPLEMENTARY</v>
      </c>
      <c r="BL315" t="str">
        <f>IF(I315=11,VLOOKUP(Y315,[2]Sheet1!$C:$N,12,0),IF(I315=13,VLOOKUP(Y315,[3]Sheet1!$C:$N,12,0),IF(I315=15,VLOOKUP(Y315,[4]Sheet1!$C:$N,12,0),"Unknown")))</f>
        <v>PASTA</v>
      </c>
      <c r="BM315" t="str">
        <f>VLOOKUP(W315,[1]branch!$A:$B,2,0)</f>
        <v>INDUSTRY</v>
      </c>
    </row>
    <row r="316" spans="1:65" x14ac:dyDescent="0.35">
      <c r="A316" s="10">
        <v>45994</v>
      </c>
      <c r="B316" s="9" t="s">
        <v>1183</v>
      </c>
      <c r="C316" s="9" t="s">
        <v>64</v>
      </c>
      <c r="D316" s="9" t="s">
        <v>92</v>
      </c>
      <c r="E316" s="11">
        <v>30</v>
      </c>
      <c r="F316" s="9" t="s">
        <v>93</v>
      </c>
      <c r="G316" s="9" t="s">
        <v>65</v>
      </c>
      <c r="H316" s="9" t="s">
        <v>66</v>
      </c>
      <c r="I316" s="9">
        <v>11</v>
      </c>
      <c r="J316" s="9" t="s">
        <v>438</v>
      </c>
      <c r="K316" s="9" t="s">
        <v>438</v>
      </c>
      <c r="L316" s="9" t="s">
        <v>438</v>
      </c>
      <c r="M316" s="9" t="s">
        <v>439</v>
      </c>
      <c r="N316" s="9" t="s">
        <v>867</v>
      </c>
      <c r="O316" s="9" t="s">
        <v>97</v>
      </c>
      <c r="P316" s="9" t="s">
        <v>67</v>
      </c>
      <c r="Q316" s="9" t="s">
        <v>98</v>
      </c>
      <c r="R316" s="9" t="s">
        <v>438</v>
      </c>
      <c r="S316" s="9" t="s">
        <v>439</v>
      </c>
      <c r="T316" s="9" t="s">
        <v>837</v>
      </c>
      <c r="U316" s="9" t="s">
        <v>67</v>
      </c>
      <c r="V316" s="9" t="s">
        <v>99</v>
      </c>
      <c r="W316" s="9" t="s">
        <v>100</v>
      </c>
      <c r="X316" s="11">
        <v>50</v>
      </c>
      <c r="Y316" s="9" t="s">
        <v>407</v>
      </c>
      <c r="Z316" s="9" t="s">
        <v>68</v>
      </c>
      <c r="AA316" s="9" t="s">
        <v>408</v>
      </c>
      <c r="AB316" s="9" t="s">
        <v>67</v>
      </c>
      <c r="AC316" s="9" t="s">
        <v>409</v>
      </c>
      <c r="AD316" s="11">
        <v>1</v>
      </c>
      <c r="AE316" s="9" t="s">
        <v>70</v>
      </c>
      <c r="AF316" s="9" t="s">
        <v>71</v>
      </c>
      <c r="AG316" s="13">
        <v>1</v>
      </c>
      <c r="AH316" s="9" t="s">
        <v>92</v>
      </c>
      <c r="AI316" s="13">
        <v>937320</v>
      </c>
      <c r="AJ316" s="13">
        <v>937320</v>
      </c>
      <c r="AK316" s="11">
        <v>0</v>
      </c>
      <c r="AL316" s="11">
        <v>0</v>
      </c>
      <c r="AM316" s="11">
        <v>0</v>
      </c>
      <c r="AN316" s="9" t="s">
        <v>67</v>
      </c>
      <c r="AO316" s="11">
        <v>937320</v>
      </c>
      <c r="AP316" s="13">
        <v>74986</v>
      </c>
      <c r="AQ316" s="13">
        <v>1012306</v>
      </c>
      <c r="AR316" s="11">
        <v>4</v>
      </c>
      <c r="AS316" s="9" t="s">
        <v>72</v>
      </c>
      <c r="AT316" s="12">
        <v>3.28</v>
      </c>
      <c r="AU316" s="9" t="s">
        <v>73</v>
      </c>
      <c r="AV316" s="9" t="s">
        <v>67</v>
      </c>
      <c r="AW316" s="9" t="s">
        <v>1184</v>
      </c>
      <c r="AX316" s="10">
        <v>45988</v>
      </c>
      <c r="AY316" s="9" t="s">
        <v>1185</v>
      </c>
      <c r="AZ316" s="9" t="s">
        <v>67</v>
      </c>
      <c r="BA316" s="9" t="s">
        <v>67</v>
      </c>
      <c r="BB316" s="12">
        <v>4</v>
      </c>
      <c r="BC316" s="9" t="s">
        <v>74</v>
      </c>
      <c r="BD316" s="9" t="s">
        <v>104</v>
      </c>
      <c r="BE316" s="9" t="s">
        <v>75</v>
      </c>
      <c r="BF316" s="11">
        <v>0</v>
      </c>
      <c r="BG316">
        <f t="shared" si="10"/>
        <v>12</v>
      </c>
      <c r="BH316" t="str">
        <f>VLOOKUP(BG316,[1]month!$A:$B,2,0)</f>
        <v>Desember</v>
      </c>
      <c r="BI316">
        <f t="shared" si="11"/>
        <v>2025</v>
      </c>
      <c r="BJ316" t="str">
        <f>VLOOKUP(I316,[1]Dist!$A:$B,2,0)</f>
        <v>Industry</v>
      </c>
      <c r="BK316" t="str">
        <f>IF(I316=11,VLOOKUP(Y316,[2]Sheet1!$C:$N,10,0),IF(I316=13,VLOOKUP(Y316,[3]Sheet1!$C:$N,10,0),IF(I316=15,VLOOKUP(Y316,[4]Sheet1!$C:$N,10,0),"Unknown")))</f>
        <v>COMPLEMENTARY</v>
      </c>
      <c r="BL316" t="str">
        <f>IF(I316=11,VLOOKUP(Y316,[2]Sheet1!$C:$N,12,0),IF(I316=13,VLOOKUP(Y316,[3]Sheet1!$C:$N,12,0),IF(I316=15,VLOOKUP(Y316,[4]Sheet1!$C:$N,12,0),"Unknown")))</f>
        <v>PASTA</v>
      </c>
      <c r="BM316" t="str">
        <f>VLOOKUP(W316,[1]branch!$A:$B,2,0)</f>
        <v>INDUSTRY</v>
      </c>
    </row>
    <row r="317" spans="1:65" x14ac:dyDescent="0.35">
      <c r="A317" s="10">
        <v>45994</v>
      </c>
      <c r="B317" s="9" t="s">
        <v>1186</v>
      </c>
      <c r="C317" s="9" t="s">
        <v>64</v>
      </c>
      <c r="D317" s="9" t="s">
        <v>92</v>
      </c>
      <c r="E317" s="11">
        <v>0</v>
      </c>
      <c r="F317" s="9" t="s">
        <v>93</v>
      </c>
      <c r="G317" s="9" t="s">
        <v>65</v>
      </c>
      <c r="H317" s="9" t="s">
        <v>66</v>
      </c>
      <c r="I317" s="9">
        <v>11</v>
      </c>
      <c r="J317" s="9" t="s">
        <v>655</v>
      </c>
      <c r="K317" s="9" t="s">
        <v>655</v>
      </c>
      <c r="L317" s="9" t="s">
        <v>655</v>
      </c>
      <c r="M317" s="9" t="s">
        <v>656</v>
      </c>
      <c r="N317" s="9" t="s">
        <v>936</v>
      </c>
      <c r="O317" s="9" t="s">
        <v>97</v>
      </c>
      <c r="P317" s="9" t="s">
        <v>67</v>
      </c>
      <c r="Q317" s="9" t="s">
        <v>98</v>
      </c>
      <c r="R317" s="9" t="s">
        <v>655</v>
      </c>
      <c r="S317" s="9" t="s">
        <v>656</v>
      </c>
      <c r="T317" s="9" t="s">
        <v>944</v>
      </c>
      <c r="U317" s="9" t="s">
        <v>67</v>
      </c>
      <c r="V317" s="9" t="s">
        <v>194</v>
      </c>
      <c r="W317" s="9" t="s">
        <v>195</v>
      </c>
      <c r="X317" s="11">
        <v>10</v>
      </c>
      <c r="Y317" s="9" t="s">
        <v>225</v>
      </c>
      <c r="Z317" s="9" t="s">
        <v>68</v>
      </c>
      <c r="AA317" s="9" t="s">
        <v>226</v>
      </c>
      <c r="AB317" s="9" t="s">
        <v>67</v>
      </c>
      <c r="AC317" s="9" t="s">
        <v>230</v>
      </c>
      <c r="AD317" s="11">
        <v>3</v>
      </c>
      <c r="AE317" s="9" t="s">
        <v>70</v>
      </c>
      <c r="AF317" s="9" t="s">
        <v>71</v>
      </c>
      <c r="AG317" s="13">
        <v>1</v>
      </c>
      <c r="AH317" s="9" t="s">
        <v>92</v>
      </c>
      <c r="AI317" s="13">
        <v>1960000</v>
      </c>
      <c r="AJ317" s="13">
        <v>5880000</v>
      </c>
      <c r="AK317" s="11">
        <v>0</v>
      </c>
      <c r="AL317" s="11">
        <v>0</v>
      </c>
      <c r="AM317" s="11">
        <v>0</v>
      </c>
      <c r="AN317" s="9" t="s">
        <v>67</v>
      </c>
      <c r="AO317" s="11">
        <v>5880000</v>
      </c>
      <c r="AP317" s="13">
        <v>470400</v>
      </c>
      <c r="AQ317" s="13">
        <v>6350400</v>
      </c>
      <c r="AR317" s="11">
        <v>54</v>
      </c>
      <c r="AS317" s="9" t="s">
        <v>72</v>
      </c>
      <c r="AT317" s="12">
        <v>32.130000000000003</v>
      </c>
      <c r="AU317" s="9" t="s">
        <v>73</v>
      </c>
      <c r="AV317" s="9" t="s">
        <v>67</v>
      </c>
      <c r="AW317" s="9" t="s">
        <v>1187</v>
      </c>
      <c r="AX317" s="10">
        <v>45994</v>
      </c>
      <c r="AY317" s="9" t="s">
        <v>1188</v>
      </c>
      <c r="AZ317" s="9" t="s">
        <v>67</v>
      </c>
      <c r="BA317" s="9" t="s">
        <v>67</v>
      </c>
      <c r="BB317" s="12">
        <v>54</v>
      </c>
      <c r="BC317" s="9" t="s">
        <v>74</v>
      </c>
      <c r="BD317" s="9" t="s">
        <v>104</v>
      </c>
      <c r="BE317" s="9" t="s">
        <v>75</v>
      </c>
      <c r="BF317" s="11">
        <v>0</v>
      </c>
      <c r="BG317">
        <f t="shared" si="10"/>
        <v>12</v>
      </c>
      <c r="BH317" t="str">
        <f>VLOOKUP(BG317,[1]month!$A:$B,2,0)</f>
        <v>Desember</v>
      </c>
      <c r="BI317">
        <f t="shared" si="11"/>
        <v>2025</v>
      </c>
      <c r="BJ317" t="str">
        <f>VLOOKUP(I317,[1]Dist!$A:$B,2,0)</f>
        <v>Industry</v>
      </c>
      <c r="BK317" t="str">
        <f>IF(I317=11,VLOOKUP(Y317,[2]Sheet1!$C:$N,10,0),IF(I317=13,VLOOKUP(Y317,[3]Sheet1!$C:$N,10,0),IF(I317=15,VLOOKUP(Y317,[4]Sheet1!$C:$N,10,0),"Unknown")))</f>
        <v>METAL COATINGS</v>
      </c>
      <c r="BL317" t="str">
        <f>IF(I317=11,VLOOKUP(Y317,[2]Sheet1!$C:$N,12,0),IF(I317=13,VLOOKUP(Y317,[3]Sheet1!$C:$N,12,0),IF(I317=15,VLOOKUP(Y317,[4]Sheet1!$C:$N,12,0),"Unknown")))</f>
        <v>METAL COATINGS</v>
      </c>
      <c r="BM317" t="str">
        <f>VLOOKUP(W317,[1]branch!$A:$B,2,0)</f>
        <v>INDUSTRY</v>
      </c>
    </row>
    <row r="318" spans="1:65" x14ac:dyDescent="0.35">
      <c r="A318" s="10">
        <v>45994</v>
      </c>
      <c r="B318" s="9" t="s">
        <v>1186</v>
      </c>
      <c r="C318" s="9" t="s">
        <v>64</v>
      </c>
      <c r="D318" s="9" t="s">
        <v>92</v>
      </c>
      <c r="E318" s="11">
        <v>0</v>
      </c>
      <c r="F318" s="9" t="s">
        <v>93</v>
      </c>
      <c r="G318" s="9" t="s">
        <v>65</v>
      </c>
      <c r="H318" s="9" t="s">
        <v>66</v>
      </c>
      <c r="I318" s="9">
        <v>11</v>
      </c>
      <c r="J318" s="9" t="s">
        <v>655</v>
      </c>
      <c r="K318" s="9" t="s">
        <v>655</v>
      </c>
      <c r="L318" s="9" t="s">
        <v>655</v>
      </c>
      <c r="M318" s="9" t="s">
        <v>656</v>
      </c>
      <c r="N318" s="9" t="s">
        <v>936</v>
      </c>
      <c r="O318" s="9" t="s">
        <v>97</v>
      </c>
      <c r="P318" s="9" t="s">
        <v>67</v>
      </c>
      <c r="Q318" s="9" t="s">
        <v>98</v>
      </c>
      <c r="R318" s="9" t="s">
        <v>655</v>
      </c>
      <c r="S318" s="9" t="s">
        <v>656</v>
      </c>
      <c r="T318" s="9" t="s">
        <v>944</v>
      </c>
      <c r="U318" s="9" t="s">
        <v>67</v>
      </c>
      <c r="V318" s="9" t="s">
        <v>194</v>
      </c>
      <c r="W318" s="9" t="s">
        <v>195</v>
      </c>
      <c r="X318" s="11">
        <v>20</v>
      </c>
      <c r="Y318" s="9" t="s">
        <v>223</v>
      </c>
      <c r="Z318" s="9" t="s">
        <v>68</v>
      </c>
      <c r="AA318" s="9" t="s">
        <v>224</v>
      </c>
      <c r="AB318" s="9" t="s">
        <v>67</v>
      </c>
      <c r="AC318" s="9" t="s">
        <v>231</v>
      </c>
      <c r="AD318" s="11">
        <v>3</v>
      </c>
      <c r="AE318" s="9" t="s">
        <v>70</v>
      </c>
      <c r="AF318" s="9" t="s">
        <v>71</v>
      </c>
      <c r="AG318" s="13">
        <v>1</v>
      </c>
      <c r="AH318" s="9" t="s">
        <v>92</v>
      </c>
      <c r="AI318" s="13">
        <v>364000</v>
      </c>
      <c r="AJ318" s="13">
        <v>1092000</v>
      </c>
      <c r="AK318" s="11">
        <v>0</v>
      </c>
      <c r="AL318" s="11">
        <v>0</v>
      </c>
      <c r="AM318" s="11">
        <v>0</v>
      </c>
      <c r="AN318" s="9" t="s">
        <v>67</v>
      </c>
      <c r="AO318" s="11">
        <v>1092000</v>
      </c>
      <c r="AP318" s="13">
        <v>87360</v>
      </c>
      <c r="AQ318" s="13">
        <v>1179360</v>
      </c>
      <c r="AR318" s="11">
        <v>6</v>
      </c>
      <c r="AS318" s="9" t="s">
        <v>72</v>
      </c>
      <c r="AT318" s="12">
        <v>6.6</v>
      </c>
      <c r="AU318" s="9" t="s">
        <v>73</v>
      </c>
      <c r="AV318" s="9" t="s">
        <v>67</v>
      </c>
      <c r="AW318" s="9" t="s">
        <v>1187</v>
      </c>
      <c r="AX318" s="10">
        <v>45994</v>
      </c>
      <c r="AY318" s="9" t="s">
        <v>1188</v>
      </c>
      <c r="AZ318" s="9" t="s">
        <v>67</v>
      </c>
      <c r="BA318" s="9" t="s">
        <v>67</v>
      </c>
      <c r="BB318" s="12">
        <v>6</v>
      </c>
      <c r="BC318" s="9" t="s">
        <v>74</v>
      </c>
      <c r="BD318" s="9" t="s">
        <v>104</v>
      </c>
      <c r="BE318" s="9" t="s">
        <v>75</v>
      </c>
      <c r="BF318" s="11">
        <v>0</v>
      </c>
      <c r="BG318">
        <f t="shared" si="10"/>
        <v>12</v>
      </c>
      <c r="BH318" t="str">
        <f>VLOOKUP(BG318,[1]month!$A:$B,2,0)</f>
        <v>Desember</v>
      </c>
      <c r="BI318">
        <f t="shared" si="11"/>
        <v>2025</v>
      </c>
      <c r="BJ318" t="str">
        <f>VLOOKUP(I318,[1]Dist!$A:$B,2,0)</f>
        <v>Industry</v>
      </c>
      <c r="BK318" t="str">
        <f>IF(I318=11,VLOOKUP(Y318,[2]Sheet1!$C:$N,10,0),IF(I318=13,VLOOKUP(Y318,[3]Sheet1!$C:$N,10,0),IF(I318=15,VLOOKUP(Y318,[4]Sheet1!$C:$N,10,0),"Unknown")))</f>
        <v>METAL COATINGS</v>
      </c>
      <c r="BL318" t="str">
        <f>IF(I318=11,VLOOKUP(Y318,[2]Sheet1!$C:$N,12,0),IF(I318=13,VLOOKUP(Y318,[3]Sheet1!$C:$N,12,0),IF(I318=15,VLOOKUP(Y318,[4]Sheet1!$C:$N,12,0),"Unknown")))</f>
        <v>METAL COATINGS</v>
      </c>
      <c r="BM318" t="str">
        <f>VLOOKUP(W318,[1]branch!$A:$B,2,0)</f>
        <v>INDUSTRY</v>
      </c>
    </row>
    <row r="319" spans="1:65" x14ac:dyDescent="0.35">
      <c r="A319" s="10">
        <v>45994</v>
      </c>
      <c r="B319" s="9" t="s">
        <v>1189</v>
      </c>
      <c r="C319" s="9" t="s">
        <v>64</v>
      </c>
      <c r="D319" s="9" t="s">
        <v>92</v>
      </c>
      <c r="E319" s="11">
        <v>60</v>
      </c>
      <c r="F319" s="9" t="s">
        <v>93</v>
      </c>
      <c r="G319" s="9" t="s">
        <v>65</v>
      </c>
      <c r="H319" s="9" t="s">
        <v>66</v>
      </c>
      <c r="I319" s="9">
        <v>13</v>
      </c>
      <c r="J319" s="9" t="s">
        <v>261</v>
      </c>
      <c r="K319" s="9" t="s">
        <v>261</v>
      </c>
      <c r="L319" s="9" t="s">
        <v>261</v>
      </c>
      <c r="M319" s="9" t="s">
        <v>262</v>
      </c>
      <c r="N319" s="9" t="s">
        <v>878</v>
      </c>
      <c r="O319" s="9" t="s">
        <v>150</v>
      </c>
      <c r="P319" s="9" t="s">
        <v>67</v>
      </c>
      <c r="Q319" s="9" t="s">
        <v>98</v>
      </c>
      <c r="R319" s="9" t="s">
        <v>261</v>
      </c>
      <c r="S319" s="9" t="s">
        <v>262</v>
      </c>
      <c r="T319" s="9" t="s">
        <v>802</v>
      </c>
      <c r="U319" s="9" t="s">
        <v>67</v>
      </c>
      <c r="V319" s="9" t="s">
        <v>311</v>
      </c>
      <c r="W319" s="9" t="s">
        <v>312</v>
      </c>
      <c r="X319" s="11">
        <v>10</v>
      </c>
      <c r="Y319" s="9" t="s">
        <v>303</v>
      </c>
      <c r="Z319" s="9" t="s">
        <v>68</v>
      </c>
      <c r="AA319" s="9" t="s">
        <v>304</v>
      </c>
      <c r="AB319" s="9" t="s">
        <v>67</v>
      </c>
      <c r="AC319" s="9" t="s">
        <v>305</v>
      </c>
      <c r="AD319" s="11">
        <v>2</v>
      </c>
      <c r="AE319" s="9" t="s">
        <v>70</v>
      </c>
      <c r="AF319" s="9" t="s">
        <v>71</v>
      </c>
      <c r="AG319" s="13">
        <v>1</v>
      </c>
      <c r="AH319" s="9" t="s">
        <v>92</v>
      </c>
      <c r="AI319" s="13">
        <v>1250000</v>
      </c>
      <c r="AJ319" s="13">
        <v>2500000</v>
      </c>
      <c r="AK319" s="11">
        <v>481250</v>
      </c>
      <c r="AL319" s="11">
        <v>0</v>
      </c>
      <c r="AM319" s="11">
        <v>0</v>
      </c>
      <c r="AN319" s="9" t="s">
        <v>314</v>
      </c>
      <c r="AO319" s="11">
        <v>2018750</v>
      </c>
      <c r="AP319" s="13">
        <v>161500</v>
      </c>
      <c r="AQ319" s="13">
        <v>2180250</v>
      </c>
      <c r="AR319" s="12">
        <v>47.2</v>
      </c>
      <c r="AS319" s="9" t="s">
        <v>72</v>
      </c>
      <c r="AT319" s="11">
        <v>36</v>
      </c>
      <c r="AU319" s="9" t="s">
        <v>73</v>
      </c>
      <c r="AV319" s="9" t="s">
        <v>67</v>
      </c>
      <c r="AW319" s="9" t="s">
        <v>1190</v>
      </c>
      <c r="AX319" s="10">
        <v>45993</v>
      </c>
      <c r="AY319" s="9" t="s">
        <v>1191</v>
      </c>
      <c r="AZ319" s="9" t="s">
        <v>67</v>
      </c>
      <c r="BA319" s="9" t="s">
        <v>67</v>
      </c>
      <c r="BB319" s="12">
        <v>36</v>
      </c>
      <c r="BC319" s="9" t="s">
        <v>74</v>
      </c>
      <c r="BD319" s="9" t="s">
        <v>104</v>
      </c>
      <c r="BE319" s="9" t="s">
        <v>75</v>
      </c>
      <c r="BF319" s="11">
        <v>0</v>
      </c>
      <c r="BG319">
        <f t="shared" si="10"/>
        <v>12</v>
      </c>
      <c r="BH319" t="str">
        <f>VLOOKUP(BG319,[1]month!$A:$B,2,0)</f>
        <v>Desember</v>
      </c>
      <c r="BI319">
        <f t="shared" si="11"/>
        <v>2025</v>
      </c>
      <c r="BJ319" t="str">
        <f>VLOOKUP(I319,[1]Dist!$A:$B,2,0)</f>
        <v>Retail</v>
      </c>
      <c r="BK319" t="str">
        <f>IF(I319=11,VLOOKUP(Y319,[2]Sheet1!$C:$N,10,0),IF(I319=13,VLOOKUP(Y319,[3]Sheet1!$C:$N,10,0),IF(I319=15,VLOOKUP(Y319,[4]Sheet1!$C:$N,10,0),"Unknown")))</f>
        <v>DECOR</v>
      </c>
      <c r="BL319" t="str">
        <f>IF(I319=11,VLOOKUP(Y319,[2]Sheet1!$C:$N,12,0),IF(I319=13,VLOOKUP(Y319,[3]Sheet1!$C:$N,12,0),IF(I319=15,VLOOKUP(Y319,[4]Sheet1!$C:$N,12,0),"Unknown")))</f>
        <v>DECORCRYL BASE</v>
      </c>
      <c r="BM319" t="str">
        <f>VLOOKUP(W319,[1]branch!$A:$B,2,0)</f>
        <v>DANANG</v>
      </c>
    </row>
    <row r="320" spans="1:65" x14ac:dyDescent="0.35">
      <c r="A320" s="10">
        <v>45994</v>
      </c>
      <c r="B320" s="9" t="s">
        <v>1189</v>
      </c>
      <c r="C320" s="9" t="s">
        <v>64</v>
      </c>
      <c r="D320" s="9" t="s">
        <v>92</v>
      </c>
      <c r="E320" s="11">
        <v>60</v>
      </c>
      <c r="F320" s="9" t="s">
        <v>93</v>
      </c>
      <c r="G320" s="9" t="s">
        <v>65</v>
      </c>
      <c r="H320" s="9" t="s">
        <v>66</v>
      </c>
      <c r="I320" s="9">
        <v>13</v>
      </c>
      <c r="J320" s="9" t="s">
        <v>261</v>
      </c>
      <c r="K320" s="9" t="s">
        <v>261</v>
      </c>
      <c r="L320" s="9" t="s">
        <v>261</v>
      </c>
      <c r="M320" s="9" t="s">
        <v>262</v>
      </c>
      <c r="N320" s="9" t="s">
        <v>878</v>
      </c>
      <c r="O320" s="9" t="s">
        <v>150</v>
      </c>
      <c r="P320" s="9" t="s">
        <v>67</v>
      </c>
      <c r="Q320" s="9" t="s">
        <v>98</v>
      </c>
      <c r="R320" s="9" t="s">
        <v>261</v>
      </c>
      <c r="S320" s="9" t="s">
        <v>262</v>
      </c>
      <c r="T320" s="9" t="s">
        <v>802</v>
      </c>
      <c r="U320" s="9" t="s">
        <v>67</v>
      </c>
      <c r="V320" s="9" t="s">
        <v>311</v>
      </c>
      <c r="W320" s="9" t="s">
        <v>312</v>
      </c>
      <c r="X320" s="11">
        <v>20</v>
      </c>
      <c r="Y320" s="9" t="s">
        <v>545</v>
      </c>
      <c r="Z320" s="9" t="s">
        <v>68</v>
      </c>
      <c r="AA320" s="9" t="s">
        <v>546</v>
      </c>
      <c r="AB320" s="9" t="s">
        <v>67</v>
      </c>
      <c r="AC320" s="9" t="s">
        <v>381</v>
      </c>
      <c r="AD320" s="11">
        <v>4</v>
      </c>
      <c r="AE320" s="9" t="s">
        <v>70</v>
      </c>
      <c r="AF320" s="9" t="s">
        <v>71</v>
      </c>
      <c r="AG320" s="13">
        <v>1</v>
      </c>
      <c r="AH320" s="9" t="s">
        <v>92</v>
      </c>
      <c r="AI320" s="13">
        <v>576364</v>
      </c>
      <c r="AJ320" s="13">
        <v>2305456</v>
      </c>
      <c r="AK320" s="11">
        <v>443800</v>
      </c>
      <c r="AL320" s="11">
        <v>0</v>
      </c>
      <c r="AM320" s="11">
        <v>0</v>
      </c>
      <c r="AN320" s="9" t="s">
        <v>314</v>
      </c>
      <c r="AO320" s="11">
        <v>1861656</v>
      </c>
      <c r="AP320" s="13">
        <v>148932</v>
      </c>
      <c r="AQ320" s="13">
        <v>2010588</v>
      </c>
      <c r="AR320" s="12">
        <v>21.8</v>
      </c>
      <c r="AS320" s="9" t="s">
        <v>72</v>
      </c>
      <c r="AT320" s="11">
        <v>20</v>
      </c>
      <c r="AU320" s="9" t="s">
        <v>73</v>
      </c>
      <c r="AV320" s="9" t="s">
        <v>67</v>
      </c>
      <c r="AW320" s="9" t="s">
        <v>1190</v>
      </c>
      <c r="AX320" s="10">
        <v>45993</v>
      </c>
      <c r="AY320" s="9" t="s">
        <v>1191</v>
      </c>
      <c r="AZ320" s="9" t="s">
        <v>67</v>
      </c>
      <c r="BA320" s="9" t="s">
        <v>67</v>
      </c>
      <c r="BB320" s="12">
        <v>20</v>
      </c>
      <c r="BC320" s="9" t="s">
        <v>74</v>
      </c>
      <c r="BD320" s="9" t="s">
        <v>104</v>
      </c>
      <c r="BE320" s="9" t="s">
        <v>75</v>
      </c>
      <c r="BF320" s="11">
        <v>0</v>
      </c>
      <c r="BG320">
        <f t="shared" si="10"/>
        <v>12</v>
      </c>
      <c r="BH320" t="str">
        <f>VLOOKUP(BG320,[1]month!$A:$B,2,0)</f>
        <v>Desember</v>
      </c>
      <c r="BI320">
        <f t="shared" si="11"/>
        <v>2025</v>
      </c>
      <c r="BJ320" t="str">
        <f>VLOOKUP(I320,[1]Dist!$A:$B,2,0)</f>
        <v>Retail</v>
      </c>
      <c r="BK320" t="str">
        <f>IF(I320=11,VLOOKUP(Y320,[2]Sheet1!$C:$N,10,0),IF(I320=13,VLOOKUP(Y320,[3]Sheet1!$C:$N,10,0),IF(I320=15,VLOOKUP(Y320,[4]Sheet1!$C:$N,10,0),"Unknown")))</f>
        <v>DECOR</v>
      </c>
      <c r="BL320" t="str">
        <f>IF(I320=11,VLOOKUP(Y320,[2]Sheet1!$C:$N,12,0),IF(I320=13,VLOOKUP(Y320,[3]Sheet1!$C:$N,12,0),IF(I320=15,VLOOKUP(Y320,[4]Sheet1!$C:$N,12,0),"Unknown")))</f>
        <v>DECOR PRIMER WB</v>
      </c>
      <c r="BM320" t="str">
        <f>VLOOKUP(W320,[1]branch!$A:$B,2,0)</f>
        <v>DANANG</v>
      </c>
    </row>
    <row r="321" spans="1:65" x14ac:dyDescent="0.35">
      <c r="A321" s="10">
        <v>45994</v>
      </c>
      <c r="B321" s="9" t="s">
        <v>1192</v>
      </c>
      <c r="C321" s="9" t="s">
        <v>64</v>
      </c>
      <c r="D321" s="9" t="s">
        <v>92</v>
      </c>
      <c r="E321" s="11">
        <v>60</v>
      </c>
      <c r="F321" s="9" t="s">
        <v>93</v>
      </c>
      <c r="G321" s="9" t="s">
        <v>65</v>
      </c>
      <c r="H321" s="9" t="s">
        <v>66</v>
      </c>
      <c r="I321" s="9">
        <v>13</v>
      </c>
      <c r="J321" s="9" t="s">
        <v>261</v>
      </c>
      <c r="K321" s="9" t="s">
        <v>261</v>
      </c>
      <c r="L321" s="9" t="s">
        <v>261</v>
      </c>
      <c r="M321" s="9" t="s">
        <v>262</v>
      </c>
      <c r="N321" s="9" t="s">
        <v>878</v>
      </c>
      <c r="O321" s="9" t="s">
        <v>150</v>
      </c>
      <c r="P321" s="9" t="s">
        <v>67</v>
      </c>
      <c r="Q321" s="9" t="s">
        <v>98</v>
      </c>
      <c r="R321" s="9" t="s">
        <v>261</v>
      </c>
      <c r="S321" s="9" t="s">
        <v>262</v>
      </c>
      <c r="T321" s="9" t="s">
        <v>802</v>
      </c>
      <c r="U321" s="9" t="s">
        <v>67</v>
      </c>
      <c r="V321" s="9" t="s">
        <v>311</v>
      </c>
      <c r="W321" s="9" t="s">
        <v>312</v>
      </c>
      <c r="X321" s="11">
        <v>10</v>
      </c>
      <c r="Y321" s="9" t="s">
        <v>496</v>
      </c>
      <c r="Z321" s="9" t="s">
        <v>68</v>
      </c>
      <c r="AA321" s="9" t="s">
        <v>497</v>
      </c>
      <c r="AB321" s="9" t="s">
        <v>67</v>
      </c>
      <c r="AC321" s="9" t="s">
        <v>389</v>
      </c>
      <c r="AD321" s="11">
        <v>7</v>
      </c>
      <c r="AE321" s="9" t="s">
        <v>70</v>
      </c>
      <c r="AF321" s="9" t="s">
        <v>71</v>
      </c>
      <c r="AG321" s="13">
        <v>1</v>
      </c>
      <c r="AH321" s="9" t="s">
        <v>92</v>
      </c>
      <c r="AI321" s="13">
        <v>846364</v>
      </c>
      <c r="AJ321" s="13">
        <v>5924548</v>
      </c>
      <c r="AK321" s="11">
        <v>888682</v>
      </c>
      <c r="AL321" s="11">
        <v>0</v>
      </c>
      <c r="AM321" s="11">
        <v>0</v>
      </c>
      <c r="AN321" s="9" t="s">
        <v>331</v>
      </c>
      <c r="AO321" s="11">
        <v>5035866</v>
      </c>
      <c r="AP321" s="13">
        <v>402869</v>
      </c>
      <c r="AQ321" s="13">
        <v>5438735</v>
      </c>
      <c r="AR321" s="12">
        <v>24.08</v>
      </c>
      <c r="AS321" s="9" t="s">
        <v>72</v>
      </c>
      <c r="AT321" s="11">
        <v>28</v>
      </c>
      <c r="AU321" s="9" t="s">
        <v>73</v>
      </c>
      <c r="AV321" s="9" t="s">
        <v>67</v>
      </c>
      <c r="AW321" s="9" t="s">
        <v>1193</v>
      </c>
      <c r="AX321" s="10">
        <v>45993</v>
      </c>
      <c r="AY321" s="9" t="s">
        <v>1194</v>
      </c>
      <c r="AZ321" s="9" t="s">
        <v>67</v>
      </c>
      <c r="BA321" s="9" t="s">
        <v>67</v>
      </c>
      <c r="BB321" s="12">
        <v>28</v>
      </c>
      <c r="BC321" s="9" t="s">
        <v>74</v>
      </c>
      <c r="BD321" s="9" t="s">
        <v>104</v>
      </c>
      <c r="BE321" s="9" t="s">
        <v>75</v>
      </c>
      <c r="BF321" s="11">
        <v>0</v>
      </c>
      <c r="BG321">
        <f t="shared" si="10"/>
        <v>12</v>
      </c>
      <c r="BH321" t="str">
        <f>VLOOKUP(BG321,[1]month!$A:$B,2,0)</f>
        <v>Desember</v>
      </c>
      <c r="BI321">
        <f t="shared" si="11"/>
        <v>2025</v>
      </c>
      <c r="BJ321" t="str">
        <f>VLOOKUP(I321,[1]Dist!$A:$B,2,0)</f>
        <v>Retail</v>
      </c>
      <c r="BK321" t="str">
        <f>IF(I321=11,VLOOKUP(Y321,[2]Sheet1!$C:$N,10,0),IF(I321=13,VLOOKUP(Y321,[3]Sheet1!$C:$N,10,0),IF(I321=15,VLOOKUP(Y321,[4]Sheet1!$C:$N,10,0),"Unknown")))</f>
        <v>ULTRAN</v>
      </c>
      <c r="BL321" t="str">
        <f>IF(I321=11,VLOOKUP(Y321,[2]Sheet1!$C:$N,12,0),IF(I321=13,VLOOKUP(Y321,[3]Sheet1!$C:$N,12,0),IF(I321=15,VLOOKUP(Y321,[4]Sheet1!$C:$N,12,0),"Unknown")))</f>
        <v>ULTRAN LASUR</v>
      </c>
      <c r="BM321" t="str">
        <f>VLOOKUP(W321,[1]branch!$A:$B,2,0)</f>
        <v>DANANG</v>
      </c>
    </row>
    <row r="322" spans="1:65" x14ac:dyDescent="0.35">
      <c r="A322" s="10">
        <v>45994</v>
      </c>
      <c r="B322" s="9" t="s">
        <v>1195</v>
      </c>
      <c r="C322" s="9" t="s">
        <v>64</v>
      </c>
      <c r="D322" s="9" t="s">
        <v>92</v>
      </c>
      <c r="E322" s="11">
        <v>60</v>
      </c>
      <c r="F322" s="9" t="s">
        <v>93</v>
      </c>
      <c r="G322" s="9" t="s">
        <v>65</v>
      </c>
      <c r="H322" s="9" t="s">
        <v>66</v>
      </c>
      <c r="I322" s="9">
        <v>13</v>
      </c>
      <c r="J322" s="9" t="s">
        <v>309</v>
      </c>
      <c r="K322" s="9" t="s">
        <v>309</v>
      </c>
      <c r="L322" s="9" t="s">
        <v>309</v>
      </c>
      <c r="M322" s="9" t="s">
        <v>310</v>
      </c>
      <c r="N322" s="9" t="s">
        <v>869</v>
      </c>
      <c r="O322" s="9" t="s">
        <v>150</v>
      </c>
      <c r="P322" s="9" t="s">
        <v>67</v>
      </c>
      <c r="Q322" s="9" t="s">
        <v>98</v>
      </c>
      <c r="R322" s="9" t="s">
        <v>309</v>
      </c>
      <c r="S322" s="9" t="s">
        <v>310</v>
      </c>
      <c r="T322" s="9" t="s">
        <v>798</v>
      </c>
      <c r="U322" s="9" t="s">
        <v>67</v>
      </c>
      <c r="V322" s="9" t="s">
        <v>311</v>
      </c>
      <c r="W322" s="9" t="s">
        <v>312</v>
      </c>
      <c r="X322" s="11">
        <v>10</v>
      </c>
      <c r="Y322" s="9" t="s">
        <v>342</v>
      </c>
      <c r="Z322" s="9" t="s">
        <v>68</v>
      </c>
      <c r="AA322" s="9" t="s">
        <v>343</v>
      </c>
      <c r="AB322" s="9" t="s">
        <v>67</v>
      </c>
      <c r="AC322" s="9" t="s">
        <v>158</v>
      </c>
      <c r="AD322" s="11">
        <v>24</v>
      </c>
      <c r="AE322" s="9" t="s">
        <v>156</v>
      </c>
      <c r="AF322" s="9" t="s">
        <v>71</v>
      </c>
      <c r="AG322" s="13">
        <v>1</v>
      </c>
      <c r="AH322" s="9" t="s">
        <v>92</v>
      </c>
      <c r="AI322" s="13">
        <v>141819</v>
      </c>
      <c r="AJ322" s="13">
        <v>3403656</v>
      </c>
      <c r="AK322" s="11">
        <v>626272</v>
      </c>
      <c r="AL322" s="11">
        <v>0</v>
      </c>
      <c r="AM322" s="11">
        <v>0</v>
      </c>
      <c r="AN322" s="9" t="s">
        <v>271</v>
      </c>
      <c r="AO322" s="11">
        <v>2777384</v>
      </c>
      <c r="AP322" s="13">
        <v>222191</v>
      </c>
      <c r="AQ322" s="13">
        <v>2999575</v>
      </c>
      <c r="AR322" s="11">
        <v>24</v>
      </c>
      <c r="AS322" s="9" t="s">
        <v>72</v>
      </c>
      <c r="AT322" s="12">
        <v>14.4</v>
      </c>
      <c r="AU322" s="9" t="s">
        <v>73</v>
      </c>
      <c r="AV322" s="9" t="s">
        <v>67</v>
      </c>
      <c r="AW322" s="9" t="s">
        <v>1196</v>
      </c>
      <c r="AX322" s="10">
        <v>45993</v>
      </c>
      <c r="AY322" s="9" t="s">
        <v>1197</v>
      </c>
      <c r="AZ322" s="9" t="s">
        <v>67</v>
      </c>
      <c r="BA322" s="9" t="s">
        <v>67</v>
      </c>
      <c r="BB322" s="12">
        <v>24</v>
      </c>
      <c r="BC322" s="9" t="s">
        <v>74</v>
      </c>
      <c r="BD322" s="9" t="s">
        <v>104</v>
      </c>
      <c r="BE322" s="9" t="s">
        <v>75</v>
      </c>
      <c r="BF322" s="11">
        <v>0</v>
      </c>
      <c r="BG322">
        <f t="shared" si="10"/>
        <v>12</v>
      </c>
      <c r="BH322" t="str">
        <f>VLOOKUP(BG322,[1]month!$A:$B,2,0)</f>
        <v>Desember</v>
      </c>
      <c r="BI322">
        <f t="shared" si="11"/>
        <v>2025</v>
      </c>
      <c r="BJ322" t="str">
        <f>VLOOKUP(I322,[1]Dist!$A:$B,2,0)</f>
        <v>Retail</v>
      </c>
      <c r="BK322" t="str">
        <f>IF(I322=11,VLOOKUP(Y322,[2]Sheet1!$C:$N,10,0),IF(I322=13,VLOOKUP(Y322,[3]Sheet1!$C:$N,10,0),IF(I322=15,VLOOKUP(Y322,[4]Sheet1!$C:$N,10,0),"Unknown")))</f>
        <v>METALKOTE</v>
      </c>
      <c r="BL322" t="str">
        <f>IF(I322=11,VLOOKUP(Y322,[2]Sheet1!$C:$N,12,0),IF(I322=13,VLOOKUP(Y322,[3]Sheet1!$C:$N,12,0),IF(I322=15,VLOOKUP(Y322,[4]Sheet1!$C:$N,12,0),"Unknown")))</f>
        <v>METALKOTE-EPOXY SYS</v>
      </c>
      <c r="BM322" t="str">
        <f>VLOOKUP(W322,[1]branch!$A:$B,2,0)</f>
        <v>DANANG</v>
      </c>
    </row>
    <row r="323" spans="1:65" x14ac:dyDescent="0.35">
      <c r="A323" s="10">
        <v>45994</v>
      </c>
      <c r="B323" s="9" t="s">
        <v>1195</v>
      </c>
      <c r="C323" s="9" t="s">
        <v>64</v>
      </c>
      <c r="D323" s="9" t="s">
        <v>92</v>
      </c>
      <c r="E323" s="11">
        <v>60</v>
      </c>
      <c r="F323" s="9" t="s">
        <v>93</v>
      </c>
      <c r="G323" s="9" t="s">
        <v>65</v>
      </c>
      <c r="H323" s="9" t="s">
        <v>66</v>
      </c>
      <c r="I323" s="9">
        <v>13</v>
      </c>
      <c r="J323" s="9" t="s">
        <v>309</v>
      </c>
      <c r="K323" s="9" t="s">
        <v>309</v>
      </c>
      <c r="L323" s="9" t="s">
        <v>309</v>
      </c>
      <c r="M323" s="9" t="s">
        <v>310</v>
      </c>
      <c r="N323" s="9" t="s">
        <v>869</v>
      </c>
      <c r="O323" s="9" t="s">
        <v>150</v>
      </c>
      <c r="P323" s="9" t="s">
        <v>67</v>
      </c>
      <c r="Q323" s="9" t="s">
        <v>98</v>
      </c>
      <c r="R323" s="9" t="s">
        <v>309</v>
      </c>
      <c r="S323" s="9" t="s">
        <v>310</v>
      </c>
      <c r="T323" s="9" t="s">
        <v>798</v>
      </c>
      <c r="U323" s="9" t="s">
        <v>67</v>
      </c>
      <c r="V323" s="9" t="s">
        <v>311</v>
      </c>
      <c r="W323" s="9" t="s">
        <v>312</v>
      </c>
      <c r="X323" s="11">
        <v>20</v>
      </c>
      <c r="Y323" s="9" t="s">
        <v>462</v>
      </c>
      <c r="Z323" s="9" t="s">
        <v>68</v>
      </c>
      <c r="AA323" s="9" t="s">
        <v>463</v>
      </c>
      <c r="AB323" s="9" t="s">
        <v>67</v>
      </c>
      <c r="AC323" s="9" t="s">
        <v>346</v>
      </c>
      <c r="AD323" s="11">
        <v>28</v>
      </c>
      <c r="AE323" s="9" t="s">
        <v>70</v>
      </c>
      <c r="AF323" s="9" t="s">
        <v>71</v>
      </c>
      <c r="AG323" s="13">
        <v>1</v>
      </c>
      <c r="AH323" s="9" t="s">
        <v>92</v>
      </c>
      <c r="AI323" s="13">
        <v>810909</v>
      </c>
      <c r="AJ323" s="13">
        <v>22705452</v>
      </c>
      <c r="AK323" s="11">
        <v>4177803</v>
      </c>
      <c r="AL323" s="11">
        <v>0</v>
      </c>
      <c r="AM323" s="11">
        <v>0</v>
      </c>
      <c r="AN323" s="9" t="s">
        <v>271</v>
      </c>
      <c r="AO323" s="11">
        <v>18527649</v>
      </c>
      <c r="AP323" s="13">
        <v>1482213</v>
      </c>
      <c r="AQ323" s="13">
        <v>20009862</v>
      </c>
      <c r="AR323" s="12">
        <v>95.2</v>
      </c>
      <c r="AS323" s="9" t="s">
        <v>72</v>
      </c>
      <c r="AT323" s="11">
        <v>112</v>
      </c>
      <c r="AU323" s="9" t="s">
        <v>73</v>
      </c>
      <c r="AV323" s="9" t="s">
        <v>67</v>
      </c>
      <c r="AW323" s="9" t="s">
        <v>1196</v>
      </c>
      <c r="AX323" s="10">
        <v>45993</v>
      </c>
      <c r="AY323" s="9" t="s">
        <v>1197</v>
      </c>
      <c r="AZ323" s="9" t="s">
        <v>67</v>
      </c>
      <c r="BA323" s="9" t="s">
        <v>67</v>
      </c>
      <c r="BB323" s="12">
        <v>112</v>
      </c>
      <c r="BC323" s="9" t="s">
        <v>74</v>
      </c>
      <c r="BD323" s="9" t="s">
        <v>104</v>
      </c>
      <c r="BE323" s="9" t="s">
        <v>75</v>
      </c>
      <c r="BF323" s="11">
        <v>0</v>
      </c>
      <c r="BG323">
        <f t="shared" ref="BG323:BG386" si="12">MONTH(A323)</f>
        <v>12</v>
      </c>
      <c r="BH323" t="str">
        <f>VLOOKUP(BG323,[1]month!$A:$B,2,0)</f>
        <v>Desember</v>
      </c>
      <c r="BI323">
        <f t="shared" ref="BI323:BI386" si="13">YEAR(A323)</f>
        <v>2025</v>
      </c>
      <c r="BJ323" t="str">
        <f>VLOOKUP(I323,[1]Dist!$A:$B,2,0)</f>
        <v>Retail</v>
      </c>
      <c r="BK323" t="str">
        <f>IF(I323=11,VLOOKUP(Y323,[2]Sheet1!$C:$N,10,0),IF(I323=13,VLOOKUP(Y323,[3]Sheet1!$C:$N,10,0),IF(I323=15,VLOOKUP(Y323,[4]Sheet1!$C:$N,10,0),"Unknown")))</f>
        <v>ULTRAN</v>
      </c>
      <c r="BL323" t="str">
        <f>IF(I323=11,VLOOKUP(Y323,[2]Sheet1!$C:$N,12,0),IF(I323=13,VLOOKUP(Y323,[3]Sheet1!$C:$N,12,0),IF(I323=15,VLOOKUP(Y323,[4]Sheet1!$C:$N,12,0),"Unknown")))</f>
        <v>ULTRAN LASUR</v>
      </c>
      <c r="BM323" t="str">
        <f>VLOOKUP(W323,[1]branch!$A:$B,2,0)</f>
        <v>DANANG</v>
      </c>
    </row>
    <row r="324" spans="1:65" x14ac:dyDescent="0.35">
      <c r="A324" s="10">
        <v>45994</v>
      </c>
      <c r="B324" s="9" t="s">
        <v>1195</v>
      </c>
      <c r="C324" s="9" t="s">
        <v>64</v>
      </c>
      <c r="D324" s="9" t="s">
        <v>92</v>
      </c>
      <c r="E324" s="11">
        <v>60</v>
      </c>
      <c r="F324" s="9" t="s">
        <v>93</v>
      </c>
      <c r="G324" s="9" t="s">
        <v>65</v>
      </c>
      <c r="H324" s="9" t="s">
        <v>66</v>
      </c>
      <c r="I324" s="9">
        <v>13</v>
      </c>
      <c r="J324" s="9" t="s">
        <v>309</v>
      </c>
      <c r="K324" s="9" t="s">
        <v>309</v>
      </c>
      <c r="L324" s="9" t="s">
        <v>309</v>
      </c>
      <c r="M324" s="9" t="s">
        <v>310</v>
      </c>
      <c r="N324" s="9" t="s">
        <v>869</v>
      </c>
      <c r="O324" s="9" t="s">
        <v>150</v>
      </c>
      <c r="P324" s="9" t="s">
        <v>67</v>
      </c>
      <c r="Q324" s="9" t="s">
        <v>98</v>
      </c>
      <c r="R324" s="9" t="s">
        <v>309</v>
      </c>
      <c r="S324" s="9" t="s">
        <v>310</v>
      </c>
      <c r="T324" s="9" t="s">
        <v>798</v>
      </c>
      <c r="U324" s="9" t="s">
        <v>67</v>
      </c>
      <c r="V324" s="9" t="s">
        <v>311</v>
      </c>
      <c r="W324" s="9" t="s">
        <v>312</v>
      </c>
      <c r="X324" s="11">
        <v>30</v>
      </c>
      <c r="Y324" s="9" t="s">
        <v>393</v>
      </c>
      <c r="Z324" s="9" t="s">
        <v>68</v>
      </c>
      <c r="AA324" s="9" t="s">
        <v>394</v>
      </c>
      <c r="AB324" s="9" t="s">
        <v>67</v>
      </c>
      <c r="AC324" s="9" t="s">
        <v>392</v>
      </c>
      <c r="AD324" s="11">
        <v>16</v>
      </c>
      <c r="AE324" s="9" t="s">
        <v>70</v>
      </c>
      <c r="AF324" s="9" t="s">
        <v>71</v>
      </c>
      <c r="AG324" s="13">
        <v>1</v>
      </c>
      <c r="AH324" s="9" t="s">
        <v>92</v>
      </c>
      <c r="AI324" s="13">
        <v>810909</v>
      </c>
      <c r="AJ324" s="13">
        <v>12974544</v>
      </c>
      <c r="AK324" s="11">
        <v>2387316</v>
      </c>
      <c r="AL324" s="11">
        <v>0</v>
      </c>
      <c r="AM324" s="11">
        <v>0</v>
      </c>
      <c r="AN324" s="9" t="s">
        <v>271</v>
      </c>
      <c r="AO324" s="11">
        <v>10587228</v>
      </c>
      <c r="AP324" s="13">
        <v>846978</v>
      </c>
      <c r="AQ324" s="13">
        <v>11434206</v>
      </c>
      <c r="AR324" s="12">
        <v>55.04</v>
      </c>
      <c r="AS324" s="9" t="s">
        <v>72</v>
      </c>
      <c r="AT324" s="11">
        <v>64</v>
      </c>
      <c r="AU324" s="9" t="s">
        <v>73</v>
      </c>
      <c r="AV324" s="9" t="s">
        <v>67</v>
      </c>
      <c r="AW324" s="9" t="s">
        <v>1196</v>
      </c>
      <c r="AX324" s="10">
        <v>45993</v>
      </c>
      <c r="AY324" s="9" t="s">
        <v>1197</v>
      </c>
      <c r="AZ324" s="9" t="s">
        <v>67</v>
      </c>
      <c r="BA324" s="9" t="s">
        <v>67</v>
      </c>
      <c r="BB324" s="12">
        <v>64</v>
      </c>
      <c r="BC324" s="9" t="s">
        <v>74</v>
      </c>
      <c r="BD324" s="9" t="s">
        <v>104</v>
      </c>
      <c r="BE324" s="9" t="s">
        <v>75</v>
      </c>
      <c r="BF324" s="11">
        <v>0</v>
      </c>
      <c r="BG324">
        <f t="shared" si="12"/>
        <v>12</v>
      </c>
      <c r="BH324" t="str">
        <f>VLOOKUP(BG324,[1]month!$A:$B,2,0)</f>
        <v>Desember</v>
      </c>
      <c r="BI324">
        <f t="shared" si="13"/>
        <v>2025</v>
      </c>
      <c r="BJ324" t="str">
        <f>VLOOKUP(I324,[1]Dist!$A:$B,2,0)</f>
        <v>Retail</v>
      </c>
      <c r="BK324" t="str">
        <f>IF(I324=11,VLOOKUP(Y324,[2]Sheet1!$C:$N,10,0),IF(I324=13,VLOOKUP(Y324,[3]Sheet1!$C:$N,10,0),IF(I324=15,VLOOKUP(Y324,[4]Sheet1!$C:$N,10,0),"Unknown")))</f>
        <v>ULTRAN</v>
      </c>
      <c r="BL324" t="str">
        <f>IF(I324=11,VLOOKUP(Y324,[2]Sheet1!$C:$N,12,0),IF(I324=13,VLOOKUP(Y324,[3]Sheet1!$C:$N,12,0),IF(I324=15,VLOOKUP(Y324,[4]Sheet1!$C:$N,12,0),"Unknown")))</f>
        <v>ULTRAN LASUR</v>
      </c>
      <c r="BM324" t="str">
        <f>VLOOKUP(W324,[1]branch!$A:$B,2,0)</f>
        <v>DANANG</v>
      </c>
    </row>
    <row r="325" spans="1:65" x14ac:dyDescent="0.35">
      <c r="A325" s="10">
        <v>45994</v>
      </c>
      <c r="B325" s="9" t="s">
        <v>1195</v>
      </c>
      <c r="C325" s="9" t="s">
        <v>64</v>
      </c>
      <c r="D325" s="9" t="s">
        <v>92</v>
      </c>
      <c r="E325" s="11">
        <v>60</v>
      </c>
      <c r="F325" s="9" t="s">
        <v>93</v>
      </c>
      <c r="G325" s="9" t="s">
        <v>65</v>
      </c>
      <c r="H325" s="9" t="s">
        <v>66</v>
      </c>
      <c r="I325" s="9">
        <v>13</v>
      </c>
      <c r="J325" s="9" t="s">
        <v>309</v>
      </c>
      <c r="K325" s="9" t="s">
        <v>309</v>
      </c>
      <c r="L325" s="9" t="s">
        <v>309</v>
      </c>
      <c r="M325" s="9" t="s">
        <v>310</v>
      </c>
      <c r="N325" s="9" t="s">
        <v>869</v>
      </c>
      <c r="O325" s="9" t="s">
        <v>150</v>
      </c>
      <c r="P325" s="9" t="s">
        <v>67</v>
      </c>
      <c r="Q325" s="9" t="s">
        <v>98</v>
      </c>
      <c r="R325" s="9" t="s">
        <v>309</v>
      </c>
      <c r="S325" s="9" t="s">
        <v>310</v>
      </c>
      <c r="T325" s="9" t="s">
        <v>798</v>
      </c>
      <c r="U325" s="9" t="s">
        <v>67</v>
      </c>
      <c r="V325" s="9" t="s">
        <v>311</v>
      </c>
      <c r="W325" s="9" t="s">
        <v>312</v>
      </c>
      <c r="X325" s="11">
        <v>40</v>
      </c>
      <c r="Y325" s="9" t="s">
        <v>390</v>
      </c>
      <c r="Z325" s="9" t="s">
        <v>68</v>
      </c>
      <c r="AA325" s="9" t="s">
        <v>391</v>
      </c>
      <c r="AB325" s="9" t="s">
        <v>67</v>
      </c>
      <c r="AC325" s="9" t="s">
        <v>392</v>
      </c>
      <c r="AD325" s="11">
        <v>8</v>
      </c>
      <c r="AE325" s="9" t="s">
        <v>70</v>
      </c>
      <c r="AF325" s="9" t="s">
        <v>71</v>
      </c>
      <c r="AG325" s="13">
        <v>1</v>
      </c>
      <c r="AH325" s="9" t="s">
        <v>92</v>
      </c>
      <c r="AI325" s="13">
        <v>810909</v>
      </c>
      <c r="AJ325" s="13">
        <v>6487272</v>
      </c>
      <c r="AK325" s="11">
        <v>1193658</v>
      </c>
      <c r="AL325" s="11">
        <v>0</v>
      </c>
      <c r="AM325" s="11">
        <v>0</v>
      </c>
      <c r="AN325" s="9" t="s">
        <v>271</v>
      </c>
      <c r="AO325" s="11">
        <v>5293614</v>
      </c>
      <c r="AP325" s="13">
        <v>423489</v>
      </c>
      <c r="AQ325" s="13">
        <v>5717103</v>
      </c>
      <c r="AR325" s="12">
        <v>27.52</v>
      </c>
      <c r="AS325" s="9" t="s">
        <v>72</v>
      </c>
      <c r="AT325" s="11">
        <v>32</v>
      </c>
      <c r="AU325" s="9" t="s">
        <v>73</v>
      </c>
      <c r="AV325" s="9" t="s">
        <v>67</v>
      </c>
      <c r="AW325" s="9" t="s">
        <v>1196</v>
      </c>
      <c r="AX325" s="10">
        <v>45993</v>
      </c>
      <c r="AY325" s="9" t="s">
        <v>1197</v>
      </c>
      <c r="AZ325" s="9" t="s">
        <v>67</v>
      </c>
      <c r="BA325" s="9" t="s">
        <v>67</v>
      </c>
      <c r="BB325" s="12">
        <v>32</v>
      </c>
      <c r="BC325" s="9" t="s">
        <v>74</v>
      </c>
      <c r="BD325" s="9" t="s">
        <v>104</v>
      </c>
      <c r="BE325" s="9" t="s">
        <v>75</v>
      </c>
      <c r="BF325" s="11">
        <v>0</v>
      </c>
      <c r="BG325">
        <f t="shared" si="12"/>
        <v>12</v>
      </c>
      <c r="BH325" t="str">
        <f>VLOOKUP(BG325,[1]month!$A:$B,2,0)</f>
        <v>Desember</v>
      </c>
      <c r="BI325">
        <f t="shared" si="13"/>
        <v>2025</v>
      </c>
      <c r="BJ325" t="str">
        <f>VLOOKUP(I325,[1]Dist!$A:$B,2,0)</f>
        <v>Retail</v>
      </c>
      <c r="BK325" t="str">
        <f>IF(I325=11,VLOOKUP(Y325,[2]Sheet1!$C:$N,10,0),IF(I325=13,VLOOKUP(Y325,[3]Sheet1!$C:$N,10,0),IF(I325=15,VLOOKUP(Y325,[4]Sheet1!$C:$N,10,0),"Unknown")))</f>
        <v>ULTRAN</v>
      </c>
      <c r="BL325" t="str">
        <f>IF(I325=11,VLOOKUP(Y325,[2]Sheet1!$C:$N,12,0),IF(I325=13,VLOOKUP(Y325,[3]Sheet1!$C:$N,12,0),IF(I325=15,VLOOKUP(Y325,[4]Sheet1!$C:$N,12,0),"Unknown")))</f>
        <v>ULTRAN LASUR</v>
      </c>
      <c r="BM325" t="str">
        <f>VLOOKUP(W325,[1]branch!$A:$B,2,0)</f>
        <v>DANANG</v>
      </c>
    </row>
    <row r="326" spans="1:65" x14ac:dyDescent="0.35">
      <c r="A326" s="10">
        <v>45994</v>
      </c>
      <c r="B326" s="9" t="s">
        <v>1195</v>
      </c>
      <c r="C326" s="9" t="s">
        <v>64</v>
      </c>
      <c r="D326" s="9" t="s">
        <v>92</v>
      </c>
      <c r="E326" s="11">
        <v>60</v>
      </c>
      <c r="F326" s="9" t="s">
        <v>93</v>
      </c>
      <c r="G326" s="9" t="s">
        <v>65</v>
      </c>
      <c r="H326" s="9" t="s">
        <v>66</v>
      </c>
      <c r="I326" s="9">
        <v>13</v>
      </c>
      <c r="J326" s="9" t="s">
        <v>309</v>
      </c>
      <c r="K326" s="9" t="s">
        <v>309</v>
      </c>
      <c r="L326" s="9" t="s">
        <v>309</v>
      </c>
      <c r="M326" s="9" t="s">
        <v>310</v>
      </c>
      <c r="N326" s="9" t="s">
        <v>869</v>
      </c>
      <c r="O326" s="9" t="s">
        <v>150</v>
      </c>
      <c r="P326" s="9" t="s">
        <v>67</v>
      </c>
      <c r="Q326" s="9" t="s">
        <v>98</v>
      </c>
      <c r="R326" s="9" t="s">
        <v>309</v>
      </c>
      <c r="S326" s="9" t="s">
        <v>310</v>
      </c>
      <c r="T326" s="9" t="s">
        <v>798</v>
      </c>
      <c r="U326" s="9" t="s">
        <v>67</v>
      </c>
      <c r="V326" s="9" t="s">
        <v>311</v>
      </c>
      <c r="W326" s="9" t="s">
        <v>312</v>
      </c>
      <c r="X326" s="11">
        <v>50</v>
      </c>
      <c r="Y326" s="9" t="s">
        <v>490</v>
      </c>
      <c r="Z326" s="9" t="s">
        <v>68</v>
      </c>
      <c r="AA326" s="9" t="s">
        <v>491</v>
      </c>
      <c r="AB326" s="9" t="s">
        <v>67</v>
      </c>
      <c r="AC326" s="9" t="s">
        <v>392</v>
      </c>
      <c r="AD326" s="11">
        <v>24</v>
      </c>
      <c r="AE326" s="9" t="s">
        <v>70</v>
      </c>
      <c r="AF326" s="9" t="s">
        <v>71</v>
      </c>
      <c r="AG326" s="13">
        <v>1</v>
      </c>
      <c r="AH326" s="9" t="s">
        <v>92</v>
      </c>
      <c r="AI326" s="13">
        <v>218181</v>
      </c>
      <c r="AJ326" s="13">
        <v>5236344</v>
      </c>
      <c r="AK326" s="11">
        <v>963488</v>
      </c>
      <c r="AL326" s="11">
        <v>0</v>
      </c>
      <c r="AM326" s="11">
        <v>0</v>
      </c>
      <c r="AN326" s="9" t="s">
        <v>271</v>
      </c>
      <c r="AO326" s="11">
        <v>4272856</v>
      </c>
      <c r="AP326" s="13">
        <v>341828</v>
      </c>
      <c r="AQ326" s="13">
        <v>4614684</v>
      </c>
      <c r="AR326" s="12">
        <v>20.64</v>
      </c>
      <c r="AS326" s="9" t="s">
        <v>72</v>
      </c>
      <c r="AT326" s="11">
        <v>24</v>
      </c>
      <c r="AU326" s="9" t="s">
        <v>73</v>
      </c>
      <c r="AV326" s="9" t="s">
        <v>67</v>
      </c>
      <c r="AW326" s="9" t="s">
        <v>1196</v>
      </c>
      <c r="AX326" s="10">
        <v>45993</v>
      </c>
      <c r="AY326" s="9" t="s">
        <v>1197</v>
      </c>
      <c r="AZ326" s="9" t="s">
        <v>67</v>
      </c>
      <c r="BA326" s="9" t="s">
        <v>67</v>
      </c>
      <c r="BB326" s="12">
        <v>24</v>
      </c>
      <c r="BC326" s="9" t="s">
        <v>74</v>
      </c>
      <c r="BD326" s="9" t="s">
        <v>104</v>
      </c>
      <c r="BE326" s="9" t="s">
        <v>75</v>
      </c>
      <c r="BF326" s="11">
        <v>0</v>
      </c>
      <c r="BG326">
        <f t="shared" si="12"/>
        <v>12</v>
      </c>
      <c r="BH326" t="str">
        <f>VLOOKUP(BG326,[1]month!$A:$B,2,0)</f>
        <v>Desember</v>
      </c>
      <c r="BI326">
        <f t="shared" si="13"/>
        <v>2025</v>
      </c>
      <c r="BJ326" t="str">
        <f>VLOOKUP(I326,[1]Dist!$A:$B,2,0)</f>
        <v>Retail</v>
      </c>
      <c r="BK326" t="str">
        <f>IF(I326=11,VLOOKUP(Y326,[2]Sheet1!$C:$N,10,0),IF(I326=13,VLOOKUP(Y326,[3]Sheet1!$C:$N,10,0),IF(I326=15,VLOOKUP(Y326,[4]Sheet1!$C:$N,10,0),"Unknown")))</f>
        <v>ULTRAN</v>
      </c>
      <c r="BL326" t="str">
        <f>IF(I326=11,VLOOKUP(Y326,[2]Sheet1!$C:$N,12,0),IF(I326=13,VLOOKUP(Y326,[3]Sheet1!$C:$N,12,0),IF(I326=15,VLOOKUP(Y326,[4]Sheet1!$C:$N,12,0),"Unknown")))</f>
        <v>ULTRAN LASUR</v>
      </c>
      <c r="BM326" t="str">
        <f>VLOOKUP(W326,[1]branch!$A:$B,2,0)</f>
        <v>DANANG</v>
      </c>
    </row>
    <row r="327" spans="1:65" x14ac:dyDescent="0.35">
      <c r="A327" s="10">
        <v>45994</v>
      </c>
      <c r="B327" s="9" t="s">
        <v>1195</v>
      </c>
      <c r="C327" s="9" t="s">
        <v>64</v>
      </c>
      <c r="D327" s="9" t="s">
        <v>92</v>
      </c>
      <c r="E327" s="11">
        <v>60</v>
      </c>
      <c r="F327" s="9" t="s">
        <v>93</v>
      </c>
      <c r="G327" s="9" t="s">
        <v>65</v>
      </c>
      <c r="H327" s="9" t="s">
        <v>66</v>
      </c>
      <c r="I327" s="9">
        <v>13</v>
      </c>
      <c r="J327" s="9" t="s">
        <v>309</v>
      </c>
      <c r="K327" s="9" t="s">
        <v>309</v>
      </c>
      <c r="L327" s="9" t="s">
        <v>309</v>
      </c>
      <c r="M327" s="9" t="s">
        <v>310</v>
      </c>
      <c r="N327" s="9" t="s">
        <v>869</v>
      </c>
      <c r="O327" s="9" t="s">
        <v>150</v>
      </c>
      <c r="P327" s="9" t="s">
        <v>67</v>
      </c>
      <c r="Q327" s="9" t="s">
        <v>98</v>
      </c>
      <c r="R327" s="9" t="s">
        <v>309</v>
      </c>
      <c r="S327" s="9" t="s">
        <v>310</v>
      </c>
      <c r="T327" s="9" t="s">
        <v>798</v>
      </c>
      <c r="U327" s="9" t="s">
        <v>67</v>
      </c>
      <c r="V327" s="9" t="s">
        <v>311</v>
      </c>
      <c r="W327" s="9" t="s">
        <v>312</v>
      </c>
      <c r="X327" s="11">
        <v>60</v>
      </c>
      <c r="Y327" s="9" t="s">
        <v>492</v>
      </c>
      <c r="Z327" s="9" t="s">
        <v>68</v>
      </c>
      <c r="AA327" s="9" t="s">
        <v>493</v>
      </c>
      <c r="AB327" s="9" t="s">
        <v>67</v>
      </c>
      <c r="AC327" s="9" t="s">
        <v>392</v>
      </c>
      <c r="AD327" s="11">
        <v>24</v>
      </c>
      <c r="AE327" s="9" t="s">
        <v>70</v>
      </c>
      <c r="AF327" s="9" t="s">
        <v>71</v>
      </c>
      <c r="AG327" s="13">
        <v>1</v>
      </c>
      <c r="AH327" s="9" t="s">
        <v>92</v>
      </c>
      <c r="AI327" s="13">
        <v>218181</v>
      </c>
      <c r="AJ327" s="13">
        <v>5236344</v>
      </c>
      <c r="AK327" s="11">
        <v>963488</v>
      </c>
      <c r="AL327" s="11">
        <v>0</v>
      </c>
      <c r="AM327" s="11">
        <v>0</v>
      </c>
      <c r="AN327" s="9" t="s">
        <v>271</v>
      </c>
      <c r="AO327" s="11">
        <v>4272856</v>
      </c>
      <c r="AP327" s="13">
        <v>341828</v>
      </c>
      <c r="AQ327" s="13">
        <v>4614684</v>
      </c>
      <c r="AR327" s="12">
        <v>20.64</v>
      </c>
      <c r="AS327" s="9" t="s">
        <v>72</v>
      </c>
      <c r="AT327" s="11">
        <v>24</v>
      </c>
      <c r="AU327" s="9" t="s">
        <v>73</v>
      </c>
      <c r="AV327" s="9" t="s">
        <v>67</v>
      </c>
      <c r="AW327" s="9" t="s">
        <v>1196</v>
      </c>
      <c r="AX327" s="10">
        <v>45993</v>
      </c>
      <c r="AY327" s="9" t="s">
        <v>1197</v>
      </c>
      <c r="AZ327" s="9" t="s">
        <v>67</v>
      </c>
      <c r="BA327" s="9" t="s">
        <v>67</v>
      </c>
      <c r="BB327" s="12">
        <v>24</v>
      </c>
      <c r="BC327" s="9" t="s">
        <v>74</v>
      </c>
      <c r="BD327" s="9" t="s">
        <v>104</v>
      </c>
      <c r="BE327" s="9" t="s">
        <v>75</v>
      </c>
      <c r="BF327" s="11">
        <v>0</v>
      </c>
      <c r="BG327">
        <f t="shared" si="12"/>
        <v>12</v>
      </c>
      <c r="BH327" t="str">
        <f>VLOOKUP(BG327,[1]month!$A:$B,2,0)</f>
        <v>Desember</v>
      </c>
      <c r="BI327">
        <f t="shared" si="13"/>
        <v>2025</v>
      </c>
      <c r="BJ327" t="str">
        <f>VLOOKUP(I327,[1]Dist!$A:$B,2,0)</f>
        <v>Retail</v>
      </c>
      <c r="BK327" t="str">
        <f>IF(I327=11,VLOOKUP(Y327,[2]Sheet1!$C:$N,10,0),IF(I327=13,VLOOKUP(Y327,[3]Sheet1!$C:$N,10,0),IF(I327=15,VLOOKUP(Y327,[4]Sheet1!$C:$N,10,0),"Unknown")))</f>
        <v>ULTRAN</v>
      </c>
      <c r="BL327" t="str">
        <f>IF(I327=11,VLOOKUP(Y327,[2]Sheet1!$C:$N,12,0),IF(I327=13,VLOOKUP(Y327,[3]Sheet1!$C:$N,12,0),IF(I327=15,VLOOKUP(Y327,[4]Sheet1!$C:$N,12,0),"Unknown")))</f>
        <v>ULTRAN LASUR</v>
      </c>
      <c r="BM327" t="str">
        <f>VLOOKUP(W327,[1]branch!$A:$B,2,0)</f>
        <v>DANANG</v>
      </c>
    </row>
    <row r="328" spans="1:65" x14ac:dyDescent="0.35">
      <c r="A328" s="10">
        <v>45994</v>
      </c>
      <c r="B328" s="9" t="s">
        <v>1195</v>
      </c>
      <c r="C328" s="9" t="s">
        <v>64</v>
      </c>
      <c r="D328" s="9" t="s">
        <v>92</v>
      </c>
      <c r="E328" s="11">
        <v>60</v>
      </c>
      <c r="F328" s="9" t="s">
        <v>93</v>
      </c>
      <c r="G328" s="9" t="s">
        <v>65</v>
      </c>
      <c r="H328" s="9" t="s">
        <v>66</v>
      </c>
      <c r="I328" s="9">
        <v>13</v>
      </c>
      <c r="J328" s="9" t="s">
        <v>309</v>
      </c>
      <c r="K328" s="9" t="s">
        <v>309</v>
      </c>
      <c r="L328" s="9" t="s">
        <v>309</v>
      </c>
      <c r="M328" s="9" t="s">
        <v>310</v>
      </c>
      <c r="N328" s="9" t="s">
        <v>869</v>
      </c>
      <c r="O328" s="9" t="s">
        <v>150</v>
      </c>
      <c r="P328" s="9" t="s">
        <v>67</v>
      </c>
      <c r="Q328" s="9" t="s">
        <v>98</v>
      </c>
      <c r="R328" s="9" t="s">
        <v>309</v>
      </c>
      <c r="S328" s="9" t="s">
        <v>310</v>
      </c>
      <c r="T328" s="9" t="s">
        <v>798</v>
      </c>
      <c r="U328" s="9" t="s">
        <v>67</v>
      </c>
      <c r="V328" s="9" t="s">
        <v>311</v>
      </c>
      <c r="W328" s="9" t="s">
        <v>312</v>
      </c>
      <c r="X328" s="11">
        <v>70</v>
      </c>
      <c r="Y328" s="9" t="s">
        <v>466</v>
      </c>
      <c r="Z328" s="9" t="s">
        <v>68</v>
      </c>
      <c r="AA328" s="9" t="s">
        <v>467</v>
      </c>
      <c r="AB328" s="9" t="s">
        <v>67</v>
      </c>
      <c r="AC328" s="9" t="s">
        <v>346</v>
      </c>
      <c r="AD328" s="11">
        <v>12</v>
      </c>
      <c r="AE328" s="9" t="s">
        <v>70</v>
      </c>
      <c r="AF328" s="9" t="s">
        <v>71</v>
      </c>
      <c r="AG328" s="13">
        <v>1</v>
      </c>
      <c r="AH328" s="9" t="s">
        <v>92</v>
      </c>
      <c r="AI328" s="13">
        <v>810909</v>
      </c>
      <c r="AJ328" s="13">
        <v>9730908</v>
      </c>
      <c r="AK328" s="11">
        <v>1790487</v>
      </c>
      <c r="AL328" s="11">
        <v>0</v>
      </c>
      <c r="AM328" s="11">
        <v>0</v>
      </c>
      <c r="AN328" s="9" t="s">
        <v>271</v>
      </c>
      <c r="AO328" s="11">
        <v>7940421</v>
      </c>
      <c r="AP328" s="13">
        <v>635234</v>
      </c>
      <c r="AQ328" s="13">
        <v>8575655</v>
      </c>
      <c r="AR328" s="12">
        <v>41.76</v>
      </c>
      <c r="AS328" s="9" t="s">
        <v>72</v>
      </c>
      <c r="AT328" s="11">
        <v>48</v>
      </c>
      <c r="AU328" s="9" t="s">
        <v>73</v>
      </c>
      <c r="AV328" s="9" t="s">
        <v>67</v>
      </c>
      <c r="AW328" s="9" t="s">
        <v>1196</v>
      </c>
      <c r="AX328" s="10">
        <v>45993</v>
      </c>
      <c r="AY328" s="9" t="s">
        <v>1197</v>
      </c>
      <c r="AZ328" s="9" t="s">
        <v>67</v>
      </c>
      <c r="BA328" s="9" t="s">
        <v>67</v>
      </c>
      <c r="BB328" s="12">
        <v>48</v>
      </c>
      <c r="BC328" s="9" t="s">
        <v>74</v>
      </c>
      <c r="BD328" s="9" t="s">
        <v>104</v>
      </c>
      <c r="BE328" s="9" t="s">
        <v>75</v>
      </c>
      <c r="BF328" s="11">
        <v>0</v>
      </c>
      <c r="BG328">
        <f t="shared" si="12"/>
        <v>12</v>
      </c>
      <c r="BH328" t="str">
        <f>VLOOKUP(BG328,[1]month!$A:$B,2,0)</f>
        <v>Desember</v>
      </c>
      <c r="BI328">
        <f t="shared" si="13"/>
        <v>2025</v>
      </c>
      <c r="BJ328" t="str">
        <f>VLOOKUP(I328,[1]Dist!$A:$B,2,0)</f>
        <v>Retail</v>
      </c>
      <c r="BK328" t="str">
        <f>IF(I328=11,VLOOKUP(Y328,[2]Sheet1!$C:$N,10,0),IF(I328=13,VLOOKUP(Y328,[3]Sheet1!$C:$N,10,0),IF(I328=15,VLOOKUP(Y328,[4]Sheet1!$C:$N,10,0),"Unknown")))</f>
        <v>ULTRAN</v>
      </c>
      <c r="BL328" t="str">
        <f>IF(I328=11,VLOOKUP(Y328,[2]Sheet1!$C:$N,12,0),IF(I328=13,VLOOKUP(Y328,[3]Sheet1!$C:$N,12,0),IF(I328=15,VLOOKUP(Y328,[4]Sheet1!$C:$N,12,0),"Unknown")))</f>
        <v>ULTRAN LASUR</v>
      </c>
      <c r="BM328" t="str">
        <f>VLOOKUP(W328,[1]branch!$A:$B,2,0)</f>
        <v>DANANG</v>
      </c>
    </row>
    <row r="329" spans="1:65" x14ac:dyDescent="0.35">
      <c r="A329" s="10">
        <v>45994</v>
      </c>
      <c r="B329" s="9" t="s">
        <v>1195</v>
      </c>
      <c r="C329" s="9" t="s">
        <v>64</v>
      </c>
      <c r="D329" s="9" t="s">
        <v>92</v>
      </c>
      <c r="E329" s="11">
        <v>60</v>
      </c>
      <c r="F329" s="9" t="s">
        <v>93</v>
      </c>
      <c r="G329" s="9" t="s">
        <v>65</v>
      </c>
      <c r="H329" s="9" t="s">
        <v>66</v>
      </c>
      <c r="I329" s="9">
        <v>13</v>
      </c>
      <c r="J329" s="9" t="s">
        <v>309</v>
      </c>
      <c r="K329" s="9" t="s">
        <v>309</v>
      </c>
      <c r="L329" s="9" t="s">
        <v>309</v>
      </c>
      <c r="M329" s="9" t="s">
        <v>310</v>
      </c>
      <c r="N329" s="9" t="s">
        <v>869</v>
      </c>
      <c r="O329" s="9" t="s">
        <v>150</v>
      </c>
      <c r="P329" s="9" t="s">
        <v>67</v>
      </c>
      <c r="Q329" s="9" t="s">
        <v>98</v>
      </c>
      <c r="R329" s="9" t="s">
        <v>309</v>
      </c>
      <c r="S329" s="9" t="s">
        <v>310</v>
      </c>
      <c r="T329" s="9" t="s">
        <v>798</v>
      </c>
      <c r="U329" s="9" t="s">
        <v>67</v>
      </c>
      <c r="V329" s="9" t="s">
        <v>311</v>
      </c>
      <c r="W329" s="9" t="s">
        <v>312</v>
      </c>
      <c r="X329" s="11">
        <v>80</v>
      </c>
      <c r="Y329" s="9" t="s">
        <v>431</v>
      </c>
      <c r="Z329" s="9" t="s">
        <v>68</v>
      </c>
      <c r="AA329" s="9" t="s">
        <v>432</v>
      </c>
      <c r="AB329" s="9" t="s">
        <v>67</v>
      </c>
      <c r="AC329" s="9" t="s">
        <v>346</v>
      </c>
      <c r="AD329" s="11">
        <v>24</v>
      </c>
      <c r="AE329" s="9" t="s">
        <v>70</v>
      </c>
      <c r="AF329" s="9" t="s">
        <v>71</v>
      </c>
      <c r="AG329" s="13">
        <v>1</v>
      </c>
      <c r="AH329" s="9" t="s">
        <v>92</v>
      </c>
      <c r="AI329" s="13">
        <v>218181</v>
      </c>
      <c r="AJ329" s="13">
        <v>5236344</v>
      </c>
      <c r="AK329" s="11">
        <v>963488</v>
      </c>
      <c r="AL329" s="11">
        <v>0</v>
      </c>
      <c r="AM329" s="11">
        <v>0</v>
      </c>
      <c r="AN329" s="9" t="s">
        <v>271</v>
      </c>
      <c r="AO329" s="11">
        <v>4272856</v>
      </c>
      <c r="AP329" s="13">
        <v>341828</v>
      </c>
      <c r="AQ329" s="13">
        <v>4614684</v>
      </c>
      <c r="AR329" s="12">
        <v>20.88</v>
      </c>
      <c r="AS329" s="9" t="s">
        <v>72</v>
      </c>
      <c r="AT329" s="11">
        <v>24</v>
      </c>
      <c r="AU329" s="9" t="s">
        <v>73</v>
      </c>
      <c r="AV329" s="9" t="s">
        <v>67</v>
      </c>
      <c r="AW329" s="9" t="s">
        <v>1196</v>
      </c>
      <c r="AX329" s="10">
        <v>45993</v>
      </c>
      <c r="AY329" s="9" t="s">
        <v>1197</v>
      </c>
      <c r="AZ329" s="9" t="s">
        <v>67</v>
      </c>
      <c r="BA329" s="9" t="s">
        <v>67</v>
      </c>
      <c r="BB329" s="12">
        <v>24</v>
      </c>
      <c r="BC329" s="9" t="s">
        <v>74</v>
      </c>
      <c r="BD329" s="9" t="s">
        <v>104</v>
      </c>
      <c r="BE329" s="9" t="s">
        <v>75</v>
      </c>
      <c r="BF329" s="11">
        <v>0</v>
      </c>
      <c r="BG329">
        <f t="shared" si="12"/>
        <v>12</v>
      </c>
      <c r="BH329" t="str">
        <f>VLOOKUP(BG329,[1]month!$A:$B,2,0)</f>
        <v>Desember</v>
      </c>
      <c r="BI329">
        <f t="shared" si="13"/>
        <v>2025</v>
      </c>
      <c r="BJ329" t="str">
        <f>VLOOKUP(I329,[1]Dist!$A:$B,2,0)</f>
        <v>Retail</v>
      </c>
      <c r="BK329" t="str">
        <f>IF(I329=11,VLOOKUP(Y329,[2]Sheet1!$C:$N,10,0),IF(I329=13,VLOOKUP(Y329,[3]Sheet1!$C:$N,10,0),IF(I329=15,VLOOKUP(Y329,[4]Sheet1!$C:$N,10,0),"Unknown")))</f>
        <v>ULTRAN</v>
      </c>
      <c r="BL329" t="str">
        <f>IF(I329=11,VLOOKUP(Y329,[2]Sheet1!$C:$N,12,0),IF(I329=13,VLOOKUP(Y329,[3]Sheet1!$C:$N,12,0),IF(I329=15,VLOOKUP(Y329,[4]Sheet1!$C:$N,12,0),"Unknown")))</f>
        <v>ULTRAN LASUR</v>
      </c>
      <c r="BM329" t="str">
        <f>VLOOKUP(W329,[1]branch!$A:$B,2,0)</f>
        <v>DANANG</v>
      </c>
    </row>
    <row r="330" spans="1:65" x14ac:dyDescent="0.35">
      <c r="A330" s="10">
        <v>45994</v>
      </c>
      <c r="B330" s="9" t="s">
        <v>1195</v>
      </c>
      <c r="C330" s="9" t="s">
        <v>64</v>
      </c>
      <c r="D330" s="9" t="s">
        <v>92</v>
      </c>
      <c r="E330" s="11">
        <v>60</v>
      </c>
      <c r="F330" s="9" t="s">
        <v>93</v>
      </c>
      <c r="G330" s="9" t="s">
        <v>65</v>
      </c>
      <c r="H330" s="9" t="s">
        <v>66</v>
      </c>
      <c r="I330" s="9">
        <v>13</v>
      </c>
      <c r="J330" s="9" t="s">
        <v>309</v>
      </c>
      <c r="K330" s="9" t="s">
        <v>309</v>
      </c>
      <c r="L330" s="9" t="s">
        <v>309</v>
      </c>
      <c r="M330" s="9" t="s">
        <v>310</v>
      </c>
      <c r="N330" s="9" t="s">
        <v>869</v>
      </c>
      <c r="O330" s="9" t="s">
        <v>150</v>
      </c>
      <c r="P330" s="9" t="s">
        <v>67</v>
      </c>
      <c r="Q330" s="9" t="s">
        <v>98</v>
      </c>
      <c r="R330" s="9" t="s">
        <v>309</v>
      </c>
      <c r="S330" s="9" t="s">
        <v>310</v>
      </c>
      <c r="T330" s="9" t="s">
        <v>798</v>
      </c>
      <c r="U330" s="9" t="s">
        <v>67</v>
      </c>
      <c r="V330" s="9" t="s">
        <v>311</v>
      </c>
      <c r="W330" s="9" t="s">
        <v>312</v>
      </c>
      <c r="X330" s="11">
        <v>90</v>
      </c>
      <c r="Y330" s="9" t="s">
        <v>468</v>
      </c>
      <c r="Z330" s="9" t="s">
        <v>68</v>
      </c>
      <c r="AA330" s="9" t="s">
        <v>469</v>
      </c>
      <c r="AB330" s="9" t="s">
        <v>67</v>
      </c>
      <c r="AC330" s="9" t="s">
        <v>346</v>
      </c>
      <c r="AD330" s="11">
        <v>10</v>
      </c>
      <c r="AE330" s="9" t="s">
        <v>70</v>
      </c>
      <c r="AF330" s="9" t="s">
        <v>71</v>
      </c>
      <c r="AG330" s="13">
        <v>1</v>
      </c>
      <c r="AH330" s="9" t="s">
        <v>92</v>
      </c>
      <c r="AI330" s="13">
        <v>810909</v>
      </c>
      <c r="AJ330" s="13">
        <v>8109090</v>
      </c>
      <c r="AK330" s="11">
        <v>1492073</v>
      </c>
      <c r="AL330" s="11">
        <v>0</v>
      </c>
      <c r="AM330" s="11">
        <v>0</v>
      </c>
      <c r="AN330" s="9" t="s">
        <v>271</v>
      </c>
      <c r="AO330" s="11">
        <v>6617017</v>
      </c>
      <c r="AP330" s="13">
        <v>529361</v>
      </c>
      <c r="AQ330" s="13">
        <v>7146378</v>
      </c>
      <c r="AR330" s="12">
        <v>34.799999999999997</v>
      </c>
      <c r="AS330" s="9" t="s">
        <v>72</v>
      </c>
      <c r="AT330" s="11">
        <v>40</v>
      </c>
      <c r="AU330" s="9" t="s">
        <v>73</v>
      </c>
      <c r="AV330" s="9" t="s">
        <v>67</v>
      </c>
      <c r="AW330" s="9" t="s">
        <v>1196</v>
      </c>
      <c r="AX330" s="10">
        <v>45993</v>
      </c>
      <c r="AY330" s="9" t="s">
        <v>1197</v>
      </c>
      <c r="AZ330" s="9" t="s">
        <v>67</v>
      </c>
      <c r="BA330" s="9" t="s">
        <v>67</v>
      </c>
      <c r="BB330" s="12">
        <v>40</v>
      </c>
      <c r="BC330" s="9" t="s">
        <v>74</v>
      </c>
      <c r="BD330" s="9" t="s">
        <v>104</v>
      </c>
      <c r="BE330" s="9" t="s">
        <v>75</v>
      </c>
      <c r="BF330" s="11">
        <v>0</v>
      </c>
      <c r="BG330">
        <f t="shared" si="12"/>
        <v>12</v>
      </c>
      <c r="BH330" t="str">
        <f>VLOOKUP(BG330,[1]month!$A:$B,2,0)</f>
        <v>Desember</v>
      </c>
      <c r="BI330">
        <f t="shared" si="13"/>
        <v>2025</v>
      </c>
      <c r="BJ330" t="str">
        <f>VLOOKUP(I330,[1]Dist!$A:$B,2,0)</f>
        <v>Retail</v>
      </c>
      <c r="BK330" t="str">
        <f>IF(I330=11,VLOOKUP(Y330,[2]Sheet1!$C:$N,10,0),IF(I330=13,VLOOKUP(Y330,[3]Sheet1!$C:$N,10,0),IF(I330=15,VLOOKUP(Y330,[4]Sheet1!$C:$N,10,0),"Unknown")))</f>
        <v>ULTRAN</v>
      </c>
      <c r="BL330" t="str">
        <f>IF(I330=11,VLOOKUP(Y330,[2]Sheet1!$C:$N,12,0),IF(I330=13,VLOOKUP(Y330,[3]Sheet1!$C:$N,12,0),IF(I330=15,VLOOKUP(Y330,[4]Sheet1!$C:$N,12,0),"Unknown")))</f>
        <v>ULTRAN LASUR</v>
      </c>
      <c r="BM330" t="str">
        <f>VLOOKUP(W330,[1]branch!$A:$B,2,0)</f>
        <v>DANANG</v>
      </c>
    </row>
    <row r="331" spans="1:65" x14ac:dyDescent="0.35">
      <c r="A331" s="10">
        <v>45994</v>
      </c>
      <c r="B331" s="9" t="s">
        <v>1195</v>
      </c>
      <c r="C331" s="9" t="s">
        <v>64</v>
      </c>
      <c r="D331" s="9" t="s">
        <v>92</v>
      </c>
      <c r="E331" s="11">
        <v>60</v>
      </c>
      <c r="F331" s="9" t="s">
        <v>93</v>
      </c>
      <c r="G331" s="9" t="s">
        <v>65</v>
      </c>
      <c r="H331" s="9" t="s">
        <v>66</v>
      </c>
      <c r="I331" s="9">
        <v>13</v>
      </c>
      <c r="J331" s="9" t="s">
        <v>309</v>
      </c>
      <c r="K331" s="9" t="s">
        <v>309</v>
      </c>
      <c r="L331" s="9" t="s">
        <v>309</v>
      </c>
      <c r="M331" s="9" t="s">
        <v>310</v>
      </c>
      <c r="N331" s="9" t="s">
        <v>869</v>
      </c>
      <c r="O331" s="9" t="s">
        <v>150</v>
      </c>
      <c r="P331" s="9" t="s">
        <v>67</v>
      </c>
      <c r="Q331" s="9" t="s">
        <v>98</v>
      </c>
      <c r="R331" s="9" t="s">
        <v>309</v>
      </c>
      <c r="S331" s="9" t="s">
        <v>310</v>
      </c>
      <c r="T331" s="9" t="s">
        <v>798</v>
      </c>
      <c r="U331" s="9" t="s">
        <v>67</v>
      </c>
      <c r="V331" s="9" t="s">
        <v>311</v>
      </c>
      <c r="W331" s="9" t="s">
        <v>312</v>
      </c>
      <c r="X331" s="11">
        <v>110</v>
      </c>
      <c r="Y331" s="9" t="s">
        <v>322</v>
      </c>
      <c r="Z331" s="9" t="s">
        <v>68</v>
      </c>
      <c r="AA331" s="9" t="s">
        <v>323</v>
      </c>
      <c r="AB331" s="9" t="s">
        <v>67</v>
      </c>
      <c r="AC331" s="9" t="s">
        <v>321</v>
      </c>
      <c r="AD331" s="11">
        <v>1</v>
      </c>
      <c r="AE331" s="9" t="s">
        <v>70</v>
      </c>
      <c r="AF331" s="9" t="s">
        <v>71</v>
      </c>
      <c r="AG331" s="13">
        <v>1</v>
      </c>
      <c r="AH331" s="9" t="s">
        <v>92</v>
      </c>
      <c r="AI331" s="13">
        <v>1666364</v>
      </c>
      <c r="AJ331" s="13">
        <v>1666364</v>
      </c>
      <c r="AK331" s="11">
        <v>306611</v>
      </c>
      <c r="AL331" s="11">
        <v>0</v>
      </c>
      <c r="AM331" s="11">
        <v>0</v>
      </c>
      <c r="AN331" s="9" t="s">
        <v>271</v>
      </c>
      <c r="AO331" s="11">
        <v>1359753</v>
      </c>
      <c r="AP331" s="13">
        <v>108780</v>
      </c>
      <c r="AQ331" s="13">
        <v>1468533</v>
      </c>
      <c r="AR331" s="11">
        <v>16</v>
      </c>
      <c r="AS331" s="9" t="s">
        <v>72</v>
      </c>
      <c r="AT331" s="12">
        <v>15.38</v>
      </c>
      <c r="AU331" s="9" t="s">
        <v>73</v>
      </c>
      <c r="AV331" s="9" t="s">
        <v>67</v>
      </c>
      <c r="AW331" s="9" t="s">
        <v>1196</v>
      </c>
      <c r="AX331" s="10">
        <v>45993</v>
      </c>
      <c r="AY331" s="9" t="s">
        <v>1197</v>
      </c>
      <c r="AZ331" s="9" t="s">
        <v>67</v>
      </c>
      <c r="BA331" s="9" t="s">
        <v>67</v>
      </c>
      <c r="BB331" s="12">
        <v>16</v>
      </c>
      <c r="BC331" s="9" t="s">
        <v>74</v>
      </c>
      <c r="BD331" s="9" t="s">
        <v>104</v>
      </c>
      <c r="BE331" s="9" t="s">
        <v>75</v>
      </c>
      <c r="BF331" s="11">
        <v>0</v>
      </c>
      <c r="BG331">
        <f t="shared" si="12"/>
        <v>12</v>
      </c>
      <c r="BH331" t="str">
        <f>VLOOKUP(BG331,[1]month!$A:$B,2,0)</f>
        <v>Desember</v>
      </c>
      <c r="BI331">
        <f t="shared" si="13"/>
        <v>2025</v>
      </c>
      <c r="BJ331" t="str">
        <f>VLOOKUP(I331,[1]Dist!$A:$B,2,0)</f>
        <v>Retail</v>
      </c>
      <c r="BK331" t="str">
        <f>IF(I331=11,VLOOKUP(Y331,[2]Sheet1!$C:$N,10,0),IF(I331=13,VLOOKUP(Y331,[3]Sheet1!$C:$N,10,0),IF(I331=15,VLOOKUP(Y331,[4]Sheet1!$C:$N,10,0),"Unknown")))</f>
        <v>PU EASY TO USE</v>
      </c>
      <c r="BL331" t="str">
        <f>IF(I331=11,VLOOKUP(Y331,[2]Sheet1!$C:$N,12,0),IF(I331=13,VLOOKUP(Y331,[3]Sheet1!$C:$N,12,0),IF(I331=15,VLOOKUP(Y331,[4]Sheet1!$C:$N,12,0),"Unknown")))</f>
        <v>PROPAN EASY TO USE PU</v>
      </c>
      <c r="BM331" t="str">
        <f>VLOOKUP(W331,[1]branch!$A:$B,2,0)</f>
        <v>DANANG</v>
      </c>
    </row>
    <row r="332" spans="1:65" x14ac:dyDescent="0.35">
      <c r="A332" s="10">
        <v>45994</v>
      </c>
      <c r="B332" s="9" t="s">
        <v>1195</v>
      </c>
      <c r="C332" s="9" t="s">
        <v>64</v>
      </c>
      <c r="D332" s="9" t="s">
        <v>92</v>
      </c>
      <c r="E332" s="11">
        <v>60</v>
      </c>
      <c r="F332" s="9" t="s">
        <v>93</v>
      </c>
      <c r="G332" s="9" t="s">
        <v>65</v>
      </c>
      <c r="H332" s="9" t="s">
        <v>66</v>
      </c>
      <c r="I332" s="9">
        <v>13</v>
      </c>
      <c r="J332" s="9" t="s">
        <v>309</v>
      </c>
      <c r="K332" s="9" t="s">
        <v>309</v>
      </c>
      <c r="L332" s="9" t="s">
        <v>309</v>
      </c>
      <c r="M332" s="9" t="s">
        <v>310</v>
      </c>
      <c r="N332" s="9" t="s">
        <v>869</v>
      </c>
      <c r="O332" s="9" t="s">
        <v>150</v>
      </c>
      <c r="P332" s="9" t="s">
        <v>67</v>
      </c>
      <c r="Q332" s="9" t="s">
        <v>98</v>
      </c>
      <c r="R332" s="9" t="s">
        <v>309</v>
      </c>
      <c r="S332" s="9" t="s">
        <v>310</v>
      </c>
      <c r="T332" s="9" t="s">
        <v>798</v>
      </c>
      <c r="U332" s="9" t="s">
        <v>67</v>
      </c>
      <c r="V332" s="9" t="s">
        <v>311</v>
      </c>
      <c r="W332" s="9" t="s">
        <v>312</v>
      </c>
      <c r="X332" s="11">
        <v>120</v>
      </c>
      <c r="Y332" s="9" t="s">
        <v>324</v>
      </c>
      <c r="Z332" s="9" t="s">
        <v>68</v>
      </c>
      <c r="AA332" s="9" t="s">
        <v>325</v>
      </c>
      <c r="AB332" s="9" t="s">
        <v>67</v>
      </c>
      <c r="AC332" s="9" t="s">
        <v>326</v>
      </c>
      <c r="AD332" s="11">
        <v>12</v>
      </c>
      <c r="AE332" s="9" t="s">
        <v>156</v>
      </c>
      <c r="AF332" s="9" t="s">
        <v>71</v>
      </c>
      <c r="AG332" s="13">
        <v>1</v>
      </c>
      <c r="AH332" s="9" t="s">
        <v>92</v>
      </c>
      <c r="AI332" s="13">
        <v>206364</v>
      </c>
      <c r="AJ332" s="13">
        <v>2476368</v>
      </c>
      <c r="AK332" s="11">
        <v>455652</v>
      </c>
      <c r="AL332" s="11">
        <v>0</v>
      </c>
      <c r="AM332" s="11">
        <v>0</v>
      </c>
      <c r="AN332" s="9" t="s">
        <v>271</v>
      </c>
      <c r="AO332" s="11">
        <v>2020716</v>
      </c>
      <c r="AP332" s="13">
        <v>161657</v>
      </c>
      <c r="AQ332" s="13">
        <v>2182373</v>
      </c>
      <c r="AR332" s="11">
        <v>12</v>
      </c>
      <c r="AS332" s="9" t="s">
        <v>72</v>
      </c>
      <c r="AT332" s="12">
        <v>12.48</v>
      </c>
      <c r="AU332" s="9" t="s">
        <v>73</v>
      </c>
      <c r="AV332" s="9" t="s">
        <v>67</v>
      </c>
      <c r="AW332" s="9" t="s">
        <v>1196</v>
      </c>
      <c r="AX332" s="10">
        <v>45993</v>
      </c>
      <c r="AY332" s="9" t="s">
        <v>1197</v>
      </c>
      <c r="AZ332" s="9" t="s">
        <v>67</v>
      </c>
      <c r="BA332" s="9" t="s">
        <v>67</v>
      </c>
      <c r="BB332" s="12">
        <v>12</v>
      </c>
      <c r="BC332" s="9" t="s">
        <v>74</v>
      </c>
      <c r="BD332" s="9" t="s">
        <v>104</v>
      </c>
      <c r="BE332" s="9" t="s">
        <v>75</v>
      </c>
      <c r="BF332" s="11">
        <v>0</v>
      </c>
      <c r="BG332">
        <f t="shared" si="12"/>
        <v>12</v>
      </c>
      <c r="BH332" t="str">
        <f>VLOOKUP(BG332,[1]month!$A:$B,2,0)</f>
        <v>Desember</v>
      </c>
      <c r="BI332">
        <f t="shared" si="13"/>
        <v>2025</v>
      </c>
      <c r="BJ332" t="str">
        <f>VLOOKUP(I332,[1]Dist!$A:$B,2,0)</f>
        <v>Retail</v>
      </c>
      <c r="BK332" t="str">
        <f>IF(I332=11,VLOOKUP(Y332,[2]Sheet1!$C:$N,10,0),IF(I332=13,VLOOKUP(Y332,[3]Sheet1!$C:$N,10,0),IF(I332=15,VLOOKUP(Y332,[4]Sheet1!$C:$N,10,0),"Unknown")))</f>
        <v>PU MULTIPURPOSE</v>
      </c>
      <c r="BL332" t="str">
        <f>IF(I332=11,VLOOKUP(Y332,[2]Sheet1!$C:$N,12,0),IF(I332=13,VLOOKUP(Y332,[3]Sheet1!$C:$N,12,0),IF(I332=15,VLOOKUP(Y332,[4]Sheet1!$C:$N,12,0),"Unknown")))</f>
        <v>PROPAN MP PU ACR RMX</v>
      </c>
      <c r="BM332" t="str">
        <f>VLOOKUP(W332,[1]branch!$A:$B,2,0)</f>
        <v>DANANG</v>
      </c>
    </row>
    <row r="333" spans="1:65" x14ac:dyDescent="0.35">
      <c r="A333" s="10">
        <v>45994</v>
      </c>
      <c r="B333" s="9" t="s">
        <v>1195</v>
      </c>
      <c r="C333" s="9" t="s">
        <v>64</v>
      </c>
      <c r="D333" s="9" t="s">
        <v>92</v>
      </c>
      <c r="E333" s="11">
        <v>60</v>
      </c>
      <c r="F333" s="9" t="s">
        <v>93</v>
      </c>
      <c r="G333" s="9" t="s">
        <v>65</v>
      </c>
      <c r="H333" s="9" t="s">
        <v>66</v>
      </c>
      <c r="I333" s="9">
        <v>13</v>
      </c>
      <c r="J333" s="9" t="s">
        <v>309</v>
      </c>
      <c r="K333" s="9" t="s">
        <v>309</v>
      </c>
      <c r="L333" s="9" t="s">
        <v>309</v>
      </c>
      <c r="M333" s="9" t="s">
        <v>310</v>
      </c>
      <c r="N333" s="9" t="s">
        <v>869</v>
      </c>
      <c r="O333" s="9" t="s">
        <v>150</v>
      </c>
      <c r="P333" s="9" t="s">
        <v>67</v>
      </c>
      <c r="Q333" s="9" t="s">
        <v>98</v>
      </c>
      <c r="R333" s="9" t="s">
        <v>309</v>
      </c>
      <c r="S333" s="9" t="s">
        <v>310</v>
      </c>
      <c r="T333" s="9" t="s">
        <v>798</v>
      </c>
      <c r="U333" s="9" t="s">
        <v>67</v>
      </c>
      <c r="V333" s="9" t="s">
        <v>311</v>
      </c>
      <c r="W333" s="9" t="s">
        <v>312</v>
      </c>
      <c r="X333" s="11">
        <v>150</v>
      </c>
      <c r="Y333" s="9" t="s">
        <v>448</v>
      </c>
      <c r="Z333" s="9" t="s">
        <v>68</v>
      </c>
      <c r="AA333" s="9" t="s">
        <v>449</v>
      </c>
      <c r="AB333" s="9" t="s">
        <v>67</v>
      </c>
      <c r="AC333" s="9" t="s">
        <v>326</v>
      </c>
      <c r="AD333" s="11">
        <v>24</v>
      </c>
      <c r="AE333" s="9" t="s">
        <v>156</v>
      </c>
      <c r="AF333" s="9" t="s">
        <v>71</v>
      </c>
      <c r="AG333" s="13">
        <v>1</v>
      </c>
      <c r="AH333" s="9" t="s">
        <v>92</v>
      </c>
      <c r="AI333" s="13">
        <v>206364</v>
      </c>
      <c r="AJ333" s="13">
        <v>4952736</v>
      </c>
      <c r="AK333" s="11">
        <v>911303</v>
      </c>
      <c r="AL333" s="11">
        <v>0</v>
      </c>
      <c r="AM333" s="11">
        <v>0</v>
      </c>
      <c r="AN333" s="9" t="s">
        <v>271</v>
      </c>
      <c r="AO333" s="11">
        <v>4041433</v>
      </c>
      <c r="AP333" s="13">
        <v>323315</v>
      </c>
      <c r="AQ333" s="13">
        <v>4364748</v>
      </c>
      <c r="AR333" s="11">
        <v>24</v>
      </c>
      <c r="AS333" s="9" t="s">
        <v>72</v>
      </c>
      <c r="AT333" s="12">
        <v>24.48</v>
      </c>
      <c r="AU333" s="9" t="s">
        <v>73</v>
      </c>
      <c r="AV333" s="9" t="s">
        <v>67</v>
      </c>
      <c r="AW333" s="9" t="s">
        <v>1196</v>
      </c>
      <c r="AX333" s="10">
        <v>45993</v>
      </c>
      <c r="AY333" s="9" t="s">
        <v>1197</v>
      </c>
      <c r="AZ333" s="9" t="s">
        <v>67</v>
      </c>
      <c r="BA333" s="9" t="s">
        <v>67</v>
      </c>
      <c r="BB333" s="12">
        <v>24</v>
      </c>
      <c r="BC333" s="9" t="s">
        <v>74</v>
      </c>
      <c r="BD333" s="9" t="s">
        <v>104</v>
      </c>
      <c r="BE333" s="9" t="s">
        <v>75</v>
      </c>
      <c r="BF333" s="11">
        <v>0</v>
      </c>
      <c r="BG333">
        <f t="shared" si="12"/>
        <v>12</v>
      </c>
      <c r="BH333" t="str">
        <f>VLOOKUP(BG333,[1]month!$A:$B,2,0)</f>
        <v>Desember</v>
      </c>
      <c r="BI333">
        <f t="shared" si="13"/>
        <v>2025</v>
      </c>
      <c r="BJ333" t="str">
        <f>VLOOKUP(I333,[1]Dist!$A:$B,2,0)</f>
        <v>Retail</v>
      </c>
      <c r="BK333" t="str">
        <f>IF(I333=11,VLOOKUP(Y333,[2]Sheet1!$C:$N,10,0),IF(I333=13,VLOOKUP(Y333,[3]Sheet1!$C:$N,10,0),IF(I333=15,VLOOKUP(Y333,[4]Sheet1!$C:$N,10,0),"Unknown")))</f>
        <v>PU MULTIPURPOSE</v>
      </c>
      <c r="BL333" t="str">
        <f>IF(I333=11,VLOOKUP(Y333,[2]Sheet1!$C:$N,12,0),IF(I333=13,VLOOKUP(Y333,[3]Sheet1!$C:$N,12,0),IF(I333=15,VLOOKUP(Y333,[4]Sheet1!$C:$N,12,0),"Unknown")))</f>
        <v>PROPAN MP PU ACR RMX</v>
      </c>
      <c r="BM333" t="str">
        <f>VLOOKUP(W333,[1]branch!$A:$B,2,0)</f>
        <v>DANANG</v>
      </c>
    </row>
    <row r="334" spans="1:65" x14ac:dyDescent="0.35">
      <c r="A334" s="10">
        <v>45994</v>
      </c>
      <c r="B334" s="9" t="s">
        <v>1195</v>
      </c>
      <c r="C334" s="9" t="s">
        <v>64</v>
      </c>
      <c r="D334" s="9" t="s">
        <v>92</v>
      </c>
      <c r="E334" s="11">
        <v>60</v>
      </c>
      <c r="F334" s="9" t="s">
        <v>93</v>
      </c>
      <c r="G334" s="9" t="s">
        <v>65</v>
      </c>
      <c r="H334" s="9" t="s">
        <v>66</v>
      </c>
      <c r="I334" s="9">
        <v>13</v>
      </c>
      <c r="J334" s="9" t="s">
        <v>309</v>
      </c>
      <c r="K334" s="9" t="s">
        <v>309</v>
      </c>
      <c r="L334" s="9" t="s">
        <v>309</v>
      </c>
      <c r="M334" s="9" t="s">
        <v>310</v>
      </c>
      <c r="N334" s="9" t="s">
        <v>869</v>
      </c>
      <c r="O334" s="9" t="s">
        <v>150</v>
      </c>
      <c r="P334" s="9" t="s">
        <v>67</v>
      </c>
      <c r="Q334" s="9" t="s">
        <v>98</v>
      </c>
      <c r="R334" s="9" t="s">
        <v>309</v>
      </c>
      <c r="S334" s="9" t="s">
        <v>310</v>
      </c>
      <c r="T334" s="9" t="s">
        <v>798</v>
      </c>
      <c r="U334" s="9" t="s">
        <v>67</v>
      </c>
      <c r="V334" s="9" t="s">
        <v>311</v>
      </c>
      <c r="W334" s="9" t="s">
        <v>312</v>
      </c>
      <c r="X334" s="11">
        <v>160</v>
      </c>
      <c r="Y334" s="9" t="s">
        <v>460</v>
      </c>
      <c r="Z334" s="9" t="s">
        <v>68</v>
      </c>
      <c r="AA334" s="9" t="s">
        <v>461</v>
      </c>
      <c r="AB334" s="9" t="s">
        <v>67</v>
      </c>
      <c r="AC334" s="9" t="s">
        <v>346</v>
      </c>
      <c r="AD334" s="11">
        <v>20</v>
      </c>
      <c r="AE334" s="9" t="s">
        <v>70</v>
      </c>
      <c r="AF334" s="9" t="s">
        <v>71</v>
      </c>
      <c r="AG334" s="13">
        <v>1</v>
      </c>
      <c r="AH334" s="9" t="s">
        <v>92</v>
      </c>
      <c r="AI334" s="13">
        <v>810909</v>
      </c>
      <c r="AJ334" s="13">
        <v>16218180</v>
      </c>
      <c r="AK334" s="11">
        <v>2984145</v>
      </c>
      <c r="AL334" s="11">
        <v>0</v>
      </c>
      <c r="AM334" s="11">
        <v>0</v>
      </c>
      <c r="AN334" s="9" t="s">
        <v>271</v>
      </c>
      <c r="AO334" s="11">
        <v>13234035</v>
      </c>
      <c r="AP334" s="13">
        <v>1058723</v>
      </c>
      <c r="AQ334" s="13">
        <v>14292758</v>
      </c>
      <c r="AR334" s="11">
        <v>68</v>
      </c>
      <c r="AS334" s="9" t="s">
        <v>72</v>
      </c>
      <c r="AT334" s="11">
        <v>80</v>
      </c>
      <c r="AU334" s="9" t="s">
        <v>73</v>
      </c>
      <c r="AV334" s="9" t="s">
        <v>67</v>
      </c>
      <c r="AW334" s="9" t="s">
        <v>1196</v>
      </c>
      <c r="AX334" s="10">
        <v>45993</v>
      </c>
      <c r="AY334" s="9" t="s">
        <v>1197</v>
      </c>
      <c r="AZ334" s="9" t="s">
        <v>67</v>
      </c>
      <c r="BA334" s="9" t="s">
        <v>67</v>
      </c>
      <c r="BB334" s="12">
        <v>80</v>
      </c>
      <c r="BC334" s="9" t="s">
        <v>74</v>
      </c>
      <c r="BD334" s="9" t="s">
        <v>104</v>
      </c>
      <c r="BE334" s="9" t="s">
        <v>75</v>
      </c>
      <c r="BF334" s="11">
        <v>0</v>
      </c>
      <c r="BG334">
        <f t="shared" si="12"/>
        <v>12</v>
      </c>
      <c r="BH334" t="str">
        <f>VLOOKUP(BG334,[1]month!$A:$B,2,0)</f>
        <v>Desember</v>
      </c>
      <c r="BI334">
        <f t="shared" si="13"/>
        <v>2025</v>
      </c>
      <c r="BJ334" t="str">
        <f>VLOOKUP(I334,[1]Dist!$A:$B,2,0)</f>
        <v>Retail</v>
      </c>
      <c r="BK334" t="str">
        <f>IF(I334=11,VLOOKUP(Y334,[2]Sheet1!$C:$N,10,0),IF(I334=13,VLOOKUP(Y334,[3]Sheet1!$C:$N,10,0),IF(I334=15,VLOOKUP(Y334,[4]Sheet1!$C:$N,10,0),"Unknown")))</f>
        <v>ULTRAN</v>
      </c>
      <c r="BL334" t="str">
        <f>IF(I334=11,VLOOKUP(Y334,[2]Sheet1!$C:$N,12,0),IF(I334=13,VLOOKUP(Y334,[3]Sheet1!$C:$N,12,0),IF(I334=15,VLOOKUP(Y334,[4]Sheet1!$C:$N,12,0),"Unknown")))</f>
        <v>ULTRAN LASUR</v>
      </c>
      <c r="BM334" t="str">
        <f>VLOOKUP(W334,[1]branch!$A:$B,2,0)</f>
        <v>DANANG</v>
      </c>
    </row>
    <row r="335" spans="1:65" x14ac:dyDescent="0.35">
      <c r="A335" s="10">
        <v>45994</v>
      </c>
      <c r="B335" s="9" t="s">
        <v>1198</v>
      </c>
      <c r="C335" s="9" t="s">
        <v>64</v>
      </c>
      <c r="D335" s="9" t="s">
        <v>92</v>
      </c>
      <c r="E335" s="11">
        <v>60</v>
      </c>
      <c r="F335" s="9" t="s">
        <v>93</v>
      </c>
      <c r="G335" s="9" t="s">
        <v>65</v>
      </c>
      <c r="H335" s="9" t="s">
        <v>66</v>
      </c>
      <c r="I335" s="9">
        <v>13</v>
      </c>
      <c r="J335" s="9" t="s">
        <v>309</v>
      </c>
      <c r="K335" s="9" t="s">
        <v>309</v>
      </c>
      <c r="L335" s="9" t="s">
        <v>309</v>
      </c>
      <c r="M335" s="9" t="s">
        <v>310</v>
      </c>
      <c r="N335" s="9" t="s">
        <v>869</v>
      </c>
      <c r="O335" s="9" t="s">
        <v>150</v>
      </c>
      <c r="P335" s="9" t="s">
        <v>67</v>
      </c>
      <c r="Q335" s="9" t="s">
        <v>98</v>
      </c>
      <c r="R335" s="9" t="s">
        <v>309</v>
      </c>
      <c r="S335" s="9" t="s">
        <v>310</v>
      </c>
      <c r="T335" s="9" t="s">
        <v>798</v>
      </c>
      <c r="U335" s="9" t="s">
        <v>67</v>
      </c>
      <c r="V335" s="9" t="s">
        <v>311</v>
      </c>
      <c r="W335" s="9" t="s">
        <v>312</v>
      </c>
      <c r="X335" s="11">
        <v>10</v>
      </c>
      <c r="Y335" s="9" t="s">
        <v>89</v>
      </c>
      <c r="Z335" s="9" t="s">
        <v>68</v>
      </c>
      <c r="AA335" s="9" t="s">
        <v>90</v>
      </c>
      <c r="AB335" s="9" t="s">
        <v>67</v>
      </c>
      <c r="AC335" s="9" t="s">
        <v>91</v>
      </c>
      <c r="AD335" s="11">
        <v>16</v>
      </c>
      <c r="AE335" s="9" t="s">
        <v>70</v>
      </c>
      <c r="AF335" s="9" t="s">
        <v>71</v>
      </c>
      <c r="AG335" s="13">
        <v>1</v>
      </c>
      <c r="AH335" s="9" t="s">
        <v>92</v>
      </c>
      <c r="AI335" s="13">
        <v>1271813</v>
      </c>
      <c r="AJ335" s="13">
        <v>20349008</v>
      </c>
      <c r="AK335" s="11">
        <v>0</v>
      </c>
      <c r="AL335" s="11">
        <v>0</v>
      </c>
      <c r="AM335" s="11">
        <v>0</v>
      </c>
      <c r="AN335" s="9" t="s">
        <v>67</v>
      </c>
      <c r="AO335" s="11">
        <v>20349008</v>
      </c>
      <c r="AP335" s="13">
        <v>1627921</v>
      </c>
      <c r="AQ335" s="13">
        <v>21976929</v>
      </c>
      <c r="AR335" s="11">
        <v>64</v>
      </c>
      <c r="AS335" s="9" t="s">
        <v>72</v>
      </c>
      <c r="AT335" s="12">
        <v>60.96</v>
      </c>
      <c r="AU335" s="9" t="s">
        <v>73</v>
      </c>
      <c r="AV335" s="9" t="s">
        <v>67</v>
      </c>
      <c r="AW335" s="9" t="s">
        <v>1199</v>
      </c>
      <c r="AX335" s="10">
        <v>45993</v>
      </c>
      <c r="AY335" s="9" t="s">
        <v>1200</v>
      </c>
      <c r="AZ335" s="9" t="s">
        <v>67</v>
      </c>
      <c r="BA335" s="9" t="s">
        <v>67</v>
      </c>
      <c r="BB335" s="12">
        <v>64</v>
      </c>
      <c r="BC335" s="9" t="s">
        <v>74</v>
      </c>
      <c r="BD335" s="9" t="s">
        <v>104</v>
      </c>
      <c r="BE335" s="9" t="s">
        <v>75</v>
      </c>
      <c r="BF335" s="11">
        <v>0</v>
      </c>
      <c r="BG335">
        <f t="shared" si="12"/>
        <v>12</v>
      </c>
      <c r="BH335" t="str">
        <f>VLOOKUP(BG335,[1]month!$A:$B,2,0)</f>
        <v>Desember</v>
      </c>
      <c r="BI335">
        <f t="shared" si="13"/>
        <v>2025</v>
      </c>
      <c r="BJ335" t="str">
        <f>VLOOKUP(I335,[1]Dist!$A:$B,2,0)</f>
        <v>Retail</v>
      </c>
      <c r="BK335" t="str">
        <f>IF(I335=11,VLOOKUP(Y335,[2]Sheet1!$C:$N,10,0),IF(I335=13,VLOOKUP(Y335,[3]Sheet1!$C:$N,10,0),IF(I335=15,VLOOKUP(Y335,[4]Sheet1!$C:$N,10,0),"Unknown")))</f>
        <v>COMPLEMENTARY</v>
      </c>
      <c r="BL335" t="str">
        <f>IF(I335=11,VLOOKUP(Y335,[2]Sheet1!$C:$N,12,0),IF(I335=13,VLOOKUP(Y335,[3]Sheet1!$C:$N,12,0),IF(I335=15,VLOOKUP(Y335,[4]Sheet1!$C:$N,12,0),"Unknown")))</f>
        <v>PASTA</v>
      </c>
      <c r="BM335" t="str">
        <f>VLOOKUP(W335,[1]branch!$A:$B,2,0)</f>
        <v>DANANG</v>
      </c>
    </row>
    <row r="336" spans="1:65" x14ac:dyDescent="0.35">
      <c r="A336" s="10">
        <v>45994</v>
      </c>
      <c r="B336" s="9" t="s">
        <v>1201</v>
      </c>
      <c r="C336" s="9" t="s">
        <v>64</v>
      </c>
      <c r="D336" s="9" t="s">
        <v>92</v>
      </c>
      <c r="E336" s="11">
        <v>60</v>
      </c>
      <c r="F336" s="9" t="s">
        <v>93</v>
      </c>
      <c r="G336" s="9" t="s">
        <v>65</v>
      </c>
      <c r="H336" s="9" t="s">
        <v>66</v>
      </c>
      <c r="I336" s="9">
        <v>13</v>
      </c>
      <c r="J336" s="9" t="s">
        <v>309</v>
      </c>
      <c r="K336" s="9" t="s">
        <v>309</v>
      </c>
      <c r="L336" s="9" t="s">
        <v>309</v>
      </c>
      <c r="M336" s="9" t="s">
        <v>310</v>
      </c>
      <c r="N336" s="9" t="s">
        <v>869</v>
      </c>
      <c r="O336" s="9" t="s">
        <v>150</v>
      </c>
      <c r="P336" s="9" t="s">
        <v>67</v>
      </c>
      <c r="Q336" s="9" t="s">
        <v>98</v>
      </c>
      <c r="R336" s="9" t="s">
        <v>309</v>
      </c>
      <c r="S336" s="9" t="s">
        <v>310</v>
      </c>
      <c r="T336" s="9" t="s">
        <v>798</v>
      </c>
      <c r="U336" s="9" t="s">
        <v>67</v>
      </c>
      <c r="V336" s="9" t="s">
        <v>311</v>
      </c>
      <c r="W336" s="9" t="s">
        <v>312</v>
      </c>
      <c r="X336" s="11">
        <v>90</v>
      </c>
      <c r="Y336" s="9" t="s">
        <v>468</v>
      </c>
      <c r="Z336" s="9" t="s">
        <v>68</v>
      </c>
      <c r="AA336" s="9" t="s">
        <v>469</v>
      </c>
      <c r="AB336" s="9" t="s">
        <v>67</v>
      </c>
      <c r="AC336" s="9" t="s">
        <v>346</v>
      </c>
      <c r="AD336" s="11">
        <v>6</v>
      </c>
      <c r="AE336" s="9" t="s">
        <v>70</v>
      </c>
      <c r="AF336" s="9" t="s">
        <v>71</v>
      </c>
      <c r="AG336" s="13">
        <v>1</v>
      </c>
      <c r="AH336" s="9" t="s">
        <v>92</v>
      </c>
      <c r="AI336" s="13">
        <v>810909</v>
      </c>
      <c r="AJ336" s="13">
        <v>4865454</v>
      </c>
      <c r="AK336" s="11">
        <v>895243</v>
      </c>
      <c r="AL336" s="11">
        <v>0</v>
      </c>
      <c r="AM336" s="11">
        <v>0</v>
      </c>
      <c r="AN336" s="9" t="s">
        <v>271</v>
      </c>
      <c r="AO336" s="11">
        <v>3970211</v>
      </c>
      <c r="AP336" s="13">
        <v>317617</v>
      </c>
      <c r="AQ336" s="13">
        <v>4287828</v>
      </c>
      <c r="AR336" s="12">
        <v>20.88</v>
      </c>
      <c r="AS336" s="9" t="s">
        <v>72</v>
      </c>
      <c r="AT336" s="11">
        <v>24</v>
      </c>
      <c r="AU336" s="9" t="s">
        <v>73</v>
      </c>
      <c r="AV336" s="9" t="s">
        <v>67</v>
      </c>
      <c r="AW336" s="9" t="s">
        <v>1196</v>
      </c>
      <c r="AX336" s="10">
        <v>45993</v>
      </c>
      <c r="AY336" s="9" t="s">
        <v>1202</v>
      </c>
      <c r="AZ336" s="9" t="s">
        <v>67</v>
      </c>
      <c r="BA336" s="9" t="s">
        <v>67</v>
      </c>
      <c r="BB336" s="12">
        <v>24</v>
      </c>
      <c r="BC336" s="9" t="s">
        <v>74</v>
      </c>
      <c r="BD336" s="9" t="s">
        <v>104</v>
      </c>
      <c r="BE336" s="9" t="s">
        <v>75</v>
      </c>
      <c r="BF336" s="11">
        <v>0</v>
      </c>
      <c r="BG336">
        <f t="shared" si="12"/>
        <v>12</v>
      </c>
      <c r="BH336" t="str">
        <f>VLOOKUP(BG336,[1]month!$A:$B,2,0)</f>
        <v>Desember</v>
      </c>
      <c r="BI336">
        <f t="shared" si="13"/>
        <v>2025</v>
      </c>
      <c r="BJ336" t="str">
        <f>VLOOKUP(I336,[1]Dist!$A:$B,2,0)</f>
        <v>Retail</v>
      </c>
      <c r="BK336" t="str">
        <f>IF(I336=11,VLOOKUP(Y336,[2]Sheet1!$C:$N,10,0),IF(I336=13,VLOOKUP(Y336,[3]Sheet1!$C:$N,10,0),IF(I336=15,VLOOKUP(Y336,[4]Sheet1!$C:$N,10,0),"Unknown")))</f>
        <v>ULTRAN</v>
      </c>
      <c r="BL336" t="str">
        <f>IF(I336=11,VLOOKUP(Y336,[2]Sheet1!$C:$N,12,0),IF(I336=13,VLOOKUP(Y336,[3]Sheet1!$C:$N,12,0),IF(I336=15,VLOOKUP(Y336,[4]Sheet1!$C:$N,12,0),"Unknown")))</f>
        <v>ULTRAN LASUR</v>
      </c>
      <c r="BM336" t="str">
        <f>VLOOKUP(W336,[1]branch!$A:$B,2,0)</f>
        <v>DANANG</v>
      </c>
    </row>
    <row r="337" spans="1:65" x14ac:dyDescent="0.35">
      <c r="A337" s="10">
        <v>45994</v>
      </c>
      <c r="B337" s="9" t="s">
        <v>1201</v>
      </c>
      <c r="C337" s="9" t="s">
        <v>64</v>
      </c>
      <c r="D337" s="9" t="s">
        <v>92</v>
      </c>
      <c r="E337" s="11">
        <v>60</v>
      </c>
      <c r="F337" s="9" t="s">
        <v>93</v>
      </c>
      <c r="G337" s="9" t="s">
        <v>65</v>
      </c>
      <c r="H337" s="9" t="s">
        <v>66</v>
      </c>
      <c r="I337" s="9">
        <v>13</v>
      </c>
      <c r="J337" s="9" t="s">
        <v>309</v>
      </c>
      <c r="K337" s="9" t="s">
        <v>309</v>
      </c>
      <c r="L337" s="9" t="s">
        <v>309</v>
      </c>
      <c r="M337" s="9" t="s">
        <v>310</v>
      </c>
      <c r="N337" s="9" t="s">
        <v>869</v>
      </c>
      <c r="O337" s="9" t="s">
        <v>150</v>
      </c>
      <c r="P337" s="9" t="s">
        <v>67</v>
      </c>
      <c r="Q337" s="9" t="s">
        <v>98</v>
      </c>
      <c r="R337" s="9" t="s">
        <v>309</v>
      </c>
      <c r="S337" s="9" t="s">
        <v>310</v>
      </c>
      <c r="T337" s="9" t="s">
        <v>798</v>
      </c>
      <c r="U337" s="9" t="s">
        <v>67</v>
      </c>
      <c r="V337" s="9" t="s">
        <v>311</v>
      </c>
      <c r="W337" s="9" t="s">
        <v>312</v>
      </c>
      <c r="X337" s="11">
        <v>110</v>
      </c>
      <c r="Y337" s="9" t="s">
        <v>322</v>
      </c>
      <c r="Z337" s="9" t="s">
        <v>68</v>
      </c>
      <c r="AA337" s="9" t="s">
        <v>323</v>
      </c>
      <c r="AB337" s="9" t="s">
        <v>67</v>
      </c>
      <c r="AC337" s="9" t="s">
        <v>321</v>
      </c>
      <c r="AD337" s="11">
        <v>4</v>
      </c>
      <c r="AE337" s="9" t="s">
        <v>70</v>
      </c>
      <c r="AF337" s="9" t="s">
        <v>71</v>
      </c>
      <c r="AG337" s="13">
        <v>1</v>
      </c>
      <c r="AH337" s="9" t="s">
        <v>92</v>
      </c>
      <c r="AI337" s="13">
        <v>1666364</v>
      </c>
      <c r="AJ337" s="13">
        <v>6665456</v>
      </c>
      <c r="AK337" s="11">
        <v>1226444</v>
      </c>
      <c r="AL337" s="11">
        <v>0</v>
      </c>
      <c r="AM337" s="11">
        <v>0</v>
      </c>
      <c r="AN337" s="9" t="s">
        <v>271</v>
      </c>
      <c r="AO337" s="11">
        <v>5439012</v>
      </c>
      <c r="AP337" s="13">
        <v>435121</v>
      </c>
      <c r="AQ337" s="13">
        <v>5874133</v>
      </c>
      <c r="AR337" s="11">
        <v>64</v>
      </c>
      <c r="AS337" s="9" t="s">
        <v>72</v>
      </c>
      <c r="AT337" s="12">
        <v>61.52</v>
      </c>
      <c r="AU337" s="9" t="s">
        <v>73</v>
      </c>
      <c r="AV337" s="9" t="s">
        <v>67</v>
      </c>
      <c r="AW337" s="9" t="s">
        <v>1196</v>
      </c>
      <c r="AX337" s="10">
        <v>45993</v>
      </c>
      <c r="AY337" s="9" t="s">
        <v>1202</v>
      </c>
      <c r="AZ337" s="9" t="s">
        <v>67</v>
      </c>
      <c r="BA337" s="9" t="s">
        <v>67</v>
      </c>
      <c r="BB337" s="12">
        <v>64</v>
      </c>
      <c r="BC337" s="9" t="s">
        <v>74</v>
      </c>
      <c r="BD337" s="9" t="s">
        <v>104</v>
      </c>
      <c r="BE337" s="9" t="s">
        <v>75</v>
      </c>
      <c r="BF337" s="11">
        <v>0</v>
      </c>
      <c r="BG337">
        <f t="shared" si="12"/>
        <v>12</v>
      </c>
      <c r="BH337" t="str">
        <f>VLOOKUP(BG337,[1]month!$A:$B,2,0)</f>
        <v>Desember</v>
      </c>
      <c r="BI337">
        <f t="shared" si="13"/>
        <v>2025</v>
      </c>
      <c r="BJ337" t="str">
        <f>VLOOKUP(I337,[1]Dist!$A:$B,2,0)</f>
        <v>Retail</v>
      </c>
      <c r="BK337" t="str">
        <f>IF(I337=11,VLOOKUP(Y337,[2]Sheet1!$C:$N,10,0),IF(I337=13,VLOOKUP(Y337,[3]Sheet1!$C:$N,10,0),IF(I337=15,VLOOKUP(Y337,[4]Sheet1!$C:$N,10,0),"Unknown")))</f>
        <v>PU EASY TO USE</v>
      </c>
      <c r="BL337" t="str">
        <f>IF(I337=11,VLOOKUP(Y337,[2]Sheet1!$C:$N,12,0),IF(I337=13,VLOOKUP(Y337,[3]Sheet1!$C:$N,12,0),IF(I337=15,VLOOKUP(Y337,[4]Sheet1!$C:$N,12,0),"Unknown")))</f>
        <v>PROPAN EASY TO USE PU</v>
      </c>
      <c r="BM337" t="str">
        <f>VLOOKUP(W337,[1]branch!$A:$B,2,0)</f>
        <v>DANANG</v>
      </c>
    </row>
    <row r="338" spans="1:65" x14ac:dyDescent="0.35">
      <c r="A338" s="10">
        <v>45994</v>
      </c>
      <c r="B338" s="9" t="s">
        <v>1203</v>
      </c>
      <c r="C338" s="9" t="s">
        <v>64</v>
      </c>
      <c r="D338" s="9" t="s">
        <v>92</v>
      </c>
      <c r="E338" s="11">
        <v>60</v>
      </c>
      <c r="F338" s="9" t="s">
        <v>93</v>
      </c>
      <c r="G338" s="9" t="s">
        <v>65</v>
      </c>
      <c r="H338" s="9" t="s">
        <v>66</v>
      </c>
      <c r="I338" s="9">
        <v>13</v>
      </c>
      <c r="J338" s="9" t="s">
        <v>264</v>
      </c>
      <c r="K338" s="9" t="s">
        <v>264</v>
      </c>
      <c r="L338" s="9" t="s">
        <v>264</v>
      </c>
      <c r="M338" s="9" t="s">
        <v>265</v>
      </c>
      <c r="N338" s="9" t="s">
        <v>881</v>
      </c>
      <c r="O338" s="9" t="s">
        <v>150</v>
      </c>
      <c r="P338" s="9" t="s">
        <v>67</v>
      </c>
      <c r="Q338" s="9" t="s">
        <v>98</v>
      </c>
      <c r="R338" s="9" t="s">
        <v>264</v>
      </c>
      <c r="S338" s="9" t="s">
        <v>265</v>
      </c>
      <c r="T338" s="9" t="s">
        <v>799</v>
      </c>
      <c r="U338" s="9" t="s">
        <v>67</v>
      </c>
      <c r="V338" s="9" t="s">
        <v>266</v>
      </c>
      <c r="W338" s="9" t="s">
        <v>267</v>
      </c>
      <c r="X338" s="11">
        <v>10</v>
      </c>
      <c r="Y338" s="9" t="s">
        <v>485</v>
      </c>
      <c r="Z338" s="9" t="s">
        <v>76</v>
      </c>
      <c r="AA338" s="9" t="s">
        <v>486</v>
      </c>
      <c r="AB338" s="9" t="s">
        <v>67</v>
      </c>
      <c r="AC338" s="9" t="s">
        <v>487</v>
      </c>
      <c r="AD338" s="11">
        <v>2</v>
      </c>
      <c r="AE338" s="9" t="s">
        <v>70</v>
      </c>
      <c r="AF338" s="9" t="s">
        <v>71</v>
      </c>
      <c r="AG338" s="13">
        <v>1</v>
      </c>
      <c r="AH338" s="9" t="s">
        <v>92</v>
      </c>
      <c r="AI338" s="13">
        <v>1767273</v>
      </c>
      <c r="AJ338" s="13">
        <v>3534546</v>
      </c>
      <c r="AK338" s="11">
        <v>740487</v>
      </c>
      <c r="AL338" s="11">
        <v>0</v>
      </c>
      <c r="AM338" s="11">
        <v>0</v>
      </c>
      <c r="AN338" s="9" t="s">
        <v>693</v>
      </c>
      <c r="AO338" s="11">
        <v>2794059</v>
      </c>
      <c r="AP338" s="13">
        <v>223525</v>
      </c>
      <c r="AQ338" s="13">
        <v>3017584</v>
      </c>
      <c r="AR338" s="11">
        <v>40</v>
      </c>
      <c r="AS338" s="9" t="s">
        <v>72</v>
      </c>
      <c r="AT338" s="12">
        <v>28.78</v>
      </c>
      <c r="AU338" s="9" t="s">
        <v>73</v>
      </c>
      <c r="AV338" s="9" t="s">
        <v>67</v>
      </c>
      <c r="AW338" s="9" t="s">
        <v>1204</v>
      </c>
      <c r="AX338" s="10">
        <v>45993</v>
      </c>
      <c r="AY338" s="9" t="s">
        <v>1205</v>
      </c>
      <c r="AZ338" s="9" t="s">
        <v>67</v>
      </c>
      <c r="BA338" s="9" t="s">
        <v>67</v>
      </c>
      <c r="BB338" s="12">
        <v>40</v>
      </c>
      <c r="BC338" s="9" t="s">
        <v>74</v>
      </c>
      <c r="BD338" s="9" t="s">
        <v>104</v>
      </c>
      <c r="BE338" s="9" t="s">
        <v>75</v>
      </c>
      <c r="BF338" s="11">
        <v>0</v>
      </c>
      <c r="BG338">
        <f t="shared" si="12"/>
        <v>12</v>
      </c>
      <c r="BH338" t="str">
        <f>VLOOKUP(BG338,[1]month!$A:$B,2,0)</f>
        <v>Desember</v>
      </c>
      <c r="BI338">
        <f t="shared" si="13"/>
        <v>2025</v>
      </c>
      <c r="BJ338" t="str">
        <f>VLOOKUP(I338,[1]Dist!$A:$B,2,0)</f>
        <v>Retail</v>
      </c>
      <c r="BK338" t="str">
        <f>IF(I338=11,VLOOKUP(Y338,[2]Sheet1!$C:$N,10,0),IF(I338=13,VLOOKUP(Y338,[3]Sheet1!$C:$N,10,0),IF(I338=15,VLOOKUP(Y338,[4]Sheet1!$C:$N,10,0),"Unknown")))</f>
        <v>WATERPROOFING</v>
      </c>
      <c r="BL338" t="str">
        <f>IF(I338=11,VLOOKUP(Y338,[2]Sheet1!$C:$N,12,0),IF(I338=13,VLOOKUP(Y338,[3]Sheet1!$C:$N,12,0),IF(I338=15,VLOOKUP(Y338,[4]Sheet1!$C:$N,12,0),"Unknown")))</f>
        <v>ULTRAFLEX MEMBRANE</v>
      </c>
      <c r="BM338" t="str">
        <f>VLOOKUP(W338,[1]branch!$A:$B,2,0)</f>
        <v>HO CHI MINH</v>
      </c>
    </row>
    <row r="339" spans="1:65" x14ac:dyDescent="0.35">
      <c r="A339" s="10">
        <v>45994</v>
      </c>
      <c r="B339" s="9" t="s">
        <v>1203</v>
      </c>
      <c r="C339" s="9" t="s">
        <v>64</v>
      </c>
      <c r="D339" s="9" t="s">
        <v>92</v>
      </c>
      <c r="E339" s="11">
        <v>60</v>
      </c>
      <c r="F339" s="9" t="s">
        <v>93</v>
      </c>
      <c r="G339" s="9" t="s">
        <v>65</v>
      </c>
      <c r="H339" s="9" t="s">
        <v>66</v>
      </c>
      <c r="I339" s="9">
        <v>13</v>
      </c>
      <c r="J339" s="9" t="s">
        <v>264</v>
      </c>
      <c r="K339" s="9" t="s">
        <v>264</v>
      </c>
      <c r="L339" s="9" t="s">
        <v>264</v>
      </c>
      <c r="M339" s="9" t="s">
        <v>265</v>
      </c>
      <c r="N339" s="9" t="s">
        <v>881</v>
      </c>
      <c r="O339" s="9" t="s">
        <v>150</v>
      </c>
      <c r="P339" s="9" t="s">
        <v>67</v>
      </c>
      <c r="Q339" s="9" t="s">
        <v>98</v>
      </c>
      <c r="R339" s="9" t="s">
        <v>264</v>
      </c>
      <c r="S339" s="9" t="s">
        <v>265</v>
      </c>
      <c r="T339" s="9" t="s">
        <v>799</v>
      </c>
      <c r="U339" s="9" t="s">
        <v>67</v>
      </c>
      <c r="V339" s="9" t="s">
        <v>266</v>
      </c>
      <c r="W339" s="9" t="s">
        <v>267</v>
      </c>
      <c r="X339" s="11">
        <v>20</v>
      </c>
      <c r="Y339" s="9" t="s">
        <v>540</v>
      </c>
      <c r="Z339" s="9" t="s">
        <v>76</v>
      </c>
      <c r="AA339" s="9" t="s">
        <v>541</v>
      </c>
      <c r="AB339" s="9" t="s">
        <v>67</v>
      </c>
      <c r="AC339" s="9" t="s">
        <v>487</v>
      </c>
      <c r="AD339" s="11">
        <v>2</v>
      </c>
      <c r="AE339" s="9" t="s">
        <v>70</v>
      </c>
      <c r="AF339" s="9" t="s">
        <v>71</v>
      </c>
      <c r="AG339" s="13">
        <v>1</v>
      </c>
      <c r="AH339" s="9" t="s">
        <v>92</v>
      </c>
      <c r="AI339" s="13">
        <v>388181</v>
      </c>
      <c r="AJ339" s="13">
        <v>776362</v>
      </c>
      <c r="AK339" s="11">
        <v>162648</v>
      </c>
      <c r="AL339" s="11">
        <v>0</v>
      </c>
      <c r="AM339" s="11">
        <v>0</v>
      </c>
      <c r="AN339" s="9" t="s">
        <v>693</v>
      </c>
      <c r="AO339" s="11">
        <v>613714</v>
      </c>
      <c r="AP339" s="13">
        <v>49097</v>
      </c>
      <c r="AQ339" s="13">
        <v>662811</v>
      </c>
      <c r="AR339" s="11">
        <v>8</v>
      </c>
      <c r="AS339" s="9" t="s">
        <v>72</v>
      </c>
      <c r="AT339" s="12">
        <v>5.76</v>
      </c>
      <c r="AU339" s="9" t="s">
        <v>73</v>
      </c>
      <c r="AV339" s="9" t="s">
        <v>67</v>
      </c>
      <c r="AW339" s="9" t="s">
        <v>1204</v>
      </c>
      <c r="AX339" s="10">
        <v>45993</v>
      </c>
      <c r="AY339" s="9" t="s">
        <v>1205</v>
      </c>
      <c r="AZ339" s="9" t="s">
        <v>67</v>
      </c>
      <c r="BA339" s="9" t="s">
        <v>67</v>
      </c>
      <c r="BB339" s="12">
        <v>8</v>
      </c>
      <c r="BC339" s="9" t="s">
        <v>74</v>
      </c>
      <c r="BD339" s="9" t="s">
        <v>104</v>
      </c>
      <c r="BE339" s="9" t="s">
        <v>75</v>
      </c>
      <c r="BF339" s="11">
        <v>0</v>
      </c>
      <c r="BG339">
        <f t="shared" si="12"/>
        <v>12</v>
      </c>
      <c r="BH339" t="str">
        <f>VLOOKUP(BG339,[1]month!$A:$B,2,0)</f>
        <v>Desember</v>
      </c>
      <c r="BI339">
        <f t="shared" si="13"/>
        <v>2025</v>
      </c>
      <c r="BJ339" t="str">
        <f>VLOOKUP(I339,[1]Dist!$A:$B,2,0)</f>
        <v>Retail</v>
      </c>
      <c r="BK339" t="str">
        <f>IF(I339=11,VLOOKUP(Y339,[2]Sheet1!$C:$N,10,0),IF(I339=13,VLOOKUP(Y339,[3]Sheet1!$C:$N,10,0),IF(I339=15,VLOOKUP(Y339,[4]Sheet1!$C:$N,10,0),"Unknown")))</f>
        <v>WATERPROOFING</v>
      </c>
      <c r="BL339" t="str">
        <f>IF(I339=11,VLOOKUP(Y339,[2]Sheet1!$C:$N,12,0),IF(I339=13,VLOOKUP(Y339,[3]Sheet1!$C:$N,12,0),IF(I339=15,VLOOKUP(Y339,[4]Sheet1!$C:$N,12,0),"Unknown")))</f>
        <v>ULTRAFLEX MEMBRANE</v>
      </c>
      <c r="BM339" t="str">
        <f>VLOOKUP(W339,[1]branch!$A:$B,2,0)</f>
        <v>HO CHI MINH</v>
      </c>
    </row>
    <row r="340" spans="1:65" x14ac:dyDescent="0.35">
      <c r="A340" s="10">
        <v>45994</v>
      </c>
      <c r="B340" s="9" t="s">
        <v>1203</v>
      </c>
      <c r="C340" s="9" t="s">
        <v>64</v>
      </c>
      <c r="D340" s="9" t="s">
        <v>92</v>
      </c>
      <c r="E340" s="11">
        <v>60</v>
      </c>
      <c r="F340" s="9" t="s">
        <v>93</v>
      </c>
      <c r="G340" s="9" t="s">
        <v>65</v>
      </c>
      <c r="H340" s="9" t="s">
        <v>66</v>
      </c>
      <c r="I340" s="9">
        <v>13</v>
      </c>
      <c r="J340" s="9" t="s">
        <v>264</v>
      </c>
      <c r="K340" s="9" t="s">
        <v>264</v>
      </c>
      <c r="L340" s="9" t="s">
        <v>264</v>
      </c>
      <c r="M340" s="9" t="s">
        <v>265</v>
      </c>
      <c r="N340" s="9" t="s">
        <v>881</v>
      </c>
      <c r="O340" s="9" t="s">
        <v>150</v>
      </c>
      <c r="P340" s="9" t="s">
        <v>67</v>
      </c>
      <c r="Q340" s="9" t="s">
        <v>98</v>
      </c>
      <c r="R340" s="9" t="s">
        <v>264</v>
      </c>
      <c r="S340" s="9" t="s">
        <v>265</v>
      </c>
      <c r="T340" s="9" t="s">
        <v>799</v>
      </c>
      <c r="U340" s="9" t="s">
        <v>67</v>
      </c>
      <c r="V340" s="9" t="s">
        <v>266</v>
      </c>
      <c r="W340" s="9" t="s">
        <v>267</v>
      </c>
      <c r="X340" s="11">
        <v>30</v>
      </c>
      <c r="Y340" s="9" t="s">
        <v>917</v>
      </c>
      <c r="Z340" s="9" t="s">
        <v>68</v>
      </c>
      <c r="AA340" s="9" t="s">
        <v>918</v>
      </c>
      <c r="AB340" s="9" t="s">
        <v>67</v>
      </c>
      <c r="AC340" s="9" t="s">
        <v>916</v>
      </c>
      <c r="AD340" s="11">
        <v>16</v>
      </c>
      <c r="AE340" s="9" t="s">
        <v>70</v>
      </c>
      <c r="AF340" s="9" t="s">
        <v>71</v>
      </c>
      <c r="AG340" s="13">
        <v>1</v>
      </c>
      <c r="AH340" s="9" t="s">
        <v>92</v>
      </c>
      <c r="AI340" s="13">
        <v>553704</v>
      </c>
      <c r="AJ340" s="13">
        <v>8859264</v>
      </c>
      <c r="AK340" s="11">
        <v>1856016</v>
      </c>
      <c r="AL340" s="11">
        <v>0</v>
      </c>
      <c r="AM340" s="11">
        <v>0</v>
      </c>
      <c r="AN340" s="9" t="s">
        <v>693</v>
      </c>
      <c r="AO340" s="11">
        <v>7003248</v>
      </c>
      <c r="AP340" s="13">
        <v>560260</v>
      </c>
      <c r="AQ340" s="13">
        <v>7563508</v>
      </c>
      <c r="AR340" s="11">
        <v>96</v>
      </c>
      <c r="AS340" s="9" t="s">
        <v>72</v>
      </c>
      <c r="AT340" s="12">
        <v>69.072000000000003</v>
      </c>
      <c r="AU340" s="9" t="s">
        <v>73</v>
      </c>
      <c r="AV340" s="9" t="s">
        <v>67</v>
      </c>
      <c r="AW340" s="9" t="s">
        <v>1204</v>
      </c>
      <c r="AX340" s="10">
        <v>45993</v>
      </c>
      <c r="AY340" s="9" t="s">
        <v>1205</v>
      </c>
      <c r="AZ340" s="9" t="s">
        <v>67</v>
      </c>
      <c r="BA340" s="9" t="s">
        <v>67</v>
      </c>
      <c r="BB340" s="12">
        <v>96</v>
      </c>
      <c r="BC340" s="9" t="s">
        <v>74</v>
      </c>
      <c r="BD340" s="9" t="s">
        <v>104</v>
      </c>
      <c r="BE340" s="9" t="s">
        <v>75</v>
      </c>
      <c r="BF340" s="11">
        <v>0</v>
      </c>
      <c r="BG340">
        <f t="shared" si="12"/>
        <v>12</v>
      </c>
      <c r="BH340" t="str">
        <f>VLOOKUP(BG340,[1]month!$A:$B,2,0)</f>
        <v>Desember</v>
      </c>
      <c r="BI340">
        <f t="shared" si="13"/>
        <v>2025</v>
      </c>
      <c r="BJ340" t="str">
        <f>VLOOKUP(I340,[1]Dist!$A:$B,2,0)</f>
        <v>Retail</v>
      </c>
      <c r="BK340" t="str">
        <f>IF(I340=11,VLOOKUP(Y340,[2]Sheet1!$C:$N,10,0),IF(I340=13,VLOOKUP(Y340,[3]Sheet1!$C:$N,10,0),IF(I340=15,VLOOKUP(Y340,[4]Sheet1!$C:$N,10,0),"Unknown")))</f>
        <v>WATERPROOFING</v>
      </c>
      <c r="BL340" t="str">
        <f>IF(I340=11,VLOOKUP(Y340,[2]Sheet1!$C:$N,12,0),IF(I340=13,VLOOKUP(Y340,[3]Sheet1!$C:$N,12,0),IF(I340=15,VLOOKUP(Y340,[4]Sheet1!$C:$N,12,0),"Unknown")))</f>
        <v>ULTRAFLEX MEMBRANE</v>
      </c>
      <c r="BM340" t="str">
        <f>VLOOKUP(W340,[1]branch!$A:$B,2,0)</f>
        <v>HO CHI MINH</v>
      </c>
    </row>
    <row r="341" spans="1:65" x14ac:dyDescent="0.35">
      <c r="A341" s="10">
        <v>45994</v>
      </c>
      <c r="B341" s="9" t="s">
        <v>1206</v>
      </c>
      <c r="C341" s="9" t="s">
        <v>64</v>
      </c>
      <c r="D341" s="9" t="s">
        <v>92</v>
      </c>
      <c r="E341" s="11">
        <v>60</v>
      </c>
      <c r="F341" s="9" t="s">
        <v>93</v>
      </c>
      <c r="G341" s="9" t="s">
        <v>65</v>
      </c>
      <c r="H341" s="9" t="s">
        <v>66</v>
      </c>
      <c r="I341" s="9">
        <v>13</v>
      </c>
      <c r="J341" s="9" t="s">
        <v>264</v>
      </c>
      <c r="K341" s="9" t="s">
        <v>264</v>
      </c>
      <c r="L341" s="9" t="s">
        <v>264</v>
      </c>
      <c r="M341" s="9" t="s">
        <v>265</v>
      </c>
      <c r="N341" s="9" t="s">
        <v>881</v>
      </c>
      <c r="O341" s="9" t="s">
        <v>150</v>
      </c>
      <c r="P341" s="9" t="s">
        <v>67</v>
      </c>
      <c r="Q341" s="9" t="s">
        <v>98</v>
      </c>
      <c r="R341" s="9" t="s">
        <v>264</v>
      </c>
      <c r="S341" s="9" t="s">
        <v>265</v>
      </c>
      <c r="T341" s="9" t="s">
        <v>799</v>
      </c>
      <c r="U341" s="9" t="s">
        <v>67</v>
      </c>
      <c r="V341" s="9" t="s">
        <v>266</v>
      </c>
      <c r="W341" s="9" t="s">
        <v>267</v>
      </c>
      <c r="X341" s="11">
        <v>70</v>
      </c>
      <c r="Y341" s="9" t="s">
        <v>485</v>
      </c>
      <c r="Z341" s="9" t="s">
        <v>76</v>
      </c>
      <c r="AA341" s="9" t="s">
        <v>486</v>
      </c>
      <c r="AB341" s="9" t="s">
        <v>67</v>
      </c>
      <c r="AC341" s="9" t="s">
        <v>487</v>
      </c>
      <c r="AD341" s="11">
        <v>11</v>
      </c>
      <c r="AE341" s="9" t="s">
        <v>70</v>
      </c>
      <c r="AF341" s="9" t="s">
        <v>71</v>
      </c>
      <c r="AG341" s="13">
        <v>1</v>
      </c>
      <c r="AH341" s="9" t="s">
        <v>92</v>
      </c>
      <c r="AI341" s="13">
        <v>1767273</v>
      </c>
      <c r="AJ341" s="13">
        <v>19440003</v>
      </c>
      <c r="AK341" s="11">
        <v>4072680</v>
      </c>
      <c r="AL341" s="11">
        <v>0</v>
      </c>
      <c r="AM341" s="11">
        <v>0</v>
      </c>
      <c r="AN341" s="9" t="s">
        <v>693</v>
      </c>
      <c r="AO341" s="11">
        <v>15367323</v>
      </c>
      <c r="AP341" s="13">
        <v>1229386</v>
      </c>
      <c r="AQ341" s="13">
        <v>16596709</v>
      </c>
      <c r="AR341" s="11">
        <v>220</v>
      </c>
      <c r="AS341" s="9" t="s">
        <v>72</v>
      </c>
      <c r="AT341" s="12">
        <v>158.29</v>
      </c>
      <c r="AU341" s="9" t="s">
        <v>73</v>
      </c>
      <c r="AV341" s="9" t="s">
        <v>67</v>
      </c>
      <c r="AW341" s="9" t="s">
        <v>938</v>
      </c>
      <c r="AX341" s="10">
        <v>45974</v>
      </c>
      <c r="AY341" s="9" t="s">
        <v>1207</v>
      </c>
      <c r="AZ341" s="9" t="s">
        <v>67</v>
      </c>
      <c r="BA341" s="9" t="s">
        <v>67</v>
      </c>
      <c r="BB341" s="12">
        <v>220</v>
      </c>
      <c r="BC341" s="9" t="s">
        <v>74</v>
      </c>
      <c r="BD341" s="9" t="s">
        <v>104</v>
      </c>
      <c r="BE341" s="9" t="s">
        <v>75</v>
      </c>
      <c r="BF341" s="11">
        <v>0</v>
      </c>
      <c r="BG341">
        <f t="shared" si="12"/>
        <v>12</v>
      </c>
      <c r="BH341" t="str">
        <f>VLOOKUP(BG341,[1]month!$A:$B,2,0)</f>
        <v>Desember</v>
      </c>
      <c r="BI341">
        <f t="shared" si="13"/>
        <v>2025</v>
      </c>
      <c r="BJ341" t="str">
        <f>VLOOKUP(I341,[1]Dist!$A:$B,2,0)</f>
        <v>Retail</v>
      </c>
      <c r="BK341" t="str">
        <f>IF(I341=11,VLOOKUP(Y341,[2]Sheet1!$C:$N,10,0),IF(I341=13,VLOOKUP(Y341,[3]Sheet1!$C:$N,10,0),IF(I341=15,VLOOKUP(Y341,[4]Sheet1!$C:$N,10,0),"Unknown")))</f>
        <v>WATERPROOFING</v>
      </c>
      <c r="BL341" t="str">
        <f>IF(I341=11,VLOOKUP(Y341,[2]Sheet1!$C:$N,12,0),IF(I341=13,VLOOKUP(Y341,[3]Sheet1!$C:$N,12,0),IF(I341=15,VLOOKUP(Y341,[4]Sheet1!$C:$N,12,0),"Unknown")))</f>
        <v>ULTRAFLEX MEMBRANE</v>
      </c>
      <c r="BM341" t="str">
        <f>VLOOKUP(W341,[1]branch!$A:$B,2,0)</f>
        <v>HO CHI MINH</v>
      </c>
    </row>
    <row r="342" spans="1:65" x14ac:dyDescent="0.35">
      <c r="A342" s="10">
        <v>45994</v>
      </c>
      <c r="B342" s="9" t="s">
        <v>1208</v>
      </c>
      <c r="C342" s="9" t="s">
        <v>64</v>
      </c>
      <c r="D342" s="9" t="s">
        <v>92</v>
      </c>
      <c r="E342" s="11">
        <v>60</v>
      </c>
      <c r="F342" s="9" t="s">
        <v>93</v>
      </c>
      <c r="G342" s="9" t="s">
        <v>65</v>
      </c>
      <c r="H342" s="9" t="s">
        <v>66</v>
      </c>
      <c r="I342" s="9">
        <v>13</v>
      </c>
      <c r="J342" s="9" t="s">
        <v>264</v>
      </c>
      <c r="K342" s="9" t="s">
        <v>264</v>
      </c>
      <c r="L342" s="9" t="s">
        <v>264</v>
      </c>
      <c r="M342" s="9" t="s">
        <v>265</v>
      </c>
      <c r="N342" s="9" t="s">
        <v>881</v>
      </c>
      <c r="O342" s="9" t="s">
        <v>150</v>
      </c>
      <c r="P342" s="9" t="s">
        <v>67</v>
      </c>
      <c r="Q342" s="9" t="s">
        <v>98</v>
      </c>
      <c r="R342" s="9" t="s">
        <v>264</v>
      </c>
      <c r="S342" s="9" t="s">
        <v>265</v>
      </c>
      <c r="T342" s="9" t="s">
        <v>799</v>
      </c>
      <c r="U342" s="9" t="s">
        <v>67</v>
      </c>
      <c r="V342" s="9" t="s">
        <v>266</v>
      </c>
      <c r="W342" s="9" t="s">
        <v>267</v>
      </c>
      <c r="X342" s="11">
        <v>30</v>
      </c>
      <c r="Y342" s="9" t="s">
        <v>917</v>
      </c>
      <c r="Z342" s="9" t="s">
        <v>68</v>
      </c>
      <c r="AA342" s="9" t="s">
        <v>918</v>
      </c>
      <c r="AB342" s="9" t="s">
        <v>67</v>
      </c>
      <c r="AC342" s="9" t="s">
        <v>916</v>
      </c>
      <c r="AD342" s="11">
        <v>20</v>
      </c>
      <c r="AE342" s="9" t="s">
        <v>70</v>
      </c>
      <c r="AF342" s="9" t="s">
        <v>71</v>
      </c>
      <c r="AG342" s="13">
        <v>1</v>
      </c>
      <c r="AH342" s="9" t="s">
        <v>92</v>
      </c>
      <c r="AI342" s="13">
        <v>553704</v>
      </c>
      <c r="AJ342" s="13">
        <v>11074080</v>
      </c>
      <c r="AK342" s="11">
        <v>2320020</v>
      </c>
      <c r="AL342" s="11">
        <v>0</v>
      </c>
      <c r="AM342" s="11">
        <v>0</v>
      </c>
      <c r="AN342" s="9" t="s">
        <v>693</v>
      </c>
      <c r="AO342" s="11">
        <v>8754060</v>
      </c>
      <c r="AP342" s="13">
        <v>700325</v>
      </c>
      <c r="AQ342" s="13">
        <v>9454385</v>
      </c>
      <c r="AR342" s="11">
        <v>120</v>
      </c>
      <c r="AS342" s="9" t="s">
        <v>72</v>
      </c>
      <c r="AT342" s="12">
        <v>86.34</v>
      </c>
      <c r="AU342" s="9" t="s">
        <v>73</v>
      </c>
      <c r="AV342" s="9" t="s">
        <v>67</v>
      </c>
      <c r="AW342" s="9" t="s">
        <v>950</v>
      </c>
      <c r="AX342" s="10">
        <v>45986</v>
      </c>
      <c r="AY342" s="9" t="s">
        <v>1209</v>
      </c>
      <c r="AZ342" s="9" t="s">
        <v>67</v>
      </c>
      <c r="BA342" s="9" t="s">
        <v>67</v>
      </c>
      <c r="BB342" s="12">
        <v>120</v>
      </c>
      <c r="BC342" s="9" t="s">
        <v>74</v>
      </c>
      <c r="BD342" s="9" t="s">
        <v>104</v>
      </c>
      <c r="BE342" s="9" t="s">
        <v>75</v>
      </c>
      <c r="BF342" s="11">
        <v>0</v>
      </c>
      <c r="BG342">
        <f t="shared" si="12"/>
        <v>12</v>
      </c>
      <c r="BH342" t="str">
        <f>VLOOKUP(BG342,[1]month!$A:$B,2,0)</f>
        <v>Desember</v>
      </c>
      <c r="BI342">
        <f t="shared" si="13"/>
        <v>2025</v>
      </c>
      <c r="BJ342" t="str">
        <f>VLOOKUP(I342,[1]Dist!$A:$B,2,0)</f>
        <v>Retail</v>
      </c>
      <c r="BK342" t="str">
        <f>IF(I342=11,VLOOKUP(Y342,[2]Sheet1!$C:$N,10,0),IF(I342=13,VLOOKUP(Y342,[3]Sheet1!$C:$N,10,0),IF(I342=15,VLOOKUP(Y342,[4]Sheet1!$C:$N,10,0),"Unknown")))</f>
        <v>WATERPROOFING</v>
      </c>
      <c r="BL342" t="str">
        <f>IF(I342=11,VLOOKUP(Y342,[2]Sheet1!$C:$N,12,0),IF(I342=13,VLOOKUP(Y342,[3]Sheet1!$C:$N,12,0),IF(I342=15,VLOOKUP(Y342,[4]Sheet1!$C:$N,12,0),"Unknown")))</f>
        <v>ULTRAFLEX MEMBRANE</v>
      </c>
      <c r="BM342" t="str">
        <f>VLOOKUP(W342,[1]branch!$A:$B,2,0)</f>
        <v>HO CHI MINH</v>
      </c>
    </row>
    <row r="343" spans="1:65" x14ac:dyDescent="0.35">
      <c r="A343" s="10">
        <v>45994</v>
      </c>
      <c r="B343" s="9" t="s">
        <v>1210</v>
      </c>
      <c r="C343" s="9" t="s">
        <v>64</v>
      </c>
      <c r="D343" s="9" t="s">
        <v>92</v>
      </c>
      <c r="E343" s="11">
        <v>60</v>
      </c>
      <c r="F343" s="9" t="s">
        <v>93</v>
      </c>
      <c r="G343" s="9" t="s">
        <v>65</v>
      </c>
      <c r="H343" s="9" t="s">
        <v>66</v>
      </c>
      <c r="I343" s="9">
        <v>13</v>
      </c>
      <c r="J343" s="9" t="s">
        <v>264</v>
      </c>
      <c r="K343" s="9" t="s">
        <v>264</v>
      </c>
      <c r="L343" s="9" t="s">
        <v>264</v>
      </c>
      <c r="M343" s="9" t="s">
        <v>265</v>
      </c>
      <c r="N343" s="9" t="s">
        <v>881</v>
      </c>
      <c r="O343" s="9" t="s">
        <v>150</v>
      </c>
      <c r="P343" s="9" t="s">
        <v>67</v>
      </c>
      <c r="Q343" s="9" t="s">
        <v>98</v>
      </c>
      <c r="R343" s="9" t="s">
        <v>264</v>
      </c>
      <c r="S343" s="9" t="s">
        <v>265</v>
      </c>
      <c r="T343" s="9" t="s">
        <v>799</v>
      </c>
      <c r="U343" s="9" t="s">
        <v>67</v>
      </c>
      <c r="V343" s="9" t="s">
        <v>266</v>
      </c>
      <c r="W343" s="9" t="s">
        <v>267</v>
      </c>
      <c r="X343" s="11">
        <v>10</v>
      </c>
      <c r="Y343" s="9" t="s">
        <v>423</v>
      </c>
      <c r="Z343" s="9" t="s">
        <v>68</v>
      </c>
      <c r="AA343" s="9" t="s">
        <v>424</v>
      </c>
      <c r="AB343" s="9" t="s">
        <v>67</v>
      </c>
      <c r="AC343" s="9" t="s">
        <v>270</v>
      </c>
      <c r="AD343" s="11">
        <v>48</v>
      </c>
      <c r="AE343" s="9" t="s">
        <v>70</v>
      </c>
      <c r="AF343" s="9" t="s">
        <v>71</v>
      </c>
      <c r="AG343" s="13">
        <v>1</v>
      </c>
      <c r="AH343" s="9" t="s">
        <v>92</v>
      </c>
      <c r="AI343" s="13">
        <v>77273</v>
      </c>
      <c r="AJ343" s="13">
        <v>3709104</v>
      </c>
      <c r="AK343" s="11">
        <v>682476</v>
      </c>
      <c r="AL343" s="11">
        <v>0</v>
      </c>
      <c r="AM343" s="11">
        <v>0</v>
      </c>
      <c r="AN343" s="9" t="s">
        <v>271</v>
      </c>
      <c r="AO343" s="11">
        <v>3026628</v>
      </c>
      <c r="AP343" s="13">
        <v>242130</v>
      </c>
      <c r="AQ343" s="13">
        <v>3268758</v>
      </c>
      <c r="AR343" s="12">
        <v>35.712000000000003</v>
      </c>
      <c r="AS343" s="9" t="s">
        <v>72</v>
      </c>
      <c r="AT343" s="12">
        <v>38.4</v>
      </c>
      <c r="AU343" s="9" t="s">
        <v>73</v>
      </c>
      <c r="AV343" s="9" t="s">
        <v>67</v>
      </c>
      <c r="AW343" s="9" t="s">
        <v>1121</v>
      </c>
      <c r="AX343" s="10">
        <v>45992</v>
      </c>
      <c r="AY343" s="9" t="s">
        <v>1211</v>
      </c>
      <c r="AZ343" s="9" t="s">
        <v>67</v>
      </c>
      <c r="BA343" s="9" t="s">
        <v>67</v>
      </c>
      <c r="BB343" s="12">
        <v>38.4</v>
      </c>
      <c r="BC343" s="9" t="s">
        <v>74</v>
      </c>
      <c r="BD343" s="9" t="s">
        <v>104</v>
      </c>
      <c r="BE343" s="9" t="s">
        <v>75</v>
      </c>
      <c r="BF343" s="11">
        <v>0</v>
      </c>
      <c r="BG343">
        <f t="shared" si="12"/>
        <v>12</v>
      </c>
      <c r="BH343" t="str">
        <f>VLOOKUP(BG343,[1]month!$A:$B,2,0)</f>
        <v>Desember</v>
      </c>
      <c r="BI343">
        <f t="shared" si="13"/>
        <v>2025</v>
      </c>
      <c r="BJ343" t="str">
        <f>VLOOKUP(I343,[1]Dist!$A:$B,2,0)</f>
        <v>Retail</v>
      </c>
      <c r="BK343" t="str">
        <f>IF(I343=11,VLOOKUP(Y343,[2]Sheet1!$C:$N,10,0),IF(I343=13,VLOOKUP(Y343,[3]Sheet1!$C:$N,10,0),IF(I343=15,VLOOKUP(Y343,[4]Sheet1!$C:$N,10,0),"Unknown")))</f>
        <v>ULTRAN</v>
      </c>
      <c r="BL343" t="str">
        <f>IF(I343=11,VLOOKUP(Y343,[2]Sheet1!$C:$N,12,0),IF(I343=13,VLOOKUP(Y343,[3]Sheet1!$C:$N,12,0),IF(I343=15,VLOOKUP(Y343,[4]Sheet1!$C:$N,12,0),"Unknown")))</f>
        <v>ULTRAN VERNIS</v>
      </c>
      <c r="BM343" t="str">
        <f>VLOOKUP(W343,[1]branch!$A:$B,2,0)</f>
        <v>HO CHI MINH</v>
      </c>
    </row>
    <row r="344" spans="1:65" x14ac:dyDescent="0.35">
      <c r="A344" s="10">
        <v>45994</v>
      </c>
      <c r="B344" s="9" t="s">
        <v>1210</v>
      </c>
      <c r="C344" s="9" t="s">
        <v>64</v>
      </c>
      <c r="D344" s="9" t="s">
        <v>92</v>
      </c>
      <c r="E344" s="11">
        <v>60</v>
      </c>
      <c r="F344" s="9" t="s">
        <v>93</v>
      </c>
      <c r="G344" s="9" t="s">
        <v>65</v>
      </c>
      <c r="H344" s="9" t="s">
        <v>66</v>
      </c>
      <c r="I344" s="9">
        <v>13</v>
      </c>
      <c r="J344" s="9" t="s">
        <v>264</v>
      </c>
      <c r="K344" s="9" t="s">
        <v>264</v>
      </c>
      <c r="L344" s="9" t="s">
        <v>264</v>
      </c>
      <c r="M344" s="9" t="s">
        <v>265</v>
      </c>
      <c r="N344" s="9" t="s">
        <v>881</v>
      </c>
      <c r="O344" s="9" t="s">
        <v>150</v>
      </c>
      <c r="P344" s="9" t="s">
        <v>67</v>
      </c>
      <c r="Q344" s="9" t="s">
        <v>98</v>
      </c>
      <c r="R344" s="9" t="s">
        <v>264</v>
      </c>
      <c r="S344" s="9" t="s">
        <v>265</v>
      </c>
      <c r="T344" s="9" t="s">
        <v>799</v>
      </c>
      <c r="U344" s="9" t="s">
        <v>67</v>
      </c>
      <c r="V344" s="9" t="s">
        <v>266</v>
      </c>
      <c r="W344" s="9" t="s">
        <v>267</v>
      </c>
      <c r="X344" s="11">
        <v>20</v>
      </c>
      <c r="Y344" s="9" t="s">
        <v>268</v>
      </c>
      <c r="Z344" s="9" t="s">
        <v>68</v>
      </c>
      <c r="AA344" s="9" t="s">
        <v>269</v>
      </c>
      <c r="AB344" s="9" t="s">
        <v>67</v>
      </c>
      <c r="AC344" s="9" t="s">
        <v>270</v>
      </c>
      <c r="AD344" s="11">
        <v>120</v>
      </c>
      <c r="AE344" s="9" t="s">
        <v>70</v>
      </c>
      <c r="AF344" s="9" t="s">
        <v>71</v>
      </c>
      <c r="AG344" s="13">
        <v>1</v>
      </c>
      <c r="AH344" s="9" t="s">
        <v>92</v>
      </c>
      <c r="AI344" s="13">
        <v>77273</v>
      </c>
      <c r="AJ344" s="13">
        <v>9272760</v>
      </c>
      <c r="AK344" s="11">
        <v>1706187</v>
      </c>
      <c r="AL344" s="11">
        <v>0</v>
      </c>
      <c r="AM344" s="11">
        <v>0</v>
      </c>
      <c r="AN344" s="9" t="s">
        <v>271</v>
      </c>
      <c r="AO344" s="11">
        <v>7566573</v>
      </c>
      <c r="AP344" s="13">
        <v>605326</v>
      </c>
      <c r="AQ344" s="13">
        <v>8171899</v>
      </c>
      <c r="AR344" s="12">
        <v>79.680000000000007</v>
      </c>
      <c r="AS344" s="9" t="s">
        <v>72</v>
      </c>
      <c r="AT344" s="11">
        <v>96</v>
      </c>
      <c r="AU344" s="9" t="s">
        <v>73</v>
      </c>
      <c r="AV344" s="9" t="s">
        <v>67</v>
      </c>
      <c r="AW344" s="9" t="s">
        <v>1121</v>
      </c>
      <c r="AX344" s="10">
        <v>45992</v>
      </c>
      <c r="AY344" s="9" t="s">
        <v>1211</v>
      </c>
      <c r="AZ344" s="9" t="s">
        <v>67</v>
      </c>
      <c r="BA344" s="9" t="s">
        <v>67</v>
      </c>
      <c r="BB344" s="12">
        <v>96</v>
      </c>
      <c r="BC344" s="9" t="s">
        <v>74</v>
      </c>
      <c r="BD344" s="9" t="s">
        <v>104</v>
      </c>
      <c r="BE344" s="9" t="s">
        <v>75</v>
      </c>
      <c r="BF344" s="11">
        <v>0</v>
      </c>
      <c r="BG344">
        <f t="shared" si="12"/>
        <v>12</v>
      </c>
      <c r="BH344" t="str">
        <f>VLOOKUP(BG344,[1]month!$A:$B,2,0)</f>
        <v>Desember</v>
      </c>
      <c r="BI344">
        <f t="shared" si="13"/>
        <v>2025</v>
      </c>
      <c r="BJ344" t="str">
        <f>VLOOKUP(I344,[1]Dist!$A:$B,2,0)</f>
        <v>Retail</v>
      </c>
      <c r="BK344" t="str">
        <f>IF(I344=11,VLOOKUP(Y344,[2]Sheet1!$C:$N,10,0),IF(I344=13,VLOOKUP(Y344,[3]Sheet1!$C:$N,10,0),IF(I344=15,VLOOKUP(Y344,[4]Sheet1!$C:$N,10,0),"Unknown")))</f>
        <v>ULTRAN</v>
      </c>
      <c r="BL344" t="str">
        <f>IF(I344=11,VLOOKUP(Y344,[2]Sheet1!$C:$N,12,0),IF(I344=13,VLOOKUP(Y344,[3]Sheet1!$C:$N,12,0),IF(I344=15,VLOOKUP(Y344,[4]Sheet1!$C:$N,12,0),"Unknown")))</f>
        <v>ULTRAN VERNIS</v>
      </c>
      <c r="BM344" t="str">
        <f>VLOOKUP(W344,[1]branch!$A:$B,2,0)</f>
        <v>HO CHI MINH</v>
      </c>
    </row>
    <row r="345" spans="1:65" x14ac:dyDescent="0.35">
      <c r="A345" s="10">
        <v>45994</v>
      </c>
      <c r="B345" s="9" t="s">
        <v>1212</v>
      </c>
      <c r="C345" s="9" t="s">
        <v>64</v>
      </c>
      <c r="D345" s="9" t="s">
        <v>92</v>
      </c>
      <c r="E345" s="11">
        <v>0</v>
      </c>
      <c r="F345" s="9" t="s">
        <v>93</v>
      </c>
      <c r="G345" s="9" t="s">
        <v>65</v>
      </c>
      <c r="H345" s="9" t="s">
        <v>66</v>
      </c>
      <c r="I345" s="9">
        <v>13</v>
      </c>
      <c r="J345" s="9" t="s">
        <v>696</v>
      </c>
      <c r="K345" s="9" t="s">
        <v>696</v>
      </c>
      <c r="L345" s="9" t="s">
        <v>696</v>
      </c>
      <c r="M345" s="9" t="s">
        <v>697</v>
      </c>
      <c r="N345" s="9" t="s">
        <v>892</v>
      </c>
      <c r="O345" s="9" t="s">
        <v>302</v>
      </c>
      <c r="P345" s="9" t="s">
        <v>67</v>
      </c>
      <c r="Q345" s="9" t="s">
        <v>98</v>
      </c>
      <c r="R345" s="9" t="s">
        <v>696</v>
      </c>
      <c r="S345" s="9" t="s">
        <v>697</v>
      </c>
      <c r="T345" s="9" t="s">
        <v>893</v>
      </c>
      <c r="U345" s="9" t="s">
        <v>67</v>
      </c>
      <c r="V345" s="9" t="s">
        <v>151</v>
      </c>
      <c r="W345" s="9" t="s">
        <v>152</v>
      </c>
      <c r="X345" s="11">
        <v>10</v>
      </c>
      <c r="Y345" s="9" t="s">
        <v>618</v>
      </c>
      <c r="Z345" s="9" t="s">
        <v>68</v>
      </c>
      <c r="AA345" s="9" t="s">
        <v>619</v>
      </c>
      <c r="AB345" s="9" t="s">
        <v>67</v>
      </c>
      <c r="AC345" s="9" t="s">
        <v>389</v>
      </c>
      <c r="AD345" s="11">
        <v>92</v>
      </c>
      <c r="AE345" s="9" t="s">
        <v>70</v>
      </c>
      <c r="AF345" s="9" t="s">
        <v>71</v>
      </c>
      <c r="AG345" s="13">
        <v>1</v>
      </c>
      <c r="AH345" s="9" t="s">
        <v>92</v>
      </c>
      <c r="AI345" s="13">
        <v>846364</v>
      </c>
      <c r="AJ345" s="13">
        <v>77865488</v>
      </c>
      <c r="AK345" s="11">
        <v>12769940</v>
      </c>
      <c r="AL345" s="11">
        <v>0</v>
      </c>
      <c r="AM345" s="11">
        <v>0</v>
      </c>
      <c r="AN345" s="9" t="s">
        <v>643</v>
      </c>
      <c r="AO345" s="11">
        <v>65095548</v>
      </c>
      <c r="AP345" s="13">
        <v>5207643</v>
      </c>
      <c r="AQ345" s="13">
        <v>70303191</v>
      </c>
      <c r="AR345" s="12">
        <v>316.48</v>
      </c>
      <c r="AS345" s="9" t="s">
        <v>72</v>
      </c>
      <c r="AT345" s="11">
        <v>368</v>
      </c>
      <c r="AU345" s="9" t="s">
        <v>73</v>
      </c>
      <c r="AV345" s="9" t="s">
        <v>67</v>
      </c>
      <c r="AW345" s="9" t="s">
        <v>1213</v>
      </c>
      <c r="AX345" s="10">
        <v>45986</v>
      </c>
      <c r="AY345" s="9" t="s">
        <v>1214</v>
      </c>
      <c r="AZ345" s="9" t="s">
        <v>67</v>
      </c>
      <c r="BA345" s="9" t="s">
        <v>67</v>
      </c>
      <c r="BB345" s="12">
        <v>368</v>
      </c>
      <c r="BC345" s="9" t="s">
        <v>74</v>
      </c>
      <c r="BD345" s="9" t="s">
        <v>104</v>
      </c>
      <c r="BE345" s="9" t="s">
        <v>75</v>
      </c>
      <c r="BF345" s="11">
        <v>0</v>
      </c>
      <c r="BG345">
        <f t="shared" si="12"/>
        <v>12</v>
      </c>
      <c r="BH345" t="str">
        <f>VLOOKUP(BG345,[1]month!$A:$B,2,0)</f>
        <v>Desember</v>
      </c>
      <c r="BI345">
        <f t="shared" si="13"/>
        <v>2025</v>
      </c>
      <c r="BJ345" t="str">
        <f>VLOOKUP(I345,[1]Dist!$A:$B,2,0)</f>
        <v>Retail</v>
      </c>
      <c r="BK345" t="str">
        <f>IF(I345=11,VLOOKUP(Y345,[2]Sheet1!$C:$N,10,0),IF(I345=13,VLOOKUP(Y345,[3]Sheet1!$C:$N,10,0),IF(I345=15,VLOOKUP(Y345,[4]Sheet1!$C:$N,10,0),"Unknown")))</f>
        <v>ULTRAN</v>
      </c>
      <c r="BL345" t="str">
        <f>IF(I345=11,VLOOKUP(Y345,[2]Sheet1!$C:$N,12,0),IF(I345=13,VLOOKUP(Y345,[3]Sheet1!$C:$N,12,0),IF(I345=15,VLOOKUP(Y345,[4]Sheet1!$C:$N,12,0),"Unknown")))</f>
        <v>ULTRAN LASUR</v>
      </c>
      <c r="BM345" t="str">
        <f>VLOOKUP(W345,[1]branch!$A:$B,2,0)</f>
        <v>HO CHI MINH</v>
      </c>
    </row>
    <row r="346" spans="1:65" x14ac:dyDescent="0.35">
      <c r="A346" s="10">
        <v>45994</v>
      </c>
      <c r="B346" s="9" t="s">
        <v>1212</v>
      </c>
      <c r="C346" s="9" t="s">
        <v>64</v>
      </c>
      <c r="D346" s="9" t="s">
        <v>92</v>
      </c>
      <c r="E346" s="11">
        <v>0</v>
      </c>
      <c r="F346" s="9" t="s">
        <v>93</v>
      </c>
      <c r="G346" s="9" t="s">
        <v>65</v>
      </c>
      <c r="H346" s="9" t="s">
        <v>66</v>
      </c>
      <c r="I346" s="9">
        <v>13</v>
      </c>
      <c r="J346" s="9" t="s">
        <v>696</v>
      </c>
      <c r="K346" s="9" t="s">
        <v>696</v>
      </c>
      <c r="L346" s="9" t="s">
        <v>696</v>
      </c>
      <c r="M346" s="9" t="s">
        <v>697</v>
      </c>
      <c r="N346" s="9" t="s">
        <v>892</v>
      </c>
      <c r="O346" s="9" t="s">
        <v>302</v>
      </c>
      <c r="P346" s="9" t="s">
        <v>67</v>
      </c>
      <c r="Q346" s="9" t="s">
        <v>98</v>
      </c>
      <c r="R346" s="9" t="s">
        <v>696</v>
      </c>
      <c r="S346" s="9" t="s">
        <v>697</v>
      </c>
      <c r="T346" s="9" t="s">
        <v>893</v>
      </c>
      <c r="U346" s="9" t="s">
        <v>67</v>
      </c>
      <c r="V346" s="9" t="s">
        <v>151</v>
      </c>
      <c r="W346" s="9" t="s">
        <v>152</v>
      </c>
      <c r="X346" s="11">
        <v>20</v>
      </c>
      <c r="Y346" s="9" t="s">
        <v>632</v>
      </c>
      <c r="Z346" s="9" t="s">
        <v>68</v>
      </c>
      <c r="AA346" s="9" t="s">
        <v>633</v>
      </c>
      <c r="AB346" s="9" t="s">
        <v>67</v>
      </c>
      <c r="AC346" s="9" t="s">
        <v>389</v>
      </c>
      <c r="AD346" s="11">
        <v>48</v>
      </c>
      <c r="AE346" s="9" t="s">
        <v>70</v>
      </c>
      <c r="AF346" s="9" t="s">
        <v>71</v>
      </c>
      <c r="AG346" s="13">
        <v>1</v>
      </c>
      <c r="AH346" s="9" t="s">
        <v>92</v>
      </c>
      <c r="AI346" s="13">
        <v>846364</v>
      </c>
      <c r="AJ346" s="13">
        <v>40625472</v>
      </c>
      <c r="AK346" s="11">
        <v>6662578</v>
      </c>
      <c r="AL346" s="11">
        <v>0</v>
      </c>
      <c r="AM346" s="11">
        <v>0</v>
      </c>
      <c r="AN346" s="9" t="s">
        <v>643</v>
      </c>
      <c r="AO346" s="11">
        <v>33962894</v>
      </c>
      <c r="AP346" s="13">
        <v>2717032</v>
      </c>
      <c r="AQ346" s="13">
        <v>36679926</v>
      </c>
      <c r="AR346" s="12">
        <v>165.12</v>
      </c>
      <c r="AS346" s="9" t="s">
        <v>72</v>
      </c>
      <c r="AT346" s="11">
        <v>192</v>
      </c>
      <c r="AU346" s="9" t="s">
        <v>73</v>
      </c>
      <c r="AV346" s="9" t="s">
        <v>67</v>
      </c>
      <c r="AW346" s="9" t="s">
        <v>1213</v>
      </c>
      <c r="AX346" s="10">
        <v>45986</v>
      </c>
      <c r="AY346" s="9" t="s">
        <v>1214</v>
      </c>
      <c r="AZ346" s="9" t="s">
        <v>67</v>
      </c>
      <c r="BA346" s="9" t="s">
        <v>67</v>
      </c>
      <c r="BB346" s="12">
        <v>192</v>
      </c>
      <c r="BC346" s="9" t="s">
        <v>74</v>
      </c>
      <c r="BD346" s="9" t="s">
        <v>104</v>
      </c>
      <c r="BE346" s="9" t="s">
        <v>75</v>
      </c>
      <c r="BF346" s="11">
        <v>0</v>
      </c>
      <c r="BG346">
        <f t="shared" si="12"/>
        <v>12</v>
      </c>
      <c r="BH346" t="str">
        <f>VLOOKUP(BG346,[1]month!$A:$B,2,0)</f>
        <v>Desember</v>
      </c>
      <c r="BI346">
        <f t="shared" si="13"/>
        <v>2025</v>
      </c>
      <c r="BJ346" t="str">
        <f>VLOOKUP(I346,[1]Dist!$A:$B,2,0)</f>
        <v>Retail</v>
      </c>
      <c r="BK346" t="str">
        <f>IF(I346=11,VLOOKUP(Y346,[2]Sheet1!$C:$N,10,0),IF(I346=13,VLOOKUP(Y346,[3]Sheet1!$C:$N,10,0),IF(I346=15,VLOOKUP(Y346,[4]Sheet1!$C:$N,10,0),"Unknown")))</f>
        <v>ULTRAN</v>
      </c>
      <c r="BL346" t="str">
        <f>IF(I346=11,VLOOKUP(Y346,[2]Sheet1!$C:$N,12,0),IF(I346=13,VLOOKUP(Y346,[3]Sheet1!$C:$N,12,0),IF(I346=15,VLOOKUP(Y346,[4]Sheet1!$C:$N,12,0),"Unknown")))</f>
        <v>ULTRAN LASUR</v>
      </c>
      <c r="BM346" t="str">
        <f>VLOOKUP(W346,[1]branch!$A:$B,2,0)</f>
        <v>HO CHI MINH</v>
      </c>
    </row>
    <row r="347" spans="1:65" x14ac:dyDescent="0.35">
      <c r="A347" s="10">
        <v>45994</v>
      </c>
      <c r="B347" s="9" t="s">
        <v>1215</v>
      </c>
      <c r="C347" s="9" t="s">
        <v>64</v>
      </c>
      <c r="D347" s="9" t="s">
        <v>92</v>
      </c>
      <c r="E347" s="11">
        <v>30</v>
      </c>
      <c r="F347" s="9" t="s">
        <v>93</v>
      </c>
      <c r="G347" s="9" t="s">
        <v>65</v>
      </c>
      <c r="H347" s="9" t="s">
        <v>66</v>
      </c>
      <c r="I347" s="9">
        <v>11</v>
      </c>
      <c r="J347" s="9" t="s">
        <v>746</v>
      </c>
      <c r="K347" s="9" t="s">
        <v>746</v>
      </c>
      <c r="L347" s="9" t="s">
        <v>746</v>
      </c>
      <c r="M347" s="9" t="s">
        <v>747</v>
      </c>
      <c r="N347" s="9" t="s">
        <v>748</v>
      </c>
      <c r="O347" s="9" t="s">
        <v>97</v>
      </c>
      <c r="P347" s="9" t="s">
        <v>67</v>
      </c>
      <c r="Q347" s="9" t="s">
        <v>98</v>
      </c>
      <c r="R347" s="9" t="s">
        <v>746</v>
      </c>
      <c r="S347" s="9" t="s">
        <v>747</v>
      </c>
      <c r="T347" s="9" t="s">
        <v>835</v>
      </c>
      <c r="U347" s="9" t="s">
        <v>67</v>
      </c>
      <c r="V347" s="9" t="s">
        <v>194</v>
      </c>
      <c r="W347" s="9" t="s">
        <v>195</v>
      </c>
      <c r="X347" s="11">
        <v>110</v>
      </c>
      <c r="Y347" s="9" t="s">
        <v>607</v>
      </c>
      <c r="Z347" s="9" t="s">
        <v>68</v>
      </c>
      <c r="AA347" s="9" t="s">
        <v>608</v>
      </c>
      <c r="AB347" s="9" t="s">
        <v>67</v>
      </c>
      <c r="AC347" s="9" t="s">
        <v>91</v>
      </c>
      <c r="AD347" s="11">
        <v>1</v>
      </c>
      <c r="AE347" s="9" t="s">
        <v>70</v>
      </c>
      <c r="AF347" s="9" t="s">
        <v>71</v>
      </c>
      <c r="AG347" s="13">
        <v>1</v>
      </c>
      <c r="AH347" s="9" t="s">
        <v>92</v>
      </c>
      <c r="AI347" s="13">
        <v>1238400</v>
      </c>
      <c r="AJ347" s="13">
        <v>1238400</v>
      </c>
      <c r="AK347" s="11">
        <v>0</v>
      </c>
      <c r="AL347" s="11">
        <v>0</v>
      </c>
      <c r="AM347" s="11">
        <v>0</v>
      </c>
      <c r="AN347" s="9" t="s">
        <v>67</v>
      </c>
      <c r="AO347" s="11">
        <v>1238400</v>
      </c>
      <c r="AP347" s="13">
        <v>99072</v>
      </c>
      <c r="AQ347" s="13">
        <v>1337472</v>
      </c>
      <c r="AR347" s="11">
        <v>4</v>
      </c>
      <c r="AS347" s="9" t="s">
        <v>72</v>
      </c>
      <c r="AT347" s="12">
        <v>3.13</v>
      </c>
      <c r="AU347" s="9" t="s">
        <v>73</v>
      </c>
      <c r="AV347" s="9" t="s">
        <v>67</v>
      </c>
      <c r="AW347" s="9" t="s">
        <v>1034</v>
      </c>
      <c r="AX347" s="10">
        <v>45989</v>
      </c>
      <c r="AY347" s="9" t="s">
        <v>1216</v>
      </c>
      <c r="AZ347" s="9" t="s">
        <v>67</v>
      </c>
      <c r="BA347" s="9" t="s">
        <v>67</v>
      </c>
      <c r="BB347" s="12">
        <v>4</v>
      </c>
      <c r="BC347" s="9" t="s">
        <v>74</v>
      </c>
      <c r="BD347" s="9" t="s">
        <v>104</v>
      </c>
      <c r="BE347" s="9" t="s">
        <v>75</v>
      </c>
      <c r="BF347" s="11">
        <v>0</v>
      </c>
      <c r="BG347">
        <f t="shared" si="12"/>
        <v>12</v>
      </c>
      <c r="BH347" t="str">
        <f>VLOOKUP(BG347,[1]month!$A:$B,2,0)</f>
        <v>Desember</v>
      </c>
      <c r="BI347">
        <f t="shared" si="13"/>
        <v>2025</v>
      </c>
      <c r="BJ347" t="str">
        <f>VLOOKUP(I347,[1]Dist!$A:$B,2,0)</f>
        <v>Industry</v>
      </c>
      <c r="BK347" t="str">
        <f>IF(I347=11,VLOOKUP(Y347,[2]Sheet1!$C:$N,10,0),IF(I347=13,VLOOKUP(Y347,[3]Sheet1!$C:$N,10,0),IF(I347=15,VLOOKUP(Y347,[4]Sheet1!$C:$N,10,0),"Unknown")))</f>
        <v>COMPLEMENTARY</v>
      </c>
      <c r="BL347" t="str">
        <f>IF(I347=11,VLOOKUP(Y347,[2]Sheet1!$C:$N,12,0),IF(I347=13,VLOOKUP(Y347,[3]Sheet1!$C:$N,12,0),IF(I347=15,VLOOKUP(Y347,[4]Sheet1!$C:$N,12,0),"Unknown")))</f>
        <v>PASTA</v>
      </c>
      <c r="BM347" t="str">
        <f>VLOOKUP(W347,[1]branch!$A:$B,2,0)</f>
        <v>INDUSTRY</v>
      </c>
    </row>
    <row r="348" spans="1:65" x14ac:dyDescent="0.35">
      <c r="A348" s="10">
        <v>45994</v>
      </c>
      <c r="B348" s="9" t="s">
        <v>1217</v>
      </c>
      <c r="C348" s="9" t="s">
        <v>64</v>
      </c>
      <c r="D348" s="9" t="s">
        <v>92</v>
      </c>
      <c r="E348" s="11">
        <v>30</v>
      </c>
      <c r="F348" s="9" t="s">
        <v>93</v>
      </c>
      <c r="G348" s="9" t="s">
        <v>65</v>
      </c>
      <c r="H348" s="9" t="s">
        <v>66</v>
      </c>
      <c r="I348" s="9">
        <v>13</v>
      </c>
      <c r="J348" s="9" t="s">
        <v>710</v>
      </c>
      <c r="K348" s="9" t="s">
        <v>710</v>
      </c>
      <c r="L348" s="9" t="s">
        <v>710</v>
      </c>
      <c r="M348" s="9" t="s">
        <v>711</v>
      </c>
      <c r="N348" s="9" t="s">
        <v>395</v>
      </c>
      <c r="O348" s="9" t="s">
        <v>150</v>
      </c>
      <c r="P348" s="9" t="s">
        <v>67</v>
      </c>
      <c r="Q348" s="9" t="s">
        <v>98</v>
      </c>
      <c r="R348" s="9" t="s">
        <v>710</v>
      </c>
      <c r="S348" s="9" t="s">
        <v>711</v>
      </c>
      <c r="T348" s="9" t="s">
        <v>712</v>
      </c>
      <c r="U348" s="9" t="s">
        <v>67</v>
      </c>
      <c r="V348" s="9" t="s">
        <v>592</v>
      </c>
      <c r="W348" s="9" t="s">
        <v>593</v>
      </c>
      <c r="X348" s="11">
        <v>10</v>
      </c>
      <c r="Y348" s="9" t="s">
        <v>485</v>
      </c>
      <c r="Z348" s="9" t="s">
        <v>76</v>
      </c>
      <c r="AA348" s="9" t="s">
        <v>486</v>
      </c>
      <c r="AB348" s="9" t="s">
        <v>67</v>
      </c>
      <c r="AC348" s="9" t="s">
        <v>487</v>
      </c>
      <c r="AD348" s="11">
        <v>10</v>
      </c>
      <c r="AE348" s="9" t="s">
        <v>70</v>
      </c>
      <c r="AF348" s="9" t="s">
        <v>71</v>
      </c>
      <c r="AG348" s="13">
        <v>1</v>
      </c>
      <c r="AH348" s="9" t="s">
        <v>92</v>
      </c>
      <c r="AI348" s="13">
        <v>1767273</v>
      </c>
      <c r="AJ348" s="13">
        <v>17672730</v>
      </c>
      <c r="AK348" s="11">
        <v>3702437</v>
      </c>
      <c r="AL348" s="11">
        <v>0</v>
      </c>
      <c r="AM348" s="11">
        <v>0</v>
      </c>
      <c r="AN348" s="9" t="s">
        <v>693</v>
      </c>
      <c r="AO348" s="11">
        <v>13970293</v>
      </c>
      <c r="AP348" s="13">
        <v>1117623</v>
      </c>
      <c r="AQ348" s="13">
        <v>15087916</v>
      </c>
      <c r="AR348" s="11">
        <v>200</v>
      </c>
      <c r="AS348" s="9" t="s">
        <v>72</v>
      </c>
      <c r="AT348" s="12">
        <v>143.9</v>
      </c>
      <c r="AU348" s="9" t="s">
        <v>73</v>
      </c>
      <c r="AV348" s="9" t="s">
        <v>67</v>
      </c>
      <c r="AW348" s="9" t="s">
        <v>957</v>
      </c>
      <c r="AX348" s="10">
        <v>45988</v>
      </c>
      <c r="AY348" s="9" t="s">
        <v>1218</v>
      </c>
      <c r="AZ348" s="9" t="s">
        <v>67</v>
      </c>
      <c r="BA348" s="9" t="s">
        <v>67</v>
      </c>
      <c r="BB348" s="12">
        <v>200</v>
      </c>
      <c r="BC348" s="9" t="s">
        <v>74</v>
      </c>
      <c r="BD348" s="9" t="s">
        <v>104</v>
      </c>
      <c r="BE348" s="9" t="s">
        <v>75</v>
      </c>
      <c r="BF348" s="11">
        <v>0</v>
      </c>
      <c r="BG348">
        <f t="shared" si="12"/>
        <v>12</v>
      </c>
      <c r="BH348" t="str">
        <f>VLOOKUP(BG348,[1]month!$A:$B,2,0)</f>
        <v>Desember</v>
      </c>
      <c r="BI348">
        <f t="shared" si="13"/>
        <v>2025</v>
      </c>
      <c r="BJ348" t="str">
        <f>VLOOKUP(I348,[1]Dist!$A:$B,2,0)</f>
        <v>Retail</v>
      </c>
      <c r="BK348" t="str">
        <f>IF(I348=11,VLOOKUP(Y348,[2]Sheet1!$C:$N,10,0),IF(I348=13,VLOOKUP(Y348,[3]Sheet1!$C:$N,10,0),IF(I348=15,VLOOKUP(Y348,[4]Sheet1!$C:$N,10,0),"Unknown")))</f>
        <v>WATERPROOFING</v>
      </c>
      <c r="BL348" t="str">
        <f>IF(I348=11,VLOOKUP(Y348,[2]Sheet1!$C:$N,12,0),IF(I348=13,VLOOKUP(Y348,[3]Sheet1!$C:$N,12,0),IF(I348=15,VLOOKUP(Y348,[4]Sheet1!$C:$N,12,0),"Unknown")))</f>
        <v>ULTRAFLEX MEMBRANE</v>
      </c>
      <c r="BM348" t="str">
        <f>VLOOKUP(W348,[1]branch!$A:$B,2,0)</f>
        <v>HO CHI MINH</v>
      </c>
    </row>
    <row r="349" spans="1:65" x14ac:dyDescent="0.35">
      <c r="A349" s="10">
        <v>45994</v>
      </c>
      <c r="B349" s="9" t="s">
        <v>1219</v>
      </c>
      <c r="C349" s="9" t="s">
        <v>64</v>
      </c>
      <c r="D349" s="9" t="s">
        <v>92</v>
      </c>
      <c r="E349" s="11">
        <v>90</v>
      </c>
      <c r="F349" s="9" t="s">
        <v>93</v>
      </c>
      <c r="G349" s="9" t="s">
        <v>65</v>
      </c>
      <c r="H349" s="9" t="s">
        <v>66</v>
      </c>
      <c r="I349" s="9">
        <v>13</v>
      </c>
      <c r="J349" s="9" t="s">
        <v>766</v>
      </c>
      <c r="K349" s="9" t="s">
        <v>766</v>
      </c>
      <c r="L349" s="9" t="s">
        <v>766</v>
      </c>
      <c r="M349" s="9" t="s">
        <v>767</v>
      </c>
      <c r="N349" s="9" t="s">
        <v>709</v>
      </c>
      <c r="O349" s="9" t="s">
        <v>302</v>
      </c>
      <c r="P349" s="9" t="s">
        <v>67</v>
      </c>
      <c r="Q349" s="9" t="s">
        <v>98</v>
      </c>
      <c r="R349" s="9" t="s">
        <v>766</v>
      </c>
      <c r="S349" s="9" t="s">
        <v>767</v>
      </c>
      <c r="T349" s="9" t="s">
        <v>806</v>
      </c>
      <c r="U349" s="9" t="s">
        <v>67</v>
      </c>
      <c r="V349" s="9" t="s">
        <v>151</v>
      </c>
      <c r="W349" s="9" t="s">
        <v>152</v>
      </c>
      <c r="X349" s="11">
        <v>10</v>
      </c>
      <c r="Y349" s="9" t="s">
        <v>763</v>
      </c>
      <c r="Z349" s="9" t="s">
        <v>76</v>
      </c>
      <c r="AA349" s="9" t="s">
        <v>764</v>
      </c>
      <c r="AB349" s="9" t="s">
        <v>67</v>
      </c>
      <c r="AC349" s="9" t="s">
        <v>765</v>
      </c>
      <c r="AD349" s="11">
        <v>20</v>
      </c>
      <c r="AE349" s="9" t="s">
        <v>70</v>
      </c>
      <c r="AF349" s="9" t="s">
        <v>71</v>
      </c>
      <c r="AG349" s="13">
        <v>1</v>
      </c>
      <c r="AH349" s="9" t="s">
        <v>92</v>
      </c>
      <c r="AI349" s="13">
        <v>950000</v>
      </c>
      <c r="AJ349" s="13">
        <v>19000000</v>
      </c>
      <c r="AK349" s="11">
        <v>4180000</v>
      </c>
      <c r="AL349" s="11">
        <v>0</v>
      </c>
      <c r="AM349" s="11">
        <v>0</v>
      </c>
      <c r="AN349" s="9" t="s">
        <v>784</v>
      </c>
      <c r="AO349" s="11">
        <v>14820000</v>
      </c>
      <c r="AP349" s="13">
        <v>1185600</v>
      </c>
      <c r="AQ349" s="13">
        <v>16005600</v>
      </c>
      <c r="AR349" s="11">
        <v>400</v>
      </c>
      <c r="AS349" s="9" t="s">
        <v>72</v>
      </c>
      <c r="AT349" s="12">
        <v>380.96</v>
      </c>
      <c r="AU349" s="9" t="s">
        <v>73</v>
      </c>
      <c r="AV349" s="9" t="s">
        <v>67</v>
      </c>
      <c r="AW349" s="9" t="s">
        <v>958</v>
      </c>
      <c r="AX349" s="10">
        <v>45988</v>
      </c>
      <c r="AY349" s="9" t="s">
        <v>1220</v>
      </c>
      <c r="AZ349" s="9" t="s">
        <v>67</v>
      </c>
      <c r="BA349" s="9" t="s">
        <v>67</v>
      </c>
      <c r="BB349" s="12">
        <v>400</v>
      </c>
      <c r="BC349" s="9" t="s">
        <v>74</v>
      </c>
      <c r="BD349" s="9" t="s">
        <v>104</v>
      </c>
      <c r="BE349" s="9" t="s">
        <v>75</v>
      </c>
      <c r="BF349" s="11">
        <v>0</v>
      </c>
      <c r="BG349">
        <f t="shared" si="12"/>
        <v>12</v>
      </c>
      <c r="BH349" t="str">
        <f>VLOOKUP(BG349,[1]month!$A:$B,2,0)</f>
        <v>Desember</v>
      </c>
      <c r="BI349">
        <f t="shared" si="13"/>
        <v>2025</v>
      </c>
      <c r="BJ349" t="str">
        <f>VLOOKUP(I349,[1]Dist!$A:$B,2,0)</f>
        <v>Retail</v>
      </c>
      <c r="BK349" t="str">
        <f>IF(I349=11,VLOOKUP(Y349,[2]Sheet1!$C:$N,10,0),IF(I349=13,VLOOKUP(Y349,[3]Sheet1!$C:$N,10,0),IF(I349=15,VLOOKUP(Y349,[4]Sheet1!$C:$N,10,0),"Unknown")))</f>
        <v>POLYFLOOR</v>
      </c>
      <c r="BL349" t="str">
        <f>IF(I349=11,VLOOKUP(Y349,[2]Sheet1!$C:$N,12,0),IF(I349=13,VLOOKUP(Y349,[3]Sheet1!$C:$N,12,0),IF(I349=15,VLOOKUP(Y349,[4]Sheet1!$C:$N,12,0),"Unknown")))</f>
        <v>POLYFLOOR CEMENT</v>
      </c>
      <c r="BM349" t="str">
        <f>VLOOKUP(W349,[1]branch!$A:$B,2,0)</f>
        <v>HO CHI MINH</v>
      </c>
    </row>
    <row r="350" spans="1:65" x14ac:dyDescent="0.35">
      <c r="A350" s="10">
        <v>45994</v>
      </c>
      <c r="B350" s="9" t="s">
        <v>1219</v>
      </c>
      <c r="C350" s="9" t="s">
        <v>64</v>
      </c>
      <c r="D350" s="9" t="s">
        <v>92</v>
      </c>
      <c r="E350" s="11">
        <v>90</v>
      </c>
      <c r="F350" s="9" t="s">
        <v>93</v>
      </c>
      <c r="G350" s="9" t="s">
        <v>65</v>
      </c>
      <c r="H350" s="9" t="s">
        <v>66</v>
      </c>
      <c r="I350" s="9">
        <v>13</v>
      </c>
      <c r="J350" s="9" t="s">
        <v>766</v>
      </c>
      <c r="K350" s="9" t="s">
        <v>766</v>
      </c>
      <c r="L350" s="9" t="s">
        <v>766</v>
      </c>
      <c r="M350" s="9" t="s">
        <v>767</v>
      </c>
      <c r="N350" s="9" t="s">
        <v>709</v>
      </c>
      <c r="O350" s="9" t="s">
        <v>302</v>
      </c>
      <c r="P350" s="9" t="s">
        <v>67</v>
      </c>
      <c r="Q350" s="9" t="s">
        <v>98</v>
      </c>
      <c r="R350" s="9" t="s">
        <v>766</v>
      </c>
      <c r="S350" s="9" t="s">
        <v>767</v>
      </c>
      <c r="T350" s="9" t="s">
        <v>806</v>
      </c>
      <c r="U350" s="9" t="s">
        <v>67</v>
      </c>
      <c r="V350" s="9" t="s">
        <v>151</v>
      </c>
      <c r="W350" s="9" t="s">
        <v>152</v>
      </c>
      <c r="X350" s="11">
        <v>20</v>
      </c>
      <c r="Y350" s="9" t="s">
        <v>908</v>
      </c>
      <c r="Z350" s="9" t="s">
        <v>76</v>
      </c>
      <c r="AA350" s="9" t="s">
        <v>909</v>
      </c>
      <c r="AB350" s="9" t="s">
        <v>67</v>
      </c>
      <c r="AC350" s="9" t="s">
        <v>910</v>
      </c>
      <c r="AD350" s="11">
        <v>20</v>
      </c>
      <c r="AE350" s="9" t="s">
        <v>156</v>
      </c>
      <c r="AF350" s="9" t="s">
        <v>71</v>
      </c>
      <c r="AG350" s="13">
        <v>1</v>
      </c>
      <c r="AH350" s="9" t="s">
        <v>92</v>
      </c>
      <c r="AI350" s="13">
        <v>1574074</v>
      </c>
      <c r="AJ350" s="13">
        <v>31481480</v>
      </c>
      <c r="AK350" s="11">
        <v>6925926</v>
      </c>
      <c r="AL350" s="11">
        <v>0</v>
      </c>
      <c r="AM350" s="11">
        <v>0</v>
      </c>
      <c r="AN350" s="9" t="s">
        <v>784</v>
      </c>
      <c r="AO350" s="11">
        <v>24555554</v>
      </c>
      <c r="AP350" s="13">
        <v>1964445</v>
      </c>
      <c r="AQ350" s="13">
        <v>26519999</v>
      </c>
      <c r="AR350" s="11">
        <v>500</v>
      </c>
      <c r="AS350" s="9" t="s">
        <v>72</v>
      </c>
      <c r="AT350" s="12">
        <v>339.92</v>
      </c>
      <c r="AU350" s="9" t="s">
        <v>73</v>
      </c>
      <c r="AV350" s="9" t="s">
        <v>67</v>
      </c>
      <c r="AW350" s="9" t="s">
        <v>958</v>
      </c>
      <c r="AX350" s="10">
        <v>45988</v>
      </c>
      <c r="AY350" s="9" t="s">
        <v>1220</v>
      </c>
      <c r="AZ350" s="9" t="s">
        <v>67</v>
      </c>
      <c r="BA350" s="9" t="s">
        <v>67</v>
      </c>
      <c r="BB350" s="12">
        <v>500</v>
      </c>
      <c r="BC350" s="9" t="s">
        <v>74</v>
      </c>
      <c r="BD350" s="9" t="s">
        <v>104</v>
      </c>
      <c r="BE350" s="9" t="s">
        <v>75</v>
      </c>
      <c r="BF350" s="11">
        <v>0</v>
      </c>
      <c r="BG350">
        <f t="shared" si="12"/>
        <v>12</v>
      </c>
      <c r="BH350" t="str">
        <f>VLOOKUP(BG350,[1]month!$A:$B,2,0)</f>
        <v>Desember</v>
      </c>
      <c r="BI350">
        <f t="shared" si="13"/>
        <v>2025</v>
      </c>
      <c r="BJ350" t="str">
        <f>VLOOKUP(I350,[1]Dist!$A:$B,2,0)</f>
        <v>Retail</v>
      </c>
      <c r="BK350" t="str">
        <f>IF(I350=11,VLOOKUP(Y350,[2]Sheet1!$C:$N,10,0),IF(I350=13,VLOOKUP(Y350,[3]Sheet1!$C:$N,10,0),IF(I350=15,VLOOKUP(Y350,[4]Sheet1!$C:$N,10,0),"Unknown")))</f>
        <v>TENNOKOTE</v>
      </c>
      <c r="BL350" t="str">
        <f>IF(I350=11,VLOOKUP(Y350,[2]Sheet1!$C:$N,12,0),IF(I350=13,VLOOKUP(Y350,[3]Sheet1!$C:$N,12,0),IF(I350=15,VLOOKUP(Y350,[4]Sheet1!$C:$N,12,0),"Unknown")))</f>
        <v>TENNOKOTE BASE</v>
      </c>
      <c r="BM350" t="str">
        <f>VLOOKUP(W350,[1]branch!$A:$B,2,0)</f>
        <v>HO CHI MINH</v>
      </c>
    </row>
    <row r="351" spans="1:65" x14ac:dyDescent="0.35">
      <c r="A351" s="10">
        <v>45994</v>
      </c>
      <c r="B351" s="9" t="s">
        <v>1219</v>
      </c>
      <c r="C351" s="9" t="s">
        <v>64</v>
      </c>
      <c r="D351" s="9" t="s">
        <v>92</v>
      </c>
      <c r="E351" s="11">
        <v>90</v>
      </c>
      <c r="F351" s="9" t="s">
        <v>93</v>
      </c>
      <c r="G351" s="9" t="s">
        <v>65</v>
      </c>
      <c r="H351" s="9" t="s">
        <v>66</v>
      </c>
      <c r="I351" s="9">
        <v>13</v>
      </c>
      <c r="J351" s="9" t="s">
        <v>766</v>
      </c>
      <c r="K351" s="9" t="s">
        <v>766</v>
      </c>
      <c r="L351" s="9" t="s">
        <v>766</v>
      </c>
      <c r="M351" s="9" t="s">
        <v>767</v>
      </c>
      <c r="N351" s="9" t="s">
        <v>709</v>
      </c>
      <c r="O351" s="9" t="s">
        <v>302</v>
      </c>
      <c r="P351" s="9" t="s">
        <v>67</v>
      </c>
      <c r="Q351" s="9" t="s">
        <v>98</v>
      </c>
      <c r="R351" s="9" t="s">
        <v>766</v>
      </c>
      <c r="S351" s="9" t="s">
        <v>767</v>
      </c>
      <c r="T351" s="9" t="s">
        <v>806</v>
      </c>
      <c r="U351" s="9" t="s">
        <v>67</v>
      </c>
      <c r="V351" s="9" t="s">
        <v>151</v>
      </c>
      <c r="W351" s="9" t="s">
        <v>152</v>
      </c>
      <c r="X351" s="11">
        <v>30</v>
      </c>
      <c r="Y351" s="9" t="s">
        <v>911</v>
      </c>
      <c r="Z351" s="9" t="s">
        <v>76</v>
      </c>
      <c r="AA351" s="9" t="s">
        <v>912</v>
      </c>
      <c r="AB351" s="9" t="s">
        <v>67</v>
      </c>
      <c r="AC351" s="9" t="s">
        <v>910</v>
      </c>
      <c r="AD351" s="11">
        <v>4</v>
      </c>
      <c r="AE351" s="9" t="s">
        <v>156</v>
      </c>
      <c r="AF351" s="9" t="s">
        <v>71</v>
      </c>
      <c r="AG351" s="13">
        <v>1</v>
      </c>
      <c r="AH351" s="9" t="s">
        <v>92</v>
      </c>
      <c r="AI351" s="13">
        <v>339815</v>
      </c>
      <c r="AJ351" s="13">
        <v>1359260</v>
      </c>
      <c r="AK351" s="11">
        <v>299037</v>
      </c>
      <c r="AL351" s="11">
        <v>0</v>
      </c>
      <c r="AM351" s="11">
        <v>0</v>
      </c>
      <c r="AN351" s="9" t="s">
        <v>784</v>
      </c>
      <c r="AO351" s="11">
        <v>1060223</v>
      </c>
      <c r="AP351" s="13">
        <v>84818</v>
      </c>
      <c r="AQ351" s="13">
        <v>1145041</v>
      </c>
      <c r="AR351" s="11">
        <v>20</v>
      </c>
      <c r="AS351" s="9" t="s">
        <v>72</v>
      </c>
      <c r="AT351" s="12">
        <v>13.596</v>
      </c>
      <c r="AU351" s="9" t="s">
        <v>73</v>
      </c>
      <c r="AV351" s="9" t="s">
        <v>67</v>
      </c>
      <c r="AW351" s="9" t="s">
        <v>958</v>
      </c>
      <c r="AX351" s="10">
        <v>45988</v>
      </c>
      <c r="AY351" s="9" t="s">
        <v>1220</v>
      </c>
      <c r="AZ351" s="9" t="s">
        <v>67</v>
      </c>
      <c r="BA351" s="9" t="s">
        <v>67</v>
      </c>
      <c r="BB351" s="12">
        <v>20</v>
      </c>
      <c r="BC351" s="9" t="s">
        <v>74</v>
      </c>
      <c r="BD351" s="9" t="s">
        <v>104</v>
      </c>
      <c r="BE351" s="9" t="s">
        <v>75</v>
      </c>
      <c r="BF351" s="11">
        <v>0</v>
      </c>
      <c r="BG351">
        <f t="shared" si="12"/>
        <v>12</v>
      </c>
      <c r="BH351" t="str">
        <f>VLOOKUP(BG351,[1]month!$A:$B,2,0)</f>
        <v>Desember</v>
      </c>
      <c r="BI351">
        <f t="shared" si="13"/>
        <v>2025</v>
      </c>
      <c r="BJ351" t="str">
        <f>VLOOKUP(I351,[1]Dist!$A:$B,2,0)</f>
        <v>Retail</v>
      </c>
      <c r="BK351" t="str">
        <f>IF(I351=11,VLOOKUP(Y351,[2]Sheet1!$C:$N,10,0),IF(I351=13,VLOOKUP(Y351,[3]Sheet1!$C:$N,10,0),IF(I351=15,VLOOKUP(Y351,[4]Sheet1!$C:$N,10,0),"Unknown")))</f>
        <v>TENNOKOTE</v>
      </c>
      <c r="BL351" t="str">
        <f>IF(I351=11,VLOOKUP(Y351,[2]Sheet1!$C:$N,12,0),IF(I351=13,VLOOKUP(Y351,[3]Sheet1!$C:$N,12,0),IF(I351=15,VLOOKUP(Y351,[4]Sheet1!$C:$N,12,0),"Unknown")))</f>
        <v>TENNOKOTE BASE</v>
      </c>
      <c r="BM351" t="str">
        <f>VLOOKUP(W351,[1]branch!$A:$B,2,0)</f>
        <v>HO CHI MINH</v>
      </c>
    </row>
    <row r="352" spans="1:65" x14ac:dyDescent="0.35">
      <c r="A352" s="10">
        <v>45994</v>
      </c>
      <c r="B352" s="9" t="s">
        <v>1219</v>
      </c>
      <c r="C352" s="9" t="s">
        <v>64</v>
      </c>
      <c r="D352" s="9" t="s">
        <v>92</v>
      </c>
      <c r="E352" s="11">
        <v>90</v>
      </c>
      <c r="F352" s="9" t="s">
        <v>93</v>
      </c>
      <c r="G352" s="9" t="s">
        <v>65</v>
      </c>
      <c r="H352" s="9" t="s">
        <v>66</v>
      </c>
      <c r="I352" s="9">
        <v>13</v>
      </c>
      <c r="J352" s="9" t="s">
        <v>766</v>
      </c>
      <c r="K352" s="9" t="s">
        <v>766</v>
      </c>
      <c r="L352" s="9" t="s">
        <v>766</v>
      </c>
      <c r="M352" s="9" t="s">
        <v>767</v>
      </c>
      <c r="N352" s="9" t="s">
        <v>709</v>
      </c>
      <c r="O352" s="9" t="s">
        <v>302</v>
      </c>
      <c r="P352" s="9" t="s">
        <v>67</v>
      </c>
      <c r="Q352" s="9" t="s">
        <v>98</v>
      </c>
      <c r="R352" s="9" t="s">
        <v>766</v>
      </c>
      <c r="S352" s="9" t="s">
        <v>767</v>
      </c>
      <c r="T352" s="9" t="s">
        <v>806</v>
      </c>
      <c r="U352" s="9" t="s">
        <v>67</v>
      </c>
      <c r="V352" s="9" t="s">
        <v>151</v>
      </c>
      <c r="W352" s="9" t="s">
        <v>152</v>
      </c>
      <c r="X352" s="11">
        <v>40</v>
      </c>
      <c r="Y352" s="9" t="s">
        <v>923</v>
      </c>
      <c r="Z352" s="9" t="s">
        <v>76</v>
      </c>
      <c r="AA352" s="9" t="s">
        <v>924</v>
      </c>
      <c r="AB352" s="9" t="s">
        <v>67</v>
      </c>
      <c r="AC352" s="9" t="s">
        <v>910</v>
      </c>
      <c r="AD352" s="11">
        <v>1</v>
      </c>
      <c r="AE352" s="9" t="s">
        <v>156</v>
      </c>
      <c r="AF352" s="9" t="s">
        <v>71</v>
      </c>
      <c r="AG352" s="13">
        <v>1</v>
      </c>
      <c r="AH352" s="9" t="s">
        <v>92</v>
      </c>
      <c r="AI352" s="13">
        <v>1833333</v>
      </c>
      <c r="AJ352" s="13">
        <v>1833333</v>
      </c>
      <c r="AK352" s="11">
        <v>403333</v>
      </c>
      <c r="AL352" s="11">
        <v>0</v>
      </c>
      <c r="AM352" s="11">
        <v>0</v>
      </c>
      <c r="AN352" s="9" t="s">
        <v>784</v>
      </c>
      <c r="AO352" s="11">
        <v>1430000</v>
      </c>
      <c r="AP352" s="13">
        <v>114400</v>
      </c>
      <c r="AQ352" s="13">
        <v>1544400</v>
      </c>
      <c r="AR352" s="11">
        <v>25</v>
      </c>
      <c r="AS352" s="9" t="s">
        <v>72</v>
      </c>
      <c r="AT352" s="12">
        <v>17.021000000000001</v>
      </c>
      <c r="AU352" s="9" t="s">
        <v>73</v>
      </c>
      <c r="AV352" s="9" t="s">
        <v>67</v>
      </c>
      <c r="AW352" s="9" t="s">
        <v>958</v>
      </c>
      <c r="AX352" s="10">
        <v>45988</v>
      </c>
      <c r="AY352" s="9" t="s">
        <v>1220</v>
      </c>
      <c r="AZ352" s="9" t="s">
        <v>67</v>
      </c>
      <c r="BA352" s="9" t="s">
        <v>67</v>
      </c>
      <c r="BB352" s="12">
        <v>25</v>
      </c>
      <c r="BC352" s="9" t="s">
        <v>74</v>
      </c>
      <c r="BD352" s="9" t="s">
        <v>104</v>
      </c>
      <c r="BE352" s="9" t="s">
        <v>75</v>
      </c>
      <c r="BF352" s="11">
        <v>0</v>
      </c>
      <c r="BG352">
        <f t="shared" si="12"/>
        <v>12</v>
      </c>
      <c r="BH352" t="str">
        <f>VLOOKUP(BG352,[1]month!$A:$B,2,0)</f>
        <v>Desember</v>
      </c>
      <c r="BI352">
        <f t="shared" si="13"/>
        <v>2025</v>
      </c>
      <c r="BJ352" t="str">
        <f>VLOOKUP(I352,[1]Dist!$A:$B,2,0)</f>
        <v>Retail</v>
      </c>
      <c r="BK352" t="str">
        <f>IF(I352=11,VLOOKUP(Y352,[2]Sheet1!$C:$N,10,0),IF(I352=13,VLOOKUP(Y352,[3]Sheet1!$C:$N,10,0),IF(I352=15,VLOOKUP(Y352,[4]Sheet1!$C:$N,10,0),"Unknown")))</f>
        <v>TENNOKOTE</v>
      </c>
      <c r="BL352" t="str">
        <f>IF(I352=11,VLOOKUP(Y352,[2]Sheet1!$C:$N,12,0),IF(I352=13,VLOOKUP(Y352,[3]Sheet1!$C:$N,12,0),IF(I352=15,VLOOKUP(Y352,[4]Sheet1!$C:$N,12,0),"Unknown")))</f>
        <v>TENNOKOTE BASE</v>
      </c>
      <c r="BM352" t="str">
        <f>VLOOKUP(W352,[1]branch!$A:$B,2,0)</f>
        <v>HO CHI MINH</v>
      </c>
    </row>
    <row r="353" spans="1:65" x14ac:dyDescent="0.35">
      <c r="A353" s="10">
        <v>45994</v>
      </c>
      <c r="B353" s="9" t="s">
        <v>1219</v>
      </c>
      <c r="C353" s="9" t="s">
        <v>64</v>
      </c>
      <c r="D353" s="9" t="s">
        <v>92</v>
      </c>
      <c r="E353" s="11">
        <v>90</v>
      </c>
      <c r="F353" s="9" t="s">
        <v>93</v>
      </c>
      <c r="G353" s="9" t="s">
        <v>65</v>
      </c>
      <c r="H353" s="9" t="s">
        <v>66</v>
      </c>
      <c r="I353" s="9">
        <v>13</v>
      </c>
      <c r="J353" s="9" t="s">
        <v>766</v>
      </c>
      <c r="K353" s="9" t="s">
        <v>766</v>
      </c>
      <c r="L353" s="9" t="s">
        <v>766</v>
      </c>
      <c r="M353" s="9" t="s">
        <v>767</v>
      </c>
      <c r="N353" s="9" t="s">
        <v>709</v>
      </c>
      <c r="O353" s="9" t="s">
        <v>302</v>
      </c>
      <c r="P353" s="9" t="s">
        <v>67</v>
      </c>
      <c r="Q353" s="9" t="s">
        <v>98</v>
      </c>
      <c r="R353" s="9" t="s">
        <v>766</v>
      </c>
      <c r="S353" s="9" t="s">
        <v>767</v>
      </c>
      <c r="T353" s="9" t="s">
        <v>806</v>
      </c>
      <c r="U353" s="9" t="s">
        <v>67</v>
      </c>
      <c r="V353" s="9" t="s">
        <v>151</v>
      </c>
      <c r="W353" s="9" t="s">
        <v>152</v>
      </c>
      <c r="X353" s="11">
        <v>60</v>
      </c>
      <c r="Y353" s="9" t="s">
        <v>584</v>
      </c>
      <c r="Z353" s="9" t="s">
        <v>68</v>
      </c>
      <c r="AA353" s="9" t="s">
        <v>585</v>
      </c>
      <c r="AB353" s="9" t="s">
        <v>67</v>
      </c>
      <c r="AC353" s="9" t="s">
        <v>263</v>
      </c>
      <c r="AD353" s="11">
        <v>3</v>
      </c>
      <c r="AE353" s="9" t="s">
        <v>70</v>
      </c>
      <c r="AF353" s="9" t="s">
        <v>71</v>
      </c>
      <c r="AG353" s="13">
        <v>1</v>
      </c>
      <c r="AH353" s="9" t="s">
        <v>92</v>
      </c>
      <c r="AI353" s="13">
        <v>1505455</v>
      </c>
      <c r="AJ353" s="13">
        <v>4516365</v>
      </c>
      <c r="AK353" s="11">
        <v>993600</v>
      </c>
      <c r="AL353" s="11">
        <v>0</v>
      </c>
      <c r="AM353" s="11">
        <v>0</v>
      </c>
      <c r="AN353" s="9" t="s">
        <v>784</v>
      </c>
      <c r="AO353" s="11">
        <v>3522765</v>
      </c>
      <c r="AP353" s="13">
        <v>281821</v>
      </c>
      <c r="AQ353" s="13">
        <v>3804586</v>
      </c>
      <c r="AR353" s="11">
        <v>60</v>
      </c>
      <c r="AS353" s="9" t="s">
        <v>72</v>
      </c>
      <c r="AT353" s="12">
        <v>50.01</v>
      </c>
      <c r="AU353" s="9" t="s">
        <v>73</v>
      </c>
      <c r="AV353" s="9" t="s">
        <v>67</v>
      </c>
      <c r="AW353" s="9" t="s">
        <v>958</v>
      </c>
      <c r="AX353" s="10">
        <v>45988</v>
      </c>
      <c r="AY353" s="9" t="s">
        <v>1220</v>
      </c>
      <c r="AZ353" s="9" t="s">
        <v>67</v>
      </c>
      <c r="BA353" s="9" t="s">
        <v>67</v>
      </c>
      <c r="BB353" s="12">
        <v>60</v>
      </c>
      <c r="BC353" s="9" t="s">
        <v>74</v>
      </c>
      <c r="BD353" s="9" t="s">
        <v>104</v>
      </c>
      <c r="BE353" s="9" t="s">
        <v>75</v>
      </c>
      <c r="BF353" s="11">
        <v>0</v>
      </c>
      <c r="BG353">
        <f t="shared" si="12"/>
        <v>12</v>
      </c>
      <c r="BH353" t="str">
        <f>VLOOKUP(BG353,[1]month!$A:$B,2,0)</f>
        <v>Desember</v>
      </c>
      <c r="BI353">
        <f t="shared" si="13"/>
        <v>2025</v>
      </c>
      <c r="BJ353" t="str">
        <f>VLOOKUP(I353,[1]Dist!$A:$B,2,0)</f>
        <v>Retail</v>
      </c>
      <c r="BK353" t="str">
        <f>IF(I353=11,VLOOKUP(Y353,[2]Sheet1!$C:$N,10,0),IF(I353=13,VLOOKUP(Y353,[3]Sheet1!$C:$N,10,0),IF(I353=15,VLOOKUP(Y353,[4]Sheet1!$C:$N,10,0),"Unknown")))</f>
        <v>ULTRAPROOF</v>
      </c>
      <c r="BL353" t="str">
        <f>IF(I353=11,VLOOKUP(Y353,[2]Sheet1!$C:$N,12,0),IF(I353=13,VLOOKUP(Y353,[3]Sheet1!$C:$N,12,0),IF(I353=15,VLOOKUP(Y353,[4]Sheet1!$C:$N,12,0),"Unknown")))</f>
        <v>ULTRAPROOF RMX</v>
      </c>
      <c r="BM353" t="str">
        <f>VLOOKUP(W353,[1]branch!$A:$B,2,0)</f>
        <v>HO CHI MINH</v>
      </c>
    </row>
    <row r="354" spans="1:65" x14ac:dyDescent="0.35">
      <c r="A354" s="10">
        <v>45994</v>
      </c>
      <c r="B354" s="9" t="s">
        <v>1219</v>
      </c>
      <c r="C354" s="9" t="s">
        <v>64</v>
      </c>
      <c r="D354" s="9" t="s">
        <v>92</v>
      </c>
      <c r="E354" s="11">
        <v>90</v>
      </c>
      <c r="F354" s="9" t="s">
        <v>93</v>
      </c>
      <c r="G354" s="9" t="s">
        <v>65</v>
      </c>
      <c r="H354" s="9" t="s">
        <v>66</v>
      </c>
      <c r="I354" s="9">
        <v>13</v>
      </c>
      <c r="J354" s="9" t="s">
        <v>766</v>
      </c>
      <c r="K354" s="9" t="s">
        <v>766</v>
      </c>
      <c r="L354" s="9" t="s">
        <v>766</v>
      </c>
      <c r="M354" s="9" t="s">
        <v>767</v>
      </c>
      <c r="N354" s="9" t="s">
        <v>709</v>
      </c>
      <c r="O354" s="9" t="s">
        <v>302</v>
      </c>
      <c r="P354" s="9" t="s">
        <v>67</v>
      </c>
      <c r="Q354" s="9" t="s">
        <v>98</v>
      </c>
      <c r="R354" s="9" t="s">
        <v>766</v>
      </c>
      <c r="S354" s="9" t="s">
        <v>767</v>
      </c>
      <c r="T354" s="9" t="s">
        <v>806</v>
      </c>
      <c r="U354" s="9" t="s">
        <v>67</v>
      </c>
      <c r="V354" s="9" t="s">
        <v>151</v>
      </c>
      <c r="W354" s="9" t="s">
        <v>152</v>
      </c>
      <c r="X354" s="11">
        <v>70</v>
      </c>
      <c r="Y354" s="9" t="s">
        <v>769</v>
      </c>
      <c r="Z354" s="9" t="s">
        <v>76</v>
      </c>
      <c r="AA354" s="9" t="s">
        <v>770</v>
      </c>
      <c r="AB354" s="9" t="s">
        <v>67</v>
      </c>
      <c r="AC354" s="9" t="s">
        <v>768</v>
      </c>
      <c r="AD354" s="11">
        <v>8</v>
      </c>
      <c r="AE354" s="9" t="s">
        <v>70</v>
      </c>
      <c r="AF354" s="9" t="s">
        <v>71</v>
      </c>
      <c r="AG354" s="13">
        <v>1</v>
      </c>
      <c r="AH354" s="9" t="s">
        <v>92</v>
      </c>
      <c r="AI354" s="13">
        <v>100000</v>
      </c>
      <c r="AJ354" s="13">
        <v>800000</v>
      </c>
      <c r="AK354" s="11">
        <v>176000</v>
      </c>
      <c r="AL354" s="11">
        <v>0</v>
      </c>
      <c r="AM354" s="11">
        <v>0</v>
      </c>
      <c r="AN354" s="9" t="s">
        <v>784</v>
      </c>
      <c r="AO354" s="11">
        <v>624000</v>
      </c>
      <c r="AP354" s="13">
        <v>49920</v>
      </c>
      <c r="AQ354" s="13">
        <v>673920</v>
      </c>
      <c r="AR354" s="11">
        <v>8</v>
      </c>
      <c r="AS354" s="9" t="s">
        <v>72</v>
      </c>
      <c r="AT354" s="12">
        <v>5.7519999999999998</v>
      </c>
      <c r="AU354" s="9" t="s">
        <v>73</v>
      </c>
      <c r="AV354" s="9" t="s">
        <v>67</v>
      </c>
      <c r="AW354" s="9" t="s">
        <v>958</v>
      </c>
      <c r="AX354" s="10">
        <v>45988</v>
      </c>
      <c r="AY354" s="9" t="s">
        <v>1220</v>
      </c>
      <c r="AZ354" s="9" t="s">
        <v>67</v>
      </c>
      <c r="BA354" s="9" t="s">
        <v>67</v>
      </c>
      <c r="BB354" s="12">
        <v>8</v>
      </c>
      <c r="BC354" s="9" t="s">
        <v>74</v>
      </c>
      <c r="BD354" s="9" t="s">
        <v>104</v>
      </c>
      <c r="BE354" s="9" t="s">
        <v>75</v>
      </c>
      <c r="BF354" s="11">
        <v>0</v>
      </c>
      <c r="BG354">
        <f t="shared" si="12"/>
        <v>12</v>
      </c>
      <c r="BH354" t="str">
        <f>VLOOKUP(BG354,[1]month!$A:$B,2,0)</f>
        <v>Desember</v>
      </c>
      <c r="BI354">
        <f t="shared" si="13"/>
        <v>2025</v>
      </c>
      <c r="BJ354" t="str">
        <f>VLOOKUP(I354,[1]Dist!$A:$B,2,0)</f>
        <v>Retail</v>
      </c>
      <c r="BK354" t="str">
        <f>IF(I354=11,VLOOKUP(Y354,[2]Sheet1!$C:$N,10,0),IF(I354=13,VLOOKUP(Y354,[3]Sheet1!$C:$N,10,0),IF(I354=15,VLOOKUP(Y354,[4]Sheet1!$C:$N,10,0),"Unknown")))</f>
        <v>ULTRAFLEX</v>
      </c>
      <c r="BL354" t="str">
        <f>IF(I354=11,VLOOKUP(Y354,[2]Sheet1!$C:$N,12,0),IF(I354=13,VLOOKUP(Y354,[3]Sheet1!$C:$N,12,0),IF(I354=15,VLOOKUP(Y354,[4]Sheet1!$C:$N,12,0),"Unknown")))</f>
        <v>ULTRAFLEX MEMBRANE</v>
      </c>
      <c r="BM354" t="str">
        <f>VLOOKUP(W354,[1]branch!$A:$B,2,0)</f>
        <v>HO CHI MINH</v>
      </c>
    </row>
    <row r="355" spans="1:65" x14ac:dyDescent="0.35">
      <c r="A355" s="10">
        <v>45994</v>
      </c>
      <c r="B355" s="9" t="s">
        <v>1219</v>
      </c>
      <c r="C355" s="9" t="s">
        <v>64</v>
      </c>
      <c r="D355" s="9" t="s">
        <v>92</v>
      </c>
      <c r="E355" s="11">
        <v>90</v>
      </c>
      <c r="F355" s="9" t="s">
        <v>93</v>
      </c>
      <c r="G355" s="9" t="s">
        <v>65</v>
      </c>
      <c r="H355" s="9" t="s">
        <v>66</v>
      </c>
      <c r="I355" s="9">
        <v>13</v>
      </c>
      <c r="J355" s="9" t="s">
        <v>766</v>
      </c>
      <c r="K355" s="9" t="s">
        <v>766</v>
      </c>
      <c r="L355" s="9" t="s">
        <v>766</v>
      </c>
      <c r="M355" s="9" t="s">
        <v>767</v>
      </c>
      <c r="N355" s="9" t="s">
        <v>709</v>
      </c>
      <c r="O355" s="9" t="s">
        <v>302</v>
      </c>
      <c r="P355" s="9" t="s">
        <v>67</v>
      </c>
      <c r="Q355" s="9" t="s">
        <v>98</v>
      </c>
      <c r="R355" s="9" t="s">
        <v>766</v>
      </c>
      <c r="S355" s="9" t="s">
        <v>767</v>
      </c>
      <c r="T355" s="9" t="s">
        <v>806</v>
      </c>
      <c r="U355" s="9" t="s">
        <v>67</v>
      </c>
      <c r="V355" s="9" t="s">
        <v>151</v>
      </c>
      <c r="W355" s="9" t="s">
        <v>152</v>
      </c>
      <c r="X355" s="11">
        <v>100</v>
      </c>
      <c r="Y355" s="9" t="s">
        <v>416</v>
      </c>
      <c r="Z355" s="9" t="s">
        <v>68</v>
      </c>
      <c r="AA355" s="9" t="s">
        <v>417</v>
      </c>
      <c r="AB355" s="9" t="s">
        <v>67</v>
      </c>
      <c r="AC355" s="9" t="s">
        <v>263</v>
      </c>
      <c r="AD355" s="11">
        <v>4</v>
      </c>
      <c r="AE355" s="9" t="s">
        <v>70</v>
      </c>
      <c r="AF355" s="9" t="s">
        <v>71</v>
      </c>
      <c r="AG355" s="13">
        <v>1</v>
      </c>
      <c r="AH355" s="9" t="s">
        <v>92</v>
      </c>
      <c r="AI355" s="13">
        <v>518181</v>
      </c>
      <c r="AJ355" s="13">
        <v>2072724</v>
      </c>
      <c r="AK355" s="11">
        <v>455999</v>
      </c>
      <c r="AL355" s="11">
        <v>0</v>
      </c>
      <c r="AM355" s="11">
        <v>0</v>
      </c>
      <c r="AN355" s="9" t="s">
        <v>784</v>
      </c>
      <c r="AO355" s="11">
        <v>1616725</v>
      </c>
      <c r="AP355" s="13">
        <v>129338</v>
      </c>
      <c r="AQ355" s="13">
        <v>1746063</v>
      </c>
      <c r="AR355" s="11">
        <v>24</v>
      </c>
      <c r="AS355" s="9" t="s">
        <v>72</v>
      </c>
      <c r="AT355" s="12">
        <v>19.84</v>
      </c>
      <c r="AU355" s="9" t="s">
        <v>73</v>
      </c>
      <c r="AV355" s="9" t="s">
        <v>67</v>
      </c>
      <c r="AW355" s="9" t="s">
        <v>958</v>
      </c>
      <c r="AX355" s="10">
        <v>45988</v>
      </c>
      <c r="AY355" s="9" t="s">
        <v>1220</v>
      </c>
      <c r="AZ355" s="9" t="s">
        <v>67</v>
      </c>
      <c r="BA355" s="9" t="s">
        <v>67</v>
      </c>
      <c r="BB355" s="12">
        <v>24</v>
      </c>
      <c r="BC355" s="9" t="s">
        <v>74</v>
      </c>
      <c r="BD355" s="9" t="s">
        <v>104</v>
      </c>
      <c r="BE355" s="9" t="s">
        <v>75</v>
      </c>
      <c r="BF355" s="11">
        <v>0</v>
      </c>
      <c r="BG355">
        <f t="shared" si="12"/>
        <v>12</v>
      </c>
      <c r="BH355" t="str">
        <f>VLOOKUP(BG355,[1]month!$A:$B,2,0)</f>
        <v>Desember</v>
      </c>
      <c r="BI355">
        <f t="shared" si="13"/>
        <v>2025</v>
      </c>
      <c r="BJ355" t="str">
        <f>VLOOKUP(I355,[1]Dist!$A:$B,2,0)</f>
        <v>Retail</v>
      </c>
      <c r="BK355" t="str">
        <f>IF(I355=11,VLOOKUP(Y355,[2]Sheet1!$C:$N,10,0),IF(I355=13,VLOOKUP(Y355,[3]Sheet1!$C:$N,10,0),IF(I355=15,VLOOKUP(Y355,[4]Sheet1!$C:$N,10,0),"Unknown")))</f>
        <v>ULTRAPROOF</v>
      </c>
      <c r="BL355" t="str">
        <f>IF(I355=11,VLOOKUP(Y355,[2]Sheet1!$C:$N,12,0),IF(I355=13,VLOOKUP(Y355,[3]Sheet1!$C:$N,12,0),IF(I355=15,VLOOKUP(Y355,[4]Sheet1!$C:$N,12,0),"Unknown")))</f>
        <v>ULTRAPROOF RMX</v>
      </c>
      <c r="BM355" t="str">
        <f>VLOOKUP(W355,[1]branch!$A:$B,2,0)</f>
        <v>HO CHI MINH</v>
      </c>
    </row>
    <row r="356" spans="1:65" x14ac:dyDescent="0.35">
      <c r="A356" s="10">
        <v>45994</v>
      </c>
      <c r="B356" s="9" t="s">
        <v>1219</v>
      </c>
      <c r="C356" s="9" t="s">
        <v>64</v>
      </c>
      <c r="D356" s="9" t="s">
        <v>92</v>
      </c>
      <c r="E356" s="11">
        <v>90</v>
      </c>
      <c r="F356" s="9" t="s">
        <v>93</v>
      </c>
      <c r="G356" s="9" t="s">
        <v>65</v>
      </c>
      <c r="H356" s="9" t="s">
        <v>66</v>
      </c>
      <c r="I356" s="9">
        <v>13</v>
      </c>
      <c r="J356" s="9" t="s">
        <v>766</v>
      </c>
      <c r="K356" s="9" t="s">
        <v>766</v>
      </c>
      <c r="L356" s="9" t="s">
        <v>766</v>
      </c>
      <c r="M356" s="9" t="s">
        <v>767</v>
      </c>
      <c r="N356" s="9" t="s">
        <v>709</v>
      </c>
      <c r="O356" s="9" t="s">
        <v>302</v>
      </c>
      <c r="P356" s="9" t="s">
        <v>67</v>
      </c>
      <c r="Q356" s="9" t="s">
        <v>98</v>
      </c>
      <c r="R356" s="9" t="s">
        <v>766</v>
      </c>
      <c r="S356" s="9" t="s">
        <v>767</v>
      </c>
      <c r="T356" s="9" t="s">
        <v>806</v>
      </c>
      <c r="U356" s="9" t="s">
        <v>67</v>
      </c>
      <c r="V356" s="9" t="s">
        <v>151</v>
      </c>
      <c r="W356" s="9" t="s">
        <v>152</v>
      </c>
      <c r="X356" s="11">
        <v>110</v>
      </c>
      <c r="Y356" s="9" t="s">
        <v>421</v>
      </c>
      <c r="Z356" s="9" t="s">
        <v>68</v>
      </c>
      <c r="AA356" s="9" t="s">
        <v>422</v>
      </c>
      <c r="AB356" s="9" t="s">
        <v>67</v>
      </c>
      <c r="AC356" s="9" t="s">
        <v>263</v>
      </c>
      <c r="AD356" s="11">
        <v>12</v>
      </c>
      <c r="AE356" s="9" t="s">
        <v>70</v>
      </c>
      <c r="AF356" s="9" t="s">
        <v>71</v>
      </c>
      <c r="AG356" s="13">
        <v>1</v>
      </c>
      <c r="AH356" s="9" t="s">
        <v>92</v>
      </c>
      <c r="AI356" s="13">
        <v>111819</v>
      </c>
      <c r="AJ356" s="13">
        <v>1341828</v>
      </c>
      <c r="AK356" s="11">
        <v>295202</v>
      </c>
      <c r="AL356" s="11">
        <v>0</v>
      </c>
      <c r="AM356" s="11">
        <v>0</v>
      </c>
      <c r="AN356" s="9" t="s">
        <v>784</v>
      </c>
      <c r="AO356" s="11">
        <v>1046626</v>
      </c>
      <c r="AP356" s="13">
        <v>83730</v>
      </c>
      <c r="AQ356" s="13">
        <v>1130356</v>
      </c>
      <c r="AR356" s="11">
        <v>12</v>
      </c>
      <c r="AS356" s="9" t="s">
        <v>72</v>
      </c>
      <c r="AT356" s="12">
        <v>9.9600000000000009</v>
      </c>
      <c r="AU356" s="9" t="s">
        <v>73</v>
      </c>
      <c r="AV356" s="9" t="s">
        <v>67</v>
      </c>
      <c r="AW356" s="9" t="s">
        <v>958</v>
      </c>
      <c r="AX356" s="10">
        <v>45988</v>
      </c>
      <c r="AY356" s="9" t="s">
        <v>1220</v>
      </c>
      <c r="AZ356" s="9" t="s">
        <v>67</v>
      </c>
      <c r="BA356" s="9" t="s">
        <v>67</v>
      </c>
      <c r="BB356" s="12">
        <v>12</v>
      </c>
      <c r="BC356" s="9" t="s">
        <v>74</v>
      </c>
      <c r="BD356" s="9" t="s">
        <v>104</v>
      </c>
      <c r="BE356" s="9" t="s">
        <v>75</v>
      </c>
      <c r="BF356" s="11">
        <v>0</v>
      </c>
      <c r="BG356">
        <f t="shared" si="12"/>
        <v>12</v>
      </c>
      <c r="BH356" t="str">
        <f>VLOOKUP(BG356,[1]month!$A:$B,2,0)</f>
        <v>Desember</v>
      </c>
      <c r="BI356">
        <f t="shared" si="13"/>
        <v>2025</v>
      </c>
      <c r="BJ356" t="str">
        <f>VLOOKUP(I356,[1]Dist!$A:$B,2,0)</f>
        <v>Retail</v>
      </c>
      <c r="BK356" t="str">
        <f>IF(I356=11,VLOOKUP(Y356,[2]Sheet1!$C:$N,10,0),IF(I356=13,VLOOKUP(Y356,[3]Sheet1!$C:$N,10,0),IF(I356=15,VLOOKUP(Y356,[4]Sheet1!$C:$N,10,0),"Unknown")))</f>
        <v>ULTRAPROOF</v>
      </c>
      <c r="BL356" t="str">
        <f>IF(I356=11,VLOOKUP(Y356,[2]Sheet1!$C:$N,12,0),IF(I356=13,VLOOKUP(Y356,[3]Sheet1!$C:$N,12,0),IF(I356=15,VLOOKUP(Y356,[4]Sheet1!$C:$N,12,0),"Unknown")))</f>
        <v>ULTRAPROOF RMX</v>
      </c>
      <c r="BM356" t="str">
        <f>VLOOKUP(W356,[1]branch!$A:$B,2,0)</f>
        <v>HO CHI MINH</v>
      </c>
    </row>
    <row r="357" spans="1:65" x14ac:dyDescent="0.35">
      <c r="A357" s="10">
        <v>45994</v>
      </c>
      <c r="B357" s="9" t="s">
        <v>1219</v>
      </c>
      <c r="C357" s="9" t="s">
        <v>64</v>
      </c>
      <c r="D357" s="9" t="s">
        <v>92</v>
      </c>
      <c r="E357" s="11">
        <v>90</v>
      </c>
      <c r="F357" s="9" t="s">
        <v>93</v>
      </c>
      <c r="G357" s="9" t="s">
        <v>65</v>
      </c>
      <c r="H357" s="9" t="s">
        <v>66</v>
      </c>
      <c r="I357" s="9">
        <v>13</v>
      </c>
      <c r="J357" s="9" t="s">
        <v>766</v>
      </c>
      <c r="K357" s="9" t="s">
        <v>766</v>
      </c>
      <c r="L357" s="9" t="s">
        <v>766</v>
      </c>
      <c r="M357" s="9" t="s">
        <v>767</v>
      </c>
      <c r="N357" s="9" t="s">
        <v>709</v>
      </c>
      <c r="O357" s="9" t="s">
        <v>302</v>
      </c>
      <c r="P357" s="9" t="s">
        <v>67</v>
      </c>
      <c r="Q357" s="9" t="s">
        <v>98</v>
      </c>
      <c r="R357" s="9" t="s">
        <v>766</v>
      </c>
      <c r="S357" s="9" t="s">
        <v>767</v>
      </c>
      <c r="T357" s="9" t="s">
        <v>806</v>
      </c>
      <c r="U357" s="9" t="s">
        <v>67</v>
      </c>
      <c r="V357" s="9" t="s">
        <v>151</v>
      </c>
      <c r="W357" s="9" t="s">
        <v>152</v>
      </c>
      <c r="X357" s="11">
        <v>120</v>
      </c>
      <c r="Y357" s="9" t="s">
        <v>707</v>
      </c>
      <c r="Z357" s="9" t="s">
        <v>76</v>
      </c>
      <c r="AA357" s="9" t="s">
        <v>708</v>
      </c>
      <c r="AB357" s="9" t="s">
        <v>67</v>
      </c>
      <c r="AC357" s="9" t="s">
        <v>704</v>
      </c>
      <c r="AD357" s="11">
        <v>12</v>
      </c>
      <c r="AE357" s="9" t="s">
        <v>70</v>
      </c>
      <c r="AF357" s="9" t="s">
        <v>71</v>
      </c>
      <c r="AG357" s="13">
        <v>1</v>
      </c>
      <c r="AH357" s="9" t="s">
        <v>92</v>
      </c>
      <c r="AI357" s="13">
        <v>131819</v>
      </c>
      <c r="AJ357" s="13">
        <v>1581828</v>
      </c>
      <c r="AK357" s="11">
        <v>348002</v>
      </c>
      <c r="AL357" s="11">
        <v>0</v>
      </c>
      <c r="AM357" s="11">
        <v>0</v>
      </c>
      <c r="AN357" s="9" t="s">
        <v>784</v>
      </c>
      <c r="AO357" s="11">
        <v>1233826</v>
      </c>
      <c r="AP357" s="13">
        <v>98706</v>
      </c>
      <c r="AQ357" s="13">
        <v>1332532</v>
      </c>
      <c r="AR357" s="12">
        <v>11.28</v>
      </c>
      <c r="AS357" s="9" t="s">
        <v>72</v>
      </c>
      <c r="AT357" s="12">
        <v>10.8</v>
      </c>
      <c r="AU357" s="9" t="s">
        <v>73</v>
      </c>
      <c r="AV357" s="9" t="s">
        <v>67</v>
      </c>
      <c r="AW357" s="9" t="s">
        <v>958</v>
      </c>
      <c r="AX357" s="10">
        <v>45988</v>
      </c>
      <c r="AY357" s="9" t="s">
        <v>1220</v>
      </c>
      <c r="AZ357" s="9" t="s">
        <v>67</v>
      </c>
      <c r="BA357" s="9" t="s">
        <v>67</v>
      </c>
      <c r="BB357" s="12">
        <v>10.8</v>
      </c>
      <c r="BC357" s="9" t="s">
        <v>74</v>
      </c>
      <c r="BD357" s="9" t="s">
        <v>104</v>
      </c>
      <c r="BE357" s="9" t="s">
        <v>75</v>
      </c>
      <c r="BF357" s="11">
        <v>0</v>
      </c>
      <c r="BG357">
        <f t="shared" si="12"/>
        <v>12</v>
      </c>
      <c r="BH357" t="str">
        <f>VLOOKUP(BG357,[1]month!$A:$B,2,0)</f>
        <v>Desember</v>
      </c>
      <c r="BI357">
        <f t="shared" si="13"/>
        <v>2025</v>
      </c>
      <c r="BJ357" t="str">
        <f>VLOOKUP(I357,[1]Dist!$A:$B,2,0)</f>
        <v>Retail</v>
      </c>
      <c r="BK357" t="str">
        <f>IF(I357=11,VLOOKUP(Y357,[2]Sheet1!$C:$N,10,0),IF(I357=13,VLOOKUP(Y357,[3]Sheet1!$C:$N,10,0),IF(I357=15,VLOOKUP(Y357,[4]Sheet1!$C:$N,10,0),"Unknown")))</f>
        <v>GO FAST</v>
      </c>
      <c r="BL357" t="str">
        <f>IF(I357=11,VLOOKUP(Y357,[2]Sheet1!$C:$N,12,0),IF(I357=13,VLOOKUP(Y357,[3]Sheet1!$C:$N,12,0),IF(I357=15,VLOOKUP(Y357,[4]Sheet1!$C:$N,12,0),"Unknown")))</f>
        <v>GO FAST BASE</v>
      </c>
      <c r="BM357" t="str">
        <f>VLOOKUP(W357,[1]branch!$A:$B,2,0)</f>
        <v>HO CHI MINH</v>
      </c>
    </row>
    <row r="358" spans="1:65" x14ac:dyDescent="0.35">
      <c r="A358" s="10">
        <v>45994</v>
      </c>
      <c r="B358" s="9" t="s">
        <v>1221</v>
      </c>
      <c r="C358" s="9" t="s">
        <v>64</v>
      </c>
      <c r="D358" s="9" t="s">
        <v>92</v>
      </c>
      <c r="E358" s="11">
        <v>60</v>
      </c>
      <c r="F358" s="9" t="s">
        <v>93</v>
      </c>
      <c r="G358" s="9" t="s">
        <v>65</v>
      </c>
      <c r="H358" s="9" t="s">
        <v>66</v>
      </c>
      <c r="I358" s="9">
        <v>13</v>
      </c>
      <c r="J358" s="9" t="s">
        <v>790</v>
      </c>
      <c r="K358" s="9" t="s">
        <v>790</v>
      </c>
      <c r="L358" s="9" t="s">
        <v>790</v>
      </c>
      <c r="M358" s="9" t="s">
        <v>791</v>
      </c>
      <c r="N358" s="9" t="s">
        <v>447</v>
      </c>
      <c r="O358" s="9" t="s">
        <v>150</v>
      </c>
      <c r="P358" s="9" t="s">
        <v>67</v>
      </c>
      <c r="Q358" s="9" t="s">
        <v>98</v>
      </c>
      <c r="R358" s="9" t="s">
        <v>790</v>
      </c>
      <c r="S358" s="9" t="s">
        <v>791</v>
      </c>
      <c r="T358" s="9" t="s">
        <v>814</v>
      </c>
      <c r="U358" s="9" t="s">
        <v>67</v>
      </c>
      <c r="V358" s="9" t="s">
        <v>151</v>
      </c>
      <c r="W358" s="9" t="s">
        <v>152</v>
      </c>
      <c r="X358" s="11">
        <v>10</v>
      </c>
      <c r="Y358" s="9" t="s">
        <v>785</v>
      </c>
      <c r="Z358" s="9" t="s">
        <v>68</v>
      </c>
      <c r="AA358" s="9" t="s">
        <v>786</v>
      </c>
      <c r="AB358" s="9" t="s">
        <v>67</v>
      </c>
      <c r="AC358" s="9" t="s">
        <v>320</v>
      </c>
      <c r="AD358" s="11">
        <v>11</v>
      </c>
      <c r="AE358" s="9" t="s">
        <v>70</v>
      </c>
      <c r="AF358" s="9" t="s">
        <v>71</v>
      </c>
      <c r="AG358" s="13">
        <v>1</v>
      </c>
      <c r="AH358" s="9" t="s">
        <v>92</v>
      </c>
      <c r="AI358" s="13">
        <v>190909</v>
      </c>
      <c r="AJ358" s="13">
        <v>2099999</v>
      </c>
      <c r="AK358" s="11">
        <v>315000</v>
      </c>
      <c r="AL358" s="11">
        <v>0</v>
      </c>
      <c r="AM358" s="11">
        <v>0</v>
      </c>
      <c r="AN358" s="9" t="s">
        <v>331</v>
      </c>
      <c r="AO358" s="11">
        <v>1784999</v>
      </c>
      <c r="AP358" s="13">
        <v>142800</v>
      </c>
      <c r="AQ358" s="13">
        <v>1927799</v>
      </c>
      <c r="AR358" s="12">
        <v>8.8000000000000007</v>
      </c>
      <c r="AS358" s="9" t="s">
        <v>72</v>
      </c>
      <c r="AT358" s="12">
        <v>7.37</v>
      </c>
      <c r="AU358" s="9" t="s">
        <v>73</v>
      </c>
      <c r="AV358" s="9" t="s">
        <v>67</v>
      </c>
      <c r="AW358" s="9" t="s">
        <v>1222</v>
      </c>
      <c r="AX358" s="10">
        <v>45993</v>
      </c>
      <c r="AY358" s="9" t="s">
        <v>1223</v>
      </c>
      <c r="AZ358" s="9" t="s">
        <v>67</v>
      </c>
      <c r="BA358" s="9" t="s">
        <v>67</v>
      </c>
      <c r="BB358" s="12">
        <v>8.8000000000000007</v>
      </c>
      <c r="BC358" s="9" t="s">
        <v>74</v>
      </c>
      <c r="BD358" s="9" t="s">
        <v>104</v>
      </c>
      <c r="BE358" s="9" t="s">
        <v>75</v>
      </c>
      <c r="BF358" s="11">
        <v>0</v>
      </c>
      <c r="BG358">
        <f t="shared" si="12"/>
        <v>12</v>
      </c>
      <c r="BH358" t="str">
        <f>VLOOKUP(BG358,[1]month!$A:$B,2,0)</f>
        <v>Desember</v>
      </c>
      <c r="BI358">
        <f t="shared" si="13"/>
        <v>2025</v>
      </c>
      <c r="BJ358" t="str">
        <f>VLOOKUP(I358,[1]Dist!$A:$B,2,0)</f>
        <v>Retail</v>
      </c>
      <c r="BK358" t="str">
        <f>IF(I358=11,VLOOKUP(Y358,[2]Sheet1!$C:$N,10,0),IF(I358=13,VLOOKUP(Y358,[3]Sheet1!$C:$N,10,0),IF(I358=15,VLOOKUP(Y358,[4]Sheet1!$C:$N,10,0),"Unknown")))</f>
        <v>PU MULTIPURPOSE</v>
      </c>
      <c r="BL358" t="str">
        <f>IF(I358=11,VLOOKUP(Y358,[2]Sheet1!$C:$N,12,0),IF(I358=13,VLOOKUP(Y358,[3]Sheet1!$C:$N,12,0),IF(I358=15,VLOOKUP(Y358,[4]Sheet1!$C:$N,12,0),"Unknown")))</f>
        <v>PROPAN MP PU ACR RMX</v>
      </c>
      <c r="BM358" t="str">
        <f>VLOOKUP(W358,[1]branch!$A:$B,2,0)</f>
        <v>HO CHI MINH</v>
      </c>
    </row>
    <row r="359" spans="1:65" x14ac:dyDescent="0.35">
      <c r="A359" s="10">
        <v>45994</v>
      </c>
      <c r="B359" s="9" t="s">
        <v>1221</v>
      </c>
      <c r="C359" s="9" t="s">
        <v>64</v>
      </c>
      <c r="D359" s="9" t="s">
        <v>92</v>
      </c>
      <c r="E359" s="11">
        <v>60</v>
      </c>
      <c r="F359" s="9" t="s">
        <v>93</v>
      </c>
      <c r="G359" s="9" t="s">
        <v>65</v>
      </c>
      <c r="H359" s="9" t="s">
        <v>66</v>
      </c>
      <c r="I359" s="9">
        <v>13</v>
      </c>
      <c r="J359" s="9" t="s">
        <v>790</v>
      </c>
      <c r="K359" s="9" t="s">
        <v>790</v>
      </c>
      <c r="L359" s="9" t="s">
        <v>790</v>
      </c>
      <c r="M359" s="9" t="s">
        <v>791</v>
      </c>
      <c r="N359" s="9" t="s">
        <v>447</v>
      </c>
      <c r="O359" s="9" t="s">
        <v>150</v>
      </c>
      <c r="P359" s="9" t="s">
        <v>67</v>
      </c>
      <c r="Q359" s="9" t="s">
        <v>98</v>
      </c>
      <c r="R359" s="9" t="s">
        <v>790</v>
      </c>
      <c r="S359" s="9" t="s">
        <v>791</v>
      </c>
      <c r="T359" s="9" t="s">
        <v>814</v>
      </c>
      <c r="U359" s="9" t="s">
        <v>67</v>
      </c>
      <c r="V359" s="9" t="s">
        <v>151</v>
      </c>
      <c r="W359" s="9" t="s">
        <v>152</v>
      </c>
      <c r="X359" s="11">
        <v>20</v>
      </c>
      <c r="Y359" s="9" t="s">
        <v>644</v>
      </c>
      <c r="Z359" s="9" t="s">
        <v>68</v>
      </c>
      <c r="AA359" s="9" t="s">
        <v>645</v>
      </c>
      <c r="AB359" s="9" t="s">
        <v>67</v>
      </c>
      <c r="AC359" s="9" t="s">
        <v>319</v>
      </c>
      <c r="AD359" s="11">
        <v>11</v>
      </c>
      <c r="AE359" s="9" t="s">
        <v>70</v>
      </c>
      <c r="AF359" s="9" t="s">
        <v>71</v>
      </c>
      <c r="AG359" s="13">
        <v>1</v>
      </c>
      <c r="AH359" s="9" t="s">
        <v>92</v>
      </c>
      <c r="AI359" s="13">
        <v>62727</v>
      </c>
      <c r="AJ359" s="13">
        <v>689997</v>
      </c>
      <c r="AK359" s="11">
        <v>103500</v>
      </c>
      <c r="AL359" s="11">
        <v>0</v>
      </c>
      <c r="AM359" s="11">
        <v>0</v>
      </c>
      <c r="AN359" s="9" t="s">
        <v>331</v>
      </c>
      <c r="AO359" s="11">
        <v>586497</v>
      </c>
      <c r="AP359" s="13">
        <v>46920</v>
      </c>
      <c r="AQ359" s="13">
        <v>633417</v>
      </c>
      <c r="AR359" s="12">
        <v>2.2000000000000002</v>
      </c>
      <c r="AS359" s="9" t="s">
        <v>72</v>
      </c>
      <c r="AT359" s="12">
        <v>2.31</v>
      </c>
      <c r="AU359" s="9" t="s">
        <v>73</v>
      </c>
      <c r="AV359" s="9" t="s">
        <v>67</v>
      </c>
      <c r="AW359" s="9" t="s">
        <v>1222</v>
      </c>
      <c r="AX359" s="10">
        <v>45993</v>
      </c>
      <c r="AY359" s="9" t="s">
        <v>1223</v>
      </c>
      <c r="AZ359" s="9" t="s">
        <v>67</v>
      </c>
      <c r="BA359" s="9" t="s">
        <v>67</v>
      </c>
      <c r="BB359" s="12">
        <v>2.2000000000000002</v>
      </c>
      <c r="BC359" s="9" t="s">
        <v>74</v>
      </c>
      <c r="BD359" s="9" t="s">
        <v>104</v>
      </c>
      <c r="BE359" s="9" t="s">
        <v>75</v>
      </c>
      <c r="BF359" s="11">
        <v>0</v>
      </c>
      <c r="BG359">
        <f t="shared" si="12"/>
        <v>12</v>
      </c>
      <c r="BH359" t="str">
        <f>VLOOKUP(BG359,[1]month!$A:$B,2,0)</f>
        <v>Desember</v>
      </c>
      <c r="BI359">
        <f t="shared" si="13"/>
        <v>2025</v>
      </c>
      <c r="BJ359" t="str">
        <f>VLOOKUP(I359,[1]Dist!$A:$B,2,0)</f>
        <v>Retail</v>
      </c>
      <c r="BK359" t="str">
        <f>IF(I359=11,VLOOKUP(Y359,[2]Sheet1!$C:$N,10,0),IF(I359=13,VLOOKUP(Y359,[3]Sheet1!$C:$N,10,0),IF(I359=15,VLOOKUP(Y359,[4]Sheet1!$C:$N,10,0),"Unknown")))</f>
        <v>PU MULTIPURPOSE</v>
      </c>
      <c r="BL359" t="str">
        <f>IF(I359=11,VLOOKUP(Y359,[2]Sheet1!$C:$N,12,0),IF(I359=13,VLOOKUP(Y359,[3]Sheet1!$C:$N,12,0),IF(I359=15,VLOOKUP(Y359,[4]Sheet1!$C:$N,12,0),"Unknown")))</f>
        <v>PROPAN MP PU ACR RMX</v>
      </c>
      <c r="BM359" t="str">
        <f>VLOOKUP(W359,[1]branch!$A:$B,2,0)</f>
        <v>HO CHI MINH</v>
      </c>
    </row>
    <row r="360" spans="1:65" x14ac:dyDescent="0.35">
      <c r="A360" s="10">
        <v>45994</v>
      </c>
      <c r="B360" s="9" t="s">
        <v>1221</v>
      </c>
      <c r="C360" s="9" t="s">
        <v>64</v>
      </c>
      <c r="D360" s="9" t="s">
        <v>92</v>
      </c>
      <c r="E360" s="11">
        <v>60</v>
      </c>
      <c r="F360" s="9" t="s">
        <v>93</v>
      </c>
      <c r="G360" s="9" t="s">
        <v>65</v>
      </c>
      <c r="H360" s="9" t="s">
        <v>66</v>
      </c>
      <c r="I360" s="9">
        <v>13</v>
      </c>
      <c r="J360" s="9" t="s">
        <v>790</v>
      </c>
      <c r="K360" s="9" t="s">
        <v>790</v>
      </c>
      <c r="L360" s="9" t="s">
        <v>790</v>
      </c>
      <c r="M360" s="9" t="s">
        <v>791</v>
      </c>
      <c r="N360" s="9" t="s">
        <v>447</v>
      </c>
      <c r="O360" s="9" t="s">
        <v>150</v>
      </c>
      <c r="P360" s="9" t="s">
        <v>67</v>
      </c>
      <c r="Q360" s="9" t="s">
        <v>98</v>
      </c>
      <c r="R360" s="9" t="s">
        <v>790</v>
      </c>
      <c r="S360" s="9" t="s">
        <v>791</v>
      </c>
      <c r="T360" s="9" t="s">
        <v>814</v>
      </c>
      <c r="U360" s="9" t="s">
        <v>67</v>
      </c>
      <c r="V360" s="9" t="s">
        <v>151</v>
      </c>
      <c r="W360" s="9" t="s">
        <v>152</v>
      </c>
      <c r="X360" s="11">
        <v>30</v>
      </c>
      <c r="Y360" s="9" t="s">
        <v>479</v>
      </c>
      <c r="Z360" s="9" t="s">
        <v>68</v>
      </c>
      <c r="AA360" s="9" t="s">
        <v>480</v>
      </c>
      <c r="AB360" s="9" t="s">
        <v>67</v>
      </c>
      <c r="AC360" s="9" t="s">
        <v>155</v>
      </c>
      <c r="AD360" s="11">
        <v>48</v>
      </c>
      <c r="AE360" s="9" t="s">
        <v>156</v>
      </c>
      <c r="AF360" s="9" t="s">
        <v>71</v>
      </c>
      <c r="AG360" s="13">
        <v>1</v>
      </c>
      <c r="AH360" s="9" t="s">
        <v>92</v>
      </c>
      <c r="AI360" s="13">
        <v>200000</v>
      </c>
      <c r="AJ360" s="13">
        <v>9600000</v>
      </c>
      <c r="AK360" s="11">
        <v>1440000</v>
      </c>
      <c r="AL360" s="11">
        <v>0</v>
      </c>
      <c r="AM360" s="11">
        <v>0</v>
      </c>
      <c r="AN360" s="9" t="s">
        <v>331</v>
      </c>
      <c r="AO360" s="11">
        <v>8160000</v>
      </c>
      <c r="AP360" s="13">
        <v>652799</v>
      </c>
      <c r="AQ360" s="13">
        <v>8812799</v>
      </c>
      <c r="AR360" s="11">
        <v>48</v>
      </c>
      <c r="AS360" s="9" t="s">
        <v>72</v>
      </c>
      <c r="AT360" s="12">
        <v>57.12</v>
      </c>
      <c r="AU360" s="9" t="s">
        <v>73</v>
      </c>
      <c r="AV360" s="9" t="s">
        <v>67</v>
      </c>
      <c r="AW360" s="9" t="s">
        <v>1222</v>
      </c>
      <c r="AX360" s="10">
        <v>45993</v>
      </c>
      <c r="AY360" s="9" t="s">
        <v>1223</v>
      </c>
      <c r="AZ360" s="9" t="s">
        <v>67</v>
      </c>
      <c r="BA360" s="9" t="s">
        <v>67</v>
      </c>
      <c r="BB360" s="12">
        <v>48</v>
      </c>
      <c r="BC360" s="9" t="s">
        <v>74</v>
      </c>
      <c r="BD360" s="9" t="s">
        <v>104</v>
      </c>
      <c r="BE360" s="9" t="s">
        <v>75</v>
      </c>
      <c r="BF360" s="11">
        <v>0</v>
      </c>
      <c r="BG360">
        <f t="shared" si="12"/>
        <v>12</v>
      </c>
      <c r="BH360" t="str">
        <f>VLOOKUP(BG360,[1]month!$A:$B,2,0)</f>
        <v>Desember</v>
      </c>
      <c r="BI360">
        <f t="shared" si="13"/>
        <v>2025</v>
      </c>
      <c r="BJ360" t="str">
        <f>VLOOKUP(I360,[1]Dist!$A:$B,2,0)</f>
        <v>Retail</v>
      </c>
      <c r="BK360" t="str">
        <f>IF(I360=11,VLOOKUP(Y360,[2]Sheet1!$C:$N,10,0),IF(I360=13,VLOOKUP(Y360,[3]Sheet1!$C:$N,10,0),IF(I360=15,VLOOKUP(Y360,[4]Sheet1!$C:$N,10,0),"Unknown")))</f>
        <v>PU MULTIPURPOSE</v>
      </c>
      <c r="BL360" t="str">
        <f>IF(I360=11,VLOOKUP(Y360,[2]Sheet1!$C:$N,12,0),IF(I360=13,VLOOKUP(Y360,[3]Sheet1!$C:$N,12,0),IF(I360=15,VLOOKUP(Y360,[4]Sheet1!$C:$N,12,0),"Unknown")))</f>
        <v>PROPAN MP PU ACR RMX</v>
      </c>
      <c r="BM360" t="str">
        <f>VLOOKUP(W360,[1]branch!$A:$B,2,0)</f>
        <v>HO CHI MINH</v>
      </c>
    </row>
    <row r="361" spans="1:65" x14ac:dyDescent="0.35">
      <c r="A361" s="10">
        <v>45994</v>
      </c>
      <c r="B361" s="9" t="s">
        <v>1221</v>
      </c>
      <c r="C361" s="9" t="s">
        <v>64</v>
      </c>
      <c r="D361" s="9" t="s">
        <v>92</v>
      </c>
      <c r="E361" s="11">
        <v>60</v>
      </c>
      <c r="F361" s="9" t="s">
        <v>93</v>
      </c>
      <c r="G361" s="9" t="s">
        <v>65</v>
      </c>
      <c r="H361" s="9" t="s">
        <v>66</v>
      </c>
      <c r="I361" s="9">
        <v>13</v>
      </c>
      <c r="J361" s="9" t="s">
        <v>790</v>
      </c>
      <c r="K361" s="9" t="s">
        <v>790</v>
      </c>
      <c r="L361" s="9" t="s">
        <v>790</v>
      </c>
      <c r="M361" s="9" t="s">
        <v>791</v>
      </c>
      <c r="N361" s="9" t="s">
        <v>447</v>
      </c>
      <c r="O361" s="9" t="s">
        <v>150</v>
      </c>
      <c r="P361" s="9" t="s">
        <v>67</v>
      </c>
      <c r="Q361" s="9" t="s">
        <v>98</v>
      </c>
      <c r="R361" s="9" t="s">
        <v>790</v>
      </c>
      <c r="S361" s="9" t="s">
        <v>791</v>
      </c>
      <c r="T361" s="9" t="s">
        <v>814</v>
      </c>
      <c r="U361" s="9" t="s">
        <v>67</v>
      </c>
      <c r="V361" s="9" t="s">
        <v>151</v>
      </c>
      <c r="W361" s="9" t="s">
        <v>152</v>
      </c>
      <c r="X361" s="11">
        <v>40</v>
      </c>
      <c r="Y361" s="9" t="s">
        <v>336</v>
      </c>
      <c r="Z361" s="9" t="s">
        <v>68</v>
      </c>
      <c r="AA361" s="9" t="s">
        <v>337</v>
      </c>
      <c r="AB361" s="9" t="s">
        <v>67</v>
      </c>
      <c r="AC361" s="9" t="s">
        <v>270</v>
      </c>
      <c r="AD361" s="11">
        <v>24</v>
      </c>
      <c r="AE361" s="9" t="s">
        <v>70</v>
      </c>
      <c r="AF361" s="9" t="s">
        <v>71</v>
      </c>
      <c r="AG361" s="13">
        <v>1</v>
      </c>
      <c r="AH361" s="9" t="s">
        <v>92</v>
      </c>
      <c r="AI361" s="13">
        <v>77273</v>
      </c>
      <c r="AJ361" s="13">
        <v>1854552</v>
      </c>
      <c r="AK361" s="11">
        <v>278183</v>
      </c>
      <c r="AL361" s="11">
        <v>0</v>
      </c>
      <c r="AM361" s="11">
        <v>0</v>
      </c>
      <c r="AN361" s="9" t="s">
        <v>331</v>
      </c>
      <c r="AO361" s="11">
        <v>1576369</v>
      </c>
      <c r="AP361" s="13">
        <v>126110</v>
      </c>
      <c r="AQ361" s="13">
        <v>1702479</v>
      </c>
      <c r="AR361" s="12">
        <v>15.936</v>
      </c>
      <c r="AS361" s="9" t="s">
        <v>72</v>
      </c>
      <c r="AT361" s="12">
        <v>19.2</v>
      </c>
      <c r="AU361" s="9" t="s">
        <v>73</v>
      </c>
      <c r="AV361" s="9" t="s">
        <v>67</v>
      </c>
      <c r="AW361" s="9" t="s">
        <v>1222</v>
      </c>
      <c r="AX361" s="10">
        <v>45993</v>
      </c>
      <c r="AY361" s="9" t="s">
        <v>1223</v>
      </c>
      <c r="AZ361" s="9" t="s">
        <v>67</v>
      </c>
      <c r="BA361" s="9" t="s">
        <v>67</v>
      </c>
      <c r="BB361" s="12">
        <v>19.2</v>
      </c>
      <c r="BC361" s="9" t="s">
        <v>74</v>
      </c>
      <c r="BD361" s="9" t="s">
        <v>104</v>
      </c>
      <c r="BE361" s="9" t="s">
        <v>75</v>
      </c>
      <c r="BF361" s="11">
        <v>0</v>
      </c>
      <c r="BG361">
        <f t="shared" si="12"/>
        <v>12</v>
      </c>
      <c r="BH361" t="str">
        <f>VLOOKUP(BG361,[1]month!$A:$B,2,0)</f>
        <v>Desember</v>
      </c>
      <c r="BI361">
        <f t="shared" si="13"/>
        <v>2025</v>
      </c>
      <c r="BJ361" t="str">
        <f>VLOOKUP(I361,[1]Dist!$A:$B,2,0)</f>
        <v>Retail</v>
      </c>
      <c r="BK361" t="str">
        <f>IF(I361=11,VLOOKUP(Y361,[2]Sheet1!$C:$N,10,0),IF(I361=13,VLOOKUP(Y361,[3]Sheet1!$C:$N,10,0),IF(I361=15,VLOOKUP(Y361,[4]Sheet1!$C:$N,10,0),"Unknown")))</f>
        <v>ULTRAN</v>
      </c>
      <c r="BL361" t="str">
        <f>IF(I361=11,VLOOKUP(Y361,[2]Sheet1!$C:$N,12,0),IF(I361=13,VLOOKUP(Y361,[3]Sheet1!$C:$N,12,0),IF(I361=15,VLOOKUP(Y361,[4]Sheet1!$C:$N,12,0),"Unknown")))</f>
        <v>ULTRAN VERNIS</v>
      </c>
      <c r="BM361" t="str">
        <f>VLOOKUP(W361,[1]branch!$A:$B,2,0)</f>
        <v>HO CHI MINH</v>
      </c>
    </row>
    <row r="362" spans="1:65" x14ac:dyDescent="0.35">
      <c r="A362" s="10">
        <v>45994</v>
      </c>
      <c r="B362" s="9" t="s">
        <v>1224</v>
      </c>
      <c r="C362" s="9" t="s">
        <v>64</v>
      </c>
      <c r="D362" s="9" t="s">
        <v>92</v>
      </c>
      <c r="E362" s="11">
        <v>30</v>
      </c>
      <c r="F362" s="9" t="s">
        <v>93</v>
      </c>
      <c r="G362" s="9" t="s">
        <v>65</v>
      </c>
      <c r="H362" s="9" t="s">
        <v>66</v>
      </c>
      <c r="I362" s="9">
        <v>13</v>
      </c>
      <c r="J362" s="9" t="s">
        <v>811</v>
      </c>
      <c r="K362" s="9" t="s">
        <v>811</v>
      </c>
      <c r="L362" s="9" t="s">
        <v>811</v>
      </c>
      <c r="M362" s="9" t="s">
        <v>812</v>
      </c>
      <c r="N362" s="9" t="s">
        <v>813</v>
      </c>
      <c r="O362" s="9" t="s">
        <v>150</v>
      </c>
      <c r="P362" s="9" t="s">
        <v>67</v>
      </c>
      <c r="Q362" s="9" t="s">
        <v>98</v>
      </c>
      <c r="R362" s="9" t="s">
        <v>811</v>
      </c>
      <c r="S362" s="9" t="s">
        <v>812</v>
      </c>
      <c r="T362" s="9" t="s">
        <v>824</v>
      </c>
      <c r="U362" s="9" t="s">
        <v>67</v>
      </c>
      <c r="V362" s="9" t="s">
        <v>761</v>
      </c>
      <c r="W362" s="9" t="s">
        <v>762</v>
      </c>
      <c r="X362" s="11">
        <v>20</v>
      </c>
      <c r="Y362" s="9" t="s">
        <v>705</v>
      </c>
      <c r="Z362" s="9" t="s">
        <v>76</v>
      </c>
      <c r="AA362" s="9" t="s">
        <v>706</v>
      </c>
      <c r="AB362" s="9" t="s">
        <v>67</v>
      </c>
      <c r="AC362" s="9" t="s">
        <v>704</v>
      </c>
      <c r="AD362" s="11">
        <v>4</v>
      </c>
      <c r="AE362" s="9" t="s">
        <v>70</v>
      </c>
      <c r="AF362" s="9" t="s">
        <v>71</v>
      </c>
      <c r="AG362" s="13">
        <v>1</v>
      </c>
      <c r="AH362" s="9" t="s">
        <v>92</v>
      </c>
      <c r="AI362" s="13">
        <v>364545</v>
      </c>
      <c r="AJ362" s="13">
        <v>1458180</v>
      </c>
      <c r="AK362" s="11">
        <v>280700</v>
      </c>
      <c r="AL362" s="11">
        <v>0</v>
      </c>
      <c r="AM362" s="11">
        <v>0</v>
      </c>
      <c r="AN362" s="9" t="s">
        <v>314</v>
      </c>
      <c r="AO362" s="11">
        <v>1177480</v>
      </c>
      <c r="AP362" s="13">
        <v>94198</v>
      </c>
      <c r="AQ362" s="13">
        <v>1271678</v>
      </c>
      <c r="AR362" s="12">
        <v>10.231999999999999</v>
      </c>
      <c r="AS362" s="9" t="s">
        <v>72</v>
      </c>
      <c r="AT362" s="11">
        <v>10</v>
      </c>
      <c r="AU362" s="9" t="s">
        <v>73</v>
      </c>
      <c r="AV362" s="9" t="s">
        <v>67</v>
      </c>
      <c r="AW362" s="9" t="s">
        <v>1225</v>
      </c>
      <c r="AX362" s="10">
        <v>45993</v>
      </c>
      <c r="AY362" s="9" t="s">
        <v>1226</v>
      </c>
      <c r="AZ362" s="9" t="s">
        <v>67</v>
      </c>
      <c r="BA362" s="9" t="s">
        <v>67</v>
      </c>
      <c r="BB362" s="12">
        <v>10</v>
      </c>
      <c r="BC362" s="9" t="s">
        <v>74</v>
      </c>
      <c r="BD362" s="9" t="s">
        <v>104</v>
      </c>
      <c r="BE362" s="9" t="s">
        <v>75</v>
      </c>
      <c r="BF362" s="11">
        <v>0</v>
      </c>
      <c r="BG362">
        <f t="shared" si="12"/>
        <v>12</v>
      </c>
      <c r="BH362" t="str">
        <f>VLOOKUP(BG362,[1]month!$A:$B,2,0)</f>
        <v>Desember</v>
      </c>
      <c r="BI362">
        <f t="shared" si="13"/>
        <v>2025</v>
      </c>
      <c r="BJ362" t="str">
        <f>VLOOKUP(I362,[1]Dist!$A:$B,2,0)</f>
        <v>Retail</v>
      </c>
      <c r="BK362" t="str">
        <f>IF(I362=11,VLOOKUP(Y362,[2]Sheet1!$C:$N,10,0),IF(I362=13,VLOOKUP(Y362,[3]Sheet1!$C:$N,10,0),IF(I362=15,VLOOKUP(Y362,[4]Sheet1!$C:$N,10,0),"Unknown")))</f>
        <v>GO FAST</v>
      </c>
      <c r="BL362" t="str">
        <f>IF(I362=11,VLOOKUP(Y362,[2]Sheet1!$C:$N,12,0),IF(I362=13,VLOOKUP(Y362,[3]Sheet1!$C:$N,12,0),IF(I362=15,VLOOKUP(Y362,[4]Sheet1!$C:$N,12,0),"Unknown")))</f>
        <v>GO FAST BASE</v>
      </c>
      <c r="BM362" t="str">
        <f>VLOOKUP(W362,[1]branch!$A:$B,2,0)</f>
        <v>HO CHI MINH</v>
      </c>
    </row>
    <row r="363" spans="1:65" x14ac:dyDescent="0.35">
      <c r="A363" s="10">
        <v>45994</v>
      </c>
      <c r="B363" s="9" t="s">
        <v>1224</v>
      </c>
      <c r="C363" s="9" t="s">
        <v>64</v>
      </c>
      <c r="D363" s="9" t="s">
        <v>92</v>
      </c>
      <c r="E363" s="11">
        <v>30</v>
      </c>
      <c r="F363" s="9" t="s">
        <v>93</v>
      </c>
      <c r="G363" s="9" t="s">
        <v>65</v>
      </c>
      <c r="H363" s="9" t="s">
        <v>66</v>
      </c>
      <c r="I363" s="9">
        <v>13</v>
      </c>
      <c r="J363" s="9" t="s">
        <v>811</v>
      </c>
      <c r="K363" s="9" t="s">
        <v>811</v>
      </c>
      <c r="L363" s="9" t="s">
        <v>811</v>
      </c>
      <c r="M363" s="9" t="s">
        <v>812</v>
      </c>
      <c r="N363" s="9" t="s">
        <v>813</v>
      </c>
      <c r="O363" s="9" t="s">
        <v>150</v>
      </c>
      <c r="P363" s="9" t="s">
        <v>67</v>
      </c>
      <c r="Q363" s="9" t="s">
        <v>98</v>
      </c>
      <c r="R363" s="9" t="s">
        <v>811</v>
      </c>
      <c r="S363" s="9" t="s">
        <v>812</v>
      </c>
      <c r="T363" s="9" t="s">
        <v>824</v>
      </c>
      <c r="U363" s="9" t="s">
        <v>67</v>
      </c>
      <c r="V363" s="9" t="s">
        <v>761</v>
      </c>
      <c r="W363" s="9" t="s">
        <v>762</v>
      </c>
      <c r="X363" s="11">
        <v>30</v>
      </c>
      <c r="Y363" s="9" t="s">
        <v>847</v>
      </c>
      <c r="Z363" s="9" t="s">
        <v>76</v>
      </c>
      <c r="AA363" s="9" t="s">
        <v>848</v>
      </c>
      <c r="AB363" s="9" t="s">
        <v>67</v>
      </c>
      <c r="AC363" s="9" t="s">
        <v>849</v>
      </c>
      <c r="AD363" s="11">
        <v>6</v>
      </c>
      <c r="AE363" s="9" t="s">
        <v>70</v>
      </c>
      <c r="AF363" s="9" t="s">
        <v>71</v>
      </c>
      <c r="AG363" s="13">
        <v>1</v>
      </c>
      <c r="AH363" s="9" t="s">
        <v>92</v>
      </c>
      <c r="AI363" s="13">
        <v>1636364</v>
      </c>
      <c r="AJ363" s="13">
        <v>9818184</v>
      </c>
      <c r="AK363" s="11">
        <v>1890001</v>
      </c>
      <c r="AL363" s="11">
        <v>0</v>
      </c>
      <c r="AM363" s="11">
        <v>0</v>
      </c>
      <c r="AN363" s="9" t="s">
        <v>314</v>
      </c>
      <c r="AO363" s="11">
        <v>7928183</v>
      </c>
      <c r="AP363" s="13">
        <v>634255</v>
      </c>
      <c r="AQ363" s="13">
        <v>8562438</v>
      </c>
      <c r="AR363" s="11">
        <v>120</v>
      </c>
      <c r="AS363" s="9" t="s">
        <v>72</v>
      </c>
      <c r="AT363" s="12">
        <v>96.774000000000001</v>
      </c>
      <c r="AU363" s="9" t="s">
        <v>73</v>
      </c>
      <c r="AV363" s="9" t="s">
        <v>67</v>
      </c>
      <c r="AW363" s="9" t="s">
        <v>1225</v>
      </c>
      <c r="AX363" s="10">
        <v>45993</v>
      </c>
      <c r="AY363" s="9" t="s">
        <v>1226</v>
      </c>
      <c r="AZ363" s="9" t="s">
        <v>67</v>
      </c>
      <c r="BA363" s="9" t="s">
        <v>67</v>
      </c>
      <c r="BB363" s="12">
        <v>120</v>
      </c>
      <c r="BC363" s="9" t="s">
        <v>74</v>
      </c>
      <c r="BD363" s="9" t="s">
        <v>104</v>
      </c>
      <c r="BE363" s="9" t="s">
        <v>75</v>
      </c>
      <c r="BF363" s="11">
        <v>0</v>
      </c>
      <c r="BG363">
        <f t="shared" si="12"/>
        <v>12</v>
      </c>
      <c r="BH363" t="str">
        <f>VLOOKUP(BG363,[1]month!$A:$B,2,0)</f>
        <v>Desember</v>
      </c>
      <c r="BI363">
        <f t="shared" si="13"/>
        <v>2025</v>
      </c>
      <c r="BJ363" t="str">
        <f>VLOOKUP(I363,[1]Dist!$A:$B,2,0)</f>
        <v>Retail</v>
      </c>
      <c r="BK363" t="str">
        <f>IF(I363=11,VLOOKUP(Y363,[2]Sheet1!$C:$N,10,0),IF(I363=13,VLOOKUP(Y363,[3]Sheet1!$C:$N,10,0),IF(I363=15,VLOOKUP(Y363,[4]Sheet1!$C:$N,10,0),"Unknown")))</f>
        <v>U-PROOF</v>
      </c>
      <c r="BL363" t="str">
        <f>IF(I363=11,VLOOKUP(Y363,[2]Sheet1!$C:$N,12,0),IF(I363=13,VLOOKUP(Y363,[3]Sheet1!$C:$N,12,0),IF(I363=15,VLOOKUP(Y363,[4]Sheet1!$C:$N,12,0),"Unknown")))</f>
        <v>U-PROOF</v>
      </c>
      <c r="BM363" t="str">
        <f>VLOOKUP(W363,[1]branch!$A:$B,2,0)</f>
        <v>HO CHI MINH</v>
      </c>
    </row>
    <row r="364" spans="1:65" x14ac:dyDescent="0.35">
      <c r="A364" s="10">
        <v>45994</v>
      </c>
      <c r="B364" s="9" t="s">
        <v>1227</v>
      </c>
      <c r="C364" s="9" t="s">
        <v>64</v>
      </c>
      <c r="D364" s="9" t="s">
        <v>92</v>
      </c>
      <c r="E364" s="11">
        <v>30</v>
      </c>
      <c r="F364" s="9" t="s">
        <v>93</v>
      </c>
      <c r="G364" s="9" t="s">
        <v>65</v>
      </c>
      <c r="H364" s="9" t="s">
        <v>66</v>
      </c>
      <c r="I364" s="9">
        <v>13</v>
      </c>
      <c r="J364" s="9" t="s">
        <v>811</v>
      </c>
      <c r="K364" s="9" t="s">
        <v>811</v>
      </c>
      <c r="L364" s="9" t="s">
        <v>811</v>
      </c>
      <c r="M364" s="9" t="s">
        <v>812</v>
      </c>
      <c r="N364" s="9" t="s">
        <v>813</v>
      </c>
      <c r="O364" s="9" t="s">
        <v>150</v>
      </c>
      <c r="P364" s="9" t="s">
        <v>67</v>
      </c>
      <c r="Q364" s="9" t="s">
        <v>98</v>
      </c>
      <c r="R364" s="9" t="s">
        <v>811</v>
      </c>
      <c r="S364" s="9" t="s">
        <v>812</v>
      </c>
      <c r="T364" s="9" t="s">
        <v>824</v>
      </c>
      <c r="U364" s="9" t="s">
        <v>67</v>
      </c>
      <c r="V364" s="9" t="s">
        <v>761</v>
      </c>
      <c r="W364" s="9" t="s">
        <v>762</v>
      </c>
      <c r="X364" s="11">
        <v>10</v>
      </c>
      <c r="Y364" s="9" t="s">
        <v>580</v>
      </c>
      <c r="Z364" s="9" t="s">
        <v>68</v>
      </c>
      <c r="AA364" s="9" t="s">
        <v>581</v>
      </c>
      <c r="AB364" s="9" t="s">
        <v>67</v>
      </c>
      <c r="AC364" s="9" t="s">
        <v>383</v>
      </c>
      <c r="AD364" s="11">
        <v>1</v>
      </c>
      <c r="AE364" s="9" t="s">
        <v>70</v>
      </c>
      <c r="AF364" s="9" t="s">
        <v>71</v>
      </c>
      <c r="AG364" s="13">
        <v>1</v>
      </c>
      <c r="AH364" s="9" t="s">
        <v>92</v>
      </c>
      <c r="AI364" s="13">
        <v>470909</v>
      </c>
      <c r="AJ364" s="13">
        <v>470909</v>
      </c>
      <c r="AK364" s="11">
        <v>47091</v>
      </c>
      <c r="AL364" s="11">
        <v>0</v>
      </c>
      <c r="AM364" s="11">
        <v>0</v>
      </c>
      <c r="AN364" s="9" t="s">
        <v>415</v>
      </c>
      <c r="AO364" s="11">
        <v>423818</v>
      </c>
      <c r="AP364" s="13">
        <v>33905</v>
      </c>
      <c r="AQ364" s="13">
        <v>457723</v>
      </c>
      <c r="AR364" s="12">
        <v>1.2649999999999999</v>
      </c>
      <c r="AS364" s="9" t="s">
        <v>72</v>
      </c>
      <c r="AT364" s="11">
        <v>1</v>
      </c>
      <c r="AU364" s="9" t="s">
        <v>73</v>
      </c>
      <c r="AV364" s="9" t="s">
        <v>67</v>
      </c>
      <c r="AW364" s="9" t="s">
        <v>1228</v>
      </c>
      <c r="AX364" s="10">
        <v>45993</v>
      </c>
      <c r="AY364" s="9" t="s">
        <v>1229</v>
      </c>
      <c r="AZ364" s="9" t="s">
        <v>67</v>
      </c>
      <c r="BA364" s="9" t="s">
        <v>67</v>
      </c>
      <c r="BB364" s="12">
        <v>1</v>
      </c>
      <c r="BC364" s="9" t="s">
        <v>74</v>
      </c>
      <c r="BD364" s="9" t="s">
        <v>104</v>
      </c>
      <c r="BE364" s="9" t="s">
        <v>75</v>
      </c>
      <c r="BF364" s="11">
        <v>0</v>
      </c>
      <c r="BG364">
        <f t="shared" si="12"/>
        <v>12</v>
      </c>
      <c r="BH364" t="str">
        <f>VLOOKUP(BG364,[1]month!$A:$B,2,0)</f>
        <v>Desember</v>
      </c>
      <c r="BI364">
        <f t="shared" si="13"/>
        <v>2025</v>
      </c>
      <c r="BJ364" t="str">
        <f>VLOOKUP(I364,[1]Dist!$A:$B,2,0)</f>
        <v>Retail</v>
      </c>
      <c r="BK364" t="str">
        <f>IF(I364=11,VLOOKUP(Y364,[2]Sheet1!$C:$N,10,0),IF(I364=13,VLOOKUP(Y364,[3]Sheet1!$C:$N,10,0),IF(I364=15,VLOOKUP(Y364,[4]Sheet1!$C:$N,10,0),"Unknown")))</f>
        <v>PASTA</v>
      </c>
      <c r="BL364" t="str">
        <f>IF(I364=11,VLOOKUP(Y364,[2]Sheet1!$C:$N,12,0),IF(I364=13,VLOOKUP(Y364,[3]Sheet1!$C:$N,12,0),IF(I364=15,VLOOKUP(Y364,[4]Sheet1!$C:$N,12,0),"Unknown")))</f>
        <v>PASTA WB</v>
      </c>
      <c r="BM364" t="str">
        <f>VLOOKUP(W364,[1]branch!$A:$B,2,0)</f>
        <v>HO CHI MINH</v>
      </c>
    </row>
    <row r="365" spans="1:65" x14ac:dyDescent="0.35">
      <c r="A365" s="10">
        <v>45994</v>
      </c>
      <c r="B365" s="9" t="s">
        <v>1227</v>
      </c>
      <c r="C365" s="9" t="s">
        <v>64</v>
      </c>
      <c r="D365" s="9" t="s">
        <v>92</v>
      </c>
      <c r="E365" s="11">
        <v>30</v>
      </c>
      <c r="F365" s="9" t="s">
        <v>93</v>
      </c>
      <c r="G365" s="9" t="s">
        <v>65</v>
      </c>
      <c r="H365" s="9" t="s">
        <v>66</v>
      </c>
      <c r="I365" s="9">
        <v>13</v>
      </c>
      <c r="J365" s="9" t="s">
        <v>811</v>
      </c>
      <c r="K365" s="9" t="s">
        <v>811</v>
      </c>
      <c r="L365" s="9" t="s">
        <v>811</v>
      </c>
      <c r="M365" s="9" t="s">
        <v>812</v>
      </c>
      <c r="N365" s="9" t="s">
        <v>813</v>
      </c>
      <c r="O365" s="9" t="s">
        <v>150</v>
      </c>
      <c r="P365" s="9" t="s">
        <v>67</v>
      </c>
      <c r="Q365" s="9" t="s">
        <v>98</v>
      </c>
      <c r="R365" s="9" t="s">
        <v>811</v>
      </c>
      <c r="S365" s="9" t="s">
        <v>812</v>
      </c>
      <c r="T365" s="9" t="s">
        <v>824</v>
      </c>
      <c r="U365" s="9" t="s">
        <v>67</v>
      </c>
      <c r="V365" s="9" t="s">
        <v>761</v>
      </c>
      <c r="W365" s="9" t="s">
        <v>762</v>
      </c>
      <c r="X365" s="11">
        <v>20</v>
      </c>
      <c r="Y365" s="9" t="s">
        <v>576</v>
      </c>
      <c r="Z365" s="9" t="s">
        <v>68</v>
      </c>
      <c r="AA365" s="9" t="s">
        <v>577</v>
      </c>
      <c r="AB365" s="9" t="s">
        <v>67</v>
      </c>
      <c r="AC365" s="9" t="s">
        <v>383</v>
      </c>
      <c r="AD365" s="11">
        <v>1</v>
      </c>
      <c r="AE365" s="9" t="s">
        <v>70</v>
      </c>
      <c r="AF365" s="9" t="s">
        <v>71</v>
      </c>
      <c r="AG365" s="13">
        <v>1</v>
      </c>
      <c r="AH365" s="9" t="s">
        <v>92</v>
      </c>
      <c r="AI365" s="13">
        <v>499091</v>
      </c>
      <c r="AJ365" s="13">
        <v>499091</v>
      </c>
      <c r="AK365" s="11">
        <v>49909</v>
      </c>
      <c r="AL365" s="11">
        <v>0</v>
      </c>
      <c r="AM365" s="11">
        <v>0</v>
      </c>
      <c r="AN365" s="9" t="s">
        <v>415</v>
      </c>
      <c r="AO365" s="11">
        <v>449182</v>
      </c>
      <c r="AP365" s="13">
        <v>35935</v>
      </c>
      <c r="AQ365" s="13">
        <v>485117</v>
      </c>
      <c r="AR365" s="12">
        <v>1.48</v>
      </c>
      <c r="AS365" s="9" t="s">
        <v>72</v>
      </c>
      <c r="AT365" s="11">
        <v>1</v>
      </c>
      <c r="AU365" s="9" t="s">
        <v>73</v>
      </c>
      <c r="AV365" s="9" t="s">
        <v>67</v>
      </c>
      <c r="AW365" s="9" t="s">
        <v>1228</v>
      </c>
      <c r="AX365" s="10">
        <v>45993</v>
      </c>
      <c r="AY365" s="9" t="s">
        <v>1229</v>
      </c>
      <c r="AZ365" s="9" t="s">
        <v>67</v>
      </c>
      <c r="BA365" s="9" t="s">
        <v>67</v>
      </c>
      <c r="BB365" s="12">
        <v>1</v>
      </c>
      <c r="BC365" s="9" t="s">
        <v>74</v>
      </c>
      <c r="BD365" s="9" t="s">
        <v>104</v>
      </c>
      <c r="BE365" s="9" t="s">
        <v>75</v>
      </c>
      <c r="BF365" s="11">
        <v>0</v>
      </c>
      <c r="BG365">
        <f t="shared" si="12"/>
        <v>12</v>
      </c>
      <c r="BH365" t="str">
        <f>VLOOKUP(BG365,[1]month!$A:$B,2,0)</f>
        <v>Desember</v>
      </c>
      <c r="BI365">
        <f t="shared" si="13"/>
        <v>2025</v>
      </c>
      <c r="BJ365" t="str">
        <f>VLOOKUP(I365,[1]Dist!$A:$B,2,0)</f>
        <v>Retail</v>
      </c>
      <c r="BK365" t="str">
        <f>IF(I365=11,VLOOKUP(Y365,[2]Sheet1!$C:$N,10,0),IF(I365=13,VLOOKUP(Y365,[3]Sheet1!$C:$N,10,0),IF(I365=15,VLOOKUP(Y365,[4]Sheet1!$C:$N,10,0),"Unknown")))</f>
        <v>PASTA</v>
      </c>
      <c r="BL365" t="str">
        <f>IF(I365=11,VLOOKUP(Y365,[2]Sheet1!$C:$N,12,0),IF(I365=13,VLOOKUP(Y365,[3]Sheet1!$C:$N,12,0),IF(I365=15,VLOOKUP(Y365,[4]Sheet1!$C:$N,12,0),"Unknown")))</f>
        <v>PASTA WB</v>
      </c>
      <c r="BM365" t="str">
        <f>VLOOKUP(W365,[1]branch!$A:$B,2,0)</f>
        <v>HO CHI MINH</v>
      </c>
    </row>
    <row r="366" spans="1:65" x14ac:dyDescent="0.35">
      <c r="A366" s="10">
        <v>45994</v>
      </c>
      <c r="B366" s="9" t="s">
        <v>1227</v>
      </c>
      <c r="C366" s="9" t="s">
        <v>64</v>
      </c>
      <c r="D366" s="9" t="s">
        <v>92</v>
      </c>
      <c r="E366" s="11">
        <v>30</v>
      </c>
      <c r="F366" s="9" t="s">
        <v>93</v>
      </c>
      <c r="G366" s="9" t="s">
        <v>65</v>
      </c>
      <c r="H366" s="9" t="s">
        <v>66</v>
      </c>
      <c r="I366" s="9">
        <v>13</v>
      </c>
      <c r="J366" s="9" t="s">
        <v>811</v>
      </c>
      <c r="K366" s="9" t="s">
        <v>811</v>
      </c>
      <c r="L366" s="9" t="s">
        <v>811</v>
      </c>
      <c r="M366" s="9" t="s">
        <v>812</v>
      </c>
      <c r="N366" s="9" t="s">
        <v>813</v>
      </c>
      <c r="O366" s="9" t="s">
        <v>150</v>
      </c>
      <c r="P366" s="9" t="s">
        <v>67</v>
      </c>
      <c r="Q366" s="9" t="s">
        <v>98</v>
      </c>
      <c r="R366" s="9" t="s">
        <v>811</v>
      </c>
      <c r="S366" s="9" t="s">
        <v>812</v>
      </c>
      <c r="T366" s="9" t="s">
        <v>824</v>
      </c>
      <c r="U366" s="9" t="s">
        <v>67</v>
      </c>
      <c r="V366" s="9" t="s">
        <v>761</v>
      </c>
      <c r="W366" s="9" t="s">
        <v>762</v>
      </c>
      <c r="X366" s="11">
        <v>30</v>
      </c>
      <c r="Y366" s="9" t="s">
        <v>413</v>
      </c>
      <c r="Z366" s="9" t="s">
        <v>68</v>
      </c>
      <c r="AA366" s="9" t="s">
        <v>414</v>
      </c>
      <c r="AB366" s="9" t="s">
        <v>67</v>
      </c>
      <c r="AC366" s="9" t="s">
        <v>383</v>
      </c>
      <c r="AD366" s="11">
        <v>1</v>
      </c>
      <c r="AE366" s="9" t="s">
        <v>70</v>
      </c>
      <c r="AF366" s="9" t="s">
        <v>71</v>
      </c>
      <c r="AG366" s="13">
        <v>1</v>
      </c>
      <c r="AH366" s="9" t="s">
        <v>92</v>
      </c>
      <c r="AI366" s="13">
        <v>425455</v>
      </c>
      <c r="AJ366" s="13">
        <v>425455</v>
      </c>
      <c r="AK366" s="11">
        <v>42546</v>
      </c>
      <c r="AL366" s="11">
        <v>0</v>
      </c>
      <c r="AM366" s="11">
        <v>0</v>
      </c>
      <c r="AN366" s="9" t="s">
        <v>415</v>
      </c>
      <c r="AO366" s="11">
        <v>382909</v>
      </c>
      <c r="AP366" s="13">
        <v>30633</v>
      </c>
      <c r="AQ366" s="13">
        <v>413542</v>
      </c>
      <c r="AR366" s="12">
        <v>1.998</v>
      </c>
      <c r="AS366" s="9" t="s">
        <v>72</v>
      </c>
      <c r="AT366" s="11">
        <v>1</v>
      </c>
      <c r="AU366" s="9" t="s">
        <v>73</v>
      </c>
      <c r="AV366" s="9" t="s">
        <v>67</v>
      </c>
      <c r="AW366" s="9" t="s">
        <v>1228</v>
      </c>
      <c r="AX366" s="10">
        <v>45993</v>
      </c>
      <c r="AY366" s="9" t="s">
        <v>1229</v>
      </c>
      <c r="AZ366" s="9" t="s">
        <v>67</v>
      </c>
      <c r="BA366" s="9" t="s">
        <v>67</v>
      </c>
      <c r="BB366" s="12">
        <v>1</v>
      </c>
      <c r="BC366" s="9" t="s">
        <v>74</v>
      </c>
      <c r="BD366" s="9" t="s">
        <v>104</v>
      </c>
      <c r="BE366" s="9" t="s">
        <v>75</v>
      </c>
      <c r="BF366" s="11">
        <v>0</v>
      </c>
      <c r="BG366">
        <f t="shared" si="12"/>
        <v>12</v>
      </c>
      <c r="BH366" t="str">
        <f>VLOOKUP(BG366,[1]month!$A:$B,2,0)</f>
        <v>Desember</v>
      </c>
      <c r="BI366">
        <f t="shared" si="13"/>
        <v>2025</v>
      </c>
      <c r="BJ366" t="str">
        <f>VLOOKUP(I366,[1]Dist!$A:$B,2,0)</f>
        <v>Retail</v>
      </c>
      <c r="BK366" t="str">
        <f>IF(I366=11,VLOOKUP(Y366,[2]Sheet1!$C:$N,10,0),IF(I366=13,VLOOKUP(Y366,[3]Sheet1!$C:$N,10,0),IF(I366=15,VLOOKUP(Y366,[4]Sheet1!$C:$N,10,0),"Unknown")))</f>
        <v>PASTA</v>
      </c>
      <c r="BL366" t="str">
        <f>IF(I366=11,VLOOKUP(Y366,[2]Sheet1!$C:$N,12,0),IF(I366=13,VLOOKUP(Y366,[3]Sheet1!$C:$N,12,0),IF(I366=15,VLOOKUP(Y366,[4]Sheet1!$C:$N,12,0),"Unknown")))</f>
        <v>PASTA WB</v>
      </c>
      <c r="BM366" t="str">
        <f>VLOOKUP(W366,[1]branch!$A:$B,2,0)</f>
        <v>HO CHI MINH</v>
      </c>
    </row>
    <row r="367" spans="1:65" x14ac:dyDescent="0.35">
      <c r="A367" s="10">
        <v>45994</v>
      </c>
      <c r="B367" s="9" t="s">
        <v>1230</v>
      </c>
      <c r="C367" s="9" t="s">
        <v>64</v>
      </c>
      <c r="D367" s="9" t="s">
        <v>92</v>
      </c>
      <c r="E367" s="11">
        <v>30</v>
      </c>
      <c r="F367" s="9" t="s">
        <v>93</v>
      </c>
      <c r="G367" s="9" t="s">
        <v>65</v>
      </c>
      <c r="H367" s="9" t="s">
        <v>66</v>
      </c>
      <c r="I367" s="9">
        <v>13</v>
      </c>
      <c r="J367" s="9" t="s">
        <v>811</v>
      </c>
      <c r="K367" s="9" t="s">
        <v>811</v>
      </c>
      <c r="L367" s="9" t="s">
        <v>811</v>
      </c>
      <c r="M367" s="9" t="s">
        <v>812</v>
      </c>
      <c r="N367" s="9" t="s">
        <v>813</v>
      </c>
      <c r="O367" s="9" t="s">
        <v>150</v>
      </c>
      <c r="P367" s="9" t="s">
        <v>67</v>
      </c>
      <c r="Q367" s="9" t="s">
        <v>98</v>
      </c>
      <c r="R367" s="9" t="s">
        <v>811</v>
      </c>
      <c r="S367" s="9" t="s">
        <v>812</v>
      </c>
      <c r="T367" s="9" t="s">
        <v>824</v>
      </c>
      <c r="U367" s="9" t="s">
        <v>67</v>
      </c>
      <c r="V367" s="9" t="s">
        <v>761</v>
      </c>
      <c r="W367" s="9" t="s">
        <v>762</v>
      </c>
      <c r="X367" s="11">
        <v>10</v>
      </c>
      <c r="Y367" s="9" t="s">
        <v>763</v>
      </c>
      <c r="Z367" s="9" t="s">
        <v>76</v>
      </c>
      <c r="AA367" s="9" t="s">
        <v>764</v>
      </c>
      <c r="AB367" s="9" t="s">
        <v>67</v>
      </c>
      <c r="AC367" s="9" t="s">
        <v>765</v>
      </c>
      <c r="AD367" s="11">
        <v>5</v>
      </c>
      <c r="AE367" s="9" t="s">
        <v>70</v>
      </c>
      <c r="AF367" s="9" t="s">
        <v>71</v>
      </c>
      <c r="AG367" s="13">
        <v>1</v>
      </c>
      <c r="AH367" s="9" t="s">
        <v>92</v>
      </c>
      <c r="AI367" s="13">
        <v>950000</v>
      </c>
      <c r="AJ367" s="13">
        <v>4750000</v>
      </c>
      <c r="AK367" s="11">
        <v>0</v>
      </c>
      <c r="AL367" s="11">
        <v>0</v>
      </c>
      <c r="AM367" s="11">
        <v>0</v>
      </c>
      <c r="AN367" s="9" t="s">
        <v>67</v>
      </c>
      <c r="AO367" s="11">
        <v>4750000</v>
      </c>
      <c r="AP367" s="13">
        <v>380000</v>
      </c>
      <c r="AQ367" s="13">
        <v>5130000</v>
      </c>
      <c r="AR367" s="11">
        <v>100</v>
      </c>
      <c r="AS367" s="9" t="s">
        <v>72</v>
      </c>
      <c r="AT367" s="12">
        <v>95.24</v>
      </c>
      <c r="AU367" s="9" t="s">
        <v>73</v>
      </c>
      <c r="AV367" s="9" t="s">
        <v>67</v>
      </c>
      <c r="AW367" s="9" t="s">
        <v>1231</v>
      </c>
      <c r="AX367" s="10">
        <v>45993</v>
      </c>
      <c r="AY367" s="9" t="s">
        <v>1232</v>
      </c>
      <c r="AZ367" s="9" t="s">
        <v>67</v>
      </c>
      <c r="BA367" s="9" t="s">
        <v>67</v>
      </c>
      <c r="BB367" s="12">
        <v>100</v>
      </c>
      <c r="BC367" s="9" t="s">
        <v>74</v>
      </c>
      <c r="BD367" s="9" t="s">
        <v>104</v>
      </c>
      <c r="BE367" s="9" t="s">
        <v>75</v>
      </c>
      <c r="BF367" s="11">
        <v>0</v>
      </c>
      <c r="BG367">
        <f t="shared" si="12"/>
        <v>12</v>
      </c>
      <c r="BH367" t="str">
        <f>VLOOKUP(BG367,[1]month!$A:$B,2,0)</f>
        <v>Desember</v>
      </c>
      <c r="BI367">
        <f t="shared" si="13"/>
        <v>2025</v>
      </c>
      <c r="BJ367" t="str">
        <f>VLOOKUP(I367,[1]Dist!$A:$B,2,0)</f>
        <v>Retail</v>
      </c>
      <c r="BK367" t="str">
        <f>IF(I367=11,VLOOKUP(Y367,[2]Sheet1!$C:$N,10,0),IF(I367=13,VLOOKUP(Y367,[3]Sheet1!$C:$N,10,0),IF(I367=15,VLOOKUP(Y367,[4]Sheet1!$C:$N,10,0),"Unknown")))</f>
        <v>POLYFLOOR</v>
      </c>
      <c r="BL367" t="str">
        <f>IF(I367=11,VLOOKUP(Y367,[2]Sheet1!$C:$N,12,0),IF(I367=13,VLOOKUP(Y367,[3]Sheet1!$C:$N,12,0),IF(I367=15,VLOOKUP(Y367,[4]Sheet1!$C:$N,12,0),"Unknown")))</f>
        <v>POLYFLOOR CEMENT</v>
      </c>
      <c r="BM367" t="str">
        <f>VLOOKUP(W367,[1]branch!$A:$B,2,0)</f>
        <v>HO CHI MINH</v>
      </c>
    </row>
    <row r="368" spans="1:65" x14ac:dyDescent="0.35">
      <c r="A368" s="10">
        <v>45994</v>
      </c>
      <c r="B368" s="9" t="s">
        <v>1233</v>
      </c>
      <c r="C368" s="9" t="s">
        <v>64</v>
      </c>
      <c r="D368" s="9" t="s">
        <v>92</v>
      </c>
      <c r="E368" s="11">
        <v>30</v>
      </c>
      <c r="F368" s="9" t="s">
        <v>93</v>
      </c>
      <c r="G368" s="9" t="s">
        <v>65</v>
      </c>
      <c r="H368" s="9" t="s">
        <v>66</v>
      </c>
      <c r="I368" s="9">
        <v>13</v>
      </c>
      <c r="J368" s="9" t="s">
        <v>846</v>
      </c>
      <c r="K368" s="9" t="s">
        <v>846</v>
      </c>
      <c r="L368" s="9" t="s">
        <v>846</v>
      </c>
      <c r="M368" s="9" t="s">
        <v>1589</v>
      </c>
      <c r="N368" s="9" t="s">
        <v>931</v>
      </c>
      <c r="O368" s="9" t="s">
        <v>601</v>
      </c>
      <c r="P368" s="9" t="s">
        <v>67</v>
      </c>
      <c r="Q368" s="9" t="s">
        <v>98</v>
      </c>
      <c r="R368" s="9" t="s">
        <v>846</v>
      </c>
      <c r="S368" s="9" t="s">
        <v>1589</v>
      </c>
      <c r="T368" s="9" t="s">
        <v>1590</v>
      </c>
      <c r="U368" s="9" t="s">
        <v>67</v>
      </c>
      <c r="V368" s="9" t="s">
        <v>151</v>
      </c>
      <c r="W368" s="9" t="s">
        <v>152</v>
      </c>
      <c r="X368" s="11">
        <v>10</v>
      </c>
      <c r="Y368" s="9" t="s">
        <v>268</v>
      </c>
      <c r="Z368" s="9" t="s">
        <v>68</v>
      </c>
      <c r="AA368" s="9" t="s">
        <v>269</v>
      </c>
      <c r="AB368" s="9" t="s">
        <v>67</v>
      </c>
      <c r="AC368" s="9" t="s">
        <v>270</v>
      </c>
      <c r="AD368" s="11">
        <v>1</v>
      </c>
      <c r="AE368" s="9" t="s">
        <v>70</v>
      </c>
      <c r="AF368" s="9" t="s">
        <v>71</v>
      </c>
      <c r="AG368" s="13">
        <v>1</v>
      </c>
      <c r="AH368" s="9" t="s">
        <v>92</v>
      </c>
      <c r="AI368" s="13">
        <v>88889</v>
      </c>
      <c r="AJ368" s="13">
        <v>88889</v>
      </c>
      <c r="AK368" s="11">
        <v>0</v>
      </c>
      <c r="AL368" s="11">
        <v>0</v>
      </c>
      <c r="AM368" s="11">
        <v>0</v>
      </c>
      <c r="AN368" s="9" t="s">
        <v>67</v>
      </c>
      <c r="AO368" s="11">
        <v>88889</v>
      </c>
      <c r="AP368" s="13">
        <v>7111</v>
      </c>
      <c r="AQ368" s="13">
        <v>96000</v>
      </c>
      <c r="AR368" s="12">
        <v>0.66400000000000003</v>
      </c>
      <c r="AS368" s="9" t="s">
        <v>72</v>
      </c>
      <c r="AT368" s="12">
        <v>0.8</v>
      </c>
      <c r="AU368" s="9" t="s">
        <v>73</v>
      </c>
      <c r="AV368" s="9" t="s">
        <v>67</v>
      </c>
      <c r="AW368" s="9" t="s">
        <v>1234</v>
      </c>
      <c r="AX368" s="10">
        <v>45994</v>
      </c>
      <c r="AY368" s="9" t="s">
        <v>1235</v>
      </c>
      <c r="AZ368" s="9" t="s">
        <v>67</v>
      </c>
      <c r="BA368" s="9" t="s">
        <v>67</v>
      </c>
      <c r="BB368" s="12">
        <v>0.8</v>
      </c>
      <c r="BC368" s="9" t="s">
        <v>74</v>
      </c>
      <c r="BD368" s="9" t="s">
        <v>104</v>
      </c>
      <c r="BE368" s="9" t="s">
        <v>75</v>
      </c>
      <c r="BF368" s="11">
        <v>0</v>
      </c>
      <c r="BG368">
        <f t="shared" si="12"/>
        <v>12</v>
      </c>
      <c r="BH368" t="str">
        <f>VLOOKUP(BG368,[1]month!$A:$B,2,0)</f>
        <v>Desember</v>
      </c>
      <c r="BI368">
        <f t="shared" si="13"/>
        <v>2025</v>
      </c>
      <c r="BJ368" t="str">
        <f>VLOOKUP(I368,[1]Dist!$A:$B,2,0)</f>
        <v>Retail</v>
      </c>
      <c r="BK368" t="str">
        <f>IF(I368=11,VLOOKUP(Y368,[2]Sheet1!$C:$N,10,0),IF(I368=13,VLOOKUP(Y368,[3]Sheet1!$C:$N,10,0),IF(I368=15,VLOOKUP(Y368,[4]Sheet1!$C:$N,10,0),"Unknown")))</f>
        <v>ULTRAN</v>
      </c>
      <c r="BL368" t="str">
        <f>IF(I368=11,VLOOKUP(Y368,[2]Sheet1!$C:$N,12,0),IF(I368=13,VLOOKUP(Y368,[3]Sheet1!$C:$N,12,0),IF(I368=15,VLOOKUP(Y368,[4]Sheet1!$C:$N,12,0),"Unknown")))</f>
        <v>ULTRAN VERNIS</v>
      </c>
      <c r="BM368" t="str">
        <f>VLOOKUP(W368,[1]branch!$A:$B,2,0)</f>
        <v>HO CHI MINH</v>
      </c>
    </row>
    <row r="369" spans="1:65" x14ac:dyDescent="0.35">
      <c r="A369" s="10">
        <v>45995</v>
      </c>
      <c r="B369" s="9" t="s">
        <v>1237</v>
      </c>
      <c r="C369" s="9" t="s">
        <v>64</v>
      </c>
      <c r="D369" s="9" t="s">
        <v>92</v>
      </c>
      <c r="E369" s="11">
        <v>30</v>
      </c>
      <c r="F369" s="9" t="s">
        <v>93</v>
      </c>
      <c r="G369" s="9" t="s">
        <v>65</v>
      </c>
      <c r="H369" s="9" t="s">
        <v>66</v>
      </c>
      <c r="I369" s="9">
        <v>11</v>
      </c>
      <c r="J369" s="9" t="s">
        <v>523</v>
      </c>
      <c r="K369" s="9" t="s">
        <v>523</v>
      </c>
      <c r="L369" s="9" t="s">
        <v>523</v>
      </c>
      <c r="M369" s="9" t="s">
        <v>524</v>
      </c>
      <c r="N369" s="9" t="s">
        <v>903</v>
      </c>
      <c r="O369" s="9" t="s">
        <v>378</v>
      </c>
      <c r="P369" s="9" t="s">
        <v>67</v>
      </c>
      <c r="Q369" s="9" t="s">
        <v>98</v>
      </c>
      <c r="R369" s="9" t="s">
        <v>523</v>
      </c>
      <c r="S369" s="9" t="s">
        <v>524</v>
      </c>
      <c r="T369" s="9" t="s">
        <v>804</v>
      </c>
      <c r="U369" s="9" t="s">
        <v>67</v>
      </c>
      <c r="V369" s="9" t="s">
        <v>146</v>
      </c>
      <c r="W369" s="9" t="s">
        <v>147</v>
      </c>
      <c r="X369" s="11">
        <v>10</v>
      </c>
      <c r="Y369" s="9" t="s">
        <v>552</v>
      </c>
      <c r="Z369" s="9" t="s">
        <v>68</v>
      </c>
      <c r="AA369" s="9" t="s">
        <v>553</v>
      </c>
      <c r="AB369" s="9" t="s">
        <v>67</v>
      </c>
      <c r="AC369" s="9" t="s">
        <v>139</v>
      </c>
      <c r="AD369" s="11">
        <v>2</v>
      </c>
      <c r="AE369" s="9" t="s">
        <v>70</v>
      </c>
      <c r="AF369" s="9" t="s">
        <v>71</v>
      </c>
      <c r="AG369" s="13">
        <v>1</v>
      </c>
      <c r="AH369" s="9" t="s">
        <v>92</v>
      </c>
      <c r="AI369" s="13">
        <v>9484000</v>
      </c>
      <c r="AJ369" s="13">
        <v>18968000</v>
      </c>
      <c r="AK369" s="11">
        <v>0</v>
      </c>
      <c r="AL369" s="11">
        <v>0</v>
      </c>
      <c r="AM369" s="11">
        <v>0</v>
      </c>
      <c r="AN369" s="9" t="s">
        <v>67</v>
      </c>
      <c r="AO369" s="11">
        <v>18968000</v>
      </c>
      <c r="AP369" s="13">
        <v>1517440</v>
      </c>
      <c r="AQ369" s="13">
        <v>20485440</v>
      </c>
      <c r="AR369" s="11">
        <v>352</v>
      </c>
      <c r="AS369" s="9" t="s">
        <v>72</v>
      </c>
      <c r="AT369" s="11">
        <v>400</v>
      </c>
      <c r="AU369" s="9" t="s">
        <v>73</v>
      </c>
      <c r="AV369" s="9" t="s">
        <v>67</v>
      </c>
      <c r="AW369" s="9" t="s">
        <v>1238</v>
      </c>
      <c r="AX369" s="10">
        <v>45994</v>
      </c>
      <c r="AY369" s="9" t="s">
        <v>1239</v>
      </c>
      <c r="AZ369" s="9" t="s">
        <v>67</v>
      </c>
      <c r="BA369" s="9" t="s">
        <v>67</v>
      </c>
      <c r="BB369" s="12">
        <v>400</v>
      </c>
      <c r="BC369" s="9" t="s">
        <v>74</v>
      </c>
      <c r="BD369" s="9" t="s">
        <v>104</v>
      </c>
      <c r="BE369" s="9" t="s">
        <v>75</v>
      </c>
      <c r="BF369" s="11">
        <v>0</v>
      </c>
      <c r="BG369">
        <f t="shared" si="12"/>
        <v>12</v>
      </c>
      <c r="BH369" t="str">
        <f>VLOOKUP(BG369,[1]month!$A:$B,2,0)</f>
        <v>Desember</v>
      </c>
      <c r="BI369">
        <f t="shared" si="13"/>
        <v>2025</v>
      </c>
      <c r="BJ369" t="str">
        <f>VLOOKUP(I369,[1]Dist!$A:$B,2,0)</f>
        <v>Industry</v>
      </c>
      <c r="BK369" t="str">
        <f>IF(I369=11,VLOOKUP(Y369,[2]Sheet1!$C:$N,10,0),IF(I369=13,VLOOKUP(Y369,[3]Sheet1!$C:$N,10,0),IF(I369=15,VLOOKUP(Y369,[4]Sheet1!$C:$N,10,0),"Unknown")))</f>
        <v>THINNER NC</v>
      </c>
      <c r="BL369" t="str">
        <f>IF(I369=11,VLOOKUP(Y369,[2]Sheet1!$C:$N,12,0),IF(I369=13,VLOOKUP(Y369,[3]Sheet1!$C:$N,12,0),IF(I369=15,VLOOKUP(Y369,[4]Sheet1!$C:$N,12,0),"Unknown")))</f>
        <v>THINNER COMPLEMENTARY</v>
      </c>
      <c r="BM369" t="str">
        <f>VLOOKUP(W369,[1]branch!$A:$B,2,0)</f>
        <v>INDUSTRY</v>
      </c>
    </row>
    <row r="370" spans="1:65" x14ac:dyDescent="0.35">
      <c r="A370" s="10">
        <v>45995</v>
      </c>
      <c r="B370" s="9" t="s">
        <v>1240</v>
      </c>
      <c r="C370" s="9" t="s">
        <v>64</v>
      </c>
      <c r="D370" s="9" t="s">
        <v>92</v>
      </c>
      <c r="E370" s="11">
        <v>0</v>
      </c>
      <c r="F370" s="9" t="s">
        <v>93</v>
      </c>
      <c r="G370" s="9" t="s">
        <v>65</v>
      </c>
      <c r="H370" s="9" t="s">
        <v>66</v>
      </c>
      <c r="I370" s="9">
        <v>11</v>
      </c>
      <c r="J370" s="9" t="s">
        <v>616</v>
      </c>
      <c r="K370" s="9" t="s">
        <v>616</v>
      </c>
      <c r="L370" s="9" t="s">
        <v>616</v>
      </c>
      <c r="M370" s="9" t="s">
        <v>617</v>
      </c>
      <c r="N370" s="9" t="s">
        <v>905</v>
      </c>
      <c r="O370" s="9" t="s">
        <v>97</v>
      </c>
      <c r="P370" s="9" t="s">
        <v>67</v>
      </c>
      <c r="Q370" s="9" t="s">
        <v>98</v>
      </c>
      <c r="R370" s="9" t="s">
        <v>616</v>
      </c>
      <c r="S370" s="9" t="s">
        <v>617</v>
      </c>
      <c r="T370" s="9" t="s">
        <v>842</v>
      </c>
      <c r="U370" s="9" t="s">
        <v>67</v>
      </c>
      <c r="V370" s="9" t="s">
        <v>221</v>
      </c>
      <c r="W370" s="9" t="s">
        <v>222</v>
      </c>
      <c r="X370" s="11">
        <v>10</v>
      </c>
      <c r="Y370" s="9" t="s">
        <v>215</v>
      </c>
      <c r="Z370" s="9" t="s">
        <v>68</v>
      </c>
      <c r="AA370" s="9" t="s">
        <v>216</v>
      </c>
      <c r="AB370" s="9" t="s">
        <v>67</v>
      </c>
      <c r="AC370" s="9" t="s">
        <v>217</v>
      </c>
      <c r="AD370" s="11">
        <v>10</v>
      </c>
      <c r="AE370" s="9" t="s">
        <v>70</v>
      </c>
      <c r="AF370" s="9" t="s">
        <v>71</v>
      </c>
      <c r="AG370" s="13">
        <v>1</v>
      </c>
      <c r="AH370" s="9" t="s">
        <v>92</v>
      </c>
      <c r="AI370" s="13">
        <v>2653600</v>
      </c>
      <c r="AJ370" s="13">
        <v>26536000</v>
      </c>
      <c r="AK370" s="11">
        <v>0</v>
      </c>
      <c r="AL370" s="11">
        <v>0</v>
      </c>
      <c r="AM370" s="11">
        <v>0</v>
      </c>
      <c r="AN370" s="9" t="s">
        <v>67</v>
      </c>
      <c r="AO370" s="11">
        <v>26536000</v>
      </c>
      <c r="AP370" s="13">
        <v>2122880</v>
      </c>
      <c r="AQ370" s="13">
        <v>28658880</v>
      </c>
      <c r="AR370" s="11">
        <v>200</v>
      </c>
      <c r="AS370" s="9" t="s">
        <v>72</v>
      </c>
      <c r="AT370" s="12">
        <v>168.1</v>
      </c>
      <c r="AU370" s="9" t="s">
        <v>73</v>
      </c>
      <c r="AV370" s="9" t="s">
        <v>67</v>
      </c>
      <c r="AW370" s="9" t="s">
        <v>1241</v>
      </c>
      <c r="AX370" s="10">
        <v>45994</v>
      </c>
      <c r="AY370" s="9" t="s">
        <v>1242</v>
      </c>
      <c r="AZ370" s="9" t="s">
        <v>67</v>
      </c>
      <c r="BA370" s="9" t="s">
        <v>67</v>
      </c>
      <c r="BB370" s="12">
        <v>200</v>
      </c>
      <c r="BC370" s="9" t="s">
        <v>74</v>
      </c>
      <c r="BD370" s="9" t="s">
        <v>104</v>
      </c>
      <c r="BE370" s="9" t="s">
        <v>75</v>
      </c>
      <c r="BF370" s="11">
        <v>0</v>
      </c>
      <c r="BG370">
        <f t="shared" si="12"/>
        <v>12</v>
      </c>
      <c r="BH370" t="str">
        <f>VLOOKUP(BG370,[1]month!$A:$B,2,0)</f>
        <v>Desember</v>
      </c>
      <c r="BI370">
        <f t="shared" si="13"/>
        <v>2025</v>
      </c>
      <c r="BJ370" t="str">
        <f>VLOOKUP(I370,[1]Dist!$A:$B,2,0)</f>
        <v>Industry</v>
      </c>
      <c r="BK370" t="str">
        <f>IF(I370=11,VLOOKUP(Y370,[2]Sheet1!$C:$N,10,0),IF(I370=13,VLOOKUP(Y370,[3]Sheet1!$C:$N,10,0),IF(I370=15,VLOOKUP(Y370,[4]Sheet1!$C:$N,10,0),"Unknown")))</f>
        <v>PU</v>
      </c>
      <c r="BL370" t="str">
        <f>IF(I370=11,VLOOKUP(Y370,[2]Sheet1!$C:$N,12,0),IF(I370=13,VLOOKUP(Y370,[3]Sheet1!$C:$N,12,0),IF(I370=15,VLOOKUP(Y370,[4]Sheet1!$C:$N,12,0),"Unknown")))</f>
        <v>PU COLOR</v>
      </c>
      <c r="BM370" t="str">
        <f>VLOOKUP(W370,[1]branch!$A:$B,2,0)</f>
        <v>INDUSTRY</v>
      </c>
    </row>
    <row r="371" spans="1:65" x14ac:dyDescent="0.35">
      <c r="A371" s="10">
        <v>45995</v>
      </c>
      <c r="B371" s="9" t="s">
        <v>1240</v>
      </c>
      <c r="C371" s="9" t="s">
        <v>64</v>
      </c>
      <c r="D371" s="9" t="s">
        <v>92</v>
      </c>
      <c r="E371" s="11">
        <v>0</v>
      </c>
      <c r="F371" s="9" t="s">
        <v>93</v>
      </c>
      <c r="G371" s="9" t="s">
        <v>65</v>
      </c>
      <c r="H371" s="9" t="s">
        <v>66</v>
      </c>
      <c r="I371" s="9">
        <v>11</v>
      </c>
      <c r="J371" s="9" t="s">
        <v>616</v>
      </c>
      <c r="K371" s="9" t="s">
        <v>616</v>
      </c>
      <c r="L371" s="9" t="s">
        <v>616</v>
      </c>
      <c r="M371" s="9" t="s">
        <v>617</v>
      </c>
      <c r="N371" s="9" t="s">
        <v>905</v>
      </c>
      <c r="O371" s="9" t="s">
        <v>97</v>
      </c>
      <c r="P371" s="9" t="s">
        <v>67</v>
      </c>
      <c r="Q371" s="9" t="s">
        <v>98</v>
      </c>
      <c r="R371" s="9" t="s">
        <v>616</v>
      </c>
      <c r="S371" s="9" t="s">
        <v>617</v>
      </c>
      <c r="T371" s="9" t="s">
        <v>842</v>
      </c>
      <c r="U371" s="9" t="s">
        <v>67</v>
      </c>
      <c r="V371" s="9" t="s">
        <v>221</v>
      </c>
      <c r="W371" s="9" t="s">
        <v>222</v>
      </c>
      <c r="X371" s="11">
        <v>20</v>
      </c>
      <c r="Y371" s="9" t="s">
        <v>123</v>
      </c>
      <c r="Z371" s="9" t="s">
        <v>68</v>
      </c>
      <c r="AA371" s="9" t="s">
        <v>124</v>
      </c>
      <c r="AB371" s="9" t="s">
        <v>67</v>
      </c>
      <c r="AC371" s="9" t="s">
        <v>125</v>
      </c>
      <c r="AD371" s="11">
        <v>2</v>
      </c>
      <c r="AE371" s="9" t="s">
        <v>70</v>
      </c>
      <c r="AF371" s="9" t="s">
        <v>71</v>
      </c>
      <c r="AG371" s="13">
        <v>1</v>
      </c>
      <c r="AH371" s="9" t="s">
        <v>92</v>
      </c>
      <c r="AI371" s="13">
        <v>2491600</v>
      </c>
      <c r="AJ371" s="13">
        <v>4983200</v>
      </c>
      <c r="AK371" s="11">
        <v>0</v>
      </c>
      <c r="AL371" s="11">
        <v>0</v>
      </c>
      <c r="AM371" s="11">
        <v>0</v>
      </c>
      <c r="AN371" s="9" t="s">
        <v>67</v>
      </c>
      <c r="AO371" s="11">
        <v>4983200</v>
      </c>
      <c r="AP371" s="13">
        <v>398656</v>
      </c>
      <c r="AQ371" s="13">
        <v>5381856</v>
      </c>
      <c r="AR371" s="12">
        <v>39.200000000000003</v>
      </c>
      <c r="AS371" s="9" t="s">
        <v>72</v>
      </c>
      <c r="AT371" s="11">
        <v>40</v>
      </c>
      <c r="AU371" s="9" t="s">
        <v>73</v>
      </c>
      <c r="AV371" s="9" t="s">
        <v>67</v>
      </c>
      <c r="AW371" s="9" t="s">
        <v>1241</v>
      </c>
      <c r="AX371" s="10">
        <v>45994</v>
      </c>
      <c r="AY371" s="9" t="s">
        <v>1242</v>
      </c>
      <c r="AZ371" s="9" t="s">
        <v>67</v>
      </c>
      <c r="BA371" s="9" t="s">
        <v>67</v>
      </c>
      <c r="BB371" s="12">
        <v>40</v>
      </c>
      <c r="BC371" s="9" t="s">
        <v>74</v>
      </c>
      <c r="BD371" s="9" t="s">
        <v>104</v>
      </c>
      <c r="BE371" s="9" t="s">
        <v>75</v>
      </c>
      <c r="BF371" s="11">
        <v>0</v>
      </c>
      <c r="BG371">
        <f t="shared" si="12"/>
        <v>12</v>
      </c>
      <c r="BH371" t="str">
        <f>VLOOKUP(BG371,[1]month!$A:$B,2,0)</f>
        <v>Desember</v>
      </c>
      <c r="BI371">
        <f t="shared" si="13"/>
        <v>2025</v>
      </c>
      <c r="BJ371" t="str">
        <f>VLOOKUP(I371,[1]Dist!$A:$B,2,0)</f>
        <v>Industry</v>
      </c>
      <c r="BK371" t="str">
        <f>IF(I371=11,VLOOKUP(Y371,[2]Sheet1!$C:$N,10,0),IF(I371=13,VLOOKUP(Y371,[3]Sheet1!$C:$N,10,0),IF(I371=15,VLOOKUP(Y371,[4]Sheet1!$C:$N,10,0),"Unknown")))</f>
        <v>PU</v>
      </c>
      <c r="BL371" t="str">
        <f>IF(I371=11,VLOOKUP(Y371,[2]Sheet1!$C:$N,12,0),IF(I371=13,VLOOKUP(Y371,[3]Sheet1!$C:$N,12,0),IF(I371=15,VLOOKUP(Y371,[4]Sheet1!$C:$N,12,0),"Unknown")))</f>
        <v>PU HARDENER</v>
      </c>
      <c r="BM371" t="str">
        <f>VLOOKUP(W371,[1]branch!$A:$B,2,0)</f>
        <v>INDUSTRY</v>
      </c>
    </row>
    <row r="372" spans="1:65" x14ac:dyDescent="0.35">
      <c r="A372" s="10">
        <v>45995</v>
      </c>
      <c r="B372" s="9" t="s">
        <v>1243</v>
      </c>
      <c r="C372" s="9" t="s">
        <v>64</v>
      </c>
      <c r="D372" s="9" t="s">
        <v>92</v>
      </c>
      <c r="E372" s="11">
        <v>60</v>
      </c>
      <c r="F372" s="9" t="s">
        <v>93</v>
      </c>
      <c r="G372" s="9" t="s">
        <v>65</v>
      </c>
      <c r="H372" s="9" t="s">
        <v>66</v>
      </c>
      <c r="I372" s="9">
        <v>11</v>
      </c>
      <c r="J372" s="9" t="s">
        <v>347</v>
      </c>
      <c r="K372" s="9" t="s">
        <v>347</v>
      </c>
      <c r="L372" s="9" t="s">
        <v>347</v>
      </c>
      <c r="M372" s="9" t="s">
        <v>348</v>
      </c>
      <c r="N372" s="9" t="s">
        <v>866</v>
      </c>
      <c r="O372" s="9" t="s">
        <v>97</v>
      </c>
      <c r="P372" s="9" t="s">
        <v>67</v>
      </c>
      <c r="Q372" s="9" t="s">
        <v>98</v>
      </c>
      <c r="R372" s="9" t="s">
        <v>347</v>
      </c>
      <c r="S372" s="9" t="s">
        <v>348</v>
      </c>
      <c r="T372" s="9" t="s">
        <v>818</v>
      </c>
      <c r="U372" s="9" t="s">
        <v>67</v>
      </c>
      <c r="V372" s="9" t="s">
        <v>130</v>
      </c>
      <c r="W372" s="9" t="s">
        <v>131</v>
      </c>
      <c r="X372" s="11">
        <v>10</v>
      </c>
      <c r="Y372" s="9" t="s">
        <v>843</v>
      </c>
      <c r="Z372" s="9" t="s">
        <v>68</v>
      </c>
      <c r="AA372" s="9" t="s">
        <v>844</v>
      </c>
      <c r="AB372" s="9" t="s">
        <v>67</v>
      </c>
      <c r="AC372" s="9" t="s">
        <v>547</v>
      </c>
      <c r="AD372" s="11">
        <v>5</v>
      </c>
      <c r="AE372" s="9" t="s">
        <v>70</v>
      </c>
      <c r="AF372" s="9" t="s">
        <v>71</v>
      </c>
      <c r="AG372" s="13">
        <v>1</v>
      </c>
      <c r="AH372" s="9" t="s">
        <v>92</v>
      </c>
      <c r="AI372" s="13">
        <v>1575000</v>
      </c>
      <c r="AJ372" s="13">
        <v>7875000</v>
      </c>
      <c r="AK372" s="11">
        <v>0</v>
      </c>
      <c r="AL372" s="11">
        <v>0</v>
      </c>
      <c r="AM372" s="11">
        <v>0</v>
      </c>
      <c r="AN372" s="9" t="s">
        <v>67</v>
      </c>
      <c r="AO372" s="11">
        <v>7875000</v>
      </c>
      <c r="AP372" s="13">
        <v>630000</v>
      </c>
      <c r="AQ372" s="13">
        <v>8505000</v>
      </c>
      <c r="AR372" s="11">
        <v>90</v>
      </c>
      <c r="AS372" s="9" t="s">
        <v>72</v>
      </c>
      <c r="AT372" s="12">
        <v>91.834999999999994</v>
      </c>
      <c r="AU372" s="9" t="s">
        <v>73</v>
      </c>
      <c r="AV372" s="9" t="s">
        <v>67</v>
      </c>
      <c r="AW372" s="9" t="s">
        <v>857</v>
      </c>
      <c r="AX372" s="10">
        <v>45867</v>
      </c>
      <c r="AY372" s="9" t="s">
        <v>1244</v>
      </c>
      <c r="AZ372" s="9" t="s">
        <v>67</v>
      </c>
      <c r="BA372" s="9" t="s">
        <v>67</v>
      </c>
      <c r="BB372" s="12">
        <v>90</v>
      </c>
      <c r="BC372" s="9" t="s">
        <v>74</v>
      </c>
      <c r="BD372" s="9" t="s">
        <v>104</v>
      </c>
      <c r="BE372" s="9" t="s">
        <v>75</v>
      </c>
      <c r="BF372" s="11">
        <v>0</v>
      </c>
      <c r="BG372">
        <f t="shared" si="12"/>
        <v>12</v>
      </c>
      <c r="BH372" t="str">
        <f>VLOOKUP(BG372,[1]month!$A:$B,2,0)</f>
        <v>Desember</v>
      </c>
      <c r="BI372">
        <f t="shared" si="13"/>
        <v>2025</v>
      </c>
      <c r="BJ372" t="str">
        <f>VLOOKUP(I372,[1]Dist!$A:$B,2,0)</f>
        <v>Industry</v>
      </c>
      <c r="BK372" t="str">
        <f>IF(I372=11,VLOOKUP(Y372,[2]Sheet1!$C:$N,10,0),IF(I372=13,VLOOKUP(Y372,[3]Sheet1!$C:$N,10,0),IF(I372=15,VLOOKUP(Y372,[4]Sheet1!$C:$N,10,0),"Unknown")))</f>
        <v>NC</v>
      </c>
      <c r="BL372" t="str">
        <f>IF(I372=11,VLOOKUP(Y372,[2]Sheet1!$C:$N,12,0),IF(I372=13,VLOOKUP(Y372,[3]Sheet1!$C:$N,12,0),IF(I372=15,VLOOKUP(Y372,[4]Sheet1!$C:$N,12,0),"Unknown")))</f>
        <v>NC SYSTEM</v>
      </c>
      <c r="BM372" t="str">
        <f>VLOOKUP(W372,[1]branch!$A:$B,2,0)</f>
        <v>INDUSTRY</v>
      </c>
    </row>
    <row r="373" spans="1:65" x14ac:dyDescent="0.35">
      <c r="A373" s="10">
        <v>45995</v>
      </c>
      <c r="B373" s="9" t="s">
        <v>1245</v>
      </c>
      <c r="C373" s="9" t="s">
        <v>64</v>
      </c>
      <c r="D373" s="9" t="s">
        <v>92</v>
      </c>
      <c r="E373" s="11">
        <v>60</v>
      </c>
      <c r="F373" s="9" t="s">
        <v>93</v>
      </c>
      <c r="G373" s="9" t="s">
        <v>65</v>
      </c>
      <c r="H373" s="9" t="s">
        <v>66</v>
      </c>
      <c r="I373" s="9">
        <v>11</v>
      </c>
      <c r="J373" s="9" t="s">
        <v>347</v>
      </c>
      <c r="K373" s="9" t="s">
        <v>347</v>
      </c>
      <c r="L373" s="9" t="s">
        <v>347</v>
      </c>
      <c r="M373" s="9" t="s">
        <v>348</v>
      </c>
      <c r="N373" s="9" t="s">
        <v>866</v>
      </c>
      <c r="O373" s="9" t="s">
        <v>97</v>
      </c>
      <c r="P373" s="9" t="s">
        <v>67</v>
      </c>
      <c r="Q373" s="9" t="s">
        <v>98</v>
      </c>
      <c r="R373" s="9" t="s">
        <v>347</v>
      </c>
      <c r="S373" s="9" t="s">
        <v>348</v>
      </c>
      <c r="T373" s="9" t="s">
        <v>818</v>
      </c>
      <c r="U373" s="9" t="s">
        <v>67</v>
      </c>
      <c r="V373" s="9" t="s">
        <v>130</v>
      </c>
      <c r="W373" s="9" t="s">
        <v>131</v>
      </c>
      <c r="X373" s="11">
        <v>10</v>
      </c>
      <c r="Y373" s="9" t="s">
        <v>721</v>
      </c>
      <c r="Z373" s="9" t="s">
        <v>68</v>
      </c>
      <c r="AA373" s="9" t="s">
        <v>722</v>
      </c>
      <c r="AB373" s="9" t="s">
        <v>67</v>
      </c>
      <c r="AC373" s="9" t="s">
        <v>120</v>
      </c>
      <c r="AD373" s="11">
        <v>3</v>
      </c>
      <c r="AE373" s="9" t="s">
        <v>70</v>
      </c>
      <c r="AF373" s="9" t="s">
        <v>71</v>
      </c>
      <c r="AG373" s="13">
        <v>1</v>
      </c>
      <c r="AH373" s="9" t="s">
        <v>92</v>
      </c>
      <c r="AI373" s="13">
        <v>6821800</v>
      </c>
      <c r="AJ373" s="13">
        <v>20465400</v>
      </c>
      <c r="AK373" s="11">
        <v>0</v>
      </c>
      <c r="AL373" s="11">
        <v>0</v>
      </c>
      <c r="AM373" s="11">
        <v>0</v>
      </c>
      <c r="AN373" s="9" t="s">
        <v>67</v>
      </c>
      <c r="AO373" s="11">
        <v>20465400</v>
      </c>
      <c r="AP373" s="13">
        <v>1637232</v>
      </c>
      <c r="AQ373" s="13">
        <v>22102632</v>
      </c>
      <c r="AR373" s="11">
        <v>564</v>
      </c>
      <c r="AS373" s="9" t="s">
        <v>72</v>
      </c>
      <c r="AT373" s="11">
        <v>600</v>
      </c>
      <c r="AU373" s="9" t="s">
        <v>73</v>
      </c>
      <c r="AV373" s="9" t="s">
        <v>67</v>
      </c>
      <c r="AW373" s="9" t="s">
        <v>941</v>
      </c>
      <c r="AX373" s="10">
        <v>45975</v>
      </c>
      <c r="AY373" s="9" t="s">
        <v>1246</v>
      </c>
      <c r="AZ373" s="9" t="s">
        <v>67</v>
      </c>
      <c r="BA373" s="9" t="s">
        <v>67</v>
      </c>
      <c r="BB373" s="12">
        <v>600</v>
      </c>
      <c r="BC373" s="9" t="s">
        <v>74</v>
      </c>
      <c r="BD373" s="9" t="s">
        <v>104</v>
      </c>
      <c r="BE373" s="9" t="s">
        <v>75</v>
      </c>
      <c r="BF373" s="11">
        <v>0</v>
      </c>
      <c r="BG373">
        <f t="shared" si="12"/>
        <v>12</v>
      </c>
      <c r="BH373" t="str">
        <f>VLOOKUP(BG373,[1]month!$A:$B,2,0)</f>
        <v>Desember</v>
      </c>
      <c r="BI373">
        <f t="shared" si="13"/>
        <v>2025</v>
      </c>
      <c r="BJ373" t="str">
        <f>VLOOKUP(I373,[1]Dist!$A:$B,2,0)</f>
        <v>Industry</v>
      </c>
      <c r="BK373" t="str">
        <f>IF(I373=11,VLOOKUP(Y373,[2]Sheet1!$C:$N,10,0),IF(I373=13,VLOOKUP(Y373,[3]Sheet1!$C:$N,10,0),IF(I373=15,VLOOKUP(Y373,[4]Sheet1!$C:$N,10,0),"Unknown")))</f>
        <v>THINNER PU</v>
      </c>
      <c r="BL373" t="str">
        <f>IF(I373=11,VLOOKUP(Y373,[2]Sheet1!$C:$N,12,0),IF(I373=13,VLOOKUP(Y373,[3]Sheet1!$C:$N,12,0),IF(I373=15,VLOOKUP(Y373,[4]Sheet1!$C:$N,12,0),"Unknown")))</f>
        <v>THINNER PU</v>
      </c>
      <c r="BM373" t="str">
        <f>VLOOKUP(W373,[1]branch!$A:$B,2,0)</f>
        <v>INDUSTRY</v>
      </c>
    </row>
    <row r="374" spans="1:65" x14ac:dyDescent="0.35">
      <c r="A374" s="10">
        <v>45995</v>
      </c>
      <c r="B374" s="9" t="s">
        <v>1245</v>
      </c>
      <c r="C374" s="9" t="s">
        <v>64</v>
      </c>
      <c r="D374" s="9" t="s">
        <v>92</v>
      </c>
      <c r="E374" s="11">
        <v>60</v>
      </c>
      <c r="F374" s="9" t="s">
        <v>93</v>
      </c>
      <c r="G374" s="9" t="s">
        <v>65</v>
      </c>
      <c r="H374" s="9" t="s">
        <v>66</v>
      </c>
      <c r="I374" s="9">
        <v>11</v>
      </c>
      <c r="J374" s="9" t="s">
        <v>347</v>
      </c>
      <c r="K374" s="9" t="s">
        <v>347</v>
      </c>
      <c r="L374" s="9" t="s">
        <v>347</v>
      </c>
      <c r="M374" s="9" t="s">
        <v>348</v>
      </c>
      <c r="N374" s="9" t="s">
        <v>866</v>
      </c>
      <c r="O374" s="9" t="s">
        <v>97</v>
      </c>
      <c r="P374" s="9" t="s">
        <v>67</v>
      </c>
      <c r="Q374" s="9" t="s">
        <v>98</v>
      </c>
      <c r="R374" s="9" t="s">
        <v>347</v>
      </c>
      <c r="S374" s="9" t="s">
        <v>348</v>
      </c>
      <c r="T374" s="9" t="s">
        <v>818</v>
      </c>
      <c r="U374" s="9" t="s">
        <v>67</v>
      </c>
      <c r="V374" s="9" t="s">
        <v>130</v>
      </c>
      <c r="W374" s="9" t="s">
        <v>131</v>
      </c>
      <c r="X374" s="11">
        <v>40</v>
      </c>
      <c r="Y374" s="9" t="s">
        <v>355</v>
      </c>
      <c r="Z374" s="9" t="s">
        <v>68</v>
      </c>
      <c r="AA374" s="9" t="s">
        <v>356</v>
      </c>
      <c r="AB374" s="9" t="s">
        <v>67</v>
      </c>
      <c r="AC374" s="9" t="s">
        <v>357</v>
      </c>
      <c r="AD374" s="11">
        <v>1</v>
      </c>
      <c r="AE374" s="9" t="s">
        <v>70</v>
      </c>
      <c r="AF374" s="9" t="s">
        <v>71</v>
      </c>
      <c r="AG374" s="13">
        <v>1</v>
      </c>
      <c r="AH374" s="9" t="s">
        <v>92</v>
      </c>
      <c r="AI374" s="13">
        <v>11402000</v>
      </c>
      <c r="AJ374" s="13">
        <v>11402000</v>
      </c>
      <c r="AK374" s="11">
        <v>0</v>
      </c>
      <c r="AL374" s="11">
        <v>0</v>
      </c>
      <c r="AM374" s="11">
        <v>0</v>
      </c>
      <c r="AN374" s="9" t="s">
        <v>67</v>
      </c>
      <c r="AO374" s="11">
        <v>11402000</v>
      </c>
      <c r="AP374" s="13">
        <v>912160</v>
      </c>
      <c r="AQ374" s="13">
        <v>12314160</v>
      </c>
      <c r="AR374" s="11">
        <v>198</v>
      </c>
      <c r="AS374" s="9" t="s">
        <v>72</v>
      </c>
      <c r="AT374" s="11">
        <v>200</v>
      </c>
      <c r="AU374" s="9" t="s">
        <v>73</v>
      </c>
      <c r="AV374" s="9" t="s">
        <v>67</v>
      </c>
      <c r="AW374" s="9" t="s">
        <v>941</v>
      </c>
      <c r="AX374" s="10">
        <v>45975</v>
      </c>
      <c r="AY374" s="9" t="s">
        <v>1246</v>
      </c>
      <c r="AZ374" s="9" t="s">
        <v>67</v>
      </c>
      <c r="BA374" s="9" t="s">
        <v>67</v>
      </c>
      <c r="BB374" s="12">
        <v>200</v>
      </c>
      <c r="BC374" s="9" t="s">
        <v>74</v>
      </c>
      <c r="BD374" s="9" t="s">
        <v>104</v>
      </c>
      <c r="BE374" s="9" t="s">
        <v>75</v>
      </c>
      <c r="BF374" s="11">
        <v>0</v>
      </c>
      <c r="BG374">
        <f t="shared" si="12"/>
        <v>12</v>
      </c>
      <c r="BH374" t="str">
        <f>VLOOKUP(BG374,[1]month!$A:$B,2,0)</f>
        <v>Desember</v>
      </c>
      <c r="BI374">
        <f t="shared" si="13"/>
        <v>2025</v>
      </c>
      <c r="BJ374" t="str">
        <f>VLOOKUP(I374,[1]Dist!$A:$B,2,0)</f>
        <v>Industry</v>
      </c>
      <c r="BK374" t="str">
        <f>IF(I374=11,VLOOKUP(Y374,[2]Sheet1!$C:$N,10,0),IF(I374=13,VLOOKUP(Y374,[3]Sheet1!$C:$N,10,0),IF(I374=15,VLOOKUP(Y374,[4]Sheet1!$C:$N,10,0),"Unknown")))</f>
        <v>NC</v>
      </c>
      <c r="BL374" t="str">
        <f>IF(I374=11,VLOOKUP(Y374,[2]Sheet1!$C:$N,12,0),IF(I374=13,VLOOKUP(Y374,[3]Sheet1!$C:$N,12,0),IF(I374=15,VLOOKUP(Y374,[4]Sheet1!$C:$N,12,0),"Unknown")))</f>
        <v>NC SYSTEM</v>
      </c>
      <c r="BM374" t="str">
        <f>VLOOKUP(W374,[1]branch!$A:$B,2,0)</f>
        <v>INDUSTRY</v>
      </c>
    </row>
    <row r="375" spans="1:65" x14ac:dyDescent="0.35">
      <c r="A375" s="10">
        <v>45995</v>
      </c>
      <c r="B375" s="9" t="s">
        <v>1247</v>
      </c>
      <c r="C375" s="9" t="s">
        <v>64</v>
      </c>
      <c r="D375" s="9" t="s">
        <v>92</v>
      </c>
      <c r="E375" s="11">
        <v>60</v>
      </c>
      <c r="F375" s="9" t="s">
        <v>93</v>
      </c>
      <c r="G375" s="9" t="s">
        <v>65</v>
      </c>
      <c r="H375" s="9" t="s">
        <v>66</v>
      </c>
      <c r="I375" s="9">
        <v>11</v>
      </c>
      <c r="J375" s="9" t="s">
        <v>347</v>
      </c>
      <c r="K375" s="9" t="s">
        <v>347</v>
      </c>
      <c r="L375" s="9" t="s">
        <v>347</v>
      </c>
      <c r="M375" s="9" t="s">
        <v>348</v>
      </c>
      <c r="N375" s="9" t="s">
        <v>866</v>
      </c>
      <c r="O375" s="9" t="s">
        <v>97</v>
      </c>
      <c r="P375" s="9" t="s">
        <v>67</v>
      </c>
      <c r="Q375" s="9" t="s">
        <v>98</v>
      </c>
      <c r="R375" s="9" t="s">
        <v>347</v>
      </c>
      <c r="S375" s="9" t="s">
        <v>348</v>
      </c>
      <c r="T375" s="9" t="s">
        <v>818</v>
      </c>
      <c r="U375" s="9" t="s">
        <v>67</v>
      </c>
      <c r="V375" s="9" t="s">
        <v>130</v>
      </c>
      <c r="W375" s="9" t="s">
        <v>131</v>
      </c>
      <c r="X375" s="11">
        <v>10</v>
      </c>
      <c r="Y375" s="9" t="s">
        <v>148</v>
      </c>
      <c r="Z375" s="9" t="s">
        <v>68</v>
      </c>
      <c r="AA375" s="9" t="s">
        <v>149</v>
      </c>
      <c r="AB375" s="9" t="s">
        <v>67</v>
      </c>
      <c r="AC375" s="9" t="s">
        <v>69</v>
      </c>
      <c r="AD375" s="11">
        <v>4</v>
      </c>
      <c r="AE375" s="9" t="s">
        <v>70</v>
      </c>
      <c r="AF375" s="9" t="s">
        <v>71</v>
      </c>
      <c r="AG375" s="13">
        <v>1</v>
      </c>
      <c r="AH375" s="9" t="s">
        <v>92</v>
      </c>
      <c r="AI375" s="13">
        <v>7298800</v>
      </c>
      <c r="AJ375" s="13">
        <v>29195200</v>
      </c>
      <c r="AK375" s="11">
        <v>0</v>
      </c>
      <c r="AL375" s="11">
        <v>0</v>
      </c>
      <c r="AM375" s="11">
        <v>0</v>
      </c>
      <c r="AN375" s="9" t="s">
        <v>67</v>
      </c>
      <c r="AO375" s="11">
        <v>29195200</v>
      </c>
      <c r="AP375" s="13">
        <v>2335616</v>
      </c>
      <c r="AQ375" s="13">
        <v>31530816</v>
      </c>
      <c r="AR375" s="11">
        <v>720</v>
      </c>
      <c r="AS375" s="9" t="s">
        <v>72</v>
      </c>
      <c r="AT375" s="11">
        <v>800</v>
      </c>
      <c r="AU375" s="9" t="s">
        <v>73</v>
      </c>
      <c r="AV375" s="9" t="s">
        <v>67</v>
      </c>
      <c r="AW375" s="9" t="s">
        <v>946</v>
      </c>
      <c r="AX375" s="10">
        <v>45982</v>
      </c>
      <c r="AY375" s="9" t="s">
        <v>1248</v>
      </c>
      <c r="AZ375" s="9" t="s">
        <v>67</v>
      </c>
      <c r="BA375" s="9" t="s">
        <v>67</v>
      </c>
      <c r="BB375" s="12">
        <v>800</v>
      </c>
      <c r="BC375" s="9" t="s">
        <v>74</v>
      </c>
      <c r="BD375" s="9" t="s">
        <v>104</v>
      </c>
      <c r="BE375" s="9" t="s">
        <v>75</v>
      </c>
      <c r="BF375" s="11">
        <v>0</v>
      </c>
      <c r="BG375">
        <f t="shared" si="12"/>
        <v>12</v>
      </c>
      <c r="BH375" t="str">
        <f>VLOOKUP(BG375,[1]month!$A:$B,2,0)</f>
        <v>Desember</v>
      </c>
      <c r="BI375">
        <f t="shared" si="13"/>
        <v>2025</v>
      </c>
      <c r="BJ375" t="str">
        <f>VLOOKUP(I375,[1]Dist!$A:$B,2,0)</f>
        <v>Industry</v>
      </c>
      <c r="BK375" t="str">
        <f>IF(I375=11,VLOOKUP(Y375,[2]Sheet1!$C:$N,10,0),IF(I375=13,VLOOKUP(Y375,[3]Sheet1!$C:$N,10,0),IF(I375=15,VLOOKUP(Y375,[4]Sheet1!$C:$N,10,0),"Unknown")))</f>
        <v>THINNER NC</v>
      </c>
      <c r="BL375" t="str">
        <f>IF(I375=11,VLOOKUP(Y375,[2]Sheet1!$C:$N,12,0),IF(I375=13,VLOOKUP(Y375,[3]Sheet1!$C:$N,12,0),IF(I375=15,VLOOKUP(Y375,[4]Sheet1!$C:$N,12,0),"Unknown")))</f>
        <v>THINNER NC</v>
      </c>
      <c r="BM375" t="str">
        <f>VLOOKUP(W375,[1]branch!$A:$B,2,0)</f>
        <v>INDUSTRY</v>
      </c>
    </row>
    <row r="376" spans="1:65" x14ac:dyDescent="0.35">
      <c r="A376" s="10">
        <v>45995</v>
      </c>
      <c r="B376" s="9" t="s">
        <v>1249</v>
      </c>
      <c r="C376" s="9" t="s">
        <v>64</v>
      </c>
      <c r="D376" s="9" t="s">
        <v>92</v>
      </c>
      <c r="E376" s="11">
        <v>60</v>
      </c>
      <c r="F376" s="9" t="s">
        <v>93</v>
      </c>
      <c r="G376" s="9" t="s">
        <v>65</v>
      </c>
      <c r="H376" s="9" t="s">
        <v>66</v>
      </c>
      <c r="I376" s="9">
        <v>11</v>
      </c>
      <c r="J376" s="9" t="s">
        <v>347</v>
      </c>
      <c r="K376" s="9" t="s">
        <v>347</v>
      </c>
      <c r="L376" s="9" t="s">
        <v>347</v>
      </c>
      <c r="M376" s="9" t="s">
        <v>348</v>
      </c>
      <c r="N376" s="9" t="s">
        <v>866</v>
      </c>
      <c r="O376" s="9" t="s">
        <v>97</v>
      </c>
      <c r="P376" s="9" t="s">
        <v>67</v>
      </c>
      <c r="Q376" s="9" t="s">
        <v>98</v>
      </c>
      <c r="R376" s="9" t="s">
        <v>347</v>
      </c>
      <c r="S376" s="9" t="s">
        <v>348</v>
      </c>
      <c r="T376" s="9" t="s">
        <v>818</v>
      </c>
      <c r="U376" s="9" t="s">
        <v>67</v>
      </c>
      <c r="V376" s="9" t="s">
        <v>130</v>
      </c>
      <c r="W376" s="9" t="s">
        <v>131</v>
      </c>
      <c r="X376" s="11">
        <v>50</v>
      </c>
      <c r="Y376" s="9" t="s">
        <v>721</v>
      </c>
      <c r="Z376" s="9" t="s">
        <v>68</v>
      </c>
      <c r="AA376" s="9" t="s">
        <v>722</v>
      </c>
      <c r="AB376" s="9" t="s">
        <v>67</v>
      </c>
      <c r="AC376" s="9" t="s">
        <v>120</v>
      </c>
      <c r="AD376" s="11">
        <v>2</v>
      </c>
      <c r="AE376" s="9" t="s">
        <v>70</v>
      </c>
      <c r="AF376" s="9" t="s">
        <v>71</v>
      </c>
      <c r="AG376" s="13">
        <v>1</v>
      </c>
      <c r="AH376" s="9" t="s">
        <v>92</v>
      </c>
      <c r="AI376" s="13">
        <v>6821800</v>
      </c>
      <c r="AJ376" s="13">
        <v>13643600</v>
      </c>
      <c r="AK376" s="11">
        <v>0</v>
      </c>
      <c r="AL376" s="11">
        <v>0</v>
      </c>
      <c r="AM376" s="11">
        <v>0</v>
      </c>
      <c r="AN376" s="9" t="s">
        <v>67</v>
      </c>
      <c r="AO376" s="11">
        <v>13643600</v>
      </c>
      <c r="AP376" s="13">
        <v>1091488</v>
      </c>
      <c r="AQ376" s="13">
        <v>14735088</v>
      </c>
      <c r="AR376" s="11">
        <v>376</v>
      </c>
      <c r="AS376" s="9" t="s">
        <v>72</v>
      </c>
      <c r="AT376" s="11">
        <v>400</v>
      </c>
      <c r="AU376" s="9" t="s">
        <v>73</v>
      </c>
      <c r="AV376" s="9" t="s">
        <v>67</v>
      </c>
      <c r="AW376" s="9" t="s">
        <v>1073</v>
      </c>
      <c r="AX376" s="10">
        <v>45986</v>
      </c>
      <c r="AY376" s="9" t="s">
        <v>1250</v>
      </c>
      <c r="AZ376" s="9" t="s">
        <v>67</v>
      </c>
      <c r="BA376" s="9" t="s">
        <v>67</v>
      </c>
      <c r="BB376" s="12">
        <v>400</v>
      </c>
      <c r="BC376" s="9" t="s">
        <v>74</v>
      </c>
      <c r="BD376" s="9" t="s">
        <v>104</v>
      </c>
      <c r="BE376" s="9" t="s">
        <v>75</v>
      </c>
      <c r="BF376" s="11">
        <v>0</v>
      </c>
      <c r="BG376">
        <f t="shared" si="12"/>
        <v>12</v>
      </c>
      <c r="BH376" t="str">
        <f>VLOOKUP(BG376,[1]month!$A:$B,2,0)</f>
        <v>Desember</v>
      </c>
      <c r="BI376">
        <f t="shared" si="13"/>
        <v>2025</v>
      </c>
      <c r="BJ376" t="str">
        <f>VLOOKUP(I376,[1]Dist!$A:$B,2,0)</f>
        <v>Industry</v>
      </c>
      <c r="BK376" t="str">
        <f>IF(I376=11,VLOOKUP(Y376,[2]Sheet1!$C:$N,10,0),IF(I376=13,VLOOKUP(Y376,[3]Sheet1!$C:$N,10,0),IF(I376=15,VLOOKUP(Y376,[4]Sheet1!$C:$N,10,0),"Unknown")))</f>
        <v>THINNER PU</v>
      </c>
      <c r="BL376" t="str">
        <f>IF(I376=11,VLOOKUP(Y376,[2]Sheet1!$C:$N,12,0),IF(I376=13,VLOOKUP(Y376,[3]Sheet1!$C:$N,12,0),IF(I376=15,VLOOKUP(Y376,[4]Sheet1!$C:$N,12,0),"Unknown")))</f>
        <v>THINNER PU</v>
      </c>
      <c r="BM376" t="str">
        <f>VLOOKUP(W376,[1]branch!$A:$B,2,0)</f>
        <v>INDUSTRY</v>
      </c>
    </row>
    <row r="377" spans="1:65" x14ac:dyDescent="0.35">
      <c r="A377" s="10">
        <v>45995</v>
      </c>
      <c r="B377" s="9" t="s">
        <v>1251</v>
      </c>
      <c r="C377" s="9" t="s">
        <v>64</v>
      </c>
      <c r="D377" s="9" t="s">
        <v>92</v>
      </c>
      <c r="E377" s="11">
        <v>60</v>
      </c>
      <c r="F377" s="9" t="s">
        <v>93</v>
      </c>
      <c r="G377" s="9" t="s">
        <v>65</v>
      </c>
      <c r="H377" s="9" t="s">
        <v>66</v>
      </c>
      <c r="I377" s="9">
        <v>11</v>
      </c>
      <c r="J377" s="9" t="s">
        <v>347</v>
      </c>
      <c r="K377" s="9" t="s">
        <v>347</v>
      </c>
      <c r="L377" s="9" t="s">
        <v>347</v>
      </c>
      <c r="M377" s="9" t="s">
        <v>348</v>
      </c>
      <c r="N377" s="9" t="s">
        <v>866</v>
      </c>
      <c r="O377" s="9" t="s">
        <v>97</v>
      </c>
      <c r="P377" s="9" t="s">
        <v>67</v>
      </c>
      <c r="Q377" s="9" t="s">
        <v>98</v>
      </c>
      <c r="R377" s="9" t="s">
        <v>347</v>
      </c>
      <c r="S377" s="9" t="s">
        <v>348</v>
      </c>
      <c r="T377" s="9" t="s">
        <v>818</v>
      </c>
      <c r="U377" s="9" t="s">
        <v>67</v>
      </c>
      <c r="V377" s="9" t="s">
        <v>130</v>
      </c>
      <c r="W377" s="9" t="s">
        <v>131</v>
      </c>
      <c r="X377" s="11">
        <v>10</v>
      </c>
      <c r="Y377" s="9" t="s">
        <v>286</v>
      </c>
      <c r="Z377" s="9" t="s">
        <v>68</v>
      </c>
      <c r="AA377" s="9" t="s">
        <v>287</v>
      </c>
      <c r="AB377" s="9" t="s">
        <v>67</v>
      </c>
      <c r="AC377" s="9" t="s">
        <v>288</v>
      </c>
      <c r="AD377" s="11">
        <v>1</v>
      </c>
      <c r="AE377" s="9" t="s">
        <v>70</v>
      </c>
      <c r="AF377" s="9" t="s">
        <v>71</v>
      </c>
      <c r="AG377" s="13">
        <v>1</v>
      </c>
      <c r="AH377" s="9" t="s">
        <v>92</v>
      </c>
      <c r="AI377" s="13">
        <v>8500000</v>
      </c>
      <c r="AJ377" s="13">
        <v>8500000</v>
      </c>
      <c r="AK377" s="11">
        <v>0</v>
      </c>
      <c r="AL377" s="11">
        <v>0</v>
      </c>
      <c r="AM377" s="11">
        <v>0</v>
      </c>
      <c r="AN377" s="9" t="s">
        <v>67</v>
      </c>
      <c r="AO377" s="11">
        <v>8500000</v>
      </c>
      <c r="AP377" s="13">
        <v>680000</v>
      </c>
      <c r="AQ377" s="13">
        <v>9180000</v>
      </c>
      <c r="AR377" s="11">
        <v>180</v>
      </c>
      <c r="AS377" s="9" t="s">
        <v>72</v>
      </c>
      <c r="AT377" s="11">
        <v>200</v>
      </c>
      <c r="AU377" s="9" t="s">
        <v>73</v>
      </c>
      <c r="AV377" s="9" t="s">
        <v>67</v>
      </c>
      <c r="AW377" s="9" t="s">
        <v>1252</v>
      </c>
      <c r="AX377" s="10">
        <v>45995</v>
      </c>
      <c r="AY377" s="9" t="s">
        <v>1253</v>
      </c>
      <c r="AZ377" s="9" t="s">
        <v>67</v>
      </c>
      <c r="BA377" s="9" t="s">
        <v>67</v>
      </c>
      <c r="BB377" s="12">
        <v>200</v>
      </c>
      <c r="BC377" s="9" t="s">
        <v>74</v>
      </c>
      <c r="BD377" s="9" t="s">
        <v>104</v>
      </c>
      <c r="BE377" s="9" t="s">
        <v>75</v>
      </c>
      <c r="BF377" s="11">
        <v>0</v>
      </c>
      <c r="BG377">
        <f t="shared" si="12"/>
        <v>12</v>
      </c>
      <c r="BH377" t="str">
        <f>VLOOKUP(BG377,[1]month!$A:$B,2,0)</f>
        <v>Desember</v>
      </c>
      <c r="BI377">
        <f t="shared" si="13"/>
        <v>2025</v>
      </c>
      <c r="BJ377" t="str">
        <f>VLOOKUP(I377,[1]Dist!$A:$B,2,0)</f>
        <v>Industry</v>
      </c>
      <c r="BK377" t="str">
        <f>IF(I377=11,VLOOKUP(Y377,[2]Sheet1!$C:$N,10,0),IF(I377=13,VLOOKUP(Y377,[3]Sheet1!$C:$N,10,0),IF(I377=15,VLOOKUP(Y377,[4]Sheet1!$C:$N,10,0),"Unknown")))</f>
        <v>THINNER PU</v>
      </c>
      <c r="BL377" t="str">
        <f>IF(I377=11,VLOOKUP(Y377,[2]Sheet1!$C:$N,12,0),IF(I377=13,VLOOKUP(Y377,[3]Sheet1!$C:$N,12,0),IF(I377=15,VLOOKUP(Y377,[4]Sheet1!$C:$N,12,0),"Unknown")))</f>
        <v>THINNER PU</v>
      </c>
      <c r="BM377" t="str">
        <f>VLOOKUP(W377,[1]branch!$A:$B,2,0)</f>
        <v>INDUSTRY</v>
      </c>
    </row>
    <row r="378" spans="1:65" x14ac:dyDescent="0.35">
      <c r="A378" s="10">
        <v>45995</v>
      </c>
      <c r="B378" s="9" t="s">
        <v>1254</v>
      </c>
      <c r="C378" s="9" t="s">
        <v>64</v>
      </c>
      <c r="D378" s="9" t="s">
        <v>92</v>
      </c>
      <c r="E378" s="11">
        <v>45</v>
      </c>
      <c r="F378" s="9" t="s">
        <v>93</v>
      </c>
      <c r="G378" s="9" t="s">
        <v>65</v>
      </c>
      <c r="H378" s="9" t="s">
        <v>66</v>
      </c>
      <c r="I378" s="9">
        <v>11</v>
      </c>
      <c r="J378" s="9" t="s">
        <v>289</v>
      </c>
      <c r="K378" s="9" t="s">
        <v>289</v>
      </c>
      <c r="L378" s="9" t="s">
        <v>289</v>
      </c>
      <c r="M378" s="9" t="s">
        <v>290</v>
      </c>
      <c r="N378" s="9" t="s">
        <v>868</v>
      </c>
      <c r="O378" s="9" t="s">
        <v>97</v>
      </c>
      <c r="P378" s="9" t="s">
        <v>67</v>
      </c>
      <c r="Q378" s="9" t="s">
        <v>98</v>
      </c>
      <c r="R378" s="9" t="s">
        <v>289</v>
      </c>
      <c r="S378" s="9" t="s">
        <v>290</v>
      </c>
      <c r="T378" s="9" t="s">
        <v>797</v>
      </c>
      <c r="U378" s="9" t="s">
        <v>67</v>
      </c>
      <c r="V378" s="9" t="s">
        <v>194</v>
      </c>
      <c r="W378" s="9" t="s">
        <v>195</v>
      </c>
      <c r="X378" s="11">
        <v>20</v>
      </c>
      <c r="Y378" s="9" t="s">
        <v>196</v>
      </c>
      <c r="Z378" s="9" t="s">
        <v>68</v>
      </c>
      <c r="AA378" s="9" t="s">
        <v>197</v>
      </c>
      <c r="AB378" s="9" t="s">
        <v>67</v>
      </c>
      <c r="AC378" s="9" t="s">
        <v>103</v>
      </c>
      <c r="AD378" s="11">
        <v>7</v>
      </c>
      <c r="AE378" s="9" t="s">
        <v>70</v>
      </c>
      <c r="AF378" s="9" t="s">
        <v>71</v>
      </c>
      <c r="AG378" s="13">
        <v>1</v>
      </c>
      <c r="AH378" s="9" t="s">
        <v>92</v>
      </c>
      <c r="AI378" s="13">
        <v>1029220</v>
      </c>
      <c r="AJ378" s="13">
        <v>7204540</v>
      </c>
      <c r="AK378" s="11">
        <v>0</v>
      </c>
      <c r="AL378" s="11">
        <v>0</v>
      </c>
      <c r="AM378" s="11">
        <v>0</v>
      </c>
      <c r="AN378" s="9" t="s">
        <v>67</v>
      </c>
      <c r="AO378" s="11">
        <v>7204540</v>
      </c>
      <c r="AP378" s="13">
        <v>576363</v>
      </c>
      <c r="AQ378" s="13">
        <v>7780903</v>
      </c>
      <c r="AR378" s="11">
        <v>140</v>
      </c>
      <c r="AS378" s="9" t="s">
        <v>72</v>
      </c>
      <c r="AT378" s="12">
        <v>138.6</v>
      </c>
      <c r="AU378" s="9" t="s">
        <v>73</v>
      </c>
      <c r="AV378" s="9" t="s">
        <v>67</v>
      </c>
      <c r="AW378" s="9" t="s">
        <v>942</v>
      </c>
      <c r="AX378" s="10">
        <v>45974</v>
      </c>
      <c r="AY378" s="9" t="s">
        <v>1255</v>
      </c>
      <c r="AZ378" s="9" t="s">
        <v>67</v>
      </c>
      <c r="BA378" s="9" t="s">
        <v>67</v>
      </c>
      <c r="BB378" s="12">
        <v>140</v>
      </c>
      <c r="BC378" s="9" t="s">
        <v>74</v>
      </c>
      <c r="BD378" s="9" t="s">
        <v>104</v>
      </c>
      <c r="BE378" s="9" t="s">
        <v>75</v>
      </c>
      <c r="BF378" s="11">
        <v>0</v>
      </c>
      <c r="BG378">
        <f t="shared" si="12"/>
        <v>12</v>
      </c>
      <c r="BH378" t="str">
        <f>VLOOKUP(BG378,[1]month!$A:$B,2,0)</f>
        <v>Desember</v>
      </c>
      <c r="BI378">
        <f t="shared" si="13"/>
        <v>2025</v>
      </c>
      <c r="BJ378" t="str">
        <f>VLOOKUP(I378,[1]Dist!$A:$B,2,0)</f>
        <v>Industry</v>
      </c>
      <c r="BK378" t="str">
        <f>IF(I378=11,VLOOKUP(Y378,[2]Sheet1!$C:$N,10,0),IF(I378=13,VLOOKUP(Y378,[3]Sheet1!$C:$N,10,0),IF(I378=15,VLOOKUP(Y378,[4]Sheet1!$C:$N,10,0),"Unknown")))</f>
        <v>PU</v>
      </c>
      <c r="BL378" t="str">
        <f>IF(I378=11,VLOOKUP(Y378,[2]Sheet1!$C:$N,12,0),IF(I378=13,VLOOKUP(Y378,[3]Sheet1!$C:$N,12,0),IF(I378=15,VLOOKUP(Y378,[4]Sheet1!$C:$N,12,0),"Unknown")))</f>
        <v>PU SANDING SEALER</v>
      </c>
      <c r="BM378" t="str">
        <f>VLOOKUP(W378,[1]branch!$A:$B,2,0)</f>
        <v>INDUSTRY</v>
      </c>
    </row>
    <row r="379" spans="1:65" x14ac:dyDescent="0.35">
      <c r="A379" s="10">
        <v>45995</v>
      </c>
      <c r="B379" s="9" t="s">
        <v>1254</v>
      </c>
      <c r="C379" s="9" t="s">
        <v>64</v>
      </c>
      <c r="D379" s="9" t="s">
        <v>92</v>
      </c>
      <c r="E379" s="11">
        <v>45</v>
      </c>
      <c r="F379" s="9" t="s">
        <v>93</v>
      </c>
      <c r="G379" s="9" t="s">
        <v>65</v>
      </c>
      <c r="H379" s="9" t="s">
        <v>66</v>
      </c>
      <c r="I379" s="9">
        <v>11</v>
      </c>
      <c r="J379" s="9" t="s">
        <v>289</v>
      </c>
      <c r="K379" s="9" t="s">
        <v>289</v>
      </c>
      <c r="L379" s="9" t="s">
        <v>289</v>
      </c>
      <c r="M379" s="9" t="s">
        <v>290</v>
      </c>
      <c r="N379" s="9" t="s">
        <v>868</v>
      </c>
      <c r="O379" s="9" t="s">
        <v>97</v>
      </c>
      <c r="P379" s="9" t="s">
        <v>67</v>
      </c>
      <c r="Q379" s="9" t="s">
        <v>98</v>
      </c>
      <c r="R379" s="9" t="s">
        <v>289</v>
      </c>
      <c r="S379" s="9" t="s">
        <v>290</v>
      </c>
      <c r="T379" s="9" t="s">
        <v>797</v>
      </c>
      <c r="U379" s="9" t="s">
        <v>67</v>
      </c>
      <c r="V379" s="9" t="s">
        <v>194</v>
      </c>
      <c r="W379" s="9" t="s">
        <v>195</v>
      </c>
      <c r="X379" s="11">
        <v>30</v>
      </c>
      <c r="Y379" s="9" t="s">
        <v>105</v>
      </c>
      <c r="Z379" s="9" t="s">
        <v>68</v>
      </c>
      <c r="AA379" s="9" t="s">
        <v>106</v>
      </c>
      <c r="AB379" s="9" t="s">
        <v>67</v>
      </c>
      <c r="AC379" s="9" t="s">
        <v>107</v>
      </c>
      <c r="AD379" s="11">
        <v>4</v>
      </c>
      <c r="AE379" s="9" t="s">
        <v>70</v>
      </c>
      <c r="AF379" s="9" t="s">
        <v>71</v>
      </c>
      <c r="AG379" s="13">
        <v>1</v>
      </c>
      <c r="AH379" s="9" t="s">
        <v>92</v>
      </c>
      <c r="AI379" s="13">
        <v>1634680</v>
      </c>
      <c r="AJ379" s="13">
        <v>6538720</v>
      </c>
      <c r="AK379" s="11">
        <v>0</v>
      </c>
      <c r="AL379" s="11">
        <v>0</v>
      </c>
      <c r="AM379" s="11">
        <v>0</v>
      </c>
      <c r="AN379" s="9" t="s">
        <v>67</v>
      </c>
      <c r="AO379" s="11">
        <v>6538720</v>
      </c>
      <c r="AP379" s="13">
        <v>523098</v>
      </c>
      <c r="AQ379" s="13">
        <v>7061818</v>
      </c>
      <c r="AR379" s="11">
        <v>80</v>
      </c>
      <c r="AS379" s="9" t="s">
        <v>72</v>
      </c>
      <c r="AT379" s="12">
        <v>85.12</v>
      </c>
      <c r="AU379" s="9" t="s">
        <v>73</v>
      </c>
      <c r="AV379" s="9" t="s">
        <v>67</v>
      </c>
      <c r="AW379" s="9" t="s">
        <v>942</v>
      </c>
      <c r="AX379" s="10">
        <v>45974</v>
      </c>
      <c r="AY379" s="9" t="s">
        <v>1255</v>
      </c>
      <c r="AZ379" s="9" t="s">
        <v>67</v>
      </c>
      <c r="BA379" s="9" t="s">
        <v>67</v>
      </c>
      <c r="BB379" s="12">
        <v>80</v>
      </c>
      <c r="BC379" s="9" t="s">
        <v>74</v>
      </c>
      <c r="BD379" s="9" t="s">
        <v>104</v>
      </c>
      <c r="BE379" s="9" t="s">
        <v>75</v>
      </c>
      <c r="BF379" s="11">
        <v>0</v>
      </c>
      <c r="BG379">
        <f t="shared" si="12"/>
        <v>12</v>
      </c>
      <c r="BH379" t="str">
        <f>VLOOKUP(BG379,[1]month!$A:$B,2,0)</f>
        <v>Desember</v>
      </c>
      <c r="BI379">
        <f t="shared" si="13"/>
        <v>2025</v>
      </c>
      <c r="BJ379" t="str">
        <f>VLOOKUP(I379,[1]Dist!$A:$B,2,0)</f>
        <v>Industry</v>
      </c>
      <c r="BK379" t="str">
        <f>IF(I379=11,VLOOKUP(Y379,[2]Sheet1!$C:$N,10,0),IF(I379=13,VLOOKUP(Y379,[3]Sheet1!$C:$N,10,0),IF(I379=15,VLOOKUP(Y379,[4]Sheet1!$C:$N,10,0),"Unknown")))</f>
        <v>PU</v>
      </c>
      <c r="BL379" t="str">
        <f>IF(I379=11,VLOOKUP(Y379,[2]Sheet1!$C:$N,12,0),IF(I379=13,VLOOKUP(Y379,[3]Sheet1!$C:$N,12,0),IF(I379=15,VLOOKUP(Y379,[4]Sheet1!$C:$N,12,0),"Unknown")))</f>
        <v>PU HARDENER</v>
      </c>
      <c r="BM379" t="str">
        <f>VLOOKUP(W379,[1]branch!$A:$B,2,0)</f>
        <v>INDUSTRY</v>
      </c>
    </row>
    <row r="380" spans="1:65" x14ac:dyDescent="0.35">
      <c r="A380" s="10">
        <v>45995</v>
      </c>
      <c r="B380" s="9" t="s">
        <v>1254</v>
      </c>
      <c r="C380" s="9" t="s">
        <v>64</v>
      </c>
      <c r="D380" s="9" t="s">
        <v>92</v>
      </c>
      <c r="E380" s="11">
        <v>45</v>
      </c>
      <c r="F380" s="9" t="s">
        <v>93</v>
      </c>
      <c r="G380" s="9" t="s">
        <v>65</v>
      </c>
      <c r="H380" s="9" t="s">
        <v>66</v>
      </c>
      <c r="I380" s="9">
        <v>11</v>
      </c>
      <c r="J380" s="9" t="s">
        <v>289</v>
      </c>
      <c r="K380" s="9" t="s">
        <v>289</v>
      </c>
      <c r="L380" s="9" t="s">
        <v>289</v>
      </c>
      <c r="M380" s="9" t="s">
        <v>290</v>
      </c>
      <c r="N380" s="9" t="s">
        <v>868</v>
      </c>
      <c r="O380" s="9" t="s">
        <v>97</v>
      </c>
      <c r="P380" s="9" t="s">
        <v>67</v>
      </c>
      <c r="Q380" s="9" t="s">
        <v>98</v>
      </c>
      <c r="R380" s="9" t="s">
        <v>289</v>
      </c>
      <c r="S380" s="9" t="s">
        <v>290</v>
      </c>
      <c r="T380" s="9" t="s">
        <v>797</v>
      </c>
      <c r="U380" s="9" t="s">
        <v>67</v>
      </c>
      <c r="V380" s="9" t="s">
        <v>194</v>
      </c>
      <c r="W380" s="9" t="s">
        <v>195</v>
      </c>
      <c r="X380" s="11">
        <v>40</v>
      </c>
      <c r="Y380" s="9" t="s">
        <v>294</v>
      </c>
      <c r="Z380" s="9" t="s">
        <v>68</v>
      </c>
      <c r="AA380" s="9" t="s">
        <v>295</v>
      </c>
      <c r="AB380" s="9" t="s">
        <v>67</v>
      </c>
      <c r="AC380" s="9" t="s">
        <v>248</v>
      </c>
      <c r="AD380" s="11">
        <v>5</v>
      </c>
      <c r="AE380" s="9" t="s">
        <v>70</v>
      </c>
      <c r="AF380" s="9" t="s">
        <v>71</v>
      </c>
      <c r="AG380" s="13">
        <v>1</v>
      </c>
      <c r="AH380" s="9" t="s">
        <v>92</v>
      </c>
      <c r="AI380" s="13">
        <v>2481960</v>
      </c>
      <c r="AJ380" s="13">
        <v>12409800</v>
      </c>
      <c r="AK380" s="11">
        <v>0</v>
      </c>
      <c r="AL380" s="11">
        <v>0</v>
      </c>
      <c r="AM380" s="11">
        <v>0</v>
      </c>
      <c r="AN380" s="9" t="s">
        <v>67</v>
      </c>
      <c r="AO380" s="11">
        <v>12409800</v>
      </c>
      <c r="AP380" s="13">
        <v>992784</v>
      </c>
      <c r="AQ380" s="13">
        <v>13402584</v>
      </c>
      <c r="AR380" s="11">
        <v>96</v>
      </c>
      <c r="AS380" s="9" t="s">
        <v>72</v>
      </c>
      <c r="AT380" s="11">
        <v>100</v>
      </c>
      <c r="AU380" s="9" t="s">
        <v>73</v>
      </c>
      <c r="AV380" s="9" t="s">
        <v>67</v>
      </c>
      <c r="AW380" s="9" t="s">
        <v>942</v>
      </c>
      <c r="AX380" s="10">
        <v>45974</v>
      </c>
      <c r="AY380" s="9" t="s">
        <v>1255</v>
      </c>
      <c r="AZ380" s="9" t="s">
        <v>67</v>
      </c>
      <c r="BA380" s="9" t="s">
        <v>67</v>
      </c>
      <c r="BB380" s="12">
        <v>100</v>
      </c>
      <c r="BC380" s="9" t="s">
        <v>74</v>
      </c>
      <c r="BD380" s="9" t="s">
        <v>104</v>
      </c>
      <c r="BE380" s="9" t="s">
        <v>75</v>
      </c>
      <c r="BF380" s="11">
        <v>0</v>
      </c>
      <c r="BG380">
        <f t="shared" si="12"/>
        <v>12</v>
      </c>
      <c r="BH380" t="str">
        <f>VLOOKUP(BG380,[1]month!$A:$B,2,0)</f>
        <v>Desember</v>
      </c>
      <c r="BI380">
        <f t="shared" si="13"/>
        <v>2025</v>
      </c>
      <c r="BJ380" t="str">
        <f>VLOOKUP(I380,[1]Dist!$A:$B,2,0)</f>
        <v>Industry</v>
      </c>
      <c r="BK380" t="str">
        <f>IF(I380=11,VLOOKUP(Y380,[2]Sheet1!$C:$N,10,0),IF(I380=13,VLOOKUP(Y380,[3]Sheet1!$C:$N,10,0),IF(I380=15,VLOOKUP(Y380,[4]Sheet1!$C:$N,10,0),"Unknown")))</f>
        <v>PU</v>
      </c>
      <c r="BL380" t="str">
        <f>IF(I380=11,VLOOKUP(Y380,[2]Sheet1!$C:$N,12,0),IF(I380=13,VLOOKUP(Y380,[3]Sheet1!$C:$N,12,0),IF(I380=15,VLOOKUP(Y380,[4]Sheet1!$C:$N,12,0),"Unknown")))</f>
        <v>PU LACQUER</v>
      </c>
      <c r="BM380" t="str">
        <f>VLOOKUP(W380,[1]branch!$A:$B,2,0)</f>
        <v>INDUSTRY</v>
      </c>
    </row>
    <row r="381" spans="1:65" x14ac:dyDescent="0.35">
      <c r="A381" s="10">
        <v>45995</v>
      </c>
      <c r="B381" s="9" t="s">
        <v>1254</v>
      </c>
      <c r="C381" s="9" t="s">
        <v>64</v>
      </c>
      <c r="D381" s="9" t="s">
        <v>92</v>
      </c>
      <c r="E381" s="11">
        <v>45</v>
      </c>
      <c r="F381" s="9" t="s">
        <v>93</v>
      </c>
      <c r="G381" s="9" t="s">
        <v>65</v>
      </c>
      <c r="H381" s="9" t="s">
        <v>66</v>
      </c>
      <c r="I381" s="9">
        <v>11</v>
      </c>
      <c r="J381" s="9" t="s">
        <v>289</v>
      </c>
      <c r="K381" s="9" t="s">
        <v>289</v>
      </c>
      <c r="L381" s="9" t="s">
        <v>289</v>
      </c>
      <c r="M381" s="9" t="s">
        <v>290</v>
      </c>
      <c r="N381" s="9" t="s">
        <v>868</v>
      </c>
      <c r="O381" s="9" t="s">
        <v>97</v>
      </c>
      <c r="P381" s="9" t="s">
        <v>67</v>
      </c>
      <c r="Q381" s="9" t="s">
        <v>98</v>
      </c>
      <c r="R381" s="9" t="s">
        <v>289</v>
      </c>
      <c r="S381" s="9" t="s">
        <v>290</v>
      </c>
      <c r="T381" s="9" t="s">
        <v>797</v>
      </c>
      <c r="U381" s="9" t="s">
        <v>67</v>
      </c>
      <c r="V381" s="9" t="s">
        <v>194</v>
      </c>
      <c r="W381" s="9" t="s">
        <v>195</v>
      </c>
      <c r="X381" s="11">
        <v>50</v>
      </c>
      <c r="Y381" s="9" t="s">
        <v>123</v>
      </c>
      <c r="Z381" s="9" t="s">
        <v>68</v>
      </c>
      <c r="AA381" s="9" t="s">
        <v>124</v>
      </c>
      <c r="AB381" s="9" t="s">
        <v>67</v>
      </c>
      <c r="AC381" s="9" t="s">
        <v>125</v>
      </c>
      <c r="AD381" s="11">
        <v>2</v>
      </c>
      <c r="AE381" s="9" t="s">
        <v>70</v>
      </c>
      <c r="AF381" s="9" t="s">
        <v>71</v>
      </c>
      <c r="AG381" s="13">
        <v>1</v>
      </c>
      <c r="AH381" s="9" t="s">
        <v>92</v>
      </c>
      <c r="AI381" s="13">
        <v>2517840</v>
      </c>
      <c r="AJ381" s="13">
        <v>5035680</v>
      </c>
      <c r="AK381" s="11">
        <v>0</v>
      </c>
      <c r="AL381" s="11">
        <v>0</v>
      </c>
      <c r="AM381" s="11">
        <v>0</v>
      </c>
      <c r="AN381" s="9" t="s">
        <v>67</v>
      </c>
      <c r="AO381" s="11">
        <v>5035680</v>
      </c>
      <c r="AP381" s="13">
        <v>402854</v>
      </c>
      <c r="AQ381" s="13">
        <v>5438534</v>
      </c>
      <c r="AR381" s="12">
        <v>39.200000000000003</v>
      </c>
      <c r="AS381" s="9" t="s">
        <v>72</v>
      </c>
      <c r="AT381" s="11">
        <v>40</v>
      </c>
      <c r="AU381" s="9" t="s">
        <v>73</v>
      </c>
      <c r="AV381" s="9" t="s">
        <v>67</v>
      </c>
      <c r="AW381" s="9" t="s">
        <v>942</v>
      </c>
      <c r="AX381" s="10">
        <v>45974</v>
      </c>
      <c r="AY381" s="9" t="s">
        <v>1255</v>
      </c>
      <c r="AZ381" s="9" t="s">
        <v>67</v>
      </c>
      <c r="BA381" s="9" t="s">
        <v>67</v>
      </c>
      <c r="BB381" s="12">
        <v>40</v>
      </c>
      <c r="BC381" s="9" t="s">
        <v>74</v>
      </c>
      <c r="BD381" s="9" t="s">
        <v>104</v>
      </c>
      <c r="BE381" s="9" t="s">
        <v>75</v>
      </c>
      <c r="BF381" s="11">
        <v>0</v>
      </c>
      <c r="BG381">
        <f t="shared" si="12"/>
        <v>12</v>
      </c>
      <c r="BH381" t="str">
        <f>VLOOKUP(BG381,[1]month!$A:$B,2,0)</f>
        <v>Desember</v>
      </c>
      <c r="BI381">
        <f t="shared" si="13"/>
        <v>2025</v>
      </c>
      <c r="BJ381" t="str">
        <f>VLOOKUP(I381,[1]Dist!$A:$B,2,0)</f>
        <v>Industry</v>
      </c>
      <c r="BK381" t="str">
        <f>IF(I381=11,VLOOKUP(Y381,[2]Sheet1!$C:$N,10,0),IF(I381=13,VLOOKUP(Y381,[3]Sheet1!$C:$N,10,0),IF(I381=15,VLOOKUP(Y381,[4]Sheet1!$C:$N,10,0),"Unknown")))</f>
        <v>PU</v>
      </c>
      <c r="BL381" t="str">
        <f>IF(I381=11,VLOOKUP(Y381,[2]Sheet1!$C:$N,12,0),IF(I381=13,VLOOKUP(Y381,[3]Sheet1!$C:$N,12,0),IF(I381=15,VLOOKUP(Y381,[4]Sheet1!$C:$N,12,0),"Unknown")))</f>
        <v>PU HARDENER</v>
      </c>
      <c r="BM381" t="str">
        <f>VLOOKUP(W381,[1]branch!$A:$B,2,0)</f>
        <v>INDUSTRY</v>
      </c>
    </row>
    <row r="382" spans="1:65" x14ac:dyDescent="0.35">
      <c r="A382" s="10">
        <v>45995</v>
      </c>
      <c r="B382" s="9" t="s">
        <v>1256</v>
      </c>
      <c r="C382" s="9" t="s">
        <v>64</v>
      </c>
      <c r="D382" s="9" t="s">
        <v>92</v>
      </c>
      <c r="E382" s="11">
        <v>45</v>
      </c>
      <c r="F382" s="9" t="s">
        <v>93</v>
      </c>
      <c r="G382" s="9" t="s">
        <v>65</v>
      </c>
      <c r="H382" s="9" t="s">
        <v>66</v>
      </c>
      <c r="I382" s="9">
        <v>11</v>
      </c>
      <c r="J382" s="9" t="s">
        <v>289</v>
      </c>
      <c r="K382" s="9" t="s">
        <v>289</v>
      </c>
      <c r="L382" s="9" t="s">
        <v>289</v>
      </c>
      <c r="M382" s="9" t="s">
        <v>290</v>
      </c>
      <c r="N382" s="9" t="s">
        <v>868</v>
      </c>
      <c r="O382" s="9" t="s">
        <v>97</v>
      </c>
      <c r="P382" s="9" t="s">
        <v>67</v>
      </c>
      <c r="Q382" s="9" t="s">
        <v>98</v>
      </c>
      <c r="R382" s="9" t="s">
        <v>289</v>
      </c>
      <c r="S382" s="9" t="s">
        <v>290</v>
      </c>
      <c r="T382" s="9" t="s">
        <v>797</v>
      </c>
      <c r="U382" s="9" t="s">
        <v>67</v>
      </c>
      <c r="V382" s="9" t="s">
        <v>194</v>
      </c>
      <c r="W382" s="9" t="s">
        <v>195</v>
      </c>
      <c r="X382" s="11">
        <v>30</v>
      </c>
      <c r="Y382" s="9" t="s">
        <v>368</v>
      </c>
      <c r="Z382" s="9" t="s">
        <v>68</v>
      </c>
      <c r="AA382" s="9" t="s">
        <v>369</v>
      </c>
      <c r="AB382" s="9" t="s">
        <v>67</v>
      </c>
      <c r="AC382" s="9" t="s">
        <v>248</v>
      </c>
      <c r="AD382" s="11">
        <v>8</v>
      </c>
      <c r="AE382" s="9" t="s">
        <v>70</v>
      </c>
      <c r="AF382" s="9" t="s">
        <v>71</v>
      </c>
      <c r="AG382" s="13">
        <v>1</v>
      </c>
      <c r="AH382" s="9" t="s">
        <v>92</v>
      </c>
      <c r="AI382" s="13">
        <v>2317380</v>
      </c>
      <c r="AJ382" s="13">
        <v>18539040</v>
      </c>
      <c r="AK382" s="11">
        <v>0</v>
      </c>
      <c r="AL382" s="11">
        <v>0</v>
      </c>
      <c r="AM382" s="11">
        <v>0</v>
      </c>
      <c r="AN382" s="9" t="s">
        <v>67</v>
      </c>
      <c r="AO382" s="11">
        <v>18539040</v>
      </c>
      <c r="AP382" s="13">
        <v>1483123</v>
      </c>
      <c r="AQ382" s="13">
        <v>20022163</v>
      </c>
      <c r="AR382" s="12">
        <v>153.6</v>
      </c>
      <c r="AS382" s="9" t="s">
        <v>72</v>
      </c>
      <c r="AT382" s="11">
        <v>160</v>
      </c>
      <c r="AU382" s="9" t="s">
        <v>73</v>
      </c>
      <c r="AV382" s="9" t="s">
        <v>67</v>
      </c>
      <c r="AW382" s="9" t="s">
        <v>1257</v>
      </c>
      <c r="AX382" s="10">
        <v>45993</v>
      </c>
      <c r="AY382" s="9" t="s">
        <v>1258</v>
      </c>
      <c r="AZ382" s="9" t="s">
        <v>67</v>
      </c>
      <c r="BA382" s="9" t="s">
        <v>67</v>
      </c>
      <c r="BB382" s="12">
        <v>160</v>
      </c>
      <c r="BC382" s="9" t="s">
        <v>74</v>
      </c>
      <c r="BD382" s="9" t="s">
        <v>104</v>
      </c>
      <c r="BE382" s="9" t="s">
        <v>75</v>
      </c>
      <c r="BF382" s="11">
        <v>0</v>
      </c>
      <c r="BG382">
        <f t="shared" si="12"/>
        <v>12</v>
      </c>
      <c r="BH382" t="str">
        <f>VLOOKUP(BG382,[1]month!$A:$B,2,0)</f>
        <v>Desember</v>
      </c>
      <c r="BI382">
        <f t="shared" si="13"/>
        <v>2025</v>
      </c>
      <c r="BJ382" t="str">
        <f>VLOOKUP(I382,[1]Dist!$A:$B,2,0)</f>
        <v>Industry</v>
      </c>
      <c r="BK382" t="str">
        <f>IF(I382=11,VLOOKUP(Y382,[2]Sheet1!$C:$N,10,0),IF(I382=13,VLOOKUP(Y382,[3]Sheet1!$C:$N,10,0),IF(I382=15,VLOOKUP(Y382,[4]Sheet1!$C:$N,10,0),"Unknown")))</f>
        <v>PU</v>
      </c>
      <c r="BL382" t="str">
        <f>IF(I382=11,VLOOKUP(Y382,[2]Sheet1!$C:$N,12,0),IF(I382=13,VLOOKUP(Y382,[3]Sheet1!$C:$N,12,0),IF(I382=15,VLOOKUP(Y382,[4]Sheet1!$C:$N,12,0),"Unknown")))</f>
        <v>PU LACQUER</v>
      </c>
      <c r="BM382" t="str">
        <f>VLOOKUP(W382,[1]branch!$A:$B,2,0)</f>
        <v>INDUSTRY</v>
      </c>
    </row>
    <row r="383" spans="1:65" x14ac:dyDescent="0.35">
      <c r="A383" s="10">
        <v>45995</v>
      </c>
      <c r="B383" s="9" t="s">
        <v>1256</v>
      </c>
      <c r="C383" s="9" t="s">
        <v>64</v>
      </c>
      <c r="D383" s="9" t="s">
        <v>92</v>
      </c>
      <c r="E383" s="11">
        <v>45</v>
      </c>
      <c r="F383" s="9" t="s">
        <v>93</v>
      </c>
      <c r="G383" s="9" t="s">
        <v>65</v>
      </c>
      <c r="H383" s="9" t="s">
        <v>66</v>
      </c>
      <c r="I383" s="9">
        <v>11</v>
      </c>
      <c r="J383" s="9" t="s">
        <v>289</v>
      </c>
      <c r="K383" s="9" t="s">
        <v>289</v>
      </c>
      <c r="L383" s="9" t="s">
        <v>289</v>
      </c>
      <c r="M383" s="9" t="s">
        <v>290</v>
      </c>
      <c r="N383" s="9" t="s">
        <v>868</v>
      </c>
      <c r="O383" s="9" t="s">
        <v>97</v>
      </c>
      <c r="P383" s="9" t="s">
        <v>67</v>
      </c>
      <c r="Q383" s="9" t="s">
        <v>98</v>
      </c>
      <c r="R383" s="9" t="s">
        <v>289</v>
      </c>
      <c r="S383" s="9" t="s">
        <v>290</v>
      </c>
      <c r="T383" s="9" t="s">
        <v>797</v>
      </c>
      <c r="U383" s="9" t="s">
        <v>67</v>
      </c>
      <c r="V383" s="9" t="s">
        <v>194</v>
      </c>
      <c r="W383" s="9" t="s">
        <v>195</v>
      </c>
      <c r="X383" s="11">
        <v>40</v>
      </c>
      <c r="Y383" s="9" t="s">
        <v>123</v>
      </c>
      <c r="Z383" s="9" t="s">
        <v>68</v>
      </c>
      <c r="AA383" s="9" t="s">
        <v>124</v>
      </c>
      <c r="AB383" s="9" t="s">
        <v>67</v>
      </c>
      <c r="AC383" s="9" t="s">
        <v>125</v>
      </c>
      <c r="AD383" s="11">
        <v>4</v>
      </c>
      <c r="AE383" s="9" t="s">
        <v>70</v>
      </c>
      <c r="AF383" s="9" t="s">
        <v>71</v>
      </c>
      <c r="AG383" s="13">
        <v>1</v>
      </c>
      <c r="AH383" s="9" t="s">
        <v>92</v>
      </c>
      <c r="AI383" s="13">
        <v>2517840</v>
      </c>
      <c r="AJ383" s="13">
        <v>10071360</v>
      </c>
      <c r="AK383" s="11">
        <v>0</v>
      </c>
      <c r="AL383" s="11">
        <v>0</v>
      </c>
      <c r="AM383" s="11">
        <v>0</v>
      </c>
      <c r="AN383" s="9" t="s">
        <v>67</v>
      </c>
      <c r="AO383" s="11">
        <v>10071360</v>
      </c>
      <c r="AP383" s="13">
        <v>805709</v>
      </c>
      <c r="AQ383" s="13">
        <v>10877069</v>
      </c>
      <c r="AR383" s="12">
        <v>78.400000000000006</v>
      </c>
      <c r="AS383" s="9" t="s">
        <v>72</v>
      </c>
      <c r="AT383" s="11">
        <v>80</v>
      </c>
      <c r="AU383" s="9" t="s">
        <v>73</v>
      </c>
      <c r="AV383" s="9" t="s">
        <v>67</v>
      </c>
      <c r="AW383" s="9" t="s">
        <v>1257</v>
      </c>
      <c r="AX383" s="10">
        <v>45993</v>
      </c>
      <c r="AY383" s="9" t="s">
        <v>1258</v>
      </c>
      <c r="AZ383" s="9" t="s">
        <v>67</v>
      </c>
      <c r="BA383" s="9" t="s">
        <v>67</v>
      </c>
      <c r="BB383" s="12">
        <v>80</v>
      </c>
      <c r="BC383" s="9" t="s">
        <v>74</v>
      </c>
      <c r="BD383" s="9" t="s">
        <v>104</v>
      </c>
      <c r="BE383" s="9" t="s">
        <v>75</v>
      </c>
      <c r="BF383" s="11">
        <v>0</v>
      </c>
      <c r="BG383">
        <f t="shared" si="12"/>
        <v>12</v>
      </c>
      <c r="BH383" t="str">
        <f>VLOOKUP(BG383,[1]month!$A:$B,2,0)</f>
        <v>Desember</v>
      </c>
      <c r="BI383">
        <f t="shared" si="13"/>
        <v>2025</v>
      </c>
      <c r="BJ383" t="str">
        <f>VLOOKUP(I383,[1]Dist!$A:$B,2,0)</f>
        <v>Industry</v>
      </c>
      <c r="BK383" t="str">
        <f>IF(I383=11,VLOOKUP(Y383,[2]Sheet1!$C:$N,10,0),IF(I383=13,VLOOKUP(Y383,[3]Sheet1!$C:$N,10,0),IF(I383=15,VLOOKUP(Y383,[4]Sheet1!$C:$N,10,0),"Unknown")))</f>
        <v>PU</v>
      </c>
      <c r="BL383" t="str">
        <f>IF(I383=11,VLOOKUP(Y383,[2]Sheet1!$C:$N,12,0),IF(I383=13,VLOOKUP(Y383,[3]Sheet1!$C:$N,12,0),IF(I383=15,VLOOKUP(Y383,[4]Sheet1!$C:$N,12,0),"Unknown")))</f>
        <v>PU HARDENER</v>
      </c>
      <c r="BM383" t="str">
        <f>VLOOKUP(W383,[1]branch!$A:$B,2,0)</f>
        <v>INDUSTRY</v>
      </c>
    </row>
    <row r="384" spans="1:65" x14ac:dyDescent="0.35">
      <c r="A384" s="10">
        <v>45995</v>
      </c>
      <c r="B384" s="9" t="s">
        <v>1256</v>
      </c>
      <c r="C384" s="9" t="s">
        <v>64</v>
      </c>
      <c r="D384" s="9" t="s">
        <v>92</v>
      </c>
      <c r="E384" s="11">
        <v>45</v>
      </c>
      <c r="F384" s="9" t="s">
        <v>93</v>
      </c>
      <c r="G384" s="9" t="s">
        <v>65</v>
      </c>
      <c r="H384" s="9" t="s">
        <v>66</v>
      </c>
      <c r="I384" s="9">
        <v>11</v>
      </c>
      <c r="J384" s="9" t="s">
        <v>289</v>
      </c>
      <c r="K384" s="9" t="s">
        <v>289</v>
      </c>
      <c r="L384" s="9" t="s">
        <v>289</v>
      </c>
      <c r="M384" s="9" t="s">
        <v>290</v>
      </c>
      <c r="N384" s="9" t="s">
        <v>868</v>
      </c>
      <c r="O384" s="9" t="s">
        <v>97</v>
      </c>
      <c r="P384" s="9" t="s">
        <v>67</v>
      </c>
      <c r="Q384" s="9" t="s">
        <v>98</v>
      </c>
      <c r="R384" s="9" t="s">
        <v>289</v>
      </c>
      <c r="S384" s="9" t="s">
        <v>290</v>
      </c>
      <c r="T384" s="9" t="s">
        <v>797</v>
      </c>
      <c r="U384" s="9" t="s">
        <v>67</v>
      </c>
      <c r="V384" s="9" t="s">
        <v>194</v>
      </c>
      <c r="W384" s="9" t="s">
        <v>195</v>
      </c>
      <c r="X384" s="11">
        <v>60</v>
      </c>
      <c r="Y384" s="9" t="s">
        <v>118</v>
      </c>
      <c r="Z384" s="9" t="s">
        <v>68</v>
      </c>
      <c r="AA384" s="9" t="s">
        <v>119</v>
      </c>
      <c r="AB384" s="9" t="s">
        <v>67</v>
      </c>
      <c r="AC384" s="9" t="s">
        <v>120</v>
      </c>
      <c r="AD384" s="11">
        <v>5</v>
      </c>
      <c r="AE384" s="9" t="s">
        <v>70</v>
      </c>
      <c r="AF384" s="9" t="s">
        <v>71</v>
      </c>
      <c r="AG384" s="13">
        <v>1</v>
      </c>
      <c r="AH384" s="9" t="s">
        <v>92</v>
      </c>
      <c r="AI384" s="13">
        <v>7538800</v>
      </c>
      <c r="AJ384" s="13">
        <v>37694000</v>
      </c>
      <c r="AK384" s="11">
        <v>0</v>
      </c>
      <c r="AL384" s="11">
        <v>0</v>
      </c>
      <c r="AM384" s="11">
        <v>0</v>
      </c>
      <c r="AN384" s="9" t="s">
        <v>67</v>
      </c>
      <c r="AO384" s="11">
        <v>37694000</v>
      </c>
      <c r="AP384" s="13">
        <v>3015520</v>
      </c>
      <c r="AQ384" s="13">
        <v>40709520</v>
      </c>
      <c r="AR384" s="11">
        <v>925</v>
      </c>
      <c r="AS384" s="9" t="s">
        <v>72</v>
      </c>
      <c r="AT384" s="11">
        <v>1000</v>
      </c>
      <c r="AU384" s="9" t="s">
        <v>73</v>
      </c>
      <c r="AV384" s="9" t="s">
        <v>67</v>
      </c>
      <c r="AW384" s="9" t="s">
        <v>1257</v>
      </c>
      <c r="AX384" s="10">
        <v>45993</v>
      </c>
      <c r="AY384" s="9" t="s">
        <v>1258</v>
      </c>
      <c r="AZ384" s="9" t="s">
        <v>67</v>
      </c>
      <c r="BA384" s="9" t="s">
        <v>67</v>
      </c>
      <c r="BB384" s="12">
        <v>1000</v>
      </c>
      <c r="BC384" s="9" t="s">
        <v>74</v>
      </c>
      <c r="BD384" s="9" t="s">
        <v>104</v>
      </c>
      <c r="BE384" s="9" t="s">
        <v>75</v>
      </c>
      <c r="BF384" s="11">
        <v>0</v>
      </c>
      <c r="BG384">
        <f t="shared" si="12"/>
        <v>12</v>
      </c>
      <c r="BH384" t="str">
        <f>VLOOKUP(BG384,[1]month!$A:$B,2,0)</f>
        <v>Desember</v>
      </c>
      <c r="BI384">
        <f t="shared" si="13"/>
        <v>2025</v>
      </c>
      <c r="BJ384" t="str">
        <f>VLOOKUP(I384,[1]Dist!$A:$B,2,0)</f>
        <v>Industry</v>
      </c>
      <c r="BK384" t="str">
        <f>IF(I384=11,VLOOKUP(Y384,[2]Sheet1!$C:$N,10,0),IF(I384=13,VLOOKUP(Y384,[3]Sheet1!$C:$N,10,0),IF(I384=15,VLOOKUP(Y384,[4]Sheet1!$C:$N,10,0),"Unknown")))</f>
        <v>THINNER PU</v>
      </c>
      <c r="BL384" t="str">
        <f>IF(I384=11,VLOOKUP(Y384,[2]Sheet1!$C:$N,12,0),IF(I384=13,VLOOKUP(Y384,[3]Sheet1!$C:$N,12,0),IF(I384=15,VLOOKUP(Y384,[4]Sheet1!$C:$N,12,0),"Unknown")))</f>
        <v>THINNER PU</v>
      </c>
      <c r="BM384" t="str">
        <f>VLOOKUP(W384,[1]branch!$A:$B,2,0)</f>
        <v>INDUSTRY</v>
      </c>
    </row>
    <row r="385" spans="1:65" x14ac:dyDescent="0.35">
      <c r="A385" s="10">
        <v>45995</v>
      </c>
      <c r="B385" s="9" t="s">
        <v>1259</v>
      </c>
      <c r="C385" s="9" t="s">
        <v>64</v>
      </c>
      <c r="D385" s="9" t="s">
        <v>92</v>
      </c>
      <c r="E385" s="11">
        <v>60</v>
      </c>
      <c r="F385" s="9" t="s">
        <v>93</v>
      </c>
      <c r="G385" s="9" t="s">
        <v>65</v>
      </c>
      <c r="H385" s="9" t="s">
        <v>66</v>
      </c>
      <c r="I385" s="9">
        <v>11</v>
      </c>
      <c r="J385" s="9" t="s">
        <v>227</v>
      </c>
      <c r="K385" s="9" t="s">
        <v>227</v>
      </c>
      <c r="L385" s="9" t="s">
        <v>227</v>
      </c>
      <c r="M385" s="9" t="s">
        <v>228</v>
      </c>
      <c r="N385" s="9" t="s">
        <v>872</v>
      </c>
      <c r="O385" s="9" t="s">
        <v>97</v>
      </c>
      <c r="P385" s="9" t="s">
        <v>67</v>
      </c>
      <c r="Q385" s="9" t="s">
        <v>98</v>
      </c>
      <c r="R385" s="9" t="s">
        <v>227</v>
      </c>
      <c r="S385" s="9" t="s">
        <v>228</v>
      </c>
      <c r="T385" s="9" t="s">
        <v>817</v>
      </c>
      <c r="U385" s="9" t="s">
        <v>67</v>
      </c>
      <c r="V385" s="9" t="s">
        <v>221</v>
      </c>
      <c r="W385" s="9" t="s">
        <v>222</v>
      </c>
      <c r="X385" s="11">
        <v>10</v>
      </c>
      <c r="Y385" s="9" t="s">
        <v>558</v>
      </c>
      <c r="Z385" s="9" t="s">
        <v>68</v>
      </c>
      <c r="AA385" s="9" t="s">
        <v>559</v>
      </c>
      <c r="AB385" s="9" t="s">
        <v>67</v>
      </c>
      <c r="AC385" s="9" t="s">
        <v>560</v>
      </c>
      <c r="AD385" s="11">
        <v>6</v>
      </c>
      <c r="AE385" s="9" t="s">
        <v>70</v>
      </c>
      <c r="AF385" s="9" t="s">
        <v>71</v>
      </c>
      <c r="AG385" s="13">
        <v>1</v>
      </c>
      <c r="AH385" s="9" t="s">
        <v>92</v>
      </c>
      <c r="AI385" s="13">
        <v>482800</v>
      </c>
      <c r="AJ385" s="13">
        <v>2896800</v>
      </c>
      <c r="AK385" s="11">
        <v>0</v>
      </c>
      <c r="AL385" s="11">
        <v>0</v>
      </c>
      <c r="AM385" s="11">
        <v>0</v>
      </c>
      <c r="AN385" s="9" t="s">
        <v>67</v>
      </c>
      <c r="AO385" s="11">
        <v>2896800</v>
      </c>
      <c r="AP385" s="13">
        <v>231744</v>
      </c>
      <c r="AQ385" s="13">
        <v>3128544</v>
      </c>
      <c r="AR385" s="12">
        <v>23.52</v>
      </c>
      <c r="AS385" s="9" t="s">
        <v>72</v>
      </c>
      <c r="AT385" s="11">
        <v>24</v>
      </c>
      <c r="AU385" s="9" t="s">
        <v>73</v>
      </c>
      <c r="AV385" s="9" t="s">
        <v>67</v>
      </c>
      <c r="AW385" s="9" t="s">
        <v>1260</v>
      </c>
      <c r="AX385" s="10">
        <v>45993</v>
      </c>
      <c r="AY385" s="9" t="s">
        <v>1261</v>
      </c>
      <c r="AZ385" s="9" t="s">
        <v>67</v>
      </c>
      <c r="BA385" s="9" t="s">
        <v>67</v>
      </c>
      <c r="BB385" s="12">
        <v>24</v>
      </c>
      <c r="BC385" s="9" t="s">
        <v>74</v>
      </c>
      <c r="BD385" s="9" t="s">
        <v>104</v>
      </c>
      <c r="BE385" s="9" t="s">
        <v>75</v>
      </c>
      <c r="BF385" s="11">
        <v>0</v>
      </c>
      <c r="BG385">
        <f t="shared" si="12"/>
        <v>12</v>
      </c>
      <c r="BH385" t="str">
        <f>VLOOKUP(BG385,[1]month!$A:$B,2,0)</f>
        <v>Desember</v>
      </c>
      <c r="BI385">
        <f t="shared" si="13"/>
        <v>2025</v>
      </c>
      <c r="BJ385" t="str">
        <f>VLOOKUP(I385,[1]Dist!$A:$B,2,0)</f>
        <v>Industry</v>
      </c>
      <c r="BK385" t="str">
        <f>IF(I385=11,VLOOKUP(Y385,[2]Sheet1!$C:$N,10,0),IF(I385=13,VLOOKUP(Y385,[3]Sheet1!$C:$N,10,0),IF(I385=15,VLOOKUP(Y385,[4]Sheet1!$C:$N,10,0),"Unknown")))</f>
        <v>COMPLEMENTARY</v>
      </c>
      <c r="BL385" t="str">
        <f>IF(I385=11,VLOOKUP(Y385,[2]Sheet1!$C:$N,12,0),IF(I385=13,VLOOKUP(Y385,[3]Sheet1!$C:$N,12,0),IF(I385=15,VLOOKUP(Y385,[4]Sheet1!$C:$N,12,0),"Unknown")))</f>
        <v>COMPLEMENT PRODUCT</v>
      </c>
      <c r="BM385" t="str">
        <f>VLOOKUP(W385,[1]branch!$A:$B,2,0)</f>
        <v>INDUSTRY</v>
      </c>
    </row>
    <row r="386" spans="1:65" x14ac:dyDescent="0.35">
      <c r="A386" s="10">
        <v>45995</v>
      </c>
      <c r="B386" s="9" t="s">
        <v>1262</v>
      </c>
      <c r="C386" s="9" t="s">
        <v>64</v>
      </c>
      <c r="D386" s="9" t="s">
        <v>92</v>
      </c>
      <c r="E386" s="11">
        <v>60</v>
      </c>
      <c r="F386" s="9" t="s">
        <v>93</v>
      </c>
      <c r="G386" s="9" t="s">
        <v>65</v>
      </c>
      <c r="H386" s="9" t="s">
        <v>66</v>
      </c>
      <c r="I386" s="9">
        <v>13</v>
      </c>
      <c r="J386" s="9" t="s">
        <v>261</v>
      </c>
      <c r="K386" s="9" t="s">
        <v>261</v>
      </c>
      <c r="L386" s="9" t="s">
        <v>261</v>
      </c>
      <c r="M386" s="9" t="s">
        <v>262</v>
      </c>
      <c r="N386" s="9" t="s">
        <v>878</v>
      </c>
      <c r="O386" s="9" t="s">
        <v>150</v>
      </c>
      <c r="P386" s="9" t="s">
        <v>67</v>
      </c>
      <c r="Q386" s="9" t="s">
        <v>98</v>
      </c>
      <c r="R386" s="9" t="s">
        <v>261</v>
      </c>
      <c r="S386" s="9" t="s">
        <v>262</v>
      </c>
      <c r="T386" s="9" t="s">
        <v>802</v>
      </c>
      <c r="U386" s="9" t="s">
        <v>67</v>
      </c>
      <c r="V386" s="9" t="s">
        <v>311</v>
      </c>
      <c r="W386" s="9" t="s">
        <v>312</v>
      </c>
      <c r="X386" s="11">
        <v>10</v>
      </c>
      <c r="Y386" s="9" t="s">
        <v>306</v>
      </c>
      <c r="Z386" s="9" t="s">
        <v>68</v>
      </c>
      <c r="AA386" s="9" t="s">
        <v>307</v>
      </c>
      <c r="AB386" s="9" t="s">
        <v>67</v>
      </c>
      <c r="AC386" s="9" t="s">
        <v>308</v>
      </c>
      <c r="AD386" s="11">
        <v>6</v>
      </c>
      <c r="AE386" s="9" t="s">
        <v>156</v>
      </c>
      <c r="AF386" s="9" t="s">
        <v>71</v>
      </c>
      <c r="AG386" s="13">
        <v>1</v>
      </c>
      <c r="AH386" s="9" t="s">
        <v>92</v>
      </c>
      <c r="AI386" s="13">
        <v>858181</v>
      </c>
      <c r="AJ386" s="13">
        <v>5149086</v>
      </c>
      <c r="AK386" s="11">
        <v>859897</v>
      </c>
      <c r="AL386" s="11">
        <v>0</v>
      </c>
      <c r="AM386" s="11">
        <v>0</v>
      </c>
      <c r="AN386" s="9" t="s">
        <v>615</v>
      </c>
      <c r="AO386" s="11">
        <v>4289189</v>
      </c>
      <c r="AP386" s="13">
        <v>343135</v>
      </c>
      <c r="AQ386" s="13">
        <v>4632324</v>
      </c>
      <c r="AR386" s="11">
        <v>30</v>
      </c>
      <c r="AS386" s="9" t="s">
        <v>72</v>
      </c>
      <c r="AT386" s="12">
        <v>22.74</v>
      </c>
      <c r="AU386" s="9" t="s">
        <v>73</v>
      </c>
      <c r="AV386" s="9" t="s">
        <v>67</v>
      </c>
      <c r="AW386" s="9" t="s">
        <v>953</v>
      </c>
      <c r="AX386" s="10">
        <v>45987</v>
      </c>
      <c r="AY386" s="9" t="s">
        <v>1263</v>
      </c>
      <c r="AZ386" s="9" t="s">
        <v>67</v>
      </c>
      <c r="BA386" s="9" t="s">
        <v>67</v>
      </c>
      <c r="BB386" s="12">
        <v>30</v>
      </c>
      <c r="BC386" s="9" t="s">
        <v>74</v>
      </c>
      <c r="BD386" s="9" t="s">
        <v>104</v>
      </c>
      <c r="BE386" s="9" t="s">
        <v>75</v>
      </c>
      <c r="BF386" s="11">
        <v>0</v>
      </c>
      <c r="BG386">
        <f t="shared" si="12"/>
        <v>12</v>
      </c>
      <c r="BH386" t="str">
        <f>VLOOKUP(BG386,[1]month!$A:$B,2,0)</f>
        <v>Desember</v>
      </c>
      <c r="BI386">
        <f t="shared" si="13"/>
        <v>2025</v>
      </c>
      <c r="BJ386" t="str">
        <f>VLOOKUP(I386,[1]Dist!$A:$B,2,0)</f>
        <v>Retail</v>
      </c>
      <c r="BK386" t="str">
        <f>IF(I386=11,VLOOKUP(Y386,[2]Sheet1!$C:$N,10,0),IF(I386=13,VLOOKUP(Y386,[3]Sheet1!$C:$N,10,0),IF(I386=15,VLOOKUP(Y386,[4]Sheet1!$C:$N,10,0),"Unknown")))</f>
        <v>PU MULTIPURPOSE</v>
      </c>
      <c r="BL386" t="str">
        <f>IF(I386=11,VLOOKUP(Y386,[2]Sheet1!$C:$N,12,0),IF(I386=13,VLOOKUP(Y386,[3]Sheet1!$C:$N,12,0),IF(I386=15,VLOOKUP(Y386,[4]Sheet1!$C:$N,12,0),"Unknown")))</f>
        <v>PROPAN MP PU ACR RMX</v>
      </c>
      <c r="BM386" t="str">
        <f>VLOOKUP(W386,[1]branch!$A:$B,2,0)</f>
        <v>DANANG</v>
      </c>
    </row>
    <row r="387" spans="1:65" x14ac:dyDescent="0.35">
      <c r="A387" s="10">
        <v>45995</v>
      </c>
      <c r="B387" s="9" t="s">
        <v>1264</v>
      </c>
      <c r="C387" s="9" t="s">
        <v>64</v>
      </c>
      <c r="D387" s="9" t="s">
        <v>92</v>
      </c>
      <c r="E387" s="11">
        <v>60</v>
      </c>
      <c r="F387" s="9" t="s">
        <v>93</v>
      </c>
      <c r="G387" s="9" t="s">
        <v>65</v>
      </c>
      <c r="H387" s="9" t="s">
        <v>66</v>
      </c>
      <c r="I387" s="9">
        <v>13</v>
      </c>
      <c r="J387" s="9" t="s">
        <v>309</v>
      </c>
      <c r="K387" s="9" t="s">
        <v>309</v>
      </c>
      <c r="L387" s="9" t="s">
        <v>309</v>
      </c>
      <c r="M387" s="9" t="s">
        <v>310</v>
      </c>
      <c r="N387" s="9" t="s">
        <v>869</v>
      </c>
      <c r="O387" s="9" t="s">
        <v>150</v>
      </c>
      <c r="P387" s="9" t="s">
        <v>67</v>
      </c>
      <c r="Q387" s="9" t="s">
        <v>98</v>
      </c>
      <c r="R387" s="9" t="s">
        <v>309</v>
      </c>
      <c r="S387" s="9" t="s">
        <v>310</v>
      </c>
      <c r="T387" s="9" t="s">
        <v>798</v>
      </c>
      <c r="U387" s="9" t="s">
        <v>67</v>
      </c>
      <c r="V387" s="9" t="s">
        <v>311</v>
      </c>
      <c r="W387" s="9" t="s">
        <v>312</v>
      </c>
      <c r="X387" s="11">
        <v>170</v>
      </c>
      <c r="Y387" s="9" t="s">
        <v>327</v>
      </c>
      <c r="Z387" s="9" t="s">
        <v>68</v>
      </c>
      <c r="AA387" s="9" t="s">
        <v>328</v>
      </c>
      <c r="AB387" s="9" t="s">
        <v>67</v>
      </c>
      <c r="AC387" s="9" t="s">
        <v>326</v>
      </c>
      <c r="AD387" s="11">
        <v>36</v>
      </c>
      <c r="AE387" s="9" t="s">
        <v>156</v>
      </c>
      <c r="AF387" s="9" t="s">
        <v>71</v>
      </c>
      <c r="AG387" s="13">
        <v>1</v>
      </c>
      <c r="AH387" s="9" t="s">
        <v>92</v>
      </c>
      <c r="AI387" s="13">
        <v>206364</v>
      </c>
      <c r="AJ387" s="13">
        <v>7429104</v>
      </c>
      <c r="AK387" s="11">
        <v>1366956</v>
      </c>
      <c r="AL387" s="11">
        <v>0</v>
      </c>
      <c r="AM387" s="11">
        <v>0</v>
      </c>
      <c r="AN387" s="9" t="s">
        <v>271</v>
      </c>
      <c r="AO387" s="11">
        <v>6062148</v>
      </c>
      <c r="AP387" s="13">
        <v>484972</v>
      </c>
      <c r="AQ387" s="13">
        <v>6547120</v>
      </c>
      <c r="AR387" s="11">
        <v>36</v>
      </c>
      <c r="AS387" s="9" t="s">
        <v>72</v>
      </c>
      <c r="AT387" s="12">
        <v>36.72</v>
      </c>
      <c r="AU387" s="9" t="s">
        <v>73</v>
      </c>
      <c r="AV387" s="9" t="s">
        <v>67</v>
      </c>
      <c r="AW387" s="9" t="s">
        <v>1196</v>
      </c>
      <c r="AX387" s="10">
        <v>45993</v>
      </c>
      <c r="AY387" s="9" t="s">
        <v>1265</v>
      </c>
      <c r="AZ387" s="9" t="s">
        <v>67</v>
      </c>
      <c r="BA387" s="9" t="s">
        <v>67</v>
      </c>
      <c r="BB387" s="12">
        <v>36</v>
      </c>
      <c r="BC387" s="9" t="s">
        <v>74</v>
      </c>
      <c r="BD387" s="9" t="s">
        <v>104</v>
      </c>
      <c r="BE387" s="9" t="s">
        <v>75</v>
      </c>
      <c r="BF387" s="11">
        <v>0</v>
      </c>
      <c r="BG387">
        <f t="shared" ref="BG387:BG450" si="14">MONTH(A387)</f>
        <v>12</v>
      </c>
      <c r="BH387" t="str">
        <f>VLOOKUP(BG387,[1]month!$A:$B,2,0)</f>
        <v>Desember</v>
      </c>
      <c r="BI387">
        <f t="shared" ref="BI387:BI450" si="15">YEAR(A387)</f>
        <v>2025</v>
      </c>
      <c r="BJ387" t="str">
        <f>VLOOKUP(I387,[1]Dist!$A:$B,2,0)</f>
        <v>Retail</v>
      </c>
      <c r="BK387" t="str">
        <f>IF(I387=11,VLOOKUP(Y387,[2]Sheet1!$C:$N,10,0),IF(I387=13,VLOOKUP(Y387,[3]Sheet1!$C:$N,10,0),IF(I387=15,VLOOKUP(Y387,[4]Sheet1!$C:$N,10,0),"Unknown")))</f>
        <v>PU MULTIPURPOSE</v>
      </c>
      <c r="BL387" t="str">
        <f>IF(I387=11,VLOOKUP(Y387,[2]Sheet1!$C:$N,12,0),IF(I387=13,VLOOKUP(Y387,[3]Sheet1!$C:$N,12,0),IF(I387=15,VLOOKUP(Y387,[4]Sheet1!$C:$N,12,0),"Unknown")))</f>
        <v>PROPAN MP PU ACR RMX</v>
      </c>
      <c r="BM387" t="str">
        <f>VLOOKUP(W387,[1]branch!$A:$B,2,0)</f>
        <v>DANANG</v>
      </c>
    </row>
    <row r="388" spans="1:65" x14ac:dyDescent="0.35">
      <c r="A388" s="10">
        <v>45995</v>
      </c>
      <c r="B388" s="9" t="s">
        <v>1266</v>
      </c>
      <c r="C388" s="9" t="s">
        <v>64</v>
      </c>
      <c r="D388" s="9" t="s">
        <v>92</v>
      </c>
      <c r="E388" s="11">
        <v>60</v>
      </c>
      <c r="F388" s="9" t="s">
        <v>93</v>
      </c>
      <c r="G388" s="9" t="s">
        <v>65</v>
      </c>
      <c r="H388" s="9" t="s">
        <v>66</v>
      </c>
      <c r="I388" s="9">
        <v>13</v>
      </c>
      <c r="J388" s="9" t="s">
        <v>309</v>
      </c>
      <c r="K388" s="9" t="s">
        <v>309</v>
      </c>
      <c r="L388" s="9" t="s">
        <v>309</v>
      </c>
      <c r="M388" s="9" t="s">
        <v>310</v>
      </c>
      <c r="N388" s="9" t="s">
        <v>869</v>
      </c>
      <c r="O388" s="9" t="s">
        <v>150</v>
      </c>
      <c r="P388" s="9" t="s">
        <v>67</v>
      </c>
      <c r="Q388" s="9" t="s">
        <v>98</v>
      </c>
      <c r="R388" s="9" t="s">
        <v>309</v>
      </c>
      <c r="S388" s="9" t="s">
        <v>310</v>
      </c>
      <c r="T388" s="9" t="s">
        <v>798</v>
      </c>
      <c r="U388" s="9" t="s">
        <v>67</v>
      </c>
      <c r="V388" s="9" t="s">
        <v>311</v>
      </c>
      <c r="W388" s="9" t="s">
        <v>312</v>
      </c>
      <c r="X388" s="11">
        <v>10</v>
      </c>
      <c r="Y388" s="9" t="s">
        <v>477</v>
      </c>
      <c r="Z388" s="9" t="s">
        <v>68</v>
      </c>
      <c r="AA388" s="9" t="s">
        <v>478</v>
      </c>
      <c r="AB388" s="9" t="s">
        <v>67</v>
      </c>
      <c r="AC388" s="9" t="s">
        <v>326</v>
      </c>
      <c r="AD388" s="11">
        <v>36</v>
      </c>
      <c r="AE388" s="9" t="s">
        <v>156</v>
      </c>
      <c r="AF388" s="9" t="s">
        <v>71</v>
      </c>
      <c r="AG388" s="13">
        <v>1</v>
      </c>
      <c r="AH388" s="9" t="s">
        <v>92</v>
      </c>
      <c r="AI388" s="13">
        <v>206364</v>
      </c>
      <c r="AJ388" s="13">
        <v>7429104</v>
      </c>
      <c r="AK388" s="11">
        <v>1114366</v>
      </c>
      <c r="AL388" s="11">
        <v>0</v>
      </c>
      <c r="AM388" s="11">
        <v>0</v>
      </c>
      <c r="AN388" s="9" t="s">
        <v>331</v>
      </c>
      <c r="AO388" s="11">
        <v>6314738</v>
      </c>
      <c r="AP388" s="13">
        <v>505179</v>
      </c>
      <c r="AQ388" s="13">
        <v>6819917</v>
      </c>
      <c r="AR388" s="11">
        <v>36</v>
      </c>
      <c r="AS388" s="9" t="s">
        <v>72</v>
      </c>
      <c r="AT388" s="12">
        <v>36.72</v>
      </c>
      <c r="AU388" s="9" t="s">
        <v>73</v>
      </c>
      <c r="AV388" s="9" t="s">
        <v>67</v>
      </c>
      <c r="AW388" s="9" t="s">
        <v>1267</v>
      </c>
      <c r="AX388" s="10">
        <v>45995</v>
      </c>
      <c r="AY388" s="9" t="s">
        <v>1268</v>
      </c>
      <c r="AZ388" s="9" t="s">
        <v>67</v>
      </c>
      <c r="BA388" s="9" t="s">
        <v>67</v>
      </c>
      <c r="BB388" s="12">
        <v>36</v>
      </c>
      <c r="BC388" s="9" t="s">
        <v>74</v>
      </c>
      <c r="BD388" s="9" t="s">
        <v>104</v>
      </c>
      <c r="BE388" s="9" t="s">
        <v>75</v>
      </c>
      <c r="BF388" s="11">
        <v>0</v>
      </c>
      <c r="BG388">
        <f t="shared" si="14"/>
        <v>12</v>
      </c>
      <c r="BH388" t="str">
        <f>VLOOKUP(BG388,[1]month!$A:$B,2,0)</f>
        <v>Desember</v>
      </c>
      <c r="BI388">
        <f t="shared" si="15"/>
        <v>2025</v>
      </c>
      <c r="BJ388" t="str">
        <f>VLOOKUP(I388,[1]Dist!$A:$B,2,0)</f>
        <v>Retail</v>
      </c>
      <c r="BK388" t="str">
        <f>IF(I388=11,VLOOKUP(Y388,[2]Sheet1!$C:$N,10,0),IF(I388=13,VLOOKUP(Y388,[3]Sheet1!$C:$N,10,0),IF(I388=15,VLOOKUP(Y388,[4]Sheet1!$C:$N,10,0),"Unknown")))</f>
        <v>PU MULTIPURPOSE</v>
      </c>
      <c r="BL388" t="str">
        <f>IF(I388=11,VLOOKUP(Y388,[2]Sheet1!$C:$N,12,0),IF(I388=13,VLOOKUP(Y388,[3]Sheet1!$C:$N,12,0),IF(I388=15,VLOOKUP(Y388,[4]Sheet1!$C:$N,12,0),"Unknown")))</f>
        <v>PROPAN MP PU ACR RMX</v>
      </c>
      <c r="BM388" t="str">
        <f>VLOOKUP(W388,[1]branch!$A:$B,2,0)</f>
        <v>DANANG</v>
      </c>
    </row>
    <row r="389" spans="1:65" x14ac:dyDescent="0.35">
      <c r="A389" s="10">
        <v>45995</v>
      </c>
      <c r="B389" s="9" t="s">
        <v>1266</v>
      </c>
      <c r="C389" s="9" t="s">
        <v>64</v>
      </c>
      <c r="D389" s="9" t="s">
        <v>92</v>
      </c>
      <c r="E389" s="11">
        <v>60</v>
      </c>
      <c r="F389" s="9" t="s">
        <v>93</v>
      </c>
      <c r="G389" s="9" t="s">
        <v>65</v>
      </c>
      <c r="H389" s="9" t="s">
        <v>66</v>
      </c>
      <c r="I389" s="9">
        <v>13</v>
      </c>
      <c r="J389" s="9" t="s">
        <v>309</v>
      </c>
      <c r="K389" s="9" t="s">
        <v>309</v>
      </c>
      <c r="L389" s="9" t="s">
        <v>309</v>
      </c>
      <c r="M389" s="9" t="s">
        <v>310</v>
      </c>
      <c r="N389" s="9" t="s">
        <v>869</v>
      </c>
      <c r="O389" s="9" t="s">
        <v>150</v>
      </c>
      <c r="P389" s="9" t="s">
        <v>67</v>
      </c>
      <c r="Q389" s="9" t="s">
        <v>98</v>
      </c>
      <c r="R389" s="9" t="s">
        <v>309</v>
      </c>
      <c r="S389" s="9" t="s">
        <v>310</v>
      </c>
      <c r="T389" s="9" t="s">
        <v>798</v>
      </c>
      <c r="U389" s="9" t="s">
        <v>67</v>
      </c>
      <c r="V389" s="9" t="s">
        <v>311</v>
      </c>
      <c r="W389" s="9" t="s">
        <v>312</v>
      </c>
      <c r="X389" s="11">
        <v>20</v>
      </c>
      <c r="Y389" s="9" t="s">
        <v>360</v>
      </c>
      <c r="Z389" s="9" t="s">
        <v>68</v>
      </c>
      <c r="AA389" s="9" t="s">
        <v>361</v>
      </c>
      <c r="AB389" s="9" t="s">
        <v>67</v>
      </c>
      <c r="AC389" s="9" t="s">
        <v>362</v>
      </c>
      <c r="AD389" s="11">
        <v>12</v>
      </c>
      <c r="AE389" s="9" t="s">
        <v>156</v>
      </c>
      <c r="AF389" s="9" t="s">
        <v>71</v>
      </c>
      <c r="AG389" s="13">
        <v>1</v>
      </c>
      <c r="AH389" s="9" t="s">
        <v>92</v>
      </c>
      <c r="AI389" s="13">
        <v>190909</v>
      </c>
      <c r="AJ389" s="13">
        <v>2290908</v>
      </c>
      <c r="AK389" s="11">
        <v>343636</v>
      </c>
      <c r="AL389" s="11">
        <v>0</v>
      </c>
      <c r="AM389" s="11">
        <v>0</v>
      </c>
      <c r="AN389" s="9" t="s">
        <v>331</v>
      </c>
      <c r="AO389" s="11">
        <v>1947272</v>
      </c>
      <c r="AP389" s="13">
        <v>155782</v>
      </c>
      <c r="AQ389" s="13">
        <v>2103054</v>
      </c>
      <c r="AR389" s="11">
        <v>12</v>
      </c>
      <c r="AS389" s="9" t="s">
        <v>72</v>
      </c>
      <c r="AT389" s="12">
        <v>11.16</v>
      </c>
      <c r="AU389" s="9" t="s">
        <v>73</v>
      </c>
      <c r="AV389" s="9" t="s">
        <v>67</v>
      </c>
      <c r="AW389" s="9" t="s">
        <v>1267</v>
      </c>
      <c r="AX389" s="10">
        <v>45995</v>
      </c>
      <c r="AY389" s="9" t="s">
        <v>1268</v>
      </c>
      <c r="AZ389" s="9" t="s">
        <v>67</v>
      </c>
      <c r="BA389" s="9" t="s">
        <v>67</v>
      </c>
      <c r="BB389" s="12">
        <v>12</v>
      </c>
      <c r="BC389" s="9" t="s">
        <v>74</v>
      </c>
      <c r="BD389" s="9" t="s">
        <v>104</v>
      </c>
      <c r="BE389" s="9" t="s">
        <v>75</v>
      </c>
      <c r="BF389" s="11">
        <v>0</v>
      </c>
      <c r="BG389">
        <f t="shared" si="14"/>
        <v>12</v>
      </c>
      <c r="BH389" t="str">
        <f>VLOOKUP(BG389,[1]month!$A:$B,2,0)</f>
        <v>Desember</v>
      </c>
      <c r="BI389">
        <f t="shared" si="15"/>
        <v>2025</v>
      </c>
      <c r="BJ389" t="str">
        <f>VLOOKUP(I389,[1]Dist!$A:$B,2,0)</f>
        <v>Retail</v>
      </c>
      <c r="BK389" t="str">
        <f>IF(I389=11,VLOOKUP(Y389,[2]Sheet1!$C:$N,10,0),IF(I389=13,VLOOKUP(Y389,[3]Sheet1!$C:$N,10,0),IF(I389=15,VLOOKUP(Y389,[4]Sheet1!$C:$N,10,0),"Unknown")))</f>
        <v>PU MULTIPURPOSE</v>
      </c>
      <c r="BL389" t="str">
        <f>IF(I389=11,VLOOKUP(Y389,[2]Sheet1!$C:$N,12,0),IF(I389=13,VLOOKUP(Y389,[3]Sheet1!$C:$N,12,0),IF(I389=15,VLOOKUP(Y389,[4]Sheet1!$C:$N,12,0),"Unknown")))</f>
        <v>PROPAN MP PU ACR RMX</v>
      </c>
      <c r="BM389" t="str">
        <f>VLOOKUP(W389,[1]branch!$A:$B,2,0)</f>
        <v>DANANG</v>
      </c>
    </row>
    <row r="390" spans="1:65" x14ac:dyDescent="0.35">
      <c r="A390" s="10">
        <v>45995</v>
      </c>
      <c r="B390" s="9" t="s">
        <v>1269</v>
      </c>
      <c r="C390" s="9" t="s">
        <v>64</v>
      </c>
      <c r="D390" s="9" t="s">
        <v>92</v>
      </c>
      <c r="E390" s="11">
        <v>60</v>
      </c>
      <c r="F390" s="9" t="s">
        <v>93</v>
      </c>
      <c r="G390" s="9" t="s">
        <v>65</v>
      </c>
      <c r="H390" s="9" t="s">
        <v>66</v>
      </c>
      <c r="I390" s="9">
        <v>13</v>
      </c>
      <c r="J390" s="9" t="s">
        <v>329</v>
      </c>
      <c r="K390" s="9" t="s">
        <v>329</v>
      </c>
      <c r="L390" s="9" t="s">
        <v>329</v>
      </c>
      <c r="M390" s="9" t="s">
        <v>330</v>
      </c>
      <c r="N390" s="9" t="s">
        <v>879</v>
      </c>
      <c r="O390" s="9" t="s">
        <v>150</v>
      </c>
      <c r="P390" s="9" t="s">
        <v>67</v>
      </c>
      <c r="Q390" s="9" t="s">
        <v>98</v>
      </c>
      <c r="R390" s="9" t="s">
        <v>329</v>
      </c>
      <c r="S390" s="9" t="s">
        <v>330</v>
      </c>
      <c r="T390" s="9" t="s">
        <v>826</v>
      </c>
      <c r="U390" s="9" t="s">
        <v>67</v>
      </c>
      <c r="V390" s="9" t="s">
        <v>592</v>
      </c>
      <c r="W390" s="9" t="s">
        <v>593</v>
      </c>
      <c r="X390" s="11">
        <v>10</v>
      </c>
      <c r="Y390" s="9" t="s">
        <v>632</v>
      </c>
      <c r="Z390" s="9" t="s">
        <v>68</v>
      </c>
      <c r="AA390" s="9" t="s">
        <v>633</v>
      </c>
      <c r="AB390" s="9" t="s">
        <v>67</v>
      </c>
      <c r="AC390" s="9" t="s">
        <v>389</v>
      </c>
      <c r="AD390" s="11">
        <v>40</v>
      </c>
      <c r="AE390" s="9" t="s">
        <v>70</v>
      </c>
      <c r="AF390" s="9" t="s">
        <v>71</v>
      </c>
      <c r="AG390" s="13">
        <v>1</v>
      </c>
      <c r="AH390" s="9" t="s">
        <v>92</v>
      </c>
      <c r="AI390" s="13">
        <v>846364</v>
      </c>
      <c r="AJ390" s="13">
        <v>33854560</v>
      </c>
      <c r="AK390" s="11">
        <v>6229239</v>
      </c>
      <c r="AL390" s="11">
        <v>0</v>
      </c>
      <c r="AM390" s="11">
        <v>0</v>
      </c>
      <c r="AN390" s="9" t="s">
        <v>271</v>
      </c>
      <c r="AO390" s="11">
        <v>27625321</v>
      </c>
      <c r="AP390" s="13">
        <v>2210025</v>
      </c>
      <c r="AQ390" s="13">
        <v>29835346</v>
      </c>
      <c r="AR390" s="12">
        <v>137.6</v>
      </c>
      <c r="AS390" s="9" t="s">
        <v>72</v>
      </c>
      <c r="AT390" s="11">
        <v>160</v>
      </c>
      <c r="AU390" s="9" t="s">
        <v>73</v>
      </c>
      <c r="AV390" s="9" t="s">
        <v>67</v>
      </c>
      <c r="AW390" s="9" t="s">
        <v>1270</v>
      </c>
      <c r="AX390" s="10">
        <v>45994</v>
      </c>
      <c r="AY390" s="9" t="s">
        <v>1271</v>
      </c>
      <c r="AZ390" s="9" t="s">
        <v>67</v>
      </c>
      <c r="BA390" s="9" t="s">
        <v>67</v>
      </c>
      <c r="BB390" s="12">
        <v>160</v>
      </c>
      <c r="BC390" s="9" t="s">
        <v>74</v>
      </c>
      <c r="BD390" s="9" t="s">
        <v>104</v>
      </c>
      <c r="BE390" s="9" t="s">
        <v>75</v>
      </c>
      <c r="BF390" s="11">
        <v>0</v>
      </c>
      <c r="BG390">
        <f t="shared" si="14"/>
        <v>12</v>
      </c>
      <c r="BH390" t="str">
        <f>VLOOKUP(BG390,[1]month!$A:$B,2,0)</f>
        <v>Desember</v>
      </c>
      <c r="BI390">
        <f t="shared" si="15"/>
        <v>2025</v>
      </c>
      <c r="BJ390" t="str">
        <f>VLOOKUP(I390,[1]Dist!$A:$B,2,0)</f>
        <v>Retail</v>
      </c>
      <c r="BK390" t="str">
        <f>IF(I390=11,VLOOKUP(Y390,[2]Sheet1!$C:$N,10,0),IF(I390=13,VLOOKUP(Y390,[3]Sheet1!$C:$N,10,0),IF(I390=15,VLOOKUP(Y390,[4]Sheet1!$C:$N,10,0),"Unknown")))</f>
        <v>ULTRAN</v>
      </c>
      <c r="BL390" t="str">
        <f>IF(I390=11,VLOOKUP(Y390,[2]Sheet1!$C:$N,12,0),IF(I390=13,VLOOKUP(Y390,[3]Sheet1!$C:$N,12,0),IF(I390=15,VLOOKUP(Y390,[4]Sheet1!$C:$N,12,0),"Unknown")))</f>
        <v>ULTRAN LASUR</v>
      </c>
      <c r="BM390" t="str">
        <f>VLOOKUP(W390,[1]branch!$A:$B,2,0)</f>
        <v>HO CHI MINH</v>
      </c>
    </row>
    <row r="391" spans="1:65" x14ac:dyDescent="0.35">
      <c r="A391" s="10">
        <v>45995</v>
      </c>
      <c r="B391" s="9" t="s">
        <v>1269</v>
      </c>
      <c r="C391" s="9" t="s">
        <v>64</v>
      </c>
      <c r="D391" s="9" t="s">
        <v>92</v>
      </c>
      <c r="E391" s="11">
        <v>60</v>
      </c>
      <c r="F391" s="9" t="s">
        <v>93</v>
      </c>
      <c r="G391" s="9" t="s">
        <v>65</v>
      </c>
      <c r="H391" s="9" t="s">
        <v>66</v>
      </c>
      <c r="I391" s="9">
        <v>13</v>
      </c>
      <c r="J391" s="9" t="s">
        <v>329</v>
      </c>
      <c r="K391" s="9" t="s">
        <v>329</v>
      </c>
      <c r="L391" s="9" t="s">
        <v>329</v>
      </c>
      <c r="M391" s="9" t="s">
        <v>330</v>
      </c>
      <c r="N391" s="9" t="s">
        <v>879</v>
      </c>
      <c r="O391" s="9" t="s">
        <v>150</v>
      </c>
      <c r="P391" s="9" t="s">
        <v>67</v>
      </c>
      <c r="Q391" s="9" t="s">
        <v>98</v>
      </c>
      <c r="R391" s="9" t="s">
        <v>329</v>
      </c>
      <c r="S391" s="9" t="s">
        <v>330</v>
      </c>
      <c r="T391" s="9" t="s">
        <v>826</v>
      </c>
      <c r="U391" s="9" t="s">
        <v>67</v>
      </c>
      <c r="V391" s="9" t="s">
        <v>592</v>
      </c>
      <c r="W391" s="9" t="s">
        <v>593</v>
      </c>
      <c r="X391" s="11">
        <v>30</v>
      </c>
      <c r="Y391" s="9" t="s">
        <v>360</v>
      </c>
      <c r="Z391" s="9" t="s">
        <v>68</v>
      </c>
      <c r="AA391" s="9" t="s">
        <v>361</v>
      </c>
      <c r="AB391" s="9" t="s">
        <v>67</v>
      </c>
      <c r="AC391" s="9" t="s">
        <v>362</v>
      </c>
      <c r="AD391" s="11">
        <v>12</v>
      </c>
      <c r="AE391" s="9" t="s">
        <v>156</v>
      </c>
      <c r="AF391" s="9" t="s">
        <v>71</v>
      </c>
      <c r="AG391" s="13">
        <v>1</v>
      </c>
      <c r="AH391" s="9" t="s">
        <v>92</v>
      </c>
      <c r="AI391" s="13">
        <v>190909</v>
      </c>
      <c r="AJ391" s="13">
        <v>2290908</v>
      </c>
      <c r="AK391" s="11">
        <v>421527</v>
      </c>
      <c r="AL391" s="11">
        <v>0</v>
      </c>
      <c r="AM391" s="11">
        <v>0</v>
      </c>
      <c r="AN391" s="9" t="s">
        <v>271</v>
      </c>
      <c r="AO391" s="11">
        <v>1869381</v>
      </c>
      <c r="AP391" s="13">
        <v>149550</v>
      </c>
      <c r="AQ391" s="13">
        <v>2018931</v>
      </c>
      <c r="AR391" s="11">
        <v>12</v>
      </c>
      <c r="AS391" s="9" t="s">
        <v>72</v>
      </c>
      <c r="AT391" s="12">
        <v>11.16</v>
      </c>
      <c r="AU391" s="9" t="s">
        <v>73</v>
      </c>
      <c r="AV391" s="9" t="s">
        <v>67</v>
      </c>
      <c r="AW391" s="9" t="s">
        <v>1270</v>
      </c>
      <c r="AX391" s="10">
        <v>45994</v>
      </c>
      <c r="AY391" s="9" t="s">
        <v>1271</v>
      </c>
      <c r="AZ391" s="9" t="s">
        <v>67</v>
      </c>
      <c r="BA391" s="9" t="s">
        <v>67</v>
      </c>
      <c r="BB391" s="12">
        <v>12</v>
      </c>
      <c r="BC391" s="9" t="s">
        <v>74</v>
      </c>
      <c r="BD391" s="9" t="s">
        <v>104</v>
      </c>
      <c r="BE391" s="9" t="s">
        <v>75</v>
      </c>
      <c r="BF391" s="11">
        <v>0</v>
      </c>
      <c r="BG391">
        <f t="shared" si="14"/>
        <v>12</v>
      </c>
      <c r="BH391" t="str">
        <f>VLOOKUP(BG391,[1]month!$A:$B,2,0)</f>
        <v>Desember</v>
      </c>
      <c r="BI391">
        <f t="shared" si="15"/>
        <v>2025</v>
      </c>
      <c r="BJ391" t="str">
        <f>VLOOKUP(I391,[1]Dist!$A:$B,2,0)</f>
        <v>Retail</v>
      </c>
      <c r="BK391" t="str">
        <f>IF(I391=11,VLOOKUP(Y391,[2]Sheet1!$C:$N,10,0),IF(I391=13,VLOOKUP(Y391,[3]Sheet1!$C:$N,10,0),IF(I391=15,VLOOKUP(Y391,[4]Sheet1!$C:$N,10,0),"Unknown")))</f>
        <v>PU MULTIPURPOSE</v>
      </c>
      <c r="BL391" t="str">
        <f>IF(I391=11,VLOOKUP(Y391,[2]Sheet1!$C:$N,12,0),IF(I391=13,VLOOKUP(Y391,[3]Sheet1!$C:$N,12,0),IF(I391=15,VLOOKUP(Y391,[4]Sheet1!$C:$N,12,0),"Unknown")))</f>
        <v>PROPAN MP PU ACR RMX</v>
      </c>
      <c r="BM391" t="str">
        <f>VLOOKUP(W391,[1]branch!$A:$B,2,0)</f>
        <v>HO CHI MINH</v>
      </c>
    </row>
    <row r="392" spans="1:65" x14ac:dyDescent="0.35">
      <c r="A392" s="10">
        <v>45995</v>
      </c>
      <c r="B392" s="9" t="s">
        <v>1269</v>
      </c>
      <c r="C392" s="9" t="s">
        <v>64</v>
      </c>
      <c r="D392" s="9" t="s">
        <v>92</v>
      </c>
      <c r="E392" s="11">
        <v>60</v>
      </c>
      <c r="F392" s="9" t="s">
        <v>93</v>
      </c>
      <c r="G392" s="9" t="s">
        <v>65</v>
      </c>
      <c r="H392" s="9" t="s">
        <v>66</v>
      </c>
      <c r="I392" s="9">
        <v>13</v>
      </c>
      <c r="J392" s="9" t="s">
        <v>329</v>
      </c>
      <c r="K392" s="9" t="s">
        <v>329</v>
      </c>
      <c r="L392" s="9" t="s">
        <v>329</v>
      </c>
      <c r="M392" s="9" t="s">
        <v>330</v>
      </c>
      <c r="N392" s="9" t="s">
        <v>879</v>
      </c>
      <c r="O392" s="9" t="s">
        <v>150</v>
      </c>
      <c r="P392" s="9" t="s">
        <v>67</v>
      </c>
      <c r="Q392" s="9" t="s">
        <v>98</v>
      </c>
      <c r="R392" s="9" t="s">
        <v>329</v>
      </c>
      <c r="S392" s="9" t="s">
        <v>330</v>
      </c>
      <c r="T392" s="9" t="s">
        <v>826</v>
      </c>
      <c r="U392" s="9" t="s">
        <v>67</v>
      </c>
      <c r="V392" s="9" t="s">
        <v>592</v>
      </c>
      <c r="W392" s="9" t="s">
        <v>593</v>
      </c>
      <c r="X392" s="11">
        <v>40</v>
      </c>
      <c r="Y392" s="9" t="s">
        <v>448</v>
      </c>
      <c r="Z392" s="9" t="s">
        <v>68</v>
      </c>
      <c r="AA392" s="9" t="s">
        <v>449</v>
      </c>
      <c r="AB392" s="9" t="s">
        <v>67</v>
      </c>
      <c r="AC392" s="9" t="s">
        <v>326</v>
      </c>
      <c r="AD392" s="11">
        <v>24</v>
      </c>
      <c r="AE392" s="9" t="s">
        <v>156</v>
      </c>
      <c r="AF392" s="9" t="s">
        <v>71</v>
      </c>
      <c r="AG392" s="13">
        <v>1</v>
      </c>
      <c r="AH392" s="9" t="s">
        <v>92</v>
      </c>
      <c r="AI392" s="13">
        <v>206364</v>
      </c>
      <c r="AJ392" s="13">
        <v>4952736</v>
      </c>
      <c r="AK392" s="11">
        <v>911303</v>
      </c>
      <c r="AL392" s="11">
        <v>0</v>
      </c>
      <c r="AM392" s="11">
        <v>0</v>
      </c>
      <c r="AN392" s="9" t="s">
        <v>271</v>
      </c>
      <c r="AO392" s="11">
        <v>4041433</v>
      </c>
      <c r="AP392" s="13">
        <v>323315</v>
      </c>
      <c r="AQ392" s="13">
        <v>4364748</v>
      </c>
      <c r="AR392" s="11">
        <v>24</v>
      </c>
      <c r="AS392" s="9" t="s">
        <v>72</v>
      </c>
      <c r="AT392" s="12">
        <v>24.48</v>
      </c>
      <c r="AU392" s="9" t="s">
        <v>73</v>
      </c>
      <c r="AV392" s="9" t="s">
        <v>67</v>
      </c>
      <c r="AW392" s="9" t="s">
        <v>1270</v>
      </c>
      <c r="AX392" s="10">
        <v>45994</v>
      </c>
      <c r="AY392" s="9" t="s">
        <v>1271</v>
      </c>
      <c r="AZ392" s="9" t="s">
        <v>67</v>
      </c>
      <c r="BA392" s="9" t="s">
        <v>67</v>
      </c>
      <c r="BB392" s="12">
        <v>24</v>
      </c>
      <c r="BC392" s="9" t="s">
        <v>74</v>
      </c>
      <c r="BD392" s="9" t="s">
        <v>104</v>
      </c>
      <c r="BE392" s="9" t="s">
        <v>75</v>
      </c>
      <c r="BF392" s="11">
        <v>0</v>
      </c>
      <c r="BG392">
        <f t="shared" si="14"/>
        <v>12</v>
      </c>
      <c r="BH392" t="str">
        <f>VLOOKUP(BG392,[1]month!$A:$B,2,0)</f>
        <v>Desember</v>
      </c>
      <c r="BI392">
        <f t="shared" si="15"/>
        <v>2025</v>
      </c>
      <c r="BJ392" t="str">
        <f>VLOOKUP(I392,[1]Dist!$A:$B,2,0)</f>
        <v>Retail</v>
      </c>
      <c r="BK392" t="str">
        <f>IF(I392=11,VLOOKUP(Y392,[2]Sheet1!$C:$N,10,0),IF(I392=13,VLOOKUP(Y392,[3]Sheet1!$C:$N,10,0),IF(I392=15,VLOOKUP(Y392,[4]Sheet1!$C:$N,10,0),"Unknown")))</f>
        <v>PU MULTIPURPOSE</v>
      </c>
      <c r="BL392" t="str">
        <f>IF(I392=11,VLOOKUP(Y392,[2]Sheet1!$C:$N,12,0),IF(I392=13,VLOOKUP(Y392,[3]Sheet1!$C:$N,12,0),IF(I392=15,VLOOKUP(Y392,[4]Sheet1!$C:$N,12,0),"Unknown")))</f>
        <v>PROPAN MP PU ACR RMX</v>
      </c>
      <c r="BM392" t="str">
        <f>VLOOKUP(W392,[1]branch!$A:$B,2,0)</f>
        <v>HO CHI MINH</v>
      </c>
    </row>
    <row r="393" spans="1:65" x14ac:dyDescent="0.35">
      <c r="A393" s="10">
        <v>45995</v>
      </c>
      <c r="B393" s="9" t="s">
        <v>1269</v>
      </c>
      <c r="C393" s="9" t="s">
        <v>64</v>
      </c>
      <c r="D393" s="9" t="s">
        <v>92</v>
      </c>
      <c r="E393" s="11">
        <v>60</v>
      </c>
      <c r="F393" s="9" t="s">
        <v>93</v>
      </c>
      <c r="G393" s="9" t="s">
        <v>65</v>
      </c>
      <c r="H393" s="9" t="s">
        <v>66</v>
      </c>
      <c r="I393" s="9">
        <v>13</v>
      </c>
      <c r="J393" s="9" t="s">
        <v>329</v>
      </c>
      <c r="K393" s="9" t="s">
        <v>329</v>
      </c>
      <c r="L393" s="9" t="s">
        <v>329</v>
      </c>
      <c r="M393" s="9" t="s">
        <v>330</v>
      </c>
      <c r="N393" s="9" t="s">
        <v>879</v>
      </c>
      <c r="O393" s="9" t="s">
        <v>150</v>
      </c>
      <c r="P393" s="9" t="s">
        <v>67</v>
      </c>
      <c r="Q393" s="9" t="s">
        <v>98</v>
      </c>
      <c r="R393" s="9" t="s">
        <v>329</v>
      </c>
      <c r="S393" s="9" t="s">
        <v>330</v>
      </c>
      <c r="T393" s="9" t="s">
        <v>826</v>
      </c>
      <c r="U393" s="9" t="s">
        <v>67</v>
      </c>
      <c r="V393" s="9" t="s">
        <v>592</v>
      </c>
      <c r="W393" s="9" t="s">
        <v>593</v>
      </c>
      <c r="X393" s="11">
        <v>50</v>
      </c>
      <c r="Y393" s="9" t="s">
        <v>268</v>
      </c>
      <c r="Z393" s="9" t="s">
        <v>68</v>
      </c>
      <c r="AA393" s="9" t="s">
        <v>269</v>
      </c>
      <c r="AB393" s="9" t="s">
        <v>67</v>
      </c>
      <c r="AC393" s="9" t="s">
        <v>270</v>
      </c>
      <c r="AD393" s="11">
        <v>72</v>
      </c>
      <c r="AE393" s="9" t="s">
        <v>70</v>
      </c>
      <c r="AF393" s="9" t="s">
        <v>71</v>
      </c>
      <c r="AG393" s="13">
        <v>1</v>
      </c>
      <c r="AH393" s="9" t="s">
        <v>92</v>
      </c>
      <c r="AI393" s="13">
        <v>77273</v>
      </c>
      <c r="AJ393" s="13">
        <v>5563656</v>
      </c>
      <c r="AK393" s="11">
        <v>1023712</v>
      </c>
      <c r="AL393" s="11">
        <v>0</v>
      </c>
      <c r="AM393" s="11">
        <v>0</v>
      </c>
      <c r="AN393" s="9" t="s">
        <v>271</v>
      </c>
      <c r="AO393" s="11">
        <v>4539944</v>
      </c>
      <c r="AP393" s="13">
        <v>363196</v>
      </c>
      <c r="AQ393" s="13">
        <v>4903140</v>
      </c>
      <c r="AR393" s="12">
        <v>47.808</v>
      </c>
      <c r="AS393" s="9" t="s">
        <v>72</v>
      </c>
      <c r="AT393" s="12">
        <v>57.6</v>
      </c>
      <c r="AU393" s="9" t="s">
        <v>73</v>
      </c>
      <c r="AV393" s="9" t="s">
        <v>67</v>
      </c>
      <c r="AW393" s="9" t="s">
        <v>1270</v>
      </c>
      <c r="AX393" s="10">
        <v>45994</v>
      </c>
      <c r="AY393" s="9" t="s">
        <v>1271</v>
      </c>
      <c r="AZ393" s="9" t="s">
        <v>67</v>
      </c>
      <c r="BA393" s="9" t="s">
        <v>67</v>
      </c>
      <c r="BB393" s="12">
        <v>57.6</v>
      </c>
      <c r="BC393" s="9" t="s">
        <v>74</v>
      </c>
      <c r="BD393" s="9" t="s">
        <v>104</v>
      </c>
      <c r="BE393" s="9" t="s">
        <v>75</v>
      </c>
      <c r="BF393" s="11">
        <v>0</v>
      </c>
      <c r="BG393">
        <f t="shared" si="14"/>
        <v>12</v>
      </c>
      <c r="BH393" t="str">
        <f>VLOOKUP(BG393,[1]month!$A:$B,2,0)</f>
        <v>Desember</v>
      </c>
      <c r="BI393">
        <f t="shared" si="15"/>
        <v>2025</v>
      </c>
      <c r="BJ393" t="str">
        <f>VLOOKUP(I393,[1]Dist!$A:$B,2,0)</f>
        <v>Retail</v>
      </c>
      <c r="BK393" t="str">
        <f>IF(I393=11,VLOOKUP(Y393,[2]Sheet1!$C:$N,10,0),IF(I393=13,VLOOKUP(Y393,[3]Sheet1!$C:$N,10,0),IF(I393=15,VLOOKUP(Y393,[4]Sheet1!$C:$N,10,0),"Unknown")))</f>
        <v>ULTRAN</v>
      </c>
      <c r="BL393" t="str">
        <f>IF(I393=11,VLOOKUP(Y393,[2]Sheet1!$C:$N,12,0),IF(I393=13,VLOOKUP(Y393,[3]Sheet1!$C:$N,12,0),IF(I393=15,VLOOKUP(Y393,[4]Sheet1!$C:$N,12,0),"Unknown")))</f>
        <v>ULTRAN VERNIS</v>
      </c>
      <c r="BM393" t="str">
        <f>VLOOKUP(W393,[1]branch!$A:$B,2,0)</f>
        <v>HO CHI MINH</v>
      </c>
    </row>
    <row r="394" spans="1:65" x14ac:dyDescent="0.35">
      <c r="A394" s="10">
        <v>45995</v>
      </c>
      <c r="B394" s="9" t="s">
        <v>1272</v>
      </c>
      <c r="C394" s="9" t="s">
        <v>64</v>
      </c>
      <c r="D394" s="9" t="s">
        <v>92</v>
      </c>
      <c r="E394" s="11">
        <v>60</v>
      </c>
      <c r="F394" s="9" t="s">
        <v>93</v>
      </c>
      <c r="G394" s="9" t="s">
        <v>65</v>
      </c>
      <c r="H394" s="9" t="s">
        <v>66</v>
      </c>
      <c r="I394" s="9">
        <v>13</v>
      </c>
      <c r="J394" s="9" t="s">
        <v>332</v>
      </c>
      <c r="K394" s="9" t="s">
        <v>332</v>
      </c>
      <c r="L394" s="9" t="s">
        <v>332</v>
      </c>
      <c r="M394" s="9" t="s">
        <v>333</v>
      </c>
      <c r="N394" s="9" t="s">
        <v>880</v>
      </c>
      <c r="O394" s="9" t="s">
        <v>150</v>
      </c>
      <c r="P394" s="9" t="s">
        <v>67</v>
      </c>
      <c r="Q394" s="9" t="s">
        <v>98</v>
      </c>
      <c r="R394" s="9" t="s">
        <v>332</v>
      </c>
      <c r="S394" s="9" t="s">
        <v>333</v>
      </c>
      <c r="T394" s="9" t="s">
        <v>822</v>
      </c>
      <c r="U394" s="9" t="s">
        <v>67</v>
      </c>
      <c r="V394" s="9" t="s">
        <v>266</v>
      </c>
      <c r="W394" s="9" t="s">
        <v>267</v>
      </c>
      <c r="X394" s="11">
        <v>20</v>
      </c>
      <c r="Y394" s="9" t="s">
        <v>464</v>
      </c>
      <c r="Z394" s="9" t="s">
        <v>68</v>
      </c>
      <c r="AA394" s="9" t="s">
        <v>465</v>
      </c>
      <c r="AB394" s="9" t="s">
        <v>67</v>
      </c>
      <c r="AC394" s="9" t="s">
        <v>392</v>
      </c>
      <c r="AD394" s="11">
        <v>4</v>
      </c>
      <c r="AE394" s="9" t="s">
        <v>70</v>
      </c>
      <c r="AF394" s="9" t="s">
        <v>71</v>
      </c>
      <c r="AG394" s="13">
        <v>1</v>
      </c>
      <c r="AH394" s="9" t="s">
        <v>92</v>
      </c>
      <c r="AI394" s="13">
        <v>810909</v>
      </c>
      <c r="AJ394" s="13">
        <v>3243636</v>
      </c>
      <c r="AK394" s="11">
        <v>569258</v>
      </c>
      <c r="AL394" s="11">
        <v>0</v>
      </c>
      <c r="AM394" s="11">
        <v>0</v>
      </c>
      <c r="AN394" s="9" t="s">
        <v>157</v>
      </c>
      <c r="AO394" s="11">
        <v>2674378</v>
      </c>
      <c r="AP394" s="13">
        <v>213950</v>
      </c>
      <c r="AQ394" s="13">
        <v>2888328</v>
      </c>
      <c r="AR394" s="12">
        <v>13.76</v>
      </c>
      <c r="AS394" s="9" t="s">
        <v>72</v>
      </c>
      <c r="AT394" s="11">
        <v>16</v>
      </c>
      <c r="AU394" s="9" t="s">
        <v>73</v>
      </c>
      <c r="AV394" s="9" t="s">
        <v>67</v>
      </c>
      <c r="AW394" s="9" t="s">
        <v>1273</v>
      </c>
      <c r="AX394" s="10">
        <v>45994</v>
      </c>
      <c r="AY394" s="9" t="s">
        <v>1274</v>
      </c>
      <c r="AZ394" s="9" t="s">
        <v>67</v>
      </c>
      <c r="BA394" s="9" t="s">
        <v>67</v>
      </c>
      <c r="BB394" s="12">
        <v>16</v>
      </c>
      <c r="BC394" s="9" t="s">
        <v>74</v>
      </c>
      <c r="BD394" s="9" t="s">
        <v>104</v>
      </c>
      <c r="BE394" s="9" t="s">
        <v>75</v>
      </c>
      <c r="BF394" s="11">
        <v>0</v>
      </c>
      <c r="BG394">
        <f t="shared" si="14"/>
        <v>12</v>
      </c>
      <c r="BH394" t="str">
        <f>VLOOKUP(BG394,[1]month!$A:$B,2,0)</f>
        <v>Desember</v>
      </c>
      <c r="BI394">
        <f t="shared" si="15"/>
        <v>2025</v>
      </c>
      <c r="BJ394" t="str">
        <f>VLOOKUP(I394,[1]Dist!$A:$B,2,0)</f>
        <v>Retail</v>
      </c>
      <c r="BK394" t="str">
        <f>IF(I394=11,VLOOKUP(Y394,[2]Sheet1!$C:$N,10,0),IF(I394=13,VLOOKUP(Y394,[3]Sheet1!$C:$N,10,0),IF(I394=15,VLOOKUP(Y394,[4]Sheet1!$C:$N,10,0),"Unknown")))</f>
        <v>ULTRAN</v>
      </c>
      <c r="BL394" t="str">
        <f>IF(I394=11,VLOOKUP(Y394,[2]Sheet1!$C:$N,12,0),IF(I394=13,VLOOKUP(Y394,[3]Sheet1!$C:$N,12,0),IF(I394=15,VLOOKUP(Y394,[4]Sheet1!$C:$N,12,0),"Unknown")))</f>
        <v>ULTRAN LASUR</v>
      </c>
      <c r="BM394" t="str">
        <f>VLOOKUP(W394,[1]branch!$A:$B,2,0)</f>
        <v>HO CHI MINH</v>
      </c>
    </row>
    <row r="395" spans="1:65" x14ac:dyDescent="0.35">
      <c r="A395" s="10">
        <v>45995</v>
      </c>
      <c r="B395" s="9" t="s">
        <v>1272</v>
      </c>
      <c r="C395" s="9" t="s">
        <v>64</v>
      </c>
      <c r="D395" s="9" t="s">
        <v>92</v>
      </c>
      <c r="E395" s="11">
        <v>60</v>
      </c>
      <c r="F395" s="9" t="s">
        <v>93</v>
      </c>
      <c r="G395" s="9" t="s">
        <v>65</v>
      </c>
      <c r="H395" s="9" t="s">
        <v>66</v>
      </c>
      <c r="I395" s="9">
        <v>13</v>
      </c>
      <c r="J395" s="9" t="s">
        <v>332</v>
      </c>
      <c r="K395" s="9" t="s">
        <v>332</v>
      </c>
      <c r="L395" s="9" t="s">
        <v>332</v>
      </c>
      <c r="M395" s="9" t="s">
        <v>333</v>
      </c>
      <c r="N395" s="9" t="s">
        <v>880</v>
      </c>
      <c r="O395" s="9" t="s">
        <v>150</v>
      </c>
      <c r="P395" s="9" t="s">
        <v>67</v>
      </c>
      <c r="Q395" s="9" t="s">
        <v>98</v>
      </c>
      <c r="R395" s="9" t="s">
        <v>332</v>
      </c>
      <c r="S395" s="9" t="s">
        <v>333</v>
      </c>
      <c r="T395" s="9" t="s">
        <v>822</v>
      </c>
      <c r="U395" s="9" t="s">
        <v>67</v>
      </c>
      <c r="V395" s="9" t="s">
        <v>266</v>
      </c>
      <c r="W395" s="9" t="s">
        <v>267</v>
      </c>
      <c r="X395" s="11">
        <v>30</v>
      </c>
      <c r="Y395" s="9" t="s">
        <v>466</v>
      </c>
      <c r="Z395" s="9" t="s">
        <v>68</v>
      </c>
      <c r="AA395" s="9" t="s">
        <v>467</v>
      </c>
      <c r="AB395" s="9" t="s">
        <v>67</v>
      </c>
      <c r="AC395" s="9" t="s">
        <v>346</v>
      </c>
      <c r="AD395" s="11">
        <v>12</v>
      </c>
      <c r="AE395" s="9" t="s">
        <v>70</v>
      </c>
      <c r="AF395" s="9" t="s">
        <v>71</v>
      </c>
      <c r="AG395" s="13">
        <v>1</v>
      </c>
      <c r="AH395" s="9" t="s">
        <v>92</v>
      </c>
      <c r="AI395" s="13">
        <v>810909</v>
      </c>
      <c r="AJ395" s="13">
        <v>9730908</v>
      </c>
      <c r="AK395" s="11">
        <v>1707773</v>
      </c>
      <c r="AL395" s="11">
        <v>0</v>
      </c>
      <c r="AM395" s="11">
        <v>0</v>
      </c>
      <c r="AN395" s="9" t="s">
        <v>157</v>
      </c>
      <c r="AO395" s="11">
        <v>8023135</v>
      </c>
      <c r="AP395" s="13">
        <v>641851</v>
      </c>
      <c r="AQ395" s="13">
        <v>8664986</v>
      </c>
      <c r="AR395" s="12">
        <v>41.76</v>
      </c>
      <c r="AS395" s="9" t="s">
        <v>72</v>
      </c>
      <c r="AT395" s="11">
        <v>48</v>
      </c>
      <c r="AU395" s="9" t="s">
        <v>73</v>
      </c>
      <c r="AV395" s="9" t="s">
        <v>67</v>
      </c>
      <c r="AW395" s="9" t="s">
        <v>1273</v>
      </c>
      <c r="AX395" s="10">
        <v>45994</v>
      </c>
      <c r="AY395" s="9" t="s">
        <v>1274</v>
      </c>
      <c r="AZ395" s="9" t="s">
        <v>67</v>
      </c>
      <c r="BA395" s="9" t="s">
        <v>67</v>
      </c>
      <c r="BB395" s="12">
        <v>48</v>
      </c>
      <c r="BC395" s="9" t="s">
        <v>74</v>
      </c>
      <c r="BD395" s="9" t="s">
        <v>104</v>
      </c>
      <c r="BE395" s="9" t="s">
        <v>75</v>
      </c>
      <c r="BF395" s="11">
        <v>0</v>
      </c>
      <c r="BG395">
        <f t="shared" si="14"/>
        <v>12</v>
      </c>
      <c r="BH395" t="str">
        <f>VLOOKUP(BG395,[1]month!$A:$B,2,0)</f>
        <v>Desember</v>
      </c>
      <c r="BI395">
        <f t="shared" si="15"/>
        <v>2025</v>
      </c>
      <c r="BJ395" t="str">
        <f>VLOOKUP(I395,[1]Dist!$A:$B,2,0)</f>
        <v>Retail</v>
      </c>
      <c r="BK395" t="str">
        <f>IF(I395=11,VLOOKUP(Y395,[2]Sheet1!$C:$N,10,0),IF(I395=13,VLOOKUP(Y395,[3]Sheet1!$C:$N,10,0),IF(I395=15,VLOOKUP(Y395,[4]Sheet1!$C:$N,10,0),"Unknown")))</f>
        <v>ULTRAN</v>
      </c>
      <c r="BL395" t="str">
        <f>IF(I395=11,VLOOKUP(Y395,[2]Sheet1!$C:$N,12,0),IF(I395=13,VLOOKUP(Y395,[3]Sheet1!$C:$N,12,0),IF(I395=15,VLOOKUP(Y395,[4]Sheet1!$C:$N,12,0),"Unknown")))</f>
        <v>ULTRAN LASUR</v>
      </c>
      <c r="BM395" t="str">
        <f>VLOOKUP(W395,[1]branch!$A:$B,2,0)</f>
        <v>HO CHI MINH</v>
      </c>
    </row>
    <row r="396" spans="1:65" x14ac:dyDescent="0.35">
      <c r="A396" s="10">
        <v>45995</v>
      </c>
      <c r="B396" s="9" t="s">
        <v>1272</v>
      </c>
      <c r="C396" s="9" t="s">
        <v>64</v>
      </c>
      <c r="D396" s="9" t="s">
        <v>92</v>
      </c>
      <c r="E396" s="11">
        <v>60</v>
      </c>
      <c r="F396" s="9" t="s">
        <v>93</v>
      </c>
      <c r="G396" s="9" t="s">
        <v>65</v>
      </c>
      <c r="H396" s="9" t="s">
        <v>66</v>
      </c>
      <c r="I396" s="9">
        <v>13</v>
      </c>
      <c r="J396" s="9" t="s">
        <v>332</v>
      </c>
      <c r="K396" s="9" t="s">
        <v>332</v>
      </c>
      <c r="L396" s="9" t="s">
        <v>332</v>
      </c>
      <c r="M396" s="9" t="s">
        <v>333</v>
      </c>
      <c r="N396" s="9" t="s">
        <v>880</v>
      </c>
      <c r="O396" s="9" t="s">
        <v>150</v>
      </c>
      <c r="P396" s="9" t="s">
        <v>67</v>
      </c>
      <c r="Q396" s="9" t="s">
        <v>98</v>
      </c>
      <c r="R396" s="9" t="s">
        <v>332</v>
      </c>
      <c r="S396" s="9" t="s">
        <v>333</v>
      </c>
      <c r="T396" s="9" t="s">
        <v>822</v>
      </c>
      <c r="U396" s="9" t="s">
        <v>67</v>
      </c>
      <c r="V396" s="9" t="s">
        <v>266</v>
      </c>
      <c r="W396" s="9" t="s">
        <v>267</v>
      </c>
      <c r="X396" s="11">
        <v>40</v>
      </c>
      <c r="Y396" s="9" t="s">
        <v>468</v>
      </c>
      <c r="Z396" s="9" t="s">
        <v>68</v>
      </c>
      <c r="AA396" s="9" t="s">
        <v>469</v>
      </c>
      <c r="AB396" s="9" t="s">
        <v>67</v>
      </c>
      <c r="AC396" s="9" t="s">
        <v>346</v>
      </c>
      <c r="AD396" s="11">
        <v>4</v>
      </c>
      <c r="AE396" s="9" t="s">
        <v>70</v>
      </c>
      <c r="AF396" s="9" t="s">
        <v>71</v>
      </c>
      <c r="AG396" s="13">
        <v>1</v>
      </c>
      <c r="AH396" s="9" t="s">
        <v>92</v>
      </c>
      <c r="AI396" s="13">
        <v>810909</v>
      </c>
      <c r="AJ396" s="13">
        <v>3243636</v>
      </c>
      <c r="AK396" s="11">
        <v>569258</v>
      </c>
      <c r="AL396" s="11">
        <v>0</v>
      </c>
      <c r="AM396" s="11">
        <v>0</v>
      </c>
      <c r="AN396" s="9" t="s">
        <v>157</v>
      </c>
      <c r="AO396" s="11">
        <v>2674378</v>
      </c>
      <c r="AP396" s="13">
        <v>213950</v>
      </c>
      <c r="AQ396" s="13">
        <v>2888328</v>
      </c>
      <c r="AR396" s="12">
        <v>13.92</v>
      </c>
      <c r="AS396" s="9" t="s">
        <v>72</v>
      </c>
      <c r="AT396" s="11">
        <v>16</v>
      </c>
      <c r="AU396" s="9" t="s">
        <v>73</v>
      </c>
      <c r="AV396" s="9" t="s">
        <v>67</v>
      </c>
      <c r="AW396" s="9" t="s">
        <v>1273</v>
      </c>
      <c r="AX396" s="10">
        <v>45994</v>
      </c>
      <c r="AY396" s="9" t="s">
        <v>1274</v>
      </c>
      <c r="AZ396" s="9" t="s">
        <v>67</v>
      </c>
      <c r="BA396" s="9" t="s">
        <v>67</v>
      </c>
      <c r="BB396" s="12">
        <v>16</v>
      </c>
      <c r="BC396" s="9" t="s">
        <v>74</v>
      </c>
      <c r="BD396" s="9" t="s">
        <v>104</v>
      </c>
      <c r="BE396" s="9" t="s">
        <v>75</v>
      </c>
      <c r="BF396" s="11">
        <v>0</v>
      </c>
      <c r="BG396">
        <f t="shared" si="14"/>
        <v>12</v>
      </c>
      <c r="BH396" t="str">
        <f>VLOOKUP(BG396,[1]month!$A:$B,2,0)</f>
        <v>Desember</v>
      </c>
      <c r="BI396">
        <f t="shared" si="15"/>
        <v>2025</v>
      </c>
      <c r="BJ396" t="str">
        <f>VLOOKUP(I396,[1]Dist!$A:$B,2,0)</f>
        <v>Retail</v>
      </c>
      <c r="BK396" t="str">
        <f>IF(I396=11,VLOOKUP(Y396,[2]Sheet1!$C:$N,10,0),IF(I396=13,VLOOKUP(Y396,[3]Sheet1!$C:$N,10,0),IF(I396=15,VLOOKUP(Y396,[4]Sheet1!$C:$N,10,0),"Unknown")))</f>
        <v>ULTRAN</v>
      </c>
      <c r="BL396" t="str">
        <f>IF(I396=11,VLOOKUP(Y396,[2]Sheet1!$C:$N,12,0),IF(I396=13,VLOOKUP(Y396,[3]Sheet1!$C:$N,12,0),IF(I396=15,VLOOKUP(Y396,[4]Sheet1!$C:$N,12,0),"Unknown")))</f>
        <v>ULTRAN LASUR</v>
      </c>
      <c r="BM396" t="str">
        <f>VLOOKUP(W396,[1]branch!$A:$B,2,0)</f>
        <v>HO CHI MINH</v>
      </c>
    </row>
    <row r="397" spans="1:65" x14ac:dyDescent="0.35">
      <c r="A397" s="10">
        <v>45995</v>
      </c>
      <c r="B397" s="9" t="s">
        <v>1272</v>
      </c>
      <c r="C397" s="9" t="s">
        <v>64</v>
      </c>
      <c r="D397" s="9" t="s">
        <v>92</v>
      </c>
      <c r="E397" s="11">
        <v>60</v>
      </c>
      <c r="F397" s="9" t="s">
        <v>93</v>
      </c>
      <c r="G397" s="9" t="s">
        <v>65</v>
      </c>
      <c r="H397" s="9" t="s">
        <v>66</v>
      </c>
      <c r="I397" s="9">
        <v>13</v>
      </c>
      <c r="J397" s="9" t="s">
        <v>332</v>
      </c>
      <c r="K397" s="9" t="s">
        <v>332</v>
      </c>
      <c r="L397" s="9" t="s">
        <v>332</v>
      </c>
      <c r="M397" s="9" t="s">
        <v>333</v>
      </c>
      <c r="N397" s="9" t="s">
        <v>880</v>
      </c>
      <c r="O397" s="9" t="s">
        <v>150</v>
      </c>
      <c r="P397" s="9" t="s">
        <v>67</v>
      </c>
      <c r="Q397" s="9" t="s">
        <v>98</v>
      </c>
      <c r="R397" s="9" t="s">
        <v>332</v>
      </c>
      <c r="S397" s="9" t="s">
        <v>333</v>
      </c>
      <c r="T397" s="9" t="s">
        <v>822</v>
      </c>
      <c r="U397" s="9" t="s">
        <v>67</v>
      </c>
      <c r="V397" s="9" t="s">
        <v>266</v>
      </c>
      <c r="W397" s="9" t="s">
        <v>267</v>
      </c>
      <c r="X397" s="11">
        <v>50</v>
      </c>
      <c r="Y397" s="9" t="s">
        <v>344</v>
      </c>
      <c r="Z397" s="9" t="s">
        <v>68</v>
      </c>
      <c r="AA397" s="9" t="s">
        <v>345</v>
      </c>
      <c r="AB397" s="9" t="s">
        <v>67</v>
      </c>
      <c r="AC397" s="9" t="s">
        <v>346</v>
      </c>
      <c r="AD397" s="11">
        <v>24</v>
      </c>
      <c r="AE397" s="9" t="s">
        <v>70</v>
      </c>
      <c r="AF397" s="9" t="s">
        <v>71</v>
      </c>
      <c r="AG397" s="13">
        <v>1</v>
      </c>
      <c r="AH397" s="9" t="s">
        <v>92</v>
      </c>
      <c r="AI397" s="13">
        <v>218181</v>
      </c>
      <c r="AJ397" s="13">
        <v>5236344</v>
      </c>
      <c r="AK397" s="11">
        <v>918979</v>
      </c>
      <c r="AL397" s="11">
        <v>0</v>
      </c>
      <c r="AM397" s="11">
        <v>0</v>
      </c>
      <c r="AN397" s="9" t="s">
        <v>157</v>
      </c>
      <c r="AO397" s="11">
        <v>4317365</v>
      </c>
      <c r="AP397" s="13">
        <v>345389</v>
      </c>
      <c r="AQ397" s="13">
        <v>4662754</v>
      </c>
      <c r="AR397" s="12">
        <v>20.399999999999999</v>
      </c>
      <c r="AS397" s="9" t="s">
        <v>72</v>
      </c>
      <c r="AT397" s="11">
        <v>24</v>
      </c>
      <c r="AU397" s="9" t="s">
        <v>73</v>
      </c>
      <c r="AV397" s="9" t="s">
        <v>67</v>
      </c>
      <c r="AW397" s="9" t="s">
        <v>1273</v>
      </c>
      <c r="AX397" s="10">
        <v>45994</v>
      </c>
      <c r="AY397" s="9" t="s">
        <v>1274</v>
      </c>
      <c r="AZ397" s="9" t="s">
        <v>67</v>
      </c>
      <c r="BA397" s="9" t="s">
        <v>67</v>
      </c>
      <c r="BB397" s="12">
        <v>24</v>
      </c>
      <c r="BC397" s="9" t="s">
        <v>74</v>
      </c>
      <c r="BD397" s="9" t="s">
        <v>104</v>
      </c>
      <c r="BE397" s="9" t="s">
        <v>75</v>
      </c>
      <c r="BF397" s="11">
        <v>0</v>
      </c>
      <c r="BG397">
        <f t="shared" si="14"/>
        <v>12</v>
      </c>
      <c r="BH397" t="str">
        <f>VLOOKUP(BG397,[1]month!$A:$B,2,0)</f>
        <v>Desember</v>
      </c>
      <c r="BI397">
        <f t="shared" si="15"/>
        <v>2025</v>
      </c>
      <c r="BJ397" t="str">
        <f>VLOOKUP(I397,[1]Dist!$A:$B,2,0)</f>
        <v>Retail</v>
      </c>
      <c r="BK397" t="str">
        <f>IF(I397=11,VLOOKUP(Y397,[2]Sheet1!$C:$N,10,0),IF(I397=13,VLOOKUP(Y397,[3]Sheet1!$C:$N,10,0),IF(I397=15,VLOOKUP(Y397,[4]Sheet1!$C:$N,10,0),"Unknown")))</f>
        <v>ULTRAN</v>
      </c>
      <c r="BL397" t="str">
        <f>IF(I397=11,VLOOKUP(Y397,[2]Sheet1!$C:$N,12,0),IF(I397=13,VLOOKUP(Y397,[3]Sheet1!$C:$N,12,0),IF(I397=15,VLOOKUP(Y397,[4]Sheet1!$C:$N,12,0),"Unknown")))</f>
        <v>ULTRAN LASUR</v>
      </c>
      <c r="BM397" t="str">
        <f>VLOOKUP(W397,[1]branch!$A:$B,2,0)</f>
        <v>HO CHI MINH</v>
      </c>
    </row>
    <row r="398" spans="1:65" x14ac:dyDescent="0.35">
      <c r="A398" s="10">
        <v>45995</v>
      </c>
      <c r="B398" s="9" t="s">
        <v>1272</v>
      </c>
      <c r="C398" s="9" t="s">
        <v>64</v>
      </c>
      <c r="D398" s="9" t="s">
        <v>92</v>
      </c>
      <c r="E398" s="11">
        <v>60</v>
      </c>
      <c r="F398" s="9" t="s">
        <v>93</v>
      </c>
      <c r="G398" s="9" t="s">
        <v>65</v>
      </c>
      <c r="H398" s="9" t="s">
        <v>66</v>
      </c>
      <c r="I398" s="9">
        <v>13</v>
      </c>
      <c r="J398" s="9" t="s">
        <v>332</v>
      </c>
      <c r="K398" s="9" t="s">
        <v>332</v>
      </c>
      <c r="L398" s="9" t="s">
        <v>332</v>
      </c>
      <c r="M398" s="9" t="s">
        <v>333</v>
      </c>
      <c r="N398" s="9" t="s">
        <v>880</v>
      </c>
      <c r="O398" s="9" t="s">
        <v>150</v>
      </c>
      <c r="P398" s="9" t="s">
        <v>67</v>
      </c>
      <c r="Q398" s="9" t="s">
        <v>98</v>
      </c>
      <c r="R398" s="9" t="s">
        <v>332</v>
      </c>
      <c r="S398" s="9" t="s">
        <v>333</v>
      </c>
      <c r="T398" s="9" t="s">
        <v>822</v>
      </c>
      <c r="U398" s="9" t="s">
        <v>67</v>
      </c>
      <c r="V398" s="9" t="s">
        <v>266</v>
      </c>
      <c r="W398" s="9" t="s">
        <v>267</v>
      </c>
      <c r="X398" s="11">
        <v>70</v>
      </c>
      <c r="Y398" s="9" t="s">
        <v>475</v>
      </c>
      <c r="Z398" s="9" t="s">
        <v>68</v>
      </c>
      <c r="AA398" s="9" t="s">
        <v>476</v>
      </c>
      <c r="AB398" s="9" t="s">
        <v>67</v>
      </c>
      <c r="AC398" s="9" t="s">
        <v>313</v>
      </c>
      <c r="AD398" s="11">
        <v>24</v>
      </c>
      <c r="AE398" s="9" t="s">
        <v>70</v>
      </c>
      <c r="AF398" s="9" t="s">
        <v>71</v>
      </c>
      <c r="AG398" s="13">
        <v>1</v>
      </c>
      <c r="AH398" s="9" t="s">
        <v>92</v>
      </c>
      <c r="AI398" s="13">
        <v>168181</v>
      </c>
      <c r="AJ398" s="13">
        <v>4036344</v>
      </c>
      <c r="AK398" s="11">
        <v>708379</v>
      </c>
      <c r="AL398" s="11">
        <v>0</v>
      </c>
      <c r="AM398" s="11">
        <v>0</v>
      </c>
      <c r="AN398" s="9" t="s">
        <v>157</v>
      </c>
      <c r="AO398" s="11">
        <v>3327965</v>
      </c>
      <c r="AP398" s="13">
        <v>266237</v>
      </c>
      <c r="AQ398" s="13">
        <v>3594202</v>
      </c>
      <c r="AR398" s="11">
        <v>24</v>
      </c>
      <c r="AS398" s="9" t="s">
        <v>72</v>
      </c>
      <c r="AT398" s="12">
        <v>22.32</v>
      </c>
      <c r="AU398" s="9" t="s">
        <v>73</v>
      </c>
      <c r="AV398" s="9" t="s">
        <v>67</v>
      </c>
      <c r="AW398" s="9" t="s">
        <v>1273</v>
      </c>
      <c r="AX398" s="10">
        <v>45994</v>
      </c>
      <c r="AY398" s="9" t="s">
        <v>1274</v>
      </c>
      <c r="AZ398" s="9" t="s">
        <v>67</v>
      </c>
      <c r="BA398" s="9" t="s">
        <v>67</v>
      </c>
      <c r="BB398" s="12">
        <v>24</v>
      </c>
      <c r="BC398" s="9" t="s">
        <v>74</v>
      </c>
      <c r="BD398" s="9" t="s">
        <v>104</v>
      </c>
      <c r="BE398" s="9" t="s">
        <v>75</v>
      </c>
      <c r="BF398" s="11">
        <v>0</v>
      </c>
      <c r="BG398">
        <f t="shared" si="14"/>
        <v>12</v>
      </c>
      <c r="BH398" t="str">
        <f>VLOOKUP(BG398,[1]month!$A:$B,2,0)</f>
        <v>Desember</v>
      </c>
      <c r="BI398">
        <f t="shared" si="15"/>
        <v>2025</v>
      </c>
      <c r="BJ398" t="str">
        <f>VLOOKUP(I398,[1]Dist!$A:$B,2,0)</f>
        <v>Retail</v>
      </c>
      <c r="BK398" t="str">
        <f>IF(I398=11,VLOOKUP(Y398,[2]Sheet1!$C:$N,10,0),IF(I398=13,VLOOKUP(Y398,[3]Sheet1!$C:$N,10,0),IF(I398=15,VLOOKUP(Y398,[4]Sheet1!$C:$N,10,0),"Unknown")))</f>
        <v>PU EASY TO USE</v>
      </c>
      <c r="BL398" t="str">
        <f>IF(I398=11,VLOOKUP(Y398,[2]Sheet1!$C:$N,12,0),IF(I398=13,VLOOKUP(Y398,[3]Sheet1!$C:$N,12,0),IF(I398=15,VLOOKUP(Y398,[4]Sheet1!$C:$N,12,0),"Unknown")))</f>
        <v>PROPAN EASY TO USE PU</v>
      </c>
      <c r="BM398" t="str">
        <f>VLOOKUP(W398,[1]branch!$A:$B,2,0)</f>
        <v>HO CHI MINH</v>
      </c>
    </row>
    <row r="399" spans="1:65" x14ac:dyDescent="0.35">
      <c r="A399" s="10">
        <v>45995</v>
      </c>
      <c r="B399" s="9" t="s">
        <v>1272</v>
      </c>
      <c r="C399" s="9" t="s">
        <v>64</v>
      </c>
      <c r="D399" s="9" t="s">
        <v>92</v>
      </c>
      <c r="E399" s="11">
        <v>60</v>
      </c>
      <c r="F399" s="9" t="s">
        <v>93</v>
      </c>
      <c r="G399" s="9" t="s">
        <v>65</v>
      </c>
      <c r="H399" s="9" t="s">
        <v>66</v>
      </c>
      <c r="I399" s="9">
        <v>13</v>
      </c>
      <c r="J399" s="9" t="s">
        <v>332</v>
      </c>
      <c r="K399" s="9" t="s">
        <v>332</v>
      </c>
      <c r="L399" s="9" t="s">
        <v>332</v>
      </c>
      <c r="M399" s="9" t="s">
        <v>333</v>
      </c>
      <c r="N399" s="9" t="s">
        <v>880</v>
      </c>
      <c r="O399" s="9" t="s">
        <v>150</v>
      </c>
      <c r="P399" s="9" t="s">
        <v>67</v>
      </c>
      <c r="Q399" s="9" t="s">
        <v>98</v>
      </c>
      <c r="R399" s="9" t="s">
        <v>332</v>
      </c>
      <c r="S399" s="9" t="s">
        <v>333</v>
      </c>
      <c r="T399" s="9" t="s">
        <v>822</v>
      </c>
      <c r="U399" s="9" t="s">
        <v>67</v>
      </c>
      <c r="V399" s="9" t="s">
        <v>266</v>
      </c>
      <c r="W399" s="9" t="s">
        <v>267</v>
      </c>
      <c r="X399" s="11">
        <v>80</v>
      </c>
      <c r="Y399" s="9" t="s">
        <v>315</v>
      </c>
      <c r="Z399" s="9" t="s">
        <v>68</v>
      </c>
      <c r="AA399" s="9" t="s">
        <v>316</v>
      </c>
      <c r="AB399" s="9" t="s">
        <v>67</v>
      </c>
      <c r="AC399" s="9" t="s">
        <v>313</v>
      </c>
      <c r="AD399" s="11">
        <v>4</v>
      </c>
      <c r="AE399" s="9" t="s">
        <v>70</v>
      </c>
      <c r="AF399" s="9" t="s">
        <v>71</v>
      </c>
      <c r="AG399" s="13">
        <v>1</v>
      </c>
      <c r="AH399" s="9" t="s">
        <v>92</v>
      </c>
      <c r="AI399" s="13">
        <v>600909</v>
      </c>
      <c r="AJ399" s="13">
        <v>2403636</v>
      </c>
      <c r="AK399" s="11">
        <v>421838</v>
      </c>
      <c r="AL399" s="11">
        <v>0</v>
      </c>
      <c r="AM399" s="11">
        <v>0</v>
      </c>
      <c r="AN399" s="9" t="s">
        <v>157</v>
      </c>
      <c r="AO399" s="11">
        <v>1981798</v>
      </c>
      <c r="AP399" s="13">
        <v>158544</v>
      </c>
      <c r="AQ399" s="13">
        <v>2140342</v>
      </c>
      <c r="AR399" s="11">
        <v>16</v>
      </c>
      <c r="AS399" s="9" t="s">
        <v>72</v>
      </c>
      <c r="AT399" s="12">
        <v>14.8</v>
      </c>
      <c r="AU399" s="9" t="s">
        <v>73</v>
      </c>
      <c r="AV399" s="9" t="s">
        <v>67</v>
      </c>
      <c r="AW399" s="9" t="s">
        <v>1273</v>
      </c>
      <c r="AX399" s="10">
        <v>45994</v>
      </c>
      <c r="AY399" s="9" t="s">
        <v>1274</v>
      </c>
      <c r="AZ399" s="9" t="s">
        <v>67</v>
      </c>
      <c r="BA399" s="9" t="s">
        <v>67</v>
      </c>
      <c r="BB399" s="12">
        <v>16</v>
      </c>
      <c r="BC399" s="9" t="s">
        <v>74</v>
      </c>
      <c r="BD399" s="9" t="s">
        <v>104</v>
      </c>
      <c r="BE399" s="9" t="s">
        <v>75</v>
      </c>
      <c r="BF399" s="11">
        <v>0</v>
      </c>
      <c r="BG399">
        <f t="shared" si="14"/>
        <v>12</v>
      </c>
      <c r="BH399" t="str">
        <f>VLOOKUP(BG399,[1]month!$A:$B,2,0)</f>
        <v>Desember</v>
      </c>
      <c r="BI399">
        <f t="shared" si="15"/>
        <v>2025</v>
      </c>
      <c r="BJ399" t="str">
        <f>VLOOKUP(I399,[1]Dist!$A:$B,2,0)</f>
        <v>Retail</v>
      </c>
      <c r="BK399" t="str">
        <f>IF(I399=11,VLOOKUP(Y399,[2]Sheet1!$C:$N,10,0),IF(I399=13,VLOOKUP(Y399,[3]Sheet1!$C:$N,10,0),IF(I399=15,VLOOKUP(Y399,[4]Sheet1!$C:$N,10,0),"Unknown")))</f>
        <v>PU EASY TO USE</v>
      </c>
      <c r="BL399" t="str">
        <f>IF(I399=11,VLOOKUP(Y399,[2]Sheet1!$C:$N,12,0),IF(I399=13,VLOOKUP(Y399,[3]Sheet1!$C:$N,12,0),IF(I399=15,VLOOKUP(Y399,[4]Sheet1!$C:$N,12,0),"Unknown")))</f>
        <v>PROPAN EASY TO USE PU</v>
      </c>
      <c r="BM399" t="str">
        <f>VLOOKUP(W399,[1]branch!$A:$B,2,0)</f>
        <v>HO CHI MINH</v>
      </c>
    </row>
    <row r="400" spans="1:65" x14ac:dyDescent="0.35">
      <c r="A400" s="10">
        <v>45995</v>
      </c>
      <c r="B400" s="9" t="s">
        <v>1272</v>
      </c>
      <c r="C400" s="9" t="s">
        <v>64</v>
      </c>
      <c r="D400" s="9" t="s">
        <v>92</v>
      </c>
      <c r="E400" s="11">
        <v>60</v>
      </c>
      <c r="F400" s="9" t="s">
        <v>93</v>
      </c>
      <c r="G400" s="9" t="s">
        <v>65</v>
      </c>
      <c r="H400" s="9" t="s">
        <v>66</v>
      </c>
      <c r="I400" s="9">
        <v>13</v>
      </c>
      <c r="J400" s="9" t="s">
        <v>332</v>
      </c>
      <c r="K400" s="9" t="s">
        <v>332</v>
      </c>
      <c r="L400" s="9" t="s">
        <v>332</v>
      </c>
      <c r="M400" s="9" t="s">
        <v>333</v>
      </c>
      <c r="N400" s="9" t="s">
        <v>880</v>
      </c>
      <c r="O400" s="9" t="s">
        <v>150</v>
      </c>
      <c r="P400" s="9" t="s">
        <v>67</v>
      </c>
      <c r="Q400" s="9" t="s">
        <v>98</v>
      </c>
      <c r="R400" s="9" t="s">
        <v>332</v>
      </c>
      <c r="S400" s="9" t="s">
        <v>333</v>
      </c>
      <c r="T400" s="9" t="s">
        <v>822</v>
      </c>
      <c r="U400" s="9" t="s">
        <v>67</v>
      </c>
      <c r="V400" s="9" t="s">
        <v>266</v>
      </c>
      <c r="W400" s="9" t="s">
        <v>267</v>
      </c>
      <c r="X400" s="11">
        <v>90</v>
      </c>
      <c r="Y400" s="9" t="s">
        <v>644</v>
      </c>
      <c r="Z400" s="9" t="s">
        <v>68</v>
      </c>
      <c r="AA400" s="9" t="s">
        <v>645</v>
      </c>
      <c r="AB400" s="9" t="s">
        <v>67</v>
      </c>
      <c r="AC400" s="9" t="s">
        <v>319</v>
      </c>
      <c r="AD400" s="11">
        <v>72</v>
      </c>
      <c r="AE400" s="9" t="s">
        <v>70</v>
      </c>
      <c r="AF400" s="9" t="s">
        <v>71</v>
      </c>
      <c r="AG400" s="13">
        <v>1</v>
      </c>
      <c r="AH400" s="9" t="s">
        <v>92</v>
      </c>
      <c r="AI400" s="13">
        <v>62727</v>
      </c>
      <c r="AJ400" s="13">
        <v>4516344</v>
      </c>
      <c r="AK400" s="11">
        <v>792619</v>
      </c>
      <c r="AL400" s="11">
        <v>0</v>
      </c>
      <c r="AM400" s="11">
        <v>0</v>
      </c>
      <c r="AN400" s="9" t="s">
        <v>157</v>
      </c>
      <c r="AO400" s="11">
        <v>3723725</v>
      </c>
      <c r="AP400" s="13">
        <v>297898</v>
      </c>
      <c r="AQ400" s="13">
        <v>4021623</v>
      </c>
      <c r="AR400" s="12">
        <v>14.4</v>
      </c>
      <c r="AS400" s="9" t="s">
        <v>72</v>
      </c>
      <c r="AT400" s="12">
        <v>15.12</v>
      </c>
      <c r="AU400" s="9" t="s">
        <v>73</v>
      </c>
      <c r="AV400" s="9" t="s">
        <v>67</v>
      </c>
      <c r="AW400" s="9" t="s">
        <v>1273</v>
      </c>
      <c r="AX400" s="10">
        <v>45994</v>
      </c>
      <c r="AY400" s="9" t="s">
        <v>1274</v>
      </c>
      <c r="AZ400" s="9" t="s">
        <v>67</v>
      </c>
      <c r="BA400" s="9" t="s">
        <v>67</v>
      </c>
      <c r="BB400" s="12">
        <v>14.4</v>
      </c>
      <c r="BC400" s="9" t="s">
        <v>74</v>
      </c>
      <c r="BD400" s="9" t="s">
        <v>104</v>
      </c>
      <c r="BE400" s="9" t="s">
        <v>75</v>
      </c>
      <c r="BF400" s="11">
        <v>0</v>
      </c>
      <c r="BG400">
        <f t="shared" si="14"/>
        <v>12</v>
      </c>
      <c r="BH400" t="str">
        <f>VLOOKUP(BG400,[1]month!$A:$B,2,0)</f>
        <v>Desember</v>
      </c>
      <c r="BI400">
        <f t="shared" si="15"/>
        <v>2025</v>
      </c>
      <c r="BJ400" t="str">
        <f>VLOOKUP(I400,[1]Dist!$A:$B,2,0)</f>
        <v>Retail</v>
      </c>
      <c r="BK400" t="str">
        <f>IF(I400=11,VLOOKUP(Y400,[2]Sheet1!$C:$N,10,0),IF(I400=13,VLOOKUP(Y400,[3]Sheet1!$C:$N,10,0),IF(I400=15,VLOOKUP(Y400,[4]Sheet1!$C:$N,10,0),"Unknown")))</f>
        <v>PU MULTIPURPOSE</v>
      </c>
      <c r="BL400" t="str">
        <f>IF(I400=11,VLOOKUP(Y400,[2]Sheet1!$C:$N,12,0),IF(I400=13,VLOOKUP(Y400,[3]Sheet1!$C:$N,12,0),IF(I400=15,VLOOKUP(Y400,[4]Sheet1!$C:$N,12,0),"Unknown")))</f>
        <v>PROPAN MP PU ACR RMX</v>
      </c>
      <c r="BM400" t="str">
        <f>VLOOKUP(W400,[1]branch!$A:$B,2,0)</f>
        <v>HO CHI MINH</v>
      </c>
    </row>
    <row r="401" spans="1:65" x14ac:dyDescent="0.35">
      <c r="A401" s="10">
        <v>45995</v>
      </c>
      <c r="B401" s="9" t="s">
        <v>1272</v>
      </c>
      <c r="C401" s="9" t="s">
        <v>64</v>
      </c>
      <c r="D401" s="9" t="s">
        <v>92</v>
      </c>
      <c r="E401" s="11">
        <v>60</v>
      </c>
      <c r="F401" s="9" t="s">
        <v>93</v>
      </c>
      <c r="G401" s="9" t="s">
        <v>65</v>
      </c>
      <c r="H401" s="9" t="s">
        <v>66</v>
      </c>
      <c r="I401" s="9">
        <v>13</v>
      </c>
      <c r="J401" s="9" t="s">
        <v>332</v>
      </c>
      <c r="K401" s="9" t="s">
        <v>332</v>
      </c>
      <c r="L401" s="9" t="s">
        <v>332</v>
      </c>
      <c r="M401" s="9" t="s">
        <v>333</v>
      </c>
      <c r="N401" s="9" t="s">
        <v>880</v>
      </c>
      <c r="O401" s="9" t="s">
        <v>150</v>
      </c>
      <c r="P401" s="9" t="s">
        <v>67</v>
      </c>
      <c r="Q401" s="9" t="s">
        <v>98</v>
      </c>
      <c r="R401" s="9" t="s">
        <v>332</v>
      </c>
      <c r="S401" s="9" t="s">
        <v>333</v>
      </c>
      <c r="T401" s="9" t="s">
        <v>822</v>
      </c>
      <c r="U401" s="9" t="s">
        <v>67</v>
      </c>
      <c r="V401" s="9" t="s">
        <v>266</v>
      </c>
      <c r="W401" s="9" t="s">
        <v>267</v>
      </c>
      <c r="X401" s="11">
        <v>100</v>
      </c>
      <c r="Y401" s="9" t="s">
        <v>317</v>
      </c>
      <c r="Z401" s="9" t="s">
        <v>68</v>
      </c>
      <c r="AA401" s="9" t="s">
        <v>318</v>
      </c>
      <c r="AB401" s="9" t="s">
        <v>67</v>
      </c>
      <c r="AC401" s="9" t="s">
        <v>319</v>
      </c>
      <c r="AD401" s="11">
        <v>4</v>
      </c>
      <c r="AE401" s="9" t="s">
        <v>70</v>
      </c>
      <c r="AF401" s="9" t="s">
        <v>71</v>
      </c>
      <c r="AG401" s="13">
        <v>1</v>
      </c>
      <c r="AH401" s="9" t="s">
        <v>92</v>
      </c>
      <c r="AI401" s="13">
        <v>881819</v>
      </c>
      <c r="AJ401" s="13">
        <v>3527276</v>
      </c>
      <c r="AK401" s="11">
        <v>619037</v>
      </c>
      <c r="AL401" s="11">
        <v>0</v>
      </c>
      <c r="AM401" s="11">
        <v>0</v>
      </c>
      <c r="AN401" s="9" t="s">
        <v>157</v>
      </c>
      <c r="AO401" s="11">
        <v>2908239</v>
      </c>
      <c r="AP401" s="13">
        <v>232659</v>
      </c>
      <c r="AQ401" s="13">
        <v>3140898</v>
      </c>
      <c r="AR401" s="11">
        <v>16</v>
      </c>
      <c r="AS401" s="9" t="s">
        <v>72</v>
      </c>
      <c r="AT401" s="12">
        <v>16.48</v>
      </c>
      <c r="AU401" s="9" t="s">
        <v>73</v>
      </c>
      <c r="AV401" s="9" t="s">
        <v>67</v>
      </c>
      <c r="AW401" s="9" t="s">
        <v>1273</v>
      </c>
      <c r="AX401" s="10">
        <v>45994</v>
      </c>
      <c r="AY401" s="9" t="s">
        <v>1274</v>
      </c>
      <c r="AZ401" s="9" t="s">
        <v>67</v>
      </c>
      <c r="BA401" s="9" t="s">
        <v>67</v>
      </c>
      <c r="BB401" s="12">
        <v>16</v>
      </c>
      <c r="BC401" s="9" t="s">
        <v>74</v>
      </c>
      <c r="BD401" s="9" t="s">
        <v>104</v>
      </c>
      <c r="BE401" s="9" t="s">
        <v>75</v>
      </c>
      <c r="BF401" s="11">
        <v>0</v>
      </c>
      <c r="BG401">
        <f t="shared" si="14"/>
        <v>12</v>
      </c>
      <c r="BH401" t="str">
        <f>VLOOKUP(BG401,[1]month!$A:$B,2,0)</f>
        <v>Desember</v>
      </c>
      <c r="BI401">
        <f t="shared" si="15"/>
        <v>2025</v>
      </c>
      <c r="BJ401" t="str">
        <f>VLOOKUP(I401,[1]Dist!$A:$B,2,0)</f>
        <v>Retail</v>
      </c>
      <c r="BK401" t="str">
        <f>IF(I401=11,VLOOKUP(Y401,[2]Sheet1!$C:$N,10,0),IF(I401=13,VLOOKUP(Y401,[3]Sheet1!$C:$N,10,0),IF(I401=15,VLOOKUP(Y401,[4]Sheet1!$C:$N,10,0),"Unknown")))</f>
        <v>PU MULTIPURPOSE</v>
      </c>
      <c r="BL401" t="str">
        <f>IF(I401=11,VLOOKUP(Y401,[2]Sheet1!$C:$N,12,0),IF(I401=13,VLOOKUP(Y401,[3]Sheet1!$C:$N,12,0),IF(I401=15,VLOOKUP(Y401,[4]Sheet1!$C:$N,12,0),"Unknown")))</f>
        <v>PROPAN MP PU ACR RMX</v>
      </c>
      <c r="BM401" t="str">
        <f>VLOOKUP(W401,[1]branch!$A:$B,2,0)</f>
        <v>HO CHI MINH</v>
      </c>
    </row>
    <row r="402" spans="1:65" x14ac:dyDescent="0.35">
      <c r="A402" s="10">
        <v>45995</v>
      </c>
      <c r="B402" s="9" t="s">
        <v>1272</v>
      </c>
      <c r="C402" s="9" t="s">
        <v>64</v>
      </c>
      <c r="D402" s="9" t="s">
        <v>92</v>
      </c>
      <c r="E402" s="11">
        <v>60</v>
      </c>
      <c r="F402" s="9" t="s">
        <v>93</v>
      </c>
      <c r="G402" s="9" t="s">
        <v>65</v>
      </c>
      <c r="H402" s="9" t="s">
        <v>66</v>
      </c>
      <c r="I402" s="9">
        <v>13</v>
      </c>
      <c r="J402" s="9" t="s">
        <v>332</v>
      </c>
      <c r="K402" s="9" t="s">
        <v>332</v>
      </c>
      <c r="L402" s="9" t="s">
        <v>332</v>
      </c>
      <c r="M402" s="9" t="s">
        <v>333</v>
      </c>
      <c r="N402" s="9" t="s">
        <v>880</v>
      </c>
      <c r="O402" s="9" t="s">
        <v>150</v>
      </c>
      <c r="P402" s="9" t="s">
        <v>67</v>
      </c>
      <c r="Q402" s="9" t="s">
        <v>98</v>
      </c>
      <c r="R402" s="9" t="s">
        <v>332</v>
      </c>
      <c r="S402" s="9" t="s">
        <v>333</v>
      </c>
      <c r="T402" s="9" t="s">
        <v>822</v>
      </c>
      <c r="U402" s="9" t="s">
        <v>67</v>
      </c>
      <c r="V402" s="9" t="s">
        <v>266</v>
      </c>
      <c r="W402" s="9" t="s">
        <v>267</v>
      </c>
      <c r="X402" s="11">
        <v>110</v>
      </c>
      <c r="Y402" s="9" t="s">
        <v>483</v>
      </c>
      <c r="Z402" s="9" t="s">
        <v>68</v>
      </c>
      <c r="AA402" s="9" t="s">
        <v>484</v>
      </c>
      <c r="AB402" s="9" t="s">
        <v>67</v>
      </c>
      <c r="AC402" s="9" t="s">
        <v>155</v>
      </c>
      <c r="AD402" s="11">
        <v>12</v>
      </c>
      <c r="AE402" s="9" t="s">
        <v>156</v>
      </c>
      <c r="AF402" s="9" t="s">
        <v>71</v>
      </c>
      <c r="AG402" s="13">
        <v>1</v>
      </c>
      <c r="AH402" s="9" t="s">
        <v>92</v>
      </c>
      <c r="AI402" s="13">
        <v>200000</v>
      </c>
      <c r="AJ402" s="13">
        <v>2400000</v>
      </c>
      <c r="AK402" s="11">
        <v>421200</v>
      </c>
      <c r="AL402" s="11">
        <v>0</v>
      </c>
      <c r="AM402" s="11">
        <v>0</v>
      </c>
      <c r="AN402" s="9" t="s">
        <v>157</v>
      </c>
      <c r="AO402" s="11">
        <v>1978800</v>
      </c>
      <c r="AP402" s="13">
        <v>158304</v>
      </c>
      <c r="AQ402" s="13">
        <v>2137104</v>
      </c>
      <c r="AR402" s="11">
        <v>12</v>
      </c>
      <c r="AS402" s="9" t="s">
        <v>72</v>
      </c>
      <c r="AT402" s="12">
        <v>10.92</v>
      </c>
      <c r="AU402" s="9" t="s">
        <v>73</v>
      </c>
      <c r="AV402" s="9" t="s">
        <v>67</v>
      </c>
      <c r="AW402" s="9" t="s">
        <v>1273</v>
      </c>
      <c r="AX402" s="10">
        <v>45994</v>
      </c>
      <c r="AY402" s="9" t="s">
        <v>1274</v>
      </c>
      <c r="AZ402" s="9" t="s">
        <v>67</v>
      </c>
      <c r="BA402" s="9" t="s">
        <v>67</v>
      </c>
      <c r="BB402" s="12">
        <v>12</v>
      </c>
      <c r="BC402" s="9" t="s">
        <v>74</v>
      </c>
      <c r="BD402" s="9" t="s">
        <v>104</v>
      </c>
      <c r="BE402" s="9" t="s">
        <v>75</v>
      </c>
      <c r="BF402" s="11">
        <v>0</v>
      </c>
      <c r="BG402">
        <f t="shared" si="14"/>
        <v>12</v>
      </c>
      <c r="BH402" t="str">
        <f>VLOOKUP(BG402,[1]month!$A:$B,2,0)</f>
        <v>Desember</v>
      </c>
      <c r="BI402">
        <f t="shared" si="15"/>
        <v>2025</v>
      </c>
      <c r="BJ402" t="str">
        <f>VLOOKUP(I402,[1]Dist!$A:$B,2,0)</f>
        <v>Retail</v>
      </c>
      <c r="BK402" t="str">
        <f>IF(I402=11,VLOOKUP(Y402,[2]Sheet1!$C:$N,10,0),IF(I402=13,VLOOKUP(Y402,[3]Sheet1!$C:$N,10,0),IF(I402=15,VLOOKUP(Y402,[4]Sheet1!$C:$N,10,0),"Unknown")))</f>
        <v>PU MULTIPURPOSE</v>
      </c>
      <c r="BL402" t="str">
        <f>IF(I402=11,VLOOKUP(Y402,[2]Sheet1!$C:$N,12,0),IF(I402=13,VLOOKUP(Y402,[3]Sheet1!$C:$N,12,0),IF(I402=15,VLOOKUP(Y402,[4]Sheet1!$C:$N,12,0),"Unknown")))</f>
        <v>PROPAN MP PU ACR RMX</v>
      </c>
      <c r="BM402" t="str">
        <f>VLOOKUP(W402,[1]branch!$A:$B,2,0)</f>
        <v>HO CHI MINH</v>
      </c>
    </row>
    <row r="403" spans="1:65" x14ac:dyDescent="0.35">
      <c r="A403" s="10">
        <v>45995</v>
      </c>
      <c r="B403" s="9" t="s">
        <v>1272</v>
      </c>
      <c r="C403" s="9" t="s">
        <v>64</v>
      </c>
      <c r="D403" s="9" t="s">
        <v>92</v>
      </c>
      <c r="E403" s="11">
        <v>60</v>
      </c>
      <c r="F403" s="9" t="s">
        <v>93</v>
      </c>
      <c r="G403" s="9" t="s">
        <v>65</v>
      </c>
      <c r="H403" s="9" t="s">
        <v>66</v>
      </c>
      <c r="I403" s="9">
        <v>13</v>
      </c>
      <c r="J403" s="9" t="s">
        <v>332</v>
      </c>
      <c r="K403" s="9" t="s">
        <v>332</v>
      </c>
      <c r="L403" s="9" t="s">
        <v>332</v>
      </c>
      <c r="M403" s="9" t="s">
        <v>333</v>
      </c>
      <c r="N403" s="9" t="s">
        <v>880</v>
      </c>
      <c r="O403" s="9" t="s">
        <v>150</v>
      </c>
      <c r="P403" s="9" t="s">
        <v>67</v>
      </c>
      <c r="Q403" s="9" t="s">
        <v>98</v>
      </c>
      <c r="R403" s="9" t="s">
        <v>332</v>
      </c>
      <c r="S403" s="9" t="s">
        <v>333</v>
      </c>
      <c r="T403" s="9" t="s">
        <v>822</v>
      </c>
      <c r="U403" s="9" t="s">
        <v>67</v>
      </c>
      <c r="V403" s="9" t="s">
        <v>266</v>
      </c>
      <c r="W403" s="9" t="s">
        <v>267</v>
      </c>
      <c r="X403" s="11">
        <v>120</v>
      </c>
      <c r="Y403" s="9" t="s">
        <v>153</v>
      </c>
      <c r="Z403" s="9" t="s">
        <v>68</v>
      </c>
      <c r="AA403" s="9" t="s">
        <v>154</v>
      </c>
      <c r="AB403" s="9" t="s">
        <v>67</v>
      </c>
      <c r="AC403" s="9" t="s">
        <v>155</v>
      </c>
      <c r="AD403" s="11">
        <v>4</v>
      </c>
      <c r="AE403" s="9" t="s">
        <v>156</v>
      </c>
      <c r="AF403" s="9" t="s">
        <v>71</v>
      </c>
      <c r="AG403" s="13">
        <v>1</v>
      </c>
      <c r="AH403" s="9" t="s">
        <v>92</v>
      </c>
      <c r="AI403" s="13">
        <v>896364</v>
      </c>
      <c r="AJ403" s="13">
        <v>3585456</v>
      </c>
      <c r="AK403" s="11">
        <v>629247</v>
      </c>
      <c r="AL403" s="11">
        <v>0</v>
      </c>
      <c r="AM403" s="11">
        <v>0</v>
      </c>
      <c r="AN403" s="9" t="s">
        <v>157</v>
      </c>
      <c r="AO403" s="11">
        <v>2956209</v>
      </c>
      <c r="AP403" s="13">
        <v>236497</v>
      </c>
      <c r="AQ403" s="13">
        <v>3192706</v>
      </c>
      <c r="AR403" s="11">
        <v>20</v>
      </c>
      <c r="AS403" s="9" t="s">
        <v>72</v>
      </c>
      <c r="AT403" s="12">
        <v>18.2</v>
      </c>
      <c r="AU403" s="9" t="s">
        <v>73</v>
      </c>
      <c r="AV403" s="9" t="s">
        <v>67</v>
      </c>
      <c r="AW403" s="9" t="s">
        <v>1273</v>
      </c>
      <c r="AX403" s="10">
        <v>45994</v>
      </c>
      <c r="AY403" s="9" t="s">
        <v>1274</v>
      </c>
      <c r="AZ403" s="9" t="s">
        <v>67</v>
      </c>
      <c r="BA403" s="9" t="s">
        <v>67</v>
      </c>
      <c r="BB403" s="12">
        <v>20</v>
      </c>
      <c r="BC403" s="9" t="s">
        <v>74</v>
      </c>
      <c r="BD403" s="9" t="s">
        <v>104</v>
      </c>
      <c r="BE403" s="9" t="s">
        <v>75</v>
      </c>
      <c r="BF403" s="11">
        <v>0</v>
      </c>
      <c r="BG403">
        <f t="shared" si="14"/>
        <v>12</v>
      </c>
      <c r="BH403" t="str">
        <f>VLOOKUP(BG403,[1]month!$A:$B,2,0)</f>
        <v>Desember</v>
      </c>
      <c r="BI403">
        <f t="shared" si="15"/>
        <v>2025</v>
      </c>
      <c r="BJ403" t="str">
        <f>VLOOKUP(I403,[1]Dist!$A:$B,2,0)</f>
        <v>Retail</v>
      </c>
      <c r="BK403" t="str">
        <f>IF(I403=11,VLOOKUP(Y403,[2]Sheet1!$C:$N,10,0),IF(I403=13,VLOOKUP(Y403,[3]Sheet1!$C:$N,10,0),IF(I403=15,VLOOKUP(Y403,[4]Sheet1!$C:$N,10,0),"Unknown")))</f>
        <v>PU MULTIPURPOSE</v>
      </c>
      <c r="BL403" t="str">
        <f>IF(I403=11,VLOOKUP(Y403,[2]Sheet1!$C:$N,12,0),IF(I403=13,VLOOKUP(Y403,[3]Sheet1!$C:$N,12,0),IF(I403=15,VLOOKUP(Y403,[4]Sheet1!$C:$N,12,0),"Unknown")))</f>
        <v>PROPAN MP PU ACR RMX</v>
      </c>
      <c r="BM403" t="str">
        <f>VLOOKUP(W403,[1]branch!$A:$B,2,0)</f>
        <v>HO CHI MINH</v>
      </c>
    </row>
    <row r="404" spans="1:65" x14ac:dyDescent="0.35">
      <c r="A404" s="10">
        <v>45995</v>
      </c>
      <c r="B404" s="9" t="s">
        <v>1272</v>
      </c>
      <c r="C404" s="9" t="s">
        <v>64</v>
      </c>
      <c r="D404" s="9" t="s">
        <v>92</v>
      </c>
      <c r="E404" s="11">
        <v>60</v>
      </c>
      <c r="F404" s="9" t="s">
        <v>93</v>
      </c>
      <c r="G404" s="9" t="s">
        <v>65</v>
      </c>
      <c r="H404" s="9" t="s">
        <v>66</v>
      </c>
      <c r="I404" s="9">
        <v>13</v>
      </c>
      <c r="J404" s="9" t="s">
        <v>332</v>
      </c>
      <c r="K404" s="9" t="s">
        <v>332</v>
      </c>
      <c r="L404" s="9" t="s">
        <v>332</v>
      </c>
      <c r="M404" s="9" t="s">
        <v>333</v>
      </c>
      <c r="N404" s="9" t="s">
        <v>880</v>
      </c>
      <c r="O404" s="9" t="s">
        <v>150</v>
      </c>
      <c r="P404" s="9" t="s">
        <v>67</v>
      </c>
      <c r="Q404" s="9" t="s">
        <v>98</v>
      </c>
      <c r="R404" s="9" t="s">
        <v>332</v>
      </c>
      <c r="S404" s="9" t="s">
        <v>333</v>
      </c>
      <c r="T404" s="9" t="s">
        <v>822</v>
      </c>
      <c r="U404" s="9" t="s">
        <v>67</v>
      </c>
      <c r="V404" s="9" t="s">
        <v>266</v>
      </c>
      <c r="W404" s="9" t="s">
        <v>267</v>
      </c>
      <c r="X404" s="11">
        <v>130</v>
      </c>
      <c r="Y404" s="9" t="s">
        <v>498</v>
      </c>
      <c r="Z404" s="9" t="s">
        <v>68</v>
      </c>
      <c r="AA404" s="9" t="s">
        <v>499</v>
      </c>
      <c r="AB404" s="9" t="s">
        <v>67</v>
      </c>
      <c r="AC404" s="9" t="s">
        <v>155</v>
      </c>
      <c r="AD404" s="11">
        <v>12</v>
      </c>
      <c r="AE404" s="9" t="s">
        <v>156</v>
      </c>
      <c r="AF404" s="9" t="s">
        <v>71</v>
      </c>
      <c r="AG404" s="13">
        <v>1</v>
      </c>
      <c r="AH404" s="9" t="s">
        <v>92</v>
      </c>
      <c r="AI404" s="13">
        <v>200000</v>
      </c>
      <c r="AJ404" s="13">
        <v>2400000</v>
      </c>
      <c r="AK404" s="11">
        <v>421200</v>
      </c>
      <c r="AL404" s="11">
        <v>0</v>
      </c>
      <c r="AM404" s="11">
        <v>0</v>
      </c>
      <c r="AN404" s="9" t="s">
        <v>157</v>
      </c>
      <c r="AO404" s="11">
        <v>1978800</v>
      </c>
      <c r="AP404" s="13">
        <v>158304</v>
      </c>
      <c r="AQ404" s="13">
        <v>2137104</v>
      </c>
      <c r="AR404" s="11">
        <v>12</v>
      </c>
      <c r="AS404" s="9" t="s">
        <v>72</v>
      </c>
      <c r="AT404" s="12">
        <v>14.16</v>
      </c>
      <c r="AU404" s="9" t="s">
        <v>73</v>
      </c>
      <c r="AV404" s="9" t="s">
        <v>67</v>
      </c>
      <c r="AW404" s="9" t="s">
        <v>1273</v>
      </c>
      <c r="AX404" s="10">
        <v>45994</v>
      </c>
      <c r="AY404" s="9" t="s">
        <v>1274</v>
      </c>
      <c r="AZ404" s="9" t="s">
        <v>67</v>
      </c>
      <c r="BA404" s="9" t="s">
        <v>67</v>
      </c>
      <c r="BB404" s="12">
        <v>12</v>
      </c>
      <c r="BC404" s="9" t="s">
        <v>74</v>
      </c>
      <c r="BD404" s="9" t="s">
        <v>104</v>
      </c>
      <c r="BE404" s="9" t="s">
        <v>75</v>
      </c>
      <c r="BF404" s="11">
        <v>0</v>
      </c>
      <c r="BG404">
        <f t="shared" si="14"/>
        <v>12</v>
      </c>
      <c r="BH404" t="str">
        <f>VLOOKUP(BG404,[1]month!$A:$B,2,0)</f>
        <v>Desember</v>
      </c>
      <c r="BI404">
        <f t="shared" si="15"/>
        <v>2025</v>
      </c>
      <c r="BJ404" t="str">
        <f>VLOOKUP(I404,[1]Dist!$A:$B,2,0)</f>
        <v>Retail</v>
      </c>
      <c r="BK404" t="str">
        <f>IF(I404=11,VLOOKUP(Y404,[2]Sheet1!$C:$N,10,0),IF(I404=13,VLOOKUP(Y404,[3]Sheet1!$C:$N,10,0),IF(I404=15,VLOOKUP(Y404,[4]Sheet1!$C:$N,10,0),"Unknown")))</f>
        <v>PU MULTIPURPOSE</v>
      </c>
      <c r="BL404" t="str">
        <f>IF(I404=11,VLOOKUP(Y404,[2]Sheet1!$C:$N,12,0),IF(I404=13,VLOOKUP(Y404,[3]Sheet1!$C:$N,12,0),IF(I404=15,VLOOKUP(Y404,[4]Sheet1!$C:$N,12,0),"Unknown")))</f>
        <v>PROPAN MP PU ACR RMX</v>
      </c>
      <c r="BM404" t="str">
        <f>VLOOKUP(W404,[1]branch!$A:$B,2,0)</f>
        <v>HO CHI MINH</v>
      </c>
    </row>
    <row r="405" spans="1:65" x14ac:dyDescent="0.35">
      <c r="A405" s="10">
        <v>45995</v>
      </c>
      <c r="B405" s="9" t="s">
        <v>1272</v>
      </c>
      <c r="C405" s="9" t="s">
        <v>64</v>
      </c>
      <c r="D405" s="9" t="s">
        <v>92</v>
      </c>
      <c r="E405" s="11">
        <v>60</v>
      </c>
      <c r="F405" s="9" t="s">
        <v>93</v>
      </c>
      <c r="G405" s="9" t="s">
        <v>65</v>
      </c>
      <c r="H405" s="9" t="s">
        <v>66</v>
      </c>
      <c r="I405" s="9">
        <v>13</v>
      </c>
      <c r="J405" s="9" t="s">
        <v>332</v>
      </c>
      <c r="K405" s="9" t="s">
        <v>332</v>
      </c>
      <c r="L405" s="9" t="s">
        <v>332</v>
      </c>
      <c r="M405" s="9" t="s">
        <v>333</v>
      </c>
      <c r="N405" s="9" t="s">
        <v>880</v>
      </c>
      <c r="O405" s="9" t="s">
        <v>150</v>
      </c>
      <c r="P405" s="9" t="s">
        <v>67</v>
      </c>
      <c r="Q405" s="9" t="s">
        <v>98</v>
      </c>
      <c r="R405" s="9" t="s">
        <v>332</v>
      </c>
      <c r="S405" s="9" t="s">
        <v>333</v>
      </c>
      <c r="T405" s="9" t="s">
        <v>822</v>
      </c>
      <c r="U405" s="9" t="s">
        <v>67</v>
      </c>
      <c r="V405" s="9" t="s">
        <v>266</v>
      </c>
      <c r="W405" s="9" t="s">
        <v>267</v>
      </c>
      <c r="X405" s="11">
        <v>140</v>
      </c>
      <c r="Y405" s="9" t="s">
        <v>445</v>
      </c>
      <c r="Z405" s="9" t="s">
        <v>68</v>
      </c>
      <c r="AA405" s="9" t="s">
        <v>446</v>
      </c>
      <c r="AB405" s="9" t="s">
        <v>67</v>
      </c>
      <c r="AC405" s="9" t="s">
        <v>444</v>
      </c>
      <c r="AD405" s="11">
        <v>12</v>
      </c>
      <c r="AE405" s="9" t="s">
        <v>70</v>
      </c>
      <c r="AF405" s="9" t="s">
        <v>71</v>
      </c>
      <c r="AG405" s="13">
        <v>1</v>
      </c>
      <c r="AH405" s="9" t="s">
        <v>92</v>
      </c>
      <c r="AI405" s="13">
        <v>136364</v>
      </c>
      <c r="AJ405" s="13">
        <v>1636368</v>
      </c>
      <c r="AK405" s="11">
        <v>287182</v>
      </c>
      <c r="AL405" s="11">
        <v>0</v>
      </c>
      <c r="AM405" s="11">
        <v>0</v>
      </c>
      <c r="AN405" s="9" t="s">
        <v>157</v>
      </c>
      <c r="AO405" s="11">
        <v>1349186</v>
      </c>
      <c r="AP405" s="13">
        <v>107935</v>
      </c>
      <c r="AQ405" s="13">
        <v>1457121</v>
      </c>
      <c r="AR405" s="12">
        <v>9.9600000000000009</v>
      </c>
      <c r="AS405" s="9" t="s">
        <v>72</v>
      </c>
      <c r="AT405" s="11">
        <v>12</v>
      </c>
      <c r="AU405" s="9" t="s">
        <v>73</v>
      </c>
      <c r="AV405" s="9" t="s">
        <v>67</v>
      </c>
      <c r="AW405" s="9" t="s">
        <v>1273</v>
      </c>
      <c r="AX405" s="10">
        <v>45994</v>
      </c>
      <c r="AY405" s="9" t="s">
        <v>1274</v>
      </c>
      <c r="AZ405" s="9" t="s">
        <v>67</v>
      </c>
      <c r="BA405" s="9" t="s">
        <v>67</v>
      </c>
      <c r="BB405" s="12">
        <v>12</v>
      </c>
      <c r="BC405" s="9" t="s">
        <v>74</v>
      </c>
      <c r="BD405" s="9" t="s">
        <v>104</v>
      </c>
      <c r="BE405" s="9" t="s">
        <v>75</v>
      </c>
      <c r="BF405" s="11">
        <v>0</v>
      </c>
      <c r="BG405">
        <f t="shared" si="14"/>
        <v>12</v>
      </c>
      <c r="BH405" t="str">
        <f>VLOOKUP(BG405,[1]month!$A:$B,2,0)</f>
        <v>Desember</v>
      </c>
      <c r="BI405">
        <f t="shared" si="15"/>
        <v>2025</v>
      </c>
      <c r="BJ405" t="str">
        <f>VLOOKUP(I405,[1]Dist!$A:$B,2,0)</f>
        <v>Retail</v>
      </c>
      <c r="BK405" t="str">
        <f>IF(I405=11,VLOOKUP(Y405,[2]Sheet1!$C:$N,10,0),IF(I405=13,VLOOKUP(Y405,[3]Sheet1!$C:$N,10,0),IF(I405=15,VLOOKUP(Y405,[4]Sheet1!$C:$N,10,0),"Unknown")))</f>
        <v>ULTRAN</v>
      </c>
      <c r="BL405" t="str">
        <f>IF(I405=11,VLOOKUP(Y405,[2]Sheet1!$C:$N,12,0),IF(I405=13,VLOOKUP(Y405,[3]Sheet1!$C:$N,12,0),IF(I405=15,VLOOKUP(Y405,[4]Sheet1!$C:$N,12,0),"Unknown")))</f>
        <v>ULTRAN POLITUR P-01</v>
      </c>
      <c r="BM405" t="str">
        <f>VLOOKUP(W405,[1]branch!$A:$B,2,0)</f>
        <v>HO CHI MINH</v>
      </c>
    </row>
    <row r="406" spans="1:65" x14ac:dyDescent="0.35">
      <c r="A406" s="10">
        <v>45995</v>
      </c>
      <c r="B406" s="9" t="s">
        <v>1272</v>
      </c>
      <c r="C406" s="9" t="s">
        <v>64</v>
      </c>
      <c r="D406" s="9" t="s">
        <v>92</v>
      </c>
      <c r="E406" s="11">
        <v>60</v>
      </c>
      <c r="F406" s="9" t="s">
        <v>93</v>
      </c>
      <c r="G406" s="9" t="s">
        <v>65</v>
      </c>
      <c r="H406" s="9" t="s">
        <v>66</v>
      </c>
      <c r="I406" s="9">
        <v>13</v>
      </c>
      <c r="J406" s="9" t="s">
        <v>332</v>
      </c>
      <c r="K406" s="9" t="s">
        <v>332</v>
      </c>
      <c r="L406" s="9" t="s">
        <v>332</v>
      </c>
      <c r="M406" s="9" t="s">
        <v>333</v>
      </c>
      <c r="N406" s="9" t="s">
        <v>880</v>
      </c>
      <c r="O406" s="9" t="s">
        <v>150</v>
      </c>
      <c r="P406" s="9" t="s">
        <v>67</v>
      </c>
      <c r="Q406" s="9" t="s">
        <v>98</v>
      </c>
      <c r="R406" s="9" t="s">
        <v>332</v>
      </c>
      <c r="S406" s="9" t="s">
        <v>333</v>
      </c>
      <c r="T406" s="9" t="s">
        <v>822</v>
      </c>
      <c r="U406" s="9" t="s">
        <v>67</v>
      </c>
      <c r="V406" s="9" t="s">
        <v>266</v>
      </c>
      <c r="W406" s="9" t="s">
        <v>267</v>
      </c>
      <c r="X406" s="11">
        <v>150</v>
      </c>
      <c r="Y406" s="9" t="s">
        <v>610</v>
      </c>
      <c r="Z406" s="9" t="s">
        <v>68</v>
      </c>
      <c r="AA406" s="9" t="s">
        <v>611</v>
      </c>
      <c r="AB406" s="9" t="s">
        <v>67</v>
      </c>
      <c r="AC406" s="9" t="s">
        <v>444</v>
      </c>
      <c r="AD406" s="11">
        <v>12</v>
      </c>
      <c r="AE406" s="9" t="s">
        <v>70</v>
      </c>
      <c r="AF406" s="9" t="s">
        <v>71</v>
      </c>
      <c r="AG406" s="13">
        <v>1</v>
      </c>
      <c r="AH406" s="9" t="s">
        <v>92</v>
      </c>
      <c r="AI406" s="13">
        <v>136364</v>
      </c>
      <c r="AJ406" s="13">
        <v>1636368</v>
      </c>
      <c r="AK406" s="11">
        <v>287182</v>
      </c>
      <c r="AL406" s="11">
        <v>0</v>
      </c>
      <c r="AM406" s="11">
        <v>0</v>
      </c>
      <c r="AN406" s="9" t="s">
        <v>157</v>
      </c>
      <c r="AO406" s="11">
        <v>1349186</v>
      </c>
      <c r="AP406" s="13">
        <v>107935</v>
      </c>
      <c r="AQ406" s="13">
        <v>1457121</v>
      </c>
      <c r="AR406" s="12">
        <v>9.9600000000000009</v>
      </c>
      <c r="AS406" s="9" t="s">
        <v>72</v>
      </c>
      <c r="AT406" s="11">
        <v>12</v>
      </c>
      <c r="AU406" s="9" t="s">
        <v>73</v>
      </c>
      <c r="AV406" s="9" t="s">
        <v>67</v>
      </c>
      <c r="AW406" s="9" t="s">
        <v>1273</v>
      </c>
      <c r="AX406" s="10">
        <v>45994</v>
      </c>
      <c r="AY406" s="9" t="s">
        <v>1274</v>
      </c>
      <c r="AZ406" s="9" t="s">
        <v>67</v>
      </c>
      <c r="BA406" s="9" t="s">
        <v>67</v>
      </c>
      <c r="BB406" s="12">
        <v>12</v>
      </c>
      <c r="BC406" s="9" t="s">
        <v>74</v>
      </c>
      <c r="BD406" s="9" t="s">
        <v>104</v>
      </c>
      <c r="BE406" s="9" t="s">
        <v>75</v>
      </c>
      <c r="BF406" s="11">
        <v>0</v>
      </c>
      <c r="BG406">
        <f t="shared" si="14"/>
        <v>12</v>
      </c>
      <c r="BH406" t="str">
        <f>VLOOKUP(BG406,[1]month!$A:$B,2,0)</f>
        <v>Desember</v>
      </c>
      <c r="BI406">
        <f t="shared" si="15"/>
        <v>2025</v>
      </c>
      <c r="BJ406" t="str">
        <f>VLOOKUP(I406,[1]Dist!$A:$B,2,0)</f>
        <v>Retail</v>
      </c>
      <c r="BK406" t="str">
        <f>IF(I406=11,VLOOKUP(Y406,[2]Sheet1!$C:$N,10,0),IF(I406=13,VLOOKUP(Y406,[3]Sheet1!$C:$N,10,0),IF(I406=15,VLOOKUP(Y406,[4]Sheet1!$C:$N,10,0),"Unknown")))</f>
        <v>ULTRAN</v>
      </c>
      <c r="BL406" t="str">
        <f>IF(I406=11,VLOOKUP(Y406,[2]Sheet1!$C:$N,12,0),IF(I406=13,VLOOKUP(Y406,[3]Sheet1!$C:$N,12,0),IF(I406=15,VLOOKUP(Y406,[4]Sheet1!$C:$N,12,0),"Unknown")))</f>
        <v>ULTRAN POLITUR P-01</v>
      </c>
      <c r="BM406" t="str">
        <f>VLOOKUP(W406,[1]branch!$A:$B,2,0)</f>
        <v>HO CHI MINH</v>
      </c>
    </row>
    <row r="407" spans="1:65" x14ac:dyDescent="0.35">
      <c r="A407" s="10">
        <v>45995</v>
      </c>
      <c r="B407" s="9" t="s">
        <v>1275</v>
      </c>
      <c r="C407" s="9" t="s">
        <v>64</v>
      </c>
      <c r="D407" s="9" t="s">
        <v>92</v>
      </c>
      <c r="E407" s="11">
        <v>60</v>
      </c>
      <c r="F407" s="9" t="s">
        <v>93</v>
      </c>
      <c r="G407" s="9" t="s">
        <v>65</v>
      </c>
      <c r="H407" s="9" t="s">
        <v>66</v>
      </c>
      <c r="I407" s="9">
        <v>13</v>
      </c>
      <c r="J407" s="9" t="s">
        <v>264</v>
      </c>
      <c r="K407" s="9" t="s">
        <v>264</v>
      </c>
      <c r="L407" s="9" t="s">
        <v>264</v>
      </c>
      <c r="M407" s="9" t="s">
        <v>265</v>
      </c>
      <c r="N407" s="9" t="s">
        <v>881</v>
      </c>
      <c r="O407" s="9" t="s">
        <v>150</v>
      </c>
      <c r="P407" s="9" t="s">
        <v>67</v>
      </c>
      <c r="Q407" s="9" t="s">
        <v>98</v>
      </c>
      <c r="R407" s="9" t="s">
        <v>264</v>
      </c>
      <c r="S407" s="9" t="s">
        <v>265</v>
      </c>
      <c r="T407" s="9" t="s">
        <v>799</v>
      </c>
      <c r="U407" s="9" t="s">
        <v>67</v>
      </c>
      <c r="V407" s="9" t="s">
        <v>266</v>
      </c>
      <c r="W407" s="9" t="s">
        <v>267</v>
      </c>
      <c r="X407" s="11">
        <v>20</v>
      </c>
      <c r="Y407" s="9" t="s">
        <v>947</v>
      </c>
      <c r="Z407" s="9" t="s">
        <v>68</v>
      </c>
      <c r="AA407" s="9" t="s">
        <v>948</v>
      </c>
      <c r="AB407" s="9" t="s">
        <v>67</v>
      </c>
      <c r="AC407" s="9" t="s">
        <v>916</v>
      </c>
      <c r="AD407" s="11">
        <v>20</v>
      </c>
      <c r="AE407" s="9" t="s">
        <v>70</v>
      </c>
      <c r="AF407" s="9" t="s">
        <v>71</v>
      </c>
      <c r="AG407" s="13">
        <v>1</v>
      </c>
      <c r="AH407" s="9" t="s">
        <v>92</v>
      </c>
      <c r="AI407" s="13">
        <v>1767273</v>
      </c>
      <c r="AJ407" s="13">
        <v>35345460</v>
      </c>
      <c r="AK407" s="11">
        <v>7404874</v>
      </c>
      <c r="AL407" s="11">
        <v>0</v>
      </c>
      <c r="AM407" s="11">
        <v>0</v>
      </c>
      <c r="AN407" s="9" t="s">
        <v>693</v>
      </c>
      <c r="AO407" s="11">
        <v>27940586</v>
      </c>
      <c r="AP407" s="13">
        <v>2235247</v>
      </c>
      <c r="AQ407" s="13">
        <v>30175833</v>
      </c>
      <c r="AR407" s="11">
        <v>400</v>
      </c>
      <c r="AS407" s="9" t="s">
        <v>72</v>
      </c>
      <c r="AT407" s="12">
        <v>287.76</v>
      </c>
      <c r="AU407" s="9" t="s">
        <v>73</v>
      </c>
      <c r="AV407" s="9" t="s">
        <v>67</v>
      </c>
      <c r="AW407" s="9" t="s">
        <v>1276</v>
      </c>
      <c r="AX407" s="10">
        <v>45992</v>
      </c>
      <c r="AY407" s="9" t="s">
        <v>1277</v>
      </c>
      <c r="AZ407" s="9" t="s">
        <v>67</v>
      </c>
      <c r="BA407" s="9" t="s">
        <v>67</v>
      </c>
      <c r="BB407" s="12">
        <v>400</v>
      </c>
      <c r="BC407" s="9" t="s">
        <v>74</v>
      </c>
      <c r="BD407" s="9" t="s">
        <v>104</v>
      </c>
      <c r="BE407" s="9" t="s">
        <v>75</v>
      </c>
      <c r="BF407" s="11">
        <v>0</v>
      </c>
      <c r="BG407">
        <f t="shared" si="14"/>
        <v>12</v>
      </c>
      <c r="BH407" t="str">
        <f>VLOOKUP(BG407,[1]month!$A:$B,2,0)</f>
        <v>Desember</v>
      </c>
      <c r="BI407">
        <f t="shared" si="15"/>
        <v>2025</v>
      </c>
      <c r="BJ407" t="str">
        <f>VLOOKUP(I407,[1]Dist!$A:$B,2,0)</f>
        <v>Retail</v>
      </c>
      <c r="BK407" t="str">
        <f>IF(I407=11,VLOOKUP(Y407,[2]Sheet1!$C:$N,10,0),IF(I407=13,VLOOKUP(Y407,[3]Sheet1!$C:$N,10,0),IF(I407=15,VLOOKUP(Y407,[4]Sheet1!$C:$N,10,0),"Unknown")))</f>
        <v>WATERPROOFING</v>
      </c>
      <c r="BL407" t="str">
        <f>IF(I407=11,VLOOKUP(Y407,[2]Sheet1!$C:$N,12,0),IF(I407=13,VLOOKUP(Y407,[3]Sheet1!$C:$N,12,0),IF(I407=15,VLOOKUP(Y407,[4]Sheet1!$C:$N,12,0),"Unknown")))</f>
        <v>ULTRAFLEX MEMBRANE</v>
      </c>
      <c r="BM407" t="str">
        <f>VLOOKUP(W407,[1]branch!$A:$B,2,0)</f>
        <v>HO CHI MINH</v>
      </c>
    </row>
    <row r="408" spans="1:65" x14ac:dyDescent="0.35">
      <c r="A408" s="10">
        <v>45995</v>
      </c>
      <c r="B408" s="9" t="s">
        <v>1278</v>
      </c>
      <c r="C408" s="9" t="s">
        <v>64</v>
      </c>
      <c r="D408" s="9" t="s">
        <v>92</v>
      </c>
      <c r="E408" s="11">
        <v>60</v>
      </c>
      <c r="F408" s="9" t="s">
        <v>93</v>
      </c>
      <c r="G408" s="9" t="s">
        <v>65</v>
      </c>
      <c r="H408" s="9" t="s">
        <v>66</v>
      </c>
      <c r="I408" s="9">
        <v>13</v>
      </c>
      <c r="J408" s="9" t="s">
        <v>264</v>
      </c>
      <c r="K408" s="9" t="s">
        <v>264</v>
      </c>
      <c r="L408" s="9" t="s">
        <v>264</v>
      </c>
      <c r="M408" s="9" t="s">
        <v>265</v>
      </c>
      <c r="N408" s="9" t="s">
        <v>881</v>
      </c>
      <c r="O408" s="9" t="s">
        <v>150</v>
      </c>
      <c r="P408" s="9" t="s">
        <v>67</v>
      </c>
      <c r="Q408" s="9" t="s">
        <v>98</v>
      </c>
      <c r="R408" s="9" t="s">
        <v>264</v>
      </c>
      <c r="S408" s="9" t="s">
        <v>265</v>
      </c>
      <c r="T408" s="9" t="s">
        <v>799</v>
      </c>
      <c r="U408" s="9" t="s">
        <v>67</v>
      </c>
      <c r="V408" s="9" t="s">
        <v>266</v>
      </c>
      <c r="W408" s="9" t="s">
        <v>267</v>
      </c>
      <c r="X408" s="11">
        <v>20</v>
      </c>
      <c r="Y408" s="9" t="s">
        <v>268</v>
      </c>
      <c r="Z408" s="9" t="s">
        <v>68</v>
      </c>
      <c r="AA408" s="9" t="s">
        <v>269</v>
      </c>
      <c r="AB408" s="9" t="s">
        <v>67</v>
      </c>
      <c r="AC408" s="9" t="s">
        <v>270</v>
      </c>
      <c r="AD408" s="11">
        <v>120</v>
      </c>
      <c r="AE408" s="9" t="s">
        <v>70</v>
      </c>
      <c r="AF408" s="9" t="s">
        <v>71</v>
      </c>
      <c r="AG408" s="13">
        <v>1</v>
      </c>
      <c r="AH408" s="9" t="s">
        <v>92</v>
      </c>
      <c r="AI408" s="13">
        <v>77273</v>
      </c>
      <c r="AJ408" s="13">
        <v>9272760</v>
      </c>
      <c r="AK408" s="11">
        <v>1706188</v>
      </c>
      <c r="AL408" s="11">
        <v>0</v>
      </c>
      <c r="AM408" s="11">
        <v>0</v>
      </c>
      <c r="AN408" s="9" t="s">
        <v>271</v>
      </c>
      <c r="AO408" s="11">
        <v>7566572</v>
      </c>
      <c r="AP408" s="13">
        <v>605326</v>
      </c>
      <c r="AQ408" s="13">
        <v>8171898</v>
      </c>
      <c r="AR408" s="12">
        <v>79.680000000000007</v>
      </c>
      <c r="AS408" s="9" t="s">
        <v>72</v>
      </c>
      <c r="AT408" s="11">
        <v>96</v>
      </c>
      <c r="AU408" s="9" t="s">
        <v>73</v>
      </c>
      <c r="AV408" s="9" t="s">
        <v>67</v>
      </c>
      <c r="AW408" s="9" t="s">
        <v>1121</v>
      </c>
      <c r="AX408" s="10">
        <v>45992</v>
      </c>
      <c r="AY408" s="9" t="s">
        <v>1279</v>
      </c>
      <c r="AZ408" s="9" t="s">
        <v>67</v>
      </c>
      <c r="BA408" s="9" t="s">
        <v>67</v>
      </c>
      <c r="BB408" s="12">
        <v>96</v>
      </c>
      <c r="BC408" s="9" t="s">
        <v>74</v>
      </c>
      <c r="BD408" s="9" t="s">
        <v>104</v>
      </c>
      <c r="BE408" s="9" t="s">
        <v>75</v>
      </c>
      <c r="BF408" s="11">
        <v>0</v>
      </c>
      <c r="BG408">
        <f t="shared" si="14"/>
        <v>12</v>
      </c>
      <c r="BH408" t="str">
        <f>VLOOKUP(BG408,[1]month!$A:$B,2,0)</f>
        <v>Desember</v>
      </c>
      <c r="BI408">
        <f t="shared" si="15"/>
        <v>2025</v>
      </c>
      <c r="BJ408" t="str">
        <f>VLOOKUP(I408,[1]Dist!$A:$B,2,0)</f>
        <v>Retail</v>
      </c>
      <c r="BK408" t="str">
        <f>IF(I408=11,VLOOKUP(Y408,[2]Sheet1!$C:$N,10,0),IF(I408=13,VLOOKUP(Y408,[3]Sheet1!$C:$N,10,0),IF(I408=15,VLOOKUP(Y408,[4]Sheet1!$C:$N,10,0),"Unknown")))</f>
        <v>ULTRAN</v>
      </c>
      <c r="BL408" t="str">
        <f>IF(I408=11,VLOOKUP(Y408,[2]Sheet1!$C:$N,12,0),IF(I408=13,VLOOKUP(Y408,[3]Sheet1!$C:$N,12,0),IF(I408=15,VLOOKUP(Y408,[4]Sheet1!$C:$N,12,0),"Unknown")))</f>
        <v>ULTRAN VERNIS</v>
      </c>
      <c r="BM408" t="str">
        <f>VLOOKUP(W408,[1]branch!$A:$B,2,0)</f>
        <v>HO CHI MINH</v>
      </c>
    </row>
    <row r="409" spans="1:65" x14ac:dyDescent="0.35">
      <c r="A409" s="10">
        <v>45995</v>
      </c>
      <c r="B409" s="9" t="s">
        <v>1280</v>
      </c>
      <c r="C409" s="9" t="s">
        <v>64</v>
      </c>
      <c r="D409" s="9" t="s">
        <v>92</v>
      </c>
      <c r="E409" s="11">
        <v>0</v>
      </c>
      <c r="F409" s="9" t="s">
        <v>93</v>
      </c>
      <c r="G409" s="9" t="s">
        <v>65</v>
      </c>
      <c r="H409" s="9" t="s">
        <v>66</v>
      </c>
      <c r="I409" s="9">
        <v>13</v>
      </c>
      <c r="J409" s="9" t="s">
        <v>667</v>
      </c>
      <c r="K409" s="9" t="s">
        <v>667</v>
      </c>
      <c r="L409" s="9" t="s">
        <v>667</v>
      </c>
      <c r="M409" s="9" t="s">
        <v>668</v>
      </c>
      <c r="N409" s="9" t="s">
        <v>885</v>
      </c>
      <c r="O409" s="9" t="s">
        <v>302</v>
      </c>
      <c r="P409" s="9" t="s">
        <v>67</v>
      </c>
      <c r="Q409" s="9" t="s">
        <v>98</v>
      </c>
      <c r="R409" s="9" t="s">
        <v>667</v>
      </c>
      <c r="S409" s="9" t="s">
        <v>668</v>
      </c>
      <c r="T409" s="9" t="s">
        <v>864</v>
      </c>
      <c r="U409" s="9" t="s">
        <v>67</v>
      </c>
      <c r="V409" s="9" t="s">
        <v>592</v>
      </c>
      <c r="W409" s="9" t="s">
        <v>593</v>
      </c>
      <c r="X409" s="11">
        <v>10</v>
      </c>
      <c r="Y409" s="9" t="s">
        <v>494</v>
      </c>
      <c r="Z409" s="9" t="s">
        <v>68</v>
      </c>
      <c r="AA409" s="9" t="s">
        <v>495</v>
      </c>
      <c r="AB409" s="9" t="s">
        <v>67</v>
      </c>
      <c r="AC409" s="9" t="s">
        <v>346</v>
      </c>
      <c r="AD409" s="11">
        <v>4</v>
      </c>
      <c r="AE409" s="9" t="s">
        <v>70</v>
      </c>
      <c r="AF409" s="9" t="s">
        <v>71</v>
      </c>
      <c r="AG409" s="13">
        <v>1</v>
      </c>
      <c r="AH409" s="9" t="s">
        <v>92</v>
      </c>
      <c r="AI409" s="13">
        <v>810909</v>
      </c>
      <c r="AJ409" s="13">
        <v>3243636</v>
      </c>
      <c r="AK409" s="11">
        <v>389236</v>
      </c>
      <c r="AL409" s="11">
        <v>0</v>
      </c>
      <c r="AM409" s="11">
        <v>0</v>
      </c>
      <c r="AN409" s="9" t="s">
        <v>388</v>
      </c>
      <c r="AO409" s="11">
        <v>2854400</v>
      </c>
      <c r="AP409" s="13">
        <v>228352</v>
      </c>
      <c r="AQ409" s="13">
        <v>3082752</v>
      </c>
      <c r="AR409" s="12">
        <v>13.92</v>
      </c>
      <c r="AS409" s="9" t="s">
        <v>72</v>
      </c>
      <c r="AT409" s="11">
        <v>16</v>
      </c>
      <c r="AU409" s="9" t="s">
        <v>73</v>
      </c>
      <c r="AV409" s="9" t="s">
        <v>67</v>
      </c>
      <c r="AW409" s="9" t="s">
        <v>1281</v>
      </c>
      <c r="AX409" s="10">
        <v>45994</v>
      </c>
      <c r="AY409" s="9" t="s">
        <v>1282</v>
      </c>
      <c r="AZ409" s="9" t="s">
        <v>67</v>
      </c>
      <c r="BA409" s="9" t="s">
        <v>67</v>
      </c>
      <c r="BB409" s="12">
        <v>16</v>
      </c>
      <c r="BC409" s="9" t="s">
        <v>74</v>
      </c>
      <c r="BD409" s="9" t="s">
        <v>104</v>
      </c>
      <c r="BE409" s="9" t="s">
        <v>75</v>
      </c>
      <c r="BF409" s="11">
        <v>0</v>
      </c>
      <c r="BG409">
        <f t="shared" si="14"/>
        <v>12</v>
      </c>
      <c r="BH409" t="str">
        <f>VLOOKUP(BG409,[1]month!$A:$B,2,0)</f>
        <v>Desember</v>
      </c>
      <c r="BI409">
        <f t="shared" si="15"/>
        <v>2025</v>
      </c>
      <c r="BJ409" t="str">
        <f>VLOOKUP(I409,[1]Dist!$A:$B,2,0)</f>
        <v>Retail</v>
      </c>
      <c r="BK409" t="str">
        <f>IF(I409=11,VLOOKUP(Y409,[2]Sheet1!$C:$N,10,0),IF(I409=13,VLOOKUP(Y409,[3]Sheet1!$C:$N,10,0),IF(I409=15,VLOOKUP(Y409,[4]Sheet1!$C:$N,10,0),"Unknown")))</f>
        <v>ULTRAN</v>
      </c>
      <c r="BL409" t="str">
        <f>IF(I409=11,VLOOKUP(Y409,[2]Sheet1!$C:$N,12,0),IF(I409=13,VLOOKUP(Y409,[3]Sheet1!$C:$N,12,0),IF(I409=15,VLOOKUP(Y409,[4]Sheet1!$C:$N,12,0),"Unknown")))</f>
        <v>ULTRAN LASUR</v>
      </c>
      <c r="BM409" t="str">
        <f>VLOOKUP(W409,[1]branch!$A:$B,2,0)</f>
        <v>HO CHI MINH</v>
      </c>
    </row>
    <row r="410" spans="1:65" x14ac:dyDescent="0.35">
      <c r="A410" s="10">
        <v>45995</v>
      </c>
      <c r="B410" s="9" t="s">
        <v>1283</v>
      </c>
      <c r="C410" s="9" t="s">
        <v>64</v>
      </c>
      <c r="D410" s="9" t="s">
        <v>92</v>
      </c>
      <c r="E410" s="11">
        <v>30</v>
      </c>
      <c r="F410" s="9" t="s">
        <v>93</v>
      </c>
      <c r="G410" s="9" t="s">
        <v>65</v>
      </c>
      <c r="H410" s="9" t="s">
        <v>66</v>
      </c>
      <c r="I410" s="9">
        <v>11</v>
      </c>
      <c r="J410" s="9" t="s">
        <v>677</v>
      </c>
      <c r="K410" s="9" t="s">
        <v>677</v>
      </c>
      <c r="L410" s="9" t="s">
        <v>677</v>
      </c>
      <c r="M410" s="9" t="s">
        <v>678</v>
      </c>
      <c r="N410" s="9" t="s">
        <v>915</v>
      </c>
      <c r="O410" s="9" t="s">
        <v>97</v>
      </c>
      <c r="P410" s="9" t="s">
        <v>67</v>
      </c>
      <c r="Q410" s="9" t="s">
        <v>98</v>
      </c>
      <c r="R410" s="9" t="s">
        <v>677</v>
      </c>
      <c r="S410" s="9" t="s">
        <v>678</v>
      </c>
      <c r="T410" s="9" t="s">
        <v>805</v>
      </c>
      <c r="U410" s="9" t="s">
        <v>67</v>
      </c>
      <c r="V410" s="9" t="s">
        <v>121</v>
      </c>
      <c r="W410" s="9" t="s">
        <v>122</v>
      </c>
      <c r="X410" s="11">
        <v>10</v>
      </c>
      <c r="Y410" s="9" t="s">
        <v>1284</v>
      </c>
      <c r="Z410" s="9" t="s">
        <v>68</v>
      </c>
      <c r="AA410" s="9" t="s">
        <v>1285</v>
      </c>
      <c r="AB410" s="9" t="s">
        <v>67</v>
      </c>
      <c r="AC410" s="9" t="s">
        <v>671</v>
      </c>
      <c r="AD410" s="11">
        <v>2</v>
      </c>
      <c r="AE410" s="9" t="s">
        <v>70</v>
      </c>
      <c r="AF410" s="9" t="s">
        <v>71</v>
      </c>
      <c r="AG410" s="13">
        <v>1</v>
      </c>
      <c r="AH410" s="9" t="s">
        <v>92</v>
      </c>
      <c r="AI410" s="13">
        <v>23420000</v>
      </c>
      <c r="AJ410" s="13">
        <v>46840000</v>
      </c>
      <c r="AK410" s="11">
        <v>0</v>
      </c>
      <c r="AL410" s="11">
        <v>0</v>
      </c>
      <c r="AM410" s="11">
        <v>0</v>
      </c>
      <c r="AN410" s="9" t="s">
        <v>67</v>
      </c>
      <c r="AO410" s="11">
        <v>46840000</v>
      </c>
      <c r="AP410" s="13">
        <v>3747200</v>
      </c>
      <c r="AQ410" s="13">
        <v>50587200</v>
      </c>
      <c r="AR410" s="11">
        <v>400</v>
      </c>
      <c r="AS410" s="9" t="s">
        <v>72</v>
      </c>
      <c r="AT410" s="12">
        <v>408.16399999999999</v>
      </c>
      <c r="AU410" s="9" t="s">
        <v>73</v>
      </c>
      <c r="AV410" s="9" t="s">
        <v>67</v>
      </c>
      <c r="AW410" s="9" t="s">
        <v>1286</v>
      </c>
      <c r="AX410" s="10">
        <v>45993</v>
      </c>
      <c r="AY410" s="9" t="s">
        <v>1287</v>
      </c>
      <c r="AZ410" s="9" t="s">
        <v>67</v>
      </c>
      <c r="BA410" s="9" t="s">
        <v>67</v>
      </c>
      <c r="BB410" s="12">
        <v>400</v>
      </c>
      <c r="BC410" s="9" t="s">
        <v>74</v>
      </c>
      <c r="BD410" s="9" t="s">
        <v>104</v>
      </c>
      <c r="BE410" s="9" t="s">
        <v>75</v>
      </c>
      <c r="BF410" s="11">
        <v>0</v>
      </c>
      <c r="BG410">
        <f t="shared" si="14"/>
        <v>12</v>
      </c>
      <c r="BH410" t="str">
        <f>VLOOKUP(BG410,[1]month!$A:$B,2,0)</f>
        <v>Desember</v>
      </c>
      <c r="BI410">
        <f t="shared" si="15"/>
        <v>2025</v>
      </c>
      <c r="BJ410" t="str">
        <f>VLOOKUP(I410,[1]Dist!$A:$B,2,0)</f>
        <v>Industry</v>
      </c>
      <c r="BK410" t="str">
        <f>IF(I410=11,VLOOKUP(Y410,[2]Sheet1!$C:$N,10,0),IF(I410=13,VLOOKUP(Y410,[3]Sheet1!$C:$N,10,0),IF(I410=15,VLOOKUP(Y410,[4]Sheet1!$C:$N,10,0),"Unknown")))</f>
        <v>CAN COATINGS</v>
      </c>
      <c r="BL410" t="str">
        <f>IF(I410=11,VLOOKUP(Y410,[2]Sheet1!$C:$N,12,0),IF(I410=13,VLOOKUP(Y410,[3]Sheet1!$C:$N,12,0),IF(I410=15,VLOOKUP(Y410,[4]Sheet1!$C:$N,12,0),"Unknown")))</f>
        <v>CAN COATINGS</v>
      </c>
      <c r="BM410" t="str">
        <f>VLOOKUP(W410,[1]branch!$A:$B,2,0)</f>
        <v>INDUSTRY</v>
      </c>
    </row>
    <row r="411" spans="1:65" x14ac:dyDescent="0.35">
      <c r="A411" s="10">
        <v>45995</v>
      </c>
      <c r="B411" s="9" t="s">
        <v>1288</v>
      </c>
      <c r="C411" s="9" t="s">
        <v>64</v>
      </c>
      <c r="D411" s="9" t="s">
        <v>92</v>
      </c>
      <c r="E411" s="11">
        <v>30</v>
      </c>
      <c r="F411" s="9" t="s">
        <v>93</v>
      </c>
      <c r="G411" s="9" t="s">
        <v>65</v>
      </c>
      <c r="H411" s="9" t="s">
        <v>66</v>
      </c>
      <c r="I411" s="9">
        <v>11</v>
      </c>
      <c r="J411" s="9" t="s">
        <v>677</v>
      </c>
      <c r="K411" s="9" t="s">
        <v>677</v>
      </c>
      <c r="L411" s="9" t="s">
        <v>677</v>
      </c>
      <c r="M411" s="9" t="s">
        <v>678</v>
      </c>
      <c r="N411" s="9" t="s">
        <v>915</v>
      </c>
      <c r="O411" s="9" t="s">
        <v>97</v>
      </c>
      <c r="P411" s="9" t="s">
        <v>67</v>
      </c>
      <c r="Q411" s="9" t="s">
        <v>98</v>
      </c>
      <c r="R411" s="9" t="s">
        <v>677</v>
      </c>
      <c r="S411" s="9" t="s">
        <v>678</v>
      </c>
      <c r="T411" s="9" t="s">
        <v>805</v>
      </c>
      <c r="U411" s="9" t="s">
        <v>67</v>
      </c>
      <c r="V411" s="9" t="s">
        <v>121</v>
      </c>
      <c r="W411" s="9" t="s">
        <v>122</v>
      </c>
      <c r="X411" s="11">
        <v>10</v>
      </c>
      <c r="Y411" s="9" t="s">
        <v>735</v>
      </c>
      <c r="Z411" s="9" t="s">
        <v>68</v>
      </c>
      <c r="AA411" s="9" t="s">
        <v>736</v>
      </c>
      <c r="AB411" s="9" t="s">
        <v>67</v>
      </c>
      <c r="AC411" s="9" t="s">
        <v>671</v>
      </c>
      <c r="AD411" s="11">
        <v>3</v>
      </c>
      <c r="AE411" s="9" t="s">
        <v>70</v>
      </c>
      <c r="AF411" s="9" t="s">
        <v>71</v>
      </c>
      <c r="AG411" s="13">
        <v>1</v>
      </c>
      <c r="AH411" s="9" t="s">
        <v>92</v>
      </c>
      <c r="AI411" s="13">
        <v>23280000</v>
      </c>
      <c r="AJ411" s="13">
        <v>69840000</v>
      </c>
      <c r="AK411" s="11">
        <v>0</v>
      </c>
      <c r="AL411" s="11">
        <v>0</v>
      </c>
      <c r="AM411" s="11">
        <v>0</v>
      </c>
      <c r="AN411" s="9" t="s">
        <v>67</v>
      </c>
      <c r="AO411" s="11">
        <v>69840000</v>
      </c>
      <c r="AP411" s="13">
        <v>5587200</v>
      </c>
      <c r="AQ411" s="13">
        <v>75427200</v>
      </c>
      <c r="AR411" s="11">
        <v>600</v>
      </c>
      <c r="AS411" s="9" t="s">
        <v>72</v>
      </c>
      <c r="AT411" s="12">
        <v>612.24599999999998</v>
      </c>
      <c r="AU411" s="9" t="s">
        <v>73</v>
      </c>
      <c r="AV411" s="9" t="s">
        <v>67</v>
      </c>
      <c r="AW411" s="9" t="s">
        <v>1289</v>
      </c>
      <c r="AX411" s="10">
        <v>45992</v>
      </c>
      <c r="AY411" s="9" t="s">
        <v>1290</v>
      </c>
      <c r="AZ411" s="9" t="s">
        <v>67</v>
      </c>
      <c r="BA411" s="9" t="s">
        <v>67</v>
      </c>
      <c r="BB411" s="12">
        <v>600</v>
      </c>
      <c r="BC411" s="9" t="s">
        <v>74</v>
      </c>
      <c r="BD411" s="9" t="s">
        <v>104</v>
      </c>
      <c r="BE411" s="9" t="s">
        <v>75</v>
      </c>
      <c r="BF411" s="11">
        <v>0</v>
      </c>
      <c r="BG411">
        <f t="shared" si="14"/>
        <v>12</v>
      </c>
      <c r="BH411" t="str">
        <f>VLOOKUP(BG411,[1]month!$A:$B,2,0)</f>
        <v>Desember</v>
      </c>
      <c r="BI411">
        <f t="shared" si="15"/>
        <v>2025</v>
      </c>
      <c r="BJ411" t="str">
        <f>VLOOKUP(I411,[1]Dist!$A:$B,2,0)</f>
        <v>Industry</v>
      </c>
      <c r="BK411" t="str">
        <f>IF(I411=11,VLOOKUP(Y411,[2]Sheet1!$C:$N,10,0),IF(I411=13,VLOOKUP(Y411,[3]Sheet1!$C:$N,10,0),IF(I411=15,VLOOKUP(Y411,[4]Sheet1!$C:$N,10,0),"Unknown")))</f>
        <v>CAN COATINGS</v>
      </c>
      <c r="BL411" t="str">
        <f>IF(I411=11,VLOOKUP(Y411,[2]Sheet1!$C:$N,12,0),IF(I411=13,VLOOKUP(Y411,[3]Sheet1!$C:$N,12,0),IF(I411=15,VLOOKUP(Y411,[4]Sheet1!$C:$N,12,0),"Unknown")))</f>
        <v>CAN COATINGS</v>
      </c>
      <c r="BM411" t="str">
        <f>VLOOKUP(W411,[1]branch!$A:$B,2,0)</f>
        <v>INDUSTRY</v>
      </c>
    </row>
    <row r="412" spans="1:65" x14ac:dyDescent="0.35">
      <c r="A412" s="10">
        <v>45995</v>
      </c>
      <c r="B412" s="9" t="s">
        <v>1291</v>
      </c>
      <c r="C412" s="9" t="s">
        <v>64</v>
      </c>
      <c r="D412" s="9" t="s">
        <v>92</v>
      </c>
      <c r="E412" s="11">
        <v>45</v>
      </c>
      <c r="F412" s="9" t="s">
        <v>93</v>
      </c>
      <c r="G412" s="9" t="s">
        <v>65</v>
      </c>
      <c r="H412" s="9" t="s">
        <v>66</v>
      </c>
      <c r="I412" s="9">
        <v>13</v>
      </c>
      <c r="J412" s="9" t="s">
        <v>684</v>
      </c>
      <c r="K412" s="9" t="s">
        <v>684</v>
      </c>
      <c r="L412" s="9" t="s">
        <v>684</v>
      </c>
      <c r="M412" s="9" t="s">
        <v>685</v>
      </c>
      <c r="N412" s="9" t="s">
        <v>870</v>
      </c>
      <c r="O412" s="9" t="s">
        <v>150</v>
      </c>
      <c r="P412" s="9" t="s">
        <v>67</v>
      </c>
      <c r="Q412" s="9" t="s">
        <v>98</v>
      </c>
      <c r="R412" s="9" t="s">
        <v>684</v>
      </c>
      <c r="S412" s="9" t="s">
        <v>685</v>
      </c>
      <c r="T412" s="9" t="s">
        <v>819</v>
      </c>
      <c r="U412" s="9" t="s">
        <v>67</v>
      </c>
      <c r="V412" s="9" t="s">
        <v>311</v>
      </c>
      <c r="W412" s="9" t="s">
        <v>312</v>
      </c>
      <c r="X412" s="11">
        <v>10</v>
      </c>
      <c r="Y412" s="9" t="s">
        <v>847</v>
      </c>
      <c r="Z412" s="9" t="s">
        <v>76</v>
      </c>
      <c r="AA412" s="9" t="s">
        <v>848</v>
      </c>
      <c r="AB412" s="9" t="s">
        <v>67</v>
      </c>
      <c r="AC412" s="9" t="s">
        <v>849</v>
      </c>
      <c r="AD412" s="11">
        <v>1</v>
      </c>
      <c r="AE412" s="9" t="s">
        <v>70</v>
      </c>
      <c r="AF412" s="9" t="s">
        <v>71</v>
      </c>
      <c r="AG412" s="13">
        <v>1</v>
      </c>
      <c r="AH412" s="9" t="s">
        <v>92</v>
      </c>
      <c r="AI412" s="13">
        <v>1636364</v>
      </c>
      <c r="AJ412" s="13">
        <v>1636364</v>
      </c>
      <c r="AK412" s="11">
        <v>315000</v>
      </c>
      <c r="AL412" s="11">
        <v>0</v>
      </c>
      <c r="AM412" s="11">
        <v>0</v>
      </c>
      <c r="AN412" s="9" t="s">
        <v>314</v>
      </c>
      <c r="AO412" s="11">
        <v>1321364</v>
      </c>
      <c r="AP412" s="13">
        <v>105709</v>
      </c>
      <c r="AQ412" s="13">
        <v>1427073</v>
      </c>
      <c r="AR412" s="11">
        <v>20</v>
      </c>
      <c r="AS412" s="9" t="s">
        <v>72</v>
      </c>
      <c r="AT412" s="12">
        <v>16.129000000000001</v>
      </c>
      <c r="AU412" s="9" t="s">
        <v>73</v>
      </c>
      <c r="AV412" s="9" t="s">
        <v>67</v>
      </c>
      <c r="AW412" s="9" t="s">
        <v>1292</v>
      </c>
      <c r="AX412" s="10">
        <v>45994</v>
      </c>
      <c r="AY412" s="9" t="s">
        <v>1293</v>
      </c>
      <c r="AZ412" s="9" t="s">
        <v>67</v>
      </c>
      <c r="BA412" s="9" t="s">
        <v>67</v>
      </c>
      <c r="BB412" s="12">
        <v>20</v>
      </c>
      <c r="BC412" s="9" t="s">
        <v>74</v>
      </c>
      <c r="BD412" s="9" t="s">
        <v>104</v>
      </c>
      <c r="BE412" s="9" t="s">
        <v>75</v>
      </c>
      <c r="BF412" s="11">
        <v>0</v>
      </c>
      <c r="BG412">
        <f t="shared" si="14"/>
        <v>12</v>
      </c>
      <c r="BH412" t="str">
        <f>VLOOKUP(BG412,[1]month!$A:$B,2,0)</f>
        <v>Desember</v>
      </c>
      <c r="BI412">
        <f t="shared" si="15"/>
        <v>2025</v>
      </c>
      <c r="BJ412" t="str">
        <f>VLOOKUP(I412,[1]Dist!$A:$B,2,0)</f>
        <v>Retail</v>
      </c>
      <c r="BK412" t="str">
        <f>IF(I412=11,VLOOKUP(Y412,[2]Sheet1!$C:$N,10,0),IF(I412=13,VLOOKUP(Y412,[3]Sheet1!$C:$N,10,0),IF(I412=15,VLOOKUP(Y412,[4]Sheet1!$C:$N,10,0),"Unknown")))</f>
        <v>U-PROOF</v>
      </c>
      <c r="BL412" t="str">
        <f>IF(I412=11,VLOOKUP(Y412,[2]Sheet1!$C:$N,12,0),IF(I412=13,VLOOKUP(Y412,[3]Sheet1!$C:$N,12,0),IF(I412=15,VLOOKUP(Y412,[4]Sheet1!$C:$N,12,0),"Unknown")))</f>
        <v>U-PROOF</v>
      </c>
      <c r="BM412" t="str">
        <f>VLOOKUP(W412,[1]branch!$A:$B,2,0)</f>
        <v>DANANG</v>
      </c>
    </row>
    <row r="413" spans="1:65" x14ac:dyDescent="0.35">
      <c r="A413" s="10">
        <v>45995</v>
      </c>
      <c r="B413" s="9" t="s">
        <v>1291</v>
      </c>
      <c r="C413" s="9" t="s">
        <v>64</v>
      </c>
      <c r="D413" s="9" t="s">
        <v>92</v>
      </c>
      <c r="E413" s="11">
        <v>45</v>
      </c>
      <c r="F413" s="9" t="s">
        <v>93</v>
      </c>
      <c r="G413" s="9" t="s">
        <v>65</v>
      </c>
      <c r="H413" s="9" t="s">
        <v>66</v>
      </c>
      <c r="I413" s="9">
        <v>13</v>
      </c>
      <c r="J413" s="9" t="s">
        <v>684</v>
      </c>
      <c r="K413" s="9" t="s">
        <v>684</v>
      </c>
      <c r="L413" s="9" t="s">
        <v>684</v>
      </c>
      <c r="M413" s="9" t="s">
        <v>685</v>
      </c>
      <c r="N413" s="9" t="s">
        <v>870</v>
      </c>
      <c r="O413" s="9" t="s">
        <v>150</v>
      </c>
      <c r="P413" s="9" t="s">
        <v>67</v>
      </c>
      <c r="Q413" s="9" t="s">
        <v>98</v>
      </c>
      <c r="R413" s="9" t="s">
        <v>684</v>
      </c>
      <c r="S413" s="9" t="s">
        <v>685</v>
      </c>
      <c r="T413" s="9" t="s">
        <v>819</v>
      </c>
      <c r="U413" s="9" t="s">
        <v>67</v>
      </c>
      <c r="V413" s="9" t="s">
        <v>311</v>
      </c>
      <c r="W413" s="9" t="s">
        <v>312</v>
      </c>
      <c r="X413" s="11">
        <v>20</v>
      </c>
      <c r="Y413" s="9" t="s">
        <v>699</v>
      </c>
      <c r="Z413" s="9" t="s">
        <v>76</v>
      </c>
      <c r="AA413" s="9" t="s">
        <v>700</v>
      </c>
      <c r="AB413" s="9" t="s">
        <v>67</v>
      </c>
      <c r="AC413" s="9" t="s">
        <v>701</v>
      </c>
      <c r="AD413" s="11">
        <v>24</v>
      </c>
      <c r="AE413" s="9" t="s">
        <v>70</v>
      </c>
      <c r="AF413" s="9" t="s">
        <v>71</v>
      </c>
      <c r="AG413" s="13">
        <v>1</v>
      </c>
      <c r="AH413" s="9" t="s">
        <v>92</v>
      </c>
      <c r="AI413" s="13">
        <v>200000</v>
      </c>
      <c r="AJ413" s="13">
        <v>4800000</v>
      </c>
      <c r="AK413" s="11">
        <v>924000</v>
      </c>
      <c r="AL413" s="11">
        <v>0</v>
      </c>
      <c r="AM413" s="11">
        <v>0</v>
      </c>
      <c r="AN413" s="9" t="s">
        <v>314</v>
      </c>
      <c r="AO413" s="11">
        <v>3876000</v>
      </c>
      <c r="AP413" s="13">
        <v>310080</v>
      </c>
      <c r="AQ413" s="13">
        <v>4186080</v>
      </c>
      <c r="AR413" s="11">
        <v>24</v>
      </c>
      <c r="AS413" s="9" t="s">
        <v>72</v>
      </c>
      <c r="AT413" s="12">
        <v>21.6</v>
      </c>
      <c r="AU413" s="9" t="s">
        <v>73</v>
      </c>
      <c r="AV413" s="9" t="s">
        <v>67</v>
      </c>
      <c r="AW413" s="9" t="s">
        <v>1292</v>
      </c>
      <c r="AX413" s="10">
        <v>45994</v>
      </c>
      <c r="AY413" s="9" t="s">
        <v>1293</v>
      </c>
      <c r="AZ413" s="9" t="s">
        <v>67</v>
      </c>
      <c r="BA413" s="9" t="s">
        <v>67</v>
      </c>
      <c r="BB413" s="12">
        <v>21.6</v>
      </c>
      <c r="BC413" s="9" t="s">
        <v>74</v>
      </c>
      <c r="BD413" s="9" t="s">
        <v>104</v>
      </c>
      <c r="BE413" s="9" t="s">
        <v>75</v>
      </c>
      <c r="BF413" s="11">
        <v>0</v>
      </c>
      <c r="BG413">
        <f t="shared" si="14"/>
        <v>12</v>
      </c>
      <c r="BH413" t="str">
        <f>VLOOKUP(BG413,[1]month!$A:$B,2,0)</f>
        <v>Desember</v>
      </c>
      <c r="BI413">
        <f t="shared" si="15"/>
        <v>2025</v>
      </c>
      <c r="BJ413" t="str">
        <f>VLOOKUP(I413,[1]Dist!$A:$B,2,0)</f>
        <v>Retail</v>
      </c>
      <c r="BK413" t="str">
        <f>IF(I413=11,VLOOKUP(Y413,[2]Sheet1!$C:$N,10,0),IF(I413=13,VLOOKUP(Y413,[3]Sheet1!$C:$N,10,0),IF(I413=15,VLOOKUP(Y413,[4]Sheet1!$C:$N,10,0),"Unknown")))</f>
        <v>PROPAN SUPER GOLD</v>
      </c>
      <c r="BL413" t="str">
        <f>IF(I413=11,VLOOKUP(Y413,[2]Sheet1!$C:$N,12,0),IF(I413=13,VLOOKUP(Y413,[3]Sheet1!$C:$N,12,0),IF(I413=15,VLOOKUP(Y413,[4]Sheet1!$C:$N,12,0),"Unknown")))</f>
        <v>PROPAN SUPER GOLD</v>
      </c>
      <c r="BM413" t="str">
        <f>VLOOKUP(W413,[1]branch!$A:$B,2,0)</f>
        <v>DANANG</v>
      </c>
    </row>
    <row r="414" spans="1:65" x14ac:dyDescent="0.35">
      <c r="A414" s="10">
        <v>45995</v>
      </c>
      <c r="B414" s="9" t="s">
        <v>1294</v>
      </c>
      <c r="C414" s="9" t="s">
        <v>64</v>
      </c>
      <c r="D414" s="9" t="s">
        <v>92</v>
      </c>
      <c r="E414" s="11">
        <v>30</v>
      </c>
      <c r="F414" s="9" t="s">
        <v>93</v>
      </c>
      <c r="G414" s="9" t="s">
        <v>65</v>
      </c>
      <c r="H414" s="9" t="s">
        <v>66</v>
      </c>
      <c r="I414" s="9">
        <v>11</v>
      </c>
      <c r="J414" s="9" t="s">
        <v>734</v>
      </c>
      <c r="K414" s="9" t="s">
        <v>734</v>
      </c>
      <c r="L414" s="9" t="s">
        <v>734</v>
      </c>
      <c r="M414" s="9" t="s">
        <v>773</v>
      </c>
      <c r="N414" s="9" t="s">
        <v>664</v>
      </c>
      <c r="O414" s="9" t="s">
        <v>97</v>
      </c>
      <c r="P414" s="9" t="s">
        <v>67</v>
      </c>
      <c r="Q414" s="9" t="s">
        <v>98</v>
      </c>
      <c r="R414" s="9" t="s">
        <v>774</v>
      </c>
      <c r="S414" s="9" t="s">
        <v>773</v>
      </c>
      <c r="T414" s="9" t="s">
        <v>775</v>
      </c>
      <c r="U414" s="9" t="s">
        <v>67</v>
      </c>
      <c r="V414" s="9" t="s">
        <v>99</v>
      </c>
      <c r="W414" s="9" t="s">
        <v>100</v>
      </c>
      <c r="X414" s="11">
        <v>50</v>
      </c>
      <c r="Y414" s="9" t="s">
        <v>257</v>
      </c>
      <c r="Z414" s="9" t="s">
        <v>68</v>
      </c>
      <c r="AA414" s="9" t="s">
        <v>258</v>
      </c>
      <c r="AB414" s="9" t="s">
        <v>67</v>
      </c>
      <c r="AC414" s="9" t="s">
        <v>259</v>
      </c>
      <c r="AD414" s="11">
        <v>9</v>
      </c>
      <c r="AE414" s="9" t="s">
        <v>70</v>
      </c>
      <c r="AF414" s="9" t="s">
        <v>71</v>
      </c>
      <c r="AG414" s="13">
        <v>1</v>
      </c>
      <c r="AH414" s="9" t="s">
        <v>92</v>
      </c>
      <c r="AI414" s="13">
        <v>2361400</v>
      </c>
      <c r="AJ414" s="13">
        <v>21252600</v>
      </c>
      <c r="AK414" s="11">
        <v>0</v>
      </c>
      <c r="AL414" s="11">
        <v>0</v>
      </c>
      <c r="AM414" s="11">
        <v>0</v>
      </c>
      <c r="AN414" s="9" t="s">
        <v>67</v>
      </c>
      <c r="AO414" s="11">
        <v>21252600</v>
      </c>
      <c r="AP414" s="13">
        <v>1700208</v>
      </c>
      <c r="AQ414" s="13">
        <v>22952808</v>
      </c>
      <c r="AR414" s="11">
        <v>180</v>
      </c>
      <c r="AS414" s="9" t="s">
        <v>72</v>
      </c>
      <c r="AT414" s="12">
        <v>178.29</v>
      </c>
      <c r="AU414" s="9" t="s">
        <v>73</v>
      </c>
      <c r="AV414" s="9" t="s">
        <v>67</v>
      </c>
      <c r="AW414" s="9" t="s">
        <v>937</v>
      </c>
      <c r="AX414" s="10">
        <v>45971</v>
      </c>
      <c r="AY414" s="9" t="s">
        <v>1295</v>
      </c>
      <c r="AZ414" s="9" t="s">
        <v>67</v>
      </c>
      <c r="BA414" s="9" t="s">
        <v>67</v>
      </c>
      <c r="BB414" s="12">
        <v>180</v>
      </c>
      <c r="BC414" s="9" t="s">
        <v>74</v>
      </c>
      <c r="BD414" s="9" t="s">
        <v>104</v>
      </c>
      <c r="BE414" s="9" t="s">
        <v>75</v>
      </c>
      <c r="BF414" s="11">
        <v>0</v>
      </c>
      <c r="BG414">
        <f t="shared" si="14"/>
        <v>12</v>
      </c>
      <c r="BH414" t="str">
        <f>VLOOKUP(BG414,[1]month!$A:$B,2,0)</f>
        <v>Desember</v>
      </c>
      <c r="BI414">
        <f t="shared" si="15"/>
        <v>2025</v>
      </c>
      <c r="BJ414" t="str">
        <f>VLOOKUP(I414,[1]Dist!$A:$B,2,0)</f>
        <v>Industry</v>
      </c>
      <c r="BK414" t="str">
        <f>IF(I414=11,VLOOKUP(Y414,[2]Sheet1!$C:$N,10,0),IF(I414=13,VLOOKUP(Y414,[3]Sheet1!$C:$N,10,0),IF(I414=15,VLOOKUP(Y414,[4]Sheet1!$C:$N,10,0),"Unknown")))</f>
        <v>PU</v>
      </c>
      <c r="BL414" t="str">
        <f>IF(I414=11,VLOOKUP(Y414,[2]Sheet1!$C:$N,12,0),IF(I414=13,VLOOKUP(Y414,[3]Sheet1!$C:$N,12,0),IF(I414=15,VLOOKUP(Y414,[4]Sheet1!$C:$N,12,0),"Unknown")))</f>
        <v>PU HARDENER</v>
      </c>
      <c r="BM414" t="str">
        <f>VLOOKUP(W414,[1]branch!$A:$B,2,0)</f>
        <v>INDUSTRY</v>
      </c>
    </row>
    <row r="415" spans="1:65" x14ac:dyDescent="0.35">
      <c r="A415" s="10">
        <v>45995</v>
      </c>
      <c r="B415" s="9" t="s">
        <v>1294</v>
      </c>
      <c r="C415" s="9" t="s">
        <v>64</v>
      </c>
      <c r="D415" s="9" t="s">
        <v>92</v>
      </c>
      <c r="E415" s="11">
        <v>30</v>
      </c>
      <c r="F415" s="9" t="s">
        <v>93</v>
      </c>
      <c r="G415" s="9" t="s">
        <v>65</v>
      </c>
      <c r="H415" s="9" t="s">
        <v>66</v>
      </c>
      <c r="I415" s="9">
        <v>11</v>
      </c>
      <c r="J415" s="9" t="s">
        <v>734</v>
      </c>
      <c r="K415" s="9" t="s">
        <v>734</v>
      </c>
      <c r="L415" s="9" t="s">
        <v>734</v>
      </c>
      <c r="M415" s="9" t="s">
        <v>773</v>
      </c>
      <c r="N415" s="9" t="s">
        <v>664</v>
      </c>
      <c r="O415" s="9" t="s">
        <v>97</v>
      </c>
      <c r="P415" s="9" t="s">
        <v>67</v>
      </c>
      <c r="Q415" s="9" t="s">
        <v>98</v>
      </c>
      <c r="R415" s="9" t="s">
        <v>774</v>
      </c>
      <c r="S415" s="9" t="s">
        <v>773</v>
      </c>
      <c r="T415" s="9" t="s">
        <v>775</v>
      </c>
      <c r="U415" s="9" t="s">
        <v>67</v>
      </c>
      <c r="V415" s="9" t="s">
        <v>99</v>
      </c>
      <c r="W415" s="9" t="s">
        <v>100</v>
      </c>
      <c r="X415" s="11">
        <v>80</v>
      </c>
      <c r="Y415" s="9" t="s">
        <v>83</v>
      </c>
      <c r="Z415" s="9" t="s">
        <v>68</v>
      </c>
      <c r="AA415" s="9" t="s">
        <v>84</v>
      </c>
      <c r="AB415" s="9" t="s">
        <v>67</v>
      </c>
      <c r="AC415" s="9" t="s">
        <v>82</v>
      </c>
      <c r="AD415" s="11">
        <v>1</v>
      </c>
      <c r="AE415" s="9" t="s">
        <v>70</v>
      </c>
      <c r="AF415" s="9" t="s">
        <v>71</v>
      </c>
      <c r="AG415" s="13">
        <v>1</v>
      </c>
      <c r="AH415" s="9" t="s">
        <v>92</v>
      </c>
      <c r="AI415" s="13">
        <v>929560</v>
      </c>
      <c r="AJ415" s="13">
        <v>929560</v>
      </c>
      <c r="AK415" s="11">
        <v>0</v>
      </c>
      <c r="AL415" s="11">
        <v>0</v>
      </c>
      <c r="AM415" s="11">
        <v>0</v>
      </c>
      <c r="AN415" s="9" t="s">
        <v>67</v>
      </c>
      <c r="AO415" s="11">
        <v>929560</v>
      </c>
      <c r="AP415" s="13">
        <v>74365</v>
      </c>
      <c r="AQ415" s="13">
        <v>1003925</v>
      </c>
      <c r="AR415" s="11">
        <v>4</v>
      </c>
      <c r="AS415" s="9" t="s">
        <v>72</v>
      </c>
      <c r="AT415" s="12">
        <v>4.71</v>
      </c>
      <c r="AU415" s="9" t="s">
        <v>73</v>
      </c>
      <c r="AV415" s="9" t="s">
        <v>67</v>
      </c>
      <c r="AW415" s="9" t="s">
        <v>937</v>
      </c>
      <c r="AX415" s="10">
        <v>45971</v>
      </c>
      <c r="AY415" s="9" t="s">
        <v>1295</v>
      </c>
      <c r="AZ415" s="9" t="s">
        <v>67</v>
      </c>
      <c r="BA415" s="9" t="s">
        <v>67</v>
      </c>
      <c r="BB415" s="12">
        <v>4</v>
      </c>
      <c r="BC415" s="9" t="s">
        <v>74</v>
      </c>
      <c r="BD415" s="9" t="s">
        <v>104</v>
      </c>
      <c r="BE415" s="9" t="s">
        <v>75</v>
      </c>
      <c r="BF415" s="11">
        <v>0</v>
      </c>
      <c r="BG415">
        <f t="shared" si="14"/>
        <v>12</v>
      </c>
      <c r="BH415" t="str">
        <f>VLOOKUP(BG415,[1]month!$A:$B,2,0)</f>
        <v>Desember</v>
      </c>
      <c r="BI415">
        <f t="shared" si="15"/>
        <v>2025</v>
      </c>
      <c r="BJ415" t="str">
        <f>VLOOKUP(I415,[1]Dist!$A:$B,2,0)</f>
        <v>Industry</v>
      </c>
      <c r="BK415" t="str">
        <f>IF(I415=11,VLOOKUP(Y415,[2]Sheet1!$C:$N,10,0),IF(I415=13,VLOOKUP(Y415,[3]Sheet1!$C:$N,10,0),IF(I415=15,VLOOKUP(Y415,[4]Sheet1!$C:$N,10,0),"Unknown")))</f>
        <v>STAIN &amp; GLAZE INTERIOR</v>
      </c>
      <c r="BL415" t="str">
        <f>IF(I415=11,VLOOKUP(Y415,[2]Sheet1!$C:$N,12,0),IF(I415=13,VLOOKUP(Y415,[3]Sheet1!$C:$N,12,0),IF(I415=15,VLOOKUP(Y415,[4]Sheet1!$C:$N,12,0),"Unknown")))</f>
        <v>STAIN INTERIOR</v>
      </c>
      <c r="BM415" t="str">
        <f>VLOOKUP(W415,[1]branch!$A:$B,2,0)</f>
        <v>INDUSTRY</v>
      </c>
    </row>
    <row r="416" spans="1:65" x14ac:dyDescent="0.35">
      <c r="A416" s="10">
        <v>45995</v>
      </c>
      <c r="B416" s="9" t="s">
        <v>1296</v>
      </c>
      <c r="C416" s="9" t="s">
        <v>64</v>
      </c>
      <c r="D416" s="9" t="s">
        <v>92</v>
      </c>
      <c r="E416" s="11">
        <v>30</v>
      </c>
      <c r="F416" s="9" t="s">
        <v>93</v>
      </c>
      <c r="G416" s="9" t="s">
        <v>65</v>
      </c>
      <c r="H416" s="9" t="s">
        <v>66</v>
      </c>
      <c r="I416" s="9">
        <v>11</v>
      </c>
      <c r="J416" s="9" t="s">
        <v>734</v>
      </c>
      <c r="K416" s="9" t="s">
        <v>734</v>
      </c>
      <c r="L416" s="9" t="s">
        <v>734</v>
      </c>
      <c r="M416" s="9" t="s">
        <v>773</v>
      </c>
      <c r="N416" s="9" t="s">
        <v>664</v>
      </c>
      <c r="O416" s="9" t="s">
        <v>97</v>
      </c>
      <c r="P416" s="9" t="s">
        <v>67</v>
      </c>
      <c r="Q416" s="9" t="s">
        <v>98</v>
      </c>
      <c r="R416" s="9" t="s">
        <v>774</v>
      </c>
      <c r="S416" s="9" t="s">
        <v>773</v>
      </c>
      <c r="T416" s="9" t="s">
        <v>775</v>
      </c>
      <c r="U416" s="9" t="s">
        <v>67</v>
      </c>
      <c r="V416" s="9" t="s">
        <v>99</v>
      </c>
      <c r="W416" s="9" t="s">
        <v>100</v>
      </c>
      <c r="X416" s="11">
        <v>60</v>
      </c>
      <c r="Y416" s="9" t="s">
        <v>1297</v>
      </c>
      <c r="Z416" s="9" t="s">
        <v>68</v>
      </c>
      <c r="AA416" s="9" t="s">
        <v>1298</v>
      </c>
      <c r="AB416" s="9" t="s">
        <v>67</v>
      </c>
      <c r="AC416" s="9" t="s">
        <v>237</v>
      </c>
      <c r="AD416" s="11">
        <v>2</v>
      </c>
      <c r="AE416" s="9" t="s">
        <v>70</v>
      </c>
      <c r="AF416" s="9" t="s">
        <v>71</v>
      </c>
      <c r="AG416" s="13">
        <v>1</v>
      </c>
      <c r="AH416" s="9" t="s">
        <v>92</v>
      </c>
      <c r="AI416" s="13">
        <v>1539600</v>
      </c>
      <c r="AJ416" s="13">
        <v>3079200</v>
      </c>
      <c r="AK416" s="11">
        <v>0</v>
      </c>
      <c r="AL416" s="11">
        <v>0</v>
      </c>
      <c r="AM416" s="11">
        <v>0</v>
      </c>
      <c r="AN416" s="9" t="s">
        <v>67</v>
      </c>
      <c r="AO416" s="11">
        <v>3079200</v>
      </c>
      <c r="AP416" s="13">
        <v>246336</v>
      </c>
      <c r="AQ416" s="13">
        <v>3325536</v>
      </c>
      <c r="AR416" s="11">
        <v>8</v>
      </c>
      <c r="AS416" s="9" t="s">
        <v>72</v>
      </c>
      <c r="AT416" s="12">
        <v>7.476</v>
      </c>
      <c r="AU416" s="9" t="s">
        <v>73</v>
      </c>
      <c r="AV416" s="9" t="s">
        <v>67</v>
      </c>
      <c r="AW416" s="9" t="s">
        <v>1028</v>
      </c>
      <c r="AX416" s="10">
        <v>45989</v>
      </c>
      <c r="AY416" s="9" t="s">
        <v>1299</v>
      </c>
      <c r="AZ416" s="9" t="s">
        <v>67</v>
      </c>
      <c r="BA416" s="9" t="s">
        <v>67</v>
      </c>
      <c r="BB416" s="12">
        <v>8</v>
      </c>
      <c r="BC416" s="9" t="s">
        <v>74</v>
      </c>
      <c r="BD416" s="9" t="s">
        <v>104</v>
      </c>
      <c r="BE416" s="9" t="s">
        <v>75</v>
      </c>
      <c r="BF416" s="11">
        <v>0</v>
      </c>
      <c r="BG416">
        <f t="shared" si="14"/>
        <v>12</v>
      </c>
      <c r="BH416" t="str">
        <f>VLOOKUP(BG416,[1]month!$A:$B,2,0)</f>
        <v>Desember</v>
      </c>
      <c r="BI416">
        <f t="shared" si="15"/>
        <v>2025</v>
      </c>
      <c r="BJ416" t="str">
        <f>VLOOKUP(I416,[1]Dist!$A:$B,2,0)</f>
        <v>Industry</v>
      </c>
      <c r="BK416" t="str">
        <f>IF(I416=11,VLOOKUP(Y416,[2]Sheet1!$C:$N,10,0),IF(I416=13,VLOOKUP(Y416,[3]Sheet1!$C:$N,10,0),IF(I416=15,VLOOKUP(Y416,[4]Sheet1!$C:$N,10,0),"Unknown")))</f>
        <v>COMPLEMENTARY</v>
      </c>
      <c r="BL416" t="str">
        <f>IF(I416=11,VLOOKUP(Y416,[2]Sheet1!$C:$N,12,0),IF(I416=13,VLOOKUP(Y416,[3]Sheet1!$C:$N,12,0),IF(I416=15,VLOOKUP(Y416,[4]Sheet1!$C:$N,12,0),"Unknown")))</f>
        <v>PASTA</v>
      </c>
      <c r="BM416" t="str">
        <f>VLOOKUP(W416,[1]branch!$A:$B,2,0)</f>
        <v>INDUSTRY</v>
      </c>
    </row>
    <row r="417" spans="1:65" x14ac:dyDescent="0.35">
      <c r="A417" s="10">
        <v>45995</v>
      </c>
      <c r="B417" s="9" t="s">
        <v>1300</v>
      </c>
      <c r="C417" s="9" t="s">
        <v>64</v>
      </c>
      <c r="D417" s="9" t="s">
        <v>92</v>
      </c>
      <c r="E417" s="11">
        <v>30</v>
      </c>
      <c r="F417" s="9" t="s">
        <v>93</v>
      </c>
      <c r="G417" s="9" t="s">
        <v>65</v>
      </c>
      <c r="H417" s="9" t="s">
        <v>66</v>
      </c>
      <c r="I417" s="9">
        <v>11</v>
      </c>
      <c r="J417" s="9" t="s">
        <v>734</v>
      </c>
      <c r="K417" s="9" t="s">
        <v>734</v>
      </c>
      <c r="L417" s="9" t="s">
        <v>734</v>
      </c>
      <c r="M417" s="9" t="s">
        <v>773</v>
      </c>
      <c r="N417" s="9" t="s">
        <v>664</v>
      </c>
      <c r="O417" s="9" t="s">
        <v>97</v>
      </c>
      <c r="P417" s="9" t="s">
        <v>67</v>
      </c>
      <c r="Q417" s="9" t="s">
        <v>98</v>
      </c>
      <c r="R417" s="9" t="s">
        <v>774</v>
      </c>
      <c r="S417" s="9" t="s">
        <v>773</v>
      </c>
      <c r="T417" s="9" t="s">
        <v>775</v>
      </c>
      <c r="U417" s="9" t="s">
        <v>67</v>
      </c>
      <c r="V417" s="9" t="s">
        <v>99</v>
      </c>
      <c r="W417" s="9" t="s">
        <v>100</v>
      </c>
      <c r="X417" s="11">
        <v>10</v>
      </c>
      <c r="Y417" s="9" t="s">
        <v>435</v>
      </c>
      <c r="Z417" s="9" t="s">
        <v>68</v>
      </c>
      <c r="AA417" s="9" t="s">
        <v>436</v>
      </c>
      <c r="AB417" s="9" t="s">
        <v>67</v>
      </c>
      <c r="AC417" s="9" t="s">
        <v>254</v>
      </c>
      <c r="AD417" s="11">
        <v>5</v>
      </c>
      <c r="AE417" s="9" t="s">
        <v>70</v>
      </c>
      <c r="AF417" s="9" t="s">
        <v>71</v>
      </c>
      <c r="AG417" s="13">
        <v>1</v>
      </c>
      <c r="AH417" s="9" t="s">
        <v>92</v>
      </c>
      <c r="AI417" s="13">
        <v>1854000</v>
      </c>
      <c r="AJ417" s="13">
        <v>9270000</v>
      </c>
      <c r="AK417" s="11">
        <v>0</v>
      </c>
      <c r="AL417" s="11">
        <v>0</v>
      </c>
      <c r="AM417" s="11">
        <v>0</v>
      </c>
      <c r="AN417" s="9" t="s">
        <v>67</v>
      </c>
      <c r="AO417" s="11">
        <v>9270000</v>
      </c>
      <c r="AP417" s="13">
        <v>741600</v>
      </c>
      <c r="AQ417" s="13">
        <v>10011600</v>
      </c>
      <c r="AR417" s="11">
        <v>100</v>
      </c>
      <c r="AS417" s="9" t="s">
        <v>72</v>
      </c>
      <c r="AT417" s="12">
        <v>75.2</v>
      </c>
      <c r="AU417" s="9" t="s">
        <v>73</v>
      </c>
      <c r="AV417" s="9" t="s">
        <v>67</v>
      </c>
      <c r="AW417" s="9" t="s">
        <v>1301</v>
      </c>
      <c r="AX417" s="10">
        <v>45994</v>
      </c>
      <c r="AY417" s="9" t="s">
        <v>1302</v>
      </c>
      <c r="AZ417" s="9" t="s">
        <v>67</v>
      </c>
      <c r="BA417" s="9" t="s">
        <v>67</v>
      </c>
      <c r="BB417" s="12">
        <v>100</v>
      </c>
      <c r="BC417" s="9" t="s">
        <v>74</v>
      </c>
      <c r="BD417" s="9" t="s">
        <v>104</v>
      </c>
      <c r="BE417" s="9" t="s">
        <v>75</v>
      </c>
      <c r="BF417" s="11">
        <v>0</v>
      </c>
      <c r="BG417">
        <f t="shared" si="14"/>
        <v>12</v>
      </c>
      <c r="BH417" t="str">
        <f>VLOOKUP(BG417,[1]month!$A:$B,2,0)</f>
        <v>Desember</v>
      </c>
      <c r="BI417">
        <f t="shared" si="15"/>
        <v>2025</v>
      </c>
      <c r="BJ417" t="str">
        <f>VLOOKUP(I417,[1]Dist!$A:$B,2,0)</f>
        <v>Industry</v>
      </c>
      <c r="BK417" t="str">
        <f>IF(I417=11,VLOOKUP(Y417,[2]Sheet1!$C:$N,10,0),IF(I417=13,VLOOKUP(Y417,[3]Sheet1!$C:$N,10,0),IF(I417=15,VLOOKUP(Y417,[4]Sheet1!$C:$N,10,0),"Unknown")))</f>
        <v>PU</v>
      </c>
      <c r="BL417" t="str">
        <f>IF(I417=11,VLOOKUP(Y417,[2]Sheet1!$C:$N,12,0),IF(I417=13,VLOOKUP(Y417,[3]Sheet1!$C:$N,12,0),IF(I417=15,VLOOKUP(Y417,[4]Sheet1!$C:$N,12,0),"Unknown")))</f>
        <v>PU PRIMER</v>
      </c>
      <c r="BM417" t="str">
        <f>VLOOKUP(W417,[1]branch!$A:$B,2,0)</f>
        <v>INDUSTRY</v>
      </c>
    </row>
    <row r="418" spans="1:65" x14ac:dyDescent="0.35">
      <c r="A418" s="10">
        <v>45995</v>
      </c>
      <c r="B418" s="9" t="s">
        <v>1300</v>
      </c>
      <c r="C418" s="9" t="s">
        <v>64</v>
      </c>
      <c r="D418" s="9" t="s">
        <v>92</v>
      </c>
      <c r="E418" s="11">
        <v>30</v>
      </c>
      <c r="F418" s="9" t="s">
        <v>93</v>
      </c>
      <c r="G418" s="9" t="s">
        <v>65</v>
      </c>
      <c r="H418" s="9" t="s">
        <v>66</v>
      </c>
      <c r="I418" s="9">
        <v>11</v>
      </c>
      <c r="J418" s="9" t="s">
        <v>734</v>
      </c>
      <c r="K418" s="9" t="s">
        <v>734</v>
      </c>
      <c r="L418" s="9" t="s">
        <v>734</v>
      </c>
      <c r="M418" s="9" t="s">
        <v>773</v>
      </c>
      <c r="N418" s="9" t="s">
        <v>664</v>
      </c>
      <c r="O418" s="9" t="s">
        <v>97</v>
      </c>
      <c r="P418" s="9" t="s">
        <v>67</v>
      </c>
      <c r="Q418" s="9" t="s">
        <v>98</v>
      </c>
      <c r="R418" s="9" t="s">
        <v>774</v>
      </c>
      <c r="S418" s="9" t="s">
        <v>773</v>
      </c>
      <c r="T418" s="9" t="s">
        <v>775</v>
      </c>
      <c r="U418" s="9" t="s">
        <v>67</v>
      </c>
      <c r="V418" s="9" t="s">
        <v>99</v>
      </c>
      <c r="W418" s="9" t="s">
        <v>100</v>
      </c>
      <c r="X418" s="11">
        <v>20</v>
      </c>
      <c r="Y418" s="9" t="s">
        <v>507</v>
      </c>
      <c r="Z418" s="9" t="s">
        <v>68</v>
      </c>
      <c r="AA418" s="9" t="s">
        <v>508</v>
      </c>
      <c r="AB418" s="9" t="s">
        <v>67</v>
      </c>
      <c r="AC418" s="9" t="s">
        <v>251</v>
      </c>
      <c r="AD418" s="11">
        <v>5</v>
      </c>
      <c r="AE418" s="9" t="s">
        <v>70</v>
      </c>
      <c r="AF418" s="9" t="s">
        <v>71</v>
      </c>
      <c r="AG418" s="13">
        <v>1</v>
      </c>
      <c r="AH418" s="9" t="s">
        <v>92</v>
      </c>
      <c r="AI418" s="13">
        <v>1370000</v>
      </c>
      <c r="AJ418" s="13">
        <v>6850000</v>
      </c>
      <c r="AK418" s="11">
        <v>0</v>
      </c>
      <c r="AL418" s="11">
        <v>0</v>
      </c>
      <c r="AM418" s="11">
        <v>0</v>
      </c>
      <c r="AN418" s="9" t="s">
        <v>67</v>
      </c>
      <c r="AO418" s="11">
        <v>6850000</v>
      </c>
      <c r="AP418" s="13">
        <v>548000</v>
      </c>
      <c r="AQ418" s="13">
        <v>7398000</v>
      </c>
      <c r="AR418" s="11">
        <v>100</v>
      </c>
      <c r="AS418" s="9" t="s">
        <v>72</v>
      </c>
      <c r="AT418" s="12">
        <v>90.9</v>
      </c>
      <c r="AU418" s="9" t="s">
        <v>73</v>
      </c>
      <c r="AV418" s="9" t="s">
        <v>67</v>
      </c>
      <c r="AW418" s="9" t="s">
        <v>1301</v>
      </c>
      <c r="AX418" s="10">
        <v>45994</v>
      </c>
      <c r="AY418" s="9" t="s">
        <v>1302</v>
      </c>
      <c r="AZ418" s="9" t="s">
        <v>67</v>
      </c>
      <c r="BA418" s="9" t="s">
        <v>67</v>
      </c>
      <c r="BB418" s="12">
        <v>100</v>
      </c>
      <c r="BC418" s="9" t="s">
        <v>74</v>
      </c>
      <c r="BD418" s="9" t="s">
        <v>104</v>
      </c>
      <c r="BE418" s="9" t="s">
        <v>75</v>
      </c>
      <c r="BF418" s="11">
        <v>0</v>
      </c>
      <c r="BG418">
        <f t="shared" si="14"/>
        <v>12</v>
      </c>
      <c r="BH418" t="str">
        <f>VLOOKUP(BG418,[1]month!$A:$B,2,0)</f>
        <v>Desember</v>
      </c>
      <c r="BI418">
        <f t="shared" si="15"/>
        <v>2025</v>
      </c>
      <c r="BJ418" t="str">
        <f>VLOOKUP(I418,[1]Dist!$A:$B,2,0)</f>
        <v>Industry</v>
      </c>
      <c r="BK418" t="str">
        <f>IF(I418=11,VLOOKUP(Y418,[2]Sheet1!$C:$N,10,0),IF(I418=13,VLOOKUP(Y418,[3]Sheet1!$C:$N,10,0),IF(I418=15,VLOOKUP(Y418,[4]Sheet1!$C:$N,10,0),"Unknown")))</f>
        <v>PU</v>
      </c>
      <c r="BL418" t="str">
        <f>IF(I418=11,VLOOKUP(Y418,[2]Sheet1!$C:$N,12,0),IF(I418=13,VLOOKUP(Y418,[3]Sheet1!$C:$N,12,0),IF(I418=15,VLOOKUP(Y418,[4]Sheet1!$C:$N,12,0),"Unknown")))</f>
        <v>PU SANDING SEALER</v>
      </c>
      <c r="BM418" t="str">
        <f>VLOOKUP(W418,[1]branch!$A:$B,2,0)</f>
        <v>INDUSTRY</v>
      </c>
    </row>
    <row r="419" spans="1:65" x14ac:dyDescent="0.35">
      <c r="A419" s="10">
        <v>45995</v>
      </c>
      <c r="B419" s="9" t="s">
        <v>1300</v>
      </c>
      <c r="C419" s="9" t="s">
        <v>64</v>
      </c>
      <c r="D419" s="9" t="s">
        <v>92</v>
      </c>
      <c r="E419" s="11">
        <v>30</v>
      </c>
      <c r="F419" s="9" t="s">
        <v>93</v>
      </c>
      <c r="G419" s="9" t="s">
        <v>65</v>
      </c>
      <c r="H419" s="9" t="s">
        <v>66</v>
      </c>
      <c r="I419" s="9">
        <v>11</v>
      </c>
      <c r="J419" s="9" t="s">
        <v>734</v>
      </c>
      <c r="K419" s="9" t="s">
        <v>734</v>
      </c>
      <c r="L419" s="9" t="s">
        <v>734</v>
      </c>
      <c r="M419" s="9" t="s">
        <v>773</v>
      </c>
      <c r="N419" s="9" t="s">
        <v>664</v>
      </c>
      <c r="O419" s="9" t="s">
        <v>97</v>
      </c>
      <c r="P419" s="9" t="s">
        <v>67</v>
      </c>
      <c r="Q419" s="9" t="s">
        <v>98</v>
      </c>
      <c r="R419" s="9" t="s">
        <v>774</v>
      </c>
      <c r="S419" s="9" t="s">
        <v>773</v>
      </c>
      <c r="T419" s="9" t="s">
        <v>775</v>
      </c>
      <c r="U419" s="9" t="s">
        <v>67</v>
      </c>
      <c r="V419" s="9" t="s">
        <v>99</v>
      </c>
      <c r="W419" s="9" t="s">
        <v>100</v>
      </c>
      <c r="X419" s="11">
        <v>40</v>
      </c>
      <c r="Y419" s="9" t="s">
        <v>257</v>
      </c>
      <c r="Z419" s="9" t="s">
        <v>68</v>
      </c>
      <c r="AA419" s="9" t="s">
        <v>258</v>
      </c>
      <c r="AB419" s="9" t="s">
        <v>67</v>
      </c>
      <c r="AC419" s="9" t="s">
        <v>259</v>
      </c>
      <c r="AD419" s="11">
        <v>11</v>
      </c>
      <c r="AE419" s="9" t="s">
        <v>70</v>
      </c>
      <c r="AF419" s="9" t="s">
        <v>71</v>
      </c>
      <c r="AG419" s="13">
        <v>1</v>
      </c>
      <c r="AH419" s="9" t="s">
        <v>92</v>
      </c>
      <c r="AI419" s="13">
        <v>2361400</v>
      </c>
      <c r="AJ419" s="13">
        <v>25975400</v>
      </c>
      <c r="AK419" s="11">
        <v>0</v>
      </c>
      <c r="AL419" s="11">
        <v>0</v>
      </c>
      <c r="AM419" s="11">
        <v>0</v>
      </c>
      <c r="AN419" s="9" t="s">
        <v>67</v>
      </c>
      <c r="AO419" s="11">
        <v>25975400</v>
      </c>
      <c r="AP419" s="13">
        <v>2078031</v>
      </c>
      <c r="AQ419" s="13">
        <v>28053431</v>
      </c>
      <c r="AR419" s="11">
        <v>220</v>
      </c>
      <c r="AS419" s="9" t="s">
        <v>72</v>
      </c>
      <c r="AT419" s="12">
        <v>217.91</v>
      </c>
      <c r="AU419" s="9" t="s">
        <v>73</v>
      </c>
      <c r="AV419" s="9" t="s">
        <v>67</v>
      </c>
      <c r="AW419" s="9" t="s">
        <v>1301</v>
      </c>
      <c r="AX419" s="10">
        <v>45994</v>
      </c>
      <c r="AY419" s="9" t="s">
        <v>1302</v>
      </c>
      <c r="AZ419" s="9" t="s">
        <v>67</v>
      </c>
      <c r="BA419" s="9" t="s">
        <v>67</v>
      </c>
      <c r="BB419" s="12">
        <v>220</v>
      </c>
      <c r="BC419" s="9" t="s">
        <v>74</v>
      </c>
      <c r="BD419" s="9" t="s">
        <v>104</v>
      </c>
      <c r="BE419" s="9" t="s">
        <v>75</v>
      </c>
      <c r="BF419" s="11">
        <v>0</v>
      </c>
      <c r="BG419">
        <f t="shared" si="14"/>
        <v>12</v>
      </c>
      <c r="BH419" t="str">
        <f>VLOOKUP(BG419,[1]month!$A:$B,2,0)</f>
        <v>Desember</v>
      </c>
      <c r="BI419">
        <f t="shared" si="15"/>
        <v>2025</v>
      </c>
      <c r="BJ419" t="str">
        <f>VLOOKUP(I419,[1]Dist!$A:$B,2,0)</f>
        <v>Industry</v>
      </c>
      <c r="BK419" t="str">
        <f>IF(I419=11,VLOOKUP(Y419,[2]Sheet1!$C:$N,10,0),IF(I419=13,VLOOKUP(Y419,[3]Sheet1!$C:$N,10,0),IF(I419=15,VLOOKUP(Y419,[4]Sheet1!$C:$N,10,0),"Unknown")))</f>
        <v>PU</v>
      </c>
      <c r="BL419" t="str">
        <f>IF(I419=11,VLOOKUP(Y419,[2]Sheet1!$C:$N,12,0),IF(I419=13,VLOOKUP(Y419,[3]Sheet1!$C:$N,12,0),IF(I419=15,VLOOKUP(Y419,[4]Sheet1!$C:$N,12,0),"Unknown")))</f>
        <v>PU HARDENER</v>
      </c>
      <c r="BM419" t="str">
        <f>VLOOKUP(W419,[1]branch!$A:$B,2,0)</f>
        <v>INDUSTRY</v>
      </c>
    </row>
    <row r="420" spans="1:65" x14ac:dyDescent="0.35">
      <c r="A420" s="10">
        <v>45995</v>
      </c>
      <c r="B420" s="9" t="s">
        <v>1300</v>
      </c>
      <c r="C420" s="9" t="s">
        <v>64</v>
      </c>
      <c r="D420" s="9" t="s">
        <v>92</v>
      </c>
      <c r="E420" s="11">
        <v>30</v>
      </c>
      <c r="F420" s="9" t="s">
        <v>93</v>
      </c>
      <c r="G420" s="9" t="s">
        <v>65</v>
      </c>
      <c r="H420" s="9" t="s">
        <v>66</v>
      </c>
      <c r="I420" s="9">
        <v>11</v>
      </c>
      <c r="J420" s="9" t="s">
        <v>734</v>
      </c>
      <c r="K420" s="9" t="s">
        <v>734</v>
      </c>
      <c r="L420" s="9" t="s">
        <v>734</v>
      </c>
      <c r="M420" s="9" t="s">
        <v>773</v>
      </c>
      <c r="N420" s="9" t="s">
        <v>664</v>
      </c>
      <c r="O420" s="9" t="s">
        <v>97</v>
      </c>
      <c r="P420" s="9" t="s">
        <v>67</v>
      </c>
      <c r="Q420" s="9" t="s">
        <v>98</v>
      </c>
      <c r="R420" s="9" t="s">
        <v>774</v>
      </c>
      <c r="S420" s="9" t="s">
        <v>773</v>
      </c>
      <c r="T420" s="9" t="s">
        <v>775</v>
      </c>
      <c r="U420" s="9" t="s">
        <v>67</v>
      </c>
      <c r="V420" s="9" t="s">
        <v>99</v>
      </c>
      <c r="W420" s="9" t="s">
        <v>100</v>
      </c>
      <c r="X420" s="11">
        <v>50</v>
      </c>
      <c r="Y420" s="9" t="s">
        <v>613</v>
      </c>
      <c r="Z420" s="9" t="s">
        <v>68</v>
      </c>
      <c r="AA420" s="9" t="s">
        <v>614</v>
      </c>
      <c r="AB420" s="9" t="s">
        <v>67</v>
      </c>
      <c r="AC420" s="9" t="s">
        <v>237</v>
      </c>
      <c r="AD420" s="11">
        <v>1</v>
      </c>
      <c r="AE420" s="9" t="s">
        <v>70</v>
      </c>
      <c r="AF420" s="9" t="s">
        <v>71</v>
      </c>
      <c r="AG420" s="13">
        <v>1</v>
      </c>
      <c r="AH420" s="9" t="s">
        <v>92</v>
      </c>
      <c r="AI420" s="13">
        <v>2013200</v>
      </c>
      <c r="AJ420" s="13">
        <v>2013200</v>
      </c>
      <c r="AK420" s="11">
        <v>0</v>
      </c>
      <c r="AL420" s="11">
        <v>0</v>
      </c>
      <c r="AM420" s="11">
        <v>0</v>
      </c>
      <c r="AN420" s="9" t="s">
        <v>67</v>
      </c>
      <c r="AO420" s="11">
        <v>2013200</v>
      </c>
      <c r="AP420" s="13">
        <v>161056</v>
      </c>
      <c r="AQ420" s="13">
        <v>2174256</v>
      </c>
      <c r="AR420" s="11">
        <v>4</v>
      </c>
      <c r="AS420" s="9" t="s">
        <v>72</v>
      </c>
      <c r="AT420" s="11">
        <v>4</v>
      </c>
      <c r="AU420" s="9" t="s">
        <v>73</v>
      </c>
      <c r="AV420" s="9" t="s">
        <v>67</v>
      </c>
      <c r="AW420" s="9" t="s">
        <v>1301</v>
      </c>
      <c r="AX420" s="10">
        <v>45994</v>
      </c>
      <c r="AY420" s="9" t="s">
        <v>1302</v>
      </c>
      <c r="AZ420" s="9" t="s">
        <v>67</v>
      </c>
      <c r="BA420" s="9" t="s">
        <v>67</v>
      </c>
      <c r="BB420" s="12">
        <v>4</v>
      </c>
      <c r="BC420" s="9" t="s">
        <v>74</v>
      </c>
      <c r="BD420" s="9" t="s">
        <v>104</v>
      </c>
      <c r="BE420" s="9" t="s">
        <v>75</v>
      </c>
      <c r="BF420" s="11">
        <v>0</v>
      </c>
      <c r="BG420">
        <f t="shared" si="14"/>
        <v>12</v>
      </c>
      <c r="BH420" t="str">
        <f>VLOOKUP(BG420,[1]month!$A:$B,2,0)</f>
        <v>Desember</v>
      </c>
      <c r="BI420">
        <f t="shared" si="15"/>
        <v>2025</v>
      </c>
      <c r="BJ420" t="str">
        <f>VLOOKUP(I420,[1]Dist!$A:$B,2,0)</f>
        <v>Industry</v>
      </c>
      <c r="BK420" t="str">
        <f>IF(I420=11,VLOOKUP(Y420,[2]Sheet1!$C:$N,10,0),IF(I420=13,VLOOKUP(Y420,[3]Sheet1!$C:$N,10,0),IF(I420=15,VLOOKUP(Y420,[4]Sheet1!$C:$N,10,0),"Unknown")))</f>
        <v>COMPLEMENTARY</v>
      </c>
      <c r="BL420" t="str">
        <f>IF(I420=11,VLOOKUP(Y420,[2]Sheet1!$C:$N,12,0),IF(I420=13,VLOOKUP(Y420,[3]Sheet1!$C:$N,12,0),IF(I420=15,VLOOKUP(Y420,[4]Sheet1!$C:$N,12,0),"Unknown")))</f>
        <v>PASTA</v>
      </c>
      <c r="BM420" t="str">
        <f>VLOOKUP(W420,[1]branch!$A:$B,2,0)</f>
        <v>INDUSTRY</v>
      </c>
    </row>
    <row r="421" spans="1:65" x14ac:dyDescent="0.35">
      <c r="A421" s="10">
        <v>45995</v>
      </c>
      <c r="B421" s="9" t="s">
        <v>1300</v>
      </c>
      <c r="C421" s="9" t="s">
        <v>64</v>
      </c>
      <c r="D421" s="9" t="s">
        <v>92</v>
      </c>
      <c r="E421" s="11">
        <v>30</v>
      </c>
      <c r="F421" s="9" t="s">
        <v>93</v>
      </c>
      <c r="G421" s="9" t="s">
        <v>65</v>
      </c>
      <c r="H421" s="9" t="s">
        <v>66</v>
      </c>
      <c r="I421" s="9">
        <v>11</v>
      </c>
      <c r="J421" s="9" t="s">
        <v>734</v>
      </c>
      <c r="K421" s="9" t="s">
        <v>734</v>
      </c>
      <c r="L421" s="9" t="s">
        <v>734</v>
      </c>
      <c r="M421" s="9" t="s">
        <v>773</v>
      </c>
      <c r="N421" s="9" t="s">
        <v>664</v>
      </c>
      <c r="O421" s="9" t="s">
        <v>97</v>
      </c>
      <c r="P421" s="9" t="s">
        <v>67</v>
      </c>
      <c r="Q421" s="9" t="s">
        <v>98</v>
      </c>
      <c r="R421" s="9" t="s">
        <v>774</v>
      </c>
      <c r="S421" s="9" t="s">
        <v>773</v>
      </c>
      <c r="T421" s="9" t="s">
        <v>775</v>
      </c>
      <c r="U421" s="9" t="s">
        <v>67</v>
      </c>
      <c r="V421" s="9" t="s">
        <v>99</v>
      </c>
      <c r="W421" s="9" t="s">
        <v>100</v>
      </c>
      <c r="X421" s="11">
        <v>60</v>
      </c>
      <c r="Y421" s="9" t="s">
        <v>238</v>
      </c>
      <c r="Z421" s="9" t="s">
        <v>68</v>
      </c>
      <c r="AA421" s="9" t="s">
        <v>239</v>
      </c>
      <c r="AB421" s="9" t="s">
        <v>67</v>
      </c>
      <c r="AC421" s="9" t="s">
        <v>237</v>
      </c>
      <c r="AD421" s="11">
        <v>2</v>
      </c>
      <c r="AE421" s="9" t="s">
        <v>70</v>
      </c>
      <c r="AF421" s="9" t="s">
        <v>71</v>
      </c>
      <c r="AG421" s="13">
        <v>1</v>
      </c>
      <c r="AH421" s="9" t="s">
        <v>92</v>
      </c>
      <c r="AI421" s="13">
        <v>804200</v>
      </c>
      <c r="AJ421" s="13">
        <v>1608400</v>
      </c>
      <c r="AK421" s="11">
        <v>0</v>
      </c>
      <c r="AL421" s="11">
        <v>0</v>
      </c>
      <c r="AM421" s="11">
        <v>0</v>
      </c>
      <c r="AN421" s="9" t="s">
        <v>67</v>
      </c>
      <c r="AO421" s="11">
        <v>1608400</v>
      </c>
      <c r="AP421" s="13">
        <v>128672</v>
      </c>
      <c r="AQ421" s="13">
        <v>1737072</v>
      </c>
      <c r="AR421" s="11">
        <v>8</v>
      </c>
      <c r="AS421" s="9" t="s">
        <v>72</v>
      </c>
      <c r="AT421" s="12">
        <v>3.94</v>
      </c>
      <c r="AU421" s="9" t="s">
        <v>73</v>
      </c>
      <c r="AV421" s="9" t="s">
        <v>67</v>
      </c>
      <c r="AW421" s="9" t="s">
        <v>1301</v>
      </c>
      <c r="AX421" s="10">
        <v>45994</v>
      </c>
      <c r="AY421" s="9" t="s">
        <v>1302</v>
      </c>
      <c r="AZ421" s="9" t="s">
        <v>67</v>
      </c>
      <c r="BA421" s="9" t="s">
        <v>67</v>
      </c>
      <c r="BB421" s="12">
        <v>8</v>
      </c>
      <c r="BC421" s="9" t="s">
        <v>74</v>
      </c>
      <c r="BD421" s="9" t="s">
        <v>104</v>
      </c>
      <c r="BE421" s="9" t="s">
        <v>75</v>
      </c>
      <c r="BF421" s="11">
        <v>0</v>
      </c>
      <c r="BG421">
        <f t="shared" si="14"/>
        <v>12</v>
      </c>
      <c r="BH421" t="str">
        <f>VLOOKUP(BG421,[1]month!$A:$B,2,0)</f>
        <v>Desember</v>
      </c>
      <c r="BI421">
        <f t="shared" si="15"/>
        <v>2025</v>
      </c>
      <c r="BJ421" t="str">
        <f>VLOOKUP(I421,[1]Dist!$A:$B,2,0)</f>
        <v>Industry</v>
      </c>
      <c r="BK421" t="str">
        <f>IF(I421=11,VLOOKUP(Y421,[2]Sheet1!$C:$N,10,0),IF(I421=13,VLOOKUP(Y421,[3]Sheet1!$C:$N,10,0),IF(I421=15,VLOOKUP(Y421,[4]Sheet1!$C:$N,10,0),"Unknown")))</f>
        <v>COMPLEMENTARY</v>
      </c>
      <c r="BL421" t="str">
        <f>IF(I421=11,VLOOKUP(Y421,[2]Sheet1!$C:$N,12,0),IF(I421=13,VLOOKUP(Y421,[3]Sheet1!$C:$N,12,0),IF(I421=15,VLOOKUP(Y421,[4]Sheet1!$C:$N,12,0),"Unknown")))</f>
        <v>PASTA</v>
      </c>
      <c r="BM421" t="str">
        <f>VLOOKUP(W421,[1]branch!$A:$B,2,0)</f>
        <v>INDUSTRY</v>
      </c>
    </row>
    <row r="422" spans="1:65" x14ac:dyDescent="0.35">
      <c r="A422" s="10">
        <v>45995</v>
      </c>
      <c r="B422" s="9" t="s">
        <v>1300</v>
      </c>
      <c r="C422" s="9" t="s">
        <v>64</v>
      </c>
      <c r="D422" s="9" t="s">
        <v>92</v>
      </c>
      <c r="E422" s="11">
        <v>30</v>
      </c>
      <c r="F422" s="9" t="s">
        <v>93</v>
      </c>
      <c r="G422" s="9" t="s">
        <v>65</v>
      </c>
      <c r="H422" s="9" t="s">
        <v>66</v>
      </c>
      <c r="I422" s="9">
        <v>11</v>
      </c>
      <c r="J422" s="9" t="s">
        <v>734</v>
      </c>
      <c r="K422" s="9" t="s">
        <v>734</v>
      </c>
      <c r="L422" s="9" t="s">
        <v>734</v>
      </c>
      <c r="M422" s="9" t="s">
        <v>773</v>
      </c>
      <c r="N422" s="9" t="s">
        <v>664</v>
      </c>
      <c r="O422" s="9" t="s">
        <v>97</v>
      </c>
      <c r="P422" s="9" t="s">
        <v>67</v>
      </c>
      <c r="Q422" s="9" t="s">
        <v>98</v>
      </c>
      <c r="R422" s="9" t="s">
        <v>774</v>
      </c>
      <c r="S422" s="9" t="s">
        <v>773</v>
      </c>
      <c r="T422" s="9" t="s">
        <v>775</v>
      </c>
      <c r="U422" s="9" t="s">
        <v>67</v>
      </c>
      <c r="V422" s="9" t="s">
        <v>99</v>
      </c>
      <c r="W422" s="9" t="s">
        <v>100</v>
      </c>
      <c r="X422" s="11">
        <v>70</v>
      </c>
      <c r="Y422" s="9" t="s">
        <v>550</v>
      </c>
      <c r="Z422" s="9" t="s">
        <v>68</v>
      </c>
      <c r="AA422" s="9" t="s">
        <v>551</v>
      </c>
      <c r="AB422" s="9" t="s">
        <v>67</v>
      </c>
      <c r="AC422" s="9" t="s">
        <v>237</v>
      </c>
      <c r="AD422" s="11">
        <v>1</v>
      </c>
      <c r="AE422" s="9" t="s">
        <v>70</v>
      </c>
      <c r="AF422" s="9" t="s">
        <v>71</v>
      </c>
      <c r="AG422" s="13">
        <v>1</v>
      </c>
      <c r="AH422" s="9" t="s">
        <v>92</v>
      </c>
      <c r="AI422" s="13">
        <v>1274400</v>
      </c>
      <c r="AJ422" s="13">
        <v>1274400</v>
      </c>
      <c r="AK422" s="11">
        <v>0</v>
      </c>
      <c r="AL422" s="11">
        <v>0</v>
      </c>
      <c r="AM422" s="11">
        <v>0</v>
      </c>
      <c r="AN422" s="9" t="s">
        <v>67</v>
      </c>
      <c r="AO422" s="11">
        <v>1274400</v>
      </c>
      <c r="AP422" s="13">
        <v>101952</v>
      </c>
      <c r="AQ422" s="13">
        <v>1376352</v>
      </c>
      <c r="AR422" s="11">
        <v>4</v>
      </c>
      <c r="AS422" s="9" t="s">
        <v>72</v>
      </c>
      <c r="AT422" s="12">
        <v>2.58</v>
      </c>
      <c r="AU422" s="9" t="s">
        <v>73</v>
      </c>
      <c r="AV422" s="9" t="s">
        <v>67</v>
      </c>
      <c r="AW422" s="9" t="s">
        <v>1301</v>
      </c>
      <c r="AX422" s="10">
        <v>45994</v>
      </c>
      <c r="AY422" s="9" t="s">
        <v>1302</v>
      </c>
      <c r="AZ422" s="9" t="s">
        <v>67</v>
      </c>
      <c r="BA422" s="9" t="s">
        <v>67</v>
      </c>
      <c r="BB422" s="12">
        <v>4</v>
      </c>
      <c r="BC422" s="9" t="s">
        <v>74</v>
      </c>
      <c r="BD422" s="9" t="s">
        <v>104</v>
      </c>
      <c r="BE422" s="9" t="s">
        <v>75</v>
      </c>
      <c r="BF422" s="11">
        <v>0</v>
      </c>
      <c r="BG422">
        <f t="shared" si="14"/>
        <v>12</v>
      </c>
      <c r="BH422" t="str">
        <f>VLOOKUP(BG422,[1]month!$A:$B,2,0)</f>
        <v>Desember</v>
      </c>
      <c r="BI422">
        <f t="shared" si="15"/>
        <v>2025</v>
      </c>
      <c r="BJ422" t="str">
        <f>VLOOKUP(I422,[1]Dist!$A:$B,2,0)</f>
        <v>Industry</v>
      </c>
      <c r="BK422" t="str">
        <f>IF(I422=11,VLOOKUP(Y422,[2]Sheet1!$C:$N,10,0),IF(I422=13,VLOOKUP(Y422,[3]Sheet1!$C:$N,10,0),IF(I422=15,VLOOKUP(Y422,[4]Sheet1!$C:$N,10,0),"Unknown")))</f>
        <v>COMPLEMENTARY</v>
      </c>
      <c r="BL422" t="str">
        <f>IF(I422=11,VLOOKUP(Y422,[2]Sheet1!$C:$N,12,0),IF(I422=13,VLOOKUP(Y422,[3]Sheet1!$C:$N,12,0),IF(I422=15,VLOOKUP(Y422,[4]Sheet1!$C:$N,12,0),"Unknown")))</f>
        <v>PASTA</v>
      </c>
      <c r="BM422" t="str">
        <f>VLOOKUP(W422,[1]branch!$A:$B,2,0)</f>
        <v>INDUSTRY</v>
      </c>
    </row>
    <row r="423" spans="1:65" x14ac:dyDescent="0.35">
      <c r="A423" s="10">
        <v>45995</v>
      </c>
      <c r="B423" s="9" t="s">
        <v>1300</v>
      </c>
      <c r="C423" s="9" t="s">
        <v>64</v>
      </c>
      <c r="D423" s="9" t="s">
        <v>92</v>
      </c>
      <c r="E423" s="11">
        <v>30</v>
      </c>
      <c r="F423" s="9" t="s">
        <v>93</v>
      </c>
      <c r="G423" s="9" t="s">
        <v>65</v>
      </c>
      <c r="H423" s="9" t="s">
        <v>66</v>
      </c>
      <c r="I423" s="9">
        <v>11</v>
      </c>
      <c r="J423" s="9" t="s">
        <v>734</v>
      </c>
      <c r="K423" s="9" t="s">
        <v>734</v>
      </c>
      <c r="L423" s="9" t="s">
        <v>734</v>
      </c>
      <c r="M423" s="9" t="s">
        <v>773</v>
      </c>
      <c r="N423" s="9" t="s">
        <v>664</v>
      </c>
      <c r="O423" s="9" t="s">
        <v>97</v>
      </c>
      <c r="P423" s="9" t="s">
        <v>67</v>
      </c>
      <c r="Q423" s="9" t="s">
        <v>98</v>
      </c>
      <c r="R423" s="9" t="s">
        <v>774</v>
      </c>
      <c r="S423" s="9" t="s">
        <v>773</v>
      </c>
      <c r="T423" s="9" t="s">
        <v>775</v>
      </c>
      <c r="U423" s="9" t="s">
        <v>67</v>
      </c>
      <c r="V423" s="9" t="s">
        <v>99</v>
      </c>
      <c r="W423" s="9" t="s">
        <v>100</v>
      </c>
      <c r="X423" s="11">
        <v>80</v>
      </c>
      <c r="Y423" s="9" t="s">
        <v>80</v>
      </c>
      <c r="Z423" s="9" t="s">
        <v>68</v>
      </c>
      <c r="AA423" s="9" t="s">
        <v>81</v>
      </c>
      <c r="AB423" s="9" t="s">
        <v>67</v>
      </c>
      <c r="AC423" s="9" t="s">
        <v>82</v>
      </c>
      <c r="AD423" s="11">
        <v>2</v>
      </c>
      <c r="AE423" s="9" t="s">
        <v>70</v>
      </c>
      <c r="AF423" s="9" t="s">
        <v>71</v>
      </c>
      <c r="AG423" s="13">
        <v>1</v>
      </c>
      <c r="AH423" s="9" t="s">
        <v>92</v>
      </c>
      <c r="AI423" s="13">
        <v>828880</v>
      </c>
      <c r="AJ423" s="13">
        <v>1657760</v>
      </c>
      <c r="AK423" s="11">
        <v>0</v>
      </c>
      <c r="AL423" s="11">
        <v>0</v>
      </c>
      <c r="AM423" s="11">
        <v>0</v>
      </c>
      <c r="AN423" s="9" t="s">
        <v>67</v>
      </c>
      <c r="AO423" s="11">
        <v>1657760</v>
      </c>
      <c r="AP423" s="13">
        <v>132621</v>
      </c>
      <c r="AQ423" s="13">
        <v>1790381</v>
      </c>
      <c r="AR423" s="11">
        <v>8</v>
      </c>
      <c r="AS423" s="9" t="s">
        <v>72</v>
      </c>
      <c r="AT423" s="12">
        <v>9.52</v>
      </c>
      <c r="AU423" s="9" t="s">
        <v>73</v>
      </c>
      <c r="AV423" s="9" t="s">
        <v>67</v>
      </c>
      <c r="AW423" s="9" t="s">
        <v>1301</v>
      </c>
      <c r="AX423" s="10">
        <v>45994</v>
      </c>
      <c r="AY423" s="9" t="s">
        <v>1302</v>
      </c>
      <c r="AZ423" s="9" t="s">
        <v>67</v>
      </c>
      <c r="BA423" s="9" t="s">
        <v>67</v>
      </c>
      <c r="BB423" s="12">
        <v>8</v>
      </c>
      <c r="BC423" s="9" t="s">
        <v>74</v>
      </c>
      <c r="BD423" s="9" t="s">
        <v>104</v>
      </c>
      <c r="BE423" s="9" t="s">
        <v>75</v>
      </c>
      <c r="BF423" s="11">
        <v>0</v>
      </c>
      <c r="BG423">
        <f t="shared" si="14"/>
        <v>12</v>
      </c>
      <c r="BH423" t="str">
        <f>VLOOKUP(BG423,[1]month!$A:$B,2,0)</f>
        <v>Desember</v>
      </c>
      <c r="BI423">
        <f t="shared" si="15"/>
        <v>2025</v>
      </c>
      <c r="BJ423" t="str">
        <f>VLOOKUP(I423,[1]Dist!$A:$B,2,0)</f>
        <v>Industry</v>
      </c>
      <c r="BK423" t="str">
        <f>IF(I423=11,VLOOKUP(Y423,[2]Sheet1!$C:$N,10,0),IF(I423=13,VLOOKUP(Y423,[3]Sheet1!$C:$N,10,0),IF(I423=15,VLOOKUP(Y423,[4]Sheet1!$C:$N,10,0),"Unknown")))</f>
        <v>STAIN &amp; GLAZE INTERIOR</v>
      </c>
      <c r="BL423" t="str">
        <f>IF(I423=11,VLOOKUP(Y423,[2]Sheet1!$C:$N,12,0),IF(I423=13,VLOOKUP(Y423,[3]Sheet1!$C:$N,12,0),IF(I423=15,VLOOKUP(Y423,[4]Sheet1!$C:$N,12,0),"Unknown")))</f>
        <v>STAIN INTERIOR</v>
      </c>
      <c r="BM423" t="str">
        <f>VLOOKUP(W423,[1]branch!$A:$B,2,0)</f>
        <v>INDUSTRY</v>
      </c>
    </row>
    <row r="424" spans="1:65" x14ac:dyDescent="0.35">
      <c r="A424" s="10">
        <v>45995</v>
      </c>
      <c r="B424" s="9" t="s">
        <v>1300</v>
      </c>
      <c r="C424" s="9" t="s">
        <v>64</v>
      </c>
      <c r="D424" s="9" t="s">
        <v>92</v>
      </c>
      <c r="E424" s="11">
        <v>30</v>
      </c>
      <c r="F424" s="9" t="s">
        <v>93</v>
      </c>
      <c r="G424" s="9" t="s">
        <v>65</v>
      </c>
      <c r="H424" s="9" t="s">
        <v>66</v>
      </c>
      <c r="I424" s="9">
        <v>11</v>
      </c>
      <c r="J424" s="9" t="s">
        <v>734</v>
      </c>
      <c r="K424" s="9" t="s">
        <v>734</v>
      </c>
      <c r="L424" s="9" t="s">
        <v>734</v>
      </c>
      <c r="M424" s="9" t="s">
        <v>773</v>
      </c>
      <c r="N424" s="9" t="s">
        <v>664</v>
      </c>
      <c r="O424" s="9" t="s">
        <v>97</v>
      </c>
      <c r="P424" s="9" t="s">
        <v>67</v>
      </c>
      <c r="Q424" s="9" t="s">
        <v>98</v>
      </c>
      <c r="R424" s="9" t="s">
        <v>774</v>
      </c>
      <c r="S424" s="9" t="s">
        <v>773</v>
      </c>
      <c r="T424" s="9" t="s">
        <v>775</v>
      </c>
      <c r="U424" s="9" t="s">
        <v>67</v>
      </c>
      <c r="V424" s="9" t="s">
        <v>99</v>
      </c>
      <c r="W424" s="9" t="s">
        <v>100</v>
      </c>
      <c r="X424" s="11">
        <v>90</v>
      </c>
      <c r="Y424" s="9" t="s">
        <v>85</v>
      </c>
      <c r="Z424" s="9" t="s">
        <v>68</v>
      </c>
      <c r="AA424" s="9" t="s">
        <v>86</v>
      </c>
      <c r="AB424" s="9" t="s">
        <v>67</v>
      </c>
      <c r="AC424" s="9" t="s">
        <v>82</v>
      </c>
      <c r="AD424" s="11">
        <v>2</v>
      </c>
      <c r="AE424" s="9" t="s">
        <v>70</v>
      </c>
      <c r="AF424" s="9" t="s">
        <v>71</v>
      </c>
      <c r="AG424" s="13">
        <v>1</v>
      </c>
      <c r="AH424" s="9" t="s">
        <v>92</v>
      </c>
      <c r="AI424" s="13">
        <v>896560</v>
      </c>
      <c r="AJ424" s="13">
        <v>1793120</v>
      </c>
      <c r="AK424" s="11">
        <v>0</v>
      </c>
      <c r="AL424" s="11">
        <v>0</v>
      </c>
      <c r="AM424" s="11">
        <v>0</v>
      </c>
      <c r="AN424" s="9" t="s">
        <v>67</v>
      </c>
      <c r="AO424" s="11">
        <v>1793120</v>
      </c>
      <c r="AP424" s="13">
        <v>143450</v>
      </c>
      <c r="AQ424" s="13">
        <v>1936570</v>
      </c>
      <c r="AR424" s="11">
        <v>8</v>
      </c>
      <c r="AS424" s="9" t="s">
        <v>72</v>
      </c>
      <c r="AT424" s="12">
        <v>9.52</v>
      </c>
      <c r="AU424" s="9" t="s">
        <v>73</v>
      </c>
      <c r="AV424" s="9" t="s">
        <v>67</v>
      </c>
      <c r="AW424" s="9" t="s">
        <v>1301</v>
      </c>
      <c r="AX424" s="10">
        <v>45994</v>
      </c>
      <c r="AY424" s="9" t="s">
        <v>1302</v>
      </c>
      <c r="AZ424" s="9" t="s">
        <v>67</v>
      </c>
      <c r="BA424" s="9" t="s">
        <v>67</v>
      </c>
      <c r="BB424" s="12">
        <v>8</v>
      </c>
      <c r="BC424" s="9" t="s">
        <v>74</v>
      </c>
      <c r="BD424" s="9" t="s">
        <v>104</v>
      </c>
      <c r="BE424" s="9" t="s">
        <v>75</v>
      </c>
      <c r="BF424" s="11">
        <v>0</v>
      </c>
      <c r="BG424">
        <f t="shared" si="14"/>
        <v>12</v>
      </c>
      <c r="BH424" t="str">
        <f>VLOOKUP(BG424,[1]month!$A:$B,2,0)</f>
        <v>Desember</v>
      </c>
      <c r="BI424">
        <f t="shared" si="15"/>
        <v>2025</v>
      </c>
      <c r="BJ424" t="str">
        <f>VLOOKUP(I424,[1]Dist!$A:$B,2,0)</f>
        <v>Industry</v>
      </c>
      <c r="BK424" t="str">
        <f>IF(I424=11,VLOOKUP(Y424,[2]Sheet1!$C:$N,10,0),IF(I424=13,VLOOKUP(Y424,[3]Sheet1!$C:$N,10,0),IF(I424=15,VLOOKUP(Y424,[4]Sheet1!$C:$N,10,0),"Unknown")))</f>
        <v>STAIN &amp; GLAZE INTERIOR</v>
      </c>
      <c r="BL424" t="str">
        <f>IF(I424=11,VLOOKUP(Y424,[2]Sheet1!$C:$N,12,0),IF(I424=13,VLOOKUP(Y424,[3]Sheet1!$C:$N,12,0),IF(I424=15,VLOOKUP(Y424,[4]Sheet1!$C:$N,12,0),"Unknown")))</f>
        <v>STAIN INTERIOR</v>
      </c>
      <c r="BM424" t="str">
        <f>VLOOKUP(W424,[1]branch!$A:$B,2,0)</f>
        <v>INDUSTRY</v>
      </c>
    </row>
    <row r="425" spans="1:65" x14ac:dyDescent="0.35">
      <c r="A425" s="10">
        <v>45995</v>
      </c>
      <c r="B425" s="9" t="s">
        <v>1300</v>
      </c>
      <c r="C425" s="9" t="s">
        <v>64</v>
      </c>
      <c r="D425" s="9" t="s">
        <v>92</v>
      </c>
      <c r="E425" s="11">
        <v>30</v>
      </c>
      <c r="F425" s="9" t="s">
        <v>93</v>
      </c>
      <c r="G425" s="9" t="s">
        <v>65</v>
      </c>
      <c r="H425" s="9" t="s">
        <v>66</v>
      </c>
      <c r="I425" s="9">
        <v>11</v>
      </c>
      <c r="J425" s="9" t="s">
        <v>734</v>
      </c>
      <c r="K425" s="9" t="s">
        <v>734</v>
      </c>
      <c r="L425" s="9" t="s">
        <v>734</v>
      </c>
      <c r="M425" s="9" t="s">
        <v>773</v>
      </c>
      <c r="N425" s="9" t="s">
        <v>664</v>
      </c>
      <c r="O425" s="9" t="s">
        <v>97</v>
      </c>
      <c r="P425" s="9" t="s">
        <v>67</v>
      </c>
      <c r="Q425" s="9" t="s">
        <v>98</v>
      </c>
      <c r="R425" s="9" t="s">
        <v>774</v>
      </c>
      <c r="S425" s="9" t="s">
        <v>773</v>
      </c>
      <c r="T425" s="9" t="s">
        <v>775</v>
      </c>
      <c r="U425" s="9" t="s">
        <v>67</v>
      </c>
      <c r="V425" s="9" t="s">
        <v>99</v>
      </c>
      <c r="W425" s="9" t="s">
        <v>100</v>
      </c>
      <c r="X425" s="11">
        <v>100</v>
      </c>
      <c r="Y425" s="9" t="s">
        <v>203</v>
      </c>
      <c r="Z425" s="9" t="s">
        <v>68</v>
      </c>
      <c r="AA425" s="9" t="s">
        <v>204</v>
      </c>
      <c r="AB425" s="9" t="s">
        <v>67</v>
      </c>
      <c r="AC425" s="9" t="s">
        <v>205</v>
      </c>
      <c r="AD425" s="11">
        <v>3</v>
      </c>
      <c r="AE425" s="9" t="s">
        <v>70</v>
      </c>
      <c r="AF425" s="9" t="s">
        <v>71</v>
      </c>
      <c r="AG425" s="13">
        <v>1</v>
      </c>
      <c r="AH425" s="9" t="s">
        <v>92</v>
      </c>
      <c r="AI425" s="13">
        <v>1064000</v>
      </c>
      <c r="AJ425" s="13">
        <v>3192000</v>
      </c>
      <c r="AK425" s="11">
        <v>0</v>
      </c>
      <c r="AL425" s="11">
        <v>0</v>
      </c>
      <c r="AM425" s="11">
        <v>0</v>
      </c>
      <c r="AN425" s="9" t="s">
        <v>67</v>
      </c>
      <c r="AO425" s="11">
        <v>3192000</v>
      </c>
      <c r="AP425" s="13">
        <v>255360</v>
      </c>
      <c r="AQ425" s="13">
        <v>3447360</v>
      </c>
      <c r="AR425" s="12">
        <v>58.8</v>
      </c>
      <c r="AS425" s="9" t="s">
        <v>72</v>
      </c>
      <c r="AT425" s="11">
        <v>60</v>
      </c>
      <c r="AU425" s="9" t="s">
        <v>73</v>
      </c>
      <c r="AV425" s="9" t="s">
        <v>67</v>
      </c>
      <c r="AW425" s="9" t="s">
        <v>1301</v>
      </c>
      <c r="AX425" s="10">
        <v>45994</v>
      </c>
      <c r="AY425" s="9" t="s">
        <v>1302</v>
      </c>
      <c r="AZ425" s="9" t="s">
        <v>67</v>
      </c>
      <c r="BA425" s="9" t="s">
        <v>67</v>
      </c>
      <c r="BB425" s="12">
        <v>60</v>
      </c>
      <c r="BC425" s="9" t="s">
        <v>74</v>
      </c>
      <c r="BD425" s="9" t="s">
        <v>104</v>
      </c>
      <c r="BE425" s="9" t="s">
        <v>75</v>
      </c>
      <c r="BF425" s="11">
        <v>0</v>
      </c>
      <c r="BG425">
        <f t="shared" si="14"/>
        <v>12</v>
      </c>
      <c r="BH425" t="str">
        <f>VLOOKUP(BG425,[1]month!$A:$B,2,0)</f>
        <v>Desember</v>
      </c>
      <c r="BI425">
        <f t="shared" si="15"/>
        <v>2025</v>
      </c>
      <c r="BJ425" t="str">
        <f>VLOOKUP(I425,[1]Dist!$A:$B,2,0)</f>
        <v>Industry</v>
      </c>
      <c r="BK425" t="str">
        <f>IF(I425=11,VLOOKUP(Y425,[2]Sheet1!$C:$N,10,0),IF(I425=13,VLOOKUP(Y425,[3]Sheet1!$C:$N,10,0),IF(I425=15,VLOOKUP(Y425,[4]Sheet1!$C:$N,10,0),"Unknown")))</f>
        <v>COMPLEMENTARY</v>
      </c>
      <c r="BL425" t="str">
        <f>IF(I425=11,VLOOKUP(Y425,[2]Sheet1!$C:$N,12,0),IF(I425=13,VLOOKUP(Y425,[3]Sheet1!$C:$N,12,0),IF(I425=15,VLOOKUP(Y425,[4]Sheet1!$C:$N,12,0),"Unknown")))</f>
        <v>RETARDER</v>
      </c>
      <c r="BM425" t="str">
        <f>VLOOKUP(W425,[1]branch!$A:$B,2,0)</f>
        <v>INDUSTRY</v>
      </c>
    </row>
    <row r="426" spans="1:65" x14ac:dyDescent="0.35">
      <c r="A426" s="10">
        <v>45995</v>
      </c>
      <c r="B426" s="9" t="s">
        <v>1300</v>
      </c>
      <c r="C426" s="9" t="s">
        <v>64</v>
      </c>
      <c r="D426" s="9" t="s">
        <v>92</v>
      </c>
      <c r="E426" s="11">
        <v>30</v>
      </c>
      <c r="F426" s="9" t="s">
        <v>93</v>
      </c>
      <c r="G426" s="9" t="s">
        <v>65</v>
      </c>
      <c r="H426" s="9" t="s">
        <v>66</v>
      </c>
      <c r="I426" s="9">
        <v>11</v>
      </c>
      <c r="J426" s="9" t="s">
        <v>734</v>
      </c>
      <c r="K426" s="9" t="s">
        <v>734</v>
      </c>
      <c r="L426" s="9" t="s">
        <v>734</v>
      </c>
      <c r="M426" s="9" t="s">
        <v>773</v>
      </c>
      <c r="N426" s="9" t="s">
        <v>664</v>
      </c>
      <c r="O426" s="9" t="s">
        <v>97</v>
      </c>
      <c r="P426" s="9" t="s">
        <v>67</v>
      </c>
      <c r="Q426" s="9" t="s">
        <v>98</v>
      </c>
      <c r="R426" s="9" t="s">
        <v>774</v>
      </c>
      <c r="S426" s="9" t="s">
        <v>773</v>
      </c>
      <c r="T426" s="9" t="s">
        <v>775</v>
      </c>
      <c r="U426" s="9" t="s">
        <v>67</v>
      </c>
      <c r="V426" s="9" t="s">
        <v>99</v>
      </c>
      <c r="W426" s="9" t="s">
        <v>100</v>
      </c>
      <c r="X426" s="11">
        <v>101</v>
      </c>
      <c r="Y426" s="9" t="s">
        <v>244</v>
      </c>
      <c r="Z426" s="9" t="s">
        <v>68</v>
      </c>
      <c r="AA426" s="9" t="s">
        <v>245</v>
      </c>
      <c r="AB426" s="9" t="s">
        <v>67</v>
      </c>
      <c r="AC426" s="9" t="s">
        <v>229</v>
      </c>
      <c r="AD426" s="11">
        <v>10</v>
      </c>
      <c r="AE426" s="9" t="s">
        <v>70</v>
      </c>
      <c r="AF426" s="9" t="s">
        <v>71</v>
      </c>
      <c r="AG426" s="13">
        <v>1</v>
      </c>
      <c r="AH426" s="9" t="s">
        <v>92</v>
      </c>
      <c r="AI426" s="13">
        <v>1561600</v>
      </c>
      <c r="AJ426" s="13">
        <v>15616000</v>
      </c>
      <c r="AK426" s="11">
        <v>0</v>
      </c>
      <c r="AL426" s="11">
        <v>0</v>
      </c>
      <c r="AM426" s="11">
        <v>0</v>
      </c>
      <c r="AN426" s="9" t="s">
        <v>67</v>
      </c>
      <c r="AO426" s="11">
        <v>15616000</v>
      </c>
      <c r="AP426" s="13">
        <v>1249280</v>
      </c>
      <c r="AQ426" s="13">
        <v>16865280</v>
      </c>
      <c r="AR426" s="11">
        <v>200</v>
      </c>
      <c r="AS426" s="9" t="s">
        <v>72</v>
      </c>
      <c r="AT426" s="11">
        <v>200</v>
      </c>
      <c r="AU426" s="9" t="s">
        <v>73</v>
      </c>
      <c r="AV426" s="9" t="s">
        <v>67</v>
      </c>
      <c r="AW426" s="9" t="s">
        <v>1301</v>
      </c>
      <c r="AX426" s="10">
        <v>45994</v>
      </c>
      <c r="AY426" s="9" t="s">
        <v>1302</v>
      </c>
      <c r="AZ426" s="9" t="s">
        <v>67</v>
      </c>
      <c r="BA426" s="9" t="s">
        <v>67</v>
      </c>
      <c r="BB426" s="12">
        <v>200</v>
      </c>
      <c r="BC426" s="9" t="s">
        <v>74</v>
      </c>
      <c r="BD426" s="9" t="s">
        <v>104</v>
      </c>
      <c r="BE426" s="9" t="s">
        <v>75</v>
      </c>
      <c r="BF426" s="11">
        <v>0</v>
      </c>
      <c r="BG426">
        <f t="shared" si="14"/>
        <v>12</v>
      </c>
      <c r="BH426" t="str">
        <f>VLOOKUP(BG426,[1]month!$A:$B,2,0)</f>
        <v>Desember</v>
      </c>
      <c r="BI426">
        <f t="shared" si="15"/>
        <v>2025</v>
      </c>
      <c r="BJ426" t="str">
        <f>VLOOKUP(I426,[1]Dist!$A:$B,2,0)</f>
        <v>Industry</v>
      </c>
      <c r="BK426" t="str">
        <f>IF(I426=11,VLOOKUP(Y426,[2]Sheet1!$C:$N,10,0),IF(I426=13,VLOOKUP(Y426,[3]Sheet1!$C:$N,10,0),IF(I426=15,VLOOKUP(Y426,[4]Sheet1!$C:$N,10,0),"Unknown")))</f>
        <v>PU</v>
      </c>
      <c r="BL426" t="str">
        <f>IF(I426=11,VLOOKUP(Y426,[2]Sheet1!$C:$N,12,0),IF(I426=13,VLOOKUP(Y426,[3]Sheet1!$C:$N,12,0),IF(I426=15,VLOOKUP(Y426,[4]Sheet1!$C:$N,12,0),"Unknown")))</f>
        <v>PU LACQUER</v>
      </c>
      <c r="BM426" t="str">
        <f>VLOOKUP(W426,[1]branch!$A:$B,2,0)</f>
        <v>INDUSTRY</v>
      </c>
    </row>
    <row r="427" spans="1:65" x14ac:dyDescent="0.35">
      <c r="A427" s="10">
        <v>45995</v>
      </c>
      <c r="B427" s="9" t="s">
        <v>1303</v>
      </c>
      <c r="C427" s="9" t="s">
        <v>64</v>
      </c>
      <c r="D427" s="9" t="s">
        <v>92</v>
      </c>
      <c r="E427" s="11">
        <v>30</v>
      </c>
      <c r="F427" s="9" t="s">
        <v>93</v>
      </c>
      <c r="G427" s="9" t="s">
        <v>65</v>
      </c>
      <c r="H427" s="9" t="s">
        <v>66</v>
      </c>
      <c r="I427" s="9">
        <v>13</v>
      </c>
      <c r="J427" s="9" t="s">
        <v>787</v>
      </c>
      <c r="K427" s="9" t="s">
        <v>787</v>
      </c>
      <c r="L427" s="9" t="s">
        <v>787</v>
      </c>
      <c r="M427" s="9" t="s">
        <v>788</v>
      </c>
      <c r="N427" s="9" t="s">
        <v>789</v>
      </c>
      <c r="O427" s="9" t="s">
        <v>443</v>
      </c>
      <c r="P427" s="9" t="s">
        <v>67</v>
      </c>
      <c r="Q427" s="9" t="s">
        <v>98</v>
      </c>
      <c r="R427" s="9" t="s">
        <v>787</v>
      </c>
      <c r="S427" s="9" t="s">
        <v>788</v>
      </c>
      <c r="T427" s="9" t="s">
        <v>836</v>
      </c>
      <c r="U427" s="9" t="s">
        <v>67</v>
      </c>
      <c r="V427" s="9" t="s">
        <v>761</v>
      </c>
      <c r="W427" s="9" t="s">
        <v>762</v>
      </c>
      <c r="X427" s="11">
        <v>10</v>
      </c>
      <c r="Y427" s="9" t="s">
        <v>582</v>
      </c>
      <c r="Z427" s="9" t="s">
        <v>68</v>
      </c>
      <c r="AA427" s="9" t="s">
        <v>583</v>
      </c>
      <c r="AB427" s="9" t="s">
        <v>67</v>
      </c>
      <c r="AC427" s="9" t="s">
        <v>383</v>
      </c>
      <c r="AD427" s="11">
        <v>1</v>
      </c>
      <c r="AE427" s="9" t="s">
        <v>70</v>
      </c>
      <c r="AF427" s="9" t="s">
        <v>71</v>
      </c>
      <c r="AG427" s="13">
        <v>1</v>
      </c>
      <c r="AH427" s="9" t="s">
        <v>92</v>
      </c>
      <c r="AI427" s="13">
        <v>381819</v>
      </c>
      <c r="AJ427" s="13">
        <v>381819</v>
      </c>
      <c r="AK427" s="11">
        <v>38182</v>
      </c>
      <c r="AL427" s="11">
        <v>0</v>
      </c>
      <c r="AM427" s="11">
        <v>0</v>
      </c>
      <c r="AN427" s="9" t="s">
        <v>415</v>
      </c>
      <c r="AO427" s="11">
        <v>343637</v>
      </c>
      <c r="AP427" s="13">
        <v>27491</v>
      </c>
      <c r="AQ427" s="13">
        <v>371128</v>
      </c>
      <c r="AR427" s="12">
        <v>1.35</v>
      </c>
      <c r="AS427" s="9" t="s">
        <v>72</v>
      </c>
      <c r="AT427" s="11">
        <v>1</v>
      </c>
      <c r="AU427" s="9" t="s">
        <v>73</v>
      </c>
      <c r="AV427" s="9" t="s">
        <v>67</v>
      </c>
      <c r="AW427" s="9" t="s">
        <v>1304</v>
      </c>
      <c r="AX427" s="10">
        <v>45994</v>
      </c>
      <c r="AY427" s="9" t="s">
        <v>1305</v>
      </c>
      <c r="AZ427" s="9" t="s">
        <v>67</v>
      </c>
      <c r="BA427" s="9" t="s">
        <v>67</v>
      </c>
      <c r="BB427" s="12">
        <v>1</v>
      </c>
      <c r="BC427" s="9" t="s">
        <v>74</v>
      </c>
      <c r="BD427" s="9" t="s">
        <v>104</v>
      </c>
      <c r="BE427" s="9" t="s">
        <v>75</v>
      </c>
      <c r="BF427" s="11">
        <v>0</v>
      </c>
      <c r="BG427">
        <f t="shared" si="14"/>
        <v>12</v>
      </c>
      <c r="BH427" t="str">
        <f>VLOOKUP(BG427,[1]month!$A:$B,2,0)</f>
        <v>Desember</v>
      </c>
      <c r="BI427">
        <f t="shared" si="15"/>
        <v>2025</v>
      </c>
      <c r="BJ427" t="str">
        <f>VLOOKUP(I427,[1]Dist!$A:$B,2,0)</f>
        <v>Retail</v>
      </c>
      <c r="BK427" t="str">
        <f>IF(I427=11,VLOOKUP(Y427,[2]Sheet1!$C:$N,10,0),IF(I427=13,VLOOKUP(Y427,[3]Sheet1!$C:$N,10,0),IF(I427=15,VLOOKUP(Y427,[4]Sheet1!$C:$N,10,0),"Unknown")))</f>
        <v>PASTA</v>
      </c>
      <c r="BL427" t="str">
        <f>IF(I427=11,VLOOKUP(Y427,[2]Sheet1!$C:$N,12,0),IF(I427=13,VLOOKUP(Y427,[3]Sheet1!$C:$N,12,0),IF(I427=15,VLOOKUP(Y427,[4]Sheet1!$C:$N,12,0),"Unknown")))</f>
        <v>PASTA WB</v>
      </c>
      <c r="BM427" t="str">
        <f>VLOOKUP(W427,[1]branch!$A:$B,2,0)</f>
        <v>HO CHI MINH</v>
      </c>
    </row>
    <row r="428" spans="1:65" x14ac:dyDescent="0.35">
      <c r="A428" s="10">
        <v>45995</v>
      </c>
      <c r="B428" s="9" t="s">
        <v>1303</v>
      </c>
      <c r="C428" s="9" t="s">
        <v>64</v>
      </c>
      <c r="D428" s="9" t="s">
        <v>92</v>
      </c>
      <c r="E428" s="11">
        <v>30</v>
      </c>
      <c r="F428" s="9" t="s">
        <v>93</v>
      </c>
      <c r="G428" s="9" t="s">
        <v>65</v>
      </c>
      <c r="H428" s="9" t="s">
        <v>66</v>
      </c>
      <c r="I428" s="9">
        <v>13</v>
      </c>
      <c r="J428" s="9" t="s">
        <v>787</v>
      </c>
      <c r="K428" s="9" t="s">
        <v>787</v>
      </c>
      <c r="L428" s="9" t="s">
        <v>787</v>
      </c>
      <c r="M428" s="9" t="s">
        <v>788</v>
      </c>
      <c r="N428" s="9" t="s">
        <v>789</v>
      </c>
      <c r="O428" s="9" t="s">
        <v>443</v>
      </c>
      <c r="P428" s="9" t="s">
        <v>67</v>
      </c>
      <c r="Q428" s="9" t="s">
        <v>98</v>
      </c>
      <c r="R428" s="9" t="s">
        <v>787</v>
      </c>
      <c r="S428" s="9" t="s">
        <v>788</v>
      </c>
      <c r="T428" s="9" t="s">
        <v>836</v>
      </c>
      <c r="U428" s="9" t="s">
        <v>67</v>
      </c>
      <c r="V428" s="9" t="s">
        <v>761</v>
      </c>
      <c r="W428" s="9" t="s">
        <v>762</v>
      </c>
      <c r="X428" s="11">
        <v>20</v>
      </c>
      <c r="Y428" s="9" t="s">
        <v>574</v>
      </c>
      <c r="Z428" s="9" t="s">
        <v>68</v>
      </c>
      <c r="AA428" s="9" t="s">
        <v>575</v>
      </c>
      <c r="AB428" s="9" t="s">
        <v>67</v>
      </c>
      <c r="AC428" s="9" t="s">
        <v>383</v>
      </c>
      <c r="AD428" s="11">
        <v>1</v>
      </c>
      <c r="AE428" s="9" t="s">
        <v>70</v>
      </c>
      <c r="AF428" s="9" t="s">
        <v>71</v>
      </c>
      <c r="AG428" s="13">
        <v>1</v>
      </c>
      <c r="AH428" s="9" t="s">
        <v>92</v>
      </c>
      <c r="AI428" s="13">
        <v>320000</v>
      </c>
      <c r="AJ428" s="13">
        <v>320000</v>
      </c>
      <c r="AK428" s="11">
        <v>32000</v>
      </c>
      <c r="AL428" s="11">
        <v>0</v>
      </c>
      <c r="AM428" s="11">
        <v>0</v>
      </c>
      <c r="AN428" s="9" t="s">
        <v>415</v>
      </c>
      <c r="AO428" s="11">
        <v>288000</v>
      </c>
      <c r="AP428" s="13">
        <v>23040</v>
      </c>
      <c r="AQ428" s="13">
        <v>311040</v>
      </c>
      <c r="AR428" s="12">
        <v>1.236</v>
      </c>
      <c r="AS428" s="9" t="s">
        <v>72</v>
      </c>
      <c r="AT428" s="11">
        <v>1</v>
      </c>
      <c r="AU428" s="9" t="s">
        <v>73</v>
      </c>
      <c r="AV428" s="9" t="s">
        <v>67</v>
      </c>
      <c r="AW428" s="9" t="s">
        <v>1304</v>
      </c>
      <c r="AX428" s="10">
        <v>45994</v>
      </c>
      <c r="AY428" s="9" t="s">
        <v>1305</v>
      </c>
      <c r="AZ428" s="9" t="s">
        <v>67</v>
      </c>
      <c r="BA428" s="9" t="s">
        <v>67</v>
      </c>
      <c r="BB428" s="12">
        <v>1</v>
      </c>
      <c r="BC428" s="9" t="s">
        <v>74</v>
      </c>
      <c r="BD428" s="9" t="s">
        <v>104</v>
      </c>
      <c r="BE428" s="9" t="s">
        <v>75</v>
      </c>
      <c r="BF428" s="11">
        <v>0</v>
      </c>
      <c r="BG428">
        <f t="shared" si="14"/>
        <v>12</v>
      </c>
      <c r="BH428" t="str">
        <f>VLOOKUP(BG428,[1]month!$A:$B,2,0)</f>
        <v>Desember</v>
      </c>
      <c r="BI428">
        <f t="shared" si="15"/>
        <v>2025</v>
      </c>
      <c r="BJ428" t="str">
        <f>VLOOKUP(I428,[1]Dist!$A:$B,2,0)</f>
        <v>Retail</v>
      </c>
      <c r="BK428" t="str">
        <f>IF(I428=11,VLOOKUP(Y428,[2]Sheet1!$C:$N,10,0),IF(I428=13,VLOOKUP(Y428,[3]Sheet1!$C:$N,10,0),IF(I428=15,VLOOKUP(Y428,[4]Sheet1!$C:$N,10,0),"Unknown")))</f>
        <v>PASTA</v>
      </c>
      <c r="BL428" t="str">
        <f>IF(I428=11,VLOOKUP(Y428,[2]Sheet1!$C:$N,12,0),IF(I428=13,VLOOKUP(Y428,[3]Sheet1!$C:$N,12,0),IF(I428=15,VLOOKUP(Y428,[4]Sheet1!$C:$N,12,0),"Unknown")))</f>
        <v>PASTA WB</v>
      </c>
      <c r="BM428" t="str">
        <f>VLOOKUP(W428,[1]branch!$A:$B,2,0)</f>
        <v>HO CHI MINH</v>
      </c>
    </row>
    <row r="429" spans="1:65" x14ac:dyDescent="0.35">
      <c r="A429" s="10">
        <v>45995</v>
      </c>
      <c r="B429" s="9" t="s">
        <v>1306</v>
      </c>
      <c r="C429" s="9" t="s">
        <v>64</v>
      </c>
      <c r="D429" s="9" t="s">
        <v>92</v>
      </c>
      <c r="E429" s="11">
        <v>30</v>
      </c>
      <c r="F429" s="9" t="s">
        <v>93</v>
      </c>
      <c r="G429" s="9" t="s">
        <v>65</v>
      </c>
      <c r="H429" s="9" t="s">
        <v>66</v>
      </c>
      <c r="I429" s="9">
        <v>13</v>
      </c>
      <c r="J429" s="9" t="s">
        <v>787</v>
      </c>
      <c r="K429" s="9" t="s">
        <v>787</v>
      </c>
      <c r="L429" s="9" t="s">
        <v>787</v>
      </c>
      <c r="M429" s="9" t="s">
        <v>788</v>
      </c>
      <c r="N429" s="9" t="s">
        <v>789</v>
      </c>
      <c r="O429" s="9" t="s">
        <v>443</v>
      </c>
      <c r="P429" s="9" t="s">
        <v>67</v>
      </c>
      <c r="Q429" s="9" t="s">
        <v>98</v>
      </c>
      <c r="R429" s="9" t="s">
        <v>787</v>
      </c>
      <c r="S429" s="9" t="s">
        <v>788</v>
      </c>
      <c r="T429" s="9" t="s">
        <v>836</v>
      </c>
      <c r="U429" s="9" t="s">
        <v>67</v>
      </c>
      <c r="V429" s="9" t="s">
        <v>761</v>
      </c>
      <c r="W429" s="9" t="s">
        <v>762</v>
      </c>
      <c r="X429" s="11">
        <v>10</v>
      </c>
      <c r="Y429" s="9" t="s">
        <v>688</v>
      </c>
      <c r="Z429" s="9" t="s">
        <v>68</v>
      </c>
      <c r="AA429" s="9" t="s">
        <v>420</v>
      </c>
      <c r="AB429" s="9" t="s">
        <v>67</v>
      </c>
      <c r="AC429" s="9" t="s">
        <v>689</v>
      </c>
      <c r="AD429" s="11">
        <v>2</v>
      </c>
      <c r="AE429" s="9" t="s">
        <v>70</v>
      </c>
      <c r="AF429" s="9" t="s">
        <v>71</v>
      </c>
      <c r="AG429" s="13">
        <v>1</v>
      </c>
      <c r="AH429" s="9" t="s">
        <v>92</v>
      </c>
      <c r="AI429" s="13">
        <v>557273</v>
      </c>
      <c r="AJ429" s="13">
        <v>1114546</v>
      </c>
      <c r="AK429" s="11">
        <v>111455</v>
      </c>
      <c r="AL429" s="11">
        <v>0</v>
      </c>
      <c r="AM429" s="11">
        <v>0</v>
      </c>
      <c r="AN429" s="9" t="s">
        <v>415</v>
      </c>
      <c r="AO429" s="11">
        <v>1003091</v>
      </c>
      <c r="AP429" s="13">
        <v>80247</v>
      </c>
      <c r="AQ429" s="13">
        <v>1083338</v>
      </c>
      <c r="AR429" s="12">
        <v>51.6</v>
      </c>
      <c r="AS429" s="9" t="s">
        <v>72</v>
      </c>
      <c r="AT429" s="11">
        <v>36</v>
      </c>
      <c r="AU429" s="9" t="s">
        <v>73</v>
      </c>
      <c r="AV429" s="9" t="s">
        <v>67</v>
      </c>
      <c r="AW429" s="9" t="s">
        <v>1307</v>
      </c>
      <c r="AX429" s="10">
        <v>45994</v>
      </c>
      <c r="AY429" s="9" t="s">
        <v>1308</v>
      </c>
      <c r="AZ429" s="9" t="s">
        <v>67</v>
      </c>
      <c r="BA429" s="9" t="s">
        <v>67</v>
      </c>
      <c r="BB429" s="12">
        <v>36</v>
      </c>
      <c r="BC429" s="9" t="s">
        <v>74</v>
      </c>
      <c r="BD429" s="9" t="s">
        <v>104</v>
      </c>
      <c r="BE429" s="9" t="s">
        <v>75</v>
      </c>
      <c r="BF429" s="11">
        <v>0</v>
      </c>
      <c r="BG429">
        <f t="shared" si="14"/>
        <v>12</v>
      </c>
      <c r="BH429" t="str">
        <f>VLOOKUP(BG429,[1]month!$A:$B,2,0)</f>
        <v>Desember</v>
      </c>
      <c r="BI429">
        <f t="shared" si="15"/>
        <v>2025</v>
      </c>
      <c r="BJ429" t="str">
        <f>VLOOKUP(I429,[1]Dist!$A:$B,2,0)</f>
        <v>Retail</v>
      </c>
      <c r="BK429" t="str">
        <f>IF(I429=11,VLOOKUP(Y429,[2]Sheet1!$C:$N,10,0),IF(I429=13,VLOOKUP(Y429,[3]Sheet1!$C:$N,10,0),IF(I429=15,VLOOKUP(Y429,[4]Sheet1!$C:$N,10,0),"Unknown")))</f>
        <v>WATERPROOFING</v>
      </c>
      <c r="BL429" t="str">
        <f>IF(I429=11,VLOOKUP(Y429,[2]Sheet1!$C:$N,12,0),IF(I429=13,VLOOKUP(Y429,[3]Sheet1!$C:$N,12,0),IF(I429=15,VLOOKUP(Y429,[4]Sheet1!$C:$N,12,0),"Unknown")))</f>
        <v>ULTRAPROOF</v>
      </c>
      <c r="BM429" t="str">
        <f>VLOOKUP(W429,[1]branch!$A:$B,2,0)</f>
        <v>HO CHI MINH</v>
      </c>
    </row>
    <row r="430" spans="1:65" x14ac:dyDescent="0.35">
      <c r="A430" s="10">
        <v>45995</v>
      </c>
      <c r="B430" s="9" t="s">
        <v>1309</v>
      </c>
      <c r="C430" s="9" t="s">
        <v>64</v>
      </c>
      <c r="D430" s="9" t="s">
        <v>92</v>
      </c>
      <c r="E430" s="11">
        <v>30</v>
      </c>
      <c r="F430" s="9" t="s">
        <v>93</v>
      </c>
      <c r="G430" s="9" t="s">
        <v>65</v>
      </c>
      <c r="H430" s="9" t="s">
        <v>66</v>
      </c>
      <c r="I430" s="9">
        <v>13</v>
      </c>
      <c r="J430" s="9" t="s">
        <v>787</v>
      </c>
      <c r="K430" s="9" t="s">
        <v>787</v>
      </c>
      <c r="L430" s="9" t="s">
        <v>787</v>
      </c>
      <c r="M430" s="9" t="s">
        <v>788</v>
      </c>
      <c r="N430" s="9" t="s">
        <v>789</v>
      </c>
      <c r="O430" s="9" t="s">
        <v>443</v>
      </c>
      <c r="P430" s="9" t="s">
        <v>67</v>
      </c>
      <c r="Q430" s="9" t="s">
        <v>98</v>
      </c>
      <c r="R430" s="9" t="s">
        <v>787</v>
      </c>
      <c r="S430" s="9" t="s">
        <v>788</v>
      </c>
      <c r="T430" s="9" t="s">
        <v>836</v>
      </c>
      <c r="U430" s="9" t="s">
        <v>67</v>
      </c>
      <c r="V430" s="9" t="s">
        <v>761</v>
      </c>
      <c r="W430" s="9" t="s">
        <v>762</v>
      </c>
      <c r="X430" s="11">
        <v>10</v>
      </c>
      <c r="Y430" s="9" t="s">
        <v>778</v>
      </c>
      <c r="Z430" s="9" t="s">
        <v>76</v>
      </c>
      <c r="AA430" s="9" t="s">
        <v>779</v>
      </c>
      <c r="AB430" s="9" t="s">
        <v>67</v>
      </c>
      <c r="AC430" s="9" t="s">
        <v>768</v>
      </c>
      <c r="AD430" s="11">
        <v>4</v>
      </c>
      <c r="AE430" s="9" t="s">
        <v>70</v>
      </c>
      <c r="AF430" s="9" t="s">
        <v>71</v>
      </c>
      <c r="AG430" s="13">
        <v>1</v>
      </c>
      <c r="AH430" s="9" t="s">
        <v>92</v>
      </c>
      <c r="AI430" s="13">
        <v>1767273</v>
      </c>
      <c r="AJ430" s="13">
        <v>7069092</v>
      </c>
      <c r="AK430" s="11">
        <v>1025018</v>
      </c>
      <c r="AL430" s="11">
        <v>0</v>
      </c>
      <c r="AM430" s="11">
        <v>0</v>
      </c>
      <c r="AN430" s="9" t="s">
        <v>612</v>
      </c>
      <c r="AO430" s="11">
        <v>6044074</v>
      </c>
      <c r="AP430" s="13">
        <v>483526</v>
      </c>
      <c r="AQ430" s="13">
        <v>6527600</v>
      </c>
      <c r="AR430" s="11">
        <v>80</v>
      </c>
      <c r="AS430" s="9" t="s">
        <v>72</v>
      </c>
      <c r="AT430" s="12">
        <v>57.552</v>
      </c>
      <c r="AU430" s="9" t="s">
        <v>73</v>
      </c>
      <c r="AV430" s="9" t="s">
        <v>67</v>
      </c>
      <c r="AW430" s="9" t="s">
        <v>1310</v>
      </c>
      <c r="AX430" s="10">
        <v>45994</v>
      </c>
      <c r="AY430" s="9" t="s">
        <v>1311</v>
      </c>
      <c r="AZ430" s="9" t="s">
        <v>67</v>
      </c>
      <c r="BA430" s="9" t="s">
        <v>67</v>
      </c>
      <c r="BB430" s="12">
        <v>80</v>
      </c>
      <c r="BC430" s="9" t="s">
        <v>74</v>
      </c>
      <c r="BD430" s="9" t="s">
        <v>104</v>
      </c>
      <c r="BE430" s="9" t="s">
        <v>75</v>
      </c>
      <c r="BF430" s="11">
        <v>0</v>
      </c>
      <c r="BG430">
        <f t="shared" si="14"/>
        <v>12</v>
      </c>
      <c r="BH430" t="str">
        <f>VLOOKUP(BG430,[1]month!$A:$B,2,0)</f>
        <v>Desember</v>
      </c>
      <c r="BI430">
        <f t="shared" si="15"/>
        <v>2025</v>
      </c>
      <c r="BJ430" t="str">
        <f>VLOOKUP(I430,[1]Dist!$A:$B,2,0)</f>
        <v>Retail</v>
      </c>
      <c r="BK430" t="str">
        <f>IF(I430=11,VLOOKUP(Y430,[2]Sheet1!$C:$N,10,0),IF(I430=13,VLOOKUP(Y430,[3]Sheet1!$C:$N,10,0),IF(I430=15,VLOOKUP(Y430,[4]Sheet1!$C:$N,10,0),"Unknown")))</f>
        <v>ULTRAFLEX</v>
      </c>
      <c r="BL430" t="str">
        <f>IF(I430=11,VLOOKUP(Y430,[2]Sheet1!$C:$N,12,0),IF(I430=13,VLOOKUP(Y430,[3]Sheet1!$C:$N,12,0),IF(I430=15,VLOOKUP(Y430,[4]Sheet1!$C:$N,12,0),"Unknown")))</f>
        <v>ULTRAFLEX MEMBRANE</v>
      </c>
      <c r="BM430" t="str">
        <f>VLOOKUP(W430,[1]branch!$A:$B,2,0)</f>
        <v>HO CHI MINH</v>
      </c>
    </row>
    <row r="431" spans="1:65" x14ac:dyDescent="0.35">
      <c r="A431" s="10">
        <v>45995</v>
      </c>
      <c r="B431" s="9" t="s">
        <v>1312</v>
      </c>
      <c r="C431" s="9" t="s">
        <v>64</v>
      </c>
      <c r="D431" s="9" t="s">
        <v>92</v>
      </c>
      <c r="E431" s="11">
        <v>30</v>
      </c>
      <c r="F431" s="9" t="s">
        <v>93</v>
      </c>
      <c r="G431" s="9" t="s">
        <v>65</v>
      </c>
      <c r="H431" s="9" t="s">
        <v>66</v>
      </c>
      <c r="I431" s="9">
        <v>13</v>
      </c>
      <c r="J431" s="9" t="s">
        <v>811</v>
      </c>
      <c r="K431" s="9" t="s">
        <v>811</v>
      </c>
      <c r="L431" s="9" t="s">
        <v>811</v>
      </c>
      <c r="M431" s="9" t="s">
        <v>812</v>
      </c>
      <c r="N431" s="9" t="s">
        <v>813</v>
      </c>
      <c r="O431" s="9" t="s">
        <v>150</v>
      </c>
      <c r="P431" s="9" t="s">
        <v>67</v>
      </c>
      <c r="Q431" s="9" t="s">
        <v>98</v>
      </c>
      <c r="R431" s="9" t="s">
        <v>811</v>
      </c>
      <c r="S431" s="9" t="s">
        <v>812</v>
      </c>
      <c r="T431" s="9" t="s">
        <v>824</v>
      </c>
      <c r="U431" s="9" t="s">
        <v>67</v>
      </c>
      <c r="V431" s="9" t="s">
        <v>761</v>
      </c>
      <c r="W431" s="9" t="s">
        <v>762</v>
      </c>
      <c r="X431" s="11">
        <v>10</v>
      </c>
      <c r="Y431" s="9" t="s">
        <v>702</v>
      </c>
      <c r="Z431" s="9" t="s">
        <v>76</v>
      </c>
      <c r="AA431" s="9" t="s">
        <v>703</v>
      </c>
      <c r="AB431" s="9" t="s">
        <v>67</v>
      </c>
      <c r="AC431" s="9" t="s">
        <v>704</v>
      </c>
      <c r="AD431" s="11">
        <v>8</v>
      </c>
      <c r="AE431" s="9" t="s">
        <v>70</v>
      </c>
      <c r="AF431" s="9" t="s">
        <v>71</v>
      </c>
      <c r="AG431" s="13">
        <v>1</v>
      </c>
      <c r="AH431" s="9" t="s">
        <v>92</v>
      </c>
      <c r="AI431" s="13">
        <v>134545</v>
      </c>
      <c r="AJ431" s="13">
        <v>1076360</v>
      </c>
      <c r="AK431" s="11">
        <v>207199</v>
      </c>
      <c r="AL431" s="11">
        <v>0</v>
      </c>
      <c r="AM431" s="11">
        <v>0</v>
      </c>
      <c r="AN431" s="9" t="s">
        <v>314</v>
      </c>
      <c r="AO431" s="11">
        <v>869161</v>
      </c>
      <c r="AP431" s="13">
        <v>69533</v>
      </c>
      <c r="AQ431" s="13">
        <v>938694</v>
      </c>
      <c r="AR431" s="12">
        <v>7.3680000000000003</v>
      </c>
      <c r="AS431" s="9" t="s">
        <v>72</v>
      </c>
      <c r="AT431" s="12">
        <v>7.2</v>
      </c>
      <c r="AU431" s="9" t="s">
        <v>73</v>
      </c>
      <c r="AV431" s="9" t="s">
        <v>67</v>
      </c>
      <c r="AW431" s="9" t="s">
        <v>1225</v>
      </c>
      <c r="AX431" s="10">
        <v>45993</v>
      </c>
      <c r="AY431" s="9" t="s">
        <v>1313</v>
      </c>
      <c r="AZ431" s="9" t="s">
        <v>67</v>
      </c>
      <c r="BA431" s="9" t="s">
        <v>67</v>
      </c>
      <c r="BB431" s="12">
        <v>7.2</v>
      </c>
      <c r="BC431" s="9" t="s">
        <v>74</v>
      </c>
      <c r="BD431" s="9" t="s">
        <v>104</v>
      </c>
      <c r="BE431" s="9" t="s">
        <v>75</v>
      </c>
      <c r="BF431" s="11">
        <v>0</v>
      </c>
      <c r="BG431">
        <f t="shared" si="14"/>
        <v>12</v>
      </c>
      <c r="BH431" t="str">
        <f>VLOOKUP(BG431,[1]month!$A:$B,2,0)</f>
        <v>Desember</v>
      </c>
      <c r="BI431">
        <f t="shared" si="15"/>
        <v>2025</v>
      </c>
      <c r="BJ431" t="str">
        <f>VLOOKUP(I431,[1]Dist!$A:$B,2,0)</f>
        <v>Retail</v>
      </c>
      <c r="BK431" t="str">
        <f>IF(I431=11,VLOOKUP(Y431,[2]Sheet1!$C:$N,10,0),IF(I431=13,VLOOKUP(Y431,[3]Sheet1!$C:$N,10,0),IF(I431=15,VLOOKUP(Y431,[4]Sheet1!$C:$N,10,0),"Unknown")))</f>
        <v>GO FAST</v>
      </c>
      <c r="BL431" t="str">
        <f>IF(I431=11,VLOOKUP(Y431,[2]Sheet1!$C:$N,12,0),IF(I431=13,VLOOKUP(Y431,[3]Sheet1!$C:$N,12,0),IF(I431=15,VLOOKUP(Y431,[4]Sheet1!$C:$N,12,0),"Unknown")))</f>
        <v>GO FAST BASE</v>
      </c>
      <c r="BM431" t="str">
        <f>VLOOKUP(W431,[1]branch!$A:$B,2,0)</f>
        <v>HO CHI MINH</v>
      </c>
    </row>
    <row r="432" spans="1:65" x14ac:dyDescent="0.35">
      <c r="A432" s="10">
        <v>45995</v>
      </c>
      <c r="B432" s="9" t="s">
        <v>1314</v>
      </c>
      <c r="C432" s="9" t="s">
        <v>64</v>
      </c>
      <c r="D432" s="9" t="s">
        <v>92</v>
      </c>
      <c r="E432" s="11">
        <v>30</v>
      </c>
      <c r="F432" s="9" t="s">
        <v>93</v>
      </c>
      <c r="G432" s="9" t="s">
        <v>65</v>
      </c>
      <c r="H432" s="9" t="s">
        <v>66</v>
      </c>
      <c r="I432" s="9">
        <v>11</v>
      </c>
      <c r="J432" s="9" t="s">
        <v>838</v>
      </c>
      <c r="K432" s="9" t="s">
        <v>838</v>
      </c>
      <c r="L432" s="9" t="s">
        <v>838</v>
      </c>
      <c r="M432" s="9" t="s">
        <v>839</v>
      </c>
      <c r="N432" s="9" t="s">
        <v>840</v>
      </c>
      <c r="O432" s="9" t="s">
        <v>698</v>
      </c>
      <c r="P432" s="9" t="s">
        <v>67</v>
      </c>
      <c r="Q432" s="9" t="s">
        <v>98</v>
      </c>
      <c r="R432" s="9" t="s">
        <v>838</v>
      </c>
      <c r="S432" s="9" t="s">
        <v>839</v>
      </c>
      <c r="T432" s="9" t="s">
        <v>841</v>
      </c>
      <c r="U432" s="9" t="s">
        <v>67</v>
      </c>
      <c r="V432" s="9" t="s">
        <v>121</v>
      </c>
      <c r="W432" s="9" t="s">
        <v>122</v>
      </c>
      <c r="X432" s="11">
        <v>10</v>
      </c>
      <c r="Y432" s="9" t="s">
        <v>886</v>
      </c>
      <c r="Z432" s="9" t="s">
        <v>68</v>
      </c>
      <c r="AA432" s="9" t="s">
        <v>887</v>
      </c>
      <c r="AB432" s="9" t="s">
        <v>67</v>
      </c>
      <c r="AC432" s="9" t="s">
        <v>888</v>
      </c>
      <c r="AD432" s="11">
        <v>25</v>
      </c>
      <c r="AE432" s="9" t="s">
        <v>70</v>
      </c>
      <c r="AF432" s="9" t="s">
        <v>71</v>
      </c>
      <c r="AG432" s="13">
        <v>1</v>
      </c>
      <c r="AH432" s="9" t="s">
        <v>92</v>
      </c>
      <c r="AI432" s="13">
        <v>2800000</v>
      </c>
      <c r="AJ432" s="13">
        <v>70000000</v>
      </c>
      <c r="AK432" s="11">
        <v>0</v>
      </c>
      <c r="AL432" s="11">
        <v>0</v>
      </c>
      <c r="AM432" s="11">
        <v>0</v>
      </c>
      <c r="AN432" s="9" t="s">
        <v>67</v>
      </c>
      <c r="AO432" s="11">
        <v>70000000</v>
      </c>
      <c r="AP432" s="13">
        <v>5600000</v>
      </c>
      <c r="AQ432" s="13">
        <v>75600000</v>
      </c>
      <c r="AR432" s="11">
        <v>500</v>
      </c>
      <c r="AS432" s="9" t="s">
        <v>72</v>
      </c>
      <c r="AT432" s="12">
        <v>299.39999999999998</v>
      </c>
      <c r="AU432" s="9" t="s">
        <v>73</v>
      </c>
      <c r="AV432" s="9" t="s">
        <v>67</v>
      </c>
      <c r="AW432" s="9" t="s">
        <v>1315</v>
      </c>
      <c r="AX432" s="10">
        <v>45989</v>
      </c>
      <c r="AY432" s="9" t="s">
        <v>1316</v>
      </c>
      <c r="AZ432" s="9" t="s">
        <v>67</v>
      </c>
      <c r="BA432" s="9" t="s">
        <v>67</v>
      </c>
      <c r="BB432" s="12">
        <v>500</v>
      </c>
      <c r="BC432" s="9" t="s">
        <v>74</v>
      </c>
      <c r="BD432" s="9" t="s">
        <v>104</v>
      </c>
      <c r="BE432" s="9" t="s">
        <v>75</v>
      </c>
      <c r="BF432" s="11">
        <v>0</v>
      </c>
      <c r="BG432">
        <f t="shared" si="14"/>
        <v>12</v>
      </c>
      <c r="BH432" t="str">
        <f>VLOOKUP(BG432,[1]month!$A:$B,2,0)</f>
        <v>Desember</v>
      </c>
      <c r="BI432">
        <f t="shared" si="15"/>
        <v>2025</v>
      </c>
      <c r="BJ432" t="str">
        <f>VLOOKUP(I432,[1]Dist!$A:$B,2,0)</f>
        <v>Industry</v>
      </c>
      <c r="BK432" t="str">
        <f>IF(I432=11,VLOOKUP(Y432,[2]Sheet1!$C:$N,10,0),IF(I432=13,VLOOKUP(Y432,[3]Sheet1!$C:$N,10,0),IF(I432=15,VLOOKUP(Y432,[4]Sheet1!$C:$N,10,0),"Unknown")))</f>
        <v>CAN COATINGS</v>
      </c>
      <c r="BL432" t="str">
        <f>IF(I432=11,VLOOKUP(Y432,[2]Sheet1!$C:$N,12,0),IF(I432=13,VLOOKUP(Y432,[3]Sheet1!$C:$N,12,0),IF(I432=15,VLOOKUP(Y432,[4]Sheet1!$C:$N,12,0),"Unknown")))</f>
        <v>CAN COATINGS</v>
      </c>
      <c r="BM432" t="str">
        <f>VLOOKUP(W432,[1]branch!$A:$B,2,0)</f>
        <v>INDUSTRY</v>
      </c>
    </row>
    <row r="433" spans="1:65" x14ac:dyDescent="0.35">
      <c r="A433" s="10">
        <v>45995</v>
      </c>
      <c r="B433" s="9" t="s">
        <v>1317</v>
      </c>
      <c r="C433" s="9" t="s">
        <v>64</v>
      </c>
      <c r="D433" s="9" t="s">
        <v>92</v>
      </c>
      <c r="E433" s="11">
        <v>30</v>
      </c>
      <c r="F433" s="9" t="s">
        <v>93</v>
      </c>
      <c r="G433" s="9" t="s">
        <v>65</v>
      </c>
      <c r="H433" s="9" t="s">
        <v>66</v>
      </c>
      <c r="I433" s="9">
        <v>13</v>
      </c>
      <c r="J433" s="9" t="s">
        <v>853</v>
      </c>
      <c r="K433" s="9" t="s">
        <v>853</v>
      </c>
      <c r="L433" s="9" t="s">
        <v>853</v>
      </c>
      <c r="M433" s="9" t="s">
        <v>854</v>
      </c>
      <c r="N433" s="9" t="s">
        <v>442</v>
      </c>
      <c r="O433" s="9" t="s">
        <v>150</v>
      </c>
      <c r="P433" s="9" t="s">
        <v>67</v>
      </c>
      <c r="Q433" s="9" t="s">
        <v>98</v>
      </c>
      <c r="R433" s="9" t="s">
        <v>853</v>
      </c>
      <c r="S433" s="9" t="s">
        <v>854</v>
      </c>
      <c r="T433" s="9" t="s">
        <v>855</v>
      </c>
      <c r="U433" s="9" t="s">
        <v>67</v>
      </c>
      <c r="V433" s="9" t="s">
        <v>832</v>
      </c>
      <c r="W433" s="9" t="s">
        <v>833</v>
      </c>
      <c r="X433" s="11">
        <v>10</v>
      </c>
      <c r="Y433" s="9" t="s">
        <v>1318</v>
      </c>
      <c r="Z433" s="9" t="s">
        <v>68</v>
      </c>
      <c r="AA433" s="9" t="s">
        <v>1319</v>
      </c>
      <c r="AB433" s="9" t="s">
        <v>67</v>
      </c>
      <c r="AC433" s="9" t="s">
        <v>305</v>
      </c>
      <c r="AD433" s="11">
        <v>10</v>
      </c>
      <c r="AE433" s="9" t="s">
        <v>70</v>
      </c>
      <c r="AF433" s="9" t="s">
        <v>71</v>
      </c>
      <c r="AG433" s="13">
        <v>1</v>
      </c>
      <c r="AH433" s="9" t="s">
        <v>92</v>
      </c>
      <c r="AI433" s="13">
        <v>1264074</v>
      </c>
      <c r="AJ433" s="13">
        <v>12640740</v>
      </c>
      <c r="AK433" s="11">
        <v>3160185</v>
      </c>
      <c r="AL433" s="11">
        <v>0</v>
      </c>
      <c r="AM433" s="11">
        <v>0</v>
      </c>
      <c r="AN433" s="9" t="s">
        <v>598</v>
      </c>
      <c r="AO433" s="11">
        <v>9480555</v>
      </c>
      <c r="AP433" s="13">
        <v>758444</v>
      </c>
      <c r="AQ433" s="13">
        <v>10238999</v>
      </c>
      <c r="AR433" s="12">
        <v>237.55</v>
      </c>
      <c r="AS433" s="9" t="s">
        <v>72</v>
      </c>
      <c r="AT433" s="11">
        <v>180</v>
      </c>
      <c r="AU433" s="9" t="s">
        <v>73</v>
      </c>
      <c r="AV433" s="9" t="s">
        <v>67</v>
      </c>
      <c r="AW433" s="9" t="s">
        <v>1320</v>
      </c>
      <c r="AX433" s="10">
        <v>45994</v>
      </c>
      <c r="AY433" s="9" t="s">
        <v>1321</v>
      </c>
      <c r="AZ433" s="9" t="s">
        <v>67</v>
      </c>
      <c r="BA433" s="9" t="s">
        <v>67</v>
      </c>
      <c r="BB433" s="12">
        <v>180</v>
      </c>
      <c r="BC433" s="9" t="s">
        <v>74</v>
      </c>
      <c r="BD433" s="9" t="s">
        <v>104</v>
      </c>
      <c r="BE433" s="9" t="s">
        <v>75</v>
      </c>
      <c r="BF433" s="11">
        <v>0</v>
      </c>
      <c r="BG433">
        <f t="shared" si="14"/>
        <v>12</v>
      </c>
      <c r="BH433" t="str">
        <f>VLOOKUP(BG433,[1]month!$A:$B,2,0)</f>
        <v>Desember</v>
      </c>
      <c r="BI433">
        <f t="shared" si="15"/>
        <v>2025</v>
      </c>
      <c r="BJ433" t="str">
        <f>VLOOKUP(I433,[1]Dist!$A:$B,2,0)</f>
        <v>Retail</v>
      </c>
      <c r="BK433" t="str">
        <f>IF(I433=11,VLOOKUP(Y433,[2]Sheet1!$C:$N,10,0),IF(I433=13,VLOOKUP(Y433,[3]Sheet1!$C:$N,10,0),IF(I433=15,VLOOKUP(Y433,[4]Sheet1!$C:$N,10,0),"Unknown")))</f>
        <v>DECOR</v>
      </c>
      <c r="BL433" t="str">
        <f>IF(I433=11,VLOOKUP(Y433,[2]Sheet1!$C:$N,12,0),IF(I433=13,VLOOKUP(Y433,[3]Sheet1!$C:$N,12,0),IF(I433=15,VLOOKUP(Y433,[4]Sheet1!$C:$N,12,0),"Unknown")))</f>
        <v>DECORCRYL BASE</v>
      </c>
      <c r="BM433" t="str">
        <f>VLOOKUP(W433,[1]branch!$A:$B,2,0)</f>
        <v>HO CHI MINH</v>
      </c>
    </row>
    <row r="434" spans="1:65" x14ac:dyDescent="0.35">
      <c r="A434" s="10">
        <v>45995</v>
      </c>
      <c r="B434" s="9" t="s">
        <v>1322</v>
      </c>
      <c r="C434" s="9" t="s">
        <v>64</v>
      </c>
      <c r="D434" s="9" t="s">
        <v>92</v>
      </c>
      <c r="E434" s="11">
        <v>45</v>
      </c>
      <c r="F434" s="9" t="s">
        <v>93</v>
      </c>
      <c r="G434" s="9" t="s">
        <v>65</v>
      </c>
      <c r="H434" s="9" t="s">
        <v>66</v>
      </c>
      <c r="I434" s="9">
        <v>11</v>
      </c>
      <c r="J434" s="9" t="s">
        <v>162</v>
      </c>
      <c r="K434" s="9" t="s">
        <v>162</v>
      </c>
      <c r="L434" s="9" t="s">
        <v>162</v>
      </c>
      <c r="M434" s="9" t="s">
        <v>163</v>
      </c>
      <c r="N434" s="9" t="s">
        <v>867</v>
      </c>
      <c r="O434" s="9" t="s">
        <v>97</v>
      </c>
      <c r="P434" s="9" t="s">
        <v>67</v>
      </c>
      <c r="Q434" s="9" t="s">
        <v>98</v>
      </c>
      <c r="R434" s="9" t="s">
        <v>162</v>
      </c>
      <c r="S434" s="9" t="s">
        <v>163</v>
      </c>
      <c r="T434" s="9" t="s">
        <v>795</v>
      </c>
      <c r="U434" s="9" t="s">
        <v>67</v>
      </c>
      <c r="V434" s="9" t="s">
        <v>130</v>
      </c>
      <c r="W434" s="9" t="s">
        <v>131</v>
      </c>
      <c r="X434" s="11">
        <v>20</v>
      </c>
      <c r="Y434" s="9" t="s">
        <v>454</v>
      </c>
      <c r="Z434" s="9" t="s">
        <v>68</v>
      </c>
      <c r="AA434" s="9" t="s">
        <v>455</v>
      </c>
      <c r="AB434" s="9" t="s">
        <v>67</v>
      </c>
      <c r="AC434" s="9" t="s">
        <v>91</v>
      </c>
      <c r="AD434" s="11">
        <v>1</v>
      </c>
      <c r="AE434" s="9" t="s">
        <v>70</v>
      </c>
      <c r="AF434" s="9" t="s">
        <v>71</v>
      </c>
      <c r="AG434" s="13">
        <v>1</v>
      </c>
      <c r="AH434" s="9" t="s">
        <v>92</v>
      </c>
      <c r="AI434" s="13">
        <v>938400</v>
      </c>
      <c r="AJ434" s="13">
        <v>938400</v>
      </c>
      <c r="AK434" s="11">
        <v>0</v>
      </c>
      <c r="AL434" s="11">
        <v>0</v>
      </c>
      <c r="AM434" s="11">
        <v>0</v>
      </c>
      <c r="AN434" s="9" t="s">
        <v>67</v>
      </c>
      <c r="AO434" s="11">
        <v>938400</v>
      </c>
      <c r="AP434" s="13">
        <v>75072</v>
      </c>
      <c r="AQ434" s="13">
        <v>1013472</v>
      </c>
      <c r="AR434" s="11">
        <v>4</v>
      </c>
      <c r="AS434" s="9" t="s">
        <v>72</v>
      </c>
      <c r="AT434" s="12">
        <v>3.92</v>
      </c>
      <c r="AU434" s="9" t="s">
        <v>73</v>
      </c>
      <c r="AV434" s="9" t="s">
        <v>67</v>
      </c>
      <c r="AW434" s="9" t="s">
        <v>954</v>
      </c>
      <c r="AX434" s="10">
        <v>45987</v>
      </c>
      <c r="AY434" s="9" t="s">
        <v>1323</v>
      </c>
      <c r="AZ434" s="9" t="s">
        <v>67</v>
      </c>
      <c r="BA434" s="9" t="s">
        <v>67</v>
      </c>
      <c r="BB434" s="12">
        <v>4</v>
      </c>
      <c r="BC434" s="9" t="s">
        <v>74</v>
      </c>
      <c r="BD434" s="9" t="s">
        <v>104</v>
      </c>
      <c r="BE434" s="9" t="s">
        <v>75</v>
      </c>
      <c r="BF434" s="11">
        <v>0</v>
      </c>
      <c r="BG434">
        <f t="shared" si="14"/>
        <v>12</v>
      </c>
      <c r="BH434" t="str">
        <f>VLOOKUP(BG434,[1]month!$A:$B,2,0)</f>
        <v>Desember</v>
      </c>
      <c r="BI434">
        <f t="shared" si="15"/>
        <v>2025</v>
      </c>
      <c r="BJ434" t="str">
        <f>VLOOKUP(I434,[1]Dist!$A:$B,2,0)</f>
        <v>Industry</v>
      </c>
      <c r="BK434" t="str">
        <f>IF(I434=11,VLOOKUP(Y434,[2]Sheet1!$C:$N,10,0),IF(I434=13,VLOOKUP(Y434,[3]Sheet1!$C:$N,10,0),IF(I434=15,VLOOKUP(Y434,[4]Sheet1!$C:$N,10,0),"Unknown")))</f>
        <v>COMPLEMENTARY</v>
      </c>
      <c r="BL434" t="str">
        <f>IF(I434=11,VLOOKUP(Y434,[2]Sheet1!$C:$N,12,0),IF(I434=13,VLOOKUP(Y434,[3]Sheet1!$C:$N,12,0),IF(I434=15,VLOOKUP(Y434,[4]Sheet1!$C:$N,12,0),"Unknown")))</f>
        <v>PASTA</v>
      </c>
      <c r="BM434" t="str">
        <f>VLOOKUP(W434,[1]branch!$A:$B,2,0)</f>
        <v>INDUSTRY</v>
      </c>
    </row>
    <row r="435" spans="1:65" x14ac:dyDescent="0.35">
      <c r="A435" s="10">
        <v>45995</v>
      </c>
      <c r="B435" s="9" t="s">
        <v>1324</v>
      </c>
      <c r="C435" s="9" t="s">
        <v>64</v>
      </c>
      <c r="D435" s="9" t="s">
        <v>92</v>
      </c>
      <c r="E435" s="11">
        <v>45</v>
      </c>
      <c r="F435" s="9" t="s">
        <v>93</v>
      </c>
      <c r="G435" s="9" t="s">
        <v>65</v>
      </c>
      <c r="H435" s="9" t="s">
        <v>66</v>
      </c>
      <c r="I435" s="9">
        <v>11</v>
      </c>
      <c r="J435" s="9" t="s">
        <v>162</v>
      </c>
      <c r="K435" s="9" t="s">
        <v>162</v>
      </c>
      <c r="L435" s="9" t="s">
        <v>162</v>
      </c>
      <c r="M435" s="9" t="s">
        <v>163</v>
      </c>
      <c r="N435" s="9" t="s">
        <v>867</v>
      </c>
      <c r="O435" s="9" t="s">
        <v>97</v>
      </c>
      <c r="P435" s="9" t="s">
        <v>67</v>
      </c>
      <c r="Q435" s="9" t="s">
        <v>98</v>
      </c>
      <c r="R435" s="9" t="s">
        <v>162</v>
      </c>
      <c r="S435" s="9" t="s">
        <v>163</v>
      </c>
      <c r="T435" s="9" t="s">
        <v>795</v>
      </c>
      <c r="U435" s="9" t="s">
        <v>67</v>
      </c>
      <c r="V435" s="9" t="s">
        <v>130</v>
      </c>
      <c r="W435" s="9" t="s">
        <v>131</v>
      </c>
      <c r="X435" s="11">
        <v>10</v>
      </c>
      <c r="Y435" s="9" t="s">
        <v>164</v>
      </c>
      <c r="Z435" s="9" t="s">
        <v>68</v>
      </c>
      <c r="AA435" s="9" t="s">
        <v>165</v>
      </c>
      <c r="AB435" s="9" t="s">
        <v>67</v>
      </c>
      <c r="AC435" s="9" t="s">
        <v>166</v>
      </c>
      <c r="AD435" s="11">
        <v>10</v>
      </c>
      <c r="AE435" s="9" t="s">
        <v>70</v>
      </c>
      <c r="AF435" s="9" t="s">
        <v>71</v>
      </c>
      <c r="AG435" s="13">
        <v>1</v>
      </c>
      <c r="AH435" s="9" t="s">
        <v>92</v>
      </c>
      <c r="AI435" s="13">
        <v>984000</v>
      </c>
      <c r="AJ435" s="13">
        <v>9840000</v>
      </c>
      <c r="AK435" s="11">
        <v>0</v>
      </c>
      <c r="AL435" s="11">
        <v>0</v>
      </c>
      <c r="AM435" s="11">
        <v>0</v>
      </c>
      <c r="AN435" s="9" t="s">
        <v>67</v>
      </c>
      <c r="AO435" s="11">
        <v>9840000</v>
      </c>
      <c r="AP435" s="13">
        <v>787200</v>
      </c>
      <c r="AQ435" s="13">
        <v>10627200</v>
      </c>
      <c r="AR435" s="11">
        <v>160</v>
      </c>
      <c r="AS435" s="9" t="s">
        <v>72</v>
      </c>
      <c r="AT435" s="12">
        <v>153.80000000000001</v>
      </c>
      <c r="AU435" s="9" t="s">
        <v>73</v>
      </c>
      <c r="AV435" s="9" t="s">
        <v>67</v>
      </c>
      <c r="AW435" s="9" t="s">
        <v>1325</v>
      </c>
      <c r="AX435" s="10">
        <v>45987</v>
      </c>
      <c r="AY435" s="9" t="s">
        <v>1326</v>
      </c>
      <c r="AZ435" s="9" t="s">
        <v>67</v>
      </c>
      <c r="BA435" s="9" t="s">
        <v>67</v>
      </c>
      <c r="BB435" s="12">
        <v>160</v>
      </c>
      <c r="BC435" s="9" t="s">
        <v>74</v>
      </c>
      <c r="BD435" s="9" t="s">
        <v>104</v>
      </c>
      <c r="BE435" s="9" t="s">
        <v>75</v>
      </c>
      <c r="BF435" s="11">
        <v>0</v>
      </c>
      <c r="BG435">
        <f t="shared" si="14"/>
        <v>12</v>
      </c>
      <c r="BH435" t="str">
        <f>VLOOKUP(BG435,[1]month!$A:$B,2,0)</f>
        <v>Desember</v>
      </c>
      <c r="BI435">
        <f t="shared" si="15"/>
        <v>2025</v>
      </c>
      <c r="BJ435" t="str">
        <f>VLOOKUP(I435,[1]Dist!$A:$B,2,0)</f>
        <v>Industry</v>
      </c>
      <c r="BK435" t="str">
        <f>IF(I435=11,VLOOKUP(Y435,[2]Sheet1!$C:$N,10,0),IF(I435=13,VLOOKUP(Y435,[3]Sheet1!$C:$N,10,0),IF(I435=15,VLOOKUP(Y435,[4]Sheet1!$C:$N,10,0),"Unknown")))</f>
        <v>PU</v>
      </c>
      <c r="BL435" t="str">
        <f>IF(I435=11,VLOOKUP(Y435,[2]Sheet1!$C:$N,12,0),IF(I435=13,VLOOKUP(Y435,[3]Sheet1!$C:$N,12,0),IF(I435=15,VLOOKUP(Y435,[4]Sheet1!$C:$N,12,0),"Unknown")))</f>
        <v>UNION SANDING SEALER</v>
      </c>
      <c r="BM435" t="str">
        <f>VLOOKUP(W435,[1]branch!$A:$B,2,0)</f>
        <v>INDUSTRY</v>
      </c>
    </row>
    <row r="436" spans="1:65" x14ac:dyDescent="0.35">
      <c r="A436" s="10">
        <v>45995</v>
      </c>
      <c r="B436" s="9" t="s">
        <v>1324</v>
      </c>
      <c r="C436" s="9" t="s">
        <v>64</v>
      </c>
      <c r="D436" s="9" t="s">
        <v>92</v>
      </c>
      <c r="E436" s="11">
        <v>45</v>
      </c>
      <c r="F436" s="9" t="s">
        <v>93</v>
      </c>
      <c r="G436" s="9" t="s">
        <v>65</v>
      </c>
      <c r="H436" s="9" t="s">
        <v>66</v>
      </c>
      <c r="I436" s="9">
        <v>11</v>
      </c>
      <c r="J436" s="9" t="s">
        <v>162</v>
      </c>
      <c r="K436" s="9" t="s">
        <v>162</v>
      </c>
      <c r="L436" s="9" t="s">
        <v>162</v>
      </c>
      <c r="M436" s="9" t="s">
        <v>163</v>
      </c>
      <c r="N436" s="9" t="s">
        <v>867</v>
      </c>
      <c r="O436" s="9" t="s">
        <v>97</v>
      </c>
      <c r="P436" s="9" t="s">
        <v>67</v>
      </c>
      <c r="Q436" s="9" t="s">
        <v>98</v>
      </c>
      <c r="R436" s="9" t="s">
        <v>162</v>
      </c>
      <c r="S436" s="9" t="s">
        <v>163</v>
      </c>
      <c r="T436" s="9" t="s">
        <v>795</v>
      </c>
      <c r="U436" s="9" t="s">
        <v>67</v>
      </c>
      <c r="V436" s="9" t="s">
        <v>130</v>
      </c>
      <c r="W436" s="9" t="s">
        <v>131</v>
      </c>
      <c r="X436" s="11">
        <v>20</v>
      </c>
      <c r="Y436" s="9" t="s">
        <v>167</v>
      </c>
      <c r="Z436" s="9" t="s">
        <v>68</v>
      </c>
      <c r="AA436" s="9" t="s">
        <v>168</v>
      </c>
      <c r="AB436" s="9" t="s">
        <v>67</v>
      </c>
      <c r="AC436" s="9" t="s">
        <v>169</v>
      </c>
      <c r="AD436" s="11">
        <v>20</v>
      </c>
      <c r="AE436" s="9" t="s">
        <v>70</v>
      </c>
      <c r="AF436" s="9" t="s">
        <v>71</v>
      </c>
      <c r="AG436" s="13">
        <v>1</v>
      </c>
      <c r="AH436" s="9" t="s">
        <v>92</v>
      </c>
      <c r="AI436" s="13">
        <v>417200</v>
      </c>
      <c r="AJ436" s="13">
        <v>8344000</v>
      </c>
      <c r="AK436" s="11">
        <v>0</v>
      </c>
      <c r="AL436" s="11">
        <v>0</v>
      </c>
      <c r="AM436" s="11">
        <v>0</v>
      </c>
      <c r="AN436" s="9" t="s">
        <v>67</v>
      </c>
      <c r="AO436" s="11">
        <v>8344000</v>
      </c>
      <c r="AP436" s="13">
        <v>667520</v>
      </c>
      <c r="AQ436" s="13">
        <v>9011520</v>
      </c>
      <c r="AR436" s="11">
        <v>80</v>
      </c>
      <c r="AS436" s="9" t="s">
        <v>72</v>
      </c>
      <c r="AT436" s="11">
        <v>80</v>
      </c>
      <c r="AU436" s="9" t="s">
        <v>73</v>
      </c>
      <c r="AV436" s="9" t="s">
        <v>67</v>
      </c>
      <c r="AW436" s="9" t="s">
        <v>1325</v>
      </c>
      <c r="AX436" s="10">
        <v>45987</v>
      </c>
      <c r="AY436" s="9" t="s">
        <v>1326</v>
      </c>
      <c r="AZ436" s="9" t="s">
        <v>67</v>
      </c>
      <c r="BA436" s="9" t="s">
        <v>67</v>
      </c>
      <c r="BB436" s="12">
        <v>80</v>
      </c>
      <c r="BC436" s="9" t="s">
        <v>74</v>
      </c>
      <c r="BD436" s="9" t="s">
        <v>104</v>
      </c>
      <c r="BE436" s="9" t="s">
        <v>75</v>
      </c>
      <c r="BF436" s="11">
        <v>0</v>
      </c>
      <c r="BG436">
        <f t="shared" si="14"/>
        <v>12</v>
      </c>
      <c r="BH436" t="str">
        <f>VLOOKUP(BG436,[1]month!$A:$B,2,0)</f>
        <v>Desember</v>
      </c>
      <c r="BI436">
        <f t="shared" si="15"/>
        <v>2025</v>
      </c>
      <c r="BJ436" t="str">
        <f>VLOOKUP(I436,[1]Dist!$A:$B,2,0)</f>
        <v>Industry</v>
      </c>
      <c r="BK436" t="str">
        <f>IF(I436=11,VLOOKUP(Y436,[2]Sheet1!$C:$N,10,0),IF(I436=13,VLOOKUP(Y436,[3]Sheet1!$C:$N,10,0),IF(I436=15,VLOOKUP(Y436,[4]Sheet1!$C:$N,10,0),"Unknown")))</f>
        <v>PU</v>
      </c>
      <c r="BL436" t="str">
        <f>IF(I436=11,VLOOKUP(Y436,[2]Sheet1!$C:$N,12,0),IF(I436=13,VLOOKUP(Y436,[3]Sheet1!$C:$N,12,0),IF(I436=15,VLOOKUP(Y436,[4]Sheet1!$C:$N,12,0),"Unknown")))</f>
        <v>UNION HARDENER</v>
      </c>
      <c r="BM436" t="str">
        <f>VLOOKUP(W436,[1]branch!$A:$B,2,0)</f>
        <v>INDUSTRY</v>
      </c>
    </row>
    <row r="437" spans="1:65" x14ac:dyDescent="0.35">
      <c r="A437" s="10">
        <v>45995</v>
      </c>
      <c r="B437" s="9" t="s">
        <v>1324</v>
      </c>
      <c r="C437" s="9" t="s">
        <v>64</v>
      </c>
      <c r="D437" s="9" t="s">
        <v>92</v>
      </c>
      <c r="E437" s="11">
        <v>45</v>
      </c>
      <c r="F437" s="9" t="s">
        <v>93</v>
      </c>
      <c r="G437" s="9" t="s">
        <v>65</v>
      </c>
      <c r="H437" s="9" t="s">
        <v>66</v>
      </c>
      <c r="I437" s="9">
        <v>11</v>
      </c>
      <c r="J437" s="9" t="s">
        <v>162</v>
      </c>
      <c r="K437" s="9" t="s">
        <v>162</v>
      </c>
      <c r="L437" s="9" t="s">
        <v>162</v>
      </c>
      <c r="M437" s="9" t="s">
        <v>163</v>
      </c>
      <c r="N437" s="9" t="s">
        <v>867</v>
      </c>
      <c r="O437" s="9" t="s">
        <v>97</v>
      </c>
      <c r="P437" s="9" t="s">
        <v>67</v>
      </c>
      <c r="Q437" s="9" t="s">
        <v>98</v>
      </c>
      <c r="R437" s="9" t="s">
        <v>162</v>
      </c>
      <c r="S437" s="9" t="s">
        <v>163</v>
      </c>
      <c r="T437" s="9" t="s">
        <v>795</v>
      </c>
      <c r="U437" s="9" t="s">
        <v>67</v>
      </c>
      <c r="V437" s="9" t="s">
        <v>130</v>
      </c>
      <c r="W437" s="9" t="s">
        <v>131</v>
      </c>
      <c r="X437" s="11">
        <v>40</v>
      </c>
      <c r="Y437" s="9" t="s">
        <v>176</v>
      </c>
      <c r="Z437" s="9" t="s">
        <v>68</v>
      </c>
      <c r="AA437" s="9" t="s">
        <v>177</v>
      </c>
      <c r="AB437" s="9" t="s">
        <v>67</v>
      </c>
      <c r="AC437" s="9" t="s">
        <v>178</v>
      </c>
      <c r="AD437" s="11">
        <v>24</v>
      </c>
      <c r="AE437" s="9" t="s">
        <v>70</v>
      </c>
      <c r="AF437" s="9" t="s">
        <v>71</v>
      </c>
      <c r="AG437" s="13">
        <v>1</v>
      </c>
      <c r="AH437" s="9" t="s">
        <v>92</v>
      </c>
      <c r="AI437" s="13">
        <v>417200</v>
      </c>
      <c r="AJ437" s="13">
        <v>10012800</v>
      </c>
      <c r="AK437" s="11">
        <v>0</v>
      </c>
      <c r="AL437" s="11">
        <v>0</v>
      </c>
      <c r="AM437" s="11">
        <v>0</v>
      </c>
      <c r="AN437" s="9" t="s">
        <v>67</v>
      </c>
      <c r="AO437" s="11">
        <v>10012800</v>
      </c>
      <c r="AP437" s="13">
        <v>801024</v>
      </c>
      <c r="AQ437" s="13">
        <v>10813824</v>
      </c>
      <c r="AR437" s="11">
        <v>96</v>
      </c>
      <c r="AS437" s="9" t="s">
        <v>72</v>
      </c>
      <c r="AT437" s="12">
        <v>95.04</v>
      </c>
      <c r="AU437" s="9" t="s">
        <v>73</v>
      </c>
      <c r="AV437" s="9" t="s">
        <v>67</v>
      </c>
      <c r="AW437" s="9" t="s">
        <v>1325</v>
      </c>
      <c r="AX437" s="10">
        <v>45987</v>
      </c>
      <c r="AY437" s="9" t="s">
        <v>1326</v>
      </c>
      <c r="AZ437" s="9" t="s">
        <v>67</v>
      </c>
      <c r="BA437" s="9" t="s">
        <v>67</v>
      </c>
      <c r="BB437" s="12">
        <v>96</v>
      </c>
      <c r="BC437" s="9" t="s">
        <v>74</v>
      </c>
      <c r="BD437" s="9" t="s">
        <v>104</v>
      </c>
      <c r="BE437" s="9" t="s">
        <v>75</v>
      </c>
      <c r="BF437" s="11">
        <v>0</v>
      </c>
      <c r="BG437">
        <f t="shared" si="14"/>
        <v>12</v>
      </c>
      <c r="BH437" t="str">
        <f>VLOOKUP(BG437,[1]month!$A:$B,2,0)</f>
        <v>Desember</v>
      </c>
      <c r="BI437">
        <f t="shared" si="15"/>
        <v>2025</v>
      </c>
      <c r="BJ437" t="str">
        <f>VLOOKUP(I437,[1]Dist!$A:$B,2,0)</f>
        <v>Industry</v>
      </c>
      <c r="BK437" t="str">
        <f>IF(I437=11,VLOOKUP(Y437,[2]Sheet1!$C:$N,10,0),IF(I437=13,VLOOKUP(Y437,[3]Sheet1!$C:$N,10,0),IF(I437=15,VLOOKUP(Y437,[4]Sheet1!$C:$N,10,0),"Unknown")))</f>
        <v>PU</v>
      </c>
      <c r="BL437" t="str">
        <f>IF(I437=11,VLOOKUP(Y437,[2]Sheet1!$C:$N,12,0),IF(I437=13,VLOOKUP(Y437,[3]Sheet1!$C:$N,12,0),IF(I437=15,VLOOKUP(Y437,[4]Sheet1!$C:$N,12,0),"Unknown")))</f>
        <v>UNION HARDENER</v>
      </c>
      <c r="BM437" t="str">
        <f>VLOOKUP(W437,[1]branch!$A:$B,2,0)</f>
        <v>INDUSTRY</v>
      </c>
    </row>
    <row r="438" spans="1:65" x14ac:dyDescent="0.35">
      <c r="A438" s="10">
        <v>45995</v>
      </c>
      <c r="B438" s="9" t="s">
        <v>1324</v>
      </c>
      <c r="C438" s="9" t="s">
        <v>64</v>
      </c>
      <c r="D438" s="9" t="s">
        <v>92</v>
      </c>
      <c r="E438" s="11">
        <v>45</v>
      </c>
      <c r="F438" s="9" t="s">
        <v>93</v>
      </c>
      <c r="G438" s="9" t="s">
        <v>65</v>
      </c>
      <c r="H438" s="9" t="s">
        <v>66</v>
      </c>
      <c r="I438" s="9">
        <v>11</v>
      </c>
      <c r="J438" s="9" t="s">
        <v>162</v>
      </c>
      <c r="K438" s="9" t="s">
        <v>162</v>
      </c>
      <c r="L438" s="9" t="s">
        <v>162</v>
      </c>
      <c r="M438" s="9" t="s">
        <v>163</v>
      </c>
      <c r="N438" s="9" t="s">
        <v>867</v>
      </c>
      <c r="O438" s="9" t="s">
        <v>97</v>
      </c>
      <c r="P438" s="9" t="s">
        <v>67</v>
      </c>
      <c r="Q438" s="9" t="s">
        <v>98</v>
      </c>
      <c r="R438" s="9" t="s">
        <v>162</v>
      </c>
      <c r="S438" s="9" t="s">
        <v>163</v>
      </c>
      <c r="T438" s="9" t="s">
        <v>795</v>
      </c>
      <c r="U438" s="9" t="s">
        <v>67</v>
      </c>
      <c r="V438" s="9" t="s">
        <v>130</v>
      </c>
      <c r="W438" s="9" t="s">
        <v>131</v>
      </c>
      <c r="X438" s="11">
        <v>50</v>
      </c>
      <c r="Y438" s="9" t="s">
        <v>173</v>
      </c>
      <c r="Z438" s="9" t="s">
        <v>68</v>
      </c>
      <c r="AA438" s="9" t="s">
        <v>174</v>
      </c>
      <c r="AB438" s="9" t="s">
        <v>67</v>
      </c>
      <c r="AC438" s="9" t="s">
        <v>175</v>
      </c>
      <c r="AD438" s="11">
        <v>5</v>
      </c>
      <c r="AE438" s="9" t="s">
        <v>70</v>
      </c>
      <c r="AF438" s="9" t="s">
        <v>71</v>
      </c>
      <c r="AG438" s="13">
        <v>1</v>
      </c>
      <c r="AH438" s="9" t="s">
        <v>92</v>
      </c>
      <c r="AI438" s="13">
        <v>8320000</v>
      </c>
      <c r="AJ438" s="13">
        <v>41600000</v>
      </c>
      <c r="AK438" s="11">
        <v>0</v>
      </c>
      <c r="AL438" s="11">
        <v>0</v>
      </c>
      <c r="AM438" s="11">
        <v>0</v>
      </c>
      <c r="AN438" s="9" t="s">
        <v>67</v>
      </c>
      <c r="AO438" s="11">
        <v>41600000</v>
      </c>
      <c r="AP438" s="13">
        <v>3328000</v>
      </c>
      <c r="AQ438" s="13">
        <v>44928000</v>
      </c>
      <c r="AR438" s="11">
        <v>880</v>
      </c>
      <c r="AS438" s="9" t="s">
        <v>72</v>
      </c>
      <c r="AT438" s="11">
        <v>1000</v>
      </c>
      <c r="AU438" s="9" t="s">
        <v>73</v>
      </c>
      <c r="AV438" s="9" t="s">
        <v>67</v>
      </c>
      <c r="AW438" s="9" t="s">
        <v>1325</v>
      </c>
      <c r="AX438" s="10">
        <v>45987</v>
      </c>
      <c r="AY438" s="9" t="s">
        <v>1326</v>
      </c>
      <c r="AZ438" s="9" t="s">
        <v>67</v>
      </c>
      <c r="BA438" s="9" t="s">
        <v>67</v>
      </c>
      <c r="BB438" s="12">
        <v>1000</v>
      </c>
      <c r="BC438" s="9" t="s">
        <v>74</v>
      </c>
      <c r="BD438" s="9" t="s">
        <v>104</v>
      </c>
      <c r="BE438" s="9" t="s">
        <v>75</v>
      </c>
      <c r="BF438" s="11">
        <v>0</v>
      </c>
      <c r="BG438">
        <f t="shared" si="14"/>
        <v>12</v>
      </c>
      <c r="BH438" t="str">
        <f>VLOOKUP(BG438,[1]month!$A:$B,2,0)</f>
        <v>Desember</v>
      </c>
      <c r="BI438">
        <f t="shared" si="15"/>
        <v>2025</v>
      </c>
      <c r="BJ438" t="str">
        <f>VLOOKUP(I438,[1]Dist!$A:$B,2,0)</f>
        <v>Industry</v>
      </c>
      <c r="BK438" t="str">
        <f>IF(I438=11,VLOOKUP(Y438,[2]Sheet1!$C:$N,10,0),IF(I438=13,VLOOKUP(Y438,[3]Sheet1!$C:$N,10,0),IF(I438=15,VLOOKUP(Y438,[4]Sheet1!$C:$N,10,0),"Unknown")))</f>
        <v>THINNER PU</v>
      </c>
      <c r="BL438" t="str">
        <f>IF(I438=11,VLOOKUP(Y438,[2]Sheet1!$C:$N,12,0),IF(I438=13,VLOOKUP(Y438,[3]Sheet1!$C:$N,12,0),IF(I438=15,VLOOKUP(Y438,[4]Sheet1!$C:$N,12,0),"Unknown")))</f>
        <v>UNION THINNER</v>
      </c>
      <c r="BM438" t="str">
        <f>VLOOKUP(W438,[1]branch!$A:$B,2,0)</f>
        <v>INDUSTRY</v>
      </c>
    </row>
    <row r="439" spans="1:65" x14ac:dyDescent="0.35">
      <c r="A439" s="10">
        <v>45995</v>
      </c>
      <c r="B439" s="9" t="s">
        <v>1324</v>
      </c>
      <c r="C439" s="9" t="s">
        <v>64</v>
      </c>
      <c r="D439" s="9" t="s">
        <v>92</v>
      </c>
      <c r="E439" s="11">
        <v>45</v>
      </c>
      <c r="F439" s="9" t="s">
        <v>93</v>
      </c>
      <c r="G439" s="9" t="s">
        <v>65</v>
      </c>
      <c r="H439" s="9" t="s">
        <v>66</v>
      </c>
      <c r="I439" s="9">
        <v>11</v>
      </c>
      <c r="J439" s="9" t="s">
        <v>162</v>
      </c>
      <c r="K439" s="9" t="s">
        <v>162</v>
      </c>
      <c r="L439" s="9" t="s">
        <v>162</v>
      </c>
      <c r="M439" s="9" t="s">
        <v>163</v>
      </c>
      <c r="N439" s="9" t="s">
        <v>867</v>
      </c>
      <c r="O439" s="9" t="s">
        <v>97</v>
      </c>
      <c r="P439" s="9" t="s">
        <v>67</v>
      </c>
      <c r="Q439" s="9" t="s">
        <v>98</v>
      </c>
      <c r="R439" s="9" t="s">
        <v>162</v>
      </c>
      <c r="S439" s="9" t="s">
        <v>163</v>
      </c>
      <c r="T439" s="9" t="s">
        <v>795</v>
      </c>
      <c r="U439" s="9" t="s">
        <v>67</v>
      </c>
      <c r="V439" s="9" t="s">
        <v>130</v>
      </c>
      <c r="W439" s="9" t="s">
        <v>131</v>
      </c>
      <c r="X439" s="11">
        <v>51</v>
      </c>
      <c r="Y439" s="9" t="s">
        <v>170</v>
      </c>
      <c r="Z439" s="9" t="s">
        <v>68</v>
      </c>
      <c r="AA439" s="9" t="s">
        <v>171</v>
      </c>
      <c r="AB439" s="9" t="s">
        <v>67</v>
      </c>
      <c r="AC439" s="9" t="s">
        <v>172</v>
      </c>
      <c r="AD439" s="11">
        <v>12</v>
      </c>
      <c r="AE439" s="9" t="s">
        <v>70</v>
      </c>
      <c r="AF439" s="9" t="s">
        <v>71</v>
      </c>
      <c r="AG439" s="13">
        <v>1</v>
      </c>
      <c r="AH439" s="9" t="s">
        <v>92</v>
      </c>
      <c r="AI439" s="13">
        <v>1302400</v>
      </c>
      <c r="AJ439" s="13">
        <v>15628800</v>
      </c>
      <c r="AK439" s="11">
        <v>0</v>
      </c>
      <c r="AL439" s="11">
        <v>0</v>
      </c>
      <c r="AM439" s="11">
        <v>0</v>
      </c>
      <c r="AN439" s="9" t="s">
        <v>67</v>
      </c>
      <c r="AO439" s="11">
        <v>15628800</v>
      </c>
      <c r="AP439" s="13">
        <v>1250304</v>
      </c>
      <c r="AQ439" s="13">
        <v>16879104</v>
      </c>
      <c r="AR439" s="11">
        <v>192</v>
      </c>
      <c r="AS439" s="9" t="s">
        <v>72</v>
      </c>
      <c r="AT439" s="11">
        <v>192</v>
      </c>
      <c r="AU439" s="9" t="s">
        <v>73</v>
      </c>
      <c r="AV439" s="9" t="s">
        <v>67</v>
      </c>
      <c r="AW439" s="9" t="s">
        <v>1325</v>
      </c>
      <c r="AX439" s="10">
        <v>45987</v>
      </c>
      <c r="AY439" s="9" t="s">
        <v>1326</v>
      </c>
      <c r="AZ439" s="9" t="s">
        <v>67</v>
      </c>
      <c r="BA439" s="9" t="s">
        <v>67</v>
      </c>
      <c r="BB439" s="12">
        <v>192</v>
      </c>
      <c r="BC439" s="9" t="s">
        <v>74</v>
      </c>
      <c r="BD439" s="9" t="s">
        <v>104</v>
      </c>
      <c r="BE439" s="9" t="s">
        <v>75</v>
      </c>
      <c r="BF439" s="11">
        <v>0</v>
      </c>
      <c r="BG439">
        <f t="shared" si="14"/>
        <v>12</v>
      </c>
      <c r="BH439" t="str">
        <f>VLOOKUP(BG439,[1]month!$A:$B,2,0)</f>
        <v>Desember</v>
      </c>
      <c r="BI439">
        <f t="shared" si="15"/>
        <v>2025</v>
      </c>
      <c r="BJ439" t="str">
        <f>VLOOKUP(I439,[1]Dist!$A:$B,2,0)</f>
        <v>Industry</v>
      </c>
      <c r="BK439" t="str">
        <f>IF(I439=11,VLOOKUP(Y439,[2]Sheet1!$C:$N,10,0),IF(I439=13,VLOOKUP(Y439,[3]Sheet1!$C:$N,10,0),IF(I439=15,VLOOKUP(Y439,[4]Sheet1!$C:$N,10,0),"Unknown")))</f>
        <v>PU</v>
      </c>
      <c r="BL439" t="str">
        <f>IF(I439=11,VLOOKUP(Y439,[2]Sheet1!$C:$N,12,0),IF(I439=13,VLOOKUP(Y439,[3]Sheet1!$C:$N,12,0),IF(I439=15,VLOOKUP(Y439,[4]Sheet1!$C:$N,12,0),"Unknown")))</f>
        <v>UNION TOP COAT</v>
      </c>
      <c r="BM439" t="str">
        <f>VLOOKUP(W439,[1]branch!$A:$B,2,0)</f>
        <v>INDUSTRY</v>
      </c>
    </row>
    <row r="440" spans="1:65" x14ac:dyDescent="0.35">
      <c r="A440" s="10">
        <v>45995</v>
      </c>
      <c r="B440" s="9" t="s">
        <v>1327</v>
      </c>
      <c r="C440" s="9" t="s">
        <v>64</v>
      </c>
      <c r="D440" s="9" t="s">
        <v>92</v>
      </c>
      <c r="E440" s="11">
        <v>45</v>
      </c>
      <c r="F440" s="9" t="s">
        <v>93</v>
      </c>
      <c r="G440" s="9" t="s">
        <v>65</v>
      </c>
      <c r="H440" s="9" t="s">
        <v>66</v>
      </c>
      <c r="I440" s="9">
        <v>11</v>
      </c>
      <c r="J440" s="9" t="s">
        <v>162</v>
      </c>
      <c r="K440" s="9" t="s">
        <v>162</v>
      </c>
      <c r="L440" s="9" t="s">
        <v>162</v>
      </c>
      <c r="M440" s="9" t="s">
        <v>163</v>
      </c>
      <c r="N440" s="9" t="s">
        <v>867</v>
      </c>
      <c r="O440" s="9" t="s">
        <v>97</v>
      </c>
      <c r="P440" s="9" t="s">
        <v>67</v>
      </c>
      <c r="Q440" s="9" t="s">
        <v>98</v>
      </c>
      <c r="R440" s="9" t="s">
        <v>162</v>
      </c>
      <c r="S440" s="9" t="s">
        <v>163</v>
      </c>
      <c r="T440" s="9" t="s">
        <v>795</v>
      </c>
      <c r="U440" s="9" t="s">
        <v>67</v>
      </c>
      <c r="V440" s="9" t="s">
        <v>130</v>
      </c>
      <c r="W440" s="9" t="s">
        <v>131</v>
      </c>
      <c r="X440" s="11">
        <v>10</v>
      </c>
      <c r="Y440" s="9" t="s">
        <v>164</v>
      </c>
      <c r="Z440" s="9" t="s">
        <v>68</v>
      </c>
      <c r="AA440" s="9" t="s">
        <v>165</v>
      </c>
      <c r="AB440" s="9" t="s">
        <v>67</v>
      </c>
      <c r="AC440" s="9" t="s">
        <v>166</v>
      </c>
      <c r="AD440" s="11">
        <v>17</v>
      </c>
      <c r="AE440" s="9" t="s">
        <v>70</v>
      </c>
      <c r="AF440" s="9" t="s">
        <v>71</v>
      </c>
      <c r="AG440" s="13">
        <v>1</v>
      </c>
      <c r="AH440" s="9" t="s">
        <v>92</v>
      </c>
      <c r="AI440" s="13">
        <v>984000</v>
      </c>
      <c r="AJ440" s="13">
        <v>16728000</v>
      </c>
      <c r="AK440" s="11">
        <v>0</v>
      </c>
      <c r="AL440" s="11">
        <v>0</v>
      </c>
      <c r="AM440" s="11">
        <v>0</v>
      </c>
      <c r="AN440" s="9" t="s">
        <v>67</v>
      </c>
      <c r="AO440" s="11">
        <v>16728000</v>
      </c>
      <c r="AP440" s="13">
        <v>1338240</v>
      </c>
      <c r="AQ440" s="13">
        <v>18066240</v>
      </c>
      <c r="AR440" s="11">
        <v>272</v>
      </c>
      <c r="AS440" s="9" t="s">
        <v>72</v>
      </c>
      <c r="AT440" s="12">
        <v>261.45999999999998</v>
      </c>
      <c r="AU440" s="9" t="s">
        <v>73</v>
      </c>
      <c r="AV440" s="9" t="s">
        <v>67</v>
      </c>
      <c r="AW440" s="9" t="s">
        <v>1328</v>
      </c>
      <c r="AX440" s="10">
        <v>45987</v>
      </c>
      <c r="AY440" s="9" t="s">
        <v>1329</v>
      </c>
      <c r="AZ440" s="9" t="s">
        <v>67</v>
      </c>
      <c r="BA440" s="9" t="s">
        <v>67</v>
      </c>
      <c r="BB440" s="12">
        <v>272</v>
      </c>
      <c r="BC440" s="9" t="s">
        <v>74</v>
      </c>
      <c r="BD440" s="9" t="s">
        <v>104</v>
      </c>
      <c r="BE440" s="9" t="s">
        <v>75</v>
      </c>
      <c r="BF440" s="11">
        <v>0</v>
      </c>
      <c r="BG440">
        <f t="shared" si="14"/>
        <v>12</v>
      </c>
      <c r="BH440" t="str">
        <f>VLOOKUP(BG440,[1]month!$A:$B,2,0)</f>
        <v>Desember</v>
      </c>
      <c r="BI440">
        <f t="shared" si="15"/>
        <v>2025</v>
      </c>
      <c r="BJ440" t="str">
        <f>VLOOKUP(I440,[1]Dist!$A:$B,2,0)</f>
        <v>Industry</v>
      </c>
      <c r="BK440" t="str">
        <f>IF(I440=11,VLOOKUP(Y440,[2]Sheet1!$C:$N,10,0),IF(I440=13,VLOOKUP(Y440,[3]Sheet1!$C:$N,10,0),IF(I440=15,VLOOKUP(Y440,[4]Sheet1!$C:$N,10,0),"Unknown")))</f>
        <v>PU</v>
      </c>
      <c r="BL440" t="str">
        <f>IF(I440=11,VLOOKUP(Y440,[2]Sheet1!$C:$N,12,0),IF(I440=13,VLOOKUP(Y440,[3]Sheet1!$C:$N,12,0),IF(I440=15,VLOOKUP(Y440,[4]Sheet1!$C:$N,12,0),"Unknown")))</f>
        <v>UNION SANDING SEALER</v>
      </c>
      <c r="BM440" t="str">
        <f>VLOOKUP(W440,[1]branch!$A:$B,2,0)</f>
        <v>INDUSTRY</v>
      </c>
    </row>
    <row r="441" spans="1:65" x14ac:dyDescent="0.35">
      <c r="A441" s="10">
        <v>45995</v>
      </c>
      <c r="B441" s="9" t="s">
        <v>1327</v>
      </c>
      <c r="C441" s="9" t="s">
        <v>64</v>
      </c>
      <c r="D441" s="9" t="s">
        <v>92</v>
      </c>
      <c r="E441" s="11">
        <v>45</v>
      </c>
      <c r="F441" s="9" t="s">
        <v>93</v>
      </c>
      <c r="G441" s="9" t="s">
        <v>65</v>
      </c>
      <c r="H441" s="9" t="s">
        <v>66</v>
      </c>
      <c r="I441" s="9">
        <v>11</v>
      </c>
      <c r="J441" s="9" t="s">
        <v>162</v>
      </c>
      <c r="K441" s="9" t="s">
        <v>162</v>
      </c>
      <c r="L441" s="9" t="s">
        <v>162</v>
      </c>
      <c r="M441" s="9" t="s">
        <v>163</v>
      </c>
      <c r="N441" s="9" t="s">
        <v>867</v>
      </c>
      <c r="O441" s="9" t="s">
        <v>97</v>
      </c>
      <c r="P441" s="9" t="s">
        <v>67</v>
      </c>
      <c r="Q441" s="9" t="s">
        <v>98</v>
      </c>
      <c r="R441" s="9" t="s">
        <v>162</v>
      </c>
      <c r="S441" s="9" t="s">
        <v>163</v>
      </c>
      <c r="T441" s="9" t="s">
        <v>795</v>
      </c>
      <c r="U441" s="9" t="s">
        <v>67</v>
      </c>
      <c r="V441" s="9" t="s">
        <v>130</v>
      </c>
      <c r="W441" s="9" t="s">
        <v>131</v>
      </c>
      <c r="X441" s="11">
        <v>20</v>
      </c>
      <c r="Y441" s="9" t="s">
        <v>167</v>
      </c>
      <c r="Z441" s="9" t="s">
        <v>68</v>
      </c>
      <c r="AA441" s="9" t="s">
        <v>168</v>
      </c>
      <c r="AB441" s="9" t="s">
        <v>67</v>
      </c>
      <c r="AC441" s="9" t="s">
        <v>169</v>
      </c>
      <c r="AD441" s="11">
        <v>34</v>
      </c>
      <c r="AE441" s="9" t="s">
        <v>70</v>
      </c>
      <c r="AF441" s="9" t="s">
        <v>71</v>
      </c>
      <c r="AG441" s="13">
        <v>1</v>
      </c>
      <c r="AH441" s="9" t="s">
        <v>92</v>
      </c>
      <c r="AI441" s="13">
        <v>417200</v>
      </c>
      <c r="AJ441" s="13">
        <v>14184800</v>
      </c>
      <c r="AK441" s="11">
        <v>0</v>
      </c>
      <c r="AL441" s="11">
        <v>0</v>
      </c>
      <c r="AM441" s="11">
        <v>0</v>
      </c>
      <c r="AN441" s="9" t="s">
        <v>67</v>
      </c>
      <c r="AO441" s="11">
        <v>14184800</v>
      </c>
      <c r="AP441" s="13">
        <v>1134784</v>
      </c>
      <c r="AQ441" s="13">
        <v>15319584</v>
      </c>
      <c r="AR441" s="11">
        <v>136</v>
      </c>
      <c r="AS441" s="9" t="s">
        <v>72</v>
      </c>
      <c r="AT441" s="11">
        <v>136</v>
      </c>
      <c r="AU441" s="9" t="s">
        <v>73</v>
      </c>
      <c r="AV441" s="9" t="s">
        <v>67</v>
      </c>
      <c r="AW441" s="9" t="s">
        <v>1328</v>
      </c>
      <c r="AX441" s="10">
        <v>45987</v>
      </c>
      <c r="AY441" s="9" t="s">
        <v>1329</v>
      </c>
      <c r="AZ441" s="9" t="s">
        <v>67</v>
      </c>
      <c r="BA441" s="9" t="s">
        <v>67</v>
      </c>
      <c r="BB441" s="12">
        <v>136</v>
      </c>
      <c r="BC441" s="9" t="s">
        <v>74</v>
      </c>
      <c r="BD441" s="9" t="s">
        <v>104</v>
      </c>
      <c r="BE441" s="9" t="s">
        <v>75</v>
      </c>
      <c r="BF441" s="11">
        <v>0</v>
      </c>
      <c r="BG441">
        <f t="shared" si="14"/>
        <v>12</v>
      </c>
      <c r="BH441" t="str">
        <f>VLOOKUP(BG441,[1]month!$A:$B,2,0)</f>
        <v>Desember</v>
      </c>
      <c r="BI441">
        <f t="shared" si="15"/>
        <v>2025</v>
      </c>
      <c r="BJ441" t="str">
        <f>VLOOKUP(I441,[1]Dist!$A:$B,2,0)</f>
        <v>Industry</v>
      </c>
      <c r="BK441" t="str">
        <f>IF(I441=11,VLOOKUP(Y441,[2]Sheet1!$C:$N,10,0),IF(I441=13,VLOOKUP(Y441,[3]Sheet1!$C:$N,10,0),IF(I441=15,VLOOKUP(Y441,[4]Sheet1!$C:$N,10,0),"Unknown")))</f>
        <v>PU</v>
      </c>
      <c r="BL441" t="str">
        <f>IF(I441=11,VLOOKUP(Y441,[2]Sheet1!$C:$N,12,0),IF(I441=13,VLOOKUP(Y441,[3]Sheet1!$C:$N,12,0),IF(I441=15,VLOOKUP(Y441,[4]Sheet1!$C:$N,12,0),"Unknown")))</f>
        <v>UNION HARDENER</v>
      </c>
      <c r="BM441" t="str">
        <f>VLOOKUP(W441,[1]branch!$A:$B,2,0)</f>
        <v>INDUSTRY</v>
      </c>
    </row>
    <row r="442" spans="1:65" x14ac:dyDescent="0.35">
      <c r="A442" s="10">
        <v>45995</v>
      </c>
      <c r="B442" s="9" t="s">
        <v>1327</v>
      </c>
      <c r="C442" s="9" t="s">
        <v>64</v>
      </c>
      <c r="D442" s="9" t="s">
        <v>92</v>
      </c>
      <c r="E442" s="11">
        <v>45</v>
      </c>
      <c r="F442" s="9" t="s">
        <v>93</v>
      </c>
      <c r="G442" s="9" t="s">
        <v>65</v>
      </c>
      <c r="H442" s="9" t="s">
        <v>66</v>
      </c>
      <c r="I442" s="9">
        <v>11</v>
      </c>
      <c r="J442" s="9" t="s">
        <v>162</v>
      </c>
      <c r="K442" s="9" t="s">
        <v>162</v>
      </c>
      <c r="L442" s="9" t="s">
        <v>162</v>
      </c>
      <c r="M442" s="9" t="s">
        <v>163</v>
      </c>
      <c r="N442" s="9" t="s">
        <v>867</v>
      </c>
      <c r="O442" s="9" t="s">
        <v>97</v>
      </c>
      <c r="P442" s="9" t="s">
        <v>67</v>
      </c>
      <c r="Q442" s="9" t="s">
        <v>98</v>
      </c>
      <c r="R442" s="9" t="s">
        <v>162</v>
      </c>
      <c r="S442" s="9" t="s">
        <v>163</v>
      </c>
      <c r="T442" s="9" t="s">
        <v>795</v>
      </c>
      <c r="U442" s="9" t="s">
        <v>67</v>
      </c>
      <c r="V442" s="9" t="s">
        <v>130</v>
      </c>
      <c r="W442" s="9" t="s">
        <v>131</v>
      </c>
      <c r="X442" s="11">
        <v>30</v>
      </c>
      <c r="Y442" s="9" t="s">
        <v>170</v>
      </c>
      <c r="Z442" s="9" t="s">
        <v>68</v>
      </c>
      <c r="AA442" s="9" t="s">
        <v>171</v>
      </c>
      <c r="AB442" s="9" t="s">
        <v>67</v>
      </c>
      <c r="AC442" s="9" t="s">
        <v>172</v>
      </c>
      <c r="AD442" s="11">
        <v>19</v>
      </c>
      <c r="AE442" s="9" t="s">
        <v>70</v>
      </c>
      <c r="AF442" s="9" t="s">
        <v>71</v>
      </c>
      <c r="AG442" s="13">
        <v>1</v>
      </c>
      <c r="AH442" s="9" t="s">
        <v>92</v>
      </c>
      <c r="AI442" s="13">
        <v>1302400</v>
      </c>
      <c r="AJ442" s="13">
        <v>24745600</v>
      </c>
      <c r="AK442" s="11">
        <v>0</v>
      </c>
      <c r="AL442" s="11">
        <v>0</v>
      </c>
      <c r="AM442" s="11">
        <v>0</v>
      </c>
      <c r="AN442" s="9" t="s">
        <v>67</v>
      </c>
      <c r="AO442" s="11">
        <v>24745600</v>
      </c>
      <c r="AP442" s="13">
        <v>1979648</v>
      </c>
      <c r="AQ442" s="13">
        <v>26725248</v>
      </c>
      <c r="AR442" s="11">
        <v>304</v>
      </c>
      <c r="AS442" s="9" t="s">
        <v>72</v>
      </c>
      <c r="AT442" s="11">
        <v>304</v>
      </c>
      <c r="AU442" s="9" t="s">
        <v>73</v>
      </c>
      <c r="AV442" s="9" t="s">
        <v>67</v>
      </c>
      <c r="AW442" s="9" t="s">
        <v>1328</v>
      </c>
      <c r="AX442" s="10">
        <v>45987</v>
      </c>
      <c r="AY442" s="9" t="s">
        <v>1329</v>
      </c>
      <c r="AZ442" s="9" t="s">
        <v>67</v>
      </c>
      <c r="BA442" s="9" t="s">
        <v>67</v>
      </c>
      <c r="BB442" s="12">
        <v>304</v>
      </c>
      <c r="BC442" s="9" t="s">
        <v>74</v>
      </c>
      <c r="BD442" s="9" t="s">
        <v>104</v>
      </c>
      <c r="BE442" s="9" t="s">
        <v>75</v>
      </c>
      <c r="BF442" s="11">
        <v>0</v>
      </c>
      <c r="BG442">
        <f t="shared" si="14"/>
        <v>12</v>
      </c>
      <c r="BH442" t="str">
        <f>VLOOKUP(BG442,[1]month!$A:$B,2,0)</f>
        <v>Desember</v>
      </c>
      <c r="BI442">
        <f t="shared" si="15"/>
        <v>2025</v>
      </c>
      <c r="BJ442" t="str">
        <f>VLOOKUP(I442,[1]Dist!$A:$B,2,0)</f>
        <v>Industry</v>
      </c>
      <c r="BK442" t="str">
        <f>IF(I442=11,VLOOKUP(Y442,[2]Sheet1!$C:$N,10,0),IF(I442=13,VLOOKUP(Y442,[3]Sheet1!$C:$N,10,0),IF(I442=15,VLOOKUP(Y442,[4]Sheet1!$C:$N,10,0),"Unknown")))</f>
        <v>PU</v>
      </c>
      <c r="BL442" t="str">
        <f>IF(I442=11,VLOOKUP(Y442,[2]Sheet1!$C:$N,12,0),IF(I442=13,VLOOKUP(Y442,[3]Sheet1!$C:$N,12,0),IF(I442=15,VLOOKUP(Y442,[4]Sheet1!$C:$N,12,0),"Unknown")))</f>
        <v>UNION TOP COAT</v>
      </c>
      <c r="BM442" t="str">
        <f>VLOOKUP(W442,[1]branch!$A:$B,2,0)</f>
        <v>INDUSTRY</v>
      </c>
    </row>
    <row r="443" spans="1:65" x14ac:dyDescent="0.35">
      <c r="A443" s="10">
        <v>45995</v>
      </c>
      <c r="B443" s="9" t="s">
        <v>1327</v>
      </c>
      <c r="C443" s="9" t="s">
        <v>64</v>
      </c>
      <c r="D443" s="9" t="s">
        <v>92</v>
      </c>
      <c r="E443" s="11">
        <v>45</v>
      </c>
      <c r="F443" s="9" t="s">
        <v>93</v>
      </c>
      <c r="G443" s="9" t="s">
        <v>65</v>
      </c>
      <c r="H443" s="9" t="s">
        <v>66</v>
      </c>
      <c r="I443" s="9">
        <v>11</v>
      </c>
      <c r="J443" s="9" t="s">
        <v>162</v>
      </c>
      <c r="K443" s="9" t="s">
        <v>162</v>
      </c>
      <c r="L443" s="9" t="s">
        <v>162</v>
      </c>
      <c r="M443" s="9" t="s">
        <v>163</v>
      </c>
      <c r="N443" s="9" t="s">
        <v>867</v>
      </c>
      <c r="O443" s="9" t="s">
        <v>97</v>
      </c>
      <c r="P443" s="9" t="s">
        <v>67</v>
      </c>
      <c r="Q443" s="9" t="s">
        <v>98</v>
      </c>
      <c r="R443" s="9" t="s">
        <v>162</v>
      </c>
      <c r="S443" s="9" t="s">
        <v>163</v>
      </c>
      <c r="T443" s="9" t="s">
        <v>795</v>
      </c>
      <c r="U443" s="9" t="s">
        <v>67</v>
      </c>
      <c r="V443" s="9" t="s">
        <v>130</v>
      </c>
      <c r="W443" s="9" t="s">
        <v>131</v>
      </c>
      <c r="X443" s="11">
        <v>40</v>
      </c>
      <c r="Y443" s="9" t="s">
        <v>176</v>
      </c>
      <c r="Z443" s="9" t="s">
        <v>68</v>
      </c>
      <c r="AA443" s="9" t="s">
        <v>177</v>
      </c>
      <c r="AB443" s="9" t="s">
        <v>67</v>
      </c>
      <c r="AC443" s="9" t="s">
        <v>178</v>
      </c>
      <c r="AD443" s="11">
        <v>38</v>
      </c>
      <c r="AE443" s="9" t="s">
        <v>70</v>
      </c>
      <c r="AF443" s="9" t="s">
        <v>71</v>
      </c>
      <c r="AG443" s="13">
        <v>1</v>
      </c>
      <c r="AH443" s="9" t="s">
        <v>92</v>
      </c>
      <c r="AI443" s="13">
        <v>417200</v>
      </c>
      <c r="AJ443" s="13">
        <v>15853600</v>
      </c>
      <c r="AK443" s="11">
        <v>0</v>
      </c>
      <c r="AL443" s="11">
        <v>0</v>
      </c>
      <c r="AM443" s="11">
        <v>0</v>
      </c>
      <c r="AN443" s="9" t="s">
        <v>67</v>
      </c>
      <c r="AO443" s="11">
        <v>15853600</v>
      </c>
      <c r="AP443" s="13">
        <v>1268288</v>
      </c>
      <c r="AQ443" s="13">
        <v>17121888</v>
      </c>
      <c r="AR443" s="11">
        <v>152</v>
      </c>
      <c r="AS443" s="9" t="s">
        <v>72</v>
      </c>
      <c r="AT443" s="12">
        <v>150.47999999999999</v>
      </c>
      <c r="AU443" s="9" t="s">
        <v>73</v>
      </c>
      <c r="AV443" s="9" t="s">
        <v>67</v>
      </c>
      <c r="AW443" s="9" t="s">
        <v>1328</v>
      </c>
      <c r="AX443" s="10">
        <v>45987</v>
      </c>
      <c r="AY443" s="9" t="s">
        <v>1329</v>
      </c>
      <c r="AZ443" s="9" t="s">
        <v>67</v>
      </c>
      <c r="BA443" s="9" t="s">
        <v>67</v>
      </c>
      <c r="BB443" s="12">
        <v>152</v>
      </c>
      <c r="BC443" s="9" t="s">
        <v>74</v>
      </c>
      <c r="BD443" s="9" t="s">
        <v>104</v>
      </c>
      <c r="BE443" s="9" t="s">
        <v>75</v>
      </c>
      <c r="BF443" s="11">
        <v>0</v>
      </c>
      <c r="BG443">
        <f t="shared" si="14"/>
        <v>12</v>
      </c>
      <c r="BH443" t="str">
        <f>VLOOKUP(BG443,[1]month!$A:$B,2,0)</f>
        <v>Desember</v>
      </c>
      <c r="BI443">
        <f t="shared" si="15"/>
        <v>2025</v>
      </c>
      <c r="BJ443" t="str">
        <f>VLOOKUP(I443,[1]Dist!$A:$B,2,0)</f>
        <v>Industry</v>
      </c>
      <c r="BK443" t="str">
        <f>IF(I443=11,VLOOKUP(Y443,[2]Sheet1!$C:$N,10,0),IF(I443=13,VLOOKUP(Y443,[3]Sheet1!$C:$N,10,0),IF(I443=15,VLOOKUP(Y443,[4]Sheet1!$C:$N,10,0),"Unknown")))</f>
        <v>PU</v>
      </c>
      <c r="BL443" t="str">
        <f>IF(I443=11,VLOOKUP(Y443,[2]Sheet1!$C:$N,12,0),IF(I443=13,VLOOKUP(Y443,[3]Sheet1!$C:$N,12,0),IF(I443=15,VLOOKUP(Y443,[4]Sheet1!$C:$N,12,0),"Unknown")))</f>
        <v>UNION HARDENER</v>
      </c>
      <c r="BM443" t="str">
        <f>VLOOKUP(W443,[1]branch!$A:$B,2,0)</f>
        <v>INDUSTRY</v>
      </c>
    </row>
    <row r="444" spans="1:65" x14ac:dyDescent="0.35">
      <c r="A444" s="10">
        <v>45995</v>
      </c>
      <c r="B444" s="9" t="s">
        <v>1327</v>
      </c>
      <c r="C444" s="9" t="s">
        <v>64</v>
      </c>
      <c r="D444" s="9" t="s">
        <v>92</v>
      </c>
      <c r="E444" s="11">
        <v>45</v>
      </c>
      <c r="F444" s="9" t="s">
        <v>93</v>
      </c>
      <c r="G444" s="9" t="s">
        <v>65</v>
      </c>
      <c r="H444" s="9" t="s">
        <v>66</v>
      </c>
      <c r="I444" s="9">
        <v>11</v>
      </c>
      <c r="J444" s="9" t="s">
        <v>162</v>
      </c>
      <c r="K444" s="9" t="s">
        <v>162</v>
      </c>
      <c r="L444" s="9" t="s">
        <v>162</v>
      </c>
      <c r="M444" s="9" t="s">
        <v>163</v>
      </c>
      <c r="N444" s="9" t="s">
        <v>867</v>
      </c>
      <c r="O444" s="9" t="s">
        <v>97</v>
      </c>
      <c r="P444" s="9" t="s">
        <v>67</v>
      </c>
      <c r="Q444" s="9" t="s">
        <v>98</v>
      </c>
      <c r="R444" s="9" t="s">
        <v>162</v>
      </c>
      <c r="S444" s="9" t="s">
        <v>163</v>
      </c>
      <c r="T444" s="9" t="s">
        <v>795</v>
      </c>
      <c r="U444" s="9" t="s">
        <v>67</v>
      </c>
      <c r="V444" s="9" t="s">
        <v>130</v>
      </c>
      <c r="W444" s="9" t="s">
        <v>131</v>
      </c>
      <c r="X444" s="11">
        <v>50</v>
      </c>
      <c r="Y444" s="9" t="s">
        <v>173</v>
      </c>
      <c r="Z444" s="9" t="s">
        <v>68</v>
      </c>
      <c r="AA444" s="9" t="s">
        <v>174</v>
      </c>
      <c r="AB444" s="9" t="s">
        <v>67</v>
      </c>
      <c r="AC444" s="9" t="s">
        <v>175</v>
      </c>
      <c r="AD444" s="11">
        <v>7</v>
      </c>
      <c r="AE444" s="9" t="s">
        <v>70</v>
      </c>
      <c r="AF444" s="9" t="s">
        <v>71</v>
      </c>
      <c r="AG444" s="13">
        <v>1</v>
      </c>
      <c r="AH444" s="9" t="s">
        <v>92</v>
      </c>
      <c r="AI444" s="13">
        <v>8320000</v>
      </c>
      <c r="AJ444" s="13">
        <v>58240000</v>
      </c>
      <c r="AK444" s="11">
        <v>0</v>
      </c>
      <c r="AL444" s="11">
        <v>0</v>
      </c>
      <c r="AM444" s="11">
        <v>0</v>
      </c>
      <c r="AN444" s="9" t="s">
        <v>67</v>
      </c>
      <c r="AO444" s="11">
        <v>58240000</v>
      </c>
      <c r="AP444" s="13">
        <v>4659200</v>
      </c>
      <c r="AQ444" s="13">
        <v>62899200</v>
      </c>
      <c r="AR444" s="11">
        <v>1232</v>
      </c>
      <c r="AS444" s="9" t="s">
        <v>72</v>
      </c>
      <c r="AT444" s="11">
        <v>1400</v>
      </c>
      <c r="AU444" s="9" t="s">
        <v>73</v>
      </c>
      <c r="AV444" s="9" t="s">
        <v>67</v>
      </c>
      <c r="AW444" s="9" t="s">
        <v>1328</v>
      </c>
      <c r="AX444" s="10">
        <v>45987</v>
      </c>
      <c r="AY444" s="9" t="s">
        <v>1329</v>
      </c>
      <c r="AZ444" s="9" t="s">
        <v>67</v>
      </c>
      <c r="BA444" s="9" t="s">
        <v>67</v>
      </c>
      <c r="BB444" s="12">
        <v>1400</v>
      </c>
      <c r="BC444" s="9" t="s">
        <v>74</v>
      </c>
      <c r="BD444" s="9" t="s">
        <v>104</v>
      </c>
      <c r="BE444" s="9" t="s">
        <v>75</v>
      </c>
      <c r="BF444" s="11">
        <v>0</v>
      </c>
      <c r="BG444">
        <f t="shared" si="14"/>
        <v>12</v>
      </c>
      <c r="BH444" t="str">
        <f>VLOOKUP(BG444,[1]month!$A:$B,2,0)</f>
        <v>Desember</v>
      </c>
      <c r="BI444">
        <f t="shared" si="15"/>
        <v>2025</v>
      </c>
      <c r="BJ444" t="str">
        <f>VLOOKUP(I444,[1]Dist!$A:$B,2,0)</f>
        <v>Industry</v>
      </c>
      <c r="BK444" t="str">
        <f>IF(I444=11,VLOOKUP(Y444,[2]Sheet1!$C:$N,10,0),IF(I444=13,VLOOKUP(Y444,[3]Sheet1!$C:$N,10,0),IF(I444=15,VLOOKUP(Y444,[4]Sheet1!$C:$N,10,0),"Unknown")))</f>
        <v>THINNER PU</v>
      </c>
      <c r="BL444" t="str">
        <f>IF(I444=11,VLOOKUP(Y444,[2]Sheet1!$C:$N,12,0),IF(I444=13,VLOOKUP(Y444,[3]Sheet1!$C:$N,12,0),IF(I444=15,VLOOKUP(Y444,[4]Sheet1!$C:$N,12,0),"Unknown")))</f>
        <v>UNION THINNER</v>
      </c>
      <c r="BM444" t="str">
        <f>VLOOKUP(W444,[1]branch!$A:$B,2,0)</f>
        <v>INDUSTRY</v>
      </c>
    </row>
    <row r="445" spans="1:65" x14ac:dyDescent="0.35">
      <c r="A445" s="10">
        <v>45995</v>
      </c>
      <c r="B445" s="9" t="s">
        <v>1330</v>
      </c>
      <c r="C445" s="9" t="s">
        <v>64</v>
      </c>
      <c r="D445" s="9" t="s">
        <v>92</v>
      </c>
      <c r="E445" s="11">
        <v>0</v>
      </c>
      <c r="F445" s="9" t="s">
        <v>93</v>
      </c>
      <c r="G445" s="9" t="s">
        <v>65</v>
      </c>
      <c r="H445" s="9" t="s">
        <v>66</v>
      </c>
      <c r="I445" s="9">
        <v>11</v>
      </c>
      <c r="J445" s="9" t="s">
        <v>919</v>
      </c>
      <c r="K445" s="9" t="s">
        <v>919</v>
      </c>
      <c r="L445" s="9" t="s">
        <v>919</v>
      </c>
      <c r="M445" s="9" t="s">
        <v>920</v>
      </c>
      <c r="N445" s="9" t="s">
        <v>871</v>
      </c>
      <c r="O445" s="9" t="s">
        <v>97</v>
      </c>
      <c r="P445" s="9" t="s">
        <v>67</v>
      </c>
      <c r="Q445" s="9" t="s">
        <v>98</v>
      </c>
      <c r="R445" s="9" t="s">
        <v>919</v>
      </c>
      <c r="S445" s="9" t="s">
        <v>920</v>
      </c>
      <c r="T445" s="9" t="s">
        <v>921</v>
      </c>
      <c r="U445" s="9" t="s">
        <v>67</v>
      </c>
      <c r="V445" s="9" t="s">
        <v>194</v>
      </c>
      <c r="W445" s="9" t="s">
        <v>195</v>
      </c>
      <c r="X445" s="11">
        <v>10</v>
      </c>
      <c r="Y445" s="9" t="s">
        <v>894</v>
      </c>
      <c r="Z445" s="9" t="s">
        <v>68</v>
      </c>
      <c r="AA445" s="9" t="s">
        <v>895</v>
      </c>
      <c r="AB445" s="9" t="s">
        <v>67</v>
      </c>
      <c r="AC445" s="9" t="s">
        <v>217</v>
      </c>
      <c r="AD445" s="11">
        <v>2</v>
      </c>
      <c r="AE445" s="9" t="s">
        <v>70</v>
      </c>
      <c r="AF445" s="9" t="s">
        <v>71</v>
      </c>
      <c r="AG445" s="13">
        <v>1</v>
      </c>
      <c r="AH445" s="9" t="s">
        <v>92</v>
      </c>
      <c r="AI445" s="13">
        <v>3766000</v>
      </c>
      <c r="AJ445" s="13">
        <v>7532000</v>
      </c>
      <c r="AK445" s="11">
        <v>0</v>
      </c>
      <c r="AL445" s="11">
        <v>0</v>
      </c>
      <c r="AM445" s="11">
        <v>0</v>
      </c>
      <c r="AN445" s="9" t="s">
        <v>67</v>
      </c>
      <c r="AO445" s="11">
        <v>7532000</v>
      </c>
      <c r="AP445" s="13">
        <v>602560</v>
      </c>
      <c r="AQ445" s="13">
        <v>8134560</v>
      </c>
      <c r="AR445" s="11">
        <v>40</v>
      </c>
      <c r="AS445" s="9" t="s">
        <v>72</v>
      </c>
      <c r="AT445" s="12">
        <v>33.334000000000003</v>
      </c>
      <c r="AU445" s="9" t="s">
        <v>73</v>
      </c>
      <c r="AV445" s="9" t="s">
        <v>67</v>
      </c>
      <c r="AW445" s="9" t="s">
        <v>1046</v>
      </c>
      <c r="AX445" s="10">
        <v>45992</v>
      </c>
      <c r="AY445" s="9" t="s">
        <v>1331</v>
      </c>
      <c r="AZ445" s="9" t="s">
        <v>67</v>
      </c>
      <c r="BA445" s="9" t="s">
        <v>67</v>
      </c>
      <c r="BB445" s="12">
        <v>40</v>
      </c>
      <c r="BC445" s="9" t="s">
        <v>74</v>
      </c>
      <c r="BD445" s="9" t="s">
        <v>104</v>
      </c>
      <c r="BE445" s="9" t="s">
        <v>75</v>
      </c>
      <c r="BF445" s="11">
        <v>0</v>
      </c>
      <c r="BG445">
        <f t="shared" si="14"/>
        <v>12</v>
      </c>
      <c r="BH445" t="str">
        <f>VLOOKUP(BG445,[1]month!$A:$B,2,0)</f>
        <v>Desember</v>
      </c>
      <c r="BI445">
        <f t="shared" si="15"/>
        <v>2025</v>
      </c>
      <c r="BJ445" t="str">
        <f>VLOOKUP(I445,[1]Dist!$A:$B,2,0)</f>
        <v>Industry</v>
      </c>
      <c r="BK445" t="str">
        <f>IF(I445=11,VLOOKUP(Y445,[2]Sheet1!$C:$N,10,0),IF(I445=13,VLOOKUP(Y445,[3]Sheet1!$C:$N,10,0),IF(I445=15,VLOOKUP(Y445,[4]Sheet1!$C:$N,10,0),"Unknown")))</f>
        <v>PU</v>
      </c>
      <c r="BL445" t="str">
        <f>IF(I445=11,VLOOKUP(Y445,[2]Sheet1!$C:$N,12,0),IF(I445=13,VLOOKUP(Y445,[3]Sheet1!$C:$N,12,0),IF(I445=15,VLOOKUP(Y445,[4]Sheet1!$C:$N,12,0),"Unknown")))</f>
        <v>PU COLOR</v>
      </c>
      <c r="BM445" t="str">
        <f>VLOOKUP(W445,[1]branch!$A:$B,2,0)</f>
        <v>INDUSTRY</v>
      </c>
    </row>
    <row r="446" spans="1:65" x14ac:dyDescent="0.35">
      <c r="A446" s="10">
        <v>45995</v>
      </c>
      <c r="B446" s="9" t="s">
        <v>1332</v>
      </c>
      <c r="C446" s="9" t="s">
        <v>64</v>
      </c>
      <c r="D446" s="9" t="s">
        <v>92</v>
      </c>
      <c r="E446" s="11">
        <v>30</v>
      </c>
      <c r="F446" s="9" t="s">
        <v>93</v>
      </c>
      <c r="G446" s="9" t="s">
        <v>65</v>
      </c>
      <c r="H446" s="9" t="s">
        <v>66</v>
      </c>
      <c r="I446" s="9">
        <v>13</v>
      </c>
      <c r="J446" s="9" t="s">
        <v>690</v>
      </c>
      <c r="K446" s="9" t="s">
        <v>690</v>
      </c>
      <c r="L446" s="9" t="s">
        <v>690</v>
      </c>
      <c r="M446" s="9" t="s">
        <v>691</v>
      </c>
      <c r="N446" s="9" t="s">
        <v>875</v>
      </c>
      <c r="O446" s="9" t="s">
        <v>302</v>
      </c>
      <c r="P446" s="9" t="s">
        <v>67</v>
      </c>
      <c r="Q446" s="9" t="s">
        <v>98</v>
      </c>
      <c r="R446" s="9" t="s">
        <v>690</v>
      </c>
      <c r="S446" s="9" t="s">
        <v>691</v>
      </c>
      <c r="T446" s="9" t="s">
        <v>845</v>
      </c>
      <c r="U446" s="9" t="s">
        <v>67</v>
      </c>
      <c r="V446" s="9" t="s">
        <v>151</v>
      </c>
      <c r="W446" s="9" t="s">
        <v>152</v>
      </c>
      <c r="X446" s="11">
        <v>10</v>
      </c>
      <c r="Y446" s="9" t="s">
        <v>622</v>
      </c>
      <c r="Z446" s="9" t="s">
        <v>68</v>
      </c>
      <c r="AA446" s="9" t="s">
        <v>623</v>
      </c>
      <c r="AB446" s="9" t="s">
        <v>67</v>
      </c>
      <c r="AC446" s="9" t="s">
        <v>624</v>
      </c>
      <c r="AD446" s="11">
        <v>10</v>
      </c>
      <c r="AE446" s="9" t="s">
        <v>70</v>
      </c>
      <c r="AF446" s="9" t="s">
        <v>71</v>
      </c>
      <c r="AG446" s="13">
        <v>1</v>
      </c>
      <c r="AH446" s="9" t="s">
        <v>92</v>
      </c>
      <c r="AI446" s="13">
        <v>2790396</v>
      </c>
      <c r="AJ446" s="13">
        <v>27903960</v>
      </c>
      <c r="AK446" s="11">
        <v>0</v>
      </c>
      <c r="AL446" s="11">
        <v>0</v>
      </c>
      <c r="AM446" s="11">
        <v>0</v>
      </c>
      <c r="AN446" s="9" t="s">
        <v>67</v>
      </c>
      <c r="AO446" s="11">
        <v>27903960</v>
      </c>
      <c r="AP446" s="13">
        <v>2232317</v>
      </c>
      <c r="AQ446" s="13">
        <v>30136277</v>
      </c>
      <c r="AR446" s="11">
        <v>160</v>
      </c>
      <c r="AS446" s="9" t="s">
        <v>72</v>
      </c>
      <c r="AT446" s="12">
        <v>153.80000000000001</v>
      </c>
      <c r="AU446" s="9" t="s">
        <v>73</v>
      </c>
      <c r="AV446" s="9" t="s">
        <v>67</v>
      </c>
      <c r="AW446" s="9" t="s">
        <v>1333</v>
      </c>
      <c r="AX446" s="10">
        <v>45993</v>
      </c>
      <c r="AY446" s="9" t="s">
        <v>1334</v>
      </c>
      <c r="AZ446" s="9" t="s">
        <v>67</v>
      </c>
      <c r="BA446" s="9" t="s">
        <v>67</v>
      </c>
      <c r="BB446" s="12">
        <v>160</v>
      </c>
      <c r="BC446" s="9" t="s">
        <v>74</v>
      </c>
      <c r="BD446" s="9" t="s">
        <v>104</v>
      </c>
      <c r="BE446" s="9" t="s">
        <v>75</v>
      </c>
      <c r="BF446" s="11">
        <v>0</v>
      </c>
      <c r="BG446">
        <f t="shared" si="14"/>
        <v>12</v>
      </c>
      <c r="BH446" t="str">
        <f>VLOOKUP(BG446,[1]month!$A:$B,2,0)</f>
        <v>Desember</v>
      </c>
      <c r="BI446">
        <f t="shared" si="15"/>
        <v>2025</v>
      </c>
      <c r="BJ446" t="str">
        <f>VLOOKUP(I446,[1]Dist!$A:$B,2,0)</f>
        <v>Retail</v>
      </c>
      <c r="BK446" t="str">
        <f>IF(I446=11,VLOOKUP(Y446,[2]Sheet1!$C:$N,10,0),IF(I446=13,VLOOKUP(Y446,[3]Sheet1!$C:$N,10,0),IF(I446=15,VLOOKUP(Y446,[4]Sheet1!$C:$N,10,0),"Unknown")))</f>
        <v>METAL COATINGS</v>
      </c>
      <c r="BL446" t="str">
        <f>IF(I446=11,VLOOKUP(Y446,[2]Sheet1!$C:$N,12,0),IF(I446=13,VLOOKUP(Y446,[3]Sheet1!$C:$N,12,0),IF(I446=15,VLOOKUP(Y446,[4]Sheet1!$C:$N,12,0),"Unknown")))</f>
        <v>METAL COATINGS</v>
      </c>
      <c r="BM446" t="str">
        <f>VLOOKUP(W446,[1]branch!$A:$B,2,0)</f>
        <v>HO CHI MINH</v>
      </c>
    </row>
    <row r="447" spans="1:65" x14ac:dyDescent="0.35">
      <c r="A447" s="10">
        <v>45995</v>
      </c>
      <c r="B447" s="9" t="s">
        <v>1332</v>
      </c>
      <c r="C447" s="9" t="s">
        <v>64</v>
      </c>
      <c r="D447" s="9" t="s">
        <v>92</v>
      </c>
      <c r="E447" s="11">
        <v>30</v>
      </c>
      <c r="F447" s="9" t="s">
        <v>93</v>
      </c>
      <c r="G447" s="9" t="s">
        <v>65</v>
      </c>
      <c r="H447" s="9" t="s">
        <v>66</v>
      </c>
      <c r="I447" s="9">
        <v>13</v>
      </c>
      <c r="J447" s="9" t="s">
        <v>690</v>
      </c>
      <c r="K447" s="9" t="s">
        <v>690</v>
      </c>
      <c r="L447" s="9" t="s">
        <v>690</v>
      </c>
      <c r="M447" s="9" t="s">
        <v>691</v>
      </c>
      <c r="N447" s="9" t="s">
        <v>875</v>
      </c>
      <c r="O447" s="9" t="s">
        <v>302</v>
      </c>
      <c r="P447" s="9" t="s">
        <v>67</v>
      </c>
      <c r="Q447" s="9" t="s">
        <v>98</v>
      </c>
      <c r="R447" s="9" t="s">
        <v>690</v>
      </c>
      <c r="S447" s="9" t="s">
        <v>691</v>
      </c>
      <c r="T447" s="9" t="s">
        <v>845</v>
      </c>
      <c r="U447" s="9" t="s">
        <v>67</v>
      </c>
      <c r="V447" s="9" t="s">
        <v>151</v>
      </c>
      <c r="W447" s="9" t="s">
        <v>152</v>
      </c>
      <c r="X447" s="11">
        <v>20</v>
      </c>
      <c r="Y447" s="9" t="s">
        <v>568</v>
      </c>
      <c r="Z447" s="9" t="s">
        <v>68</v>
      </c>
      <c r="AA447" s="9" t="s">
        <v>569</v>
      </c>
      <c r="AB447" s="9" t="s">
        <v>67</v>
      </c>
      <c r="AC447" s="9" t="s">
        <v>570</v>
      </c>
      <c r="AD447" s="11">
        <v>10</v>
      </c>
      <c r="AE447" s="9" t="s">
        <v>70</v>
      </c>
      <c r="AF447" s="9" t="s">
        <v>71</v>
      </c>
      <c r="AG447" s="13">
        <v>1</v>
      </c>
      <c r="AH447" s="9" t="s">
        <v>92</v>
      </c>
      <c r="AI447" s="13">
        <v>1438668</v>
      </c>
      <c r="AJ447" s="13">
        <v>14386680</v>
      </c>
      <c r="AK447" s="11">
        <v>0</v>
      </c>
      <c r="AL447" s="11">
        <v>0</v>
      </c>
      <c r="AM447" s="11">
        <v>0</v>
      </c>
      <c r="AN447" s="9" t="s">
        <v>67</v>
      </c>
      <c r="AO447" s="11">
        <v>14386680</v>
      </c>
      <c r="AP447" s="13">
        <v>1150934</v>
      </c>
      <c r="AQ447" s="13">
        <v>15537614</v>
      </c>
      <c r="AR447" s="11">
        <v>40</v>
      </c>
      <c r="AS447" s="9" t="s">
        <v>72</v>
      </c>
      <c r="AT447" s="12">
        <v>38.5</v>
      </c>
      <c r="AU447" s="9" t="s">
        <v>73</v>
      </c>
      <c r="AV447" s="9" t="s">
        <v>67</v>
      </c>
      <c r="AW447" s="9" t="s">
        <v>1333</v>
      </c>
      <c r="AX447" s="10">
        <v>45993</v>
      </c>
      <c r="AY447" s="9" t="s">
        <v>1334</v>
      </c>
      <c r="AZ447" s="9" t="s">
        <v>67</v>
      </c>
      <c r="BA447" s="9" t="s">
        <v>67</v>
      </c>
      <c r="BB447" s="12">
        <v>40</v>
      </c>
      <c r="BC447" s="9" t="s">
        <v>74</v>
      </c>
      <c r="BD447" s="9" t="s">
        <v>104</v>
      </c>
      <c r="BE447" s="9" t="s">
        <v>75</v>
      </c>
      <c r="BF447" s="11">
        <v>0</v>
      </c>
      <c r="BG447">
        <f t="shared" si="14"/>
        <v>12</v>
      </c>
      <c r="BH447" t="str">
        <f>VLOOKUP(BG447,[1]month!$A:$B,2,0)</f>
        <v>Desember</v>
      </c>
      <c r="BI447">
        <f t="shared" si="15"/>
        <v>2025</v>
      </c>
      <c r="BJ447" t="str">
        <f>VLOOKUP(I447,[1]Dist!$A:$B,2,0)</f>
        <v>Retail</v>
      </c>
      <c r="BK447" t="str">
        <f>IF(I447=11,VLOOKUP(Y447,[2]Sheet1!$C:$N,10,0),IF(I447=13,VLOOKUP(Y447,[3]Sheet1!$C:$N,10,0),IF(I447=15,VLOOKUP(Y447,[4]Sheet1!$C:$N,10,0),"Unknown")))</f>
        <v>METAL COATINGS</v>
      </c>
      <c r="BL447" t="str">
        <f>IF(I447=11,VLOOKUP(Y447,[2]Sheet1!$C:$N,12,0),IF(I447=13,VLOOKUP(Y447,[3]Sheet1!$C:$N,12,0),IF(I447=15,VLOOKUP(Y447,[4]Sheet1!$C:$N,12,0),"Unknown")))</f>
        <v>METAL COATINGS</v>
      </c>
      <c r="BM447" t="str">
        <f>VLOOKUP(W447,[1]branch!$A:$B,2,0)</f>
        <v>HO CHI MINH</v>
      </c>
    </row>
    <row r="448" spans="1:65" x14ac:dyDescent="0.35">
      <c r="A448" s="10">
        <v>45996</v>
      </c>
      <c r="B448" s="9" t="s">
        <v>1335</v>
      </c>
      <c r="C448" s="9" t="s">
        <v>64</v>
      </c>
      <c r="D448" s="9" t="s">
        <v>92</v>
      </c>
      <c r="E448" s="11">
        <v>60</v>
      </c>
      <c r="F448" s="9" t="s">
        <v>93</v>
      </c>
      <c r="G448" s="9" t="s">
        <v>65</v>
      </c>
      <c r="H448" s="9" t="s">
        <v>66</v>
      </c>
      <c r="I448" s="9">
        <v>11</v>
      </c>
      <c r="J448" s="9" t="s">
        <v>347</v>
      </c>
      <c r="K448" s="9" t="s">
        <v>347</v>
      </c>
      <c r="L448" s="9" t="s">
        <v>347</v>
      </c>
      <c r="M448" s="9" t="s">
        <v>348</v>
      </c>
      <c r="N448" s="9" t="s">
        <v>866</v>
      </c>
      <c r="O448" s="9" t="s">
        <v>97</v>
      </c>
      <c r="P448" s="9" t="s">
        <v>67</v>
      </c>
      <c r="Q448" s="9" t="s">
        <v>98</v>
      </c>
      <c r="R448" s="9" t="s">
        <v>347</v>
      </c>
      <c r="S448" s="9" t="s">
        <v>348</v>
      </c>
      <c r="T448" s="9" t="s">
        <v>818</v>
      </c>
      <c r="U448" s="9" t="s">
        <v>67</v>
      </c>
      <c r="V448" s="9" t="s">
        <v>130</v>
      </c>
      <c r="W448" s="9" t="s">
        <v>131</v>
      </c>
      <c r="X448" s="11">
        <v>70</v>
      </c>
      <c r="Y448" s="9" t="s">
        <v>1336</v>
      </c>
      <c r="Z448" s="9" t="s">
        <v>68</v>
      </c>
      <c r="AA448" s="9" t="s">
        <v>1337</v>
      </c>
      <c r="AB448" s="9" t="s">
        <v>67</v>
      </c>
      <c r="AC448" s="9" t="s">
        <v>82</v>
      </c>
      <c r="AD448" s="11">
        <v>1</v>
      </c>
      <c r="AE448" s="9" t="s">
        <v>70</v>
      </c>
      <c r="AF448" s="9" t="s">
        <v>71</v>
      </c>
      <c r="AG448" s="13">
        <v>1</v>
      </c>
      <c r="AH448" s="9" t="s">
        <v>92</v>
      </c>
      <c r="AI448" s="13">
        <v>5266560</v>
      </c>
      <c r="AJ448" s="13">
        <v>5266560</v>
      </c>
      <c r="AK448" s="11">
        <v>0</v>
      </c>
      <c r="AL448" s="11">
        <v>0</v>
      </c>
      <c r="AM448" s="11">
        <v>0</v>
      </c>
      <c r="AN448" s="9" t="s">
        <v>67</v>
      </c>
      <c r="AO448" s="11">
        <v>5266560</v>
      </c>
      <c r="AP448" s="13">
        <v>421325</v>
      </c>
      <c r="AQ448" s="13">
        <v>5687885</v>
      </c>
      <c r="AR448" s="11">
        <v>16</v>
      </c>
      <c r="AS448" s="9" t="s">
        <v>72</v>
      </c>
      <c r="AT448" s="12">
        <v>18.82</v>
      </c>
      <c r="AU448" s="9" t="s">
        <v>73</v>
      </c>
      <c r="AV448" s="9" t="s">
        <v>67</v>
      </c>
      <c r="AW448" s="9" t="s">
        <v>1338</v>
      </c>
      <c r="AX448" s="10">
        <v>45943</v>
      </c>
      <c r="AY448" s="9" t="s">
        <v>1339</v>
      </c>
      <c r="AZ448" s="9" t="s">
        <v>67</v>
      </c>
      <c r="BA448" s="9" t="s">
        <v>67</v>
      </c>
      <c r="BB448" s="12">
        <v>16</v>
      </c>
      <c r="BC448" s="9" t="s">
        <v>74</v>
      </c>
      <c r="BD448" s="9" t="s">
        <v>104</v>
      </c>
      <c r="BE448" s="9" t="s">
        <v>75</v>
      </c>
      <c r="BF448" s="11">
        <v>0</v>
      </c>
      <c r="BG448">
        <f t="shared" si="14"/>
        <v>12</v>
      </c>
      <c r="BH448" t="str">
        <f>VLOOKUP(BG448,[1]month!$A:$B,2,0)</f>
        <v>Desember</v>
      </c>
      <c r="BI448">
        <f t="shared" si="15"/>
        <v>2025</v>
      </c>
      <c r="BJ448" t="str">
        <f>VLOOKUP(I448,[1]Dist!$A:$B,2,0)</f>
        <v>Industry</v>
      </c>
      <c r="BK448" t="str">
        <f>IF(I448=11,VLOOKUP(Y448,[2]Sheet1!$C:$N,10,0),IF(I448=13,VLOOKUP(Y448,[3]Sheet1!$C:$N,10,0),IF(I448=15,VLOOKUP(Y448,[4]Sheet1!$C:$N,10,0),"Unknown")))</f>
        <v>STAIN &amp; GLAZE INTERIOR</v>
      </c>
      <c r="BL448" t="str">
        <f>IF(I448=11,VLOOKUP(Y448,[2]Sheet1!$C:$N,12,0),IF(I448=13,VLOOKUP(Y448,[3]Sheet1!$C:$N,12,0),IF(I448=15,VLOOKUP(Y448,[4]Sheet1!$C:$N,12,0),"Unknown")))</f>
        <v>STAIN INTERIOR</v>
      </c>
      <c r="BM448" t="str">
        <f>VLOOKUP(W448,[1]branch!$A:$B,2,0)</f>
        <v>INDUSTRY</v>
      </c>
    </row>
    <row r="449" spans="1:65" x14ac:dyDescent="0.35">
      <c r="A449" s="10">
        <v>45996</v>
      </c>
      <c r="B449" s="9" t="s">
        <v>1335</v>
      </c>
      <c r="C449" s="9" t="s">
        <v>64</v>
      </c>
      <c r="D449" s="9" t="s">
        <v>92</v>
      </c>
      <c r="E449" s="11">
        <v>60</v>
      </c>
      <c r="F449" s="9" t="s">
        <v>93</v>
      </c>
      <c r="G449" s="9" t="s">
        <v>65</v>
      </c>
      <c r="H449" s="9" t="s">
        <v>66</v>
      </c>
      <c r="I449" s="9">
        <v>11</v>
      </c>
      <c r="J449" s="9" t="s">
        <v>347</v>
      </c>
      <c r="K449" s="9" t="s">
        <v>347</v>
      </c>
      <c r="L449" s="9" t="s">
        <v>347</v>
      </c>
      <c r="M449" s="9" t="s">
        <v>348</v>
      </c>
      <c r="N449" s="9" t="s">
        <v>866</v>
      </c>
      <c r="O449" s="9" t="s">
        <v>97</v>
      </c>
      <c r="P449" s="9" t="s">
        <v>67</v>
      </c>
      <c r="Q449" s="9" t="s">
        <v>98</v>
      </c>
      <c r="R449" s="9" t="s">
        <v>347</v>
      </c>
      <c r="S449" s="9" t="s">
        <v>348</v>
      </c>
      <c r="T449" s="9" t="s">
        <v>818</v>
      </c>
      <c r="U449" s="9" t="s">
        <v>67</v>
      </c>
      <c r="V449" s="9" t="s">
        <v>130</v>
      </c>
      <c r="W449" s="9" t="s">
        <v>131</v>
      </c>
      <c r="X449" s="11">
        <v>80</v>
      </c>
      <c r="Y449" s="9" t="s">
        <v>1340</v>
      </c>
      <c r="Z449" s="9" t="s">
        <v>68</v>
      </c>
      <c r="AA449" s="9" t="s">
        <v>1341</v>
      </c>
      <c r="AB449" s="9" t="s">
        <v>67</v>
      </c>
      <c r="AC449" s="9" t="s">
        <v>82</v>
      </c>
      <c r="AD449" s="11">
        <v>1</v>
      </c>
      <c r="AE449" s="9" t="s">
        <v>70</v>
      </c>
      <c r="AF449" s="9" t="s">
        <v>71</v>
      </c>
      <c r="AG449" s="13">
        <v>1</v>
      </c>
      <c r="AH449" s="9" t="s">
        <v>92</v>
      </c>
      <c r="AI449" s="13">
        <v>5116800</v>
      </c>
      <c r="AJ449" s="13">
        <v>5116800</v>
      </c>
      <c r="AK449" s="11">
        <v>0</v>
      </c>
      <c r="AL449" s="11">
        <v>0</v>
      </c>
      <c r="AM449" s="11">
        <v>0</v>
      </c>
      <c r="AN449" s="9" t="s">
        <v>67</v>
      </c>
      <c r="AO449" s="11">
        <v>5116800</v>
      </c>
      <c r="AP449" s="13">
        <v>409344</v>
      </c>
      <c r="AQ449" s="13">
        <v>5526144</v>
      </c>
      <c r="AR449" s="11">
        <v>16</v>
      </c>
      <c r="AS449" s="9" t="s">
        <v>72</v>
      </c>
      <c r="AT449" s="12">
        <v>18.18</v>
      </c>
      <c r="AU449" s="9" t="s">
        <v>73</v>
      </c>
      <c r="AV449" s="9" t="s">
        <v>67</v>
      </c>
      <c r="AW449" s="9" t="s">
        <v>1338</v>
      </c>
      <c r="AX449" s="10">
        <v>45943</v>
      </c>
      <c r="AY449" s="9" t="s">
        <v>1339</v>
      </c>
      <c r="AZ449" s="9" t="s">
        <v>67</v>
      </c>
      <c r="BA449" s="9" t="s">
        <v>67</v>
      </c>
      <c r="BB449" s="12">
        <v>16</v>
      </c>
      <c r="BC449" s="9" t="s">
        <v>74</v>
      </c>
      <c r="BD449" s="9" t="s">
        <v>104</v>
      </c>
      <c r="BE449" s="9" t="s">
        <v>75</v>
      </c>
      <c r="BF449" s="11">
        <v>0</v>
      </c>
      <c r="BG449">
        <f t="shared" si="14"/>
        <v>12</v>
      </c>
      <c r="BH449" t="str">
        <f>VLOOKUP(BG449,[1]month!$A:$B,2,0)</f>
        <v>Desember</v>
      </c>
      <c r="BI449">
        <f t="shared" si="15"/>
        <v>2025</v>
      </c>
      <c r="BJ449" t="str">
        <f>VLOOKUP(I449,[1]Dist!$A:$B,2,0)</f>
        <v>Industry</v>
      </c>
      <c r="BK449" t="str">
        <f>IF(I449=11,VLOOKUP(Y449,[2]Sheet1!$C:$N,10,0),IF(I449=13,VLOOKUP(Y449,[3]Sheet1!$C:$N,10,0),IF(I449=15,VLOOKUP(Y449,[4]Sheet1!$C:$N,10,0),"Unknown")))</f>
        <v>STAIN &amp; GLAZE INTERIOR</v>
      </c>
      <c r="BL449" t="str">
        <f>IF(I449=11,VLOOKUP(Y449,[2]Sheet1!$C:$N,12,0),IF(I449=13,VLOOKUP(Y449,[3]Sheet1!$C:$N,12,0),IF(I449=15,VLOOKUP(Y449,[4]Sheet1!$C:$N,12,0),"Unknown")))</f>
        <v>STAIN INTERIOR</v>
      </c>
      <c r="BM449" t="str">
        <f>VLOOKUP(W449,[1]branch!$A:$B,2,0)</f>
        <v>INDUSTRY</v>
      </c>
    </row>
    <row r="450" spans="1:65" x14ac:dyDescent="0.35">
      <c r="A450" s="10">
        <v>45996</v>
      </c>
      <c r="B450" s="9" t="s">
        <v>1342</v>
      </c>
      <c r="C450" s="9" t="s">
        <v>64</v>
      </c>
      <c r="D450" s="9" t="s">
        <v>92</v>
      </c>
      <c r="E450" s="11">
        <v>60</v>
      </c>
      <c r="F450" s="9" t="s">
        <v>93</v>
      </c>
      <c r="G450" s="9" t="s">
        <v>65</v>
      </c>
      <c r="H450" s="9" t="s">
        <v>66</v>
      </c>
      <c r="I450" s="9">
        <v>11</v>
      </c>
      <c r="J450" s="9" t="s">
        <v>347</v>
      </c>
      <c r="K450" s="9" t="s">
        <v>347</v>
      </c>
      <c r="L450" s="9" t="s">
        <v>347</v>
      </c>
      <c r="M450" s="9" t="s">
        <v>348</v>
      </c>
      <c r="N450" s="9" t="s">
        <v>866</v>
      </c>
      <c r="O450" s="9" t="s">
        <v>97</v>
      </c>
      <c r="P450" s="9" t="s">
        <v>67</v>
      </c>
      <c r="Q450" s="9" t="s">
        <v>98</v>
      </c>
      <c r="R450" s="9" t="s">
        <v>347</v>
      </c>
      <c r="S450" s="9" t="s">
        <v>348</v>
      </c>
      <c r="T450" s="9" t="s">
        <v>818</v>
      </c>
      <c r="U450" s="9" t="s">
        <v>67</v>
      </c>
      <c r="V450" s="9" t="s">
        <v>130</v>
      </c>
      <c r="W450" s="9" t="s">
        <v>131</v>
      </c>
      <c r="X450" s="11">
        <v>30</v>
      </c>
      <c r="Y450" s="9" t="s">
        <v>105</v>
      </c>
      <c r="Z450" s="9" t="s">
        <v>68</v>
      </c>
      <c r="AA450" s="9" t="s">
        <v>106</v>
      </c>
      <c r="AB450" s="9" t="s">
        <v>67</v>
      </c>
      <c r="AC450" s="9" t="s">
        <v>107</v>
      </c>
      <c r="AD450" s="11">
        <v>5</v>
      </c>
      <c r="AE450" s="9" t="s">
        <v>70</v>
      </c>
      <c r="AF450" s="9" t="s">
        <v>71</v>
      </c>
      <c r="AG450" s="13">
        <v>1</v>
      </c>
      <c r="AH450" s="9" t="s">
        <v>92</v>
      </c>
      <c r="AI450" s="13">
        <v>1556000</v>
      </c>
      <c r="AJ450" s="13">
        <v>7780000</v>
      </c>
      <c r="AK450" s="11">
        <v>0</v>
      </c>
      <c r="AL450" s="11">
        <v>0</v>
      </c>
      <c r="AM450" s="11">
        <v>0</v>
      </c>
      <c r="AN450" s="9" t="s">
        <v>67</v>
      </c>
      <c r="AO450" s="11">
        <v>7780000</v>
      </c>
      <c r="AP450" s="13">
        <v>622400</v>
      </c>
      <c r="AQ450" s="13">
        <v>8402400</v>
      </c>
      <c r="AR450" s="11">
        <v>100</v>
      </c>
      <c r="AS450" s="9" t="s">
        <v>72</v>
      </c>
      <c r="AT450" s="12">
        <v>106.4</v>
      </c>
      <c r="AU450" s="9" t="s">
        <v>73</v>
      </c>
      <c r="AV450" s="9" t="s">
        <v>67</v>
      </c>
      <c r="AW450" s="9" t="s">
        <v>932</v>
      </c>
      <c r="AX450" s="10">
        <v>45961</v>
      </c>
      <c r="AY450" s="9" t="s">
        <v>1343</v>
      </c>
      <c r="AZ450" s="9" t="s">
        <v>67</v>
      </c>
      <c r="BA450" s="9" t="s">
        <v>67</v>
      </c>
      <c r="BB450" s="12">
        <v>100</v>
      </c>
      <c r="BC450" s="9" t="s">
        <v>74</v>
      </c>
      <c r="BD450" s="9" t="s">
        <v>104</v>
      </c>
      <c r="BE450" s="9" t="s">
        <v>75</v>
      </c>
      <c r="BF450" s="11">
        <v>0</v>
      </c>
      <c r="BG450">
        <f t="shared" si="14"/>
        <v>12</v>
      </c>
      <c r="BH450" t="str">
        <f>VLOOKUP(BG450,[1]month!$A:$B,2,0)</f>
        <v>Desember</v>
      </c>
      <c r="BI450">
        <f t="shared" si="15"/>
        <v>2025</v>
      </c>
      <c r="BJ450" t="str">
        <f>VLOOKUP(I450,[1]Dist!$A:$B,2,0)</f>
        <v>Industry</v>
      </c>
      <c r="BK450" t="str">
        <f>IF(I450=11,VLOOKUP(Y450,[2]Sheet1!$C:$N,10,0),IF(I450=13,VLOOKUP(Y450,[3]Sheet1!$C:$N,10,0),IF(I450=15,VLOOKUP(Y450,[4]Sheet1!$C:$N,10,0),"Unknown")))</f>
        <v>PU</v>
      </c>
      <c r="BL450" t="str">
        <f>IF(I450=11,VLOOKUP(Y450,[2]Sheet1!$C:$N,12,0),IF(I450=13,VLOOKUP(Y450,[3]Sheet1!$C:$N,12,0),IF(I450=15,VLOOKUP(Y450,[4]Sheet1!$C:$N,12,0),"Unknown")))</f>
        <v>PU HARDENER</v>
      </c>
      <c r="BM450" t="str">
        <f>VLOOKUP(W450,[1]branch!$A:$B,2,0)</f>
        <v>INDUSTRY</v>
      </c>
    </row>
    <row r="451" spans="1:65" x14ac:dyDescent="0.35">
      <c r="A451" s="10">
        <v>45996</v>
      </c>
      <c r="B451" s="9" t="s">
        <v>1344</v>
      </c>
      <c r="C451" s="9" t="s">
        <v>64</v>
      </c>
      <c r="D451" s="9" t="s">
        <v>92</v>
      </c>
      <c r="E451" s="11">
        <v>60</v>
      </c>
      <c r="F451" s="9" t="s">
        <v>93</v>
      </c>
      <c r="G451" s="9" t="s">
        <v>65</v>
      </c>
      <c r="H451" s="9" t="s">
        <v>66</v>
      </c>
      <c r="I451" s="9">
        <v>11</v>
      </c>
      <c r="J451" s="9" t="s">
        <v>347</v>
      </c>
      <c r="K451" s="9" t="s">
        <v>347</v>
      </c>
      <c r="L451" s="9" t="s">
        <v>347</v>
      </c>
      <c r="M451" s="9" t="s">
        <v>348</v>
      </c>
      <c r="N451" s="9" t="s">
        <v>866</v>
      </c>
      <c r="O451" s="9" t="s">
        <v>97</v>
      </c>
      <c r="P451" s="9" t="s">
        <v>67</v>
      </c>
      <c r="Q451" s="9" t="s">
        <v>98</v>
      </c>
      <c r="R451" s="9" t="s">
        <v>347</v>
      </c>
      <c r="S451" s="9" t="s">
        <v>348</v>
      </c>
      <c r="T451" s="9" t="s">
        <v>818</v>
      </c>
      <c r="U451" s="9" t="s">
        <v>67</v>
      </c>
      <c r="V451" s="9" t="s">
        <v>130</v>
      </c>
      <c r="W451" s="9" t="s">
        <v>131</v>
      </c>
      <c r="X451" s="11">
        <v>30</v>
      </c>
      <c r="Y451" s="9" t="s">
        <v>1345</v>
      </c>
      <c r="Z451" s="9" t="s">
        <v>68</v>
      </c>
      <c r="AA451" s="9" t="s">
        <v>1346</v>
      </c>
      <c r="AB451" s="9" t="s">
        <v>67</v>
      </c>
      <c r="AC451" s="9" t="s">
        <v>191</v>
      </c>
      <c r="AD451" s="11">
        <v>5</v>
      </c>
      <c r="AE451" s="9" t="s">
        <v>70</v>
      </c>
      <c r="AF451" s="9" t="s">
        <v>71</v>
      </c>
      <c r="AG451" s="13">
        <v>1</v>
      </c>
      <c r="AH451" s="9" t="s">
        <v>92</v>
      </c>
      <c r="AI451" s="13">
        <v>1165220</v>
      </c>
      <c r="AJ451" s="13">
        <v>5826100</v>
      </c>
      <c r="AK451" s="11">
        <v>0</v>
      </c>
      <c r="AL451" s="11">
        <v>0</v>
      </c>
      <c r="AM451" s="11">
        <v>0</v>
      </c>
      <c r="AN451" s="9" t="s">
        <v>67</v>
      </c>
      <c r="AO451" s="11">
        <v>5826100</v>
      </c>
      <c r="AP451" s="13">
        <v>466088</v>
      </c>
      <c r="AQ451" s="13">
        <v>6292188</v>
      </c>
      <c r="AR451" s="11">
        <v>100</v>
      </c>
      <c r="AS451" s="9" t="s">
        <v>72</v>
      </c>
      <c r="AT451" s="11">
        <v>100</v>
      </c>
      <c r="AU451" s="9" t="s">
        <v>73</v>
      </c>
      <c r="AV451" s="9" t="s">
        <v>67</v>
      </c>
      <c r="AW451" s="9" t="s">
        <v>941</v>
      </c>
      <c r="AX451" s="10">
        <v>45975</v>
      </c>
      <c r="AY451" s="9" t="s">
        <v>1347</v>
      </c>
      <c r="AZ451" s="9" t="s">
        <v>67</v>
      </c>
      <c r="BA451" s="9" t="s">
        <v>67</v>
      </c>
      <c r="BB451" s="12">
        <v>100</v>
      </c>
      <c r="BC451" s="9" t="s">
        <v>74</v>
      </c>
      <c r="BD451" s="9" t="s">
        <v>104</v>
      </c>
      <c r="BE451" s="9" t="s">
        <v>75</v>
      </c>
      <c r="BF451" s="11">
        <v>0</v>
      </c>
      <c r="BG451">
        <f t="shared" ref="BG451:BG514" si="16">MONTH(A451)</f>
        <v>12</v>
      </c>
      <c r="BH451" t="str">
        <f>VLOOKUP(BG451,[1]month!$A:$B,2,0)</f>
        <v>Desember</v>
      </c>
      <c r="BI451">
        <f t="shared" ref="BI451:BI514" si="17">YEAR(A451)</f>
        <v>2025</v>
      </c>
      <c r="BJ451" t="str">
        <f>VLOOKUP(I451,[1]Dist!$A:$B,2,0)</f>
        <v>Industry</v>
      </c>
      <c r="BK451" t="str">
        <f>IF(I451=11,VLOOKUP(Y451,[2]Sheet1!$C:$N,10,0),IF(I451=13,VLOOKUP(Y451,[3]Sheet1!$C:$N,10,0),IF(I451=15,VLOOKUP(Y451,[4]Sheet1!$C:$N,10,0),"Unknown")))</f>
        <v>NC</v>
      </c>
      <c r="BL451" t="str">
        <f>IF(I451=11,VLOOKUP(Y451,[2]Sheet1!$C:$N,12,0),IF(I451=13,VLOOKUP(Y451,[3]Sheet1!$C:$N,12,0),IF(I451=15,VLOOKUP(Y451,[4]Sheet1!$C:$N,12,0),"Unknown")))</f>
        <v>NC SYSTEM</v>
      </c>
      <c r="BM451" t="str">
        <f>VLOOKUP(W451,[1]branch!$A:$B,2,0)</f>
        <v>INDUSTRY</v>
      </c>
    </row>
    <row r="452" spans="1:65" x14ac:dyDescent="0.35">
      <c r="A452" s="10">
        <v>45996</v>
      </c>
      <c r="B452" s="9" t="s">
        <v>1348</v>
      </c>
      <c r="C452" s="9" t="s">
        <v>64</v>
      </c>
      <c r="D452" s="9" t="s">
        <v>92</v>
      </c>
      <c r="E452" s="11">
        <v>60</v>
      </c>
      <c r="F452" s="9" t="s">
        <v>93</v>
      </c>
      <c r="G452" s="9" t="s">
        <v>65</v>
      </c>
      <c r="H452" s="9" t="s">
        <v>66</v>
      </c>
      <c r="I452" s="9">
        <v>11</v>
      </c>
      <c r="J452" s="9" t="s">
        <v>347</v>
      </c>
      <c r="K452" s="9" t="s">
        <v>347</v>
      </c>
      <c r="L452" s="9" t="s">
        <v>347</v>
      </c>
      <c r="M452" s="9" t="s">
        <v>348</v>
      </c>
      <c r="N452" s="9" t="s">
        <v>866</v>
      </c>
      <c r="O452" s="9" t="s">
        <v>97</v>
      </c>
      <c r="P452" s="9" t="s">
        <v>67</v>
      </c>
      <c r="Q452" s="9" t="s">
        <v>98</v>
      </c>
      <c r="R452" s="9" t="s">
        <v>347</v>
      </c>
      <c r="S452" s="9" t="s">
        <v>348</v>
      </c>
      <c r="T452" s="9" t="s">
        <v>818</v>
      </c>
      <c r="U452" s="9" t="s">
        <v>67</v>
      </c>
      <c r="V452" s="9" t="s">
        <v>130</v>
      </c>
      <c r="W452" s="9" t="s">
        <v>131</v>
      </c>
      <c r="X452" s="11">
        <v>10</v>
      </c>
      <c r="Y452" s="9" t="s">
        <v>148</v>
      </c>
      <c r="Z452" s="9" t="s">
        <v>68</v>
      </c>
      <c r="AA452" s="9" t="s">
        <v>149</v>
      </c>
      <c r="AB452" s="9" t="s">
        <v>67</v>
      </c>
      <c r="AC452" s="9" t="s">
        <v>69</v>
      </c>
      <c r="AD452" s="11">
        <v>5</v>
      </c>
      <c r="AE452" s="9" t="s">
        <v>70</v>
      </c>
      <c r="AF452" s="9" t="s">
        <v>71</v>
      </c>
      <c r="AG452" s="13">
        <v>1</v>
      </c>
      <c r="AH452" s="9" t="s">
        <v>92</v>
      </c>
      <c r="AI452" s="13">
        <v>7298800</v>
      </c>
      <c r="AJ452" s="13">
        <v>36494000</v>
      </c>
      <c r="AK452" s="11">
        <v>0</v>
      </c>
      <c r="AL452" s="11">
        <v>0</v>
      </c>
      <c r="AM452" s="11">
        <v>0</v>
      </c>
      <c r="AN452" s="9" t="s">
        <v>67</v>
      </c>
      <c r="AO452" s="11">
        <v>36494000</v>
      </c>
      <c r="AP452" s="13">
        <v>2919520</v>
      </c>
      <c r="AQ452" s="13">
        <v>39413520</v>
      </c>
      <c r="AR452" s="11">
        <v>900</v>
      </c>
      <c r="AS452" s="9" t="s">
        <v>72</v>
      </c>
      <c r="AT452" s="11">
        <v>1000</v>
      </c>
      <c r="AU452" s="9" t="s">
        <v>73</v>
      </c>
      <c r="AV452" s="9" t="s">
        <v>67</v>
      </c>
      <c r="AW452" s="9" t="s">
        <v>946</v>
      </c>
      <c r="AX452" s="10">
        <v>45982</v>
      </c>
      <c r="AY452" s="9" t="s">
        <v>1349</v>
      </c>
      <c r="AZ452" s="9" t="s">
        <v>67</v>
      </c>
      <c r="BA452" s="9" t="s">
        <v>67</v>
      </c>
      <c r="BB452" s="12">
        <v>1000</v>
      </c>
      <c r="BC452" s="9" t="s">
        <v>74</v>
      </c>
      <c r="BD452" s="9" t="s">
        <v>104</v>
      </c>
      <c r="BE452" s="9" t="s">
        <v>75</v>
      </c>
      <c r="BF452" s="11">
        <v>0</v>
      </c>
      <c r="BG452">
        <f t="shared" si="16"/>
        <v>12</v>
      </c>
      <c r="BH452" t="str">
        <f>VLOOKUP(BG452,[1]month!$A:$B,2,0)</f>
        <v>Desember</v>
      </c>
      <c r="BI452">
        <f t="shared" si="17"/>
        <v>2025</v>
      </c>
      <c r="BJ452" t="str">
        <f>VLOOKUP(I452,[1]Dist!$A:$B,2,0)</f>
        <v>Industry</v>
      </c>
      <c r="BK452" t="str">
        <f>IF(I452=11,VLOOKUP(Y452,[2]Sheet1!$C:$N,10,0),IF(I452=13,VLOOKUP(Y452,[3]Sheet1!$C:$N,10,0),IF(I452=15,VLOOKUP(Y452,[4]Sheet1!$C:$N,10,0),"Unknown")))</f>
        <v>THINNER NC</v>
      </c>
      <c r="BL452" t="str">
        <f>IF(I452=11,VLOOKUP(Y452,[2]Sheet1!$C:$N,12,0),IF(I452=13,VLOOKUP(Y452,[3]Sheet1!$C:$N,12,0),IF(I452=15,VLOOKUP(Y452,[4]Sheet1!$C:$N,12,0),"Unknown")))</f>
        <v>THINNER NC</v>
      </c>
      <c r="BM452" t="str">
        <f>VLOOKUP(W452,[1]branch!$A:$B,2,0)</f>
        <v>INDUSTRY</v>
      </c>
    </row>
    <row r="453" spans="1:65" x14ac:dyDescent="0.35">
      <c r="A453" s="10">
        <v>45996</v>
      </c>
      <c r="B453" s="9" t="s">
        <v>1350</v>
      </c>
      <c r="C453" s="9" t="s">
        <v>64</v>
      </c>
      <c r="D453" s="9" t="s">
        <v>92</v>
      </c>
      <c r="E453" s="11">
        <v>60</v>
      </c>
      <c r="F453" s="9" t="s">
        <v>93</v>
      </c>
      <c r="G453" s="9" t="s">
        <v>65</v>
      </c>
      <c r="H453" s="9" t="s">
        <v>66</v>
      </c>
      <c r="I453" s="9">
        <v>11</v>
      </c>
      <c r="J453" s="9" t="s">
        <v>347</v>
      </c>
      <c r="K453" s="9" t="s">
        <v>347</v>
      </c>
      <c r="L453" s="9" t="s">
        <v>347</v>
      </c>
      <c r="M453" s="9" t="s">
        <v>348</v>
      </c>
      <c r="N453" s="9" t="s">
        <v>866</v>
      </c>
      <c r="O453" s="9" t="s">
        <v>97</v>
      </c>
      <c r="P453" s="9" t="s">
        <v>67</v>
      </c>
      <c r="Q453" s="9" t="s">
        <v>98</v>
      </c>
      <c r="R453" s="9" t="s">
        <v>347</v>
      </c>
      <c r="S453" s="9" t="s">
        <v>348</v>
      </c>
      <c r="T453" s="9" t="s">
        <v>818</v>
      </c>
      <c r="U453" s="9" t="s">
        <v>67</v>
      </c>
      <c r="V453" s="9" t="s">
        <v>130</v>
      </c>
      <c r="W453" s="9" t="s">
        <v>131</v>
      </c>
      <c r="X453" s="11">
        <v>20</v>
      </c>
      <c r="Y453" s="9" t="s">
        <v>273</v>
      </c>
      <c r="Z453" s="9" t="s">
        <v>68</v>
      </c>
      <c r="AA453" s="9" t="s">
        <v>274</v>
      </c>
      <c r="AB453" s="9" t="s">
        <v>67</v>
      </c>
      <c r="AC453" s="9" t="s">
        <v>191</v>
      </c>
      <c r="AD453" s="11">
        <v>10</v>
      </c>
      <c r="AE453" s="9" t="s">
        <v>70</v>
      </c>
      <c r="AF453" s="9" t="s">
        <v>71</v>
      </c>
      <c r="AG453" s="13">
        <v>1</v>
      </c>
      <c r="AH453" s="9" t="s">
        <v>92</v>
      </c>
      <c r="AI453" s="13">
        <v>1153480</v>
      </c>
      <c r="AJ453" s="13">
        <v>11534800</v>
      </c>
      <c r="AK453" s="11">
        <v>0</v>
      </c>
      <c r="AL453" s="11">
        <v>0</v>
      </c>
      <c r="AM453" s="11">
        <v>0</v>
      </c>
      <c r="AN453" s="9" t="s">
        <v>67</v>
      </c>
      <c r="AO453" s="11">
        <v>11534800</v>
      </c>
      <c r="AP453" s="13">
        <v>922784</v>
      </c>
      <c r="AQ453" s="13">
        <v>12457584</v>
      </c>
      <c r="AR453" s="11">
        <v>196</v>
      </c>
      <c r="AS453" s="9" t="s">
        <v>72</v>
      </c>
      <c r="AT453" s="11">
        <v>200</v>
      </c>
      <c r="AU453" s="9" t="s">
        <v>73</v>
      </c>
      <c r="AV453" s="9" t="s">
        <v>67</v>
      </c>
      <c r="AW453" s="9" t="s">
        <v>1073</v>
      </c>
      <c r="AX453" s="10">
        <v>45986</v>
      </c>
      <c r="AY453" s="9" t="s">
        <v>1351</v>
      </c>
      <c r="AZ453" s="9" t="s">
        <v>67</v>
      </c>
      <c r="BA453" s="9" t="s">
        <v>67</v>
      </c>
      <c r="BB453" s="12">
        <v>200</v>
      </c>
      <c r="BC453" s="9" t="s">
        <v>74</v>
      </c>
      <c r="BD453" s="9" t="s">
        <v>104</v>
      </c>
      <c r="BE453" s="9" t="s">
        <v>75</v>
      </c>
      <c r="BF453" s="11">
        <v>0</v>
      </c>
      <c r="BG453">
        <f t="shared" si="16"/>
        <v>12</v>
      </c>
      <c r="BH453" t="str">
        <f>VLOOKUP(BG453,[1]month!$A:$B,2,0)</f>
        <v>Desember</v>
      </c>
      <c r="BI453">
        <f t="shared" si="17"/>
        <v>2025</v>
      </c>
      <c r="BJ453" t="str">
        <f>VLOOKUP(I453,[1]Dist!$A:$B,2,0)</f>
        <v>Industry</v>
      </c>
      <c r="BK453" t="str">
        <f>IF(I453=11,VLOOKUP(Y453,[2]Sheet1!$C:$N,10,0),IF(I453=13,VLOOKUP(Y453,[3]Sheet1!$C:$N,10,0),IF(I453=15,VLOOKUP(Y453,[4]Sheet1!$C:$N,10,0),"Unknown")))</f>
        <v>NC</v>
      </c>
      <c r="BL453" t="str">
        <f>IF(I453=11,VLOOKUP(Y453,[2]Sheet1!$C:$N,12,0),IF(I453=13,VLOOKUP(Y453,[3]Sheet1!$C:$N,12,0),IF(I453=15,VLOOKUP(Y453,[4]Sheet1!$C:$N,12,0),"Unknown")))</f>
        <v>NC SYSTEM</v>
      </c>
      <c r="BM453" t="str">
        <f>VLOOKUP(W453,[1]branch!$A:$B,2,0)</f>
        <v>INDUSTRY</v>
      </c>
    </row>
    <row r="454" spans="1:65" x14ac:dyDescent="0.35">
      <c r="A454" s="10">
        <v>45996</v>
      </c>
      <c r="B454" s="9" t="s">
        <v>1350</v>
      </c>
      <c r="C454" s="9" t="s">
        <v>64</v>
      </c>
      <c r="D454" s="9" t="s">
        <v>92</v>
      </c>
      <c r="E454" s="11">
        <v>60</v>
      </c>
      <c r="F454" s="9" t="s">
        <v>93</v>
      </c>
      <c r="G454" s="9" t="s">
        <v>65</v>
      </c>
      <c r="H454" s="9" t="s">
        <v>66</v>
      </c>
      <c r="I454" s="9">
        <v>11</v>
      </c>
      <c r="J454" s="9" t="s">
        <v>347</v>
      </c>
      <c r="K454" s="9" t="s">
        <v>347</v>
      </c>
      <c r="L454" s="9" t="s">
        <v>347</v>
      </c>
      <c r="M454" s="9" t="s">
        <v>348</v>
      </c>
      <c r="N454" s="9" t="s">
        <v>866</v>
      </c>
      <c r="O454" s="9" t="s">
        <v>97</v>
      </c>
      <c r="P454" s="9" t="s">
        <v>67</v>
      </c>
      <c r="Q454" s="9" t="s">
        <v>98</v>
      </c>
      <c r="R454" s="9" t="s">
        <v>347</v>
      </c>
      <c r="S454" s="9" t="s">
        <v>348</v>
      </c>
      <c r="T454" s="9" t="s">
        <v>818</v>
      </c>
      <c r="U454" s="9" t="s">
        <v>67</v>
      </c>
      <c r="V454" s="9" t="s">
        <v>130</v>
      </c>
      <c r="W454" s="9" t="s">
        <v>131</v>
      </c>
      <c r="X454" s="11">
        <v>30</v>
      </c>
      <c r="Y454" s="9" t="s">
        <v>355</v>
      </c>
      <c r="Z454" s="9" t="s">
        <v>68</v>
      </c>
      <c r="AA454" s="9" t="s">
        <v>356</v>
      </c>
      <c r="AB454" s="9" t="s">
        <v>67</v>
      </c>
      <c r="AC454" s="9" t="s">
        <v>357</v>
      </c>
      <c r="AD454" s="11">
        <v>2</v>
      </c>
      <c r="AE454" s="9" t="s">
        <v>70</v>
      </c>
      <c r="AF454" s="9" t="s">
        <v>71</v>
      </c>
      <c r="AG454" s="13">
        <v>1</v>
      </c>
      <c r="AH454" s="9" t="s">
        <v>92</v>
      </c>
      <c r="AI454" s="13">
        <v>11402000</v>
      </c>
      <c r="AJ454" s="13">
        <v>22804000</v>
      </c>
      <c r="AK454" s="11">
        <v>0</v>
      </c>
      <c r="AL454" s="11">
        <v>0</v>
      </c>
      <c r="AM454" s="11">
        <v>0</v>
      </c>
      <c r="AN454" s="9" t="s">
        <v>67</v>
      </c>
      <c r="AO454" s="11">
        <v>22804000</v>
      </c>
      <c r="AP454" s="13">
        <v>1824320</v>
      </c>
      <c r="AQ454" s="13">
        <v>24628320</v>
      </c>
      <c r="AR454" s="11">
        <v>396</v>
      </c>
      <c r="AS454" s="9" t="s">
        <v>72</v>
      </c>
      <c r="AT454" s="11">
        <v>400</v>
      </c>
      <c r="AU454" s="9" t="s">
        <v>73</v>
      </c>
      <c r="AV454" s="9" t="s">
        <v>67</v>
      </c>
      <c r="AW454" s="9" t="s">
        <v>1073</v>
      </c>
      <c r="AX454" s="10">
        <v>45986</v>
      </c>
      <c r="AY454" s="9" t="s">
        <v>1351</v>
      </c>
      <c r="AZ454" s="9" t="s">
        <v>67</v>
      </c>
      <c r="BA454" s="9" t="s">
        <v>67</v>
      </c>
      <c r="BB454" s="12">
        <v>400</v>
      </c>
      <c r="BC454" s="9" t="s">
        <v>74</v>
      </c>
      <c r="BD454" s="9" t="s">
        <v>104</v>
      </c>
      <c r="BE454" s="9" t="s">
        <v>75</v>
      </c>
      <c r="BF454" s="11">
        <v>0</v>
      </c>
      <c r="BG454">
        <f t="shared" si="16"/>
        <v>12</v>
      </c>
      <c r="BH454" t="str">
        <f>VLOOKUP(BG454,[1]month!$A:$B,2,0)</f>
        <v>Desember</v>
      </c>
      <c r="BI454">
        <f t="shared" si="17"/>
        <v>2025</v>
      </c>
      <c r="BJ454" t="str">
        <f>VLOOKUP(I454,[1]Dist!$A:$B,2,0)</f>
        <v>Industry</v>
      </c>
      <c r="BK454" t="str">
        <f>IF(I454=11,VLOOKUP(Y454,[2]Sheet1!$C:$N,10,0),IF(I454=13,VLOOKUP(Y454,[3]Sheet1!$C:$N,10,0),IF(I454=15,VLOOKUP(Y454,[4]Sheet1!$C:$N,10,0),"Unknown")))</f>
        <v>NC</v>
      </c>
      <c r="BL454" t="str">
        <f>IF(I454=11,VLOOKUP(Y454,[2]Sheet1!$C:$N,12,0),IF(I454=13,VLOOKUP(Y454,[3]Sheet1!$C:$N,12,0),IF(I454=15,VLOOKUP(Y454,[4]Sheet1!$C:$N,12,0),"Unknown")))</f>
        <v>NC SYSTEM</v>
      </c>
      <c r="BM454" t="str">
        <f>VLOOKUP(W454,[1]branch!$A:$B,2,0)</f>
        <v>INDUSTRY</v>
      </c>
    </row>
    <row r="455" spans="1:65" x14ac:dyDescent="0.35">
      <c r="A455" s="10">
        <v>45996</v>
      </c>
      <c r="B455" s="9" t="s">
        <v>1350</v>
      </c>
      <c r="C455" s="9" t="s">
        <v>64</v>
      </c>
      <c r="D455" s="9" t="s">
        <v>92</v>
      </c>
      <c r="E455" s="11">
        <v>60</v>
      </c>
      <c r="F455" s="9" t="s">
        <v>93</v>
      </c>
      <c r="G455" s="9" t="s">
        <v>65</v>
      </c>
      <c r="H455" s="9" t="s">
        <v>66</v>
      </c>
      <c r="I455" s="9">
        <v>11</v>
      </c>
      <c r="J455" s="9" t="s">
        <v>347</v>
      </c>
      <c r="K455" s="9" t="s">
        <v>347</v>
      </c>
      <c r="L455" s="9" t="s">
        <v>347</v>
      </c>
      <c r="M455" s="9" t="s">
        <v>348</v>
      </c>
      <c r="N455" s="9" t="s">
        <v>866</v>
      </c>
      <c r="O455" s="9" t="s">
        <v>97</v>
      </c>
      <c r="P455" s="9" t="s">
        <v>67</v>
      </c>
      <c r="Q455" s="9" t="s">
        <v>98</v>
      </c>
      <c r="R455" s="9" t="s">
        <v>347</v>
      </c>
      <c r="S455" s="9" t="s">
        <v>348</v>
      </c>
      <c r="T455" s="9" t="s">
        <v>818</v>
      </c>
      <c r="U455" s="9" t="s">
        <v>67</v>
      </c>
      <c r="V455" s="9" t="s">
        <v>130</v>
      </c>
      <c r="W455" s="9" t="s">
        <v>131</v>
      </c>
      <c r="X455" s="11">
        <v>50</v>
      </c>
      <c r="Y455" s="9" t="s">
        <v>721</v>
      </c>
      <c r="Z455" s="9" t="s">
        <v>68</v>
      </c>
      <c r="AA455" s="9" t="s">
        <v>722</v>
      </c>
      <c r="AB455" s="9" t="s">
        <v>67</v>
      </c>
      <c r="AC455" s="9" t="s">
        <v>120</v>
      </c>
      <c r="AD455" s="11">
        <v>4</v>
      </c>
      <c r="AE455" s="9" t="s">
        <v>70</v>
      </c>
      <c r="AF455" s="9" t="s">
        <v>71</v>
      </c>
      <c r="AG455" s="13">
        <v>1</v>
      </c>
      <c r="AH455" s="9" t="s">
        <v>92</v>
      </c>
      <c r="AI455" s="13">
        <v>6821800</v>
      </c>
      <c r="AJ455" s="13">
        <v>27287200</v>
      </c>
      <c r="AK455" s="11">
        <v>0</v>
      </c>
      <c r="AL455" s="11">
        <v>0</v>
      </c>
      <c r="AM455" s="11">
        <v>0</v>
      </c>
      <c r="AN455" s="9" t="s">
        <v>67</v>
      </c>
      <c r="AO455" s="11">
        <v>27287200</v>
      </c>
      <c r="AP455" s="13">
        <v>2182976</v>
      </c>
      <c r="AQ455" s="13">
        <v>29470176</v>
      </c>
      <c r="AR455" s="11">
        <v>752</v>
      </c>
      <c r="AS455" s="9" t="s">
        <v>72</v>
      </c>
      <c r="AT455" s="11">
        <v>800</v>
      </c>
      <c r="AU455" s="9" t="s">
        <v>73</v>
      </c>
      <c r="AV455" s="9" t="s">
        <v>67</v>
      </c>
      <c r="AW455" s="9" t="s">
        <v>1073</v>
      </c>
      <c r="AX455" s="10">
        <v>45986</v>
      </c>
      <c r="AY455" s="9" t="s">
        <v>1351</v>
      </c>
      <c r="AZ455" s="9" t="s">
        <v>67</v>
      </c>
      <c r="BA455" s="9" t="s">
        <v>67</v>
      </c>
      <c r="BB455" s="12">
        <v>800</v>
      </c>
      <c r="BC455" s="9" t="s">
        <v>74</v>
      </c>
      <c r="BD455" s="9" t="s">
        <v>104</v>
      </c>
      <c r="BE455" s="9" t="s">
        <v>75</v>
      </c>
      <c r="BF455" s="11">
        <v>0</v>
      </c>
      <c r="BG455">
        <f t="shared" si="16"/>
        <v>12</v>
      </c>
      <c r="BH455" t="str">
        <f>VLOOKUP(BG455,[1]month!$A:$B,2,0)</f>
        <v>Desember</v>
      </c>
      <c r="BI455">
        <f t="shared" si="17"/>
        <v>2025</v>
      </c>
      <c r="BJ455" t="str">
        <f>VLOOKUP(I455,[1]Dist!$A:$B,2,0)</f>
        <v>Industry</v>
      </c>
      <c r="BK455" t="str">
        <f>IF(I455=11,VLOOKUP(Y455,[2]Sheet1!$C:$N,10,0),IF(I455=13,VLOOKUP(Y455,[3]Sheet1!$C:$N,10,0),IF(I455=15,VLOOKUP(Y455,[4]Sheet1!$C:$N,10,0),"Unknown")))</f>
        <v>THINNER PU</v>
      </c>
      <c r="BL455" t="str">
        <f>IF(I455=11,VLOOKUP(Y455,[2]Sheet1!$C:$N,12,0),IF(I455=13,VLOOKUP(Y455,[3]Sheet1!$C:$N,12,0),IF(I455=15,VLOOKUP(Y455,[4]Sheet1!$C:$N,12,0),"Unknown")))</f>
        <v>THINNER PU</v>
      </c>
      <c r="BM455" t="str">
        <f>VLOOKUP(W455,[1]branch!$A:$B,2,0)</f>
        <v>INDUSTRY</v>
      </c>
    </row>
    <row r="456" spans="1:65" x14ac:dyDescent="0.35">
      <c r="A456" s="10">
        <v>45996</v>
      </c>
      <c r="B456" s="9" t="s">
        <v>1350</v>
      </c>
      <c r="C456" s="9" t="s">
        <v>64</v>
      </c>
      <c r="D456" s="9" t="s">
        <v>92</v>
      </c>
      <c r="E456" s="11">
        <v>60</v>
      </c>
      <c r="F456" s="9" t="s">
        <v>93</v>
      </c>
      <c r="G456" s="9" t="s">
        <v>65</v>
      </c>
      <c r="H456" s="9" t="s">
        <v>66</v>
      </c>
      <c r="I456" s="9">
        <v>11</v>
      </c>
      <c r="J456" s="9" t="s">
        <v>347</v>
      </c>
      <c r="K456" s="9" t="s">
        <v>347</v>
      </c>
      <c r="L456" s="9" t="s">
        <v>347</v>
      </c>
      <c r="M456" s="9" t="s">
        <v>348</v>
      </c>
      <c r="N456" s="9" t="s">
        <v>866</v>
      </c>
      <c r="O456" s="9" t="s">
        <v>97</v>
      </c>
      <c r="P456" s="9" t="s">
        <v>67</v>
      </c>
      <c r="Q456" s="9" t="s">
        <v>98</v>
      </c>
      <c r="R456" s="9" t="s">
        <v>347</v>
      </c>
      <c r="S456" s="9" t="s">
        <v>348</v>
      </c>
      <c r="T456" s="9" t="s">
        <v>818</v>
      </c>
      <c r="U456" s="9" t="s">
        <v>67</v>
      </c>
      <c r="V456" s="9" t="s">
        <v>130</v>
      </c>
      <c r="W456" s="9" t="s">
        <v>131</v>
      </c>
      <c r="X456" s="11">
        <v>60</v>
      </c>
      <c r="Y456" s="9" t="s">
        <v>428</v>
      </c>
      <c r="Z456" s="9" t="s">
        <v>68</v>
      </c>
      <c r="AA456" s="9" t="s">
        <v>429</v>
      </c>
      <c r="AB456" s="9" t="s">
        <v>67</v>
      </c>
      <c r="AC456" s="9" t="s">
        <v>430</v>
      </c>
      <c r="AD456" s="11">
        <v>3</v>
      </c>
      <c r="AE456" s="9" t="s">
        <v>70</v>
      </c>
      <c r="AF456" s="9" t="s">
        <v>71</v>
      </c>
      <c r="AG456" s="13">
        <v>1</v>
      </c>
      <c r="AH456" s="9" t="s">
        <v>92</v>
      </c>
      <c r="AI456" s="13">
        <v>7109800</v>
      </c>
      <c r="AJ456" s="13">
        <v>21329400</v>
      </c>
      <c r="AK456" s="11">
        <v>0</v>
      </c>
      <c r="AL456" s="11">
        <v>0</v>
      </c>
      <c r="AM456" s="11">
        <v>0</v>
      </c>
      <c r="AN456" s="9" t="s">
        <v>67</v>
      </c>
      <c r="AO456" s="11">
        <v>21329400</v>
      </c>
      <c r="AP456" s="13">
        <v>1706352</v>
      </c>
      <c r="AQ456" s="13">
        <v>23035752</v>
      </c>
      <c r="AR456" s="12">
        <v>58.5</v>
      </c>
      <c r="AS456" s="9" t="s">
        <v>72</v>
      </c>
      <c r="AT456" s="11">
        <v>60</v>
      </c>
      <c r="AU456" s="9" t="s">
        <v>73</v>
      </c>
      <c r="AV456" s="9" t="s">
        <v>67</v>
      </c>
      <c r="AW456" s="9" t="s">
        <v>1073</v>
      </c>
      <c r="AX456" s="10">
        <v>45986</v>
      </c>
      <c r="AY456" s="9" t="s">
        <v>1351</v>
      </c>
      <c r="AZ456" s="9" t="s">
        <v>67</v>
      </c>
      <c r="BA456" s="9" t="s">
        <v>67</v>
      </c>
      <c r="BB456" s="12">
        <v>60</v>
      </c>
      <c r="BC456" s="9" t="s">
        <v>74</v>
      </c>
      <c r="BD456" s="9" t="s">
        <v>104</v>
      </c>
      <c r="BE456" s="9" t="s">
        <v>75</v>
      </c>
      <c r="BF456" s="11">
        <v>0</v>
      </c>
      <c r="BG456">
        <f t="shared" si="16"/>
        <v>12</v>
      </c>
      <c r="BH456" t="str">
        <f>VLOOKUP(BG456,[1]month!$A:$B,2,0)</f>
        <v>Desember</v>
      </c>
      <c r="BI456">
        <f t="shared" si="17"/>
        <v>2025</v>
      </c>
      <c r="BJ456" t="str">
        <f>VLOOKUP(I456,[1]Dist!$A:$B,2,0)</f>
        <v>Industry</v>
      </c>
      <c r="BK456" t="str">
        <f>IF(I456=11,VLOOKUP(Y456,[2]Sheet1!$C:$N,10,0),IF(I456=13,VLOOKUP(Y456,[3]Sheet1!$C:$N,10,0),IF(I456=15,VLOOKUP(Y456,[4]Sheet1!$C:$N,10,0),"Unknown")))</f>
        <v>ALKYD OIL</v>
      </c>
      <c r="BL456" t="str">
        <f>IF(I456=11,VLOOKUP(Y456,[2]Sheet1!$C:$N,12,0),IF(I456=13,VLOOKUP(Y456,[3]Sheet1!$C:$N,12,0),IF(I456=15,VLOOKUP(Y456,[4]Sheet1!$C:$N,12,0),"Unknown")))</f>
        <v>ALKYD &amp; OIL SYSTEM</v>
      </c>
      <c r="BM456" t="str">
        <f>VLOOKUP(W456,[1]branch!$A:$B,2,0)</f>
        <v>INDUSTRY</v>
      </c>
    </row>
    <row r="457" spans="1:65" x14ac:dyDescent="0.35">
      <c r="A457" s="10">
        <v>45996</v>
      </c>
      <c r="B457" s="9" t="s">
        <v>1352</v>
      </c>
      <c r="C457" s="9" t="s">
        <v>64</v>
      </c>
      <c r="D457" s="9" t="s">
        <v>92</v>
      </c>
      <c r="E457" s="11">
        <v>75</v>
      </c>
      <c r="F457" s="9" t="s">
        <v>93</v>
      </c>
      <c r="G457" s="9" t="s">
        <v>65</v>
      </c>
      <c r="H457" s="9" t="s">
        <v>66</v>
      </c>
      <c r="I457" s="9">
        <v>11</v>
      </c>
      <c r="J457" s="9" t="s">
        <v>1353</v>
      </c>
      <c r="K457" s="9" t="s">
        <v>1353</v>
      </c>
      <c r="L457" s="9" t="s">
        <v>1353</v>
      </c>
      <c r="M457" s="9" t="s">
        <v>1354</v>
      </c>
      <c r="N457" s="9" t="s">
        <v>1355</v>
      </c>
      <c r="O457" s="9" t="s">
        <v>97</v>
      </c>
      <c r="P457" s="9" t="s">
        <v>67</v>
      </c>
      <c r="Q457" s="9" t="s">
        <v>98</v>
      </c>
      <c r="R457" s="9" t="s">
        <v>1356</v>
      </c>
      <c r="S457" s="9" t="s">
        <v>1354</v>
      </c>
      <c r="T457" s="9" t="s">
        <v>1357</v>
      </c>
      <c r="U457" s="9" t="s">
        <v>67</v>
      </c>
      <c r="V457" s="9" t="s">
        <v>221</v>
      </c>
      <c r="W457" s="9" t="s">
        <v>222</v>
      </c>
      <c r="X457" s="11">
        <v>40</v>
      </c>
      <c r="Y457" s="9" t="s">
        <v>1358</v>
      </c>
      <c r="Z457" s="9" t="s">
        <v>68</v>
      </c>
      <c r="AA457" s="9" t="s">
        <v>1359</v>
      </c>
      <c r="AB457" s="9" t="s">
        <v>67</v>
      </c>
      <c r="AC457" s="9" t="s">
        <v>1360</v>
      </c>
      <c r="AD457" s="11">
        <v>20</v>
      </c>
      <c r="AE457" s="9" t="s">
        <v>70</v>
      </c>
      <c r="AF457" s="9" t="s">
        <v>71</v>
      </c>
      <c r="AG457" s="13">
        <v>1</v>
      </c>
      <c r="AH457" s="9" t="s">
        <v>92</v>
      </c>
      <c r="AI457" s="13">
        <v>1173780</v>
      </c>
      <c r="AJ457" s="13">
        <v>23475600</v>
      </c>
      <c r="AK457" s="11">
        <v>0</v>
      </c>
      <c r="AL457" s="11">
        <v>0</v>
      </c>
      <c r="AM457" s="11">
        <v>0</v>
      </c>
      <c r="AN457" s="9" t="s">
        <v>67</v>
      </c>
      <c r="AO457" s="11">
        <v>23475600</v>
      </c>
      <c r="AP457" s="13">
        <v>1878048</v>
      </c>
      <c r="AQ457" s="13">
        <v>25353648</v>
      </c>
      <c r="AR457" s="11">
        <v>360</v>
      </c>
      <c r="AS457" s="9" t="s">
        <v>72</v>
      </c>
      <c r="AT457" s="12">
        <v>371.2</v>
      </c>
      <c r="AU457" s="9" t="s">
        <v>73</v>
      </c>
      <c r="AV457" s="9" t="s">
        <v>67</v>
      </c>
      <c r="AW457" s="9" t="s">
        <v>1361</v>
      </c>
      <c r="AX457" s="10">
        <v>45982</v>
      </c>
      <c r="AY457" s="9" t="s">
        <v>1362</v>
      </c>
      <c r="AZ457" s="9" t="s">
        <v>67</v>
      </c>
      <c r="BA457" s="9" t="s">
        <v>67</v>
      </c>
      <c r="BB457" s="12">
        <v>360</v>
      </c>
      <c r="BC457" s="9" t="s">
        <v>74</v>
      </c>
      <c r="BD457" s="9" t="s">
        <v>104</v>
      </c>
      <c r="BE457" s="9" t="s">
        <v>75</v>
      </c>
      <c r="BF457" s="11">
        <v>0</v>
      </c>
      <c r="BG457">
        <f t="shared" si="16"/>
        <v>12</v>
      </c>
      <c r="BH457" t="str">
        <f>VLOOKUP(BG457,[1]month!$A:$B,2,0)</f>
        <v>Desember</v>
      </c>
      <c r="BI457">
        <f t="shared" si="17"/>
        <v>2025</v>
      </c>
      <c r="BJ457" t="str">
        <f>VLOOKUP(I457,[1]Dist!$A:$B,2,0)</f>
        <v>Industry</v>
      </c>
      <c r="BK457" t="str">
        <f>IF(I457=11,VLOOKUP(Y457,[2]Sheet1!$C:$N,10,0),IF(I457=13,VLOOKUP(Y457,[3]Sheet1!$C:$N,10,0),IF(I457=15,VLOOKUP(Y457,[4]Sheet1!$C:$N,10,0),"Unknown")))</f>
        <v>PU</v>
      </c>
      <c r="BL457" t="str">
        <f>IF(I457=11,VLOOKUP(Y457,[2]Sheet1!$C:$N,12,0),IF(I457=13,VLOOKUP(Y457,[3]Sheet1!$C:$N,12,0),IF(I457=15,VLOOKUP(Y457,[4]Sheet1!$C:$N,12,0),"Unknown")))</f>
        <v>PU LACQUER</v>
      </c>
      <c r="BM457" t="str">
        <f>VLOOKUP(W457,[1]branch!$A:$B,2,0)</f>
        <v>INDUSTRY</v>
      </c>
    </row>
    <row r="458" spans="1:65" x14ac:dyDescent="0.35">
      <c r="A458" s="10">
        <v>45996</v>
      </c>
      <c r="B458" s="9" t="s">
        <v>1352</v>
      </c>
      <c r="C458" s="9" t="s">
        <v>64</v>
      </c>
      <c r="D458" s="9" t="s">
        <v>92</v>
      </c>
      <c r="E458" s="11">
        <v>75</v>
      </c>
      <c r="F458" s="9" t="s">
        <v>93</v>
      </c>
      <c r="G458" s="9" t="s">
        <v>65</v>
      </c>
      <c r="H458" s="9" t="s">
        <v>66</v>
      </c>
      <c r="I458" s="9">
        <v>11</v>
      </c>
      <c r="J458" s="9" t="s">
        <v>1353</v>
      </c>
      <c r="K458" s="9" t="s">
        <v>1353</v>
      </c>
      <c r="L458" s="9" t="s">
        <v>1353</v>
      </c>
      <c r="M458" s="9" t="s">
        <v>1354</v>
      </c>
      <c r="N458" s="9" t="s">
        <v>1355</v>
      </c>
      <c r="O458" s="9" t="s">
        <v>97</v>
      </c>
      <c r="P458" s="9" t="s">
        <v>67</v>
      </c>
      <c r="Q458" s="9" t="s">
        <v>98</v>
      </c>
      <c r="R458" s="9" t="s">
        <v>1356</v>
      </c>
      <c r="S458" s="9" t="s">
        <v>1354</v>
      </c>
      <c r="T458" s="9" t="s">
        <v>1357</v>
      </c>
      <c r="U458" s="9" t="s">
        <v>67</v>
      </c>
      <c r="V458" s="9" t="s">
        <v>221</v>
      </c>
      <c r="W458" s="9" t="s">
        <v>222</v>
      </c>
      <c r="X458" s="11">
        <v>50</v>
      </c>
      <c r="Y458" s="9" t="s">
        <v>1363</v>
      </c>
      <c r="Z458" s="9" t="s">
        <v>68</v>
      </c>
      <c r="AA458" s="9" t="s">
        <v>1364</v>
      </c>
      <c r="AB458" s="9" t="s">
        <v>67</v>
      </c>
      <c r="AC458" s="9" t="s">
        <v>259</v>
      </c>
      <c r="AD458" s="11">
        <v>400</v>
      </c>
      <c r="AE458" s="9" t="s">
        <v>70</v>
      </c>
      <c r="AF458" s="9" t="s">
        <v>71</v>
      </c>
      <c r="AG458" s="13">
        <v>1</v>
      </c>
      <c r="AH458" s="9" t="s">
        <v>92</v>
      </c>
      <c r="AI458" s="13">
        <v>363384</v>
      </c>
      <c r="AJ458" s="13">
        <v>145353600</v>
      </c>
      <c r="AK458" s="11">
        <v>0</v>
      </c>
      <c r="AL458" s="11">
        <v>0</v>
      </c>
      <c r="AM458" s="11">
        <v>0</v>
      </c>
      <c r="AN458" s="9" t="s">
        <v>67</v>
      </c>
      <c r="AO458" s="11">
        <v>145353600</v>
      </c>
      <c r="AP458" s="13">
        <v>11628288</v>
      </c>
      <c r="AQ458" s="13">
        <v>156981888</v>
      </c>
      <c r="AR458" s="11">
        <v>1600</v>
      </c>
      <c r="AS458" s="9" t="s">
        <v>72</v>
      </c>
      <c r="AT458" s="11">
        <v>1648</v>
      </c>
      <c r="AU458" s="9" t="s">
        <v>73</v>
      </c>
      <c r="AV458" s="9" t="s">
        <v>67</v>
      </c>
      <c r="AW458" s="9" t="s">
        <v>1361</v>
      </c>
      <c r="AX458" s="10">
        <v>45982</v>
      </c>
      <c r="AY458" s="9" t="s">
        <v>1362</v>
      </c>
      <c r="AZ458" s="9" t="s">
        <v>67</v>
      </c>
      <c r="BA458" s="9" t="s">
        <v>67</v>
      </c>
      <c r="BB458" s="12">
        <v>1600</v>
      </c>
      <c r="BC458" s="9" t="s">
        <v>74</v>
      </c>
      <c r="BD458" s="9" t="s">
        <v>104</v>
      </c>
      <c r="BE458" s="9" t="s">
        <v>75</v>
      </c>
      <c r="BF458" s="11">
        <v>0</v>
      </c>
      <c r="BG458">
        <f t="shared" si="16"/>
        <v>12</v>
      </c>
      <c r="BH458" t="str">
        <f>VLOOKUP(BG458,[1]month!$A:$B,2,0)</f>
        <v>Desember</v>
      </c>
      <c r="BI458">
        <f t="shared" si="17"/>
        <v>2025</v>
      </c>
      <c r="BJ458" t="str">
        <f>VLOOKUP(I458,[1]Dist!$A:$B,2,0)</f>
        <v>Industry</v>
      </c>
      <c r="BK458" t="str">
        <f>IF(I458=11,VLOOKUP(Y458,[2]Sheet1!$C:$N,10,0),IF(I458=13,VLOOKUP(Y458,[3]Sheet1!$C:$N,10,0),IF(I458=15,VLOOKUP(Y458,[4]Sheet1!$C:$N,10,0),"Unknown")))</f>
        <v>PU</v>
      </c>
      <c r="BL458" t="str">
        <f>IF(I458=11,VLOOKUP(Y458,[2]Sheet1!$C:$N,12,0),IF(I458=13,VLOOKUP(Y458,[3]Sheet1!$C:$N,12,0),IF(I458=15,VLOOKUP(Y458,[4]Sheet1!$C:$N,12,0),"Unknown")))</f>
        <v>PU HARDENER</v>
      </c>
      <c r="BM458" t="str">
        <f>VLOOKUP(W458,[1]branch!$A:$B,2,0)</f>
        <v>INDUSTRY</v>
      </c>
    </row>
    <row r="459" spans="1:65" x14ac:dyDescent="0.35">
      <c r="A459" s="10">
        <v>45996</v>
      </c>
      <c r="B459" s="9" t="s">
        <v>1352</v>
      </c>
      <c r="C459" s="9" t="s">
        <v>64</v>
      </c>
      <c r="D459" s="9" t="s">
        <v>92</v>
      </c>
      <c r="E459" s="11">
        <v>75</v>
      </c>
      <c r="F459" s="9" t="s">
        <v>93</v>
      </c>
      <c r="G459" s="9" t="s">
        <v>65</v>
      </c>
      <c r="H459" s="9" t="s">
        <v>66</v>
      </c>
      <c r="I459" s="9">
        <v>11</v>
      </c>
      <c r="J459" s="9" t="s">
        <v>1353</v>
      </c>
      <c r="K459" s="9" t="s">
        <v>1353</v>
      </c>
      <c r="L459" s="9" t="s">
        <v>1353</v>
      </c>
      <c r="M459" s="9" t="s">
        <v>1354</v>
      </c>
      <c r="N459" s="9" t="s">
        <v>1355</v>
      </c>
      <c r="O459" s="9" t="s">
        <v>97</v>
      </c>
      <c r="P459" s="9" t="s">
        <v>67</v>
      </c>
      <c r="Q459" s="9" t="s">
        <v>98</v>
      </c>
      <c r="R459" s="9" t="s">
        <v>1356</v>
      </c>
      <c r="S459" s="9" t="s">
        <v>1354</v>
      </c>
      <c r="T459" s="9" t="s">
        <v>1357</v>
      </c>
      <c r="U459" s="9" t="s">
        <v>67</v>
      </c>
      <c r="V459" s="9" t="s">
        <v>221</v>
      </c>
      <c r="W459" s="9" t="s">
        <v>222</v>
      </c>
      <c r="X459" s="11">
        <v>70</v>
      </c>
      <c r="Y459" s="9" t="s">
        <v>1365</v>
      </c>
      <c r="Z459" s="9" t="s">
        <v>68</v>
      </c>
      <c r="AA459" s="9" t="s">
        <v>1366</v>
      </c>
      <c r="AB459" s="9" t="s">
        <v>67</v>
      </c>
      <c r="AC459" s="9" t="s">
        <v>1367</v>
      </c>
      <c r="AD459" s="11">
        <v>20</v>
      </c>
      <c r="AE459" s="9" t="s">
        <v>70</v>
      </c>
      <c r="AF459" s="9" t="s">
        <v>71</v>
      </c>
      <c r="AG459" s="13">
        <v>1</v>
      </c>
      <c r="AH459" s="9" t="s">
        <v>92</v>
      </c>
      <c r="AI459" s="13">
        <v>1516260</v>
      </c>
      <c r="AJ459" s="13">
        <v>30325200</v>
      </c>
      <c r="AK459" s="11">
        <v>0</v>
      </c>
      <c r="AL459" s="11">
        <v>0</v>
      </c>
      <c r="AM459" s="11">
        <v>0</v>
      </c>
      <c r="AN459" s="9" t="s">
        <v>67</v>
      </c>
      <c r="AO459" s="11">
        <v>30325200</v>
      </c>
      <c r="AP459" s="13">
        <v>2426016</v>
      </c>
      <c r="AQ459" s="13">
        <v>32751216</v>
      </c>
      <c r="AR459" s="11">
        <v>400</v>
      </c>
      <c r="AS459" s="9" t="s">
        <v>72</v>
      </c>
      <c r="AT459" s="12">
        <v>330.6</v>
      </c>
      <c r="AU459" s="9" t="s">
        <v>73</v>
      </c>
      <c r="AV459" s="9" t="s">
        <v>67</v>
      </c>
      <c r="AW459" s="9" t="s">
        <v>1361</v>
      </c>
      <c r="AX459" s="10">
        <v>45982</v>
      </c>
      <c r="AY459" s="9" t="s">
        <v>1362</v>
      </c>
      <c r="AZ459" s="9" t="s">
        <v>67</v>
      </c>
      <c r="BA459" s="9" t="s">
        <v>67</v>
      </c>
      <c r="BB459" s="12">
        <v>400</v>
      </c>
      <c r="BC459" s="9" t="s">
        <v>74</v>
      </c>
      <c r="BD459" s="9" t="s">
        <v>104</v>
      </c>
      <c r="BE459" s="9" t="s">
        <v>75</v>
      </c>
      <c r="BF459" s="11">
        <v>0</v>
      </c>
      <c r="BG459">
        <f t="shared" si="16"/>
        <v>12</v>
      </c>
      <c r="BH459" t="str">
        <f>VLOOKUP(BG459,[1]month!$A:$B,2,0)</f>
        <v>Desember</v>
      </c>
      <c r="BI459">
        <f t="shared" si="17"/>
        <v>2025</v>
      </c>
      <c r="BJ459" t="str">
        <f>VLOOKUP(I459,[1]Dist!$A:$B,2,0)</f>
        <v>Industry</v>
      </c>
      <c r="BK459" t="str">
        <f>IF(I459=11,VLOOKUP(Y459,[2]Sheet1!$C:$N,10,0),IF(I459=13,VLOOKUP(Y459,[3]Sheet1!$C:$N,10,0),IF(I459=15,VLOOKUP(Y459,[4]Sheet1!$C:$N,10,0),"Unknown")))</f>
        <v>PU</v>
      </c>
      <c r="BL459" t="str">
        <f>IF(I459=11,VLOOKUP(Y459,[2]Sheet1!$C:$N,12,0),IF(I459=13,VLOOKUP(Y459,[3]Sheet1!$C:$N,12,0),IF(I459=15,VLOOKUP(Y459,[4]Sheet1!$C:$N,12,0),"Unknown")))</f>
        <v>PU COLOR</v>
      </c>
      <c r="BM459" t="str">
        <f>VLOOKUP(W459,[1]branch!$A:$B,2,0)</f>
        <v>INDUSTRY</v>
      </c>
    </row>
    <row r="460" spans="1:65" x14ac:dyDescent="0.35">
      <c r="A460" s="10">
        <v>45996</v>
      </c>
      <c r="B460" s="9" t="s">
        <v>1368</v>
      </c>
      <c r="C460" s="9" t="s">
        <v>64</v>
      </c>
      <c r="D460" s="9" t="s">
        <v>92</v>
      </c>
      <c r="E460" s="11">
        <v>75</v>
      </c>
      <c r="F460" s="9" t="s">
        <v>93</v>
      </c>
      <c r="G460" s="9" t="s">
        <v>65</v>
      </c>
      <c r="H460" s="9" t="s">
        <v>66</v>
      </c>
      <c r="I460" s="9">
        <v>11</v>
      </c>
      <c r="J460" s="9" t="s">
        <v>1353</v>
      </c>
      <c r="K460" s="9" t="s">
        <v>1353</v>
      </c>
      <c r="L460" s="9" t="s">
        <v>1353</v>
      </c>
      <c r="M460" s="9" t="s">
        <v>1354</v>
      </c>
      <c r="N460" s="9" t="s">
        <v>1369</v>
      </c>
      <c r="O460" s="9" t="s">
        <v>97</v>
      </c>
      <c r="P460" s="9" t="s">
        <v>67</v>
      </c>
      <c r="Q460" s="9" t="s">
        <v>98</v>
      </c>
      <c r="R460" s="9" t="s">
        <v>1353</v>
      </c>
      <c r="S460" s="9" t="s">
        <v>1354</v>
      </c>
      <c r="T460" s="9" t="s">
        <v>1370</v>
      </c>
      <c r="U460" s="9" t="s">
        <v>67</v>
      </c>
      <c r="V460" s="9" t="s">
        <v>221</v>
      </c>
      <c r="W460" s="9" t="s">
        <v>222</v>
      </c>
      <c r="X460" s="11">
        <v>10</v>
      </c>
      <c r="Y460" s="9" t="s">
        <v>238</v>
      </c>
      <c r="Z460" s="9" t="s">
        <v>68</v>
      </c>
      <c r="AA460" s="9" t="s">
        <v>239</v>
      </c>
      <c r="AB460" s="9" t="s">
        <v>67</v>
      </c>
      <c r="AC460" s="9" t="s">
        <v>237</v>
      </c>
      <c r="AD460" s="11">
        <v>12</v>
      </c>
      <c r="AE460" s="9" t="s">
        <v>70</v>
      </c>
      <c r="AF460" s="9" t="s">
        <v>71</v>
      </c>
      <c r="AG460" s="13">
        <v>1</v>
      </c>
      <c r="AH460" s="9" t="s">
        <v>92</v>
      </c>
      <c r="AI460" s="13">
        <v>673496</v>
      </c>
      <c r="AJ460" s="13">
        <v>8081952</v>
      </c>
      <c r="AK460" s="11">
        <v>0</v>
      </c>
      <c r="AL460" s="11">
        <v>0</v>
      </c>
      <c r="AM460" s="11">
        <v>0</v>
      </c>
      <c r="AN460" s="9" t="s">
        <v>67</v>
      </c>
      <c r="AO460" s="11">
        <v>8081952</v>
      </c>
      <c r="AP460" s="13">
        <v>646556</v>
      </c>
      <c r="AQ460" s="13">
        <v>8728508</v>
      </c>
      <c r="AR460" s="11">
        <v>48</v>
      </c>
      <c r="AS460" s="9" t="s">
        <v>72</v>
      </c>
      <c r="AT460" s="12">
        <v>23.64</v>
      </c>
      <c r="AU460" s="9" t="s">
        <v>73</v>
      </c>
      <c r="AV460" s="9" t="s">
        <v>67</v>
      </c>
      <c r="AW460" s="9" t="s">
        <v>1371</v>
      </c>
      <c r="AX460" s="10">
        <v>45992</v>
      </c>
      <c r="AY460" s="9" t="s">
        <v>1372</v>
      </c>
      <c r="AZ460" s="9" t="s">
        <v>67</v>
      </c>
      <c r="BA460" s="9" t="s">
        <v>67</v>
      </c>
      <c r="BB460" s="12">
        <v>48</v>
      </c>
      <c r="BC460" s="9" t="s">
        <v>74</v>
      </c>
      <c r="BD460" s="9" t="s">
        <v>104</v>
      </c>
      <c r="BE460" s="9" t="s">
        <v>75</v>
      </c>
      <c r="BF460" s="11">
        <v>0</v>
      </c>
      <c r="BG460">
        <f t="shared" si="16"/>
        <v>12</v>
      </c>
      <c r="BH460" t="str">
        <f>VLOOKUP(BG460,[1]month!$A:$B,2,0)</f>
        <v>Desember</v>
      </c>
      <c r="BI460">
        <f t="shared" si="17"/>
        <v>2025</v>
      </c>
      <c r="BJ460" t="str">
        <f>VLOOKUP(I460,[1]Dist!$A:$B,2,0)</f>
        <v>Industry</v>
      </c>
      <c r="BK460" t="str">
        <f>IF(I460=11,VLOOKUP(Y460,[2]Sheet1!$C:$N,10,0),IF(I460=13,VLOOKUP(Y460,[3]Sheet1!$C:$N,10,0),IF(I460=15,VLOOKUP(Y460,[4]Sheet1!$C:$N,10,0),"Unknown")))</f>
        <v>COMPLEMENTARY</v>
      </c>
      <c r="BL460" t="str">
        <f>IF(I460=11,VLOOKUP(Y460,[2]Sheet1!$C:$N,12,0),IF(I460=13,VLOOKUP(Y460,[3]Sheet1!$C:$N,12,0),IF(I460=15,VLOOKUP(Y460,[4]Sheet1!$C:$N,12,0),"Unknown")))</f>
        <v>PASTA</v>
      </c>
      <c r="BM460" t="str">
        <f>VLOOKUP(W460,[1]branch!$A:$B,2,0)</f>
        <v>INDUSTRY</v>
      </c>
    </row>
    <row r="461" spans="1:65" x14ac:dyDescent="0.35">
      <c r="A461" s="10">
        <v>45996</v>
      </c>
      <c r="B461" s="9" t="s">
        <v>1368</v>
      </c>
      <c r="C461" s="9" t="s">
        <v>64</v>
      </c>
      <c r="D461" s="9" t="s">
        <v>92</v>
      </c>
      <c r="E461" s="11">
        <v>75</v>
      </c>
      <c r="F461" s="9" t="s">
        <v>93</v>
      </c>
      <c r="G461" s="9" t="s">
        <v>65</v>
      </c>
      <c r="H461" s="9" t="s">
        <v>66</v>
      </c>
      <c r="I461" s="9">
        <v>11</v>
      </c>
      <c r="J461" s="9" t="s">
        <v>1353</v>
      </c>
      <c r="K461" s="9" t="s">
        <v>1353</v>
      </c>
      <c r="L461" s="9" t="s">
        <v>1353</v>
      </c>
      <c r="M461" s="9" t="s">
        <v>1354</v>
      </c>
      <c r="N461" s="9" t="s">
        <v>1369</v>
      </c>
      <c r="O461" s="9" t="s">
        <v>97</v>
      </c>
      <c r="P461" s="9" t="s">
        <v>67</v>
      </c>
      <c r="Q461" s="9" t="s">
        <v>98</v>
      </c>
      <c r="R461" s="9" t="s">
        <v>1353</v>
      </c>
      <c r="S461" s="9" t="s">
        <v>1354</v>
      </c>
      <c r="T461" s="9" t="s">
        <v>1370</v>
      </c>
      <c r="U461" s="9" t="s">
        <v>67</v>
      </c>
      <c r="V461" s="9" t="s">
        <v>221</v>
      </c>
      <c r="W461" s="9" t="s">
        <v>222</v>
      </c>
      <c r="X461" s="11">
        <v>20</v>
      </c>
      <c r="Y461" s="9" t="s">
        <v>240</v>
      </c>
      <c r="Z461" s="9" t="s">
        <v>68</v>
      </c>
      <c r="AA461" s="9" t="s">
        <v>241</v>
      </c>
      <c r="AB461" s="9" t="s">
        <v>67</v>
      </c>
      <c r="AC461" s="9" t="s">
        <v>237</v>
      </c>
      <c r="AD461" s="11">
        <v>4</v>
      </c>
      <c r="AE461" s="9" t="s">
        <v>70</v>
      </c>
      <c r="AF461" s="9" t="s">
        <v>71</v>
      </c>
      <c r="AG461" s="13">
        <v>1</v>
      </c>
      <c r="AH461" s="9" t="s">
        <v>92</v>
      </c>
      <c r="AI461" s="13">
        <v>1568000</v>
      </c>
      <c r="AJ461" s="13">
        <v>6272000</v>
      </c>
      <c r="AK461" s="11">
        <v>0</v>
      </c>
      <c r="AL461" s="11">
        <v>0</v>
      </c>
      <c r="AM461" s="11">
        <v>0</v>
      </c>
      <c r="AN461" s="9" t="s">
        <v>67</v>
      </c>
      <c r="AO461" s="11">
        <v>6272000</v>
      </c>
      <c r="AP461" s="13">
        <v>501760</v>
      </c>
      <c r="AQ461" s="13">
        <v>6773760</v>
      </c>
      <c r="AR461" s="11">
        <v>16</v>
      </c>
      <c r="AS461" s="9" t="s">
        <v>72</v>
      </c>
      <c r="AT461" s="12">
        <v>15.24</v>
      </c>
      <c r="AU461" s="9" t="s">
        <v>73</v>
      </c>
      <c r="AV461" s="9" t="s">
        <v>67</v>
      </c>
      <c r="AW461" s="9" t="s">
        <v>1371</v>
      </c>
      <c r="AX461" s="10">
        <v>45992</v>
      </c>
      <c r="AY461" s="9" t="s">
        <v>1372</v>
      </c>
      <c r="AZ461" s="9" t="s">
        <v>67</v>
      </c>
      <c r="BA461" s="9" t="s">
        <v>67</v>
      </c>
      <c r="BB461" s="12">
        <v>16</v>
      </c>
      <c r="BC461" s="9" t="s">
        <v>74</v>
      </c>
      <c r="BD461" s="9" t="s">
        <v>104</v>
      </c>
      <c r="BE461" s="9" t="s">
        <v>75</v>
      </c>
      <c r="BF461" s="11">
        <v>0</v>
      </c>
      <c r="BG461">
        <f t="shared" si="16"/>
        <v>12</v>
      </c>
      <c r="BH461" t="str">
        <f>VLOOKUP(BG461,[1]month!$A:$B,2,0)</f>
        <v>Desember</v>
      </c>
      <c r="BI461">
        <f t="shared" si="17"/>
        <v>2025</v>
      </c>
      <c r="BJ461" t="str">
        <f>VLOOKUP(I461,[1]Dist!$A:$B,2,0)</f>
        <v>Industry</v>
      </c>
      <c r="BK461" t="str">
        <f>IF(I461=11,VLOOKUP(Y461,[2]Sheet1!$C:$N,10,0),IF(I461=13,VLOOKUP(Y461,[3]Sheet1!$C:$N,10,0),IF(I461=15,VLOOKUP(Y461,[4]Sheet1!$C:$N,10,0),"Unknown")))</f>
        <v>COMPLEMENTARY</v>
      </c>
      <c r="BL461" t="str">
        <f>IF(I461=11,VLOOKUP(Y461,[2]Sheet1!$C:$N,12,0),IF(I461=13,VLOOKUP(Y461,[3]Sheet1!$C:$N,12,0),IF(I461=15,VLOOKUP(Y461,[4]Sheet1!$C:$N,12,0),"Unknown")))</f>
        <v>PASTA</v>
      </c>
      <c r="BM461" t="str">
        <f>VLOOKUP(W461,[1]branch!$A:$B,2,0)</f>
        <v>INDUSTRY</v>
      </c>
    </row>
    <row r="462" spans="1:65" x14ac:dyDescent="0.35">
      <c r="A462" s="10">
        <v>45996</v>
      </c>
      <c r="B462" s="9" t="s">
        <v>1373</v>
      </c>
      <c r="C462" s="9" t="s">
        <v>64</v>
      </c>
      <c r="D462" s="9" t="s">
        <v>92</v>
      </c>
      <c r="E462" s="11">
        <v>0</v>
      </c>
      <c r="F462" s="9" t="s">
        <v>93</v>
      </c>
      <c r="G462" s="9" t="s">
        <v>65</v>
      </c>
      <c r="H462" s="9" t="s">
        <v>66</v>
      </c>
      <c r="I462" s="9">
        <v>11</v>
      </c>
      <c r="J462" s="9" t="s">
        <v>1374</v>
      </c>
      <c r="K462" s="9" t="s">
        <v>1374</v>
      </c>
      <c r="L462" s="9" t="s">
        <v>1374</v>
      </c>
      <c r="M462" s="9" t="s">
        <v>1375</v>
      </c>
      <c r="N462" s="9" t="s">
        <v>1376</v>
      </c>
      <c r="O462" s="9" t="s">
        <v>97</v>
      </c>
      <c r="P462" s="9" t="s">
        <v>67</v>
      </c>
      <c r="Q462" s="9" t="s">
        <v>98</v>
      </c>
      <c r="R462" s="9" t="s">
        <v>1374</v>
      </c>
      <c r="S462" s="9" t="s">
        <v>1375</v>
      </c>
      <c r="T462" s="9" t="s">
        <v>1377</v>
      </c>
      <c r="U462" s="9" t="s">
        <v>67</v>
      </c>
      <c r="V462" s="9" t="s">
        <v>194</v>
      </c>
      <c r="W462" s="9" t="s">
        <v>195</v>
      </c>
      <c r="X462" s="11">
        <v>10</v>
      </c>
      <c r="Y462" s="9" t="s">
        <v>562</v>
      </c>
      <c r="Z462" s="9" t="s">
        <v>68</v>
      </c>
      <c r="AA462" s="9" t="s">
        <v>563</v>
      </c>
      <c r="AB462" s="9" t="s">
        <v>67</v>
      </c>
      <c r="AC462" s="9" t="s">
        <v>191</v>
      </c>
      <c r="AD462" s="11">
        <v>1</v>
      </c>
      <c r="AE462" s="9" t="s">
        <v>70</v>
      </c>
      <c r="AF462" s="9" t="s">
        <v>71</v>
      </c>
      <c r="AG462" s="13">
        <v>1</v>
      </c>
      <c r="AH462" s="9" t="s">
        <v>92</v>
      </c>
      <c r="AI462" s="13">
        <v>1886000</v>
      </c>
      <c r="AJ462" s="13">
        <v>1886000</v>
      </c>
      <c r="AK462" s="11">
        <v>0</v>
      </c>
      <c r="AL462" s="11">
        <v>0</v>
      </c>
      <c r="AM462" s="11">
        <v>0</v>
      </c>
      <c r="AN462" s="9" t="s">
        <v>67</v>
      </c>
      <c r="AO462" s="11">
        <v>1886000</v>
      </c>
      <c r="AP462" s="13">
        <v>150880</v>
      </c>
      <c r="AQ462" s="13">
        <v>2036880</v>
      </c>
      <c r="AR462" s="11">
        <v>20</v>
      </c>
      <c r="AS462" s="9" t="s">
        <v>72</v>
      </c>
      <c r="AT462" s="11">
        <v>20</v>
      </c>
      <c r="AU462" s="9" t="s">
        <v>73</v>
      </c>
      <c r="AV462" s="9" t="s">
        <v>67</v>
      </c>
      <c r="AW462" s="9" t="s">
        <v>1378</v>
      </c>
      <c r="AX462" s="10">
        <v>45993</v>
      </c>
      <c r="AY462" s="9" t="s">
        <v>1379</v>
      </c>
      <c r="AZ462" s="9" t="s">
        <v>67</v>
      </c>
      <c r="BA462" s="9" t="s">
        <v>67</v>
      </c>
      <c r="BB462" s="12">
        <v>20</v>
      </c>
      <c r="BC462" s="9" t="s">
        <v>74</v>
      </c>
      <c r="BD462" s="9" t="s">
        <v>104</v>
      </c>
      <c r="BE462" s="9" t="s">
        <v>75</v>
      </c>
      <c r="BF462" s="11">
        <v>0</v>
      </c>
      <c r="BG462">
        <f t="shared" si="16"/>
        <v>12</v>
      </c>
      <c r="BH462" t="str">
        <f>VLOOKUP(BG462,[1]month!$A:$B,2,0)</f>
        <v>Desember</v>
      </c>
      <c r="BI462">
        <f t="shared" si="17"/>
        <v>2025</v>
      </c>
      <c r="BJ462" t="str">
        <f>VLOOKUP(I462,[1]Dist!$A:$B,2,0)</f>
        <v>Industry</v>
      </c>
      <c r="BK462" t="str">
        <f>IF(I462=11,VLOOKUP(Y462,[2]Sheet1!$C:$N,10,0),IF(I462=13,VLOOKUP(Y462,[3]Sheet1!$C:$N,10,0),IF(I462=15,VLOOKUP(Y462,[4]Sheet1!$C:$N,10,0),"Unknown")))</f>
        <v>NC</v>
      </c>
      <c r="BL462" t="str">
        <f>IF(I462=11,VLOOKUP(Y462,[2]Sheet1!$C:$N,12,0),IF(I462=13,VLOOKUP(Y462,[3]Sheet1!$C:$N,12,0),IF(I462=15,VLOOKUP(Y462,[4]Sheet1!$C:$N,12,0),"Unknown")))</f>
        <v>NC SYSTEM</v>
      </c>
      <c r="BM462" t="str">
        <f>VLOOKUP(W462,[1]branch!$A:$B,2,0)</f>
        <v>INDUSTRY</v>
      </c>
    </row>
    <row r="463" spans="1:65" x14ac:dyDescent="0.35">
      <c r="A463" s="10">
        <v>45996</v>
      </c>
      <c r="B463" s="9" t="s">
        <v>1373</v>
      </c>
      <c r="C463" s="9" t="s">
        <v>64</v>
      </c>
      <c r="D463" s="9" t="s">
        <v>92</v>
      </c>
      <c r="E463" s="11">
        <v>0</v>
      </c>
      <c r="F463" s="9" t="s">
        <v>93</v>
      </c>
      <c r="G463" s="9" t="s">
        <v>65</v>
      </c>
      <c r="H463" s="9" t="s">
        <v>66</v>
      </c>
      <c r="I463" s="9">
        <v>11</v>
      </c>
      <c r="J463" s="9" t="s">
        <v>1374</v>
      </c>
      <c r="K463" s="9" t="s">
        <v>1374</v>
      </c>
      <c r="L463" s="9" t="s">
        <v>1374</v>
      </c>
      <c r="M463" s="9" t="s">
        <v>1375</v>
      </c>
      <c r="N463" s="9" t="s">
        <v>1376</v>
      </c>
      <c r="O463" s="9" t="s">
        <v>97</v>
      </c>
      <c r="P463" s="9" t="s">
        <v>67</v>
      </c>
      <c r="Q463" s="9" t="s">
        <v>98</v>
      </c>
      <c r="R463" s="9" t="s">
        <v>1374</v>
      </c>
      <c r="S463" s="9" t="s">
        <v>1375</v>
      </c>
      <c r="T463" s="9" t="s">
        <v>1377</v>
      </c>
      <c r="U463" s="9" t="s">
        <v>67</v>
      </c>
      <c r="V463" s="9" t="s">
        <v>194</v>
      </c>
      <c r="W463" s="9" t="s">
        <v>195</v>
      </c>
      <c r="X463" s="11">
        <v>20</v>
      </c>
      <c r="Y463" s="9" t="s">
        <v>365</v>
      </c>
      <c r="Z463" s="9" t="s">
        <v>68</v>
      </c>
      <c r="AA463" s="9" t="s">
        <v>366</v>
      </c>
      <c r="AB463" s="9" t="s">
        <v>67</v>
      </c>
      <c r="AC463" s="9" t="s">
        <v>357</v>
      </c>
      <c r="AD463" s="11">
        <v>2</v>
      </c>
      <c r="AE463" s="9" t="s">
        <v>70</v>
      </c>
      <c r="AF463" s="9" t="s">
        <v>71</v>
      </c>
      <c r="AG463" s="13">
        <v>1</v>
      </c>
      <c r="AH463" s="9" t="s">
        <v>92</v>
      </c>
      <c r="AI463" s="13">
        <v>1840000</v>
      </c>
      <c r="AJ463" s="13">
        <v>3680000</v>
      </c>
      <c r="AK463" s="11">
        <v>0</v>
      </c>
      <c r="AL463" s="11">
        <v>0</v>
      </c>
      <c r="AM463" s="11">
        <v>0</v>
      </c>
      <c r="AN463" s="9" t="s">
        <v>67</v>
      </c>
      <c r="AO463" s="11">
        <v>3680000</v>
      </c>
      <c r="AP463" s="13">
        <v>294400</v>
      </c>
      <c r="AQ463" s="13">
        <v>3974400</v>
      </c>
      <c r="AR463" s="12">
        <v>39.200000000000003</v>
      </c>
      <c r="AS463" s="9" t="s">
        <v>72</v>
      </c>
      <c r="AT463" s="11">
        <v>40</v>
      </c>
      <c r="AU463" s="9" t="s">
        <v>73</v>
      </c>
      <c r="AV463" s="9" t="s">
        <v>67</v>
      </c>
      <c r="AW463" s="9" t="s">
        <v>1378</v>
      </c>
      <c r="AX463" s="10">
        <v>45993</v>
      </c>
      <c r="AY463" s="9" t="s">
        <v>1379</v>
      </c>
      <c r="AZ463" s="9" t="s">
        <v>67</v>
      </c>
      <c r="BA463" s="9" t="s">
        <v>67</v>
      </c>
      <c r="BB463" s="12">
        <v>40</v>
      </c>
      <c r="BC463" s="9" t="s">
        <v>74</v>
      </c>
      <c r="BD463" s="9" t="s">
        <v>104</v>
      </c>
      <c r="BE463" s="9" t="s">
        <v>75</v>
      </c>
      <c r="BF463" s="11">
        <v>0</v>
      </c>
      <c r="BG463">
        <f t="shared" si="16"/>
        <v>12</v>
      </c>
      <c r="BH463" t="str">
        <f>VLOOKUP(BG463,[1]month!$A:$B,2,0)</f>
        <v>Desember</v>
      </c>
      <c r="BI463">
        <f t="shared" si="17"/>
        <v>2025</v>
      </c>
      <c r="BJ463" t="str">
        <f>VLOOKUP(I463,[1]Dist!$A:$B,2,0)</f>
        <v>Industry</v>
      </c>
      <c r="BK463" t="str">
        <f>IF(I463=11,VLOOKUP(Y463,[2]Sheet1!$C:$N,10,0),IF(I463=13,VLOOKUP(Y463,[3]Sheet1!$C:$N,10,0),IF(I463=15,VLOOKUP(Y463,[4]Sheet1!$C:$N,10,0),"Unknown")))</f>
        <v>NC</v>
      </c>
      <c r="BL463" t="str">
        <f>IF(I463=11,VLOOKUP(Y463,[2]Sheet1!$C:$N,12,0),IF(I463=13,VLOOKUP(Y463,[3]Sheet1!$C:$N,12,0),IF(I463=15,VLOOKUP(Y463,[4]Sheet1!$C:$N,12,0),"Unknown")))</f>
        <v>NC SYSTEM</v>
      </c>
      <c r="BM463" t="str">
        <f>VLOOKUP(W463,[1]branch!$A:$B,2,0)</f>
        <v>INDUSTRY</v>
      </c>
    </row>
    <row r="464" spans="1:65" x14ac:dyDescent="0.35">
      <c r="A464" s="10">
        <v>45996</v>
      </c>
      <c r="B464" s="9" t="s">
        <v>1380</v>
      </c>
      <c r="C464" s="9" t="s">
        <v>64</v>
      </c>
      <c r="D464" s="9" t="s">
        <v>92</v>
      </c>
      <c r="E464" s="11">
        <v>60</v>
      </c>
      <c r="F464" s="9" t="s">
        <v>93</v>
      </c>
      <c r="G464" s="9" t="s">
        <v>65</v>
      </c>
      <c r="H464" s="9" t="s">
        <v>66</v>
      </c>
      <c r="I464" s="9">
        <v>11</v>
      </c>
      <c r="J464" s="9" t="s">
        <v>713</v>
      </c>
      <c r="K464" s="9" t="s">
        <v>713</v>
      </c>
      <c r="L464" s="9" t="s">
        <v>713</v>
      </c>
      <c r="M464" s="9" t="s">
        <v>714</v>
      </c>
      <c r="N464" s="9" t="s">
        <v>877</v>
      </c>
      <c r="O464" s="9" t="s">
        <v>97</v>
      </c>
      <c r="P464" s="9" t="s">
        <v>67</v>
      </c>
      <c r="Q464" s="9" t="s">
        <v>98</v>
      </c>
      <c r="R464" s="9" t="s">
        <v>713</v>
      </c>
      <c r="S464" s="9" t="s">
        <v>714</v>
      </c>
      <c r="T464" s="9" t="s">
        <v>803</v>
      </c>
      <c r="U464" s="9" t="s">
        <v>67</v>
      </c>
      <c r="V464" s="9" t="s">
        <v>221</v>
      </c>
      <c r="W464" s="9" t="s">
        <v>222</v>
      </c>
      <c r="X464" s="11">
        <v>10</v>
      </c>
      <c r="Y464" s="9" t="s">
        <v>238</v>
      </c>
      <c r="Z464" s="9" t="s">
        <v>68</v>
      </c>
      <c r="AA464" s="9" t="s">
        <v>239</v>
      </c>
      <c r="AB464" s="9" t="s">
        <v>67</v>
      </c>
      <c r="AC464" s="9" t="s">
        <v>237</v>
      </c>
      <c r="AD464" s="11">
        <v>5</v>
      </c>
      <c r="AE464" s="9" t="s">
        <v>70</v>
      </c>
      <c r="AF464" s="9" t="s">
        <v>71</v>
      </c>
      <c r="AG464" s="13">
        <v>1</v>
      </c>
      <c r="AH464" s="9" t="s">
        <v>92</v>
      </c>
      <c r="AI464" s="13">
        <v>863600</v>
      </c>
      <c r="AJ464" s="13">
        <v>4318000</v>
      </c>
      <c r="AK464" s="11">
        <v>0</v>
      </c>
      <c r="AL464" s="11">
        <v>0</v>
      </c>
      <c r="AM464" s="11">
        <v>0</v>
      </c>
      <c r="AN464" s="9" t="s">
        <v>67</v>
      </c>
      <c r="AO464" s="11">
        <v>4318000</v>
      </c>
      <c r="AP464" s="13">
        <v>345440</v>
      </c>
      <c r="AQ464" s="13">
        <v>4663440</v>
      </c>
      <c r="AR464" s="11">
        <v>20</v>
      </c>
      <c r="AS464" s="9" t="s">
        <v>72</v>
      </c>
      <c r="AT464" s="12">
        <v>9.85</v>
      </c>
      <c r="AU464" s="9" t="s">
        <v>73</v>
      </c>
      <c r="AV464" s="9" t="s">
        <v>67</v>
      </c>
      <c r="AW464" s="9" t="s">
        <v>1381</v>
      </c>
      <c r="AX464" s="10">
        <v>45995</v>
      </c>
      <c r="AY464" s="9" t="s">
        <v>1382</v>
      </c>
      <c r="AZ464" s="9" t="s">
        <v>67</v>
      </c>
      <c r="BA464" s="9" t="s">
        <v>67</v>
      </c>
      <c r="BB464" s="12">
        <v>20</v>
      </c>
      <c r="BC464" s="9" t="s">
        <v>74</v>
      </c>
      <c r="BD464" s="9" t="s">
        <v>104</v>
      </c>
      <c r="BE464" s="9" t="s">
        <v>75</v>
      </c>
      <c r="BF464" s="11">
        <v>0</v>
      </c>
      <c r="BG464">
        <f t="shared" si="16"/>
        <v>12</v>
      </c>
      <c r="BH464" t="str">
        <f>VLOOKUP(BG464,[1]month!$A:$B,2,0)</f>
        <v>Desember</v>
      </c>
      <c r="BI464">
        <f t="shared" si="17"/>
        <v>2025</v>
      </c>
      <c r="BJ464" t="str">
        <f>VLOOKUP(I464,[1]Dist!$A:$B,2,0)</f>
        <v>Industry</v>
      </c>
      <c r="BK464" t="str">
        <f>IF(I464=11,VLOOKUP(Y464,[2]Sheet1!$C:$N,10,0),IF(I464=13,VLOOKUP(Y464,[3]Sheet1!$C:$N,10,0),IF(I464=15,VLOOKUP(Y464,[4]Sheet1!$C:$N,10,0),"Unknown")))</f>
        <v>COMPLEMENTARY</v>
      </c>
      <c r="BL464" t="str">
        <f>IF(I464=11,VLOOKUP(Y464,[2]Sheet1!$C:$N,12,0),IF(I464=13,VLOOKUP(Y464,[3]Sheet1!$C:$N,12,0),IF(I464=15,VLOOKUP(Y464,[4]Sheet1!$C:$N,12,0),"Unknown")))</f>
        <v>PASTA</v>
      </c>
      <c r="BM464" t="str">
        <f>VLOOKUP(W464,[1]branch!$A:$B,2,0)</f>
        <v>INDUSTRY</v>
      </c>
    </row>
    <row r="465" spans="1:65" x14ac:dyDescent="0.35">
      <c r="A465" s="10">
        <v>45996</v>
      </c>
      <c r="B465" s="9" t="s">
        <v>1380</v>
      </c>
      <c r="C465" s="9" t="s">
        <v>64</v>
      </c>
      <c r="D465" s="9" t="s">
        <v>92</v>
      </c>
      <c r="E465" s="11">
        <v>60</v>
      </c>
      <c r="F465" s="9" t="s">
        <v>93</v>
      </c>
      <c r="G465" s="9" t="s">
        <v>65</v>
      </c>
      <c r="H465" s="9" t="s">
        <v>66</v>
      </c>
      <c r="I465" s="9">
        <v>11</v>
      </c>
      <c r="J465" s="9" t="s">
        <v>713</v>
      </c>
      <c r="K465" s="9" t="s">
        <v>713</v>
      </c>
      <c r="L465" s="9" t="s">
        <v>713</v>
      </c>
      <c r="M465" s="9" t="s">
        <v>714</v>
      </c>
      <c r="N465" s="9" t="s">
        <v>877</v>
      </c>
      <c r="O465" s="9" t="s">
        <v>97</v>
      </c>
      <c r="P465" s="9" t="s">
        <v>67</v>
      </c>
      <c r="Q465" s="9" t="s">
        <v>98</v>
      </c>
      <c r="R465" s="9" t="s">
        <v>713</v>
      </c>
      <c r="S465" s="9" t="s">
        <v>714</v>
      </c>
      <c r="T465" s="9" t="s">
        <v>803</v>
      </c>
      <c r="U465" s="9" t="s">
        <v>67</v>
      </c>
      <c r="V465" s="9" t="s">
        <v>221</v>
      </c>
      <c r="W465" s="9" t="s">
        <v>222</v>
      </c>
      <c r="X465" s="11">
        <v>20</v>
      </c>
      <c r="Y465" s="9" t="s">
        <v>1383</v>
      </c>
      <c r="Z465" s="9" t="s">
        <v>68</v>
      </c>
      <c r="AA465" s="9" t="s">
        <v>1384</v>
      </c>
      <c r="AB465" s="9" t="s">
        <v>67</v>
      </c>
      <c r="AC465" s="9" t="s">
        <v>230</v>
      </c>
      <c r="AD465" s="11">
        <v>5</v>
      </c>
      <c r="AE465" s="9" t="s">
        <v>70</v>
      </c>
      <c r="AF465" s="9" t="s">
        <v>71</v>
      </c>
      <c r="AG465" s="13">
        <v>1</v>
      </c>
      <c r="AH465" s="9" t="s">
        <v>92</v>
      </c>
      <c r="AI465" s="13">
        <v>1367406</v>
      </c>
      <c r="AJ465" s="13">
        <v>6837030</v>
      </c>
      <c r="AK465" s="11">
        <v>0</v>
      </c>
      <c r="AL465" s="11">
        <v>0</v>
      </c>
      <c r="AM465" s="11">
        <v>0</v>
      </c>
      <c r="AN465" s="9" t="s">
        <v>67</v>
      </c>
      <c r="AO465" s="11">
        <v>6837030</v>
      </c>
      <c r="AP465" s="13">
        <v>546962</v>
      </c>
      <c r="AQ465" s="13">
        <v>7383992</v>
      </c>
      <c r="AR465" s="11">
        <v>90</v>
      </c>
      <c r="AS465" s="9" t="s">
        <v>72</v>
      </c>
      <c r="AT465" s="12">
        <v>53.57</v>
      </c>
      <c r="AU465" s="9" t="s">
        <v>73</v>
      </c>
      <c r="AV465" s="9" t="s">
        <v>67</v>
      </c>
      <c r="AW465" s="9" t="s">
        <v>1381</v>
      </c>
      <c r="AX465" s="10">
        <v>45995</v>
      </c>
      <c r="AY465" s="9" t="s">
        <v>1382</v>
      </c>
      <c r="AZ465" s="9" t="s">
        <v>67</v>
      </c>
      <c r="BA465" s="9" t="s">
        <v>67</v>
      </c>
      <c r="BB465" s="12">
        <v>90</v>
      </c>
      <c r="BC465" s="9" t="s">
        <v>74</v>
      </c>
      <c r="BD465" s="9" t="s">
        <v>104</v>
      </c>
      <c r="BE465" s="9" t="s">
        <v>75</v>
      </c>
      <c r="BF465" s="11">
        <v>0</v>
      </c>
      <c r="BG465">
        <f t="shared" si="16"/>
        <v>12</v>
      </c>
      <c r="BH465" t="str">
        <f>VLOOKUP(BG465,[1]month!$A:$B,2,0)</f>
        <v>Desember</v>
      </c>
      <c r="BI465">
        <f t="shared" si="17"/>
        <v>2025</v>
      </c>
      <c r="BJ465" t="str">
        <f>VLOOKUP(I465,[1]Dist!$A:$B,2,0)</f>
        <v>Industry</v>
      </c>
      <c r="BK465" t="str">
        <f>IF(I465=11,VLOOKUP(Y465,[2]Sheet1!$C:$N,10,0),IF(I465=13,VLOOKUP(Y465,[3]Sheet1!$C:$N,10,0),IF(I465=15,VLOOKUP(Y465,[4]Sheet1!$C:$N,10,0),"Unknown")))</f>
        <v>METAL COATINGS</v>
      </c>
      <c r="BL465" t="str">
        <f>IF(I465=11,VLOOKUP(Y465,[2]Sheet1!$C:$N,12,0),IF(I465=13,VLOOKUP(Y465,[3]Sheet1!$C:$N,12,0),IF(I465=15,VLOOKUP(Y465,[4]Sheet1!$C:$N,12,0),"Unknown")))</f>
        <v>METAL COATINGS</v>
      </c>
      <c r="BM465" t="str">
        <f>VLOOKUP(W465,[1]branch!$A:$B,2,0)</f>
        <v>INDUSTRY</v>
      </c>
    </row>
    <row r="466" spans="1:65" x14ac:dyDescent="0.35">
      <c r="A466" s="10">
        <v>45996</v>
      </c>
      <c r="B466" s="9" t="s">
        <v>1380</v>
      </c>
      <c r="C466" s="9" t="s">
        <v>64</v>
      </c>
      <c r="D466" s="9" t="s">
        <v>92</v>
      </c>
      <c r="E466" s="11">
        <v>60</v>
      </c>
      <c r="F466" s="9" t="s">
        <v>93</v>
      </c>
      <c r="G466" s="9" t="s">
        <v>65</v>
      </c>
      <c r="H466" s="9" t="s">
        <v>66</v>
      </c>
      <c r="I466" s="9">
        <v>11</v>
      </c>
      <c r="J466" s="9" t="s">
        <v>713</v>
      </c>
      <c r="K466" s="9" t="s">
        <v>713</v>
      </c>
      <c r="L466" s="9" t="s">
        <v>713</v>
      </c>
      <c r="M466" s="9" t="s">
        <v>714</v>
      </c>
      <c r="N466" s="9" t="s">
        <v>877</v>
      </c>
      <c r="O466" s="9" t="s">
        <v>97</v>
      </c>
      <c r="P466" s="9" t="s">
        <v>67</v>
      </c>
      <c r="Q466" s="9" t="s">
        <v>98</v>
      </c>
      <c r="R466" s="9" t="s">
        <v>713</v>
      </c>
      <c r="S466" s="9" t="s">
        <v>714</v>
      </c>
      <c r="T466" s="9" t="s">
        <v>803</v>
      </c>
      <c r="U466" s="9" t="s">
        <v>67</v>
      </c>
      <c r="V466" s="9" t="s">
        <v>221</v>
      </c>
      <c r="W466" s="9" t="s">
        <v>222</v>
      </c>
      <c r="X466" s="11">
        <v>30</v>
      </c>
      <c r="Y466" s="9" t="s">
        <v>223</v>
      </c>
      <c r="Z466" s="9" t="s">
        <v>68</v>
      </c>
      <c r="AA466" s="9" t="s">
        <v>224</v>
      </c>
      <c r="AB466" s="9" t="s">
        <v>67</v>
      </c>
      <c r="AC466" s="9" t="s">
        <v>231</v>
      </c>
      <c r="AD466" s="11">
        <v>5</v>
      </c>
      <c r="AE466" s="9" t="s">
        <v>70</v>
      </c>
      <c r="AF466" s="9" t="s">
        <v>71</v>
      </c>
      <c r="AG466" s="13">
        <v>1</v>
      </c>
      <c r="AH466" s="9" t="s">
        <v>92</v>
      </c>
      <c r="AI466" s="13">
        <v>283900</v>
      </c>
      <c r="AJ466" s="13">
        <v>1419500</v>
      </c>
      <c r="AK466" s="11">
        <v>0</v>
      </c>
      <c r="AL466" s="11">
        <v>0</v>
      </c>
      <c r="AM466" s="11">
        <v>0</v>
      </c>
      <c r="AN466" s="9" t="s">
        <v>67</v>
      </c>
      <c r="AO466" s="11">
        <v>1419500</v>
      </c>
      <c r="AP466" s="13">
        <v>113560</v>
      </c>
      <c r="AQ466" s="13">
        <v>1533060</v>
      </c>
      <c r="AR466" s="11">
        <v>10</v>
      </c>
      <c r="AS466" s="9" t="s">
        <v>72</v>
      </c>
      <c r="AT466" s="11">
        <v>11</v>
      </c>
      <c r="AU466" s="9" t="s">
        <v>73</v>
      </c>
      <c r="AV466" s="9" t="s">
        <v>67</v>
      </c>
      <c r="AW466" s="9" t="s">
        <v>1381</v>
      </c>
      <c r="AX466" s="10">
        <v>45995</v>
      </c>
      <c r="AY466" s="9" t="s">
        <v>1382</v>
      </c>
      <c r="AZ466" s="9" t="s">
        <v>67</v>
      </c>
      <c r="BA466" s="9" t="s">
        <v>67</v>
      </c>
      <c r="BB466" s="12">
        <v>10</v>
      </c>
      <c r="BC466" s="9" t="s">
        <v>74</v>
      </c>
      <c r="BD466" s="9" t="s">
        <v>104</v>
      </c>
      <c r="BE466" s="9" t="s">
        <v>75</v>
      </c>
      <c r="BF466" s="11">
        <v>0</v>
      </c>
      <c r="BG466">
        <f t="shared" si="16"/>
        <v>12</v>
      </c>
      <c r="BH466" t="str">
        <f>VLOOKUP(BG466,[1]month!$A:$B,2,0)</f>
        <v>Desember</v>
      </c>
      <c r="BI466">
        <f t="shared" si="17"/>
        <v>2025</v>
      </c>
      <c r="BJ466" t="str">
        <f>VLOOKUP(I466,[1]Dist!$A:$B,2,0)</f>
        <v>Industry</v>
      </c>
      <c r="BK466" t="str">
        <f>IF(I466=11,VLOOKUP(Y466,[2]Sheet1!$C:$N,10,0),IF(I466=13,VLOOKUP(Y466,[3]Sheet1!$C:$N,10,0),IF(I466=15,VLOOKUP(Y466,[4]Sheet1!$C:$N,10,0),"Unknown")))</f>
        <v>METAL COATINGS</v>
      </c>
      <c r="BL466" t="str">
        <f>IF(I466=11,VLOOKUP(Y466,[2]Sheet1!$C:$N,12,0),IF(I466=13,VLOOKUP(Y466,[3]Sheet1!$C:$N,12,0),IF(I466=15,VLOOKUP(Y466,[4]Sheet1!$C:$N,12,0),"Unknown")))</f>
        <v>METAL COATINGS</v>
      </c>
      <c r="BM466" t="str">
        <f>VLOOKUP(W466,[1]branch!$A:$B,2,0)</f>
        <v>INDUSTRY</v>
      </c>
    </row>
    <row r="467" spans="1:65" x14ac:dyDescent="0.35">
      <c r="A467" s="10">
        <v>45996</v>
      </c>
      <c r="B467" s="9" t="s">
        <v>1380</v>
      </c>
      <c r="C467" s="9" t="s">
        <v>64</v>
      </c>
      <c r="D467" s="9" t="s">
        <v>92</v>
      </c>
      <c r="E467" s="11">
        <v>60</v>
      </c>
      <c r="F467" s="9" t="s">
        <v>93</v>
      </c>
      <c r="G467" s="9" t="s">
        <v>65</v>
      </c>
      <c r="H467" s="9" t="s">
        <v>66</v>
      </c>
      <c r="I467" s="9">
        <v>11</v>
      </c>
      <c r="J467" s="9" t="s">
        <v>713</v>
      </c>
      <c r="K467" s="9" t="s">
        <v>713</v>
      </c>
      <c r="L467" s="9" t="s">
        <v>713</v>
      </c>
      <c r="M467" s="9" t="s">
        <v>714</v>
      </c>
      <c r="N467" s="9" t="s">
        <v>877</v>
      </c>
      <c r="O467" s="9" t="s">
        <v>97</v>
      </c>
      <c r="P467" s="9" t="s">
        <v>67</v>
      </c>
      <c r="Q467" s="9" t="s">
        <v>98</v>
      </c>
      <c r="R467" s="9" t="s">
        <v>713</v>
      </c>
      <c r="S467" s="9" t="s">
        <v>714</v>
      </c>
      <c r="T467" s="9" t="s">
        <v>803</v>
      </c>
      <c r="U467" s="9" t="s">
        <v>67</v>
      </c>
      <c r="V467" s="9" t="s">
        <v>221</v>
      </c>
      <c r="W467" s="9" t="s">
        <v>222</v>
      </c>
      <c r="X467" s="11">
        <v>40</v>
      </c>
      <c r="Y467" s="9" t="s">
        <v>244</v>
      </c>
      <c r="Z467" s="9" t="s">
        <v>68</v>
      </c>
      <c r="AA467" s="9" t="s">
        <v>245</v>
      </c>
      <c r="AB467" s="9" t="s">
        <v>67</v>
      </c>
      <c r="AC467" s="9" t="s">
        <v>229</v>
      </c>
      <c r="AD467" s="11">
        <v>3</v>
      </c>
      <c r="AE467" s="9" t="s">
        <v>70</v>
      </c>
      <c r="AF467" s="9" t="s">
        <v>71</v>
      </c>
      <c r="AG467" s="13">
        <v>1</v>
      </c>
      <c r="AH467" s="9" t="s">
        <v>92</v>
      </c>
      <c r="AI467" s="13">
        <v>1536000</v>
      </c>
      <c r="AJ467" s="13">
        <v>4608000</v>
      </c>
      <c r="AK467" s="11">
        <v>0</v>
      </c>
      <c r="AL467" s="11">
        <v>0</v>
      </c>
      <c r="AM467" s="11">
        <v>0</v>
      </c>
      <c r="AN467" s="9" t="s">
        <v>67</v>
      </c>
      <c r="AO467" s="11">
        <v>4608000</v>
      </c>
      <c r="AP467" s="13">
        <v>368640</v>
      </c>
      <c r="AQ467" s="13">
        <v>4976640</v>
      </c>
      <c r="AR467" s="11">
        <v>60</v>
      </c>
      <c r="AS467" s="9" t="s">
        <v>72</v>
      </c>
      <c r="AT467" s="11">
        <v>60</v>
      </c>
      <c r="AU467" s="9" t="s">
        <v>73</v>
      </c>
      <c r="AV467" s="9" t="s">
        <v>67</v>
      </c>
      <c r="AW467" s="9" t="s">
        <v>1381</v>
      </c>
      <c r="AX467" s="10">
        <v>45995</v>
      </c>
      <c r="AY467" s="9" t="s">
        <v>1382</v>
      </c>
      <c r="AZ467" s="9" t="s">
        <v>67</v>
      </c>
      <c r="BA467" s="9" t="s">
        <v>67</v>
      </c>
      <c r="BB467" s="12">
        <v>60</v>
      </c>
      <c r="BC467" s="9" t="s">
        <v>74</v>
      </c>
      <c r="BD467" s="9" t="s">
        <v>104</v>
      </c>
      <c r="BE467" s="9" t="s">
        <v>75</v>
      </c>
      <c r="BF467" s="11">
        <v>0</v>
      </c>
      <c r="BG467">
        <f t="shared" si="16"/>
        <v>12</v>
      </c>
      <c r="BH467" t="str">
        <f>VLOOKUP(BG467,[1]month!$A:$B,2,0)</f>
        <v>Desember</v>
      </c>
      <c r="BI467">
        <f t="shared" si="17"/>
        <v>2025</v>
      </c>
      <c r="BJ467" t="str">
        <f>VLOOKUP(I467,[1]Dist!$A:$B,2,0)</f>
        <v>Industry</v>
      </c>
      <c r="BK467" t="str">
        <f>IF(I467=11,VLOOKUP(Y467,[2]Sheet1!$C:$N,10,0),IF(I467=13,VLOOKUP(Y467,[3]Sheet1!$C:$N,10,0),IF(I467=15,VLOOKUP(Y467,[4]Sheet1!$C:$N,10,0),"Unknown")))</f>
        <v>PU</v>
      </c>
      <c r="BL467" t="str">
        <f>IF(I467=11,VLOOKUP(Y467,[2]Sheet1!$C:$N,12,0),IF(I467=13,VLOOKUP(Y467,[3]Sheet1!$C:$N,12,0),IF(I467=15,VLOOKUP(Y467,[4]Sheet1!$C:$N,12,0),"Unknown")))</f>
        <v>PU LACQUER</v>
      </c>
      <c r="BM467" t="str">
        <f>VLOOKUP(W467,[1]branch!$A:$B,2,0)</f>
        <v>INDUSTRY</v>
      </c>
    </row>
    <row r="468" spans="1:65" x14ac:dyDescent="0.35">
      <c r="A468" s="10">
        <v>45996</v>
      </c>
      <c r="B468" s="9" t="s">
        <v>1380</v>
      </c>
      <c r="C468" s="9" t="s">
        <v>64</v>
      </c>
      <c r="D468" s="9" t="s">
        <v>92</v>
      </c>
      <c r="E468" s="11">
        <v>60</v>
      </c>
      <c r="F468" s="9" t="s">
        <v>93</v>
      </c>
      <c r="G468" s="9" t="s">
        <v>65</v>
      </c>
      <c r="H468" s="9" t="s">
        <v>66</v>
      </c>
      <c r="I468" s="9">
        <v>11</v>
      </c>
      <c r="J468" s="9" t="s">
        <v>713</v>
      </c>
      <c r="K468" s="9" t="s">
        <v>713</v>
      </c>
      <c r="L468" s="9" t="s">
        <v>713</v>
      </c>
      <c r="M468" s="9" t="s">
        <v>714</v>
      </c>
      <c r="N468" s="9" t="s">
        <v>877</v>
      </c>
      <c r="O468" s="9" t="s">
        <v>97</v>
      </c>
      <c r="P468" s="9" t="s">
        <v>67</v>
      </c>
      <c r="Q468" s="9" t="s">
        <v>98</v>
      </c>
      <c r="R468" s="9" t="s">
        <v>713</v>
      </c>
      <c r="S468" s="9" t="s">
        <v>714</v>
      </c>
      <c r="T468" s="9" t="s">
        <v>803</v>
      </c>
      <c r="U468" s="9" t="s">
        <v>67</v>
      </c>
      <c r="V468" s="9" t="s">
        <v>221</v>
      </c>
      <c r="W468" s="9" t="s">
        <v>222</v>
      </c>
      <c r="X468" s="11">
        <v>50</v>
      </c>
      <c r="Y468" s="9" t="s">
        <v>1385</v>
      </c>
      <c r="Z468" s="9" t="s">
        <v>68</v>
      </c>
      <c r="AA468" s="9" t="s">
        <v>1386</v>
      </c>
      <c r="AB468" s="9" t="s">
        <v>67</v>
      </c>
      <c r="AC468" s="9" t="s">
        <v>254</v>
      </c>
      <c r="AD468" s="11">
        <v>5</v>
      </c>
      <c r="AE468" s="9" t="s">
        <v>70</v>
      </c>
      <c r="AF468" s="9" t="s">
        <v>71</v>
      </c>
      <c r="AG468" s="13">
        <v>1</v>
      </c>
      <c r="AH468" s="9" t="s">
        <v>92</v>
      </c>
      <c r="AI468" s="13">
        <v>2302000</v>
      </c>
      <c r="AJ468" s="13">
        <v>11510000</v>
      </c>
      <c r="AK468" s="11">
        <v>0</v>
      </c>
      <c r="AL468" s="11">
        <v>0</v>
      </c>
      <c r="AM468" s="11">
        <v>0</v>
      </c>
      <c r="AN468" s="9" t="s">
        <v>67</v>
      </c>
      <c r="AO468" s="11">
        <v>11510000</v>
      </c>
      <c r="AP468" s="13">
        <v>920800</v>
      </c>
      <c r="AQ468" s="13">
        <v>12430800</v>
      </c>
      <c r="AR468" s="11">
        <v>100</v>
      </c>
      <c r="AS468" s="9" t="s">
        <v>72</v>
      </c>
      <c r="AT468" s="12">
        <v>90.1</v>
      </c>
      <c r="AU468" s="9" t="s">
        <v>73</v>
      </c>
      <c r="AV468" s="9" t="s">
        <v>67</v>
      </c>
      <c r="AW468" s="9" t="s">
        <v>1381</v>
      </c>
      <c r="AX468" s="10">
        <v>45995</v>
      </c>
      <c r="AY468" s="9" t="s">
        <v>1382</v>
      </c>
      <c r="AZ468" s="9" t="s">
        <v>67</v>
      </c>
      <c r="BA468" s="9" t="s">
        <v>67</v>
      </c>
      <c r="BB468" s="12">
        <v>100</v>
      </c>
      <c r="BC468" s="9" t="s">
        <v>74</v>
      </c>
      <c r="BD468" s="9" t="s">
        <v>104</v>
      </c>
      <c r="BE468" s="9" t="s">
        <v>75</v>
      </c>
      <c r="BF468" s="11">
        <v>0</v>
      </c>
      <c r="BG468">
        <f t="shared" si="16"/>
        <v>12</v>
      </c>
      <c r="BH468" t="str">
        <f>VLOOKUP(BG468,[1]month!$A:$B,2,0)</f>
        <v>Desember</v>
      </c>
      <c r="BI468">
        <f t="shared" si="17"/>
        <v>2025</v>
      </c>
      <c r="BJ468" t="str">
        <f>VLOOKUP(I468,[1]Dist!$A:$B,2,0)</f>
        <v>Industry</v>
      </c>
      <c r="BK468" t="str">
        <f>IF(I468=11,VLOOKUP(Y468,[2]Sheet1!$C:$N,10,0),IF(I468=13,VLOOKUP(Y468,[3]Sheet1!$C:$N,10,0),IF(I468=15,VLOOKUP(Y468,[4]Sheet1!$C:$N,10,0),"Unknown")))</f>
        <v>PU</v>
      </c>
      <c r="BL468" t="str">
        <f>IF(I468=11,VLOOKUP(Y468,[2]Sheet1!$C:$N,12,0),IF(I468=13,VLOOKUP(Y468,[3]Sheet1!$C:$N,12,0),IF(I468=15,VLOOKUP(Y468,[4]Sheet1!$C:$N,12,0),"Unknown")))</f>
        <v>PU PRIMER</v>
      </c>
      <c r="BM468" t="str">
        <f>VLOOKUP(W468,[1]branch!$A:$B,2,0)</f>
        <v>INDUSTRY</v>
      </c>
    </row>
    <row r="469" spans="1:65" x14ac:dyDescent="0.35">
      <c r="A469" s="10">
        <v>45996</v>
      </c>
      <c r="B469" s="9" t="s">
        <v>1380</v>
      </c>
      <c r="C469" s="9" t="s">
        <v>64</v>
      </c>
      <c r="D469" s="9" t="s">
        <v>92</v>
      </c>
      <c r="E469" s="11">
        <v>60</v>
      </c>
      <c r="F469" s="9" t="s">
        <v>93</v>
      </c>
      <c r="G469" s="9" t="s">
        <v>65</v>
      </c>
      <c r="H469" s="9" t="s">
        <v>66</v>
      </c>
      <c r="I469" s="9">
        <v>11</v>
      </c>
      <c r="J469" s="9" t="s">
        <v>713</v>
      </c>
      <c r="K469" s="9" t="s">
        <v>713</v>
      </c>
      <c r="L469" s="9" t="s">
        <v>713</v>
      </c>
      <c r="M469" s="9" t="s">
        <v>714</v>
      </c>
      <c r="N469" s="9" t="s">
        <v>877</v>
      </c>
      <c r="O469" s="9" t="s">
        <v>97</v>
      </c>
      <c r="P469" s="9" t="s">
        <v>67</v>
      </c>
      <c r="Q469" s="9" t="s">
        <v>98</v>
      </c>
      <c r="R469" s="9" t="s">
        <v>713</v>
      </c>
      <c r="S469" s="9" t="s">
        <v>714</v>
      </c>
      <c r="T469" s="9" t="s">
        <v>803</v>
      </c>
      <c r="U469" s="9" t="s">
        <v>67</v>
      </c>
      <c r="V469" s="9" t="s">
        <v>221</v>
      </c>
      <c r="W469" s="9" t="s">
        <v>222</v>
      </c>
      <c r="X469" s="11">
        <v>60</v>
      </c>
      <c r="Y469" s="9" t="s">
        <v>257</v>
      </c>
      <c r="Z469" s="9" t="s">
        <v>68</v>
      </c>
      <c r="AA469" s="9" t="s">
        <v>258</v>
      </c>
      <c r="AB469" s="9" t="s">
        <v>67</v>
      </c>
      <c r="AC469" s="9" t="s">
        <v>259</v>
      </c>
      <c r="AD469" s="11">
        <v>4</v>
      </c>
      <c r="AE469" s="9" t="s">
        <v>70</v>
      </c>
      <c r="AF469" s="9" t="s">
        <v>71</v>
      </c>
      <c r="AG469" s="13">
        <v>1</v>
      </c>
      <c r="AH469" s="9" t="s">
        <v>92</v>
      </c>
      <c r="AI469" s="13">
        <v>2190000</v>
      </c>
      <c r="AJ469" s="13">
        <v>8760000</v>
      </c>
      <c r="AK469" s="11">
        <v>0</v>
      </c>
      <c r="AL469" s="11">
        <v>0</v>
      </c>
      <c r="AM469" s="11">
        <v>0</v>
      </c>
      <c r="AN469" s="9" t="s">
        <v>67</v>
      </c>
      <c r="AO469" s="11">
        <v>8760000</v>
      </c>
      <c r="AP469" s="13">
        <v>700800</v>
      </c>
      <c r="AQ469" s="13">
        <v>9460800</v>
      </c>
      <c r="AR469" s="11">
        <v>80</v>
      </c>
      <c r="AS469" s="9" t="s">
        <v>72</v>
      </c>
      <c r="AT469" s="12">
        <v>79.239999999999995</v>
      </c>
      <c r="AU469" s="9" t="s">
        <v>73</v>
      </c>
      <c r="AV469" s="9" t="s">
        <v>67</v>
      </c>
      <c r="AW469" s="9" t="s">
        <v>1381</v>
      </c>
      <c r="AX469" s="10">
        <v>45995</v>
      </c>
      <c r="AY469" s="9" t="s">
        <v>1382</v>
      </c>
      <c r="AZ469" s="9" t="s">
        <v>67</v>
      </c>
      <c r="BA469" s="9" t="s">
        <v>67</v>
      </c>
      <c r="BB469" s="12">
        <v>80</v>
      </c>
      <c r="BC469" s="9" t="s">
        <v>74</v>
      </c>
      <c r="BD469" s="9" t="s">
        <v>104</v>
      </c>
      <c r="BE469" s="9" t="s">
        <v>75</v>
      </c>
      <c r="BF469" s="11">
        <v>0</v>
      </c>
      <c r="BG469">
        <f t="shared" si="16"/>
        <v>12</v>
      </c>
      <c r="BH469" t="str">
        <f>VLOOKUP(BG469,[1]month!$A:$B,2,0)</f>
        <v>Desember</v>
      </c>
      <c r="BI469">
        <f t="shared" si="17"/>
        <v>2025</v>
      </c>
      <c r="BJ469" t="str">
        <f>VLOOKUP(I469,[1]Dist!$A:$B,2,0)</f>
        <v>Industry</v>
      </c>
      <c r="BK469" t="str">
        <f>IF(I469=11,VLOOKUP(Y469,[2]Sheet1!$C:$N,10,0),IF(I469=13,VLOOKUP(Y469,[3]Sheet1!$C:$N,10,0),IF(I469=15,VLOOKUP(Y469,[4]Sheet1!$C:$N,10,0),"Unknown")))</f>
        <v>PU</v>
      </c>
      <c r="BL469" t="str">
        <f>IF(I469=11,VLOOKUP(Y469,[2]Sheet1!$C:$N,12,0),IF(I469=13,VLOOKUP(Y469,[3]Sheet1!$C:$N,12,0),IF(I469=15,VLOOKUP(Y469,[4]Sheet1!$C:$N,12,0),"Unknown")))</f>
        <v>PU HARDENER</v>
      </c>
      <c r="BM469" t="str">
        <f>VLOOKUP(W469,[1]branch!$A:$B,2,0)</f>
        <v>INDUSTRY</v>
      </c>
    </row>
    <row r="470" spans="1:65" x14ac:dyDescent="0.35">
      <c r="A470" s="10">
        <v>45996</v>
      </c>
      <c r="B470" s="9" t="s">
        <v>1380</v>
      </c>
      <c r="C470" s="9" t="s">
        <v>64</v>
      </c>
      <c r="D470" s="9" t="s">
        <v>92</v>
      </c>
      <c r="E470" s="11">
        <v>60</v>
      </c>
      <c r="F470" s="9" t="s">
        <v>93</v>
      </c>
      <c r="G470" s="9" t="s">
        <v>65</v>
      </c>
      <c r="H470" s="9" t="s">
        <v>66</v>
      </c>
      <c r="I470" s="9">
        <v>11</v>
      </c>
      <c r="J470" s="9" t="s">
        <v>713</v>
      </c>
      <c r="K470" s="9" t="s">
        <v>713</v>
      </c>
      <c r="L470" s="9" t="s">
        <v>713</v>
      </c>
      <c r="M470" s="9" t="s">
        <v>714</v>
      </c>
      <c r="N470" s="9" t="s">
        <v>877</v>
      </c>
      <c r="O470" s="9" t="s">
        <v>97</v>
      </c>
      <c r="P470" s="9" t="s">
        <v>67</v>
      </c>
      <c r="Q470" s="9" t="s">
        <v>98</v>
      </c>
      <c r="R470" s="9" t="s">
        <v>713</v>
      </c>
      <c r="S470" s="9" t="s">
        <v>714</v>
      </c>
      <c r="T470" s="9" t="s">
        <v>803</v>
      </c>
      <c r="U470" s="9" t="s">
        <v>67</v>
      </c>
      <c r="V470" s="9" t="s">
        <v>221</v>
      </c>
      <c r="W470" s="9" t="s">
        <v>222</v>
      </c>
      <c r="X470" s="11">
        <v>70</v>
      </c>
      <c r="Y470" s="9" t="s">
        <v>246</v>
      </c>
      <c r="Z470" s="9" t="s">
        <v>68</v>
      </c>
      <c r="AA470" s="9" t="s">
        <v>247</v>
      </c>
      <c r="AB470" s="9" t="s">
        <v>67</v>
      </c>
      <c r="AC470" s="9" t="s">
        <v>248</v>
      </c>
      <c r="AD470" s="11">
        <v>2</v>
      </c>
      <c r="AE470" s="9" t="s">
        <v>70</v>
      </c>
      <c r="AF470" s="9" t="s">
        <v>71</v>
      </c>
      <c r="AG470" s="13">
        <v>1</v>
      </c>
      <c r="AH470" s="9" t="s">
        <v>92</v>
      </c>
      <c r="AI470" s="13">
        <v>2595000</v>
      </c>
      <c r="AJ470" s="13">
        <v>5190000</v>
      </c>
      <c r="AK470" s="11">
        <v>0</v>
      </c>
      <c r="AL470" s="11">
        <v>0</v>
      </c>
      <c r="AM470" s="11">
        <v>0</v>
      </c>
      <c r="AN470" s="9" t="s">
        <v>67</v>
      </c>
      <c r="AO470" s="11">
        <v>5190000</v>
      </c>
      <c r="AP470" s="13">
        <v>415200</v>
      </c>
      <c r="AQ470" s="13">
        <v>5605200</v>
      </c>
      <c r="AR470" s="12">
        <v>38.4</v>
      </c>
      <c r="AS470" s="9" t="s">
        <v>72</v>
      </c>
      <c r="AT470" s="11">
        <v>40</v>
      </c>
      <c r="AU470" s="9" t="s">
        <v>73</v>
      </c>
      <c r="AV470" s="9" t="s">
        <v>67</v>
      </c>
      <c r="AW470" s="9" t="s">
        <v>1381</v>
      </c>
      <c r="AX470" s="10">
        <v>45995</v>
      </c>
      <c r="AY470" s="9" t="s">
        <v>1382</v>
      </c>
      <c r="AZ470" s="9" t="s">
        <v>67</v>
      </c>
      <c r="BA470" s="9" t="s">
        <v>67</v>
      </c>
      <c r="BB470" s="12">
        <v>40</v>
      </c>
      <c r="BC470" s="9" t="s">
        <v>74</v>
      </c>
      <c r="BD470" s="9" t="s">
        <v>104</v>
      </c>
      <c r="BE470" s="9" t="s">
        <v>75</v>
      </c>
      <c r="BF470" s="11">
        <v>0</v>
      </c>
      <c r="BG470">
        <f t="shared" si="16"/>
        <v>12</v>
      </c>
      <c r="BH470" t="str">
        <f>VLOOKUP(BG470,[1]month!$A:$B,2,0)</f>
        <v>Desember</v>
      </c>
      <c r="BI470">
        <f t="shared" si="17"/>
        <v>2025</v>
      </c>
      <c r="BJ470" t="str">
        <f>VLOOKUP(I470,[1]Dist!$A:$B,2,0)</f>
        <v>Industry</v>
      </c>
      <c r="BK470" t="str">
        <f>IF(I470=11,VLOOKUP(Y470,[2]Sheet1!$C:$N,10,0),IF(I470=13,VLOOKUP(Y470,[3]Sheet1!$C:$N,10,0),IF(I470=15,VLOOKUP(Y470,[4]Sheet1!$C:$N,10,0),"Unknown")))</f>
        <v>PU</v>
      </c>
      <c r="BL470" t="str">
        <f>IF(I470=11,VLOOKUP(Y470,[2]Sheet1!$C:$N,12,0),IF(I470=13,VLOOKUP(Y470,[3]Sheet1!$C:$N,12,0),IF(I470=15,VLOOKUP(Y470,[4]Sheet1!$C:$N,12,0),"Unknown")))</f>
        <v>PU LACQUER</v>
      </c>
      <c r="BM470" t="str">
        <f>VLOOKUP(W470,[1]branch!$A:$B,2,0)</f>
        <v>INDUSTRY</v>
      </c>
    </row>
    <row r="471" spans="1:65" x14ac:dyDescent="0.35">
      <c r="A471" s="10">
        <v>45996</v>
      </c>
      <c r="B471" s="9" t="s">
        <v>1380</v>
      </c>
      <c r="C471" s="9" t="s">
        <v>64</v>
      </c>
      <c r="D471" s="9" t="s">
        <v>92</v>
      </c>
      <c r="E471" s="11">
        <v>60</v>
      </c>
      <c r="F471" s="9" t="s">
        <v>93</v>
      </c>
      <c r="G471" s="9" t="s">
        <v>65</v>
      </c>
      <c r="H471" s="9" t="s">
        <v>66</v>
      </c>
      <c r="I471" s="9">
        <v>11</v>
      </c>
      <c r="J471" s="9" t="s">
        <v>713</v>
      </c>
      <c r="K471" s="9" t="s">
        <v>713</v>
      </c>
      <c r="L471" s="9" t="s">
        <v>713</v>
      </c>
      <c r="M471" s="9" t="s">
        <v>714</v>
      </c>
      <c r="N471" s="9" t="s">
        <v>877</v>
      </c>
      <c r="O471" s="9" t="s">
        <v>97</v>
      </c>
      <c r="P471" s="9" t="s">
        <v>67</v>
      </c>
      <c r="Q471" s="9" t="s">
        <v>98</v>
      </c>
      <c r="R471" s="9" t="s">
        <v>713</v>
      </c>
      <c r="S471" s="9" t="s">
        <v>714</v>
      </c>
      <c r="T471" s="9" t="s">
        <v>803</v>
      </c>
      <c r="U471" s="9" t="s">
        <v>67</v>
      </c>
      <c r="V471" s="9" t="s">
        <v>221</v>
      </c>
      <c r="W471" s="9" t="s">
        <v>222</v>
      </c>
      <c r="X471" s="11">
        <v>80</v>
      </c>
      <c r="Y471" s="9" t="s">
        <v>291</v>
      </c>
      <c r="Z471" s="9" t="s">
        <v>68</v>
      </c>
      <c r="AA471" s="9" t="s">
        <v>292</v>
      </c>
      <c r="AB471" s="9" t="s">
        <v>67</v>
      </c>
      <c r="AC471" s="9" t="s">
        <v>293</v>
      </c>
      <c r="AD471" s="11">
        <v>5</v>
      </c>
      <c r="AE471" s="9" t="s">
        <v>70</v>
      </c>
      <c r="AF471" s="9" t="s">
        <v>71</v>
      </c>
      <c r="AG471" s="13">
        <v>1</v>
      </c>
      <c r="AH471" s="9" t="s">
        <v>92</v>
      </c>
      <c r="AI471" s="13">
        <v>2240700</v>
      </c>
      <c r="AJ471" s="13">
        <v>11203500</v>
      </c>
      <c r="AK471" s="11">
        <v>0</v>
      </c>
      <c r="AL471" s="11">
        <v>0</v>
      </c>
      <c r="AM471" s="11">
        <v>0</v>
      </c>
      <c r="AN471" s="9" t="s">
        <v>67</v>
      </c>
      <c r="AO471" s="11">
        <v>11203500</v>
      </c>
      <c r="AP471" s="13">
        <v>896280</v>
      </c>
      <c r="AQ471" s="13">
        <v>12099780</v>
      </c>
      <c r="AR471" s="11">
        <v>100</v>
      </c>
      <c r="AS471" s="9" t="s">
        <v>72</v>
      </c>
      <c r="AT471" s="11">
        <v>100</v>
      </c>
      <c r="AU471" s="9" t="s">
        <v>73</v>
      </c>
      <c r="AV471" s="9" t="s">
        <v>67</v>
      </c>
      <c r="AW471" s="9" t="s">
        <v>1381</v>
      </c>
      <c r="AX471" s="10">
        <v>45995</v>
      </c>
      <c r="AY471" s="9" t="s">
        <v>1382</v>
      </c>
      <c r="AZ471" s="9" t="s">
        <v>67</v>
      </c>
      <c r="BA471" s="9" t="s">
        <v>67</v>
      </c>
      <c r="BB471" s="12">
        <v>100</v>
      </c>
      <c r="BC471" s="9" t="s">
        <v>74</v>
      </c>
      <c r="BD471" s="9" t="s">
        <v>104</v>
      </c>
      <c r="BE471" s="9" t="s">
        <v>75</v>
      </c>
      <c r="BF471" s="11">
        <v>0</v>
      </c>
      <c r="BG471">
        <f t="shared" si="16"/>
        <v>12</v>
      </c>
      <c r="BH471" t="str">
        <f>VLOOKUP(BG471,[1]month!$A:$B,2,0)</f>
        <v>Desember</v>
      </c>
      <c r="BI471">
        <f t="shared" si="17"/>
        <v>2025</v>
      </c>
      <c r="BJ471" t="str">
        <f>VLOOKUP(I471,[1]Dist!$A:$B,2,0)</f>
        <v>Industry</v>
      </c>
      <c r="BK471" t="str">
        <f>IF(I471=11,VLOOKUP(Y471,[2]Sheet1!$C:$N,10,0),IF(I471=13,VLOOKUP(Y471,[3]Sheet1!$C:$N,10,0),IF(I471=15,VLOOKUP(Y471,[4]Sheet1!$C:$N,10,0),"Unknown")))</f>
        <v>PU</v>
      </c>
      <c r="BL471" t="str">
        <f>IF(I471=11,VLOOKUP(Y471,[2]Sheet1!$C:$N,12,0),IF(I471=13,VLOOKUP(Y471,[3]Sheet1!$C:$N,12,0),IF(I471=15,VLOOKUP(Y471,[4]Sheet1!$C:$N,12,0),"Unknown")))</f>
        <v>PU SANDING SEALER</v>
      </c>
      <c r="BM471" t="str">
        <f>VLOOKUP(W471,[1]branch!$A:$B,2,0)</f>
        <v>INDUSTRY</v>
      </c>
    </row>
    <row r="472" spans="1:65" x14ac:dyDescent="0.35">
      <c r="A472" s="10">
        <v>45996</v>
      </c>
      <c r="B472" s="9" t="s">
        <v>1380</v>
      </c>
      <c r="C472" s="9" t="s">
        <v>64</v>
      </c>
      <c r="D472" s="9" t="s">
        <v>92</v>
      </c>
      <c r="E472" s="11">
        <v>60</v>
      </c>
      <c r="F472" s="9" t="s">
        <v>93</v>
      </c>
      <c r="G472" s="9" t="s">
        <v>65</v>
      </c>
      <c r="H472" s="9" t="s">
        <v>66</v>
      </c>
      <c r="I472" s="9">
        <v>11</v>
      </c>
      <c r="J472" s="9" t="s">
        <v>713</v>
      </c>
      <c r="K472" s="9" t="s">
        <v>713</v>
      </c>
      <c r="L472" s="9" t="s">
        <v>713</v>
      </c>
      <c r="M472" s="9" t="s">
        <v>714</v>
      </c>
      <c r="N472" s="9" t="s">
        <v>877</v>
      </c>
      <c r="O472" s="9" t="s">
        <v>97</v>
      </c>
      <c r="P472" s="9" t="s">
        <v>67</v>
      </c>
      <c r="Q472" s="9" t="s">
        <v>98</v>
      </c>
      <c r="R472" s="9" t="s">
        <v>713</v>
      </c>
      <c r="S472" s="9" t="s">
        <v>714</v>
      </c>
      <c r="T472" s="9" t="s">
        <v>803</v>
      </c>
      <c r="U472" s="9" t="s">
        <v>67</v>
      </c>
      <c r="V472" s="9" t="s">
        <v>221</v>
      </c>
      <c r="W472" s="9" t="s">
        <v>222</v>
      </c>
      <c r="X472" s="11">
        <v>90</v>
      </c>
      <c r="Y472" s="9" t="s">
        <v>260</v>
      </c>
      <c r="Z472" s="9" t="s">
        <v>68</v>
      </c>
      <c r="AA472" s="9" t="s">
        <v>723</v>
      </c>
      <c r="AB472" s="9" t="s">
        <v>67</v>
      </c>
      <c r="AC472" s="9" t="s">
        <v>248</v>
      </c>
      <c r="AD472" s="11">
        <v>9</v>
      </c>
      <c r="AE472" s="9" t="s">
        <v>70</v>
      </c>
      <c r="AF472" s="9" t="s">
        <v>71</v>
      </c>
      <c r="AG472" s="13">
        <v>1</v>
      </c>
      <c r="AH472" s="9" t="s">
        <v>92</v>
      </c>
      <c r="AI472" s="13">
        <v>2930000</v>
      </c>
      <c r="AJ472" s="13">
        <v>26370000</v>
      </c>
      <c r="AK472" s="11">
        <v>0</v>
      </c>
      <c r="AL472" s="11">
        <v>0</v>
      </c>
      <c r="AM472" s="11">
        <v>0</v>
      </c>
      <c r="AN472" s="9" t="s">
        <v>67</v>
      </c>
      <c r="AO472" s="11">
        <v>26370000</v>
      </c>
      <c r="AP472" s="13">
        <v>2109600</v>
      </c>
      <c r="AQ472" s="13">
        <v>28479600</v>
      </c>
      <c r="AR472" s="12">
        <v>176.4</v>
      </c>
      <c r="AS472" s="9" t="s">
        <v>72</v>
      </c>
      <c r="AT472" s="11">
        <v>180</v>
      </c>
      <c r="AU472" s="9" t="s">
        <v>73</v>
      </c>
      <c r="AV472" s="9" t="s">
        <v>67</v>
      </c>
      <c r="AW472" s="9" t="s">
        <v>1381</v>
      </c>
      <c r="AX472" s="10">
        <v>45995</v>
      </c>
      <c r="AY472" s="9" t="s">
        <v>1382</v>
      </c>
      <c r="AZ472" s="9" t="s">
        <v>67</v>
      </c>
      <c r="BA472" s="9" t="s">
        <v>67</v>
      </c>
      <c r="BB472" s="12">
        <v>180</v>
      </c>
      <c r="BC472" s="9" t="s">
        <v>74</v>
      </c>
      <c r="BD472" s="9" t="s">
        <v>104</v>
      </c>
      <c r="BE472" s="9" t="s">
        <v>75</v>
      </c>
      <c r="BF472" s="11">
        <v>0</v>
      </c>
      <c r="BG472">
        <f t="shared" si="16"/>
        <v>12</v>
      </c>
      <c r="BH472" t="str">
        <f>VLOOKUP(BG472,[1]month!$A:$B,2,0)</f>
        <v>Desember</v>
      </c>
      <c r="BI472">
        <f t="shared" si="17"/>
        <v>2025</v>
      </c>
      <c r="BJ472" t="str">
        <f>VLOOKUP(I472,[1]Dist!$A:$B,2,0)</f>
        <v>Industry</v>
      </c>
      <c r="BK472" t="str">
        <f>IF(I472=11,VLOOKUP(Y472,[2]Sheet1!$C:$N,10,0),IF(I472=13,VLOOKUP(Y472,[3]Sheet1!$C:$N,10,0),IF(I472=15,VLOOKUP(Y472,[4]Sheet1!$C:$N,10,0),"Unknown")))</f>
        <v>PU</v>
      </c>
      <c r="BL472" t="str">
        <f>IF(I472=11,VLOOKUP(Y472,[2]Sheet1!$C:$N,12,0),IF(I472=13,VLOOKUP(Y472,[3]Sheet1!$C:$N,12,0),IF(I472=15,VLOOKUP(Y472,[4]Sheet1!$C:$N,12,0),"Unknown")))</f>
        <v>PU LACQUER</v>
      </c>
      <c r="BM472" t="str">
        <f>VLOOKUP(W472,[1]branch!$A:$B,2,0)</f>
        <v>INDUSTRY</v>
      </c>
    </row>
    <row r="473" spans="1:65" x14ac:dyDescent="0.35">
      <c r="A473" s="10">
        <v>45996</v>
      </c>
      <c r="B473" s="9" t="s">
        <v>1380</v>
      </c>
      <c r="C473" s="9" t="s">
        <v>64</v>
      </c>
      <c r="D473" s="9" t="s">
        <v>92</v>
      </c>
      <c r="E473" s="11">
        <v>60</v>
      </c>
      <c r="F473" s="9" t="s">
        <v>93</v>
      </c>
      <c r="G473" s="9" t="s">
        <v>65</v>
      </c>
      <c r="H473" s="9" t="s">
        <v>66</v>
      </c>
      <c r="I473" s="9">
        <v>11</v>
      </c>
      <c r="J473" s="9" t="s">
        <v>713</v>
      </c>
      <c r="K473" s="9" t="s">
        <v>713</v>
      </c>
      <c r="L473" s="9" t="s">
        <v>713</v>
      </c>
      <c r="M473" s="9" t="s">
        <v>714</v>
      </c>
      <c r="N473" s="9" t="s">
        <v>877</v>
      </c>
      <c r="O473" s="9" t="s">
        <v>97</v>
      </c>
      <c r="P473" s="9" t="s">
        <v>67</v>
      </c>
      <c r="Q473" s="9" t="s">
        <v>98</v>
      </c>
      <c r="R473" s="9" t="s">
        <v>713</v>
      </c>
      <c r="S473" s="9" t="s">
        <v>714</v>
      </c>
      <c r="T473" s="9" t="s">
        <v>803</v>
      </c>
      <c r="U473" s="9" t="s">
        <v>67</v>
      </c>
      <c r="V473" s="9" t="s">
        <v>221</v>
      </c>
      <c r="W473" s="9" t="s">
        <v>222</v>
      </c>
      <c r="X473" s="11">
        <v>100</v>
      </c>
      <c r="Y473" s="9" t="s">
        <v>123</v>
      </c>
      <c r="Z473" s="9" t="s">
        <v>68</v>
      </c>
      <c r="AA473" s="9" t="s">
        <v>124</v>
      </c>
      <c r="AB473" s="9" t="s">
        <v>67</v>
      </c>
      <c r="AC473" s="9" t="s">
        <v>125</v>
      </c>
      <c r="AD473" s="11">
        <v>8</v>
      </c>
      <c r="AE473" s="9" t="s">
        <v>70</v>
      </c>
      <c r="AF473" s="9" t="s">
        <v>71</v>
      </c>
      <c r="AG473" s="13">
        <v>1</v>
      </c>
      <c r="AH473" s="9" t="s">
        <v>92</v>
      </c>
      <c r="AI473" s="13">
        <v>3336000</v>
      </c>
      <c r="AJ473" s="13">
        <v>26688000</v>
      </c>
      <c r="AK473" s="11">
        <v>0</v>
      </c>
      <c r="AL473" s="11">
        <v>0</v>
      </c>
      <c r="AM473" s="11">
        <v>0</v>
      </c>
      <c r="AN473" s="9" t="s">
        <v>67</v>
      </c>
      <c r="AO473" s="11">
        <v>26688000</v>
      </c>
      <c r="AP473" s="13">
        <v>2135040</v>
      </c>
      <c r="AQ473" s="13">
        <v>28823040</v>
      </c>
      <c r="AR473" s="12">
        <v>156.80000000000001</v>
      </c>
      <c r="AS473" s="9" t="s">
        <v>72</v>
      </c>
      <c r="AT473" s="11">
        <v>160</v>
      </c>
      <c r="AU473" s="9" t="s">
        <v>73</v>
      </c>
      <c r="AV473" s="9" t="s">
        <v>67</v>
      </c>
      <c r="AW473" s="9" t="s">
        <v>1381</v>
      </c>
      <c r="AX473" s="10">
        <v>45995</v>
      </c>
      <c r="AY473" s="9" t="s">
        <v>1382</v>
      </c>
      <c r="AZ473" s="9" t="s">
        <v>67</v>
      </c>
      <c r="BA473" s="9" t="s">
        <v>67</v>
      </c>
      <c r="BB473" s="12">
        <v>160</v>
      </c>
      <c r="BC473" s="9" t="s">
        <v>74</v>
      </c>
      <c r="BD473" s="9" t="s">
        <v>104</v>
      </c>
      <c r="BE473" s="9" t="s">
        <v>75</v>
      </c>
      <c r="BF473" s="11">
        <v>0</v>
      </c>
      <c r="BG473">
        <f t="shared" si="16"/>
        <v>12</v>
      </c>
      <c r="BH473" t="str">
        <f>VLOOKUP(BG473,[1]month!$A:$B,2,0)</f>
        <v>Desember</v>
      </c>
      <c r="BI473">
        <f t="shared" si="17"/>
        <v>2025</v>
      </c>
      <c r="BJ473" t="str">
        <f>VLOOKUP(I473,[1]Dist!$A:$B,2,0)</f>
        <v>Industry</v>
      </c>
      <c r="BK473" t="str">
        <f>IF(I473=11,VLOOKUP(Y473,[2]Sheet1!$C:$N,10,0),IF(I473=13,VLOOKUP(Y473,[3]Sheet1!$C:$N,10,0),IF(I473=15,VLOOKUP(Y473,[4]Sheet1!$C:$N,10,0),"Unknown")))</f>
        <v>PU</v>
      </c>
      <c r="BL473" t="str">
        <f>IF(I473=11,VLOOKUP(Y473,[2]Sheet1!$C:$N,12,0),IF(I473=13,VLOOKUP(Y473,[3]Sheet1!$C:$N,12,0),IF(I473=15,VLOOKUP(Y473,[4]Sheet1!$C:$N,12,0),"Unknown")))</f>
        <v>PU HARDENER</v>
      </c>
      <c r="BM473" t="str">
        <f>VLOOKUP(W473,[1]branch!$A:$B,2,0)</f>
        <v>INDUSTRY</v>
      </c>
    </row>
    <row r="474" spans="1:65" x14ac:dyDescent="0.35">
      <c r="A474" s="10">
        <v>45996</v>
      </c>
      <c r="B474" s="9" t="s">
        <v>1380</v>
      </c>
      <c r="C474" s="9" t="s">
        <v>64</v>
      </c>
      <c r="D474" s="9" t="s">
        <v>92</v>
      </c>
      <c r="E474" s="11">
        <v>60</v>
      </c>
      <c r="F474" s="9" t="s">
        <v>93</v>
      </c>
      <c r="G474" s="9" t="s">
        <v>65</v>
      </c>
      <c r="H474" s="9" t="s">
        <v>66</v>
      </c>
      <c r="I474" s="9">
        <v>11</v>
      </c>
      <c r="J474" s="9" t="s">
        <v>713</v>
      </c>
      <c r="K474" s="9" t="s">
        <v>713</v>
      </c>
      <c r="L474" s="9" t="s">
        <v>713</v>
      </c>
      <c r="M474" s="9" t="s">
        <v>714</v>
      </c>
      <c r="N474" s="9" t="s">
        <v>877</v>
      </c>
      <c r="O474" s="9" t="s">
        <v>97</v>
      </c>
      <c r="P474" s="9" t="s">
        <v>67</v>
      </c>
      <c r="Q474" s="9" t="s">
        <v>98</v>
      </c>
      <c r="R474" s="9" t="s">
        <v>713</v>
      </c>
      <c r="S474" s="9" t="s">
        <v>714</v>
      </c>
      <c r="T474" s="9" t="s">
        <v>803</v>
      </c>
      <c r="U474" s="9" t="s">
        <v>67</v>
      </c>
      <c r="V474" s="9" t="s">
        <v>221</v>
      </c>
      <c r="W474" s="9" t="s">
        <v>222</v>
      </c>
      <c r="X474" s="11">
        <v>110</v>
      </c>
      <c r="Y474" s="9" t="s">
        <v>1387</v>
      </c>
      <c r="Z474" s="9" t="s">
        <v>68</v>
      </c>
      <c r="AA474" s="9" t="s">
        <v>1388</v>
      </c>
      <c r="AB474" s="9" t="s">
        <v>67</v>
      </c>
      <c r="AC474" s="9" t="s">
        <v>191</v>
      </c>
      <c r="AD474" s="11">
        <v>2</v>
      </c>
      <c r="AE474" s="9" t="s">
        <v>70</v>
      </c>
      <c r="AF474" s="9" t="s">
        <v>71</v>
      </c>
      <c r="AG474" s="13">
        <v>1</v>
      </c>
      <c r="AH474" s="9" t="s">
        <v>92</v>
      </c>
      <c r="AI474" s="13">
        <v>1523400</v>
      </c>
      <c r="AJ474" s="13">
        <v>3046800</v>
      </c>
      <c r="AK474" s="11">
        <v>0</v>
      </c>
      <c r="AL474" s="11">
        <v>0</v>
      </c>
      <c r="AM474" s="11">
        <v>0</v>
      </c>
      <c r="AN474" s="9" t="s">
        <v>67</v>
      </c>
      <c r="AO474" s="11">
        <v>3046800</v>
      </c>
      <c r="AP474" s="13">
        <v>243744</v>
      </c>
      <c r="AQ474" s="13">
        <v>3290544</v>
      </c>
      <c r="AR474" s="12">
        <v>39.200000000000003</v>
      </c>
      <c r="AS474" s="9" t="s">
        <v>72</v>
      </c>
      <c r="AT474" s="11">
        <v>40</v>
      </c>
      <c r="AU474" s="9" t="s">
        <v>73</v>
      </c>
      <c r="AV474" s="9" t="s">
        <v>67</v>
      </c>
      <c r="AW474" s="9" t="s">
        <v>1381</v>
      </c>
      <c r="AX474" s="10">
        <v>45995</v>
      </c>
      <c r="AY474" s="9" t="s">
        <v>1382</v>
      </c>
      <c r="AZ474" s="9" t="s">
        <v>67</v>
      </c>
      <c r="BA474" s="9" t="s">
        <v>67</v>
      </c>
      <c r="BB474" s="12">
        <v>40</v>
      </c>
      <c r="BC474" s="9" t="s">
        <v>74</v>
      </c>
      <c r="BD474" s="9" t="s">
        <v>104</v>
      </c>
      <c r="BE474" s="9" t="s">
        <v>75</v>
      </c>
      <c r="BF474" s="11">
        <v>0</v>
      </c>
      <c r="BG474">
        <f t="shared" si="16"/>
        <v>12</v>
      </c>
      <c r="BH474" t="str">
        <f>VLOOKUP(BG474,[1]month!$A:$B,2,0)</f>
        <v>Desember</v>
      </c>
      <c r="BI474">
        <f t="shared" si="17"/>
        <v>2025</v>
      </c>
      <c r="BJ474" t="str">
        <f>VLOOKUP(I474,[1]Dist!$A:$B,2,0)</f>
        <v>Industry</v>
      </c>
      <c r="BK474" t="str">
        <f>IF(I474=11,VLOOKUP(Y474,[2]Sheet1!$C:$N,10,0),IF(I474=13,VLOOKUP(Y474,[3]Sheet1!$C:$N,10,0),IF(I474=15,VLOOKUP(Y474,[4]Sheet1!$C:$N,10,0),"Unknown")))</f>
        <v>NC</v>
      </c>
      <c r="BL474" t="str">
        <f>IF(I474=11,VLOOKUP(Y474,[2]Sheet1!$C:$N,12,0),IF(I474=13,VLOOKUP(Y474,[3]Sheet1!$C:$N,12,0),IF(I474=15,VLOOKUP(Y474,[4]Sheet1!$C:$N,12,0),"Unknown")))</f>
        <v>NC SYSTEM</v>
      </c>
      <c r="BM474" t="str">
        <f>VLOOKUP(W474,[1]branch!$A:$B,2,0)</f>
        <v>INDUSTRY</v>
      </c>
    </row>
    <row r="475" spans="1:65" x14ac:dyDescent="0.35">
      <c r="A475" s="10">
        <v>45996</v>
      </c>
      <c r="B475" s="9" t="s">
        <v>1380</v>
      </c>
      <c r="C475" s="9" t="s">
        <v>64</v>
      </c>
      <c r="D475" s="9" t="s">
        <v>92</v>
      </c>
      <c r="E475" s="11">
        <v>60</v>
      </c>
      <c r="F475" s="9" t="s">
        <v>93</v>
      </c>
      <c r="G475" s="9" t="s">
        <v>65</v>
      </c>
      <c r="H475" s="9" t="s">
        <v>66</v>
      </c>
      <c r="I475" s="9">
        <v>11</v>
      </c>
      <c r="J475" s="9" t="s">
        <v>713</v>
      </c>
      <c r="K475" s="9" t="s">
        <v>713</v>
      </c>
      <c r="L475" s="9" t="s">
        <v>713</v>
      </c>
      <c r="M475" s="9" t="s">
        <v>714</v>
      </c>
      <c r="N475" s="9" t="s">
        <v>877</v>
      </c>
      <c r="O475" s="9" t="s">
        <v>97</v>
      </c>
      <c r="P475" s="9" t="s">
        <v>67</v>
      </c>
      <c r="Q475" s="9" t="s">
        <v>98</v>
      </c>
      <c r="R475" s="9" t="s">
        <v>713</v>
      </c>
      <c r="S475" s="9" t="s">
        <v>714</v>
      </c>
      <c r="T475" s="9" t="s">
        <v>803</v>
      </c>
      <c r="U475" s="9" t="s">
        <v>67</v>
      </c>
      <c r="V475" s="9" t="s">
        <v>221</v>
      </c>
      <c r="W475" s="9" t="s">
        <v>222</v>
      </c>
      <c r="X475" s="11">
        <v>120</v>
      </c>
      <c r="Y475" s="9" t="s">
        <v>148</v>
      </c>
      <c r="Z475" s="9" t="s">
        <v>68</v>
      </c>
      <c r="AA475" s="9" t="s">
        <v>149</v>
      </c>
      <c r="AB475" s="9" t="s">
        <v>67</v>
      </c>
      <c r="AC475" s="9" t="s">
        <v>69</v>
      </c>
      <c r="AD475" s="11">
        <v>2</v>
      </c>
      <c r="AE475" s="9" t="s">
        <v>70</v>
      </c>
      <c r="AF475" s="9" t="s">
        <v>71</v>
      </c>
      <c r="AG475" s="13">
        <v>1</v>
      </c>
      <c r="AH475" s="9" t="s">
        <v>92</v>
      </c>
      <c r="AI475" s="13">
        <v>7992000</v>
      </c>
      <c r="AJ475" s="13">
        <v>15984000</v>
      </c>
      <c r="AK475" s="11">
        <v>0</v>
      </c>
      <c r="AL475" s="11">
        <v>0</v>
      </c>
      <c r="AM475" s="11">
        <v>0</v>
      </c>
      <c r="AN475" s="9" t="s">
        <v>67</v>
      </c>
      <c r="AO475" s="11">
        <v>15984000</v>
      </c>
      <c r="AP475" s="13">
        <v>1278720</v>
      </c>
      <c r="AQ475" s="13">
        <v>17262720</v>
      </c>
      <c r="AR475" s="11">
        <v>360</v>
      </c>
      <c r="AS475" s="9" t="s">
        <v>72</v>
      </c>
      <c r="AT475" s="11">
        <v>400</v>
      </c>
      <c r="AU475" s="9" t="s">
        <v>73</v>
      </c>
      <c r="AV475" s="9" t="s">
        <v>67</v>
      </c>
      <c r="AW475" s="9" t="s">
        <v>1381</v>
      </c>
      <c r="AX475" s="10">
        <v>45995</v>
      </c>
      <c r="AY475" s="9" t="s">
        <v>1382</v>
      </c>
      <c r="AZ475" s="9" t="s">
        <v>67</v>
      </c>
      <c r="BA475" s="9" t="s">
        <v>67</v>
      </c>
      <c r="BB475" s="12">
        <v>400</v>
      </c>
      <c r="BC475" s="9" t="s">
        <v>74</v>
      </c>
      <c r="BD475" s="9" t="s">
        <v>104</v>
      </c>
      <c r="BE475" s="9" t="s">
        <v>75</v>
      </c>
      <c r="BF475" s="11">
        <v>0</v>
      </c>
      <c r="BG475">
        <f t="shared" si="16"/>
        <v>12</v>
      </c>
      <c r="BH475" t="str">
        <f>VLOOKUP(BG475,[1]month!$A:$B,2,0)</f>
        <v>Desember</v>
      </c>
      <c r="BI475">
        <f t="shared" si="17"/>
        <v>2025</v>
      </c>
      <c r="BJ475" t="str">
        <f>VLOOKUP(I475,[1]Dist!$A:$B,2,0)</f>
        <v>Industry</v>
      </c>
      <c r="BK475" t="str">
        <f>IF(I475=11,VLOOKUP(Y475,[2]Sheet1!$C:$N,10,0),IF(I475=13,VLOOKUP(Y475,[3]Sheet1!$C:$N,10,0),IF(I475=15,VLOOKUP(Y475,[4]Sheet1!$C:$N,10,0),"Unknown")))</f>
        <v>THINNER NC</v>
      </c>
      <c r="BL475" t="str">
        <f>IF(I475=11,VLOOKUP(Y475,[2]Sheet1!$C:$N,12,0),IF(I475=13,VLOOKUP(Y475,[3]Sheet1!$C:$N,12,0),IF(I475=15,VLOOKUP(Y475,[4]Sheet1!$C:$N,12,0),"Unknown")))</f>
        <v>THINNER NC</v>
      </c>
      <c r="BM475" t="str">
        <f>VLOOKUP(W475,[1]branch!$A:$B,2,0)</f>
        <v>INDUSTRY</v>
      </c>
    </row>
    <row r="476" spans="1:65" x14ac:dyDescent="0.35">
      <c r="A476" s="10">
        <v>45996</v>
      </c>
      <c r="B476" s="9" t="s">
        <v>1380</v>
      </c>
      <c r="C476" s="9" t="s">
        <v>64</v>
      </c>
      <c r="D476" s="9" t="s">
        <v>92</v>
      </c>
      <c r="E476" s="11">
        <v>60</v>
      </c>
      <c r="F476" s="9" t="s">
        <v>93</v>
      </c>
      <c r="G476" s="9" t="s">
        <v>65</v>
      </c>
      <c r="H476" s="9" t="s">
        <v>66</v>
      </c>
      <c r="I476" s="9">
        <v>11</v>
      </c>
      <c r="J476" s="9" t="s">
        <v>713</v>
      </c>
      <c r="K476" s="9" t="s">
        <v>713</v>
      </c>
      <c r="L476" s="9" t="s">
        <v>713</v>
      </c>
      <c r="M476" s="9" t="s">
        <v>714</v>
      </c>
      <c r="N476" s="9" t="s">
        <v>877</v>
      </c>
      <c r="O476" s="9" t="s">
        <v>97</v>
      </c>
      <c r="P476" s="9" t="s">
        <v>67</v>
      </c>
      <c r="Q476" s="9" t="s">
        <v>98</v>
      </c>
      <c r="R476" s="9" t="s">
        <v>713</v>
      </c>
      <c r="S476" s="9" t="s">
        <v>714</v>
      </c>
      <c r="T476" s="9" t="s">
        <v>803</v>
      </c>
      <c r="U476" s="9" t="s">
        <v>67</v>
      </c>
      <c r="V476" s="9" t="s">
        <v>221</v>
      </c>
      <c r="W476" s="9" t="s">
        <v>222</v>
      </c>
      <c r="X476" s="11">
        <v>130</v>
      </c>
      <c r="Y476" s="9" t="s">
        <v>1389</v>
      </c>
      <c r="Z476" s="9" t="s">
        <v>68</v>
      </c>
      <c r="AA476" s="9" t="s">
        <v>1390</v>
      </c>
      <c r="AB476" s="9" t="s">
        <v>67</v>
      </c>
      <c r="AC476" s="9" t="s">
        <v>79</v>
      </c>
      <c r="AD476" s="11">
        <v>1</v>
      </c>
      <c r="AE476" s="9" t="s">
        <v>70</v>
      </c>
      <c r="AF476" s="9" t="s">
        <v>71</v>
      </c>
      <c r="AG476" s="13">
        <v>1</v>
      </c>
      <c r="AH476" s="9" t="s">
        <v>92</v>
      </c>
      <c r="AI476" s="13">
        <v>1072000</v>
      </c>
      <c r="AJ476" s="13">
        <v>1072000</v>
      </c>
      <c r="AK476" s="11">
        <v>0</v>
      </c>
      <c r="AL476" s="11">
        <v>0</v>
      </c>
      <c r="AM476" s="11">
        <v>0</v>
      </c>
      <c r="AN476" s="9" t="s">
        <v>67</v>
      </c>
      <c r="AO476" s="11">
        <v>1072000</v>
      </c>
      <c r="AP476" s="13">
        <v>85760</v>
      </c>
      <c r="AQ476" s="13">
        <v>1157760</v>
      </c>
      <c r="AR476" s="12">
        <v>17.5</v>
      </c>
      <c r="AS476" s="9" t="s">
        <v>72</v>
      </c>
      <c r="AT476" s="11">
        <v>20</v>
      </c>
      <c r="AU476" s="9" t="s">
        <v>73</v>
      </c>
      <c r="AV476" s="9" t="s">
        <v>67</v>
      </c>
      <c r="AW476" s="9" t="s">
        <v>1381</v>
      </c>
      <c r="AX476" s="10">
        <v>45995</v>
      </c>
      <c r="AY476" s="9" t="s">
        <v>1382</v>
      </c>
      <c r="AZ476" s="9" t="s">
        <v>67</v>
      </c>
      <c r="BA476" s="9" t="s">
        <v>67</v>
      </c>
      <c r="BB476" s="12">
        <v>20</v>
      </c>
      <c r="BC476" s="9" t="s">
        <v>74</v>
      </c>
      <c r="BD476" s="9" t="s">
        <v>104</v>
      </c>
      <c r="BE476" s="9" t="s">
        <v>75</v>
      </c>
      <c r="BF476" s="11">
        <v>0</v>
      </c>
      <c r="BG476">
        <f t="shared" si="16"/>
        <v>12</v>
      </c>
      <c r="BH476" t="str">
        <f>VLOOKUP(BG476,[1]month!$A:$B,2,0)</f>
        <v>Desember</v>
      </c>
      <c r="BI476">
        <f t="shared" si="17"/>
        <v>2025</v>
      </c>
      <c r="BJ476" t="str">
        <f>VLOOKUP(I476,[1]Dist!$A:$B,2,0)</f>
        <v>Industry</v>
      </c>
      <c r="BK476" t="str">
        <f>IF(I476=11,VLOOKUP(Y476,[2]Sheet1!$C:$N,10,0),IF(I476=13,VLOOKUP(Y476,[3]Sheet1!$C:$N,10,0),IF(I476=15,VLOOKUP(Y476,[4]Sheet1!$C:$N,10,0),"Unknown")))</f>
        <v>THINNER NC</v>
      </c>
      <c r="BL476" t="str">
        <f>IF(I476=11,VLOOKUP(Y476,[2]Sheet1!$C:$N,12,0),IF(I476=13,VLOOKUP(Y476,[3]Sheet1!$C:$N,12,0),IF(I476=15,VLOOKUP(Y476,[4]Sheet1!$C:$N,12,0),"Unknown")))</f>
        <v>THINNER GLAZE</v>
      </c>
      <c r="BM476" t="str">
        <f>VLOOKUP(W476,[1]branch!$A:$B,2,0)</f>
        <v>INDUSTRY</v>
      </c>
    </row>
    <row r="477" spans="1:65" x14ac:dyDescent="0.35">
      <c r="A477" s="10">
        <v>45996</v>
      </c>
      <c r="B477" s="9" t="s">
        <v>1380</v>
      </c>
      <c r="C477" s="9" t="s">
        <v>64</v>
      </c>
      <c r="D477" s="9" t="s">
        <v>92</v>
      </c>
      <c r="E477" s="11">
        <v>60</v>
      </c>
      <c r="F477" s="9" t="s">
        <v>93</v>
      </c>
      <c r="G477" s="9" t="s">
        <v>65</v>
      </c>
      <c r="H477" s="9" t="s">
        <v>66</v>
      </c>
      <c r="I477" s="9">
        <v>11</v>
      </c>
      <c r="J477" s="9" t="s">
        <v>713</v>
      </c>
      <c r="K477" s="9" t="s">
        <v>713</v>
      </c>
      <c r="L477" s="9" t="s">
        <v>713</v>
      </c>
      <c r="M477" s="9" t="s">
        <v>714</v>
      </c>
      <c r="N477" s="9" t="s">
        <v>877</v>
      </c>
      <c r="O477" s="9" t="s">
        <v>97</v>
      </c>
      <c r="P477" s="9" t="s">
        <v>67</v>
      </c>
      <c r="Q477" s="9" t="s">
        <v>98</v>
      </c>
      <c r="R477" s="9" t="s">
        <v>713</v>
      </c>
      <c r="S477" s="9" t="s">
        <v>714</v>
      </c>
      <c r="T477" s="9" t="s">
        <v>803</v>
      </c>
      <c r="U477" s="9" t="s">
        <v>67</v>
      </c>
      <c r="V477" s="9" t="s">
        <v>221</v>
      </c>
      <c r="W477" s="9" t="s">
        <v>222</v>
      </c>
      <c r="X477" s="11">
        <v>140</v>
      </c>
      <c r="Y477" s="9" t="s">
        <v>365</v>
      </c>
      <c r="Z477" s="9" t="s">
        <v>68</v>
      </c>
      <c r="AA477" s="9" t="s">
        <v>366</v>
      </c>
      <c r="AB477" s="9" t="s">
        <v>67</v>
      </c>
      <c r="AC477" s="9" t="s">
        <v>357</v>
      </c>
      <c r="AD477" s="11">
        <v>10</v>
      </c>
      <c r="AE477" s="9" t="s">
        <v>70</v>
      </c>
      <c r="AF477" s="9" t="s">
        <v>71</v>
      </c>
      <c r="AG477" s="13">
        <v>1</v>
      </c>
      <c r="AH477" s="9" t="s">
        <v>92</v>
      </c>
      <c r="AI477" s="13">
        <v>1470500</v>
      </c>
      <c r="AJ477" s="13">
        <v>14705000</v>
      </c>
      <c r="AK477" s="11">
        <v>0</v>
      </c>
      <c r="AL477" s="11">
        <v>0</v>
      </c>
      <c r="AM477" s="11">
        <v>0</v>
      </c>
      <c r="AN477" s="9" t="s">
        <v>67</v>
      </c>
      <c r="AO477" s="11">
        <v>14705000</v>
      </c>
      <c r="AP477" s="13">
        <v>1176400</v>
      </c>
      <c r="AQ477" s="13">
        <v>15881400</v>
      </c>
      <c r="AR477" s="11">
        <v>196</v>
      </c>
      <c r="AS477" s="9" t="s">
        <v>72</v>
      </c>
      <c r="AT477" s="11">
        <v>200</v>
      </c>
      <c r="AU477" s="9" t="s">
        <v>73</v>
      </c>
      <c r="AV477" s="9" t="s">
        <v>67</v>
      </c>
      <c r="AW477" s="9" t="s">
        <v>1381</v>
      </c>
      <c r="AX477" s="10">
        <v>45995</v>
      </c>
      <c r="AY477" s="9" t="s">
        <v>1382</v>
      </c>
      <c r="AZ477" s="9" t="s">
        <v>67</v>
      </c>
      <c r="BA477" s="9" t="s">
        <v>67</v>
      </c>
      <c r="BB477" s="12">
        <v>200</v>
      </c>
      <c r="BC477" s="9" t="s">
        <v>74</v>
      </c>
      <c r="BD477" s="9" t="s">
        <v>104</v>
      </c>
      <c r="BE477" s="9" t="s">
        <v>75</v>
      </c>
      <c r="BF477" s="11">
        <v>0</v>
      </c>
      <c r="BG477">
        <f t="shared" si="16"/>
        <v>12</v>
      </c>
      <c r="BH477" t="str">
        <f>VLOOKUP(BG477,[1]month!$A:$B,2,0)</f>
        <v>Desember</v>
      </c>
      <c r="BI477">
        <f t="shared" si="17"/>
        <v>2025</v>
      </c>
      <c r="BJ477" t="str">
        <f>VLOOKUP(I477,[1]Dist!$A:$B,2,0)</f>
        <v>Industry</v>
      </c>
      <c r="BK477" t="str">
        <f>IF(I477=11,VLOOKUP(Y477,[2]Sheet1!$C:$N,10,0),IF(I477=13,VLOOKUP(Y477,[3]Sheet1!$C:$N,10,0),IF(I477=15,VLOOKUP(Y477,[4]Sheet1!$C:$N,10,0),"Unknown")))</f>
        <v>NC</v>
      </c>
      <c r="BL477" t="str">
        <f>IF(I477=11,VLOOKUP(Y477,[2]Sheet1!$C:$N,12,0),IF(I477=13,VLOOKUP(Y477,[3]Sheet1!$C:$N,12,0),IF(I477=15,VLOOKUP(Y477,[4]Sheet1!$C:$N,12,0),"Unknown")))</f>
        <v>NC SYSTEM</v>
      </c>
      <c r="BM477" t="str">
        <f>VLOOKUP(W477,[1]branch!$A:$B,2,0)</f>
        <v>INDUSTRY</v>
      </c>
    </row>
    <row r="478" spans="1:65" x14ac:dyDescent="0.35">
      <c r="A478" s="10">
        <v>45996</v>
      </c>
      <c r="B478" s="9" t="s">
        <v>1391</v>
      </c>
      <c r="C478" s="9" t="s">
        <v>64</v>
      </c>
      <c r="D478" s="9" t="s">
        <v>92</v>
      </c>
      <c r="E478" s="11">
        <v>60</v>
      </c>
      <c r="F478" s="9" t="s">
        <v>93</v>
      </c>
      <c r="G478" s="9" t="s">
        <v>65</v>
      </c>
      <c r="H478" s="9" t="s">
        <v>66</v>
      </c>
      <c r="I478" s="9">
        <v>11</v>
      </c>
      <c r="J478" s="9" t="s">
        <v>275</v>
      </c>
      <c r="K478" s="9" t="s">
        <v>275</v>
      </c>
      <c r="L478" s="9" t="s">
        <v>275</v>
      </c>
      <c r="M478" s="9" t="s">
        <v>276</v>
      </c>
      <c r="N478" s="9" t="s">
        <v>876</v>
      </c>
      <c r="O478" s="9" t="s">
        <v>97</v>
      </c>
      <c r="P478" s="9" t="s">
        <v>67</v>
      </c>
      <c r="Q478" s="9" t="s">
        <v>98</v>
      </c>
      <c r="R478" s="9" t="s">
        <v>275</v>
      </c>
      <c r="S478" s="9" t="s">
        <v>276</v>
      </c>
      <c r="T478" s="9" t="s">
        <v>800</v>
      </c>
      <c r="U478" s="9" t="s">
        <v>67</v>
      </c>
      <c r="V478" s="9" t="s">
        <v>130</v>
      </c>
      <c r="W478" s="9" t="s">
        <v>131</v>
      </c>
      <c r="X478" s="11">
        <v>10</v>
      </c>
      <c r="Y478" s="9" t="s">
        <v>1392</v>
      </c>
      <c r="Z478" s="9" t="s">
        <v>68</v>
      </c>
      <c r="AA478" s="9" t="s">
        <v>1393</v>
      </c>
      <c r="AB478" s="9" t="s">
        <v>67</v>
      </c>
      <c r="AC478" s="9" t="s">
        <v>237</v>
      </c>
      <c r="AD478" s="11">
        <v>2</v>
      </c>
      <c r="AE478" s="9" t="s">
        <v>70</v>
      </c>
      <c r="AF478" s="9" t="s">
        <v>71</v>
      </c>
      <c r="AG478" s="13">
        <v>1</v>
      </c>
      <c r="AH478" s="9" t="s">
        <v>92</v>
      </c>
      <c r="AI478" s="13">
        <v>1196400</v>
      </c>
      <c r="AJ478" s="13">
        <v>2392800</v>
      </c>
      <c r="AK478" s="11">
        <v>0</v>
      </c>
      <c r="AL478" s="11">
        <v>0</v>
      </c>
      <c r="AM478" s="11">
        <v>0</v>
      </c>
      <c r="AN478" s="9" t="s">
        <v>67</v>
      </c>
      <c r="AO478" s="11">
        <v>2392800</v>
      </c>
      <c r="AP478" s="13">
        <v>191424</v>
      </c>
      <c r="AQ478" s="13">
        <v>2584224</v>
      </c>
      <c r="AR478" s="11">
        <v>8</v>
      </c>
      <c r="AS478" s="9" t="s">
        <v>72</v>
      </c>
      <c r="AT478" s="12">
        <v>8.52</v>
      </c>
      <c r="AU478" s="9" t="s">
        <v>73</v>
      </c>
      <c r="AV478" s="9" t="s">
        <v>67</v>
      </c>
      <c r="AW478" s="9" t="s">
        <v>1170</v>
      </c>
      <c r="AX478" s="10">
        <v>45993</v>
      </c>
      <c r="AY478" s="9" t="s">
        <v>1394</v>
      </c>
      <c r="AZ478" s="9" t="s">
        <v>67</v>
      </c>
      <c r="BA478" s="9" t="s">
        <v>67</v>
      </c>
      <c r="BB478" s="12">
        <v>8</v>
      </c>
      <c r="BC478" s="9" t="s">
        <v>74</v>
      </c>
      <c r="BD478" s="9" t="s">
        <v>104</v>
      </c>
      <c r="BE478" s="9" t="s">
        <v>75</v>
      </c>
      <c r="BF478" s="11">
        <v>0</v>
      </c>
      <c r="BG478">
        <f t="shared" si="16"/>
        <v>12</v>
      </c>
      <c r="BH478" t="str">
        <f>VLOOKUP(BG478,[1]month!$A:$B,2,0)</f>
        <v>Desember</v>
      </c>
      <c r="BI478">
        <f t="shared" si="17"/>
        <v>2025</v>
      </c>
      <c r="BJ478" t="str">
        <f>VLOOKUP(I478,[1]Dist!$A:$B,2,0)</f>
        <v>Industry</v>
      </c>
      <c r="BK478" t="str">
        <f>IF(I478=11,VLOOKUP(Y478,[2]Sheet1!$C:$N,10,0),IF(I478=13,VLOOKUP(Y478,[3]Sheet1!$C:$N,10,0),IF(I478=15,VLOOKUP(Y478,[4]Sheet1!$C:$N,10,0),"Unknown")))</f>
        <v>COMPLEMENTARY</v>
      </c>
      <c r="BL478" t="str">
        <f>IF(I478=11,VLOOKUP(Y478,[2]Sheet1!$C:$N,12,0),IF(I478=13,VLOOKUP(Y478,[3]Sheet1!$C:$N,12,0),IF(I478=15,VLOOKUP(Y478,[4]Sheet1!$C:$N,12,0),"Unknown")))</f>
        <v>PASTA</v>
      </c>
      <c r="BM478" t="str">
        <f>VLOOKUP(W478,[1]branch!$A:$B,2,0)</f>
        <v>INDUSTRY</v>
      </c>
    </row>
    <row r="479" spans="1:65" x14ac:dyDescent="0.35">
      <c r="A479" s="10">
        <v>45996</v>
      </c>
      <c r="B479" s="9" t="s">
        <v>1391</v>
      </c>
      <c r="C479" s="9" t="s">
        <v>64</v>
      </c>
      <c r="D479" s="9" t="s">
        <v>92</v>
      </c>
      <c r="E479" s="11">
        <v>60</v>
      </c>
      <c r="F479" s="9" t="s">
        <v>93</v>
      </c>
      <c r="G479" s="9" t="s">
        <v>65</v>
      </c>
      <c r="H479" s="9" t="s">
        <v>66</v>
      </c>
      <c r="I479" s="9">
        <v>11</v>
      </c>
      <c r="J479" s="9" t="s">
        <v>275</v>
      </c>
      <c r="K479" s="9" t="s">
        <v>275</v>
      </c>
      <c r="L479" s="9" t="s">
        <v>275</v>
      </c>
      <c r="M479" s="9" t="s">
        <v>276</v>
      </c>
      <c r="N479" s="9" t="s">
        <v>876</v>
      </c>
      <c r="O479" s="9" t="s">
        <v>97</v>
      </c>
      <c r="P479" s="9" t="s">
        <v>67</v>
      </c>
      <c r="Q479" s="9" t="s">
        <v>98</v>
      </c>
      <c r="R479" s="9" t="s">
        <v>275</v>
      </c>
      <c r="S479" s="9" t="s">
        <v>276</v>
      </c>
      <c r="T479" s="9" t="s">
        <v>800</v>
      </c>
      <c r="U479" s="9" t="s">
        <v>67</v>
      </c>
      <c r="V479" s="9" t="s">
        <v>130</v>
      </c>
      <c r="W479" s="9" t="s">
        <v>131</v>
      </c>
      <c r="X479" s="11">
        <v>170</v>
      </c>
      <c r="Y479" s="9" t="s">
        <v>363</v>
      </c>
      <c r="Z479" s="9" t="s">
        <v>68</v>
      </c>
      <c r="AA479" s="9" t="s">
        <v>364</v>
      </c>
      <c r="AB479" s="9" t="s">
        <v>67</v>
      </c>
      <c r="AC479" s="9" t="s">
        <v>91</v>
      </c>
      <c r="AD479" s="11">
        <v>12</v>
      </c>
      <c r="AE479" s="9" t="s">
        <v>70</v>
      </c>
      <c r="AF479" s="9" t="s">
        <v>71</v>
      </c>
      <c r="AG479" s="13">
        <v>1</v>
      </c>
      <c r="AH479" s="9" t="s">
        <v>92</v>
      </c>
      <c r="AI479" s="13">
        <v>681200</v>
      </c>
      <c r="AJ479" s="13">
        <v>8174400</v>
      </c>
      <c r="AK479" s="11">
        <v>0</v>
      </c>
      <c r="AL479" s="11">
        <v>0</v>
      </c>
      <c r="AM479" s="11">
        <v>0</v>
      </c>
      <c r="AN479" s="9" t="s">
        <v>67</v>
      </c>
      <c r="AO479" s="11">
        <v>8174400</v>
      </c>
      <c r="AP479" s="13">
        <v>653952</v>
      </c>
      <c r="AQ479" s="13">
        <v>8828352</v>
      </c>
      <c r="AR479" s="11">
        <v>48</v>
      </c>
      <c r="AS479" s="9" t="s">
        <v>72</v>
      </c>
      <c r="AT479" s="12">
        <v>29.28</v>
      </c>
      <c r="AU479" s="9" t="s">
        <v>73</v>
      </c>
      <c r="AV479" s="9" t="s">
        <v>67</v>
      </c>
      <c r="AW479" s="9" t="s">
        <v>1170</v>
      </c>
      <c r="AX479" s="10">
        <v>45993</v>
      </c>
      <c r="AY479" s="9" t="s">
        <v>1394</v>
      </c>
      <c r="AZ479" s="9" t="s">
        <v>67</v>
      </c>
      <c r="BA479" s="9" t="s">
        <v>67</v>
      </c>
      <c r="BB479" s="12">
        <v>48</v>
      </c>
      <c r="BC479" s="9" t="s">
        <v>74</v>
      </c>
      <c r="BD479" s="9" t="s">
        <v>104</v>
      </c>
      <c r="BE479" s="9" t="s">
        <v>75</v>
      </c>
      <c r="BF479" s="11">
        <v>0</v>
      </c>
      <c r="BG479">
        <f t="shared" si="16"/>
        <v>12</v>
      </c>
      <c r="BH479" t="str">
        <f>VLOOKUP(BG479,[1]month!$A:$B,2,0)</f>
        <v>Desember</v>
      </c>
      <c r="BI479">
        <f t="shared" si="17"/>
        <v>2025</v>
      </c>
      <c r="BJ479" t="str">
        <f>VLOOKUP(I479,[1]Dist!$A:$B,2,0)</f>
        <v>Industry</v>
      </c>
      <c r="BK479" t="str">
        <f>IF(I479=11,VLOOKUP(Y479,[2]Sheet1!$C:$N,10,0),IF(I479=13,VLOOKUP(Y479,[3]Sheet1!$C:$N,10,0),IF(I479=15,VLOOKUP(Y479,[4]Sheet1!$C:$N,10,0),"Unknown")))</f>
        <v>COMPLEMENTARY</v>
      </c>
      <c r="BL479" t="str">
        <f>IF(I479=11,VLOOKUP(Y479,[2]Sheet1!$C:$N,12,0),IF(I479=13,VLOOKUP(Y479,[3]Sheet1!$C:$N,12,0),IF(I479=15,VLOOKUP(Y479,[4]Sheet1!$C:$N,12,0),"Unknown")))</f>
        <v>PASTA</v>
      </c>
      <c r="BM479" t="str">
        <f>VLOOKUP(W479,[1]branch!$A:$B,2,0)</f>
        <v>INDUSTRY</v>
      </c>
    </row>
    <row r="480" spans="1:65" x14ac:dyDescent="0.35">
      <c r="A480" s="10">
        <v>45996</v>
      </c>
      <c r="B480" s="9" t="s">
        <v>1395</v>
      </c>
      <c r="C480" s="9" t="s">
        <v>64</v>
      </c>
      <c r="D480" s="9" t="s">
        <v>92</v>
      </c>
      <c r="E480" s="11">
        <v>30</v>
      </c>
      <c r="F480" s="9" t="s">
        <v>93</v>
      </c>
      <c r="G480" s="9" t="s">
        <v>65</v>
      </c>
      <c r="H480" s="9" t="s">
        <v>66</v>
      </c>
      <c r="I480" s="9">
        <v>11</v>
      </c>
      <c r="J480" s="9" t="s">
        <v>1396</v>
      </c>
      <c r="K480" s="9" t="s">
        <v>1396</v>
      </c>
      <c r="L480" s="9" t="s">
        <v>1396</v>
      </c>
      <c r="M480" s="9" t="s">
        <v>1397</v>
      </c>
      <c r="N480" s="9" t="s">
        <v>1398</v>
      </c>
      <c r="O480" s="9" t="s">
        <v>97</v>
      </c>
      <c r="P480" s="9" t="s">
        <v>67</v>
      </c>
      <c r="Q480" s="9" t="s">
        <v>98</v>
      </c>
      <c r="R480" s="9" t="s">
        <v>1396</v>
      </c>
      <c r="S480" s="9" t="s">
        <v>1397</v>
      </c>
      <c r="T480" s="9" t="s">
        <v>1399</v>
      </c>
      <c r="U480" s="9" t="s">
        <v>67</v>
      </c>
      <c r="V480" s="9" t="s">
        <v>221</v>
      </c>
      <c r="W480" s="9" t="s">
        <v>222</v>
      </c>
      <c r="X480" s="11">
        <v>10</v>
      </c>
      <c r="Y480" s="9" t="s">
        <v>1400</v>
      </c>
      <c r="Z480" s="9" t="s">
        <v>68</v>
      </c>
      <c r="AA480" s="9" t="s">
        <v>1401</v>
      </c>
      <c r="AB480" s="9" t="s">
        <v>67</v>
      </c>
      <c r="AC480" s="9" t="s">
        <v>1402</v>
      </c>
      <c r="AD480" s="11">
        <v>2</v>
      </c>
      <c r="AE480" s="9" t="s">
        <v>70</v>
      </c>
      <c r="AF480" s="9" t="s">
        <v>71</v>
      </c>
      <c r="AG480" s="13">
        <v>1</v>
      </c>
      <c r="AH480" s="9" t="s">
        <v>92</v>
      </c>
      <c r="AI480" s="13">
        <v>2121600</v>
      </c>
      <c r="AJ480" s="13">
        <v>4243200</v>
      </c>
      <c r="AK480" s="11">
        <v>0</v>
      </c>
      <c r="AL480" s="11">
        <v>0</v>
      </c>
      <c r="AM480" s="11">
        <v>0</v>
      </c>
      <c r="AN480" s="9" t="s">
        <v>67</v>
      </c>
      <c r="AO480" s="11">
        <v>4243200</v>
      </c>
      <c r="AP480" s="13">
        <v>339456</v>
      </c>
      <c r="AQ480" s="13">
        <v>4582656</v>
      </c>
      <c r="AR480" s="11">
        <v>32</v>
      </c>
      <c r="AS480" s="9" t="s">
        <v>72</v>
      </c>
      <c r="AT480" s="12">
        <v>33.340000000000003</v>
      </c>
      <c r="AU480" s="9" t="s">
        <v>73</v>
      </c>
      <c r="AV480" s="9" t="s">
        <v>67</v>
      </c>
      <c r="AW480" s="9" t="s">
        <v>1403</v>
      </c>
      <c r="AX480" s="10">
        <v>45987</v>
      </c>
      <c r="AY480" s="9" t="s">
        <v>1404</v>
      </c>
      <c r="AZ480" s="9" t="s">
        <v>67</v>
      </c>
      <c r="BA480" s="9" t="s">
        <v>67</v>
      </c>
      <c r="BB480" s="12">
        <v>32</v>
      </c>
      <c r="BC480" s="9" t="s">
        <v>74</v>
      </c>
      <c r="BD480" s="9" t="s">
        <v>104</v>
      </c>
      <c r="BE480" s="9" t="s">
        <v>75</v>
      </c>
      <c r="BF480" s="11">
        <v>0</v>
      </c>
      <c r="BG480">
        <f t="shared" si="16"/>
        <v>12</v>
      </c>
      <c r="BH480" t="str">
        <f>VLOOKUP(BG480,[1]month!$A:$B,2,0)</f>
        <v>Desember</v>
      </c>
      <c r="BI480">
        <f t="shared" si="17"/>
        <v>2025</v>
      </c>
      <c r="BJ480" t="str">
        <f>VLOOKUP(I480,[1]Dist!$A:$B,2,0)</f>
        <v>Industry</v>
      </c>
      <c r="BK480" t="str">
        <f>IF(I480=11,VLOOKUP(Y480,[2]Sheet1!$C:$N,10,0),IF(I480=13,VLOOKUP(Y480,[3]Sheet1!$C:$N,10,0),IF(I480=15,VLOOKUP(Y480,[4]Sheet1!$C:$N,10,0),"Unknown")))</f>
        <v>METAL COATINGS</v>
      </c>
      <c r="BL480" t="str">
        <f>IF(I480=11,VLOOKUP(Y480,[2]Sheet1!$C:$N,12,0),IF(I480=13,VLOOKUP(Y480,[3]Sheet1!$C:$N,12,0),IF(I480=15,VLOOKUP(Y480,[4]Sheet1!$C:$N,12,0),"Unknown")))</f>
        <v>METAL COATINGS</v>
      </c>
      <c r="BM480" t="str">
        <f>VLOOKUP(W480,[1]branch!$A:$B,2,0)</f>
        <v>INDUSTRY</v>
      </c>
    </row>
    <row r="481" spans="1:65" x14ac:dyDescent="0.35">
      <c r="A481" s="10">
        <v>45996</v>
      </c>
      <c r="B481" s="9" t="s">
        <v>1395</v>
      </c>
      <c r="C481" s="9" t="s">
        <v>64</v>
      </c>
      <c r="D481" s="9" t="s">
        <v>92</v>
      </c>
      <c r="E481" s="11">
        <v>30</v>
      </c>
      <c r="F481" s="9" t="s">
        <v>93</v>
      </c>
      <c r="G481" s="9" t="s">
        <v>65</v>
      </c>
      <c r="H481" s="9" t="s">
        <v>66</v>
      </c>
      <c r="I481" s="9">
        <v>11</v>
      </c>
      <c r="J481" s="9" t="s">
        <v>1396</v>
      </c>
      <c r="K481" s="9" t="s">
        <v>1396</v>
      </c>
      <c r="L481" s="9" t="s">
        <v>1396</v>
      </c>
      <c r="M481" s="9" t="s">
        <v>1397</v>
      </c>
      <c r="N481" s="9" t="s">
        <v>1398</v>
      </c>
      <c r="O481" s="9" t="s">
        <v>97</v>
      </c>
      <c r="P481" s="9" t="s">
        <v>67</v>
      </c>
      <c r="Q481" s="9" t="s">
        <v>98</v>
      </c>
      <c r="R481" s="9" t="s">
        <v>1396</v>
      </c>
      <c r="S481" s="9" t="s">
        <v>1397</v>
      </c>
      <c r="T481" s="9" t="s">
        <v>1399</v>
      </c>
      <c r="U481" s="9" t="s">
        <v>67</v>
      </c>
      <c r="V481" s="9" t="s">
        <v>221</v>
      </c>
      <c r="W481" s="9" t="s">
        <v>222</v>
      </c>
      <c r="X481" s="11">
        <v>20</v>
      </c>
      <c r="Y481" s="9" t="s">
        <v>568</v>
      </c>
      <c r="Z481" s="9" t="s">
        <v>68</v>
      </c>
      <c r="AA481" s="9" t="s">
        <v>569</v>
      </c>
      <c r="AB481" s="9" t="s">
        <v>67</v>
      </c>
      <c r="AC481" s="9" t="s">
        <v>570</v>
      </c>
      <c r="AD481" s="11">
        <v>2</v>
      </c>
      <c r="AE481" s="9" t="s">
        <v>70</v>
      </c>
      <c r="AF481" s="9" t="s">
        <v>71</v>
      </c>
      <c r="AG481" s="13">
        <v>1</v>
      </c>
      <c r="AH481" s="9" t="s">
        <v>92</v>
      </c>
      <c r="AI481" s="13">
        <v>784400</v>
      </c>
      <c r="AJ481" s="13">
        <v>1568800</v>
      </c>
      <c r="AK481" s="11">
        <v>0</v>
      </c>
      <c r="AL481" s="11">
        <v>0</v>
      </c>
      <c r="AM481" s="11">
        <v>0</v>
      </c>
      <c r="AN481" s="9" t="s">
        <v>67</v>
      </c>
      <c r="AO481" s="11">
        <v>1568800</v>
      </c>
      <c r="AP481" s="13">
        <v>125504</v>
      </c>
      <c r="AQ481" s="13">
        <v>1694304</v>
      </c>
      <c r="AR481" s="11">
        <v>8</v>
      </c>
      <c r="AS481" s="9" t="s">
        <v>72</v>
      </c>
      <c r="AT481" s="12">
        <v>7.7</v>
      </c>
      <c r="AU481" s="9" t="s">
        <v>73</v>
      </c>
      <c r="AV481" s="9" t="s">
        <v>67</v>
      </c>
      <c r="AW481" s="9" t="s">
        <v>1403</v>
      </c>
      <c r="AX481" s="10">
        <v>45987</v>
      </c>
      <c r="AY481" s="9" t="s">
        <v>1404</v>
      </c>
      <c r="AZ481" s="9" t="s">
        <v>67</v>
      </c>
      <c r="BA481" s="9" t="s">
        <v>67</v>
      </c>
      <c r="BB481" s="12">
        <v>8</v>
      </c>
      <c r="BC481" s="9" t="s">
        <v>74</v>
      </c>
      <c r="BD481" s="9" t="s">
        <v>104</v>
      </c>
      <c r="BE481" s="9" t="s">
        <v>75</v>
      </c>
      <c r="BF481" s="11">
        <v>0</v>
      </c>
      <c r="BG481">
        <f t="shared" si="16"/>
        <v>12</v>
      </c>
      <c r="BH481" t="str">
        <f>VLOOKUP(BG481,[1]month!$A:$B,2,0)</f>
        <v>Desember</v>
      </c>
      <c r="BI481">
        <f t="shared" si="17"/>
        <v>2025</v>
      </c>
      <c r="BJ481" t="str">
        <f>VLOOKUP(I481,[1]Dist!$A:$B,2,0)</f>
        <v>Industry</v>
      </c>
      <c r="BK481" t="str">
        <f>IF(I481=11,VLOOKUP(Y481,[2]Sheet1!$C:$N,10,0),IF(I481=13,VLOOKUP(Y481,[3]Sheet1!$C:$N,10,0),IF(I481=15,VLOOKUP(Y481,[4]Sheet1!$C:$N,10,0),"Unknown")))</f>
        <v>METAL COATINGS</v>
      </c>
      <c r="BL481" t="str">
        <f>IF(I481=11,VLOOKUP(Y481,[2]Sheet1!$C:$N,12,0),IF(I481=13,VLOOKUP(Y481,[3]Sheet1!$C:$N,12,0),IF(I481=15,VLOOKUP(Y481,[4]Sheet1!$C:$N,12,0),"Unknown")))</f>
        <v>METAL COATINGS</v>
      </c>
      <c r="BM481" t="str">
        <f>VLOOKUP(W481,[1]branch!$A:$B,2,0)</f>
        <v>INDUSTRY</v>
      </c>
    </row>
    <row r="482" spans="1:65" x14ac:dyDescent="0.35">
      <c r="A482" s="10">
        <v>45996</v>
      </c>
      <c r="B482" s="9" t="s">
        <v>1405</v>
      </c>
      <c r="C482" s="9" t="s">
        <v>64</v>
      </c>
      <c r="D482" s="9" t="s">
        <v>92</v>
      </c>
      <c r="E482" s="11">
        <v>30</v>
      </c>
      <c r="F482" s="9" t="s">
        <v>93</v>
      </c>
      <c r="G482" s="9" t="s">
        <v>65</v>
      </c>
      <c r="H482" s="9" t="s">
        <v>66</v>
      </c>
      <c r="I482" s="9">
        <v>11</v>
      </c>
      <c r="J482" s="9" t="s">
        <v>1396</v>
      </c>
      <c r="K482" s="9" t="s">
        <v>1396</v>
      </c>
      <c r="L482" s="9" t="s">
        <v>1396</v>
      </c>
      <c r="M482" s="9" t="s">
        <v>1397</v>
      </c>
      <c r="N482" s="9" t="s">
        <v>1398</v>
      </c>
      <c r="O482" s="9" t="s">
        <v>97</v>
      </c>
      <c r="P482" s="9" t="s">
        <v>67</v>
      </c>
      <c r="Q482" s="9" t="s">
        <v>98</v>
      </c>
      <c r="R482" s="9" t="s">
        <v>1396</v>
      </c>
      <c r="S482" s="9" t="s">
        <v>1397</v>
      </c>
      <c r="T482" s="9" t="s">
        <v>1399</v>
      </c>
      <c r="U482" s="9" t="s">
        <v>67</v>
      </c>
      <c r="V482" s="9" t="s">
        <v>221</v>
      </c>
      <c r="W482" s="9" t="s">
        <v>222</v>
      </c>
      <c r="X482" s="11">
        <v>20</v>
      </c>
      <c r="Y482" s="9" t="s">
        <v>435</v>
      </c>
      <c r="Z482" s="9" t="s">
        <v>68</v>
      </c>
      <c r="AA482" s="9" t="s">
        <v>436</v>
      </c>
      <c r="AB482" s="9" t="s">
        <v>67</v>
      </c>
      <c r="AC482" s="9" t="s">
        <v>254</v>
      </c>
      <c r="AD482" s="11">
        <v>1</v>
      </c>
      <c r="AE482" s="9" t="s">
        <v>70</v>
      </c>
      <c r="AF482" s="9" t="s">
        <v>71</v>
      </c>
      <c r="AG482" s="13">
        <v>1</v>
      </c>
      <c r="AH482" s="9" t="s">
        <v>92</v>
      </c>
      <c r="AI482" s="13">
        <v>2022000</v>
      </c>
      <c r="AJ482" s="13">
        <v>2022000</v>
      </c>
      <c r="AK482" s="11">
        <v>0</v>
      </c>
      <c r="AL482" s="11">
        <v>0</v>
      </c>
      <c r="AM482" s="11">
        <v>0</v>
      </c>
      <c r="AN482" s="9" t="s">
        <v>67</v>
      </c>
      <c r="AO482" s="11">
        <v>2022000</v>
      </c>
      <c r="AP482" s="13">
        <v>161760</v>
      </c>
      <c r="AQ482" s="13">
        <v>2183760</v>
      </c>
      <c r="AR482" s="11">
        <v>20</v>
      </c>
      <c r="AS482" s="9" t="s">
        <v>72</v>
      </c>
      <c r="AT482" s="12">
        <v>15.04</v>
      </c>
      <c r="AU482" s="9" t="s">
        <v>73</v>
      </c>
      <c r="AV482" s="9" t="s">
        <v>67</v>
      </c>
      <c r="AW482" s="9" t="s">
        <v>1406</v>
      </c>
      <c r="AX482" s="10">
        <v>45988</v>
      </c>
      <c r="AY482" s="9" t="s">
        <v>1407</v>
      </c>
      <c r="AZ482" s="9" t="s">
        <v>67</v>
      </c>
      <c r="BA482" s="9" t="s">
        <v>67</v>
      </c>
      <c r="BB482" s="12">
        <v>20</v>
      </c>
      <c r="BC482" s="9" t="s">
        <v>74</v>
      </c>
      <c r="BD482" s="9" t="s">
        <v>104</v>
      </c>
      <c r="BE482" s="9" t="s">
        <v>75</v>
      </c>
      <c r="BF482" s="11">
        <v>0</v>
      </c>
      <c r="BG482">
        <f t="shared" si="16"/>
        <v>12</v>
      </c>
      <c r="BH482" t="str">
        <f>VLOOKUP(BG482,[1]month!$A:$B,2,0)</f>
        <v>Desember</v>
      </c>
      <c r="BI482">
        <f t="shared" si="17"/>
        <v>2025</v>
      </c>
      <c r="BJ482" t="str">
        <f>VLOOKUP(I482,[1]Dist!$A:$B,2,0)</f>
        <v>Industry</v>
      </c>
      <c r="BK482" t="str">
        <f>IF(I482=11,VLOOKUP(Y482,[2]Sheet1!$C:$N,10,0),IF(I482=13,VLOOKUP(Y482,[3]Sheet1!$C:$N,10,0),IF(I482=15,VLOOKUP(Y482,[4]Sheet1!$C:$N,10,0),"Unknown")))</f>
        <v>PU</v>
      </c>
      <c r="BL482" t="str">
        <f>IF(I482=11,VLOOKUP(Y482,[2]Sheet1!$C:$N,12,0),IF(I482=13,VLOOKUP(Y482,[3]Sheet1!$C:$N,12,0),IF(I482=15,VLOOKUP(Y482,[4]Sheet1!$C:$N,12,0),"Unknown")))</f>
        <v>PU PRIMER</v>
      </c>
      <c r="BM482" t="str">
        <f>VLOOKUP(W482,[1]branch!$A:$B,2,0)</f>
        <v>INDUSTRY</v>
      </c>
    </row>
    <row r="483" spans="1:65" x14ac:dyDescent="0.35">
      <c r="A483" s="10">
        <v>45996</v>
      </c>
      <c r="B483" s="9" t="s">
        <v>1405</v>
      </c>
      <c r="C483" s="9" t="s">
        <v>64</v>
      </c>
      <c r="D483" s="9" t="s">
        <v>92</v>
      </c>
      <c r="E483" s="11">
        <v>30</v>
      </c>
      <c r="F483" s="9" t="s">
        <v>93</v>
      </c>
      <c r="G483" s="9" t="s">
        <v>65</v>
      </c>
      <c r="H483" s="9" t="s">
        <v>66</v>
      </c>
      <c r="I483" s="9">
        <v>11</v>
      </c>
      <c r="J483" s="9" t="s">
        <v>1396</v>
      </c>
      <c r="K483" s="9" t="s">
        <v>1396</v>
      </c>
      <c r="L483" s="9" t="s">
        <v>1396</v>
      </c>
      <c r="M483" s="9" t="s">
        <v>1397</v>
      </c>
      <c r="N483" s="9" t="s">
        <v>1398</v>
      </c>
      <c r="O483" s="9" t="s">
        <v>97</v>
      </c>
      <c r="P483" s="9" t="s">
        <v>67</v>
      </c>
      <c r="Q483" s="9" t="s">
        <v>98</v>
      </c>
      <c r="R483" s="9" t="s">
        <v>1396</v>
      </c>
      <c r="S483" s="9" t="s">
        <v>1397</v>
      </c>
      <c r="T483" s="9" t="s">
        <v>1399</v>
      </c>
      <c r="U483" s="9" t="s">
        <v>67</v>
      </c>
      <c r="V483" s="9" t="s">
        <v>221</v>
      </c>
      <c r="W483" s="9" t="s">
        <v>222</v>
      </c>
      <c r="X483" s="11">
        <v>30</v>
      </c>
      <c r="Y483" s="9" t="s">
        <v>257</v>
      </c>
      <c r="Z483" s="9" t="s">
        <v>68</v>
      </c>
      <c r="AA483" s="9" t="s">
        <v>258</v>
      </c>
      <c r="AB483" s="9" t="s">
        <v>67</v>
      </c>
      <c r="AC483" s="9" t="s">
        <v>259</v>
      </c>
      <c r="AD483" s="11">
        <v>1</v>
      </c>
      <c r="AE483" s="9" t="s">
        <v>70</v>
      </c>
      <c r="AF483" s="9" t="s">
        <v>71</v>
      </c>
      <c r="AG483" s="13">
        <v>1</v>
      </c>
      <c r="AH483" s="9" t="s">
        <v>92</v>
      </c>
      <c r="AI483" s="13">
        <v>1918000</v>
      </c>
      <c r="AJ483" s="13">
        <v>1918000</v>
      </c>
      <c r="AK483" s="11">
        <v>0</v>
      </c>
      <c r="AL483" s="11">
        <v>0</v>
      </c>
      <c r="AM483" s="11">
        <v>0</v>
      </c>
      <c r="AN483" s="9" t="s">
        <v>67</v>
      </c>
      <c r="AO483" s="11">
        <v>1918000</v>
      </c>
      <c r="AP483" s="13">
        <v>153440</v>
      </c>
      <c r="AQ483" s="13">
        <v>2071440</v>
      </c>
      <c r="AR483" s="11">
        <v>20</v>
      </c>
      <c r="AS483" s="9" t="s">
        <v>72</v>
      </c>
      <c r="AT483" s="12">
        <v>19.809999999999999</v>
      </c>
      <c r="AU483" s="9" t="s">
        <v>73</v>
      </c>
      <c r="AV483" s="9" t="s">
        <v>67</v>
      </c>
      <c r="AW483" s="9" t="s">
        <v>1406</v>
      </c>
      <c r="AX483" s="10">
        <v>45988</v>
      </c>
      <c r="AY483" s="9" t="s">
        <v>1407</v>
      </c>
      <c r="AZ483" s="9" t="s">
        <v>67</v>
      </c>
      <c r="BA483" s="9" t="s">
        <v>67</v>
      </c>
      <c r="BB483" s="12">
        <v>20</v>
      </c>
      <c r="BC483" s="9" t="s">
        <v>74</v>
      </c>
      <c r="BD483" s="9" t="s">
        <v>104</v>
      </c>
      <c r="BE483" s="9" t="s">
        <v>75</v>
      </c>
      <c r="BF483" s="11">
        <v>0</v>
      </c>
      <c r="BG483">
        <f t="shared" si="16"/>
        <v>12</v>
      </c>
      <c r="BH483" t="str">
        <f>VLOOKUP(BG483,[1]month!$A:$B,2,0)</f>
        <v>Desember</v>
      </c>
      <c r="BI483">
        <f t="shared" si="17"/>
        <v>2025</v>
      </c>
      <c r="BJ483" t="str">
        <f>VLOOKUP(I483,[1]Dist!$A:$B,2,0)</f>
        <v>Industry</v>
      </c>
      <c r="BK483" t="str">
        <f>IF(I483=11,VLOOKUP(Y483,[2]Sheet1!$C:$N,10,0),IF(I483=13,VLOOKUP(Y483,[3]Sheet1!$C:$N,10,0),IF(I483=15,VLOOKUP(Y483,[4]Sheet1!$C:$N,10,0),"Unknown")))</f>
        <v>PU</v>
      </c>
      <c r="BL483" t="str">
        <f>IF(I483=11,VLOOKUP(Y483,[2]Sheet1!$C:$N,12,0),IF(I483=13,VLOOKUP(Y483,[3]Sheet1!$C:$N,12,0),IF(I483=15,VLOOKUP(Y483,[4]Sheet1!$C:$N,12,0),"Unknown")))</f>
        <v>PU HARDENER</v>
      </c>
      <c r="BM483" t="str">
        <f>VLOOKUP(W483,[1]branch!$A:$B,2,0)</f>
        <v>INDUSTRY</v>
      </c>
    </row>
    <row r="484" spans="1:65" x14ac:dyDescent="0.35">
      <c r="A484" s="10">
        <v>45996</v>
      </c>
      <c r="B484" s="9" t="s">
        <v>1405</v>
      </c>
      <c r="C484" s="9" t="s">
        <v>64</v>
      </c>
      <c r="D484" s="9" t="s">
        <v>92</v>
      </c>
      <c r="E484" s="11">
        <v>30</v>
      </c>
      <c r="F484" s="9" t="s">
        <v>93</v>
      </c>
      <c r="G484" s="9" t="s">
        <v>65</v>
      </c>
      <c r="H484" s="9" t="s">
        <v>66</v>
      </c>
      <c r="I484" s="9">
        <v>11</v>
      </c>
      <c r="J484" s="9" t="s">
        <v>1396</v>
      </c>
      <c r="K484" s="9" t="s">
        <v>1396</v>
      </c>
      <c r="L484" s="9" t="s">
        <v>1396</v>
      </c>
      <c r="M484" s="9" t="s">
        <v>1397</v>
      </c>
      <c r="N484" s="9" t="s">
        <v>1398</v>
      </c>
      <c r="O484" s="9" t="s">
        <v>97</v>
      </c>
      <c r="P484" s="9" t="s">
        <v>67</v>
      </c>
      <c r="Q484" s="9" t="s">
        <v>98</v>
      </c>
      <c r="R484" s="9" t="s">
        <v>1396</v>
      </c>
      <c r="S484" s="9" t="s">
        <v>1397</v>
      </c>
      <c r="T484" s="9" t="s">
        <v>1399</v>
      </c>
      <c r="U484" s="9" t="s">
        <v>67</v>
      </c>
      <c r="V484" s="9" t="s">
        <v>221</v>
      </c>
      <c r="W484" s="9" t="s">
        <v>222</v>
      </c>
      <c r="X484" s="11">
        <v>40</v>
      </c>
      <c r="Y484" s="9" t="s">
        <v>123</v>
      </c>
      <c r="Z484" s="9" t="s">
        <v>68</v>
      </c>
      <c r="AA484" s="9" t="s">
        <v>124</v>
      </c>
      <c r="AB484" s="9" t="s">
        <v>67</v>
      </c>
      <c r="AC484" s="9" t="s">
        <v>125</v>
      </c>
      <c r="AD484" s="11">
        <v>1</v>
      </c>
      <c r="AE484" s="9" t="s">
        <v>70</v>
      </c>
      <c r="AF484" s="9" t="s">
        <v>71</v>
      </c>
      <c r="AG484" s="13">
        <v>1</v>
      </c>
      <c r="AH484" s="9" t="s">
        <v>92</v>
      </c>
      <c r="AI484" s="13">
        <v>2565600</v>
      </c>
      <c r="AJ484" s="13">
        <v>2565600</v>
      </c>
      <c r="AK484" s="11">
        <v>0</v>
      </c>
      <c r="AL484" s="11">
        <v>0</v>
      </c>
      <c r="AM484" s="11">
        <v>0</v>
      </c>
      <c r="AN484" s="9" t="s">
        <v>67</v>
      </c>
      <c r="AO484" s="11">
        <v>2565600</v>
      </c>
      <c r="AP484" s="13">
        <v>205248</v>
      </c>
      <c r="AQ484" s="13">
        <v>2770848</v>
      </c>
      <c r="AR484" s="12">
        <v>19.600000000000001</v>
      </c>
      <c r="AS484" s="9" t="s">
        <v>72</v>
      </c>
      <c r="AT484" s="11">
        <v>20</v>
      </c>
      <c r="AU484" s="9" t="s">
        <v>73</v>
      </c>
      <c r="AV484" s="9" t="s">
        <v>67</v>
      </c>
      <c r="AW484" s="9" t="s">
        <v>1406</v>
      </c>
      <c r="AX484" s="10">
        <v>45988</v>
      </c>
      <c r="AY484" s="9" t="s">
        <v>1407</v>
      </c>
      <c r="AZ484" s="9" t="s">
        <v>67</v>
      </c>
      <c r="BA484" s="9" t="s">
        <v>67</v>
      </c>
      <c r="BB484" s="12">
        <v>20</v>
      </c>
      <c r="BC484" s="9" t="s">
        <v>74</v>
      </c>
      <c r="BD484" s="9" t="s">
        <v>104</v>
      </c>
      <c r="BE484" s="9" t="s">
        <v>75</v>
      </c>
      <c r="BF484" s="11">
        <v>0</v>
      </c>
      <c r="BG484">
        <f t="shared" si="16"/>
        <v>12</v>
      </c>
      <c r="BH484" t="str">
        <f>VLOOKUP(BG484,[1]month!$A:$B,2,0)</f>
        <v>Desember</v>
      </c>
      <c r="BI484">
        <f t="shared" si="17"/>
        <v>2025</v>
      </c>
      <c r="BJ484" t="str">
        <f>VLOOKUP(I484,[1]Dist!$A:$B,2,0)</f>
        <v>Industry</v>
      </c>
      <c r="BK484" t="str">
        <f>IF(I484=11,VLOOKUP(Y484,[2]Sheet1!$C:$N,10,0),IF(I484=13,VLOOKUP(Y484,[3]Sheet1!$C:$N,10,0),IF(I484=15,VLOOKUP(Y484,[4]Sheet1!$C:$N,10,0),"Unknown")))</f>
        <v>PU</v>
      </c>
      <c r="BL484" t="str">
        <f>IF(I484=11,VLOOKUP(Y484,[2]Sheet1!$C:$N,12,0),IF(I484=13,VLOOKUP(Y484,[3]Sheet1!$C:$N,12,0),IF(I484=15,VLOOKUP(Y484,[4]Sheet1!$C:$N,12,0),"Unknown")))</f>
        <v>PU HARDENER</v>
      </c>
      <c r="BM484" t="str">
        <f>VLOOKUP(W484,[1]branch!$A:$B,2,0)</f>
        <v>INDUSTRY</v>
      </c>
    </row>
    <row r="485" spans="1:65" x14ac:dyDescent="0.35">
      <c r="A485" s="10">
        <v>45996</v>
      </c>
      <c r="B485" s="9" t="s">
        <v>1405</v>
      </c>
      <c r="C485" s="9" t="s">
        <v>64</v>
      </c>
      <c r="D485" s="9" t="s">
        <v>92</v>
      </c>
      <c r="E485" s="11">
        <v>30</v>
      </c>
      <c r="F485" s="9" t="s">
        <v>93</v>
      </c>
      <c r="G485" s="9" t="s">
        <v>65</v>
      </c>
      <c r="H485" s="9" t="s">
        <v>66</v>
      </c>
      <c r="I485" s="9">
        <v>11</v>
      </c>
      <c r="J485" s="9" t="s">
        <v>1396</v>
      </c>
      <c r="K485" s="9" t="s">
        <v>1396</v>
      </c>
      <c r="L485" s="9" t="s">
        <v>1396</v>
      </c>
      <c r="M485" s="9" t="s">
        <v>1397</v>
      </c>
      <c r="N485" s="9" t="s">
        <v>1398</v>
      </c>
      <c r="O485" s="9" t="s">
        <v>97</v>
      </c>
      <c r="P485" s="9" t="s">
        <v>67</v>
      </c>
      <c r="Q485" s="9" t="s">
        <v>98</v>
      </c>
      <c r="R485" s="9" t="s">
        <v>1396</v>
      </c>
      <c r="S485" s="9" t="s">
        <v>1397</v>
      </c>
      <c r="T485" s="9" t="s">
        <v>1399</v>
      </c>
      <c r="U485" s="9" t="s">
        <v>67</v>
      </c>
      <c r="V485" s="9" t="s">
        <v>221</v>
      </c>
      <c r="W485" s="9" t="s">
        <v>222</v>
      </c>
      <c r="X485" s="11">
        <v>50</v>
      </c>
      <c r="Y485" s="9" t="s">
        <v>1408</v>
      </c>
      <c r="Z485" s="9" t="s">
        <v>68</v>
      </c>
      <c r="AA485" s="9" t="s">
        <v>1409</v>
      </c>
      <c r="AB485" s="9" t="s">
        <v>67</v>
      </c>
      <c r="AC485" s="9" t="s">
        <v>248</v>
      </c>
      <c r="AD485" s="11">
        <v>1</v>
      </c>
      <c r="AE485" s="9" t="s">
        <v>70</v>
      </c>
      <c r="AF485" s="9" t="s">
        <v>71</v>
      </c>
      <c r="AG485" s="13">
        <v>1</v>
      </c>
      <c r="AH485" s="9" t="s">
        <v>92</v>
      </c>
      <c r="AI485" s="13">
        <v>2997000</v>
      </c>
      <c r="AJ485" s="13">
        <v>2997000</v>
      </c>
      <c r="AK485" s="11">
        <v>0</v>
      </c>
      <c r="AL485" s="11">
        <v>0</v>
      </c>
      <c r="AM485" s="11">
        <v>0</v>
      </c>
      <c r="AN485" s="9" t="s">
        <v>67</v>
      </c>
      <c r="AO485" s="11">
        <v>2997000</v>
      </c>
      <c r="AP485" s="13">
        <v>239760</v>
      </c>
      <c r="AQ485" s="13">
        <v>3236760</v>
      </c>
      <c r="AR485" s="12">
        <v>18.8</v>
      </c>
      <c r="AS485" s="9" t="s">
        <v>72</v>
      </c>
      <c r="AT485" s="11">
        <v>20</v>
      </c>
      <c r="AU485" s="9" t="s">
        <v>73</v>
      </c>
      <c r="AV485" s="9" t="s">
        <v>67</v>
      </c>
      <c r="AW485" s="9" t="s">
        <v>1406</v>
      </c>
      <c r="AX485" s="10">
        <v>45988</v>
      </c>
      <c r="AY485" s="9" t="s">
        <v>1407</v>
      </c>
      <c r="AZ485" s="9" t="s">
        <v>67</v>
      </c>
      <c r="BA485" s="9" t="s">
        <v>67</v>
      </c>
      <c r="BB485" s="12">
        <v>20</v>
      </c>
      <c r="BC485" s="9" t="s">
        <v>74</v>
      </c>
      <c r="BD485" s="9" t="s">
        <v>104</v>
      </c>
      <c r="BE485" s="9" t="s">
        <v>75</v>
      </c>
      <c r="BF485" s="11">
        <v>0</v>
      </c>
      <c r="BG485">
        <f t="shared" si="16"/>
        <v>12</v>
      </c>
      <c r="BH485" t="str">
        <f>VLOOKUP(BG485,[1]month!$A:$B,2,0)</f>
        <v>Desember</v>
      </c>
      <c r="BI485">
        <f t="shared" si="17"/>
        <v>2025</v>
      </c>
      <c r="BJ485" t="str">
        <f>VLOOKUP(I485,[1]Dist!$A:$B,2,0)</f>
        <v>Industry</v>
      </c>
      <c r="BK485" t="str">
        <f>IF(I485=11,VLOOKUP(Y485,[2]Sheet1!$C:$N,10,0),IF(I485=13,VLOOKUP(Y485,[3]Sheet1!$C:$N,10,0),IF(I485=15,VLOOKUP(Y485,[4]Sheet1!$C:$N,10,0),"Unknown")))</f>
        <v>PU</v>
      </c>
      <c r="BL485" t="str">
        <f>IF(I485=11,VLOOKUP(Y485,[2]Sheet1!$C:$N,12,0),IF(I485=13,VLOOKUP(Y485,[3]Sheet1!$C:$N,12,0),IF(I485=15,VLOOKUP(Y485,[4]Sheet1!$C:$N,12,0),"Unknown")))</f>
        <v>PU LACQUER</v>
      </c>
      <c r="BM485" t="str">
        <f>VLOOKUP(W485,[1]branch!$A:$B,2,0)</f>
        <v>INDUSTRY</v>
      </c>
    </row>
    <row r="486" spans="1:65" x14ac:dyDescent="0.35">
      <c r="A486" s="10">
        <v>45996</v>
      </c>
      <c r="B486" s="9" t="s">
        <v>1405</v>
      </c>
      <c r="C486" s="9" t="s">
        <v>64</v>
      </c>
      <c r="D486" s="9" t="s">
        <v>92</v>
      </c>
      <c r="E486" s="11">
        <v>30</v>
      </c>
      <c r="F486" s="9" t="s">
        <v>93</v>
      </c>
      <c r="G486" s="9" t="s">
        <v>65</v>
      </c>
      <c r="H486" s="9" t="s">
        <v>66</v>
      </c>
      <c r="I486" s="9">
        <v>11</v>
      </c>
      <c r="J486" s="9" t="s">
        <v>1396</v>
      </c>
      <c r="K486" s="9" t="s">
        <v>1396</v>
      </c>
      <c r="L486" s="9" t="s">
        <v>1396</v>
      </c>
      <c r="M486" s="9" t="s">
        <v>1397</v>
      </c>
      <c r="N486" s="9" t="s">
        <v>1398</v>
      </c>
      <c r="O486" s="9" t="s">
        <v>97</v>
      </c>
      <c r="P486" s="9" t="s">
        <v>67</v>
      </c>
      <c r="Q486" s="9" t="s">
        <v>98</v>
      </c>
      <c r="R486" s="9" t="s">
        <v>1396</v>
      </c>
      <c r="S486" s="9" t="s">
        <v>1397</v>
      </c>
      <c r="T486" s="9" t="s">
        <v>1399</v>
      </c>
      <c r="U486" s="9" t="s">
        <v>67</v>
      </c>
      <c r="V486" s="9" t="s">
        <v>221</v>
      </c>
      <c r="W486" s="9" t="s">
        <v>222</v>
      </c>
      <c r="X486" s="11">
        <v>60</v>
      </c>
      <c r="Y486" s="9" t="s">
        <v>1410</v>
      </c>
      <c r="Z486" s="9" t="s">
        <v>68</v>
      </c>
      <c r="AA486" s="9" t="s">
        <v>1411</v>
      </c>
      <c r="AB486" s="9" t="s">
        <v>67</v>
      </c>
      <c r="AC486" s="9" t="s">
        <v>120</v>
      </c>
      <c r="AD486" s="11">
        <v>3</v>
      </c>
      <c r="AE486" s="9" t="s">
        <v>70</v>
      </c>
      <c r="AF486" s="9" t="s">
        <v>71</v>
      </c>
      <c r="AG486" s="13">
        <v>1</v>
      </c>
      <c r="AH486" s="9" t="s">
        <v>92</v>
      </c>
      <c r="AI486" s="13">
        <v>873200</v>
      </c>
      <c r="AJ486" s="13">
        <v>2619600</v>
      </c>
      <c r="AK486" s="11">
        <v>0</v>
      </c>
      <c r="AL486" s="11">
        <v>0</v>
      </c>
      <c r="AM486" s="11">
        <v>0</v>
      </c>
      <c r="AN486" s="9" t="s">
        <v>67</v>
      </c>
      <c r="AO486" s="11">
        <v>2619600</v>
      </c>
      <c r="AP486" s="13">
        <v>209568</v>
      </c>
      <c r="AQ486" s="13">
        <v>2829168</v>
      </c>
      <c r="AR486" s="12">
        <v>55.5</v>
      </c>
      <c r="AS486" s="9" t="s">
        <v>72</v>
      </c>
      <c r="AT486" s="11">
        <v>60</v>
      </c>
      <c r="AU486" s="9" t="s">
        <v>73</v>
      </c>
      <c r="AV486" s="9" t="s">
        <v>67</v>
      </c>
      <c r="AW486" s="9" t="s">
        <v>1406</v>
      </c>
      <c r="AX486" s="10">
        <v>45988</v>
      </c>
      <c r="AY486" s="9" t="s">
        <v>1407</v>
      </c>
      <c r="AZ486" s="9" t="s">
        <v>67</v>
      </c>
      <c r="BA486" s="9" t="s">
        <v>67</v>
      </c>
      <c r="BB486" s="12">
        <v>60</v>
      </c>
      <c r="BC486" s="9" t="s">
        <v>74</v>
      </c>
      <c r="BD486" s="9" t="s">
        <v>104</v>
      </c>
      <c r="BE486" s="9" t="s">
        <v>75</v>
      </c>
      <c r="BF486" s="11">
        <v>0</v>
      </c>
      <c r="BG486">
        <f t="shared" si="16"/>
        <v>12</v>
      </c>
      <c r="BH486" t="str">
        <f>VLOOKUP(BG486,[1]month!$A:$B,2,0)</f>
        <v>Desember</v>
      </c>
      <c r="BI486">
        <f t="shared" si="17"/>
        <v>2025</v>
      </c>
      <c r="BJ486" t="str">
        <f>VLOOKUP(I486,[1]Dist!$A:$B,2,0)</f>
        <v>Industry</v>
      </c>
      <c r="BK486" t="str">
        <f>IF(I486=11,VLOOKUP(Y486,[2]Sheet1!$C:$N,10,0),IF(I486=13,VLOOKUP(Y486,[3]Sheet1!$C:$N,10,0),IF(I486=15,VLOOKUP(Y486,[4]Sheet1!$C:$N,10,0),"Unknown")))</f>
        <v>THINNER PU</v>
      </c>
      <c r="BL486" t="str">
        <f>IF(I486=11,VLOOKUP(Y486,[2]Sheet1!$C:$N,12,0),IF(I486=13,VLOOKUP(Y486,[3]Sheet1!$C:$N,12,0),IF(I486=15,VLOOKUP(Y486,[4]Sheet1!$C:$N,12,0),"Unknown")))</f>
        <v>THINNER PU</v>
      </c>
      <c r="BM486" t="str">
        <f>VLOOKUP(W486,[1]branch!$A:$B,2,0)</f>
        <v>INDUSTRY</v>
      </c>
    </row>
    <row r="487" spans="1:65" x14ac:dyDescent="0.35">
      <c r="A487" s="10">
        <v>45996</v>
      </c>
      <c r="B487" s="9" t="s">
        <v>1412</v>
      </c>
      <c r="C487" s="9" t="s">
        <v>64</v>
      </c>
      <c r="D487" s="9" t="s">
        <v>92</v>
      </c>
      <c r="E487" s="11">
        <v>30</v>
      </c>
      <c r="F487" s="9" t="s">
        <v>93</v>
      </c>
      <c r="G487" s="9" t="s">
        <v>65</v>
      </c>
      <c r="H487" s="9" t="s">
        <v>66</v>
      </c>
      <c r="I487" s="9">
        <v>11</v>
      </c>
      <c r="J487" s="9" t="s">
        <v>1396</v>
      </c>
      <c r="K487" s="9" t="s">
        <v>1396</v>
      </c>
      <c r="L487" s="9" t="s">
        <v>1396</v>
      </c>
      <c r="M487" s="9" t="s">
        <v>1397</v>
      </c>
      <c r="N487" s="9" t="s">
        <v>1398</v>
      </c>
      <c r="O487" s="9" t="s">
        <v>97</v>
      </c>
      <c r="P487" s="9" t="s">
        <v>67</v>
      </c>
      <c r="Q487" s="9" t="s">
        <v>98</v>
      </c>
      <c r="R487" s="9" t="s">
        <v>1396</v>
      </c>
      <c r="S487" s="9" t="s">
        <v>1397</v>
      </c>
      <c r="T487" s="9" t="s">
        <v>1399</v>
      </c>
      <c r="U487" s="9" t="s">
        <v>67</v>
      </c>
      <c r="V487" s="9" t="s">
        <v>221</v>
      </c>
      <c r="W487" s="9" t="s">
        <v>222</v>
      </c>
      <c r="X487" s="11">
        <v>10</v>
      </c>
      <c r="Y487" s="9" t="s">
        <v>1413</v>
      </c>
      <c r="Z487" s="9" t="s">
        <v>68</v>
      </c>
      <c r="AA487" s="9" t="s">
        <v>1414</v>
      </c>
      <c r="AB487" s="9" t="s">
        <v>67</v>
      </c>
      <c r="AC487" s="9" t="s">
        <v>139</v>
      </c>
      <c r="AD487" s="11">
        <v>5</v>
      </c>
      <c r="AE487" s="9" t="s">
        <v>70</v>
      </c>
      <c r="AF487" s="9" t="s">
        <v>71</v>
      </c>
      <c r="AG487" s="13">
        <v>1</v>
      </c>
      <c r="AH487" s="9" t="s">
        <v>92</v>
      </c>
      <c r="AI487" s="13">
        <v>563000</v>
      </c>
      <c r="AJ487" s="13">
        <v>2815000</v>
      </c>
      <c r="AK487" s="11">
        <v>0</v>
      </c>
      <c r="AL487" s="11">
        <v>0</v>
      </c>
      <c r="AM487" s="11">
        <v>0</v>
      </c>
      <c r="AN487" s="9" t="s">
        <v>67</v>
      </c>
      <c r="AO487" s="11">
        <v>2815000</v>
      </c>
      <c r="AP487" s="13">
        <v>225200</v>
      </c>
      <c r="AQ487" s="13">
        <v>3040200</v>
      </c>
      <c r="AR487" s="11">
        <v>80</v>
      </c>
      <c r="AS487" s="9" t="s">
        <v>72</v>
      </c>
      <c r="AT487" s="11">
        <v>100</v>
      </c>
      <c r="AU487" s="9" t="s">
        <v>73</v>
      </c>
      <c r="AV487" s="9" t="s">
        <v>67</v>
      </c>
      <c r="AW487" s="9" t="s">
        <v>1415</v>
      </c>
      <c r="AX487" s="10">
        <v>45992</v>
      </c>
      <c r="AY487" s="9" t="s">
        <v>1416</v>
      </c>
      <c r="AZ487" s="9" t="s">
        <v>67</v>
      </c>
      <c r="BA487" s="9" t="s">
        <v>67</v>
      </c>
      <c r="BB487" s="12">
        <v>100</v>
      </c>
      <c r="BC487" s="9" t="s">
        <v>74</v>
      </c>
      <c r="BD487" s="9" t="s">
        <v>104</v>
      </c>
      <c r="BE487" s="9" t="s">
        <v>75</v>
      </c>
      <c r="BF487" s="11">
        <v>0</v>
      </c>
      <c r="BG487">
        <f t="shared" si="16"/>
        <v>12</v>
      </c>
      <c r="BH487" t="str">
        <f>VLOOKUP(BG487,[1]month!$A:$B,2,0)</f>
        <v>Desember</v>
      </c>
      <c r="BI487">
        <f t="shared" si="17"/>
        <v>2025</v>
      </c>
      <c r="BJ487" t="str">
        <f>VLOOKUP(I487,[1]Dist!$A:$B,2,0)</f>
        <v>Industry</v>
      </c>
      <c r="BK487" t="str">
        <f>IF(I487=11,VLOOKUP(Y487,[2]Sheet1!$C:$N,10,0),IF(I487=13,VLOOKUP(Y487,[3]Sheet1!$C:$N,10,0),IF(I487=15,VLOOKUP(Y487,[4]Sheet1!$C:$N,10,0),"Unknown")))</f>
        <v>THINNER NC</v>
      </c>
      <c r="BL487" t="str">
        <f>IF(I487=11,VLOOKUP(Y487,[2]Sheet1!$C:$N,12,0),IF(I487=13,VLOOKUP(Y487,[3]Sheet1!$C:$N,12,0),IF(I487=15,VLOOKUP(Y487,[4]Sheet1!$C:$N,12,0),"Unknown")))</f>
        <v>THINNER COMPLEMENTARY</v>
      </c>
      <c r="BM487" t="str">
        <f>VLOOKUP(W487,[1]branch!$A:$B,2,0)</f>
        <v>INDUSTRY</v>
      </c>
    </row>
    <row r="488" spans="1:65" x14ac:dyDescent="0.35">
      <c r="A488" s="10">
        <v>45996</v>
      </c>
      <c r="B488" s="9" t="s">
        <v>1417</v>
      </c>
      <c r="C488" s="9" t="s">
        <v>64</v>
      </c>
      <c r="D488" s="9" t="s">
        <v>92</v>
      </c>
      <c r="E488" s="11">
        <v>45</v>
      </c>
      <c r="F488" s="9" t="s">
        <v>93</v>
      </c>
      <c r="G488" s="9" t="s">
        <v>65</v>
      </c>
      <c r="H488" s="9" t="s">
        <v>66</v>
      </c>
      <c r="I488" s="9">
        <v>11</v>
      </c>
      <c r="J488" s="9" t="s">
        <v>1418</v>
      </c>
      <c r="K488" s="9" t="s">
        <v>1418</v>
      </c>
      <c r="L488" s="9" t="s">
        <v>1418</v>
      </c>
      <c r="M488" s="9" t="s">
        <v>1419</v>
      </c>
      <c r="N488" s="9" t="s">
        <v>1420</v>
      </c>
      <c r="O488" s="9" t="s">
        <v>97</v>
      </c>
      <c r="P488" s="9" t="s">
        <v>67</v>
      </c>
      <c r="Q488" s="9" t="s">
        <v>98</v>
      </c>
      <c r="R488" s="9" t="s">
        <v>1418</v>
      </c>
      <c r="S488" s="9" t="s">
        <v>1419</v>
      </c>
      <c r="T488" s="9" t="s">
        <v>1421</v>
      </c>
      <c r="U488" s="9" t="s">
        <v>67</v>
      </c>
      <c r="V488" s="9" t="s">
        <v>130</v>
      </c>
      <c r="W488" s="9" t="s">
        <v>131</v>
      </c>
      <c r="X488" s="11">
        <v>10</v>
      </c>
      <c r="Y488" s="9" t="s">
        <v>1422</v>
      </c>
      <c r="Z488" s="9" t="s">
        <v>68</v>
      </c>
      <c r="AA488" s="9" t="s">
        <v>1423</v>
      </c>
      <c r="AB488" s="9" t="s">
        <v>67</v>
      </c>
      <c r="AC488" s="9" t="s">
        <v>1424</v>
      </c>
      <c r="AD488" s="11">
        <v>3</v>
      </c>
      <c r="AE488" s="9" t="s">
        <v>70</v>
      </c>
      <c r="AF488" s="9" t="s">
        <v>71</v>
      </c>
      <c r="AG488" s="13">
        <v>1</v>
      </c>
      <c r="AH488" s="9" t="s">
        <v>92</v>
      </c>
      <c r="AI488" s="13">
        <v>1542600</v>
      </c>
      <c r="AJ488" s="13">
        <v>4627800</v>
      </c>
      <c r="AK488" s="11">
        <v>0</v>
      </c>
      <c r="AL488" s="11">
        <v>0</v>
      </c>
      <c r="AM488" s="11">
        <v>0</v>
      </c>
      <c r="AN488" s="9" t="s">
        <v>67</v>
      </c>
      <c r="AO488" s="11">
        <v>4627800</v>
      </c>
      <c r="AP488" s="13">
        <v>370224</v>
      </c>
      <c r="AQ488" s="13">
        <v>4998024</v>
      </c>
      <c r="AR488" s="11">
        <v>54</v>
      </c>
      <c r="AS488" s="9" t="s">
        <v>72</v>
      </c>
      <c r="AT488" s="12">
        <v>51.923999999999999</v>
      </c>
      <c r="AU488" s="9" t="s">
        <v>73</v>
      </c>
      <c r="AV488" s="9" t="s">
        <v>67</v>
      </c>
      <c r="AW488" s="9" t="s">
        <v>1425</v>
      </c>
      <c r="AX488" s="10">
        <v>45938</v>
      </c>
      <c r="AY488" s="9" t="s">
        <v>1426</v>
      </c>
      <c r="AZ488" s="9" t="s">
        <v>67</v>
      </c>
      <c r="BA488" s="9" t="s">
        <v>67</v>
      </c>
      <c r="BB488" s="12">
        <v>54</v>
      </c>
      <c r="BC488" s="9" t="s">
        <v>74</v>
      </c>
      <c r="BD488" s="9" t="s">
        <v>104</v>
      </c>
      <c r="BE488" s="9" t="s">
        <v>75</v>
      </c>
      <c r="BF488" s="11">
        <v>0</v>
      </c>
      <c r="BG488">
        <f t="shared" si="16"/>
        <v>12</v>
      </c>
      <c r="BH488" t="str">
        <f>VLOOKUP(BG488,[1]month!$A:$B,2,0)</f>
        <v>Desember</v>
      </c>
      <c r="BI488">
        <f t="shared" si="17"/>
        <v>2025</v>
      </c>
      <c r="BJ488" t="str">
        <f>VLOOKUP(I488,[1]Dist!$A:$B,2,0)</f>
        <v>Industry</v>
      </c>
      <c r="BK488" t="str">
        <f>IF(I488=11,VLOOKUP(Y488,[2]Sheet1!$C:$N,10,0),IF(I488=13,VLOOKUP(Y488,[3]Sheet1!$C:$N,10,0),IF(I488=15,VLOOKUP(Y488,[4]Sheet1!$C:$N,10,0),"Unknown")))</f>
        <v>WATERBASED</v>
      </c>
      <c r="BL488" t="str">
        <f>IF(I488=11,VLOOKUP(Y488,[2]Sheet1!$C:$N,12,0),IF(I488=13,VLOOKUP(Y488,[3]Sheet1!$C:$N,12,0),IF(I488=15,VLOOKUP(Y488,[4]Sheet1!$C:$N,12,0),"Unknown")))</f>
        <v>WATERBASED SYSTEM EXTERIOR</v>
      </c>
      <c r="BM488" t="str">
        <f>VLOOKUP(W488,[1]branch!$A:$B,2,0)</f>
        <v>INDUSTRY</v>
      </c>
    </row>
    <row r="489" spans="1:65" x14ac:dyDescent="0.35">
      <c r="A489" s="10">
        <v>45996</v>
      </c>
      <c r="B489" s="9" t="s">
        <v>1417</v>
      </c>
      <c r="C489" s="9" t="s">
        <v>64</v>
      </c>
      <c r="D489" s="9" t="s">
        <v>92</v>
      </c>
      <c r="E489" s="11">
        <v>45</v>
      </c>
      <c r="F489" s="9" t="s">
        <v>93</v>
      </c>
      <c r="G489" s="9" t="s">
        <v>65</v>
      </c>
      <c r="H489" s="9" t="s">
        <v>66</v>
      </c>
      <c r="I489" s="9">
        <v>11</v>
      </c>
      <c r="J489" s="9" t="s">
        <v>1418</v>
      </c>
      <c r="K489" s="9" t="s">
        <v>1418</v>
      </c>
      <c r="L489" s="9" t="s">
        <v>1418</v>
      </c>
      <c r="M489" s="9" t="s">
        <v>1419</v>
      </c>
      <c r="N489" s="9" t="s">
        <v>1420</v>
      </c>
      <c r="O489" s="9" t="s">
        <v>97</v>
      </c>
      <c r="P489" s="9" t="s">
        <v>67</v>
      </c>
      <c r="Q489" s="9" t="s">
        <v>98</v>
      </c>
      <c r="R489" s="9" t="s">
        <v>1418</v>
      </c>
      <c r="S489" s="9" t="s">
        <v>1419</v>
      </c>
      <c r="T489" s="9" t="s">
        <v>1421</v>
      </c>
      <c r="U489" s="9" t="s">
        <v>67</v>
      </c>
      <c r="V489" s="9" t="s">
        <v>130</v>
      </c>
      <c r="W489" s="9" t="s">
        <v>131</v>
      </c>
      <c r="X489" s="11">
        <v>20</v>
      </c>
      <c r="Y489" s="9" t="s">
        <v>1427</v>
      </c>
      <c r="Z489" s="9" t="s">
        <v>68</v>
      </c>
      <c r="AA489" s="9" t="s">
        <v>1428</v>
      </c>
      <c r="AB489" s="9" t="s">
        <v>67</v>
      </c>
      <c r="AC489" s="9" t="s">
        <v>1424</v>
      </c>
      <c r="AD489" s="11">
        <v>10</v>
      </c>
      <c r="AE489" s="9" t="s">
        <v>70</v>
      </c>
      <c r="AF489" s="9" t="s">
        <v>71</v>
      </c>
      <c r="AG489" s="13">
        <v>1</v>
      </c>
      <c r="AH489" s="9" t="s">
        <v>92</v>
      </c>
      <c r="AI489" s="13">
        <v>1335600</v>
      </c>
      <c r="AJ489" s="13">
        <v>13356000</v>
      </c>
      <c r="AK489" s="11">
        <v>0</v>
      </c>
      <c r="AL489" s="11">
        <v>0</v>
      </c>
      <c r="AM489" s="11">
        <v>0</v>
      </c>
      <c r="AN489" s="9" t="s">
        <v>67</v>
      </c>
      <c r="AO489" s="11">
        <v>13356000</v>
      </c>
      <c r="AP489" s="13">
        <v>1068480</v>
      </c>
      <c r="AQ489" s="13">
        <v>14424480</v>
      </c>
      <c r="AR489" s="11">
        <v>180</v>
      </c>
      <c r="AS489" s="9" t="s">
        <v>72</v>
      </c>
      <c r="AT489" s="12">
        <v>176.47</v>
      </c>
      <c r="AU489" s="9" t="s">
        <v>73</v>
      </c>
      <c r="AV489" s="9" t="s">
        <v>67</v>
      </c>
      <c r="AW489" s="9" t="s">
        <v>1425</v>
      </c>
      <c r="AX489" s="10">
        <v>45938</v>
      </c>
      <c r="AY489" s="9" t="s">
        <v>1426</v>
      </c>
      <c r="AZ489" s="9" t="s">
        <v>67</v>
      </c>
      <c r="BA489" s="9" t="s">
        <v>67</v>
      </c>
      <c r="BB489" s="12">
        <v>180</v>
      </c>
      <c r="BC489" s="9" t="s">
        <v>74</v>
      </c>
      <c r="BD489" s="9" t="s">
        <v>104</v>
      </c>
      <c r="BE489" s="9" t="s">
        <v>75</v>
      </c>
      <c r="BF489" s="11">
        <v>0</v>
      </c>
      <c r="BG489">
        <f t="shared" si="16"/>
        <v>12</v>
      </c>
      <c r="BH489" t="str">
        <f>VLOOKUP(BG489,[1]month!$A:$B,2,0)</f>
        <v>Desember</v>
      </c>
      <c r="BI489">
        <f t="shared" si="17"/>
        <v>2025</v>
      </c>
      <c r="BJ489" t="str">
        <f>VLOOKUP(I489,[1]Dist!$A:$B,2,0)</f>
        <v>Industry</v>
      </c>
      <c r="BK489" t="str">
        <f>IF(I489=11,VLOOKUP(Y489,[2]Sheet1!$C:$N,10,0),IF(I489=13,VLOOKUP(Y489,[3]Sheet1!$C:$N,10,0),IF(I489=15,VLOOKUP(Y489,[4]Sheet1!$C:$N,10,0),"Unknown")))</f>
        <v>WATERBASED</v>
      </c>
      <c r="BL489" t="str">
        <f>IF(I489=11,VLOOKUP(Y489,[2]Sheet1!$C:$N,12,0),IF(I489=13,VLOOKUP(Y489,[3]Sheet1!$C:$N,12,0),IF(I489=15,VLOOKUP(Y489,[4]Sheet1!$C:$N,12,0),"Unknown")))</f>
        <v>WATERBASED SYSTEM EXTERIOR</v>
      </c>
      <c r="BM489" t="str">
        <f>VLOOKUP(W489,[1]branch!$A:$B,2,0)</f>
        <v>INDUSTRY</v>
      </c>
    </row>
    <row r="490" spans="1:65" x14ac:dyDescent="0.35">
      <c r="A490" s="10">
        <v>45996</v>
      </c>
      <c r="B490" s="9" t="s">
        <v>1429</v>
      </c>
      <c r="C490" s="9" t="s">
        <v>64</v>
      </c>
      <c r="D490" s="9" t="s">
        <v>92</v>
      </c>
      <c r="E490" s="11">
        <v>45</v>
      </c>
      <c r="F490" s="9" t="s">
        <v>93</v>
      </c>
      <c r="G490" s="9" t="s">
        <v>65</v>
      </c>
      <c r="H490" s="9" t="s">
        <v>66</v>
      </c>
      <c r="I490" s="9">
        <v>11</v>
      </c>
      <c r="J490" s="9" t="s">
        <v>1418</v>
      </c>
      <c r="K490" s="9" t="s">
        <v>1418</v>
      </c>
      <c r="L490" s="9" t="s">
        <v>1418</v>
      </c>
      <c r="M490" s="9" t="s">
        <v>1419</v>
      </c>
      <c r="N490" s="9" t="s">
        <v>1420</v>
      </c>
      <c r="O490" s="9" t="s">
        <v>97</v>
      </c>
      <c r="P490" s="9" t="s">
        <v>67</v>
      </c>
      <c r="Q490" s="9" t="s">
        <v>98</v>
      </c>
      <c r="R490" s="9" t="s">
        <v>1418</v>
      </c>
      <c r="S490" s="9" t="s">
        <v>1419</v>
      </c>
      <c r="T490" s="9" t="s">
        <v>1421</v>
      </c>
      <c r="U490" s="9" t="s">
        <v>67</v>
      </c>
      <c r="V490" s="9" t="s">
        <v>130</v>
      </c>
      <c r="W490" s="9" t="s">
        <v>131</v>
      </c>
      <c r="X490" s="11">
        <v>20</v>
      </c>
      <c r="Y490" s="9" t="s">
        <v>1427</v>
      </c>
      <c r="Z490" s="9" t="s">
        <v>68</v>
      </c>
      <c r="AA490" s="9" t="s">
        <v>1428</v>
      </c>
      <c r="AB490" s="9" t="s">
        <v>67</v>
      </c>
      <c r="AC490" s="9" t="s">
        <v>1424</v>
      </c>
      <c r="AD490" s="11">
        <v>40</v>
      </c>
      <c r="AE490" s="9" t="s">
        <v>70</v>
      </c>
      <c r="AF490" s="9" t="s">
        <v>71</v>
      </c>
      <c r="AG490" s="13">
        <v>1</v>
      </c>
      <c r="AH490" s="9" t="s">
        <v>92</v>
      </c>
      <c r="AI490" s="13">
        <v>1335600</v>
      </c>
      <c r="AJ490" s="13">
        <v>53424000</v>
      </c>
      <c r="AK490" s="11">
        <v>0</v>
      </c>
      <c r="AL490" s="11">
        <v>0</v>
      </c>
      <c r="AM490" s="11">
        <v>0</v>
      </c>
      <c r="AN490" s="9" t="s">
        <v>67</v>
      </c>
      <c r="AO490" s="11">
        <v>53424000</v>
      </c>
      <c r="AP490" s="13">
        <v>4273920</v>
      </c>
      <c r="AQ490" s="13">
        <v>57697920</v>
      </c>
      <c r="AR490" s="11">
        <v>720</v>
      </c>
      <c r="AS490" s="9" t="s">
        <v>72</v>
      </c>
      <c r="AT490" s="12">
        <v>705.88</v>
      </c>
      <c r="AU490" s="9" t="s">
        <v>73</v>
      </c>
      <c r="AV490" s="9" t="s">
        <v>67</v>
      </c>
      <c r="AW490" s="9" t="s">
        <v>1430</v>
      </c>
      <c r="AX490" s="10">
        <v>45973</v>
      </c>
      <c r="AY490" s="9" t="s">
        <v>1431</v>
      </c>
      <c r="AZ490" s="9" t="s">
        <v>67</v>
      </c>
      <c r="BA490" s="9" t="s">
        <v>67</v>
      </c>
      <c r="BB490" s="12">
        <v>720</v>
      </c>
      <c r="BC490" s="9" t="s">
        <v>74</v>
      </c>
      <c r="BD490" s="9" t="s">
        <v>104</v>
      </c>
      <c r="BE490" s="9" t="s">
        <v>75</v>
      </c>
      <c r="BF490" s="11">
        <v>0</v>
      </c>
      <c r="BG490">
        <f t="shared" si="16"/>
        <v>12</v>
      </c>
      <c r="BH490" t="str">
        <f>VLOOKUP(BG490,[1]month!$A:$B,2,0)</f>
        <v>Desember</v>
      </c>
      <c r="BI490">
        <f t="shared" si="17"/>
        <v>2025</v>
      </c>
      <c r="BJ490" t="str">
        <f>VLOOKUP(I490,[1]Dist!$A:$B,2,0)</f>
        <v>Industry</v>
      </c>
      <c r="BK490" t="str">
        <f>IF(I490=11,VLOOKUP(Y490,[2]Sheet1!$C:$N,10,0),IF(I490=13,VLOOKUP(Y490,[3]Sheet1!$C:$N,10,0),IF(I490=15,VLOOKUP(Y490,[4]Sheet1!$C:$N,10,0),"Unknown")))</f>
        <v>WATERBASED</v>
      </c>
      <c r="BL490" t="str">
        <f>IF(I490=11,VLOOKUP(Y490,[2]Sheet1!$C:$N,12,0),IF(I490=13,VLOOKUP(Y490,[3]Sheet1!$C:$N,12,0),IF(I490=15,VLOOKUP(Y490,[4]Sheet1!$C:$N,12,0),"Unknown")))</f>
        <v>WATERBASED SYSTEM EXTERIOR</v>
      </c>
      <c r="BM490" t="str">
        <f>VLOOKUP(W490,[1]branch!$A:$B,2,0)</f>
        <v>INDUSTRY</v>
      </c>
    </row>
    <row r="491" spans="1:65" x14ac:dyDescent="0.35">
      <c r="A491" s="10">
        <v>45996</v>
      </c>
      <c r="B491" s="9" t="s">
        <v>1432</v>
      </c>
      <c r="C491" s="9" t="s">
        <v>64</v>
      </c>
      <c r="D491" s="9" t="s">
        <v>92</v>
      </c>
      <c r="E491" s="11">
        <v>45</v>
      </c>
      <c r="F491" s="9" t="s">
        <v>93</v>
      </c>
      <c r="G491" s="9" t="s">
        <v>65</v>
      </c>
      <c r="H491" s="9" t="s">
        <v>66</v>
      </c>
      <c r="I491" s="9">
        <v>11</v>
      </c>
      <c r="J491" s="9" t="s">
        <v>1418</v>
      </c>
      <c r="K491" s="9" t="s">
        <v>1418</v>
      </c>
      <c r="L491" s="9" t="s">
        <v>1418</v>
      </c>
      <c r="M491" s="9" t="s">
        <v>1419</v>
      </c>
      <c r="N491" s="9" t="s">
        <v>1420</v>
      </c>
      <c r="O491" s="9" t="s">
        <v>97</v>
      </c>
      <c r="P491" s="9" t="s">
        <v>67</v>
      </c>
      <c r="Q491" s="9" t="s">
        <v>98</v>
      </c>
      <c r="R491" s="9" t="s">
        <v>1418</v>
      </c>
      <c r="S491" s="9" t="s">
        <v>1419</v>
      </c>
      <c r="T491" s="9" t="s">
        <v>1421</v>
      </c>
      <c r="U491" s="9" t="s">
        <v>67</v>
      </c>
      <c r="V491" s="9" t="s">
        <v>130</v>
      </c>
      <c r="W491" s="9" t="s">
        <v>131</v>
      </c>
      <c r="X491" s="11">
        <v>50</v>
      </c>
      <c r="Y491" s="9" t="s">
        <v>365</v>
      </c>
      <c r="Z491" s="9" t="s">
        <v>68</v>
      </c>
      <c r="AA491" s="9" t="s">
        <v>366</v>
      </c>
      <c r="AB491" s="9" t="s">
        <v>67</v>
      </c>
      <c r="AC491" s="9" t="s">
        <v>357</v>
      </c>
      <c r="AD491" s="11">
        <v>5</v>
      </c>
      <c r="AE491" s="9" t="s">
        <v>70</v>
      </c>
      <c r="AF491" s="9" t="s">
        <v>71</v>
      </c>
      <c r="AG491" s="13">
        <v>1</v>
      </c>
      <c r="AH491" s="9" t="s">
        <v>92</v>
      </c>
      <c r="AI491" s="13">
        <v>1212600</v>
      </c>
      <c r="AJ491" s="13">
        <v>6063000</v>
      </c>
      <c r="AK491" s="11">
        <v>0</v>
      </c>
      <c r="AL491" s="11">
        <v>0</v>
      </c>
      <c r="AM491" s="11">
        <v>0</v>
      </c>
      <c r="AN491" s="9" t="s">
        <v>67</v>
      </c>
      <c r="AO491" s="11">
        <v>6063000</v>
      </c>
      <c r="AP491" s="13">
        <v>485040</v>
      </c>
      <c r="AQ491" s="13">
        <v>6548040</v>
      </c>
      <c r="AR491" s="11">
        <v>98</v>
      </c>
      <c r="AS491" s="9" t="s">
        <v>72</v>
      </c>
      <c r="AT491" s="11">
        <v>100</v>
      </c>
      <c r="AU491" s="9" t="s">
        <v>73</v>
      </c>
      <c r="AV491" s="9" t="s">
        <v>67</v>
      </c>
      <c r="AW491" s="9" t="s">
        <v>1433</v>
      </c>
      <c r="AX491" s="10">
        <v>45974</v>
      </c>
      <c r="AY491" s="9" t="s">
        <v>1434</v>
      </c>
      <c r="AZ491" s="9" t="s">
        <v>67</v>
      </c>
      <c r="BA491" s="9" t="s">
        <v>67</v>
      </c>
      <c r="BB491" s="12">
        <v>100</v>
      </c>
      <c r="BC491" s="9" t="s">
        <v>74</v>
      </c>
      <c r="BD491" s="9" t="s">
        <v>104</v>
      </c>
      <c r="BE491" s="9" t="s">
        <v>75</v>
      </c>
      <c r="BF491" s="11">
        <v>0</v>
      </c>
      <c r="BG491">
        <f t="shared" si="16"/>
        <v>12</v>
      </c>
      <c r="BH491" t="str">
        <f>VLOOKUP(BG491,[1]month!$A:$B,2,0)</f>
        <v>Desember</v>
      </c>
      <c r="BI491">
        <f t="shared" si="17"/>
        <v>2025</v>
      </c>
      <c r="BJ491" t="str">
        <f>VLOOKUP(I491,[1]Dist!$A:$B,2,0)</f>
        <v>Industry</v>
      </c>
      <c r="BK491" t="str">
        <f>IF(I491=11,VLOOKUP(Y491,[2]Sheet1!$C:$N,10,0),IF(I491=13,VLOOKUP(Y491,[3]Sheet1!$C:$N,10,0),IF(I491=15,VLOOKUP(Y491,[4]Sheet1!$C:$N,10,0),"Unknown")))</f>
        <v>NC</v>
      </c>
      <c r="BL491" t="str">
        <f>IF(I491=11,VLOOKUP(Y491,[2]Sheet1!$C:$N,12,0),IF(I491=13,VLOOKUP(Y491,[3]Sheet1!$C:$N,12,0),IF(I491=15,VLOOKUP(Y491,[4]Sheet1!$C:$N,12,0),"Unknown")))</f>
        <v>NC SYSTEM</v>
      </c>
      <c r="BM491" t="str">
        <f>VLOOKUP(W491,[1]branch!$A:$B,2,0)</f>
        <v>INDUSTRY</v>
      </c>
    </row>
    <row r="492" spans="1:65" x14ac:dyDescent="0.35">
      <c r="A492" s="10">
        <v>45996</v>
      </c>
      <c r="B492" s="9" t="s">
        <v>1432</v>
      </c>
      <c r="C492" s="9" t="s">
        <v>64</v>
      </c>
      <c r="D492" s="9" t="s">
        <v>92</v>
      </c>
      <c r="E492" s="11">
        <v>45</v>
      </c>
      <c r="F492" s="9" t="s">
        <v>93</v>
      </c>
      <c r="G492" s="9" t="s">
        <v>65</v>
      </c>
      <c r="H492" s="9" t="s">
        <v>66</v>
      </c>
      <c r="I492" s="9">
        <v>11</v>
      </c>
      <c r="J492" s="9" t="s">
        <v>1418</v>
      </c>
      <c r="K492" s="9" t="s">
        <v>1418</v>
      </c>
      <c r="L492" s="9" t="s">
        <v>1418</v>
      </c>
      <c r="M492" s="9" t="s">
        <v>1419</v>
      </c>
      <c r="N492" s="9" t="s">
        <v>1420</v>
      </c>
      <c r="O492" s="9" t="s">
        <v>97</v>
      </c>
      <c r="P492" s="9" t="s">
        <v>67</v>
      </c>
      <c r="Q492" s="9" t="s">
        <v>98</v>
      </c>
      <c r="R492" s="9" t="s">
        <v>1418</v>
      </c>
      <c r="S492" s="9" t="s">
        <v>1419</v>
      </c>
      <c r="T492" s="9" t="s">
        <v>1421</v>
      </c>
      <c r="U492" s="9" t="s">
        <v>67</v>
      </c>
      <c r="V492" s="9" t="s">
        <v>130</v>
      </c>
      <c r="W492" s="9" t="s">
        <v>131</v>
      </c>
      <c r="X492" s="11">
        <v>90</v>
      </c>
      <c r="Y492" s="9" t="s">
        <v>148</v>
      </c>
      <c r="Z492" s="9" t="s">
        <v>68</v>
      </c>
      <c r="AA492" s="9" t="s">
        <v>149</v>
      </c>
      <c r="AB492" s="9" t="s">
        <v>67</v>
      </c>
      <c r="AC492" s="9" t="s">
        <v>69</v>
      </c>
      <c r="AD492" s="11">
        <v>1</v>
      </c>
      <c r="AE492" s="9" t="s">
        <v>70</v>
      </c>
      <c r="AF492" s="9" t="s">
        <v>71</v>
      </c>
      <c r="AG492" s="13">
        <v>1</v>
      </c>
      <c r="AH492" s="9" t="s">
        <v>92</v>
      </c>
      <c r="AI492" s="13">
        <v>7746000</v>
      </c>
      <c r="AJ492" s="13">
        <v>7746000</v>
      </c>
      <c r="AK492" s="11">
        <v>0</v>
      </c>
      <c r="AL492" s="11">
        <v>0</v>
      </c>
      <c r="AM492" s="11">
        <v>0</v>
      </c>
      <c r="AN492" s="9" t="s">
        <v>67</v>
      </c>
      <c r="AO492" s="11">
        <v>7746000</v>
      </c>
      <c r="AP492" s="13">
        <v>619680</v>
      </c>
      <c r="AQ492" s="13">
        <v>8365680</v>
      </c>
      <c r="AR492" s="11">
        <v>180</v>
      </c>
      <c r="AS492" s="9" t="s">
        <v>72</v>
      </c>
      <c r="AT492" s="11">
        <v>200</v>
      </c>
      <c r="AU492" s="9" t="s">
        <v>73</v>
      </c>
      <c r="AV492" s="9" t="s">
        <v>67</v>
      </c>
      <c r="AW492" s="9" t="s">
        <v>1433</v>
      </c>
      <c r="AX492" s="10">
        <v>45974</v>
      </c>
      <c r="AY492" s="9" t="s">
        <v>1434</v>
      </c>
      <c r="AZ492" s="9" t="s">
        <v>67</v>
      </c>
      <c r="BA492" s="9" t="s">
        <v>67</v>
      </c>
      <c r="BB492" s="12">
        <v>200</v>
      </c>
      <c r="BC492" s="9" t="s">
        <v>74</v>
      </c>
      <c r="BD492" s="9" t="s">
        <v>104</v>
      </c>
      <c r="BE492" s="9" t="s">
        <v>75</v>
      </c>
      <c r="BF492" s="11">
        <v>0</v>
      </c>
      <c r="BG492">
        <f t="shared" si="16"/>
        <v>12</v>
      </c>
      <c r="BH492" t="str">
        <f>VLOOKUP(BG492,[1]month!$A:$B,2,0)</f>
        <v>Desember</v>
      </c>
      <c r="BI492">
        <f t="shared" si="17"/>
        <v>2025</v>
      </c>
      <c r="BJ492" t="str">
        <f>VLOOKUP(I492,[1]Dist!$A:$B,2,0)</f>
        <v>Industry</v>
      </c>
      <c r="BK492" t="str">
        <f>IF(I492=11,VLOOKUP(Y492,[2]Sheet1!$C:$N,10,0),IF(I492=13,VLOOKUP(Y492,[3]Sheet1!$C:$N,10,0),IF(I492=15,VLOOKUP(Y492,[4]Sheet1!$C:$N,10,0),"Unknown")))</f>
        <v>THINNER NC</v>
      </c>
      <c r="BL492" t="str">
        <f>IF(I492=11,VLOOKUP(Y492,[2]Sheet1!$C:$N,12,0),IF(I492=13,VLOOKUP(Y492,[3]Sheet1!$C:$N,12,0),IF(I492=15,VLOOKUP(Y492,[4]Sheet1!$C:$N,12,0),"Unknown")))</f>
        <v>THINNER NC</v>
      </c>
      <c r="BM492" t="str">
        <f>VLOOKUP(W492,[1]branch!$A:$B,2,0)</f>
        <v>INDUSTRY</v>
      </c>
    </row>
    <row r="493" spans="1:65" x14ac:dyDescent="0.35">
      <c r="A493" s="10">
        <v>45996</v>
      </c>
      <c r="B493" s="9" t="s">
        <v>1435</v>
      </c>
      <c r="C493" s="9" t="s">
        <v>64</v>
      </c>
      <c r="D493" s="9" t="s">
        <v>92</v>
      </c>
      <c r="E493" s="11">
        <v>45</v>
      </c>
      <c r="F493" s="9" t="s">
        <v>93</v>
      </c>
      <c r="G493" s="9" t="s">
        <v>65</v>
      </c>
      <c r="H493" s="9" t="s">
        <v>66</v>
      </c>
      <c r="I493" s="9">
        <v>11</v>
      </c>
      <c r="J493" s="9" t="s">
        <v>1418</v>
      </c>
      <c r="K493" s="9" t="s">
        <v>1418</v>
      </c>
      <c r="L493" s="9" t="s">
        <v>1418</v>
      </c>
      <c r="M493" s="9" t="s">
        <v>1419</v>
      </c>
      <c r="N493" s="9" t="s">
        <v>1420</v>
      </c>
      <c r="O493" s="9" t="s">
        <v>97</v>
      </c>
      <c r="P493" s="9" t="s">
        <v>67</v>
      </c>
      <c r="Q493" s="9" t="s">
        <v>98</v>
      </c>
      <c r="R493" s="9" t="s">
        <v>1418</v>
      </c>
      <c r="S493" s="9" t="s">
        <v>1419</v>
      </c>
      <c r="T493" s="9" t="s">
        <v>1421</v>
      </c>
      <c r="U493" s="9" t="s">
        <v>67</v>
      </c>
      <c r="V493" s="9" t="s">
        <v>130</v>
      </c>
      <c r="W493" s="9" t="s">
        <v>131</v>
      </c>
      <c r="X493" s="11">
        <v>10</v>
      </c>
      <c r="Y493" s="9" t="s">
        <v>1436</v>
      </c>
      <c r="Z493" s="9" t="s">
        <v>68</v>
      </c>
      <c r="AA493" s="9" t="s">
        <v>1437</v>
      </c>
      <c r="AB493" s="9" t="s">
        <v>67</v>
      </c>
      <c r="AC493" s="9" t="s">
        <v>188</v>
      </c>
      <c r="AD493" s="11">
        <v>5</v>
      </c>
      <c r="AE493" s="9" t="s">
        <v>70</v>
      </c>
      <c r="AF493" s="9" t="s">
        <v>71</v>
      </c>
      <c r="AG493" s="13">
        <v>1</v>
      </c>
      <c r="AH493" s="9" t="s">
        <v>92</v>
      </c>
      <c r="AI493" s="13">
        <v>1425600</v>
      </c>
      <c r="AJ493" s="13">
        <v>7128000</v>
      </c>
      <c r="AK493" s="11">
        <v>0</v>
      </c>
      <c r="AL493" s="11">
        <v>0</v>
      </c>
      <c r="AM493" s="11">
        <v>0</v>
      </c>
      <c r="AN493" s="9" t="s">
        <v>67</v>
      </c>
      <c r="AO493" s="11">
        <v>7128000</v>
      </c>
      <c r="AP493" s="13">
        <v>570240</v>
      </c>
      <c r="AQ493" s="13">
        <v>7698240</v>
      </c>
      <c r="AR493" s="11">
        <v>80</v>
      </c>
      <c r="AS493" s="9" t="s">
        <v>72</v>
      </c>
      <c r="AT493" s="12">
        <v>91.954999999999998</v>
      </c>
      <c r="AU493" s="9" t="s">
        <v>73</v>
      </c>
      <c r="AV493" s="9" t="s">
        <v>67</v>
      </c>
      <c r="AW493" s="9" t="s">
        <v>1438</v>
      </c>
      <c r="AX493" s="10">
        <v>45930</v>
      </c>
      <c r="AY493" s="9" t="s">
        <v>1439</v>
      </c>
      <c r="AZ493" s="9" t="s">
        <v>67</v>
      </c>
      <c r="BA493" s="9" t="s">
        <v>67</v>
      </c>
      <c r="BB493" s="12">
        <v>80</v>
      </c>
      <c r="BC493" s="9" t="s">
        <v>74</v>
      </c>
      <c r="BD493" s="9" t="s">
        <v>104</v>
      </c>
      <c r="BE493" s="9" t="s">
        <v>75</v>
      </c>
      <c r="BF493" s="11">
        <v>0</v>
      </c>
      <c r="BG493">
        <f t="shared" si="16"/>
        <v>12</v>
      </c>
      <c r="BH493" t="str">
        <f>VLOOKUP(BG493,[1]month!$A:$B,2,0)</f>
        <v>Desember</v>
      </c>
      <c r="BI493">
        <f t="shared" si="17"/>
        <v>2025</v>
      </c>
      <c r="BJ493" t="str">
        <f>VLOOKUP(I493,[1]Dist!$A:$B,2,0)</f>
        <v>Industry</v>
      </c>
      <c r="BK493" t="str">
        <f>IF(I493=11,VLOOKUP(Y493,[2]Sheet1!$C:$N,10,0),IF(I493=13,VLOOKUP(Y493,[3]Sheet1!$C:$N,10,0),IF(I493=15,VLOOKUP(Y493,[4]Sheet1!$C:$N,10,0),"Unknown")))</f>
        <v>ALKYD OIL</v>
      </c>
      <c r="BL493" t="str">
        <f>IF(I493=11,VLOOKUP(Y493,[2]Sheet1!$C:$N,12,0),IF(I493=13,VLOOKUP(Y493,[3]Sheet1!$C:$N,12,0),IF(I493=15,VLOOKUP(Y493,[4]Sheet1!$C:$N,12,0),"Unknown")))</f>
        <v>ALKYD &amp; OIL SYSTEM</v>
      </c>
      <c r="BM493" t="str">
        <f>VLOOKUP(W493,[1]branch!$A:$B,2,0)</f>
        <v>INDUSTRY</v>
      </c>
    </row>
    <row r="494" spans="1:65" x14ac:dyDescent="0.35">
      <c r="A494" s="10">
        <v>45996</v>
      </c>
      <c r="B494" s="9" t="s">
        <v>1440</v>
      </c>
      <c r="C494" s="9" t="s">
        <v>64</v>
      </c>
      <c r="D494" s="9" t="s">
        <v>92</v>
      </c>
      <c r="E494" s="11">
        <v>45</v>
      </c>
      <c r="F494" s="9" t="s">
        <v>93</v>
      </c>
      <c r="G494" s="9" t="s">
        <v>65</v>
      </c>
      <c r="H494" s="9" t="s">
        <v>66</v>
      </c>
      <c r="I494" s="9">
        <v>11</v>
      </c>
      <c r="J494" s="9" t="s">
        <v>1418</v>
      </c>
      <c r="K494" s="9" t="s">
        <v>1418</v>
      </c>
      <c r="L494" s="9" t="s">
        <v>1418</v>
      </c>
      <c r="M494" s="9" t="s">
        <v>1419</v>
      </c>
      <c r="N494" s="9" t="s">
        <v>1420</v>
      </c>
      <c r="O494" s="9" t="s">
        <v>97</v>
      </c>
      <c r="P494" s="9" t="s">
        <v>67</v>
      </c>
      <c r="Q494" s="9" t="s">
        <v>98</v>
      </c>
      <c r="R494" s="9" t="s">
        <v>1418</v>
      </c>
      <c r="S494" s="9" t="s">
        <v>1419</v>
      </c>
      <c r="T494" s="9" t="s">
        <v>1421</v>
      </c>
      <c r="U494" s="9" t="s">
        <v>67</v>
      </c>
      <c r="V494" s="9" t="s">
        <v>130</v>
      </c>
      <c r="W494" s="9" t="s">
        <v>131</v>
      </c>
      <c r="X494" s="11">
        <v>10</v>
      </c>
      <c r="Y494" s="9" t="s">
        <v>1441</v>
      </c>
      <c r="Z494" s="9" t="s">
        <v>68</v>
      </c>
      <c r="AA494" s="9" t="s">
        <v>1442</v>
      </c>
      <c r="AB494" s="9" t="s">
        <v>67</v>
      </c>
      <c r="AC494" s="9" t="s">
        <v>561</v>
      </c>
      <c r="AD494" s="11">
        <v>1</v>
      </c>
      <c r="AE494" s="9" t="s">
        <v>70</v>
      </c>
      <c r="AF494" s="9" t="s">
        <v>71</v>
      </c>
      <c r="AG494" s="13">
        <v>1</v>
      </c>
      <c r="AH494" s="9" t="s">
        <v>92</v>
      </c>
      <c r="AI494" s="13">
        <v>817600</v>
      </c>
      <c r="AJ494" s="13">
        <v>817600</v>
      </c>
      <c r="AK494" s="11">
        <v>0</v>
      </c>
      <c r="AL494" s="11">
        <v>0</v>
      </c>
      <c r="AM494" s="11">
        <v>0</v>
      </c>
      <c r="AN494" s="9" t="s">
        <v>67</v>
      </c>
      <c r="AO494" s="11">
        <v>817600</v>
      </c>
      <c r="AP494" s="13">
        <v>65408</v>
      </c>
      <c r="AQ494" s="13">
        <v>883008</v>
      </c>
      <c r="AR494" s="11">
        <v>4</v>
      </c>
      <c r="AS494" s="9" t="s">
        <v>72</v>
      </c>
      <c r="AT494" s="12">
        <v>3.306</v>
      </c>
      <c r="AU494" s="9" t="s">
        <v>73</v>
      </c>
      <c r="AV494" s="9" t="s">
        <v>67</v>
      </c>
      <c r="AW494" s="9" t="s">
        <v>1443</v>
      </c>
      <c r="AX494" s="10">
        <v>45979</v>
      </c>
      <c r="AY494" s="9" t="s">
        <v>1444</v>
      </c>
      <c r="AZ494" s="9" t="s">
        <v>67</v>
      </c>
      <c r="BA494" s="9" t="s">
        <v>67</v>
      </c>
      <c r="BB494" s="12">
        <v>4</v>
      </c>
      <c r="BC494" s="9" t="s">
        <v>74</v>
      </c>
      <c r="BD494" s="9" t="s">
        <v>104</v>
      </c>
      <c r="BE494" s="9" t="s">
        <v>75</v>
      </c>
      <c r="BF494" s="11">
        <v>0</v>
      </c>
      <c r="BG494">
        <f t="shared" si="16"/>
        <v>12</v>
      </c>
      <c r="BH494" t="str">
        <f>VLOOKUP(BG494,[1]month!$A:$B,2,0)</f>
        <v>Desember</v>
      </c>
      <c r="BI494">
        <f t="shared" si="17"/>
        <v>2025</v>
      </c>
      <c r="BJ494" t="str">
        <f>VLOOKUP(I494,[1]Dist!$A:$B,2,0)</f>
        <v>Industry</v>
      </c>
      <c r="BK494" t="str">
        <f>IF(I494=11,VLOOKUP(Y494,[2]Sheet1!$C:$N,10,0),IF(I494=13,VLOOKUP(Y494,[3]Sheet1!$C:$N,10,0),IF(I494=15,VLOOKUP(Y494,[4]Sheet1!$C:$N,10,0),"Unknown")))</f>
        <v>COMPLEMENTARY</v>
      </c>
      <c r="BL494" t="str">
        <f>IF(I494=11,VLOOKUP(Y494,[2]Sheet1!$C:$N,12,0),IF(I494=13,VLOOKUP(Y494,[3]Sheet1!$C:$N,12,0),IF(I494=15,VLOOKUP(Y494,[4]Sheet1!$C:$N,12,0),"Unknown")))</f>
        <v>PASTA</v>
      </c>
      <c r="BM494" t="str">
        <f>VLOOKUP(W494,[1]branch!$A:$B,2,0)</f>
        <v>INDUSTRY</v>
      </c>
    </row>
    <row r="495" spans="1:65" x14ac:dyDescent="0.35">
      <c r="A495" s="10">
        <v>45996</v>
      </c>
      <c r="B495" s="9" t="s">
        <v>1440</v>
      </c>
      <c r="C495" s="9" t="s">
        <v>64</v>
      </c>
      <c r="D495" s="9" t="s">
        <v>92</v>
      </c>
      <c r="E495" s="11">
        <v>45</v>
      </c>
      <c r="F495" s="9" t="s">
        <v>93</v>
      </c>
      <c r="G495" s="9" t="s">
        <v>65</v>
      </c>
      <c r="H495" s="9" t="s">
        <v>66</v>
      </c>
      <c r="I495" s="9">
        <v>11</v>
      </c>
      <c r="J495" s="9" t="s">
        <v>1418</v>
      </c>
      <c r="K495" s="9" t="s">
        <v>1418</v>
      </c>
      <c r="L495" s="9" t="s">
        <v>1418</v>
      </c>
      <c r="M495" s="9" t="s">
        <v>1419</v>
      </c>
      <c r="N495" s="9" t="s">
        <v>1420</v>
      </c>
      <c r="O495" s="9" t="s">
        <v>97</v>
      </c>
      <c r="P495" s="9" t="s">
        <v>67</v>
      </c>
      <c r="Q495" s="9" t="s">
        <v>98</v>
      </c>
      <c r="R495" s="9" t="s">
        <v>1418</v>
      </c>
      <c r="S495" s="9" t="s">
        <v>1419</v>
      </c>
      <c r="T495" s="9" t="s">
        <v>1421</v>
      </c>
      <c r="U495" s="9" t="s">
        <v>67</v>
      </c>
      <c r="V495" s="9" t="s">
        <v>130</v>
      </c>
      <c r="W495" s="9" t="s">
        <v>131</v>
      </c>
      <c r="X495" s="11">
        <v>40</v>
      </c>
      <c r="Y495" s="9" t="s">
        <v>587</v>
      </c>
      <c r="Z495" s="9" t="s">
        <v>68</v>
      </c>
      <c r="AA495" s="9" t="s">
        <v>588</v>
      </c>
      <c r="AB495" s="9" t="s">
        <v>67</v>
      </c>
      <c r="AC495" s="9" t="s">
        <v>373</v>
      </c>
      <c r="AD495" s="11">
        <v>1</v>
      </c>
      <c r="AE495" s="9" t="s">
        <v>70</v>
      </c>
      <c r="AF495" s="9" t="s">
        <v>71</v>
      </c>
      <c r="AG495" s="13">
        <v>1</v>
      </c>
      <c r="AH495" s="9" t="s">
        <v>92</v>
      </c>
      <c r="AI495" s="13">
        <v>470400</v>
      </c>
      <c r="AJ495" s="13">
        <v>470400</v>
      </c>
      <c r="AK495" s="11">
        <v>0</v>
      </c>
      <c r="AL495" s="11">
        <v>0</v>
      </c>
      <c r="AM495" s="11">
        <v>0</v>
      </c>
      <c r="AN495" s="9" t="s">
        <v>67</v>
      </c>
      <c r="AO495" s="11">
        <v>470400</v>
      </c>
      <c r="AP495" s="13">
        <v>37632</v>
      </c>
      <c r="AQ495" s="13">
        <v>508032</v>
      </c>
      <c r="AR495" s="11">
        <v>4</v>
      </c>
      <c r="AS495" s="9" t="s">
        <v>72</v>
      </c>
      <c r="AT495" s="12">
        <v>3.74</v>
      </c>
      <c r="AU495" s="9" t="s">
        <v>73</v>
      </c>
      <c r="AV495" s="9" t="s">
        <v>67</v>
      </c>
      <c r="AW495" s="9" t="s">
        <v>1443</v>
      </c>
      <c r="AX495" s="10">
        <v>45979</v>
      </c>
      <c r="AY495" s="9" t="s">
        <v>1444</v>
      </c>
      <c r="AZ495" s="9" t="s">
        <v>67</v>
      </c>
      <c r="BA495" s="9" t="s">
        <v>67</v>
      </c>
      <c r="BB495" s="12">
        <v>4</v>
      </c>
      <c r="BC495" s="9" t="s">
        <v>74</v>
      </c>
      <c r="BD495" s="9" t="s">
        <v>104</v>
      </c>
      <c r="BE495" s="9" t="s">
        <v>75</v>
      </c>
      <c r="BF495" s="11">
        <v>0</v>
      </c>
      <c r="BG495">
        <f t="shared" si="16"/>
        <v>12</v>
      </c>
      <c r="BH495" t="str">
        <f>VLOOKUP(BG495,[1]month!$A:$B,2,0)</f>
        <v>Desember</v>
      </c>
      <c r="BI495">
        <f t="shared" si="17"/>
        <v>2025</v>
      </c>
      <c r="BJ495" t="str">
        <f>VLOOKUP(I495,[1]Dist!$A:$B,2,0)</f>
        <v>Industry</v>
      </c>
      <c r="BK495" t="str">
        <f>IF(I495=11,VLOOKUP(Y495,[2]Sheet1!$C:$N,10,0),IF(I495=13,VLOOKUP(Y495,[3]Sheet1!$C:$N,10,0),IF(I495=15,VLOOKUP(Y495,[4]Sheet1!$C:$N,10,0),"Unknown")))</f>
        <v>STAIN &amp; GLAZE INTERIOR</v>
      </c>
      <c r="BL495" t="str">
        <f>IF(I495=11,VLOOKUP(Y495,[2]Sheet1!$C:$N,12,0),IF(I495=13,VLOOKUP(Y495,[3]Sheet1!$C:$N,12,0),IF(I495=15,VLOOKUP(Y495,[4]Sheet1!$C:$N,12,0),"Unknown")))</f>
        <v>STAIN INTERIOR</v>
      </c>
      <c r="BM495" t="str">
        <f>VLOOKUP(W495,[1]branch!$A:$B,2,0)</f>
        <v>INDUSTRY</v>
      </c>
    </row>
    <row r="496" spans="1:65" x14ac:dyDescent="0.35">
      <c r="A496" s="10">
        <v>45996</v>
      </c>
      <c r="B496" s="9" t="s">
        <v>1440</v>
      </c>
      <c r="C496" s="9" t="s">
        <v>64</v>
      </c>
      <c r="D496" s="9" t="s">
        <v>92</v>
      </c>
      <c r="E496" s="11">
        <v>45</v>
      </c>
      <c r="F496" s="9" t="s">
        <v>93</v>
      </c>
      <c r="G496" s="9" t="s">
        <v>65</v>
      </c>
      <c r="H496" s="9" t="s">
        <v>66</v>
      </c>
      <c r="I496" s="9">
        <v>11</v>
      </c>
      <c r="J496" s="9" t="s">
        <v>1418</v>
      </c>
      <c r="K496" s="9" t="s">
        <v>1418</v>
      </c>
      <c r="L496" s="9" t="s">
        <v>1418</v>
      </c>
      <c r="M496" s="9" t="s">
        <v>1419</v>
      </c>
      <c r="N496" s="9" t="s">
        <v>1420</v>
      </c>
      <c r="O496" s="9" t="s">
        <v>97</v>
      </c>
      <c r="P496" s="9" t="s">
        <v>67</v>
      </c>
      <c r="Q496" s="9" t="s">
        <v>98</v>
      </c>
      <c r="R496" s="9" t="s">
        <v>1418</v>
      </c>
      <c r="S496" s="9" t="s">
        <v>1419</v>
      </c>
      <c r="T496" s="9" t="s">
        <v>1421</v>
      </c>
      <c r="U496" s="9" t="s">
        <v>67</v>
      </c>
      <c r="V496" s="9" t="s">
        <v>130</v>
      </c>
      <c r="W496" s="9" t="s">
        <v>131</v>
      </c>
      <c r="X496" s="11">
        <v>50</v>
      </c>
      <c r="Y496" s="9" t="s">
        <v>1445</v>
      </c>
      <c r="Z496" s="9" t="s">
        <v>68</v>
      </c>
      <c r="AA496" s="9" t="s">
        <v>1446</v>
      </c>
      <c r="AB496" s="9" t="s">
        <v>67</v>
      </c>
      <c r="AC496" s="9" t="s">
        <v>373</v>
      </c>
      <c r="AD496" s="11">
        <v>1</v>
      </c>
      <c r="AE496" s="9" t="s">
        <v>70</v>
      </c>
      <c r="AF496" s="9" t="s">
        <v>71</v>
      </c>
      <c r="AG496" s="13">
        <v>1</v>
      </c>
      <c r="AH496" s="9" t="s">
        <v>92</v>
      </c>
      <c r="AI496" s="13">
        <v>1292000</v>
      </c>
      <c r="AJ496" s="13">
        <v>1292000</v>
      </c>
      <c r="AK496" s="11">
        <v>0</v>
      </c>
      <c r="AL496" s="11">
        <v>0</v>
      </c>
      <c r="AM496" s="11">
        <v>0</v>
      </c>
      <c r="AN496" s="9" t="s">
        <v>67</v>
      </c>
      <c r="AO496" s="11">
        <v>1292000</v>
      </c>
      <c r="AP496" s="13">
        <v>103360</v>
      </c>
      <c r="AQ496" s="13">
        <v>1395360</v>
      </c>
      <c r="AR496" s="11">
        <v>4</v>
      </c>
      <c r="AS496" s="9" t="s">
        <v>72</v>
      </c>
      <c r="AT496" s="12">
        <v>4.444</v>
      </c>
      <c r="AU496" s="9" t="s">
        <v>73</v>
      </c>
      <c r="AV496" s="9" t="s">
        <v>67</v>
      </c>
      <c r="AW496" s="9" t="s">
        <v>1443</v>
      </c>
      <c r="AX496" s="10">
        <v>45979</v>
      </c>
      <c r="AY496" s="9" t="s">
        <v>1444</v>
      </c>
      <c r="AZ496" s="9" t="s">
        <v>67</v>
      </c>
      <c r="BA496" s="9" t="s">
        <v>67</v>
      </c>
      <c r="BB496" s="12">
        <v>4</v>
      </c>
      <c r="BC496" s="9" t="s">
        <v>74</v>
      </c>
      <c r="BD496" s="9" t="s">
        <v>104</v>
      </c>
      <c r="BE496" s="9" t="s">
        <v>75</v>
      </c>
      <c r="BF496" s="11">
        <v>0</v>
      </c>
      <c r="BG496">
        <f t="shared" si="16"/>
        <v>12</v>
      </c>
      <c r="BH496" t="str">
        <f>VLOOKUP(BG496,[1]month!$A:$B,2,0)</f>
        <v>Desember</v>
      </c>
      <c r="BI496">
        <f t="shared" si="17"/>
        <v>2025</v>
      </c>
      <c r="BJ496" t="str">
        <f>VLOOKUP(I496,[1]Dist!$A:$B,2,0)</f>
        <v>Industry</v>
      </c>
      <c r="BK496" t="str">
        <f>IF(I496=11,VLOOKUP(Y496,[2]Sheet1!$C:$N,10,0),IF(I496=13,VLOOKUP(Y496,[3]Sheet1!$C:$N,10,0),IF(I496=15,VLOOKUP(Y496,[4]Sheet1!$C:$N,10,0),"Unknown")))</f>
        <v>STAIN &amp; GLAZE INTERIOR</v>
      </c>
      <c r="BL496" t="str">
        <f>IF(I496=11,VLOOKUP(Y496,[2]Sheet1!$C:$N,12,0),IF(I496=13,VLOOKUP(Y496,[3]Sheet1!$C:$N,12,0),IF(I496=15,VLOOKUP(Y496,[4]Sheet1!$C:$N,12,0),"Unknown")))</f>
        <v>STAIN INTERIOR</v>
      </c>
      <c r="BM496" t="str">
        <f>VLOOKUP(W496,[1]branch!$A:$B,2,0)</f>
        <v>INDUSTRY</v>
      </c>
    </row>
    <row r="497" spans="1:65" x14ac:dyDescent="0.35">
      <c r="A497" s="10">
        <v>45996</v>
      </c>
      <c r="B497" s="9" t="s">
        <v>1447</v>
      </c>
      <c r="C497" s="9" t="s">
        <v>64</v>
      </c>
      <c r="D497" s="9" t="s">
        <v>92</v>
      </c>
      <c r="E497" s="11">
        <v>45</v>
      </c>
      <c r="F497" s="9" t="s">
        <v>93</v>
      </c>
      <c r="G497" s="9" t="s">
        <v>65</v>
      </c>
      <c r="H497" s="9" t="s">
        <v>66</v>
      </c>
      <c r="I497" s="9">
        <v>11</v>
      </c>
      <c r="J497" s="9" t="s">
        <v>1418</v>
      </c>
      <c r="K497" s="9" t="s">
        <v>1418</v>
      </c>
      <c r="L497" s="9" t="s">
        <v>1418</v>
      </c>
      <c r="M497" s="9" t="s">
        <v>1419</v>
      </c>
      <c r="N497" s="9" t="s">
        <v>1420</v>
      </c>
      <c r="O497" s="9" t="s">
        <v>97</v>
      </c>
      <c r="P497" s="9" t="s">
        <v>67</v>
      </c>
      <c r="Q497" s="9" t="s">
        <v>98</v>
      </c>
      <c r="R497" s="9" t="s">
        <v>1418</v>
      </c>
      <c r="S497" s="9" t="s">
        <v>1419</v>
      </c>
      <c r="T497" s="9" t="s">
        <v>1421</v>
      </c>
      <c r="U497" s="9" t="s">
        <v>67</v>
      </c>
      <c r="V497" s="9" t="s">
        <v>130</v>
      </c>
      <c r="W497" s="9" t="s">
        <v>131</v>
      </c>
      <c r="X497" s="11">
        <v>40</v>
      </c>
      <c r="Y497" s="9" t="s">
        <v>1448</v>
      </c>
      <c r="Z497" s="9" t="s">
        <v>68</v>
      </c>
      <c r="AA497" s="9" t="s">
        <v>1449</v>
      </c>
      <c r="AB497" s="9" t="s">
        <v>67</v>
      </c>
      <c r="AC497" s="9" t="s">
        <v>367</v>
      </c>
      <c r="AD497" s="11">
        <v>5</v>
      </c>
      <c r="AE497" s="9" t="s">
        <v>70</v>
      </c>
      <c r="AF497" s="9" t="s">
        <v>71</v>
      </c>
      <c r="AG497" s="13">
        <v>1</v>
      </c>
      <c r="AH497" s="9" t="s">
        <v>92</v>
      </c>
      <c r="AI497" s="13">
        <v>1930000</v>
      </c>
      <c r="AJ497" s="13">
        <v>9650000</v>
      </c>
      <c r="AK497" s="11">
        <v>0</v>
      </c>
      <c r="AL497" s="11">
        <v>0</v>
      </c>
      <c r="AM497" s="11">
        <v>0</v>
      </c>
      <c r="AN497" s="9" t="s">
        <v>67</v>
      </c>
      <c r="AO497" s="11">
        <v>9650000</v>
      </c>
      <c r="AP497" s="13">
        <v>772000</v>
      </c>
      <c r="AQ497" s="13">
        <v>10422000</v>
      </c>
      <c r="AR497" s="11">
        <v>100</v>
      </c>
      <c r="AS497" s="9" t="s">
        <v>72</v>
      </c>
      <c r="AT497" s="11">
        <v>100</v>
      </c>
      <c r="AU497" s="9" t="s">
        <v>73</v>
      </c>
      <c r="AV497" s="9" t="s">
        <v>67</v>
      </c>
      <c r="AW497" s="9" t="s">
        <v>1450</v>
      </c>
      <c r="AX497" s="10">
        <v>45989</v>
      </c>
      <c r="AY497" s="9" t="s">
        <v>1451</v>
      </c>
      <c r="AZ497" s="9" t="s">
        <v>67</v>
      </c>
      <c r="BA497" s="9" t="s">
        <v>67</v>
      </c>
      <c r="BB497" s="12">
        <v>100</v>
      </c>
      <c r="BC497" s="9" t="s">
        <v>74</v>
      </c>
      <c r="BD497" s="9" t="s">
        <v>104</v>
      </c>
      <c r="BE497" s="9" t="s">
        <v>75</v>
      </c>
      <c r="BF497" s="11">
        <v>0</v>
      </c>
      <c r="BG497">
        <f t="shared" si="16"/>
        <v>12</v>
      </c>
      <c r="BH497" t="str">
        <f>VLOOKUP(BG497,[1]month!$A:$B,2,0)</f>
        <v>Desember</v>
      </c>
      <c r="BI497">
        <f t="shared" si="17"/>
        <v>2025</v>
      </c>
      <c r="BJ497" t="str">
        <f>VLOOKUP(I497,[1]Dist!$A:$B,2,0)</f>
        <v>Industry</v>
      </c>
      <c r="BK497" t="str">
        <f>IF(I497=11,VLOOKUP(Y497,[2]Sheet1!$C:$N,10,0),IF(I497=13,VLOOKUP(Y497,[3]Sheet1!$C:$N,10,0),IF(I497=15,VLOOKUP(Y497,[4]Sheet1!$C:$N,10,0),"Unknown")))</f>
        <v>NC</v>
      </c>
      <c r="BL497" t="str">
        <f>IF(I497=11,VLOOKUP(Y497,[2]Sheet1!$C:$N,12,0),IF(I497=13,VLOOKUP(Y497,[3]Sheet1!$C:$N,12,0),IF(I497=15,VLOOKUP(Y497,[4]Sheet1!$C:$N,12,0),"Unknown")))</f>
        <v>NC SYSTEM</v>
      </c>
      <c r="BM497" t="str">
        <f>VLOOKUP(W497,[1]branch!$A:$B,2,0)</f>
        <v>INDUSTRY</v>
      </c>
    </row>
    <row r="498" spans="1:65" x14ac:dyDescent="0.35">
      <c r="A498" s="10">
        <v>45996</v>
      </c>
      <c r="B498" s="9" t="s">
        <v>1447</v>
      </c>
      <c r="C498" s="9" t="s">
        <v>64</v>
      </c>
      <c r="D498" s="9" t="s">
        <v>92</v>
      </c>
      <c r="E498" s="11">
        <v>45</v>
      </c>
      <c r="F498" s="9" t="s">
        <v>93</v>
      </c>
      <c r="G498" s="9" t="s">
        <v>65</v>
      </c>
      <c r="H498" s="9" t="s">
        <v>66</v>
      </c>
      <c r="I498" s="9">
        <v>11</v>
      </c>
      <c r="J498" s="9" t="s">
        <v>1418</v>
      </c>
      <c r="K498" s="9" t="s">
        <v>1418</v>
      </c>
      <c r="L498" s="9" t="s">
        <v>1418</v>
      </c>
      <c r="M498" s="9" t="s">
        <v>1419</v>
      </c>
      <c r="N498" s="9" t="s">
        <v>1420</v>
      </c>
      <c r="O498" s="9" t="s">
        <v>97</v>
      </c>
      <c r="P498" s="9" t="s">
        <v>67</v>
      </c>
      <c r="Q498" s="9" t="s">
        <v>98</v>
      </c>
      <c r="R498" s="9" t="s">
        <v>1418</v>
      </c>
      <c r="S498" s="9" t="s">
        <v>1419</v>
      </c>
      <c r="T498" s="9" t="s">
        <v>1421</v>
      </c>
      <c r="U498" s="9" t="s">
        <v>67</v>
      </c>
      <c r="V498" s="9" t="s">
        <v>130</v>
      </c>
      <c r="W498" s="9" t="s">
        <v>131</v>
      </c>
      <c r="X498" s="11">
        <v>50</v>
      </c>
      <c r="Y498" s="9" t="s">
        <v>1452</v>
      </c>
      <c r="Z498" s="9" t="s">
        <v>68</v>
      </c>
      <c r="AA498" s="9" t="s">
        <v>1453</v>
      </c>
      <c r="AB498" s="9" t="s">
        <v>67</v>
      </c>
      <c r="AC498" s="9" t="s">
        <v>1454</v>
      </c>
      <c r="AD498" s="11">
        <v>2</v>
      </c>
      <c r="AE498" s="9" t="s">
        <v>70</v>
      </c>
      <c r="AF498" s="9" t="s">
        <v>71</v>
      </c>
      <c r="AG498" s="13">
        <v>1</v>
      </c>
      <c r="AH498" s="9" t="s">
        <v>92</v>
      </c>
      <c r="AI498" s="13">
        <v>1843200</v>
      </c>
      <c r="AJ498" s="13">
        <v>3686400</v>
      </c>
      <c r="AK498" s="11">
        <v>0</v>
      </c>
      <c r="AL498" s="11">
        <v>0</v>
      </c>
      <c r="AM498" s="11">
        <v>0</v>
      </c>
      <c r="AN498" s="9" t="s">
        <v>67</v>
      </c>
      <c r="AO498" s="11">
        <v>3686400</v>
      </c>
      <c r="AP498" s="13">
        <v>294912</v>
      </c>
      <c r="AQ498" s="13">
        <v>3981312</v>
      </c>
      <c r="AR498" s="11">
        <v>36</v>
      </c>
      <c r="AS498" s="9" t="s">
        <v>72</v>
      </c>
      <c r="AT498" s="12">
        <v>36.734000000000002</v>
      </c>
      <c r="AU498" s="9" t="s">
        <v>73</v>
      </c>
      <c r="AV498" s="9" t="s">
        <v>67</v>
      </c>
      <c r="AW498" s="9" t="s">
        <v>1450</v>
      </c>
      <c r="AX498" s="10">
        <v>45989</v>
      </c>
      <c r="AY498" s="9" t="s">
        <v>1451</v>
      </c>
      <c r="AZ498" s="9" t="s">
        <v>67</v>
      </c>
      <c r="BA498" s="9" t="s">
        <v>67</v>
      </c>
      <c r="BB498" s="12">
        <v>36</v>
      </c>
      <c r="BC498" s="9" t="s">
        <v>74</v>
      </c>
      <c r="BD498" s="9" t="s">
        <v>104</v>
      </c>
      <c r="BE498" s="9" t="s">
        <v>75</v>
      </c>
      <c r="BF498" s="11">
        <v>0</v>
      </c>
      <c r="BG498">
        <f t="shared" si="16"/>
        <v>12</v>
      </c>
      <c r="BH498" t="str">
        <f>VLOOKUP(BG498,[1]month!$A:$B,2,0)</f>
        <v>Desember</v>
      </c>
      <c r="BI498">
        <f t="shared" si="17"/>
        <v>2025</v>
      </c>
      <c r="BJ498" t="str">
        <f>VLOOKUP(I498,[1]Dist!$A:$B,2,0)</f>
        <v>Industry</v>
      </c>
      <c r="BK498" t="str">
        <f>IF(I498=11,VLOOKUP(Y498,[2]Sheet1!$C:$N,10,0),IF(I498=13,VLOOKUP(Y498,[3]Sheet1!$C:$N,10,0),IF(I498=15,VLOOKUP(Y498,[4]Sheet1!$C:$N,10,0),"Unknown")))</f>
        <v>NC</v>
      </c>
      <c r="BL498" t="str">
        <f>IF(I498=11,VLOOKUP(Y498,[2]Sheet1!$C:$N,12,0),IF(I498=13,VLOOKUP(Y498,[3]Sheet1!$C:$N,12,0),IF(I498=15,VLOOKUP(Y498,[4]Sheet1!$C:$N,12,0),"Unknown")))</f>
        <v>NC SYSTEM</v>
      </c>
      <c r="BM498" t="str">
        <f>VLOOKUP(W498,[1]branch!$A:$B,2,0)</f>
        <v>INDUSTRY</v>
      </c>
    </row>
    <row r="499" spans="1:65" x14ac:dyDescent="0.35">
      <c r="A499" s="10">
        <v>45996</v>
      </c>
      <c r="B499" s="9" t="s">
        <v>1447</v>
      </c>
      <c r="C499" s="9" t="s">
        <v>64</v>
      </c>
      <c r="D499" s="9" t="s">
        <v>92</v>
      </c>
      <c r="E499" s="11">
        <v>45</v>
      </c>
      <c r="F499" s="9" t="s">
        <v>93</v>
      </c>
      <c r="G499" s="9" t="s">
        <v>65</v>
      </c>
      <c r="H499" s="9" t="s">
        <v>66</v>
      </c>
      <c r="I499" s="9">
        <v>11</v>
      </c>
      <c r="J499" s="9" t="s">
        <v>1418</v>
      </c>
      <c r="K499" s="9" t="s">
        <v>1418</v>
      </c>
      <c r="L499" s="9" t="s">
        <v>1418</v>
      </c>
      <c r="M499" s="9" t="s">
        <v>1419</v>
      </c>
      <c r="N499" s="9" t="s">
        <v>1420</v>
      </c>
      <c r="O499" s="9" t="s">
        <v>97</v>
      </c>
      <c r="P499" s="9" t="s">
        <v>67</v>
      </c>
      <c r="Q499" s="9" t="s">
        <v>98</v>
      </c>
      <c r="R499" s="9" t="s">
        <v>1418</v>
      </c>
      <c r="S499" s="9" t="s">
        <v>1419</v>
      </c>
      <c r="T499" s="9" t="s">
        <v>1421</v>
      </c>
      <c r="U499" s="9" t="s">
        <v>67</v>
      </c>
      <c r="V499" s="9" t="s">
        <v>130</v>
      </c>
      <c r="W499" s="9" t="s">
        <v>131</v>
      </c>
      <c r="X499" s="11">
        <v>60</v>
      </c>
      <c r="Y499" s="9" t="s">
        <v>77</v>
      </c>
      <c r="Z499" s="9" t="s">
        <v>68</v>
      </c>
      <c r="AA499" s="9" t="s">
        <v>78</v>
      </c>
      <c r="AB499" s="9" t="s">
        <v>67</v>
      </c>
      <c r="AC499" s="9" t="s">
        <v>79</v>
      </c>
      <c r="AD499" s="11">
        <v>2</v>
      </c>
      <c r="AE499" s="9" t="s">
        <v>70</v>
      </c>
      <c r="AF499" s="9" t="s">
        <v>71</v>
      </c>
      <c r="AG499" s="13">
        <v>1</v>
      </c>
      <c r="AH499" s="9" t="s">
        <v>92</v>
      </c>
      <c r="AI499" s="13">
        <v>832400</v>
      </c>
      <c r="AJ499" s="13">
        <v>1664800</v>
      </c>
      <c r="AK499" s="11">
        <v>0</v>
      </c>
      <c r="AL499" s="11">
        <v>0</v>
      </c>
      <c r="AM499" s="11">
        <v>0</v>
      </c>
      <c r="AN499" s="9" t="s">
        <v>67</v>
      </c>
      <c r="AO499" s="11">
        <v>1664800</v>
      </c>
      <c r="AP499" s="13">
        <v>133184</v>
      </c>
      <c r="AQ499" s="13">
        <v>1797984</v>
      </c>
      <c r="AR499" s="11">
        <v>32</v>
      </c>
      <c r="AS499" s="9" t="s">
        <v>72</v>
      </c>
      <c r="AT499" s="11">
        <v>40</v>
      </c>
      <c r="AU499" s="9" t="s">
        <v>73</v>
      </c>
      <c r="AV499" s="9" t="s">
        <v>67</v>
      </c>
      <c r="AW499" s="9" t="s">
        <v>1450</v>
      </c>
      <c r="AX499" s="10">
        <v>45989</v>
      </c>
      <c r="AY499" s="9" t="s">
        <v>1451</v>
      </c>
      <c r="AZ499" s="9" t="s">
        <v>67</v>
      </c>
      <c r="BA499" s="9" t="s">
        <v>67</v>
      </c>
      <c r="BB499" s="12">
        <v>40</v>
      </c>
      <c r="BC499" s="9" t="s">
        <v>74</v>
      </c>
      <c r="BD499" s="9" t="s">
        <v>104</v>
      </c>
      <c r="BE499" s="9" t="s">
        <v>75</v>
      </c>
      <c r="BF499" s="11">
        <v>0</v>
      </c>
      <c r="BG499">
        <f t="shared" si="16"/>
        <v>12</v>
      </c>
      <c r="BH499" t="str">
        <f>VLOOKUP(BG499,[1]month!$A:$B,2,0)</f>
        <v>Desember</v>
      </c>
      <c r="BI499">
        <f t="shared" si="17"/>
        <v>2025</v>
      </c>
      <c r="BJ499" t="str">
        <f>VLOOKUP(I499,[1]Dist!$A:$B,2,0)</f>
        <v>Industry</v>
      </c>
      <c r="BK499" t="str">
        <f>IF(I499=11,VLOOKUP(Y499,[2]Sheet1!$C:$N,10,0),IF(I499=13,VLOOKUP(Y499,[3]Sheet1!$C:$N,10,0),IF(I499=15,VLOOKUP(Y499,[4]Sheet1!$C:$N,10,0),"Unknown")))</f>
        <v>THINNER NC</v>
      </c>
      <c r="BL499" t="str">
        <f>IF(I499=11,VLOOKUP(Y499,[2]Sheet1!$C:$N,12,0),IF(I499=13,VLOOKUP(Y499,[3]Sheet1!$C:$N,12,0),IF(I499=15,VLOOKUP(Y499,[4]Sheet1!$C:$N,12,0),"Unknown")))</f>
        <v>THINNER GLAZE</v>
      </c>
      <c r="BM499" t="str">
        <f>VLOOKUP(W499,[1]branch!$A:$B,2,0)</f>
        <v>INDUSTRY</v>
      </c>
    </row>
    <row r="500" spans="1:65" x14ac:dyDescent="0.35">
      <c r="A500" s="10">
        <v>45996</v>
      </c>
      <c r="B500" s="9" t="s">
        <v>1455</v>
      </c>
      <c r="C500" s="9" t="s">
        <v>64</v>
      </c>
      <c r="D500" s="9" t="s">
        <v>92</v>
      </c>
      <c r="E500" s="11">
        <v>60</v>
      </c>
      <c r="F500" s="9" t="s">
        <v>93</v>
      </c>
      <c r="G500" s="9" t="s">
        <v>65</v>
      </c>
      <c r="H500" s="9" t="s">
        <v>66</v>
      </c>
      <c r="I500" s="9">
        <v>11</v>
      </c>
      <c r="J500" s="9" t="s">
        <v>128</v>
      </c>
      <c r="K500" s="9" t="s">
        <v>128</v>
      </c>
      <c r="L500" s="9" t="s">
        <v>128</v>
      </c>
      <c r="M500" s="9" t="s">
        <v>129</v>
      </c>
      <c r="N500" s="9" t="s">
        <v>873</v>
      </c>
      <c r="O500" s="9" t="s">
        <v>97</v>
      </c>
      <c r="P500" s="9" t="s">
        <v>67</v>
      </c>
      <c r="Q500" s="9" t="s">
        <v>98</v>
      </c>
      <c r="R500" s="9" t="s">
        <v>128</v>
      </c>
      <c r="S500" s="9" t="s">
        <v>129</v>
      </c>
      <c r="T500" s="9" t="s">
        <v>796</v>
      </c>
      <c r="U500" s="9" t="s">
        <v>67</v>
      </c>
      <c r="V500" s="9" t="s">
        <v>130</v>
      </c>
      <c r="W500" s="9" t="s">
        <v>131</v>
      </c>
      <c r="X500" s="11">
        <v>50</v>
      </c>
      <c r="Y500" s="9" t="s">
        <v>1456</v>
      </c>
      <c r="Z500" s="9" t="s">
        <v>68</v>
      </c>
      <c r="AA500" s="9" t="s">
        <v>1457</v>
      </c>
      <c r="AB500" s="9" t="s">
        <v>67</v>
      </c>
      <c r="AC500" s="9" t="s">
        <v>372</v>
      </c>
      <c r="AD500" s="11">
        <v>8</v>
      </c>
      <c r="AE500" s="9" t="s">
        <v>70</v>
      </c>
      <c r="AF500" s="9" t="s">
        <v>71</v>
      </c>
      <c r="AG500" s="13">
        <v>1</v>
      </c>
      <c r="AH500" s="9" t="s">
        <v>92</v>
      </c>
      <c r="AI500" s="13">
        <v>706800</v>
      </c>
      <c r="AJ500" s="13">
        <v>5654400</v>
      </c>
      <c r="AK500" s="11">
        <v>0</v>
      </c>
      <c r="AL500" s="11">
        <v>0</v>
      </c>
      <c r="AM500" s="11">
        <v>0</v>
      </c>
      <c r="AN500" s="9" t="s">
        <v>67</v>
      </c>
      <c r="AO500" s="11">
        <v>5654400</v>
      </c>
      <c r="AP500" s="13">
        <v>452352</v>
      </c>
      <c r="AQ500" s="13">
        <v>6106752</v>
      </c>
      <c r="AR500" s="12">
        <v>31.36</v>
      </c>
      <c r="AS500" s="9" t="s">
        <v>72</v>
      </c>
      <c r="AT500" s="11">
        <v>32</v>
      </c>
      <c r="AU500" s="9" t="s">
        <v>73</v>
      </c>
      <c r="AV500" s="9" t="s">
        <v>67</v>
      </c>
      <c r="AW500" s="9" t="s">
        <v>1458</v>
      </c>
      <c r="AX500" s="10">
        <v>45866</v>
      </c>
      <c r="AY500" s="9" t="s">
        <v>1459</v>
      </c>
      <c r="AZ500" s="9" t="s">
        <v>67</v>
      </c>
      <c r="BA500" s="9" t="s">
        <v>67</v>
      </c>
      <c r="BB500" s="12">
        <v>32</v>
      </c>
      <c r="BC500" s="9" t="s">
        <v>74</v>
      </c>
      <c r="BD500" s="9" t="s">
        <v>104</v>
      </c>
      <c r="BE500" s="9" t="s">
        <v>75</v>
      </c>
      <c r="BF500" s="11">
        <v>0</v>
      </c>
      <c r="BG500">
        <f t="shared" si="16"/>
        <v>12</v>
      </c>
      <c r="BH500" t="str">
        <f>VLOOKUP(BG500,[1]month!$A:$B,2,0)</f>
        <v>Desember</v>
      </c>
      <c r="BI500">
        <f t="shared" si="17"/>
        <v>2025</v>
      </c>
      <c r="BJ500" t="str">
        <f>VLOOKUP(I500,[1]Dist!$A:$B,2,0)</f>
        <v>Industry</v>
      </c>
      <c r="BK500" t="str">
        <f>IF(I500=11,VLOOKUP(Y500,[2]Sheet1!$C:$N,10,0),IF(I500=13,VLOOKUP(Y500,[3]Sheet1!$C:$N,10,0),IF(I500=15,VLOOKUP(Y500,[4]Sheet1!$C:$N,10,0),"Unknown")))</f>
        <v>PU</v>
      </c>
      <c r="BL500" t="str">
        <f>IF(I500=11,VLOOKUP(Y500,[2]Sheet1!$C:$N,12,0),IF(I500=13,VLOOKUP(Y500,[3]Sheet1!$C:$N,12,0),IF(I500=15,VLOOKUP(Y500,[4]Sheet1!$C:$N,12,0),"Unknown")))</f>
        <v>UNION HARDENER</v>
      </c>
      <c r="BM500" t="str">
        <f>VLOOKUP(W500,[1]branch!$A:$B,2,0)</f>
        <v>INDUSTRY</v>
      </c>
    </row>
    <row r="501" spans="1:65" x14ac:dyDescent="0.35">
      <c r="A501" s="10">
        <v>45996</v>
      </c>
      <c r="B501" s="9" t="s">
        <v>1460</v>
      </c>
      <c r="C501" s="9" t="s">
        <v>64</v>
      </c>
      <c r="D501" s="9" t="s">
        <v>92</v>
      </c>
      <c r="E501" s="11">
        <v>60</v>
      </c>
      <c r="F501" s="9" t="s">
        <v>93</v>
      </c>
      <c r="G501" s="9" t="s">
        <v>65</v>
      </c>
      <c r="H501" s="9" t="s">
        <v>66</v>
      </c>
      <c r="I501" s="9">
        <v>11</v>
      </c>
      <c r="J501" s="9" t="s">
        <v>128</v>
      </c>
      <c r="K501" s="9" t="s">
        <v>128</v>
      </c>
      <c r="L501" s="9" t="s">
        <v>128</v>
      </c>
      <c r="M501" s="9" t="s">
        <v>129</v>
      </c>
      <c r="N501" s="9" t="s">
        <v>873</v>
      </c>
      <c r="O501" s="9" t="s">
        <v>97</v>
      </c>
      <c r="P501" s="9" t="s">
        <v>67</v>
      </c>
      <c r="Q501" s="9" t="s">
        <v>98</v>
      </c>
      <c r="R501" s="9" t="s">
        <v>128</v>
      </c>
      <c r="S501" s="9" t="s">
        <v>129</v>
      </c>
      <c r="T501" s="9" t="s">
        <v>796</v>
      </c>
      <c r="U501" s="9" t="s">
        <v>67</v>
      </c>
      <c r="V501" s="9" t="s">
        <v>130</v>
      </c>
      <c r="W501" s="9" t="s">
        <v>131</v>
      </c>
      <c r="X501" s="11">
        <v>40</v>
      </c>
      <c r="Y501" s="9" t="s">
        <v>1461</v>
      </c>
      <c r="Z501" s="9" t="s">
        <v>68</v>
      </c>
      <c r="AA501" s="9" t="s">
        <v>1462</v>
      </c>
      <c r="AB501" s="9" t="s">
        <v>67</v>
      </c>
      <c r="AC501" s="9" t="s">
        <v>1463</v>
      </c>
      <c r="AD501" s="11">
        <v>3</v>
      </c>
      <c r="AE501" s="9" t="s">
        <v>70</v>
      </c>
      <c r="AF501" s="9" t="s">
        <v>71</v>
      </c>
      <c r="AG501" s="13">
        <v>1</v>
      </c>
      <c r="AH501" s="9" t="s">
        <v>92</v>
      </c>
      <c r="AI501" s="13">
        <v>2004800</v>
      </c>
      <c r="AJ501" s="13">
        <v>6014400</v>
      </c>
      <c r="AK501" s="11">
        <v>0</v>
      </c>
      <c r="AL501" s="11">
        <v>0</v>
      </c>
      <c r="AM501" s="11">
        <v>0</v>
      </c>
      <c r="AN501" s="9" t="s">
        <v>67</v>
      </c>
      <c r="AO501" s="11">
        <v>6014400</v>
      </c>
      <c r="AP501" s="13">
        <v>481152</v>
      </c>
      <c r="AQ501" s="13">
        <v>6495552</v>
      </c>
      <c r="AR501" s="11">
        <v>48</v>
      </c>
      <c r="AS501" s="9" t="s">
        <v>72</v>
      </c>
      <c r="AT501" s="12">
        <v>39.33</v>
      </c>
      <c r="AU501" s="9" t="s">
        <v>73</v>
      </c>
      <c r="AV501" s="9" t="s">
        <v>67</v>
      </c>
      <c r="AW501" s="9" t="s">
        <v>907</v>
      </c>
      <c r="AX501" s="10">
        <v>45931</v>
      </c>
      <c r="AY501" s="9" t="s">
        <v>1464</v>
      </c>
      <c r="AZ501" s="9" t="s">
        <v>67</v>
      </c>
      <c r="BA501" s="9" t="s">
        <v>67</v>
      </c>
      <c r="BB501" s="12">
        <v>48</v>
      </c>
      <c r="BC501" s="9" t="s">
        <v>74</v>
      </c>
      <c r="BD501" s="9" t="s">
        <v>104</v>
      </c>
      <c r="BE501" s="9" t="s">
        <v>75</v>
      </c>
      <c r="BF501" s="11">
        <v>0</v>
      </c>
      <c r="BG501">
        <f t="shared" si="16"/>
        <v>12</v>
      </c>
      <c r="BH501" t="str">
        <f>VLOOKUP(BG501,[1]month!$A:$B,2,0)</f>
        <v>Desember</v>
      </c>
      <c r="BI501">
        <f t="shared" si="17"/>
        <v>2025</v>
      </c>
      <c r="BJ501" t="str">
        <f>VLOOKUP(I501,[1]Dist!$A:$B,2,0)</f>
        <v>Industry</v>
      </c>
      <c r="BK501" t="str">
        <f>IF(I501=11,VLOOKUP(Y501,[2]Sheet1!$C:$N,10,0),IF(I501=13,VLOOKUP(Y501,[3]Sheet1!$C:$N,10,0),IF(I501=15,VLOOKUP(Y501,[4]Sheet1!$C:$N,10,0),"Unknown")))</f>
        <v>PU</v>
      </c>
      <c r="BL501" t="str">
        <f>IF(I501=11,VLOOKUP(Y501,[2]Sheet1!$C:$N,12,0),IF(I501=13,VLOOKUP(Y501,[3]Sheet1!$C:$N,12,0),IF(I501=15,VLOOKUP(Y501,[4]Sheet1!$C:$N,12,0),"Unknown")))</f>
        <v>UNION TOP COAT</v>
      </c>
      <c r="BM501" t="str">
        <f>VLOOKUP(W501,[1]branch!$A:$B,2,0)</f>
        <v>INDUSTRY</v>
      </c>
    </row>
    <row r="502" spans="1:65" x14ac:dyDescent="0.35">
      <c r="A502" s="10">
        <v>45996</v>
      </c>
      <c r="B502" s="9" t="s">
        <v>1460</v>
      </c>
      <c r="C502" s="9" t="s">
        <v>64</v>
      </c>
      <c r="D502" s="9" t="s">
        <v>92</v>
      </c>
      <c r="E502" s="11">
        <v>60</v>
      </c>
      <c r="F502" s="9" t="s">
        <v>93</v>
      </c>
      <c r="G502" s="9" t="s">
        <v>65</v>
      </c>
      <c r="H502" s="9" t="s">
        <v>66</v>
      </c>
      <c r="I502" s="9">
        <v>11</v>
      </c>
      <c r="J502" s="9" t="s">
        <v>128</v>
      </c>
      <c r="K502" s="9" t="s">
        <v>128</v>
      </c>
      <c r="L502" s="9" t="s">
        <v>128</v>
      </c>
      <c r="M502" s="9" t="s">
        <v>129</v>
      </c>
      <c r="N502" s="9" t="s">
        <v>873</v>
      </c>
      <c r="O502" s="9" t="s">
        <v>97</v>
      </c>
      <c r="P502" s="9" t="s">
        <v>67</v>
      </c>
      <c r="Q502" s="9" t="s">
        <v>98</v>
      </c>
      <c r="R502" s="9" t="s">
        <v>128</v>
      </c>
      <c r="S502" s="9" t="s">
        <v>129</v>
      </c>
      <c r="T502" s="9" t="s">
        <v>796</v>
      </c>
      <c r="U502" s="9" t="s">
        <v>67</v>
      </c>
      <c r="V502" s="9" t="s">
        <v>130</v>
      </c>
      <c r="W502" s="9" t="s">
        <v>131</v>
      </c>
      <c r="X502" s="11">
        <v>90</v>
      </c>
      <c r="Y502" s="9" t="s">
        <v>374</v>
      </c>
      <c r="Z502" s="9" t="s">
        <v>68</v>
      </c>
      <c r="AA502" s="9" t="s">
        <v>375</v>
      </c>
      <c r="AB502" s="9" t="s">
        <v>67</v>
      </c>
      <c r="AC502" s="9" t="s">
        <v>91</v>
      </c>
      <c r="AD502" s="11">
        <v>4</v>
      </c>
      <c r="AE502" s="9" t="s">
        <v>70</v>
      </c>
      <c r="AF502" s="9" t="s">
        <v>71</v>
      </c>
      <c r="AG502" s="13">
        <v>1</v>
      </c>
      <c r="AH502" s="9" t="s">
        <v>92</v>
      </c>
      <c r="AI502" s="13">
        <v>703200</v>
      </c>
      <c r="AJ502" s="13">
        <v>2812800</v>
      </c>
      <c r="AK502" s="11">
        <v>0</v>
      </c>
      <c r="AL502" s="11">
        <v>0</v>
      </c>
      <c r="AM502" s="11">
        <v>0</v>
      </c>
      <c r="AN502" s="9" t="s">
        <v>67</v>
      </c>
      <c r="AO502" s="11">
        <v>2812800</v>
      </c>
      <c r="AP502" s="13">
        <v>225024</v>
      </c>
      <c r="AQ502" s="13">
        <v>3037824</v>
      </c>
      <c r="AR502" s="11">
        <v>16</v>
      </c>
      <c r="AS502" s="9" t="s">
        <v>72</v>
      </c>
      <c r="AT502" s="12">
        <v>12.52</v>
      </c>
      <c r="AU502" s="9" t="s">
        <v>73</v>
      </c>
      <c r="AV502" s="9" t="s">
        <v>67</v>
      </c>
      <c r="AW502" s="9" t="s">
        <v>907</v>
      </c>
      <c r="AX502" s="10">
        <v>45931</v>
      </c>
      <c r="AY502" s="9" t="s">
        <v>1464</v>
      </c>
      <c r="AZ502" s="9" t="s">
        <v>67</v>
      </c>
      <c r="BA502" s="9" t="s">
        <v>67</v>
      </c>
      <c r="BB502" s="12">
        <v>16</v>
      </c>
      <c r="BC502" s="9" t="s">
        <v>74</v>
      </c>
      <c r="BD502" s="9" t="s">
        <v>104</v>
      </c>
      <c r="BE502" s="9" t="s">
        <v>75</v>
      </c>
      <c r="BF502" s="11">
        <v>0</v>
      </c>
      <c r="BG502">
        <f t="shared" si="16"/>
        <v>12</v>
      </c>
      <c r="BH502" t="str">
        <f>VLOOKUP(BG502,[1]month!$A:$B,2,0)</f>
        <v>Desember</v>
      </c>
      <c r="BI502">
        <f t="shared" si="17"/>
        <v>2025</v>
      </c>
      <c r="BJ502" t="str">
        <f>VLOOKUP(I502,[1]Dist!$A:$B,2,0)</f>
        <v>Industry</v>
      </c>
      <c r="BK502" t="str">
        <f>IF(I502=11,VLOOKUP(Y502,[2]Sheet1!$C:$N,10,0),IF(I502=13,VLOOKUP(Y502,[3]Sheet1!$C:$N,10,0),IF(I502=15,VLOOKUP(Y502,[4]Sheet1!$C:$N,10,0),"Unknown")))</f>
        <v>COMPLEMENTARY</v>
      </c>
      <c r="BL502" t="str">
        <f>IF(I502=11,VLOOKUP(Y502,[2]Sheet1!$C:$N,12,0),IF(I502=13,VLOOKUP(Y502,[3]Sheet1!$C:$N,12,0),IF(I502=15,VLOOKUP(Y502,[4]Sheet1!$C:$N,12,0),"Unknown")))</f>
        <v>PASTA</v>
      </c>
      <c r="BM502" t="str">
        <f>VLOOKUP(W502,[1]branch!$A:$B,2,0)</f>
        <v>INDUSTRY</v>
      </c>
    </row>
    <row r="503" spans="1:65" x14ac:dyDescent="0.35">
      <c r="A503" s="10">
        <v>45996</v>
      </c>
      <c r="B503" s="9" t="s">
        <v>1460</v>
      </c>
      <c r="C503" s="9" t="s">
        <v>64</v>
      </c>
      <c r="D503" s="9" t="s">
        <v>92</v>
      </c>
      <c r="E503" s="11">
        <v>60</v>
      </c>
      <c r="F503" s="9" t="s">
        <v>93</v>
      </c>
      <c r="G503" s="9" t="s">
        <v>65</v>
      </c>
      <c r="H503" s="9" t="s">
        <v>66</v>
      </c>
      <c r="I503" s="9">
        <v>11</v>
      </c>
      <c r="J503" s="9" t="s">
        <v>128</v>
      </c>
      <c r="K503" s="9" t="s">
        <v>128</v>
      </c>
      <c r="L503" s="9" t="s">
        <v>128</v>
      </c>
      <c r="M503" s="9" t="s">
        <v>129</v>
      </c>
      <c r="N503" s="9" t="s">
        <v>873</v>
      </c>
      <c r="O503" s="9" t="s">
        <v>97</v>
      </c>
      <c r="P503" s="9" t="s">
        <v>67</v>
      </c>
      <c r="Q503" s="9" t="s">
        <v>98</v>
      </c>
      <c r="R503" s="9" t="s">
        <v>128</v>
      </c>
      <c r="S503" s="9" t="s">
        <v>129</v>
      </c>
      <c r="T503" s="9" t="s">
        <v>796</v>
      </c>
      <c r="U503" s="9" t="s">
        <v>67</v>
      </c>
      <c r="V503" s="9" t="s">
        <v>130</v>
      </c>
      <c r="W503" s="9" t="s">
        <v>131</v>
      </c>
      <c r="X503" s="11">
        <v>160</v>
      </c>
      <c r="Y503" s="9" t="s">
        <v>370</v>
      </c>
      <c r="Z503" s="9" t="s">
        <v>68</v>
      </c>
      <c r="AA503" s="9" t="s">
        <v>371</v>
      </c>
      <c r="AB503" s="9" t="s">
        <v>67</v>
      </c>
      <c r="AC503" s="9" t="s">
        <v>182</v>
      </c>
      <c r="AD503" s="11">
        <v>3</v>
      </c>
      <c r="AE503" s="9" t="s">
        <v>70</v>
      </c>
      <c r="AF503" s="9" t="s">
        <v>71</v>
      </c>
      <c r="AG503" s="13">
        <v>1</v>
      </c>
      <c r="AH503" s="9" t="s">
        <v>92</v>
      </c>
      <c r="AI503" s="13">
        <v>1458000</v>
      </c>
      <c r="AJ503" s="13">
        <v>4374000</v>
      </c>
      <c r="AK503" s="11">
        <v>0</v>
      </c>
      <c r="AL503" s="11">
        <v>0</v>
      </c>
      <c r="AM503" s="11">
        <v>0</v>
      </c>
      <c r="AN503" s="9" t="s">
        <v>67</v>
      </c>
      <c r="AO503" s="11">
        <v>4374000</v>
      </c>
      <c r="AP503" s="13">
        <v>349920</v>
      </c>
      <c r="AQ503" s="13">
        <v>4723920</v>
      </c>
      <c r="AR503" s="11">
        <v>57</v>
      </c>
      <c r="AS503" s="9" t="s">
        <v>72</v>
      </c>
      <c r="AT503" s="11">
        <v>60</v>
      </c>
      <c r="AU503" s="9" t="s">
        <v>73</v>
      </c>
      <c r="AV503" s="9" t="s">
        <v>67</v>
      </c>
      <c r="AW503" s="9" t="s">
        <v>907</v>
      </c>
      <c r="AX503" s="10">
        <v>45931</v>
      </c>
      <c r="AY503" s="9" t="s">
        <v>1464</v>
      </c>
      <c r="AZ503" s="9" t="s">
        <v>67</v>
      </c>
      <c r="BA503" s="9" t="s">
        <v>67</v>
      </c>
      <c r="BB503" s="12">
        <v>60</v>
      </c>
      <c r="BC503" s="9" t="s">
        <v>74</v>
      </c>
      <c r="BD503" s="9" t="s">
        <v>104</v>
      </c>
      <c r="BE503" s="9" t="s">
        <v>75</v>
      </c>
      <c r="BF503" s="11">
        <v>0</v>
      </c>
      <c r="BG503">
        <f t="shared" si="16"/>
        <v>12</v>
      </c>
      <c r="BH503" t="str">
        <f>VLOOKUP(BG503,[1]month!$A:$B,2,0)</f>
        <v>Desember</v>
      </c>
      <c r="BI503">
        <f t="shared" si="17"/>
        <v>2025</v>
      </c>
      <c r="BJ503" t="str">
        <f>VLOOKUP(I503,[1]Dist!$A:$B,2,0)</f>
        <v>Industry</v>
      </c>
      <c r="BK503" t="str">
        <f>IF(I503=11,VLOOKUP(Y503,[2]Sheet1!$C:$N,10,0),IF(I503=13,VLOOKUP(Y503,[3]Sheet1!$C:$N,10,0),IF(I503=15,VLOOKUP(Y503,[4]Sheet1!$C:$N,10,0),"Unknown")))</f>
        <v>THINNER PU</v>
      </c>
      <c r="BL503" t="str">
        <f>IF(I503=11,VLOOKUP(Y503,[2]Sheet1!$C:$N,12,0),IF(I503=13,VLOOKUP(Y503,[3]Sheet1!$C:$N,12,0),IF(I503=15,VLOOKUP(Y503,[4]Sheet1!$C:$N,12,0),"Unknown")))</f>
        <v>UNION THINNER</v>
      </c>
      <c r="BM503" t="str">
        <f>VLOOKUP(W503,[1]branch!$A:$B,2,0)</f>
        <v>INDUSTRY</v>
      </c>
    </row>
    <row r="504" spans="1:65" x14ac:dyDescent="0.35">
      <c r="A504" s="10">
        <v>45996</v>
      </c>
      <c r="B504" s="9" t="s">
        <v>1465</v>
      </c>
      <c r="C504" s="9" t="s">
        <v>64</v>
      </c>
      <c r="D504" s="9" t="s">
        <v>92</v>
      </c>
      <c r="E504" s="11">
        <v>60</v>
      </c>
      <c r="F504" s="9" t="s">
        <v>93</v>
      </c>
      <c r="G504" s="9" t="s">
        <v>65</v>
      </c>
      <c r="H504" s="9" t="s">
        <v>66</v>
      </c>
      <c r="I504" s="9">
        <v>11</v>
      </c>
      <c r="J504" s="9" t="s">
        <v>128</v>
      </c>
      <c r="K504" s="9" t="s">
        <v>128</v>
      </c>
      <c r="L504" s="9" t="s">
        <v>128</v>
      </c>
      <c r="M504" s="9" t="s">
        <v>129</v>
      </c>
      <c r="N504" s="9" t="s">
        <v>873</v>
      </c>
      <c r="O504" s="9" t="s">
        <v>97</v>
      </c>
      <c r="P504" s="9" t="s">
        <v>67</v>
      </c>
      <c r="Q504" s="9" t="s">
        <v>98</v>
      </c>
      <c r="R504" s="9" t="s">
        <v>128</v>
      </c>
      <c r="S504" s="9" t="s">
        <v>129</v>
      </c>
      <c r="T504" s="9" t="s">
        <v>796</v>
      </c>
      <c r="U504" s="9" t="s">
        <v>67</v>
      </c>
      <c r="V504" s="9" t="s">
        <v>130</v>
      </c>
      <c r="W504" s="9" t="s">
        <v>131</v>
      </c>
      <c r="X504" s="11">
        <v>10</v>
      </c>
      <c r="Y504" s="9" t="s">
        <v>164</v>
      </c>
      <c r="Z504" s="9" t="s">
        <v>68</v>
      </c>
      <c r="AA504" s="9" t="s">
        <v>165</v>
      </c>
      <c r="AB504" s="9" t="s">
        <v>67</v>
      </c>
      <c r="AC504" s="9" t="s">
        <v>166</v>
      </c>
      <c r="AD504" s="11">
        <v>8</v>
      </c>
      <c r="AE504" s="9" t="s">
        <v>70</v>
      </c>
      <c r="AF504" s="9" t="s">
        <v>71</v>
      </c>
      <c r="AG504" s="13">
        <v>1</v>
      </c>
      <c r="AH504" s="9" t="s">
        <v>92</v>
      </c>
      <c r="AI504" s="13">
        <v>984000</v>
      </c>
      <c r="AJ504" s="13">
        <v>7872000</v>
      </c>
      <c r="AK504" s="11">
        <v>0</v>
      </c>
      <c r="AL504" s="11">
        <v>0</v>
      </c>
      <c r="AM504" s="11">
        <v>0</v>
      </c>
      <c r="AN504" s="9" t="s">
        <v>67</v>
      </c>
      <c r="AO504" s="11">
        <v>7872000</v>
      </c>
      <c r="AP504" s="13">
        <v>629760</v>
      </c>
      <c r="AQ504" s="13">
        <v>8501760</v>
      </c>
      <c r="AR504" s="11">
        <v>128</v>
      </c>
      <c r="AS504" s="9" t="s">
        <v>72</v>
      </c>
      <c r="AT504" s="12">
        <v>123.04</v>
      </c>
      <c r="AU504" s="9" t="s">
        <v>73</v>
      </c>
      <c r="AV504" s="9" t="s">
        <v>67</v>
      </c>
      <c r="AW504" s="9" t="s">
        <v>934</v>
      </c>
      <c r="AX504" s="10">
        <v>45968</v>
      </c>
      <c r="AY504" s="9" t="s">
        <v>1466</v>
      </c>
      <c r="AZ504" s="9" t="s">
        <v>67</v>
      </c>
      <c r="BA504" s="9" t="s">
        <v>67</v>
      </c>
      <c r="BB504" s="12">
        <v>128</v>
      </c>
      <c r="BC504" s="9" t="s">
        <v>74</v>
      </c>
      <c r="BD504" s="9" t="s">
        <v>104</v>
      </c>
      <c r="BE504" s="9" t="s">
        <v>75</v>
      </c>
      <c r="BF504" s="11">
        <v>0</v>
      </c>
      <c r="BG504">
        <f t="shared" si="16"/>
        <v>12</v>
      </c>
      <c r="BH504" t="str">
        <f>VLOOKUP(BG504,[1]month!$A:$B,2,0)</f>
        <v>Desember</v>
      </c>
      <c r="BI504">
        <f t="shared" si="17"/>
        <v>2025</v>
      </c>
      <c r="BJ504" t="str">
        <f>VLOOKUP(I504,[1]Dist!$A:$B,2,0)</f>
        <v>Industry</v>
      </c>
      <c r="BK504" t="str">
        <f>IF(I504=11,VLOOKUP(Y504,[2]Sheet1!$C:$N,10,0),IF(I504=13,VLOOKUP(Y504,[3]Sheet1!$C:$N,10,0),IF(I504=15,VLOOKUP(Y504,[4]Sheet1!$C:$N,10,0),"Unknown")))</f>
        <v>PU</v>
      </c>
      <c r="BL504" t="str">
        <f>IF(I504=11,VLOOKUP(Y504,[2]Sheet1!$C:$N,12,0),IF(I504=13,VLOOKUP(Y504,[3]Sheet1!$C:$N,12,0),IF(I504=15,VLOOKUP(Y504,[4]Sheet1!$C:$N,12,0),"Unknown")))</f>
        <v>UNION SANDING SEALER</v>
      </c>
      <c r="BM504" t="str">
        <f>VLOOKUP(W504,[1]branch!$A:$B,2,0)</f>
        <v>INDUSTRY</v>
      </c>
    </row>
    <row r="505" spans="1:65" x14ac:dyDescent="0.35">
      <c r="A505" s="10">
        <v>45996</v>
      </c>
      <c r="B505" s="9" t="s">
        <v>1465</v>
      </c>
      <c r="C505" s="9" t="s">
        <v>64</v>
      </c>
      <c r="D505" s="9" t="s">
        <v>92</v>
      </c>
      <c r="E505" s="11">
        <v>60</v>
      </c>
      <c r="F505" s="9" t="s">
        <v>93</v>
      </c>
      <c r="G505" s="9" t="s">
        <v>65</v>
      </c>
      <c r="H505" s="9" t="s">
        <v>66</v>
      </c>
      <c r="I505" s="9">
        <v>11</v>
      </c>
      <c r="J505" s="9" t="s">
        <v>128</v>
      </c>
      <c r="K505" s="9" t="s">
        <v>128</v>
      </c>
      <c r="L505" s="9" t="s">
        <v>128</v>
      </c>
      <c r="M505" s="9" t="s">
        <v>129</v>
      </c>
      <c r="N505" s="9" t="s">
        <v>873</v>
      </c>
      <c r="O505" s="9" t="s">
        <v>97</v>
      </c>
      <c r="P505" s="9" t="s">
        <v>67</v>
      </c>
      <c r="Q505" s="9" t="s">
        <v>98</v>
      </c>
      <c r="R505" s="9" t="s">
        <v>128</v>
      </c>
      <c r="S505" s="9" t="s">
        <v>129</v>
      </c>
      <c r="T505" s="9" t="s">
        <v>796</v>
      </c>
      <c r="U505" s="9" t="s">
        <v>67</v>
      </c>
      <c r="V505" s="9" t="s">
        <v>130</v>
      </c>
      <c r="W505" s="9" t="s">
        <v>131</v>
      </c>
      <c r="X505" s="11">
        <v>20</v>
      </c>
      <c r="Y505" s="9" t="s">
        <v>1467</v>
      </c>
      <c r="Z505" s="9" t="s">
        <v>68</v>
      </c>
      <c r="AA505" s="9" t="s">
        <v>1468</v>
      </c>
      <c r="AB505" s="9" t="s">
        <v>67</v>
      </c>
      <c r="AC505" s="9" t="s">
        <v>1469</v>
      </c>
      <c r="AD505" s="11">
        <v>3</v>
      </c>
      <c r="AE505" s="9" t="s">
        <v>70</v>
      </c>
      <c r="AF505" s="9" t="s">
        <v>71</v>
      </c>
      <c r="AG505" s="13">
        <v>1</v>
      </c>
      <c r="AH505" s="9" t="s">
        <v>92</v>
      </c>
      <c r="AI505" s="13">
        <v>1430400</v>
      </c>
      <c r="AJ505" s="13">
        <v>4291200</v>
      </c>
      <c r="AK505" s="11">
        <v>0</v>
      </c>
      <c r="AL505" s="11">
        <v>0</v>
      </c>
      <c r="AM505" s="11">
        <v>0</v>
      </c>
      <c r="AN505" s="9" t="s">
        <v>67</v>
      </c>
      <c r="AO505" s="11">
        <v>4291200</v>
      </c>
      <c r="AP505" s="13">
        <v>343296</v>
      </c>
      <c r="AQ505" s="13">
        <v>4634496</v>
      </c>
      <c r="AR505" s="11">
        <v>48</v>
      </c>
      <c r="AS505" s="9" t="s">
        <v>72</v>
      </c>
      <c r="AT505" s="12">
        <v>35.28</v>
      </c>
      <c r="AU505" s="9" t="s">
        <v>73</v>
      </c>
      <c r="AV505" s="9" t="s">
        <v>67</v>
      </c>
      <c r="AW505" s="9" t="s">
        <v>934</v>
      </c>
      <c r="AX505" s="10">
        <v>45968</v>
      </c>
      <c r="AY505" s="9" t="s">
        <v>1466</v>
      </c>
      <c r="AZ505" s="9" t="s">
        <v>67</v>
      </c>
      <c r="BA505" s="9" t="s">
        <v>67</v>
      </c>
      <c r="BB505" s="12">
        <v>48</v>
      </c>
      <c r="BC505" s="9" t="s">
        <v>74</v>
      </c>
      <c r="BD505" s="9" t="s">
        <v>104</v>
      </c>
      <c r="BE505" s="9" t="s">
        <v>75</v>
      </c>
      <c r="BF505" s="11">
        <v>0</v>
      </c>
      <c r="BG505">
        <f t="shared" si="16"/>
        <v>12</v>
      </c>
      <c r="BH505" t="str">
        <f>VLOOKUP(BG505,[1]month!$A:$B,2,0)</f>
        <v>Desember</v>
      </c>
      <c r="BI505">
        <f t="shared" si="17"/>
        <v>2025</v>
      </c>
      <c r="BJ505" t="str">
        <f>VLOOKUP(I505,[1]Dist!$A:$B,2,0)</f>
        <v>Industry</v>
      </c>
      <c r="BK505" t="str">
        <f>IF(I505=11,VLOOKUP(Y505,[2]Sheet1!$C:$N,10,0),IF(I505=13,VLOOKUP(Y505,[3]Sheet1!$C:$N,10,0),IF(I505=15,VLOOKUP(Y505,[4]Sheet1!$C:$N,10,0),"Unknown")))</f>
        <v>PU</v>
      </c>
      <c r="BL505" t="str">
        <f>IF(I505=11,VLOOKUP(Y505,[2]Sheet1!$C:$N,12,0),IF(I505=13,VLOOKUP(Y505,[3]Sheet1!$C:$N,12,0),IF(I505=15,VLOOKUP(Y505,[4]Sheet1!$C:$N,12,0),"Unknown")))</f>
        <v>UNION TOP COAT</v>
      </c>
      <c r="BM505" t="str">
        <f>VLOOKUP(W505,[1]branch!$A:$B,2,0)</f>
        <v>INDUSTRY</v>
      </c>
    </row>
    <row r="506" spans="1:65" x14ac:dyDescent="0.35">
      <c r="A506" s="10">
        <v>45996</v>
      </c>
      <c r="B506" s="9" t="s">
        <v>1465</v>
      </c>
      <c r="C506" s="9" t="s">
        <v>64</v>
      </c>
      <c r="D506" s="9" t="s">
        <v>92</v>
      </c>
      <c r="E506" s="11">
        <v>60</v>
      </c>
      <c r="F506" s="9" t="s">
        <v>93</v>
      </c>
      <c r="G506" s="9" t="s">
        <v>65</v>
      </c>
      <c r="H506" s="9" t="s">
        <v>66</v>
      </c>
      <c r="I506" s="9">
        <v>11</v>
      </c>
      <c r="J506" s="9" t="s">
        <v>128</v>
      </c>
      <c r="K506" s="9" t="s">
        <v>128</v>
      </c>
      <c r="L506" s="9" t="s">
        <v>128</v>
      </c>
      <c r="M506" s="9" t="s">
        <v>129</v>
      </c>
      <c r="N506" s="9" t="s">
        <v>873</v>
      </c>
      <c r="O506" s="9" t="s">
        <v>97</v>
      </c>
      <c r="P506" s="9" t="s">
        <v>67</v>
      </c>
      <c r="Q506" s="9" t="s">
        <v>98</v>
      </c>
      <c r="R506" s="9" t="s">
        <v>128</v>
      </c>
      <c r="S506" s="9" t="s">
        <v>129</v>
      </c>
      <c r="T506" s="9" t="s">
        <v>796</v>
      </c>
      <c r="U506" s="9" t="s">
        <v>67</v>
      </c>
      <c r="V506" s="9" t="s">
        <v>130</v>
      </c>
      <c r="W506" s="9" t="s">
        <v>131</v>
      </c>
      <c r="X506" s="11">
        <v>30</v>
      </c>
      <c r="Y506" s="9" t="s">
        <v>167</v>
      </c>
      <c r="Z506" s="9" t="s">
        <v>68</v>
      </c>
      <c r="AA506" s="9" t="s">
        <v>168</v>
      </c>
      <c r="AB506" s="9" t="s">
        <v>67</v>
      </c>
      <c r="AC506" s="9" t="s">
        <v>169</v>
      </c>
      <c r="AD506" s="11">
        <v>24</v>
      </c>
      <c r="AE506" s="9" t="s">
        <v>70</v>
      </c>
      <c r="AF506" s="9" t="s">
        <v>71</v>
      </c>
      <c r="AG506" s="13">
        <v>1</v>
      </c>
      <c r="AH506" s="9" t="s">
        <v>92</v>
      </c>
      <c r="AI506" s="13">
        <v>417200</v>
      </c>
      <c r="AJ506" s="13">
        <v>10012800</v>
      </c>
      <c r="AK506" s="11">
        <v>0</v>
      </c>
      <c r="AL506" s="11">
        <v>0</v>
      </c>
      <c r="AM506" s="11">
        <v>0</v>
      </c>
      <c r="AN506" s="9" t="s">
        <v>67</v>
      </c>
      <c r="AO506" s="11">
        <v>10012800</v>
      </c>
      <c r="AP506" s="13">
        <v>801024</v>
      </c>
      <c r="AQ506" s="13">
        <v>10813824</v>
      </c>
      <c r="AR506" s="11">
        <v>96</v>
      </c>
      <c r="AS506" s="9" t="s">
        <v>72</v>
      </c>
      <c r="AT506" s="11">
        <v>96</v>
      </c>
      <c r="AU506" s="9" t="s">
        <v>73</v>
      </c>
      <c r="AV506" s="9" t="s">
        <v>67</v>
      </c>
      <c r="AW506" s="9" t="s">
        <v>934</v>
      </c>
      <c r="AX506" s="10">
        <v>45968</v>
      </c>
      <c r="AY506" s="9" t="s">
        <v>1466</v>
      </c>
      <c r="AZ506" s="9" t="s">
        <v>67</v>
      </c>
      <c r="BA506" s="9" t="s">
        <v>67</v>
      </c>
      <c r="BB506" s="12">
        <v>96</v>
      </c>
      <c r="BC506" s="9" t="s">
        <v>74</v>
      </c>
      <c r="BD506" s="9" t="s">
        <v>104</v>
      </c>
      <c r="BE506" s="9" t="s">
        <v>75</v>
      </c>
      <c r="BF506" s="11">
        <v>0</v>
      </c>
      <c r="BG506">
        <f t="shared" si="16"/>
        <v>12</v>
      </c>
      <c r="BH506" t="str">
        <f>VLOOKUP(BG506,[1]month!$A:$B,2,0)</f>
        <v>Desember</v>
      </c>
      <c r="BI506">
        <f t="shared" si="17"/>
        <v>2025</v>
      </c>
      <c r="BJ506" t="str">
        <f>VLOOKUP(I506,[1]Dist!$A:$B,2,0)</f>
        <v>Industry</v>
      </c>
      <c r="BK506" t="str">
        <f>IF(I506=11,VLOOKUP(Y506,[2]Sheet1!$C:$N,10,0),IF(I506=13,VLOOKUP(Y506,[3]Sheet1!$C:$N,10,0),IF(I506=15,VLOOKUP(Y506,[4]Sheet1!$C:$N,10,0),"Unknown")))</f>
        <v>PU</v>
      </c>
      <c r="BL506" t="str">
        <f>IF(I506=11,VLOOKUP(Y506,[2]Sheet1!$C:$N,12,0),IF(I506=13,VLOOKUP(Y506,[3]Sheet1!$C:$N,12,0),IF(I506=15,VLOOKUP(Y506,[4]Sheet1!$C:$N,12,0),"Unknown")))</f>
        <v>UNION HARDENER</v>
      </c>
      <c r="BM506" t="str">
        <f>VLOOKUP(W506,[1]branch!$A:$B,2,0)</f>
        <v>INDUSTRY</v>
      </c>
    </row>
    <row r="507" spans="1:65" x14ac:dyDescent="0.35">
      <c r="A507" s="10">
        <v>45996</v>
      </c>
      <c r="B507" s="9" t="s">
        <v>1465</v>
      </c>
      <c r="C507" s="9" t="s">
        <v>64</v>
      </c>
      <c r="D507" s="9" t="s">
        <v>92</v>
      </c>
      <c r="E507" s="11">
        <v>60</v>
      </c>
      <c r="F507" s="9" t="s">
        <v>93</v>
      </c>
      <c r="G507" s="9" t="s">
        <v>65</v>
      </c>
      <c r="H507" s="9" t="s">
        <v>66</v>
      </c>
      <c r="I507" s="9">
        <v>11</v>
      </c>
      <c r="J507" s="9" t="s">
        <v>128</v>
      </c>
      <c r="K507" s="9" t="s">
        <v>128</v>
      </c>
      <c r="L507" s="9" t="s">
        <v>128</v>
      </c>
      <c r="M507" s="9" t="s">
        <v>129</v>
      </c>
      <c r="N507" s="9" t="s">
        <v>873</v>
      </c>
      <c r="O507" s="9" t="s">
        <v>97</v>
      </c>
      <c r="P507" s="9" t="s">
        <v>67</v>
      </c>
      <c r="Q507" s="9" t="s">
        <v>98</v>
      </c>
      <c r="R507" s="9" t="s">
        <v>128</v>
      </c>
      <c r="S507" s="9" t="s">
        <v>129</v>
      </c>
      <c r="T507" s="9" t="s">
        <v>796</v>
      </c>
      <c r="U507" s="9" t="s">
        <v>67</v>
      </c>
      <c r="V507" s="9" t="s">
        <v>130</v>
      </c>
      <c r="W507" s="9" t="s">
        <v>131</v>
      </c>
      <c r="X507" s="11">
        <v>60</v>
      </c>
      <c r="Y507" s="9" t="s">
        <v>170</v>
      </c>
      <c r="Z507" s="9" t="s">
        <v>68</v>
      </c>
      <c r="AA507" s="9" t="s">
        <v>171</v>
      </c>
      <c r="AB507" s="9" t="s">
        <v>67</v>
      </c>
      <c r="AC507" s="9" t="s">
        <v>172</v>
      </c>
      <c r="AD507" s="11">
        <v>5</v>
      </c>
      <c r="AE507" s="9" t="s">
        <v>70</v>
      </c>
      <c r="AF507" s="9" t="s">
        <v>71</v>
      </c>
      <c r="AG507" s="13">
        <v>1</v>
      </c>
      <c r="AH507" s="9" t="s">
        <v>92</v>
      </c>
      <c r="AI507" s="13">
        <v>1302400</v>
      </c>
      <c r="AJ507" s="13">
        <v>6512000</v>
      </c>
      <c r="AK507" s="11">
        <v>0</v>
      </c>
      <c r="AL507" s="11">
        <v>0</v>
      </c>
      <c r="AM507" s="11">
        <v>0</v>
      </c>
      <c r="AN507" s="9" t="s">
        <v>67</v>
      </c>
      <c r="AO507" s="11">
        <v>6512000</v>
      </c>
      <c r="AP507" s="13">
        <v>520960</v>
      </c>
      <c r="AQ507" s="13">
        <v>7032960</v>
      </c>
      <c r="AR507" s="11">
        <v>80</v>
      </c>
      <c r="AS507" s="9" t="s">
        <v>72</v>
      </c>
      <c r="AT507" s="11">
        <v>80</v>
      </c>
      <c r="AU507" s="9" t="s">
        <v>73</v>
      </c>
      <c r="AV507" s="9" t="s">
        <v>67</v>
      </c>
      <c r="AW507" s="9" t="s">
        <v>934</v>
      </c>
      <c r="AX507" s="10">
        <v>45968</v>
      </c>
      <c r="AY507" s="9" t="s">
        <v>1466</v>
      </c>
      <c r="AZ507" s="9" t="s">
        <v>67</v>
      </c>
      <c r="BA507" s="9" t="s">
        <v>67</v>
      </c>
      <c r="BB507" s="12">
        <v>80</v>
      </c>
      <c r="BC507" s="9" t="s">
        <v>74</v>
      </c>
      <c r="BD507" s="9" t="s">
        <v>104</v>
      </c>
      <c r="BE507" s="9" t="s">
        <v>75</v>
      </c>
      <c r="BF507" s="11">
        <v>0</v>
      </c>
      <c r="BG507">
        <f t="shared" si="16"/>
        <v>12</v>
      </c>
      <c r="BH507" t="str">
        <f>VLOOKUP(BG507,[1]month!$A:$B,2,0)</f>
        <v>Desember</v>
      </c>
      <c r="BI507">
        <f t="shared" si="17"/>
        <v>2025</v>
      </c>
      <c r="BJ507" t="str">
        <f>VLOOKUP(I507,[1]Dist!$A:$B,2,0)</f>
        <v>Industry</v>
      </c>
      <c r="BK507" t="str">
        <f>IF(I507=11,VLOOKUP(Y507,[2]Sheet1!$C:$N,10,0),IF(I507=13,VLOOKUP(Y507,[3]Sheet1!$C:$N,10,0),IF(I507=15,VLOOKUP(Y507,[4]Sheet1!$C:$N,10,0),"Unknown")))</f>
        <v>PU</v>
      </c>
      <c r="BL507" t="str">
        <f>IF(I507=11,VLOOKUP(Y507,[2]Sheet1!$C:$N,12,0),IF(I507=13,VLOOKUP(Y507,[3]Sheet1!$C:$N,12,0),IF(I507=15,VLOOKUP(Y507,[4]Sheet1!$C:$N,12,0),"Unknown")))</f>
        <v>UNION TOP COAT</v>
      </c>
      <c r="BM507" t="str">
        <f>VLOOKUP(W507,[1]branch!$A:$B,2,0)</f>
        <v>INDUSTRY</v>
      </c>
    </row>
    <row r="508" spans="1:65" x14ac:dyDescent="0.35">
      <c r="A508" s="10">
        <v>45996</v>
      </c>
      <c r="B508" s="9" t="s">
        <v>1465</v>
      </c>
      <c r="C508" s="9" t="s">
        <v>64</v>
      </c>
      <c r="D508" s="9" t="s">
        <v>92</v>
      </c>
      <c r="E508" s="11">
        <v>60</v>
      </c>
      <c r="F508" s="9" t="s">
        <v>93</v>
      </c>
      <c r="G508" s="9" t="s">
        <v>65</v>
      </c>
      <c r="H508" s="9" t="s">
        <v>66</v>
      </c>
      <c r="I508" s="9">
        <v>11</v>
      </c>
      <c r="J508" s="9" t="s">
        <v>128</v>
      </c>
      <c r="K508" s="9" t="s">
        <v>128</v>
      </c>
      <c r="L508" s="9" t="s">
        <v>128</v>
      </c>
      <c r="M508" s="9" t="s">
        <v>129</v>
      </c>
      <c r="N508" s="9" t="s">
        <v>873</v>
      </c>
      <c r="O508" s="9" t="s">
        <v>97</v>
      </c>
      <c r="P508" s="9" t="s">
        <v>67</v>
      </c>
      <c r="Q508" s="9" t="s">
        <v>98</v>
      </c>
      <c r="R508" s="9" t="s">
        <v>128</v>
      </c>
      <c r="S508" s="9" t="s">
        <v>129</v>
      </c>
      <c r="T508" s="9" t="s">
        <v>796</v>
      </c>
      <c r="U508" s="9" t="s">
        <v>67</v>
      </c>
      <c r="V508" s="9" t="s">
        <v>130</v>
      </c>
      <c r="W508" s="9" t="s">
        <v>131</v>
      </c>
      <c r="X508" s="11">
        <v>80</v>
      </c>
      <c r="Y508" s="9" t="s">
        <v>176</v>
      </c>
      <c r="Z508" s="9" t="s">
        <v>68</v>
      </c>
      <c r="AA508" s="9" t="s">
        <v>177</v>
      </c>
      <c r="AB508" s="9" t="s">
        <v>67</v>
      </c>
      <c r="AC508" s="9" t="s">
        <v>178</v>
      </c>
      <c r="AD508" s="11">
        <v>12</v>
      </c>
      <c r="AE508" s="9" t="s">
        <v>70</v>
      </c>
      <c r="AF508" s="9" t="s">
        <v>71</v>
      </c>
      <c r="AG508" s="13">
        <v>1</v>
      </c>
      <c r="AH508" s="9" t="s">
        <v>92</v>
      </c>
      <c r="AI508" s="13">
        <v>417200</v>
      </c>
      <c r="AJ508" s="13">
        <v>5006400</v>
      </c>
      <c r="AK508" s="11">
        <v>0</v>
      </c>
      <c r="AL508" s="11">
        <v>0</v>
      </c>
      <c r="AM508" s="11">
        <v>0</v>
      </c>
      <c r="AN508" s="9" t="s">
        <v>67</v>
      </c>
      <c r="AO508" s="11">
        <v>5006400</v>
      </c>
      <c r="AP508" s="13">
        <v>400512</v>
      </c>
      <c r="AQ508" s="13">
        <v>5406912</v>
      </c>
      <c r="AR508" s="11">
        <v>48</v>
      </c>
      <c r="AS508" s="9" t="s">
        <v>72</v>
      </c>
      <c r="AT508" s="12">
        <v>47.52</v>
      </c>
      <c r="AU508" s="9" t="s">
        <v>73</v>
      </c>
      <c r="AV508" s="9" t="s">
        <v>67</v>
      </c>
      <c r="AW508" s="9" t="s">
        <v>934</v>
      </c>
      <c r="AX508" s="10">
        <v>45968</v>
      </c>
      <c r="AY508" s="9" t="s">
        <v>1466</v>
      </c>
      <c r="AZ508" s="9" t="s">
        <v>67</v>
      </c>
      <c r="BA508" s="9" t="s">
        <v>67</v>
      </c>
      <c r="BB508" s="12">
        <v>48</v>
      </c>
      <c r="BC508" s="9" t="s">
        <v>74</v>
      </c>
      <c r="BD508" s="9" t="s">
        <v>104</v>
      </c>
      <c r="BE508" s="9" t="s">
        <v>75</v>
      </c>
      <c r="BF508" s="11">
        <v>0</v>
      </c>
      <c r="BG508">
        <f t="shared" si="16"/>
        <v>12</v>
      </c>
      <c r="BH508" t="str">
        <f>VLOOKUP(BG508,[1]month!$A:$B,2,0)</f>
        <v>Desember</v>
      </c>
      <c r="BI508">
        <f t="shared" si="17"/>
        <v>2025</v>
      </c>
      <c r="BJ508" t="str">
        <f>VLOOKUP(I508,[1]Dist!$A:$B,2,0)</f>
        <v>Industry</v>
      </c>
      <c r="BK508" t="str">
        <f>IF(I508=11,VLOOKUP(Y508,[2]Sheet1!$C:$N,10,0),IF(I508=13,VLOOKUP(Y508,[3]Sheet1!$C:$N,10,0),IF(I508=15,VLOOKUP(Y508,[4]Sheet1!$C:$N,10,0),"Unknown")))</f>
        <v>PU</v>
      </c>
      <c r="BL508" t="str">
        <f>IF(I508=11,VLOOKUP(Y508,[2]Sheet1!$C:$N,12,0),IF(I508=13,VLOOKUP(Y508,[3]Sheet1!$C:$N,12,0),IF(I508=15,VLOOKUP(Y508,[4]Sheet1!$C:$N,12,0),"Unknown")))</f>
        <v>UNION HARDENER</v>
      </c>
      <c r="BM508" t="str">
        <f>VLOOKUP(W508,[1]branch!$A:$B,2,0)</f>
        <v>INDUSTRY</v>
      </c>
    </row>
    <row r="509" spans="1:65" x14ac:dyDescent="0.35">
      <c r="A509" s="10">
        <v>45996</v>
      </c>
      <c r="B509" s="9" t="s">
        <v>1465</v>
      </c>
      <c r="C509" s="9" t="s">
        <v>64</v>
      </c>
      <c r="D509" s="9" t="s">
        <v>92</v>
      </c>
      <c r="E509" s="11">
        <v>60</v>
      </c>
      <c r="F509" s="9" t="s">
        <v>93</v>
      </c>
      <c r="G509" s="9" t="s">
        <v>65</v>
      </c>
      <c r="H509" s="9" t="s">
        <v>66</v>
      </c>
      <c r="I509" s="9">
        <v>11</v>
      </c>
      <c r="J509" s="9" t="s">
        <v>128</v>
      </c>
      <c r="K509" s="9" t="s">
        <v>128</v>
      </c>
      <c r="L509" s="9" t="s">
        <v>128</v>
      </c>
      <c r="M509" s="9" t="s">
        <v>129</v>
      </c>
      <c r="N509" s="9" t="s">
        <v>873</v>
      </c>
      <c r="O509" s="9" t="s">
        <v>97</v>
      </c>
      <c r="P509" s="9" t="s">
        <v>67</v>
      </c>
      <c r="Q509" s="9" t="s">
        <v>98</v>
      </c>
      <c r="R509" s="9" t="s">
        <v>128</v>
      </c>
      <c r="S509" s="9" t="s">
        <v>129</v>
      </c>
      <c r="T509" s="9" t="s">
        <v>796</v>
      </c>
      <c r="U509" s="9" t="s">
        <v>67</v>
      </c>
      <c r="V509" s="9" t="s">
        <v>130</v>
      </c>
      <c r="W509" s="9" t="s">
        <v>131</v>
      </c>
      <c r="X509" s="11">
        <v>170</v>
      </c>
      <c r="Y509" s="9" t="s">
        <v>376</v>
      </c>
      <c r="Z509" s="9" t="s">
        <v>68</v>
      </c>
      <c r="AA509" s="9" t="s">
        <v>377</v>
      </c>
      <c r="AB509" s="9" t="s">
        <v>67</v>
      </c>
      <c r="AC509" s="9" t="s">
        <v>175</v>
      </c>
      <c r="AD509" s="11">
        <v>2</v>
      </c>
      <c r="AE509" s="9" t="s">
        <v>70</v>
      </c>
      <c r="AF509" s="9" t="s">
        <v>71</v>
      </c>
      <c r="AG509" s="13">
        <v>1</v>
      </c>
      <c r="AH509" s="9" t="s">
        <v>92</v>
      </c>
      <c r="AI509" s="13">
        <v>8320000</v>
      </c>
      <c r="AJ509" s="13">
        <v>16640000</v>
      </c>
      <c r="AK509" s="11">
        <v>0</v>
      </c>
      <c r="AL509" s="11">
        <v>0</v>
      </c>
      <c r="AM509" s="11">
        <v>0</v>
      </c>
      <c r="AN509" s="9" t="s">
        <v>67</v>
      </c>
      <c r="AO509" s="11">
        <v>16640000</v>
      </c>
      <c r="AP509" s="13">
        <v>1331200</v>
      </c>
      <c r="AQ509" s="13">
        <v>17971200</v>
      </c>
      <c r="AR509" s="11">
        <v>352</v>
      </c>
      <c r="AS509" s="9" t="s">
        <v>72</v>
      </c>
      <c r="AT509" s="11">
        <v>400</v>
      </c>
      <c r="AU509" s="9" t="s">
        <v>73</v>
      </c>
      <c r="AV509" s="9" t="s">
        <v>67</v>
      </c>
      <c r="AW509" s="9" t="s">
        <v>934</v>
      </c>
      <c r="AX509" s="10">
        <v>45968</v>
      </c>
      <c r="AY509" s="9" t="s">
        <v>1466</v>
      </c>
      <c r="AZ509" s="9" t="s">
        <v>67</v>
      </c>
      <c r="BA509" s="9" t="s">
        <v>67</v>
      </c>
      <c r="BB509" s="12">
        <v>400</v>
      </c>
      <c r="BC509" s="9" t="s">
        <v>74</v>
      </c>
      <c r="BD509" s="9" t="s">
        <v>104</v>
      </c>
      <c r="BE509" s="9" t="s">
        <v>75</v>
      </c>
      <c r="BF509" s="11">
        <v>0</v>
      </c>
      <c r="BG509">
        <f t="shared" si="16"/>
        <v>12</v>
      </c>
      <c r="BH509" t="str">
        <f>VLOOKUP(BG509,[1]month!$A:$B,2,0)</f>
        <v>Desember</v>
      </c>
      <c r="BI509">
        <f t="shared" si="17"/>
        <v>2025</v>
      </c>
      <c r="BJ509" t="str">
        <f>VLOOKUP(I509,[1]Dist!$A:$B,2,0)</f>
        <v>Industry</v>
      </c>
      <c r="BK509" t="str">
        <f>IF(I509=11,VLOOKUP(Y509,[2]Sheet1!$C:$N,10,0),IF(I509=13,VLOOKUP(Y509,[3]Sheet1!$C:$N,10,0),IF(I509=15,VLOOKUP(Y509,[4]Sheet1!$C:$N,10,0),"Unknown")))</f>
        <v>THINNER PU</v>
      </c>
      <c r="BL509" t="str">
        <f>IF(I509=11,VLOOKUP(Y509,[2]Sheet1!$C:$N,12,0),IF(I509=13,VLOOKUP(Y509,[3]Sheet1!$C:$N,12,0),IF(I509=15,VLOOKUP(Y509,[4]Sheet1!$C:$N,12,0),"Unknown")))</f>
        <v>UNION THINNER</v>
      </c>
      <c r="BM509" t="str">
        <f>VLOOKUP(W509,[1]branch!$A:$B,2,0)</f>
        <v>INDUSTRY</v>
      </c>
    </row>
    <row r="510" spans="1:65" x14ac:dyDescent="0.35">
      <c r="A510" s="10">
        <v>45996</v>
      </c>
      <c r="B510" s="9" t="s">
        <v>1470</v>
      </c>
      <c r="C510" s="9" t="s">
        <v>64</v>
      </c>
      <c r="D510" s="9" t="s">
        <v>92</v>
      </c>
      <c r="E510" s="11">
        <v>30</v>
      </c>
      <c r="F510" s="9" t="s">
        <v>93</v>
      </c>
      <c r="G510" s="9" t="s">
        <v>65</v>
      </c>
      <c r="H510" s="9" t="s">
        <v>66</v>
      </c>
      <c r="I510" s="9">
        <v>11</v>
      </c>
      <c r="J510" s="9" t="s">
        <v>1471</v>
      </c>
      <c r="K510" s="9" t="s">
        <v>1471</v>
      </c>
      <c r="L510" s="9" t="s">
        <v>1471</v>
      </c>
      <c r="M510" s="9" t="s">
        <v>1472</v>
      </c>
      <c r="N510" s="9" t="s">
        <v>1376</v>
      </c>
      <c r="O510" s="9" t="s">
        <v>97</v>
      </c>
      <c r="P510" s="9" t="s">
        <v>67</v>
      </c>
      <c r="Q510" s="9" t="s">
        <v>98</v>
      </c>
      <c r="R510" s="9" t="s">
        <v>1473</v>
      </c>
      <c r="S510" s="9" t="s">
        <v>1472</v>
      </c>
      <c r="T510" s="9" t="s">
        <v>1474</v>
      </c>
      <c r="U510" s="9" t="s">
        <v>67</v>
      </c>
      <c r="V510" s="9" t="s">
        <v>194</v>
      </c>
      <c r="W510" s="9" t="s">
        <v>195</v>
      </c>
      <c r="X510" s="11">
        <v>10</v>
      </c>
      <c r="Y510" s="9" t="s">
        <v>198</v>
      </c>
      <c r="Z510" s="9" t="s">
        <v>68</v>
      </c>
      <c r="AA510" s="9" t="s">
        <v>199</v>
      </c>
      <c r="AB510" s="9" t="s">
        <v>67</v>
      </c>
      <c r="AC510" s="9" t="s">
        <v>200</v>
      </c>
      <c r="AD510" s="11">
        <v>6</v>
      </c>
      <c r="AE510" s="9" t="s">
        <v>70</v>
      </c>
      <c r="AF510" s="9" t="s">
        <v>71</v>
      </c>
      <c r="AG510" s="13">
        <v>1</v>
      </c>
      <c r="AH510" s="9" t="s">
        <v>92</v>
      </c>
      <c r="AI510" s="13">
        <v>1798200</v>
      </c>
      <c r="AJ510" s="13">
        <v>10789200</v>
      </c>
      <c r="AK510" s="11">
        <v>0</v>
      </c>
      <c r="AL510" s="11">
        <v>0</v>
      </c>
      <c r="AM510" s="11">
        <v>0</v>
      </c>
      <c r="AN510" s="9" t="s">
        <v>67</v>
      </c>
      <c r="AO510" s="11">
        <v>10789200</v>
      </c>
      <c r="AP510" s="13">
        <v>863136</v>
      </c>
      <c r="AQ510" s="13">
        <v>11652336</v>
      </c>
      <c r="AR510" s="11">
        <v>108</v>
      </c>
      <c r="AS510" s="9" t="s">
        <v>72</v>
      </c>
      <c r="AT510" s="11">
        <v>108</v>
      </c>
      <c r="AU510" s="9" t="s">
        <v>73</v>
      </c>
      <c r="AV510" s="9" t="s">
        <v>67</v>
      </c>
      <c r="AW510" s="9" t="s">
        <v>1475</v>
      </c>
      <c r="AX510" s="10">
        <v>45995</v>
      </c>
      <c r="AY510" s="9" t="s">
        <v>1476</v>
      </c>
      <c r="AZ510" s="9" t="s">
        <v>67</v>
      </c>
      <c r="BA510" s="9" t="s">
        <v>67</v>
      </c>
      <c r="BB510" s="12">
        <v>108</v>
      </c>
      <c r="BC510" s="9" t="s">
        <v>74</v>
      </c>
      <c r="BD510" s="9" t="s">
        <v>104</v>
      </c>
      <c r="BE510" s="9" t="s">
        <v>75</v>
      </c>
      <c r="BF510" s="11">
        <v>0</v>
      </c>
      <c r="BG510">
        <f t="shared" si="16"/>
        <v>12</v>
      </c>
      <c r="BH510" t="str">
        <f>VLOOKUP(BG510,[1]month!$A:$B,2,0)</f>
        <v>Desember</v>
      </c>
      <c r="BI510">
        <f t="shared" si="17"/>
        <v>2025</v>
      </c>
      <c r="BJ510" t="str">
        <f>VLOOKUP(I510,[1]Dist!$A:$B,2,0)</f>
        <v>Industry</v>
      </c>
      <c r="BK510" t="str">
        <f>IF(I510=11,VLOOKUP(Y510,[2]Sheet1!$C:$N,10,0),IF(I510=13,VLOOKUP(Y510,[3]Sheet1!$C:$N,10,0),IF(I510=15,VLOOKUP(Y510,[4]Sheet1!$C:$N,10,0),"Unknown")))</f>
        <v>PU</v>
      </c>
      <c r="BL510" t="str">
        <f>IF(I510=11,VLOOKUP(Y510,[2]Sheet1!$C:$N,12,0),IF(I510=13,VLOOKUP(Y510,[3]Sheet1!$C:$N,12,0),IF(I510=15,VLOOKUP(Y510,[4]Sheet1!$C:$N,12,0),"Unknown")))</f>
        <v>PU LACQUER</v>
      </c>
      <c r="BM510" t="str">
        <f>VLOOKUP(W510,[1]branch!$A:$B,2,0)</f>
        <v>INDUSTRY</v>
      </c>
    </row>
    <row r="511" spans="1:65" x14ac:dyDescent="0.35">
      <c r="A511" s="10">
        <v>45996</v>
      </c>
      <c r="B511" s="9" t="s">
        <v>1470</v>
      </c>
      <c r="C511" s="9" t="s">
        <v>64</v>
      </c>
      <c r="D511" s="9" t="s">
        <v>92</v>
      </c>
      <c r="E511" s="11">
        <v>30</v>
      </c>
      <c r="F511" s="9" t="s">
        <v>93</v>
      </c>
      <c r="G511" s="9" t="s">
        <v>65</v>
      </c>
      <c r="H511" s="9" t="s">
        <v>66</v>
      </c>
      <c r="I511" s="9">
        <v>11</v>
      </c>
      <c r="J511" s="9" t="s">
        <v>1471</v>
      </c>
      <c r="K511" s="9" t="s">
        <v>1471</v>
      </c>
      <c r="L511" s="9" t="s">
        <v>1471</v>
      </c>
      <c r="M511" s="9" t="s">
        <v>1472</v>
      </c>
      <c r="N511" s="9" t="s">
        <v>1376</v>
      </c>
      <c r="O511" s="9" t="s">
        <v>97</v>
      </c>
      <c r="P511" s="9" t="s">
        <v>67</v>
      </c>
      <c r="Q511" s="9" t="s">
        <v>98</v>
      </c>
      <c r="R511" s="9" t="s">
        <v>1473</v>
      </c>
      <c r="S511" s="9" t="s">
        <v>1472</v>
      </c>
      <c r="T511" s="9" t="s">
        <v>1474</v>
      </c>
      <c r="U511" s="9" t="s">
        <v>67</v>
      </c>
      <c r="V511" s="9" t="s">
        <v>194</v>
      </c>
      <c r="W511" s="9" t="s">
        <v>195</v>
      </c>
      <c r="X511" s="11">
        <v>20</v>
      </c>
      <c r="Y511" s="9" t="s">
        <v>607</v>
      </c>
      <c r="Z511" s="9" t="s">
        <v>68</v>
      </c>
      <c r="AA511" s="9" t="s">
        <v>608</v>
      </c>
      <c r="AB511" s="9" t="s">
        <v>67</v>
      </c>
      <c r="AC511" s="9" t="s">
        <v>91</v>
      </c>
      <c r="AD511" s="11">
        <v>1</v>
      </c>
      <c r="AE511" s="9" t="s">
        <v>70</v>
      </c>
      <c r="AF511" s="9" t="s">
        <v>71</v>
      </c>
      <c r="AG511" s="13">
        <v>1</v>
      </c>
      <c r="AH511" s="9" t="s">
        <v>92</v>
      </c>
      <c r="AI511" s="13">
        <v>900800</v>
      </c>
      <c r="AJ511" s="13">
        <v>900800</v>
      </c>
      <c r="AK511" s="11">
        <v>0</v>
      </c>
      <c r="AL511" s="11">
        <v>0</v>
      </c>
      <c r="AM511" s="11">
        <v>0</v>
      </c>
      <c r="AN511" s="9" t="s">
        <v>67</v>
      </c>
      <c r="AO511" s="11">
        <v>900800</v>
      </c>
      <c r="AP511" s="13">
        <v>72064</v>
      </c>
      <c r="AQ511" s="13">
        <v>972864</v>
      </c>
      <c r="AR511" s="11">
        <v>4</v>
      </c>
      <c r="AS511" s="9" t="s">
        <v>72</v>
      </c>
      <c r="AT511" s="12">
        <v>3.13</v>
      </c>
      <c r="AU511" s="9" t="s">
        <v>73</v>
      </c>
      <c r="AV511" s="9" t="s">
        <v>67</v>
      </c>
      <c r="AW511" s="9" t="s">
        <v>1475</v>
      </c>
      <c r="AX511" s="10">
        <v>45995</v>
      </c>
      <c r="AY511" s="9" t="s">
        <v>1476</v>
      </c>
      <c r="AZ511" s="9" t="s">
        <v>67</v>
      </c>
      <c r="BA511" s="9" t="s">
        <v>67</v>
      </c>
      <c r="BB511" s="12">
        <v>4</v>
      </c>
      <c r="BC511" s="9" t="s">
        <v>74</v>
      </c>
      <c r="BD511" s="9" t="s">
        <v>104</v>
      </c>
      <c r="BE511" s="9" t="s">
        <v>75</v>
      </c>
      <c r="BF511" s="11">
        <v>0</v>
      </c>
      <c r="BG511">
        <f t="shared" si="16"/>
        <v>12</v>
      </c>
      <c r="BH511" t="str">
        <f>VLOOKUP(BG511,[1]month!$A:$B,2,0)</f>
        <v>Desember</v>
      </c>
      <c r="BI511">
        <f t="shared" si="17"/>
        <v>2025</v>
      </c>
      <c r="BJ511" t="str">
        <f>VLOOKUP(I511,[1]Dist!$A:$B,2,0)</f>
        <v>Industry</v>
      </c>
      <c r="BK511" t="str">
        <f>IF(I511=11,VLOOKUP(Y511,[2]Sheet1!$C:$N,10,0),IF(I511=13,VLOOKUP(Y511,[3]Sheet1!$C:$N,10,0),IF(I511=15,VLOOKUP(Y511,[4]Sheet1!$C:$N,10,0),"Unknown")))</f>
        <v>COMPLEMENTARY</v>
      </c>
      <c r="BL511" t="str">
        <f>IF(I511=11,VLOOKUP(Y511,[2]Sheet1!$C:$N,12,0),IF(I511=13,VLOOKUP(Y511,[3]Sheet1!$C:$N,12,0),IF(I511=15,VLOOKUP(Y511,[4]Sheet1!$C:$N,12,0),"Unknown")))</f>
        <v>PASTA</v>
      </c>
      <c r="BM511" t="str">
        <f>VLOOKUP(W511,[1]branch!$A:$B,2,0)</f>
        <v>INDUSTRY</v>
      </c>
    </row>
    <row r="512" spans="1:65" x14ac:dyDescent="0.35">
      <c r="A512" s="10">
        <v>45996</v>
      </c>
      <c r="B512" s="9" t="s">
        <v>1470</v>
      </c>
      <c r="C512" s="9" t="s">
        <v>64</v>
      </c>
      <c r="D512" s="9" t="s">
        <v>92</v>
      </c>
      <c r="E512" s="11">
        <v>30</v>
      </c>
      <c r="F512" s="9" t="s">
        <v>93</v>
      </c>
      <c r="G512" s="9" t="s">
        <v>65</v>
      </c>
      <c r="H512" s="9" t="s">
        <v>66</v>
      </c>
      <c r="I512" s="9">
        <v>11</v>
      </c>
      <c r="J512" s="9" t="s">
        <v>1471</v>
      </c>
      <c r="K512" s="9" t="s">
        <v>1471</v>
      </c>
      <c r="L512" s="9" t="s">
        <v>1471</v>
      </c>
      <c r="M512" s="9" t="s">
        <v>1472</v>
      </c>
      <c r="N512" s="9" t="s">
        <v>1376</v>
      </c>
      <c r="O512" s="9" t="s">
        <v>97</v>
      </c>
      <c r="P512" s="9" t="s">
        <v>67</v>
      </c>
      <c r="Q512" s="9" t="s">
        <v>98</v>
      </c>
      <c r="R512" s="9" t="s">
        <v>1473</v>
      </c>
      <c r="S512" s="9" t="s">
        <v>1472</v>
      </c>
      <c r="T512" s="9" t="s">
        <v>1474</v>
      </c>
      <c r="U512" s="9" t="s">
        <v>67</v>
      </c>
      <c r="V512" s="9" t="s">
        <v>194</v>
      </c>
      <c r="W512" s="9" t="s">
        <v>195</v>
      </c>
      <c r="X512" s="11">
        <v>30</v>
      </c>
      <c r="Y512" s="9" t="s">
        <v>118</v>
      </c>
      <c r="Z512" s="9" t="s">
        <v>68</v>
      </c>
      <c r="AA512" s="9" t="s">
        <v>119</v>
      </c>
      <c r="AB512" s="9" t="s">
        <v>67</v>
      </c>
      <c r="AC512" s="9" t="s">
        <v>120</v>
      </c>
      <c r="AD512" s="11">
        <v>1</v>
      </c>
      <c r="AE512" s="9" t="s">
        <v>70</v>
      </c>
      <c r="AF512" s="9" t="s">
        <v>71</v>
      </c>
      <c r="AG512" s="13">
        <v>1</v>
      </c>
      <c r="AH512" s="9" t="s">
        <v>92</v>
      </c>
      <c r="AI512" s="13">
        <v>8526000</v>
      </c>
      <c r="AJ512" s="13">
        <v>8526000</v>
      </c>
      <c r="AK512" s="11">
        <v>0</v>
      </c>
      <c r="AL512" s="11">
        <v>0</v>
      </c>
      <c r="AM512" s="11">
        <v>0</v>
      </c>
      <c r="AN512" s="9" t="s">
        <v>67</v>
      </c>
      <c r="AO512" s="11">
        <v>8526000</v>
      </c>
      <c r="AP512" s="13">
        <v>682080</v>
      </c>
      <c r="AQ512" s="13">
        <v>9208080</v>
      </c>
      <c r="AR512" s="11">
        <v>185</v>
      </c>
      <c r="AS512" s="9" t="s">
        <v>72</v>
      </c>
      <c r="AT512" s="11">
        <v>200</v>
      </c>
      <c r="AU512" s="9" t="s">
        <v>73</v>
      </c>
      <c r="AV512" s="9" t="s">
        <v>67</v>
      </c>
      <c r="AW512" s="9" t="s">
        <v>1475</v>
      </c>
      <c r="AX512" s="10">
        <v>45995</v>
      </c>
      <c r="AY512" s="9" t="s">
        <v>1476</v>
      </c>
      <c r="AZ512" s="9" t="s">
        <v>67</v>
      </c>
      <c r="BA512" s="9" t="s">
        <v>67</v>
      </c>
      <c r="BB512" s="12">
        <v>200</v>
      </c>
      <c r="BC512" s="9" t="s">
        <v>74</v>
      </c>
      <c r="BD512" s="9" t="s">
        <v>104</v>
      </c>
      <c r="BE512" s="9" t="s">
        <v>75</v>
      </c>
      <c r="BF512" s="11">
        <v>0</v>
      </c>
      <c r="BG512">
        <f t="shared" si="16"/>
        <v>12</v>
      </c>
      <c r="BH512" t="str">
        <f>VLOOKUP(BG512,[1]month!$A:$B,2,0)</f>
        <v>Desember</v>
      </c>
      <c r="BI512">
        <f t="shared" si="17"/>
        <v>2025</v>
      </c>
      <c r="BJ512" t="str">
        <f>VLOOKUP(I512,[1]Dist!$A:$B,2,0)</f>
        <v>Industry</v>
      </c>
      <c r="BK512" t="str">
        <f>IF(I512=11,VLOOKUP(Y512,[2]Sheet1!$C:$N,10,0),IF(I512=13,VLOOKUP(Y512,[3]Sheet1!$C:$N,10,0),IF(I512=15,VLOOKUP(Y512,[4]Sheet1!$C:$N,10,0),"Unknown")))</f>
        <v>THINNER PU</v>
      </c>
      <c r="BL512" t="str">
        <f>IF(I512=11,VLOOKUP(Y512,[2]Sheet1!$C:$N,12,0),IF(I512=13,VLOOKUP(Y512,[3]Sheet1!$C:$N,12,0),IF(I512=15,VLOOKUP(Y512,[4]Sheet1!$C:$N,12,0),"Unknown")))</f>
        <v>THINNER PU</v>
      </c>
      <c r="BM512" t="str">
        <f>VLOOKUP(W512,[1]branch!$A:$B,2,0)</f>
        <v>INDUSTRY</v>
      </c>
    </row>
    <row r="513" spans="1:65" x14ac:dyDescent="0.35">
      <c r="A513" s="10">
        <v>45996</v>
      </c>
      <c r="B513" s="9" t="s">
        <v>1470</v>
      </c>
      <c r="C513" s="9" t="s">
        <v>64</v>
      </c>
      <c r="D513" s="9" t="s">
        <v>92</v>
      </c>
      <c r="E513" s="11">
        <v>30</v>
      </c>
      <c r="F513" s="9" t="s">
        <v>93</v>
      </c>
      <c r="G513" s="9" t="s">
        <v>65</v>
      </c>
      <c r="H513" s="9" t="s">
        <v>66</v>
      </c>
      <c r="I513" s="9">
        <v>11</v>
      </c>
      <c r="J513" s="9" t="s">
        <v>1471</v>
      </c>
      <c r="K513" s="9" t="s">
        <v>1471</v>
      </c>
      <c r="L513" s="9" t="s">
        <v>1471</v>
      </c>
      <c r="M513" s="9" t="s">
        <v>1472</v>
      </c>
      <c r="N513" s="9" t="s">
        <v>1376</v>
      </c>
      <c r="O513" s="9" t="s">
        <v>97</v>
      </c>
      <c r="P513" s="9" t="s">
        <v>67</v>
      </c>
      <c r="Q513" s="9" t="s">
        <v>98</v>
      </c>
      <c r="R513" s="9" t="s">
        <v>1473</v>
      </c>
      <c r="S513" s="9" t="s">
        <v>1472</v>
      </c>
      <c r="T513" s="9" t="s">
        <v>1474</v>
      </c>
      <c r="U513" s="9" t="s">
        <v>67</v>
      </c>
      <c r="V513" s="9" t="s">
        <v>194</v>
      </c>
      <c r="W513" s="9" t="s">
        <v>195</v>
      </c>
      <c r="X513" s="11">
        <v>40</v>
      </c>
      <c r="Y513" s="9" t="s">
        <v>105</v>
      </c>
      <c r="Z513" s="9" t="s">
        <v>68</v>
      </c>
      <c r="AA513" s="9" t="s">
        <v>106</v>
      </c>
      <c r="AB513" s="9" t="s">
        <v>67</v>
      </c>
      <c r="AC513" s="9" t="s">
        <v>107</v>
      </c>
      <c r="AD513" s="11">
        <v>6</v>
      </c>
      <c r="AE513" s="9" t="s">
        <v>70</v>
      </c>
      <c r="AF513" s="9" t="s">
        <v>71</v>
      </c>
      <c r="AG513" s="13">
        <v>1</v>
      </c>
      <c r="AH513" s="9" t="s">
        <v>92</v>
      </c>
      <c r="AI513" s="13">
        <v>1976000</v>
      </c>
      <c r="AJ513" s="13">
        <v>11856000</v>
      </c>
      <c r="AK513" s="11">
        <v>0</v>
      </c>
      <c r="AL513" s="11">
        <v>0</v>
      </c>
      <c r="AM513" s="11">
        <v>0</v>
      </c>
      <c r="AN513" s="9" t="s">
        <v>67</v>
      </c>
      <c r="AO513" s="11">
        <v>11856000</v>
      </c>
      <c r="AP513" s="13">
        <v>948480</v>
      </c>
      <c r="AQ513" s="13">
        <v>12804480</v>
      </c>
      <c r="AR513" s="11">
        <v>120</v>
      </c>
      <c r="AS513" s="9" t="s">
        <v>72</v>
      </c>
      <c r="AT513" s="12">
        <v>127.68</v>
      </c>
      <c r="AU513" s="9" t="s">
        <v>73</v>
      </c>
      <c r="AV513" s="9" t="s">
        <v>67</v>
      </c>
      <c r="AW513" s="9" t="s">
        <v>1475</v>
      </c>
      <c r="AX513" s="10">
        <v>45995</v>
      </c>
      <c r="AY513" s="9" t="s">
        <v>1476</v>
      </c>
      <c r="AZ513" s="9" t="s">
        <v>67</v>
      </c>
      <c r="BA513" s="9" t="s">
        <v>67</v>
      </c>
      <c r="BB513" s="12">
        <v>120</v>
      </c>
      <c r="BC513" s="9" t="s">
        <v>74</v>
      </c>
      <c r="BD513" s="9" t="s">
        <v>104</v>
      </c>
      <c r="BE513" s="9" t="s">
        <v>75</v>
      </c>
      <c r="BF513" s="11">
        <v>0</v>
      </c>
      <c r="BG513">
        <f t="shared" si="16"/>
        <v>12</v>
      </c>
      <c r="BH513" t="str">
        <f>VLOOKUP(BG513,[1]month!$A:$B,2,0)</f>
        <v>Desember</v>
      </c>
      <c r="BI513">
        <f t="shared" si="17"/>
        <v>2025</v>
      </c>
      <c r="BJ513" t="str">
        <f>VLOOKUP(I513,[1]Dist!$A:$B,2,0)</f>
        <v>Industry</v>
      </c>
      <c r="BK513" t="str">
        <f>IF(I513=11,VLOOKUP(Y513,[2]Sheet1!$C:$N,10,0),IF(I513=13,VLOOKUP(Y513,[3]Sheet1!$C:$N,10,0),IF(I513=15,VLOOKUP(Y513,[4]Sheet1!$C:$N,10,0),"Unknown")))</f>
        <v>PU</v>
      </c>
      <c r="BL513" t="str">
        <f>IF(I513=11,VLOOKUP(Y513,[2]Sheet1!$C:$N,12,0),IF(I513=13,VLOOKUP(Y513,[3]Sheet1!$C:$N,12,0),IF(I513=15,VLOOKUP(Y513,[4]Sheet1!$C:$N,12,0),"Unknown")))</f>
        <v>PU HARDENER</v>
      </c>
      <c r="BM513" t="str">
        <f>VLOOKUP(W513,[1]branch!$A:$B,2,0)</f>
        <v>INDUSTRY</v>
      </c>
    </row>
    <row r="514" spans="1:65" x14ac:dyDescent="0.35">
      <c r="A514" s="10">
        <v>45996</v>
      </c>
      <c r="B514" s="9" t="s">
        <v>1470</v>
      </c>
      <c r="C514" s="9" t="s">
        <v>64</v>
      </c>
      <c r="D514" s="9" t="s">
        <v>92</v>
      </c>
      <c r="E514" s="11">
        <v>30</v>
      </c>
      <c r="F514" s="9" t="s">
        <v>93</v>
      </c>
      <c r="G514" s="9" t="s">
        <v>65</v>
      </c>
      <c r="H514" s="9" t="s">
        <v>66</v>
      </c>
      <c r="I514" s="9">
        <v>11</v>
      </c>
      <c r="J514" s="9" t="s">
        <v>1471</v>
      </c>
      <c r="K514" s="9" t="s">
        <v>1471</v>
      </c>
      <c r="L514" s="9" t="s">
        <v>1471</v>
      </c>
      <c r="M514" s="9" t="s">
        <v>1472</v>
      </c>
      <c r="N514" s="9" t="s">
        <v>1376</v>
      </c>
      <c r="O514" s="9" t="s">
        <v>97</v>
      </c>
      <c r="P514" s="9" t="s">
        <v>67</v>
      </c>
      <c r="Q514" s="9" t="s">
        <v>98</v>
      </c>
      <c r="R514" s="9" t="s">
        <v>1473</v>
      </c>
      <c r="S514" s="9" t="s">
        <v>1472</v>
      </c>
      <c r="T514" s="9" t="s">
        <v>1474</v>
      </c>
      <c r="U514" s="9" t="s">
        <v>67</v>
      </c>
      <c r="V514" s="9" t="s">
        <v>194</v>
      </c>
      <c r="W514" s="9" t="s">
        <v>195</v>
      </c>
      <c r="X514" s="11">
        <v>50</v>
      </c>
      <c r="Y514" s="9" t="s">
        <v>123</v>
      </c>
      <c r="Z514" s="9" t="s">
        <v>68</v>
      </c>
      <c r="AA514" s="9" t="s">
        <v>124</v>
      </c>
      <c r="AB514" s="9" t="s">
        <v>67</v>
      </c>
      <c r="AC514" s="9" t="s">
        <v>125</v>
      </c>
      <c r="AD514" s="11">
        <v>4</v>
      </c>
      <c r="AE514" s="9" t="s">
        <v>70</v>
      </c>
      <c r="AF514" s="9" t="s">
        <v>71</v>
      </c>
      <c r="AG514" s="13">
        <v>1</v>
      </c>
      <c r="AH514" s="9" t="s">
        <v>92</v>
      </c>
      <c r="AI514" s="13">
        <v>2442200</v>
      </c>
      <c r="AJ514" s="13">
        <v>9768800</v>
      </c>
      <c r="AK514" s="11">
        <v>0</v>
      </c>
      <c r="AL514" s="11">
        <v>0</v>
      </c>
      <c r="AM514" s="11">
        <v>0</v>
      </c>
      <c r="AN514" s="9" t="s">
        <v>67</v>
      </c>
      <c r="AO514" s="11">
        <v>9768800</v>
      </c>
      <c r="AP514" s="13">
        <v>781504</v>
      </c>
      <c r="AQ514" s="13">
        <v>10550304</v>
      </c>
      <c r="AR514" s="12">
        <v>78.400000000000006</v>
      </c>
      <c r="AS514" s="9" t="s">
        <v>72</v>
      </c>
      <c r="AT514" s="11">
        <v>80</v>
      </c>
      <c r="AU514" s="9" t="s">
        <v>73</v>
      </c>
      <c r="AV514" s="9" t="s">
        <v>67</v>
      </c>
      <c r="AW514" s="9" t="s">
        <v>1475</v>
      </c>
      <c r="AX514" s="10">
        <v>45995</v>
      </c>
      <c r="AY514" s="9" t="s">
        <v>1476</v>
      </c>
      <c r="AZ514" s="9" t="s">
        <v>67</v>
      </c>
      <c r="BA514" s="9" t="s">
        <v>67</v>
      </c>
      <c r="BB514" s="12">
        <v>80</v>
      </c>
      <c r="BC514" s="9" t="s">
        <v>74</v>
      </c>
      <c r="BD514" s="9" t="s">
        <v>104</v>
      </c>
      <c r="BE514" s="9" t="s">
        <v>75</v>
      </c>
      <c r="BF514" s="11">
        <v>0</v>
      </c>
      <c r="BG514">
        <f t="shared" si="16"/>
        <v>12</v>
      </c>
      <c r="BH514" t="str">
        <f>VLOOKUP(BG514,[1]month!$A:$B,2,0)</f>
        <v>Desember</v>
      </c>
      <c r="BI514">
        <f t="shared" si="17"/>
        <v>2025</v>
      </c>
      <c r="BJ514" t="str">
        <f>VLOOKUP(I514,[1]Dist!$A:$B,2,0)</f>
        <v>Industry</v>
      </c>
      <c r="BK514" t="str">
        <f>IF(I514=11,VLOOKUP(Y514,[2]Sheet1!$C:$N,10,0),IF(I514=13,VLOOKUP(Y514,[3]Sheet1!$C:$N,10,0),IF(I514=15,VLOOKUP(Y514,[4]Sheet1!$C:$N,10,0),"Unknown")))</f>
        <v>PU</v>
      </c>
      <c r="BL514" t="str">
        <f>IF(I514=11,VLOOKUP(Y514,[2]Sheet1!$C:$N,12,0),IF(I514=13,VLOOKUP(Y514,[3]Sheet1!$C:$N,12,0),IF(I514=15,VLOOKUP(Y514,[4]Sheet1!$C:$N,12,0),"Unknown")))</f>
        <v>PU HARDENER</v>
      </c>
      <c r="BM514" t="str">
        <f>VLOOKUP(W514,[1]branch!$A:$B,2,0)</f>
        <v>INDUSTRY</v>
      </c>
    </row>
    <row r="515" spans="1:65" x14ac:dyDescent="0.35">
      <c r="A515" s="10">
        <v>45996</v>
      </c>
      <c r="B515" s="9" t="s">
        <v>1477</v>
      </c>
      <c r="C515" s="9" t="s">
        <v>64</v>
      </c>
      <c r="D515" s="9" t="s">
        <v>92</v>
      </c>
      <c r="E515" s="11">
        <v>45</v>
      </c>
      <c r="F515" s="9" t="s">
        <v>93</v>
      </c>
      <c r="G515" s="9" t="s">
        <v>65</v>
      </c>
      <c r="H515" s="9" t="s">
        <v>66</v>
      </c>
      <c r="I515" s="9">
        <v>11</v>
      </c>
      <c r="J515" s="9" t="s">
        <v>289</v>
      </c>
      <c r="K515" s="9" t="s">
        <v>289</v>
      </c>
      <c r="L515" s="9" t="s">
        <v>289</v>
      </c>
      <c r="M515" s="9" t="s">
        <v>290</v>
      </c>
      <c r="N515" s="9" t="s">
        <v>868</v>
      </c>
      <c r="O515" s="9" t="s">
        <v>97</v>
      </c>
      <c r="P515" s="9" t="s">
        <v>67</v>
      </c>
      <c r="Q515" s="9" t="s">
        <v>98</v>
      </c>
      <c r="R515" s="9" t="s">
        <v>289</v>
      </c>
      <c r="S515" s="9" t="s">
        <v>290</v>
      </c>
      <c r="T515" s="9" t="s">
        <v>797</v>
      </c>
      <c r="U515" s="9" t="s">
        <v>67</v>
      </c>
      <c r="V515" s="9" t="s">
        <v>194</v>
      </c>
      <c r="W515" s="9" t="s">
        <v>195</v>
      </c>
      <c r="X515" s="11">
        <v>10</v>
      </c>
      <c r="Y515" s="9" t="s">
        <v>1478</v>
      </c>
      <c r="Z515" s="9" t="s">
        <v>68</v>
      </c>
      <c r="AA515" s="9" t="s">
        <v>1479</v>
      </c>
      <c r="AB515" s="9" t="s">
        <v>67</v>
      </c>
      <c r="AC515" s="9" t="s">
        <v>1367</v>
      </c>
      <c r="AD515" s="11">
        <v>1</v>
      </c>
      <c r="AE515" s="9" t="s">
        <v>70</v>
      </c>
      <c r="AF515" s="9" t="s">
        <v>71</v>
      </c>
      <c r="AG515" s="13">
        <v>1</v>
      </c>
      <c r="AH515" s="9" t="s">
        <v>92</v>
      </c>
      <c r="AI515" s="13">
        <v>1970280</v>
      </c>
      <c r="AJ515" s="13">
        <v>1970280</v>
      </c>
      <c r="AK515" s="11">
        <v>0</v>
      </c>
      <c r="AL515" s="11">
        <v>0</v>
      </c>
      <c r="AM515" s="11">
        <v>0</v>
      </c>
      <c r="AN515" s="9" t="s">
        <v>67</v>
      </c>
      <c r="AO515" s="11">
        <v>1970280</v>
      </c>
      <c r="AP515" s="13">
        <v>157622</v>
      </c>
      <c r="AQ515" s="13">
        <v>2127902</v>
      </c>
      <c r="AR515" s="11">
        <v>20</v>
      </c>
      <c r="AS515" s="9" t="s">
        <v>72</v>
      </c>
      <c r="AT515" s="12">
        <v>16.53</v>
      </c>
      <c r="AU515" s="9" t="s">
        <v>73</v>
      </c>
      <c r="AV515" s="9" t="s">
        <v>67</v>
      </c>
      <c r="AW515" s="9" t="s">
        <v>1480</v>
      </c>
      <c r="AX515" s="10">
        <v>45992</v>
      </c>
      <c r="AY515" s="9" t="s">
        <v>1481</v>
      </c>
      <c r="AZ515" s="9" t="s">
        <v>67</v>
      </c>
      <c r="BA515" s="9" t="s">
        <v>67</v>
      </c>
      <c r="BB515" s="12">
        <v>20</v>
      </c>
      <c r="BC515" s="9" t="s">
        <v>74</v>
      </c>
      <c r="BD515" s="9" t="s">
        <v>104</v>
      </c>
      <c r="BE515" s="9" t="s">
        <v>75</v>
      </c>
      <c r="BF515" s="11">
        <v>0</v>
      </c>
      <c r="BG515">
        <f t="shared" ref="BG515:BG578" si="18">MONTH(A515)</f>
        <v>12</v>
      </c>
      <c r="BH515" t="str">
        <f>VLOOKUP(BG515,[1]month!$A:$B,2,0)</f>
        <v>Desember</v>
      </c>
      <c r="BI515">
        <f t="shared" ref="BI515:BI578" si="19">YEAR(A515)</f>
        <v>2025</v>
      </c>
      <c r="BJ515" t="str">
        <f>VLOOKUP(I515,[1]Dist!$A:$B,2,0)</f>
        <v>Industry</v>
      </c>
      <c r="BK515" t="str">
        <f>IF(I515=11,VLOOKUP(Y515,[2]Sheet1!$C:$N,10,0),IF(I515=13,VLOOKUP(Y515,[3]Sheet1!$C:$N,10,0),IF(I515=15,VLOOKUP(Y515,[4]Sheet1!$C:$N,10,0),"Unknown")))</f>
        <v>PU</v>
      </c>
      <c r="BL515" t="str">
        <f>IF(I515=11,VLOOKUP(Y515,[2]Sheet1!$C:$N,12,0),IF(I515=13,VLOOKUP(Y515,[3]Sheet1!$C:$N,12,0),IF(I515=15,VLOOKUP(Y515,[4]Sheet1!$C:$N,12,0),"Unknown")))</f>
        <v>PU COLOR</v>
      </c>
      <c r="BM515" t="str">
        <f>VLOOKUP(W515,[1]branch!$A:$B,2,0)</f>
        <v>INDUSTRY</v>
      </c>
    </row>
    <row r="516" spans="1:65" x14ac:dyDescent="0.35">
      <c r="A516" s="10">
        <v>45996</v>
      </c>
      <c r="B516" s="9" t="s">
        <v>1477</v>
      </c>
      <c r="C516" s="9" t="s">
        <v>64</v>
      </c>
      <c r="D516" s="9" t="s">
        <v>92</v>
      </c>
      <c r="E516" s="11">
        <v>45</v>
      </c>
      <c r="F516" s="9" t="s">
        <v>93</v>
      </c>
      <c r="G516" s="9" t="s">
        <v>65</v>
      </c>
      <c r="H516" s="9" t="s">
        <v>66</v>
      </c>
      <c r="I516" s="9">
        <v>11</v>
      </c>
      <c r="J516" s="9" t="s">
        <v>289</v>
      </c>
      <c r="K516" s="9" t="s">
        <v>289</v>
      </c>
      <c r="L516" s="9" t="s">
        <v>289</v>
      </c>
      <c r="M516" s="9" t="s">
        <v>290</v>
      </c>
      <c r="N516" s="9" t="s">
        <v>868</v>
      </c>
      <c r="O516" s="9" t="s">
        <v>97</v>
      </c>
      <c r="P516" s="9" t="s">
        <v>67</v>
      </c>
      <c r="Q516" s="9" t="s">
        <v>98</v>
      </c>
      <c r="R516" s="9" t="s">
        <v>289</v>
      </c>
      <c r="S516" s="9" t="s">
        <v>290</v>
      </c>
      <c r="T516" s="9" t="s">
        <v>797</v>
      </c>
      <c r="U516" s="9" t="s">
        <v>67</v>
      </c>
      <c r="V516" s="9" t="s">
        <v>194</v>
      </c>
      <c r="W516" s="9" t="s">
        <v>195</v>
      </c>
      <c r="X516" s="11">
        <v>20</v>
      </c>
      <c r="Y516" s="9" t="s">
        <v>1365</v>
      </c>
      <c r="Z516" s="9" t="s">
        <v>68</v>
      </c>
      <c r="AA516" s="9" t="s">
        <v>1366</v>
      </c>
      <c r="AB516" s="9" t="s">
        <v>67</v>
      </c>
      <c r="AC516" s="9" t="s">
        <v>1367</v>
      </c>
      <c r="AD516" s="11">
        <v>1</v>
      </c>
      <c r="AE516" s="9" t="s">
        <v>70</v>
      </c>
      <c r="AF516" s="9" t="s">
        <v>71</v>
      </c>
      <c r="AG516" s="13">
        <v>1</v>
      </c>
      <c r="AH516" s="9" t="s">
        <v>92</v>
      </c>
      <c r="AI516" s="13">
        <v>1700980</v>
      </c>
      <c r="AJ516" s="13">
        <v>1700980</v>
      </c>
      <c r="AK516" s="11">
        <v>0</v>
      </c>
      <c r="AL516" s="11">
        <v>0</v>
      </c>
      <c r="AM516" s="11">
        <v>0</v>
      </c>
      <c r="AN516" s="9" t="s">
        <v>67</v>
      </c>
      <c r="AO516" s="11">
        <v>1700980</v>
      </c>
      <c r="AP516" s="13">
        <v>136078</v>
      </c>
      <c r="AQ516" s="13">
        <v>1837058</v>
      </c>
      <c r="AR516" s="11">
        <v>20</v>
      </c>
      <c r="AS516" s="9" t="s">
        <v>72</v>
      </c>
      <c r="AT516" s="12">
        <v>16.53</v>
      </c>
      <c r="AU516" s="9" t="s">
        <v>73</v>
      </c>
      <c r="AV516" s="9" t="s">
        <v>67</v>
      </c>
      <c r="AW516" s="9" t="s">
        <v>1480</v>
      </c>
      <c r="AX516" s="10">
        <v>45992</v>
      </c>
      <c r="AY516" s="9" t="s">
        <v>1481</v>
      </c>
      <c r="AZ516" s="9" t="s">
        <v>67</v>
      </c>
      <c r="BA516" s="9" t="s">
        <v>67</v>
      </c>
      <c r="BB516" s="12">
        <v>20</v>
      </c>
      <c r="BC516" s="9" t="s">
        <v>74</v>
      </c>
      <c r="BD516" s="9" t="s">
        <v>104</v>
      </c>
      <c r="BE516" s="9" t="s">
        <v>75</v>
      </c>
      <c r="BF516" s="11">
        <v>0</v>
      </c>
      <c r="BG516">
        <f t="shared" si="18"/>
        <v>12</v>
      </c>
      <c r="BH516" t="str">
        <f>VLOOKUP(BG516,[1]month!$A:$B,2,0)</f>
        <v>Desember</v>
      </c>
      <c r="BI516">
        <f t="shared" si="19"/>
        <v>2025</v>
      </c>
      <c r="BJ516" t="str">
        <f>VLOOKUP(I516,[1]Dist!$A:$B,2,0)</f>
        <v>Industry</v>
      </c>
      <c r="BK516" t="str">
        <f>IF(I516=11,VLOOKUP(Y516,[2]Sheet1!$C:$N,10,0),IF(I516=13,VLOOKUP(Y516,[3]Sheet1!$C:$N,10,0),IF(I516=15,VLOOKUP(Y516,[4]Sheet1!$C:$N,10,0),"Unknown")))</f>
        <v>PU</v>
      </c>
      <c r="BL516" t="str">
        <f>IF(I516=11,VLOOKUP(Y516,[2]Sheet1!$C:$N,12,0),IF(I516=13,VLOOKUP(Y516,[3]Sheet1!$C:$N,12,0),IF(I516=15,VLOOKUP(Y516,[4]Sheet1!$C:$N,12,0),"Unknown")))</f>
        <v>PU COLOR</v>
      </c>
      <c r="BM516" t="str">
        <f>VLOOKUP(W516,[1]branch!$A:$B,2,0)</f>
        <v>INDUSTRY</v>
      </c>
    </row>
    <row r="517" spans="1:65" x14ac:dyDescent="0.35">
      <c r="A517" s="10">
        <v>45996</v>
      </c>
      <c r="B517" s="9" t="s">
        <v>1477</v>
      </c>
      <c r="C517" s="9" t="s">
        <v>64</v>
      </c>
      <c r="D517" s="9" t="s">
        <v>92</v>
      </c>
      <c r="E517" s="11">
        <v>45</v>
      </c>
      <c r="F517" s="9" t="s">
        <v>93</v>
      </c>
      <c r="G517" s="9" t="s">
        <v>65</v>
      </c>
      <c r="H517" s="9" t="s">
        <v>66</v>
      </c>
      <c r="I517" s="9">
        <v>11</v>
      </c>
      <c r="J517" s="9" t="s">
        <v>289</v>
      </c>
      <c r="K517" s="9" t="s">
        <v>289</v>
      </c>
      <c r="L517" s="9" t="s">
        <v>289</v>
      </c>
      <c r="M517" s="9" t="s">
        <v>290</v>
      </c>
      <c r="N517" s="9" t="s">
        <v>868</v>
      </c>
      <c r="O517" s="9" t="s">
        <v>97</v>
      </c>
      <c r="P517" s="9" t="s">
        <v>67</v>
      </c>
      <c r="Q517" s="9" t="s">
        <v>98</v>
      </c>
      <c r="R517" s="9" t="s">
        <v>289</v>
      </c>
      <c r="S517" s="9" t="s">
        <v>290</v>
      </c>
      <c r="T517" s="9" t="s">
        <v>797</v>
      </c>
      <c r="U517" s="9" t="s">
        <v>67</v>
      </c>
      <c r="V517" s="9" t="s">
        <v>194</v>
      </c>
      <c r="W517" s="9" t="s">
        <v>195</v>
      </c>
      <c r="X517" s="11">
        <v>30</v>
      </c>
      <c r="Y517" s="9" t="s">
        <v>246</v>
      </c>
      <c r="Z517" s="9" t="s">
        <v>68</v>
      </c>
      <c r="AA517" s="9" t="s">
        <v>247</v>
      </c>
      <c r="AB517" s="9" t="s">
        <v>67</v>
      </c>
      <c r="AC517" s="9" t="s">
        <v>248</v>
      </c>
      <c r="AD517" s="11">
        <v>1</v>
      </c>
      <c r="AE517" s="9" t="s">
        <v>70</v>
      </c>
      <c r="AF517" s="9" t="s">
        <v>71</v>
      </c>
      <c r="AG517" s="13">
        <v>1</v>
      </c>
      <c r="AH517" s="9" t="s">
        <v>92</v>
      </c>
      <c r="AI517" s="13">
        <v>2122780</v>
      </c>
      <c r="AJ517" s="13">
        <v>2122780</v>
      </c>
      <c r="AK517" s="11">
        <v>0</v>
      </c>
      <c r="AL517" s="11">
        <v>0</v>
      </c>
      <c r="AM517" s="11">
        <v>0</v>
      </c>
      <c r="AN517" s="9" t="s">
        <v>67</v>
      </c>
      <c r="AO517" s="11">
        <v>2122780</v>
      </c>
      <c r="AP517" s="13">
        <v>169822</v>
      </c>
      <c r="AQ517" s="13">
        <v>2292602</v>
      </c>
      <c r="AR517" s="12">
        <v>19.2</v>
      </c>
      <c r="AS517" s="9" t="s">
        <v>72</v>
      </c>
      <c r="AT517" s="11">
        <v>20</v>
      </c>
      <c r="AU517" s="9" t="s">
        <v>73</v>
      </c>
      <c r="AV517" s="9" t="s">
        <v>67</v>
      </c>
      <c r="AW517" s="9" t="s">
        <v>1480</v>
      </c>
      <c r="AX517" s="10">
        <v>45992</v>
      </c>
      <c r="AY517" s="9" t="s">
        <v>1481</v>
      </c>
      <c r="AZ517" s="9" t="s">
        <v>67</v>
      </c>
      <c r="BA517" s="9" t="s">
        <v>67</v>
      </c>
      <c r="BB517" s="12">
        <v>20</v>
      </c>
      <c r="BC517" s="9" t="s">
        <v>74</v>
      </c>
      <c r="BD517" s="9" t="s">
        <v>104</v>
      </c>
      <c r="BE517" s="9" t="s">
        <v>75</v>
      </c>
      <c r="BF517" s="11">
        <v>0</v>
      </c>
      <c r="BG517">
        <f t="shared" si="18"/>
        <v>12</v>
      </c>
      <c r="BH517" t="str">
        <f>VLOOKUP(BG517,[1]month!$A:$B,2,0)</f>
        <v>Desember</v>
      </c>
      <c r="BI517">
        <f t="shared" si="19"/>
        <v>2025</v>
      </c>
      <c r="BJ517" t="str">
        <f>VLOOKUP(I517,[1]Dist!$A:$B,2,0)</f>
        <v>Industry</v>
      </c>
      <c r="BK517" t="str">
        <f>IF(I517=11,VLOOKUP(Y517,[2]Sheet1!$C:$N,10,0),IF(I517=13,VLOOKUP(Y517,[3]Sheet1!$C:$N,10,0),IF(I517=15,VLOOKUP(Y517,[4]Sheet1!$C:$N,10,0),"Unknown")))</f>
        <v>PU</v>
      </c>
      <c r="BL517" t="str">
        <f>IF(I517=11,VLOOKUP(Y517,[2]Sheet1!$C:$N,12,0),IF(I517=13,VLOOKUP(Y517,[3]Sheet1!$C:$N,12,0),IF(I517=15,VLOOKUP(Y517,[4]Sheet1!$C:$N,12,0),"Unknown")))</f>
        <v>PU LACQUER</v>
      </c>
      <c r="BM517" t="str">
        <f>VLOOKUP(W517,[1]branch!$A:$B,2,0)</f>
        <v>INDUSTRY</v>
      </c>
    </row>
    <row r="518" spans="1:65" x14ac:dyDescent="0.35">
      <c r="A518" s="10">
        <v>45996</v>
      </c>
      <c r="B518" s="9" t="s">
        <v>1477</v>
      </c>
      <c r="C518" s="9" t="s">
        <v>64</v>
      </c>
      <c r="D518" s="9" t="s">
        <v>92</v>
      </c>
      <c r="E518" s="11">
        <v>45</v>
      </c>
      <c r="F518" s="9" t="s">
        <v>93</v>
      </c>
      <c r="G518" s="9" t="s">
        <v>65</v>
      </c>
      <c r="H518" s="9" t="s">
        <v>66</v>
      </c>
      <c r="I518" s="9">
        <v>11</v>
      </c>
      <c r="J518" s="9" t="s">
        <v>289</v>
      </c>
      <c r="K518" s="9" t="s">
        <v>289</v>
      </c>
      <c r="L518" s="9" t="s">
        <v>289</v>
      </c>
      <c r="M518" s="9" t="s">
        <v>290</v>
      </c>
      <c r="N518" s="9" t="s">
        <v>868</v>
      </c>
      <c r="O518" s="9" t="s">
        <v>97</v>
      </c>
      <c r="P518" s="9" t="s">
        <v>67</v>
      </c>
      <c r="Q518" s="9" t="s">
        <v>98</v>
      </c>
      <c r="R518" s="9" t="s">
        <v>289</v>
      </c>
      <c r="S518" s="9" t="s">
        <v>290</v>
      </c>
      <c r="T518" s="9" t="s">
        <v>797</v>
      </c>
      <c r="U518" s="9" t="s">
        <v>67</v>
      </c>
      <c r="V518" s="9" t="s">
        <v>194</v>
      </c>
      <c r="W518" s="9" t="s">
        <v>195</v>
      </c>
      <c r="X518" s="11">
        <v>40</v>
      </c>
      <c r="Y518" s="9" t="s">
        <v>458</v>
      </c>
      <c r="Z518" s="9" t="s">
        <v>68</v>
      </c>
      <c r="AA518" s="9" t="s">
        <v>459</v>
      </c>
      <c r="AB518" s="9" t="s">
        <v>67</v>
      </c>
      <c r="AC518" s="9" t="s">
        <v>272</v>
      </c>
      <c r="AD518" s="11">
        <v>1</v>
      </c>
      <c r="AE518" s="9" t="s">
        <v>70</v>
      </c>
      <c r="AF518" s="9" t="s">
        <v>71</v>
      </c>
      <c r="AG518" s="13">
        <v>1</v>
      </c>
      <c r="AH518" s="9" t="s">
        <v>92</v>
      </c>
      <c r="AI518" s="13">
        <v>2211700</v>
      </c>
      <c r="AJ518" s="13">
        <v>2211700</v>
      </c>
      <c r="AK518" s="11">
        <v>0</v>
      </c>
      <c r="AL518" s="11">
        <v>0</v>
      </c>
      <c r="AM518" s="11">
        <v>0</v>
      </c>
      <c r="AN518" s="9" t="s">
        <v>67</v>
      </c>
      <c r="AO518" s="11">
        <v>2211700</v>
      </c>
      <c r="AP518" s="13">
        <v>176937</v>
      </c>
      <c r="AQ518" s="13">
        <v>2388637</v>
      </c>
      <c r="AR518" s="11">
        <v>20</v>
      </c>
      <c r="AS518" s="9" t="s">
        <v>72</v>
      </c>
      <c r="AT518" s="12">
        <v>20.62</v>
      </c>
      <c r="AU518" s="9" t="s">
        <v>73</v>
      </c>
      <c r="AV518" s="9" t="s">
        <v>67</v>
      </c>
      <c r="AW518" s="9" t="s">
        <v>1480</v>
      </c>
      <c r="AX518" s="10">
        <v>45992</v>
      </c>
      <c r="AY518" s="9" t="s">
        <v>1481</v>
      </c>
      <c r="AZ518" s="9" t="s">
        <v>67</v>
      </c>
      <c r="BA518" s="9" t="s">
        <v>67</v>
      </c>
      <c r="BB518" s="12">
        <v>20</v>
      </c>
      <c r="BC518" s="9" t="s">
        <v>74</v>
      </c>
      <c r="BD518" s="9" t="s">
        <v>104</v>
      </c>
      <c r="BE518" s="9" t="s">
        <v>75</v>
      </c>
      <c r="BF518" s="11">
        <v>0</v>
      </c>
      <c r="BG518">
        <f t="shared" si="18"/>
        <v>12</v>
      </c>
      <c r="BH518" t="str">
        <f>VLOOKUP(BG518,[1]month!$A:$B,2,0)</f>
        <v>Desember</v>
      </c>
      <c r="BI518">
        <f t="shared" si="19"/>
        <v>2025</v>
      </c>
      <c r="BJ518" t="str">
        <f>VLOOKUP(I518,[1]Dist!$A:$B,2,0)</f>
        <v>Industry</v>
      </c>
      <c r="BK518" t="str">
        <f>IF(I518=11,VLOOKUP(Y518,[2]Sheet1!$C:$N,10,0),IF(I518=13,VLOOKUP(Y518,[3]Sheet1!$C:$N,10,0),IF(I518=15,VLOOKUP(Y518,[4]Sheet1!$C:$N,10,0),"Unknown")))</f>
        <v>PU</v>
      </c>
      <c r="BL518" t="str">
        <f>IF(I518=11,VLOOKUP(Y518,[2]Sheet1!$C:$N,12,0),IF(I518=13,VLOOKUP(Y518,[3]Sheet1!$C:$N,12,0),IF(I518=15,VLOOKUP(Y518,[4]Sheet1!$C:$N,12,0),"Unknown")))</f>
        <v>PU HARDENER</v>
      </c>
      <c r="BM518" t="str">
        <f>VLOOKUP(W518,[1]branch!$A:$B,2,0)</f>
        <v>INDUSTRY</v>
      </c>
    </row>
    <row r="519" spans="1:65" x14ac:dyDescent="0.35">
      <c r="A519" s="10">
        <v>45996</v>
      </c>
      <c r="B519" s="9" t="s">
        <v>1482</v>
      </c>
      <c r="C519" s="9" t="s">
        <v>64</v>
      </c>
      <c r="D519" s="9" t="s">
        <v>92</v>
      </c>
      <c r="E519" s="11">
        <v>45</v>
      </c>
      <c r="F519" s="9" t="s">
        <v>93</v>
      </c>
      <c r="G519" s="9" t="s">
        <v>65</v>
      </c>
      <c r="H519" s="9" t="s">
        <v>66</v>
      </c>
      <c r="I519" s="9">
        <v>11</v>
      </c>
      <c r="J519" s="9" t="s">
        <v>289</v>
      </c>
      <c r="K519" s="9" t="s">
        <v>289</v>
      </c>
      <c r="L519" s="9" t="s">
        <v>289</v>
      </c>
      <c r="M519" s="9" t="s">
        <v>290</v>
      </c>
      <c r="N519" s="9" t="s">
        <v>868</v>
      </c>
      <c r="O519" s="9" t="s">
        <v>97</v>
      </c>
      <c r="P519" s="9" t="s">
        <v>67</v>
      </c>
      <c r="Q519" s="9" t="s">
        <v>98</v>
      </c>
      <c r="R519" s="9" t="s">
        <v>289</v>
      </c>
      <c r="S519" s="9" t="s">
        <v>290</v>
      </c>
      <c r="T519" s="9" t="s">
        <v>797</v>
      </c>
      <c r="U519" s="9" t="s">
        <v>67</v>
      </c>
      <c r="V519" s="9" t="s">
        <v>194</v>
      </c>
      <c r="W519" s="9" t="s">
        <v>195</v>
      </c>
      <c r="X519" s="11">
        <v>50</v>
      </c>
      <c r="Y519" s="9" t="s">
        <v>211</v>
      </c>
      <c r="Z519" s="9" t="s">
        <v>68</v>
      </c>
      <c r="AA519" s="9" t="s">
        <v>212</v>
      </c>
      <c r="AB519" s="9" t="s">
        <v>67</v>
      </c>
      <c r="AC519" s="9" t="s">
        <v>139</v>
      </c>
      <c r="AD519" s="11">
        <v>8</v>
      </c>
      <c r="AE519" s="9" t="s">
        <v>70</v>
      </c>
      <c r="AF519" s="9" t="s">
        <v>71</v>
      </c>
      <c r="AG519" s="13">
        <v>1</v>
      </c>
      <c r="AH519" s="9" t="s">
        <v>92</v>
      </c>
      <c r="AI519" s="13">
        <v>781180</v>
      </c>
      <c r="AJ519" s="13">
        <v>6249440</v>
      </c>
      <c r="AK519" s="11">
        <v>0</v>
      </c>
      <c r="AL519" s="11">
        <v>0</v>
      </c>
      <c r="AM519" s="11">
        <v>0</v>
      </c>
      <c r="AN519" s="9" t="s">
        <v>67</v>
      </c>
      <c r="AO519" s="11">
        <v>6249440</v>
      </c>
      <c r="AP519" s="13">
        <v>499955</v>
      </c>
      <c r="AQ519" s="13">
        <v>6749395</v>
      </c>
      <c r="AR519" s="12">
        <v>140.80000000000001</v>
      </c>
      <c r="AS519" s="9" t="s">
        <v>72</v>
      </c>
      <c r="AT519" s="11">
        <v>160</v>
      </c>
      <c r="AU519" s="9" t="s">
        <v>73</v>
      </c>
      <c r="AV519" s="9" t="s">
        <v>67</v>
      </c>
      <c r="AW519" s="9" t="s">
        <v>1257</v>
      </c>
      <c r="AX519" s="10">
        <v>45993</v>
      </c>
      <c r="AY519" s="9" t="s">
        <v>1483</v>
      </c>
      <c r="AZ519" s="9" t="s">
        <v>67</v>
      </c>
      <c r="BA519" s="9" t="s">
        <v>67</v>
      </c>
      <c r="BB519" s="12">
        <v>160</v>
      </c>
      <c r="BC519" s="9" t="s">
        <v>74</v>
      </c>
      <c r="BD519" s="9" t="s">
        <v>104</v>
      </c>
      <c r="BE519" s="9" t="s">
        <v>75</v>
      </c>
      <c r="BF519" s="11">
        <v>0</v>
      </c>
      <c r="BG519">
        <f t="shared" si="18"/>
        <v>12</v>
      </c>
      <c r="BH519" t="str">
        <f>VLOOKUP(BG519,[1]month!$A:$B,2,0)</f>
        <v>Desember</v>
      </c>
      <c r="BI519">
        <f t="shared" si="19"/>
        <v>2025</v>
      </c>
      <c r="BJ519" t="str">
        <f>VLOOKUP(I519,[1]Dist!$A:$B,2,0)</f>
        <v>Industry</v>
      </c>
      <c r="BK519" t="str">
        <f>IF(I519=11,VLOOKUP(Y519,[2]Sheet1!$C:$N,10,0),IF(I519=13,VLOOKUP(Y519,[3]Sheet1!$C:$N,10,0),IF(I519=15,VLOOKUP(Y519,[4]Sheet1!$C:$N,10,0),"Unknown")))</f>
        <v>THINNER NC</v>
      </c>
      <c r="BL519" t="str">
        <f>IF(I519=11,VLOOKUP(Y519,[2]Sheet1!$C:$N,12,0),IF(I519=13,VLOOKUP(Y519,[3]Sheet1!$C:$N,12,0),IF(I519=15,VLOOKUP(Y519,[4]Sheet1!$C:$N,12,0),"Unknown")))</f>
        <v>THINNER COMPLEMENTARY</v>
      </c>
      <c r="BM519" t="str">
        <f>VLOOKUP(W519,[1]branch!$A:$B,2,0)</f>
        <v>INDUSTRY</v>
      </c>
    </row>
    <row r="520" spans="1:65" x14ac:dyDescent="0.35">
      <c r="A520" s="10">
        <v>45996</v>
      </c>
      <c r="B520" s="9" t="s">
        <v>1482</v>
      </c>
      <c r="C520" s="9" t="s">
        <v>64</v>
      </c>
      <c r="D520" s="9" t="s">
        <v>92</v>
      </c>
      <c r="E520" s="11">
        <v>45</v>
      </c>
      <c r="F520" s="9" t="s">
        <v>93</v>
      </c>
      <c r="G520" s="9" t="s">
        <v>65</v>
      </c>
      <c r="H520" s="9" t="s">
        <v>66</v>
      </c>
      <c r="I520" s="9">
        <v>11</v>
      </c>
      <c r="J520" s="9" t="s">
        <v>289</v>
      </c>
      <c r="K520" s="9" t="s">
        <v>289</v>
      </c>
      <c r="L520" s="9" t="s">
        <v>289</v>
      </c>
      <c r="M520" s="9" t="s">
        <v>290</v>
      </c>
      <c r="N520" s="9" t="s">
        <v>868</v>
      </c>
      <c r="O520" s="9" t="s">
        <v>97</v>
      </c>
      <c r="P520" s="9" t="s">
        <v>67</v>
      </c>
      <c r="Q520" s="9" t="s">
        <v>98</v>
      </c>
      <c r="R520" s="9" t="s">
        <v>289</v>
      </c>
      <c r="S520" s="9" t="s">
        <v>290</v>
      </c>
      <c r="T520" s="9" t="s">
        <v>797</v>
      </c>
      <c r="U520" s="9" t="s">
        <v>67</v>
      </c>
      <c r="V520" s="9" t="s">
        <v>194</v>
      </c>
      <c r="W520" s="9" t="s">
        <v>195</v>
      </c>
      <c r="X520" s="11">
        <v>60</v>
      </c>
      <c r="Y520" s="9" t="s">
        <v>118</v>
      </c>
      <c r="Z520" s="9" t="s">
        <v>68</v>
      </c>
      <c r="AA520" s="9" t="s">
        <v>119</v>
      </c>
      <c r="AB520" s="9" t="s">
        <v>67</v>
      </c>
      <c r="AC520" s="9" t="s">
        <v>120</v>
      </c>
      <c r="AD520" s="11">
        <v>2</v>
      </c>
      <c r="AE520" s="9" t="s">
        <v>70</v>
      </c>
      <c r="AF520" s="9" t="s">
        <v>71</v>
      </c>
      <c r="AG520" s="13">
        <v>1</v>
      </c>
      <c r="AH520" s="9" t="s">
        <v>92</v>
      </c>
      <c r="AI520" s="13">
        <v>7538800</v>
      </c>
      <c r="AJ520" s="13">
        <v>15077600</v>
      </c>
      <c r="AK520" s="11">
        <v>0</v>
      </c>
      <c r="AL520" s="11">
        <v>0</v>
      </c>
      <c r="AM520" s="11">
        <v>0</v>
      </c>
      <c r="AN520" s="9" t="s">
        <v>67</v>
      </c>
      <c r="AO520" s="11">
        <v>15077600</v>
      </c>
      <c r="AP520" s="13">
        <v>1206208</v>
      </c>
      <c r="AQ520" s="13">
        <v>16283808</v>
      </c>
      <c r="AR520" s="11">
        <v>370</v>
      </c>
      <c r="AS520" s="9" t="s">
        <v>72</v>
      </c>
      <c r="AT520" s="11">
        <v>400</v>
      </c>
      <c r="AU520" s="9" t="s">
        <v>73</v>
      </c>
      <c r="AV520" s="9" t="s">
        <v>67</v>
      </c>
      <c r="AW520" s="9" t="s">
        <v>1257</v>
      </c>
      <c r="AX520" s="10">
        <v>45993</v>
      </c>
      <c r="AY520" s="9" t="s">
        <v>1483</v>
      </c>
      <c r="AZ520" s="9" t="s">
        <v>67</v>
      </c>
      <c r="BA520" s="9" t="s">
        <v>67</v>
      </c>
      <c r="BB520" s="12">
        <v>400</v>
      </c>
      <c r="BC520" s="9" t="s">
        <v>74</v>
      </c>
      <c r="BD520" s="9" t="s">
        <v>104</v>
      </c>
      <c r="BE520" s="9" t="s">
        <v>75</v>
      </c>
      <c r="BF520" s="11">
        <v>0</v>
      </c>
      <c r="BG520">
        <f t="shared" si="18"/>
        <v>12</v>
      </c>
      <c r="BH520" t="str">
        <f>VLOOKUP(BG520,[1]month!$A:$B,2,0)</f>
        <v>Desember</v>
      </c>
      <c r="BI520">
        <f t="shared" si="19"/>
        <v>2025</v>
      </c>
      <c r="BJ520" t="str">
        <f>VLOOKUP(I520,[1]Dist!$A:$B,2,0)</f>
        <v>Industry</v>
      </c>
      <c r="BK520" t="str">
        <f>IF(I520=11,VLOOKUP(Y520,[2]Sheet1!$C:$N,10,0),IF(I520=13,VLOOKUP(Y520,[3]Sheet1!$C:$N,10,0),IF(I520=15,VLOOKUP(Y520,[4]Sheet1!$C:$N,10,0),"Unknown")))</f>
        <v>THINNER PU</v>
      </c>
      <c r="BL520" t="str">
        <f>IF(I520=11,VLOOKUP(Y520,[2]Sheet1!$C:$N,12,0),IF(I520=13,VLOOKUP(Y520,[3]Sheet1!$C:$N,12,0),IF(I520=15,VLOOKUP(Y520,[4]Sheet1!$C:$N,12,0),"Unknown")))</f>
        <v>THINNER PU</v>
      </c>
      <c r="BM520" t="str">
        <f>VLOOKUP(W520,[1]branch!$A:$B,2,0)</f>
        <v>INDUSTRY</v>
      </c>
    </row>
    <row r="521" spans="1:65" x14ac:dyDescent="0.35">
      <c r="A521" s="10">
        <v>45996</v>
      </c>
      <c r="B521" s="9" t="s">
        <v>1482</v>
      </c>
      <c r="C521" s="9" t="s">
        <v>64</v>
      </c>
      <c r="D521" s="9" t="s">
        <v>92</v>
      </c>
      <c r="E521" s="11">
        <v>45</v>
      </c>
      <c r="F521" s="9" t="s">
        <v>93</v>
      </c>
      <c r="G521" s="9" t="s">
        <v>65</v>
      </c>
      <c r="H521" s="9" t="s">
        <v>66</v>
      </c>
      <c r="I521" s="9">
        <v>11</v>
      </c>
      <c r="J521" s="9" t="s">
        <v>289</v>
      </c>
      <c r="K521" s="9" t="s">
        <v>289</v>
      </c>
      <c r="L521" s="9" t="s">
        <v>289</v>
      </c>
      <c r="M521" s="9" t="s">
        <v>290</v>
      </c>
      <c r="N521" s="9" t="s">
        <v>868</v>
      </c>
      <c r="O521" s="9" t="s">
        <v>97</v>
      </c>
      <c r="P521" s="9" t="s">
        <v>67</v>
      </c>
      <c r="Q521" s="9" t="s">
        <v>98</v>
      </c>
      <c r="R521" s="9" t="s">
        <v>289</v>
      </c>
      <c r="S521" s="9" t="s">
        <v>290</v>
      </c>
      <c r="T521" s="9" t="s">
        <v>797</v>
      </c>
      <c r="U521" s="9" t="s">
        <v>67</v>
      </c>
      <c r="V521" s="9" t="s">
        <v>194</v>
      </c>
      <c r="W521" s="9" t="s">
        <v>195</v>
      </c>
      <c r="X521" s="11">
        <v>61</v>
      </c>
      <c r="Y521" s="9" t="s">
        <v>353</v>
      </c>
      <c r="Z521" s="9" t="s">
        <v>68</v>
      </c>
      <c r="AA521" s="9" t="s">
        <v>354</v>
      </c>
      <c r="AB521" s="9" t="s">
        <v>67</v>
      </c>
      <c r="AC521" s="9" t="s">
        <v>103</v>
      </c>
      <c r="AD521" s="11">
        <v>1</v>
      </c>
      <c r="AE521" s="9" t="s">
        <v>70</v>
      </c>
      <c r="AF521" s="9" t="s">
        <v>71</v>
      </c>
      <c r="AG521" s="13">
        <v>1</v>
      </c>
      <c r="AH521" s="9" t="s">
        <v>92</v>
      </c>
      <c r="AI521" s="13">
        <v>9689600</v>
      </c>
      <c r="AJ521" s="13">
        <v>9689600</v>
      </c>
      <c r="AK521" s="11">
        <v>0</v>
      </c>
      <c r="AL521" s="11">
        <v>0</v>
      </c>
      <c r="AM521" s="11">
        <v>0</v>
      </c>
      <c r="AN521" s="9" t="s">
        <v>67</v>
      </c>
      <c r="AO521" s="11">
        <v>9689600</v>
      </c>
      <c r="AP521" s="13">
        <v>775168</v>
      </c>
      <c r="AQ521" s="13">
        <v>10464768</v>
      </c>
      <c r="AR521" s="11">
        <v>200</v>
      </c>
      <c r="AS521" s="9" t="s">
        <v>72</v>
      </c>
      <c r="AT521" s="12">
        <v>198.02</v>
      </c>
      <c r="AU521" s="9" t="s">
        <v>73</v>
      </c>
      <c r="AV521" s="9" t="s">
        <v>67</v>
      </c>
      <c r="AW521" s="9" t="s">
        <v>1257</v>
      </c>
      <c r="AX521" s="10">
        <v>45993</v>
      </c>
      <c r="AY521" s="9" t="s">
        <v>1483</v>
      </c>
      <c r="AZ521" s="9" t="s">
        <v>67</v>
      </c>
      <c r="BA521" s="9" t="s">
        <v>67</v>
      </c>
      <c r="BB521" s="12">
        <v>200</v>
      </c>
      <c r="BC521" s="9" t="s">
        <v>74</v>
      </c>
      <c r="BD521" s="9" t="s">
        <v>104</v>
      </c>
      <c r="BE521" s="9" t="s">
        <v>75</v>
      </c>
      <c r="BF521" s="11">
        <v>0</v>
      </c>
      <c r="BG521">
        <f t="shared" si="18"/>
        <v>12</v>
      </c>
      <c r="BH521" t="str">
        <f>VLOOKUP(BG521,[1]month!$A:$B,2,0)</f>
        <v>Desember</v>
      </c>
      <c r="BI521">
        <f t="shared" si="19"/>
        <v>2025</v>
      </c>
      <c r="BJ521" t="str">
        <f>VLOOKUP(I521,[1]Dist!$A:$B,2,0)</f>
        <v>Industry</v>
      </c>
      <c r="BK521" t="str">
        <f>IF(I521=11,VLOOKUP(Y521,[2]Sheet1!$C:$N,10,0),IF(I521=13,VLOOKUP(Y521,[3]Sheet1!$C:$N,10,0),IF(I521=15,VLOOKUP(Y521,[4]Sheet1!$C:$N,10,0),"Unknown")))</f>
        <v>PU</v>
      </c>
      <c r="BL521" t="str">
        <f>IF(I521=11,VLOOKUP(Y521,[2]Sheet1!$C:$N,12,0),IF(I521=13,VLOOKUP(Y521,[3]Sheet1!$C:$N,12,0),IF(I521=15,VLOOKUP(Y521,[4]Sheet1!$C:$N,12,0),"Unknown")))</f>
        <v>PU SANDING SEALER</v>
      </c>
      <c r="BM521" t="str">
        <f>VLOOKUP(W521,[1]branch!$A:$B,2,0)</f>
        <v>INDUSTRY</v>
      </c>
    </row>
    <row r="522" spans="1:65" x14ac:dyDescent="0.35">
      <c r="A522" s="10">
        <v>45996</v>
      </c>
      <c r="B522" s="9" t="s">
        <v>1484</v>
      </c>
      <c r="C522" s="9" t="s">
        <v>64</v>
      </c>
      <c r="D522" s="9" t="s">
        <v>92</v>
      </c>
      <c r="E522" s="11">
        <v>45</v>
      </c>
      <c r="F522" s="9" t="s">
        <v>93</v>
      </c>
      <c r="G522" s="9" t="s">
        <v>65</v>
      </c>
      <c r="H522" s="9" t="s">
        <v>66</v>
      </c>
      <c r="I522" s="9">
        <v>11</v>
      </c>
      <c r="J522" s="9" t="s">
        <v>425</v>
      </c>
      <c r="K522" s="9" t="s">
        <v>425</v>
      </c>
      <c r="L522" s="9" t="s">
        <v>425</v>
      </c>
      <c r="M522" s="9" t="s">
        <v>426</v>
      </c>
      <c r="N522" s="9" t="s">
        <v>1485</v>
      </c>
      <c r="O522" s="9" t="s">
        <v>97</v>
      </c>
      <c r="P522" s="9" t="s">
        <v>67</v>
      </c>
      <c r="Q522" s="9" t="s">
        <v>98</v>
      </c>
      <c r="R522" s="9" t="s">
        <v>425</v>
      </c>
      <c r="S522" s="9" t="s">
        <v>426</v>
      </c>
      <c r="T522" s="9" t="s">
        <v>1486</v>
      </c>
      <c r="U522" s="9" t="s">
        <v>67</v>
      </c>
      <c r="V522" s="9" t="s">
        <v>130</v>
      </c>
      <c r="W522" s="9" t="s">
        <v>131</v>
      </c>
      <c r="X522" s="11">
        <v>20</v>
      </c>
      <c r="Y522" s="9" t="s">
        <v>1487</v>
      </c>
      <c r="Z522" s="9" t="s">
        <v>68</v>
      </c>
      <c r="AA522" s="9" t="s">
        <v>1488</v>
      </c>
      <c r="AB522" s="9" t="s">
        <v>67</v>
      </c>
      <c r="AC522" s="9" t="s">
        <v>1489</v>
      </c>
      <c r="AD522" s="11">
        <v>10</v>
      </c>
      <c r="AE522" s="9" t="s">
        <v>70</v>
      </c>
      <c r="AF522" s="9" t="s">
        <v>71</v>
      </c>
      <c r="AG522" s="13">
        <v>1</v>
      </c>
      <c r="AH522" s="9" t="s">
        <v>92</v>
      </c>
      <c r="AI522" s="13">
        <v>20844000</v>
      </c>
      <c r="AJ522" s="13">
        <v>208440000</v>
      </c>
      <c r="AK522" s="11">
        <v>0</v>
      </c>
      <c r="AL522" s="11">
        <v>0</v>
      </c>
      <c r="AM522" s="11">
        <v>0</v>
      </c>
      <c r="AN522" s="9" t="s">
        <v>67</v>
      </c>
      <c r="AO522" s="11">
        <v>208440000</v>
      </c>
      <c r="AP522" s="13">
        <v>16675200</v>
      </c>
      <c r="AQ522" s="13">
        <v>225115200</v>
      </c>
      <c r="AR522" s="11">
        <v>1980</v>
      </c>
      <c r="AS522" s="9" t="s">
        <v>72</v>
      </c>
      <c r="AT522" s="11">
        <v>2000</v>
      </c>
      <c r="AU522" s="9" t="s">
        <v>73</v>
      </c>
      <c r="AV522" s="9" t="s">
        <v>67</v>
      </c>
      <c r="AW522" s="9" t="s">
        <v>1490</v>
      </c>
      <c r="AX522" s="10">
        <v>45964</v>
      </c>
      <c r="AY522" s="9" t="s">
        <v>1491</v>
      </c>
      <c r="AZ522" s="9" t="s">
        <v>67</v>
      </c>
      <c r="BA522" s="9" t="s">
        <v>67</v>
      </c>
      <c r="BB522" s="12">
        <v>2000</v>
      </c>
      <c r="BC522" s="9" t="s">
        <v>74</v>
      </c>
      <c r="BD522" s="9" t="s">
        <v>104</v>
      </c>
      <c r="BE522" s="9" t="s">
        <v>75</v>
      </c>
      <c r="BF522" s="11">
        <v>0</v>
      </c>
      <c r="BG522">
        <f t="shared" si="18"/>
        <v>12</v>
      </c>
      <c r="BH522" t="str">
        <f>VLOOKUP(BG522,[1]month!$A:$B,2,0)</f>
        <v>Desember</v>
      </c>
      <c r="BI522">
        <f t="shared" si="19"/>
        <v>2025</v>
      </c>
      <c r="BJ522" t="str">
        <f>VLOOKUP(I522,[1]Dist!$A:$B,2,0)</f>
        <v>Industry</v>
      </c>
      <c r="BK522" t="str">
        <f>IF(I522=11,VLOOKUP(Y522,[2]Sheet1!$C:$N,10,0),IF(I522=13,VLOOKUP(Y522,[3]Sheet1!$C:$N,10,0),IF(I522=15,VLOOKUP(Y522,[4]Sheet1!$C:$N,10,0),"Unknown")))</f>
        <v>ALKYD OIL</v>
      </c>
      <c r="BL522" t="str">
        <f>IF(I522=11,VLOOKUP(Y522,[2]Sheet1!$C:$N,12,0),IF(I522=13,VLOOKUP(Y522,[3]Sheet1!$C:$N,12,0),IF(I522=15,VLOOKUP(Y522,[4]Sheet1!$C:$N,12,0),"Unknown")))</f>
        <v>STAIN EXTERIOR</v>
      </c>
      <c r="BM522" t="str">
        <f>VLOOKUP(W522,[1]branch!$A:$B,2,0)</f>
        <v>INDUSTRY</v>
      </c>
    </row>
    <row r="523" spans="1:65" x14ac:dyDescent="0.35">
      <c r="A523" s="10">
        <v>45996</v>
      </c>
      <c r="B523" s="9" t="s">
        <v>1492</v>
      </c>
      <c r="C523" s="9" t="s">
        <v>64</v>
      </c>
      <c r="D523" s="9" t="s">
        <v>92</v>
      </c>
      <c r="E523" s="11">
        <v>30</v>
      </c>
      <c r="F523" s="9" t="s">
        <v>93</v>
      </c>
      <c r="G523" s="9" t="s">
        <v>65</v>
      </c>
      <c r="H523" s="9" t="s">
        <v>66</v>
      </c>
      <c r="I523" s="9">
        <v>11</v>
      </c>
      <c r="J523" s="9" t="s">
        <v>379</v>
      </c>
      <c r="K523" s="9" t="s">
        <v>379</v>
      </c>
      <c r="L523" s="9" t="s">
        <v>379</v>
      </c>
      <c r="M523" s="9" t="s">
        <v>380</v>
      </c>
      <c r="N523" s="9" t="s">
        <v>882</v>
      </c>
      <c r="O523" s="9" t="s">
        <v>97</v>
      </c>
      <c r="P523" s="9" t="s">
        <v>67</v>
      </c>
      <c r="Q523" s="9" t="s">
        <v>98</v>
      </c>
      <c r="R523" s="9" t="s">
        <v>379</v>
      </c>
      <c r="S523" s="9" t="s">
        <v>380</v>
      </c>
      <c r="T523" s="9" t="s">
        <v>801</v>
      </c>
      <c r="U523" s="9" t="s">
        <v>67</v>
      </c>
      <c r="V523" s="9" t="s">
        <v>194</v>
      </c>
      <c r="W523" s="9" t="s">
        <v>195</v>
      </c>
      <c r="X523" s="11">
        <v>30</v>
      </c>
      <c r="Y523" s="9" t="s">
        <v>1493</v>
      </c>
      <c r="Z523" s="9" t="s">
        <v>68</v>
      </c>
      <c r="AA523" s="9" t="s">
        <v>1494</v>
      </c>
      <c r="AB523" s="9" t="s">
        <v>67</v>
      </c>
      <c r="AC523" s="9" t="s">
        <v>191</v>
      </c>
      <c r="AD523" s="11">
        <v>2</v>
      </c>
      <c r="AE523" s="9" t="s">
        <v>70</v>
      </c>
      <c r="AF523" s="9" t="s">
        <v>71</v>
      </c>
      <c r="AG523" s="13">
        <v>1</v>
      </c>
      <c r="AH523" s="9" t="s">
        <v>92</v>
      </c>
      <c r="AI523" s="13">
        <v>1660600</v>
      </c>
      <c r="AJ523" s="13">
        <v>3321200</v>
      </c>
      <c r="AK523" s="11">
        <v>0</v>
      </c>
      <c r="AL523" s="11">
        <v>0</v>
      </c>
      <c r="AM523" s="11">
        <v>0</v>
      </c>
      <c r="AN523" s="9" t="s">
        <v>67</v>
      </c>
      <c r="AO523" s="11">
        <v>3321200</v>
      </c>
      <c r="AP523" s="13">
        <v>265696</v>
      </c>
      <c r="AQ523" s="13">
        <v>3586896</v>
      </c>
      <c r="AR523" s="11">
        <v>40</v>
      </c>
      <c r="AS523" s="9" t="s">
        <v>72</v>
      </c>
      <c r="AT523" s="11">
        <v>40</v>
      </c>
      <c r="AU523" s="9" t="s">
        <v>73</v>
      </c>
      <c r="AV523" s="9" t="s">
        <v>67</v>
      </c>
      <c r="AW523" s="9" t="s">
        <v>1091</v>
      </c>
      <c r="AX523" s="10">
        <v>45992</v>
      </c>
      <c r="AY523" s="9" t="s">
        <v>1495</v>
      </c>
      <c r="AZ523" s="9" t="s">
        <v>67</v>
      </c>
      <c r="BA523" s="9" t="s">
        <v>67</v>
      </c>
      <c r="BB523" s="12">
        <v>40</v>
      </c>
      <c r="BC523" s="9" t="s">
        <v>74</v>
      </c>
      <c r="BD523" s="9" t="s">
        <v>104</v>
      </c>
      <c r="BE523" s="9" t="s">
        <v>75</v>
      </c>
      <c r="BF523" s="11">
        <v>0</v>
      </c>
      <c r="BG523">
        <f t="shared" si="18"/>
        <v>12</v>
      </c>
      <c r="BH523" t="str">
        <f>VLOOKUP(BG523,[1]month!$A:$B,2,0)</f>
        <v>Desember</v>
      </c>
      <c r="BI523">
        <f t="shared" si="19"/>
        <v>2025</v>
      </c>
      <c r="BJ523" t="str">
        <f>VLOOKUP(I523,[1]Dist!$A:$B,2,0)</f>
        <v>Industry</v>
      </c>
      <c r="BK523" t="str">
        <f>IF(I523=11,VLOOKUP(Y523,[2]Sheet1!$C:$N,10,0),IF(I523=13,VLOOKUP(Y523,[3]Sheet1!$C:$N,10,0),IF(I523=15,VLOOKUP(Y523,[4]Sheet1!$C:$N,10,0),"Unknown")))</f>
        <v>NC</v>
      </c>
      <c r="BL523" t="str">
        <f>IF(I523=11,VLOOKUP(Y523,[2]Sheet1!$C:$N,12,0),IF(I523=13,VLOOKUP(Y523,[3]Sheet1!$C:$N,12,0),IF(I523=15,VLOOKUP(Y523,[4]Sheet1!$C:$N,12,0),"Unknown")))</f>
        <v>NC SYSTEM</v>
      </c>
      <c r="BM523" t="str">
        <f>VLOOKUP(W523,[1]branch!$A:$B,2,0)</f>
        <v>INDUSTRY</v>
      </c>
    </row>
    <row r="524" spans="1:65" x14ac:dyDescent="0.35">
      <c r="A524" s="10">
        <v>45996</v>
      </c>
      <c r="B524" s="9" t="s">
        <v>1496</v>
      </c>
      <c r="C524" s="9" t="s">
        <v>64</v>
      </c>
      <c r="D524" s="9" t="s">
        <v>92</v>
      </c>
      <c r="E524" s="11">
        <v>30</v>
      </c>
      <c r="F524" s="9" t="s">
        <v>93</v>
      </c>
      <c r="G524" s="9" t="s">
        <v>65</v>
      </c>
      <c r="H524" s="9" t="s">
        <v>66</v>
      </c>
      <c r="I524" s="9">
        <v>11</v>
      </c>
      <c r="J524" s="9" t="s">
        <v>751</v>
      </c>
      <c r="K524" s="9" t="s">
        <v>751</v>
      </c>
      <c r="L524" s="9" t="s">
        <v>751</v>
      </c>
      <c r="M524" s="9" t="s">
        <v>752</v>
      </c>
      <c r="N524" s="9" t="s">
        <v>395</v>
      </c>
      <c r="O524" s="9" t="s">
        <v>97</v>
      </c>
      <c r="P524" s="9" t="s">
        <v>67</v>
      </c>
      <c r="Q524" s="9" t="s">
        <v>98</v>
      </c>
      <c r="R524" s="9" t="s">
        <v>900</v>
      </c>
      <c r="S524" s="9" t="s">
        <v>752</v>
      </c>
      <c r="T524" s="9" t="s">
        <v>901</v>
      </c>
      <c r="U524" s="9" t="s">
        <v>67</v>
      </c>
      <c r="V524" s="9" t="s">
        <v>99</v>
      </c>
      <c r="W524" s="9" t="s">
        <v>100</v>
      </c>
      <c r="X524" s="11">
        <v>70</v>
      </c>
      <c r="Y524" s="9" t="s">
        <v>552</v>
      </c>
      <c r="Z524" s="9" t="s">
        <v>68</v>
      </c>
      <c r="AA524" s="9" t="s">
        <v>553</v>
      </c>
      <c r="AB524" s="9" t="s">
        <v>67</v>
      </c>
      <c r="AC524" s="9" t="s">
        <v>139</v>
      </c>
      <c r="AD524" s="11">
        <v>3</v>
      </c>
      <c r="AE524" s="9" t="s">
        <v>70</v>
      </c>
      <c r="AF524" s="9" t="s">
        <v>71</v>
      </c>
      <c r="AG524" s="13">
        <v>1</v>
      </c>
      <c r="AH524" s="9" t="s">
        <v>92</v>
      </c>
      <c r="AI524" s="13">
        <v>7718000</v>
      </c>
      <c r="AJ524" s="13">
        <v>23154000</v>
      </c>
      <c r="AK524" s="11">
        <v>0</v>
      </c>
      <c r="AL524" s="11">
        <v>0</v>
      </c>
      <c r="AM524" s="11">
        <v>0</v>
      </c>
      <c r="AN524" s="9" t="s">
        <v>67</v>
      </c>
      <c r="AO524" s="11">
        <v>23154000</v>
      </c>
      <c r="AP524" s="13">
        <v>1852320</v>
      </c>
      <c r="AQ524" s="13">
        <v>25006320</v>
      </c>
      <c r="AR524" s="11">
        <v>528</v>
      </c>
      <c r="AS524" s="9" t="s">
        <v>72</v>
      </c>
      <c r="AT524" s="11">
        <v>600</v>
      </c>
      <c r="AU524" s="9" t="s">
        <v>73</v>
      </c>
      <c r="AV524" s="9" t="s">
        <v>67</v>
      </c>
      <c r="AW524" s="9" t="s">
        <v>914</v>
      </c>
      <c r="AX524" s="10">
        <v>45937</v>
      </c>
      <c r="AY524" s="9" t="s">
        <v>1497</v>
      </c>
      <c r="AZ524" s="9" t="s">
        <v>67</v>
      </c>
      <c r="BA524" s="9" t="s">
        <v>67</v>
      </c>
      <c r="BB524" s="12">
        <v>600</v>
      </c>
      <c r="BC524" s="9" t="s">
        <v>74</v>
      </c>
      <c r="BD524" s="9" t="s">
        <v>104</v>
      </c>
      <c r="BE524" s="9" t="s">
        <v>75</v>
      </c>
      <c r="BF524" s="11">
        <v>0</v>
      </c>
      <c r="BG524">
        <f t="shared" si="18"/>
        <v>12</v>
      </c>
      <c r="BH524" t="str">
        <f>VLOOKUP(BG524,[1]month!$A:$B,2,0)</f>
        <v>Desember</v>
      </c>
      <c r="BI524">
        <f t="shared" si="19"/>
        <v>2025</v>
      </c>
      <c r="BJ524" t="str">
        <f>VLOOKUP(I524,[1]Dist!$A:$B,2,0)</f>
        <v>Industry</v>
      </c>
      <c r="BK524" t="str">
        <f>IF(I524=11,VLOOKUP(Y524,[2]Sheet1!$C:$N,10,0),IF(I524=13,VLOOKUP(Y524,[3]Sheet1!$C:$N,10,0),IF(I524=15,VLOOKUP(Y524,[4]Sheet1!$C:$N,10,0),"Unknown")))</f>
        <v>THINNER NC</v>
      </c>
      <c r="BL524" t="str">
        <f>IF(I524=11,VLOOKUP(Y524,[2]Sheet1!$C:$N,12,0),IF(I524=13,VLOOKUP(Y524,[3]Sheet1!$C:$N,12,0),IF(I524=15,VLOOKUP(Y524,[4]Sheet1!$C:$N,12,0),"Unknown")))</f>
        <v>THINNER COMPLEMENTARY</v>
      </c>
      <c r="BM524" t="str">
        <f>VLOOKUP(W524,[1]branch!$A:$B,2,0)</f>
        <v>INDUSTRY</v>
      </c>
    </row>
    <row r="525" spans="1:65" x14ac:dyDescent="0.35">
      <c r="A525" s="10">
        <v>45996</v>
      </c>
      <c r="B525" s="9" t="s">
        <v>1498</v>
      </c>
      <c r="C525" s="9" t="s">
        <v>64</v>
      </c>
      <c r="D525" s="9" t="s">
        <v>92</v>
      </c>
      <c r="E525" s="11">
        <v>30</v>
      </c>
      <c r="F525" s="9" t="s">
        <v>93</v>
      </c>
      <c r="G525" s="9" t="s">
        <v>65</v>
      </c>
      <c r="H525" s="9" t="s">
        <v>66</v>
      </c>
      <c r="I525" s="9">
        <v>11</v>
      </c>
      <c r="J525" s="9" t="s">
        <v>751</v>
      </c>
      <c r="K525" s="9" t="s">
        <v>751</v>
      </c>
      <c r="L525" s="9" t="s">
        <v>751</v>
      </c>
      <c r="M525" s="9" t="s">
        <v>752</v>
      </c>
      <c r="N525" s="9" t="s">
        <v>395</v>
      </c>
      <c r="O525" s="9" t="s">
        <v>97</v>
      </c>
      <c r="P525" s="9" t="s">
        <v>67</v>
      </c>
      <c r="Q525" s="9" t="s">
        <v>98</v>
      </c>
      <c r="R525" s="9" t="s">
        <v>900</v>
      </c>
      <c r="S525" s="9" t="s">
        <v>752</v>
      </c>
      <c r="T525" s="9" t="s">
        <v>901</v>
      </c>
      <c r="U525" s="9" t="s">
        <v>67</v>
      </c>
      <c r="V525" s="9" t="s">
        <v>99</v>
      </c>
      <c r="W525" s="9" t="s">
        <v>100</v>
      </c>
      <c r="X525" s="11">
        <v>40</v>
      </c>
      <c r="Y525" s="9" t="s">
        <v>755</v>
      </c>
      <c r="Z525" s="9" t="s">
        <v>68</v>
      </c>
      <c r="AA525" s="9" t="s">
        <v>756</v>
      </c>
      <c r="AB525" s="9" t="s">
        <v>67</v>
      </c>
      <c r="AC525" s="9" t="s">
        <v>137</v>
      </c>
      <c r="AD525" s="11">
        <v>2</v>
      </c>
      <c r="AE525" s="9" t="s">
        <v>70</v>
      </c>
      <c r="AF525" s="9" t="s">
        <v>71</v>
      </c>
      <c r="AG525" s="13">
        <v>1</v>
      </c>
      <c r="AH525" s="9" t="s">
        <v>92</v>
      </c>
      <c r="AI525" s="13">
        <v>1835800</v>
      </c>
      <c r="AJ525" s="13">
        <v>3671600</v>
      </c>
      <c r="AK525" s="11">
        <v>0</v>
      </c>
      <c r="AL525" s="11">
        <v>0</v>
      </c>
      <c r="AM525" s="11">
        <v>0</v>
      </c>
      <c r="AN525" s="9" t="s">
        <v>67</v>
      </c>
      <c r="AO525" s="11">
        <v>3671600</v>
      </c>
      <c r="AP525" s="13">
        <v>293728</v>
      </c>
      <c r="AQ525" s="13">
        <v>3965328</v>
      </c>
      <c r="AR525" s="12">
        <v>39.200000000000003</v>
      </c>
      <c r="AS525" s="9" t="s">
        <v>72</v>
      </c>
      <c r="AT525" s="11">
        <v>40</v>
      </c>
      <c r="AU525" s="9" t="s">
        <v>73</v>
      </c>
      <c r="AV525" s="9" t="s">
        <v>67</v>
      </c>
      <c r="AW525" s="9" t="s">
        <v>956</v>
      </c>
      <c r="AX525" s="10">
        <v>45988</v>
      </c>
      <c r="AY525" s="9" t="s">
        <v>1499</v>
      </c>
      <c r="AZ525" s="9" t="s">
        <v>67</v>
      </c>
      <c r="BA525" s="9" t="s">
        <v>67</v>
      </c>
      <c r="BB525" s="12">
        <v>40</v>
      </c>
      <c r="BC525" s="9" t="s">
        <v>74</v>
      </c>
      <c r="BD525" s="9" t="s">
        <v>104</v>
      </c>
      <c r="BE525" s="9" t="s">
        <v>75</v>
      </c>
      <c r="BF525" s="11">
        <v>0</v>
      </c>
      <c r="BG525">
        <f t="shared" si="18"/>
        <v>12</v>
      </c>
      <c r="BH525" t="str">
        <f>VLOOKUP(BG525,[1]month!$A:$B,2,0)</f>
        <v>Desember</v>
      </c>
      <c r="BI525">
        <f t="shared" si="19"/>
        <v>2025</v>
      </c>
      <c r="BJ525" t="str">
        <f>VLOOKUP(I525,[1]Dist!$A:$B,2,0)</f>
        <v>Industry</v>
      </c>
      <c r="BK525" t="str">
        <f>IF(I525=11,VLOOKUP(Y525,[2]Sheet1!$C:$N,10,0),IF(I525=13,VLOOKUP(Y525,[3]Sheet1!$C:$N,10,0),IF(I525=15,VLOOKUP(Y525,[4]Sheet1!$C:$N,10,0),"Unknown")))</f>
        <v>NC</v>
      </c>
      <c r="BL525" t="str">
        <f>IF(I525=11,VLOOKUP(Y525,[2]Sheet1!$C:$N,12,0),IF(I525=13,VLOOKUP(Y525,[3]Sheet1!$C:$N,12,0),IF(I525=15,VLOOKUP(Y525,[4]Sheet1!$C:$N,12,0),"Unknown")))</f>
        <v>ASOF : NC BASE COAT</v>
      </c>
      <c r="BM525" t="str">
        <f>VLOOKUP(W525,[1]branch!$A:$B,2,0)</f>
        <v>INDUSTRY</v>
      </c>
    </row>
    <row r="526" spans="1:65" x14ac:dyDescent="0.35">
      <c r="A526" s="10">
        <v>45996</v>
      </c>
      <c r="B526" s="9" t="s">
        <v>1500</v>
      </c>
      <c r="C526" s="9" t="s">
        <v>64</v>
      </c>
      <c r="D526" s="9" t="s">
        <v>92</v>
      </c>
      <c r="E526" s="11">
        <v>30</v>
      </c>
      <c r="F526" s="9" t="s">
        <v>93</v>
      </c>
      <c r="G526" s="9" t="s">
        <v>65</v>
      </c>
      <c r="H526" s="9" t="s">
        <v>66</v>
      </c>
      <c r="I526" s="9">
        <v>11</v>
      </c>
      <c r="J526" s="9" t="s">
        <v>751</v>
      </c>
      <c r="K526" s="9" t="s">
        <v>751</v>
      </c>
      <c r="L526" s="9" t="s">
        <v>751</v>
      </c>
      <c r="M526" s="9" t="s">
        <v>752</v>
      </c>
      <c r="N526" s="9" t="s">
        <v>395</v>
      </c>
      <c r="O526" s="9" t="s">
        <v>97</v>
      </c>
      <c r="P526" s="9" t="s">
        <v>67</v>
      </c>
      <c r="Q526" s="9" t="s">
        <v>98</v>
      </c>
      <c r="R526" s="9" t="s">
        <v>900</v>
      </c>
      <c r="S526" s="9" t="s">
        <v>752</v>
      </c>
      <c r="T526" s="9" t="s">
        <v>901</v>
      </c>
      <c r="U526" s="9" t="s">
        <v>67</v>
      </c>
      <c r="V526" s="9" t="s">
        <v>99</v>
      </c>
      <c r="W526" s="9" t="s">
        <v>100</v>
      </c>
      <c r="X526" s="11">
        <v>30</v>
      </c>
      <c r="Y526" s="9" t="s">
        <v>240</v>
      </c>
      <c r="Z526" s="9" t="s">
        <v>68</v>
      </c>
      <c r="AA526" s="9" t="s">
        <v>241</v>
      </c>
      <c r="AB526" s="9" t="s">
        <v>67</v>
      </c>
      <c r="AC526" s="9" t="s">
        <v>237</v>
      </c>
      <c r="AD526" s="11">
        <v>4</v>
      </c>
      <c r="AE526" s="9" t="s">
        <v>70</v>
      </c>
      <c r="AF526" s="9" t="s">
        <v>71</v>
      </c>
      <c r="AG526" s="13">
        <v>1</v>
      </c>
      <c r="AH526" s="9" t="s">
        <v>92</v>
      </c>
      <c r="AI526" s="13">
        <v>2342000</v>
      </c>
      <c r="AJ526" s="13">
        <v>9368000</v>
      </c>
      <c r="AK526" s="11">
        <v>0</v>
      </c>
      <c r="AL526" s="11">
        <v>0</v>
      </c>
      <c r="AM526" s="11">
        <v>0</v>
      </c>
      <c r="AN526" s="9" t="s">
        <v>67</v>
      </c>
      <c r="AO526" s="11">
        <v>9368000</v>
      </c>
      <c r="AP526" s="13">
        <v>749440</v>
      </c>
      <c r="AQ526" s="13">
        <v>10117440</v>
      </c>
      <c r="AR526" s="11">
        <v>16</v>
      </c>
      <c r="AS526" s="9" t="s">
        <v>72</v>
      </c>
      <c r="AT526" s="12">
        <v>15.24</v>
      </c>
      <c r="AU526" s="9" t="s">
        <v>73</v>
      </c>
      <c r="AV526" s="9" t="s">
        <v>67</v>
      </c>
      <c r="AW526" s="9" t="s">
        <v>1181</v>
      </c>
      <c r="AX526" s="10">
        <v>45992</v>
      </c>
      <c r="AY526" s="9" t="s">
        <v>1501</v>
      </c>
      <c r="AZ526" s="9" t="s">
        <v>67</v>
      </c>
      <c r="BA526" s="9" t="s">
        <v>67</v>
      </c>
      <c r="BB526" s="12">
        <v>16</v>
      </c>
      <c r="BC526" s="9" t="s">
        <v>74</v>
      </c>
      <c r="BD526" s="9" t="s">
        <v>104</v>
      </c>
      <c r="BE526" s="9" t="s">
        <v>75</v>
      </c>
      <c r="BF526" s="11">
        <v>0</v>
      </c>
      <c r="BG526">
        <f t="shared" si="18"/>
        <v>12</v>
      </c>
      <c r="BH526" t="str">
        <f>VLOOKUP(BG526,[1]month!$A:$B,2,0)</f>
        <v>Desember</v>
      </c>
      <c r="BI526">
        <f t="shared" si="19"/>
        <v>2025</v>
      </c>
      <c r="BJ526" t="str">
        <f>VLOOKUP(I526,[1]Dist!$A:$B,2,0)</f>
        <v>Industry</v>
      </c>
      <c r="BK526" t="str">
        <f>IF(I526=11,VLOOKUP(Y526,[2]Sheet1!$C:$N,10,0),IF(I526=13,VLOOKUP(Y526,[3]Sheet1!$C:$N,10,0),IF(I526=15,VLOOKUP(Y526,[4]Sheet1!$C:$N,10,0),"Unknown")))</f>
        <v>COMPLEMENTARY</v>
      </c>
      <c r="BL526" t="str">
        <f>IF(I526=11,VLOOKUP(Y526,[2]Sheet1!$C:$N,12,0),IF(I526=13,VLOOKUP(Y526,[3]Sheet1!$C:$N,12,0),IF(I526=15,VLOOKUP(Y526,[4]Sheet1!$C:$N,12,0),"Unknown")))</f>
        <v>PASTA</v>
      </c>
      <c r="BM526" t="str">
        <f>VLOOKUP(W526,[1]branch!$A:$B,2,0)</f>
        <v>INDUSTRY</v>
      </c>
    </row>
    <row r="527" spans="1:65" x14ac:dyDescent="0.35">
      <c r="A527" s="10">
        <v>45996</v>
      </c>
      <c r="B527" s="9" t="s">
        <v>1500</v>
      </c>
      <c r="C527" s="9" t="s">
        <v>64</v>
      </c>
      <c r="D527" s="9" t="s">
        <v>92</v>
      </c>
      <c r="E527" s="11">
        <v>30</v>
      </c>
      <c r="F527" s="9" t="s">
        <v>93</v>
      </c>
      <c r="G527" s="9" t="s">
        <v>65</v>
      </c>
      <c r="H527" s="9" t="s">
        <v>66</v>
      </c>
      <c r="I527" s="9">
        <v>11</v>
      </c>
      <c r="J527" s="9" t="s">
        <v>751</v>
      </c>
      <c r="K527" s="9" t="s">
        <v>751</v>
      </c>
      <c r="L527" s="9" t="s">
        <v>751</v>
      </c>
      <c r="M527" s="9" t="s">
        <v>752</v>
      </c>
      <c r="N527" s="9" t="s">
        <v>395</v>
      </c>
      <c r="O527" s="9" t="s">
        <v>97</v>
      </c>
      <c r="P527" s="9" t="s">
        <v>67</v>
      </c>
      <c r="Q527" s="9" t="s">
        <v>98</v>
      </c>
      <c r="R527" s="9" t="s">
        <v>900</v>
      </c>
      <c r="S527" s="9" t="s">
        <v>752</v>
      </c>
      <c r="T527" s="9" t="s">
        <v>901</v>
      </c>
      <c r="U527" s="9" t="s">
        <v>67</v>
      </c>
      <c r="V527" s="9" t="s">
        <v>99</v>
      </c>
      <c r="W527" s="9" t="s">
        <v>100</v>
      </c>
      <c r="X527" s="11">
        <v>40</v>
      </c>
      <c r="Y527" s="9" t="s">
        <v>550</v>
      </c>
      <c r="Z527" s="9" t="s">
        <v>68</v>
      </c>
      <c r="AA527" s="9" t="s">
        <v>551</v>
      </c>
      <c r="AB527" s="9" t="s">
        <v>67</v>
      </c>
      <c r="AC527" s="9" t="s">
        <v>237</v>
      </c>
      <c r="AD527" s="11">
        <v>1</v>
      </c>
      <c r="AE527" s="9" t="s">
        <v>70</v>
      </c>
      <c r="AF527" s="9" t="s">
        <v>71</v>
      </c>
      <c r="AG527" s="13">
        <v>1</v>
      </c>
      <c r="AH527" s="9" t="s">
        <v>92</v>
      </c>
      <c r="AI527" s="13">
        <v>1367200</v>
      </c>
      <c r="AJ527" s="13">
        <v>1367200</v>
      </c>
      <c r="AK527" s="11">
        <v>0</v>
      </c>
      <c r="AL527" s="11">
        <v>0</v>
      </c>
      <c r="AM527" s="11">
        <v>0</v>
      </c>
      <c r="AN527" s="9" t="s">
        <v>67</v>
      </c>
      <c r="AO527" s="11">
        <v>1367200</v>
      </c>
      <c r="AP527" s="13">
        <v>109376</v>
      </c>
      <c r="AQ527" s="13">
        <v>1476576</v>
      </c>
      <c r="AR527" s="11">
        <v>4</v>
      </c>
      <c r="AS527" s="9" t="s">
        <v>72</v>
      </c>
      <c r="AT527" s="12">
        <v>2.58</v>
      </c>
      <c r="AU527" s="9" t="s">
        <v>73</v>
      </c>
      <c r="AV527" s="9" t="s">
        <v>67</v>
      </c>
      <c r="AW527" s="9" t="s">
        <v>1181</v>
      </c>
      <c r="AX527" s="10">
        <v>45992</v>
      </c>
      <c r="AY527" s="9" t="s">
        <v>1501</v>
      </c>
      <c r="AZ527" s="9" t="s">
        <v>67</v>
      </c>
      <c r="BA527" s="9" t="s">
        <v>67</v>
      </c>
      <c r="BB527" s="12">
        <v>4</v>
      </c>
      <c r="BC527" s="9" t="s">
        <v>74</v>
      </c>
      <c r="BD527" s="9" t="s">
        <v>104</v>
      </c>
      <c r="BE527" s="9" t="s">
        <v>75</v>
      </c>
      <c r="BF527" s="11">
        <v>0</v>
      </c>
      <c r="BG527">
        <f t="shared" si="18"/>
        <v>12</v>
      </c>
      <c r="BH527" t="str">
        <f>VLOOKUP(BG527,[1]month!$A:$B,2,0)</f>
        <v>Desember</v>
      </c>
      <c r="BI527">
        <f t="shared" si="19"/>
        <v>2025</v>
      </c>
      <c r="BJ527" t="str">
        <f>VLOOKUP(I527,[1]Dist!$A:$B,2,0)</f>
        <v>Industry</v>
      </c>
      <c r="BK527" t="str">
        <f>IF(I527=11,VLOOKUP(Y527,[2]Sheet1!$C:$N,10,0),IF(I527=13,VLOOKUP(Y527,[3]Sheet1!$C:$N,10,0),IF(I527=15,VLOOKUP(Y527,[4]Sheet1!$C:$N,10,0),"Unknown")))</f>
        <v>COMPLEMENTARY</v>
      </c>
      <c r="BL527" t="str">
        <f>IF(I527=11,VLOOKUP(Y527,[2]Sheet1!$C:$N,12,0),IF(I527=13,VLOOKUP(Y527,[3]Sheet1!$C:$N,12,0),IF(I527=15,VLOOKUP(Y527,[4]Sheet1!$C:$N,12,0),"Unknown")))</f>
        <v>PASTA</v>
      </c>
      <c r="BM527" t="str">
        <f>VLOOKUP(W527,[1]branch!$A:$B,2,0)</f>
        <v>INDUSTRY</v>
      </c>
    </row>
    <row r="528" spans="1:65" x14ac:dyDescent="0.35">
      <c r="A528" s="10">
        <v>45996</v>
      </c>
      <c r="B528" s="9" t="s">
        <v>1500</v>
      </c>
      <c r="C528" s="9" t="s">
        <v>64</v>
      </c>
      <c r="D528" s="9" t="s">
        <v>92</v>
      </c>
      <c r="E528" s="11">
        <v>30</v>
      </c>
      <c r="F528" s="9" t="s">
        <v>93</v>
      </c>
      <c r="G528" s="9" t="s">
        <v>65</v>
      </c>
      <c r="H528" s="9" t="s">
        <v>66</v>
      </c>
      <c r="I528" s="9">
        <v>11</v>
      </c>
      <c r="J528" s="9" t="s">
        <v>751</v>
      </c>
      <c r="K528" s="9" t="s">
        <v>751</v>
      </c>
      <c r="L528" s="9" t="s">
        <v>751</v>
      </c>
      <c r="M528" s="9" t="s">
        <v>752</v>
      </c>
      <c r="N528" s="9" t="s">
        <v>395</v>
      </c>
      <c r="O528" s="9" t="s">
        <v>97</v>
      </c>
      <c r="P528" s="9" t="s">
        <v>67</v>
      </c>
      <c r="Q528" s="9" t="s">
        <v>98</v>
      </c>
      <c r="R528" s="9" t="s">
        <v>900</v>
      </c>
      <c r="S528" s="9" t="s">
        <v>752</v>
      </c>
      <c r="T528" s="9" t="s">
        <v>901</v>
      </c>
      <c r="U528" s="9" t="s">
        <v>67</v>
      </c>
      <c r="V528" s="9" t="s">
        <v>99</v>
      </c>
      <c r="W528" s="9" t="s">
        <v>100</v>
      </c>
      <c r="X528" s="11">
        <v>50</v>
      </c>
      <c r="Y528" s="9" t="s">
        <v>238</v>
      </c>
      <c r="Z528" s="9" t="s">
        <v>68</v>
      </c>
      <c r="AA528" s="9" t="s">
        <v>239</v>
      </c>
      <c r="AB528" s="9" t="s">
        <v>67</v>
      </c>
      <c r="AC528" s="9" t="s">
        <v>237</v>
      </c>
      <c r="AD528" s="11">
        <v>1</v>
      </c>
      <c r="AE528" s="9" t="s">
        <v>70</v>
      </c>
      <c r="AF528" s="9" t="s">
        <v>71</v>
      </c>
      <c r="AG528" s="13">
        <v>1</v>
      </c>
      <c r="AH528" s="9" t="s">
        <v>92</v>
      </c>
      <c r="AI528" s="13">
        <v>864400</v>
      </c>
      <c r="AJ528" s="13">
        <v>864400</v>
      </c>
      <c r="AK528" s="11">
        <v>0</v>
      </c>
      <c r="AL528" s="11">
        <v>0</v>
      </c>
      <c r="AM528" s="11">
        <v>0</v>
      </c>
      <c r="AN528" s="9" t="s">
        <v>67</v>
      </c>
      <c r="AO528" s="11">
        <v>864400</v>
      </c>
      <c r="AP528" s="13">
        <v>69152</v>
      </c>
      <c r="AQ528" s="13">
        <v>933552</v>
      </c>
      <c r="AR528" s="11">
        <v>4</v>
      </c>
      <c r="AS528" s="9" t="s">
        <v>72</v>
      </c>
      <c r="AT528" s="12">
        <v>1.97</v>
      </c>
      <c r="AU528" s="9" t="s">
        <v>73</v>
      </c>
      <c r="AV528" s="9" t="s">
        <v>67</v>
      </c>
      <c r="AW528" s="9" t="s">
        <v>1181</v>
      </c>
      <c r="AX528" s="10">
        <v>45992</v>
      </c>
      <c r="AY528" s="9" t="s">
        <v>1501</v>
      </c>
      <c r="AZ528" s="9" t="s">
        <v>67</v>
      </c>
      <c r="BA528" s="9" t="s">
        <v>67</v>
      </c>
      <c r="BB528" s="12">
        <v>4</v>
      </c>
      <c r="BC528" s="9" t="s">
        <v>74</v>
      </c>
      <c r="BD528" s="9" t="s">
        <v>104</v>
      </c>
      <c r="BE528" s="9" t="s">
        <v>75</v>
      </c>
      <c r="BF528" s="11">
        <v>0</v>
      </c>
      <c r="BG528">
        <f t="shared" si="18"/>
        <v>12</v>
      </c>
      <c r="BH528" t="str">
        <f>VLOOKUP(BG528,[1]month!$A:$B,2,0)</f>
        <v>Desember</v>
      </c>
      <c r="BI528">
        <f t="shared" si="19"/>
        <v>2025</v>
      </c>
      <c r="BJ528" t="str">
        <f>VLOOKUP(I528,[1]Dist!$A:$B,2,0)</f>
        <v>Industry</v>
      </c>
      <c r="BK528" t="str">
        <f>IF(I528=11,VLOOKUP(Y528,[2]Sheet1!$C:$N,10,0),IF(I528=13,VLOOKUP(Y528,[3]Sheet1!$C:$N,10,0),IF(I528=15,VLOOKUP(Y528,[4]Sheet1!$C:$N,10,0),"Unknown")))</f>
        <v>COMPLEMENTARY</v>
      </c>
      <c r="BL528" t="str">
        <f>IF(I528=11,VLOOKUP(Y528,[2]Sheet1!$C:$N,12,0),IF(I528=13,VLOOKUP(Y528,[3]Sheet1!$C:$N,12,0),IF(I528=15,VLOOKUP(Y528,[4]Sheet1!$C:$N,12,0),"Unknown")))</f>
        <v>PASTA</v>
      </c>
      <c r="BM528" t="str">
        <f>VLOOKUP(W528,[1]branch!$A:$B,2,0)</f>
        <v>INDUSTRY</v>
      </c>
    </row>
    <row r="529" spans="1:65" x14ac:dyDescent="0.35">
      <c r="A529" s="10">
        <v>45996</v>
      </c>
      <c r="B529" s="9" t="s">
        <v>1500</v>
      </c>
      <c r="C529" s="9" t="s">
        <v>64</v>
      </c>
      <c r="D529" s="9" t="s">
        <v>92</v>
      </c>
      <c r="E529" s="11">
        <v>30</v>
      </c>
      <c r="F529" s="9" t="s">
        <v>93</v>
      </c>
      <c r="G529" s="9" t="s">
        <v>65</v>
      </c>
      <c r="H529" s="9" t="s">
        <v>66</v>
      </c>
      <c r="I529" s="9">
        <v>11</v>
      </c>
      <c r="J529" s="9" t="s">
        <v>751</v>
      </c>
      <c r="K529" s="9" t="s">
        <v>751</v>
      </c>
      <c r="L529" s="9" t="s">
        <v>751</v>
      </c>
      <c r="M529" s="9" t="s">
        <v>752</v>
      </c>
      <c r="N529" s="9" t="s">
        <v>395</v>
      </c>
      <c r="O529" s="9" t="s">
        <v>97</v>
      </c>
      <c r="P529" s="9" t="s">
        <v>67</v>
      </c>
      <c r="Q529" s="9" t="s">
        <v>98</v>
      </c>
      <c r="R529" s="9" t="s">
        <v>900</v>
      </c>
      <c r="S529" s="9" t="s">
        <v>752</v>
      </c>
      <c r="T529" s="9" t="s">
        <v>901</v>
      </c>
      <c r="U529" s="9" t="s">
        <v>67</v>
      </c>
      <c r="V529" s="9" t="s">
        <v>99</v>
      </c>
      <c r="W529" s="9" t="s">
        <v>100</v>
      </c>
      <c r="X529" s="11">
        <v>60</v>
      </c>
      <c r="Y529" s="9" t="s">
        <v>564</v>
      </c>
      <c r="Z529" s="9" t="s">
        <v>68</v>
      </c>
      <c r="AA529" s="9" t="s">
        <v>565</v>
      </c>
      <c r="AB529" s="9" t="s">
        <v>67</v>
      </c>
      <c r="AC529" s="9" t="s">
        <v>237</v>
      </c>
      <c r="AD529" s="11">
        <v>1</v>
      </c>
      <c r="AE529" s="9" t="s">
        <v>70</v>
      </c>
      <c r="AF529" s="9" t="s">
        <v>71</v>
      </c>
      <c r="AG529" s="13">
        <v>1</v>
      </c>
      <c r="AH529" s="9" t="s">
        <v>92</v>
      </c>
      <c r="AI529" s="13">
        <v>1298800</v>
      </c>
      <c r="AJ529" s="13">
        <v>1298800</v>
      </c>
      <c r="AK529" s="11">
        <v>0</v>
      </c>
      <c r="AL529" s="11">
        <v>0</v>
      </c>
      <c r="AM529" s="11">
        <v>0</v>
      </c>
      <c r="AN529" s="9" t="s">
        <v>67</v>
      </c>
      <c r="AO529" s="11">
        <v>1298800</v>
      </c>
      <c r="AP529" s="13">
        <v>103904</v>
      </c>
      <c r="AQ529" s="13">
        <v>1402704</v>
      </c>
      <c r="AR529" s="11">
        <v>4</v>
      </c>
      <c r="AS529" s="9" t="s">
        <v>72</v>
      </c>
      <c r="AT529" s="12">
        <v>2.4390000000000001</v>
      </c>
      <c r="AU529" s="9" t="s">
        <v>73</v>
      </c>
      <c r="AV529" s="9" t="s">
        <v>67</v>
      </c>
      <c r="AW529" s="9" t="s">
        <v>1181</v>
      </c>
      <c r="AX529" s="10">
        <v>45992</v>
      </c>
      <c r="AY529" s="9" t="s">
        <v>1501</v>
      </c>
      <c r="AZ529" s="9" t="s">
        <v>67</v>
      </c>
      <c r="BA529" s="9" t="s">
        <v>67</v>
      </c>
      <c r="BB529" s="12">
        <v>4</v>
      </c>
      <c r="BC529" s="9" t="s">
        <v>74</v>
      </c>
      <c r="BD529" s="9" t="s">
        <v>104</v>
      </c>
      <c r="BE529" s="9" t="s">
        <v>75</v>
      </c>
      <c r="BF529" s="11">
        <v>0</v>
      </c>
      <c r="BG529">
        <f t="shared" si="18"/>
        <v>12</v>
      </c>
      <c r="BH529" t="str">
        <f>VLOOKUP(BG529,[1]month!$A:$B,2,0)</f>
        <v>Desember</v>
      </c>
      <c r="BI529">
        <f t="shared" si="19"/>
        <v>2025</v>
      </c>
      <c r="BJ529" t="str">
        <f>VLOOKUP(I529,[1]Dist!$A:$B,2,0)</f>
        <v>Industry</v>
      </c>
      <c r="BK529" t="str">
        <f>IF(I529=11,VLOOKUP(Y529,[2]Sheet1!$C:$N,10,0),IF(I529=13,VLOOKUP(Y529,[3]Sheet1!$C:$N,10,0),IF(I529=15,VLOOKUP(Y529,[4]Sheet1!$C:$N,10,0),"Unknown")))</f>
        <v>COMPLEMENTARY</v>
      </c>
      <c r="BL529" t="str">
        <f>IF(I529=11,VLOOKUP(Y529,[2]Sheet1!$C:$N,12,0),IF(I529=13,VLOOKUP(Y529,[3]Sheet1!$C:$N,12,0),IF(I529=15,VLOOKUP(Y529,[4]Sheet1!$C:$N,12,0),"Unknown")))</f>
        <v>PASTA</v>
      </c>
      <c r="BM529" t="str">
        <f>VLOOKUP(W529,[1]branch!$A:$B,2,0)</f>
        <v>INDUSTRY</v>
      </c>
    </row>
    <row r="530" spans="1:65" x14ac:dyDescent="0.35">
      <c r="A530" s="10">
        <v>45996</v>
      </c>
      <c r="B530" s="9" t="s">
        <v>1500</v>
      </c>
      <c r="C530" s="9" t="s">
        <v>64</v>
      </c>
      <c r="D530" s="9" t="s">
        <v>92</v>
      </c>
      <c r="E530" s="11">
        <v>30</v>
      </c>
      <c r="F530" s="9" t="s">
        <v>93</v>
      </c>
      <c r="G530" s="9" t="s">
        <v>65</v>
      </c>
      <c r="H530" s="9" t="s">
        <v>66</v>
      </c>
      <c r="I530" s="9">
        <v>11</v>
      </c>
      <c r="J530" s="9" t="s">
        <v>751</v>
      </c>
      <c r="K530" s="9" t="s">
        <v>751</v>
      </c>
      <c r="L530" s="9" t="s">
        <v>751</v>
      </c>
      <c r="M530" s="9" t="s">
        <v>752</v>
      </c>
      <c r="N530" s="9" t="s">
        <v>395</v>
      </c>
      <c r="O530" s="9" t="s">
        <v>97</v>
      </c>
      <c r="P530" s="9" t="s">
        <v>67</v>
      </c>
      <c r="Q530" s="9" t="s">
        <v>98</v>
      </c>
      <c r="R530" s="9" t="s">
        <v>900</v>
      </c>
      <c r="S530" s="9" t="s">
        <v>752</v>
      </c>
      <c r="T530" s="9" t="s">
        <v>901</v>
      </c>
      <c r="U530" s="9" t="s">
        <v>67</v>
      </c>
      <c r="V530" s="9" t="s">
        <v>99</v>
      </c>
      <c r="W530" s="9" t="s">
        <v>100</v>
      </c>
      <c r="X530" s="11">
        <v>80</v>
      </c>
      <c r="Y530" s="9" t="s">
        <v>257</v>
      </c>
      <c r="Z530" s="9" t="s">
        <v>68</v>
      </c>
      <c r="AA530" s="9" t="s">
        <v>258</v>
      </c>
      <c r="AB530" s="9" t="s">
        <v>67</v>
      </c>
      <c r="AC530" s="9" t="s">
        <v>259</v>
      </c>
      <c r="AD530" s="11">
        <v>13</v>
      </c>
      <c r="AE530" s="9" t="s">
        <v>70</v>
      </c>
      <c r="AF530" s="9" t="s">
        <v>71</v>
      </c>
      <c r="AG530" s="13">
        <v>1</v>
      </c>
      <c r="AH530" s="9" t="s">
        <v>92</v>
      </c>
      <c r="AI530" s="13">
        <v>1802400</v>
      </c>
      <c r="AJ530" s="13">
        <v>23431200</v>
      </c>
      <c r="AK530" s="11">
        <v>0</v>
      </c>
      <c r="AL530" s="11">
        <v>0</v>
      </c>
      <c r="AM530" s="11">
        <v>0</v>
      </c>
      <c r="AN530" s="9" t="s">
        <v>67</v>
      </c>
      <c r="AO530" s="11">
        <v>23431200</v>
      </c>
      <c r="AP530" s="13">
        <v>1874496</v>
      </c>
      <c r="AQ530" s="13">
        <v>25305696</v>
      </c>
      <c r="AR530" s="11">
        <v>260</v>
      </c>
      <c r="AS530" s="9" t="s">
        <v>72</v>
      </c>
      <c r="AT530" s="12">
        <v>257.52999999999997</v>
      </c>
      <c r="AU530" s="9" t="s">
        <v>73</v>
      </c>
      <c r="AV530" s="9" t="s">
        <v>67</v>
      </c>
      <c r="AW530" s="9" t="s">
        <v>1181</v>
      </c>
      <c r="AX530" s="10">
        <v>45992</v>
      </c>
      <c r="AY530" s="9" t="s">
        <v>1501</v>
      </c>
      <c r="AZ530" s="9" t="s">
        <v>67</v>
      </c>
      <c r="BA530" s="9" t="s">
        <v>67</v>
      </c>
      <c r="BB530" s="12">
        <v>260</v>
      </c>
      <c r="BC530" s="9" t="s">
        <v>74</v>
      </c>
      <c r="BD530" s="9" t="s">
        <v>104</v>
      </c>
      <c r="BE530" s="9" t="s">
        <v>75</v>
      </c>
      <c r="BF530" s="11">
        <v>0</v>
      </c>
      <c r="BG530">
        <f t="shared" si="18"/>
        <v>12</v>
      </c>
      <c r="BH530" t="str">
        <f>VLOOKUP(BG530,[1]month!$A:$B,2,0)</f>
        <v>Desember</v>
      </c>
      <c r="BI530">
        <f t="shared" si="19"/>
        <v>2025</v>
      </c>
      <c r="BJ530" t="str">
        <f>VLOOKUP(I530,[1]Dist!$A:$B,2,0)</f>
        <v>Industry</v>
      </c>
      <c r="BK530" t="str">
        <f>IF(I530=11,VLOOKUP(Y530,[2]Sheet1!$C:$N,10,0),IF(I530=13,VLOOKUP(Y530,[3]Sheet1!$C:$N,10,0),IF(I530=15,VLOOKUP(Y530,[4]Sheet1!$C:$N,10,0),"Unknown")))</f>
        <v>PU</v>
      </c>
      <c r="BL530" t="str">
        <f>IF(I530=11,VLOOKUP(Y530,[2]Sheet1!$C:$N,12,0),IF(I530=13,VLOOKUP(Y530,[3]Sheet1!$C:$N,12,0),IF(I530=15,VLOOKUP(Y530,[4]Sheet1!$C:$N,12,0),"Unknown")))</f>
        <v>PU HARDENER</v>
      </c>
      <c r="BM530" t="str">
        <f>VLOOKUP(W530,[1]branch!$A:$B,2,0)</f>
        <v>INDUSTRY</v>
      </c>
    </row>
    <row r="531" spans="1:65" x14ac:dyDescent="0.35">
      <c r="A531" s="10">
        <v>45996</v>
      </c>
      <c r="B531" s="9" t="s">
        <v>1500</v>
      </c>
      <c r="C531" s="9" t="s">
        <v>64</v>
      </c>
      <c r="D531" s="9" t="s">
        <v>92</v>
      </c>
      <c r="E531" s="11">
        <v>30</v>
      </c>
      <c r="F531" s="9" t="s">
        <v>93</v>
      </c>
      <c r="G531" s="9" t="s">
        <v>65</v>
      </c>
      <c r="H531" s="9" t="s">
        <v>66</v>
      </c>
      <c r="I531" s="9">
        <v>11</v>
      </c>
      <c r="J531" s="9" t="s">
        <v>751</v>
      </c>
      <c r="K531" s="9" t="s">
        <v>751</v>
      </c>
      <c r="L531" s="9" t="s">
        <v>751</v>
      </c>
      <c r="M531" s="9" t="s">
        <v>752</v>
      </c>
      <c r="N531" s="9" t="s">
        <v>395</v>
      </c>
      <c r="O531" s="9" t="s">
        <v>97</v>
      </c>
      <c r="P531" s="9" t="s">
        <v>67</v>
      </c>
      <c r="Q531" s="9" t="s">
        <v>98</v>
      </c>
      <c r="R531" s="9" t="s">
        <v>900</v>
      </c>
      <c r="S531" s="9" t="s">
        <v>752</v>
      </c>
      <c r="T531" s="9" t="s">
        <v>901</v>
      </c>
      <c r="U531" s="9" t="s">
        <v>67</v>
      </c>
      <c r="V531" s="9" t="s">
        <v>99</v>
      </c>
      <c r="W531" s="9" t="s">
        <v>100</v>
      </c>
      <c r="X531" s="11">
        <v>100</v>
      </c>
      <c r="Y531" s="9" t="s">
        <v>507</v>
      </c>
      <c r="Z531" s="9" t="s">
        <v>68</v>
      </c>
      <c r="AA531" s="9" t="s">
        <v>508</v>
      </c>
      <c r="AB531" s="9" t="s">
        <v>67</v>
      </c>
      <c r="AC531" s="9" t="s">
        <v>251</v>
      </c>
      <c r="AD531" s="11">
        <v>19</v>
      </c>
      <c r="AE531" s="9" t="s">
        <v>70</v>
      </c>
      <c r="AF531" s="9" t="s">
        <v>71</v>
      </c>
      <c r="AG531" s="13">
        <v>1</v>
      </c>
      <c r="AH531" s="9" t="s">
        <v>92</v>
      </c>
      <c r="AI531" s="13">
        <v>1513400</v>
      </c>
      <c r="AJ531" s="13">
        <v>28754600</v>
      </c>
      <c r="AK531" s="11">
        <v>0</v>
      </c>
      <c r="AL531" s="11">
        <v>0</v>
      </c>
      <c r="AM531" s="11">
        <v>0</v>
      </c>
      <c r="AN531" s="9" t="s">
        <v>67</v>
      </c>
      <c r="AO531" s="11">
        <v>28754600</v>
      </c>
      <c r="AP531" s="13">
        <v>2300368</v>
      </c>
      <c r="AQ531" s="13">
        <v>31054968</v>
      </c>
      <c r="AR531" s="11">
        <v>380</v>
      </c>
      <c r="AS531" s="9" t="s">
        <v>72</v>
      </c>
      <c r="AT531" s="12">
        <v>345.42</v>
      </c>
      <c r="AU531" s="9" t="s">
        <v>73</v>
      </c>
      <c r="AV531" s="9" t="s">
        <v>67</v>
      </c>
      <c r="AW531" s="9" t="s">
        <v>1181</v>
      </c>
      <c r="AX531" s="10">
        <v>45992</v>
      </c>
      <c r="AY531" s="9" t="s">
        <v>1501</v>
      </c>
      <c r="AZ531" s="9" t="s">
        <v>67</v>
      </c>
      <c r="BA531" s="9" t="s">
        <v>67</v>
      </c>
      <c r="BB531" s="12">
        <v>380</v>
      </c>
      <c r="BC531" s="9" t="s">
        <v>74</v>
      </c>
      <c r="BD531" s="9" t="s">
        <v>104</v>
      </c>
      <c r="BE531" s="9" t="s">
        <v>75</v>
      </c>
      <c r="BF531" s="11">
        <v>0</v>
      </c>
      <c r="BG531">
        <f t="shared" si="18"/>
        <v>12</v>
      </c>
      <c r="BH531" t="str">
        <f>VLOOKUP(BG531,[1]month!$A:$B,2,0)</f>
        <v>Desember</v>
      </c>
      <c r="BI531">
        <f t="shared" si="19"/>
        <v>2025</v>
      </c>
      <c r="BJ531" t="str">
        <f>VLOOKUP(I531,[1]Dist!$A:$B,2,0)</f>
        <v>Industry</v>
      </c>
      <c r="BK531" t="str">
        <f>IF(I531=11,VLOOKUP(Y531,[2]Sheet1!$C:$N,10,0),IF(I531=13,VLOOKUP(Y531,[3]Sheet1!$C:$N,10,0),IF(I531=15,VLOOKUP(Y531,[4]Sheet1!$C:$N,10,0),"Unknown")))</f>
        <v>PU</v>
      </c>
      <c r="BL531" t="str">
        <f>IF(I531=11,VLOOKUP(Y531,[2]Sheet1!$C:$N,12,0),IF(I531=13,VLOOKUP(Y531,[3]Sheet1!$C:$N,12,0),IF(I531=15,VLOOKUP(Y531,[4]Sheet1!$C:$N,12,0),"Unknown")))</f>
        <v>PU SANDING SEALER</v>
      </c>
      <c r="BM531" t="str">
        <f>VLOOKUP(W531,[1]branch!$A:$B,2,0)</f>
        <v>INDUSTRY</v>
      </c>
    </row>
    <row r="532" spans="1:65" x14ac:dyDescent="0.35">
      <c r="A532" s="10">
        <v>45996</v>
      </c>
      <c r="B532" s="9" t="s">
        <v>1500</v>
      </c>
      <c r="C532" s="9" t="s">
        <v>64</v>
      </c>
      <c r="D532" s="9" t="s">
        <v>92</v>
      </c>
      <c r="E532" s="11">
        <v>30</v>
      </c>
      <c r="F532" s="9" t="s">
        <v>93</v>
      </c>
      <c r="G532" s="9" t="s">
        <v>65</v>
      </c>
      <c r="H532" s="9" t="s">
        <v>66</v>
      </c>
      <c r="I532" s="9">
        <v>11</v>
      </c>
      <c r="J532" s="9" t="s">
        <v>751</v>
      </c>
      <c r="K532" s="9" t="s">
        <v>751</v>
      </c>
      <c r="L532" s="9" t="s">
        <v>751</v>
      </c>
      <c r="M532" s="9" t="s">
        <v>752</v>
      </c>
      <c r="N532" s="9" t="s">
        <v>395</v>
      </c>
      <c r="O532" s="9" t="s">
        <v>97</v>
      </c>
      <c r="P532" s="9" t="s">
        <v>67</v>
      </c>
      <c r="Q532" s="9" t="s">
        <v>98</v>
      </c>
      <c r="R532" s="9" t="s">
        <v>900</v>
      </c>
      <c r="S532" s="9" t="s">
        <v>752</v>
      </c>
      <c r="T532" s="9" t="s">
        <v>901</v>
      </c>
      <c r="U532" s="9" t="s">
        <v>67</v>
      </c>
      <c r="V532" s="9" t="s">
        <v>99</v>
      </c>
      <c r="W532" s="9" t="s">
        <v>100</v>
      </c>
      <c r="X532" s="11">
        <v>140</v>
      </c>
      <c r="Y532" s="9" t="s">
        <v>552</v>
      </c>
      <c r="Z532" s="9" t="s">
        <v>68</v>
      </c>
      <c r="AA532" s="9" t="s">
        <v>553</v>
      </c>
      <c r="AB532" s="9" t="s">
        <v>67</v>
      </c>
      <c r="AC532" s="9" t="s">
        <v>139</v>
      </c>
      <c r="AD532" s="11">
        <v>4</v>
      </c>
      <c r="AE532" s="9" t="s">
        <v>70</v>
      </c>
      <c r="AF532" s="9" t="s">
        <v>71</v>
      </c>
      <c r="AG532" s="13">
        <v>1</v>
      </c>
      <c r="AH532" s="9" t="s">
        <v>92</v>
      </c>
      <c r="AI532" s="13">
        <v>7718000</v>
      </c>
      <c r="AJ532" s="13">
        <v>30872000</v>
      </c>
      <c r="AK532" s="11">
        <v>0</v>
      </c>
      <c r="AL532" s="11">
        <v>0</v>
      </c>
      <c r="AM532" s="11">
        <v>0</v>
      </c>
      <c r="AN532" s="9" t="s">
        <v>67</v>
      </c>
      <c r="AO532" s="11">
        <v>30872000</v>
      </c>
      <c r="AP532" s="13">
        <v>2469760</v>
      </c>
      <c r="AQ532" s="13">
        <v>33341760</v>
      </c>
      <c r="AR532" s="11">
        <v>704</v>
      </c>
      <c r="AS532" s="9" t="s">
        <v>72</v>
      </c>
      <c r="AT532" s="11">
        <v>800</v>
      </c>
      <c r="AU532" s="9" t="s">
        <v>73</v>
      </c>
      <c r="AV532" s="9" t="s">
        <v>67</v>
      </c>
      <c r="AW532" s="9" t="s">
        <v>1181</v>
      </c>
      <c r="AX532" s="10">
        <v>45992</v>
      </c>
      <c r="AY532" s="9" t="s">
        <v>1501</v>
      </c>
      <c r="AZ532" s="9" t="s">
        <v>67</v>
      </c>
      <c r="BA532" s="9" t="s">
        <v>67</v>
      </c>
      <c r="BB532" s="12">
        <v>800</v>
      </c>
      <c r="BC532" s="9" t="s">
        <v>74</v>
      </c>
      <c r="BD532" s="9" t="s">
        <v>104</v>
      </c>
      <c r="BE532" s="9" t="s">
        <v>75</v>
      </c>
      <c r="BF532" s="11">
        <v>0</v>
      </c>
      <c r="BG532">
        <f t="shared" si="18"/>
        <v>12</v>
      </c>
      <c r="BH532" t="str">
        <f>VLOOKUP(BG532,[1]month!$A:$B,2,0)</f>
        <v>Desember</v>
      </c>
      <c r="BI532">
        <f t="shared" si="19"/>
        <v>2025</v>
      </c>
      <c r="BJ532" t="str">
        <f>VLOOKUP(I532,[1]Dist!$A:$B,2,0)</f>
        <v>Industry</v>
      </c>
      <c r="BK532" t="str">
        <f>IF(I532=11,VLOOKUP(Y532,[2]Sheet1!$C:$N,10,0),IF(I532=13,VLOOKUP(Y532,[3]Sheet1!$C:$N,10,0),IF(I532=15,VLOOKUP(Y532,[4]Sheet1!$C:$N,10,0),"Unknown")))</f>
        <v>THINNER NC</v>
      </c>
      <c r="BL532" t="str">
        <f>IF(I532=11,VLOOKUP(Y532,[2]Sheet1!$C:$N,12,0),IF(I532=13,VLOOKUP(Y532,[3]Sheet1!$C:$N,12,0),IF(I532=15,VLOOKUP(Y532,[4]Sheet1!$C:$N,12,0),"Unknown")))</f>
        <v>THINNER COMPLEMENTARY</v>
      </c>
      <c r="BM532" t="str">
        <f>VLOOKUP(W532,[1]branch!$A:$B,2,0)</f>
        <v>INDUSTRY</v>
      </c>
    </row>
    <row r="533" spans="1:65" x14ac:dyDescent="0.35">
      <c r="A533" s="10">
        <v>45996</v>
      </c>
      <c r="B533" s="9" t="s">
        <v>1500</v>
      </c>
      <c r="C533" s="9" t="s">
        <v>64</v>
      </c>
      <c r="D533" s="9" t="s">
        <v>92</v>
      </c>
      <c r="E533" s="11">
        <v>30</v>
      </c>
      <c r="F533" s="9" t="s">
        <v>93</v>
      </c>
      <c r="G533" s="9" t="s">
        <v>65</v>
      </c>
      <c r="H533" s="9" t="s">
        <v>66</v>
      </c>
      <c r="I533" s="9">
        <v>11</v>
      </c>
      <c r="J533" s="9" t="s">
        <v>751</v>
      </c>
      <c r="K533" s="9" t="s">
        <v>751</v>
      </c>
      <c r="L533" s="9" t="s">
        <v>751</v>
      </c>
      <c r="M533" s="9" t="s">
        <v>752</v>
      </c>
      <c r="N533" s="9" t="s">
        <v>395</v>
      </c>
      <c r="O533" s="9" t="s">
        <v>97</v>
      </c>
      <c r="P533" s="9" t="s">
        <v>67</v>
      </c>
      <c r="Q533" s="9" t="s">
        <v>98</v>
      </c>
      <c r="R533" s="9" t="s">
        <v>900</v>
      </c>
      <c r="S533" s="9" t="s">
        <v>752</v>
      </c>
      <c r="T533" s="9" t="s">
        <v>901</v>
      </c>
      <c r="U533" s="9" t="s">
        <v>67</v>
      </c>
      <c r="V533" s="9" t="s">
        <v>99</v>
      </c>
      <c r="W533" s="9" t="s">
        <v>100</v>
      </c>
      <c r="X533" s="11">
        <v>141</v>
      </c>
      <c r="Y533" s="9" t="s">
        <v>244</v>
      </c>
      <c r="Z533" s="9" t="s">
        <v>68</v>
      </c>
      <c r="AA533" s="9" t="s">
        <v>245</v>
      </c>
      <c r="AB533" s="9" t="s">
        <v>67</v>
      </c>
      <c r="AC533" s="9" t="s">
        <v>229</v>
      </c>
      <c r="AD533" s="11">
        <v>7</v>
      </c>
      <c r="AE533" s="9" t="s">
        <v>70</v>
      </c>
      <c r="AF533" s="9" t="s">
        <v>71</v>
      </c>
      <c r="AG533" s="13">
        <v>1</v>
      </c>
      <c r="AH533" s="9" t="s">
        <v>92</v>
      </c>
      <c r="AI533" s="13">
        <v>1754400</v>
      </c>
      <c r="AJ533" s="13">
        <v>12280800</v>
      </c>
      <c r="AK533" s="11">
        <v>0</v>
      </c>
      <c r="AL533" s="11">
        <v>0</v>
      </c>
      <c r="AM533" s="11">
        <v>0</v>
      </c>
      <c r="AN533" s="9" t="s">
        <v>67</v>
      </c>
      <c r="AO533" s="11">
        <v>12280800</v>
      </c>
      <c r="AP533" s="13">
        <v>982464</v>
      </c>
      <c r="AQ533" s="13">
        <v>13263264</v>
      </c>
      <c r="AR533" s="11">
        <v>140</v>
      </c>
      <c r="AS533" s="9" t="s">
        <v>72</v>
      </c>
      <c r="AT533" s="11">
        <v>140</v>
      </c>
      <c r="AU533" s="9" t="s">
        <v>73</v>
      </c>
      <c r="AV533" s="9" t="s">
        <v>67</v>
      </c>
      <c r="AW533" s="9" t="s">
        <v>1181</v>
      </c>
      <c r="AX533" s="10">
        <v>45992</v>
      </c>
      <c r="AY533" s="9" t="s">
        <v>1501</v>
      </c>
      <c r="AZ533" s="9" t="s">
        <v>67</v>
      </c>
      <c r="BA533" s="9" t="s">
        <v>67</v>
      </c>
      <c r="BB533" s="12">
        <v>140</v>
      </c>
      <c r="BC533" s="9" t="s">
        <v>74</v>
      </c>
      <c r="BD533" s="9" t="s">
        <v>104</v>
      </c>
      <c r="BE533" s="9" t="s">
        <v>75</v>
      </c>
      <c r="BF533" s="11">
        <v>0</v>
      </c>
      <c r="BG533">
        <f t="shared" si="18"/>
        <v>12</v>
      </c>
      <c r="BH533" t="str">
        <f>VLOOKUP(BG533,[1]month!$A:$B,2,0)</f>
        <v>Desember</v>
      </c>
      <c r="BI533">
        <f t="shared" si="19"/>
        <v>2025</v>
      </c>
      <c r="BJ533" t="str">
        <f>VLOOKUP(I533,[1]Dist!$A:$B,2,0)</f>
        <v>Industry</v>
      </c>
      <c r="BK533" t="str">
        <f>IF(I533=11,VLOOKUP(Y533,[2]Sheet1!$C:$N,10,0),IF(I533=13,VLOOKUP(Y533,[3]Sheet1!$C:$N,10,0),IF(I533=15,VLOOKUP(Y533,[4]Sheet1!$C:$N,10,0),"Unknown")))</f>
        <v>PU</v>
      </c>
      <c r="BL533" t="str">
        <f>IF(I533=11,VLOOKUP(Y533,[2]Sheet1!$C:$N,12,0),IF(I533=13,VLOOKUP(Y533,[3]Sheet1!$C:$N,12,0),IF(I533=15,VLOOKUP(Y533,[4]Sheet1!$C:$N,12,0),"Unknown")))</f>
        <v>PU LACQUER</v>
      </c>
      <c r="BM533" t="str">
        <f>VLOOKUP(W533,[1]branch!$A:$B,2,0)</f>
        <v>INDUSTRY</v>
      </c>
    </row>
    <row r="534" spans="1:65" x14ac:dyDescent="0.35">
      <c r="A534" s="10">
        <v>45996</v>
      </c>
      <c r="B534" s="9" t="s">
        <v>1502</v>
      </c>
      <c r="C534" s="9" t="s">
        <v>64</v>
      </c>
      <c r="D534" s="9" t="s">
        <v>92</v>
      </c>
      <c r="E534" s="11">
        <v>30</v>
      </c>
      <c r="F534" s="9" t="s">
        <v>93</v>
      </c>
      <c r="G534" s="9" t="s">
        <v>65</v>
      </c>
      <c r="H534" s="9" t="s">
        <v>66</v>
      </c>
      <c r="I534" s="9">
        <v>11</v>
      </c>
      <c r="J534" s="9" t="s">
        <v>411</v>
      </c>
      <c r="K534" s="9" t="s">
        <v>411</v>
      </c>
      <c r="L534" s="9" t="s">
        <v>411</v>
      </c>
      <c r="M534" s="9" t="s">
        <v>412</v>
      </c>
      <c r="N534" s="9" t="s">
        <v>877</v>
      </c>
      <c r="O534" s="9" t="s">
        <v>97</v>
      </c>
      <c r="P534" s="9" t="s">
        <v>67</v>
      </c>
      <c r="Q534" s="9" t="s">
        <v>98</v>
      </c>
      <c r="R534" s="9" t="s">
        <v>411</v>
      </c>
      <c r="S534" s="9" t="s">
        <v>412</v>
      </c>
      <c r="T534" s="9" t="s">
        <v>807</v>
      </c>
      <c r="U534" s="9" t="s">
        <v>67</v>
      </c>
      <c r="V534" s="9" t="s">
        <v>121</v>
      </c>
      <c r="W534" s="9" t="s">
        <v>122</v>
      </c>
      <c r="X534" s="11">
        <v>30</v>
      </c>
      <c r="Y534" s="9" t="s">
        <v>562</v>
      </c>
      <c r="Z534" s="9" t="s">
        <v>68</v>
      </c>
      <c r="AA534" s="9" t="s">
        <v>563</v>
      </c>
      <c r="AB534" s="9" t="s">
        <v>67</v>
      </c>
      <c r="AC534" s="9" t="s">
        <v>191</v>
      </c>
      <c r="AD534" s="11">
        <v>1</v>
      </c>
      <c r="AE534" s="9" t="s">
        <v>70</v>
      </c>
      <c r="AF534" s="9" t="s">
        <v>71</v>
      </c>
      <c r="AG534" s="13">
        <v>1</v>
      </c>
      <c r="AH534" s="9" t="s">
        <v>92</v>
      </c>
      <c r="AI534" s="13">
        <v>1509000</v>
      </c>
      <c r="AJ534" s="13">
        <v>1509000</v>
      </c>
      <c r="AK534" s="11">
        <v>0</v>
      </c>
      <c r="AL534" s="11">
        <v>0</v>
      </c>
      <c r="AM534" s="11">
        <v>0</v>
      </c>
      <c r="AN534" s="9" t="s">
        <v>67</v>
      </c>
      <c r="AO534" s="11">
        <v>1509000</v>
      </c>
      <c r="AP534" s="13">
        <v>120720</v>
      </c>
      <c r="AQ534" s="13">
        <v>1629720</v>
      </c>
      <c r="AR534" s="11">
        <v>20</v>
      </c>
      <c r="AS534" s="9" t="s">
        <v>72</v>
      </c>
      <c r="AT534" s="11">
        <v>20</v>
      </c>
      <c r="AU534" s="9" t="s">
        <v>73</v>
      </c>
      <c r="AV534" s="9" t="s">
        <v>67</v>
      </c>
      <c r="AW534" s="9" t="s">
        <v>1097</v>
      </c>
      <c r="AX534" s="10">
        <v>45992</v>
      </c>
      <c r="AY534" s="9" t="s">
        <v>1503</v>
      </c>
      <c r="AZ534" s="9" t="s">
        <v>67</v>
      </c>
      <c r="BA534" s="9" t="s">
        <v>67</v>
      </c>
      <c r="BB534" s="12">
        <v>20</v>
      </c>
      <c r="BC534" s="9" t="s">
        <v>74</v>
      </c>
      <c r="BD534" s="9" t="s">
        <v>104</v>
      </c>
      <c r="BE534" s="9" t="s">
        <v>75</v>
      </c>
      <c r="BF534" s="11">
        <v>0</v>
      </c>
      <c r="BG534">
        <f t="shared" si="18"/>
        <v>12</v>
      </c>
      <c r="BH534" t="str">
        <f>VLOOKUP(BG534,[1]month!$A:$B,2,0)</f>
        <v>Desember</v>
      </c>
      <c r="BI534">
        <f t="shared" si="19"/>
        <v>2025</v>
      </c>
      <c r="BJ534" t="str">
        <f>VLOOKUP(I534,[1]Dist!$A:$B,2,0)</f>
        <v>Industry</v>
      </c>
      <c r="BK534" t="str">
        <f>IF(I534=11,VLOOKUP(Y534,[2]Sheet1!$C:$N,10,0),IF(I534=13,VLOOKUP(Y534,[3]Sheet1!$C:$N,10,0),IF(I534=15,VLOOKUP(Y534,[4]Sheet1!$C:$N,10,0),"Unknown")))</f>
        <v>NC</v>
      </c>
      <c r="BL534" t="str">
        <f>IF(I534=11,VLOOKUP(Y534,[2]Sheet1!$C:$N,12,0),IF(I534=13,VLOOKUP(Y534,[3]Sheet1!$C:$N,12,0),IF(I534=15,VLOOKUP(Y534,[4]Sheet1!$C:$N,12,0),"Unknown")))</f>
        <v>NC SYSTEM</v>
      </c>
      <c r="BM534" t="str">
        <f>VLOOKUP(W534,[1]branch!$A:$B,2,0)</f>
        <v>INDUSTRY</v>
      </c>
    </row>
    <row r="535" spans="1:65" x14ac:dyDescent="0.35">
      <c r="A535" s="10">
        <v>45996</v>
      </c>
      <c r="B535" s="9" t="s">
        <v>1504</v>
      </c>
      <c r="C535" s="9" t="s">
        <v>64</v>
      </c>
      <c r="D535" s="9" t="s">
        <v>92</v>
      </c>
      <c r="E535" s="11">
        <v>30</v>
      </c>
      <c r="F535" s="9" t="s">
        <v>93</v>
      </c>
      <c r="G535" s="9" t="s">
        <v>65</v>
      </c>
      <c r="H535" s="9" t="s">
        <v>66</v>
      </c>
      <c r="I535" s="9">
        <v>11</v>
      </c>
      <c r="J535" s="9" t="s">
        <v>411</v>
      </c>
      <c r="K535" s="9" t="s">
        <v>411</v>
      </c>
      <c r="L535" s="9" t="s">
        <v>411</v>
      </c>
      <c r="M535" s="9" t="s">
        <v>412</v>
      </c>
      <c r="N535" s="9" t="s">
        <v>877</v>
      </c>
      <c r="O535" s="9" t="s">
        <v>97</v>
      </c>
      <c r="P535" s="9" t="s">
        <v>67</v>
      </c>
      <c r="Q535" s="9" t="s">
        <v>98</v>
      </c>
      <c r="R535" s="9" t="s">
        <v>411</v>
      </c>
      <c r="S535" s="9" t="s">
        <v>412</v>
      </c>
      <c r="T535" s="9" t="s">
        <v>807</v>
      </c>
      <c r="U535" s="9" t="s">
        <v>67</v>
      </c>
      <c r="V535" s="9" t="s">
        <v>121</v>
      </c>
      <c r="W535" s="9" t="s">
        <v>122</v>
      </c>
      <c r="X535" s="11">
        <v>10</v>
      </c>
      <c r="Y535" s="9" t="s">
        <v>721</v>
      </c>
      <c r="Z535" s="9" t="s">
        <v>68</v>
      </c>
      <c r="AA535" s="9" t="s">
        <v>722</v>
      </c>
      <c r="AB535" s="9" t="s">
        <v>67</v>
      </c>
      <c r="AC535" s="9" t="s">
        <v>120</v>
      </c>
      <c r="AD535" s="11">
        <v>6</v>
      </c>
      <c r="AE535" s="9" t="s">
        <v>70</v>
      </c>
      <c r="AF535" s="9" t="s">
        <v>71</v>
      </c>
      <c r="AG535" s="13">
        <v>1</v>
      </c>
      <c r="AH535" s="9" t="s">
        <v>92</v>
      </c>
      <c r="AI535" s="13">
        <v>7700000</v>
      </c>
      <c r="AJ535" s="13">
        <v>46200000</v>
      </c>
      <c r="AK535" s="11">
        <v>0</v>
      </c>
      <c r="AL535" s="11">
        <v>0</v>
      </c>
      <c r="AM535" s="11">
        <v>0</v>
      </c>
      <c r="AN535" s="9" t="s">
        <v>67</v>
      </c>
      <c r="AO535" s="11">
        <v>46200000</v>
      </c>
      <c r="AP535" s="13">
        <v>3696000</v>
      </c>
      <c r="AQ535" s="13">
        <v>49896000</v>
      </c>
      <c r="AR535" s="11">
        <v>1128</v>
      </c>
      <c r="AS535" s="9" t="s">
        <v>72</v>
      </c>
      <c r="AT535" s="11">
        <v>1200</v>
      </c>
      <c r="AU535" s="9" t="s">
        <v>73</v>
      </c>
      <c r="AV535" s="9" t="s">
        <v>67</v>
      </c>
      <c r="AW535" s="9" t="s">
        <v>1505</v>
      </c>
      <c r="AX535" s="10">
        <v>45995</v>
      </c>
      <c r="AY535" s="9" t="s">
        <v>1506</v>
      </c>
      <c r="AZ535" s="9" t="s">
        <v>67</v>
      </c>
      <c r="BA535" s="9" t="s">
        <v>67</v>
      </c>
      <c r="BB535" s="12">
        <v>1200</v>
      </c>
      <c r="BC535" s="9" t="s">
        <v>74</v>
      </c>
      <c r="BD535" s="9" t="s">
        <v>104</v>
      </c>
      <c r="BE535" s="9" t="s">
        <v>75</v>
      </c>
      <c r="BF535" s="11">
        <v>0</v>
      </c>
      <c r="BG535">
        <f t="shared" si="18"/>
        <v>12</v>
      </c>
      <c r="BH535" t="str">
        <f>VLOOKUP(BG535,[1]month!$A:$B,2,0)</f>
        <v>Desember</v>
      </c>
      <c r="BI535">
        <f t="shared" si="19"/>
        <v>2025</v>
      </c>
      <c r="BJ535" t="str">
        <f>VLOOKUP(I535,[1]Dist!$A:$B,2,0)</f>
        <v>Industry</v>
      </c>
      <c r="BK535" t="str">
        <f>IF(I535=11,VLOOKUP(Y535,[2]Sheet1!$C:$N,10,0),IF(I535=13,VLOOKUP(Y535,[3]Sheet1!$C:$N,10,0),IF(I535=15,VLOOKUP(Y535,[4]Sheet1!$C:$N,10,0),"Unknown")))</f>
        <v>THINNER PU</v>
      </c>
      <c r="BL535" t="str">
        <f>IF(I535=11,VLOOKUP(Y535,[2]Sheet1!$C:$N,12,0),IF(I535=13,VLOOKUP(Y535,[3]Sheet1!$C:$N,12,0),IF(I535=15,VLOOKUP(Y535,[4]Sheet1!$C:$N,12,0),"Unknown")))</f>
        <v>THINNER PU</v>
      </c>
      <c r="BM535" t="str">
        <f>VLOOKUP(W535,[1]branch!$A:$B,2,0)</f>
        <v>INDUSTRY</v>
      </c>
    </row>
    <row r="536" spans="1:65" x14ac:dyDescent="0.35">
      <c r="A536" s="10">
        <v>45996</v>
      </c>
      <c r="B536" s="9" t="s">
        <v>1504</v>
      </c>
      <c r="C536" s="9" t="s">
        <v>64</v>
      </c>
      <c r="D536" s="9" t="s">
        <v>92</v>
      </c>
      <c r="E536" s="11">
        <v>30</v>
      </c>
      <c r="F536" s="9" t="s">
        <v>93</v>
      </c>
      <c r="G536" s="9" t="s">
        <v>65</v>
      </c>
      <c r="H536" s="9" t="s">
        <v>66</v>
      </c>
      <c r="I536" s="9">
        <v>11</v>
      </c>
      <c r="J536" s="9" t="s">
        <v>411</v>
      </c>
      <c r="K536" s="9" t="s">
        <v>411</v>
      </c>
      <c r="L536" s="9" t="s">
        <v>411</v>
      </c>
      <c r="M536" s="9" t="s">
        <v>412</v>
      </c>
      <c r="N536" s="9" t="s">
        <v>877</v>
      </c>
      <c r="O536" s="9" t="s">
        <v>97</v>
      </c>
      <c r="P536" s="9" t="s">
        <v>67</v>
      </c>
      <c r="Q536" s="9" t="s">
        <v>98</v>
      </c>
      <c r="R536" s="9" t="s">
        <v>411</v>
      </c>
      <c r="S536" s="9" t="s">
        <v>412</v>
      </c>
      <c r="T536" s="9" t="s">
        <v>807</v>
      </c>
      <c r="U536" s="9" t="s">
        <v>67</v>
      </c>
      <c r="V536" s="9" t="s">
        <v>121</v>
      </c>
      <c r="W536" s="9" t="s">
        <v>122</v>
      </c>
      <c r="X536" s="11">
        <v>20</v>
      </c>
      <c r="Y536" s="9" t="s">
        <v>562</v>
      </c>
      <c r="Z536" s="9" t="s">
        <v>68</v>
      </c>
      <c r="AA536" s="9" t="s">
        <v>563</v>
      </c>
      <c r="AB536" s="9" t="s">
        <v>67</v>
      </c>
      <c r="AC536" s="9" t="s">
        <v>191</v>
      </c>
      <c r="AD536" s="11">
        <v>4</v>
      </c>
      <c r="AE536" s="9" t="s">
        <v>70</v>
      </c>
      <c r="AF536" s="9" t="s">
        <v>71</v>
      </c>
      <c r="AG536" s="13">
        <v>1</v>
      </c>
      <c r="AH536" s="9" t="s">
        <v>92</v>
      </c>
      <c r="AI536" s="13">
        <v>1509000</v>
      </c>
      <c r="AJ536" s="13">
        <v>6036000</v>
      </c>
      <c r="AK536" s="11">
        <v>0</v>
      </c>
      <c r="AL536" s="11">
        <v>0</v>
      </c>
      <c r="AM536" s="11">
        <v>0</v>
      </c>
      <c r="AN536" s="9" t="s">
        <v>67</v>
      </c>
      <c r="AO536" s="11">
        <v>6036000</v>
      </c>
      <c r="AP536" s="13">
        <v>482880</v>
      </c>
      <c r="AQ536" s="13">
        <v>6518880</v>
      </c>
      <c r="AR536" s="11">
        <v>80</v>
      </c>
      <c r="AS536" s="9" t="s">
        <v>72</v>
      </c>
      <c r="AT536" s="11">
        <v>80</v>
      </c>
      <c r="AU536" s="9" t="s">
        <v>73</v>
      </c>
      <c r="AV536" s="9" t="s">
        <v>67</v>
      </c>
      <c r="AW536" s="9" t="s">
        <v>1505</v>
      </c>
      <c r="AX536" s="10">
        <v>45995</v>
      </c>
      <c r="AY536" s="9" t="s">
        <v>1506</v>
      </c>
      <c r="AZ536" s="9" t="s">
        <v>67</v>
      </c>
      <c r="BA536" s="9" t="s">
        <v>67</v>
      </c>
      <c r="BB536" s="12">
        <v>80</v>
      </c>
      <c r="BC536" s="9" t="s">
        <v>74</v>
      </c>
      <c r="BD536" s="9" t="s">
        <v>104</v>
      </c>
      <c r="BE536" s="9" t="s">
        <v>75</v>
      </c>
      <c r="BF536" s="11">
        <v>0</v>
      </c>
      <c r="BG536">
        <f t="shared" si="18"/>
        <v>12</v>
      </c>
      <c r="BH536" t="str">
        <f>VLOOKUP(BG536,[1]month!$A:$B,2,0)</f>
        <v>Desember</v>
      </c>
      <c r="BI536">
        <f t="shared" si="19"/>
        <v>2025</v>
      </c>
      <c r="BJ536" t="str">
        <f>VLOOKUP(I536,[1]Dist!$A:$B,2,0)</f>
        <v>Industry</v>
      </c>
      <c r="BK536" t="str">
        <f>IF(I536=11,VLOOKUP(Y536,[2]Sheet1!$C:$N,10,0),IF(I536=13,VLOOKUP(Y536,[3]Sheet1!$C:$N,10,0),IF(I536=15,VLOOKUP(Y536,[4]Sheet1!$C:$N,10,0),"Unknown")))</f>
        <v>NC</v>
      </c>
      <c r="BL536" t="str">
        <f>IF(I536=11,VLOOKUP(Y536,[2]Sheet1!$C:$N,12,0),IF(I536=13,VLOOKUP(Y536,[3]Sheet1!$C:$N,12,0),IF(I536=15,VLOOKUP(Y536,[4]Sheet1!$C:$N,12,0),"Unknown")))</f>
        <v>NC SYSTEM</v>
      </c>
      <c r="BM536" t="str">
        <f>VLOOKUP(W536,[1]branch!$A:$B,2,0)</f>
        <v>INDUSTRY</v>
      </c>
    </row>
    <row r="537" spans="1:65" x14ac:dyDescent="0.35">
      <c r="A537" s="10">
        <v>45996</v>
      </c>
      <c r="B537" s="9" t="s">
        <v>1504</v>
      </c>
      <c r="C537" s="9" t="s">
        <v>64</v>
      </c>
      <c r="D537" s="9" t="s">
        <v>92</v>
      </c>
      <c r="E537" s="11">
        <v>30</v>
      </c>
      <c r="F537" s="9" t="s">
        <v>93</v>
      </c>
      <c r="G537" s="9" t="s">
        <v>65</v>
      </c>
      <c r="H537" s="9" t="s">
        <v>66</v>
      </c>
      <c r="I537" s="9">
        <v>11</v>
      </c>
      <c r="J537" s="9" t="s">
        <v>411</v>
      </c>
      <c r="K537" s="9" t="s">
        <v>411</v>
      </c>
      <c r="L537" s="9" t="s">
        <v>411</v>
      </c>
      <c r="M537" s="9" t="s">
        <v>412</v>
      </c>
      <c r="N537" s="9" t="s">
        <v>877</v>
      </c>
      <c r="O537" s="9" t="s">
        <v>97</v>
      </c>
      <c r="P537" s="9" t="s">
        <v>67</v>
      </c>
      <c r="Q537" s="9" t="s">
        <v>98</v>
      </c>
      <c r="R537" s="9" t="s">
        <v>411</v>
      </c>
      <c r="S537" s="9" t="s">
        <v>412</v>
      </c>
      <c r="T537" s="9" t="s">
        <v>807</v>
      </c>
      <c r="U537" s="9" t="s">
        <v>67</v>
      </c>
      <c r="V537" s="9" t="s">
        <v>121</v>
      </c>
      <c r="W537" s="9" t="s">
        <v>122</v>
      </c>
      <c r="X537" s="11">
        <v>30</v>
      </c>
      <c r="Y537" s="9" t="s">
        <v>105</v>
      </c>
      <c r="Z537" s="9" t="s">
        <v>68</v>
      </c>
      <c r="AA537" s="9" t="s">
        <v>106</v>
      </c>
      <c r="AB537" s="9" t="s">
        <v>67</v>
      </c>
      <c r="AC537" s="9" t="s">
        <v>107</v>
      </c>
      <c r="AD537" s="11">
        <v>16</v>
      </c>
      <c r="AE537" s="9" t="s">
        <v>70</v>
      </c>
      <c r="AF537" s="9" t="s">
        <v>71</v>
      </c>
      <c r="AG537" s="13">
        <v>1</v>
      </c>
      <c r="AH537" s="9" t="s">
        <v>92</v>
      </c>
      <c r="AI537" s="13">
        <v>2169200</v>
      </c>
      <c r="AJ537" s="13">
        <v>34707200</v>
      </c>
      <c r="AK537" s="11">
        <v>0</v>
      </c>
      <c r="AL537" s="11">
        <v>0</v>
      </c>
      <c r="AM537" s="11">
        <v>0</v>
      </c>
      <c r="AN537" s="9" t="s">
        <v>67</v>
      </c>
      <c r="AO537" s="11">
        <v>34707200</v>
      </c>
      <c r="AP537" s="13">
        <v>2776576</v>
      </c>
      <c r="AQ537" s="13">
        <v>37483776</v>
      </c>
      <c r="AR537" s="11">
        <v>320</v>
      </c>
      <c r="AS537" s="9" t="s">
        <v>72</v>
      </c>
      <c r="AT537" s="12">
        <v>340.48</v>
      </c>
      <c r="AU537" s="9" t="s">
        <v>73</v>
      </c>
      <c r="AV537" s="9" t="s">
        <v>67</v>
      </c>
      <c r="AW537" s="9" t="s">
        <v>1505</v>
      </c>
      <c r="AX537" s="10">
        <v>45995</v>
      </c>
      <c r="AY537" s="9" t="s">
        <v>1506</v>
      </c>
      <c r="AZ537" s="9" t="s">
        <v>67</v>
      </c>
      <c r="BA537" s="9" t="s">
        <v>67</v>
      </c>
      <c r="BB537" s="12">
        <v>320</v>
      </c>
      <c r="BC537" s="9" t="s">
        <v>74</v>
      </c>
      <c r="BD537" s="9" t="s">
        <v>104</v>
      </c>
      <c r="BE537" s="9" t="s">
        <v>75</v>
      </c>
      <c r="BF537" s="11">
        <v>0</v>
      </c>
      <c r="BG537">
        <f t="shared" si="18"/>
        <v>12</v>
      </c>
      <c r="BH537" t="str">
        <f>VLOOKUP(BG537,[1]month!$A:$B,2,0)</f>
        <v>Desember</v>
      </c>
      <c r="BI537">
        <f t="shared" si="19"/>
        <v>2025</v>
      </c>
      <c r="BJ537" t="str">
        <f>VLOOKUP(I537,[1]Dist!$A:$B,2,0)</f>
        <v>Industry</v>
      </c>
      <c r="BK537" t="str">
        <f>IF(I537=11,VLOOKUP(Y537,[2]Sheet1!$C:$N,10,0),IF(I537=13,VLOOKUP(Y537,[3]Sheet1!$C:$N,10,0),IF(I537=15,VLOOKUP(Y537,[4]Sheet1!$C:$N,10,0),"Unknown")))</f>
        <v>PU</v>
      </c>
      <c r="BL537" t="str">
        <f>IF(I537=11,VLOOKUP(Y537,[2]Sheet1!$C:$N,12,0),IF(I537=13,VLOOKUP(Y537,[3]Sheet1!$C:$N,12,0),IF(I537=15,VLOOKUP(Y537,[4]Sheet1!$C:$N,12,0),"Unknown")))</f>
        <v>PU HARDENER</v>
      </c>
      <c r="BM537" t="str">
        <f>VLOOKUP(W537,[1]branch!$A:$B,2,0)</f>
        <v>INDUSTRY</v>
      </c>
    </row>
    <row r="538" spans="1:65" x14ac:dyDescent="0.35">
      <c r="A538" s="10">
        <v>45996</v>
      </c>
      <c r="B538" s="9" t="s">
        <v>1507</v>
      </c>
      <c r="C538" s="9" t="s">
        <v>64</v>
      </c>
      <c r="D538" s="9" t="s">
        <v>92</v>
      </c>
      <c r="E538" s="11">
        <v>30</v>
      </c>
      <c r="F538" s="9" t="s">
        <v>93</v>
      </c>
      <c r="G538" s="9" t="s">
        <v>65</v>
      </c>
      <c r="H538" s="9" t="s">
        <v>66</v>
      </c>
      <c r="I538" s="9">
        <v>11</v>
      </c>
      <c r="J538" s="9" t="s">
        <v>94</v>
      </c>
      <c r="K538" s="9" t="s">
        <v>94</v>
      </c>
      <c r="L538" s="9" t="s">
        <v>94</v>
      </c>
      <c r="M538" s="9" t="s">
        <v>95</v>
      </c>
      <c r="N538" s="9" t="s">
        <v>586</v>
      </c>
      <c r="O538" s="9" t="s">
        <v>97</v>
      </c>
      <c r="P538" s="9" t="s">
        <v>67</v>
      </c>
      <c r="Q538" s="9" t="s">
        <v>98</v>
      </c>
      <c r="R538" s="9" t="s">
        <v>717</v>
      </c>
      <c r="S538" s="9" t="s">
        <v>95</v>
      </c>
      <c r="T538" s="9" t="s">
        <v>718</v>
      </c>
      <c r="U538" s="9" t="s">
        <v>67</v>
      </c>
      <c r="V538" s="9" t="s">
        <v>99</v>
      </c>
      <c r="W538" s="9" t="s">
        <v>100</v>
      </c>
      <c r="X538" s="11">
        <v>10</v>
      </c>
      <c r="Y538" s="9" t="s">
        <v>101</v>
      </c>
      <c r="Z538" s="9" t="s">
        <v>68</v>
      </c>
      <c r="AA538" s="9" t="s">
        <v>102</v>
      </c>
      <c r="AB538" s="9" t="s">
        <v>67</v>
      </c>
      <c r="AC538" s="9" t="s">
        <v>103</v>
      </c>
      <c r="AD538" s="11">
        <v>8</v>
      </c>
      <c r="AE538" s="9" t="s">
        <v>70</v>
      </c>
      <c r="AF538" s="9" t="s">
        <v>71</v>
      </c>
      <c r="AG538" s="13">
        <v>1</v>
      </c>
      <c r="AH538" s="9" t="s">
        <v>92</v>
      </c>
      <c r="AI538" s="13">
        <v>1172000</v>
      </c>
      <c r="AJ538" s="13">
        <v>9376000</v>
      </c>
      <c r="AK538" s="11">
        <v>0</v>
      </c>
      <c r="AL538" s="11">
        <v>0</v>
      </c>
      <c r="AM538" s="11">
        <v>0</v>
      </c>
      <c r="AN538" s="9" t="s">
        <v>67</v>
      </c>
      <c r="AO538" s="11">
        <v>9376000</v>
      </c>
      <c r="AP538" s="13">
        <v>750080</v>
      </c>
      <c r="AQ538" s="13">
        <v>10126080</v>
      </c>
      <c r="AR538" s="11">
        <v>160</v>
      </c>
      <c r="AS538" s="9" t="s">
        <v>72</v>
      </c>
      <c r="AT538" s="12">
        <v>155.36000000000001</v>
      </c>
      <c r="AU538" s="9" t="s">
        <v>73</v>
      </c>
      <c r="AV538" s="9" t="s">
        <v>67</v>
      </c>
      <c r="AW538" s="9" t="s">
        <v>1054</v>
      </c>
      <c r="AX538" s="10">
        <v>45986</v>
      </c>
      <c r="AY538" s="9" t="s">
        <v>1508</v>
      </c>
      <c r="AZ538" s="9" t="s">
        <v>67</v>
      </c>
      <c r="BA538" s="9" t="s">
        <v>67</v>
      </c>
      <c r="BB538" s="12">
        <v>160</v>
      </c>
      <c r="BC538" s="9" t="s">
        <v>74</v>
      </c>
      <c r="BD538" s="9" t="s">
        <v>104</v>
      </c>
      <c r="BE538" s="9" t="s">
        <v>75</v>
      </c>
      <c r="BF538" s="11">
        <v>0</v>
      </c>
      <c r="BG538">
        <f t="shared" si="18"/>
        <v>12</v>
      </c>
      <c r="BH538" t="str">
        <f>VLOOKUP(BG538,[1]month!$A:$B,2,0)</f>
        <v>Desember</v>
      </c>
      <c r="BI538">
        <f t="shared" si="19"/>
        <v>2025</v>
      </c>
      <c r="BJ538" t="str">
        <f>VLOOKUP(I538,[1]Dist!$A:$B,2,0)</f>
        <v>Industry</v>
      </c>
      <c r="BK538" t="str">
        <f>IF(I538=11,VLOOKUP(Y538,[2]Sheet1!$C:$N,10,0),IF(I538=13,VLOOKUP(Y538,[3]Sheet1!$C:$N,10,0),IF(I538=15,VLOOKUP(Y538,[4]Sheet1!$C:$N,10,0),"Unknown")))</f>
        <v>PU</v>
      </c>
      <c r="BL538" t="str">
        <f>IF(I538=11,VLOOKUP(Y538,[2]Sheet1!$C:$N,12,0),IF(I538=13,VLOOKUP(Y538,[3]Sheet1!$C:$N,12,0),IF(I538=15,VLOOKUP(Y538,[4]Sheet1!$C:$N,12,0),"Unknown")))</f>
        <v>PU SANDING SEALER</v>
      </c>
      <c r="BM538" t="str">
        <f>VLOOKUP(W538,[1]branch!$A:$B,2,0)</f>
        <v>INDUSTRY</v>
      </c>
    </row>
    <row r="539" spans="1:65" x14ac:dyDescent="0.35">
      <c r="A539" s="10">
        <v>45996</v>
      </c>
      <c r="B539" s="9" t="s">
        <v>1507</v>
      </c>
      <c r="C539" s="9" t="s">
        <v>64</v>
      </c>
      <c r="D539" s="9" t="s">
        <v>92</v>
      </c>
      <c r="E539" s="11">
        <v>30</v>
      </c>
      <c r="F539" s="9" t="s">
        <v>93</v>
      </c>
      <c r="G539" s="9" t="s">
        <v>65</v>
      </c>
      <c r="H539" s="9" t="s">
        <v>66</v>
      </c>
      <c r="I539" s="9">
        <v>11</v>
      </c>
      <c r="J539" s="9" t="s">
        <v>94</v>
      </c>
      <c r="K539" s="9" t="s">
        <v>94</v>
      </c>
      <c r="L539" s="9" t="s">
        <v>94</v>
      </c>
      <c r="M539" s="9" t="s">
        <v>95</v>
      </c>
      <c r="N539" s="9" t="s">
        <v>586</v>
      </c>
      <c r="O539" s="9" t="s">
        <v>97</v>
      </c>
      <c r="P539" s="9" t="s">
        <v>67</v>
      </c>
      <c r="Q539" s="9" t="s">
        <v>98</v>
      </c>
      <c r="R539" s="9" t="s">
        <v>717</v>
      </c>
      <c r="S539" s="9" t="s">
        <v>95</v>
      </c>
      <c r="T539" s="9" t="s">
        <v>718</v>
      </c>
      <c r="U539" s="9" t="s">
        <v>67</v>
      </c>
      <c r="V539" s="9" t="s">
        <v>99</v>
      </c>
      <c r="W539" s="9" t="s">
        <v>100</v>
      </c>
      <c r="X539" s="11">
        <v>40</v>
      </c>
      <c r="Y539" s="9" t="s">
        <v>108</v>
      </c>
      <c r="Z539" s="9" t="s">
        <v>68</v>
      </c>
      <c r="AA539" s="9" t="s">
        <v>109</v>
      </c>
      <c r="AB539" s="9" t="s">
        <v>67</v>
      </c>
      <c r="AC539" s="9" t="s">
        <v>110</v>
      </c>
      <c r="AD539" s="11">
        <v>4</v>
      </c>
      <c r="AE539" s="9" t="s">
        <v>70</v>
      </c>
      <c r="AF539" s="9" t="s">
        <v>71</v>
      </c>
      <c r="AG539" s="13">
        <v>1</v>
      </c>
      <c r="AH539" s="9" t="s">
        <v>92</v>
      </c>
      <c r="AI539" s="13">
        <v>1528000</v>
      </c>
      <c r="AJ539" s="13">
        <v>6112000</v>
      </c>
      <c r="AK539" s="11">
        <v>0</v>
      </c>
      <c r="AL539" s="11">
        <v>0</v>
      </c>
      <c r="AM539" s="11">
        <v>0</v>
      </c>
      <c r="AN539" s="9" t="s">
        <v>67</v>
      </c>
      <c r="AO539" s="11">
        <v>6112000</v>
      </c>
      <c r="AP539" s="13">
        <v>488960</v>
      </c>
      <c r="AQ539" s="13">
        <v>6600960</v>
      </c>
      <c r="AR539" s="11">
        <v>80</v>
      </c>
      <c r="AS539" s="9" t="s">
        <v>72</v>
      </c>
      <c r="AT539" s="12">
        <v>77.680000000000007</v>
      </c>
      <c r="AU539" s="9" t="s">
        <v>73</v>
      </c>
      <c r="AV539" s="9" t="s">
        <v>67</v>
      </c>
      <c r="AW539" s="9" t="s">
        <v>1054</v>
      </c>
      <c r="AX539" s="10">
        <v>45986</v>
      </c>
      <c r="AY539" s="9" t="s">
        <v>1508</v>
      </c>
      <c r="AZ539" s="9" t="s">
        <v>67</v>
      </c>
      <c r="BA539" s="9" t="s">
        <v>67</v>
      </c>
      <c r="BB539" s="12">
        <v>80</v>
      </c>
      <c r="BC539" s="9" t="s">
        <v>74</v>
      </c>
      <c r="BD539" s="9" t="s">
        <v>104</v>
      </c>
      <c r="BE539" s="9" t="s">
        <v>75</v>
      </c>
      <c r="BF539" s="11">
        <v>0</v>
      </c>
      <c r="BG539">
        <f t="shared" si="18"/>
        <v>12</v>
      </c>
      <c r="BH539" t="str">
        <f>VLOOKUP(BG539,[1]month!$A:$B,2,0)</f>
        <v>Desember</v>
      </c>
      <c r="BI539">
        <f t="shared" si="19"/>
        <v>2025</v>
      </c>
      <c r="BJ539" t="str">
        <f>VLOOKUP(I539,[1]Dist!$A:$B,2,0)</f>
        <v>Industry</v>
      </c>
      <c r="BK539" t="str">
        <f>IF(I539=11,VLOOKUP(Y539,[2]Sheet1!$C:$N,10,0),IF(I539=13,VLOOKUP(Y539,[3]Sheet1!$C:$N,10,0),IF(I539=15,VLOOKUP(Y539,[4]Sheet1!$C:$N,10,0),"Unknown")))</f>
        <v>PU</v>
      </c>
      <c r="BL539" t="str">
        <f>IF(I539=11,VLOOKUP(Y539,[2]Sheet1!$C:$N,12,0),IF(I539=13,VLOOKUP(Y539,[3]Sheet1!$C:$N,12,0),IF(I539=15,VLOOKUP(Y539,[4]Sheet1!$C:$N,12,0),"Unknown")))</f>
        <v>PU LACQUER</v>
      </c>
      <c r="BM539" t="str">
        <f>VLOOKUP(W539,[1]branch!$A:$B,2,0)</f>
        <v>INDUSTRY</v>
      </c>
    </row>
    <row r="540" spans="1:65" x14ac:dyDescent="0.35">
      <c r="A540" s="10">
        <v>45996</v>
      </c>
      <c r="B540" s="9" t="s">
        <v>1507</v>
      </c>
      <c r="C540" s="9" t="s">
        <v>64</v>
      </c>
      <c r="D540" s="9" t="s">
        <v>92</v>
      </c>
      <c r="E540" s="11">
        <v>30</v>
      </c>
      <c r="F540" s="9" t="s">
        <v>93</v>
      </c>
      <c r="G540" s="9" t="s">
        <v>65</v>
      </c>
      <c r="H540" s="9" t="s">
        <v>66</v>
      </c>
      <c r="I540" s="9">
        <v>11</v>
      </c>
      <c r="J540" s="9" t="s">
        <v>94</v>
      </c>
      <c r="K540" s="9" t="s">
        <v>94</v>
      </c>
      <c r="L540" s="9" t="s">
        <v>94</v>
      </c>
      <c r="M540" s="9" t="s">
        <v>95</v>
      </c>
      <c r="N540" s="9" t="s">
        <v>586</v>
      </c>
      <c r="O540" s="9" t="s">
        <v>97</v>
      </c>
      <c r="P540" s="9" t="s">
        <v>67</v>
      </c>
      <c r="Q540" s="9" t="s">
        <v>98</v>
      </c>
      <c r="R540" s="9" t="s">
        <v>717</v>
      </c>
      <c r="S540" s="9" t="s">
        <v>95</v>
      </c>
      <c r="T540" s="9" t="s">
        <v>718</v>
      </c>
      <c r="U540" s="9" t="s">
        <v>67</v>
      </c>
      <c r="V540" s="9" t="s">
        <v>99</v>
      </c>
      <c r="W540" s="9" t="s">
        <v>100</v>
      </c>
      <c r="X540" s="11">
        <v>60</v>
      </c>
      <c r="Y540" s="9" t="s">
        <v>118</v>
      </c>
      <c r="Z540" s="9" t="s">
        <v>68</v>
      </c>
      <c r="AA540" s="9" t="s">
        <v>119</v>
      </c>
      <c r="AB540" s="9" t="s">
        <v>67</v>
      </c>
      <c r="AC540" s="9" t="s">
        <v>120</v>
      </c>
      <c r="AD540" s="11">
        <v>1</v>
      </c>
      <c r="AE540" s="9" t="s">
        <v>70</v>
      </c>
      <c r="AF540" s="9" t="s">
        <v>71</v>
      </c>
      <c r="AG540" s="13">
        <v>1</v>
      </c>
      <c r="AH540" s="9" t="s">
        <v>92</v>
      </c>
      <c r="AI540" s="13">
        <v>7500000</v>
      </c>
      <c r="AJ540" s="13">
        <v>7500000</v>
      </c>
      <c r="AK540" s="11">
        <v>0</v>
      </c>
      <c r="AL540" s="11">
        <v>0</v>
      </c>
      <c r="AM540" s="11">
        <v>0</v>
      </c>
      <c r="AN540" s="9" t="s">
        <v>67</v>
      </c>
      <c r="AO540" s="11">
        <v>7500000</v>
      </c>
      <c r="AP540" s="13">
        <v>600000</v>
      </c>
      <c r="AQ540" s="13">
        <v>8100000</v>
      </c>
      <c r="AR540" s="11">
        <v>185</v>
      </c>
      <c r="AS540" s="9" t="s">
        <v>72</v>
      </c>
      <c r="AT540" s="11">
        <v>200</v>
      </c>
      <c r="AU540" s="9" t="s">
        <v>73</v>
      </c>
      <c r="AV540" s="9" t="s">
        <v>67</v>
      </c>
      <c r="AW540" s="9" t="s">
        <v>1054</v>
      </c>
      <c r="AX540" s="10">
        <v>45986</v>
      </c>
      <c r="AY540" s="9" t="s">
        <v>1508</v>
      </c>
      <c r="AZ540" s="9" t="s">
        <v>67</v>
      </c>
      <c r="BA540" s="9" t="s">
        <v>67</v>
      </c>
      <c r="BB540" s="12">
        <v>200</v>
      </c>
      <c r="BC540" s="9" t="s">
        <v>74</v>
      </c>
      <c r="BD540" s="9" t="s">
        <v>104</v>
      </c>
      <c r="BE540" s="9" t="s">
        <v>75</v>
      </c>
      <c r="BF540" s="11">
        <v>0</v>
      </c>
      <c r="BG540">
        <f t="shared" si="18"/>
        <v>12</v>
      </c>
      <c r="BH540" t="str">
        <f>VLOOKUP(BG540,[1]month!$A:$B,2,0)</f>
        <v>Desember</v>
      </c>
      <c r="BI540">
        <f t="shared" si="19"/>
        <v>2025</v>
      </c>
      <c r="BJ540" t="str">
        <f>VLOOKUP(I540,[1]Dist!$A:$B,2,0)</f>
        <v>Industry</v>
      </c>
      <c r="BK540" t="str">
        <f>IF(I540=11,VLOOKUP(Y540,[2]Sheet1!$C:$N,10,0),IF(I540=13,VLOOKUP(Y540,[3]Sheet1!$C:$N,10,0),IF(I540=15,VLOOKUP(Y540,[4]Sheet1!$C:$N,10,0),"Unknown")))</f>
        <v>THINNER PU</v>
      </c>
      <c r="BL540" t="str">
        <f>IF(I540=11,VLOOKUP(Y540,[2]Sheet1!$C:$N,12,0),IF(I540=13,VLOOKUP(Y540,[3]Sheet1!$C:$N,12,0),IF(I540=15,VLOOKUP(Y540,[4]Sheet1!$C:$N,12,0),"Unknown")))</f>
        <v>THINNER PU</v>
      </c>
      <c r="BM540" t="str">
        <f>VLOOKUP(W540,[1]branch!$A:$B,2,0)</f>
        <v>INDUSTRY</v>
      </c>
    </row>
    <row r="541" spans="1:65" x14ac:dyDescent="0.35">
      <c r="A541" s="10">
        <v>45996</v>
      </c>
      <c r="B541" s="9" t="s">
        <v>1507</v>
      </c>
      <c r="C541" s="9" t="s">
        <v>64</v>
      </c>
      <c r="D541" s="9" t="s">
        <v>92</v>
      </c>
      <c r="E541" s="11">
        <v>30</v>
      </c>
      <c r="F541" s="9" t="s">
        <v>93</v>
      </c>
      <c r="G541" s="9" t="s">
        <v>65</v>
      </c>
      <c r="H541" s="9" t="s">
        <v>66</v>
      </c>
      <c r="I541" s="9">
        <v>11</v>
      </c>
      <c r="J541" s="9" t="s">
        <v>94</v>
      </c>
      <c r="K541" s="9" t="s">
        <v>94</v>
      </c>
      <c r="L541" s="9" t="s">
        <v>94</v>
      </c>
      <c r="M541" s="9" t="s">
        <v>95</v>
      </c>
      <c r="N541" s="9" t="s">
        <v>586</v>
      </c>
      <c r="O541" s="9" t="s">
        <v>97</v>
      </c>
      <c r="P541" s="9" t="s">
        <v>67</v>
      </c>
      <c r="Q541" s="9" t="s">
        <v>98</v>
      </c>
      <c r="R541" s="9" t="s">
        <v>717</v>
      </c>
      <c r="S541" s="9" t="s">
        <v>95</v>
      </c>
      <c r="T541" s="9" t="s">
        <v>718</v>
      </c>
      <c r="U541" s="9" t="s">
        <v>67</v>
      </c>
      <c r="V541" s="9" t="s">
        <v>99</v>
      </c>
      <c r="W541" s="9" t="s">
        <v>100</v>
      </c>
      <c r="X541" s="11">
        <v>70</v>
      </c>
      <c r="Y541" s="9" t="s">
        <v>552</v>
      </c>
      <c r="Z541" s="9" t="s">
        <v>68</v>
      </c>
      <c r="AA541" s="9" t="s">
        <v>553</v>
      </c>
      <c r="AB541" s="9" t="s">
        <v>67</v>
      </c>
      <c r="AC541" s="9" t="s">
        <v>139</v>
      </c>
      <c r="AD541" s="11">
        <v>1</v>
      </c>
      <c r="AE541" s="9" t="s">
        <v>70</v>
      </c>
      <c r="AF541" s="9" t="s">
        <v>71</v>
      </c>
      <c r="AG541" s="13">
        <v>1</v>
      </c>
      <c r="AH541" s="9" t="s">
        <v>92</v>
      </c>
      <c r="AI541" s="13">
        <v>7021000</v>
      </c>
      <c r="AJ541" s="13">
        <v>7021000</v>
      </c>
      <c r="AK541" s="11">
        <v>0</v>
      </c>
      <c r="AL541" s="11">
        <v>0</v>
      </c>
      <c r="AM541" s="11">
        <v>0</v>
      </c>
      <c r="AN541" s="9" t="s">
        <v>67</v>
      </c>
      <c r="AO541" s="11">
        <v>7021000</v>
      </c>
      <c r="AP541" s="13">
        <v>561680</v>
      </c>
      <c r="AQ541" s="13">
        <v>7582680</v>
      </c>
      <c r="AR541" s="11">
        <v>176</v>
      </c>
      <c r="AS541" s="9" t="s">
        <v>72</v>
      </c>
      <c r="AT541" s="11">
        <v>200</v>
      </c>
      <c r="AU541" s="9" t="s">
        <v>73</v>
      </c>
      <c r="AV541" s="9" t="s">
        <v>67</v>
      </c>
      <c r="AW541" s="9" t="s">
        <v>1054</v>
      </c>
      <c r="AX541" s="10">
        <v>45986</v>
      </c>
      <c r="AY541" s="9" t="s">
        <v>1508</v>
      </c>
      <c r="AZ541" s="9" t="s">
        <v>67</v>
      </c>
      <c r="BA541" s="9" t="s">
        <v>67</v>
      </c>
      <c r="BB541" s="12">
        <v>200</v>
      </c>
      <c r="BC541" s="9" t="s">
        <v>74</v>
      </c>
      <c r="BD541" s="9" t="s">
        <v>104</v>
      </c>
      <c r="BE541" s="9" t="s">
        <v>75</v>
      </c>
      <c r="BF541" s="11">
        <v>0</v>
      </c>
      <c r="BG541">
        <f t="shared" si="18"/>
        <v>12</v>
      </c>
      <c r="BH541" t="str">
        <f>VLOOKUP(BG541,[1]month!$A:$B,2,0)</f>
        <v>Desember</v>
      </c>
      <c r="BI541">
        <f t="shared" si="19"/>
        <v>2025</v>
      </c>
      <c r="BJ541" t="str">
        <f>VLOOKUP(I541,[1]Dist!$A:$B,2,0)</f>
        <v>Industry</v>
      </c>
      <c r="BK541" t="str">
        <f>IF(I541=11,VLOOKUP(Y541,[2]Sheet1!$C:$N,10,0),IF(I541=13,VLOOKUP(Y541,[3]Sheet1!$C:$N,10,0),IF(I541=15,VLOOKUP(Y541,[4]Sheet1!$C:$N,10,0),"Unknown")))</f>
        <v>THINNER NC</v>
      </c>
      <c r="BL541" t="str">
        <f>IF(I541=11,VLOOKUP(Y541,[2]Sheet1!$C:$N,12,0),IF(I541=13,VLOOKUP(Y541,[3]Sheet1!$C:$N,12,0),IF(I541=15,VLOOKUP(Y541,[4]Sheet1!$C:$N,12,0),"Unknown")))</f>
        <v>THINNER COMPLEMENTARY</v>
      </c>
      <c r="BM541" t="str">
        <f>VLOOKUP(W541,[1]branch!$A:$B,2,0)</f>
        <v>INDUSTRY</v>
      </c>
    </row>
    <row r="542" spans="1:65" x14ac:dyDescent="0.35">
      <c r="A542" s="10">
        <v>45996</v>
      </c>
      <c r="B542" s="9" t="s">
        <v>1507</v>
      </c>
      <c r="C542" s="9" t="s">
        <v>64</v>
      </c>
      <c r="D542" s="9" t="s">
        <v>92</v>
      </c>
      <c r="E542" s="11">
        <v>30</v>
      </c>
      <c r="F542" s="9" t="s">
        <v>93</v>
      </c>
      <c r="G542" s="9" t="s">
        <v>65</v>
      </c>
      <c r="H542" s="9" t="s">
        <v>66</v>
      </c>
      <c r="I542" s="9">
        <v>11</v>
      </c>
      <c r="J542" s="9" t="s">
        <v>94</v>
      </c>
      <c r="K542" s="9" t="s">
        <v>94</v>
      </c>
      <c r="L542" s="9" t="s">
        <v>94</v>
      </c>
      <c r="M542" s="9" t="s">
        <v>95</v>
      </c>
      <c r="N542" s="9" t="s">
        <v>586</v>
      </c>
      <c r="O542" s="9" t="s">
        <v>97</v>
      </c>
      <c r="P542" s="9" t="s">
        <v>67</v>
      </c>
      <c r="Q542" s="9" t="s">
        <v>98</v>
      </c>
      <c r="R542" s="9" t="s">
        <v>717</v>
      </c>
      <c r="S542" s="9" t="s">
        <v>95</v>
      </c>
      <c r="T542" s="9" t="s">
        <v>718</v>
      </c>
      <c r="U542" s="9" t="s">
        <v>67</v>
      </c>
      <c r="V542" s="9" t="s">
        <v>99</v>
      </c>
      <c r="W542" s="9" t="s">
        <v>100</v>
      </c>
      <c r="X542" s="11">
        <v>90</v>
      </c>
      <c r="Y542" s="9" t="s">
        <v>116</v>
      </c>
      <c r="Z542" s="9" t="s">
        <v>68</v>
      </c>
      <c r="AA542" s="9" t="s">
        <v>117</v>
      </c>
      <c r="AB542" s="9" t="s">
        <v>67</v>
      </c>
      <c r="AC542" s="9" t="s">
        <v>82</v>
      </c>
      <c r="AD542" s="11">
        <v>1</v>
      </c>
      <c r="AE542" s="9" t="s">
        <v>70</v>
      </c>
      <c r="AF542" s="9" t="s">
        <v>71</v>
      </c>
      <c r="AG542" s="13">
        <v>1</v>
      </c>
      <c r="AH542" s="9" t="s">
        <v>92</v>
      </c>
      <c r="AI542" s="13">
        <v>12294000</v>
      </c>
      <c r="AJ542" s="13">
        <v>12294000</v>
      </c>
      <c r="AK542" s="11">
        <v>0</v>
      </c>
      <c r="AL542" s="11">
        <v>0</v>
      </c>
      <c r="AM542" s="11">
        <v>0</v>
      </c>
      <c r="AN542" s="9" t="s">
        <v>67</v>
      </c>
      <c r="AO542" s="11">
        <v>12294000</v>
      </c>
      <c r="AP542" s="13">
        <v>983520</v>
      </c>
      <c r="AQ542" s="13">
        <v>13277520</v>
      </c>
      <c r="AR542" s="11">
        <v>180</v>
      </c>
      <c r="AS542" s="9" t="s">
        <v>72</v>
      </c>
      <c r="AT542" s="12">
        <v>193.55</v>
      </c>
      <c r="AU542" s="9" t="s">
        <v>73</v>
      </c>
      <c r="AV542" s="9" t="s">
        <v>67</v>
      </c>
      <c r="AW542" s="9" t="s">
        <v>1054</v>
      </c>
      <c r="AX542" s="10">
        <v>45986</v>
      </c>
      <c r="AY542" s="9" t="s">
        <v>1508</v>
      </c>
      <c r="AZ542" s="9" t="s">
        <v>67</v>
      </c>
      <c r="BA542" s="9" t="s">
        <v>67</v>
      </c>
      <c r="BB542" s="12">
        <v>180</v>
      </c>
      <c r="BC542" s="9" t="s">
        <v>74</v>
      </c>
      <c r="BD542" s="9" t="s">
        <v>104</v>
      </c>
      <c r="BE542" s="9" t="s">
        <v>75</v>
      </c>
      <c r="BF542" s="11">
        <v>0</v>
      </c>
      <c r="BG542">
        <f t="shared" si="18"/>
        <v>12</v>
      </c>
      <c r="BH542" t="str">
        <f>VLOOKUP(BG542,[1]month!$A:$B,2,0)</f>
        <v>Desember</v>
      </c>
      <c r="BI542">
        <f t="shared" si="19"/>
        <v>2025</v>
      </c>
      <c r="BJ542" t="str">
        <f>VLOOKUP(I542,[1]Dist!$A:$B,2,0)</f>
        <v>Industry</v>
      </c>
      <c r="BK542" t="str">
        <f>IF(I542=11,VLOOKUP(Y542,[2]Sheet1!$C:$N,10,0),IF(I542=13,VLOOKUP(Y542,[3]Sheet1!$C:$N,10,0),IF(I542=15,VLOOKUP(Y542,[4]Sheet1!$C:$N,10,0),"Unknown")))</f>
        <v>STAIN &amp; GLAZE INTERIOR</v>
      </c>
      <c r="BL542" t="str">
        <f>IF(I542=11,VLOOKUP(Y542,[2]Sheet1!$C:$N,12,0),IF(I542=13,VLOOKUP(Y542,[3]Sheet1!$C:$N,12,0),IF(I542=15,VLOOKUP(Y542,[4]Sheet1!$C:$N,12,0),"Unknown")))</f>
        <v>STAIN INTERIOR</v>
      </c>
      <c r="BM542" t="str">
        <f>VLOOKUP(W542,[1]branch!$A:$B,2,0)</f>
        <v>INDUSTRY</v>
      </c>
    </row>
    <row r="543" spans="1:65" x14ac:dyDescent="0.35">
      <c r="A543" s="10">
        <v>45996</v>
      </c>
      <c r="B543" s="9" t="s">
        <v>1509</v>
      </c>
      <c r="C543" s="9" t="s">
        <v>64</v>
      </c>
      <c r="D543" s="9" t="s">
        <v>92</v>
      </c>
      <c r="E543" s="11">
        <v>30</v>
      </c>
      <c r="F543" s="9" t="s">
        <v>93</v>
      </c>
      <c r="G543" s="9" t="s">
        <v>65</v>
      </c>
      <c r="H543" s="9" t="s">
        <v>66</v>
      </c>
      <c r="I543" s="9">
        <v>11</v>
      </c>
      <c r="J543" s="9" t="s">
        <v>94</v>
      </c>
      <c r="K543" s="9" t="s">
        <v>94</v>
      </c>
      <c r="L543" s="9" t="s">
        <v>94</v>
      </c>
      <c r="M543" s="9" t="s">
        <v>95</v>
      </c>
      <c r="N543" s="9" t="s">
        <v>586</v>
      </c>
      <c r="O543" s="9" t="s">
        <v>97</v>
      </c>
      <c r="P543" s="9" t="s">
        <v>67</v>
      </c>
      <c r="Q543" s="9" t="s">
        <v>98</v>
      </c>
      <c r="R543" s="9" t="s">
        <v>717</v>
      </c>
      <c r="S543" s="9" t="s">
        <v>95</v>
      </c>
      <c r="T543" s="9" t="s">
        <v>718</v>
      </c>
      <c r="U543" s="9" t="s">
        <v>67</v>
      </c>
      <c r="V543" s="9" t="s">
        <v>99</v>
      </c>
      <c r="W543" s="9" t="s">
        <v>100</v>
      </c>
      <c r="X543" s="11">
        <v>10</v>
      </c>
      <c r="Y543" s="9" t="s">
        <v>1510</v>
      </c>
      <c r="Z543" s="9" t="s">
        <v>68</v>
      </c>
      <c r="AA543" s="9" t="s">
        <v>1511</v>
      </c>
      <c r="AB543" s="9" t="s">
        <v>67</v>
      </c>
      <c r="AC543" s="9" t="s">
        <v>110</v>
      </c>
      <c r="AD543" s="11">
        <v>2</v>
      </c>
      <c r="AE543" s="9" t="s">
        <v>70</v>
      </c>
      <c r="AF543" s="9" t="s">
        <v>71</v>
      </c>
      <c r="AG543" s="13">
        <v>1</v>
      </c>
      <c r="AH543" s="9" t="s">
        <v>92</v>
      </c>
      <c r="AI543" s="13">
        <v>1678000</v>
      </c>
      <c r="AJ543" s="13">
        <v>3356000</v>
      </c>
      <c r="AK543" s="11">
        <v>0</v>
      </c>
      <c r="AL543" s="11">
        <v>0</v>
      </c>
      <c r="AM543" s="11">
        <v>0</v>
      </c>
      <c r="AN543" s="9" t="s">
        <v>67</v>
      </c>
      <c r="AO543" s="11">
        <v>3356000</v>
      </c>
      <c r="AP543" s="13">
        <v>268480</v>
      </c>
      <c r="AQ543" s="13">
        <v>3624480</v>
      </c>
      <c r="AR543" s="11">
        <v>40</v>
      </c>
      <c r="AS543" s="9" t="s">
        <v>72</v>
      </c>
      <c r="AT543" s="12">
        <v>38.840000000000003</v>
      </c>
      <c r="AU543" s="9" t="s">
        <v>73</v>
      </c>
      <c r="AV543" s="9" t="s">
        <v>67</v>
      </c>
      <c r="AW543" s="9" t="s">
        <v>1512</v>
      </c>
      <c r="AX543" s="10">
        <v>45996</v>
      </c>
      <c r="AY543" s="9" t="s">
        <v>1513</v>
      </c>
      <c r="AZ543" s="9" t="s">
        <v>67</v>
      </c>
      <c r="BA543" s="9" t="s">
        <v>67</v>
      </c>
      <c r="BB543" s="12">
        <v>40</v>
      </c>
      <c r="BC543" s="9" t="s">
        <v>74</v>
      </c>
      <c r="BD543" s="9" t="s">
        <v>104</v>
      </c>
      <c r="BE543" s="9" t="s">
        <v>75</v>
      </c>
      <c r="BF543" s="11">
        <v>0</v>
      </c>
      <c r="BG543">
        <f t="shared" si="18"/>
        <v>12</v>
      </c>
      <c r="BH543" t="str">
        <f>VLOOKUP(BG543,[1]month!$A:$B,2,0)</f>
        <v>Desember</v>
      </c>
      <c r="BI543">
        <f t="shared" si="19"/>
        <v>2025</v>
      </c>
      <c r="BJ543" t="str">
        <f>VLOOKUP(I543,[1]Dist!$A:$B,2,0)</f>
        <v>Industry</v>
      </c>
      <c r="BK543" t="str">
        <f>IF(I543=11,VLOOKUP(Y543,[2]Sheet1!$C:$N,10,0),IF(I543=13,VLOOKUP(Y543,[3]Sheet1!$C:$N,10,0),IF(I543=15,VLOOKUP(Y543,[4]Sheet1!$C:$N,10,0),"Unknown")))</f>
        <v>PU</v>
      </c>
      <c r="BL543" t="str">
        <f>IF(I543=11,VLOOKUP(Y543,[2]Sheet1!$C:$N,12,0),IF(I543=13,VLOOKUP(Y543,[3]Sheet1!$C:$N,12,0),IF(I543=15,VLOOKUP(Y543,[4]Sheet1!$C:$N,12,0),"Unknown")))</f>
        <v>PU LACQUER</v>
      </c>
      <c r="BM543" t="str">
        <f>VLOOKUP(W543,[1]branch!$A:$B,2,0)</f>
        <v>INDUSTRY</v>
      </c>
    </row>
    <row r="544" spans="1:65" x14ac:dyDescent="0.35">
      <c r="A544" s="10">
        <v>45996</v>
      </c>
      <c r="B544" s="9" t="s">
        <v>1514</v>
      </c>
      <c r="C544" s="9" t="s">
        <v>64</v>
      </c>
      <c r="D544" s="9" t="s">
        <v>92</v>
      </c>
      <c r="E544" s="11">
        <v>7</v>
      </c>
      <c r="F544" s="9" t="s">
        <v>93</v>
      </c>
      <c r="G544" s="9" t="s">
        <v>65</v>
      </c>
      <c r="H544" s="9" t="s">
        <v>66</v>
      </c>
      <c r="I544" s="9">
        <v>11</v>
      </c>
      <c r="J544" s="9" t="s">
        <v>296</v>
      </c>
      <c r="K544" s="9" t="s">
        <v>296</v>
      </c>
      <c r="L544" s="9" t="s">
        <v>296</v>
      </c>
      <c r="M544" s="9" t="s">
        <v>297</v>
      </c>
      <c r="N544" s="9" t="s">
        <v>447</v>
      </c>
      <c r="O544" s="9" t="s">
        <v>97</v>
      </c>
      <c r="P544" s="9" t="s">
        <v>67</v>
      </c>
      <c r="Q544" s="9" t="s">
        <v>98</v>
      </c>
      <c r="R544" s="9" t="s">
        <v>780</v>
      </c>
      <c r="S544" s="9" t="s">
        <v>297</v>
      </c>
      <c r="T544" s="9" t="s">
        <v>781</v>
      </c>
      <c r="U544" s="9" t="s">
        <v>67</v>
      </c>
      <c r="V544" s="9" t="s">
        <v>194</v>
      </c>
      <c r="W544" s="9" t="s">
        <v>195</v>
      </c>
      <c r="X544" s="11">
        <v>10</v>
      </c>
      <c r="Y544" s="9" t="s">
        <v>517</v>
      </c>
      <c r="Z544" s="9" t="s">
        <v>68</v>
      </c>
      <c r="AA544" s="9" t="s">
        <v>518</v>
      </c>
      <c r="AB544" s="9" t="s">
        <v>67</v>
      </c>
      <c r="AC544" s="9" t="s">
        <v>134</v>
      </c>
      <c r="AD544" s="11">
        <v>2</v>
      </c>
      <c r="AE544" s="9" t="s">
        <v>70</v>
      </c>
      <c r="AF544" s="9" t="s">
        <v>71</v>
      </c>
      <c r="AG544" s="13">
        <v>1</v>
      </c>
      <c r="AH544" s="9" t="s">
        <v>92</v>
      </c>
      <c r="AI544" s="13">
        <v>1166400</v>
      </c>
      <c r="AJ544" s="13">
        <v>2332800</v>
      </c>
      <c r="AK544" s="11">
        <v>0</v>
      </c>
      <c r="AL544" s="11">
        <v>0</v>
      </c>
      <c r="AM544" s="11">
        <v>0</v>
      </c>
      <c r="AN544" s="9" t="s">
        <v>67</v>
      </c>
      <c r="AO544" s="11">
        <v>2332800</v>
      </c>
      <c r="AP544" s="13">
        <v>186624</v>
      </c>
      <c r="AQ544" s="13">
        <v>2519424</v>
      </c>
      <c r="AR544" s="11">
        <v>8</v>
      </c>
      <c r="AS544" s="9" t="s">
        <v>72</v>
      </c>
      <c r="AT544" s="12">
        <v>8.42</v>
      </c>
      <c r="AU544" s="9" t="s">
        <v>73</v>
      </c>
      <c r="AV544" s="9" t="s">
        <v>67</v>
      </c>
      <c r="AW544" s="9" t="s">
        <v>1515</v>
      </c>
      <c r="AX544" s="10">
        <v>45995</v>
      </c>
      <c r="AY544" s="9" t="s">
        <v>1516</v>
      </c>
      <c r="AZ544" s="9" t="s">
        <v>67</v>
      </c>
      <c r="BA544" s="9" t="s">
        <v>67</v>
      </c>
      <c r="BB544" s="12">
        <v>8</v>
      </c>
      <c r="BC544" s="9" t="s">
        <v>74</v>
      </c>
      <c r="BD544" s="9" t="s">
        <v>104</v>
      </c>
      <c r="BE544" s="9" t="s">
        <v>75</v>
      </c>
      <c r="BF544" s="11">
        <v>0</v>
      </c>
      <c r="BG544">
        <f t="shared" si="18"/>
        <v>12</v>
      </c>
      <c r="BH544" t="str">
        <f>VLOOKUP(BG544,[1]month!$A:$B,2,0)</f>
        <v>Desember</v>
      </c>
      <c r="BI544">
        <f t="shared" si="19"/>
        <v>2025</v>
      </c>
      <c r="BJ544" t="str">
        <f>VLOOKUP(I544,[1]Dist!$A:$B,2,0)</f>
        <v>Industry</v>
      </c>
      <c r="BK544" t="str">
        <f>IF(I544=11,VLOOKUP(Y544,[2]Sheet1!$C:$N,10,0),IF(I544=13,VLOOKUP(Y544,[3]Sheet1!$C:$N,10,0),IF(I544=15,VLOOKUP(Y544,[4]Sheet1!$C:$N,10,0),"Unknown")))</f>
        <v>STAIN &amp; GLAZE INTERIOR</v>
      </c>
      <c r="BL544" t="str">
        <f>IF(I544=11,VLOOKUP(Y544,[2]Sheet1!$C:$N,12,0),IF(I544=13,VLOOKUP(Y544,[3]Sheet1!$C:$N,12,0),IF(I544=15,VLOOKUP(Y544,[4]Sheet1!$C:$N,12,0),"Unknown")))</f>
        <v>ASOF : STAIN &amp; GLAZE</v>
      </c>
      <c r="BM544" t="str">
        <f>VLOOKUP(W544,[1]branch!$A:$B,2,0)</f>
        <v>INDUSTRY</v>
      </c>
    </row>
    <row r="545" spans="1:65" x14ac:dyDescent="0.35">
      <c r="A545" s="10">
        <v>45996</v>
      </c>
      <c r="B545" s="9" t="s">
        <v>1517</v>
      </c>
      <c r="C545" s="9" t="s">
        <v>64</v>
      </c>
      <c r="D545" s="9" t="s">
        <v>92</v>
      </c>
      <c r="E545" s="11">
        <v>7</v>
      </c>
      <c r="F545" s="9" t="s">
        <v>93</v>
      </c>
      <c r="G545" s="9" t="s">
        <v>65</v>
      </c>
      <c r="H545" s="9" t="s">
        <v>66</v>
      </c>
      <c r="I545" s="9">
        <v>11</v>
      </c>
      <c r="J545" s="9" t="s">
        <v>296</v>
      </c>
      <c r="K545" s="9" t="s">
        <v>296</v>
      </c>
      <c r="L545" s="9" t="s">
        <v>296</v>
      </c>
      <c r="M545" s="9" t="s">
        <v>297</v>
      </c>
      <c r="N545" s="9" t="s">
        <v>447</v>
      </c>
      <c r="O545" s="9" t="s">
        <v>97</v>
      </c>
      <c r="P545" s="9" t="s">
        <v>67</v>
      </c>
      <c r="Q545" s="9" t="s">
        <v>98</v>
      </c>
      <c r="R545" s="9" t="s">
        <v>780</v>
      </c>
      <c r="S545" s="9" t="s">
        <v>297</v>
      </c>
      <c r="T545" s="9" t="s">
        <v>781</v>
      </c>
      <c r="U545" s="9" t="s">
        <v>67</v>
      </c>
      <c r="V545" s="9" t="s">
        <v>194</v>
      </c>
      <c r="W545" s="9" t="s">
        <v>195</v>
      </c>
      <c r="X545" s="11">
        <v>50</v>
      </c>
      <c r="Y545" s="9" t="s">
        <v>1493</v>
      </c>
      <c r="Z545" s="9" t="s">
        <v>68</v>
      </c>
      <c r="AA545" s="9" t="s">
        <v>1494</v>
      </c>
      <c r="AB545" s="9" t="s">
        <v>67</v>
      </c>
      <c r="AC545" s="9" t="s">
        <v>191</v>
      </c>
      <c r="AD545" s="11">
        <v>4</v>
      </c>
      <c r="AE545" s="9" t="s">
        <v>70</v>
      </c>
      <c r="AF545" s="9" t="s">
        <v>71</v>
      </c>
      <c r="AG545" s="13">
        <v>1</v>
      </c>
      <c r="AH545" s="9" t="s">
        <v>92</v>
      </c>
      <c r="AI545" s="13">
        <v>1502200</v>
      </c>
      <c r="AJ545" s="13">
        <v>6008800</v>
      </c>
      <c r="AK545" s="11">
        <v>0</v>
      </c>
      <c r="AL545" s="11">
        <v>0</v>
      </c>
      <c r="AM545" s="11">
        <v>0</v>
      </c>
      <c r="AN545" s="9" t="s">
        <v>67</v>
      </c>
      <c r="AO545" s="11">
        <v>6008800</v>
      </c>
      <c r="AP545" s="13">
        <v>480704</v>
      </c>
      <c r="AQ545" s="13">
        <v>6489504</v>
      </c>
      <c r="AR545" s="11">
        <v>80</v>
      </c>
      <c r="AS545" s="9" t="s">
        <v>72</v>
      </c>
      <c r="AT545" s="11">
        <v>80</v>
      </c>
      <c r="AU545" s="9" t="s">
        <v>73</v>
      </c>
      <c r="AV545" s="9" t="s">
        <v>67</v>
      </c>
      <c r="AW545" s="9" t="s">
        <v>1103</v>
      </c>
      <c r="AX545" s="10">
        <v>45992</v>
      </c>
      <c r="AY545" s="9" t="s">
        <v>1518</v>
      </c>
      <c r="AZ545" s="9" t="s">
        <v>67</v>
      </c>
      <c r="BA545" s="9" t="s">
        <v>67</v>
      </c>
      <c r="BB545" s="12">
        <v>80</v>
      </c>
      <c r="BC545" s="9" t="s">
        <v>74</v>
      </c>
      <c r="BD545" s="9" t="s">
        <v>104</v>
      </c>
      <c r="BE545" s="9" t="s">
        <v>75</v>
      </c>
      <c r="BF545" s="11">
        <v>0</v>
      </c>
      <c r="BG545">
        <f t="shared" si="18"/>
        <v>12</v>
      </c>
      <c r="BH545" t="str">
        <f>VLOOKUP(BG545,[1]month!$A:$B,2,0)</f>
        <v>Desember</v>
      </c>
      <c r="BI545">
        <f t="shared" si="19"/>
        <v>2025</v>
      </c>
      <c r="BJ545" t="str">
        <f>VLOOKUP(I545,[1]Dist!$A:$B,2,0)</f>
        <v>Industry</v>
      </c>
      <c r="BK545" t="str">
        <f>IF(I545=11,VLOOKUP(Y545,[2]Sheet1!$C:$N,10,0),IF(I545=13,VLOOKUP(Y545,[3]Sheet1!$C:$N,10,0),IF(I545=15,VLOOKUP(Y545,[4]Sheet1!$C:$N,10,0),"Unknown")))</f>
        <v>NC</v>
      </c>
      <c r="BL545" t="str">
        <f>IF(I545=11,VLOOKUP(Y545,[2]Sheet1!$C:$N,12,0),IF(I545=13,VLOOKUP(Y545,[3]Sheet1!$C:$N,12,0),IF(I545=15,VLOOKUP(Y545,[4]Sheet1!$C:$N,12,0),"Unknown")))</f>
        <v>NC SYSTEM</v>
      </c>
      <c r="BM545" t="str">
        <f>VLOOKUP(W545,[1]branch!$A:$B,2,0)</f>
        <v>INDUSTRY</v>
      </c>
    </row>
    <row r="546" spans="1:65" x14ac:dyDescent="0.35">
      <c r="A546" s="10">
        <v>45996</v>
      </c>
      <c r="B546" s="9" t="s">
        <v>1519</v>
      </c>
      <c r="C546" s="9" t="s">
        <v>64</v>
      </c>
      <c r="D546" s="9" t="s">
        <v>92</v>
      </c>
      <c r="E546" s="11">
        <v>45</v>
      </c>
      <c r="F546" s="9" t="s">
        <v>93</v>
      </c>
      <c r="G546" s="9" t="s">
        <v>65</v>
      </c>
      <c r="H546" s="9" t="s">
        <v>66</v>
      </c>
      <c r="I546" s="9">
        <v>13</v>
      </c>
      <c r="J546" s="9" t="s">
        <v>1520</v>
      </c>
      <c r="K546" s="9" t="s">
        <v>1520</v>
      </c>
      <c r="L546" s="9" t="s">
        <v>1520</v>
      </c>
      <c r="M546" s="9" t="s">
        <v>1521</v>
      </c>
      <c r="N546" s="9" t="s">
        <v>1522</v>
      </c>
      <c r="O546" s="9" t="s">
        <v>150</v>
      </c>
      <c r="P546" s="9" t="s">
        <v>67</v>
      </c>
      <c r="Q546" s="9" t="s">
        <v>98</v>
      </c>
      <c r="R546" s="9" t="s">
        <v>1520</v>
      </c>
      <c r="S546" s="9" t="s">
        <v>1521</v>
      </c>
      <c r="T546" s="9" t="s">
        <v>1523</v>
      </c>
      <c r="U546" s="9" t="s">
        <v>67</v>
      </c>
      <c r="V546" s="9" t="s">
        <v>832</v>
      </c>
      <c r="W546" s="9" t="s">
        <v>833</v>
      </c>
      <c r="X546" s="11">
        <v>10</v>
      </c>
      <c r="Y546" s="9" t="s">
        <v>342</v>
      </c>
      <c r="Z546" s="9" t="s">
        <v>68</v>
      </c>
      <c r="AA546" s="9" t="s">
        <v>343</v>
      </c>
      <c r="AB546" s="9" t="s">
        <v>67</v>
      </c>
      <c r="AC546" s="9" t="s">
        <v>158</v>
      </c>
      <c r="AD546" s="11">
        <v>240</v>
      </c>
      <c r="AE546" s="9" t="s">
        <v>156</v>
      </c>
      <c r="AF546" s="9" t="s">
        <v>71</v>
      </c>
      <c r="AG546" s="13">
        <v>1</v>
      </c>
      <c r="AH546" s="9" t="s">
        <v>92</v>
      </c>
      <c r="AI546" s="13">
        <v>141819</v>
      </c>
      <c r="AJ546" s="13">
        <v>34036560</v>
      </c>
      <c r="AK546" s="11">
        <v>5684106</v>
      </c>
      <c r="AL546" s="11">
        <v>0</v>
      </c>
      <c r="AM546" s="11">
        <v>0</v>
      </c>
      <c r="AN546" s="9" t="s">
        <v>615</v>
      </c>
      <c r="AO546" s="11">
        <v>28352454</v>
      </c>
      <c r="AP546" s="13">
        <v>2268196</v>
      </c>
      <c r="AQ546" s="13">
        <v>30620650</v>
      </c>
      <c r="AR546" s="11">
        <v>240</v>
      </c>
      <c r="AS546" s="9" t="s">
        <v>72</v>
      </c>
      <c r="AT546" s="11">
        <v>144</v>
      </c>
      <c r="AU546" s="9" t="s">
        <v>73</v>
      </c>
      <c r="AV546" s="9" t="s">
        <v>67</v>
      </c>
      <c r="AW546" s="9" t="s">
        <v>1524</v>
      </c>
      <c r="AX546" s="10">
        <v>45995</v>
      </c>
      <c r="AY546" s="9" t="s">
        <v>1525</v>
      </c>
      <c r="AZ546" s="9" t="s">
        <v>67</v>
      </c>
      <c r="BA546" s="9" t="s">
        <v>67</v>
      </c>
      <c r="BB546" s="12">
        <v>240</v>
      </c>
      <c r="BC546" s="9" t="s">
        <v>74</v>
      </c>
      <c r="BD546" s="9" t="s">
        <v>104</v>
      </c>
      <c r="BE546" s="9" t="s">
        <v>75</v>
      </c>
      <c r="BF546" s="11">
        <v>0</v>
      </c>
      <c r="BG546">
        <f t="shared" si="18"/>
        <v>12</v>
      </c>
      <c r="BH546" t="str">
        <f>VLOOKUP(BG546,[1]month!$A:$B,2,0)</f>
        <v>Desember</v>
      </c>
      <c r="BI546">
        <f t="shared" si="19"/>
        <v>2025</v>
      </c>
      <c r="BJ546" t="str">
        <f>VLOOKUP(I546,[1]Dist!$A:$B,2,0)</f>
        <v>Retail</v>
      </c>
      <c r="BK546" t="str">
        <f>IF(I546=11,VLOOKUP(Y546,[2]Sheet1!$C:$N,10,0),IF(I546=13,VLOOKUP(Y546,[3]Sheet1!$C:$N,10,0),IF(I546=15,VLOOKUP(Y546,[4]Sheet1!$C:$N,10,0),"Unknown")))</f>
        <v>METALKOTE</v>
      </c>
      <c r="BL546" t="str">
        <f>IF(I546=11,VLOOKUP(Y546,[2]Sheet1!$C:$N,12,0),IF(I546=13,VLOOKUP(Y546,[3]Sheet1!$C:$N,12,0),IF(I546=15,VLOOKUP(Y546,[4]Sheet1!$C:$N,12,0),"Unknown")))</f>
        <v>METALKOTE-EPOXY SYS</v>
      </c>
      <c r="BM546" t="str">
        <f>VLOOKUP(W546,[1]branch!$A:$B,2,0)</f>
        <v>HO CHI MINH</v>
      </c>
    </row>
    <row r="547" spans="1:65" x14ac:dyDescent="0.35">
      <c r="A547" s="10">
        <v>45996</v>
      </c>
      <c r="B547" s="9" t="s">
        <v>1519</v>
      </c>
      <c r="C547" s="9" t="s">
        <v>64</v>
      </c>
      <c r="D547" s="9" t="s">
        <v>92</v>
      </c>
      <c r="E547" s="11">
        <v>45</v>
      </c>
      <c r="F547" s="9" t="s">
        <v>93</v>
      </c>
      <c r="G547" s="9" t="s">
        <v>65</v>
      </c>
      <c r="H547" s="9" t="s">
        <v>66</v>
      </c>
      <c r="I547" s="9">
        <v>13</v>
      </c>
      <c r="J547" s="9" t="s">
        <v>1520</v>
      </c>
      <c r="K547" s="9" t="s">
        <v>1520</v>
      </c>
      <c r="L547" s="9" t="s">
        <v>1520</v>
      </c>
      <c r="M547" s="9" t="s">
        <v>1521</v>
      </c>
      <c r="N547" s="9" t="s">
        <v>1522</v>
      </c>
      <c r="O547" s="9" t="s">
        <v>150</v>
      </c>
      <c r="P547" s="9" t="s">
        <v>67</v>
      </c>
      <c r="Q547" s="9" t="s">
        <v>98</v>
      </c>
      <c r="R547" s="9" t="s">
        <v>1520</v>
      </c>
      <c r="S547" s="9" t="s">
        <v>1521</v>
      </c>
      <c r="T547" s="9" t="s">
        <v>1523</v>
      </c>
      <c r="U547" s="9" t="s">
        <v>67</v>
      </c>
      <c r="V547" s="9" t="s">
        <v>832</v>
      </c>
      <c r="W547" s="9" t="s">
        <v>833</v>
      </c>
      <c r="X547" s="11">
        <v>20</v>
      </c>
      <c r="Y547" s="9" t="s">
        <v>1526</v>
      </c>
      <c r="Z547" s="9" t="s">
        <v>68</v>
      </c>
      <c r="AA547" s="9" t="s">
        <v>1527</v>
      </c>
      <c r="AB547" s="9" t="s">
        <v>67</v>
      </c>
      <c r="AC547" s="9" t="s">
        <v>158</v>
      </c>
      <c r="AD547" s="11">
        <v>4</v>
      </c>
      <c r="AE547" s="9" t="s">
        <v>156</v>
      </c>
      <c r="AF547" s="9" t="s">
        <v>71</v>
      </c>
      <c r="AG547" s="13">
        <v>1</v>
      </c>
      <c r="AH547" s="9" t="s">
        <v>92</v>
      </c>
      <c r="AI547" s="13">
        <v>635455</v>
      </c>
      <c r="AJ547" s="13">
        <v>2541820</v>
      </c>
      <c r="AK547" s="11">
        <v>424484</v>
      </c>
      <c r="AL547" s="11">
        <v>0</v>
      </c>
      <c r="AM547" s="11">
        <v>0</v>
      </c>
      <c r="AN547" s="9" t="s">
        <v>615</v>
      </c>
      <c r="AO547" s="11">
        <v>2117336</v>
      </c>
      <c r="AP547" s="13">
        <v>169387</v>
      </c>
      <c r="AQ547" s="13">
        <v>2286723</v>
      </c>
      <c r="AR547" s="11">
        <v>20</v>
      </c>
      <c r="AS547" s="9" t="s">
        <v>72</v>
      </c>
      <c r="AT547" s="12">
        <v>11.96</v>
      </c>
      <c r="AU547" s="9" t="s">
        <v>73</v>
      </c>
      <c r="AV547" s="9" t="s">
        <v>67</v>
      </c>
      <c r="AW547" s="9" t="s">
        <v>1524</v>
      </c>
      <c r="AX547" s="10">
        <v>45995</v>
      </c>
      <c r="AY547" s="9" t="s">
        <v>1525</v>
      </c>
      <c r="AZ547" s="9" t="s">
        <v>67</v>
      </c>
      <c r="BA547" s="9" t="s">
        <v>67</v>
      </c>
      <c r="BB547" s="12">
        <v>20</v>
      </c>
      <c r="BC547" s="9" t="s">
        <v>74</v>
      </c>
      <c r="BD547" s="9" t="s">
        <v>104</v>
      </c>
      <c r="BE547" s="9" t="s">
        <v>75</v>
      </c>
      <c r="BF547" s="11">
        <v>0</v>
      </c>
      <c r="BG547">
        <f t="shared" si="18"/>
        <v>12</v>
      </c>
      <c r="BH547" t="str">
        <f>VLOOKUP(BG547,[1]month!$A:$B,2,0)</f>
        <v>Desember</v>
      </c>
      <c r="BI547">
        <f t="shared" si="19"/>
        <v>2025</v>
      </c>
      <c r="BJ547" t="str">
        <f>VLOOKUP(I547,[1]Dist!$A:$B,2,0)</f>
        <v>Retail</v>
      </c>
      <c r="BK547" t="str">
        <f>IF(I547=11,VLOOKUP(Y547,[2]Sheet1!$C:$N,10,0),IF(I547=13,VLOOKUP(Y547,[3]Sheet1!$C:$N,10,0),IF(I547=15,VLOOKUP(Y547,[4]Sheet1!$C:$N,10,0),"Unknown")))</f>
        <v>METALKOTE</v>
      </c>
      <c r="BL547" t="str">
        <f>IF(I547=11,VLOOKUP(Y547,[2]Sheet1!$C:$N,12,0),IF(I547=13,VLOOKUP(Y547,[3]Sheet1!$C:$N,12,0),IF(I547=15,VLOOKUP(Y547,[4]Sheet1!$C:$N,12,0),"Unknown")))</f>
        <v>METALKOTE-EPOXY SYS</v>
      </c>
      <c r="BM547" t="str">
        <f>VLOOKUP(W547,[1]branch!$A:$B,2,0)</f>
        <v>HO CHI MINH</v>
      </c>
    </row>
    <row r="548" spans="1:65" x14ac:dyDescent="0.35">
      <c r="A548" s="10">
        <v>45996</v>
      </c>
      <c r="B548" s="9" t="s">
        <v>1519</v>
      </c>
      <c r="C548" s="9" t="s">
        <v>64</v>
      </c>
      <c r="D548" s="9" t="s">
        <v>92</v>
      </c>
      <c r="E548" s="11">
        <v>45</v>
      </c>
      <c r="F548" s="9" t="s">
        <v>93</v>
      </c>
      <c r="G548" s="9" t="s">
        <v>65</v>
      </c>
      <c r="H548" s="9" t="s">
        <v>66</v>
      </c>
      <c r="I548" s="9">
        <v>13</v>
      </c>
      <c r="J548" s="9" t="s">
        <v>1520</v>
      </c>
      <c r="K548" s="9" t="s">
        <v>1520</v>
      </c>
      <c r="L548" s="9" t="s">
        <v>1520</v>
      </c>
      <c r="M548" s="9" t="s">
        <v>1521</v>
      </c>
      <c r="N548" s="9" t="s">
        <v>1522</v>
      </c>
      <c r="O548" s="9" t="s">
        <v>150</v>
      </c>
      <c r="P548" s="9" t="s">
        <v>67</v>
      </c>
      <c r="Q548" s="9" t="s">
        <v>98</v>
      </c>
      <c r="R548" s="9" t="s">
        <v>1520</v>
      </c>
      <c r="S548" s="9" t="s">
        <v>1521</v>
      </c>
      <c r="T548" s="9" t="s">
        <v>1523</v>
      </c>
      <c r="U548" s="9" t="s">
        <v>67</v>
      </c>
      <c r="V548" s="9" t="s">
        <v>832</v>
      </c>
      <c r="W548" s="9" t="s">
        <v>833</v>
      </c>
      <c r="X548" s="11">
        <v>30</v>
      </c>
      <c r="Y548" s="9" t="s">
        <v>702</v>
      </c>
      <c r="Z548" s="9" t="s">
        <v>76</v>
      </c>
      <c r="AA548" s="9" t="s">
        <v>703</v>
      </c>
      <c r="AB548" s="9" t="s">
        <v>67</v>
      </c>
      <c r="AC548" s="9" t="s">
        <v>704</v>
      </c>
      <c r="AD548" s="11">
        <v>8</v>
      </c>
      <c r="AE548" s="9" t="s">
        <v>70</v>
      </c>
      <c r="AF548" s="9" t="s">
        <v>71</v>
      </c>
      <c r="AG548" s="13">
        <v>1</v>
      </c>
      <c r="AH548" s="9" t="s">
        <v>92</v>
      </c>
      <c r="AI548" s="13">
        <v>134545</v>
      </c>
      <c r="AJ548" s="13">
        <v>1076360</v>
      </c>
      <c r="AK548" s="11">
        <v>179752</v>
      </c>
      <c r="AL548" s="11">
        <v>0</v>
      </c>
      <c r="AM548" s="11">
        <v>0</v>
      </c>
      <c r="AN548" s="9" t="s">
        <v>615</v>
      </c>
      <c r="AO548" s="11">
        <v>896608</v>
      </c>
      <c r="AP548" s="13">
        <v>71729</v>
      </c>
      <c r="AQ548" s="13">
        <v>968337</v>
      </c>
      <c r="AR548" s="12">
        <v>7.3680000000000003</v>
      </c>
      <c r="AS548" s="9" t="s">
        <v>72</v>
      </c>
      <c r="AT548" s="12">
        <v>7.2</v>
      </c>
      <c r="AU548" s="9" t="s">
        <v>73</v>
      </c>
      <c r="AV548" s="9" t="s">
        <v>67</v>
      </c>
      <c r="AW548" s="9" t="s">
        <v>1524</v>
      </c>
      <c r="AX548" s="10">
        <v>45995</v>
      </c>
      <c r="AY548" s="9" t="s">
        <v>1525</v>
      </c>
      <c r="AZ548" s="9" t="s">
        <v>67</v>
      </c>
      <c r="BA548" s="9" t="s">
        <v>67</v>
      </c>
      <c r="BB548" s="12">
        <v>7.2</v>
      </c>
      <c r="BC548" s="9" t="s">
        <v>74</v>
      </c>
      <c r="BD548" s="9" t="s">
        <v>104</v>
      </c>
      <c r="BE548" s="9" t="s">
        <v>75</v>
      </c>
      <c r="BF548" s="11">
        <v>0</v>
      </c>
      <c r="BG548">
        <f t="shared" si="18"/>
        <v>12</v>
      </c>
      <c r="BH548" t="str">
        <f>VLOOKUP(BG548,[1]month!$A:$B,2,0)</f>
        <v>Desember</v>
      </c>
      <c r="BI548">
        <f t="shared" si="19"/>
        <v>2025</v>
      </c>
      <c r="BJ548" t="str">
        <f>VLOOKUP(I548,[1]Dist!$A:$B,2,0)</f>
        <v>Retail</v>
      </c>
      <c r="BK548" t="str">
        <f>IF(I548=11,VLOOKUP(Y548,[2]Sheet1!$C:$N,10,0),IF(I548=13,VLOOKUP(Y548,[3]Sheet1!$C:$N,10,0),IF(I548=15,VLOOKUP(Y548,[4]Sheet1!$C:$N,10,0),"Unknown")))</f>
        <v>GO FAST</v>
      </c>
      <c r="BL548" t="str">
        <f>IF(I548=11,VLOOKUP(Y548,[2]Sheet1!$C:$N,12,0),IF(I548=13,VLOOKUP(Y548,[3]Sheet1!$C:$N,12,0),IF(I548=15,VLOOKUP(Y548,[4]Sheet1!$C:$N,12,0),"Unknown")))</f>
        <v>GO FAST BASE</v>
      </c>
      <c r="BM548" t="str">
        <f>VLOOKUP(W548,[1]branch!$A:$B,2,0)</f>
        <v>HO CHI MINH</v>
      </c>
    </row>
    <row r="549" spans="1:65" x14ac:dyDescent="0.35">
      <c r="A549" s="10">
        <v>45996</v>
      </c>
      <c r="B549" s="9" t="s">
        <v>1528</v>
      </c>
      <c r="C549" s="9" t="s">
        <v>64</v>
      </c>
      <c r="D549" s="9" t="s">
        <v>92</v>
      </c>
      <c r="E549" s="11">
        <v>60</v>
      </c>
      <c r="F549" s="9" t="s">
        <v>93</v>
      </c>
      <c r="G549" s="9" t="s">
        <v>65</v>
      </c>
      <c r="H549" s="9" t="s">
        <v>66</v>
      </c>
      <c r="I549" s="9">
        <v>13</v>
      </c>
      <c r="J549" s="9" t="s">
        <v>309</v>
      </c>
      <c r="K549" s="9" t="s">
        <v>309</v>
      </c>
      <c r="L549" s="9" t="s">
        <v>309</v>
      </c>
      <c r="M549" s="9" t="s">
        <v>310</v>
      </c>
      <c r="N549" s="9" t="s">
        <v>869</v>
      </c>
      <c r="O549" s="9" t="s">
        <v>150</v>
      </c>
      <c r="P549" s="9" t="s">
        <v>67</v>
      </c>
      <c r="Q549" s="9" t="s">
        <v>98</v>
      </c>
      <c r="R549" s="9" t="s">
        <v>309</v>
      </c>
      <c r="S549" s="9" t="s">
        <v>310</v>
      </c>
      <c r="T549" s="9" t="s">
        <v>798</v>
      </c>
      <c r="U549" s="9" t="s">
        <v>67</v>
      </c>
      <c r="V549" s="9" t="s">
        <v>311</v>
      </c>
      <c r="W549" s="9" t="s">
        <v>312</v>
      </c>
      <c r="X549" s="11">
        <v>10</v>
      </c>
      <c r="Y549" s="9" t="s">
        <v>1529</v>
      </c>
      <c r="Z549" s="9" t="s">
        <v>68</v>
      </c>
      <c r="AA549" s="9" t="s">
        <v>1530</v>
      </c>
      <c r="AB549" s="9" t="s">
        <v>67</v>
      </c>
      <c r="AC549" s="9" t="s">
        <v>1531</v>
      </c>
      <c r="AD549" s="11">
        <v>24</v>
      </c>
      <c r="AE549" s="9" t="s">
        <v>70</v>
      </c>
      <c r="AF549" s="9" t="s">
        <v>71</v>
      </c>
      <c r="AG549" s="13">
        <v>1</v>
      </c>
      <c r="AH549" s="9" t="s">
        <v>92</v>
      </c>
      <c r="AI549" s="13">
        <v>120000</v>
      </c>
      <c r="AJ549" s="13">
        <v>2880000</v>
      </c>
      <c r="AK549" s="11">
        <v>432000</v>
      </c>
      <c r="AL549" s="11">
        <v>0</v>
      </c>
      <c r="AM549" s="11">
        <v>0</v>
      </c>
      <c r="AN549" s="9" t="s">
        <v>331</v>
      </c>
      <c r="AO549" s="11">
        <v>2448000</v>
      </c>
      <c r="AP549" s="13">
        <v>195840</v>
      </c>
      <c r="AQ549" s="13">
        <v>2643840</v>
      </c>
      <c r="AR549" s="11">
        <v>24</v>
      </c>
      <c r="AS549" s="9" t="s">
        <v>72</v>
      </c>
      <c r="AT549" s="12">
        <v>22.08</v>
      </c>
      <c r="AU549" s="9" t="s">
        <v>73</v>
      </c>
      <c r="AV549" s="9" t="s">
        <v>67</v>
      </c>
      <c r="AW549" s="9" t="s">
        <v>1532</v>
      </c>
      <c r="AX549" s="10">
        <v>45995</v>
      </c>
      <c r="AY549" s="9" t="s">
        <v>1533</v>
      </c>
      <c r="AZ549" s="9" t="s">
        <v>67</v>
      </c>
      <c r="BA549" s="9" t="s">
        <v>67</v>
      </c>
      <c r="BB549" s="12">
        <v>24</v>
      </c>
      <c r="BC549" s="9" t="s">
        <v>74</v>
      </c>
      <c r="BD549" s="9" t="s">
        <v>104</v>
      </c>
      <c r="BE549" s="9" t="s">
        <v>75</v>
      </c>
      <c r="BF549" s="11">
        <v>0</v>
      </c>
      <c r="BG549">
        <f t="shared" si="18"/>
        <v>12</v>
      </c>
      <c r="BH549" t="str">
        <f>VLOOKUP(BG549,[1]month!$A:$B,2,0)</f>
        <v>Desember</v>
      </c>
      <c r="BI549">
        <f t="shared" si="19"/>
        <v>2025</v>
      </c>
      <c r="BJ549" t="str">
        <f>VLOOKUP(I549,[1]Dist!$A:$B,2,0)</f>
        <v>Retail</v>
      </c>
      <c r="BK549" t="str">
        <f>IF(I549=11,VLOOKUP(Y549,[2]Sheet1!$C:$N,10,0),IF(I549=13,VLOOKUP(Y549,[3]Sheet1!$C:$N,10,0),IF(I549=15,VLOOKUP(Y549,[4]Sheet1!$C:$N,10,0),"Unknown")))</f>
        <v>PU EASY TO USE</v>
      </c>
      <c r="BL549" t="str">
        <f>IF(I549=11,VLOOKUP(Y549,[2]Sheet1!$C:$N,12,0),IF(I549=13,VLOOKUP(Y549,[3]Sheet1!$C:$N,12,0),IF(I549=15,VLOOKUP(Y549,[4]Sheet1!$C:$N,12,0),"Unknown")))</f>
        <v>PROPAN EASY TO USE PU</v>
      </c>
      <c r="BM549" t="str">
        <f>VLOOKUP(W549,[1]branch!$A:$B,2,0)</f>
        <v>DANANG</v>
      </c>
    </row>
    <row r="550" spans="1:65" x14ac:dyDescent="0.35">
      <c r="A550" s="10">
        <v>45996</v>
      </c>
      <c r="B550" s="9" t="s">
        <v>1528</v>
      </c>
      <c r="C550" s="9" t="s">
        <v>64</v>
      </c>
      <c r="D550" s="9" t="s">
        <v>92</v>
      </c>
      <c r="E550" s="11">
        <v>60</v>
      </c>
      <c r="F550" s="9" t="s">
        <v>93</v>
      </c>
      <c r="G550" s="9" t="s">
        <v>65</v>
      </c>
      <c r="H550" s="9" t="s">
        <v>66</v>
      </c>
      <c r="I550" s="9">
        <v>13</v>
      </c>
      <c r="J550" s="9" t="s">
        <v>309</v>
      </c>
      <c r="K550" s="9" t="s">
        <v>309</v>
      </c>
      <c r="L550" s="9" t="s">
        <v>309</v>
      </c>
      <c r="M550" s="9" t="s">
        <v>310</v>
      </c>
      <c r="N550" s="9" t="s">
        <v>869</v>
      </c>
      <c r="O550" s="9" t="s">
        <v>150</v>
      </c>
      <c r="P550" s="9" t="s">
        <v>67</v>
      </c>
      <c r="Q550" s="9" t="s">
        <v>98</v>
      </c>
      <c r="R550" s="9" t="s">
        <v>309</v>
      </c>
      <c r="S550" s="9" t="s">
        <v>310</v>
      </c>
      <c r="T550" s="9" t="s">
        <v>798</v>
      </c>
      <c r="U550" s="9" t="s">
        <v>67</v>
      </c>
      <c r="V550" s="9" t="s">
        <v>311</v>
      </c>
      <c r="W550" s="9" t="s">
        <v>312</v>
      </c>
      <c r="X550" s="11">
        <v>30</v>
      </c>
      <c r="Y550" s="9" t="s">
        <v>159</v>
      </c>
      <c r="Z550" s="9" t="s">
        <v>68</v>
      </c>
      <c r="AA550" s="9" t="s">
        <v>160</v>
      </c>
      <c r="AB550" s="9" t="s">
        <v>67</v>
      </c>
      <c r="AC550" s="9" t="s">
        <v>161</v>
      </c>
      <c r="AD550" s="11">
        <v>10</v>
      </c>
      <c r="AE550" s="9" t="s">
        <v>70</v>
      </c>
      <c r="AF550" s="9" t="s">
        <v>71</v>
      </c>
      <c r="AG550" s="13">
        <v>1</v>
      </c>
      <c r="AH550" s="9" t="s">
        <v>92</v>
      </c>
      <c r="AI550" s="13">
        <v>944545</v>
      </c>
      <c r="AJ550" s="13">
        <v>9445450</v>
      </c>
      <c r="AK550" s="11">
        <v>0</v>
      </c>
      <c r="AL550" s="11">
        <v>0</v>
      </c>
      <c r="AM550" s="11">
        <v>0</v>
      </c>
      <c r="AN550" s="9" t="s">
        <v>67</v>
      </c>
      <c r="AO550" s="11">
        <v>9445450</v>
      </c>
      <c r="AP550" s="13">
        <v>755636</v>
      </c>
      <c r="AQ550" s="13">
        <v>10201086</v>
      </c>
      <c r="AR550" s="11">
        <v>176</v>
      </c>
      <c r="AS550" s="9" t="s">
        <v>72</v>
      </c>
      <c r="AT550" s="11">
        <v>200</v>
      </c>
      <c r="AU550" s="9" t="s">
        <v>73</v>
      </c>
      <c r="AV550" s="9" t="s">
        <v>67</v>
      </c>
      <c r="AW550" s="9" t="s">
        <v>1532</v>
      </c>
      <c r="AX550" s="10">
        <v>45995</v>
      </c>
      <c r="AY550" s="9" t="s">
        <v>1533</v>
      </c>
      <c r="AZ550" s="9" t="s">
        <v>67</v>
      </c>
      <c r="BA550" s="9" t="s">
        <v>67</v>
      </c>
      <c r="BB550" s="12">
        <v>200</v>
      </c>
      <c r="BC550" s="9" t="s">
        <v>74</v>
      </c>
      <c r="BD550" s="9" t="s">
        <v>104</v>
      </c>
      <c r="BE550" s="9" t="s">
        <v>75</v>
      </c>
      <c r="BF550" s="11">
        <v>0</v>
      </c>
      <c r="BG550">
        <f t="shared" si="18"/>
        <v>12</v>
      </c>
      <c r="BH550" t="str">
        <f>VLOOKUP(BG550,[1]month!$A:$B,2,0)</f>
        <v>Desember</v>
      </c>
      <c r="BI550">
        <f t="shared" si="19"/>
        <v>2025</v>
      </c>
      <c r="BJ550" t="str">
        <f>VLOOKUP(I550,[1]Dist!$A:$B,2,0)</f>
        <v>Retail</v>
      </c>
      <c r="BK550" t="str">
        <f>IF(I550=11,VLOOKUP(Y550,[2]Sheet1!$C:$N,10,0),IF(I550=13,VLOOKUP(Y550,[3]Sheet1!$C:$N,10,0),IF(I550=15,VLOOKUP(Y550,[4]Sheet1!$C:$N,10,0),"Unknown")))</f>
        <v>THINNER PU</v>
      </c>
      <c r="BL550" t="str">
        <f>IF(I550=11,VLOOKUP(Y550,[2]Sheet1!$C:$N,12,0),IF(I550=13,VLOOKUP(Y550,[3]Sheet1!$C:$N,12,0),IF(I550=15,VLOOKUP(Y550,[4]Sheet1!$C:$N,12,0),"Unknown")))</f>
        <v>THINNER PU R</v>
      </c>
      <c r="BM550" t="str">
        <f>VLOOKUP(W550,[1]branch!$A:$B,2,0)</f>
        <v>DANANG</v>
      </c>
    </row>
    <row r="551" spans="1:65" x14ac:dyDescent="0.35">
      <c r="A551" s="10">
        <v>45996</v>
      </c>
      <c r="B551" s="9" t="s">
        <v>1534</v>
      </c>
      <c r="C551" s="9" t="s">
        <v>64</v>
      </c>
      <c r="D551" s="9" t="s">
        <v>92</v>
      </c>
      <c r="E551" s="11">
        <v>60</v>
      </c>
      <c r="F551" s="9" t="s">
        <v>93</v>
      </c>
      <c r="G551" s="9" t="s">
        <v>65</v>
      </c>
      <c r="H551" s="9" t="s">
        <v>66</v>
      </c>
      <c r="I551" s="9">
        <v>13</v>
      </c>
      <c r="J551" s="9" t="s">
        <v>309</v>
      </c>
      <c r="K551" s="9" t="s">
        <v>309</v>
      </c>
      <c r="L551" s="9" t="s">
        <v>309</v>
      </c>
      <c r="M551" s="9" t="s">
        <v>310</v>
      </c>
      <c r="N551" s="9" t="s">
        <v>869</v>
      </c>
      <c r="O551" s="9" t="s">
        <v>150</v>
      </c>
      <c r="P551" s="9" t="s">
        <v>67</v>
      </c>
      <c r="Q551" s="9" t="s">
        <v>98</v>
      </c>
      <c r="R551" s="9" t="s">
        <v>309</v>
      </c>
      <c r="S551" s="9" t="s">
        <v>310</v>
      </c>
      <c r="T551" s="9" t="s">
        <v>798</v>
      </c>
      <c r="U551" s="9" t="s">
        <v>67</v>
      </c>
      <c r="V551" s="9" t="s">
        <v>311</v>
      </c>
      <c r="W551" s="9" t="s">
        <v>312</v>
      </c>
      <c r="X551" s="11">
        <v>10</v>
      </c>
      <c r="Y551" s="9" t="s">
        <v>257</v>
      </c>
      <c r="Z551" s="9" t="s">
        <v>68</v>
      </c>
      <c r="AA551" s="9" t="s">
        <v>258</v>
      </c>
      <c r="AB551" s="9" t="s">
        <v>67</v>
      </c>
      <c r="AC551" s="9" t="s">
        <v>259</v>
      </c>
      <c r="AD551" s="11">
        <v>3</v>
      </c>
      <c r="AE551" s="9" t="s">
        <v>70</v>
      </c>
      <c r="AF551" s="9" t="s">
        <v>71</v>
      </c>
      <c r="AG551" s="13">
        <v>1</v>
      </c>
      <c r="AH551" s="9" t="s">
        <v>92</v>
      </c>
      <c r="AI551" s="13">
        <v>2280000</v>
      </c>
      <c r="AJ551" s="13">
        <v>6840000</v>
      </c>
      <c r="AK551" s="11">
        <v>0</v>
      </c>
      <c r="AL551" s="11">
        <v>0</v>
      </c>
      <c r="AM551" s="11">
        <v>0</v>
      </c>
      <c r="AN551" s="9" t="s">
        <v>67</v>
      </c>
      <c r="AO551" s="11">
        <v>6840000</v>
      </c>
      <c r="AP551" s="13">
        <v>547200</v>
      </c>
      <c r="AQ551" s="13">
        <v>7387200</v>
      </c>
      <c r="AR551" s="11">
        <v>60</v>
      </c>
      <c r="AS551" s="9" t="s">
        <v>72</v>
      </c>
      <c r="AT551" s="12">
        <v>59.43</v>
      </c>
      <c r="AU551" s="9" t="s">
        <v>73</v>
      </c>
      <c r="AV551" s="9" t="s">
        <v>67</v>
      </c>
      <c r="AW551" s="9" t="s">
        <v>1535</v>
      </c>
      <c r="AX551" s="10">
        <v>45995</v>
      </c>
      <c r="AY551" s="9" t="s">
        <v>1536</v>
      </c>
      <c r="AZ551" s="9" t="s">
        <v>67</v>
      </c>
      <c r="BA551" s="9" t="s">
        <v>67</v>
      </c>
      <c r="BB551" s="12">
        <v>60</v>
      </c>
      <c r="BC551" s="9" t="s">
        <v>74</v>
      </c>
      <c r="BD551" s="9" t="s">
        <v>104</v>
      </c>
      <c r="BE551" s="9" t="s">
        <v>75</v>
      </c>
      <c r="BF551" s="11">
        <v>0</v>
      </c>
      <c r="BG551">
        <f t="shared" si="18"/>
        <v>12</v>
      </c>
      <c r="BH551" t="str">
        <f>VLOOKUP(BG551,[1]month!$A:$B,2,0)</f>
        <v>Desember</v>
      </c>
      <c r="BI551">
        <f t="shared" si="19"/>
        <v>2025</v>
      </c>
      <c r="BJ551" t="str">
        <f>VLOOKUP(I551,[1]Dist!$A:$B,2,0)</f>
        <v>Retail</v>
      </c>
      <c r="BK551" t="str">
        <f>IF(I551=11,VLOOKUP(Y551,[2]Sheet1!$C:$N,10,0),IF(I551=13,VLOOKUP(Y551,[3]Sheet1!$C:$N,10,0),IF(I551=15,VLOOKUP(Y551,[4]Sheet1!$C:$N,10,0),"Unknown")))</f>
        <v>PU</v>
      </c>
      <c r="BL551" t="str">
        <f>IF(I551=11,VLOOKUP(Y551,[2]Sheet1!$C:$N,12,0),IF(I551=13,VLOOKUP(Y551,[3]Sheet1!$C:$N,12,0),IF(I551=15,VLOOKUP(Y551,[4]Sheet1!$C:$N,12,0),"Unknown")))</f>
        <v>PU HARDENER</v>
      </c>
      <c r="BM551" t="str">
        <f>VLOOKUP(W551,[1]branch!$A:$B,2,0)</f>
        <v>DANANG</v>
      </c>
    </row>
    <row r="552" spans="1:65" x14ac:dyDescent="0.35">
      <c r="A552" s="10">
        <v>45996</v>
      </c>
      <c r="B552" s="9" t="s">
        <v>1534</v>
      </c>
      <c r="C552" s="9" t="s">
        <v>64</v>
      </c>
      <c r="D552" s="9" t="s">
        <v>92</v>
      </c>
      <c r="E552" s="11">
        <v>60</v>
      </c>
      <c r="F552" s="9" t="s">
        <v>93</v>
      </c>
      <c r="G552" s="9" t="s">
        <v>65</v>
      </c>
      <c r="H552" s="9" t="s">
        <v>66</v>
      </c>
      <c r="I552" s="9">
        <v>13</v>
      </c>
      <c r="J552" s="9" t="s">
        <v>309</v>
      </c>
      <c r="K552" s="9" t="s">
        <v>309</v>
      </c>
      <c r="L552" s="9" t="s">
        <v>309</v>
      </c>
      <c r="M552" s="9" t="s">
        <v>310</v>
      </c>
      <c r="N552" s="9" t="s">
        <v>869</v>
      </c>
      <c r="O552" s="9" t="s">
        <v>150</v>
      </c>
      <c r="P552" s="9" t="s">
        <v>67</v>
      </c>
      <c r="Q552" s="9" t="s">
        <v>98</v>
      </c>
      <c r="R552" s="9" t="s">
        <v>309</v>
      </c>
      <c r="S552" s="9" t="s">
        <v>310</v>
      </c>
      <c r="T552" s="9" t="s">
        <v>798</v>
      </c>
      <c r="U552" s="9" t="s">
        <v>67</v>
      </c>
      <c r="V552" s="9" t="s">
        <v>311</v>
      </c>
      <c r="W552" s="9" t="s">
        <v>312</v>
      </c>
      <c r="X552" s="11">
        <v>20</v>
      </c>
      <c r="Y552" s="9" t="s">
        <v>507</v>
      </c>
      <c r="Z552" s="9" t="s">
        <v>68</v>
      </c>
      <c r="AA552" s="9" t="s">
        <v>508</v>
      </c>
      <c r="AB552" s="9" t="s">
        <v>67</v>
      </c>
      <c r="AC552" s="9" t="s">
        <v>251</v>
      </c>
      <c r="AD552" s="11">
        <v>3</v>
      </c>
      <c r="AE552" s="9" t="s">
        <v>70</v>
      </c>
      <c r="AF552" s="9" t="s">
        <v>71</v>
      </c>
      <c r="AG552" s="13">
        <v>1</v>
      </c>
      <c r="AH552" s="9" t="s">
        <v>92</v>
      </c>
      <c r="AI552" s="13">
        <v>2072727</v>
      </c>
      <c r="AJ552" s="13">
        <v>6218181</v>
      </c>
      <c r="AK552" s="11">
        <v>0</v>
      </c>
      <c r="AL552" s="11">
        <v>0</v>
      </c>
      <c r="AM552" s="11">
        <v>0</v>
      </c>
      <c r="AN552" s="9" t="s">
        <v>67</v>
      </c>
      <c r="AO552" s="11">
        <v>6218181</v>
      </c>
      <c r="AP552" s="13">
        <v>497454</v>
      </c>
      <c r="AQ552" s="13">
        <v>6715635</v>
      </c>
      <c r="AR552" s="11">
        <v>60</v>
      </c>
      <c r="AS552" s="9" t="s">
        <v>72</v>
      </c>
      <c r="AT552" s="12">
        <v>54.54</v>
      </c>
      <c r="AU552" s="9" t="s">
        <v>73</v>
      </c>
      <c r="AV552" s="9" t="s">
        <v>67</v>
      </c>
      <c r="AW552" s="9" t="s">
        <v>1535</v>
      </c>
      <c r="AX552" s="10">
        <v>45995</v>
      </c>
      <c r="AY552" s="9" t="s">
        <v>1536</v>
      </c>
      <c r="AZ552" s="9" t="s">
        <v>67</v>
      </c>
      <c r="BA552" s="9" t="s">
        <v>67</v>
      </c>
      <c r="BB552" s="12">
        <v>60</v>
      </c>
      <c r="BC552" s="9" t="s">
        <v>74</v>
      </c>
      <c r="BD552" s="9" t="s">
        <v>104</v>
      </c>
      <c r="BE552" s="9" t="s">
        <v>75</v>
      </c>
      <c r="BF552" s="11">
        <v>0</v>
      </c>
      <c r="BG552">
        <f t="shared" si="18"/>
        <v>12</v>
      </c>
      <c r="BH552" t="str">
        <f>VLOOKUP(BG552,[1]month!$A:$B,2,0)</f>
        <v>Desember</v>
      </c>
      <c r="BI552">
        <f t="shared" si="19"/>
        <v>2025</v>
      </c>
      <c r="BJ552" t="str">
        <f>VLOOKUP(I552,[1]Dist!$A:$B,2,0)</f>
        <v>Retail</v>
      </c>
      <c r="BK552" t="str">
        <f>IF(I552=11,VLOOKUP(Y552,[2]Sheet1!$C:$N,10,0),IF(I552=13,VLOOKUP(Y552,[3]Sheet1!$C:$N,10,0),IF(I552=15,VLOOKUP(Y552,[4]Sheet1!$C:$N,10,0),"Unknown")))</f>
        <v>PU</v>
      </c>
      <c r="BL552" t="str">
        <f>IF(I552=11,VLOOKUP(Y552,[2]Sheet1!$C:$N,12,0),IF(I552=13,VLOOKUP(Y552,[3]Sheet1!$C:$N,12,0),IF(I552=15,VLOOKUP(Y552,[4]Sheet1!$C:$N,12,0),"Unknown")))</f>
        <v>PU SANDING SEALER</v>
      </c>
      <c r="BM552" t="str">
        <f>VLOOKUP(W552,[1]branch!$A:$B,2,0)</f>
        <v>DANANG</v>
      </c>
    </row>
    <row r="553" spans="1:65" x14ac:dyDescent="0.35">
      <c r="A553" s="10">
        <v>45996</v>
      </c>
      <c r="B553" s="9" t="s">
        <v>1537</v>
      </c>
      <c r="C553" s="9" t="s">
        <v>64</v>
      </c>
      <c r="D553" s="9" t="s">
        <v>92</v>
      </c>
      <c r="E553" s="11">
        <v>60</v>
      </c>
      <c r="F553" s="9" t="s">
        <v>93</v>
      </c>
      <c r="G553" s="9" t="s">
        <v>65</v>
      </c>
      <c r="H553" s="9" t="s">
        <v>66</v>
      </c>
      <c r="I553" s="9">
        <v>13</v>
      </c>
      <c r="J553" s="9" t="s">
        <v>309</v>
      </c>
      <c r="K553" s="9" t="s">
        <v>309</v>
      </c>
      <c r="L553" s="9" t="s">
        <v>309</v>
      </c>
      <c r="M553" s="9" t="s">
        <v>310</v>
      </c>
      <c r="N553" s="9" t="s">
        <v>869</v>
      </c>
      <c r="O553" s="9" t="s">
        <v>150</v>
      </c>
      <c r="P553" s="9" t="s">
        <v>67</v>
      </c>
      <c r="Q553" s="9" t="s">
        <v>98</v>
      </c>
      <c r="R553" s="9" t="s">
        <v>309</v>
      </c>
      <c r="S553" s="9" t="s">
        <v>310</v>
      </c>
      <c r="T553" s="9" t="s">
        <v>798</v>
      </c>
      <c r="U553" s="9" t="s">
        <v>67</v>
      </c>
      <c r="V553" s="9" t="s">
        <v>311</v>
      </c>
      <c r="W553" s="9" t="s">
        <v>312</v>
      </c>
      <c r="X553" s="11">
        <v>10</v>
      </c>
      <c r="Y553" s="9" t="s">
        <v>1538</v>
      </c>
      <c r="Z553" s="9" t="s">
        <v>68</v>
      </c>
      <c r="AA553" s="9" t="s">
        <v>1539</v>
      </c>
      <c r="AB553" s="9" t="s">
        <v>67</v>
      </c>
      <c r="AC553" s="9" t="s">
        <v>321</v>
      </c>
      <c r="AD553" s="11">
        <v>3</v>
      </c>
      <c r="AE553" s="9" t="s">
        <v>70</v>
      </c>
      <c r="AF553" s="9" t="s">
        <v>71</v>
      </c>
      <c r="AG553" s="13">
        <v>1</v>
      </c>
      <c r="AH553" s="9" t="s">
        <v>92</v>
      </c>
      <c r="AI553" s="13">
        <v>470000</v>
      </c>
      <c r="AJ553" s="13">
        <v>1410000</v>
      </c>
      <c r="AK553" s="11">
        <v>211500</v>
      </c>
      <c r="AL553" s="11">
        <v>0</v>
      </c>
      <c r="AM553" s="11">
        <v>0</v>
      </c>
      <c r="AN553" s="9" t="s">
        <v>331</v>
      </c>
      <c r="AO553" s="11">
        <v>1198500</v>
      </c>
      <c r="AP553" s="13">
        <v>95880</v>
      </c>
      <c r="AQ553" s="13">
        <v>1294380</v>
      </c>
      <c r="AR553" s="11">
        <v>12</v>
      </c>
      <c r="AS553" s="9" t="s">
        <v>72</v>
      </c>
      <c r="AT553" s="12">
        <v>11.55</v>
      </c>
      <c r="AU553" s="9" t="s">
        <v>73</v>
      </c>
      <c r="AV553" s="9" t="s">
        <v>67</v>
      </c>
      <c r="AW553" s="9" t="s">
        <v>1540</v>
      </c>
      <c r="AX553" s="10">
        <v>45995</v>
      </c>
      <c r="AY553" s="9" t="s">
        <v>1541</v>
      </c>
      <c r="AZ553" s="9" t="s">
        <v>67</v>
      </c>
      <c r="BA553" s="9" t="s">
        <v>67</v>
      </c>
      <c r="BB553" s="12">
        <v>12</v>
      </c>
      <c r="BC553" s="9" t="s">
        <v>74</v>
      </c>
      <c r="BD553" s="9" t="s">
        <v>104</v>
      </c>
      <c r="BE553" s="9" t="s">
        <v>75</v>
      </c>
      <c r="BF553" s="11">
        <v>0</v>
      </c>
      <c r="BG553">
        <f t="shared" si="18"/>
        <v>12</v>
      </c>
      <c r="BH553" t="str">
        <f>VLOOKUP(BG553,[1]month!$A:$B,2,0)</f>
        <v>Desember</v>
      </c>
      <c r="BI553">
        <f t="shared" si="19"/>
        <v>2025</v>
      </c>
      <c r="BJ553" t="str">
        <f>VLOOKUP(I553,[1]Dist!$A:$B,2,0)</f>
        <v>Retail</v>
      </c>
      <c r="BK553" t="str">
        <f>IF(I553=11,VLOOKUP(Y553,[2]Sheet1!$C:$N,10,0),IF(I553=13,VLOOKUP(Y553,[3]Sheet1!$C:$N,10,0),IF(I553=15,VLOOKUP(Y553,[4]Sheet1!$C:$N,10,0),"Unknown")))</f>
        <v>PU EASY TO USE</v>
      </c>
      <c r="BL553" t="str">
        <f>IF(I553=11,VLOOKUP(Y553,[2]Sheet1!$C:$N,12,0),IF(I553=13,VLOOKUP(Y553,[3]Sheet1!$C:$N,12,0),IF(I553=15,VLOOKUP(Y553,[4]Sheet1!$C:$N,12,0),"Unknown")))</f>
        <v>PROPAN EASY TO USE PU</v>
      </c>
      <c r="BM553" t="str">
        <f>VLOOKUP(W553,[1]branch!$A:$B,2,0)</f>
        <v>DANANG</v>
      </c>
    </row>
    <row r="554" spans="1:65" x14ac:dyDescent="0.35">
      <c r="A554" s="10">
        <v>45996</v>
      </c>
      <c r="B554" s="9" t="s">
        <v>1542</v>
      </c>
      <c r="C554" s="9" t="s">
        <v>64</v>
      </c>
      <c r="D554" s="9" t="s">
        <v>92</v>
      </c>
      <c r="E554" s="11">
        <v>60</v>
      </c>
      <c r="F554" s="9" t="s">
        <v>93</v>
      </c>
      <c r="G554" s="9" t="s">
        <v>65</v>
      </c>
      <c r="H554" s="9" t="s">
        <v>66</v>
      </c>
      <c r="I554" s="9">
        <v>13</v>
      </c>
      <c r="J554" s="9" t="s">
        <v>329</v>
      </c>
      <c r="K554" s="9" t="s">
        <v>329</v>
      </c>
      <c r="L554" s="9" t="s">
        <v>329</v>
      </c>
      <c r="M554" s="9" t="s">
        <v>330</v>
      </c>
      <c r="N554" s="9" t="s">
        <v>879</v>
      </c>
      <c r="O554" s="9" t="s">
        <v>150</v>
      </c>
      <c r="P554" s="9" t="s">
        <v>67</v>
      </c>
      <c r="Q554" s="9" t="s">
        <v>98</v>
      </c>
      <c r="R554" s="9" t="s">
        <v>329</v>
      </c>
      <c r="S554" s="9" t="s">
        <v>330</v>
      </c>
      <c r="T554" s="9" t="s">
        <v>826</v>
      </c>
      <c r="U554" s="9" t="s">
        <v>67</v>
      </c>
      <c r="V554" s="9" t="s">
        <v>592</v>
      </c>
      <c r="W554" s="9" t="s">
        <v>593</v>
      </c>
      <c r="X554" s="11">
        <v>10</v>
      </c>
      <c r="Y554" s="9" t="s">
        <v>632</v>
      </c>
      <c r="Z554" s="9" t="s">
        <v>68</v>
      </c>
      <c r="AA554" s="9" t="s">
        <v>633</v>
      </c>
      <c r="AB554" s="9" t="s">
        <v>67</v>
      </c>
      <c r="AC554" s="9" t="s">
        <v>389</v>
      </c>
      <c r="AD554" s="11">
        <v>1</v>
      </c>
      <c r="AE554" s="9" t="s">
        <v>70</v>
      </c>
      <c r="AF554" s="9" t="s">
        <v>71</v>
      </c>
      <c r="AG554" s="13">
        <v>1</v>
      </c>
      <c r="AH554" s="9" t="s">
        <v>92</v>
      </c>
      <c r="AI554" s="13">
        <v>846364</v>
      </c>
      <c r="AJ554" s="13">
        <v>846364</v>
      </c>
      <c r="AK554" s="11">
        <v>155731</v>
      </c>
      <c r="AL554" s="11">
        <v>0</v>
      </c>
      <c r="AM554" s="11">
        <v>0</v>
      </c>
      <c r="AN554" s="9" t="s">
        <v>271</v>
      </c>
      <c r="AO554" s="11">
        <v>690633</v>
      </c>
      <c r="AP554" s="13">
        <v>55251</v>
      </c>
      <c r="AQ554" s="13">
        <v>745884</v>
      </c>
      <c r="AR554" s="12">
        <v>3.44</v>
      </c>
      <c r="AS554" s="9" t="s">
        <v>72</v>
      </c>
      <c r="AT554" s="11">
        <v>4</v>
      </c>
      <c r="AU554" s="9" t="s">
        <v>73</v>
      </c>
      <c r="AV554" s="9" t="s">
        <v>67</v>
      </c>
      <c r="AW554" s="9" t="s">
        <v>1270</v>
      </c>
      <c r="AX554" s="10">
        <v>45994</v>
      </c>
      <c r="AY554" s="9" t="s">
        <v>1543</v>
      </c>
      <c r="AZ554" s="9" t="s">
        <v>67</v>
      </c>
      <c r="BA554" s="9" t="s">
        <v>67</v>
      </c>
      <c r="BB554" s="12">
        <v>4</v>
      </c>
      <c r="BC554" s="9" t="s">
        <v>74</v>
      </c>
      <c r="BD554" s="9" t="s">
        <v>104</v>
      </c>
      <c r="BE554" s="9" t="s">
        <v>75</v>
      </c>
      <c r="BF554" s="11">
        <v>0</v>
      </c>
      <c r="BG554">
        <f t="shared" si="18"/>
        <v>12</v>
      </c>
      <c r="BH554" t="str">
        <f>VLOOKUP(BG554,[1]month!$A:$B,2,0)</f>
        <v>Desember</v>
      </c>
      <c r="BI554">
        <f t="shared" si="19"/>
        <v>2025</v>
      </c>
      <c r="BJ554" t="str">
        <f>VLOOKUP(I554,[1]Dist!$A:$B,2,0)</f>
        <v>Retail</v>
      </c>
      <c r="BK554" t="str">
        <f>IF(I554=11,VLOOKUP(Y554,[2]Sheet1!$C:$N,10,0),IF(I554=13,VLOOKUP(Y554,[3]Sheet1!$C:$N,10,0),IF(I554=15,VLOOKUP(Y554,[4]Sheet1!$C:$N,10,0),"Unknown")))</f>
        <v>ULTRAN</v>
      </c>
      <c r="BL554" t="str">
        <f>IF(I554=11,VLOOKUP(Y554,[2]Sheet1!$C:$N,12,0),IF(I554=13,VLOOKUP(Y554,[3]Sheet1!$C:$N,12,0),IF(I554=15,VLOOKUP(Y554,[4]Sheet1!$C:$N,12,0),"Unknown")))</f>
        <v>ULTRAN LASUR</v>
      </c>
      <c r="BM554" t="str">
        <f>VLOOKUP(W554,[1]branch!$A:$B,2,0)</f>
        <v>HO CHI MINH</v>
      </c>
    </row>
    <row r="555" spans="1:65" x14ac:dyDescent="0.35">
      <c r="A555" s="10">
        <v>45996</v>
      </c>
      <c r="B555" s="9" t="s">
        <v>1542</v>
      </c>
      <c r="C555" s="9" t="s">
        <v>64</v>
      </c>
      <c r="D555" s="9" t="s">
        <v>92</v>
      </c>
      <c r="E555" s="11">
        <v>60</v>
      </c>
      <c r="F555" s="9" t="s">
        <v>93</v>
      </c>
      <c r="G555" s="9" t="s">
        <v>65</v>
      </c>
      <c r="H555" s="9" t="s">
        <v>66</v>
      </c>
      <c r="I555" s="9">
        <v>13</v>
      </c>
      <c r="J555" s="9" t="s">
        <v>329</v>
      </c>
      <c r="K555" s="9" t="s">
        <v>329</v>
      </c>
      <c r="L555" s="9" t="s">
        <v>329</v>
      </c>
      <c r="M555" s="9" t="s">
        <v>330</v>
      </c>
      <c r="N555" s="9" t="s">
        <v>879</v>
      </c>
      <c r="O555" s="9" t="s">
        <v>150</v>
      </c>
      <c r="P555" s="9" t="s">
        <v>67</v>
      </c>
      <c r="Q555" s="9" t="s">
        <v>98</v>
      </c>
      <c r="R555" s="9" t="s">
        <v>329</v>
      </c>
      <c r="S555" s="9" t="s">
        <v>330</v>
      </c>
      <c r="T555" s="9" t="s">
        <v>826</v>
      </c>
      <c r="U555" s="9" t="s">
        <v>67</v>
      </c>
      <c r="V555" s="9" t="s">
        <v>592</v>
      </c>
      <c r="W555" s="9" t="s">
        <v>593</v>
      </c>
      <c r="X555" s="11">
        <v>60</v>
      </c>
      <c r="Y555" s="9" t="s">
        <v>496</v>
      </c>
      <c r="Z555" s="9" t="s">
        <v>68</v>
      </c>
      <c r="AA555" s="9" t="s">
        <v>497</v>
      </c>
      <c r="AB555" s="9" t="s">
        <v>67</v>
      </c>
      <c r="AC555" s="9" t="s">
        <v>389</v>
      </c>
      <c r="AD555" s="11">
        <v>9</v>
      </c>
      <c r="AE555" s="9" t="s">
        <v>70</v>
      </c>
      <c r="AF555" s="9" t="s">
        <v>71</v>
      </c>
      <c r="AG555" s="13">
        <v>1</v>
      </c>
      <c r="AH555" s="9" t="s">
        <v>92</v>
      </c>
      <c r="AI555" s="13">
        <v>846364</v>
      </c>
      <c r="AJ555" s="13">
        <v>7617276</v>
      </c>
      <c r="AK555" s="11">
        <v>1401579</v>
      </c>
      <c r="AL555" s="11">
        <v>0</v>
      </c>
      <c r="AM555" s="11">
        <v>0</v>
      </c>
      <c r="AN555" s="9" t="s">
        <v>271</v>
      </c>
      <c r="AO555" s="11">
        <v>6215697</v>
      </c>
      <c r="AP555" s="13">
        <v>497255</v>
      </c>
      <c r="AQ555" s="13">
        <v>6712952</v>
      </c>
      <c r="AR555" s="12">
        <v>30.96</v>
      </c>
      <c r="AS555" s="9" t="s">
        <v>72</v>
      </c>
      <c r="AT555" s="11">
        <v>36</v>
      </c>
      <c r="AU555" s="9" t="s">
        <v>73</v>
      </c>
      <c r="AV555" s="9" t="s">
        <v>67</v>
      </c>
      <c r="AW555" s="9" t="s">
        <v>1270</v>
      </c>
      <c r="AX555" s="10">
        <v>45994</v>
      </c>
      <c r="AY555" s="9" t="s">
        <v>1543</v>
      </c>
      <c r="AZ555" s="9" t="s">
        <v>67</v>
      </c>
      <c r="BA555" s="9" t="s">
        <v>67</v>
      </c>
      <c r="BB555" s="12">
        <v>36</v>
      </c>
      <c r="BC555" s="9" t="s">
        <v>74</v>
      </c>
      <c r="BD555" s="9" t="s">
        <v>104</v>
      </c>
      <c r="BE555" s="9" t="s">
        <v>75</v>
      </c>
      <c r="BF555" s="11">
        <v>0</v>
      </c>
      <c r="BG555">
        <f t="shared" si="18"/>
        <v>12</v>
      </c>
      <c r="BH555" t="str">
        <f>VLOOKUP(BG555,[1]month!$A:$B,2,0)</f>
        <v>Desember</v>
      </c>
      <c r="BI555">
        <f t="shared" si="19"/>
        <v>2025</v>
      </c>
      <c r="BJ555" t="str">
        <f>VLOOKUP(I555,[1]Dist!$A:$B,2,0)</f>
        <v>Retail</v>
      </c>
      <c r="BK555" t="str">
        <f>IF(I555=11,VLOOKUP(Y555,[2]Sheet1!$C:$N,10,0),IF(I555=13,VLOOKUP(Y555,[3]Sheet1!$C:$N,10,0),IF(I555=15,VLOOKUP(Y555,[4]Sheet1!$C:$N,10,0),"Unknown")))</f>
        <v>ULTRAN</v>
      </c>
      <c r="BL555" t="str">
        <f>IF(I555=11,VLOOKUP(Y555,[2]Sheet1!$C:$N,12,0),IF(I555=13,VLOOKUP(Y555,[3]Sheet1!$C:$N,12,0),IF(I555=15,VLOOKUP(Y555,[4]Sheet1!$C:$N,12,0),"Unknown")))</f>
        <v>ULTRAN LASUR</v>
      </c>
      <c r="BM555" t="str">
        <f>VLOOKUP(W555,[1]branch!$A:$B,2,0)</f>
        <v>HO CHI MINH</v>
      </c>
    </row>
    <row r="556" spans="1:65" x14ac:dyDescent="0.35">
      <c r="A556" s="10">
        <v>45996</v>
      </c>
      <c r="B556" s="9" t="s">
        <v>1544</v>
      </c>
      <c r="C556" s="9" t="s">
        <v>64</v>
      </c>
      <c r="D556" s="9" t="s">
        <v>92</v>
      </c>
      <c r="E556" s="11">
        <v>60</v>
      </c>
      <c r="F556" s="9" t="s">
        <v>93</v>
      </c>
      <c r="G556" s="9" t="s">
        <v>65</v>
      </c>
      <c r="H556" s="9" t="s">
        <v>66</v>
      </c>
      <c r="I556" s="9">
        <v>13</v>
      </c>
      <c r="J556" s="9" t="s">
        <v>264</v>
      </c>
      <c r="K556" s="9" t="s">
        <v>264</v>
      </c>
      <c r="L556" s="9" t="s">
        <v>264</v>
      </c>
      <c r="M556" s="9" t="s">
        <v>265</v>
      </c>
      <c r="N556" s="9" t="s">
        <v>881</v>
      </c>
      <c r="O556" s="9" t="s">
        <v>150</v>
      </c>
      <c r="P556" s="9" t="s">
        <v>67</v>
      </c>
      <c r="Q556" s="9" t="s">
        <v>98</v>
      </c>
      <c r="R556" s="9" t="s">
        <v>264</v>
      </c>
      <c r="S556" s="9" t="s">
        <v>265</v>
      </c>
      <c r="T556" s="9" t="s">
        <v>799</v>
      </c>
      <c r="U556" s="9" t="s">
        <v>67</v>
      </c>
      <c r="V556" s="9" t="s">
        <v>266</v>
      </c>
      <c r="W556" s="9" t="s">
        <v>267</v>
      </c>
      <c r="X556" s="11">
        <v>20</v>
      </c>
      <c r="Y556" s="9" t="s">
        <v>268</v>
      </c>
      <c r="Z556" s="9" t="s">
        <v>68</v>
      </c>
      <c r="AA556" s="9" t="s">
        <v>269</v>
      </c>
      <c r="AB556" s="9" t="s">
        <v>67</v>
      </c>
      <c r="AC556" s="9" t="s">
        <v>270</v>
      </c>
      <c r="AD556" s="11">
        <v>144</v>
      </c>
      <c r="AE556" s="9" t="s">
        <v>70</v>
      </c>
      <c r="AF556" s="9" t="s">
        <v>71</v>
      </c>
      <c r="AG556" s="13">
        <v>1</v>
      </c>
      <c r="AH556" s="9" t="s">
        <v>92</v>
      </c>
      <c r="AI556" s="13">
        <v>77273</v>
      </c>
      <c r="AJ556" s="13">
        <v>11127312</v>
      </c>
      <c r="AK556" s="11">
        <v>2047426</v>
      </c>
      <c r="AL556" s="11">
        <v>0</v>
      </c>
      <c r="AM556" s="11">
        <v>0</v>
      </c>
      <c r="AN556" s="9" t="s">
        <v>271</v>
      </c>
      <c r="AO556" s="11">
        <v>9079886</v>
      </c>
      <c r="AP556" s="13">
        <v>726391</v>
      </c>
      <c r="AQ556" s="13">
        <v>9806277</v>
      </c>
      <c r="AR556" s="12">
        <v>95.616</v>
      </c>
      <c r="AS556" s="9" t="s">
        <v>72</v>
      </c>
      <c r="AT556" s="12">
        <v>115.2</v>
      </c>
      <c r="AU556" s="9" t="s">
        <v>73</v>
      </c>
      <c r="AV556" s="9" t="s">
        <v>67</v>
      </c>
      <c r="AW556" s="9" t="s">
        <v>1121</v>
      </c>
      <c r="AX556" s="10">
        <v>45992</v>
      </c>
      <c r="AY556" s="9" t="s">
        <v>1545</v>
      </c>
      <c r="AZ556" s="9" t="s">
        <v>67</v>
      </c>
      <c r="BA556" s="9" t="s">
        <v>67</v>
      </c>
      <c r="BB556" s="12">
        <v>115.2</v>
      </c>
      <c r="BC556" s="9" t="s">
        <v>74</v>
      </c>
      <c r="BD556" s="9" t="s">
        <v>104</v>
      </c>
      <c r="BE556" s="9" t="s">
        <v>75</v>
      </c>
      <c r="BF556" s="11">
        <v>0</v>
      </c>
      <c r="BG556">
        <f t="shared" si="18"/>
        <v>12</v>
      </c>
      <c r="BH556" t="str">
        <f>VLOOKUP(BG556,[1]month!$A:$B,2,0)</f>
        <v>Desember</v>
      </c>
      <c r="BI556">
        <f t="shared" si="19"/>
        <v>2025</v>
      </c>
      <c r="BJ556" t="str">
        <f>VLOOKUP(I556,[1]Dist!$A:$B,2,0)</f>
        <v>Retail</v>
      </c>
      <c r="BK556" t="str">
        <f>IF(I556=11,VLOOKUP(Y556,[2]Sheet1!$C:$N,10,0),IF(I556=13,VLOOKUP(Y556,[3]Sheet1!$C:$N,10,0),IF(I556=15,VLOOKUP(Y556,[4]Sheet1!$C:$N,10,0),"Unknown")))</f>
        <v>ULTRAN</v>
      </c>
      <c r="BL556" t="str">
        <f>IF(I556=11,VLOOKUP(Y556,[2]Sheet1!$C:$N,12,0),IF(I556=13,VLOOKUP(Y556,[3]Sheet1!$C:$N,12,0),IF(I556=15,VLOOKUP(Y556,[4]Sheet1!$C:$N,12,0),"Unknown")))</f>
        <v>ULTRAN VERNIS</v>
      </c>
      <c r="BM556" t="str">
        <f>VLOOKUP(W556,[1]branch!$A:$B,2,0)</f>
        <v>HO CHI MINH</v>
      </c>
    </row>
    <row r="557" spans="1:65" x14ac:dyDescent="0.35">
      <c r="A557" s="10">
        <v>45996</v>
      </c>
      <c r="B557" s="9" t="s">
        <v>1546</v>
      </c>
      <c r="C557" s="9" t="s">
        <v>64</v>
      </c>
      <c r="D557" s="9" t="s">
        <v>92</v>
      </c>
      <c r="E557" s="11">
        <v>60</v>
      </c>
      <c r="F557" s="9" t="s">
        <v>93</v>
      </c>
      <c r="G557" s="9" t="s">
        <v>65</v>
      </c>
      <c r="H557" s="9" t="s">
        <v>66</v>
      </c>
      <c r="I557" s="9">
        <v>13</v>
      </c>
      <c r="J557" s="9" t="s">
        <v>264</v>
      </c>
      <c r="K557" s="9" t="s">
        <v>264</v>
      </c>
      <c r="L557" s="9" t="s">
        <v>264</v>
      </c>
      <c r="M557" s="9" t="s">
        <v>265</v>
      </c>
      <c r="N557" s="9" t="s">
        <v>881</v>
      </c>
      <c r="O557" s="9" t="s">
        <v>150</v>
      </c>
      <c r="P557" s="9" t="s">
        <v>67</v>
      </c>
      <c r="Q557" s="9" t="s">
        <v>98</v>
      </c>
      <c r="R557" s="9" t="s">
        <v>264</v>
      </c>
      <c r="S557" s="9" t="s">
        <v>265</v>
      </c>
      <c r="T557" s="9" t="s">
        <v>799</v>
      </c>
      <c r="U557" s="9" t="s">
        <v>67</v>
      </c>
      <c r="V557" s="9" t="s">
        <v>266</v>
      </c>
      <c r="W557" s="9" t="s">
        <v>267</v>
      </c>
      <c r="X557" s="11">
        <v>10</v>
      </c>
      <c r="Y557" s="9" t="s">
        <v>1547</v>
      </c>
      <c r="Z557" s="9" t="s">
        <v>76</v>
      </c>
      <c r="AA557" s="9" t="s">
        <v>1548</v>
      </c>
      <c r="AB557" s="9" t="s">
        <v>67</v>
      </c>
      <c r="AC557" s="9" t="s">
        <v>487</v>
      </c>
      <c r="AD557" s="11">
        <v>24</v>
      </c>
      <c r="AE557" s="9" t="s">
        <v>70</v>
      </c>
      <c r="AF557" s="9" t="s">
        <v>71</v>
      </c>
      <c r="AG557" s="13">
        <v>1</v>
      </c>
      <c r="AH557" s="9" t="s">
        <v>92</v>
      </c>
      <c r="AI557" s="13">
        <v>107273</v>
      </c>
      <c r="AJ557" s="13">
        <v>2574552</v>
      </c>
      <c r="AK557" s="11">
        <v>539369</v>
      </c>
      <c r="AL557" s="11">
        <v>0</v>
      </c>
      <c r="AM557" s="11">
        <v>0</v>
      </c>
      <c r="AN557" s="9" t="s">
        <v>693</v>
      </c>
      <c r="AO557" s="11">
        <v>2035183</v>
      </c>
      <c r="AP557" s="13">
        <v>162815</v>
      </c>
      <c r="AQ557" s="13">
        <v>2197998</v>
      </c>
      <c r="AR557" s="11">
        <v>24</v>
      </c>
      <c r="AS557" s="9" t="s">
        <v>72</v>
      </c>
      <c r="AT557" s="12">
        <v>19.344000000000001</v>
      </c>
      <c r="AU557" s="9" t="s">
        <v>73</v>
      </c>
      <c r="AV557" s="9" t="s">
        <v>67</v>
      </c>
      <c r="AW557" s="9" t="s">
        <v>1549</v>
      </c>
      <c r="AX557" s="10">
        <v>45996</v>
      </c>
      <c r="AY557" s="9" t="s">
        <v>1550</v>
      </c>
      <c r="AZ557" s="9" t="s">
        <v>67</v>
      </c>
      <c r="BA557" s="9" t="s">
        <v>67</v>
      </c>
      <c r="BB557" s="12">
        <v>24</v>
      </c>
      <c r="BC557" s="9" t="s">
        <v>74</v>
      </c>
      <c r="BD557" s="9" t="s">
        <v>104</v>
      </c>
      <c r="BE557" s="9" t="s">
        <v>75</v>
      </c>
      <c r="BF557" s="11">
        <v>0</v>
      </c>
      <c r="BG557">
        <f t="shared" si="18"/>
        <v>12</v>
      </c>
      <c r="BH557" t="str">
        <f>VLOOKUP(BG557,[1]month!$A:$B,2,0)</f>
        <v>Desember</v>
      </c>
      <c r="BI557">
        <f t="shared" si="19"/>
        <v>2025</v>
      </c>
      <c r="BJ557" t="str">
        <f>VLOOKUP(I557,[1]Dist!$A:$B,2,0)</f>
        <v>Retail</v>
      </c>
      <c r="BK557" t="str">
        <f>IF(I557=11,VLOOKUP(Y557,[2]Sheet1!$C:$N,10,0),IF(I557=13,VLOOKUP(Y557,[3]Sheet1!$C:$N,10,0),IF(I557=15,VLOOKUP(Y557,[4]Sheet1!$C:$N,10,0),"Unknown")))</f>
        <v>WATERPROOFING</v>
      </c>
      <c r="BL557" t="str">
        <f>IF(I557=11,VLOOKUP(Y557,[2]Sheet1!$C:$N,12,0),IF(I557=13,VLOOKUP(Y557,[3]Sheet1!$C:$N,12,0),IF(I557=15,VLOOKUP(Y557,[4]Sheet1!$C:$N,12,0),"Unknown")))</f>
        <v>ULTRAFLEX MEMBRANE</v>
      </c>
      <c r="BM557" t="str">
        <f>VLOOKUP(W557,[1]branch!$A:$B,2,0)</f>
        <v>HO CHI MINH</v>
      </c>
    </row>
    <row r="558" spans="1:65" x14ac:dyDescent="0.35">
      <c r="A558" s="10">
        <v>45996</v>
      </c>
      <c r="B558" s="9" t="s">
        <v>1551</v>
      </c>
      <c r="C558" s="9" t="s">
        <v>64</v>
      </c>
      <c r="D558" s="9" t="s">
        <v>92</v>
      </c>
      <c r="E558" s="11">
        <v>30</v>
      </c>
      <c r="F558" s="9" t="s">
        <v>93</v>
      </c>
      <c r="G558" s="9" t="s">
        <v>65</v>
      </c>
      <c r="H558" s="9" t="s">
        <v>66</v>
      </c>
      <c r="I558" s="9">
        <v>11</v>
      </c>
      <c r="J558" s="9" t="s">
        <v>677</v>
      </c>
      <c r="K558" s="9" t="s">
        <v>677</v>
      </c>
      <c r="L558" s="9" t="s">
        <v>677</v>
      </c>
      <c r="M558" s="9" t="s">
        <v>678</v>
      </c>
      <c r="N558" s="9" t="s">
        <v>915</v>
      </c>
      <c r="O558" s="9" t="s">
        <v>97</v>
      </c>
      <c r="P558" s="9" t="s">
        <v>67</v>
      </c>
      <c r="Q558" s="9" t="s">
        <v>98</v>
      </c>
      <c r="R558" s="9" t="s">
        <v>677</v>
      </c>
      <c r="S558" s="9" t="s">
        <v>678</v>
      </c>
      <c r="T558" s="9" t="s">
        <v>805</v>
      </c>
      <c r="U558" s="9" t="s">
        <v>67</v>
      </c>
      <c r="V558" s="9" t="s">
        <v>121</v>
      </c>
      <c r="W558" s="9" t="s">
        <v>122</v>
      </c>
      <c r="X558" s="11">
        <v>10</v>
      </c>
      <c r="Y558" s="9" t="s">
        <v>1284</v>
      </c>
      <c r="Z558" s="9" t="s">
        <v>68</v>
      </c>
      <c r="AA558" s="9" t="s">
        <v>1285</v>
      </c>
      <c r="AB558" s="9" t="s">
        <v>67</v>
      </c>
      <c r="AC558" s="9" t="s">
        <v>671</v>
      </c>
      <c r="AD558" s="11">
        <v>2</v>
      </c>
      <c r="AE558" s="9" t="s">
        <v>70</v>
      </c>
      <c r="AF558" s="9" t="s">
        <v>71</v>
      </c>
      <c r="AG558" s="13">
        <v>1</v>
      </c>
      <c r="AH558" s="9" t="s">
        <v>92</v>
      </c>
      <c r="AI558" s="13">
        <v>23420000</v>
      </c>
      <c r="AJ558" s="13">
        <v>46840000</v>
      </c>
      <c r="AK558" s="11">
        <v>0</v>
      </c>
      <c r="AL558" s="11">
        <v>0</v>
      </c>
      <c r="AM558" s="11">
        <v>0</v>
      </c>
      <c r="AN558" s="9" t="s">
        <v>67</v>
      </c>
      <c r="AO558" s="11">
        <v>46840000</v>
      </c>
      <c r="AP558" s="13">
        <v>3747200</v>
      </c>
      <c r="AQ558" s="13">
        <v>50587200</v>
      </c>
      <c r="AR558" s="11">
        <v>400</v>
      </c>
      <c r="AS558" s="9" t="s">
        <v>72</v>
      </c>
      <c r="AT558" s="12">
        <v>408.16399999999999</v>
      </c>
      <c r="AU558" s="9" t="s">
        <v>73</v>
      </c>
      <c r="AV558" s="9" t="s">
        <v>67</v>
      </c>
      <c r="AW558" s="9" t="s">
        <v>1286</v>
      </c>
      <c r="AX558" s="10">
        <v>45993</v>
      </c>
      <c r="AY558" s="9" t="s">
        <v>1552</v>
      </c>
      <c r="AZ558" s="9" t="s">
        <v>67</v>
      </c>
      <c r="BA558" s="9" t="s">
        <v>67</v>
      </c>
      <c r="BB558" s="12">
        <v>400</v>
      </c>
      <c r="BC558" s="9" t="s">
        <v>74</v>
      </c>
      <c r="BD558" s="9" t="s">
        <v>104</v>
      </c>
      <c r="BE558" s="9" t="s">
        <v>75</v>
      </c>
      <c r="BF558" s="11">
        <v>0</v>
      </c>
      <c r="BG558">
        <f t="shared" si="18"/>
        <v>12</v>
      </c>
      <c r="BH558" t="str">
        <f>VLOOKUP(BG558,[1]month!$A:$B,2,0)</f>
        <v>Desember</v>
      </c>
      <c r="BI558">
        <f t="shared" si="19"/>
        <v>2025</v>
      </c>
      <c r="BJ558" t="str">
        <f>VLOOKUP(I558,[1]Dist!$A:$B,2,0)</f>
        <v>Industry</v>
      </c>
      <c r="BK558" t="str">
        <f>IF(I558=11,VLOOKUP(Y558,[2]Sheet1!$C:$N,10,0),IF(I558=13,VLOOKUP(Y558,[3]Sheet1!$C:$N,10,0),IF(I558=15,VLOOKUP(Y558,[4]Sheet1!$C:$N,10,0),"Unknown")))</f>
        <v>CAN COATINGS</v>
      </c>
      <c r="BL558" t="str">
        <f>IF(I558=11,VLOOKUP(Y558,[2]Sheet1!$C:$N,12,0),IF(I558=13,VLOOKUP(Y558,[3]Sheet1!$C:$N,12,0),IF(I558=15,VLOOKUP(Y558,[4]Sheet1!$C:$N,12,0),"Unknown")))</f>
        <v>CAN COATINGS</v>
      </c>
      <c r="BM558" t="str">
        <f>VLOOKUP(W558,[1]branch!$A:$B,2,0)</f>
        <v>INDUSTRY</v>
      </c>
    </row>
    <row r="559" spans="1:65" x14ac:dyDescent="0.35">
      <c r="A559" s="10">
        <v>45996</v>
      </c>
      <c r="B559" s="9" t="s">
        <v>1553</v>
      </c>
      <c r="C559" s="9" t="s">
        <v>64</v>
      </c>
      <c r="D559" s="9" t="s">
        <v>92</v>
      </c>
      <c r="E559" s="11">
        <v>30</v>
      </c>
      <c r="F559" s="9" t="s">
        <v>93</v>
      </c>
      <c r="G559" s="9" t="s">
        <v>65</v>
      </c>
      <c r="H559" s="9" t="s">
        <v>66</v>
      </c>
      <c r="I559" s="9">
        <v>11</v>
      </c>
      <c r="J559" s="9" t="s">
        <v>757</v>
      </c>
      <c r="K559" s="9" t="s">
        <v>757</v>
      </c>
      <c r="L559" s="9" t="s">
        <v>757</v>
      </c>
      <c r="M559" s="9" t="s">
        <v>904</v>
      </c>
      <c r="N559" s="9" t="s">
        <v>679</v>
      </c>
      <c r="O559" s="9" t="s">
        <v>97</v>
      </c>
      <c r="P559" s="9" t="s">
        <v>67</v>
      </c>
      <c r="Q559" s="9" t="s">
        <v>98</v>
      </c>
      <c r="R559" s="9" t="s">
        <v>758</v>
      </c>
      <c r="S559" s="9" t="s">
        <v>904</v>
      </c>
      <c r="T559" s="9" t="s">
        <v>874</v>
      </c>
      <c r="U559" s="9" t="s">
        <v>67</v>
      </c>
      <c r="V559" s="9" t="s">
        <v>99</v>
      </c>
      <c r="W559" s="9" t="s">
        <v>100</v>
      </c>
      <c r="X559" s="11">
        <v>10</v>
      </c>
      <c r="Y559" s="9" t="s">
        <v>507</v>
      </c>
      <c r="Z559" s="9" t="s">
        <v>68</v>
      </c>
      <c r="AA559" s="9" t="s">
        <v>508</v>
      </c>
      <c r="AB559" s="9" t="s">
        <v>67</v>
      </c>
      <c r="AC559" s="9" t="s">
        <v>251</v>
      </c>
      <c r="AD559" s="11">
        <v>6</v>
      </c>
      <c r="AE559" s="9" t="s">
        <v>70</v>
      </c>
      <c r="AF559" s="9" t="s">
        <v>71</v>
      </c>
      <c r="AG559" s="13">
        <v>1</v>
      </c>
      <c r="AH559" s="9" t="s">
        <v>92</v>
      </c>
      <c r="AI559" s="13">
        <v>1594000</v>
      </c>
      <c r="AJ559" s="13">
        <v>9564000</v>
      </c>
      <c r="AK559" s="11">
        <v>0</v>
      </c>
      <c r="AL559" s="11">
        <v>0</v>
      </c>
      <c r="AM559" s="11">
        <v>0</v>
      </c>
      <c r="AN559" s="9" t="s">
        <v>67</v>
      </c>
      <c r="AO559" s="11">
        <v>9564000</v>
      </c>
      <c r="AP559" s="13">
        <v>765120</v>
      </c>
      <c r="AQ559" s="13">
        <v>10329120</v>
      </c>
      <c r="AR559" s="11">
        <v>120</v>
      </c>
      <c r="AS559" s="9" t="s">
        <v>72</v>
      </c>
      <c r="AT559" s="12">
        <v>109.08</v>
      </c>
      <c r="AU559" s="9" t="s">
        <v>73</v>
      </c>
      <c r="AV559" s="9" t="s">
        <v>67</v>
      </c>
      <c r="AW559" s="9" t="s">
        <v>1554</v>
      </c>
      <c r="AX559" s="10">
        <v>45979</v>
      </c>
      <c r="AY559" s="9" t="s">
        <v>1555</v>
      </c>
      <c r="AZ559" s="9" t="s">
        <v>67</v>
      </c>
      <c r="BA559" s="9" t="s">
        <v>67</v>
      </c>
      <c r="BB559" s="12">
        <v>120</v>
      </c>
      <c r="BC559" s="9" t="s">
        <v>74</v>
      </c>
      <c r="BD559" s="9" t="s">
        <v>104</v>
      </c>
      <c r="BE559" s="9" t="s">
        <v>75</v>
      </c>
      <c r="BF559" s="11">
        <v>0</v>
      </c>
      <c r="BG559">
        <f t="shared" si="18"/>
        <v>12</v>
      </c>
      <c r="BH559" t="str">
        <f>VLOOKUP(BG559,[1]month!$A:$B,2,0)</f>
        <v>Desember</v>
      </c>
      <c r="BI559">
        <f t="shared" si="19"/>
        <v>2025</v>
      </c>
      <c r="BJ559" t="str">
        <f>VLOOKUP(I559,[1]Dist!$A:$B,2,0)</f>
        <v>Industry</v>
      </c>
      <c r="BK559" t="str">
        <f>IF(I559=11,VLOOKUP(Y559,[2]Sheet1!$C:$N,10,0),IF(I559=13,VLOOKUP(Y559,[3]Sheet1!$C:$N,10,0),IF(I559=15,VLOOKUP(Y559,[4]Sheet1!$C:$N,10,0),"Unknown")))</f>
        <v>PU</v>
      </c>
      <c r="BL559" t="str">
        <f>IF(I559=11,VLOOKUP(Y559,[2]Sheet1!$C:$N,12,0),IF(I559=13,VLOOKUP(Y559,[3]Sheet1!$C:$N,12,0),IF(I559=15,VLOOKUP(Y559,[4]Sheet1!$C:$N,12,0),"Unknown")))</f>
        <v>PU SANDING SEALER</v>
      </c>
      <c r="BM559" t="str">
        <f>VLOOKUP(W559,[1]branch!$A:$B,2,0)</f>
        <v>INDUSTRY</v>
      </c>
    </row>
    <row r="560" spans="1:65" x14ac:dyDescent="0.35">
      <c r="A560" s="10">
        <v>45996</v>
      </c>
      <c r="B560" s="9" t="s">
        <v>1553</v>
      </c>
      <c r="C560" s="9" t="s">
        <v>64</v>
      </c>
      <c r="D560" s="9" t="s">
        <v>92</v>
      </c>
      <c r="E560" s="11">
        <v>30</v>
      </c>
      <c r="F560" s="9" t="s">
        <v>93</v>
      </c>
      <c r="G560" s="9" t="s">
        <v>65</v>
      </c>
      <c r="H560" s="9" t="s">
        <v>66</v>
      </c>
      <c r="I560" s="9">
        <v>11</v>
      </c>
      <c r="J560" s="9" t="s">
        <v>757</v>
      </c>
      <c r="K560" s="9" t="s">
        <v>757</v>
      </c>
      <c r="L560" s="9" t="s">
        <v>757</v>
      </c>
      <c r="M560" s="9" t="s">
        <v>904</v>
      </c>
      <c r="N560" s="9" t="s">
        <v>679</v>
      </c>
      <c r="O560" s="9" t="s">
        <v>97</v>
      </c>
      <c r="P560" s="9" t="s">
        <v>67</v>
      </c>
      <c r="Q560" s="9" t="s">
        <v>98</v>
      </c>
      <c r="R560" s="9" t="s">
        <v>758</v>
      </c>
      <c r="S560" s="9" t="s">
        <v>904</v>
      </c>
      <c r="T560" s="9" t="s">
        <v>874</v>
      </c>
      <c r="U560" s="9" t="s">
        <v>67</v>
      </c>
      <c r="V560" s="9" t="s">
        <v>99</v>
      </c>
      <c r="W560" s="9" t="s">
        <v>100</v>
      </c>
      <c r="X560" s="11">
        <v>20</v>
      </c>
      <c r="Y560" s="9" t="s">
        <v>257</v>
      </c>
      <c r="Z560" s="9" t="s">
        <v>68</v>
      </c>
      <c r="AA560" s="9" t="s">
        <v>258</v>
      </c>
      <c r="AB560" s="9" t="s">
        <v>67</v>
      </c>
      <c r="AC560" s="9" t="s">
        <v>259</v>
      </c>
      <c r="AD560" s="11">
        <v>3</v>
      </c>
      <c r="AE560" s="9" t="s">
        <v>70</v>
      </c>
      <c r="AF560" s="9" t="s">
        <v>71</v>
      </c>
      <c r="AG560" s="13">
        <v>1</v>
      </c>
      <c r="AH560" s="9" t="s">
        <v>92</v>
      </c>
      <c r="AI560" s="13">
        <v>1898000</v>
      </c>
      <c r="AJ560" s="13">
        <v>5694000</v>
      </c>
      <c r="AK560" s="11">
        <v>0</v>
      </c>
      <c r="AL560" s="11">
        <v>0</v>
      </c>
      <c r="AM560" s="11">
        <v>0</v>
      </c>
      <c r="AN560" s="9" t="s">
        <v>67</v>
      </c>
      <c r="AO560" s="11">
        <v>5694000</v>
      </c>
      <c r="AP560" s="13">
        <v>455520</v>
      </c>
      <c r="AQ560" s="13">
        <v>6149520</v>
      </c>
      <c r="AR560" s="11">
        <v>60</v>
      </c>
      <c r="AS560" s="9" t="s">
        <v>72</v>
      </c>
      <c r="AT560" s="12">
        <v>59.43</v>
      </c>
      <c r="AU560" s="9" t="s">
        <v>73</v>
      </c>
      <c r="AV560" s="9" t="s">
        <v>67</v>
      </c>
      <c r="AW560" s="9" t="s">
        <v>1554</v>
      </c>
      <c r="AX560" s="10">
        <v>45979</v>
      </c>
      <c r="AY560" s="9" t="s">
        <v>1555</v>
      </c>
      <c r="AZ560" s="9" t="s">
        <v>67</v>
      </c>
      <c r="BA560" s="9" t="s">
        <v>67</v>
      </c>
      <c r="BB560" s="12">
        <v>60</v>
      </c>
      <c r="BC560" s="9" t="s">
        <v>74</v>
      </c>
      <c r="BD560" s="9" t="s">
        <v>104</v>
      </c>
      <c r="BE560" s="9" t="s">
        <v>75</v>
      </c>
      <c r="BF560" s="11">
        <v>0</v>
      </c>
      <c r="BG560">
        <f t="shared" si="18"/>
        <v>12</v>
      </c>
      <c r="BH560" t="str">
        <f>VLOOKUP(BG560,[1]month!$A:$B,2,0)</f>
        <v>Desember</v>
      </c>
      <c r="BI560">
        <f t="shared" si="19"/>
        <v>2025</v>
      </c>
      <c r="BJ560" t="str">
        <f>VLOOKUP(I560,[1]Dist!$A:$B,2,0)</f>
        <v>Industry</v>
      </c>
      <c r="BK560" t="str">
        <f>IF(I560=11,VLOOKUP(Y560,[2]Sheet1!$C:$N,10,0),IF(I560=13,VLOOKUP(Y560,[3]Sheet1!$C:$N,10,0),IF(I560=15,VLOOKUP(Y560,[4]Sheet1!$C:$N,10,0),"Unknown")))</f>
        <v>PU</v>
      </c>
      <c r="BL560" t="str">
        <f>IF(I560=11,VLOOKUP(Y560,[2]Sheet1!$C:$N,12,0),IF(I560=13,VLOOKUP(Y560,[3]Sheet1!$C:$N,12,0),IF(I560=15,VLOOKUP(Y560,[4]Sheet1!$C:$N,12,0),"Unknown")))</f>
        <v>PU HARDENER</v>
      </c>
      <c r="BM560" t="str">
        <f>VLOOKUP(W560,[1]branch!$A:$B,2,0)</f>
        <v>INDUSTRY</v>
      </c>
    </row>
    <row r="561" spans="1:65" x14ac:dyDescent="0.35">
      <c r="A561" s="10">
        <v>45996</v>
      </c>
      <c r="B561" s="9" t="s">
        <v>1553</v>
      </c>
      <c r="C561" s="9" t="s">
        <v>64</v>
      </c>
      <c r="D561" s="9" t="s">
        <v>92</v>
      </c>
      <c r="E561" s="11">
        <v>30</v>
      </c>
      <c r="F561" s="9" t="s">
        <v>93</v>
      </c>
      <c r="G561" s="9" t="s">
        <v>65</v>
      </c>
      <c r="H561" s="9" t="s">
        <v>66</v>
      </c>
      <c r="I561" s="9">
        <v>11</v>
      </c>
      <c r="J561" s="9" t="s">
        <v>757</v>
      </c>
      <c r="K561" s="9" t="s">
        <v>757</v>
      </c>
      <c r="L561" s="9" t="s">
        <v>757</v>
      </c>
      <c r="M561" s="9" t="s">
        <v>904</v>
      </c>
      <c r="N561" s="9" t="s">
        <v>679</v>
      </c>
      <c r="O561" s="9" t="s">
        <v>97</v>
      </c>
      <c r="P561" s="9" t="s">
        <v>67</v>
      </c>
      <c r="Q561" s="9" t="s">
        <v>98</v>
      </c>
      <c r="R561" s="9" t="s">
        <v>758</v>
      </c>
      <c r="S561" s="9" t="s">
        <v>904</v>
      </c>
      <c r="T561" s="9" t="s">
        <v>874</v>
      </c>
      <c r="U561" s="9" t="s">
        <v>67</v>
      </c>
      <c r="V561" s="9" t="s">
        <v>99</v>
      </c>
      <c r="W561" s="9" t="s">
        <v>100</v>
      </c>
      <c r="X561" s="11">
        <v>30</v>
      </c>
      <c r="Y561" s="9" t="s">
        <v>118</v>
      </c>
      <c r="Z561" s="9" t="s">
        <v>68</v>
      </c>
      <c r="AA561" s="9" t="s">
        <v>119</v>
      </c>
      <c r="AB561" s="9" t="s">
        <v>67</v>
      </c>
      <c r="AC561" s="9" t="s">
        <v>120</v>
      </c>
      <c r="AD561" s="11">
        <v>1</v>
      </c>
      <c r="AE561" s="9" t="s">
        <v>70</v>
      </c>
      <c r="AF561" s="9" t="s">
        <v>71</v>
      </c>
      <c r="AG561" s="13">
        <v>1</v>
      </c>
      <c r="AH561" s="9" t="s">
        <v>92</v>
      </c>
      <c r="AI561" s="13">
        <v>7640000</v>
      </c>
      <c r="AJ561" s="13">
        <v>7640000</v>
      </c>
      <c r="AK561" s="11">
        <v>0</v>
      </c>
      <c r="AL561" s="11">
        <v>0</v>
      </c>
      <c r="AM561" s="11">
        <v>0</v>
      </c>
      <c r="AN561" s="9" t="s">
        <v>67</v>
      </c>
      <c r="AO561" s="11">
        <v>7640000</v>
      </c>
      <c r="AP561" s="13">
        <v>611200</v>
      </c>
      <c r="AQ561" s="13">
        <v>8251200</v>
      </c>
      <c r="AR561" s="11">
        <v>185</v>
      </c>
      <c r="AS561" s="9" t="s">
        <v>72</v>
      </c>
      <c r="AT561" s="11">
        <v>200</v>
      </c>
      <c r="AU561" s="9" t="s">
        <v>73</v>
      </c>
      <c r="AV561" s="9" t="s">
        <v>67</v>
      </c>
      <c r="AW561" s="9" t="s">
        <v>1554</v>
      </c>
      <c r="AX561" s="10">
        <v>45979</v>
      </c>
      <c r="AY561" s="9" t="s">
        <v>1555</v>
      </c>
      <c r="AZ561" s="9" t="s">
        <v>67</v>
      </c>
      <c r="BA561" s="9" t="s">
        <v>67</v>
      </c>
      <c r="BB561" s="12">
        <v>200</v>
      </c>
      <c r="BC561" s="9" t="s">
        <v>74</v>
      </c>
      <c r="BD561" s="9" t="s">
        <v>104</v>
      </c>
      <c r="BE561" s="9" t="s">
        <v>75</v>
      </c>
      <c r="BF561" s="11">
        <v>0</v>
      </c>
      <c r="BG561">
        <f t="shared" si="18"/>
        <v>12</v>
      </c>
      <c r="BH561" t="str">
        <f>VLOOKUP(BG561,[1]month!$A:$B,2,0)</f>
        <v>Desember</v>
      </c>
      <c r="BI561">
        <f t="shared" si="19"/>
        <v>2025</v>
      </c>
      <c r="BJ561" t="str">
        <f>VLOOKUP(I561,[1]Dist!$A:$B,2,0)</f>
        <v>Industry</v>
      </c>
      <c r="BK561" t="str">
        <f>IF(I561=11,VLOOKUP(Y561,[2]Sheet1!$C:$N,10,0),IF(I561=13,VLOOKUP(Y561,[3]Sheet1!$C:$N,10,0),IF(I561=15,VLOOKUP(Y561,[4]Sheet1!$C:$N,10,0),"Unknown")))</f>
        <v>THINNER PU</v>
      </c>
      <c r="BL561" t="str">
        <f>IF(I561=11,VLOOKUP(Y561,[2]Sheet1!$C:$N,12,0),IF(I561=13,VLOOKUP(Y561,[3]Sheet1!$C:$N,12,0),IF(I561=15,VLOOKUP(Y561,[4]Sheet1!$C:$N,12,0),"Unknown")))</f>
        <v>THINNER PU</v>
      </c>
      <c r="BM561" t="str">
        <f>VLOOKUP(W561,[1]branch!$A:$B,2,0)</f>
        <v>INDUSTRY</v>
      </c>
    </row>
    <row r="562" spans="1:65" x14ac:dyDescent="0.35">
      <c r="A562" s="10">
        <v>45996</v>
      </c>
      <c r="B562" s="9" t="s">
        <v>1553</v>
      </c>
      <c r="C562" s="9" t="s">
        <v>64</v>
      </c>
      <c r="D562" s="9" t="s">
        <v>92</v>
      </c>
      <c r="E562" s="11">
        <v>30</v>
      </c>
      <c r="F562" s="9" t="s">
        <v>93</v>
      </c>
      <c r="G562" s="9" t="s">
        <v>65</v>
      </c>
      <c r="H562" s="9" t="s">
        <v>66</v>
      </c>
      <c r="I562" s="9">
        <v>11</v>
      </c>
      <c r="J562" s="9" t="s">
        <v>757</v>
      </c>
      <c r="K562" s="9" t="s">
        <v>757</v>
      </c>
      <c r="L562" s="9" t="s">
        <v>757</v>
      </c>
      <c r="M562" s="9" t="s">
        <v>904</v>
      </c>
      <c r="N562" s="9" t="s">
        <v>679</v>
      </c>
      <c r="O562" s="9" t="s">
        <v>97</v>
      </c>
      <c r="P562" s="9" t="s">
        <v>67</v>
      </c>
      <c r="Q562" s="9" t="s">
        <v>98</v>
      </c>
      <c r="R562" s="9" t="s">
        <v>758</v>
      </c>
      <c r="S562" s="9" t="s">
        <v>904</v>
      </c>
      <c r="T562" s="9" t="s">
        <v>874</v>
      </c>
      <c r="U562" s="9" t="s">
        <v>67</v>
      </c>
      <c r="V562" s="9" t="s">
        <v>99</v>
      </c>
      <c r="W562" s="9" t="s">
        <v>100</v>
      </c>
      <c r="X562" s="11">
        <v>40</v>
      </c>
      <c r="Y562" s="9" t="s">
        <v>89</v>
      </c>
      <c r="Z562" s="9" t="s">
        <v>68</v>
      </c>
      <c r="AA562" s="9" t="s">
        <v>90</v>
      </c>
      <c r="AB562" s="9" t="s">
        <v>67</v>
      </c>
      <c r="AC562" s="9" t="s">
        <v>91</v>
      </c>
      <c r="AD562" s="11">
        <v>5</v>
      </c>
      <c r="AE562" s="9" t="s">
        <v>70</v>
      </c>
      <c r="AF562" s="9" t="s">
        <v>71</v>
      </c>
      <c r="AG562" s="13">
        <v>1</v>
      </c>
      <c r="AH562" s="9" t="s">
        <v>92</v>
      </c>
      <c r="AI562" s="13">
        <v>1216000</v>
      </c>
      <c r="AJ562" s="13">
        <v>6080000</v>
      </c>
      <c r="AK562" s="11">
        <v>0</v>
      </c>
      <c r="AL562" s="11">
        <v>0</v>
      </c>
      <c r="AM562" s="11">
        <v>0</v>
      </c>
      <c r="AN562" s="9" t="s">
        <v>67</v>
      </c>
      <c r="AO562" s="11">
        <v>6080000</v>
      </c>
      <c r="AP562" s="13">
        <v>486400</v>
      </c>
      <c r="AQ562" s="13">
        <v>6566400</v>
      </c>
      <c r="AR562" s="11">
        <v>20</v>
      </c>
      <c r="AS562" s="9" t="s">
        <v>72</v>
      </c>
      <c r="AT562" s="12">
        <v>19.05</v>
      </c>
      <c r="AU562" s="9" t="s">
        <v>73</v>
      </c>
      <c r="AV562" s="9" t="s">
        <v>67</v>
      </c>
      <c r="AW562" s="9" t="s">
        <v>1554</v>
      </c>
      <c r="AX562" s="10">
        <v>45979</v>
      </c>
      <c r="AY562" s="9" t="s">
        <v>1555</v>
      </c>
      <c r="AZ562" s="9" t="s">
        <v>67</v>
      </c>
      <c r="BA562" s="9" t="s">
        <v>67</v>
      </c>
      <c r="BB562" s="12">
        <v>20</v>
      </c>
      <c r="BC562" s="9" t="s">
        <v>74</v>
      </c>
      <c r="BD562" s="9" t="s">
        <v>104</v>
      </c>
      <c r="BE562" s="9" t="s">
        <v>75</v>
      </c>
      <c r="BF562" s="11">
        <v>0</v>
      </c>
      <c r="BG562">
        <f t="shared" si="18"/>
        <v>12</v>
      </c>
      <c r="BH562" t="str">
        <f>VLOOKUP(BG562,[1]month!$A:$B,2,0)</f>
        <v>Desember</v>
      </c>
      <c r="BI562">
        <f t="shared" si="19"/>
        <v>2025</v>
      </c>
      <c r="BJ562" t="str">
        <f>VLOOKUP(I562,[1]Dist!$A:$B,2,0)</f>
        <v>Industry</v>
      </c>
      <c r="BK562" t="str">
        <f>IF(I562=11,VLOOKUP(Y562,[2]Sheet1!$C:$N,10,0),IF(I562=13,VLOOKUP(Y562,[3]Sheet1!$C:$N,10,0),IF(I562=15,VLOOKUP(Y562,[4]Sheet1!$C:$N,10,0),"Unknown")))</f>
        <v>COMPLEMENTARY</v>
      </c>
      <c r="BL562" t="str">
        <f>IF(I562=11,VLOOKUP(Y562,[2]Sheet1!$C:$N,12,0),IF(I562=13,VLOOKUP(Y562,[3]Sheet1!$C:$N,12,0),IF(I562=15,VLOOKUP(Y562,[4]Sheet1!$C:$N,12,0),"Unknown")))</f>
        <v>PASTA</v>
      </c>
      <c r="BM562" t="str">
        <f>VLOOKUP(W562,[1]branch!$A:$B,2,0)</f>
        <v>INDUSTRY</v>
      </c>
    </row>
    <row r="563" spans="1:65" x14ac:dyDescent="0.35">
      <c r="A563" s="10">
        <v>45996</v>
      </c>
      <c r="B563" s="9" t="s">
        <v>1553</v>
      </c>
      <c r="C563" s="9" t="s">
        <v>64</v>
      </c>
      <c r="D563" s="9" t="s">
        <v>92</v>
      </c>
      <c r="E563" s="11">
        <v>30</v>
      </c>
      <c r="F563" s="9" t="s">
        <v>93</v>
      </c>
      <c r="G563" s="9" t="s">
        <v>65</v>
      </c>
      <c r="H563" s="9" t="s">
        <v>66</v>
      </c>
      <c r="I563" s="9">
        <v>11</v>
      </c>
      <c r="J563" s="9" t="s">
        <v>757</v>
      </c>
      <c r="K563" s="9" t="s">
        <v>757</v>
      </c>
      <c r="L563" s="9" t="s">
        <v>757</v>
      </c>
      <c r="M563" s="9" t="s">
        <v>904</v>
      </c>
      <c r="N563" s="9" t="s">
        <v>679</v>
      </c>
      <c r="O563" s="9" t="s">
        <v>97</v>
      </c>
      <c r="P563" s="9" t="s">
        <v>67</v>
      </c>
      <c r="Q563" s="9" t="s">
        <v>98</v>
      </c>
      <c r="R563" s="9" t="s">
        <v>758</v>
      </c>
      <c r="S563" s="9" t="s">
        <v>904</v>
      </c>
      <c r="T563" s="9" t="s">
        <v>874</v>
      </c>
      <c r="U563" s="9" t="s">
        <v>67</v>
      </c>
      <c r="V563" s="9" t="s">
        <v>99</v>
      </c>
      <c r="W563" s="9" t="s">
        <v>100</v>
      </c>
      <c r="X563" s="11">
        <v>60</v>
      </c>
      <c r="Y563" s="9" t="s">
        <v>83</v>
      </c>
      <c r="Z563" s="9" t="s">
        <v>68</v>
      </c>
      <c r="AA563" s="9" t="s">
        <v>84</v>
      </c>
      <c r="AB563" s="9" t="s">
        <v>67</v>
      </c>
      <c r="AC563" s="9" t="s">
        <v>82</v>
      </c>
      <c r="AD563" s="11">
        <v>5</v>
      </c>
      <c r="AE563" s="9" t="s">
        <v>70</v>
      </c>
      <c r="AF563" s="9" t="s">
        <v>71</v>
      </c>
      <c r="AG563" s="13">
        <v>1</v>
      </c>
      <c r="AH563" s="9" t="s">
        <v>92</v>
      </c>
      <c r="AI563" s="13">
        <v>808000</v>
      </c>
      <c r="AJ563" s="13">
        <v>4040000</v>
      </c>
      <c r="AK563" s="11">
        <v>0</v>
      </c>
      <c r="AL563" s="11">
        <v>0</v>
      </c>
      <c r="AM563" s="11">
        <v>0</v>
      </c>
      <c r="AN563" s="9" t="s">
        <v>67</v>
      </c>
      <c r="AO563" s="11">
        <v>4040000</v>
      </c>
      <c r="AP563" s="13">
        <v>323200</v>
      </c>
      <c r="AQ563" s="13">
        <v>4363200</v>
      </c>
      <c r="AR563" s="11">
        <v>20</v>
      </c>
      <c r="AS563" s="9" t="s">
        <v>72</v>
      </c>
      <c r="AT563" s="12">
        <v>23.55</v>
      </c>
      <c r="AU563" s="9" t="s">
        <v>73</v>
      </c>
      <c r="AV563" s="9" t="s">
        <v>67</v>
      </c>
      <c r="AW563" s="9" t="s">
        <v>1554</v>
      </c>
      <c r="AX563" s="10">
        <v>45979</v>
      </c>
      <c r="AY563" s="9" t="s">
        <v>1555</v>
      </c>
      <c r="AZ563" s="9" t="s">
        <v>67</v>
      </c>
      <c r="BA563" s="9" t="s">
        <v>67</v>
      </c>
      <c r="BB563" s="12">
        <v>20</v>
      </c>
      <c r="BC563" s="9" t="s">
        <v>74</v>
      </c>
      <c r="BD563" s="9" t="s">
        <v>104</v>
      </c>
      <c r="BE563" s="9" t="s">
        <v>75</v>
      </c>
      <c r="BF563" s="11">
        <v>0</v>
      </c>
      <c r="BG563">
        <f t="shared" si="18"/>
        <v>12</v>
      </c>
      <c r="BH563" t="str">
        <f>VLOOKUP(BG563,[1]month!$A:$B,2,0)</f>
        <v>Desember</v>
      </c>
      <c r="BI563">
        <f t="shared" si="19"/>
        <v>2025</v>
      </c>
      <c r="BJ563" t="str">
        <f>VLOOKUP(I563,[1]Dist!$A:$B,2,0)</f>
        <v>Industry</v>
      </c>
      <c r="BK563" t="str">
        <f>IF(I563=11,VLOOKUP(Y563,[2]Sheet1!$C:$N,10,0),IF(I563=13,VLOOKUP(Y563,[3]Sheet1!$C:$N,10,0),IF(I563=15,VLOOKUP(Y563,[4]Sheet1!$C:$N,10,0),"Unknown")))</f>
        <v>STAIN &amp; GLAZE INTERIOR</v>
      </c>
      <c r="BL563" t="str">
        <f>IF(I563=11,VLOOKUP(Y563,[2]Sheet1!$C:$N,12,0),IF(I563=13,VLOOKUP(Y563,[3]Sheet1!$C:$N,12,0),IF(I563=15,VLOOKUP(Y563,[4]Sheet1!$C:$N,12,0),"Unknown")))</f>
        <v>STAIN INTERIOR</v>
      </c>
      <c r="BM563" t="str">
        <f>VLOOKUP(W563,[1]branch!$A:$B,2,0)</f>
        <v>INDUSTRY</v>
      </c>
    </row>
    <row r="564" spans="1:65" x14ac:dyDescent="0.35">
      <c r="A564" s="10">
        <v>45996</v>
      </c>
      <c r="B564" s="9" t="s">
        <v>1553</v>
      </c>
      <c r="C564" s="9" t="s">
        <v>64</v>
      </c>
      <c r="D564" s="9" t="s">
        <v>92</v>
      </c>
      <c r="E564" s="11">
        <v>30</v>
      </c>
      <c r="F564" s="9" t="s">
        <v>93</v>
      </c>
      <c r="G564" s="9" t="s">
        <v>65</v>
      </c>
      <c r="H564" s="9" t="s">
        <v>66</v>
      </c>
      <c r="I564" s="9">
        <v>11</v>
      </c>
      <c r="J564" s="9" t="s">
        <v>757</v>
      </c>
      <c r="K564" s="9" t="s">
        <v>757</v>
      </c>
      <c r="L564" s="9" t="s">
        <v>757</v>
      </c>
      <c r="M564" s="9" t="s">
        <v>904</v>
      </c>
      <c r="N564" s="9" t="s">
        <v>679</v>
      </c>
      <c r="O564" s="9" t="s">
        <v>97</v>
      </c>
      <c r="P564" s="9" t="s">
        <v>67</v>
      </c>
      <c r="Q564" s="9" t="s">
        <v>98</v>
      </c>
      <c r="R564" s="9" t="s">
        <v>758</v>
      </c>
      <c r="S564" s="9" t="s">
        <v>904</v>
      </c>
      <c r="T564" s="9" t="s">
        <v>874</v>
      </c>
      <c r="U564" s="9" t="s">
        <v>67</v>
      </c>
      <c r="V564" s="9" t="s">
        <v>99</v>
      </c>
      <c r="W564" s="9" t="s">
        <v>100</v>
      </c>
      <c r="X564" s="11">
        <v>70</v>
      </c>
      <c r="Y564" s="9" t="s">
        <v>80</v>
      </c>
      <c r="Z564" s="9" t="s">
        <v>68</v>
      </c>
      <c r="AA564" s="9" t="s">
        <v>81</v>
      </c>
      <c r="AB564" s="9" t="s">
        <v>67</v>
      </c>
      <c r="AC564" s="9" t="s">
        <v>82</v>
      </c>
      <c r="AD564" s="11">
        <v>5</v>
      </c>
      <c r="AE564" s="9" t="s">
        <v>70</v>
      </c>
      <c r="AF564" s="9" t="s">
        <v>71</v>
      </c>
      <c r="AG564" s="13">
        <v>1</v>
      </c>
      <c r="AH564" s="9" t="s">
        <v>92</v>
      </c>
      <c r="AI564" s="13">
        <v>638800</v>
      </c>
      <c r="AJ564" s="13">
        <v>3194000</v>
      </c>
      <c r="AK564" s="11">
        <v>0</v>
      </c>
      <c r="AL564" s="11">
        <v>0</v>
      </c>
      <c r="AM564" s="11">
        <v>0</v>
      </c>
      <c r="AN564" s="9" t="s">
        <v>67</v>
      </c>
      <c r="AO564" s="11">
        <v>3194000</v>
      </c>
      <c r="AP564" s="13">
        <v>255520</v>
      </c>
      <c r="AQ564" s="13">
        <v>3449520</v>
      </c>
      <c r="AR564" s="11">
        <v>20</v>
      </c>
      <c r="AS564" s="9" t="s">
        <v>72</v>
      </c>
      <c r="AT564" s="12">
        <v>23.8</v>
      </c>
      <c r="AU564" s="9" t="s">
        <v>73</v>
      </c>
      <c r="AV564" s="9" t="s">
        <v>67</v>
      </c>
      <c r="AW564" s="9" t="s">
        <v>1554</v>
      </c>
      <c r="AX564" s="10">
        <v>45979</v>
      </c>
      <c r="AY564" s="9" t="s">
        <v>1555</v>
      </c>
      <c r="AZ564" s="9" t="s">
        <v>67</v>
      </c>
      <c r="BA564" s="9" t="s">
        <v>67</v>
      </c>
      <c r="BB564" s="12">
        <v>20</v>
      </c>
      <c r="BC564" s="9" t="s">
        <v>74</v>
      </c>
      <c r="BD564" s="9" t="s">
        <v>104</v>
      </c>
      <c r="BE564" s="9" t="s">
        <v>75</v>
      </c>
      <c r="BF564" s="11">
        <v>0</v>
      </c>
      <c r="BG564">
        <f t="shared" si="18"/>
        <v>12</v>
      </c>
      <c r="BH564" t="str">
        <f>VLOOKUP(BG564,[1]month!$A:$B,2,0)</f>
        <v>Desember</v>
      </c>
      <c r="BI564">
        <f t="shared" si="19"/>
        <v>2025</v>
      </c>
      <c r="BJ564" t="str">
        <f>VLOOKUP(I564,[1]Dist!$A:$B,2,0)</f>
        <v>Industry</v>
      </c>
      <c r="BK564" t="str">
        <f>IF(I564=11,VLOOKUP(Y564,[2]Sheet1!$C:$N,10,0),IF(I564=13,VLOOKUP(Y564,[3]Sheet1!$C:$N,10,0),IF(I564=15,VLOOKUP(Y564,[4]Sheet1!$C:$N,10,0),"Unknown")))</f>
        <v>STAIN &amp; GLAZE INTERIOR</v>
      </c>
      <c r="BL564" t="str">
        <f>IF(I564=11,VLOOKUP(Y564,[2]Sheet1!$C:$N,12,0),IF(I564=13,VLOOKUP(Y564,[3]Sheet1!$C:$N,12,0),IF(I564=15,VLOOKUP(Y564,[4]Sheet1!$C:$N,12,0),"Unknown")))</f>
        <v>STAIN INTERIOR</v>
      </c>
      <c r="BM564" t="str">
        <f>VLOOKUP(W564,[1]branch!$A:$B,2,0)</f>
        <v>INDUSTRY</v>
      </c>
    </row>
    <row r="565" spans="1:65" x14ac:dyDescent="0.35">
      <c r="A565" s="10">
        <v>45996</v>
      </c>
      <c r="B565" s="9" t="s">
        <v>1553</v>
      </c>
      <c r="C565" s="9" t="s">
        <v>64</v>
      </c>
      <c r="D565" s="9" t="s">
        <v>92</v>
      </c>
      <c r="E565" s="11">
        <v>30</v>
      </c>
      <c r="F565" s="9" t="s">
        <v>93</v>
      </c>
      <c r="G565" s="9" t="s">
        <v>65</v>
      </c>
      <c r="H565" s="9" t="s">
        <v>66</v>
      </c>
      <c r="I565" s="9">
        <v>11</v>
      </c>
      <c r="J565" s="9" t="s">
        <v>757</v>
      </c>
      <c r="K565" s="9" t="s">
        <v>757</v>
      </c>
      <c r="L565" s="9" t="s">
        <v>757</v>
      </c>
      <c r="M565" s="9" t="s">
        <v>904</v>
      </c>
      <c r="N565" s="9" t="s">
        <v>679</v>
      </c>
      <c r="O565" s="9" t="s">
        <v>97</v>
      </c>
      <c r="P565" s="9" t="s">
        <v>67</v>
      </c>
      <c r="Q565" s="9" t="s">
        <v>98</v>
      </c>
      <c r="R565" s="9" t="s">
        <v>758</v>
      </c>
      <c r="S565" s="9" t="s">
        <v>904</v>
      </c>
      <c r="T565" s="9" t="s">
        <v>874</v>
      </c>
      <c r="U565" s="9" t="s">
        <v>67</v>
      </c>
      <c r="V565" s="9" t="s">
        <v>99</v>
      </c>
      <c r="W565" s="9" t="s">
        <v>100</v>
      </c>
      <c r="X565" s="11">
        <v>80</v>
      </c>
      <c r="Y565" s="9" t="s">
        <v>85</v>
      </c>
      <c r="Z565" s="9" t="s">
        <v>68</v>
      </c>
      <c r="AA565" s="9" t="s">
        <v>86</v>
      </c>
      <c r="AB565" s="9" t="s">
        <v>67</v>
      </c>
      <c r="AC565" s="9" t="s">
        <v>82</v>
      </c>
      <c r="AD565" s="11">
        <v>5</v>
      </c>
      <c r="AE565" s="9" t="s">
        <v>70</v>
      </c>
      <c r="AF565" s="9" t="s">
        <v>71</v>
      </c>
      <c r="AG565" s="13">
        <v>1</v>
      </c>
      <c r="AH565" s="9" t="s">
        <v>92</v>
      </c>
      <c r="AI565" s="13">
        <v>714400</v>
      </c>
      <c r="AJ565" s="13">
        <v>3572000</v>
      </c>
      <c r="AK565" s="11">
        <v>0</v>
      </c>
      <c r="AL565" s="11">
        <v>0</v>
      </c>
      <c r="AM565" s="11">
        <v>0</v>
      </c>
      <c r="AN565" s="9" t="s">
        <v>67</v>
      </c>
      <c r="AO565" s="11">
        <v>3572000</v>
      </c>
      <c r="AP565" s="13">
        <v>285760</v>
      </c>
      <c r="AQ565" s="13">
        <v>3857760</v>
      </c>
      <c r="AR565" s="11">
        <v>20</v>
      </c>
      <c r="AS565" s="9" t="s">
        <v>72</v>
      </c>
      <c r="AT565" s="12">
        <v>23.8</v>
      </c>
      <c r="AU565" s="9" t="s">
        <v>73</v>
      </c>
      <c r="AV565" s="9" t="s">
        <v>67</v>
      </c>
      <c r="AW565" s="9" t="s">
        <v>1554</v>
      </c>
      <c r="AX565" s="10">
        <v>45979</v>
      </c>
      <c r="AY565" s="9" t="s">
        <v>1555</v>
      </c>
      <c r="AZ565" s="9" t="s">
        <v>67</v>
      </c>
      <c r="BA565" s="9" t="s">
        <v>67</v>
      </c>
      <c r="BB565" s="12">
        <v>20</v>
      </c>
      <c r="BC565" s="9" t="s">
        <v>74</v>
      </c>
      <c r="BD565" s="9" t="s">
        <v>104</v>
      </c>
      <c r="BE565" s="9" t="s">
        <v>75</v>
      </c>
      <c r="BF565" s="11">
        <v>0</v>
      </c>
      <c r="BG565">
        <f t="shared" si="18"/>
        <v>12</v>
      </c>
      <c r="BH565" t="str">
        <f>VLOOKUP(BG565,[1]month!$A:$B,2,0)</f>
        <v>Desember</v>
      </c>
      <c r="BI565">
        <f t="shared" si="19"/>
        <v>2025</v>
      </c>
      <c r="BJ565" t="str">
        <f>VLOOKUP(I565,[1]Dist!$A:$B,2,0)</f>
        <v>Industry</v>
      </c>
      <c r="BK565" t="str">
        <f>IF(I565=11,VLOOKUP(Y565,[2]Sheet1!$C:$N,10,0),IF(I565=13,VLOOKUP(Y565,[3]Sheet1!$C:$N,10,0),IF(I565=15,VLOOKUP(Y565,[4]Sheet1!$C:$N,10,0),"Unknown")))</f>
        <v>STAIN &amp; GLAZE INTERIOR</v>
      </c>
      <c r="BL565" t="str">
        <f>IF(I565=11,VLOOKUP(Y565,[2]Sheet1!$C:$N,12,0),IF(I565=13,VLOOKUP(Y565,[3]Sheet1!$C:$N,12,0),IF(I565=15,VLOOKUP(Y565,[4]Sheet1!$C:$N,12,0),"Unknown")))</f>
        <v>STAIN INTERIOR</v>
      </c>
      <c r="BM565" t="str">
        <f>VLOOKUP(W565,[1]branch!$A:$B,2,0)</f>
        <v>INDUSTRY</v>
      </c>
    </row>
    <row r="566" spans="1:65" x14ac:dyDescent="0.35">
      <c r="A566" s="10">
        <v>45996</v>
      </c>
      <c r="B566" s="9" t="s">
        <v>1553</v>
      </c>
      <c r="C566" s="9" t="s">
        <v>64</v>
      </c>
      <c r="D566" s="9" t="s">
        <v>92</v>
      </c>
      <c r="E566" s="11">
        <v>30</v>
      </c>
      <c r="F566" s="9" t="s">
        <v>93</v>
      </c>
      <c r="G566" s="9" t="s">
        <v>65</v>
      </c>
      <c r="H566" s="9" t="s">
        <v>66</v>
      </c>
      <c r="I566" s="9">
        <v>11</v>
      </c>
      <c r="J566" s="9" t="s">
        <v>757</v>
      </c>
      <c r="K566" s="9" t="s">
        <v>757</v>
      </c>
      <c r="L566" s="9" t="s">
        <v>757</v>
      </c>
      <c r="M566" s="9" t="s">
        <v>904</v>
      </c>
      <c r="N566" s="9" t="s">
        <v>679</v>
      </c>
      <c r="O566" s="9" t="s">
        <v>97</v>
      </c>
      <c r="P566" s="9" t="s">
        <v>67</v>
      </c>
      <c r="Q566" s="9" t="s">
        <v>98</v>
      </c>
      <c r="R566" s="9" t="s">
        <v>758</v>
      </c>
      <c r="S566" s="9" t="s">
        <v>904</v>
      </c>
      <c r="T566" s="9" t="s">
        <v>874</v>
      </c>
      <c r="U566" s="9" t="s">
        <v>67</v>
      </c>
      <c r="V566" s="9" t="s">
        <v>99</v>
      </c>
      <c r="W566" s="9" t="s">
        <v>100</v>
      </c>
      <c r="X566" s="11">
        <v>90</v>
      </c>
      <c r="Y566" s="9" t="s">
        <v>294</v>
      </c>
      <c r="Z566" s="9" t="s">
        <v>68</v>
      </c>
      <c r="AA566" s="9" t="s">
        <v>295</v>
      </c>
      <c r="AB566" s="9" t="s">
        <v>67</v>
      </c>
      <c r="AC566" s="9" t="s">
        <v>248</v>
      </c>
      <c r="AD566" s="11">
        <v>4</v>
      </c>
      <c r="AE566" s="9" t="s">
        <v>70</v>
      </c>
      <c r="AF566" s="9" t="s">
        <v>71</v>
      </c>
      <c r="AG566" s="13">
        <v>1</v>
      </c>
      <c r="AH566" s="9" t="s">
        <v>92</v>
      </c>
      <c r="AI566" s="13">
        <v>3126000</v>
      </c>
      <c r="AJ566" s="13">
        <v>12504000</v>
      </c>
      <c r="AK566" s="11">
        <v>0</v>
      </c>
      <c r="AL566" s="11">
        <v>0</v>
      </c>
      <c r="AM566" s="11">
        <v>0</v>
      </c>
      <c r="AN566" s="9" t="s">
        <v>67</v>
      </c>
      <c r="AO566" s="11">
        <v>12504000</v>
      </c>
      <c r="AP566" s="13">
        <v>1000320</v>
      </c>
      <c r="AQ566" s="13">
        <v>13504320</v>
      </c>
      <c r="AR566" s="12">
        <v>76.8</v>
      </c>
      <c r="AS566" s="9" t="s">
        <v>72</v>
      </c>
      <c r="AT566" s="11">
        <v>80</v>
      </c>
      <c r="AU566" s="9" t="s">
        <v>73</v>
      </c>
      <c r="AV566" s="9" t="s">
        <v>67</v>
      </c>
      <c r="AW566" s="9" t="s">
        <v>1554</v>
      </c>
      <c r="AX566" s="10">
        <v>45979</v>
      </c>
      <c r="AY566" s="9" t="s">
        <v>1555</v>
      </c>
      <c r="AZ566" s="9" t="s">
        <v>67</v>
      </c>
      <c r="BA566" s="9" t="s">
        <v>67</v>
      </c>
      <c r="BB566" s="12">
        <v>80</v>
      </c>
      <c r="BC566" s="9" t="s">
        <v>74</v>
      </c>
      <c r="BD566" s="9" t="s">
        <v>104</v>
      </c>
      <c r="BE566" s="9" t="s">
        <v>75</v>
      </c>
      <c r="BF566" s="11">
        <v>0</v>
      </c>
      <c r="BG566">
        <f t="shared" si="18"/>
        <v>12</v>
      </c>
      <c r="BH566" t="str">
        <f>VLOOKUP(BG566,[1]month!$A:$B,2,0)</f>
        <v>Desember</v>
      </c>
      <c r="BI566">
        <f t="shared" si="19"/>
        <v>2025</v>
      </c>
      <c r="BJ566" t="str">
        <f>VLOOKUP(I566,[1]Dist!$A:$B,2,0)</f>
        <v>Industry</v>
      </c>
      <c r="BK566" t="str">
        <f>IF(I566=11,VLOOKUP(Y566,[2]Sheet1!$C:$N,10,0),IF(I566=13,VLOOKUP(Y566,[3]Sheet1!$C:$N,10,0),IF(I566=15,VLOOKUP(Y566,[4]Sheet1!$C:$N,10,0),"Unknown")))</f>
        <v>PU</v>
      </c>
      <c r="BL566" t="str">
        <f>IF(I566=11,VLOOKUP(Y566,[2]Sheet1!$C:$N,12,0),IF(I566=13,VLOOKUP(Y566,[3]Sheet1!$C:$N,12,0),IF(I566=15,VLOOKUP(Y566,[4]Sheet1!$C:$N,12,0),"Unknown")))</f>
        <v>PU LACQUER</v>
      </c>
      <c r="BM566" t="str">
        <f>VLOOKUP(W566,[1]branch!$A:$B,2,0)</f>
        <v>INDUSTRY</v>
      </c>
    </row>
    <row r="567" spans="1:65" x14ac:dyDescent="0.35">
      <c r="A567" s="10">
        <v>45996</v>
      </c>
      <c r="B567" s="9" t="s">
        <v>1553</v>
      </c>
      <c r="C567" s="9" t="s">
        <v>64</v>
      </c>
      <c r="D567" s="9" t="s">
        <v>92</v>
      </c>
      <c r="E567" s="11">
        <v>30</v>
      </c>
      <c r="F567" s="9" t="s">
        <v>93</v>
      </c>
      <c r="G567" s="9" t="s">
        <v>65</v>
      </c>
      <c r="H567" s="9" t="s">
        <v>66</v>
      </c>
      <c r="I567" s="9">
        <v>11</v>
      </c>
      <c r="J567" s="9" t="s">
        <v>757</v>
      </c>
      <c r="K567" s="9" t="s">
        <v>757</v>
      </c>
      <c r="L567" s="9" t="s">
        <v>757</v>
      </c>
      <c r="M567" s="9" t="s">
        <v>904</v>
      </c>
      <c r="N567" s="9" t="s">
        <v>679</v>
      </c>
      <c r="O567" s="9" t="s">
        <v>97</v>
      </c>
      <c r="P567" s="9" t="s">
        <v>67</v>
      </c>
      <c r="Q567" s="9" t="s">
        <v>98</v>
      </c>
      <c r="R567" s="9" t="s">
        <v>758</v>
      </c>
      <c r="S567" s="9" t="s">
        <v>904</v>
      </c>
      <c r="T567" s="9" t="s">
        <v>874</v>
      </c>
      <c r="U567" s="9" t="s">
        <v>67</v>
      </c>
      <c r="V567" s="9" t="s">
        <v>99</v>
      </c>
      <c r="W567" s="9" t="s">
        <v>100</v>
      </c>
      <c r="X567" s="11">
        <v>91</v>
      </c>
      <c r="Y567" s="9" t="s">
        <v>238</v>
      </c>
      <c r="Z567" s="9" t="s">
        <v>68</v>
      </c>
      <c r="AA567" s="9" t="s">
        <v>239</v>
      </c>
      <c r="AB567" s="9" t="s">
        <v>67</v>
      </c>
      <c r="AC567" s="9" t="s">
        <v>237</v>
      </c>
      <c r="AD567" s="11">
        <v>5</v>
      </c>
      <c r="AE567" s="9" t="s">
        <v>70</v>
      </c>
      <c r="AF567" s="9" t="s">
        <v>71</v>
      </c>
      <c r="AG567" s="13">
        <v>1</v>
      </c>
      <c r="AH567" s="9" t="s">
        <v>92</v>
      </c>
      <c r="AI567" s="13">
        <v>812800</v>
      </c>
      <c r="AJ567" s="13">
        <v>4064000</v>
      </c>
      <c r="AK567" s="11">
        <v>0</v>
      </c>
      <c r="AL567" s="11">
        <v>0</v>
      </c>
      <c r="AM567" s="11">
        <v>0</v>
      </c>
      <c r="AN567" s="9" t="s">
        <v>67</v>
      </c>
      <c r="AO567" s="11">
        <v>4064000</v>
      </c>
      <c r="AP567" s="13">
        <v>325120</v>
      </c>
      <c r="AQ567" s="13">
        <v>4389120</v>
      </c>
      <c r="AR567" s="11">
        <v>20</v>
      </c>
      <c r="AS567" s="9" t="s">
        <v>72</v>
      </c>
      <c r="AT567" s="12">
        <v>9.85</v>
      </c>
      <c r="AU567" s="9" t="s">
        <v>73</v>
      </c>
      <c r="AV567" s="9" t="s">
        <v>67</v>
      </c>
      <c r="AW567" s="9" t="s">
        <v>1554</v>
      </c>
      <c r="AX567" s="10">
        <v>45979</v>
      </c>
      <c r="AY567" s="9" t="s">
        <v>1555</v>
      </c>
      <c r="AZ567" s="9" t="s">
        <v>67</v>
      </c>
      <c r="BA567" s="9" t="s">
        <v>67</v>
      </c>
      <c r="BB567" s="12">
        <v>20</v>
      </c>
      <c r="BC567" s="9" t="s">
        <v>74</v>
      </c>
      <c r="BD567" s="9" t="s">
        <v>104</v>
      </c>
      <c r="BE567" s="9" t="s">
        <v>75</v>
      </c>
      <c r="BF567" s="11">
        <v>0</v>
      </c>
      <c r="BG567">
        <f t="shared" si="18"/>
        <v>12</v>
      </c>
      <c r="BH567" t="str">
        <f>VLOOKUP(BG567,[1]month!$A:$B,2,0)</f>
        <v>Desember</v>
      </c>
      <c r="BI567">
        <f t="shared" si="19"/>
        <v>2025</v>
      </c>
      <c r="BJ567" t="str">
        <f>VLOOKUP(I567,[1]Dist!$A:$B,2,0)</f>
        <v>Industry</v>
      </c>
      <c r="BK567" t="str">
        <f>IF(I567=11,VLOOKUP(Y567,[2]Sheet1!$C:$N,10,0),IF(I567=13,VLOOKUP(Y567,[3]Sheet1!$C:$N,10,0),IF(I567=15,VLOOKUP(Y567,[4]Sheet1!$C:$N,10,0),"Unknown")))</f>
        <v>COMPLEMENTARY</v>
      </c>
      <c r="BL567" t="str">
        <f>IF(I567=11,VLOOKUP(Y567,[2]Sheet1!$C:$N,12,0),IF(I567=13,VLOOKUP(Y567,[3]Sheet1!$C:$N,12,0),IF(I567=15,VLOOKUP(Y567,[4]Sheet1!$C:$N,12,0),"Unknown")))</f>
        <v>PASTA</v>
      </c>
      <c r="BM567" t="str">
        <f>VLOOKUP(W567,[1]branch!$A:$B,2,0)</f>
        <v>INDUSTRY</v>
      </c>
    </row>
    <row r="568" spans="1:65" x14ac:dyDescent="0.35">
      <c r="A568" s="10">
        <v>45996</v>
      </c>
      <c r="B568" s="9" t="s">
        <v>1553</v>
      </c>
      <c r="C568" s="9" t="s">
        <v>64</v>
      </c>
      <c r="D568" s="9" t="s">
        <v>92</v>
      </c>
      <c r="E568" s="11">
        <v>30</v>
      </c>
      <c r="F568" s="9" t="s">
        <v>93</v>
      </c>
      <c r="G568" s="9" t="s">
        <v>65</v>
      </c>
      <c r="H568" s="9" t="s">
        <v>66</v>
      </c>
      <c r="I568" s="9">
        <v>11</v>
      </c>
      <c r="J568" s="9" t="s">
        <v>757</v>
      </c>
      <c r="K568" s="9" t="s">
        <v>757</v>
      </c>
      <c r="L568" s="9" t="s">
        <v>757</v>
      </c>
      <c r="M568" s="9" t="s">
        <v>904</v>
      </c>
      <c r="N568" s="9" t="s">
        <v>679</v>
      </c>
      <c r="O568" s="9" t="s">
        <v>97</v>
      </c>
      <c r="P568" s="9" t="s">
        <v>67</v>
      </c>
      <c r="Q568" s="9" t="s">
        <v>98</v>
      </c>
      <c r="R568" s="9" t="s">
        <v>758</v>
      </c>
      <c r="S568" s="9" t="s">
        <v>904</v>
      </c>
      <c r="T568" s="9" t="s">
        <v>874</v>
      </c>
      <c r="U568" s="9" t="s">
        <v>67</v>
      </c>
      <c r="V568" s="9" t="s">
        <v>99</v>
      </c>
      <c r="W568" s="9" t="s">
        <v>100</v>
      </c>
      <c r="X568" s="11">
        <v>100</v>
      </c>
      <c r="Y568" s="9" t="s">
        <v>123</v>
      </c>
      <c r="Z568" s="9" t="s">
        <v>68</v>
      </c>
      <c r="AA568" s="9" t="s">
        <v>124</v>
      </c>
      <c r="AB568" s="9" t="s">
        <v>67</v>
      </c>
      <c r="AC568" s="9" t="s">
        <v>125</v>
      </c>
      <c r="AD568" s="11">
        <v>2</v>
      </c>
      <c r="AE568" s="9" t="s">
        <v>70</v>
      </c>
      <c r="AF568" s="9" t="s">
        <v>71</v>
      </c>
      <c r="AG568" s="13">
        <v>1</v>
      </c>
      <c r="AH568" s="9" t="s">
        <v>92</v>
      </c>
      <c r="AI568" s="13">
        <v>2580000</v>
      </c>
      <c r="AJ568" s="13">
        <v>5160000</v>
      </c>
      <c r="AK568" s="11">
        <v>0</v>
      </c>
      <c r="AL568" s="11">
        <v>0</v>
      </c>
      <c r="AM568" s="11">
        <v>0</v>
      </c>
      <c r="AN568" s="9" t="s">
        <v>67</v>
      </c>
      <c r="AO568" s="11">
        <v>5160000</v>
      </c>
      <c r="AP568" s="13">
        <v>412800</v>
      </c>
      <c r="AQ568" s="13">
        <v>5572800</v>
      </c>
      <c r="AR568" s="12">
        <v>39.200000000000003</v>
      </c>
      <c r="AS568" s="9" t="s">
        <v>72</v>
      </c>
      <c r="AT568" s="11">
        <v>40</v>
      </c>
      <c r="AU568" s="9" t="s">
        <v>73</v>
      </c>
      <c r="AV568" s="9" t="s">
        <v>67</v>
      </c>
      <c r="AW568" s="9" t="s">
        <v>1554</v>
      </c>
      <c r="AX568" s="10">
        <v>45979</v>
      </c>
      <c r="AY568" s="9" t="s">
        <v>1555</v>
      </c>
      <c r="AZ568" s="9" t="s">
        <v>67</v>
      </c>
      <c r="BA568" s="9" t="s">
        <v>67</v>
      </c>
      <c r="BB568" s="12">
        <v>40</v>
      </c>
      <c r="BC568" s="9" t="s">
        <v>74</v>
      </c>
      <c r="BD568" s="9" t="s">
        <v>104</v>
      </c>
      <c r="BE568" s="9" t="s">
        <v>75</v>
      </c>
      <c r="BF568" s="11">
        <v>0</v>
      </c>
      <c r="BG568">
        <f t="shared" si="18"/>
        <v>12</v>
      </c>
      <c r="BH568" t="str">
        <f>VLOOKUP(BG568,[1]month!$A:$B,2,0)</f>
        <v>Desember</v>
      </c>
      <c r="BI568">
        <f t="shared" si="19"/>
        <v>2025</v>
      </c>
      <c r="BJ568" t="str">
        <f>VLOOKUP(I568,[1]Dist!$A:$B,2,0)</f>
        <v>Industry</v>
      </c>
      <c r="BK568" t="str">
        <f>IF(I568=11,VLOOKUP(Y568,[2]Sheet1!$C:$N,10,0),IF(I568=13,VLOOKUP(Y568,[3]Sheet1!$C:$N,10,0),IF(I568=15,VLOOKUP(Y568,[4]Sheet1!$C:$N,10,0),"Unknown")))</f>
        <v>PU</v>
      </c>
      <c r="BL568" t="str">
        <f>IF(I568=11,VLOOKUP(Y568,[2]Sheet1!$C:$N,12,0),IF(I568=13,VLOOKUP(Y568,[3]Sheet1!$C:$N,12,0),IF(I568=15,VLOOKUP(Y568,[4]Sheet1!$C:$N,12,0),"Unknown")))</f>
        <v>PU HARDENER</v>
      </c>
      <c r="BM568" t="str">
        <f>VLOOKUP(W568,[1]branch!$A:$B,2,0)</f>
        <v>INDUSTRY</v>
      </c>
    </row>
    <row r="569" spans="1:65" x14ac:dyDescent="0.35">
      <c r="A569" s="10">
        <v>45996</v>
      </c>
      <c r="B569" s="9" t="s">
        <v>1556</v>
      </c>
      <c r="C569" s="9" t="s">
        <v>64</v>
      </c>
      <c r="D569" s="9" t="s">
        <v>92</v>
      </c>
      <c r="E569" s="11">
        <v>0</v>
      </c>
      <c r="F569" s="9" t="s">
        <v>93</v>
      </c>
      <c r="G569" s="9" t="s">
        <v>65</v>
      </c>
      <c r="H569" s="9" t="s">
        <v>66</v>
      </c>
      <c r="I569" s="9">
        <v>11</v>
      </c>
      <c r="J569" s="9" t="s">
        <v>1557</v>
      </c>
      <c r="K569" s="9" t="s">
        <v>1557</v>
      </c>
      <c r="L569" s="9" t="s">
        <v>1557</v>
      </c>
      <c r="M569" s="9" t="s">
        <v>1558</v>
      </c>
      <c r="N569" s="9" t="s">
        <v>1559</v>
      </c>
      <c r="O569" s="9" t="s">
        <v>97</v>
      </c>
      <c r="P569" s="9" t="s">
        <v>67</v>
      </c>
      <c r="Q569" s="9" t="s">
        <v>98</v>
      </c>
      <c r="R569" s="9" t="s">
        <v>1560</v>
      </c>
      <c r="S569" s="9" t="s">
        <v>1558</v>
      </c>
      <c r="T569" s="9" t="s">
        <v>1561</v>
      </c>
      <c r="U569" s="9" t="s">
        <v>67</v>
      </c>
      <c r="V569" s="9" t="s">
        <v>1562</v>
      </c>
      <c r="W569" s="9" t="s">
        <v>1563</v>
      </c>
      <c r="X569" s="11">
        <v>10</v>
      </c>
      <c r="Y569" s="9" t="s">
        <v>1564</v>
      </c>
      <c r="Z569" s="9" t="s">
        <v>68</v>
      </c>
      <c r="AA569" s="9" t="s">
        <v>1565</v>
      </c>
      <c r="AB569" s="9" t="s">
        <v>67</v>
      </c>
      <c r="AC569" s="9" t="s">
        <v>230</v>
      </c>
      <c r="AD569" s="11">
        <v>1</v>
      </c>
      <c r="AE569" s="9" t="s">
        <v>70</v>
      </c>
      <c r="AF569" s="9" t="s">
        <v>71</v>
      </c>
      <c r="AG569" s="13">
        <v>1</v>
      </c>
      <c r="AH569" s="9" t="s">
        <v>92</v>
      </c>
      <c r="AI569" s="13">
        <v>1188000</v>
      </c>
      <c r="AJ569" s="13">
        <v>1188000</v>
      </c>
      <c r="AK569" s="11">
        <v>0</v>
      </c>
      <c r="AL569" s="11">
        <v>0</v>
      </c>
      <c r="AM569" s="11">
        <v>0</v>
      </c>
      <c r="AN569" s="9" t="s">
        <v>67</v>
      </c>
      <c r="AO569" s="11">
        <v>1188000</v>
      </c>
      <c r="AP569" s="13">
        <v>95040</v>
      </c>
      <c r="AQ569" s="13">
        <v>1283040</v>
      </c>
      <c r="AR569" s="11">
        <v>18</v>
      </c>
      <c r="AS569" s="9" t="s">
        <v>72</v>
      </c>
      <c r="AT569" s="12">
        <v>10.71</v>
      </c>
      <c r="AU569" s="9" t="s">
        <v>73</v>
      </c>
      <c r="AV569" s="9" t="s">
        <v>67</v>
      </c>
      <c r="AW569" s="9" t="s">
        <v>1566</v>
      </c>
      <c r="AX569" s="10">
        <v>45996</v>
      </c>
      <c r="AY569" s="9" t="s">
        <v>1567</v>
      </c>
      <c r="AZ569" s="9" t="s">
        <v>67</v>
      </c>
      <c r="BA569" s="9" t="s">
        <v>67</v>
      </c>
      <c r="BB569" s="12">
        <v>18</v>
      </c>
      <c r="BC569" s="9" t="s">
        <v>74</v>
      </c>
      <c r="BD569" s="9" t="s">
        <v>104</v>
      </c>
      <c r="BE569" s="9" t="s">
        <v>75</v>
      </c>
      <c r="BF569" s="11">
        <v>0</v>
      </c>
      <c r="BG569">
        <f t="shared" si="18"/>
        <v>12</v>
      </c>
      <c r="BH569" t="str">
        <f>VLOOKUP(BG569,[1]month!$A:$B,2,0)</f>
        <v>Desember</v>
      </c>
      <c r="BI569">
        <f t="shared" si="19"/>
        <v>2025</v>
      </c>
      <c r="BJ569" t="str">
        <f>VLOOKUP(I569,[1]Dist!$A:$B,2,0)</f>
        <v>Industry</v>
      </c>
      <c r="BK569" t="str">
        <f>IF(I569=11,VLOOKUP(Y569,[2]Sheet1!$C:$N,10,0),IF(I569=13,VLOOKUP(Y569,[3]Sheet1!$C:$N,10,0),IF(I569=15,VLOOKUP(Y569,[4]Sheet1!$C:$N,10,0),"Unknown")))</f>
        <v>METAL COATINGS</v>
      </c>
      <c r="BL569" t="str">
        <f>IF(I569=11,VLOOKUP(Y569,[2]Sheet1!$C:$N,12,0),IF(I569=13,VLOOKUP(Y569,[3]Sheet1!$C:$N,12,0),IF(I569=15,VLOOKUP(Y569,[4]Sheet1!$C:$N,12,0),"Unknown")))</f>
        <v>METAL COATINGS</v>
      </c>
      <c r="BM569" t="str">
        <f>VLOOKUP(W569,[1]branch!$A:$B,2,0)</f>
        <v>INDUSTRY</v>
      </c>
    </row>
    <row r="570" spans="1:65" x14ac:dyDescent="0.35">
      <c r="A570" s="10">
        <v>45996</v>
      </c>
      <c r="B570" s="9" t="s">
        <v>1556</v>
      </c>
      <c r="C570" s="9" t="s">
        <v>64</v>
      </c>
      <c r="D570" s="9" t="s">
        <v>92</v>
      </c>
      <c r="E570" s="11">
        <v>0</v>
      </c>
      <c r="F570" s="9" t="s">
        <v>93</v>
      </c>
      <c r="G570" s="9" t="s">
        <v>65</v>
      </c>
      <c r="H570" s="9" t="s">
        <v>66</v>
      </c>
      <c r="I570" s="9">
        <v>11</v>
      </c>
      <c r="J570" s="9" t="s">
        <v>1557</v>
      </c>
      <c r="K570" s="9" t="s">
        <v>1557</v>
      </c>
      <c r="L570" s="9" t="s">
        <v>1557</v>
      </c>
      <c r="M570" s="9" t="s">
        <v>1558</v>
      </c>
      <c r="N570" s="9" t="s">
        <v>1559</v>
      </c>
      <c r="O570" s="9" t="s">
        <v>97</v>
      </c>
      <c r="P570" s="9" t="s">
        <v>67</v>
      </c>
      <c r="Q570" s="9" t="s">
        <v>98</v>
      </c>
      <c r="R570" s="9" t="s">
        <v>1560</v>
      </c>
      <c r="S570" s="9" t="s">
        <v>1558</v>
      </c>
      <c r="T570" s="9" t="s">
        <v>1561</v>
      </c>
      <c r="U570" s="9" t="s">
        <v>67</v>
      </c>
      <c r="V570" s="9" t="s">
        <v>1562</v>
      </c>
      <c r="W570" s="9" t="s">
        <v>1563</v>
      </c>
      <c r="X570" s="11">
        <v>20</v>
      </c>
      <c r="Y570" s="9" t="s">
        <v>223</v>
      </c>
      <c r="Z570" s="9" t="s">
        <v>68</v>
      </c>
      <c r="AA570" s="9" t="s">
        <v>224</v>
      </c>
      <c r="AB570" s="9" t="s">
        <v>67</v>
      </c>
      <c r="AC570" s="9" t="s">
        <v>231</v>
      </c>
      <c r="AD570" s="11">
        <v>1</v>
      </c>
      <c r="AE570" s="9" t="s">
        <v>70</v>
      </c>
      <c r="AF570" s="9" t="s">
        <v>71</v>
      </c>
      <c r="AG570" s="13">
        <v>1</v>
      </c>
      <c r="AH570" s="9" t="s">
        <v>92</v>
      </c>
      <c r="AI570" s="13">
        <v>337400</v>
      </c>
      <c r="AJ570" s="13">
        <v>337400</v>
      </c>
      <c r="AK570" s="11">
        <v>0</v>
      </c>
      <c r="AL570" s="11">
        <v>0</v>
      </c>
      <c r="AM570" s="11">
        <v>0</v>
      </c>
      <c r="AN570" s="9" t="s">
        <v>67</v>
      </c>
      <c r="AO570" s="11">
        <v>337400</v>
      </c>
      <c r="AP570" s="13">
        <v>26992</v>
      </c>
      <c r="AQ570" s="13">
        <v>364392</v>
      </c>
      <c r="AR570" s="11">
        <v>2</v>
      </c>
      <c r="AS570" s="9" t="s">
        <v>72</v>
      </c>
      <c r="AT570" s="12">
        <v>2.2000000000000002</v>
      </c>
      <c r="AU570" s="9" t="s">
        <v>73</v>
      </c>
      <c r="AV570" s="9" t="s">
        <v>67</v>
      </c>
      <c r="AW570" s="9" t="s">
        <v>1566</v>
      </c>
      <c r="AX570" s="10">
        <v>45996</v>
      </c>
      <c r="AY570" s="9" t="s">
        <v>1567</v>
      </c>
      <c r="AZ570" s="9" t="s">
        <v>67</v>
      </c>
      <c r="BA570" s="9" t="s">
        <v>67</v>
      </c>
      <c r="BB570" s="12">
        <v>2</v>
      </c>
      <c r="BC570" s="9" t="s">
        <v>74</v>
      </c>
      <c r="BD570" s="9" t="s">
        <v>104</v>
      </c>
      <c r="BE570" s="9" t="s">
        <v>75</v>
      </c>
      <c r="BF570" s="11">
        <v>0</v>
      </c>
      <c r="BG570">
        <f t="shared" si="18"/>
        <v>12</v>
      </c>
      <c r="BH570" t="str">
        <f>VLOOKUP(BG570,[1]month!$A:$B,2,0)</f>
        <v>Desember</v>
      </c>
      <c r="BI570">
        <f t="shared" si="19"/>
        <v>2025</v>
      </c>
      <c r="BJ570" t="str">
        <f>VLOOKUP(I570,[1]Dist!$A:$B,2,0)</f>
        <v>Industry</v>
      </c>
      <c r="BK570" t="str">
        <f>IF(I570=11,VLOOKUP(Y570,[2]Sheet1!$C:$N,10,0),IF(I570=13,VLOOKUP(Y570,[3]Sheet1!$C:$N,10,0),IF(I570=15,VLOOKUP(Y570,[4]Sheet1!$C:$N,10,0),"Unknown")))</f>
        <v>METAL COATINGS</v>
      </c>
      <c r="BL570" t="str">
        <f>IF(I570=11,VLOOKUP(Y570,[2]Sheet1!$C:$N,12,0),IF(I570=13,VLOOKUP(Y570,[3]Sheet1!$C:$N,12,0),IF(I570=15,VLOOKUP(Y570,[4]Sheet1!$C:$N,12,0),"Unknown")))</f>
        <v>METAL COATINGS</v>
      </c>
      <c r="BM570" t="str">
        <f>VLOOKUP(W570,[1]branch!$A:$B,2,0)</f>
        <v>INDUSTRY</v>
      </c>
    </row>
    <row r="571" spans="1:65" x14ac:dyDescent="0.35">
      <c r="A571" s="10">
        <v>45996</v>
      </c>
      <c r="B571" s="9" t="s">
        <v>1568</v>
      </c>
      <c r="C571" s="9" t="s">
        <v>64</v>
      </c>
      <c r="D571" s="9" t="s">
        <v>92</v>
      </c>
      <c r="E571" s="11">
        <v>60</v>
      </c>
      <c r="F571" s="9" t="s">
        <v>93</v>
      </c>
      <c r="G571" s="9" t="s">
        <v>65</v>
      </c>
      <c r="H571" s="9" t="s">
        <v>66</v>
      </c>
      <c r="I571" s="9">
        <v>11</v>
      </c>
      <c r="J571" s="9" t="s">
        <v>347</v>
      </c>
      <c r="K571" s="9" t="s">
        <v>347</v>
      </c>
      <c r="L571" s="9" t="s">
        <v>347</v>
      </c>
      <c r="M571" s="9" t="s">
        <v>348</v>
      </c>
      <c r="N571" s="9" t="s">
        <v>866</v>
      </c>
      <c r="O571" s="9" t="s">
        <v>97</v>
      </c>
      <c r="P571" s="9" t="s">
        <v>67</v>
      </c>
      <c r="Q571" s="9" t="s">
        <v>98</v>
      </c>
      <c r="R571" s="9" t="s">
        <v>347</v>
      </c>
      <c r="S571" s="9" t="s">
        <v>348</v>
      </c>
      <c r="T571" s="9" t="s">
        <v>818</v>
      </c>
      <c r="U571" s="9" t="s">
        <v>67</v>
      </c>
      <c r="V571" s="9" t="s">
        <v>130</v>
      </c>
      <c r="W571" s="9" t="s">
        <v>131</v>
      </c>
      <c r="X571" s="11">
        <v>30</v>
      </c>
      <c r="Y571" s="9" t="s">
        <v>355</v>
      </c>
      <c r="Z571" s="9" t="s">
        <v>68</v>
      </c>
      <c r="AA571" s="9" t="s">
        <v>356</v>
      </c>
      <c r="AB571" s="9" t="s">
        <v>67</v>
      </c>
      <c r="AC571" s="9" t="s">
        <v>357</v>
      </c>
      <c r="AD571" s="11">
        <v>1</v>
      </c>
      <c r="AE571" s="9" t="s">
        <v>70</v>
      </c>
      <c r="AF571" s="9" t="s">
        <v>71</v>
      </c>
      <c r="AG571" s="13">
        <v>1</v>
      </c>
      <c r="AH571" s="9" t="s">
        <v>92</v>
      </c>
      <c r="AI571" s="13">
        <v>11402000</v>
      </c>
      <c r="AJ571" s="13">
        <v>11402000</v>
      </c>
      <c r="AK571" s="11">
        <v>0</v>
      </c>
      <c r="AL571" s="11">
        <v>0</v>
      </c>
      <c r="AM571" s="11">
        <v>0</v>
      </c>
      <c r="AN571" s="9" t="s">
        <v>67</v>
      </c>
      <c r="AO571" s="11">
        <v>11402000</v>
      </c>
      <c r="AP571" s="13">
        <v>912160</v>
      </c>
      <c r="AQ571" s="13">
        <v>12314160</v>
      </c>
      <c r="AR571" s="11">
        <v>198</v>
      </c>
      <c r="AS571" s="9" t="s">
        <v>72</v>
      </c>
      <c r="AT571" s="11">
        <v>200</v>
      </c>
      <c r="AU571" s="9" t="s">
        <v>73</v>
      </c>
      <c r="AV571" s="9" t="s">
        <v>67</v>
      </c>
      <c r="AW571" s="9" t="s">
        <v>1073</v>
      </c>
      <c r="AX571" s="10">
        <v>45986</v>
      </c>
      <c r="AY571" s="9" t="s">
        <v>1569</v>
      </c>
      <c r="AZ571" s="9" t="s">
        <v>67</v>
      </c>
      <c r="BA571" s="9" t="s">
        <v>67</v>
      </c>
      <c r="BB571" s="12">
        <v>200</v>
      </c>
      <c r="BC571" s="9" t="s">
        <v>74</v>
      </c>
      <c r="BD571" s="9" t="s">
        <v>104</v>
      </c>
      <c r="BE571" s="9" t="s">
        <v>75</v>
      </c>
      <c r="BF571" s="11">
        <v>0</v>
      </c>
      <c r="BG571">
        <f t="shared" si="18"/>
        <v>12</v>
      </c>
      <c r="BH571" t="str">
        <f>VLOOKUP(BG571,[1]month!$A:$B,2,0)</f>
        <v>Desember</v>
      </c>
      <c r="BI571">
        <f t="shared" si="19"/>
        <v>2025</v>
      </c>
      <c r="BJ571" t="str">
        <f>VLOOKUP(I571,[1]Dist!$A:$B,2,0)</f>
        <v>Industry</v>
      </c>
      <c r="BK571" t="str">
        <f>IF(I571=11,VLOOKUP(Y571,[2]Sheet1!$C:$N,10,0),IF(I571=13,VLOOKUP(Y571,[3]Sheet1!$C:$N,10,0),IF(I571=15,VLOOKUP(Y571,[4]Sheet1!$C:$N,10,0),"Unknown")))</f>
        <v>NC</v>
      </c>
      <c r="BL571" t="str">
        <f>IF(I571=11,VLOOKUP(Y571,[2]Sheet1!$C:$N,12,0),IF(I571=13,VLOOKUP(Y571,[3]Sheet1!$C:$N,12,0),IF(I571=15,VLOOKUP(Y571,[4]Sheet1!$C:$N,12,0),"Unknown")))</f>
        <v>NC SYSTEM</v>
      </c>
      <c r="BM571" t="str">
        <f>VLOOKUP(W571,[1]branch!$A:$B,2,0)</f>
        <v>INDUSTRY</v>
      </c>
    </row>
    <row r="572" spans="1:65" x14ac:dyDescent="0.35">
      <c r="A572" s="10">
        <v>45996</v>
      </c>
      <c r="B572" s="9" t="s">
        <v>1570</v>
      </c>
      <c r="C572" s="9" t="s">
        <v>64</v>
      </c>
      <c r="D572" s="9" t="s">
        <v>92</v>
      </c>
      <c r="E572" s="11">
        <v>30</v>
      </c>
      <c r="F572" s="9" t="s">
        <v>93</v>
      </c>
      <c r="G572" s="9" t="s">
        <v>65</v>
      </c>
      <c r="H572" s="9" t="s">
        <v>66</v>
      </c>
      <c r="I572" s="9">
        <v>11</v>
      </c>
      <c r="J572" s="9" t="s">
        <v>1571</v>
      </c>
      <c r="K572" s="9" t="s">
        <v>1571</v>
      </c>
      <c r="L572" s="9" t="s">
        <v>1571</v>
      </c>
      <c r="M572" s="9" t="s">
        <v>1572</v>
      </c>
      <c r="N572" s="9" t="s">
        <v>1573</v>
      </c>
      <c r="O572" s="9" t="s">
        <v>97</v>
      </c>
      <c r="P572" s="9" t="s">
        <v>67</v>
      </c>
      <c r="Q572" s="9" t="s">
        <v>98</v>
      </c>
      <c r="R572" s="9" t="s">
        <v>1571</v>
      </c>
      <c r="S572" s="9" t="s">
        <v>1572</v>
      </c>
      <c r="T572" s="9" t="s">
        <v>1574</v>
      </c>
      <c r="U572" s="9" t="s">
        <v>67</v>
      </c>
      <c r="V572" s="9" t="s">
        <v>99</v>
      </c>
      <c r="W572" s="9" t="s">
        <v>100</v>
      </c>
      <c r="X572" s="11">
        <v>10</v>
      </c>
      <c r="Y572" s="9" t="s">
        <v>118</v>
      </c>
      <c r="Z572" s="9" t="s">
        <v>68</v>
      </c>
      <c r="AA572" s="9" t="s">
        <v>119</v>
      </c>
      <c r="AB572" s="9" t="s">
        <v>67</v>
      </c>
      <c r="AC572" s="9" t="s">
        <v>120</v>
      </c>
      <c r="AD572" s="11">
        <v>3</v>
      </c>
      <c r="AE572" s="9" t="s">
        <v>70</v>
      </c>
      <c r="AF572" s="9" t="s">
        <v>71</v>
      </c>
      <c r="AG572" s="13">
        <v>1</v>
      </c>
      <c r="AH572" s="9" t="s">
        <v>92</v>
      </c>
      <c r="AI572" s="13">
        <v>7556000</v>
      </c>
      <c r="AJ572" s="13">
        <v>22668000</v>
      </c>
      <c r="AK572" s="11">
        <v>0</v>
      </c>
      <c r="AL572" s="11">
        <v>0</v>
      </c>
      <c r="AM572" s="11">
        <v>0</v>
      </c>
      <c r="AN572" s="9" t="s">
        <v>67</v>
      </c>
      <c r="AO572" s="11">
        <v>22668000</v>
      </c>
      <c r="AP572" s="13">
        <v>1813440</v>
      </c>
      <c r="AQ572" s="13">
        <v>24481440</v>
      </c>
      <c r="AR572" s="11">
        <v>555</v>
      </c>
      <c r="AS572" s="9" t="s">
        <v>72</v>
      </c>
      <c r="AT572" s="11">
        <v>600</v>
      </c>
      <c r="AU572" s="9" t="s">
        <v>73</v>
      </c>
      <c r="AV572" s="9" t="s">
        <v>67</v>
      </c>
      <c r="AW572" s="9" t="s">
        <v>1575</v>
      </c>
      <c r="AX572" s="10">
        <v>45996</v>
      </c>
      <c r="AY572" s="9" t="s">
        <v>1576</v>
      </c>
      <c r="AZ572" s="9" t="s">
        <v>67</v>
      </c>
      <c r="BA572" s="9" t="s">
        <v>67</v>
      </c>
      <c r="BB572" s="12">
        <v>600</v>
      </c>
      <c r="BC572" s="9" t="s">
        <v>74</v>
      </c>
      <c r="BD572" s="9" t="s">
        <v>104</v>
      </c>
      <c r="BE572" s="9" t="s">
        <v>75</v>
      </c>
      <c r="BF572" s="11">
        <v>0</v>
      </c>
      <c r="BG572">
        <f t="shared" si="18"/>
        <v>12</v>
      </c>
      <c r="BH572" t="str">
        <f>VLOOKUP(BG572,[1]month!$A:$B,2,0)</f>
        <v>Desember</v>
      </c>
      <c r="BI572">
        <f t="shared" si="19"/>
        <v>2025</v>
      </c>
      <c r="BJ572" t="str">
        <f>VLOOKUP(I572,[1]Dist!$A:$B,2,0)</f>
        <v>Industry</v>
      </c>
      <c r="BK572" t="str">
        <f>IF(I572=11,VLOOKUP(Y572,[2]Sheet1!$C:$N,10,0),IF(I572=13,VLOOKUP(Y572,[3]Sheet1!$C:$N,10,0),IF(I572=15,VLOOKUP(Y572,[4]Sheet1!$C:$N,10,0),"Unknown")))</f>
        <v>THINNER PU</v>
      </c>
      <c r="BL572" t="str">
        <f>IF(I572=11,VLOOKUP(Y572,[2]Sheet1!$C:$N,12,0),IF(I572=13,VLOOKUP(Y572,[3]Sheet1!$C:$N,12,0),IF(I572=15,VLOOKUP(Y572,[4]Sheet1!$C:$N,12,0),"Unknown")))</f>
        <v>THINNER PU</v>
      </c>
      <c r="BM572" t="str">
        <f>VLOOKUP(W572,[1]branch!$A:$B,2,0)</f>
        <v>INDUSTRY</v>
      </c>
    </row>
    <row r="573" spans="1:65" x14ac:dyDescent="0.35">
      <c r="A573" s="10">
        <v>45996</v>
      </c>
      <c r="B573" s="9" t="s">
        <v>1570</v>
      </c>
      <c r="C573" s="9" t="s">
        <v>64</v>
      </c>
      <c r="D573" s="9" t="s">
        <v>92</v>
      </c>
      <c r="E573" s="11">
        <v>30</v>
      </c>
      <c r="F573" s="9" t="s">
        <v>93</v>
      </c>
      <c r="G573" s="9" t="s">
        <v>65</v>
      </c>
      <c r="H573" s="9" t="s">
        <v>66</v>
      </c>
      <c r="I573" s="9">
        <v>11</v>
      </c>
      <c r="J573" s="9" t="s">
        <v>1571</v>
      </c>
      <c r="K573" s="9" t="s">
        <v>1571</v>
      </c>
      <c r="L573" s="9" t="s">
        <v>1571</v>
      </c>
      <c r="M573" s="9" t="s">
        <v>1572</v>
      </c>
      <c r="N573" s="9" t="s">
        <v>1573</v>
      </c>
      <c r="O573" s="9" t="s">
        <v>97</v>
      </c>
      <c r="P573" s="9" t="s">
        <v>67</v>
      </c>
      <c r="Q573" s="9" t="s">
        <v>98</v>
      </c>
      <c r="R573" s="9" t="s">
        <v>1571</v>
      </c>
      <c r="S573" s="9" t="s">
        <v>1572</v>
      </c>
      <c r="T573" s="9" t="s">
        <v>1574</v>
      </c>
      <c r="U573" s="9" t="s">
        <v>67</v>
      </c>
      <c r="V573" s="9" t="s">
        <v>99</v>
      </c>
      <c r="W573" s="9" t="s">
        <v>100</v>
      </c>
      <c r="X573" s="11">
        <v>20</v>
      </c>
      <c r="Y573" s="9" t="s">
        <v>218</v>
      </c>
      <c r="Z573" s="9" t="s">
        <v>68</v>
      </c>
      <c r="AA573" s="9" t="s">
        <v>219</v>
      </c>
      <c r="AB573" s="9" t="s">
        <v>67</v>
      </c>
      <c r="AC573" s="9" t="s">
        <v>220</v>
      </c>
      <c r="AD573" s="11">
        <v>6</v>
      </c>
      <c r="AE573" s="9" t="s">
        <v>70</v>
      </c>
      <c r="AF573" s="9" t="s">
        <v>71</v>
      </c>
      <c r="AG573" s="13">
        <v>1</v>
      </c>
      <c r="AH573" s="9" t="s">
        <v>92</v>
      </c>
      <c r="AI573" s="13">
        <v>1615600</v>
      </c>
      <c r="AJ573" s="13">
        <v>9693600</v>
      </c>
      <c r="AK573" s="11">
        <v>0</v>
      </c>
      <c r="AL573" s="11">
        <v>0</v>
      </c>
      <c r="AM573" s="11">
        <v>0</v>
      </c>
      <c r="AN573" s="9" t="s">
        <v>67</v>
      </c>
      <c r="AO573" s="11">
        <v>9693600</v>
      </c>
      <c r="AP573" s="13">
        <v>775488</v>
      </c>
      <c r="AQ573" s="13">
        <v>10469088</v>
      </c>
      <c r="AR573" s="11">
        <v>120</v>
      </c>
      <c r="AS573" s="9" t="s">
        <v>72</v>
      </c>
      <c r="AT573" s="12">
        <v>91.62</v>
      </c>
      <c r="AU573" s="9" t="s">
        <v>73</v>
      </c>
      <c r="AV573" s="9" t="s">
        <v>67</v>
      </c>
      <c r="AW573" s="9" t="s">
        <v>1575</v>
      </c>
      <c r="AX573" s="10">
        <v>45996</v>
      </c>
      <c r="AY573" s="9" t="s">
        <v>1576</v>
      </c>
      <c r="AZ573" s="9" t="s">
        <v>67</v>
      </c>
      <c r="BA573" s="9" t="s">
        <v>67</v>
      </c>
      <c r="BB573" s="12">
        <v>120</v>
      </c>
      <c r="BC573" s="9" t="s">
        <v>74</v>
      </c>
      <c r="BD573" s="9" t="s">
        <v>104</v>
      </c>
      <c r="BE573" s="9" t="s">
        <v>75</v>
      </c>
      <c r="BF573" s="11">
        <v>0</v>
      </c>
      <c r="BG573">
        <f t="shared" si="18"/>
        <v>12</v>
      </c>
      <c r="BH573" t="str">
        <f>VLOOKUP(BG573,[1]month!$A:$B,2,0)</f>
        <v>Desember</v>
      </c>
      <c r="BI573">
        <f t="shared" si="19"/>
        <v>2025</v>
      </c>
      <c r="BJ573" t="str">
        <f>VLOOKUP(I573,[1]Dist!$A:$B,2,0)</f>
        <v>Industry</v>
      </c>
      <c r="BK573" t="str">
        <f>IF(I573=11,VLOOKUP(Y573,[2]Sheet1!$C:$N,10,0),IF(I573=13,VLOOKUP(Y573,[3]Sheet1!$C:$N,10,0),IF(I573=15,VLOOKUP(Y573,[4]Sheet1!$C:$N,10,0),"Unknown")))</f>
        <v>PU</v>
      </c>
      <c r="BL573" t="str">
        <f>IF(I573=11,VLOOKUP(Y573,[2]Sheet1!$C:$N,12,0),IF(I573=13,VLOOKUP(Y573,[3]Sheet1!$C:$N,12,0),IF(I573=15,VLOOKUP(Y573,[4]Sheet1!$C:$N,12,0),"Unknown")))</f>
        <v>PU PRIMER</v>
      </c>
      <c r="BM573" t="str">
        <f>VLOOKUP(W573,[1]branch!$A:$B,2,0)</f>
        <v>INDUSTRY</v>
      </c>
    </row>
    <row r="574" spans="1:65" x14ac:dyDescent="0.35">
      <c r="A574" s="10">
        <v>45996</v>
      </c>
      <c r="B574" s="9" t="s">
        <v>1570</v>
      </c>
      <c r="C574" s="9" t="s">
        <v>64</v>
      </c>
      <c r="D574" s="9" t="s">
        <v>92</v>
      </c>
      <c r="E574" s="11">
        <v>30</v>
      </c>
      <c r="F574" s="9" t="s">
        <v>93</v>
      </c>
      <c r="G574" s="9" t="s">
        <v>65</v>
      </c>
      <c r="H574" s="9" t="s">
        <v>66</v>
      </c>
      <c r="I574" s="9">
        <v>11</v>
      </c>
      <c r="J574" s="9" t="s">
        <v>1571</v>
      </c>
      <c r="K574" s="9" t="s">
        <v>1571</v>
      </c>
      <c r="L574" s="9" t="s">
        <v>1571</v>
      </c>
      <c r="M574" s="9" t="s">
        <v>1572</v>
      </c>
      <c r="N574" s="9" t="s">
        <v>1573</v>
      </c>
      <c r="O574" s="9" t="s">
        <v>97</v>
      </c>
      <c r="P574" s="9" t="s">
        <v>67</v>
      </c>
      <c r="Q574" s="9" t="s">
        <v>98</v>
      </c>
      <c r="R574" s="9" t="s">
        <v>1571</v>
      </c>
      <c r="S574" s="9" t="s">
        <v>1572</v>
      </c>
      <c r="T574" s="9" t="s">
        <v>1574</v>
      </c>
      <c r="U574" s="9" t="s">
        <v>67</v>
      </c>
      <c r="V574" s="9" t="s">
        <v>99</v>
      </c>
      <c r="W574" s="9" t="s">
        <v>100</v>
      </c>
      <c r="X574" s="11">
        <v>30</v>
      </c>
      <c r="Y574" s="9" t="s">
        <v>85</v>
      </c>
      <c r="Z574" s="9" t="s">
        <v>68</v>
      </c>
      <c r="AA574" s="9" t="s">
        <v>86</v>
      </c>
      <c r="AB574" s="9" t="s">
        <v>67</v>
      </c>
      <c r="AC574" s="9" t="s">
        <v>82</v>
      </c>
      <c r="AD574" s="11">
        <v>2</v>
      </c>
      <c r="AE574" s="9" t="s">
        <v>70</v>
      </c>
      <c r="AF574" s="9" t="s">
        <v>71</v>
      </c>
      <c r="AG574" s="13">
        <v>1</v>
      </c>
      <c r="AH574" s="9" t="s">
        <v>92</v>
      </c>
      <c r="AI574" s="13">
        <v>856590</v>
      </c>
      <c r="AJ574" s="13">
        <v>1713180</v>
      </c>
      <c r="AK574" s="11">
        <v>0</v>
      </c>
      <c r="AL574" s="11">
        <v>0</v>
      </c>
      <c r="AM574" s="11">
        <v>0</v>
      </c>
      <c r="AN574" s="9" t="s">
        <v>67</v>
      </c>
      <c r="AO574" s="11">
        <v>1713180</v>
      </c>
      <c r="AP574" s="13">
        <v>137054</v>
      </c>
      <c r="AQ574" s="13">
        <v>1850234</v>
      </c>
      <c r="AR574" s="11">
        <v>8</v>
      </c>
      <c r="AS574" s="9" t="s">
        <v>72</v>
      </c>
      <c r="AT574" s="12">
        <v>9.52</v>
      </c>
      <c r="AU574" s="9" t="s">
        <v>73</v>
      </c>
      <c r="AV574" s="9" t="s">
        <v>67</v>
      </c>
      <c r="AW574" s="9" t="s">
        <v>1575</v>
      </c>
      <c r="AX574" s="10">
        <v>45996</v>
      </c>
      <c r="AY574" s="9" t="s">
        <v>1576</v>
      </c>
      <c r="AZ574" s="9" t="s">
        <v>67</v>
      </c>
      <c r="BA574" s="9" t="s">
        <v>67</v>
      </c>
      <c r="BB574" s="12">
        <v>8</v>
      </c>
      <c r="BC574" s="9" t="s">
        <v>74</v>
      </c>
      <c r="BD574" s="9" t="s">
        <v>104</v>
      </c>
      <c r="BE574" s="9" t="s">
        <v>75</v>
      </c>
      <c r="BF574" s="11">
        <v>0</v>
      </c>
      <c r="BG574">
        <f t="shared" si="18"/>
        <v>12</v>
      </c>
      <c r="BH574" t="str">
        <f>VLOOKUP(BG574,[1]month!$A:$B,2,0)</f>
        <v>Desember</v>
      </c>
      <c r="BI574">
        <f t="shared" si="19"/>
        <v>2025</v>
      </c>
      <c r="BJ574" t="str">
        <f>VLOOKUP(I574,[1]Dist!$A:$B,2,0)</f>
        <v>Industry</v>
      </c>
      <c r="BK574" t="str">
        <f>IF(I574=11,VLOOKUP(Y574,[2]Sheet1!$C:$N,10,0),IF(I574=13,VLOOKUP(Y574,[3]Sheet1!$C:$N,10,0),IF(I574=15,VLOOKUP(Y574,[4]Sheet1!$C:$N,10,0),"Unknown")))</f>
        <v>STAIN &amp; GLAZE INTERIOR</v>
      </c>
      <c r="BL574" t="str">
        <f>IF(I574=11,VLOOKUP(Y574,[2]Sheet1!$C:$N,12,0),IF(I574=13,VLOOKUP(Y574,[3]Sheet1!$C:$N,12,0),IF(I574=15,VLOOKUP(Y574,[4]Sheet1!$C:$N,12,0),"Unknown")))</f>
        <v>STAIN INTERIOR</v>
      </c>
      <c r="BM574" t="str">
        <f>VLOOKUP(W574,[1]branch!$A:$B,2,0)</f>
        <v>INDUSTRY</v>
      </c>
    </row>
    <row r="575" spans="1:65" x14ac:dyDescent="0.35">
      <c r="A575" s="10">
        <v>45996</v>
      </c>
      <c r="B575" s="9" t="s">
        <v>1570</v>
      </c>
      <c r="C575" s="9" t="s">
        <v>64</v>
      </c>
      <c r="D575" s="9" t="s">
        <v>92</v>
      </c>
      <c r="E575" s="11">
        <v>30</v>
      </c>
      <c r="F575" s="9" t="s">
        <v>93</v>
      </c>
      <c r="G575" s="9" t="s">
        <v>65</v>
      </c>
      <c r="H575" s="9" t="s">
        <v>66</v>
      </c>
      <c r="I575" s="9">
        <v>11</v>
      </c>
      <c r="J575" s="9" t="s">
        <v>1571</v>
      </c>
      <c r="K575" s="9" t="s">
        <v>1571</v>
      </c>
      <c r="L575" s="9" t="s">
        <v>1571</v>
      </c>
      <c r="M575" s="9" t="s">
        <v>1572</v>
      </c>
      <c r="N575" s="9" t="s">
        <v>1573</v>
      </c>
      <c r="O575" s="9" t="s">
        <v>97</v>
      </c>
      <c r="P575" s="9" t="s">
        <v>67</v>
      </c>
      <c r="Q575" s="9" t="s">
        <v>98</v>
      </c>
      <c r="R575" s="9" t="s">
        <v>1571</v>
      </c>
      <c r="S575" s="9" t="s">
        <v>1572</v>
      </c>
      <c r="T575" s="9" t="s">
        <v>1574</v>
      </c>
      <c r="U575" s="9" t="s">
        <v>67</v>
      </c>
      <c r="V575" s="9" t="s">
        <v>99</v>
      </c>
      <c r="W575" s="9" t="s">
        <v>100</v>
      </c>
      <c r="X575" s="11">
        <v>40</v>
      </c>
      <c r="Y575" s="9" t="s">
        <v>80</v>
      </c>
      <c r="Z575" s="9" t="s">
        <v>68</v>
      </c>
      <c r="AA575" s="9" t="s">
        <v>81</v>
      </c>
      <c r="AB575" s="9" t="s">
        <v>67</v>
      </c>
      <c r="AC575" s="9" t="s">
        <v>82</v>
      </c>
      <c r="AD575" s="11">
        <v>2</v>
      </c>
      <c r="AE575" s="9" t="s">
        <v>70</v>
      </c>
      <c r="AF575" s="9" t="s">
        <v>71</v>
      </c>
      <c r="AG575" s="13">
        <v>1</v>
      </c>
      <c r="AH575" s="9" t="s">
        <v>92</v>
      </c>
      <c r="AI575" s="13">
        <v>865200</v>
      </c>
      <c r="AJ575" s="13">
        <v>1730400</v>
      </c>
      <c r="AK575" s="11">
        <v>0</v>
      </c>
      <c r="AL575" s="11">
        <v>0</v>
      </c>
      <c r="AM575" s="11">
        <v>0</v>
      </c>
      <c r="AN575" s="9" t="s">
        <v>67</v>
      </c>
      <c r="AO575" s="11">
        <v>1730400</v>
      </c>
      <c r="AP575" s="13">
        <v>138432</v>
      </c>
      <c r="AQ575" s="13">
        <v>1868832</v>
      </c>
      <c r="AR575" s="11">
        <v>8</v>
      </c>
      <c r="AS575" s="9" t="s">
        <v>72</v>
      </c>
      <c r="AT575" s="12">
        <v>9.52</v>
      </c>
      <c r="AU575" s="9" t="s">
        <v>73</v>
      </c>
      <c r="AV575" s="9" t="s">
        <v>67</v>
      </c>
      <c r="AW575" s="9" t="s">
        <v>1575</v>
      </c>
      <c r="AX575" s="10">
        <v>45996</v>
      </c>
      <c r="AY575" s="9" t="s">
        <v>1576</v>
      </c>
      <c r="AZ575" s="9" t="s">
        <v>67</v>
      </c>
      <c r="BA575" s="9" t="s">
        <v>67</v>
      </c>
      <c r="BB575" s="12">
        <v>8</v>
      </c>
      <c r="BC575" s="9" t="s">
        <v>74</v>
      </c>
      <c r="BD575" s="9" t="s">
        <v>104</v>
      </c>
      <c r="BE575" s="9" t="s">
        <v>75</v>
      </c>
      <c r="BF575" s="11">
        <v>0</v>
      </c>
      <c r="BG575">
        <f t="shared" si="18"/>
        <v>12</v>
      </c>
      <c r="BH575" t="str">
        <f>VLOOKUP(BG575,[1]month!$A:$B,2,0)</f>
        <v>Desember</v>
      </c>
      <c r="BI575">
        <f t="shared" si="19"/>
        <v>2025</v>
      </c>
      <c r="BJ575" t="str">
        <f>VLOOKUP(I575,[1]Dist!$A:$B,2,0)</f>
        <v>Industry</v>
      </c>
      <c r="BK575" t="str">
        <f>IF(I575=11,VLOOKUP(Y575,[2]Sheet1!$C:$N,10,0),IF(I575=13,VLOOKUP(Y575,[3]Sheet1!$C:$N,10,0),IF(I575=15,VLOOKUP(Y575,[4]Sheet1!$C:$N,10,0),"Unknown")))</f>
        <v>STAIN &amp; GLAZE INTERIOR</v>
      </c>
      <c r="BL575" t="str">
        <f>IF(I575=11,VLOOKUP(Y575,[2]Sheet1!$C:$N,12,0),IF(I575=13,VLOOKUP(Y575,[3]Sheet1!$C:$N,12,0),IF(I575=15,VLOOKUP(Y575,[4]Sheet1!$C:$N,12,0),"Unknown")))</f>
        <v>STAIN INTERIOR</v>
      </c>
      <c r="BM575" t="str">
        <f>VLOOKUP(W575,[1]branch!$A:$B,2,0)</f>
        <v>INDUSTRY</v>
      </c>
    </row>
    <row r="576" spans="1:65" x14ac:dyDescent="0.35">
      <c r="A576" s="10">
        <v>45996</v>
      </c>
      <c r="B576" s="9" t="s">
        <v>1570</v>
      </c>
      <c r="C576" s="9" t="s">
        <v>64</v>
      </c>
      <c r="D576" s="9" t="s">
        <v>92</v>
      </c>
      <c r="E576" s="11">
        <v>30</v>
      </c>
      <c r="F576" s="9" t="s">
        <v>93</v>
      </c>
      <c r="G576" s="9" t="s">
        <v>65</v>
      </c>
      <c r="H576" s="9" t="s">
        <v>66</v>
      </c>
      <c r="I576" s="9">
        <v>11</v>
      </c>
      <c r="J576" s="9" t="s">
        <v>1571</v>
      </c>
      <c r="K576" s="9" t="s">
        <v>1571</v>
      </c>
      <c r="L576" s="9" t="s">
        <v>1571</v>
      </c>
      <c r="M576" s="9" t="s">
        <v>1572</v>
      </c>
      <c r="N576" s="9" t="s">
        <v>1573</v>
      </c>
      <c r="O576" s="9" t="s">
        <v>97</v>
      </c>
      <c r="P576" s="9" t="s">
        <v>67</v>
      </c>
      <c r="Q576" s="9" t="s">
        <v>98</v>
      </c>
      <c r="R576" s="9" t="s">
        <v>1571</v>
      </c>
      <c r="S576" s="9" t="s">
        <v>1572</v>
      </c>
      <c r="T576" s="9" t="s">
        <v>1574</v>
      </c>
      <c r="U576" s="9" t="s">
        <v>67</v>
      </c>
      <c r="V576" s="9" t="s">
        <v>99</v>
      </c>
      <c r="W576" s="9" t="s">
        <v>100</v>
      </c>
      <c r="X576" s="11">
        <v>50</v>
      </c>
      <c r="Y576" s="9" t="s">
        <v>83</v>
      </c>
      <c r="Z576" s="9" t="s">
        <v>68</v>
      </c>
      <c r="AA576" s="9" t="s">
        <v>84</v>
      </c>
      <c r="AB576" s="9" t="s">
        <v>67</v>
      </c>
      <c r="AC576" s="9" t="s">
        <v>82</v>
      </c>
      <c r="AD576" s="11">
        <v>2</v>
      </c>
      <c r="AE576" s="9" t="s">
        <v>70</v>
      </c>
      <c r="AF576" s="9" t="s">
        <v>71</v>
      </c>
      <c r="AG576" s="13">
        <v>1</v>
      </c>
      <c r="AH576" s="9" t="s">
        <v>92</v>
      </c>
      <c r="AI576" s="13">
        <v>983400</v>
      </c>
      <c r="AJ576" s="13">
        <v>1966800</v>
      </c>
      <c r="AK576" s="11">
        <v>0</v>
      </c>
      <c r="AL576" s="11">
        <v>0</v>
      </c>
      <c r="AM576" s="11">
        <v>0</v>
      </c>
      <c r="AN576" s="9" t="s">
        <v>67</v>
      </c>
      <c r="AO576" s="11">
        <v>1966800</v>
      </c>
      <c r="AP576" s="13">
        <v>157344</v>
      </c>
      <c r="AQ576" s="13">
        <v>2124144</v>
      </c>
      <c r="AR576" s="11">
        <v>8</v>
      </c>
      <c r="AS576" s="9" t="s">
        <v>72</v>
      </c>
      <c r="AT576" s="12">
        <v>9.42</v>
      </c>
      <c r="AU576" s="9" t="s">
        <v>73</v>
      </c>
      <c r="AV576" s="9" t="s">
        <v>67</v>
      </c>
      <c r="AW576" s="9" t="s">
        <v>1575</v>
      </c>
      <c r="AX576" s="10">
        <v>45996</v>
      </c>
      <c r="AY576" s="9" t="s">
        <v>1576</v>
      </c>
      <c r="AZ576" s="9" t="s">
        <v>67</v>
      </c>
      <c r="BA576" s="9" t="s">
        <v>67</v>
      </c>
      <c r="BB576" s="12">
        <v>8</v>
      </c>
      <c r="BC576" s="9" t="s">
        <v>74</v>
      </c>
      <c r="BD576" s="9" t="s">
        <v>104</v>
      </c>
      <c r="BE576" s="9" t="s">
        <v>75</v>
      </c>
      <c r="BF576" s="11">
        <v>0</v>
      </c>
      <c r="BG576">
        <f t="shared" si="18"/>
        <v>12</v>
      </c>
      <c r="BH576" t="str">
        <f>VLOOKUP(BG576,[1]month!$A:$B,2,0)</f>
        <v>Desember</v>
      </c>
      <c r="BI576">
        <f t="shared" si="19"/>
        <v>2025</v>
      </c>
      <c r="BJ576" t="str">
        <f>VLOOKUP(I576,[1]Dist!$A:$B,2,0)</f>
        <v>Industry</v>
      </c>
      <c r="BK576" t="str">
        <f>IF(I576=11,VLOOKUP(Y576,[2]Sheet1!$C:$N,10,0),IF(I576=13,VLOOKUP(Y576,[3]Sheet1!$C:$N,10,0),IF(I576=15,VLOOKUP(Y576,[4]Sheet1!$C:$N,10,0),"Unknown")))</f>
        <v>STAIN &amp; GLAZE INTERIOR</v>
      </c>
      <c r="BL576" t="str">
        <f>IF(I576=11,VLOOKUP(Y576,[2]Sheet1!$C:$N,12,0),IF(I576=13,VLOOKUP(Y576,[3]Sheet1!$C:$N,12,0),IF(I576=15,VLOOKUP(Y576,[4]Sheet1!$C:$N,12,0),"Unknown")))</f>
        <v>STAIN INTERIOR</v>
      </c>
      <c r="BM576" t="str">
        <f>VLOOKUP(W576,[1]branch!$A:$B,2,0)</f>
        <v>INDUSTRY</v>
      </c>
    </row>
    <row r="577" spans="1:65" x14ac:dyDescent="0.35">
      <c r="A577" s="10">
        <v>45996</v>
      </c>
      <c r="B577" s="9" t="s">
        <v>1570</v>
      </c>
      <c r="C577" s="9" t="s">
        <v>64</v>
      </c>
      <c r="D577" s="9" t="s">
        <v>92</v>
      </c>
      <c r="E577" s="11">
        <v>30</v>
      </c>
      <c r="F577" s="9" t="s">
        <v>93</v>
      </c>
      <c r="G577" s="9" t="s">
        <v>65</v>
      </c>
      <c r="H577" s="9" t="s">
        <v>66</v>
      </c>
      <c r="I577" s="9">
        <v>11</v>
      </c>
      <c r="J577" s="9" t="s">
        <v>1571</v>
      </c>
      <c r="K577" s="9" t="s">
        <v>1571</v>
      </c>
      <c r="L577" s="9" t="s">
        <v>1571</v>
      </c>
      <c r="M577" s="9" t="s">
        <v>1572</v>
      </c>
      <c r="N577" s="9" t="s">
        <v>1573</v>
      </c>
      <c r="O577" s="9" t="s">
        <v>97</v>
      </c>
      <c r="P577" s="9" t="s">
        <v>67</v>
      </c>
      <c r="Q577" s="9" t="s">
        <v>98</v>
      </c>
      <c r="R577" s="9" t="s">
        <v>1571</v>
      </c>
      <c r="S577" s="9" t="s">
        <v>1572</v>
      </c>
      <c r="T577" s="9" t="s">
        <v>1574</v>
      </c>
      <c r="U577" s="9" t="s">
        <v>67</v>
      </c>
      <c r="V577" s="9" t="s">
        <v>99</v>
      </c>
      <c r="W577" s="9" t="s">
        <v>100</v>
      </c>
      <c r="X577" s="11">
        <v>60</v>
      </c>
      <c r="Y577" s="9" t="s">
        <v>240</v>
      </c>
      <c r="Z577" s="9" t="s">
        <v>68</v>
      </c>
      <c r="AA577" s="9" t="s">
        <v>241</v>
      </c>
      <c r="AB577" s="9" t="s">
        <v>67</v>
      </c>
      <c r="AC577" s="9" t="s">
        <v>237</v>
      </c>
      <c r="AD577" s="11">
        <v>3</v>
      </c>
      <c r="AE577" s="9" t="s">
        <v>70</v>
      </c>
      <c r="AF577" s="9" t="s">
        <v>71</v>
      </c>
      <c r="AG577" s="13">
        <v>1</v>
      </c>
      <c r="AH577" s="9" t="s">
        <v>92</v>
      </c>
      <c r="AI577" s="13">
        <v>2007900</v>
      </c>
      <c r="AJ577" s="13">
        <v>6023700</v>
      </c>
      <c r="AK577" s="11">
        <v>0</v>
      </c>
      <c r="AL577" s="11">
        <v>0</v>
      </c>
      <c r="AM577" s="11">
        <v>0</v>
      </c>
      <c r="AN577" s="9" t="s">
        <v>67</v>
      </c>
      <c r="AO577" s="11">
        <v>6023700</v>
      </c>
      <c r="AP577" s="13">
        <v>481896</v>
      </c>
      <c r="AQ577" s="13">
        <v>6505596</v>
      </c>
      <c r="AR577" s="11">
        <v>12</v>
      </c>
      <c r="AS577" s="9" t="s">
        <v>72</v>
      </c>
      <c r="AT577" s="12">
        <v>11.43</v>
      </c>
      <c r="AU577" s="9" t="s">
        <v>73</v>
      </c>
      <c r="AV577" s="9" t="s">
        <v>67</v>
      </c>
      <c r="AW577" s="9" t="s">
        <v>1575</v>
      </c>
      <c r="AX577" s="10">
        <v>45996</v>
      </c>
      <c r="AY577" s="9" t="s">
        <v>1576</v>
      </c>
      <c r="AZ577" s="9" t="s">
        <v>67</v>
      </c>
      <c r="BA577" s="9" t="s">
        <v>67</v>
      </c>
      <c r="BB577" s="12">
        <v>12</v>
      </c>
      <c r="BC577" s="9" t="s">
        <v>74</v>
      </c>
      <c r="BD577" s="9" t="s">
        <v>104</v>
      </c>
      <c r="BE577" s="9" t="s">
        <v>75</v>
      </c>
      <c r="BF577" s="11">
        <v>0</v>
      </c>
      <c r="BG577">
        <f t="shared" si="18"/>
        <v>12</v>
      </c>
      <c r="BH577" t="str">
        <f>VLOOKUP(BG577,[1]month!$A:$B,2,0)</f>
        <v>Desember</v>
      </c>
      <c r="BI577">
        <f t="shared" si="19"/>
        <v>2025</v>
      </c>
      <c r="BJ577" t="str">
        <f>VLOOKUP(I577,[1]Dist!$A:$B,2,0)</f>
        <v>Industry</v>
      </c>
      <c r="BK577" t="str">
        <f>IF(I577=11,VLOOKUP(Y577,[2]Sheet1!$C:$N,10,0),IF(I577=13,VLOOKUP(Y577,[3]Sheet1!$C:$N,10,0),IF(I577=15,VLOOKUP(Y577,[4]Sheet1!$C:$N,10,0),"Unknown")))</f>
        <v>COMPLEMENTARY</v>
      </c>
      <c r="BL577" t="str">
        <f>IF(I577=11,VLOOKUP(Y577,[2]Sheet1!$C:$N,12,0),IF(I577=13,VLOOKUP(Y577,[3]Sheet1!$C:$N,12,0),IF(I577=15,VLOOKUP(Y577,[4]Sheet1!$C:$N,12,0),"Unknown")))</f>
        <v>PASTA</v>
      </c>
      <c r="BM577" t="str">
        <f>VLOOKUP(W577,[1]branch!$A:$B,2,0)</f>
        <v>INDUSTRY</v>
      </c>
    </row>
    <row r="578" spans="1:65" x14ac:dyDescent="0.35">
      <c r="A578" s="10">
        <v>45996</v>
      </c>
      <c r="B578" s="9" t="s">
        <v>1577</v>
      </c>
      <c r="C578" s="9" t="s">
        <v>64</v>
      </c>
      <c r="D578" s="9" t="s">
        <v>92</v>
      </c>
      <c r="E578" s="11">
        <v>30</v>
      </c>
      <c r="F578" s="9" t="s">
        <v>93</v>
      </c>
      <c r="G578" s="9" t="s">
        <v>65</v>
      </c>
      <c r="H578" s="9" t="s">
        <v>66</v>
      </c>
      <c r="I578" s="9">
        <v>11</v>
      </c>
      <c r="J578" s="9" t="s">
        <v>1571</v>
      </c>
      <c r="K578" s="9" t="s">
        <v>1571</v>
      </c>
      <c r="L578" s="9" t="s">
        <v>1571</v>
      </c>
      <c r="M578" s="9" t="s">
        <v>1572</v>
      </c>
      <c r="N578" s="9" t="s">
        <v>1573</v>
      </c>
      <c r="O578" s="9" t="s">
        <v>97</v>
      </c>
      <c r="P578" s="9" t="s">
        <v>67</v>
      </c>
      <c r="Q578" s="9" t="s">
        <v>98</v>
      </c>
      <c r="R578" s="9" t="s">
        <v>1571</v>
      </c>
      <c r="S578" s="9" t="s">
        <v>1572</v>
      </c>
      <c r="T578" s="9" t="s">
        <v>1574</v>
      </c>
      <c r="U578" s="9" t="s">
        <v>67</v>
      </c>
      <c r="V578" s="9" t="s">
        <v>99</v>
      </c>
      <c r="W578" s="9" t="s">
        <v>100</v>
      </c>
      <c r="X578" s="11">
        <v>10</v>
      </c>
      <c r="Y578" s="9" t="s">
        <v>118</v>
      </c>
      <c r="Z578" s="9" t="s">
        <v>68</v>
      </c>
      <c r="AA578" s="9" t="s">
        <v>119</v>
      </c>
      <c r="AB578" s="9" t="s">
        <v>67</v>
      </c>
      <c r="AC578" s="9" t="s">
        <v>120</v>
      </c>
      <c r="AD578" s="11">
        <v>1</v>
      </c>
      <c r="AE578" s="9" t="s">
        <v>70</v>
      </c>
      <c r="AF578" s="9" t="s">
        <v>71</v>
      </c>
      <c r="AG578" s="13">
        <v>1</v>
      </c>
      <c r="AH578" s="9" t="s">
        <v>92</v>
      </c>
      <c r="AI578" s="13">
        <v>7556000</v>
      </c>
      <c r="AJ578" s="13">
        <v>7556000</v>
      </c>
      <c r="AK578" s="11">
        <v>0</v>
      </c>
      <c r="AL578" s="11">
        <v>0</v>
      </c>
      <c r="AM578" s="11">
        <v>0</v>
      </c>
      <c r="AN578" s="9" t="s">
        <v>67</v>
      </c>
      <c r="AO578" s="11">
        <v>7556000</v>
      </c>
      <c r="AP578" s="13">
        <v>604480</v>
      </c>
      <c r="AQ578" s="13">
        <v>8160480</v>
      </c>
      <c r="AR578" s="11">
        <v>185</v>
      </c>
      <c r="AS578" s="9" t="s">
        <v>72</v>
      </c>
      <c r="AT578" s="11">
        <v>200</v>
      </c>
      <c r="AU578" s="9" t="s">
        <v>73</v>
      </c>
      <c r="AV578" s="9" t="s">
        <v>67</v>
      </c>
      <c r="AW578" s="9" t="s">
        <v>1575</v>
      </c>
      <c r="AX578" s="10">
        <v>45996</v>
      </c>
      <c r="AY578" s="9" t="s">
        <v>1578</v>
      </c>
      <c r="AZ578" s="9" t="s">
        <v>67</v>
      </c>
      <c r="BA578" s="9" t="s">
        <v>67</v>
      </c>
      <c r="BB578" s="12">
        <v>200</v>
      </c>
      <c r="BC578" s="9" t="s">
        <v>74</v>
      </c>
      <c r="BD578" s="9" t="s">
        <v>104</v>
      </c>
      <c r="BE578" s="9" t="s">
        <v>75</v>
      </c>
      <c r="BF578" s="11">
        <v>0</v>
      </c>
      <c r="BG578">
        <f t="shared" si="18"/>
        <v>12</v>
      </c>
      <c r="BH578" t="str">
        <f>VLOOKUP(BG578,[1]month!$A:$B,2,0)</f>
        <v>Desember</v>
      </c>
      <c r="BI578">
        <f t="shared" si="19"/>
        <v>2025</v>
      </c>
      <c r="BJ578" t="str">
        <f>VLOOKUP(I578,[1]Dist!$A:$B,2,0)</f>
        <v>Industry</v>
      </c>
      <c r="BK578" t="str">
        <f>IF(I578=11,VLOOKUP(Y578,[2]Sheet1!$C:$N,10,0),IF(I578=13,VLOOKUP(Y578,[3]Sheet1!$C:$N,10,0),IF(I578=15,VLOOKUP(Y578,[4]Sheet1!$C:$N,10,0),"Unknown")))</f>
        <v>THINNER PU</v>
      </c>
      <c r="BL578" t="str">
        <f>IF(I578=11,VLOOKUP(Y578,[2]Sheet1!$C:$N,12,0),IF(I578=13,VLOOKUP(Y578,[3]Sheet1!$C:$N,12,0),IF(I578=15,VLOOKUP(Y578,[4]Sheet1!$C:$N,12,0),"Unknown")))</f>
        <v>THINNER PU</v>
      </c>
      <c r="BM578" t="str">
        <f>VLOOKUP(W578,[1]branch!$A:$B,2,0)</f>
        <v>INDUSTRY</v>
      </c>
    </row>
    <row r="579" spans="1:65" x14ac:dyDescent="0.35">
      <c r="A579" s="10">
        <v>45996</v>
      </c>
      <c r="B579" s="9" t="s">
        <v>1577</v>
      </c>
      <c r="C579" s="9" t="s">
        <v>64</v>
      </c>
      <c r="D579" s="9" t="s">
        <v>92</v>
      </c>
      <c r="E579" s="11">
        <v>30</v>
      </c>
      <c r="F579" s="9" t="s">
        <v>93</v>
      </c>
      <c r="G579" s="9" t="s">
        <v>65</v>
      </c>
      <c r="H579" s="9" t="s">
        <v>66</v>
      </c>
      <c r="I579" s="9">
        <v>11</v>
      </c>
      <c r="J579" s="9" t="s">
        <v>1571</v>
      </c>
      <c r="K579" s="9" t="s">
        <v>1571</v>
      </c>
      <c r="L579" s="9" t="s">
        <v>1571</v>
      </c>
      <c r="M579" s="9" t="s">
        <v>1572</v>
      </c>
      <c r="N579" s="9" t="s">
        <v>1573</v>
      </c>
      <c r="O579" s="9" t="s">
        <v>97</v>
      </c>
      <c r="P579" s="9" t="s">
        <v>67</v>
      </c>
      <c r="Q579" s="9" t="s">
        <v>98</v>
      </c>
      <c r="R579" s="9" t="s">
        <v>1571</v>
      </c>
      <c r="S579" s="9" t="s">
        <v>1572</v>
      </c>
      <c r="T579" s="9" t="s">
        <v>1574</v>
      </c>
      <c r="U579" s="9" t="s">
        <v>67</v>
      </c>
      <c r="V579" s="9" t="s">
        <v>99</v>
      </c>
      <c r="W579" s="9" t="s">
        <v>100</v>
      </c>
      <c r="X579" s="11">
        <v>70</v>
      </c>
      <c r="Y579" s="9" t="s">
        <v>196</v>
      </c>
      <c r="Z579" s="9" t="s">
        <v>68</v>
      </c>
      <c r="AA579" s="9" t="s">
        <v>197</v>
      </c>
      <c r="AB579" s="9" t="s">
        <v>67</v>
      </c>
      <c r="AC579" s="9" t="s">
        <v>103</v>
      </c>
      <c r="AD579" s="11">
        <v>3</v>
      </c>
      <c r="AE579" s="9" t="s">
        <v>70</v>
      </c>
      <c r="AF579" s="9" t="s">
        <v>71</v>
      </c>
      <c r="AG579" s="13">
        <v>1</v>
      </c>
      <c r="AH579" s="9" t="s">
        <v>92</v>
      </c>
      <c r="AI579" s="13">
        <v>1265000</v>
      </c>
      <c r="AJ579" s="13">
        <v>3795000</v>
      </c>
      <c r="AK579" s="11">
        <v>0</v>
      </c>
      <c r="AL579" s="11">
        <v>0</v>
      </c>
      <c r="AM579" s="11">
        <v>0</v>
      </c>
      <c r="AN579" s="9" t="s">
        <v>67</v>
      </c>
      <c r="AO579" s="11">
        <v>3795000</v>
      </c>
      <c r="AP579" s="13">
        <v>303600</v>
      </c>
      <c r="AQ579" s="13">
        <v>4098600</v>
      </c>
      <c r="AR579" s="11">
        <v>60</v>
      </c>
      <c r="AS579" s="9" t="s">
        <v>72</v>
      </c>
      <c r="AT579" s="12">
        <v>59.4</v>
      </c>
      <c r="AU579" s="9" t="s">
        <v>73</v>
      </c>
      <c r="AV579" s="9" t="s">
        <v>67</v>
      </c>
      <c r="AW579" s="9" t="s">
        <v>1575</v>
      </c>
      <c r="AX579" s="10">
        <v>45996</v>
      </c>
      <c r="AY579" s="9" t="s">
        <v>1578</v>
      </c>
      <c r="AZ579" s="9" t="s">
        <v>67</v>
      </c>
      <c r="BA579" s="9" t="s">
        <v>67</v>
      </c>
      <c r="BB579" s="12">
        <v>60</v>
      </c>
      <c r="BC579" s="9" t="s">
        <v>74</v>
      </c>
      <c r="BD579" s="9" t="s">
        <v>104</v>
      </c>
      <c r="BE579" s="9" t="s">
        <v>75</v>
      </c>
      <c r="BF579" s="11">
        <v>0</v>
      </c>
      <c r="BG579">
        <f t="shared" ref="BG579:BG642" si="20">MONTH(A579)</f>
        <v>12</v>
      </c>
      <c r="BH579" t="str">
        <f>VLOOKUP(BG579,[1]month!$A:$B,2,0)</f>
        <v>Desember</v>
      </c>
      <c r="BI579">
        <f t="shared" ref="BI579:BI642" si="21">YEAR(A579)</f>
        <v>2025</v>
      </c>
      <c r="BJ579" t="str">
        <f>VLOOKUP(I579,[1]Dist!$A:$B,2,0)</f>
        <v>Industry</v>
      </c>
      <c r="BK579" t="str">
        <f>IF(I579=11,VLOOKUP(Y579,[2]Sheet1!$C:$N,10,0),IF(I579=13,VLOOKUP(Y579,[3]Sheet1!$C:$N,10,0),IF(I579=15,VLOOKUP(Y579,[4]Sheet1!$C:$N,10,0),"Unknown")))</f>
        <v>PU</v>
      </c>
      <c r="BL579" t="str">
        <f>IF(I579=11,VLOOKUP(Y579,[2]Sheet1!$C:$N,12,0),IF(I579=13,VLOOKUP(Y579,[3]Sheet1!$C:$N,12,0),IF(I579=15,VLOOKUP(Y579,[4]Sheet1!$C:$N,12,0),"Unknown")))</f>
        <v>PU SANDING SEALER</v>
      </c>
      <c r="BM579" t="str">
        <f>VLOOKUP(W579,[1]branch!$A:$B,2,0)</f>
        <v>INDUSTRY</v>
      </c>
    </row>
    <row r="580" spans="1:65" x14ac:dyDescent="0.35">
      <c r="A580" s="10">
        <v>45996</v>
      </c>
      <c r="B580" s="9" t="s">
        <v>1577</v>
      </c>
      <c r="C580" s="9" t="s">
        <v>64</v>
      </c>
      <c r="D580" s="9" t="s">
        <v>92</v>
      </c>
      <c r="E580" s="11">
        <v>30</v>
      </c>
      <c r="F580" s="9" t="s">
        <v>93</v>
      </c>
      <c r="G580" s="9" t="s">
        <v>65</v>
      </c>
      <c r="H580" s="9" t="s">
        <v>66</v>
      </c>
      <c r="I580" s="9">
        <v>11</v>
      </c>
      <c r="J580" s="9" t="s">
        <v>1571</v>
      </c>
      <c r="K580" s="9" t="s">
        <v>1571</v>
      </c>
      <c r="L580" s="9" t="s">
        <v>1571</v>
      </c>
      <c r="M580" s="9" t="s">
        <v>1572</v>
      </c>
      <c r="N580" s="9" t="s">
        <v>1573</v>
      </c>
      <c r="O580" s="9" t="s">
        <v>97</v>
      </c>
      <c r="P580" s="9" t="s">
        <v>67</v>
      </c>
      <c r="Q580" s="9" t="s">
        <v>98</v>
      </c>
      <c r="R580" s="9" t="s">
        <v>1571</v>
      </c>
      <c r="S580" s="9" t="s">
        <v>1572</v>
      </c>
      <c r="T580" s="9" t="s">
        <v>1574</v>
      </c>
      <c r="U580" s="9" t="s">
        <v>67</v>
      </c>
      <c r="V580" s="9" t="s">
        <v>99</v>
      </c>
      <c r="W580" s="9" t="s">
        <v>100</v>
      </c>
      <c r="X580" s="11">
        <v>80</v>
      </c>
      <c r="Y580" s="9" t="s">
        <v>105</v>
      </c>
      <c r="Z580" s="9" t="s">
        <v>68</v>
      </c>
      <c r="AA580" s="9" t="s">
        <v>106</v>
      </c>
      <c r="AB580" s="9" t="s">
        <v>67</v>
      </c>
      <c r="AC580" s="9" t="s">
        <v>107</v>
      </c>
      <c r="AD580" s="11">
        <v>3</v>
      </c>
      <c r="AE580" s="9" t="s">
        <v>70</v>
      </c>
      <c r="AF580" s="9" t="s">
        <v>71</v>
      </c>
      <c r="AG580" s="13">
        <v>1</v>
      </c>
      <c r="AH580" s="9" t="s">
        <v>92</v>
      </c>
      <c r="AI580" s="13">
        <v>2053000</v>
      </c>
      <c r="AJ580" s="13">
        <v>6159000</v>
      </c>
      <c r="AK580" s="11">
        <v>0</v>
      </c>
      <c r="AL580" s="11">
        <v>0</v>
      </c>
      <c r="AM580" s="11">
        <v>0</v>
      </c>
      <c r="AN580" s="9" t="s">
        <v>67</v>
      </c>
      <c r="AO580" s="11">
        <v>6159000</v>
      </c>
      <c r="AP580" s="13">
        <v>492720</v>
      </c>
      <c r="AQ580" s="13">
        <v>6651720</v>
      </c>
      <c r="AR580" s="11">
        <v>60</v>
      </c>
      <c r="AS580" s="9" t="s">
        <v>72</v>
      </c>
      <c r="AT580" s="12">
        <v>63.84</v>
      </c>
      <c r="AU580" s="9" t="s">
        <v>73</v>
      </c>
      <c r="AV580" s="9" t="s">
        <v>67</v>
      </c>
      <c r="AW580" s="9" t="s">
        <v>1575</v>
      </c>
      <c r="AX580" s="10">
        <v>45996</v>
      </c>
      <c r="AY580" s="9" t="s">
        <v>1578</v>
      </c>
      <c r="AZ580" s="9" t="s">
        <v>67</v>
      </c>
      <c r="BA580" s="9" t="s">
        <v>67</v>
      </c>
      <c r="BB580" s="12">
        <v>60</v>
      </c>
      <c r="BC580" s="9" t="s">
        <v>74</v>
      </c>
      <c r="BD580" s="9" t="s">
        <v>104</v>
      </c>
      <c r="BE580" s="9" t="s">
        <v>75</v>
      </c>
      <c r="BF580" s="11">
        <v>0</v>
      </c>
      <c r="BG580">
        <f t="shared" si="20"/>
        <v>12</v>
      </c>
      <c r="BH580" t="str">
        <f>VLOOKUP(BG580,[1]month!$A:$B,2,0)</f>
        <v>Desember</v>
      </c>
      <c r="BI580">
        <f t="shared" si="21"/>
        <v>2025</v>
      </c>
      <c r="BJ580" t="str">
        <f>VLOOKUP(I580,[1]Dist!$A:$B,2,0)</f>
        <v>Industry</v>
      </c>
      <c r="BK580" t="str">
        <f>IF(I580=11,VLOOKUP(Y580,[2]Sheet1!$C:$N,10,0),IF(I580=13,VLOOKUP(Y580,[3]Sheet1!$C:$N,10,0),IF(I580=15,VLOOKUP(Y580,[4]Sheet1!$C:$N,10,0),"Unknown")))</f>
        <v>PU</v>
      </c>
      <c r="BL580" t="str">
        <f>IF(I580=11,VLOOKUP(Y580,[2]Sheet1!$C:$N,12,0),IF(I580=13,VLOOKUP(Y580,[3]Sheet1!$C:$N,12,0),IF(I580=15,VLOOKUP(Y580,[4]Sheet1!$C:$N,12,0),"Unknown")))</f>
        <v>PU HARDENER</v>
      </c>
      <c r="BM580" t="str">
        <f>VLOOKUP(W580,[1]branch!$A:$B,2,0)</f>
        <v>INDUSTRY</v>
      </c>
    </row>
    <row r="581" spans="1:65" x14ac:dyDescent="0.35">
      <c r="A581" s="10">
        <v>45996</v>
      </c>
      <c r="B581" s="9" t="s">
        <v>1579</v>
      </c>
      <c r="C581" s="9" t="s">
        <v>64</v>
      </c>
      <c r="D581" s="9" t="s">
        <v>92</v>
      </c>
      <c r="E581" s="11">
        <v>45</v>
      </c>
      <c r="F581" s="9" t="s">
        <v>93</v>
      </c>
      <c r="G581" s="9" t="s">
        <v>65</v>
      </c>
      <c r="H581" s="9" t="s">
        <v>66</v>
      </c>
      <c r="I581" s="9">
        <v>13</v>
      </c>
      <c r="J581" s="9" t="s">
        <v>766</v>
      </c>
      <c r="K581" s="9" t="s">
        <v>766</v>
      </c>
      <c r="L581" s="9" t="s">
        <v>766</v>
      </c>
      <c r="M581" s="9" t="s">
        <v>767</v>
      </c>
      <c r="N581" s="9" t="s">
        <v>709</v>
      </c>
      <c r="O581" s="9" t="s">
        <v>302</v>
      </c>
      <c r="P581" s="9" t="s">
        <v>67</v>
      </c>
      <c r="Q581" s="9" t="s">
        <v>98</v>
      </c>
      <c r="R581" s="9" t="s">
        <v>766</v>
      </c>
      <c r="S581" s="9" t="s">
        <v>767</v>
      </c>
      <c r="T581" s="9" t="s">
        <v>806</v>
      </c>
      <c r="U581" s="9" t="s">
        <v>67</v>
      </c>
      <c r="V581" s="9" t="s">
        <v>151</v>
      </c>
      <c r="W581" s="9" t="s">
        <v>152</v>
      </c>
      <c r="X581" s="11">
        <v>10</v>
      </c>
      <c r="Y581" s="9" t="s">
        <v>1580</v>
      </c>
      <c r="Z581" s="9" t="s">
        <v>68</v>
      </c>
      <c r="AA581" s="9" t="s">
        <v>1581</v>
      </c>
      <c r="AB581" s="9" t="s">
        <v>67</v>
      </c>
      <c r="AC581" s="9" t="s">
        <v>158</v>
      </c>
      <c r="AD581" s="11">
        <v>1</v>
      </c>
      <c r="AE581" s="9" t="s">
        <v>156</v>
      </c>
      <c r="AF581" s="9" t="s">
        <v>71</v>
      </c>
      <c r="AG581" s="13">
        <v>1</v>
      </c>
      <c r="AH581" s="9" t="s">
        <v>92</v>
      </c>
      <c r="AI581" s="13">
        <v>2291819</v>
      </c>
      <c r="AJ581" s="13">
        <v>2291819</v>
      </c>
      <c r="AK581" s="11">
        <v>275018</v>
      </c>
      <c r="AL581" s="11">
        <v>0</v>
      </c>
      <c r="AM581" s="11">
        <v>0</v>
      </c>
      <c r="AN581" s="9" t="s">
        <v>388</v>
      </c>
      <c r="AO581" s="11">
        <v>2016801</v>
      </c>
      <c r="AP581" s="13">
        <v>161344</v>
      </c>
      <c r="AQ581" s="13">
        <v>2178145</v>
      </c>
      <c r="AR581" s="11">
        <v>20</v>
      </c>
      <c r="AS581" s="9" t="s">
        <v>72</v>
      </c>
      <c r="AT581" s="12">
        <v>11.9</v>
      </c>
      <c r="AU581" s="9" t="s">
        <v>73</v>
      </c>
      <c r="AV581" s="9" t="s">
        <v>67</v>
      </c>
      <c r="AW581" s="9" t="s">
        <v>1582</v>
      </c>
      <c r="AX581" s="10">
        <v>45996</v>
      </c>
      <c r="AY581" s="9" t="s">
        <v>1583</v>
      </c>
      <c r="AZ581" s="9" t="s">
        <v>67</v>
      </c>
      <c r="BA581" s="9" t="s">
        <v>67</v>
      </c>
      <c r="BB581" s="12">
        <v>20</v>
      </c>
      <c r="BC581" s="9" t="s">
        <v>74</v>
      </c>
      <c r="BD581" s="9" t="s">
        <v>104</v>
      </c>
      <c r="BE581" s="9" t="s">
        <v>75</v>
      </c>
      <c r="BF581" s="11">
        <v>0</v>
      </c>
      <c r="BG581">
        <f t="shared" si="20"/>
        <v>12</v>
      </c>
      <c r="BH581" t="str">
        <f>VLOOKUP(BG581,[1]month!$A:$B,2,0)</f>
        <v>Desember</v>
      </c>
      <c r="BI581">
        <f t="shared" si="21"/>
        <v>2025</v>
      </c>
      <c r="BJ581" t="str">
        <f>VLOOKUP(I581,[1]Dist!$A:$B,2,0)</f>
        <v>Retail</v>
      </c>
      <c r="BK581" t="str">
        <f>IF(I581=11,VLOOKUP(Y581,[2]Sheet1!$C:$N,10,0),IF(I581=13,VLOOKUP(Y581,[3]Sheet1!$C:$N,10,0),IF(I581=15,VLOOKUP(Y581,[4]Sheet1!$C:$N,10,0),"Unknown")))</f>
        <v>METALKOTE</v>
      </c>
      <c r="BL581" t="str">
        <f>IF(I581=11,VLOOKUP(Y581,[2]Sheet1!$C:$N,12,0),IF(I581=13,VLOOKUP(Y581,[3]Sheet1!$C:$N,12,0),IF(I581=15,VLOOKUP(Y581,[4]Sheet1!$C:$N,12,0),"Unknown")))</f>
        <v>METALKOTE-EPOXY SYS</v>
      </c>
      <c r="BM581" t="str">
        <f>VLOOKUP(W581,[1]branch!$A:$B,2,0)</f>
        <v>HO CHI MINH</v>
      </c>
    </row>
    <row r="582" spans="1:65" x14ac:dyDescent="0.35">
      <c r="A582" s="10">
        <v>45996</v>
      </c>
      <c r="B582" s="9" t="s">
        <v>1584</v>
      </c>
      <c r="C582" s="9" t="s">
        <v>64</v>
      </c>
      <c r="D582" s="9" t="s">
        <v>92</v>
      </c>
      <c r="E582" s="11">
        <v>45</v>
      </c>
      <c r="F582" s="9" t="s">
        <v>93</v>
      </c>
      <c r="G582" s="9" t="s">
        <v>65</v>
      </c>
      <c r="H582" s="9" t="s">
        <v>66</v>
      </c>
      <c r="I582" s="9">
        <v>13</v>
      </c>
      <c r="J582" s="9" t="s">
        <v>766</v>
      </c>
      <c r="K582" s="9" t="s">
        <v>766</v>
      </c>
      <c r="L582" s="9" t="s">
        <v>766</v>
      </c>
      <c r="M582" s="9" t="s">
        <v>767</v>
      </c>
      <c r="N582" s="9" t="s">
        <v>709</v>
      </c>
      <c r="O582" s="9" t="s">
        <v>302</v>
      </c>
      <c r="P582" s="9" t="s">
        <v>67</v>
      </c>
      <c r="Q582" s="9" t="s">
        <v>98</v>
      </c>
      <c r="R582" s="9" t="s">
        <v>766</v>
      </c>
      <c r="S582" s="9" t="s">
        <v>767</v>
      </c>
      <c r="T582" s="9" t="s">
        <v>806</v>
      </c>
      <c r="U582" s="9" t="s">
        <v>67</v>
      </c>
      <c r="V582" s="9" t="s">
        <v>151</v>
      </c>
      <c r="W582" s="9" t="s">
        <v>152</v>
      </c>
      <c r="X582" s="11">
        <v>10</v>
      </c>
      <c r="Y582" s="9" t="s">
        <v>1585</v>
      </c>
      <c r="Z582" s="9" t="s">
        <v>76</v>
      </c>
      <c r="AA582" s="9" t="s">
        <v>1586</v>
      </c>
      <c r="AB582" s="9" t="s">
        <v>67</v>
      </c>
      <c r="AC582" s="9" t="s">
        <v>704</v>
      </c>
      <c r="AD582" s="11">
        <v>3</v>
      </c>
      <c r="AE582" s="9" t="s">
        <v>70</v>
      </c>
      <c r="AF582" s="9" t="s">
        <v>71</v>
      </c>
      <c r="AG582" s="13">
        <v>1</v>
      </c>
      <c r="AH582" s="9" t="s">
        <v>92</v>
      </c>
      <c r="AI582" s="13">
        <v>1809091</v>
      </c>
      <c r="AJ582" s="13">
        <v>5427273</v>
      </c>
      <c r="AK582" s="11">
        <v>1194000</v>
      </c>
      <c r="AL582" s="11">
        <v>0</v>
      </c>
      <c r="AM582" s="11">
        <v>0</v>
      </c>
      <c r="AN582" s="9" t="s">
        <v>784</v>
      </c>
      <c r="AO582" s="11">
        <v>4233273</v>
      </c>
      <c r="AP582" s="13">
        <v>338662</v>
      </c>
      <c r="AQ582" s="13">
        <v>4571935</v>
      </c>
      <c r="AR582" s="12">
        <v>48.96</v>
      </c>
      <c r="AS582" s="9" t="s">
        <v>72</v>
      </c>
      <c r="AT582" s="11">
        <v>60</v>
      </c>
      <c r="AU582" s="9" t="s">
        <v>73</v>
      </c>
      <c r="AV582" s="9" t="s">
        <v>67</v>
      </c>
      <c r="AW582" s="9" t="s">
        <v>1587</v>
      </c>
      <c r="AX582" s="10">
        <v>45996</v>
      </c>
      <c r="AY582" s="9" t="s">
        <v>1588</v>
      </c>
      <c r="AZ582" s="9" t="s">
        <v>67</v>
      </c>
      <c r="BA582" s="9" t="s">
        <v>67</v>
      </c>
      <c r="BB582" s="12">
        <v>60</v>
      </c>
      <c r="BC582" s="9" t="s">
        <v>74</v>
      </c>
      <c r="BD582" s="9" t="s">
        <v>104</v>
      </c>
      <c r="BE582" s="9" t="s">
        <v>75</v>
      </c>
      <c r="BF582" s="11">
        <v>0</v>
      </c>
      <c r="BG582">
        <f t="shared" si="20"/>
        <v>12</v>
      </c>
      <c r="BH582" t="str">
        <f>VLOOKUP(BG582,[1]month!$A:$B,2,0)</f>
        <v>Desember</v>
      </c>
      <c r="BI582">
        <f t="shared" si="21"/>
        <v>2025</v>
      </c>
      <c r="BJ582" t="str">
        <f>VLOOKUP(I582,[1]Dist!$A:$B,2,0)</f>
        <v>Retail</v>
      </c>
      <c r="BK582" t="str">
        <f>IF(I582=11,VLOOKUP(Y582,[2]Sheet1!$C:$N,10,0),IF(I582=13,VLOOKUP(Y582,[3]Sheet1!$C:$N,10,0),IF(I582=15,VLOOKUP(Y582,[4]Sheet1!$C:$N,10,0),"Unknown")))</f>
        <v>GO FAST</v>
      </c>
      <c r="BL582" t="str">
        <f>IF(I582=11,VLOOKUP(Y582,[2]Sheet1!$C:$N,12,0),IF(I582=13,VLOOKUP(Y582,[3]Sheet1!$C:$N,12,0),IF(I582=15,VLOOKUP(Y582,[4]Sheet1!$C:$N,12,0),"Unknown")))</f>
        <v>GO FAST BASE</v>
      </c>
      <c r="BM582" t="str">
        <f>VLOOKUP(W582,[1]branch!$A:$B,2,0)</f>
        <v>HO CHI MINH</v>
      </c>
    </row>
    <row r="583" spans="1:65" x14ac:dyDescent="0.35">
      <c r="A583" s="10">
        <v>45999</v>
      </c>
      <c r="B583" s="9" t="s">
        <v>1591</v>
      </c>
      <c r="C583" s="9" t="s">
        <v>64</v>
      </c>
      <c r="D583" s="9" t="s">
        <v>92</v>
      </c>
      <c r="E583" s="11">
        <v>30</v>
      </c>
      <c r="F583" s="9" t="s">
        <v>93</v>
      </c>
      <c r="G583" s="9" t="s">
        <v>65</v>
      </c>
      <c r="H583" s="9" t="s">
        <v>66</v>
      </c>
      <c r="I583" s="9">
        <v>11</v>
      </c>
      <c r="J583" s="9" t="s">
        <v>94</v>
      </c>
      <c r="K583" s="9" t="s">
        <v>94</v>
      </c>
      <c r="L583" s="9" t="s">
        <v>94</v>
      </c>
      <c r="M583" s="9" t="s">
        <v>95</v>
      </c>
      <c r="N583" s="9" t="s">
        <v>586</v>
      </c>
      <c r="O583" s="9" t="s">
        <v>97</v>
      </c>
      <c r="P583" s="9" t="s">
        <v>67</v>
      </c>
      <c r="Q583" s="9" t="s">
        <v>98</v>
      </c>
      <c r="R583" s="9" t="s">
        <v>715</v>
      </c>
      <c r="S583" s="9" t="s">
        <v>95</v>
      </c>
      <c r="T583" s="9" t="s">
        <v>716</v>
      </c>
      <c r="U583" s="9" t="s">
        <v>67</v>
      </c>
      <c r="V583" s="9" t="s">
        <v>99</v>
      </c>
      <c r="W583" s="9" t="s">
        <v>100</v>
      </c>
      <c r="X583" s="11">
        <v>10</v>
      </c>
      <c r="Y583" s="9" t="s">
        <v>105</v>
      </c>
      <c r="Z583" s="9" t="s">
        <v>68</v>
      </c>
      <c r="AA583" s="9" t="s">
        <v>106</v>
      </c>
      <c r="AB583" s="9" t="s">
        <v>67</v>
      </c>
      <c r="AC583" s="9" t="s">
        <v>107</v>
      </c>
      <c r="AD583" s="11">
        <v>7</v>
      </c>
      <c r="AE583" s="9" t="s">
        <v>70</v>
      </c>
      <c r="AF583" s="9" t="s">
        <v>71</v>
      </c>
      <c r="AG583" s="13">
        <v>1</v>
      </c>
      <c r="AH583" s="9" t="s">
        <v>92</v>
      </c>
      <c r="AI583" s="13">
        <v>1978000</v>
      </c>
      <c r="AJ583" s="13">
        <v>13846000</v>
      </c>
      <c r="AK583" s="11">
        <v>0</v>
      </c>
      <c r="AL583" s="11">
        <v>0</v>
      </c>
      <c r="AM583" s="11">
        <v>0</v>
      </c>
      <c r="AN583" s="9" t="s">
        <v>67</v>
      </c>
      <c r="AO583" s="11">
        <v>13846000</v>
      </c>
      <c r="AP583" s="13">
        <v>1107680</v>
      </c>
      <c r="AQ583" s="13">
        <v>14953680</v>
      </c>
      <c r="AR583" s="11">
        <v>140</v>
      </c>
      <c r="AS583" s="9" t="s">
        <v>72</v>
      </c>
      <c r="AT583" s="12">
        <v>148.96</v>
      </c>
      <c r="AU583" s="9" t="s">
        <v>73</v>
      </c>
      <c r="AV583" s="9" t="s">
        <v>67</v>
      </c>
      <c r="AW583" s="9" t="s">
        <v>978</v>
      </c>
      <c r="AX583" s="10">
        <v>45988</v>
      </c>
      <c r="AY583" s="9" t="s">
        <v>1592</v>
      </c>
      <c r="AZ583" s="9" t="s">
        <v>67</v>
      </c>
      <c r="BA583" s="9" t="s">
        <v>67</v>
      </c>
      <c r="BB583" s="12">
        <v>140</v>
      </c>
      <c r="BC583" s="9" t="s">
        <v>74</v>
      </c>
      <c r="BD583" s="9" t="s">
        <v>104</v>
      </c>
      <c r="BE583" s="9" t="s">
        <v>75</v>
      </c>
      <c r="BF583" s="11">
        <v>0</v>
      </c>
      <c r="BG583">
        <f t="shared" si="20"/>
        <v>12</v>
      </c>
      <c r="BH583" t="str">
        <f>VLOOKUP(BG583,[1]month!$A:$B,2,0)</f>
        <v>Desember</v>
      </c>
      <c r="BI583">
        <f t="shared" si="21"/>
        <v>2025</v>
      </c>
      <c r="BJ583" t="str">
        <f>VLOOKUP(I583,[1]Dist!$A:$B,2,0)</f>
        <v>Industry</v>
      </c>
      <c r="BK583" t="str">
        <f>IF(I583=11,VLOOKUP(Y583,[2]Sheet1!$C:$N,10,0),IF(I583=13,VLOOKUP(Y583,[3]Sheet1!$C:$N,10,0),IF(I583=15,VLOOKUP(Y583,[4]Sheet1!$C:$N,10,0),"Unknown")))</f>
        <v>PU</v>
      </c>
      <c r="BL583" t="str">
        <f>IF(I583=11,VLOOKUP(Y583,[2]Sheet1!$C:$N,12,0),IF(I583=13,VLOOKUP(Y583,[3]Sheet1!$C:$N,12,0),IF(I583=15,VLOOKUP(Y583,[4]Sheet1!$C:$N,12,0),"Unknown")))</f>
        <v>PU HARDENER</v>
      </c>
      <c r="BM583" t="str">
        <f>VLOOKUP(W583,[1]branch!$A:$B,2,0)</f>
        <v>INDUSTRY</v>
      </c>
    </row>
    <row r="584" spans="1:65" x14ac:dyDescent="0.35">
      <c r="A584" s="10">
        <v>45999</v>
      </c>
      <c r="B584" s="9" t="s">
        <v>1591</v>
      </c>
      <c r="C584" s="9" t="s">
        <v>64</v>
      </c>
      <c r="D584" s="9" t="s">
        <v>92</v>
      </c>
      <c r="E584" s="11">
        <v>30</v>
      </c>
      <c r="F584" s="9" t="s">
        <v>93</v>
      </c>
      <c r="G584" s="9" t="s">
        <v>65</v>
      </c>
      <c r="H584" s="9" t="s">
        <v>66</v>
      </c>
      <c r="I584" s="9">
        <v>11</v>
      </c>
      <c r="J584" s="9" t="s">
        <v>94</v>
      </c>
      <c r="K584" s="9" t="s">
        <v>94</v>
      </c>
      <c r="L584" s="9" t="s">
        <v>94</v>
      </c>
      <c r="M584" s="9" t="s">
        <v>95</v>
      </c>
      <c r="N584" s="9" t="s">
        <v>586</v>
      </c>
      <c r="O584" s="9" t="s">
        <v>97</v>
      </c>
      <c r="P584" s="9" t="s">
        <v>67</v>
      </c>
      <c r="Q584" s="9" t="s">
        <v>98</v>
      </c>
      <c r="R584" s="9" t="s">
        <v>715</v>
      </c>
      <c r="S584" s="9" t="s">
        <v>95</v>
      </c>
      <c r="T584" s="9" t="s">
        <v>716</v>
      </c>
      <c r="U584" s="9" t="s">
        <v>67</v>
      </c>
      <c r="V584" s="9" t="s">
        <v>99</v>
      </c>
      <c r="W584" s="9" t="s">
        <v>100</v>
      </c>
      <c r="X584" s="11">
        <v>20</v>
      </c>
      <c r="Y584" s="9" t="s">
        <v>101</v>
      </c>
      <c r="Z584" s="9" t="s">
        <v>68</v>
      </c>
      <c r="AA584" s="9" t="s">
        <v>102</v>
      </c>
      <c r="AB584" s="9" t="s">
        <v>67</v>
      </c>
      <c r="AC584" s="9" t="s">
        <v>103</v>
      </c>
      <c r="AD584" s="11">
        <v>14</v>
      </c>
      <c r="AE584" s="9" t="s">
        <v>70</v>
      </c>
      <c r="AF584" s="9" t="s">
        <v>71</v>
      </c>
      <c r="AG584" s="13">
        <v>1</v>
      </c>
      <c r="AH584" s="9" t="s">
        <v>92</v>
      </c>
      <c r="AI584" s="13">
        <v>1172000</v>
      </c>
      <c r="AJ584" s="13">
        <v>16408000</v>
      </c>
      <c r="AK584" s="11">
        <v>0</v>
      </c>
      <c r="AL584" s="11">
        <v>0</v>
      </c>
      <c r="AM584" s="11">
        <v>0</v>
      </c>
      <c r="AN584" s="9" t="s">
        <v>67</v>
      </c>
      <c r="AO584" s="11">
        <v>16408000</v>
      </c>
      <c r="AP584" s="13">
        <v>1312640</v>
      </c>
      <c r="AQ584" s="13">
        <v>17720640</v>
      </c>
      <c r="AR584" s="11">
        <v>280</v>
      </c>
      <c r="AS584" s="9" t="s">
        <v>72</v>
      </c>
      <c r="AT584" s="12">
        <v>271.88</v>
      </c>
      <c r="AU584" s="9" t="s">
        <v>73</v>
      </c>
      <c r="AV584" s="9" t="s">
        <v>67</v>
      </c>
      <c r="AW584" s="9" t="s">
        <v>978</v>
      </c>
      <c r="AX584" s="10">
        <v>45988</v>
      </c>
      <c r="AY584" s="9" t="s">
        <v>1592</v>
      </c>
      <c r="AZ584" s="9" t="s">
        <v>67</v>
      </c>
      <c r="BA584" s="9" t="s">
        <v>67</v>
      </c>
      <c r="BB584" s="12">
        <v>280</v>
      </c>
      <c r="BC584" s="9" t="s">
        <v>74</v>
      </c>
      <c r="BD584" s="9" t="s">
        <v>104</v>
      </c>
      <c r="BE584" s="9" t="s">
        <v>75</v>
      </c>
      <c r="BF584" s="11">
        <v>0</v>
      </c>
      <c r="BG584">
        <f t="shared" si="20"/>
        <v>12</v>
      </c>
      <c r="BH584" t="str">
        <f>VLOOKUP(BG584,[1]month!$A:$B,2,0)</f>
        <v>Desember</v>
      </c>
      <c r="BI584">
        <f t="shared" si="21"/>
        <v>2025</v>
      </c>
      <c r="BJ584" t="str">
        <f>VLOOKUP(I584,[1]Dist!$A:$B,2,0)</f>
        <v>Industry</v>
      </c>
      <c r="BK584" t="str">
        <f>IF(I584=11,VLOOKUP(Y584,[2]Sheet1!$C:$N,10,0),IF(I584=13,VLOOKUP(Y584,[3]Sheet1!$C:$N,10,0),IF(I584=15,VLOOKUP(Y584,[4]Sheet1!$C:$N,10,0),"Unknown")))</f>
        <v>PU</v>
      </c>
      <c r="BL584" t="str">
        <f>IF(I584=11,VLOOKUP(Y584,[2]Sheet1!$C:$N,12,0),IF(I584=13,VLOOKUP(Y584,[3]Sheet1!$C:$N,12,0),IF(I584=15,VLOOKUP(Y584,[4]Sheet1!$C:$N,12,0),"Unknown")))</f>
        <v>PU SANDING SEALER</v>
      </c>
      <c r="BM584" t="str">
        <f>VLOOKUP(W584,[1]branch!$A:$B,2,0)</f>
        <v>INDUSTRY</v>
      </c>
    </row>
    <row r="585" spans="1:65" x14ac:dyDescent="0.35">
      <c r="A585" s="10">
        <v>45999</v>
      </c>
      <c r="B585" s="9" t="s">
        <v>1591</v>
      </c>
      <c r="C585" s="9" t="s">
        <v>64</v>
      </c>
      <c r="D585" s="9" t="s">
        <v>92</v>
      </c>
      <c r="E585" s="11">
        <v>30</v>
      </c>
      <c r="F585" s="9" t="s">
        <v>93</v>
      </c>
      <c r="G585" s="9" t="s">
        <v>65</v>
      </c>
      <c r="H585" s="9" t="s">
        <v>66</v>
      </c>
      <c r="I585" s="9">
        <v>11</v>
      </c>
      <c r="J585" s="9" t="s">
        <v>94</v>
      </c>
      <c r="K585" s="9" t="s">
        <v>94</v>
      </c>
      <c r="L585" s="9" t="s">
        <v>94</v>
      </c>
      <c r="M585" s="9" t="s">
        <v>95</v>
      </c>
      <c r="N585" s="9" t="s">
        <v>586</v>
      </c>
      <c r="O585" s="9" t="s">
        <v>97</v>
      </c>
      <c r="P585" s="9" t="s">
        <v>67</v>
      </c>
      <c r="Q585" s="9" t="s">
        <v>98</v>
      </c>
      <c r="R585" s="9" t="s">
        <v>715</v>
      </c>
      <c r="S585" s="9" t="s">
        <v>95</v>
      </c>
      <c r="T585" s="9" t="s">
        <v>716</v>
      </c>
      <c r="U585" s="9" t="s">
        <v>67</v>
      </c>
      <c r="V585" s="9" t="s">
        <v>99</v>
      </c>
      <c r="W585" s="9" t="s">
        <v>100</v>
      </c>
      <c r="X585" s="11">
        <v>30</v>
      </c>
      <c r="Y585" s="9" t="s">
        <v>111</v>
      </c>
      <c r="Z585" s="9" t="s">
        <v>68</v>
      </c>
      <c r="AA585" s="9" t="s">
        <v>112</v>
      </c>
      <c r="AB585" s="9" t="s">
        <v>67</v>
      </c>
      <c r="AC585" s="9" t="s">
        <v>110</v>
      </c>
      <c r="AD585" s="11">
        <v>10</v>
      </c>
      <c r="AE585" s="9" t="s">
        <v>70</v>
      </c>
      <c r="AF585" s="9" t="s">
        <v>71</v>
      </c>
      <c r="AG585" s="13">
        <v>1</v>
      </c>
      <c r="AH585" s="9" t="s">
        <v>92</v>
      </c>
      <c r="AI585" s="13">
        <v>1564000</v>
      </c>
      <c r="AJ585" s="13">
        <v>15640000</v>
      </c>
      <c r="AK585" s="11">
        <v>0</v>
      </c>
      <c r="AL585" s="11">
        <v>0</v>
      </c>
      <c r="AM585" s="11">
        <v>0</v>
      </c>
      <c r="AN585" s="9" t="s">
        <v>67</v>
      </c>
      <c r="AO585" s="11">
        <v>15640000</v>
      </c>
      <c r="AP585" s="13">
        <v>1251200</v>
      </c>
      <c r="AQ585" s="13">
        <v>16891200</v>
      </c>
      <c r="AR585" s="11">
        <v>200</v>
      </c>
      <c r="AS585" s="9" t="s">
        <v>72</v>
      </c>
      <c r="AT585" s="12">
        <v>192.3</v>
      </c>
      <c r="AU585" s="9" t="s">
        <v>73</v>
      </c>
      <c r="AV585" s="9" t="s">
        <v>67</v>
      </c>
      <c r="AW585" s="9" t="s">
        <v>978</v>
      </c>
      <c r="AX585" s="10">
        <v>45988</v>
      </c>
      <c r="AY585" s="9" t="s">
        <v>1592</v>
      </c>
      <c r="AZ585" s="9" t="s">
        <v>67</v>
      </c>
      <c r="BA585" s="9" t="s">
        <v>67</v>
      </c>
      <c r="BB585" s="12">
        <v>200</v>
      </c>
      <c r="BC585" s="9" t="s">
        <v>74</v>
      </c>
      <c r="BD585" s="9" t="s">
        <v>104</v>
      </c>
      <c r="BE585" s="9" t="s">
        <v>75</v>
      </c>
      <c r="BF585" s="11">
        <v>0</v>
      </c>
      <c r="BG585">
        <f t="shared" si="20"/>
        <v>12</v>
      </c>
      <c r="BH585" t="str">
        <f>VLOOKUP(BG585,[1]month!$A:$B,2,0)</f>
        <v>Desember</v>
      </c>
      <c r="BI585">
        <f t="shared" si="21"/>
        <v>2025</v>
      </c>
      <c r="BJ585" t="str">
        <f>VLOOKUP(I585,[1]Dist!$A:$B,2,0)</f>
        <v>Industry</v>
      </c>
      <c r="BK585" t="str">
        <f>IF(I585=11,VLOOKUP(Y585,[2]Sheet1!$C:$N,10,0),IF(I585=13,VLOOKUP(Y585,[3]Sheet1!$C:$N,10,0),IF(I585=15,VLOOKUP(Y585,[4]Sheet1!$C:$N,10,0),"Unknown")))</f>
        <v>PU</v>
      </c>
      <c r="BL585" t="str">
        <f>IF(I585=11,VLOOKUP(Y585,[2]Sheet1!$C:$N,12,0),IF(I585=13,VLOOKUP(Y585,[3]Sheet1!$C:$N,12,0),IF(I585=15,VLOOKUP(Y585,[4]Sheet1!$C:$N,12,0),"Unknown")))</f>
        <v>PU LACQUER</v>
      </c>
      <c r="BM585" t="str">
        <f>VLOOKUP(W585,[1]branch!$A:$B,2,0)</f>
        <v>INDUSTRY</v>
      </c>
    </row>
    <row r="586" spans="1:65" x14ac:dyDescent="0.35">
      <c r="A586" s="10">
        <v>45999</v>
      </c>
      <c r="B586" s="9" t="s">
        <v>1591</v>
      </c>
      <c r="C586" s="9" t="s">
        <v>64</v>
      </c>
      <c r="D586" s="9" t="s">
        <v>92</v>
      </c>
      <c r="E586" s="11">
        <v>30</v>
      </c>
      <c r="F586" s="9" t="s">
        <v>93</v>
      </c>
      <c r="G586" s="9" t="s">
        <v>65</v>
      </c>
      <c r="H586" s="9" t="s">
        <v>66</v>
      </c>
      <c r="I586" s="9">
        <v>11</v>
      </c>
      <c r="J586" s="9" t="s">
        <v>94</v>
      </c>
      <c r="K586" s="9" t="s">
        <v>94</v>
      </c>
      <c r="L586" s="9" t="s">
        <v>94</v>
      </c>
      <c r="M586" s="9" t="s">
        <v>95</v>
      </c>
      <c r="N586" s="9" t="s">
        <v>586</v>
      </c>
      <c r="O586" s="9" t="s">
        <v>97</v>
      </c>
      <c r="P586" s="9" t="s">
        <v>67</v>
      </c>
      <c r="Q586" s="9" t="s">
        <v>98</v>
      </c>
      <c r="R586" s="9" t="s">
        <v>715</v>
      </c>
      <c r="S586" s="9" t="s">
        <v>95</v>
      </c>
      <c r="T586" s="9" t="s">
        <v>716</v>
      </c>
      <c r="U586" s="9" t="s">
        <v>67</v>
      </c>
      <c r="V586" s="9" t="s">
        <v>99</v>
      </c>
      <c r="W586" s="9" t="s">
        <v>100</v>
      </c>
      <c r="X586" s="11">
        <v>40</v>
      </c>
      <c r="Y586" s="9" t="s">
        <v>113</v>
      </c>
      <c r="Z586" s="9" t="s">
        <v>68</v>
      </c>
      <c r="AA586" s="9" t="s">
        <v>114</v>
      </c>
      <c r="AB586" s="9" t="s">
        <v>67</v>
      </c>
      <c r="AC586" s="9" t="s">
        <v>115</v>
      </c>
      <c r="AD586" s="11">
        <v>6</v>
      </c>
      <c r="AE586" s="9" t="s">
        <v>70</v>
      </c>
      <c r="AF586" s="9" t="s">
        <v>71</v>
      </c>
      <c r="AG586" s="13">
        <v>1</v>
      </c>
      <c r="AH586" s="9" t="s">
        <v>92</v>
      </c>
      <c r="AI586" s="13">
        <v>2296000</v>
      </c>
      <c r="AJ586" s="13">
        <v>13776000</v>
      </c>
      <c r="AK586" s="11">
        <v>0</v>
      </c>
      <c r="AL586" s="11">
        <v>0</v>
      </c>
      <c r="AM586" s="11">
        <v>0</v>
      </c>
      <c r="AN586" s="9" t="s">
        <v>67</v>
      </c>
      <c r="AO586" s="11">
        <v>13776000</v>
      </c>
      <c r="AP586" s="13">
        <v>1102080</v>
      </c>
      <c r="AQ586" s="13">
        <v>14878080</v>
      </c>
      <c r="AR586" s="11">
        <v>120</v>
      </c>
      <c r="AS586" s="9" t="s">
        <v>72</v>
      </c>
      <c r="AT586" s="12">
        <v>112.14</v>
      </c>
      <c r="AU586" s="9" t="s">
        <v>73</v>
      </c>
      <c r="AV586" s="9" t="s">
        <v>67</v>
      </c>
      <c r="AW586" s="9" t="s">
        <v>978</v>
      </c>
      <c r="AX586" s="10">
        <v>45988</v>
      </c>
      <c r="AY586" s="9" t="s">
        <v>1592</v>
      </c>
      <c r="AZ586" s="9" t="s">
        <v>67</v>
      </c>
      <c r="BA586" s="9" t="s">
        <v>67</v>
      </c>
      <c r="BB586" s="12">
        <v>120</v>
      </c>
      <c r="BC586" s="9" t="s">
        <v>74</v>
      </c>
      <c r="BD586" s="9" t="s">
        <v>104</v>
      </c>
      <c r="BE586" s="9" t="s">
        <v>75</v>
      </c>
      <c r="BF586" s="11">
        <v>0</v>
      </c>
      <c r="BG586">
        <f t="shared" si="20"/>
        <v>12</v>
      </c>
      <c r="BH586" t="str">
        <f>VLOOKUP(BG586,[1]month!$A:$B,2,0)</f>
        <v>Desember</v>
      </c>
      <c r="BI586">
        <f t="shared" si="21"/>
        <v>2025</v>
      </c>
      <c r="BJ586" t="str">
        <f>VLOOKUP(I586,[1]Dist!$A:$B,2,0)</f>
        <v>Industry</v>
      </c>
      <c r="BK586" t="str">
        <f>IF(I586=11,VLOOKUP(Y586,[2]Sheet1!$C:$N,10,0),IF(I586=13,VLOOKUP(Y586,[3]Sheet1!$C:$N,10,0),IF(I586=15,VLOOKUP(Y586,[4]Sheet1!$C:$N,10,0),"Unknown")))</f>
        <v>PU</v>
      </c>
      <c r="BL586" t="str">
        <f>IF(I586=11,VLOOKUP(Y586,[2]Sheet1!$C:$N,12,0),IF(I586=13,VLOOKUP(Y586,[3]Sheet1!$C:$N,12,0),IF(I586=15,VLOOKUP(Y586,[4]Sheet1!$C:$N,12,0),"Unknown")))</f>
        <v>PU HARDENER</v>
      </c>
      <c r="BM586" t="str">
        <f>VLOOKUP(W586,[1]branch!$A:$B,2,0)</f>
        <v>INDUSTRY</v>
      </c>
    </row>
    <row r="587" spans="1:65" x14ac:dyDescent="0.35">
      <c r="A587" s="10">
        <v>45999</v>
      </c>
      <c r="B587" s="9" t="s">
        <v>1591</v>
      </c>
      <c r="C587" s="9" t="s">
        <v>64</v>
      </c>
      <c r="D587" s="9" t="s">
        <v>92</v>
      </c>
      <c r="E587" s="11">
        <v>30</v>
      </c>
      <c r="F587" s="9" t="s">
        <v>93</v>
      </c>
      <c r="G587" s="9" t="s">
        <v>65</v>
      </c>
      <c r="H587" s="9" t="s">
        <v>66</v>
      </c>
      <c r="I587" s="9">
        <v>11</v>
      </c>
      <c r="J587" s="9" t="s">
        <v>94</v>
      </c>
      <c r="K587" s="9" t="s">
        <v>94</v>
      </c>
      <c r="L587" s="9" t="s">
        <v>94</v>
      </c>
      <c r="M587" s="9" t="s">
        <v>95</v>
      </c>
      <c r="N587" s="9" t="s">
        <v>586</v>
      </c>
      <c r="O587" s="9" t="s">
        <v>97</v>
      </c>
      <c r="P587" s="9" t="s">
        <v>67</v>
      </c>
      <c r="Q587" s="9" t="s">
        <v>98</v>
      </c>
      <c r="R587" s="9" t="s">
        <v>715</v>
      </c>
      <c r="S587" s="9" t="s">
        <v>95</v>
      </c>
      <c r="T587" s="9" t="s">
        <v>716</v>
      </c>
      <c r="U587" s="9" t="s">
        <v>67</v>
      </c>
      <c r="V587" s="9" t="s">
        <v>99</v>
      </c>
      <c r="W587" s="9" t="s">
        <v>100</v>
      </c>
      <c r="X587" s="11">
        <v>50</v>
      </c>
      <c r="Y587" s="9" t="s">
        <v>118</v>
      </c>
      <c r="Z587" s="9" t="s">
        <v>68</v>
      </c>
      <c r="AA587" s="9" t="s">
        <v>119</v>
      </c>
      <c r="AB587" s="9" t="s">
        <v>67</v>
      </c>
      <c r="AC587" s="9" t="s">
        <v>120</v>
      </c>
      <c r="AD587" s="11">
        <v>1</v>
      </c>
      <c r="AE587" s="9" t="s">
        <v>70</v>
      </c>
      <c r="AF587" s="9" t="s">
        <v>71</v>
      </c>
      <c r="AG587" s="13">
        <v>1</v>
      </c>
      <c r="AH587" s="9" t="s">
        <v>92</v>
      </c>
      <c r="AI587" s="13">
        <v>7500000</v>
      </c>
      <c r="AJ587" s="13">
        <v>7500000</v>
      </c>
      <c r="AK587" s="11">
        <v>0</v>
      </c>
      <c r="AL587" s="11">
        <v>0</v>
      </c>
      <c r="AM587" s="11">
        <v>0</v>
      </c>
      <c r="AN587" s="9" t="s">
        <v>67</v>
      </c>
      <c r="AO587" s="11">
        <v>7500000</v>
      </c>
      <c r="AP587" s="13">
        <v>600000</v>
      </c>
      <c r="AQ587" s="13">
        <v>8100000</v>
      </c>
      <c r="AR587" s="11">
        <v>185</v>
      </c>
      <c r="AS587" s="9" t="s">
        <v>72</v>
      </c>
      <c r="AT587" s="11">
        <v>200</v>
      </c>
      <c r="AU587" s="9" t="s">
        <v>73</v>
      </c>
      <c r="AV587" s="9" t="s">
        <v>67</v>
      </c>
      <c r="AW587" s="9" t="s">
        <v>978</v>
      </c>
      <c r="AX587" s="10">
        <v>45988</v>
      </c>
      <c r="AY587" s="9" t="s">
        <v>1592</v>
      </c>
      <c r="AZ587" s="9" t="s">
        <v>67</v>
      </c>
      <c r="BA587" s="9" t="s">
        <v>67</v>
      </c>
      <c r="BB587" s="12">
        <v>200</v>
      </c>
      <c r="BC587" s="9" t="s">
        <v>74</v>
      </c>
      <c r="BD587" s="9" t="s">
        <v>104</v>
      </c>
      <c r="BE587" s="9" t="s">
        <v>75</v>
      </c>
      <c r="BF587" s="11">
        <v>0</v>
      </c>
      <c r="BG587">
        <f t="shared" si="20"/>
        <v>12</v>
      </c>
      <c r="BH587" t="str">
        <f>VLOOKUP(BG587,[1]month!$A:$B,2,0)</f>
        <v>Desember</v>
      </c>
      <c r="BI587">
        <f t="shared" si="21"/>
        <v>2025</v>
      </c>
      <c r="BJ587" t="str">
        <f>VLOOKUP(I587,[1]Dist!$A:$B,2,0)</f>
        <v>Industry</v>
      </c>
      <c r="BK587" t="str">
        <f>IF(I587=11,VLOOKUP(Y587,[2]Sheet1!$C:$N,10,0),IF(I587=13,VLOOKUP(Y587,[3]Sheet1!$C:$N,10,0),IF(I587=15,VLOOKUP(Y587,[4]Sheet1!$C:$N,10,0),"Unknown")))</f>
        <v>THINNER PU</v>
      </c>
      <c r="BL587" t="str">
        <f>IF(I587=11,VLOOKUP(Y587,[2]Sheet1!$C:$N,12,0),IF(I587=13,VLOOKUP(Y587,[3]Sheet1!$C:$N,12,0),IF(I587=15,VLOOKUP(Y587,[4]Sheet1!$C:$N,12,0),"Unknown")))</f>
        <v>THINNER PU</v>
      </c>
      <c r="BM587" t="str">
        <f>VLOOKUP(W587,[1]branch!$A:$B,2,0)</f>
        <v>INDUSTRY</v>
      </c>
    </row>
    <row r="588" spans="1:65" x14ac:dyDescent="0.35">
      <c r="A588" s="10">
        <v>45999</v>
      </c>
      <c r="B588" s="9" t="s">
        <v>1591</v>
      </c>
      <c r="C588" s="9" t="s">
        <v>64</v>
      </c>
      <c r="D588" s="9" t="s">
        <v>92</v>
      </c>
      <c r="E588" s="11">
        <v>30</v>
      </c>
      <c r="F588" s="9" t="s">
        <v>93</v>
      </c>
      <c r="G588" s="9" t="s">
        <v>65</v>
      </c>
      <c r="H588" s="9" t="s">
        <v>66</v>
      </c>
      <c r="I588" s="9">
        <v>11</v>
      </c>
      <c r="J588" s="9" t="s">
        <v>94</v>
      </c>
      <c r="K588" s="9" t="s">
        <v>94</v>
      </c>
      <c r="L588" s="9" t="s">
        <v>94</v>
      </c>
      <c r="M588" s="9" t="s">
        <v>95</v>
      </c>
      <c r="N588" s="9" t="s">
        <v>586</v>
      </c>
      <c r="O588" s="9" t="s">
        <v>97</v>
      </c>
      <c r="P588" s="9" t="s">
        <v>67</v>
      </c>
      <c r="Q588" s="9" t="s">
        <v>98</v>
      </c>
      <c r="R588" s="9" t="s">
        <v>715</v>
      </c>
      <c r="S588" s="9" t="s">
        <v>95</v>
      </c>
      <c r="T588" s="9" t="s">
        <v>716</v>
      </c>
      <c r="U588" s="9" t="s">
        <v>67</v>
      </c>
      <c r="V588" s="9" t="s">
        <v>99</v>
      </c>
      <c r="W588" s="9" t="s">
        <v>100</v>
      </c>
      <c r="X588" s="11">
        <v>60</v>
      </c>
      <c r="Y588" s="9" t="s">
        <v>552</v>
      </c>
      <c r="Z588" s="9" t="s">
        <v>68</v>
      </c>
      <c r="AA588" s="9" t="s">
        <v>553</v>
      </c>
      <c r="AB588" s="9" t="s">
        <v>67</v>
      </c>
      <c r="AC588" s="9" t="s">
        <v>139</v>
      </c>
      <c r="AD588" s="11">
        <v>1</v>
      </c>
      <c r="AE588" s="9" t="s">
        <v>70</v>
      </c>
      <c r="AF588" s="9" t="s">
        <v>71</v>
      </c>
      <c r="AG588" s="13">
        <v>1</v>
      </c>
      <c r="AH588" s="9" t="s">
        <v>92</v>
      </c>
      <c r="AI588" s="13">
        <v>7021000</v>
      </c>
      <c r="AJ588" s="13">
        <v>7021000</v>
      </c>
      <c r="AK588" s="11">
        <v>0</v>
      </c>
      <c r="AL588" s="11">
        <v>0</v>
      </c>
      <c r="AM588" s="11">
        <v>0</v>
      </c>
      <c r="AN588" s="9" t="s">
        <v>67</v>
      </c>
      <c r="AO588" s="11">
        <v>7021000</v>
      </c>
      <c r="AP588" s="13">
        <v>561680</v>
      </c>
      <c r="AQ588" s="13">
        <v>7582680</v>
      </c>
      <c r="AR588" s="11">
        <v>176</v>
      </c>
      <c r="AS588" s="9" t="s">
        <v>72</v>
      </c>
      <c r="AT588" s="11">
        <v>200</v>
      </c>
      <c r="AU588" s="9" t="s">
        <v>73</v>
      </c>
      <c r="AV588" s="9" t="s">
        <v>67</v>
      </c>
      <c r="AW588" s="9" t="s">
        <v>978</v>
      </c>
      <c r="AX588" s="10">
        <v>45988</v>
      </c>
      <c r="AY588" s="9" t="s">
        <v>1592</v>
      </c>
      <c r="AZ588" s="9" t="s">
        <v>67</v>
      </c>
      <c r="BA588" s="9" t="s">
        <v>67</v>
      </c>
      <c r="BB588" s="12">
        <v>200</v>
      </c>
      <c r="BC588" s="9" t="s">
        <v>74</v>
      </c>
      <c r="BD588" s="9" t="s">
        <v>104</v>
      </c>
      <c r="BE588" s="9" t="s">
        <v>75</v>
      </c>
      <c r="BF588" s="11">
        <v>0</v>
      </c>
      <c r="BG588">
        <f t="shared" si="20"/>
        <v>12</v>
      </c>
      <c r="BH588" t="str">
        <f>VLOOKUP(BG588,[1]month!$A:$B,2,0)</f>
        <v>Desember</v>
      </c>
      <c r="BI588">
        <f t="shared" si="21"/>
        <v>2025</v>
      </c>
      <c r="BJ588" t="str">
        <f>VLOOKUP(I588,[1]Dist!$A:$B,2,0)</f>
        <v>Industry</v>
      </c>
      <c r="BK588" t="str">
        <f>IF(I588=11,VLOOKUP(Y588,[2]Sheet1!$C:$N,10,0),IF(I588=13,VLOOKUP(Y588,[3]Sheet1!$C:$N,10,0),IF(I588=15,VLOOKUP(Y588,[4]Sheet1!$C:$N,10,0),"Unknown")))</f>
        <v>THINNER NC</v>
      </c>
      <c r="BL588" t="str">
        <f>IF(I588=11,VLOOKUP(Y588,[2]Sheet1!$C:$N,12,0),IF(I588=13,VLOOKUP(Y588,[3]Sheet1!$C:$N,12,0),IF(I588=15,VLOOKUP(Y588,[4]Sheet1!$C:$N,12,0),"Unknown")))</f>
        <v>THINNER COMPLEMENTARY</v>
      </c>
      <c r="BM588" t="str">
        <f>VLOOKUP(W588,[1]branch!$A:$B,2,0)</f>
        <v>INDUSTRY</v>
      </c>
    </row>
    <row r="589" spans="1:65" x14ac:dyDescent="0.35">
      <c r="A589" s="10">
        <v>45999</v>
      </c>
      <c r="B589" s="9" t="s">
        <v>1591</v>
      </c>
      <c r="C589" s="9" t="s">
        <v>64</v>
      </c>
      <c r="D589" s="9" t="s">
        <v>92</v>
      </c>
      <c r="E589" s="11">
        <v>30</v>
      </c>
      <c r="F589" s="9" t="s">
        <v>93</v>
      </c>
      <c r="G589" s="9" t="s">
        <v>65</v>
      </c>
      <c r="H589" s="9" t="s">
        <v>66</v>
      </c>
      <c r="I589" s="9">
        <v>11</v>
      </c>
      <c r="J589" s="9" t="s">
        <v>94</v>
      </c>
      <c r="K589" s="9" t="s">
        <v>94</v>
      </c>
      <c r="L589" s="9" t="s">
        <v>94</v>
      </c>
      <c r="M589" s="9" t="s">
        <v>95</v>
      </c>
      <c r="N589" s="9" t="s">
        <v>586</v>
      </c>
      <c r="O589" s="9" t="s">
        <v>97</v>
      </c>
      <c r="P589" s="9" t="s">
        <v>67</v>
      </c>
      <c r="Q589" s="9" t="s">
        <v>98</v>
      </c>
      <c r="R589" s="9" t="s">
        <v>715</v>
      </c>
      <c r="S589" s="9" t="s">
        <v>95</v>
      </c>
      <c r="T589" s="9" t="s">
        <v>716</v>
      </c>
      <c r="U589" s="9" t="s">
        <v>67</v>
      </c>
      <c r="V589" s="9" t="s">
        <v>99</v>
      </c>
      <c r="W589" s="9" t="s">
        <v>100</v>
      </c>
      <c r="X589" s="11">
        <v>70</v>
      </c>
      <c r="Y589" s="9" t="s">
        <v>1593</v>
      </c>
      <c r="Z589" s="9" t="s">
        <v>68</v>
      </c>
      <c r="AA589" s="9" t="s">
        <v>1594</v>
      </c>
      <c r="AB589" s="9" t="s">
        <v>67</v>
      </c>
      <c r="AC589" s="9" t="s">
        <v>82</v>
      </c>
      <c r="AD589" s="11">
        <v>1</v>
      </c>
      <c r="AE589" s="9" t="s">
        <v>70</v>
      </c>
      <c r="AF589" s="9" t="s">
        <v>71</v>
      </c>
      <c r="AG589" s="13">
        <v>1</v>
      </c>
      <c r="AH589" s="9" t="s">
        <v>92</v>
      </c>
      <c r="AI589" s="13">
        <v>10640000</v>
      </c>
      <c r="AJ589" s="13">
        <v>10640000</v>
      </c>
      <c r="AK589" s="11">
        <v>0</v>
      </c>
      <c r="AL589" s="11">
        <v>0</v>
      </c>
      <c r="AM589" s="11">
        <v>0</v>
      </c>
      <c r="AN589" s="9" t="s">
        <v>67</v>
      </c>
      <c r="AO589" s="11">
        <v>10640000</v>
      </c>
      <c r="AP589" s="13">
        <v>851200</v>
      </c>
      <c r="AQ589" s="13">
        <v>11491200</v>
      </c>
      <c r="AR589" s="11">
        <v>160</v>
      </c>
      <c r="AS589" s="9" t="s">
        <v>72</v>
      </c>
      <c r="AT589" s="12">
        <v>173.91300000000001</v>
      </c>
      <c r="AU589" s="9" t="s">
        <v>73</v>
      </c>
      <c r="AV589" s="9" t="s">
        <v>67</v>
      </c>
      <c r="AW589" s="9" t="s">
        <v>978</v>
      </c>
      <c r="AX589" s="10">
        <v>45988</v>
      </c>
      <c r="AY589" s="9" t="s">
        <v>1592</v>
      </c>
      <c r="AZ589" s="9" t="s">
        <v>67</v>
      </c>
      <c r="BA589" s="9" t="s">
        <v>67</v>
      </c>
      <c r="BB589" s="12">
        <v>160</v>
      </c>
      <c r="BC589" s="9" t="s">
        <v>74</v>
      </c>
      <c r="BD589" s="9" t="s">
        <v>104</v>
      </c>
      <c r="BE589" s="9" t="s">
        <v>75</v>
      </c>
      <c r="BF589" s="11">
        <v>0</v>
      </c>
      <c r="BG589">
        <f t="shared" si="20"/>
        <v>12</v>
      </c>
      <c r="BH589" t="str">
        <f>VLOOKUP(BG589,[1]month!$A:$B,2,0)</f>
        <v>Desember</v>
      </c>
      <c r="BI589">
        <f t="shared" si="21"/>
        <v>2025</v>
      </c>
      <c r="BJ589" t="str">
        <f>VLOOKUP(I589,[1]Dist!$A:$B,2,0)</f>
        <v>Industry</v>
      </c>
      <c r="BK589" t="str">
        <f>IF(I589=11,VLOOKUP(Y589,[2]Sheet1!$C:$N,10,0),IF(I589=13,VLOOKUP(Y589,[3]Sheet1!$C:$N,10,0),IF(I589=15,VLOOKUP(Y589,[4]Sheet1!$C:$N,10,0),"Unknown")))</f>
        <v>STAIN &amp; GLAZE INTERIOR</v>
      </c>
      <c r="BL589" t="str">
        <f>IF(I589=11,VLOOKUP(Y589,[2]Sheet1!$C:$N,12,0),IF(I589=13,VLOOKUP(Y589,[3]Sheet1!$C:$N,12,0),IF(I589=15,VLOOKUP(Y589,[4]Sheet1!$C:$N,12,0),"Unknown")))</f>
        <v>STAIN INTERIOR</v>
      </c>
      <c r="BM589" t="str">
        <f>VLOOKUP(W589,[1]branch!$A:$B,2,0)</f>
        <v>INDUSTRY</v>
      </c>
    </row>
    <row r="590" spans="1:65" x14ac:dyDescent="0.35">
      <c r="A590" s="10">
        <v>45999</v>
      </c>
      <c r="B590" s="9" t="s">
        <v>1595</v>
      </c>
      <c r="C590" s="9" t="s">
        <v>64</v>
      </c>
      <c r="D590" s="9" t="s">
        <v>92</v>
      </c>
      <c r="E590" s="11">
        <v>60</v>
      </c>
      <c r="F590" s="9" t="s">
        <v>93</v>
      </c>
      <c r="G590" s="9" t="s">
        <v>65</v>
      </c>
      <c r="H590" s="9" t="s">
        <v>66</v>
      </c>
      <c r="I590" s="9">
        <v>11</v>
      </c>
      <c r="J590" s="9" t="s">
        <v>227</v>
      </c>
      <c r="K590" s="9" t="s">
        <v>227</v>
      </c>
      <c r="L590" s="9" t="s">
        <v>227</v>
      </c>
      <c r="M590" s="9" t="s">
        <v>228</v>
      </c>
      <c r="N590" s="9" t="s">
        <v>872</v>
      </c>
      <c r="O590" s="9" t="s">
        <v>97</v>
      </c>
      <c r="P590" s="9" t="s">
        <v>67</v>
      </c>
      <c r="Q590" s="9" t="s">
        <v>98</v>
      </c>
      <c r="R590" s="9" t="s">
        <v>227</v>
      </c>
      <c r="S590" s="9" t="s">
        <v>228</v>
      </c>
      <c r="T590" s="9" t="s">
        <v>817</v>
      </c>
      <c r="U590" s="9" t="s">
        <v>67</v>
      </c>
      <c r="V590" s="9" t="s">
        <v>221</v>
      </c>
      <c r="W590" s="9" t="s">
        <v>222</v>
      </c>
      <c r="X590" s="11">
        <v>10</v>
      </c>
      <c r="Y590" s="9" t="s">
        <v>118</v>
      </c>
      <c r="Z590" s="9" t="s">
        <v>68</v>
      </c>
      <c r="AA590" s="9" t="s">
        <v>119</v>
      </c>
      <c r="AB590" s="9" t="s">
        <v>67</v>
      </c>
      <c r="AC590" s="9" t="s">
        <v>120</v>
      </c>
      <c r="AD590" s="11">
        <v>1</v>
      </c>
      <c r="AE590" s="9" t="s">
        <v>70</v>
      </c>
      <c r="AF590" s="9" t="s">
        <v>71</v>
      </c>
      <c r="AG590" s="13">
        <v>1</v>
      </c>
      <c r="AH590" s="9" t="s">
        <v>92</v>
      </c>
      <c r="AI590" s="13">
        <v>7640000</v>
      </c>
      <c r="AJ590" s="13">
        <v>7640000</v>
      </c>
      <c r="AK590" s="11">
        <v>0</v>
      </c>
      <c r="AL590" s="11">
        <v>0</v>
      </c>
      <c r="AM590" s="11">
        <v>0</v>
      </c>
      <c r="AN590" s="9" t="s">
        <v>67</v>
      </c>
      <c r="AO590" s="11">
        <v>7640000</v>
      </c>
      <c r="AP590" s="13">
        <v>611200</v>
      </c>
      <c r="AQ590" s="13">
        <v>8251200</v>
      </c>
      <c r="AR590" s="11">
        <v>185</v>
      </c>
      <c r="AS590" s="9" t="s">
        <v>72</v>
      </c>
      <c r="AT590" s="11">
        <v>200</v>
      </c>
      <c r="AU590" s="9" t="s">
        <v>73</v>
      </c>
      <c r="AV590" s="9" t="s">
        <v>67</v>
      </c>
      <c r="AW590" s="9" t="s">
        <v>1596</v>
      </c>
      <c r="AX590" s="10">
        <v>45996</v>
      </c>
      <c r="AY590" s="9" t="s">
        <v>1597</v>
      </c>
      <c r="AZ590" s="9" t="s">
        <v>67</v>
      </c>
      <c r="BA590" s="9" t="s">
        <v>67</v>
      </c>
      <c r="BB590" s="12">
        <v>200</v>
      </c>
      <c r="BC590" s="9" t="s">
        <v>74</v>
      </c>
      <c r="BD590" s="9" t="s">
        <v>104</v>
      </c>
      <c r="BE590" s="9" t="s">
        <v>75</v>
      </c>
      <c r="BF590" s="11">
        <v>0</v>
      </c>
      <c r="BG590">
        <f t="shared" si="20"/>
        <v>12</v>
      </c>
      <c r="BH590" t="str">
        <f>VLOOKUP(BG590,[1]month!$A:$B,2,0)</f>
        <v>Desember</v>
      </c>
      <c r="BI590">
        <f t="shared" si="21"/>
        <v>2025</v>
      </c>
      <c r="BJ590" t="str">
        <f>VLOOKUP(I590,[1]Dist!$A:$B,2,0)</f>
        <v>Industry</v>
      </c>
      <c r="BK590" t="str">
        <f>IF(I590=11,VLOOKUP(Y590,[2]Sheet1!$C:$N,10,0),IF(I590=13,VLOOKUP(Y590,[3]Sheet1!$C:$N,10,0),IF(I590=15,VLOOKUP(Y590,[4]Sheet1!$C:$N,10,0),"Unknown")))</f>
        <v>THINNER PU</v>
      </c>
      <c r="BL590" t="str">
        <f>IF(I590=11,VLOOKUP(Y590,[2]Sheet1!$C:$N,12,0),IF(I590=13,VLOOKUP(Y590,[3]Sheet1!$C:$N,12,0),IF(I590=15,VLOOKUP(Y590,[4]Sheet1!$C:$N,12,0),"Unknown")))</f>
        <v>THINNER PU</v>
      </c>
      <c r="BM590" t="str">
        <f>VLOOKUP(W590,[1]branch!$A:$B,2,0)</f>
        <v>INDUSTRY</v>
      </c>
    </row>
    <row r="591" spans="1:65" x14ac:dyDescent="0.35">
      <c r="A591" s="10">
        <v>45999</v>
      </c>
      <c r="B591" s="9" t="s">
        <v>1595</v>
      </c>
      <c r="C591" s="9" t="s">
        <v>64</v>
      </c>
      <c r="D591" s="9" t="s">
        <v>92</v>
      </c>
      <c r="E591" s="11">
        <v>60</v>
      </c>
      <c r="F591" s="9" t="s">
        <v>93</v>
      </c>
      <c r="G591" s="9" t="s">
        <v>65</v>
      </c>
      <c r="H591" s="9" t="s">
        <v>66</v>
      </c>
      <c r="I591" s="9">
        <v>11</v>
      </c>
      <c r="J591" s="9" t="s">
        <v>227</v>
      </c>
      <c r="K591" s="9" t="s">
        <v>227</v>
      </c>
      <c r="L591" s="9" t="s">
        <v>227</v>
      </c>
      <c r="M591" s="9" t="s">
        <v>228</v>
      </c>
      <c r="N591" s="9" t="s">
        <v>872</v>
      </c>
      <c r="O591" s="9" t="s">
        <v>97</v>
      </c>
      <c r="P591" s="9" t="s">
        <v>67</v>
      </c>
      <c r="Q591" s="9" t="s">
        <v>98</v>
      </c>
      <c r="R591" s="9" t="s">
        <v>227</v>
      </c>
      <c r="S591" s="9" t="s">
        <v>228</v>
      </c>
      <c r="T591" s="9" t="s">
        <v>817</v>
      </c>
      <c r="U591" s="9" t="s">
        <v>67</v>
      </c>
      <c r="V591" s="9" t="s">
        <v>221</v>
      </c>
      <c r="W591" s="9" t="s">
        <v>222</v>
      </c>
      <c r="X591" s="11">
        <v>20</v>
      </c>
      <c r="Y591" s="9" t="s">
        <v>260</v>
      </c>
      <c r="Z591" s="9" t="s">
        <v>68</v>
      </c>
      <c r="AA591" s="9" t="s">
        <v>723</v>
      </c>
      <c r="AB591" s="9" t="s">
        <v>67</v>
      </c>
      <c r="AC591" s="9" t="s">
        <v>248</v>
      </c>
      <c r="AD591" s="11">
        <v>4</v>
      </c>
      <c r="AE591" s="9" t="s">
        <v>70</v>
      </c>
      <c r="AF591" s="9" t="s">
        <v>71</v>
      </c>
      <c r="AG591" s="13">
        <v>1</v>
      </c>
      <c r="AH591" s="9" t="s">
        <v>92</v>
      </c>
      <c r="AI591" s="13">
        <v>2787200</v>
      </c>
      <c r="AJ591" s="13">
        <v>11148800</v>
      </c>
      <c r="AK591" s="11">
        <v>0</v>
      </c>
      <c r="AL591" s="11">
        <v>0</v>
      </c>
      <c r="AM591" s="11">
        <v>0</v>
      </c>
      <c r="AN591" s="9" t="s">
        <v>67</v>
      </c>
      <c r="AO591" s="11">
        <v>11148800</v>
      </c>
      <c r="AP591" s="13">
        <v>891905</v>
      </c>
      <c r="AQ591" s="13">
        <v>12040705</v>
      </c>
      <c r="AR591" s="12">
        <v>78.400000000000006</v>
      </c>
      <c r="AS591" s="9" t="s">
        <v>72</v>
      </c>
      <c r="AT591" s="11">
        <v>80</v>
      </c>
      <c r="AU591" s="9" t="s">
        <v>73</v>
      </c>
      <c r="AV591" s="9" t="s">
        <v>67</v>
      </c>
      <c r="AW591" s="9" t="s">
        <v>1596</v>
      </c>
      <c r="AX591" s="10">
        <v>45996</v>
      </c>
      <c r="AY591" s="9" t="s">
        <v>1597</v>
      </c>
      <c r="AZ591" s="9" t="s">
        <v>67</v>
      </c>
      <c r="BA591" s="9" t="s">
        <v>67</v>
      </c>
      <c r="BB591" s="12">
        <v>80</v>
      </c>
      <c r="BC591" s="9" t="s">
        <v>74</v>
      </c>
      <c r="BD591" s="9" t="s">
        <v>104</v>
      </c>
      <c r="BE591" s="9" t="s">
        <v>75</v>
      </c>
      <c r="BF591" s="11">
        <v>0</v>
      </c>
      <c r="BG591">
        <f t="shared" si="20"/>
        <v>12</v>
      </c>
      <c r="BH591" t="str">
        <f>VLOOKUP(BG591,[1]month!$A:$B,2,0)</f>
        <v>Desember</v>
      </c>
      <c r="BI591">
        <f t="shared" si="21"/>
        <v>2025</v>
      </c>
      <c r="BJ591" t="str">
        <f>VLOOKUP(I591,[1]Dist!$A:$B,2,0)</f>
        <v>Industry</v>
      </c>
      <c r="BK591" t="str">
        <f>IF(I591=11,VLOOKUP(Y591,[2]Sheet1!$C:$N,10,0),IF(I591=13,VLOOKUP(Y591,[3]Sheet1!$C:$N,10,0),IF(I591=15,VLOOKUP(Y591,[4]Sheet1!$C:$N,10,0),"Unknown")))</f>
        <v>PU</v>
      </c>
      <c r="BL591" t="str">
        <f>IF(I591=11,VLOOKUP(Y591,[2]Sheet1!$C:$N,12,0),IF(I591=13,VLOOKUP(Y591,[3]Sheet1!$C:$N,12,0),IF(I591=15,VLOOKUP(Y591,[4]Sheet1!$C:$N,12,0),"Unknown")))</f>
        <v>PU LACQUER</v>
      </c>
      <c r="BM591" t="str">
        <f>VLOOKUP(W591,[1]branch!$A:$B,2,0)</f>
        <v>INDUSTRY</v>
      </c>
    </row>
    <row r="592" spans="1:65" x14ac:dyDescent="0.35">
      <c r="A592" s="10">
        <v>45999</v>
      </c>
      <c r="B592" s="9" t="s">
        <v>1595</v>
      </c>
      <c r="C592" s="9" t="s">
        <v>64</v>
      </c>
      <c r="D592" s="9" t="s">
        <v>92</v>
      </c>
      <c r="E592" s="11">
        <v>60</v>
      </c>
      <c r="F592" s="9" t="s">
        <v>93</v>
      </c>
      <c r="G592" s="9" t="s">
        <v>65</v>
      </c>
      <c r="H592" s="9" t="s">
        <v>66</v>
      </c>
      <c r="I592" s="9">
        <v>11</v>
      </c>
      <c r="J592" s="9" t="s">
        <v>227</v>
      </c>
      <c r="K592" s="9" t="s">
        <v>227</v>
      </c>
      <c r="L592" s="9" t="s">
        <v>227</v>
      </c>
      <c r="M592" s="9" t="s">
        <v>228</v>
      </c>
      <c r="N592" s="9" t="s">
        <v>872</v>
      </c>
      <c r="O592" s="9" t="s">
        <v>97</v>
      </c>
      <c r="P592" s="9" t="s">
        <v>67</v>
      </c>
      <c r="Q592" s="9" t="s">
        <v>98</v>
      </c>
      <c r="R592" s="9" t="s">
        <v>227</v>
      </c>
      <c r="S592" s="9" t="s">
        <v>228</v>
      </c>
      <c r="T592" s="9" t="s">
        <v>817</v>
      </c>
      <c r="U592" s="9" t="s">
        <v>67</v>
      </c>
      <c r="V592" s="9" t="s">
        <v>221</v>
      </c>
      <c r="W592" s="9" t="s">
        <v>222</v>
      </c>
      <c r="X592" s="11">
        <v>30</v>
      </c>
      <c r="Y592" s="9" t="s">
        <v>246</v>
      </c>
      <c r="Z592" s="9" t="s">
        <v>68</v>
      </c>
      <c r="AA592" s="9" t="s">
        <v>247</v>
      </c>
      <c r="AB592" s="9" t="s">
        <v>67</v>
      </c>
      <c r="AC592" s="9" t="s">
        <v>248</v>
      </c>
      <c r="AD592" s="11">
        <v>1</v>
      </c>
      <c r="AE592" s="9" t="s">
        <v>70</v>
      </c>
      <c r="AF592" s="9" t="s">
        <v>71</v>
      </c>
      <c r="AG592" s="13">
        <v>1</v>
      </c>
      <c r="AH592" s="9" t="s">
        <v>92</v>
      </c>
      <c r="AI592" s="13">
        <v>2519400</v>
      </c>
      <c r="AJ592" s="13">
        <v>2519400</v>
      </c>
      <c r="AK592" s="11">
        <v>0</v>
      </c>
      <c r="AL592" s="11">
        <v>0</v>
      </c>
      <c r="AM592" s="11">
        <v>0</v>
      </c>
      <c r="AN592" s="9" t="s">
        <v>67</v>
      </c>
      <c r="AO592" s="11">
        <v>2519400</v>
      </c>
      <c r="AP592" s="13">
        <v>201552</v>
      </c>
      <c r="AQ592" s="13">
        <v>2720952</v>
      </c>
      <c r="AR592" s="12">
        <v>19.2</v>
      </c>
      <c r="AS592" s="9" t="s">
        <v>72</v>
      </c>
      <c r="AT592" s="11">
        <v>20</v>
      </c>
      <c r="AU592" s="9" t="s">
        <v>73</v>
      </c>
      <c r="AV592" s="9" t="s">
        <v>67</v>
      </c>
      <c r="AW592" s="9" t="s">
        <v>1596</v>
      </c>
      <c r="AX592" s="10">
        <v>45996</v>
      </c>
      <c r="AY592" s="9" t="s">
        <v>1597</v>
      </c>
      <c r="AZ592" s="9" t="s">
        <v>67</v>
      </c>
      <c r="BA592" s="9" t="s">
        <v>67</v>
      </c>
      <c r="BB592" s="12">
        <v>20</v>
      </c>
      <c r="BC592" s="9" t="s">
        <v>74</v>
      </c>
      <c r="BD592" s="9" t="s">
        <v>104</v>
      </c>
      <c r="BE592" s="9" t="s">
        <v>75</v>
      </c>
      <c r="BF592" s="11">
        <v>0</v>
      </c>
      <c r="BG592">
        <f t="shared" si="20"/>
        <v>12</v>
      </c>
      <c r="BH592" t="str">
        <f>VLOOKUP(BG592,[1]month!$A:$B,2,0)</f>
        <v>Desember</v>
      </c>
      <c r="BI592">
        <f t="shared" si="21"/>
        <v>2025</v>
      </c>
      <c r="BJ592" t="str">
        <f>VLOOKUP(I592,[1]Dist!$A:$B,2,0)</f>
        <v>Industry</v>
      </c>
      <c r="BK592" t="str">
        <f>IF(I592=11,VLOOKUP(Y592,[2]Sheet1!$C:$N,10,0),IF(I592=13,VLOOKUP(Y592,[3]Sheet1!$C:$N,10,0),IF(I592=15,VLOOKUP(Y592,[4]Sheet1!$C:$N,10,0),"Unknown")))</f>
        <v>PU</v>
      </c>
      <c r="BL592" t="str">
        <f>IF(I592=11,VLOOKUP(Y592,[2]Sheet1!$C:$N,12,0),IF(I592=13,VLOOKUP(Y592,[3]Sheet1!$C:$N,12,0),IF(I592=15,VLOOKUP(Y592,[4]Sheet1!$C:$N,12,0),"Unknown")))</f>
        <v>PU LACQUER</v>
      </c>
      <c r="BM592" t="str">
        <f>VLOOKUP(W592,[1]branch!$A:$B,2,0)</f>
        <v>INDUSTRY</v>
      </c>
    </row>
    <row r="593" spans="1:65" x14ac:dyDescent="0.35">
      <c r="A593" s="10">
        <v>45999</v>
      </c>
      <c r="B593" s="9" t="s">
        <v>1595</v>
      </c>
      <c r="C593" s="9" t="s">
        <v>64</v>
      </c>
      <c r="D593" s="9" t="s">
        <v>92</v>
      </c>
      <c r="E593" s="11">
        <v>60</v>
      </c>
      <c r="F593" s="9" t="s">
        <v>93</v>
      </c>
      <c r="G593" s="9" t="s">
        <v>65</v>
      </c>
      <c r="H593" s="9" t="s">
        <v>66</v>
      </c>
      <c r="I593" s="9">
        <v>11</v>
      </c>
      <c r="J593" s="9" t="s">
        <v>227</v>
      </c>
      <c r="K593" s="9" t="s">
        <v>227</v>
      </c>
      <c r="L593" s="9" t="s">
        <v>227</v>
      </c>
      <c r="M593" s="9" t="s">
        <v>228</v>
      </c>
      <c r="N593" s="9" t="s">
        <v>872</v>
      </c>
      <c r="O593" s="9" t="s">
        <v>97</v>
      </c>
      <c r="P593" s="9" t="s">
        <v>67</v>
      </c>
      <c r="Q593" s="9" t="s">
        <v>98</v>
      </c>
      <c r="R593" s="9" t="s">
        <v>227</v>
      </c>
      <c r="S593" s="9" t="s">
        <v>228</v>
      </c>
      <c r="T593" s="9" t="s">
        <v>817</v>
      </c>
      <c r="U593" s="9" t="s">
        <v>67</v>
      </c>
      <c r="V593" s="9" t="s">
        <v>221</v>
      </c>
      <c r="W593" s="9" t="s">
        <v>222</v>
      </c>
      <c r="X593" s="11">
        <v>40</v>
      </c>
      <c r="Y593" s="9" t="s">
        <v>123</v>
      </c>
      <c r="Z593" s="9" t="s">
        <v>68</v>
      </c>
      <c r="AA593" s="9" t="s">
        <v>124</v>
      </c>
      <c r="AB593" s="9" t="s">
        <v>67</v>
      </c>
      <c r="AC593" s="9" t="s">
        <v>125</v>
      </c>
      <c r="AD593" s="11">
        <v>3</v>
      </c>
      <c r="AE593" s="9" t="s">
        <v>70</v>
      </c>
      <c r="AF593" s="9" t="s">
        <v>71</v>
      </c>
      <c r="AG593" s="13">
        <v>1</v>
      </c>
      <c r="AH593" s="9" t="s">
        <v>92</v>
      </c>
      <c r="AI593" s="13">
        <v>3174600</v>
      </c>
      <c r="AJ593" s="13">
        <v>9523800</v>
      </c>
      <c r="AK593" s="11">
        <v>0</v>
      </c>
      <c r="AL593" s="11">
        <v>0</v>
      </c>
      <c r="AM593" s="11">
        <v>0</v>
      </c>
      <c r="AN593" s="9" t="s">
        <v>67</v>
      </c>
      <c r="AO593" s="11">
        <v>9523800</v>
      </c>
      <c r="AP593" s="13">
        <v>761904</v>
      </c>
      <c r="AQ593" s="13">
        <v>10285704</v>
      </c>
      <c r="AR593" s="12">
        <v>58.8</v>
      </c>
      <c r="AS593" s="9" t="s">
        <v>72</v>
      </c>
      <c r="AT593" s="11">
        <v>60</v>
      </c>
      <c r="AU593" s="9" t="s">
        <v>73</v>
      </c>
      <c r="AV593" s="9" t="s">
        <v>67</v>
      </c>
      <c r="AW593" s="9" t="s">
        <v>1596</v>
      </c>
      <c r="AX593" s="10">
        <v>45996</v>
      </c>
      <c r="AY593" s="9" t="s">
        <v>1597</v>
      </c>
      <c r="AZ593" s="9" t="s">
        <v>67</v>
      </c>
      <c r="BA593" s="9" t="s">
        <v>67</v>
      </c>
      <c r="BB593" s="12">
        <v>60</v>
      </c>
      <c r="BC593" s="9" t="s">
        <v>74</v>
      </c>
      <c r="BD593" s="9" t="s">
        <v>104</v>
      </c>
      <c r="BE593" s="9" t="s">
        <v>75</v>
      </c>
      <c r="BF593" s="11">
        <v>0</v>
      </c>
      <c r="BG593">
        <f t="shared" si="20"/>
        <v>12</v>
      </c>
      <c r="BH593" t="str">
        <f>VLOOKUP(BG593,[1]month!$A:$B,2,0)</f>
        <v>Desember</v>
      </c>
      <c r="BI593">
        <f t="shared" si="21"/>
        <v>2025</v>
      </c>
      <c r="BJ593" t="str">
        <f>VLOOKUP(I593,[1]Dist!$A:$B,2,0)</f>
        <v>Industry</v>
      </c>
      <c r="BK593" t="str">
        <f>IF(I593=11,VLOOKUP(Y593,[2]Sheet1!$C:$N,10,0),IF(I593=13,VLOOKUP(Y593,[3]Sheet1!$C:$N,10,0),IF(I593=15,VLOOKUP(Y593,[4]Sheet1!$C:$N,10,0),"Unknown")))</f>
        <v>PU</v>
      </c>
      <c r="BL593" t="str">
        <f>IF(I593=11,VLOOKUP(Y593,[2]Sheet1!$C:$N,12,0),IF(I593=13,VLOOKUP(Y593,[3]Sheet1!$C:$N,12,0),IF(I593=15,VLOOKUP(Y593,[4]Sheet1!$C:$N,12,0),"Unknown")))</f>
        <v>PU HARDENER</v>
      </c>
      <c r="BM593" t="str">
        <f>VLOOKUP(W593,[1]branch!$A:$B,2,0)</f>
        <v>INDUSTRY</v>
      </c>
    </row>
    <row r="594" spans="1:65" x14ac:dyDescent="0.35">
      <c r="A594" s="10">
        <v>45999</v>
      </c>
      <c r="B594" s="9" t="s">
        <v>1595</v>
      </c>
      <c r="C594" s="9" t="s">
        <v>64</v>
      </c>
      <c r="D594" s="9" t="s">
        <v>92</v>
      </c>
      <c r="E594" s="11">
        <v>60</v>
      </c>
      <c r="F594" s="9" t="s">
        <v>93</v>
      </c>
      <c r="G594" s="9" t="s">
        <v>65</v>
      </c>
      <c r="H594" s="9" t="s">
        <v>66</v>
      </c>
      <c r="I594" s="9">
        <v>11</v>
      </c>
      <c r="J594" s="9" t="s">
        <v>227</v>
      </c>
      <c r="K594" s="9" t="s">
        <v>227</v>
      </c>
      <c r="L594" s="9" t="s">
        <v>227</v>
      </c>
      <c r="M594" s="9" t="s">
        <v>228</v>
      </c>
      <c r="N594" s="9" t="s">
        <v>872</v>
      </c>
      <c r="O594" s="9" t="s">
        <v>97</v>
      </c>
      <c r="P594" s="9" t="s">
        <v>67</v>
      </c>
      <c r="Q594" s="9" t="s">
        <v>98</v>
      </c>
      <c r="R594" s="9" t="s">
        <v>227</v>
      </c>
      <c r="S594" s="9" t="s">
        <v>228</v>
      </c>
      <c r="T594" s="9" t="s">
        <v>817</v>
      </c>
      <c r="U594" s="9" t="s">
        <v>67</v>
      </c>
      <c r="V594" s="9" t="s">
        <v>221</v>
      </c>
      <c r="W594" s="9" t="s">
        <v>222</v>
      </c>
      <c r="X594" s="11">
        <v>50</v>
      </c>
      <c r="Y594" s="9" t="s">
        <v>80</v>
      </c>
      <c r="Z594" s="9" t="s">
        <v>68</v>
      </c>
      <c r="AA594" s="9" t="s">
        <v>81</v>
      </c>
      <c r="AB594" s="9" t="s">
        <v>67</v>
      </c>
      <c r="AC594" s="9" t="s">
        <v>82</v>
      </c>
      <c r="AD594" s="11">
        <v>1</v>
      </c>
      <c r="AE594" s="9" t="s">
        <v>70</v>
      </c>
      <c r="AF594" s="9" t="s">
        <v>71</v>
      </c>
      <c r="AG594" s="13">
        <v>1</v>
      </c>
      <c r="AH594" s="9" t="s">
        <v>92</v>
      </c>
      <c r="AI594" s="13">
        <v>705760</v>
      </c>
      <c r="AJ594" s="13">
        <v>705760</v>
      </c>
      <c r="AK594" s="11">
        <v>0</v>
      </c>
      <c r="AL594" s="11">
        <v>0</v>
      </c>
      <c r="AM594" s="11">
        <v>0</v>
      </c>
      <c r="AN594" s="9" t="s">
        <v>67</v>
      </c>
      <c r="AO594" s="11">
        <v>705760</v>
      </c>
      <c r="AP594" s="13">
        <v>56461</v>
      </c>
      <c r="AQ594" s="13">
        <v>762221</v>
      </c>
      <c r="AR594" s="11">
        <v>4</v>
      </c>
      <c r="AS594" s="9" t="s">
        <v>72</v>
      </c>
      <c r="AT594" s="12">
        <v>4.76</v>
      </c>
      <c r="AU594" s="9" t="s">
        <v>73</v>
      </c>
      <c r="AV594" s="9" t="s">
        <v>67</v>
      </c>
      <c r="AW594" s="9" t="s">
        <v>1596</v>
      </c>
      <c r="AX594" s="10">
        <v>45996</v>
      </c>
      <c r="AY594" s="9" t="s">
        <v>1597</v>
      </c>
      <c r="AZ594" s="9" t="s">
        <v>67</v>
      </c>
      <c r="BA594" s="9" t="s">
        <v>67</v>
      </c>
      <c r="BB594" s="12">
        <v>4</v>
      </c>
      <c r="BC594" s="9" t="s">
        <v>74</v>
      </c>
      <c r="BD594" s="9" t="s">
        <v>104</v>
      </c>
      <c r="BE594" s="9" t="s">
        <v>75</v>
      </c>
      <c r="BF594" s="11">
        <v>0</v>
      </c>
      <c r="BG594">
        <f t="shared" si="20"/>
        <v>12</v>
      </c>
      <c r="BH594" t="str">
        <f>VLOOKUP(BG594,[1]month!$A:$B,2,0)</f>
        <v>Desember</v>
      </c>
      <c r="BI594">
        <f t="shared" si="21"/>
        <v>2025</v>
      </c>
      <c r="BJ594" t="str">
        <f>VLOOKUP(I594,[1]Dist!$A:$B,2,0)</f>
        <v>Industry</v>
      </c>
      <c r="BK594" t="str">
        <f>IF(I594=11,VLOOKUP(Y594,[2]Sheet1!$C:$N,10,0),IF(I594=13,VLOOKUP(Y594,[3]Sheet1!$C:$N,10,0),IF(I594=15,VLOOKUP(Y594,[4]Sheet1!$C:$N,10,0),"Unknown")))</f>
        <v>STAIN &amp; GLAZE INTERIOR</v>
      </c>
      <c r="BL594" t="str">
        <f>IF(I594=11,VLOOKUP(Y594,[2]Sheet1!$C:$N,12,0),IF(I594=13,VLOOKUP(Y594,[3]Sheet1!$C:$N,12,0),IF(I594=15,VLOOKUP(Y594,[4]Sheet1!$C:$N,12,0),"Unknown")))</f>
        <v>STAIN INTERIOR</v>
      </c>
      <c r="BM594" t="str">
        <f>VLOOKUP(W594,[1]branch!$A:$B,2,0)</f>
        <v>INDUSTRY</v>
      </c>
    </row>
    <row r="595" spans="1:65" x14ac:dyDescent="0.35">
      <c r="A595" s="10">
        <v>45999</v>
      </c>
      <c r="B595" s="9" t="s">
        <v>1595</v>
      </c>
      <c r="C595" s="9" t="s">
        <v>64</v>
      </c>
      <c r="D595" s="9" t="s">
        <v>92</v>
      </c>
      <c r="E595" s="11">
        <v>60</v>
      </c>
      <c r="F595" s="9" t="s">
        <v>93</v>
      </c>
      <c r="G595" s="9" t="s">
        <v>65</v>
      </c>
      <c r="H595" s="9" t="s">
        <v>66</v>
      </c>
      <c r="I595" s="9">
        <v>11</v>
      </c>
      <c r="J595" s="9" t="s">
        <v>227</v>
      </c>
      <c r="K595" s="9" t="s">
        <v>227</v>
      </c>
      <c r="L595" s="9" t="s">
        <v>227</v>
      </c>
      <c r="M595" s="9" t="s">
        <v>228</v>
      </c>
      <c r="N595" s="9" t="s">
        <v>872</v>
      </c>
      <c r="O595" s="9" t="s">
        <v>97</v>
      </c>
      <c r="P595" s="9" t="s">
        <v>67</v>
      </c>
      <c r="Q595" s="9" t="s">
        <v>98</v>
      </c>
      <c r="R595" s="9" t="s">
        <v>227</v>
      </c>
      <c r="S595" s="9" t="s">
        <v>228</v>
      </c>
      <c r="T595" s="9" t="s">
        <v>817</v>
      </c>
      <c r="U595" s="9" t="s">
        <v>67</v>
      </c>
      <c r="V595" s="9" t="s">
        <v>221</v>
      </c>
      <c r="W595" s="9" t="s">
        <v>222</v>
      </c>
      <c r="X595" s="11">
        <v>60</v>
      </c>
      <c r="Y595" s="9" t="s">
        <v>83</v>
      </c>
      <c r="Z595" s="9" t="s">
        <v>68</v>
      </c>
      <c r="AA595" s="9" t="s">
        <v>84</v>
      </c>
      <c r="AB595" s="9" t="s">
        <v>67</v>
      </c>
      <c r="AC595" s="9" t="s">
        <v>82</v>
      </c>
      <c r="AD595" s="11">
        <v>1</v>
      </c>
      <c r="AE595" s="9" t="s">
        <v>70</v>
      </c>
      <c r="AF595" s="9" t="s">
        <v>71</v>
      </c>
      <c r="AG595" s="13">
        <v>1</v>
      </c>
      <c r="AH595" s="9" t="s">
        <v>92</v>
      </c>
      <c r="AI595" s="13">
        <v>977280</v>
      </c>
      <c r="AJ595" s="13">
        <v>977280</v>
      </c>
      <c r="AK595" s="11">
        <v>0</v>
      </c>
      <c r="AL595" s="11">
        <v>0</v>
      </c>
      <c r="AM595" s="11">
        <v>0</v>
      </c>
      <c r="AN595" s="9" t="s">
        <v>67</v>
      </c>
      <c r="AO595" s="11">
        <v>977280</v>
      </c>
      <c r="AP595" s="13">
        <v>78182</v>
      </c>
      <c r="AQ595" s="13">
        <v>1055462</v>
      </c>
      <c r="AR595" s="11">
        <v>4</v>
      </c>
      <c r="AS595" s="9" t="s">
        <v>72</v>
      </c>
      <c r="AT595" s="12">
        <v>4.71</v>
      </c>
      <c r="AU595" s="9" t="s">
        <v>73</v>
      </c>
      <c r="AV595" s="9" t="s">
        <v>67</v>
      </c>
      <c r="AW595" s="9" t="s">
        <v>1596</v>
      </c>
      <c r="AX595" s="10">
        <v>45996</v>
      </c>
      <c r="AY595" s="9" t="s">
        <v>1597</v>
      </c>
      <c r="AZ595" s="9" t="s">
        <v>67</v>
      </c>
      <c r="BA595" s="9" t="s">
        <v>67</v>
      </c>
      <c r="BB595" s="12">
        <v>4</v>
      </c>
      <c r="BC595" s="9" t="s">
        <v>74</v>
      </c>
      <c r="BD595" s="9" t="s">
        <v>104</v>
      </c>
      <c r="BE595" s="9" t="s">
        <v>75</v>
      </c>
      <c r="BF595" s="11">
        <v>0</v>
      </c>
      <c r="BG595">
        <f t="shared" si="20"/>
        <v>12</v>
      </c>
      <c r="BH595" t="str">
        <f>VLOOKUP(BG595,[1]month!$A:$B,2,0)</f>
        <v>Desember</v>
      </c>
      <c r="BI595">
        <f t="shared" si="21"/>
        <v>2025</v>
      </c>
      <c r="BJ595" t="str">
        <f>VLOOKUP(I595,[1]Dist!$A:$B,2,0)</f>
        <v>Industry</v>
      </c>
      <c r="BK595" t="str">
        <f>IF(I595=11,VLOOKUP(Y595,[2]Sheet1!$C:$N,10,0),IF(I595=13,VLOOKUP(Y595,[3]Sheet1!$C:$N,10,0),IF(I595=15,VLOOKUP(Y595,[4]Sheet1!$C:$N,10,0),"Unknown")))</f>
        <v>STAIN &amp; GLAZE INTERIOR</v>
      </c>
      <c r="BL595" t="str">
        <f>IF(I595=11,VLOOKUP(Y595,[2]Sheet1!$C:$N,12,0),IF(I595=13,VLOOKUP(Y595,[3]Sheet1!$C:$N,12,0),IF(I595=15,VLOOKUP(Y595,[4]Sheet1!$C:$N,12,0),"Unknown")))</f>
        <v>STAIN INTERIOR</v>
      </c>
      <c r="BM595" t="str">
        <f>VLOOKUP(W595,[1]branch!$A:$B,2,0)</f>
        <v>INDUSTRY</v>
      </c>
    </row>
    <row r="596" spans="1:65" x14ac:dyDescent="0.35">
      <c r="A596" s="10">
        <v>45999</v>
      </c>
      <c r="B596" s="9" t="s">
        <v>1595</v>
      </c>
      <c r="C596" s="9" t="s">
        <v>64</v>
      </c>
      <c r="D596" s="9" t="s">
        <v>92</v>
      </c>
      <c r="E596" s="11">
        <v>60</v>
      </c>
      <c r="F596" s="9" t="s">
        <v>93</v>
      </c>
      <c r="G596" s="9" t="s">
        <v>65</v>
      </c>
      <c r="H596" s="9" t="s">
        <v>66</v>
      </c>
      <c r="I596" s="9">
        <v>11</v>
      </c>
      <c r="J596" s="9" t="s">
        <v>227</v>
      </c>
      <c r="K596" s="9" t="s">
        <v>227</v>
      </c>
      <c r="L596" s="9" t="s">
        <v>227</v>
      </c>
      <c r="M596" s="9" t="s">
        <v>228</v>
      </c>
      <c r="N596" s="9" t="s">
        <v>872</v>
      </c>
      <c r="O596" s="9" t="s">
        <v>97</v>
      </c>
      <c r="P596" s="9" t="s">
        <v>67</v>
      </c>
      <c r="Q596" s="9" t="s">
        <v>98</v>
      </c>
      <c r="R596" s="9" t="s">
        <v>227</v>
      </c>
      <c r="S596" s="9" t="s">
        <v>228</v>
      </c>
      <c r="T596" s="9" t="s">
        <v>817</v>
      </c>
      <c r="U596" s="9" t="s">
        <v>67</v>
      </c>
      <c r="V596" s="9" t="s">
        <v>221</v>
      </c>
      <c r="W596" s="9" t="s">
        <v>222</v>
      </c>
      <c r="X596" s="11">
        <v>70</v>
      </c>
      <c r="Y596" s="9" t="s">
        <v>85</v>
      </c>
      <c r="Z596" s="9" t="s">
        <v>68</v>
      </c>
      <c r="AA596" s="9" t="s">
        <v>86</v>
      </c>
      <c r="AB596" s="9" t="s">
        <v>67</v>
      </c>
      <c r="AC596" s="9" t="s">
        <v>82</v>
      </c>
      <c r="AD596" s="11">
        <v>1</v>
      </c>
      <c r="AE596" s="9" t="s">
        <v>70</v>
      </c>
      <c r="AF596" s="9" t="s">
        <v>71</v>
      </c>
      <c r="AG596" s="13">
        <v>1</v>
      </c>
      <c r="AH596" s="9" t="s">
        <v>92</v>
      </c>
      <c r="AI596" s="13">
        <v>831040</v>
      </c>
      <c r="AJ596" s="13">
        <v>831040</v>
      </c>
      <c r="AK596" s="11">
        <v>0</v>
      </c>
      <c r="AL596" s="11">
        <v>0</v>
      </c>
      <c r="AM596" s="11">
        <v>0</v>
      </c>
      <c r="AN596" s="9" t="s">
        <v>67</v>
      </c>
      <c r="AO596" s="11">
        <v>831040</v>
      </c>
      <c r="AP596" s="13">
        <v>66483</v>
      </c>
      <c r="AQ596" s="13">
        <v>897523</v>
      </c>
      <c r="AR596" s="11">
        <v>4</v>
      </c>
      <c r="AS596" s="9" t="s">
        <v>72</v>
      </c>
      <c r="AT596" s="12">
        <v>4.76</v>
      </c>
      <c r="AU596" s="9" t="s">
        <v>73</v>
      </c>
      <c r="AV596" s="9" t="s">
        <v>67</v>
      </c>
      <c r="AW596" s="9" t="s">
        <v>1596</v>
      </c>
      <c r="AX596" s="10">
        <v>45996</v>
      </c>
      <c r="AY596" s="9" t="s">
        <v>1597</v>
      </c>
      <c r="AZ596" s="9" t="s">
        <v>67</v>
      </c>
      <c r="BA596" s="9" t="s">
        <v>67</v>
      </c>
      <c r="BB596" s="12">
        <v>4</v>
      </c>
      <c r="BC596" s="9" t="s">
        <v>74</v>
      </c>
      <c r="BD596" s="9" t="s">
        <v>104</v>
      </c>
      <c r="BE596" s="9" t="s">
        <v>75</v>
      </c>
      <c r="BF596" s="11">
        <v>0</v>
      </c>
      <c r="BG596">
        <f t="shared" si="20"/>
        <v>12</v>
      </c>
      <c r="BH596" t="str">
        <f>VLOOKUP(BG596,[1]month!$A:$B,2,0)</f>
        <v>Desember</v>
      </c>
      <c r="BI596">
        <f t="shared" si="21"/>
        <v>2025</v>
      </c>
      <c r="BJ596" t="str">
        <f>VLOOKUP(I596,[1]Dist!$A:$B,2,0)</f>
        <v>Industry</v>
      </c>
      <c r="BK596" t="str">
        <f>IF(I596=11,VLOOKUP(Y596,[2]Sheet1!$C:$N,10,0),IF(I596=13,VLOOKUP(Y596,[3]Sheet1!$C:$N,10,0),IF(I596=15,VLOOKUP(Y596,[4]Sheet1!$C:$N,10,0),"Unknown")))</f>
        <v>STAIN &amp; GLAZE INTERIOR</v>
      </c>
      <c r="BL596" t="str">
        <f>IF(I596=11,VLOOKUP(Y596,[2]Sheet1!$C:$N,12,0),IF(I596=13,VLOOKUP(Y596,[3]Sheet1!$C:$N,12,0),IF(I596=15,VLOOKUP(Y596,[4]Sheet1!$C:$N,12,0),"Unknown")))</f>
        <v>STAIN INTERIOR</v>
      </c>
      <c r="BM596" t="str">
        <f>VLOOKUP(W596,[1]branch!$A:$B,2,0)</f>
        <v>INDUSTRY</v>
      </c>
    </row>
    <row r="597" spans="1:65" x14ac:dyDescent="0.35">
      <c r="A597" s="10">
        <v>45999</v>
      </c>
      <c r="B597" s="9" t="s">
        <v>1595</v>
      </c>
      <c r="C597" s="9" t="s">
        <v>64</v>
      </c>
      <c r="D597" s="9" t="s">
        <v>92</v>
      </c>
      <c r="E597" s="11">
        <v>60</v>
      </c>
      <c r="F597" s="9" t="s">
        <v>93</v>
      </c>
      <c r="G597" s="9" t="s">
        <v>65</v>
      </c>
      <c r="H597" s="9" t="s">
        <v>66</v>
      </c>
      <c r="I597" s="9">
        <v>11</v>
      </c>
      <c r="J597" s="9" t="s">
        <v>227</v>
      </c>
      <c r="K597" s="9" t="s">
        <v>227</v>
      </c>
      <c r="L597" s="9" t="s">
        <v>227</v>
      </c>
      <c r="M597" s="9" t="s">
        <v>228</v>
      </c>
      <c r="N597" s="9" t="s">
        <v>872</v>
      </c>
      <c r="O597" s="9" t="s">
        <v>97</v>
      </c>
      <c r="P597" s="9" t="s">
        <v>67</v>
      </c>
      <c r="Q597" s="9" t="s">
        <v>98</v>
      </c>
      <c r="R597" s="9" t="s">
        <v>227</v>
      </c>
      <c r="S597" s="9" t="s">
        <v>228</v>
      </c>
      <c r="T597" s="9" t="s">
        <v>817</v>
      </c>
      <c r="U597" s="9" t="s">
        <v>67</v>
      </c>
      <c r="V597" s="9" t="s">
        <v>221</v>
      </c>
      <c r="W597" s="9" t="s">
        <v>222</v>
      </c>
      <c r="X597" s="11">
        <v>80</v>
      </c>
      <c r="Y597" s="9" t="s">
        <v>1598</v>
      </c>
      <c r="Z597" s="9" t="s">
        <v>68</v>
      </c>
      <c r="AA597" s="9" t="s">
        <v>1599</v>
      </c>
      <c r="AB597" s="9" t="s">
        <v>67</v>
      </c>
      <c r="AC597" s="9" t="s">
        <v>82</v>
      </c>
      <c r="AD597" s="11">
        <v>1</v>
      </c>
      <c r="AE597" s="9" t="s">
        <v>70</v>
      </c>
      <c r="AF597" s="9" t="s">
        <v>71</v>
      </c>
      <c r="AG597" s="13">
        <v>1</v>
      </c>
      <c r="AH597" s="9" t="s">
        <v>92</v>
      </c>
      <c r="AI597" s="13">
        <v>522400</v>
      </c>
      <c r="AJ597" s="13">
        <v>522400</v>
      </c>
      <c r="AK597" s="11">
        <v>0</v>
      </c>
      <c r="AL597" s="11">
        <v>0</v>
      </c>
      <c r="AM597" s="11">
        <v>0</v>
      </c>
      <c r="AN597" s="9" t="s">
        <v>67</v>
      </c>
      <c r="AO597" s="11">
        <v>522400</v>
      </c>
      <c r="AP597" s="13">
        <v>41792</v>
      </c>
      <c r="AQ597" s="13">
        <v>564192</v>
      </c>
      <c r="AR597" s="11">
        <v>4</v>
      </c>
      <c r="AS597" s="9" t="s">
        <v>72</v>
      </c>
      <c r="AT597" s="12">
        <v>4.4400000000000004</v>
      </c>
      <c r="AU597" s="9" t="s">
        <v>73</v>
      </c>
      <c r="AV597" s="9" t="s">
        <v>67</v>
      </c>
      <c r="AW597" s="9" t="s">
        <v>1596</v>
      </c>
      <c r="AX597" s="10">
        <v>45996</v>
      </c>
      <c r="AY597" s="9" t="s">
        <v>1597</v>
      </c>
      <c r="AZ597" s="9" t="s">
        <v>67</v>
      </c>
      <c r="BA597" s="9" t="s">
        <v>67</v>
      </c>
      <c r="BB597" s="12">
        <v>4</v>
      </c>
      <c r="BC597" s="9" t="s">
        <v>74</v>
      </c>
      <c r="BD597" s="9" t="s">
        <v>104</v>
      </c>
      <c r="BE597" s="9" t="s">
        <v>75</v>
      </c>
      <c r="BF597" s="11">
        <v>0</v>
      </c>
      <c r="BG597">
        <f t="shared" si="20"/>
        <v>12</v>
      </c>
      <c r="BH597" t="str">
        <f>VLOOKUP(BG597,[1]month!$A:$B,2,0)</f>
        <v>Desember</v>
      </c>
      <c r="BI597">
        <f t="shared" si="21"/>
        <v>2025</v>
      </c>
      <c r="BJ597" t="str">
        <f>VLOOKUP(I597,[1]Dist!$A:$B,2,0)</f>
        <v>Industry</v>
      </c>
      <c r="BK597" t="str">
        <f>IF(I597=11,VLOOKUP(Y597,[2]Sheet1!$C:$N,10,0),IF(I597=13,VLOOKUP(Y597,[3]Sheet1!$C:$N,10,0),IF(I597=15,VLOOKUP(Y597,[4]Sheet1!$C:$N,10,0),"Unknown")))</f>
        <v>STAIN &amp; GLAZE INTERIOR</v>
      </c>
      <c r="BL597" t="str">
        <f>IF(I597=11,VLOOKUP(Y597,[2]Sheet1!$C:$N,12,0),IF(I597=13,VLOOKUP(Y597,[3]Sheet1!$C:$N,12,0),IF(I597=15,VLOOKUP(Y597,[4]Sheet1!$C:$N,12,0),"Unknown")))</f>
        <v>STAIN INTERIOR</v>
      </c>
      <c r="BM597" t="str">
        <f>VLOOKUP(W597,[1]branch!$A:$B,2,0)</f>
        <v>INDUSTRY</v>
      </c>
    </row>
    <row r="598" spans="1:65" x14ac:dyDescent="0.35">
      <c r="A598" s="10">
        <v>45999</v>
      </c>
      <c r="B598" s="9" t="s">
        <v>1595</v>
      </c>
      <c r="C598" s="9" t="s">
        <v>64</v>
      </c>
      <c r="D598" s="9" t="s">
        <v>92</v>
      </c>
      <c r="E598" s="11">
        <v>60</v>
      </c>
      <c r="F598" s="9" t="s">
        <v>93</v>
      </c>
      <c r="G598" s="9" t="s">
        <v>65</v>
      </c>
      <c r="H598" s="9" t="s">
        <v>66</v>
      </c>
      <c r="I598" s="9">
        <v>11</v>
      </c>
      <c r="J598" s="9" t="s">
        <v>227</v>
      </c>
      <c r="K598" s="9" t="s">
        <v>227</v>
      </c>
      <c r="L598" s="9" t="s">
        <v>227</v>
      </c>
      <c r="M598" s="9" t="s">
        <v>228</v>
      </c>
      <c r="N598" s="9" t="s">
        <v>872</v>
      </c>
      <c r="O598" s="9" t="s">
        <v>97</v>
      </c>
      <c r="P598" s="9" t="s">
        <v>67</v>
      </c>
      <c r="Q598" s="9" t="s">
        <v>98</v>
      </c>
      <c r="R598" s="9" t="s">
        <v>227</v>
      </c>
      <c r="S598" s="9" t="s">
        <v>228</v>
      </c>
      <c r="T598" s="9" t="s">
        <v>817</v>
      </c>
      <c r="U598" s="9" t="s">
        <v>67</v>
      </c>
      <c r="V598" s="9" t="s">
        <v>221</v>
      </c>
      <c r="W598" s="9" t="s">
        <v>222</v>
      </c>
      <c r="X598" s="11">
        <v>90</v>
      </c>
      <c r="Y598" s="9" t="s">
        <v>1600</v>
      </c>
      <c r="Z598" s="9" t="s">
        <v>68</v>
      </c>
      <c r="AA598" s="9" t="s">
        <v>1601</v>
      </c>
      <c r="AB598" s="9" t="s">
        <v>67</v>
      </c>
      <c r="AC598" s="9" t="s">
        <v>82</v>
      </c>
      <c r="AD598" s="11">
        <v>1</v>
      </c>
      <c r="AE598" s="9" t="s">
        <v>70</v>
      </c>
      <c r="AF598" s="9" t="s">
        <v>71</v>
      </c>
      <c r="AG598" s="13">
        <v>1</v>
      </c>
      <c r="AH598" s="9" t="s">
        <v>92</v>
      </c>
      <c r="AI598" s="13">
        <v>1392560</v>
      </c>
      <c r="AJ598" s="13">
        <v>1392560</v>
      </c>
      <c r="AK598" s="11">
        <v>0</v>
      </c>
      <c r="AL598" s="11">
        <v>0</v>
      </c>
      <c r="AM598" s="11">
        <v>0</v>
      </c>
      <c r="AN598" s="9" t="s">
        <v>67</v>
      </c>
      <c r="AO598" s="11">
        <v>1392560</v>
      </c>
      <c r="AP598" s="13">
        <v>111405</v>
      </c>
      <c r="AQ598" s="13">
        <v>1503965</v>
      </c>
      <c r="AR598" s="11">
        <v>4</v>
      </c>
      <c r="AS598" s="9" t="s">
        <v>72</v>
      </c>
      <c r="AT598" s="12">
        <v>4.71</v>
      </c>
      <c r="AU598" s="9" t="s">
        <v>73</v>
      </c>
      <c r="AV598" s="9" t="s">
        <v>67</v>
      </c>
      <c r="AW598" s="9" t="s">
        <v>1596</v>
      </c>
      <c r="AX598" s="10">
        <v>45996</v>
      </c>
      <c r="AY598" s="9" t="s">
        <v>1597</v>
      </c>
      <c r="AZ598" s="9" t="s">
        <v>67</v>
      </c>
      <c r="BA598" s="9" t="s">
        <v>67</v>
      </c>
      <c r="BB598" s="12">
        <v>4</v>
      </c>
      <c r="BC598" s="9" t="s">
        <v>74</v>
      </c>
      <c r="BD598" s="9" t="s">
        <v>104</v>
      </c>
      <c r="BE598" s="9" t="s">
        <v>75</v>
      </c>
      <c r="BF598" s="11">
        <v>0</v>
      </c>
      <c r="BG598">
        <f t="shared" si="20"/>
        <v>12</v>
      </c>
      <c r="BH598" t="str">
        <f>VLOOKUP(BG598,[1]month!$A:$B,2,0)</f>
        <v>Desember</v>
      </c>
      <c r="BI598">
        <f t="shared" si="21"/>
        <v>2025</v>
      </c>
      <c r="BJ598" t="str">
        <f>VLOOKUP(I598,[1]Dist!$A:$B,2,0)</f>
        <v>Industry</v>
      </c>
      <c r="BK598" t="str">
        <f>IF(I598=11,VLOOKUP(Y598,[2]Sheet1!$C:$N,10,0),IF(I598=13,VLOOKUP(Y598,[3]Sheet1!$C:$N,10,0),IF(I598=15,VLOOKUP(Y598,[4]Sheet1!$C:$N,10,0),"Unknown")))</f>
        <v>STAIN &amp; GLAZE INTERIOR</v>
      </c>
      <c r="BL598" t="str">
        <f>IF(I598=11,VLOOKUP(Y598,[2]Sheet1!$C:$N,12,0),IF(I598=13,VLOOKUP(Y598,[3]Sheet1!$C:$N,12,0),IF(I598=15,VLOOKUP(Y598,[4]Sheet1!$C:$N,12,0),"Unknown")))</f>
        <v>STAIN INTERIOR</v>
      </c>
      <c r="BM598" t="str">
        <f>VLOOKUP(W598,[1]branch!$A:$B,2,0)</f>
        <v>INDUSTRY</v>
      </c>
    </row>
    <row r="599" spans="1:65" x14ac:dyDescent="0.35">
      <c r="A599" s="10">
        <v>45999</v>
      </c>
      <c r="B599" s="9" t="s">
        <v>1595</v>
      </c>
      <c r="C599" s="9" t="s">
        <v>64</v>
      </c>
      <c r="D599" s="9" t="s">
        <v>92</v>
      </c>
      <c r="E599" s="11">
        <v>60</v>
      </c>
      <c r="F599" s="9" t="s">
        <v>93</v>
      </c>
      <c r="G599" s="9" t="s">
        <v>65</v>
      </c>
      <c r="H599" s="9" t="s">
        <v>66</v>
      </c>
      <c r="I599" s="9">
        <v>11</v>
      </c>
      <c r="J599" s="9" t="s">
        <v>227</v>
      </c>
      <c r="K599" s="9" t="s">
        <v>227</v>
      </c>
      <c r="L599" s="9" t="s">
        <v>227</v>
      </c>
      <c r="M599" s="9" t="s">
        <v>228</v>
      </c>
      <c r="N599" s="9" t="s">
        <v>872</v>
      </c>
      <c r="O599" s="9" t="s">
        <v>97</v>
      </c>
      <c r="P599" s="9" t="s">
        <v>67</v>
      </c>
      <c r="Q599" s="9" t="s">
        <v>98</v>
      </c>
      <c r="R599" s="9" t="s">
        <v>227</v>
      </c>
      <c r="S599" s="9" t="s">
        <v>228</v>
      </c>
      <c r="T599" s="9" t="s">
        <v>817</v>
      </c>
      <c r="U599" s="9" t="s">
        <v>67</v>
      </c>
      <c r="V599" s="9" t="s">
        <v>221</v>
      </c>
      <c r="W599" s="9" t="s">
        <v>222</v>
      </c>
      <c r="X599" s="11">
        <v>100</v>
      </c>
      <c r="Y599" s="9" t="s">
        <v>87</v>
      </c>
      <c r="Z599" s="9" t="s">
        <v>68</v>
      </c>
      <c r="AA599" s="9" t="s">
        <v>88</v>
      </c>
      <c r="AB599" s="9" t="s">
        <v>67</v>
      </c>
      <c r="AC599" s="9" t="s">
        <v>82</v>
      </c>
      <c r="AD599" s="11">
        <v>1</v>
      </c>
      <c r="AE599" s="9" t="s">
        <v>70</v>
      </c>
      <c r="AF599" s="9" t="s">
        <v>71</v>
      </c>
      <c r="AG599" s="13">
        <v>1</v>
      </c>
      <c r="AH599" s="9" t="s">
        <v>92</v>
      </c>
      <c r="AI599" s="13">
        <v>990040</v>
      </c>
      <c r="AJ599" s="13">
        <v>990040</v>
      </c>
      <c r="AK599" s="11">
        <v>0</v>
      </c>
      <c r="AL599" s="11">
        <v>0</v>
      </c>
      <c r="AM599" s="11">
        <v>0</v>
      </c>
      <c r="AN599" s="9" t="s">
        <v>67</v>
      </c>
      <c r="AO599" s="11">
        <v>990040</v>
      </c>
      <c r="AP599" s="13">
        <v>79203</v>
      </c>
      <c r="AQ599" s="13">
        <v>1069243</v>
      </c>
      <c r="AR599" s="11">
        <v>4</v>
      </c>
      <c r="AS599" s="9" t="s">
        <v>72</v>
      </c>
      <c r="AT599" s="12">
        <v>4.21</v>
      </c>
      <c r="AU599" s="9" t="s">
        <v>73</v>
      </c>
      <c r="AV599" s="9" t="s">
        <v>67</v>
      </c>
      <c r="AW599" s="9" t="s">
        <v>1596</v>
      </c>
      <c r="AX599" s="10">
        <v>45996</v>
      </c>
      <c r="AY599" s="9" t="s">
        <v>1597</v>
      </c>
      <c r="AZ599" s="9" t="s">
        <v>67</v>
      </c>
      <c r="BA599" s="9" t="s">
        <v>67</v>
      </c>
      <c r="BB599" s="12">
        <v>4</v>
      </c>
      <c r="BC599" s="9" t="s">
        <v>74</v>
      </c>
      <c r="BD599" s="9" t="s">
        <v>104</v>
      </c>
      <c r="BE599" s="9" t="s">
        <v>75</v>
      </c>
      <c r="BF599" s="11">
        <v>0</v>
      </c>
      <c r="BG599">
        <f t="shared" si="20"/>
        <v>12</v>
      </c>
      <c r="BH599" t="str">
        <f>VLOOKUP(BG599,[1]month!$A:$B,2,0)</f>
        <v>Desember</v>
      </c>
      <c r="BI599">
        <f t="shared" si="21"/>
        <v>2025</v>
      </c>
      <c r="BJ599" t="str">
        <f>VLOOKUP(I599,[1]Dist!$A:$B,2,0)</f>
        <v>Industry</v>
      </c>
      <c r="BK599" t="str">
        <f>IF(I599=11,VLOOKUP(Y599,[2]Sheet1!$C:$N,10,0),IF(I599=13,VLOOKUP(Y599,[3]Sheet1!$C:$N,10,0),IF(I599=15,VLOOKUP(Y599,[4]Sheet1!$C:$N,10,0),"Unknown")))</f>
        <v>STAIN &amp; GLAZE INTERIOR</v>
      </c>
      <c r="BL599" t="str">
        <f>IF(I599=11,VLOOKUP(Y599,[2]Sheet1!$C:$N,12,0),IF(I599=13,VLOOKUP(Y599,[3]Sheet1!$C:$N,12,0),IF(I599=15,VLOOKUP(Y599,[4]Sheet1!$C:$N,12,0),"Unknown")))</f>
        <v>STAIN INTERIOR</v>
      </c>
      <c r="BM599" t="str">
        <f>VLOOKUP(W599,[1]branch!$A:$B,2,0)</f>
        <v>INDUSTRY</v>
      </c>
    </row>
    <row r="600" spans="1:65" x14ac:dyDescent="0.35">
      <c r="A600" s="10">
        <v>45999</v>
      </c>
      <c r="B600" s="9" t="s">
        <v>1595</v>
      </c>
      <c r="C600" s="9" t="s">
        <v>64</v>
      </c>
      <c r="D600" s="9" t="s">
        <v>92</v>
      </c>
      <c r="E600" s="11">
        <v>60</v>
      </c>
      <c r="F600" s="9" t="s">
        <v>93</v>
      </c>
      <c r="G600" s="9" t="s">
        <v>65</v>
      </c>
      <c r="H600" s="9" t="s">
        <v>66</v>
      </c>
      <c r="I600" s="9">
        <v>11</v>
      </c>
      <c r="J600" s="9" t="s">
        <v>227</v>
      </c>
      <c r="K600" s="9" t="s">
        <v>227</v>
      </c>
      <c r="L600" s="9" t="s">
        <v>227</v>
      </c>
      <c r="M600" s="9" t="s">
        <v>228</v>
      </c>
      <c r="N600" s="9" t="s">
        <v>872</v>
      </c>
      <c r="O600" s="9" t="s">
        <v>97</v>
      </c>
      <c r="P600" s="9" t="s">
        <v>67</v>
      </c>
      <c r="Q600" s="9" t="s">
        <v>98</v>
      </c>
      <c r="R600" s="9" t="s">
        <v>227</v>
      </c>
      <c r="S600" s="9" t="s">
        <v>228</v>
      </c>
      <c r="T600" s="9" t="s">
        <v>817</v>
      </c>
      <c r="U600" s="9" t="s">
        <v>67</v>
      </c>
      <c r="V600" s="9" t="s">
        <v>221</v>
      </c>
      <c r="W600" s="9" t="s">
        <v>222</v>
      </c>
      <c r="X600" s="11">
        <v>110</v>
      </c>
      <c r="Y600" s="9" t="s">
        <v>238</v>
      </c>
      <c r="Z600" s="9" t="s">
        <v>68</v>
      </c>
      <c r="AA600" s="9" t="s">
        <v>239</v>
      </c>
      <c r="AB600" s="9" t="s">
        <v>67</v>
      </c>
      <c r="AC600" s="9" t="s">
        <v>237</v>
      </c>
      <c r="AD600" s="11">
        <v>1</v>
      </c>
      <c r="AE600" s="9" t="s">
        <v>70</v>
      </c>
      <c r="AF600" s="9" t="s">
        <v>71</v>
      </c>
      <c r="AG600" s="13">
        <v>1</v>
      </c>
      <c r="AH600" s="9" t="s">
        <v>92</v>
      </c>
      <c r="AI600" s="13">
        <v>798080</v>
      </c>
      <c r="AJ600" s="13">
        <v>798080</v>
      </c>
      <c r="AK600" s="11">
        <v>0</v>
      </c>
      <c r="AL600" s="11">
        <v>0</v>
      </c>
      <c r="AM600" s="11">
        <v>0</v>
      </c>
      <c r="AN600" s="9" t="s">
        <v>67</v>
      </c>
      <c r="AO600" s="11">
        <v>798080</v>
      </c>
      <c r="AP600" s="13">
        <v>63846</v>
      </c>
      <c r="AQ600" s="13">
        <v>861926</v>
      </c>
      <c r="AR600" s="11">
        <v>4</v>
      </c>
      <c r="AS600" s="9" t="s">
        <v>72</v>
      </c>
      <c r="AT600" s="12">
        <v>1.97</v>
      </c>
      <c r="AU600" s="9" t="s">
        <v>73</v>
      </c>
      <c r="AV600" s="9" t="s">
        <v>67</v>
      </c>
      <c r="AW600" s="9" t="s">
        <v>1596</v>
      </c>
      <c r="AX600" s="10">
        <v>45996</v>
      </c>
      <c r="AY600" s="9" t="s">
        <v>1597</v>
      </c>
      <c r="AZ600" s="9" t="s">
        <v>67</v>
      </c>
      <c r="BA600" s="9" t="s">
        <v>67</v>
      </c>
      <c r="BB600" s="12">
        <v>4</v>
      </c>
      <c r="BC600" s="9" t="s">
        <v>74</v>
      </c>
      <c r="BD600" s="9" t="s">
        <v>104</v>
      </c>
      <c r="BE600" s="9" t="s">
        <v>75</v>
      </c>
      <c r="BF600" s="11">
        <v>0</v>
      </c>
      <c r="BG600">
        <f t="shared" si="20"/>
        <v>12</v>
      </c>
      <c r="BH600" t="str">
        <f>VLOOKUP(BG600,[1]month!$A:$B,2,0)</f>
        <v>Desember</v>
      </c>
      <c r="BI600">
        <f t="shared" si="21"/>
        <v>2025</v>
      </c>
      <c r="BJ600" t="str">
        <f>VLOOKUP(I600,[1]Dist!$A:$B,2,0)</f>
        <v>Industry</v>
      </c>
      <c r="BK600" t="str">
        <f>IF(I600=11,VLOOKUP(Y600,[2]Sheet1!$C:$N,10,0),IF(I600=13,VLOOKUP(Y600,[3]Sheet1!$C:$N,10,0),IF(I600=15,VLOOKUP(Y600,[4]Sheet1!$C:$N,10,0),"Unknown")))</f>
        <v>COMPLEMENTARY</v>
      </c>
      <c r="BL600" t="str">
        <f>IF(I600=11,VLOOKUP(Y600,[2]Sheet1!$C:$N,12,0),IF(I600=13,VLOOKUP(Y600,[3]Sheet1!$C:$N,12,0),IF(I600=15,VLOOKUP(Y600,[4]Sheet1!$C:$N,12,0),"Unknown")))</f>
        <v>PASTA</v>
      </c>
      <c r="BM600" t="str">
        <f>VLOOKUP(W600,[1]branch!$A:$B,2,0)</f>
        <v>INDUSTRY</v>
      </c>
    </row>
    <row r="601" spans="1:65" x14ac:dyDescent="0.35">
      <c r="A601" s="10">
        <v>45999</v>
      </c>
      <c r="B601" s="9" t="s">
        <v>1602</v>
      </c>
      <c r="C601" s="9" t="s">
        <v>64</v>
      </c>
      <c r="D601" s="9" t="s">
        <v>92</v>
      </c>
      <c r="E601" s="11">
        <v>60</v>
      </c>
      <c r="F601" s="9" t="s">
        <v>93</v>
      </c>
      <c r="G601" s="9" t="s">
        <v>65</v>
      </c>
      <c r="H601" s="9" t="s">
        <v>66</v>
      </c>
      <c r="I601" s="9">
        <v>11</v>
      </c>
      <c r="J601" s="9" t="s">
        <v>347</v>
      </c>
      <c r="K601" s="9" t="s">
        <v>347</v>
      </c>
      <c r="L601" s="9" t="s">
        <v>347</v>
      </c>
      <c r="M601" s="9" t="s">
        <v>348</v>
      </c>
      <c r="N601" s="9" t="s">
        <v>866</v>
      </c>
      <c r="O601" s="9" t="s">
        <v>97</v>
      </c>
      <c r="P601" s="9" t="s">
        <v>67</v>
      </c>
      <c r="Q601" s="9" t="s">
        <v>98</v>
      </c>
      <c r="R601" s="9" t="s">
        <v>347</v>
      </c>
      <c r="S601" s="9" t="s">
        <v>348</v>
      </c>
      <c r="T601" s="9" t="s">
        <v>818</v>
      </c>
      <c r="U601" s="9" t="s">
        <v>67</v>
      </c>
      <c r="V601" s="9" t="s">
        <v>130</v>
      </c>
      <c r="W601" s="9" t="s">
        <v>131</v>
      </c>
      <c r="X601" s="11">
        <v>30</v>
      </c>
      <c r="Y601" s="9" t="s">
        <v>148</v>
      </c>
      <c r="Z601" s="9" t="s">
        <v>68</v>
      </c>
      <c r="AA601" s="9" t="s">
        <v>149</v>
      </c>
      <c r="AB601" s="9" t="s">
        <v>67</v>
      </c>
      <c r="AC601" s="9" t="s">
        <v>69</v>
      </c>
      <c r="AD601" s="11">
        <v>3</v>
      </c>
      <c r="AE601" s="9" t="s">
        <v>70</v>
      </c>
      <c r="AF601" s="9" t="s">
        <v>71</v>
      </c>
      <c r="AG601" s="13">
        <v>1</v>
      </c>
      <c r="AH601" s="9" t="s">
        <v>92</v>
      </c>
      <c r="AI601" s="13">
        <v>7298800</v>
      </c>
      <c r="AJ601" s="13">
        <v>21896400</v>
      </c>
      <c r="AK601" s="11">
        <v>0</v>
      </c>
      <c r="AL601" s="11">
        <v>0</v>
      </c>
      <c r="AM601" s="11">
        <v>0</v>
      </c>
      <c r="AN601" s="9" t="s">
        <v>67</v>
      </c>
      <c r="AO601" s="11">
        <v>21896400</v>
      </c>
      <c r="AP601" s="13">
        <v>1751712</v>
      </c>
      <c r="AQ601" s="13">
        <v>23648112</v>
      </c>
      <c r="AR601" s="11">
        <v>540</v>
      </c>
      <c r="AS601" s="9" t="s">
        <v>72</v>
      </c>
      <c r="AT601" s="11">
        <v>600</v>
      </c>
      <c r="AU601" s="9" t="s">
        <v>73</v>
      </c>
      <c r="AV601" s="9" t="s">
        <v>67</v>
      </c>
      <c r="AW601" s="9" t="s">
        <v>1603</v>
      </c>
      <c r="AX601" s="10">
        <v>45993</v>
      </c>
      <c r="AY601" s="9" t="s">
        <v>1604</v>
      </c>
      <c r="AZ601" s="9" t="s">
        <v>67</v>
      </c>
      <c r="BA601" s="9" t="s">
        <v>67</v>
      </c>
      <c r="BB601" s="12">
        <v>600</v>
      </c>
      <c r="BC601" s="9" t="s">
        <v>74</v>
      </c>
      <c r="BD601" s="9" t="s">
        <v>104</v>
      </c>
      <c r="BE601" s="9" t="s">
        <v>75</v>
      </c>
      <c r="BF601" s="11">
        <v>0</v>
      </c>
      <c r="BG601">
        <f t="shared" si="20"/>
        <v>12</v>
      </c>
      <c r="BH601" t="str">
        <f>VLOOKUP(BG601,[1]month!$A:$B,2,0)</f>
        <v>Desember</v>
      </c>
      <c r="BI601">
        <f t="shared" si="21"/>
        <v>2025</v>
      </c>
      <c r="BJ601" t="str">
        <f>VLOOKUP(I601,[1]Dist!$A:$B,2,0)</f>
        <v>Industry</v>
      </c>
      <c r="BK601" t="str">
        <f>IF(I601=11,VLOOKUP(Y601,[2]Sheet1!$C:$N,10,0),IF(I601=13,VLOOKUP(Y601,[3]Sheet1!$C:$N,10,0),IF(I601=15,VLOOKUP(Y601,[4]Sheet1!$C:$N,10,0),"Unknown")))</f>
        <v>THINNER NC</v>
      </c>
      <c r="BL601" t="str">
        <f>IF(I601=11,VLOOKUP(Y601,[2]Sheet1!$C:$N,12,0),IF(I601=13,VLOOKUP(Y601,[3]Sheet1!$C:$N,12,0),IF(I601=15,VLOOKUP(Y601,[4]Sheet1!$C:$N,12,0),"Unknown")))</f>
        <v>THINNER NC</v>
      </c>
      <c r="BM601" t="str">
        <f>VLOOKUP(W601,[1]branch!$A:$B,2,0)</f>
        <v>INDUSTRY</v>
      </c>
    </row>
    <row r="602" spans="1:65" x14ac:dyDescent="0.35">
      <c r="A602" s="10">
        <v>45999</v>
      </c>
      <c r="B602" s="9" t="s">
        <v>1605</v>
      </c>
      <c r="C602" s="9" t="s">
        <v>64</v>
      </c>
      <c r="D602" s="9" t="s">
        <v>92</v>
      </c>
      <c r="E602" s="11">
        <v>60</v>
      </c>
      <c r="F602" s="9" t="s">
        <v>93</v>
      </c>
      <c r="G602" s="9" t="s">
        <v>65</v>
      </c>
      <c r="H602" s="9" t="s">
        <v>66</v>
      </c>
      <c r="I602" s="9">
        <v>11</v>
      </c>
      <c r="J602" s="9" t="s">
        <v>347</v>
      </c>
      <c r="K602" s="9" t="s">
        <v>347</v>
      </c>
      <c r="L602" s="9" t="s">
        <v>347</v>
      </c>
      <c r="M602" s="9" t="s">
        <v>348</v>
      </c>
      <c r="N602" s="9" t="s">
        <v>866</v>
      </c>
      <c r="O602" s="9" t="s">
        <v>97</v>
      </c>
      <c r="P602" s="9" t="s">
        <v>67</v>
      </c>
      <c r="Q602" s="9" t="s">
        <v>98</v>
      </c>
      <c r="R602" s="9" t="s">
        <v>347</v>
      </c>
      <c r="S602" s="9" t="s">
        <v>348</v>
      </c>
      <c r="T602" s="9" t="s">
        <v>818</v>
      </c>
      <c r="U602" s="9" t="s">
        <v>67</v>
      </c>
      <c r="V602" s="9" t="s">
        <v>130</v>
      </c>
      <c r="W602" s="9" t="s">
        <v>131</v>
      </c>
      <c r="X602" s="11">
        <v>50</v>
      </c>
      <c r="Y602" s="9" t="s">
        <v>353</v>
      </c>
      <c r="Z602" s="9" t="s">
        <v>68</v>
      </c>
      <c r="AA602" s="9" t="s">
        <v>354</v>
      </c>
      <c r="AB602" s="9" t="s">
        <v>67</v>
      </c>
      <c r="AC602" s="9" t="s">
        <v>103</v>
      </c>
      <c r="AD602" s="11">
        <v>1</v>
      </c>
      <c r="AE602" s="9" t="s">
        <v>70</v>
      </c>
      <c r="AF602" s="9" t="s">
        <v>71</v>
      </c>
      <c r="AG602" s="13">
        <v>1</v>
      </c>
      <c r="AH602" s="9" t="s">
        <v>92</v>
      </c>
      <c r="AI602" s="13">
        <v>10448800</v>
      </c>
      <c r="AJ602" s="13">
        <v>10448800</v>
      </c>
      <c r="AK602" s="11">
        <v>0</v>
      </c>
      <c r="AL602" s="11">
        <v>0</v>
      </c>
      <c r="AM602" s="11">
        <v>0</v>
      </c>
      <c r="AN602" s="9" t="s">
        <v>67</v>
      </c>
      <c r="AO602" s="11">
        <v>10448800</v>
      </c>
      <c r="AP602" s="13">
        <v>835904</v>
      </c>
      <c r="AQ602" s="13">
        <v>11284704</v>
      </c>
      <c r="AR602" s="11">
        <v>200</v>
      </c>
      <c r="AS602" s="9" t="s">
        <v>72</v>
      </c>
      <c r="AT602" s="12">
        <v>198.02</v>
      </c>
      <c r="AU602" s="9" t="s">
        <v>73</v>
      </c>
      <c r="AV602" s="9" t="s">
        <v>67</v>
      </c>
      <c r="AW602" s="9" t="s">
        <v>929</v>
      </c>
      <c r="AX602" s="10">
        <v>45958</v>
      </c>
      <c r="AY602" s="9" t="s">
        <v>1606</v>
      </c>
      <c r="AZ602" s="9" t="s">
        <v>67</v>
      </c>
      <c r="BA602" s="9" t="s">
        <v>67</v>
      </c>
      <c r="BB602" s="12">
        <v>200</v>
      </c>
      <c r="BC602" s="9" t="s">
        <v>74</v>
      </c>
      <c r="BD602" s="9" t="s">
        <v>104</v>
      </c>
      <c r="BE602" s="9" t="s">
        <v>75</v>
      </c>
      <c r="BF602" s="11">
        <v>0</v>
      </c>
      <c r="BG602">
        <f t="shared" si="20"/>
        <v>12</v>
      </c>
      <c r="BH602" t="str">
        <f>VLOOKUP(BG602,[1]month!$A:$B,2,0)</f>
        <v>Desember</v>
      </c>
      <c r="BI602">
        <f t="shared" si="21"/>
        <v>2025</v>
      </c>
      <c r="BJ602" t="str">
        <f>VLOOKUP(I602,[1]Dist!$A:$B,2,0)</f>
        <v>Industry</v>
      </c>
      <c r="BK602" t="str">
        <f>IF(I602=11,VLOOKUP(Y602,[2]Sheet1!$C:$N,10,0),IF(I602=13,VLOOKUP(Y602,[3]Sheet1!$C:$N,10,0),IF(I602=15,VLOOKUP(Y602,[4]Sheet1!$C:$N,10,0),"Unknown")))</f>
        <v>PU</v>
      </c>
      <c r="BL602" t="str">
        <f>IF(I602=11,VLOOKUP(Y602,[2]Sheet1!$C:$N,12,0),IF(I602=13,VLOOKUP(Y602,[3]Sheet1!$C:$N,12,0),IF(I602=15,VLOOKUP(Y602,[4]Sheet1!$C:$N,12,0),"Unknown")))</f>
        <v>PU SANDING SEALER</v>
      </c>
      <c r="BM602" t="str">
        <f>VLOOKUP(W602,[1]branch!$A:$B,2,0)</f>
        <v>INDUSTRY</v>
      </c>
    </row>
    <row r="603" spans="1:65" x14ac:dyDescent="0.35">
      <c r="A603" s="10">
        <v>45999</v>
      </c>
      <c r="B603" s="9" t="s">
        <v>1605</v>
      </c>
      <c r="C603" s="9" t="s">
        <v>64</v>
      </c>
      <c r="D603" s="9" t="s">
        <v>92</v>
      </c>
      <c r="E603" s="11">
        <v>60</v>
      </c>
      <c r="F603" s="9" t="s">
        <v>93</v>
      </c>
      <c r="G603" s="9" t="s">
        <v>65</v>
      </c>
      <c r="H603" s="9" t="s">
        <v>66</v>
      </c>
      <c r="I603" s="9">
        <v>11</v>
      </c>
      <c r="J603" s="9" t="s">
        <v>347</v>
      </c>
      <c r="K603" s="9" t="s">
        <v>347</v>
      </c>
      <c r="L603" s="9" t="s">
        <v>347</v>
      </c>
      <c r="M603" s="9" t="s">
        <v>348</v>
      </c>
      <c r="N603" s="9" t="s">
        <v>866</v>
      </c>
      <c r="O603" s="9" t="s">
        <v>97</v>
      </c>
      <c r="P603" s="9" t="s">
        <v>67</v>
      </c>
      <c r="Q603" s="9" t="s">
        <v>98</v>
      </c>
      <c r="R603" s="9" t="s">
        <v>347</v>
      </c>
      <c r="S603" s="9" t="s">
        <v>348</v>
      </c>
      <c r="T603" s="9" t="s">
        <v>818</v>
      </c>
      <c r="U603" s="9" t="s">
        <v>67</v>
      </c>
      <c r="V603" s="9" t="s">
        <v>130</v>
      </c>
      <c r="W603" s="9" t="s">
        <v>131</v>
      </c>
      <c r="X603" s="11">
        <v>60</v>
      </c>
      <c r="Y603" s="9" t="s">
        <v>1607</v>
      </c>
      <c r="Z603" s="9" t="s">
        <v>68</v>
      </c>
      <c r="AA603" s="9" t="s">
        <v>1608</v>
      </c>
      <c r="AB603" s="9" t="s">
        <v>67</v>
      </c>
      <c r="AC603" s="9" t="s">
        <v>82</v>
      </c>
      <c r="AD603" s="11">
        <v>1</v>
      </c>
      <c r="AE603" s="9" t="s">
        <v>70</v>
      </c>
      <c r="AF603" s="9" t="s">
        <v>71</v>
      </c>
      <c r="AG603" s="13">
        <v>1</v>
      </c>
      <c r="AH603" s="9" t="s">
        <v>92</v>
      </c>
      <c r="AI603" s="13">
        <v>4901600</v>
      </c>
      <c r="AJ603" s="13">
        <v>4901600</v>
      </c>
      <c r="AK603" s="11">
        <v>0</v>
      </c>
      <c r="AL603" s="11">
        <v>0</v>
      </c>
      <c r="AM603" s="11">
        <v>0</v>
      </c>
      <c r="AN603" s="9" t="s">
        <v>67</v>
      </c>
      <c r="AO603" s="11">
        <v>4901600</v>
      </c>
      <c r="AP603" s="13">
        <v>392128</v>
      </c>
      <c r="AQ603" s="13">
        <v>5293728</v>
      </c>
      <c r="AR603" s="11">
        <v>16</v>
      </c>
      <c r="AS603" s="9" t="s">
        <v>72</v>
      </c>
      <c r="AT603" s="12">
        <v>19.05</v>
      </c>
      <c r="AU603" s="9" t="s">
        <v>73</v>
      </c>
      <c r="AV603" s="9" t="s">
        <v>67</v>
      </c>
      <c r="AW603" s="9" t="s">
        <v>929</v>
      </c>
      <c r="AX603" s="10">
        <v>45958</v>
      </c>
      <c r="AY603" s="9" t="s">
        <v>1606</v>
      </c>
      <c r="AZ603" s="9" t="s">
        <v>67</v>
      </c>
      <c r="BA603" s="9" t="s">
        <v>67</v>
      </c>
      <c r="BB603" s="12">
        <v>16</v>
      </c>
      <c r="BC603" s="9" t="s">
        <v>74</v>
      </c>
      <c r="BD603" s="9" t="s">
        <v>104</v>
      </c>
      <c r="BE603" s="9" t="s">
        <v>75</v>
      </c>
      <c r="BF603" s="11">
        <v>0</v>
      </c>
      <c r="BG603">
        <f t="shared" si="20"/>
        <v>12</v>
      </c>
      <c r="BH603" t="str">
        <f>VLOOKUP(BG603,[1]month!$A:$B,2,0)</f>
        <v>Desember</v>
      </c>
      <c r="BI603">
        <f t="shared" si="21"/>
        <v>2025</v>
      </c>
      <c r="BJ603" t="str">
        <f>VLOOKUP(I603,[1]Dist!$A:$B,2,0)</f>
        <v>Industry</v>
      </c>
      <c r="BK603" t="str">
        <f>IF(I603=11,VLOOKUP(Y603,[2]Sheet1!$C:$N,10,0),IF(I603=13,VLOOKUP(Y603,[3]Sheet1!$C:$N,10,0),IF(I603=15,VLOOKUP(Y603,[4]Sheet1!$C:$N,10,0),"Unknown")))</f>
        <v>STAIN &amp; GLAZE INTERIOR</v>
      </c>
      <c r="BL603" t="str">
        <f>IF(I603=11,VLOOKUP(Y603,[2]Sheet1!$C:$N,12,0),IF(I603=13,VLOOKUP(Y603,[3]Sheet1!$C:$N,12,0),IF(I603=15,VLOOKUP(Y603,[4]Sheet1!$C:$N,12,0),"Unknown")))</f>
        <v>STAIN INTERIOR</v>
      </c>
      <c r="BM603" t="str">
        <f>VLOOKUP(W603,[1]branch!$A:$B,2,0)</f>
        <v>INDUSTRY</v>
      </c>
    </row>
    <row r="604" spans="1:65" x14ac:dyDescent="0.35">
      <c r="A604" s="10">
        <v>45999</v>
      </c>
      <c r="B604" s="9" t="s">
        <v>1609</v>
      </c>
      <c r="C604" s="9" t="s">
        <v>64</v>
      </c>
      <c r="D604" s="9" t="s">
        <v>92</v>
      </c>
      <c r="E604" s="11">
        <v>60</v>
      </c>
      <c r="F604" s="9" t="s">
        <v>93</v>
      </c>
      <c r="G604" s="9" t="s">
        <v>65</v>
      </c>
      <c r="H604" s="9" t="s">
        <v>66</v>
      </c>
      <c r="I604" s="9">
        <v>11</v>
      </c>
      <c r="J604" s="9" t="s">
        <v>347</v>
      </c>
      <c r="K604" s="9" t="s">
        <v>347</v>
      </c>
      <c r="L604" s="9" t="s">
        <v>347</v>
      </c>
      <c r="M604" s="9" t="s">
        <v>348</v>
      </c>
      <c r="N604" s="9" t="s">
        <v>866</v>
      </c>
      <c r="O604" s="9" t="s">
        <v>97</v>
      </c>
      <c r="P604" s="9" t="s">
        <v>67</v>
      </c>
      <c r="Q604" s="9" t="s">
        <v>98</v>
      </c>
      <c r="R604" s="9" t="s">
        <v>347</v>
      </c>
      <c r="S604" s="9" t="s">
        <v>348</v>
      </c>
      <c r="T604" s="9" t="s">
        <v>818</v>
      </c>
      <c r="U604" s="9" t="s">
        <v>67</v>
      </c>
      <c r="V604" s="9" t="s">
        <v>130</v>
      </c>
      <c r="W604" s="9" t="s">
        <v>131</v>
      </c>
      <c r="X604" s="11">
        <v>10</v>
      </c>
      <c r="Y604" s="9" t="s">
        <v>587</v>
      </c>
      <c r="Z604" s="9" t="s">
        <v>68</v>
      </c>
      <c r="AA604" s="9" t="s">
        <v>588</v>
      </c>
      <c r="AB604" s="9" t="s">
        <v>67</v>
      </c>
      <c r="AC604" s="9" t="s">
        <v>373</v>
      </c>
      <c r="AD604" s="11">
        <v>5</v>
      </c>
      <c r="AE604" s="9" t="s">
        <v>70</v>
      </c>
      <c r="AF604" s="9" t="s">
        <v>71</v>
      </c>
      <c r="AG604" s="13">
        <v>1</v>
      </c>
      <c r="AH604" s="9" t="s">
        <v>92</v>
      </c>
      <c r="AI604" s="13">
        <v>1462120</v>
      </c>
      <c r="AJ604" s="13">
        <v>7310600</v>
      </c>
      <c r="AK604" s="11">
        <v>0</v>
      </c>
      <c r="AL604" s="11">
        <v>0</v>
      </c>
      <c r="AM604" s="11">
        <v>0</v>
      </c>
      <c r="AN604" s="9" t="s">
        <v>67</v>
      </c>
      <c r="AO604" s="11">
        <v>7310600</v>
      </c>
      <c r="AP604" s="13">
        <v>584848</v>
      </c>
      <c r="AQ604" s="13">
        <v>7895448</v>
      </c>
      <c r="AR604" s="11">
        <v>20</v>
      </c>
      <c r="AS604" s="9" t="s">
        <v>72</v>
      </c>
      <c r="AT604" s="12">
        <v>18.7</v>
      </c>
      <c r="AU604" s="9" t="s">
        <v>73</v>
      </c>
      <c r="AV604" s="9" t="s">
        <v>67</v>
      </c>
      <c r="AW604" s="9" t="s">
        <v>1610</v>
      </c>
      <c r="AX604" s="10">
        <v>45992</v>
      </c>
      <c r="AY604" s="9" t="s">
        <v>1611</v>
      </c>
      <c r="AZ604" s="9" t="s">
        <v>67</v>
      </c>
      <c r="BA604" s="9" t="s">
        <v>67</v>
      </c>
      <c r="BB604" s="12">
        <v>20</v>
      </c>
      <c r="BC604" s="9" t="s">
        <v>74</v>
      </c>
      <c r="BD604" s="9" t="s">
        <v>104</v>
      </c>
      <c r="BE604" s="9" t="s">
        <v>75</v>
      </c>
      <c r="BF604" s="11">
        <v>0</v>
      </c>
      <c r="BG604">
        <f t="shared" si="20"/>
        <v>12</v>
      </c>
      <c r="BH604" t="str">
        <f>VLOOKUP(BG604,[1]month!$A:$B,2,0)</f>
        <v>Desember</v>
      </c>
      <c r="BI604">
        <f t="shared" si="21"/>
        <v>2025</v>
      </c>
      <c r="BJ604" t="str">
        <f>VLOOKUP(I604,[1]Dist!$A:$B,2,0)</f>
        <v>Industry</v>
      </c>
      <c r="BK604" t="str">
        <f>IF(I604=11,VLOOKUP(Y604,[2]Sheet1!$C:$N,10,0),IF(I604=13,VLOOKUP(Y604,[3]Sheet1!$C:$N,10,0),IF(I604=15,VLOOKUP(Y604,[4]Sheet1!$C:$N,10,0),"Unknown")))</f>
        <v>STAIN &amp; GLAZE INTERIOR</v>
      </c>
      <c r="BL604" t="str">
        <f>IF(I604=11,VLOOKUP(Y604,[2]Sheet1!$C:$N,12,0),IF(I604=13,VLOOKUP(Y604,[3]Sheet1!$C:$N,12,0),IF(I604=15,VLOOKUP(Y604,[4]Sheet1!$C:$N,12,0),"Unknown")))</f>
        <v>STAIN INTERIOR</v>
      </c>
      <c r="BM604" t="str">
        <f>VLOOKUP(W604,[1]branch!$A:$B,2,0)</f>
        <v>INDUSTRY</v>
      </c>
    </row>
    <row r="605" spans="1:65" x14ac:dyDescent="0.35">
      <c r="A605" s="10">
        <v>45999</v>
      </c>
      <c r="B605" s="9" t="s">
        <v>1612</v>
      </c>
      <c r="C605" s="9" t="s">
        <v>64</v>
      </c>
      <c r="D605" s="9" t="s">
        <v>92</v>
      </c>
      <c r="E605" s="11">
        <v>60</v>
      </c>
      <c r="F605" s="9" t="s">
        <v>93</v>
      </c>
      <c r="G605" s="9" t="s">
        <v>65</v>
      </c>
      <c r="H605" s="9" t="s">
        <v>66</v>
      </c>
      <c r="I605" s="9">
        <v>11</v>
      </c>
      <c r="J605" s="9" t="s">
        <v>347</v>
      </c>
      <c r="K605" s="9" t="s">
        <v>347</v>
      </c>
      <c r="L605" s="9" t="s">
        <v>347</v>
      </c>
      <c r="M605" s="9" t="s">
        <v>348</v>
      </c>
      <c r="N605" s="9" t="s">
        <v>866</v>
      </c>
      <c r="O605" s="9" t="s">
        <v>97</v>
      </c>
      <c r="P605" s="9" t="s">
        <v>67</v>
      </c>
      <c r="Q605" s="9" t="s">
        <v>98</v>
      </c>
      <c r="R605" s="9" t="s">
        <v>347</v>
      </c>
      <c r="S605" s="9" t="s">
        <v>348</v>
      </c>
      <c r="T605" s="9" t="s">
        <v>818</v>
      </c>
      <c r="U605" s="9" t="s">
        <v>67</v>
      </c>
      <c r="V605" s="9" t="s">
        <v>130</v>
      </c>
      <c r="W605" s="9" t="s">
        <v>131</v>
      </c>
      <c r="X605" s="11">
        <v>40</v>
      </c>
      <c r="Y605" s="9" t="s">
        <v>815</v>
      </c>
      <c r="Z605" s="9" t="s">
        <v>68</v>
      </c>
      <c r="AA605" s="9" t="s">
        <v>816</v>
      </c>
      <c r="AB605" s="9" t="s">
        <v>67</v>
      </c>
      <c r="AC605" s="9" t="s">
        <v>367</v>
      </c>
      <c r="AD605" s="11">
        <v>5</v>
      </c>
      <c r="AE605" s="9" t="s">
        <v>70</v>
      </c>
      <c r="AF605" s="9" t="s">
        <v>71</v>
      </c>
      <c r="AG605" s="13">
        <v>1</v>
      </c>
      <c r="AH605" s="9" t="s">
        <v>92</v>
      </c>
      <c r="AI605" s="13">
        <v>1836000</v>
      </c>
      <c r="AJ605" s="13">
        <v>9180000</v>
      </c>
      <c r="AK605" s="11">
        <v>0</v>
      </c>
      <c r="AL605" s="11">
        <v>0</v>
      </c>
      <c r="AM605" s="11">
        <v>0</v>
      </c>
      <c r="AN605" s="9" t="s">
        <v>67</v>
      </c>
      <c r="AO605" s="11">
        <v>9180000</v>
      </c>
      <c r="AP605" s="13">
        <v>734400</v>
      </c>
      <c r="AQ605" s="13">
        <v>9914400</v>
      </c>
      <c r="AR605" s="11">
        <v>90</v>
      </c>
      <c r="AS605" s="9" t="s">
        <v>72</v>
      </c>
      <c r="AT605" s="12">
        <v>87.38</v>
      </c>
      <c r="AU605" s="9" t="s">
        <v>73</v>
      </c>
      <c r="AV605" s="9" t="s">
        <v>67</v>
      </c>
      <c r="AW605" s="9" t="s">
        <v>946</v>
      </c>
      <c r="AX605" s="10">
        <v>45982</v>
      </c>
      <c r="AY605" s="9" t="s">
        <v>1613</v>
      </c>
      <c r="AZ605" s="9" t="s">
        <v>67</v>
      </c>
      <c r="BA605" s="9" t="s">
        <v>67</v>
      </c>
      <c r="BB605" s="12">
        <v>90</v>
      </c>
      <c r="BC605" s="9" t="s">
        <v>74</v>
      </c>
      <c r="BD605" s="9" t="s">
        <v>104</v>
      </c>
      <c r="BE605" s="9" t="s">
        <v>75</v>
      </c>
      <c r="BF605" s="11">
        <v>0</v>
      </c>
      <c r="BG605">
        <f t="shared" si="20"/>
        <v>12</v>
      </c>
      <c r="BH605" t="str">
        <f>VLOOKUP(BG605,[1]month!$A:$B,2,0)</f>
        <v>Desember</v>
      </c>
      <c r="BI605">
        <f t="shared" si="21"/>
        <v>2025</v>
      </c>
      <c r="BJ605" t="str">
        <f>VLOOKUP(I605,[1]Dist!$A:$B,2,0)</f>
        <v>Industry</v>
      </c>
      <c r="BK605" t="str">
        <f>IF(I605=11,VLOOKUP(Y605,[2]Sheet1!$C:$N,10,0),IF(I605=13,VLOOKUP(Y605,[3]Sheet1!$C:$N,10,0),IF(I605=15,VLOOKUP(Y605,[4]Sheet1!$C:$N,10,0),"Unknown")))</f>
        <v>NC</v>
      </c>
      <c r="BL605" t="str">
        <f>IF(I605=11,VLOOKUP(Y605,[2]Sheet1!$C:$N,12,0),IF(I605=13,VLOOKUP(Y605,[3]Sheet1!$C:$N,12,0),IF(I605=15,VLOOKUP(Y605,[4]Sheet1!$C:$N,12,0),"Unknown")))</f>
        <v>NC SYSTEM</v>
      </c>
      <c r="BM605" t="str">
        <f>VLOOKUP(W605,[1]branch!$A:$B,2,0)</f>
        <v>INDUSTRY</v>
      </c>
    </row>
    <row r="606" spans="1:65" x14ac:dyDescent="0.35">
      <c r="A606" s="10">
        <v>45999</v>
      </c>
      <c r="B606" s="9" t="s">
        <v>1614</v>
      </c>
      <c r="C606" s="9" t="s">
        <v>64</v>
      </c>
      <c r="D606" s="9" t="s">
        <v>92</v>
      </c>
      <c r="E606" s="11">
        <v>60</v>
      </c>
      <c r="F606" s="9" t="s">
        <v>93</v>
      </c>
      <c r="G606" s="9" t="s">
        <v>65</v>
      </c>
      <c r="H606" s="9" t="s">
        <v>66</v>
      </c>
      <c r="I606" s="9">
        <v>11</v>
      </c>
      <c r="J606" s="9" t="s">
        <v>347</v>
      </c>
      <c r="K606" s="9" t="s">
        <v>347</v>
      </c>
      <c r="L606" s="9" t="s">
        <v>347</v>
      </c>
      <c r="M606" s="9" t="s">
        <v>348</v>
      </c>
      <c r="N606" s="9" t="s">
        <v>866</v>
      </c>
      <c r="O606" s="9" t="s">
        <v>97</v>
      </c>
      <c r="P606" s="9" t="s">
        <v>67</v>
      </c>
      <c r="Q606" s="9" t="s">
        <v>98</v>
      </c>
      <c r="R606" s="9" t="s">
        <v>347</v>
      </c>
      <c r="S606" s="9" t="s">
        <v>348</v>
      </c>
      <c r="T606" s="9" t="s">
        <v>818</v>
      </c>
      <c r="U606" s="9" t="s">
        <v>67</v>
      </c>
      <c r="V606" s="9" t="s">
        <v>130</v>
      </c>
      <c r="W606" s="9" t="s">
        <v>131</v>
      </c>
      <c r="X606" s="11">
        <v>30</v>
      </c>
      <c r="Y606" s="9" t="s">
        <v>355</v>
      </c>
      <c r="Z606" s="9" t="s">
        <v>68</v>
      </c>
      <c r="AA606" s="9" t="s">
        <v>356</v>
      </c>
      <c r="AB606" s="9" t="s">
        <v>67</v>
      </c>
      <c r="AC606" s="9" t="s">
        <v>357</v>
      </c>
      <c r="AD606" s="11">
        <v>2</v>
      </c>
      <c r="AE606" s="9" t="s">
        <v>70</v>
      </c>
      <c r="AF606" s="9" t="s">
        <v>71</v>
      </c>
      <c r="AG606" s="13">
        <v>1</v>
      </c>
      <c r="AH606" s="9" t="s">
        <v>92</v>
      </c>
      <c r="AI606" s="13">
        <v>11402000</v>
      </c>
      <c r="AJ606" s="13">
        <v>22804000</v>
      </c>
      <c r="AK606" s="11">
        <v>0</v>
      </c>
      <c r="AL606" s="11">
        <v>0</v>
      </c>
      <c r="AM606" s="11">
        <v>0</v>
      </c>
      <c r="AN606" s="9" t="s">
        <v>67</v>
      </c>
      <c r="AO606" s="11">
        <v>22804000</v>
      </c>
      <c r="AP606" s="13">
        <v>1824320</v>
      </c>
      <c r="AQ606" s="13">
        <v>24628320</v>
      </c>
      <c r="AR606" s="11">
        <v>396</v>
      </c>
      <c r="AS606" s="9" t="s">
        <v>72</v>
      </c>
      <c r="AT606" s="11">
        <v>400</v>
      </c>
      <c r="AU606" s="9" t="s">
        <v>73</v>
      </c>
      <c r="AV606" s="9" t="s">
        <v>67</v>
      </c>
      <c r="AW606" s="9" t="s">
        <v>1073</v>
      </c>
      <c r="AX606" s="10">
        <v>45986</v>
      </c>
      <c r="AY606" s="9" t="s">
        <v>1615</v>
      </c>
      <c r="AZ606" s="9" t="s">
        <v>67</v>
      </c>
      <c r="BA606" s="9" t="s">
        <v>67</v>
      </c>
      <c r="BB606" s="12">
        <v>400</v>
      </c>
      <c r="BC606" s="9" t="s">
        <v>74</v>
      </c>
      <c r="BD606" s="9" t="s">
        <v>104</v>
      </c>
      <c r="BE606" s="9" t="s">
        <v>75</v>
      </c>
      <c r="BF606" s="11">
        <v>0</v>
      </c>
      <c r="BG606">
        <f t="shared" si="20"/>
        <v>12</v>
      </c>
      <c r="BH606" t="str">
        <f>VLOOKUP(BG606,[1]month!$A:$B,2,0)</f>
        <v>Desember</v>
      </c>
      <c r="BI606">
        <f t="shared" si="21"/>
        <v>2025</v>
      </c>
      <c r="BJ606" t="str">
        <f>VLOOKUP(I606,[1]Dist!$A:$B,2,0)</f>
        <v>Industry</v>
      </c>
      <c r="BK606" t="str">
        <f>IF(I606=11,VLOOKUP(Y606,[2]Sheet1!$C:$N,10,0),IF(I606=13,VLOOKUP(Y606,[3]Sheet1!$C:$N,10,0),IF(I606=15,VLOOKUP(Y606,[4]Sheet1!$C:$N,10,0),"Unknown")))</f>
        <v>NC</v>
      </c>
      <c r="BL606" t="str">
        <f>IF(I606=11,VLOOKUP(Y606,[2]Sheet1!$C:$N,12,0),IF(I606=13,VLOOKUP(Y606,[3]Sheet1!$C:$N,12,0),IF(I606=15,VLOOKUP(Y606,[4]Sheet1!$C:$N,12,0),"Unknown")))</f>
        <v>NC SYSTEM</v>
      </c>
      <c r="BM606" t="str">
        <f>VLOOKUP(W606,[1]branch!$A:$B,2,0)</f>
        <v>INDUSTRY</v>
      </c>
    </row>
    <row r="607" spans="1:65" x14ac:dyDescent="0.35">
      <c r="A607" s="10">
        <v>45999</v>
      </c>
      <c r="B607" s="9" t="s">
        <v>1614</v>
      </c>
      <c r="C607" s="9" t="s">
        <v>64</v>
      </c>
      <c r="D607" s="9" t="s">
        <v>92</v>
      </c>
      <c r="E607" s="11">
        <v>60</v>
      </c>
      <c r="F607" s="9" t="s">
        <v>93</v>
      </c>
      <c r="G607" s="9" t="s">
        <v>65</v>
      </c>
      <c r="H607" s="9" t="s">
        <v>66</v>
      </c>
      <c r="I607" s="9">
        <v>11</v>
      </c>
      <c r="J607" s="9" t="s">
        <v>347</v>
      </c>
      <c r="K607" s="9" t="s">
        <v>347</v>
      </c>
      <c r="L607" s="9" t="s">
        <v>347</v>
      </c>
      <c r="M607" s="9" t="s">
        <v>348</v>
      </c>
      <c r="N607" s="9" t="s">
        <v>866</v>
      </c>
      <c r="O607" s="9" t="s">
        <v>97</v>
      </c>
      <c r="P607" s="9" t="s">
        <v>67</v>
      </c>
      <c r="Q607" s="9" t="s">
        <v>98</v>
      </c>
      <c r="R607" s="9" t="s">
        <v>347</v>
      </c>
      <c r="S607" s="9" t="s">
        <v>348</v>
      </c>
      <c r="T607" s="9" t="s">
        <v>818</v>
      </c>
      <c r="U607" s="9" t="s">
        <v>67</v>
      </c>
      <c r="V607" s="9" t="s">
        <v>130</v>
      </c>
      <c r="W607" s="9" t="s">
        <v>131</v>
      </c>
      <c r="X607" s="11">
        <v>50</v>
      </c>
      <c r="Y607" s="9" t="s">
        <v>721</v>
      </c>
      <c r="Z607" s="9" t="s">
        <v>68</v>
      </c>
      <c r="AA607" s="9" t="s">
        <v>722</v>
      </c>
      <c r="AB607" s="9" t="s">
        <v>67</v>
      </c>
      <c r="AC607" s="9" t="s">
        <v>120</v>
      </c>
      <c r="AD607" s="11">
        <v>3</v>
      </c>
      <c r="AE607" s="9" t="s">
        <v>70</v>
      </c>
      <c r="AF607" s="9" t="s">
        <v>71</v>
      </c>
      <c r="AG607" s="13">
        <v>1</v>
      </c>
      <c r="AH607" s="9" t="s">
        <v>92</v>
      </c>
      <c r="AI607" s="13">
        <v>6821800</v>
      </c>
      <c r="AJ607" s="13">
        <v>20465400</v>
      </c>
      <c r="AK607" s="11">
        <v>0</v>
      </c>
      <c r="AL607" s="11">
        <v>0</v>
      </c>
      <c r="AM607" s="11">
        <v>0</v>
      </c>
      <c r="AN607" s="9" t="s">
        <v>67</v>
      </c>
      <c r="AO607" s="11">
        <v>20465400</v>
      </c>
      <c r="AP607" s="13">
        <v>1637232</v>
      </c>
      <c r="AQ607" s="13">
        <v>22102632</v>
      </c>
      <c r="AR607" s="11">
        <v>564</v>
      </c>
      <c r="AS607" s="9" t="s">
        <v>72</v>
      </c>
      <c r="AT607" s="11">
        <v>600</v>
      </c>
      <c r="AU607" s="9" t="s">
        <v>73</v>
      </c>
      <c r="AV607" s="9" t="s">
        <v>67</v>
      </c>
      <c r="AW607" s="9" t="s">
        <v>1073</v>
      </c>
      <c r="AX607" s="10">
        <v>45986</v>
      </c>
      <c r="AY607" s="9" t="s">
        <v>1615</v>
      </c>
      <c r="AZ607" s="9" t="s">
        <v>67</v>
      </c>
      <c r="BA607" s="9" t="s">
        <v>67</v>
      </c>
      <c r="BB607" s="12">
        <v>600</v>
      </c>
      <c r="BC607" s="9" t="s">
        <v>74</v>
      </c>
      <c r="BD607" s="9" t="s">
        <v>104</v>
      </c>
      <c r="BE607" s="9" t="s">
        <v>75</v>
      </c>
      <c r="BF607" s="11">
        <v>0</v>
      </c>
      <c r="BG607">
        <f t="shared" si="20"/>
        <v>12</v>
      </c>
      <c r="BH607" t="str">
        <f>VLOOKUP(BG607,[1]month!$A:$B,2,0)</f>
        <v>Desember</v>
      </c>
      <c r="BI607">
        <f t="shared" si="21"/>
        <v>2025</v>
      </c>
      <c r="BJ607" t="str">
        <f>VLOOKUP(I607,[1]Dist!$A:$B,2,0)</f>
        <v>Industry</v>
      </c>
      <c r="BK607" t="str">
        <f>IF(I607=11,VLOOKUP(Y607,[2]Sheet1!$C:$N,10,0),IF(I607=13,VLOOKUP(Y607,[3]Sheet1!$C:$N,10,0),IF(I607=15,VLOOKUP(Y607,[4]Sheet1!$C:$N,10,0),"Unknown")))</f>
        <v>THINNER PU</v>
      </c>
      <c r="BL607" t="str">
        <f>IF(I607=11,VLOOKUP(Y607,[2]Sheet1!$C:$N,12,0),IF(I607=13,VLOOKUP(Y607,[3]Sheet1!$C:$N,12,0),IF(I607=15,VLOOKUP(Y607,[4]Sheet1!$C:$N,12,0),"Unknown")))</f>
        <v>THINNER PU</v>
      </c>
      <c r="BM607" t="str">
        <f>VLOOKUP(W607,[1]branch!$A:$B,2,0)</f>
        <v>INDUSTRY</v>
      </c>
    </row>
    <row r="608" spans="1:65" x14ac:dyDescent="0.35">
      <c r="A608" s="10">
        <v>45999</v>
      </c>
      <c r="B608" s="9" t="s">
        <v>1614</v>
      </c>
      <c r="C608" s="9" t="s">
        <v>64</v>
      </c>
      <c r="D608" s="9" t="s">
        <v>92</v>
      </c>
      <c r="E608" s="11">
        <v>60</v>
      </c>
      <c r="F608" s="9" t="s">
        <v>93</v>
      </c>
      <c r="G608" s="9" t="s">
        <v>65</v>
      </c>
      <c r="H608" s="9" t="s">
        <v>66</v>
      </c>
      <c r="I608" s="9">
        <v>11</v>
      </c>
      <c r="J608" s="9" t="s">
        <v>347</v>
      </c>
      <c r="K608" s="9" t="s">
        <v>347</v>
      </c>
      <c r="L608" s="9" t="s">
        <v>347</v>
      </c>
      <c r="M608" s="9" t="s">
        <v>348</v>
      </c>
      <c r="N608" s="9" t="s">
        <v>866</v>
      </c>
      <c r="O608" s="9" t="s">
        <v>97</v>
      </c>
      <c r="P608" s="9" t="s">
        <v>67</v>
      </c>
      <c r="Q608" s="9" t="s">
        <v>98</v>
      </c>
      <c r="R608" s="9" t="s">
        <v>347</v>
      </c>
      <c r="S608" s="9" t="s">
        <v>348</v>
      </c>
      <c r="T608" s="9" t="s">
        <v>818</v>
      </c>
      <c r="U608" s="9" t="s">
        <v>67</v>
      </c>
      <c r="V608" s="9" t="s">
        <v>130</v>
      </c>
      <c r="W608" s="9" t="s">
        <v>131</v>
      </c>
      <c r="X608" s="11">
        <v>60</v>
      </c>
      <c r="Y608" s="9" t="s">
        <v>428</v>
      </c>
      <c r="Z608" s="9" t="s">
        <v>68</v>
      </c>
      <c r="AA608" s="9" t="s">
        <v>429</v>
      </c>
      <c r="AB608" s="9" t="s">
        <v>67</v>
      </c>
      <c r="AC608" s="9" t="s">
        <v>430</v>
      </c>
      <c r="AD608" s="11">
        <v>2</v>
      </c>
      <c r="AE608" s="9" t="s">
        <v>70</v>
      </c>
      <c r="AF608" s="9" t="s">
        <v>71</v>
      </c>
      <c r="AG608" s="13">
        <v>1</v>
      </c>
      <c r="AH608" s="9" t="s">
        <v>92</v>
      </c>
      <c r="AI608" s="13">
        <v>7109800</v>
      </c>
      <c r="AJ608" s="13">
        <v>14219600</v>
      </c>
      <c r="AK608" s="11">
        <v>0</v>
      </c>
      <c r="AL608" s="11">
        <v>0</v>
      </c>
      <c r="AM608" s="11">
        <v>0</v>
      </c>
      <c r="AN608" s="9" t="s">
        <v>67</v>
      </c>
      <c r="AO608" s="11">
        <v>14219600</v>
      </c>
      <c r="AP608" s="13">
        <v>1137568</v>
      </c>
      <c r="AQ608" s="13">
        <v>15357168</v>
      </c>
      <c r="AR608" s="11">
        <v>39</v>
      </c>
      <c r="AS608" s="9" t="s">
        <v>72</v>
      </c>
      <c r="AT608" s="11">
        <v>40</v>
      </c>
      <c r="AU608" s="9" t="s">
        <v>73</v>
      </c>
      <c r="AV608" s="9" t="s">
        <v>67</v>
      </c>
      <c r="AW608" s="9" t="s">
        <v>1073</v>
      </c>
      <c r="AX608" s="10">
        <v>45986</v>
      </c>
      <c r="AY608" s="9" t="s">
        <v>1615</v>
      </c>
      <c r="AZ608" s="9" t="s">
        <v>67</v>
      </c>
      <c r="BA608" s="9" t="s">
        <v>67</v>
      </c>
      <c r="BB608" s="12">
        <v>40</v>
      </c>
      <c r="BC608" s="9" t="s">
        <v>74</v>
      </c>
      <c r="BD608" s="9" t="s">
        <v>104</v>
      </c>
      <c r="BE608" s="9" t="s">
        <v>75</v>
      </c>
      <c r="BF608" s="11">
        <v>0</v>
      </c>
      <c r="BG608">
        <f t="shared" si="20"/>
        <v>12</v>
      </c>
      <c r="BH608" t="str">
        <f>VLOOKUP(BG608,[1]month!$A:$B,2,0)</f>
        <v>Desember</v>
      </c>
      <c r="BI608">
        <f t="shared" si="21"/>
        <v>2025</v>
      </c>
      <c r="BJ608" t="str">
        <f>VLOOKUP(I608,[1]Dist!$A:$B,2,0)</f>
        <v>Industry</v>
      </c>
      <c r="BK608" t="str">
        <f>IF(I608=11,VLOOKUP(Y608,[2]Sheet1!$C:$N,10,0),IF(I608=13,VLOOKUP(Y608,[3]Sheet1!$C:$N,10,0),IF(I608=15,VLOOKUP(Y608,[4]Sheet1!$C:$N,10,0),"Unknown")))</f>
        <v>ALKYD OIL</v>
      </c>
      <c r="BL608" t="str">
        <f>IF(I608=11,VLOOKUP(Y608,[2]Sheet1!$C:$N,12,0),IF(I608=13,VLOOKUP(Y608,[3]Sheet1!$C:$N,12,0),IF(I608=15,VLOOKUP(Y608,[4]Sheet1!$C:$N,12,0),"Unknown")))</f>
        <v>ALKYD &amp; OIL SYSTEM</v>
      </c>
      <c r="BM608" t="str">
        <f>VLOOKUP(W608,[1]branch!$A:$B,2,0)</f>
        <v>INDUSTRY</v>
      </c>
    </row>
    <row r="609" spans="1:65" x14ac:dyDescent="0.35">
      <c r="A609" s="10">
        <v>45999</v>
      </c>
      <c r="B609" s="9" t="s">
        <v>1614</v>
      </c>
      <c r="C609" s="9" t="s">
        <v>64</v>
      </c>
      <c r="D609" s="9" t="s">
        <v>92</v>
      </c>
      <c r="E609" s="11">
        <v>60</v>
      </c>
      <c r="F609" s="9" t="s">
        <v>93</v>
      </c>
      <c r="G609" s="9" t="s">
        <v>65</v>
      </c>
      <c r="H609" s="9" t="s">
        <v>66</v>
      </c>
      <c r="I609" s="9">
        <v>11</v>
      </c>
      <c r="J609" s="9" t="s">
        <v>347</v>
      </c>
      <c r="K609" s="9" t="s">
        <v>347</v>
      </c>
      <c r="L609" s="9" t="s">
        <v>347</v>
      </c>
      <c r="M609" s="9" t="s">
        <v>348</v>
      </c>
      <c r="N609" s="9" t="s">
        <v>866</v>
      </c>
      <c r="O609" s="9" t="s">
        <v>97</v>
      </c>
      <c r="P609" s="9" t="s">
        <v>67</v>
      </c>
      <c r="Q609" s="9" t="s">
        <v>98</v>
      </c>
      <c r="R609" s="9" t="s">
        <v>347</v>
      </c>
      <c r="S609" s="9" t="s">
        <v>348</v>
      </c>
      <c r="T609" s="9" t="s">
        <v>818</v>
      </c>
      <c r="U609" s="9" t="s">
        <v>67</v>
      </c>
      <c r="V609" s="9" t="s">
        <v>130</v>
      </c>
      <c r="W609" s="9" t="s">
        <v>131</v>
      </c>
      <c r="X609" s="11">
        <v>80</v>
      </c>
      <c r="Y609" s="9" t="s">
        <v>515</v>
      </c>
      <c r="Z609" s="9" t="s">
        <v>68</v>
      </c>
      <c r="AA609" s="9" t="s">
        <v>516</v>
      </c>
      <c r="AB609" s="9" t="s">
        <v>67</v>
      </c>
      <c r="AC609" s="9" t="s">
        <v>79</v>
      </c>
      <c r="AD609" s="11">
        <v>1</v>
      </c>
      <c r="AE609" s="9" t="s">
        <v>70</v>
      </c>
      <c r="AF609" s="9" t="s">
        <v>71</v>
      </c>
      <c r="AG609" s="13">
        <v>1</v>
      </c>
      <c r="AH609" s="9" t="s">
        <v>92</v>
      </c>
      <c r="AI609" s="13">
        <v>8190000</v>
      </c>
      <c r="AJ609" s="13">
        <v>8190000</v>
      </c>
      <c r="AK609" s="11">
        <v>0</v>
      </c>
      <c r="AL609" s="11">
        <v>0</v>
      </c>
      <c r="AM609" s="11">
        <v>0</v>
      </c>
      <c r="AN609" s="9" t="s">
        <v>67</v>
      </c>
      <c r="AO609" s="11">
        <v>8190000</v>
      </c>
      <c r="AP609" s="13">
        <v>655200</v>
      </c>
      <c r="AQ609" s="13">
        <v>8845200</v>
      </c>
      <c r="AR609" s="11">
        <v>160</v>
      </c>
      <c r="AS609" s="9" t="s">
        <v>72</v>
      </c>
      <c r="AT609" s="11">
        <v>200</v>
      </c>
      <c r="AU609" s="9" t="s">
        <v>73</v>
      </c>
      <c r="AV609" s="9" t="s">
        <v>67</v>
      </c>
      <c r="AW609" s="9" t="s">
        <v>1073</v>
      </c>
      <c r="AX609" s="10">
        <v>45986</v>
      </c>
      <c r="AY609" s="9" t="s">
        <v>1615</v>
      </c>
      <c r="AZ609" s="9" t="s">
        <v>67</v>
      </c>
      <c r="BA609" s="9" t="s">
        <v>67</v>
      </c>
      <c r="BB609" s="12">
        <v>200</v>
      </c>
      <c r="BC609" s="9" t="s">
        <v>74</v>
      </c>
      <c r="BD609" s="9" t="s">
        <v>104</v>
      </c>
      <c r="BE609" s="9" t="s">
        <v>75</v>
      </c>
      <c r="BF609" s="11">
        <v>0</v>
      </c>
      <c r="BG609">
        <f t="shared" si="20"/>
        <v>12</v>
      </c>
      <c r="BH609" t="str">
        <f>VLOOKUP(BG609,[1]month!$A:$B,2,0)</f>
        <v>Desember</v>
      </c>
      <c r="BI609">
        <f t="shared" si="21"/>
        <v>2025</v>
      </c>
      <c r="BJ609" t="str">
        <f>VLOOKUP(I609,[1]Dist!$A:$B,2,0)</f>
        <v>Industry</v>
      </c>
      <c r="BK609" t="str">
        <f>IF(I609=11,VLOOKUP(Y609,[2]Sheet1!$C:$N,10,0),IF(I609=13,VLOOKUP(Y609,[3]Sheet1!$C:$N,10,0),IF(I609=15,VLOOKUP(Y609,[4]Sheet1!$C:$N,10,0),"Unknown")))</f>
        <v>THINNER NC</v>
      </c>
      <c r="BL609" t="str">
        <f>IF(I609=11,VLOOKUP(Y609,[2]Sheet1!$C:$N,12,0),IF(I609=13,VLOOKUP(Y609,[3]Sheet1!$C:$N,12,0),IF(I609=15,VLOOKUP(Y609,[4]Sheet1!$C:$N,12,0),"Unknown")))</f>
        <v>THINNER GLAZE</v>
      </c>
      <c r="BM609" t="str">
        <f>VLOOKUP(W609,[1]branch!$A:$B,2,0)</f>
        <v>INDUSTRY</v>
      </c>
    </row>
    <row r="610" spans="1:65" x14ac:dyDescent="0.35">
      <c r="A610" s="10">
        <v>45999</v>
      </c>
      <c r="B610" s="9" t="s">
        <v>1616</v>
      </c>
      <c r="C610" s="9" t="s">
        <v>64</v>
      </c>
      <c r="D610" s="9" t="s">
        <v>92</v>
      </c>
      <c r="E610" s="11">
        <v>30</v>
      </c>
      <c r="F610" s="9" t="s">
        <v>93</v>
      </c>
      <c r="G610" s="9" t="s">
        <v>65</v>
      </c>
      <c r="H610" s="9" t="s">
        <v>66</v>
      </c>
      <c r="I610" s="9">
        <v>11</v>
      </c>
      <c r="J610" s="9" t="s">
        <v>1396</v>
      </c>
      <c r="K610" s="9" t="s">
        <v>1396</v>
      </c>
      <c r="L610" s="9" t="s">
        <v>1396</v>
      </c>
      <c r="M610" s="9" t="s">
        <v>1397</v>
      </c>
      <c r="N610" s="9" t="s">
        <v>1398</v>
      </c>
      <c r="O610" s="9" t="s">
        <v>97</v>
      </c>
      <c r="P610" s="9" t="s">
        <v>67</v>
      </c>
      <c r="Q610" s="9" t="s">
        <v>98</v>
      </c>
      <c r="R610" s="9" t="s">
        <v>1396</v>
      </c>
      <c r="S610" s="9" t="s">
        <v>1397</v>
      </c>
      <c r="T610" s="9" t="s">
        <v>1399</v>
      </c>
      <c r="U610" s="9" t="s">
        <v>67</v>
      </c>
      <c r="V610" s="9" t="s">
        <v>221</v>
      </c>
      <c r="W610" s="9" t="s">
        <v>222</v>
      </c>
      <c r="X610" s="11">
        <v>10</v>
      </c>
      <c r="Y610" s="9" t="s">
        <v>1617</v>
      </c>
      <c r="Z610" s="9" t="s">
        <v>68</v>
      </c>
      <c r="AA610" s="9" t="s">
        <v>1618</v>
      </c>
      <c r="AB610" s="9" t="s">
        <v>67</v>
      </c>
      <c r="AC610" s="9" t="s">
        <v>120</v>
      </c>
      <c r="AD610" s="11">
        <v>1</v>
      </c>
      <c r="AE610" s="9" t="s">
        <v>70</v>
      </c>
      <c r="AF610" s="9" t="s">
        <v>71</v>
      </c>
      <c r="AG610" s="13">
        <v>1</v>
      </c>
      <c r="AH610" s="9" t="s">
        <v>92</v>
      </c>
      <c r="AI610" s="13">
        <v>8454000</v>
      </c>
      <c r="AJ610" s="13">
        <v>8454000</v>
      </c>
      <c r="AK610" s="11">
        <v>0</v>
      </c>
      <c r="AL610" s="11">
        <v>0</v>
      </c>
      <c r="AM610" s="11">
        <v>0</v>
      </c>
      <c r="AN610" s="9" t="s">
        <v>67</v>
      </c>
      <c r="AO610" s="11">
        <v>8454000</v>
      </c>
      <c r="AP610" s="13">
        <v>676320</v>
      </c>
      <c r="AQ610" s="13">
        <v>9130320</v>
      </c>
      <c r="AR610" s="11">
        <v>185</v>
      </c>
      <c r="AS610" s="9" t="s">
        <v>72</v>
      </c>
      <c r="AT610" s="11">
        <v>200</v>
      </c>
      <c r="AU610" s="9" t="s">
        <v>73</v>
      </c>
      <c r="AV610" s="9" t="s">
        <v>67</v>
      </c>
      <c r="AW610" s="9" t="s">
        <v>1619</v>
      </c>
      <c r="AX610" s="10">
        <v>45996</v>
      </c>
      <c r="AY610" s="9" t="s">
        <v>1620</v>
      </c>
      <c r="AZ610" s="9" t="s">
        <v>67</v>
      </c>
      <c r="BA610" s="9" t="s">
        <v>67</v>
      </c>
      <c r="BB610" s="12">
        <v>200</v>
      </c>
      <c r="BC610" s="9" t="s">
        <v>74</v>
      </c>
      <c r="BD610" s="9" t="s">
        <v>104</v>
      </c>
      <c r="BE610" s="9" t="s">
        <v>75</v>
      </c>
      <c r="BF610" s="11">
        <v>0</v>
      </c>
      <c r="BG610">
        <f t="shared" si="20"/>
        <v>12</v>
      </c>
      <c r="BH610" t="str">
        <f>VLOOKUP(BG610,[1]month!$A:$B,2,0)</f>
        <v>Desember</v>
      </c>
      <c r="BI610">
        <f t="shared" si="21"/>
        <v>2025</v>
      </c>
      <c r="BJ610" t="str">
        <f>VLOOKUP(I610,[1]Dist!$A:$B,2,0)</f>
        <v>Industry</v>
      </c>
      <c r="BK610" t="str">
        <f>IF(I610=11,VLOOKUP(Y610,[2]Sheet1!$C:$N,10,0),IF(I610=13,VLOOKUP(Y610,[3]Sheet1!$C:$N,10,0),IF(I610=15,VLOOKUP(Y610,[4]Sheet1!$C:$N,10,0),"Unknown")))</f>
        <v>THINNER PU</v>
      </c>
      <c r="BL610" t="str">
        <f>IF(I610=11,VLOOKUP(Y610,[2]Sheet1!$C:$N,12,0),IF(I610=13,VLOOKUP(Y610,[3]Sheet1!$C:$N,12,0),IF(I610=15,VLOOKUP(Y610,[4]Sheet1!$C:$N,12,0),"Unknown")))</f>
        <v>THINNER PU</v>
      </c>
      <c r="BM610" t="str">
        <f>VLOOKUP(W610,[1]branch!$A:$B,2,0)</f>
        <v>INDUSTRY</v>
      </c>
    </row>
    <row r="611" spans="1:65" x14ac:dyDescent="0.35">
      <c r="A611" s="10">
        <v>45999</v>
      </c>
      <c r="B611" s="9" t="s">
        <v>1621</v>
      </c>
      <c r="C611" s="9" t="s">
        <v>64</v>
      </c>
      <c r="D611" s="9" t="s">
        <v>92</v>
      </c>
      <c r="E611" s="11">
        <v>60</v>
      </c>
      <c r="F611" s="9" t="s">
        <v>93</v>
      </c>
      <c r="G611" s="9" t="s">
        <v>65</v>
      </c>
      <c r="H611" s="9" t="s">
        <v>66</v>
      </c>
      <c r="I611" s="9">
        <v>11</v>
      </c>
      <c r="J611" s="9" t="s">
        <v>132</v>
      </c>
      <c r="K611" s="9" t="s">
        <v>132</v>
      </c>
      <c r="L611" s="9" t="s">
        <v>132</v>
      </c>
      <c r="M611" s="9" t="s">
        <v>133</v>
      </c>
      <c r="N611" s="9" t="s">
        <v>586</v>
      </c>
      <c r="O611" s="9" t="s">
        <v>97</v>
      </c>
      <c r="P611" s="9" t="s">
        <v>67</v>
      </c>
      <c r="Q611" s="9" t="s">
        <v>98</v>
      </c>
      <c r="R611" s="9" t="s">
        <v>672</v>
      </c>
      <c r="S611" s="9" t="s">
        <v>133</v>
      </c>
      <c r="T611" s="9" t="s">
        <v>823</v>
      </c>
      <c r="U611" s="9" t="s">
        <v>67</v>
      </c>
      <c r="V611" s="9" t="s">
        <v>130</v>
      </c>
      <c r="W611" s="9" t="s">
        <v>131</v>
      </c>
      <c r="X611" s="11">
        <v>10</v>
      </c>
      <c r="Y611" s="9" t="s">
        <v>1622</v>
      </c>
      <c r="Z611" s="9" t="s">
        <v>68</v>
      </c>
      <c r="AA611" s="9" t="s">
        <v>1623</v>
      </c>
      <c r="AB611" s="9" t="s">
        <v>67</v>
      </c>
      <c r="AC611" s="9" t="s">
        <v>134</v>
      </c>
      <c r="AD611" s="11">
        <v>12</v>
      </c>
      <c r="AE611" s="9" t="s">
        <v>70</v>
      </c>
      <c r="AF611" s="9" t="s">
        <v>71</v>
      </c>
      <c r="AG611" s="13">
        <v>1</v>
      </c>
      <c r="AH611" s="9" t="s">
        <v>92</v>
      </c>
      <c r="AI611" s="13">
        <v>447600</v>
      </c>
      <c r="AJ611" s="13">
        <v>5371200</v>
      </c>
      <c r="AK611" s="11">
        <v>0</v>
      </c>
      <c r="AL611" s="11">
        <v>0</v>
      </c>
      <c r="AM611" s="11">
        <v>0</v>
      </c>
      <c r="AN611" s="9" t="s">
        <v>67</v>
      </c>
      <c r="AO611" s="11">
        <v>5371200</v>
      </c>
      <c r="AP611" s="13">
        <v>429696</v>
      </c>
      <c r="AQ611" s="13">
        <v>5800896</v>
      </c>
      <c r="AR611" s="11">
        <v>48</v>
      </c>
      <c r="AS611" s="9" t="s">
        <v>72</v>
      </c>
      <c r="AT611" s="12">
        <v>50.52</v>
      </c>
      <c r="AU611" s="9" t="s">
        <v>73</v>
      </c>
      <c r="AV611" s="9" t="s">
        <v>67</v>
      </c>
      <c r="AW611" s="9" t="s">
        <v>1624</v>
      </c>
      <c r="AX611" s="10">
        <v>45995</v>
      </c>
      <c r="AY611" s="9" t="s">
        <v>1625</v>
      </c>
      <c r="AZ611" s="9" t="s">
        <v>67</v>
      </c>
      <c r="BA611" s="9" t="s">
        <v>67</v>
      </c>
      <c r="BB611" s="12">
        <v>48</v>
      </c>
      <c r="BC611" s="9" t="s">
        <v>74</v>
      </c>
      <c r="BD611" s="9" t="s">
        <v>104</v>
      </c>
      <c r="BE611" s="9" t="s">
        <v>75</v>
      </c>
      <c r="BF611" s="11">
        <v>0</v>
      </c>
      <c r="BG611">
        <f t="shared" si="20"/>
        <v>12</v>
      </c>
      <c r="BH611" t="str">
        <f>VLOOKUP(BG611,[1]month!$A:$B,2,0)</f>
        <v>Desember</v>
      </c>
      <c r="BI611">
        <f t="shared" si="21"/>
        <v>2025</v>
      </c>
      <c r="BJ611" t="str">
        <f>VLOOKUP(I611,[1]Dist!$A:$B,2,0)</f>
        <v>Industry</v>
      </c>
      <c r="BK611" t="str">
        <f>IF(I611=11,VLOOKUP(Y611,[2]Sheet1!$C:$N,10,0),IF(I611=13,VLOOKUP(Y611,[3]Sheet1!$C:$N,10,0),IF(I611=15,VLOOKUP(Y611,[4]Sheet1!$C:$N,10,0),"Unknown")))</f>
        <v>STAIN &amp; GLAZE INTERIOR</v>
      </c>
      <c r="BL611" t="str">
        <f>IF(I611=11,VLOOKUP(Y611,[2]Sheet1!$C:$N,12,0),IF(I611=13,VLOOKUP(Y611,[3]Sheet1!$C:$N,12,0),IF(I611=15,VLOOKUP(Y611,[4]Sheet1!$C:$N,12,0),"Unknown")))</f>
        <v>ASOF : STAIN &amp; GLAZE</v>
      </c>
      <c r="BM611" t="str">
        <f>VLOOKUP(W611,[1]branch!$A:$B,2,0)</f>
        <v>INDUSTRY</v>
      </c>
    </row>
    <row r="612" spans="1:65" x14ac:dyDescent="0.35">
      <c r="A612" s="10">
        <v>45999</v>
      </c>
      <c r="B612" s="9" t="s">
        <v>1621</v>
      </c>
      <c r="C612" s="9" t="s">
        <v>64</v>
      </c>
      <c r="D612" s="9" t="s">
        <v>92</v>
      </c>
      <c r="E612" s="11">
        <v>60</v>
      </c>
      <c r="F612" s="9" t="s">
        <v>93</v>
      </c>
      <c r="G612" s="9" t="s">
        <v>65</v>
      </c>
      <c r="H612" s="9" t="s">
        <v>66</v>
      </c>
      <c r="I612" s="9">
        <v>11</v>
      </c>
      <c r="J612" s="9" t="s">
        <v>132</v>
      </c>
      <c r="K612" s="9" t="s">
        <v>132</v>
      </c>
      <c r="L612" s="9" t="s">
        <v>132</v>
      </c>
      <c r="M612" s="9" t="s">
        <v>133</v>
      </c>
      <c r="N612" s="9" t="s">
        <v>586</v>
      </c>
      <c r="O612" s="9" t="s">
        <v>97</v>
      </c>
      <c r="P612" s="9" t="s">
        <v>67</v>
      </c>
      <c r="Q612" s="9" t="s">
        <v>98</v>
      </c>
      <c r="R612" s="9" t="s">
        <v>672</v>
      </c>
      <c r="S612" s="9" t="s">
        <v>133</v>
      </c>
      <c r="T612" s="9" t="s">
        <v>823</v>
      </c>
      <c r="U612" s="9" t="s">
        <v>67</v>
      </c>
      <c r="V612" s="9" t="s">
        <v>130</v>
      </c>
      <c r="W612" s="9" t="s">
        <v>131</v>
      </c>
      <c r="X612" s="11">
        <v>30</v>
      </c>
      <c r="Y612" s="9" t="s">
        <v>1626</v>
      </c>
      <c r="Z612" s="9" t="s">
        <v>68</v>
      </c>
      <c r="AA612" s="9" t="s">
        <v>1627</v>
      </c>
      <c r="AB612" s="9" t="s">
        <v>67</v>
      </c>
      <c r="AC612" s="9" t="s">
        <v>134</v>
      </c>
      <c r="AD612" s="11">
        <v>5</v>
      </c>
      <c r="AE612" s="9" t="s">
        <v>70</v>
      </c>
      <c r="AF612" s="9" t="s">
        <v>71</v>
      </c>
      <c r="AG612" s="13">
        <v>1</v>
      </c>
      <c r="AH612" s="9" t="s">
        <v>92</v>
      </c>
      <c r="AI612" s="13">
        <v>716400</v>
      </c>
      <c r="AJ612" s="13">
        <v>3582000</v>
      </c>
      <c r="AK612" s="11">
        <v>0</v>
      </c>
      <c r="AL612" s="11">
        <v>0</v>
      </c>
      <c r="AM612" s="11">
        <v>0</v>
      </c>
      <c r="AN612" s="9" t="s">
        <v>67</v>
      </c>
      <c r="AO612" s="11">
        <v>3582000</v>
      </c>
      <c r="AP612" s="13">
        <v>286560</v>
      </c>
      <c r="AQ612" s="13">
        <v>3868560</v>
      </c>
      <c r="AR612" s="11">
        <v>20</v>
      </c>
      <c r="AS612" s="9" t="s">
        <v>72</v>
      </c>
      <c r="AT612" s="11">
        <v>22</v>
      </c>
      <c r="AU612" s="9" t="s">
        <v>73</v>
      </c>
      <c r="AV612" s="9" t="s">
        <v>67</v>
      </c>
      <c r="AW612" s="9" t="s">
        <v>1624</v>
      </c>
      <c r="AX612" s="10">
        <v>45995</v>
      </c>
      <c r="AY612" s="9" t="s">
        <v>1625</v>
      </c>
      <c r="AZ612" s="9" t="s">
        <v>67</v>
      </c>
      <c r="BA612" s="9" t="s">
        <v>67</v>
      </c>
      <c r="BB612" s="12">
        <v>20</v>
      </c>
      <c r="BC612" s="9" t="s">
        <v>74</v>
      </c>
      <c r="BD612" s="9" t="s">
        <v>104</v>
      </c>
      <c r="BE612" s="9" t="s">
        <v>75</v>
      </c>
      <c r="BF612" s="11">
        <v>0</v>
      </c>
      <c r="BG612">
        <f t="shared" si="20"/>
        <v>12</v>
      </c>
      <c r="BH612" t="str">
        <f>VLOOKUP(BG612,[1]month!$A:$B,2,0)</f>
        <v>Desember</v>
      </c>
      <c r="BI612">
        <f t="shared" si="21"/>
        <v>2025</v>
      </c>
      <c r="BJ612" t="str">
        <f>VLOOKUP(I612,[1]Dist!$A:$B,2,0)</f>
        <v>Industry</v>
      </c>
      <c r="BK612" t="str">
        <f>IF(I612=11,VLOOKUP(Y612,[2]Sheet1!$C:$N,10,0),IF(I612=13,VLOOKUP(Y612,[3]Sheet1!$C:$N,10,0),IF(I612=15,VLOOKUP(Y612,[4]Sheet1!$C:$N,10,0),"Unknown")))</f>
        <v>STAIN &amp; GLAZE INTERIOR</v>
      </c>
      <c r="BL612" t="str">
        <f>IF(I612=11,VLOOKUP(Y612,[2]Sheet1!$C:$N,12,0),IF(I612=13,VLOOKUP(Y612,[3]Sheet1!$C:$N,12,0),IF(I612=15,VLOOKUP(Y612,[4]Sheet1!$C:$N,12,0),"Unknown")))</f>
        <v>ASOF : STAIN &amp; GLAZE</v>
      </c>
      <c r="BM612" t="str">
        <f>VLOOKUP(W612,[1]branch!$A:$B,2,0)</f>
        <v>INDUSTRY</v>
      </c>
    </row>
    <row r="613" spans="1:65" x14ac:dyDescent="0.35">
      <c r="A613" s="10">
        <v>45999</v>
      </c>
      <c r="B613" s="9" t="s">
        <v>1621</v>
      </c>
      <c r="C613" s="9" t="s">
        <v>64</v>
      </c>
      <c r="D613" s="9" t="s">
        <v>92</v>
      </c>
      <c r="E613" s="11">
        <v>60</v>
      </c>
      <c r="F613" s="9" t="s">
        <v>93</v>
      </c>
      <c r="G613" s="9" t="s">
        <v>65</v>
      </c>
      <c r="H613" s="9" t="s">
        <v>66</v>
      </c>
      <c r="I613" s="9">
        <v>11</v>
      </c>
      <c r="J613" s="9" t="s">
        <v>132</v>
      </c>
      <c r="K613" s="9" t="s">
        <v>132</v>
      </c>
      <c r="L613" s="9" t="s">
        <v>132</v>
      </c>
      <c r="M613" s="9" t="s">
        <v>133</v>
      </c>
      <c r="N613" s="9" t="s">
        <v>586</v>
      </c>
      <c r="O613" s="9" t="s">
        <v>97</v>
      </c>
      <c r="P613" s="9" t="s">
        <v>67</v>
      </c>
      <c r="Q613" s="9" t="s">
        <v>98</v>
      </c>
      <c r="R613" s="9" t="s">
        <v>672</v>
      </c>
      <c r="S613" s="9" t="s">
        <v>133</v>
      </c>
      <c r="T613" s="9" t="s">
        <v>823</v>
      </c>
      <c r="U613" s="9" t="s">
        <v>67</v>
      </c>
      <c r="V613" s="9" t="s">
        <v>130</v>
      </c>
      <c r="W613" s="9" t="s">
        <v>131</v>
      </c>
      <c r="X613" s="11">
        <v>50</v>
      </c>
      <c r="Y613" s="9" t="s">
        <v>437</v>
      </c>
      <c r="Z613" s="9" t="s">
        <v>68</v>
      </c>
      <c r="AA613" s="9" t="s">
        <v>625</v>
      </c>
      <c r="AB613" s="9" t="s">
        <v>67</v>
      </c>
      <c r="AC613" s="9" t="s">
        <v>142</v>
      </c>
      <c r="AD613" s="11">
        <v>2</v>
      </c>
      <c r="AE613" s="9" t="s">
        <v>70</v>
      </c>
      <c r="AF613" s="9" t="s">
        <v>71</v>
      </c>
      <c r="AG613" s="13">
        <v>1</v>
      </c>
      <c r="AH613" s="9" t="s">
        <v>92</v>
      </c>
      <c r="AI613" s="13">
        <v>14148000</v>
      </c>
      <c r="AJ613" s="13">
        <v>28296000</v>
      </c>
      <c r="AK613" s="11">
        <v>0</v>
      </c>
      <c r="AL613" s="11">
        <v>0</v>
      </c>
      <c r="AM613" s="11">
        <v>0</v>
      </c>
      <c r="AN613" s="9" t="s">
        <v>67</v>
      </c>
      <c r="AO613" s="11">
        <v>28296000</v>
      </c>
      <c r="AP613" s="13">
        <v>2263680</v>
      </c>
      <c r="AQ613" s="13">
        <v>30559680</v>
      </c>
      <c r="AR613" s="11">
        <v>360</v>
      </c>
      <c r="AS613" s="9" t="s">
        <v>72</v>
      </c>
      <c r="AT613" s="12">
        <v>363.64</v>
      </c>
      <c r="AU613" s="9" t="s">
        <v>73</v>
      </c>
      <c r="AV613" s="9" t="s">
        <v>67</v>
      </c>
      <c r="AW613" s="9" t="s">
        <v>1624</v>
      </c>
      <c r="AX613" s="10">
        <v>45995</v>
      </c>
      <c r="AY613" s="9" t="s">
        <v>1625</v>
      </c>
      <c r="AZ613" s="9" t="s">
        <v>67</v>
      </c>
      <c r="BA613" s="9" t="s">
        <v>67</v>
      </c>
      <c r="BB613" s="12">
        <v>360</v>
      </c>
      <c r="BC613" s="9" t="s">
        <v>74</v>
      </c>
      <c r="BD613" s="9" t="s">
        <v>104</v>
      </c>
      <c r="BE613" s="9" t="s">
        <v>75</v>
      </c>
      <c r="BF613" s="11">
        <v>0</v>
      </c>
      <c r="BG613">
        <f t="shared" si="20"/>
        <v>12</v>
      </c>
      <c r="BH613" t="str">
        <f>VLOOKUP(BG613,[1]month!$A:$B,2,0)</f>
        <v>Desember</v>
      </c>
      <c r="BI613">
        <f t="shared" si="21"/>
        <v>2025</v>
      </c>
      <c r="BJ613" t="str">
        <f>VLOOKUP(I613,[1]Dist!$A:$B,2,0)</f>
        <v>Industry</v>
      </c>
      <c r="BK613" t="str">
        <f>IF(I613=11,VLOOKUP(Y613,[2]Sheet1!$C:$N,10,0),IF(I613=13,VLOOKUP(Y613,[3]Sheet1!$C:$N,10,0),IF(I613=15,VLOOKUP(Y613,[4]Sheet1!$C:$N,10,0),"Unknown")))</f>
        <v>NC</v>
      </c>
      <c r="BL613" t="str">
        <f>IF(I613=11,VLOOKUP(Y613,[2]Sheet1!$C:$N,12,0),IF(I613=13,VLOOKUP(Y613,[3]Sheet1!$C:$N,12,0),IF(I613=15,VLOOKUP(Y613,[4]Sheet1!$C:$N,12,0),"Unknown")))</f>
        <v>ASOF : NC TOP COAT</v>
      </c>
      <c r="BM613" t="str">
        <f>VLOOKUP(W613,[1]branch!$A:$B,2,0)</f>
        <v>INDUSTRY</v>
      </c>
    </row>
    <row r="614" spans="1:65" x14ac:dyDescent="0.35">
      <c r="A614" s="10">
        <v>45999</v>
      </c>
      <c r="B614" s="9" t="s">
        <v>1621</v>
      </c>
      <c r="C614" s="9" t="s">
        <v>64</v>
      </c>
      <c r="D614" s="9" t="s">
        <v>92</v>
      </c>
      <c r="E614" s="11">
        <v>60</v>
      </c>
      <c r="F614" s="9" t="s">
        <v>93</v>
      </c>
      <c r="G614" s="9" t="s">
        <v>65</v>
      </c>
      <c r="H614" s="9" t="s">
        <v>66</v>
      </c>
      <c r="I614" s="9">
        <v>11</v>
      </c>
      <c r="J614" s="9" t="s">
        <v>132</v>
      </c>
      <c r="K614" s="9" t="s">
        <v>132</v>
      </c>
      <c r="L614" s="9" t="s">
        <v>132</v>
      </c>
      <c r="M614" s="9" t="s">
        <v>133</v>
      </c>
      <c r="N614" s="9" t="s">
        <v>586</v>
      </c>
      <c r="O614" s="9" t="s">
        <v>97</v>
      </c>
      <c r="P614" s="9" t="s">
        <v>67</v>
      </c>
      <c r="Q614" s="9" t="s">
        <v>98</v>
      </c>
      <c r="R614" s="9" t="s">
        <v>672</v>
      </c>
      <c r="S614" s="9" t="s">
        <v>133</v>
      </c>
      <c r="T614" s="9" t="s">
        <v>823</v>
      </c>
      <c r="U614" s="9" t="s">
        <v>67</v>
      </c>
      <c r="V614" s="9" t="s">
        <v>130</v>
      </c>
      <c r="W614" s="9" t="s">
        <v>131</v>
      </c>
      <c r="X614" s="11">
        <v>60</v>
      </c>
      <c r="Y614" s="9" t="s">
        <v>136</v>
      </c>
      <c r="Z614" s="9" t="s">
        <v>68</v>
      </c>
      <c r="AA614" s="9" t="s">
        <v>636</v>
      </c>
      <c r="AB614" s="9" t="s">
        <v>67</v>
      </c>
      <c r="AC614" s="9" t="s">
        <v>137</v>
      </c>
      <c r="AD614" s="11">
        <v>2</v>
      </c>
      <c r="AE614" s="9" t="s">
        <v>70</v>
      </c>
      <c r="AF614" s="9" t="s">
        <v>71</v>
      </c>
      <c r="AG614" s="13">
        <v>1</v>
      </c>
      <c r="AH614" s="9" t="s">
        <v>92</v>
      </c>
      <c r="AI614" s="13">
        <v>12924000</v>
      </c>
      <c r="AJ614" s="13">
        <v>25848000</v>
      </c>
      <c r="AK614" s="11">
        <v>0</v>
      </c>
      <c r="AL614" s="11">
        <v>0</v>
      </c>
      <c r="AM614" s="11">
        <v>0</v>
      </c>
      <c r="AN614" s="9" t="s">
        <v>67</v>
      </c>
      <c r="AO614" s="11">
        <v>25848000</v>
      </c>
      <c r="AP614" s="13">
        <v>2067840</v>
      </c>
      <c r="AQ614" s="13">
        <v>27915840</v>
      </c>
      <c r="AR614" s="11">
        <v>360</v>
      </c>
      <c r="AS614" s="9" t="s">
        <v>72</v>
      </c>
      <c r="AT614" s="12">
        <v>367.34</v>
      </c>
      <c r="AU614" s="9" t="s">
        <v>73</v>
      </c>
      <c r="AV614" s="9" t="s">
        <v>67</v>
      </c>
      <c r="AW614" s="9" t="s">
        <v>1624</v>
      </c>
      <c r="AX614" s="10">
        <v>45995</v>
      </c>
      <c r="AY614" s="9" t="s">
        <v>1625</v>
      </c>
      <c r="AZ614" s="9" t="s">
        <v>67</v>
      </c>
      <c r="BA614" s="9" t="s">
        <v>67</v>
      </c>
      <c r="BB614" s="12">
        <v>360</v>
      </c>
      <c r="BC614" s="9" t="s">
        <v>74</v>
      </c>
      <c r="BD614" s="9" t="s">
        <v>104</v>
      </c>
      <c r="BE614" s="9" t="s">
        <v>75</v>
      </c>
      <c r="BF614" s="11">
        <v>0</v>
      </c>
      <c r="BG614">
        <f t="shared" si="20"/>
        <v>12</v>
      </c>
      <c r="BH614" t="str">
        <f>VLOOKUP(BG614,[1]month!$A:$B,2,0)</f>
        <v>Desember</v>
      </c>
      <c r="BI614">
        <f t="shared" si="21"/>
        <v>2025</v>
      </c>
      <c r="BJ614" t="str">
        <f>VLOOKUP(I614,[1]Dist!$A:$B,2,0)</f>
        <v>Industry</v>
      </c>
      <c r="BK614" t="str">
        <f>IF(I614=11,VLOOKUP(Y614,[2]Sheet1!$C:$N,10,0),IF(I614=13,VLOOKUP(Y614,[3]Sheet1!$C:$N,10,0),IF(I614=15,VLOOKUP(Y614,[4]Sheet1!$C:$N,10,0),"Unknown")))</f>
        <v>NC</v>
      </c>
      <c r="BL614" t="str">
        <f>IF(I614=11,VLOOKUP(Y614,[2]Sheet1!$C:$N,12,0),IF(I614=13,VLOOKUP(Y614,[3]Sheet1!$C:$N,12,0),IF(I614=15,VLOOKUP(Y614,[4]Sheet1!$C:$N,12,0),"Unknown")))</f>
        <v>ASOF : NC BASE COAT</v>
      </c>
      <c r="BM614" t="str">
        <f>VLOOKUP(W614,[1]branch!$A:$B,2,0)</f>
        <v>INDUSTRY</v>
      </c>
    </row>
    <row r="615" spans="1:65" x14ac:dyDescent="0.35">
      <c r="A615" s="10">
        <v>45999</v>
      </c>
      <c r="B615" s="9" t="s">
        <v>1621</v>
      </c>
      <c r="C615" s="9" t="s">
        <v>64</v>
      </c>
      <c r="D615" s="9" t="s">
        <v>92</v>
      </c>
      <c r="E615" s="11">
        <v>60</v>
      </c>
      <c r="F615" s="9" t="s">
        <v>93</v>
      </c>
      <c r="G615" s="9" t="s">
        <v>65</v>
      </c>
      <c r="H615" s="9" t="s">
        <v>66</v>
      </c>
      <c r="I615" s="9">
        <v>11</v>
      </c>
      <c r="J615" s="9" t="s">
        <v>132</v>
      </c>
      <c r="K615" s="9" t="s">
        <v>132</v>
      </c>
      <c r="L615" s="9" t="s">
        <v>132</v>
      </c>
      <c r="M615" s="9" t="s">
        <v>133</v>
      </c>
      <c r="N615" s="9" t="s">
        <v>586</v>
      </c>
      <c r="O615" s="9" t="s">
        <v>97</v>
      </c>
      <c r="P615" s="9" t="s">
        <v>67</v>
      </c>
      <c r="Q615" s="9" t="s">
        <v>98</v>
      </c>
      <c r="R615" s="9" t="s">
        <v>672</v>
      </c>
      <c r="S615" s="9" t="s">
        <v>133</v>
      </c>
      <c r="T615" s="9" t="s">
        <v>823</v>
      </c>
      <c r="U615" s="9" t="s">
        <v>67</v>
      </c>
      <c r="V615" s="9" t="s">
        <v>130</v>
      </c>
      <c r="W615" s="9" t="s">
        <v>131</v>
      </c>
      <c r="X615" s="11">
        <v>70</v>
      </c>
      <c r="Y615" s="9" t="s">
        <v>609</v>
      </c>
      <c r="Z615" s="9" t="s">
        <v>68</v>
      </c>
      <c r="AA615" s="9" t="s">
        <v>642</v>
      </c>
      <c r="AB615" s="9" t="s">
        <v>67</v>
      </c>
      <c r="AC615" s="9" t="s">
        <v>82</v>
      </c>
      <c r="AD615" s="11">
        <v>1</v>
      </c>
      <c r="AE615" s="9" t="s">
        <v>70</v>
      </c>
      <c r="AF615" s="9" t="s">
        <v>71</v>
      </c>
      <c r="AG615" s="13">
        <v>1</v>
      </c>
      <c r="AH615" s="9" t="s">
        <v>92</v>
      </c>
      <c r="AI615" s="13">
        <v>1148400</v>
      </c>
      <c r="AJ615" s="13">
        <v>1148400</v>
      </c>
      <c r="AK615" s="11">
        <v>0</v>
      </c>
      <c r="AL615" s="11">
        <v>0</v>
      </c>
      <c r="AM615" s="11">
        <v>0</v>
      </c>
      <c r="AN615" s="9" t="s">
        <v>67</v>
      </c>
      <c r="AO615" s="11">
        <v>1148400</v>
      </c>
      <c r="AP615" s="13">
        <v>91872</v>
      </c>
      <c r="AQ615" s="13">
        <v>1240272</v>
      </c>
      <c r="AR615" s="11">
        <v>4</v>
      </c>
      <c r="AS615" s="9" t="s">
        <v>72</v>
      </c>
      <c r="AT615" s="12">
        <v>4.26</v>
      </c>
      <c r="AU615" s="9" t="s">
        <v>73</v>
      </c>
      <c r="AV615" s="9" t="s">
        <v>67</v>
      </c>
      <c r="AW615" s="9" t="s">
        <v>1624</v>
      </c>
      <c r="AX615" s="10">
        <v>45995</v>
      </c>
      <c r="AY615" s="9" t="s">
        <v>1625</v>
      </c>
      <c r="AZ615" s="9" t="s">
        <v>67</v>
      </c>
      <c r="BA615" s="9" t="s">
        <v>67</v>
      </c>
      <c r="BB615" s="12">
        <v>4</v>
      </c>
      <c r="BC615" s="9" t="s">
        <v>74</v>
      </c>
      <c r="BD615" s="9" t="s">
        <v>104</v>
      </c>
      <c r="BE615" s="9" t="s">
        <v>75</v>
      </c>
      <c r="BF615" s="11">
        <v>0</v>
      </c>
      <c r="BG615">
        <f t="shared" si="20"/>
        <v>12</v>
      </c>
      <c r="BH615" t="str">
        <f>VLOOKUP(BG615,[1]month!$A:$B,2,0)</f>
        <v>Desember</v>
      </c>
      <c r="BI615">
        <f t="shared" si="21"/>
        <v>2025</v>
      </c>
      <c r="BJ615" t="str">
        <f>VLOOKUP(I615,[1]Dist!$A:$B,2,0)</f>
        <v>Industry</v>
      </c>
      <c r="BK615" t="str">
        <f>IF(I615=11,VLOOKUP(Y615,[2]Sheet1!$C:$N,10,0),IF(I615=13,VLOOKUP(Y615,[3]Sheet1!$C:$N,10,0),IF(I615=15,VLOOKUP(Y615,[4]Sheet1!$C:$N,10,0),"Unknown")))</f>
        <v>STAIN &amp; GLAZE INTERIOR</v>
      </c>
      <c r="BL615" t="str">
        <f>IF(I615=11,VLOOKUP(Y615,[2]Sheet1!$C:$N,12,0),IF(I615=13,VLOOKUP(Y615,[3]Sheet1!$C:$N,12,0),IF(I615=15,VLOOKUP(Y615,[4]Sheet1!$C:$N,12,0),"Unknown")))</f>
        <v>STAIN INTERIOR</v>
      </c>
      <c r="BM615" t="str">
        <f>VLOOKUP(W615,[1]branch!$A:$B,2,0)</f>
        <v>INDUSTRY</v>
      </c>
    </row>
    <row r="616" spans="1:65" x14ac:dyDescent="0.35">
      <c r="A616" s="10">
        <v>45999</v>
      </c>
      <c r="B616" s="9" t="s">
        <v>1621</v>
      </c>
      <c r="C616" s="9" t="s">
        <v>64</v>
      </c>
      <c r="D616" s="9" t="s">
        <v>92</v>
      </c>
      <c r="E616" s="11">
        <v>60</v>
      </c>
      <c r="F616" s="9" t="s">
        <v>93</v>
      </c>
      <c r="G616" s="9" t="s">
        <v>65</v>
      </c>
      <c r="H616" s="9" t="s">
        <v>66</v>
      </c>
      <c r="I616" s="9">
        <v>11</v>
      </c>
      <c r="J616" s="9" t="s">
        <v>132</v>
      </c>
      <c r="K616" s="9" t="s">
        <v>132</v>
      </c>
      <c r="L616" s="9" t="s">
        <v>132</v>
      </c>
      <c r="M616" s="9" t="s">
        <v>133</v>
      </c>
      <c r="N616" s="9" t="s">
        <v>586</v>
      </c>
      <c r="O616" s="9" t="s">
        <v>97</v>
      </c>
      <c r="P616" s="9" t="s">
        <v>67</v>
      </c>
      <c r="Q616" s="9" t="s">
        <v>98</v>
      </c>
      <c r="R616" s="9" t="s">
        <v>672</v>
      </c>
      <c r="S616" s="9" t="s">
        <v>133</v>
      </c>
      <c r="T616" s="9" t="s">
        <v>823</v>
      </c>
      <c r="U616" s="9" t="s">
        <v>67</v>
      </c>
      <c r="V616" s="9" t="s">
        <v>130</v>
      </c>
      <c r="W616" s="9" t="s">
        <v>131</v>
      </c>
      <c r="X616" s="11">
        <v>80</v>
      </c>
      <c r="Y616" s="9" t="s">
        <v>1628</v>
      </c>
      <c r="Z616" s="9" t="s">
        <v>68</v>
      </c>
      <c r="AA616" s="9" t="s">
        <v>1629</v>
      </c>
      <c r="AB616" s="9" t="s">
        <v>67</v>
      </c>
      <c r="AC616" s="9" t="s">
        <v>82</v>
      </c>
      <c r="AD616" s="11">
        <v>1</v>
      </c>
      <c r="AE616" s="9" t="s">
        <v>70</v>
      </c>
      <c r="AF616" s="9" t="s">
        <v>71</v>
      </c>
      <c r="AG616" s="13">
        <v>1</v>
      </c>
      <c r="AH616" s="9" t="s">
        <v>92</v>
      </c>
      <c r="AI616" s="13">
        <v>1377200</v>
      </c>
      <c r="AJ616" s="13">
        <v>1377200</v>
      </c>
      <c r="AK616" s="11">
        <v>0</v>
      </c>
      <c r="AL616" s="11">
        <v>0</v>
      </c>
      <c r="AM616" s="11">
        <v>0</v>
      </c>
      <c r="AN616" s="9" t="s">
        <v>67</v>
      </c>
      <c r="AO616" s="11">
        <v>1377200</v>
      </c>
      <c r="AP616" s="13">
        <v>110176</v>
      </c>
      <c r="AQ616" s="13">
        <v>1487376</v>
      </c>
      <c r="AR616" s="11">
        <v>4</v>
      </c>
      <c r="AS616" s="9" t="s">
        <v>72</v>
      </c>
      <c r="AT616" s="12">
        <v>4.71</v>
      </c>
      <c r="AU616" s="9" t="s">
        <v>73</v>
      </c>
      <c r="AV616" s="9" t="s">
        <v>67</v>
      </c>
      <c r="AW616" s="9" t="s">
        <v>1624</v>
      </c>
      <c r="AX616" s="10">
        <v>45995</v>
      </c>
      <c r="AY616" s="9" t="s">
        <v>1625</v>
      </c>
      <c r="AZ616" s="9" t="s">
        <v>67</v>
      </c>
      <c r="BA616" s="9" t="s">
        <v>67</v>
      </c>
      <c r="BB616" s="12">
        <v>4</v>
      </c>
      <c r="BC616" s="9" t="s">
        <v>74</v>
      </c>
      <c r="BD616" s="9" t="s">
        <v>104</v>
      </c>
      <c r="BE616" s="9" t="s">
        <v>75</v>
      </c>
      <c r="BF616" s="11">
        <v>0</v>
      </c>
      <c r="BG616">
        <f t="shared" si="20"/>
        <v>12</v>
      </c>
      <c r="BH616" t="str">
        <f>VLOOKUP(BG616,[1]month!$A:$B,2,0)</f>
        <v>Desember</v>
      </c>
      <c r="BI616">
        <f t="shared" si="21"/>
        <v>2025</v>
      </c>
      <c r="BJ616" t="str">
        <f>VLOOKUP(I616,[1]Dist!$A:$B,2,0)</f>
        <v>Industry</v>
      </c>
      <c r="BK616" t="str">
        <f>IF(I616=11,VLOOKUP(Y616,[2]Sheet1!$C:$N,10,0),IF(I616=13,VLOOKUP(Y616,[3]Sheet1!$C:$N,10,0),IF(I616=15,VLOOKUP(Y616,[4]Sheet1!$C:$N,10,0),"Unknown")))</f>
        <v>STAIN &amp; GLAZE INTERIOR</v>
      </c>
      <c r="BL616" t="str">
        <f>IF(I616=11,VLOOKUP(Y616,[2]Sheet1!$C:$N,12,0),IF(I616=13,VLOOKUP(Y616,[3]Sheet1!$C:$N,12,0),IF(I616=15,VLOOKUP(Y616,[4]Sheet1!$C:$N,12,0),"Unknown")))</f>
        <v>STAIN INTERIOR</v>
      </c>
      <c r="BM616" t="str">
        <f>VLOOKUP(W616,[1]branch!$A:$B,2,0)</f>
        <v>INDUSTRY</v>
      </c>
    </row>
    <row r="617" spans="1:65" x14ac:dyDescent="0.35">
      <c r="A617" s="10">
        <v>45999</v>
      </c>
      <c r="B617" s="9" t="s">
        <v>1621</v>
      </c>
      <c r="C617" s="9" t="s">
        <v>64</v>
      </c>
      <c r="D617" s="9" t="s">
        <v>92</v>
      </c>
      <c r="E617" s="11">
        <v>60</v>
      </c>
      <c r="F617" s="9" t="s">
        <v>93</v>
      </c>
      <c r="G617" s="9" t="s">
        <v>65</v>
      </c>
      <c r="H617" s="9" t="s">
        <v>66</v>
      </c>
      <c r="I617" s="9">
        <v>11</v>
      </c>
      <c r="J617" s="9" t="s">
        <v>132</v>
      </c>
      <c r="K617" s="9" t="s">
        <v>132</v>
      </c>
      <c r="L617" s="9" t="s">
        <v>132</v>
      </c>
      <c r="M617" s="9" t="s">
        <v>133</v>
      </c>
      <c r="N617" s="9" t="s">
        <v>586</v>
      </c>
      <c r="O617" s="9" t="s">
        <v>97</v>
      </c>
      <c r="P617" s="9" t="s">
        <v>67</v>
      </c>
      <c r="Q617" s="9" t="s">
        <v>98</v>
      </c>
      <c r="R617" s="9" t="s">
        <v>672</v>
      </c>
      <c r="S617" s="9" t="s">
        <v>133</v>
      </c>
      <c r="T617" s="9" t="s">
        <v>823</v>
      </c>
      <c r="U617" s="9" t="s">
        <v>67</v>
      </c>
      <c r="V617" s="9" t="s">
        <v>130</v>
      </c>
      <c r="W617" s="9" t="s">
        <v>131</v>
      </c>
      <c r="X617" s="11">
        <v>90</v>
      </c>
      <c r="Y617" s="9" t="s">
        <v>514</v>
      </c>
      <c r="Z617" s="9" t="s">
        <v>68</v>
      </c>
      <c r="AA617" s="9" t="s">
        <v>654</v>
      </c>
      <c r="AB617" s="9" t="s">
        <v>67</v>
      </c>
      <c r="AC617" s="9" t="s">
        <v>139</v>
      </c>
      <c r="AD617" s="11">
        <v>1</v>
      </c>
      <c r="AE617" s="9" t="s">
        <v>70</v>
      </c>
      <c r="AF617" s="9" t="s">
        <v>71</v>
      </c>
      <c r="AG617" s="13">
        <v>1</v>
      </c>
      <c r="AH617" s="9" t="s">
        <v>92</v>
      </c>
      <c r="AI617" s="13">
        <v>5856000</v>
      </c>
      <c r="AJ617" s="13">
        <v>5856000</v>
      </c>
      <c r="AK617" s="11">
        <v>0</v>
      </c>
      <c r="AL617" s="11">
        <v>0</v>
      </c>
      <c r="AM617" s="11">
        <v>0</v>
      </c>
      <c r="AN617" s="9" t="s">
        <v>67</v>
      </c>
      <c r="AO617" s="11">
        <v>5856000</v>
      </c>
      <c r="AP617" s="13">
        <v>468480</v>
      </c>
      <c r="AQ617" s="13">
        <v>6324480</v>
      </c>
      <c r="AR617" s="11">
        <v>160</v>
      </c>
      <c r="AS617" s="9" t="s">
        <v>72</v>
      </c>
      <c r="AT617" s="11">
        <v>200</v>
      </c>
      <c r="AU617" s="9" t="s">
        <v>73</v>
      </c>
      <c r="AV617" s="9" t="s">
        <v>67</v>
      </c>
      <c r="AW617" s="9" t="s">
        <v>1624</v>
      </c>
      <c r="AX617" s="10">
        <v>45995</v>
      </c>
      <c r="AY617" s="9" t="s">
        <v>1625</v>
      </c>
      <c r="AZ617" s="9" t="s">
        <v>67</v>
      </c>
      <c r="BA617" s="9" t="s">
        <v>67</v>
      </c>
      <c r="BB617" s="12">
        <v>160</v>
      </c>
      <c r="BC617" s="9" t="s">
        <v>74</v>
      </c>
      <c r="BD617" s="9" t="s">
        <v>104</v>
      </c>
      <c r="BE617" s="9" t="s">
        <v>75</v>
      </c>
      <c r="BF617" s="11">
        <v>0</v>
      </c>
      <c r="BG617">
        <f t="shared" si="20"/>
        <v>12</v>
      </c>
      <c r="BH617" t="str">
        <f>VLOOKUP(BG617,[1]month!$A:$B,2,0)</f>
        <v>Desember</v>
      </c>
      <c r="BI617">
        <f t="shared" si="21"/>
        <v>2025</v>
      </c>
      <c r="BJ617" t="str">
        <f>VLOOKUP(I617,[1]Dist!$A:$B,2,0)</f>
        <v>Industry</v>
      </c>
      <c r="BK617" t="str">
        <f>IF(I617=11,VLOOKUP(Y617,[2]Sheet1!$C:$N,10,0),IF(I617=13,VLOOKUP(Y617,[3]Sheet1!$C:$N,10,0),IF(I617=15,VLOOKUP(Y617,[4]Sheet1!$C:$N,10,0),"Unknown")))</f>
        <v>THINNER NC</v>
      </c>
      <c r="BL617" t="str">
        <f>IF(I617=11,VLOOKUP(Y617,[2]Sheet1!$C:$N,12,0),IF(I617=13,VLOOKUP(Y617,[3]Sheet1!$C:$N,12,0),IF(I617=15,VLOOKUP(Y617,[4]Sheet1!$C:$N,12,0),"Unknown")))</f>
        <v>THINNER COMPLEMENTARY</v>
      </c>
      <c r="BM617" t="str">
        <f>VLOOKUP(W617,[1]branch!$A:$B,2,0)</f>
        <v>INDUSTRY</v>
      </c>
    </row>
    <row r="618" spans="1:65" x14ac:dyDescent="0.35">
      <c r="A618" s="10">
        <v>45999</v>
      </c>
      <c r="B618" s="9" t="s">
        <v>1621</v>
      </c>
      <c r="C618" s="9" t="s">
        <v>64</v>
      </c>
      <c r="D618" s="9" t="s">
        <v>92</v>
      </c>
      <c r="E618" s="11">
        <v>60</v>
      </c>
      <c r="F618" s="9" t="s">
        <v>93</v>
      </c>
      <c r="G618" s="9" t="s">
        <v>65</v>
      </c>
      <c r="H618" s="9" t="s">
        <v>66</v>
      </c>
      <c r="I618" s="9">
        <v>11</v>
      </c>
      <c r="J618" s="9" t="s">
        <v>132</v>
      </c>
      <c r="K618" s="9" t="s">
        <v>132</v>
      </c>
      <c r="L618" s="9" t="s">
        <v>132</v>
      </c>
      <c r="M618" s="9" t="s">
        <v>133</v>
      </c>
      <c r="N618" s="9" t="s">
        <v>586</v>
      </c>
      <c r="O618" s="9" t="s">
        <v>97</v>
      </c>
      <c r="P618" s="9" t="s">
        <v>67</v>
      </c>
      <c r="Q618" s="9" t="s">
        <v>98</v>
      </c>
      <c r="R618" s="9" t="s">
        <v>672</v>
      </c>
      <c r="S618" s="9" t="s">
        <v>133</v>
      </c>
      <c r="T618" s="9" t="s">
        <v>823</v>
      </c>
      <c r="U618" s="9" t="s">
        <v>67</v>
      </c>
      <c r="V618" s="9" t="s">
        <v>130</v>
      </c>
      <c r="W618" s="9" t="s">
        <v>131</v>
      </c>
      <c r="X618" s="11">
        <v>100</v>
      </c>
      <c r="Y618" s="9" t="s">
        <v>141</v>
      </c>
      <c r="Z618" s="9" t="s">
        <v>68</v>
      </c>
      <c r="AA618" s="9" t="s">
        <v>626</v>
      </c>
      <c r="AB618" s="9" t="s">
        <v>67</v>
      </c>
      <c r="AC618" s="9" t="s">
        <v>69</v>
      </c>
      <c r="AD618" s="11">
        <v>2</v>
      </c>
      <c r="AE618" s="9" t="s">
        <v>70</v>
      </c>
      <c r="AF618" s="9" t="s">
        <v>71</v>
      </c>
      <c r="AG618" s="13">
        <v>1</v>
      </c>
      <c r="AH618" s="9" t="s">
        <v>92</v>
      </c>
      <c r="AI618" s="13">
        <v>6448000</v>
      </c>
      <c r="AJ618" s="13">
        <v>12896000</v>
      </c>
      <c r="AK618" s="11">
        <v>0</v>
      </c>
      <c r="AL618" s="11">
        <v>0</v>
      </c>
      <c r="AM618" s="11">
        <v>0</v>
      </c>
      <c r="AN618" s="9" t="s">
        <v>67</v>
      </c>
      <c r="AO618" s="11">
        <v>12896000</v>
      </c>
      <c r="AP618" s="13">
        <v>1031680</v>
      </c>
      <c r="AQ618" s="13">
        <v>13927680</v>
      </c>
      <c r="AR618" s="11">
        <v>320</v>
      </c>
      <c r="AS618" s="9" t="s">
        <v>72</v>
      </c>
      <c r="AT618" s="12">
        <v>359.56</v>
      </c>
      <c r="AU618" s="9" t="s">
        <v>73</v>
      </c>
      <c r="AV618" s="9" t="s">
        <v>67</v>
      </c>
      <c r="AW618" s="9" t="s">
        <v>1624</v>
      </c>
      <c r="AX618" s="10">
        <v>45995</v>
      </c>
      <c r="AY618" s="9" t="s">
        <v>1625</v>
      </c>
      <c r="AZ618" s="9" t="s">
        <v>67</v>
      </c>
      <c r="BA618" s="9" t="s">
        <v>67</v>
      </c>
      <c r="BB618" s="12">
        <v>320</v>
      </c>
      <c r="BC618" s="9" t="s">
        <v>74</v>
      </c>
      <c r="BD618" s="9" t="s">
        <v>104</v>
      </c>
      <c r="BE618" s="9" t="s">
        <v>75</v>
      </c>
      <c r="BF618" s="11">
        <v>0</v>
      </c>
      <c r="BG618">
        <f t="shared" si="20"/>
        <v>12</v>
      </c>
      <c r="BH618" t="str">
        <f>VLOOKUP(BG618,[1]month!$A:$B,2,0)</f>
        <v>Desember</v>
      </c>
      <c r="BI618">
        <f t="shared" si="21"/>
        <v>2025</v>
      </c>
      <c r="BJ618" t="str">
        <f>VLOOKUP(I618,[1]Dist!$A:$B,2,0)</f>
        <v>Industry</v>
      </c>
      <c r="BK618" t="str">
        <f>IF(I618=11,VLOOKUP(Y618,[2]Sheet1!$C:$N,10,0),IF(I618=13,VLOOKUP(Y618,[3]Sheet1!$C:$N,10,0),IF(I618=15,VLOOKUP(Y618,[4]Sheet1!$C:$N,10,0),"Unknown")))</f>
        <v>THINNER NC</v>
      </c>
      <c r="BL618" t="str">
        <f>IF(I618=11,VLOOKUP(Y618,[2]Sheet1!$C:$N,12,0),IF(I618=13,VLOOKUP(Y618,[3]Sheet1!$C:$N,12,0),IF(I618=15,VLOOKUP(Y618,[4]Sheet1!$C:$N,12,0),"Unknown")))</f>
        <v>THINNER NC</v>
      </c>
      <c r="BM618" t="str">
        <f>VLOOKUP(W618,[1]branch!$A:$B,2,0)</f>
        <v>INDUSTRY</v>
      </c>
    </row>
    <row r="619" spans="1:65" x14ac:dyDescent="0.35">
      <c r="A619" s="10">
        <v>45999</v>
      </c>
      <c r="B619" s="9" t="s">
        <v>1621</v>
      </c>
      <c r="C619" s="9" t="s">
        <v>64</v>
      </c>
      <c r="D619" s="9" t="s">
        <v>92</v>
      </c>
      <c r="E619" s="11">
        <v>60</v>
      </c>
      <c r="F619" s="9" t="s">
        <v>93</v>
      </c>
      <c r="G619" s="9" t="s">
        <v>65</v>
      </c>
      <c r="H619" s="9" t="s">
        <v>66</v>
      </c>
      <c r="I619" s="9">
        <v>11</v>
      </c>
      <c r="J619" s="9" t="s">
        <v>132</v>
      </c>
      <c r="K619" s="9" t="s">
        <v>132</v>
      </c>
      <c r="L619" s="9" t="s">
        <v>132</v>
      </c>
      <c r="M619" s="9" t="s">
        <v>133</v>
      </c>
      <c r="N619" s="9" t="s">
        <v>586</v>
      </c>
      <c r="O619" s="9" t="s">
        <v>97</v>
      </c>
      <c r="P619" s="9" t="s">
        <v>67</v>
      </c>
      <c r="Q619" s="9" t="s">
        <v>98</v>
      </c>
      <c r="R619" s="9" t="s">
        <v>672</v>
      </c>
      <c r="S619" s="9" t="s">
        <v>133</v>
      </c>
      <c r="T619" s="9" t="s">
        <v>823</v>
      </c>
      <c r="U619" s="9" t="s">
        <v>67</v>
      </c>
      <c r="V619" s="9" t="s">
        <v>130</v>
      </c>
      <c r="W619" s="9" t="s">
        <v>131</v>
      </c>
      <c r="X619" s="11">
        <v>110</v>
      </c>
      <c r="Y619" s="9" t="s">
        <v>1630</v>
      </c>
      <c r="Z619" s="9" t="s">
        <v>68</v>
      </c>
      <c r="AA619" s="9" t="s">
        <v>1631</v>
      </c>
      <c r="AB619" s="9" t="s">
        <v>67</v>
      </c>
      <c r="AC619" s="9" t="s">
        <v>1632</v>
      </c>
      <c r="AD619" s="11">
        <v>1</v>
      </c>
      <c r="AE619" s="9" t="s">
        <v>70</v>
      </c>
      <c r="AF619" s="9" t="s">
        <v>71</v>
      </c>
      <c r="AG619" s="13">
        <v>1</v>
      </c>
      <c r="AH619" s="9" t="s">
        <v>92</v>
      </c>
      <c r="AI619" s="13">
        <v>2152000</v>
      </c>
      <c r="AJ619" s="13">
        <v>2152000</v>
      </c>
      <c r="AK619" s="11">
        <v>0</v>
      </c>
      <c r="AL619" s="11">
        <v>0</v>
      </c>
      <c r="AM619" s="11">
        <v>0</v>
      </c>
      <c r="AN619" s="9" t="s">
        <v>67</v>
      </c>
      <c r="AO619" s="11">
        <v>2152000</v>
      </c>
      <c r="AP619" s="13">
        <v>172160</v>
      </c>
      <c r="AQ619" s="13">
        <v>2324160</v>
      </c>
      <c r="AR619" s="11">
        <v>20</v>
      </c>
      <c r="AS619" s="9" t="s">
        <v>72</v>
      </c>
      <c r="AT619" s="12">
        <v>16.13</v>
      </c>
      <c r="AU619" s="9" t="s">
        <v>73</v>
      </c>
      <c r="AV619" s="9" t="s">
        <v>67</v>
      </c>
      <c r="AW619" s="9" t="s">
        <v>1624</v>
      </c>
      <c r="AX619" s="10">
        <v>45995</v>
      </c>
      <c r="AY619" s="9" t="s">
        <v>1625</v>
      </c>
      <c r="AZ619" s="9" t="s">
        <v>67</v>
      </c>
      <c r="BA619" s="9" t="s">
        <v>67</v>
      </c>
      <c r="BB619" s="12">
        <v>20</v>
      </c>
      <c r="BC619" s="9" t="s">
        <v>74</v>
      </c>
      <c r="BD619" s="9" t="s">
        <v>104</v>
      </c>
      <c r="BE619" s="9" t="s">
        <v>75</v>
      </c>
      <c r="BF619" s="11">
        <v>0</v>
      </c>
      <c r="BG619">
        <f t="shared" si="20"/>
        <v>12</v>
      </c>
      <c r="BH619" t="str">
        <f>VLOOKUP(BG619,[1]month!$A:$B,2,0)</f>
        <v>Desember</v>
      </c>
      <c r="BI619">
        <f t="shared" si="21"/>
        <v>2025</v>
      </c>
      <c r="BJ619" t="str">
        <f>VLOOKUP(I619,[1]Dist!$A:$B,2,0)</f>
        <v>Industry</v>
      </c>
      <c r="BK619" t="str">
        <f>IF(I619=11,VLOOKUP(Y619,[2]Sheet1!$C:$N,10,0),IF(I619=13,VLOOKUP(Y619,[3]Sheet1!$C:$N,10,0),IF(I619=15,VLOOKUP(Y619,[4]Sheet1!$C:$N,10,0),"Unknown")))</f>
        <v>PU</v>
      </c>
      <c r="BL619" t="str">
        <f>IF(I619=11,VLOOKUP(Y619,[2]Sheet1!$C:$N,12,0),IF(I619=13,VLOOKUP(Y619,[3]Sheet1!$C:$N,12,0),IF(I619=15,VLOOKUP(Y619,[4]Sheet1!$C:$N,12,0),"Unknown")))</f>
        <v>PU PRIMER</v>
      </c>
      <c r="BM619" t="str">
        <f>VLOOKUP(W619,[1]branch!$A:$B,2,0)</f>
        <v>INDUSTRY</v>
      </c>
    </row>
    <row r="620" spans="1:65" x14ac:dyDescent="0.35">
      <c r="A620" s="10">
        <v>45999</v>
      </c>
      <c r="B620" s="9" t="s">
        <v>1621</v>
      </c>
      <c r="C620" s="9" t="s">
        <v>64</v>
      </c>
      <c r="D620" s="9" t="s">
        <v>92</v>
      </c>
      <c r="E620" s="11">
        <v>60</v>
      </c>
      <c r="F620" s="9" t="s">
        <v>93</v>
      </c>
      <c r="G620" s="9" t="s">
        <v>65</v>
      </c>
      <c r="H620" s="9" t="s">
        <v>66</v>
      </c>
      <c r="I620" s="9">
        <v>11</v>
      </c>
      <c r="J620" s="9" t="s">
        <v>132</v>
      </c>
      <c r="K620" s="9" t="s">
        <v>132</v>
      </c>
      <c r="L620" s="9" t="s">
        <v>132</v>
      </c>
      <c r="M620" s="9" t="s">
        <v>133</v>
      </c>
      <c r="N620" s="9" t="s">
        <v>586</v>
      </c>
      <c r="O620" s="9" t="s">
        <v>97</v>
      </c>
      <c r="P620" s="9" t="s">
        <v>67</v>
      </c>
      <c r="Q620" s="9" t="s">
        <v>98</v>
      </c>
      <c r="R620" s="9" t="s">
        <v>672</v>
      </c>
      <c r="S620" s="9" t="s">
        <v>133</v>
      </c>
      <c r="T620" s="9" t="s">
        <v>823</v>
      </c>
      <c r="U620" s="9" t="s">
        <v>67</v>
      </c>
      <c r="V620" s="9" t="s">
        <v>130</v>
      </c>
      <c r="W620" s="9" t="s">
        <v>131</v>
      </c>
      <c r="X620" s="11">
        <v>120</v>
      </c>
      <c r="Y620" s="9" t="s">
        <v>782</v>
      </c>
      <c r="Z620" s="9" t="s">
        <v>68</v>
      </c>
      <c r="AA620" s="9" t="s">
        <v>783</v>
      </c>
      <c r="AB620" s="9" t="s">
        <v>67</v>
      </c>
      <c r="AC620" s="9" t="s">
        <v>135</v>
      </c>
      <c r="AD620" s="11">
        <v>1</v>
      </c>
      <c r="AE620" s="9" t="s">
        <v>70</v>
      </c>
      <c r="AF620" s="9" t="s">
        <v>71</v>
      </c>
      <c r="AG620" s="13">
        <v>1</v>
      </c>
      <c r="AH620" s="9" t="s">
        <v>92</v>
      </c>
      <c r="AI620" s="13">
        <v>2062000</v>
      </c>
      <c r="AJ620" s="13">
        <v>2062000</v>
      </c>
      <c r="AK620" s="11">
        <v>0</v>
      </c>
      <c r="AL620" s="11">
        <v>0</v>
      </c>
      <c r="AM620" s="11">
        <v>0</v>
      </c>
      <c r="AN620" s="9" t="s">
        <v>67</v>
      </c>
      <c r="AO620" s="11">
        <v>2062000</v>
      </c>
      <c r="AP620" s="13">
        <v>164960</v>
      </c>
      <c r="AQ620" s="13">
        <v>2226960</v>
      </c>
      <c r="AR620" s="11">
        <v>20</v>
      </c>
      <c r="AS620" s="9" t="s">
        <v>72</v>
      </c>
      <c r="AT620" s="12">
        <v>17.544</v>
      </c>
      <c r="AU620" s="9" t="s">
        <v>73</v>
      </c>
      <c r="AV620" s="9" t="s">
        <v>67</v>
      </c>
      <c r="AW620" s="9" t="s">
        <v>1624</v>
      </c>
      <c r="AX620" s="10">
        <v>45995</v>
      </c>
      <c r="AY620" s="9" t="s">
        <v>1625</v>
      </c>
      <c r="AZ620" s="9" t="s">
        <v>67</v>
      </c>
      <c r="BA620" s="9" t="s">
        <v>67</v>
      </c>
      <c r="BB620" s="12">
        <v>20</v>
      </c>
      <c r="BC620" s="9" t="s">
        <v>74</v>
      </c>
      <c r="BD620" s="9" t="s">
        <v>104</v>
      </c>
      <c r="BE620" s="9" t="s">
        <v>75</v>
      </c>
      <c r="BF620" s="11">
        <v>0</v>
      </c>
      <c r="BG620">
        <f t="shared" si="20"/>
        <v>12</v>
      </c>
      <c r="BH620" t="str">
        <f>VLOOKUP(BG620,[1]month!$A:$B,2,0)</f>
        <v>Desember</v>
      </c>
      <c r="BI620">
        <f t="shared" si="21"/>
        <v>2025</v>
      </c>
      <c r="BJ620" t="str">
        <f>VLOOKUP(I620,[1]Dist!$A:$B,2,0)</f>
        <v>Industry</v>
      </c>
      <c r="BK620" t="str">
        <f>IF(I620=11,VLOOKUP(Y620,[2]Sheet1!$C:$N,10,0),IF(I620=13,VLOOKUP(Y620,[3]Sheet1!$C:$N,10,0),IF(I620=15,VLOOKUP(Y620,[4]Sheet1!$C:$N,10,0),"Unknown")))</f>
        <v>NC</v>
      </c>
      <c r="BL620" t="str">
        <f>IF(I620=11,VLOOKUP(Y620,[2]Sheet1!$C:$N,12,0),IF(I620=13,VLOOKUP(Y620,[3]Sheet1!$C:$N,12,0),IF(I620=15,VLOOKUP(Y620,[4]Sheet1!$C:$N,12,0),"Unknown")))</f>
        <v>ASOF : NC BASE COAT</v>
      </c>
      <c r="BM620" t="str">
        <f>VLOOKUP(W620,[1]branch!$A:$B,2,0)</f>
        <v>INDUSTRY</v>
      </c>
    </row>
    <row r="621" spans="1:65" x14ac:dyDescent="0.35">
      <c r="A621" s="10">
        <v>45999</v>
      </c>
      <c r="B621" s="9" t="s">
        <v>1633</v>
      </c>
      <c r="C621" s="9" t="s">
        <v>64</v>
      </c>
      <c r="D621" s="9" t="s">
        <v>92</v>
      </c>
      <c r="E621" s="11">
        <v>60</v>
      </c>
      <c r="F621" s="9" t="s">
        <v>93</v>
      </c>
      <c r="G621" s="9" t="s">
        <v>65</v>
      </c>
      <c r="H621" s="9" t="s">
        <v>66</v>
      </c>
      <c r="I621" s="9">
        <v>13</v>
      </c>
      <c r="J621" s="9" t="s">
        <v>261</v>
      </c>
      <c r="K621" s="9" t="s">
        <v>261</v>
      </c>
      <c r="L621" s="9" t="s">
        <v>261</v>
      </c>
      <c r="M621" s="9" t="s">
        <v>262</v>
      </c>
      <c r="N621" s="9" t="s">
        <v>878</v>
      </c>
      <c r="O621" s="9" t="s">
        <v>150</v>
      </c>
      <c r="P621" s="9" t="s">
        <v>67</v>
      </c>
      <c r="Q621" s="9" t="s">
        <v>98</v>
      </c>
      <c r="R621" s="9" t="s">
        <v>261</v>
      </c>
      <c r="S621" s="9" t="s">
        <v>262</v>
      </c>
      <c r="T621" s="9" t="s">
        <v>802</v>
      </c>
      <c r="U621" s="9" t="s">
        <v>67</v>
      </c>
      <c r="V621" s="9" t="s">
        <v>311</v>
      </c>
      <c r="W621" s="9" t="s">
        <v>312</v>
      </c>
      <c r="X621" s="11">
        <v>10</v>
      </c>
      <c r="Y621" s="9" t="s">
        <v>303</v>
      </c>
      <c r="Z621" s="9" t="s">
        <v>68</v>
      </c>
      <c r="AA621" s="9" t="s">
        <v>304</v>
      </c>
      <c r="AB621" s="9" t="s">
        <v>67</v>
      </c>
      <c r="AC621" s="9" t="s">
        <v>305</v>
      </c>
      <c r="AD621" s="11">
        <v>2</v>
      </c>
      <c r="AE621" s="9" t="s">
        <v>70</v>
      </c>
      <c r="AF621" s="9" t="s">
        <v>71</v>
      </c>
      <c r="AG621" s="13">
        <v>1</v>
      </c>
      <c r="AH621" s="9" t="s">
        <v>92</v>
      </c>
      <c r="AI621" s="13">
        <v>1250000</v>
      </c>
      <c r="AJ621" s="13">
        <v>2500000</v>
      </c>
      <c r="AK621" s="11">
        <v>481250</v>
      </c>
      <c r="AL621" s="11">
        <v>0</v>
      </c>
      <c r="AM621" s="11">
        <v>0</v>
      </c>
      <c r="AN621" s="9" t="s">
        <v>314</v>
      </c>
      <c r="AO621" s="11">
        <v>2018750</v>
      </c>
      <c r="AP621" s="13">
        <v>161500</v>
      </c>
      <c r="AQ621" s="13">
        <v>2180250</v>
      </c>
      <c r="AR621" s="12">
        <v>47.2</v>
      </c>
      <c r="AS621" s="9" t="s">
        <v>72</v>
      </c>
      <c r="AT621" s="11">
        <v>36</v>
      </c>
      <c r="AU621" s="9" t="s">
        <v>73</v>
      </c>
      <c r="AV621" s="9" t="s">
        <v>67</v>
      </c>
      <c r="AW621" s="9" t="s">
        <v>1190</v>
      </c>
      <c r="AX621" s="10">
        <v>45993</v>
      </c>
      <c r="AY621" s="9" t="s">
        <v>1634</v>
      </c>
      <c r="AZ621" s="9" t="s">
        <v>67</v>
      </c>
      <c r="BA621" s="9" t="s">
        <v>67</v>
      </c>
      <c r="BB621" s="12">
        <v>36</v>
      </c>
      <c r="BC621" s="9" t="s">
        <v>74</v>
      </c>
      <c r="BD621" s="9" t="s">
        <v>104</v>
      </c>
      <c r="BE621" s="9" t="s">
        <v>75</v>
      </c>
      <c r="BF621" s="11">
        <v>0</v>
      </c>
      <c r="BG621">
        <f t="shared" si="20"/>
        <v>12</v>
      </c>
      <c r="BH621" t="str">
        <f>VLOOKUP(BG621,[1]month!$A:$B,2,0)</f>
        <v>Desember</v>
      </c>
      <c r="BI621">
        <f t="shared" si="21"/>
        <v>2025</v>
      </c>
      <c r="BJ621" t="str">
        <f>VLOOKUP(I621,[1]Dist!$A:$B,2,0)</f>
        <v>Retail</v>
      </c>
      <c r="BK621" t="str">
        <f>IF(I621=11,VLOOKUP(Y621,[2]Sheet1!$C:$N,10,0),IF(I621=13,VLOOKUP(Y621,[3]Sheet1!$C:$N,10,0),IF(I621=15,VLOOKUP(Y621,[4]Sheet1!$C:$N,10,0),"Unknown")))</f>
        <v>DECOR</v>
      </c>
      <c r="BL621" t="str">
        <f>IF(I621=11,VLOOKUP(Y621,[2]Sheet1!$C:$N,12,0),IF(I621=13,VLOOKUP(Y621,[3]Sheet1!$C:$N,12,0),IF(I621=15,VLOOKUP(Y621,[4]Sheet1!$C:$N,12,0),"Unknown")))</f>
        <v>DECORCRYL BASE</v>
      </c>
      <c r="BM621" t="str">
        <f>VLOOKUP(W621,[1]branch!$A:$B,2,0)</f>
        <v>DANANG</v>
      </c>
    </row>
    <row r="622" spans="1:65" x14ac:dyDescent="0.35">
      <c r="A622" s="10">
        <v>45999</v>
      </c>
      <c r="B622" s="9" t="s">
        <v>1635</v>
      </c>
      <c r="C622" s="9" t="s">
        <v>64</v>
      </c>
      <c r="D622" s="9" t="s">
        <v>92</v>
      </c>
      <c r="E622" s="11">
        <v>60</v>
      </c>
      <c r="F622" s="9" t="s">
        <v>93</v>
      </c>
      <c r="G622" s="9" t="s">
        <v>65</v>
      </c>
      <c r="H622" s="9" t="s">
        <v>66</v>
      </c>
      <c r="I622" s="9">
        <v>13</v>
      </c>
      <c r="J622" s="9" t="s">
        <v>309</v>
      </c>
      <c r="K622" s="9" t="s">
        <v>309</v>
      </c>
      <c r="L622" s="9" t="s">
        <v>309</v>
      </c>
      <c r="M622" s="9" t="s">
        <v>310</v>
      </c>
      <c r="N622" s="9" t="s">
        <v>869</v>
      </c>
      <c r="O622" s="9" t="s">
        <v>150</v>
      </c>
      <c r="P622" s="9" t="s">
        <v>67</v>
      </c>
      <c r="Q622" s="9" t="s">
        <v>98</v>
      </c>
      <c r="R622" s="9" t="s">
        <v>309</v>
      </c>
      <c r="S622" s="9" t="s">
        <v>310</v>
      </c>
      <c r="T622" s="9" t="s">
        <v>798</v>
      </c>
      <c r="U622" s="9" t="s">
        <v>67</v>
      </c>
      <c r="V622" s="9" t="s">
        <v>311</v>
      </c>
      <c r="W622" s="9" t="s">
        <v>312</v>
      </c>
      <c r="X622" s="11">
        <v>10</v>
      </c>
      <c r="Y622" s="9" t="s">
        <v>1636</v>
      </c>
      <c r="Z622" s="9" t="s">
        <v>68</v>
      </c>
      <c r="AA622" s="9" t="s">
        <v>1637</v>
      </c>
      <c r="AB622" s="9" t="s">
        <v>67</v>
      </c>
      <c r="AC622" s="9" t="s">
        <v>346</v>
      </c>
      <c r="AD622" s="11">
        <v>20</v>
      </c>
      <c r="AE622" s="9" t="s">
        <v>70</v>
      </c>
      <c r="AF622" s="9" t="s">
        <v>71</v>
      </c>
      <c r="AG622" s="13">
        <v>1</v>
      </c>
      <c r="AH622" s="9" t="s">
        <v>92</v>
      </c>
      <c r="AI622" s="13">
        <v>810909</v>
      </c>
      <c r="AJ622" s="13">
        <v>16218180</v>
      </c>
      <c r="AK622" s="11">
        <v>2432727</v>
      </c>
      <c r="AL622" s="11">
        <v>0</v>
      </c>
      <c r="AM622" s="11">
        <v>0</v>
      </c>
      <c r="AN622" s="9" t="s">
        <v>331</v>
      </c>
      <c r="AO622" s="11">
        <v>13785453</v>
      </c>
      <c r="AP622" s="13">
        <v>1102836</v>
      </c>
      <c r="AQ622" s="13">
        <v>14888289</v>
      </c>
      <c r="AR622" s="11">
        <v>68</v>
      </c>
      <c r="AS622" s="9" t="s">
        <v>72</v>
      </c>
      <c r="AT622" s="11">
        <v>80</v>
      </c>
      <c r="AU622" s="9" t="s">
        <v>73</v>
      </c>
      <c r="AV622" s="9" t="s">
        <v>67</v>
      </c>
      <c r="AW622" s="9" t="s">
        <v>1638</v>
      </c>
      <c r="AX622" s="10">
        <v>45989</v>
      </c>
      <c r="AY622" s="9" t="s">
        <v>1639</v>
      </c>
      <c r="AZ622" s="9" t="s">
        <v>67</v>
      </c>
      <c r="BA622" s="9" t="s">
        <v>67</v>
      </c>
      <c r="BB622" s="12">
        <v>80</v>
      </c>
      <c r="BC622" s="9" t="s">
        <v>74</v>
      </c>
      <c r="BD622" s="9" t="s">
        <v>104</v>
      </c>
      <c r="BE622" s="9" t="s">
        <v>75</v>
      </c>
      <c r="BF622" s="11">
        <v>0</v>
      </c>
      <c r="BG622">
        <f t="shared" si="20"/>
        <v>12</v>
      </c>
      <c r="BH622" t="str">
        <f>VLOOKUP(BG622,[1]month!$A:$B,2,0)</f>
        <v>Desember</v>
      </c>
      <c r="BI622">
        <f t="shared" si="21"/>
        <v>2025</v>
      </c>
      <c r="BJ622" t="str">
        <f>VLOOKUP(I622,[1]Dist!$A:$B,2,0)</f>
        <v>Retail</v>
      </c>
      <c r="BK622" t="str">
        <f>IF(I622=11,VLOOKUP(Y622,[2]Sheet1!$C:$N,10,0),IF(I622=13,VLOOKUP(Y622,[3]Sheet1!$C:$N,10,0),IF(I622=15,VLOOKUP(Y622,[4]Sheet1!$C:$N,10,0),"Unknown")))</f>
        <v>ULTRAN</v>
      </c>
      <c r="BL622" t="str">
        <f>IF(I622=11,VLOOKUP(Y622,[2]Sheet1!$C:$N,12,0),IF(I622=13,VLOOKUP(Y622,[3]Sheet1!$C:$N,12,0),IF(I622=15,VLOOKUP(Y622,[4]Sheet1!$C:$N,12,0),"Unknown")))</f>
        <v>ULTRAN LASUR</v>
      </c>
      <c r="BM622" t="str">
        <f>VLOOKUP(W622,[1]branch!$A:$B,2,0)</f>
        <v>DANANG</v>
      </c>
    </row>
    <row r="623" spans="1:65" x14ac:dyDescent="0.35">
      <c r="A623" s="10">
        <v>45999</v>
      </c>
      <c r="B623" s="9" t="s">
        <v>1640</v>
      </c>
      <c r="C623" s="9" t="s">
        <v>64</v>
      </c>
      <c r="D623" s="9" t="s">
        <v>92</v>
      </c>
      <c r="E623" s="11">
        <v>60</v>
      </c>
      <c r="F623" s="9" t="s">
        <v>93</v>
      </c>
      <c r="G623" s="9" t="s">
        <v>65</v>
      </c>
      <c r="H623" s="9" t="s">
        <v>66</v>
      </c>
      <c r="I623" s="9">
        <v>13</v>
      </c>
      <c r="J623" s="9" t="s">
        <v>309</v>
      </c>
      <c r="K623" s="9" t="s">
        <v>309</v>
      </c>
      <c r="L623" s="9" t="s">
        <v>309</v>
      </c>
      <c r="M623" s="9" t="s">
        <v>310</v>
      </c>
      <c r="N623" s="9" t="s">
        <v>869</v>
      </c>
      <c r="O623" s="9" t="s">
        <v>150</v>
      </c>
      <c r="P623" s="9" t="s">
        <v>67</v>
      </c>
      <c r="Q623" s="9" t="s">
        <v>98</v>
      </c>
      <c r="R623" s="9" t="s">
        <v>309</v>
      </c>
      <c r="S623" s="9" t="s">
        <v>310</v>
      </c>
      <c r="T623" s="9" t="s">
        <v>798</v>
      </c>
      <c r="U623" s="9" t="s">
        <v>67</v>
      </c>
      <c r="V623" s="9" t="s">
        <v>311</v>
      </c>
      <c r="W623" s="9" t="s">
        <v>312</v>
      </c>
      <c r="X623" s="11">
        <v>100</v>
      </c>
      <c r="Y623" s="9" t="s">
        <v>1636</v>
      </c>
      <c r="Z623" s="9" t="s">
        <v>68</v>
      </c>
      <c r="AA623" s="9" t="s">
        <v>1637</v>
      </c>
      <c r="AB623" s="9" t="s">
        <v>67</v>
      </c>
      <c r="AC623" s="9" t="s">
        <v>346</v>
      </c>
      <c r="AD623" s="11">
        <v>12</v>
      </c>
      <c r="AE623" s="9" t="s">
        <v>70</v>
      </c>
      <c r="AF623" s="9" t="s">
        <v>71</v>
      </c>
      <c r="AG623" s="13">
        <v>1</v>
      </c>
      <c r="AH623" s="9" t="s">
        <v>92</v>
      </c>
      <c r="AI623" s="13">
        <v>810909</v>
      </c>
      <c r="AJ623" s="13">
        <v>9730908</v>
      </c>
      <c r="AK623" s="11">
        <v>1790487</v>
      </c>
      <c r="AL623" s="11">
        <v>0</v>
      </c>
      <c r="AM623" s="11">
        <v>0</v>
      </c>
      <c r="AN623" s="9" t="s">
        <v>271</v>
      </c>
      <c r="AO623" s="11">
        <v>7940421</v>
      </c>
      <c r="AP623" s="13">
        <v>635234</v>
      </c>
      <c r="AQ623" s="13">
        <v>8575655</v>
      </c>
      <c r="AR623" s="12">
        <v>40.799999999999997</v>
      </c>
      <c r="AS623" s="9" t="s">
        <v>72</v>
      </c>
      <c r="AT623" s="11">
        <v>48</v>
      </c>
      <c r="AU623" s="9" t="s">
        <v>73</v>
      </c>
      <c r="AV623" s="9" t="s">
        <v>67</v>
      </c>
      <c r="AW623" s="9" t="s">
        <v>1196</v>
      </c>
      <c r="AX623" s="10">
        <v>45993</v>
      </c>
      <c r="AY623" s="9" t="s">
        <v>1641</v>
      </c>
      <c r="AZ623" s="9" t="s">
        <v>67</v>
      </c>
      <c r="BA623" s="9" t="s">
        <v>67</v>
      </c>
      <c r="BB623" s="12">
        <v>48</v>
      </c>
      <c r="BC623" s="9" t="s">
        <v>74</v>
      </c>
      <c r="BD623" s="9" t="s">
        <v>104</v>
      </c>
      <c r="BE623" s="9" t="s">
        <v>75</v>
      </c>
      <c r="BF623" s="11">
        <v>0</v>
      </c>
      <c r="BG623">
        <f t="shared" si="20"/>
        <v>12</v>
      </c>
      <c r="BH623" t="str">
        <f>VLOOKUP(BG623,[1]month!$A:$B,2,0)</f>
        <v>Desember</v>
      </c>
      <c r="BI623">
        <f t="shared" si="21"/>
        <v>2025</v>
      </c>
      <c r="BJ623" t="str">
        <f>VLOOKUP(I623,[1]Dist!$A:$B,2,0)</f>
        <v>Retail</v>
      </c>
      <c r="BK623" t="str">
        <f>IF(I623=11,VLOOKUP(Y623,[2]Sheet1!$C:$N,10,0),IF(I623=13,VLOOKUP(Y623,[3]Sheet1!$C:$N,10,0),IF(I623=15,VLOOKUP(Y623,[4]Sheet1!$C:$N,10,0),"Unknown")))</f>
        <v>ULTRAN</v>
      </c>
      <c r="BL623" t="str">
        <f>IF(I623=11,VLOOKUP(Y623,[2]Sheet1!$C:$N,12,0),IF(I623=13,VLOOKUP(Y623,[3]Sheet1!$C:$N,12,0),IF(I623=15,VLOOKUP(Y623,[4]Sheet1!$C:$N,12,0),"Unknown")))</f>
        <v>ULTRAN LASUR</v>
      </c>
      <c r="BM623" t="str">
        <f>VLOOKUP(W623,[1]branch!$A:$B,2,0)</f>
        <v>DANANG</v>
      </c>
    </row>
    <row r="624" spans="1:65" x14ac:dyDescent="0.35">
      <c r="A624" s="10">
        <v>45999</v>
      </c>
      <c r="B624" s="9" t="s">
        <v>1642</v>
      </c>
      <c r="C624" s="9" t="s">
        <v>64</v>
      </c>
      <c r="D624" s="9" t="s">
        <v>92</v>
      </c>
      <c r="E624" s="11">
        <v>60</v>
      </c>
      <c r="F624" s="9" t="s">
        <v>93</v>
      </c>
      <c r="G624" s="9" t="s">
        <v>65</v>
      </c>
      <c r="H624" s="9" t="s">
        <v>66</v>
      </c>
      <c r="I624" s="9">
        <v>13</v>
      </c>
      <c r="J624" s="9" t="s">
        <v>309</v>
      </c>
      <c r="K624" s="9" t="s">
        <v>309</v>
      </c>
      <c r="L624" s="9" t="s">
        <v>309</v>
      </c>
      <c r="M624" s="9" t="s">
        <v>310</v>
      </c>
      <c r="N624" s="9" t="s">
        <v>869</v>
      </c>
      <c r="O624" s="9" t="s">
        <v>150</v>
      </c>
      <c r="P624" s="9" t="s">
        <v>67</v>
      </c>
      <c r="Q624" s="9" t="s">
        <v>98</v>
      </c>
      <c r="R624" s="9" t="s">
        <v>309</v>
      </c>
      <c r="S624" s="9" t="s">
        <v>310</v>
      </c>
      <c r="T624" s="9" t="s">
        <v>798</v>
      </c>
      <c r="U624" s="9" t="s">
        <v>67</v>
      </c>
      <c r="V624" s="9" t="s">
        <v>311</v>
      </c>
      <c r="W624" s="9" t="s">
        <v>312</v>
      </c>
      <c r="X624" s="11">
        <v>10</v>
      </c>
      <c r="Y624" s="9" t="s">
        <v>1643</v>
      </c>
      <c r="Z624" s="9" t="s">
        <v>68</v>
      </c>
      <c r="AA624" s="9" t="s">
        <v>1644</v>
      </c>
      <c r="AB624" s="9" t="s">
        <v>67</v>
      </c>
      <c r="AC624" s="9" t="s">
        <v>326</v>
      </c>
      <c r="AD624" s="11">
        <v>4</v>
      </c>
      <c r="AE624" s="9" t="s">
        <v>156</v>
      </c>
      <c r="AF624" s="9" t="s">
        <v>71</v>
      </c>
      <c r="AG624" s="13">
        <v>1</v>
      </c>
      <c r="AH624" s="9" t="s">
        <v>92</v>
      </c>
      <c r="AI624" s="13">
        <v>923636</v>
      </c>
      <c r="AJ624" s="13">
        <v>3694544</v>
      </c>
      <c r="AK624" s="11">
        <v>554182</v>
      </c>
      <c r="AL624" s="11">
        <v>0</v>
      </c>
      <c r="AM624" s="11">
        <v>0</v>
      </c>
      <c r="AN624" s="9" t="s">
        <v>331</v>
      </c>
      <c r="AO624" s="11">
        <v>3140362</v>
      </c>
      <c r="AP624" s="13">
        <v>251229</v>
      </c>
      <c r="AQ624" s="13">
        <v>3391591</v>
      </c>
      <c r="AR624" s="11">
        <v>20</v>
      </c>
      <c r="AS624" s="9" t="s">
        <v>72</v>
      </c>
      <c r="AT624" s="12">
        <v>20.399999999999999</v>
      </c>
      <c r="AU624" s="9" t="s">
        <v>73</v>
      </c>
      <c r="AV624" s="9" t="s">
        <v>67</v>
      </c>
      <c r="AW624" s="9" t="s">
        <v>1645</v>
      </c>
      <c r="AX624" s="10">
        <v>45996</v>
      </c>
      <c r="AY624" s="9" t="s">
        <v>1646</v>
      </c>
      <c r="AZ624" s="9" t="s">
        <v>67</v>
      </c>
      <c r="BA624" s="9" t="s">
        <v>67</v>
      </c>
      <c r="BB624" s="12">
        <v>20</v>
      </c>
      <c r="BC624" s="9" t="s">
        <v>74</v>
      </c>
      <c r="BD624" s="9" t="s">
        <v>104</v>
      </c>
      <c r="BE624" s="9" t="s">
        <v>75</v>
      </c>
      <c r="BF624" s="11">
        <v>0</v>
      </c>
      <c r="BG624">
        <f t="shared" si="20"/>
        <v>12</v>
      </c>
      <c r="BH624" t="str">
        <f>VLOOKUP(BG624,[1]month!$A:$B,2,0)</f>
        <v>Desember</v>
      </c>
      <c r="BI624">
        <f t="shared" si="21"/>
        <v>2025</v>
      </c>
      <c r="BJ624" t="str">
        <f>VLOOKUP(I624,[1]Dist!$A:$B,2,0)</f>
        <v>Retail</v>
      </c>
      <c r="BK624" t="str">
        <f>IF(I624=11,VLOOKUP(Y624,[2]Sheet1!$C:$N,10,0),IF(I624=13,VLOOKUP(Y624,[3]Sheet1!$C:$N,10,0),IF(I624=15,VLOOKUP(Y624,[4]Sheet1!$C:$N,10,0),"Unknown")))</f>
        <v>PU MULTIPURPOSE</v>
      </c>
      <c r="BL624" t="str">
        <f>IF(I624=11,VLOOKUP(Y624,[2]Sheet1!$C:$N,12,0),IF(I624=13,VLOOKUP(Y624,[3]Sheet1!$C:$N,12,0),IF(I624=15,VLOOKUP(Y624,[4]Sheet1!$C:$N,12,0),"Unknown")))</f>
        <v>PROPAN MP PU ACR RMX</v>
      </c>
      <c r="BM624" t="str">
        <f>VLOOKUP(W624,[1]branch!$A:$B,2,0)</f>
        <v>DANANG</v>
      </c>
    </row>
    <row r="625" spans="1:65" x14ac:dyDescent="0.35">
      <c r="A625" s="10">
        <v>45999</v>
      </c>
      <c r="B625" s="9" t="s">
        <v>1642</v>
      </c>
      <c r="C625" s="9" t="s">
        <v>64</v>
      </c>
      <c r="D625" s="9" t="s">
        <v>92</v>
      </c>
      <c r="E625" s="11">
        <v>60</v>
      </c>
      <c r="F625" s="9" t="s">
        <v>93</v>
      </c>
      <c r="G625" s="9" t="s">
        <v>65</v>
      </c>
      <c r="H625" s="9" t="s">
        <v>66</v>
      </c>
      <c r="I625" s="9">
        <v>13</v>
      </c>
      <c r="J625" s="9" t="s">
        <v>309</v>
      </c>
      <c r="K625" s="9" t="s">
        <v>309</v>
      </c>
      <c r="L625" s="9" t="s">
        <v>309</v>
      </c>
      <c r="M625" s="9" t="s">
        <v>310</v>
      </c>
      <c r="N625" s="9" t="s">
        <v>869</v>
      </c>
      <c r="O625" s="9" t="s">
        <v>150</v>
      </c>
      <c r="P625" s="9" t="s">
        <v>67</v>
      </c>
      <c r="Q625" s="9" t="s">
        <v>98</v>
      </c>
      <c r="R625" s="9" t="s">
        <v>309</v>
      </c>
      <c r="S625" s="9" t="s">
        <v>310</v>
      </c>
      <c r="T625" s="9" t="s">
        <v>798</v>
      </c>
      <c r="U625" s="9" t="s">
        <v>67</v>
      </c>
      <c r="V625" s="9" t="s">
        <v>311</v>
      </c>
      <c r="W625" s="9" t="s">
        <v>312</v>
      </c>
      <c r="X625" s="11">
        <v>20</v>
      </c>
      <c r="Y625" s="9" t="s">
        <v>1647</v>
      </c>
      <c r="Z625" s="9" t="s">
        <v>68</v>
      </c>
      <c r="AA625" s="9" t="s">
        <v>1648</v>
      </c>
      <c r="AB625" s="9" t="s">
        <v>67</v>
      </c>
      <c r="AC625" s="9" t="s">
        <v>1649</v>
      </c>
      <c r="AD625" s="11">
        <v>3</v>
      </c>
      <c r="AE625" s="9" t="s">
        <v>70</v>
      </c>
      <c r="AF625" s="9" t="s">
        <v>71</v>
      </c>
      <c r="AG625" s="13">
        <v>1</v>
      </c>
      <c r="AH625" s="9" t="s">
        <v>92</v>
      </c>
      <c r="AI625" s="13">
        <v>1437273</v>
      </c>
      <c r="AJ625" s="13">
        <v>4311819</v>
      </c>
      <c r="AK625" s="11">
        <v>646773</v>
      </c>
      <c r="AL625" s="11">
        <v>0</v>
      </c>
      <c r="AM625" s="11">
        <v>0</v>
      </c>
      <c r="AN625" s="9" t="s">
        <v>331</v>
      </c>
      <c r="AO625" s="11">
        <v>3665046</v>
      </c>
      <c r="AP625" s="13">
        <v>293204</v>
      </c>
      <c r="AQ625" s="13">
        <v>3958250</v>
      </c>
      <c r="AR625" s="11">
        <v>48</v>
      </c>
      <c r="AS625" s="9" t="s">
        <v>72</v>
      </c>
      <c r="AT625" s="12">
        <v>61.44</v>
      </c>
      <c r="AU625" s="9" t="s">
        <v>73</v>
      </c>
      <c r="AV625" s="9" t="s">
        <v>67</v>
      </c>
      <c r="AW625" s="9" t="s">
        <v>1645</v>
      </c>
      <c r="AX625" s="10">
        <v>45996</v>
      </c>
      <c r="AY625" s="9" t="s">
        <v>1646</v>
      </c>
      <c r="AZ625" s="9" t="s">
        <v>67</v>
      </c>
      <c r="BA625" s="9" t="s">
        <v>67</v>
      </c>
      <c r="BB625" s="12">
        <v>48</v>
      </c>
      <c r="BC625" s="9" t="s">
        <v>74</v>
      </c>
      <c r="BD625" s="9" t="s">
        <v>104</v>
      </c>
      <c r="BE625" s="9" t="s">
        <v>75</v>
      </c>
      <c r="BF625" s="11">
        <v>0</v>
      </c>
      <c r="BG625">
        <f t="shared" si="20"/>
        <v>12</v>
      </c>
      <c r="BH625" t="str">
        <f>VLOOKUP(BG625,[1]month!$A:$B,2,0)</f>
        <v>Desember</v>
      </c>
      <c r="BI625">
        <f t="shared" si="21"/>
        <v>2025</v>
      </c>
      <c r="BJ625" t="str">
        <f>VLOOKUP(I625,[1]Dist!$A:$B,2,0)</f>
        <v>Retail</v>
      </c>
      <c r="BK625" t="str">
        <f>IF(I625=11,VLOOKUP(Y625,[2]Sheet1!$C:$N,10,0),IF(I625=13,VLOOKUP(Y625,[3]Sheet1!$C:$N,10,0),IF(I625=15,VLOOKUP(Y625,[4]Sheet1!$C:$N,10,0),"Unknown")))</f>
        <v>PU MULTIPURPOSE</v>
      </c>
      <c r="BL625" t="str">
        <f>IF(I625=11,VLOOKUP(Y625,[2]Sheet1!$C:$N,12,0),IF(I625=13,VLOOKUP(Y625,[3]Sheet1!$C:$N,12,0),IF(I625=15,VLOOKUP(Y625,[4]Sheet1!$C:$N,12,0),"Unknown")))</f>
        <v>PROPAN MP PU ACR RMX</v>
      </c>
      <c r="BM625" t="str">
        <f>VLOOKUP(W625,[1]branch!$A:$B,2,0)</f>
        <v>DANANG</v>
      </c>
    </row>
    <row r="626" spans="1:65" x14ac:dyDescent="0.35">
      <c r="A626" s="10">
        <v>45999</v>
      </c>
      <c r="B626" s="9" t="s">
        <v>1642</v>
      </c>
      <c r="C626" s="9" t="s">
        <v>64</v>
      </c>
      <c r="D626" s="9" t="s">
        <v>92</v>
      </c>
      <c r="E626" s="11">
        <v>60</v>
      </c>
      <c r="F626" s="9" t="s">
        <v>93</v>
      </c>
      <c r="G626" s="9" t="s">
        <v>65</v>
      </c>
      <c r="H626" s="9" t="s">
        <v>66</v>
      </c>
      <c r="I626" s="9">
        <v>13</v>
      </c>
      <c r="J626" s="9" t="s">
        <v>309</v>
      </c>
      <c r="K626" s="9" t="s">
        <v>309</v>
      </c>
      <c r="L626" s="9" t="s">
        <v>309</v>
      </c>
      <c r="M626" s="9" t="s">
        <v>310</v>
      </c>
      <c r="N626" s="9" t="s">
        <v>869</v>
      </c>
      <c r="O626" s="9" t="s">
        <v>150</v>
      </c>
      <c r="P626" s="9" t="s">
        <v>67</v>
      </c>
      <c r="Q626" s="9" t="s">
        <v>98</v>
      </c>
      <c r="R626" s="9" t="s">
        <v>309</v>
      </c>
      <c r="S626" s="9" t="s">
        <v>310</v>
      </c>
      <c r="T626" s="9" t="s">
        <v>798</v>
      </c>
      <c r="U626" s="9" t="s">
        <v>67</v>
      </c>
      <c r="V626" s="9" t="s">
        <v>311</v>
      </c>
      <c r="W626" s="9" t="s">
        <v>312</v>
      </c>
      <c r="X626" s="11">
        <v>30</v>
      </c>
      <c r="Y626" s="9" t="s">
        <v>159</v>
      </c>
      <c r="Z626" s="9" t="s">
        <v>68</v>
      </c>
      <c r="AA626" s="9" t="s">
        <v>160</v>
      </c>
      <c r="AB626" s="9" t="s">
        <v>67</v>
      </c>
      <c r="AC626" s="9" t="s">
        <v>161</v>
      </c>
      <c r="AD626" s="11">
        <v>10</v>
      </c>
      <c r="AE626" s="9" t="s">
        <v>70</v>
      </c>
      <c r="AF626" s="9" t="s">
        <v>71</v>
      </c>
      <c r="AG626" s="13">
        <v>1</v>
      </c>
      <c r="AH626" s="9" t="s">
        <v>92</v>
      </c>
      <c r="AI626" s="13">
        <v>944545</v>
      </c>
      <c r="AJ626" s="13">
        <v>9445450</v>
      </c>
      <c r="AK626" s="11">
        <v>0</v>
      </c>
      <c r="AL626" s="11">
        <v>0</v>
      </c>
      <c r="AM626" s="11">
        <v>0</v>
      </c>
      <c r="AN626" s="9" t="s">
        <v>67</v>
      </c>
      <c r="AO626" s="11">
        <v>9445450</v>
      </c>
      <c r="AP626" s="13">
        <v>755636</v>
      </c>
      <c r="AQ626" s="13">
        <v>10201086</v>
      </c>
      <c r="AR626" s="11">
        <v>176</v>
      </c>
      <c r="AS626" s="9" t="s">
        <v>72</v>
      </c>
      <c r="AT626" s="11">
        <v>200</v>
      </c>
      <c r="AU626" s="9" t="s">
        <v>73</v>
      </c>
      <c r="AV626" s="9" t="s">
        <v>67</v>
      </c>
      <c r="AW626" s="9" t="s">
        <v>1645</v>
      </c>
      <c r="AX626" s="10">
        <v>45996</v>
      </c>
      <c r="AY626" s="9" t="s">
        <v>1646</v>
      </c>
      <c r="AZ626" s="9" t="s">
        <v>67</v>
      </c>
      <c r="BA626" s="9" t="s">
        <v>67</v>
      </c>
      <c r="BB626" s="12">
        <v>200</v>
      </c>
      <c r="BC626" s="9" t="s">
        <v>74</v>
      </c>
      <c r="BD626" s="9" t="s">
        <v>104</v>
      </c>
      <c r="BE626" s="9" t="s">
        <v>75</v>
      </c>
      <c r="BF626" s="11">
        <v>0</v>
      </c>
      <c r="BG626">
        <f t="shared" si="20"/>
        <v>12</v>
      </c>
      <c r="BH626" t="str">
        <f>VLOOKUP(BG626,[1]month!$A:$B,2,0)</f>
        <v>Desember</v>
      </c>
      <c r="BI626">
        <f t="shared" si="21"/>
        <v>2025</v>
      </c>
      <c r="BJ626" t="str">
        <f>VLOOKUP(I626,[1]Dist!$A:$B,2,0)</f>
        <v>Retail</v>
      </c>
      <c r="BK626" t="str">
        <f>IF(I626=11,VLOOKUP(Y626,[2]Sheet1!$C:$N,10,0),IF(I626=13,VLOOKUP(Y626,[3]Sheet1!$C:$N,10,0),IF(I626=15,VLOOKUP(Y626,[4]Sheet1!$C:$N,10,0),"Unknown")))</f>
        <v>THINNER PU</v>
      </c>
      <c r="BL626" t="str">
        <f>IF(I626=11,VLOOKUP(Y626,[2]Sheet1!$C:$N,12,0),IF(I626=13,VLOOKUP(Y626,[3]Sheet1!$C:$N,12,0),IF(I626=15,VLOOKUP(Y626,[4]Sheet1!$C:$N,12,0),"Unknown")))</f>
        <v>THINNER PU R</v>
      </c>
      <c r="BM626" t="str">
        <f>VLOOKUP(W626,[1]branch!$A:$B,2,0)</f>
        <v>DANANG</v>
      </c>
    </row>
    <row r="627" spans="1:65" x14ac:dyDescent="0.35">
      <c r="A627" s="10">
        <v>45999</v>
      </c>
      <c r="B627" s="9" t="s">
        <v>1650</v>
      </c>
      <c r="C627" s="9" t="s">
        <v>64</v>
      </c>
      <c r="D627" s="9" t="s">
        <v>92</v>
      </c>
      <c r="E627" s="11">
        <v>60</v>
      </c>
      <c r="F627" s="9" t="s">
        <v>93</v>
      </c>
      <c r="G627" s="9" t="s">
        <v>65</v>
      </c>
      <c r="H627" s="9" t="s">
        <v>66</v>
      </c>
      <c r="I627" s="9">
        <v>13</v>
      </c>
      <c r="J627" s="9" t="s">
        <v>332</v>
      </c>
      <c r="K627" s="9" t="s">
        <v>332</v>
      </c>
      <c r="L627" s="9" t="s">
        <v>332</v>
      </c>
      <c r="M627" s="9" t="s">
        <v>333</v>
      </c>
      <c r="N627" s="9" t="s">
        <v>880</v>
      </c>
      <c r="O627" s="9" t="s">
        <v>150</v>
      </c>
      <c r="P627" s="9" t="s">
        <v>67</v>
      </c>
      <c r="Q627" s="9" t="s">
        <v>98</v>
      </c>
      <c r="R627" s="9" t="s">
        <v>332</v>
      </c>
      <c r="S627" s="9" t="s">
        <v>333</v>
      </c>
      <c r="T627" s="9" t="s">
        <v>822</v>
      </c>
      <c r="U627" s="9" t="s">
        <v>67</v>
      </c>
      <c r="V627" s="9" t="s">
        <v>266</v>
      </c>
      <c r="W627" s="9" t="s">
        <v>267</v>
      </c>
      <c r="X627" s="11">
        <v>60</v>
      </c>
      <c r="Y627" s="9" t="s">
        <v>1636</v>
      </c>
      <c r="Z627" s="9" t="s">
        <v>68</v>
      </c>
      <c r="AA627" s="9" t="s">
        <v>1637</v>
      </c>
      <c r="AB627" s="9" t="s">
        <v>67</v>
      </c>
      <c r="AC627" s="9" t="s">
        <v>346</v>
      </c>
      <c r="AD627" s="11">
        <v>16</v>
      </c>
      <c r="AE627" s="9" t="s">
        <v>70</v>
      </c>
      <c r="AF627" s="9" t="s">
        <v>71</v>
      </c>
      <c r="AG627" s="13">
        <v>1</v>
      </c>
      <c r="AH627" s="9" t="s">
        <v>92</v>
      </c>
      <c r="AI627" s="13">
        <v>810909</v>
      </c>
      <c r="AJ627" s="13">
        <v>12974544</v>
      </c>
      <c r="AK627" s="11">
        <v>2277033</v>
      </c>
      <c r="AL627" s="11">
        <v>0</v>
      </c>
      <c r="AM627" s="11">
        <v>0</v>
      </c>
      <c r="AN627" s="9" t="s">
        <v>157</v>
      </c>
      <c r="AO627" s="11">
        <v>10697511</v>
      </c>
      <c r="AP627" s="13">
        <v>855801</v>
      </c>
      <c r="AQ627" s="13">
        <v>11553312</v>
      </c>
      <c r="AR627" s="12">
        <v>54.4</v>
      </c>
      <c r="AS627" s="9" t="s">
        <v>72</v>
      </c>
      <c r="AT627" s="11">
        <v>64</v>
      </c>
      <c r="AU627" s="9" t="s">
        <v>73</v>
      </c>
      <c r="AV627" s="9" t="s">
        <v>67</v>
      </c>
      <c r="AW627" s="9" t="s">
        <v>1273</v>
      </c>
      <c r="AX627" s="10">
        <v>45994</v>
      </c>
      <c r="AY627" s="9" t="s">
        <v>1651</v>
      </c>
      <c r="AZ627" s="9" t="s">
        <v>67</v>
      </c>
      <c r="BA627" s="9" t="s">
        <v>67</v>
      </c>
      <c r="BB627" s="12">
        <v>64</v>
      </c>
      <c r="BC627" s="9" t="s">
        <v>74</v>
      </c>
      <c r="BD627" s="9" t="s">
        <v>104</v>
      </c>
      <c r="BE627" s="9" t="s">
        <v>75</v>
      </c>
      <c r="BF627" s="11">
        <v>0</v>
      </c>
      <c r="BG627">
        <f t="shared" si="20"/>
        <v>12</v>
      </c>
      <c r="BH627" t="str">
        <f>VLOOKUP(BG627,[1]month!$A:$B,2,0)</f>
        <v>Desember</v>
      </c>
      <c r="BI627">
        <f t="shared" si="21"/>
        <v>2025</v>
      </c>
      <c r="BJ627" t="str">
        <f>VLOOKUP(I627,[1]Dist!$A:$B,2,0)</f>
        <v>Retail</v>
      </c>
      <c r="BK627" t="str">
        <f>IF(I627=11,VLOOKUP(Y627,[2]Sheet1!$C:$N,10,0),IF(I627=13,VLOOKUP(Y627,[3]Sheet1!$C:$N,10,0),IF(I627=15,VLOOKUP(Y627,[4]Sheet1!$C:$N,10,0),"Unknown")))</f>
        <v>ULTRAN</v>
      </c>
      <c r="BL627" t="str">
        <f>IF(I627=11,VLOOKUP(Y627,[2]Sheet1!$C:$N,12,0),IF(I627=13,VLOOKUP(Y627,[3]Sheet1!$C:$N,12,0),IF(I627=15,VLOOKUP(Y627,[4]Sheet1!$C:$N,12,0),"Unknown")))</f>
        <v>ULTRAN LASUR</v>
      </c>
      <c r="BM627" t="str">
        <f>VLOOKUP(W627,[1]branch!$A:$B,2,0)</f>
        <v>HO CHI MINH</v>
      </c>
    </row>
    <row r="628" spans="1:65" x14ac:dyDescent="0.35">
      <c r="A628" s="10">
        <v>45999</v>
      </c>
      <c r="B628" s="9" t="s">
        <v>1652</v>
      </c>
      <c r="C628" s="9" t="s">
        <v>64</v>
      </c>
      <c r="D628" s="9" t="s">
        <v>92</v>
      </c>
      <c r="E628" s="11">
        <v>60</v>
      </c>
      <c r="F628" s="9" t="s">
        <v>93</v>
      </c>
      <c r="G628" s="9" t="s">
        <v>65</v>
      </c>
      <c r="H628" s="9" t="s">
        <v>66</v>
      </c>
      <c r="I628" s="9">
        <v>13</v>
      </c>
      <c r="J628" s="9" t="s">
        <v>264</v>
      </c>
      <c r="K628" s="9" t="s">
        <v>264</v>
      </c>
      <c r="L628" s="9" t="s">
        <v>264</v>
      </c>
      <c r="M628" s="9" t="s">
        <v>265</v>
      </c>
      <c r="N628" s="9" t="s">
        <v>881</v>
      </c>
      <c r="O628" s="9" t="s">
        <v>150</v>
      </c>
      <c r="P628" s="9" t="s">
        <v>67</v>
      </c>
      <c r="Q628" s="9" t="s">
        <v>98</v>
      </c>
      <c r="R628" s="9" t="s">
        <v>264</v>
      </c>
      <c r="S628" s="9" t="s">
        <v>265</v>
      </c>
      <c r="T628" s="9" t="s">
        <v>799</v>
      </c>
      <c r="U628" s="9" t="s">
        <v>67</v>
      </c>
      <c r="V628" s="9" t="s">
        <v>266</v>
      </c>
      <c r="W628" s="9" t="s">
        <v>267</v>
      </c>
      <c r="X628" s="11">
        <v>20</v>
      </c>
      <c r="Y628" s="9" t="s">
        <v>268</v>
      </c>
      <c r="Z628" s="9" t="s">
        <v>68</v>
      </c>
      <c r="AA628" s="9" t="s">
        <v>269</v>
      </c>
      <c r="AB628" s="9" t="s">
        <v>67</v>
      </c>
      <c r="AC628" s="9" t="s">
        <v>270</v>
      </c>
      <c r="AD628" s="11">
        <v>576</v>
      </c>
      <c r="AE628" s="9" t="s">
        <v>70</v>
      </c>
      <c r="AF628" s="9" t="s">
        <v>71</v>
      </c>
      <c r="AG628" s="13">
        <v>1</v>
      </c>
      <c r="AH628" s="9" t="s">
        <v>92</v>
      </c>
      <c r="AI628" s="13">
        <v>77273</v>
      </c>
      <c r="AJ628" s="13">
        <v>44509248</v>
      </c>
      <c r="AK628" s="11">
        <v>8189701</v>
      </c>
      <c r="AL628" s="11">
        <v>0</v>
      </c>
      <c r="AM628" s="11">
        <v>0</v>
      </c>
      <c r="AN628" s="9" t="s">
        <v>271</v>
      </c>
      <c r="AO628" s="11">
        <v>36319547</v>
      </c>
      <c r="AP628" s="13">
        <v>2905564</v>
      </c>
      <c r="AQ628" s="13">
        <v>39225111</v>
      </c>
      <c r="AR628" s="12">
        <v>382.464</v>
      </c>
      <c r="AS628" s="9" t="s">
        <v>72</v>
      </c>
      <c r="AT628" s="12">
        <v>460.8</v>
      </c>
      <c r="AU628" s="9" t="s">
        <v>73</v>
      </c>
      <c r="AV628" s="9" t="s">
        <v>67</v>
      </c>
      <c r="AW628" s="9" t="s">
        <v>1121</v>
      </c>
      <c r="AX628" s="10">
        <v>45992</v>
      </c>
      <c r="AY628" s="9" t="s">
        <v>1653</v>
      </c>
      <c r="AZ628" s="9" t="s">
        <v>67</v>
      </c>
      <c r="BA628" s="9" t="s">
        <v>67</v>
      </c>
      <c r="BB628" s="12">
        <v>460.8</v>
      </c>
      <c r="BC628" s="9" t="s">
        <v>74</v>
      </c>
      <c r="BD628" s="9" t="s">
        <v>104</v>
      </c>
      <c r="BE628" s="9" t="s">
        <v>75</v>
      </c>
      <c r="BF628" s="11">
        <v>0</v>
      </c>
      <c r="BG628">
        <f t="shared" si="20"/>
        <v>12</v>
      </c>
      <c r="BH628" t="str">
        <f>VLOOKUP(BG628,[1]month!$A:$B,2,0)</f>
        <v>Desember</v>
      </c>
      <c r="BI628">
        <f t="shared" si="21"/>
        <v>2025</v>
      </c>
      <c r="BJ628" t="str">
        <f>VLOOKUP(I628,[1]Dist!$A:$B,2,0)</f>
        <v>Retail</v>
      </c>
      <c r="BK628" t="str">
        <f>IF(I628=11,VLOOKUP(Y628,[2]Sheet1!$C:$N,10,0),IF(I628=13,VLOOKUP(Y628,[3]Sheet1!$C:$N,10,0),IF(I628=15,VLOOKUP(Y628,[4]Sheet1!$C:$N,10,0),"Unknown")))</f>
        <v>ULTRAN</v>
      </c>
      <c r="BL628" t="str">
        <f>IF(I628=11,VLOOKUP(Y628,[2]Sheet1!$C:$N,12,0),IF(I628=13,VLOOKUP(Y628,[3]Sheet1!$C:$N,12,0),IF(I628=15,VLOOKUP(Y628,[4]Sheet1!$C:$N,12,0),"Unknown")))</f>
        <v>ULTRAN VERNIS</v>
      </c>
      <c r="BM628" t="str">
        <f>VLOOKUP(W628,[1]branch!$A:$B,2,0)</f>
        <v>HO CHI MINH</v>
      </c>
    </row>
    <row r="629" spans="1:65" x14ac:dyDescent="0.35">
      <c r="A629" s="10">
        <v>45999</v>
      </c>
      <c r="B629" s="9" t="s">
        <v>1654</v>
      </c>
      <c r="C629" s="9" t="s">
        <v>64</v>
      </c>
      <c r="D629" s="9" t="s">
        <v>92</v>
      </c>
      <c r="E629" s="11">
        <v>60</v>
      </c>
      <c r="F629" s="9" t="s">
        <v>93</v>
      </c>
      <c r="G629" s="9" t="s">
        <v>65</v>
      </c>
      <c r="H629" s="9" t="s">
        <v>66</v>
      </c>
      <c r="I629" s="9">
        <v>13</v>
      </c>
      <c r="J629" s="9" t="s">
        <v>264</v>
      </c>
      <c r="K629" s="9" t="s">
        <v>264</v>
      </c>
      <c r="L629" s="9" t="s">
        <v>264</v>
      </c>
      <c r="M629" s="9" t="s">
        <v>265</v>
      </c>
      <c r="N629" s="9" t="s">
        <v>881</v>
      </c>
      <c r="O629" s="9" t="s">
        <v>150</v>
      </c>
      <c r="P629" s="9" t="s">
        <v>67</v>
      </c>
      <c r="Q629" s="9" t="s">
        <v>98</v>
      </c>
      <c r="R629" s="9" t="s">
        <v>264</v>
      </c>
      <c r="S629" s="9" t="s">
        <v>265</v>
      </c>
      <c r="T629" s="9" t="s">
        <v>799</v>
      </c>
      <c r="U629" s="9" t="s">
        <v>67</v>
      </c>
      <c r="V629" s="9" t="s">
        <v>266</v>
      </c>
      <c r="W629" s="9" t="s">
        <v>267</v>
      </c>
      <c r="X629" s="11">
        <v>30</v>
      </c>
      <c r="Y629" s="9" t="s">
        <v>1655</v>
      </c>
      <c r="Z629" s="9" t="s">
        <v>68</v>
      </c>
      <c r="AA629" s="9" t="s">
        <v>1656</v>
      </c>
      <c r="AB629" s="9" t="s">
        <v>67</v>
      </c>
      <c r="AC629" s="9" t="s">
        <v>158</v>
      </c>
      <c r="AD629" s="11">
        <v>24</v>
      </c>
      <c r="AE629" s="9" t="s">
        <v>156</v>
      </c>
      <c r="AF629" s="9" t="s">
        <v>71</v>
      </c>
      <c r="AG629" s="13">
        <v>1</v>
      </c>
      <c r="AH629" s="9" t="s">
        <v>92</v>
      </c>
      <c r="AI629" s="13">
        <v>141819</v>
      </c>
      <c r="AJ629" s="13">
        <v>3403656</v>
      </c>
      <c r="AK629" s="11">
        <v>510548</v>
      </c>
      <c r="AL629" s="11">
        <v>0</v>
      </c>
      <c r="AM629" s="11">
        <v>0</v>
      </c>
      <c r="AN629" s="9" t="s">
        <v>331</v>
      </c>
      <c r="AO629" s="11">
        <v>2893108</v>
      </c>
      <c r="AP629" s="13">
        <v>231449</v>
      </c>
      <c r="AQ629" s="13">
        <v>3124557</v>
      </c>
      <c r="AR629" s="11">
        <v>24</v>
      </c>
      <c r="AS629" s="9" t="s">
        <v>72</v>
      </c>
      <c r="AT629" s="12">
        <v>14.4</v>
      </c>
      <c r="AU629" s="9" t="s">
        <v>73</v>
      </c>
      <c r="AV629" s="9" t="s">
        <v>67</v>
      </c>
      <c r="AW629" s="9" t="s">
        <v>1657</v>
      </c>
      <c r="AX629" s="10">
        <v>45996</v>
      </c>
      <c r="AY629" s="9" t="s">
        <v>1658</v>
      </c>
      <c r="AZ629" s="9" t="s">
        <v>67</v>
      </c>
      <c r="BA629" s="9" t="s">
        <v>67</v>
      </c>
      <c r="BB629" s="12">
        <v>24</v>
      </c>
      <c r="BC629" s="9" t="s">
        <v>74</v>
      </c>
      <c r="BD629" s="9" t="s">
        <v>104</v>
      </c>
      <c r="BE629" s="9" t="s">
        <v>75</v>
      </c>
      <c r="BF629" s="11">
        <v>0</v>
      </c>
      <c r="BG629">
        <f t="shared" si="20"/>
        <v>12</v>
      </c>
      <c r="BH629" t="str">
        <f>VLOOKUP(BG629,[1]month!$A:$B,2,0)</f>
        <v>Desember</v>
      </c>
      <c r="BI629">
        <f t="shared" si="21"/>
        <v>2025</v>
      </c>
      <c r="BJ629" t="str">
        <f>VLOOKUP(I629,[1]Dist!$A:$B,2,0)</f>
        <v>Retail</v>
      </c>
      <c r="BK629" t="str">
        <f>IF(I629=11,VLOOKUP(Y629,[2]Sheet1!$C:$N,10,0),IF(I629=13,VLOOKUP(Y629,[3]Sheet1!$C:$N,10,0),IF(I629=15,VLOOKUP(Y629,[4]Sheet1!$C:$N,10,0),"Unknown")))</f>
        <v>METALKOTE</v>
      </c>
      <c r="BL629" t="str">
        <f>IF(I629=11,VLOOKUP(Y629,[2]Sheet1!$C:$N,12,0),IF(I629=13,VLOOKUP(Y629,[3]Sheet1!$C:$N,12,0),IF(I629=15,VLOOKUP(Y629,[4]Sheet1!$C:$N,12,0),"Unknown")))</f>
        <v>METALKOTE-EPOXY SYS</v>
      </c>
      <c r="BM629" t="str">
        <f>VLOOKUP(W629,[1]branch!$A:$B,2,0)</f>
        <v>HO CHI MINH</v>
      </c>
    </row>
    <row r="630" spans="1:65" x14ac:dyDescent="0.35">
      <c r="A630" s="10">
        <v>45999</v>
      </c>
      <c r="B630" s="9" t="s">
        <v>1654</v>
      </c>
      <c r="C630" s="9" t="s">
        <v>64</v>
      </c>
      <c r="D630" s="9" t="s">
        <v>92</v>
      </c>
      <c r="E630" s="11">
        <v>60</v>
      </c>
      <c r="F630" s="9" t="s">
        <v>93</v>
      </c>
      <c r="G630" s="9" t="s">
        <v>65</v>
      </c>
      <c r="H630" s="9" t="s">
        <v>66</v>
      </c>
      <c r="I630" s="9">
        <v>13</v>
      </c>
      <c r="J630" s="9" t="s">
        <v>264</v>
      </c>
      <c r="K630" s="9" t="s">
        <v>264</v>
      </c>
      <c r="L630" s="9" t="s">
        <v>264</v>
      </c>
      <c r="M630" s="9" t="s">
        <v>265</v>
      </c>
      <c r="N630" s="9" t="s">
        <v>881</v>
      </c>
      <c r="O630" s="9" t="s">
        <v>150</v>
      </c>
      <c r="P630" s="9" t="s">
        <v>67</v>
      </c>
      <c r="Q630" s="9" t="s">
        <v>98</v>
      </c>
      <c r="R630" s="9" t="s">
        <v>264</v>
      </c>
      <c r="S630" s="9" t="s">
        <v>265</v>
      </c>
      <c r="T630" s="9" t="s">
        <v>799</v>
      </c>
      <c r="U630" s="9" t="s">
        <v>67</v>
      </c>
      <c r="V630" s="9" t="s">
        <v>266</v>
      </c>
      <c r="W630" s="9" t="s">
        <v>267</v>
      </c>
      <c r="X630" s="11">
        <v>40</v>
      </c>
      <c r="Y630" s="9" t="s">
        <v>490</v>
      </c>
      <c r="Z630" s="9" t="s">
        <v>68</v>
      </c>
      <c r="AA630" s="9" t="s">
        <v>491</v>
      </c>
      <c r="AB630" s="9" t="s">
        <v>67</v>
      </c>
      <c r="AC630" s="9" t="s">
        <v>392</v>
      </c>
      <c r="AD630" s="11">
        <v>24</v>
      </c>
      <c r="AE630" s="9" t="s">
        <v>70</v>
      </c>
      <c r="AF630" s="9" t="s">
        <v>71</v>
      </c>
      <c r="AG630" s="13">
        <v>1</v>
      </c>
      <c r="AH630" s="9" t="s">
        <v>92</v>
      </c>
      <c r="AI630" s="13">
        <v>218181</v>
      </c>
      <c r="AJ630" s="13">
        <v>5236344</v>
      </c>
      <c r="AK630" s="11">
        <v>963488</v>
      </c>
      <c r="AL630" s="11">
        <v>0</v>
      </c>
      <c r="AM630" s="11">
        <v>0</v>
      </c>
      <c r="AN630" s="9" t="s">
        <v>271</v>
      </c>
      <c r="AO630" s="11">
        <v>4272856</v>
      </c>
      <c r="AP630" s="13">
        <v>341828</v>
      </c>
      <c r="AQ630" s="13">
        <v>4614684</v>
      </c>
      <c r="AR630" s="12">
        <v>20.64</v>
      </c>
      <c r="AS630" s="9" t="s">
        <v>72</v>
      </c>
      <c r="AT630" s="11">
        <v>24</v>
      </c>
      <c r="AU630" s="9" t="s">
        <v>73</v>
      </c>
      <c r="AV630" s="9" t="s">
        <v>67</v>
      </c>
      <c r="AW630" s="9" t="s">
        <v>1657</v>
      </c>
      <c r="AX630" s="10">
        <v>45996</v>
      </c>
      <c r="AY630" s="9" t="s">
        <v>1658</v>
      </c>
      <c r="AZ630" s="9" t="s">
        <v>67</v>
      </c>
      <c r="BA630" s="9" t="s">
        <v>67</v>
      </c>
      <c r="BB630" s="12">
        <v>24</v>
      </c>
      <c r="BC630" s="9" t="s">
        <v>74</v>
      </c>
      <c r="BD630" s="9" t="s">
        <v>104</v>
      </c>
      <c r="BE630" s="9" t="s">
        <v>75</v>
      </c>
      <c r="BF630" s="11">
        <v>0</v>
      </c>
      <c r="BG630">
        <f t="shared" si="20"/>
        <v>12</v>
      </c>
      <c r="BH630" t="str">
        <f>VLOOKUP(BG630,[1]month!$A:$B,2,0)</f>
        <v>Desember</v>
      </c>
      <c r="BI630">
        <f t="shared" si="21"/>
        <v>2025</v>
      </c>
      <c r="BJ630" t="str">
        <f>VLOOKUP(I630,[1]Dist!$A:$B,2,0)</f>
        <v>Retail</v>
      </c>
      <c r="BK630" t="str">
        <f>IF(I630=11,VLOOKUP(Y630,[2]Sheet1!$C:$N,10,0),IF(I630=13,VLOOKUP(Y630,[3]Sheet1!$C:$N,10,0),IF(I630=15,VLOOKUP(Y630,[4]Sheet1!$C:$N,10,0),"Unknown")))</f>
        <v>ULTRAN</v>
      </c>
      <c r="BL630" t="str">
        <f>IF(I630=11,VLOOKUP(Y630,[2]Sheet1!$C:$N,12,0),IF(I630=13,VLOOKUP(Y630,[3]Sheet1!$C:$N,12,0),IF(I630=15,VLOOKUP(Y630,[4]Sheet1!$C:$N,12,0),"Unknown")))</f>
        <v>ULTRAN LASUR</v>
      </c>
      <c r="BM630" t="str">
        <f>VLOOKUP(W630,[1]branch!$A:$B,2,0)</f>
        <v>HO CHI MINH</v>
      </c>
    </row>
    <row r="631" spans="1:65" x14ac:dyDescent="0.35">
      <c r="A631" s="10">
        <v>45999</v>
      </c>
      <c r="B631" s="9" t="s">
        <v>1659</v>
      </c>
      <c r="C631" s="9" t="s">
        <v>64</v>
      </c>
      <c r="D631" s="9" t="s">
        <v>92</v>
      </c>
      <c r="E631" s="11">
        <v>30</v>
      </c>
      <c r="F631" s="9" t="s">
        <v>93</v>
      </c>
      <c r="G631" s="9" t="s">
        <v>65</v>
      </c>
      <c r="H631" s="9" t="s">
        <v>66</v>
      </c>
      <c r="I631" s="9">
        <v>11</v>
      </c>
      <c r="J631" s="9" t="s">
        <v>746</v>
      </c>
      <c r="K631" s="9" t="s">
        <v>746</v>
      </c>
      <c r="L631" s="9" t="s">
        <v>746</v>
      </c>
      <c r="M631" s="9" t="s">
        <v>747</v>
      </c>
      <c r="N631" s="9" t="s">
        <v>748</v>
      </c>
      <c r="O631" s="9" t="s">
        <v>97</v>
      </c>
      <c r="P631" s="9" t="s">
        <v>67</v>
      </c>
      <c r="Q631" s="9" t="s">
        <v>98</v>
      </c>
      <c r="R631" s="9" t="s">
        <v>746</v>
      </c>
      <c r="S631" s="9" t="s">
        <v>747</v>
      </c>
      <c r="T631" s="9" t="s">
        <v>835</v>
      </c>
      <c r="U631" s="9" t="s">
        <v>67</v>
      </c>
      <c r="V631" s="9" t="s">
        <v>194</v>
      </c>
      <c r="W631" s="9" t="s">
        <v>195</v>
      </c>
      <c r="X631" s="11">
        <v>10</v>
      </c>
      <c r="Y631" s="9" t="s">
        <v>118</v>
      </c>
      <c r="Z631" s="9" t="s">
        <v>68</v>
      </c>
      <c r="AA631" s="9" t="s">
        <v>119</v>
      </c>
      <c r="AB631" s="9" t="s">
        <v>67</v>
      </c>
      <c r="AC631" s="9" t="s">
        <v>120</v>
      </c>
      <c r="AD631" s="11">
        <v>2</v>
      </c>
      <c r="AE631" s="9" t="s">
        <v>70</v>
      </c>
      <c r="AF631" s="9" t="s">
        <v>71</v>
      </c>
      <c r="AG631" s="13">
        <v>1</v>
      </c>
      <c r="AH631" s="9" t="s">
        <v>92</v>
      </c>
      <c r="AI631" s="13">
        <v>8460000</v>
      </c>
      <c r="AJ631" s="13">
        <v>16920000</v>
      </c>
      <c r="AK631" s="11">
        <v>0</v>
      </c>
      <c r="AL631" s="11">
        <v>0</v>
      </c>
      <c r="AM631" s="11">
        <v>0</v>
      </c>
      <c r="AN631" s="9" t="s">
        <v>67</v>
      </c>
      <c r="AO631" s="11">
        <v>16920000</v>
      </c>
      <c r="AP631" s="13">
        <v>1353600</v>
      </c>
      <c r="AQ631" s="13">
        <v>18273600</v>
      </c>
      <c r="AR631" s="11">
        <v>370</v>
      </c>
      <c r="AS631" s="9" t="s">
        <v>72</v>
      </c>
      <c r="AT631" s="11">
        <v>400</v>
      </c>
      <c r="AU631" s="9" t="s">
        <v>73</v>
      </c>
      <c r="AV631" s="9" t="s">
        <v>67</v>
      </c>
      <c r="AW631" s="9" t="s">
        <v>1660</v>
      </c>
      <c r="AX631" s="10">
        <v>45996</v>
      </c>
      <c r="AY631" s="9" t="s">
        <v>1661</v>
      </c>
      <c r="AZ631" s="9" t="s">
        <v>67</v>
      </c>
      <c r="BA631" s="9" t="s">
        <v>67</v>
      </c>
      <c r="BB631" s="12">
        <v>400</v>
      </c>
      <c r="BC631" s="9" t="s">
        <v>74</v>
      </c>
      <c r="BD631" s="9" t="s">
        <v>104</v>
      </c>
      <c r="BE631" s="9" t="s">
        <v>75</v>
      </c>
      <c r="BF631" s="11">
        <v>0</v>
      </c>
      <c r="BG631">
        <f t="shared" si="20"/>
        <v>12</v>
      </c>
      <c r="BH631" t="str">
        <f>VLOOKUP(BG631,[1]month!$A:$B,2,0)</f>
        <v>Desember</v>
      </c>
      <c r="BI631">
        <f t="shared" si="21"/>
        <v>2025</v>
      </c>
      <c r="BJ631" t="str">
        <f>VLOOKUP(I631,[1]Dist!$A:$B,2,0)</f>
        <v>Industry</v>
      </c>
      <c r="BK631" t="str">
        <f>IF(I631=11,VLOOKUP(Y631,[2]Sheet1!$C:$N,10,0),IF(I631=13,VLOOKUP(Y631,[3]Sheet1!$C:$N,10,0),IF(I631=15,VLOOKUP(Y631,[4]Sheet1!$C:$N,10,0),"Unknown")))</f>
        <v>THINNER PU</v>
      </c>
      <c r="BL631" t="str">
        <f>IF(I631=11,VLOOKUP(Y631,[2]Sheet1!$C:$N,12,0),IF(I631=13,VLOOKUP(Y631,[3]Sheet1!$C:$N,12,0),IF(I631=15,VLOOKUP(Y631,[4]Sheet1!$C:$N,12,0),"Unknown")))</f>
        <v>THINNER PU</v>
      </c>
      <c r="BM631" t="str">
        <f>VLOOKUP(W631,[1]branch!$A:$B,2,0)</f>
        <v>INDUSTRY</v>
      </c>
    </row>
    <row r="632" spans="1:65" x14ac:dyDescent="0.35">
      <c r="A632" s="10">
        <v>45999</v>
      </c>
      <c r="B632" s="9" t="s">
        <v>1659</v>
      </c>
      <c r="C632" s="9" t="s">
        <v>64</v>
      </c>
      <c r="D632" s="9" t="s">
        <v>92</v>
      </c>
      <c r="E632" s="11">
        <v>30</v>
      </c>
      <c r="F632" s="9" t="s">
        <v>93</v>
      </c>
      <c r="G632" s="9" t="s">
        <v>65</v>
      </c>
      <c r="H632" s="9" t="s">
        <v>66</v>
      </c>
      <c r="I632" s="9">
        <v>11</v>
      </c>
      <c r="J632" s="9" t="s">
        <v>746</v>
      </c>
      <c r="K632" s="9" t="s">
        <v>746</v>
      </c>
      <c r="L632" s="9" t="s">
        <v>746</v>
      </c>
      <c r="M632" s="9" t="s">
        <v>747</v>
      </c>
      <c r="N632" s="9" t="s">
        <v>748</v>
      </c>
      <c r="O632" s="9" t="s">
        <v>97</v>
      </c>
      <c r="P632" s="9" t="s">
        <v>67</v>
      </c>
      <c r="Q632" s="9" t="s">
        <v>98</v>
      </c>
      <c r="R632" s="9" t="s">
        <v>746</v>
      </c>
      <c r="S632" s="9" t="s">
        <v>747</v>
      </c>
      <c r="T632" s="9" t="s">
        <v>835</v>
      </c>
      <c r="U632" s="9" t="s">
        <v>67</v>
      </c>
      <c r="V632" s="9" t="s">
        <v>194</v>
      </c>
      <c r="W632" s="9" t="s">
        <v>195</v>
      </c>
      <c r="X632" s="11">
        <v>20</v>
      </c>
      <c r="Y632" s="9" t="s">
        <v>566</v>
      </c>
      <c r="Z632" s="9" t="s">
        <v>68</v>
      </c>
      <c r="AA632" s="9" t="s">
        <v>567</v>
      </c>
      <c r="AB632" s="9" t="s">
        <v>67</v>
      </c>
      <c r="AC632" s="9" t="s">
        <v>237</v>
      </c>
      <c r="AD632" s="11">
        <v>2</v>
      </c>
      <c r="AE632" s="9" t="s">
        <v>70</v>
      </c>
      <c r="AF632" s="9" t="s">
        <v>71</v>
      </c>
      <c r="AG632" s="13">
        <v>1</v>
      </c>
      <c r="AH632" s="9" t="s">
        <v>92</v>
      </c>
      <c r="AI632" s="13">
        <v>1521200</v>
      </c>
      <c r="AJ632" s="13">
        <v>3042400</v>
      </c>
      <c r="AK632" s="11">
        <v>0</v>
      </c>
      <c r="AL632" s="11">
        <v>0</v>
      </c>
      <c r="AM632" s="11">
        <v>0</v>
      </c>
      <c r="AN632" s="9" t="s">
        <v>67</v>
      </c>
      <c r="AO632" s="11">
        <v>3042400</v>
      </c>
      <c r="AP632" s="13">
        <v>243392</v>
      </c>
      <c r="AQ632" s="13">
        <v>3285792</v>
      </c>
      <c r="AR632" s="11">
        <v>8</v>
      </c>
      <c r="AS632" s="9" t="s">
        <v>72</v>
      </c>
      <c r="AT632" s="12">
        <v>6.56</v>
      </c>
      <c r="AU632" s="9" t="s">
        <v>73</v>
      </c>
      <c r="AV632" s="9" t="s">
        <v>67</v>
      </c>
      <c r="AW632" s="9" t="s">
        <v>1660</v>
      </c>
      <c r="AX632" s="10">
        <v>45996</v>
      </c>
      <c r="AY632" s="9" t="s">
        <v>1661</v>
      </c>
      <c r="AZ632" s="9" t="s">
        <v>67</v>
      </c>
      <c r="BA632" s="9" t="s">
        <v>67</v>
      </c>
      <c r="BB632" s="12">
        <v>8</v>
      </c>
      <c r="BC632" s="9" t="s">
        <v>74</v>
      </c>
      <c r="BD632" s="9" t="s">
        <v>104</v>
      </c>
      <c r="BE632" s="9" t="s">
        <v>75</v>
      </c>
      <c r="BF632" s="11">
        <v>0</v>
      </c>
      <c r="BG632">
        <f t="shared" si="20"/>
        <v>12</v>
      </c>
      <c r="BH632" t="str">
        <f>VLOOKUP(BG632,[1]month!$A:$B,2,0)</f>
        <v>Desember</v>
      </c>
      <c r="BI632">
        <f t="shared" si="21"/>
        <v>2025</v>
      </c>
      <c r="BJ632" t="str">
        <f>VLOOKUP(I632,[1]Dist!$A:$B,2,0)</f>
        <v>Industry</v>
      </c>
      <c r="BK632" t="str">
        <f>IF(I632=11,VLOOKUP(Y632,[2]Sheet1!$C:$N,10,0),IF(I632=13,VLOOKUP(Y632,[3]Sheet1!$C:$N,10,0),IF(I632=15,VLOOKUP(Y632,[4]Sheet1!$C:$N,10,0),"Unknown")))</f>
        <v>COMPLEMENTARY</v>
      </c>
      <c r="BL632" t="str">
        <f>IF(I632=11,VLOOKUP(Y632,[2]Sheet1!$C:$N,12,0),IF(I632=13,VLOOKUP(Y632,[3]Sheet1!$C:$N,12,0),IF(I632=15,VLOOKUP(Y632,[4]Sheet1!$C:$N,12,0),"Unknown")))</f>
        <v>PASTA</v>
      </c>
      <c r="BM632" t="str">
        <f>VLOOKUP(W632,[1]branch!$A:$B,2,0)</f>
        <v>INDUSTRY</v>
      </c>
    </row>
    <row r="633" spans="1:65" x14ac:dyDescent="0.35">
      <c r="A633" s="10">
        <v>45999</v>
      </c>
      <c r="B633" s="9" t="s">
        <v>1659</v>
      </c>
      <c r="C633" s="9" t="s">
        <v>64</v>
      </c>
      <c r="D633" s="9" t="s">
        <v>92</v>
      </c>
      <c r="E633" s="11">
        <v>30</v>
      </c>
      <c r="F633" s="9" t="s">
        <v>93</v>
      </c>
      <c r="G633" s="9" t="s">
        <v>65</v>
      </c>
      <c r="H633" s="9" t="s">
        <v>66</v>
      </c>
      <c r="I633" s="9">
        <v>11</v>
      </c>
      <c r="J633" s="9" t="s">
        <v>746</v>
      </c>
      <c r="K633" s="9" t="s">
        <v>746</v>
      </c>
      <c r="L633" s="9" t="s">
        <v>746</v>
      </c>
      <c r="M633" s="9" t="s">
        <v>747</v>
      </c>
      <c r="N633" s="9" t="s">
        <v>748</v>
      </c>
      <c r="O633" s="9" t="s">
        <v>97</v>
      </c>
      <c r="P633" s="9" t="s">
        <v>67</v>
      </c>
      <c r="Q633" s="9" t="s">
        <v>98</v>
      </c>
      <c r="R633" s="9" t="s">
        <v>746</v>
      </c>
      <c r="S633" s="9" t="s">
        <v>747</v>
      </c>
      <c r="T633" s="9" t="s">
        <v>835</v>
      </c>
      <c r="U633" s="9" t="s">
        <v>67</v>
      </c>
      <c r="V633" s="9" t="s">
        <v>194</v>
      </c>
      <c r="W633" s="9" t="s">
        <v>195</v>
      </c>
      <c r="X633" s="11">
        <v>30</v>
      </c>
      <c r="Y633" s="9" t="s">
        <v>211</v>
      </c>
      <c r="Z633" s="9" t="s">
        <v>68</v>
      </c>
      <c r="AA633" s="9" t="s">
        <v>212</v>
      </c>
      <c r="AB633" s="9" t="s">
        <v>67</v>
      </c>
      <c r="AC633" s="9" t="s">
        <v>139</v>
      </c>
      <c r="AD633" s="11">
        <v>1</v>
      </c>
      <c r="AE633" s="9" t="s">
        <v>70</v>
      </c>
      <c r="AF633" s="9" t="s">
        <v>71</v>
      </c>
      <c r="AG633" s="13">
        <v>1</v>
      </c>
      <c r="AH633" s="9" t="s">
        <v>92</v>
      </c>
      <c r="AI633" s="13">
        <v>990000</v>
      </c>
      <c r="AJ633" s="13">
        <v>990000</v>
      </c>
      <c r="AK633" s="11">
        <v>0</v>
      </c>
      <c r="AL633" s="11">
        <v>0</v>
      </c>
      <c r="AM633" s="11">
        <v>0</v>
      </c>
      <c r="AN633" s="9" t="s">
        <v>67</v>
      </c>
      <c r="AO633" s="11">
        <v>990000</v>
      </c>
      <c r="AP633" s="13">
        <v>79200</v>
      </c>
      <c r="AQ633" s="13">
        <v>1069200</v>
      </c>
      <c r="AR633" s="12">
        <v>17.600000000000001</v>
      </c>
      <c r="AS633" s="9" t="s">
        <v>72</v>
      </c>
      <c r="AT633" s="11">
        <v>20</v>
      </c>
      <c r="AU633" s="9" t="s">
        <v>73</v>
      </c>
      <c r="AV633" s="9" t="s">
        <v>67</v>
      </c>
      <c r="AW633" s="9" t="s">
        <v>1660</v>
      </c>
      <c r="AX633" s="10">
        <v>45996</v>
      </c>
      <c r="AY633" s="9" t="s">
        <v>1661</v>
      </c>
      <c r="AZ633" s="9" t="s">
        <v>67</v>
      </c>
      <c r="BA633" s="9" t="s">
        <v>67</v>
      </c>
      <c r="BB633" s="12">
        <v>20</v>
      </c>
      <c r="BC633" s="9" t="s">
        <v>74</v>
      </c>
      <c r="BD633" s="9" t="s">
        <v>104</v>
      </c>
      <c r="BE633" s="9" t="s">
        <v>75</v>
      </c>
      <c r="BF633" s="11">
        <v>0</v>
      </c>
      <c r="BG633">
        <f t="shared" si="20"/>
        <v>12</v>
      </c>
      <c r="BH633" t="str">
        <f>VLOOKUP(BG633,[1]month!$A:$B,2,0)</f>
        <v>Desember</v>
      </c>
      <c r="BI633">
        <f t="shared" si="21"/>
        <v>2025</v>
      </c>
      <c r="BJ633" t="str">
        <f>VLOOKUP(I633,[1]Dist!$A:$B,2,0)</f>
        <v>Industry</v>
      </c>
      <c r="BK633" t="str">
        <f>IF(I633=11,VLOOKUP(Y633,[2]Sheet1!$C:$N,10,0),IF(I633=13,VLOOKUP(Y633,[3]Sheet1!$C:$N,10,0),IF(I633=15,VLOOKUP(Y633,[4]Sheet1!$C:$N,10,0),"Unknown")))</f>
        <v>THINNER NC</v>
      </c>
      <c r="BL633" t="str">
        <f>IF(I633=11,VLOOKUP(Y633,[2]Sheet1!$C:$N,12,0),IF(I633=13,VLOOKUP(Y633,[3]Sheet1!$C:$N,12,0),IF(I633=15,VLOOKUP(Y633,[4]Sheet1!$C:$N,12,0),"Unknown")))</f>
        <v>THINNER COMPLEMENTARY</v>
      </c>
      <c r="BM633" t="str">
        <f>VLOOKUP(W633,[1]branch!$A:$B,2,0)</f>
        <v>INDUSTRY</v>
      </c>
    </row>
    <row r="634" spans="1:65" x14ac:dyDescent="0.35">
      <c r="A634" s="10">
        <v>45999</v>
      </c>
      <c r="B634" s="9" t="s">
        <v>1662</v>
      </c>
      <c r="C634" s="9" t="s">
        <v>64</v>
      </c>
      <c r="D634" s="9" t="s">
        <v>92</v>
      </c>
      <c r="E634" s="11">
        <v>30</v>
      </c>
      <c r="F634" s="9" t="s">
        <v>93</v>
      </c>
      <c r="G634" s="9" t="s">
        <v>65</v>
      </c>
      <c r="H634" s="9" t="s">
        <v>66</v>
      </c>
      <c r="I634" s="9">
        <v>13</v>
      </c>
      <c r="J634" s="9" t="s">
        <v>1663</v>
      </c>
      <c r="K634" s="9" t="s">
        <v>1663</v>
      </c>
      <c r="L634" s="9" t="s">
        <v>1663</v>
      </c>
      <c r="M634" s="9" t="s">
        <v>1664</v>
      </c>
      <c r="N634" s="9" t="s">
        <v>1665</v>
      </c>
      <c r="O634" s="9" t="s">
        <v>443</v>
      </c>
      <c r="P634" s="9" t="s">
        <v>67</v>
      </c>
      <c r="Q634" s="9" t="s">
        <v>98</v>
      </c>
      <c r="R634" s="9" t="s">
        <v>1663</v>
      </c>
      <c r="S634" s="9" t="s">
        <v>1664</v>
      </c>
      <c r="T634" s="9" t="s">
        <v>1666</v>
      </c>
      <c r="U634" s="9" t="s">
        <v>67</v>
      </c>
      <c r="V634" s="9" t="s">
        <v>761</v>
      </c>
      <c r="W634" s="9" t="s">
        <v>762</v>
      </c>
      <c r="X634" s="11">
        <v>10</v>
      </c>
      <c r="Y634" s="9" t="s">
        <v>448</v>
      </c>
      <c r="Z634" s="9" t="s">
        <v>68</v>
      </c>
      <c r="AA634" s="9" t="s">
        <v>449</v>
      </c>
      <c r="AB634" s="9" t="s">
        <v>67</v>
      </c>
      <c r="AC634" s="9" t="s">
        <v>326</v>
      </c>
      <c r="AD634" s="11">
        <v>24</v>
      </c>
      <c r="AE634" s="9" t="s">
        <v>156</v>
      </c>
      <c r="AF634" s="9" t="s">
        <v>71</v>
      </c>
      <c r="AG634" s="13">
        <v>1</v>
      </c>
      <c r="AH634" s="9" t="s">
        <v>92</v>
      </c>
      <c r="AI634" s="13">
        <v>206364</v>
      </c>
      <c r="AJ634" s="13">
        <v>4952736</v>
      </c>
      <c r="AK634" s="11">
        <v>495274</v>
      </c>
      <c r="AL634" s="11">
        <v>0</v>
      </c>
      <c r="AM634" s="11">
        <v>0</v>
      </c>
      <c r="AN634" s="9" t="s">
        <v>415</v>
      </c>
      <c r="AO634" s="11">
        <v>4457462</v>
      </c>
      <c r="AP634" s="13">
        <v>356597</v>
      </c>
      <c r="AQ634" s="13">
        <v>4814059</v>
      </c>
      <c r="AR634" s="11">
        <v>24</v>
      </c>
      <c r="AS634" s="9" t="s">
        <v>72</v>
      </c>
      <c r="AT634" s="12">
        <v>24.48</v>
      </c>
      <c r="AU634" s="9" t="s">
        <v>73</v>
      </c>
      <c r="AV634" s="9" t="s">
        <v>67</v>
      </c>
      <c r="AW634" s="9" t="s">
        <v>1667</v>
      </c>
      <c r="AX634" s="10">
        <v>45996</v>
      </c>
      <c r="AY634" s="9" t="s">
        <v>1668</v>
      </c>
      <c r="AZ634" s="9" t="s">
        <v>67</v>
      </c>
      <c r="BA634" s="9" t="s">
        <v>67</v>
      </c>
      <c r="BB634" s="12">
        <v>24</v>
      </c>
      <c r="BC634" s="9" t="s">
        <v>74</v>
      </c>
      <c r="BD634" s="9" t="s">
        <v>104</v>
      </c>
      <c r="BE634" s="9" t="s">
        <v>75</v>
      </c>
      <c r="BF634" s="11">
        <v>0</v>
      </c>
      <c r="BG634">
        <f t="shared" si="20"/>
        <v>12</v>
      </c>
      <c r="BH634" t="str">
        <f>VLOOKUP(BG634,[1]month!$A:$B,2,0)</f>
        <v>Desember</v>
      </c>
      <c r="BI634">
        <f t="shared" si="21"/>
        <v>2025</v>
      </c>
      <c r="BJ634" t="str">
        <f>VLOOKUP(I634,[1]Dist!$A:$B,2,0)</f>
        <v>Retail</v>
      </c>
      <c r="BK634" t="str">
        <f>IF(I634=11,VLOOKUP(Y634,[2]Sheet1!$C:$N,10,0),IF(I634=13,VLOOKUP(Y634,[3]Sheet1!$C:$N,10,0),IF(I634=15,VLOOKUP(Y634,[4]Sheet1!$C:$N,10,0),"Unknown")))</f>
        <v>PU MULTIPURPOSE</v>
      </c>
      <c r="BL634" t="str">
        <f>IF(I634=11,VLOOKUP(Y634,[2]Sheet1!$C:$N,12,0),IF(I634=13,VLOOKUP(Y634,[3]Sheet1!$C:$N,12,0),IF(I634=15,VLOOKUP(Y634,[4]Sheet1!$C:$N,12,0),"Unknown")))</f>
        <v>PROPAN MP PU ACR RMX</v>
      </c>
      <c r="BM634" t="str">
        <f>VLOOKUP(W634,[1]branch!$A:$B,2,0)</f>
        <v>HO CHI MINH</v>
      </c>
    </row>
    <row r="635" spans="1:65" x14ac:dyDescent="0.35">
      <c r="A635" s="10">
        <v>45999</v>
      </c>
      <c r="B635" s="9" t="s">
        <v>1669</v>
      </c>
      <c r="C635" s="9" t="s">
        <v>64</v>
      </c>
      <c r="D635" s="9" t="s">
        <v>92</v>
      </c>
      <c r="E635" s="11">
        <v>30</v>
      </c>
      <c r="F635" s="9" t="s">
        <v>93</v>
      </c>
      <c r="G635" s="9" t="s">
        <v>65</v>
      </c>
      <c r="H635" s="9" t="s">
        <v>66</v>
      </c>
      <c r="I635" s="9">
        <v>13</v>
      </c>
      <c r="J635" s="9" t="s">
        <v>846</v>
      </c>
      <c r="K635" s="9" t="s">
        <v>846</v>
      </c>
      <c r="L635" s="9" t="s">
        <v>846</v>
      </c>
      <c r="M635" s="9" t="s">
        <v>1589</v>
      </c>
      <c r="N635" s="9" t="s">
        <v>931</v>
      </c>
      <c r="O635" s="9" t="s">
        <v>601</v>
      </c>
      <c r="P635" s="9" t="s">
        <v>67</v>
      </c>
      <c r="Q635" s="9" t="s">
        <v>98</v>
      </c>
      <c r="R635" s="9" t="s">
        <v>846</v>
      </c>
      <c r="S635" s="9" t="s">
        <v>1589</v>
      </c>
      <c r="T635" s="9" t="s">
        <v>1590</v>
      </c>
      <c r="U635" s="9" t="s">
        <v>67</v>
      </c>
      <c r="V635" s="9" t="s">
        <v>151</v>
      </c>
      <c r="W635" s="9" t="s">
        <v>152</v>
      </c>
      <c r="X635" s="11">
        <v>10</v>
      </c>
      <c r="Y635" s="9" t="s">
        <v>1655</v>
      </c>
      <c r="Z635" s="9" t="s">
        <v>68</v>
      </c>
      <c r="AA635" s="9" t="s">
        <v>1656</v>
      </c>
      <c r="AB635" s="9" t="s">
        <v>67</v>
      </c>
      <c r="AC635" s="9" t="s">
        <v>158</v>
      </c>
      <c r="AD635" s="11">
        <v>1</v>
      </c>
      <c r="AE635" s="9" t="s">
        <v>156</v>
      </c>
      <c r="AF635" s="9" t="s">
        <v>71</v>
      </c>
      <c r="AG635" s="13">
        <v>1</v>
      </c>
      <c r="AH635" s="9" t="s">
        <v>92</v>
      </c>
      <c r="AI635" s="13">
        <v>161111</v>
      </c>
      <c r="AJ635" s="13">
        <v>161111</v>
      </c>
      <c r="AK635" s="11">
        <v>0</v>
      </c>
      <c r="AL635" s="11">
        <v>0</v>
      </c>
      <c r="AM635" s="11">
        <v>0</v>
      </c>
      <c r="AN635" s="9" t="s">
        <v>67</v>
      </c>
      <c r="AO635" s="11">
        <v>161111</v>
      </c>
      <c r="AP635" s="13">
        <v>12889</v>
      </c>
      <c r="AQ635" s="13">
        <v>174000</v>
      </c>
      <c r="AR635" s="11">
        <v>1</v>
      </c>
      <c r="AS635" s="9" t="s">
        <v>72</v>
      </c>
      <c r="AT635" s="12">
        <v>0.6</v>
      </c>
      <c r="AU635" s="9" t="s">
        <v>73</v>
      </c>
      <c r="AV635" s="9" t="s">
        <v>67</v>
      </c>
      <c r="AW635" s="9" t="s">
        <v>1670</v>
      </c>
      <c r="AX635" s="10">
        <v>45999</v>
      </c>
      <c r="AY635" s="9" t="s">
        <v>1671</v>
      </c>
      <c r="AZ635" s="9" t="s">
        <v>67</v>
      </c>
      <c r="BA635" s="9" t="s">
        <v>67</v>
      </c>
      <c r="BB635" s="12">
        <v>1</v>
      </c>
      <c r="BC635" s="9" t="s">
        <v>74</v>
      </c>
      <c r="BD635" s="9" t="s">
        <v>104</v>
      </c>
      <c r="BE635" s="9" t="s">
        <v>75</v>
      </c>
      <c r="BF635" s="11">
        <v>0</v>
      </c>
      <c r="BG635">
        <f t="shared" si="20"/>
        <v>12</v>
      </c>
      <c r="BH635" t="str">
        <f>VLOOKUP(BG635,[1]month!$A:$B,2,0)</f>
        <v>Desember</v>
      </c>
      <c r="BI635">
        <f t="shared" si="21"/>
        <v>2025</v>
      </c>
      <c r="BJ635" t="str">
        <f>VLOOKUP(I635,[1]Dist!$A:$B,2,0)</f>
        <v>Retail</v>
      </c>
      <c r="BK635" t="str">
        <f>IF(I635=11,VLOOKUP(Y635,[2]Sheet1!$C:$N,10,0),IF(I635=13,VLOOKUP(Y635,[3]Sheet1!$C:$N,10,0),IF(I635=15,VLOOKUP(Y635,[4]Sheet1!$C:$N,10,0),"Unknown")))</f>
        <v>METALKOTE</v>
      </c>
      <c r="BL635" t="str">
        <f>IF(I635=11,VLOOKUP(Y635,[2]Sheet1!$C:$N,12,0),IF(I635=13,VLOOKUP(Y635,[3]Sheet1!$C:$N,12,0),IF(I635=15,VLOOKUP(Y635,[4]Sheet1!$C:$N,12,0),"Unknown")))</f>
        <v>METALKOTE-EPOXY SYS</v>
      </c>
      <c r="BM635" t="str">
        <f>VLOOKUP(W635,[1]branch!$A:$B,2,0)</f>
        <v>HO CHI MINH</v>
      </c>
    </row>
    <row r="636" spans="1:65" x14ac:dyDescent="0.35">
      <c r="A636" s="10">
        <v>45999</v>
      </c>
      <c r="B636" s="9" t="s">
        <v>1669</v>
      </c>
      <c r="C636" s="9" t="s">
        <v>64</v>
      </c>
      <c r="D636" s="9" t="s">
        <v>92</v>
      </c>
      <c r="E636" s="11">
        <v>30</v>
      </c>
      <c r="F636" s="9" t="s">
        <v>93</v>
      </c>
      <c r="G636" s="9" t="s">
        <v>65</v>
      </c>
      <c r="H636" s="9" t="s">
        <v>66</v>
      </c>
      <c r="I636" s="9">
        <v>13</v>
      </c>
      <c r="J636" s="9" t="s">
        <v>846</v>
      </c>
      <c r="K636" s="9" t="s">
        <v>846</v>
      </c>
      <c r="L636" s="9" t="s">
        <v>846</v>
      </c>
      <c r="M636" s="9" t="s">
        <v>1589</v>
      </c>
      <c r="N636" s="9" t="s">
        <v>931</v>
      </c>
      <c r="O636" s="9" t="s">
        <v>601</v>
      </c>
      <c r="P636" s="9" t="s">
        <v>67</v>
      </c>
      <c r="Q636" s="9" t="s">
        <v>98</v>
      </c>
      <c r="R636" s="9" t="s">
        <v>846</v>
      </c>
      <c r="S636" s="9" t="s">
        <v>1589</v>
      </c>
      <c r="T636" s="9" t="s">
        <v>1590</v>
      </c>
      <c r="U636" s="9" t="s">
        <v>67</v>
      </c>
      <c r="V636" s="9" t="s">
        <v>151</v>
      </c>
      <c r="W636" s="9" t="s">
        <v>152</v>
      </c>
      <c r="X636" s="11">
        <v>20</v>
      </c>
      <c r="Y636" s="9" t="s">
        <v>1672</v>
      </c>
      <c r="Z636" s="9" t="s">
        <v>68</v>
      </c>
      <c r="AA636" s="9" t="s">
        <v>1673</v>
      </c>
      <c r="AB636" s="9" t="s">
        <v>67</v>
      </c>
      <c r="AC636" s="9" t="s">
        <v>158</v>
      </c>
      <c r="AD636" s="11">
        <v>1</v>
      </c>
      <c r="AE636" s="9" t="s">
        <v>156</v>
      </c>
      <c r="AF636" s="9" t="s">
        <v>71</v>
      </c>
      <c r="AG636" s="13">
        <v>1</v>
      </c>
      <c r="AH636" s="9" t="s">
        <v>92</v>
      </c>
      <c r="AI636" s="13">
        <v>750926</v>
      </c>
      <c r="AJ636" s="13">
        <v>750926</v>
      </c>
      <c r="AK636" s="11">
        <v>0</v>
      </c>
      <c r="AL636" s="11">
        <v>0</v>
      </c>
      <c r="AM636" s="11">
        <v>0</v>
      </c>
      <c r="AN636" s="9" t="s">
        <v>67</v>
      </c>
      <c r="AO636" s="11">
        <v>750926</v>
      </c>
      <c r="AP636" s="13">
        <v>60074</v>
      </c>
      <c r="AQ636" s="13">
        <v>811000</v>
      </c>
      <c r="AR636" s="11">
        <v>5</v>
      </c>
      <c r="AS636" s="9" t="s">
        <v>72</v>
      </c>
      <c r="AT636" s="12">
        <v>2.98</v>
      </c>
      <c r="AU636" s="9" t="s">
        <v>73</v>
      </c>
      <c r="AV636" s="9" t="s">
        <v>67</v>
      </c>
      <c r="AW636" s="9" t="s">
        <v>1670</v>
      </c>
      <c r="AX636" s="10">
        <v>45999</v>
      </c>
      <c r="AY636" s="9" t="s">
        <v>1671</v>
      </c>
      <c r="AZ636" s="9" t="s">
        <v>67</v>
      </c>
      <c r="BA636" s="9" t="s">
        <v>67</v>
      </c>
      <c r="BB636" s="12">
        <v>5</v>
      </c>
      <c r="BC636" s="9" t="s">
        <v>74</v>
      </c>
      <c r="BD636" s="9" t="s">
        <v>104</v>
      </c>
      <c r="BE636" s="9" t="s">
        <v>75</v>
      </c>
      <c r="BF636" s="11">
        <v>0</v>
      </c>
      <c r="BG636">
        <f t="shared" si="20"/>
        <v>12</v>
      </c>
      <c r="BH636" t="str">
        <f>VLOOKUP(BG636,[1]month!$A:$B,2,0)</f>
        <v>Desember</v>
      </c>
      <c r="BI636">
        <f t="shared" si="21"/>
        <v>2025</v>
      </c>
      <c r="BJ636" t="str">
        <f>VLOOKUP(I636,[1]Dist!$A:$B,2,0)</f>
        <v>Retail</v>
      </c>
      <c r="BK636" t="str">
        <f>IF(I636=11,VLOOKUP(Y636,[2]Sheet1!$C:$N,10,0),IF(I636=13,VLOOKUP(Y636,[3]Sheet1!$C:$N,10,0),IF(I636=15,VLOOKUP(Y636,[4]Sheet1!$C:$N,10,0),"Unknown")))</f>
        <v>METALKOTE</v>
      </c>
      <c r="BL636" t="str">
        <f>IF(I636=11,VLOOKUP(Y636,[2]Sheet1!$C:$N,12,0),IF(I636=13,VLOOKUP(Y636,[3]Sheet1!$C:$N,12,0),IF(I636=15,VLOOKUP(Y636,[4]Sheet1!$C:$N,12,0),"Unknown")))</f>
        <v>METALKOTE-EPOXY SYS</v>
      </c>
      <c r="BM636" t="str">
        <f>VLOOKUP(W636,[1]branch!$A:$B,2,0)</f>
        <v>HO CHI MINH</v>
      </c>
    </row>
    <row r="637" spans="1:65" x14ac:dyDescent="0.35">
      <c r="A637" s="10">
        <v>45999</v>
      </c>
      <c r="B637" s="9" t="s">
        <v>1674</v>
      </c>
      <c r="C637" s="9" t="s">
        <v>64</v>
      </c>
      <c r="D637" s="9" t="s">
        <v>92</v>
      </c>
      <c r="E637" s="11">
        <v>0</v>
      </c>
      <c r="F637" s="9" t="s">
        <v>93</v>
      </c>
      <c r="G637" s="9" t="s">
        <v>65</v>
      </c>
      <c r="H637" s="9" t="s">
        <v>66</v>
      </c>
      <c r="I637" s="9">
        <v>11</v>
      </c>
      <c r="J637" s="9" t="s">
        <v>1675</v>
      </c>
      <c r="K637" s="9" t="s">
        <v>1675</v>
      </c>
      <c r="L637" s="9" t="s">
        <v>1675</v>
      </c>
      <c r="M637" s="9" t="s">
        <v>1676</v>
      </c>
      <c r="N637" s="9" t="s">
        <v>1677</v>
      </c>
      <c r="O637" s="9" t="s">
        <v>97</v>
      </c>
      <c r="P637" s="9" t="s">
        <v>67</v>
      </c>
      <c r="Q637" s="9" t="s">
        <v>98</v>
      </c>
      <c r="R637" s="9" t="s">
        <v>1675</v>
      </c>
      <c r="S637" s="9" t="s">
        <v>1676</v>
      </c>
      <c r="T637" s="9" t="s">
        <v>1678</v>
      </c>
      <c r="U637" s="9" t="s">
        <v>67</v>
      </c>
      <c r="V637" s="9" t="s">
        <v>121</v>
      </c>
      <c r="W637" s="9" t="s">
        <v>122</v>
      </c>
      <c r="X637" s="11">
        <v>10</v>
      </c>
      <c r="Y637" s="9" t="s">
        <v>242</v>
      </c>
      <c r="Z637" s="9" t="s">
        <v>68</v>
      </c>
      <c r="AA637" s="9" t="s">
        <v>243</v>
      </c>
      <c r="AB637" s="9" t="s">
        <v>67</v>
      </c>
      <c r="AC637" s="9" t="s">
        <v>217</v>
      </c>
      <c r="AD637" s="11">
        <v>2</v>
      </c>
      <c r="AE637" s="9" t="s">
        <v>70</v>
      </c>
      <c r="AF637" s="9" t="s">
        <v>71</v>
      </c>
      <c r="AG637" s="13">
        <v>1</v>
      </c>
      <c r="AH637" s="9" t="s">
        <v>92</v>
      </c>
      <c r="AI637" s="13">
        <v>3346000</v>
      </c>
      <c r="AJ637" s="13">
        <v>6692000</v>
      </c>
      <c r="AK637" s="11">
        <v>0</v>
      </c>
      <c r="AL637" s="11">
        <v>0</v>
      </c>
      <c r="AM637" s="11">
        <v>0</v>
      </c>
      <c r="AN637" s="9" t="s">
        <v>67</v>
      </c>
      <c r="AO637" s="11">
        <v>6692000</v>
      </c>
      <c r="AP637" s="13">
        <v>535360</v>
      </c>
      <c r="AQ637" s="13">
        <v>7227360</v>
      </c>
      <c r="AR637" s="11">
        <v>40</v>
      </c>
      <c r="AS637" s="9" t="s">
        <v>72</v>
      </c>
      <c r="AT637" s="12">
        <v>33.340000000000003</v>
      </c>
      <c r="AU637" s="9" t="s">
        <v>73</v>
      </c>
      <c r="AV637" s="9" t="s">
        <v>67</v>
      </c>
      <c r="AW637" s="9" t="s">
        <v>1679</v>
      </c>
      <c r="AX637" s="10">
        <v>45999</v>
      </c>
      <c r="AY637" s="9" t="s">
        <v>1680</v>
      </c>
      <c r="AZ637" s="9" t="s">
        <v>67</v>
      </c>
      <c r="BA637" s="9" t="s">
        <v>67</v>
      </c>
      <c r="BB637" s="12">
        <v>40</v>
      </c>
      <c r="BC637" s="9" t="s">
        <v>74</v>
      </c>
      <c r="BD637" s="9" t="s">
        <v>104</v>
      </c>
      <c r="BE637" s="9" t="s">
        <v>75</v>
      </c>
      <c r="BF637" s="11">
        <v>0</v>
      </c>
      <c r="BG637">
        <f t="shared" si="20"/>
        <v>12</v>
      </c>
      <c r="BH637" t="str">
        <f>VLOOKUP(BG637,[1]month!$A:$B,2,0)</f>
        <v>Desember</v>
      </c>
      <c r="BI637">
        <f t="shared" si="21"/>
        <v>2025</v>
      </c>
      <c r="BJ637" t="str">
        <f>VLOOKUP(I637,[1]Dist!$A:$B,2,0)</f>
        <v>Industry</v>
      </c>
      <c r="BK637" t="str">
        <f>IF(I637=11,VLOOKUP(Y637,[2]Sheet1!$C:$N,10,0),IF(I637=13,VLOOKUP(Y637,[3]Sheet1!$C:$N,10,0),IF(I637=15,VLOOKUP(Y637,[4]Sheet1!$C:$N,10,0),"Unknown")))</f>
        <v>PU</v>
      </c>
      <c r="BL637" t="str">
        <f>IF(I637=11,VLOOKUP(Y637,[2]Sheet1!$C:$N,12,0),IF(I637=13,VLOOKUP(Y637,[3]Sheet1!$C:$N,12,0),IF(I637=15,VLOOKUP(Y637,[4]Sheet1!$C:$N,12,0),"Unknown")))</f>
        <v>PU COLOR</v>
      </c>
      <c r="BM637" t="str">
        <f>VLOOKUP(W637,[1]branch!$A:$B,2,0)</f>
        <v>INDUSTRY</v>
      </c>
    </row>
    <row r="638" spans="1:65" x14ac:dyDescent="0.35">
      <c r="A638" s="10">
        <v>45999</v>
      </c>
      <c r="B638" s="9" t="s">
        <v>1674</v>
      </c>
      <c r="C638" s="9" t="s">
        <v>64</v>
      </c>
      <c r="D638" s="9" t="s">
        <v>92</v>
      </c>
      <c r="E638" s="11">
        <v>0</v>
      </c>
      <c r="F638" s="9" t="s">
        <v>93</v>
      </c>
      <c r="G638" s="9" t="s">
        <v>65</v>
      </c>
      <c r="H638" s="9" t="s">
        <v>66</v>
      </c>
      <c r="I638" s="9">
        <v>11</v>
      </c>
      <c r="J638" s="9" t="s">
        <v>1675</v>
      </c>
      <c r="K638" s="9" t="s">
        <v>1675</v>
      </c>
      <c r="L638" s="9" t="s">
        <v>1675</v>
      </c>
      <c r="M638" s="9" t="s">
        <v>1676</v>
      </c>
      <c r="N638" s="9" t="s">
        <v>1677</v>
      </c>
      <c r="O638" s="9" t="s">
        <v>97</v>
      </c>
      <c r="P638" s="9" t="s">
        <v>67</v>
      </c>
      <c r="Q638" s="9" t="s">
        <v>98</v>
      </c>
      <c r="R638" s="9" t="s">
        <v>1675</v>
      </c>
      <c r="S638" s="9" t="s">
        <v>1676</v>
      </c>
      <c r="T638" s="9" t="s">
        <v>1678</v>
      </c>
      <c r="U638" s="9" t="s">
        <v>67</v>
      </c>
      <c r="V638" s="9" t="s">
        <v>121</v>
      </c>
      <c r="W638" s="9" t="s">
        <v>122</v>
      </c>
      <c r="X638" s="11">
        <v>20</v>
      </c>
      <c r="Y638" s="9" t="s">
        <v>123</v>
      </c>
      <c r="Z638" s="9" t="s">
        <v>68</v>
      </c>
      <c r="AA638" s="9" t="s">
        <v>124</v>
      </c>
      <c r="AB638" s="9" t="s">
        <v>67</v>
      </c>
      <c r="AC638" s="9" t="s">
        <v>125</v>
      </c>
      <c r="AD638" s="11">
        <v>1</v>
      </c>
      <c r="AE638" s="9" t="s">
        <v>70</v>
      </c>
      <c r="AF638" s="9" t="s">
        <v>71</v>
      </c>
      <c r="AG638" s="13">
        <v>1</v>
      </c>
      <c r="AH638" s="9" t="s">
        <v>92</v>
      </c>
      <c r="AI638" s="13">
        <v>2838000</v>
      </c>
      <c r="AJ638" s="13">
        <v>2838000</v>
      </c>
      <c r="AK638" s="11">
        <v>0</v>
      </c>
      <c r="AL638" s="11">
        <v>0</v>
      </c>
      <c r="AM638" s="11">
        <v>0</v>
      </c>
      <c r="AN638" s="9" t="s">
        <v>67</v>
      </c>
      <c r="AO638" s="11">
        <v>2838000</v>
      </c>
      <c r="AP638" s="13">
        <v>227040</v>
      </c>
      <c r="AQ638" s="13">
        <v>3065040</v>
      </c>
      <c r="AR638" s="12">
        <v>19.600000000000001</v>
      </c>
      <c r="AS638" s="9" t="s">
        <v>72</v>
      </c>
      <c r="AT638" s="11">
        <v>20</v>
      </c>
      <c r="AU638" s="9" t="s">
        <v>73</v>
      </c>
      <c r="AV638" s="9" t="s">
        <v>67</v>
      </c>
      <c r="AW638" s="9" t="s">
        <v>1679</v>
      </c>
      <c r="AX638" s="10">
        <v>45999</v>
      </c>
      <c r="AY638" s="9" t="s">
        <v>1680</v>
      </c>
      <c r="AZ638" s="9" t="s">
        <v>67</v>
      </c>
      <c r="BA638" s="9" t="s">
        <v>67</v>
      </c>
      <c r="BB638" s="12">
        <v>20</v>
      </c>
      <c r="BC638" s="9" t="s">
        <v>74</v>
      </c>
      <c r="BD638" s="9" t="s">
        <v>104</v>
      </c>
      <c r="BE638" s="9" t="s">
        <v>75</v>
      </c>
      <c r="BF638" s="11">
        <v>0</v>
      </c>
      <c r="BG638">
        <f t="shared" si="20"/>
        <v>12</v>
      </c>
      <c r="BH638" t="str">
        <f>VLOOKUP(BG638,[1]month!$A:$B,2,0)</f>
        <v>Desember</v>
      </c>
      <c r="BI638">
        <f t="shared" si="21"/>
        <v>2025</v>
      </c>
      <c r="BJ638" t="str">
        <f>VLOOKUP(I638,[1]Dist!$A:$B,2,0)</f>
        <v>Industry</v>
      </c>
      <c r="BK638" t="str">
        <f>IF(I638=11,VLOOKUP(Y638,[2]Sheet1!$C:$N,10,0),IF(I638=13,VLOOKUP(Y638,[3]Sheet1!$C:$N,10,0),IF(I638=15,VLOOKUP(Y638,[4]Sheet1!$C:$N,10,0),"Unknown")))</f>
        <v>PU</v>
      </c>
      <c r="BL638" t="str">
        <f>IF(I638=11,VLOOKUP(Y638,[2]Sheet1!$C:$N,12,0),IF(I638=13,VLOOKUP(Y638,[3]Sheet1!$C:$N,12,0),IF(I638=15,VLOOKUP(Y638,[4]Sheet1!$C:$N,12,0),"Unknown")))</f>
        <v>PU HARDENER</v>
      </c>
      <c r="BM638" t="str">
        <f>VLOOKUP(W638,[1]branch!$A:$B,2,0)</f>
        <v>INDUSTRY</v>
      </c>
    </row>
    <row r="639" spans="1:65" x14ac:dyDescent="0.35">
      <c r="A639" s="10">
        <v>45999</v>
      </c>
      <c r="B639" s="9" t="s">
        <v>1674</v>
      </c>
      <c r="C639" s="9" t="s">
        <v>64</v>
      </c>
      <c r="D639" s="9" t="s">
        <v>92</v>
      </c>
      <c r="E639" s="11">
        <v>0</v>
      </c>
      <c r="F639" s="9" t="s">
        <v>93</v>
      </c>
      <c r="G639" s="9" t="s">
        <v>65</v>
      </c>
      <c r="H639" s="9" t="s">
        <v>66</v>
      </c>
      <c r="I639" s="9">
        <v>11</v>
      </c>
      <c r="J639" s="9" t="s">
        <v>1675</v>
      </c>
      <c r="K639" s="9" t="s">
        <v>1675</v>
      </c>
      <c r="L639" s="9" t="s">
        <v>1675</v>
      </c>
      <c r="M639" s="9" t="s">
        <v>1676</v>
      </c>
      <c r="N639" s="9" t="s">
        <v>1677</v>
      </c>
      <c r="O639" s="9" t="s">
        <v>97</v>
      </c>
      <c r="P639" s="9" t="s">
        <v>67</v>
      </c>
      <c r="Q639" s="9" t="s">
        <v>98</v>
      </c>
      <c r="R639" s="9" t="s">
        <v>1675</v>
      </c>
      <c r="S639" s="9" t="s">
        <v>1676</v>
      </c>
      <c r="T639" s="9" t="s">
        <v>1678</v>
      </c>
      <c r="U639" s="9" t="s">
        <v>67</v>
      </c>
      <c r="V639" s="9" t="s">
        <v>121</v>
      </c>
      <c r="W639" s="9" t="s">
        <v>122</v>
      </c>
      <c r="X639" s="11">
        <v>30</v>
      </c>
      <c r="Y639" s="9" t="s">
        <v>240</v>
      </c>
      <c r="Z639" s="9" t="s">
        <v>68</v>
      </c>
      <c r="AA639" s="9" t="s">
        <v>241</v>
      </c>
      <c r="AB639" s="9" t="s">
        <v>67</v>
      </c>
      <c r="AC639" s="9" t="s">
        <v>237</v>
      </c>
      <c r="AD639" s="11">
        <v>1</v>
      </c>
      <c r="AE639" s="9" t="s">
        <v>70</v>
      </c>
      <c r="AF639" s="9" t="s">
        <v>71</v>
      </c>
      <c r="AG639" s="13">
        <v>1</v>
      </c>
      <c r="AH639" s="9" t="s">
        <v>92</v>
      </c>
      <c r="AI639" s="13">
        <v>2676400</v>
      </c>
      <c r="AJ639" s="13">
        <v>2676400</v>
      </c>
      <c r="AK639" s="11">
        <v>0</v>
      </c>
      <c r="AL639" s="11">
        <v>0</v>
      </c>
      <c r="AM639" s="11">
        <v>0</v>
      </c>
      <c r="AN639" s="9" t="s">
        <v>67</v>
      </c>
      <c r="AO639" s="11">
        <v>2676400</v>
      </c>
      <c r="AP639" s="13">
        <v>214112</v>
      </c>
      <c r="AQ639" s="13">
        <v>2890512</v>
      </c>
      <c r="AR639" s="11">
        <v>4</v>
      </c>
      <c r="AS639" s="9" t="s">
        <v>72</v>
      </c>
      <c r="AT639" s="12">
        <v>3.81</v>
      </c>
      <c r="AU639" s="9" t="s">
        <v>73</v>
      </c>
      <c r="AV639" s="9" t="s">
        <v>67</v>
      </c>
      <c r="AW639" s="9" t="s">
        <v>1679</v>
      </c>
      <c r="AX639" s="10">
        <v>45999</v>
      </c>
      <c r="AY639" s="9" t="s">
        <v>1680</v>
      </c>
      <c r="AZ639" s="9" t="s">
        <v>67</v>
      </c>
      <c r="BA639" s="9" t="s">
        <v>67</v>
      </c>
      <c r="BB639" s="12">
        <v>4</v>
      </c>
      <c r="BC639" s="9" t="s">
        <v>74</v>
      </c>
      <c r="BD639" s="9" t="s">
        <v>104</v>
      </c>
      <c r="BE639" s="9" t="s">
        <v>75</v>
      </c>
      <c r="BF639" s="11">
        <v>0</v>
      </c>
      <c r="BG639">
        <f t="shared" si="20"/>
        <v>12</v>
      </c>
      <c r="BH639" t="str">
        <f>VLOOKUP(BG639,[1]month!$A:$B,2,0)</f>
        <v>Desember</v>
      </c>
      <c r="BI639">
        <f t="shared" si="21"/>
        <v>2025</v>
      </c>
      <c r="BJ639" t="str">
        <f>VLOOKUP(I639,[1]Dist!$A:$B,2,0)</f>
        <v>Industry</v>
      </c>
      <c r="BK639" t="str">
        <f>IF(I639=11,VLOOKUP(Y639,[2]Sheet1!$C:$N,10,0),IF(I639=13,VLOOKUP(Y639,[3]Sheet1!$C:$N,10,0),IF(I639=15,VLOOKUP(Y639,[4]Sheet1!$C:$N,10,0),"Unknown")))</f>
        <v>COMPLEMENTARY</v>
      </c>
      <c r="BL639" t="str">
        <f>IF(I639=11,VLOOKUP(Y639,[2]Sheet1!$C:$N,12,0),IF(I639=13,VLOOKUP(Y639,[3]Sheet1!$C:$N,12,0),IF(I639=15,VLOOKUP(Y639,[4]Sheet1!$C:$N,12,0),"Unknown")))</f>
        <v>PASTA</v>
      </c>
      <c r="BM639" t="str">
        <f>VLOOKUP(W639,[1]branch!$A:$B,2,0)</f>
        <v>INDUSTRY</v>
      </c>
    </row>
    <row r="640" spans="1:65" x14ac:dyDescent="0.35">
      <c r="A640" s="10">
        <v>45999</v>
      </c>
      <c r="B640" s="9" t="s">
        <v>1681</v>
      </c>
      <c r="C640" s="9" t="s">
        <v>64</v>
      </c>
      <c r="D640" s="9" t="s">
        <v>92</v>
      </c>
      <c r="E640" s="11">
        <v>30</v>
      </c>
      <c r="F640" s="9" t="s">
        <v>93</v>
      </c>
      <c r="G640" s="9" t="s">
        <v>65</v>
      </c>
      <c r="H640" s="9" t="s">
        <v>66</v>
      </c>
      <c r="I640" s="9">
        <v>13</v>
      </c>
      <c r="J640" s="9" t="s">
        <v>846</v>
      </c>
      <c r="K640" s="9" t="s">
        <v>846</v>
      </c>
      <c r="L640" s="9" t="s">
        <v>846</v>
      </c>
      <c r="M640" s="9" t="s">
        <v>1589</v>
      </c>
      <c r="N640" s="9" t="s">
        <v>931</v>
      </c>
      <c r="O640" s="9" t="s">
        <v>601</v>
      </c>
      <c r="P640" s="9" t="s">
        <v>67</v>
      </c>
      <c r="Q640" s="9" t="s">
        <v>98</v>
      </c>
      <c r="R640" s="9" t="s">
        <v>846</v>
      </c>
      <c r="S640" s="9" t="s">
        <v>1589</v>
      </c>
      <c r="T640" s="9" t="s">
        <v>1590</v>
      </c>
      <c r="U640" s="9" t="s">
        <v>67</v>
      </c>
      <c r="V640" s="9" t="s">
        <v>151</v>
      </c>
      <c r="W640" s="9" t="s">
        <v>152</v>
      </c>
      <c r="X640" s="11">
        <v>10</v>
      </c>
      <c r="Y640" s="9" t="s">
        <v>340</v>
      </c>
      <c r="Z640" s="9" t="s">
        <v>68</v>
      </c>
      <c r="AA640" s="9" t="s">
        <v>341</v>
      </c>
      <c r="AB640" s="9" t="s">
        <v>67</v>
      </c>
      <c r="AC640" s="9" t="s">
        <v>270</v>
      </c>
      <c r="AD640" s="11">
        <v>1</v>
      </c>
      <c r="AE640" s="9" t="s">
        <v>70</v>
      </c>
      <c r="AF640" s="9" t="s">
        <v>71</v>
      </c>
      <c r="AG640" s="13">
        <v>1</v>
      </c>
      <c r="AH640" s="9" t="s">
        <v>92</v>
      </c>
      <c r="AI640" s="13">
        <v>88889</v>
      </c>
      <c r="AJ640" s="13">
        <v>88889</v>
      </c>
      <c r="AK640" s="11">
        <v>0</v>
      </c>
      <c r="AL640" s="11">
        <v>0</v>
      </c>
      <c r="AM640" s="11">
        <v>0</v>
      </c>
      <c r="AN640" s="9" t="s">
        <v>67</v>
      </c>
      <c r="AO640" s="11">
        <v>88889</v>
      </c>
      <c r="AP640" s="13">
        <v>7111</v>
      </c>
      <c r="AQ640" s="13">
        <v>96000</v>
      </c>
      <c r="AR640" s="12">
        <v>0.66400000000000003</v>
      </c>
      <c r="AS640" s="9" t="s">
        <v>72</v>
      </c>
      <c r="AT640" s="12">
        <v>0.8</v>
      </c>
      <c r="AU640" s="9" t="s">
        <v>73</v>
      </c>
      <c r="AV640" s="9" t="s">
        <v>67</v>
      </c>
      <c r="AW640" s="9" t="s">
        <v>1682</v>
      </c>
      <c r="AX640" s="10">
        <v>45999</v>
      </c>
      <c r="AY640" s="9" t="s">
        <v>1683</v>
      </c>
      <c r="AZ640" s="9" t="s">
        <v>67</v>
      </c>
      <c r="BA640" s="9" t="s">
        <v>67</v>
      </c>
      <c r="BB640" s="12">
        <v>0.8</v>
      </c>
      <c r="BC640" s="9" t="s">
        <v>74</v>
      </c>
      <c r="BD640" s="9" t="s">
        <v>104</v>
      </c>
      <c r="BE640" s="9" t="s">
        <v>75</v>
      </c>
      <c r="BF640" s="11">
        <v>0</v>
      </c>
      <c r="BG640">
        <f t="shared" si="20"/>
        <v>12</v>
      </c>
      <c r="BH640" t="str">
        <f>VLOOKUP(BG640,[1]month!$A:$B,2,0)</f>
        <v>Desember</v>
      </c>
      <c r="BI640">
        <f t="shared" si="21"/>
        <v>2025</v>
      </c>
      <c r="BJ640" t="str">
        <f>VLOOKUP(I640,[1]Dist!$A:$B,2,0)</f>
        <v>Retail</v>
      </c>
      <c r="BK640" t="str">
        <f>IF(I640=11,VLOOKUP(Y640,[2]Sheet1!$C:$N,10,0),IF(I640=13,VLOOKUP(Y640,[3]Sheet1!$C:$N,10,0),IF(I640=15,VLOOKUP(Y640,[4]Sheet1!$C:$N,10,0),"Unknown")))</f>
        <v>ULTRAN</v>
      </c>
      <c r="BL640" t="str">
        <f>IF(I640=11,VLOOKUP(Y640,[2]Sheet1!$C:$N,12,0),IF(I640=13,VLOOKUP(Y640,[3]Sheet1!$C:$N,12,0),IF(I640=15,VLOOKUP(Y640,[4]Sheet1!$C:$N,12,0),"Unknown")))</f>
        <v>ULTRAN VERNIS</v>
      </c>
      <c r="BM640" t="str">
        <f>VLOOKUP(W640,[1]branch!$A:$B,2,0)</f>
        <v>HO CHI MINH</v>
      </c>
    </row>
    <row r="641" spans="1:65" x14ac:dyDescent="0.35">
      <c r="A641" s="10">
        <v>46000</v>
      </c>
      <c r="B641" s="9" t="s">
        <v>1684</v>
      </c>
      <c r="C641" s="9" t="s">
        <v>64</v>
      </c>
      <c r="D641" s="9" t="s">
        <v>92</v>
      </c>
      <c r="E641" s="11">
        <v>30</v>
      </c>
      <c r="F641" s="9" t="s">
        <v>93</v>
      </c>
      <c r="G641" s="9" t="s">
        <v>65</v>
      </c>
      <c r="H641" s="9" t="s">
        <v>66</v>
      </c>
      <c r="I641" s="9">
        <v>11</v>
      </c>
      <c r="J641" s="9" t="s">
        <v>94</v>
      </c>
      <c r="K641" s="9" t="s">
        <v>94</v>
      </c>
      <c r="L641" s="9" t="s">
        <v>94</v>
      </c>
      <c r="M641" s="9" t="s">
        <v>95</v>
      </c>
      <c r="N641" s="9" t="s">
        <v>586</v>
      </c>
      <c r="O641" s="9" t="s">
        <v>97</v>
      </c>
      <c r="P641" s="9" t="s">
        <v>67</v>
      </c>
      <c r="Q641" s="9" t="s">
        <v>98</v>
      </c>
      <c r="R641" s="9" t="s">
        <v>719</v>
      </c>
      <c r="S641" s="9" t="s">
        <v>95</v>
      </c>
      <c r="T641" s="9" t="s">
        <v>720</v>
      </c>
      <c r="U641" s="9" t="s">
        <v>67</v>
      </c>
      <c r="V641" s="9" t="s">
        <v>99</v>
      </c>
      <c r="W641" s="9" t="s">
        <v>100</v>
      </c>
      <c r="X641" s="11">
        <v>60</v>
      </c>
      <c r="Y641" s="9" t="s">
        <v>85</v>
      </c>
      <c r="Z641" s="9" t="s">
        <v>68</v>
      </c>
      <c r="AA641" s="9" t="s">
        <v>86</v>
      </c>
      <c r="AB641" s="9" t="s">
        <v>67</v>
      </c>
      <c r="AC641" s="9" t="s">
        <v>82</v>
      </c>
      <c r="AD641" s="11">
        <v>1</v>
      </c>
      <c r="AE641" s="9" t="s">
        <v>70</v>
      </c>
      <c r="AF641" s="9" t="s">
        <v>71</v>
      </c>
      <c r="AG641" s="13">
        <v>1</v>
      </c>
      <c r="AH641" s="9" t="s">
        <v>92</v>
      </c>
      <c r="AI641" s="13">
        <v>1417200</v>
      </c>
      <c r="AJ641" s="13">
        <v>1417200</v>
      </c>
      <c r="AK641" s="11">
        <v>0</v>
      </c>
      <c r="AL641" s="11">
        <v>0</v>
      </c>
      <c r="AM641" s="11">
        <v>0</v>
      </c>
      <c r="AN641" s="9" t="s">
        <v>67</v>
      </c>
      <c r="AO641" s="11">
        <v>1417200</v>
      </c>
      <c r="AP641" s="13">
        <v>113376</v>
      </c>
      <c r="AQ641" s="13">
        <v>1530576</v>
      </c>
      <c r="AR641" s="11">
        <v>4</v>
      </c>
      <c r="AS641" s="9" t="s">
        <v>72</v>
      </c>
      <c r="AT641" s="12">
        <v>4.76</v>
      </c>
      <c r="AU641" s="9" t="s">
        <v>73</v>
      </c>
      <c r="AV641" s="9" t="s">
        <v>67</v>
      </c>
      <c r="AW641" s="9" t="s">
        <v>1685</v>
      </c>
      <c r="AX641" s="10">
        <v>45999</v>
      </c>
      <c r="AY641" s="9" t="s">
        <v>1686</v>
      </c>
      <c r="AZ641" s="9" t="s">
        <v>67</v>
      </c>
      <c r="BA641" s="9" t="s">
        <v>67</v>
      </c>
      <c r="BB641" s="12">
        <v>4</v>
      </c>
      <c r="BC641" s="9" t="s">
        <v>74</v>
      </c>
      <c r="BD641" s="9" t="s">
        <v>104</v>
      </c>
      <c r="BE641" s="9" t="s">
        <v>75</v>
      </c>
      <c r="BF641" s="11">
        <v>0</v>
      </c>
      <c r="BG641">
        <f t="shared" si="20"/>
        <v>12</v>
      </c>
      <c r="BH641" t="str">
        <f>VLOOKUP(BG641,[1]month!$A:$B,2,0)</f>
        <v>Desember</v>
      </c>
      <c r="BI641">
        <f t="shared" si="21"/>
        <v>2025</v>
      </c>
      <c r="BJ641" t="str">
        <f>VLOOKUP(I641,[1]Dist!$A:$B,2,0)</f>
        <v>Industry</v>
      </c>
      <c r="BK641" t="str">
        <f>IF(I641=11,VLOOKUP(Y641,[2]Sheet1!$C:$N,10,0),IF(I641=13,VLOOKUP(Y641,[3]Sheet1!$C:$N,10,0),IF(I641=15,VLOOKUP(Y641,[4]Sheet1!$C:$N,10,0),"Unknown")))</f>
        <v>STAIN &amp; GLAZE INTERIOR</v>
      </c>
      <c r="BL641" t="str">
        <f>IF(I641=11,VLOOKUP(Y641,[2]Sheet1!$C:$N,12,0),IF(I641=13,VLOOKUP(Y641,[3]Sheet1!$C:$N,12,0),IF(I641=15,VLOOKUP(Y641,[4]Sheet1!$C:$N,12,0),"Unknown")))</f>
        <v>STAIN INTERIOR</v>
      </c>
      <c r="BM641" t="str">
        <f>VLOOKUP(W641,[1]branch!$A:$B,2,0)</f>
        <v>INDUSTRY</v>
      </c>
    </row>
    <row r="642" spans="1:65" x14ac:dyDescent="0.35">
      <c r="A642" s="10">
        <v>46000</v>
      </c>
      <c r="B642" s="9" t="s">
        <v>1684</v>
      </c>
      <c r="C642" s="9" t="s">
        <v>64</v>
      </c>
      <c r="D642" s="9" t="s">
        <v>92</v>
      </c>
      <c r="E642" s="11">
        <v>30</v>
      </c>
      <c r="F642" s="9" t="s">
        <v>93</v>
      </c>
      <c r="G642" s="9" t="s">
        <v>65</v>
      </c>
      <c r="H642" s="9" t="s">
        <v>66</v>
      </c>
      <c r="I642" s="9">
        <v>11</v>
      </c>
      <c r="J642" s="9" t="s">
        <v>94</v>
      </c>
      <c r="K642" s="9" t="s">
        <v>94</v>
      </c>
      <c r="L642" s="9" t="s">
        <v>94</v>
      </c>
      <c r="M642" s="9" t="s">
        <v>95</v>
      </c>
      <c r="N642" s="9" t="s">
        <v>586</v>
      </c>
      <c r="O642" s="9" t="s">
        <v>97</v>
      </c>
      <c r="P642" s="9" t="s">
        <v>67</v>
      </c>
      <c r="Q642" s="9" t="s">
        <v>98</v>
      </c>
      <c r="R642" s="9" t="s">
        <v>719</v>
      </c>
      <c r="S642" s="9" t="s">
        <v>95</v>
      </c>
      <c r="T642" s="9" t="s">
        <v>720</v>
      </c>
      <c r="U642" s="9" t="s">
        <v>67</v>
      </c>
      <c r="V642" s="9" t="s">
        <v>99</v>
      </c>
      <c r="W642" s="9" t="s">
        <v>100</v>
      </c>
      <c r="X642" s="11">
        <v>70</v>
      </c>
      <c r="Y642" s="9" t="s">
        <v>80</v>
      </c>
      <c r="Z642" s="9" t="s">
        <v>68</v>
      </c>
      <c r="AA642" s="9" t="s">
        <v>81</v>
      </c>
      <c r="AB642" s="9" t="s">
        <v>67</v>
      </c>
      <c r="AC642" s="9" t="s">
        <v>82</v>
      </c>
      <c r="AD642" s="11">
        <v>1</v>
      </c>
      <c r="AE642" s="9" t="s">
        <v>70</v>
      </c>
      <c r="AF642" s="9" t="s">
        <v>71</v>
      </c>
      <c r="AG642" s="13">
        <v>1</v>
      </c>
      <c r="AH642" s="9" t="s">
        <v>92</v>
      </c>
      <c r="AI642" s="13">
        <v>613600</v>
      </c>
      <c r="AJ642" s="13">
        <v>613600</v>
      </c>
      <c r="AK642" s="11">
        <v>0</v>
      </c>
      <c r="AL642" s="11">
        <v>0</v>
      </c>
      <c r="AM642" s="11">
        <v>0</v>
      </c>
      <c r="AN642" s="9" t="s">
        <v>67</v>
      </c>
      <c r="AO642" s="11">
        <v>613600</v>
      </c>
      <c r="AP642" s="13">
        <v>49088</v>
      </c>
      <c r="AQ642" s="13">
        <v>662688</v>
      </c>
      <c r="AR642" s="11">
        <v>4</v>
      </c>
      <c r="AS642" s="9" t="s">
        <v>72</v>
      </c>
      <c r="AT642" s="12">
        <v>4.76</v>
      </c>
      <c r="AU642" s="9" t="s">
        <v>73</v>
      </c>
      <c r="AV642" s="9" t="s">
        <v>67</v>
      </c>
      <c r="AW642" s="9" t="s">
        <v>1685</v>
      </c>
      <c r="AX642" s="10">
        <v>45999</v>
      </c>
      <c r="AY642" s="9" t="s">
        <v>1686</v>
      </c>
      <c r="AZ642" s="9" t="s">
        <v>67</v>
      </c>
      <c r="BA642" s="9" t="s">
        <v>67</v>
      </c>
      <c r="BB642" s="12">
        <v>4</v>
      </c>
      <c r="BC642" s="9" t="s">
        <v>74</v>
      </c>
      <c r="BD642" s="9" t="s">
        <v>104</v>
      </c>
      <c r="BE642" s="9" t="s">
        <v>75</v>
      </c>
      <c r="BF642" s="11">
        <v>0</v>
      </c>
      <c r="BG642">
        <f t="shared" si="20"/>
        <v>12</v>
      </c>
      <c r="BH642" t="str">
        <f>VLOOKUP(BG642,[1]month!$A:$B,2,0)</f>
        <v>Desember</v>
      </c>
      <c r="BI642">
        <f t="shared" si="21"/>
        <v>2025</v>
      </c>
      <c r="BJ642" t="str">
        <f>VLOOKUP(I642,[1]Dist!$A:$B,2,0)</f>
        <v>Industry</v>
      </c>
      <c r="BK642" t="str">
        <f>IF(I642=11,VLOOKUP(Y642,[2]Sheet1!$C:$N,10,0),IF(I642=13,VLOOKUP(Y642,[3]Sheet1!$C:$N,10,0),IF(I642=15,VLOOKUP(Y642,[4]Sheet1!$C:$N,10,0),"Unknown")))</f>
        <v>STAIN &amp; GLAZE INTERIOR</v>
      </c>
      <c r="BL642" t="str">
        <f>IF(I642=11,VLOOKUP(Y642,[2]Sheet1!$C:$N,12,0),IF(I642=13,VLOOKUP(Y642,[3]Sheet1!$C:$N,12,0),IF(I642=15,VLOOKUP(Y642,[4]Sheet1!$C:$N,12,0),"Unknown")))</f>
        <v>STAIN INTERIOR</v>
      </c>
      <c r="BM642" t="str">
        <f>VLOOKUP(W642,[1]branch!$A:$B,2,0)</f>
        <v>INDUSTRY</v>
      </c>
    </row>
    <row r="643" spans="1:65" x14ac:dyDescent="0.35">
      <c r="A643" s="10">
        <v>46000</v>
      </c>
      <c r="B643" s="9" t="s">
        <v>1684</v>
      </c>
      <c r="C643" s="9" t="s">
        <v>64</v>
      </c>
      <c r="D643" s="9" t="s">
        <v>92</v>
      </c>
      <c r="E643" s="11">
        <v>30</v>
      </c>
      <c r="F643" s="9" t="s">
        <v>93</v>
      </c>
      <c r="G643" s="9" t="s">
        <v>65</v>
      </c>
      <c r="H643" s="9" t="s">
        <v>66</v>
      </c>
      <c r="I643" s="9">
        <v>11</v>
      </c>
      <c r="J643" s="9" t="s">
        <v>94</v>
      </c>
      <c r="K643" s="9" t="s">
        <v>94</v>
      </c>
      <c r="L643" s="9" t="s">
        <v>94</v>
      </c>
      <c r="M643" s="9" t="s">
        <v>95</v>
      </c>
      <c r="N643" s="9" t="s">
        <v>586</v>
      </c>
      <c r="O643" s="9" t="s">
        <v>97</v>
      </c>
      <c r="P643" s="9" t="s">
        <v>67</v>
      </c>
      <c r="Q643" s="9" t="s">
        <v>98</v>
      </c>
      <c r="R643" s="9" t="s">
        <v>719</v>
      </c>
      <c r="S643" s="9" t="s">
        <v>95</v>
      </c>
      <c r="T643" s="9" t="s">
        <v>720</v>
      </c>
      <c r="U643" s="9" t="s">
        <v>67</v>
      </c>
      <c r="V643" s="9" t="s">
        <v>99</v>
      </c>
      <c r="W643" s="9" t="s">
        <v>100</v>
      </c>
      <c r="X643" s="11">
        <v>80</v>
      </c>
      <c r="Y643" s="9" t="s">
        <v>83</v>
      </c>
      <c r="Z643" s="9" t="s">
        <v>68</v>
      </c>
      <c r="AA643" s="9" t="s">
        <v>84</v>
      </c>
      <c r="AB643" s="9" t="s">
        <v>67</v>
      </c>
      <c r="AC643" s="9" t="s">
        <v>82</v>
      </c>
      <c r="AD643" s="11">
        <v>1</v>
      </c>
      <c r="AE643" s="9" t="s">
        <v>70</v>
      </c>
      <c r="AF643" s="9" t="s">
        <v>71</v>
      </c>
      <c r="AG643" s="13">
        <v>1</v>
      </c>
      <c r="AH643" s="9" t="s">
        <v>92</v>
      </c>
      <c r="AI643" s="13">
        <v>992000</v>
      </c>
      <c r="AJ643" s="13">
        <v>992000</v>
      </c>
      <c r="AK643" s="11">
        <v>0</v>
      </c>
      <c r="AL643" s="11">
        <v>0</v>
      </c>
      <c r="AM643" s="11">
        <v>0</v>
      </c>
      <c r="AN643" s="9" t="s">
        <v>67</v>
      </c>
      <c r="AO643" s="11">
        <v>992000</v>
      </c>
      <c r="AP643" s="13">
        <v>79360</v>
      </c>
      <c r="AQ643" s="13">
        <v>1071360</v>
      </c>
      <c r="AR643" s="11">
        <v>4</v>
      </c>
      <c r="AS643" s="9" t="s">
        <v>72</v>
      </c>
      <c r="AT643" s="12">
        <v>4.71</v>
      </c>
      <c r="AU643" s="9" t="s">
        <v>73</v>
      </c>
      <c r="AV643" s="9" t="s">
        <v>67</v>
      </c>
      <c r="AW643" s="9" t="s">
        <v>1685</v>
      </c>
      <c r="AX643" s="10">
        <v>45999</v>
      </c>
      <c r="AY643" s="9" t="s">
        <v>1686</v>
      </c>
      <c r="AZ643" s="9" t="s">
        <v>67</v>
      </c>
      <c r="BA643" s="9" t="s">
        <v>67</v>
      </c>
      <c r="BB643" s="12">
        <v>4</v>
      </c>
      <c r="BC643" s="9" t="s">
        <v>74</v>
      </c>
      <c r="BD643" s="9" t="s">
        <v>104</v>
      </c>
      <c r="BE643" s="9" t="s">
        <v>75</v>
      </c>
      <c r="BF643" s="11">
        <v>0</v>
      </c>
      <c r="BG643">
        <f t="shared" ref="BG643:BG706" si="22">MONTH(A643)</f>
        <v>12</v>
      </c>
      <c r="BH643" t="str">
        <f>VLOOKUP(BG643,[1]month!$A:$B,2,0)</f>
        <v>Desember</v>
      </c>
      <c r="BI643">
        <f t="shared" ref="BI643:BI706" si="23">YEAR(A643)</f>
        <v>2025</v>
      </c>
      <c r="BJ643" t="str">
        <f>VLOOKUP(I643,[1]Dist!$A:$B,2,0)</f>
        <v>Industry</v>
      </c>
      <c r="BK643" t="str">
        <f>IF(I643=11,VLOOKUP(Y643,[2]Sheet1!$C:$N,10,0),IF(I643=13,VLOOKUP(Y643,[3]Sheet1!$C:$N,10,0),IF(I643=15,VLOOKUP(Y643,[4]Sheet1!$C:$N,10,0),"Unknown")))</f>
        <v>STAIN &amp; GLAZE INTERIOR</v>
      </c>
      <c r="BL643" t="str">
        <f>IF(I643=11,VLOOKUP(Y643,[2]Sheet1!$C:$N,12,0),IF(I643=13,VLOOKUP(Y643,[3]Sheet1!$C:$N,12,0),IF(I643=15,VLOOKUP(Y643,[4]Sheet1!$C:$N,12,0),"Unknown")))</f>
        <v>STAIN INTERIOR</v>
      </c>
      <c r="BM643" t="str">
        <f>VLOOKUP(W643,[1]branch!$A:$B,2,0)</f>
        <v>INDUSTRY</v>
      </c>
    </row>
    <row r="644" spans="1:65" x14ac:dyDescent="0.35">
      <c r="A644" s="10">
        <v>46000</v>
      </c>
      <c r="B644" s="9" t="s">
        <v>1684</v>
      </c>
      <c r="C644" s="9" t="s">
        <v>64</v>
      </c>
      <c r="D644" s="9" t="s">
        <v>92</v>
      </c>
      <c r="E644" s="11">
        <v>30</v>
      </c>
      <c r="F644" s="9" t="s">
        <v>93</v>
      </c>
      <c r="G644" s="9" t="s">
        <v>65</v>
      </c>
      <c r="H644" s="9" t="s">
        <v>66</v>
      </c>
      <c r="I644" s="9">
        <v>11</v>
      </c>
      <c r="J644" s="9" t="s">
        <v>94</v>
      </c>
      <c r="K644" s="9" t="s">
        <v>94</v>
      </c>
      <c r="L644" s="9" t="s">
        <v>94</v>
      </c>
      <c r="M644" s="9" t="s">
        <v>95</v>
      </c>
      <c r="N644" s="9" t="s">
        <v>586</v>
      </c>
      <c r="O644" s="9" t="s">
        <v>97</v>
      </c>
      <c r="P644" s="9" t="s">
        <v>67</v>
      </c>
      <c r="Q644" s="9" t="s">
        <v>98</v>
      </c>
      <c r="R644" s="9" t="s">
        <v>719</v>
      </c>
      <c r="S644" s="9" t="s">
        <v>95</v>
      </c>
      <c r="T644" s="9" t="s">
        <v>720</v>
      </c>
      <c r="U644" s="9" t="s">
        <v>67</v>
      </c>
      <c r="V644" s="9" t="s">
        <v>99</v>
      </c>
      <c r="W644" s="9" t="s">
        <v>100</v>
      </c>
      <c r="X644" s="11">
        <v>90</v>
      </c>
      <c r="Y644" s="9" t="s">
        <v>1687</v>
      </c>
      <c r="Z644" s="9" t="s">
        <v>68</v>
      </c>
      <c r="AA644" s="9" t="s">
        <v>1688</v>
      </c>
      <c r="AB644" s="9" t="s">
        <v>67</v>
      </c>
      <c r="AC644" s="9" t="s">
        <v>82</v>
      </c>
      <c r="AD644" s="11">
        <v>1</v>
      </c>
      <c r="AE644" s="9" t="s">
        <v>70</v>
      </c>
      <c r="AF644" s="9" t="s">
        <v>71</v>
      </c>
      <c r="AG644" s="13">
        <v>1</v>
      </c>
      <c r="AH644" s="9" t="s">
        <v>92</v>
      </c>
      <c r="AI644" s="13">
        <v>12448000</v>
      </c>
      <c r="AJ644" s="13">
        <v>12448000</v>
      </c>
      <c r="AK644" s="11">
        <v>0</v>
      </c>
      <c r="AL644" s="11">
        <v>0</v>
      </c>
      <c r="AM644" s="11">
        <v>0</v>
      </c>
      <c r="AN644" s="9" t="s">
        <v>67</v>
      </c>
      <c r="AO644" s="11">
        <v>12448000</v>
      </c>
      <c r="AP644" s="13">
        <v>995840</v>
      </c>
      <c r="AQ644" s="13">
        <v>13443840</v>
      </c>
      <c r="AR644" s="11">
        <v>160</v>
      </c>
      <c r="AS644" s="9" t="s">
        <v>72</v>
      </c>
      <c r="AT644" s="12">
        <v>175.82400000000001</v>
      </c>
      <c r="AU644" s="9" t="s">
        <v>73</v>
      </c>
      <c r="AV644" s="9" t="s">
        <v>67</v>
      </c>
      <c r="AW644" s="9" t="s">
        <v>1685</v>
      </c>
      <c r="AX644" s="10">
        <v>45999</v>
      </c>
      <c r="AY644" s="9" t="s">
        <v>1686</v>
      </c>
      <c r="AZ644" s="9" t="s">
        <v>67</v>
      </c>
      <c r="BA644" s="9" t="s">
        <v>67</v>
      </c>
      <c r="BB644" s="12">
        <v>160</v>
      </c>
      <c r="BC644" s="9" t="s">
        <v>74</v>
      </c>
      <c r="BD644" s="9" t="s">
        <v>104</v>
      </c>
      <c r="BE644" s="9" t="s">
        <v>75</v>
      </c>
      <c r="BF644" s="11">
        <v>0</v>
      </c>
      <c r="BG644">
        <f t="shared" si="22"/>
        <v>12</v>
      </c>
      <c r="BH644" t="str">
        <f>VLOOKUP(BG644,[1]month!$A:$B,2,0)</f>
        <v>Desember</v>
      </c>
      <c r="BI644">
        <f t="shared" si="23"/>
        <v>2025</v>
      </c>
      <c r="BJ644" t="str">
        <f>VLOOKUP(I644,[1]Dist!$A:$B,2,0)</f>
        <v>Industry</v>
      </c>
      <c r="BK644" t="str">
        <f>IF(I644=11,VLOOKUP(Y644,[2]Sheet1!$C:$N,10,0),IF(I644=13,VLOOKUP(Y644,[3]Sheet1!$C:$N,10,0),IF(I644=15,VLOOKUP(Y644,[4]Sheet1!$C:$N,10,0),"Unknown")))</f>
        <v>STAIN &amp; GLAZE INTERIOR</v>
      </c>
      <c r="BL644" t="str">
        <f>IF(I644=11,VLOOKUP(Y644,[2]Sheet1!$C:$N,12,0),IF(I644=13,VLOOKUP(Y644,[3]Sheet1!$C:$N,12,0),IF(I644=15,VLOOKUP(Y644,[4]Sheet1!$C:$N,12,0),"Unknown")))</f>
        <v>STAIN INTERIOR</v>
      </c>
      <c r="BM644" t="str">
        <f>VLOOKUP(W644,[1]branch!$A:$B,2,0)</f>
        <v>INDUSTRY</v>
      </c>
    </row>
    <row r="645" spans="1:65" x14ac:dyDescent="0.35">
      <c r="A645" s="10">
        <v>46000</v>
      </c>
      <c r="B645" s="9" t="s">
        <v>1689</v>
      </c>
      <c r="C645" s="9" t="s">
        <v>64</v>
      </c>
      <c r="D645" s="9" t="s">
        <v>92</v>
      </c>
      <c r="E645" s="11">
        <v>30</v>
      </c>
      <c r="F645" s="9" t="s">
        <v>93</v>
      </c>
      <c r="G645" s="9" t="s">
        <v>65</v>
      </c>
      <c r="H645" s="9" t="s">
        <v>66</v>
      </c>
      <c r="I645" s="9">
        <v>11</v>
      </c>
      <c r="J645" s="9" t="s">
        <v>94</v>
      </c>
      <c r="K645" s="9" t="s">
        <v>94</v>
      </c>
      <c r="L645" s="9" t="s">
        <v>94</v>
      </c>
      <c r="M645" s="9" t="s">
        <v>95</v>
      </c>
      <c r="N645" s="9" t="s">
        <v>586</v>
      </c>
      <c r="O645" s="9" t="s">
        <v>97</v>
      </c>
      <c r="P645" s="9" t="s">
        <v>67</v>
      </c>
      <c r="Q645" s="9" t="s">
        <v>98</v>
      </c>
      <c r="R645" s="9" t="s">
        <v>717</v>
      </c>
      <c r="S645" s="9" t="s">
        <v>95</v>
      </c>
      <c r="T645" s="9" t="s">
        <v>718</v>
      </c>
      <c r="U645" s="9" t="s">
        <v>67</v>
      </c>
      <c r="V645" s="9" t="s">
        <v>99</v>
      </c>
      <c r="W645" s="9" t="s">
        <v>100</v>
      </c>
      <c r="X645" s="11">
        <v>10</v>
      </c>
      <c r="Y645" s="9" t="s">
        <v>101</v>
      </c>
      <c r="Z645" s="9" t="s">
        <v>68</v>
      </c>
      <c r="AA645" s="9" t="s">
        <v>102</v>
      </c>
      <c r="AB645" s="9" t="s">
        <v>67</v>
      </c>
      <c r="AC645" s="9" t="s">
        <v>103</v>
      </c>
      <c r="AD645" s="11">
        <v>22</v>
      </c>
      <c r="AE645" s="9" t="s">
        <v>70</v>
      </c>
      <c r="AF645" s="9" t="s">
        <v>71</v>
      </c>
      <c r="AG645" s="13">
        <v>1</v>
      </c>
      <c r="AH645" s="9" t="s">
        <v>92</v>
      </c>
      <c r="AI645" s="13">
        <v>1172000</v>
      </c>
      <c r="AJ645" s="13">
        <v>25784000</v>
      </c>
      <c r="AK645" s="11">
        <v>0</v>
      </c>
      <c r="AL645" s="11">
        <v>0</v>
      </c>
      <c r="AM645" s="11">
        <v>0</v>
      </c>
      <c r="AN645" s="9" t="s">
        <v>67</v>
      </c>
      <c r="AO645" s="11">
        <v>25784000</v>
      </c>
      <c r="AP645" s="13">
        <v>2062720</v>
      </c>
      <c r="AQ645" s="13">
        <v>27846720</v>
      </c>
      <c r="AR645" s="11">
        <v>440</v>
      </c>
      <c r="AS645" s="9" t="s">
        <v>72</v>
      </c>
      <c r="AT645" s="12">
        <v>427.24</v>
      </c>
      <c r="AU645" s="9" t="s">
        <v>73</v>
      </c>
      <c r="AV645" s="9" t="s">
        <v>67</v>
      </c>
      <c r="AW645" s="9" t="s">
        <v>1054</v>
      </c>
      <c r="AX645" s="10">
        <v>45986</v>
      </c>
      <c r="AY645" s="9" t="s">
        <v>1690</v>
      </c>
      <c r="AZ645" s="9" t="s">
        <v>67</v>
      </c>
      <c r="BA645" s="9" t="s">
        <v>67</v>
      </c>
      <c r="BB645" s="12">
        <v>440</v>
      </c>
      <c r="BC645" s="9" t="s">
        <v>74</v>
      </c>
      <c r="BD645" s="9" t="s">
        <v>104</v>
      </c>
      <c r="BE645" s="9" t="s">
        <v>75</v>
      </c>
      <c r="BF645" s="11">
        <v>0</v>
      </c>
      <c r="BG645">
        <f t="shared" si="22"/>
        <v>12</v>
      </c>
      <c r="BH645" t="str">
        <f>VLOOKUP(BG645,[1]month!$A:$B,2,0)</f>
        <v>Desember</v>
      </c>
      <c r="BI645">
        <f t="shared" si="23"/>
        <v>2025</v>
      </c>
      <c r="BJ645" t="str">
        <f>VLOOKUP(I645,[1]Dist!$A:$B,2,0)</f>
        <v>Industry</v>
      </c>
      <c r="BK645" t="str">
        <f>IF(I645=11,VLOOKUP(Y645,[2]Sheet1!$C:$N,10,0),IF(I645=13,VLOOKUP(Y645,[3]Sheet1!$C:$N,10,0),IF(I645=15,VLOOKUP(Y645,[4]Sheet1!$C:$N,10,0),"Unknown")))</f>
        <v>PU</v>
      </c>
      <c r="BL645" t="str">
        <f>IF(I645=11,VLOOKUP(Y645,[2]Sheet1!$C:$N,12,0),IF(I645=13,VLOOKUP(Y645,[3]Sheet1!$C:$N,12,0),IF(I645=15,VLOOKUP(Y645,[4]Sheet1!$C:$N,12,0),"Unknown")))</f>
        <v>PU SANDING SEALER</v>
      </c>
      <c r="BM645" t="str">
        <f>VLOOKUP(W645,[1]branch!$A:$B,2,0)</f>
        <v>INDUSTRY</v>
      </c>
    </row>
    <row r="646" spans="1:65" x14ac:dyDescent="0.35">
      <c r="A646" s="10">
        <v>46000</v>
      </c>
      <c r="B646" s="9" t="s">
        <v>1689</v>
      </c>
      <c r="C646" s="9" t="s">
        <v>64</v>
      </c>
      <c r="D646" s="9" t="s">
        <v>92</v>
      </c>
      <c r="E646" s="11">
        <v>30</v>
      </c>
      <c r="F646" s="9" t="s">
        <v>93</v>
      </c>
      <c r="G646" s="9" t="s">
        <v>65</v>
      </c>
      <c r="H646" s="9" t="s">
        <v>66</v>
      </c>
      <c r="I646" s="9">
        <v>11</v>
      </c>
      <c r="J646" s="9" t="s">
        <v>94</v>
      </c>
      <c r="K646" s="9" t="s">
        <v>94</v>
      </c>
      <c r="L646" s="9" t="s">
        <v>94</v>
      </c>
      <c r="M646" s="9" t="s">
        <v>95</v>
      </c>
      <c r="N646" s="9" t="s">
        <v>586</v>
      </c>
      <c r="O646" s="9" t="s">
        <v>97</v>
      </c>
      <c r="P646" s="9" t="s">
        <v>67</v>
      </c>
      <c r="Q646" s="9" t="s">
        <v>98</v>
      </c>
      <c r="R646" s="9" t="s">
        <v>717</v>
      </c>
      <c r="S646" s="9" t="s">
        <v>95</v>
      </c>
      <c r="T646" s="9" t="s">
        <v>718</v>
      </c>
      <c r="U646" s="9" t="s">
        <v>67</v>
      </c>
      <c r="V646" s="9" t="s">
        <v>99</v>
      </c>
      <c r="W646" s="9" t="s">
        <v>100</v>
      </c>
      <c r="X646" s="11">
        <v>20</v>
      </c>
      <c r="Y646" s="9" t="s">
        <v>105</v>
      </c>
      <c r="Z646" s="9" t="s">
        <v>68</v>
      </c>
      <c r="AA646" s="9" t="s">
        <v>106</v>
      </c>
      <c r="AB646" s="9" t="s">
        <v>67</v>
      </c>
      <c r="AC646" s="9" t="s">
        <v>107</v>
      </c>
      <c r="AD646" s="11">
        <v>15</v>
      </c>
      <c r="AE646" s="9" t="s">
        <v>70</v>
      </c>
      <c r="AF646" s="9" t="s">
        <v>71</v>
      </c>
      <c r="AG646" s="13">
        <v>1</v>
      </c>
      <c r="AH646" s="9" t="s">
        <v>92</v>
      </c>
      <c r="AI646" s="13">
        <v>1978000</v>
      </c>
      <c r="AJ646" s="13">
        <v>29670000</v>
      </c>
      <c r="AK646" s="11">
        <v>0</v>
      </c>
      <c r="AL646" s="11">
        <v>0</v>
      </c>
      <c r="AM646" s="11">
        <v>0</v>
      </c>
      <c r="AN646" s="9" t="s">
        <v>67</v>
      </c>
      <c r="AO646" s="11">
        <v>29670000</v>
      </c>
      <c r="AP646" s="13">
        <v>2373600</v>
      </c>
      <c r="AQ646" s="13">
        <v>32043600</v>
      </c>
      <c r="AR646" s="11">
        <v>300</v>
      </c>
      <c r="AS646" s="9" t="s">
        <v>72</v>
      </c>
      <c r="AT646" s="12">
        <v>319.2</v>
      </c>
      <c r="AU646" s="9" t="s">
        <v>73</v>
      </c>
      <c r="AV646" s="9" t="s">
        <v>67</v>
      </c>
      <c r="AW646" s="9" t="s">
        <v>1054</v>
      </c>
      <c r="AX646" s="10">
        <v>45986</v>
      </c>
      <c r="AY646" s="9" t="s">
        <v>1690</v>
      </c>
      <c r="AZ646" s="9" t="s">
        <v>67</v>
      </c>
      <c r="BA646" s="9" t="s">
        <v>67</v>
      </c>
      <c r="BB646" s="12">
        <v>300</v>
      </c>
      <c r="BC646" s="9" t="s">
        <v>74</v>
      </c>
      <c r="BD646" s="9" t="s">
        <v>104</v>
      </c>
      <c r="BE646" s="9" t="s">
        <v>75</v>
      </c>
      <c r="BF646" s="11">
        <v>0</v>
      </c>
      <c r="BG646">
        <f t="shared" si="22"/>
        <v>12</v>
      </c>
      <c r="BH646" t="str">
        <f>VLOOKUP(BG646,[1]month!$A:$B,2,0)</f>
        <v>Desember</v>
      </c>
      <c r="BI646">
        <f t="shared" si="23"/>
        <v>2025</v>
      </c>
      <c r="BJ646" t="str">
        <f>VLOOKUP(I646,[1]Dist!$A:$B,2,0)</f>
        <v>Industry</v>
      </c>
      <c r="BK646" t="str">
        <f>IF(I646=11,VLOOKUP(Y646,[2]Sheet1!$C:$N,10,0),IF(I646=13,VLOOKUP(Y646,[3]Sheet1!$C:$N,10,0),IF(I646=15,VLOOKUP(Y646,[4]Sheet1!$C:$N,10,0),"Unknown")))</f>
        <v>PU</v>
      </c>
      <c r="BL646" t="str">
        <f>IF(I646=11,VLOOKUP(Y646,[2]Sheet1!$C:$N,12,0),IF(I646=13,VLOOKUP(Y646,[3]Sheet1!$C:$N,12,0),IF(I646=15,VLOOKUP(Y646,[4]Sheet1!$C:$N,12,0),"Unknown")))</f>
        <v>PU HARDENER</v>
      </c>
      <c r="BM646" t="str">
        <f>VLOOKUP(W646,[1]branch!$A:$B,2,0)</f>
        <v>INDUSTRY</v>
      </c>
    </row>
    <row r="647" spans="1:65" x14ac:dyDescent="0.35">
      <c r="A647" s="10">
        <v>46000</v>
      </c>
      <c r="B647" s="9" t="s">
        <v>1689</v>
      </c>
      <c r="C647" s="9" t="s">
        <v>64</v>
      </c>
      <c r="D647" s="9" t="s">
        <v>92</v>
      </c>
      <c r="E647" s="11">
        <v>30</v>
      </c>
      <c r="F647" s="9" t="s">
        <v>93</v>
      </c>
      <c r="G647" s="9" t="s">
        <v>65</v>
      </c>
      <c r="H647" s="9" t="s">
        <v>66</v>
      </c>
      <c r="I647" s="9">
        <v>11</v>
      </c>
      <c r="J647" s="9" t="s">
        <v>94</v>
      </c>
      <c r="K647" s="9" t="s">
        <v>94</v>
      </c>
      <c r="L647" s="9" t="s">
        <v>94</v>
      </c>
      <c r="M647" s="9" t="s">
        <v>95</v>
      </c>
      <c r="N647" s="9" t="s">
        <v>586</v>
      </c>
      <c r="O647" s="9" t="s">
        <v>97</v>
      </c>
      <c r="P647" s="9" t="s">
        <v>67</v>
      </c>
      <c r="Q647" s="9" t="s">
        <v>98</v>
      </c>
      <c r="R647" s="9" t="s">
        <v>717</v>
      </c>
      <c r="S647" s="9" t="s">
        <v>95</v>
      </c>
      <c r="T647" s="9" t="s">
        <v>718</v>
      </c>
      <c r="U647" s="9" t="s">
        <v>67</v>
      </c>
      <c r="V647" s="9" t="s">
        <v>99</v>
      </c>
      <c r="W647" s="9" t="s">
        <v>100</v>
      </c>
      <c r="X647" s="11">
        <v>30</v>
      </c>
      <c r="Y647" s="9" t="s">
        <v>113</v>
      </c>
      <c r="Z647" s="9" t="s">
        <v>68</v>
      </c>
      <c r="AA647" s="9" t="s">
        <v>114</v>
      </c>
      <c r="AB647" s="9" t="s">
        <v>67</v>
      </c>
      <c r="AC647" s="9" t="s">
        <v>115</v>
      </c>
      <c r="AD647" s="11">
        <v>10</v>
      </c>
      <c r="AE647" s="9" t="s">
        <v>70</v>
      </c>
      <c r="AF647" s="9" t="s">
        <v>71</v>
      </c>
      <c r="AG647" s="13">
        <v>1</v>
      </c>
      <c r="AH647" s="9" t="s">
        <v>92</v>
      </c>
      <c r="AI647" s="13">
        <v>2296000</v>
      </c>
      <c r="AJ647" s="13">
        <v>22960000</v>
      </c>
      <c r="AK647" s="11">
        <v>0</v>
      </c>
      <c r="AL647" s="11">
        <v>0</v>
      </c>
      <c r="AM647" s="11">
        <v>0</v>
      </c>
      <c r="AN647" s="9" t="s">
        <v>67</v>
      </c>
      <c r="AO647" s="11">
        <v>22960000</v>
      </c>
      <c r="AP647" s="13">
        <v>1836800</v>
      </c>
      <c r="AQ647" s="13">
        <v>24796800</v>
      </c>
      <c r="AR647" s="11">
        <v>200</v>
      </c>
      <c r="AS647" s="9" t="s">
        <v>72</v>
      </c>
      <c r="AT647" s="12">
        <v>186.9</v>
      </c>
      <c r="AU647" s="9" t="s">
        <v>73</v>
      </c>
      <c r="AV647" s="9" t="s">
        <v>67</v>
      </c>
      <c r="AW647" s="9" t="s">
        <v>1054</v>
      </c>
      <c r="AX647" s="10">
        <v>45986</v>
      </c>
      <c r="AY647" s="9" t="s">
        <v>1690</v>
      </c>
      <c r="AZ647" s="9" t="s">
        <v>67</v>
      </c>
      <c r="BA647" s="9" t="s">
        <v>67</v>
      </c>
      <c r="BB647" s="12">
        <v>200</v>
      </c>
      <c r="BC647" s="9" t="s">
        <v>74</v>
      </c>
      <c r="BD647" s="9" t="s">
        <v>104</v>
      </c>
      <c r="BE647" s="9" t="s">
        <v>75</v>
      </c>
      <c r="BF647" s="11">
        <v>0</v>
      </c>
      <c r="BG647">
        <f t="shared" si="22"/>
        <v>12</v>
      </c>
      <c r="BH647" t="str">
        <f>VLOOKUP(BG647,[1]month!$A:$B,2,0)</f>
        <v>Desember</v>
      </c>
      <c r="BI647">
        <f t="shared" si="23"/>
        <v>2025</v>
      </c>
      <c r="BJ647" t="str">
        <f>VLOOKUP(I647,[1]Dist!$A:$B,2,0)</f>
        <v>Industry</v>
      </c>
      <c r="BK647" t="str">
        <f>IF(I647=11,VLOOKUP(Y647,[2]Sheet1!$C:$N,10,0),IF(I647=13,VLOOKUP(Y647,[3]Sheet1!$C:$N,10,0),IF(I647=15,VLOOKUP(Y647,[4]Sheet1!$C:$N,10,0),"Unknown")))</f>
        <v>PU</v>
      </c>
      <c r="BL647" t="str">
        <f>IF(I647=11,VLOOKUP(Y647,[2]Sheet1!$C:$N,12,0),IF(I647=13,VLOOKUP(Y647,[3]Sheet1!$C:$N,12,0),IF(I647=15,VLOOKUP(Y647,[4]Sheet1!$C:$N,12,0),"Unknown")))</f>
        <v>PU HARDENER</v>
      </c>
      <c r="BM647" t="str">
        <f>VLOOKUP(W647,[1]branch!$A:$B,2,0)</f>
        <v>INDUSTRY</v>
      </c>
    </row>
    <row r="648" spans="1:65" x14ac:dyDescent="0.35">
      <c r="A648" s="10">
        <v>46000</v>
      </c>
      <c r="B648" s="9" t="s">
        <v>1689</v>
      </c>
      <c r="C648" s="9" t="s">
        <v>64</v>
      </c>
      <c r="D648" s="9" t="s">
        <v>92</v>
      </c>
      <c r="E648" s="11">
        <v>30</v>
      </c>
      <c r="F648" s="9" t="s">
        <v>93</v>
      </c>
      <c r="G648" s="9" t="s">
        <v>65</v>
      </c>
      <c r="H648" s="9" t="s">
        <v>66</v>
      </c>
      <c r="I648" s="9">
        <v>11</v>
      </c>
      <c r="J648" s="9" t="s">
        <v>94</v>
      </c>
      <c r="K648" s="9" t="s">
        <v>94</v>
      </c>
      <c r="L648" s="9" t="s">
        <v>94</v>
      </c>
      <c r="M648" s="9" t="s">
        <v>95</v>
      </c>
      <c r="N648" s="9" t="s">
        <v>586</v>
      </c>
      <c r="O648" s="9" t="s">
        <v>97</v>
      </c>
      <c r="P648" s="9" t="s">
        <v>67</v>
      </c>
      <c r="Q648" s="9" t="s">
        <v>98</v>
      </c>
      <c r="R648" s="9" t="s">
        <v>717</v>
      </c>
      <c r="S648" s="9" t="s">
        <v>95</v>
      </c>
      <c r="T648" s="9" t="s">
        <v>718</v>
      </c>
      <c r="U648" s="9" t="s">
        <v>67</v>
      </c>
      <c r="V648" s="9" t="s">
        <v>99</v>
      </c>
      <c r="W648" s="9" t="s">
        <v>100</v>
      </c>
      <c r="X648" s="11">
        <v>40</v>
      </c>
      <c r="Y648" s="9" t="s">
        <v>108</v>
      </c>
      <c r="Z648" s="9" t="s">
        <v>68</v>
      </c>
      <c r="AA648" s="9" t="s">
        <v>109</v>
      </c>
      <c r="AB648" s="9" t="s">
        <v>67</v>
      </c>
      <c r="AC648" s="9" t="s">
        <v>110</v>
      </c>
      <c r="AD648" s="11">
        <v>6</v>
      </c>
      <c r="AE648" s="9" t="s">
        <v>70</v>
      </c>
      <c r="AF648" s="9" t="s">
        <v>71</v>
      </c>
      <c r="AG648" s="13">
        <v>1</v>
      </c>
      <c r="AH648" s="9" t="s">
        <v>92</v>
      </c>
      <c r="AI648" s="13">
        <v>1528000</v>
      </c>
      <c r="AJ648" s="13">
        <v>9168000</v>
      </c>
      <c r="AK648" s="11">
        <v>0</v>
      </c>
      <c r="AL648" s="11">
        <v>0</v>
      </c>
      <c r="AM648" s="11">
        <v>0</v>
      </c>
      <c r="AN648" s="9" t="s">
        <v>67</v>
      </c>
      <c r="AO648" s="11">
        <v>9168000</v>
      </c>
      <c r="AP648" s="13">
        <v>733440</v>
      </c>
      <c r="AQ648" s="13">
        <v>9901440</v>
      </c>
      <c r="AR648" s="11">
        <v>120</v>
      </c>
      <c r="AS648" s="9" t="s">
        <v>72</v>
      </c>
      <c r="AT648" s="12">
        <v>116.52</v>
      </c>
      <c r="AU648" s="9" t="s">
        <v>73</v>
      </c>
      <c r="AV648" s="9" t="s">
        <v>67</v>
      </c>
      <c r="AW648" s="9" t="s">
        <v>1054</v>
      </c>
      <c r="AX648" s="10">
        <v>45986</v>
      </c>
      <c r="AY648" s="9" t="s">
        <v>1690</v>
      </c>
      <c r="AZ648" s="9" t="s">
        <v>67</v>
      </c>
      <c r="BA648" s="9" t="s">
        <v>67</v>
      </c>
      <c r="BB648" s="12">
        <v>120</v>
      </c>
      <c r="BC648" s="9" t="s">
        <v>74</v>
      </c>
      <c r="BD648" s="9" t="s">
        <v>104</v>
      </c>
      <c r="BE648" s="9" t="s">
        <v>75</v>
      </c>
      <c r="BF648" s="11">
        <v>0</v>
      </c>
      <c r="BG648">
        <f t="shared" si="22"/>
        <v>12</v>
      </c>
      <c r="BH648" t="str">
        <f>VLOOKUP(BG648,[1]month!$A:$B,2,0)</f>
        <v>Desember</v>
      </c>
      <c r="BI648">
        <f t="shared" si="23"/>
        <v>2025</v>
      </c>
      <c r="BJ648" t="str">
        <f>VLOOKUP(I648,[1]Dist!$A:$B,2,0)</f>
        <v>Industry</v>
      </c>
      <c r="BK648" t="str">
        <f>IF(I648=11,VLOOKUP(Y648,[2]Sheet1!$C:$N,10,0),IF(I648=13,VLOOKUP(Y648,[3]Sheet1!$C:$N,10,0),IF(I648=15,VLOOKUP(Y648,[4]Sheet1!$C:$N,10,0),"Unknown")))</f>
        <v>PU</v>
      </c>
      <c r="BL648" t="str">
        <f>IF(I648=11,VLOOKUP(Y648,[2]Sheet1!$C:$N,12,0),IF(I648=13,VLOOKUP(Y648,[3]Sheet1!$C:$N,12,0),IF(I648=15,VLOOKUP(Y648,[4]Sheet1!$C:$N,12,0),"Unknown")))</f>
        <v>PU LACQUER</v>
      </c>
      <c r="BM648" t="str">
        <f>VLOOKUP(W648,[1]branch!$A:$B,2,0)</f>
        <v>INDUSTRY</v>
      </c>
    </row>
    <row r="649" spans="1:65" x14ac:dyDescent="0.35">
      <c r="A649" s="10">
        <v>46000</v>
      </c>
      <c r="B649" s="9" t="s">
        <v>1689</v>
      </c>
      <c r="C649" s="9" t="s">
        <v>64</v>
      </c>
      <c r="D649" s="9" t="s">
        <v>92</v>
      </c>
      <c r="E649" s="11">
        <v>30</v>
      </c>
      <c r="F649" s="9" t="s">
        <v>93</v>
      </c>
      <c r="G649" s="9" t="s">
        <v>65</v>
      </c>
      <c r="H649" s="9" t="s">
        <v>66</v>
      </c>
      <c r="I649" s="9">
        <v>11</v>
      </c>
      <c r="J649" s="9" t="s">
        <v>94</v>
      </c>
      <c r="K649" s="9" t="s">
        <v>94</v>
      </c>
      <c r="L649" s="9" t="s">
        <v>94</v>
      </c>
      <c r="M649" s="9" t="s">
        <v>95</v>
      </c>
      <c r="N649" s="9" t="s">
        <v>586</v>
      </c>
      <c r="O649" s="9" t="s">
        <v>97</v>
      </c>
      <c r="P649" s="9" t="s">
        <v>67</v>
      </c>
      <c r="Q649" s="9" t="s">
        <v>98</v>
      </c>
      <c r="R649" s="9" t="s">
        <v>717</v>
      </c>
      <c r="S649" s="9" t="s">
        <v>95</v>
      </c>
      <c r="T649" s="9" t="s">
        <v>718</v>
      </c>
      <c r="U649" s="9" t="s">
        <v>67</v>
      </c>
      <c r="V649" s="9" t="s">
        <v>99</v>
      </c>
      <c r="W649" s="9" t="s">
        <v>100</v>
      </c>
      <c r="X649" s="11">
        <v>50</v>
      </c>
      <c r="Y649" s="9" t="s">
        <v>111</v>
      </c>
      <c r="Z649" s="9" t="s">
        <v>68</v>
      </c>
      <c r="AA649" s="9" t="s">
        <v>112</v>
      </c>
      <c r="AB649" s="9" t="s">
        <v>67</v>
      </c>
      <c r="AC649" s="9" t="s">
        <v>110</v>
      </c>
      <c r="AD649" s="11">
        <v>10</v>
      </c>
      <c r="AE649" s="9" t="s">
        <v>70</v>
      </c>
      <c r="AF649" s="9" t="s">
        <v>71</v>
      </c>
      <c r="AG649" s="13">
        <v>1</v>
      </c>
      <c r="AH649" s="9" t="s">
        <v>92</v>
      </c>
      <c r="AI649" s="13">
        <v>1564000</v>
      </c>
      <c r="AJ649" s="13">
        <v>15640000</v>
      </c>
      <c r="AK649" s="11">
        <v>0</v>
      </c>
      <c r="AL649" s="11">
        <v>0</v>
      </c>
      <c r="AM649" s="11">
        <v>0</v>
      </c>
      <c r="AN649" s="9" t="s">
        <v>67</v>
      </c>
      <c r="AO649" s="11">
        <v>15640000</v>
      </c>
      <c r="AP649" s="13">
        <v>1251200</v>
      </c>
      <c r="AQ649" s="13">
        <v>16891200</v>
      </c>
      <c r="AR649" s="11">
        <v>200</v>
      </c>
      <c r="AS649" s="9" t="s">
        <v>72</v>
      </c>
      <c r="AT649" s="12">
        <v>192.3</v>
      </c>
      <c r="AU649" s="9" t="s">
        <v>73</v>
      </c>
      <c r="AV649" s="9" t="s">
        <v>67</v>
      </c>
      <c r="AW649" s="9" t="s">
        <v>1054</v>
      </c>
      <c r="AX649" s="10">
        <v>45986</v>
      </c>
      <c r="AY649" s="9" t="s">
        <v>1690</v>
      </c>
      <c r="AZ649" s="9" t="s">
        <v>67</v>
      </c>
      <c r="BA649" s="9" t="s">
        <v>67</v>
      </c>
      <c r="BB649" s="12">
        <v>200</v>
      </c>
      <c r="BC649" s="9" t="s">
        <v>74</v>
      </c>
      <c r="BD649" s="9" t="s">
        <v>104</v>
      </c>
      <c r="BE649" s="9" t="s">
        <v>75</v>
      </c>
      <c r="BF649" s="11">
        <v>0</v>
      </c>
      <c r="BG649">
        <f t="shared" si="22"/>
        <v>12</v>
      </c>
      <c r="BH649" t="str">
        <f>VLOOKUP(BG649,[1]month!$A:$B,2,0)</f>
        <v>Desember</v>
      </c>
      <c r="BI649">
        <f t="shared" si="23"/>
        <v>2025</v>
      </c>
      <c r="BJ649" t="str">
        <f>VLOOKUP(I649,[1]Dist!$A:$B,2,0)</f>
        <v>Industry</v>
      </c>
      <c r="BK649" t="str">
        <f>IF(I649=11,VLOOKUP(Y649,[2]Sheet1!$C:$N,10,0),IF(I649=13,VLOOKUP(Y649,[3]Sheet1!$C:$N,10,0),IF(I649=15,VLOOKUP(Y649,[4]Sheet1!$C:$N,10,0),"Unknown")))</f>
        <v>PU</v>
      </c>
      <c r="BL649" t="str">
        <f>IF(I649=11,VLOOKUP(Y649,[2]Sheet1!$C:$N,12,0),IF(I649=13,VLOOKUP(Y649,[3]Sheet1!$C:$N,12,0),IF(I649=15,VLOOKUP(Y649,[4]Sheet1!$C:$N,12,0),"Unknown")))</f>
        <v>PU LACQUER</v>
      </c>
      <c r="BM649" t="str">
        <f>VLOOKUP(W649,[1]branch!$A:$B,2,0)</f>
        <v>INDUSTRY</v>
      </c>
    </row>
    <row r="650" spans="1:65" x14ac:dyDescent="0.35">
      <c r="A650" s="10">
        <v>46000</v>
      </c>
      <c r="B650" s="9" t="s">
        <v>1689</v>
      </c>
      <c r="C650" s="9" t="s">
        <v>64</v>
      </c>
      <c r="D650" s="9" t="s">
        <v>92</v>
      </c>
      <c r="E650" s="11">
        <v>30</v>
      </c>
      <c r="F650" s="9" t="s">
        <v>93</v>
      </c>
      <c r="G650" s="9" t="s">
        <v>65</v>
      </c>
      <c r="H650" s="9" t="s">
        <v>66</v>
      </c>
      <c r="I650" s="9">
        <v>11</v>
      </c>
      <c r="J650" s="9" t="s">
        <v>94</v>
      </c>
      <c r="K650" s="9" t="s">
        <v>94</v>
      </c>
      <c r="L650" s="9" t="s">
        <v>94</v>
      </c>
      <c r="M650" s="9" t="s">
        <v>95</v>
      </c>
      <c r="N650" s="9" t="s">
        <v>586</v>
      </c>
      <c r="O650" s="9" t="s">
        <v>97</v>
      </c>
      <c r="P650" s="9" t="s">
        <v>67</v>
      </c>
      <c r="Q650" s="9" t="s">
        <v>98</v>
      </c>
      <c r="R650" s="9" t="s">
        <v>717</v>
      </c>
      <c r="S650" s="9" t="s">
        <v>95</v>
      </c>
      <c r="T650" s="9" t="s">
        <v>718</v>
      </c>
      <c r="U650" s="9" t="s">
        <v>67</v>
      </c>
      <c r="V650" s="9" t="s">
        <v>99</v>
      </c>
      <c r="W650" s="9" t="s">
        <v>100</v>
      </c>
      <c r="X650" s="11">
        <v>60</v>
      </c>
      <c r="Y650" s="9" t="s">
        <v>118</v>
      </c>
      <c r="Z650" s="9" t="s">
        <v>68</v>
      </c>
      <c r="AA650" s="9" t="s">
        <v>119</v>
      </c>
      <c r="AB650" s="9" t="s">
        <v>67</v>
      </c>
      <c r="AC650" s="9" t="s">
        <v>120</v>
      </c>
      <c r="AD650" s="11">
        <v>1</v>
      </c>
      <c r="AE650" s="9" t="s">
        <v>70</v>
      </c>
      <c r="AF650" s="9" t="s">
        <v>71</v>
      </c>
      <c r="AG650" s="13">
        <v>1</v>
      </c>
      <c r="AH650" s="9" t="s">
        <v>92</v>
      </c>
      <c r="AI650" s="13">
        <v>7500000</v>
      </c>
      <c r="AJ650" s="13">
        <v>7500000</v>
      </c>
      <c r="AK650" s="11">
        <v>0</v>
      </c>
      <c r="AL650" s="11">
        <v>0</v>
      </c>
      <c r="AM650" s="11">
        <v>0</v>
      </c>
      <c r="AN650" s="9" t="s">
        <v>67</v>
      </c>
      <c r="AO650" s="11">
        <v>7500000</v>
      </c>
      <c r="AP650" s="13">
        <v>600000</v>
      </c>
      <c r="AQ650" s="13">
        <v>8100000</v>
      </c>
      <c r="AR650" s="11">
        <v>185</v>
      </c>
      <c r="AS650" s="9" t="s">
        <v>72</v>
      </c>
      <c r="AT650" s="11">
        <v>200</v>
      </c>
      <c r="AU650" s="9" t="s">
        <v>73</v>
      </c>
      <c r="AV650" s="9" t="s">
        <v>67</v>
      </c>
      <c r="AW650" s="9" t="s">
        <v>1054</v>
      </c>
      <c r="AX650" s="10">
        <v>45986</v>
      </c>
      <c r="AY650" s="9" t="s">
        <v>1690</v>
      </c>
      <c r="AZ650" s="9" t="s">
        <v>67</v>
      </c>
      <c r="BA650" s="9" t="s">
        <v>67</v>
      </c>
      <c r="BB650" s="12">
        <v>200</v>
      </c>
      <c r="BC650" s="9" t="s">
        <v>74</v>
      </c>
      <c r="BD650" s="9" t="s">
        <v>104</v>
      </c>
      <c r="BE650" s="9" t="s">
        <v>75</v>
      </c>
      <c r="BF650" s="11">
        <v>0</v>
      </c>
      <c r="BG650">
        <f t="shared" si="22"/>
        <v>12</v>
      </c>
      <c r="BH650" t="str">
        <f>VLOOKUP(BG650,[1]month!$A:$B,2,0)</f>
        <v>Desember</v>
      </c>
      <c r="BI650">
        <f t="shared" si="23"/>
        <v>2025</v>
      </c>
      <c r="BJ650" t="str">
        <f>VLOOKUP(I650,[1]Dist!$A:$B,2,0)</f>
        <v>Industry</v>
      </c>
      <c r="BK650" t="str">
        <f>IF(I650=11,VLOOKUP(Y650,[2]Sheet1!$C:$N,10,0),IF(I650=13,VLOOKUP(Y650,[3]Sheet1!$C:$N,10,0),IF(I650=15,VLOOKUP(Y650,[4]Sheet1!$C:$N,10,0),"Unknown")))</f>
        <v>THINNER PU</v>
      </c>
      <c r="BL650" t="str">
        <f>IF(I650=11,VLOOKUP(Y650,[2]Sheet1!$C:$N,12,0),IF(I650=13,VLOOKUP(Y650,[3]Sheet1!$C:$N,12,0),IF(I650=15,VLOOKUP(Y650,[4]Sheet1!$C:$N,12,0),"Unknown")))</f>
        <v>THINNER PU</v>
      </c>
      <c r="BM650" t="str">
        <f>VLOOKUP(W650,[1]branch!$A:$B,2,0)</f>
        <v>INDUSTRY</v>
      </c>
    </row>
    <row r="651" spans="1:65" x14ac:dyDescent="0.35">
      <c r="A651" s="10">
        <v>46000</v>
      </c>
      <c r="B651" s="9" t="s">
        <v>1689</v>
      </c>
      <c r="C651" s="9" t="s">
        <v>64</v>
      </c>
      <c r="D651" s="9" t="s">
        <v>92</v>
      </c>
      <c r="E651" s="11">
        <v>30</v>
      </c>
      <c r="F651" s="9" t="s">
        <v>93</v>
      </c>
      <c r="G651" s="9" t="s">
        <v>65</v>
      </c>
      <c r="H651" s="9" t="s">
        <v>66</v>
      </c>
      <c r="I651" s="9">
        <v>11</v>
      </c>
      <c r="J651" s="9" t="s">
        <v>94</v>
      </c>
      <c r="K651" s="9" t="s">
        <v>94</v>
      </c>
      <c r="L651" s="9" t="s">
        <v>94</v>
      </c>
      <c r="M651" s="9" t="s">
        <v>95</v>
      </c>
      <c r="N651" s="9" t="s">
        <v>586</v>
      </c>
      <c r="O651" s="9" t="s">
        <v>97</v>
      </c>
      <c r="P651" s="9" t="s">
        <v>67</v>
      </c>
      <c r="Q651" s="9" t="s">
        <v>98</v>
      </c>
      <c r="R651" s="9" t="s">
        <v>717</v>
      </c>
      <c r="S651" s="9" t="s">
        <v>95</v>
      </c>
      <c r="T651" s="9" t="s">
        <v>718</v>
      </c>
      <c r="U651" s="9" t="s">
        <v>67</v>
      </c>
      <c r="V651" s="9" t="s">
        <v>99</v>
      </c>
      <c r="W651" s="9" t="s">
        <v>100</v>
      </c>
      <c r="X651" s="11">
        <v>70</v>
      </c>
      <c r="Y651" s="9" t="s">
        <v>552</v>
      </c>
      <c r="Z651" s="9" t="s">
        <v>68</v>
      </c>
      <c r="AA651" s="9" t="s">
        <v>553</v>
      </c>
      <c r="AB651" s="9" t="s">
        <v>67</v>
      </c>
      <c r="AC651" s="9" t="s">
        <v>139</v>
      </c>
      <c r="AD651" s="11">
        <v>1</v>
      </c>
      <c r="AE651" s="9" t="s">
        <v>70</v>
      </c>
      <c r="AF651" s="9" t="s">
        <v>71</v>
      </c>
      <c r="AG651" s="13">
        <v>1</v>
      </c>
      <c r="AH651" s="9" t="s">
        <v>92</v>
      </c>
      <c r="AI651" s="13">
        <v>7021000</v>
      </c>
      <c r="AJ651" s="13">
        <v>7021000</v>
      </c>
      <c r="AK651" s="11">
        <v>0</v>
      </c>
      <c r="AL651" s="11">
        <v>0</v>
      </c>
      <c r="AM651" s="11">
        <v>0</v>
      </c>
      <c r="AN651" s="9" t="s">
        <v>67</v>
      </c>
      <c r="AO651" s="11">
        <v>7021000</v>
      </c>
      <c r="AP651" s="13">
        <v>561680</v>
      </c>
      <c r="AQ651" s="13">
        <v>7582680</v>
      </c>
      <c r="AR651" s="11">
        <v>176</v>
      </c>
      <c r="AS651" s="9" t="s">
        <v>72</v>
      </c>
      <c r="AT651" s="11">
        <v>200</v>
      </c>
      <c r="AU651" s="9" t="s">
        <v>73</v>
      </c>
      <c r="AV651" s="9" t="s">
        <v>67</v>
      </c>
      <c r="AW651" s="9" t="s">
        <v>1054</v>
      </c>
      <c r="AX651" s="10">
        <v>45986</v>
      </c>
      <c r="AY651" s="9" t="s">
        <v>1690</v>
      </c>
      <c r="AZ651" s="9" t="s">
        <v>67</v>
      </c>
      <c r="BA651" s="9" t="s">
        <v>67</v>
      </c>
      <c r="BB651" s="12">
        <v>200</v>
      </c>
      <c r="BC651" s="9" t="s">
        <v>74</v>
      </c>
      <c r="BD651" s="9" t="s">
        <v>104</v>
      </c>
      <c r="BE651" s="9" t="s">
        <v>75</v>
      </c>
      <c r="BF651" s="11">
        <v>0</v>
      </c>
      <c r="BG651">
        <f t="shared" si="22"/>
        <v>12</v>
      </c>
      <c r="BH651" t="str">
        <f>VLOOKUP(BG651,[1]month!$A:$B,2,0)</f>
        <v>Desember</v>
      </c>
      <c r="BI651">
        <f t="shared" si="23"/>
        <v>2025</v>
      </c>
      <c r="BJ651" t="str">
        <f>VLOOKUP(I651,[1]Dist!$A:$B,2,0)</f>
        <v>Industry</v>
      </c>
      <c r="BK651" t="str">
        <f>IF(I651=11,VLOOKUP(Y651,[2]Sheet1!$C:$N,10,0),IF(I651=13,VLOOKUP(Y651,[3]Sheet1!$C:$N,10,0),IF(I651=15,VLOOKUP(Y651,[4]Sheet1!$C:$N,10,0),"Unknown")))</f>
        <v>THINNER NC</v>
      </c>
      <c r="BL651" t="str">
        <f>IF(I651=11,VLOOKUP(Y651,[2]Sheet1!$C:$N,12,0),IF(I651=13,VLOOKUP(Y651,[3]Sheet1!$C:$N,12,0),IF(I651=15,VLOOKUP(Y651,[4]Sheet1!$C:$N,12,0),"Unknown")))</f>
        <v>THINNER COMPLEMENTARY</v>
      </c>
      <c r="BM651" t="str">
        <f>VLOOKUP(W651,[1]branch!$A:$B,2,0)</f>
        <v>INDUSTRY</v>
      </c>
    </row>
    <row r="652" spans="1:65" x14ac:dyDescent="0.35">
      <c r="A652" s="10">
        <v>46000</v>
      </c>
      <c r="B652" s="9" t="s">
        <v>1689</v>
      </c>
      <c r="C652" s="9" t="s">
        <v>64</v>
      </c>
      <c r="D652" s="9" t="s">
        <v>92</v>
      </c>
      <c r="E652" s="11">
        <v>30</v>
      </c>
      <c r="F652" s="9" t="s">
        <v>93</v>
      </c>
      <c r="G652" s="9" t="s">
        <v>65</v>
      </c>
      <c r="H652" s="9" t="s">
        <v>66</v>
      </c>
      <c r="I652" s="9">
        <v>11</v>
      </c>
      <c r="J652" s="9" t="s">
        <v>94</v>
      </c>
      <c r="K652" s="9" t="s">
        <v>94</v>
      </c>
      <c r="L652" s="9" t="s">
        <v>94</v>
      </c>
      <c r="M652" s="9" t="s">
        <v>95</v>
      </c>
      <c r="N652" s="9" t="s">
        <v>586</v>
      </c>
      <c r="O652" s="9" t="s">
        <v>97</v>
      </c>
      <c r="P652" s="9" t="s">
        <v>67</v>
      </c>
      <c r="Q652" s="9" t="s">
        <v>98</v>
      </c>
      <c r="R652" s="9" t="s">
        <v>717</v>
      </c>
      <c r="S652" s="9" t="s">
        <v>95</v>
      </c>
      <c r="T652" s="9" t="s">
        <v>718</v>
      </c>
      <c r="U652" s="9" t="s">
        <v>67</v>
      </c>
      <c r="V652" s="9" t="s">
        <v>99</v>
      </c>
      <c r="W652" s="9" t="s">
        <v>100</v>
      </c>
      <c r="X652" s="11">
        <v>80</v>
      </c>
      <c r="Y652" s="9" t="s">
        <v>759</v>
      </c>
      <c r="Z652" s="9" t="s">
        <v>68</v>
      </c>
      <c r="AA652" s="9" t="s">
        <v>760</v>
      </c>
      <c r="AB652" s="9" t="s">
        <v>67</v>
      </c>
      <c r="AC652" s="9" t="s">
        <v>139</v>
      </c>
      <c r="AD652" s="11">
        <v>1</v>
      </c>
      <c r="AE652" s="9" t="s">
        <v>70</v>
      </c>
      <c r="AF652" s="9" t="s">
        <v>71</v>
      </c>
      <c r="AG652" s="13">
        <v>1</v>
      </c>
      <c r="AH652" s="9" t="s">
        <v>92</v>
      </c>
      <c r="AI652" s="13">
        <v>8560000</v>
      </c>
      <c r="AJ652" s="13">
        <v>8560000</v>
      </c>
      <c r="AK652" s="11">
        <v>0</v>
      </c>
      <c r="AL652" s="11">
        <v>0</v>
      </c>
      <c r="AM652" s="11">
        <v>0</v>
      </c>
      <c r="AN652" s="9" t="s">
        <v>67</v>
      </c>
      <c r="AO652" s="11">
        <v>8560000</v>
      </c>
      <c r="AP652" s="13">
        <v>684800</v>
      </c>
      <c r="AQ652" s="13">
        <v>9244800</v>
      </c>
      <c r="AR652" s="11">
        <v>176</v>
      </c>
      <c r="AS652" s="9" t="s">
        <v>72</v>
      </c>
      <c r="AT652" s="11">
        <v>200</v>
      </c>
      <c r="AU652" s="9" t="s">
        <v>73</v>
      </c>
      <c r="AV652" s="9" t="s">
        <v>67</v>
      </c>
      <c r="AW652" s="9" t="s">
        <v>1054</v>
      </c>
      <c r="AX652" s="10">
        <v>45986</v>
      </c>
      <c r="AY652" s="9" t="s">
        <v>1690</v>
      </c>
      <c r="AZ652" s="9" t="s">
        <v>67</v>
      </c>
      <c r="BA652" s="9" t="s">
        <v>67</v>
      </c>
      <c r="BB652" s="12">
        <v>200</v>
      </c>
      <c r="BC652" s="9" t="s">
        <v>74</v>
      </c>
      <c r="BD652" s="9" t="s">
        <v>104</v>
      </c>
      <c r="BE652" s="9" t="s">
        <v>75</v>
      </c>
      <c r="BF652" s="11">
        <v>0</v>
      </c>
      <c r="BG652">
        <f t="shared" si="22"/>
        <v>12</v>
      </c>
      <c r="BH652" t="str">
        <f>VLOOKUP(BG652,[1]month!$A:$B,2,0)</f>
        <v>Desember</v>
      </c>
      <c r="BI652">
        <f t="shared" si="23"/>
        <v>2025</v>
      </c>
      <c r="BJ652" t="str">
        <f>VLOOKUP(I652,[1]Dist!$A:$B,2,0)</f>
        <v>Industry</v>
      </c>
      <c r="BK652" t="str">
        <f>IF(I652=11,VLOOKUP(Y652,[2]Sheet1!$C:$N,10,0),IF(I652=13,VLOOKUP(Y652,[3]Sheet1!$C:$N,10,0),IF(I652=15,VLOOKUP(Y652,[4]Sheet1!$C:$N,10,0),"Unknown")))</f>
        <v>THINNER NC</v>
      </c>
      <c r="BL652" t="str">
        <f>IF(I652=11,VLOOKUP(Y652,[2]Sheet1!$C:$N,12,0),IF(I652=13,VLOOKUP(Y652,[3]Sheet1!$C:$N,12,0),IF(I652=15,VLOOKUP(Y652,[4]Sheet1!$C:$N,12,0),"Unknown")))</f>
        <v>THINNER COMPLEMENTARY</v>
      </c>
      <c r="BM652" t="str">
        <f>VLOOKUP(W652,[1]branch!$A:$B,2,0)</f>
        <v>INDUSTRY</v>
      </c>
    </row>
    <row r="653" spans="1:65" x14ac:dyDescent="0.35">
      <c r="A653" s="10">
        <v>46000</v>
      </c>
      <c r="B653" s="9" t="s">
        <v>1689</v>
      </c>
      <c r="C653" s="9" t="s">
        <v>64</v>
      </c>
      <c r="D653" s="9" t="s">
        <v>92</v>
      </c>
      <c r="E653" s="11">
        <v>30</v>
      </c>
      <c r="F653" s="9" t="s">
        <v>93</v>
      </c>
      <c r="G653" s="9" t="s">
        <v>65</v>
      </c>
      <c r="H653" s="9" t="s">
        <v>66</v>
      </c>
      <c r="I653" s="9">
        <v>11</v>
      </c>
      <c r="J653" s="9" t="s">
        <v>94</v>
      </c>
      <c r="K653" s="9" t="s">
        <v>94</v>
      </c>
      <c r="L653" s="9" t="s">
        <v>94</v>
      </c>
      <c r="M653" s="9" t="s">
        <v>95</v>
      </c>
      <c r="N653" s="9" t="s">
        <v>586</v>
      </c>
      <c r="O653" s="9" t="s">
        <v>97</v>
      </c>
      <c r="P653" s="9" t="s">
        <v>67</v>
      </c>
      <c r="Q653" s="9" t="s">
        <v>98</v>
      </c>
      <c r="R653" s="9" t="s">
        <v>717</v>
      </c>
      <c r="S653" s="9" t="s">
        <v>95</v>
      </c>
      <c r="T653" s="9" t="s">
        <v>718</v>
      </c>
      <c r="U653" s="9" t="s">
        <v>67</v>
      </c>
      <c r="V653" s="9" t="s">
        <v>99</v>
      </c>
      <c r="W653" s="9" t="s">
        <v>100</v>
      </c>
      <c r="X653" s="11">
        <v>90</v>
      </c>
      <c r="Y653" s="9" t="s">
        <v>116</v>
      </c>
      <c r="Z653" s="9" t="s">
        <v>68</v>
      </c>
      <c r="AA653" s="9" t="s">
        <v>117</v>
      </c>
      <c r="AB653" s="9" t="s">
        <v>67</v>
      </c>
      <c r="AC653" s="9" t="s">
        <v>82</v>
      </c>
      <c r="AD653" s="11">
        <v>1</v>
      </c>
      <c r="AE653" s="9" t="s">
        <v>70</v>
      </c>
      <c r="AF653" s="9" t="s">
        <v>71</v>
      </c>
      <c r="AG653" s="13">
        <v>1</v>
      </c>
      <c r="AH653" s="9" t="s">
        <v>92</v>
      </c>
      <c r="AI653" s="13">
        <v>12294000</v>
      </c>
      <c r="AJ653" s="13">
        <v>12294000</v>
      </c>
      <c r="AK653" s="11">
        <v>0</v>
      </c>
      <c r="AL653" s="11">
        <v>0</v>
      </c>
      <c r="AM653" s="11">
        <v>0</v>
      </c>
      <c r="AN653" s="9" t="s">
        <v>67</v>
      </c>
      <c r="AO653" s="11">
        <v>12294000</v>
      </c>
      <c r="AP653" s="13">
        <v>983520</v>
      </c>
      <c r="AQ653" s="13">
        <v>13277520</v>
      </c>
      <c r="AR653" s="11">
        <v>180</v>
      </c>
      <c r="AS653" s="9" t="s">
        <v>72</v>
      </c>
      <c r="AT653" s="12">
        <v>193.55</v>
      </c>
      <c r="AU653" s="9" t="s">
        <v>73</v>
      </c>
      <c r="AV653" s="9" t="s">
        <v>67</v>
      </c>
      <c r="AW653" s="9" t="s">
        <v>1054</v>
      </c>
      <c r="AX653" s="10">
        <v>45986</v>
      </c>
      <c r="AY653" s="9" t="s">
        <v>1690</v>
      </c>
      <c r="AZ653" s="9" t="s">
        <v>67</v>
      </c>
      <c r="BA653" s="9" t="s">
        <v>67</v>
      </c>
      <c r="BB653" s="12">
        <v>180</v>
      </c>
      <c r="BC653" s="9" t="s">
        <v>74</v>
      </c>
      <c r="BD653" s="9" t="s">
        <v>104</v>
      </c>
      <c r="BE653" s="9" t="s">
        <v>75</v>
      </c>
      <c r="BF653" s="11">
        <v>0</v>
      </c>
      <c r="BG653">
        <f t="shared" si="22"/>
        <v>12</v>
      </c>
      <c r="BH653" t="str">
        <f>VLOOKUP(BG653,[1]month!$A:$B,2,0)</f>
        <v>Desember</v>
      </c>
      <c r="BI653">
        <f t="shared" si="23"/>
        <v>2025</v>
      </c>
      <c r="BJ653" t="str">
        <f>VLOOKUP(I653,[1]Dist!$A:$B,2,0)</f>
        <v>Industry</v>
      </c>
      <c r="BK653" t="str">
        <f>IF(I653=11,VLOOKUP(Y653,[2]Sheet1!$C:$N,10,0),IF(I653=13,VLOOKUP(Y653,[3]Sheet1!$C:$N,10,0),IF(I653=15,VLOOKUP(Y653,[4]Sheet1!$C:$N,10,0),"Unknown")))</f>
        <v>STAIN &amp; GLAZE INTERIOR</v>
      </c>
      <c r="BL653" t="str">
        <f>IF(I653=11,VLOOKUP(Y653,[2]Sheet1!$C:$N,12,0),IF(I653=13,VLOOKUP(Y653,[3]Sheet1!$C:$N,12,0),IF(I653=15,VLOOKUP(Y653,[4]Sheet1!$C:$N,12,0),"Unknown")))</f>
        <v>STAIN INTERIOR</v>
      </c>
      <c r="BM653" t="str">
        <f>VLOOKUP(W653,[1]branch!$A:$B,2,0)</f>
        <v>INDUSTRY</v>
      </c>
    </row>
    <row r="654" spans="1:65" x14ac:dyDescent="0.35">
      <c r="A654" s="10">
        <v>46000</v>
      </c>
      <c r="B654" s="9" t="s">
        <v>1689</v>
      </c>
      <c r="C654" s="9" t="s">
        <v>64</v>
      </c>
      <c r="D654" s="9" t="s">
        <v>92</v>
      </c>
      <c r="E654" s="11">
        <v>30</v>
      </c>
      <c r="F654" s="9" t="s">
        <v>93</v>
      </c>
      <c r="G654" s="9" t="s">
        <v>65</v>
      </c>
      <c r="H654" s="9" t="s">
        <v>66</v>
      </c>
      <c r="I654" s="9">
        <v>11</v>
      </c>
      <c r="J654" s="9" t="s">
        <v>94</v>
      </c>
      <c r="K654" s="9" t="s">
        <v>94</v>
      </c>
      <c r="L654" s="9" t="s">
        <v>94</v>
      </c>
      <c r="M654" s="9" t="s">
        <v>95</v>
      </c>
      <c r="N654" s="9" t="s">
        <v>586</v>
      </c>
      <c r="O654" s="9" t="s">
        <v>97</v>
      </c>
      <c r="P654" s="9" t="s">
        <v>67</v>
      </c>
      <c r="Q654" s="9" t="s">
        <v>98</v>
      </c>
      <c r="R654" s="9" t="s">
        <v>717</v>
      </c>
      <c r="S654" s="9" t="s">
        <v>95</v>
      </c>
      <c r="T654" s="9" t="s">
        <v>718</v>
      </c>
      <c r="U654" s="9" t="s">
        <v>67</v>
      </c>
      <c r="V654" s="9" t="s">
        <v>99</v>
      </c>
      <c r="W654" s="9" t="s">
        <v>100</v>
      </c>
      <c r="X654" s="11">
        <v>100</v>
      </c>
      <c r="Y654" s="9" t="s">
        <v>1691</v>
      </c>
      <c r="Z654" s="9" t="s">
        <v>68</v>
      </c>
      <c r="AA654" s="9" t="s">
        <v>1692</v>
      </c>
      <c r="AB654" s="9" t="s">
        <v>67</v>
      </c>
      <c r="AC654" s="9" t="s">
        <v>82</v>
      </c>
      <c r="AD654" s="11">
        <v>1</v>
      </c>
      <c r="AE654" s="9" t="s">
        <v>70</v>
      </c>
      <c r="AF654" s="9" t="s">
        <v>71</v>
      </c>
      <c r="AG654" s="13">
        <v>1</v>
      </c>
      <c r="AH654" s="9" t="s">
        <v>92</v>
      </c>
      <c r="AI654" s="13">
        <v>10032000</v>
      </c>
      <c r="AJ654" s="13">
        <v>10032000</v>
      </c>
      <c r="AK654" s="11">
        <v>0</v>
      </c>
      <c r="AL654" s="11">
        <v>0</v>
      </c>
      <c r="AM654" s="11">
        <v>0</v>
      </c>
      <c r="AN654" s="9" t="s">
        <v>67</v>
      </c>
      <c r="AO654" s="11">
        <v>10032000</v>
      </c>
      <c r="AP654" s="13">
        <v>802560</v>
      </c>
      <c r="AQ654" s="13">
        <v>10834560</v>
      </c>
      <c r="AR654" s="11">
        <v>160</v>
      </c>
      <c r="AS654" s="9" t="s">
        <v>72</v>
      </c>
      <c r="AT654" s="12">
        <v>173.91300000000001</v>
      </c>
      <c r="AU654" s="9" t="s">
        <v>73</v>
      </c>
      <c r="AV654" s="9" t="s">
        <v>67</v>
      </c>
      <c r="AW654" s="9" t="s">
        <v>1054</v>
      </c>
      <c r="AX654" s="10">
        <v>45986</v>
      </c>
      <c r="AY654" s="9" t="s">
        <v>1690</v>
      </c>
      <c r="AZ654" s="9" t="s">
        <v>67</v>
      </c>
      <c r="BA654" s="9" t="s">
        <v>67</v>
      </c>
      <c r="BB654" s="12">
        <v>160</v>
      </c>
      <c r="BC654" s="9" t="s">
        <v>74</v>
      </c>
      <c r="BD654" s="9" t="s">
        <v>104</v>
      </c>
      <c r="BE654" s="9" t="s">
        <v>75</v>
      </c>
      <c r="BF654" s="11">
        <v>0</v>
      </c>
      <c r="BG654">
        <f t="shared" si="22"/>
        <v>12</v>
      </c>
      <c r="BH654" t="str">
        <f>VLOOKUP(BG654,[1]month!$A:$B,2,0)</f>
        <v>Desember</v>
      </c>
      <c r="BI654">
        <f t="shared" si="23"/>
        <v>2025</v>
      </c>
      <c r="BJ654" t="str">
        <f>VLOOKUP(I654,[1]Dist!$A:$B,2,0)</f>
        <v>Industry</v>
      </c>
      <c r="BK654" t="str">
        <f>IF(I654=11,VLOOKUP(Y654,[2]Sheet1!$C:$N,10,0),IF(I654=13,VLOOKUP(Y654,[3]Sheet1!$C:$N,10,0),IF(I654=15,VLOOKUP(Y654,[4]Sheet1!$C:$N,10,0),"Unknown")))</f>
        <v>STAIN &amp; GLAZE INTERIOR</v>
      </c>
      <c r="BL654" t="str">
        <f>IF(I654=11,VLOOKUP(Y654,[2]Sheet1!$C:$N,12,0),IF(I654=13,VLOOKUP(Y654,[3]Sheet1!$C:$N,12,0),IF(I654=15,VLOOKUP(Y654,[4]Sheet1!$C:$N,12,0),"Unknown")))</f>
        <v>STAIN INTERIOR</v>
      </c>
      <c r="BM654" t="str">
        <f>VLOOKUP(W654,[1]branch!$A:$B,2,0)</f>
        <v>INDUSTRY</v>
      </c>
    </row>
    <row r="655" spans="1:65" x14ac:dyDescent="0.35">
      <c r="A655" s="10">
        <v>46000</v>
      </c>
      <c r="B655" s="9" t="s">
        <v>1689</v>
      </c>
      <c r="C655" s="9" t="s">
        <v>64</v>
      </c>
      <c r="D655" s="9" t="s">
        <v>92</v>
      </c>
      <c r="E655" s="11">
        <v>30</v>
      </c>
      <c r="F655" s="9" t="s">
        <v>93</v>
      </c>
      <c r="G655" s="9" t="s">
        <v>65</v>
      </c>
      <c r="H655" s="9" t="s">
        <v>66</v>
      </c>
      <c r="I655" s="9">
        <v>11</v>
      </c>
      <c r="J655" s="9" t="s">
        <v>94</v>
      </c>
      <c r="K655" s="9" t="s">
        <v>94</v>
      </c>
      <c r="L655" s="9" t="s">
        <v>94</v>
      </c>
      <c r="M655" s="9" t="s">
        <v>95</v>
      </c>
      <c r="N655" s="9" t="s">
        <v>586</v>
      </c>
      <c r="O655" s="9" t="s">
        <v>97</v>
      </c>
      <c r="P655" s="9" t="s">
        <v>67</v>
      </c>
      <c r="Q655" s="9" t="s">
        <v>98</v>
      </c>
      <c r="R655" s="9" t="s">
        <v>717</v>
      </c>
      <c r="S655" s="9" t="s">
        <v>95</v>
      </c>
      <c r="T655" s="9" t="s">
        <v>718</v>
      </c>
      <c r="U655" s="9" t="s">
        <v>67</v>
      </c>
      <c r="V655" s="9" t="s">
        <v>99</v>
      </c>
      <c r="W655" s="9" t="s">
        <v>100</v>
      </c>
      <c r="X655" s="11">
        <v>110</v>
      </c>
      <c r="Y655" s="9" t="s">
        <v>771</v>
      </c>
      <c r="Z655" s="9" t="s">
        <v>68</v>
      </c>
      <c r="AA655" s="9" t="s">
        <v>772</v>
      </c>
      <c r="AB655" s="9" t="s">
        <v>67</v>
      </c>
      <c r="AC655" s="9" t="s">
        <v>143</v>
      </c>
      <c r="AD655" s="11">
        <v>5</v>
      </c>
      <c r="AE655" s="9" t="s">
        <v>70</v>
      </c>
      <c r="AF655" s="9" t="s">
        <v>71</v>
      </c>
      <c r="AG655" s="13">
        <v>1</v>
      </c>
      <c r="AH655" s="9" t="s">
        <v>92</v>
      </c>
      <c r="AI655" s="13">
        <v>2512800</v>
      </c>
      <c r="AJ655" s="13">
        <v>12564000</v>
      </c>
      <c r="AK655" s="11">
        <v>0</v>
      </c>
      <c r="AL655" s="11">
        <v>0</v>
      </c>
      <c r="AM655" s="11">
        <v>0</v>
      </c>
      <c r="AN655" s="9" t="s">
        <v>67</v>
      </c>
      <c r="AO655" s="11">
        <v>12564000</v>
      </c>
      <c r="AP655" s="13">
        <v>1005120</v>
      </c>
      <c r="AQ655" s="13">
        <v>13569120</v>
      </c>
      <c r="AR655" s="11">
        <v>90</v>
      </c>
      <c r="AS655" s="9" t="s">
        <v>72</v>
      </c>
      <c r="AT655" s="12">
        <v>84.11</v>
      </c>
      <c r="AU655" s="9" t="s">
        <v>73</v>
      </c>
      <c r="AV655" s="9" t="s">
        <v>67</v>
      </c>
      <c r="AW655" s="9" t="s">
        <v>1054</v>
      </c>
      <c r="AX655" s="10">
        <v>45986</v>
      </c>
      <c r="AY655" s="9" t="s">
        <v>1690</v>
      </c>
      <c r="AZ655" s="9" t="s">
        <v>67</v>
      </c>
      <c r="BA655" s="9" t="s">
        <v>67</v>
      </c>
      <c r="BB655" s="12">
        <v>90</v>
      </c>
      <c r="BC655" s="9" t="s">
        <v>74</v>
      </c>
      <c r="BD655" s="9" t="s">
        <v>104</v>
      </c>
      <c r="BE655" s="9" t="s">
        <v>75</v>
      </c>
      <c r="BF655" s="11">
        <v>0</v>
      </c>
      <c r="BG655">
        <f t="shared" si="22"/>
        <v>12</v>
      </c>
      <c r="BH655" t="str">
        <f>VLOOKUP(BG655,[1]month!$A:$B,2,0)</f>
        <v>Desember</v>
      </c>
      <c r="BI655">
        <f t="shared" si="23"/>
        <v>2025</v>
      </c>
      <c r="BJ655" t="str">
        <f>VLOOKUP(I655,[1]Dist!$A:$B,2,0)</f>
        <v>Industry</v>
      </c>
      <c r="BK655" t="str">
        <f>IF(I655=11,VLOOKUP(Y655,[2]Sheet1!$C:$N,10,0),IF(I655=13,VLOOKUP(Y655,[3]Sheet1!$C:$N,10,0),IF(I655=15,VLOOKUP(Y655,[4]Sheet1!$C:$N,10,0),"Unknown")))</f>
        <v>PU</v>
      </c>
      <c r="BL655" t="str">
        <f>IF(I655=11,VLOOKUP(Y655,[2]Sheet1!$C:$N,12,0),IF(I655=13,VLOOKUP(Y655,[3]Sheet1!$C:$N,12,0),IF(I655=15,VLOOKUP(Y655,[4]Sheet1!$C:$N,12,0),"Unknown")))</f>
        <v>GLAZE PU</v>
      </c>
      <c r="BM655" t="str">
        <f>VLOOKUP(W655,[1]branch!$A:$B,2,0)</f>
        <v>INDUSTRY</v>
      </c>
    </row>
    <row r="656" spans="1:65" x14ac:dyDescent="0.35">
      <c r="A656" s="10">
        <v>46000</v>
      </c>
      <c r="B656" s="9" t="s">
        <v>1693</v>
      </c>
      <c r="C656" s="9" t="s">
        <v>64</v>
      </c>
      <c r="D656" s="9" t="s">
        <v>92</v>
      </c>
      <c r="E656" s="11">
        <v>60</v>
      </c>
      <c r="F656" s="9" t="s">
        <v>93</v>
      </c>
      <c r="G656" s="9" t="s">
        <v>65</v>
      </c>
      <c r="H656" s="9" t="s">
        <v>66</v>
      </c>
      <c r="I656" s="9">
        <v>11</v>
      </c>
      <c r="J656" s="9" t="s">
        <v>347</v>
      </c>
      <c r="K656" s="9" t="s">
        <v>347</v>
      </c>
      <c r="L656" s="9" t="s">
        <v>347</v>
      </c>
      <c r="M656" s="9" t="s">
        <v>348</v>
      </c>
      <c r="N656" s="9" t="s">
        <v>866</v>
      </c>
      <c r="O656" s="9" t="s">
        <v>97</v>
      </c>
      <c r="P656" s="9" t="s">
        <v>67</v>
      </c>
      <c r="Q656" s="9" t="s">
        <v>98</v>
      </c>
      <c r="R656" s="9" t="s">
        <v>347</v>
      </c>
      <c r="S656" s="9" t="s">
        <v>348</v>
      </c>
      <c r="T656" s="9" t="s">
        <v>818</v>
      </c>
      <c r="U656" s="9" t="s">
        <v>67</v>
      </c>
      <c r="V656" s="9" t="s">
        <v>130</v>
      </c>
      <c r="W656" s="9" t="s">
        <v>131</v>
      </c>
      <c r="X656" s="11">
        <v>30</v>
      </c>
      <c r="Y656" s="9" t="s">
        <v>363</v>
      </c>
      <c r="Z656" s="9" t="s">
        <v>68</v>
      </c>
      <c r="AA656" s="9" t="s">
        <v>364</v>
      </c>
      <c r="AB656" s="9" t="s">
        <v>67</v>
      </c>
      <c r="AC656" s="9" t="s">
        <v>91</v>
      </c>
      <c r="AD656" s="11">
        <v>10</v>
      </c>
      <c r="AE656" s="9" t="s">
        <v>70</v>
      </c>
      <c r="AF656" s="9" t="s">
        <v>71</v>
      </c>
      <c r="AG656" s="13">
        <v>1</v>
      </c>
      <c r="AH656" s="9" t="s">
        <v>92</v>
      </c>
      <c r="AI656" s="13">
        <v>810840</v>
      </c>
      <c r="AJ656" s="13">
        <v>8108400</v>
      </c>
      <c r="AK656" s="11">
        <v>0</v>
      </c>
      <c r="AL656" s="11">
        <v>0</v>
      </c>
      <c r="AM656" s="11">
        <v>0</v>
      </c>
      <c r="AN656" s="9" t="s">
        <v>67</v>
      </c>
      <c r="AO656" s="11">
        <v>8108400</v>
      </c>
      <c r="AP656" s="13">
        <v>648672</v>
      </c>
      <c r="AQ656" s="13">
        <v>8757072</v>
      </c>
      <c r="AR656" s="11">
        <v>40</v>
      </c>
      <c r="AS656" s="9" t="s">
        <v>72</v>
      </c>
      <c r="AT656" s="12">
        <v>24.4</v>
      </c>
      <c r="AU656" s="9" t="s">
        <v>73</v>
      </c>
      <c r="AV656" s="9" t="s">
        <v>67</v>
      </c>
      <c r="AW656" s="9" t="s">
        <v>946</v>
      </c>
      <c r="AX656" s="10">
        <v>45982</v>
      </c>
      <c r="AY656" s="9" t="s">
        <v>1694</v>
      </c>
      <c r="AZ656" s="9" t="s">
        <v>67</v>
      </c>
      <c r="BA656" s="9" t="s">
        <v>67</v>
      </c>
      <c r="BB656" s="12">
        <v>40</v>
      </c>
      <c r="BC656" s="9" t="s">
        <v>74</v>
      </c>
      <c r="BD656" s="9" t="s">
        <v>104</v>
      </c>
      <c r="BE656" s="9" t="s">
        <v>75</v>
      </c>
      <c r="BF656" s="11">
        <v>0</v>
      </c>
      <c r="BG656">
        <f t="shared" si="22"/>
        <v>12</v>
      </c>
      <c r="BH656" t="str">
        <f>VLOOKUP(BG656,[1]month!$A:$B,2,0)</f>
        <v>Desember</v>
      </c>
      <c r="BI656">
        <f t="shared" si="23"/>
        <v>2025</v>
      </c>
      <c r="BJ656" t="str">
        <f>VLOOKUP(I656,[1]Dist!$A:$B,2,0)</f>
        <v>Industry</v>
      </c>
      <c r="BK656" t="str">
        <f>IF(I656=11,VLOOKUP(Y656,[2]Sheet1!$C:$N,10,0),IF(I656=13,VLOOKUP(Y656,[3]Sheet1!$C:$N,10,0),IF(I656=15,VLOOKUP(Y656,[4]Sheet1!$C:$N,10,0),"Unknown")))</f>
        <v>COMPLEMENTARY</v>
      </c>
      <c r="BL656" t="str">
        <f>IF(I656=11,VLOOKUP(Y656,[2]Sheet1!$C:$N,12,0),IF(I656=13,VLOOKUP(Y656,[3]Sheet1!$C:$N,12,0),IF(I656=15,VLOOKUP(Y656,[4]Sheet1!$C:$N,12,0),"Unknown")))</f>
        <v>PASTA</v>
      </c>
      <c r="BM656" t="str">
        <f>VLOOKUP(W656,[1]branch!$A:$B,2,0)</f>
        <v>INDUSTRY</v>
      </c>
    </row>
    <row r="657" spans="1:65" x14ac:dyDescent="0.35">
      <c r="A657" s="10">
        <v>46000</v>
      </c>
      <c r="B657" s="9" t="s">
        <v>1695</v>
      </c>
      <c r="C657" s="9" t="s">
        <v>64</v>
      </c>
      <c r="D657" s="9" t="s">
        <v>92</v>
      </c>
      <c r="E657" s="11">
        <v>60</v>
      </c>
      <c r="F657" s="9" t="s">
        <v>93</v>
      </c>
      <c r="G657" s="9" t="s">
        <v>65</v>
      </c>
      <c r="H657" s="9" t="s">
        <v>66</v>
      </c>
      <c r="I657" s="9">
        <v>11</v>
      </c>
      <c r="J657" s="9" t="s">
        <v>347</v>
      </c>
      <c r="K657" s="9" t="s">
        <v>347</v>
      </c>
      <c r="L657" s="9" t="s">
        <v>347</v>
      </c>
      <c r="M657" s="9" t="s">
        <v>348</v>
      </c>
      <c r="N657" s="9" t="s">
        <v>866</v>
      </c>
      <c r="O657" s="9" t="s">
        <v>97</v>
      </c>
      <c r="P657" s="9" t="s">
        <v>67</v>
      </c>
      <c r="Q657" s="9" t="s">
        <v>98</v>
      </c>
      <c r="R657" s="9" t="s">
        <v>347</v>
      </c>
      <c r="S657" s="9" t="s">
        <v>348</v>
      </c>
      <c r="T657" s="9" t="s">
        <v>818</v>
      </c>
      <c r="U657" s="9" t="s">
        <v>67</v>
      </c>
      <c r="V657" s="9" t="s">
        <v>130</v>
      </c>
      <c r="W657" s="9" t="s">
        <v>131</v>
      </c>
      <c r="X657" s="11">
        <v>20</v>
      </c>
      <c r="Y657" s="9" t="s">
        <v>273</v>
      </c>
      <c r="Z657" s="9" t="s">
        <v>68</v>
      </c>
      <c r="AA657" s="9" t="s">
        <v>274</v>
      </c>
      <c r="AB657" s="9" t="s">
        <v>67</v>
      </c>
      <c r="AC657" s="9" t="s">
        <v>191</v>
      </c>
      <c r="AD657" s="11">
        <v>10</v>
      </c>
      <c r="AE657" s="9" t="s">
        <v>70</v>
      </c>
      <c r="AF657" s="9" t="s">
        <v>71</v>
      </c>
      <c r="AG657" s="13">
        <v>1</v>
      </c>
      <c r="AH657" s="9" t="s">
        <v>92</v>
      </c>
      <c r="AI657" s="13">
        <v>1153480</v>
      </c>
      <c r="AJ657" s="13">
        <v>11534800</v>
      </c>
      <c r="AK657" s="11">
        <v>0</v>
      </c>
      <c r="AL657" s="11">
        <v>0</v>
      </c>
      <c r="AM657" s="11">
        <v>0</v>
      </c>
      <c r="AN657" s="9" t="s">
        <v>67</v>
      </c>
      <c r="AO657" s="11">
        <v>11534800</v>
      </c>
      <c r="AP657" s="13">
        <v>922784</v>
      </c>
      <c r="AQ657" s="13">
        <v>12457584</v>
      </c>
      <c r="AR657" s="11">
        <v>196</v>
      </c>
      <c r="AS657" s="9" t="s">
        <v>72</v>
      </c>
      <c r="AT657" s="11">
        <v>200</v>
      </c>
      <c r="AU657" s="9" t="s">
        <v>73</v>
      </c>
      <c r="AV657" s="9" t="s">
        <v>67</v>
      </c>
      <c r="AW657" s="9" t="s">
        <v>1073</v>
      </c>
      <c r="AX657" s="10">
        <v>45986</v>
      </c>
      <c r="AY657" s="9" t="s">
        <v>1696</v>
      </c>
      <c r="AZ657" s="9" t="s">
        <v>67</v>
      </c>
      <c r="BA657" s="9" t="s">
        <v>67</v>
      </c>
      <c r="BB657" s="12">
        <v>200</v>
      </c>
      <c r="BC657" s="9" t="s">
        <v>74</v>
      </c>
      <c r="BD657" s="9" t="s">
        <v>104</v>
      </c>
      <c r="BE657" s="9" t="s">
        <v>75</v>
      </c>
      <c r="BF657" s="11">
        <v>0</v>
      </c>
      <c r="BG657">
        <f t="shared" si="22"/>
        <v>12</v>
      </c>
      <c r="BH657" t="str">
        <f>VLOOKUP(BG657,[1]month!$A:$B,2,0)</f>
        <v>Desember</v>
      </c>
      <c r="BI657">
        <f t="shared" si="23"/>
        <v>2025</v>
      </c>
      <c r="BJ657" t="str">
        <f>VLOOKUP(I657,[1]Dist!$A:$B,2,0)</f>
        <v>Industry</v>
      </c>
      <c r="BK657" t="str">
        <f>IF(I657=11,VLOOKUP(Y657,[2]Sheet1!$C:$N,10,0),IF(I657=13,VLOOKUP(Y657,[3]Sheet1!$C:$N,10,0),IF(I657=15,VLOOKUP(Y657,[4]Sheet1!$C:$N,10,0),"Unknown")))</f>
        <v>NC</v>
      </c>
      <c r="BL657" t="str">
        <f>IF(I657=11,VLOOKUP(Y657,[2]Sheet1!$C:$N,12,0),IF(I657=13,VLOOKUP(Y657,[3]Sheet1!$C:$N,12,0),IF(I657=15,VLOOKUP(Y657,[4]Sheet1!$C:$N,12,0),"Unknown")))</f>
        <v>NC SYSTEM</v>
      </c>
      <c r="BM657" t="str">
        <f>VLOOKUP(W657,[1]branch!$A:$B,2,0)</f>
        <v>INDUSTRY</v>
      </c>
    </row>
    <row r="658" spans="1:65" x14ac:dyDescent="0.35">
      <c r="A658" s="10">
        <v>46000</v>
      </c>
      <c r="B658" s="9" t="s">
        <v>1695</v>
      </c>
      <c r="C658" s="9" t="s">
        <v>64</v>
      </c>
      <c r="D658" s="9" t="s">
        <v>92</v>
      </c>
      <c r="E658" s="11">
        <v>60</v>
      </c>
      <c r="F658" s="9" t="s">
        <v>93</v>
      </c>
      <c r="G658" s="9" t="s">
        <v>65</v>
      </c>
      <c r="H658" s="9" t="s">
        <v>66</v>
      </c>
      <c r="I658" s="9">
        <v>11</v>
      </c>
      <c r="J658" s="9" t="s">
        <v>347</v>
      </c>
      <c r="K658" s="9" t="s">
        <v>347</v>
      </c>
      <c r="L658" s="9" t="s">
        <v>347</v>
      </c>
      <c r="M658" s="9" t="s">
        <v>348</v>
      </c>
      <c r="N658" s="9" t="s">
        <v>866</v>
      </c>
      <c r="O658" s="9" t="s">
        <v>97</v>
      </c>
      <c r="P658" s="9" t="s">
        <v>67</v>
      </c>
      <c r="Q658" s="9" t="s">
        <v>98</v>
      </c>
      <c r="R658" s="9" t="s">
        <v>347</v>
      </c>
      <c r="S658" s="9" t="s">
        <v>348</v>
      </c>
      <c r="T658" s="9" t="s">
        <v>818</v>
      </c>
      <c r="U658" s="9" t="s">
        <v>67</v>
      </c>
      <c r="V658" s="9" t="s">
        <v>130</v>
      </c>
      <c r="W658" s="9" t="s">
        <v>131</v>
      </c>
      <c r="X658" s="11">
        <v>30</v>
      </c>
      <c r="Y658" s="9" t="s">
        <v>355</v>
      </c>
      <c r="Z658" s="9" t="s">
        <v>68</v>
      </c>
      <c r="AA658" s="9" t="s">
        <v>356</v>
      </c>
      <c r="AB658" s="9" t="s">
        <v>67</v>
      </c>
      <c r="AC658" s="9" t="s">
        <v>357</v>
      </c>
      <c r="AD658" s="11">
        <v>1</v>
      </c>
      <c r="AE658" s="9" t="s">
        <v>70</v>
      </c>
      <c r="AF658" s="9" t="s">
        <v>71</v>
      </c>
      <c r="AG658" s="13">
        <v>1</v>
      </c>
      <c r="AH658" s="9" t="s">
        <v>92</v>
      </c>
      <c r="AI658" s="13">
        <v>11402000</v>
      </c>
      <c r="AJ658" s="13">
        <v>11402000</v>
      </c>
      <c r="AK658" s="11">
        <v>0</v>
      </c>
      <c r="AL658" s="11">
        <v>0</v>
      </c>
      <c r="AM658" s="11">
        <v>0</v>
      </c>
      <c r="AN658" s="9" t="s">
        <v>67</v>
      </c>
      <c r="AO658" s="11">
        <v>11402000</v>
      </c>
      <c r="AP658" s="13">
        <v>912160</v>
      </c>
      <c r="AQ658" s="13">
        <v>12314160</v>
      </c>
      <c r="AR658" s="11">
        <v>198</v>
      </c>
      <c r="AS658" s="9" t="s">
        <v>72</v>
      </c>
      <c r="AT658" s="11">
        <v>200</v>
      </c>
      <c r="AU658" s="9" t="s">
        <v>73</v>
      </c>
      <c r="AV658" s="9" t="s">
        <v>67</v>
      </c>
      <c r="AW658" s="9" t="s">
        <v>1073</v>
      </c>
      <c r="AX658" s="10">
        <v>45986</v>
      </c>
      <c r="AY658" s="9" t="s">
        <v>1696</v>
      </c>
      <c r="AZ658" s="9" t="s">
        <v>67</v>
      </c>
      <c r="BA658" s="9" t="s">
        <v>67</v>
      </c>
      <c r="BB658" s="12">
        <v>200</v>
      </c>
      <c r="BC658" s="9" t="s">
        <v>74</v>
      </c>
      <c r="BD658" s="9" t="s">
        <v>104</v>
      </c>
      <c r="BE658" s="9" t="s">
        <v>75</v>
      </c>
      <c r="BF658" s="11">
        <v>0</v>
      </c>
      <c r="BG658">
        <f t="shared" si="22"/>
        <v>12</v>
      </c>
      <c r="BH658" t="str">
        <f>VLOOKUP(BG658,[1]month!$A:$B,2,0)</f>
        <v>Desember</v>
      </c>
      <c r="BI658">
        <f t="shared" si="23"/>
        <v>2025</v>
      </c>
      <c r="BJ658" t="str">
        <f>VLOOKUP(I658,[1]Dist!$A:$B,2,0)</f>
        <v>Industry</v>
      </c>
      <c r="BK658" t="str">
        <f>IF(I658=11,VLOOKUP(Y658,[2]Sheet1!$C:$N,10,0),IF(I658=13,VLOOKUP(Y658,[3]Sheet1!$C:$N,10,0),IF(I658=15,VLOOKUP(Y658,[4]Sheet1!$C:$N,10,0),"Unknown")))</f>
        <v>NC</v>
      </c>
      <c r="BL658" t="str">
        <f>IF(I658=11,VLOOKUP(Y658,[2]Sheet1!$C:$N,12,0),IF(I658=13,VLOOKUP(Y658,[3]Sheet1!$C:$N,12,0),IF(I658=15,VLOOKUP(Y658,[4]Sheet1!$C:$N,12,0),"Unknown")))</f>
        <v>NC SYSTEM</v>
      </c>
      <c r="BM658" t="str">
        <f>VLOOKUP(W658,[1]branch!$A:$B,2,0)</f>
        <v>INDUSTRY</v>
      </c>
    </row>
    <row r="659" spans="1:65" x14ac:dyDescent="0.35">
      <c r="A659" s="10">
        <v>46000</v>
      </c>
      <c r="B659" s="9" t="s">
        <v>1695</v>
      </c>
      <c r="C659" s="9" t="s">
        <v>64</v>
      </c>
      <c r="D659" s="9" t="s">
        <v>92</v>
      </c>
      <c r="E659" s="11">
        <v>60</v>
      </c>
      <c r="F659" s="9" t="s">
        <v>93</v>
      </c>
      <c r="G659" s="9" t="s">
        <v>65</v>
      </c>
      <c r="H659" s="9" t="s">
        <v>66</v>
      </c>
      <c r="I659" s="9">
        <v>11</v>
      </c>
      <c r="J659" s="9" t="s">
        <v>347</v>
      </c>
      <c r="K659" s="9" t="s">
        <v>347</v>
      </c>
      <c r="L659" s="9" t="s">
        <v>347</v>
      </c>
      <c r="M659" s="9" t="s">
        <v>348</v>
      </c>
      <c r="N659" s="9" t="s">
        <v>866</v>
      </c>
      <c r="O659" s="9" t="s">
        <v>97</v>
      </c>
      <c r="P659" s="9" t="s">
        <v>67</v>
      </c>
      <c r="Q659" s="9" t="s">
        <v>98</v>
      </c>
      <c r="R659" s="9" t="s">
        <v>347</v>
      </c>
      <c r="S659" s="9" t="s">
        <v>348</v>
      </c>
      <c r="T659" s="9" t="s">
        <v>818</v>
      </c>
      <c r="U659" s="9" t="s">
        <v>67</v>
      </c>
      <c r="V659" s="9" t="s">
        <v>130</v>
      </c>
      <c r="W659" s="9" t="s">
        <v>131</v>
      </c>
      <c r="X659" s="11">
        <v>50</v>
      </c>
      <c r="Y659" s="9" t="s">
        <v>721</v>
      </c>
      <c r="Z659" s="9" t="s">
        <v>68</v>
      </c>
      <c r="AA659" s="9" t="s">
        <v>722</v>
      </c>
      <c r="AB659" s="9" t="s">
        <v>67</v>
      </c>
      <c r="AC659" s="9" t="s">
        <v>120</v>
      </c>
      <c r="AD659" s="11">
        <v>4</v>
      </c>
      <c r="AE659" s="9" t="s">
        <v>70</v>
      </c>
      <c r="AF659" s="9" t="s">
        <v>71</v>
      </c>
      <c r="AG659" s="13">
        <v>1</v>
      </c>
      <c r="AH659" s="9" t="s">
        <v>92</v>
      </c>
      <c r="AI659" s="13">
        <v>6821800</v>
      </c>
      <c r="AJ659" s="13">
        <v>27287200</v>
      </c>
      <c r="AK659" s="11">
        <v>0</v>
      </c>
      <c r="AL659" s="11">
        <v>0</v>
      </c>
      <c r="AM659" s="11">
        <v>0</v>
      </c>
      <c r="AN659" s="9" t="s">
        <v>67</v>
      </c>
      <c r="AO659" s="11">
        <v>27287200</v>
      </c>
      <c r="AP659" s="13">
        <v>2182976</v>
      </c>
      <c r="AQ659" s="13">
        <v>29470176</v>
      </c>
      <c r="AR659" s="11">
        <v>752</v>
      </c>
      <c r="AS659" s="9" t="s">
        <v>72</v>
      </c>
      <c r="AT659" s="11">
        <v>800</v>
      </c>
      <c r="AU659" s="9" t="s">
        <v>73</v>
      </c>
      <c r="AV659" s="9" t="s">
        <v>67</v>
      </c>
      <c r="AW659" s="9" t="s">
        <v>1073</v>
      </c>
      <c r="AX659" s="10">
        <v>45986</v>
      </c>
      <c r="AY659" s="9" t="s">
        <v>1696</v>
      </c>
      <c r="AZ659" s="9" t="s">
        <v>67</v>
      </c>
      <c r="BA659" s="9" t="s">
        <v>67</v>
      </c>
      <c r="BB659" s="12">
        <v>800</v>
      </c>
      <c r="BC659" s="9" t="s">
        <v>74</v>
      </c>
      <c r="BD659" s="9" t="s">
        <v>104</v>
      </c>
      <c r="BE659" s="9" t="s">
        <v>75</v>
      </c>
      <c r="BF659" s="11">
        <v>0</v>
      </c>
      <c r="BG659">
        <f t="shared" si="22"/>
        <v>12</v>
      </c>
      <c r="BH659" t="str">
        <f>VLOOKUP(BG659,[1]month!$A:$B,2,0)</f>
        <v>Desember</v>
      </c>
      <c r="BI659">
        <f t="shared" si="23"/>
        <v>2025</v>
      </c>
      <c r="BJ659" t="str">
        <f>VLOOKUP(I659,[1]Dist!$A:$B,2,0)</f>
        <v>Industry</v>
      </c>
      <c r="BK659" t="str">
        <f>IF(I659=11,VLOOKUP(Y659,[2]Sheet1!$C:$N,10,0),IF(I659=13,VLOOKUP(Y659,[3]Sheet1!$C:$N,10,0),IF(I659=15,VLOOKUP(Y659,[4]Sheet1!$C:$N,10,0),"Unknown")))</f>
        <v>THINNER PU</v>
      </c>
      <c r="BL659" t="str">
        <f>IF(I659=11,VLOOKUP(Y659,[2]Sheet1!$C:$N,12,0),IF(I659=13,VLOOKUP(Y659,[3]Sheet1!$C:$N,12,0),IF(I659=15,VLOOKUP(Y659,[4]Sheet1!$C:$N,12,0),"Unknown")))</f>
        <v>THINNER PU</v>
      </c>
      <c r="BM659" t="str">
        <f>VLOOKUP(W659,[1]branch!$A:$B,2,0)</f>
        <v>INDUSTRY</v>
      </c>
    </row>
    <row r="660" spans="1:65" x14ac:dyDescent="0.35">
      <c r="A660" s="10">
        <v>46000</v>
      </c>
      <c r="B660" s="9" t="s">
        <v>1695</v>
      </c>
      <c r="C660" s="9" t="s">
        <v>64</v>
      </c>
      <c r="D660" s="9" t="s">
        <v>92</v>
      </c>
      <c r="E660" s="11">
        <v>60</v>
      </c>
      <c r="F660" s="9" t="s">
        <v>93</v>
      </c>
      <c r="G660" s="9" t="s">
        <v>65</v>
      </c>
      <c r="H660" s="9" t="s">
        <v>66</v>
      </c>
      <c r="I660" s="9">
        <v>11</v>
      </c>
      <c r="J660" s="9" t="s">
        <v>347</v>
      </c>
      <c r="K660" s="9" t="s">
        <v>347</v>
      </c>
      <c r="L660" s="9" t="s">
        <v>347</v>
      </c>
      <c r="M660" s="9" t="s">
        <v>348</v>
      </c>
      <c r="N660" s="9" t="s">
        <v>866</v>
      </c>
      <c r="O660" s="9" t="s">
        <v>97</v>
      </c>
      <c r="P660" s="9" t="s">
        <v>67</v>
      </c>
      <c r="Q660" s="9" t="s">
        <v>98</v>
      </c>
      <c r="R660" s="9" t="s">
        <v>347</v>
      </c>
      <c r="S660" s="9" t="s">
        <v>348</v>
      </c>
      <c r="T660" s="9" t="s">
        <v>818</v>
      </c>
      <c r="U660" s="9" t="s">
        <v>67</v>
      </c>
      <c r="V660" s="9" t="s">
        <v>130</v>
      </c>
      <c r="W660" s="9" t="s">
        <v>131</v>
      </c>
      <c r="X660" s="11">
        <v>60</v>
      </c>
      <c r="Y660" s="9" t="s">
        <v>428</v>
      </c>
      <c r="Z660" s="9" t="s">
        <v>68</v>
      </c>
      <c r="AA660" s="9" t="s">
        <v>429</v>
      </c>
      <c r="AB660" s="9" t="s">
        <v>67</v>
      </c>
      <c r="AC660" s="9" t="s">
        <v>430</v>
      </c>
      <c r="AD660" s="11">
        <v>3</v>
      </c>
      <c r="AE660" s="9" t="s">
        <v>70</v>
      </c>
      <c r="AF660" s="9" t="s">
        <v>71</v>
      </c>
      <c r="AG660" s="13">
        <v>1</v>
      </c>
      <c r="AH660" s="9" t="s">
        <v>92</v>
      </c>
      <c r="AI660" s="13">
        <v>7109800</v>
      </c>
      <c r="AJ660" s="13">
        <v>21329400</v>
      </c>
      <c r="AK660" s="11">
        <v>0</v>
      </c>
      <c r="AL660" s="11">
        <v>0</v>
      </c>
      <c r="AM660" s="11">
        <v>0</v>
      </c>
      <c r="AN660" s="9" t="s">
        <v>67</v>
      </c>
      <c r="AO660" s="11">
        <v>21329400</v>
      </c>
      <c r="AP660" s="13">
        <v>1706352</v>
      </c>
      <c r="AQ660" s="13">
        <v>23035752</v>
      </c>
      <c r="AR660" s="12">
        <v>58.5</v>
      </c>
      <c r="AS660" s="9" t="s">
        <v>72</v>
      </c>
      <c r="AT660" s="11">
        <v>60</v>
      </c>
      <c r="AU660" s="9" t="s">
        <v>73</v>
      </c>
      <c r="AV660" s="9" t="s">
        <v>67</v>
      </c>
      <c r="AW660" s="9" t="s">
        <v>1073</v>
      </c>
      <c r="AX660" s="10">
        <v>45986</v>
      </c>
      <c r="AY660" s="9" t="s">
        <v>1696</v>
      </c>
      <c r="AZ660" s="9" t="s">
        <v>67</v>
      </c>
      <c r="BA660" s="9" t="s">
        <v>67</v>
      </c>
      <c r="BB660" s="12">
        <v>60</v>
      </c>
      <c r="BC660" s="9" t="s">
        <v>74</v>
      </c>
      <c r="BD660" s="9" t="s">
        <v>104</v>
      </c>
      <c r="BE660" s="9" t="s">
        <v>75</v>
      </c>
      <c r="BF660" s="11">
        <v>0</v>
      </c>
      <c r="BG660">
        <f t="shared" si="22"/>
        <v>12</v>
      </c>
      <c r="BH660" t="str">
        <f>VLOOKUP(BG660,[1]month!$A:$B,2,0)</f>
        <v>Desember</v>
      </c>
      <c r="BI660">
        <f t="shared" si="23"/>
        <v>2025</v>
      </c>
      <c r="BJ660" t="str">
        <f>VLOOKUP(I660,[1]Dist!$A:$B,2,0)</f>
        <v>Industry</v>
      </c>
      <c r="BK660" t="str">
        <f>IF(I660=11,VLOOKUP(Y660,[2]Sheet1!$C:$N,10,0),IF(I660=13,VLOOKUP(Y660,[3]Sheet1!$C:$N,10,0),IF(I660=15,VLOOKUP(Y660,[4]Sheet1!$C:$N,10,0),"Unknown")))</f>
        <v>ALKYD OIL</v>
      </c>
      <c r="BL660" t="str">
        <f>IF(I660=11,VLOOKUP(Y660,[2]Sheet1!$C:$N,12,0),IF(I660=13,VLOOKUP(Y660,[3]Sheet1!$C:$N,12,0),IF(I660=15,VLOOKUP(Y660,[4]Sheet1!$C:$N,12,0),"Unknown")))</f>
        <v>ALKYD &amp; OIL SYSTEM</v>
      </c>
      <c r="BM660" t="str">
        <f>VLOOKUP(W660,[1]branch!$A:$B,2,0)</f>
        <v>INDUSTRY</v>
      </c>
    </row>
    <row r="661" spans="1:65" x14ac:dyDescent="0.35">
      <c r="A661" s="10">
        <v>46000</v>
      </c>
      <c r="B661" s="9" t="s">
        <v>1697</v>
      </c>
      <c r="C661" s="9" t="s">
        <v>64</v>
      </c>
      <c r="D661" s="9" t="s">
        <v>92</v>
      </c>
      <c r="E661" s="11">
        <v>60</v>
      </c>
      <c r="F661" s="9" t="s">
        <v>93</v>
      </c>
      <c r="G661" s="9" t="s">
        <v>65</v>
      </c>
      <c r="H661" s="9" t="s">
        <v>66</v>
      </c>
      <c r="I661" s="9">
        <v>11</v>
      </c>
      <c r="J661" s="9" t="s">
        <v>347</v>
      </c>
      <c r="K661" s="9" t="s">
        <v>347</v>
      </c>
      <c r="L661" s="9" t="s">
        <v>347</v>
      </c>
      <c r="M661" s="9" t="s">
        <v>348</v>
      </c>
      <c r="N661" s="9" t="s">
        <v>866</v>
      </c>
      <c r="O661" s="9" t="s">
        <v>97</v>
      </c>
      <c r="P661" s="9" t="s">
        <v>67</v>
      </c>
      <c r="Q661" s="9" t="s">
        <v>98</v>
      </c>
      <c r="R661" s="9" t="s">
        <v>347</v>
      </c>
      <c r="S661" s="9" t="s">
        <v>348</v>
      </c>
      <c r="T661" s="9" t="s">
        <v>818</v>
      </c>
      <c r="U661" s="9" t="s">
        <v>67</v>
      </c>
      <c r="V661" s="9" t="s">
        <v>130</v>
      </c>
      <c r="W661" s="9" t="s">
        <v>131</v>
      </c>
      <c r="X661" s="11">
        <v>20</v>
      </c>
      <c r="Y661" s="9" t="s">
        <v>862</v>
      </c>
      <c r="Z661" s="9" t="s">
        <v>68</v>
      </c>
      <c r="AA661" s="9" t="s">
        <v>863</v>
      </c>
      <c r="AB661" s="9" t="s">
        <v>67</v>
      </c>
      <c r="AC661" s="9" t="s">
        <v>547</v>
      </c>
      <c r="AD661" s="11">
        <v>5</v>
      </c>
      <c r="AE661" s="9" t="s">
        <v>70</v>
      </c>
      <c r="AF661" s="9" t="s">
        <v>71</v>
      </c>
      <c r="AG661" s="13">
        <v>1</v>
      </c>
      <c r="AH661" s="9" t="s">
        <v>92</v>
      </c>
      <c r="AI661" s="13">
        <v>1670400</v>
      </c>
      <c r="AJ661" s="13">
        <v>8352000</v>
      </c>
      <c r="AK661" s="11">
        <v>0</v>
      </c>
      <c r="AL661" s="11">
        <v>0</v>
      </c>
      <c r="AM661" s="11">
        <v>0</v>
      </c>
      <c r="AN661" s="9" t="s">
        <v>67</v>
      </c>
      <c r="AO661" s="11">
        <v>8352000</v>
      </c>
      <c r="AP661" s="13">
        <v>668160</v>
      </c>
      <c r="AQ661" s="13">
        <v>9020160</v>
      </c>
      <c r="AR661" s="11">
        <v>90</v>
      </c>
      <c r="AS661" s="9" t="s">
        <v>72</v>
      </c>
      <c r="AT661" s="12">
        <v>92.784999999999997</v>
      </c>
      <c r="AU661" s="9" t="s">
        <v>73</v>
      </c>
      <c r="AV661" s="9" t="s">
        <v>67</v>
      </c>
      <c r="AW661" s="9" t="s">
        <v>896</v>
      </c>
      <c r="AX661" s="10">
        <v>45917</v>
      </c>
      <c r="AY661" s="9" t="s">
        <v>1698</v>
      </c>
      <c r="AZ661" s="9" t="s">
        <v>67</v>
      </c>
      <c r="BA661" s="9" t="s">
        <v>67</v>
      </c>
      <c r="BB661" s="12">
        <v>90</v>
      </c>
      <c r="BC661" s="9" t="s">
        <v>74</v>
      </c>
      <c r="BD661" s="9" t="s">
        <v>104</v>
      </c>
      <c r="BE661" s="9" t="s">
        <v>75</v>
      </c>
      <c r="BF661" s="11">
        <v>0</v>
      </c>
      <c r="BG661">
        <f t="shared" si="22"/>
        <v>12</v>
      </c>
      <c r="BH661" t="str">
        <f>VLOOKUP(BG661,[1]month!$A:$B,2,0)</f>
        <v>Desember</v>
      </c>
      <c r="BI661">
        <f t="shared" si="23"/>
        <v>2025</v>
      </c>
      <c r="BJ661" t="str">
        <f>VLOOKUP(I661,[1]Dist!$A:$B,2,0)</f>
        <v>Industry</v>
      </c>
      <c r="BK661" t="str">
        <f>IF(I661=11,VLOOKUP(Y661,[2]Sheet1!$C:$N,10,0),IF(I661=13,VLOOKUP(Y661,[3]Sheet1!$C:$N,10,0),IF(I661=15,VLOOKUP(Y661,[4]Sheet1!$C:$N,10,0),"Unknown")))</f>
        <v>NC</v>
      </c>
      <c r="BL661" t="str">
        <f>IF(I661=11,VLOOKUP(Y661,[2]Sheet1!$C:$N,12,0),IF(I661=13,VLOOKUP(Y661,[3]Sheet1!$C:$N,12,0),IF(I661=15,VLOOKUP(Y661,[4]Sheet1!$C:$N,12,0),"Unknown")))</f>
        <v>NC SYSTEM</v>
      </c>
      <c r="BM661" t="str">
        <f>VLOOKUP(W661,[1]branch!$A:$B,2,0)</f>
        <v>INDUSTRY</v>
      </c>
    </row>
    <row r="662" spans="1:65" x14ac:dyDescent="0.35">
      <c r="A662" s="10">
        <v>46000</v>
      </c>
      <c r="B662" s="9" t="s">
        <v>1699</v>
      </c>
      <c r="C662" s="9" t="s">
        <v>64</v>
      </c>
      <c r="D662" s="9" t="s">
        <v>92</v>
      </c>
      <c r="E662" s="11">
        <v>60</v>
      </c>
      <c r="F662" s="9" t="s">
        <v>93</v>
      </c>
      <c r="G662" s="9" t="s">
        <v>65</v>
      </c>
      <c r="H662" s="9" t="s">
        <v>66</v>
      </c>
      <c r="I662" s="9">
        <v>11</v>
      </c>
      <c r="J662" s="9" t="s">
        <v>347</v>
      </c>
      <c r="K662" s="9" t="s">
        <v>347</v>
      </c>
      <c r="L662" s="9" t="s">
        <v>347</v>
      </c>
      <c r="M662" s="9" t="s">
        <v>348</v>
      </c>
      <c r="N662" s="9" t="s">
        <v>866</v>
      </c>
      <c r="O662" s="9" t="s">
        <v>97</v>
      </c>
      <c r="P662" s="9" t="s">
        <v>67</v>
      </c>
      <c r="Q662" s="9" t="s">
        <v>98</v>
      </c>
      <c r="R662" s="9" t="s">
        <v>347</v>
      </c>
      <c r="S662" s="9" t="s">
        <v>348</v>
      </c>
      <c r="T662" s="9" t="s">
        <v>818</v>
      </c>
      <c r="U662" s="9" t="s">
        <v>67</v>
      </c>
      <c r="V662" s="9" t="s">
        <v>130</v>
      </c>
      <c r="W662" s="9" t="s">
        <v>131</v>
      </c>
      <c r="X662" s="11">
        <v>80</v>
      </c>
      <c r="Y662" s="9" t="s">
        <v>1336</v>
      </c>
      <c r="Z662" s="9" t="s">
        <v>68</v>
      </c>
      <c r="AA662" s="9" t="s">
        <v>1337</v>
      </c>
      <c r="AB662" s="9" t="s">
        <v>67</v>
      </c>
      <c r="AC662" s="9" t="s">
        <v>82</v>
      </c>
      <c r="AD662" s="11">
        <v>1</v>
      </c>
      <c r="AE662" s="9" t="s">
        <v>70</v>
      </c>
      <c r="AF662" s="9" t="s">
        <v>71</v>
      </c>
      <c r="AG662" s="13">
        <v>1</v>
      </c>
      <c r="AH662" s="9" t="s">
        <v>92</v>
      </c>
      <c r="AI662" s="13">
        <v>5266560</v>
      </c>
      <c r="AJ662" s="13">
        <v>5266560</v>
      </c>
      <c r="AK662" s="11">
        <v>0</v>
      </c>
      <c r="AL662" s="11">
        <v>0</v>
      </c>
      <c r="AM662" s="11">
        <v>0</v>
      </c>
      <c r="AN662" s="9" t="s">
        <v>67</v>
      </c>
      <c r="AO662" s="11">
        <v>5266560</v>
      </c>
      <c r="AP662" s="13">
        <v>421325</v>
      </c>
      <c r="AQ662" s="13">
        <v>5687885</v>
      </c>
      <c r="AR662" s="11">
        <v>16</v>
      </c>
      <c r="AS662" s="9" t="s">
        <v>72</v>
      </c>
      <c r="AT662" s="12">
        <v>18.82</v>
      </c>
      <c r="AU662" s="9" t="s">
        <v>73</v>
      </c>
      <c r="AV662" s="9" t="s">
        <v>67</v>
      </c>
      <c r="AW662" s="9" t="s">
        <v>935</v>
      </c>
      <c r="AX662" s="10">
        <v>45972</v>
      </c>
      <c r="AY662" s="9" t="s">
        <v>1700</v>
      </c>
      <c r="AZ662" s="9" t="s">
        <v>67</v>
      </c>
      <c r="BA662" s="9" t="s">
        <v>67</v>
      </c>
      <c r="BB662" s="12">
        <v>16</v>
      </c>
      <c r="BC662" s="9" t="s">
        <v>74</v>
      </c>
      <c r="BD662" s="9" t="s">
        <v>104</v>
      </c>
      <c r="BE662" s="9" t="s">
        <v>75</v>
      </c>
      <c r="BF662" s="11">
        <v>0</v>
      </c>
      <c r="BG662">
        <f t="shared" si="22"/>
        <v>12</v>
      </c>
      <c r="BH662" t="str">
        <f>VLOOKUP(BG662,[1]month!$A:$B,2,0)</f>
        <v>Desember</v>
      </c>
      <c r="BI662">
        <f t="shared" si="23"/>
        <v>2025</v>
      </c>
      <c r="BJ662" t="str">
        <f>VLOOKUP(I662,[1]Dist!$A:$B,2,0)</f>
        <v>Industry</v>
      </c>
      <c r="BK662" t="str">
        <f>IF(I662=11,VLOOKUP(Y662,[2]Sheet1!$C:$N,10,0),IF(I662=13,VLOOKUP(Y662,[3]Sheet1!$C:$N,10,0),IF(I662=15,VLOOKUP(Y662,[4]Sheet1!$C:$N,10,0),"Unknown")))</f>
        <v>STAIN &amp; GLAZE INTERIOR</v>
      </c>
      <c r="BL662" t="str">
        <f>IF(I662=11,VLOOKUP(Y662,[2]Sheet1!$C:$N,12,0),IF(I662=13,VLOOKUP(Y662,[3]Sheet1!$C:$N,12,0),IF(I662=15,VLOOKUP(Y662,[4]Sheet1!$C:$N,12,0),"Unknown")))</f>
        <v>STAIN INTERIOR</v>
      </c>
      <c r="BM662" t="str">
        <f>VLOOKUP(W662,[1]branch!$A:$B,2,0)</f>
        <v>INDUSTRY</v>
      </c>
    </row>
    <row r="663" spans="1:65" x14ac:dyDescent="0.35">
      <c r="A663" s="10">
        <v>46000</v>
      </c>
      <c r="B663" s="9" t="s">
        <v>1701</v>
      </c>
      <c r="C663" s="9" t="s">
        <v>64</v>
      </c>
      <c r="D663" s="9" t="s">
        <v>92</v>
      </c>
      <c r="E663" s="11">
        <v>60</v>
      </c>
      <c r="F663" s="9" t="s">
        <v>93</v>
      </c>
      <c r="G663" s="9" t="s">
        <v>65</v>
      </c>
      <c r="H663" s="9" t="s">
        <v>66</v>
      </c>
      <c r="I663" s="9">
        <v>11</v>
      </c>
      <c r="J663" s="9" t="s">
        <v>347</v>
      </c>
      <c r="K663" s="9" t="s">
        <v>347</v>
      </c>
      <c r="L663" s="9" t="s">
        <v>347</v>
      </c>
      <c r="M663" s="9" t="s">
        <v>348</v>
      </c>
      <c r="N663" s="9" t="s">
        <v>866</v>
      </c>
      <c r="O663" s="9" t="s">
        <v>97</v>
      </c>
      <c r="P663" s="9" t="s">
        <v>67</v>
      </c>
      <c r="Q663" s="9" t="s">
        <v>98</v>
      </c>
      <c r="R663" s="9" t="s">
        <v>347</v>
      </c>
      <c r="S663" s="9" t="s">
        <v>348</v>
      </c>
      <c r="T663" s="9" t="s">
        <v>818</v>
      </c>
      <c r="U663" s="9" t="s">
        <v>67</v>
      </c>
      <c r="V663" s="9" t="s">
        <v>130</v>
      </c>
      <c r="W663" s="9" t="s">
        <v>131</v>
      </c>
      <c r="X663" s="11">
        <v>30</v>
      </c>
      <c r="Y663" s="9" t="s">
        <v>148</v>
      </c>
      <c r="Z663" s="9" t="s">
        <v>68</v>
      </c>
      <c r="AA663" s="9" t="s">
        <v>149</v>
      </c>
      <c r="AB663" s="9" t="s">
        <v>67</v>
      </c>
      <c r="AC663" s="9" t="s">
        <v>69</v>
      </c>
      <c r="AD663" s="11">
        <v>4</v>
      </c>
      <c r="AE663" s="9" t="s">
        <v>70</v>
      </c>
      <c r="AF663" s="9" t="s">
        <v>71</v>
      </c>
      <c r="AG663" s="13">
        <v>1</v>
      </c>
      <c r="AH663" s="9" t="s">
        <v>92</v>
      </c>
      <c r="AI663" s="13">
        <v>7298800</v>
      </c>
      <c r="AJ663" s="13">
        <v>29195200</v>
      </c>
      <c r="AK663" s="11">
        <v>0</v>
      </c>
      <c r="AL663" s="11">
        <v>0</v>
      </c>
      <c r="AM663" s="11">
        <v>0</v>
      </c>
      <c r="AN663" s="9" t="s">
        <v>67</v>
      </c>
      <c r="AO663" s="11">
        <v>29195200</v>
      </c>
      <c r="AP663" s="13">
        <v>2335616</v>
      </c>
      <c r="AQ663" s="13">
        <v>31530816</v>
      </c>
      <c r="AR663" s="11">
        <v>720</v>
      </c>
      <c r="AS663" s="9" t="s">
        <v>72</v>
      </c>
      <c r="AT663" s="11">
        <v>800</v>
      </c>
      <c r="AU663" s="9" t="s">
        <v>73</v>
      </c>
      <c r="AV663" s="9" t="s">
        <v>67</v>
      </c>
      <c r="AW663" s="9" t="s">
        <v>1603</v>
      </c>
      <c r="AX663" s="10">
        <v>45993</v>
      </c>
      <c r="AY663" s="9" t="s">
        <v>1702</v>
      </c>
      <c r="AZ663" s="9" t="s">
        <v>67</v>
      </c>
      <c r="BA663" s="9" t="s">
        <v>67</v>
      </c>
      <c r="BB663" s="12">
        <v>800</v>
      </c>
      <c r="BC663" s="9" t="s">
        <v>74</v>
      </c>
      <c r="BD663" s="9" t="s">
        <v>104</v>
      </c>
      <c r="BE663" s="9" t="s">
        <v>75</v>
      </c>
      <c r="BF663" s="11">
        <v>0</v>
      </c>
      <c r="BG663">
        <f t="shared" si="22"/>
        <v>12</v>
      </c>
      <c r="BH663" t="str">
        <f>VLOOKUP(BG663,[1]month!$A:$B,2,0)</f>
        <v>Desember</v>
      </c>
      <c r="BI663">
        <f t="shared" si="23"/>
        <v>2025</v>
      </c>
      <c r="BJ663" t="str">
        <f>VLOOKUP(I663,[1]Dist!$A:$B,2,0)</f>
        <v>Industry</v>
      </c>
      <c r="BK663" t="str">
        <f>IF(I663=11,VLOOKUP(Y663,[2]Sheet1!$C:$N,10,0),IF(I663=13,VLOOKUP(Y663,[3]Sheet1!$C:$N,10,0),IF(I663=15,VLOOKUP(Y663,[4]Sheet1!$C:$N,10,0),"Unknown")))</f>
        <v>THINNER NC</v>
      </c>
      <c r="BL663" t="str">
        <f>IF(I663=11,VLOOKUP(Y663,[2]Sheet1!$C:$N,12,0),IF(I663=13,VLOOKUP(Y663,[3]Sheet1!$C:$N,12,0),IF(I663=15,VLOOKUP(Y663,[4]Sheet1!$C:$N,12,0),"Unknown")))</f>
        <v>THINNER NC</v>
      </c>
      <c r="BM663" t="str">
        <f>VLOOKUP(W663,[1]branch!$A:$B,2,0)</f>
        <v>INDUSTRY</v>
      </c>
    </row>
    <row r="664" spans="1:65" x14ac:dyDescent="0.35">
      <c r="A664" s="10">
        <v>46000</v>
      </c>
      <c r="B664" s="9" t="s">
        <v>1703</v>
      </c>
      <c r="C664" s="9" t="s">
        <v>64</v>
      </c>
      <c r="D664" s="9" t="s">
        <v>92</v>
      </c>
      <c r="E664" s="11">
        <v>75</v>
      </c>
      <c r="F664" s="9" t="s">
        <v>93</v>
      </c>
      <c r="G664" s="9" t="s">
        <v>65</v>
      </c>
      <c r="H664" s="9" t="s">
        <v>66</v>
      </c>
      <c r="I664" s="9">
        <v>11</v>
      </c>
      <c r="J664" s="9" t="s">
        <v>1353</v>
      </c>
      <c r="K664" s="9" t="s">
        <v>1353</v>
      </c>
      <c r="L664" s="9" t="s">
        <v>1353</v>
      </c>
      <c r="M664" s="9" t="s">
        <v>1354</v>
      </c>
      <c r="N664" s="9" t="s">
        <v>1355</v>
      </c>
      <c r="O664" s="9" t="s">
        <v>97</v>
      </c>
      <c r="P664" s="9" t="s">
        <v>67</v>
      </c>
      <c r="Q664" s="9" t="s">
        <v>98</v>
      </c>
      <c r="R664" s="9" t="s">
        <v>1356</v>
      </c>
      <c r="S664" s="9" t="s">
        <v>1354</v>
      </c>
      <c r="T664" s="9" t="s">
        <v>1357</v>
      </c>
      <c r="U664" s="9" t="s">
        <v>67</v>
      </c>
      <c r="V664" s="9" t="s">
        <v>221</v>
      </c>
      <c r="W664" s="9" t="s">
        <v>222</v>
      </c>
      <c r="X664" s="11">
        <v>10</v>
      </c>
      <c r="Y664" s="9" t="s">
        <v>1704</v>
      </c>
      <c r="Z664" s="9" t="s">
        <v>68</v>
      </c>
      <c r="AA664" s="9" t="s">
        <v>1705</v>
      </c>
      <c r="AB664" s="9" t="s">
        <v>67</v>
      </c>
      <c r="AC664" s="9" t="s">
        <v>237</v>
      </c>
      <c r="AD664" s="11">
        <v>2</v>
      </c>
      <c r="AE664" s="9" t="s">
        <v>70</v>
      </c>
      <c r="AF664" s="9" t="s">
        <v>71</v>
      </c>
      <c r="AG664" s="13">
        <v>1</v>
      </c>
      <c r="AH664" s="9" t="s">
        <v>92</v>
      </c>
      <c r="AI664" s="13">
        <v>2165800</v>
      </c>
      <c r="AJ664" s="13">
        <v>4331600</v>
      </c>
      <c r="AK664" s="11">
        <v>0</v>
      </c>
      <c r="AL664" s="11">
        <v>0</v>
      </c>
      <c r="AM664" s="11">
        <v>0</v>
      </c>
      <c r="AN664" s="9" t="s">
        <v>67</v>
      </c>
      <c r="AO664" s="11">
        <v>4331600</v>
      </c>
      <c r="AP664" s="13">
        <v>346528</v>
      </c>
      <c r="AQ664" s="13">
        <v>4678128</v>
      </c>
      <c r="AR664" s="11">
        <v>8</v>
      </c>
      <c r="AS664" s="9" t="s">
        <v>72</v>
      </c>
      <c r="AT664" s="12">
        <v>7.76</v>
      </c>
      <c r="AU664" s="9" t="s">
        <v>73</v>
      </c>
      <c r="AV664" s="9" t="s">
        <v>67</v>
      </c>
      <c r="AW664" s="9" t="s">
        <v>1706</v>
      </c>
      <c r="AX664" s="10">
        <v>45995</v>
      </c>
      <c r="AY664" s="9" t="s">
        <v>1707</v>
      </c>
      <c r="AZ664" s="9" t="s">
        <v>67</v>
      </c>
      <c r="BA664" s="9" t="s">
        <v>67</v>
      </c>
      <c r="BB664" s="12">
        <v>8</v>
      </c>
      <c r="BC664" s="9" t="s">
        <v>74</v>
      </c>
      <c r="BD664" s="9" t="s">
        <v>104</v>
      </c>
      <c r="BE664" s="9" t="s">
        <v>75</v>
      </c>
      <c r="BF664" s="11">
        <v>0</v>
      </c>
      <c r="BG664">
        <f t="shared" si="22"/>
        <v>12</v>
      </c>
      <c r="BH664" t="str">
        <f>VLOOKUP(BG664,[1]month!$A:$B,2,0)</f>
        <v>Desember</v>
      </c>
      <c r="BI664">
        <f t="shared" si="23"/>
        <v>2025</v>
      </c>
      <c r="BJ664" t="str">
        <f>VLOOKUP(I664,[1]Dist!$A:$B,2,0)</f>
        <v>Industry</v>
      </c>
      <c r="BK664" t="str">
        <f>IF(I664=11,VLOOKUP(Y664,[2]Sheet1!$C:$N,10,0),IF(I664=13,VLOOKUP(Y664,[3]Sheet1!$C:$N,10,0),IF(I664=15,VLOOKUP(Y664,[4]Sheet1!$C:$N,10,0),"Unknown")))</f>
        <v>COMPLEMENTARY</v>
      </c>
      <c r="BL664" t="str">
        <f>IF(I664=11,VLOOKUP(Y664,[2]Sheet1!$C:$N,12,0),IF(I664=13,VLOOKUP(Y664,[3]Sheet1!$C:$N,12,0),IF(I664=15,VLOOKUP(Y664,[4]Sheet1!$C:$N,12,0),"Unknown")))</f>
        <v>PASTA</v>
      </c>
      <c r="BM664" t="str">
        <f>VLOOKUP(W664,[1]branch!$A:$B,2,0)</f>
        <v>INDUSTRY</v>
      </c>
    </row>
    <row r="665" spans="1:65" x14ac:dyDescent="0.35">
      <c r="A665" s="10">
        <v>46000</v>
      </c>
      <c r="B665" s="9" t="s">
        <v>1703</v>
      </c>
      <c r="C665" s="9" t="s">
        <v>64</v>
      </c>
      <c r="D665" s="9" t="s">
        <v>92</v>
      </c>
      <c r="E665" s="11">
        <v>75</v>
      </c>
      <c r="F665" s="9" t="s">
        <v>93</v>
      </c>
      <c r="G665" s="9" t="s">
        <v>65</v>
      </c>
      <c r="H665" s="9" t="s">
        <v>66</v>
      </c>
      <c r="I665" s="9">
        <v>11</v>
      </c>
      <c r="J665" s="9" t="s">
        <v>1353</v>
      </c>
      <c r="K665" s="9" t="s">
        <v>1353</v>
      </c>
      <c r="L665" s="9" t="s">
        <v>1353</v>
      </c>
      <c r="M665" s="9" t="s">
        <v>1354</v>
      </c>
      <c r="N665" s="9" t="s">
        <v>1355</v>
      </c>
      <c r="O665" s="9" t="s">
        <v>97</v>
      </c>
      <c r="P665" s="9" t="s">
        <v>67</v>
      </c>
      <c r="Q665" s="9" t="s">
        <v>98</v>
      </c>
      <c r="R665" s="9" t="s">
        <v>1356</v>
      </c>
      <c r="S665" s="9" t="s">
        <v>1354</v>
      </c>
      <c r="T665" s="9" t="s">
        <v>1357</v>
      </c>
      <c r="U665" s="9" t="s">
        <v>67</v>
      </c>
      <c r="V665" s="9" t="s">
        <v>221</v>
      </c>
      <c r="W665" s="9" t="s">
        <v>222</v>
      </c>
      <c r="X665" s="11">
        <v>20</v>
      </c>
      <c r="Y665" s="9" t="s">
        <v>126</v>
      </c>
      <c r="Z665" s="9" t="s">
        <v>68</v>
      </c>
      <c r="AA665" s="9" t="s">
        <v>127</v>
      </c>
      <c r="AB665" s="9" t="s">
        <v>67</v>
      </c>
      <c r="AC665" s="9" t="s">
        <v>237</v>
      </c>
      <c r="AD665" s="11">
        <v>4</v>
      </c>
      <c r="AE665" s="9" t="s">
        <v>70</v>
      </c>
      <c r="AF665" s="9" t="s">
        <v>71</v>
      </c>
      <c r="AG665" s="13">
        <v>1</v>
      </c>
      <c r="AH665" s="9" t="s">
        <v>92</v>
      </c>
      <c r="AI665" s="13">
        <v>2525148</v>
      </c>
      <c r="AJ665" s="13">
        <v>10100592</v>
      </c>
      <c r="AK665" s="11">
        <v>0</v>
      </c>
      <c r="AL665" s="11">
        <v>0</v>
      </c>
      <c r="AM665" s="11">
        <v>0</v>
      </c>
      <c r="AN665" s="9" t="s">
        <v>67</v>
      </c>
      <c r="AO665" s="11">
        <v>10100592</v>
      </c>
      <c r="AP665" s="13">
        <v>808047</v>
      </c>
      <c r="AQ665" s="13">
        <v>10908639</v>
      </c>
      <c r="AR665" s="11">
        <v>16</v>
      </c>
      <c r="AS665" s="9" t="s">
        <v>72</v>
      </c>
      <c r="AT665" s="12">
        <v>15.24</v>
      </c>
      <c r="AU665" s="9" t="s">
        <v>73</v>
      </c>
      <c r="AV665" s="9" t="s">
        <v>67</v>
      </c>
      <c r="AW665" s="9" t="s">
        <v>1706</v>
      </c>
      <c r="AX665" s="10">
        <v>45995</v>
      </c>
      <c r="AY665" s="9" t="s">
        <v>1707</v>
      </c>
      <c r="AZ665" s="9" t="s">
        <v>67</v>
      </c>
      <c r="BA665" s="9" t="s">
        <v>67</v>
      </c>
      <c r="BB665" s="12">
        <v>16</v>
      </c>
      <c r="BC665" s="9" t="s">
        <v>74</v>
      </c>
      <c r="BD665" s="9" t="s">
        <v>104</v>
      </c>
      <c r="BE665" s="9" t="s">
        <v>75</v>
      </c>
      <c r="BF665" s="11">
        <v>0</v>
      </c>
      <c r="BG665">
        <f t="shared" si="22"/>
        <v>12</v>
      </c>
      <c r="BH665" t="str">
        <f>VLOOKUP(BG665,[1]month!$A:$B,2,0)</f>
        <v>Desember</v>
      </c>
      <c r="BI665">
        <f t="shared" si="23"/>
        <v>2025</v>
      </c>
      <c r="BJ665" t="str">
        <f>VLOOKUP(I665,[1]Dist!$A:$B,2,0)</f>
        <v>Industry</v>
      </c>
      <c r="BK665" t="str">
        <f>IF(I665=11,VLOOKUP(Y665,[2]Sheet1!$C:$N,10,0),IF(I665=13,VLOOKUP(Y665,[3]Sheet1!$C:$N,10,0),IF(I665=15,VLOOKUP(Y665,[4]Sheet1!$C:$N,10,0),"Unknown")))</f>
        <v>COMPLEMENTARY</v>
      </c>
      <c r="BL665" t="str">
        <f>IF(I665=11,VLOOKUP(Y665,[2]Sheet1!$C:$N,12,0),IF(I665=13,VLOOKUP(Y665,[3]Sheet1!$C:$N,12,0),IF(I665=15,VLOOKUP(Y665,[4]Sheet1!$C:$N,12,0),"Unknown")))</f>
        <v>PASTA</v>
      </c>
      <c r="BM665" t="str">
        <f>VLOOKUP(W665,[1]branch!$A:$B,2,0)</f>
        <v>INDUSTRY</v>
      </c>
    </row>
    <row r="666" spans="1:65" x14ac:dyDescent="0.35">
      <c r="A666" s="10">
        <v>46000</v>
      </c>
      <c r="B666" s="9" t="s">
        <v>1708</v>
      </c>
      <c r="C666" s="9" t="s">
        <v>64</v>
      </c>
      <c r="D666" s="9" t="s">
        <v>92</v>
      </c>
      <c r="E666" s="11">
        <v>45</v>
      </c>
      <c r="F666" s="9" t="s">
        <v>93</v>
      </c>
      <c r="G666" s="9" t="s">
        <v>65</v>
      </c>
      <c r="H666" s="9" t="s">
        <v>66</v>
      </c>
      <c r="I666" s="9">
        <v>11</v>
      </c>
      <c r="J666" s="9" t="s">
        <v>1418</v>
      </c>
      <c r="K666" s="9" t="s">
        <v>1418</v>
      </c>
      <c r="L666" s="9" t="s">
        <v>1418</v>
      </c>
      <c r="M666" s="9" t="s">
        <v>1419</v>
      </c>
      <c r="N666" s="9" t="s">
        <v>1420</v>
      </c>
      <c r="O666" s="9" t="s">
        <v>97</v>
      </c>
      <c r="P666" s="9" t="s">
        <v>67</v>
      </c>
      <c r="Q666" s="9" t="s">
        <v>98</v>
      </c>
      <c r="R666" s="9" t="s">
        <v>1418</v>
      </c>
      <c r="S666" s="9" t="s">
        <v>1419</v>
      </c>
      <c r="T666" s="9" t="s">
        <v>1421</v>
      </c>
      <c r="U666" s="9" t="s">
        <v>67</v>
      </c>
      <c r="V666" s="9" t="s">
        <v>130</v>
      </c>
      <c r="W666" s="9" t="s">
        <v>131</v>
      </c>
      <c r="X666" s="11">
        <v>10</v>
      </c>
      <c r="Y666" s="9" t="s">
        <v>404</v>
      </c>
      <c r="Z666" s="9" t="s">
        <v>68</v>
      </c>
      <c r="AA666" s="9" t="s">
        <v>405</v>
      </c>
      <c r="AB666" s="9" t="s">
        <v>67</v>
      </c>
      <c r="AC666" s="9" t="s">
        <v>406</v>
      </c>
      <c r="AD666" s="11">
        <v>1</v>
      </c>
      <c r="AE666" s="9" t="s">
        <v>70</v>
      </c>
      <c r="AF666" s="9" t="s">
        <v>71</v>
      </c>
      <c r="AG666" s="13">
        <v>1</v>
      </c>
      <c r="AH666" s="9" t="s">
        <v>92</v>
      </c>
      <c r="AI666" s="13">
        <v>1137800</v>
      </c>
      <c r="AJ666" s="13">
        <v>1137800</v>
      </c>
      <c r="AK666" s="11">
        <v>0</v>
      </c>
      <c r="AL666" s="11">
        <v>0</v>
      </c>
      <c r="AM666" s="11">
        <v>0</v>
      </c>
      <c r="AN666" s="9" t="s">
        <v>67</v>
      </c>
      <c r="AO666" s="11">
        <v>1137800</v>
      </c>
      <c r="AP666" s="13">
        <v>91024</v>
      </c>
      <c r="AQ666" s="13">
        <v>1228824</v>
      </c>
      <c r="AR666" s="11">
        <v>20</v>
      </c>
      <c r="AS666" s="9" t="s">
        <v>72</v>
      </c>
      <c r="AT666" s="12">
        <v>12.9</v>
      </c>
      <c r="AU666" s="9" t="s">
        <v>73</v>
      </c>
      <c r="AV666" s="9" t="s">
        <v>67</v>
      </c>
      <c r="AW666" s="9" t="s">
        <v>1709</v>
      </c>
      <c r="AX666" s="10">
        <v>46000</v>
      </c>
      <c r="AY666" s="9" t="s">
        <v>1710</v>
      </c>
      <c r="AZ666" s="9" t="s">
        <v>67</v>
      </c>
      <c r="BA666" s="9" t="s">
        <v>67</v>
      </c>
      <c r="BB666" s="12">
        <v>20</v>
      </c>
      <c r="BC666" s="9" t="s">
        <v>74</v>
      </c>
      <c r="BD666" s="9" t="s">
        <v>104</v>
      </c>
      <c r="BE666" s="9" t="s">
        <v>75</v>
      </c>
      <c r="BF666" s="11">
        <v>0</v>
      </c>
      <c r="BG666">
        <f t="shared" si="22"/>
        <v>12</v>
      </c>
      <c r="BH666" t="str">
        <f>VLOOKUP(BG666,[1]month!$A:$B,2,0)</f>
        <v>Desember</v>
      </c>
      <c r="BI666">
        <f t="shared" si="23"/>
        <v>2025</v>
      </c>
      <c r="BJ666" t="str">
        <f>VLOOKUP(I666,[1]Dist!$A:$B,2,0)</f>
        <v>Industry</v>
      </c>
      <c r="BK666" t="str">
        <f>IF(I666=11,VLOOKUP(Y666,[2]Sheet1!$C:$N,10,0),IF(I666=13,VLOOKUP(Y666,[3]Sheet1!$C:$N,10,0),IF(I666=15,VLOOKUP(Y666,[4]Sheet1!$C:$N,10,0),"Unknown")))</f>
        <v>STAIN &amp; GLAZE INTERIOR</v>
      </c>
      <c r="BL666" t="str">
        <f>IF(I666=11,VLOOKUP(Y666,[2]Sheet1!$C:$N,12,0),IF(I666=13,VLOOKUP(Y666,[3]Sheet1!$C:$N,12,0),IF(I666=15,VLOOKUP(Y666,[4]Sheet1!$C:$N,12,0),"Unknown")))</f>
        <v>ASOF : STAIN &amp; GLAZE</v>
      </c>
      <c r="BM666" t="str">
        <f>VLOOKUP(W666,[1]branch!$A:$B,2,0)</f>
        <v>INDUSTRY</v>
      </c>
    </row>
    <row r="667" spans="1:65" x14ac:dyDescent="0.35">
      <c r="A667" s="10">
        <v>46000</v>
      </c>
      <c r="B667" s="9" t="s">
        <v>1711</v>
      </c>
      <c r="C667" s="9" t="s">
        <v>64</v>
      </c>
      <c r="D667" s="9" t="s">
        <v>92</v>
      </c>
      <c r="E667" s="11">
        <v>30</v>
      </c>
      <c r="F667" s="9" t="s">
        <v>93</v>
      </c>
      <c r="G667" s="9" t="s">
        <v>65</v>
      </c>
      <c r="H667" s="9" t="s">
        <v>66</v>
      </c>
      <c r="I667" s="9">
        <v>11</v>
      </c>
      <c r="J667" s="9" t="s">
        <v>1471</v>
      </c>
      <c r="K667" s="9" t="s">
        <v>1471</v>
      </c>
      <c r="L667" s="9" t="s">
        <v>1471</v>
      </c>
      <c r="M667" s="9" t="s">
        <v>1472</v>
      </c>
      <c r="N667" s="9" t="s">
        <v>1376</v>
      </c>
      <c r="O667" s="9" t="s">
        <v>97</v>
      </c>
      <c r="P667" s="9" t="s">
        <v>67</v>
      </c>
      <c r="Q667" s="9" t="s">
        <v>98</v>
      </c>
      <c r="R667" s="9" t="s">
        <v>1473</v>
      </c>
      <c r="S667" s="9" t="s">
        <v>1472</v>
      </c>
      <c r="T667" s="9" t="s">
        <v>1474</v>
      </c>
      <c r="U667" s="9" t="s">
        <v>67</v>
      </c>
      <c r="V667" s="9" t="s">
        <v>194</v>
      </c>
      <c r="W667" s="9" t="s">
        <v>195</v>
      </c>
      <c r="X667" s="11">
        <v>60</v>
      </c>
      <c r="Y667" s="9" t="s">
        <v>1712</v>
      </c>
      <c r="Z667" s="9" t="s">
        <v>68</v>
      </c>
      <c r="AA667" s="9" t="s">
        <v>1713</v>
      </c>
      <c r="AB667" s="9" t="s">
        <v>67</v>
      </c>
      <c r="AC667" s="9" t="s">
        <v>217</v>
      </c>
      <c r="AD667" s="11">
        <v>3</v>
      </c>
      <c r="AE667" s="9" t="s">
        <v>70</v>
      </c>
      <c r="AF667" s="9" t="s">
        <v>71</v>
      </c>
      <c r="AG667" s="13">
        <v>1</v>
      </c>
      <c r="AH667" s="9" t="s">
        <v>92</v>
      </c>
      <c r="AI667" s="13">
        <v>3531200</v>
      </c>
      <c r="AJ667" s="13">
        <v>10593600</v>
      </c>
      <c r="AK667" s="11">
        <v>0</v>
      </c>
      <c r="AL667" s="11">
        <v>0</v>
      </c>
      <c r="AM667" s="11">
        <v>0</v>
      </c>
      <c r="AN667" s="9" t="s">
        <v>67</v>
      </c>
      <c r="AO667" s="11">
        <v>10593600</v>
      </c>
      <c r="AP667" s="13">
        <v>847488</v>
      </c>
      <c r="AQ667" s="13">
        <v>11441088</v>
      </c>
      <c r="AR667" s="11">
        <v>60</v>
      </c>
      <c r="AS667" s="9" t="s">
        <v>72</v>
      </c>
      <c r="AT667" s="12">
        <v>47.25</v>
      </c>
      <c r="AU667" s="9" t="s">
        <v>73</v>
      </c>
      <c r="AV667" s="9" t="s">
        <v>67</v>
      </c>
      <c r="AW667" s="9" t="s">
        <v>1475</v>
      </c>
      <c r="AX667" s="10">
        <v>45995</v>
      </c>
      <c r="AY667" s="9" t="s">
        <v>1714</v>
      </c>
      <c r="AZ667" s="9" t="s">
        <v>67</v>
      </c>
      <c r="BA667" s="9" t="s">
        <v>67</v>
      </c>
      <c r="BB667" s="12">
        <v>60</v>
      </c>
      <c r="BC667" s="9" t="s">
        <v>74</v>
      </c>
      <c r="BD667" s="9" t="s">
        <v>104</v>
      </c>
      <c r="BE667" s="9" t="s">
        <v>75</v>
      </c>
      <c r="BF667" s="11">
        <v>0</v>
      </c>
      <c r="BG667">
        <f t="shared" si="22"/>
        <v>12</v>
      </c>
      <c r="BH667" t="str">
        <f>VLOOKUP(BG667,[1]month!$A:$B,2,0)</f>
        <v>Desember</v>
      </c>
      <c r="BI667">
        <f t="shared" si="23"/>
        <v>2025</v>
      </c>
      <c r="BJ667" t="str">
        <f>VLOOKUP(I667,[1]Dist!$A:$B,2,0)</f>
        <v>Industry</v>
      </c>
      <c r="BK667" t="str">
        <f>IF(I667=11,VLOOKUP(Y667,[2]Sheet1!$C:$N,10,0),IF(I667=13,VLOOKUP(Y667,[3]Sheet1!$C:$N,10,0),IF(I667=15,VLOOKUP(Y667,[4]Sheet1!$C:$N,10,0),"Unknown")))</f>
        <v>PU</v>
      </c>
      <c r="BL667" t="str">
        <f>IF(I667=11,VLOOKUP(Y667,[2]Sheet1!$C:$N,12,0),IF(I667=13,VLOOKUP(Y667,[3]Sheet1!$C:$N,12,0),IF(I667=15,VLOOKUP(Y667,[4]Sheet1!$C:$N,12,0),"Unknown")))</f>
        <v>PU COLOR</v>
      </c>
      <c r="BM667" t="str">
        <f>VLOOKUP(W667,[1]branch!$A:$B,2,0)</f>
        <v>INDUSTRY</v>
      </c>
    </row>
    <row r="668" spans="1:65" x14ac:dyDescent="0.35">
      <c r="A668" s="10">
        <v>46000</v>
      </c>
      <c r="B668" s="9" t="s">
        <v>1715</v>
      </c>
      <c r="C668" s="9" t="s">
        <v>64</v>
      </c>
      <c r="D668" s="9" t="s">
        <v>92</v>
      </c>
      <c r="E668" s="11">
        <v>30</v>
      </c>
      <c r="F668" s="9" t="s">
        <v>93</v>
      </c>
      <c r="G668" s="9" t="s">
        <v>65</v>
      </c>
      <c r="H668" s="9" t="s">
        <v>66</v>
      </c>
      <c r="I668" s="9">
        <v>11</v>
      </c>
      <c r="J668" s="9" t="s">
        <v>379</v>
      </c>
      <c r="K668" s="9" t="s">
        <v>379</v>
      </c>
      <c r="L668" s="9" t="s">
        <v>379</v>
      </c>
      <c r="M668" s="9" t="s">
        <v>380</v>
      </c>
      <c r="N668" s="9" t="s">
        <v>882</v>
      </c>
      <c r="O668" s="9" t="s">
        <v>97</v>
      </c>
      <c r="P668" s="9" t="s">
        <v>67</v>
      </c>
      <c r="Q668" s="9" t="s">
        <v>98</v>
      </c>
      <c r="R668" s="9" t="s">
        <v>379</v>
      </c>
      <c r="S668" s="9" t="s">
        <v>380</v>
      </c>
      <c r="T668" s="9" t="s">
        <v>801</v>
      </c>
      <c r="U668" s="9" t="s">
        <v>67</v>
      </c>
      <c r="V668" s="9" t="s">
        <v>194</v>
      </c>
      <c r="W668" s="9" t="s">
        <v>195</v>
      </c>
      <c r="X668" s="11">
        <v>10</v>
      </c>
      <c r="Y668" s="9" t="s">
        <v>148</v>
      </c>
      <c r="Z668" s="9" t="s">
        <v>68</v>
      </c>
      <c r="AA668" s="9" t="s">
        <v>149</v>
      </c>
      <c r="AB668" s="9" t="s">
        <v>67</v>
      </c>
      <c r="AC668" s="9" t="s">
        <v>69</v>
      </c>
      <c r="AD668" s="11">
        <v>2</v>
      </c>
      <c r="AE668" s="9" t="s">
        <v>70</v>
      </c>
      <c r="AF668" s="9" t="s">
        <v>71</v>
      </c>
      <c r="AG668" s="13">
        <v>1</v>
      </c>
      <c r="AH668" s="9" t="s">
        <v>92</v>
      </c>
      <c r="AI668" s="13">
        <v>7594000</v>
      </c>
      <c r="AJ668" s="13">
        <v>15188000</v>
      </c>
      <c r="AK668" s="11">
        <v>0</v>
      </c>
      <c r="AL668" s="11">
        <v>0</v>
      </c>
      <c r="AM668" s="11">
        <v>0</v>
      </c>
      <c r="AN668" s="9" t="s">
        <v>67</v>
      </c>
      <c r="AO668" s="11">
        <v>15188000</v>
      </c>
      <c r="AP668" s="13">
        <v>1215040</v>
      </c>
      <c r="AQ668" s="13">
        <v>16403040</v>
      </c>
      <c r="AR668" s="11">
        <v>360</v>
      </c>
      <c r="AS668" s="9" t="s">
        <v>72</v>
      </c>
      <c r="AT668" s="11">
        <v>400</v>
      </c>
      <c r="AU668" s="9" t="s">
        <v>73</v>
      </c>
      <c r="AV668" s="9" t="s">
        <v>67</v>
      </c>
      <c r="AW668" s="9" t="s">
        <v>1716</v>
      </c>
      <c r="AX668" s="10">
        <v>45999</v>
      </c>
      <c r="AY668" s="9" t="s">
        <v>1717</v>
      </c>
      <c r="AZ668" s="9" t="s">
        <v>67</v>
      </c>
      <c r="BA668" s="9" t="s">
        <v>67</v>
      </c>
      <c r="BB668" s="12">
        <v>400</v>
      </c>
      <c r="BC668" s="9" t="s">
        <v>74</v>
      </c>
      <c r="BD668" s="9" t="s">
        <v>104</v>
      </c>
      <c r="BE668" s="9" t="s">
        <v>75</v>
      </c>
      <c r="BF668" s="11">
        <v>0</v>
      </c>
      <c r="BG668">
        <f t="shared" si="22"/>
        <v>12</v>
      </c>
      <c r="BH668" t="str">
        <f>VLOOKUP(BG668,[1]month!$A:$B,2,0)</f>
        <v>Desember</v>
      </c>
      <c r="BI668">
        <f t="shared" si="23"/>
        <v>2025</v>
      </c>
      <c r="BJ668" t="str">
        <f>VLOOKUP(I668,[1]Dist!$A:$B,2,0)</f>
        <v>Industry</v>
      </c>
      <c r="BK668" t="str">
        <f>IF(I668=11,VLOOKUP(Y668,[2]Sheet1!$C:$N,10,0),IF(I668=13,VLOOKUP(Y668,[3]Sheet1!$C:$N,10,0),IF(I668=15,VLOOKUP(Y668,[4]Sheet1!$C:$N,10,0),"Unknown")))</f>
        <v>THINNER NC</v>
      </c>
      <c r="BL668" t="str">
        <f>IF(I668=11,VLOOKUP(Y668,[2]Sheet1!$C:$N,12,0),IF(I668=13,VLOOKUP(Y668,[3]Sheet1!$C:$N,12,0),IF(I668=15,VLOOKUP(Y668,[4]Sheet1!$C:$N,12,0),"Unknown")))</f>
        <v>THINNER NC</v>
      </c>
      <c r="BM668" t="str">
        <f>VLOOKUP(W668,[1]branch!$A:$B,2,0)</f>
        <v>INDUSTRY</v>
      </c>
    </row>
    <row r="669" spans="1:65" x14ac:dyDescent="0.35">
      <c r="A669" s="10">
        <v>46000</v>
      </c>
      <c r="B669" s="9" t="s">
        <v>1715</v>
      </c>
      <c r="C669" s="9" t="s">
        <v>64</v>
      </c>
      <c r="D669" s="9" t="s">
        <v>92</v>
      </c>
      <c r="E669" s="11">
        <v>30</v>
      </c>
      <c r="F669" s="9" t="s">
        <v>93</v>
      </c>
      <c r="G669" s="9" t="s">
        <v>65</v>
      </c>
      <c r="H669" s="9" t="s">
        <v>66</v>
      </c>
      <c r="I669" s="9">
        <v>11</v>
      </c>
      <c r="J669" s="9" t="s">
        <v>379</v>
      </c>
      <c r="K669" s="9" t="s">
        <v>379</v>
      </c>
      <c r="L669" s="9" t="s">
        <v>379</v>
      </c>
      <c r="M669" s="9" t="s">
        <v>380</v>
      </c>
      <c r="N669" s="9" t="s">
        <v>882</v>
      </c>
      <c r="O669" s="9" t="s">
        <v>97</v>
      </c>
      <c r="P669" s="9" t="s">
        <v>67</v>
      </c>
      <c r="Q669" s="9" t="s">
        <v>98</v>
      </c>
      <c r="R669" s="9" t="s">
        <v>379</v>
      </c>
      <c r="S669" s="9" t="s">
        <v>380</v>
      </c>
      <c r="T669" s="9" t="s">
        <v>801</v>
      </c>
      <c r="U669" s="9" t="s">
        <v>67</v>
      </c>
      <c r="V669" s="9" t="s">
        <v>194</v>
      </c>
      <c r="W669" s="9" t="s">
        <v>195</v>
      </c>
      <c r="X669" s="11">
        <v>20</v>
      </c>
      <c r="Y669" s="9" t="s">
        <v>365</v>
      </c>
      <c r="Z669" s="9" t="s">
        <v>68</v>
      </c>
      <c r="AA669" s="9" t="s">
        <v>366</v>
      </c>
      <c r="AB669" s="9" t="s">
        <v>67</v>
      </c>
      <c r="AC669" s="9" t="s">
        <v>357</v>
      </c>
      <c r="AD669" s="11">
        <v>7</v>
      </c>
      <c r="AE669" s="9" t="s">
        <v>70</v>
      </c>
      <c r="AF669" s="9" t="s">
        <v>71</v>
      </c>
      <c r="AG669" s="13">
        <v>1</v>
      </c>
      <c r="AH669" s="9" t="s">
        <v>92</v>
      </c>
      <c r="AI669" s="13">
        <v>1893200</v>
      </c>
      <c r="AJ669" s="13">
        <v>13252400</v>
      </c>
      <c r="AK669" s="11">
        <v>0</v>
      </c>
      <c r="AL669" s="11">
        <v>0</v>
      </c>
      <c r="AM669" s="11">
        <v>0</v>
      </c>
      <c r="AN669" s="9" t="s">
        <v>67</v>
      </c>
      <c r="AO669" s="11">
        <v>13252400</v>
      </c>
      <c r="AP669" s="13">
        <v>1060192</v>
      </c>
      <c r="AQ669" s="13">
        <v>14312592</v>
      </c>
      <c r="AR669" s="12">
        <v>137.19999999999999</v>
      </c>
      <c r="AS669" s="9" t="s">
        <v>72</v>
      </c>
      <c r="AT669" s="11">
        <v>140</v>
      </c>
      <c r="AU669" s="9" t="s">
        <v>73</v>
      </c>
      <c r="AV669" s="9" t="s">
        <v>67</v>
      </c>
      <c r="AW669" s="9" t="s">
        <v>1716</v>
      </c>
      <c r="AX669" s="10">
        <v>45999</v>
      </c>
      <c r="AY669" s="9" t="s">
        <v>1717</v>
      </c>
      <c r="AZ669" s="9" t="s">
        <v>67</v>
      </c>
      <c r="BA669" s="9" t="s">
        <v>67</v>
      </c>
      <c r="BB669" s="12">
        <v>140</v>
      </c>
      <c r="BC669" s="9" t="s">
        <v>74</v>
      </c>
      <c r="BD669" s="9" t="s">
        <v>104</v>
      </c>
      <c r="BE669" s="9" t="s">
        <v>75</v>
      </c>
      <c r="BF669" s="11">
        <v>0</v>
      </c>
      <c r="BG669">
        <f t="shared" si="22"/>
        <v>12</v>
      </c>
      <c r="BH669" t="str">
        <f>VLOOKUP(BG669,[1]month!$A:$B,2,0)</f>
        <v>Desember</v>
      </c>
      <c r="BI669">
        <f t="shared" si="23"/>
        <v>2025</v>
      </c>
      <c r="BJ669" t="str">
        <f>VLOOKUP(I669,[1]Dist!$A:$B,2,0)</f>
        <v>Industry</v>
      </c>
      <c r="BK669" t="str">
        <f>IF(I669=11,VLOOKUP(Y669,[2]Sheet1!$C:$N,10,0),IF(I669=13,VLOOKUP(Y669,[3]Sheet1!$C:$N,10,0),IF(I669=15,VLOOKUP(Y669,[4]Sheet1!$C:$N,10,0),"Unknown")))</f>
        <v>NC</v>
      </c>
      <c r="BL669" t="str">
        <f>IF(I669=11,VLOOKUP(Y669,[2]Sheet1!$C:$N,12,0),IF(I669=13,VLOOKUP(Y669,[3]Sheet1!$C:$N,12,0),IF(I669=15,VLOOKUP(Y669,[4]Sheet1!$C:$N,12,0),"Unknown")))</f>
        <v>NC SYSTEM</v>
      </c>
      <c r="BM669" t="str">
        <f>VLOOKUP(W669,[1]branch!$A:$B,2,0)</f>
        <v>INDUSTRY</v>
      </c>
    </row>
    <row r="670" spans="1:65" x14ac:dyDescent="0.35">
      <c r="A670" s="10">
        <v>46000</v>
      </c>
      <c r="B670" s="9" t="s">
        <v>1715</v>
      </c>
      <c r="C670" s="9" t="s">
        <v>64</v>
      </c>
      <c r="D670" s="9" t="s">
        <v>92</v>
      </c>
      <c r="E670" s="11">
        <v>30</v>
      </c>
      <c r="F670" s="9" t="s">
        <v>93</v>
      </c>
      <c r="G670" s="9" t="s">
        <v>65</v>
      </c>
      <c r="H670" s="9" t="s">
        <v>66</v>
      </c>
      <c r="I670" s="9">
        <v>11</v>
      </c>
      <c r="J670" s="9" t="s">
        <v>379</v>
      </c>
      <c r="K670" s="9" t="s">
        <v>379</v>
      </c>
      <c r="L670" s="9" t="s">
        <v>379</v>
      </c>
      <c r="M670" s="9" t="s">
        <v>380</v>
      </c>
      <c r="N670" s="9" t="s">
        <v>882</v>
      </c>
      <c r="O670" s="9" t="s">
        <v>97</v>
      </c>
      <c r="P670" s="9" t="s">
        <v>67</v>
      </c>
      <c r="Q670" s="9" t="s">
        <v>98</v>
      </c>
      <c r="R670" s="9" t="s">
        <v>379</v>
      </c>
      <c r="S670" s="9" t="s">
        <v>380</v>
      </c>
      <c r="T670" s="9" t="s">
        <v>801</v>
      </c>
      <c r="U670" s="9" t="s">
        <v>67</v>
      </c>
      <c r="V670" s="9" t="s">
        <v>194</v>
      </c>
      <c r="W670" s="9" t="s">
        <v>195</v>
      </c>
      <c r="X670" s="11">
        <v>40</v>
      </c>
      <c r="Y670" s="9" t="s">
        <v>196</v>
      </c>
      <c r="Z670" s="9" t="s">
        <v>68</v>
      </c>
      <c r="AA670" s="9" t="s">
        <v>197</v>
      </c>
      <c r="AB670" s="9" t="s">
        <v>67</v>
      </c>
      <c r="AC670" s="9" t="s">
        <v>103</v>
      </c>
      <c r="AD670" s="11">
        <v>3</v>
      </c>
      <c r="AE670" s="9" t="s">
        <v>70</v>
      </c>
      <c r="AF670" s="9" t="s">
        <v>71</v>
      </c>
      <c r="AG670" s="13">
        <v>1</v>
      </c>
      <c r="AH670" s="9" t="s">
        <v>92</v>
      </c>
      <c r="AI670" s="13">
        <v>1199600</v>
      </c>
      <c r="AJ670" s="13">
        <v>3598800</v>
      </c>
      <c r="AK670" s="11">
        <v>0</v>
      </c>
      <c r="AL670" s="11">
        <v>0</v>
      </c>
      <c r="AM670" s="11">
        <v>0</v>
      </c>
      <c r="AN670" s="9" t="s">
        <v>67</v>
      </c>
      <c r="AO670" s="11">
        <v>3598800</v>
      </c>
      <c r="AP670" s="13">
        <v>287904</v>
      </c>
      <c r="AQ670" s="13">
        <v>3886704</v>
      </c>
      <c r="AR670" s="11">
        <v>60</v>
      </c>
      <c r="AS670" s="9" t="s">
        <v>72</v>
      </c>
      <c r="AT670" s="12">
        <v>59.4</v>
      </c>
      <c r="AU670" s="9" t="s">
        <v>73</v>
      </c>
      <c r="AV670" s="9" t="s">
        <v>67</v>
      </c>
      <c r="AW670" s="9" t="s">
        <v>1716</v>
      </c>
      <c r="AX670" s="10">
        <v>45999</v>
      </c>
      <c r="AY670" s="9" t="s">
        <v>1717</v>
      </c>
      <c r="AZ670" s="9" t="s">
        <v>67</v>
      </c>
      <c r="BA670" s="9" t="s">
        <v>67</v>
      </c>
      <c r="BB670" s="12">
        <v>60</v>
      </c>
      <c r="BC670" s="9" t="s">
        <v>74</v>
      </c>
      <c r="BD670" s="9" t="s">
        <v>104</v>
      </c>
      <c r="BE670" s="9" t="s">
        <v>75</v>
      </c>
      <c r="BF670" s="11">
        <v>0</v>
      </c>
      <c r="BG670">
        <f t="shared" si="22"/>
        <v>12</v>
      </c>
      <c r="BH670" t="str">
        <f>VLOOKUP(BG670,[1]month!$A:$B,2,0)</f>
        <v>Desember</v>
      </c>
      <c r="BI670">
        <f t="shared" si="23"/>
        <v>2025</v>
      </c>
      <c r="BJ670" t="str">
        <f>VLOOKUP(I670,[1]Dist!$A:$B,2,0)</f>
        <v>Industry</v>
      </c>
      <c r="BK670" t="str">
        <f>IF(I670=11,VLOOKUP(Y670,[2]Sheet1!$C:$N,10,0),IF(I670=13,VLOOKUP(Y670,[3]Sheet1!$C:$N,10,0),IF(I670=15,VLOOKUP(Y670,[4]Sheet1!$C:$N,10,0),"Unknown")))</f>
        <v>PU</v>
      </c>
      <c r="BL670" t="str">
        <f>IF(I670=11,VLOOKUP(Y670,[2]Sheet1!$C:$N,12,0),IF(I670=13,VLOOKUP(Y670,[3]Sheet1!$C:$N,12,0),IF(I670=15,VLOOKUP(Y670,[4]Sheet1!$C:$N,12,0),"Unknown")))</f>
        <v>PU SANDING SEALER</v>
      </c>
      <c r="BM670" t="str">
        <f>VLOOKUP(W670,[1]branch!$A:$B,2,0)</f>
        <v>INDUSTRY</v>
      </c>
    </row>
    <row r="671" spans="1:65" x14ac:dyDescent="0.35">
      <c r="A671" s="10">
        <v>46000</v>
      </c>
      <c r="B671" s="9" t="s">
        <v>1715</v>
      </c>
      <c r="C671" s="9" t="s">
        <v>64</v>
      </c>
      <c r="D671" s="9" t="s">
        <v>92</v>
      </c>
      <c r="E671" s="11">
        <v>30</v>
      </c>
      <c r="F671" s="9" t="s">
        <v>93</v>
      </c>
      <c r="G671" s="9" t="s">
        <v>65</v>
      </c>
      <c r="H671" s="9" t="s">
        <v>66</v>
      </c>
      <c r="I671" s="9">
        <v>11</v>
      </c>
      <c r="J671" s="9" t="s">
        <v>379</v>
      </c>
      <c r="K671" s="9" t="s">
        <v>379</v>
      </c>
      <c r="L671" s="9" t="s">
        <v>379</v>
      </c>
      <c r="M671" s="9" t="s">
        <v>380</v>
      </c>
      <c r="N671" s="9" t="s">
        <v>882</v>
      </c>
      <c r="O671" s="9" t="s">
        <v>97</v>
      </c>
      <c r="P671" s="9" t="s">
        <v>67</v>
      </c>
      <c r="Q671" s="9" t="s">
        <v>98</v>
      </c>
      <c r="R671" s="9" t="s">
        <v>379</v>
      </c>
      <c r="S671" s="9" t="s">
        <v>380</v>
      </c>
      <c r="T671" s="9" t="s">
        <v>801</v>
      </c>
      <c r="U671" s="9" t="s">
        <v>67</v>
      </c>
      <c r="V671" s="9" t="s">
        <v>194</v>
      </c>
      <c r="W671" s="9" t="s">
        <v>195</v>
      </c>
      <c r="X671" s="11">
        <v>50</v>
      </c>
      <c r="Y671" s="9" t="s">
        <v>105</v>
      </c>
      <c r="Z671" s="9" t="s">
        <v>68</v>
      </c>
      <c r="AA671" s="9" t="s">
        <v>106</v>
      </c>
      <c r="AB671" s="9" t="s">
        <v>67</v>
      </c>
      <c r="AC671" s="9" t="s">
        <v>107</v>
      </c>
      <c r="AD671" s="11">
        <v>2</v>
      </c>
      <c r="AE671" s="9" t="s">
        <v>70</v>
      </c>
      <c r="AF671" s="9" t="s">
        <v>71</v>
      </c>
      <c r="AG671" s="13">
        <v>1</v>
      </c>
      <c r="AH671" s="9" t="s">
        <v>92</v>
      </c>
      <c r="AI671" s="13">
        <v>1803400</v>
      </c>
      <c r="AJ671" s="13">
        <v>3606800</v>
      </c>
      <c r="AK671" s="11">
        <v>0</v>
      </c>
      <c r="AL671" s="11">
        <v>0</v>
      </c>
      <c r="AM671" s="11">
        <v>0</v>
      </c>
      <c r="AN671" s="9" t="s">
        <v>67</v>
      </c>
      <c r="AO671" s="11">
        <v>3606800</v>
      </c>
      <c r="AP671" s="13">
        <v>288544</v>
      </c>
      <c r="AQ671" s="13">
        <v>3895344</v>
      </c>
      <c r="AR671" s="11">
        <v>40</v>
      </c>
      <c r="AS671" s="9" t="s">
        <v>72</v>
      </c>
      <c r="AT671" s="12">
        <v>42.56</v>
      </c>
      <c r="AU671" s="9" t="s">
        <v>73</v>
      </c>
      <c r="AV671" s="9" t="s">
        <v>67</v>
      </c>
      <c r="AW671" s="9" t="s">
        <v>1716</v>
      </c>
      <c r="AX671" s="10">
        <v>45999</v>
      </c>
      <c r="AY671" s="9" t="s">
        <v>1717</v>
      </c>
      <c r="AZ671" s="9" t="s">
        <v>67</v>
      </c>
      <c r="BA671" s="9" t="s">
        <v>67</v>
      </c>
      <c r="BB671" s="12">
        <v>40</v>
      </c>
      <c r="BC671" s="9" t="s">
        <v>74</v>
      </c>
      <c r="BD671" s="9" t="s">
        <v>104</v>
      </c>
      <c r="BE671" s="9" t="s">
        <v>75</v>
      </c>
      <c r="BF671" s="11">
        <v>0</v>
      </c>
      <c r="BG671">
        <f t="shared" si="22"/>
        <v>12</v>
      </c>
      <c r="BH671" t="str">
        <f>VLOOKUP(BG671,[1]month!$A:$B,2,0)</f>
        <v>Desember</v>
      </c>
      <c r="BI671">
        <f t="shared" si="23"/>
        <v>2025</v>
      </c>
      <c r="BJ671" t="str">
        <f>VLOOKUP(I671,[1]Dist!$A:$B,2,0)</f>
        <v>Industry</v>
      </c>
      <c r="BK671" t="str">
        <f>IF(I671=11,VLOOKUP(Y671,[2]Sheet1!$C:$N,10,0),IF(I671=13,VLOOKUP(Y671,[3]Sheet1!$C:$N,10,0),IF(I671=15,VLOOKUP(Y671,[4]Sheet1!$C:$N,10,0),"Unknown")))</f>
        <v>PU</v>
      </c>
      <c r="BL671" t="str">
        <f>IF(I671=11,VLOOKUP(Y671,[2]Sheet1!$C:$N,12,0),IF(I671=13,VLOOKUP(Y671,[3]Sheet1!$C:$N,12,0),IF(I671=15,VLOOKUP(Y671,[4]Sheet1!$C:$N,12,0),"Unknown")))</f>
        <v>PU HARDENER</v>
      </c>
      <c r="BM671" t="str">
        <f>VLOOKUP(W671,[1]branch!$A:$B,2,0)</f>
        <v>INDUSTRY</v>
      </c>
    </row>
    <row r="672" spans="1:65" x14ac:dyDescent="0.35">
      <c r="A672" s="10">
        <v>46000</v>
      </c>
      <c r="B672" s="9" t="s">
        <v>1715</v>
      </c>
      <c r="C672" s="9" t="s">
        <v>64</v>
      </c>
      <c r="D672" s="9" t="s">
        <v>92</v>
      </c>
      <c r="E672" s="11">
        <v>30</v>
      </c>
      <c r="F672" s="9" t="s">
        <v>93</v>
      </c>
      <c r="G672" s="9" t="s">
        <v>65</v>
      </c>
      <c r="H672" s="9" t="s">
        <v>66</v>
      </c>
      <c r="I672" s="9">
        <v>11</v>
      </c>
      <c r="J672" s="9" t="s">
        <v>379</v>
      </c>
      <c r="K672" s="9" t="s">
        <v>379</v>
      </c>
      <c r="L672" s="9" t="s">
        <v>379</v>
      </c>
      <c r="M672" s="9" t="s">
        <v>380</v>
      </c>
      <c r="N672" s="9" t="s">
        <v>882</v>
      </c>
      <c r="O672" s="9" t="s">
        <v>97</v>
      </c>
      <c r="P672" s="9" t="s">
        <v>67</v>
      </c>
      <c r="Q672" s="9" t="s">
        <v>98</v>
      </c>
      <c r="R672" s="9" t="s">
        <v>379</v>
      </c>
      <c r="S672" s="9" t="s">
        <v>380</v>
      </c>
      <c r="T672" s="9" t="s">
        <v>801</v>
      </c>
      <c r="U672" s="9" t="s">
        <v>67</v>
      </c>
      <c r="V672" s="9" t="s">
        <v>194</v>
      </c>
      <c r="W672" s="9" t="s">
        <v>195</v>
      </c>
      <c r="X672" s="11">
        <v>60</v>
      </c>
      <c r="Y672" s="9" t="s">
        <v>218</v>
      </c>
      <c r="Z672" s="9" t="s">
        <v>68</v>
      </c>
      <c r="AA672" s="9" t="s">
        <v>219</v>
      </c>
      <c r="AB672" s="9" t="s">
        <v>67</v>
      </c>
      <c r="AC672" s="9" t="s">
        <v>220</v>
      </c>
      <c r="AD672" s="11">
        <v>2</v>
      </c>
      <c r="AE672" s="9" t="s">
        <v>70</v>
      </c>
      <c r="AF672" s="9" t="s">
        <v>71</v>
      </c>
      <c r="AG672" s="13">
        <v>1</v>
      </c>
      <c r="AH672" s="9" t="s">
        <v>92</v>
      </c>
      <c r="AI672" s="13">
        <v>1585200</v>
      </c>
      <c r="AJ672" s="13">
        <v>3170400</v>
      </c>
      <c r="AK672" s="11">
        <v>0</v>
      </c>
      <c r="AL672" s="11">
        <v>0</v>
      </c>
      <c r="AM672" s="11">
        <v>0</v>
      </c>
      <c r="AN672" s="9" t="s">
        <v>67</v>
      </c>
      <c r="AO672" s="11">
        <v>3170400</v>
      </c>
      <c r="AP672" s="13">
        <v>253632</v>
      </c>
      <c r="AQ672" s="13">
        <v>3424032</v>
      </c>
      <c r="AR672" s="11">
        <v>40</v>
      </c>
      <c r="AS672" s="9" t="s">
        <v>72</v>
      </c>
      <c r="AT672" s="12">
        <v>30.54</v>
      </c>
      <c r="AU672" s="9" t="s">
        <v>73</v>
      </c>
      <c r="AV672" s="9" t="s">
        <v>67</v>
      </c>
      <c r="AW672" s="9" t="s">
        <v>1716</v>
      </c>
      <c r="AX672" s="10">
        <v>45999</v>
      </c>
      <c r="AY672" s="9" t="s">
        <v>1717</v>
      </c>
      <c r="AZ672" s="9" t="s">
        <v>67</v>
      </c>
      <c r="BA672" s="9" t="s">
        <v>67</v>
      </c>
      <c r="BB672" s="12">
        <v>40</v>
      </c>
      <c r="BC672" s="9" t="s">
        <v>74</v>
      </c>
      <c r="BD672" s="9" t="s">
        <v>104</v>
      </c>
      <c r="BE672" s="9" t="s">
        <v>75</v>
      </c>
      <c r="BF672" s="11">
        <v>0</v>
      </c>
      <c r="BG672">
        <f t="shared" si="22"/>
        <v>12</v>
      </c>
      <c r="BH672" t="str">
        <f>VLOOKUP(BG672,[1]month!$A:$B,2,0)</f>
        <v>Desember</v>
      </c>
      <c r="BI672">
        <f t="shared" si="23"/>
        <v>2025</v>
      </c>
      <c r="BJ672" t="str">
        <f>VLOOKUP(I672,[1]Dist!$A:$B,2,0)</f>
        <v>Industry</v>
      </c>
      <c r="BK672" t="str">
        <f>IF(I672=11,VLOOKUP(Y672,[2]Sheet1!$C:$N,10,0),IF(I672=13,VLOOKUP(Y672,[3]Sheet1!$C:$N,10,0),IF(I672=15,VLOOKUP(Y672,[4]Sheet1!$C:$N,10,0),"Unknown")))</f>
        <v>PU</v>
      </c>
      <c r="BL672" t="str">
        <f>IF(I672=11,VLOOKUP(Y672,[2]Sheet1!$C:$N,12,0),IF(I672=13,VLOOKUP(Y672,[3]Sheet1!$C:$N,12,0),IF(I672=15,VLOOKUP(Y672,[4]Sheet1!$C:$N,12,0),"Unknown")))</f>
        <v>PU PRIMER</v>
      </c>
      <c r="BM672" t="str">
        <f>VLOOKUP(W672,[1]branch!$A:$B,2,0)</f>
        <v>INDUSTRY</v>
      </c>
    </row>
    <row r="673" spans="1:65" x14ac:dyDescent="0.35">
      <c r="A673" s="10">
        <v>46000</v>
      </c>
      <c r="B673" s="9" t="s">
        <v>1715</v>
      </c>
      <c r="C673" s="9" t="s">
        <v>64</v>
      </c>
      <c r="D673" s="9" t="s">
        <v>92</v>
      </c>
      <c r="E673" s="11">
        <v>30</v>
      </c>
      <c r="F673" s="9" t="s">
        <v>93</v>
      </c>
      <c r="G673" s="9" t="s">
        <v>65</v>
      </c>
      <c r="H673" s="9" t="s">
        <v>66</v>
      </c>
      <c r="I673" s="9">
        <v>11</v>
      </c>
      <c r="J673" s="9" t="s">
        <v>379</v>
      </c>
      <c r="K673" s="9" t="s">
        <v>379</v>
      </c>
      <c r="L673" s="9" t="s">
        <v>379</v>
      </c>
      <c r="M673" s="9" t="s">
        <v>380</v>
      </c>
      <c r="N673" s="9" t="s">
        <v>882</v>
      </c>
      <c r="O673" s="9" t="s">
        <v>97</v>
      </c>
      <c r="P673" s="9" t="s">
        <v>67</v>
      </c>
      <c r="Q673" s="9" t="s">
        <v>98</v>
      </c>
      <c r="R673" s="9" t="s">
        <v>379</v>
      </c>
      <c r="S673" s="9" t="s">
        <v>380</v>
      </c>
      <c r="T673" s="9" t="s">
        <v>801</v>
      </c>
      <c r="U673" s="9" t="s">
        <v>67</v>
      </c>
      <c r="V673" s="9" t="s">
        <v>194</v>
      </c>
      <c r="W673" s="9" t="s">
        <v>195</v>
      </c>
      <c r="X673" s="11">
        <v>70</v>
      </c>
      <c r="Y673" s="9" t="s">
        <v>77</v>
      </c>
      <c r="Z673" s="9" t="s">
        <v>68</v>
      </c>
      <c r="AA673" s="9" t="s">
        <v>78</v>
      </c>
      <c r="AB673" s="9" t="s">
        <v>67</v>
      </c>
      <c r="AC673" s="9" t="s">
        <v>79</v>
      </c>
      <c r="AD673" s="11">
        <v>3</v>
      </c>
      <c r="AE673" s="9" t="s">
        <v>70</v>
      </c>
      <c r="AF673" s="9" t="s">
        <v>71</v>
      </c>
      <c r="AG673" s="13">
        <v>1</v>
      </c>
      <c r="AH673" s="9" t="s">
        <v>92</v>
      </c>
      <c r="AI673" s="13">
        <v>829600</v>
      </c>
      <c r="AJ673" s="13">
        <v>2488800</v>
      </c>
      <c r="AK673" s="11">
        <v>0</v>
      </c>
      <c r="AL673" s="11">
        <v>0</v>
      </c>
      <c r="AM673" s="11">
        <v>0</v>
      </c>
      <c r="AN673" s="9" t="s">
        <v>67</v>
      </c>
      <c r="AO673" s="11">
        <v>2488800</v>
      </c>
      <c r="AP673" s="13">
        <v>199104</v>
      </c>
      <c r="AQ673" s="13">
        <v>2687904</v>
      </c>
      <c r="AR673" s="11">
        <v>48</v>
      </c>
      <c r="AS673" s="9" t="s">
        <v>72</v>
      </c>
      <c r="AT673" s="11">
        <v>60</v>
      </c>
      <c r="AU673" s="9" t="s">
        <v>73</v>
      </c>
      <c r="AV673" s="9" t="s">
        <v>67</v>
      </c>
      <c r="AW673" s="9" t="s">
        <v>1716</v>
      </c>
      <c r="AX673" s="10">
        <v>45999</v>
      </c>
      <c r="AY673" s="9" t="s">
        <v>1717</v>
      </c>
      <c r="AZ673" s="9" t="s">
        <v>67</v>
      </c>
      <c r="BA673" s="9" t="s">
        <v>67</v>
      </c>
      <c r="BB673" s="12">
        <v>60</v>
      </c>
      <c r="BC673" s="9" t="s">
        <v>74</v>
      </c>
      <c r="BD673" s="9" t="s">
        <v>104</v>
      </c>
      <c r="BE673" s="9" t="s">
        <v>75</v>
      </c>
      <c r="BF673" s="11">
        <v>0</v>
      </c>
      <c r="BG673">
        <f t="shared" si="22"/>
        <v>12</v>
      </c>
      <c r="BH673" t="str">
        <f>VLOOKUP(BG673,[1]month!$A:$B,2,0)</f>
        <v>Desember</v>
      </c>
      <c r="BI673">
        <f t="shared" si="23"/>
        <v>2025</v>
      </c>
      <c r="BJ673" t="str">
        <f>VLOOKUP(I673,[1]Dist!$A:$B,2,0)</f>
        <v>Industry</v>
      </c>
      <c r="BK673" t="str">
        <f>IF(I673=11,VLOOKUP(Y673,[2]Sheet1!$C:$N,10,0),IF(I673=13,VLOOKUP(Y673,[3]Sheet1!$C:$N,10,0),IF(I673=15,VLOOKUP(Y673,[4]Sheet1!$C:$N,10,0),"Unknown")))</f>
        <v>THINNER NC</v>
      </c>
      <c r="BL673" t="str">
        <f>IF(I673=11,VLOOKUP(Y673,[2]Sheet1!$C:$N,12,0),IF(I673=13,VLOOKUP(Y673,[3]Sheet1!$C:$N,12,0),IF(I673=15,VLOOKUP(Y673,[4]Sheet1!$C:$N,12,0),"Unknown")))</f>
        <v>THINNER GLAZE</v>
      </c>
      <c r="BM673" t="str">
        <f>VLOOKUP(W673,[1]branch!$A:$B,2,0)</f>
        <v>INDUSTRY</v>
      </c>
    </row>
    <row r="674" spans="1:65" x14ac:dyDescent="0.35">
      <c r="A674" s="10">
        <v>46000</v>
      </c>
      <c r="B674" s="9" t="s">
        <v>1715</v>
      </c>
      <c r="C674" s="9" t="s">
        <v>64</v>
      </c>
      <c r="D674" s="9" t="s">
        <v>92</v>
      </c>
      <c r="E674" s="11">
        <v>30</v>
      </c>
      <c r="F674" s="9" t="s">
        <v>93</v>
      </c>
      <c r="G674" s="9" t="s">
        <v>65</v>
      </c>
      <c r="H674" s="9" t="s">
        <v>66</v>
      </c>
      <c r="I674" s="9">
        <v>11</v>
      </c>
      <c r="J674" s="9" t="s">
        <v>379</v>
      </c>
      <c r="K674" s="9" t="s">
        <v>379</v>
      </c>
      <c r="L674" s="9" t="s">
        <v>379</v>
      </c>
      <c r="M674" s="9" t="s">
        <v>380</v>
      </c>
      <c r="N674" s="9" t="s">
        <v>882</v>
      </c>
      <c r="O674" s="9" t="s">
        <v>97</v>
      </c>
      <c r="P674" s="9" t="s">
        <v>67</v>
      </c>
      <c r="Q674" s="9" t="s">
        <v>98</v>
      </c>
      <c r="R674" s="9" t="s">
        <v>379</v>
      </c>
      <c r="S674" s="9" t="s">
        <v>380</v>
      </c>
      <c r="T674" s="9" t="s">
        <v>801</v>
      </c>
      <c r="U674" s="9" t="s">
        <v>67</v>
      </c>
      <c r="V674" s="9" t="s">
        <v>194</v>
      </c>
      <c r="W674" s="9" t="s">
        <v>195</v>
      </c>
      <c r="X674" s="11">
        <v>80</v>
      </c>
      <c r="Y674" s="9" t="s">
        <v>404</v>
      </c>
      <c r="Z674" s="9" t="s">
        <v>68</v>
      </c>
      <c r="AA674" s="9" t="s">
        <v>405</v>
      </c>
      <c r="AB674" s="9" t="s">
        <v>67</v>
      </c>
      <c r="AC674" s="9" t="s">
        <v>406</v>
      </c>
      <c r="AD674" s="11">
        <v>1</v>
      </c>
      <c r="AE674" s="9" t="s">
        <v>70</v>
      </c>
      <c r="AF674" s="9" t="s">
        <v>71</v>
      </c>
      <c r="AG674" s="13">
        <v>1</v>
      </c>
      <c r="AH674" s="9" t="s">
        <v>92</v>
      </c>
      <c r="AI674" s="13">
        <v>1646400</v>
      </c>
      <c r="AJ674" s="13">
        <v>1646400</v>
      </c>
      <c r="AK674" s="11">
        <v>0</v>
      </c>
      <c r="AL674" s="11">
        <v>0</v>
      </c>
      <c r="AM674" s="11">
        <v>0</v>
      </c>
      <c r="AN674" s="9" t="s">
        <v>67</v>
      </c>
      <c r="AO674" s="11">
        <v>1646400</v>
      </c>
      <c r="AP674" s="13">
        <v>131712</v>
      </c>
      <c r="AQ674" s="13">
        <v>1778112</v>
      </c>
      <c r="AR674" s="11">
        <v>20</v>
      </c>
      <c r="AS674" s="9" t="s">
        <v>72</v>
      </c>
      <c r="AT674" s="12">
        <v>12.9</v>
      </c>
      <c r="AU674" s="9" t="s">
        <v>73</v>
      </c>
      <c r="AV674" s="9" t="s">
        <v>67</v>
      </c>
      <c r="AW674" s="9" t="s">
        <v>1716</v>
      </c>
      <c r="AX674" s="10">
        <v>45999</v>
      </c>
      <c r="AY674" s="9" t="s">
        <v>1717</v>
      </c>
      <c r="AZ674" s="9" t="s">
        <v>67</v>
      </c>
      <c r="BA674" s="9" t="s">
        <v>67</v>
      </c>
      <c r="BB674" s="12">
        <v>20</v>
      </c>
      <c r="BC674" s="9" t="s">
        <v>74</v>
      </c>
      <c r="BD674" s="9" t="s">
        <v>104</v>
      </c>
      <c r="BE674" s="9" t="s">
        <v>75</v>
      </c>
      <c r="BF674" s="11">
        <v>0</v>
      </c>
      <c r="BG674">
        <f t="shared" si="22"/>
        <v>12</v>
      </c>
      <c r="BH674" t="str">
        <f>VLOOKUP(BG674,[1]month!$A:$B,2,0)</f>
        <v>Desember</v>
      </c>
      <c r="BI674">
        <f t="shared" si="23"/>
        <v>2025</v>
      </c>
      <c r="BJ674" t="str">
        <f>VLOOKUP(I674,[1]Dist!$A:$B,2,0)</f>
        <v>Industry</v>
      </c>
      <c r="BK674" t="str">
        <f>IF(I674=11,VLOOKUP(Y674,[2]Sheet1!$C:$N,10,0),IF(I674=13,VLOOKUP(Y674,[3]Sheet1!$C:$N,10,0),IF(I674=15,VLOOKUP(Y674,[4]Sheet1!$C:$N,10,0),"Unknown")))</f>
        <v>STAIN &amp; GLAZE INTERIOR</v>
      </c>
      <c r="BL674" t="str">
        <f>IF(I674=11,VLOOKUP(Y674,[2]Sheet1!$C:$N,12,0),IF(I674=13,VLOOKUP(Y674,[3]Sheet1!$C:$N,12,0),IF(I674=15,VLOOKUP(Y674,[4]Sheet1!$C:$N,12,0),"Unknown")))</f>
        <v>ASOF : STAIN &amp; GLAZE</v>
      </c>
      <c r="BM674" t="str">
        <f>VLOOKUP(W674,[1]branch!$A:$B,2,0)</f>
        <v>INDUSTRY</v>
      </c>
    </row>
    <row r="675" spans="1:65" x14ac:dyDescent="0.35">
      <c r="A675" s="10">
        <v>46000</v>
      </c>
      <c r="B675" s="9" t="s">
        <v>1715</v>
      </c>
      <c r="C675" s="9" t="s">
        <v>64</v>
      </c>
      <c r="D675" s="9" t="s">
        <v>92</v>
      </c>
      <c r="E675" s="11">
        <v>30</v>
      </c>
      <c r="F675" s="9" t="s">
        <v>93</v>
      </c>
      <c r="G675" s="9" t="s">
        <v>65</v>
      </c>
      <c r="H675" s="9" t="s">
        <v>66</v>
      </c>
      <c r="I675" s="9">
        <v>11</v>
      </c>
      <c r="J675" s="9" t="s">
        <v>379</v>
      </c>
      <c r="K675" s="9" t="s">
        <v>379</v>
      </c>
      <c r="L675" s="9" t="s">
        <v>379</v>
      </c>
      <c r="M675" s="9" t="s">
        <v>380</v>
      </c>
      <c r="N675" s="9" t="s">
        <v>882</v>
      </c>
      <c r="O675" s="9" t="s">
        <v>97</v>
      </c>
      <c r="P675" s="9" t="s">
        <v>67</v>
      </c>
      <c r="Q675" s="9" t="s">
        <v>98</v>
      </c>
      <c r="R675" s="9" t="s">
        <v>379</v>
      </c>
      <c r="S675" s="9" t="s">
        <v>380</v>
      </c>
      <c r="T675" s="9" t="s">
        <v>801</v>
      </c>
      <c r="U675" s="9" t="s">
        <v>67</v>
      </c>
      <c r="V675" s="9" t="s">
        <v>194</v>
      </c>
      <c r="W675" s="9" t="s">
        <v>195</v>
      </c>
      <c r="X675" s="11">
        <v>90</v>
      </c>
      <c r="Y675" s="9" t="s">
        <v>517</v>
      </c>
      <c r="Z675" s="9" t="s">
        <v>68</v>
      </c>
      <c r="AA675" s="9" t="s">
        <v>518</v>
      </c>
      <c r="AB675" s="9" t="s">
        <v>67</v>
      </c>
      <c r="AC675" s="9" t="s">
        <v>134</v>
      </c>
      <c r="AD675" s="11">
        <v>1</v>
      </c>
      <c r="AE675" s="9" t="s">
        <v>70</v>
      </c>
      <c r="AF675" s="9" t="s">
        <v>71</v>
      </c>
      <c r="AG675" s="13">
        <v>1</v>
      </c>
      <c r="AH675" s="9" t="s">
        <v>92</v>
      </c>
      <c r="AI675" s="13">
        <v>656480</v>
      </c>
      <c r="AJ675" s="13">
        <v>656480</v>
      </c>
      <c r="AK675" s="11">
        <v>0</v>
      </c>
      <c r="AL675" s="11">
        <v>0</v>
      </c>
      <c r="AM675" s="11">
        <v>0</v>
      </c>
      <c r="AN675" s="9" t="s">
        <v>67</v>
      </c>
      <c r="AO675" s="11">
        <v>656480</v>
      </c>
      <c r="AP675" s="13">
        <v>52518</v>
      </c>
      <c r="AQ675" s="13">
        <v>708998</v>
      </c>
      <c r="AR675" s="11">
        <v>4</v>
      </c>
      <c r="AS675" s="9" t="s">
        <v>72</v>
      </c>
      <c r="AT675" s="12">
        <v>4.21</v>
      </c>
      <c r="AU675" s="9" t="s">
        <v>73</v>
      </c>
      <c r="AV675" s="9" t="s">
        <v>67</v>
      </c>
      <c r="AW675" s="9" t="s">
        <v>1716</v>
      </c>
      <c r="AX675" s="10">
        <v>45999</v>
      </c>
      <c r="AY675" s="9" t="s">
        <v>1717</v>
      </c>
      <c r="AZ675" s="9" t="s">
        <v>67</v>
      </c>
      <c r="BA675" s="9" t="s">
        <v>67</v>
      </c>
      <c r="BB675" s="12">
        <v>4</v>
      </c>
      <c r="BC675" s="9" t="s">
        <v>74</v>
      </c>
      <c r="BD675" s="9" t="s">
        <v>104</v>
      </c>
      <c r="BE675" s="9" t="s">
        <v>75</v>
      </c>
      <c r="BF675" s="11">
        <v>0</v>
      </c>
      <c r="BG675">
        <f t="shared" si="22"/>
        <v>12</v>
      </c>
      <c r="BH675" t="str">
        <f>VLOOKUP(BG675,[1]month!$A:$B,2,0)</f>
        <v>Desember</v>
      </c>
      <c r="BI675">
        <f t="shared" si="23"/>
        <v>2025</v>
      </c>
      <c r="BJ675" t="str">
        <f>VLOOKUP(I675,[1]Dist!$A:$B,2,0)</f>
        <v>Industry</v>
      </c>
      <c r="BK675" t="str">
        <f>IF(I675=11,VLOOKUP(Y675,[2]Sheet1!$C:$N,10,0),IF(I675=13,VLOOKUP(Y675,[3]Sheet1!$C:$N,10,0),IF(I675=15,VLOOKUP(Y675,[4]Sheet1!$C:$N,10,0),"Unknown")))</f>
        <v>STAIN &amp; GLAZE INTERIOR</v>
      </c>
      <c r="BL675" t="str">
        <f>IF(I675=11,VLOOKUP(Y675,[2]Sheet1!$C:$N,12,0),IF(I675=13,VLOOKUP(Y675,[3]Sheet1!$C:$N,12,0),IF(I675=15,VLOOKUP(Y675,[4]Sheet1!$C:$N,12,0),"Unknown")))</f>
        <v>ASOF : STAIN &amp; GLAZE</v>
      </c>
      <c r="BM675" t="str">
        <f>VLOOKUP(W675,[1]branch!$A:$B,2,0)</f>
        <v>INDUSTRY</v>
      </c>
    </row>
    <row r="676" spans="1:65" x14ac:dyDescent="0.35">
      <c r="A676" s="10">
        <v>46000</v>
      </c>
      <c r="B676" s="9" t="s">
        <v>1715</v>
      </c>
      <c r="C676" s="9" t="s">
        <v>64</v>
      </c>
      <c r="D676" s="9" t="s">
        <v>92</v>
      </c>
      <c r="E676" s="11">
        <v>30</v>
      </c>
      <c r="F676" s="9" t="s">
        <v>93</v>
      </c>
      <c r="G676" s="9" t="s">
        <v>65</v>
      </c>
      <c r="H676" s="9" t="s">
        <v>66</v>
      </c>
      <c r="I676" s="9">
        <v>11</v>
      </c>
      <c r="J676" s="9" t="s">
        <v>379</v>
      </c>
      <c r="K676" s="9" t="s">
        <v>379</v>
      </c>
      <c r="L676" s="9" t="s">
        <v>379</v>
      </c>
      <c r="M676" s="9" t="s">
        <v>380</v>
      </c>
      <c r="N676" s="9" t="s">
        <v>882</v>
      </c>
      <c r="O676" s="9" t="s">
        <v>97</v>
      </c>
      <c r="P676" s="9" t="s">
        <v>67</v>
      </c>
      <c r="Q676" s="9" t="s">
        <v>98</v>
      </c>
      <c r="R676" s="9" t="s">
        <v>379</v>
      </c>
      <c r="S676" s="9" t="s">
        <v>380</v>
      </c>
      <c r="T676" s="9" t="s">
        <v>801</v>
      </c>
      <c r="U676" s="9" t="s">
        <v>67</v>
      </c>
      <c r="V676" s="9" t="s">
        <v>194</v>
      </c>
      <c r="W676" s="9" t="s">
        <v>195</v>
      </c>
      <c r="X676" s="11">
        <v>100</v>
      </c>
      <c r="Y676" s="9" t="s">
        <v>363</v>
      </c>
      <c r="Z676" s="9" t="s">
        <v>68</v>
      </c>
      <c r="AA676" s="9" t="s">
        <v>364</v>
      </c>
      <c r="AB676" s="9" t="s">
        <v>67</v>
      </c>
      <c r="AC676" s="9" t="s">
        <v>91</v>
      </c>
      <c r="AD676" s="11">
        <v>2</v>
      </c>
      <c r="AE676" s="9" t="s">
        <v>70</v>
      </c>
      <c r="AF676" s="9" t="s">
        <v>71</v>
      </c>
      <c r="AG676" s="13">
        <v>1</v>
      </c>
      <c r="AH676" s="9" t="s">
        <v>92</v>
      </c>
      <c r="AI676" s="13">
        <v>792800</v>
      </c>
      <c r="AJ676" s="13">
        <v>1585600</v>
      </c>
      <c r="AK676" s="11">
        <v>0</v>
      </c>
      <c r="AL676" s="11">
        <v>0</v>
      </c>
      <c r="AM676" s="11">
        <v>0</v>
      </c>
      <c r="AN676" s="9" t="s">
        <v>67</v>
      </c>
      <c r="AO676" s="11">
        <v>1585600</v>
      </c>
      <c r="AP676" s="13">
        <v>126848</v>
      </c>
      <c r="AQ676" s="13">
        <v>1712448</v>
      </c>
      <c r="AR676" s="11">
        <v>8</v>
      </c>
      <c r="AS676" s="9" t="s">
        <v>72</v>
      </c>
      <c r="AT676" s="12">
        <v>4.88</v>
      </c>
      <c r="AU676" s="9" t="s">
        <v>73</v>
      </c>
      <c r="AV676" s="9" t="s">
        <v>67</v>
      </c>
      <c r="AW676" s="9" t="s">
        <v>1716</v>
      </c>
      <c r="AX676" s="10">
        <v>45999</v>
      </c>
      <c r="AY676" s="9" t="s">
        <v>1717</v>
      </c>
      <c r="AZ676" s="9" t="s">
        <v>67</v>
      </c>
      <c r="BA676" s="9" t="s">
        <v>67</v>
      </c>
      <c r="BB676" s="12">
        <v>8</v>
      </c>
      <c r="BC676" s="9" t="s">
        <v>74</v>
      </c>
      <c r="BD676" s="9" t="s">
        <v>104</v>
      </c>
      <c r="BE676" s="9" t="s">
        <v>75</v>
      </c>
      <c r="BF676" s="11">
        <v>0</v>
      </c>
      <c r="BG676">
        <f t="shared" si="22"/>
        <v>12</v>
      </c>
      <c r="BH676" t="str">
        <f>VLOOKUP(BG676,[1]month!$A:$B,2,0)</f>
        <v>Desember</v>
      </c>
      <c r="BI676">
        <f t="shared" si="23"/>
        <v>2025</v>
      </c>
      <c r="BJ676" t="str">
        <f>VLOOKUP(I676,[1]Dist!$A:$B,2,0)</f>
        <v>Industry</v>
      </c>
      <c r="BK676" t="str">
        <f>IF(I676=11,VLOOKUP(Y676,[2]Sheet1!$C:$N,10,0),IF(I676=13,VLOOKUP(Y676,[3]Sheet1!$C:$N,10,0),IF(I676=15,VLOOKUP(Y676,[4]Sheet1!$C:$N,10,0),"Unknown")))</f>
        <v>COMPLEMENTARY</v>
      </c>
      <c r="BL676" t="str">
        <f>IF(I676=11,VLOOKUP(Y676,[2]Sheet1!$C:$N,12,0),IF(I676=13,VLOOKUP(Y676,[3]Sheet1!$C:$N,12,0),IF(I676=15,VLOOKUP(Y676,[4]Sheet1!$C:$N,12,0),"Unknown")))</f>
        <v>PASTA</v>
      </c>
      <c r="BM676" t="str">
        <f>VLOOKUP(W676,[1]branch!$A:$B,2,0)</f>
        <v>INDUSTRY</v>
      </c>
    </row>
    <row r="677" spans="1:65" x14ac:dyDescent="0.35">
      <c r="A677" s="10">
        <v>46000</v>
      </c>
      <c r="B677" s="9" t="s">
        <v>1715</v>
      </c>
      <c r="C677" s="9" t="s">
        <v>64</v>
      </c>
      <c r="D677" s="9" t="s">
        <v>92</v>
      </c>
      <c r="E677" s="11">
        <v>30</v>
      </c>
      <c r="F677" s="9" t="s">
        <v>93</v>
      </c>
      <c r="G677" s="9" t="s">
        <v>65</v>
      </c>
      <c r="H677" s="9" t="s">
        <v>66</v>
      </c>
      <c r="I677" s="9">
        <v>11</v>
      </c>
      <c r="J677" s="9" t="s">
        <v>379</v>
      </c>
      <c r="K677" s="9" t="s">
        <v>379</v>
      </c>
      <c r="L677" s="9" t="s">
        <v>379</v>
      </c>
      <c r="M677" s="9" t="s">
        <v>380</v>
      </c>
      <c r="N677" s="9" t="s">
        <v>882</v>
      </c>
      <c r="O677" s="9" t="s">
        <v>97</v>
      </c>
      <c r="P677" s="9" t="s">
        <v>67</v>
      </c>
      <c r="Q677" s="9" t="s">
        <v>98</v>
      </c>
      <c r="R677" s="9" t="s">
        <v>379</v>
      </c>
      <c r="S677" s="9" t="s">
        <v>380</v>
      </c>
      <c r="T677" s="9" t="s">
        <v>801</v>
      </c>
      <c r="U677" s="9" t="s">
        <v>67</v>
      </c>
      <c r="V677" s="9" t="s">
        <v>194</v>
      </c>
      <c r="W677" s="9" t="s">
        <v>195</v>
      </c>
      <c r="X677" s="11">
        <v>110</v>
      </c>
      <c r="Y677" s="9" t="s">
        <v>89</v>
      </c>
      <c r="Z677" s="9" t="s">
        <v>68</v>
      </c>
      <c r="AA677" s="9" t="s">
        <v>90</v>
      </c>
      <c r="AB677" s="9" t="s">
        <v>67</v>
      </c>
      <c r="AC677" s="9" t="s">
        <v>91</v>
      </c>
      <c r="AD677" s="11">
        <v>1</v>
      </c>
      <c r="AE677" s="9" t="s">
        <v>70</v>
      </c>
      <c r="AF677" s="9" t="s">
        <v>71</v>
      </c>
      <c r="AG677" s="13">
        <v>1</v>
      </c>
      <c r="AH677" s="9" t="s">
        <v>92</v>
      </c>
      <c r="AI677" s="13">
        <v>875160</v>
      </c>
      <c r="AJ677" s="13">
        <v>875160</v>
      </c>
      <c r="AK677" s="11">
        <v>0</v>
      </c>
      <c r="AL677" s="11">
        <v>0</v>
      </c>
      <c r="AM677" s="11">
        <v>0</v>
      </c>
      <c r="AN677" s="9" t="s">
        <v>67</v>
      </c>
      <c r="AO677" s="11">
        <v>875160</v>
      </c>
      <c r="AP677" s="13">
        <v>70013</v>
      </c>
      <c r="AQ677" s="13">
        <v>945173</v>
      </c>
      <c r="AR677" s="11">
        <v>4</v>
      </c>
      <c r="AS677" s="9" t="s">
        <v>72</v>
      </c>
      <c r="AT677" s="12">
        <v>3.81</v>
      </c>
      <c r="AU677" s="9" t="s">
        <v>73</v>
      </c>
      <c r="AV677" s="9" t="s">
        <v>67</v>
      </c>
      <c r="AW677" s="9" t="s">
        <v>1716</v>
      </c>
      <c r="AX677" s="10">
        <v>45999</v>
      </c>
      <c r="AY677" s="9" t="s">
        <v>1717</v>
      </c>
      <c r="AZ677" s="9" t="s">
        <v>67</v>
      </c>
      <c r="BA677" s="9" t="s">
        <v>67</v>
      </c>
      <c r="BB677" s="12">
        <v>4</v>
      </c>
      <c r="BC677" s="9" t="s">
        <v>74</v>
      </c>
      <c r="BD677" s="9" t="s">
        <v>104</v>
      </c>
      <c r="BE677" s="9" t="s">
        <v>75</v>
      </c>
      <c r="BF677" s="11">
        <v>0</v>
      </c>
      <c r="BG677">
        <f t="shared" si="22"/>
        <v>12</v>
      </c>
      <c r="BH677" t="str">
        <f>VLOOKUP(BG677,[1]month!$A:$B,2,0)</f>
        <v>Desember</v>
      </c>
      <c r="BI677">
        <f t="shared" si="23"/>
        <v>2025</v>
      </c>
      <c r="BJ677" t="str">
        <f>VLOOKUP(I677,[1]Dist!$A:$B,2,0)</f>
        <v>Industry</v>
      </c>
      <c r="BK677" t="str">
        <f>IF(I677=11,VLOOKUP(Y677,[2]Sheet1!$C:$N,10,0),IF(I677=13,VLOOKUP(Y677,[3]Sheet1!$C:$N,10,0),IF(I677=15,VLOOKUP(Y677,[4]Sheet1!$C:$N,10,0),"Unknown")))</f>
        <v>COMPLEMENTARY</v>
      </c>
      <c r="BL677" t="str">
        <f>IF(I677=11,VLOOKUP(Y677,[2]Sheet1!$C:$N,12,0),IF(I677=13,VLOOKUP(Y677,[3]Sheet1!$C:$N,12,0),IF(I677=15,VLOOKUP(Y677,[4]Sheet1!$C:$N,12,0),"Unknown")))</f>
        <v>PASTA</v>
      </c>
      <c r="BM677" t="str">
        <f>VLOOKUP(W677,[1]branch!$A:$B,2,0)</f>
        <v>INDUSTRY</v>
      </c>
    </row>
    <row r="678" spans="1:65" x14ac:dyDescent="0.35">
      <c r="A678" s="10">
        <v>46000</v>
      </c>
      <c r="B678" s="9" t="s">
        <v>1715</v>
      </c>
      <c r="C678" s="9" t="s">
        <v>64</v>
      </c>
      <c r="D678" s="9" t="s">
        <v>92</v>
      </c>
      <c r="E678" s="11">
        <v>30</v>
      </c>
      <c r="F678" s="9" t="s">
        <v>93</v>
      </c>
      <c r="G678" s="9" t="s">
        <v>65</v>
      </c>
      <c r="H678" s="9" t="s">
        <v>66</v>
      </c>
      <c r="I678" s="9">
        <v>11</v>
      </c>
      <c r="J678" s="9" t="s">
        <v>379</v>
      </c>
      <c r="K678" s="9" t="s">
        <v>379</v>
      </c>
      <c r="L678" s="9" t="s">
        <v>379</v>
      </c>
      <c r="M678" s="9" t="s">
        <v>380</v>
      </c>
      <c r="N678" s="9" t="s">
        <v>882</v>
      </c>
      <c r="O678" s="9" t="s">
        <v>97</v>
      </c>
      <c r="P678" s="9" t="s">
        <v>67</v>
      </c>
      <c r="Q678" s="9" t="s">
        <v>98</v>
      </c>
      <c r="R678" s="9" t="s">
        <v>379</v>
      </c>
      <c r="S678" s="9" t="s">
        <v>380</v>
      </c>
      <c r="T678" s="9" t="s">
        <v>801</v>
      </c>
      <c r="U678" s="9" t="s">
        <v>67</v>
      </c>
      <c r="V678" s="9" t="s">
        <v>194</v>
      </c>
      <c r="W678" s="9" t="s">
        <v>195</v>
      </c>
      <c r="X678" s="11">
        <v>120</v>
      </c>
      <c r="Y678" s="9" t="s">
        <v>80</v>
      </c>
      <c r="Z678" s="9" t="s">
        <v>68</v>
      </c>
      <c r="AA678" s="9" t="s">
        <v>81</v>
      </c>
      <c r="AB678" s="9" t="s">
        <v>67</v>
      </c>
      <c r="AC678" s="9" t="s">
        <v>82</v>
      </c>
      <c r="AD678" s="11">
        <v>1</v>
      </c>
      <c r="AE678" s="9" t="s">
        <v>70</v>
      </c>
      <c r="AF678" s="9" t="s">
        <v>71</v>
      </c>
      <c r="AG678" s="13">
        <v>1</v>
      </c>
      <c r="AH678" s="9" t="s">
        <v>92</v>
      </c>
      <c r="AI678" s="13">
        <v>957600</v>
      </c>
      <c r="AJ678" s="13">
        <v>957600</v>
      </c>
      <c r="AK678" s="11">
        <v>0</v>
      </c>
      <c r="AL678" s="11">
        <v>0</v>
      </c>
      <c r="AM678" s="11">
        <v>0</v>
      </c>
      <c r="AN678" s="9" t="s">
        <v>67</v>
      </c>
      <c r="AO678" s="11">
        <v>957600</v>
      </c>
      <c r="AP678" s="13">
        <v>76608</v>
      </c>
      <c r="AQ678" s="13">
        <v>1034208</v>
      </c>
      <c r="AR678" s="11">
        <v>4</v>
      </c>
      <c r="AS678" s="9" t="s">
        <v>72</v>
      </c>
      <c r="AT678" s="12">
        <v>4.76</v>
      </c>
      <c r="AU678" s="9" t="s">
        <v>73</v>
      </c>
      <c r="AV678" s="9" t="s">
        <v>67</v>
      </c>
      <c r="AW678" s="9" t="s">
        <v>1716</v>
      </c>
      <c r="AX678" s="10">
        <v>45999</v>
      </c>
      <c r="AY678" s="9" t="s">
        <v>1717</v>
      </c>
      <c r="AZ678" s="9" t="s">
        <v>67</v>
      </c>
      <c r="BA678" s="9" t="s">
        <v>67</v>
      </c>
      <c r="BB678" s="12">
        <v>4</v>
      </c>
      <c r="BC678" s="9" t="s">
        <v>74</v>
      </c>
      <c r="BD678" s="9" t="s">
        <v>104</v>
      </c>
      <c r="BE678" s="9" t="s">
        <v>75</v>
      </c>
      <c r="BF678" s="11">
        <v>0</v>
      </c>
      <c r="BG678">
        <f t="shared" si="22"/>
        <v>12</v>
      </c>
      <c r="BH678" t="str">
        <f>VLOOKUP(BG678,[1]month!$A:$B,2,0)</f>
        <v>Desember</v>
      </c>
      <c r="BI678">
        <f t="shared" si="23"/>
        <v>2025</v>
      </c>
      <c r="BJ678" t="str">
        <f>VLOOKUP(I678,[1]Dist!$A:$B,2,0)</f>
        <v>Industry</v>
      </c>
      <c r="BK678" t="str">
        <f>IF(I678=11,VLOOKUP(Y678,[2]Sheet1!$C:$N,10,0),IF(I678=13,VLOOKUP(Y678,[3]Sheet1!$C:$N,10,0),IF(I678=15,VLOOKUP(Y678,[4]Sheet1!$C:$N,10,0),"Unknown")))</f>
        <v>STAIN &amp; GLAZE INTERIOR</v>
      </c>
      <c r="BL678" t="str">
        <f>IF(I678=11,VLOOKUP(Y678,[2]Sheet1!$C:$N,12,0),IF(I678=13,VLOOKUP(Y678,[3]Sheet1!$C:$N,12,0),IF(I678=15,VLOOKUP(Y678,[4]Sheet1!$C:$N,12,0),"Unknown")))</f>
        <v>STAIN INTERIOR</v>
      </c>
      <c r="BM678" t="str">
        <f>VLOOKUP(W678,[1]branch!$A:$B,2,0)</f>
        <v>INDUSTRY</v>
      </c>
    </row>
    <row r="679" spans="1:65" x14ac:dyDescent="0.35">
      <c r="A679" s="10">
        <v>46000</v>
      </c>
      <c r="B679" s="9" t="s">
        <v>1715</v>
      </c>
      <c r="C679" s="9" t="s">
        <v>64</v>
      </c>
      <c r="D679" s="9" t="s">
        <v>92</v>
      </c>
      <c r="E679" s="11">
        <v>30</v>
      </c>
      <c r="F679" s="9" t="s">
        <v>93</v>
      </c>
      <c r="G679" s="9" t="s">
        <v>65</v>
      </c>
      <c r="H679" s="9" t="s">
        <v>66</v>
      </c>
      <c r="I679" s="9">
        <v>11</v>
      </c>
      <c r="J679" s="9" t="s">
        <v>379</v>
      </c>
      <c r="K679" s="9" t="s">
        <v>379</v>
      </c>
      <c r="L679" s="9" t="s">
        <v>379</v>
      </c>
      <c r="M679" s="9" t="s">
        <v>380</v>
      </c>
      <c r="N679" s="9" t="s">
        <v>882</v>
      </c>
      <c r="O679" s="9" t="s">
        <v>97</v>
      </c>
      <c r="P679" s="9" t="s">
        <v>67</v>
      </c>
      <c r="Q679" s="9" t="s">
        <v>98</v>
      </c>
      <c r="R679" s="9" t="s">
        <v>379</v>
      </c>
      <c r="S679" s="9" t="s">
        <v>380</v>
      </c>
      <c r="T679" s="9" t="s">
        <v>801</v>
      </c>
      <c r="U679" s="9" t="s">
        <v>67</v>
      </c>
      <c r="V679" s="9" t="s">
        <v>194</v>
      </c>
      <c r="W679" s="9" t="s">
        <v>195</v>
      </c>
      <c r="X679" s="11">
        <v>130</v>
      </c>
      <c r="Y679" s="9" t="s">
        <v>85</v>
      </c>
      <c r="Z679" s="9" t="s">
        <v>68</v>
      </c>
      <c r="AA679" s="9" t="s">
        <v>86</v>
      </c>
      <c r="AB679" s="9" t="s">
        <v>67</v>
      </c>
      <c r="AC679" s="9" t="s">
        <v>82</v>
      </c>
      <c r="AD679" s="11">
        <v>1</v>
      </c>
      <c r="AE679" s="9" t="s">
        <v>70</v>
      </c>
      <c r="AF679" s="9" t="s">
        <v>71</v>
      </c>
      <c r="AG679" s="13">
        <v>1</v>
      </c>
      <c r="AH679" s="9" t="s">
        <v>92</v>
      </c>
      <c r="AI679" s="13">
        <v>1005720</v>
      </c>
      <c r="AJ679" s="13">
        <v>1005720</v>
      </c>
      <c r="AK679" s="11">
        <v>0</v>
      </c>
      <c r="AL679" s="11">
        <v>0</v>
      </c>
      <c r="AM679" s="11">
        <v>0</v>
      </c>
      <c r="AN679" s="9" t="s">
        <v>67</v>
      </c>
      <c r="AO679" s="11">
        <v>1005720</v>
      </c>
      <c r="AP679" s="13">
        <v>80458</v>
      </c>
      <c r="AQ679" s="13">
        <v>1086178</v>
      </c>
      <c r="AR679" s="11">
        <v>4</v>
      </c>
      <c r="AS679" s="9" t="s">
        <v>72</v>
      </c>
      <c r="AT679" s="12">
        <v>4.76</v>
      </c>
      <c r="AU679" s="9" t="s">
        <v>73</v>
      </c>
      <c r="AV679" s="9" t="s">
        <v>67</v>
      </c>
      <c r="AW679" s="9" t="s">
        <v>1716</v>
      </c>
      <c r="AX679" s="10">
        <v>45999</v>
      </c>
      <c r="AY679" s="9" t="s">
        <v>1717</v>
      </c>
      <c r="AZ679" s="9" t="s">
        <v>67</v>
      </c>
      <c r="BA679" s="9" t="s">
        <v>67</v>
      </c>
      <c r="BB679" s="12">
        <v>4</v>
      </c>
      <c r="BC679" s="9" t="s">
        <v>74</v>
      </c>
      <c r="BD679" s="9" t="s">
        <v>104</v>
      </c>
      <c r="BE679" s="9" t="s">
        <v>75</v>
      </c>
      <c r="BF679" s="11">
        <v>0</v>
      </c>
      <c r="BG679">
        <f t="shared" si="22"/>
        <v>12</v>
      </c>
      <c r="BH679" t="str">
        <f>VLOOKUP(BG679,[1]month!$A:$B,2,0)</f>
        <v>Desember</v>
      </c>
      <c r="BI679">
        <f t="shared" si="23"/>
        <v>2025</v>
      </c>
      <c r="BJ679" t="str">
        <f>VLOOKUP(I679,[1]Dist!$A:$B,2,0)</f>
        <v>Industry</v>
      </c>
      <c r="BK679" t="str">
        <f>IF(I679=11,VLOOKUP(Y679,[2]Sheet1!$C:$N,10,0),IF(I679=13,VLOOKUP(Y679,[3]Sheet1!$C:$N,10,0),IF(I679=15,VLOOKUP(Y679,[4]Sheet1!$C:$N,10,0),"Unknown")))</f>
        <v>STAIN &amp; GLAZE INTERIOR</v>
      </c>
      <c r="BL679" t="str">
        <f>IF(I679=11,VLOOKUP(Y679,[2]Sheet1!$C:$N,12,0),IF(I679=13,VLOOKUP(Y679,[3]Sheet1!$C:$N,12,0),IF(I679=15,VLOOKUP(Y679,[4]Sheet1!$C:$N,12,0),"Unknown")))</f>
        <v>STAIN INTERIOR</v>
      </c>
      <c r="BM679" t="str">
        <f>VLOOKUP(W679,[1]branch!$A:$B,2,0)</f>
        <v>INDUSTRY</v>
      </c>
    </row>
    <row r="680" spans="1:65" x14ac:dyDescent="0.35">
      <c r="A680" s="10">
        <v>46000</v>
      </c>
      <c r="B680" s="9" t="s">
        <v>1715</v>
      </c>
      <c r="C680" s="9" t="s">
        <v>64</v>
      </c>
      <c r="D680" s="9" t="s">
        <v>92</v>
      </c>
      <c r="E680" s="11">
        <v>30</v>
      </c>
      <c r="F680" s="9" t="s">
        <v>93</v>
      </c>
      <c r="G680" s="9" t="s">
        <v>65</v>
      </c>
      <c r="H680" s="9" t="s">
        <v>66</v>
      </c>
      <c r="I680" s="9">
        <v>11</v>
      </c>
      <c r="J680" s="9" t="s">
        <v>379</v>
      </c>
      <c r="K680" s="9" t="s">
        <v>379</v>
      </c>
      <c r="L680" s="9" t="s">
        <v>379</v>
      </c>
      <c r="M680" s="9" t="s">
        <v>380</v>
      </c>
      <c r="N680" s="9" t="s">
        <v>882</v>
      </c>
      <c r="O680" s="9" t="s">
        <v>97</v>
      </c>
      <c r="P680" s="9" t="s">
        <v>67</v>
      </c>
      <c r="Q680" s="9" t="s">
        <v>98</v>
      </c>
      <c r="R680" s="9" t="s">
        <v>379</v>
      </c>
      <c r="S680" s="9" t="s">
        <v>380</v>
      </c>
      <c r="T680" s="9" t="s">
        <v>801</v>
      </c>
      <c r="U680" s="9" t="s">
        <v>67</v>
      </c>
      <c r="V680" s="9" t="s">
        <v>194</v>
      </c>
      <c r="W680" s="9" t="s">
        <v>195</v>
      </c>
      <c r="X680" s="11">
        <v>131</v>
      </c>
      <c r="Y680" s="9" t="s">
        <v>1387</v>
      </c>
      <c r="Z680" s="9" t="s">
        <v>68</v>
      </c>
      <c r="AA680" s="9" t="s">
        <v>1388</v>
      </c>
      <c r="AB680" s="9" t="s">
        <v>67</v>
      </c>
      <c r="AC680" s="9" t="s">
        <v>191</v>
      </c>
      <c r="AD680" s="11">
        <v>3</v>
      </c>
      <c r="AE680" s="9" t="s">
        <v>70</v>
      </c>
      <c r="AF680" s="9" t="s">
        <v>71</v>
      </c>
      <c r="AG680" s="13">
        <v>1</v>
      </c>
      <c r="AH680" s="9" t="s">
        <v>92</v>
      </c>
      <c r="AI680" s="13">
        <v>1558600</v>
      </c>
      <c r="AJ680" s="13">
        <v>4675800</v>
      </c>
      <c r="AK680" s="11">
        <v>0</v>
      </c>
      <c r="AL680" s="11">
        <v>0</v>
      </c>
      <c r="AM680" s="11">
        <v>0</v>
      </c>
      <c r="AN680" s="9" t="s">
        <v>67</v>
      </c>
      <c r="AO680" s="11">
        <v>4675800</v>
      </c>
      <c r="AP680" s="13">
        <v>374064</v>
      </c>
      <c r="AQ680" s="13">
        <v>5049864</v>
      </c>
      <c r="AR680" s="12">
        <v>58.8</v>
      </c>
      <c r="AS680" s="9" t="s">
        <v>72</v>
      </c>
      <c r="AT680" s="11">
        <v>60</v>
      </c>
      <c r="AU680" s="9" t="s">
        <v>73</v>
      </c>
      <c r="AV680" s="9" t="s">
        <v>67</v>
      </c>
      <c r="AW680" s="9" t="s">
        <v>1716</v>
      </c>
      <c r="AX680" s="10">
        <v>45999</v>
      </c>
      <c r="AY680" s="9" t="s">
        <v>1717</v>
      </c>
      <c r="AZ680" s="9" t="s">
        <v>67</v>
      </c>
      <c r="BA680" s="9" t="s">
        <v>67</v>
      </c>
      <c r="BB680" s="12">
        <v>60</v>
      </c>
      <c r="BC680" s="9" t="s">
        <v>74</v>
      </c>
      <c r="BD680" s="9" t="s">
        <v>104</v>
      </c>
      <c r="BE680" s="9" t="s">
        <v>75</v>
      </c>
      <c r="BF680" s="11">
        <v>0</v>
      </c>
      <c r="BG680">
        <f t="shared" si="22"/>
        <v>12</v>
      </c>
      <c r="BH680" t="str">
        <f>VLOOKUP(BG680,[1]month!$A:$B,2,0)</f>
        <v>Desember</v>
      </c>
      <c r="BI680">
        <f t="shared" si="23"/>
        <v>2025</v>
      </c>
      <c r="BJ680" t="str">
        <f>VLOOKUP(I680,[1]Dist!$A:$B,2,0)</f>
        <v>Industry</v>
      </c>
      <c r="BK680" t="str">
        <f>IF(I680=11,VLOOKUP(Y680,[2]Sheet1!$C:$N,10,0),IF(I680=13,VLOOKUP(Y680,[3]Sheet1!$C:$N,10,0),IF(I680=15,VLOOKUP(Y680,[4]Sheet1!$C:$N,10,0),"Unknown")))</f>
        <v>NC</v>
      </c>
      <c r="BL680" t="str">
        <f>IF(I680=11,VLOOKUP(Y680,[2]Sheet1!$C:$N,12,0),IF(I680=13,VLOOKUP(Y680,[3]Sheet1!$C:$N,12,0),IF(I680=15,VLOOKUP(Y680,[4]Sheet1!$C:$N,12,0),"Unknown")))</f>
        <v>NC SYSTEM</v>
      </c>
      <c r="BM680" t="str">
        <f>VLOOKUP(W680,[1]branch!$A:$B,2,0)</f>
        <v>INDUSTRY</v>
      </c>
    </row>
    <row r="681" spans="1:65" x14ac:dyDescent="0.35">
      <c r="A681" s="10">
        <v>46000</v>
      </c>
      <c r="B681" s="9" t="s">
        <v>1718</v>
      </c>
      <c r="C681" s="9" t="s">
        <v>64</v>
      </c>
      <c r="D681" s="9" t="s">
        <v>92</v>
      </c>
      <c r="E681" s="11">
        <v>45</v>
      </c>
      <c r="F681" s="9" t="s">
        <v>93</v>
      </c>
      <c r="G681" s="9" t="s">
        <v>65</v>
      </c>
      <c r="H681" s="9" t="s">
        <v>66</v>
      </c>
      <c r="I681" s="9">
        <v>15</v>
      </c>
      <c r="J681" s="9" t="s">
        <v>638</v>
      </c>
      <c r="K681" s="9" t="s">
        <v>638</v>
      </c>
      <c r="L681" s="9" t="s">
        <v>638</v>
      </c>
      <c r="M681" s="9" t="s">
        <v>639</v>
      </c>
      <c r="N681" s="9" t="s">
        <v>883</v>
      </c>
      <c r="O681" s="9" t="s">
        <v>410</v>
      </c>
      <c r="P681" s="9" t="s">
        <v>67</v>
      </c>
      <c r="Q681" s="9" t="s">
        <v>98</v>
      </c>
      <c r="R681" s="9" t="s">
        <v>638</v>
      </c>
      <c r="S681" s="9" t="s">
        <v>639</v>
      </c>
      <c r="T681" s="9" t="s">
        <v>821</v>
      </c>
      <c r="U681" s="9" t="s">
        <v>385</v>
      </c>
      <c r="V681" s="9" t="s">
        <v>386</v>
      </c>
      <c r="W681" s="9" t="s">
        <v>387</v>
      </c>
      <c r="X681" s="11">
        <v>10</v>
      </c>
      <c r="Y681" s="9" t="s">
        <v>661</v>
      </c>
      <c r="Z681" s="9" t="s">
        <v>68</v>
      </c>
      <c r="AA681" s="9" t="s">
        <v>662</v>
      </c>
      <c r="AB681" s="9" t="s">
        <v>67</v>
      </c>
      <c r="AC681" s="9" t="s">
        <v>663</v>
      </c>
      <c r="AD681" s="11">
        <v>3</v>
      </c>
      <c r="AE681" s="9" t="s">
        <v>156</v>
      </c>
      <c r="AF681" s="9" t="s">
        <v>71</v>
      </c>
      <c r="AG681" s="13">
        <v>1</v>
      </c>
      <c r="AH681" s="9" t="s">
        <v>92</v>
      </c>
      <c r="AI681" s="13">
        <v>2650000</v>
      </c>
      <c r="AJ681" s="13">
        <v>7950000</v>
      </c>
      <c r="AK681" s="11">
        <v>0</v>
      </c>
      <c r="AL681" s="11">
        <v>0</v>
      </c>
      <c r="AM681" s="11">
        <v>0</v>
      </c>
      <c r="AN681" s="9" t="s">
        <v>67</v>
      </c>
      <c r="AO681" s="11">
        <v>7950000</v>
      </c>
      <c r="AP681" s="13">
        <v>636000</v>
      </c>
      <c r="AQ681" s="13">
        <v>8586000</v>
      </c>
      <c r="AR681" s="11">
        <v>63</v>
      </c>
      <c r="AS681" s="9" t="s">
        <v>72</v>
      </c>
      <c r="AT681" s="11">
        <v>36</v>
      </c>
      <c r="AU681" s="9" t="s">
        <v>73</v>
      </c>
      <c r="AV681" s="9" t="s">
        <v>67</v>
      </c>
      <c r="AW681" s="9" t="s">
        <v>1719</v>
      </c>
      <c r="AX681" s="10">
        <v>45999</v>
      </c>
      <c r="AY681" s="9" t="s">
        <v>1720</v>
      </c>
      <c r="AZ681" s="9" t="s">
        <v>67</v>
      </c>
      <c r="BA681" s="9" t="s">
        <v>67</v>
      </c>
      <c r="BB681" s="12">
        <v>63</v>
      </c>
      <c r="BC681" s="9" t="s">
        <v>74</v>
      </c>
      <c r="BD681" s="9" t="s">
        <v>104</v>
      </c>
      <c r="BE681" s="9" t="s">
        <v>75</v>
      </c>
      <c r="BF681" s="11">
        <v>0</v>
      </c>
      <c r="BG681">
        <f t="shared" si="22"/>
        <v>12</v>
      </c>
      <c r="BH681" t="str">
        <f>VLOOKUP(BG681,[1]month!$A:$B,2,0)</f>
        <v>Desember</v>
      </c>
      <c r="BI681">
        <f t="shared" si="23"/>
        <v>2025</v>
      </c>
      <c r="BJ681" t="str">
        <f>VLOOKUP(I681,[1]Dist!$A:$B,2,0)</f>
        <v>Project</v>
      </c>
      <c r="BK681" t="str">
        <f>IF(I681=11,VLOOKUP(Y681,[2]Sheet1!$C:$N,10,0),IF(I681=13,VLOOKUP(Y681,[3]Sheet1!$C:$N,10,0),IF(I681=15,VLOOKUP(Y681,[4]Sheet1!$C:$N,10,0),"Unknown")))</f>
        <v>POLYFLOOR</v>
      </c>
      <c r="BL681" t="str">
        <f>IF(I681=11,VLOOKUP(Y681,[2]Sheet1!$C:$N,12,0),IF(I681=13,VLOOKUP(Y681,[3]Sheet1!$C:$N,12,0),IF(I681=15,VLOOKUP(Y681,[4]Sheet1!$C:$N,12,0),"Unknown")))</f>
        <v>POLYFLOOR EPOXY SOLVENT FREE</v>
      </c>
      <c r="BM681" t="str">
        <f>VLOOKUP(W681,[1]branch!$A:$B,2,0)</f>
        <v>PROJECT</v>
      </c>
    </row>
    <row r="682" spans="1:65" x14ac:dyDescent="0.35">
      <c r="A682" s="10">
        <v>46000</v>
      </c>
      <c r="B682" s="9" t="s">
        <v>1721</v>
      </c>
      <c r="C682" s="9" t="s">
        <v>64</v>
      </c>
      <c r="D682" s="9" t="s">
        <v>92</v>
      </c>
      <c r="E682" s="11">
        <v>7</v>
      </c>
      <c r="F682" s="9" t="s">
        <v>93</v>
      </c>
      <c r="G682" s="9" t="s">
        <v>65</v>
      </c>
      <c r="H682" s="9" t="s">
        <v>66</v>
      </c>
      <c r="I682" s="9">
        <v>11</v>
      </c>
      <c r="J682" s="9" t="s">
        <v>296</v>
      </c>
      <c r="K682" s="9" t="s">
        <v>296</v>
      </c>
      <c r="L682" s="9" t="s">
        <v>296</v>
      </c>
      <c r="M682" s="9" t="s">
        <v>297</v>
      </c>
      <c r="N682" s="9" t="s">
        <v>447</v>
      </c>
      <c r="O682" s="9" t="s">
        <v>97</v>
      </c>
      <c r="P682" s="9" t="s">
        <v>67</v>
      </c>
      <c r="Q682" s="9" t="s">
        <v>98</v>
      </c>
      <c r="R682" s="9" t="s">
        <v>780</v>
      </c>
      <c r="S682" s="9" t="s">
        <v>297</v>
      </c>
      <c r="T682" s="9" t="s">
        <v>781</v>
      </c>
      <c r="U682" s="9" t="s">
        <v>67</v>
      </c>
      <c r="V682" s="9" t="s">
        <v>194</v>
      </c>
      <c r="W682" s="9" t="s">
        <v>195</v>
      </c>
      <c r="X682" s="11">
        <v>10</v>
      </c>
      <c r="Y682" s="9" t="s">
        <v>148</v>
      </c>
      <c r="Z682" s="9" t="s">
        <v>68</v>
      </c>
      <c r="AA682" s="9" t="s">
        <v>149</v>
      </c>
      <c r="AB682" s="9" t="s">
        <v>67</v>
      </c>
      <c r="AC682" s="9" t="s">
        <v>69</v>
      </c>
      <c r="AD682" s="11">
        <v>2</v>
      </c>
      <c r="AE682" s="9" t="s">
        <v>70</v>
      </c>
      <c r="AF682" s="9" t="s">
        <v>71</v>
      </c>
      <c r="AG682" s="13">
        <v>1</v>
      </c>
      <c r="AH682" s="9" t="s">
        <v>92</v>
      </c>
      <c r="AI682" s="13">
        <v>7484000</v>
      </c>
      <c r="AJ682" s="13">
        <v>14968000</v>
      </c>
      <c r="AK682" s="11">
        <v>0</v>
      </c>
      <c r="AL682" s="11">
        <v>0</v>
      </c>
      <c r="AM682" s="11">
        <v>0</v>
      </c>
      <c r="AN682" s="9" t="s">
        <v>67</v>
      </c>
      <c r="AO682" s="11">
        <v>14968000</v>
      </c>
      <c r="AP682" s="13">
        <v>1197440</v>
      </c>
      <c r="AQ682" s="13">
        <v>16165440</v>
      </c>
      <c r="AR682" s="11">
        <v>360</v>
      </c>
      <c r="AS682" s="9" t="s">
        <v>72</v>
      </c>
      <c r="AT682" s="11">
        <v>400</v>
      </c>
      <c r="AU682" s="9" t="s">
        <v>73</v>
      </c>
      <c r="AV682" s="9" t="s">
        <v>67</v>
      </c>
      <c r="AW682" s="9" t="s">
        <v>1722</v>
      </c>
      <c r="AX682" s="10">
        <v>45999</v>
      </c>
      <c r="AY682" s="9" t="s">
        <v>1723</v>
      </c>
      <c r="AZ682" s="9" t="s">
        <v>67</v>
      </c>
      <c r="BA682" s="9" t="s">
        <v>67</v>
      </c>
      <c r="BB682" s="12">
        <v>400</v>
      </c>
      <c r="BC682" s="9" t="s">
        <v>74</v>
      </c>
      <c r="BD682" s="9" t="s">
        <v>104</v>
      </c>
      <c r="BE682" s="9" t="s">
        <v>75</v>
      </c>
      <c r="BF682" s="11">
        <v>0</v>
      </c>
      <c r="BG682">
        <f t="shared" si="22"/>
        <v>12</v>
      </c>
      <c r="BH682" t="str">
        <f>VLOOKUP(BG682,[1]month!$A:$B,2,0)</f>
        <v>Desember</v>
      </c>
      <c r="BI682">
        <f t="shared" si="23"/>
        <v>2025</v>
      </c>
      <c r="BJ682" t="str">
        <f>VLOOKUP(I682,[1]Dist!$A:$B,2,0)</f>
        <v>Industry</v>
      </c>
      <c r="BK682" t="str">
        <f>IF(I682=11,VLOOKUP(Y682,[2]Sheet1!$C:$N,10,0),IF(I682=13,VLOOKUP(Y682,[3]Sheet1!$C:$N,10,0),IF(I682=15,VLOOKUP(Y682,[4]Sheet1!$C:$N,10,0),"Unknown")))</f>
        <v>THINNER NC</v>
      </c>
      <c r="BL682" t="str">
        <f>IF(I682=11,VLOOKUP(Y682,[2]Sheet1!$C:$N,12,0),IF(I682=13,VLOOKUP(Y682,[3]Sheet1!$C:$N,12,0),IF(I682=15,VLOOKUP(Y682,[4]Sheet1!$C:$N,12,0),"Unknown")))</f>
        <v>THINNER NC</v>
      </c>
      <c r="BM682" t="str">
        <f>VLOOKUP(W682,[1]branch!$A:$B,2,0)</f>
        <v>INDUSTRY</v>
      </c>
    </row>
    <row r="683" spans="1:65" x14ac:dyDescent="0.35">
      <c r="A683" s="10">
        <v>46000</v>
      </c>
      <c r="B683" s="9" t="s">
        <v>1721</v>
      </c>
      <c r="C683" s="9" t="s">
        <v>64</v>
      </c>
      <c r="D683" s="9" t="s">
        <v>92</v>
      </c>
      <c r="E683" s="11">
        <v>7</v>
      </c>
      <c r="F683" s="9" t="s">
        <v>93</v>
      </c>
      <c r="G683" s="9" t="s">
        <v>65</v>
      </c>
      <c r="H683" s="9" t="s">
        <v>66</v>
      </c>
      <c r="I683" s="9">
        <v>11</v>
      </c>
      <c r="J683" s="9" t="s">
        <v>296</v>
      </c>
      <c r="K683" s="9" t="s">
        <v>296</v>
      </c>
      <c r="L683" s="9" t="s">
        <v>296</v>
      </c>
      <c r="M683" s="9" t="s">
        <v>297</v>
      </c>
      <c r="N683" s="9" t="s">
        <v>447</v>
      </c>
      <c r="O683" s="9" t="s">
        <v>97</v>
      </c>
      <c r="P683" s="9" t="s">
        <v>67</v>
      </c>
      <c r="Q683" s="9" t="s">
        <v>98</v>
      </c>
      <c r="R683" s="9" t="s">
        <v>780</v>
      </c>
      <c r="S683" s="9" t="s">
        <v>297</v>
      </c>
      <c r="T683" s="9" t="s">
        <v>781</v>
      </c>
      <c r="U683" s="9" t="s">
        <v>67</v>
      </c>
      <c r="V683" s="9" t="s">
        <v>194</v>
      </c>
      <c r="W683" s="9" t="s">
        <v>195</v>
      </c>
      <c r="X683" s="11">
        <v>20</v>
      </c>
      <c r="Y683" s="9" t="s">
        <v>298</v>
      </c>
      <c r="Z683" s="9" t="s">
        <v>68</v>
      </c>
      <c r="AA683" s="9" t="s">
        <v>299</v>
      </c>
      <c r="AB683" s="9" t="s">
        <v>67</v>
      </c>
      <c r="AC683" s="9" t="s">
        <v>300</v>
      </c>
      <c r="AD683" s="11">
        <v>6</v>
      </c>
      <c r="AE683" s="9" t="s">
        <v>70</v>
      </c>
      <c r="AF683" s="9" t="s">
        <v>71</v>
      </c>
      <c r="AG683" s="13">
        <v>1</v>
      </c>
      <c r="AH683" s="9" t="s">
        <v>92</v>
      </c>
      <c r="AI683" s="13">
        <v>1752000</v>
      </c>
      <c r="AJ683" s="13">
        <v>10512000</v>
      </c>
      <c r="AK683" s="11">
        <v>0</v>
      </c>
      <c r="AL683" s="11">
        <v>0</v>
      </c>
      <c r="AM683" s="11">
        <v>0</v>
      </c>
      <c r="AN683" s="9" t="s">
        <v>67</v>
      </c>
      <c r="AO683" s="11">
        <v>10512000</v>
      </c>
      <c r="AP683" s="13">
        <v>840960</v>
      </c>
      <c r="AQ683" s="13">
        <v>11352960</v>
      </c>
      <c r="AR683" s="11">
        <v>120</v>
      </c>
      <c r="AS683" s="9" t="s">
        <v>72</v>
      </c>
      <c r="AT683" s="12">
        <v>100.002</v>
      </c>
      <c r="AU683" s="9" t="s">
        <v>73</v>
      </c>
      <c r="AV683" s="9" t="s">
        <v>67</v>
      </c>
      <c r="AW683" s="9" t="s">
        <v>1722</v>
      </c>
      <c r="AX683" s="10">
        <v>45999</v>
      </c>
      <c r="AY683" s="9" t="s">
        <v>1723</v>
      </c>
      <c r="AZ683" s="9" t="s">
        <v>67</v>
      </c>
      <c r="BA683" s="9" t="s">
        <v>67</v>
      </c>
      <c r="BB683" s="12">
        <v>120</v>
      </c>
      <c r="BC683" s="9" t="s">
        <v>74</v>
      </c>
      <c r="BD683" s="9" t="s">
        <v>104</v>
      </c>
      <c r="BE683" s="9" t="s">
        <v>75</v>
      </c>
      <c r="BF683" s="11">
        <v>0</v>
      </c>
      <c r="BG683">
        <f t="shared" si="22"/>
        <v>12</v>
      </c>
      <c r="BH683" t="str">
        <f>VLOOKUP(BG683,[1]month!$A:$B,2,0)</f>
        <v>Desember</v>
      </c>
      <c r="BI683">
        <f t="shared" si="23"/>
        <v>2025</v>
      </c>
      <c r="BJ683" t="str">
        <f>VLOOKUP(I683,[1]Dist!$A:$B,2,0)</f>
        <v>Industry</v>
      </c>
      <c r="BK683" t="str">
        <f>IF(I683=11,VLOOKUP(Y683,[2]Sheet1!$C:$N,10,0),IF(I683=13,VLOOKUP(Y683,[3]Sheet1!$C:$N,10,0),IF(I683=15,VLOOKUP(Y683,[4]Sheet1!$C:$N,10,0),"Unknown")))</f>
        <v>NC</v>
      </c>
      <c r="BL683" t="str">
        <f>IF(I683=11,VLOOKUP(Y683,[2]Sheet1!$C:$N,12,0),IF(I683=13,VLOOKUP(Y683,[3]Sheet1!$C:$N,12,0),IF(I683=15,VLOOKUP(Y683,[4]Sheet1!$C:$N,12,0),"Unknown")))</f>
        <v>NC SYSTEM</v>
      </c>
      <c r="BM683" t="str">
        <f>VLOOKUP(W683,[1]branch!$A:$B,2,0)</f>
        <v>INDUSTRY</v>
      </c>
    </row>
    <row r="684" spans="1:65" x14ac:dyDescent="0.35">
      <c r="A684" s="10">
        <v>46000</v>
      </c>
      <c r="B684" s="9" t="s">
        <v>1721</v>
      </c>
      <c r="C684" s="9" t="s">
        <v>64</v>
      </c>
      <c r="D684" s="9" t="s">
        <v>92</v>
      </c>
      <c r="E684" s="11">
        <v>7</v>
      </c>
      <c r="F684" s="9" t="s">
        <v>93</v>
      </c>
      <c r="G684" s="9" t="s">
        <v>65</v>
      </c>
      <c r="H684" s="9" t="s">
        <v>66</v>
      </c>
      <c r="I684" s="9">
        <v>11</v>
      </c>
      <c r="J684" s="9" t="s">
        <v>296</v>
      </c>
      <c r="K684" s="9" t="s">
        <v>296</v>
      </c>
      <c r="L684" s="9" t="s">
        <v>296</v>
      </c>
      <c r="M684" s="9" t="s">
        <v>297</v>
      </c>
      <c r="N684" s="9" t="s">
        <v>447</v>
      </c>
      <c r="O684" s="9" t="s">
        <v>97</v>
      </c>
      <c r="P684" s="9" t="s">
        <v>67</v>
      </c>
      <c r="Q684" s="9" t="s">
        <v>98</v>
      </c>
      <c r="R684" s="9" t="s">
        <v>780</v>
      </c>
      <c r="S684" s="9" t="s">
        <v>297</v>
      </c>
      <c r="T684" s="9" t="s">
        <v>781</v>
      </c>
      <c r="U684" s="9" t="s">
        <v>67</v>
      </c>
      <c r="V684" s="9" t="s">
        <v>194</v>
      </c>
      <c r="W684" s="9" t="s">
        <v>195</v>
      </c>
      <c r="X684" s="11">
        <v>40</v>
      </c>
      <c r="Y684" s="9" t="s">
        <v>196</v>
      </c>
      <c r="Z684" s="9" t="s">
        <v>68</v>
      </c>
      <c r="AA684" s="9" t="s">
        <v>197</v>
      </c>
      <c r="AB684" s="9" t="s">
        <v>67</v>
      </c>
      <c r="AC684" s="9" t="s">
        <v>103</v>
      </c>
      <c r="AD684" s="11">
        <v>6</v>
      </c>
      <c r="AE684" s="9" t="s">
        <v>70</v>
      </c>
      <c r="AF684" s="9" t="s">
        <v>71</v>
      </c>
      <c r="AG684" s="13">
        <v>1</v>
      </c>
      <c r="AH684" s="9" t="s">
        <v>92</v>
      </c>
      <c r="AI684" s="13">
        <v>1590000</v>
      </c>
      <c r="AJ684" s="13">
        <v>9540000</v>
      </c>
      <c r="AK684" s="11">
        <v>0</v>
      </c>
      <c r="AL684" s="11">
        <v>0</v>
      </c>
      <c r="AM684" s="11">
        <v>0</v>
      </c>
      <c r="AN684" s="9" t="s">
        <v>67</v>
      </c>
      <c r="AO684" s="11">
        <v>9540000</v>
      </c>
      <c r="AP684" s="13">
        <v>763200</v>
      </c>
      <c r="AQ684" s="13">
        <v>10303200</v>
      </c>
      <c r="AR684" s="11">
        <v>120</v>
      </c>
      <c r="AS684" s="9" t="s">
        <v>72</v>
      </c>
      <c r="AT684" s="12">
        <v>118.8</v>
      </c>
      <c r="AU684" s="9" t="s">
        <v>73</v>
      </c>
      <c r="AV684" s="9" t="s">
        <v>67</v>
      </c>
      <c r="AW684" s="9" t="s">
        <v>1722</v>
      </c>
      <c r="AX684" s="10">
        <v>45999</v>
      </c>
      <c r="AY684" s="9" t="s">
        <v>1723</v>
      </c>
      <c r="AZ684" s="9" t="s">
        <v>67</v>
      </c>
      <c r="BA684" s="9" t="s">
        <v>67</v>
      </c>
      <c r="BB684" s="12">
        <v>120</v>
      </c>
      <c r="BC684" s="9" t="s">
        <v>74</v>
      </c>
      <c r="BD684" s="9" t="s">
        <v>104</v>
      </c>
      <c r="BE684" s="9" t="s">
        <v>75</v>
      </c>
      <c r="BF684" s="11">
        <v>0</v>
      </c>
      <c r="BG684">
        <f t="shared" si="22"/>
        <v>12</v>
      </c>
      <c r="BH684" t="str">
        <f>VLOOKUP(BG684,[1]month!$A:$B,2,0)</f>
        <v>Desember</v>
      </c>
      <c r="BI684">
        <f t="shared" si="23"/>
        <v>2025</v>
      </c>
      <c r="BJ684" t="str">
        <f>VLOOKUP(I684,[1]Dist!$A:$B,2,0)</f>
        <v>Industry</v>
      </c>
      <c r="BK684" t="str">
        <f>IF(I684=11,VLOOKUP(Y684,[2]Sheet1!$C:$N,10,0),IF(I684=13,VLOOKUP(Y684,[3]Sheet1!$C:$N,10,0),IF(I684=15,VLOOKUP(Y684,[4]Sheet1!$C:$N,10,0),"Unknown")))</f>
        <v>PU</v>
      </c>
      <c r="BL684" t="str">
        <f>IF(I684=11,VLOOKUP(Y684,[2]Sheet1!$C:$N,12,0),IF(I684=13,VLOOKUP(Y684,[3]Sheet1!$C:$N,12,0),IF(I684=15,VLOOKUP(Y684,[4]Sheet1!$C:$N,12,0),"Unknown")))</f>
        <v>PU SANDING SEALER</v>
      </c>
      <c r="BM684" t="str">
        <f>VLOOKUP(W684,[1]branch!$A:$B,2,0)</f>
        <v>INDUSTRY</v>
      </c>
    </row>
    <row r="685" spans="1:65" x14ac:dyDescent="0.35">
      <c r="A685" s="10">
        <v>46000</v>
      </c>
      <c r="B685" s="9" t="s">
        <v>1721</v>
      </c>
      <c r="C685" s="9" t="s">
        <v>64</v>
      </c>
      <c r="D685" s="9" t="s">
        <v>92</v>
      </c>
      <c r="E685" s="11">
        <v>7</v>
      </c>
      <c r="F685" s="9" t="s">
        <v>93</v>
      </c>
      <c r="G685" s="9" t="s">
        <v>65</v>
      </c>
      <c r="H685" s="9" t="s">
        <v>66</v>
      </c>
      <c r="I685" s="9">
        <v>11</v>
      </c>
      <c r="J685" s="9" t="s">
        <v>296</v>
      </c>
      <c r="K685" s="9" t="s">
        <v>296</v>
      </c>
      <c r="L685" s="9" t="s">
        <v>296</v>
      </c>
      <c r="M685" s="9" t="s">
        <v>297</v>
      </c>
      <c r="N685" s="9" t="s">
        <v>447</v>
      </c>
      <c r="O685" s="9" t="s">
        <v>97</v>
      </c>
      <c r="P685" s="9" t="s">
        <v>67</v>
      </c>
      <c r="Q685" s="9" t="s">
        <v>98</v>
      </c>
      <c r="R685" s="9" t="s">
        <v>780</v>
      </c>
      <c r="S685" s="9" t="s">
        <v>297</v>
      </c>
      <c r="T685" s="9" t="s">
        <v>781</v>
      </c>
      <c r="U685" s="9" t="s">
        <v>67</v>
      </c>
      <c r="V685" s="9" t="s">
        <v>194</v>
      </c>
      <c r="W685" s="9" t="s">
        <v>195</v>
      </c>
      <c r="X685" s="11">
        <v>50</v>
      </c>
      <c r="Y685" s="9" t="s">
        <v>105</v>
      </c>
      <c r="Z685" s="9" t="s">
        <v>68</v>
      </c>
      <c r="AA685" s="9" t="s">
        <v>106</v>
      </c>
      <c r="AB685" s="9" t="s">
        <v>67</v>
      </c>
      <c r="AC685" s="9" t="s">
        <v>107</v>
      </c>
      <c r="AD685" s="11">
        <v>2</v>
      </c>
      <c r="AE685" s="9" t="s">
        <v>70</v>
      </c>
      <c r="AF685" s="9" t="s">
        <v>71</v>
      </c>
      <c r="AG685" s="13">
        <v>1</v>
      </c>
      <c r="AH685" s="9" t="s">
        <v>92</v>
      </c>
      <c r="AI685" s="13">
        <v>1796000</v>
      </c>
      <c r="AJ685" s="13">
        <v>3592000</v>
      </c>
      <c r="AK685" s="11">
        <v>0</v>
      </c>
      <c r="AL685" s="11">
        <v>0</v>
      </c>
      <c r="AM685" s="11">
        <v>0</v>
      </c>
      <c r="AN685" s="9" t="s">
        <v>67</v>
      </c>
      <c r="AO685" s="11">
        <v>3592000</v>
      </c>
      <c r="AP685" s="13">
        <v>287360</v>
      </c>
      <c r="AQ685" s="13">
        <v>3879360</v>
      </c>
      <c r="AR685" s="11">
        <v>40</v>
      </c>
      <c r="AS685" s="9" t="s">
        <v>72</v>
      </c>
      <c r="AT685" s="12">
        <v>42.56</v>
      </c>
      <c r="AU685" s="9" t="s">
        <v>73</v>
      </c>
      <c r="AV685" s="9" t="s">
        <v>67</v>
      </c>
      <c r="AW685" s="9" t="s">
        <v>1722</v>
      </c>
      <c r="AX685" s="10">
        <v>45999</v>
      </c>
      <c r="AY685" s="9" t="s">
        <v>1723</v>
      </c>
      <c r="AZ685" s="9" t="s">
        <v>67</v>
      </c>
      <c r="BA685" s="9" t="s">
        <v>67</v>
      </c>
      <c r="BB685" s="12">
        <v>40</v>
      </c>
      <c r="BC685" s="9" t="s">
        <v>74</v>
      </c>
      <c r="BD685" s="9" t="s">
        <v>104</v>
      </c>
      <c r="BE685" s="9" t="s">
        <v>75</v>
      </c>
      <c r="BF685" s="11">
        <v>0</v>
      </c>
      <c r="BG685">
        <f t="shared" si="22"/>
        <v>12</v>
      </c>
      <c r="BH685" t="str">
        <f>VLOOKUP(BG685,[1]month!$A:$B,2,0)</f>
        <v>Desember</v>
      </c>
      <c r="BI685">
        <f t="shared" si="23"/>
        <v>2025</v>
      </c>
      <c r="BJ685" t="str">
        <f>VLOOKUP(I685,[1]Dist!$A:$B,2,0)</f>
        <v>Industry</v>
      </c>
      <c r="BK685" t="str">
        <f>IF(I685=11,VLOOKUP(Y685,[2]Sheet1!$C:$N,10,0),IF(I685=13,VLOOKUP(Y685,[3]Sheet1!$C:$N,10,0),IF(I685=15,VLOOKUP(Y685,[4]Sheet1!$C:$N,10,0),"Unknown")))</f>
        <v>PU</v>
      </c>
      <c r="BL685" t="str">
        <f>IF(I685=11,VLOOKUP(Y685,[2]Sheet1!$C:$N,12,0),IF(I685=13,VLOOKUP(Y685,[3]Sheet1!$C:$N,12,0),IF(I685=15,VLOOKUP(Y685,[4]Sheet1!$C:$N,12,0),"Unknown")))</f>
        <v>PU HARDENER</v>
      </c>
      <c r="BM685" t="str">
        <f>VLOOKUP(W685,[1]branch!$A:$B,2,0)</f>
        <v>INDUSTRY</v>
      </c>
    </row>
    <row r="686" spans="1:65" x14ac:dyDescent="0.35">
      <c r="A686" s="10">
        <v>46000</v>
      </c>
      <c r="B686" s="9" t="s">
        <v>1721</v>
      </c>
      <c r="C686" s="9" t="s">
        <v>64</v>
      </c>
      <c r="D686" s="9" t="s">
        <v>92</v>
      </c>
      <c r="E686" s="11">
        <v>7</v>
      </c>
      <c r="F686" s="9" t="s">
        <v>93</v>
      </c>
      <c r="G686" s="9" t="s">
        <v>65</v>
      </c>
      <c r="H686" s="9" t="s">
        <v>66</v>
      </c>
      <c r="I686" s="9">
        <v>11</v>
      </c>
      <c r="J686" s="9" t="s">
        <v>296</v>
      </c>
      <c r="K686" s="9" t="s">
        <v>296</v>
      </c>
      <c r="L686" s="9" t="s">
        <v>296</v>
      </c>
      <c r="M686" s="9" t="s">
        <v>297</v>
      </c>
      <c r="N686" s="9" t="s">
        <v>447</v>
      </c>
      <c r="O686" s="9" t="s">
        <v>97</v>
      </c>
      <c r="P686" s="9" t="s">
        <v>67</v>
      </c>
      <c r="Q686" s="9" t="s">
        <v>98</v>
      </c>
      <c r="R686" s="9" t="s">
        <v>780</v>
      </c>
      <c r="S686" s="9" t="s">
        <v>297</v>
      </c>
      <c r="T686" s="9" t="s">
        <v>781</v>
      </c>
      <c r="U686" s="9" t="s">
        <v>67</v>
      </c>
      <c r="V686" s="9" t="s">
        <v>194</v>
      </c>
      <c r="W686" s="9" t="s">
        <v>195</v>
      </c>
      <c r="X686" s="11">
        <v>60</v>
      </c>
      <c r="Y686" s="9" t="s">
        <v>404</v>
      </c>
      <c r="Z686" s="9" t="s">
        <v>68</v>
      </c>
      <c r="AA686" s="9" t="s">
        <v>405</v>
      </c>
      <c r="AB686" s="9" t="s">
        <v>67</v>
      </c>
      <c r="AC686" s="9" t="s">
        <v>406</v>
      </c>
      <c r="AD686" s="11">
        <v>1</v>
      </c>
      <c r="AE686" s="9" t="s">
        <v>70</v>
      </c>
      <c r="AF686" s="9" t="s">
        <v>71</v>
      </c>
      <c r="AG686" s="13">
        <v>1</v>
      </c>
      <c r="AH686" s="9" t="s">
        <v>92</v>
      </c>
      <c r="AI686" s="13">
        <v>1704000</v>
      </c>
      <c r="AJ686" s="13">
        <v>1704000</v>
      </c>
      <c r="AK686" s="11">
        <v>0</v>
      </c>
      <c r="AL686" s="11">
        <v>0</v>
      </c>
      <c r="AM686" s="11">
        <v>0</v>
      </c>
      <c r="AN686" s="9" t="s">
        <v>67</v>
      </c>
      <c r="AO686" s="11">
        <v>1704000</v>
      </c>
      <c r="AP686" s="13">
        <v>136320</v>
      </c>
      <c r="AQ686" s="13">
        <v>1840320</v>
      </c>
      <c r="AR686" s="11">
        <v>20</v>
      </c>
      <c r="AS686" s="9" t="s">
        <v>72</v>
      </c>
      <c r="AT686" s="12">
        <v>12.9</v>
      </c>
      <c r="AU686" s="9" t="s">
        <v>73</v>
      </c>
      <c r="AV686" s="9" t="s">
        <v>67</v>
      </c>
      <c r="AW686" s="9" t="s">
        <v>1722</v>
      </c>
      <c r="AX686" s="10">
        <v>45999</v>
      </c>
      <c r="AY686" s="9" t="s">
        <v>1723</v>
      </c>
      <c r="AZ686" s="9" t="s">
        <v>67</v>
      </c>
      <c r="BA686" s="9" t="s">
        <v>67</v>
      </c>
      <c r="BB686" s="12">
        <v>20</v>
      </c>
      <c r="BC686" s="9" t="s">
        <v>74</v>
      </c>
      <c r="BD686" s="9" t="s">
        <v>104</v>
      </c>
      <c r="BE686" s="9" t="s">
        <v>75</v>
      </c>
      <c r="BF686" s="11">
        <v>0</v>
      </c>
      <c r="BG686">
        <f t="shared" si="22"/>
        <v>12</v>
      </c>
      <c r="BH686" t="str">
        <f>VLOOKUP(BG686,[1]month!$A:$B,2,0)</f>
        <v>Desember</v>
      </c>
      <c r="BI686">
        <f t="shared" si="23"/>
        <v>2025</v>
      </c>
      <c r="BJ686" t="str">
        <f>VLOOKUP(I686,[1]Dist!$A:$B,2,0)</f>
        <v>Industry</v>
      </c>
      <c r="BK686" t="str">
        <f>IF(I686=11,VLOOKUP(Y686,[2]Sheet1!$C:$N,10,0),IF(I686=13,VLOOKUP(Y686,[3]Sheet1!$C:$N,10,0),IF(I686=15,VLOOKUP(Y686,[4]Sheet1!$C:$N,10,0),"Unknown")))</f>
        <v>STAIN &amp; GLAZE INTERIOR</v>
      </c>
      <c r="BL686" t="str">
        <f>IF(I686=11,VLOOKUP(Y686,[2]Sheet1!$C:$N,12,0),IF(I686=13,VLOOKUP(Y686,[3]Sheet1!$C:$N,12,0),IF(I686=15,VLOOKUP(Y686,[4]Sheet1!$C:$N,12,0),"Unknown")))</f>
        <v>ASOF : STAIN &amp; GLAZE</v>
      </c>
      <c r="BM686" t="str">
        <f>VLOOKUP(W686,[1]branch!$A:$B,2,0)</f>
        <v>INDUSTRY</v>
      </c>
    </row>
    <row r="687" spans="1:65" x14ac:dyDescent="0.35">
      <c r="A687" s="10">
        <v>46000</v>
      </c>
      <c r="B687" s="9" t="s">
        <v>1721</v>
      </c>
      <c r="C687" s="9" t="s">
        <v>64</v>
      </c>
      <c r="D687" s="9" t="s">
        <v>92</v>
      </c>
      <c r="E687" s="11">
        <v>7</v>
      </c>
      <c r="F687" s="9" t="s">
        <v>93</v>
      </c>
      <c r="G687" s="9" t="s">
        <v>65</v>
      </c>
      <c r="H687" s="9" t="s">
        <v>66</v>
      </c>
      <c r="I687" s="9">
        <v>11</v>
      </c>
      <c r="J687" s="9" t="s">
        <v>296</v>
      </c>
      <c r="K687" s="9" t="s">
        <v>296</v>
      </c>
      <c r="L687" s="9" t="s">
        <v>296</v>
      </c>
      <c r="M687" s="9" t="s">
        <v>297</v>
      </c>
      <c r="N687" s="9" t="s">
        <v>447</v>
      </c>
      <c r="O687" s="9" t="s">
        <v>97</v>
      </c>
      <c r="P687" s="9" t="s">
        <v>67</v>
      </c>
      <c r="Q687" s="9" t="s">
        <v>98</v>
      </c>
      <c r="R687" s="9" t="s">
        <v>780</v>
      </c>
      <c r="S687" s="9" t="s">
        <v>297</v>
      </c>
      <c r="T687" s="9" t="s">
        <v>781</v>
      </c>
      <c r="U687" s="9" t="s">
        <v>67</v>
      </c>
      <c r="V687" s="9" t="s">
        <v>194</v>
      </c>
      <c r="W687" s="9" t="s">
        <v>195</v>
      </c>
      <c r="X687" s="11">
        <v>70</v>
      </c>
      <c r="Y687" s="9" t="s">
        <v>1724</v>
      </c>
      <c r="Z687" s="9" t="s">
        <v>68</v>
      </c>
      <c r="AA687" s="9" t="s">
        <v>1725</v>
      </c>
      <c r="AB687" s="9" t="s">
        <v>67</v>
      </c>
      <c r="AC687" s="9" t="s">
        <v>91</v>
      </c>
      <c r="AD687" s="11">
        <v>1</v>
      </c>
      <c r="AE687" s="9" t="s">
        <v>70</v>
      </c>
      <c r="AF687" s="9" t="s">
        <v>71</v>
      </c>
      <c r="AG687" s="13">
        <v>1</v>
      </c>
      <c r="AH687" s="9" t="s">
        <v>92</v>
      </c>
      <c r="AI687" s="13">
        <v>1137200</v>
      </c>
      <c r="AJ687" s="13">
        <v>1137200</v>
      </c>
      <c r="AK687" s="11">
        <v>0</v>
      </c>
      <c r="AL687" s="11">
        <v>0</v>
      </c>
      <c r="AM687" s="11">
        <v>0</v>
      </c>
      <c r="AN687" s="9" t="s">
        <v>67</v>
      </c>
      <c r="AO687" s="11">
        <v>1137200</v>
      </c>
      <c r="AP687" s="13">
        <v>90976</v>
      </c>
      <c r="AQ687" s="13">
        <v>1228176</v>
      </c>
      <c r="AR687" s="11">
        <v>4</v>
      </c>
      <c r="AS687" s="9" t="s">
        <v>72</v>
      </c>
      <c r="AT687" s="12">
        <v>3.85</v>
      </c>
      <c r="AU687" s="9" t="s">
        <v>73</v>
      </c>
      <c r="AV687" s="9" t="s">
        <v>67</v>
      </c>
      <c r="AW687" s="9" t="s">
        <v>1722</v>
      </c>
      <c r="AX687" s="10">
        <v>45999</v>
      </c>
      <c r="AY687" s="9" t="s">
        <v>1723</v>
      </c>
      <c r="AZ687" s="9" t="s">
        <v>67</v>
      </c>
      <c r="BA687" s="9" t="s">
        <v>67</v>
      </c>
      <c r="BB687" s="12">
        <v>4</v>
      </c>
      <c r="BC687" s="9" t="s">
        <v>74</v>
      </c>
      <c r="BD687" s="9" t="s">
        <v>104</v>
      </c>
      <c r="BE687" s="9" t="s">
        <v>75</v>
      </c>
      <c r="BF687" s="11">
        <v>0</v>
      </c>
      <c r="BG687">
        <f t="shared" si="22"/>
        <v>12</v>
      </c>
      <c r="BH687" t="str">
        <f>VLOOKUP(BG687,[1]month!$A:$B,2,0)</f>
        <v>Desember</v>
      </c>
      <c r="BI687">
        <f t="shared" si="23"/>
        <v>2025</v>
      </c>
      <c r="BJ687" t="str">
        <f>VLOOKUP(I687,[1]Dist!$A:$B,2,0)</f>
        <v>Industry</v>
      </c>
      <c r="BK687" t="str">
        <f>IF(I687=11,VLOOKUP(Y687,[2]Sheet1!$C:$N,10,0),IF(I687=13,VLOOKUP(Y687,[3]Sheet1!$C:$N,10,0),IF(I687=15,VLOOKUP(Y687,[4]Sheet1!$C:$N,10,0),"Unknown")))</f>
        <v>COMPLEMENTARY</v>
      </c>
      <c r="BL687" t="str">
        <f>IF(I687=11,VLOOKUP(Y687,[2]Sheet1!$C:$N,12,0),IF(I687=13,VLOOKUP(Y687,[3]Sheet1!$C:$N,12,0),IF(I687=15,VLOOKUP(Y687,[4]Sheet1!$C:$N,12,0),"Unknown")))</f>
        <v>PASTA</v>
      </c>
      <c r="BM687" t="str">
        <f>VLOOKUP(W687,[1]branch!$A:$B,2,0)</f>
        <v>INDUSTRY</v>
      </c>
    </row>
    <row r="688" spans="1:65" x14ac:dyDescent="0.35">
      <c r="A688" s="10">
        <v>46000</v>
      </c>
      <c r="B688" s="9" t="s">
        <v>1726</v>
      </c>
      <c r="C688" s="9" t="s">
        <v>64</v>
      </c>
      <c r="D688" s="9" t="s">
        <v>92</v>
      </c>
      <c r="E688" s="11">
        <v>60</v>
      </c>
      <c r="F688" s="9" t="s">
        <v>93</v>
      </c>
      <c r="G688" s="9" t="s">
        <v>65</v>
      </c>
      <c r="H688" s="9" t="s">
        <v>66</v>
      </c>
      <c r="I688" s="9">
        <v>13</v>
      </c>
      <c r="J688" s="9" t="s">
        <v>261</v>
      </c>
      <c r="K688" s="9" t="s">
        <v>261</v>
      </c>
      <c r="L688" s="9" t="s">
        <v>261</v>
      </c>
      <c r="M688" s="9" t="s">
        <v>262</v>
      </c>
      <c r="N688" s="9" t="s">
        <v>878</v>
      </c>
      <c r="O688" s="9" t="s">
        <v>150</v>
      </c>
      <c r="P688" s="9" t="s">
        <v>67</v>
      </c>
      <c r="Q688" s="9" t="s">
        <v>98</v>
      </c>
      <c r="R688" s="9" t="s">
        <v>261</v>
      </c>
      <c r="S688" s="9" t="s">
        <v>262</v>
      </c>
      <c r="T688" s="9" t="s">
        <v>802</v>
      </c>
      <c r="U688" s="9" t="s">
        <v>67</v>
      </c>
      <c r="V688" s="9" t="s">
        <v>311</v>
      </c>
      <c r="W688" s="9" t="s">
        <v>312</v>
      </c>
      <c r="X688" s="11">
        <v>10</v>
      </c>
      <c r="Y688" s="9" t="s">
        <v>468</v>
      </c>
      <c r="Z688" s="9" t="s">
        <v>68</v>
      </c>
      <c r="AA688" s="9" t="s">
        <v>469</v>
      </c>
      <c r="AB688" s="9" t="s">
        <v>67</v>
      </c>
      <c r="AC688" s="9" t="s">
        <v>346</v>
      </c>
      <c r="AD688" s="11">
        <v>10</v>
      </c>
      <c r="AE688" s="9" t="s">
        <v>70</v>
      </c>
      <c r="AF688" s="9" t="s">
        <v>71</v>
      </c>
      <c r="AG688" s="13">
        <v>1</v>
      </c>
      <c r="AH688" s="9" t="s">
        <v>92</v>
      </c>
      <c r="AI688" s="13">
        <v>810909</v>
      </c>
      <c r="AJ688" s="13">
        <v>8109090</v>
      </c>
      <c r="AK688" s="11">
        <v>1216364</v>
      </c>
      <c r="AL688" s="11">
        <v>0</v>
      </c>
      <c r="AM688" s="11">
        <v>0</v>
      </c>
      <c r="AN688" s="9" t="s">
        <v>331</v>
      </c>
      <c r="AO688" s="11">
        <v>6892726</v>
      </c>
      <c r="AP688" s="13">
        <v>551418</v>
      </c>
      <c r="AQ688" s="13">
        <v>7444144</v>
      </c>
      <c r="AR688" s="12">
        <v>34.799999999999997</v>
      </c>
      <c r="AS688" s="9" t="s">
        <v>72</v>
      </c>
      <c r="AT688" s="11">
        <v>40</v>
      </c>
      <c r="AU688" s="9" t="s">
        <v>73</v>
      </c>
      <c r="AV688" s="9" t="s">
        <v>67</v>
      </c>
      <c r="AW688" s="9" t="s">
        <v>1727</v>
      </c>
      <c r="AX688" s="10">
        <v>45999</v>
      </c>
      <c r="AY688" s="9" t="s">
        <v>1728</v>
      </c>
      <c r="AZ688" s="9" t="s">
        <v>67</v>
      </c>
      <c r="BA688" s="9" t="s">
        <v>67</v>
      </c>
      <c r="BB688" s="12">
        <v>40</v>
      </c>
      <c r="BC688" s="9" t="s">
        <v>74</v>
      </c>
      <c r="BD688" s="9" t="s">
        <v>104</v>
      </c>
      <c r="BE688" s="9" t="s">
        <v>75</v>
      </c>
      <c r="BF688" s="11">
        <v>0</v>
      </c>
      <c r="BG688">
        <f t="shared" si="22"/>
        <v>12</v>
      </c>
      <c r="BH688" t="str">
        <f>VLOOKUP(BG688,[1]month!$A:$B,2,0)</f>
        <v>Desember</v>
      </c>
      <c r="BI688">
        <f t="shared" si="23"/>
        <v>2025</v>
      </c>
      <c r="BJ688" t="str">
        <f>VLOOKUP(I688,[1]Dist!$A:$B,2,0)</f>
        <v>Retail</v>
      </c>
      <c r="BK688" t="str">
        <f>IF(I688=11,VLOOKUP(Y688,[2]Sheet1!$C:$N,10,0),IF(I688=13,VLOOKUP(Y688,[3]Sheet1!$C:$N,10,0),IF(I688=15,VLOOKUP(Y688,[4]Sheet1!$C:$N,10,0),"Unknown")))</f>
        <v>ULTRAN</v>
      </c>
      <c r="BL688" t="str">
        <f>IF(I688=11,VLOOKUP(Y688,[2]Sheet1!$C:$N,12,0),IF(I688=13,VLOOKUP(Y688,[3]Sheet1!$C:$N,12,0),IF(I688=15,VLOOKUP(Y688,[4]Sheet1!$C:$N,12,0),"Unknown")))</f>
        <v>ULTRAN LASUR</v>
      </c>
      <c r="BM688" t="str">
        <f>VLOOKUP(W688,[1]branch!$A:$B,2,0)</f>
        <v>DANANG</v>
      </c>
    </row>
    <row r="689" spans="1:65" x14ac:dyDescent="0.35">
      <c r="A689" s="10">
        <v>46000</v>
      </c>
      <c r="B689" s="9" t="s">
        <v>1729</v>
      </c>
      <c r="C689" s="9" t="s">
        <v>64</v>
      </c>
      <c r="D689" s="9" t="s">
        <v>92</v>
      </c>
      <c r="E689" s="11">
        <v>60</v>
      </c>
      <c r="F689" s="9" t="s">
        <v>93</v>
      </c>
      <c r="G689" s="9" t="s">
        <v>65</v>
      </c>
      <c r="H689" s="9" t="s">
        <v>66</v>
      </c>
      <c r="I689" s="9">
        <v>13</v>
      </c>
      <c r="J689" s="9" t="s">
        <v>264</v>
      </c>
      <c r="K689" s="9" t="s">
        <v>264</v>
      </c>
      <c r="L689" s="9" t="s">
        <v>264</v>
      </c>
      <c r="M689" s="9" t="s">
        <v>265</v>
      </c>
      <c r="N689" s="9" t="s">
        <v>881</v>
      </c>
      <c r="O689" s="9" t="s">
        <v>150</v>
      </c>
      <c r="P689" s="9" t="s">
        <v>67</v>
      </c>
      <c r="Q689" s="9" t="s">
        <v>98</v>
      </c>
      <c r="R689" s="9" t="s">
        <v>264</v>
      </c>
      <c r="S689" s="9" t="s">
        <v>265</v>
      </c>
      <c r="T689" s="9" t="s">
        <v>799</v>
      </c>
      <c r="U689" s="9" t="s">
        <v>67</v>
      </c>
      <c r="V689" s="9" t="s">
        <v>266</v>
      </c>
      <c r="W689" s="9" t="s">
        <v>267</v>
      </c>
      <c r="X689" s="11">
        <v>10</v>
      </c>
      <c r="Y689" s="9" t="s">
        <v>1730</v>
      </c>
      <c r="Z689" s="9" t="s">
        <v>76</v>
      </c>
      <c r="AA689" s="9" t="s">
        <v>1731</v>
      </c>
      <c r="AB689" s="9" t="s">
        <v>67</v>
      </c>
      <c r="AC689" s="9" t="s">
        <v>1732</v>
      </c>
      <c r="AD689" s="11">
        <v>8</v>
      </c>
      <c r="AE689" s="9" t="s">
        <v>70</v>
      </c>
      <c r="AF689" s="9" t="s">
        <v>71</v>
      </c>
      <c r="AG689" s="13">
        <v>1</v>
      </c>
      <c r="AH689" s="9" t="s">
        <v>92</v>
      </c>
      <c r="AI689" s="13">
        <v>136364</v>
      </c>
      <c r="AJ689" s="13">
        <v>1090912</v>
      </c>
      <c r="AK689" s="11">
        <v>228546</v>
      </c>
      <c r="AL689" s="11">
        <v>0</v>
      </c>
      <c r="AM689" s="11">
        <v>0</v>
      </c>
      <c r="AN689" s="9" t="s">
        <v>693</v>
      </c>
      <c r="AO689" s="11">
        <v>862366</v>
      </c>
      <c r="AP689" s="13">
        <v>68989</v>
      </c>
      <c r="AQ689" s="13">
        <v>931355</v>
      </c>
      <c r="AR689" s="12">
        <v>7.992</v>
      </c>
      <c r="AS689" s="9" t="s">
        <v>72</v>
      </c>
      <c r="AT689" s="12">
        <v>7.2</v>
      </c>
      <c r="AU689" s="9" t="s">
        <v>73</v>
      </c>
      <c r="AV689" s="9" t="s">
        <v>67</v>
      </c>
      <c r="AW689" s="9" t="s">
        <v>1276</v>
      </c>
      <c r="AX689" s="10">
        <v>45992</v>
      </c>
      <c r="AY689" s="9" t="s">
        <v>1733</v>
      </c>
      <c r="AZ689" s="9" t="s">
        <v>67</v>
      </c>
      <c r="BA689" s="9" t="s">
        <v>67</v>
      </c>
      <c r="BB689" s="12">
        <v>7.2</v>
      </c>
      <c r="BC689" s="9" t="s">
        <v>74</v>
      </c>
      <c r="BD689" s="9" t="s">
        <v>104</v>
      </c>
      <c r="BE689" s="9" t="s">
        <v>75</v>
      </c>
      <c r="BF689" s="11">
        <v>0</v>
      </c>
      <c r="BG689">
        <f t="shared" si="22"/>
        <v>12</v>
      </c>
      <c r="BH689" t="str">
        <f>VLOOKUP(BG689,[1]month!$A:$B,2,0)</f>
        <v>Desember</v>
      </c>
      <c r="BI689">
        <f t="shared" si="23"/>
        <v>2025</v>
      </c>
      <c r="BJ689" t="str">
        <f>VLOOKUP(I689,[1]Dist!$A:$B,2,0)</f>
        <v>Retail</v>
      </c>
      <c r="BK689" t="str">
        <f>IF(I689=11,VLOOKUP(Y689,[2]Sheet1!$C:$N,10,0),IF(I689=13,VLOOKUP(Y689,[3]Sheet1!$C:$N,10,0),IF(I689=15,VLOOKUP(Y689,[4]Sheet1!$C:$N,10,0),"Unknown")))</f>
        <v>GO FAST</v>
      </c>
      <c r="BL689" t="str">
        <f>IF(I689=11,VLOOKUP(Y689,[2]Sheet1!$C:$N,12,0),IF(I689=13,VLOOKUP(Y689,[3]Sheet1!$C:$N,12,0),IF(I689=15,VLOOKUP(Y689,[4]Sheet1!$C:$N,12,0),"Unknown")))</f>
        <v>GO FAST RMX</v>
      </c>
      <c r="BM689" t="str">
        <f>VLOOKUP(W689,[1]branch!$A:$B,2,0)</f>
        <v>HO CHI MINH</v>
      </c>
    </row>
    <row r="690" spans="1:65" x14ac:dyDescent="0.35">
      <c r="A690" s="10">
        <v>46000</v>
      </c>
      <c r="B690" s="9" t="s">
        <v>1734</v>
      </c>
      <c r="C690" s="9" t="s">
        <v>64</v>
      </c>
      <c r="D690" s="9" t="s">
        <v>92</v>
      </c>
      <c r="E690" s="11">
        <v>45</v>
      </c>
      <c r="F690" s="9" t="s">
        <v>93</v>
      </c>
      <c r="G690" s="9" t="s">
        <v>65</v>
      </c>
      <c r="H690" s="9" t="s">
        <v>66</v>
      </c>
      <c r="I690" s="9">
        <v>13</v>
      </c>
      <c r="J690" s="9" t="s">
        <v>1735</v>
      </c>
      <c r="K690" s="9" t="s">
        <v>1735</v>
      </c>
      <c r="L690" s="9" t="s">
        <v>1735</v>
      </c>
      <c r="M690" s="9" t="s">
        <v>1736</v>
      </c>
      <c r="N690" s="9" t="s">
        <v>1737</v>
      </c>
      <c r="O690" s="9" t="s">
        <v>150</v>
      </c>
      <c r="P690" s="9" t="s">
        <v>67</v>
      </c>
      <c r="Q690" s="9" t="s">
        <v>98</v>
      </c>
      <c r="R690" s="9" t="s">
        <v>1735</v>
      </c>
      <c r="S690" s="9" t="s">
        <v>1736</v>
      </c>
      <c r="T690" s="9" t="s">
        <v>1738</v>
      </c>
      <c r="U690" s="9" t="s">
        <v>67</v>
      </c>
      <c r="V690" s="9" t="s">
        <v>151</v>
      </c>
      <c r="W690" s="9" t="s">
        <v>152</v>
      </c>
      <c r="X690" s="11">
        <v>10</v>
      </c>
      <c r="Y690" s="9" t="s">
        <v>268</v>
      </c>
      <c r="Z690" s="9" t="s">
        <v>68</v>
      </c>
      <c r="AA690" s="9" t="s">
        <v>269</v>
      </c>
      <c r="AB690" s="9" t="s">
        <v>67</v>
      </c>
      <c r="AC690" s="9" t="s">
        <v>270</v>
      </c>
      <c r="AD690" s="11">
        <v>48</v>
      </c>
      <c r="AE690" s="9" t="s">
        <v>70</v>
      </c>
      <c r="AF690" s="9" t="s">
        <v>71</v>
      </c>
      <c r="AG690" s="13">
        <v>1</v>
      </c>
      <c r="AH690" s="9" t="s">
        <v>92</v>
      </c>
      <c r="AI690" s="13">
        <v>77273</v>
      </c>
      <c r="AJ690" s="13">
        <v>3709104</v>
      </c>
      <c r="AK690" s="11">
        <v>556366</v>
      </c>
      <c r="AL690" s="11">
        <v>0</v>
      </c>
      <c r="AM690" s="11">
        <v>0</v>
      </c>
      <c r="AN690" s="9" t="s">
        <v>331</v>
      </c>
      <c r="AO690" s="11">
        <v>3152738</v>
      </c>
      <c r="AP690" s="13">
        <v>252218</v>
      </c>
      <c r="AQ690" s="13">
        <v>3404956</v>
      </c>
      <c r="AR690" s="12">
        <v>31.872</v>
      </c>
      <c r="AS690" s="9" t="s">
        <v>72</v>
      </c>
      <c r="AT690" s="12">
        <v>38.4</v>
      </c>
      <c r="AU690" s="9" t="s">
        <v>73</v>
      </c>
      <c r="AV690" s="9" t="s">
        <v>67</v>
      </c>
      <c r="AW690" s="9" t="s">
        <v>1739</v>
      </c>
      <c r="AX690" s="10">
        <v>45996</v>
      </c>
      <c r="AY690" s="9" t="s">
        <v>1740</v>
      </c>
      <c r="AZ690" s="9" t="s">
        <v>67</v>
      </c>
      <c r="BA690" s="9" t="s">
        <v>67</v>
      </c>
      <c r="BB690" s="12">
        <v>38.4</v>
      </c>
      <c r="BC690" s="9" t="s">
        <v>74</v>
      </c>
      <c r="BD690" s="9" t="s">
        <v>104</v>
      </c>
      <c r="BE690" s="9" t="s">
        <v>75</v>
      </c>
      <c r="BF690" s="11">
        <v>0</v>
      </c>
      <c r="BG690">
        <f t="shared" si="22"/>
        <v>12</v>
      </c>
      <c r="BH690" t="str">
        <f>VLOOKUP(BG690,[1]month!$A:$B,2,0)</f>
        <v>Desember</v>
      </c>
      <c r="BI690">
        <f t="shared" si="23"/>
        <v>2025</v>
      </c>
      <c r="BJ690" t="str">
        <f>VLOOKUP(I690,[1]Dist!$A:$B,2,0)</f>
        <v>Retail</v>
      </c>
      <c r="BK690" t="str">
        <f>IF(I690=11,VLOOKUP(Y690,[2]Sheet1!$C:$N,10,0),IF(I690=13,VLOOKUP(Y690,[3]Sheet1!$C:$N,10,0),IF(I690=15,VLOOKUP(Y690,[4]Sheet1!$C:$N,10,0),"Unknown")))</f>
        <v>ULTRAN</v>
      </c>
      <c r="BL690" t="str">
        <f>IF(I690=11,VLOOKUP(Y690,[2]Sheet1!$C:$N,12,0),IF(I690=13,VLOOKUP(Y690,[3]Sheet1!$C:$N,12,0),IF(I690=15,VLOOKUP(Y690,[4]Sheet1!$C:$N,12,0),"Unknown")))</f>
        <v>ULTRAN VERNIS</v>
      </c>
      <c r="BM690" t="str">
        <f>VLOOKUP(W690,[1]branch!$A:$B,2,0)</f>
        <v>HO CHI MINH</v>
      </c>
    </row>
    <row r="691" spans="1:65" x14ac:dyDescent="0.35">
      <c r="A691" s="10">
        <v>46000</v>
      </c>
      <c r="B691" s="9" t="s">
        <v>1734</v>
      </c>
      <c r="C691" s="9" t="s">
        <v>64</v>
      </c>
      <c r="D691" s="9" t="s">
        <v>92</v>
      </c>
      <c r="E691" s="11">
        <v>45</v>
      </c>
      <c r="F691" s="9" t="s">
        <v>93</v>
      </c>
      <c r="G691" s="9" t="s">
        <v>65</v>
      </c>
      <c r="H691" s="9" t="s">
        <v>66</v>
      </c>
      <c r="I691" s="9">
        <v>13</v>
      </c>
      <c r="J691" s="9" t="s">
        <v>1735</v>
      </c>
      <c r="K691" s="9" t="s">
        <v>1735</v>
      </c>
      <c r="L691" s="9" t="s">
        <v>1735</v>
      </c>
      <c r="M691" s="9" t="s">
        <v>1736</v>
      </c>
      <c r="N691" s="9" t="s">
        <v>1737</v>
      </c>
      <c r="O691" s="9" t="s">
        <v>150</v>
      </c>
      <c r="P691" s="9" t="s">
        <v>67</v>
      </c>
      <c r="Q691" s="9" t="s">
        <v>98</v>
      </c>
      <c r="R691" s="9" t="s">
        <v>1735</v>
      </c>
      <c r="S691" s="9" t="s">
        <v>1736</v>
      </c>
      <c r="T691" s="9" t="s">
        <v>1738</v>
      </c>
      <c r="U691" s="9" t="s">
        <v>67</v>
      </c>
      <c r="V691" s="9" t="s">
        <v>151</v>
      </c>
      <c r="W691" s="9" t="s">
        <v>152</v>
      </c>
      <c r="X691" s="11">
        <v>20</v>
      </c>
      <c r="Y691" s="9" t="s">
        <v>1741</v>
      </c>
      <c r="Z691" s="9" t="s">
        <v>68</v>
      </c>
      <c r="AA691" s="9" t="s">
        <v>1742</v>
      </c>
      <c r="AB691" s="9" t="s">
        <v>67</v>
      </c>
      <c r="AC691" s="9" t="s">
        <v>158</v>
      </c>
      <c r="AD691" s="11">
        <v>24</v>
      </c>
      <c r="AE691" s="9" t="s">
        <v>156</v>
      </c>
      <c r="AF691" s="9" t="s">
        <v>71</v>
      </c>
      <c r="AG691" s="13">
        <v>1</v>
      </c>
      <c r="AH691" s="9" t="s">
        <v>92</v>
      </c>
      <c r="AI691" s="13">
        <v>141819</v>
      </c>
      <c r="AJ691" s="13">
        <v>3403656</v>
      </c>
      <c r="AK691" s="11">
        <v>510548</v>
      </c>
      <c r="AL691" s="11">
        <v>0</v>
      </c>
      <c r="AM691" s="11">
        <v>0</v>
      </c>
      <c r="AN691" s="9" t="s">
        <v>331</v>
      </c>
      <c r="AO691" s="11">
        <v>2893108</v>
      </c>
      <c r="AP691" s="13">
        <v>231449</v>
      </c>
      <c r="AQ691" s="13">
        <v>3124557</v>
      </c>
      <c r="AR691" s="11">
        <v>24</v>
      </c>
      <c r="AS691" s="9" t="s">
        <v>72</v>
      </c>
      <c r="AT691" s="12">
        <v>14.4</v>
      </c>
      <c r="AU691" s="9" t="s">
        <v>73</v>
      </c>
      <c r="AV691" s="9" t="s">
        <v>67</v>
      </c>
      <c r="AW691" s="9" t="s">
        <v>1739</v>
      </c>
      <c r="AX691" s="10">
        <v>45996</v>
      </c>
      <c r="AY691" s="9" t="s">
        <v>1740</v>
      </c>
      <c r="AZ691" s="9" t="s">
        <v>67</v>
      </c>
      <c r="BA691" s="9" t="s">
        <v>67</v>
      </c>
      <c r="BB691" s="12">
        <v>24</v>
      </c>
      <c r="BC691" s="9" t="s">
        <v>74</v>
      </c>
      <c r="BD691" s="9" t="s">
        <v>104</v>
      </c>
      <c r="BE691" s="9" t="s">
        <v>75</v>
      </c>
      <c r="BF691" s="11">
        <v>0</v>
      </c>
      <c r="BG691">
        <f t="shared" si="22"/>
        <v>12</v>
      </c>
      <c r="BH691" t="str">
        <f>VLOOKUP(BG691,[1]month!$A:$B,2,0)</f>
        <v>Desember</v>
      </c>
      <c r="BI691">
        <f t="shared" si="23"/>
        <v>2025</v>
      </c>
      <c r="BJ691" t="str">
        <f>VLOOKUP(I691,[1]Dist!$A:$B,2,0)</f>
        <v>Retail</v>
      </c>
      <c r="BK691" t="str">
        <f>IF(I691=11,VLOOKUP(Y691,[2]Sheet1!$C:$N,10,0),IF(I691=13,VLOOKUP(Y691,[3]Sheet1!$C:$N,10,0),IF(I691=15,VLOOKUP(Y691,[4]Sheet1!$C:$N,10,0),"Unknown")))</f>
        <v>METALKOTE</v>
      </c>
      <c r="BL691" t="str">
        <f>IF(I691=11,VLOOKUP(Y691,[2]Sheet1!$C:$N,12,0),IF(I691=13,VLOOKUP(Y691,[3]Sheet1!$C:$N,12,0),IF(I691=15,VLOOKUP(Y691,[4]Sheet1!$C:$N,12,0),"Unknown")))</f>
        <v>METALKOTE-EPOXY SYS</v>
      </c>
      <c r="BM691" t="str">
        <f>VLOOKUP(W691,[1]branch!$A:$B,2,0)</f>
        <v>HO CHI MINH</v>
      </c>
    </row>
    <row r="692" spans="1:65" x14ac:dyDescent="0.35">
      <c r="A692" s="10">
        <v>46000</v>
      </c>
      <c r="B692" s="9" t="s">
        <v>1734</v>
      </c>
      <c r="C692" s="9" t="s">
        <v>64</v>
      </c>
      <c r="D692" s="9" t="s">
        <v>92</v>
      </c>
      <c r="E692" s="11">
        <v>45</v>
      </c>
      <c r="F692" s="9" t="s">
        <v>93</v>
      </c>
      <c r="G692" s="9" t="s">
        <v>65</v>
      </c>
      <c r="H692" s="9" t="s">
        <v>66</v>
      </c>
      <c r="I692" s="9">
        <v>13</v>
      </c>
      <c r="J692" s="9" t="s">
        <v>1735</v>
      </c>
      <c r="K692" s="9" t="s">
        <v>1735</v>
      </c>
      <c r="L692" s="9" t="s">
        <v>1735</v>
      </c>
      <c r="M692" s="9" t="s">
        <v>1736</v>
      </c>
      <c r="N692" s="9" t="s">
        <v>1737</v>
      </c>
      <c r="O692" s="9" t="s">
        <v>150</v>
      </c>
      <c r="P692" s="9" t="s">
        <v>67</v>
      </c>
      <c r="Q692" s="9" t="s">
        <v>98</v>
      </c>
      <c r="R692" s="9" t="s">
        <v>1735</v>
      </c>
      <c r="S692" s="9" t="s">
        <v>1736</v>
      </c>
      <c r="T692" s="9" t="s">
        <v>1738</v>
      </c>
      <c r="U692" s="9" t="s">
        <v>67</v>
      </c>
      <c r="V692" s="9" t="s">
        <v>151</v>
      </c>
      <c r="W692" s="9" t="s">
        <v>152</v>
      </c>
      <c r="X692" s="11">
        <v>30</v>
      </c>
      <c r="Y692" s="9" t="s">
        <v>433</v>
      </c>
      <c r="Z692" s="9" t="s">
        <v>68</v>
      </c>
      <c r="AA692" s="9" t="s">
        <v>434</v>
      </c>
      <c r="AB692" s="9" t="s">
        <v>67</v>
      </c>
      <c r="AC692" s="9" t="s">
        <v>158</v>
      </c>
      <c r="AD692" s="11">
        <v>4</v>
      </c>
      <c r="AE692" s="9" t="s">
        <v>156</v>
      </c>
      <c r="AF692" s="9" t="s">
        <v>71</v>
      </c>
      <c r="AG692" s="13">
        <v>1</v>
      </c>
      <c r="AH692" s="9" t="s">
        <v>92</v>
      </c>
      <c r="AI692" s="13">
        <v>635455</v>
      </c>
      <c r="AJ692" s="13">
        <v>2541820</v>
      </c>
      <c r="AK692" s="11">
        <v>381273</v>
      </c>
      <c r="AL692" s="11">
        <v>0</v>
      </c>
      <c r="AM692" s="11">
        <v>0</v>
      </c>
      <c r="AN692" s="9" t="s">
        <v>331</v>
      </c>
      <c r="AO692" s="11">
        <v>2160547</v>
      </c>
      <c r="AP692" s="13">
        <v>172844</v>
      </c>
      <c r="AQ692" s="13">
        <v>2333391</v>
      </c>
      <c r="AR692" s="11">
        <v>20</v>
      </c>
      <c r="AS692" s="9" t="s">
        <v>72</v>
      </c>
      <c r="AT692" s="12">
        <v>11.92</v>
      </c>
      <c r="AU692" s="9" t="s">
        <v>73</v>
      </c>
      <c r="AV692" s="9" t="s">
        <v>67</v>
      </c>
      <c r="AW692" s="9" t="s">
        <v>1739</v>
      </c>
      <c r="AX692" s="10">
        <v>45996</v>
      </c>
      <c r="AY692" s="9" t="s">
        <v>1740</v>
      </c>
      <c r="AZ692" s="9" t="s">
        <v>67</v>
      </c>
      <c r="BA692" s="9" t="s">
        <v>67</v>
      </c>
      <c r="BB692" s="12">
        <v>20</v>
      </c>
      <c r="BC692" s="9" t="s">
        <v>74</v>
      </c>
      <c r="BD692" s="9" t="s">
        <v>104</v>
      </c>
      <c r="BE692" s="9" t="s">
        <v>75</v>
      </c>
      <c r="BF692" s="11">
        <v>0</v>
      </c>
      <c r="BG692">
        <f t="shared" si="22"/>
        <v>12</v>
      </c>
      <c r="BH692" t="str">
        <f>VLOOKUP(BG692,[1]month!$A:$B,2,0)</f>
        <v>Desember</v>
      </c>
      <c r="BI692">
        <f t="shared" si="23"/>
        <v>2025</v>
      </c>
      <c r="BJ692" t="str">
        <f>VLOOKUP(I692,[1]Dist!$A:$B,2,0)</f>
        <v>Retail</v>
      </c>
      <c r="BK692" t="str">
        <f>IF(I692=11,VLOOKUP(Y692,[2]Sheet1!$C:$N,10,0),IF(I692=13,VLOOKUP(Y692,[3]Sheet1!$C:$N,10,0),IF(I692=15,VLOOKUP(Y692,[4]Sheet1!$C:$N,10,0),"Unknown")))</f>
        <v>METALKOTE</v>
      </c>
      <c r="BL692" t="str">
        <f>IF(I692=11,VLOOKUP(Y692,[2]Sheet1!$C:$N,12,0),IF(I692=13,VLOOKUP(Y692,[3]Sheet1!$C:$N,12,0),IF(I692=15,VLOOKUP(Y692,[4]Sheet1!$C:$N,12,0),"Unknown")))</f>
        <v>METALKOTE-EPOXY SYS</v>
      </c>
      <c r="BM692" t="str">
        <f>VLOOKUP(W692,[1]branch!$A:$B,2,0)</f>
        <v>HO CHI MINH</v>
      </c>
    </row>
    <row r="693" spans="1:65" x14ac:dyDescent="0.35">
      <c r="A693" s="10">
        <v>46000</v>
      </c>
      <c r="B693" s="9" t="s">
        <v>1743</v>
      </c>
      <c r="C693" s="9" t="s">
        <v>64</v>
      </c>
      <c r="D693" s="9" t="s">
        <v>92</v>
      </c>
      <c r="E693" s="11">
        <v>30</v>
      </c>
      <c r="F693" s="9" t="s">
        <v>93</v>
      </c>
      <c r="G693" s="9" t="s">
        <v>65</v>
      </c>
      <c r="H693" s="9" t="s">
        <v>66</v>
      </c>
      <c r="I693" s="9">
        <v>13</v>
      </c>
      <c r="J693" s="9" t="s">
        <v>828</v>
      </c>
      <c r="K693" s="9" t="s">
        <v>828</v>
      </c>
      <c r="L693" s="9" t="s">
        <v>828</v>
      </c>
      <c r="M693" s="9" t="s">
        <v>829</v>
      </c>
      <c r="N693" s="9" t="s">
        <v>830</v>
      </c>
      <c r="O693" s="9" t="s">
        <v>150</v>
      </c>
      <c r="P693" s="9" t="s">
        <v>67</v>
      </c>
      <c r="Q693" s="9" t="s">
        <v>98</v>
      </c>
      <c r="R693" s="9" t="s">
        <v>828</v>
      </c>
      <c r="S693" s="9" t="s">
        <v>829</v>
      </c>
      <c r="T693" s="9" t="s">
        <v>831</v>
      </c>
      <c r="U693" s="9" t="s">
        <v>67</v>
      </c>
      <c r="V693" s="9" t="s">
        <v>832</v>
      </c>
      <c r="W693" s="9" t="s">
        <v>833</v>
      </c>
      <c r="X693" s="11">
        <v>10</v>
      </c>
      <c r="Y693" s="9" t="s">
        <v>485</v>
      </c>
      <c r="Z693" s="9" t="s">
        <v>76</v>
      </c>
      <c r="AA693" s="9" t="s">
        <v>486</v>
      </c>
      <c r="AB693" s="9" t="s">
        <v>67</v>
      </c>
      <c r="AC693" s="9" t="s">
        <v>487</v>
      </c>
      <c r="AD693" s="11">
        <v>10</v>
      </c>
      <c r="AE693" s="9" t="s">
        <v>70</v>
      </c>
      <c r="AF693" s="9" t="s">
        <v>71</v>
      </c>
      <c r="AG693" s="13">
        <v>1</v>
      </c>
      <c r="AH693" s="9" t="s">
        <v>92</v>
      </c>
      <c r="AI693" s="13">
        <v>1767273</v>
      </c>
      <c r="AJ693" s="13">
        <v>17672730</v>
      </c>
      <c r="AK693" s="11">
        <v>3402001</v>
      </c>
      <c r="AL693" s="11">
        <v>0</v>
      </c>
      <c r="AM693" s="11">
        <v>0</v>
      </c>
      <c r="AN693" s="9" t="s">
        <v>314</v>
      </c>
      <c r="AO693" s="11">
        <v>14270729</v>
      </c>
      <c r="AP693" s="13">
        <v>1141658</v>
      </c>
      <c r="AQ693" s="13">
        <v>15412387</v>
      </c>
      <c r="AR693" s="11">
        <v>200</v>
      </c>
      <c r="AS693" s="9" t="s">
        <v>72</v>
      </c>
      <c r="AT693" s="12">
        <v>143.9</v>
      </c>
      <c r="AU693" s="9" t="s">
        <v>73</v>
      </c>
      <c r="AV693" s="9" t="s">
        <v>67</v>
      </c>
      <c r="AW693" s="9" t="s">
        <v>1744</v>
      </c>
      <c r="AX693" s="10">
        <v>45999</v>
      </c>
      <c r="AY693" s="9" t="s">
        <v>1745</v>
      </c>
      <c r="AZ693" s="9" t="s">
        <v>67</v>
      </c>
      <c r="BA693" s="9" t="s">
        <v>67</v>
      </c>
      <c r="BB693" s="12">
        <v>200</v>
      </c>
      <c r="BC693" s="9" t="s">
        <v>74</v>
      </c>
      <c r="BD693" s="9" t="s">
        <v>104</v>
      </c>
      <c r="BE693" s="9" t="s">
        <v>75</v>
      </c>
      <c r="BF693" s="11">
        <v>0</v>
      </c>
      <c r="BG693">
        <f t="shared" si="22"/>
        <v>12</v>
      </c>
      <c r="BH693" t="str">
        <f>VLOOKUP(BG693,[1]month!$A:$B,2,0)</f>
        <v>Desember</v>
      </c>
      <c r="BI693">
        <f t="shared" si="23"/>
        <v>2025</v>
      </c>
      <c r="BJ693" t="str">
        <f>VLOOKUP(I693,[1]Dist!$A:$B,2,0)</f>
        <v>Retail</v>
      </c>
      <c r="BK693" t="str">
        <f>IF(I693=11,VLOOKUP(Y693,[2]Sheet1!$C:$N,10,0),IF(I693=13,VLOOKUP(Y693,[3]Sheet1!$C:$N,10,0),IF(I693=15,VLOOKUP(Y693,[4]Sheet1!$C:$N,10,0),"Unknown")))</f>
        <v>WATERPROOFING</v>
      </c>
      <c r="BL693" t="str">
        <f>IF(I693=11,VLOOKUP(Y693,[2]Sheet1!$C:$N,12,0),IF(I693=13,VLOOKUP(Y693,[3]Sheet1!$C:$N,12,0),IF(I693=15,VLOOKUP(Y693,[4]Sheet1!$C:$N,12,0),"Unknown")))</f>
        <v>ULTRAFLEX MEMBRANE</v>
      </c>
      <c r="BM693" t="str">
        <f>VLOOKUP(W693,[1]branch!$A:$B,2,0)</f>
        <v>HO CHI MINH</v>
      </c>
    </row>
    <row r="694" spans="1:65" x14ac:dyDescent="0.35">
      <c r="A694" s="10">
        <v>46000</v>
      </c>
      <c r="B694" s="9" t="s">
        <v>1746</v>
      </c>
      <c r="C694" s="9" t="s">
        <v>64</v>
      </c>
      <c r="D694" s="9" t="s">
        <v>92</v>
      </c>
      <c r="E694" s="11">
        <v>30</v>
      </c>
      <c r="F694" s="9" t="s">
        <v>93</v>
      </c>
      <c r="G694" s="9" t="s">
        <v>65</v>
      </c>
      <c r="H694" s="9" t="s">
        <v>66</v>
      </c>
      <c r="I694" s="9">
        <v>13</v>
      </c>
      <c r="J694" s="9" t="s">
        <v>1747</v>
      </c>
      <c r="K694" s="9" t="s">
        <v>1747</v>
      </c>
      <c r="L694" s="9" t="s">
        <v>1747</v>
      </c>
      <c r="M694" s="9" t="s">
        <v>1748</v>
      </c>
      <c r="N694" s="9" t="s">
        <v>1749</v>
      </c>
      <c r="O694" s="9" t="s">
        <v>150</v>
      </c>
      <c r="P694" s="9" t="s">
        <v>67</v>
      </c>
      <c r="Q694" s="9" t="s">
        <v>98</v>
      </c>
      <c r="R694" s="9" t="s">
        <v>1747</v>
      </c>
      <c r="S694" s="9" t="s">
        <v>1748</v>
      </c>
      <c r="T694" s="9" t="s">
        <v>1750</v>
      </c>
      <c r="U694" s="9" t="s">
        <v>67</v>
      </c>
      <c r="V694" s="9" t="s">
        <v>311</v>
      </c>
      <c r="W694" s="9" t="s">
        <v>312</v>
      </c>
      <c r="X694" s="11">
        <v>10</v>
      </c>
      <c r="Y694" s="9" t="s">
        <v>1751</v>
      </c>
      <c r="Z694" s="9" t="s">
        <v>76</v>
      </c>
      <c r="AA694" s="9" t="s">
        <v>1752</v>
      </c>
      <c r="AB694" s="9" t="s">
        <v>67</v>
      </c>
      <c r="AC694" s="9" t="s">
        <v>704</v>
      </c>
      <c r="AD694" s="11">
        <v>12</v>
      </c>
      <c r="AE694" s="9" t="s">
        <v>70</v>
      </c>
      <c r="AF694" s="9" t="s">
        <v>71</v>
      </c>
      <c r="AG694" s="13">
        <v>1</v>
      </c>
      <c r="AH694" s="9" t="s">
        <v>92</v>
      </c>
      <c r="AI694" s="13">
        <v>250000</v>
      </c>
      <c r="AJ694" s="13">
        <v>3000000</v>
      </c>
      <c r="AK694" s="11">
        <v>577500</v>
      </c>
      <c r="AL694" s="11">
        <v>0</v>
      </c>
      <c r="AM694" s="11">
        <v>0</v>
      </c>
      <c r="AN694" s="9" t="s">
        <v>314</v>
      </c>
      <c r="AO694" s="11">
        <v>2422500</v>
      </c>
      <c r="AP694" s="13">
        <v>193800</v>
      </c>
      <c r="AQ694" s="13">
        <v>2616300</v>
      </c>
      <c r="AR694" s="12">
        <v>24.48</v>
      </c>
      <c r="AS694" s="9" t="s">
        <v>72</v>
      </c>
      <c r="AT694" s="11">
        <v>30</v>
      </c>
      <c r="AU694" s="9" t="s">
        <v>73</v>
      </c>
      <c r="AV694" s="9" t="s">
        <v>67</v>
      </c>
      <c r="AW694" s="9" t="s">
        <v>1753</v>
      </c>
      <c r="AX694" s="10">
        <v>45999</v>
      </c>
      <c r="AY694" s="9" t="s">
        <v>1754</v>
      </c>
      <c r="AZ694" s="9" t="s">
        <v>67</v>
      </c>
      <c r="BA694" s="9" t="s">
        <v>67</v>
      </c>
      <c r="BB694" s="12">
        <v>30</v>
      </c>
      <c r="BC694" s="9" t="s">
        <v>74</v>
      </c>
      <c r="BD694" s="9" t="s">
        <v>104</v>
      </c>
      <c r="BE694" s="9" t="s">
        <v>75</v>
      </c>
      <c r="BF694" s="11">
        <v>0</v>
      </c>
      <c r="BG694">
        <f t="shared" si="22"/>
        <v>12</v>
      </c>
      <c r="BH694" t="str">
        <f>VLOOKUP(BG694,[1]month!$A:$B,2,0)</f>
        <v>Desember</v>
      </c>
      <c r="BI694">
        <f t="shared" si="23"/>
        <v>2025</v>
      </c>
      <c r="BJ694" t="str">
        <f>VLOOKUP(I694,[1]Dist!$A:$B,2,0)</f>
        <v>Retail</v>
      </c>
      <c r="BK694" t="str">
        <f>IF(I694=11,VLOOKUP(Y694,[2]Sheet1!$C:$N,10,0),IF(I694=13,VLOOKUP(Y694,[3]Sheet1!$C:$N,10,0),IF(I694=15,VLOOKUP(Y694,[4]Sheet1!$C:$N,10,0),"Unknown")))</f>
        <v>GO FAST</v>
      </c>
      <c r="BL694" t="str">
        <f>IF(I694=11,VLOOKUP(Y694,[2]Sheet1!$C:$N,12,0),IF(I694=13,VLOOKUP(Y694,[3]Sheet1!$C:$N,12,0),IF(I694=15,VLOOKUP(Y694,[4]Sheet1!$C:$N,12,0),"Unknown")))</f>
        <v>GO FAST BASE</v>
      </c>
      <c r="BM694" t="str">
        <f>VLOOKUP(W694,[1]branch!$A:$B,2,0)</f>
        <v>DANANG</v>
      </c>
    </row>
    <row r="695" spans="1:65" x14ac:dyDescent="0.35">
      <c r="A695" s="10">
        <v>46000</v>
      </c>
      <c r="B695" s="9" t="s">
        <v>1746</v>
      </c>
      <c r="C695" s="9" t="s">
        <v>64</v>
      </c>
      <c r="D695" s="9" t="s">
        <v>92</v>
      </c>
      <c r="E695" s="11">
        <v>30</v>
      </c>
      <c r="F695" s="9" t="s">
        <v>93</v>
      </c>
      <c r="G695" s="9" t="s">
        <v>65</v>
      </c>
      <c r="H695" s="9" t="s">
        <v>66</v>
      </c>
      <c r="I695" s="9">
        <v>13</v>
      </c>
      <c r="J695" s="9" t="s">
        <v>1747</v>
      </c>
      <c r="K695" s="9" t="s">
        <v>1747</v>
      </c>
      <c r="L695" s="9" t="s">
        <v>1747</v>
      </c>
      <c r="M695" s="9" t="s">
        <v>1748</v>
      </c>
      <c r="N695" s="9" t="s">
        <v>1749</v>
      </c>
      <c r="O695" s="9" t="s">
        <v>150</v>
      </c>
      <c r="P695" s="9" t="s">
        <v>67</v>
      </c>
      <c r="Q695" s="9" t="s">
        <v>98</v>
      </c>
      <c r="R695" s="9" t="s">
        <v>1747</v>
      </c>
      <c r="S695" s="9" t="s">
        <v>1748</v>
      </c>
      <c r="T695" s="9" t="s">
        <v>1750</v>
      </c>
      <c r="U695" s="9" t="s">
        <v>67</v>
      </c>
      <c r="V695" s="9" t="s">
        <v>311</v>
      </c>
      <c r="W695" s="9" t="s">
        <v>312</v>
      </c>
      <c r="X695" s="11">
        <v>20</v>
      </c>
      <c r="Y695" s="9" t="s">
        <v>705</v>
      </c>
      <c r="Z695" s="9" t="s">
        <v>76</v>
      </c>
      <c r="AA695" s="9" t="s">
        <v>706</v>
      </c>
      <c r="AB695" s="9" t="s">
        <v>67</v>
      </c>
      <c r="AC695" s="9" t="s">
        <v>704</v>
      </c>
      <c r="AD695" s="11">
        <v>6</v>
      </c>
      <c r="AE695" s="9" t="s">
        <v>70</v>
      </c>
      <c r="AF695" s="9" t="s">
        <v>71</v>
      </c>
      <c r="AG695" s="13">
        <v>1</v>
      </c>
      <c r="AH695" s="9" t="s">
        <v>92</v>
      </c>
      <c r="AI695" s="13">
        <v>364545</v>
      </c>
      <c r="AJ695" s="13">
        <v>2187270</v>
      </c>
      <c r="AK695" s="11">
        <v>421050</v>
      </c>
      <c r="AL695" s="11">
        <v>0</v>
      </c>
      <c r="AM695" s="11">
        <v>0</v>
      </c>
      <c r="AN695" s="9" t="s">
        <v>314</v>
      </c>
      <c r="AO695" s="11">
        <v>1766220</v>
      </c>
      <c r="AP695" s="13">
        <v>141298</v>
      </c>
      <c r="AQ695" s="13">
        <v>1907518</v>
      </c>
      <c r="AR695" s="12">
        <v>15.348000000000001</v>
      </c>
      <c r="AS695" s="9" t="s">
        <v>72</v>
      </c>
      <c r="AT695" s="11">
        <v>15</v>
      </c>
      <c r="AU695" s="9" t="s">
        <v>73</v>
      </c>
      <c r="AV695" s="9" t="s">
        <v>67</v>
      </c>
      <c r="AW695" s="9" t="s">
        <v>1753</v>
      </c>
      <c r="AX695" s="10">
        <v>45999</v>
      </c>
      <c r="AY695" s="9" t="s">
        <v>1754</v>
      </c>
      <c r="AZ695" s="9" t="s">
        <v>67</v>
      </c>
      <c r="BA695" s="9" t="s">
        <v>67</v>
      </c>
      <c r="BB695" s="12">
        <v>15</v>
      </c>
      <c r="BC695" s="9" t="s">
        <v>74</v>
      </c>
      <c r="BD695" s="9" t="s">
        <v>104</v>
      </c>
      <c r="BE695" s="9" t="s">
        <v>75</v>
      </c>
      <c r="BF695" s="11">
        <v>0</v>
      </c>
      <c r="BG695">
        <f t="shared" si="22"/>
        <v>12</v>
      </c>
      <c r="BH695" t="str">
        <f>VLOOKUP(BG695,[1]month!$A:$B,2,0)</f>
        <v>Desember</v>
      </c>
      <c r="BI695">
        <f t="shared" si="23"/>
        <v>2025</v>
      </c>
      <c r="BJ695" t="str">
        <f>VLOOKUP(I695,[1]Dist!$A:$B,2,0)</f>
        <v>Retail</v>
      </c>
      <c r="BK695" t="str">
        <f>IF(I695=11,VLOOKUP(Y695,[2]Sheet1!$C:$N,10,0),IF(I695=13,VLOOKUP(Y695,[3]Sheet1!$C:$N,10,0),IF(I695=15,VLOOKUP(Y695,[4]Sheet1!$C:$N,10,0),"Unknown")))</f>
        <v>GO FAST</v>
      </c>
      <c r="BL695" t="str">
        <f>IF(I695=11,VLOOKUP(Y695,[2]Sheet1!$C:$N,12,0),IF(I695=13,VLOOKUP(Y695,[3]Sheet1!$C:$N,12,0),IF(I695=15,VLOOKUP(Y695,[4]Sheet1!$C:$N,12,0),"Unknown")))</f>
        <v>GO FAST BASE</v>
      </c>
      <c r="BM695" t="str">
        <f>VLOOKUP(W695,[1]branch!$A:$B,2,0)</f>
        <v>DANANG</v>
      </c>
    </row>
    <row r="696" spans="1:65" x14ac:dyDescent="0.35">
      <c r="A696" s="10">
        <v>46000</v>
      </c>
      <c r="B696" s="9" t="s">
        <v>1746</v>
      </c>
      <c r="C696" s="9" t="s">
        <v>64</v>
      </c>
      <c r="D696" s="9" t="s">
        <v>92</v>
      </c>
      <c r="E696" s="11">
        <v>30</v>
      </c>
      <c r="F696" s="9" t="s">
        <v>93</v>
      </c>
      <c r="G696" s="9" t="s">
        <v>65</v>
      </c>
      <c r="H696" s="9" t="s">
        <v>66</v>
      </c>
      <c r="I696" s="9">
        <v>13</v>
      </c>
      <c r="J696" s="9" t="s">
        <v>1747</v>
      </c>
      <c r="K696" s="9" t="s">
        <v>1747</v>
      </c>
      <c r="L696" s="9" t="s">
        <v>1747</v>
      </c>
      <c r="M696" s="9" t="s">
        <v>1748</v>
      </c>
      <c r="N696" s="9" t="s">
        <v>1749</v>
      </c>
      <c r="O696" s="9" t="s">
        <v>150</v>
      </c>
      <c r="P696" s="9" t="s">
        <v>67</v>
      </c>
      <c r="Q696" s="9" t="s">
        <v>98</v>
      </c>
      <c r="R696" s="9" t="s">
        <v>1747</v>
      </c>
      <c r="S696" s="9" t="s">
        <v>1748</v>
      </c>
      <c r="T696" s="9" t="s">
        <v>1750</v>
      </c>
      <c r="U696" s="9" t="s">
        <v>67</v>
      </c>
      <c r="V696" s="9" t="s">
        <v>311</v>
      </c>
      <c r="W696" s="9" t="s">
        <v>312</v>
      </c>
      <c r="X696" s="11">
        <v>30</v>
      </c>
      <c r="Y696" s="9" t="s">
        <v>1755</v>
      </c>
      <c r="Z696" s="9" t="s">
        <v>76</v>
      </c>
      <c r="AA696" s="9" t="s">
        <v>1756</v>
      </c>
      <c r="AB696" s="9" t="s">
        <v>67</v>
      </c>
      <c r="AC696" s="9" t="s">
        <v>704</v>
      </c>
      <c r="AD696" s="11">
        <v>6</v>
      </c>
      <c r="AE696" s="9" t="s">
        <v>70</v>
      </c>
      <c r="AF696" s="9" t="s">
        <v>71</v>
      </c>
      <c r="AG696" s="13">
        <v>1</v>
      </c>
      <c r="AH696" s="9" t="s">
        <v>92</v>
      </c>
      <c r="AI696" s="13">
        <v>338181</v>
      </c>
      <c r="AJ696" s="13">
        <v>2029086</v>
      </c>
      <c r="AK696" s="11">
        <v>390599</v>
      </c>
      <c r="AL696" s="11">
        <v>0</v>
      </c>
      <c r="AM696" s="11">
        <v>0</v>
      </c>
      <c r="AN696" s="9" t="s">
        <v>314</v>
      </c>
      <c r="AO696" s="11">
        <v>1638487</v>
      </c>
      <c r="AP696" s="13">
        <v>131079</v>
      </c>
      <c r="AQ696" s="13">
        <v>1769566</v>
      </c>
      <c r="AR696" s="12">
        <v>14.58</v>
      </c>
      <c r="AS696" s="9" t="s">
        <v>72</v>
      </c>
      <c r="AT696" s="11">
        <v>15</v>
      </c>
      <c r="AU696" s="9" t="s">
        <v>73</v>
      </c>
      <c r="AV696" s="9" t="s">
        <v>67</v>
      </c>
      <c r="AW696" s="9" t="s">
        <v>1753</v>
      </c>
      <c r="AX696" s="10">
        <v>45999</v>
      </c>
      <c r="AY696" s="9" t="s">
        <v>1754</v>
      </c>
      <c r="AZ696" s="9" t="s">
        <v>67</v>
      </c>
      <c r="BA696" s="9" t="s">
        <v>67</v>
      </c>
      <c r="BB696" s="12">
        <v>15</v>
      </c>
      <c r="BC696" s="9" t="s">
        <v>74</v>
      </c>
      <c r="BD696" s="9" t="s">
        <v>104</v>
      </c>
      <c r="BE696" s="9" t="s">
        <v>75</v>
      </c>
      <c r="BF696" s="11">
        <v>0</v>
      </c>
      <c r="BG696">
        <f t="shared" si="22"/>
        <v>12</v>
      </c>
      <c r="BH696" t="str">
        <f>VLOOKUP(BG696,[1]month!$A:$B,2,0)</f>
        <v>Desember</v>
      </c>
      <c r="BI696">
        <f t="shared" si="23"/>
        <v>2025</v>
      </c>
      <c r="BJ696" t="str">
        <f>VLOOKUP(I696,[1]Dist!$A:$B,2,0)</f>
        <v>Retail</v>
      </c>
      <c r="BK696" t="str">
        <f>IF(I696=11,VLOOKUP(Y696,[2]Sheet1!$C:$N,10,0),IF(I696=13,VLOOKUP(Y696,[3]Sheet1!$C:$N,10,0),IF(I696=15,VLOOKUP(Y696,[4]Sheet1!$C:$N,10,0),"Unknown")))</f>
        <v>GO FAST</v>
      </c>
      <c r="BL696" t="str">
        <f>IF(I696=11,VLOOKUP(Y696,[2]Sheet1!$C:$N,12,0),IF(I696=13,VLOOKUP(Y696,[3]Sheet1!$C:$N,12,0),IF(I696=15,VLOOKUP(Y696,[4]Sheet1!$C:$N,12,0),"Unknown")))</f>
        <v>GO FAST BASE</v>
      </c>
      <c r="BM696" t="str">
        <f>VLOOKUP(W696,[1]branch!$A:$B,2,0)</f>
        <v>DANANG</v>
      </c>
    </row>
    <row r="697" spans="1:65" x14ac:dyDescent="0.35">
      <c r="A697" s="10">
        <v>46000</v>
      </c>
      <c r="B697" s="9" t="s">
        <v>1757</v>
      </c>
      <c r="C697" s="9" t="s">
        <v>64</v>
      </c>
      <c r="D697" s="9" t="s">
        <v>92</v>
      </c>
      <c r="E697" s="11">
        <v>45</v>
      </c>
      <c r="F697" s="9" t="s">
        <v>93</v>
      </c>
      <c r="G697" s="9" t="s">
        <v>65</v>
      </c>
      <c r="H697" s="9" t="s">
        <v>66</v>
      </c>
      <c r="I697" s="9">
        <v>11</v>
      </c>
      <c r="J697" s="9" t="s">
        <v>162</v>
      </c>
      <c r="K697" s="9" t="s">
        <v>162</v>
      </c>
      <c r="L697" s="9" t="s">
        <v>162</v>
      </c>
      <c r="M697" s="9" t="s">
        <v>163</v>
      </c>
      <c r="N697" s="9" t="s">
        <v>867</v>
      </c>
      <c r="O697" s="9" t="s">
        <v>97</v>
      </c>
      <c r="P697" s="9" t="s">
        <v>67</v>
      </c>
      <c r="Q697" s="9" t="s">
        <v>98</v>
      </c>
      <c r="R697" s="9" t="s">
        <v>162</v>
      </c>
      <c r="S697" s="9" t="s">
        <v>163</v>
      </c>
      <c r="T697" s="9" t="s">
        <v>795</v>
      </c>
      <c r="U697" s="9" t="s">
        <v>67</v>
      </c>
      <c r="V697" s="9" t="s">
        <v>130</v>
      </c>
      <c r="W697" s="9" t="s">
        <v>131</v>
      </c>
      <c r="X697" s="11">
        <v>10</v>
      </c>
      <c r="Y697" s="9" t="s">
        <v>164</v>
      </c>
      <c r="Z697" s="9" t="s">
        <v>68</v>
      </c>
      <c r="AA697" s="9" t="s">
        <v>165</v>
      </c>
      <c r="AB697" s="9" t="s">
        <v>67</v>
      </c>
      <c r="AC697" s="9" t="s">
        <v>166</v>
      </c>
      <c r="AD697" s="11">
        <v>13</v>
      </c>
      <c r="AE697" s="9" t="s">
        <v>70</v>
      </c>
      <c r="AF697" s="9" t="s">
        <v>71</v>
      </c>
      <c r="AG697" s="13">
        <v>1</v>
      </c>
      <c r="AH697" s="9" t="s">
        <v>92</v>
      </c>
      <c r="AI697" s="13">
        <v>984000</v>
      </c>
      <c r="AJ697" s="13">
        <v>12792000</v>
      </c>
      <c r="AK697" s="11">
        <v>0</v>
      </c>
      <c r="AL697" s="11">
        <v>0</v>
      </c>
      <c r="AM697" s="11">
        <v>0</v>
      </c>
      <c r="AN697" s="9" t="s">
        <v>67</v>
      </c>
      <c r="AO697" s="11">
        <v>12792000</v>
      </c>
      <c r="AP697" s="13">
        <v>1023360</v>
      </c>
      <c r="AQ697" s="13">
        <v>13815360</v>
      </c>
      <c r="AR697" s="11">
        <v>208</v>
      </c>
      <c r="AS697" s="9" t="s">
        <v>72</v>
      </c>
      <c r="AT697" s="12">
        <v>199.94</v>
      </c>
      <c r="AU697" s="9" t="s">
        <v>73</v>
      </c>
      <c r="AV697" s="9" t="s">
        <v>67</v>
      </c>
      <c r="AW697" s="9" t="s">
        <v>1758</v>
      </c>
      <c r="AX697" s="10">
        <v>45987</v>
      </c>
      <c r="AY697" s="9" t="s">
        <v>1759</v>
      </c>
      <c r="AZ697" s="9" t="s">
        <v>67</v>
      </c>
      <c r="BA697" s="9" t="s">
        <v>67</v>
      </c>
      <c r="BB697" s="12">
        <v>208</v>
      </c>
      <c r="BC697" s="9" t="s">
        <v>74</v>
      </c>
      <c r="BD697" s="9" t="s">
        <v>104</v>
      </c>
      <c r="BE697" s="9" t="s">
        <v>75</v>
      </c>
      <c r="BF697" s="11">
        <v>0</v>
      </c>
      <c r="BG697">
        <f t="shared" si="22"/>
        <v>12</v>
      </c>
      <c r="BH697" t="str">
        <f>VLOOKUP(BG697,[1]month!$A:$B,2,0)</f>
        <v>Desember</v>
      </c>
      <c r="BI697">
        <f t="shared" si="23"/>
        <v>2025</v>
      </c>
      <c r="BJ697" t="str">
        <f>VLOOKUP(I697,[1]Dist!$A:$B,2,0)</f>
        <v>Industry</v>
      </c>
      <c r="BK697" t="str">
        <f>IF(I697=11,VLOOKUP(Y697,[2]Sheet1!$C:$N,10,0),IF(I697=13,VLOOKUP(Y697,[3]Sheet1!$C:$N,10,0),IF(I697=15,VLOOKUP(Y697,[4]Sheet1!$C:$N,10,0),"Unknown")))</f>
        <v>PU</v>
      </c>
      <c r="BL697" t="str">
        <f>IF(I697=11,VLOOKUP(Y697,[2]Sheet1!$C:$N,12,0),IF(I697=13,VLOOKUP(Y697,[3]Sheet1!$C:$N,12,0),IF(I697=15,VLOOKUP(Y697,[4]Sheet1!$C:$N,12,0),"Unknown")))</f>
        <v>UNION SANDING SEALER</v>
      </c>
      <c r="BM697" t="str">
        <f>VLOOKUP(W697,[1]branch!$A:$B,2,0)</f>
        <v>INDUSTRY</v>
      </c>
    </row>
    <row r="698" spans="1:65" x14ac:dyDescent="0.35">
      <c r="A698" s="10">
        <v>46000</v>
      </c>
      <c r="B698" s="9" t="s">
        <v>1757</v>
      </c>
      <c r="C698" s="9" t="s">
        <v>64</v>
      </c>
      <c r="D698" s="9" t="s">
        <v>92</v>
      </c>
      <c r="E698" s="11">
        <v>45</v>
      </c>
      <c r="F698" s="9" t="s">
        <v>93</v>
      </c>
      <c r="G698" s="9" t="s">
        <v>65</v>
      </c>
      <c r="H698" s="9" t="s">
        <v>66</v>
      </c>
      <c r="I698" s="9">
        <v>11</v>
      </c>
      <c r="J698" s="9" t="s">
        <v>162</v>
      </c>
      <c r="K698" s="9" t="s">
        <v>162</v>
      </c>
      <c r="L698" s="9" t="s">
        <v>162</v>
      </c>
      <c r="M698" s="9" t="s">
        <v>163</v>
      </c>
      <c r="N698" s="9" t="s">
        <v>867</v>
      </c>
      <c r="O698" s="9" t="s">
        <v>97</v>
      </c>
      <c r="P698" s="9" t="s">
        <v>67</v>
      </c>
      <c r="Q698" s="9" t="s">
        <v>98</v>
      </c>
      <c r="R698" s="9" t="s">
        <v>162</v>
      </c>
      <c r="S698" s="9" t="s">
        <v>163</v>
      </c>
      <c r="T698" s="9" t="s">
        <v>795</v>
      </c>
      <c r="U698" s="9" t="s">
        <v>67</v>
      </c>
      <c r="V698" s="9" t="s">
        <v>130</v>
      </c>
      <c r="W698" s="9" t="s">
        <v>131</v>
      </c>
      <c r="X698" s="11">
        <v>20</v>
      </c>
      <c r="Y698" s="9" t="s">
        <v>1467</v>
      </c>
      <c r="Z698" s="9" t="s">
        <v>68</v>
      </c>
      <c r="AA698" s="9" t="s">
        <v>1468</v>
      </c>
      <c r="AB698" s="9" t="s">
        <v>67</v>
      </c>
      <c r="AC698" s="9" t="s">
        <v>1469</v>
      </c>
      <c r="AD698" s="11">
        <v>1</v>
      </c>
      <c r="AE698" s="9" t="s">
        <v>70</v>
      </c>
      <c r="AF698" s="9" t="s">
        <v>71</v>
      </c>
      <c r="AG698" s="13">
        <v>1</v>
      </c>
      <c r="AH698" s="9" t="s">
        <v>92</v>
      </c>
      <c r="AI698" s="13">
        <v>1430400</v>
      </c>
      <c r="AJ698" s="13">
        <v>1430400</v>
      </c>
      <c r="AK698" s="11">
        <v>0</v>
      </c>
      <c r="AL698" s="11">
        <v>0</v>
      </c>
      <c r="AM698" s="11">
        <v>0</v>
      </c>
      <c r="AN698" s="9" t="s">
        <v>67</v>
      </c>
      <c r="AO698" s="11">
        <v>1430400</v>
      </c>
      <c r="AP698" s="13">
        <v>114432</v>
      </c>
      <c r="AQ698" s="13">
        <v>1544832</v>
      </c>
      <c r="AR698" s="11">
        <v>16</v>
      </c>
      <c r="AS698" s="9" t="s">
        <v>72</v>
      </c>
      <c r="AT698" s="12">
        <v>11.76</v>
      </c>
      <c r="AU698" s="9" t="s">
        <v>73</v>
      </c>
      <c r="AV698" s="9" t="s">
        <v>67</v>
      </c>
      <c r="AW698" s="9" t="s">
        <v>1758</v>
      </c>
      <c r="AX698" s="10">
        <v>45987</v>
      </c>
      <c r="AY698" s="9" t="s">
        <v>1759</v>
      </c>
      <c r="AZ698" s="9" t="s">
        <v>67</v>
      </c>
      <c r="BA698" s="9" t="s">
        <v>67</v>
      </c>
      <c r="BB698" s="12">
        <v>16</v>
      </c>
      <c r="BC698" s="9" t="s">
        <v>74</v>
      </c>
      <c r="BD698" s="9" t="s">
        <v>104</v>
      </c>
      <c r="BE698" s="9" t="s">
        <v>75</v>
      </c>
      <c r="BF698" s="11">
        <v>0</v>
      </c>
      <c r="BG698">
        <f t="shared" si="22"/>
        <v>12</v>
      </c>
      <c r="BH698" t="str">
        <f>VLOOKUP(BG698,[1]month!$A:$B,2,0)</f>
        <v>Desember</v>
      </c>
      <c r="BI698">
        <f t="shared" si="23"/>
        <v>2025</v>
      </c>
      <c r="BJ698" t="str">
        <f>VLOOKUP(I698,[1]Dist!$A:$B,2,0)</f>
        <v>Industry</v>
      </c>
      <c r="BK698" t="str">
        <f>IF(I698=11,VLOOKUP(Y698,[2]Sheet1!$C:$N,10,0),IF(I698=13,VLOOKUP(Y698,[3]Sheet1!$C:$N,10,0),IF(I698=15,VLOOKUP(Y698,[4]Sheet1!$C:$N,10,0),"Unknown")))</f>
        <v>PU</v>
      </c>
      <c r="BL698" t="str">
        <f>IF(I698=11,VLOOKUP(Y698,[2]Sheet1!$C:$N,12,0),IF(I698=13,VLOOKUP(Y698,[3]Sheet1!$C:$N,12,0),IF(I698=15,VLOOKUP(Y698,[4]Sheet1!$C:$N,12,0),"Unknown")))</f>
        <v>UNION TOP COAT</v>
      </c>
      <c r="BM698" t="str">
        <f>VLOOKUP(W698,[1]branch!$A:$B,2,0)</f>
        <v>INDUSTRY</v>
      </c>
    </row>
    <row r="699" spans="1:65" x14ac:dyDescent="0.35">
      <c r="A699" s="10">
        <v>46000</v>
      </c>
      <c r="B699" s="9" t="s">
        <v>1757</v>
      </c>
      <c r="C699" s="9" t="s">
        <v>64</v>
      </c>
      <c r="D699" s="9" t="s">
        <v>92</v>
      </c>
      <c r="E699" s="11">
        <v>45</v>
      </c>
      <c r="F699" s="9" t="s">
        <v>93</v>
      </c>
      <c r="G699" s="9" t="s">
        <v>65</v>
      </c>
      <c r="H699" s="9" t="s">
        <v>66</v>
      </c>
      <c r="I699" s="9">
        <v>11</v>
      </c>
      <c r="J699" s="9" t="s">
        <v>162</v>
      </c>
      <c r="K699" s="9" t="s">
        <v>162</v>
      </c>
      <c r="L699" s="9" t="s">
        <v>162</v>
      </c>
      <c r="M699" s="9" t="s">
        <v>163</v>
      </c>
      <c r="N699" s="9" t="s">
        <v>867</v>
      </c>
      <c r="O699" s="9" t="s">
        <v>97</v>
      </c>
      <c r="P699" s="9" t="s">
        <v>67</v>
      </c>
      <c r="Q699" s="9" t="s">
        <v>98</v>
      </c>
      <c r="R699" s="9" t="s">
        <v>162</v>
      </c>
      <c r="S699" s="9" t="s">
        <v>163</v>
      </c>
      <c r="T699" s="9" t="s">
        <v>795</v>
      </c>
      <c r="U699" s="9" t="s">
        <v>67</v>
      </c>
      <c r="V699" s="9" t="s">
        <v>130</v>
      </c>
      <c r="W699" s="9" t="s">
        <v>131</v>
      </c>
      <c r="X699" s="11">
        <v>30</v>
      </c>
      <c r="Y699" s="9" t="s">
        <v>167</v>
      </c>
      <c r="Z699" s="9" t="s">
        <v>68</v>
      </c>
      <c r="AA699" s="9" t="s">
        <v>168</v>
      </c>
      <c r="AB699" s="9" t="s">
        <v>67</v>
      </c>
      <c r="AC699" s="9" t="s">
        <v>169</v>
      </c>
      <c r="AD699" s="11">
        <v>28</v>
      </c>
      <c r="AE699" s="9" t="s">
        <v>70</v>
      </c>
      <c r="AF699" s="9" t="s">
        <v>71</v>
      </c>
      <c r="AG699" s="13">
        <v>1</v>
      </c>
      <c r="AH699" s="9" t="s">
        <v>92</v>
      </c>
      <c r="AI699" s="13">
        <v>417200</v>
      </c>
      <c r="AJ699" s="13">
        <v>11681600</v>
      </c>
      <c r="AK699" s="11">
        <v>0</v>
      </c>
      <c r="AL699" s="11">
        <v>0</v>
      </c>
      <c r="AM699" s="11">
        <v>0</v>
      </c>
      <c r="AN699" s="9" t="s">
        <v>67</v>
      </c>
      <c r="AO699" s="11">
        <v>11681600</v>
      </c>
      <c r="AP699" s="13">
        <v>934528</v>
      </c>
      <c r="AQ699" s="13">
        <v>12616128</v>
      </c>
      <c r="AR699" s="11">
        <v>112</v>
      </c>
      <c r="AS699" s="9" t="s">
        <v>72</v>
      </c>
      <c r="AT699" s="11">
        <v>112</v>
      </c>
      <c r="AU699" s="9" t="s">
        <v>73</v>
      </c>
      <c r="AV699" s="9" t="s">
        <v>67</v>
      </c>
      <c r="AW699" s="9" t="s">
        <v>1758</v>
      </c>
      <c r="AX699" s="10">
        <v>45987</v>
      </c>
      <c r="AY699" s="9" t="s">
        <v>1759</v>
      </c>
      <c r="AZ699" s="9" t="s">
        <v>67</v>
      </c>
      <c r="BA699" s="9" t="s">
        <v>67</v>
      </c>
      <c r="BB699" s="12">
        <v>112</v>
      </c>
      <c r="BC699" s="9" t="s">
        <v>74</v>
      </c>
      <c r="BD699" s="9" t="s">
        <v>104</v>
      </c>
      <c r="BE699" s="9" t="s">
        <v>75</v>
      </c>
      <c r="BF699" s="11">
        <v>0</v>
      </c>
      <c r="BG699">
        <f t="shared" si="22"/>
        <v>12</v>
      </c>
      <c r="BH699" t="str">
        <f>VLOOKUP(BG699,[1]month!$A:$B,2,0)</f>
        <v>Desember</v>
      </c>
      <c r="BI699">
        <f t="shared" si="23"/>
        <v>2025</v>
      </c>
      <c r="BJ699" t="str">
        <f>VLOOKUP(I699,[1]Dist!$A:$B,2,0)</f>
        <v>Industry</v>
      </c>
      <c r="BK699" t="str">
        <f>IF(I699=11,VLOOKUP(Y699,[2]Sheet1!$C:$N,10,0),IF(I699=13,VLOOKUP(Y699,[3]Sheet1!$C:$N,10,0),IF(I699=15,VLOOKUP(Y699,[4]Sheet1!$C:$N,10,0),"Unknown")))</f>
        <v>PU</v>
      </c>
      <c r="BL699" t="str">
        <f>IF(I699=11,VLOOKUP(Y699,[2]Sheet1!$C:$N,12,0),IF(I699=13,VLOOKUP(Y699,[3]Sheet1!$C:$N,12,0),IF(I699=15,VLOOKUP(Y699,[4]Sheet1!$C:$N,12,0),"Unknown")))</f>
        <v>UNION HARDENER</v>
      </c>
      <c r="BM699" t="str">
        <f>VLOOKUP(W699,[1]branch!$A:$B,2,0)</f>
        <v>INDUSTRY</v>
      </c>
    </row>
    <row r="700" spans="1:65" x14ac:dyDescent="0.35">
      <c r="A700" s="10">
        <v>46000</v>
      </c>
      <c r="B700" s="9" t="s">
        <v>1757</v>
      </c>
      <c r="C700" s="9" t="s">
        <v>64</v>
      </c>
      <c r="D700" s="9" t="s">
        <v>92</v>
      </c>
      <c r="E700" s="11">
        <v>45</v>
      </c>
      <c r="F700" s="9" t="s">
        <v>93</v>
      </c>
      <c r="G700" s="9" t="s">
        <v>65</v>
      </c>
      <c r="H700" s="9" t="s">
        <v>66</v>
      </c>
      <c r="I700" s="9">
        <v>11</v>
      </c>
      <c r="J700" s="9" t="s">
        <v>162</v>
      </c>
      <c r="K700" s="9" t="s">
        <v>162</v>
      </c>
      <c r="L700" s="9" t="s">
        <v>162</v>
      </c>
      <c r="M700" s="9" t="s">
        <v>163</v>
      </c>
      <c r="N700" s="9" t="s">
        <v>867</v>
      </c>
      <c r="O700" s="9" t="s">
        <v>97</v>
      </c>
      <c r="P700" s="9" t="s">
        <v>67</v>
      </c>
      <c r="Q700" s="9" t="s">
        <v>98</v>
      </c>
      <c r="R700" s="9" t="s">
        <v>162</v>
      </c>
      <c r="S700" s="9" t="s">
        <v>163</v>
      </c>
      <c r="T700" s="9" t="s">
        <v>795</v>
      </c>
      <c r="U700" s="9" t="s">
        <v>67</v>
      </c>
      <c r="V700" s="9" t="s">
        <v>130</v>
      </c>
      <c r="W700" s="9" t="s">
        <v>131</v>
      </c>
      <c r="X700" s="11">
        <v>40</v>
      </c>
      <c r="Y700" s="9" t="s">
        <v>170</v>
      </c>
      <c r="Z700" s="9" t="s">
        <v>68</v>
      </c>
      <c r="AA700" s="9" t="s">
        <v>171</v>
      </c>
      <c r="AB700" s="9" t="s">
        <v>67</v>
      </c>
      <c r="AC700" s="9" t="s">
        <v>172</v>
      </c>
      <c r="AD700" s="11">
        <v>14</v>
      </c>
      <c r="AE700" s="9" t="s">
        <v>70</v>
      </c>
      <c r="AF700" s="9" t="s">
        <v>71</v>
      </c>
      <c r="AG700" s="13">
        <v>1</v>
      </c>
      <c r="AH700" s="9" t="s">
        <v>92</v>
      </c>
      <c r="AI700" s="13">
        <v>1302400</v>
      </c>
      <c r="AJ700" s="13">
        <v>18233600</v>
      </c>
      <c r="AK700" s="11">
        <v>0</v>
      </c>
      <c r="AL700" s="11">
        <v>0</v>
      </c>
      <c r="AM700" s="11">
        <v>0</v>
      </c>
      <c r="AN700" s="9" t="s">
        <v>67</v>
      </c>
      <c r="AO700" s="11">
        <v>18233600</v>
      </c>
      <c r="AP700" s="13">
        <v>1458688</v>
      </c>
      <c r="AQ700" s="13">
        <v>19692288</v>
      </c>
      <c r="AR700" s="11">
        <v>224</v>
      </c>
      <c r="AS700" s="9" t="s">
        <v>72</v>
      </c>
      <c r="AT700" s="11">
        <v>224</v>
      </c>
      <c r="AU700" s="9" t="s">
        <v>73</v>
      </c>
      <c r="AV700" s="9" t="s">
        <v>67</v>
      </c>
      <c r="AW700" s="9" t="s">
        <v>1758</v>
      </c>
      <c r="AX700" s="10">
        <v>45987</v>
      </c>
      <c r="AY700" s="9" t="s">
        <v>1759</v>
      </c>
      <c r="AZ700" s="9" t="s">
        <v>67</v>
      </c>
      <c r="BA700" s="9" t="s">
        <v>67</v>
      </c>
      <c r="BB700" s="12">
        <v>224</v>
      </c>
      <c r="BC700" s="9" t="s">
        <v>74</v>
      </c>
      <c r="BD700" s="9" t="s">
        <v>104</v>
      </c>
      <c r="BE700" s="9" t="s">
        <v>75</v>
      </c>
      <c r="BF700" s="11">
        <v>0</v>
      </c>
      <c r="BG700">
        <f t="shared" si="22"/>
        <v>12</v>
      </c>
      <c r="BH700" t="str">
        <f>VLOOKUP(BG700,[1]month!$A:$B,2,0)</f>
        <v>Desember</v>
      </c>
      <c r="BI700">
        <f t="shared" si="23"/>
        <v>2025</v>
      </c>
      <c r="BJ700" t="str">
        <f>VLOOKUP(I700,[1]Dist!$A:$B,2,0)</f>
        <v>Industry</v>
      </c>
      <c r="BK700" t="str">
        <f>IF(I700=11,VLOOKUP(Y700,[2]Sheet1!$C:$N,10,0),IF(I700=13,VLOOKUP(Y700,[3]Sheet1!$C:$N,10,0),IF(I700=15,VLOOKUP(Y700,[4]Sheet1!$C:$N,10,0),"Unknown")))</f>
        <v>PU</v>
      </c>
      <c r="BL700" t="str">
        <f>IF(I700=11,VLOOKUP(Y700,[2]Sheet1!$C:$N,12,0),IF(I700=13,VLOOKUP(Y700,[3]Sheet1!$C:$N,12,0),IF(I700=15,VLOOKUP(Y700,[4]Sheet1!$C:$N,12,0),"Unknown")))</f>
        <v>UNION TOP COAT</v>
      </c>
      <c r="BM700" t="str">
        <f>VLOOKUP(W700,[1]branch!$A:$B,2,0)</f>
        <v>INDUSTRY</v>
      </c>
    </row>
    <row r="701" spans="1:65" x14ac:dyDescent="0.35">
      <c r="A701" s="10">
        <v>46000</v>
      </c>
      <c r="B701" s="9" t="s">
        <v>1757</v>
      </c>
      <c r="C701" s="9" t="s">
        <v>64</v>
      </c>
      <c r="D701" s="9" t="s">
        <v>92</v>
      </c>
      <c r="E701" s="11">
        <v>45</v>
      </c>
      <c r="F701" s="9" t="s">
        <v>93</v>
      </c>
      <c r="G701" s="9" t="s">
        <v>65</v>
      </c>
      <c r="H701" s="9" t="s">
        <v>66</v>
      </c>
      <c r="I701" s="9">
        <v>11</v>
      </c>
      <c r="J701" s="9" t="s">
        <v>162</v>
      </c>
      <c r="K701" s="9" t="s">
        <v>162</v>
      </c>
      <c r="L701" s="9" t="s">
        <v>162</v>
      </c>
      <c r="M701" s="9" t="s">
        <v>163</v>
      </c>
      <c r="N701" s="9" t="s">
        <v>867</v>
      </c>
      <c r="O701" s="9" t="s">
        <v>97</v>
      </c>
      <c r="P701" s="9" t="s">
        <v>67</v>
      </c>
      <c r="Q701" s="9" t="s">
        <v>98</v>
      </c>
      <c r="R701" s="9" t="s">
        <v>162</v>
      </c>
      <c r="S701" s="9" t="s">
        <v>163</v>
      </c>
      <c r="T701" s="9" t="s">
        <v>795</v>
      </c>
      <c r="U701" s="9" t="s">
        <v>67</v>
      </c>
      <c r="V701" s="9" t="s">
        <v>130</v>
      </c>
      <c r="W701" s="9" t="s">
        <v>131</v>
      </c>
      <c r="X701" s="11">
        <v>50</v>
      </c>
      <c r="Y701" s="9" t="s">
        <v>176</v>
      </c>
      <c r="Z701" s="9" t="s">
        <v>68</v>
      </c>
      <c r="AA701" s="9" t="s">
        <v>177</v>
      </c>
      <c r="AB701" s="9" t="s">
        <v>67</v>
      </c>
      <c r="AC701" s="9" t="s">
        <v>178</v>
      </c>
      <c r="AD701" s="11">
        <v>28</v>
      </c>
      <c r="AE701" s="9" t="s">
        <v>70</v>
      </c>
      <c r="AF701" s="9" t="s">
        <v>71</v>
      </c>
      <c r="AG701" s="13">
        <v>1</v>
      </c>
      <c r="AH701" s="9" t="s">
        <v>92</v>
      </c>
      <c r="AI701" s="13">
        <v>417200</v>
      </c>
      <c r="AJ701" s="13">
        <v>11681600</v>
      </c>
      <c r="AK701" s="11">
        <v>0</v>
      </c>
      <c r="AL701" s="11">
        <v>0</v>
      </c>
      <c r="AM701" s="11">
        <v>0</v>
      </c>
      <c r="AN701" s="9" t="s">
        <v>67</v>
      </c>
      <c r="AO701" s="11">
        <v>11681600</v>
      </c>
      <c r="AP701" s="13">
        <v>934528</v>
      </c>
      <c r="AQ701" s="13">
        <v>12616128</v>
      </c>
      <c r="AR701" s="11">
        <v>112</v>
      </c>
      <c r="AS701" s="9" t="s">
        <v>72</v>
      </c>
      <c r="AT701" s="12">
        <v>110.88</v>
      </c>
      <c r="AU701" s="9" t="s">
        <v>73</v>
      </c>
      <c r="AV701" s="9" t="s">
        <v>67</v>
      </c>
      <c r="AW701" s="9" t="s">
        <v>1758</v>
      </c>
      <c r="AX701" s="10">
        <v>45987</v>
      </c>
      <c r="AY701" s="9" t="s">
        <v>1759</v>
      </c>
      <c r="AZ701" s="9" t="s">
        <v>67</v>
      </c>
      <c r="BA701" s="9" t="s">
        <v>67</v>
      </c>
      <c r="BB701" s="12">
        <v>112</v>
      </c>
      <c r="BC701" s="9" t="s">
        <v>74</v>
      </c>
      <c r="BD701" s="9" t="s">
        <v>104</v>
      </c>
      <c r="BE701" s="9" t="s">
        <v>75</v>
      </c>
      <c r="BF701" s="11">
        <v>0</v>
      </c>
      <c r="BG701">
        <f t="shared" si="22"/>
        <v>12</v>
      </c>
      <c r="BH701" t="str">
        <f>VLOOKUP(BG701,[1]month!$A:$B,2,0)</f>
        <v>Desember</v>
      </c>
      <c r="BI701">
        <f t="shared" si="23"/>
        <v>2025</v>
      </c>
      <c r="BJ701" t="str">
        <f>VLOOKUP(I701,[1]Dist!$A:$B,2,0)</f>
        <v>Industry</v>
      </c>
      <c r="BK701" t="str">
        <f>IF(I701=11,VLOOKUP(Y701,[2]Sheet1!$C:$N,10,0),IF(I701=13,VLOOKUP(Y701,[3]Sheet1!$C:$N,10,0),IF(I701=15,VLOOKUP(Y701,[4]Sheet1!$C:$N,10,0),"Unknown")))</f>
        <v>PU</v>
      </c>
      <c r="BL701" t="str">
        <f>IF(I701=11,VLOOKUP(Y701,[2]Sheet1!$C:$N,12,0),IF(I701=13,VLOOKUP(Y701,[3]Sheet1!$C:$N,12,0),IF(I701=15,VLOOKUP(Y701,[4]Sheet1!$C:$N,12,0),"Unknown")))</f>
        <v>UNION HARDENER</v>
      </c>
      <c r="BM701" t="str">
        <f>VLOOKUP(W701,[1]branch!$A:$B,2,0)</f>
        <v>INDUSTRY</v>
      </c>
    </row>
    <row r="702" spans="1:65" x14ac:dyDescent="0.35">
      <c r="A702" s="10">
        <v>46000</v>
      </c>
      <c r="B702" s="9" t="s">
        <v>1757</v>
      </c>
      <c r="C702" s="9" t="s">
        <v>64</v>
      </c>
      <c r="D702" s="9" t="s">
        <v>92</v>
      </c>
      <c r="E702" s="11">
        <v>45</v>
      </c>
      <c r="F702" s="9" t="s">
        <v>93</v>
      </c>
      <c r="G702" s="9" t="s">
        <v>65</v>
      </c>
      <c r="H702" s="9" t="s">
        <v>66</v>
      </c>
      <c r="I702" s="9">
        <v>11</v>
      </c>
      <c r="J702" s="9" t="s">
        <v>162</v>
      </c>
      <c r="K702" s="9" t="s">
        <v>162</v>
      </c>
      <c r="L702" s="9" t="s">
        <v>162</v>
      </c>
      <c r="M702" s="9" t="s">
        <v>163</v>
      </c>
      <c r="N702" s="9" t="s">
        <v>867</v>
      </c>
      <c r="O702" s="9" t="s">
        <v>97</v>
      </c>
      <c r="P702" s="9" t="s">
        <v>67</v>
      </c>
      <c r="Q702" s="9" t="s">
        <v>98</v>
      </c>
      <c r="R702" s="9" t="s">
        <v>162</v>
      </c>
      <c r="S702" s="9" t="s">
        <v>163</v>
      </c>
      <c r="T702" s="9" t="s">
        <v>795</v>
      </c>
      <c r="U702" s="9" t="s">
        <v>67</v>
      </c>
      <c r="V702" s="9" t="s">
        <v>130</v>
      </c>
      <c r="W702" s="9" t="s">
        <v>131</v>
      </c>
      <c r="X702" s="11">
        <v>60</v>
      </c>
      <c r="Y702" s="9" t="s">
        <v>173</v>
      </c>
      <c r="Z702" s="9" t="s">
        <v>68</v>
      </c>
      <c r="AA702" s="9" t="s">
        <v>174</v>
      </c>
      <c r="AB702" s="9" t="s">
        <v>67</v>
      </c>
      <c r="AC702" s="9" t="s">
        <v>175</v>
      </c>
      <c r="AD702" s="11">
        <v>6</v>
      </c>
      <c r="AE702" s="9" t="s">
        <v>70</v>
      </c>
      <c r="AF702" s="9" t="s">
        <v>71</v>
      </c>
      <c r="AG702" s="13">
        <v>1</v>
      </c>
      <c r="AH702" s="9" t="s">
        <v>92</v>
      </c>
      <c r="AI702" s="13">
        <v>8320000</v>
      </c>
      <c r="AJ702" s="13">
        <v>49920000</v>
      </c>
      <c r="AK702" s="11">
        <v>0</v>
      </c>
      <c r="AL702" s="11">
        <v>0</v>
      </c>
      <c r="AM702" s="11">
        <v>0</v>
      </c>
      <c r="AN702" s="9" t="s">
        <v>67</v>
      </c>
      <c r="AO702" s="11">
        <v>49920000</v>
      </c>
      <c r="AP702" s="13">
        <v>3993600</v>
      </c>
      <c r="AQ702" s="13">
        <v>53913600</v>
      </c>
      <c r="AR702" s="11">
        <v>1056</v>
      </c>
      <c r="AS702" s="9" t="s">
        <v>72</v>
      </c>
      <c r="AT702" s="11">
        <v>1200</v>
      </c>
      <c r="AU702" s="9" t="s">
        <v>73</v>
      </c>
      <c r="AV702" s="9" t="s">
        <v>67</v>
      </c>
      <c r="AW702" s="9" t="s">
        <v>1758</v>
      </c>
      <c r="AX702" s="10">
        <v>45987</v>
      </c>
      <c r="AY702" s="9" t="s">
        <v>1759</v>
      </c>
      <c r="AZ702" s="9" t="s">
        <v>67</v>
      </c>
      <c r="BA702" s="9" t="s">
        <v>67</v>
      </c>
      <c r="BB702" s="12">
        <v>1200</v>
      </c>
      <c r="BC702" s="9" t="s">
        <v>74</v>
      </c>
      <c r="BD702" s="9" t="s">
        <v>104</v>
      </c>
      <c r="BE702" s="9" t="s">
        <v>75</v>
      </c>
      <c r="BF702" s="11">
        <v>0</v>
      </c>
      <c r="BG702">
        <f t="shared" si="22"/>
        <v>12</v>
      </c>
      <c r="BH702" t="str">
        <f>VLOOKUP(BG702,[1]month!$A:$B,2,0)</f>
        <v>Desember</v>
      </c>
      <c r="BI702">
        <f t="shared" si="23"/>
        <v>2025</v>
      </c>
      <c r="BJ702" t="str">
        <f>VLOOKUP(I702,[1]Dist!$A:$B,2,0)</f>
        <v>Industry</v>
      </c>
      <c r="BK702" t="str">
        <f>IF(I702=11,VLOOKUP(Y702,[2]Sheet1!$C:$N,10,0),IF(I702=13,VLOOKUP(Y702,[3]Sheet1!$C:$N,10,0),IF(I702=15,VLOOKUP(Y702,[4]Sheet1!$C:$N,10,0),"Unknown")))</f>
        <v>THINNER PU</v>
      </c>
      <c r="BL702" t="str">
        <f>IF(I702=11,VLOOKUP(Y702,[2]Sheet1!$C:$N,12,0),IF(I702=13,VLOOKUP(Y702,[3]Sheet1!$C:$N,12,0),IF(I702=15,VLOOKUP(Y702,[4]Sheet1!$C:$N,12,0),"Unknown")))</f>
        <v>UNION THINNER</v>
      </c>
      <c r="BM702" t="str">
        <f>VLOOKUP(W702,[1]branch!$A:$B,2,0)</f>
        <v>INDUSTRY</v>
      </c>
    </row>
    <row r="703" spans="1:65" x14ac:dyDescent="0.35">
      <c r="A703" s="10">
        <v>46000</v>
      </c>
      <c r="B703" s="9" t="s">
        <v>1760</v>
      </c>
      <c r="C703" s="9" t="s">
        <v>64</v>
      </c>
      <c r="D703" s="9" t="s">
        <v>92</v>
      </c>
      <c r="E703" s="11">
        <v>45</v>
      </c>
      <c r="F703" s="9" t="s">
        <v>93</v>
      </c>
      <c r="G703" s="9" t="s">
        <v>65</v>
      </c>
      <c r="H703" s="9" t="s">
        <v>66</v>
      </c>
      <c r="I703" s="9">
        <v>11</v>
      </c>
      <c r="J703" s="9" t="s">
        <v>162</v>
      </c>
      <c r="K703" s="9" t="s">
        <v>162</v>
      </c>
      <c r="L703" s="9" t="s">
        <v>162</v>
      </c>
      <c r="M703" s="9" t="s">
        <v>163</v>
      </c>
      <c r="N703" s="9" t="s">
        <v>867</v>
      </c>
      <c r="O703" s="9" t="s">
        <v>97</v>
      </c>
      <c r="P703" s="9" t="s">
        <v>67</v>
      </c>
      <c r="Q703" s="9" t="s">
        <v>98</v>
      </c>
      <c r="R703" s="9" t="s">
        <v>162</v>
      </c>
      <c r="S703" s="9" t="s">
        <v>163</v>
      </c>
      <c r="T703" s="9" t="s">
        <v>795</v>
      </c>
      <c r="U703" s="9" t="s">
        <v>67</v>
      </c>
      <c r="V703" s="9" t="s">
        <v>130</v>
      </c>
      <c r="W703" s="9" t="s">
        <v>131</v>
      </c>
      <c r="X703" s="11">
        <v>10</v>
      </c>
      <c r="Y703" s="9" t="s">
        <v>1761</v>
      </c>
      <c r="Z703" s="9" t="s">
        <v>68</v>
      </c>
      <c r="AA703" s="9" t="s">
        <v>1762</v>
      </c>
      <c r="AB703" s="9" t="s">
        <v>67</v>
      </c>
      <c r="AC703" s="9" t="s">
        <v>182</v>
      </c>
      <c r="AD703" s="11">
        <v>1</v>
      </c>
      <c r="AE703" s="9" t="s">
        <v>70</v>
      </c>
      <c r="AF703" s="9" t="s">
        <v>71</v>
      </c>
      <c r="AG703" s="13">
        <v>1</v>
      </c>
      <c r="AH703" s="9" t="s">
        <v>92</v>
      </c>
      <c r="AI703" s="13">
        <v>14060000</v>
      </c>
      <c r="AJ703" s="13">
        <v>14060000</v>
      </c>
      <c r="AK703" s="11">
        <v>0</v>
      </c>
      <c r="AL703" s="11">
        <v>0</v>
      </c>
      <c r="AM703" s="11">
        <v>0</v>
      </c>
      <c r="AN703" s="9" t="s">
        <v>67</v>
      </c>
      <c r="AO703" s="11">
        <v>14060000</v>
      </c>
      <c r="AP703" s="13">
        <v>1124800</v>
      </c>
      <c r="AQ703" s="13">
        <v>15184800</v>
      </c>
      <c r="AR703" s="11">
        <v>190</v>
      </c>
      <c r="AS703" s="9" t="s">
        <v>72</v>
      </c>
      <c r="AT703" s="11">
        <v>200</v>
      </c>
      <c r="AU703" s="9" t="s">
        <v>73</v>
      </c>
      <c r="AV703" s="9" t="s">
        <v>67</v>
      </c>
      <c r="AW703" s="9" t="s">
        <v>1763</v>
      </c>
      <c r="AX703" s="10">
        <v>45987</v>
      </c>
      <c r="AY703" s="9" t="s">
        <v>1764</v>
      </c>
      <c r="AZ703" s="9" t="s">
        <v>67</v>
      </c>
      <c r="BA703" s="9" t="s">
        <v>67</v>
      </c>
      <c r="BB703" s="12">
        <v>200</v>
      </c>
      <c r="BC703" s="9" t="s">
        <v>74</v>
      </c>
      <c r="BD703" s="9" t="s">
        <v>104</v>
      </c>
      <c r="BE703" s="9" t="s">
        <v>75</v>
      </c>
      <c r="BF703" s="11">
        <v>0</v>
      </c>
      <c r="BG703">
        <f t="shared" si="22"/>
        <v>12</v>
      </c>
      <c r="BH703" t="str">
        <f>VLOOKUP(BG703,[1]month!$A:$B,2,0)</f>
        <v>Desember</v>
      </c>
      <c r="BI703">
        <f t="shared" si="23"/>
        <v>2025</v>
      </c>
      <c r="BJ703" t="str">
        <f>VLOOKUP(I703,[1]Dist!$A:$B,2,0)</f>
        <v>Industry</v>
      </c>
      <c r="BK703" t="str">
        <f>IF(I703=11,VLOOKUP(Y703,[2]Sheet1!$C:$N,10,0),IF(I703=13,VLOOKUP(Y703,[3]Sheet1!$C:$N,10,0),IF(I703=15,VLOOKUP(Y703,[4]Sheet1!$C:$N,10,0),"Unknown")))</f>
        <v>THINNER PU</v>
      </c>
      <c r="BL703" t="str">
        <f>IF(I703=11,VLOOKUP(Y703,[2]Sheet1!$C:$N,12,0),IF(I703=13,VLOOKUP(Y703,[3]Sheet1!$C:$N,12,0),IF(I703=15,VLOOKUP(Y703,[4]Sheet1!$C:$N,12,0),"Unknown")))</f>
        <v>UNION THINNER</v>
      </c>
      <c r="BM703" t="str">
        <f>VLOOKUP(W703,[1]branch!$A:$B,2,0)</f>
        <v>INDUSTRY</v>
      </c>
    </row>
    <row r="704" spans="1:65" x14ac:dyDescent="0.35">
      <c r="A704" s="10">
        <v>46000</v>
      </c>
      <c r="B704" s="9" t="s">
        <v>1760</v>
      </c>
      <c r="C704" s="9" t="s">
        <v>64</v>
      </c>
      <c r="D704" s="9" t="s">
        <v>92</v>
      </c>
      <c r="E704" s="11">
        <v>45</v>
      </c>
      <c r="F704" s="9" t="s">
        <v>93</v>
      </c>
      <c r="G704" s="9" t="s">
        <v>65</v>
      </c>
      <c r="H704" s="9" t="s">
        <v>66</v>
      </c>
      <c r="I704" s="9">
        <v>11</v>
      </c>
      <c r="J704" s="9" t="s">
        <v>162</v>
      </c>
      <c r="K704" s="9" t="s">
        <v>162</v>
      </c>
      <c r="L704" s="9" t="s">
        <v>162</v>
      </c>
      <c r="M704" s="9" t="s">
        <v>163</v>
      </c>
      <c r="N704" s="9" t="s">
        <v>867</v>
      </c>
      <c r="O704" s="9" t="s">
        <v>97</v>
      </c>
      <c r="P704" s="9" t="s">
        <v>67</v>
      </c>
      <c r="Q704" s="9" t="s">
        <v>98</v>
      </c>
      <c r="R704" s="9" t="s">
        <v>162</v>
      </c>
      <c r="S704" s="9" t="s">
        <v>163</v>
      </c>
      <c r="T704" s="9" t="s">
        <v>795</v>
      </c>
      <c r="U704" s="9" t="s">
        <v>67</v>
      </c>
      <c r="V704" s="9" t="s">
        <v>130</v>
      </c>
      <c r="W704" s="9" t="s">
        <v>131</v>
      </c>
      <c r="X704" s="11">
        <v>20</v>
      </c>
      <c r="Y704" s="9" t="s">
        <v>183</v>
      </c>
      <c r="Z704" s="9" t="s">
        <v>68</v>
      </c>
      <c r="AA704" s="9" t="s">
        <v>184</v>
      </c>
      <c r="AB704" s="9" t="s">
        <v>67</v>
      </c>
      <c r="AC704" s="9" t="s">
        <v>139</v>
      </c>
      <c r="AD704" s="11">
        <v>2</v>
      </c>
      <c r="AE704" s="9" t="s">
        <v>70</v>
      </c>
      <c r="AF704" s="9" t="s">
        <v>71</v>
      </c>
      <c r="AG704" s="13">
        <v>1</v>
      </c>
      <c r="AH704" s="9" t="s">
        <v>92</v>
      </c>
      <c r="AI704" s="13">
        <v>4540000</v>
      </c>
      <c r="AJ704" s="13">
        <v>9080000</v>
      </c>
      <c r="AK704" s="11">
        <v>0</v>
      </c>
      <c r="AL704" s="11">
        <v>0</v>
      </c>
      <c r="AM704" s="11">
        <v>0</v>
      </c>
      <c r="AN704" s="9" t="s">
        <v>67</v>
      </c>
      <c r="AO704" s="11">
        <v>9080000</v>
      </c>
      <c r="AP704" s="13">
        <v>726400</v>
      </c>
      <c r="AQ704" s="13">
        <v>9806400</v>
      </c>
      <c r="AR704" s="11">
        <v>320</v>
      </c>
      <c r="AS704" s="9" t="s">
        <v>72</v>
      </c>
      <c r="AT704" s="11">
        <v>400</v>
      </c>
      <c r="AU704" s="9" t="s">
        <v>73</v>
      </c>
      <c r="AV704" s="9" t="s">
        <v>67</v>
      </c>
      <c r="AW704" s="9" t="s">
        <v>1763</v>
      </c>
      <c r="AX704" s="10">
        <v>45987</v>
      </c>
      <c r="AY704" s="9" t="s">
        <v>1764</v>
      </c>
      <c r="AZ704" s="9" t="s">
        <v>67</v>
      </c>
      <c r="BA704" s="9" t="s">
        <v>67</v>
      </c>
      <c r="BB704" s="12">
        <v>400</v>
      </c>
      <c r="BC704" s="9" t="s">
        <v>74</v>
      </c>
      <c r="BD704" s="9" t="s">
        <v>104</v>
      </c>
      <c r="BE704" s="9" t="s">
        <v>75</v>
      </c>
      <c r="BF704" s="11">
        <v>0</v>
      </c>
      <c r="BG704">
        <f t="shared" si="22"/>
        <v>12</v>
      </c>
      <c r="BH704" t="str">
        <f>VLOOKUP(BG704,[1]month!$A:$B,2,0)</f>
        <v>Desember</v>
      </c>
      <c r="BI704">
        <f t="shared" si="23"/>
        <v>2025</v>
      </c>
      <c r="BJ704" t="str">
        <f>VLOOKUP(I704,[1]Dist!$A:$B,2,0)</f>
        <v>Industry</v>
      </c>
      <c r="BK704" t="str">
        <f>IF(I704=11,VLOOKUP(Y704,[2]Sheet1!$C:$N,10,0),IF(I704=13,VLOOKUP(Y704,[3]Sheet1!$C:$N,10,0),IF(I704=15,VLOOKUP(Y704,[4]Sheet1!$C:$N,10,0),"Unknown")))</f>
        <v>THINNER NC</v>
      </c>
      <c r="BL704" t="str">
        <f>IF(I704=11,VLOOKUP(Y704,[2]Sheet1!$C:$N,12,0),IF(I704=13,VLOOKUP(Y704,[3]Sheet1!$C:$N,12,0),IF(I704=15,VLOOKUP(Y704,[4]Sheet1!$C:$N,12,0),"Unknown")))</f>
        <v>THINNER COMPLEMENTARY</v>
      </c>
      <c r="BM704" t="str">
        <f>VLOOKUP(W704,[1]branch!$A:$B,2,0)</f>
        <v>INDUSTRY</v>
      </c>
    </row>
    <row r="705" spans="1:65" x14ac:dyDescent="0.35">
      <c r="A705" s="10">
        <v>46001</v>
      </c>
      <c r="B705" s="9" t="s">
        <v>1765</v>
      </c>
      <c r="C705" s="9" t="s">
        <v>64</v>
      </c>
      <c r="D705" s="9" t="s">
        <v>92</v>
      </c>
      <c r="E705" s="11">
        <v>60</v>
      </c>
      <c r="F705" s="9" t="s">
        <v>93</v>
      </c>
      <c r="G705" s="9" t="s">
        <v>65</v>
      </c>
      <c r="H705" s="9" t="s">
        <v>66</v>
      </c>
      <c r="I705" s="9">
        <v>11</v>
      </c>
      <c r="J705" s="9" t="s">
        <v>227</v>
      </c>
      <c r="K705" s="9" t="s">
        <v>227</v>
      </c>
      <c r="L705" s="9" t="s">
        <v>227</v>
      </c>
      <c r="M705" s="9" t="s">
        <v>228</v>
      </c>
      <c r="N705" s="9" t="s">
        <v>872</v>
      </c>
      <c r="O705" s="9" t="s">
        <v>97</v>
      </c>
      <c r="P705" s="9" t="s">
        <v>67</v>
      </c>
      <c r="Q705" s="9" t="s">
        <v>98</v>
      </c>
      <c r="R705" s="9" t="s">
        <v>227</v>
      </c>
      <c r="S705" s="9" t="s">
        <v>228</v>
      </c>
      <c r="T705" s="9" t="s">
        <v>817</v>
      </c>
      <c r="U705" s="9" t="s">
        <v>67</v>
      </c>
      <c r="V705" s="9" t="s">
        <v>221</v>
      </c>
      <c r="W705" s="9" t="s">
        <v>222</v>
      </c>
      <c r="X705" s="11">
        <v>40</v>
      </c>
      <c r="Y705" s="9" t="s">
        <v>260</v>
      </c>
      <c r="Z705" s="9" t="s">
        <v>68</v>
      </c>
      <c r="AA705" s="9" t="s">
        <v>723</v>
      </c>
      <c r="AB705" s="9" t="s">
        <v>67</v>
      </c>
      <c r="AC705" s="9" t="s">
        <v>248</v>
      </c>
      <c r="AD705" s="11">
        <v>15</v>
      </c>
      <c r="AE705" s="9" t="s">
        <v>70</v>
      </c>
      <c r="AF705" s="9" t="s">
        <v>71</v>
      </c>
      <c r="AG705" s="13">
        <v>1</v>
      </c>
      <c r="AH705" s="9" t="s">
        <v>92</v>
      </c>
      <c r="AI705" s="13">
        <v>2787200</v>
      </c>
      <c r="AJ705" s="13">
        <v>41808000</v>
      </c>
      <c r="AK705" s="11">
        <v>0</v>
      </c>
      <c r="AL705" s="11">
        <v>0</v>
      </c>
      <c r="AM705" s="11">
        <v>0</v>
      </c>
      <c r="AN705" s="9" t="s">
        <v>67</v>
      </c>
      <c r="AO705" s="11">
        <v>41808000</v>
      </c>
      <c r="AP705" s="13">
        <v>3344640</v>
      </c>
      <c r="AQ705" s="13">
        <v>45152640</v>
      </c>
      <c r="AR705" s="11">
        <v>294</v>
      </c>
      <c r="AS705" s="9" t="s">
        <v>72</v>
      </c>
      <c r="AT705" s="11">
        <v>300</v>
      </c>
      <c r="AU705" s="9" t="s">
        <v>73</v>
      </c>
      <c r="AV705" s="9" t="s">
        <v>67</v>
      </c>
      <c r="AW705" s="9" t="s">
        <v>1766</v>
      </c>
      <c r="AX705" s="10">
        <v>45957</v>
      </c>
      <c r="AY705" s="9" t="s">
        <v>1767</v>
      </c>
      <c r="AZ705" s="9" t="s">
        <v>67</v>
      </c>
      <c r="BA705" s="9" t="s">
        <v>67</v>
      </c>
      <c r="BB705" s="12">
        <v>300</v>
      </c>
      <c r="BC705" s="9" t="s">
        <v>74</v>
      </c>
      <c r="BD705" s="9" t="s">
        <v>104</v>
      </c>
      <c r="BE705" s="9" t="s">
        <v>75</v>
      </c>
      <c r="BF705" s="11">
        <v>0</v>
      </c>
      <c r="BG705">
        <f t="shared" si="22"/>
        <v>12</v>
      </c>
      <c r="BH705" t="str">
        <f>VLOOKUP(BG705,[1]month!$A:$B,2,0)</f>
        <v>Desember</v>
      </c>
      <c r="BI705">
        <f t="shared" si="23"/>
        <v>2025</v>
      </c>
      <c r="BJ705" t="str">
        <f>VLOOKUP(I705,[1]Dist!$A:$B,2,0)</f>
        <v>Industry</v>
      </c>
      <c r="BK705" t="str">
        <f>IF(I705=11,VLOOKUP(Y705,[2]Sheet1!$C:$N,10,0),IF(I705=13,VLOOKUP(Y705,[3]Sheet1!$C:$N,10,0),IF(I705=15,VLOOKUP(Y705,[4]Sheet1!$C:$N,10,0),"Unknown")))</f>
        <v>PU</v>
      </c>
      <c r="BL705" t="str">
        <f>IF(I705=11,VLOOKUP(Y705,[2]Sheet1!$C:$N,12,0),IF(I705=13,VLOOKUP(Y705,[3]Sheet1!$C:$N,12,0),IF(I705=15,VLOOKUP(Y705,[4]Sheet1!$C:$N,12,0),"Unknown")))</f>
        <v>PU LACQUER</v>
      </c>
      <c r="BM705" t="str">
        <f>VLOOKUP(W705,[1]branch!$A:$B,2,0)</f>
        <v>INDUSTRY</v>
      </c>
    </row>
    <row r="706" spans="1:65" x14ac:dyDescent="0.35">
      <c r="A706" s="10">
        <v>46001</v>
      </c>
      <c r="B706" s="9" t="s">
        <v>1768</v>
      </c>
      <c r="C706" s="9" t="s">
        <v>64</v>
      </c>
      <c r="D706" s="9" t="s">
        <v>92</v>
      </c>
      <c r="E706" s="11">
        <v>60</v>
      </c>
      <c r="F706" s="9" t="s">
        <v>93</v>
      </c>
      <c r="G706" s="9" t="s">
        <v>65</v>
      </c>
      <c r="H706" s="9" t="s">
        <v>66</v>
      </c>
      <c r="I706" s="9">
        <v>11</v>
      </c>
      <c r="J706" s="9" t="s">
        <v>227</v>
      </c>
      <c r="K706" s="9" t="s">
        <v>227</v>
      </c>
      <c r="L706" s="9" t="s">
        <v>227</v>
      </c>
      <c r="M706" s="9" t="s">
        <v>228</v>
      </c>
      <c r="N706" s="9" t="s">
        <v>872</v>
      </c>
      <c r="O706" s="9" t="s">
        <v>97</v>
      </c>
      <c r="P706" s="9" t="s">
        <v>67</v>
      </c>
      <c r="Q706" s="9" t="s">
        <v>98</v>
      </c>
      <c r="R706" s="9" t="s">
        <v>227</v>
      </c>
      <c r="S706" s="9" t="s">
        <v>228</v>
      </c>
      <c r="T706" s="9" t="s">
        <v>817</v>
      </c>
      <c r="U706" s="9" t="s">
        <v>67</v>
      </c>
      <c r="V706" s="9" t="s">
        <v>221</v>
      </c>
      <c r="W706" s="9" t="s">
        <v>222</v>
      </c>
      <c r="X706" s="11">
        <v>10</v>
      </c>
      <c r="Y706" s="9" t="s">
        <v>249</v>
      </c>
      <c r="Z706" s="9" t="s">
        <v>68</v>
      </c>
      <c r="AA706" s="9" t="s">
        <v>250</v>
      </c>
      <c r="AB706" s="9" t="s">
        <v>67</v>
      </c>
      <c r="AC706" s="9" t="s">
        <v>251</v>
      </c>
      <c r="AD706" s="11">
        <v>3</v>
      </c>
      <c r="AE706" s="9" t="s">
        <v>70</v>
      </c>
      <c r="AF706" s="9" t="s">
        <v>71</v>
      </c>
      <c r="AG706" s="13">
        <v>1</v>
      </c>
      <c r="AH706" s="9" t="s">
        <v>92</v>
      </c>
      <c r="AI706" s="13">
        <v>10878000</v>
      </c>
      <c r="AJ706" s="13">
        <v>32634000</v>
      </c>
      <c r="AK706" s="11">
        <v>0</v>
      </c>
      <c r="AL706" s="11">
        <v>0</v>
      </c>
      <c r="AM706" s="11">
        <v>0</v>
      </c>
      <c r="AN706" s="9" t="s">
        <v>67</v>
      </c>
      <c r="AO706" s="11">
        <v>32634000</v>
      </c>
      <c r="AP706" s="13">
        <v>2610720</v>
      </c>
      <c r="AQ706" s="13">
        <v>35244720</v>
      </c>
      <c r="AR706" s="11">
        <v>600</v>
      </c>
      <c r="AS706" s="9" t="s">
        <v>72</v>
      </c>
      <c r="AT706" s="12">
        <v>545.46</v>
      </c>
      <c r="AU706" s="9" t="s">
        <v>73</v>
      </c>
      <c r="AV706" s="9" t="s">
        <v>67</v>
      </c>
      <c r="AW706" s="9" t="s">
        <v>951</v>
      </c>
      <c r="AX706" s="10">
        <v>45986</v>
      </c>
      <c r="AY706" s="9" t="s">
        <v>1769</v>
      </c>
      <c r="AZ706" s="9" t="s">
        <v>67</v>
      </c>
      <c r="BA706" s="9" t="s">
        <v>67</v>
      </c>
      <c r="BB706" s="12">
        <v>600</v>
      </c>
      <c r="BC706" s="9" t="s">
        <v>74</v>
      </c>
      <c r="BD706" s="9" t="s">
        <v>104</v>
      </c>
      <c r="BE706" s="9" t="s">
        <v>75</v>
      </c>
      <c r="BF706" s="11">
        <v>0</v>
      </c>
      <c r="BG706">
        <f t="shared" si="22"/>
        <v>12</v>
      </c>
      <c r="BH706" t="str">
        <f>VLOOKUP(BG706,[1]month!$A:$B,2,0)</f>
        <v>Desember</v>
      </c>
      <c r="BI706">
        <f t="shared" si="23"/>
        <v>2025</v>
      </c>
      <c r="BJ706" t="str">
        <f>VLOOKUP(I706,[1]Dist!$A:$B,2,0)</f>
        <v>Industry</v>
      </c>
      <c r="BK706" t="str">
        <f>IF(I706=11,VLOOKUP(Y706,[2]Sheet1!$C:$N,10,0),IF(I706=13,VLOOKUP(Y706,[3]Sheet1!$C:$N,10,0),IF(I706=15,VLOOKUP(Y706,[4]Sheet1!$C:$N,10,0),"Unknown")))</f>
        <v>PU</v>
      </c>
      <c r="BL706" t="str">
        <f>IF(I706=11,VLOOKUP(Y706,[2]Sheet1!$C:$N,12,0),IF(I706=13,VLOOKUP(Y706,[3]Sheet1!$C:$N,12,0),IF(I706=15,VLOOKUP(Y706,[4]Sheet1!$C:$N,12,0),"Unknown")))</f>
        <v>PU SANDING SEALER</v>
      </c>
      <c r="BM706" t="str">
        <f>VLOOKUP(W706,[1]branch!$A:$B,2,0)</f>
        <v>INDUSTRY</v>
      </c>
    </row>
    <row r="707" spans="1:65" x14ac:dyDescent="0.35">
      <c r="A707" s="10">
        <v>46001</v>
      </c>
      <c r="B707" s="9" t="s">
        <v>1768</v>
      </c>
      <c r="C707" s="9" t="s">
        <v>64</v>
      </c>
      <c r="D707" s="9" t="s">
        <v>92</v>
      </c>
      <c r="E707" s="11">
        <v>60</v>
      </c>
      <c r="F707" s="9" t="s">
        <v>93</v>
      </c>
      <c r="G707" s="9" t="s">
        <v>65</v>
      </c>
      <c r="H707" s="9" t="s">
        <v>66</v>
      </c>
      <c r="I707" s="9">
        <v>11</v>
      </c>
      <c r="J707" s="9" t="s">
        <v>227</v>
      </c>
      <c r="K707" s="9" t="s">
        <v>227</v>
      </c>
      <c r="L707" s="9" t="s">
        <v>227</v>
      </c>
      <c r="M707" s="9" t="s">
        <v>228</v>
      </c>
      <c r="N707" s="9" t="s">
        <v>872</v>
      </c>
      <c r="O707" s="9" t="s">
        <v>97</v>
      </c>
      <c r="P707" s="9" t="s">
        <v>67</v>
      </c>
      <c r="Q707" s="9" t="s">
        <v>98</v>
      </c>
      <c r="R707" s="9" t="s">
        <v>227</v>
      </c>
      <c r="S707" s="9" t="s">
        <v>228</v>
      </c>
      <c r="T707" s="9" t="s">
        <v>817</v>
      </c>
      <c r="U707" s="9" t="s">
        <v>67</v>
      </c>
      <c r="V707" s="9" t="s">
        <v>221</v>
      </c>
      <c r="W707" s="9" t="s">
        <v>222</v>
      </c>
      <c r="X707" s="11">
        <v>20</v>
      </c>
      <c r="Y707" s="9" t="s">
        <v>252</v>
      </c>
      <c r="Z707" s="9" t="s">
        <v>68</v>
      </c>
      <c r="AA707" s="9" t="s">
        <v>253</v>
      </c>
      <c r="AB707" s="9" t="s">
        <v>67</v>
      </c>
      <c r="AC707" s="9" t="s">
        <v>254</v>
      </c>
      <c r="AD707" s="11">
        <v>2</v>
      </c>
      <c r="AE707" s="9" t="s">
        <v>70</v>
      </c>
      <c r="AF707" s="9" t="s">
        <v>71</v>
      </c>
      <c r="AG707" s="13">
        <v>1</v>
      </c>
      <c r="AH707" s="9" t="s">
        <v>92</v>
      </c>
      <c r="AI707" s="13">
        <v>16192000</v>
      </c>
      <c r="AJ707" s="13">
        <v>32384000</v>
      </c>
      <c r="AK707" s="11">
        <v>0</v>
      </c>
      <c r="AL707" s="11">
        <v>0</v>
      </c>
      <c r="AM707" s="11">
        <v>0</v>
      </c>
      <c r="AN707" s="9" t="s">
        <v>67</v>
      </c>
      <c r="AO707" s="11">
        <v>32384000</v>
      </c>
      <c r="AP707" s="13">
        <v>2590720</v>
      </c>
      <c r="AQ707" s="13">
        <v>34974720</v>
      </c>
      <c r="AR707" s="11">
        <v>400</v>
      </c>
      <c r="AS707" s="9" t="s">
        <v>72</v>
      </c>
      <c r="AT707" s="12">
        <v>300.76</v>
      </c>
      <c r="AU707" s="9" t="s">
        <v>73</v>
      </c>
      <c r="AV707" s="9" t="s">
        <v>67</v>
      </c>
      <c r="AW707" s="9" t="s">
        <v>951</v>
      </c>
      <c r="AX707" s="10">
        <v>45986</v>
      </c>
      <c r="AY707" s="9" t="s">
        <v>1769</v>
      </c>
      <c r="AZ707" s="9" t="s">
        <v>67</v>
      </c>
      <c r="BA707" s="9" t="s">
        <v>67</v>
      </c>
      <c r="BB707" s="12">
        <v>400</v>
      </c>
      <c r="BC707" s="9" t="s">
        <v>74</v>
      </c>
      <c r="BD707" s="9" t="s">
        <v>104</v>
      </c>
      <c r="BE707" s="9" t="s">
        <v>75</v>
      </c>
      <c r="BF707" s="11">
        <v>0</v>
      </c>
      <c r="BG707">
        <f t="shared" ref="BG707:BG770" si="24">MONTH(A707)</f>
        <v>12</v>
      </c>
      <c r="BH707" t="str">
        <f>VLOOKUP(BG707,[1]month!$A:$B,2,0)</f>
        <v>Desember</v>
      </c>
      <c r="BI707">
        <f t="shared" ref="BI707:BI770" si="25">YEAR(A707)</f>
        <v>2025</v>
      </c>
      <c r="BJ707" t="str">
        <f>VLOOKUP(I707,[1]Dist!$A:$B,2,0)</f>
        <v>Industry</v>
      </c>
      <c r="BK707" t="str">
        <f>IF(I707=11,VLOOKUP(Y707,[2]Sheet1!$C:$N,10,0),IF(I707=13,VLOOKUP(Y707,[3]Sheet1!$C:$N,10,0),IF(I707=15,VLOOKUP(Y707,[4]Sheet1!$C:$N,10,0),"Unknown")))</f>
        <v>PU</v>
      </c>
      <c r="BL707" t="str">
        <f>IF(I707=11,VLOOKUP(Y707,[2]Sheet1!$C:$N,12,0),IF(I707=13,VLOOKUP(Y707,[3]Sheet1!$C:$N,12,0),IF(I707=15,VLOOKUP(Y707,[4]Sheet1!$C:$N,12,0),"Unknown")))</f>
        <v>PU PRIMER</v>
      </c>
      <c r="BM707" t="str">
        <f>VLOOKUP(W707,[1]branch!$A:$B,2,0)</f>
        <v>INDUSTRY</v>
      </c>
    </row>
    <row r="708" spans="1:65" x14ac:dyDescent="0.35">
      <c r="A708" s="10">
        <v>46001</v>
      </c>
      <c r="B708" s="9" t="s">
        <v>1768</v>
      </c>
      <c r="C708" s="9" t="s">
        <v>64</v>
      </c>
      <c r="D708" s="9" t="s">
        <v>92</v>
      </c>
      <c r="E708" s="11">
        <v>60</v>
      </c>
      <c r="F708" s="9" t="s">
        <v>93</v>
      </c>
      <c r="G708" s="9" t="s">
        <v>65</v>
      </c>
      <c r="H708" s="9" t="s">
        <v>66</v>
      </c>
      <c r="I708" s="9">
        <v>11</v>
      </c>
      <c r="J708" s="9" t="s">
        <v>227</v>
      </c>
      <c r="K708" s="9" t="s">
        <v>227</v>
      </c>
      <c r="L708" s="9" t="s">
        <v>227</v>
      </c>
      <c r="M708" s="9" t="s">
        <v>228</v>
      </c>
      <c r="N708" s="9" t="s">
        <v>872</v>
      </c>
      <c r="O708" s="9" t="s">
        <v>97</v>
      </c>
      <c r="P708" s="9" t="s">
        <v>67</v>
      </c>
      <c r="Q708" s="9" t="s">
        <v>98</v>
      </c>
      <c r="R708" s="9" t="s">
        <v>227</v>
      </c>
      <c r="S708" s="9" t="s">
        <v>228</v>
      </c>
      <c r="T708" s="9" t="s">
        <v>817</v>
      </c>
      <c r="U708" s="9" t="s">
        <v>67</v>
      </c>
      <c r="V708" s="9" t="s">
        <v>221</v>
      </c>
      <c r="W708" s="9" t="s">
        <v>222</v>
      </c>
      <c r="X708" s="11">
        <v>30</v>
      </c>
      <c r="Y708" s="9" t="s">
        <v>118</v>
      </c>
      <c r="Z708" s="9" t="s">
        <v>68</v>
      </c>
      <c r="AA708" s="9" t="s">
        <v>119</v>
      </c>
      <c r="AB708" s="9" t="s">
        <v>67</v>
      </c>
      <c r="AC708" s="9" t="s">
        <v>120</v>
      </c>
      <c r="AD708" s="11">
        <v>15</v>
      </c>
      <c r="AE708" s="9" t="s">
        <v>70</v>
      </c>
      <c r="AF708" s="9" t="s">
        <v>71</v>
      </c>
      <c r="AG708" s="13">
        <v>1</v>
      </c>
      <c r="AH708" s="9" t="s">
        <v>92</v>
      </c>
      <c r="AI708" s="13">
        <v>7640000</v>
      </c>
      <c r="AJ708" s="13">
        <v>114600000</v>
      </c>
      <c r="AK708" s="11">
        <v>0</v>
      </c>
      <c r="AL708" s="11">
        <v>0</v>
      </c>
      <c r="AM708" s="11">
        <v>0</v>
      </c>
      <c r="AN708" s="9" t="s">
        <v>67</v>
      </c>
      <c r="AO708" s="11">
        <v>114600000</v>
      </c>
      <c r="AP708" s="13">
        <v>9168000</v>
      </c>
      <c r="AQ708" s="13">
        <v>123768000</v>
      </c>
      <c r="AR708" s="11">
        <v>2775</v>
      </c>
      <c r="AS708" s="9" t="s">
        <v>72</v>
      </c>
      <c r="AT708" s="11">
        <v>3000</v>
      </c>
      <c r="AU708" s="9" t="s">
        <v>73</v>
      </c>
      <c r="AV708" s="9" t="s">
        <v>67</v>
      </c>
      <c r="AW708" s="9" t="s">
        <v>951</v>
      </c>
      <c r="AX708" s="10">
        <v>45986</v>
      </c>
      <c r="AY708" s="9" t="s">
        <v>1769</v>
      </c>
      <c r="AZ708" s="9" t="s">
        <v>67</v>
      </c>
      <c r="BA708" s="9" t="s">
        <v>67</v>
      </c>
      <c r="BB708" s="12">
        <v>3000</v>
      </c>
      <c r="BC708" s="9" t="s">
        <v>74</v>
      </c>
      <c r="BD708" s="9" t="s">
        <v>104</v>
      </c>
      <c r="BE708" s="9" t="s">
        <v>75</v>
      </c>
      <c r="BF708" s="11">
        <v>0</v>
      </c>
      <c r="BG708">
        <f t="shared" si="24"/>
        <v>12</v>
      </c>
      <c r="BH708" t="str">
        <f>VLOOKUP(BG708,[1]month!$A:$B,2,0)</f>
        <v>Desember</v>
      </c>
      <c r="BI708">
        <f t="shared" si="25"/>
        <v>2025</v>
      </c>
      <c r="BJ708" t="str">
        <f>VLOOKUP(I708,[1]Dist!$A:$B,2,0)</f>
        <v>Industry</v>
      </c>
      <c r="BK708" t="str">
        <f>IF(I708=11,VLOOKUP(Y708,[2]Sheet1!$C:$N,10,0),IF(I708=13,VLOOKUP(Y708,[3]Sheet1!$C:$N,10,0),IF(I708=15,VLOOKUP(Y708,[4]Sheet1!$C:$N,10,0),"Unknown")))</f>
        <v>THINNER PU</v>
      </c>
      <c r="BL708" t="str">
        <f>IF(I708=11,VLOOKUP(Y708,[2]Sheet1!$C:$N,12,0),IF(I708=13,VLOOKUP(Y708,[3]Sheet1!$C:$N,12,0),IF(I708=15,VLOOKUP(Y708,[4]Sheet1!$C:$N,12,0),"Unknown")))</f>
        <v>THINNER PU</v>
      </c>
      <c r="BM708" t="str">
        <f>VLOOKUP(W708,[1]branch!$A:$B,2,0)</f>
        <v>INDUSTRY</v>
      </c>
    </row>
    <row r="709" spans="1:65" x14ac:dyDescent="0.35">
      <c r="A709" s="10">
        <v>46001</v>
      </c>
      <c r="B709" s="9" t="s">
        <v>1768</v>
      </c>
      <c r="C709" s="9" t="s">
        <v>64</v>
      </c>
      <c r="D709" s="9" t="s">
        <v>92</v>
      </c>
      <c r="E709" s="11">
        <v>60</v>
      </c>
      <c r="F709" s="9" t="s">
        <v>93</v>
      </c>
      <c r="G709" s="9" t="s">
        <v>65</v>
      </c>
      <c r="H709" s="9" t="s">
        <v>66</v>
      </c>
      <c r="I709" s="9">
        <v>11</v>
      </c>
      <c r="J709" s="9" t="s">
        <v>227</v>
      </c>
      <c r="K709" s="9" t="s">
        <v>227</v>
      </c>
      <c r="L709" s="9" t="s">
        <v>227</v>
      </c>
      <c r="M709" s="9" t="s">
        <v>228</v>
      </c>
      <c r="N709" s="9" t="s">
        <v>872</v>
      </c>
      <c r="O709" s="9" t="s">
        <v>97</v>
      </c>
      <c r="P709" s="9" t="s">
        <v>67</v>
      </c>
      <c r="Q709" s="9" t="s">
        <v>98</v>
      </c>
      <c r="R709" s="9" t="s">
        <v>227</v>
      </c>
      <c r="S709" s="9" t="s">
        <v>228</v>
      </c>
      <c r="T709" s="9" t="s">
        <v>817</v>
      </c>
      <c r="U709" s="9" t="s">
        <v>67</v>
      </c>
      <c r="V709" s="9" t="s">
        <v>221</v>
      </c>
      <c r="W709" s="9" t="s">
        <v>222</v>
      </c>
      <c r="X709" s="11">
        <v>40</v>
      </c>
      <c r="Y709" s="9" t="s">
        <v>257</v>
      </c>
      <c r="Z709" s="9" t="s">
        <v>68</v>
      </c>
      <c r="AA709" s="9" t="s">
        <v>258</v>
      </c>
      <c r="AB709" s="9" t="s">
        <v>67</v>
      </c>
      <c r="AC709" s="9" t="s">
        <v>259</v>
      </c>
      <c r="AD709" s="11">
        <v>22</v>
      </c>
      <c r="AE709" s="9" t="s">
        <v>70</v>
      </c>
      <c r="AF709" s="9" t="s">
        <v>71</v>
      </c>
      <c r="AG709" s="13">
        <v>1</v>
      </c>
      <c r="AH709" s="9" t="s">
        <v>92</v>
      </c>
      <c r="AI709" s="13">
        <v>2082800</v>
      </c>
      <c r="AJ709" s="13">
        <v>45821600</v>
      </c>
      <c r="AK709" s="11">
        <v>0</v>
      </c>
      <c r="AL709" s="11">
        <v>0</v>
      </c>
      <c r="AM709" s="11">
        <v>0</v>
      </c>
      <c r="AN709" s="9" t="s">
        <v>67</v>
      </c>
      <c r="AO709" s="11">
        <v>45821600</v>
      </c>
      <c r="AP709" s="13">
        <v>3665728</v>
      </c>
      <c r="AQ709" s="13">
        <v>49487328</v>
      </c>
      <c r="AR709" s="11">
        <v>440</v>
      </c>
      <c r="AS709" s="9" t="s">
        <v>72</v>
      </c>
      <c r="AT709" s="12">
        <v>435.82</v>
      </c>
      <c r="AU709" s="9" t="s">
        <v>73</v>
      </c>
      <c r="AV709" s="9" t="s">
        <v>67</v>
      </c>
      <c r="AW709" s="9" t="s">
        <v>951</v>
      </c>
      <c r="AX709" s="10">
        <v>45986</v>
      </c>
      <c r="AY709" s="9" t="s">
        <v>1769</v>
      </c>
      <c r="AZ709" s="9" t="s">
        <v>67</v>
      </c>
      <c r="BA709" s="9" t="s">
        <v>67</v>
      </c>
      <c r="BB709" s="12">
        <v>440</v>
      </c>
      <c r="BC709" s="9" t="s">
        <v>74</v>
      </c>
      <c r="BD709" s="9" t="s">
        <v>104</v>
      </c>
      <c r="BE709" s="9" t="s">
        <v>75</v>
      </c>
      <c r="BF709" s="11">
        <v>0</v>
      </c>
      <c r="BG709">
        <f t="shared" si="24"/>
        <v>12</v>
      </c>
      <c r="BH709" t="str">
        <f>VLOOKUP(BG709,[1]month!$A:$B,2,0)</f>
        <v>Desember</v>
      </c>
      <c r="BI709">
        <f t="shared" si="25"/>
        <v>2025</v>
      </c>
      <c r="BJ709" t="str">
        <f>VLOOKUP(I709,[1]Dist!$A:$B,2,0)</f>
        <v>Industry</v>
      </c>
      <c r="BK709" t="str">
        <f>IF(I709=11,VLOOKUP(Y709,[2]Sheet1!$C:$N,10,0),IF(I709=13,VLOOKUP(Y709,[3]Sheet1!$C:$N,10,0),IF(I709=15,VLOOKUP(Y709,[4]Sheet1!$C:$N,10,0),"Unknown")))</f>
        <v>PU</v>
      </c>
      <c r="BL709" t="str">
        <f>IF(I709=11,VLOOKUP(Y709,[2]Sheet1!$C:$N,12,0),IF(I709=13,VLOOKUP(Y709,[3]Sheet1!$C:$N,12,0),IF(I709=15,VLOOKUP(Y709,[4]Sheet1!$C:$N,12,0),"Unknown")))</f>
        <v>PU HARDENER</v>
      </c>
      <c r="BM709" t="str">
        <f>VLOOKUP(W709,[1]branch!$A:$B,2,0)</f>
        <v>INDUSTRY</v>
      </c>
    </row>
    <row r="710" spans="1:65" x14ac:dyDescent="0.35">
      <c r="A710" s="10">
        <v>46001</v>
      </c>
      <c r="B710" s="9" t="s">
        <v>1770</v>
      </c>
      <c r="C710" s="9" t="s">
        <v>64</v>
      </c>
      <c r="D710" s="9" t="s">
        <v>92</v>
      </c>
      <c r="E710" s="11">
        <v>45</v>
      </c>
      <c r="F710" s="9" t="s">
        <v>93</v>
      </c>
      <c r="G710" s="9" t="s">
        <v>65</v>
      </c>
      <c r="H710" s="9" t="s">
        <v>66</v>
      </c>
      <c r="I710" s="9">
        <v>13</v>
      </c>
      <c r="J710" s="9" t="s">
        <v>1771</v>
      </c>
      <c r="K710" s="9" t="s">
        <v>1771</v>
      </c>
      <c r="L710" s="9" t="s">
        <v>1771</v>
      </c>
      <c r="M710" s="9" t="s">
        <v>1772</v>
      </c>
      <c r="N710" s="9" t="s">
        <v>1773</v>
      </c>
      <c r="O710" s="9" t="s">
        <v>150</v>
      </c>
      <c r="P710" s="9" t="s">
        <v>67</v>
      </c>
      <c r="Q710" s="9" t="s">
        <v>98</v>
      </c>
      <c r="R710" s="9" t="s">
        <v>1771</v>
      </c>
      <c r="S710" s="9" t="s">
        <v>1772</v>
      </c>
      <c r="T710" s="9" t="s">
        <v>1774</v>
      </c>
      <c r="U710" s="9" t="s">
        <v>67</v>
      </c>
      <c r="V710" s="9" t="s">
        <v>592</v>
      </c>
      <c r="W710" s="9" t="s">
        <v>593</v>
      </c>
      <c r="X710" s="11">
        <v>10</v>
      </c>
      <c r="Y710" s="9" t="s">
        <v>448</v>
      </c>
      <c r="Z710" s="9" t="s">
        <v>68</v>
      </c>
      <c r="AA710" s="9" t="s">
        <v>449</v>
      </c>
      <c r="AB710" s="9" t="s">
        <v>67</v>
      </c>
      <c r="AC710" s="9" t="s">
        <v>326</v>
      </c>
      <c r="AD710" s="11">
        <v>24</v>
      </c>
      <c r="AE710" s="9" t="s">
        <v>156</v>
      </c>
      <c r="AF710" s="9" t="s">
        <v>71</v>
      </c>
      <c r="AG710" s="13">
        <v>1</v>
      </c>
      <c r="AH710" s="9" t="s">
        <v>92</v>
      </c>
      <c r="AI710" s="13">
        <v>206364</v>
      </c>
      <c r="AJ710" s="13">
        <v>4952736</v>
      </c>
      <c r="AK710" s="11">
        <v>742910</v>
      </c>
      <c r="AL710" s="11">
        <v>0</v>
      </c>
      <c r="AM710" s="11">
        <v>0</v>
      </c>
      <c r="AN710" s="9" t="s">
        <v>331</v>
      </c>
      <c r="AO710" s="11">
        <v>4209826</v>
      </c>
      <c r="AP710" s="13">
        <v>336786</v>
      </c>
      <c r="AQ710" s="13">
        <v>4546612</v>
      </c>
      <c r="AR710" s="11">
        <v>24</v>
      </c>
      <c r="AS710" s="9" t="s">
        <v>72</v>
      </c>
      <c r="AT710" s="12">
        <v>24.48</v>
      </c>
      <c r="AU710" s="9" t="s">
        <v>73</v>
      </c>
      <c r="AV710" s="9" t="s">
        <v>67</v>
      </c>
      <c r="AW710" s="9" t="s">
        <v>1775</v>
      </c>
      <c r="AX710" s="10">
        <v>46000</v>
      </c>
      <c r="AY710" s="9" t="s">
        <v>1776</v>
      </c>
      <c r="AZ710" s="9" t="s">
        <v>67</v>
      </c>
      <c r="BA710" s="9" t="s">
        <v>67</v>
      </c>
      <c r="BB710" s="12">
        <v>24</v>
      </c>
      <c r="BC710" s="9" t="s">
        <v>74</v>
      </c>
      <c r="BD710" s="9" t="s">
        <v>104</v>
      </c>
      <c r="BE710" s="9" t="s">
        <v>75</v>
      </c>
      <c r="BF710" s="11">
        <v>0</v>
      </c>
      <c r="BG710">
        <f t="shared" si="24"/>
        <v>12</v>
      </c>
      <c r="BH710" t="str">
        <f>VLOOKUP(BG710,[1]month!$A:$B,2,0)</f>
        <v>Desember</v>
      </c>
      <c r="BI710">
        <f t="shared" si="25"/>
        <v>2025</v>
      </c>
      <c r="BJ710" t="str">
        <f>VLOOKUP(I710,[1]Dist!$A:$B,2,0)</f>
        <v>Retail</v>
      </c>
      <c r="BK710" t="str">
        <f>IF(I710=11,VLOOKUP(Y710,[2]Sheet1!$C:$N,10,0),IF(I710=13,VLOOKUP(Y710,[3]Sheet1!$C:$N,10,0),IF(I710=15,VLOOKUP(Y710,[4]Sheet1!$C:$N,10,0),"Unknown")))</f>
        <v>PU MULTIPURPOSE</v>
      </c>
      <c r="BL710" t="str">
        <f>IF(I710=11,VLOOKUP(Y710,[2]Sheet1!$C:$N,12,0),IF(I710=13,VLOOKUP(Y710,[3]Sheet1!$C:$N,12,0),IF(I710=15,VLOOKUP(Y710,[4]Sheet1!$C:$N,12,0),"Unknown")))</f>
        <v>PROPAN MP PU ACR RMX</v>
      </c>
      <c r="BM710" t="str">
        <f>VLOOKUP(W710,[1]branch!$A:$B,2,0)</f>
        <v>HO CHI MINH</v>
      </c>
    </row>
    <row r="711" spans="1:65" x14ac:dyDescent="0.35">
      <c r="A711" s="10">
        <v>46001</v>
      </c>
      <c r="B711" s="9" t="s">
        <v>1770</v>
      </c>
      <c r="C711" s="9" t="s">
        <v>64</v>
      </c>
      <c r="D711" s="9" t="s">
        <v>92</v>
      </c>
      <c r="E711" s="11">
        <v>45</v>
      </c>
      <c r="F711" s="9" t="s">
        <v>93</v>
      </c>
      <c r="G711" s="9" t="s">
        <v>65</v>
      </c>
      <c r="H711" s="9" t="s">
        <v>66</v>
      </c>
      <c r="I711" s="9">
        <v>13</v>
      </c>
      <c r="J711" s="9" t="s">
        <v>1771</v>
      </c>
      <c r="K711" s="9" t="s">
        <v>1771</v>
      </c>
      <c r="L711" s="9" t="s">
        <v>1771</v>
      </c>
      <c r="M711" s="9" t="s">
        <v>1772</v>
      </c>
      <c r="N711" s="9" t="s">
        <v>1773</v>
      </c>
      <c r="O711" s="9" t="s">
        <v>150</v>
      </c>
      <c r="P711" s="9" t="s">
        <v>67</v>
      </c>
      <c r="Q711" s="9" t="s">
        <v>98</v>
      </c>
      <c r="R711" s="9" t="s">
        <v>1771</v>
      </c>
      <c r="S711" s="9" t="s">
        <v>1772</v>
      </c>
      <c r="T711" s="9" t="s">
        <v>1774</v>
      </c>
      <c r="U711" s="9" t="s">
        <v>67</v>
      </c>
      <c r="V711" s="9" t="s">
        <v>592</v>
      </c>
      <c r="W711" s="9" t="s">
        <v>593</v>
      </c>
      <c r="X711" s="11">
        <v>20</v>
      </c>
      <c r="Y711" s="9" t="s">
        <v>268</v>
      </c>
      <c r="Z711" s="9" t="s">
        <v>68</v>
      </c>
      <c r="AA711" s="9" t="s">
        <v>269</v>
      </c>
      <c r="AB711" s="9" t="s">
        <v>67</v>
      </c>
      <c r="AC711" s="9" t="s">
        <v>270</v>
      </c>
      <c r="AD711" s="11">
        <v>24</v>
      </c>
      <c r="AE711" s="9" t="s">
        <v>70</v>
      </c>
      <c r="AF711" s="9" t="s">
        <v>71</v>
      </c>
      <c r="AG711" s="13">
        <v>1</v>
      </c>
      <c r="AH711" s="9" t="s">
        <v>92</v>
      </c>
      <c r="AI711" s="13">
        <v>77273</v>
      </c>
      <c r="AJ711" s="13">
        <v>1854552</v>
      </c>
      <c r="AK711" s="11">
        <v>278183</v>
      </c>
      <c r="AL711" s="11">
        <v>0</v>
      </c>
      <c r="AM711" s="11">
        <v>0</v>
      </c>
      <c r="AN711" s="9" t="s">
        <v>331</v>
      </c>
      <c r="AO711" s="11">
        <v>1576369</v>
      </c>
      <c r="AP711" s="13">
        <v>126110</v>
      </c>
      <c r="AQ711" s="13">
        <v>1702479</v>
      </c>
      <c r="AR711" s="12">
        <v>15.936</v>
      </c>
      <c r="AS711" s="9" t="s">
        <v>72</v>
      </c>
      <c r="AT711" s="12">
        <v>19.2</v>
      </c>
      <c r="AU711" s="9" t="s">
        <v>73</v>
      </c>
      <c r="AV711" s="9" t="s">
        <v>67</v>
      </c>
      <c r="AW711" s="9" t="s">
        <v>1775</v>
      </c>
      <c r="AX711" s="10">
        <v>46000</v>
      </c>
      <c r="AY711" s="9" t="s">
        <v>1776</v>
      </c>
      <c r="AZ711" s="9" t="s">
        <v>67</v>
      </c>
      <c r="BA711" s="9" t="s">
        <v>67</v>
      </c>
      <c r="BB711" s="12">
        <v>19.2</v>
      </c>
      <c r="BC711" s="9" t="s">
        <v>74</v>
      </c>
      <c r="BD711" s="9" t="s">
        <v>104</v>
      </c>
      <c r="BE711" s="9" t="s">
        <v>75</v>
      </c>
      <c r="BF711" s="11">
        <v>0</v>
      </c>
      <c r="BG711">
        <f t="shared" si="24"/>
        <v>12</v>
      </c>
      <c r="BH711" t="str">
        <f>VLOOKUP(BG711,[1]month!$A:$B,2,0)</f>
        <v>Desember</v>
      </c>
      <c r="BI711">
        <f t="shared" si="25"/>
        <v>2025</v>
      </c>
      <c r="BJ711" t="str">
        <f>VLOOKUP(I711,[1]Dist!$A:$B,2,0)</f>
        <v>Retail</v>
      </c>
      <c r="BK711" t="str">
        <f>IF(I711=11,VLOOKUP(Y711,[2]Sheet1!$C:$N,10,0),IF(I711=13,VLOOKUP(Y711,[3]Sheet1!$C:$N,10,0),IF(I711=15,VLOOKUP(Y711,[4]Sheet1!$C:$N,10,0),"Unknown")))</f>
        <v>ULTRAN</v>
      </c>
      <c r="BL711" t="str">
        <f>IF(I711=11,VLOOKUP(Y711,[2]Sheet1!$C:$N,12,0),IF(I711=13,VLOOKUP(Y711,[3]Sheet1!$C:$N,12,0),IF(I711=15,VLOOKUP(Y711,[4]Sheet1!$C:$N,12,0),"Unknown")))</f>
        <v>ULTRAN VERNIS</v>
      </c>
      <c r="BM711" t="str">
        <f>VLOOKUP(W711,[1]branch!$A:$B,2,0)</f>
        <v>HO CHI MINH</v>
      </c>
    </row>
    <row r="712" spans="1:65" x14ac:dyDescent="0.35">
      <c r="A712" s="10">
        <v>46001</v>
      </c>
      <c r="B712" s="9" t="s">
        <v>1777</v>
      </c>
      <c r="C712" s="9" t="s">
        <v>64</v>
      </c>
      <c r="D712" s="9" t="s">
        <v>92</v>
      </c>
      <c r="E712" s="11">
        <v>45</v>
      </c>
      <c r="F712" s="9" t="s">
        <v>93</v>
      </c>
      <c r="G712" s="9" t="s">
        <v>65</v>
      </c>
      <c r="H712" s="9" t="s">
        <v>66</v>
      </c>
      <c r="I712" s="9">
        <v>13</v>
      </c>
      <c r="J712" s="9" t="s">
        <v>1771</v>
      </c>
      <c r="K712" s="9" t="s">
        <v>1771</v>
      </c>
      <c r="L712" s="9" t="s">
        <v>1771</v>
      </c>
      <c r="M712" s="9" t="s">
        <v>1772</v>
      </c>
      <c r="N712" s="9" t="s">
        <v>1773</v>
      </c>
      <c r="O712" s="9" t="s">
        <v>150</v>
      </c>
      <c r="P712" s="9" t="s">
        <v>67</v>
      </c>
      <c r="Q712" s="9" t="s">
        <v>98</v>
      </c>
      <c r="R712" s="9" t="s">
        <v>1771</v>
      </c>
      <c r="S712" s="9" t="s">
        <v>1772</v>
      </c>
      <c r="T712" s="9" t="s">
        <v>1774</v>
      </c>
      <c r="U712" s="9" t="s">
        <v>67</v>
      </c>
      <c r="V712" s="9" t="s">
        <v>592</v>
      </c>
      <c r="W712" s="9" t="s">
        <v>593</v>
      </c>
      <c r="X712" s="11">
        <v>10</v>
      </c>
      <c r="Y712" s="9" t="s">
        <v>947</v>
      </c>
      <c r="Z712" s="9" t="s">
        <v>68</v>
      </c>
      <c r="AA712" s="9" t="s">
        <v>948</v>
      </c>
      <c r="AB712" s="9" t="s">
        <v>67</v>
      </c>
      <c r="AC712" s="9" t="s">
        <v>916</v>
      </c>
      <c r="AD712" s="11">
        <v>5</v>
      </c>
      <c r="AE712" s="9" t="s">
        <v>70</v>
      </c>
      <c r="AF712" s="9" t="s">
        <v>71</v>
      </c>
      <c r="AG712" s="13">
        <v>1</v>
      </c>
      <c r="AH712" s="9" t="s">
        <v>92</v>
      </c>
      <c r="AI712" s="13">
        <v>1767273</v>
      </c>
      <c r="AJ712" s="13">
        <v>8836365</v>
      </c>
      <c r="AK712" s="11">
        <v>1701001</v>
      </c>
      <c r="AL712" s="11">
        <v>0</v>
      </c>
      <c r="AM712" s="11">
        <v>0</v>
      </c>
      <c r="AN712" s="9" t="s">
        <v>314</v>
      </c>
      <c r="AO712" s="11">
        <v>7135364</v>
      </c>
      <c r="AP712" s="13">
        <v>570829</v>
      </c>
      <c r="AQ712" s="13">
        <v>7706193</v>
      </c>
      <c r="AR712" s="11">
        <v>100</v>
      </c>
      <c r="AS712" s="9" t="s">
        <v>72</v>
      </c>
      <c r="AT712" s="12">
        <v>71.94</v>
      </c>
      <c r="AU712" s="9" t="s">
        <v>73</v>
      </c>
      <c r="AV712" s="9" t="s">
        <v>67</v>
      </c>
      <c r="AW712" s="9" t="s">
        <v>1778</v>
      </c>
      <c r="AX712" s="10">
        <v>46000</v>
      </c>
      <c r="AY712" s="9" t="s">
        <v>1779</v>
      </c>
      <c r="AZ712" s="9" t="s">
        <v>67</v>
      </c>
      <c r="BA712" s="9" t="s">
        <v>67</v>
      </c>
      <c r="BB712" s="12">
        <v>100</v>
      </c>
      <c r="BC712" s="9" t="s">
        <v>74</v>
      </c>
      <c r="BD712" s="9" t="s">
        <v>104</v>
      </c>
      <c r="BE712" s="9" t="s">
        <v>75</v>
      </c>
      <c r="BF712" s="11">
        <v>0</v>
      </c>
      <c r="BG712">
        <f t="shared" si="24"/>
        <v>12</v>
      </c>
      <c r="BH712" t="str">
        <f>VLOOKUP(BG712,[1]month!$A:$B,2,0)</f>
        <v>Desember</v>
      </c>
      <c r="BI712">
        <f t="shared" si="25"/>
        <v>2025</v>
      </c>
      <c r="BJ712" t="str">
        <f>VLOOKUP(I712,[1]Dist!$A:$B,2,0)</f>
        <v>Retail</v>
      </c>
      <c r="BK712" t="str">
        <f>IF(I712=11,VLOOKUP(Y712,[2]Sheet1!$C:$N,10,0),IF(I712=13,VLOOKUP(Y712,[3]Sheet1!$C:$N,10,0),IF(I712=15,VLOOKUP(Y712,[4]Sheet1!$C:$N,10,0),"Unknown")))</f>
        <v>WATERPROOFING</v>
      </c>
      <c r="BL712" t="str">
        <f>IF(I712=11,VLOOKUP(Y712,[2]Sheet1!$C:$N,12,0),IF(I712=13,VLOOKUP(Y712,[3]Sheet1!$C:$N,12,0),IF(I712=15,VLOOKUP(Y712,[4]Sheet1!$C:$N,12,0),"Unknown")))</f>
        <v>ULTRAFLEX MEMBRANE</v>
      </c>
      <c r="BM712" t="str">
        <f>VLOOKUP(W712,[1]branch!$A:$B,2,0)</f>
        <v>HO CHI MINH</v>
      </c>
    </row>
    <row r="713" spans="1:65" x14ac:dyDescent="0.35">
      <c r="A713" s="10">
        <v>46001</v>
      </c>
      <c r="B713" s="9" t="s">
        <v>1780</v>
      </c>
      <c r="C713" s="9" t="s">
        <v>64</v>
      </c>
      <c r="D713" s="9" t="s">
        <v>92</v>
      </c>
      <c r="E713" s="11">
        <v>60</v>
      </c>
      <c r="F713" s="9" t="s">
        <v>93</v>
      </c>
      <c r="G713" s="9" t="s">
        <v>65</v>
      </c>
      <c r="H713" s="9" t="s">
        <v>66</v>
      </c>
      <c r="I713" s="9">
        <v>11</v>
      </c>
      <c r="J713" s="9" t="s">
        <v>132</v>
      </c>
      <c r="K713" s="9" t="s">
        <v>132</v>
      </c>
      <c r="L713" s="9" t="s">
        <v>132</v>
      </c>
      <c r="M713" s="9" t="s">
        <v>133</v>
      </c>
      <c r="N713" s="9" t="s">
        <v>586</v>
      </c>
      <c r="O713" s="9" t="s">
        <v>97</v>
      </c>
      <c r="P713" s="9" t="s">
        <v>67</v>
      </c>
      <c r="Q713" s="9" t="s">
        <v>98</v>
      </c>
      <c r="R713" s="9" t="s">
        <v>672</v>
      </c>
      <c r="S713" s="9" t="s">
        <v>133</v>
      </c>
      <c r="T713" s="9" t="s">
        <v>823</v>
      </c>
      <c r="U713" s="9" t="s">
        <v>67</v>
      </c>
      <c r="V713" s="9" t="s">
        <v>130</v>
      </c>
      <c r="W713" s="9" t="s">
        <v>131</v>
      </c>
      <c r="X713" s="11">
        <v>20</v>
      </c>
      <c r="Y713" s="9" t="s">
        <v>1781</v>
      </c>
      <c r="Z713" s="9" t="s">
        <v>68</v>
      </c>
      <c r="AA713" s="9" t="s">
        <v>1782</v>
      </c>
      <c r="AB713" s="9" t="s">
        <v>67</v>
      </c>
      <c r="AC713" s="9" t="s">
        <v>134</v>
      </c>
      <c r="AD713" s="11">
        <v>2</v>
      </c>
      <c r="AE713" s="9" t="s">
        <v>70</v>
      </c>
      <c r="AF713" s="9" t="s">
        <v>71</v>
      </c>
      <c r="AG713" s="13">
        <v>1</v>
      </c>
      <c r="AH713" s="9" t="s">
        <v>92</v>
      </c>
      <c r="AI713" s="13">
        <v>819600</v>
      </c>
      <c r="AJ713" s="13">
        <v>1639200</v>
      </c>
      <c r="AK713" s="11">
        <v>0</v>
      </c>
      <c r="AL713" s="11">
        <v>0</v>
      </c>
      <c r="AM713" s="11">
        <v>0</v>
      </c>
      <c r="AN713" s="9" t="s">
        <v>67</v>
      </c>
      <c r="AO713" s="11">
        <v>1639200</v>
      </c>
      <c r="AP713" s="13">
        <v>131136</v>
      </c>
      <c r="AQ713" s="13">
        <v>1770336</v>
      </c>
      <c r="AR713" s="11">
        <v>8</v>
      </c>
      <c r="AS713" s="9" t="s">
        <v>72</v>
      </c>
      <c r="AT713" s="12">
        <v>9.1</v>
      </c>
      <c r="AU713" s="9" t="s">
        <v>73</v>
      </c>
      <c r="AV713" s="9" t="s">
        <v>67</v>
      </c>
      <c r="AW713" s="9" t="s">
        <v>1624</v>
      </c>
      <c r="AX713" s="10">
        <v>45995</v>
      </c>
      <c r="AY713" s="9" t="s">
        <v>1783</v>
      </c>
      <c r="AZ713" s="9" t="s">
        <v>67</v>
      </c>
      <c r="BA713" s="9" t="s">
        <v>67</v>
      </c>
      <c r="BB713" s="12">
        <v>8</v>
      </c>
      <c r="BC713" s="9" t="s">
        <v>74</v>
      </c>
      <c r="BD713" s="9" t="s">
        <v>104</v>
      </c>
      <c r="BE713" s="9" t="s">
        <v>75</v>
      </c>
      <c r="BF713" s="11">
        <v>0</v>
      </c>
      <c r="BG713">
        <f t="shared" si="24"/>
        <v>12</v>
      </c>
      <c r="BH713" t="str">
        <f>VLOOKUP(BG713,[1]month!$A:$B,2,0)</f>
        <v>Desember</v>
      </c>
      <c r="BI713">
        <f t="shared" si="25"/>
        <v>2025</v>
      </c>
      <c r="BJ713" t="str">
        <f>VLOOKUP(I713,[1]Dist!$A:$B,2,0)</f>
        <v>Industry</v>
      </c>
      <c r="BK713" t="str">
        <f>IF(I713=11,VLOOKUP(Y713,[2]Sheet1!$C:$N,10,0),IF(I713=13,VLOOKUP(Y713,[3]Sheet1!$C:$N,10,0),IF(I713=15,VLOOKUP(Y713,[4]Sheet1!$C:$N,10,0),"Unknown")))</f>
        <v>STAIN &amp; GLAZE INTERIOR</v>
      </c>
      <c r="BL713" t="str">
        <f>IF(I713=11,VLOOKUP(Y713,[2]Sheet1!$C:$N,12,0),IF(I713=13,VLOOKUP(Y713,[3]Sheet1!$C:$N,12,0),IF(I713=15,VLOOKUP(Y713,[4]Sheet1!$C:$N,12,0),"Unknown")))</f>
        <v>ASOF : STAIN &amp; GLAZE</v>
      </c>
      <c r="BM713" t="str">
        <f>VLOOKUP(W713,[1]branch!$A:$B,2,0)</f>
        <v>INDUSTRY</v>
      </c>
    </row>
    <row r="714" spans="1:65" x14ac:dyDescent="0.35">
      <c r="A714" s="10">
        <v>46001</v>
      </c>
      <c r="B714" s="9" t="s">
        <v>1780</v>
      </c>
      <c r="C714" s="9" t="s">
        <v>64</v>
      </c>
      <c r="D714" s="9" t="s">
        <v>92</v>
      </c>
      <c r="E714" s="11">
        <v>60</v>
      </c>
      <c r="F714" s="9" t="s">
        <v>93</v>
      </c>
      <c r="G714" s="9" t="s">
        <v>65</v>
      </c>
      <c r="H714" s="9" t="s">
        <v>66</v>
      </c>
      <c r="I714" s="9">
        <v>11</v>
      </c>
      <c r="J714" s="9" t="s">
        <v>132</v>
      </c>
      <c r="K714" s="9" t="s">
        <v>132</v>
      </c>
      <c r="L714" s="9" t="s">
        <v>132</v>
      </c>
      <c r="M714" s="9" t="s">
        <v>133</v>
      </c>
      <c r="N714" s="9" t="s">
        <v>586</v>
      </c>
      <c r="O714" s="9" t="s">
        <v>97</v>
      </c>
      <c r="P714" s="9" t="s">
        <v>67</v>
      </c>
      <c r="Q714" s="9" t="s">
        <v>98</v>
      </c>
      <c r="R714" s="9" t="s">
        <v>672</v>
      </c>
      <c r="S714" s="9" t="s">
        <v>133</v>
      </c>
      <c r="T714" s="9" t="s">
        <v>823</v>
      </c>
      <c r="U714" s="9" t="s">
        <v>67</v>
      </c>
      <c r="V714" s="9" t="s">
        <v>130</v>
      </c>
      <c r="W714" s="9" t="s">
        <v>131</v>
      </c>
      <c r="X714" s="11">
        <v>40</v>
      </c>
      <c r="Y714" s="9" t="s">
        <v>669</v>
      </c>
      <c r="Z714" s="9" t="s">
        <v>68</v>
      </c>
      <c r="AA714" s="9" t="s">
        <v>670</v>
      </c>
      <c r="AB714" s="9" t="s">
        <v>67</v>
      </c>
      <c r="AC714" s="9" t="s">
        <v>135</v>
      </c>
      <c r="AD714" s="11">
        <v>1</v>
      </c>
      <c r="AE714" s="9" t="s">
        <v>70</v>
      </c>
      <c r="AF714" s="9" t="s">
        <v>71</v>
      </c>
      <c r="AG714" s="13">
        <v>1</v>
      </c>
      <c r="AH714" s="9" t="s">
        <v>92</v>
      </c>
      <c r="AI714" s="13">
        <v>18660000</v>
      </c>
      <c r="AJ714" s="13">
        <v>18660000</v>
      </c>
      <c r="AK714" s="11">
        <v>0</v>
      </c>
      <c r="AL714" s="11">
        <v>0</v>
      </c>
      <c r="AM714" s="11">
        <v>0</v>
      </c>
      <c r="AN714" s="9" t="s">
        <v>67</v>
      </c>
      <c r="AO714" s="11">
        <v>18660000</v>
      </c>
      <c r="AP714" s="13">
        <v>1492800</v>
      </c>
      <c r="AQ714" s="13">
        <v>20152800</v>
      </c>
      <c r="AR714" s="11">
        <v>200</v>
      </c>
      <c r="AS714" s="9" t="s">
        <v>72</v>
      </c>
      <c r="AT714" s="12">
        <v>194.17</v>
      </c>
      <c r="AU714" s="9" t="s">
        <v>73</v>
      </c>
      <c r="AV714" s="9" t="s">
        <v>67</v>
      </c>
      <c r="AW714" s="9" t="s">
        <v>1624</v>
      </c>
      <c r="AX714" s="10">
        <v>45995</v>
      </c>
      <c r="AY714" s="9" t="s">
        <v>1783</v>
      </c>
      <c r="AZ714" s="9" t="s">
        <v>67</v>
      </c>
      <c r="BA714" s="9" t="s">
        <v>67</v>
      </c>
      <c r="BB714" s="12">
        <v>200</v>
      </c>
      <c r="BC714" s="9" t="s">
        <v>74</v>
      </c>
      <c r="BD714" s="9" t="s">
        <v>104</v>
      </c>
      <c r="BE714" s="9" t="s">
        <v>75</v>
      </c>
      <c r="BF714" s="11">
        <v>0</v>
      </c>
      <c r="BG714">
        <f t="shared" si="24"/>
        <v>12</v>
      </c>
      <c r="BH714" t="str">
        <f>VLOOKUP(BG714,[1]month!$A:$B,2,0)</f>
        <v>Desember</v>
      </c>
      <c r="BI714">
        <f t="shared" si="25"/>
        <v>2025</v>
      </c>
      <c r="BJ714" t="str">
        <f>VLOOKUP(I714,[1]Dist!$A:$B,2,0)</f>
        <v>Industry</v>
      </c>
      <c r="BK714" t="str">
        <f>IF(I714=11,VLOOKUP(Y714,[2]Sheet1!$C:$N,10,0),IF(I714=13,VLOOKUP(Y714,[3]Sheet1!$C:$N,10,0),IF(I714=15,VLOOKUP(Y714,[4]Sheet1!$C:$N,10,0),"Unknown")))</f>
        <v>NC</v>
      </c>
      <c r="BL714" t="str">
        <f>IF(I714=11,VLOOKUP(Y714,[2]Sheet1!$C:$N,12,0),IF(I714=13,VLOOKUP(Y714,[3]Sheet1!$C:$N,12,0),IF(I714=15,VLOOKUP(Y714,[4]Sheet1!$C:$N,12,0),"Unknown")))</f>
        <v>ASOF : NC BASE COAT</v>
      </c>
      <c r="BM714" t="str">
        <f>VLOOKUP(W714,[1]branch!$A:$B,2,0)</f>
        <v>INDUSTRY</v>
      </c>
    </row>
    <row r="715" spans="1:65" x14ac:dyDescent="0.35">
      <c r="A715" s="10">
        <v>46001</v>
      </c>
      <c r="B715" s="9" t="s">
        <v>1780</v>
      </c>
      <c r="C715" s="9" t="s">
        <v>64</v>
      </c>
      <c r="D715" s="9" t="s">
        <v>92</v>
      </c>
      <c r="E715" s="11">
        <v>60</v>
      </c>
      <c r="F715" s="9" t="s">
        <v>93</v>
      </c>
      <c r="G715" s="9" t="s">
        <v>65</v>
      </c>
      <c r="H715" s="9" t="s">
        <v>66</v>
      </c>
      <c r="I715" s="9">
        <v>11</v>
      </c>
      <c r="J715" s="9" t="s">
        <v>132</v>
      </c>
      <c r="K715" s="9" t="s">
        <v>132</v>
      </c>
      <c r="L715" s="9" t="s">
        <v>132</v>
      </c>
      <c r="M715" s="9" t="s">
        <v>133</v>
      </c>
      <c r="N715" s="9" t="s">
        <v>586</v>
      </c>
      <c r="O715" s="9" t="s">
        <v>97</v>
      </c>
      <c r="P715" s="9" t="s">
        <v>67</v>
      </c>
      <c r="Q715" s="9" t="s">
        <v>98</v>
      </c>
      <c r="R715" s="9" t="s">
        <v>672</v>
      </c>
      <c r="S715" s="9" t="s">
        <v>133</v>
      </c>
      <c r="T715" s="9" t="s">
        <v>823</v>
      </c>
      <c r="U715" s="9" t="s">
        <v>67</v>
      </c>
      <c r="V715" s="9" t="s">
        <v>130</v>
      </c>
      <c r="W715" s="9" t="s">
        <v>131</v>
      </c>
      <c r="X715" s="11">
        <v>60</v>
      </c>
      <c r="Y715" s="9" t="s">
        <v>136</v>
      </c>
      <c r="Z715" s="9" t="s">
        <v>68</v>
      </c>
      <c r="AA715" s="9" t="s">
        <v>636</v>
      </c>
      <c r="AB715" s="9" t="s">
        <v>67</v>
      </c>
      <c r="AC715" s="9" t="s">
        <v>137</v>
      </c>
      <c r="AD715" s="11">
        <v>1</v>
      </c>
      <c r="AE715" s="9" t="s">
        <v>70</v>
      </c>
      <c r="AF715" s="9" t="s">
        <v>71</v>
      </c>
      <c r="AG715" s="13">
        <v>1</v>
      </c>
      <c r="AH715" s="9" t="s">
        <v>92</v>
      </c>
      <c r="AI715" s="13">
        <v>12924000</v>
      </c>
      <c r="AJ715" s="13">
        <v>12924000</v>
      </c>
      <c r="AK715" s="11">
        <v>0</v>
      </c>
      <c r="AL715" s="11">
        <v>0</v>
      </c>
      <c r="AM715" s="11">
        <v>0</v>
      </c>
      <c r="AN715" s="9" t="s">
        <v>67</v>
      </c>
      <c r="AO715" s="11">
        <v>12924000</v>
      </c>
      <c r="AP715" s="13">
        <v>1033920</v>
      </c>
      <c r="AQ715" s="13">
        <v>13957920</v>
      </c>
      <c r="AR715" s="11">
        <v>180</v>
      </c>
      <c r="AS715" s="9" t="s">
        <v>72</v>
      </c>
      <c r="AT715" s="12">
        <v>183.67</v>
      </c>
      <c r="AU715" s="9" t="s">
        <v>73</v>
      </c>
      <c r="AV715" s="9" t="s">
        <v>67</v>
      </c>
      <c r="AW715" s="9" t="s">
        <v>1624</v>
      </c>
      <c r="AX715" s="10">
        <v>45995</v>
      </c>
      <c r="AY715" s="9" t="s">
        <v>1783</v>
      </c>
      <c r="AZ715" s="9" t="s">
        <v>67</v>
      </c>
      <c r="BA715" s="9" t="s">
        <v>67</v>
      </c>
      <c r="BB715" s="12">
        <v>180</v>
      </c>
      <c r="BC715" s="9" t="s">
        <v>74</v>
      </c>
      <c r="BD715" s="9" t="s">
        <v>104</v>
      </c>
      <c r="BE715" s="9" t="s">
        <v>75</v>
      </c>
      <c r="BF715" s="11">
        <v>0</v>
      </c>
      <c r="BG715">
        <f t="shared" si="24"/>
        <v>12</v>
      </c>
      <c r="BH715" t="str">
        <f>VLOOKUP(BG715,[1]month!$A:$B,2,0)</f>
        <v>Desember</v>
      </c>
      <c r="BI715">
        <f t="shared" si="25"/>
        <v>2025</v>
      </c>
      <c r="BJ715" t="str">
        <f>VLOOKUP(I715,[1]Dist!$A:$B,2,0)</f>
        <v>Industry</v>
      </c>
      <c r="BK715" t="str">
        <f>IF(I715=11,VLOOKUP(Y715,[2]Sheet1!$C:$N,10,0),IF(I715=13,VLOOKUP(Y715,[3]Sheet1!$C:$N,10,0),IF(I715=15,VLOOKUP(Y715,[4]Sheet1!$C:$N,10,0),"Unknown")))</f>
        <v>NC</v>
      </c>
      <c r="BL715" t="str">
        <f>IF(I715=11,VLOOKUP(Y715,[2]Sheet1!$C:$N,12,0),IF(I715=13,VLOOKUP(Y715,[3]Sheet1!$C:$N,12,0),IF(I715=15,VLOOKUP(Y715,[4]Sheet1!$C:$N,12,0),"Unknown")))</f>
        <v>ASOF : NC BASE COAT</v>
      </c>
      <c r="BM715" t="str">
        <f>VLOOKUP(W715,[1]branch!$A:$B,2,0)</f>
        <v>INDUSTRY</v>
      </c>
    </row>
    <row r="716" spans="1:65" x14ac:dyDescent="0.35">
      <c r="A716" s="10">
        <v>46001</v>
      </c>
      <c r="B716" s="9" t="s">
        <v>1780</v>
      </c>
      <c r="C716" s="9" t="s">
        <v>64</v>
      </c>
      <c r="D716" s="9" t="s">
        <v>92</v>
      </c>
      <c r="E716" s="11">
        <v>60</v>
      </c>
      <c r="F716" s="9" t="s">
        <v>93</v>
      </c>
      <c r="G716" s="9" t="s">
        <v>65</v>
      </c>
      <c r="H716" s="9" t="s">
        <v>66</v>
      </c>
      <c r="I716" s="9">
        <v>11</v>
      </c>
      <c r="J716" s="9" t="s">
        <v>132</v>
      </c>
      <c r="K716" s="9" t="s">
        <v>132</v>
      </c>
      <c r="L716" s="9" t="s">
        <v>132</v>
      </c>
      <c r="M716" s="9" t="s">
        <v>133</v>
      </c>
      <c r="N716" s="9" t="s">
        <v>586</v>
      </c>
      <c r="O716" s="9" t="s">
        <v>97</v>
      </c>
      <c r="P716" s="9" t="s">
        <v>67</v>
      </c>
      <c r="Q716" s="9" t="s">
        <v>98</v>
      </c>
      <c r="R716" s="9" t="s">
        <v>672</v>
      </c>
      <c r="S716" s="9" t="s">
        <v>133</v>
      </c>
      <c r="T716" s="9" t="s">
        <v>823</v>
      </c>
      <c r="U716" s="9" t="s">
        <v>67</v>
      </c>
      <c r="V716" s="9" t="s">
        <v>130</v>
      </c>
      <c r="W716" s="9" t="s">
        <v>131</v>
      </c>
      <c r="X716" s="11">
        <v>100</v>
      </c>
      <c r="Y716" s="9" t="s">
        <v>141</v>
      </c>
      <c r="Z716" s="9" t="s">
        <v>68</v>
      </c>
      <c r="AA716" s="9" t="s">
        <v>626</v>
      </c>
      <c r="AB716" s="9" t="s">
        <v>67</v>
      </c>
      <c r="AC716" s="9" t="s">
        <v>69</v>
      </c>
      <c r="AD716" s="11">
        <v>4</v>
      </c>
      <c r="AE716" s="9" t="s">
        <v>70</v>
      </c>
      <c r="AF716" s="9" t="s">
        <v>71</v>
      </c>
      <c r="AG716" s="13">
        <v>1</v>
      </c>
      <c r="AH716" s="9" t="s">
        <v>92</v>
      </c>
      <c r="AI716" s="13">
        <v>6448000</v>
      </c>
      <c r="AJ716" s="13">
        <v>25792000</v>
      </c>
      <c r="AK716" s="11">
        <v>0</v>
      </c>
      <c r="AL716" s="11">
        <v>0</v>
      </c>
      <c r="AM716" s="11">
        <v>0</v>
      </c>
      <c r="AN716" s="9" t="s">
        <v>67</v>
      </c>
      <c r="AO716" s="11">
        <v>25792000</v>
      </c>
      <c r="AP716" s="13">
        <v>2063360</v>
      </c>
      <c r="AQ716" s="13">
        <v>27855360</v>
      </c>
      <c r="AR716" s="11">
        <v>640</v>
      </c>
      <c r="AS716" s="9" t="s">
        <v>72</v>
      </c>
      <c r="AT716" s="12">
        <v>719.12</v>
      </c>
      <c r="AU716" s="9" t="s">
        <v>73</v>
      </c>
      <c r="AV716" s="9" t="s">
        <v>67</v>
      </c>
      <c r="AW716" s="9" t="s">
        <v>1624</v>
      </c>
      <c r="AX716" s="10">
        <v>45995</v>
      </c>
      <c r="AY716" s="9" t="s">
        <v>1783</v>
      </c>
      <c r="AZ716" s="9" t="s">
        <v>67</v>
      </c>
      <c r="BA716" s="9" t="s">
        <v>67</v>
      </c>
      <c r="BB716" s="12">
        <v>640</v>
      </c>
      <c r="BC716" s="9" t="s">
        <v>74</v>
      </c>
      <c r="BD716" s="9" t="s">
        <v>104</v>
      </c>
      <c r="BE716" s="9" t="s">
        <v>75</v>
      </c>
      <c r="BF716" s="11">
        <v>0</v>
      </c>
      <c r="BG716">
        <f t="shared" si="24"/>
        <v>12</v>
      </c>
      <c r="BH716" t="str">
        <f>VLOOKUP(BG716,[1]month!$A:$B,2,0)</f>
        <v>Desember</v>
      </c>
      <c r="BI716">
        <f t="shared" si="25"/>
        <v>2025</v>
      </c>
      <c r="BJ716" t="str">
        <f>VLOOKUP(I716,[1]Dist!$A:$B,2,0)</f>
        <v>Industry</v>
      </c>
      <c r="BK716" t="str">
        <f>IF(I716=11,VLOOKUP(Y716,[2]Sheet1!$C:$N,10,0),IF(I716=13,VLOOKUP(Y716,[3]Sheet1!$C:$N,10,0),IF(I716=15,VLOOKUP(Y716,[4]Sheet1!$C:$N,10,0),"Unknown")))</f>
        <v>THINNER NC</v>
      </c>
      <c r="BL716" t="str">
        <f>IF(I716=11,VLOOKUP(Y716,[2]Sheet1!$C:$N,12,0),IF(I716=13,VLOOKUP(Y716,[3]Sheet1!$C:$N,12,0),IF(I716=15,VLOOKUP(Y716,[4]Sheet1!$C:$N,12,0),"Unknown")))</f>
        <v>THINNER NC</v>
      </c>
      <c r="BM716" t="str">
        <f>VLOOKUP(W716,[1]branch!$A:$B,2,0)</f>
        <v>INDUSTRY</v>
      </c>
    </row>
    <row r="717" spans="1:65" x14ac:dyDescent="0.35">
      <c r="A717" s="10">
        <v>46001</v>
      </c>
      <c r="B717" s="9" t="s">
        <v>1780</v>
      </c>
      <c r="C717" s="9" t="s">
        <v>64</v>
      </c>
      <c r="D717" s="9" t="s">
        <v>92</v>
      </c>
      <c r="E717" s="11">
        <v>60</v>
      </c>
      <c r="F717" s="9" t="s">
        <v>93</v>
      </c>
      <c r="G717" s="9" t="s">
        <v>65</v>
      </c>
      <c r="H717" s="9" t="s">
        <v>66</v>
      </c>
      <c r="I717" s="9">
        <v>11</v>
      </c>
      <c r="J717" s="9" t="s">
        <v>132</v>
      </c>
      <c r="K717" s="9" t="s">
        <v>132</v>
      </c>
      <c r="L717" s="9" t="s">
        <v>132</v>
      </c>
      <c r="M717" s="9" t="s">
        <v>133</v>
      </c>
      <c r="N717" s="9" t="s">
        <v>586</v>
      </c>
      <c r="O717" s="9" t="s">
        <v>97</v>
      </c>
      <c r="P717" s="9" t="s">
        <v>67</v>
      </c>
      <c r="Q717" s="9" t="s">
        <v>98</v>
      </c>
      <c r="R717" s="9" t="s">
        <v>672</v>
      </c>
      <c r="S717" s="9" t="s">
        <v>133</v>
      </c>
      <c r="T717" s="9" t="s">
        <v>823</v>
      </c>
      <c r="U717" s="9" t="s">
        <v>67</v>
      </c>
      <c r="V717" s="9" t="s">
        <v>130</v>
      </c>
      <c r="W717" s="9" t="s">
        <v>131</v>
      </c>
      <c r="X717" s="11">
        <v>140</v>
      </c>
      <c r="Y717" s="9" t="s">
        <v>1784</v>
      </c>
      <c r="Z717" s="9" t="s">
        <v>68</v>
      </c>
      <c r="AA717" s="9" t="s">
        <v>1785</v>
      </c>
      <c r="AB717" s="9" t="s">
        <v>67</v>
      </c>
      <c r="AC717" s="9" t="s">
        <v>115</v>
      </c>
      <c r="AD717" s="11">
        <v>1</v>
      </c>
      <c r="AE717" s="9" t="s">
        <v>70</v>
      </c>
      <c r="AF717" s="9" t="s">
        <v>71</v>
      </c>
      <c r="AG717" s="13">
        <v>1</v>
      </c>
      <c r="AH717" s="9" t="s">
        <v>92</v>
      </c>
      <c r="AI717" s="13">
        <v>1960000</v>
      </c>
      <c r="AJ717" s="13">
        <v>1960000</v>
      </c>
      <c r="AK717" s="11">
        <v>0</v>
      </c>
      <c r="AL717" s="11">
        <v>0</v>
      </c>
      <c r="AM717" s="11">
        <v>0</v>
      </c>
      <c r="AN717" s="9" t="s">
        <v>67</v>
      </c>
      <c r="AO717" s="11">
        <v>1960000</v>
      </c>
      <c r="AP717" s="13">
        <v>156800</v>
      </c>
      <c r="AQ717" s="13">
        <v>2116800</v>
      </c>
      <c r="AR717" s="11">
        <v>20</v>
      </c>
      <c r="AS717" s="9" t="s">
        <v>72</v>
      </c>
      <c r="AT717" s="12">
        <v>18.690000000000001</v>
      </c>
      <c r="AU717" s="9" t="s">
        <v>73</v>
      </c>
      <c r="AV717" s="9" t="s">
        <v>67</v>
      </c>
      <c r="AW717" s="9" t="s">
        <v>1624</v>
      </c>
      <c r="AX717" s="10">
        <v>45995</v>
      </c>
      <c r="AY717" s="9" t="s">
        <v>1783</v>
      </c>
      <c r="AZ717" s="9" t="s">
        <v>67</v>
      </c>
      <c r="BA717" s="9" t="s">
        <v>67</v>
      </c>
      <c r="BB717" s="12">
        <v>20</v>
      </c>
      <c r="BC717" s="9" t="s">
        <v>74</v>
      </c>
      <c r="BD717" s="9" t="s">
        <v>104</v>
      </c>
      <c r="BE717" s="9" t="s">
        <v>75</v>
      </c>
      <c r="BF717" s="11">
        <v>0</v>
      </c>
      <c r="BG717">
        <f t="shared" si="24"/>
        <v>12</v>
      </c>
      <c r="BH717" t="str">
        <f>VLOOKUP(BG717,[1]month!$A:$B,2,0)</f>
        <v>Desember</v>
      </c>
      <c r="BI717">
        <f t="shared" si="25"/>
        <v>2025</v>
      </c>
      <c r="BJ717" t="str">
        <f>VLOOKUP(I717,[1]Dist!$A:$B,2,0)</f>
        <v>Industry</v>
      </c>
      <c r="BK717" t="str">
        <f>IF(I717=11,VLOOKUP(Y717,[2]Sheet1!$C:$N,10,0),IF(I717=13,VLOOKUP(Y717,[3]Sheet1!$C:$N,10,0),IF(I717=15,VLOOKUP(Y717,[4]Sheet1!$C:$N,10,0),"Unknown")))</f>
        <v>PU</v>
      </c>
      <c r="BL717" t="str">
        <f>IF(I717=11,VLOOKUP(Y717,[2]Sheet1!$C:$N,12,0),IF(I717=13,VLOOKUP(Y717,[3]Sheet1!$C:$N,12,0),IF(I717=15,VLOOKUP(Y717,[4]Sheet1!$C:$N,12,0),"Unknown")))</f>
        <v>PU HARDENER</v>
      </c>
      <c r="BM717" t="str">
        <f>VLOOKUP(W717,[1]branch!$A:$B,2,0)</f>
        <v>INDUSTRY</v>
      </c>
    </row>
    <row r="718" spans="1:65" x14ac:dyDescent="0.35">
      <c r="A718" s="10">
        <v>46001</v>
      </c>
      <c r="B718" s="9" t="s">
        <v>1780</v>
      </c>
      <c r="C718" s="9" t="s">
        <v>64</v>
      </c>
      <c r="D718" s="9" t="s">
        <v>92</v>
      </c>
      <c r="E718" s="11">
        <v>60</v>
      </c>
      <c r="F718" s="9" t="s">
        <v>93</v>
      </c>
      <c r="G718" s="9" t="s">
        <v>65</v>
      </c>
      <c r="H718" s="9" t="s">
        <v>66</v>
      </c>
      <c r="I718" s="9">
        <v>11</v>
      </c>
      <c r="J718" s="9" t="s">
        <v>132</v>
      </c>
      <c r="K718" s="9" t="s">
        <v>132</v>
      </c>
      <c r="L718" s="9" t="s">
        <v>132</v>
      </c>
      <c r="M718" s="9" t="s">
        <v>133</v>
      </c>
      <c r="N718" s="9" t="s">
        <v>586</v>
      </c>
      <c r="O718" s="9" t="s">
        <v>97</v>
      </c>
      <c r="P718" s="9" t="s">
        <v>67</v>
      </c>
      <c r="Q718" s="9" t="s">
        <v>98</v>
      </c>
      <c r="R718" s="9" t="s">
        <v>672</v>
      </c>
      <c r="S718" s="9" t="s">
        <v>133</v>
      </c>
      <c r="T718" s="9" t="s">
        <v>823</v>
      </c>
      <c r="U718" s="9" t="s">
        <v>67</v>
      </c>
      <c r="V718" s="9" t="s">
        <v>130</v>
      </c>
      <c r="W718" s="9" t="s">
        <v>131</v>
      </c>
      <c r="X718" s="11">
        <v>141</v>
      </c>
      <c r="Y718" s="9" t="s">
        <v>1786</v>
      </c>
      <c r="Z718" s="9" t="s">
        <v>68</v>
      </c>
      <c r="AA718" s="9" t="s">
        <v>1787</v>
      </c>
      <c r="AB718" s="9" t="s">
        <v>67</v>
      </c>
      <c r="AC718" s="9" t="s">
        <v>1632</v>
      </c>
      <c r="AD718" s="11">
        <v>1</v>
      </c>
      <c r="AE718" s="9" t="s">
        <v>70</v>
      </c>
      <c r="AF718" s="9" t="s">
        <v>71</v>
      </c>
      <c r="AG718" s="13">
        <v>1</v>
      </c>
      <c r="AH718" s="9" t="s">
        <v>92</v>
      </c>
      <c r="AI718" s="13">
        <v>16700000</v>
      </c>
      <c r="AJ718" s="13">
        <v>16700000</v>
      </c>
      <c r="AK718" s="11">
        <v>0</v>
      </c>
      <c r="AL718" s="11">
        <v>0</v>
      </c>
      <c r="AM718" s="11">
        <v>0</v>
      </c>
      <c r="AN718" s="9" t="s">
        <v>67</v>
      </c>
      <c r="AO718" s="11">
        <v>16700000</v>
      </c>
      <c r="AP718" s="13">
        <v>1336000</v>
      </c>
      <c r="AQ718" s="13">
        <v>18036000</v>
      </c>
      <c r="AR718" s="11">
        <v>200</v>
      </c>
      <c r="AS718" s="9" t="s">
        <v>72</v>
      </c>
      <c r="AT718" s="12">
        <v>155.04</v>
      </c>
      <c r="AU718" s="9" t="s">
        <v>73</v>
      </c>
      <c r="AV718" s="9" t="s">
        <v>67</v>
      </c>
      <c r="AW718" s="9" t="s">
        <v>1624</v>
      </c>
      <c r="AX718" s="10">
        <v>45995</v>
      </c>
      <c r="AY718" s="9" t="s">
        <v>1783</v>
      </c>
      <c r="AZ718" s="9" t="s">
        <v>67</v>
      </c>
      <c r="BA718" s="9" t="s">
        <v>67</v>
      </c>
      <c r="BB718" s="12">
        <v>200</v>
      </c>
      <c r="BC718" s="9" t="s">
        <v>74</v>
      </c>
      <c r="BD718" s="9" t="s">
        <v>104</v>
      </c>
      <c r="BE718" s="9" t="s">
        <v>75</v>
      </c>
      <c r="BF718" s="11">
        <v>0</v>
      </c>
      <c r="BG718">
        <f t="shared" si="24"/>
        <v>12</v>
      </c>
      <c r="BH718" t="str">
        <f>VLOOKUP(BG718,[1]month!$A:$B,2,0)</f>
        <v>Desember</v>
      </c>
      <c r="BI718">
        <f t="shared" si="25"/>
        <v>2025</v>
      </c>
      <c r="BJ718" t="str">
        <f>VLOOKUP(I718,[1]Dist!$A:$B,2,0)</f>
        <v>Industry</v>
      </c>
      <c r="BK718" t="str">
        <f>IF(I718=11,VLOOKUP(Y718,[2]Sheet1!$C:$N,10,0),IF(I718=13,VLOOKUP(Y718,[3]Sheet1!$C:$N,10,0),IF(I718=15,VLOOKUP(Y718,[4]Sheet1!$C:$N,10,0),"Unknown")))</f>
        <v>PU</v>
      </c>
      <c r="BL718" t="str">
        <f>IF(I718=11,VLOOKUP(Y718,[2]Sheet1!$C:$N,12,0),IF(I718=13,VLOOKUP(Y718,[3]Sheet1!$C:$N,12,0),IF(I718=15,VLOOKUP(Y718,[4]Sheet1!$C:$N,12,0),"Unknown")))</f>
        <v>PU PRIMER</v>
      </c>
      <c r="BM718" t="str">
        <f>VLOOKUP(W718,[1]branch!$A:$B,2,0)</f>
        <v>INDUSTRY</v>
      </c>
    </row>
    <row r="719" spans="1:65" x14ac:dyDescent="0.35">
      <c r="A719" s="10">
        <v>46001</v>
      </c>
      <c r="B719" s="9" t="s">
        <v>1788</v>
      </c>
      <c r="C719" s="9" t="s">
        <v>64</v>
      </c>
      <c r="D719" s="9" t="s">
        <v>92</v>
      </c>
      <c r="E719" s="11">
        <v>30</v>
      </c>
      <c r="F719" s="9" t="s">
        <v>93</v>
      </c>
      <c r="G719" s="9" t="s">
        <v>65</v>
      </c>
      <c r="H719" s="9" t="s">
        <v>66</v>
      </c>
      <c r="I719" s="9">
        <v>11</v>
      </c>
      <c r="J719" s="9" t="s">
        <v>94</v>
      </c>
      <c r="K719" s="9" t="s">
        <v>94</v>
      </c>
      <c r="L719" s="9" t="s">
        <v>94</v>
      </c>
      <c r="M719" s="9" t="s">
        <v>95</v>
      </c>
      <c r="N719" s="9" t="s">
        <v>586</v>
      </c>
      <c r="O719" s="9" t="s">
        <v>97</v>
      </c>
      <c r="P719" s="9" t="s">
        <v>67</v>
      </c>
      <c r="Q719" s="9" t="s">
        <v>98</v>
      </c>
      <c r="R719" s="9" t="s">
        <v>717</v>
      </c>
      <c r="S719" s="9" t="s">
        <v>95</v>
      </c>
      <c r="T719" s="9" t="s">
        <v>718</v>
      </c>
      <c r="U719" s="9" t="s">
        <v>67</v>
      </c>
      <c r="V719" s="9" t="s">
        <v>99</v>
      </c>
      <c r="W719" s="9" t="s">
        <v>100</v>
      </c>
      <c r="X719" s="11">
        <v>10</v>
      </c>
      <c r="Y719" s="9" t="s">
        <v>1510</v>
      </c>
      <c r="Z719" s="9" t="s">
        <v>68</v>
      </c>
      <c r="AA719" s="9" t="s">
        <v>1511</v>
      </c>
      <c r="AB719" s="9" t="s">
        <v>67</v>
      </c>
      <c r="AC719" s="9" t="s">
        <v>110</v>
      </c>
      <c r="AD719" s="11">
        <v>3</v>
      </c>
      <c r="AE719" s="9" t="s">
        <v>70</v>
      </c>
      <c r="AF719" s="9" t="s">
        <v>71</v>
      </c>
      <c r="AG719" s="13">
        <v>1</v>
      </c>
      <c r="AH719" s="9" t="s">
        <v>92</v>
      </c>
      <c r="AI719" s="13">
        <v>1678000</v>
      </c>
      <c r="AJ719" s="13">
        <v>5034000</v>
      </c>
      <c r="AK719" s="11">
        <v>0</v>
      </c>
      <c r="AL719" s="11">
        <v>0</v>
      </c>
      <c r="AM719" s="11">
        <v>0</v>
      </c>
      <c r="AN719" s="9" t="s">
        <v>67</v>
      </c>
      <c r="AO719" s="11">
        <v>5034000</v>
      </c>
      <c r="AP719" s="13">
        <v>402720</v>
      </c>
      <c r="AQ719" s="13">
        <v>5436720</v>
      </c>
      <c r="AR719" s="11">
        <v>60</v>
      </c>
      <c r="AS719" s="9" t="s">
        <v>72</v>
      </c>
      <c r="AT719" s="12">
        <v>58.26</v>
      </c>
      <c r="AU719" s="9" t="s">
        <v>73</v>
      </c>
      <c r="AV719" s="9" t="s">
        <v>67</v>
      </c>
      <c r="AW719" s="9" t="s">
        <v>1512</v>
      </c>
      <c r="AX719" s="10">
        <v>45996</v>
      </c>
      <c r="AY719" s="9" t="s">
        <v>1789</v>
      </c>
      <c r="AZ719" s="9" t="s">
        <v>67</v>
      </c>
      <c r="BA719" s="9" t="s">
        <v>67</v>
      </c>
      <c r="BB719" s="12">
        <v>60</v>
      </c>
      <c r="BC719" s="9" t="s">
        <v>74</v>
      </c>
      <c r="BD719" s="9" t="s">
        <v>104</v>
      </c>
      <c r="BE719" s="9" t="s">
        <v>75</v>
      </c>
      <c r="BF719" s="11">
        <v>0</v>
      </c>
      <c r="BG719">
        <f t="shared" si="24"/>
        <v>12</v>
      </c>
      <c r="BH719" t="str">
        <f>VLOOKUP(BG719,[1]month!$A:$B,2,0)</f>
        <v>Desember</v>
      </c>
      <c r="BI719">
        <f t="shared" si="25"/>
        <v>2025</v>
      </c>
      <c r="BJ719" t="str">
        <f>VLOOKUP(I719,[1]Dist!$A:$B,2,0)</f>
        <v>Industry</v>
      </c>
      <c r="BK719" t="str">
        <f>IF(I719=11,VLOOKUP(Y719,[2]Sheet1!$C:$N,10,0),IF(I719=13,VLOOKUP(Y719,[3]Sheet1!$C:$N,10,0),IF(I719=15,VLOOKUP(Y719,[4]Sheet1!$C:$N,10,0),"Unknown")))</f>
        <v>PU</v>
      </c>
      <c r="BL719" t="str">
        <f>IF(I719=11,VLOOKUP(Y719,[2]Sheet1!$C:$N,12,0),IF(I719=13,VLOOKUP(Y719,[3]Sheet1!$C:$N,12,0),IF(I719=15,VLOOKUP(Y719,[4]Sheet1!$C:$N,12,0),"Unknown")))</f>
        <v>PU LACQUER</v>
      </c>
      <c r="BM719" t="str">
        <f>VLOOKUP(W719,[1]branch!$A:$B,2,0)</f>
        <v>INDUSTRY</v>
      </c>
    </row>
    <row r="720" spans="1:65" x14ac:dyDescent="0.35">
      <c r="A720" s="10">
        <v>46001</v>
      </c>
      <c r="B720" s="9" t="s">
        <v>1790</v>
      </c>
      <c r="C720" s="9" t="s">
        <v>64</v>
      </c>
      <c r="D720" s="9" t="s">
        <v>92</v>
      </c>
      <c r="E720" s="11">
        <v>0</v>
      </c>
      <c r="F720" s="9" t="s">
        <v>93</v>
      </c>
      <c r="G720" s="9" t="s">
        <v>65</v>
      </c>
      <c r="H720" s="9" t="s">
        <v>66</v>
      </c>
      <c r="I720" s="9">
        <v>11</v>
      </c>
      <c r="J720" s="9" t="s">
        <v>1791</v>
      </c>
      <c r="K720" s="9" t="s">
        <v>1791</v>
      </c>
      <c r="L720" s="9" t="s">
        <v>1791</v>
      </c>
      <c r="M720" s="9" t="s">
        <v>1792</v>
      </c>
      <c r="N720" s="9" t="s">
        <v>1376</v>
      </c>
      <c r="O720" s="9" t="s">
        <v>97</v>
      </c>
      <c r="P720" s="9" t="s">
        <v>67</v>
      </c>
      <c r="Q720" s="9" t="s">
        <v>98</v>
      </c>
      <c r="R720" s="9" t="s">
        <v>1791</v>
      </c>
      <c r="S720" s="9" t="s">
        <v>1792</v>
      </c>
      <c r="T720" s="9" t="s">
        <v>1793</v>
      </c>
      <c r="U720" s="9" t="s">
        <v>67</v>
      </c>
      <c r="V720" s="9" t="s">
        <v>194</v>
      </c>
      <c r="W720" s="9" t="s">
        <v>195</v>
      </c>
      <c r="X720" s="11">
        <v>10</v>
      </c>
      <c r="Y720" s="9" t="s">
        <v>1794</v>
      </c>
      <c r="Z720" s="9" t="s">
        <v>68</v>
      </c>
      <c r="AA720" s="9" t="s">
        <v>1795</v>
      </c>
      <c r="AB720" s="9" t="s">
        <v>67</v>
      </c>
      <c r="AC720" s="9" t="s">
        <v>69</v>
      </c>
      <c r="AD720" s="11">
        <v>5</v>
      </c>
      <c r="AE720" s="9" t="s">
        <v>70</v>
      </c>
      <c r="AF720" s="9" t="s">
        <v>71</v>
      </c>
      <c r="AG720" s="13">
        <v>1</v>
      </c>
      <c r="AH720" s="9" t="s">
        <v>92</v>
      </c>
      <c r="AI720" s="13">
        <v>842000</v>
      </c>
      <c r="AJ720" s="13">
        <v>4210000</v>
      </c>
      <c r="AK720" s="11">
        <v>0</v>
      </c>
      <c r="AL720" s="11">
        <v>0</v>
      </c>
      <c r="AM720" s="11">
        <v>0</v>
      </c>
      <c r="AN720" s="9" t="s">
        <v>67</v>
      </c>
      <c r="AO720" s="11">
        <v>4210000</v>
      </c>
      <c r="AP720" s="13">
        <v>336800</v>
      </c>
      <c r="AQ720" s="13">
        <v>4546800</v>
      </c>
      <c r="AR720" s="11">
        <v>90</v>
      </c>
      <c r="AS720" s="9" t="s">
        <v>72</v>
      </c>
      <c r="AT720" s="11">
        <v>100</v>
      </c>
      <c r="AU720" s="9" t="s">
        <v>73</v>
      </c>
      <c r="AV720" s="9" t="s">
        <v>67</v>
      </c>
      <c r="AW720" s="9" t="s">
        <v>1796</v>
      </c>
      <c r="AX720" s="10">
        <v>45996</v>
      </c>
      <c r="AY720" s="9" t="s">
        <v>1797</v>
      </c>
      <c r="AZ720" s="9" t="s">
        <v>67</v>
      </c>
      <c r="BA720" s="9" t="s">
        <v>67</v>
      </c>
      <c r="BB720" s="12">
        <v>100</v>
      </c>
      <c r="BC720" s="9" t="s">
        <v>74</v>
      </c>
      <c r="BD720" s="9" t="s">
        <v>104</v>
      </c>
      <c r="BE720" s="9" t="s">
        <v>75</v>
      </c>
      <c r="BF720" s="11">
        <v>0</v>
      </c>
      <c r="BG720">
        <f t="shared" si="24"/>
        <v>12</v>
      </c>
      <c r="BH720" t="str">
        <f>VLOOKUP(BG720,[1]month!$A:$B,2,0)</f>
        <v>Desember</v>
      </c>
      <c r="BI720">
        <f t="shared" si="25"/>
        <v>2025</v>
      </c>
      <c r="BJ720" t="str">
        <f>VLOOKUP(I720,[1]Dist!$A:$B,2,0)</f>
        <v>Industry</v>
      </c>
      <c r="BK720" t="str">
        <f>IF(I720=11,VLOOKUP(Y720,[2]Sheet1!$C:$N,10,0),IF(I720=13,VLOOKUP(Y720,[3]Sheet1!$C:$N,10,0),IF(I720=15,VLOOKUP(Y720,[4]Sheet1!$C:$N,10,0),"Unknown")))</f>
        <v>THINNER NC</v>
      </c>
      <c r="BL720" t="str">
        <f>IF(I720=11,VLOOKUP(Y720,[2]Sheet1!$C:$N,12,0),IF(I720=13,VLOOKUP(Y720,[3]Sheet1!$C:$N,12,0),IF(I720=15,VLOOKUP(Y720,[4]Sheet1!$C:$N,12,0),"Unknown")))</f>
        <v>THINNER NC</v>
      </c>
      <c r="BM720" t="str">
        <f>VLOOKUP(W720,[1]branch!$A:$B,2,0)</f>
        <v>INDUSTRY</v>
      </c>
    </row>
    <row r="721" spans="1:65" x14ac:dyDescent="0.35">
      <c r="A721" s="10">
        <v>46001</v>
      </c>
      <c r="B721" s="9" t="s">
        <v>1790</v>
      </c>
      <c r="C721" s="9" t="s">
        <v>64</v>
      </c>
      <c r="D721" s="9" t="s">
        <v>92</v>
      </c>
      <c r="E721" s="11">
        <v>0</v>
      </c>
      <c r="F721" s="9" t="s">
        <v>93</v>
      </c>
      <c r="G721" s="9" t="s">
        <v>65</v>
      </c>
      <c r="H721" s="9" t="s">
        <v>66</v>
      </c>
      <c r="I721" s="9">
        <v>11</v>
      </c>
      <c r="J721" s="9" t="s">
        <v>1791</v>
      </c>
      <c r="K721" s="9" t="s">
        <v>1791</v>
      </c>
      <c r="L721" s="9" t="s">
        <v>1791</v>
      </c>
      <c r="M721" s="9" t="s">
        <v>1792</v>
      </c>
      <c r="N721" s="9" t="s">
        <v>1376</v>
      </c>
      <c r="O721" s="9" t="s">
        <v>97</v>
      </c>
      <c r="P721" s="9" t="s">
        <v>67</v>
      </c>
      <c r="Q721" s="9" t="s">
        <v>98</v>
      </c>
      <c r="R721" s="9" t="s">
        <v>1791</v>
      </c>
      <c r="S721" s="9" t="s">
        <v>1792</v>
      </c>
      <c r="T721" s="9" t="s">
        <v>1793</v>
      </c>
      <c r="U721" s="9" t="s">
        <v>67</v>
      </c>
      <c r="V721" s="9" t="s">
        <v>194</v>
      </c>
      <c r="W721" s="9" t="s">
        <v>195</v>
      </c>
      <c r="X721" s="11">
        <v>20</v>
      </c>
      <c r="Y721" s="9" t="s">
        <v>1798</v>
      </c>
      <c r="Z721" s="9" t="s">
        <v>68</v>
      </c>
      <c r="AA721" s="9" t="s">
        <v>1799</v>
      </c>
      <c r="AB721" s="9" t="s">
        <v>67</v>
      </c>
      <c r="AC721" s="9" t="s">
        <v>191</v>
      </c>
      <c r="AD721" s="11">
        <v>1</v>
      </c>
      <c r="AE721" s="9" t="s">
        <v>70</v>
      </c>
      <c r="AF721" s="9" t="s">
        <v>71</v>
      </c>
      <c r="AG721" s="13">
        <v>1</v>
      </c>
      <c r="AH721" s="9" t="s">
        <v>92</v>
      </c>
      <c r="AI721" s="13">
        <v>1970000</v>
      </c>
      <c r="AJ721" s="13">
        <v>1970000</v>
      </c>
      <c r="AK721" s="11">
        <v>0</v>
      </c>
      <c r="AL721" s="11">
        <v>0</v>
      </c>
      <c r="AM721" s="11">
        <v>0</v>
      </c>
      <c r="AN721" s="9" t="s">
        <v>67</v>
      </c>
      <c r="AO721" s="11">
        <v>1970000</v>
      </c>
      <c r="AP721" s="13">
        <v>157600</v>
      </c>
      <c r="AQ721" s="13">
        <v>2127600</v>
      </c>
      <c r="AR721" s="11">
        <v>20</v>
      </c>
      <c r="AS721" s="9" t="s">
        <v>72</v>
      </c>
      <c r="AT721" s="11">
        <v>20</v>
      </c>
      <c r="AU721" s="9" t="s">
        <v>73</v>
      </c>
      <c r="AV721" s="9" t="s">
        <v>67</v>
      </c>
      <c r="AW721" s="9" t="s">
        <v>1796</v>
      </c>
      <c r="AX721" s="10">
        <v>45996</v>
      </c>
      <c r="AY721" s="9" t="s">
        <v>1797</v>
      </c>
      <c r="AZ721" s="9" t="s">
        <v>67</v>
      </c>
      <c r="BA721" s="9" t="s">
        <v>67</v>
      </c>
      <c r="BB721" s="12">
        <v>20</v>
      </c>
      <c r="BC721" s="9" t="s">
        <v>74</v>
      </c>
      <c r="BD721" s="9" t="s">
        <v>104</v>
      </c>
      <c r="BE721" s="9" t="s">
        <v>75</v>
      </c>
      <c r="BF721" s="11">
        <v>0</v>
      </c>
      <c r="BG721">
        <f t="shared" si="24"/>
        <v>12</v>
      </c>
      <c r="BH721" t="str">
        <f>VLOOKUP(BG721,[1]month!$A:$B,2,0)</f>
        <v>Desember</v>
      </c>
      <c r="BI721">
        <f t="shared" si="25"/>
        <v>2025</v>
      </c>
      <c r="BJ721" t="str">
        <f>VLOOKUP(I721,[1]Dist!$A:$B,2,0)</f>
        <v>Industry</v>
      </c>
      <c r="BK721" t="str">
        <f>IF(I721=11,VLOOKUP(Y721,[2]Sheet1!$C:$N,10,0),IF(I721=13,VLOOKUP(Y721,[3]Sheet1!$C:$N,10,0),IF(I721=15,VLOOKUP(Y721,[4]Sheet1!$C:$N,10,0),"Unknown")))</f>
        <v>NC</v>
      </c>
      <c r="BL721" t="str">
        <f>IF(I721=11,VLOOKUP(Y721,[2]Sheet1!$C:$N,12,0),IF(I721=13,VLOOKUP(Y721,[3]Sheet1!$C:$N,12,0),IF(I721=15,VLOOKUP(Y721,[4]Sheet1!$C:$N,12,0),"Unknown")))</f>
        <v>NC SYSTEM</v>
      </c>
      <c r="BM721" t="str">
        <f>VLOOKUP(W721,[1]branch!$A:$B,2,0)</f>
        <v>INDUSTRY</v>
      </c>
    </row>
    <row r="722" spans="1:65" x14ac:dyDescent="0.35">
      <c r="A722" s="10">
        <v>46001</v>
      </c>
      <c r="B722" s="9" t="s">
        <v>1790</v>
      </c>
      <c r="C722" s="9" t="s">
        <v>64</v>
      </c>
      <c r="D722" s="9" t="s">
        <v>92</v>
      </c>
      <c r="E722" s="11">
        <v>0</v>
      </c>
      <c r="F722" s="9" t="s">
        <v>93</v>
      </c>
      <c r="G722" s="9" t="s">
        <v>65</v>
      </c>
      <c r="H722" s="9" t="s">
        <v>66</v>
      </c>
      <c r="I722" s="9">
        <v>11</v>
      </c>
      <c r="J722" s="9" t="s">
        <v>1791</v>
      </c>
      <c r="K722" s="9" t="s">
        <v>1791</v>
      </c>
      <c r="L722" s="9" t="s">
        <v>1791</v>
      </c>
      <c r="M722" s="9" t="s">
        <v>1792</v>
      </c>
      <c r="N722" s="9" t="s">
        <v>1376</v>
      </c>
      <c r="O722" s="9" t="s">
        <v>97</v>
      </c>
      <c r="P722" s="9" t="s">
        <v>67</v>
      </c>
      <c r="Q722" s="9" t="s">
        <v>98</v>
      </c>
      <c r="R722" s="9" t="s">
        <v>1791</v>
      </c>
      <c r="S722" s="9" t="s">
        <v>1792</v>
      </c>
      <c r="T722" s="9" t="s">
        <v>1793</v>
      </c>
      <c r="U722" s="9" t="s">
        <v>67</v>
      </c>
      <c r="V722" s="9" t="s">
        <v>194</v>
      </c>
      <c r="W722" s="9" t="s">
        <v>195</v>
      </c>
      <c r="X722" s="11">
        <v>30</v>
      </c>
      <c r="Y722" s="9" t="s">
        <v>365</v>
      </c>
      <c r="Z722" s="9" t="s">
        <v>68</v>
      </c>
      <c r="AA722" s="9" t="s">
        <v>366</v>
      </c>
      <c r="AB722" s="9" t="s">
        <v>67</v>
      </c>
      <c r="AC722" s="9" t="s">
        <v>357</v>
      </c>
      <c r="AD722" s="11">
        <v>1</v>
      </c>
      <c r="AE722" s="9" t="s">
        <v>70</v>
      </c>
      <c r="AF722" s="9" t="s">
        <v>71</v>
      </c>
      <c r="AG722" s="13">
        <v>1</v>
      </c>
      <c r="AH722" s="9" t="s">
        <v>92</v>
      </c>
      <c r="AI722" s="13">
        <v>1796000</v>
      </c>
      <c r="AJ722" s="13">
        <v>1796000</v>
      </c>
      <c r="AK722" s="11">
        <v>0</v>
      </c>
      <c r="AL722" s="11">
        <v>0</v>
      </c>
      <c r="AM722" s="11">
        <v>0</v>
      </c>
      <c r="AN722" s="9" t="s">
        <v>67</v>
      </c>
      <c r="AO722" s="11">
        <v>1796000</v>
      </c>
      <c r="AP722" s="13">
        <v>143680</v>
      </c>
      <c r="AQ722" s="13">
        <v>1939680</v>
      </c>
      <c r="AR722" s="12">
        <v>19.600000000000001</v>
      </c>
      <c r="AS722" s="9" t="s">
        <v>72</v>
      </c>
      <c r="AT722" s="11">
        <v>20</v>
      </c>
      <c r="AU722" s="9" t="s">
        <v>73</v>
      </c>
      <c r="AV722" s="9" t="s">
        <v>67</v>
      </c>
      <c r="AW722" s="9" t="s">
        <v>1796</v>
      </c>
      <c r="AX722" s="10">
        <v>45996</v>
      </c>
      <c r="AY722" s="9" t="s">
        <v>1797</v>
      </c>
      <c r="AZ722" s="9" t="s">
        <v>67</v>
      </c>
      <c r="BA722" s="9" t="s">
        <v>67</v>
      </c>
      <c r="BB722" s="12">
        <v>20</v>
      </c>
      <c r="BC722" s="9" t="s">
        <v>74</v>
      </c>
      <c r="BD722" s="9" t="s">
        <v>104</v>
      </c>
      <c r="BE722" s="9" t="s">
        <v>75</v>
      </c>
      <c r="BF722" s="11">
        <v>0</v>
      </c>
      <c r="BG722">
        <f t="shared" si="24"/>
        <v>12</v>
      </c>
      <c r="BH722" t="str">
        <f>VLOOKUP(BG722,[1]month!$A:$B,2,0)</f>
        <v>Desember</v>
      </c>
      <c r="BI722">
        <f t="shared" si="25"/>
        <v>2025</v>
      </c>
      <c r="BJ722" t="str">
        <f>VLOOKUP(I722,[1]Dist!$A:$B,2,0)</f>
        <v>Industry</v>
      </c>
      <c r="BK722" t="str">
        <f>IF(I722=11,VLOOKUP(Y722,[2]Sheet1!$C:$N,10,0),IF(I722=13,VLOOKUP(Y722,[3]Sheet1!$C:$N,10,0),IF(I722=15,VLOOKUP(Y722,[4]Sheet1!$C:$N,10,0),"Unknown")))</f>
        <v>NC</v>
      </c>
      <c r="BL722" t="str">
        <f>IF(I722=11,VLOOKUP(Y722,[2]Sheet1!$C:$N,12,0),IF(I722=13,VLOOKUP(Y722,[3]Sheet1!$C:$N,12,0),IF(I722=15,VLOOKUP(Y722,[4]Sheet1!$C:$N,12,0),"Unknown")))</f>
        <v>NC SYSTEM</v>
      </c>
      <c r="BM722" t="str">
        <f>VLOOKUP(W722,[1]branch!$A:$B,2,0)</f>
        <v>INDUSTRY</v>
      </c>
    </row>
    <row r="723" spans="1:65" x14ac:dyDescent="0.35">
      <c r="A723" s="10">
        <v>46001</v>
      </c>
      <c r="B723" s="9" t="s">
        <v>1800</v>
      </c>
      <c r="C723" s="9" t="s">
        <v>64</v>
      </c>
      <c r="D723" s="9" t="s">
        <v>92</v>
      </c>
      <c r="E723" s="11">
        <v>0</v>
      </c>
      <c r="F723" s="9" t="s">
        <v>93</v>
      </c>
      <c r="G723" s="9" t="s">
        <v>65</v>
      </c>
      <c r="H723" s="9" t="s">
        <v>66</v>
      </c>
      <c r="I723" s="9">
        <v>11</v>
      </c>
      <c r="J723" s="9" t="s">
        <v>1801</v>
      </c>
      <c r="K723" s="9" t="s">
        <v>1801</v>
      </c>
      <c r="L723" s="9" t="s">
        <v>1801</v>
      </c>
      <c r="M723" s="9" t="s">
        <v>1802</v>
      </c>
      <c r="N723" s="9" t="s">
        <v>936</v>
      </c>
      <c r="O723" s="9" t="s">
        <v>97</v>
      </c>
      <c r="P723" s="9" t="s">
        <v>67</v>
      </c>
      <c r="Q723" s="9" t="s">
        <v>98</v>
      </c>
      <c r="R723" s="9" t="s">
        <v>1803</v>
      </c>
      <c r="S723" s="9" t="s">
        <v>1802</v>
      </c>
      <c r="T723" s="9" t="s">
        <v>1804</v>
      </c>
      <c r="U723" s="9" t="s">
        <v>67</v>
      </c>
      <c r="V723" s="9" t="s">
        <v>121</v>
      </c>
      <c r="W723" s="9" t="s">
        <v>122</v>
      </c>
      <c r="X723" s="11">
        <v>10</v>
      </c>
      <c r="Y723" s="9" t="s">
        <v>1805</v>
      </c>
      <c r="Z723" s="9" t="s">
        <v>68</v>
      </c>
      <c r="AA723" s="9" t="s">
        <v>1806</v>
      </c>
      <c r="AB723" s="9" t="s">
        <v>67</v>
      </c>
      <c r="AC723" s="9" t="s">
        <v>382</v>
      </c>
      <c r="AD723" s="11">
        <v>18</v>
      </c>
      <c r="AE723" s="9" t="s">
        <v>70</v>
      </c>
      <c r="AF723" s="9" t="s">
        <v>71</v>
      </c>
      <c r="AG723" s="13">
        <v>1</v>
      </c>
      <c r="AH723" s="9" t="s">
        <v>92</v>
      </c>
      <c r="AI723" s="13">
        <v>3116300</v>
      </c>
      <c r="AJ723" s="13">
        <v>56093400</v>
      </c>
      <c r="AK723" s="11">
        <v>0</v>
      </c>
      <c r="AL723" s="11">
        <v>0</v>
      </c>
      <c r="AM723" s="11">
        <v>0</v>
      </c>
      <c r="AN723" s="9" t="s">
        <v>67</v>
      </c>
      <c r="AO723" s="11">
        <v>56093400</v>
      </c>
      <c r="AP723" s="13">
        <v>4487472</v>
      </c>
      <c r="AQ723" s="13">
        <v>60580872</v>
      </c>
      <c r="AR723" s="12">
        <v>389.82600000000002</v>
      </c>
      <c r="AS723" s="9" t="s">
        <v>72</v>
      </c>
      <c r="AT723" s="11">
        <v>324</v>
      </c>
      <c r="AU723" s="9" t="s">
        <v>73</v>
      </c>
      <c r="AV723" s="9" t="s">
        <v>67</v>
      </c>
      <c r="AW723" s="9" t="s">
        <v>1807</v>
      </c>
      <c r="AX723" s="10">
        <v>45999</v>
      </c>
      <c r="AY723" s="9" t="s">
        <v>1808</v>
      </c>
      <c r="AZ723" s="9" t="s">
        <v>67</v>
      </c>
      <c r="BA723" s="9" t="s">
        <v>67</v>
      </c>
      <c r="BB723" s="12">
        <v>324</v>
      </c>
      <c r="BC723" s="9" t="s">
        <v>74</v>
      </c>
      <c r="BD723" s="9" t="s">
        <v>104</v>
      </c>
      <c r="BE723" s="9" t="s">
        <v>75</v>
      </c>
      <c r="BF723" s="11">
        <v>0</v>
      </c>
      <c r="BG723">
        <f t="shared" si="24"/>
        <v>12</v>
      </c>
      <c r="BH723" t="str">
        <f>VLOOKUP(BG723,[1]month!$A:$B,2,0)</f>
        <v>Desember</v>
      </c>
      <c r="BI723">
        <f t="shared" si="25"/>
        <v>2025</v>
      </c>
      <c r="BJ723" t="str">
        <f>VLOOKUP(I723,[1]Dist!$A:$B,2,0)</f>
        <v>Industry</v>
      </c>
      <c r="BK723" t="str">
        <f>IF(I723=11,VLOOKUP(Y723,[2]Sheet1!$C:$N,10,0),IF(I723=13,VLOOKUP(Y723,[3]Sheet1!$C:$N,10,0),IF(I723=15,VLOOKUP(Y723,[4]Sheet1!$C:$N,10,0),"Unknown")))</f>
        <v>DECOR</v>
      </c>
      <c r="BL723" t="str">
        <f>IF(I723=11,VLOOKUP(Y723,[2]Sheet1!$C:$N,12,0),IF(I723=13,VLOOKUP(Y723,[3]Sheet1!$C:$N,12,0),IF(I723=15,VLOOKUP(Y723,[4]Sheet1!$C:$N,12,0),"Unknown")))</f>
        <v>DECORSHIELD RMX</v>
      </c>
      <c r="BM723" t="str">
        <f>VLOOKUP(W723,[1]branch!$A:$B,2,0)</f>
        <v>INDUSTRY</v>
      </c>
    </row>
    <row r="724" spans="1:65" x14ac:dyDescent="0.35">
      <c r="A724" s="10">
        <v>46001</v>
      </c>
      <c r="B724" s="9" t="s">
        <v>1809</v>
      </c>
      <c r="C724" s="9" t="s">
        <v>64</v>
      </c>
      <c r="D724" s="9" t="s">
        <v>92</v>
      </c>
      <c r="E724" s="11">
        <v>60</v>
      </c>
      <c r="F724" s="9" t="s">
        <v>93</v>
      </c>
      <c r="G724" s="9" t="s">
        <v>65</v>
      </c>
      <c r="H724" s="9" t="s">
        <v>66</v>
      </c>
      <c r="I724" s="9">
        <v>11</v>
      </c>
      <c r="J724" s="9" t="s">
        <v>713</v>
      </c>
      <c r="K724" s="9" t="s">
        <v>713</v>
      </c>
      <c r="L724" s="9" t="s">
        <v>713</v>
      </c>
      <c r="M724" s="9" t="s">
        <v>714</v>
      </c>
      <c r="N724" s="9" t="s">
        <v>877</v>
      </c>
      <c r="O724" s="9" t="s">
        <v>97</v>
      </c>
      <c r="P724" s="9" t="s">
        <v>67</v>
      </c>
      <c r="Q724" s="9" t="s">
        <v>98</v>
      </c>
      <c r="R724" s="9" t="s">
        <v>713</v>
      </c>
      <c r="S724" s="9" t="s">
        <v>714</v>
      </c>
      <c r="T724" s="9" t="s">
        <v>803</v>
      </c>
      <c r="U724" s="9" t="s">
        <v>67</v>
      </c>
      <c r="V724" s="9" t="s">
        <v>221</v>
      </c>
      <c r="W724" s="9" t="s">
        <v>222</v>
      </c>
      <c r="X724" s="11">
        <v>110</v>
      </c>
      <c r="Y724" s="9" t="s">
        <v>1387</v>
      </c>
      <c r="Z724" s="9" t="s">
        <v>68</v>
      </c>
      <c r="AA724" s="9" t="s">
        <v>1388</v>
      </c>
      <c r="AB724" s="9" t="s">
        <v>67</v>
      </c>
      <c r="AC724" s="9" t="s">
        <v>191</v>
      </c>
      <c r="AD724" s="11">
        <v>2</v>
      </c>
      <c r="AE724" s="9" t="s">
        <v>70</v>
      </c>
      <c r="AF724" s="9" t="s">
        <v>71</v>
      </c>
      <c r="AG724" s="13">
        <v>1</v>
      </c>
      <c r="AH724" s="9" t="s">
        <v>92</v>
      </c>
      <c r="AI724" s="13">
        <v>1523400</v>
      </c>
      <c r="AJ724" s="13">
        <v>3046800</v>
      </c>
      <c r="AK724" s="11">
        <v>0</v>
      </c>
      <c r="AL724" s="11">
        <v>0</v>
      </c>
      <c r="AM724" s="11">
        <v>0</v>
      </c>
      <c r="AN724" s="9" t="s">
        <v>67</v>
      </c>
      <c r="AO724" s="11">
        <v>3046800</v>
      </c>
      <c r="AP724" s="13">
        <v>243744</v>
      </c>
      <c r="AQ724" s="13">
        <v>3290544</v>
      </c>
      <c r="AR724" s="12">
        <v>39.200000000000003</v>
      </c>
      <c r="AS724" s="9" t="s">
        <v>72</v>
      </c>
      <c r="AT724" s="11">
        <v>40</v>
      </c>
      <c r="AU724" s="9" t="s">
        <v>73</v>
      </c>
      <c r="AV724" s="9" t="s">
        <v>67</v>
      </c>
      <c r="AW724" s="9" t="s">
        <v>1381</v>
      </c>
      <c r="AX724" s="10">
        <v>45995</v>
      </c>
      <c r="AY724" s="9" t="s">
        <v>1810</v>
      </c>
      <c r="AZ724" s="9" t="s">
        <v>67</v>
      </c>
      <c r="BA724" s="9" t="s">
        <v>67</v>
      </c>
      <c r="BB724" s="12">
        <v>40</v>
      </c>
      <c r="BC724" s="9" t="s">
        <v>74</v>
      </c>
      <c r="BD724" s="9" t="s">
        <v>104</v>
      </c>
      <c r="BE724" s="9" t="s">
        <v>75</v>
      </c>
      <c r="BF724" s="11">
        <v>0</v>
      </c>
      <c r="BG724">
        <f t="shared" si="24"/>
        <v>12</v>
      </c>
      <c r="BH724" t="str">
        <f>VLOOKUP(BG724,[1]month!$A:$B,2,0)</f>
        <v>Desember</v>
      </c>
      <c r="BI724">
        <f t="shared" si="25"/>
        <v>2025</v>
      </c>
      <c r="BJ724" t="str">
        <f>VLOOKUP(I724,[1]Dist!$A:$B,2,0)</f>
        <v>Industry</v>
      </c>
      <c r="BK724" t="str">
        <f>IF(I724=11,VLOOKUP(Y724,[2]Sheet1!$C:$N,10,0),IF(I724=13,VLOOKUP(Y724,[3]Sheet1!$C:$N,10,0),IF(I724=15,VLOOKUP(Y724,[4]Sheet1!$C:$N,10,0),"Unknown")))</f>
        <v>NC</v>
      </c>
      <c r="BL724" t="str">
        <f>IF(I724=11,VLOOKUP(Y724,[2]Sheet1!$C:$N,12,0),IF(I724=13,VLOOKUP(Y724,[3]Sheet1!$C:$N,12,0),IF(I724=15,VLOOKUP(Y724,[4]Sheet1!$C:$N,12,0),"Unknown")))</f>
        <v>NC SYSTEM</v>
      </c>
      <c r="BM724" t="str">
        <f>VLOOKUP(W724,[1]branch!$A:$B,2,0)</f>
        <v>INDUSTRY</v>
      </c>
    </row>
    <row r="725" spans="1:65" x14ac:dyDescent="0.35">
      <c r="A725" s="10">
        <v>46001</v>
      </c>
      <c r="B725" s="9" t="s">
        <v>1809</v>
      </c>
      <c r="C725" s="9" t="s">
        <v>64</v>
      </c>
      <c r="D725" s="9" t="s">
        <v>92</v>
      </c>
      <c r="E725" s="11">
        <v>60</v>
      </c>
      <c r="F725" s="9" t="s">
        <v>93</v>
      </c>
      <c r="G725" s="9" t="s">
        <v>65</v>
      </c>
      <c r="H725" s="9" t="s">
        <v>66</v>
      </c>
      <c r="I725" s="9">
        <v>11</v>
      </c>
      <c r="J725" s="9" t="s">
        <v>713</v>
      </c>
      <c r="K725" s="9" t="s">
        <v>713</v>
      </c>
      <c r="L725" s="9" t="s">
        <v>713</v>
      </c>
      <c r="M725" s="9" t="s">
        <v>714</v>
      </c>
      <c r="N725" s="9" t="s">
        <v>877</v>
      </c>
      <c r="O725" s="9" t="s">
        <v>97</v>
      </c>
      <c r="P725" s="9" t="s">
        <v>67</v>
      </c>
      <c r="Q725" s="9" t="s">
        <v>98</v>
      </c>
      <c r="R725" s="9" t="s">
        <v>713</v>
      </c>
      <c r="S725" s="9" t="s">
        <v>714</v>
      </c>
      <c r="T725" s="9" t="s">
        <v>803</v>
      </c>
      <c r="U725" s="9" t="s">
        <v>67</v>
      </c>
      <c r="V725" s="9" t="s">
        <v>221</v>
      </c>
      <c r="W725" s="9" t="s">
        <v>222</v>
      </c>
      <c r="X725" s="11">
        <v>130</v>
      </c>
      <c r="Y725" s="9" t="s">
        <v>1389</v>
      </c>
      <c r="Z725" s="9" t="s">
        <v>68</v>
      </c>
      <c r="AA725" s="9" t="s">
        <v>1390</v>
      </c>
      <c r="AB725" s="9" t="s">
        <v>67</v>
      </c>
      <c r="AC725" s="9" t="s">
        <v>79</v>
      </c>
      <c r="AD725" s="11">
        <v>3</v>
      </c>
      <c r="AE725" s="9" t="s">
        <v>70</v>
      </c>
      <c r="AF725" s="9" t="s">
        <v>71</v>
      </c>
      <c r="AG725" s="13">
        <v>1</v>
      </c>
      <c r="AH725" s="9" t="s">
        <v>92</v>
      </c>
      <c r="AI725" s="13">
        <v>1072000</v>
      </c>
      <c r="AJ725" s="13">
        <v>3216000</v>
      </c>
      <c r="AK725" s="11">
        <v>0</v>
      </c>
      <c r="AL725" s="11">
        <v>0</v>
      </c>
      <c r="AM725" s="11">
        <v>0</v>
      </c>
      <c r="AN725" s="9" t="s">
        <v>67</v>
      </c>
      <c r="AO725" s="11">
        <v>3216000</v>
      </c>
      <c r="AP725" s="13">
        <v>257280</v>
      </c>
      <c r="AQ725" s="13">
        <v>3473280</v>
      </c>
      <c r="AR725" s="12">
        <v>52.5</v>
      </c>
      <c r="AS725" s="9" t="s">
        <v>72</v>
      </c>
      <c r="AT725" s="11">
        <v>60</v>
      </c>
      <c r="AU725" s="9" t="s">
        <v>73</v>
      </c>
      <c r="AV725" s="9" t="s">
        <v>67</v>
      </c>
      <c r="AW725" s="9" t="s">
        <v>1381</v>
      </c>
      <c r="AX725" s="10">
        <v>45995</v>
      </c>
      <c r="AY725" s="9" t="s">
        <v>1810</v>
      </c>
      <c r="AZ725" s="9" t="s">
        <v>67</v>
      </c>
      <c r="BA725" s="9" t="s">
        <v>67</v>
      </c>
      <c r="BB725" s="12">
        <v>60</v>
      </c>
      <c r="BC725" s="9" t="s">
        <v>74</v>
      </c>
      <c r="BD725" s="9" t="s">
        <v>104</v>
      </c>
      <c r="BE725" s="9" t="s">
        <v>75</v>
      </c>
      <c r="BF725" s="11">
        <v>0</v>
      </c>
      <c r="BG725">
        <f t="shared" si="24"/>
        <v>12</v>
      </c>
      <c r="BH725" t="str">
        <f>VLOOKUP(BG725,[1]month!$A:$B,2,0)</f>
        <v>Desember</v>
      </c>
      <c r="BI725">
        <f t="shared" si="25"/>
        <v>2025</v>
      </c>
      <c r="BJ725" t="str">
        <f>VLOOKUP(I725,[1]Dist!$A:$B,2,0)</f>
        <v>Industry</v>
      </c>
      <c r="BK725" t="str">
        <f>IF(I725=11,VLOOKUP(Y725,[2]Sheet1!$C:$N,10,0),IF(I725=13,VLOOKUP(Y725,[3]Sheet1!$C:$N,10,0),IF(I725=15,VLOOKUP(Y725,[4]Sheet1!$C:$N,10,0),"Unknown")))</f>
        <v>THINNER NC</v>
      </c>
      <c r="BL725" t="str">
        <f>IF(I725=11,VLOOKUP(Y725,[2]Sheet1!$C:$N,12,0),IF(I725=13,VLOOKUP(Y725,[3]Sheet1!$C:$N,12,0),IF(I725=15,VLOOKUP(Y725,[4]Sheet1!$C:$N,12,0),"Unknown")))</f>
        <v>THINNER GLAZE</v>
      </c>
      <c r="BM725" t="str">
        <f>VLOOKUP(W725,[1]branch!$A:$B,2,0)</f>
        <v>INDUSTRY</v>
      </c>
    </row>
    <row r="726" spans="1:65" x14ac:dyDescent="0.35">
      <c r="A726" s="10">
        <v>46001</v>
      </c>
      <c r="B726" s="9" t="s">
        <v>1811</v>
      </c>
      <c r="C726" s="9" t="s">
        <v>64</v>
      </c>
      <c r="D726" s="9" t="s">
        <v>92</v>
      </c>
      <c r="E726" s="11">
        <v>60</v>
      </c>
      <c r="F726" s="9" t="s">
        <v>93</v>
      </c>
      <c r="G726" s="9" t="s">
        <v>65</v>
      </c>
      <c r="H726" s="9" t="s">
        <v>66</v>
      </c>
      <c r="I726" s="9">
        <v>11</v>
      </c>
      <c r="J726" s="9" t="s">
        <v>275</v>
      </c>
      <c r="K726" s="9" t="s">
        <v>275</v>
      </c>
      <c r="L726" s="9" t="s">
        <v>275</v>
      </c>
      <c r="M726" s="9" t="s">
        <v>276</v>
      </c>
      <c r="N726" s="9" t="s">
        <v>876</v>
      </c>
      <c r="O726" s="9" t="s">
        <v>97</v>
      </c>
      <c r="P726" s="9" t="s">
        <v>67</v>
      </c>
      <c r="Q726" s="9" t="s">
        <v>98</v>
      </c>
      <c r="R726" s="9" t="s">
        <v>275</v>
      </c>
      <c r="S726" s="9" t="s">
        <v>276</v>
      </c>
      <c r="T726" s="9" t="s">
        <v>800</v>
      </c>
      <c r="U726" s="9" t="s">
        <v>67</v>
      </c>
      <c r="V726" s="9" t="s">
        <v>130</v>
      </c>
      <c r="W726" s="9" t="s">
        <v>131</v>
      </c>
      <c r="X726" s="11">
        <v>10</v>
      </c>
      <c r="Y726" s="9" t="s">
        <v>858</v>
      </c>
      <c r="Z726" s="9" t="s">
        <v>68</v>
      </c>
      <c r="AA726" s="9" t="s">
        <v>859</v>
      </c>
      <c r="AB726" s="9" t="s">
        <v>67</v>
      </c>
      <c r="AC726" s="9" t="s">
        <v>372</v>
      </c>
      <c r="AD726" s="11">
        <v>6</v>
      </c>
      <c r="AE726" s="9" t="s">
        <v>70</v>
      </c>
      <c r="AF726" s="9" t="s">
        <v>71</v>
      </c>
      <c r="AG726" s="13">
        <v>1</v>
      </c>
      <c r="AH726" s="9" t="s">
        <v>92</v>
      </c>
      <c r="AI726" s="13">
        <v>2478400</v>
      </c>
      <c r="AJ726" s="13">
        <v>14870400</v>
      </c>
      <c r="AK726" s="11">
        <v>0</v>
      </c>
      <c r="AL726" s="11">
        <v>0</v>
      </c>
      <c r="AM726" s="11">
        <v>0</v>
      </c>
      <c r="AN726" s="9" t="s">
        <v>67</v>
      </c>
      <c r="AO726" s="11">
        <v>14870400</v>
      </c>
      <c r="AP726" s="13">
        <v>1189632</v>
      </c>
      <c r="AQ726" s="13">
        <v>16060032</v>
      </c>
      <c r="AR726" s="11">
        <v>96</v>
      </c>
      <c r="AS726" s="9" t="s">
        <v>72</v>
      </c>
      <c r="AT726" s="12">
        <v>97.962000000000003</v>
      </c>
      <c r="AU726" s="9" t="s">
        <v>73</v>
      </c>
      <c r="AV726" s="9" t="s">
        <v>67</v>
      </c>
      <c r="AW726" s="9" t="s">
        <v>1812</v>
      </c>
      <c r="AX726" s="10">
        <v>45994</v>
      </c>
      <c r="AY726" s="9" t="s">
        <v>1813</v>
      </c>
      <c r="AZ726" s="9" t="s">
        <v>67</v>
      </c>
      <c r="BA726" s="9" t="s">
        <v>67</v>
      </c>
      <c r="BB726" s="12">
        <v>96</v>
      </c>
      <c r="BC726" s="9" t="s">
        <v>74</v>
      </c>
      <c r="BD726" s="9" t="s">
        <v>104</v>
      </c>
      <c r="BE726" s="9" t="s">
        <v>75</v>
      </c>
      <c r="BF726" s="11">
        <v>0</v>
      </c>
      <c r="BG726">
        <f t="shared" si="24"/>
        <v>12</v>
      </c>
      <c r="BH726" t="str">
        <f>VLOOKUP(BG726,[1]month!$A:$B,2,0)</f>
        <v>Desember</v>
      </c>
      <c r="BI726">
        <f t="shared" si="25"/>
        <v>2025</v>
      </c>
      <c r="BJ726" t="str">
        <f>VLOOKUP(I726,[1]Dist!$A:$B,2,0)</f>
        <v>Industry</v>
      </c>
      <c r="BK726" t="str">
        <f>IF(I726=11,VLOOKUP(Y726,[2]Sheet1!$C:$N,10,0),IF(I726=13,VLOOKUP(Y726,[3]Sheet1!$C:$N,10,0),IF(I726=15,VLOOKUP(Y726,[4]Sheet1!$C:$N,10,0),"Unknown")))</f>
        <v>PU</v>
      </c>
      <c r="BL726" t="str">
        <f>IF(I726=11,VLOOKUP(Y726,[2]Sheet1!$C:$N,12,0),IF(I726=13,VLOOKUP(Y726,[3]Sheet1!$C:$N,12,0),IF(I726=15,VLOOKUP(Y726,[4]Sheet1!$C:$N,12,0),"Unknown")))</f>
        <v>UNION HARDENER</v>
      </c>
      <c r="BM726" t="str">
        <f>VLOOKUP(W726,[1]branch!$A:$B,2,0)</f>
        <v>INDUSTRY</v>
      </c>
    </row>
    <row r="727" spans="1:65" x14ac:dyDescent="0.35">
      <c r="A727" s="10">
        <v>46001</v>
      </c>
      <c r="B727" s="9" t="s">
        <v>1811</v>
      </c>
      <c r="C727" s="9" t="s">
        <v>64</v>
      </c>
      <c r="D727" s="9" t="s">
        <v>92</v>
      </c>
      <c r="E727" s="11">
        <v>60</v>
      </c>
      <c r="F727" s="9" t="s">
        <v>93</v>
      </c>
      <c r="G727" s="9" t="s">
        <v>65</v>
      </c>
      <c r="H727" s="9" t="s">
        <v>66</v>
      </c>
      <c r="I727" s="9">
        <v>11</v>
      </c>
      <c r="J727" s="9" t="s">
        <v>275</v>
      </c>
      <c r="K727" s="9" t="s">
        <v>275</v>
      </c>
      <c r="L727" s="9" t="s">
        <v>275</v>
      </c>
      <c r="M727" s="9" t="s">
        <v>276</v>
      </c>
      <c r="N727" s="9" t="s">
        <v>876</v>
      </c>
      <c r="O727" s="9" t="s">
        <v>97</v>
      </c>
      <c r="P727" s="9" t="s">
        <v>67</v>
      </c>
      <c r="Q727" s="9" t="s">
        <v>98</v>
      </c>
      <c r="R727" s="9" t="s">
        <v>275</v>
      </c>
      <c r="S727" s="9" t="s">
        <v>276</v>
      </c>
      <c r="T727" s="9" t="s">
        <v>800</v>
      </c>
      <c r="U727" s="9" t="s">
        <v>67</v>
      </c>
      <c r="V727" s="9" t="s">
        <v>130</v>
      </c>
      <c r="W727" s="9" t="s">
        <v>131</v>
      </c>
      <c r="X727" s="11">
        <v>20</v>
      </c>
      <c r="Y727" s="9" t="s">
        <v>860</v>
      </c>
      <c r="Z727" s="9" t="s">
        <v>68</v>
      </c>
      <c r="AA727" s="9" t="s">
        <v>861</v>
      </c>
      <c r="AB727" s="9" t="s">
        <v>67</v>
      </c>
      <c r="AC727" s="9" t="s">
        <v>178</v>
      </c>
      <c r="AD727" s="11">
        <v>24</v>
      </c>
      <c r="AE727" s="9" t="s">
        <v>70</v>
      </c>
      <c r="AF727" s="9" t="s">
        <v>71</v>
      </c>
      <c r="AG727" s="13">
        <v>1</v>
      </c>
      <c r="AH727" s="9" t="s">
        <v>92</v>
      </c>
      <c r="AI727" s="13">
        <v>1467200</v>
      </c>
      <c r="AJ727" s="13">
        <v>35212800</v>
      </c>
      <c r="AK727" s="11">
        <v>0</v>
      </c>
      <c r="AL727" s="11">
        <v>0</v>
      </c>
      <c r="AM727" s="11">
        <v>0</v>
      </c>
      <c r="AN727" s="9" t="s">
        <v>67</v>
      </c>
      <c r="AO727" s="11">
        <v>35212800</v>
      </c>
      <c r="AP727" s="13">
        <v>2817024</v>
      </c>
      <c r="AQ727" s="13">
        <v>38029824</v>
      </c>
      <c r="AR727" s="11">
        <v>384</v>
      </c>
      <c r="AS727" s="9" t="s">
        <v>72</v>
      </c>
      <c r="AT727" s="12">
        <v>380.20800000000003</v>
      </c>
      <c r="AU727" s="9" t="s">
        <v>73</v>
      </c>
      <c r="AV727" s="9" t="s">
        <v>67</v>
      </c>
      <c r="AW727" s="9" t="s">
        <v>1812</v>
      </c>
      <c r="AX727" s="10">
        <v>45994</v>
      </c>
      <c r="AY727" s="9" t="s">
        <v>1813</v>
      </c>
      <c r="AZ727" s="9" t="s">
        <v>67</v>
      </c>
      <c r="BA727" s="9" t="s">
        <v>67</v>
      </c>
      <c r="BB727" s="12">
        <v>384</v>
      </c>
      <c r="BC727" s="9" t="s">
        <v>74</v>
      </c>
      <c r="BD727" s="9" t="s">
        <v>104</v>
      </c>
      <c r="BE727" s="9" t="s">
        <v>75</v>
      </c>
      <c r="BF727" s="11">
        <v>0</v>
      </c>
      <c r="BG727">
        <f t="shared" si="24"/>
        <v>12</v>
      </c>
      <c r="BH727" t="str">
        <f>VLOOKUP(BG727,[1]month!$A:$B,2,0)</f>
        <v>Desember</v>
      </c>
      <c r="BI727">
        <f t="shared" si="25"/>
        <v>2025</v>
      </c>
      <c r="BJ727" t="str">
        <f>VLOOKUP(I727,[1]Dist!$A:$B,2,0)</f>
        <v>Industry</v>
      </c>
      <c r="BK727" t="str">
        <f>IF(I727=11,VLOOKUP(Y727,[2]Sheet1!$C:$N,10,0),IF(I727=13,VLOOKUP(Y727,[3]Sheet1!$C:$N,10,0),IF(I727=15,VLOOKUP(Y727,[4]Sheet1!$C:$N,10,0),"Unknown")))</f>
        <v>PU</v>
      </c>
      <c r="BL727" t="str">
        <f>IF(I727=11,VLOOKUP(Y727,[2]Sheet1!$C:$N,12,0),IF(I727=13,VLOOKUP(Y727,[3]Sheet1!$C:$N,12,0),IF(I727=15,VLOOKUP(Y727,[4]Sheet1!$C:$N,12,0),"Unknown")))</f>
        <v>UNION HARDENER</v>
      </c>
      <c r="BM727" t="str">
        <f>VLOOKUP(W727,[1]branch!$A:$B,2,0)</f>
        <v>INDUSTRY</v>
      </c>
    </row>
    <row r="728" spans="1:65" x14ac:dyDescent="0.35">
      <c r="A728" s="10">
        <v>46001</v>
      </c>
      <c r="B728" s="9" t="s">
        <v>1811</v>
      </c>
      <c r="C728" s="9" t="s">
        <v>64</v>
      </c>
      <c r="D728" s="9" t="s">
        <v>92</v>
      </c>
      <c r="E728" s="11">
        <v>60</v>
      </c>
      <c r="F728" s="9" t="s">
        <v>93</v>
      </c>
      <c r="G728" s="9" t="s">
        <v>65</v>
      </c>
      <c r="H728" s="9" t="s">
        <v>66</v>
      </c>
      <c r="I728" s="9">
        <v>11</v>
      </c>
      <c r="J728" s="9" t="s">
        <v>275</v>
      </c>
      <c r="K728" s="9" t="s">
        <v>275</v>
      </c>
      <c r="L728" s="9" t="s">
        <v>275</v>
      </c>
      <c r="M728" s="9" t="s">
        <v>276</v>
      </c>
      <c r="N728" s="9" t="s">
        <v>876</v>
      </c>
      <c r="O728" s="9" t="s">
        <v>97</v>
      </c>
      <c r="P728" s="9" t="s">
        <v>67</v>
      </c>
      <c r="Q728" s="9" t="s">
        <v>98</v>
      </c>
      <c r="R728" s="9" t="s">
        <v>275</v>
      </c>
      <c r="S728" s="9" t="s">
        <v>276</v>
      </c>
      <c r="T728" s="9" t="s">
        <v>800</v>
      </c>
      <c r="U728" s="9" t="s">
        <v>67</v>
      </c>
      <c r="V728" s="9" t="s">
        <v>130</v>
      </c>
      <c r="W728" s="9" t="s">
        <v>131</v>
      </c>
      <c r="X728" s="11">
        <v>30</v>
      </c>
      <c r="Y728" s="9" t="s">
        <v>502</v>
      </c>
      <c r="Z728" s="9" t="s">
        <v>68</v>
      </c>
      <c r="AA728" s="9" t="s">
        <v>503</v>
      </c>
      <c r="AB728" s="9" t="s">
        <v>67</v>
      </c>
      <c r="AC728" s="9" t="s">
        <v>139</v>
      </c>
      <c r="AD728" s="11">
        <v>4</v>
      </c>
      <c r="AE728" s="9" t="s">
        <v>70</v>
      </c>
      <c r="AF728" s="9" t="s">
        <v>71</v>
      </c>
      <c r="AG728" s="13">
        <v>1</v>
      </c>
      <c r="AH728" s="9" t="s">
        <v>92</v>
      </c>
      <c r="AI728" s="13">
        <v>1443400</v>
      </c>
      <c r="AJ728" s="13">
        <v>5773600</v>
      </c>
      <c r="AK728" s="11">
        <v>0</v>
      </c>
      <c r="AL728" s="11">
        <v>0</v>
      </c>
      <c r="AM728" s="11">
        <v>0</v>
      </c>
      <c r="AN728" s="9" t="s">
        <v>67</v>
      </c>
      <c r="AO728" s="11">
        <v>5773600</v>
      </c>
      <c r="AP728" s="13">
        <v>461888</v>
      </c>
      <c r="AQ728" s="13">
        <v>6235488</v>
      </c>
      <c r="AR728" s="12">
        <v>77.599999999999994</v>
      </c>
      <c r="AS728" s="9" t="s">
        <v>72</v>
      </c>
      <c r="AT728" s="11">
        <v>80</v>
      </c>
      <c r="AU728" s="9" t="s">
        <v>73</v>
      </c>
      <c r="AV728" s="9" t="s">
        <v>67</v>
      </c>
      <c r="AW728" s="9" t="s">
        <v>1812</v>
      </c>
      <c r="AX728" s="10">
        <v>45994</v>
      </c>
      <c r="AY728" s="9" t="s">
        <v>1813</v>
      </c>
      <c r="AZ728" s="9" t="s">
        <v>67</v>
      </c>
      <c r="BA728" s="9" t="s">
        <v>67</v>
      </c>
      <c r="BB728" s="12">
        <v>80</v>
      </c>
      <c r="BC728" s="9" t="s">
        <v>74</v>
      </c>
      <c r="BD728" s="9" t="s">
        <v>104</v>
      </c>
      <c r="BE728" s="9" t="s">
        <v>75</v>
      </c>
      <c r="BF728" s="11">
        <v>0</v>
      </c>
      <c r="BG728">
        <f t="shared" si="24"/>
        <v>12</v>
      </c>
      <c r="BH728" t="str">
        <f>VLOOKUP(BG728,[1]month!$A:$B,2,0)</f>
        <v>Desember</v>
      </c>
      <c r="BI728">
        <f t="shared" si="25"/>
        <v>2025</v>
      </c>
      <c r="BJ728" t="str">
        <f>VLOOKUP(I728,[1]Dist!$A:$B,2,0)</f>
        <v>Industry</v>
      </c>
      <c r="BK728" t="str">
        <f>IF(I728=11,VLOOKUP(Y728,[2]Sheet1!$C:$N,10,0),IF(I728=13,VLOOKUP(Y728,[3]Sheet1!$C:$N,10,0),IF(I728=15,VLOOKUP(Y728,[4]Sheet1!$C:$N,10,0),"Unknown")))</f>
        <v>THINNER NC</v>
      </c>
      <c r="BL728" t="str">
        <f>IF(I728=11,VLOOKUP(Y728,[2]Sheet1!$C:$N,12,0),IF(I728=13,VLOOKUP(Y728,[3]Sheet1!$C:$N,12,0),IF(I728=15,VLOOKUP(Y728,[4]Sheet1!$C:$N,12,0),"Unknown")))</f>
        <v>THINNER COMPLEMENTARY</v>
      </c>
      <c r="BM728" t="str">
        <f>VLOOKUP(W728,[1]branch!$A:$B,2,0)</f>
        <v>INDUSTRY</v>
      </c>
    </row>
    <row r="729" spans="1:65" x14ac:dyDescent="0.35">
      <c r="A729" s="10">
        <v>46001</v>
      </c>
      <c r="B729" s="9" t="s">
        <v>1811</v>
      </c>
      <c r="C729" s="9" t="s">
        <v>64</v>
      </c>
      <c r="D729" s="9" t="s">
        <v>92</v>
      </c>
      <c r="E729" s="11">
        <v>60</v>
      </c>
      <c r="F729" s="9" t="s">
        <v>93</v>
      </c>
      <c r="G729" s="9" t="s">
        <v>65</v>
      </c>
      <c r="H729" s="9" t="s">
        <v>66</v>
      </c>
      <c r="I729" s="9">
        <v>11</v>
      </c>
      <c r="J729" s="9" t="s">
        <v>275</v>
      </c>
      <c r="K729" s="9" t="s">
        <v>275</v>
      </c>
      <c r="L729" s="9" t="s">
        <v>275</v>
      </c>
      <c r="M729" s="9" t="s">
        <v>276</v>
      </c>
      <c r="N729" s="9" t="s">
        <v>876</v>
      </c>
      <c r="O729" s="9" t="s">
        <v>97</v>
      </c>
      <c r="P729" s="9" t="s">
        <v>67</v>
      </c>
      <c r="Q729" s="9" t="s">
        <v>98</v>
      </c>
      <c r="R729" s="9" t="s">
        <v>275</v>
      </c>
      <c r="S729" s="9" t="s">
        <v>276</v>
      </c>
      <c r="T729" s="9" t="s">
        <v>800</v>
      </c>
      <c r="U729" s="9" t="s">
        <v>67</v>
      </c>
      <c r="V729" s="9" t="s">
        <v>130</v>
      </c>
      <c r="W729" s="9" t="s">
        <v>131</v>
      </c>
      <c r="X729" s="11">
        <v>40</v>
      </c>
      <c r="Y729" s="9" t="s">
        <v>89</v>
      </c>
      <c r="Z729" s="9" t="s">
        <v>68</v>
      </c>
      <c r="AA729" s="9" t="s">
        <v>90</v>
      </c>
      <c r="AB729" s="9" t="s">
        <v>67</v>
      </c>
      <c r="AC729" s="9" t="s">
        <v>91</v>
      </c>
      <c r="AD729" s="11">
        <v>2</v>
      </c>
      <c r="AE729" s="9" t="s">
        <v>70</v>
      </c>
      <c r="AF729" s="9" t="s">
        <v>71</v>
      </c>
      <c r="AG729" s="13">
        <v>1</v>
      </c>
      <c r="AH729" s="9" t="s">
        <v>92</v>
      </c>
      <c r="AI729" s="13">
        <v>1296800</v>
      </c>
      <c r="AJ729" s="13">
        <v>2593600</v>
      </c>
      <c r="AK729" s="11">
        <v>0</v>
      </c>
      <c r="AL729" s="11">
        <v>0</v>
      </c>
      <c r="AM729" s="11">
        <v>0</v>
      </c>
      <c r="AN729" s="9" t="s">
        <v>67</v>
      </c>
      <c r="AO729" s="11">
        <v>2593600</v>
      </c>
      <c r="AP729" s="13">
        <v>207488</v>
      </c>
      <c r="AQ729" s="13">
        <v>2801088</v>
      </c>
      <c r="AR729" s="11">
        <v>8</v>
      </c>
      <c r="AS729" s="9" t="s">
        <v>72</v>
      </c>
      <c r="AT729" s="12">
        <v>7.62</v>
      </c>
      <c r="AU729" s="9" t="s">
        <v>73</v>
      </c>
      <c r="AV729" s="9" t="s">
        <v>67</v>
      </c>
      <c r="AW729" s="9" t="s">
        <v>1812</v>
      </c>
      <c r="AX729" s="10">
        <v>45994</v>
      </c>
      <c r="AY729" s="9" t="s">
        <v>1813</v>
      </c>
      <c r="AZ729" s="9" t="s">
        <v>67</v>
      </c>
      <c r="BA729" s="9" t="s">
        <v>67</v>
      </c>
      <c r="BB729" s="12">
        <v>8</v>
      </c>
      <c r="BC729" s="9" t="s">
        <v>74</v>
      </c>
      <c r="BD729" s="9" t="s">
        <v>104</v>
      </c>
      <c r="BE729" s="9" t="s">
        <v>75</v>
      </c>
      <c r="BF729" s="11">
        <v>0</v>
      </c>
      <c r="BG729">
        <f t="shared" si="24"/>
        <v>12</v>
      </c>
      <c r="BH729" t="str">
        <f>VLOOKUP(BG729,[1]month!$A:$B,2,0)</f>
        <v>Desember</v>
      </c>
      <c r="BI729">
        <f t="shared" si="25"/>
        <v>2025</v>
      </c>
      <c r="BJ729" t="str">
        <f>VLOOKUP(I729,[1]Dist!$A:$B,2,0)</f>
        <v>Industry</v>
      </c>
      <c r="BK729" t="str">
        <f>IF(I729=11,VLOOKUP(Y729,[2]Sheet1!$C:$N,10,0),IF(I729=13,VLOOKUP(Y729,[3]Sheet1!$C:$N,10,0),IF(I729=15,VLOOKUP(Y729,[4]Sheet1!$C:$N,10,0),"Unknown")))</f>
        <v>COMPLEMENTARY</v>
      </c>
      <c r="BL729" t="str">
        <f>IF(I729=11,VLOOKUP(Y729,[2]Sheet1!$C:$N,12,0),IF(I729=13,VLOOKUP(Y729,[3]Sheet1!$C:$N,12,0),IF(I729=15,VLOOKUP(Y729,[4]Sheet1!$C:$N,12,0),"Unknown")))</f>
        <v>PASTA</v>
      </c>
      <c r="BM729" t="str">
        <f>VLOOKUP(W729,[1]branch!$A:$B,2,0)</f>
        <v>INDUSTRY</v>
      </c>
    </row>
    <row r="730" spans="1:65" x14ac:dyDescent="0.35">
      <c r="A730" s="10">
        <v>46001</v>
      </c>
      <c r="B730" s="9" t="s">
        <v>1811</v>
      </c>
      <c r="C730" s="9" t="s">
        <v>64</v>
      </c>
      <c r="D730" s="9" t="s">
        <v>92</v>
      </c>
      <c r="E730" s="11">
        <v>60</v>
      </c>
      <c r="F730" s="9" t="s">
        <v>93</v>
      </c>
      <c r="G730" s="9" t="s">
        <v>65</v>
      </c>
      <c r="H730" s="9" t="s">
        <v>66</v>
      </c>
      <c r="I730" s="9">
        <v>11</v>
      </c>
      <c r="J730" s="9" t="s">
        <v>275</v>
      </c>
      <c r="K730" s="9" t="s">
        <v>275</v>
      </c>
      <c r="L730" s="9" t="s">
        <v>275</v>
      </c>
      <c r="M730" s="9" t="s">
        <v>276</v>
      </c>
      <c r="N730" s="9" t="s">
        <v>876</v>
      </c>
      <c r="O730" s="9" t="s">
        <v>97</v>
      </c>
      <c r="P730" s="9" t="s">
        <v>67</v>
      </c>
      <c r="Q730" s="9" t="s">
        <v>98</v>
      </c>
      <c r="R730" s="9" t="s">
        <v>275</v>
      </c>
      <c r="S730" s="9" t="s">
        <v>276</v>
      </c>
      <c r="T730" s="9" t="s">
        <v>800</v>
      </c>
      <c r="U730" s="9" t="s">
        <v>67</v>
      </c>
      <c r="V730" s="9" t="s">
        <v>130</v>
      </c>
      <c r="W730" s="9" t="s">
        <v>131</v>
      </c>
      <c r="X730" s="11">
        <v>50</v>
      </c>
      <c r="Y730" s="9" t="s">
        <v>363</v>
      </c>
      <c r="Z730" s="9" t="s">
        <v>68</v>
      </c>
      <c r="AA730" s="9" t="s">
        <v>364</v>
      </c>
      <c r="AB730" s="9" t="s">
        <v>67</v>
      </c>
      <c r="AC730" s="9" t="s">
        <v>91</v>
      </c>
      <c r="AD730" s="11">
        <v>4</v>
      </c>
      <c r="AE730" s="9" t="s">
        <v>70</v>
      </c>
      <c r="AF730" s="9" t="s">
        <v>71</v>
      </c>
      <c r="AG730" s="13">
        <v>1</v>
      </c>
      <c r="AH730" s="9" t="s">
        <v>92</v>
      </c>
      <c r="AI730" s="13">
        <v>681200</v>
      </c>
      <c r="AJ730" s="13">
        <v>2724800</v>
      </c>
      <c r="AK730" s="11">
        <v>0</v>
      </c>
      <c r="AL730" s="11">
        <v>0</v>
      </c>
      <c r="AM730" s="11">
        <v>0</v>
      </c>
      <c r="AN730" s="9" t="s">
        <v>67</v>
      </c>
      <c r="AO730" s="11">
        <v>2724800</v>
      </c>
      <c r="AP730" s="13">
        <v>217984</v>
      </c>
      <c r="AQ730" s="13">
        <v>2942784</v>
      </c>
      <c r="AR730" s="11">
        <v>16</v>
      </c>
      <c r="AS730" s="9" t="s">
        <v>72</v>
      </c>
      <c r="AT730" s="12">
        <v>9.76</v>
      </c>
      <c r="AU730" s="9" t="s">
        <v>73</v>
      </c>
      <c r="AV730" s="9" t="s">
        <v>67</v>
      </c>
      <c r="AW730" s="9" t="s">
        <v>1812</v>
      </c>
      <c r="AX730" s="10">
        <v>45994</v>
      </c>
      <c r="AY730" s="9" t="s">
        <v>1813</v>
      </c>
      <c r="AZ730" s="9" t="s">
        <v>67</v>
      </c>
      <c r="BA730" s="9" t="s">
        <v>67</v>
      </c>
      <c r="BB730" s="12">
        <v>16</v>
      </c>
      <c r="BC730" s="9" t="s">
        <v>74</v>
      </c>
      <c r="BD730" s="9" t="s">
        <v>104</v>
      </c>
      <c r="BE730" s="9" t="s">
        <v>75</v>
      </c>
      <c r="BF730" s="11">
        <v>0</v>
      </c>
      <c r="BG730">
        <f t="shared" si="24"/>
        <v>12</v>
      </c>
      <c r="BH730" t="str">
        <f>VLOOKUP(BG730,[1]month!$A:$B,2,0)</f>
        <v>Desember</v>
      </c>
      <c r="BI730">
        <f t="shared" si="25"/>
        <v>2025</v>
      </c>
      <c r="BJ730" t="str">
        <f>VLOOKUP(I730,[1]Dist!$A:$B,2,0)</f>
        <v>Industry</v>
      </c>
      <c r="BK730" t="str">
        <f>IF(I730=11,VLOOKUP(Y730,[2]Sheet1!$C:$N,10,0),IF(I730=13,VLOOKUP(Y730,[3]Sheet1!$C:$N,10,0),IF(I730=15,VLOOKUP(Y730,[4]Sheet1!$C:$N,10,0),"Unknown")))</f>
        <v>COMPLEMENTARY</v>
      </c>
      <c r="BL730" t="str">
        <f>IF(I730=11,VLOOKUP(Y730,[2]Sheet1!$C:$N,12,0),IF(I730=13,VLOOKUP(Y730,[3]Sheet1!$C:$N,12,0),IF(I730=15,VLOOKUP(Y730,[4]Sheet1!$C:$N,12,0),"Unknown")))</f>
        <v>PASTA</v>
      </c>
      <c r="BM730" t="str">
        <f>VLOOKUP(W730,[1]branch!$A:$B,2,0)</f>
        <v>INDUSTRY</v>
      </c>
    </row>
    <row r="731" spans="1:65" x14ac:dyDescent="0.35">
      <c r="A731" s="10">
        <v>46001</v>
      </c>
      <c r="B731" s="9" t="s">
        <v>1811</v>
      </c>
      <c r="C731" s="9" t="s">
        <v>64</v>
      </c>
      <c r="D731" s="9" t="s">
        <v>92</v>
      </c>
      <c r="E731" s="11">
        <v>60</v>
      </c>
      <c r="F731" s="9" t="s">
        <v>93</v>
      </c>
      <c r="G731" s="9" t="s">
        <v>65</v>
      </c>
      <c r="H731" s="9" t="s">
        <v>66</v>
      </c>
      <c r="I731" s="9">
        <v>11</v>
      </c>
      <c r="J731" s="9" t="s">
        <v>275</v>
      </c>
      <c r="K731" s="9" t="s">
        <v>275</v>
      </c>
      <c r="L731" s="9" t="s">
        <v>275</v>
      </c>
      <c r="M731" s="9" t="s">
        <v>276</v>
      </c>
      <c r="N731" s="9" t="s">
        <v>876</v>
      </c>
      <c r="O731" s="9" t="s">
        <v>97</v>
      </c>
      <c r="P731" s="9" t="s">
        <v>67</v>
      </c>
      <c r="Q731" s="9" t="s">
        <v>98</v>
      </c>
      <c r="R731" s="9" t="s">
        <v>275</v>
      </c>
      <c r="S731" s="9" t="s">
        <v>276</v>
      </c>
      <c r="T731" s="9" t="s">
        <v>800</v>
      </c>
      <c r="U731" s="9" t="s">
        <v>67</v>
      </c>
      <c r="V731" s="9" t="s">
        <v>130</v>
      </c>
      <c r="W731" s="9" t="s">
        <v>131</v>
      </c>
      <c r="X731" s="11">
        <v>70</v>
      </c>
      <c r="Y731" s="9" t="s">
        <v>504</v>
      </c>
      <c r="Z731" s="9" t="s">
        <v>68</v>
      </c>
      <c r="AA731" s="9" t="s">
        <v>505</v>
      </c>
      <c r="AB731" s="9" t="s">
        <v>67</v>
      </c>
      <c r="AC731" s="9" t="s">
        <v>506</v>
      </c>
      <c r="AD731" s="11">
        <v>2</v>
      </c>
      <c r="AE731" s="9" t="s">
        <v>70</v>
      </c>
      <c r="AF731" s="9" t="s">
        <v>71</v>
      </c>
      <c r="AG731" s="13">
        <v>1</v>
      </c>
      <c r="AH731" s="9" t="s">
        <v>92</v>
      </c>
      <c r="AI731" s="13">
        <v>2038400</v>
      </c>
      <c r="AJ731" s="13">
        <v>4076800</v>
      </c>
      <c r="AK731" s="11">
        <v>0</v>
      </c>
      <c r="AL731" s="11">
        <v>0</v>
      </c>
      <c r="AM731" s="11">
        <v>0</v>
      </c>
      <c r="AN731" s="9" t="s">
        <v>67</v>
      </c>
      <c r="AO731" s="11">
        <v>4076800</v>
      </c>
      <c r="AP731" s="13">
        <v>326144</v>
      </c>
      <c r="AQ731" s="13">
        <v>4402944</v>
      </c>
      <c r="AR731" s="11">
        <v>32</v>
      </c>
      <c r="AS731" s="9" t="s">
        <v>72</v>
      </c>
      <c r="AT731" s="12">
        <v>33.340000000000003</v>
      </c>
      <c r="AU731" s="9" t="s">
        <v>73</v>
      </c>
      <c r="AV731" s="9" t="s">
        <v>67</v>
      </c>
      <c r="AW731" s="9" t="s">
        <v>1812</v>
      </c>
      <c r="AX731" s="10">
        <v>45994</v>
      </c>
      <c r="AY731" s="9" t="s">
        <v>1813</v>
      </c>
      <c r="AZ731" s="9" t="s">
        <v>67</v>
      </c>
      <c r="BA731" s="9" t="s">
        <v>67</v>
      </c>
      <c r="BB731" s="12">
        <v>32</v>
      </c>
      <c r="BC731" s="9" t="s">
        <v>74</v>
      </c>
      <c r="BD731" s="9" t="s">
        <v>104</v>
      </c>
      <c r="BE731" s="9" t="s">
        <v>75</v>
      </c>
      <c r="BF731" s="11">
        <v>0</v>
      </c>
      <c r="BG731">
        <f t="shared" si="24"/>
        <v>12</v>
      </c>
      <c r="BH731" t="str">
        <f>VLOOKUP(BG731,[1]month!$A:$B,2,0)</f>
        <v>Desember</v>
      </c>
      <c r="BI731">
        <f t="shared" si="25"/>
        <v>2025</v>
      </c>
      <c r="BJ731" t="str">
        <f>VLOOKUP(I731,[1]Dist!$A:$B,2,0)</f>
        <v>Industry</v>
      </c>
      <c r="BK731" t="str">
        <f>IF(I731=11,VLOOKUP(Y731,[2]Sheet1!$C:$N,10,0),IF(I731=13,VLOOKUP(Y731,[3]Sheet1!$C:$N,10,0),IF(I731=15,VLOOKUP(Y731,[4]Sheet1!$C:$N,10,0),"Unknown")))</f>
        <v>PU</v>
      </c>
      <c r="BL731" t="str">
        <f>IF(I731=11,VLOOKUP(Y731,[2]Sheet1!$C:$N,12,0),IF(I731=13,VLOOKUP(Y731,[3]Sheet1!$C:$N,12,0),IF(I731=15,VLOOKUP(Y731,[4]Sheet1!$C:$N,12,0),"Unknown")))</f>
        <v>UNION TOP COAT</v>
      </c>
      <c r="BM731" t="str">
        <f>VLOOKUP(W731,[1]branch!$A:$B,2,0)</f>
        <v>INDUSTRY</v>
      </c>
    </row>
    <row r="732" spans="1:65" x14ac:dyDescent="0.35">
      <c r="A732" s="10">
        <v>46001</v>
      </c>
      <c r="B732" s="9" t="s">
        <v>1811</v>
      </c>
      <c r="C732" s="9" t="s">
        <v>64</v>
      </c>
      <c r="D732" s="9" t="s">
        <v>92</v>
      </c>
      <c r="E732" s="11">
        <v>60</v>
      </c>
      <c r="F732" s="9" t="s">
        <v>93</v>
      </c>
      <c r="G732" s="9" t="s">
        <v>65</v>
      </c>
      <c r="H732" s="9" t="s">
        <v>66</v>
      </c>
      <c r="I732" s="9">
        <v>11</v>
      </c>
      <c r="J732" s="9" t="s">
        <v>275</v>
      </c>
      <c r="K732" s="9" t="s">
        <v>275</v>
      </c>
      <c r="L732" s="9" t="s">
        <v>275</v>
      </c>
      <c r="M732" s="9" t="s">
        <v>276</v>
      </c>
      <c r="N732" s="9" t="s">
        <v>876</v>
      </c>
      <c r="O732" s="9" t="s">
        <v>97</v>
      </c>
      <c r="P732" s="9" t="s">
        <v>67</v>
      </c>
      <c r="Q732" s="9" t="s">
        <v>98</v>
      </c>
      <c r="R732" s="9" t="s">
        <v>275</v>
      </c>
      <c r="S732" s="9" t="s">
        <v>276</v>
      </c>
      <c r="T732" s="9" t="s">
        <v>800</v>
      </c>
      <c r="U732" s="9" t="s">
        <v>67</v>
      </c>
      <c r="V732" s="9" t="s">
        <v>130</v>
      </c>
      <c r="W732" s="9" t="s">
        <v>131</v>
      </c>
      <c r="X732" s="11">
        <v>80</v>
      </c>
      <c r="Y732" s="9" t="s">
        <v>170</v>
      </c>
      <c r="Z732" s="9" t="s">
        <v>68</v>
      </c>
      <c r="AA732" s="9" t="s">
        <v>171</v>
      </c>
      <c r="AB732" s="9" t="s">
        <v>67</v>
      </c>
      <c r="AC732" s="9" t="s">
        <v>172</v>
      </c>
      <c r="AD732" s="11">
        <v>8</v>
      </c>
      <c r="AE732" s="9" t="s">
        <v>70</v>
      </c>
      <c r="AF732" s="9" t="s">
        <v>71</v>
      </c>
      <c r="AG732" s="13">
        <v>1</v>
      </c>
      <c r="AH732" s="9" t="s">
        <v>92</v>
      </c>
      <c r="AI732" s="13">
        <v>1288000</v>
      </c>
      <c r="AJ732" s="13">
        <v>10304000</v>
      </c>
      <c r="AK732" s="11">
        <v>0</v>
      </c>
      <c r="AL732" s="11">
        <v>0</v>
      </c>
      <c r="AM732" s="11">
        <v>0</v>
      </c>
      <c r="AN732" s="9" t="s">
        <v>67</v>
      </c>
      <c r="AO732" s="11">
        <v>10304000</v>
      </c>
      <c r="AP732" s="13">
        <v>824320</v>
      </c>
      <c r="AQ732" s="13">
        <v>11128320</v>
      </c>
      <c r="AR732" s="11">
        <v>128</v>
      </c>
      <c r="AS732" s="9" t="s">
        <v>72</v>
      </c>
      <c r="AT732" s="11">
        <v>128</v>
      </c>
      <c r="AU732" s="9" t="s">
        <v>73</v>
      </c>
      <c r="AV732" s="9" t="s">
        <v>67</v>
      </c>
      <c r="AW732" s="9" t="s">
        <v>1812</v>
      </c>
      <c r="AX732" s="10">
        <v>45994</v>
      </c>
      <c r="AY732" s="9" t="s">
        <v>1813</v>
      </c>
      <c r="AZ732" s="9" t="s">
        <v>67</v>
      </c>
      <c r="BA732" s="9" t="s">
        <v>67</v>
      </c>
      <c r="BB732" s="12">
        <v>128</v>
      </c>
      <c r="BC732" s="9" t="s">
        <v>74</v>
      </c>
      <c r="BD732" s="9" t="s">
        <v>104</v>
      </c>
      <c r="BE732" s="9" t="s">
        <v>75</v>
      </c>
      <c r="BF732" s="11">
        <v>0</v>
      </c>
      <c r="BG732">
        <f t="shared" si="24"/>
        <v>12</v>
      </c>
      <c r="BH732" t="str">
        <f>VLOOKUP(BG732,[1]month!$A:$B,2,0)</f>
        <v>Desember</v>
      </c>
      <c r="BI732">
        <f t="shared" si="25"/>
        <v>2025</v>
      </c>
      <c r="BJ732" t="str">
        <f>VLOOKUP(I732,[1]Dist!$A:$B,2,0)</f>
        <v>Industry</v>
      </c>
      <c r="BK732" t="str">
        <f>IF(I732=11,VLOOKUP(Y732,[2]Sheet1!$C:$N,10,0),IF(I732=13,VLOOKUP(Y732,[3]Sheet1!$C:$N,10,0),IF(I732=15,VLOOKUP(Y732,[4]Sheet1!$C:$N,10,0),"Unknown")))</f>
        <v>PU</v>
      </c>
      <c r="BL732" t="str">
        <f>IF(I732=11,VLOOKUP(Y732,[2]Sheet1!$C:$N,12,0),IF(I732=13,VLOOKUP(Y732,[3]Sheet1!$C:$N,12,0),IF(I732=15,VLOOKUP(Y732,[4]Sheet1!$C:$N,12,0),"Unknown")))</f>
        <v>UNION TOP COAT</v>
      </c>
      <c r="BM732" t="str">
        <f>VLOOKUP(W732,[1]branch!$A:$B,2,0)</f>
        <v>INDUSTRY</v>
      </c>
    </row>
    <row r="733" spans="1:65" x14ac:dyDescent="0.35">
      <c r="A733" s="10">
        <v>46001</v>
      </c>
      <c r="B733" s="9" t="s">
        <v>1811</v>
      </c>
      <c r="C733" s="9" t="s">
        <v>64</v>
      </c>
      <c r="D733" s="9" t="s">
        <v>92</v>
      </c>
      <c r="E733" s="11">
        <v>60</v>
      </c>
      <c r="F733" s="9" t="s">
        <v>93</v>
      </c>
      <c r="G733" s="9" t="s">
        <v>65</v>
      </c>
      <c r="H733" s="9" t="s">
        <v>66</v>
      </c>
      <c r="I733" s="9">
        <v>11</v>
      </c>
      <c r="J733" s="9" t="s">
        <v>275</v>
      </c>
      <c r="K733" s="9" t="s">
        <v>275</v>
      </c>
      <c r="L733" s="9" t="s">
        <v>275</v>
      </c>
      <c r="M733" s="9" t="s">
        <v>276</v>
      </c>
      <c r="N733" s="9" t="s">
        <v>876</v>
      </c>
      <c r="O733" s="9" t="s">
        <v>97</v>
      </c>
      <c r="P733" s="9" t="s">
        <v>67</v>
      </c>
      <c r="Q733" s="9" t="s">
        <v>98</v>
      </c>
      <c r="R733" s="9" t="s">
        <v>275</v>
      </c>
      <c r="S733" s="9" t="s">
        <v>276</v>
      </c>
      <c r="T733" s="9" t="s">
        <v>800</v>
      </c>
      <c r="U733" s="9" t="s">
        <v>67</v>
      </c>
      <c r="V733" s="9" t="s">
        <v>130</v>
      </c>
      <c r="W733" s="9" t="s">
        <v>131</v>
      </c>
      <c r="X733" s="11">
        <v>90</v>
      </c>
      <c r="Y733" s="9" t="s">
        <v>526</v>
      </c>
      <c r="Z733" s="9" t="s">
        <v>68</v>
      </c>
      <c r="AA733" s="9" t="s">
        <v>527</v>
      </c>
      <c r="AB733" s="9" t="s">
        <v>67</v>
      </c>
      <c r="AC733" s="9" t="s">
        <v>528</v>
      </c>
      <c r="AD733" s="11">
        <v>6</v>
      </c>
      <c r="AE733" s="9" t="s">
        <v>70</v>
      </c>
      <c r="AF733" s="9" t="s">
        <v>71</v>
      </c>
      <c r="AG733" s="13">
        <v>1</v>
      </c>
      <c r="AH733" s="9" t="s">
        <v>92</v>
      </c>
      <c r="AI733" s="13">
        <v>1041600</v>
      </c>
      <c r="AJ733" s="13">
        <v>6249600</v>
      </c>
      <c r="AK733" s="11">
        <v>0</v>
      </c>
      <c r="AL733" s="11">
        <v>0</v>
      </c>
      <c r="AM733" s="11">
        <v>0</v>
      </c>
      <c r="AN733" s="9" t="s">
        <v>67</v>
      </c>
      <c r="AO733" s="11">
        <v>6249600</v>
      </c>
      <c r="AP733" s="13">
        <v>499968</v>
      </c>
      <c r="AQ733" s="13">
        <v>6749568</v>
      </c>
      <c r="AR733" s="11">
        <v>96</v>
      </c>
      <c r="AS733" s="9" t="s">
        <v>72</v>
      </c>
      <c r="AT733" s="11">
        <v>96</v>
      </c>
      <c r="AU733" s="9" t="s">
        <v>73</v>
      </c>
      <c r="AV733" s="9" t="s">
        <v>67</v>
      </c>
      <c r="AW733" s="9" t="s">
        <v>1812</v>
      </c>
      <c r="AX733" s="10">
        <v>45994</v>
      </c>
      <c r="AY733" s="9" t="s">
        <v>1813</v>
      </c>
      <c r="AZ733" s="9" t="s">
        <v>67</v>
      </c>
      <c r="BA733" s="9" t="s">
        <v>67</v>
      </c>
      <c r="BB733" s="12">
        <v>96</v>
      </c>
      <c r="BC733" s="9" t="s">
        <v>74</v>
      </c>
      <c r="BD733" s="9" t="s">
        <v>104</v>
      </c>
      <c r="BE733" s="9" t="s">
        <v>75</v>
      </c>
      <c r="BF733" s="11">
        <v>0</v>
      </c>
      <c r="BG733">
        <f t="shared" si="24"/>
        <v>12</v>
      </c>
      <c r="BH733" t="str">
        <f>VLOOKUP(BG733,[1]month!$A:$B,2,0)</f>
        <v>Desember</v>
      </c>
      <c r="BI733">
        <f t="shared" si="25"/>
        <v>2025</v>
      </c>
      <c r="BJ733" t="str">
        <f>VLOOKUP(I733,[1]Dist!$A:$B,2,0)</f>
        <v>Industry</v>
      </c>
      <c r="BK733" t="str">
        <f>IF(I733=11,VLOOKUP(Y733,[2]Sheet1!$C:$N,10,0),IF(I733=13,VLOOKUP(Y733,[3]Sheet1!$C:$N,10,0),IF(I733=15,VLOOKUP(Y733,[4]Sheet1!$C:$N,10,0),"Unknown")))</f>
        <v>PU</v>
      </c>
      <c r="BL733" t="str">
        <f>IF(I733=11,VLOOKUP(Y733,[2]Sheet1!$C:$N,12,0),IF(I733=13,VLOOKUP(Y733,[3]Sheet1!$C:$N,12,0),IF(I733=15,VLOOKUP(Y733,[4]Sheet1!$C:$N,12,0),"Unknown")))</f>
        <v>UNION TOP COAT</v>
      </c>
      <c r="BM733" t="str">
        <f>VLOOKUP(W733,[1]branch!$A:$B,2,0)</f>
        <v>INDUSTRY</v>
      </c>
    </row>
    <row r="734" spans="1:65" x14ac:dyDescent="0.35">
      <c r="A734" s="10">
        <v>46001</v>
      </c>
      <c r="B734" s="9" t="s">
        <v>1811</v>
      </c>
      <c r="C734" s="9" t="s">
        <v>64</v>
      </c>
      <c r="D734" s="9" t="s">
        <v>92</v>
      </c>
      <c r="E734" s="11">
        <v>60</v>
      </c>
      <c r="F734" s="9" t="s">
        <v>93</v>
      </c>
      <c r="G734" s="9" t="s">
        <v>65</v>
      </c>
      <c r="H734" s="9" t="s">
        <v>66</v>
      </c>
      <c r="I734" s="9">
        <v>11</v>
      </c>
      <c r="J734" s="9" t="s">
        <v>275</v>
      </c>
      <c r="K734" s="9" t="s">
        <v>275</v>
      </c>
      <c r="L734" s="9" t="s">
        <v>275</v>
      </c>
      <c r="M734" s="9" t="s">
        <v>276</v>
      </c>
      <c r="N734" s="9" t="s">
        <v>876</v>
      </c>
      <c r="O734" s="9" t="s">
        <v>97</v>
      </c>
      <c r="P734" s="9" t="s">
        <v>67</v>
      </c>
      <c r="Q734" s="9" t="s">
        <v>98</v>
      </c>
      <c r="R734" s="9" t="s">
        <v>275</v>
      </c>
      <c r="S734" s="9" t="s">
        <v>276</v>
      </c>
      <c r="T734" s="9" t="s">
        <v>800</v>
      </c>
      <c r="U734" s="9" t="s">
        <v>67</v>
      </c>
      <c r="V734" s="9" t="s">
        <v>130</v>
      </c>
      <c r="W734" s="9" t="s">
        <v>131</v>
      </c>
      <c r="X734" s="11">
        <v>100</v>
      </c>
      <c r="Y734" s="9" t="s">
        <v>401</v>
      </c>
      <c r="Z734" s="9" t="s">
        <v>68</v>
      </c>
      <c r="AA734" s="9" t="s">
        <v>402</v>
      </c>
      <c r="AB734" s="9" t="s">
        <v>67</v>
      </c>
      <c r="AC734" s="9" t="s">
        <v>403</v>
      </c>
      <c r="AD734" s="11">
        <v>8</v>
      </c>
      <c r="AE734" s="9" t="s">
        <v>70</v>
      </c>
      <c r="AF734" s="9" t="s">
        <v>71</v>
      </c>
      <c r="AG734" s="13">
        <v>1</v>
      </c>
      <c r="AH734" s="9" t="s">
        <v>92</v>
      </c>
      <c r="AI734" s="13">
        <v>1004800</v>
      </c>
      <c r="AJ734" s="13">
        <v>8038400</v>
      </c>
      <c r="AK734" s="11">
        <v>0</v>
      </c>
      <c r="AL734" s="11">
        <v>0</v>
      </c>
      <c r="AM734" s="11">
        <v>0</v>
      </c>
      <c r="AN734" s="9" t="s">
        <v>67</v>
      </c>
      <c r="AO734" s="11">
        <v>8038400</v>
      </c>
      <c r="AP734" s="13">
        <v>643072</v>
      </c>
      <c r="AQ734" s="13">
        <v>8681472</v>
      </c>
      <c r="AR734" s="11">
        <v>128</v>
      </c>
      <c r="AS734" s="9" t="s">
        <v>72</v>
      </c>
      <c r="AT734" s="11">
        <v>128</v>
      </c>
      <c r="AU734" s="9" t="s">
        <v>73</v>
      </c>
      <c r="AV734" s="9" t="s">
        <v>67</v>
      </c>
      <c r="AW734" s="9" t="s">
        <v>1812</v>
      </c>
      <c r="AX734" s="10">
        <v>45994</v>
      </c>
      <c r="AY734" s="9" t="s">
        <v>1813</v>
      </c>
      <c r="AZ734" s="9" t="s">
        <v>67</v>
      </c>
      <c r="BA734" s="9" t="s">
        <v>67</v>
      </c>
      <c r="BB734" s="12">
        <v>128</v>
      </c>
      <c r="BC734" s="9" t="s">
        <v>74</v>
      </c>
      <c r="BD734" s="9" t="s">
        <v>104</v>
      </c>
      <c r="BE734" s="9" t="s">
        <v>75</v>
      </c>
      <c r="BF734" s="11">
        <v>0</v>
      </c>
      <c r="BG734">
        <f t="shared" si="24"/>
        <v>12</v>
      </c>
      <c r="BH734" t="str">
        <f>VLOOKUP(BG734,[1]month!$A:$B,2,0)</f>
        <v>Desember</v>
      </c>
      <c r="BI734">
        <f t="shared" si="25"/>
        <v>2025</v>
      </c>
      <c r="BJ734" t="str">
        <f>VLOOKUP(I734,[1]Dist!$A:$B,2,0)</f>
        <v>Industry</v>
      </c>
      <c r="BK734" t="str">
        <f>IF(I734=11,VLOOKUP(Y734,[2]Sheet1!$C:$N,10,0),IF(I734=13,VLOOKUP(Y734,[3]Sheet1!$C:$N,10,0),IF(I734=15,VLOOKUP(Y734,[4]Sheet1!$C:$N,10,0),"Unknown")))</f>
        <v>PU</v>
      </c>
      <c r="BL734" t="str">
        <f>IF(I734=11,VLOOKUP(Y734,[2]Sheet1!$C:$N,12,0),IF(I734=13,VLOOKUP(Y734,[3]Sheet1!$C:$N,12,0),IF(I734=15,VLOOKUP(Y734,[4]Sheet1!$C:$N,12,0),"Unknown")))</f>
        <v>UNION TOP COAT</v>
      </c>
      <c r="BM734" t="str">
        <f>VLOOKUP(W734,[1]branch!$A:$B,2,0)</f>
        <v>INDUSTRY</v>
      </c>
    </row>
    <row r="735" spans="1:65" x14ac:dyDescent="0.35">
      <c r="A735" s="10">
        <v>46001</v>
      </c>
      <c r="B735" s="9" t="s">
        <v>1811</v>
      </c>
      <c r="C735" s="9" t="s">
        <v>64</v>
      </c>
      <c r="D735" s="9" t="s">
        <v>92</v>
      </c>
      <c r="E735" s="11">
        <v>60</v>
      </c>
      <c r="F735" s="9" t="s">
        <v>93</v>
      </c>
      <c r="G735" s="9" t="s">
        <v>65</v>
      </c>
      <c r="H735" s="9" t="s">
        <v>66</v>
      </c>
      <c r="I735" s="9">
        <v>11</v>
      </c>
      <c r="J735" s="9" t="s">
        <v>275</v>
      </c>
      <c r="K735" s="9" t="s">
        <v>275</v>
      </c>
      <c r="L735" s="9" t="s">
        <v>275</v>
      </c>
      <c r="M735" s="9" t="s">
        <v>276</v>
      </c>
      <c r="N735" s="9" t="s">
        <v>876</v>
      </c>
      <c r="O735" s="9" t="s">
        <v>97</v>
      </c>
      <c r="P735" s="9" t="s">
        <v>67</v>
      </c>
      <c r="Q735" s="9" t="s">
        <v>98</v>
      </c>
      <c r="R735" s="9" t="s">
        <v>275</v>
      </c>
      <c r="S735" s="9" t="s">
        <v>276</v>
      </c>
      <c r="T735" s="9" t="s">
        <v>800</v>
      </c>
      <c r="U735" s="9" t="s">
        <v>67</v>
      </c>
      <c r="V735" s="9" t="s">
        <v>130</v>
      </c>
      <c r="W735" s="9" t="s">
        <v>131</v>
      </c>
      <c r="X735" s="11">
        <v>110</v>
      </c>
      <c r="Y735" s="9" t="s">
        <v>398</v>
      </c>
      <c r="Z735" s="9" t="s">
        <v>68</v>
      </c>
      <c r="AA735" s="9" t="s">
        <v>399</v>
      </c>
      <c r="AB735" s="9" t="s">
        <v>67</v>
      </c>
      <c r="AC735" s="9" t="s">
        <v>400</v>
      </c>
      <c r="AD735" s="11">
        <v>2</v>
      </c>
      <c r="AE735" s="9" t="s">
        <v>70</v>
      </c>
      <c r="AF735" s="9" t="s">
        <v>71</v>
      </c>
      <c r="AG735" s="13">
        <v>1</v>
      </c>
      <c r="AH735" s="9" t="s">
        <v>92</v>
      </c>
      <c r="AI735" s="13">
        <v>1915200</v>
      </c>
      <c r="AJ735" s="13">
        <v>3830400</v>
      </c>
      <c r="AK735" s="11">
        <v>0</v>
      </c>
      <c r="AL735" s="11">
        <v>0</v>
      </c>
      <c r="AM735" s="11">
        <v>0</v>
      </c>
      <c r="AN735" s="9" t="s">
        <v>67</v>
      </c>
      <c r="AO735" s="11">
        <v>3830400</v>
      </c>
      <c r="AP735" s="13">
        <v>306432</v>
      </c>
      <c r="AQ735" s="13">
        <v>4136832</v>
      </c>
      <c r="AR735" s="11">
        <v>32</v>
      </c>
      <c r="AS735" s="9" t="s">
        <v>72</v>
      </c>
      <c r="AT735" s="12">
        <v>33.340000000000003</v>
      </c>
      <c r="AU735" s="9" t="s">
        <v>73</v>
      </c>
      <c r="AV735" s="9" t="s">
        <v>67</v>
      </c>
      <c r="AW735" s="9" t="s">
        <v>1812</v>
      </c>
      <c r="AX735" s="10">
        <v>45994</v>
      </c>
      <c r="AY735" s="9" t="s">
        <v>1813</v>
      </c>
      <c r="AZ735" s="9" t="s">
        <v>67</v>
      </c>
      <c r="BA735" s="9" t="s">
        <v>67</v>
      </c>
      <c r="BB735" s="12">
        <v>32</v>
      </c>
      <c r="BC735" s="9" t="s">
        <v>74</v>
      </c>
      <c r="BD735" s="9" t="s">
        <v>104</v>
      </c>
      <c r="BE735" s="9" t="s">
        <v>75</v>
      </c>
      <c r="BF735" s="11">
        <v>0</v>
      </c>
      <c r="BG735">
        <f t="shared" si="24"/>
        <v>12</v>
      </c>
      <c r="BH735" t="str">
        <f>VLOOKUP(BG735,[1]month!$A:$B,2,0)</f>
        <v>Desember</v>
      </c>
      <c r="BI735">
        <f t="shared" si="25"/>
        <v>2025</v>
      </c>
      <c r="BJ735" t="str">
        <f>VLOOKUP(I735,[1]Dist!$A:$B,2,0)</f>
        <v>Industry</v>
      </c>
      <c r="BK735" t="str">
        <f>IF(I735=11,VLOOKUP(Y735,[2]Sheet1!$C:$N,10,0),IF(I735=13,VLOOKUP(Y735,[3]Sheet1!$C:$N,10,0),IF(I735=15,VLOOKUP(Y735,[4]Sheet1!$C:$N,10,0),"Unknown")))</f>
        <v>PU</v>
      </c>
      <c r="BL735" t="str">
        <f>IF(I735=11,VLOOKUP(Y735,[2]Sheet1!$C:$N,12,0),IF(I735=13,VLOOKUP(Y735,[3]Sheet1!$C:$N,12,0),IF(I735=15,VLOOKUP(Y735,[4]Sheet1!$C:$N,12,0),"Unknown")))</f>
        <v>UNION TOP COAT</v>
      </c>
      <c r="BM735" t="str">
        <f>VLOOKUP(W735,[1]branch!$A:$B,2,0)</f>
        <v>INDUSTRY</v>
      </c>
    </row>
    <row r="736" spans="1:65" x14ac:dyDescent="0.35">
      <c r="A736" s="10">
        <v>46001</v>
      </c>
      <c r="B736" s="9" t="s">
        <v>1811</v>
      </c>
      <c r="C736" s="9" t="s">
        <v>64</v>
      </c>
      <c r="D736" s="9" t="s">
        <v>92</v>
      </c>
      <c r="E736" s="11">
        <v>60</v>
      </c>
      <c r="F736" s="9" t="s">
        <v>93</v>
      </c>
      <c r="G736" s="9" t="s">
        <v>65</v>
      </c>
      <c r="H736" s="9" t="s">
        <v>66</v>
      </c>
      <c r="I736" s="9">
        <v>11</v>
      </c>
      <c r="J736" s="9" t="s">
        <v>275</v>
      </c>
      <c r="K736" s="9" t="s">
        <v>275</v>
      </c>
      <c r="L736" s="9" t="s">
        <v>275</v>
      </c>
      <c r="M736" s="9" t="s">
        <v>276</v>
      </c>
      <c r="N736" s="9" t="s">
        <v>876</v>
      </c>
      <c r="O736" s="9" t="s">
        <v>97</v>
      </c>
      <c r="P736" s="9" t="s">
        <v>67</v>
      </c>
      <c r="Q736" s="9" t="s">
        <v>98</v>
      </c>
      <c r="R736" s="9" t="s">
        <v>275</v>
      </c>
      <c r="S736" s="9" t="s">
        <v>276</v>
      </c>
      <c r="T736" s="9" t="s">
        <v>800</v>
      </c>
      <c r="U736" s="9" t="s">
        <v>67</v>
      </c>
      <c r="V736" s="9" t="s">
        <v>130</v>
      </c>
      <c r="W736" s="9" t="s">
        <v>131</v>
      </c>
      <c r="X736" s="11">
        <v>120</v>
      </c>
      <c r="Y736" s="9" t="s">
        <v>283</v>
      </c>
      <c r="Z736" s="9" t="s">
        <v>68</v>
      </c>
      <c r="AA736" s="9" t="s">
        <v>284</v>
      </c>
      <c r="AB736" s="9" t="s">
        <v>67</v>
      </c>
      <c r="AC736" s="9" t="s">
        <v>285</v>
      </c>
      <c r="AD736" s="11">
        <v>1</v>
      </c>
      <c r="AE736" s="9" t="s">
        <v>70</v>
      </c>
      <c r="AF736" s="9" t="s">
        <v>71</v>
      </c>
      <c r="AG736" s="13">
        <v>1</v>
      </c>
      <c r="AH736" s="9" t="s">
        <v>92</v>
      </c>
      <c r="AI736" s="13">
        <v>11780000</v>
      </c>
      <c r="AJ736" s="13">
        <v>11780000</v>
      </c>
      <c r="AK736" s="11">
        <v>0</v>
      </c>
      <c r="AL736" s="11">
        <v>0</v>
      </c>
      <c r="AM736" s="11">
        <v>0</v>
      </c>
      <c r="AN736" s="9" t="s">
        <v>67</v>
      </c>
      <c r="AO736" s="11">
        <v>11780000</v>
      </c>
      <c r="AP736" s="13">
        <v>942400</v>
      </c>
      <c r="AQ736" s="13">
        <v>12722400</v>
      </c>
      <c r="AR736" s="11">
        <v>200</v>
      </c>
      <c r="AS736" s="9" t="s">
        <v>72</v>
      </c>
      <c r="AT736" s="12">
        <v>181.82</v>
      </c>
      <c r="AU736" s="9" t="s">
        <v>73</v>
      </c>
      <c r="AV736" s="9" t="s">
        <v>67</v>
      </c>
      <c r="AW736" s="9" t="s">
        <v>1812</v>
      </c>
      <c r="AX736" s="10">
        <v>45994</v>
      </c>
      <c r="AY736" s="9" t="s">
        <v>1813</v>
      </c>
      <c r="AZ736" s="9" t="s">
        <v>67</v>
      </c>
      <c r="BA736" s="9" t="s">
        <v>67</v>
      </c>
      <c r="BB736" s="12">
        <v>200</v>
      </c>
      <c r="BC736" s="9" t="s">
        <v>74</v>
      </c>
      <c r="BD736" s="9" t="s">
        <v>104</v>
      </c>
      <c r="BE736" s="9" t="s">
        <v>75</v>
      </c>
      <c r="BF736" s="11">
        <v>0</v>
      </c>
      <c r="BG736">
        <f t="shared" si="24"/>
        <v>12</v>
      </c>
      <c r="BH736" t="str">
        <f>VLOOKUP(BG736,[1]month!$A:$B,2,0)</f>
        <v>Desember</v>
      </c>
      <c r="BI736">
        <f t="shared" si="25"/>
        <v>2025</v>
      </c>
      <c r="BJ736" t="str">
        <f>VLOOKUP(I736,[1]Dist!$A:$B,2,0)</f>
        <v>Industry</v>
      </c>
      <c r="BK736" t="str">
        <f>IF(I736=11,VLOOKUP(Y736,[2]Sheet1!$C:$N,10,0),IF(I736=13,VLOOKUP(Y736,[3]Sheet1!$C:$N,10,0),IF(I736=15,VLOOKUP(Y736,[4]Sheet1!$C:$N,10,0),"Unknown")))</f>
        <v>PU</v>
      </c>
      <c r="BL736" t="str">
        <f>IF(I736=11,VLOOKUP(Y736,[2]Sheet1!$C:$N,12,0),IF(I736=13,VLOOKUP(Y736,[3]Sheet1!$C:$N,12,0),IF(I736=15,VLOOKUP(Y736,[4]Sheet1!$C:$N,12,0),"Unknown")))</f>
        <v>UNION SANDING SEALER</v>
      </c>
      <c r="BM736" t="str">
        <f>VLOOKUP(W736,[1]branch!$A:$B,2,0)</f>
        <v>INDUSTRY</v>
      </c>
    </row>
    <row r="737" spans="1:65" x14ac:dyDescent="0.35">
      <c r="A737" s="10">
        <v>46001</v>
      </c>
      <c r="B737" s="9" t="s">
        <v>1811</v>
      </c>
      <c r="C737" s="9" t="s">
        <v>64</v>
      </c>
      <c r="D737" s="9" t="s">
        <v>92</v>
      </c>
      <c r="E737" s="11">
        <v>60</v>
      </c>
      <c r="F737" s="9" t="s">
        <v>93</v>
      </c>
      <c r="G737" s="9" t="s">
        <v>65</v>
      </c>
      <c r="H737" s="9" t="s">
        <v>66</v>
      </c>
      <c r="I737" s="9">
        <v>11</v>
      </c>
      <c r="J737" s="9" t="s">
        <v>275</v>
      </c>
      <c r="K737" s="9" t="s">
        <v>275</v>
      </c>
      <c r="L737" s="9" t="s">
        <v>275</v>
      </c>
      <c r="M737" s="9" t="s">
        <v>276</v>
      </c>
      <c r="N737" s="9" t="s">
        <v>876</v>
      </c>
      <c r="O737" s="9" t="s">
        <v>97</v>
      </c>
      <c r="P737" s="9" t="s">
        <v>67</v>
      </c>
      <c r="Q737" s="9" t="s">
        <v>98</v>
      </c>
      <c r="R737" s="9" t="s">
        <v>275</v>
      </c>
      <c r="S737" s="9" t="s">
        <v>276</v>
      </c>
      <c r="T737" s="9" t="s">
        <v>800</v>
      </c>
      <c r="U737" s="9" t="s">
        <v>67</v>
      </c>
      <c r="V737" s="9" t="s">
        <v>130</v>
      </c>
      <c r="W737" s="9" t="s">
        <v>131</v>
      </c>
      <c r="X737" s="11">
        <v>130</v>
      </c>
      <c r="Y737" s="9" t="s">
        <v>280</v>
      </c>
      <c r="Z737" s="9" t="s">
        <v>68</v>
      </c>
      <c r="AA737" s="9" t="s">
        <v>281</v>
      </c>
      <c r="AB737" s="9" t="s">
        <v>67</v>
      </c>
      <c r="AC737" s="9" t="s">
        <v>282</v>
      </c>
      <c r="AD737" s="11">
        <v>6</v>
      </c>
      <c r="AE737" s="9" t="s">
        <v>70</v>
      </c>
      <c r="AF737" s="9" t="s">
        <v>71</v>
      </c>
      <c r="AG737" s="13">
        <v>1</v>
      </c>
      <c r="AH737" s="9" t="s">
        <v>92</v>
      </c>
      <c r="AI737" s="13">
        <v>1939200</v>
      </c>
      <c r="AJ737" s="13">
        <v>11635200</v>
      </c>
      <c r="AK737" s="11">
        <v>0</v>
      </c>
      <c r="AL737" s="11">
        <v>0</v>
      </c>
      <c r="AM737" s="11">
        <v>0</v>
      </c>
      <c r="AN737" s="9" t="s">
        <v>67</v>
      </c>
      <c r="AO737" s="11">
        <v>11635200</v>
      </c>
      <c r="AP737" s="13">
        <v>930816</v>
      </c>
      <c r="AQ737" s="13">
        <v>12566016</v>
      </c>
      <c r="AR737" s="11">
        <v>96</v>
      </c>
      <c r="AS737" s="9" t="s">
        <v>72</v>
      </c>
      <c r="AT737" s="12">
        <v>80.7</v>
      </c>
      <c r="AU737" s="9" t="s">
        <v>73</v>
      </c>
      <c r="AV737" s="9" t="s">
        <v>67</v>
      </c>
      <c r="AW737" s="9" t="s">
        <v>1812</v>
      </c>
      <c r="AX737" s="10">
        <v>45994</v>
      </c>
      <c r="AY737" s="9" t="s">
        <v>1813</v>
      </c>
      <c r="AZ737" s="9" t="s">
        <v>67</v>
      </c>
      <c r="BA737" s="9" t="s">
        <v>67</v>
      </c>
      <c r="BB737" s="12">
        <v>96</v>
      </c>
      <c r="BC737" s="9" t="s">
        <v>74</v>
      </c>
      <c r="BD737" s="9" t="s">
        <v>104</v>
      </c>
      <c r="BE737" s="9" t="s">
        <v>75</v>
      </c>
      <c r="BF737" s="11">
        <v>0</v>
      </c>
      <c r="BG737">
        <f t="shared" si="24"/>
        <v>12</v>
      </c>
      <c r="BH737" t="str">
        <f>VLOOKUP(BG737,[1]month!$A:$B,2,0)</f>
        <v>Desember</v>
      </c>
      <c r="BI737">
        <f t="shared" si="25"/>
        <v>2025</v>
      </c>
      <c r="BJ737" t="str">
        <f>VLOOKUP(I737,[1]Dist!$A:$B,2,0)</f>
        <v>Industry</v>
      </c>
      <c r="BK737" t="str">
        <f>IF(I737=11,VLOOKUP(Y737,[2]Sheet1!$C:$N,10,0),IF(I737=13,VLOOKUP(Y737,[3]Sheet1!$C:$N,10,0),IF(I737=15,VLOOKUP(Y737,[4]Sheet1!$C:$N,10,0),"Unknown")))</f>
        <v>PU</v>
      </c>
      <c r="BL737" t="str">
        <f>IF(I737=11,VLOOKUP(Y737,[2]Sheet1!$C:$N,12,0),IF(I737=13,VLOOKUP(Y737,[3]Sheet1!$C:$N,12,0),IF(I737=15,VLOOKUP(Y737,[4]Sheet1!$C:$N,12,0),"Unknown")))</f>
        <v>UNION TOP COAT</v>
      </c>
      <c r="BM737" t="str">
        <f>VLOOKUP(W737,[1]branch!$A:$B,2,0)</f>
        <v>INDUSTRY</v>
      </c>
    </row>
    <row r="738" spans="1:65" x14ac:dyDescent="0.35">
      <c r="A738" s="10">
        <v>46001</v>
      </c>
      <c r="B738" s="9" t="s">
        <v>1811</v>
      </c>
      <c r="C738" s="9" t="s">
        <v>64</v>
      </c>
      <c r="D738" s="9" t="s">
        <v>92</v>
      </c>
      <c r="E738" s="11">
        <v>60</v>
      </c>
      <c r="F738" s="9" t="s">
        <v>93</v>
      </c>
      <c r="G738" s="9" t="s">
        <v>65</v>
      </c>
      <c r="H738" s="9" t="s">
        <v>66</v>
      </c>
      <c r="I738" s="9">
        <v>11</v>
      </c>
      <c r="J738" s="9" t="s">
        <v>275</v>
      </c>
      <c r="K738" s="9" t="s">
        <v>275</v>
      </c>
      <c r="L738" s="9" t="s">
        <v>275</v>
      </c>
      <c r="M738" s="9" t="s">
        <v>276</v>
      </c>
      <c r="N738" s="9" t="s">
        <v>876</v>
      </c>
      <c r="O738" s="9" t="s">
        <v>97</v>
      </c>
      <c r="P738" s="9" t="s">
        <v>67</v>
      </c>
      <c r="Q738" s="9" t="s">
        <v>98</v>
      </c>
      <c r="R738" s="9" t="s">
        <v>275</v>
      </c>
      <c r="S738" s="9" t="s">
        <v>276</v>
      </c>
      <c r="T738" s="9" t="s">
        <v>800</v>
      </c>
      <c r="U738" s="9" t="s">
        <v>67</v>
      </c>
      <c r="V738" s="9" t="s">
        <v>130</v>
      </c>
      <c r="W738" s="9" t="s">
        <v>131</v>
      </c>
      <c r="X738" s="11">
        <v>140</v>
      </c>
      <c r="Y738" s="9" t="s">
        <v>376</v>
      </c>
      <c r="Z738" s="9" t="s">
        <v>68</v>
      </c>
      <c r="AA738" s="9" t="s">
        <v>377</v>
      </c>
      <c r="AB738" s="9" t="s">
        <v>67</v>
      </c>
      <c r="AC738" s="9" t="s">
        <v>175</v>
      </c>
      <c r="AD738" s="11">
        <v>5</v>
      </c>
      <c r="AE738" s="9" t="s">
        <v>70</v>
      </c>
      <c r="AF738" s="9" t="s">
        <v>71</v>
      </c>
      <c r="AG738" s="13">
        <v>1</v>
      </c>
      <c r="AH738" s="9" t="s">
        <v>92</v>
      </c>
      <c r="AI738" s="13">
        <v>7720000</v>
      </c>
      <c r="AJ738" s="13">
        <v>38600000</v>
      </c>
      <c r="AK738" s="11">
        <v>0</v>
      </c>
      <c r="AL738" s="11">
        <v>0</v>
      </c>
      <c r="AM738" s="11">
        <v>0</v>
      </c>
      <c r="AN738" s="9" t="s">
        <v>67</v>
      </c>
      <c r="AO738" s="11">
        <v>38600000</v>
      </c>
      <c r="AP738" s="13">
        <v>3088000</v>
      </c>
      <c r="AQ738" s="13">
        <v>41688000</v>
      </c>
      <c r="AR738" s="11">
        <v>880</v>
      </c>
      <c r="AS738" s="9" t="s">
        <v>72</v>
      </c>
      <c r="AT738" s="11">
        <v>1000</v>
      </c>
      <c r="AU738" s="9" t="s">
        <v>73</v>
      </c>
      <c r="AV738" s="9" t="s">
        <v>67</v>
      </c>
      <c r="AW738" s="9" t="s">
        <v>1812</v>
      </c>
      <c r="AX738" s="10">
        <v>45994</v>
      </c>
      <c r="AY738" s="9" t="s">
        <v>1813</v>
      </c>
      <c r="AZ738" s="9" t="s">
        <v>67</v>
      </c>
      <c r="BA738" s="9" t="s">
        <v>67</v>
      </c>
      <c r="BB738" s="12">
        <v>1000</v>
      </c>
      <c r="BC738" s="9" t="s">
        <v>74</v>
      </c>
      <c r="BD738" s="9" t="s">
        <v>104</v>
      </c>
      <c r="BE738" s="9" t="s">
        <v>75</v>
      </c>
      <c r="BF738" s="11">
        <v>0</v>
      </c>
      <c r="BG738">
        <f t="shared" si="24"/>
        <v>12</v>
      </c>
      <c r="BH738" t="str">
        <f>VLOOKUP(BG738,[1]month!$A:$B,2,0)</f>
        <v>Desember</v>
      </c>
      <c r="BI738">
        <f t="shared" si="25"/>
        <v>2025</v>
      </c>
      <c r="BJ738" t="str">
        <f>VLOOKUP(I738,[1]Dist!$A:$B,2,0)</f>
        <v>Industry</v>
      </c>
      <c r="BK738" t="str">
        <f>IF(I738=11,VLOOKUP(Y738,[2]Sheet1!$C:$N,10,0),IF(I738=13,VLOOKUP(Y738,[3]Sheet1!$C:$N,10,0),IF(I738=15,VLOOKUP(Y738,[4]Sheet1!$C:$N,10,0),"Unknown")))</f>
        <v>THINNER PU</v>
      </c>
      <c r="BL738" t="str">
        <f>IF(I738=11,VLOOKUP(Y738,[2]Sheet1!$C:$N,12,0),IF(I738=13,VLOOKUP(Y738,[3]Sheet1!$C:$N,12,0),IF(I738=15,VLOOKUP(Y738,[4]Sheet1!$C:$N,12,0),"Unknown")))</f>
        <v>UNION THINNER</v>
      </c>
      <c r="BM738" t="str">
        <f>VLOOKUP(W738,[1]branch!$A:$B,2,0)</f>
        <v>INDUSTRY</v>
      </c>
    </row>
    <row r="739" spans="1:65" x14ac:dyDescent="0.35">
      <c r="A739" s="10">
        <v>46001</v>
      </c>
      <c r="B739" s="9" t="s">
        <v>1811</v>
      </c>
      <c r="C739" s="9" t="s">
        <v>64</v>
      </c>
      <c r="D739" s="9" t="s">
        <v>92</v>
      </c>
      <c r="E739" s="11">
        <v>60</v>
      </c>
      <c r="F739" s="9" t="s">
        <v>93</v>
      </c>
      <c r="G739" s="9" t="s">
        <v>65</v>
      </c>
      <c r="H739" s="9" t="s">
        <v>66</v>
      </c>
      <c r="I739" s="9">
        <v>11</v>
      </c>
      <c r="J739" s="9" t="s">
        <v>275</v>
      </c>
      <c r="K739" s="9" t="s">
        <v>275</v>
      </c>
      <c r="L739" s="9" t="s">
        <v>275</v>
      </c>
      <c r="M739" s="9" t="s">
        <v>276</v>
      </c>
      <c r="N739" s="9" t="s">
        <v>876</v>
      </c>
      <c r="O739" s="9" t="s">
        <v>97</v>
      </c>
      <c r="P739" s="9" t="s">
        <v>67</v>
      </c>
      <c r="Q739" s="9" t="s">
        <v>98</v>
      </c>
      <c r="R739" s="9" t="s">
        <v>275</v>
      </c>
      <c r="S739" s="9" t="s">
        <v>276</v>
      </c>
      <c r="T739" s="9" t="s">
        <v>800</v>
      </c>
      <c r="U739" s="9" t="s">
        <v>67</v>
      </c>
      <c r="V739" s="9" t="s">
        <v>130</v>
      </c>
      <c r="W739" s="9" t="s">
        <v>131</v>
      </c>
      <c r="X739" s="11">
        <v>150</v>
      </c>
      <c r="Y739" s="9" t="s">
        <v>396</v>
      </c>
      <c r="Z739" s="9" t="s">
        <v>68</v>
      </c>
      <c r="AA739" s="9" t="s">
        <v>397</v>
      </c>
      <c r="AB739" s="9" t="s">
        <v>67</v>
      </c>
      <c r="AC739" s="9" t="s">
        <v>139</v>
      </c>
      <c r="AD739" s="11">
        <v>4</v>
      </c>
      <c r="AE739" s="9" t="s">
        <v>70</v>
      </c>
      <c r="AF739" s="9" t="s">
        <v>71</v>
      </c>
      <c r="AG739" s="13">
        <v>1</v>
      </c>
      <c r="AH739" s="9" t="s">
        <v>92</v>
      </c>
      <c r="AI739" s="13">
        <v>939240</v>
      </c>
      <c r="AJ739" s="13">
        <v>3756960</v>
      </c>
      <c r="AK739" s="11">
        <v>0</v>
      </c>
      <c r="AL739" s="11">
        <v>0</v>
      </c>
      <c r="AM739" s="11">
        <v>0</v>
      </c>
      <c r="AN739" s="9" t="s">
        <v>67</v>
      </c>
      <c r="AO739" s="11">
        <v>3756960</v>
      </c>
      <c r="AP739" s="13">
        <v>300557</v>
      </c>
      <c r="AQ739" s="13">
        <v>4057517</v>
      </c>
      <c r="AR739" s="11">
        <v>72</v>
      </c>
      <c r="AS739" s="9" t="s">
        <v>72</v>
      </c>
      <c r="AT739" s="11">
        <v>75</v>
      </c>
      <c r="AU739" s="9" t="s">
        <v>73</v>
      </c>
      <c r="AV739" s="9" t="s">
        <v>67</v>
      </c>
      <c r="AW739" s="9" t="s">
        <v>1812</v>
      </c>
      <c r="AX739" s="10">
        <v>45994</v>
      </c>
      <c r="AY739" s="9" t="s">
        <v>1813</v>
      </c>
      <c r="AZ739" s="9" t="s">
        <v>67</v>
      </c>
      <c r="BA739" s="9" t="s">
        <v>67</v>
      </c>
      <c r="BB739" s="12">
        <v>72</v>
      </c>
      <c r="BC739" s="9" t="s">
        <v>74</v>
      </c>
      <c r="BD739" s="9" t="s">
        <v>104</v>
      </c>
      <c r="BE739" s="9" t="s">
        <v>75</v>
      </c>
      <c r="BF739" s="11">
        <v>0</v>
      </c>
      <c r="BG739">
        <f t="shared" si="24"/>
        <v>12</v>
      </c>
      <c r="BH739" t="str">
        <f>VLOOKUP(BG739,[1]month!$A:$B,2,0)</f>
        <v>Desember</v>
      </c>
      <c r="BI739">
        <f t="shared" si="25"/>
        <v>2025</v>
      </c>
      <c r="BJ739" t="str">
        <f>VLOOKUP(I739,[1]Dist!$A:$B,2,0)</f>
        <v>Industry</v>
      </c>
      <c r="BK739" t="str">
        <f>IF(I739=11,VLOOKUP(Y739,[2]Sheet1!$C:$N,10,0),IF(I739=13,VLOOKUP(Y739,[3]Sheet1!$C:$N,10,0),IF(I739=15,VLOOKUP(Y739,[4]Sheet1!$C:$N,10,0),"Unknown")))</f>
        <v>THINNER NC</v>
      </c>
      <c r="BL739" t="str">
        <f>IF(I739=11,VLOOKUP(Y739,[2]Sheet1!$C:$N,12,0),IF(I739=13,VLOOKUP(Y739,[3]Sheet1!$C:$N,12,0),IF(I739=15,VLOOKUP(Y739,[4]Sheet1!$C:$N,12,0),"Unknown")))</f>
        <v>THINNER COMPLEMENTARY</v>
      </c>
      <c r="BM739" t="str">
        <f>VLOOKUP(W739,[1]branch!$A:$B,2,0)</f>
        <v>INDUSTRY</v>
      </c>
    </row>
    <row r="740" spans="1:65" x14ac:dyDescent="0.35">
      <c r="A740" s="10">
        <v>46001</v>
      </c>
      <c r="B740" s="9" t="s">
        <v>1811</v>
      </c>
      <c r="C740" s="9" t="s">
        <v>64</v>
      </c>
      <c r="D740" s="9" t="s">
        <v>92</v>
      </c>
      <c r="E740" s="11">
        <v>60</v>
      </c>
      <c r="F740" s="9" t="s">
        <v>93</v>
      </c>
      <c r="G740" s="9" t="s">
        <v>65</v>
      </c>
      <c r="H740" s="9" t="s">
        <v>66</v>
      </c>
      <c r="I740" s="9">
        <v>11</v>
      </c>
      <c r="J740" s="9" t="s">
        <v>275</v>
      </c>
      <c r="K740" s="9" t="s">
        <v>275</v>
      </c>
      <c r="L740" s="9" t="s">
        <v>275</v>
      </c>
      <c r="M740" s="9" t="s">
        <v>276</v>
      </c>
      <c r="N740" s="9" t="s">
        <v>876</v>
      </c>
      <c r="O740" s="9" t="s">
        <v>97</v>
      </c>
      <c r="P740" s="9" t="s">
        <v>67</v>
      </c>
      <c r="Q740" s="9" t="s">
        <v>98</v>
      </c>
      <c r="R740" s="9" t="s">
        <v>275</v>
      </c>
      <c r="S740" s="9" t="s">
        <v>276</v>
      </c>
      <c r="T740" s="9" t="s">
        <v>800</v>
      </c>
      <c r="U740" s="9" t="s">
        <v>67</v>
      </c>
      <c r="V740" s="9" t="s">
        <v>130</v>
      </c>
      <c r="W740" s="9" t="s">
        <v>131</v>
      </c>
      <c r="X740" s="11">
        <v>170</v>
      </c>
      <c r="Y740" s="9" t="s">
        <v>232</v>
      </c>
      <c r="Z740" s="9" t="s">
        <v>68</v>
      </c>
      <c r="AA740" s="9" t="s">
        <v>233</v>
      </c>
      <c r="AB740" s="9" t="s">
        <v>67</v>
      </c>
      <c r="AC740" s="9" t="s">
        <v>234</v>
      </c>
      <c r="AD740" s="11">
        <v>8</v>
      </c>
      <c r="AE740" s="9" t="s">
        <v>70</v>
      </c>
      <c r="AF740" s="9" t="s">
        <v>71</v>
      </c>
      <c r="AG740" s="13">
        <v>1</v>
      </c>
      <c r="AH740" s="9" t="s">
        <v>92</v>
      </c>
      <c r="AI740" s="13">
        <v>1232000</v>
      </c>
      <c r="AJ740" s="13">
        <v>9856000</v>
      </c>
      <c r="AK740" s="11">
        <v>0</v>
      </c>
      <c r="AL740" s="11">
        <v>0</v>
      </c>
      <c r="AM740" s="11">
        <v>0</v>
      </c>
      <c r="AN740" s="9" t="s">
        <v>67</v>
      </c>
      <c r="AO740" s="11">
        <v>9856000</v>
      </c>
      <c r="AP740" s="13">
        <v>788480</v>
      </c>
      <c r="AQ740" s="13">
        <v>10644480</v>
      </c>
      <c r="AR740" s="11">
        <v>160</v>
      </c>
      <c r="AS740" s="9" t="s">
        <v>72</v>
      </c>
      <c r="AT740" s="11">
        <v>128</v>
      </c>
      <c r="AU740" s="9" t="s">
        <v>73</v>
      </c>
      <c r="AV740" s="9" t="s">
        <v>67</v>
      </c>
      <c r="AW740" s="9" t="s">
        <v>1812</v>
      </c>
      <c r="AX740" s="10">
        <v>45994</v>
      </c>
      <c r="AY740" s="9" t="s">
        <v>1813</v>
      </c>
      <c r="AZ740" s="9" t="s">
        <v>67</v>
      </c>
      <c r="BA740" s="9" t="s">
        <v>67</v>
      </c>
      <c r="BB740" s="12">
        <v>160</v>
      </c>
      <c r="BC740" s="9" t="s">
        <v>74</v>
      </c>
      <c r="BD740" s="9" t="s">
        <v>104</v>
      </c>
      <c r="BE740" s="9" t="s">
        <v>75</v>
      </c>
      <c r="BF740" s="11">
        <v>0</v>
      </c>
      <c r="BG740">
        <f t="shared" si="24"/>
        <v>12</v>
      </c>
      <c r="BH740" t="str">
        <f>VLOOKUP(BG740,[1]month!$A:$B,2,0)</f>
        <v>Desember</v>
      </c>
      <c r="BI740">
        <f t="shared" si="25"/>
        <v>2025</v>
      </c>
      <c r="BJ740" t="str">
        <f>VLOOKUP(I740,[1]Dist!$A:$B,2,0)</f>
        <v>Industry</v>
      </c>
      <c r="BK740" t="str">
        <f>IF(I740=11,VLOOKUP(Y740,[2]Sheet1!$C:$N,10,0),IF(I740=13,VLOOKUP(Y740,[3]Sheet1!$C:$N,10,0),IF(I740=15,VLOOKUP(Y740,[4]Sheet1!$C:$N,10,0),"Unknown")))</f>
        <v>PU</v>
      </c>
      <c r="BL740" t="str">
        <f>IF(I740=11,VLOOKUP(Y740,[2]Sheet1!$C:$N,12,0),IF(I740=13,VLOOKUP(Y740,[3]Sheet1!$C:$N,12,0),IF(I740=15,VLOOKUP(Y740,[4]Sheet1!$C:$N,12,0),"Unknown")))</f>
        <v>UNION FILLER</v>
      </c>
      <c r="BM740" t="str">
        <f>VLOOKUP(W740,[1]branch!$A:$B,2,0)</f>
        <v>INDUSTRY</v>
      </c>
    </row>
    <row r="741" spans="1:65" x14ac:dyDescent="0.35">
      <c r="A741" s="10">
        <v>46001</v>
      </c>
      <c r="B741" s="9" t="s">
        <v>1811</v>
      </c>
      <c r="C741" s="9" t="s">
        <v>64</v>
      </c>
      <c r="D741" s="9" t="s">
        <v>92</v>
      </c>
      <c r="E741" s="11">
        <v>60</v>
      </c>
      <c r="F741" s="9" t="s">
        <v>93</v>
      </c>
      <c r="G741" s="9" t="s">
        <v>65</v>
      </c>
      <c r="H741" s="9" t="s">
        <v>66</v>
      </c>
      <c r="I741" s="9">
        <v>11</v>
      </c>
      <c r="J741" s="9" t="s">
        <v>275</v>
      </c>
      <c r="K741" s="9" t="s">
        <v>275</v>
      </c>
      <c r="L741" s="9" t="s">
        <v>275</v>
      </c>
      <c r="M741" s="9" t="s">
        <v>276</v>
      </c>
      <c r="N741" s="9" t="s">
        <v>876</v>
      </c>
      <c r="O741" s="9" t="s">
        <v>97</v>
      </c>
      <c r="P741" s="9" t="s">
        <v>67</v>
      </c>
      <c r="Q741" s="9" t="s">
        <v>98</v>
      </c>
      <c r="R741" s="9" t="s">
        <v>275</v>
      </c>
      <c r="S741" s="9" t="s">
        <v>276</v>
      </c>
      <c r="T741" s="9" t="s">
        <v>800</v>
      </c>
      <c r="U741" s="9" t="s">
        <v>67</v>
      </c>
      <c r="V741" s="9" t="s">
        <v>130</v>
      </c>
      <c r="W741" s="9" t="s">
        <v>131</v>
      </c>
      <c r="X741" s="11">
        <v>180</v>
      </c>
      <c r="Y741" s="9" t="s">
        <v>607</v>
      </c>
      <c r="Z741" s="9" t="s">
        <v>68</v>
      </c>
      <c r="AA741" s="9" t="s">
        <v>608</v>
      </c>
      <c r="AB741" s="9" t="s">
        <v>67</v>
      </c>
      <c r="AC741" s="9" t="s">
        <v>91</v>
      </c>
      <c r="AD741" s="11">
        <v>2</v>
      </c>
      <c r="AE741" s="9" t="s">
        <v>70</v>
      </c>
      <c r="AF741" s="9" t="s">
        <v>71</v>
      </c>
      <c r="AG741" s="13">
        <v>1</v>
      </c>
      <c r="AH741" s="9" t="s">
        <v>92</v>
      </c>
      <c r="AI741" s="13">
        <v>662800</v>
      </c>
      <c r="AJ741" s="13">
        <v>1325600</v>
      </c>
      <c r="AK741" s="11">
        <v>0</v>
      </c>
      <c r="AL741" s="11">
        <v>0</v>
      </c>
      <c r="AM741" s="11">
        <v>0</v>
      </c>
      <c r="AN741" s="9" t="s">
        <v>67</v>
      </c>
      <c r="AO741" s="11">
        <v>1325600</v>
      </c>
      <c r="AP741" s="13">
        <v>106048</v>
      </c>
      <c r="AQ741" s="13">
        <v>1431648</v>
      </c>
      <c r="AR741" s="11">
        <v>8</v>
      </c>
      <c r="AS741" s="9" t="s">
        <v>72</v>
      </c>
      <c r="AT741" s="12">
        <v>6.26</v>
      </c>
      <c r="AU741" s="9" t="s">
        <v>73</v>
      </c>
      <c r="AV741" s="9" t="s">
        <v>67</v>
      </c>
      <c r="AW741" s="9" t="s">
        <v>1812</v>
      </c>
      <c r="AX741" s="10">
        <v>45994</v>
      </c>
      <c r="AY741" s="9" t="s">
        <v>1813</v>
      </c>
      <c r="AZ741" s="9" t="s">
        <v>67</v>
      </c>
      <c r="BA741" s="9" t="s">
        <v>67</v>
      </c>
      <c r="BB741" s="12">
        <v>8</v>
      </c>
      <c r="BC741" s="9" t="s">
        <v>74</v>
      </c>
      <c r="BD741" s="9" t="s">
        <v>104</v>
      </c>
      <c r="BE741" s="9" t="s">
        <v>75</v>
      </c>
      <c r="BF741" s="11">
        <v>0</v>
      </c>
      <c r="BG741">
        <f t="shared" si="24"/>
        <v>12</v>
      </c>
      <c r="BH741" t="str">
        <f>VLOOKUP(BG741,[1]month!$A:$B,2,0)</f>
        <v>Desember</v>
      </c>
      <c r="BI741">
        <f t="shared" si="25"/>
        <v>2025</v>
      </c>
      <c r="BJ741" t="str">
        <f>VLOOKUP(I741,[1]Dist!$A:$B,2,0)</f>
        <v>Industry</v>
      </c>
      <c r="BK741" t="str">
        <f>IF(I741=11,VLOOKUP(Y741,[2]Sheet1!$C:$N,10,0),IF(I741=13,VLOOKUP(Y741,[3]Sheet1!$C:$N,10,0),IF(I741=15,VLOOKUP(Y741,[4]Sheet1!$C:$N,10,0),"Unknown")))</f>
        <v>COMPLEMENTARY</v>
      </c>
      <c r="BL741" t="str">
        <f>IF(I741=11,VLOOKUP(Y741,[2]Sheet1!$C:$N,12,0),IF(I741=13,VLOOKUP(Y741,[3]Sheet1!$C:$N,12,0),IF(I741=15,VLOOKUP(Y741,[4]Sheet1!$C:$N,12,0),"Unknown")))</f>
        <v>PASTA</v>
      </c>
      <c r="BM741" t="str">
        <f>VLOOKUP(W741,[1]branch!$A:$B,2,0)</f>
        <v>INDUSTRY</v>
      </c>
    </row>
    <row r="742" spans="1:65" x14ac:dyDescent="0.35">
      <c r="A742" s="10">
        <v>46001</v>
      </c>
      <c r="B742" s="9" t="s">
        <v>1814</v>
      </c>
      <c r="C742" s="9" t="s">
        <v>64</v>
      </c>
      <c r="D742" s="9" t="s">
        <v>92</v>
      </c>
      <c r="E742" s="11">
        <v>60</v>
      </c>
      <c r="F742" s="9" t="s">
        <v>93</v>
      </c>
      <c r="G742" s="9" t="s">
        <v>65</v>
      </c>
      <c r="H742" s="9" t="s">
        <v>66</v>
      </c>
      <c r="I742" s="9">
        <v>11</v>
      </c>
      <c r="J742" s="9" t="s">
        <v>128</v>
      </c>
      <c r="K742" s="9" t="s">
        <v>128</v>
      </c>
      <c r="L742" s="9" t="s">
        <v>128</v>
      </c>
      <c r="M742" s="9" t="s">
        <v>129</v>
      </c>
      <c r="N742" s="9" t="s">
        <v>873</v>
      </c>
      <c r="O742" s="9" t="s">
        <v>97</v>
      </c>
      <c r="P742" s="9" t="s">
        <v>67</v>
      </c>
      <c r="Q742" s="9" t="s">
        <v>98</v>
      </c>
      <c r="R742" s="9" t="s">
        <v>128</v>
      </c>
      <c r="S742" s="9" t="s">
        <v>129</v>
      </c>
      <c r="T742" s="9" t="s">
        <v>796</v>
      </c>
      <c r="U742" s="9" t="s">
        <v>67</v>
      </c>
      <c r="V742" s="9" t="s">
        <v>130</v>
      </c>
      <c r="W742" s="9" t="s">
        <v>131</v>
      </c>
      <c r="X742" s="11">
        <v>80</v>
      </c>
      <c r="Y742" s="9" t="s">
        <v>1815</v>
      </c>
      <c r="Z742" s="9" t="s">
        <v>68</v>
      </c>
      <c r="AA742" s="9" t="s">
        <v>1816</v>
      </c>
      <c r="AB742" s="9" t="s">
        <v>67</v>
      </c>
      <c r="AC742" s="9" t="s">
        <v>1817</v>
      </c>
      <c r="AD742" s="11">
        <v>2</v>
      </c>
      <c r="AE742" s="9" t="s">
        <v>70</v>
      </c>
      <c r="AF742" s="9" t="s">
        <v>71</v>
      </c>
      <c r="AG742" s="13">
        <v>1</v>
      </c>
      <c r="AH742" s="9" t="s">
        <v>92</v>
      </c>
      <c r="AI742" s="13">
        <v>1776000</v>
      </c>
      <c r="AJ742" s="13">
        <v>3552000</v>
      </c>
      <c r="AK742" s="11">
        <v>0</v>
      </c>
      <c r="AL742" s="11">
        <v>0</v>
      </c>
      <c r="AM742" s="11">
        <v>0</v>
      </c>
      <c r="AN742" s="9" t="s">
        <v>67</v>
      </c>
      <c r="AO742" s="11">
        <v>3552000</v>
      </c>
      <c r="AP742" s="13">
        <v>284160</v>
      </c>
      <c r="AQ742" s="13">
        <v>3836160</v>
      </c>
      <c r="AR742" s="11">
        <v>32</v>
      </c>
      <c r="AS742" s="9" t="s">
        <v>72</v>
      </c>
      <c r="AT742" s="12">
        <v>26.44</v>
      </c>
      <c r="AU742" s="9" t="s">
        <v>73</v>
      </c>
      <c r="AV742" s="9" t="s">
        <v>67</v>
      </c>
      <c r="AW742" s="9" t="s">
        <v>1818</v>
      </c>
      <c r="AX742" s="10">
        <v>45842</v>
      </c>
      <c r="AY742" s="9" t="s">
        <v>1819</v>
      </c>
      <c r="AZ742" s="9" t="s">
        <v>67</v>
      </c>
      <c r="BA742" s="9" t="s">
        <v>67</v>
      </c>
      <c r="BB742" s="12">
        <v>32</v>
      </c>
      <c r="BC742" s="9" t="s">
        <v>74</v>
      </c>
      <c r="BD742" s="9" t="s">
        <v>104</v>
      </c>
      <c r="BE742" s="9" t="s">
        <v>75</v>
      </c>
      <c r="BF742" s="11">
        <v>0</v>
      </c>
      <c r="BG742">
        <f t="shared" si="24"/>
        <v>12</v>
      </c>
      <c r="BH742" t="str">
        <f>VLOOKUP(BG742,[1]month!$A:$B,2,0)</f>
        <v>Desember</v>
      </c>
      <c r="BI742">
        <f t="shared" si="25"/>
        <v>2025</v>
      </c>
      <c r="BJ742" t="str">
        <f>VLOOKUP(I742,[1]Dist!$A:$B,2,0)</f>
        <v>Industry</v>
      </c>
      <c r="BK742" t="str">
        <f>IF(I742=11,VLOOKUP(Y742,[2]Sheet1!$C:$N,10,0),IF(I742=13,VLOOKUP(Y742,[3]Sheet1!$C:$N,10,0),IF(I742=15,VLOOKUP(Y742,[4]Sheet1!$C:$N,10,0),"Unknown")))</f>
        <v>PU</v>
      </c>
      <c r="BL742" t="str">
        <f>IF(I742=11,VLOOKUP(Y742,[2]Sheet1!$C:$N,12,0),IF(I742=13,VLOOKUP(Y742,[3]Sheet1!$C:$N,12,0),IF(I742=15,VLOOKUP(Y742,[4]Sheet1!$C:$N,12,0),"Unknown")))</f>
        <v>UNION TOP COAT</v>
      </c>
      <c r="BM742" t="str">
        <f>VLOOKUP(W742,[1]branch!$A:$B,2,0)</f>
        <v>INDUSTRY</v>
      </c>
    </row>
    <row r="743" spans="1:65" x14ac:dyDescent="0.35">
      <c r="A743" s="10">
        <v>46001</v>
      </c>
      <c r="B743" s="9" t="s">
        <v>1820</v>
      </c>
      <c r="C743" s="9" t="s">
        <v>64</v>
      </c>
      <c r="D743" s="9" t="s">
        <v>92</v>
      </c>
      <c r="E743" s="11">
        <v>60</v>
      </c>
      <c r="F743" s="9" t="s">
        <v>93</v>
      </c>
      <c r="G743" s="9" t="s">
        <v>65</v>
      </c>
      <c r="H743" s="9" t="s">
        <v>66</v>
      </c>
      <c r="I743" s="9">
        <v>11</v>
      </c>
      <c r="J743" s="9" t="s">
        <v>128</v>
      </c>
      <c r="K743" s="9" t="s">
        <v>128</v>
      </c>
      <c r="L743" s="9" t="s">
        <v>128</v>
      </c>
      <c r="M743" s="9" t="s">
        <v>129</v>
      </c>
      <c r="N743" s="9" t="s">
        <v>873</v>
      </c>
      <c r="O743" s="9" t="s">
        <v>97</v>
      </c>
      <c r="P743" s="9" t="s">
        <v>67</v>
      </c>
      <c r="Q743" s="9" t="s">
        <v>98</v>
      </c>
      <c r="R743" s="9" t="s">
        <v>128</v>
      </c>
      <c r="S743" s="9" t="s">
        <v>129</v>
      </c>
      <c r="T743" s="9" t="s">
        <v>796</v>
      </c>
      <c r="U743" s="9" t="s">
        <v>67</v>
      </c>
      <c r="V743" s="9" t="s">
        <v>130</v>
      </c>
      <c r="W743" s="9" t="s">
        <v>131</v>
      </c>
      <c r="X743" s="11">
        <v>90</v>
      </c>
      <c r="Y743" s="9" t="s">
        <v>374</v>
      </c>
      <c r="Z743" s="9" t="s">
        <v>68</v>
      </c>
      <c r="AA743" s="9" t="s">
        <v>375</v>
      </c>
      <c r="AB743" s="9" t="s">
        <v>67</v>
      </c>
      <c r="AC743" s="9" t="s">
        <v>91</v>
      </c>
      <c r="AD743" s="11">
        <v>8</v>
      </c>
      <c r="AE743" s="9" t="s">
        <v>70</v>
      </c>
      <c r="AF743" s="9" t="s">
        <v>71</v>
      </c>
      <c r="AG743" s="13">
        <v>1</v>
      </c>
      <c r="AH743" s="9" t="s">
        <v>92</v>
      </c>
      <c r="AI743" s="13">
        <v>703200</v>
      </c>
      <c r="AJ743" s="13">
        <v>5625600</v>
      </c>
      <c r="AK743" s="11">
        <v>0</v>
      </c>
      <c r="AL743" s="11">
        <v>0</v>
      </c>
      <c r="AM743" s="11">
        <v>0</v>
      </c>
      <c r="AN743" s="9" t="s">
        <v>67</v>
      </c>
      <c r="AO743" s="11">
        <v>5625600</v>
      </c>
      <c r="AP743" s="13">
        <v>450048</v>
      </c>
      <c r="AQ743" s="13">
        <v>6075648</v>
      </c>
      <c r="AR743" s="11">
        <v>32</v>
      </c>
      <c r="AS743" s="9" t="s">
        <v>72</v>
      </c>
      <c r="AT743" s="12">
        <v>25.04</v>
      </c>
      <c r="AU743" s="9" t="s">
        <v>73</v>
      </c>
      <c r="AV743" s="9" t="s">
        <v>67</v>
      </c>
      <c r="AW743" s="9" t="s">
        <v>907</v>
      </c>
      <c r="AX743" s="10">
        <v>45931</v>
      </c>
      <c r="AY743" s="9" t="s">
        <v>1821</v>
      </c>
      <c r="AZ743" s="9" t="s">
        <v>67</v>
      </c>
      <c r="BA743" s="9" t="s">
        <v>67</v>
      </c>
      <c r="BB743" s="12">
        <v>32</v>
      </c>
      <c r="BC743" s="9" t="s">
        <v>74</v>
      </c>
      <c r="BD743" s="9" t="s">
        <v>104</v>
      </c>
      <c r="BE743" s="9" t="s">
        <v>75</v>
      </c>
      <c r="BF743" s="11">
        <v>0</v>
      </c>
      <c r="BG743">
        <f t="shared" si="24"/>
        <v>12</v>
      </c>
      <c r="BH743" t="str">
        <f>VLOOKUP(BG743,[1]month!$A:$B,2,0)</f>
        <v>Desember</v>
      </c>
      <c r="BI743">
        <f t="shared" si="25"/>
        <v>2025</v>
      </c>
      <c r="BJ743" t="str">
        <f>VLOOKUP(I743,[1]Dist!$A:$B,2,0)</f>
        <v>Industry</v>
      </c>
      <c r="BK743" t="str">
        <f>IF(I743=11,VLOOKUP(Y743,[2]Sheet1!$C:$N,10,0),IF(I743=13,VLOOKUP(Y743,[3]Sheet1!$C:$N,10,0),IF(I743=15,VLOOKUP(Y743,[4]Sheet1!$C:$N,10,0),"Unknown")))</f>
        <v>COMPLEMENTARY</v>
      </c>
      <c r="BL743" t="str">
        <f>IF(I743=11,VLOOKUP(Y743,[2]Sheet1!$C:$N,12,0),IF(I743=13,VLOOKUP(Y743,[3]Sheet1!$C:$N,12,0),IF(I743=15,VLOOKUP(Y743,[4]Sheet1!$C:$N,12,0),"Unknown")))</f>
        <v>PASTA</v>
      </c>
      <c r="BM743" t="str">
        <f>VLOOKUP(W743,[1]branch!$A:$B,2,0)</f>
        <v>INDUSTRY</v>
      </c>
    </row>
    <row r="744" spans="1:65" x14ac:dyDescent="0.35">
      <c r="A744" s="10">
        <v>46001</v>
      </c>
      <c r="B744" s="9" t="s">
        <v>1822</v>
      </c>
      <c r="C744" s="9" t="s">
        <v>64</v>
      </c>
      <c r="D744" s="9" t="s">
        <v>92</v>
      </c>
      <c r="E744" s="11">
        <v>60</v>
      </c>
      <c r="F744" s="9" t="s">
        <v>93</v>
      </c>
      <c r="G744" s="9" t="s">
        <v>65</v>
      </c>
      <c r="H744" s="9" t="s">
        <v>66</v>
      </c>
      <c r="I744" s="9">
        <v>11</v>
      </c>
      <c r="J744" s="9" t="s">
        <v>128</v>
      </c>
      <c r="K744" s="9" t="s">
        <v>128</v>
      </c>
      <c r="L744" s="9" t="s">
        <v>128</v>
      </c>
      <c r="M744" s="9" t="s">
        <v>129</v>
      </c>
      <c r="N744" s="9" t="s">
        <v>873</v>
      </c>
      <c r="O744" s="9" t="s">
        <v>97</v>
      </c>
      <c r="P744" s="9" t="s">
        <v>67</v>
      </c>
      <c r="Q744" s="9" t="s">
        <v>98</v>
      </c>
      <c r="R744" s="9" t="s">
        <v>128</v>
      </c>
      <c r="S744" s="9" t="s">
        <v>129</v>
      </c>
      <c r="T744" s="9" t="s">
        <v>796</v>
      </c>
      <c r="U744" s="9" t="s">
        <v>67</v>
      </c>
      <c r="V744" s="9" t="s">
        <v>130</v>
      </c>
      <c r="W744" s="9" t="s">
        <v>131</v>
      </c>
      <c r="X744" s="11">
        <v>10</v>
      </c>
      <c r="Y744" s="9" t="s">
        <v>164</v>
      </c>
      <c r="Z744" s="9" t="s">
        <v>68</v>
      </c>
      <c r="AA744" s="9" t="s">
        <v>165</v>
      </c>
      <c r="AB744" s="9" t="s">
        <v>67</v>
      </c>
      <c r="AC744" s="9" t="s">
        <v>166</v>
      </c>
      <c r="AD744" s="11">
        <v>5</v>
      </c>
      <c r="AE744" s="9" t="s">
        <v>70</v>
      </c>
      <c r="AF744" s="9" t="s">
        <v>71</v>
      </c>
      <c r="AG744" s="13">
        <v>1</v>
      </c>
      <c r="AH744" s="9" t="s">
        <v>92</v>
      </c>
      <c r="AI744" s="13">
        <v>984000</v>
      </c>
      <c r="AJ744" s="13">
        <v>4920000</v>
      </c>
      <c r="AK744" s="11">
        <v>0</v>
      </c>
      <c r="AL744" s="11">
        <v>0</v>
      </c>
      <c r="AM744" s="11">
        <v>0</v>
      </c>
      <c r="AN744" s="9" t="s">
        <v>67</v>
      </c>
      <c r="AO744" s="11">
        <v>4920000</v>
      </c>
      <c r="AP744" s="13">
        <v>393600</v>
      </c>
      <c r="AQ744" s="13">
        <v>5313600</v>
      </c>
      <c r="AR744" s="11">
        <v>80</v>
      </c>
      <c r="AS744" s="9" t="s">
        <v>72</v>
      </c>
      <c r="AT744" s="12">
        <v>76.900000000000006</v>
      </c>
      <c r="AU744" s="9" t="s">
        <v>73</v>
      </c>
      <c r="AV744" s="9" t="s">
        <v>67</v>
      </c>
      <c r="AW744" s="9" t="s">
        <v>934</v>
      </c>
      <c r="AX744" s="10">
        <v>45968</v>
      </c>
      <c r="AY744" s="9" t="s">
        <v>1823</v>
      </c>
      <c r="AZ744" s="9" t="s">
        <v>67</v>
      </c>
      <c r="BA744" s="9" t="s">
        <v>67</v>
      </c>
      <c r="BB744" s="12">
        <v>80</v>
      </c>
      <c r="BC744" s="9" t="s">
        <v>74</v>
      </c>
      <c r="BD744" s="9" t="s">
        <v>104</v>
      </c>
      <c r="BE744" s="9" t="s">
        <v>75</v>
      </c>
      <c r="BF744" s="11">
        <v>0</v>
      </c>
      <c r="BG744">
        <f t="shared" si="24"/>
        <v>12</v>
      </c>
      <c r="BH744" t="str">
        <f>VLOOKUP(BG744,[1]month!$A:$B,2,0)</f>
        <v>Desember</v>
      </c>
      <c r="BI744">
        <f t="shared" si="25"/>
        <v>2025</v>
      </c>
      <c r="BJ744" t="str">
        <f>VLOOKUP(I744,[1]Dist!$A:$B,2,0)</f>
        <v>Industry</v>
      </c>
      <c r="BK744" t="str">
        <f>IF(I744=11,VLOOKUP(Y744,[2]Sheet1!$C:$N,10,0),IF(I744=13,VLOOKUP(Y744,[3]Sheet1!$C:$N,10,0),IF(I744=15,VLOOKUP(Y744,[4]Sheet1!$C:$N,10,0),"Unknown")))</f>
        <v>PU</v>
      </c>
      <c r="BL744" t="str">
        <f>IF(I744=11,VLOOKUP(Y744,[2]Sheet1!$C:$N,12,0),IF(I744=13,VLOOKUP(Y744,[3]Sheet1!$C:$N,12,0),IF(I744=15,VLOOKUP(Y744,[4]Sheet1!$C:$N,12,0),"Unknown")))</f>
        <v>UNION SANDING SEALER</v>
      </c>
      <c r="BM744" t="str">
        <f>VLOOKUP(W744,[1]branch!$A:$B,2,0)</f>
        <v>INDUSTRY</v>
      </c>
    </row>
    <row r="745" spans="1:65" x14ac:dyDescent="0.35">
      <c r="A745" s="10">
        <v>46001</v>
      </c>
      <c r="B745" s="9" t="s">
        <v>1822</v>
      </c>
      <c r="C745" s="9" t="s">
        <v>64</v>
      </c>
      <c r="D745" s="9" t="s">
        <v>92</v>
      </c>
      <c r="E745" s="11">
        <v>60</v>
      </c>
      <c r="F745" s="9" t="s">
        <v>93</v>
      </c>
      <c r="G745" s="9" t="s">
        <v>65</v>
      </c>
      <c r="H745" s="9" t="s">
        <v>66</v>
      </c>
      <c r="I745" s="9">
        <v>11</v>
      </c>
      <c r="J745" s="9" t="s">
        <v>128</v>
      </c>
      <c r="K745" s="9" t="s">
        <v>128</v>
      </c>
      <c r="L745" s="9" t="s">
        <v>128</v>
      </c>
      <c r="M745" s="9" t="s">
        <v>129</v>
      </c>
      <c r="N745" s="9" t="s">
        <v>873</v>
      </c>
      <c r="O745" s="9" t="s">
        <v>97</v>
      </c>
      <c r="P745" s="9" t="s">
        <v>67</v>
      </c>
      <c r="Q745" s="9" t="s">
        <v>98</v>
      </c>
      <c r="R745" s="9" t="s">
        <v>128</v>
      </c>
      <c r="S745" s="9" t="s">
        <v>129</v>
      </c>
      <c r="T745" s="9" t="s">
        <v>796</v>
      </c>
      <c r="U745" s="9" t="s">
        <v>67</v>
      </c>
      <c r="V745" s="9" t="s">
        <v>130</v>
      </c>
      <c r="W745" s="9" t="s">
        <v>131</v>
      </c>
      <c r="X745" s="11">
        <v>30</v>
      </c>
      <c r="Y745" s="9" t="s">
        <v>167</v>
      </c>
      <c r="Z745" s="9" t="s">
        <v>68</v>
      </c>
      <c r="AA745" s="9" t="s">
        <v>168</v>
      </c>
      <c r="AB745" s="9" t="s">
        <v>67</v>
      </c>
      <c r="AC745" s="9" t="s">
        <v>169</v>
      </c>
      <c r="AD745" s="11">
        <v>12</v>
      </c>
      <c r="AE745" s="9" t="s">
        <v>70</v>
      </c>
      <c r="AF745" s="9" t="s">
        <v>71</v>
      </c>
      <c r="AG745" s="13">
        <v>1</v>
      </c>
      <c r="AH745" s="9" t="s">
        <v>92</v>
      </c>
      <c r="AI745" s="13">
        <v>417200</v>
      </c>
      <c r="AJ745" s="13">
        <v>5006400</v>
      </c>
      <c r="AK745" s="11">
        <v>0</v>
      </c>
      <c r="AL745" s="11">
        <v>0</v>
      </c>
      <c r="AM745" s="11">
        <v>0</v>
      </c>
      <c r="AN745" s="9" t="s">
        <v>67</v>
      </c>
      <c r="AO745" s="11">
        <v>5006400</v>
      </c>
      <c r="AP745" s="13">
        <v>400512</v>
      </c>
      <c r="AQ745" s="13">
        <v>5406912</v>
      </c>
      <c r="AR745" s="11">
        <v>48</v>
      </c>
      <c r="AS745" s="9" t="s">
        <v>72</v>
      </c>
      <c r="AT745" s="11">
        <v>48</v>
      </c>
      <c r="AU745" s="9" t="s">
        <v>73</v>
      </c>
      <c r="AV745" s="9" t="s">
        <v>67</v>
      </c>
      <c r="AW745" s="9" t="s">
        <v>934</v>
      </c>
      <c r="AX745" s="10">
        <v>45968</v>
      </c>
      <c r="AY745" s="9" t="s">
        <v>1823</v>
      </c>
      <c r="AZ745" s="9" t="s">
        <v>67</v>
      </c>
      <c r="BA745" s="9" t="s">
        <v>67</v>
      </c>
      <c r="BB745" s="12">
        <v>48</v>
      </c>
      <c r="BC745" s="9" t="s">
        <v>74</v>
      </c>
      <c r="BD745" s="9" t="s">
        <v>104</v>
      </c>
      <c r="BE745" s="9" t="s">
        <v>75</v>
      </c>
      <c r="BF745" s="11">
        <v>0</v>
      </c>
      <c r="BG745">
        <f t="shared" si="24"/>
        <v>12</v>
      </c>
      <c r="BH745" t="str">
        <f>VLOOKUP(BG745,[1]month!$A:$B,2,0)</f>
        <v>Desember</v>
      </c>
      <c r="BI745">
        <f t="shared" si="25"/>
        <v>2025</v>
      </c>
      <c r="BJ745" t="str">
        <f>VLOOKUP(I745,[1]Dist!$A:$B,2,0)</f>
        <v>Industry</v>
      </c>
      <c r="BK745" t="str">
        <f>IF(I745=11,VLOOKUP(Y745,[2]Sheet1!$C:$N,10,0),IF(I745=13,VLOOKUP(Y745,[3]Sheet1!$C:$N,10,0),IF(I745=15,VLOOKUP(Y745,[4]Sheet1!$C:$N,10,0),"Unknown")))</f>
        <v>PU</v>
      </c>
      <c r="BL745" t="str">
        <f>IF(I745=11,VLOOKUP(Y745,[2]Sheet1!$C:$N,12,0),IF(I745=13,VLOOKUP(Y745,[3]Sheet1!$C:$N,12,0),IF(I745=15,VLOOKUP(Y745,[4]Sheet1!$C:$N,12,0),"Unknown")))</f>
        <v>UNION HARDENER</v>
      </c>
      <c r="BM745" t="str">
        <f>VLOOKUP(W745,[1]branch!$A:$B,2,0)</f>
        <v>INDUSTRY</v>
      </c>
    </row>
    <row r="746" spans="1:65" x14ac:dyDescent="0.35">
      <c r="A746" s="10">
        <v>46001</v>
      </c>
      <c r="B746" s="9" t="s">
        <v>1822</v>
      </c>
      <c r="C746" s="9" t="s">
        <v>64</v>
      </c>
      <c r="D746" s="9" t="s">
        <v>92</v>
      </c>
      <c r="E746" s="11">
        <v>60</v>
      </c>
      <c r="F746" s="9" t="s">
        <v>93</v>
      </c>
      <c r="G746" s="9" t="s">
        <v>65</v>
      </c>
      <c r="H746" s="9" t="s">
        <v>66</v>
      </c>
      <c r="I746" s="9">
        <v>11</v>
      </c>
      <c r="J746" s="9" t="s">
        <v>128</v>
      </c>
      <c r="K746" s="9" t="s">
        <v>128</v>
      </c>
      <c r="L746" s="9" t="s">
        <v>128</v>
      </c>
      <c r="M746" s="9" t="s">
        <v>129</v>
      </c>
      <c r="N746" s="9" t="s">
        <v>873</v>
      </c>
      <c r="O746" s="9" t="s">
        <v>97</v>
      </c>
      <c r="P746" s="9" t="s">
        <v>67</v>
      </c>
      <c r="Q746" s="9" t="s">
        <v>98</v>
      </c>
      <c r="R746" s="9" t="s">
        <v>128</v>
      </c>
      <c r="S746" s="9" t="s">
        <v>129</v>
      </c>
      <c r="T746" s="9" t="s">
        <v>796</v>
      </c>
      <c r="U746" s="9" t="s">
        <v>67</v>
      </c>
      <c r="V746" s="9" t="s">
        <v>130</v>
      </c>
      <c r="W746" s="9" t="s">
        <v>131</v>
      </c>
      <c r="X746" s="11">
        <v>60</v>
      </c>
      <c r="Y746" s="9" t="s">
        <v>170</v>
      </c>
      <c r="Z746" s="9" t="s">
        <v>68</v>
      </c>
      <c r="AA746" s="9" t="s">
        <v>171</v>
      </c>
      <c r="AB746" s="9" t="s">
        <v>67</v>
      </c>
      <c r="AC746" s="9" t="s">
        <v>172</v>
      </c>
      <c r="AD746" s="11">
        <v>5</v>
      </c>
      <c r="AE746" s="9" t="s">
        <v>70</v>
      </c>
      <c r="AF746" s="9" t="s">
        <v>71</v>
      </c>
      <c r="AG746" s="13">
        <v>1</v>
      </c>
      <c r="AH746" s="9" t="s">
        <v>92</v>
      </c>
      <c r="AI746" s="13">
        <v>1302400</v>
      </c>
      <c r="AJ746" s="13">
        <v>6512000</v>
      </c>
      <c r="AK746" s="11">
        <v>0</v>
      </c>
      <c r="AL746" s="11">
        <v>0</v>
      </c>
      <c r="AM746" s="11">
        <v>0</v>
      </c>
      <c r="AN746" s="9" t="s">
        <v>67</v>
      </c>
      <c r="AO746" s="11">
        <v>6512000</v>
      </c>
      <c r="AP746" s="13">
        <v>520960</v>
      </c>
      <c r="AQ746" s="13">
        <v>7032960</v>
      </c>
      <c r="AR746" s="11">
        <v>80</v>
      </c>
      <c r="AS746" s="9" t="s">
        <v>72</v>
      </c>
      <c r="AT746" s="11">
        <v>80</v>
      </c>
      <c r="AU746" s="9" t="s">
        <v>73</v>
      </c>
      <c r="AV746" s="9" t="s">
        <v>67</v>
      </c>
      <c r="AW746" s="9" t="s">
        <v>934</v>
      </c>
      <c r="AX746" s="10">
        <v>45968</v>
      </c>
      <c r="AY746" s="9" t="s">
        <v>1823</v>
      </c>
      <c r="AZ746" s="9" t="s">
        <v>67</v>
      </c>
      <c r="BA746" s="9" t="s">
        <v>67</v>
      </c>
      <c r="BB746" s="12">
        <v>80</v>
      </c>
      <c r="BC746" s="9" t="s">
        <v>74</v>
      </c>
      <c r="BD746" s="9" t="s">
        <v>104</v>
      </c>
      <c r="BE746" s="9" t="s">
        <v>75</v>
      </c>
      <c r="BF746" s="11">
        <v>0</v>
      </c>
      <c r="BG746">
        <f t="shared" si="24"/>
        <v>12</v>
      </c>
      <c r="BH746" t="str">
        <f>VLOOKUP(BG746,[1]month!$A:$B,2,0)</f>
        <v>Desember</v>
      </c>
      <c r="BI746">
        <f t="shared" si="25"/>
        <v>2025</v>
      </c>
      <c r="BJ746" t="str">
        <f>VLOOKUP(I746,[1]Dist!$A:$B,2,0)</f>
        <v>Industry</v>
      </c>
      <c r="BK746" t="str">
        <f>IF(I746=11,VLOOKUP(Y746,[2]Sheet1!$C:$N,10,0),IF(I746=13,VLOOKUP(Y746,[3]Sheet1!$C:$N,10,0),IF(I746=15,VLOOKUP(Y746,[4]Sheet1!$C:$N,10,0),"Unknown")))</f>
        <v>PU</v>
      </c>
      <c r="BL746" t="str">
        <f>IF(I746=11,VLOOKUP(Y746,[2]Sheet1!$C:$N,12,0),IF(I746=13,VLOOKUP(Y746,[3]Sheet1!$C:$N,12,0),IF(I746=15,VLOOKUP(Y746,[4]Sheet1!$C:$N,12,0),"Unknown")))</f>
        <v>UNION TOP COAT</v>
      </c>
      <c r="BM746" t="str">
        <f>VLOOKUP(W746,[1]branch!$A:$B,2,0)</f>
        <v>INDUSTRY</v>
      </c>
    </row>
    <row r="747" spans="1:65" x14ac:dyDescent="0.35">
      <c r="A747" s="10">
        <v>46001</v>
      </c>
      <c r="B747" s="9" t="s">
        <v>1822</v>
      </c>
      <c r="C747" s="9" t="s">
        <v>64</v>
      </c>
      <c r="D747" s="9" t="s">
        <v>92</v>
      </c>
      <c r="E747" s="11">
        <v>60</v>
      </c>
      <c r="F747" s="9" t="s">
        <v>93</v>
      </c>
      <c r="G747" s="9" t="s">
        <v>65</v>
      </c>
      <c r="H747" s="9" t="s">
        <v>66</v>
      </c>
      <c r="I747" s="9">
        <v>11</v>
      </c>
      <c r="J747" s="9" t="s">
        <v>128</v>
      </c>
      <c r="K747" s="9" t="s">
        <v>128</v>
      </c>
      <c r="L747" s="9" t="s">
        <v>128</v>
      </c>
      <c r="M747" s="9" t="s">
        <v>129</v>
      </c>
      <c r="N747" s="9" t="s">
        <v>873</v>
      </c>
      <c r="O747" s="9" t="s">
        <v>97</v>
      </c>
      <c r="P747" s="9" t="s">
        <v>67</v>
      </c>
      <c r="Q747" s="9" t="s">
        <v>98</v>
      </c>
      <c r="R747" s="9" t="s">
        <v>128</v>
      </c>
      <c r="S747" s="9" t="s">
        <v>129</v>
      </c>
      <c r="T747" s="9" t="s">
        <v>796</v>
      </c>
      <c r="U747" s="9" t="s">
        <v>67</v>
      </c>
      <c r="V747" s="9" t="s">
        <v>130</v>
      </c>
      <c r="W747" s="9" t="s">
        <v>131</v>
      </c>
      <c r="X747" s="11">
        <v>80</v>
      </c>
      <c r="Y747" s="9" t="s">
        <v>176</v>
      </c>
      <c r="Z747" s="9" t="s">
        <v>68</v>
      </c>
      <c r="AA747" s="9" t="s">
        <v>177</v>
      </c>
      <c r="AB747" s="9" t="s">
        <v>67</v>
      </c>
      <c r="AC747" s="9" t="s">
        <v>178</v>
      </c>
      <c r="AD747" s="11">
        <v>12</v>
      </c>
      <c r="AE747" s="9" t="s">
        <v>70</v>
      </c>
      <c r="AF747" s="9" t="s">
        <v>71</v>
      </c>
      <c r="AG747" s="13">
        <v>1</v>
      </c>
      <c r="AH747" s="9" t="s">
        <v>92</v>
      </c>
      <c r="AI747" s="13">
        <v>417200</v>
      </c>
      <c r="AJ747" s="13">
        <v>5006400</v>
      </c>
      <c r="AK747" s="11">
        <v>0</v>
      </c>
      <c r="AL747" s="11">
        <v>0</v>
      </c>
      <c r="AM747" s="11">
        <v>0</v>
      </c>
      <c r="AN747" s="9" t="s">
        <v>67</v>
      </c>
      <c r="AO747" s="11">
        <v>5006400</v>
      </c>
      <c r="AP747" s="13">
        <v>400512</v>
      </c>
      <c r="AQ747" s="13">
        <v>5406912</v>
      </c>
      <c r="AR747" s="11">
        <v>48</v>
      </c>
      <c r="AS747" s="9" t="s">
        <v>72</v>
      </c>
      <c r="AT747" s="12">
        <v>47.52</v>
      </c>
      <c r="AU747" s="9" t="s">
        <v>73</v>
      </c>
      <c r="AV747" s="9" t="s">
        <v>67</v>
      </c>
      <c r="AW747" s="9" t="s">
        <v>934</v>
      </c>
      <c r="AX747" s="10">
        <v>45968</v>
      </c>
      <c r="AY747" s="9" t="s">
        <v>1823</v>
      </c>
      <c r="AZ747" s="9" t="s">
        <v>67</v>
      </c>
      <c r="BA747" s="9" t="s">
        <v>67</v>
      </c>
      <c r="BB747" s="12">
        <v>48</v>
      </c>
      <c r="BC747" s="9" t="s">
        <v>74</v>
      </c>
      <c r="BD747" s="9" t="s">
        <v>104</v>
      </c>
      <c r="BE747" s="9" t="s">
        <v>75</v>
      </c>
      <c r="BF747" s="11">
        <v>0</v>
      </c>
      <c r="BG747">
        <f t="shared" si="24"/>
        <v>12</v>
      </c>
      <c r="BH747" t="str">
        <f>VLOOKUP(BG747,[1]month!$A:$B,2,0)</f>
        <v>Desember</v>
      </c>
      <c r="BI747">
        <f t="shared" si="25"/>
        <v>2025</v>
      </c>
      <c r="BJ747" t="str">
        <f>VLOOKUP(I747,[1]Dist!$A:$B,2,0)</f>
        <v>Industry</v>
      </c>
      <c r="BK747" t="str">
        <f>IF(I747=11,VLOOKUP(Y747,[2]Sheet1!$C:$N,10,0),IF(I747=13,VLOOKUP(Y747,[3]Sheet1!$C:$N,10,0),IF(I747=15,VLOOKUP(Y747,[4]Sheet1!$C:$N,10,0),"Unknown")))</f>
        <v>PU</v>
      </c>
      <c r="BL747" t="str">
        <f>IF(I747=11,VLOOKUP(Y747,[2]Sheet1!$C:$N,12,0),IF(I747=13,VLOOKUP(Y747,[3]Sheet1!$C:$N,12,0),IF(I747=15,VLOOKUP(Y747,[4]Sheet1!$C:$N,12,0),"Unknown")))</f>
        <v>UNION HARDENER</v>
      </c>
      <c r="BM747" t="str">
        <f>VLOOKUP(W747,[1]branch!$A:$B,2,0)</f>
        <v>INDUSTRY</v>
      </c>
    </row>
    <row r="748" spans="1:65" x14ac:dyDescent="0.35">
      <c r="A748" s="10">
        <v>46001</v>
      </c>
      <c r="B748" s="9" t="s">
        <v>1822</v>
      </c>
      <c r="C748" s="9" t="s">
        <v>64</v>
      </c>
      <c r="D748" s="9" t="s">
        <v>92</v>
      </c>
      <c r="E748" s="11">
        <v>60</v>
      </c>
      <c r="F748" s="9" t="s">
        <v>93</v>
      </c>
      <c r="G748" s="9" t="s">
        <v>65</v>
      </c>
      <c r="H748" s="9" t="s">
        <v>66</v>
      </c>
      <c r="I748" s="9">
        <v>11</v>
      </c>
      <c r="J748" s="9" t="s">
        <v>128</v>
      </c>
      <c r="K748" s="9" t="s">
        <v>128</v>
      </c>
      <c r="L748" s="9" t="s">
        <v>128</v>
      </c>
      <c r="M748" s="9" t="s">
        <v>129</v>
      </c>
      <c r="N748" s="9" t="s">
        <v>873</v>
      </c>
      <c r="O748" s="9" t="s">
        <v>97</v>
      </c>
      <c r="P748" s="9" t="s">
        <v>67</v>
      </c>
      <c r="Q748" s="9" t="s">
        <v>98</v>
      </c>
      <c r="R748" s="9" t="s">
        <v>128</v>
      </c>
      <c r="S748" s="9" t="s">
        <v>129</v>
      </c>
      <c r="T748" s="9" t="s">
        <v>796</v>
      </c>
      <c r="U748" s="9" t="s">
        <v>67</v>
      </c>
      <c r="V748" s="9" t="s">
        <v>130</v>
      </c>
      <c r="W748" s="9" t="s">
        <v>131</v>
      </c>
      <c r="X748" s="11">
        <v>170</v>
      </c>
      <c r="Y748" s="9" t="s">
        <v>376</v>
      </c>
      <c r="Z748" s="9" t="s">
        <v>68</v>
      </c>
      <c r="AA748" s="9" t="s">
        <v>377</v>
      </c>
      <c r="AB748" s="9" t="s">
        <v>67</v>
      </c>
      <c r="AC748" s="9" t="s">
        <v>175</v>
      </c>
      <c r="AD748" s="11">
        <v>3</v>
      </c>
      <c r="AE748" s="9" t="s">
        <v>70</v>
      </c>
      <c r="AF748" s="9" t="s">
        <v>71</v>
      </c>
      <c r="AG748" s="13">
        <v>1</v>
      </c>
      <c r="AH748" s="9" t="s">
        <v>92</v>
      </c>
      <c r="AI748" s="13">
        <v>8320000</v>
      </c>
      <c r="AJ748" s="13">
        <v>24960000</v>
      </c>
      <c r="AK748" s="11">
        <v>0</v>
      </c>
      <c r="AL748" s="11">
        <v>0</v>
      </c>
      <c r="AM748" s="11">
        <v>0</v>
      </c>
      <c r="AN748" s="9" t="s">
        <v>67</v>
      </c>
      <c r="AO748" s="11">
        <v>24960000</v>
      </c>
      <c r="AP748" s="13">
        <v>1996800</v>
      </c>
      <c r="AQ748" s="13">
        <v>26956800</v>
      </c>
      <c r="AR748" s="11">
        <v>528</v>
      </c>
      <c r="AS748" s="9" t="s">
        <v>72</v>
      </c>
      <c r="AT748" s="11">
        <v>600</v>
      </c>
      <c r="AU748" s="9" t="s">
        <v>73</v>
      </c>
      <c r="AV748" s="9" t="s">
        <v>67</v>
      </c>
      <c r="AW748" s="9" t="s">
        <v>934</v>
      </c>
      <c r="AX748" s="10">
        <v>45968</v>
      </c>
      <c r="AY748" s="9" t="s">
        <v>1823</v>
      </c>
      <c r="AZ748" s="9" t="s">
        <v>67</v>
      </c>
      <c r="BA748" s="9" t="s">
        <v>67</v>
      </c>
      <c r="BB748" s="12">
        <v>600</v>
      </c>
      <c r="BC748" s="9" t="s">
        <v>74</v>
      </c>
      <c r="BD748" s="9" t="s">
        <v>104</v>
      </c>
      <c r="BE748" s="9" t="s">
        <v>75</v>
      </c>
      <c r="BF748" s="11">
        <v>0</v>
      </c>
      <c r="BG748">
        <f t="shared" si="24"/>
        <v>12</v>
      </c>
      <c r="BH748" t="str">
        <f>VLOOKUP(BG748,[1]month!$A:$B,2,0)</f>
        <v>Desember</v>
      </c>
      <c r="BI748">
        <f t="shared" si="25"/>
        <v>2025</v>
      </c>
      <c r="BJ748" t="str">
        <f>VLOOKUP(I748,[1]Dist!$A:$B,2,0)</f>
        <v>Industry</v>
      </c>
      <c r="BK748" t="str">
        <f>IF(I748=11,VLOOKUP(Y748,[2]Sheet1!$C:$N,10,0),IF(I748=13,VLOOKUP(Y748,[3]Sheet1!$C:$N,10,0),IF(I748=15,VLOOKUP(Y748,[4]Sheet1!$C:$N,10,0),"Unknown")))</f>
        <v>THINNER PU</v>
      </c>
      <c r="BL748" t="str">
        <f>IF(I748=11,VLOOKUP(Y748,[2]Sheet1!$C:$N,12,0),IF(I748=13,VLOOKUP(Y748,[3]Sheet1!$C:$N,12,0),IF(I748=15,VLOOKUP(Y748,[4]Sheet1!$C:$N,12,0),"Unknown")))</f>
        <v>UNION THINNER</v>
      </c>
      <c r="BM748" t="str">
        <f>VLOOKUP(W748,[1]branch!$A:$B,2,0)</f>
        <v>INDUSTRY</v>
      </c>
    </row>
    <row r="749" spans="1:65" x14ac:dyDescent="0.35">
      <c r="A749" s="10">
        <v>46001</v>
      </c>
      <c r="B749" s="9" t="s">
        <v>1822</v>
      </c>
      <c r="C749" s="9" t="s">
        <v>64</v>
      </c>
      <c r="D749" s="9" t="s">
        <v>92</v>
      </c>
      <c r="E749" s="11">
        <v>60</v>
      </c>
      <c r="F749" s="9" t="s">
        <v>93</v>
      </c>
      <c r="G749" s="9" t="s">
        <v>65</v>
      </c>
      <c r="H749" s="9" t="s">
        <v>66</v>
      </c>
      <c r="I749" s="9">
        <v>11</v>
      </c>
      <c r="J749" s="9" t="s">
        <v>128</v>
      </c>
      <c r="K749" s="9" t="s">
        <v>128</v>
      </c>
      <c r="L749" s="9" t="s">
        <v>128</v>
      </c>
      <c r="M749" s="9" t="s">
        <v>129</v>
      </c>
      <c r="N749" s="9" t="s">
        <v>873</v>
      </c>
      <c r="O749" s="9" t="s">
        <v>97</v>
      </c>
      <c r="P749" s="9" t="s">
        <v>67</v>
      </c>
      <c r="Q749" s="9" t="s">
        <v>98</v>
      </c>
      <c r="R749" s="9" t="s">
        <v>128</v>
      </c>
      <c r="S749" s="9" t="s">
        <v>129</v>
      </c>
      <c r="T749" s="9" t="s">
        <v>796</v>
      </c>
      <c r="U749" s="9" t="s">
        <v>67</v>
      </c>
      <c r="V749" s="9" t="s">
        <v>130</v>
      </c>
      <c r="W749" s="9" t="s">
        <v>131</v>
      </c>
      <c r="X749" s="11">
        <v>180</v>
      </c>
      <c r="Y749" s="9" t="s">
        <v>183</v>
      </c>
      <c r="Z749" s="9" t="s">
        <v>68</v>
      </c>
      <c r="AA749" s="9" t="s">
        <v>184</v>
      </c>
      <c r="AB749" s="9" t="s">
        <v>67</v>
      </c>
      <c r="AC749" s="9" t="s">
        <v>139</v>
      </c>
      <c r="AD749" s="11">
        <v>1</v>
      </c>
      <c r="AE749" s="9" t="s">
        <v>70</v>
      </c>
      <c r="AF749" s="9" t="s">
        <v>71</v>
      </c>
      <c r="AG749" s="13">
        <v>1</v>
      </c>
      <c r="AH749" s="9" t="s">
        <v>92</v>
      </c>
      <c r="AI749" s="13">
        <v>4540000</v>
      </c>
      <c r="AJ749" s="13">
        <v>4540000</v>
      </c>
      <c r="AK749" s="11">
        <v>0</v>
      </c>
      <c r="AL749" s="11">
        <v>0</v>
      </c>
      <c r="AM749" s="11">
        <v>0</v>
      </c>
      <c r="AN749" s="9" t="s">
        <v>67</v>
      </c>
      <c r="AO749" s="11">
        <v>4540000</v>
      </c>
      <c r="AP749" s="13">
        <v>363200</v>
      </c>
      <c r="AQ749" s="13">
        <v>4903200</v>
      </c>
      <c r="AR749" s="11">
        <v>160</v>
      </c>
      <c r="AS749" s="9" t="s">
        <v>72</v>
      </c>
      <c r="AT749" s="11">
        <v>200</v>
      </c>
      <c r="AU749" s="9" t="s">
        <v>73</v>
      </c>
      <c r="AV749" s="9" t="s">
        <v>67</v>
      </c>
      <c r="AW749" s="9" t="s">
        <v>934</v>
      </c>
      <c r="AX749" s="10">
        <v>45968</v>
      </c>
      <c r="AY749" s="9" t="s">
        <v>1823</v>
      </c>
      <c r="AZ749" s="9" t="s">
        <v>67</v>
      </c>
      <c r="BA749" s="9" t="s">
        <v>67</v>
      </c>
      <c r="BB749" s="12">
        <v>200</v>
      </c>
      <c r="BC749" s="9" t="s">
        <v>74</v>
      </c>
      <c r="BD749" s="9" t="s">
        <v>104</v>
      </c>
      <c r="BE749" s="9" t="s">
        <v>75</v>
      </c>
      <c r="BF749" s="11">
        <v>0</v>
      </c>
      <c r="BG749">
        <f t="shared" si="24"/>
        <v>12</v>
      </c>
      <c r="BH749" t="str">
        <f>VLOOKUP(BG749,[1]month!$A:$B,2,0)</f>
        <v>Desember</v>
      </c>
      <c r="BI749">
        <f t="shared" si="25"/>
        <v>2025</v>
      </c>
      <c r="BJ749" t="str">
        <f>VLOOKUP(I749,[1]Dist!$A:$B,2,0)</f>
        <v>Industry</v>
      </c>
      <c r="BK749" t="str">
        <f>IF(I749=11,VLOOKUP(Y749,[2]Sheet1!$C:$N,10,0),IF(I749=13,VLOOKUP(Y749,[3]Sheet1!$C:$N,10,0),IF(I749=15,VLOOKUP(Y749,[4]Sheet1!$C:$N,10,0),"Unknown")))</f>
        <v>THINNER NC</v>
      </c>
      <c r="BL749" t="str">
        <f>IF(I749=11,VLOOKUP(Y749,[2]Sheet1!$C:$N,12,0),IF(I749=13,VLOOKUP(Y749,[3]Sheet1!$C:$N,12,0),IF(I749=15,VLOOKUP(Y749,[4]Sheet1!$C:$N,12,0),"Unknown")))</f>
        <v>THINNER COMPLEMENTARY</v>
      </c>
      <c r="BM749" t="str">
        <f>VLOOKUP(W749,[1]branch!$A:$B,2,0)</f>
        <v>INDUSTRY</v>
      </c>
    </row>
    <row r="750" spans="1:65" x14ac:dyDescent="0.35">
      <c r="A750" s="10">
        <v>46001</v>
      </c>
      <c r="B750" s="9" t="s">
        <v>1824</v>
      </c>
      <c r="C750" s="9" t="s">
        <v>64</v>
      </c>
      <c r="D750" s="9" t="s">
        <v>92</v>
      </c>
      <c r="E750" s="11">
        <v>30</v>
      </c>
      <c r="F750" s="9" t="s">
        <v>93</v>
      </c>
      <c r="G750" s="9" t="s">
        <v>65</v>
      </c>
      <c r="H750" s="9" t="s">
        <v>66</v>
      </c>
      <c r="I750" s="9">
        <v>11</v>
      </c>
      <c r="J750" s="9" t="s">
        <v>192</v>
      </c>
      <c r="K750" s="9" t="s">
        <v>192</v>
      </c>
      <c r="L750" s="9" t="s">
        <v>192</v>
      </c>
      <c r="M750" s="9" t="s">
        <v>193</v>
      </c>
      <c r="N750" s="9" t="s">
        <v>868</v>
      </c>
      <c r="O750" s="9" t="s">
        <v>97</v>
      </c>
      <c r="P750" s="9" t="s">
        <v>67</v>
      </c>
      <c r="Q750" s="9" t="s">
        <v>98</v>
      </c>
      <c r="R750" s="9" t="s">
        <v>192</v>
      </c>
      <c r="S750" s="9" t="s">
        <v>193</v>
      </c>
      <c r="T750" s="9" t="s">
        <v>820</v>
      </c>
      <c r="U750" s="9" t="s">
        <v>67</v>
      </c>
      <c r="V750" s="9" t="s">
        <v>194</v>
      </c>
      <c r="W750" s="9" t="s">
        <v>195</v>
      </c>
      <c r="X750" s="11">
        <v>10</v>
      </c>
      <c r="Y750" s="9" t="s">
        <v>196</v>
      </c>
      <c r="Z750" s="9" t="s">
        <v>68</v>
      </c>
      <c r="AA750" s="9" t="s">
        <v>197</v>
      </c>
      <c r="AB750" s="9" t="s">
        <v>67</v>
      </c>
      <c r="AC750" s="9" t="s">
        <v>103</v>
      </c>
      <c r="AD750" s="11">
        <v>15</v>
      </c>
      <c r="AE750" s="9" t="s">
        <v>70</v>
      </c>
      <c r="AF750" s="9" t="s">
        <v>71</v>
      </c>
      <c r="AG750" s="13">
        <v>1</v>
      </c>
      <c r="AH750" s="9" t="s">
        <v>92</v>
      </c>
      <c r="AI750" s="13">
        <v>1161200</v>
      </c>
      <c r="AJ750" s="13">
        <v>17418000</v>
      </c>
      <c r="AK750" s="11">
        <v>0</v>
      </c>
      <c r="AL750" s="11">
        <v>0</v>
      </c>
      <c r="AM750" s="11">
        <v>0</v>
      </c>
      <c r="AN750" s="9" t="s">
        <v>67</v>
      </c>
      <c r="AO750" s="11">
        <v>17418000</v>
      </c>
      <c r="AP750" s="13">
        <v>1393440</v>
      </c>
      <c r="AQ750" s="13">
        <v>18811440</v>
      </c>
      <c r="AR750" s="11">
        <v>300</v>
      </c>
      <c r="AS750" s="9" t="s">
        <v>72</v>
      </c>
      <c r="AT750" s="11">
        <v>297</v>
      </c>
      <c r="AU750" s="9" t="s">
        <v>73</v>
      </c>
      <c r="AV750" s="9" t="s">
        <v>67</v>
      </c>
      <c r="AW750" s="9" t="s">
        <v>1825</v>
      </c>
      <c r="AX750" s="10">
        <v>46000</v>
      </c>
      <c r="AY750" s="9" t="s">
        <v>1826</v>
      </c>
      <c r="AZ750" s="9" t="s">
        <v>67</v>
      </c>
      <c r="BA750" s="9" t="s">
        <v>67</v>
      </c>
      <c r="BB750" s="12">
        <v>300</v>
      </c>
      <c r="BC750" s="9" t="s">
        <v>74</v>
      </c>
      <c r="BD750" s="9" t="s">
        <v>104</v>
      </c>
      <c r="BE750" s="9" t="s">
        <v>75</v>
      </c>
      <c r="BF750" s="11">
        <v>0</v>
      </c>
      <c r="BG750">
        <f t="shared" si="24"/>
        <v>12</v>
      </c>
      <c r="BH750" t="str">
        <f>VLOOKUP(BG750,[1]month!$A:$B,2,0)</f>
        <v>Desember</v>
      </c>
      <c r="BI750">
        <f t="shared" si="25"/>
        <v>2025</v>
      </c>
      <c r="BJ750" t="str">
        <f>VLOOKUP(I750,[1]Dist!$A:$B,2,0)</f>
        <v>Industry</v>
      </c>
      <c r="BK750" t="str">
        <f>IF(I750=11,VLOOKUP(Y750,[2]Sheet1!$C:$N,10,0),IF(I750=13,VLOOKUP(Y750,[3]Sheet1!$C:$N,10,0),IF(I750=15,VLOOKUP(Y750,[4]Sheet1!$C:$N,10,0),"Unknown")))</f>
        <v>PU</v>
      </c>
      <c r="BL750" t="str">
        <f>IF(I750=11,VLOOKUP(Y750,[2]Sheet1!$C:$N,12,0),IF(I750=13,VLOOKUP(Y750,[3]Sheet1!$C:$N,12,0),IF(I750=15,VLOOKUP(Y750,[4]Sheet1!$C:$N,12,0),"Unknown")))</f>
        <v>PU SANDING SEALER</v>
      </c>
      <c r="BM750" t="str">
        <f>VLOOKUP(W750,[1]branch!$A:$B,2,0)</f>
        <v>INDUSTRY</v>
      </c>
    </row>
    <row r="751" spans="1:65" x14ac:dyDescent="0.35">
      <c r="A751" s="10">
        <v>46001</v>
      </c>
      <c r="B751" s="9" t="s">
        <v>1824</v>
      </c>
      <c r="C751" s="9" t="s">
        <v>64</v>
      </c>
      <c r="D751" s="9" t="s">
        <v>92</v>
      </c>
      <c r="E751" s="11">
        <v>30</v>
      </c>
      <c r="F751" s="9" t="s">
        <v>93</v>
      </c>
      <c r="G751" s="9" t="s">
        <v>65</v>
      </c>
      <c r="H751" s="9" t="s">
        <v>66</v>
      </c>
      <c r="I751" s="9">
        <v>11</v>
      </c>
      <c r="J751" s="9" t="s">
        <v>192</v>
      </c>
      <c r="K751" s="9" t="s">
        <v>192</v>
      </c>
      <c r="L751" s="9" t="s">
        <v>192</v>
      </c>
      <c r="M751" s="9" t="s">
        <v>193</v>
      </c>
      <c r="N751" s="9" t="s">
        <v>868</v>
      </c>
      <c r="O751" s="9" t="s">
        <v>97</v>
      </c>
      <c r="P751" s="9" t="s">
        <v>67</v>
      </c>
      <c r="Q751" s="9" t="s">
        <v>98</v>
      </c>
      <c r="R751" s="9" t="s">
        <v>192</v>
      </c>
      <c r="S751" s="9" t="s">
        <v>193</v>
      </c>
      <c r="T751" s="9" t="s">
        <v>820</v>
      </c>
      <c r="U751" s="9" t="s">
        <v>67</v>
      </c>
      <c r="V751" s="9" t="s">
        <v>194</v>
      </c>
      <c r="W751" s="9" t="s">
        <v>195</v>
      </c>
      <c r="X751" s="11">
        <v>20</v>
      </c>
      <c r="Y751" s="9" t="s">
        <v>105</v>
      </c>
      <c r="Z751" s="9" t="s">
        <v>68</v>
      </c>
      <c r="AA751" s="9" t="s">
        <v>106</v>
      </c>
      <c r="AB751" s="9" t="s">
        <v>67</v>
      </c>
      <c r="AC751" s="9" t="s">
        <v>107</v>
      </c>
      <c r="AD751" s="11">
        <v>10</v>
      </c>
      <c r="AE751" s="9" t="s">
        <v>70</v>
      </c>
      <c r="AF751" s="9" t="s">
        <v>71</v>
      </c>
      <c r="AG751" s="13">
        <v>1</v>
      </c>
      <c r="AH751" s="9" t="s">
        <v>92</v>
      </c>
      <c r="AI751" s="13">
        <v>1768200</v>
      </c>
      <c r="AJ751" s="13">
        <v>17682000</v>
      </c>
      <c r="AK751" s="11">
        <v>0</v>
      </c>
      <c r="AL751" s="11">
        <v>0</v>
      </c>
      <c r="AM751" s="11">
        <v>0</v>
      </c>
      <c r="AN751" s="9" t="s">
        <v>67</v>
      </c>
      <c r="AO751" s="11">
        <v>17682000</v>
      </c>
      <c r="AP751" s="13">
        <v>1414560</v>
      </c>
      <c r="AQ751" s="13">
        <v>19096560</v>
      </c>
      <c r="AR751" s="11">
        <v>200</v>
      </c>
      <c r="AS751" s="9" t="s">
        <v>72</v>
      </c>
      <c r="AT751" s="12">
        <v>212.8</v>
      </c>
      <c r="AU751" s="9" t="s">
        <v>73</v>
      </c>
      <c r="AV751" s="9" t="s">
        <v>67</v>
      </c>
      <c r="AW751" s="9" t="s">
        <v>1825</v>
      </c>
      <c r="AX751" s="10">
        <v>46000</v>
      </c>
      <c r="AY751" s="9" t="s">
        <v>1826</v>
      </c>
      <c r="AZ751" s="9" t="s">
        <v>67</v>
      </c>
      <c r="BA751" s="9" t="s">
        <v>67</v>
      </c>
      <c r="BB751" s="12">
        <v>200</v>
      </c>
      <c r="BC751" s="9" t="s">
        <v>74</v>
      </c>
      <c r="BD751" s="9" t="s">
        <v>104</v>
      </c>
      <c r="BE751" s="9" t="s">
        <v>75</v>
      </c>
      <c r="BF751" s="11">
        <v>0</v>
      </c>
      <c r="BG751">
        <f t="shared" si="24"/>
        <v>12</v>
      </c>
      <c r="BH751" t="str">
        <f>VLOOKUP(BG751,[1]month!$A:$B,2,0)</f>
        <v>Desember</v>
      </c>
      <c r="BI751">
        <f t="shared" si="25"/>
        <v>2025</v>
      </c>
      <c r="BJ751" t="str">
        <f>VLOOKUP(I751,[1]Dist!$A:$B,2,0)</f>
        <v>Industry</v>
      </c>
      <c r="BK751" t="str">
        <f>IF(I751=11,VLOOKUP(Y751,[2]Sheet1!$C:$N,10,0),IF(I751=13,VLOOKUP(Y751,[3]Sheet1!$C:$N,10,0),IF(I751=15,VLOOKUP(Y751,[4]Sheet1!$C:$N,10,0),"Unknown")))</f>
        <v>PU</v>
      </c>
      <c r="BL751" t="str">
        <f>IF(I751=11,VLOOKUP(Y751,[2]Sheet1!$C:$N,12,0),IF(I751=13,VLOOKUP(Y751,[3]Sheet1!$C:$N,12,0),IF(I751=15,VLOOKUP(Y751,[4]Sheet1!$C:$N,12,0),"Unknown")))</f>
        <v>PU HARDENER</v>
      </c>
      <c r="BM751" t="str">
        <f>VLOOKUP(W751,[1]branch!$A:$B,2,0)</f>
        <v>INDUSTRY</v>
      </c>
    </row>
    <row r="752" spans="1:65" x14ac:dyDescent="0.35">
      <c r="A752" s="10">
        <v>46001</v>
      </c>
      <c r="B752" s="9" t="s">
        <v>1824</v>
      </c>
      <c r="C752" s="9" t="s">
        <v>64</v>
      </c>
      <c r="D752" s="9" t="s">
        <v>92</v>
      </c>
      <c r="E752" s="11">
        <v>30</v>
      </c>
      <c r="F752" s="9" t="s">
        <v>93</v>
      </c>
      <c r="G752" s="9" t="s">
        <v>65</v>
      </c>
      <c r="H752" s="9" t="s">
        <v>66</v>
      </c>
      <c r="I752" s="9">
        <v>11</v>
      </c>
      <c r="J752" s="9" t="s">
        <v>192</v>
      </c>
      <c r="K752" s="9" t="s">
        <v>192</v>
      </c>
      <c r="L752" s="9" t="s">
        <v>192</v>
      </c>
      <c r="M752" s="9" t="s">
        <v>193</v>
      </c>
      <c r="N752" s="9" t="s">
        <v>868</v>
      </c>
      <c r="O752" s="9" t="s">
        <v>97</v>
      </c>
      <c r="P752" s="9" t="s">
        <v>67</v>
      </c>
      <c r="Q752" s="9" t="s">
        <v>98</v>
      </c>
      <c r="R752" s="9" t="s">
        <v>192</v>
      </c>
      <c r="S752" s="9" t="s">
        <v>193</v>
      </c>
      <c r="T752" s="9" t="s">
        <v>820</v>
      </c>
      <c r="U752" s="9" t="s">
        <v>67</v>
      </c>
      <c r="V752" s="9" t="s">
        <v>194</v>
      </c>
      <c r="W752" s="9" t="s">
        <v>195</v>
      </c>
      <c r="X752" s="11">
        <v>30</v>
      </c>
      <c r="Y752" s="9" t="s">
        <v>529</v>
      </c>
      <c r="Z752" s="9" t="s">
        <v>68</v>
      </c>
      <c r="AA752" s="9" t="s">
        <v>530</v>
      </c>
      <c r="AB752" s="9" t="s">
        <v>67</v>
      </c>
      <c r="AC752" s="9" t="s">
        <v>137</v>
      </c>
      <c r="AD752" s="11">
        <v>10</v>
      </c>
      <c r="AE752" s="9" t="s">
        <v>70</v>
      </c>
      <c r="AF752" s="9" t="s">
        <v>71</v>
      </c>
      <c r="AG752" s="13">
        <v>1</v>
      </c>
      <c r="AH752" s="9" t="s">
        <v>92</v>
      </c>
      <c r="AI752" s="13">
        <v>1430640</v>
      </c>
      <c r="AJ752" s="13">
        <v>14306400</v>
      </c>
      <c r="AK752" s="11">
        <v>0</v>
      </c>
      <c r="AL752" s="11">
        <v>0</v>
      </c>
      <c r="AM752" s="11">
        <v>0</v>
      </c>
      <c r="AN752" s="9" t="s">
        <v>67</v>
      </c>
      <c r="AO752" s="11">
        <v>14306400</v>
      </c>
      <c r="AP752" s="13">
        <v>1144512</v>
      </c>
      <c r="AQ752" s="13">
        <v>15450912</v>
      </c>
      <c r="AR752" s="11">
        <v>180</v>
      </c>
      <c r="AS752" s="9" t="s">
        <v>72</v>
      </c>
      <c r="AT752" s="12">
        <v>179.1</v>
      </c>
      <c r="AU752" s="9" t="s">
        <v>73</v>
      </c>
      <c r="AV752" s="9" t="s">
        <v>67</v>
      </c>
      <c r="AW752" s="9" t="s">
        <v>1825</v>
      </c>
      <c r="AX752" s="10">
        <v>46000</v>
      </c>
      <c r="AY752" s="9" t="s">
        <v>1826</v>
      </c>
      <c r="AZ752" s="9" t="s">
        <v>67</v>
      </c>
      <c r="BA752" s="9" t="s">
        <v>67</v>
      </c>
      <c r="BB752" s="12">
        <v>180</v>
      </c>
      <c r="BC752" s="9" t="s">
        <v>74</v>
      </c>
      <c r="BD752" s="9" t="s">
        <v>104</v>
      </c>
      <c r="BE752" s="9" t="s">
        <v>75</v>
      </c>
      <c r="BF752" s="11">
        <v>0</v>
      </c>
      <c r="BG752">
        <f t="shared" si="24"/>
        <v>12</v>
      </c>
      <c r="BH752" t="str">
        <f>VLOOKUP(BG752,[1]month!$A:$B,2,0)</f>
        <v>Desember</v>
      </c>
      <c r="BI752">
        <f t="shared" si="25"/>
        <v>2025</v>
      </c>
      <c r="BJ752" t="str">
        <f>VLOOKUP(I752,[1]Dist!$A:$B,2,0)</f>
        <v>Industry</v>
      </c>
      <c r="BK752" t="str">
        <f>IF(I752=11,VLOOKUP(Y752,[2]Sheet1!$C:$N,10,0),IF(I752=13,VLOOKUP(Y752,[3]Sheet1!$C:$N,10,0),IF(I752=15,VLOOKUP(Y752,[4]Sheet1!$C:$N,10,0),"Unknown")))</f>
        <v>NC</v>
      </c>
      <c r="BL752" t="str">
        <f>IF(I752=11,VLOOKUP(Y752,[2]Sheet1!$C:$N,12,0),IF(I752=13,VLOOKUP(Y752,[3]Sheet1!$C:$N,12,0),IF(I752=15,VLOOKUP(Y752,[4]Sheet1!$C:$N,12,0),"Unknown")))</f>
        <v>ASOF : NC BASE COAT</v>
      </c>
      <c r="BM752" t="str">
        <f>VLOOKUP(W752,[1]branch!$A:$B,2,0)</f>
        <v>INDUSTRY</v>
      </c>
    </row>
    <row r="753" spans="1:65" x14ac:dyDescent="0.35">
      <c r="A753" s="10">
        <v>46001</v>
      </c>
      <c r="B753" s="9" t="s">
        <v>1824</v>
      </c>
      <c r="C753" s="9" t="s">
        <v>64</v>
      </c>
      <c r="D753" s="9" t="s">
        <v>92</v>
      </c>
      <c r="E753" s="11">
        <v>30</v>
      </c>
      <c r="F753" s="9" t="s">
        <v>93</v>
      </c>
      <c r="G753" s="9" t="s">
        <v>65</v>
      </c>
      <c r="H753" s="9" t="s">
        <v>66</v>
      </c>
      <c r="I753" s="9">
        <v>11</v>
      </c>
      <c r="J753" s="9" t="s">
        <v>192</v>
      </c>
      <c r="K753" s="9" t="s">
        <v>192</v>
      </c>
      <c r="L753" s="9" t="s">
        <v>192</v>
      </c>
      <c r="M753" s="9" t="s">
        <v>193</v>
      </c>
      <c r="N753" s="9" t="s">
        <v>868</v>
      </c>
      <c r="O753" s="9" t="s">
        <v>97</v>
      </c>
      <c r="P753" s="9" t="s">
        <v>67</v>
      </c>
      <c r="Q753" s="9" t="s">
        <v>98</v>
      </c>
      <c r="R753" s="9" t="s">
        <v>192</v>
      </c>
      <c r="S753" s="9" t="s">
        <v>193</v>
      </c>
      <c r="T753" s="9" t="s">
        <v>820</v>
      </c>
      <c r="U753" s="9" t="s">
        <v>67</v>
      </c>
      <c r="V753" s="9" t="s">
        <v>194</v>
      </c>
      <c r="W753" s="9" t="s">
        <v>195</v>
      </c>
      <c r="X753" s="11">
        <v>40</v>
      </c>
      <c r="Y753" s="9" t="s">
        <v>531</v>
      </c>
      <c r="Z753" s="9" t="s">
        <v>68</v>
      </c>
      <c r="AA753" s="9" t="s">
        <v>532</v>
      </c>
      <c r="AB753" s="9" t="s">
        <v>67</v>
      </c>
      <c r="AC753" s="9" t="s">
        <v>142</v>
      </c>
      <c r="AD753" s="11">
        <v>10</v>
      </c>
      <c r="AE753" s="9" t="s">
        <v>70</v>
      </c>
      <c r="AF753" s="9" t="s">
        <v>71</v>
      </c>
      <c r="AG753" s="13">
        <v>1</v>
      </c>
      <c r="AH753" s="9" t="s">
        <v>92</v>
      </c>
      <c r="AI753" s="13">
        <v>1659060</v>
      </c>
      <c r="AJ753" s="13">
        <v>16590600</v>
      </c>
      <c r="AK753" s="11">
        <v>0</v>
      </c>
      <c r="AL753" s="11">
        <v>0</v>
      </c>
      <c r="AM753" s="11">
        <v>0</v>
      </c>
      <c r="AN753" s="9" t="s">
        <v>67</v>
      </c>
      <c r="AO753" s="11">
        <v>16590600</v>
      </c>
      <c r="AP753" s="13">
        <v>1327248</v>
      </c>
      <c r="AQ753" s="13">
        <v>17917848</v>
      </c>
      <c r="AR753" s="12">
        <v>176.4</v>
      </c>
      <c r="AS753" s="9" t="s">
        <v>72</v>
      </c>
      <c r="AT753" s="11">
        <v>180</v>
      </c>
      <c r="AU753" s="9" t="s">
        <v>73</v>
      </c>
      <c r="AV753" s="9" t="s">
        <v>67</v>
      </c>
      <c r="AW753" s="9" t="s">
        <v>1825</v>
      </c>
      <c r="AX753" s="10">
        <v>46000</v>
      </c>
      <c r="AY753" s="9" t="s">
        <v>1826</v>
      </c>
      <c r="AZ753" s="9" t="s">
        <v>67</v>
      </c>
      <c r="BA753" s="9" t="s">
        <v>67</v>
      </c>
      <c r="BB753" s="12">
        <v>180</v>
      </c>
      <c r="BC753" s="9" t="s">
        <v>74</v>
      </c>
      <c r="BD753" s="9" t="s">
        <v>104</v>
      </c>
      <c r="BE753" s="9" t="s">
        <v>75</v>
      </c>
      <c r="BF753" s="11">
        <v>0</v>
      </c>
      <c r="BG753">
        <f t="shared" si="24"/>
        <v>12</v>
      </c>
      <c r="BH753" t="str">
        <f>VLOOKUP(BG753,[1]month!$A:$B,2,0)</f>
        <v>Desember</v>
      </c>
      <c r="BI753">
        <f t="shared" si="25"/>
        <v>2025</v>
      </c>
      <c r="BJ753" t="str">
        <f>VLOOKUP(I753,[1]Dist!$A:$B,2,0)</f>
        <v>Industry</v>
      </c>
      <c r="BK753" t="str">
        <f>IF(I753=11,VLOOKUP(Y753,[2]Sheet1!$C:$N,10,0),IF(I753=13,VLOOKUP(Y753,[3]Sheet1!$C:$N,10,0),IF(I753=15,VLOOKUP(Y753,[4]Sheet1!$C:$N,10,0),"Unknown")))</f>
        <v>NC</v>
      </c>
      <c r="BL753" t="str">
        <f>IF(I753=11,VLOOKUP(Y753,[2]Sheet1!$C:$N,12,0),IF(I753=13,VLOOKUP(Y753,[3]Sheet1!$C:$N,12,0),IF(I753=15,VLOOKUP(Y753,[4]Sheet1!$C:$N,12,0),"Unknown")))</f>
        <v>ASOF : NC TOP COAT</v>
      </c>
      <c r="BM753" t="str">
        <f>VLOOKUP(W753,[1]branch!$A:$B,2,0)</f>
        <v>INDUSTRY</v>
      </c>
    </row>
    <row r="754" spans="1:65" x14ac:dyDescent="0.35">
      <c r="A754" s="10">
        <v>46001</v>
      </c>
      <c r="B754" s="9" t="s">
        <v>1824</v>
      </c>
      <c r="C754" s="9" t="s">
        <v>64</v>
      </c>
      <c r="D754" s="9" t="s">
        <v>92</v>
      </c>
      <c r="E754" s="11">
        <v>30</v>
      </c>
      <c r="F754" s="9" t="s">
        <v>93</v>
      </c>
      <c r="G754" s="9" t="s">
        <v>65</v>
      </c>
      <c r="H754" s="9" t="s">
        <v>66</v>
      </c>
      <c r="I754" s="9">
        <v>11</v>
      </c>
      <c r="J754" s="9" t="s">
        <v>192</v>
      </c>
      <c r="K754" s="9" t="s">
        <v>192</v>
      </c>
      <c r="L754" s="9" t="s">
        <v>192</v>
      </c>
      <c r="M754" s="9" t="s">
        <v>193</v>
      </c>
      <c r="N754" s="9" t="s">
        <v>868</v>
      </c>
      <c r="O754" s="9" t="s">
        <v>97</v>
      </c>
      <c r="P754" s="9" t="s">
        <v>67</v>
      </c>
      <c r="Q754" s="9" t="s">
        <v>98</v>
      </c>
      <c r="R754" s="9" t="s">
        <v>192</v>
      </c>
      <c r="S754" s="9" t="s">
        <v>193</v>
      </c>
      <c r="T754" s="9" t="s">
        <v>820</v>
      </c>
      <c r="U754" s="9" t="s">
        <v>67</v>
      </c>
      <c r="V754" s="9" t="s">
        <v>194</v>
      </c>
      <c r="W754" s="9" t="s">
        <v>195</v>
      </c>
      <c r="X754" s="11">
        <v>50</v>
      </c>
      <c r="Y754" s="9" t="s">
        <v>201</v>
      </c>
      <c r="Z754" s="9" t="s">
        <v>68</v>
      </c>
      <c r="AA754" s="9" t="s">
        <v>202</v>
      </c>
      <c r="AB754" s="9" t="s">
        <v>67</v>
      </c>
      <c r="AC754" s="9" t="s">
        <v>139</v>
      </c>
      <c r="AD754" s="11">
        <v>2</v>
      </c>
      <c r="AE754" s="9" t="s">
        <v>70</v>
      </c>
      <c r="AF754" s="9" t="s">
        <v>71</v>
      </c>
      <c r="AG754" s="13">
        <v>1</v>
      </c>
      <c r="AH754" s="9" t="s">
        <v>92</v>
      </c>
      <c r="AI754" s="13">
        <v>6636000</v>
      </c>
      <c r="AJ754" s="13">
        <v>13272000</v>
      </c>
      <c r="AK754" s="11">
        <v>0</v>
      </c>
      <c r="AL754" s="11">
        <v>0</v>
      </c>
      <c r="AM754" s="11">
        <v>0</v>
      </c>
      <c r="AN754" s="9" t="s">
        <v>67</v>
      </c>
      <c r="AO754" s="11">
        <v>13272000</v>
      </c>
      <c r="AP754" s="13">
        <v>1061760</v>
      </c>
      <c r="AQ754" s="13">
        <v>14333760</v>
      </c>
      <c r="AR754" s="11">
        <v>312</v>
      </c>
      <c r="AS754" s="9" t="s">
        <v>72</v>
      </c>
      <c r="AT754" s="11">
        <v>400</v>
      </c>
      <c r="AU754" s="9" t="s">
        <v>73</v>
      </c>
      <c r="AV754" s="9" t="s">
        <v>67</v>
      </c>
      <c r="AW754" s="9" t="s">
        <v>1825</v>
      </c>
      <c r="AX754" s="10">
        <v>46000</v>
      </c>
      <c r="AY754" s="9" t="s">
        <v>1826</v>
      </c>
      <c r="AZ754" s="9" t="s">
        <v>67</v>
      </c>
      <c r="BA754" s="9" t="s">
        <v>67</v>
      </c>
      <c r="BB754" s="12">
        <v>400</v>
      </c>
      <c r="BC754" s="9" t="s">
        <v>74</v>
      </c>
      <c r="BD754" s="9" t="s">
        <v>104</v>
      </c>
      <c r="BE754" s="9" t="s">
        <v>75</v>
      </c>
      <c r="BF754" s="11">
        <v>0</v>
      </c>
      <c r="BG754">
        <f t="shared" si="24"/>
        <v>12</v>
      </c>
      <c r="BH754" t="str">
        <f>VLOOKUP(BG754,[1]month!$A:$B,2,0)</f>
        <v>Desember</v>
      </c>
      <c r="BI754">
        <f t="shared" si="25"/>
        <v>2025</v>
      </c>
      <c r="BJ754" t="str">
        <f>VLOOKUP(I754,[1]Dist!$A:$B,2,0)</f>
        <v>Industry</v>
      </c>
      <c r="BK754" t="str">
        <f>IF(I754=11,VLOOKUP(Y754,[2]Sheet1!$C:$N,10,0),IF(I754=13,VLOOKUP(Y754,[3]Sheet1!$C:$N,10,0),IF(I754=15,VLOOKUP(Y754,[4]Sheet1!$C:$N,10,0),"Unknown")))</f>
        <v>THINNER NC</v>
      </c>
      <c r="BL754" t="str">
        <f>IF(I754=11,VLOOKUP(Y754,[2]Sheet1!$C:$N,12,0),IF(I754=13,VLOOKUP(Y754,[3]Sheet1!$C:$N,12,0),IF(I754=15,VLOOKUP(Y754,[4]Sheet1!$C:$N,12,0),"Unknown")))</f>
        <v>THINNER COMPLEMENTARY</v>
      </c>
      <c r="BM754" t="str">
        <f>VLOOKUP(W754,[1]branch!$A:$B,2,0)</f>
        <v>INDUSTRY</v>
      </c>
    </row>
    <row r="755" spans="1:65" x14ac:dyDescent="0.35">
      <c r="A755" s="10">
        <v>46001</v>
      </c>
      <c r="B755" s="9" t="s">
        <v>1824</v>
      </c>
      <c r="C755" s="9" t="s">
        <v>64</v>
      </c>
      <c r="D755" s="9" t="s">
        <v>92</v>
      </c>
      <c r="E755" s="11">
        <v>30</v>
      </c>
      <c r="F755" s="9" t="s">
        <v>93</v>
      </c>
      <c r="G755" s="9" t="s">
        <v>65</v>
      </c>
      <c r="H755" s="9" t="s">
        <v>66</v>
      </c>
      <c r="I755" s="9">
        <v>11</v>
      </c>
      <c r="J755" s="9" t="s">
        <v>192</v>
      </c>
      <c r="K755" s="9" t="s">
        <v>192</v>
      </c>
      <c r="L755" s="9" t="s">
        <v>192</v>
      </c>
      <c r="M755" s="9" t="s">
        <v>193</v>
      </c>
      <c r="N755" s="9" t="s">
        <v>868</v>
      </c>
      <c r="O755" s="9" t="s">
        <v>97</v>
      </c>
      <c r="P755" s="9" t="s">
        <v>67</v>
      </c>
      <c r="Q755" s="9" t="s">
        <v>98</v>
      </c>
      <c r="R755" s="9" t="s">
        <v>192</v>
      </c>
      <c r="S755" s="9" t="s">
        <v>193</v>
      </c>
      <c r="T755" s="9" t="s">
        <v>820</v>
      </c>
      <c r="U755" s="9" t="s">
        <v>67</v>
      </c>
      <c r="V755" s="9" t="s">
        <v>194</v>
      </c>
      <c r="W755" s="9" t="s">
        <v>195</v>
      </c>
      <c r="X755" s="11">
        <v>60</v>
      </c>
      <c r="Y755" s="9" t="s">
        <v>118</v>
      </c>
      <c r="Z755" s="9" t="s">
        <v>68</v>
      </c>
      <c r="AA755" s="9" t="s">
        <v>119</v>
      </c>
      <c r="AB755" s="9" t="s">
        <v>67</v>
      </c>
      <c r="AC755" s="9" t="s">
        <v>120</v>
      </c>
      <c r="AD755" s="11">
        <v>9</v>
      </c>
      <c r="AE755" s="9" t="s">
        <v>70</v>
      </c>
      <c r="AF755" s="9" t="s">
        <v>71</v>
      </c>
      <c r="AG755" s="13">
        <v>1</v>
      </c>
      <c r="AH755" s="9" t="s">
        <v>92</v>
      </c>
      <c r="AI755" s="13">
        <v>8182000</v>
      </c>
      <c r="AJ755" s="13">
        <v>73638000</v>
      </c>
      <c r="AK755" s="11">
        <v>0</v>
      </c>
      <c r="AL755" s="11">
        <v>0</v>
      </c>
      <c r="AM755" s="11">
        <v>0</v>
      </c>
      <c r="AN755" s="9" t="s">
        <v>67</v>
      </c>
      <c r="AO755" s="11">
        <v>73638000</v>
      </c>
      <c r="AP755" s="13">
        <v>5891040</v>
      </c>
      <c r="AQ755" s="13">
        <v>79529040</v>
      </c>
      <c r="AR755" s="11">
        <v>1665</v>
      </c>
      <c r="AS755" s="9" t="s">
        <v>72</v>
      </c>
      <c r="AT755" s="11">
        <v>1800</v>
      </c>
      <c r="AU755" s="9" t="s">
        <v>73</v>
      </c>
      <c r="AV755" s="9" t="s">
        <v>67</v>
      </c>
      <c r="AW755" s="9" t="s">
        <v>1825</v>
      </c>
      <c r="AX755" s="10">
        <v>46000</v>
      </c>
      <c r="AY755" s="9" t="s">
        <v>1826</v>
      </c>
      <c r="AZ755" s="9" t="s">
        <v>67</v>
      </c>
      <c r="BA755" s="9" t="s">
        <v>67</v>
      </c>
      <c r="BB755" s="12">
        <v>1800</v>
      </c>
      <c r="BC755" s="9" t="s">
        <v>74</v>
      </c>
      <c r="BD755" s="9" t="s">
        <v>104</v>
      </c>
      <c r="BE755" s="9" t="s">
        <v>75</v>
      </c>
      <c r="BF755" s="11">
        <v>0</v>
      </c>
      <c r="BG755">
        <f t="shared" si="24"/>
        <v>12</v>
      </c>
      <c r="BH755" t="str">
        <f>VLOOKUP(BG755,[1]month!$A:$B,2,0)</f>
        <v>Desember</v>
      </c>
      <c r="BI755">
        <f t="shared" si="25"/>
        <v>2025</v>
      </c>
      <c r="BJ755" t="str">
        <f>VLOOKUP(I755,[1]Dist!$A:$B,2,0)</f>
        <v>Industry</v>
      </c>
      <c r="BK755" t="str">
        <f>IF(I755=11,VLOOKUP(Y755,[2]Sheet1!$C:$N,10,0),IF(I755=13,VLOOKUP(Y755,[3]Sheet1!$C:$N,10,0),IF(I755=15,VLOOKUP(Y755,[4]Sheet1!$C:$N,10,0),"Unknown")))</f>
        <v>THINNER PU</v>
      </c>
      <c r="BL755" t="str">
        <f>IF(I755=11,VLOOKUP(Y755,[2]Sheet1!$C:$N,12,0),IF(I755=13,VLOOKUP(Y755,[3]Sheet1!$C:$N,12,0),IF(I755=15,VLOOKUP(Y755,[4]Sheet1!$C:$N,12,0),"Unknown")))</f>
        <v>THINNER PU</v>
      </c>
      <c r="BM755" t="str">
        <f>VLOOKUP(W755,[1]branch!$A:$B,2,0)</f>
        <v>INDUSTRY</v>
      </c>
    </row>
    <row r="756" spans="1:65" x14ac:dyDescent="0.35">
      <c r="A756" s="10">
        <v>46001</v>
      </c>
      <c r="B756" s="9" t="s">
        <v>1824</v>
      </c>
      <c r="C756" s="9" t="s">
        <v>64</v>
      </c>
      <c r="D756" s="9" t="s">
        <v>92</v>
      </c>
      <c r="E756" s="11">
        <v>30</v>
      </c>
      <c r="F756" s="9" t="s">
        <v>93</v>
      </c>
      <c r="G756" s="9" t="s">
        <v>65</v>
      </c>
      <c r="H756" s="9" t="s">
        <v>66</v>
      </c>
      <c r="I756" s="9">
        <v>11</v>
      </c>
      <c r="J756" s="9" t="s">
        <v>192</v>
      </c>
      <c r="K756" s="9" t="s">
        <v>192</v>
      </c>
      <c r="L756" s="9" t="s">
        <v>192</v>
      </c>
      <c r="M756" s="9" t="s">
        <v>193</v>
      </c>
      <c r="N756" s="9" t="s">
        <v>868</v>
      </c>
      <c r="O756" s="9" t="s">
        <v>97</v>
      </c>
      <c r="P756" s="9" t="s">
        <v>67</v>
      </c>
      <c r="Q756" s="9" t="s">
        <v>98</v>
      </c>
      <c r="R756" s="9" t="s">
        <v>192</v>
      </c>
      <c r="S756" s="9" t="s">
        <v>193</v>
      </c>
      <c r="T756" s="9" t="s">
        <v>820</v>
      </c>
      <c r="U756" s="9" t="s">
        <v>67</v>
      </c>
      <c r="V756" s="9" t="s">
        <v>194</v>
      </c>
      <c r="W756" s="9" t="s">
        <v>195</v>
      </c>
      <c r="X756" s="11">
        <v>70</v>
      </c>
      <c r="Y756" s="9" t="s">
        <v>512</v>
      </c>
      <c r="Z756" s="9" t="s">
        <v>68</v>
      </c>
      <c r="AA756" s="9" t="s">
        <v>513</v>
      </c>
      <c r="AB756" s="9" t="s">
        <v>67</v>
      </c>
      <c r="AC756" s="9" t="s">
        <v>91</v>
      </c>
      <c r="AD756" s="11">
        <v>4</v>
      </c>
      <c r="AE756" s="9" t="s">
        <v>70</v>
      </c>
      <c r="AF756" s="9" t="s">
        <v>71</v>
      </c>
      <c r="AG756" s="13">
        <v>1</v>
      </c>
      <c r="AH756" s="9" t="s">
        <v>92</v>
      </c>
      <c r="AI756" s="13">
        <v>527800</v>
      </c>
      <c r="AJ756" s="13">
        <v>2111200</v>
      </c>
      <c r="AK756" s="11">
        <v>0</v>
      </c>
      <c r="AL756" s="11">
        <v>0</v>
      </c>
      <c r="AM756" s="11">
        <v>0</v>
      </c>
      <c r="AN756" s="9" t="s">
        <v>67</v>
      </c>
      <c r="AO756" s="11">
        <v>2111200</v>
      </c>
      <c r="AP756" s="13">
        <v>168896</v>
      </c>
      <c r="AQ756" s="13">
        <v>2280096</v>
      </c>
      <c r="AR756" s="11">
        <v>16</v>
      </c>
      <c r="AS756" s="9" t="s">
        <v>72</v>
      </c>
      <c r="AT756" s="12">
        <v>10.52</v>
      </c>
      <c r="AU756" s="9" t="s">
        <v>73</v>
      </c>
      <c r="AV756" s="9" t="s">
        <v>67</v>
      </c>
      <c r="AW756" s="9" t="s">
        <v>1825</v>
      </c>
      <c r="AX756" s="10">
        <v>46000</v>
      </c>
      <c r="AY756" s="9" t="s">
        <v>1826</v>
      </c>
      <c r="AZ756" s="9" t="s">
        <v>67</v>
      </c>
      <c r="BA756" s="9" t="s">
        <v>67</v>
      </c>
      <c r="BB756" s="12">
        <v>16</v>
      </c>
      <c r="BC756" s="9" t="s">
        <v>74</v>
      </c>
      <c r="BD756" s="9" t="s">
        <v>104</v>
      </c>
      <c r="BE756" s="9" t="s">
        <v>75</v>
      </c>
      <c r="BF756" s="11">
        <v>0</v>
      </c>
      <c r="BG756">
        <f t="shared" si="24"/>
        <v>12</v>
      </c>
      <c r="BH756" t="str">
        <f>VLOOKUP(BG756,[1]month!$A:$B,2,0)</f>
        <v>Desember</v>
      </c>
      <c r="BI756">
        <f t="shared" si="25"/>
        <v>2025</v>
      </c>
      <c r="BJ756" t="str">
        <f>VLOOKUP(I756,[1]Dist!$A:$B,2,0)</f>
        <v>Industry</v>
      </c>
      <c r="BK756" t="str">
        <f>IF(I756=11,VLOOKUP(Y756,[2]Sheet1!$C:$N,10,0),IF(I756=13,VLOOKUP(Y756,[3]Sheet1!$C:$N,10,0),IF(I756=15,VLOOKUP(Y756,[4]Sheet1!$C:$N,10,0),"Unknown")))</f>
        <v>COMPLEMENTARY</v>
      </c>
      <c r="BL756" t="str">
        <f>IF(I756=11,VLOOKUP(Y756,[2]Sheet1!$C:$N,12,0),IF(I756=13,VLOOKUP(Y756,[3]Sheet1!$C:$N,12,0),IF(I756=15,VLOOKUP(Y756,[4]Sheet1!$C:$N,12,0),"Unknown")))</f>
        <v>PASTA</v>
      </c>
      <c r="BM756" t="str">
        <f>VLOOKUP(W756,[1]branch!$A:$B,2,0)</f>
        <v>INDUSTRY</v>
      </c>
    </row>
    <row r="757" spans="1:65" x14ac:dyDescent="0.35">
      <c r="A757" s="10">
        <v>46001</v>
      </c>
      <c r="B757" s="9" t="s">
        <v>1824</v>
      </c>
      <c r="C757" s="9" t="s">
        <v>64</v>
      </c>
      <c r="D757" s="9" t="s">
        <v>92</v>
      </c>
      <c r="E757" s="11">
        <v>30</v>
      </c>
      <c r="F757" s="9" t="s">
        <v>93</v>
      </c>
      <c r="G757" s="9" t="s">
        <v>65</v>
      </c>
      <c r="H757" s="9" t="s">
        <v>66</v>
      </c>
      <c r="I757" s="9">
        <v>11</v>
      </c>
      <c r="J757" s="9" t="s">
        <v>192</v>
      </c>
      <c r="K757" s="9" t="s">
        <v>192</v>
      </c>
      <c r="L757" s="9" t="s">
        <v>192</v>
      </c>
      <c r="M757" s="9" t="s">
        <v>193</v>
      </c>
      <c r="N757" s="9" t="s">
        <v>868</v>
      </c>
      <c r="O757" s="9" t="s">
        <v>97</v>
      </c>
      <c r="P757" s="9" t="s">
        <v>67</v>
      </c>
      <c r="Q757" s="9" t="s">
        <v>98</v>
      </c>
      <c r="R757" s="9" t="s">
        <v>192</v>
      </c>
      <c r="S757" s="9" t="s">
        <v>193</v>
      </c>
      <c r="T757" s="9" t="s">
        <v>820</v>
      </c>
      <c r="U757" s="9" t="s">
        <v>67</v>
      </c>
      <c r="V757" s="9" t="s">
        <v>194</v>
      </c>
      <c r="W757" s="9" t="s">
        <v>195</v>
      </c>
      <c r="X757" s="11">
        <v>80</v>
      </c>
      <c r="Y757" s="9" t="s">
        <v>89</v>
      </c>
      <c r="Z757" s="9" t="s">
        <v>68</v>
      </c>
      <c r="AA757" s="9" t="s">
        <v>90</v>
      </c>
      <c r="AB757" s="9" t="s">
        <v>67</v>
      </c>
      <c r="AC757" s="9" t="s">
        <v>91</v>
      </c>
      <c r="AD757" s="11">
        <v>4</v>
      </c>
      <c r="AE757" s="9" t="s">
        <v>70</v>
      </c>
      <c r="AF757" s="9" t="s">
        <v>71</v>
      </c>
      <c r="AG757" s="13">
        <v>1</v>
      </c>
      <c r="AH757" s="9" t="s">
        <v>92</v>
      </c>
      <c r="AI757" s="13">
        <v>1203800</v>
      </c>
      <c r="AJ757" s="13">
        <v>4815200</v>
      </c>
      <c r="AK757" s="11">
        <v>0</v>
      </c>
      <c r="AL757" s="11">
        <v>0</v>
      </c>
      <c r="AM757" s="11">
        <v>0</v>
      </c>
      <c r="AN757" s="9" t="s">
        <v>67</v>
      </c>
      <c r="AO757" s="11">
        <v>4815200</v>
      </c>
      <c r="AP757" s="13">
        <v>385216</v>
      </c>
      <c r="AQ757" s="13">
        <v>5200416</v>
      </c>
      <c r="AR757" s="11">
        <v>16</v>
      </c>
      <c r="AS757" s="9" t="s">
        <v>72</v>
      </c>
      <c r="AT757" s="12">
        <v>15.24</v>
      </c>
      <c r="AU757" s="9" t="s">
        <v>73</v>
      </c>
      <c r="AV757" s="9" t="s">
        <v>67</v>
      </c>
      <c r="AW757" s="9" t="s">
        <v>1825</v>
      </c>
      <c r="AX757" s="10">
        <v>46000</v>
      </c>
      <c r="AY757" s="9" t="s">
        <v>1826</v>
      </c>
      <c r="AZ757" s="9" t="s">
        <v>67</v>
      </c>
      <c r="BA757" s="9" t="s">
        <v>67</v>
      </c>
      <c r="BB757" s="12">
        <v>16</v>
      </c>
      <c r="BC757" s="9" t="s">
        <v>74</v>
      </c>
      <c r="BD757" s="9" t="s">
        <v>104</v>
      </c>
      <c r="BE757" s="9" t="s">
        <v>75</v>
      </c>
      <c r="BF757" s="11">
        <v>0</v>
      </c>
      <c r="BG757">
        <f t="shared" si="24"/>
        <v>12</v>
      </c>
      <c r="BH757" t="str">
        <f>VLOOKUP(BG757,[1]month!$A:$B,2,0)</f>
        <v>Desember</v>
      </c>
      <c r="BI757">
        <f t="shared" si="25"/>
        <v>2025</v>
      </c>
      <c r="BJ757" t="str">
        <f>VLOOKUP(I757,[1]Dist!$A:$B,2,0)</f>
        <v>Industry</v>
      </c>
      <c r="BK757" t="str">
        <f>IF(I757=11,VLOOKUP(Y757,[2]Sheet1!$C:$N,10,0),IF(I757=13,VLOOKUP(Y757,[3]Sheet1!$C:$N,10,0),IF(I757=15,VLOOKUP(Y757,[4]Sheet1!$C:$N,10,0),"Unknown")))</f>
        <v>COMPLEMENTARY</v>
      </c>
      <c r="BL757" t="str">
        <f>IF(I757=11,VLOOKUP(Y757,[2]Sheet1!$C:$N,12,0),IF(I757=13,VLOOKUP(Y757,[3]Sheet1!$C:$N,12,0),IF(I757=15,VLOOKUP(Y757,[4]Sheet1!$C:$N,12,0),"Unknown")))</f>
        <v>PASTA</v>
      </c>
      <c r="BM757" t="str">
        <f>VLOOKUP(W757,[1]branch!$A:$B,2,0)</f>
        <v>INDUSTRY</v>
      </c>
    </row>
    <row r="758" spans="1:65" x14ac:dyDescent="0.35">
      <c r="A758" s="10">
        <v>46001</v>
      </c>
      <c r="B758" s="9" t="s">
        <v>1824</v>
      </c>
      <c r="C758" s="9" t="s">
        <v>64</v>
      </c>
      <c r="D758" s="9" t="s">
        <v>92</v>
      </c>
      <c r="E758" s="11">
        <v>30</v>
      </c>
      <c r="F758" s="9" t="s">
        <v>93</v>
      </c>
      <c r="G758" s="9" t="s">
        <v>65</v>
      </c>
      <c r="H758" s="9" t="s">
        <v>66</v>
      </c>
      <c r="I758" s="9">
        <v>11</v>
      </c>
      <c r="J758" s="9" t="s">
        <v>192</v>
      </c>
      <c r="K758" s="9" t="s">
        <v>192</v>
      </c>
      <c r="L758" s="9" t="s">
        <v>192</v>
      </c>
      <c r="M758" s="9" t="s">
        <v>193</v>
      </c>
      <c r="N758" s="9" t="s">
        <v>868</v>
      </c>
      <c r="O758" s="9" t="s">
        <v>97</v>
      </c>
      <c r="P758" s="9" t="s">
        <v>67</v>
      </c>
      <c r="Q758" s="9" t="s">
        <v>98</v>
      </c>
      <c r="R758" s="9" t="s">
        <v>192</v>
      </c>
      <c r="S758" s="9" t="s">
        <v>193</v>
      </c>
      <c r="T758" s="9" t="s">
        <v>820</v>
      </c>
      <c r="U758" s="9" t="s">
        <v>67</v>
      </c>
      <c r="V758" s="9" t="s">
        <v>194</v>
      </c>
      <c r="W758" s="9" t="s">
        <v>195</v>
      </c>
      <c r="X758" s="11">
        <v>90</v>
      </c>
      <c r="Y758" s="9" t="s">
        <v>1827</v>
      </c>
      <c r="Z758" s="9" t="s">
        <v>68</v>
      </c>
      <c r="AA758" s="9" t="s">
        <v>1828</v>
      </c>
      <c r="AB758" s="9" t="s">
        <v>67</v>
      </c>
      <c r="AC758" s="9" t="s">
        <v>1829</v>
      </c>
      <c r="AD758" s="11">
        <v>3</v>
      </c>
      <c r="AE758" s="9" t="s">
        <v>70</v>
      </c>
      <c r="AF758" s="9" t="s">
        <v>71</v>
      </c>
      <c r="AG758" s="13">
        <v>1</v>
      </c>
      <c r="AH758" s="9" t="s">
        <v>92</v>
      </c>
      <c r="AI758" s="13">
        <v>3018800</v>
      </c>
      <c r="AJ758" s="13">
        <v>9056400</v>
      </c>
      <c r="AK758" s="11">
        <v>0</v>
      </c>
      <c r="AL758" s="11">
        <v>0</v>
      </c>
      <c r="AM758" s="11">
        <v>0</v>
      </c>
      <c r="AN758" s="9" t="s">
        <v>67</v>
      </c>
      <c r="AO758" s="11">
        <v>9056400</v>
      </c>
      <c r="AP758" s="13">
        <v>724512</v>
      </c>
      <c r="AQ758" s="13">
        <v>9780912</v>
      </c>
      <c r="AR758" s="11">
        <v>60</v>
      </c>
      <c r="AS758" s="9" t="s">
        <v>72</v>
      </c>
      <c r="AT758" s="12">
        <v>61.86</v>
      </c>
      <c r="AU758" s="9" t="s">
        <v>73</v>
      </c>
      <c r="AV758" s="9" t="s">
        <v>67</v>
      </c>
      <c r="AW758" s="9" t="s">
        <v>1825</v>
      </c>
      <c r="AX758" s="10">
        <v>46000</v>
      </c>
      <c r="AY758" s="9" t="s">
        <v>1826</v>
      </c>
      <c r="AZ758" s="9" t="s">
        <v>67</v>
      </c>
      <c r="BA758" s="9" t="s">
        <v>67</v>
      </c>
      <c r="BB758" s="12">
        <v>60</v>
      </c>
      <c r="BC758" s="9" t="s">
        <v>74</v>
      </c>
      <c r="BD758" s="9" t="s">
        <v>104</v>
      </c>
      <c r="BE758" s="9" t="s">
        <v>75</v>
      </c>
      <c r="BF758" s="11">
        <v>0</v>
      </c>
      <c r="BG758">
        <f t="shared" si="24"/>
        <v>12</v>
      </c>
      <c r="BH758" t="str">
        <f>VLOOKUP(BG758,[1]month!$A:$B,2,0)</f>
        <v>Desember</v>
      </c>
      <c r="BI758">
        <f t="shared" si="25"/>
        <v>2025</v>
      </c>
      <c r="BJ758" t="str">
        <f>VLOOKUP(I758,[1]Dist!$A:$B,2,0)</f>
        <v>Industry</v>
      </c>
      <c r="BK758" t="str">
        <f>IF(I758=11,VLOOKUP(Y758,[2]Sheet1!$C:$N,10,0),IF(I758=13,VLOOKUP(Y758,[3]Sheet1!$C:$N,10,0),IF(I758=15,VLOOKUP(Y758,[4]Sheet1!$C:$N,10,0),"Unknown")))</f>
        <v>PU</v>
      </c>
      <c r="BL758" t="str">
        <f>IF(I758=11,VLOOKUP(Y758,[2]Sheet1!$C:$N,12,0),IF(I758=13,VLOOKUP(Y758,[3]Sheet1!$C:$N,12,0),IF(I758=15,VLOOKUP(Y758,[4]Sheet1!$C:$N,12,0),"Unknown")))</f>
        <v>PU HARDENER</v>
      </c>
      <c r="BM758" t="str">
        <f>VLOOKUP(W758,[1]branch!$A:$B,2,0)</f>
        <v>INDUSTRY</v>
      </c>
    </row>
    <row r="759" spans="1:65" x14ac:dyDescent="0.35">
      <c r="A759" s="10">
        <v>46001</v>
      </c>
      <c r="B759" s="9" t="s">
        <v>1830</v>
      </c>
      <c r="C759" s="9" t="s">
        <v>64</v>
      </c>
      <c r="D759" s="9" t="s">
        <v>92</v>
      </c>
      <c r="E759" s="11">
        <v>45</v>
      </c>
      <c r="F759" s="9" t="s">
        <v>93</v>
      </c>
      <c r="G759" s="9" t="s">
        <v>65</v>
      </c>
      <c r="H759" s="9" t="s">
        <v>66</v>
      </c>
      <c r="I759" s="9">
        <v>11</v>
      </c>
      <c r="J759" s="9" t="s">
        <v>425</v>
      </c>
      <c r="K759" s="9" t="s">
        <v>425</v>
      </c>
      <c r="L759" s="9" t="s">
        <v>425</v>
      </c>
      <c r="M759" s="9" t="s">
        <v>426</v>
      </c>
      <c r="N759" s="9" t="s">
        <v>724</v>
      </c>
      <c r="O759" s="9" t="s">
        <v>97</v>
      </c>
      <c r="P759" s="9" t="s">
        <v>67</v>
      </c>
      <c r="Q759" s="9" t="s">
        <v>98</v>
      </c>
      <c r="R759" s="9" t="s">
        <v>725</v>
      </c>
      <c r="S759" s="9" t="s">
        <v>426</v>
      </c>
      <c r="T759" s="9" t="s">
        <v>913</v>
      </c>
      <c r="U759" s="9" t="s">
        <v>67</v>
      </c>
      <c r="V759" s="9" t="s">
        <v>130</v>
      </c>
      <c r="W759" s="9" t="s">
        <v>131</v>
      </c>
      <c r="X759" s="11">
        <v>20</v>
      </c>
      <c r="Y759" s="9" t="s">
        <v>1831</v>
      </c>
      <c r="Z759" s="9" t="s">
        <v>68</v>
      </c>
      <c r="AA759" s="9" t="s">
        <v>1832</v>
      </c>
      <c r="AB759" s="9" t="s">
        <v>67</v>
      </c>
      <c r="AC759" s="9" t="s">
        <v>1833</v>
      </c>
      <c r="AD759" s="11">
        <v>29</v>
      </c>
      <c r="AE759" s="9" t="s">
        <v>70</v>
      </c>
      <c r="AF759" s="9" t="s">
        <v>71</v>
      </c>
      <c r="AG759" s="13">
        <v>1</v>
      </c>
      <c r="AH759" s="9" t="s">
        <v>92</v>
      </c>
      <c r="AI759" s="13">
        <v>5184000</v>
      </c>
      <c r="AJ759" s="13">
        <v>150336000</v>
      </c>
      <c r="AK759" s="11">
        <v>0</v>
      </c>
      <c r="AL759" s="11">
        <v>0</v>
      </c>
      <c r="AM759" s="11">
        <v>0</v>
      </c>
      <c r="AN759" s="9" t="s">
        <v>67</v>
      </c>
      <c r="AO759" s="11">
        <v>150336000</v>
      </c>
      <c r="AP759" s="13">
        <v>12026880</v>
      </c>
      <c r="AQ759" s="13">
        <v>162362880</v>
      </c>
      <c r="AR759" s="11">
        <v>580</v>
      </c>
      <c r="AS759" s="9" t="s">
        <v>72</v>
      </c>
      <c r="AT759" s="12">
        <v>460.23</v>
      </c>
      <c r="AU759" s="9" t="s">
        <v>73</v>
      </c>
      <c r="AV759" s="9" t="s">
        <v>67</v>
      </c>
      <c r="AW759" s="9" t="s">
        <v>1834</v>
      </c>
      <c r="AX759" s="10">
        <v>45982</v>
      </c>
      <c r="AY759" s="9" t="s">
        <v>1835</v>
      </c>
      <c r="AZ759" s="9" t="s">
        <v>67</v>
      </c>
      <c r="BA759" s="9" t="s">
        <v>67</v>
      </c>
      <c r="BB759" s="12">
        <v>580</v>
      </c>
      <c r="BC759" s="9" t="s">
        <v>74</v>
      </c>
      <c r="BD759" s="9" t="s">
        <v>104</v>
      </c>
      <c r="BE759" s="9" t="s">
        <v>75</v>
      </c>
      <c r="BF759" s="11">
        <v>0</v>
      </c>
      <c r="BG759">
        <f t="shared" si="24"/>
        <v>12</v>
      </c>
      <c r="BH759" t="str">
        <f>VLOOKUP(BG759,[1]month!$A:$B,2,0)</f>
        <v>Desember</v>
      </c>
      <c r="BI759">
        <f t="shared" si="25"/>
        <v>2025</v>
      </c>
      <c r="BJ759" t="str">
        <f>VLOOKUP(I759,[1]Dist!$A:$B,2,0)</f>
        <v>Industry</v>
      </c>
      <c r="BK759" t="str">
        <f>IF(I759=11,VLOOKUP(Y759,[2]Sheet1!$C:$N,10,0),IF(I759=13,VLOOKUP(Y759,[3]Sheet1!$C:$N,10,0),IF(I759=15,VLOOKUP(Y759,[4]Sheet1!$C:$N,10,0),"Unknown")))</f>
        <v>UV</v>
      </c>
      <c r="BL759" t="str">
        <f>IF(I759=11,VLOOKUP(Y759,[2]Sheet1!$C:$N,12,0),IF(I759=13,VLOOKUP(Y759,[3]Sheet1!$C:$N,12,0),IF(I759=15,VLOOKUP(Y759,[4]Sheet1!$C:$N,12,0),"Unknown")))</f>
        <v>UV FILLER</v>
      </c>
      <c r="BM759" t="str">
        <f>VLOOKUP(W759,[1]branch!$A:$B,2,0)</f>
        <v>INDUSTRY</v>
      </c>
    </row>
    <row r="760" spans="1:65" x14ac:dyDescent="0.35">
      <c r="A760" s="10">
        <v>46001</v>
      </c>
      <c r="B760" s="9" t="s">
        <v>1830</v>
      </c>
      <c r="C760" s="9" t="s">
        <v>64</v>
      </c>
      <c r="D760" s="9" t="s">
        <v>92</v>
      </c>
      <c r="E760" s="11">
        <v>45</v>
      </c>
      <c r="F760" s="9" t="s">
        <v>93</v>
      </c>
      <c r="G760" s="9" t="s">
        <v>65</v>
      </c>
      <c r="H760" s="9" t="s">
        <v>66</v>
      </c>
      <c r="I760" s="9">
        <v>11</v>
      </c>
      <c r="J760" s="9" t="s">
        <v>425</v>
      </c>
      <c r="K760" s="9" t="s">
        <v>425</v>
      </c>
      <c r="L760" s="9" t="s">
        <v>425</v>
      </c>
      <c r="M760" s="9" t="s">
        <v>426</v>
      </c>
      <c r="N760" s="9" t="s">
        <v>724</v>
      </c>
      <c r="O760" s="9" t="s">
        <v>97</v>
      </c>
      <c r="P760" s="9" t="s">
        <v>67</v>
      </c>
      <c r="Q760" s="9" t="s">
        <v>98</v>
      </c>
      <c r="R760" s="9" t="s">
        <v>725</v>
      </c>
      <c r="S760" s="9" t="s">
        <v>426</v>
      </c>
      <c r="T760" s="9" t="s">
        <v>913</v>
      </c>
      <c r="U760" s="9" t="s">
        <v>67</v>
      </c>
      <c r="V760" s="9" t="s">
        <v>130</v>
      </c>
      <c r="W760" s="9" t="s">
        <v>131</v>
      </c>
      <c r="X760" s="11">
        <v>30</v>
      </c>
      <c r="Y760" s="9" t="s">
        <v>1836</v>
      </c>
      <c r="Z760" s="9" t="s">
        <v>68</v>
      </c>
      <c r="AA760" s="9" t="s">
        <v>1837</v>
      </c>
      <c r="AB760" s="9" t="s">
        <v>67</v>
      </c>
      <c r="AC760" s="9" t="s">
        <v>1838</v>
      </c>
      <c r="AD760" s="11">
        <v>42</v>
      </c>
      <c r="AE760" s="9" t="s">
        <v>70</v>
      </c>
      <c r="AF760" s="9" t="s">
        <v>71</v>
      </c>
      <c r="AG760" s="13">
        <v>1</v>
      </c>
      <c r="AH760" s="9" t="s">
        <v>92</v>
      </c>
      <c r="AI760" s="13">
        <v>5390000</v>
      </c>
      <c r="AJ760" s="13">
        <v>226380000</v>
      </c>
      <c r="AK760" s="11">
        <v>0</v>
      </c>
      <c r="AL760" s="11">
        <v>0</v>
      </c>
      <c r="AM760" s="11">
        <v>0</v>
      </c>
      <c r="AN760" s="9" t="s">
        <v>67</v>
      </c>
      <c r="AO760" s="11">
        <v>226380000</v>
      </c>
      <c r="AP760" s="13">
        <v>18110400</v>
      </c>
      <c r="AQ760" s="13">
        <v>244490400</v>
      </c>
      <c r="AR760" s="11">
        <v>840</v>
      </c>
      <c r="AS760" s="9" t="s">
        <v>72</v>
      </c>
      <c r="AT760" s="12">
        <v>694.26</v>
      </c>
      <c r="AU760" s="9" t="s">
        <v>73</v>
      </c>
      <c r="AV760" s="9" t="s">
        <v>67</v>
      </c>
      <c r="AW760" s="9" t="s">
        <v>1834</v>
      </c>
      <c r="AX760" s="10">
        <v>45982</v>
      </c>
      <c r="AY760" s="9" t="s">
        <v>1835</v>
      </c>
      <c r="AZ760" s="9" t="s">
        <v>67</v>
      </c>
      <c r="BA760" s="9" t="s">
        <v>67</v>
      </c>
      <c r="BB760" s="12">
        <v>840</v>
      </c>
      <c r="BC760" s="9" t="s">
        <v>74</v>
      </c>
      <c r="BD760" s="9" t="s">
        <v>104</v>
      </c>
      <c r="BE760" s="9" t="s">
        <v>75</v>
      </c>
      <c r="BF760" s="11">
        <v>0</v>
      </c>
      <c r="BG760">
        <f t="shared" si="24"/>
        <v>12</v>
      </c>
      <c r="BH760" t="str">
        <f>VLOOKUP(BG760,[1]month!$A:$B,2,0)</f>
        <v>Desember</v>
      </c>
      <c r="BI760">
        <f t="shared" si="25"/>
        <v>2025</v>
      </c>
      <c r="BJ760" t="str">
        <f>VLOOKUP(I760,[1]Dist!$A:$B,2,0)</f>
        <v>Industry</v>
      </c>
      <c r="BK760" t="str">
        <f>IF(I760=11,VLOOKUP(Y760,[2]Sheet1!$C:$N,10,0),IF(I760=13,VLOOKUP(Y760,[3]Sheet1!$C:$N,10,0),IF(I760=15,VLOOKUP(Y760,[4]Sheet1!$C:$N,10,0),"Unknown")))</f>
        <v>UV</v>
      </c>
      <c r="BL760" t="str">
        <f>IF(I760=11,VLOOKUP(Y760,[2]Sheet1!$C:$N,12,0),IF(I760=13,VLOOKUP(Y760,[3]Sheet1!$C:$N,12,0),IF(I760=15,VLOOKUP(Y760,[4]Sheet1!$C:$N,12,0),"Unknown")))</f>
        <v>UV SANDING SEALER</v>
      </c>
      <c r="BM760" t="str">
        <f>VLOOKUP(W760,[1]branch!$A:$B,2,0)</f>
        <v>INDUSTRY</v>
      </c>
    </row>
    <row r="761" spans="1:65" x14ac:dyDescent="0.35">
      <c r="A761" s="10">
        <v>46001</v>
      </c>
      <c r="B761" s="9" t="s">
        <v>1830</v>
      </c>
      <c r="C761" s="9" t="s">
        <v>64</v>
      </c>
      <c r="D761" s="9" t="s">
        <v>92</v>
      </c>
      <c r="E761" s="11">
        <v>45</v>
      </c>
      <c r="F761" s="9" t="s">
        <v>93</v>
      </c>
      <c r="G761" s="9" t="s">
        <v>65</v>
      </c>
      <c r="H761" s="9" t="s">
        <v>66</v>
      </c>
      <c r="I761" s="9">
        <v>11</v>
      </c>
      <c r="J761" s="9" t="s">
        <v>425</v>
      </c>
      <c r="K761" s="9" t="s">
        <v>425</v>
      </c>
      <c r="L761" s="9" t="s">
        <v>425</v>
      </c>
      <c r="M761" s="9" t="s">
        <v>426</v>
      </c>
      <c r="N761" s="9" t="s">
        <v>724</v>
      </c>
      <c r="O761" s="9" t="s">
        <v>97</v>
      </c>
      <c r="P761" s="9" t="s">
        <v>67</v>
      </c>
      <c r="Q761" s="9" t="s">
        <v>98</v>
      </c>
      <c r="R761" s="9" t="s">
        <v>725</v>
      </c>
      <c r="S761" s="9" t="s">
        <v>426</v>
      </c>
      <c r="T761" s="9" t="s">
        <v>913</v>
      </c>
      <c r="U761" s="9" t="s">
        <v>67</v>
      </c>
      <c r="V761" s="9" t="s">
        <v>130</v>
      </c>
      <c r="W761" s="9" t="s">
        <v>131</v>
      </c>
      <c r="X761" s="11">
        <v>40</v>
      </c>
      <c r="Y761" s="9" t="s">
        <v>651</v>
      </c>
      <c r="Z761" s="9" t="s">
        <v>68</v>
      </c>
      <c r="AA761" s="9" t="s">
        <v>652</v>
      </c>
      <c r="AB761" s="9" t="s">
        <v>67</v>
      </c>
      <c r="AC761" s="9" t="s">
        <v>653</v>
      </c>
      <c r="AD761" s="11">
        <v>22</v>
      </c>
      <c r="AE761" s="9" t="s">
        <v>70</v>
      </c>
      <c r="AF761" s="9" t="s">
        <v>71</v>
      </c>
      <c r="AG761" s="13">
        <v>1</v>
      </c>
      <c r="AH761" s="9" t="s">
        <v>92</v>
      </c>
      <c r="AI761" s="13">
        <v>5554000</v>
      </c>
      <c r="AJ761" s="13">
        <v>122188000</v>
      </c>
      <c r="AK761" s="11">
        <v>0</v>
      </c>
      <c r="AL761" s="11">
        <v>0</v>
      </c>
      <c r="AM761" s="11">
        <v>0</v>
      </c>
      <c r="AN761" s="9" t="s">
        <v>67</v>
      </c>
      <c r="AO761" s="11">
        <v>122188000</v>
      </c>
      <c r="AP761" s="13">
        <v>9775040</v>
      </c>
      <c r="AQ761" s="13">
        <v>131963040</v>
      </c>
      <c r="AR761" s="11">
        <v>440</v>
      </c>
      <c r="AS761" s="9" t="s">
        <v>72</v>
      </c>
      <c r="AT761" s="12">
        <v>349.14</v>
      </c>
      <c r="AU761" s="9" t="s">
        <v>73</v>
      </c>
      <c r="AV761" s="9" t="s">
        <v>67</v>
      </c>
      <c r="AW761" s="9" t="s">
        <v>1834</v>
      </c>
      <c r="AX761" s="10">
        <v>45982</v>
      </c>
      <c r="AY761" s="9" t="s">
        <v>1835</v>
      </c>
      <c r="AZ761" s="9" t="s">
        <v>67</v>
      </c>
      <c r="BA761" s="9" t="s">
        <v>67</v>
      </c>
      <c r="BB761" s="12">
        <v>440</v>
      </c>
      <c r="BC761" s="9" t="s">
        <v>74</v>
      </c>
      <c r="BD761" s="9" t="s">
        <v>104</v>
      </c>
      <c r="BE761" s="9" t="s">
        <v>75</v>
      </c>
      <c r="BF761" s="11">
        <v>0</v>
      </c>
      <c r="BG761">
        <f t="shared" si="24"/>
        <v>12</v>
      </c>
      <c r="BH761" t="str">
        <f>VLOOKUP(BG761,[1]month!$A:$B,2,0)</f>
        <v>Desember</v>
      </c>
      <c r="BI761">
        <f t="shared" si="25"/>
        <v>2025</v>
      </c>
      <c r="BJ761" t="str">
        <f>VLOOKUP(I761,[1]Dist!$A:$B,2,0)</f>
        <v>Industry</v>
      </c>
      <c r="BK761" t="str">
        <f>IF(I761=11,VLOOKUP(Y761,[2]Sheet1!$C:$N,10,0),IF(I761=13,VLOOKUP(Y761,[3]Sheet1!$C:$N,10,0),IF(I761=15,VLOOKUP(Y761,[4]Sheet1!$C:$N,10,0),"Unknown")))</f>
        <v>UV</v>
      </c>
      <c r="BL761" t="str">
        <f>IF(I761=11,VLOOKUP(Y761,[2]Sheet1!$C:$N,12,0),IF(I761=13,VLOOKUP(Y761,[3]Sheet1!$C:$N,12,0),IF(I761=15,VLOOKUP(Y761,[4]Sheet1!$C:$N,12,0),"Unknown")))</f>
        <v>UV TOP COAT CLEAR</v>
      </c>
      <c r="BM761" t="str">
        <f>VLOOKUP(W761,[1]branch!$A:$B,2,0)</f>
        <v>INDUSTRY</v>
      </c>
    </row>
    <row r="762" spans="1:65" x14ac:dyDescent="0.35">
      <c r="A762" s="10">
        <v>46001</v>
      </c>
      <c r="B762" s="9" t="s">
        <v>1839</v>
      </c>
      <c r="C762" s="9" t="s">
        <v>64</v>
      </c>
      <c r="D762" s="9" t="s">
        <v>92</v>
      </c>
      <c r="E762" s="11">
        <v>45</v>
      </c>
      <c r="F762" s="9" t="s">
        <v>93</v>
      </c>
      <c r="G762" s="9" t="s">
        <v>65</v>
      </c>
      <c r="H762" s="9" t="s">
        <v>66</v>
      </c>
      <c r="I762" s="9">
        <v>15</v>
      </c>
      <c r="J762" s="9" t="s">
        <v>638</v>
      </c>
      <c r="K762" s="9" t="s">
        <v>638</v>
      </c>
      <c r="L762" s="9" t="s">
        <v>638</v>
      </c>
      <c r="M762" s="9" t="s">
        <v>639</v>
      </c>
      <c r="N762" s="9" t="s">
        <v>883</v>
      </c>
      <c r="O762" s="9" t="s">
        <v>410</v>
      </c>
      <c r="P762" s="9" t="s">
        <v>67</v>
      </c>
      <c r="Q762" s="9" t="s">
        <v>98</v>
      </c>
      <c r="R762" s="9" t="s">
        <v>638</v>
      </c>
      <c r="S762" s="9" t="s">
        <v>639</v>
      </c>
      <c r="T762" s="9" t="s">
        <v>821</v>
      </c>
      <c r="U762" s="9" t="s">
        <v>385</v>
      </c>
      <c r="V762" s="9" t="s">
        <v>386</v>
      </c>
      <c r="W762" s="9" t="s">
        <v>387</v>
      </c>
      <c r="X762" s="11">
        <v>10</v>
      </c>
      <c r="Y762" s="9" t="s">
        <v>897</v>
      </c>
      <c r="Z762" s="9" t="s">
        <v>68</v>
      </c>
      <c r="AA762" s="9" t="s">
        <v>898</v>
      </c>
      <c r="AB762" s="9" t="s">
        <v>67</v>
      </c>
      <c r="AC762" s="9" t="s">
        <v>899</v>
      </c>
      <c r="AD762" s="11">
        <v>2</v>
      </c>
      <c r="AE762" s="9" t="s">
        <v>156</v>
      </c>
      <c r="AF762" s="9" t="s">
        <v>71</v>
      </c>
      <c r="AG762" s="13">
        <v>1</v>
      </c>
      <c r="AH762" s="9" t="s">
        <v>92</v>
      </c>
      <c r="AI762" s="13">
        <v>2800000</v>
      </c>
      <c r="AJ762" s="13">
        <v>5600000</v>
      </c>
      <c r="AK762" s="11">
        <v>0</v>
      </c>
      <c r="AL762" s="11">
        <v>0</v>
      </c>
      <c r="AM762" s="11">
        <v>0</v>
      </c>
      <c r="AN762" s="9" t="s">
        <v>67</v>
      </c>
      <c r="AO762" s="11">
        <v>5600000</v>
      </c>
      <c r="AP762" s="13">
        <v>448000</v>
      </c>
      <c r="AQ762" s="13">
        <v>6048000</v>
      </c>
      <c r="AR762" s="11">
        <v>30</v>
      </c>
      <c r="AS762" s="9" t="s">
        <v>72</v>
      </c>
      <c r="AT762" s="12">
        <v>27.643999999999998</v>
      </c>
      <c r="AU762" s="9" t="s">
        <v>73</v>
      </c>
      <c r="AV762" s="9" t="s">
        <v>67</v>
      </c>
      <c r="AW762" s="9" t="s">
        <v>1840</v>
      </c>
      <c r="AX762" s="10">
        <v>45996</v>
      </c>
      <c r="AY762" s="9" t="s">
        <v>1841</v>
      </c>
      <c r="AZ762" s="9" t="s">
        <v>67</v>
      </c>
      <c r="BA762" s="9" t="s">
        <v>67</v>
      </c>
      <c r="BB762" s="12">
        <v>30</v>
      </c>
      <c r="BC762" s="9" t="s">
        <v>74</v>
      </c>
      <c r="BD762" s="9" t="s">
        <v>104</v>
      </c>
      <c r="BE762" s="9" t="s">
        <v>75</v>
      </c>
      <c r="BF762" s="11">
        <v>0</v>
      </c>
      <c r="BG762">
        <f t="shared" si="24"/>
        <v>12</v>
      </c>
      <c r="BH762" t="str">
        <f>VLOOKUP(BG762,[1]month!$A:$B,2,0)</f>
        <v>Desember</v>
      </c>
      <c r="BI762">
        <f t="shared" si="25"/>
        <v>2025</v>
      </c>
      <c r="BJ762" t="str">
        <f>VLOOKUP(I762,[1]Dist!$A:$B,2,0)</f>
        <v>Project</v>
      </c>
      <c r="BK762" t="str">
        <f>IF(I762=11,VLOOKUP(Y762,[2]Sheet1!$C:$N,10,0),IF(I762=13,VLOOKUP(Y762,[3]Sheet1!$C:$N,10,0),IF(I762=15,VLOOKUP(Y762,[4]Sheet1!$C:$N,10,0),"Unknown")))</f>
        <v>POLYFLOOR</v>
      </c>
      <c r="BL762" t="str">
        <f>IF(I762=11,VLOOKUP(Y762,[2]Sheet1!$C:$N,12,0),IF(I762=13,VLOOKUP(Y762,[3]Sheet1!$C:$N,12,0),IF(I762=15,VLOOKUP(Y762,[4]Sheet1!$C:$N,12,0),"Unknown")))</f>
        <v>POLYFLOOR EPOXY</v>
      </c>
      <c r="BM762" t="str">
        <f>VLOOKUP(W762,[1]branch!$A:$B,2,0)</f>
        <v>PROJECT</v>
      </c>
    </row>
    <row r="763" spans="1:65" x14ac:dyDescent="0.35">
      <c r="A763" s="10">
        <v>46001</v>
      </c>
      <c r="B763" s="9" t="s">
        <v>1839</v>
      </c>
      <c r="C763" s="9" t="s">
        <v>64</v>
      </c>
      <c r="D763" s="9" t="s">
        <v>92</v>
      </c>
      <c r="E763" s="11">
        <v>45</v>
      </c>
      <c r="F763" s="9" t="s">
        <v>93</v>
      </c>
      <c r="G763" s="9" t="s">
        <v>65</v>
      </c>
      <c r="H763" s="9" t="s">
        <v>66</v>
      </c>
      <c r="I763" s="9">
        <v>15</v>
      </c>
      <c r="J763" s="9" t="s">
        <v>638</v>
      </c>
      <c r="K763" s="9" t="s">
        <v>638</v>
      </c>
      <c r="L763" s="9" t="s">
        <v>638</v>
      </c>
      <c r="M763" s="9" t="s">
        <v>639</v>
      </c>
      <c r="N763" s="9" t="s">
        <v>883</v>
      </c>
      <c r="O763" s="9" t="s">
        <v>410</v>
      </c>
      <c r="P763" s="9" t="s">
        <v>67</v>
      </c>
      <c r="Q763" s="9" t="s">
        <v>98</v>
      </c>
      <c r="R763" s="9" t="s">
        <v>638</v>
      </c>
      <c r="S763" s="9" t="s">
        <v>639</v>
      </c>
      <c r="T763" s="9" t="s">
        <v>821</v>
      </c>
      <c r="U763" s="9" t="s">
        <v>385</v>
      </c>
      <c r="V763" s="9" t="s">
        <v>386</v>
      </c>
      <c r="W763" s="9" t="s">
        <v>387</v>
      </c>
      <c r="X763" s="11">
        <v>40</v>
      </c>
      <c r="Y763" s="9" t="s">
        <v>1842</v>
      </c>
      <c r="Z763" s="9" t="s">
        <v>68</v>
      </c>
      <c r="AA763" s="9" t="s">
        <v>1843</v>
      </c>
      <c r="AB763" s="9" t="s">
        <v>67</v>
      </c>
      <c r="AC763" s="9" t="s">
        <v>1844</v>
      </c>
      <c r="AD763" s="11">
        <v>2</v>
      </c>
      <c r="AE763" s="9" t="s">
        <v>156</v>
      </c>
      <c r="AF763" s="9" t="s">
        <v>71</v>
      </c>
      <c r="AG763" s="13">
        <v>1</v>
      </c>
      <c r="AH763" s="9" t="s">
        <v>92</v>
      </c>
      <c r="AI763" s="13">
        <v>2700000</v>
      </c>
      <c r="AJ763" s="13">
        <v>5400000</v>
      </c>
      <c r="AK763" s="11">
        <v>0</v>
      </c>
      <c r="AL763" s="11">
        <v>0</v>
      </c>
      <c r="AM763" s="11">
        <v>0</v>
      </c>
      <c r="AN763" s="9" t="s">
        <v>67</v>
      </c>
      <c r="AO763" s="11">
        <v>5400000</v>
      </c>
      <c r="AP763" s="13">
        <v>432000</v>
      </c>
      <c r="AQ763" s="13">
        <v>5832000</v>
      </c>
      <c r="AR763" s="11">
        <v>40</v>
      </c>
      <c r="AS763" s="9" t="s">
        <v>72</v>
      </c>
      <c r="AT763" s="12">
        <v>23.8</v>
      </c>
      <c r="AU763" s="9" t="s">
        <v>73</v>
      </c>
      <c r="AV763" s="9" t="s">
        <v>67</v>
      </c>
      <c r="AW763" s="9" t="s">
        <v>1840</v>
      </c>
      <c r="AX763" s="10">
        <v>45996</v>
      </c>
      <c r="AY763" s="9" t="s">
        <v>1841</v>
      </c>
      <c r="AZ763" s="9" t="s">
        <v>67</v>
      </c>
      <c r="BA763" s="9" t="s">
        <v>67</v>
      </c>
      <c r="BB763" s="12">
        <v>40</v>
      </c>
      <c r="BC763" s="9" t="s">
        <v>74</v>
      </c>
      <c r="BD763" s="9" t="s">
        <v>104</v>
      </c>
      <c r="BE763" s="9" t="s">
        <v>75</v>
      </c>
      <c r="BF763" s="11">
        <v>0</v>
      </c>
      <c r="BG763">
        <f t="shared" si="24"/>
        <v>12</v>
      </c>
      <c r="BH763" t="str">
        <f>VLOOKUP(BG763,[1]month!$A:$B,2,0)</f>
        <v>Desember</v>
      </c>
      <c r="BI763">
        <f t="shared" si="25"/>
        <v>2025</v>
      </c>
      <c r="BJ763" t="str">
        <f>VLOOKUP(I763,[1]Dist!$A:$B,2,0)</f>
        <v>Project</v>
      </c>
      <c r="BK763" t="str">
        <f>IF(I763=11,VLOOKUP(Y763,[2]Sheet1!$C:$N,10,0),IF(I763=13,VLOOKUP(Y763,[3]Sheet1!$C:$N,10,0),IF(I763=15,VLOOKUP(Y763,[4]Sheet1!$C:$N,10,0),"Unknown")))</f>
        <v>POLYFLOOR</v>
      </c>
      <c r="BL763" t="str">
        <f>IF(I763=11,VLOOKUP(Y763,[2]Sheet1!$C:$N,12,0),IF(I763=13,VLOOKUP(Y763,[3]Sheet1!$C:$N,12,0),IF(I763=15,VLOOKUP(Y763,[4]Sheet1!$C:$N,12,0),"Unknown")))</f>
        <v>POLYFLOOR EPOXY</v>
      </c>
      <c r="BM763" t="str">
        <f>VLOOKUP(W763,[1]branch!$A:$B,2,0)</f>
        <v>PROJECT</v>
      </c>
    </row>
    <row r="764" spans="1:65" x14ac:dyDescent="0.35">
      <c r="A764" s="10">
        <v>46001</v>
      </c>
      <c r="B764" s="9" t="s">
        <v>1839</v>
      </c>
      <c r="C764" s="9" t="s">
        <v>64</v>
      </c>
      <c r="D764" s="9" t="s">
        <v>92</v>
      </c>
      <c r="E764" s="11">
        <v>45</v>
      </c>
      <c r="F764" s="9" t="s">
        <v>93</v>
      </c>
      <c r="G764" s="9" t="s">
        <v>65</v>
      </c>
      <c r="H764" s="9" t="s">
        <v>66</v>
      </c>
      <c r="I764" s="9">
        <v>15</v>
      </c>
      <c r="J764" s="9" t="s">
        <v>638</v>
      </c>
      <c r="K764" s="9" t="s">
        <v>638</v>
      </c>
      <c r="L764" s="9" t="s">
        <v>638</v>
      </c>
      <c r="M764" s="9" t="s">
        <v>639</v>
      </c>
      <c r="N764" s="9" t="s">
        <v>883</v>
      </c>
      <c r="O764" s="9" t="s">
        <v>410</v>
      </c>
      <c r="P764" s="9" t="s">
        <v>67</v>
      </c>
      <c r="Q764" s="9" t="s">
        <v>98</v>
      </c>
      <c r="R764" s="9" t="s">
        <v>638</v>
      </c>
      <c r="S764" s="9" t="s">
        <v>639</v>
      </c>
      <c r="T764" s="9" t="s">
        <v>821</v>
      </c>
      <c r="U764" s="9" t="s">
        <v>385</v>
      </c>
      <c r="V764" s="9" t="s">
        <v>386</v>
      </c>
      <c r="W764" s="9" t="s">
        <v>387</v>
      </c>
      <c r="X764" s="11">
        <v>50</v>
      </c>
      <c r="Y764" s="9" t="s">
        <v>1845</v>
      </c>
      <c r="Z764" s="9" t="s">
        <v>68</v>
      </c>
      <c r="AA764" s="9" t="s">
        <v>1846</v>
      </c>
      <c r="AB764" s="9" t="s">
        <v>67</v>
      </c>
      <c r="AC764" s="9" t="s">
        <v>1844</v>
      </c>
      <c r="AD764" s="11">
        <v>2</v>
      </c>
      <c r="AE764" s="9" t="s">
        <v>156</v>
      </c>
      <c r="AF764" s="9" t="s">
        <v>71</v>
      </c>
      <c r="AG764" s="13">
        <v>1</v>
      </c>
      <c r="AH764" s="9" t="s">
        <v>92</v>
      </c>
      <c r="AI764" s="13">
        <v>2700000</v>
      </c>
      <c r="AJ764" s="13">
        <v>5400000</v>
      </c>
      <c r="AK764" s="11">
        <v>0</v>
      </c>
      <c r="AL764" s="11">
        <v>0</v>
      </c>
      <c r="AM764" s="11">
        <v>0</v>
      </c>
      <c r="AN764" s="9" t="s">
        <v>67</v>
      </c>
      <c r="AO764" s="11">
        <v>5400000</v>
      </c>
      <c r="AP764" s="13">
        <v>432000</v>
      </c>
      <c r="AQ764" s="13">
        <v>5832000</v>
      </c>
      <c r="AR764" s="11">
        <v>40</v>
      </c>
      <c r="AS764" s="9" t="s">
        <v>72</v>
      </c>
      <c r="AT764" s="12">
        <v>26.55</v>
      </c>
      <c r="AU764" s="9" t="s">
        <v>73</v>
      </c>
      <c r="AV764" s="9" t="s">
        <v>67</v>
      </c>
      <c r="AW764" s="9" t="s">
        <v>1840</v>
      </c>
      <c r="AX764" s="10">
        <v>45996</v>
      </c>
      <c r="AY764" s="9" t="s">
        <v>1841</v>
      </c>
      <c r="AZ764" s="9" t="s">
        <v>67</v>
      </c>
      <c r="BA764" s="9" t="s">
        <v>67</v>
      </c>
      <c r="BB764" s="12">
        <v>40</v>
      </c>
      <c r="BC764" s="9" t="s">
        <v>74</v>
      </c>
      <c r="BD764" s="9" t="s">
        <v>104</v>
      </c>
      <c r="BE764" s="9" t="s">
        <v>75</v>
      </c>
      <c r="BF764" s="11">
        <v>0</v>
      </c>
      <c r="BG764">
        <f t="shared" si="24"/>
        <v>12</v>
      </c>
      <c r="BH764" t="str">
        <f>VLOOKUP(BG764,[1]month!$A:$B,2,0)</f>
        <v>Desember</v>
      </c>
      <c r="BI764">
        <f t="shared" si="25"/>
        <v>2025</v>
      </c>
      <c r="BJ764" t="str">
        <f>VLOOKUP(I764,[1]Dist!$A:$B,2,0)</f>
        <v>Project</v>
      </c>
      <c r="BK764" t="s">
        <v>2006</v>
      </c>
      <c r="BL764" t="s">
        <v>2007</v>
      </c>
      <c r="BM764" t="str">
        <f>VLOOKUP(W764,[1]branch!$A:$B,2,0)</f>
        <v>PROJECT</v>
      </c>
    </row>
    <row r="765" spans="1:65" x14ac:dyDescent="0.35">
      <c r="A765" s="10">
        <v>46001</v>
      </c>
      <c r="B765" s="9" t="s">
        <v>1847</v>
      </c>
      <c r="C765" s="9" t="s">
        <v>64</v>
      </c>
      <c r="D765" s="9" t="s">
        <v>92</v>
      </c>
      <c r="E765" s="11">
        <v>30</v>
      </c>
      <c r="F765" s="9" t="s">
        <v>93</v>
      </c>
      <c r="G765" s="9" t="s">
        <v>65</v>
      </c>
      <c r="H765" s="9" t="s">
        <v>66</v>
      </c>
      <c r="I765" s="9">
        <v>11</v>
      </c>
      <c r="J765" s="9" t="s">
        <v>751</v>
      </c>
      <c r="K765" s="9" t="s">
        <v>751</v>
      </c>
      <c r="L765" s="9" t="s">
        <v>751</v>
      </c>
      <c r="M765" s="9" t="s">
        <v>752</v>
      </c>
      <c r="N765" s="9" t="s">
        <v>395</v>
      </c>
      <c r="O765" s="9" t="s">
        <v>97</v>
      </c>
      <c r="P765" s="9" t="s">
        <v>67</v>
      </c>
      <c r="Q765" s="9" t="s">
        <v>98</v>
      </c>
      <c r="R765" s="9" t="s">
        <v>900</v>
      </c>
      <c r="S765" s="9" t="s">
        <v>752</v>
      </c>
      <c r="T765" s="9" t="s">
        <v>901</v>
      </c>
      <c r="U765" s="9" t="s">
        <v>67</v>
      </c>
      <c r="V765" s="9" t="s">
        <v>99</v>
      </c>
      <c r="W765" s="9" t="s">
        <v>100</v>
      </c>
      <c r="X765" s="11">
        <v>110</v>
      </c>
      <c r="Y765" s="9" t="s">
        <v>435</v>
      </c>
      <c r="Z765" s="9" t="s">
        <v>68</v>
      </c>
      <c r="AA765" s="9" t="s">
        <v>436</v>
      </c>
      <c r="AB765" s="9" t="s">
        <v>67</v>
      </c>
      <c r="AC765" s="9" t="s">
        <v>254</v>
      </c>
      <c r="AD765" s="11">
        <v>7</v>
      </c>
      <c r="AE765" s="9" t="s">
        <v>70</v>
      </c>
      <c r="AF765" s="9" t="s">
        <v>71</v>
      </c>
      <c r="AG765" s="13">
        <v>1</v>
      </c>
      <c r="AH765" s="9" t="s">
        <v>92</v>
      </c>
      <c r="AI765" s="13">
        <v>1865000</v>
      </c>
      <c r="AJ765" s="13">
        <v>13055000</v>
      </c>
      <c r="AK765" s="11">
        <v>0</v>
      </c>
      <c r="AL765" s="11">
        <v>0</v>
      </c>
      <c r="AM765" s="11">
        <v>0</v>
      </c>
      <c r="AN765" s="9" t="s">
        <v>67</v>
      </c>
      <c r="AO765" s="11">
        <v>13055000</v>
      </c>
      <c r="AP765" s="13">
        <v>1044400</v>
      </c>
      <c r="AQ765" s="13">
        <v>14099400</v>
      </c>
      <c r="AR765" s="11">
        <v>140</v>
      </c>
      <c r="AS765" s="9" t="s">
        <v>72</v>
      </c>
      <c r="AT765" s="12">
        <v>105.28</v>
      </c>
      <c r="AU765" s="9" t="s">
        <v>73</v>
      </c>
      <c r="AV765" s="9" t="s">
        <v>67</v>
      </c>
      <c r="AW765" s="9" t="s">
        <v>1848</v>
      </c>
      <c r="AX765" s="10">
        <v>46000</v>
      </c>
      <c r="AY765" s="9" t="s">
        <v>1849</v>
      </c>
      <c r="AZ765" s="9" t="s">
        <v>67</v>
      </c>
      <c r="BA765" s="9" t="s">
        <v>67</v>
      </c>
      <c r="BB765" s="12">
        <v>140</v>
      </c>
      <c r="BC765" s="9" t="s">
        <v>74</v>
      </c>
      <c r="BD765" s="9" t="s">
        <v>104</v>
      </c>
      <c r="BE765" s="9" t="s">
        <v>75</v>
      </c>
      <c r="BF765" s="11">
        <v>0</v>
      </c>
      <c r="BG765">
        <f t="shared" si="24"/>
        <v>12</v>
      </c>
      <c r="BH765" t="str">
        <f>VLOOKUP(BG765,[1]month!$A:$B,2,0)</f>
        <v>Desember</v>
      </c>
      <c r="BI765">
        <f t="shared" si="25"/>
        <v>2025</v>
      </c>
      <c r="BJ765" t="str">
        <f>VLOOKUP(I765,[1]Dist!$A:$B,2,0)</f>
        <v>Industry</v>
      </c>
      <c r="BK765" t="str">
        <f>IF(I765=11,VLOOKUP(Y765,[2]Sheet1!$C:$N,10,0),IF(I765=13,VLOOKUP(Y765,[3]Sheet1!$C:$N,10,0),IF(I765=15,VLOOKUP(Y765,[4]Sheet1!$C:$N,10,0),"Unknown")))</f>
        <v>PU</v>
      </c>
      <c r="BL765" t="str">
        <f>IF(I765=11,VLOOKUP(Y765,[2]Sheet1!$C:$N,12,0),IF(I765=13,VLOOKUP(Y765,[3]Sheet1!$C:$N,12,0),IF(I765=15,VLOOKUP(Y765,[4]Sheet1!$C:$N,12,0),"Unknown")))</f>
        <v>PU PRIMER</v>
      </c>
      <c r="BM765" t="str">
        <f>VLOOKUP(W765,[1]branch!$A:$B,2,0)</f>
        <v>INDUSTRY</v>
      </c>
    </row>
    <row r="766" spans="1:65" x14ac:dyDescent="0.35">
      <c r="A766" s="10">
        <v>46001</v>
      </c>
      <c r="B766" s="9" t="s">
        <v>1850</v>
      </c>
      <c r="C766" s="9" t="s">
        <v>64</v>
      </c>
      <c r="D766" s="9" t="s">
        <v>92</v>
      </c>
      <c r="E766" s="11">
        <v>60</v>
      </c>
      <c r="F766" s="9" t="s">
        <v>93</v>
      </c>
      <c r="G766" s="9" t="s">
        <v>65</v>
      </c>
      <c r="H766" s="9" t="s">
        <v>66</v>
      </c>
      <c r="I766" s="9">
        <v>13</v>
      </c>
      <c r="J766" s="9" t="s">
        <v>261</v>
      </c>
      <c r="K766" s="9" t="s">
        <v>261</v>
      </c>
      <c r="L766" s="9" t="s">
        <v>261</v>
      </c>
      <c r="M766" s="9" t="s">
        <v>262</v>
      </c>
      <c r="N766" s="9" t="s">
        <v>878</v>
      </c>
      <c r="O766" s="9" t="s">
        <v>150</v>
      </c>
      <c r="P766" s="9" t="s">
        <v>67</v>
      </c>
      <c r="Q766" s="9" t="s">
        <v>98</v>
      </c>
      <c r="R766" s="9" t="s">
        <v>261</v>
      </c>
      <c r="S766" s="9" t="s">
        <v>262</v>
      </c>
      <c r="T766" s="9" t="s">
        <v>802</v>
      </c>
      <c r="U766" s="9" t="s">
        <v>67</v>
      </c>
      <c r="V766" s="9" t="s">
        <v>311</v>
      </c>
      <c r="W766" s="9" t="s">
        <v>312</v>
      </c>
      <c r="X766" s="11">
        <v>10</v>
      </c>
      <c r="Y766" s="9" t="s">
        <v>574</v>
      </c>
      <c r="Z766" s="9" t="s">
        <v>68</v>
      </c>
      <c r="AA766" s="9" t="s">
        <v>575</v>
      </c>
      <c r="AB766" s="9" t="s">
        <v>67</v>
      </c>
      <c r="AC766" s="9" t="s">
        <v>383</v>
      </c>
      <c r="AD766" s="11">
        <v>8</v>
      </c>
      <c r="AE766" s="9" t="s">
        <v>70</v>
      </c>
      <c r="AF766" s="9" t="s">
        <v>71</v>
      </c>
      <c r="AG766" s="13">
        <v>1</v>
      </c>
      <c r="AH766" s="9" t="s">
        <v>92</v>
      </c>
      <c r="AI766" s="13">
        <v>320000</v>
      </c>
      <c r="AJ766" s="13">
        <v>2560000</v>
      </c>
      <c r="AK766" s="11">
        <v>256000</v>
      </c>
      <c r="AL766" s="11">
        <v>0</v>
      </c>
      <c r="AM766" s="11">
        <v>0</v>
      </c>
      <c r="AN766" s="9" t="s">
        <v>415</v>
      </c>
      <c r="AO766" s="11">
        <v>2304000</v>
      </c>
      <c r="AP766" s="13">
        <v>184320</v>
      </c>
      <c r="AQ766" s="13">
        <v>2488320</v>
      </c>
      <c r="AR766" s="12">
        <v>9.8879999999999999</v>
      </c>
      <c r="AS766" s="9" t="s">
        <v>72</v>
      </c>
      <c r="AT766" s="11">
        <v>8</v>
      </c>
      <c r="AU766" s="9" t="s">
        <v>73</v>
      </c>
      <c r="AV766" s="9" t="s">
        <v>67</v>
      </c>
      <c r="AW766" s="9" t="s">
        <v>1851</v>
      </c>
      <c r="AX766" s="10">
        <v>46000</v>
      </c>
      <c r="AY766" s="9" t="s">
        <v>1852</v>
      </c>
      <c r="AZ766" s="9" t="s">
        <v>67</v>
      </c>
      <c r="BA766" s="9" t="s">
        <v>67</v>
      </c>
      <c r="BB766" s="12">
        <v>8</v>
      </c>
      <c r="BC766" s="9" t="s">
        <v>74</v>
      </c>
      <c r="BD766" s="9" t="s">
        <v>104</v>
      </c>
      <c r="BE766" s="9" t="s">
        <v>75</v>
      </c>
      <c r="BF766" s="11">
        <v>0</v>
      </c>
      <c r="BG766">
        <f t="shared" si="24"/>
        <v>12</v>
      </c>
      <c r="BH766" t="str">
        <f>VLOOKUP(BG766,[1]month!$A:$B,2,0)</f>
        <v>Desember</v>
      </c>
      <c r="BI766">
        <f t="shared" si="25"/>
        <v>2025</v>
      </c>
      <c r="BJ766" t="str">
        <f>VLOOKUP(I766,[1]Dist!$A:$B,2,0)</f>
        <v>Retail</v>
      </c>
      <c r="BK766" t="str">
        <f>IF(I766=11,VLOOKUP(Y766,[2]Sheet1!$C:$N,10,0),IF(I766=13,VLOOKUP(Y766,[3]Sheet1!$C:$N,10,0),IF(I766=15,VLOOKUP(Y766,[4]Sheet1!$C:$N,10,0),"Unknown")))</f>
        <v>PASTA</v>
      </c>
      <c r="BL766" t="str">
        <f>IF(I766=11,VLOOKUP(Y766,[2]Sheet1!$C:$N,12,0),IF(I766=13,VLOOKUP(Y766,[3]Sheet1!$C:$N,12,0),IF(I766=15,VLOOKUP(Y766,[4]Sheet1!$C:$N,12,0),"Unknown")))</f>
        <v>PASTA WB</v>
      </c>
      <c r="BM766" t="str">
        <f>VLOOKUP(W766,[1]branch!$A:$B,2,0)</f>
        <v>DANANG</v>
      </c>
    </row>
    <row r="767" spans="1:65" x14ac:dyDescent="0.35">
      <c r="A767" s="10">
        <v>46001</v>
      </c>
      <c r="B767" s="9" t="s">
        <v>1853</v>
      </c>
      <c r="C767" s="9" t="s">
        <v>64</v>
      </c>
      <c r="D767" s="9" t="s">
        <v>92</v>
      </c>
      <c r="E767" s="11">
        <v>60</v>
      </c>
      <c r="F767" s="9" t="s">
        <v>93</v>
      </c>
      <c r="G767" s="9" t="s">
        <v>65</v>
      </c>
      <c r="H767" s="9" t="s">
        <v>66</v>
      </c>
      <c r="I767" s="9">
        <v>13</v>
      </c>
      <c r="J767" s="9" t="s">
        <v>261</v>
      </c>
      <c r="K767" s="9" t="s">
        <v>261</v>
      </c>
      <c r="L767" s="9" t="s">
        <v>261</v>
      </c>
      <c r="M767" s="9" t="s">
        <v>262</v>
      </c>
      <c r="N767" s="9" t="s">
        <v>878</v>
      </c>
      <c r="O767" s="9" t="s">
        <v>150</v>
      </c>
      <c r="P767" s="9" t="s">
        <v>67</v>
      </c>
      <c r="Q767" s="9" t="s">
        <v>98</v>
      </c>
      <c r="R767" s="9" t="s">
        <v>261</v>
      </c>
      <c r="S767" s="9" t="s">
        <v>262</v>
      </c>
      <c r="T767" s="9" t="s">
        <v>802</v>
      </c>
      <c r="U767" s="9" t="s">
        <v>67</v>
      </c>
      <c r="V767" s="9" t="s">
        <v>311</v>
      </c>
      <c r="W767" s="9" t="s">
        <v>312</v>
      </c>
      <c r="X767" s="11">
        <v>10</v>
      </c>
      <c r="Y767" s="9" t="s">
        <v>1854</v>
      </c>
      <c r="Z767" s="9" t="s">
        <v>68</v>
      </c>
      <c r="AA767" s="9" t="s">
        <v>1855</v>
      </c>
      <c r="AB767" s="9" t="s">
        <v>67</v>
      </c>
      <c r="AC767" s="9" t="s">
        <v>263</v>
      </c>
      <c r="AD767" s="11">
        <v>10</v>
      </c>
      <c r="AE767" s="9" t="s">
        <v>70</v>
      </c>
      <c r="AF767" s="9" t="s">
        <v>71</v>
      </c>
      <c r="AG767" s="13">
        <v>1</v>
      </c>
      <c r="AH767" s="9" t="s">
        <v>92</v>
      </c>
      <c r="AI767" s="13">
        <v>1680909</v>
      </c>
      <c r="AJ767" s="13">
        <v>16809090</v>
      </c>
      <c r="AK767" s="11">
        <v>3235750</v>
      </c>
      <c r="AL767" s="11">
        <v>0</v>
      </c>
      <c r="AM767" s="11">
        <v>0</v>
      </c>
      <c r="AN767" s="9" t="s">
        <v>314</v>
      </c>
      <c r="AO767" s="11">
        <v>13573340</v>
      </c>
      <c r="AP767" s="13">
        <v>1085867</v>
      </c>
      <c r="AQ767" s="13">
        <v>14659207</v>
      </c>
      <c r="AR767" s="11">
        <v>200</v>
      </c>
      <c r="AS767" s="9" t="s">
        <v>72</v>
      </c>
      <c r="AT767" s="12">
        <v>165.3</v>
      </c>
      <c r="AU767" s="9" t="s">
        <v>73</v>
      </c>
      <c r="AV767" s="9" t="s">
        <v>67</v>
      </c>
      <c r="AW767" s="9" t="s">
        <v>1856</v>
      </c>
      <c r="AX767" s="10">
        <v>46000</v>
      </c>
      <c r="AY767" s="9" t="s">
        <v>1857</v>
      </c>
      <c r="AZ767" s="9" t="s">
        <v>67</v>
      </c>
      <c r="BA767" s="9" t="s">
        <v>67</v>
      </c>
      <c r="BB767" s="12">
        <v>200</v>
      </c>
      <c r="BC767" s="9" t="s">
        <v>74</v>
      </c>
      <c r="BD767" s="9" t="s">
        <v>104</v>
      </c>
      <c r="BE767" s="9" t="s">
        <v>75</v>
      </c>
      <c r="BF767" s="11">
        <v>0</v>
      </c>
      <c r="BG767">
        <f t="shared" si="24"/>
        <v>12</v>
      </c>
      <c r="BH767" t="str">
        <f>VLOOKUP(BG767,[1]month!$A:$B,2,0)</f>
        <v>Desember</v>
      </c>
      <c r="BI767">
        <f t="shared" si="25"/>
        <v>2025</v>
      </c>
      <c r="BJ767" t="str">
        <f>VLOOKUP(I767,[1]Dist!$A:$B,2,0)</f>
        <v>Retail</v>
      </c>
      <c r="BK767" t="str">
        <f>IF(I767=11,VLOOKUP(Y767,[2]Sheet1!$C:$N,10,0),IF(I767=13,VLOOKUP(Y767,[3]Sheet1!$C:$N,10,0),IF(I767=15,VLOOKUP(Y767,[4]Sheet1!$C:$N,10,0),"Unknown")))</f>
        <v>ULTRAPROOF</v>
      </c>
      <c r="BL767" t="str">
        <f>IF(I767=11,VLOOKUP(Y767,[2]Sheet1!$C:$N,12,0),IF(I767=13,VLOOKUP(Y767,[3]Sheet1!$C:$N,12,0),IF(I767=15,VLOOKUP(Y767,[4]Sheet1!$C:$N,12,0),"Unknown")))</f>
        <v>ULTRAPROOF RMX</v>
      </c>
      <c r="BM767" t="str">
        <f>VLOOKUP(W767,[1]branch!$A:$B,2,0)</f>
        <v>DANANG</v>
      </c>
    </row>
    <row r="768" spans="1:65" x14ac:dyDescent="0.35">
      <c r="A768" s="10">
        <v>46001</v>
      </c>
      <c r="B768" s="9" t="s">
        <v>1858</v>
      </c>
      <c r="C768" s="9" t="s">
        <v>64</v>
      </c>
      <c r="D768" s="9" t="s">
        <v>92</v>
      </c>
      <c r="E768" s="11">
        <v>60</v>
      </c>
      <c r="F768" s="9" t="s">
        <v>93</v>
      </c>
      <c r="G768" s="9" t="s">
        <v>65</v>
      </c>
      <c r="H768" s="9" t="s">
        <v>66</v>
      </c>
      <c r="I768" s="9">
        <v>13</v>
      </c>
      <c r="J768" s="9" t="s">
        <v>309</v>
      </c>
      <c r="K768" s="9" t="s">
        <v>309</v>
      </c>
      <c r="L768" s="9" t="s">
        <v>309</v>
      </c>
      <c r="M768" s="9" t="s">
        <v>310</v>
      </c>
      <c r="N768" s="9" t="s">
        <v>869</v>
      </c>
      <c r="O768" s="9" t="s">
        <v>150</v>
      </c>
      <c r="P768" s="9" t="s">
        <v>67</v>
      </c>
      <c r="Q768" s="9" t="s">
        <v>98</v>
      </c>
      <c r="R768" s="9" t="s">
        <v>309</v>
      </c>
      <c r="S768" s="9" t="s">
        <v>310</v>
      </c>
      <c r="T768" s="9" t="s">
        <v>798</v>
      </c>
      <c r="U768" s="9" t="s">
        <v>67</v>
      </c>
      <c r="V768" s="9" t="s">
        <v>311</v>
      </c>
      <c r="W768" s="9" t="s">
        <v>312</v>
      </c>
      <c r="X768" s="11">
        <v>10</v>
      </c>
      <c r="Y768" s="9" t="s">
        <v>342</v>
      </c>
      <c r="Z768" s="9" t="s">
        <v>68</v>
      </c>
      <c r="AA768" s="9" t="s">
        <v>343</v>
      </c>
      <c r="AB768" s="9" t="s">
        <v>67</v>
      </c>
      <c r="AC768" s="9" t="s">
        <v>158</v>
      </c>
      <c r="AD768" s="11">
        <v>48</v>
      </c>
      <c r="AE768" s="9" t="s">
        <v>156</v>
      </c>
      <c r="AF768" s="9" t="s">
        <v>71</v>
      </c>
      <c r="AG768" s="13">
        <v>1</v>
      </c>
      <c r="AH768" s="9" t="s">
        <v>92</v>
      </c>
      <c r="AI768" s="13">
        <v>141819</v>
      </c>
      <c r="AJ768" s="13">
        <v>6807312</v>
      </c>
      <c r="AK768" s="11">
        <v>1252546</v>
      </c>
      <c r="AL768" s="11">
        <v>0</v>
      </c>
      <c r="AM768" s="11">
        <v>0</v>
      </c>
      <c r="AN768" s="9" t="s">
        <v>271</v>
      </c>
      <c r="AO768" s="11">
        <v>5554766</v>
      </c>
      <c r="AP768" s="13">
        <v>444381</v>
      </c>
      <c r="AQ768" s="13">
        <v>5999147</v>
      </c>
      <c r="AR768" s="11">
        <v>48</v>
      </c>
      <c r="AS768" s="9" t="s">
        <v>72</v>
      </c>
      <c r="AT768" s="12">
        <v>28.8</v>
      </c>
      <c r="AU768" s="9" t="s">
        <v>73</v>
      </c>
      <c r="AV768" s="9" t="s">
        <v>67</v>
      </c>
      <c r="AW768" s="9" t="s">
        <v>1859</v>
      </c>
      <c r="AX768" s="10">
        <v>46000</v>
      </c>
      <c r="AY768" s="9" t="s">
        <v>1860</v>
      </c>
      <c r="AZ768" s="9" t="s">
        <v>67</v>
      </c>
      <c r="BA768" s="9" t="s">
        <v>67</v>
      </c>
      <c r="BB768" s="12">
        <v>48</v>
      </c>
      <c r="BC768" s="9" t="s">
        <v>74</v>
      </c>
      <c r="BD768" s="9" t="s">
        <v>104</v>
      </c>
      <c r="BE768" s="9" t="s">
        <v>75</v>
      </c>
      <c r="BF768" s="11">
        <v>0</v>
      </c>
      <c r="BG768">
        <f t="shared" si="24"/>
        <v>12</v>
      </c>
      <c r="BH768" t="str">
        <f>VLOOKUP(BG768,[1]month!$A:$B,2,0)</f>
        <v>Desember</v>
      </c>
      <c r="BI768">
        <f t="shared" si="25"/>
        <v>2025</v>
      </c>
      <c r="BJ768" t="str">
        <f>VLOOKUP(I768,[1]Dist!$A:$B,2,0)</f>
        <v>Retail</v>
      </c>
      <c r="BK768" t="str">
        <f>IF(I768=11,VLOOKUP(Y768,[2]Sheet1!$C:$N,10,0),IF(I768=13,VLOOKUP(Y768,[3]Sheet1!$C:$N,10,0),IF(I768=15,VLOOKUP(Y768,[4]Sheet1!$C:$N,10,0),"Unknown")))</f>
        <v>METALKOTE</v>
      </c>
      <c r="BL768" t="str">
        <f>IF(I768=11,VLOOKUP(Y768,[2]Sheet1!$C:$N,12,0),IF(I768=13,VLOOKUP(Y768,[3]Sheet1!$C:$N,12,0),IF(I768=15,VLOOKUP(Y768,[4]Sheet1!$C:$N,12,0),"Unknown")))</f>
        <v>METALKOTE-EPOXY SYS</v>
      </c>
      <c r="BM768" t="str">
        <f>VLOOKUP(W768,[1]branch!$A:$B,2,0)</f>
        <v>DANANG</v>
      </c>
    </row>
    <row r="769" spans="1:65" x14ac:dyDescent="0.35">
      <c r="A769" s="10">
        <v>46001</v>
      </c>
      <c r="B769" s="9" t="s">
        <v>1858</v>
      </c>
      <c r="C769" s="9" t="s">
        <v>64</v>
      </c>
      <c r="D769" s="9" t="s">
        <v>92</v>
      </c>
      <c r="E769" s="11">
        <v>60</v>
      </c>
      <c r="F769" s="9" t="s">
        <v>93</v>
      </c>
      <c r="G769" s="9" t="s">
        <v>65</v>
      </c>
      <c r="H769" s="9" t="s">
        <v>66</v>
      </c>
      <c r="I769" s="9">
        <v>13</v>
      </c>
      <c r="J769" s="9" t="s">
        <v>309</v>
      </c>
      <c r="K769" s="9" t="s">
        <v>309</v>
      </c>
      <c r="L769" s="9" t="s">
        <v>309</v>
      </c>
      <c r="M769" s="9" t="s">
        <v>310</v>
      </c>
      <c r="N769" s="9" t="s">
        <v>869</v>
      </c>
      <c r="O769" s="9" t="s">
        <v>150</v>
      </c>
      <c r="P769" s="9" t="s">
        <v>67</v>
      </c>
      <c r="Q769" s="9" t="s">
        <v>98</v>
      </c>
      <c r="R769" s="9" t="s">
        <v>309</v>
      </c>
      <c r="S769" s="9" t="s">
        <v>310</v>
      </c>
      <c r="T769" s="9" t="s">
        <v>798</v>
      </c>
      <c r="U769" s="9" t="s">
        <v>67</v>
      </c>
      <c r="V769" s="9" t="s">
        <v>311</v>
      </c>
      <c r="W769" s="9" t="s">
        <v>312</v>
      </c>
      <c r="X769" s="11">
        <v>20</v>
      </c>
      <c r="Y769" s="9" t="s">
        <v>490</v>
      </c>
      <c r="Z769" s="9" t="s">
        <v>68</v>
      </c>
      <c r="AA769" s="9" t="s">
        <v>491</v>
      </c>
      <c r="AB769" s="9" t="s">
        <v>67</v>
      </c>
      <c r="AC769" s="9" t="s">
        <v>392</v>
      </c>
      <c r="AD769" s="11">
        <v>24</v>
      </c>
      <c r="AE769" s="9" t="s">
        <v>70</v>
      </c>
      <c r="AF769" s="9" t="s">
        <v>71</v>
      </c>
      <c r="AG769" s="13">
        <v>1</v>
      </c>
      <c r="AH769" s="9" t="s">
        <v>92</v>
      </c>
      <c r="AI769" s="13">
        <v>218181</v>
      </c>
      <c r="AJ769" s="13">
        <v>5236344</v>
      </c>
      <c r="AK769" s="11">
        <v>963488</v>
      </c>
      <c r="AL769" s="11">
        <v>0</v>
      </c>
      <c r="AM769" s="11">
        <v>0</v>
      </c>
      <c r="AN769" s="9" t="s">
        <v>271</v>
      </c>
      <c r="AO769" s="11">
        <v>4272856</v>
      </c>
      <c r="AP769" s="13">
        <v>341828</v>
      </c>
      <c r="AQ769" s="13">
        <v>4614684</v>
      </c>
      <c r="AR769" s="12">
        <v>20.64</v>
      </c>
      <c r="AS769" s="9" t="s">
        <v>72</v>
      </c>
      <c r="AT769" s="11">
        <v>24</v>
      </c>
      <c r="AU769" s="9" t="s">
        <v>73</v>
      </c>
      <c r="AV769" s="9" t="s">
        <v>67</v>
      </c>
      <c r="AW769" s="9" t="s">
        <v>1859</v>
      </c>
      <c r="AX769" s="10">
        <v>46000</v>
      </c>
      <c r="AY769" s="9" t="s">
        <v>1860</v>
      </c>
      <c r="AZ769" s="9" t="s">
        <v>67</v>
      </c>
      <c r="BA769" s="9" t="s">
        <v>67</v>
      </c>
      <c r="BB769" s="12">
        <v>24</v>
      </c>
      <c r="BC769" s="9" t="s">
        <v>74</v>
      </c>
      <c r="BD769" s="9" t="s">
        <v>104</v>
      </c>
      <c r="BE769" s="9" t="s">
        <v>75</v>
      </c>
      <c r="BF769" s="11">
        <v>0</v>
      </c>
      <c r="BG769">
        <f t="shared" si="24"/>
        <v>12</v>
      </c>
      <c r="BH769" t="str">
        <f>VLOOKUP(BG769,[1]month!$A:$B,2,0)</f>
        <v>Desember</v>
      </c>
      <c r="BI769">
        <f t="shared" si="25"/>
        <v>2025</v>
      </c>
      <c r="BJ769" t="str">
        <f>VLOOKUP(I769,[1]Dist!$A:$B,2,0)</f>
        <v>Retail</v>
      </c>
      <c r="BK769" t="str">
        <f>IF(I769=11,VLOOKUP(Y769,[2]Sheet1!$C:$N,10,0),IF(I769=13,VLOOKUP(Y769,[3]Sheet1!$C:$N,10,0),IF(I769=15,VLOOKUP(Y769,[4]Sheet1!$C:$N,10,0),"Unknown")))</f>
        <v>ULTRAN</v>
      </c>
      <c r="BL769" t="str">
        <f>IF(I769=11,VLOOKUP(Y769,[2]Sheet1!$C:$N,12,0),IF(I769=13,VLOOKUP(Y769,[3]Sheet1!$C:$N,12,0),IF(I769=15,VLOOKUP(Y769,[4]Sheet1!$C:$N,12,0),"Unknown")))</f>
        <v>ULTRAN LASUR</v>
      </c>
      <c r="BM769" t="str">
        <f>VLOOKUP(W769,[1]branch!$A:$B,2,0)</f>
        <v>DANANG</v>
      </c>
    </row>
    <row r="770" spans="1:65" x14ac:dyDescent="0.35">
      <c r="A770" s="10">
        <v>46001</v>
      </c>
      <c r="B770" s="9" t="s">
        <v>1858</v>
      </c>
      <c r="C770" s="9" t="s">
        <v>64</v>
      </c>
      <c r="D770" s="9" t="s">
        <v>92</v>
      </c>
      <c r="E770" s="11">
        <v>60</v>
      </c>
      <c r="F770" s="9" t="s">
        <v>93</v>
      </c>
      <c r="G770" s="9" t="s">
        <v>65</v>
      </c>
      <c r="H770" s="9" t="s">
        <v>66</v>
      </c>
      <c r="I770" s="9">
        <v>13</v>
      </c>
      <c r="J770" s="9" t="s">
        <v>309</v>
      </c>
      <c r="K770" s="9" t="s">
        <v>309</v>
      </c>
      <c r="L770" s="9" t="s">
        <v>309</v>
      </c>
      <c r="M770" s="9" t="s">
        <v>310</v>
      </c>
      <c r="N770" s="9" t="s">
        <v>869</v>
      </c>
      <c r="O770" s="9" t="s">
        <v>150</v>
      </c>
      <c r="P770" s="9" t="s">
        <v>67</v>
      </c>
      <c r="Q770" s="9" t="s">
        <v>98</v>
      </c>
      <c r="R770" s="9" t="s">
        <v>309</v>
      </c>
      <c r="S770" s="9" t="s">
        <v>310</v>
      </c>
      <c r="T770" s="9" t="s">
        <v>798</v>
      </c>
      <c r="U770" s="9" t="s">
        <v>67</v>
      </c>
      <c r="V770" s="9" t="s">
        <v>311</v>
      </c>
      <c r="W770" s="9" t="s">
        <v>312</v>
      </c>
      <c r="X770" s="11">
        <v>30</v>
      </c>
      <c r="Y770" s="9" t="s">
        <v>1861</v>
      </c>
      <c r="Z770" s="9" t="s">
        <v>68</v>
      </c>
      <c r="AA770" s="9" t="s">
        <v>1862</v>
      </c>
      <c r="AB770" s="9" t="s">
        <v>67</v>
      </c>
      <c r="AC770" s="9" t="s">
        <v>346</v>
      </c>
      <c r="AD770" s="11">
        <v>24</v>
      </c>
      <c r="AE770" s="9" t="s">
        <v>70</v>
      </c>
      <c r="AF770" s="9" t="s">
        <v>71</v>
      </c>
      <c r="AG770" s="13">
        <v>1</v>
      </c>
      <c r="AH770" s="9" t="s">
        <v>92</v>
      </c>
      <c r="AI770" s="13">
        <v>218181</v>
      </c>
      <c r="AJ770" s="13">
        <v>5236344</v>
      </c>
      <c r="AK770" s="11">
        <v>963488</v>
      </c>
      <c r="AL770" s="11">
        <v>0</v>
      </c>
      <c r="AM770" s="11">
        <v>0</v>
      </c>
      <c r="AN770" s="9" t="s">
        <v>271</v>
      </c>
      <c r="AO770" s="11">
        <v>4272856</v>
      </c>
      <c r="AP770" s="13">
        <v>341828</v>
      </c>
      <c r="AQ770" s="13">
        <v>4614684</v>
      </c>
      <c r="AR770" s="12">
        <v>20.88</v>
      </c>
      <c r="AS770" s="9" t="s">
        <v>72</v>
      </c>
      <c r="AT770" s="11">
        <v>24</v>
      </c>
      <c r="AU770" s="9" t="s">
        <v>73</v>
      </c>
      <c r="AV770" s="9" t="s">
        <v>67</v>
      </c>
      <c r="AW770" s="9" t="s">
        <v>1859</v>
      </c>
      <c r="AX770" s="10">
        <v>46000</v>
      </c>
      <c r="AY770" s="9" t="s">
        <v>1860</v>
      </c>
      <c r="AZ770" s="9" t="s">
        <v>67</v>
      </c>
      <c r="BA770" s="9" t="s">
        <v>67</v>
      </c>
      <c r="BB770" s="12">
        <v>24</v>
      </c>
      <c r="BC770" s="9" t="s">
        <v>74</v>
      </c>
      <c r="BD770" s="9" t="s">
        <v>104</v>
      </c>
      <c r="BE770" s="9" t="s">
        <v>75</v>
      </c>
      <c r="BF770" s="11">
        <v>0</v>
      </c>
      <c r="BG770">
        <f t="shared" si="24"/>
        <v>12</v>
      </c>
      <c r="BH770" t="str">
        <f>VLOOKUP(BG770,[1]month!$A:$B,2,0)</f>
        <v>Desember</v>
      </c>
      <c r="BI770">
        <f t="shared" si="25"/>
        <v>2025</v>
      </c>
      <c r="BJ770" t="str">
        <f>VLOOKUP(I770,[1]Dist!$A:$B,2,0)</f>
        <v>Retail</v>
      </c>
      <c r="BK770" t="str">
        <f>IF(I770=11,VLOOKUP(Y770,[2]Sheet1!$C:$N,10,0),IF(I770=13,VLOOKUP(Y770,[3]Sheet1!$C:$N,10,0),IF(I770=15,VLOOKUP(Y770,[4]Sheet1!$C:$N,10,0),"Unknown")))</f>
        <v>ULTRAN</v>
      </c>
      <c r="BL770" t="str">
        <f>IF(I770=11,VLOOKUP(Y770,[2]Sheet1!$C:$N,12,0),IF(I770=13,VLOOKUP(Y770,[3]Sheet1!$C:$N,12,0),IF(I770=15,VLOOKUP(Y770,[4]Sheet1!$C:$N,12,0),"Unknown")))</f>
        <v>ULTRAN LASUR</v>
      </c>
      <c r="BM770" t="str">
        <f>VLOOKUP(W770,[1]branch!$A:$B,2,0)</f>
        <v>DANANG</v>
      </c>
    </row>
    <row r="771" spans="1:65" x14ac:dyDescent="0.35">
      <c r="A771" s="10">
        <v>46001</v>
      </c>
      <c r="B771" s="9" t="s">
        <v>1858</v>
      </c>
      <c r="C771" s="9" t="s">
        <v>64</v>
      </c>
      <c r="D771" s="9" t="s">
        <v>92</v>
      </c>
      <c r="E771" s="11">
        <v>60</v>
      </c>
      <c r="F771" s="9" t="s">
        <v>93</v>
      </c>
      <c r="G771" s="9" t="s">
        <v>65</v>
      </c>
      <c r="H771" s="9" t="s">
        <v>66</v>
      </c>
      <c r="I771" s="9">
        <v>13</v>
      </c>
      <c r="J771" s="9" t="s">
        <v>309</v>
      </c>
      <c r="K771" s="9" t="s">
        <v>309</v>
      </c>
      <c r="L771" s="9" t="s">
        <v>309</v>
      </c>
      <c r="M771" s="9" t="s">
        <v>310</v>
      </c>
      <c r="N771" s="9" t="s">
        <v>869</v>
      </c>
      <c r="O771" s="9" t="s">
        <v>150</v>
      </c>
      <c r="P771" s="9" t="s">
        <v>67</v>
      </c>
      <c r="Q771" s="9" t="s">
        <v>98</v>
      </c>
      <c r="R771" s="9" t="s">
        <v>309</v>
      </c>
      <c r="S771" s="9" t="s">
        <v>310</v>
      </c>
      <c r="T771" s="9" t="s">
        <v>798</v>
      </c>
      <c r="U771" s="9" t="s">
        <v>67</v>
      </c>
      <c r="V771" s="9" t="s">
        <v>311</v>
      </c>
      <c r="W771" s="9" t="s">
        <v>312</v>
      </c>
      <c r="X771" s="11">
        <v>40</v>
      </c>
      <c r="Y771" s="9" t="s">
        <v>1863</v>
      </c>
      <c r="Z771" s="9" t="s">
        <v>68</v>
      </c>
      <c r="AA771" s="9" t="s">
        <v>1864</v>
      </c>
      <c r="AB771" s="9" t="s">
        <v>67</v>
      </c>
      <c r="AC771" s="9" t="s">
        <v>346</v>
      </c>
      <c r="AD771" s="11">
        <v>24</v>
      </c>
      <c r="AE771" s="9" t="s">
        <v>70</v>
      </c>
      <c r="AF771" s="9" t="s">
        <v>71</v>
      </c>
      <c r="AG771" s="13">
        <v>1</v>
      </c>
      <c r="AH771" s="9" t="s">
        <v>92</v>
      </c>
      <c r="AI771" s="13">
        <v>218181</v>
      </c>
      <c r="AJ771" s="13">
        <v>5236344</v>
      </c>
      <c r="AK771" s="11">
        <v>963488</v>
      </c>
      <c r="AL771" s="11">
        <v>0</v>
      </c>
      <c r="AM771" s="11">
        <v>0</v>
      </c>
      <c r="AN771" s="9" t="s">
        <v>271</v>
      </c>
      <c r="AO771" s="11">
        <v>4272856</v>
      </c>
      <c r="AP771" s="13">
        <v>341828</v>
      </c>
      <c r="AQ771" s="13">
        <v>4614684</v>
      </c>
      <c r="AR771" s="12">
        <v>20.399999999999999</v>
      </c>
      <c r="AS771" s="9" t="s">
        <v>72</v>
      </c>
      <c r="AT771" s="11">
        <v>24</v>
      </c>
      <c r="AU771" s="9" t="s">
        <v>73</v>
      </c>
      <c r="AV771" s="9" t="s">
        <v>67</v>
      </c>
      <c r="AW771" s="9" t="s">
        <v>1859</v>
      </c>
      <c r="AX771" s="10">
        <v>46000</v>
      </c>
      <c r="AY771" s="9" t="s">
        <v>1860</v>
      </c>
      <c r="AZ771" s="9" t="s">
        <v>67</v>
      </c>
      <c r="BA771" s="9" t="s">
        <v>67</v>
      </c>
      <c r="BB771" s="12">
        <v>24</v>
      </c>
      <c r="BC771" s="9" t="s">
        <v>74</v>
      </c>
      <c r="BD771" s="9" t="s">
        <v>104</v>
      </c>
      <c r="BE771" s="9" t="s">
        <v>75</v>
      </c>
      <c r="BF771" s="11">
        <v>0</v>
      </c>
      <c r="BG771">
        <f t="shared" ref="BG771:BG834" si="26">MONTH(A771)</f>
        <v>12</v>
      </c>
      <c r="BH771" t="str">
        <f>VLOOKUP(BG771,[1]month!$A:$B,2,0)</f>
        <v>Desember</v>
      </c>
      <c r="BI771">
        <f t="shared" ref="BI771:BI834" si="27">YEAR(A771)</f>
        <v>2025</v>
      </c>
      <c r="BJ771" t="str">
        <f>VLOOKUP(I771,[1]Dist!$A:$B,2,0)</f>
        <v>Retail</v>
      </c>
      <c r="BK771" t="str">
        <f>IF(I771=11,VLOOKUP(Y771,[2]Sheet1!$C:$N,10,0),IF(I771=13,VLOOKUP(Y771,[3]Sheet1!$C:$N,10,0),IF(I771=15,VLOOKUP(Y771,[4]Sheet1!$C:$N,10,0),"Unknown")))</f>
        <v>ULTRAN</v>
      </c>
      <c r="BL771" t="str">
        <f>IF(I771=11,VLOOKUP(Y771,[2]Sheet1!$C:$N,12,0),IF(I771=13,VLOOKUP(Y771,[3]Sheet1!$C:$N,12,0),IF(I771=15,VLOOKUP(Y771,[4]Sheet1!$C:$N,12,0),"Unknown")))</f>
        <v>ULTRAN LASUR</v>
      </c>
      <c r="BM771" t="str">
        <f>VLOOKUP(W771,[1]branch!$A:$B,2,0)</f>
        <v>DANANG</v>
      </c>
    </row>
    <row r="772" spans="1:65" x14ac:dyDescent="0.35">
      <c r="A772" s="10">
        <v>46001</v>
      </c>
      <c r="B772" s="9" t="s">
        <v>1858</v>
      </c>
      <c r="C772" s="9" t="s">
        <v>64</v>
      </c>
      <c r="D772" s="9" t="s">
        <v>92</v>
      </c>
      <c r="E772" s="11">
        <v>60</v>
      </c>
      <c r="F772" s="9" t="s">
        <v>93</v>
      </c>
      <c r="G772" s="9" t="s">
        <v>65</v>
      </c>
      <c r="H772" s="9" t="s">
        <v>66</v>
      </c>
      <c r="I772" s="9">
        <v>13</v>
      </c>
      <c r="J772" s="9" t="s">
        <v>309</v>
      </c>
      <c r="K772" s="9" t="s">
        <v>309</v>
      </c>
      <c r="L772" s="9" t="s">
        <v>309</v>
      </c>
      <c r="M772" s="9" t="s">
        <v>310</v>
      </c>
      <c r="N772" s="9" t="s">
        <v>869</v>
      </c>
      <c r="O772" s="9" t="s">
        <v>150</v>
      </c>
      <c r="P772" s="9" t="s">
        <v>67</v>
      </c>
      <c r="Q772" s="9" t="s">
        <v>98</v>
      </c>
      <c r="R772" s="9" t="s">
        <v>309</v>
      </c>
      <c r="S772" s="9" t="s">
        <v>310</v>
      </c>
      <c r="T772" s="9" t="s">
        <v>798</v>
      </c>
      <c r="U772" s="9" t="s">
        <v>67</v>
      </c>
      <c r="V772" s="9" t="s">
        <v>311</v>
      </c>
      <c r="W772" s="9" t="s">
        <v>312</v>
      </c>
      <c r="X772" s="11">
        <v>50</v>
      </c>
      <c r="Y772" s="9" t="s">
        <v>344</v>
      </c>
      <c r="Z772" s="9" t="s">
        <v>68</v>
      </c>
      <c r="AA772" s="9" t="s">
        <v>345</v>
      </c>
      <c r="AB772" s="9" t="s">
        <v>67</v>
      </c>
      <c r="AC772" s="9" t="s">
        <v>346</v>
      </c>
      <c r="AD772" s="11">
        <v>24</v>
      </c>
      <c r="AE772" s="9" t="s">
        <v>70</v>
      </c>
      <c r="AF772" s="9" t="s">
        <v>71</v>
      </c>
      <c r="AG772" s="13">
        <v>1</v>
      </c>
      <c r="AH772" s="9" t="s">
        <v>92</v>
      </c>
      <c r="AI772" s="13">
        <v>218181</v>
      </c>
      <c r="AJ772" s="13">
        <v>5236344</v>
      </c>
      <c r="AK772" s="11">
        <v>963488</v>
      </c>
      <c r="AL772" s="11">
        <v>0</v>
      </c>
      <c r="AM772" s="11">
        <v>0</v>
      </c>
      <c r="AN772" s="9" t="s">
        <v>271</v>
      </c>
      <c r="AO772" s="11">
        <v>4272856</v>
      </c>
      <c r="AP772" s="13">
        <v>341828</v>
      </c>
      <c r="AQ772" s="13">
        <v>4614684</v>
      </c>
      <c r="AR772" s="12">
        <v>20.399999999999999</v>
      </c>
      <c r="AS772" s="9" t="s">
        <v>72</v>
      </c>
      <c r="AT772" s="11">
        <v>24</v>
      </c>
      <c r="AU772" s="9" t="s">
        <v>73</v>
      </c>
      <c r="AV772" s="9" t="s">
        <v>67</v>
      </c>
      <c r="AW772" s="9" t="s">
        <v>1859</v>
      </c>
      <c r="AX772" s="10">
        <v>46000</v>
      </c>
      <c r="AY772" s="9" t="s">
        <v>1860</v>
      </c>
      <c r="AZ772" s="9" t="s">
        <v>67</v>
      </c>
      <c r="BA772" s="9" t="s">
        <v>67</v>
      </c>
      <c r="BB772" s="12">
        <v>24</v>
      </c>
      <c r="BC772" s="9" t="s">
        <v>74</v>
      </c>
      <c r="BD772" s="9" t="s">
        <v>104</v>
      </c>
      <c r="BE772" s="9" t="s">
        <v>75</v>
      </c>
      <c r="BF772" s="11">
        <v>0</v>
      </c>
      <c r="BG772">
        <f t="shared" si="26"/>
        <v>12</v>
      </c>
      <c r="BH772" t="str">
        <f>VLOOKUP(BG772,[1]month!$A:$B,2,0)</f>
        <v>Desember</v>
      </c>
      <c r="BI772">
        <f t="shared" si="27"/>
        <v>2025</v>
      </c>
      <c r="BJ772" t="str">
        <f>VLOOKUP(I772,[1]Dist!$A:$B,2,0)</f>
        <v>Retail</v>
      </c>
      <c r="BK772" t="str">
        <f>IF(I772=11,VLOOKUP(Y772,[2]Sheet1!$C:$N,10,0),IF(I772=13,VLOOKUP(Y772,[3]Sheet1!$C:$N,10,0),IF(I772=15,VLOOKUP(Y772,[4]Sheet1!$C:$N,10,0),"Unknown")))</f>
        <v>ULTRAN</v>
      </c>
      <c r="BL772" t="str">
        <f>IF(I772=11,VLOOKUP(Y772,[2]Sheet1!$C:$N,12,0),IF(I772=13,VLOOKUP(Y772,[3]Sheet1!$C:$N,12,0),IF(I772=15,VLOOKUP(Y772,[4]Sheet1!$C:$N,12,0),"Unknown")))</f>
        <v>ULTRAN LASUR</v>
      </c>
      <c r="BM772" t="str">
        <f>VLOOKUP(W772,[1]branch!$A:$B,2,0)</f>
        <v>DANANG</v>
      </c>
    </row>
    <row r="773" spans="1:65" x14ac:dyDescent="0.35">
      <c r="A773" s="10">
        <v>46001</v>
      </c>
      <c r="B773" s="9" t="s">
        <v>1858</v>
      </c>
      <c r="C773" s="9" t="s">
        <v>64</v>
      </c>
      <c r="D773" s="9" t="s">
        <v>92</v>
      </c>
      <c r="E773" s="11">
        <v>60</v>
      </c>
      <c r="F773" s="9" t="s">
        <v>93</v>
      </c>
      <c r="G773" s="9" t="s">
        <v>65</v>
      </c>
      <c r="H773" s="9" t="s">
        <v>66</v>
      </c>
      <c r="I773" s="9">
        <v>13</v>
      </c>
      <c r="J773" s="9" t="s">
        <v>309</v>
      </c>
      <c r="K773" s="9" t="s">
        <v>309</v>
      </c>
      <c r="L773" s="9" t="s">
        <v>309</v>
      </c>
      <c r="M773" s="9" t="s">
        <v>310</v>
      </c>
      <c r="N773" s="9" t="s">
        <v>869</v>
      </c>
      <c r="O773" s="9" t="s">
        <v>150</v>
      </c>
      <c r="P773" s="9" t="s">
        <v>67</v>
      </c>
      <c r="Q773" s="9" t="s">
        <v>98</v>
      </c>
      <c r="R773" s="9" t="s">
        <v>309</v>
      </c>
      <c r="S773" s="9" t="s">
        <v>310</v>
      </c>
      <c r="T773" s="9" t="s">
        <v>798</v>
      </c>
      <c r="U773" s="9" t="s">
        <v>67</v>
      </c>
      <c r="V773" s="9" t="s">
        <v>311</v>
      </c>
      <c r="W773" s="9" t="s">
        <v>312</v>
      </c>
      <c r="X773" s="11">
        <v>60</v>
      </c>
      <c r="Y773" s="9" t="s">
        <v>1865</v>
      </c>
      <c r="Z773" s="9" t="s">
        <v>68</v>
      </c>
      <c r="AA773" s="9" t="s">
        <v>1866</v>
      </c>
      <c r="AB773" s="9" t="s">
        <v>67</v>
      </c>
      <c r="AC773" s="9" t="s">
        <v>320</v>
      </c>
      <c r="AD773" s="11">
        <v>2</v>
      </c>
      <c r="AE773" s="9" t="s">
        <v>70</v>
      </c>
      <c r="AF773" s="9" t="s">
        <v>71</v>
      </c>
      <c r="AG773" s="13">
        <v>1</v>
      </c>
      <c r="AH773" s="9" t="s">
        <v>92</v>
      </c>
      <c r="AI773" s="13">
        <v>3006364</v>
      </c>
      <c r="AJ773" s="13">
        <v>6012728</v>
      </c>
      <c r="AK773" s="11">
        <v>1106342</v>
      </c>
      <c r="AL773" s="11">
        <v>0</v>
      </c>
      <c r="AM773" s="11">
        <v>0</v>
      </c>
      <c r="AN773" s="9" t="s">
        <v>271</v>
      </c>
      <c r="AO773" s="11">
        <v>4906386</v>
      </c>
      <c r="AP773" s="13">
        <v>392511</v>
      </c>
      <c r="AQ773" s="13">
        <v>5298897</v>
      </c>
      <c r="AR773" s="11">
        <v>32</v>
      </c>
      <c r="AS773" s="9" t="s">
        <v>72</v>
      </c>
      <c r="AT773" s="12">
        <v>26.66</v>
      </c>
      <c r="AU773" s="9" t="s">
        <v>73</v>
      </c>
      <c r="AV773" s="9" t="s">
        <v>67</v>
      </c>
      <c r="AW773" s="9" t="s">
        <v>1859</v>
      </c>
      <c r="AX773" s="10">
        <v>46000</v>
      </c>
      <c r="AY773" s="9" t="s">
        <v>1860</v>
      </c>
      <c r="AZ773" s="9" t="s">
        <v>67</v>
      </c>
      <c r="BA773" s="9" t="s">
        <v>67</v>
      </c>
      <c r="BB773" s="12">
        <v>32</v>
      </c>
      <c r="BC773" s="9" t="s">
        <v>74</v>
      </c>
      <c r="BD773" s="9" t="s">
        <v>104</v>
      </c>
      <c r="BE773" s="9" t="s">
        <v>75</v>
      </c>
      <c r="BF773" s="11">
        <v>0</v>
      </c>
      <c r="BG773">
        <f t="shared" si="26"/>
        <v>12</v>
      </c>
      <c r="BH773" t="str">
        <f>VLOOKUP(BG773,[1]month!$A:$B,2,0)</f>
        <v>Desember</v>
      </c>
      <c r="BI773">
        <f t="shared" si="27"/>
        <v>2025</v>
      </c>
      <c r="BJ773" t="str">
        <f>VLOOKUP(I773,[1]Dist!$A:$B,2,0)</f>
        <v>Retail</v>
      </c>
      <c r="BK773" t="str">
        <f>IF(I773=11,VLOOKUP(Y773,[2]Sheet1!$C:$N,10,0),IF(I773=13,VLOOKUP(Y773,[3]Sheet1!$C:$N,10,0),IF(I773=15,VLOOKUP(Y773,[4]Sheet1!$C:$N,10,0),"Unknown")))</f>
        <v>PU MULTIPURPOSE</v>
      </c>
      <c r="BL773" t="str">
        <f>IF(I773=11,VLOOKUP(Y773,[2]Sheet1!$C:$N,12,0),IF(I773=13,VLOOKUP(Y773,[3]Sheet1!$C:$N,12,0),IF(I773=15,VLOOKUP(Y773,[4]Sheet1!$C:$N,12,0),"Unknown")))</f>
        <v>PROPAN MP PU ACR RMX</v>
      </c>
      <c r="BM773" t="str">
        <f>VLOOKUP(W773,[1]branch!$A:$B,2,0)</f>
        <v>DANANG</v>
      </c>
    </row>
    <row r="774" spans="1:65" x14ac:dyDescent="0.35">
      <c r="A774" s="10">
        <v>46001</v>
      </c>
      <c r="B774" s="9" t="s">
        <v>1858</v>
      </c>
      <c r="C774" s="9" t="s">
        <v>64</v>
      </c>
      <c r="D774" s="9" t="s">
        <v>92</v>
      </c>
      <c r="E774" s="11">
        <v>60</v>
      </c>
      <c r="F774" s="9" t="s">
        <v>93</v>
      </c>
      <c r="G774" s="9" t="s">
        <v>65</v>
      </c>
      <c r="H774" s="9" t="s">
        <v>66</v>
      </c>
      <c r="I774" s="9">
        <v>13</v>
      </c>
      <c r="J774" s="9" t="s">
        <v>309</v>
      </c>
      <c r="K774" s="9" t="s">
        <v>309</v>
      </c>
      <c r="L774" s="9" t="s">
        <v>309</v>
      </c>
      <c r="M774" s="9" t="s">
        <v>310</v>
      </c>
      <c r="N774" s="9" t="s">
        <v>869</v>
      </c>
      <c r="O774" s="9" t="s">
        <v>150</v>
      </c>
      <c r="P774" s="9" t="s">
        <v>67</v>
      </c>
      <c r="Q774" s="9" t="s">
        <v>98</v>
      </c>
      <c r="R774" s="9" t="s">
        <v>309</v>
      </c>
      <c r="S774" s="9" t="s">
        <v>310</v>
      </c>
      <c r="T774" s="9" t="s">
        <v>798</v>
      </c>
      <c r="U774" s="9" t="s">
        <v>67</v>
      </c>
      <c r="V774" s="9" t="s">
        <v>311</v>
      </c>
      <c r="W774" s="9" t="s">
        <v>312</v>
      </c>
      <c r="X774" s="11">
        <v>70</v>
      </c>
      <c r="Y774" s="9" t="s">
        <v>1867</v>
      </c>
      <c r="Z774" s="9" t="s">
        <v>68</v>
      </c>
      <c r="AA774" s="9" t="s">
        <v>1868</v>
      </c>
      <c r="AB774" s="9" t="s">
        <v>67</v>
      </c>
      <c r="AC774" s="9" t="s">
        <v>321</v>
      </c>
      <c r="AD774" s="11">
        <v>2</v>
      </c>
      <c r="AE774" s="9" t="s">
        <v>70</v>
      </c>
      <c r="AF774" s="9" t="s">
        <v>71</v>
      </c>
      <c r="AG774" s="13">
        <v>1</v>
      </c>
      <c r="AH774" s="9" t="s">
        <v>92</v>
      </c>
      <c r="AI774" s="13">
        <v>1772727</v>
      </c>
      <c r="AJ774" s="13">
        <v>3545454</v>
      </c>
      <c r="AK774" s="11">
        <v>652363</v>
      </c>
      <c r="AL774" s="11">
        <v>0</v>
      </c>
      <c r="AM774" s="11">
        <v>0</v>
      </c>
      <c r="AN774" s="9" t="s">
        <v>271</v>
      </c>
      <c r="AO774" s="11">
        <v>2893091</v>
      </c>
      <c r="AP774" s="13">
        <v>231447</v>
      </c>
      <c r="AQ774" s="13">
        <v>3124538</v>
      </c>
      <c r="AR774" s="11">
        <v>32</v>
      </c>
      <c r="AS774" s="9" t="s">
        <v>72</v>
      </c>
      <c r="AT774" s="12">
        <v>30.76</v>
      </c>
      <c r="AU774" s="9" t="s">
        <v>73</v>
      </c>
      <c r="AV774" s="9" t="s">
        <v>67</v>
      </c>
      <c r="AW774" s="9" t="s">
        <v>1859</v>
      </c>
      <c r="AX774" s="10">
        <v>46000</v>
      </c>
      <c r="AY774" s="9" t="s">
        <v>1860</v>
      </c>
      <c r="AZ774" s="9" t="s">
        <v>67</v>
      </c>
      <c r="BA774" s="9" t="s">
        <v>67</v>
      </c>
      <c r="BB774" s="12">
        <v>32</v>
      </c>
      <c r="BC774" s="9" t="s">
        <v>74</v>
      </c>
      <c r="BD774" s="9" t="s">
        <v>104</v>
      </c>
      <c r="BE774" s="9" t="s">
        <v>75</v>
      </c>
      <c r="BF774" s="11">
        <v>0</v>
      </c>
      <c r="BG774">
        <f t="shared" si="26"/>
        <v>12</v>
      </c>
      <c r="BH774" t="str">
        <f>VLOOKUP(BG774,[1]month!$A:$B,2,0)</f>
        <v>Desember</v>
      </c>
      <c r="BI774">
        <f t="shared" si="27"/>
        <v>2025</v>
      </c>
      <c r="BJ774" t="str">
        <f>VLOOKUP(I774,[1]Dist!$A:$B,2,0)</f>
        <v>Retail</v>
      </c>
      <c r="BK774" t="str">
        <f>IF(I774=11,VLOOKUP(Y774,[2]Sheet1!$C:$N,10,0),IF(I774=13,VLOOKUP(Y774,[3]Sheet1!$C:$N,10,0),IF(I774=15,VLOOKUP(Y774,[4]Sheet1!$C:$N,10,0),"Unknown")))</f>
        <v>PU EASY TO USE</v>
      </c>
      <c r="BL774" t="str">
        <f>IF(I774=11,VLOOKUP(Y774,[2]Sheet1!$C:$N,12,0),IF(I774=13,VLOOKUP(Y774,[3]Sheet1!$C:$N,12,0),IF(I774=15,VLOOKUP(Y774,[4]Sheet1!$C:$N,12,0),"Unknown")))</f>
        <v>PROPAN EASY TO USE PU</v>
      </c>
      <c r="BM774" t="str">
        <f>VLOOKUP(W774,[1]branch!$A:$B,2,0)</f>
        <v>DANANG</v>
      </c>
    </row>
    <row r="775" spans="1:65" x14ac:dyDescent="0.35">
      <c r="A775" s="10">
        <v>46001</v>
      </c>
      <c r="B775" s="9" t="s">
        <v>1858</v>
      </c>
      <c r="C775" s="9" t="s">
        <v>64</v>
      </c>
      <c r="D775" s="9" t="s">
        <v>92</v>
      </c>
      <c r="E775" s="11">
        <v>60</v>
      </c>
      <c r="F775" s="9" t="s">
        <v>93</v>
      </c>
      <c r="G775" s="9" t="s">
        <v>65</v>
      </c>
      <c r="H775" s="9" t="s">
        <v>66</v>
      </c>
      <c r="I775" s="9">
        <v>13</v>
      </c>
      <c r="J775" s="9" t="s">
        <v>309</v>
      </c>
      <c r="K775" s="9" t="s">
        <v>309</v>
      </c>
      <c r="L775" s="9" t="s">
        <v>309</v>
      </c>
      <c r="M775" s="9" t="s">
        <v>310</v>
      </c>
      <c r="N775" s="9" t="s">
        <v>869</v>
      </c>
      <c r="O775" s="9" t="s">
        <v>150</v>
      </c>
      <c r="P775" s="9" t="s">
        <v>67</v>
      </c>
      <c r="Q775" s="9" t="s">
        <v>98</v>
      </c>
      <c r="R775" s="9" t="s">
        <v>309</v>
      </c>
      <c r="S775" s="9" t="s">
        <v>310</v>
      </c>
      <c r="T775" s="9" t="s">
        <v>798</v>
      </c>
      <c r="U775" s="9" t="s">
        <v>67</v>
      </c>
      <c r="V775" s="9" t="s">
        <v>311</v>
      </c>
      <c r="W775" s="9" t="s">
        <v>312</v>
      </c>
      <c r="X775" s="11">
        <v>80</v>
      </c>
      <c r="Y775" s="9" t="s">
        <v>322</v>
      </c>
      <c r="Z775" s="9" t="s">
        <v>68</v>
      </c>
      <c r="AA775" s="9" t="s">
        <v>323</v>
      </c>
      <c r="AB775" s="9" t="s">
        <v>67</v>
      </c>
      <c r="AC775" s="9" t="s">
        <v>321</v>
      </c>
      <c r="AD775" s="11">
        <v>4</v>
      </c>
      <c r="AE775" s="9" t="s">
        <v>70</v>
      </c>
      <c r="AF775" s="9" t="s">
        <v>71</v>
      </c>
      <c r="AG775" s="13">
        <v>1</v>
      </c>
      <c r="AH775" s="9" t="s">
        <v>92</v>
      </c>
      <c r="AI775" s="13">
        <v>1666364</v>
      </c>
      <c r="AJ775" s="13">
        <v>6665456</v>
      </c>
      <c r="AK775" s="11">
        <v>1226444</v>
      </c>
      <c r="AL775" s="11">
        <v>0</v>
      </c>
      <c r="AM775" s="11">
        <v>0</v>
      </c>
      <c r="AN775" s="9" t="s">
        <v>271</v>
      </c>
      <c r="AO775" s="11">
        <v>5439012</v>
      </c>
      <c r="AP775" s="13">
        <v>435121</v>
      </c>
      <c r="AQ775" s="13">
        <v>5874133</v>
      </c>
      <c r="AR775" s="11">
        <v>64</v>
      </c>
      <c r="AS775" s="9" t="s">
        <v>72</v>
      </c>
      <c r="AT775" s="12">
        <v>61.52</v>
      </c>
      <c r="AU775" s="9" t="s">
        <v>73</v>
      </c>
      <c r="AV775" s="9" t="s">
        <v>67</v>
      </c>
      <c r="AW775" s="9" t="s">
        <v>1859</v>
      </c>
      <c r="AX775" s="10">
        <v>46000</v>
      </c>
      <c r="AY775" s="9" t="s">
        <v>1860</v>
      </c>
      <c r="AZ775" s="9" t="s">
        <v>67</v>
      </c>
      <c r="BA775" s="9" t="s">
        <v>67</v>
      </c>
      <c r="BB775" s="12">
        <v>64</v>
      </c>
      <c r="BC775" s="9" t="s">
        <v>74</v>
      </c>
      <c r="BD775" s="9" t="s">
        <v>104</v>
      </c>
      <c r="BE775" s="9" t="s">
        <v>75</v>
      </c>
      <c r="BF775" s="11">
        <v>0</v>
      </c>
      <c r="BG775">
        <f t="shared" si="26"/>
        <v>12</v>
      </c>
      <c r="BH775" t="str">
        <f>VLOOKUP(BG775,[1]month!$A:$B,2,0)</f>
        <v>Desember</v>
      </c>
      <c r="BI775">
        <f t="shared" si="27"/>
        <v>2025</v>
      </c>
      <c r="BJ775" t="str">
        <f>VLOOKUP(I775,[1]Dist!$A:$B,2,0)</f>
        <v>Retail</v>
      </c>
      <c r="BK775" t="str">
        <f>IF(I775=11,VLOOKUP(Y775,[2]Sheet1!$C:$N,10,0),IF(I775=13,VLOOKUP(Y775,[3]Sheet1!$C:$N,10,0),IF(I775=15,VLOOKUP(Y775,[4]Sheet1!$C:$N,10,0),"Unknown")))</f>
        <v>PU EASY TO USE</v>
      </c>
      <c r="BL775" t="str">
        <f>IF(I775=11,VLOOKUP(Y775,[2]Sheet1!$C:$N,12,0),IF(I775=13,VLOOKUP(Y775,[3]Sheet1!$C:$N,12,0),IF(I775=15,VLOOKUP(Y775,[4]Sheet1!$C:$N,12,0),"Unknown")))</f>
        <v>PROPAN EASY TO USE PU</v>
      </c>
      <c r="BM775" t="str">
        <f>VLOOKUP(W775,[1]branch!$A:$B,2,0)</f>
        <v>DANANG</v>
      </c>
    </row>
    <row r="776" spans="1:65" x14ac:dyDescent="0.35">
      <c r="A776" s="10">
        <v>46001</v>
      </c>
      <c r="B776" s="9" t="s">
        <v>1858</v>
      </c>
      <c r="C776" s="9" t="s">
        <v>64</v>
      </c>
      <c r="D776" s="9" t="s">
        <v>92</v>
      </c>
      <c r="E776" s="11">
        <v>60</v>
      </c>
      <c r="F776" s="9" t="s">
        <v>93</v>
      </c>
      <c r="G776" s="9" t="s">
        <v>65</v>
      </c>
      <c r="H776" s="9" t="s">
        <v>66</v>
      </c>
      <c r="I776" s="9">
        <v>13</v>
      </c>
      <c r="J776" s="9" t="s">
        <v>309</v>
      </c>
      <c r="K776" s="9" t="s">
        <v>309</v>
      </c>
      <c r="L776" s="9" t="s">
        <v>309</v>
      </c>
      <c r="M776" s="9" t="s">
        <v>310</v>
      </c>
      <c r="N776" s="9" t="s">
        <v>869</v>
      </c>
      <c r="O776" s="9" t="s">
        <v>150</v>
      </c>
      <c r="P776" s="9" t="s">
        <v>67</v>
      </c>
      <c r="Q776" s="9" t="s">
        <v>98</v>
      </c>
      <c r="R776" s="9" t="s">
        <v>309</v>
      </c>
      <c r="S776" s="9" t="s">
        <v>310</v>
      </c>
      <c r="T776" s="9" t="s">
        <v>798</v>
      </c>
      <c r="U776" s="9" t="s">
        <v>67</v>
      </c>
      <c r="V776" s="9" t="s">
        <v>311</v>
      </c>
      <c r="W776" s="9" t="s">
        <v>312</v>
      </c>
      <c r="X776" s="11">
        <v>90</v>
      </c>
      <c r="Y776" s="9" t="s">
        <v>1869</v>
      </c>
      <c r="Z776" s="9" t="s">
        <v>68</v>
      </c>
      <c r="AA776" s="9" t="s">
        <v>1870</v>
      </c>
      <c r="AB776" s="9" t="s">
        <v>67</v>
      </c>
      <c r="AC776" s="9" t="s">
        <v>321</v>
      </c>
      <c r="AD776" s="11">
        <v>2</v>
      </c>
      <c r="AE776" s="9" t="s">
        <v>70</v>
      </c>
      <c r="AF776" s="9" t="s">
        <v>71</v>
      </c>
      <c r="AG776" s="13">
        <v>1</v>
      </c>
      <c r="AH776" s="9" t="s">
        <v>92</v>
      </c>
      <c r="AI776" s="13">
        <v>1666364</v>
      </c>
      <c r="AJ776" s="13">
        <v>3332728</v>
      </c>
      <c r="AK776" s="11">
        <v>613222</v>
      </c>
      <c r="AL776" s="11">
        <v>0</v>
      </c>
      <c r="AM776" s="11">
        <v>0</v>
      </c>
      <c r="AN776" s="9" t="s">
        <v>271</v>
      </c>
      <c r="AO776" s="11">
        <v>2719506</v>
      </c>
      <c r="AP776" s="13">
        <v>217560</v>
      </c>
      <c r="AQ776" s="13">
        <v>2937066</v>
      </c>
      <c r="AR776" s="11">
        <v>32</v>
      </c>
      <c r="AS776" s="9" t="s">
        <v>72</v>
      </c>
      <c r="AT776" s="12">
        <v>30.76</v>
      </c>
      <c r="AU776" s="9" t="s">
        <v>73</v>
      </c>
      <c r="AV776" s="9" t="s">
        <v>67</v>
      </c>
      <c r="AW776" s="9" t="s">
        <v>1859</v>
      </c>
      <c r="AX776" s="10">
        <v>46000</v>
      </c>
      <c r="AY776" s="9" t="s">
        <v>1860</v>
      </c>
      <c r="AZ776" s="9" t="s">
        <v>67</v>
      </c>
      <c r="BA776" s="9" t="s">
        <v>67</v>
      </c>
      <c r="BB776" s="12">
        <v>32</v>
      </c>
      <c r="BC776" s="9" t="s">
        <v>74</v>
      </c>
      <c r="BD776" s="9" t="s">
        <v>104</v>
      </c>
      <c r="BE776" s="9" t="s">
        <v>75</v>
      </c>
      <c r="BF776" s="11">
        <v>0</v>
      </c>
      <c r="BG776">
        <f t="shared" si="26"/>
        <v>12</v>
      </c>
      <c r="BH776" t="str">
        <f>VLOOKUP(BG776,[1]month!$A:$B,2,0)</f>
        <v>Desember</v>
      </c>
      <c r="BI776">
        <f t="shared" si="27"/>
        <v>2025</v>
      </c>
      <c r="BJ776" t="str">
        <f>VLOOKUP(I776,[1]Dist!$A:$B,2,0)</f>
        <v>Retail</v>
      </c>
      <c r="BK776" t="str">
        <f>IF(I776=11,VLOOKUP(Y776,[2]Sheet1!$C:$N,10,0),IF(I776=13,VLOOKUP(Y776,[3]Sheet1!$C:$N,10,0),IF(I776=15,VLOOKUP(Y776,[4]Sheet1!$C:$N,10,0),"Unknown")))</f>
        <v>PU EASY TO USE</v>
      </c>
      <c r="BL776" t="str">
        <f>IF(I776=11,VLOOKUP(Y776,[2]Sheet1!$C:$N,12,0),IF(I776=13,VLOOKUP(Y776,[3]Sheet1!$C:$N,12,0),IF(I776=15,VLOOKUP(Y776,[4]Sheet1!$C:$N,12,0),"Unknown")))</f>
        <v>PROPAN EASY TO USE PU</v>
      </c>
      <c r="BM776" t="str">
        <f>VLOOKUP(W776,[1]branch!$A:$B,2,0)</f>
        <v>DANANG</v>
      </c>
    </row>
    <row r="777" spans="1:65" x14ac:dyDescent="0.35">
      <c r="A777" s="10">
        <v>46001</v>
      </c>
      <c r="B777" s="9" t="s">
        <v>1858</v>
      </c>
      <c r="C777" s="9" t="s">
        <v>64</v>
      </c>
      <c r="D777" s="9" t="s">
        <v>92</v>
      </c>
      <c r="E777" s="11">
        <v>60</v>
      </c>
      <c r="F777" s="9" t="s">
        <v>93</v>
      </c>
      <c r="G777" s="9" t="s">
        <v>65</v>
      </c>
      <c r="H777" s="9" t="s">
        <v>66</v>
      </c>
      <c r="I777" s="9">
        <v>13</v>
      </c>
      <c r="J777" s="9" t="s">
        <v>309</v>
      </c>
      <c r="K777" s="9" t="s">
        <v>309</v>
      </c>
      <c r="L777" s="9" t="s">
        <v>309</v>
      </c>
      <c r="M777" s="9" t="s">
        <v>310</v>
      </c>
      <c r="N777" s="9" t="s">
        <v>869</v>
      </c>
      <c r="O777" s="9" t="s">
        <v>150</v>
      </c>
      <c r="P777" s="9" t="s">
        <v>67</v>
      </c>
      <c r="Q777" s="9" t="s">
        <v>98</v>
      </c>
      <c r="R777" s="9" t="s">
        <v>309</v>
      </c>
      <c r="S777" s="9" t="s">
        <v>310</v>
      </c>
      <c r="T777" s="9" t="s">
        <v>798</v>
      </c>
      <c r="U777" s="9" t="s">
        <v>67</v>
      </c>
      <c r="V777" s="9" t="s">
        <v>311</v>
      </c>
      <c r="W777" s="9" t="s">
        <v>312</v>
      </c>
      <c r="X777" s="11">
        <v>100</v>
      </c>
      <c r="Y777" s="9" t="s">
        <v>1647</v>
      </c>
      <c r="Z777" s="9" t="s">
        <v>68</v>
      </c>
      <c r="AA777" s="9" t="s">
        <v>1648</v>
      </c>
      <c r="AB777" s="9" t="s">
        <v>67</v>
      </c>
      <c r="AC777" s="9" t="s">
        <v>1649</v>
      </c>
      <c r="AD777" s="11">
        <v>4</v>
      </c>
      <c r="AE777" s="9" t="s">
        <v>70</v>
      </c>
      <c r="AF777" s="9" t="s">
        <v>71</v>
      </c>
      <c r="AG777" s="13">
        <v>1</v>
      </c>
      <c r="AH777" s="9" t="s">
        <v>92</v>
      </c>
      <c r="AI777" s="13">
        <v>1437273</v>
      </c>
      <c r="AJ777" s="13">
        <v>5749092</v>
      </c>
      <c r="AK777" s="11">
        <v>1057833</v>
      </c>
      <c r="AL777" s="11">
        <v>0</v>
      </c>
      <c r="AM777" s="11">
        <v>0</v>
      </c>
      <c r="AN777" s="9" t="s">
        <v>271</v>
      </c>
      <c r="AO777" s="11">
        <v>4691259</v>
      </c>
      <c r="AP777" s="13">
        <v>375301</v>
      </c>
      <c r="AQ777" s="13">
        <v>5066560</v>
      </c>
      <c r="AR777" s="11">
        <v>64</v>
      </c>
      <c r="AS777" s="9" t="s">
        <v>72</v>
      </c>
      <c r="AT777" s="12">
        <v>81.92</v>
      </c>
      <c r="AU777" s="9" t="s">
        <v>73</v>
      </c>
      <c r="AV777" s="9" t="s">
        <v>67</v>
      </c>
      <c r="AW777" s="9" t="s">
        <v>1859</v>
      </c>
      <c r="AX777" s="10">
        <v>46000</v>
      </c>
      <c r="AY777" s="9" t="s">
        <v>1860</v>
      </c>
      <c r="AZ777" s="9" t="s">
        <v>67</v>
      </c>
      <c r="BA777" s="9" t="s">
        <v>67</v>
      </c>
      <c r="BB777" s="12">
        <v>64</v>
      </c>
      <c r="BC777" s="9" t="s">
        <v>74</v>
      </c>
      <c r="BD777" s="9" t="s">
        <v>104</v>
      </c>
      <c r="BE777" s="9" t="s">
        <v>75</v>
      </c>
      <c r="BF777" s="11">
        <v>0</v>
      </c>
      <c r="BG777">
        <f t="shared" si="26"/>
        <v>12</v>
      </c>
      <c r="BH777" t="str">
        <f>VLOOKUP(BG777,[1]month!$A:$B,2,0)</f>
        <v>Desember</v>
      </c>
      <c r="BI777">
        <f t="shared" si="27"/>
        <v>2025</v>
      </c>
      <c r="BJ777" t="str">
        <f>VLOOKUP(I777,[1]Dist!$A:$B,2,0)</f>
        <v>Retail</v>
      </c>
      <c r="BK777" t="str">
        <f>IF(I777=11,VLOOKUP(Y777,[2]Sheet1!$C:$N,10,0),IF(I777=13,VLOOKUP(Y777,[3]Sheet1!$C:$N,10,0),IF(I777=15,VLOOKUP(Y777,[4]Sheet1!$C:$N,10,0),"Unknown")))</f>
        <v>PU MULTIPURPOSE</v>
      </c>
      <c r="BL777" t="str">
        <f>IF(I777=11,VLOOKUP(Y777,[2]Sheet1!$C:$N,12,0),IF(I777=13,VLOOKUP(Y777,[3]Sheet1!$C:$N,12,0),IF(I777=15,VLOOKUP(Y777,[4]Sheet1!$C:$N,12,0),"Unknown")))</f>
        <v>PROPAN MP PU ACR RMX</v>
      </c>
      <c r="BM777" t="str">
        <f>VLOOKUP(W777,[1]branch!$A:$B,2,0)</f>
        <v>DANANG</v>
      </c>
    </row>
    <row r="778" spans="1:65" x14ac:dyDescent="0.35">
      <c r="A778" s="10">
        <v>46001</v>
      </c>
      <c r="B778" s="9" t="s">
        <v>1858</v>
      </c>
      <c r="C778" s="9" t="s">
        <v>64</v>
      </c>
      <c r="D778" s="9" t="s">
        <v>92</v>
      </c>
      <c r="E778" s="11">
        <v>60</v>
      </c>
      <c r="F778" s="9" t="s">
        <v>93</v>
      </c>
      <c r="G778" s="9" t="s">
        <v>65</v>
      </c>
      <c r="H778" s="9" t="s">
        <v>66</v>
      </c>
      <c r="I778" s="9">
        <v>13</v>
      </c>
      <c r="J778" s="9" t="s">
        <v>309</v>
      </c>
      <c r="K778" s="9" t="s">
        <v>309</v>
      </c>
      <c r="L778" s="9" t="s">
        <v>309</v>
      </c>
      <c r="M778" s="9" t="s">
        <v>310</v>
      </c>
      <c r="N778" s="9" t="s">
        <v>869</v>
      </c>
      <c r="O778" s="9" t="s">
        <v>150</v>
      </c>
      <c r="P778" s="9" t="s">
        <v>67</v>
      </c>
      <c r="Q778" s="9" t="s">
        <v>98</v>
      </c>
      <c r="R778" s="9" t="s">
        <v>309</v>
      </c>
      <c r="S778" s="9" t="s">
        <v>310</v>
      </c>
      <c r="T778" s="9" t="s">
        <v>798</v>
      </c>
      <c r="U778" s="9" t="s">
        <v>67</v>
      </c>
      <c r="V778" s="9" t="s">
        <v>311</v>
      </c>
      <c r="W778" s="9" t="s">
        <v>312</v>
      </c>
      <c r="X778" s="11">
        <v>110</v>
      </c>
      <c r="Y778" s="9" t="s">
        <v>268</v>
      </c>
      <c r="Z778" s="9" t="s">
        <v>68</v>
      </c>
      <c r="AA778" s="9" t="s">
        <v>269</v>
      </c>
      <c r="AB778" s="9" t="s">
        <v>67</v>
      </c>
      <c r="AC778" s="9" t="s">
        <v>270</v>
      </c>
      <c r="AD778" s="11">
        <v>24</v>
      </c>
      <c r="AE778" s="9" t="s">
        <v>70</v>
      </c>
      <c r="AF778" s="9" t="s">
        <v>71</v>
      </c>
      <c r="AG778" s="13">
        <v>1</v>
      </c>
      <c r="AH778" s="9" t="s">
        <v>92</v>
      </c>
      <c r="AI778" s="13">
        <v>77273</v>
      </c>
      <c r="AJ778" s="13">
        <v>1854552</v>
      </c>
      <c r="AK778" s="11">
        <v>341238</v>
      </c>
      <c r="AL778" s="11">
        <v>0</v>
      </c>
      <c r="AM778" s="11">
        <v>0</v>
      </c>
      <c r="AN778" s="9" t="s">
        <v>271</v>
      </c>
      <c r="AO778" s="11">
        <v>1513314</v>
      </c>
      <c r="AP778" s="13">
        <v>121065</v>
      </c>
      <c r="AQ778" s="13">
        <v>1634379</v>
      </c>
      <c r="AR778" s="12">
        <v>15.936</v>
      </c>
      <c r="AS778" s="9" t="s">
        <v>72</v>
      </c>
      <c r="AT778" s="12">
        <v>19.2</v>
      </c>
      <c r="AU778" s="9" t="s">
        <v>73</v>
      </c>
      <c r="AV778" s="9" t="s">
        <v>67</v>
      </c>
      <c r="AW778" s="9" t="s">
        <v>1859</v>
      </c>
      <c r="AX778" s="10">
        <v>46000</v>
      </c>
      <c r="AY778" s="9" t="s">
        <v>1860</v>
      </c>
      <c r="AZ778" s="9" t="s">
        <v>67</v>
      </c>
      <c r="BA778" s="9" t="s">
        <v>67</v>
      </c>
      <c r="BB778" s="12">
        <v>19.2</v>
      </c>
      <c r="BC778" s="9" t="s">
        <v>74</v>
      </c>
      <c r="BD778" s="9" t="s">
        <v>104</v>
      </c>
      <c r="BE778" s="9" t="s">
        <v>75</v>
      </c>
      <c r="BF778" s="11">
        <v>0</v>
      </c>
      <c r="BG778">
        <f t="shared" si="26"/>
        <v>12</v>
      </c>
      <c r="BH778" t="str">
        <f>VLOOKUP(BG778,[1]month!$A:$B,2,0)</f>
        <v>Desember</v>
      </c>
      <c r="BI778">
        <f t="shared" si="27"/>
        <v>2025</v>
      </c>
      <c r="BJ778" t="str">
        <f>VLOOKUP(I778,[1]Dist!$A:$B,2,0)</f>
        <v>Retail</v>
      </c>
      <c r="BK778" t="str">
        <f>IF(I778=11,VLOOKUP(Y778,[2]Sheet1!$C:$N,10,0),IF(I778=13,VLOOKUP(Y778,[3]Sheet1!$C:$N,10,0),IF(I778=15,VLOOKUP(Y778,[4]Sheet1!$C:$N,10,0),"Unknown")))</f>
        <v>ULTRAN</v>
      </c>
      <c r="BL778" t="str">
        <f>IF(I778=11,VLOOKUP(Y778,[2]Sheet1!$C:$N,12,0),IF(I778=13,VLOOKUP(Y778,[3]Sheet1!$C:$N,12,0),IF(I778=15,VLOOKUP(Y778,[4]Sheet1!$C:$N,12,0),"Unknown")))</f>
        <v>ULTRAN VERNIS</v>
      </c>
      <c r="BM778" t="str">
        <f>VLOOKUP(W778,[1]branch!$A:$B,2,0)</f>
        <v>DANANG</v>
      </c>
    </row>
    <row r="779" spans="1:65" x14ac:dyDescent="0.35">
      <c r="A779" s="10">
        <v>46001</v>
      </c>
      <c r="B779" s="9" t="s">
        <v>1858</v>
      </c>
      <c r="C779" s="9" t="s">
        <v>64</v>
      </c>
      <c r="D779" s="9" t="s">
        <v>92</v>
      </c>
      <c r="E779" s="11">
        <v>60</v>
      </c>
      <c r="F779" s="9" t="s">
        <v>93</v>
      </c>
      <c r="G779" s="9" t="s">
        <v>65</v>
      </c>
      <c r="H779" s="9" t="s">
        <v>66</v>
      </c>
      <c r="I779" s="9">
        <v>13</v>
      </c>
      <c r="J779" s="9" t="s">
        <v>309</v>
      </c>
      <c r="K779" s="9" t="s">
        <v>309</v>
      </c>
      <c r="L779" s="9" t="s">
        <v>309</v>
      </c>
      <c r="M779" s="9" t="s">
        <v>310</v>
      </c>
      <c r="N779" s="9" t="s">
        <v>869</v>
      </c>
      <c r="O779" s="9" t="s">
        <v>150</v>
      </c>
      <c r="P779" s="9" t="s">
        <v>67</v>
      </c>
      <c r="Q779" s="9" t="s">
        <v>98</v>
      </c>
      <c r="R779" s="9" t="s">
        <v>309</v>
      </c>
      <c r="S779" s="9" t="s">
        <v>310</v>
      </c>
      <c r="T779" s="9" t="s">
        <v>798</v>
      </c>
      <c r="U779" s="9" t="s">
        <v>67</v>
      </c>
      <c r="V779" s="9" t="s">
        <v>311</v>
      </c>
      <c r="W779" s="9" t="s">
        <v>312</v>
      </c>
      <c r="X779" s="11">
        <v>120</v>
      </c>
      <c r="Y779" s="9" t="s">
        <v>393</v>
      </c>
      <c r="Z779" s="9" t="s">
        <v>68</v>
      </c>
      <c r="AA779" s="9" t="s">
        <v>394</v>
      </c>
      <c r="AB779" s="9" t="s">
        <v>67</v>
      </c>
      <c r="AC779" s="9" t="s">
        <v>392</v>
      </c>
      <c r="AD779" s="11">
        <v>10</v>
      </c>
      <c r="AE779" s="9" t="s">
        <v>70</v>
      </c>
      <c r="AF779" s="9" t="s">
        <v>71</v>
      </c>
      <c r="AG779" s="13">
        <v>1</v>
      </c>
      <c r="AH779" s="9" t="s">
        <v>92</v>
      </c>
      <c r="AI779" s="13">
        <v>810909</v>
      </c>
      <c r="AJ779" s="13">
        <v>8109090</v>
      </c>
      <c r="AK779" s="11">
        <v>1492071</v>
      </c>
      <c r="AL779" s="11">
        <v>0</v>
      </c>
      <c r="AM779" s="11">
        <v>0</v>
      </c>
      <c r="AN779" s="9" t="s">
        <v>271</v>
      </c>
      <c r="AO779" s="11">
        <v>6617019</v>
      </c>
      <c r="AP779" s="13">
        <v>529364</v>
      </c>
      <c r="AQ779" s="13">
        <v>7146383</v>
      </c>
      <c r="AR779" s="12">
        <v>34.4</v>
      </c>
      <c r="AS779" s="9" t="s">
        <v>72</v>
      </c>
      <c r="AT779" s="11">
        <v>40</v>
      </c>
      <c r="AU779" s="9" t="s">
        <v>73</v>
      </c>
      <c r="AV779" s="9" t="s">
        <v>67</v>
      </c>
      <c r="AW779" s="9" t="s">
        <v>1859</v>
      </c>
      <c r="AX779" s="10">
        <v>46000</v>
      </c>
      <c r="AY779" s="9" t="s">
        <v>1860</v>
      </c>
      <c r="AZ779" s="9" t="s">
        <v>67</v>
      </c>
      <c r="BA779" s="9" t="s">
        <v>67</v>
      </c>
      <c r="BB779" s="12">
        <v>40</v>
      </c>
      <c r="BC779" s="9" t="s">
        <v>74</v>
      </c>
      <c r="BD779" s="9" t="s">
        <v>104</v>
      </c>
      <c r="BE779" s="9" t="s">
        <v>75</v>
      </c>
      <c r="BF779" s="11">
        <v>0</v>
      </c>
      <c r="BG779">
        <f t="shared" si="26"/>
        <v>12</v>
      </c>
      <c r="BH779" t="str">
        <f>VLOOKUP(BG779,[1]month!$A:$B,2,0)</f>
        <v>Desember</v>
      </c>
      <c r="BI779">
        <f t="shared" si="27"/>
        <v>2025</v>
      </c>
      <c r="BJ779" t="str">
        <f>VLOOKUP(I779,[1]Dist!$A:$B,2,0)</f>
        <v>Retail</v>
      </c>
      <c r="BK779" t="str">
        <f>IF(I779=11,VLOOKUP(Y779,[2]Sheet1!$C:$N,10,0),IF(I779=13,VLOOKUP(Y779,[3]Sheet1!$C:$N,10,0),IF(I779=15,VLOOKUP(Y779,[4]Sheet1!$C:$N,10,0),"Unknown")))</f>
        <v>ULTRAN</v>
      </c>
      <c r="BL779" t="str">
        <f>IF(I779=11,VLOOKUP(Y779,[2]Sheet1!$C:$N,12,0),IF(I779=13,VLOOKUP(Y779,[3]Sheet1!$C:$N,12,0),IF(I779=15,VLOOKUP(Y779,[4]Sheet1!$C:$N,12,0),"Unknown")))</f>
        <v>ULTRAN LASUR</v>
      </c>
      <c r="BM779" t="str">
        <f>VLOOKUP(W779,[1]branch!$A:$B,2,0)</f>
        <v>DANANG</v>
      </c>
    </row>
    <row r="780" spans="1:65" x14ac:dyDescent="0.35">
      <c r="A780" s="10">
        <v>46001</v>
      </c>
      <c r="B780" s="9" t="s">
        <v>1871</v>
      </c>
      <c r="C780" s="9" t="s">
        <v>64</v>
      </c>
      <c r="D780" s="9" t="s">
        <v>92</v>
      </c>
      <c r="E780" s="11">
        <v>60</v>
      </c>
      <c r="F780" s="9" t="s">
        <v>93</v>
      </c>
      <c r="G780" s="9" t="s">
        <v>65</v>
      </c>
      <c r="H780" s="9" t="s">
        <v>66</v>
      </c>
      <c r="I780" s="9">
        <v>13</v>
      </c>
      <c r="J780" s="9" t="s">
        <v>332</v>
      </c>
      <c r="K780" s="9" t="s">
        <v>332</v>
      </c>
      <c r="L780" s="9" t="s">
        <v>332</v>
      </c>
      <c r="M780" s="9" t="s">
        <v>333</v>
      </c>
      <c r="N780" s="9" t="s">
        <v>880</v>
      </c>
      <c r="O780" s="9" t="s">
        <v>150</v>
      </c>
      <c r="P780" s="9" t="s">
        <v>67</v>
      </c>
      <c r="Q780" s="9" t="s">
        <v>98</v>
      </c>
      <c r="R780" s="9" t="s">
        <v>332</v>
      </c>
      <c r="S780" s="9" t="s">
        <v>333</v>
      </c>
      <c r="T780" s="9" t="s">
        <v>822</v>
      </c>
      <c r="U780" s="9" t="s">
        <v>67</v>
      </c>
      <c r="V780" s="9" t="s">
        <v>266</v>
      </c>
      <c r="W780" s="9" t="s">
        <v>267</v>
      </c>
      <c r="X780" s="11">
        <v>10</v>
      </c>
      <c r="Y780" s="9" t="s">
        <v>268</v>
      </c>
      <c r="Z780" s="9" t="s">
        <v>68</v>
      </c>
      <c r="AA780" s="9" t="s">
        <v>269</v>
      </c>
      <c r="AB780" s="9" t="s">
        <v>67</v>
      </c>
      <c r="AC780" s="9" t="s">
        <v>270</v>
      </c>
      <c r="AD780" s="11">
        <v>216</v>
      </c>
      <c r="AE780" s="9" t="s">
        <v>70</v>
      </c>
      <c r="AF780" s="9" t="s">
        <v>71</v>
      </c>
      <c r="AG780" s="13">
        <v>1</v>
      </c>
      <c r="AH780" s="9" t="s">
        <v>92</v>
      </c>
      <c r="AI780" s="13">
        <v>77273</v>
      </c>
      <c r="AJ780" s="13">
        <v>16690968</v>
      </c>
      <c r="AK780" s="11">
        <v>2787391</v>
      </c>
      <c r="AL780" s="11">
        <v>0</v>
      </c>
      <c r="AM780" s="11">
        <v>0</v>
      </c>
      <c r="AN780" s="9" t="s">
        <v>615</v>
      </c>
      <c r="AO780" s="11">
        <v>13903577</v>
      </c>
      <c r="AP780" s="13">
        <v>1112287</v>
      </c>
      <c r="AQ780" s="13">
        <v>15015864</v>
      </c>
      <c r="AR780" s="12">
        <v>143.42400000000001</v>
      </c>
      <c r="AS780" s="9" t="s">
        <v>72</v>
      </c>
      <c r="AT780" s="12">
        <v>172.8</v>
      </c>
      <c r="AU780" s="9" t="s">
        <v>73</v>
      </c>
      <c r="AV780" s="9" t="s">
        <v>67</v>
      </c>
      <c r="AW780" s="9" t="s">
        <v>1872</v>
      </c>
      <c r="AX780" s="10">
        <v>46000</v>
      </c>
      <c r="AY780" s="9" t="s">
        <v>1873</v>
      </c>
      <c r="AZ780" s="9" t="s">
        <v>67</v>
      </c>
      <c r="BA780" s="9" t="s">
        <v>67</v>
      </c>
      <c r="BB780" s="12">
        <v>172.8</v>
      </c>
      <c r="BC780" s="9" t="s">
        <v>74</v>
      </c>
      <c r="BD780" s="9" t="s">
        <v>104</v>
      </c>
      <c r="BE780" s="9" t="s">
        <v>75</v>
      </c>
      <c r="BF780" s="11">
        <v>0</v>
      </c>
      <c r="BG780">
        <f t="shared" si="26"/>
        <v>12</v>
      </c>
      <c r="BH780" t="str">
        <f>VLOOKUP(BG780,[1]month!$A:$B,2,0)</f>
        <v>Desember</v>
      </c>
      <c r="BI780">
        <f t="shared" si="27"/>
        <v>2025</v>
      </c>
      <c r="BJ780" t="str">
        <f>VLOOKUP(I780,[1]Dist!$A:$B,2,0)</f>
        <v>Retail</v>
      </c>
      <c r="BK780" t="str">
        <f>IF(I780=11,VLOOKUP(Y780,[2]Sheet1!$C:$N,10,0),IF(I780=13,VLOOKUP(Y780,[3]Sheet1!$C:$N,10,0),IF(I780=15,VLOOKUP(Y780,[4]Sheet1!$C:$N,10,0),"Unknown")))</f>
        <v>ULTRAN</v>
      </c>
      <c r="BL780" t="str">
        <f>IF(I780=11,VLOOKUP(Y780,[2]Sheet1!$C:$N,12,0),IF(I780=13,VLOOKUP(Y780,[3]Sheet1!$C:$N,12,0),IF(I780=15,VLOOKUP(Y780,[4]Sheet1!$C:$N,12,0),"Unknown")))</f>
        <v>ULTRAN VERNIS</v>
      </c>
      <c r="BM780" t="str">
        <f>VLOOKUP(W780,[1]branch!$A:$B,2,0)</f>
        <v>HO CHI MINH</v>
      </c>
    </row>
    <row r="781" spans="1:65" x14ac:dyDescent="0.35">
      <c r="A781" s="10">
        <v>46001</v>
      </c>
      <c r="B781" s="9" t="s">
        <v>1871</v>
      </c>
      <c r="C781" s="9" t="s">
        <v>64</v>
      </c>
      <c r="D781" s="9" t="s">
        <v>92</v>
      </c>
      <c r="E781" s="11">
        <v>60</v>
      </c>
      <c r="F781" s="9" t="s">
        <v>93</v>
      </c>
      <c r="G781" s="9" t="s">
        <v>65</v>
      </c>
      <c r="H781" s="9" t="s">
        <v>66</v>
      </c>
      <c r="I781" s="9">
        <v>13</v>
      </c>
      <c r="J781" s="9" t="s">
        <v>332</v>
      </c>
      <c r="K781" s="9" t="s">
        <v>332</v>
      </c>
      <c r="L781" s="9" t="s">
        <v>332</v>
      </c>
      <c r="M781" s="9" t="s">
        <v>333</v>
      </c>
      <c r="N781" s="9" t="s">
        <v>880</v>
      </c>
      <c r="O781" s="9" t="s">
        <v>150</v>
      </c>
      <c r="P781" s="9" t="s">
        <v>67</v>
      </c>
      <c r="Q781" s="9" t="s">
        <v>98</v>
      </c>
      <c r="R781" s="9" t="s">
        <v>332</v>
      </c>
      <c r="S781" s="9" t="s">
        <v>333</v>
      </c>
      <c r="T781" s="9" t="s">
        <v>822</v>
      </c>
      <c r="U781" s="9" t="s">
        <v>67</v>
      </c>
      <c r="V781" s="9" t="s">
        <v>266</v>
      </c>
      <c r="W781" s="9" t="s">
        <v>267</v>
      </c>
      <c r="X781" s="11">
        <v>20</v>
      </c>
      <c r="Y781" s="9" t="s">
        <v>423</v>
      </c>
      <c r="Z781" s="9" t="s">
        <v>68</v>
      </c>
      <c r="AA781" s="9" t="s">
        <v>424</v>
      </c>
      <c r="AB781" s="9" t="s">
        <v>67</v>
      </c>
      <c r="AC781" s="9" t="s">
        <v>270</v>
      </c>
      <c r="AD781" s="11">
        <v>24</v>
      </c>
      <c r="AE781" s="9" t="s">
        <v>70</v>
      </c>
      <c r="AF781" s="9" t="s">
        <v>71</v>
      </c>
      <c r="AG781" s="13">
        <v>1</v>
      </c>
      <c r="AH781" s="9" t="s">
        <v>92</v>
      </c>
      <c r="AI781" s="13">
        <v>77273</v>
      </c>
      <c r="AJ781" s="13">
        <v>1854552</v>
      </c>
      <c r="AK781" s="11">
        <v>309710</v>
      </c>
      <c r="AL781" s="11">
        <v>0</v>
      </c>
      <c r="AM781" s="11">
        <v>0</v>
      </c>
      <c r="AN781" s="9" t="s">
        <v>615</v>
      </c>
      <c r="AO781" s="11">
        <v>1544842</v>
      </c>
      <c r="AP781" s="13">
        <v>123587</v>
      </c>
      <c r="AQ781" s="13">
        <v>1668429</v>
      </c>
      <c r="AR781" s="12">
        <v>17.856000000000002</v>
      </c>
      <c r="AS781" s="9" t="s">
        <v>72</v>
      </c>
      <c r="AT781" s="12">
        <v>19.2</v>
      </c>
      <c r="AU781" s="9" t="s">
        <v>73</v>
      </c>
      <c r="AV781" s="9" t="s">
        <v>67</v>
      </c>
      <c r="AW781" s="9" t="s">
        <v>1872</v>
      </c>
      <c r="AX781" s="10">
        <v>46000</v>
      </c>
      <c r="AY781" s="9" t="s">
        <v>1873</v>
      </c>
      <c r="AZ781" s="9" t="s">
        <v>67</v>
      </c>
      <c r="BA781" s="9" t="s">
        <v>67</v>
      </c>
      <c r="BB781" s="12">
        <v>19.2</v>
      </c>
      <c r="BC781" s="9" t="s">
        <v>74</v>
      </c>
      <c r="BD781" s="9" t="s">
        <v>104</v>
      </c>
      <c r="BE781" s="9" t="s">
        <v>75</v>
      </c>
      <c r="BF781" s="11">
        <v>0</v>
      </c>
      <c r="BG781">
        <f t="shared" si="26"/>
        <v>12</v>
      </c>
      <c r="BH781" t="str">
        <f>VLOOKUP(BG781,[1]month!$A:$B,2,0)</f>
        <v>Desember</v>
      </c>
      <c r="BI781">
        <f t="shared" si="27"/>
        <v>2025</v>
      </c>
      <c r="BJ781" t="str">
        <f>VLOOKUP(I781,[1]Dist!$A:$B,2,0)</f>
        <v>Retail</v>
      </c>
      <c r="BK781" t="str">
        <f>IF(I781=11,VLOOKUP(Y781,[2]Sheet1!$C:$N,10,0),IF(I781=13,VLOOKUP(Y781,[3]Sheet1!$C:$N,10,0),IF(I781=15,VLOOKUP(Y781,[4]Sheet1!$C:$N,10,0),"Unknown")))</f>
        <v>ULTRAN</v>
      </c>
      <c r="BL781" t="str">
        <f>IF(I781=11,VLOOKUP(Y781,[2]Sheet1!$C:$N,12,0),IF(I781=13,VLOOKUP(Y781,[3]Sheet1!$C:$N,12,0),IF(I781=15,VLOOKUP(Y781,[4]Sheet1!$C:$N,12,0),"Unknown")))</f>
        <v>ULTRAN VERNIS</v>
      </c>
      <c r="BM781" t="str">
        <f>VLOOKUP(W781,[1]branch!$A:$B,2,0)</f>
        <v>HO CHI MINH</v>
      </c>
    </row>
    <row r="782" spans="1:65" x14ac:dyDescent="0.35">
      <c r="A782" s="10">
        <v>46001</v>
      </c>
      <c r="B782" s="9" t="s">
        <v>1871</v>
      </c>
      <c r="C782" s="9" t="s">
        <v>64</v>
      </c>
      <c r="D782" s="9" t="s">
        <v>92</v>
      </c>
      <c r="E782" s="11">
        <v>60</v>
      </c>
      <c r="F782" s="9" t="s">
        <v>93</v>
      </c>
      <c r="G782" s="9" t="s">
        <v>65</v>
      </c>
      <c r="H782" s="9" t="s">
        <v>66</v>
      </c>
      <c r="I782" s="9">
        <v>13</v>
      </c>
      <c r="J782" s="9" t="s">
        <v>332</v>
      </c>
      <c r="K782" s="9" t="s">
        <v>332</v>
      </c>
      <c r="L782" s="9" t="s">
        <v>332</v>
      </c>
      <c r="M782" s="9" t="s">
        <v>333</v>
      </c>
      <c r="N782" s="9" t="s">
        <v>880</v>
      </c>
      <c r="O782" s="9" t="s">
        <v>150</v>
      </c>
      <c r="P782" s="9" t="s">
        <v>67</v>
      </c>
      <c r="Q782" s="9" t="s">
        <v>98</v>
      </c>
      <c r="R782" s="9" t="s">
        <v>332</v>
      </c>
      <c r="S782" s="9" t="s">
        <v>333</v>
      </c>
      <c r="T782" s="9" t="s">
        <v>822</v>
      </c>
      <c r="U782" s="9" t="s">
        <v>67</v>
      </c>
      <c r="V782" s="9" t="s">
        <v>266</v>
      </c>
      <c r="W782" s="9" t="s">
        <v>267</v>
      </c>
      <c r="X782" s="11">
        <v>30</v>
      </c>
      <c r="Y782" s="9" t="s">
        <v>1874</v>
      </c>
      <c r="Z782" s="9" t="s">
        <v>76</v>
      </c>
      <c r="AA782" s="9" t="s">
        <v>1875</v>
      </c>
      <c r="AB782" s="9" t="s">
        <v>67</v>
      </c>
      <c r="AC782" s="9" t="s">
        <v>692</v>
      </c>
      <c r="AD782" s="11">
        <v>4</v>
      </c>
      <c r="AE782" s="9" t="s">
        <v>156</v>
      </c>
      <c r="AF782" s="9" t="s">
        <v>71</v>
      </c>
      <c r="AG782" s="13">
        <v>1</v>
      </c>
      <c r="AH782" s="9" t="s">
        <v>92</v>
      </c>
      <c r="AI782" s="13">
        <v>934545</v>
      </c>
      <c r="AJ782" s="13">
        <v>3738180</v>
      </c>
      <c r="AK782" s="11">
        <v>624276</v>
      </c>
      <c r="AL782" s="11">
        <v>0</v>
      </c>
      <c r="AM782" s="11">
        <v>0</v>
      </c>
      <c r="AN782" s="9" t="s">
        <v>615</v>
      </c>
      <c r="AO782" s="11">
        <v>3113904</v>
      </c>
      <c r="AP782" s="13">
        <v>249112</v>
      </c>
      <c r="AQ782" s="13">
        <v>3363016</v>
      </c>
      <c r="AR782" s="12">
        <v>19.8</v>
      </c>
      <c r="AS782" s="9" t="s">
        <v>72</v>
      </c>
      <c r="AT782" s="11">
        <v>20</v>
      </c>
      <c r="AU782" s="9" t="s">
        <v>73</v>
      </c>
      <c r="AV782" s="9" t="s">
        <v>67</v>
      </c>
      <c r="AW782" s="9" t="s">
        <v>1872</v>
      </c>
      <c r="AX782" s="10">
        <v>46000</v>
      </c>
      <c r="AY782" s="9" t="s">
        <v>1873</v>
      </c>
      <c r="AZ782" s="9" t="s">
        <v>67</v>
      </c>
      <c r="BA782" s="9" t="s">
        <v>67</v>
      </c>
      <c r="BB782" s="12">
        <v>20</v>
      </c>
      <c r="BC782" s="9" t="s">
        <v>74</v>
      </c>
      <c r="BD782" s="9" t="s">
        <v>104</v>
      </c>
      <c r="BE782" s="9" t="s">
        <v>75</v>
      </c>
      <c r="BF782" s="11">
        <v>0</v>
      </c>
      <c r="BG782">
        <f t="shared" si="26"/>
        <v>12</v>
      </c>
      <c r="BH782" t="str">
        <f>VLOOKUP(BG782,[1]month!$A:$B,2,0)</f>
        <v>Desember</v>
      </c>
      <c r="BI782">
        <f t="shared" si="27"/>
        <v>2025</v>
      </c>
      <c r="BJ782" t="str">
        <f>VLOOKUP(I782,[1]Dist!$A:$B,2,0)</f>
        <v>Retail</v>
      </c>
      <c r="BK782" t="str">
        <f>IF(I782=11,VLOOKUP(Y782,[2]Sheet1!$C:$N,10,0),IF(I782=13,VLOOKUP(Y782,[3]Sheet1!$C:$N,10,0),IF(I782=15,VLOOKUP(Y782,[4]Sheet1!$C:$N,10,0),"Unknown")))</f>
        <v>PU MULTIPURPOSE</v>
      </c>
      <c r="BL782" t="str">
        <f>IF(I782=11,VLOOKUP(Y782,[2]Sheet1!$C:$N,12,0),IF(I782=13,VLOOKUP(Y782,[3]Sheet1!$C:$N,12,0),IF(I782=15,VLOOKUP(Y782,[4]Sheet1!$C:$N,12,0),"Unknown")))</f>
        <v>PROPAN MP PU ACR RMX</v>
      </c>
      <c r="BM782" t="str">
        <f>VLOOKUP(W782,[1]branch!$A:$B,2,0)</f>
        <v>HO CHI MINH</v>
      </c>
    </row>
    <row r="783" spans="1:65" x14ac:dyDescent="0.35">
      <c r="A783" s="10">
        <v>46001</v>
      </c>
      <c r="B783" s="9" t="s">
        <v>1871</v>
      </c>
      <c r="C783" s="9" t="s">
        <v>64</v>
      </c>
      <c r="D783" s="9" t="s">
        <v>92</v>
      </c>
      <c r="E783" s="11">
        <v>60</v>
      </c>
      <c r="F783" s="9" t="s">
        <v>93</v>
      </c>
      <c r="G783" s="9" t="s">
        <v>65</v>
      </c>
      <c r="H783" s="9" t="s">
        <v>66</v>
      </c>
      <c r="I783" s="9">
        <v>13</v>
      </c>
      <c r="J783" s="9" t="s">
        <v>332</v>
      </c>
      <c r="K783" s="9" t="s">
        <v>332</v>
      </c>
      <c r="L783" s="9" t="s">
        <v>332</v>
      </c>
      <c r="M783" s="9" t="s">
        <v>333</v>
      </c>
      <c r="N783" s="9" t="s">
        <v>880</v>
      </c>
      <c r="O783" s="9" t="s">
        <v>150</v>
      </c>
      <c r="P783" s="9" t="s">
        <v>67</v>
      </c>
      <c r="Q783" s="9" t="s">
        <v>98</v>
      </c>
      <c r="R783" s="9" t="s">
        <v>332</v>
      </c>
      <c r="S783" s="9" t="s">
        <v>333</v>
      </c>
      <c r="T783" s="9" t="s">
        <v>822</v>
      </c>
      <c r="U783" s="9" t="s">
        <v>67</v>
      </c>
      <c r="V783" s="9" t="s">
        <v>266</v>
      </c>
      <c r="W783" s="9" t="s">
        <v>267</v>
      </c>
      <c r="X783" s="11">
        <v>40</v>
      </c>
      <c r="Y783" s="9" t="s">
        <v>1867</v>
      </c>
      <c r="Z783" s="9" t="s">
        <v>68</v>
      </c>
      <c r="AA783" s="9" t="s">
        <v>1868</v>
      </c>
      <c r="AB783" s="9" t="s">
        <v>67</v>
      </c>
      <c r="AC783" s="9" t="s">
        <v>321</v>
      </c>
      <c r="AD783" s="11">
        <v>2</v>
      </c>
      <c r="AE783" s="9" t="s">
        <v>70</v>
      </c>
      <c r="AF783" s="9" t="s">
        <v>71</v>
      </c>
      <c r="AG783" s="13">
        <v>1</v>
      </c>
      <c r="AH783" s="9" t="s">
        <v>92</v>
      </c>
      <c r="AI783" s="13">
        <v>1772727</v>
      </c>
      <c r="AJ783" s="13">
        <v>3545454</v>
      </c>
      <c r="AK783" s="11">
        <v>592091</v>
      </c>
      <c r="AL783" s="11">
        <v>0</v>
      </c>
      <c r="AM783" s="11">
        <v>0</v>
      </c>
      <c r="AN783" s="9" t="s">
        <v>615</v>
      </c>
      <c r="AO783" s="11">
        <v>2953363</v>
      </c>
      <c r="AP783" s="13">
        <v>236269</v>
      </c>
      <c r="AQ783" s="13">
        <v>3189632</v>
      </c>
      <c r="AR783" s="11">
        <v>32</v>
      </c>
      <c r="AS783" s="9" t="s">
        <v>72</v>
      </c>
      <c r="AT783" s="12">
        <v>30.76</v>
      </c>
      <c r="AU783" s="9" t="s">
        <v>73</v>
      </c>
      <c r="AV783" s="9" t="s">
        <v>67</v>
      </c>
      <c r="AW783" s="9" t="s">
        <v>1872</v>
      </c>
      <c r="AX783" s="10">
        <v>46000</v>
      </c>
      <c r="AY783" s="9" t="s">
        <v>1873</v>
      </c>
      <c r="AZ783" s="9" t="s">
        <v>67</v>
      </c>
      <c r="BA783" s="9" t="s">
        <v>67</v>
      </c>
      <c r="BB783" s="12">
        <v>32</v>
      </c>
      <c r="BC783" s="9" t="s">
        <v>74</v>
      </c>
      <c r="BD783" s="9" t="s">
        <v>104</v>
      </c>
      <c r="BE783" s="9" t="s">
        <v>75</v>
      </c>
      <c r="BF783" s="11">
        <v>0</v>
      </c>
      <c r="BG783">
        <f t="shared" si="26"/>
        <v>12</v>
      </c>
      <c r="BH783" t="str">
        <f>VLOOKUP(BG783,[1]month!$A:$B,2,0)</f>
        <v>Desember</v>
      </c>
      <c r="BI783">
        <f t="shared" si="27"/>
        <v>2025</v>
      </c>
      <c r="BJ783" t="str">
        <f>VLOOKUP(I783,[1]Dist!$A:$B,2,0)</f>
        <v>Retail</v>
      </c>
      <c r="BK783" t="str">
        <f>IF(I783=11,VLOOKUP(Y783,[2]Sheet1!$C:$N,10,0),IF(I783=13,VLOOKUP(Y783,[3]Sheet1!$C:$N,10,0),IF(I783=15,VLOOKUP(Y783,[4]Sheet1!$C:$N,10,0),"Unknown")))</f>
        <v>PU EASY TO USE</v>
      </c>
      <c r="BL783" t="str">
        <f>IF(I783=11,VLOOKUP(Y783,[2]Sheet1!$C:$N,12,0),IF(I783=13,VLOOKUP(Y783,[3]Sheet1!$C:$N,12,0),IF(I783=15,VLOOKUP(Y783,[4]Sheet1!$C:$N,12,0),"Unknown")))</f>
        <v>PROPAN EASY TO USE PU</v>
      </c>
      <c r="BM783" t="str">
        <f>VLOOKUP(W783,[1]branch!$A:$B,2,0)</f>
        <v>HO CHI MINH</v>
      </c>
    </row>
    <row r="784" spans="1:65" x14ac:dyDescent="0.35">
      <c r="A784" s="10">
        <v>46001</v>
      </c>
      <c r="B784" s="9" t="s">
        <v>1871</v>
      </c>
      <c r="C784" s="9" t="s">
        <v>64</v>
      </c>
      <c r="D784" s="9" t="s">
        <v>92</v>
      </c>
      <c r="E784" s="11">
        <v>60</v>
      </c>
      <c r="F784" s="9" t="s">
        <v>93</v>
      </c>
      <c r="G784" s="9" t="s">
        <v>65</v>
      </c>
      <c r="H784" s="9" t="s">
        <v>66</v>
      </c>
      <c r="I784" s="9">
        <v>13</v>
      </c>
      <c r="J784" s="9" t="s">
        <v>332</v>
      </c>
      <c r="K784" s="9" t="s">
        <v>332</v>
      </c>
      <c r="L784" s="9" t="s">
        <v>332</v>
      </c>
      <c r="M784" s="9" t="s">
        <v>333</v>
      </c>
      <c r="N784" s="9" t="s">
        <v>880</v>
      </c>
      <c r="O784" s="9" t="s">
        <v>150</v>
      </c>
      <c r="P784" s="9" t="s">
        <v>67</v>
      </c>
      <c r="Q784" s="9" t="s">
        <v>98</v>
      </c>
      <c r="R784" s="9" t="s">
        <v>332</v>
      </c>
      <c r="S784" s="9" t="s">
        <v>333</v>
      </c>
      <c r="T784" s="9" t="s">
        <v>822</v>
      </c>
      <c r="U784" s="9" t="s">
        <v>67</v>
      </c>
      <c r="V784" s="9" t="s">
        <v>266</v>
      </c>
      <c r="W784" s="9" t="s">
        <v>267</v>
      </c>
      <c r="X784" s="11">
        <v>50</v>
      </c>
      <c r="Y784" s="9" t="s">
        <v>1876</v>
      </c>
      <c r="Z784" s="9" t="s">
        <v>68</v>
      </c>
      <c r="AA784" s="9" t="s">
        <v>1877</v>
      </c>
      <c r="AB784" s="9" t="s">
        <v>67</v>
      </c>
      <c r="AC784" s="9" t="s">
        <v>346</v>
      </c>
      <c r="AD784" s="11">
        <v>24</v>
      </c>
      <c r="AE784" s="9" t="s">
        <v>70</v>
      </c>
      <c r="AF784" s="9" t="s">
        <v>71</v>
      </c>
      <c r="AG784" s="13">
        <v>1</v>
      </c>
      <c r="AH784" s="9" t="s">
        <v>92</v>
      </c>
      <c r="AI784" s="13">
        <v>218181</v>
      </c>
      <c r="AJ784" s="13">
        <v>5236344</v>
      </c>
      <c r="AK784" s="11">
        <v>874470</v>
      </c>
      <c r="AL784" s="11">
        <v>0</v>
      </c>
      <c r="AM784" s="11">
        <v>0</v>
      </c>
      <c r="AN784" s="9" t="s">
        <v>615</v>
      </c>
      <c r="AO784" s="11">
        <v>4361874</v>
      </c>
      <c r="AP784" s="13">
        <v>348950</v>
      </c>
      <c r="AQ784" s="13">
        <v>4710824</v>
      </c>
      <c r="AR784" s="12">
        <v>20.399999999999999</v>
      </c>
      <c r="AS784" s="9" t="s">
        <v>72</v>
      </c>
      <c r="AT784" s="11">
        <v>24</v>
      </c>
      <c r="AU784" s="9" t="s">
        <v>73</v>
      </c>
      <c r="AV784" s="9" t="s">
        <v>67</v>
      </c>
      <c r="AW784" s="9" t="s">
        <v>1872</v>
      </c>
      <c r="AX784" s="10">
        <v>46000</v>
      </c>
      <c r="AY784" s="9" t="s">
        <v>1873</v>
      </c>
      <c r="AZ784" s="9" t="s">
        <v>67</v>
      </c>
      <c r="BA784" s="9" t="s">
        <v>67</v>
      </c>
      <c r="BB784" s="12">
        <v>24</v>
      </c>
      <c r="BC784" s="9" t="s">
        <v>74</v>
      </c>
      <c r="BD784" s="9" t="s">
        <v>104</v>
      </c>
      <c r="BE784" s="9" t="s">
        <v>75</v>
      </c>
      <c r="BF784" s="11">
        <v>0</v>
      </c>
      <c r="BG784">
        <f t="shared" si="26"/>
        <v>12</v>
      </c>
      <c r="BH784" t="str">
        <f>VLOOKUP(BG784,[1]month!$A:$B,2,0)</f>
        <v>Desember</v>
      </c>
      <c r="BI784">
        <f t="shared" si="27"/>
        <v>2025</v>
      </c>
      <c r="BJ784" t="str">
        <f>VLOOKUP(I784,[1]Dist!$A:$B,2,0)</f>
        <v>Retail</v>
      </c>
      <c r="BK784" t="str">
        <f>IF(I784=11,VLOOKUP(Y784,[2]Sheet1!$C:$N,10,0),IF(I784=13,VLOOKUP(Y784,[3]Sheet1!$C:$N,10,0),IF(I784=15,VLOOKUP(Y784,[4]Sheet1!$C:$N,10,0),"Unknown")))</f>
        <v>ULTRAN</v>
      </c>
      <c r="BL784" t="str">
        <f>IF(I784=11,VLOOKUP(Y784,[2]Sheet1!$C:$N,12,0),IF(I784=13,VLOOKUP(Y784,[3]Sheet1!$C:$N,12,0),IF(I784=15,VLOOKUP(Y784,[4]Sheet1!$C:$N,12,0),"Unknown")))</f>
        <v>ULTRAN LASUR</v>
      </c>
      <c r="BM784" t="str">
        <f>VLOOKUP(W784,[1]branch!$A:$B,2,0)</f>
        <v>HO CHI MINH</v>
      </c>
    </row>
    <row r="785" spans="1:65" x14ac:dyDescent="0.35">
      <c r="A785" s="10">
        <v>46001</v>
      </c>
      <c r="B785" s="9" t="s">
        <v>1878</v>
      </c>
      <c r="C785" s="9" t="s">
        <v>64</v>
      </c>
      <c r="D785" s="9" t="s">
        <v>92</v>
      </c>
      <c r="E785" s="11">
        <v>60</v>
      </c>
      <c r="F785" s="9" t="s">
        <v>93</v>
      </c>
      <c r="G785" s="9" t="s">
        <v>65</v>
      </c>
      <c r="H785" s="9" t="s">
        <v>66</v>
      </c>
      <c r="I785" s="9">
        <v>13</v>
      </c>
      <c r="J785" s="9" t="s">
        <v>264</v>
      </c>
      <c r="K785" s="9" t="s">
        <v>264</v>
      </c>
      <c r="L785" s="9" t="s">
        <v>264</v>
      </c>
      <c r="M785" s="9" t="s">
        <v>265</v>
      </c>
      <c r="N785" s="9" t="s">
        <v>881</v>
      </c>
      <c r="O785" s="9" t="s">
        <v>150</v>
      </c>
      <c r="P785" s="9" t="s">
        <v>67</v>
      </c>
      <c r="Q785" s="9" t="s">
        <v>98</v>
      </c>
      <c r="R785" s="9" t="s">
        <v>264</v>
      </c>
      <c r="S785" s="9" t="s">
        <v>265</v>
      </c>
      <c r="T785" s="9" t="s">
        <v>799</v>
      </c>
      <c r="U785" s="9" t="s">
        <v>67</v>
      </c>
      <c r="V785" s="9" t="s">
        <v>266</v>
      </c>
      <c r="W785" s="9" t="s">
        <v>267</v>
      </c>
      <c r="X785" s="11">
        <v>20</v>
      </c>
      <c r="Y785" s="9" t="s">
        <v>268</v>
      </c>
      <c r="Z785" s="9" t="s">
        <v>68</v>
      </c>
      <c r="AA785" s="9" t="s">
        <v>269</v>
      </c>
      <c r="AB785" s="9" t="s">
        <v>67</v>
      </c>
      <c r="AC785" s="9" t="s">
        <v>270</v>
      </c>
      <c r="AD785" s="11">
        <v>768</v>
      </c>
      <c r="AE785" s="9" t="s">
        <v>70</v>
      </c>
      <c r="AF785" s="9" t="s">
        <v>71</v>
      </c>
      <c r="AG785" s="13">
        <v>1</v>
      </c>
      <c r="AH785" s="9" t="s">
        <v>92</v>
      </c>
      <c r="AI785" s="13">
        <v>77273</v>
      </c>
      <c r="AJ785" s="13">
        <v>59345664</v>
      </c>
      <c r="AK785" s="11">
        <v>10919603</v>
      </c>
      <c r="AL785" s="11">
        <v>0</v>
      </c>
      <c r="AM785" s="11">
        <v>0</v>
      </c>
      <c r="AN785" s="9" t="s">
        <v>271</v>
      </c>
      <c r="AO785" s="11">
        <v>48426061</v>
      </c>
      <c r="AP785" s="13">
        <v>3874085</v>
      </c>
      <c r="AQ785" s="13">
        <v>52300146</v>
      </c>
      <c r="AR785" s="12">
        <v>509.952</v>
      </c>
      <c r="AS785" s="9" t="s">
        <v>72</v>
      </c>
      <c r="AT785" s="12">
        <v>614.4</v>
      </c>
      <c r="AU785" s="9" t="s">
        <v>73</v>
      </c>
      <c r="AV785" s="9" t="s">
        <v>67</v>
      </c>
      <c r="AW785" s="9" t="s">
        <v>1657</v>
      </c>
      <c r="AX785" s="10">
        <v>45996</v>
      </c>
      <c r="AY785" s="9" t="s">
        <v>1879</v>
      </c>
      <c r="AZ785" s="9" t="s">
        <v>67</v>
      </c>
      <c r="BA785" s="9" t="s">
        <v>67</v>
      </c>
      <c r="BB785" s="12">
        <v>614.4</v>
      </c>
      <c r="BC785" s="9" t="s">
        <v>74</v>
      </c>
      <c r="BD785" s="9" t="s">
        <v>104</v>
      </c>
      <c r="BE785" s="9" t="s">
        <v>75</v>
      </c>
      <c r="BF785" s="11">
        <v>0</v>
      </c>
      <c r="BG785">
        <f t="shared" si="26"/>
        <v>12</v>
      </c>
      <c r="BH785" t="str">
        <f>VLOOKUP(BG785,[1]month!$A:$B,2,0)</f>
        <v>Desember</v>
      </c>
      <c r="BI785">
        <f t="shared" si="27"/>
        <v>2025</v>
      </c>
      <c r="BJ785" t="str">
        <f>VLOOKUP(I785,[1]Dist!$A:$B,2,0)</f>
        <v>Retail</v>
      </c>
      <c r="BK785" t="str">
        <f>IF(I785=11,VLOOKUP(Y785,[2]Sheet1!$C:$N,10,0),IF(I785=13,VLOOKUP(Y785,[3]Sheet1!$C:$N,10,0),IF(I785=15,VLOOKUP(Y785,[4]Sheet1!$C:$N,10,0),"Unknown")))</f>
        <v>ULTRAN</v>
      </c>
      <c r="BL785" t="str">
        <f>IF(I785=11,VLOOKUP(Y785,[2]Sheet1!$C:$N,12,0),IF(I785=13,VLOOKUP(Y785,[3]Sheet1!$C:$N,12,0),IF(I785=15,VLOOKUP(Y785,[4]Sheet1!$C:$N,12,0),"Unknown")))</f>
        <v>ULTRAN VERNIS</v>
      </c>
      <c r="BM785" t="str">
        <f>VLOOKUP(W785,[1]branch!$A:$B,2,0)</f>
        <v>HO CHI MINH</v>
      </c>
    </row>
    <row r="786" spans="1:65" x14ac:dyDescent="0.35">
      <c r="A786" s="10">
        <v>46001</v>
      </c>
      <c r="B786" s="9" t="s">
        <v>1880</v>
      </c>
      <c r="C786" s="9" t="s">
        <v>64</v>
      </c>
      <c r="D786" s="9" t="s">
        <v>92</v>
      </c>
      <c r="E786" s="11">
        <v>60</v>
      </c>
      <c r="F786" s="9" t="s">
        <v>93</v>
      </c>
      <c r="G786" s="9" t="s">
        <v>65</v>
      </c>
      <c r="H786" s="9" t="s">
        <v>66</v>
      </c>
      <c r="I786" s="9">
        <v>13</v>
      </c>
      <c r="J786" s="9" t="s">
        <v>264</v>
      </c>
      <c r="K786" s="9" t="s">
        <v>264</v>
      </c>
      <c r="L786" s="9" t="s">
        <v>264</v>
      </c>
      <c r="M786" s="9" t="s">
        <v>265</v>
      </c>
      <c r="N786" s="9" t="s">
        <v>881</v>
      </c>
      <c r="O786" s="9" t="s">
        <v>150</v>
      </c>
      <c r="P786" s="9" t="s">
        <v>67</v>
      </c>
      <c r="Q786" s="9" t="s">
        <v>98</v>
      </c>
      <c r="R786" s="9" t="s">
        <v>264</v>
      </c>
      <c r="S786" s="9" t="s">
        <v>265</v>
      </c>
      <c r="T786" s="9" t="s">
        <v>799</v>
      </c>
      <c r="U786" s="9" t="s">
        <v>67</v>
      </c>
      <c r="V786" s="9" t="s">
        <v>266</v>
      </c>
      <c r="W786" s="9" t="s">
        <v>267</v>
      </c>
      <c r="X786" s="11">
        <v>20</v>
      </c>
      <c r="Y786" s="9" t="s">
        <v>268</v>
      </c>
      <c r="Z786" s="9" t="s">
        <v>68</v>
      </c>
      <c r="AA786" s="9" t="s">
        <v>269</v>
      </c>
      <c r="AB786" s="9" t="s">
        <v>67</v>
      </c>
      <c r="AC786" s="9" t="s">
        <v>270</v>
      </c>
      <c r="AD786" s="11">
        <v>230</v>
      </c>
      <c r="AE786" s="9" t="s">
        <v>70</v>
      </c>
      <c r="AF786" s="9" t="s">
        <v>71</v>
      </c>
      <c r="AG786" s="13">
        <v>1</v>
      </c>
      <c r="AH786" s="9" t="s">
        <v>92</v>
      </c>
      <c r="AI786" s="13">
        <v>77273</v>
      </c>
      <c r="AJ786" s="13">
        <v>17772790</v>
      </c>
      <c r="AK786" s="11">
        <v>3270194</v>
      </c>
      <c r="AL786" s="11">
        <v>0</v>
      </c>
      <c r="AM786" s="11">
        <v>0</v>
      </c>
      <c r="AN786" s="9" t="s">
        <v>271</v>
      </c>
      <c r="AO786" s="11">
        <v>14502596</v>
      </c>
      <c r="AP786" s="13">
        <v>1160208</v>
      </c>
      <c r="AQ786" s="13">
        <v>15662804</v>
      </c>
      <c r="AR786" s="12">
        <v>152.72</v>
      </c>
      <c r="AS786" s="9" t="s">
        <v>72</v>
      </c>
      <c r="AT786" s="11">
        <v>184</v>
      </c>
      <c r="AU786" s="9" t="s">
        <v>73</v>
      </c>
      <c r="AV786" s="9" t="s">
        <v>67</v>
      </c>
      <c r="AW786" s="9" t="s">
        <v>1657</v>
      </c>
      <c r="AX786" s="10">
        <v>45996</v>
      </c>
      <c r="AY786" s="9" t="s">
        <v>1881</v>
      </c>
      <c r="AZ786" s="9" t="s">
        <v>67</v>
      </c>
      <c r="BA786" s="9" t="s">
        <v>67</v>
      </c>
      <c r="BB786" s="12">
        <v>184</v>
      </c>
      <c r="BC786" s="9" t="s">
        <v>74</v>
      </c>
      <c r="BD786" s="9" t="s">
        <v>104</v>
      </c>
      <c r="BE786" s="9" t="s">
        <v>75</v>
      </c>
      <c r="BF786" s="11">
        <v>0</v>
      </c>
      <c r="BG786">
        <f t="shared" si="26"/>
        <v>12</v>
      </c>
      <c r="BH786" t="str">
        <f>VLOOKUP(BG786,[1]month!$A:$B,2,0)</f>
        <v>Desember</v>
      </c>
      <c r="BI786">
        <f t="shared" si="27"/>
        <v>2025</v>
      </c>
      <c r="BJ786" t="str">
        <f>VLOOKUP(I786,[1]Dist!$A:$B,2,0)</f>
        <v>Retail</v>
      </c>
      <c r="BK786" t="str">
        <f>IF(I786=11,VLOOKUP(Y786,[2]Sheet1!$C:$N,10,0),IF(I786=13,VLOOKUP(Y786,[3]Sheet1!$C:$N,10,0),IF(I786=15,VLOOKUP(Y786,[4]Sheet1!$C:$N,10,0),"Unknown")))</f>
        <v>ULTRAN</v>
      </c>
      <c r="BL786" t="str">
        <f>IF(I786=11,VLOOKUP(Y786,[2]Sheet1!$C:$N,12,0),IF(I786=13,VLOOKUP(Y786,[3]Sheet1!$C:$N,12,0),IF(I786=15,VLOOKUP(Y786,[4]Sheet1!$C:$N,12,0),"Unknown")))</f>
        <v>ULTRAN VERNIS</v>
      </c>
      <c r="BM786" t="str">
        <f>VLOOKUP(W786,[1]branch!$A:$B,2,0)</f>
        <v>HO CHI MINH</v>
      </c>
    </row>
    <row r="787" spans="1:65" x14ac:dyDescent="0.35">
      <c r="A787" s="10">
        <v>46001</v>
      </c>
      <c r="B787" s="9" t="s">
        <v>1882</v>
      </c>
      <c r="C787" s="9" t="s">
        <v>64</v>
      </c>
      <c r="D787" s="9" t="s">
        <v>92</v>
      </c>
      <c r="E787" s="11">
        <v>60</v>
      </c>
      <c r="F787" s="9" t="s">
        <v>93</v>
      </c>
      <c r="G787" s="9" t="s">
        <v>65</v>
      </c>
      <c r="H787" s="9" t="s">
        <v>66</v>
      </c>
      <c r="I787" s="9">
        <v>13</v>
      </c>
      <c r="J787" s="9" t="s">
        <v>264</v>
      </c>
      <c r="K787" s="9" t="s">
        <v>264</v>
      </c>
      <c r="L787" s="9" t="s">
        <v>264</v>
      </c>
      <c r="M787" s="9" t="s">
        <v>265</v>
      </c>
      <c r="N787" s="9" t="s">
        <v>881</v>
      </c>
      <c r="O787" s="9" t="s">
        <v>150</v>
      </c>
      <c r="P787" s="9" t="s">
        <v>67</v>
      </c>
      <c r="Q787" s="9" t="s">
        <v>98</v>
      </c>
      <c r="R787" s="9" t="s">
        <v>264</v>
      </c>
      <c r="S787" s="9" t="s">
        <v>265</v>
      </c>
      <c r="T787" s="9" t="s">
        <v>799</v>
      </c>
      <c r="U787" s="9" t="s">
        <v>67</v>
      </c>
      <c r="V787" s="9" t="s">
        <v>266</v>
      </c>
      <c r="W787" s="9" t="s">
        <v>267</v>
      </c>
      <c r="X787" s="11">
        <v>10</v>
      </c>
      <c r="Y787" s="9" t="s">
        <v>1730</v>
      </c>
      <c r="Z787" s="9" t="s">
        <v>76</v>
      </c>
      <c r="AA787" s="9" t="s">
        <v>1731</v>
      </c>
      <c r="AB787" s="9" t="s">
        <v>67</v>
      </c>
      <c r="AC787" s="9" t="s">
        <v>1732</v>
      </c>
      <c r="AD787" s="11">
        <v>8</v>
      </c>
      <c r="AE787" s="9" t="s">
        <v>70</v>
      </c>
      <c r="AF787" s="9" t="s">
        <v>71</v>
      </c>
      <c r="AG787" s="13">
        <v>1</v>
      </c>
      <c r="AH787" s="9" t="s">
        <v>92</v>
      </c>
      <c r="AI787" s="13">
        <v>136364</v>
      </c>
      <c r="AJ787" s="13">
        <v>1090912</v>
      </c>
      <c r="AK787" s="11">
        <v>228546</v>
      </c>
      <c r="AL787" s="11">
        <v>0</v>
      </c>
      <c r="AM787" s="11">
        <v>0</v>
      </c>
      <c r="AN787" s="9" t="s">
        <v>693</v>
      </c>
      <c r="AO787" s="11">
        <v>862366</v>
      </c>
      <c r="AP787" s="13">
        <v>68989</v>
      </c>
      <c r="AQ787" s="13">
        <v>931355</v>
      </c>
      <c r="AR787" s="12">
        <v>7.992</v>
      </c>
      <c r="AS787" s="9" t="s">
        <v>72</v>
      </c>
      <c r="AT787" s="12">
        <v>7.2</v>
      </c>
      <c r="AU787" s="9" t="s">
        <v>73</v>
      </c>
      <c r="AV787" s="9" t="s">
        <v>67</v>
      </c>
      <c r="AW787" s="9" t="s">
        <v>1276</v>
      </c>
      <c r="AX787" s="10">
        <v>45992</v>
      </c>
      <c r="AY787" s="9" t="s">
        <v>1883</v>
      </c>
      <c r="AZ787" s="9" t="s">
        <v>67</v>
      </c>
      <c r="BA787" s="9" t="s">
        <v>67</v>
      </c>
      <c r="BB787" s="12">
        <v>7.2</v>
      </c>
      <c r="BC787" s="9" t="s">
        <v>74</v>
      </c>
      <c r="BD787" s="9" t="s">
        <v>104</v>
      </c>
      <c r="BE787" s="9" t="s">
        <v>75</v>
      </c>
      <c r="BF787" s="11">
        <v>0</v>
      </c>
      <c r="BG787">
        <f t="shared" si="26"/>
        <v>12</v>
      </c>
      <c r="BH787" t="str">
        <f>VLOOKUP(BG787,[1]month!$A:$B,2,0)</f>
        <v>Desember</v>
      </c>
      <c r="BI787">
        <f t="shared" si="27"/>
        <v>2025</v>
      </c>
      <c r="BJ787" t="str">
        <f>VLOOKUP(I787,[1]Dist!$A:$B,2,0)</f>
        <v>Retail</v>
      </c>
      <c r="BK787" t="str">
        <f>IF(I787=11,VLOOKUP(Y787,[2]Sheet1!$C:$N,10,0),IF(I787=13,VLOOKUP(Y787,[3]Sheet1!$C:$N,10,0),IF(I787=15,VLOOKUP(Y787,[4]Sheet1!$C:$N,10,0),"Unknown")))</f>
        <v>GO FAST</v>
      </c>
      <c r="BL787" t="str">
        <f>IF(I787=11,VLOOKUP(Y787,[2]Sheet1!$C:$N,12,0),IF(I787=13,VLOOKUP(Y787,[3]Sheet1!$C:$N,12,0),IF(I787=15,VLOOKUP(Y787,[4]Sheet1!$C:$N,12,0),"Unknown")))</f>
        <v>GO FAST RMX</v>
      </c>
      <c r="BM787" t="str">
        <f>VLOOKUP(W787,[1]branch!$A:$B,2,0)</f>
        <v>HO CHI MINH</v>
      </c>
    </row>
    <row r="788" spans="1:65" x14ac:dyDescent="0.35">
      <c r="A788" s="10">
        <v>46001</v>
      </c>
      <c r="B788" s="9" t="s">
        <v>1884</v>
      </c>
      <c r="C788" s="9" t="s">
        <v>64</v>
      </c>
      <c r="D788" s="9" t="s">
        <v>92</v>
      </c>
      <c r="E788" s="11">
        <v>60</v>
      </c>
      <c r="F788" s="9" t="s">
        <v>93</v>
      </c>
      <c r="G788" s="9" t="s">
        <v>65</v>
      </c>
      <c r="H788" s="9" t="s">
        <v>66</v>
      </c>
      <c r="I788" s="9">
        <v>13</v>
      </c>
      <c r="J788" s="9" t="s">
        <v>264</v>
      </c>
      <c r="K788" s="9" t="s">
        <v>264</v>
      </c>
      <c r="L788" s="9" t="s">
        <v>264</v>
      </c>
      <c r="M788" s="9" t="s">
        <v>265</v>
      </c>
      <c r="N788" s="9" t="s">
        <v>881</v>
      </c>
      <c r="O788" s="9" t="s">
        <v>150</v>
      </c>
      <c r="P788" s="9" t="s">
        <v>67</v>
      </c>
      <c r="Q788" s="9" t="s">
        <v>98</v>
      </c>
      <c r="R788" s="9" t="s">
        <v>264</v>
      </c>
      <c r="S788" s="9" t="s">
        <v>265</v>
      </c>
      <c r="T788" s="9" t="s">
        <v>799</v>
      </c>
      <c r="U788" s="9" t="s">
        <v>67</v>
      </c>
      <c r="V788" s="9" t="s">
        <v>266</v>
      </c>
      <c r="W788" s="9" t="s">
        <v>267</v>
      </c>
      <c r="X788" s="11">
        <v>10</v>
      </c>
      <c r="Y788" s="9" t="s">
        <v>1885</v>
      </c>
      <c r="Z788" s="9" t="s">
        <v>68</v>
      </c>
      <c r="AA788" s="9" t="s">
        <v>1886</v>
      </c>
      <c r="AB788" s="9" t="s">
        <v>67</v>
      </c>
      <c r="AC788" s="9" t="s">
        <v>382</v>
      </c>
      <c r="AD788" s="11">
        <v>1</v>
      </c>
      <c r="AE788" s="9" t="s">
        <v>70</v>
      </c>
      <c r="AF788" s="9" t="s">
        <v>71</v>
      </c>
      <c r="AG788" s="13">
        <v>1</v>
      </c>
      <c r="AH788" s="9" t="s">
        <v>92</v>
      </c>
      <c r="AI788" s="13">
        <v>1040909</v>
      </c>
      <c r="AJ788" s="13">
        <v>1040909</v>
      </c>
      <c r="AK788" s="11">
        <v>209222</v>
      </c>
      <c r="AL788" s="11">
        <v>0</v>
      </c>
      <c r="AM788" s="11">
        <v>0</v>
      </c>
      <c r="AN788" s="9" t="s">
        <v>1887</v>
      </c>
      <c r="AO788" s="11">
        <v>831687</v>
      </c>
      <c r="AP788" s="13">
        <v>66535</v>
      </c>
      <c r="AQ788" s="13">
        <v>898222</v>
      </c>
      <c r="AR788" s="12">
        <v>6.6</v>
      </c>
      <c r="AS788" s="9" t="s">
        <v>72</v>
      </c>
      <c r="AT788" s="11">
        <v>5</v>
      </c>
      <c r="AU788" s="9" t="s">
        <v>73</v>
      </c>
      <c r="AV788" s="9" t="s">
        <v>67</v>
      </c>
      <c r="AW788" s="9" t="s">
        <v>1888</v>
      </c>
      <c r="AX788" s="10">
        <v>46001</v>
      </c>
      <c r="AY788" s="9" t="s">
        <v>1889</v>
      </c>
      <c r="AZ788" s="9" t="s">
        <v>67</v>
      </c>
      <c r="BA788" s="9" t="s">
        <v>67</v>
      </c>
      <c r="BB788" s="12">
        <v>5</v>
      </c>
      <c r="BC788" s="9" t="s">
        <v>74</v>
      </c>
      <c r="BD788" s="9" t="s">
        <v>104</v>
      </c>
      <c r="BE788" s="9" t="s">
        <v>75</v>
      </c>
      <c r="BF788" s="11">
        <v>0</v>
      </c>
      <c r="BG788">
        <f t="shared" si="26"/>
        <v>12</v>
      </c>
      <c r="BH788" t="str">
        <f>VLOOKUP(BG788,[1]month!$A:$B,2,0)</f>
        <v>Desember</v>
      </c>
      <c r="BI788">
        <f t="shared" si="27"/>
        <v>2025</v>
      </c>
      <c r="BJ788" t="str">
        <f>VLOOKUP(I788,[1]Dist!$A:$B,2,0)</f>
        <v>Retail</v>
      </c>
      <c r="BK788" t="str">
        <f>IF(I788=11,VLOOKUP(Y788,[2]Sheet1!$C:$N,10,0),IF(I788=13,VLOOKUP(Y788,[3]Sheet1!$C:$N,10,0),IF(I788=15,VLOOKUP(Y788,[4]Sheet1!$C:$N,10,0),"Unknown")))</f>
        <v>DECOR</v>
      </c>
      <c r="BL788" t="str">
        <f>IF(I788=11,VLOOKUP(Y788,[2]Sheet1!$C:$N,12,0),IF(I788=13,VLOOKUP(Y788,[3]Sheet1!$C:$N,12,0),IF(I788=15,VLOOKUP(Y788,[4]Sheet1!$C:$N,12,0),"Unknown")))</f>
        <v>DECORSHIELD RMX</v>
      </c>
      <c r="BM788" t="str">
        <f>VLOOKUP(W788,[1]branch!$A:$B,2,0)</f>
        <v>HO CHI MINH</v>
      </c>
    </row>
    <row r="789" spans="1:65" x14ac:dyDescent="0.35">
      <c r="A789" s="10">
        <v>46001</v>
      </c>
      <c r="B789" s="9" t="s">
        <v>1884</v>
      </c>
      <c r="C789" s="9" t="s">
        <v>64</v>
      </c>
      <c r="D789" s="9" t="s">
        <v>92</v>
      </c>
      <c r="E789" s="11">
        <v>60</v>
      </c>
      <c r="F789" s="9" t="s">
        <v>93</v>
      </c>
      <c r="G789" s="9" t="s">
        <v>65</v>
      </c>
      <c r="H789" s="9" t="s">
        <v>66</v>
      </c>
      <c r="I789" s="9">
        <v>13</v>
      </c>
      <c r="J789" s="9" t="s">
        <v>264</v>
      </c>
      <c r="K789" s="9" t="s">
        <v>264</v>
      </c>
      <c r="L789" s="9" t="s">
        <v>264</v>
      </c>
      <c r="M789" s="9" t="s">
        <v>265</v>
      </c>
      <c r="N789" s="9" t="s">
        <v>881</v>
      </c>
      <c r="O789" s="9" t="s">
        <v>150</v>
      </c>
      <c r="P789" s="9" t="s">
        <v>67</v>
      </c>
      <c r="Q789" s="9" t="s">
        <v>98</v>
      </c>
      <c r="R789" s="9" t="s">
        <v>264</v>
      </c>
      <c r="S789" s="9" t="s">
        <v>265</v>
      </c>
      <c r="T789" s="9" t="s">
        <v>799</v>
      </c>
      <c r="U789" s="9" t="s">
        <v>67</v>
      </c>
      <c r="V789" s="9" t="s">
        <v>266</v>
      </c>
      <c r="W789" s="9" t="s">
        <v>267</v>
      </c>
      <c r="X789" s="11">
        <v>20</v>
      </c>
      <c r="Y789" s="9" t="s">
        <v>485</v>
      </c>
      <c r="Z789" s="9" t="s">
        <v>76</v>
      </c>
      <c r="AA789" s="9" t="s">
        <v>486</v>
      </c>
      <c r="AB789" s="9" t="s">
        <v>67</v>
      </c>
      <c r="AC789" s="9" t="s">
        <v>487</v>
      </c>
      <c r="AD789" s="11">
        <v>3</v>
      </c>
      <c r="AE789" s="9" t="s">
        <v>70</v>
      </c>
      <c r="AF789" s="9" t="s">
        <v>71</v>
      </c>
      <c r="AG789" s="13">
        <v>1</v>
      </c>
      <c r="AH789" s="9" t="s">
        <v>92</v>
      </c>
      <c r="AI789" s="13">
        <v>1767273</v>
      </c>
      <c r="AJ789" s="13">
        <v>5301819</v>
      </c>
      <c r="AK789" s="11">
        <v>1065666</v>
      </c>
      <c r="AL789" s="11">
        <v>0</v>
      </c>
      <c r="AM789" s="11">
        <v>0</v>
      </c>
      <c r="AN789" s="9" t="s">
        <v>1887</v>
      </c>
      <c r="AO789" s="11">
        <v>4236153</v>
      </c>
      <c r="AP789" s="13">
        <v>338892</v>
      </c>
      <c r="AQ789" s="13">
        <v>4575045</v>
      </c>
      <c r="AR789" s="11">
        <v>60</v>
      </c>
      <c r="AS789" s="9" t="s">
        <v>72</v>
      </c>
      <c r="AT789" s="12">
        <v>43.17</v>
      </c>
      <c r="AU789" s="9" t="s">
        <v>73</v>
      </c>
      <c r="AV789" s="9" t="s">
        <v>67</v>
      </c>
      <c r="AW789" s="9" t="s">
        <v>1888</v>
      </c>
      <c r="AX789" s="10">
        <v>46001</v>
      </c>
      <c r="AY789" s="9" t="s">
        <v>1889</v>
      </c>
      <c r="AZ789" s="9" t="s">
        <v>67</v>
      </c>
      <c r="BA789" s="9" t="s">
        <v>67</v>
      </c>
      <c r="BB789" s="12">
        <v>60</v>
      </c>
      <c r="BC789" s="9" t="s">
        <v>74</v>
      </c>
      <c r="BD789" s="9" t="s">
        <v>104</v>
      </c>
      <c r="BE789" s="9" t="s">
        <v>75</v>
      </c>
      <c r="BF789" s="11">
        <v>0</v>
      </c>
      <c r="BG789">
        <f t="shared" si="26"/>
        <v>12</v>
      </c>
      <c r="BH789" t="str">
        <f>VLOOKUP(BG789,[1]month!$A:$B,2,0)</f>
        <v>Desember</v>
      </c>
      <c r="BI789">
        <f t="shared" si="27"/>
        <v>2025</v>
      </c>
      <c r="BJ789" t="str">
        <f>VLOOKUP(I789,[1]Dist!$A:$B,2,0)</f>
        <v>Retail</v>
      </c>
      <c r="BK789" t="str">
        <f>IF(I789=11,VLOOKUP(Y789,[2]Sheet1!$C:$N,10,0),IF(I789=13,VLOOKUP(Y789,[3]Sheet1!$C:$N,10,0),IF(I789=15,VLOOKUP(Y789,[4]Sheet1!$C:$N,10,0),"Unknown")))</f>
        <v>WATERPROOFING</v>
      </c>
      <c r="BL789" t="str">
        <f>IF(I789=11,VLOOKUP(Y789,[2]Sheet1!$C:$N,12,0),IF(I789=13,VLOOKUP(Y789,[3]Sheet1!$C:$N,12,0),IF(I789=15,VLOOKUP(Y789,[4]Sheet1!$C:$N,12,0),"Unknown")))</f>
        <v>ULTRAFLEX MEMBRANE</v>
      </c>
      <c r="BM789" t="str">
        <f>VLOOKUP(W789,[1]branch!$A:$B,2,0)</f>
        <v>HO CHI MINH</v>
      </c>
    </row>
    <row r="790" spans="1:65" x14ac:dyDescent="0.35">
      <c r="A790" s="10">
        <v>46001</v>
      </c>
      <c r="B790" s="9" t="s">
        <v>1890</v>
      </c>
      <c r="C790" s="9" t="s">
        <v>64</v>
      </c>
      <c r="D790" s="9" t="s">
        <v>92</v>
      </c>
      <c r="E790" s="11">
        <v>30</v>
      </c>
      <c r="F790" s="9" t="s">
        <v>93</v>
      </c>
      <c r="G790" s="9" t="s">
        <v>65</v>
      </c>
      <c r="H790" s="9" t="s">
        <v>66</v>
      </c>
      <c r="I790" s="9">
        <v>11</v>
      </c>
      <c r="J790" s="9" t="s">
        <v>746</v>
      </c>
      <c r="K790" s="9" t="s">
        <v>746</v>
      </c>
      <c r="L790" s="9" t="s">
        <v>746</v>
      </c>
      <c r="M790" s="9" t="s">
        <v>747</v>
      </c>
      <c r="N790" s="9" t="s">
        <v>748</v>
      </c>
      <c r="O790" s="9" t="s">
        <v>97</v>
      </c>
      <c r="P790" s="9" t="s">
        <v>67</v>
      </c>
      <c r="Q790" s="9" t="s">
        <v>98</v>
      </c>
      <c r="R790" s="9" t="s">
        <v>746</v>
      </c>
      <c r="S790" s="9" t="s">
        <v>747</v>
      </c>
      <c r="T790" s="9" t="s">
        <v>835</v>
      </c>
      <c r="U790" s="9" t="s">
        <v>67</v>
      </c>
      <c r="V790" s="9" t="s">
        <v>194</v>
      </c>
      <c r="W790" s="9" t="s">
        <v>195</v>
      </c>
      <c r="X790" s="11">
        <v>10</v>
      </c>
      <c r="Y790" s="9" t="s">
        <v>291</v>
      </c>
      <c r="Z790" s="9" t="s">
        <v>68</v>
      </c>
      <c r="AA790" s="9" t="s">
        <v>292</v>
      </c>
      <c r="AB790" s="9" t="s">
        <v>67</v>
      </c>
      <c r="AC790" s="9" t="s">
        <v>293</v>
      </c>
      <c r="AD790" s="11">
        <v>15</v>
      </c>
      <c r="AE790" s="9" t="s">
        <v>70</v>
      </c>
      <c r="AF790" s="9" t="s">
        <v>71</v>
      </c>
      <c r="AG790" s="13">
        <v>1</v>
      </c>
      <c r="AH790" s="9" t="s">
        <v>92</v>
      </c>
      <c r="AI790" s="13">
        <v>2356000</v>
      </c>
      <c r="AJ790" s="13">
        <v>35340000</v>
      </c>
      <c r="AK790" s="11">
        <v>0</v>
      </c>
      <c r="AL790" s="11">
        <v>0</v>
      </c>
      <c r="AM790" s="11">
        <v>0</v>
      </c>
      <c r="AN790" s="9" t="s">
        <v>67</v>
      </c>
      <c r="AO790" s="11">
        <v>35340000</v>
      </c>
      <c r="AP790" s="13">
        <v>2827200</v>
      </c>
      <c r="AQ790" s="13">
        <v>38167200</v>
      </c>
      <c r="AR790" s="11">
        <v>300</v>
      </c>
      <c r="AS790" s="9" t="s">
        <v>72</v>
      </c>
      <c r="AT790" s="11">
        <v>300</v>
      </c>
      <c r="AU790" s="9" t="s">
        <v>73</v>
      </c>
      <c r="AV790" s="9" t="s">
        <v>67</v>
      </c>
      <c r="AW790" s="9" t="s">
        <v>1891</v>
      </c>
      <c r="AX790" s="10">
        <v>46000</v>
      </c>
      <c r="AY790" s="9" t="s">
        <v>1892</v>
      </c>
      <c r="AZ790" s="9" t="s">
        <v>67</v>
      </c>
      <c r="BA790" s="9" t="s">
        <v>67</v>
      </c>
      <c r="BB790" s="12">
        <v>300</v>
      </c>
      <c r="BC790" s="9" t="s">
        <v>74</v>
      </c>
      <c r="BD790" s="9" t="s">
        <v>104</v>
      </c>
      <c r="BE790" s="9" t="s">
        <v>75</v>
      </c>
      <c r="BF790" s="11">
        <v>0</v>
      </c>
      <c r="BG790">
        <f t="shared" si="26"/>
        <v>12</v>
      </c>
      <c r="BH790" t="str">
        <f>VLOOKUP(BG790,[1]month!$A:$B,2,0)</f>
        <v>Desember</v>
      </c>
      <c r="BI790">
        <f t="shared" si="27"/>
        <v>2025</v>
      </c>
      <c r="BJ790" t="str">
        <f>VLOOKUP(I790,[1]Dist!$A:$B,2,0)</f>
        <v>Industry</v>
      </c>
      <c r="BK790" t="str">
        <f>IF(I790=11,VLOOKUP(Y790,[2]Sheet1!$C:$N,10,0),IF(I790=13,VLOOKUP(Y790,[3]Sheet1!$C:$N,10,0),IF(I790=15,VLOOKUP(Y790,[4]Sheet1!$C:$N,10,0),"Unknown")))</f>
        <v>PU</v>
      </c>
      <c r="BL790" t="str">
        <f>IF(I790=11,VLOOKUP(Y790,[2]Sheet1!$C:$N,12,0),IF(I790=13,VLOOKUP(Y790,[3]Sheet1!$C:$N,12,0),IF(I790=15,VLOOKUP(Y790,[4]Sheet1!$C:$N,12,0),"Unknown")))</f>
        <v>PU SANDING SEALER</v>
      </c>
      <c r="BM790" t="str">
        <f>VLOOKUP(W790,[1]branch!$A:$B,2,0)</f>
        <v>INDUSTRY</v>
      </c>
    </row>
    <row r="791" spans="1:65" x14ac:dyDescent="0.35">
      <c r="A791" s="10">
        <v>46001</v>
      </c>
      <c r="B791" s="9" t="s">
        <v>1890</v>
      </c>
      <c r="C791" s="9" t="s">
        <v>64</v>
      </c>
      <c r="D791" s="9" t="s">
        <v>92</v>
      </c>
      <c r="E791" s="11">
        <v>30</v>
      </c>
      <c r="F791" s="9" t="s">
        <v>93</v>
      </c>
      <c r="G791" s="9" t="s">
        <v>65</v>
      </c>
      <c r="H791" s="9" t="s">
        <v>66</v>
      </c>
      <c r="I791" s="9">
        <v>11</v>
      </c>
      <c r="J791" s="9" t="s">
        <v>746</v>
      </c>
      <c r="K791" s="9" t="s">
        <v>746</v>
      </c>
      <c r="L791" s="9" t="s">
        <v>746</v>
      </c>
      <c r="M791" s="9" t="s">
        <v>747</v>
      </c>
      <c r="N791" s="9" t="s">
        <v>748</v>
      </c>
      <c r="O791" s="9" t="s">
        <v>97</v>
      </c>
      <c r="P791" s="9" t="s">
        <v>67</v>
      </c>
      <c r="Q791" s="9" t="s">
        <v>98</v>
      </c>
      <c r="R791" s="9" t="s">
        <v>746</v>
      </c>
      <c r="S791" s="9" t="s">
        <v>747</v>
      </c>
      <c r="T791" s="9" t="s">
        <v>835</v>
      </c>
      <c r="U791" s="9" t="s">
        <v>67</v>
      </c>
      <c r="V791" s="9" t="s">
        <v>194</v>
      </c>
      <c r="W791" s="9" t="s">
        <v>195</v>
      </c>
      <c r="X791" s="11">
        <v>20</v>
      </c>
      <c r="Y791" s="9" t="s">
        <v>123</v>
      </c>
      <c r="Z791" s="9" t="s">
        <v>68</v>
      </c>
      <c r="AA791" s="9" t="s">
        <v>124</v>
      </c>
      <c r="AB791" s="9" t="s">
        <v>67</v>
      </c>
      <c r="AC791" s="9" t="s">
        <v>125</v>
      </c>
      <c r="AD791" s="11">
        <v>8</v>
      </c>
      <c r="AE791" s="9" t="s">
        <v>70</v>
      </c>
      <c r="AF791" s="9" t="s">
        <v>71</v>
      </c>
      <c r="AG791" s="13">
        <v>1</v>
      </c>
      <c r="AH791" s="9" t="s">
        <v>92</v>
      </c>
      <c r="AI791" s="13">
        <v>2856000</v>
      </c>
      <c r="AJ791" s="13">
        <v>22848000</v>
      </c>
      <c r="AK791" s="11">
        <v>0</v>
      </c>
      <c r="AL791" s="11">
        <v>0</v>
      </c>
      <c r="AM791" s="11">
        <v>0</v>
      </c>
      <c r="AN791" s="9" t="s">
        <v>67</v>
      </c>
      <c r="AO791" s="11">
        <v>22848000</v>
      </c>
      <c r="AP791" s="13">
        <v>1827840</v>
      </c>
      <c r="AQ791" s="13">
        <v>24675840</v>
      </c>
      <c r="AR791" s="12">
        <v>156.80000000000001</v>
      </c>
      <c r="AS791" s="9" t="s">
        <v>72</v>
      </c>
      <c r="AT791" s="11">
        <v>160</v>
      </c>
      <c r="AU791" s="9" t="s">
        <v>73</v>
      </c>
      <c r="AV791" s="9" t="s">
        <v>67</v>
      </c>
      <c r="AW791" s="9" t="s">
        <v>1891</v>
      </c>
      <c r="AX791" s="10">
        <v>46000</v>
      </c>
      <c r="AY791" s="9" t="s">
        <v>1892</v>
      </c>
      <c r="AZ791" s="9" t="s">
        <v>67</v>
      </c>
      <c r="BA791" s="9" t="s">
        <v>67</v>
      </c>
      <c r="BB791" s="12">
        <v>160</v>
      </c>
      <c r="BC791" s="9" t="s">
        <v>74</v>
      </c>
      <c r="BD791" s="9" t="s">
        <v>104</v>
      </c>
      <c r="BE791" s="9" t="s">
        <v>75</v>
      </c>
      <c r="BF791" s="11">
        <v>0</v>
      </c>
      <c r="BG791">
        <f t="shared" si="26"/>
        <v>12</v>
      </c>
      <c r="BH791" t="str">
        <f>VLOOKUP(BG791,[1]month!$A:$B,2,0)</f>
        <v>Desember</v>
      </c>
      <c r="BI791">
        <f t="shared" si="27"/>
        <v>2025</v>
      </c>
      <c r="BJ791" t="str">
        <f>VLOOKUP(I791,[1]Dist!$A:$B,2,0)</f>
        <v>Industry</v>
      </c>
      <c r="BK791" t="str">
        <f>IF(I791=11,VLOOKUP(Y791,[2]Sheet1!$C:$N,10,0),IF(I791=13,VLOOKUP(Y791,[3]Sheet1!$C:$N,10,0),IF(I791=15,VLOOKUP(Y791,[4]Sheet1!$C:$N,10,0),"Unknown")))</f>
        <v>PU</v>
      </c>
      <c r="BL791" t="str">
        <f>IF(I791=11,VLOOKUP(Y791,[2]Sheet1!$C:$N,12,0),IF(I791=13,VLOOKUP(Y791,[3]Sheet1!$C:$N,12,0),IF(I791=15,VLOOKUP(Y791,[4]Sheet1!$C:$N,12,0),"Unknown")))</f>
        <v>PU HARDENER</v>
      </c>
      <c r="BM791" t="str">
        <f>VLOOKUP(W791,[1]branch!$A:$B,2,0)</f>
        <v>INDUSTRY</v>
      </c>
    </row>
    <row r="792" spans="1:65" x14ac:dyDescent="0.35">
      <c r="A792" s="10">
        <v>46001</v>
      </c>
      <c r="B792" s="9" t="s">
        <v>1893</v>
      </c>
      <c r="C792" s="9" t="s">
        <v>64</v>
      </c>
      <c r="D792" s="9" t="s">
        <v>92</v>
      </c>
      <c r="E792" s="11">
        <v>30</v>
      </c>
      <c r="F792" s="9" t="s">
        <v>93</v>
      </c>
      <c r="G792" s="9" t="s">
        <v>65</v>
      </c>
      <c r="H792" s="9" t="s">
        <v>66</v>
      </c>
      <c r="I792" s="9">
        <v>11</v>
      </c>
      <c r="J792" s="9" t="s">
        <v>746</v>
      </c>
      <c r="K792" s="9" t="s">
        <v>746</v>
      </c>
      <c r="L792" s="9" t="s">
        <v>746</v>
      </c>
      <c r="M792" s="9" t="s">
        <v>747</v>
      </c>
      <c r="N792" s="9" t="s">
        <v>748</v>
      </c>
      <c r="O792" s="9" t="s">
        <v>97</v>
      </c>
      <c r="P792" s="9" t="s">
        <v>67</v>
      </c>
      <c r="Q792" s="9" t="s">
        <v>98</v>
      </c>
      <c r="R792" s="9" t="s">
        <v>746</v>
      </c>
      <c r="S792" s="9" t="s">
        <v>747</v>
      </c>
      <c r="T792" s="9" t="s">
        <v>835</v>
      </c>
      <c r="U792" s="9" t="s">
        <v>67</v>
      </c>
      <c r="V792" s="9" t="s">
        <v>194</v>
      </c>
      <c r="W792" s="9" t="s">
        <v>195</v>
      </c>
      <c r="X792" s="11">
        <v>10</v>
      </c>
      <c r="Y792" s="9" t="s">
        <v>118</v>
      </c>
      <c r="Z792" s="9" t="s">
        <v>68</v>
      </c>
      <c r="AA792" s="9" t="s">
        <v>119</v>
      </c>
      <c r="AB792" s="9" t="s">
        <v>67</v>
      </c>
      <c r="AC792" s="9" t="s">
        <v>120</v>
      </c>
      <c r="AD792" s="11">
        <v>3</v>
      </c>
      <c r="AE792" s="9" t="s">
        <v>70</v>
      </c>
      <c r="AF792" s="9" t="s">
        <v>71</v>
      </c>
      <c r="AG792" s="13">
        <v>1</v>
      </c>
      <c r="AH792" s="9" t="s">
        <v>92</v>
      </c>
      <c r="AI792" s="13">
        <v>8460000</v>
      </c>
      <c r="AJ792" s="13">
        <v>25380000</v>
      </c>
      <c r="AK792" s="11">
        <v>0</v>
      </c>
      <c r="AL792" s="11">
        <v>0</v>
      </c>
      <c r="AM792" s="11">
        <v>0</v>
      </c>
      <c r="AN792" s="9" t="s">
        <v>67</v>
      </c>
      <c r="AO792" s="11">
        <v>25380000</v>
      </c>
      <c r="AP792" s="13">
        <v>2030400</v>
      </c>
      <c r="AQ792" s="13">
        <v>27410400</v>
      </c>
      <c r="AR792" s="11">
        <v>555</v>
      </c>
      <c r="AS792" s="9" t="s">
        <v>72</v>
      </c>
      <c r="AT792" s="11">
        <v>600</v>
      </c>
      <c r="AU792" s="9" t="s">
        <v>73</v>
      </c>
      <c r="AV792" s="9" t="s">
        <v>67</v>
      </c>
      <c r="AW792" s="9" t="s">
        <v>1894</v>
      </c>
      <c r="AX792" s="10">
        <v>46000</v>
      </c>
      <c r="AY792" s="9" t="s">
        <v>1895</v>
      </c>
      <c r="AZ792" s="9" t="s">
        <v>67</v>
      </c>
      <c r="BA792" s="9" t="s">
        <v>67</v>
      </c>
      <c r="BB792" s="12">
        <v>600</v>
      </c>
      <c r="BC792" s="9" t="s">
        <v>74</v>
      </c>
      <c r="BD792" s="9" t="s">
        <v>104</v>
      </c>
      <c r="BE792" s="9" t="s">
        <v>75</v>
      </c>
      <c r="BF792" s="11">
        <v>0</v>
      </c>
      <c r="BG792">
        <f t="shared" si="26"/>
        <v>12</v>
      </c>
      <c r="BH792" t="str">
        <f>VLOOKUP(BG792,[1]month!$A:$B,2,0)</f>
        <v>Desember</v>
      </c>
      <c r="BI792">
        <f t="shared" si="27"/>
        <v>2025</v>
      </c>
      <c r="BJ792" t="str">
        <f>VLOOKUP(I792,[1]Dist!$A:$B,2,0)</f>
        <v>Industry</v>
      </c>
      <c r="BK792" t="str">
        <f>IF(I792=11,VLOOKUP(Y792,[2]Sheet1!$C:$N,10,0),IF(I792=13,VLOOKUP(Y792,[3]Sheet1!$C:$N,10,0),IF(I792=15,VLOOKUP(Y792,[4]Sheet1!$C:$N,10,0),"Unknown")))</f>
        <v>THINNER PU</v>
      </c>
      <c r="BL792" t="str">
        <f>IF(I792=11,VLOOKUP(Y792,[2]Sheet1!$C:$N,12,0),IF(I792=13,VLOOKUP(Y792,[3]Sheet1!$C:$N,12,0),IF(I792=15,VLOOKUP(Y792,[4]Sheet1!$C:$N,12,0),"Unknown")))</f>
        <v>THINNER PU</v>
      </c>
      <c r="BM792" t="str">
        <f>VLOOKUP(W792,[1]branch!$A:$B,2,0)</f>
        <v>INDUSTRY</v>
      </c>
    </row>
    <row r="793" spans="1:65" x14ac:dyDescent="0.35">
      <c r="A793" s="10">
        <v>46001</v>
      </c>
      <c r="B793" s="9" t="s">
        <v>1896</v>
      </c>
      <c r="C793" s="9" t="s">
        <v>64</v>
      </c>
      <c r="D793" s="9" t="s">
        <v>92</v>
      </c>
      <c r="E793" s="11">
        <v>30</v>
      </c>
      <c r="F793" s="9" t="s">
        <v>93</v>
      </c>
      <c r="G793" s="9" t="s">
        <v>65</v>
      </c>
      <c r="H793" s="9" t="s">
        <v>66</v>
      </c>
      <c r="I793" s="9">
        <v>11</v>
      </c>
      <c r="J793" s="9" t="s">
        <v>757</v>
      </c>
      <c r="K793" s="9" t="s">
        <v>757</v>
      </c>
      <c r="L793" s="9" t="s">
        <v>757</v>
      </c>
      <c r="M793" s="9" t="s">
        <v>904</v>
      </c>
      <c r="N793" s="9" t="s">
        <v>679</v>
      </c>
      <c r="O793" s="9" t="s">
        <v>97</v>
      </c>
      <c r="P793" s="9" t="s">
        <v>67</v>
      </c>
      <c r="Q793" s="9" t="s">
        <v>98</v>
      </c>
      <c r="R793" s="9" t="s">
        <v>758</v>
      </c>
      <c r="S793" s="9" t="s">
        <v>904</v>
      </c>
      <c r="T793" s="9" t="s">
        <v>874</v>
      </c>
      <c r="U793" s="9" t="s">
        <v>67</v>
      </c>
      <c r="V793" s="9" t="s">
        <v>99</v>
      </c>
      <c r="W793" s="9" t="s">
        <v>100</v>
      </c>
      <c r="X793" s="11">
        <v>10</v>
      </c>
      <c r="Y793" s="9" t="s">
        <v>507</v>
      </c>
      <c r="Z793" s="9" t="s">
        <v>68</v>
      </c>
      <c r="AA793" s="9" t="s">
        <v>508</v>
      </c>
      <c r="AB793" s="9" t="s">
        <v>67</v>
      </c>
      <c r="AC793" s="9" t="s">
        <v>251</v>
      </c>
      <c r="AD793" s="11">
        <v>17</v>
      </c>
      <c r="AE793" s="9" t="s">
        <v>70</v>
      </c>
      <c r="AF793" s="9" t="s">
        <v>71</v>
      </c>
      <c r="AG793" s="13">
        <v>1</v>
      </c>
      <c r="AH793" s="9" t="s">
        <v>92</v>
      </c>
      <c r="AI793" s="13">
        <v>1594000</v>
      </c>
      <c r="AJ793" s="13">
        <v>27098000</v>
      </c>
      <c r="AK793" s="11">
        <v>0</v>
      </c>
      <c r="AL793" s="11">
        <v>0</v>
      </c>
      <c r="AM793" s="11">
        <v>0</v>
      </c>
      <c r="AN793" s="9" t="s">
        <v>67</v>
      </c>
      <c r="AO793" s="11">
        <v>27098000</v>
      </c>
      <c r="AP793" s="13">
        <v>2167840</v>
      </c>
      <c r="AQ793" s="13">
        <v>29265840</v>
      </c>
      <c r="AR793" s="11">
        <v>340</v>
      </c>
      <c r="AS793" s="9" t="s">
        <v>72</v>
      </c>
      <c r="AT793" s="12">
        <v>309.06</v>
      </c>
      <c r="AU793" s="9" t="s">
        <v>73</v>
      </c>
      <c r="AV793" s="9" t="s">
        <v>67</v>
      </c>
      <c r="AW793" s="9" t="s">
        <v>1897</v>
      </c>
      <c r="AX793" s="10">
        <v>45994</v>
      </c>
      <c r="AY793" s="9" t="s">
        <v>1898</v>
      </c>
      <c r="AZ793" s="9" t="s">
        <v>67</v>
      </c>
      <c r="BA793" s="9" t="s">
        <v>67</v>
      </c>
      <c r="BB793" s="12">
        <v>340</v>
      </c>
      <c r="BC793" s="9" t="s">
        <v>74</v>
      </c>
      <c r="BD793" s="9" t="s">
        <v>104</v>
      </c>
      <c r="BE793" s="9" t="s">
        <v>75</v>
      </c>
      <c r="BF793" s="11">
        <v>0</v>
      </c>
      <c r="BG793">
        <f t="shared" si="26"/>
        <v>12</v>
      </c>
      <c r="BH793" t="str">
        <f>VLOOKUP(BG793,[1]month!$A:$B,2,0)</f>
        <v>Desember</v>
      </c>
      <c r="BI793">
        <f t="shared" si="27"/>
        <v>2025</v>
      </c>
      <c r="BJ793" t="str">
        <f>VLOOKUP(I793,[1]Dist!$A:$B,2,0)</f>
        <v>Industry</v>
      </c>
      <c r="BK793" t="str">
        <f>IF(I793=11,VLOOKUP(Y793,[2]Sheet1!$C:$N,10,0),IF(I793=13,VLOOKUP(Y793,[3]Sheet1!$C:$N,10,0),IF(I793=15,VLOOKUP(Y793,[4]Sheet1!$C:$N,10,0),"Unknown")))</f>
        <v>PU</v>
      </c>
      <c r="BL793" t="str">
        <f>IF(I793=11,VLOOKUP(Y793,[2]Sheet1!$C:$N,12,0),IF(I793=13,VLOOKUP(Y793,[3]Sheet1!$C:$N,12,0),IF(I793=15,VLOOKUP(Y793,[4]Sheet1!$C:$N,12,0),"Unknown")))</f>
        <v>PU SANDING SEALER</v>
      </c>
      <c r="BM793" t="str">
        <f>VLOOKUP(W793,[1]branch!$A:$B,2,0)</f>
        <v>INDUSTRY</v>
      </c>
    </row>
    <row r="794" spans="1:65" x14ac:dyDescent="0.35">
      <c r="A794" s="10">
        <v>46001</v>
      </c>
      <c r="B794" s="9" t="s">
        <v>1896</v>
      </c>
      <c r="C794" s="9" t="s">
        <v>64</v>
      </c>
      <c r="D794" s="9" t="s">
        <v>92</v>
      </c>
      <c r="E794" s="11">
        <v>30</v>
      </c>
      <c r="F794" s="9" t="s">
        <v>93</v>
      </c>
      <c r="G794" s="9" t="s">
        <v>65</v>
      </c>
      <c r="H794" s="9" t="s">
        <v>66</v>
      </c>
      <c r="I794" s="9">
        <v>11</v>
      </c>
      <c r="J794" s="9" t="s">
        <v>757</v>
      </c>
      <c r="K794" s="9" t="s">
        <v>757</v>
      </c>
      <c r="L794" s="9" t="s">
        <v>757</v>
      </c>
      <c r="M794" s="9" t="s">
        <v>904</v>
      </c>
      <c r="N794" s="9" t="s">
        <v>679</v>
      </c>
      <c r="O794" s="9" t="s">
        <v>97</v>
      </c>
      <c r="P794" s="9" t="s">
        <v>67</v>
      </c>
      <c r="Q794" s="9" t="s">
        <v>98</v>
      </c>
      <c r="R794" s="9" t="s">
        <v>758</v>
      </c>
      <c r="S794" s="9" t="s">
        <v>904</v>
      </c>
      <c r="T794" s="9" t="s">
        <v>874</v>
      </c>
      <c r="U794" s="9" t="s">
        <v>67</v>
      </c>
      <c r="V794" s="9" t="s">
        <v>99</v>
      </c>
      <c r="W794" s="9" t="s">
        <v>100</v>
      </c>
      <c r="X794" s="11">
        <v>20</v>
      </c>
      <c r="Y794" s="9" t="s">
        <v>257</v>
      </c>
      <c r="Z794" s="9" t="s">
        <v>68</v>
      </c>
      <c r="AA794" s="9" t="s">
        <v>258</v>
      </c>
      <c r="AB794" s="9" t="s">
        <v>67</v>
      </c>
      <c r="AC794" s="9" t="s">
        <v>259</v>
      </c>
      <c r="AD794" s="11">
        <v>9</v>
      </c>
      <c r="AE794" s="9" t="s">
        <v>70</v>
      </c>
      <c r="AF794" s="9" t="s">
        <v>71</v>
      </c>
      <c r="AG794" s="13">
        <v>1</v>
      </c>
      <c r="AH794" s="9" t="s">
        <v>92</v>
      </c>
      <c r="AI794" s="13">
        <v>1898000</v>
      </c>
      <c r="AJ794" s="13">
        <v>17082000</v>
      </c>
      <c r="AK794" s="11">
        <v>0</v>
      </c>
      <c r="AL794" s="11">
        <v>0</v>
      </c>
      <c r="AM794" s="11">
        <v>0</v>
      </c>
      <c r="AN794" s="9" t="s">
        <v>67</v>
      </c>
      <c r="AO794" s="11">
        <v>17082000</v>
      </c>
      <c r="AP794" s="13">
        <v>1366560</v>
      </c>
      <c r="AQ794" s="13">
        <v>18448560</v>
      </c>
      <c r="AR794" s="11">
        <v>180</v>
      </c>
      <c r="AS794" s="9" t="s">
        <v>72</v>
      </c>
      <c r="AT794" s="12">
        <v>178.29</v>
      </c>
      <c r="AU794" s="9" t="s">
        <v>73</v>
      </c>
      <c r="AV794" s="9" t="s">
        <v>67</v>
      </c>
      <c r="AW794" s="9" t="s">
        <v>1897</v>
      </c>
      <c r="AX794" s="10">
        <v>45994</v>
      </c>
      <c r="AY794" s="9" t="s">
        <v>1898</v>
      </c>
      <c r="AZ794" s="9" t="s">
        <v>67</v>
      </c>
      <c r="BA794" s="9" t="s">
        <v>67</v>
      </c>
      <c r="BB794" s="12">
        <v>180</v>
      </c>
      <c r="BC794" s="9" t="s">
        <v>74</v>
      </c>
      <c r="BD794" s="9" t="s">
        <v>104</v>
      </c>
      <c r="BE794" s="9" t="s">
        <v>75</v>
      </c>
      <c r="BF794" s="11">
        <v>0</v>
      </c>
      <c r="BG794">
        <f t="shared" si="26"/>
        <v>12</v>
      </c>
      <c r="BH794" t="str">
        <f>VLOOKUP(BG794,[1]month!$A:$B,2,0)</f>
        <v>Desember</v>
      </c>
      <c r="BI794">
        <f t="shared" si="27"/>
        <v>2025</v>
      </c>
      <c r="BJ794" t="str">
        <f>VLOOKUP(I794,[1]Dist!$A:$B,2,0)</f>
        <v>Industry</v>
      </c>
      <c r="BK794" t="str">
        <f>IF(I794=11,VLOOKUP(Y794,[2]Sheet1!$C:$N,10,0),IF(I794=13,VLOOKUP(Y794,[3]Sheet1!$C:$N,10,0),IF(I794=15,VLOOKUP(Y794,[4]Sheet1!$C:$N,10,0),"Unknown")))</f>
        <v>PU</v>
      </c>
      <c r="BL794" t="str">
        <f>IF(I794=11,VLOOKUP(Y794,[2]Sheet1!$C:$N,12,0),IF(I794=13,VLOOKUP(Y794,[3]Sheet1!$C:$N,12,0),IF(I794=15,VLOOKUP(Y794,[4]Sheet1!$C:$N,12,0),"Unknown")))</f>
        <v>PU HARDENER</v>
      </c>
      <c r="BM794" t="str">
        <f>VLOOKUP(W794,[1]branch!$A:$B,2,0)</f>
        <v>INDUSTRY</v>
      </c>
    </row>
    <row r="795" spans="1:65" x14ac:dyDescent="0.35">
      <c r="A795" s="10">
        <v>46001</v>
      </c>
      <c r="B795" s="9" t="s">
        <v>1896</v>
      </c>
      <c r="C795" s="9" t="s">
        <v>64</v>
      </c>
      <c r="D795" s="9" t="s">
        <v>92</v>
      </c>
      <c r="E795" s="11">
        <v>30</v>
      </c>
      <c r="F795" s="9" t="s">
        <v>93</v>
      </c>
      <c r="G795" s="9" t="s">
        <v>65</v>
      </c>
      <c r="H795" s="9" t="s">
        <v>66</v>
      </c>
      <c r="I795" s="9">
        <v>11</v>
      </c>
      <c r="J795" s="9" t="s">
        <v>757</v>
      </c>
      <c r="K795" s="9" t="s">
        <v>757</v>
      </c>
      <c r="L795" s="9" t="s">
        <v>757</v>
      </c>
      <c r="M795" s="9" t="s">
        <v>904</v>
      </c>
      <c r="N795" s="9" t="s">
        <v>679</v>
      </c>
      <c r="O795" s="9" t="s">
        <v>97</v>
      </c>
      <c r="P795" s="9" t="s">
        <v>67</v>
      </c>
      <c r="Q795" s="9" t="s">
        <v>98</v>
      </c>
      <c r="R795" s="9" t="s">
        <v>758</v>
      </c>
      <c r="S795" s="9" t="s">
        <v>904</v>
      </c>
      <c r="T795" s="9" t="s">
        <v>874</v>
      </c>
      <c r="U795" s="9" t="s">
        <v>67</v>
      </c>
      <c r="V795" s="9" t="s">
        <v>99</v>
      </c>
      <c r="W795" s="9" t="s">
        <v>100</v>
      </c>
      <c r="X795" s="11">
        <v>30</v>
      </c>
      <c r="Y795" s="9" t="s">
        <v>118</v>
      </c>
      <c r="Z795" s="9" t="s">
        <v>68</v>
      </c>
      <c r="AA795" s="9" t="s">
        <v>119</v>
      </c>
      <c r="AB795" s="9" t="s">
        <v>67</v>
      </c>
      <c r="AC795" s="9" t="s">
        <v>120</v>
      </c>
      <c r="AD795" s="11">
        <v>3</v>
      </c>
      <c r="AE795" s="9" t="s">
        <v>70</v>
      </c>
      <c r="AF795" s="9" t="s">
        <v>71</v>
      </c>
      <c r="AG795" s="13">
        <v>1</v>
      </c>
      <c r="AH795" s="9" t="s">
        <v>92</v>
      </c>
      <c r="AI795" s="13">
        <v>7640000</v>
      </c>
      <c r="AJ795" s="13">
        <v>22920000</v>
      </c>
      <c r="AK795" s="11">
        <v>0</v>
      </c>
      <c r="AL795" s="11">
        <v>0</v>
      </c>
      <c r="AM795" s="11">
        <v>0</v>
      </c>
      <c r="AN795" s="9" t="s">
        <v>67</v>
      </c>
      <c r="AO795" s="11">
        <v>22920000</v>
      </c>
      <c r="AP795" s="13">
        <v>1833600</v>
      </c>
      <c r="AQ795" s="13">
        <v>24753600</v>
      </c>
      <c r="AR795" s="11">
        <v>555</v>
      </c>
      <c r="AS795" s="9" t="s">
        <v>72</v>
      </c>
      <c r="AT795" s="11">
        <v>600</v>
      </c>
      <c r="AU795" s="9" t="s">
        <v>73</v>
      </c>
      <c r="AV795" s="9" t="s">
        <v>67</v>
      </c>
      <c r="AW795" s="9" t="s">
        <v>1897</v>
      </c>
      <c r="AX795" s="10">
        <v>45994</v>
      </c>
      <c r="AY795" s="9" t="s">
        <v>1898</v>
      </c>
      <c r="AZ795" s="9" t="s">
        <v>67</v>
      </c>
      <c r="BA795" s="9" t="s">
        <v>67</v>
      </c>
      <c r="BB795" s="12">
        <v>600</v>
      </c>
      <c r="BC795" s="9" t="s">
        <v>74</v>
      </c>
      <c r="BD795" s="9" t="s">
        <v>104</v>
      </c>
      <c r="BE795" s="9" t="s">
        <v>75</v>
      </c>
      <c r="BF795" s="11">
        <v>0</v>
      </c>
      <c r="BG795">
        <f t="shared" si="26"/>
        <v>12</v>
      </c>
      <c r="BH795" t="str">
        <f>VLOOKUP(BG795,[1]month!$A:$B,2,0)</f>
        <v>Desember</v>
      </c>
      <c r="BI795">
        <f t="shared" si="27"/>
        <v>2025</v>
      </c>
      <c r="BJ795" t="str">
        <f>VLOOKUP(I795,[1]Dist!$A:$B,2,0)</f>
        <v>Industry</v>
      </c>
      <c r="BK795" t="str">
        <f>IF(I795=11,VLOOKUP(Y795,[2]Sheet1!$C:$N,10,0),IF(I795=13,VLOOKUP(Y795,[3]Sheet1!$C:$N,10,0),IF(I795=15,VLOOKUP(Y795,[4]Sheet1!$C:$N,10,0),"Unknown")))</f>
        <v>THINNER PU</v>
      </c>
      <c r="BL795" t="str">
        <f>IF(I795=11,VLOOKUP(Y795,[2]Sheet1!$C:$N,12,0),IF(I795=13,VLOOKUP(Y795,[3]Sheet1!$C:$N,12,0),IF(I795=15,VLOOKUP(Y795,[4]Sheet1!$C:$N,12,0),"Unknown")))</f>
        <v>THINNER PU</v>
      </c>
      <c r="BM795" t="str">
        <f>VLOOKUP(W795,[1]branch!$A:$B,2,0)</f>
        <v>INDUSTRY</v>
      </c>
    </row>
    <row r="796" spans="1:65" x14ac:dyDescent="0.35">
      <c r="A796" s="10">
        <v>46001</v>
      </c>
      <c r="B796" s="9" t="s">
        <v>1896</v>
      </c>
      <c r="C796" s="9" t="s">
        <v>64</v>
      </c>
      <c r="D796" s="9" t="s">
        <v>92</v>
      </c>
      <c r="E796" s="11">
        <v>30</v>
      </c>
      <c r="F796" s="9" t="s">
        <v>93</v>
      </c>
      <c r="G796" s="9" t="s">
        <v>65</v>
      </c>
      <c r="H796" s="9" t="s">
        <v>66</v>
      </c>
      <c r="I796" s="9">
        <v>11</v>
      </c>
      <c r="J796" s="9" t="s">
        <v>757</v>
      </c>
      <c r="K796" s="9" t="s">
        <v>757</v>
      </c>
      <c r="L796" s="9" t="s">
        <v>757</v>
      </c>
      <c r="M796" s="9" t="s">
        <v>904</v>
      </c>
      <c r="N796" s="9" t="s">
        <v>679</v>
      </c>
      <c r="O796" s="9" t="s">
        <v>97</v>
      </c>
      <c r="P796" s="9" t="s">
        <v>67</v>
      </c>
      <c r="Q796" s="9" t="s">
        <v>98</v>
      </c>
      <c r="R796" s="9" t="s">
        <v>758</v>
      </c>
      <c r="S796" s="9" t="s">
        <v>904</v>
      </c>
      <c r="T796" s="9" t="s">
        <v>874</v>
      </c>
      <c r="U796" s="9" t="s">
        <v>67</v>
      </c>
      <c r="V796" s="9" t="s">
        <v>99</v>
      </c>
      <c r="W796" s="9" t="s">
        <v>100</v>
      </c>
      <c r="X796" s="11">
        <v>40</v>
      </c>
      <c r="Y796" s="9" t="s">
        <v>294</v>
      </c>
      <c r="Z796" s="9" t="s">
        <v>68</v>
      </c>
      <c r="AA796" s="9" t="s">
        <v>295</v>
      </c>
      <c r="AB796" s="9" t="s">
        <v>67</v>
      </c>
      <c r="AC796" s="9" t="s">
        <v>248</v>
      </c>
      <c r="AD796" s="11">
        <v>6</v>
      </c>
      <c r="AE796" s="9" t="s">
        <v>70</v>
      </c>
      <c r="AF796" s="9" t="s">
        <v>71</v>
      </c>
      <c r="AG796" s="13">
        <v>1</v>
      </c>
      <c r="AH796" s="9" t="s">
        <v>92</v>
      </c>
      <c r="AI796" s="13">
        <v>3126000</v>
      </c>
      <c r="AJ796" s="13">
        <v>18756000</v>
      </c>
      <c r="AK796" s="11">
        <v>0</v>
      </c>
      <c r="AL796" s="11">
        <v>0</v>
      </c>
      <c r="AM796" s="11">
        <v>0</v>
      </c>
      <c r="AN796" s="9" t="s">
        <v>67</v>
      </c>
      <c r="AO796" s="11">
        <v>18756000</v>
      </c>
      <c r="AP796" s="13">
        <v>1500480</v>
      </c>
      <c r="AQ796" s="13">
        <v>20256480</v>
      </c>
      <c r="AR796" s="12">
        <v>115.2</v>
      </c>
      <c r="AS796" s="9" t="s">
        <v>72</v>
      </c>
      <c r="AT796" s="11">
        <v>120</v>
      </c>
      <c r="AU796" s="9" t="s">
        <v>73</v>
      </c>
      <c r="AV796" s="9" t="s">
        <v>67</v>
      </c>
      <c r="AW796" s="9" t="s">
        <v>1897</v>
      </c>
      <c r="AX796" s="10">
        <v>45994</v>
      </c>
      <c r="AY796" s="9" t="s">
        <v>1898</v>
      </c>
      <c r="AZ796" s="9" t="s">
        <v>67</v>
      </c>
      <c r="BA796" s="9" t="s">
        <v>67</v>
      </c>
      <c r="BB796" s="12">
        <v>120</v>
      </c>
      <c r="BC796" s="9" t="s">
        <v>74</v>
      </c>
      <c r="BD796" s="9" t="s">
        <v>104</v>
      </c>
      <c r="BE796" s="9" t="s">
        <v>75</v>
      </c>
      <c r="BF796" s="11">
        <v>0</v>
      </c>
      <c r="BG796">
        <f t="shared" si="26"/>
        <v>12</v>
      </c>
      <c r="BH796" t="str">
        <f>VLOOKUP(BG796,[1]month!$A:$B,2,0)</f>
        <v>Desember</v>
      </c>
      <c r="BI796">
        <f t="shared" si="27"/>
        <v>2025</v>
      </c>
      <c r="BJ796" t="str">
        <f>VLOOKUP(I796,[1]Dist!$A:$B,2,0)</f>
        <v>Industry</v>
      </c>
      <c r="BK796" t="str">
        <f>IF(I796=11,VLOOKUP(Y796,[2]Sheet1!$C:$N,10,0),IF(I796=13,VLOOKUP(Y796,[3]Sheet1!$C:$N,10,0),IF(I796=15,VLOOKUP(Y796,[4]Sheet1!$C:$N,10,0),"Unknown")))</f>
        <v>PU</v>
      </c>
      <c r="BL796" t="str">
        <f>IF(I796=11,VLOOKUP(Y796,[2]Sheet1!$C:$N,12,0),IF(I796=13,VLOOKUP(Y796,[3]Sheet1!$C:$N,12,0),IF(I796=15,VLOOKUP(Y796,[4]Sheet1!$C:$N,12,0),"Unknown")))</f>
        <v>PU LACQUER</v>
      </c>
      <c r="BM796" t="str">
        <f>VLOOKUP(W796,[1]branch!$A:$B,2,0)</f>
        <v>INDUSTRY</v>
      </c>
    </row>
    <row r="797" spans="1:65" x14ac:dyDescent="0.35">
      <c r="A797" s="10">
        <v>46001</v>
      </c>
      <c r="B797" s="9" t="s">
        <v>1896</v>
      </c>
      <c r="C797" s="9" t="s">
        <v>64</v>
      </c>
      <c r="D797" s="9" t="s">
        <v>92</v>
      </c>
      <c r="E797" s="11">
        <v>30</v>
      </c>
      <c r="F797" s="9" t="s">
        <v>93</v>
      </c>
      <c r="G797" s="9" t="s">
        <v>65</v>
      </c>
      <c r="H797" s="9" t="s">
        <v>66</v>
      </c>
      <c r="I797" s="9">
        <v>11</v>
      </c>
      <c r="J797" s="9" t="s">
        <v>757</v>
      </c>
      <c r="K797" s="9" t="s">
        <v>757</v>
      </c>
      <c r="L797" s="9" t="s">
        <v>757</v>
      </c>
      <c r="M797" s="9" t="s">
        <v>904</v>
      </c>
      <c r="N797" s="9" t="s">
        <v>679</v>
      </c>
      <c r="O797" s="9" t="s">
        <v>97</v>
      </c>
      <c r="P797" s="9" t="s">
        <v>67</v>
      </c>
      <c r="Q797" s="9" t="s">
        <v>98</v>
      </c>
      <c r="R797" s="9" t="s">
        <v>758</v>
      </c>
      <c r="S797" s="9" t="s">
        <v>904</v>
      </c>
      <c r="T797" s="9" t="s">
        <v>874</v>
      </c>
      <c r="U797" s="9" t="s">
        <v>67</v>
      </c>
      <c r="V797" s="9" t="s">
        <v>99</v>
      </c>
      <c r="W797" s="9" t="s">
        <v>100</v>
      </c>
      <c r="X797" s="11">
        <v>50</v>
      </c>
      <c r="Y797" s="9" t="s">
        <v>123</v>
      </c>
      <c r="Z797" s="9" t="s">
        <v>68</v>
      </c>
      <c r="AA797" s="9" t="s">
        <v>124</v>
      </c>
      <c r="AB797" s="9" t="s">
        <v>67</v>
      </c>
      <c r="AC797" s="9" t="s">
        <v>125</v>
      </c>
      <c r="AD797" s="11">
        <v>3</v>
      </c>
      <c r="AE797" s="9" t="s">
        <v>70</v>
      </c>
      <c r="AF797" s="9" t="s">
        <v>71</v>
      </c>
      <c r="AG797" s="13">
        <v>1</v>
      </c>
      <c r="AH797" s="9" t="s">
        <v>92</v>
      </c>
      <c r="AI797" s="13">
        <v>2580000</v>
      </c>
      <c r="AJ797" s="13">
        <v>7740000</v>
      </c>
      <c r="AK797" s="11">
        <v>0</v>
      </c>
      <c r="AL797" s="11">
        <v>0</v>
      </c>
      <c r="AM797" s="11">
        <v>0</v>
      </c>
      <c r="AN797" s="9" t="s">
        <v>67</v>
      </c>
      <c r="AO797" s="11">
        <v>7740000</v>
      </c>
      <c r="AP797" s="13">
        <v>619200</v>
      </c>
      <c r="AQ797" s="13">
        <v>8359200</v>
      </c>
      <c r="AR797" s="12">
        <v>58.8</v>
      </c>
      <c r="AS797" s="9" t="s">
        <v>72</v>
      </c>
      <c r="AT797" s="11">
        <v>60</v>
      </c>
      <c r="AU797" s="9" t="s">
        <v>73</v>
      </c>
      <c r="AV797" s="9" t="s">
        <v>67</v>
      </c>
      <c r="AW797" s="9" t="s">
        <v>1897</v>
      </c>
      <c r="AX797" s="10">
        <v>45994</v>
      </c>
      <c r="AY797" s="9" t="s">
        <v>1898</v>
      </c>
      <c r="AZ797" s="9" t="s">
        <v>67</v>
      </c>
      <c r="BA797" s="9" t="s">
        <v>67</v>
      </c>
      <c r="BB797" s="12">
        <v>60</v>
      </c>
      <c r="BC797" s="9" t="s">
        <v>74</v>
      </c>
      <c r="BD797" s="9" t="s">
        <v>104</v>
      </c>
      <c r="BE797" s="9" t="s">
        <v>75</v>
      </c>
      <c r="BF797" s="11">
        <v>0</v>
      </c>
      <c r="BG797">
        <f t="shared" si="26"/>
        <v>12</v>
      </c>
      <c r="BH797" t="str">
        <f>VLOOKUP(BG797,[1]month!$A:$B,2,0)</f>
        <v>Desember</v>
      </c>
      <c r="BI797">
        <f t="shared" si="27"/>
        <v>2025</v>
      </c>
      <c r="BJ797" t="str">
        <f>VLOOKUP(I797,[1]Dist!$A:$B,2,0)</f>
        <v>Industry</v>
      </c>
      <c r="BK797" t="str">
        <f>IF(I797=11,VLOOKUP(Y797,[2]Sheet1!$C:$N,10,0),IF(I797=13,VLOOKUP(Y797,[3]Sheet1!$C:$N,10,0),IF(I797=15,VLOOKUP(Y797,[4]Sheet1!$C:$N,10,0),"Unknown")))</f>
        <v>PU</v>
      </c>
      <c r="BL797" t="str">
        <f>IF(I797=11,VLOOKUP(Y797,[2]Sheet1!$C:$N,12,0),IF(I797=13,VLOOKUP(Y797,[3]Sheet1!$C:$N,12,0),IF(I797=15,VLOOKUP(Y797,[4]Sheet1!$C:$N,12,0),"Unknown")))</f>
        <v>PU HARDENER</v>
      </c>
      <c r="BM797" t="str">
        <f>VLOOKUP(W797,[1]branch!$A:$B,2,0)</f>
        <v>INDUSTRY</v>
      </c>
    </row>
    <row r="798" spans="1:65" x14ac:dyDescent="0.35">
      <c r="A798" s="10">
        <v>46001</v>
      </c>
      <c r="B798" s="9" t="s">
        <v>1896</v>
      </c>
      <c r="C798" s="9" t="s">
        <v>64</v>
      </c>
      <c r="D798" s="9" t="s">
        <v>92</v>
      </c>
      <c r="E798" s="11">
        <v>30</v>
      </c>
      <c r="F798" s="9" t="s">
        <v>93</v>
      </c>
      <c r="G798" s="9" t="s">
        <v>65</v>
      </c>
      <c r="H798" s="9" t="s">
        <v>66</v>
      </c>
      <c r="I798" s="9">
        <v>11</v>
      </c>
      <c r="J798" s="9" t="s">
        <v>757</v>
      </c>
      <c r="K798" s="9" t="s">
        <v>757</v>
      </c>
      <c r="L798" s="9" t="s">
        <v>757</v>
      </c>
      <c r="M798" s="9" t="s">
        <v>904</v>
      </c>
      <c r="N798" s="9" t="s">
        <v>679</v>
      </c>
      <c r="O798" s="9" t="s">
        <v>97</v>
      </c>
      <c r="P798" s="9" t="s">
        <v>67</v>
      </c>
      <c r="Q798" s="9" t="s">
        <v>98</v>
      </c>
      <c r="R798" s="9" t="s">
        <v>758</v>
      </c>
      <c r="S798" s="9" t="s">
        <v>904</v>
      </c>
      <c r="T798" s="9" t="s">
        <v>874</v>
      </c>
      <c r="U798" s="9" t="s">
        <v>67</v>
      </c>
      <c r="V798" s="9" t="s">
        <v>99</v>
      </c>
      <c r="W798" s="9" t="s">
        <v>100</v>
      </c>
      <c r="X798" s="11">
        <v>60</v>
      </c>
      <c r="Y798" s="9" t="s">
        <v>203</v>
      </c>
      <c r="Z798" s="9" t="s">
        <v>68</v>
      </c>
      <c r="AA798" s="9" t="s">
        <v>204</v>
      </c>
      <c r="AB798" s="9" t="s">
        <v>67</v>
      </c>
      <c r="AC798" s="9" t="s">
        <v>205</v>
      </c>
      <c r="AD798" s="11">
        <v>1</v>
      </c>
      <c r="AE798" s="9" t="s">
        <v>70</v>
      </c>
      <c r="AF798" s="9" t="s">
        <v>71</v>
      </c>
      <c r="AG798" s="13">
        <v>1</v>
      </c>
      <c r="AH798" s="9" t="s">
        <v>92</v>
      </c>
      <c r="AI798" s="13">
        <v>958000</v>
      </c>
      <c r="AJ798" s="13">
        <v>958000</v>
      </c>
      <c r="AK798" s="11">
        <v>0</v>
      </c>
      <c r="AL798" s="11">
        <v>0</v>
      </c>
      <c r="AM798" s="11">
        <v>0</v>
      </c>
      <c r="AN798" s="9" t="s">
        <v>67</v>
      </c>
      <c r="AO798" s="11">
        <v>958000</v>
      </c>
      <c r="AP798" s="13">
        <v>76640</v>
      </c>
      <c r="AQ798" s="13">
        <v>1034640</v>
      </c>
      <c r="AR798" s="12">
        <v>19.600000000000001</v>
      </c>
      <c r="AS798" s="9" t="s">
        <v>72</v>
      </c>
      <c r="AT798" s="11">
        <v>20</v>
      </c>
      <c r="AU798" s="9" t="s">
        <v>73</v>
      </c>
      <c r="AV798" s="9" t="s">
        <v>67</v>
      </c>
      <c r="AW798" s="9" t="s">
        <v>1897</v>
      </c>
      <c r="AX798" s="10">
        <v>45994</v>
      </c>
      <c r="AY798" s="9" t="s">
        <v>1898</v>
      </c>
      <c r="AZ798" s="9" t="s">
        <v>67</v>
      </c>
      <c r="BA798" s="9" t="s">
        <v>67</v>
      </c>
      <c r="BB798" s="12">
        <v>20</v>
      </c>
      <c r="BC798" s="9" t="s">
        <v>74</v>
      </c>
      <c r="BD798" s="9" t="s">
        <v>104</v>
      </c>
      <c r="BE798" s="9" t="s">
        <v>75</v>
      </c>
      <c r="BF798" s="11">
        <v>0</v>
      </c>
      <c r="BG798">
        <f t="shared" si="26"/>
        <v>12</v>
      </c>
      <c r="BH798" t="str">
        <f>VLOOKUP(BG798,[1]month!$A:$B,2,0)</f>
        <v>Desember</v>
      </c>
      <c r="BI798">
        <f t="shared" si="27"/>
        <v>2025</v>
      </c>
      <c r="BJ798" t="str">
        <f>VLOOKUP(I798,[1]Dist!$A:$B,2,0)</f>
        <v>Industry</v>
      </c>
      <c r="BK798" t="str">
        <f>IF(I798=11,VLOOKUP(Y798,[2]Sheet1!$C:$N,10,0),IF(I798=13,VLOOKUP(Y798,[3]Sheet1!$C:$N,10,0),IF(I798=15,VLOOKUP(Y798,[4]Sheet1!$C:$N,10,0),"Unknown")))</f>
        <v>COMPLEMENTARY</v>
      </c>
      <c r="BL798" t="str">
        <f>IF(I798=11,VLOOKUP(Y798,[2]Sheet1!$C:$N,12,0),IF(I798=13,VLOOKUP(Y798,[3]Sheet1!$C:$N,12,0),IF(I798=15,VLOOKUP(Y798,[4]Sheet1!$C:$N,12,0),"Unknown")))</f>
        <v>RETARDER</v>
      </c>
      <c r="BM798" t="str">
        <f>VLOOKUP(W798,[1]branch!$A:$B,2,0)</f>
        <v>INDUSTRY</v>
      </c>
    </row>
    <row r="799" spans="1:65" x14ac:dyDescent="0.35">
      <c r="A799" s="10">
        <v>46001</v>
      </c>
      <c r="B799" s="9" t="s">
        <v>1899</v>
      </c>
      <c r="C799" s="9" t="s">
        <v>64</v>
      </c>
      <c r="D799" s="9" t="s">
        <v>92</v>
      </c>
      <c r="E799" s="11">
        <v>90</v>
      </c>
      <c r="F799" s="9" t="s">
        <v>93</v>
      </c>
      <c r="G799" s="9" t="s">
        <v>65</v>
      </c>
      <c r="H799" s="9" t="s">
        <v>66</v>
      </c>
      <c r="I799" s="9">
        <v>13</v>
      </c>
      <c r="J799" s="9" t="s">
        <v>766</v>
      </c>
      <c r="K799" s="9" t="s">
        <v>766</v>
      </c>
      <c r="L799" s="9" t="s">
        <v>766</v>
      </c>
      <c r="M799" s="9" t="s">
        <v>767</v>
      </c>
      <c r="N799" s="9" t="s">
        <v>709</v>
      </c>
      <c r="O799" s="9" t="s">
        <v>302</v>
      </c>
      <c r="P799" s="9" t="s">
        <v>67</v>
      </c>
      <c r="Q799" s="9" t="s">
        <v>98</v>
      </c>
      <c r="R799" s="9" t="s">
        <v>766</v>
      </c>
      <c r="S799" s="9" t="s">
        <v>767</v>
      </c>
      <c r="T799" s="9" t="s">
        <v>806</v>
      </c>
      <c r="U799" s="9" t="s">
        <v>67</v>
      </c>
      <c r="V799" s="9" t="s">
        <v>151</v>
      </c>
      <c r="W799" s="9" t="s">
        <v>152</v>
      </c>
      <c r="X799" s="11">
        <v>40</v>
      </c>
      <c r="Y799" s="9" t="s">
        <v>923</v>
      </c>
      <c r="Z799" s="9" t="s">
        <v>76</v>
      </c>
      <c r="AA799" s="9" t="s">
        <v>924</v>
      </c>
      <c r="AB799" s="9" t="s">
        <v>67</v>
      </c>
      <c r="AC799" s="9" t="s">
        <v>910</v>
      </c>
      <c r="AD799" s="11">
        <v>9</v>
      </c>
      <c r="AE799" s="9" t="s">
        <v>156</v>
      </c>
      <c r="AF799" s="9" t="s">
        <v>71</v>
      </c>
      <c r="AG799" s="13">
        <v>1</v>
      </c>
      <c r="AH799" s="9" t="s">
        <v>92</v>
      </c>
      <c r="AI799" s="13">
        <v>1833333</v>
      </c>
      <c r="AJ799" s="13">
        <v>16499997</v>
      </c>
      <c r="AK799" s="11">
        <v>3629999</v>
      </c>
      <c r="AL799" s="11">
        <v>0</v>
      </c>
      <c r="AM799" s="11">
        <v>0</v>
      </c>
      <c r="AN799" s="9" t="s">
        <v>784</v>
      </c>
      <c r="AO799" s="11">
        <v>12869998</v>
      </c>
      <c r="AP799" s="13">
        <v>1029600</v>
      </c>
      <c r="AQ799" s="13">
        <v>13899598</v>
      </c>
      <c r="AR799" s="11">
        <v>225</v>
      </c>
      <c r="AS799" s="9" t="s">
        <v>72</v>
      </c>
      <c r="AT799" s="12">
        <v>153.18899999999999</v>
      </c>
      <c r="AU799" s="9" t="s">
        <v>73</v>
      </c>
      <c r="AV799" s="9" t="s">
        <v>67</v>
      </c>
      <c r="AW799" s="9" t="s">
        <v>958</v>
      </c>
      <c r="AX799" s="10">
        <v>45988</v>
      </c>
      <c r="AY799" s="9" t="s">
        <v>1900</v>
      </c>
      <c r="AZ799" s="9" t="s">
        <v>67</v>
      </c>
      <c r="BA799" s="9" t="s">
        <v>67</v>
      </c>
      <c r="BB799" s="12">
        <v>225</v>
      </c>
      <c r="BC799" s="9" t="s">
        <v>74</v>
      </c>
      <c r="BD799" s="9" t="s">
        <v>104</v>
      </c>
      <c r="BE799" s="9" t="s">
        <v>75</v>
      </c>
      <c r="BF799" s="11">
        <v>0</v>
      </c>
      <c r="BG799">
        <f t="shared" si="26"/>
        <v>12</v>
      </c>
      <c r="BH799" t="str">
        <f>VLOOKUP(BG799,[1]month!$A:$B,2,0)</f>
        <v>Desember</v>
      </c>
      <c r="BI799">
        <f t="shared" si="27"/>
        <v>2025</v>
      </c>
      <c r="BJ799" t="str">
        <f>VLOOKUP(I799,[1]Dist!$A:$B,2,0)</f>
        <v>Retail</v>
      </c>
      <c r="BK799" t="str">
        <f>IF(I799=11,VLOOKUP(Y799,[2]Sheet1!$C:$N,10,0),IF(I799=13,VLOOKUP(Y799,[3]Sheet1!$C:$N,10,0),IF(I799=15,VLOOKUP(Y799,[4]Sheet1!$C:$N,10,0),"Unknown")))</f>
        <v>TENNOKOTE</v>
      </c>
      <c r="BL799" t="str">
        <f>IF(I799=11,VLOOKUP(Y799,[2]Sheet1!$C:$N,12,0),IF(I799=13,VLOOKUP(Y799,[3]Sheet1!$C:$N,12,0),IF(I799=15,VLOOKUP(Y799,[4]Sheet1!$C:$N,12,0),"Unknown")))</f>
        <v>TENNOKOTE BASE</v>
      </c>
      <c r="BM799" t="str">
        <f>VLOOKUP(W799,[1]branch!$A:$B,2,0)</f>
        <v>HO CHI MINH</v>
      </c>
    </row>
    <row r="800" spans="1:65" x14ac:dyDescent="0.35">
      <c r="A800" s="10">
        <v>46001</v>
      </c>
      <c r="B800" s="9" t="s">
        <v>1899</v>
      </c>
      <c r="C800" s="9" t="s">
        <v>64</v>
      </c>
      <c r="D800" s="9" t="s">
        <v>92</v>
      </c>
      <c r="E800" s="11">
        <v>90</v>
      </c>
      <c r="F800" s="9" t="s">
        <v>93</v>
      </c>
      <c r="G800" s="9" t="s">
        <v>65</v>
      </c>
      <c r="H800" s="9" t="s">
        <v>66</v>
      </c>
      <c r="I800" s="9">
        <v>13</v>
      </c>
      <c r="J800" s="9" t="s">
        <v>766</v>
      </c>
      <c r="K800" s="9" t="s">
        <v>766</v>
      </c>
      <c r="L800" s="9" t="s">
        <v>766</v>
      </c>
      <c r="M800" s="9" t="s">
        <v>767</v>
      </c>
      <c r="N800" s="9" t="s">
        <v>709</v>
      </c>
      <c r="O800" s="9" t="s">
        <v>302</v>
      </c>
      <c r="P800" s="9" t="s">
        <v>67</v>
      </c>
      <c r="Q800" s="9" t="s">
        <v>98</v>
      </c>
      <c r="R800" s="9" t="s">
        <v>766</v>
      </c>
      <c r="S800" s="9" t="s">
        <v>767</v>
      </c>
      <c r="T800" s="9" t="s">
        <v>806</v>
      </c>
      <c r="U800" s="9" t="s">
        <v>67</v>
      </c>
      <c r="V800" s="9" t="s">
        <v>151</v>
      </c>
      <c r="W800" s="9" t="s">
        <v>152</v>
      </c>
      <c r="X800" s="11">
        <v>50</v>
      </c>
      <c r="Y800" s="9" t="s">
        <v>1901</v>
      </c>
      <c r="Z800" s="9" t="s">
        <v>76</v>
      </c>
      <c r="AA800" s="9" t="s">
        <v>1902</v>
      </c>
      <c r="AB800" s="9" t="s">
        <v>67</v>
      </c>
      <c r="AC800" s="9" t="s">
        <v>910</v>
      </c>
      <c r="AD800" s="11">
        <v>12</v>
      </c>
      <c r="AE800" s="9" t="s">
        <v>156</v>
      </c>
      <c r="AF800" s="9" t="s">
        <v>71</v>
      </c>
      <c r="AG800" s="13">
        <v>1</v>
      </c>
      <c r="AH800" s="9" t="s">
        <v>92</v>
      </c>
      <c r="AI800" s="13">
        <v>398148</v>
      </c>
      <c r="AJ800" s="13">
        <v>4777776</v>
      </c>
      <c r="AK800" s="11">
        <v>1051111</v>
      </c>
      <c r="AL800" s="11">
        <v>0</v>
      </c>
      <c r="AM800" s="11">
        <v>0</v>
      </c>
      <c r="AN800" s="9" t="s">
        <v>784</v>
      </c>
      <c r="AO800" s="11">
        <v>3726665</v>
      </c>
      <c r="AP800" s="13">
        <v>298133</v>
      </c>
      <c r="AQ800" s="13">
        <v>4024798</v>
      </c>
      <c r="AR800" s="11">
        <v>60</v>
      </c>
      <c r="AS800" s="9" t="s">
        <v>72</v>
      </c>
      <c r="AT800" s="12">
        <v>40.847999999999999</v>
      </c>
      <c r="AU800" s="9" t="s">
        <v>73</v>
      </c>
      <c r="AV800" s="9" t="s">
        <v>67</v>
      </c>
      <c r="AW800" s="9" t="s">
        <v>958</v>
      </c>
      <c r="AX800" s="10">
        <v>45988</v>
      </c>
      <c r="AY800" s="9" t="s">
        <v>1900</v>
      </c>
      <c r="AZ800" s="9" t="s">
        <v>67</v>
      </c>
      <c r="BA800" s="9" t="s">
        <v>67</v>
      </c>
      <c r="BB800" s="12">
        <v>60</v>
      </c>
      <c r="BC800" s="9" t="s">
        <v>74</v>
      </c>
      <c r="BD800" s="9" t="s">
        <v>104</v>
      </c>
      <c r="BE800" s="9" t="s">
        <v>75</v>
      </c>
      <c r="BF800" s="11">
        <v>0</v>
      </c>
      <c r="BG800">
        <f t="shared" si="26"/>
        <v>12</v>
      </c>
      <c r="BH800" t="str">
        <f>VLOOKUP(BG800,[1]month!$A:$B,2,0)</f>
        <v>Desember</v>
      </c>
      <c r="BI800">
        <f t="shared" si="27"/>
        <v>2025</v>
      </c>
      <c r="BJ800" t="str">
        <f>VLOOKUP(I800,[1]Dist!$A:$B,2,0)</f>
        <v>Retail</v>
      </c>
      <c r="BK800" t="str">
        <f>IF(I800=11,VLOOKUP(Y800,[2]Sheet1!$C:$N,10,0),IF(I800=13,VLOOKUP(Y800,[3]Sheet1!$C:$N,10,0),IF(I800=15,VLOOKUP(Y800,[4]Sheet1!$C:$N,10,0),"Unknown")))</f>
        <v>TENNOKOTE</v>
      </c>
      <c r="BL800" t="str">
        <f>IF(I800=11,VLOOKUP(Y800,[2]Sheet1!$C:$N,12,0),IF(I800=13,VLOOKUP(Y800,[3]Sheet1!$C:$N,12,0),IF(I800=15,VLOOKUP(Y800,[4]Sheet1!$C:$N,12,0),"Unknown")))</f>
        <v>TENNOKOTE BASE</v>
      </c>
      <c r="BM800" t="str">
        <f>VLOOKUP(W800,[1]branch!$A:$B,2,0)</f>
        <v>HO CHI MINH</v>
      </c>
    </row>
    <row r="801" spans="1:65" x14ac:dyDescent="0.35">
      <c r="A801" s="10">
        <v>46001</v>
      </c>
      <c r="B801" s="9" t="s">
        <v>1903</v>
      </c>
      <c r="C801" s="9" t="s">
        <v>64</v>
      </c>
      <c r="D801" s="9" t="s">
        <v>92</v>
      </c>
      <c r="E801" s="11">
        <v>0</v>
      </c>
      <c r="F801" s="9" t="s">
        <v>93</v>
      </c>
      <c r="G801" s="9" t="s">
        <v>65</v>
      </c>
      <c r="H801" s="9" t="s">
        <v>66</v>
      </c>
      <c r="I801" s="9">
        <v>15</v>
      </c>
      <c r="J801" s="9" t="s">
        <v>1904</v>
      </c>
      <c r="K801" s="9" t="s">
        <v>1904</v>
      </c>
      <c r="L801" s="9" t="s">
        <v>1904</v>
      </c>
      <c r="M801" s="9" t="s">
        <v>1905</v>
      </c>
      <c r="N801" s="9" t="s">
        <v>883</v>
      </c>
      <c r="O801" s="9" t="s">
        <v>698</v>
      </c>
      <c r="P801" s="9" t="s">
        <v>67</v>
      </c>
      <c r="Q801" s="9" t="s">
        <v>98</v>
      </c>
      <c r="R801" s="9" t="s">
        <v>1904</v>
      </c>
      <c r="S801" s="9" t="s">
        <v>1905</v>
      </c>
      <c r="T801" s="9" t="s">
        <v>1906</v>
      </c>
      <c r="U801" s="9" t="s">
        <v>385</v>
      </c>
      <c r="V801" s="9" t="s">
        <v>386</v>
      </c>
      <c r="W801" s="9" t="s">
        <v>387</v>
      </c>
      <c r="X801" s="11">
        <v>10</v>
      </c>
      <c r="Y801" s="9" t="s">
        <v>1907</v>
      </c>
      <c r="Z801" s="9" t="s">
        <v>68</v>
      </c>
      <c r="AA801" s="9" t="s">
        <v>1908</v>
      </c>
      <c r="AB801" s="9" t="s">
        <v>67</v>
      </c>
      <c r="AC801" s="9" t="s">
        <v>158</v>
      </c>
      <c r="AD801" s="11">
        <v>2</v>
      </c>
      <c r="AE801" s="9" t="s">
        <v>156</v>
      </c>
      <c r="AF801" s="9" t="s">
        <v>71</v>
      </c>
      <c r="AG801" s="13">
        <v>1</v>
      </c>
      <c r="AH801" s="9" t="s">
        <v>92</v>
      </c>
      <c r="AI801" s="13">
        <v>635455</v>
      </c>
      <c r="AJ801" s="13">
        <v>1270910</v>
      </c>
      <c r="AK801" s="11">
        <v>0</v>
      </c>
      <c r="AL801" s="11">
        <v>0</v>
      </c>
      <c r="AM801" s="11">
        <v>0</v>
      </c>
      <c r="AN801" s="9" t="s">
        <v>67</v>
      </c>
      <c r="AO801" s="11">
        <v>1270910</v>
      </c>
      <c r="AP801" s="13">
        <v>101673</v>
      </c>
      <c r="AQ801" s="13">
        <v>1372583</v>
      </c>
      <c r="AR801" s="11">
        <v>10</v>
      </c>
      <c r="AS801" s="9" t="s">
        <v>72</v>
      </c>
      <c r="AT801" s="12">
        <v>6.02</v>
      </c>
      <c r="AU801" s="9" t="s">
        <v>73</v>
      </c>
      <c r="AV801" s="9" t="s">
        <v>67</v>
      </c>
      <c r="AW801" s="9" t="s">
        <v>1909</v>
      </c>
      <c r="AX801" s="10">
        <v>46001</v>
      </c>
      <c r="AY801" s="9" t="s">
        <v>1910</v>
      </c>
      <c r="AZ801" s="9" t="s">
        <v>67</v>
      </c>
      <c r="BA801" s="9" t="s">
        <v>67</v>
      </c>
      <c r="BB801" s="12">
        <v>10</v>
      </c>
      <c r="BC801" s="9" t="s">
        <v>74</v>
      </c>
      <c r="BD801" s="9" t="s">
        <v>104</v>
      </c>
      <c r="BE801" s="9" t="s">
        <v>75</v>
      </c>
      <c r="BF801" s="11">
        <v>0</v>
      </c>
      <c r="BG801">
        <f t="shared" si="26"/>
        <v>12</v>
      </c>
      <c r="BH801" t="str">
        <f>VLOOKUP(BG801,[1]month!$A:$B,2,0)</f>
        <v>Desember</v>
      </c>
      <c r="BI801">
        <f t="shared" si="27"/>
        <v>2025</v>
      </c>
      <c r="BJ801" t="str">
        <f>VLOOKUP(I801,[1]Dist!$A:$B,2,0)</f>
        <v>Project</v>
      </c>
      <c r="BK801" t="str">
        <f>IF(I801=11,VLOOKUP(Y801,[2]Sheet1!$C:$N,10,0),IF(I801=13,VLOOKUP(Y801,[3]Sheet1!$C:$N,10,0),IF(I801=15,VLOOKUP(Y801,[4]Sheet1!$C:$N,10,0),"Unknown")))</f>
        <v>METALKOTE</v>
      </c>
      <c r="BL801" t="str">
        <f>IF(I801=11,VLOOKUP(Y801,[2]Sheet1!$C:$N,12,0),IF(I801=13,VLOOKUP(Y801,[3]Sheet1!$C:$N,12,0),IF(I801=15,VLOOKUP(Y801,[4]Sheet1!$C:$N,12,0),"Unknown")))</f>
        <v>METALKOTE-EPOXY SYS</v>
      </c>
      <c r="BM801" t="str">
        <f>VLOOKUP(W801,[1]branch!$A:$B,2,0)</f>
        <v>PROJECT</v>
      </c>
    </row>
    <row r="802" spans="1:65" x14ac:dyDescent="0.35">
      <c r="A802" s="10">
        <v>46001</v>
      </c>
      <c r="B802" s="9" t="s">
        <v>1903</v>
      </c>
      <c r="C802" s="9" t="s">
        <v>64</v>
      </c>
      <c r="D802" s="9" t="s">
        <v>92</v>
      </c>
      <c r="E802" s="11">
        <v>0</v>
      </c>
      <c r="F802" s="9" t="s">
        <v>93</v>
      </c>
      <c r="G802" s="9" t="s">
        <v>65</v>
      </c>
      <c r="H802" s="9" t="s">
        <v>66</v>
      </c>
      <c r="I802" s="9">
        <v>15</v>
      </c>
      <c r="J802" s="9" t="s">
        <v>1904</v>
      </c>
      <c r="K802" s="9" t="s">
        <v>1904</v>
      </c>
      <c r="L802" s="9" t="s">
        <v>1904</v>
      </c>
      <c r="M802" s="9" t="s">
        <v>1905</v>
      </c>
      <c r="N802" s="9" t="s">
        <v>883</v>
      </c>
      <c r="O802" s="9" t="s">
        <v>698</v>
      </c>
      <c r="P802" s="9" t="s">
        <v>67</v>
      </c>
      <c r="Q802" s="9" t="s">
        <v>98</v>
      </c>
      <c r="R802" s="9" t="s">
        <v>1904</v>
      </c>
      <c r="S802" s="9" t="s">
        <v>1905</v>
      </c>
      <c r="T802" s="9" t="s">
        <v>1906</v>
      </c>
      <c r="U802" s="9" t="s">
        <v>385</v>
      </c>
      <c r="V802" s="9" t="s">
        <v>386</v>
      </c>
      <c r="W802" s="9" t="s">
        <v>387</v>
      </c>
      <c r="X802" s="11">
        <v>20</v>
      </c>
      <c r="Y802" s="9" t="s">
        <v>1911</v>
      </c>
      <c r="Z802" s="9" t="s">
        <v>68</v>
      </c>
      <c r="AA802" s="9" t="s">
        <v>1912</v>
      </c>
      <c r="AB802" s="9" t="s">
        <v>67</v>
      </c>
      <c r="AC802" s="9" t="s">
        <v>155</v>
      </c>
      <c r="AD802" s="11">
        <v>2</v>
      </c>
      <c r="AE802" s="9" t="s">
        <v>156</v>
      </c>
      <c r="AF802" s="9" t="s">
        <v>71</v>
      </c>
      <c r="AG802" s="13">
        <v>1</v>
      </c>
      <c r="AH802" s="9" t="s">
        <v>92</v>
      </c>
      <c r="AI802" s="13">
        <v>896360</v>
      </c>
      <c r="AJ802" s="13">
        <v>1792720</v>
      </c>
      <c r="AK802" s="11">
        <v>0</v>
      </c>
      <c r="AL802" s="11">
        <v>0</v>
      </c>
      <c r="AM802" s="11">
        <v>0</v>
      </c>
      <c r="AN802" s="9" t="s">
        <v>67</v>
      </c>
      <c r="AO802" s="11">
        <v>1792720</v>
      </c>
      <c r="AP802" s="13">
        <v>143417</v>
      </c>
      <c r="AQ802" s="13">
        <v>1936137</v>
      </c>
      <c r="AR802" s="11">
        <v>10</v>
      </c>
      <c r="AS802" s="9" t="s">
        <v>72</v>
      </c>
      <c r="AT802" s="12">
        <v>9.52</v>
      </c>
      <c r="AU802" s="9" t="s">
        <v>73</v>
      </c>
      <c r="AV802" s="9" t="s">
        <v>67</v>
      </c>
      <c r="AW802" s="9" t="s">
        <v>1909</v>
      </c>
      <c r="AX802" s="10">
        <v>46001</v>
      </c>
      <c r="AY802" s="9" t="s">
        <v>1910</v>
      </c>
      <c r="AZ802" s="9" t="s">
        <v>67</v>
      </c>
      <c r="BA802" s="9" t="s">
        <v>67</v>
      </c>
      <c r="BB802" s="12">
        <v>10</v>
      </c>
      <c r="BC802" s="9" t="s">
        <v>74</v>
      </c>
      <c r="BD802" s="9" t="s">
        <v>104</v>
      </c>
      <c r="BE802" s="9" t="s">
        <v>75</v>
      </c>
      <c r="BF802" s="11">
        <v>0</v>
      </c>
      <c r="BG802">
        <f t="shared" si="26"/>
        <v>12</v>
      </c>
      <c r="BH802" t="str">
        <f>VLOOKUP(BG802,[1]month!$A:$B,2,0)</f>
        <v>Desember</v>
      </c>
      <c r="BI802">
        <f t="shared" si="27"/>
        <v>2025</v>
      </c>
      <c r="BJ802" t="str">
        <f>VLOOKUP(I802,[1]Dist!$A:$B,2,0)</f>
        <v>Project</v>
      </c>
      <c r="BK802" t="s">
        <v>2008</v>
      </c>
      <c r="BL802" t="s">
        <v>2009</v>
      </c>
      <c r="BM802" t="str">
        <f>VLOOKUP(W802,[1]branch!$A:$B,2,0)</f>
        <v>PROJECT</v>
      </c>
    </row>
    <row r="803" spans="1:65" x14ac:dyDescent="0.35">
      <c r="A803" s="10">
        <v>46001</v>
      </c>
      <c r="B803" s="9" t="s">
        <v>1913</v>
      </c>
      <c r="C803" s="9" t="s">
        <v>64</v>
      </c>
      <c r="D803" s="9" t="s">
        <v>92</v>
      </c>
      <c r="E803" s="11">
        <v>0</v>
      </c>
      <c r="F803" s="9" t="s">
        <v>93</v>
      </c>
      <c r="G803" s="9" t="s">
        <v>65</v>
      </c>
      <c r="H803" s="9" t="s">
        <v>66</v>
      </c>
      <c r="I803" s="9">
        <v>11</v>
      </c>
      <c r="J803" s="9" t="s">
        <v>1914</v>
      </c>
      <c r="K803" s="9" t="s">
        <v>1914</v>
      </c>
      <c r="L803" s="9" t="s">
        <v>1914</v>
      </c>
      <c r="M803" s="9" t="s">
        <v>1915</v>
      </c>
      <c r="N803" s="9" t="s">
        <v>1677</v>
      </c>
      <c r="O803" s="9" t="s">
        <v>97</v>
      </c>
      <c r="P803" s="9" t="s">
        <v>67</v>
      </c>
      <c r="Q803" s="9" t="s">
        <v>98</v>
      </c>
      <c r="R803" s="9" t="s">
        <v>1914</v>
      </c>
      <c r="S803" s="9" t="s">
        <v>1915</v>
      </c>
      <c r="T803" s="9" t="s">
        <v>1916</v>
      </c>
      <c r="U803" s="9" t="s">
        <v>67</v>
      </c>
      <c r="V803" s="9" t="s">
        <v>221</v>
      </c>
      <c r="W803" s="9" t="s">
        <v>222</v>
      </c>
      <c r="X803" s="11">
        <v>10</v>
      </c>
      <c r="Y803" s="9" t="s">
        <v>1917</v>
      </c>
      <c r="Z803" s="9" t="s">
        <v>76</v>
      </c>
      <c r="AA803" s="9" t="s">
        <v>1918</v>
      </c>
      <c r="AB803" s="9" t="s">
        <v>67</v>
      </c>
      <c r="AC803" s="9" t="s">
        <v>1919</v>
      </c>
      <c r="AD803" s="11">
        <v>17</v>
      </c>
      <c r="AE803" s="9" t="s">
        <v>70</v>
      </c>
      <c r="AF803" s="9" t="s">
        <v>71</v>
      </c>
      <c r="AG803" s="13">
        <v>1</v>
      </c>
      <c r="AH803" s="9" t="s">
        <v>92</v>
      </c>
      <c r="AI803" s="13">
        <v>281818</v>
      </c>
      <c r="AJ803" s="13">
        <v>4790906</v>
      </c>
      <c r="AK803" s="11">
        <v>0</v>
      </c>
      <c r="AL803" s="11">
        <v>0</v>
      </c>
      <c r="AM803" s="11">
        <v>0</v>
      </c>
      <c r="AN803" s="9" t="s">
        <v>67</v>
      </c>
      <c r="AO803" s="11">
        <v>4790906</v>
      </c>
      <c r="AP803" s="13">
        <v>383272</v>
      </c>
      <c r="AQ803" s="13">
        <v>5174178</v>
      </c>
      <c r="AR803" s="12">
        <v>14.96</v>
      </c>
      <c r="AS803" s="9" t="s">
        <v>72</v>
      </c>
      <c r="AT803" s="11">
        <v>17</v>
      </c>
      <c r="AU803" s="9" t="s">
        <v>73</v>
      </c>
      <c r="AV803" s="9" t="s">
        <v>67</v>
      </c>
      <c r="AW803" s="9" t="s">
        <v>1920</v>
      </c>
      <c r="AX803" s="10">
        <v>45999</v>
      </c>
      <c r="AY803" s="9" t="s">
        <v>1921</v>
      </c>
      <c r="AZ803" s="9" t="s">
        <v>67</v>
      </c>
      <c r="BA803" s="9" t="s">
        <v>67</v>
      </c>
      <c r="BB803" s="12">
        <v>17</v>
      </c>
      <c r="BC803" s="9" t="s">
        <v>74</v>
      </c>
      <c r="BD803" s="9" t="s">
        <v>104</v>
      </c>
      <c r="BE803" s="9" t="s">
        <v>75</v>
      </c>
      <c r="BF803" s="11">
        <v>0</v>
      </c>
      <c r="BG803">
        <f t="shared" si="26"/>
        <v>12</v>
      </c>
      <c r="BH803" t="str">
        <f>VLOOKUP(BG803,[1]month!$A:$B,2,0)</f>
        <v>Desember</v>
      </c>
      <c r="BI803">
        <f t="shared" si="27"/>
        <v>2025</v>
      </c>
      <c r="BJ803" t="str">
        <f>VLOOKUP(I803,[1]Dist!$A:$B,2,0)</f>
        <v>Industry</v>
      </c>
      <c r="BK803" t="str">
        <f>IF(I803=11,VLOOKUP(Y803,[2]Sheet1!$C:$N,10,0),IF(I803=13,VLOOKUP(Y803,[3]Sheet1!$C:$N,10,0),IF(I803=15,VLOOKUP(Y803,[4]Sheet1!$C:$N,10,0),"Unknown")))</f>
        <v>PROPAN HARDWAX OIL</v>
      </c>
      <c r="BL803" t="str">
        <f>IF(I803=11,VLOOKUP(Y803,[2]Sheet1!$C:$N,12,0),IF(I803=13,VLOOKUP(Y803,[3]Sheet1!$C:$N,12,0),IF(I803=15,VLOOKUP(Y803,[4]Sheet1!$C:$N,12,0),"Unknown")))</f>
        <v>PROPAN HARDWAX OIL</v>
      </c>
      <c r="BM803" t="str">
        <f>VLOOKUP(W803,[1]branch!$A:$B,2,0)</f>
        <v>INDUSTRY</v>
      </c>
    </row>
    <row r="804" spans="1:65" x14ac:dyDescent="0.35">
      <c r="A804" s="10">
        <v>46002</v>
      </c>
      <c r="B804" s="9" t="s">
        <v>1922</v>
      </c>
      <c r="C804" s="9" t="s">
        <v>64</v>
      </c>
      <c r="D804" s="9" t="s">
        <v>92</v>
      </c>
      <c r="E804" s="11">
        <v>60</v>
      </c>
      <c r="F804" s="9" t="s">
        <v>93</v>
      </c>
      <c r="G804" s="9" t="s">
        <v>65</v>
      </c>
      <c r="H804" s="9" t="s">
        <v>66</v>
      </c>
      <c r="I804" s="9">
        <v>11</v>
      </c>
      <c r="J804" s="9" t="s">
        <v>347</v>
      </c>
      <c r="K804" s="9" t="s">
        <v>347</v>
      </c>
      <c r="L804" s="9" t="s">
        <v>347</v>
      </c>
      <c r="M804" s="9" t="s">
        <v>348</v>
      </c>
      <c r="N804" s="9" t="s">
        <v>866</v>
      </c>
      <c r="O804" s="9" t="s">
        <v>97</v>
      </c>
      <c r="P804" s="9" t="s">
        <v>67</v>
      </c>
      <c r="Q804" s="9" t="s">
        <v>98</v>
      </c>
      <c r="R804" s="9" t="s">
        <v>347</v>
      </c>
      <c r="S804" s="9" t="s">
        <v>348</v>
      </c>
      <c r="T804" s="9" t="s">
        <v>818</v>
      </c>
      <c r="U804" s="9" t="s">
        <v>67</v>
      </c>
      <c r="V804" s="9" t="s">
        <v>130</v>
      </c>
      <c r="W804" s="9" t="s">
        <v>131</v>
      </c>
      <c r="X804" s="11">
        <v>10</v>
      </c>
      <c r="Y804" s="9" t="s">
        <v>1923</v>
      </c>
      <c r="Z804" s="9" t="s">
        <v>68</v>
      </c>
      <c r="AA804" s="9" t="s">
        <v>1924</v>
      </c>
      <c r="AB804" s="9" t="s">
        <v>67</v>
      </c>
      <c r="AC804" s="9" t="s">
        <v>134</v>
      </c>
      <c r="AD804" s="11">
        <v>1</v>
      </c>
      <c r="AE804" s="9" t="s">
        <v>70</v>
      </c>
      <c r="AF804" s="9" t="s">
        <v>71</v>
      </c>
      <c r="AG804" s="13">
        <v>1</v>
      </c>
      <c r="AH804" s="9" t="s">
        <v>92</v>
      </c>
      <c r="AI804" s="13">
        <v>2232360</v>
      </c>
      <c r="AJ804" s="13">
        <v>2232360</v>
      </c>
      <c r="AK804" s="11">
        <v>0</v>
      </c>
      <c r="AL804" s="11">
        <v>0</v>
      </c>
      <c r="AM804" s="11">
        <v>0</v>
      </c>
      <c r="AN804" s="9" t="s">
        <v>67</v>
      </c>
      <c r="AO804" s="11">
        <v>2232360</v>
      </c>
      <c r="AP804" s="13">
        <v>178589</v>
      </c>
      <c r="AQ804" s="13">
        <v>2410949</v>
      </c>
      <c r="AR804" s="11">
        <v>18</v>
      </c>
      <c r="AS804" s="9" t="s">
        <v>72</v>
      </c>
      <c r="AT804" s="12">
        <v>18.946999999999999</v>
      </c>
      <c r="AU804" s="9" t="s">
        <v>73</v>
      </c>
      <c r="AV804" s="9" t="s">
        <v>67</v>
      </c>
      <c r="AW804" s="9" t="s">
        <v>1925</v>
      </c>
      <c r="AX804" s="10">
        <v>45951</v>
      </c>
      <c r="AY804" s="9" t="s">
        <v>1926</v>
      </c>
      <c r="AZ804" s="9" t="s">
        <v>67</v>
      </c>
      <c r="BA804" s="9" t="s">
        <v>67</v>
      </c>
      <c r="BB804" s="12">
        <v>18</v>
      </c>
      <c r="BC804" s="9" t="s">
        <v>74</v>
      </c>
      <c r="BD804" s="9" t="s">
        <v>104</v>
      </c>
      <c r="BE804" s="9" t="s">
        <v>75</v>
      </c>
      <c r="BF804" s="11">
        <v>0</v>
      </c>
      <c r="BG804">
        <f t="shared" si="26"/>
        <v>12</v>
      </c>
      <c r="BH804" t="str">
        <f>VLOOKUP(BG804,[1]month!$A:$B,2,0)</f>
        <v>Desember</v>
      </c>
      <c r="BI804">
        <f t="shared" si="27"/>
        <v>2025</v>
      </c>
      <c r="BJ804" t="str">
        <f>VLOOKUP(I804,[1]Dist!$A:$B,2,0)</f>
        <v>Industry</v>
      </c>
      <c r="BK804" t="str">
        <f>IF(I804=11,VLOOKUP(Y804,[2]Sheet1!$C:$N,10,0),IF(I804=13,VLOOKUP(Y804,[3]Sheet1!$C:$N,10,0),IF(I804=15,VLOOKUP(Y804,[4]Sheet1!$C:$N,10,0),"Unknown")))</f>
        <v>STAIN &amp; GLAZE INTERIOR</v>
      </c>
      <c r="BL804" t="str">
        <f>IF(I804=11,VLOOKUP(Y804,[2]Sheet1!$C:$N,12,0),IF(I804=13,VLOOKUP(Y804,[3]Sheet1!$C:$N,12,0),IF(I804=15,VLOOKUP(Y804,[4]Sheet1!$C:$N,12,0),"Unknown")))</f>
        <v>ASOF : STAIN &amp; GLAZE</v>
      </c>
      <c r="BM804" t="str">
        <f>VLOOKUP(W804,[1]branch!$A:$B,2,0)</f>
        <v>INDUSTRY</v>
      </c>
    </row>
    <row r="805" spans="1:65" x14ac:dyDescent="0.35">
      <c r="A805" s="10">
        <v>46002</v>
      </c>
      <c r="B805" s="9" t="s">
        <v>1927</v>
      </c>
      <c r="C805" s="9" t="s">
        <v>64</v>
      </c>
      <c r="D805" s="9" t="s">
        <v>92</v>
      </c>
      <c r="E805" s="11">
        <v>60</v>
      </c>
      <c r="F805" s="9" t="s">
        <v>93</v>
      </c>
      <c r="G805" s="9" t="s">
        <v>65</v>
      </c>
      <c r="H805" s="9" t="s">
        <v>66</v>
      </c>
      <c r="I805" s="9">
        <v>11</v>
      </c>
      <c r="J805" s="9" t="s">
        <v>347</v>
      </c>
      <c r="K805" s="9" t="s">
        <v>347</v>
      </c>
      <c r="L805" s="9" t="s">
        <v>347</v>
      </c>
      <c r="M805" s="9" t="s">
        <v>348</v>
      </c>
      <c r="N805" s="9" t="s">
        <v>866</v>
      </c>
      <c r="O805" s="9" t="s">
        <v>97</v>
      </c>
      <c r="P805" s="9" t="s">
        <v>67</v>
      </c>
      <c r="Q805" s="9" t="s">
        <v>98</v>
      </c>
      <c r="R805" s="9" t="s">
        <v>347</v>
      </c>
      <c r="S805" s="9" t="s">
        <v>348</v>
      </c>
      <c r="T805" s="9" t="s">
        <v>818</v>
      </c>
      <c r="U805" s="9" t="s">
        <v>67</v>
      </c>
      <c r="V805" s="9" t="s">
        <v>130</v>
      </c>
      <c r="W805" s="9" t="s">
        <v>131</v>
      </c>
      <c r="X805" s="11">
        <v>50</v>
      </c>
      <c r="Y805" s="9" t="s">
        <v>353</v>
      </c>
      <c r="Z805" s="9" t="s">
        <v>68</v>
      </c>
      <c r="AA805" s="9" t="s">
        <v>354</v>
      </c>
      <c r="AB805" s="9" t="s">
        <v>67</v>
      </c>
      <c r="AC805" s="9" t="s">
        <v>103</v>
      </c>
      <c r="AD805" s="11">
        <v>1</v>
      </c>
      <c r="AE805" s="9" t="s">
        <v>70</v>
      </c>
      <c r="AF805" s="9" t="s">
        <v>71</v>
      </c>
      <c r="AG805" s="13">
        <v>1</v>
      </c>
      <c r="AH805" s="9" t="s">
        <v>92</v>
      </c>
      <c r="AI805" s="13">
        <v>10448800</v>
      </c>
      <c r="AJ805" s="13">
        <v>10448800</v>
      </c>
      <c r="AK805" s="11">
        <v>0</v>
      </c>
      <c r="AL805" s="11">
        <v>0</v>
      </c>
      <c r="AM805" s="11">
        <v>0</v>
      </c>
      <c r="AN805" s="9" t="s">
        <v>67</v>
      </c>
      <c r="AO805" s="11">
        <v>10448800</v>
      </c>
      <c r="AP805" s="13">
        <v>835904</v>
      </c>
      <c r="AQ805" s="13">
        <v>11284704</v>
      </c>
      <c r="AR805" s="11">
        <v>200</v>
      </c>
      <c r="AS805" s="9" t="s">
        <v>72</v>
      </c>
      <c r="AT805" s="12">
        <v>198.02</v>
      </c>
      <c r="AU805" s="9" t="s">
        <v>73</v>
      </c>
      <c r="AV805" s="9" t="s">
        <v>67</v>
      </c>
      <c r="AW805" s="9" t="s">
        <v>929</v>
      </c>
      <c r="AX805" s="10">
        <v>45958</v>
      </c>
      <c r="AY805" s="9" t="s">
        <v>1928</v>
      </c>
      <c r="AZ805" s="9" t="s">
        <v>67</v>
      </c>
      <c r="BA805" s="9" t="s">
        <v>67</v>
      </c>
      <c r="BB805" s="12">
        <v>200</v>
      </c>
      <c r="BC805" s="9" t="s">
        <v>74</v>
      </c>
      <c r="BD805" s="9" t="s">
        <v>104</v>
      </c>
      <c r="BE805" s="9" t="s">
        <v>75</v>
      </c>
      <c r="BF805" s="11">
        <v>0</v>
      </c>
      <c r="BG805">
        <f t="shared" si="26"/>
        <v>12</v>
      </c>
      <c r="BH805" t="str">
        <f>VLOOKUP(BG805,[1]month!$A:$B,2,0)</f>
        <v>Desember</v>
      </c>
      <c r="BI805">
        <f t="shared" si="27"/>
        <v>2025</v>
      </c>
      <c r="BJ805" t="str">
        <f>VLOOKUP(I805,[1]Dist!$A:$B,2,0)</f>
        <v>Industry</v>
      </c>
      <c r="BK805" t="str">
        <f>IF(I805=11,VLOOKUP(Y805,[2]Sheet1!$C:$N,10,0),IF(I805=13,VLOOKUP(Y805,[3]Sheet1!$C:$N,10,0),IF(I805=15,VLOOKUP(Y805,[4]Sheet1!$C:$N,10,0),"Unknown")))</f>
        <v>PU</v>
      </c>
      <c r="BL805" t="str">
        <f>IF(I805=11,VLOOKUP(Y805,[2]Sheet1!$C:$N,12,0),IF(I805=13,VLOOKUP(Y805,[3]Sheet1!$C:$N,12,0),IF(I805=15,VLOOKUP(Y805,[4]Sheet1!$C:$N,12,0),"Unknown")))</f>
        <v>PU SANDING SEALER</v>
      </c>
      <c r="BM805" t="str">
        <f>VLOOKUP(W805,[1]branch!$A:$B,2,0)</f>
        <v>INDUSTRY</v>
      </c>
    </row>
    <row r="806" spans="1:65" x14ac:dyDescent="0.35">
      <c r="A806" s="10">
        <v>46002</v>
      </c>
      <c r="B806" s="9" t="s">
        <v>1929</v>
      </c>
      <c r="C806" s="9" t="s">
        <v>64</v>
      </c>
      <c r="D806" s="9" t="s">
        <v>92</v>
      </c>
      <c r="E806" s="11">
        <v>60</v>
      </c>
      <c r="F806" s="9" t="s">
        <v>93</v>
      </c>
      <c r="G806" s="9" t="s">
        <v>65</v>
      </c>
      <c r="H806" s="9" t="s">
        <v>66</v>
      </c>
      <c r="I806" s="9">
        <v>11</v>
      </c>
      <c r="J806" s="9" t="s">
        <v>347</v>
      </c>
      <c r="K806" s="9" t="s">
        <v>347</v>
      </c>
      <c r="L806" s="9" t="s">
        <v>347</v>
      </c>
      <c r="M806" s="9" t="s">
        <v>348</v>
      </c>
      <c r="N806" s="9" t="s">
        <v>866</v>
      </c>
      <c r="O806" s="9" t="s">
        <v>97</v>
      </c>
      <c r="P806" s="9" t="s">
        <v>67</v>
      </c>
      <c r="Q806" s="9" t="s">
        <v>98</v>
      </c>
      <c r="R806" s="9" t="s">
        <v>347</v>
      </c>
      <c r="S806" s="9" t="s">
        <v>348</v>
      </c>
      <c r="T806" s="9" t="s">
        <v>818</v>
      </c>
      <c r="U806" s="9" t="s">
        <v>67</v>
      </c>
      <c r="V806" s="9" t="s">
        <v>130</v>
      </c>
      <c r="W806" s="9" t="s">
        <v>131</v>
      </c>
      <c r="X806" s="11">
        <v>30</v>
      </c>
      <c r="Y806" s="9" t="s">
        <v>105</v>
      </c>
      <c r="Z806" s="9" t="s">
        <v>68</v>
      </c>
      <c r="AA806" s="9" t="s">
        <v>106</v>
      </c>
      <c r="AB806" s="9" t="s">
        <v>67</v>
      </c>
      <c r="AC806" s="9" t="s">
        <v>107</v>
      </c>
      <c r="AD806" s="11">
        <v>5</v>
      </c>
      <c r="AE806" s="9" t="s">
        <v>70</v>
      </c>
      <c r="AF806" s="9" t="s">
        <v>71</v>
      </c>
      <c r="AG806" s="13">
        <v>1</v>
      </c>
      <c r="AH806" s="9" t="s">
        <v>92</v>
      </c>
      <c r="AI806" s="13">
        <v>1556000</v>
      </c>
      <c r="AJ806" s="13">
        <v>7780000</v>
      </c>
      <c r="AK806" s="11">
        <v>0</v>
      </c>
      <c r="AL806" s="11">
        <v>0</v>
      </c>
      <c r="AM806" s="11">
        <v>0</v>
      </c>
      <c r="AN806" s="9" t="s">
        <v>67</v>
      </c>
      <c r="AO806" s="11">
        <v>7780000</v>
      </c>
      <c r="AP806" s="13">
        <v>622400</v>
      </c>
      <c r="AQ806" s="13">
        <v>8402400</v>
      </c>
      <c r="AR806" s="11">
        <v>100</v>
      </c>
      <c r="AS806" s="9" t="s">
        <v>72</v>
      </c>
      <c r="AT806" s="12">
        <v>106.4</v>
      </c>
      <c r="AU806" s="9" t="s">
        <v>73</v>
      </c>
      <c r="AV806" s="9" t="s">
        <v>67</v>
      </c>
      <c r="AW806" s="9" t="s">
        <v>932</v>
      </c>
      <c r="AX806" s="10">
        <v>45961</v>
      </c>
      <c r="AY806" s="9" t="s">
        <v>1930</v>
      </c>
      <c r="AZ806" s="9" t="s">
        <v>67</v>
      </c>
      <c r="BA806" s="9" t="s">
        <v>67</v>
      </c>
      <c r="BB806" s="12">
        <v>100</v>
      </c>
      <c r="BC806" s="9" t="s">
        <v>74</v>
      </c>
      <c r="BD806" s="9" t="s">
        <v>104</v>
      </c>
      <c r="BE806" s="9" t="s">
        <v>75</v>
      </c>
      <c r="BF806" s="11">
        <v>0</v>
      </c>
      <c r="BG806">
        <f t="shared" si="26"/>
        <v>12</v>
      </c>
      <c r="BH806" t="str">
        <f>VLOOKUP(BG806,[1]month!$A:$B,2,0)</f>
        <v>Desember</v>
      </c>
      <c r="BI806">
        <f t="shared" si="27"/>
        <v>2025</v>
      </c>
      <c r="BJ806" t="str">
        <f>VLOOKUP(I806,[1]Dist!$A:$B,2,0)</f>
        <v>Industry</v>
      </c>
      <c r="BK806" t="str">
        <f>IF(I806=11,VLOOKUP(Y806,[2]Sheet1!$C:$N,10,0),IF(I806=13,VLOOKUP(Y806,[3]Sheet1!$C:$N,10,0),IF(I806=15,VLOOKUP(Y806,[4]Sheet1!$C:$N,10,0),"Unknown")))</f>
        <v>PU</v>
      </c>
      <c r="BL806" t="str">
        <f>IF(I806=11,VLOOKUP(Y806,[2]Sheet1!$C:$N,12,0),IF(I806=13,VLOOKUP(Y806,[3]Sheet1!$C:$N,12,0),IF(I806=15,VLOOKUP(Y806,[4]Sheet1!$C:$N,12,0),"Unknown")))</f>
        <v>PU HARDENER</v>
      </c>
      <c r="BM806" t="str">
        <f>VLOOKUP(W806,[1]branch!$A:$B,2,0)</f>
        <v>INDUSTRY</v>
      </c>
    </row>
    <row r="807" spans="1:65" x14ac:dyDescent="0.35">
      <c r="A807" s="10">
        <v>46002</v>
      </c>
      <c r="B807" s="9" t="s">
        <v>1931</v>
      </c>
      <c r="C807" s="9" t="s">
        <v>64</v>
      </c>
      <c r="D807" s="9" t="s">
        <v>92</v>
      </c>
      <c r="E807" s="11">
        <v>60</v>
      </c>
      <c r="F807" s="9" t="s">
        <v>93</v>
      </c>
      <c r="G807" s="9" t="s">
        <v>65</v>
      </c>
      <c r="H807" s="9" t="s">
        <v>66</v>
      </c>
      <c r="I807" s="9">
        <v>11</v>
      </c>
      <c r="J807" s="9" t="s">
        <v>347</v>
      </c>
      <c r="K807" s="9" t="s">
        <v>347</v>
      </c>
      <c r="L807" s="9" t="s">
        <v>347</v>
      </c>
      <c r="M807" s="9" t="s">
        <v>348</v>
      </c>
      <c r="N807" s="9" t="s">
        <v>866</v>
      </c>
      <c r="O807" s="9" t="s">
        <v>97</v>
      </c>
      <c r="P807" s="9" t="s">
        <v>67</v>
      </c>
      <c r="Q807" s="9" t="s">
        <v>98</v>
      </c>
      <c r="R807" s="9" t="s">
        <v>347</v>
      </c>
      <c r="S807" s="9" t="s">
        <v>348</v>
      </c>
      <c r="T807" s="9" t="s">
        <v>818</v>
      </c>
      <c r="U807" s="9" t="s">
        <v>67</v>
      </c>
      <c r="V807" s="9" t="s">
        <v>130</v>
      </c>
      <c r="W807" s="9" t="s">
        <v>131</v>
      </c>
      <c r="X807" s="11">
        <v>20</v>
      </c>
      <c r="Y807" s="9" t="s">
        <v>273</v>
      </c>
      <c r="Z807" s="9" t="s">
        <v>68</v>
      </c>
      <c r="AA807" s="9" t="s">
        <v>274</v>
      </c>
      <c r="AB807" s="9" t="s">
        <v>67</v>
      </c>
      <c r="AC807" s="9" t="s">
        <v>191</v>
      </c>
      <c r="AD807" s="11">
        <v>10</v>
      </c>
      <c r="AE807" s="9" t="s">
        <v>70</v>
      </c>
      <c r="AF807" s="9" t="s">
        <v>71</v>
      </c>
      <c r="AG807" s="13">
        <v>1</v>
      </c>
      <c r="AH807" s="9" t="s">
        <v>92</v>
      </c>
      <c r="AI807" s="13">
        <v>1153480</v>
      </c>
      <c r="AJ807" s="13">
        <v>11534800</v>
      </c>
      <c r="AK807" s="11">
        <v>0</v>
      </c>
      <c r="AL807" s="11">
        <v>0</v>
      </c>
      <c r="AM807" s="11">
        <v>0</v>
      </c>
      <c r="AN807" s="9" t="s">
        <v>67</v>
      </c>
      <c r="AO807" s="11">
        <v>11534800</v>
      </c>
      <c r="AP807" s="13">
        <v>922784</v>
      </c>
      <c r="AQ807" s="13">
        <v>12457584</v>
      </c>
      <c r="AR807" s="11">
        <v>196</v>
      </c>
      <c r="AS807" s="9" t="s">
        <v>72</v>
      </c>
      <c r="AT807" s="11">
        <v>200</v>
      </c>
      <c r="AU807" s="9" t="s">
        <v>73</v>
      </c>
      <c r="AV807" s="9" t="s">
        <v>67</v>
      </c>
      <c r="AW807" s="9" t="s">
        <v>1073</v>
      </c>
      <c r="AX807" s="10">
        <v>45986</v>
      </c>
      <c r="AY807" s="9" t="s">
        <v>1932</v>
      </c>
      <c r="AZ807" s="9" t="s">
        <v>67</v>
      </c>
      <c r="BA807" s="9" t="s">
        <v>67</v>
      </c>
      <c r="BB807" s="12">
        <v>200</v>
      </c>
      <c r="BC807" s="9" t="s">
        <v>74</v>
      </c>
      <c r="BD807" s="9" t="s">
        <v>104</v>
      </c>
      <c r="BE807" s="9" t="s">
        <v>75</v>
      </c>
      <c r="BF807" s="11">
        <v>0</v>
      </c>
      <c r="BG807">
        <f t="shared" si="26"/>
        <v>12</v>
      </c>
      <c r="BH807" t="str">
        <f>VLOOKUP(BG807,[1]month!$A:$B,2,0)</f>
        <v>Desember</v>
      </c>
      <c r="BI807">
        <f t="shared" si="27"/>
        <v>2025</v>
      </c>
      <c r="BJ807" t="str">
        <f>VLOOKUP(I807,[1]Dist!$A:$B,2,0)</f>
        <v>Industry</v>
      </c>
      <c r="BK807" t="str">
        <f>IF(I807=11,VLOOKUP(Y807,[2]Sheet1!$C:$N,10,0),IF(I807=13,VLOOKUP(Y807,[3]Sheet1!$C:$N,10,0),IF(I807=15,VLOOKUP(Y807,[4]Sheet1!$C:$N,10,0),"Unknown")))</f>
        <v>NC</v>
      </c>
      <c r="BL807" t="str">
        <f>IF(I807=11,VLOOKUP(Y807,[2]Sheet1!$C:$N,12,0),IF(I807=13,VLOOKUP(Y807,[3]Sheet1!$C:$N,12,0),IF(I807=15,VLOOKUP(Y807,[4]Sheet1!$C:$N,12,0),"Unknown")))</f>
        <v>NC SYSTEM</v>
      </c>
      <c r="BM807" t="str">
        <f>VLOOKUP(W807,[1]branch!$A:$B,2,0)</f>
        <v>INDUSTRY</v>
      </c>
    </row>
    <row r="808" spans="1:65" x14ac:dyDescent="0.35">
      <c r="A808" s="10">
        <v>46002</v>
      </c>
      <c r="B808" s="9" t="s">
        <v>1931</v>
      </c>
      <c r="C808" s="9" t="s">
        <v>64</v>
      </c>
      <c r="D808" s="9" t="s">
        <v>92</v>
      </c>
      <c r="E808" s="11">
        <v>60</v>
      </c>
      <c r="F808" s="9" t="s">
        <v>93</v>
      </c>
      <c r="G808" s="9" t="s">
        <v>65</v>
      </c>
      <c r="H808" s="9" t="s">
        <v>66</v>
      </c>
      <c r="I808" s="9">
        <v>11</v>
      </c>
      <c r="J808" s="9" t="s">
        <v>347</v>
      </c>
      <c r="K808" s="9" t="s">
        <v>347</v>
      </c>
      <c r="L808" s="9" t="s">
        <v>347</v>
      </c>
      <c r="M808" s="9" t="s">
        <v>348</v>
      </c>
      <c r="N808" s="9" t="s">
        <v>866</v>
      </c>
      <c r="O808" s="9" t="s">
        <v>97</v>
      </c>
      <c r="P808" s="9" t="s">
        <v>67</v>
      </c>
      <c r="Q808" s="9" t="s">
        <v>98</v>
      </c>
      <c r="R808" s="9" t="s">
        <v>347</v>
      </c>
      <c r="S808" s="9" t="s">
        <v>348</v>
      </c>
      <c r="T808" s="9" t="s">
        <v>818</v>
      </c>
      <c r="U808" s="9" t="s">
        <v>67</v>
      </c>
      <c r="V808" s="9" t="s">
        <v>130</v>
      </c>
      <c r="W808" s="9" t="s">
        <v>131</v>
      </c>
      <c r="X808" s="11">
        <v>30</v>
      </c>
      <c r="Y808" s="9" t="s">
        <v>355</v>
      </c>
      <c r="Z808" s="9" t="s">
        <v>68</v>
      </c>
      <c r="AA808" s="9" t="s">
        <v>356</v>
      </c>
      <c r="AB808" s="9" t="s">
        <v>67</v>
      </c>
      <c r="AC808" s="9" t="s">
        <v>357</v>
      </c>
      <c r="AD808" s="11">
        <v>1</v>
      </c>
      <c r="AE808" s="9" t="s">
        <v>70</v>
      </c>
      <c r="AF808" s="9" t="s">
        <v>71</v>
      </c>
      <c r="AG808" s="13">
        <v>1</v>
      </c>
      <c r="AH808" s="9" t="s">
        <v>92</v>
      </c>
      <c r="AI808" s="13">
        <v>11402000</v>
      </c>
      <c r="AJ808" s="13">
        <v>11402000</v>
      </c>
      <c r="AK808" s="11">
        <v>0</v>
      </c>
      <c r="AL808" s="11">
        <v>0</v>
      </c>
      <c r="AM808" s="11">
        <v>0</v>
      </c>
      <c r="AN808" s="9" t="s">
        <v>67</v>
      </c>
      <c r="AO808" s="11">
        <v>11402000</v>
      </c>
      <c r="AP808" s="13">
        <v>912160</v>
      </c>
      <c r="AQ808" s="13">
        <v>12314160</v>
      </c>
      <c r="AR808" s="11">
        <v>198</v>
      </c>
      <c r="AS808" s="9" t="s">
        <v>72</v>
      </c>
      <c r="AT808" s="11">
        <v>200</v>
      </c>
      <c r="AU808" s="9" t="s">
        <v>73</v>
      </c>
      <c r="AV808" s="9" t="s">
        <v>67</v>
      </c>
      <c r="AW808" s="9" t="s">
        <v>1073</v>
      </c>
      <c r="AX808" s="10">
        <v>45986</v>
      </c>
      <c r="AY808" s="9" t="s">
        <v>1932</v>
      </c>
      <c r="AZ808" s="9" t="s">
        <v>67</v>
      </c>
      <c r="BA808" s="9" t="s">
        <v>67</v>
      </c>
      <c r="BB808" s="12">
        <v>200</v>
      </c>
      <c r="BC808" s="9" t="s">
        <v>74</v>
      </c>
      <c r="BD808" s="9" t="s">
        <v>104</v>
      </c>
      <c r="BE808" s="9" t="s">
        <v>75</v>
      </c>
      <c r="BF808" s="11">
        <v>0</v>
      </c>
      <c r="BG808">
        <f t="shared" si="26"/>
        <v>12</v>
      </c>
      <c r="BH808" t="str">
        <f>VLOOKUP(BG808,[1]month!$A:$B,2,0)</f>
        <v>Desember</v>
      </c>
      <c r="BI808">
        <f t="shared" si="27"/>
        <v>2025</v>
      </c>
      <c r="BJ808" t="str">
        <f>VLOOKUP(I808,[1]Dist!$A:$B,2,0)</f>
        <v>Industry</v>
      </c>
      <c r="BK808" t="str">
        <f>IF(I808=11,VLOOKUP(Y808,[2]Sheet1!$C:$N,10,0),IF(I808=13,VLOOKUP(Y808,[3]Sheet1!$C:$N,10,0),IF(I808=15,VLOOKUP(Y808,[4]Sheet1!$C:$N,10,0),"Unknown")))</f>
        <v>NC</v>
      </c>
      <c r="BL808" t="str">
        <f>IF(I808=11,VLOOKUP(Y808,[2]Sheet1!$C:$N,12,0),IF(I808=13,VLOOKUP(Y808,[3]Sheet1!$C:$N,12,0),IF(I808=15,VLOOKUP(Y808,[4]Sheet1!$C:$N,12,0),"Unknown")))</f>
        <v>NC SYSTEM</v>
      </c>
      <c r="BM808" t="str">
        <f>VLOOKUP(W808,[1]branch!$A:$B,2,0)</f>
        <v>INDUSTRY</v>
      </c>
    </row>
    <row r="809" spans="1:65" x14ac:dyDescent="0.35">
      <c r="A809" s="10">
        <v>46002</v>
      </c>
      <c r="B809" s="9" t="s">
        <v>1931</v>
      </c>
      <c r="C809" s="9" t="s">
        <v>64</v>
      </c>
      <c r="D809" s="9" t="s">
        <v>92</v>
      </c>
      <c r="E809" s="11">
        <v>60</v>
      </c>
      <c r="F809" s="9" t="s">
        <v>93</v>
      </c>
      <c r="G809" s="9" t="s">
        <v>65</v>
      </c>
      <c r="H809" s="9" t="s">
        <v>66</v>
      </c>
      <c r="I809" s="9">
        <v>11</v>
      </c>
      <c r="J809" s="9" t="s">
        <v>347</v>
      </c>
      <c r="K809" s="9" t="s">
        <v>347</v>
      </c>
      <c r="L809" s="9" t="s">
        <v>347</v>
      </c>
      <c r="M809" s="9" t="s">
        <v>348</v>
      </c>
      <c r="N809" s="9" t="s">
        <v>866</v>
      </c>
      <c r="O809" s="9" t="s">
        <v>97</v>
      </c>
      <c r="P809" s="9" t="s">
        <v>67</v>
      </c>
      <c r="Q809" s="9" t="s">
        <v>98</v>
      </c>
      <c r="R809" s="9" t="s">
        <v>347</v>
      </c>
      <c r="S809" s="9" t="s">
        <v>348</v>
      </c>
      <c r="T809" s="9" t="s">
        <v>818</v>
      </c>
      <c r="U809" s="9" t="s">
        <v>67</v>
      </c>
      <c r="V809" s="9" t="s">
        <v>130</v>
      </c>
      <c r="W809" s="9" t="s">
        <v>131</v>
      </c>
      <c r="X809" s="11">
        <v>50</v>
      </c>
      <c r="Y809" s="9" t="s">
        <v>721</v>
      </c>
      <c r="Z809" s="9" t="s">
        <v>68</v>
      </c>
      <c r="AA809" s="9" t="s">
        <v>722</v>
      </c>
      <c r="AB809" s="9" t="s">
        <v>67</v>
      </c>
      <c r="AC809" s="9" t="s">
        <v>120</v>
      </c>
      <c r="AD809" s="11">
        <v>4</v>
      </c>
      <c r="AE809" s="9" t="s">
        <v>70</v>
      </c>
      <c r="AF809" s="9" t="s">
        <v>71</v>
      </c>
      <c r="AG809" s="13">
        <v>1</v>
      </c>
      <c r="AH809" s="9" t="s">
        <v>92</v>
      </c>
      <c r="AI809" s="13">
        <v>6821800</v>
      </c>
      <c r="AJ809" s="13">
        <v>27287200</v>
      </c>
      <c r="AK809" s="11">
        <v>0</v>
      </c>
      <c r="AL809" s="11">
        <v>0</v>
      </c>
      <c r="AM809" s="11">
        <v>0</v>
      </c>
      <c r="AN809" s="9" t="s">
        <v>67</v>
      </c>
      <c r="AO809" s="11">
        <v>27287200</v>
      </c>
      <c r="AP809" s="13">
        <v>2182976</v>
      </c>
      <c r="AQ809" s="13">
        <v>29470176</v>
      </c>
      <c r="AR809" s="11">
        <v>752</v>
      </c>
      <c r="AS809" s="9" t="s">
        <v>72</v>
      </c>
      <c r="AT809" s="11">
        <v>800</v>
      </c>
      <c r="AU809" s="9" t="s">
        <v>73</v>
      </c>
      <c r="AV809" s="9" t="s">
        <v>67</v>
      </c>
      <c r="AW809" s="9" t="s">
        <v>1073</v>
      </c>
      <c r="AX809" s="10">
        <v>45986</v>
      </c>
      <c r="AY809" s="9" t="s">
        <v>1932</v>
      </c>
      <c r="AZ809" s="9" t="s">
        <v>67</v>
      </c>
      <c r="BA809" s="9" t="s">
        <v>67</v>
      </c>
      <c r="BB809" s="12">
        <v>800</v>
      </c>
      <c r="BC809" s="9" t="s">
        <v>74</v>
      </c>
      <c r="BD809" s="9" t="s">
        <v>104</v>
      </c>
      <c r="BE809" s="9" t="s">
        <v>75</v>
      </c>
      <c r="BF809" s="11">
        <v>0</v>
      </c>
      <c r="BG809">
        <f t="shared" si="26"/>
        <v>12</v>
      </c>
      <c r="BH809" t="str">
        <f>VLOOKUP(BG809,[1]month!$A:$B,2,0)</f>
        <v>Desember</v>
      </c>
      <c r="BI809">
        <f t="shared" si="27"/>
        <v>2025</v>
      </c>
      <c r="BJ809" t="str">
        <f>VLOOKUP(I809,[1]Dist!$A:$B,2,0)</f>
        <v>Industry</v>
      </c>
      <c r="BK809" t="str">
        <f>IF(I809=11,VLOOKUP(Y809,[2]Sheet1!$C:$N,10,0),IF(I809=13,VLOOKUP(Y809,[3]Sheet1!$C:$N,10,0),IF(I809=15,VLOOKUP(Y809,[4]Sheet1!$C:$N,10,0),"Unknown")))</f>
        <v>THINNER PU</v>
      </c>
      <c r="BL809" t="str">
        <f>IF(I809=11,VLOOKUP(Y809,[2]Sheet1!$C:$N,12,0),IF(I809=13,VLOOKUP(Y809,[3]Sheet1!$C:$N,12,0),IF(I809=15,VLOOKUP(Y809,[4]Sheet1!$C:$N,12,0),"Unknown")))</f>
        <v>THINNER PU</v>
      </c>
      <c r="BM809" t="str">
        <f>VLOOKUP(W809,[1]branch!$A:$B,2,0)</f>
        <v>INDUSTRY</v>
      </c>
    </row>
    <row r="810" spans="1:65" x14ac:dyDescent="0.35">
      <c r="A810" s="10">
        <v>46002</v>
      </c>
      <c r="B810" s="9" t="s">
        <v>1931</v>
      </c>
      <c r="C810" s="9" t="s">
        <v>64</v>
      </c>
      <c r="D810" s="9" t="s">
        <v>92</v>
      </c>
      <c r="E810" s="11">
        <v>60</v>
      </c>
      <c r="F810" s="9" t="s">
        <v>93</v>
      </c>
      <c r="G810" s="9" t="s">
        <v>65</v>
      </c>
      <c r="H810" s="9" t="s">
        <v>66</v>
      </c>
      <c r="I810" s="9">
        <v>11</v>
      </c>
      <c r="J810" s="9" t="s">
        <v>347</v>
      </c>
      <c r="K810" s="9" t="s">
        <v>347</v>
      </c>
      <c r="L810" s="9" t="s">
        <v>347</v>
      </c>
      <c r="M810" s="9" t="s">
        <v>348</v>
      </c>
      <c r="N810" s="9" t="s">
        <v>866</v>
      </c>
      <c r="O810" s="9" t="s">
        <v>97</v>
      </c>
      <c r="P810" s="9" t="s">
        <v>67</v>
      </c>
      <c r="Q810" s="9" t="s">
        <v>98</v>
      </c>
      <c r="R810" s="9" t="s">
        <v>347</v>
      </c>
      <c r="S810" s="9" t="s">
        <v>348</v>
      </c>
      <c r="T810" s="9" t="s">
        <v>818</v>
      </c>
      <c r="U810" s="9" t="s">
        <v>67</v>
      </c>
      <c r="V810" s="9" t="s">
        <v>130</v>
      </c>
      <c r="W810" s="9" t="s">
        <v>131</v>
      </c>
      <c r="X810" s="11">
        <v>60</v>
      </c>
      <c r="Y810" s="9" t="s">
        <v>428</v>
      </c>
      <c r="Z810" s="9" t="s">
        <v>68</v>
      </c>
      <c r="AA810" s="9" t="s">
        <v>429</v>
      </c>
      <c r="AB810" s="9" t="s">
        <v>67</v>
      </c>
      <c r="AC810" s="9" t="s">
        <v>430</v>
      </c>
      <c r="AD810" s="11">
        <v>2</v>
      </c>
      <c r="AE810" s="9" t="s">
        <v>70</v>
      </c>
      <c r="AF810" s="9" t="s">
        <v>71</v>
      </c>
      <c r="AG810" s="13">
        <v>1</v>
      </c>
      <c r="AH810" s="9" t="s">
        <v>92</v>
      </c>
      <c r="AI810" s="13">
        <v>7109800</v>
      </c>
      <c r="AJ810" s="13">
        <v>14219600</v>
      </c>
      <c r="AK810" s="11">
        <v>0</v>
      </c>
      <c r="AL810" s="11">
        <v>0</v>
      </c>
      <c r="AM810" s="11">
        <v>0</v>
      </c>
      <c r="AN810" s="9" t="s">
        <v>67</v>
      </c>
      <c r="AO810" s="11">
        <v>14219600</v>
      </c>
      <c r="AP810" s="13">
        <v>1137568</v>
      </c>
      <c r="AQ810" s="13">
        <v>15357168</v>
      </c>
      <c r="AR810" s="11">
        <v>39</v>
      </c>
      <c r="AS810" s="9" t="s">
        <v>72</v>
      </c>
      <c r="AT810" s="11">
        <v>40</v>
      </c>
      <c r="AU810" s="9" t="s">
        <v>73</v>
      </c>
      <c r="AV810" s="9" t="s">
        <v>67</v>
      </c>
      <c r="AW810" s="9" t="s">
        <v>1073</v>
      </c>
      <c r="AX810" s="10">
        <v>45986</v>
      </c>
      <c r="AY810" s="9" t="s">
        <v>1932</v>
      </c>
      <c r="AZ810" s="9" t="s">
        <v>67</v>
      </c>
      <c r="BA810" s="9" t="s">
        <v>67</v>
      </c>
      <c r="BB810" s="12">
        <v>40</v>
      </c>
      <c r="BC810" s="9" t="s">
        <v>74</v>
      </c>
      <c r="BD810" s="9" t="s">
        <v>104</v>
      </c>
      <c r="BE810" s="9" t="s">
        <v>75</v>
      </c>
      <c r="BF810" s="11">
        <v>0</v>
      </c>
      <c r="BG810">
        <f t="shared" si="26"/>
        <v>12</v>
      </c>
      <c r="BH810" t="str">
        <f>VLOOKUP(BG810,[1]month!$A:$B,2,0)</f>
        <v>Desember</v>
      </c>
      <c r="BI810">
        <f t="shared" si="27"/>
        <v>2025</v>
      </c>
      <c r="BJ810" t="str">
        <f>VLOOKUP(I810,[1]Dist!$A:$B,2,0)</f>
        <v>Industry</v>
      </c>
      <c r="BK810" t="str">
        <f>IF(I810=11,VLOOKUP(Y810,[2]Sheet1!$C:$N,10,0),IF(I810=13,VLOOKUP(Y810,[3]Sheet1!$C:$N,10,0),IF(I810=15,VLOOKUP(Y810,[4]Sheet1!$C:$N,10,0),"Unknown")))</f>
        <v>ALKYD OIL</v>
      </c>
      <c r="BL810" t="str">
        <f>IF(I810=11,VLOOKUP(Y810,[2]Sheet1!$C:$N,12,0),IF(I810=13,VLOOKUP(Y810,[3]Sheet1!$C:$N,12,0),IF(I810=15,VLOOKUP(Y810,[4]Sheet1!$C:$N,12,0),"Unknown")))</f>
        <v>ALKYD &amp; OIL SYSTEM</v>
      </c>
      <c r="BM810" t="str">
        <f>VLOOKUP(W810,[1]branch!$A:$B,2,0)</f>
        <v>INDUSTRY</v>
      </c>
    </row>
    <row r="811" spans="1:65" x14ac:dyDescent="0.35">
      <c r="A811" s="10">
        <v>46002</v>
      </c>
      <c r="B811" s="9" t="s">
        <v>1933</v>
      </c>
      <c r="C811" s="9" t="s">
        <v>64</v>
      </c>
      <c r="D811" s="9" t="s">
        <v>92</v>
      </c>
      <c r="E811" s="11">
        <v>60</v>
      </c>
      <c r="F811" s="9" t="s">
        <v>93</v>
      </c>
      <c r="G811" s="9" t="s">
        <v>65</v>
      </c>
      <c r="H811" s="9" t="s">
        <v>66</v>
      </c>
      <c r="I811" s="9">
        <v>11</v>
      </c>
      <c r="J811" s="9" t="s">
        <v>347</v>
      </c>
      <c r="K811" s="9" t="s">
        <v>347</v>
      </c>
      <c r="L811" s="9" t="s">
        <v>347</v>
      </c>
      <c r="M811" s="9" t="s">
        <v>348</v>
      </c>
      <c r="N811" s="9" t="s">
        <v>866</v>
      </c>
      <c r="O811" s="9" t="s">
        <v>97</v>
      </c>
      <c r="P811" s="9" t="s">
        <v>67</v>
      </c>
      <c r="Q811" s="9" t="s">
        <v>98</v>
      </c>
      <c r="R811" s="9" t="s">
        <v>347</v>
      </c>
      <c r="S811" s="9" t="s">
        <v>348</v>
      </c>
      <c r="T811" s="9" t="s">
        <v>818</v>
      </c>
      <c r="U811" s="9" t="s">
        <v>67</v>
      </c>
      <c r="V811" s="9" t="s">
        <v>130</v>
      </c>
      <c r="W811" s="9" t="s">
        <v>131</v>
      </c>
      <c r="X811" s="11">
        <v>30</v>
      </c>
      <c r="Y811" s="9" t="s">
        <v>148</v>
      </c>
      <c r="Z811" s="9" t="s">
        <v>68</v>
      </c>
      <c r="AA811" s="9" t="s">
        <v>149</v>
      </c>
      <c r="AB811" s="9" t="s">
        <v>67</v>
      </c>
      <c r="AC811" s="9" t="s">
        <v>69</v>
      </c>
      <c r="AD811" s="11">
        <v>4</v>
      </c>
      <c r="AE811" s="9" t="s">
        <v>70</v>
      </c>
      <c r="AF811" s="9" t="s">
        <v>71</v>
      </c>
      <c r="AG811" s="13">
        <v>1</v>
      </c>
      <c r="AH811" s="9" t="s">
        <v>92</v>
      </c>
      <c r="AI811" s="13">
        <v>7298800</v>
      </c>
      <c r="AJ811" s="13">
        <v>29195200</v>
      </c>
      <c r="AK811" s="11">
        <v>0</v>
      </c>
      <c r="AL811" s="11">
        <v>0</v>
      </c>
      <c r="AM811" s="11">
        <v>0</v>
      </c>
      <c r="AN811" s="9" t="s">
        <v>67</v>
      </c>
      <c r="AO811" s="11">
        <v>29195200</v>
      </c>
      <c r="AP811" s="13">
        <v>2335616</v>
      </c>
      <c r="AQ811" s="13">
        <v>31530816</v>
      </c>
      <c r="AR811" s="11">
        <v>720</v>
      </c>
      <c r="AS811" s="9" t="s">
        <v>72</v>
      </c>
      <c r="AT811" s="11">
        <v>800</v>
      </c>
      <c r="AU811" s="9" t="s">
        <v>73</v>
      </c>
      <c r="AV811" s="9" t="s">
        <v>67</v>
      </c>
      <c r="AW811" s="9" t="s">
        <v>1603</v>
      </c>
      <c r="AX811" s="10">
        <v>45993</v>
      </c>
      <c r="AY811" s="9" t="s">
        <v>1934</v>
      </c>
      <c r="AZ811" s="9" t="s">
        <v>67</v>
      </c>
      <c r="BA811" s="9" t="s">
        <v>67</v>
      </c>
      <c r="BB811" s="12">
        <v>800</v>
      </c>
      <c r="BC811" s="9" t="s">
        <v>74</v>
      </c>
      <c r="BD811" s="9" t="s">
        <v>104</v>
      </c>
      <c r="BE811" s="9" t="s">
        <v>75</v>
      </c>
      <c r="BF811" s="11">
        <v>0</v>
      </c>
      <c r="BG811">
        <f t="shared" si="26"/>
        <v>12</v>
      </c>
      <c r="BH811" t="str">
        <f>VLOOKUP(BG811,[1]month!$A:$B,2,0)</f>
        <v>Desember</v>
      </c>
      <c r="BI811">
        <f t="shared" si="27"/>
        <v>2025</v>
      </c>
      <c r="BJ811" t="str">
        <f>VLOOKUP(I811,[1]Dist!$A:$B,2,0)</f>
        <v>Industry</v>
      </c>
      <c r="BK811" t="str">
        <f>IF(I811=11,VLOOKUP(Y811,[2]Sheet1!$C:$N,10,0),IF(I811=13,VLOOKUP(Y811,[3]Sheet1!$C:$N,10,0),IF(I811=15,VLOOKUP(Y811,[4]Sheet1!$C:$N,10,0),"Unknown")))</f>
        <v>THINNER NC</v>
      </c>
      <c r="BL811" t="str">
        <f>IF(I811=11,VLOOKUP(Y811,[2]Sheet1!$C:$N,12,0),IF(I811=13,VLOOKUP(Y811,[3]Sheet1!$C:$N,12,0),IF(I811=15,VLOOKUP(Y811,[4]Sheet1!$C:$N,12,0),"Unknown")))</f>
        <v>THINNER NC</v>
      </c>
      <c r="BM811" t="str">
        <f>VLOOKUP(W811,[1]branch!$A:$B,2,0)</f>
        <v>INDUSTRY</v>
      </c>
    </row>
    <row r="812" spans="1:65" x14ac:dyDescent="0.35">
      <c r="A812" s="10">
        <v>46002</v>
      </c>
      <c r="B812" s="9" t="s">
        <v>1935</v>
      </c>
      <c r="C812" s="9" t="s">
        <v>64</v>
      </c>
      <c r="D812" s="9" t="s">
        <v>92</v>
      </c>
      <c r="E812" s="11">
        <v>60</v>
      </c>
      <c r="F812" s="9" t="s">
        <v>93</v>
      </c>
      <c r="G812" s="9" t="s">
        <v>65</v>
      </c>
      <c r="H812" s="9" t="s">
        <v>66</v>
      </c>
      <c r="I812" s="9">
        <v>11</v>
      </c>
      <c r="J812" s="9" t="s">
        <v>347</v>
      </c>
      <c r="K812" s="9" t="s">
        <v>347</v>
      </c>
      <c r="L812" s="9" t="s">
        <v>347</v>
      </c>
      <c r="M812" s="9" t="s">
        <v>348</v>
      </c>
      <c r="N812" s="9" t="s">
        <v>866</v>
      </c>
      <c r="O812" s="9" t="s">
        <v>97</v>
      </c>
      <c r="P812" s="9" t="s">
        <v>67</v>
      </c>
      <c r="Q812" s="9" t="s">
        <v>98</v>
      </c>
      <c r="R812" s="9" t="s">
        <v>347</v>
      </c>
      <c r="S812" s="9" t="s">
        <v>348</v>
      </c>
      <c r="T812" s="9" t="s">
        <v>818</v>
      </c>
      <c r="U812" s="9" t="s">
        <v>67</v>
      </c>
      <c r="V812" s="9" t="s">
        <v>130</v>
      </c>
      <c r="W812" s="9" t="s">
        <v>131</v>
      </c>
      <c r="X812" s="11">
        <v>10</v>
      </c>
      <c r="Y812" s="9" t="s">
        <v>1345</v>
      </c>
      <c r="Z812" s="9" t="s">
        <v>68</v>
      </c>
      <c r="AA812" s="9" t="s">
        <v>1346</v>
      </c>
      <c r="AB812" s="9" t="s">
        <v>67</v>
      </c>
      <c r="AC812" s="9" t="s">
        <v>191</v>
      </c>
      <c r="AD812" s="11">
        <v>5</v>
      </c>
      <c r="AE812" s="9" t="s">
        <v>70</v>
      </c>
      <c r="AF812" s="9" t="s">
        <v>71</v>
      </c>
      <c r="AG812" s="13">
        <v>1</v>
      </c>
      <c r="AH812" s="9" t="s">
        <v>92</v>
      </c>
      <c r="AI812" s="13">
        <v>1165220</v>
      </c>
      <c r="AJ812" s="13">
        <v>5826100</v>
      </c>
      <c r="AK812" s="11">
        <v>0</v>
      </c>
      <c r="AL812" s="11">
        <v>0</v>
      </c>
      <c r="AM812" s="11">
        <v>0</v>
      </c>
      <c r="AN812" s="9" t="s">
        <v>67</v>
      </c>
      <c r="AO812" s="11">
        <v>5826100</v>
      </c>
      <c r="AP812" s="13">
        <v>466088</v>
      </c>
      <c r="AQ812" s="13">
        <v>6292188</v>
      </c>
      <c r="AR812" s="11">
        <v>100</v>
      </c>
      <c r="AS812" s="9" t="s">
        <v>72</v>
      </c>
      <c r="AT812" s="11">
        <v>100</v>
      </c>
      <c r="AU812" s="9" t="s">
        <v>73</v>
      </c>
      <c r="AV812" s="9" t="s">
        <v>67</v>
      </c>
      <c r="AW812" s="9" t="s">
        <v>1936</v>
      </c>
      <c r="AX812" s="10">
        <v>45996</v>
      </c>
      <c r="AY812" s="9" t="s">
        <v>1937</v>
      </c>
      <c r="AZ812" s="9" t="s">
        <v>67</v>
      </c>
      <c r="BA812" s="9" t="s">
        <v>67</v>
      </c>
      <c r="BB812" s="12">
        <v>100</v>
      </c>
      <c r="BC812" s="9" t="s">
        <v>74</v>
      </c>
      <c r="BD812" s="9" t="s">
        <v>104</v>
      </c>
      <c r="BE812" s="9" t="s">
        <v>75</v>
      </c>
      <c r="BF812" s="11">
        <v>0</v>
      </c>
      <c r="BG812">
        <f t="shared" si="26"/>
        <v>12</v>
      </c>
      <c r="BH812" t="str">
        <f>VLOOKUP(BG812,[1]month!$A:$B,2,0)</f>
        <v>Desember</v>
      </c>
      <c r="BI812">
        <f t="shared" si="27"/>
        <v>2025</v>
      </c>
      <c r="BJ812" t="str">
        <f>VLOOKUP(I812,[1]Dist!$A:$B,2,0)</f>
        <v>Industry</v>
      </c>
      <c r="BK812" t="str">
        <f>IF(I812=11,VLOOKUP(Y812,[2]Sheet1!$C:$N,10,0),IF(I812=13,VLOOKUP(Y812,[3]Sheet1!$C:$N,10,0),IF(I812=15,VLOOKUP(Y812,[4]Sheet1!$C:$N,10,0),"Unknown")))</f>
        <v>NC</v>
      </c>
      <c r="BL812" t="str">
        <f>IF(I812=11,VLOOKUP(Y812,[2]Sheet1!$C:$N,12,0),IF(I812=13,VLOOKUP(Y812,[3]Sheet1!$C:$N,12,0),IF(I812=15,VLOOKUP(Y812,[4]Sheet1!$C:$N,12,0),"Unknown")))</f>
        <v>NC SYSTEM</v>
      </c>
      <c r="BM812" t="str">
        <f>VLOOKUP(W812,[1]branch!$A:$B,2,0)</f>
        <v>INDUSTRY</v>
      </c>
    </row>
    <row r="813" spans="1:65" x14ac:dyDescent="0.35">
      <c r="A813" s="10">
        <v>46002</v>
      </c>
      <c r="B813" s="9" t="s">
        <v>1938</v>
      </c>
      <c r="C813" s="9" t="s">
        <v>64</v>
      </c>
      <c r="D813" s="9" t="s">
        <v>92</v>
      </c>
      <c r="E813" s="11">
        <v>45</v>
      </c>
      <c r="F813" s="9" t="s">
        <v>93</v>
      </c>
      <c r="G813" s="9" t="s">
        <v>65</v>
      </c>
      <c r="H813" s="9" t="s">
        <v>66</v>
      </c>
      <c r="I813" s="9">
        <v>13</v>
      </c>
      <c r="J813" s="9" t="s">
        <v>1771</v>
      </c>
      <c r="K813" s="9" t="s">
        <v>1771</v>
      </c>
      <c r="L813" s="9" t="s">
        <v>1771</v>
      </c>
      <c r="M813" s="9" t="s">
        <v>1772</v>
      </c>
      <c r="N813" s="9" t="s">
        <v>1773</v>
      </c>
      <c r="O813" s="9" t="s">
        <v>150</v>
      </c>
      <c r="P813" s="9" t="s">
        <v>67</v>
      </c>
      <c r="Q813" s="9" t="s">
        <v>98</v>
      </c>
      <c r="R813" s="9" t="s">
        <v>1771</v>
      </c>
      <c r="S813" s="9" t="s">
        <v>1772</v>
      </c>
      <c r="T813" s="9" t="s">
        <v>1774</v>
      </c>
      <c r="U813" s="9" t="s">
        <v>67</v>
      </c>
      <c r="V813" s="9" t="s">
        <v>592</v>
      </c>
      <c r="W813" s="9" t="s">
        <v>593</v>
      </c>
      <c r="X813" s="11">
        <v>10</v>
      </c>
      <c r="Y813" s="9" t="s">
        <v>433</v>
      </c>
      <c r="Z813" s="9" t="s">
        <v>68</v>
      </c>
      <c r="AA813" s="9" t="s">
        <v>434</v>
      </c>
      <c r="AB813" s="9" t="s">
        <v>67</v>
      </c>
      <c r="AC813" s="9" t="s">
        <v>158</v>
      </c>
      <c r="AD813" s="11">
        <v>8</v>
      </c>
      <c r="AE813" s="9" t="s">
        <v>156</v>
      </c>
      <c r="AF813" s="9" t="s">
        <v>71</v>
      </c>
      <c r="AG813" s="13">
        <v>1</v>
      </c>
      <c r="AH813" s="9" t="s">
        <v>92</v>
      </c>
      <c r="AI813" s="13">
        <v>635455</v>
      </c>
      <c r="AJ813" s="13">
        <v>5083640</v>
      </c>
      <c r="AK813" s="11">
        <v>762546</v>
      </c>
      <c r="AL813" s="11">
        <v>0</v>
      </c>
      <c r="AM813" s="11">
        <v>0</v>
      </c>
      <c r="AN813" s="9" t="s">
        <v>331</v>
      </c>
      <c r="AO813" s="11">
        <v>4321094</v>
      </c>
      <c r="AP813" s="13">
        <v>345688</v>
      </c>
      <c r="AQ813" s="13">
        <v>4666782</v>
      </c>
      <c r="AR813" s="11">
        <v>40</v>
      </c>
      <c r="AS813" s="9" t="s">
        <v>72</v>
      </c>
      <c r="AT813" s="12">
        <v>23.84</v>
      </c>
      <c r="AU813" s="9" t="s">
        <v>73</v>
      </c>
      <c r="AV813" s="9" t="s">
        <v>67</v>
      </c>
      <c r="AW813" s="9" t="s">
        <v>1939</v>
      </c>
      <c r="AX813" s="10">
        <v>46001</v>
      </c>
      <c r="AY813" s="9" t="s">
        <v>1940</v>
      </c>
      <c r="AZ813" s="9" t="s">
        <v>67</v>
      </c>
      <c r="BA813" s="9" t="s">
        <v>67</v>
      </c>
      <c r="BB813" s="12">
        <v>40</v>
      </c>
      <c r="BC813" s="9" t="s">
        <v>74</v>
      </c>
      <c r="BD813" s="9" t="s">
        <v>104</v>
      </c>
      <c r="BE813" s="9" t="s">
        <v>75</v>
      </c>
      <c r="BF813" s="11">
        <v>0</v>
      </c>
      <c r="BG813">
        <f t="shared" si="26"/>
        <v>12</v>
      </c>
      <c r="BH813" t="str">
        <f>VLOOKUP(BG813,[1]month!$A:$B,2,0)</f>
        <v>Desember</v>
      </c>
      <c r="BI813">
        <f t="shared" si="27"/>
        <v>2025</v>
      </c>
      <c r="BJ813" t="str">
        <f>VLOOKUP(I813,[1]Dist!$A:$B,2,0)</f>
        <v>Retail</v>
      </c>
      <c r="BK813" t="str">
        <f>IF(I813=11,VLOOKUP(Y813,[2]Sheet1!$C:$N,10,0),IF(I813=13,VLOOKUP(Y813,[3]Sheet1!$C:$N,10,0),IF(I813=15,VLOOKUP(Y813,[4]Sheet1!$C:$N,10,0),"Unknown")))</f>
        <v>METALKOTE</v>
      </c>
      <c r="BL813" t="str">
        <f>IF(I813=11,VLOOKUP(Y813,[2]Sheet1!$C:$N,12,0),IF(I813=13,VLOOKUP(Y813,[3]Sheet1!$C:$N,12,0),IF(I813=15,VLOOKUP(Y813,[4]Sheet1!$C:$N,12,0),"Unknown")))</f>
        <v>METALKOTE-EPOXY SYS</v>
      </c>
      <c r="BM813" t="str">
        <f>VLOOKUP(W813,[1]branch!$A:$B,2,0)</f>
        <v>HO CHI MINH</v>
      </c>
    </row>
    <row r="814" spans="1:65" x14ac:dyDescent="0.35">
      <c r="A814" s="10">
        <v>46002</v>
      </c>
      <c r="B814" s="9" t="s">
        <v>1938</v>
      </c>
      <c r="C814" s="9" t="s">
        <v>64</v>
      </c>
      <c r="D814" s="9" t="s">
        <v>92</v>
      </c>
      <c r="E814" s="11">
        <v>45</v>
      </c>
      <c r="F814" s="9" t="s">
        <v>93</v>
      </c>
      <c r="G814" s="9" t="s">
        <v>65</v>
      </c>
      <c r="H814" s="9" t="s">
        <v>66</v>
      </c>
      <c r="I814" s="9">
        <v>13</v>
      </c>
      <c r="J814" s="9" t="s">
        <v>1771</v>
      </c>
      <c r="K814" s="9" t="s">
        <v>1771</v>
      </c>
      <c r="L814" s="9" t="s">
        <v>1771</v>
      </c>
      <c r="M814" s="9" t="s">
        <v>1772</v>
      </c>
      <c r="N814" s="9" t="s">
        <v>1773</v>
      </c>
      <c r="O814" s="9" t="s">
        <v>150</v>
      </c>
      <c r="P814" s="9" t="s">
        <v>67</v>
      </c>
      <c r="Q814" s="9" t="s">
        <v>98</v>
      </c>
      <c r="R814" s="9" t="s">
        <v>1771</v>
      </c>
      <c r="S814" s="9" t="s">
        <v>1772</v>
      </c>
      <c r="T814" s="9" t="s">
        <v>1774</v>
      </c>
      <c r="U814" s="9" t="s">
        <v>67</v>
      </c>
      <c r="V814" s="9" t="s">
        <v>592</v>
      </c>
      <c r="W814" s="9" t="s">
        <v>593</v>
      </c>
      <c r="X814" s="11">
        <v>20</v>
      </c>
      <c r="Y814" s="9" t="s">
        <v>1907</v>
      </c>
      <c r="Z814" s="9" t="s">
        <v>68</v>
      </c>
      <c r="AA814" s="9" t="s">
        <v>1908</v>
      </c>
      <c r="AB814" s="9" t="s">
        <v>67</v>
      </c>
      <c r="AC814" s="9" t="s">
        <v>158</v>
      </c>
      <c r="AD814" s="11">
        <v>8</v>
      </c>
      <c r="AE814" s="9" t="s">
        <v>156</v>
      </c>
      <c r="AF814" s="9" t="s">
        <v>71</v>
      </c>
      <c r="AG814" s="13">
        <v>1</v>
      </c>
      <c r="AH814" s="9" t="s">
        <v>92</v>
      </c>
      <c r="AI814" s="13">
        <v>635455</v>
      </c>
      <c r="AJ814" s="13">
        <v>5083640</v>
      </c>
      <c r="AK814" s="11">
        <v>762546</v>
      </c>
      <c r="AL814" s="11">
        <v>0</v>
      </c>
      <c r="AM814" s="11">
        <v>0</v>
      </c>
      <c r="AN814" s="9" t="s">
        <v>331</v>
      </c>
      <c r="AO814" s="11">
        <v>4321094</v>
      </c>
      <c r="AP814" s="13">
        <v>345687</v>
      </c>
      <c r="AQ814" s="13">
        <v>4666781</v>
      </c>
      <c r="AR814" s="11">
        <v>40</v>
      </c>
      <c r="AS814" s="9" t="s">
        <v>72</v>
      </c>
      <c r="AT814" s="12">
        <v>24.08</v>
      </c>
      <c r="AU814" s="9" t="s">
        <v>73</v>
      </c>
      <c r="AV814" s="9" t="s">
        <v>67</v>
      </c>
      <c r="AW814" s="9" t="s">
        <v>1939</v>
      </c>
      <c r="AX814" s="10">
        <v>46001</v>
      </c>
      <c r="AY814" s="9" t="s">
        <v>1940</v>
      </c>
      <c r="AZ814" s="9" t="s">
        <v>67</v>
      </c>
      <c r="BA814" s="9" t="s">
        <v>67</v>
      </c>
      <c r="BB814" s="12">
        <v>40</v>
      </c>
      <c r="BC814" s="9" t="s">
        <v>74</v>
      </c>
      <c r="BD814" s="9" t="s">
        <v>104</v>
      </c>
      <c r="BE814" s="9" t="s">
        <v>75</v>
      </c>
      <c r="BF814" s="11">
        <v>0</v>
      </c>
      <c r="BG814">
        <f t="shared" si="26"/>
        <v>12</v>
      </c>
      <c r="BH814" t="str">
        <f>VLOOKUP(BG814,[1]month!$A:$B,2,0)</f>
        <v>Desember</v>
      </c>
      <c r="BI814">
        <f t="shared" si="27"/>
        <v>2025</v>
      </c>
      <c r="BJ814" t="str">
        <f>VLOOKUP(I814,[1]Dist!$A:$B,2,0)</f>
        <v>Retail</v>
      </c>
      <c r="BK814" t="str">
        <f>IF(I814=11,VLOOKUP(Y814,[2]Sheet1!$C:$N,10,0),IF(I814=13,VLOOKUP(Y814,[3]Sheet1!$C:$N,10,0),IF(I814=15,VLOOKUP(Y814,[4]Sheet1!$C:$N,10,0),"Unknown")))</f>
        <v>METALKOTE</v>
      </c>
      <c r="BL814" t="str">
        <f>IF(I814=11,VLOOKUP(Y814,[2]Sheet1!$C:$N,12,0),IF(I814=13,VLOOKUP(Y814,[3]Sheet1!$C:$N,12,0),IF(I814=15,VLOOKUP(Y814,[4]Sheet1!$C:$N,12,0),"Unknown")))</f>
        <v>METALKOTE-EPOXY SYS</v>
      </c>
      <c r="BM814" t="str">
        <f>VLOOKUP(W814,[1]branch!$A:$B,2,0)</f>
        <v>HO CHI MINH</v>
      </c>
    </row>
    <row r="815" spans="1:65" x14ac:dyDescent="0.35">
      <c r="A815" s="10">
        <v>46002</v>
      </c>
      <c r="B815" s="9" t="s">
        <v>1941</v>
      </c>
      <c r="C815" s="9" t="s">
        <v>64</v>
      </c>
      <c r="D815" s="9" t="s">
        <v>1942</v>
      </c>
      <c r="E815" s="11">
        <v>30</v>
      </c>
      <c r="F815" s="9" t="s">
        <v>93</v>
      </c>
      <c r="G815" s="9" t="s">
        <v>65</v>
      </c>
      <c r="H815" s="9" t="s">
        <v>66</v>
      </c>
      <c r="I815" s="9">
        <v>11</v>
      </c>
      <c r="J815" s="9" t="s">
        <v>1943</v>
      </c>
      <c r="K815" s="9" t="s">
        <v>1943</v>
      </c>
      <c r="L815" s="9" t="s">
        <v>1943</v>
      </c>
      <c r="M815" s="9" t="s">
        <v>1944</v>
      </c>
      <c r="N815" s="9" t="s">
        <v>1945</v>
      </c>
      <c r="O815" s="9" t="s">
        <v>97</v>
      </c>
      <c r="P815" s="9" t="s">
        <v>67</v>
      </c>
      <c r="Q815" s="9" t="s">
        <v>98</v>
      </c>
      <c r="R815" s="9" t="s">
        <v>1943</v>
      </c>
      <c r="S815" s="9" t="s">
        <v>1944</v>
      </c>
      <c r="T815" s="9" t="s">
        <v>1946</v>
      </c>
      <c r="U815" s="9" t="s">
        <v>67</v>
      </c>
      <c r="V815" s="9" t="s">
        <v>130</v>
      </c>
      <c r="W815" s="9" t="s">
        <v>131</v>
      </c>
      <c r="X815" s="11">
        <v>10</v>
      </c>
      <c r="Y815" s="9" t="s">
        <v>1947</v>
      </c>
      <c r="Z815" s="9" t="s">
        <v>68</v>
      </c>
      <c r="AA815" s="9" t="s">
        <v>1948</v>
      </c>
      <c r="AB815" s="9" t="s">
        <v>67</v>
      </c>
      <c r="AC815" s="9" t="s">
        <v>1949</v>
      </c>
      <c r="AD815" s="11">
        <v>5</v>
      </c>
      <c r="AE815" s="9" t="s">
        <v>70</v>
      </c>
      <c r="AF815" s="9" t="s">
        <v>71</v>
      </c>
      <c r="AG815" s="13">
        <v>1</v>
      </c>
      <c r="AH815" s="9" t="s">
        <v>92</v>
      </c>
      <c r="AI815" s="13">
        <v>3295400</v>
      </c>
      <c r="AJ815" s="13">
        <v>16477000</v>
      </c>
      <c r="AK815" s="11">
        <v>0</v>
      </c>
      <c r="AL815" s="11">
        <v>0</v>
      </c>
      <c r="AM815" s="11">
        <v>0</v>
      </c>
      <c r="AN815" s="9" t="s">
        <v>67</v>
      </c>
      <c r="AO815" s="11">
        <v>16477000</v>
      </c>
      <c r="AP815" s="11">
        <v>0</v>
      </c>
      <c r="AQ815" s="13">
        <v>16477000</v>
      </c>
      <c r="AR815" s="11">
        <v>100</v>
      </c>
      <c r="AS815" s="9" t="s">
        <v>72</v>
      </c>
      <c r="AT815" s="12">
        <v>83.334999999999994</v>
      </c>
      <c r="AU815" s="9" t="s">
        <v>73</v>
      </c>
      <c r="AV815" s="9" t="s">
        <v>67</v>
      </c>
      <c r="AW815" s="9" t="s">
        <v>1950</v>
      </c>
      <c r="AX815" s="10">
        <v>45993</v>
      </c>
      <c r="AY815" s="9" t="s">
        <v>1951</v>
      </c>
      <c r="AZ815" s="9" t="s">
        <v>67</v>
      </c>
      <c r="BA815" s="9" t="s">
        <v>67</v>
      </c>
      <c r="BB815" s="12">
        <v>100</v>
      </c>
      <c r="BC815" s="9" t="s">
        <v>74</v>
      </c>
      <c r="BD815" s="9" t="s">
        <v>104</v>
      </c>
      <c r="BE815" s="9" t="s">
        <v>75</v>
      </c>
      <c r="BF815" s="11">
        <v>0</v>
      </c>
      <c r="BG815">
        <f t="shared" si="26"/>
        <v>12</v>
      </c>
      <c r="BH815" t="str">
        <f>VLOOKUP(BG815,[1]month!$A:$B,2,0)</f>
        <v>Desember</v>
      </c>
      <c r="BI815">
        <f t="shared" si="27"/>
        <v>2025</v>
      </c>
      <c r="BJ815" t="str">
        <f>VLOOKUP(I815,[1]Dist!$A:$B,2,0)</f>
        <v>Industry</v>
      </c>
      <c r="BK815" t="str">
        <f>IF(I815=11,VLOOKUP(Y815,[2]Sheet1!$C:$N,10,0),IF(I815=13,VLOOKUP(Y815,[3]Sheet1!$C:$N,10,0),IF(I815=15,VLOOKUP(Y815,[4]Sheet1!$C:$N,10,0),"Unknown")))</f>
        <v>UV</v>
      </c>
      <c r="BL815" t="str">
        <f>IF(I815=11,VLOOKUP(Y815,[2]Sheet1!$C:$N,12,0),IF(I815=13,VLOOKUP(Y815,[3]Sheet1!$C:$N,12,0),IF(I815=15,VLOOKUP(Y815,[4]Sheet1!$C:$N,12,0),"Unknown")))</f>
        <v>UV TOP COAT CLEAR</v>
      </c>
      <c r="BM815" t="str">
        <f>VLOOKUP(W815,[1]branch!$A:$B,2,0)</f>
        <v>INDUSTRY</v>
      </c>
    </row>
    <row r="816" spans="1:65" x14ac:dyDescent="0.35">
      <c r="A816" s="10">
        <v>46002</v>
      </c>
      <c r="B816" s="9" t="s">
        <v>1941</v>
      </c>
      <c r="C816" s="9" t="s">
        <v>64</v>
      </c>
      <c r="D816" s="9" t="s">
        <v>1942</v>
      </c>
      <c r="E816" s="11">
        <v>30</v>
      </c>
      <c r="F816" s="9" t="s">
        <v>93</v>
      </c>
      <c r="G816" s="9" t="s">
        <v>65</v>
      </c>
      <c r="H816" s="9" t="s">
        <v>66</v>
      </c>
      <c r="I816" s="9">
        <v>11</v>
      </c>
      <c r="J816" s="9" t="s">
        <v>1943</v>
      </c>
      <c r="K816" s="9" t="s">
        <v>1943</v>
      </c>
      <c r="L816" s="9" t="s">
        <v>1943</v>
      </c>
      <c r="M816" s="9" t="s">
        <v>1944</v>
      </c>
      <c r="N816" s="9" t="s">
        <v>1945</v>
      </c>
      <c r="O816" s="9" t="s">
        <v>97</v>
      </c>
      <c r="P816" s="9" t="s">
        <v>67</v>
      </c>
      <c r="Q816" s="9" t="s">
        <v>98</v>
      </c>
      <c r="R816" s="9" t="s">
        <v>1943</v>
      </c>
      <c r="S816" s="9" t="s">
        <v>1944</v>
      </c>
      <c r="T816" s="9" t="s">
        <v>1946</v>
      </c>
      <c r="U816" s="9" t="s">
        <v>67</v>
      </c>
      <c r="V816" s="9" t="s">
        <v>130</v>
      </c>
      <c r="W816" s="9" t="s">
        <v>131</v>
      </c>
      <c r="X816" s="11">
        <v>20</v>
      </c>
      <c r="Y816" s="9" t="s">
        <v>1952</v>
      </c>
      <c r="Z816" s="9" t="s">
        <v>68</v>
      </c>
      <c r="AA816" s="9" t="s">
        <v>1953</v>
      </c>
      <c r="AB816" s="9" t="s">
        <v>67</v>
      </c>
      <c r="AC816" s="9" t="s">
        <v>1949</v>
      </c>
      <c r="AD816" s="11">
        <v>15</v>
      </c>
      <c r="AE816" s="9" t="s">
        <v>70</v>
      </c>
      <c r="AF816" s="9" t="s">
        <v>71</v>
      </c>
      <c r="AG816" s="13">
        <v>1</v>
      </c>
      <c r="AH816" s="9" t="s">
        <v>92</v>
      </c>
      <c r="AI816" s="13">
        <v>3130800</v>
      </c>
      <c r="AJ816" s="13">
        <v>46962000</v>
      </c>
      <c r="AK816" s="11">
        <v>0</v>
      </c>
      <c r="AL816" s="11">
        <v>0</v>
      </c>
      <c r="AM816" s="11">
        <v>0</v>
      </c>
      <c r="AN816" s="9" t="s">
        <v>67</v>
      </c>
      <c r="AO816" s="11">
        <v>46962000</v>
      </c>
      <c r="AP816" s="11">
        <v>0</v>
      </c>
      <c r="AQ816" s="13">
        <v>46962000</v>
      </c>
      <c r="AR816" s="11">
        <v>300</v>
      </c>
      <c r="AS816" s="9" t="s">
        <v>72</v>
      </c>
      <c r="AT816" s="12">
        <v>250.005</v>
      </c>
      <c r="AU816" s="9" t="s">
        <v>73</v>
      </c>
      <c r="AV816" s="9" t="s">
        <v>67</v>
      </c>
      <c r="AW816" s="9" t="s">
        <v>1950</v>
      </c>
      <c r="AX816" s="10">
        <v>45993</v>
      </c>
      <c r="AY816" s="9" t="s">
        <v>1951</v>
      </c>
      <c r="AZ816" s="9" t="s">
        <v>67</v>
      </c>
      <c r="BA816" s="9" t="s">
        <v>67</v>
      </c>
      <c r="BB816" s="12">
        <v>300</v>
      </c>
      <c r="BC816" s="9" t="s">
        <v>74</v>
      </c>
      <c r="BD816" s="9" t="s">
        <v>104</v>
      </c>
      <c r="BE816" s="9" t="s">
        <v>75</v>
      </c>
      <c r="BF816" s="11">
        <v>0</v>
      </c>
      <c r="BG816">
        <f t="shared" si="26"/>
        <v>12</v>
      </c>
      <c r="BH816" t="str">
        <f>VLOOKUP(BG816,[1]month!$A:$B,2,0)</f>
        <v>Desember</v>
      </c>
      <c r="BI816">
        <f t="shared" si="27"/>
        <v>2025</v>
      </c>
      <c r="BJ816" t="str">
        <f>VLOOKUP(I816,[1]Dist!$A:$B,2,0)</f>
        <v>Industry</v>
      </c>
      <c r="BK816" t="str">
        <f>IF(I816=11,VLOOKUP(Y816,[2]Sheet1!$C:$N,10,0),IF(I816=13,VLOOKUP(Y816,[3]Sheet1!$C:$N,10,0),IF(I816=15,VLOOKUP(Y816,[4]Sheet1!$C:$N,10,0),"Unknown")))</f>
        <v>UV</v>
      </c>
      <c r="BL816" t="str">
        <f>IF(I816=11,VLOOKUP(Y816,[2]Sheet1!$C:$N,12,0),IF(I816=13,VLOOKUP(Y816,[3]Sheet1!$C:$N,12,0),IF(I816=15,VLOOKUP(Y816,[4]Sheet1!$C:$N,12,0),"Unknown")))</f>
        <v>UV TOP COAT CLEAR</v>
      </c>
      <c r="BM816" t="str">
        <f>VLOOKUP(W816,[1]branch!$A:$B,2,0)</f>
        <v>INDUSTRY</v>
      </c>
    </row>
    <row r="817" spans="1:65" x14ac:dyDescent="0.35">
      <c r="A817" s="10">
        <v>46002</v>
      </c>
      <c r="B817" s="9" t="s">
        <v>1941</v>
      </c>
      <c r="C817" s="9" t="s">
        <v>64</v>
      </c>
      <c r="D817" s="9" t="s">
        <v>1942</v>
      </c>
      <c r="E817" s="11">
        <v>30</v>
      </c>
      <c r="F817" s="9" t="s">
        <v>93</v>
      </c>
      <c r="G817" s="9" t="s">
        <v>65</v>
      </c>
      <c r="H817" s="9" t="s">
        <v>66</v>
      </c>
      <c r="I817" s="9">
        <v>11</v>
      </c>
      <c r="J817" s="9" t="s">
        <v>1943</v>
      </c>
      <c r="K817" s="9" t="s">
        <v>1943</v>
      </c>
      <c r="L817" s="9" t="s">
        <v>1943</v>
      </c>
      <c r="M817" s="9" t="s">
        <v>1944</v>
      </c>
      <c r="N817" s="9" t="s">
        <v>1945</v>
      </c>
      <c r="O817" s="9" t="s">
        <v>97</v>
      </c>
      <c r="P817" s="9" t="s">
        <v>67</v>
      </c>
      <c r="Q817" s="9" t="s">
        <v>98</v>
      </c>
      <c r="R817" s="9" t="s">
        <v>1943</v>
      </c>
      <c r="S817" s="9" t="s">
        <v>1944</v>
      </c>
      <c r="T817" s="9" t="s">
        <v>1946</v>
      </c>
      <c r="U817" s="9" t="s">
        <v>67</v>
      </c>
      <c r="V817" s="9" t="s">
        <v>130</v>
      </c>
      <c r="W817" s="9" t="s">
        <v>131</v>
      </c>
      <c r="X817" s="11">
        <v>30</v>
      </c>
      <c r="Y817" s="9" t="s">
        <v>1954</v>
      </c>
      <c r="Z817" s="9" t="s">
        <v>68</v>
      </c>
      <c r="AA817" s="9" t="s">
        <v>1955</v>
      </c>
      <c r="AB817" s="9" t="s">
        <v>67</v>
      </c>
      <c r="AC817" s="9" t="s">
        <v>1949</v>
      </c>
      <c r="AD817" s="11">
        <v>15</v>
      </c>
      <c r="AE817" s="9" t="s">
        <v>70</v>
      </c>
      <c r="AF817" s="9" t="s">
        <v>71</v>
      </c>
      <c r="AG817" s="13">
        <v>1</v>
      </c>
      <c r="AH817" s="9" t="s">
        <v>92</v>
      </c>
      <c r="AI817" s="13">
        <v>4912000</v>
      </c>
      <c r="AJ817" s="13">
        <v>73680000</v>
      </c>
      <c r="AK817" s="11">
        <v>0</v>
      </c>
      <c r="AL817" s="11">
        <v>0</v>
      </c>
      <c r="AM817" s="11">
        <v>0</v>
      </c>
      <c r="AN817" s="9" t="s">
        <v>67</v>
      </c>
      <c r="AO817" s="11">
        <v>73680000</v>
      </c>
      <c r="AP817" s="11">
        <v>0</v>
      </c>
      <c r="AQ817" s="13">
        <v>73680000</v>
      </c>
      <c r="AR817" s="11">
        <v>300</v>
      </c>
      <c r="AS817" s="9" t="s">
        <v>72</v>
      </c>
      <c r="AT817" s="12">
        <v>263.16000000000003</v>
      </c>
      <c r="AU817" s="9" t="s">
        <v>73</v>
      </c>
      <c r="AV817" s="9" t="s">
        <v>67</v>
      </c>
      <c r="AW817" s="9" t="s">
        <v>1950</v>
      </c>
      <c r="AX817" s="10">
        <v>45993</v>
      </c>
      <c r="AY817" s="9" t="s">
        <v>1951</v>
      </c>
      <c r="AZ817" s="9" t="s">
        <v>67</v>
      </c>
      <c r="BA817" s="9" t="s">
        <v>67</v>
      </c>
      <c r="BB817" s="12">
        <v>300</v>
      </c>
      <c r="BC817" s="9" t="s">
        <v>74</v>
      </c>
      <c r="BD817" s="9" t="s">
        <v>104</v>
      </c>
      <c r="BE817" s="9" t="s">
        <v>75</v>
      </c>
      <c r="BF817" s="11">
        <v>0</v>
      </c>
      <c r="BG817">
        <f t="shared" si="26"/>
        <v>12</v>
      </c>
      <c r="BH817" t="str">
        <f>VLOOKUP(BG817,[1]month!$A:$B,2,0)</f>
        <v>Desember</v>
      </c>
      <c r="BI817">
        <f t="shared" si="27"/>
        <v>2025</v>
      </c>
      <c r="BJ817" t="str">
        <f>VLOOKUP(I817,[1]Dist!$A:$B,2,0)</f>
        <v>Industry</v>
      </c>
      <c r="BK817" t="str">
        <f>IF(I817=11,VLOOKUP(Y817,[2]Sheet1!$C:$N,10,0),IF(I817=13,VLOOKUP(Y817,[3]Sheet1!$C:$N,10,0),IF(I817=15,VLOOKUP(Y817,[4]Sheet1!$C:$N,10,0),"Unknown")))</f>
        <v>UV</v>
      </c>
      <c r="BL817" t="str">
        <f>IF(I817=11,VLOOKUP(Y817,[2]Sheet1!$C:$N,12,0),IF(I817=13,VLOOKUP(Y817,[3]Sheet1!$C:$N,12,0),IF(I817=15,VLOOKUP(Y817,[4]Sheet1!$C:$N,12,0),"Unknown")))</f>
        <v>UV TOP COAT CLEAR</v>
      </c>
      <c r="BM817" t="str">
        <f>VLOOKUP(W817,[1]branch!$A:$B,2,0)</f>
        <v>INDUSTRY</v>
      </c>
    </row>
    <row r="818" spans="1:65" x14ac:dyDescent="0.35">
      <c r="A818" s="10">
        <v>46002</v>
      </c>
      <c r="B818" s="9" t="s">
        <v>1941</v>
      </c>
      <c r="C818" s="9" t="s">
        <v>64</v>
      </c>
      <c r="D818" s="9" t="s">
        <v>1942</v>
      </c>
      <c r="E818" s="11">
        <v>30</v>
      </c>
      <c r="F818" s="9" t="s">
        <v>93</v>
      </c>
      <c r="G818" s="9" t="s">
        <v>65</v>
      </c>
      <c r="H818" s="9" t="s">
        <v>66</v>
      </c>
      <c r="I818" s="9">
        <v>11</v>
      </c>
      <c r="J818" s="9" t="s">
        <v>1943</v>
      </c>
      <c r="K818" s="9" t="s">
        <v>1943</v>
      </c>
      <c r="L818" s="9" t="s">
        <v>1943</v>
      </c>
      <c r="M818" s="9" t="s">
        <v>1944</v>
      </c>
      <c r="N818" s="9" t="s">
        <v>1945</v>
      </c>
      <c r="O818" s="9" t="s">
        <v>97</v>
      </c>
      <c r="P818" s="9" t="s">
        <v>67</v>
      </c>
      <c r="Q818" s="9" t="s">
        <v>98</v>
      </c>
      <c r="R818" s="9" t="s">
        <v>1943</v>
      </c>
      <c r="S818" s="9" t="s">
        <v>1944</v>
      </c>
      <c r="T818" s="9" t="s">
        <v>1946</v>
      </c>
      <c r="U818" s="9" t="s">
        <v>67</v>
      </c>
      <c r="V818" s="9" t="s">
        <v>130</v>
      </c>
      <c r="W818" s="9" t="s">
        <v>131</v>
      </c>
      <c r="X818" s="11">
        <v>40</v>
      </c>
      <c r="Y818" s="9" t="s">
        <v>1956</v>
      </c>
      <c r="Z818" s="9" t="s">
        <v>68</v>
      </c>
      <c r="AA818" s="9" t="s">
        <v>1957</v>
      </c>
      <c r="AB818" s="9" t="s">
        <v>67</v>
      </c>
      <c r="AC818" s="9" t="s">
        <v>1949</v>
      </c>
      <c r="AD818" s="11">
        <v>25</v>
      </c>
      <c r="AE818" s="9" t="s">
        <v>70</v>
      </c>
      <c r="AF818" s="9" t="s">
        <v>71</v>
      </c>
      <c r="AG818" s="13">
        <v>1</v>
      </c>
      <c r="AH818" s="9" t="s">
        <v>92</v>
      </c>
      <c r="AI818" s="13">
        <v>4338000</v>
      </c>
      <c r="AJ818" s="13">
        <v>108450000</v>
      </c>
      <c r="AK818" s="11">
        <v>0</v>
      </c>
      <c r="AL818" s="11">
        <v>0</v>
      </c>
      <c r="AM818" s="11">
        <v>0</v>
      </c>
      <c r="AN818" s="9" t="s">
        <v>67</v>
      </c>
      <c r="AO818" s="11">
        <v>108450000</v>
      </c>
      <c r="AP818" s="11">
        <v>0</v>
      </c>
      <c r="AQ818" s="13">
        <v>108450000</v>
      </c>
      <c r="AR818" s="11">
        <v>500</v>
      </c>
      <c r="AS818" s="9" t="s">
        <v>72</v>
      </c>
      <c r="AT818" s="12">
        <v>471.7</v>
      </c>
      <c r="AU818" s="9" t="s">
        <v>73</v>
      </c>
      <c r="AV818" s="9" t="s">
        <v>67</v>
      </c>
      <c r="AW818" s="9" t="s">
        <v>1950</v>
      </c>
      <c r="AX818" s="10">
        <v>45993</v>
      </c>
      <c r="AY818" s="9" t="s">
        <v>1951</v>
      </c>
      <c r="AZ818" s="9" t="s">
        <v>67</v>
      </c>
      <c r="BA818" s="9" t="s">
        <v>67</v>
      </c>
      <c r="BB818" s="12">
        <v>500</v>
      </c>
      <c r="BC818" s="9" t="s">
        <v>74</v>
      </c>
      <c r="BD818" s="9" t="s">
        <v>104</v>
      </c>
      <c r="BE818" s="9" t="s">
        <v>75</v>
      </c>
      <c r="BF818" s="11">
        <v>0</v>
      </c>
      <c r="BG818">
        <f t="shared" si="26"/>
        <v>12</v>
      </c>
      <c r="BH818" t="str">
        <f>VLOOKUP(BG818,[1]month!$A:$B,2,0)</f>
        <v>Desember</v>
      </c>
      <c r="BI818">
        <f t="shared" si="27"/>
        <v>2025</v>
      </c>
      <c r="BJ818" t="str">
        <f>VLOOKUP(I818,[1]Dist!$A:$B,2,0)</f>
        <v>Industry</v>
      </c>
      <c r="BK818" t="str">
        <f>IF(I818=11,VLOOKUP(Y818,[2]Sheet1!$C:$N,10,0),IF(I818=13,VLOOKUP(Y818,[3]Sheet1!$C:$N,10,0),IF(I818=15,VLOOKUP(Y818,[4]Sheet1!$C:$N,10,0),"Unknown")))</f>
        <v>UV</v>
      </c>
      <c r="BL818" t="str">
        <f>IF(I818=11,VLOOKUP(Y818,[2]Sheet1!$C:$N,12,0),IF(I818=13,VLOOKUP(Y818,[3]Sheet1!$C:$N,12,0),IF(I818=15,VLOOKUP(Y818,[4]Sheet1!$C:$N,12,0),"Unknown")))</f>
        <v>UV TOP COAT CLEAR</v>
      </c>
      <c r="BM818" t="str">
        <f>VLOOKUP(W818,[1]branch!$A:$B,2,0)</f>
        <v>INDUSTRY</v>
      </c>
    </row>
    <row r="819" spans="1:65" x14ac:dyDescent="0.35">
      <c r="A819" s="10">
        <v>46002</v>
      </c>
      <c r="B819" s="9" t="s">
        <v>1958</v>
      </c>
      <c r="C819" s="9" t="s">
        <v>64</v>
      </c>
      <c r="D819" s="9" t="s">
        <v>92</v>
      </c>
      <c r="E819" s="11">
        <v>30</v>
      </c>
      <c r="F819" s="9" t="s">
        <v>93</v>
      </c>
      <c r="G819" s="9" t="s">
        <v>65</v>
      </c>
      <c r="H819" s="9" t="s">
        <v>66</v>
      </c>
      <c r="I819" s="9">
        <v>11</v>
      </c>
      <c r="J819" s="9" t="s">
        <v>523</v>
      </c>
      <c r="K819" s="9" t="s">
        <v>523</v>
      </c>
      <c r="L819" s="9" t="s">
        <v>523</v>
      </c>
      <c r="M819" s="9" t="s">
        <v>524</v>
      </c>
      <c r="N819" s="9" t="s">
        <v>903</v>
      </c>
      <c r="O819" s="9" t="s">
        <v>378</v>
      </c>
      <c r="P819" s="9" t="s">
        <v>67</v>
      </c>
      <c r="Q819" s="9" t="s">
        <v>98</v>
      </c>
      <c r="R819" s="9" t="s">
        <v>523</v>
      </c>
      <c r="S819" s="9" t="s">
        <v>524</v>
      </c>
      <c r="T819" s="9" t="s">
        <v>804</v>
      </c>
      <c r="U819" s="9" t="s">
        <v>67</v>
      </c>
      <c r="V819" s="9" t="s">
        <v>146</v>
      </c>
      <c r="W819" s="9" t="s">
        <v>147</v>
      </c>
      <c r="X819" s="11">
        <v>10</v>
      </c>
      <c r="Y819" s="9" t="s">
        <v>1959</v>
      </c>
      <c r="Z819" s="9" t="s">
        <v>68</v>
      </c>
      <c r="AA819" s="9" t="s">
        <v>1960</v>
      </c>
      <c r="AB819" s="9" t="s">
        <v>67</v>
      </c>
      <c r="AC819" s="9" t="s">
        <v>1961</v>
      </c>
      <c r="AD819" s="11">
        <v>3</v>
      </c>
      <c r="AE819" s="9" t="s">
        <v>70</v>
      </c>
      <c r="AF819" s="9" t="s">
        <v>71</v>
      </c>
      <c r="AG819" s="13">
        <v>1</v>
      </c>
      <c r="AH819" s="9" t="s">
        <v>92</v>
      </c>
      <c r="AI819" s="13">
        <v>34280000</v>
      </c>
      <c r="AJ819" s="13">
        <v>102840000</v>
      </c>
      <c r="AK819" s="11">
        <v>0</v>
      </c>
      <c r="AL819" s="11">
        <v>0</v>
      </c>
      <c r="AM819" s="11">
        <v>0</v>
      </c>
      <c r="AN819" s="9" t="s">
        <v>67</v>
      </c>
      <c r="AO819" s="11">
        <v>102840000</v>
      </c>
      <c r="AP819" s="13">
        <v>8227200</v>
      </c>
      <c r="AQ819" s="13">
        <v>111067200</v>
      </c>
      <c r="AR819" s="11">
        <v>750</v>
      </c>
      <c r="AS819" s="9" t="s">
        <v>72</v>
      </c>
      <c r="AT819" s="12">
        <v>585.92999999999995</v>
      </c>
      <c r="AU819" s="9" t="s">
        <v>73</v>
      </c>
      <c r="AV819" s="9" t="s">
        <v>67</v>
      </c>
      <c r="AW819" s="9" t="s">
        <v>1962</v>
      </c>
      <c r="AX819" s="10">
        <v>45999</v>
      </c>
      <c r="AY819" s="9" t="s">
        <v>1963</v>
      </c>
      <c r="AZ819" s="9" t="s">
        <v>67</v>
      </c>
      <c r="BA819" s="9" t="s">
        <v>67</v>
      </c>
      <c r="BB819" s="12">
        <v>750</v>
      </c>
      <c r="BC819" s="9" t="s">
        <v>74</v>
      </c>
      <c r="BD819" s="9" t="s">
        <v>104</v>
      </c>
      <c r="BE819" s="9" t="s">
        <v>75</v>
      </c>
      <c r="BF819" s="11">
        <v>0</v>
      </c>
      <c r="BG819">
        <f t="shared" si="26"/>
        <v>12</v>
      </c>
      <c r="BH819" t="str">
        <f>VLOOKUP(BG819,[1]month!$A:$B,2,0)</f>
        <v>Desember</v>
      </c>
      <c r="BI819">
        <f t="shared" si="27"/>
        <v>2025</v>
      </c>
      <c r="BJ819" t="str">
        <f>VLOOKUP(I819,[1]Dist!$A:$B,2,0)</f>
        <v>Industry</v>
      </c>
      <c r="BK819" t="str">
        <f>IF(I819=11,VLOOKUP(Y819,[2]Sheet1!$C:$N,10,0),IF(I819=13,VLOOKUP(Y819,[3]Sheet1!$C:$N,10,0),IF(I819=15,VLOOKUP(Y819,[4]Sheet1!$C:$N,10,0),"Unknown")))</f>
        <v>CAN COATINGS</v>
      </c>
      <c r="BL819" t="str">
        <f>IF(I819=11,VLOOKUP(Y819,[2]Sheet1!$C:$N,12,0),IF(I819=13,VLOOKUP(Y819,[3]Sheet1!$C:$N,12,0),IF(I819=15,VLOOKUP(Y819,[4]Sheet1!$C:$N,12,0),"Unknown")))</f>
        <v>CAN COATINGS</v>
      </c>
      <c r="BM819" t="str">
        <f>VLOOKUP(W819,[1]branch!$A:$B,2,0)</f>
        <v>INDUSTRY</v>
      </c>
    </row>
    <row r="820" spans="1:65" x14ac:dyDescent="0.35">
      <c r="A820" s="10">
        <v>46002</v>
      </c>
      <c r="B820" s="9" t="s">
        <v>1964</v>
      </c>
      <c r="C820" s="9" t="s">
        <v>64</v>
      </c>
      <c r="D820" s="9" t="s">
        <v>92</v>
      </c>
      <c r="E820" s="11">
        <v>60</v>
      </c>
      <c r="F820" s="9" t="s">
        <v>93</v>
      </c>
      <c r="G820" s="9" t="s">
        <v>65</v>
      </c>
      <c r="H820" s="9" t="s">
        <v>66</v>
      </c>
      <c r="I820" s="9">
        <v>11</v>
      </c>
      <c r="J820" s="9" t="s">
        <v>275</v>
      </c>
      <c r="K820" s="9" t="s">
        <v>275</v>
      </c>
      <c r="L820" s="9" t="s">
        <v>275</v>
      </c>
      <c r="M820" s="9" t="s">
        <v>276</v>
      </c>
      <c r="N820" s="9" t="s">
        <v>876</v>
      </c>
      <c r="O820" s="9" t="s">
        <v>97</v>
      </c>
      <c r="P820" s="9" t="s">
        <v>67</v>
      </c>
      <c r="Q820" s="9" t="s">
        <v>98</v>
      </c>
      <c r="R820" s="9" t="s">
        <v>275</v>
      </c>
      <c r="S820" s="9" t="s">
        <v>276</v>
      </c>
      <c r="T820" s="9" t="s">
        <v>800</v>
      </c>
      <c r="U820" s="9" t="s">
        <v>67</v>
      </c>
      <c r="V820" s="9" t="s">
        <v>130</v>
      </c>
      <c r="W820" s="9" t="s">
        <v>131</v>
      </c>
      <c r="X820" s="11">
        <v>120</v>
      </c>
      <c r="Y820" s="9" t="s">
        <v>283</v>
      </c>
      <c r="Z820" s="9" t="s">
        <v>68</v>
      </c>
      <c r="AA820" s="9" t="s">
        <v>284</v>
      </c>
      <c r="AB820" s="9" t="s">
        <v>67</v>
      </c>
      <c r="AC820" s="9" t="s">
        <v>285</v>
      </c>
      <c r="AD820" s="11">
        <v>1</v>
      </c>
      <c r="AE820" s="9" t="s">
        <v>70</v>
      </c>
      <c r="AF820" s="9" t="s">
        <v>71</v>
      </c>
      <c r="AG820" s="13">
        <v>1</v>
      </c>
      <c r="AH820" s="9" t="s">
        <v>92</v>
      </c>
      <c r="AI820" s="13">
        <v>11780000</v>
      </c>
      <c r="AJ820" s="13">
        <v>11780000</v>
      </c>
      <c r="AK820" s="11">
        <v>0</v>
      </c>
      <c r="AL820" s="11">
        <v>0</v>
      </c>
      <c r="AM820" s="11">
        <v>0</v>
      </c>
      <c r="AN820" s="9" t="s">
        <v>67</v>
      </c>
      <c r="AO820" s="11">
        <v>11780000</v>
      </c>
      <c r="AP820" s="13">
        <v>942400</v>
      </c>
      <c r="AQ820" s="13">
        <v>12722400</v>
      </c>
      <c r="AR820" s="11">
        <v>200</v>
      </c>
      <c r="AS820" s="9" t="s">
        <v>72</v>
      </c>
      <c r="AT820" s="12">
        <v>181.82</v>
      </c>
      <c r="AU820" s="9" t="s">
        <v>73</v>
      </c>
      <c r="AV820" s="9" t="s">
        <v>67</v>
      </c>
      <c r="AW820" s="9" t="s">
        <v>1812</v>
      </c>
      <c r="AX820" s="10">
        <v>45994</v>
      </c>
      <c r="AY820" s="9" t="s">
        <v>1965</v>
      </c>
      <c r="AZ820" s="9" t="s">
        <v>67</v>
      </c>
      <c r="BA820" s="9" t="s">
        <v>67</v>
      </c>
      <c r="BB820" s="12">
        <v>200</v>
      </c>
      <c r="BC820" s="9" t="s">
        <v>74</v>
      </c>
      <c r="BD820" s="9" t="s">
        <v>104</v>
      </c>
      <c r="BE820" s="9" t="s">
        <v>75</v>
      </c>
      <c r="BF820" s="11">
        <v>0</v>
      </c>
      <c r="BG820">
        <f t="shared" si="26"/>
        <v>12</v>
      </c>
      <c r="BH820" t="str">
        <f>VLOOKUP(BG820,[1]month!$A:$B,2,0)</f>
        <v>Desember</v>
      </c>
      <c r="BI820">
        <f t="shared" si="27"/>
        <v>2025</v>
      </c>
      <c r="BJ820" t="str">
        <f>VLOOKUP(I820,[1]Dist!$A:$B,2,0)</f>
        <v>Industry</v>
      </c>
      <c r="BK820" t="str">
        <f>IF(I820=11,VLOOKUP(Y820,[2]Sheet1!$C:$N,10,0),IF(I820=13,VLOOKUP(Y820,[3]Sheet1!$C:$N,10,0),IF(I820=15,VLOOKUP(Y820,[4]Sheet1!$C:$N,10,0),"Unknown")))</f>
        <v>PU</v>
      </c>
      <c r="BL820" t="str">
        <f>IF(I820=11,VLOOKUP(Y820,[2]Sheet1!$C:$N,12,0),IF(I820=13,VLOOKUP(Y820,[3]Sheet1!$C:$N,12,0),IF(I820=15,VLOOKUP(Y820,[4]Sheet1!$C:$N,12,0),"Unknown")))</f>
        <v>UNION SANDING SEALER</v>
      </c>
      <c r="BM820" t="str">
        <f>VLOOKUP(W820,[1]branch!$A:$B,2,0)</f>
        <v>INDUSTRY</v>
      </c>
    </row>
    <row r="821" spans="1:65" x14ac:dyDescent="0.35">
      <c r="A821" s="10">
        <v>46002</v>
      </c>
      <c r="B821" s="9" t="s">
        <v>1966</v>
      </c>
      <c r="C821" s="9" t="s">
        <v>64</v>
      </c>
      <c r="D821" s="9" t="s">
        <v>92</v>
      </c>
      <c r="E821" s="11">
        <v>45</v>
      </c>
      <c r="F821" s="9" t="s">
        <v>93</v>
      </c>
      <c r="G821" s="9" t="s">
        <v>65</v>
      </c>
      <c r="H821" s="9" t="s">
        <v>66</v>
      </c>
      <c r="I821" s="9">
        <v>11</v>
      </c>
      <c r="J821" s="9" t="s">
        <v>162</v>
      </c>
      <c r="K821" s="9" t="s">
        <v>162</v>
      </c>
      <c r="L821" s="9" t="s">
        <v>162</v>
      </c>
      <c r="M821" s="9" t="s">
        <v>163</v>
      </c>
      <c r="N821" s="9" t="s">
        <v>867</v>
      </c>
      <c r="O821" s="9" t="s">
        <v>97</v>
      </c>
      <c r="P821" s="9" t="s">
        <v>67</v>
      </c>
      <c r="Q821" s="9" t="s">
        <v>98</v>
      </c>
      <c r="R821" s="9" t="s">
        <v>162</v>
      </c>
      <c r="S821" s="9" t="s">
        <v>163</v>
      </c>
      <c r="T821" s="9" t="s">
        <v>795</v>
      </c>
      <c r="U821" s="9" t="s">
        <v>67</v>
      </c>
      <c r="V821" s="9" t="s">
        <v>130</v>
      </c>
      <c r="W821" s="9" t="s">
        <v>131</v>
      </c>
      <c r="X821" s="11">
        <v>10</v>
      </c>
      <c r="Y821" s="9" t="s">
        <v>164</v>
      </c>
      <c r="Z821" s="9" t="s">
        <v>68</v>
      </c>
      <c r="AA821" s="9" t="s">
        <v>165</v>
      </c>
      <c r="AB821" s="9" t="s">
        <v>67</v>
      </c>
      <c r="AC821" s="9" t="s">
        <v>166</v>
      </c>
      <c r="AD821" s="11">
        <v>13</v>
      </c>
      <c r="AE821" s="9" t="s">
        <v>70</v>
      </c>
      <c r="AF821" s="9" t="s">
        <v>71</v>
      </c>
      <c r="AG821" s="13">
        <v>1</v>
      </c>
      <c r="AH821" s="9" t="s">
        <v>92</v>
      </c>
      <c r="AI821" s="13">
        <v>984000</v>
      </c>
      <c r="AJ821" s="13">
        <v>12792000</v>
      </c>
      <c r="AK821" s="11">
        <v>0</v>
      </c>
      <c r="AL821" s="11">
        <v>0</v>
      </c>
      <c r="AM821" s="11">
        <v>0</v>
      </c>
      <c r="AN821" s="9" t="s">
        <v>67</v>
      </c>
      <c r="AO821" s="11">
        <v>12792000</v>
      </c>
      <c r="AP821" s="13">
        <v>1023360</v>
      </c>
      <c r="AQ821" s="13">
        <v>13815360</v>
      </c>
      <c r="AR821" s="11">
        <v>208</v>
      </c>
      <c r="AS821" s="9" t="s">
        <v>72</v>
      </c>
      <c r="AT821" s="12">
        <v>199.94</v>
      </c>
      <c r="AU821" s="9" t="s">
        <v>73</v>
      </c>
      <c r="AV821" s="9" t="s">
        <v>67</v>
      </c>
      <c r="AW821" s="9" t="s">
        <v>1967</v>
      </c>
      <c r="AX821" s="10">
        <v>45987</v>
      </c>
      <c r="AY821" s="9" t="s">
        <v>1968</v>
      </c>
      <c r="AZ821" s="9" t="s">
        <v>67</v>
      </c>
      <c r="BA821" s="9" t="s">
        <v>67</v>
      </c>
      <c r="BB821" s="12">
        <v>208</v>
      </c>
      <c r="BC821" s="9" t="s">
        <v>74</v>
      </c>
      <c r="BD821" s="9" t="s">
        <v>104</v>
      </c>
      <c r="BE821" s="9" t="s">
        <v>75</v>
      </c>
      <c r="BF821" s="11">
        <v>0</v>
      </c>
      <c r="BG821">
        <f t="shared" si="26"/>
        <v>12</v>
      </c>
      <c r="BH821" t="str">
        <f>VLOOKUP(BG821,[1]month!$A:$B,2,0)</f>
        <v>Desember</v>
      </c>
      <c r="BI821">
        <f t="shared" si="27"/>
        <v>2025</v>
      </c>
      <c r="BJ821" t="str">
        <f>VLOOKUP(I821,[1]Dist!$A:$B,2,0)</f>
        <v>Industry</v>
      </c>
      <c r="BK821" t="str">
        <f>IF(I821=11,VLOOKUP(Y821,[2]Sheet1!$C:$N,10,0),IF(I821=13,VLOOKUP(Y821,[3]Sheet1!$C:$N,10,0),IF(I821=15,VLOOKUP(Y821,[4]Sheet1!$C:$N,10,0),"Unknown")))</f>
        <v>PU</v>
      </c>
      <c r="BL821" t="str">
        <f>IF(I821=11,VLOOKUP(Y821,[2]Sheet1!$C:$N,12,0),IF(I821=13,VLOOKUP(Y821,[3]Sheet1!$C:$N,12,0),IF(I821=15,VLOOKUP(Y821,[4]Sheet1!$C:$N,12,0),"Unknown")))</f>
        <v>UNION SANDING SEALER</v>
      </c>
      <c r="BM821" t="str">
        <f>VLOOKUP(W821,[1]branch!$A:$B,2,0)</f>
        <v>INDUSTRY</v>
      </c>
    </row>
    <row r="822" spans="1:65" x14ac:dyDescent="0.35">
      <c r="A822" s="10">
        <v>46002</v>
      </c>
      <c r="B822" s="9" t="s">
        <v>1966</v>
      </c>
      <c r="C822" s="9" t="s">
        <v>64</v>
      </c>
      <c r="D822" s="9" t="s">
        <v>92</v>
      </c>
      <c r="E822" s="11">
        <v>45</v>
      </c>
      <c r="F822" s="9" t="s">
        <v>93</v>
      </c>
      <c r="G822" s="9" t="s">
        <v>65</v>
      </c>
      <c r="H822" s="9" t="s">
        <v>66</v>
      </c>
      <c r="I822" s="9">
        <v>11</v>
      </c>
      <c r="J822" s="9" t="s">
        <v>162</v>
      </c>
      <c r="K822" s="9" t="s">
        <v>162</v>
      </c>
      <c r="L822" s="9" t="s">
        <v>162</v>
      </c>
      <c r="M822" s="9" t="s">
        <v>163</v>
      </c>
      <c r="N822" s="9" t="s">
        <v>867</v>
      </c>
      <c r="O822" s="9" t="s">
        <v>97</v>
      </c>
      <c r="P822" s="9" t="s">
        <v>67</v>
      </c>
      <c r="Q822" s="9" t="s">
        <v>98</v>
      </c>
      <c r="R822" s="9" t="s">
        <v>162</v>
      </c>
      <c r="S822" s="9" t="s">
        <v>163</v>
      </c>
      <c r="T822" s="9" t="s">
        <v>795</v>
      </c>
      <c r="U822" s="9" t="s">
        <v>67</v>
      </c>
      <c r="V822" s="9" t="s">
        <v>130</v>
      </c>
      <c r="W822" s="9" t="s">
        <v>131</v>
      </c>
      <c r="X822" s="11">
        <v>20</v>
      </c>
      <c r="Y822" s="9" t="s">
        <v>167</v>
      </c>
      <c r="Z822" s="9" t="s">
        <v>68</v>
      </c>
      <c r="AA822" s="9" t="s">
        <v>168</v>
      </c>
      <c r="AB822" s="9" t="s">
        <v>67</v>
      </c>
      <c r="AC822" s="9" t="s">
        <v>169</v>
      </c>
      <c r="AD822" s="11">
        <v>26</v>
      </c>
      <c r="AE822" s="9" t="s">
        <v>70</v>
      </c>
      <c r="AF822" s="9" t="s">
        <v>71</v>
      </c>
      <c r="AG822" s="13">
        <v>1</v>
      </c>
      <c r="AH822" s="9" t="s">
        <v>92</v>
      </c>
      <c r="AI822" s="13">
        <v>417200</v>
      </c>
      <c r="AJ822" s="13">
        <v>10847200</v>
      </c>
      <c r="AK822" s="11">
        <v>0</v>
      </c>
      <c r="AL822" s="11">
        <v>0</v>
      </c>
      <c r="AM822" s="11">
        <v>0</v>
      </c>
      <c r="AN822" s="9" t="s">
        <v>67</v>
      </c>
      <c r="AO822" s="11">
        <v>10847200</v>
      </c>
      <c r="AP822" s="13">
        <v>867776</v>
      </c>
      <c r="AQ822" s="13">
        <v>11714976</v>
      </c>
      <c r="AR822" s="11">
        <v>104</v>
      </c>
      <c r="AS822" s="9" t="s">
        <v>72</v>
      </c>
      <c r="AT822" s="11">
        <v>104</v>
      </c>
      <c r="AU822" s="9" t="s">
        <v>73</v>
      </c>
      <c r="AV822" s="9" t="s">
        <v>67</v>
      </c>
      <c r="AW822" s="9" t="s">
        <v>1967</v>
      </c>
      <c r="AX822" s="10">
        <v>45987</v>
      </c>
      <c r="AY822" s="9" t="s">
        <v>1968</v>
      </c>
      <c r="AZ822" s="9" t="s">
        <v>67</v>
      </c>
      <c r="BA822" s="9" t="s">
        <v>67</v>
      </c>
      <c r="BB822" s="12">
        <v>104</v>
      </c>
      <c r="BC822" s="9" t="s">
        <v>74</v>
      </c>
      <c r="BD822" s="9" t="s">
        <v>104</v>
      </c>
      <c r="BE822" s="9" t="s">
        <v>75</v>
      </c>
      <c r="BF822" s="11">
        <v>0</v>
      </c>
      <c r="BG822">
        <f t="shared" si="26"/>
        <v>12</v>
      </c>
      <c r="BH822" t="str">
        <f>VLOOKUP(BG822,[1]month!$A:$B,2,0)</f>
        <v>Desember</v>
      </c>
      <c r="BI822">
        <f t="shared" si="27"/>
        <v>2025</v>
      </c>
      <c r="BJ822" t="str">
        <f>VLOOKUP(I822,[1]Dist!$A:$B,2,0)</f>
        <v>Industry</v>
      </c>
      <c r="BK822" t="str">
        <f>IF(I822=11,VLOOKUP(Y822,[2]Sheet1!$C:$N,10,0),IF(I822=13,VLOOKUP(Y822,[3]Sheet1!$C:$N,10,0),IF(I822=15,VLOOKUP(Y822,[4]Sheet1!$C:$N,10,0),"Unknown")))</f>
        <v>PU</v>
      </c>
      <c r="BL822" t="str">
        <f>IF(I822=11,VLOOKUP(Y822,[2]Sheet1!$C:$N,12,0),IF(I822=13,VLOOKUP(Y822,[3]Sheet1!$C:$N,12,0),IF(I822=15,VLOOKUP(Y822,[4]Sheet1!$C:$N,12,0),"Unknown")))</f>
        <v>UNION HARDENER</v>
      </c>
      <c r="BM822" t="str">
        <f>VLOOKUP(W822,[1]branch!$A:$B,2,0)</f>
        <v>INDUSTRY</v>
      </c>
    </row>
    <row r="823" spans="1:65" x14ac:dyDescent="0.35">
      <c r="A823" s="10">
        <v>46002</v>
      </c>
      <c r="B823" s="9" t="s">
        <v>1966</v>
      </c>
      <c r="C823" s="9" t="s">
        <v>64</v>
      </c>
      <c r="D823" s="9" t="s">
        <v>92</v>
      </c>
      <c r="E823" s="11">
        <v>45</v>
      </c>
      <c r="F823" s="9" t="s">
        <v>93</v>
      </c>
      <c r="G823" s="9" t="s">
        <v>65</v>
      </c>
      <c r="H823" s="9" t="s">
        <v>66</v>
      </c>
      <c r="I823" s="9">
        <v>11</v>
      </c>
      <c r="J823" s="9" t="s">
        <v>162</v>
      </c>
      <c r="K823" s="9" t="s">
        <v>162</v>
      </c>
      <c r="L823" s="9" t="s">
        <v>162</v>
      </c>
      <c r="M823" s="9" t="s">
        <v>163</v>
      </c>
      <c r="N823" s="9" t="s">
        <v>867</v>
      </c>
      <c r="O823" s="9" t="s">
        <v>97</v>
      </c>
      <c r="P823" s="9" t="s">
        <v>67</v>
      </c>
      <c r="Q823" s="9" t="s">
        <v>98</v>
      </c>
      <c r="R823" s="9" t="s">
        <v>162</v>
      </c>
      <c r="S823" s="9" t="s">
        <v>163</v>
      </c>
      <c r="T823" s="9" t="s">
        <v>795</v>
      </c>
      <c r="U823" s="9" t="s">
        <v>67</v>
      </c>
      <c r="V823" s="9" t="s">
        <v>130</v>
      </c>
      <c r="W823" s="9" t="s">
        <v>131</v>
      </c>
      <c r="X823" s="11">
        <v>30</v>
      </c>
      <c r="Y823" s="9" t="s">
        <v>170</v>
      </c>
      <c r="Z823" s="9" t="s">
        <v>68</v>
      </c>
      <c r="AA823" s="9" t="s">
        <v>171</v>
      </c>
      <c r="AB823" s="9" t="s">
        <v>67</v>
      </c>
      <c r="AC823" s="9" t="s">
        <v>172</v>
      </c>
      <c r="AD823" s="11">
        <v>15</v>
      </c>
      <c r="AE823" s="9" t="s">
        <v>70</v>
      </c>
      <c r="AF823" s="9" t="s">
        <v>71</v>
      </c>
      <c r="AG823" s="13">
        <v>1</v>
      </c>
      <c r="AH823" s="9" t="s">
        <v>92</v>
      </c>
      <c r="AI823" s="13">
        <v>1302400</v>
      </c>
      <c r="AJ823" s="13">
        <v>19536000</v>
      </c>
      <c r="AK823" s="11">
        <v>0</v>
      </c>
      <c r="AL823" s="11">
        <v>0</v>
      </c>
      <c r="AM823" s="11">
        <v>0</v>
      </c>
      <c r="AN823" s="9" t="s">
        <v>67</v>
      </c>
      <c r="AO823" s="11">
        <v>19536000</v>
      </c>
      <c r="AP823" s="13">
        <v>1562880</v>
      </c>
      <c r="AQ823" s="13">
        <v>21098880</v>
      </c>
      <c r="AR823" s="11">
        <v>240</v>
      </c>
      <c r="AS823" s="9" t="s">
        <v>72</v>
      </c>
      <c r="AT823" s="11">
        <v>240</v>
      </c>
      <c r="AU823" s="9" t="s">
        <v>73</v>
      </c>
      <c r="AV823" s="9" t="s">
        <v>67</v>
      </c>
      <c r="AW823" s="9" t="s">
        <v>1967</v>
      </c>
      <c r="AX823" s="10">
        <v>45987</v>
      </c>
      <c r="AY823" s="9" t="s">
        <v>1968</v>
      </c>
      <c r="AZ823" s="9" t="s">
        <v>67</v>
      </c>
      <c r="BA823" s="9" t="s">
        <v>67</v>
      </c>
      <c r="BB823" s="12">
        <v>240</v>
      </c>
      <c r="BC823" s="9" t="s">
        <v>74</v>
      </c>
      <c r="BD823" s="9" t="s">
        <v>104</v>
      </c>
      <c r="BE823" s="9" t="s">
        <v>75</v>
      </c>
      <c r="BF823" s="11">
        <v>0</v>
      </c>
      <c r="BG823">
        <f t="shared" si="26"/>
        <v>12</v>
      </c>
      <c r="BH823" t="str">
        <f>VLOOKUP(BG823,[1]month!$A:$B,2,0)</f>
        <v>Desember</v>
      </c>
      <c r="BI823">
        <f t="shared" si="27"/>
        <v>2025</v>
      </c>
      <c r="BJ823" t="str">
        <f>VLOOKUP(I823,[1]Dist!$A:$B,2,0)</f>
        <v>Industry</v>
      </c>
      <c r="BK823" t="str">
        <f>IF(I823=11,VLOOKUP(Y823,[2]Sheet1!$C:$N,10,0),IF(I823=13,VLOOKUP(Y823,[3]Sheet1!$C:$N,10,0),IF(I823=15,VLOOKUP(Y823,[4]Sheet1!$C:$N,10,0),"Unknown")))</f>
        <v>PU</v>
      </c>
      <c r="BL823" t="str">
        <f>IF(I823=11,VLOOKUP(Y823,[2]Sheet1!$C:$N,12,0),IF(I823=13,VLOOKUP(Y823,[3]Sheet1!$C:$N,12,0),IF(I823=15,VLOOKUP(Y823,[4]Sheet1!$C:$N,12,0),"Unknown")))</f>
        <v>UNION TOP COAT</v>
      </c>
      <c r="BM823" t="str">
        <f>VLOOKUP(W823,[1]branch!$A:$B,2,0)</f>
        <v>INDUSTRY</v>
      </c>
    </row>
    <row r="824" spans="1:65" x14ac:dyDescent="0.35">
      <c r="A824" s="10">
        <v>46002</v>
      </c>
      <c r="B824" s="9" t="s">
        <v>1966</v>
      </c>
      <c r="C824" s="9" t="s">
        <v>64</v>
      </c>
      <c r="D824" s="9" t="s">
        <v>92</v>
      </c>
      <c r="E824" s="11">
        <v>45</v>
      </c>
      <c r="F824" s="9" t="s">
        <v>93</v>
      </c>
      <c r="G824" s="9" t="s">
        <v>65</v>
      </c>
      <c r="H824" s="9" t="s">
        <v>66</v>
      </c>
      <c r="I824" s="9">
        <v>11</v>
      </c>
      <c r="J824" s="9" t="s">
        <v>162</v>
      </c>
      <c r="K824" s="9" t="s">
        <v>162</v>
      </c>
      <c r="L824" s="9" t="s">
        <v>162</v>
      </c>
      <c r="M824" s="9" t="s">
        <v>163</v>
      </c>
      <c r="N824" s="9" t="s">
        <v>867</v>
      </c>
      <c r="O824" s="9" t="s">
        <v>97</v>
      </c>
      <c r="P824" s="9" t="s">
        <v>67</v>
      </c>
      <c r="Q824" s="9" t="s">
        <v>98</v>
      </c>
      <c r="R824" s="9" t="s">
        <v>162</v>
      </c>
      <c r="S824" s="9" t="s">
        <v>163</v>
      </c>
      <c r="T824" s="9" t="s">
        <v>795</v>
      </c>
      <c r="U824" s="9" t="s">
        <v>67</v>
      </c>
      <c r="V824" s="9" t="s">
        <v>130</v>
      </c>
      <c r="W824" s="9" t="s">
        <v>131</v>
      </c>
      <c r="X824" s="11">
        <v>40</v>
      </c>
      <c r="Y824" s="9" t="s">
        <v>176</v>
      </c>
      <c r="Z824" s="9" t="s">
        <v>68</v>
      </c>
      <c r="AA824" s="9" t="s">
        <v>177</v>
      </c>
      <c r="AB824" s="9" t="s">
        <v>67</v>
      </c>
      <c r="AC824" s="9" t="s">
        <v>178</v>
      </c>
      <c r="AD824" s="11">
        <v>30</v>
      </c>
      <c r="AE824" s="9" t="s">
        <v>70</v>
      </c>
      <c r="AF824" s="9" t="s">
        <v>71</v>
      </c>
      <c r="AG824" s="13">
        <v>1</v>
      </c>
      <c r="AH824" s="9" t="s">
        <v>92</v>
      </c>
      <c r="AI824" s="13">
        <v>417200</v>
      </c>
      <c r="AJ824" s="13">
        <v>12516000</v>
      </c>
      <c r="AK824" s="11">
        <v>0</v>
      </c>
      <c r="AL824" s="11">
        <v>0</v>
      </c>
      <c r="AM824" s="11">
        <v>0</v>
      </c>
      <c r="AN824" s="9" t="s">
        <v>67</v>
      </c>
      <c r="AO824" s="11">
        <v>12516000</v>
      </c>
      <c r="AP824" s="13">
        <v>1001280</v>
      </c>
      <c r="AQ824" s="13">
        <v>13517280</v>
      </c>
      <c r="AR824" s="11">
        <v>120</v>
      </c>
      <c r="AS824" s="9" t="s">
        <v>72</v>
      </c>
      <c r="AT824" s="12">
        <v>118.8</v>
      </c>
      <c r="AU824" s="9" t="s">
        <v>73</v>
      </c>
      <c r="AV824" s="9" t="s">
        <v>67</v>
      </c>
      <c r="AW824" s="9" t="s">
        <v>1967</v>
      </c>
      <c r="AX824" s="10">
        <v>45987</v>
      </c>
      <c r="AY824" s="9" t="s">
        <v>1968</v>
      </c>
      <c r="AZ824" s="9" t="s">
        <v>67</v>
      </c>
      <c r="BA824" s="9" t="s">
        <v>67</v>
      </c>
      <c r="BB824" s="12">
        <v>120</v>
      </c>
      <c r="BC824" s="9" t="s">
        <v>74</v>
      </c>
      <c r="BD824" s="9" t="s">
        <v>104</v>
      </c>
      <c r="BE824" s="9" t="s">
        <v>75</v>
      </c>
      <c r="BF824" s="11">
        <v>0</v>
      </c>
      <c r="BG824">
        <f t="shared" si="26"/>
        <v>12</v>
      </c>
      <c r="BH824" t="str">
        <f>VLOOKUP(BG824,[1]month!$A:$B,2,0)</f>
        <v>Desember</v>
      </c>
      <c r="BI824">
        <f t="shared" si="27"/>
        <v>2025</v>
      </c>
      <c r="BJ824" t="str">
        <f>VLOOKUP(I824,[1]Dist!$A:$B,2,0)</f>
        <v>Industry</v>
      </c>
      <c r="BK824" t="str">
        <f>IF(I824=11,VLOOKUP(Y824,[2]Sheet1!$C:$N,10,0),IF(I824=13,VLOOKUP(Y824,[3]Sheet1!$C:$N,10,0),IF(I824=15,VLOOKUP(Y824,[4]Sheet1!$C:$N,10,0),"Unknown")))</f>
        <v>PU</v>
      </c>
      <c r="BL824" t="str">
        <f>IF(I824=11,VLOOKUP(Y824,[2]Sheet1!$C:$N,12,0),IF(I824=13,VLOOKUP(Y824,[3]Sheet1!$C:$N,12,0),IF(I824=15,VLOOKUP(Y824,[4]Sheet1!$C:$N,12,0),"Unknown")))</f>
        <v>UNION HARDENER</v>
      </c>
      <c r="BM824" t="str">
        <f>VLOOKUP(W824,[1]branch!$A:$B,2,0)</f>
        <v>INDUSTRY</v>
      </c>
    </row>
    <row r="825" spans="1:65" x14ac:dyDescent="0.35">
      <c r="A825" s="10">
        <v>46002</v>
      </c>
      <c r="B825" s="9" t="s">
        <v>1966</v>
      </c>
      <c r="C825" s="9" t="s">
        <v>64</v>
      </c>
      <c r="D825" s="9" t="s">
        <v>92</v>
      </c>
      <c r="E825" s="11">
        <v>45</v>
      </c>
      <c r="F825" s="9" t="s">
        <v>93</v>
      </c>
      <c r="G825" s="9" t="s">
        <v>65</v>
      </c>
      <c r="H825" s="9" t="s">
        <v>66</v>
      </c>
      <c r="I825" s="9">
        <v>11</v>
      </c>
      <c r="J825" s="9" t="s">
        <v>162</v>
      </c>
      <c r="K825" s="9" t="s">
        <v>162</v>
      </c>
      <c r="L825" s="9" t="s">
        <v>162</v>
      </c>
      <c r="M825" s="9" t="s">
        <v>163</v>
      </c>
      <c r="N825" s="9" t="s">
        <v>867</v>
      </c>
      <c r="O825" s="9" t="s">
        <v>97</v>
      </c>
      <c r="P825" s="9" t="s">
        <v>67</v>
      </c>
      <c r="Q825" s="9" t="s">
        <v>98</v>
      </c>
      <c r="R825" s="9" t="s">
        <v>162</v>
      </c>
      <c r="S825" s="9" t="s">
        <v>163</v>
      </c>
      <c r="T825" s="9" t="s">
        <v>795</v>
      </c>
      <c r="U825" s="9" t="s">
        <v>67</v>
      </c>
      <c r="V825" s="9" t="s">
        <v>130</v>
      </c>
      <c r="W825" s="9" t="s">
        <v>131</v>
      </c>
      <c r="X825" s="11">
        <v>50</v>
      </c>
      <c r="Y825" s="9" t="s">
        <v>173</v>
      </c>
      <c r="Z825" s="9" t="s">
        <v>68</v>
      </c>
      <c r="AA825" s="9" t="s">
        <v>174</v>
      </c>
      <c r="AB825" s="9" t="s">
        <v>67</v>
      </c>
      <c r="AC825" s="9" t="s">
        <v>175</v>
      </c>
      <c r="AD825" s="11">
        <v>5</v>
      </c>
      <c r="AE825" s="9" t="s">
        <v>70</v>
      </c>
      <c r="AF825" s="9" t="s">
        <v>71</v>
      </c>
      <c r="AG825" s="13">
        <v>1</v>
      </c>
      <c r="AH825" s="9" t="s">
        <v>92</v>
      </c>
      <c r="AI825" s="13">
        <v>8320000</v>
      </c>
      <c r="AJ825" s="13">
        <v>41600000</v>
      </c>
      <c r="AK825" s="11">
        <v>0</v>
      </c>
      <c r="AL825" s="11">
        <v>0</v>
      </c>
      <c r="AM825" s="11">
        <v>0</v>
      </c>
      <c r="AN825" s="9" t="s">
        <v>67</v>
      </c>
      <c r="AO825" s="11">
        <v>41600000</v>
      </c>
      <c r="AP825" s="13">
        <v>3328000</v>
      </c>
      <c r="AQ825" s="13">
        <v>44928000</v>
      </c>
      <c r="AR825" s="11">
        <v>880</v>
      </c>
      <c r="AS825" s="9" t="s">
        <v>72</v>
      </c>
      <c r="AT825" s="11">
        <v>1000</v>
      </c>
      <c r="AU825" s="9" t="s">
        <v>73</v>
      </c>
      <c r="AV825" s="9" t="s">
        <v>67</v>
      </c>
      <c r="AW825" s="9" t="s">
        <v>1967</v>
      </c>
      <c r="AX825" s="10">
        <v>45987</v>
      </c>
      <c r="AY825" s="9" t="s">
        <v>1968</v>
      </c>
      <c r="AZ825" s="9" t="s">
        <v>67</v>
      </c>
      <c r="BA825" s="9" t="s">
        <v>67</v>
      </c>
      <c r="BB825" s="12">
        <v>1000</v>
      </c>
      <c r="BC825" s="9" t="s">
        <v>74</v>
      </c>
      <c r="BD825" s="9" t="s">
        <v>104</v>
      </c>
      <c r="BE825" s="9" t="s">
        <v>75</v>
      </c>
      <c r="BF825" s="11">
        <v>0</v>
      </c>
      <c r="BG825">
        <f t="shared" si="26"/>
        <v>12</v>
      </c>
      <c r="BH825" t="str">
        <f>VLOOKUP(BG825,[1]month!$A:$B,2,0)</f>
        <v>Desember</v>
      </c>
      <c r="BI825">
        <f t="shared" si="27"/>
        <v>2025</v>
      </c>
      <c r="BJ825" t="str">
        <f>VLOOKUP(I825,[1]Dist!$A:$B,2,0)</f>
        <v>Industry</v>
      </c>
      <c r="BK825" t="str">
        <f>IF(I825=11,VLOOKUP(Y825,[2]Sheet1!$C:$N,10,0),IF(I825=13,VLOOKUP(Y825,[3]Sheet1!$C:$N,10,0),IF(I825=15,VLOOKUP(Y825,[4]Sheet1!$C:$N,10,0),"Unknown")))</f>
        <v>THINNER PU</v>
      </c>
      <c r="BL825" t="str">
        <f>IF(I825=11,VLOOKUP(Y825,[2]Sheet1!$C:$N,12,0),IF(I825=13,VLOOKUP(Y825,[3]Sheet1!$C:$N,12,0),IF(I825=15,VLOOKUP(Y825,[4]Sheet1!$C:$N,12,0),"Unknown")))</f>
        <v>UNION THINNER</v>
      </c>
      <c r="BM825" t="str">
        <f>VLOOKUP(W825,[1]branch!$A:$B,2,0)</f>
        <v>INDUSTRY</v>
      </c>
    </row>
    <row r="826" spans="1:65" x14ac:dyDescent="0.35">
      <c r="A826" s="10">
        <v>46002</v>
      </c>
      <c r="B826" s="9" t="s">
        <v>1969</v>
      </c>
      <c r="C826" s="9" t="s">
        <v>64</v>
      </c>
      <c r="D826" s="9" t="s">
        <v>92</v>
      </c>
      <c r="E826" s="11">
        <v>0</v>
      </c>
      <c r="F826" s="9" t="s">
        <v>93</v>
      </c>
      <c r="G826" s="9" t="s">
        <v>65</v>
      </c>
      <c r="H826" s="9" t="s">
        <v>66</v>
      </c>
      <c r="I826" s="9">
        <v>11</v>
      </c>
      <c r="J826" s="9" t="s">
        <v>655</v>
      </c>
      <c r="K826" s="9" t="s">
        <v>655</v>
      </c>
      <c r="L826" s="9" t="s">
        <v>655</v>
      </c>
      <c r="M826" s="9" t="s">
        <v>656</v>
      </c>
      <c r="N826" s="9" t="s">
        <v>936</v>
      </c>
      <c r="O826" s="9" t="s">
        <v>97</v>
      </c>
      <c r="P826" s="9" t="s">
        <v>67</v>
      </c>
      <c r="Q826" s="9" t="s">
        <v>98</v>
      </c>
      <c r="R826" s="9" t="s">
        <v>655</v>
      </c>
      <c r="S826" s="9" t="s">
        <v>656</v>
      </c>
      <c r="T826" s="9" t="s">
        <v>944</v>
      </c>
      <c r="U826" s="9" t="s">
        <v>67</v>
      </c>
      <c r="V826" s="9" t="s">
        <v>194</v>
      </c>
      <c r="W826" s="9" t="s">
        <v>195</v>
      </c>
      <c r="X826" s="11">
        <v>10</v>
      </c>
      <c r="Y826" s="9" t="s">
        <v>294</v>
      </c>
      <c r="Z826" s="9" t="s">
        <v>68</v>
      </c>
      <c r="AA826" s="9" t="s">
        <v>295</v>
      </c>
      <c r="AB826" s="9" t="s">
        <v>67</v>
      </c>
      <c r="AC826" s="9" t="s">
        <v>248</v>
      </c>
      <c r="AD826" s="11">
        <v>1</v>
      </c>
      <c r="AE826" s="9" t="s">
        <v>70</v>
      </c>
      <c r="AF826" s="9" t="s">
        <v>71</v>
      </c>
      <c r="AG826" s="13">
        <v>1</v>
      </c>
      <c r="AH826" s="9" t="s">
        <v>92</v>
      </c>
      <c r="AI826" s="13">
        <v>3304000</v>
      </c>
      <c r="AJ826" s="13">
        <v>3304000</v>
      </c>
      <c r="AK826" s="11">
        <v>0</v>
      </c>
      <c r="AL826" s="11">
        <v>0</v>
      </c>
      <c r="AM826" s="11">
        <v>0</v>
      </c>
      <c r="AN826" s="9" t="s">
        <v>67</v>
      </c>
      <c r="AO826" s="11">
        <v>3304000</v>
      </c>
      <c r="AP826" s="13">
        <v>264320</v>
      </c>
      <c r="AQ826" s="13">
        <v>3568320</v>
      </c>
      <c r="AR826" s="12">
        <v>19.2</v>
      </c>
      <c r="AS826" s="9" t="s">
        <v>72</v>
      </c>
      <c r="AT826" s="11">
        <v>20</v>
      </c>
      <c r="AU826" s="9" t="s">
        <v>73</v>
      </c>
      <c r="AV826" s="9" t="s">
        <v>67</v>
      </c>
      <c r="AW826" s="9" t="s">
        <v>1970</v>
      </c>
      <c r="AX826" s="10">
        <v>46002</v>
      </c>
      <c r="AY826" s="9" t="s">
        <v>1971</v>
      </c>
      <c r="AZ826" s="9" t="s">
        <v>67</v>
      </c>
      <c r="BA826" s="9" t="s">
        <v>67</v>
      </c>
      <c r="BB826" s="12">
        <v>20</v>
      </c>
      <c r="BC826" s="9" t="s">
        <v>74</v>
      </c>
      <c r="BD826" s="9" t="s">
        <v>104</v>
      </c>
      <c r="BE826" s="9" t="s">
        <v>75</v>
      </c>
      <c r="BF826" s="11">
        <v>0</v>
      </c>
      <c r="BG826">
        <f t="shared" si="26"/>
        <v>12</v>
      </c>
      <c r="BH826" t="str">
        <f>VLOOKUP(BG826,[1]month!$A:$B,2,0)</f>
        <v>Desember</v>
      </c>
      <c r="BI826">
        <f t="shared" si="27"/>
        <v>2025</v>
      </c>
      <c r="BJ826" t="str">
        <f>VLOOKUP(I826,[1]Dist!$A:$B,2,0)</f>
        <v>Industry</v>
      </c>
      <c r="BK826" t="str">
        <f>IF(I826=11,VLOOKUP(Y826,[2]Sheet1!$C:$N,10,0),IF(I826=13,VLOOKUP(Y826,[3]Sheet1!$C:$N,10,0),IF(I826=15,VLOOKUP(Y826,[4]Sheet1!$C:$N,10,0),"Unknown")))</f>
        <v>PU</v>
      </c>
      <c r="BL826" t="str">
        <f>IF(I826=11,VLOOKUP(Y826,[2]Sheet1!$C:$N,12,0),IF(I826=13,VLOOKUP(Y826,[3]Sheet1!$C:$N,12,0),IF(I826=15,VLOOKUP(Y826,[4]Sheet1!$C:$N,12,0),"Unknown")))</f>
        <v>PU LACQUER</v>
      </c>
      <c r="BM826" t="str">
        <f>VLOOKUP(W826,[1]branch!$A:$B,2,0)</f>
        <v>INDUSTRY</v>
      </c>
    </row>
    <row r="827" spans="1:65" x14ac:dyDescent="0.35">
      <c r="A827" s="10">
        <v>46002</v>
      </c>
      <c r="B827" s="9" t="s">
        <v>1969</v>
      </c>
      <c r="C827" s="9" t="s">
        <v>64</v>
      </c>
      <c r="D827" s="9" t="s">
        <v>92</v>
      </c>
      <c r="E827" s="11">
        <v>0</v>
      </c>
      <c r="F827" s="9" t="s">
        <v>93</v>
      </c>
      <c r="G827" s="9" t="s">
        <v>65</v>
      </c>
      <c r="H827" s="9" t="s">
        <v>66</v>
      </c>
      <c r="I827" s="9">
        <v>11</v>
      </c>
      <c r="J827" s="9" t="s">
        <v>655</v>
      </c>
      <c r="K827" s="9" t="s">
        <v>655</v>
      </c>
      <c r="L827" s="9" t="s">
        <v>655</v>
      </c>
      <c r="M827" s="9" t="s">
        <v>656</v>
      </c>
      <c r="N827" s="9" t="s">
        <v>936</v>
      </c>
      <c r="O827" s="9" t="s">
        <v>97</v>
      </c>
      <c r="P827" s="9" t="s">
        <v>67</v>
      </c>
      <c r="Q827" s="9" t="s">
        <v>98</v>
      </c>
      <c r="R827" s="9" t="s">
        <v>655</v>
      </c>
      <c r="S827" s="9" t="s">
        <v>656</v>
      </c>
      <c r="T827" s="9" t="s">
        <v>944</v>
      </c>
      <c r="U827" s="9" t="s">
        <v>67</v>
      </c>
      <c r="V827" s="9" t="s">
        <v>194</v>
      </c>
      <c r="W827" s="9" t="s">
        <v>195</v>
      </c>
      <c r="X827" s="11">
        <v>20</v>
      </c>
      <c r="Y827" s="9" t="s">
        <v>123</v>
      </c>
      <c r="Z827" s="9" t="s">
        <v>68</v>
      </c>
      <c r="AA827" s="9" t="s">
        <v>124</v>
      </c>
      <c r="AB827" s="9" t="s">
        <v>67</v>
      </c>
      <c r="AC827" s="9" t="s">
        <v>125</v>
      </c>
      <c r="AD827" s="11">
        <v>1</v>
      </c>
      <c r="AE827" s="9" t="s">
        <v>70</v>
      </c>
      <c r="AF827" s="9" t="s">
        <v>71</v>
      </c>
      <c r="AG827" s="13">
        <v>1</v>
      </c>
      <c r="AH827" s="9" t="s">
        <v>92</v>
      </c>
      <c r="AI827" s="13">
        <v>2726000</v>
      </c>
      <c r="AJ827" s="13">
        <v>2726000</v>
      </c>
      <c r="AK827" s="11">
        <v>0</v>
      </c>
      <c r="AL827" s="11">
        <v>0</v>
      </c>
      <c r="AM827" s="11">
        <v>0</v>
      </c>
      <c r="AN827" s="9" t="s">
        <v>67</v>
      </c>
      <c r="AO827" s="11">
        <v>2726000</v>
      </c>
      <c r="AP827" s="13">
        <v>218080</v>
      </c>
      <c r="AQ827" s="13">
        <v>2944080</v>
      </c>
      <c r="AR827" s="12">
        <v>19.600000000000001</v>
      </c>
      <c r="AS827" s="9" t="s">
        <v>72</v>
      </c>
      <c r="AT827" s="11">
        <v>20</v>
      </c>
      <c r="AU827" s="9" t="s">
        <v>73</v>
      </c>
      <c r="AV827" s="9" t="s">
        <v>67</v>
      </c>
      <c r="AW827" s="9" t="s">
        <v>1970</v>
      </c>
      <c r="AX827" s="10">
        <v>46002</v>
      </c>
      <c r="AY827" s="9" t="s">
        <v>1971</v>
      </c>
      <c r="AZ827" s="9" t="s">
        <v>67</v>
      </c>
      <c r="BA827" s="9" t="s">
        <v>67</v>
      </c>
      <c r="BB827" s="12">
        <v>20</v>
      </c>
      <c r="BC827" s="9" t="s">
        <v>74</v>
      </c>
      <c r="BD827" s="9" t="s">
        <v>104</v>
      </c>
      <c r="BE827" s="9" t="s">
        <v>75</v>
      </c>
      <c r="BF827" s="11">
        <v>0</v>
      </c>
      <c r="BG827">
        <f t="shared" si="26"/>
        <v>12</v>
      </c>
      <c r="BH827" t="str">
        <f>VLOOKUP(BG827,[1]month!$A:$B,2,0)</f>
        <v>Desember</v>
      </c>
      <c r="BI827">
        <f t="shared" si="27"/>
        <v>2025</v>
      </c>
      <c r="BJ827" t="str">
        <f>VLOOKUP(I827,[1]Dist!$A:$B,2,0)</f>
        <v>Industry</v>
      </c>
      <c r="BK827" t="str">
        <f>IF(I827=11,VLOOKUP(Y827,[2]Sheet1!$C:$N,10,0),IF(I827=13,VLOOKUP(Y827,[3]Sheet1!$C:$N,10,0),IF(I827=15,VLOOKUP(Y827,[4]Sheet1!$C:$N,10,0),"Unknown")))</f>
        <v>PU</v>
      </c>
      <c r="BL827" t="str">
        <f>IF(I827=11,VLOOKUP(Y827,[2]Sheet1!$C:$N,12,0),IF(I827=13,VLOOKUP(Y827,[3]Sheet1!$C:$N,12,0),IF(I827=15,VLOOKUP(Y827,[4]Sheet1!$C:$N,12,0),"Unknown")))</f>
        <v>PU HARDENER</v>
      </c>
      <c r="BM827" t="str">
        <f>VLOOKUP(W827,[1]branch!$A:$B,2,0)</f>
        <v>INDUSTRY</v>
      </c>
    </row>
    <row r="828" spans="1:65" x14ac:dyDescent="0.35">
      <c r="A828" s="10">
        <v>46002</v>
      </c>
      <c r="B828" s="9" t="s">
        <v>1969</v>
      </c>
      <c r="C828" s="9" t="s">
        <v>64</v>
      </c>
      <c r="D828" s="9" t="s">
        <v>92</v>
      </c>
      <c r="E828" s="11">
        <v>0</v>
      </c>
      <c r="F828" s="9" t="s">
        <v>93</v>
      </c>
      <c r="G828" s="9" t="s">
        <v>65</v>
      </c>
      <c r="H828" s="9" t="s">
        <v>66</v>
      </c>
      <c r="I828" s="9">
        <v>11</v>
      </c>
      <c r="J828" s="9" t="s">
        <v>655</v>
      </c>
      <c r="K828" s="9" t="s">
        <v>655</v>
      </c>
      <c r="L828" s="9" t="s">
        <v>655</v>
      </c>
      <c r="M828" s="9" t="s">
        <v>656</v>
      </c>
      <c r="N828" s="9" t="s">
        <v>936</v>
      </c>
      <c r="O828" s="9" t="s">
        <v>97</v>
      </c>
      <c r="P828" s="9" t="s">
        <v>67</v>
      </c>
      <c r="Q828" s="9" t="s">
        <v>98</v>
      </c>
      <c r="R828" s="9" t="s">
        <v>655</v>
      </c>
      <c r="S828" s="9" t="s">
        <v>656</v>
      </c>
      <c r="T828" s="9" t="s">
        <v>944</v>
      </c>
      <c r="U828" s="9" t="s">
        <v>67</v>
      </c>
      <c r="V828" s="9" t="s">
        <v>194</v>
      </c>
      <c r="W828" s="9" t="s">
        <v>195</v>
      </c>
      <c r="X828" s="11">
        <v>30</v>
      </c>
      <c r="Y828" s="9" t="s">
        <v>242</v>
      </c>
      <c r="Z828" s="9" t="s">
        <v>68</v>
      </c>
      <c r="AA828" s="9" t="s">
        <v>243</v>
      </c>
      <c r="AB828" s="9" t="s">
        <v>67</v>
      </c>
      <c r="AC828" s="9" t="s">
        <v>217</v>
      </c>
      <c r="AD828" s="11">
        <v>2</v>
      </c>
      <c r="AE828" s="9" t="s">
        <v>70</v>
      </c>
      <c r="AF828" s="9" t="s">
        <v>71</v>
      </c>
      <c r="AG828" s="13">
        <v>1</v>
      </c>
      <c r="AH828" s="9" t="s">
        <v>92</v>
      </c>
      <c r="AI828" s="13">
        <v>3480113</v>
      </c>
      <c r="AJ828" s="13">
        <v>6960226</v>
      </c>
      <c r="AK828" s="11">
        <v>0</v>
      </c>
      <c r="AL828" s="11">
        <v>0</v>
      </c>
      <c r="AM828" s="11">
        <v>0</v>
      </c>
      <c r="AN828" s="9" t="s">
        <v>67</v>
      </c>
      <c r="AO828" s="11">
        <v>6960226</v>
      </c>
      <c r="AP828" s="13">
        <v>556818</v>
      </c>
      <c r="AQ828" s="13">
        <v>7517044</v>
      </c>
      <c r="AR828" s="11">
        <v>40</v>
      </c>
      <c r="AS828" s="9" t="s">
        <v>72</v>
      </c>
      <c r="AT828" s="12">
        <v>33.340000000000003</v>
      </c>
      <c r="AU828" s="9" t="s">
        <v>73</v>
      </c>
      <c r="AV828" s="9" t="s">
        <v>67</v>
      </c>
      <c r="AW828" s="9" t="s">
        <v>1970</v>
      </c>
      <c r="AX828" s="10">
        <v>46002</v>
      </c>
      <c r="AY828" s="9" t="s">
        <v>1971</v>
      </c>
      <c r="AZ828" s="9" t="s">
        <v>67</v>
      </c>
      <c r="BA828" s="9" t="s">
        <v>67</v>
      </c>
      <c r="BB828" s="12">
        <v>40</v>
      </c>
      <c r="BC828" s="9" t="s">
        <v>74</v>
      </c>
      <c r="BD828" s="9" t="s">
        <v>104</v>
      </c>
      <c r="BE828" s="9" t="s">
        <v>75</v>
      </c>
      <c r="BF828" s="11">
        <v>0</v>
      </c>
      <c r="BG828">
        <f t="shared" si="26"/>
        <v>12</v>
      </c>
      <c r="BH828" t="str">
        <f>VLOOKUP(BG828,[1]month!$A:$B,2,0)</f>
        <v>Desember</v>
      </c>
      <c r="BI828">
        <f t="shared" si="27"/>
        <v>2025</v>
      </c>
      <c r="BJ828" t="str">
        <f>VLOOKUP(I828,[1]Dist!$A:$B,2,0)</f>
        <v>Industry</v>
      </c>
      <c r="BK828" t="str">
        <f>IF(I828=11,VLOOKUP(Y828,[2]Sheet1!$C:$N,10,0),IF(I828=13,VLOOKUP(Y828,[3]Sheet1!$C:$N,10,0),IF(I828=15,VLOOKUP(Y828,[4]Sheet1!$C:$N,10,0),"Unknown")))</f>
        <v>PU</v>
      </c>
      <c r="BL828" t="str">
        <f>IF(I828=11,VLOOKUP(Y828,[2]Sheet1!$C:$N,12,0),IF(I828=13,VLOOKUP(Y828,[3]Sheet1!$C:$N,12,0),IF(I828=15,VLOOKUP(Y828,[4]Sheet1!$C:$N,12,0),"Unknown")))</f>
        <v>PU COLOR</v>
      </c>
      <c r="BM828" t="str">
        <f>VLOOKUP(W828,[1]branch!$A:$B,2,0)</f>
        <v>INDUSTRY</v>
      </c>
    </row>
    <row r="829" spans="1:65" x14ac:dyDescent="0.35">
      <c r="A829" s="10">
        <v>46002</v>
      </c>
      <c r="B829" s="9" t="s">
        <v>1972</v>
      </c>
      <c r="C829" s="9" t="s">
        <v>64</v>
      </c>
      <c r="D829" s="9" t="s">
        <v>92</v>
      </c>
      <c r="E829" s="11">
        <v>60</v>
      </c>
      <c r="F829" s="9" t="s">
        <v>93</v>
      </c>
      <c r="G829" s="9" t="s">
        <v>65</v>
      </c>
      <c r="H829" s="9" t="s">
        <v>66</v>
      </c>
      <c r="I829" s="9">
        <v>13</v>
      </c>
      <c r="J829" s="9" t="s">
        <v>309</v>
      </c>
      <c r="K829" s="9" t="s">
        <v>309</v>
      </c>
      <c r="L829" s="9" t="s">
        <v>309</v>
      </c>
      <c r="M829" s="9" t="s">
        <v>310</v>
      </c>
      <c r="N829" s="9" t="s">
        <v>869</v>
      </c>
      <c r="O829" s="9" t="s">
        <v>150</v>
      </c>
      <c r="P829" s="9" t="s">
        <v>67</v>
      </c>
      <c r="Q829" s="9" t="s">
        <v>98</v>
      </c>
      <c r="R829" s="9" t="s">
        <v>309</v>
      </c>
      <c r="S829" s="9" t="s">
        <v>310</v>
      </c>
      <c r="T829" s="9" t="s">
        <v>798</v>
      </c>
      <c r="U829" s="9" t="s">
        <v>67</v>
      </c>
      <c r="V829" s="9" t="s">
        <v>311</v>
      </c>
      <c r="W829" s="9" t="s">
        <v>312</v>
      </c>
      <c r="X829" s="11">
        <v>60</v>
      </c>
      <c r="Y829" s="9" t="s">
        <v>1973</v>
      </c>
      <c r="Z829" s="9" t="s">
        <v>68</v>
      </c>
      <c r="AA829" s="9" t="s">
        <v>1974</v>
      </c>
      <c r="AB829" s="9" t="s">
        <v>67</v>
      </c>
      <c r="AC829" s="9" t="s">
        <v>1531</v>
      </c>
      <c r="AD829" s="11">
        <v>1</v>
      </c>
      <c r="AE829" s="9" t="s">
        <v>70</v>
      </c>
      <c r="AF829" s="9" t="s">
        <v>71</v>
      </c>
      <c r="AG829" s="13">
        <v>1</v>
      </c>
      <c r="AH829" s="9" t="s">
        <v>92</v>
      </c>
      <c r="AI829" s="13">
        <v>447273</v>
      </c>
      <c r="AJ829" s="13">
        <v>447273</v>
      </c>
      <c r="AK829" s="11">
        <v>82298</v>
      </c>
      <c r="AL829" s="11">
        <v>0</v>
      </c>
      <c r="AM829" s="11">
        <v>0</v>
      </c>
      <c r="AN829" s="9" t="s">
        <v>271</v>
      </c>
      <c r="AO829" s="11">
        <v>364975</v>
      </c>
      <c r="AP829" s="13">
        <v>29198</v>
      </c>
      <c r="AQ829" s="13">
        <v>394173</v>
      </c>
      <c r="AR829" s="11">
        <v>4</v>
      </c>
      <c r="AS829" s="9" t="s">
        <v>72</v>
      </c>
      <c r="AT829" s="12">
        <v>3.67</v>
      </c>
      <c r="AU829" s="9" t="s">
        <v>73</v>
      </c>
      <c r="AV829" s="9" t="s">
        <v>67</v>
      </c>
      <c r="AW829" s="9" t="s">
        <v>1975</v>
      </c>
      <c r="AX829" s="10">
        <v>45985</v>
      </c>
      <c r="AY829" s="9" t="s">
        <v>1976</v>
      </c>
      <c r="AZ829" s="9" t="s">
        <v>67</v>
      </c>
      <c r="BA829" s="9" t="s">
        <v>67</v>
      </c>
      <c r="BB829" s="12">
        <v>4</v>
      </c>
      <c r="BC829" s="9" t="s">
        <v>74</v>
      </c>
      <c r="BD829" s="9" t="s">
        <v>104</v>
      </c>
      <c r="BE829" s="9" t="s">
        <v>75</v>
      </c>
      <c r="BF829" s="11">
        <v>0</v>
      </c>
      <c r="BG829">
        <f t="shared" si="26"/>
        <v>12</v>
      </c>
      <c r="BH829" t="str">
        <f>VLOOKUP(BG829,[1]month!$A:$B,2,0)</f>
        <v>Desember</v>
      </c>
      <c r="BI829">
        <f t="shared" si="27"/>
        <v>2025</v>
      </c>
      <c r="BJ829" t="str">
        <f>VLOOKUP(I829,[1]Dist!$A:$B,2,0)</f>
        <v>Retail</v>
      </c>
      <c r="BK829" t="str">
        <f>IF(I829=11,VLOOKUP(Y829,[2]Sheet1!$C:$N,10,0),IF(I829=13,VLOOKUP(Y829,[3]Sheet1!$C:$N,10,0),IF(I829=15,VLOOKUP(Y829,[4]Sheet1!$C:$N,10,0),"Unknown")))</f>
        <v>PU EASY TO USE</v>
      </c>
      <c r="BL829" t="str">
        <f>IF(I829=11,VLOOKUP(Y829,[2]Sheet1!$C:$N,12,0),IF(I829=13,VLOOKUP(Y829,[3]Sheet1!$C:$N,12,0),IF(I829=15,VLOOKUP(Y829,[4]Sheet1!$C:$N,12,0),"Unknown")))</f>
        <v>PROPAN EASY TO USE PU</v>
      </c>
      <c r="BM829" t="str">
        <f>VLOOKUP(W829,[1]branch!$A:$B,2,0)</f>
        <v>DANANG</v>
      </c>
    </row>
    <row r="830" spans="1:65" x14ac:dyDescent="0.35">
      <c r="A830" s="10">
        <v>46002</v>
      </c>
      <c r="B830" s="9" t="s">
        <v>1977</v>
      </c>
      <c r="C830" s="9" t="s">
        <v>64</v>
      </c>
      <c r="D830" s="9" t="s">
        <v>92</v>
      </c>
      <c r="E830" s="11">
        <v>60</v>
      </c>
      <c r="F830" s="9" t="s">
        <v>93</v>
      </c>
      <c r="G830" s="9" t="s">
        <v>65</v>
      </c>
      <c r="H830" s="9" t="s">
        <v>66</v>
      </c>
      <c r="I830" s="9">
        <v>13</v>
      </c>
      <c r="J830" s="9" t="s">
        <v>309</v>
      </c>
      <c r="K830" s="9" t="s">
        <v>309</v>
      </c>
      <c r="L830" s="9" t="s">
        <v>309</v>
      </c>
      <c r="M830" s="9" t="s">
        <v>310</v>
      </c>
      <c r="N830" s="9" t="s">
        <v>869</v>
      </c>
      <c r="O830" s="9" t="s">
        <v>150</v>
      </c>
      <c r="P830" s="9" t="s">
        <v>67</v>
      </c>
      <c r="Q830" s="9" t="s">
        <v>98</v>
      </c>
      <c r="R830" s="9" t="s">
        <v>309</v>
      </c>
      <c r="S830" s="9" t="s">
        <v>310</v>
      </c>
      <c r="T830" s="9" t="s">
        <v>798</v>
      </c>
      <c r="U830" s="9" t="s">
        <v>67</v>
      </c>
      <c r="V830" s="9" t="s">
        <v>311</v>
      </c>
      <c r="W830" s="9" t="s">
        <v>312</v>
      </c>
      <c r="X830" s="11">
        <v>20</v>
      </c>
      <c r="Y830" s="9" t="s">
        <v>1973</v>
      </c>
      <c r="Z830" s="9" t="s">
        <v>68</v>
      </c>
      <c r="AA830" s="9" t="s">
        <v>1974</v>
      </c>
      <c r="AB830" s="9" t="s">
        <v>67</v>
      </c>
      <c r="AC830" s="9" t="s">
        <v>1531</v>
      </c>
      <c r="AD830" s="11">
        <v>8</v>
      </c>
      <c r="AE830" s="9" t="s">
        <v>70</v>
      </c>
      <c r="AF830" s="9" t="s">
        <v>71</v>
      </c>
      <c r="AG830" s="13">
        <v>1</v>
      </c>
      <c r="AH830" s="9" t="s">
        <v>92</v>
      </c>
      <c r="AI830" s="13">
        <v>447273</v>
      </c>
      <c r="AJ830" s="13">
        <v>3578184</v>
      </c>
      <c r="AK830" s="11">
        <v>536728</v>
      </c>
      <c r="AL830" s="11">
        <v>0</v>
      </c>
      <c r="AM830" s="11">
        <v>0</v>
      </c>
      <c r="AN830" s="9" t="s">
        <v>331</v>
      </c>
      <c r="AO830" s="11">
        <v>3041456</v>
      </c>
      <c r="AP830" s="13">
        <v>243316</v>
      </c>
      <c r="AQ830" s="13">
        <v>3284772</v>
      </c>
      <c r="AR830" s="11">
        <v>32</v>
      </c>
      <c r="AS830" s="9" t="s">
        <v>72</v>
      </c>
      <c r="AT830" s="12">
        <v>29.36</v>
      </c>
      <c r="AU830" s="9" t="s">
        <v>73</v>
      </c>
      <c r="AV830" s="9" t="s">
        <v>67</v>
      </c>
      <c r="AW830" s="9" t="s">
        <v>1532</v>
      </c>
      <c r="AX830" s="10">
        <v>45995</v>
      </c>
      <c r="AY830" s="9" t="s">
        <v>1978</v>
      </c>
      <c r="AZ830" s="9" t="s">
        <v>67</v>
      </c>
      <c r="BA830" s="9" t="s">
        <v>67</v>
      </c>
      <c r="BB830" s="12">
        <v>32</v>
      </c>
      <c r="BC830" s="9" t="s">
        <v>74</v>
      </c>
      <c r="BD830" s="9" t="s">
        <v>104</v>
      </c>
      <c r="BE830" s="9" t="s">
        <v>75</v>
      </c>
      <c r="BF830" s="11">
        <v>0</v>
      </c>
      <c r="BG830">
        <f t="shared" si="26"/>
        <v>12</v>
      </c>
      <c r="BH830" t="str">
        <f>VLOOKUP(BG830,[1]month!$A:$B,2,0)</f>
        <v>Desember</v>
      </c>
      <c r="BI830">
        <f t="shared" si="27"/>
        <v>2025</v>
      </c>
      <c r="BJ830" t="str">
        <f>VLOOKUP(I830,[1]Dist!$A:$B,2,0)</f>
        <v>Retail</v>
      </c>
      <c r="BK830" t="str">
        <f>IF(I830=11,VLOOKUP(Y830,[2]Sheet1!$C:$N,10,0),IF(I830=13,VLOOKUP(Y830,[3]Sheet1!$C:$N,10,0),IF(I830=15,VLOOKUP(Y830,[4]Sheet1!$C:$N,10,0),"Unknown")))</f>
        <v>PU EASY TO USE</v>
      </c>
      <c r="BL830" t="str">
        <f>IF(I830=11,VLOOKUP(Y830,[2]Sheet1!$C:$N,12,0),IF(I830=13,VLOOKUP(Y830,[3]Sheet1!$C:$N,12,0),IF(I830=15,VLOOKUP(Y830,[4]Sheet1!$C:$N,12,0),"Unknown")))</f>
        <v>PROPAN EASY TO USE PU</v>
      </c>
      <c r="BM830" t="str">
        <f>VLOOKUP(W830,[1]branch!$A:$B,2,0)</f>
        <v>DANANG</v>
      </c>
    </row>
    <row r="831" spans="1:65" x14ac:dyDescent="0.35">
      <c r="A831" s="10">
        <v>46002</v>
      </c>
      <c r="B831" s="9" t="s">
        <v>1979</v>
      </c>
      <c r="C831" s="9" t="s">
        <v>64</v>
      </c>
      <c r="D831" s="9" t="s">
        <v>92</v>
      </c>
      <c r="E831" s="11">
        <v>60</v>
      </c>
      <c r="F831" s="9" t="s">
        <v>93</v>
      </c>
      <c r="G831" s="9" t="s">
        <v>65</v>
      </c>
      <c r="H831" s="9" t="s">
        <v>66</v>
      </c>
      <c r="I831" s="9">
        <v>13</v>
      </c>
      <c r="J831" s="9" t="s">
        <v>309</v>
      </c>
      <c r="K831" s="9" t="s">
        <v>309</v>
      </c>
      <c r="L831" s="9" t="s">
        <v>309</v>
      </c>
      <c r="M831" s="9" t="s">
        <v>310</v>
      </c>
      <c r="N831" s="9" t="s">
        <v>869</v>
      </c>
      <c r="O831" s="9" t="s">
        <v>150</v>
      </c>
      <c r="P831" s="9" t="s">
        <v>67</v>
      </c>
      <c r="Q831" s="9" t="s">
        <v>98</v>
      </c>
      <c r="R831" s="9" t="s">
        <v>309</v>
      </c>
      <c r="S831" s="9" t="s">
        <v>310</v>
      </c>
      <c r="T831" s="9" t="s">
        <v>798</v>
      </c>
      <c r="U831" s="9" t="s">
        <v>67</v>
      </c>
      <c r="V831" s="9" t="s">
        <v>311</v>
      </c>
      <c r="W831" s="9" t="s">
        <v>312</v>
      </c>
      <c r="X831" s="11">
        <v>10</v>
      </c>
      <c r="Y831" s="9" t="s">
        <v>1538</v>
      </c>
      <c r="Z831" s="9" t="s">
        <v>68</v>
      </c>
      <c r="AA831" s="9" t="s">
        <v>1539</v>
      </c>
      <c r="AB831" s="9" t="s">
        <v>67</v>
      </c>
      <c r="AC831" s="9" t="s">
        <v>321</v>
      </c>
      <c r="AD831" s="11">
        <v>5</v>
      </c>
      <c r="AE831" s="9" t="s">
        <v>70</v>
      </c>
      <c r="AF831" s="9" t="s">
        <v>71</v>
      </c>
      <c r="AG831" s="13">
        <v>1</v>
      </c>
      <c r="AH831" s="9" t="s">
        <v>92</v>
      </c>
      <c r="AI831" s="13">
        <v>470000</v>
      </c>
      <c r="AJ831" s="13">
        <v>2350000</v>
      </c>
      <c r="AK831" s="11">
        <v>352500</v>
      </c>
      <c r="AL831" s="11">
        <v>0</v>
      </c>
      <c r="AM831" s="11">
        <v>0</v>
      </c>
      <c r="AN831" s="9" t="s">
        <v>331</v>
      </c>
      <c r="AO831" s="11">
        <v>1997500</v>
      </c>
      <c r="AP831" s="13">
        <v>159800</v>
      </c>
      <c r="AQ831" s="13">
        <v>2157300</v>
      </c>
      <c r="AR831" s="11">
        <v>20</v>
      </c>
      <c r="AS831" s="9" t="s">
        <v>72</v>
      </c>
      <c r="AT831" s="12">
        <v>19.25</v>
      </c>
      <c r="AU831" s="9" t="s">
        <v>73</v>
      </c>
      <c r="AV831" s="9" t="s">
        <v>67</v>
      </c>
      <c r="AW831" s="9" t="s">
        <v>1540</v>
      </c>
      <c r="AX831" s="10">
        <v>45995</v>
      </c>
      <c r="AY831" s="9" t="s">
        <v>1980</v>
      </c>
      <c r="AZ831" s="9" t="s">
        <v>67</v>
      </c>
      <c r="BA831" s="9" t="s">
        <v>67</v>
      </c>
      <c r="BB831" s="12">
        <v>20</v>
      </c>
      <c r="BC831" s="9" t="s">
        <v>74</v>
      </c>
      <c r="BD831" s="9" t="s">
        <v>104</v>
      </c>
      <c r="BE831" s="9" t="s">
        <v>75</v>
      </c>
      <c r="BF831" s="11">
        <v>0</v>
      </c>
      <c r="BG831">
        <f t="shared" si="26"/>
        <v>12</v>
      </c>
      <c r="BH831" t="str">
        <f>VLOOKUP(BG831,[1]month!$A:$B,2,0)</f>
        <v>Desember</v>
      </c>
      <c r="BI831">
        <f t="shared" si="27"/>
        <v>2025</v>
      </c>
      <c r="BJ831" t="str">
        <f>VLOOKUP(I831,[1]Dist!$A:$B,2,0)</f>
        <v>Retail</v>
      </c>
      <c r="BK831" t="str">
        <f>IF(I831=11,VLOOKUP(Y831,[2]Sheet1!$C:$N,10,0),IF(I831=13,VLOOKUP(Y831,[3]Sheet1!$C:$N,10,0),IF(I831=15,VLOOKUP(Y831,[4]Sheet1!$C:$N,10,0),"Unknown")))</f>
        <v>PU EASY TO USE</v>
      </c>
      <c r="BL831" t="str">
        <f>IF(I831=11,VLOOKUP(Y831,[2]Sheet1!$C:$N,12,0),IF(I831=13,VLOOKUP(Y831,[3]Sheet1!$C:$N,12,0),IF(I831=15,VLOOKUP(Y831,[4]Sheet1!$C:$N,12,0),"Unknown")))</f>
        <v>PROPAN EASY TO USE PU</v>
      </c>
      <c r="BM831" t="str">
        <f>VLOOKUP(W831,[1]branch!$A:$B,2,0)</f>
        <v>DANANG</v>
      </c>
    </row>
    <row r="832" spans="1:65" x14ac:dyDescent="0.35">
      <c r="A832" s="10">
        <v>46002</v>
      </c>
      <c r="B832" s="9" t="s">
        <v>1981</v>
      </c>
      <c r="C832" s="9" t="s">
        <v>64</v>
      </c>
      <c r="D832" s="9" t="s">
        <v>92</v>
      </c>
      <c r="E832" s="11">
        <v>60</v>
      </c>
      <c r="F832" s="9" t="s">
        <v>93</v>
      </c>
      <c r="G832" s="9" t="s">
        <v>65</v>
      </c>
      <c r="H832" s="9" t="s">
        <v>66</v>
      </c>
      <c r="I832" s="9">
        <v>13</v>
      </c>
      <c r="J832" s="9" t="s">
        <v>329</v>
      </c>
      <c r="K832" s="9" t="s">
        <v>329</v>
      </c>
      <c r="L832" s="9" t="s">
        <v>329</v>
      </c>
      <c r="M832" s="9" t="s">
        <v>330</v>
      </c>
      <c r="N832" s="9" t="s">
        <v>879</v>
      </c>
      <c r="O832" s="9" t="s">
        <v>150</v>
      </c>
      <c r="P832" s="9" t="s">
        <v>67</v>
      </c>
      <c r="Q832" s="9" t="s">
        <v>98</v>
      </c>
      <c r="R832" s="9" t="s">
        <v>329</v>
      </c>
      <c r="S832" s="9" t="s">
        <v>330</v>
      </c>
      <c r="T832" s="9" t="s">
        <v>826</v>
      </c>
      <c r="U832" s="9" t="s">
        <v>67</v>
      </c>
      <c r="V832" s="9" t="s">
        <v>592</v>
      </c>
      <c r="W832" s="9" t="s">
        <v>593</v>
      </c>
      <c r="X832" s="11">
        <v>10</v>
      </c>
      <c r="Y832" s="9" t="s">
        <v>324</v>
      </c>
      <c r="Z832" s="9" t="s">
        <v>68</v>
      </c>
      <c r="AA832" s="9" t="s">
        <v>325</v>
      </c>
      <c r="AB832" s="9" t="s">
        <v>67</v>
      </c>
      <c r="AC832" s="9" t="s">
        <v>326</v>
      </c>
      <c r="AD832" s="11">
        <v>36</v>
      </c>
      <c r="AE832" s="9" t="s">
        <v>156</v>
      </c>
      <c r="AF832" s="9" t="s">
        <v>71</v>
      </c>
      <c r="AG832" s="13">
        <v>1</v>
      </c>
      <c r="AH832" s="9" t="s">
        <v>92</v>
      </c>
      <c r="AI832" s="13">
        <v>206364</v>
      </c>
      <c r="AJ832" s="13">
        <v>7429104</v>
      </c>
      <c r="AK832" s="11">
        <v>1366956</v>
      </c>
      <c r="AL832" s="11">
        <v>0</v>
      </c>
      <c r="AM832" s="11">
        <v>0</v>
      </c>
      <c r="AN832" s="9" t="s">
        <v>271</v>
      </c>
      <c r="AO832" s="11">
        <v>6062148</v>
      </c>
      <c r="AP832" s="13">
        <v>484972</v>
      </c>
      <c r="AQ832" s="13">
        <v>6547120</v>
      </c>
      <c r="AR832" s="11">
        <v>36</v>
      </c>
      <c r="AS832" s="9" t="s">
        <v>72</v>
      </c>
      <c r="AT832" s="12">
        <v>37.44</v>
      </c>
      <c r="AU832" s="9" t="s">
        <v>73</v>
      </c>
      <c r="AV832" s="9" t="s">
        <v>67</v>
      </c>
      <c r="AW832" s="9" t="s">
        <v>1982</v>
      </c>
      <c r="AX832" s="10">
        <v>46001</v>
      </c>
      <c r="AY832" s="9" t="s">
        <v>1983</v>
      </c>
      <c r="AZ832" s="9" t="s">
        <v>67</v>
      </c>
      <c r="BA832" s="9" t="s">
        <v>67</v>
      </c>
      <c r="BB832" s="12">
        <v>36</v>
      </c>
      <c r="BC832" s="9" t="s">
        <v>74</v>
      </c>
      <c r="BD832" s="9" t="s">
        <v>104</v>
      </c>
      <c r="BE832" s="9" t="s">
        <v>75</v>
      </c>
      <c r="BF832" s="11">
        <v>0</v>
      </c>
      <c r="BG832">
        <f t="shared" si="26"/>
        <v>12</v>
      </c>
      <c r="BH832" t="str">
        <f>VLOOKUP(BG832,[1]month!$A:$B,2,0)</f>
        <v>Desember</v>
      </c>
      <c r="BI832">
        <f t="shared" si="27"/>
        <v>2025</v>
      </c>
      <c r="BJ832" t="str">
        <f>VLOOKUP(I832,[1]Dist!$A:$B,2,0)</f>
        <v>Retail</v>
      </c>
      <c r="BK832" t="str">
        <f>IF(I832=11,VLOOKUP(Y832,[2]Sheet1!$C:$N,10,0),IF(I832=13,VLOOKUP(Y832,[3]Sheet1!$C:$N,10,0),IF(I832=15,VLOOKUP(Y832,[4]Sheet1!$C:$N,10,0),"Unknown")))</f>
        <v>PU MULTIPURPOSE</v>
      </c>
      <c r="BL832" t="str">
        <f>IF(I832=11,VLOOKUP(Y832,[2]Sheet1!$C:$N,12,0),IF(I832=13,VLOOKUP(Y832,[3]Sheet1!$C:$N,12,0),IF(I832=15,VLOOKUP(Y832,[4]Sheet1!$C:$N,12,0),"Unknown")))</f>
        <v>PROPAN MP PU ACR RMX</v>
      </c>
      <c r="BM832" t="str">
        <f>VLOOKUP(W832,[1]branch!$A:$B,2,0)</f>
        <v>HO CHI MINH</v>
      </c>
    </row>
    <row r="833" spans="1:65" x14ac:dyDescent="0.35">
      <c r="A833" s="10">
        <v>46002</v>
      </c>
      <c r="B833" s="9" t="s">
        <v>1981</v>
      </c>
      <c r="C833" s="9" t="s">
        <v>64</v>
      </c>
      <c r="D833" s="9" t="s">
        <v>92</v>
      </c>
      <c r="E833" s="11">
        <v>60</v>
      </c>
      <c r="F833" s="9" t="s">
        <v>93</v>
      </c>
      <c r="G833" s="9" t="s">
        <v>65</v>
      </c>
      <c r="H833" s="9" t="s">
        <v>66</v>
      </c>
      <c r="I833" s="9">
        <v>13</v>
      </c>
      <c r="J833" s="9" t="s">
        <v>329</v>
      </c>
      <c r="K833" s="9" t="s">
        <v>329</v>
      </c>
      <c r="L833" s="9" t="s">
        <v>329</v>
      </c>
      <c r="M833" s="9" t="s">
        <v>330</v>
      </c>
      <c r="N833" s="9" t="s">
        <v>879</v>
      </c>
      <c r="O833" s="9" t="s">
        <v>150</v>
      </c>
      <c r="P833" s="9" t="s">
        <v>67</v>
      </c>
      <c r="Q833" s="9" t="s">
        <v>98</v>
      </c>
      <c r="R833" s="9" t="s">
        <v>329</v>
      </c>
      <c r="S833" s="9" t="s">
        <v>330</v>
      </c>
      <c r="T833" s="9" t="s">
        <v>826</v>
      </c>
      <c r="U833" s="9" t="s">
        <v>67</v>
      </c>
      <c r="V833" s="9" t="s">
        <v>592</v>
      </c>
      <c r="W833" s="9" t="s">
        <v>593</v>
      </c>
      <c r="X833" s="11">
        <v>30</v>
      </c>
      <c r="Y833" s="9" t="s">
        <v>360</v>
      </c>
      <c r="Z833" s="9" t="s">
        <v>68</v>
      </c>
      <c r="AA833" s="9" t="s">
        <v>361</v>
      </c>
      <c r="AB833" s="9" t="s">
        <v>67</v>
      </c>
      <c r="AC833" s="9" t="s">
        <v>362</v>
      </c>
      <c r="AD833" s="11">
        <v>48</v>
      </c>
      <c r="AE833" s="9" t="s">
        <v>156</v>
      </c>
      <c r="AF833" s="9" t="s">
        <v>71</v>
      </c>
      <c r="AG833" s="13">
        <v>1</v>
      </c>
      <c r="AH833" s="9" t="s">
        <v>92</v>
      </c>
      <c r="AI833" s="13">
        <v>190909</v>
      </c>
      <c r="AJ833" s="13">
        <v>9163632</v>
      </c>
      <c r="AK833" s="11">
        <v>1686108</v>
      </c>
      <c r="AL833" s="11">
        <v>0</v>
      </c>
      <c r="AM833" s="11">
        <v>0</v>
      </c>
      <c r="AN833" s="9" t="s">
        <v>271</v>
      </c>
      <c r="AO833" s="11">
        <v>7477524</v>
      </c>
      <c r="AP833" s="13">
        <v>598202</v>
      </c>
      <c r="AQ833" s="13">
        <v>8075726</v>
      </c>
      <c r="AR833" s="11">
        <v>48</v>
      </c>
      <c r="AS833" s="9" t="s">
        <v>72</v>
      </c>
      <c r="AT833" s="12">
        <v>44.64</v>
      </c>
      <c r="AU833" s="9" t="s">
        <v>73</v>
      </c>
      <c r="AV833" s="9" t="s">
        <v>67</v>
      </c>
      <c r="AW833" s="9" t="s">
        <v>1982</v>
      </c>
      <c r="AX833" s="10">
        <v>46001</v>
      </c>
      <c r="AY833" s="9" t="s">
        <v>1983</v>
      </c>
      <c r="AZ833" s="9" t="s">
        <v>67</v>
      </c>
      <c r="BA833" s="9" t="s">
        <v>67</v>
      </c>
      <c r="BB833" s="12">
        <v>48</v>
      </c>
      <c r="BC833" s="9" t="s">
        <v>74</v>
      </c>
      <c r="BD833" s="9" t="s">
        <v>104</v>
      </c>
      <c r="BE833" s="9" t="s">
        <v>75</v>
      </c>
      <c r="BF833" s="11">
        <v>0</v>
      </c>
      <c r="BG833">
        <f t="shared" si="26"/>
        <v>12</v>
      </c>
      <c r="BH833" t="str">
        <f>VLOOKUP(BG833,[1]month!$A:$B,2,0)</f>
        <v>Desember</v>
      </c>
      <c r="BI833">
        <f t="shared" si="27"/>
        <v>2025</v>
      </c>
      <c r="BJ833" t="str">
        <f>VLOOKUP(I833,[1]Dist!$A:$B,2,0)</f>
        <v>Retail</v>
      </c>
      <c r="BK833" t="str">
        <f>IF(I833=11,VLOOKUP(Y833,[2]Sheet1!$C:$N,10,0),IF(I833=13,VLOOKUP(Y833,[3]Sheet1!$C:$N,10,0),IF(I833=15,VLOOKUP(Y833,[4]Sheet1!$C:$N,10,0),"Unknown")))</f>
        <v>PU MULTIPURPOSE</v>
      </c>
      <c r="BL833" t="str">
        <f>IF(I833=11,VLOOKUP(Y833,[2]Sheet1!$C:$N,12,0),IF(I833=13,VLOOKUP(Y833,[3]Sheet1!$C:$N,12,0),IF(I833=15,VLOOKUP(Y833,[4]Sheet1!$C:$N,12,0),"Unknown")))</f>
        <v>PROPAN MP PU ACR RMX</v>
      </c>
      <c r="BM833" t="str">
        <f>VLOOKUP(W833,[1]branch!$A:$B,2,0)</f>
        <v>HO CHI MINH</v>
      </c>
    </row>
    <row r="834" spans="1:65" x14ac:dyDescent="0.35">
      <c r="A834" s="10">
        <v>46002</v>
      </c>
      <c r="B834" s="9" t="s">
        <v>1981</v>
      </c>
      <c r="C834" s="9" t="s">
        <v>64</v>
      </c>
      <c r="D834" s="9" t="s">
        <v>92</v>
      </c>
      <c r="E834" s="11">
        <v>60</v>
      </c>
      <c r="F834" s="9" t="s">
        <v>93</v>
      </c>
      <c r="G834" s="9" t="s">
        <v>65</v>
      </c>
      <c r="H834" s="9" t="s">
        <v>66</v>
      </c>
      <c r="I834" s="9">
        <v>13</v>
      </c>
      <c r="J834" s="9" t="s">
        <v>329</v>
      </c>
      <c r="K834" s="9" t="s">
        <v>329</v>
      </c>
      <c r="L834" s="9" t="s">
        <v>329</v>
      </c>
      <c r="M834" s="9" t="s">
        <v>330</v>
      </c>
      <c r="N834" s="9" t="s">
        <v>879</v>
      </c>
      <c r="O834" s="9" t="s">
        <v>150</v>
      </c>
      <c r="P834" s="9" t="s">
        <v>67</v>
      </c>
      <c r="Q834" s="9" t="s">
        <v>98</v>
      </c>
      <c r="R834" s="9" t="s">
        <v>329</v>
      </c>
      <c r="S834" s="9" t="s">
        <v>330</v>
      </c>
      <c r="T834" s="9" t="s">
        <v>826</v>
      </c>
      <c r="U834" s="9" t="s">
        <v>67</v>
      </c>
      <c r="V834" s="9" t="s">
        <v>592</v>
      </c>
      <c r="W834" s="9" t="s">
        <v>593</v>
      </c>
      <c r="X834" s="11">
        <v>40</v>
      </c>
      <c r="Y834" s="9" t="s">
        <v>448</v>
      </c>
      <c r="Z834" s="9" t="s">
        <v>68</v>
      </c>
      <c r="AA834" s="9" t="s">
        <v>449</v>
      </c>
      <c r="AB834" s="9" t="s">
        <v>67</v>
      </c>
      <c r="AC834" s="9" t="s">
        <v>326</v>
      </c>
      <c r="AD834" s="11">
        <v>60</v>
      </c>
      <c r="AE834" s="9" t="s">
        <v>156</v>
      </c>
      <c r="AF834" s="9" t="s">
        <v>71</v>
      </c>
      <c r="AG834" s="13">
        <v>1</v>
      </c>
      <c r="AH834" s="9" t="s">
        <v>92</v>
      </c>
      <c r="AI834" s="13">
        <v>206364</v>
      </c>
      <c r="AJ834" s="13">
        <v>12381840</v>
      </c>
      <c r="AK834" s="11">
        <v>2278258</v>
      </c>
      <c r="AL834" s="11">
        <v>0</v>
      </c>
      <c r="AM834" s="11">
        <v>0</v>
      </c>
      <c r="AN834" s="9" t="s">
        <v>271</v>
      </c>
      <c r="AO834" s="11">
        <v>10103582</v>
      </c>
      <c r="AP834" s="13">
        <v>808286</v>
      </c>
      <c r="AQ834" s="13">
        <v>10911868</v>
      </c>
      <c r="AR834" s="11">
        <v>60</v>
      </c>
      <c r="AS834" s="9" t="s">
        <v>72</v>
      </c>
      <c r="AT834" s="12">
        <v>61.2</v>
      </c>
      <c r="AU834" s="9" t="s">
        <v>73</v>
      </c>
      <c r="AV834" s="9" t="s">
        <v>67</v>
      </c>
      <c r="AW834" s="9" t="s">
        <v>1982</v>
      </c>
      <c r="AX834" s="10">
        <v>46001</v>
      </c>
      <c r="AY834" s="9" t="s">
        <v>1983</v>
      </c>
      <c r="AZ834" s="9" t="s">
        <v>67</v>
      </c>
      <c r="BA834" s="9" t="s">
        <v>67</v>
      </c>
      <c r="BB834" s="12">
        <v>60</v>
      </c>
      <c r="BC834" s="9" t="s">
        <v>74</v>
      </c>
      <c r="BD834" s="9" t="s">
        <v>104</v>
      </c>
      <c r="BE834" s="9" t="s">
        <v>75</v>
      </c>
      <c r="BF834" s="11">
        <v>0</v>
      </c>
      <c r="BG834">
        <f t="shared" si="26"/>
        <v>12</v>
      </c>
      <c r="BH834" t="str">
        <f>VLOOKUP(BG834,[1]month!$A:$B,2,0)</f>
        <v>Desember</v>
      </c>
      <c r="BI834">
        <f t="shared" si="27"/>
        <v>2025</v>
      </c>
      <c r="BJ834" t="str">
        <f>VLOOKUP(I834,[1]Dist!$A:$B,2,0)</f>
        <v>Retail</v>
      </c>
      <c r="BK834" t="str">
        <f>IF(I834=11,VLOOKUP(Y834,[2]Sheet1!$C:$N,10,0),IF(I834=13,VLOOKUP(Y834,[3]Sheet1!$C:$N,10,0),IF(I834=15,VLOOKUP(Y834,[4]Sheet1!$C:$N,10,0),"Unknown")))</f>
        <v>PU MULTIPURPOSE</v>
      </c>
      <c r="BL834" t="str">
        <f>IF(I834=11,VLOOKUP(Y834,[2]Sheet1!$C:$N,12,0),IF(I834=13,VLOOKUP(Y834,[3]Sheet1!$C:$N,12,0),IF(I834=15,VLOOKUP(Y834,[4]Sheet1!$C:$N,12,0),"Unknown")))</f>
        <v>PROPAN MP PU ACR RMX</v>
      </c>
      <c r="BM834" t="str">
        <f>VLOOKUP(W834,[1]branch!$A:$B,2,0)</f>
        <v>HO CHI MINH</v>
      </c>
    </row>
    <row r="835" spans="1:65" x14ac:dyDescent="0.35">
      <c r="A835" s="10">
        <v>46002</v>
      </c>
      <c r="B835" s="9" t="s">
        <v>1981</v>
      </c>
      <c r="C835" s="9" t="s">
        <v>64</v>
      </c>
      <c r="D835" s="9" t="s">
        <v>92</v>
      </c>
      <c r="E835" s="11">
        <v>60</v>
      </c>
      <c r="F835" s="9" t="s">
        <v>93</v>
      </c>
      <c r="G835" s="9" t="s">
        <v>65</v>
      </c>
      <c r="H835" s="9" t="s">
        <v>66</v>
      </c>
      <c r="I835" s="9">
        <v>13</v>
      </c>
      <c r="J835" s="9" t="s">
        <v>329</v>
      </c>
      <c r="K835" s="9" t="s">
        <v>329</v>
      </c>
      <c r="L835" s="9" t="s">
        <v>329</v>
      </c>
      <c r="M835" s="9" t="s">
        <v>330</v>
      </c>
      <c r="N835" s="9" t="s">
        <v>879</v>
      </c>
      <c r="O835" s="9" t="s">
        <v>150</v>
      </c>
      <c r="P835" s="9" t="s">
        <v>67</v>
      </c>
      <c r="Q835" s="9" t="s">
        <v>98</v>
      </c>
      <c r="R835" s="9" t="s">
        <v>329</v>
      </c>
      <c r="S835" s="9" t="s">
        <v>330</v>
      </c>
      <c r="T835" s="9" t="s">
        <v>826</v>
      </c>
      <c r="U835" s="9" t="s">
        <v>67</v>
      </c>
      <c r="V835" s="9" t="s">
        <v>592</v>
      </c>
      <c r="W835" s="9" t="s">
        <v>593</v>
      </c>
      <c r="X835" s="11">
        <v>60</v>
      </c>
      <c r="Y835" s="9" t="s">
        <v>423</v>
      </c>
      <c r="Z835" s="9" t="s">
        <v>68</v>
      </c>
      <c r="AA835" s="9" t="s">
        <v>424</v>
      </c>
      <c r="AB835" s="9" t="s">
        <v>67</v>
      </c>
      <c r="AC835" s="9" t="s">
        <v>270</v>
      </c>
      <c r="AD835" s="11">
        <v>96</v>
      </c>
      <c r="AE835" s="9" t="s">
        <v>70</v>
      </c>
      <c r="AF835" s="9" t="s">
        <v>71</v>
      </c>
      <c r="AG835" s="13">
        <v>1</v>
      </c>
      <c r="AH835" s="9" t="s">
        <v>92</v>
      </c>
      <c r="AI835" s="13">
        <v>77273</v>
      </c>
      <c r="AJ835" s="13">
        <v>7418208</v>
      </c>
      <c r="AK835" s="11">
        <v>1364950</v>
      </c>
      <c r="AL835" s="11">
        <v>0</v>
      </c>
      <c r="AM835" s="11">
        <v>0</v>
      </c>
      <c r="AN835" s="9" t="s">
        <v>271</v>
      </c>
      <c r="AO835" s="11">
        <v>6053258</v>
      </c>
      <c r="AP835" s="13">
        <v>484261</v>
      </c>
      <c r="AQ835" s="13">
        <v>6537519</v>
      </c>
      <c r="AR835" s="12">
        <v>71.424000000000007</v>
      </c>
      <c r="AS835" s="9" t="s">
        <v>72</v>
      </c>
      <c r="AT835" s="12">
        <v>76.8</v>
      </c>
      <c r="AU835" s="9" t="s">
        <v>73</v>
      </c>
      <c r="AV835" s="9" t="s">
        <v>67</v>
      </c>
      <c r="AW835" s="9" t="s">
        <v>1982</v>
      </c>
      <c r="AX835" s="10">
        <v>46001</v>
      </c>
      <c r="AY835" s="9" t="s">
        <v>1983</v>
      </c>
      <c r="AZ835" s="9" t="s">
        <v>67</v>
      </c>
      <c r="BA835" s="9" t="s">
        <v>67</v>
      </c>
      <c r="BB835" s="12">
        <v>76.8</v>
      </c>
      <c r="BC835" s="9" t="s">
        <v>74</v>
      </c>
      <c r="BD835" s="9" t="s">
        <v>104</v>
      </c>
      <c r="BE835" s="9" t="s">
        <v>75</v>
      </c>
      <c r="BF835" s="11">
        <v>0</v>
      </c>
      <c r="BG835">
        <f t="shared" ref="BG835:BG851" si="28">MONTH(A835)</f>
        <v>12</v>
      </c>
      <c r="BH835" t="str">
        <f>VLOOKUP(BG835,[1]month!$A:$B,2,0)</f>
        <v>Desember</v>
      </c>
      <c r="BI835">
        <f t="shared" ref="BI835:BI851" si="29">YEAR(A835)</f>
        <v>2025</v>
      </c>
      <c r="BJ835" t="str">
        <f>VLOOKUP(I835,[1]Dist!$A:$B,2,0)</f>
        <v>Retail</v>
      </c>
      <c r="BK835" t="str">
        <f>IF(I835=11,VLOOKUP(Y835,[2]Sheet1!$C:$N,10,0),IF(I835=13,VLOOKUP(Y835,[3]Sheet1!$C:$N,10,0),IF(I835=15,VLOOKUP(Y835,[4]Sheet1!$C:$N,10,0),"Unknown")))</f>
        <v>ULTRAN</v>
      </c>
      <c r="BL835" t="str">
        <f>IF(I835=11,VLOOKUP(Y835,[2]Sheet1!$C:$N,12,0),IF(I835=13,VLOOKUP(Y835,[3]Sheet1!$C:$N,12,0),IF(I835=15,VLOOKUP(Y835,[4]Sheet1!$C:$N,12,0),"Unknown")))</f>
        <v>ULTRAN VERNIS</v>
      </c>
      <c r="BM835" t="str">
        <f>VLOOKUP(W835,[1]branch!$A:$B,2,0)</f>
        <v>HO CHI MINH</v>
      </c>
    </row>
    <row r="836" spans="1:65" x14ac:dyDescent="0.35">
      <c r="A836" s="10">
        <v>46002</v>
      </c>
      <c r="B836" s="9" t="s">
        <v>1981</v>
      </c>
      <c r="C836" s="9" t="s">
        <v>64</v>
      </c>
      <c r="D836" s="9" t="s">
        <v>92</v>
      </c>
      <c r="E836" s="11">
        <v>60</v>
      </c>
      <c r="F836" s="9" t="s">
        <v>93</v>
      </c>
      <c r="G836" s="9" t="s">
        <v>65</v>
      </c>
      <c r="H836" s="9" t="s">
        <v>66</v>
      </c>
      <c r="I836" s="9">
        <v>13</v>
      </c>
      <c r="J836" s="9" t="s">
        <v>329</v>
      </c>
      <c r="K836" s="9" t="s">
        <v>329</v>
      </c>
      <c r="L836" s="9" t="s">
        <v>329</v>
      </c>
      <c r="M836" s="9" t="s">
        <v>330</v>
      </c>
      <c r="N836" s="9" t="s">
        <v>879</v>
      </c>
      <c r="O836" s="9" t="s">
        <v>150</v>
      </c>
      <c r="P836" s="9" t="s">
        <v>67</v>
      </c>
      <c r="Q836" s="9" t="s">
        <v>98</v>
      </c>
      <c r="R836" s="9" t="s">
        <v>329</v>
      </c>
      <c r="S836" s="9" t="s">
        <v>330</v>
      </c>
      <c r="T836" s="9" t="s">
        <v>826</v>
      </c>
      <c r="U836" s="9" t="s">
        <v>67</v>
      </c>
      <c r="V836" s="9" t="s">
        <v>592</v>
      </c>
      <c r="W836" s="9" t="s">
        <v>593</v>
      </c>
      <c r="X836" s="11">
        <v>70</v>
      </c>
      <c r="Y836" s="9" t="s">
        <v>1984</v>
      </c>
      <c r="Z836" s="9" t="s">
        <v>68</v>
      </c>
      <c r="AA836" s="9" t="s">
        <v>1985</v>
      </c>
      <c r="AB836" s="9" t="s">
        <v>67</v>
      </c>
      <c r="AC836" s="9" t="s">
        <v>346</v>
      </c>
      <c r="AD836" s="11">
        <v>12</v>
      </c>
      <c r="AE836" s="9" t="s">
        <v>70</v>
      </c>
      <c r="AF836" s="9" t="s">
        <v>71</v>
      </c>
      <c r="AG836" s="13">
        <v>1</v>
      </c>
      <c r="AH836" s="9" t="s">
        <v>92</v>
      </c>
      <c r="AI836" s="13">
        <v>218181</v>
      </c>
      <c r="AJ836" s="13">
        <v>2618172</v>
      </c>
      <c r="AK836" s="11">
        <v>481744</v>
      </c>
      <c r="AL836" s="11">
        <v>0</v>
      </c>
      <c r="AM836" s="11">
        <v>0</v>
      </c>
      <c r="AN836" s="9" t="s">
        <v>271</v>
      </c>
      <c r="AO836" s="11">
        <v>2136428</v>
      </c>
      <c r="AP836" s="13">
        <v>170914</v>
      </c>
      <c r="AQ836" s="13">
        <v>2307342</v>
      </c>
      <c r="AR836" s="12">
        <v>10.199999999999999</v>
      </c>
      <c r="AS836" s="9" t="s">
        <v>72</v>
      </c>
      <c r="AT836" s="11">
        <v>12</v>
      </c>
      <c r="AU836" s="9" t="s">
        <v>73</v>
      </c>
      <c r="AV836" s="9" t="s">
        <v>67</v>
      </c>
      <c r="AW836" s="9" t="s">
        <v>1982</v>
      </c>
      <c r="AX836" s="10">
        <v>46001</v>
      </c>
      <c r="AY836" s="9" t="s">
        <v>1983</v>
      </c>
      <c r="AZ836" s="9" t="s">
        <v>67</v>
      </c>
      <c r="BA836" s="9" t="s">
        <v>67</v>
      </c>
      <c r="BB836" s="12">
        <v>12</v>
      </c>
      <c r="BC836" s="9" t="s">
        <v>74</v>
      </c>
      <c r="BD836" s="9" t="s">
        <v>104</v>
      </c>
      <c r="BE836" s="9" t="s">
        <v>75</v>
      </c>
      <c r="BF836" s="11">
        <v>0</v>
      </c>
      <c r="BG836">
        <f t="shared" si="28"/>
        <v>12</v>
      </c>
      <c r="BH836" t="str">
        <f>VLOOKUP(BG836,[1]month!$A:$B,2,0)</f>
        <v>Desember</v>
      </c>
      <c r="BI836">
        <f t="shared" si="29"/>
        <v>2025</v>
      </c>
      <c r="BJ836" t="str">
        <f>VLOOKUP(I836,[1]Dist!$A:$B,2,0)</f>
        <v>Retail</v>
      </c>
      <c r="BK836" t="str">
        <f>IF(I836=11,VLOOKUP(Y836,[2]Sheet1!$C:$N,10,0),IF(I836=13,VLOOKUP(Y836,[3]Sheet1!$C:$N,10,0),IF(I836=15,VLOOKUP(Y836,[4]Sheet1!$C:$N,10,0),"Unknown")))</f>
        <v>ULTRAN</v>
      </c>
      <c r="BL836" t="str">
        <f>IF(I836=11,VLOOKUP(Y836,[2]Sheet1!$C:$N,12,0),IF(I836=13,VLOOKUP(Y836,[3]Sheet1!$C:$N,12,0),IF(I836=15,VLOOKUP(Y836,[4]Sheet1!$C:$N,12,0),"Unknown")))</f>
        <v>ULTRAN LASUR</v>
      </c>
      <c r="BM836" t="str">
        <f>VLOOKUP(W836,[1]branch!$A:$B,2,0)</f>
        <v>HO CHI MINH</v>
      </c>
    </row>
    <row r="837" spans="1:65" x14ac:dyDescent="0.35">
      <c r="A837" s="10">
        <v>46002</v>
      </c>
      <c r="B837" s="9" t="s">
        <v>1986</v>
      </c>
      <c r="C837" s="9" t="s">
        <v>64</v>
      </c>
      <c r="D837" s="9" t="s">
        <v>92</v>
      </c>
      <c r="E837" s="11">
        <v>30</v>
      </c>
      <c r="F837" s="9" t="s">
        <v>93</v>
      </c>
      <c r="G837" s="9" t="s">
        <v>65</v>
      </c>
      <c r="H837" s="9" t="s">
        <v>66</v>
      </c>
      <c r="I837" s="9">
        <v>15</v>
      </c>
      <c r="J837" s="9" t="s">
        <v>1987</v>
      </c>
      <c r="K837" s="9" t="s">
        <v>1987</v>
      </c>
      <c r="L837" s="9" t="s">
        <v>1987</v>
      </c>
      <c r="M837" s="9" t="s">
        <v>1988</v>
      </c>
      <c r="N837" s="9" t="s">
        <v>1989</v>
      </c>
      <c r="O837" s="9" t="s">
        <v>384</v>
      </c>
      <c r="P837" s="9" t="s">
        <v>67</v>
      </c>
      <c r="Q837" s="9" t="s">
        <v>98</v>
      </c>
      <c r="R837" s="9" t="s">
        <v>1987</v>
      </c>
      <c r="S837" s="9" t="s">
        <v>1988</v>
      </c>
      <c r="T837" s="9" t="s">
        <v>1990</v>
      </c>
      <c r="U837" s="9" t="s">
        <v>385</v>
      </c>
      <c r="V837" s="9" t="s">
        <v>386</v>
      </c>
      <c r="W837" s="9" t="s">
        <v>387</v>
      </c>
      <c r="X837" s="11">
        <v>10</v>
      </c>
      <c r="Y837" s="9" t="s">
        <v>947</v>
      </c>
      <c r="Z837" s="9" t="s">
        <v>68</v>
      </c>
      <c r="AA837" s="9" t="s">
        <v>948</v>
      </c>
      <c r="AB837" s="9" t="s">
        <v>67</v>
      </c>
      <c r="AC837" s="9" t="s">
        <v>916</v>
      </c>
      <c r="AD837" s="11">
        <v>5</v>
      </c>
      <c r="AE837" s="9" t="s">
        <v>70</v>
      </c>
      <c r="AF837" s="9" t="s">
        <v>71</v>
      </c>
      <c r="AG837" s="13">
        <v>1</v>
      </c>
      <c r="AH837" s="9" t="s">
        <v>92</v>
      </c>
      <c r="AI837" s="13">
        <v>1410000</v>
      </c>
      <c r="AJ837" s="13">
        <v>7050000</v>
      </c>
      <c r="AK837" s="11">
        <v>0</v>
      </c>
      <c r="AL837" s="11">
        <v>0</v>
      </c>
      <c r="AM837" s="11">
        <v>0</v>
      </c>
      <c r="AN837" s="9" t="s">
        <v>67</v>
      </c>
      <c r="AO837" s="11">
        <v>7050000</v>
      </c>
      <c r="AP837" s="13">
        <v>564000</v>
      </c>
      <c r="AQ837" s="13">
        <v>7614000</v>
      </c>
      <c r="AR837" s="11">
        <v>100</v>
      </c>
      <c r="AS837" s="9" t="s">
        <v>72</v>
      </c>
      <c r="AT837" s="12">
        <v>71.94</v>
      </c>
      <c r="AU837" s="9" t="s">
        <v>73</v>
      </c>
      <c r="AV837" s="9" t="s">
        <v>67</v>
      </c>
      <c r="AW837" s="9" t="s">
        <v>1991</v>
      </c>
      <c r="AX837" s="10">
        <v>46000</v>
      </c>
      <c r="AY837" s="9" t="s">
        <v>1992</v>
      </c>
      <c r="AZ837" s="9" t="s">
        <v>67</v>
      </c>
      <c r="BA837" s="9" t="s">
        <v>67</v>
      </c>
      <c r="BB837" s="12">
        <v>100</v>
      </c>
      <c r="BC837" s="9" t="s">
        <v>74</v>
      </c>
      <c r="BD837" s="9" t="s">
        <v>104</v>
      </c>
      <c r="BE837" s="9" t="s">
        <v>75</v>
      </c>
      <c r="BF837" s="11">
        <v>0</v>
      </c>
      <c r="BG837">
        <f t="shared" si="28"/>
        <v>12</v>
      </c>
      <c r="BH837" t="str">
        <f>VLOOKUP(BG837,[1]month!$A:$B,2,0)</f>
        <v>Desember</v>
      </c>
      <c r="BI837">
        <f t="shared" si="29"/>
        <v>2025</v>
      </c>
      <c r="BJ837" t="str">
        <f>VLOOKUP(I837,[1]Dist!$A:$B,2,0)</f>
        <v>Project</v>
      </c>
      <c r="BK837" t="str">
        <f>IF(I837=11,VLOOKUP(Y837,[2]Sheet1!$C:$N,10,0),IF(I837=13,VLOOKUP(Y837,[3]Sheet1!$C:$N,10,0),IF(I837=15,VLOOKUP(Y837,[4]Sheet1!$C:$N,10,0),"Unknown")))</f>
        <v>WATERPROOFING</v>
      </c>
      <c r="BL837" t="str">
        <f>IF(I837=11,VLOOKUP(Y837,[2]Sheet1!$C:$N,12,0),IF(I837=13,VLOOKUP(Y837,[3]Sheet1!$C:$N,12,0),IF(I837=15,VLOOKUP(Y837,[4]Sheet1!$C:$N,12,0),"Unknown")))</f>
        <v>ULTRAFLEX MEMBRANE</v>
      </c>
      <c r="BM837" t="str">
        <f>VLOOKUP(W837,[1]branch!$A:$B,2,0)</f>
        <v>PROJECT</v>
      </c>
    </row>
    <row r="838" spans="1:65" x14ac:dyDescent="0.35">
      <c r="A838" s="10">
        <v>46002</v>
      </c>
      <c r="B838" s="9" t="s">
        <v>1993</v>
      </c>
      <c r="C838" s="9" t="s">
        <v>64</v>
      </c>
      <c r="D838" s="9" t="s">
        <v>92</v>
      </c>
      <c r="E838" s="11">
        <v>45</v>
      </c>
      <c r="F838" s="9" t="s">
        <v>93</v>
      </c>
      <c r="G838" s="9" t="s">
        <v>65</v>
      </c>
      <c r="H838" s="9" t="s">
        <v>66</v>
      </c>
      <c r="I838" s="9">
        <v>11</v>
      </c>
      <c r="J838" s="9" t="s">
        <v>646</v>
      </c>
      <c r="K838" s="9" t="s">
        <v>646</v>
      </c>
      <c r="L838" s="9" t="s">
        <v>646</v>
      </c>
      <c r="M838" s="9" t="s">
        <v>647</v>
      </c>
      <c r="N838" s="9" t="s">
        <v>867</v>
      </c>
      <c r="O838" s="9" t="s">
        <v>97</v>
      </c>
      <c r="P838" s="9" t="s">
        <v>67</v>
      </c>
      <c r="Q838" s="9" t="s">
        <v>98</v>
      </c>
      <c r="R838" s="9" t="s">
        <v>646</v>
      </c>
      <c r="S838" s="9" t="s">
        <v>647</v>
      </c>
      <c r="T838" s="9" t="s">
        <v>825</v>
      </c>
      <c r="U838" s="9" t="s">
        <v>67</v>
      </c>
      <c r="V838" s="9" t="s">
        <v>130</v>
      </c>
      <c r="W838" s="9" t="s">
        <v>131</v>
      </c>
      <c r="X838" s="11">
        <v>10</v>
      </c>
      <c r="Y838" s="9" t="s">
        <v>164</v>
      </c>
      <c r="Z838" s="9" t="s">
        <v>68</v>
      </c>
      <c r="AA838" s="9" t="s">
        <v>165</v>
      </c>
      <c r="AB838" s="9" t="s">
        <v>67</v>
      </c>
      <c r="AC838" s="9" t="s">
        <v>166</v>
      </c>
      <c r="AD838" s="11">
        <v>15</v>
      </c>
      <c r="AE838" s="9" t="s">
        <v>70</v>
      </c>
      <c r="AF838" s="9" t="s">
        <v>71</v>
      </c>
      <c r="AG838" s="13">
        <v>1</v>
      </c>
      <c r="AH838" s="9" t="s">
        <v>92</v>
      </c>
      <c r="AI838" s="13">
        <v>984000</v>
      </c>
      <c r="AJ838" s="13">
        <v>14760000</v>
      </c>
      <c r="AK838" s="11">
        <v>0</v>
      </c>
      <c r="AL838" s="11">
        <v>0</v>
      </c>
      <c r="AM838" s="11">
        <v>0</v>
      </c>
      <c r="AN838" s="9" t="s">
        <v>67</v>
      </c>
      <c r="AO838" s="11">
        <v>14760000</v>
      </c>
      <c r="AP838" s="13">
        <v>1180800</v>
      </c>
      <c r="AQ838" s="13">
        <v>15940800</v>
      </c>
      <c r="AR838" s="11">
        <v>240</v>
      </c>
      <c r="AS838" s="9" t="s">
        <v>72</v>
      </c>
      <c r="AT838" s="12">
        <v>230.7</v>
      </c>
      <c r="AU838" s="9" t="s">
        <v>73</v>
      </c>
      <c r="AV838" s="9" t="s">
        <v>67</v>
      </c>
      <c r="AW838" s="9" t="s">
        <v>1126</v>
      </c>
      <c r="AX838" s="10">
        <v>45992</v>
      </c>
      <c r="AY838" s="9" t="s">
        <v>1994</v>
      </c>
      <c r="AZ838" s="9" t="s">
        <v>67</v>
      </c>
      <c r="BA838" s="9" t="s">
        <v>67</v>
      </c>
      <c r="BB838" s="12">
        <v>240</v>
      </c>
      <c r="BC838" s="9" t="s">
        <v>74</v>
      </c>
      <c r="BD838" s="9" t="s">
        <v>104</v>
      </c>
      <c r="BE838" s="9" t="s">
        <v>75</v>
      </c>
      <c r="BF838" s="11">
        <v>0</v>
      </c>
      <c r="BG838">
        <f t="shared" si="28"/>
        <v>12</v>
      </c>
      <c r="BH838" t="str">
        <f>VLOOKUP(BG838,[1]month!$A:$B,2,0)</f>
        <v>Desember</v>
      </c>
      <c r="BI838">
        <f t="shared" si="29"/>
        <v>2025</v>
      </c>
      <c r="BJ838" t="str">
        <f>VLOOKUP(I838,[1]Dist!$A:$B,2,0)</f>
        <v>Industry</v>
      </c>
      <c r="BK838" t="str">
        <f>IF(I838=11,VLOOKUP(Y838,[2]Sheet1!$C:$N,10,0),IF(I838=13,VLOOKUP(Y838,[3]Sheet1!$C:$N,10,0),IF(I838=15,VLOOKUP(Y838,[4]Sheet1!$C:$N,10,0),"Unknown")))</f>
        <v>PU</v>
      </c>
      <c r="BL838" t="str">
        <f>IF(I838=11,VLOOKUP(Y838,[2]Sheet1!$C:$N,12,0),IF(I838=13,VLOOKUP(Y838,[3]Sheet1!$C:$N,12,0),IF(I838=15,VLOOKUP(Y838,[4]Sheet1!$C:$N,12,0),"Unknown")))</f>
        <v>UNION SANDING SEALER</v>
      </c>
      <c r="BM838" t="str">
        <f>VLOOKUP(W838,[1]branch!$A:$B,2,0)</f>
        <v>INDUSTRY</v>
      </c>
    </row>
    <row r="839" spans="1:65" x14ac:dyDescent="0.35">
      <c r="A839" s="10">
        <v>46002</v>
      </c>
      <c r="B839" s="9" t="s">
        <v>1993</v>
      </c>
      <c r="C839" s="9" t="s">
        <v>64</v>
      </c>
      <c r="D839" s="9" t="s">
        <v>92</v>
      </c>
      <c r="E839" s="11">
        <v>45</v>
      </c>
      <c r="F839" s="9" t="s">
        <v>93</v>
      </c>
      <c r="G839" s="9" t="s">
        <v>65</v>
      </c>
      <c r="H839" s="9" t="s">
        <v>66</v>
      </c>
      <c r="I839" s="9">
        <v>11</v>
      </c>
      <c r="J839" s="9" t="s">
        <v>646</v>
      </c>
      <c r="K839" s="9" t="s">
        <v>646</v>
      </c>
      <c r="L839" s="9" t="s">
        <v>646</v>
      </c>
      <c r="M839" s="9" t="s">
        <v>647</v>
      </c>
      <c r="N839" s="9" t="s">
        <v>867</v>
      </c>
      <c r="O839" s="9" t="s">
        <v>97</v>
      </c>
      <c r="P839" s="9" t="s">
        <v>67</v>
      </c>
      <c r="Q839" s="9" t="s">
        <v>98</v>
      </c>
      <c r="R839" s="9" t="s">
        <v>646</v>
      </c>
      <c r="S839" s="9" t="s">
        <v>647</v>
      </c>
      <c r="T839" s="9" t="s">
        <v>825</v>
      </c>
      <c r="U839" s="9" t="s">
        <v>67</v>
      </c>
      <c r="V839" s="9" t="s">
        <v>130</v>
      </c>
      <c r="W839" s="9" t="s">
        <v>131</v>
      </c>
      <c r="X839" s="11">
        <v>20</v>
      </c>
      <c r="Y839" s="9" t="s">
        <v>167</v>
      </c>
      <c r="Z839" s="9" t="s">
        <v>68</v>
      </c>
      <c r="AA839" s="9" t="s">
        <v>168</v>
      </c>
      <c r="AB839" s="9" t="s">
        <v>67</v>
      </c>
      <c r="AC839" s="9" t="s">
        <v>169</v>
      </c>
      <c r="AD839" s="11">
        <v>34</v>
      </c>
      <c r="AE839" s="9" t="s">
        <v>70</v>
      </c>
      <c r="AF839" s="9" t="s">
        <v>71</v>
      </c>
      <c r="AG839" s="13">
        <v>1</v>
      </c>
      <c r="AH839" s="9" t="s">
        <v>92</v>
      </c>
      <c r="AI839" s="13">
        <v>417200</v>
      </c>
      <c r="AJ839" s="13">
        <v>14184800</v>
      </c>
      <c r="AK839" s="11">
        <v>0</v>
      </c>
      <c r="AL839" s="11">
        <v>0</v>
      </c>
      <c r="AM839" s="11">
        <v>0</v>
      </c>
      <c r="AN839" s="9" t="s">
        <v>67</v>
      </c>
      <c r="AO839" s="11">
        <v>14184800</v>
      </c>
      <c r="AP839" s="13">
        <v>1134784</v>
      </c>
      <c r="AQ839" s="13">
        <v>15319584</v>
      </c>
      <c r="AR839" s="11">
        <v>136</v>
      </c>
      <c r="AS839" s="9" t="s">
        <v>72</v>
      </c>
      <c r="AT839" s="11">
        <v>136</v>
      </c>
      <c r="AU839" s="9" t="s">
        <v>73</v>
      </c>
      <c r="AV839" s="9" t="s">
        <v>67</v>
      </c>
      <c r="AW839" s="9" t="s">
        <v>1126</v>
      </c>
      <c r="AX839" s="10">
        <v>45992</v>
      </c>
      <c r="AY839" s="9" t="s">
        <v>1994</v>
      </c>
      <c r="AZ839" s="9" t="s">
        <v>67</v>
      </c>
      <c r="BA839" s="9" t="s">
        <v>67</v>
      </c>
      <c r="BB839" s="12">
        <v>136</v>
      </c>
      <c r="BC839" s="9" t="s">
        <v>74</v>
      </c>
      <c r="BD839" s="9" t="s">
        <v>104</v>
      </c>
      <c r="BE839" s="9" t="s">
        <v>75</v>
      </c>
      <c r="BF839" s="11">
        <v>0</v>
      </c>
      <c r="BG839">
        <f t="shared" si="28"/>
        <v>12</v>
      </c>
      <c r="BH839" t="str">
        <f>VLOOKUP(BG839,[1]month!$A:$B,2,0)</f>
        <v>Desember</v>
      </c>
      <c r="BI839">
        <f t="shared" si="29"/>
        <v>2025</v>
      </c>
      <c r="BJ839" t="str">
        <f>VLOOKUP(I839,[1]Dist!$A:$B,2,0)</f>
        <v>Industry</v>
      </c>
      <c r="BK839" t="str">
        <f>IF(I839=11,VLOOKUP(Y839,[2]Sheet1!$C:$N,10,0),IF(I839=13,VLOOKUP(Y839,[3]Sheet1!$C:$N,10,0),IF(I839=15,VLOOKUP(Y839,[4]Sheet1!$C:$N,10,0),"Unknown")))</f>
        <v>PU</v>
      </c>
      <c r="BL839" t="str">
        <f>IF(I839=11,VLOOKUP(Y839,[2]Sheet1!$C:$N,12,0),IF(I839=13,VLOOKUP(Y839,[3]Sheet1!$C:$N,12,0),IF(I839=15,VLOOKUP(Y839,[4]Sheet1!$C:$N,12,0),"Unknown")))</f>
        <v>UNION HARDENER</v>
      </c>
      <c r="BM839" t="str">
        <f>VLOOKUP(W839,[1]branch!$A:$B,2,0)</f>
        <v>INDUSTRY</v>
      </c>
    </row>
    <row r="840" spans="1:65" x14ac:dyDescent="0.35">
      <c r="A840" s="10">
        <v>46002</v>
      </c>
      <c r="B840" s="9" t="s">
        <v>1993</v>
      </c>
      <c r="C840" s="9" t="s">
        <v>64</v>
      </c>
      <c r="D840" s="9" t="s">
        <v>92</v>
      </c>
      <c r="E840" s="11">
        <v>45</v>
      </c>
      <c r="F840" s="9" t="s">
        <v>93</v>
      </c>
      <c r="G840" s="9" t="s">
        <v>65</v>
      </c>
      <c r="H840" s="9" t="s">
        <v>66</v>
      </c>
      <c r="I840" s="9">
        <v>11</v>
      </c>
      <c r="J840" s="9" t="s">
        <v>646</v>
      </c>
      <c r="K840" s="9" t="s">
        <v>646</v>
      </c>
      <c r="L840" s="9" t="s">
        <v>646</v>
      </c>
      <c r="M840" s="9" t="s">
        <v>647</v>
      </c>
      <c r="N840" s="9" t="s">
        <v>867</v>
      </c>
      <c r="O840" s="9" t="s">
        <v>97</v>
      </c>
      <c r="P840" s="9" t="s">
        <v>67</v>
      </c>
      <c r="Q840" s="9" t="s">
        <v>98</v>
      </c>
      <c r="R840" s="9" t="s">
        <v>646</v>
      </c>
      <c r="S840" s="9" t="s">
        <v>647</v>
      </c>
      <c r="T840" s="9" t="s">
        <v>825</v>
      </c>
      <c r="U840" s="9" t="s">
        <v>67</v>
      </c>
      <c r="V840" s="9" t="s">
        <v>130</v>
      </c>
      <c r="W840" s="9" t="s">
        <v>131</v>
      </c>
      <c r="X840" s="11">
        <v>30</v>
      </c>
      <c r="Y840" s="9" t="s">
        <v>176</v>
      </c>
      <c r="Z840" s="9" t="s">
        <v>68</v>
      </c>
      <c r="AA840" s="9" t="s">
        <v>177</v>
      </c>
      <c r="AB840" s="9" t="s">
        <v>67</v>
      </c>
      <c r="AC840" s="9" t="s">
        <v>178</v>
      </c>
      <c r="AD840" s="11">
        <v>20</v>
      </c>
      <c r="AE840" s="9" t="s">
        <v>70</v>
      </c>
      <c r="AF840" s="9" t="s">
        <v>71</v>
      </c>
      <c r="AG840" s="13">
        <v>1</v>
      </c>
      <c r="AH840" s="9" t="s">
        <v>92</v>
      </c>
      <c r="AI840" s="13">
        <v>417200</v>
      </c>
      <c r="AJ840" s="13">
        <v>8344000</v>
      </c>
      <c r="AK840" s="11">
        <v>0</v>
      </c>
      <c r="AL840" s="11">
        <v>0</v>
      </c>
      <c r="AM840" s="11">
        <v>0</v>
      </c>
      <c r="AN840" s="9" t="s">
        <v>67</v>
      </c>
      <c r="AO840" s="11">
        <v>8344000</v>
      </c>
      <c r="AP840" s="13">
        <v>667520</v>
      </c>
      <c r="AQ840" s="13">
        <v>9011520</v>
      </c>
      <c r="AR840" s="11">
        <v>80</v>
      </c>
      <c r="AS840" s="9" t="s">
        <v>72</v>
      </c>
      <c r="AT840" s="12">
        <v>79.2</v>
      </c>
      <c r="AU840" s="9" t="s">
        <v>73</v>
      </c>
      <c r="AV840" s="9" t="s">
        <v>67</v>
      </c>
      <c r="AW840" s="9" t="s">
        <v>1126</v>
      </c>
      <c r="AX840" s="10">
        <v>45992</v>
      </c>
      <c r="AY840" s="9" t="s">
        <v>1994</v>
      </c>
      <c r="AZ840" s="9" t="s">
        <v>67</v>
      </c>
      <c r="BA840" s="9" t="s">
        <v>67</v>
      </c>
      <c r="BB840" s="12">
        <v>80</v>
      </c>
      <c r="BC840" s="9" t="s">
        <v>74</v>
      </c>
      <c r="BD840" s="9" t="s">
        <v>104</v>
      </c>
      <c r="BE840" s="9" t="s">
        <v>75</v>
      </c>
      <c r="BF840" s="11">
        <v>0</v>
      </c>
      <c r="BG840">
        <f t="shared" si="28"/>
        <v>12</v>
      </c>
      <c r="BH840" t="str">
        <f>VLOOKUP(BG840,[1]month!$A:$B,2,0)</f>
        <v>Desember</v>
      </c>
      <c r="BI840">
        <f t="shared" si="29"/>
        <v>2025</v>
      </c>
      <c r="BJ840" t="str">
        <f>VLOOKUP(I840,[1]Dist!$A:$B,2,0)</f>
        <v>Industry</v>
      </c>
      <c r="BK840" t="str">
        <f>IF(I840=11,VLOOKUP(Y840,[2]Sheet1!$C:$N,10,0),IF(I840=13,VLOOKUP(Y840,[3]Sheet1!$C:$N,10,0),IF(I840=15,VLOOKUP(Y840,[4]Sheet1!$C:$N,10,0),"Unknown")))</f>
        <v>PU</v>
      </c>
      <c r="BL840" t="str">
        <f>IF(I840=11,VLOOKUP(Y840,[2]Sheet1!$C:$N,12,0),IF(I840=13,VLOOKUP(Y840,[3]Sheet1!$C:$N,12,0),IF(I840=15,VLOOKUP(Y840,[4]Sheet1!$C:$N,12,0),"Unknown")))</f>
        <v>UNION HARDENER</v>
      </c>
      <c r="BM840" t="str">
        <f>VLOOKUP(W840,[1]branch!$A:$B,2,0)</f>
        <v>INDUSTRY</v>
      </c>
    </row>
    <row r="841" spans="1:65" x14ac:dyDescent="0.35">
      <c r="A841" s="10">
        <v>46002</v>
      </c>
      <c r="B841" s="9" t="s">
        <v>1993</v>
      </c>
      <c r="C841" s="9" t="s">
        <v>64</v>
      </c>
      <c r="D841" s="9" t="s">
        <v>92</v>
      </c>
      <c r="E841" s="11">
        <v>45</v>
      </c>
      <c r="F841" s="9" t="s">
        <v>93</v>
      </c>
      <c r="G841" s="9" t="s">
        <v>65</v>
      </c>
      <c r="H841" s="9" t="s">
        <v>66</v>
      </c>
      <c r="I841" s="9">
        <v>11</v>
      </c>
      <c r="J841" s="9" t="s">
        <v>646</v>
      </c>
      <c r="K841" s="9" t="s">
        <v>646</v>
      </c>
      <c r="L841" s="9" t="s">
        <v>646</v>
      </c>
      <c r="M841" s="9" t="s">
        <v>647</v>
      </c>
      <c r="N841" s="9" t="s">
        <v>867</v>
      </c>
      <c r="O841" s="9" t="s">
        <v>97</v>
      </c>
      <c r="P841" s="9" t="s">
        <v>67</v>
      </c>
      <c r="Q841" s="9" t="s">
        <v>98</v>
      </c>
      <c r="R841" s="9" t="s">
        <v>646</v>
      </c>
      <c r="S841" s="9" t="s">
        <v>647</v>
      </c>
      <c r="T841" s="9" t="s">
        <v>825</v>
      </c>
      <c r="U841" s="9" t="s">
        <v>67</v>
      </c>
      <c r="V841" s="9" t="s">
        <v>130</v>
      </c>
      <c r="W841" s="9" t="s">
        <v>131</v>
      </c>
      <c r="X841" s="11">
        <v>40</v>
      </c>
      <c r="Y841" s="9" t="s">
        <v>170</v>
      </c>
      <c r="Z841" s="9" t="s">
        <v>68</v>
      </c>
      <c r="AA841" s="9" t="s">
        <v>171</v>
      </c>
      <c r="AB841" s="9" t="s">
        <v>67</v>
      </c>
      <c r="AC841" s="9" t="s">
        <v>172</v>
      </c>
      <c r="AD841" s="11">
        <v>10</v>
      </c>
      <c r="AE841" s="9" t="s">
        <v>70</v>
      </c>
      <c r="AF841" s="9" t="s">
        <v>71</v>
      </c>
      <c r="AG841" s="13">
        <v>1</v>
      </c>
      <c r="AH841" s="9" t="s">
        <v>92</v>
      </c>
      <c r="AI841" s="13">
        <v>1302400</v>
      </c>
      <c r="AJ841" s="13">
        <v>13024000</v>
      </c>
      <c r="AK841" s="11">
        <v>0</v>
      </c>
      <c r="AL841" s="11">
        <v>0</v>
      </c>
      <c r="AM841" s="11">
        <v>0</v>
      </c>
      <c r="AN841" s="9" t="s">
        <v>67</v>
      </c>
      <c r="AO841" s="11">
        <v>13024000</v>
      </c>
      <c r="AP841" s="13">
        <v>1041920</v>
      </c>
      <c r="AQ841" s="13">
        <v>14065920</v>
      </c>
      <c r="AR841" s="11">
        <v>160</v>
      </c>
      <c r="AS841" s="9" t="s">
        <v>72</v>
      </c>
      <c r="AT841" s="11">
        <v>160</v>
      </c>
      <c r="AU841" s="9" t="s">
        <v>73</v>
      </c>
      <c r="AV841" s="9" t="s">
        <v>67</v>
      </c>
      <c r="AW841" s="9" t="s">
        <v>1126</v>
      </c>
      <c r="AX841" s="10">
        <v>45992</v>
      </c>
      <c r="AY841" s="9" t="s">
        <v>1994</v>
      </c>
      <c r="AZ841" s="9" t="s">
        <v>67</v>
      </c>
      <c r="BA841" s="9" t="s">
        <v>67</v>
      </c>
      <c r="BB841" s="12">
        <v>160</v>
      </c>
      <c r="BC841" s="9" t="s">
        <v>74</v>
      </c>
      <c r="BD841" s="9" t="s">
        <v>104</v>
      </c>
      <c r="BE841" s="9" t="s">
        <v>75</v>
      </c>
      <c r="BF841" s="11">
        <v>0</v>
      </c>
      <c r="BG841">
        <f t="shared" si="28"/>
        <v>12</v>
      </c>
      <c r="BH841" t="str">
        <f>VLOOKUP(BG841,[1]month!$A:$B,2,0)</f>
        <v>Desember</v>
      </c>
      <c r="BI841">
        <f t="shared" si="29"/>
        <v>2025</v>
      </c>
      <c r="BJ841" t="str">
        <f>VLOOKUP(I841,[1]Dist!$A:$B,2,0)</f>
        <v>Industry</v>
      </c>
      <c r="BK841" t="str">
        <f>IF(I841=11,VLOOKUP(Y841,[2]Sheet1!$C:$N,10,0),IF(I841=13,VLOOKUP(Y841,[3]Sheet1!$C:$N,10,0),IF(I841=15,VLOOKUP(Y841,[4]Sheet1!$C:$N,10,0),"Unknown")))</f>
        <v>PU</v>
      </c>
      <c r="BL841" t="str">
        <f>IF(I841=11,VLOOKUP(Y841,[2]Sheet1!$C:$N,12,0),IF(I841=13,VLOOKUP(Y841,[3]Sheet1!$C:$N,12,0),IF(I841=15,VLOOKUP(Y841,[4]Sheet1!$C:$N,12,0),"Unknown")))</f>
        <v>UNION TOP COAT</v>
      </c>
      <c r="BM841" t="str">
        <f>VLOOKUP(W841,[1]branch!$A:$B,2,0)</f>
        <v>INDUSTRY</v>
      </c>
    </row>
    <row r="842" spans="1:65" x14ac:dyDescent="0.35">
      <c r="A842" s="10">
        <v>46002</v>
      </c>
      <c r="B842" s="9" t="s">
        <v>1993</v>
      </c>
      <c r="C842" s="9" t="s">
        <v>64</v>
      </c>
      <c r="D842" s="9" t="s">
        <v>92</v>
      </c>
      <c r="E842" s="11">
        <v>45</v>
      </c>
      <c r="F842" s="9" t="s">
        <v>93</v>
      </c>
      <c r="G842" s="9" t="s">
        <v>65</v>
      </c>
      <c r="H842" s="9" t="s">
        <v>66</v>
      </c>
      <c r="I842" s="9">
        <v>11</v>
      </c>
      <c r="J842" s="9" t="s">
        <v>646</v>
      </c>
      <c r="K842" s="9" t="s">
        <v>646</v>
      </c>
      <c r="L842" s="9" t="s">
        <v>646</v>
      </c>
      <c r="M842" s="9" t="s">
        <v>647</v>
      </c>
      <c r="N842" s="9" t="s">
        <v>867</v>
      </c>
      <c r="O842" s="9" t="s">
        <v>97</v>
      </c>
      <c r="P842" s="9" t="s">
        <v>67</v>
      </c>
      <c r="Q842" s="9" t="s">
        <v>98</v>
      </c>
      <c r="R842" s="9" t="s">
        <v>646</v>
      </c>
      <c r="S842" s="9" t="s">
        <v>647</v>
      </c>
      <c r="T842" s="9" t="s">
        <v>825</v>
      </c>
      <c r="U842" s="9" t="s">
        <v>67</v>
      </c>
      <c r="V842" s="9" t="s">
        <v>130</v>
      </c>
      <c r="W842" s="9" t="s">
        <v>131</v>
      </c>
      <c r="X842" s="11">
        <v>60</v>
      </c>
      <c r="Y842" s="9" t="s">
        <v>376</v>
      </c>
      <c r="Z842" s="9" t="s">
        <v>68</v>
      </c>
      <c r="AA842" s="9" t="s">
        <v>377</v>
      </c>
      <c r="AB842" s="9" t="s">
        <v>67</v>
      </c>
      <c r="AC842" s="9" t="s">
        <v>175</v>
      </c>
      <c r="AD842" s="11">
        <v>3</v>
      </c>
      <c r="AE842" s="9" t="s">
        <v>70</v>
      </c>
      <c r="AF842" s="9" t="s">
        <v>71</v>
      </c>
      <c r="AG842" s="13">
        <v>1</v>
      </c>
      <c r="AH842" s="9" t="s">
        <v>92</v>
      </c>
      <c r="AI842" s="13">
        <v>8320000</v>
      </c>
      <c r="AJ842" s="13">
        <v>24960000</v>
      </c>
      <c r="AK842" s="11">
        <v>0</v>
      </c>
      <c r="AL842" s="11">
        <v>0</v>
      </c>
      <c r="AM842" s="11">
        <v>0</v>
      </c>
      <c r="AN842" s="9" t="s">
        <v>67</v>
      </c>
      <c r="AO842" s="11">
        <v>24960000</v>
      </c>
      <c r="AP842" s="13">
        <v>1996800</v>
      </c>
      <c r="AQ842" s="13">
        <v>26956800</v>
      </c>
      <c r="AR842" s="11">
        <v>528</v>
      </c>
      <c r="AS842" s="9" t="s">
        <v>72</v>
      </c>
      <c r="AT842" s="11">
        <v>600</v>
      </c>
      <c r="AU842" s="9" t="s">
        <v>73</v>
      </c>
      <c r="AV842" s="9" t="s">
        <v>67</v>
      </c>
      <c r="AW842" s="9" t="s">
        <v>1126</v>
      </c>
      <c r="AX842" s="10">
        <v>45992</v>
      </c>
      <c r="AY842" s="9" t="s">
        <v>1994</v>
      </c>
      <c r="AZ842" s="9" t="s">
        <v>67</v>
      </c>
      <c r="BA842" s="9" t="s">
        <v>67</v>
      </c>
      <c r="BB842" s="12">
        <v>600</v>
      </c>
      <c r="BC842" s="9" t="s">
        <v>74</v>
      </c>
      <c r="BD842" s="9" t="s">
        <v>104</v>
      </c>
      <c r="BE842" s="9" t="s">
        <v>75</v>
      </c>
      <c r="BF842" s="11">
        <v>0</v>
      </c>
      <c r="BG842">
        <f t="shared" si="28"/>
        <v>12</v>
      </c>
      <c r="BH842" t="str">
        <f>VLOOKUP(BG842,[1]month!$A:$B,2,0)</f>
        <v>Desember</v>
      </c>
      <c r="BI842">
        <f t="shared" si="29"/>
        <v>2025</v>
      </c>
      <c r="BJ842" t="str">
        <f>VLOOKUP(I842,[1]Dist!$A:$B,2,0)</f>
        <v>Industry</v>
      </c>
      <c r="BK842" t="str">
        <f>IF(I842=11,VLOOKUP(Y842,[2]Sheet1!$C:$N,10,0),IF(I842=13,VLOOKUP(Y842,[3]Sheet1!$C:$N,10,0),IF(I842=15,VLOOKUP(Y842,[4]Sheet1!$C:$N,10,0),"Unknown")))</f>
        <v>THINNER PU</v>
      </c>
      <c r="BL842" t="str">
        <f>IF(I842=11,VLOOKUP(Y842,[2]Sheet1!$C:$N,12,0),IF(I842=13,VLOOKUP(Y842,[3]Sheet1!$C:$N,12,0),IF(I842=15,VLOOKUP(Y842,[4]Sheet1!$C:$N,12,0),"Unknown")))</f>
        <v>UNION THINNER</v>
      </c>
      <c r="BM842" t="str">
        <f>VLOOKUP(W842,[1]branch!$A:$B,2,0)</f>
        <v>INDUSTRY</v>
      </c>
    </row>
    <row r="843" spans="1:65" x14ac:dyDescent="0.35">
      <c r="A843" s="10">
        <v>46002</v>
      </c>
      <c r="B843" s="9" t="s">
        <v>1995</v>
      </c>
      <c r="C843" s="9" t="s">
        <v>64</v>
      </c>
      <c r="D843" s="9" t="s">
        <v>92</v>
      </c>
      <c r="E843" s="11">
        <v>0</v>
      </c>
      <c r="F843" s="9" t="s">
        <v>93</v>
      </c>
      <c r="G843" s="9" t="s">
        <v>65</v>
      </c>
      <c r="H843" s="9" t="s">
        <v>66</v>
      </c>
      <c r="I843" s="9">
        <v>11</v>
      </c>
      <c r="J843" s="9" t="s">
        <v>1996</v>
      </c>
      <c r="K843" s="9" t="s">
        <v>1996</v>
      </c>
      <c r="L843" s="9" t="s">
        <v>1996</v>
      </c>
      <c r="M843" s="9" t="s">
        <v>1997</v>
      </c>
      <c r="N843" s="9" t="s">
        <v>1945</v>
      </c>
      <c r="O843" s="9" t="s">
        <v>97</v>
      </c>
      <c r="P843" s="9" t="s">
        <v>67</v>
      </c>
      <c r="Q843" s="9" t="s">
        <v>98</v>
      </c>
      <c r="R843" s="9" t="s">
        <v>1998</v>
      </c>
      <c r="S843" s="9" t="s">
        <v>1997</v>
      </c>
      <c r="T843" s="9" t="s">
        <v>1999</v>
      </c>
      <c r="U843" s="9" t="s">
        <v>67</v>
      </c>
      <c r="V843" s="9" t="s">
        <v>1562</v>
      </c>
      <c r="W843" s="9" t="s">
        <v>1563</v>
      </c>
      <c r="X843" s="11">
        <v>170</v>
      </c>
      <c r="Y843" s="9" t="s">
        <v>89</v>
      </c>
      <c r="Z843" s="9" t="s">
        <v>68</v>
      </c>
      <c r="AA843" s="9" t="s">
        <v>90</v>
      </c>
      <c r="AB843" s="9" t="s">
        <v>67</v>
      </c>
      <c r="AC843" s="9" t="s">
        <v>91</v>
      </c>
      <c r="AD843" s="11">
        <v>1</v>
      </c>
      <c r="AE843" s="9" t="s">
        <v>70</v>
      </c>
      <c r="AF843" s="9" t="s">
        <v>71</v>
      </c>
      <c r="AG843" s="13">
        <v>1</v>
      </c>
      <c r="AH843" s="9" t="s">
        <v>92</v>
      </c>
      <c r="AI843" s="13">
        <v>1105200</v>
      </c>
      <c r="AJ843" s="13">
        <v>1105200</v>
      </c>
      <c r="AK843" s="11">
        <v>0</v>
      </c>
      <c r="AL843" s="11">
        <v>0</v>
      </c>
      <c r="AM843" s="11">
        <v>0</v>
      </c>
      <c r="AN843" s="9" t="s">
        <v>67</v>
      </c>
      <c r="AO843" s="11">
        <v>1105200</v>
      </c>
      <c r="AP843" s="13">
        <v>88416</v>
      </c>
      <c r="AQ843" s="13">
        <v>1193616</v>
      </c>
      <c r="AR843" s="11">
        <v>4</v>
      </c>
      <c r="AS843" s="9" t="s">
        <v>72</v>
      </c>
      <c r="AT843" s="12">
        <v>3.81</v>
      </c>
      <c r="AU843" s="9" t="s">
        <v>73</v>
      </c>
      <c r="AV843" s="9" t="s">
        <v>67</v>
      </c>
      <c r="AW843" s="9" t="s">
        <v>2000</v>
      </c>
      <c r="AX843" s="10">
        <v>46002</v>
      </c>
      <c r="AY843" s="9" t="s">
        <v>2001</v>
      </c>
      <c r="AZ843" s="9" t="s">
        <v>67</v>
      </c>
      <c r="BA843" s="9" t="s">
        <v>67</v>
      </c>
      <c r="BB843" s="12">
        <v>4</v>
      </c>
      <c r="BC843" s="9" t="s">
        <v>74</v>
      </c>
      <c r="BD843" s="9" t="s">
        <v>104</v>
      </c>
      <c r="BE843" s="9" t="s">
        <v>75</v>
      </c>
      <c r="BF843" s="11">
        <v>0</v>
      </c>
      <c r="BG843">
        <f t="shared" si="28"/>
        <v>12</v>
      </c>
      <c r="BH843" t="str">
        <f>VLOOKUP(BG843,[1]month!$A:$B,2,0)</f>
        <v>Desember</v>
      </c>
      <c r="BI843">
        <f t="shared" si="29"/>
        <v>2025</v>
      </c>
      <c r="BJ843" t="str">
        <f>VLOOKUP(I843,[1]Dist!$A:$B,2,0)</f>
        <v>Industry</v>
      </c>
      <c r="BK843" t="str">
        <f>IF(I843=11,VLOOKUP(Y843,[2]Sheet1!$C:$N,10,0),IF(I843=13,VLOOKUP(Y843,[3]Sheet1!$C:$N,10,0),IF(I843=15,VLOOKUP(Y843,[4]Sheet1!$C:$N,10,0),"Unknown")))</f>
        <v>COMPLEMENTARY</v>
      </c>
      <c r="BL843" t="str">
        <f>IF(I843=11,VLOOKUP(Y843,[2]Sheet1!$C:$N,12,0),IF(I843=13,VLOOKUP(Y843,[3]Sheet1!$C:$N,12,0),IF(I843=15,VLOOKUP(Y843,[4]Sheet1!$C:$N,12,0),"Unknown")))</f>
        <v>PASTA</v>
      </c>
      <c r="BM843" t="str">
        <f>VLOOKUP(W843,[1]branch!$A:$B,2,0)</f>
        <v>INDUSTRY</v>
      </c>
    </row>
    <row r="844" spans="1:65" x14ac:dyDescent="0.35">
      <c r="A844" s="10">
        <v>46002</v>
      </c>
      <c r="B844" s="9" t="s">
        <v>1995</v>
      </c>
      <c r="C844" s="9" t="s">
        <v>64</v>
      </c>
      <c r="D844" s="9" t="s">
        <v>92</v>
      </c>
      <c r="E844" s="11">
        <v>0</v>
      </c>
      <c r="F844" s="9" t="s">
        <v>93</v>
      </c>
      <c r="G844" s="9" t="s">
        <v>65</v>
      </c>
      <c r="H844" s="9" t="s">
        <v>66</v>
      </c>
      <c r="I844" s="9">
        <v>11</v>
      </c>
      <c r="J844" s="9" t="s">
        <v>1996</v>
      </c>
      <c r="K844" s="9" t="s">
        <v>1996</v>
      </c>
      <c r="L844" s="9" t="s">
        <v>1996</v>
      </c>
      <c r="M844" s="9" t="s">
        <v>1997</v>
      </c>
      <c r="N844" s="9" t="s">
        <v>1945</v>
      </c>
      <c r="O844" s="9" t="s">
        <v>97</v>
      </c>
      <c r="P844" s="9" t="s">
        <v>67</v>
      </c>
      <c r="Q844" s="9" t="s">
        <v>98</v>
      </c>
      <c r="R844" s="9" t="s">
        <v>1998</v>
      </c>
      <c r="S844" s="9" t="s">
        <v>1997</v>
      </c>
      <c r="T844" s="9" t="s">
        <v>1999</v>
      </c>
      <c r="U844" s="9" t="s">
        <v>67</v>
      </c>
      <c r="V844" s="9" t="s">
        <v>1562</v>
      </c>
      <c r="W844" s="9" t="s">
        <v>1563</v>
      </c>
      <c r="X844" s="11">
        <v>450</v>
      </c>
      <c r="Y844" s="9" t="s">
        <v>196</v>
      </c>
      <c r="Z844" s="9" t="s">
        <v>68</v>
      </c>
      <c r="AA844" s="9" t="s">
        <v>197</v>
      </c>
      <c r="AB844" s="9" t="s">
        <v>67</v>
      </c>
      <c r="AC844" s="9" t="s">
        <v>103</v>
      </c>
      <c r="AD844" s="11">
        <v>4</v>
      </c>
      <c r="AE844" s="9" t="s">
        <v>70</v>
      </c>
      <c r="AF844" s="9" t="s">
        <v>71</v>
      </c>
      <c r="AG844" s="13">
        <v>1</v>
      </c>
      <c r="AH844" s="9" t="s">
        <v>92</v>
      </c>
      <c r="AI844" s="13">
        <v>1664000</v>
      </c>
      <c r="AJ844" s="13">
        <v>6656000</v>
      </c>
      <c r="AK844" s="11">
        <v>0</v>
      </c>
      <c r="AL844" s="11">
        <v>0</v>
      </c>
      <c r="AM844" s="11">
        <v>0</v>
      </c>
      <c r="AN844" s="9" t="s">
        <v>67</v>
      </c>
      <c r="AO844" s="11">
        <v>6656000</v>
      </c>
      <c r="AP844" s="13">
        <v>532480</v>
      </c>
      <c r="AQ844" s="13">
        <v>7188480</v>
      </c>
      <c r="AR844" s="11">
        <v>80</v>
      </c>
      <c r="AS844" s="9" t="s">
        <v>72</v>
      </c>
      <c r="AT844" s="12">
        <v>79.2</v>
      </c>
      <c r="AU844" s="9" t="s">
        <v>73</v>
      </c>
      <c r="AV844" s="9" t="s">
        <v>67</v>
      </c>
      <c r="AW844" s="9" t="s">
        <v>2000</v>
      </c>
      <c r="AX844" s="10">
        <v>46002</v>
      </c>
      <c r="AY844" s="9" t="s">
        <v>2001</v>
      </c>
      <c r="AZ844" s="9" t="s">
        <v>67</v>
      </c>
      <c r="BA844" s="9" t="s">
        <v>67</v>
      </c>
      <c r="BB844" s="12">
        <v>80</v>
      </c>
      <c r="BC844" s="9" t="s">
        <v>74</v>
      </c>
      <c r="BD844" s="9" t="s">
        <v>104</v>
      </c>
      <c r="BE844" s="9" t="s">
        <v>75</v>
      </c>
      <c r="BF844" s="11">
        <v>0</v>
      </c>
      <c r="BG844">
        <f t="shared" si="28"/>
        <v>12</v>
      </c>
      <c r="BH844" t="str">
        <f>VLOOKUP(BG844,[1]month!$A:$B,2,0)</f>
        <v>Desember</v>
      </c>
      <c r="BI844">
        <f t="shared" si="29"/>
        <v>2025</v>
      </c>
      <c r="BJ844" t="str">
        <f>VLOOKUP(I844,[1]Dist!$A:$B,2,0)</f>
        <v>Industry</v>
      </c>
      <c r="BK844" t="str">
        <f>IF(I844=11,VLOOKUP(Y844,[2]Sheet1!$C:$N,10,0),IF(I844=13,VLOOKUP(Y844,[3]Sheet1!$C:$N,10,0),IF(I844=15,VLOOKUP(Y844,[4]Sheet1!$C:$N,10,0),"Unknown")))</f>
        <v>PU</v>
      </c>
      <c r="BL844" t="str">
        <f>IF(I844=11,VLOOKUP(Y844,[2]Sheet1!$C:$N,12,0),IF(I844=13,VLOOKUP(Y844,[3]Sheet1!$C:$N,12,0),IF(I844=15,VLOOKUP(Y844,[4]Sheet1!$C:$N,12,0),"Unknown")))</f>
        <v>PU SANDING SEALER</v>
      </c>
      <c r="BM844" t="str">
        <f>VLOOKUP(W844,[1]branch!$A:$B,2,0)</f>
        <v>INDUSTRY</v>
      </c>
    </row>
    <row r="845" spans="1:65" x14ac:dyDescent="0.35">
      <c r="A845" s="10">
        <v>46002</v>
      </c>
      <c r="B845" s="9" t="s">
        <v>1995</v>
      </c>
      <c r="C845" s="9" t="s">
        <v>64</v>
      </c>
      <c r="D845" s="9" t="s">
        <v>92</v>
      </c>
      <c r="E845" s="11">
        <v>0</v>
      </c>
      <c r="F845" s="9" t="s">
        <v>93</v>
      </c>
      <c r="G845" s="9" t="s">
        <v>65</v>
      </c>
      <c r="H845" s="9" t="s">
        <v>66</v>
      </c>
      <c r="I845" s="9">
        <v>11</v>
      </c>
      <c r="J845" s="9" t="s">
        <v>1996</v>
      </c>
      <c r="K845" s="9" t="s">
        <v>1996</v>
      </c>
      <c r="L845" s="9" t="s">
        <v>1996</v>
      </c>
      <c r="M845" s="9" t="s">
        <v>1997</v>
      </c>
      <c r="N845" s="9" t="s">
        <v>1945</v>
      </c>
      <c r="O845" s="9" t="s">
        <v>97</v>
      </c>
      <c r="P845" s="9" t="s">
        <v>67</v>
      </c>
      <c r="Q845" s="9" t="s">
        <v>98</v>
      </c>
      <c r="R845" s="9" t="s">
        <v>1998</v>
      </c>
      <c r="S845" s="9" t="s">
        <v>1997</v>
      </c>
      <c r="T845" s="9" t="s">
        <v>1999</v>
      </c>
      <c r="U845" s="9" t="s">
        <v>67</v>
      </c>
      <c r="V845" s="9" t="s">
        <v>1562</v>
      </c>
      <c r="W845" s="9" t="s">
        <v>1563</v>
      </c>
      <c r="X845" s="11">
        <v>460</v>
      </c>
      <c r="Y845" s="9" t="s">
        <v>105</v>
      </c>
      <c r="Z845" s="9" t="s">
        <v>68</v>
      </c>
      <c r="AA845" s="9" t="s">
        <v>106</v>
      </c>
      <c r="AB845" s="9" t="s">
        <v>67</v>
      </c>
      <c r="AC845" s="9" t="s">
        <v>107</v>
      </c>
      <c r="AD845" s="11">
        <v>4</v>
      </c>
      <c r="AE845" s="9" t="s">
        <v>70</v>
      </c>
      <c r="AF845" s="9" t="s">
        <v>71</v>
      </c>
      <c r="AG845" s="13">
        <v>1</v>
      </c>
      <c r="AH845" s="9" t="s">
        <v>92</v>
      </c>
      <c r="AI845" s="13">
        <v>1476000</v>
      </c>
      <c r="AJ845" s="13">
        <v>5904000</v>
      </c>
      <c r="AK845" s="11">
        <v>0</v>
      </c>
      <c r="AL845" s="11">
        <v>0</v>
      </c>
      <c r="AM845" s="11">
        <v>0</v>
      </c>
      <c r="AN845" s="9" t="s">
        <v>67</v>
      </c>
      <c r="AO845" s="11">
        <v>5904000</v>
      </c>
      <c r="AP845" s="13">
        <v>472320</v>
      </c>
      <c r="AQ845" s="13">
        <v>6376320</v>
      </c>
      <c r="AR845" s="11">
        <v>80</v>
      </c>
      <c r="AS845" s="9" t="s">
        <v>72</v>
      </c>
      <c r="AT845" s="12">
        <v>85.12</v>
      </c>
      <c r="AU845" s="9" t="s">
        <v>73</v>
      </c>
      <c r="AV845" s="9" t="s">
        <v>67</v>
      </c>
      <c r="AW845" s="9" t="s">
        <v>2000</v>
      </c>
      <c r="AX845" s="10">
        <v>46002</v>
      </c>
      <c r="AY845" s="9" t="s">
        <v>2001</v>
      </c>
      <c r="AZ845" s="9" t="s">
        <v>67</v>
      </c>
      <c r="BA845" s="9" t="s">
        <v>67</v>
      </c>
      <c r="BB845" s="12">
        <v>80</v>
      </c>
      <c r="BC845" s="9" t="s">
        <v>74</v>
      </c>
      <c r="BD845" s="9" t="s">
        <v>104</v>
      </c>
      <c r="BE845" s="9" t="s">
        <v>75</v>
      </c>
      <c r="BF845" s="11">
        <v>0</v>
      </c>
      <c r="BG845">
        <f t="shared" si="28"/>
        <v>12</v>
      </c>
      <c r="BH845" t="str">
        <f>VLOOKUP(BG845,[1]month!$A:$B,2,0)</f>
        <v>Desember</v>
      </c>
      <c r="BI845">
        <f t="shared" si="29"/>
        <v>2025</v>
      </c>
      <c r="BJ845" t="str">
        <f>VLOOKUP(I845,[1]Dist!$A:$B,2,0)</f>
        <v>Industry</v>
      </c>
      <c r="BK845" t="str">
        <f>IF(I845=11,VLOOKUP(Y845,[2]Sheet1!$C:$N,10,0),IF(I845=13,VLOOKUP(Y845,[3]Sheet1!$C:$N,10,0),IF(I845=15,VLOOKUP(Y845,[4]Sheet1!$C:$N,10,0),"Unknown")))</f>
        <v>PU</v>
      </c>
      <c r="BL845" t="str">
        <f>IF(I845=11,VLOOKUP(Y845,[2]Sheet1!$C:$N,12,0),IF(I845=13,VLOOKUP(Y845,[3]Sheet1!$C:$N,12,0),IF(I845=15,VLOOKUP(Y845,[4]Sheet1!$C:$N,12,0),"Unknown")))</f>
        <v>PU HARDENER</v>
      </c>
      <c r="BM845" t="str">
        <f>VLOOKUP(W845,[1]branch!$A:$B,2,0)</f>
        <v>INDUSTRY</v>
      </c>
    </row>
    <row r="846" spans="1:65" x14ac:dyDescent="0.35">
      <c r="A846" s="10">
        <v>46002</v>
      </c>
      <c r="B846" s="9" t="s">
        <v>1995</v>
      </c>
      <c r="C846" s="9" t="s">
        <v>64</v>
      </c>
      <c r="D846" s="9" t="s">
        <v>92</v>
      </c>
      <c r="E846" s="11">
        <v>0</v>
      </c>
      <c r="F846" s="9" t="s">
        <v>93</v>
      </c>
      <c r="G846" s="9" t="s">
        <v>65</v>
      </c>
      <c r="H846" s="9" t="s">
        <v>66</v>
      </c>
      <c r="I846" s="9">
        <v>11</v>
      </c>
      <c r="J846" s="9" t="s">
        <v>1996</v>
      </c>
      <c r="K846" s="9" t="s">
        <v>1996</v>
      </c>
      <c r="L846" s="9" t="s">
        <v>1996</v>
      </c>
      <c r="M846" s="9" t="s">
        <v>1997</v>
      </c>
      <c r="N846" s="9" t="s">
        <v>1945</v>
      </c>
      <c r="O846" s="9" t="s">
        <v>97</v>
      </c>
      <c r="P846" s="9" t="s">
        <v>67</v>
      </c>
      <c r="Q846" s="9" t="s">
        <v>98</v>
      </c>
      <c r="R846" s="9" t="s">
        <v>1998</v>
      </c>
      <c r="S846" s="9" t="s">
        <v>1997</v>
      </c>
      <c r="T846" s="9" t="s">
        <v>1999</v>
      </c>
      <c r="U846" s="9" t="s">
        <v>67</v>
      </c>
      <c r="V846" s="9" t="s">
        <v>1562</v>
      </c>
      <c r="W846" s="9" t="s">
        <v>1563</v>
      </c>
      <c r="X846" s="11">
        <v>470</v>
      </c>
      <c r="Y846" s="9" t="s">
        <v>218</v>
      </c>
      <c r="Z846" s="9" t="s">
        <v>68</v>
      </c>
      <c r="AA846" s="9" t="s">
        <v>219</v>
      </c>
      <c r="AB846" s="9" t="s">
        <v>67</v>
      </c>
      <c r="AC846" s="9" t="s">
        <v>220</v>
      </c>
      <c r="AD846" s="11">
        <v>2</v>
      </c>
      <c r="AE846" s="9" t="s">
        <v>70</v>
      </c>
      <c r="AF846" s="9" t="s">
        <v>71</v>
      </c>
      <c r="AG846" s="13">
        <v>1</v>
      </c>
      <c r="AH846" s="9" t="s">
        <v>92</v>
      </c>
      <c r="AI846" s="13">
        <v>1968000</v>
      </c>
      <c r="AJ846" s="13">
        <v>3936000</v>
      </c>
      <c r="AK846" s="11">
        <v>0</v>
      </c>
      <c r="AL846" s="11">
        <v>0</v>
      </c>
      <c r="AM846" s="11">
        <v>0</v>
      </c>
      <c r="AN846" s="9" t="s">
        <v>67</v>
      </c>
      <c r="AO846" s="11">
        <v>3936000</v>
      </c>
      <c r="AP846" s="13">
        <v>314880</v>
      </c>
      <c r="AQ846" s="13">
        <v>4250880</v>
      </c>
      <c r="AR846" s="11">
        <v>40</v>
      </c>
      <c r="AS846" s="9" t="s">
        <v>72</v>
      </c>
      <c r="AT846" s="12">
        <v>30.54</v>
      </c>
      <c r="AU846" s="9" t="s">
        <v>73</v>
      </c>
      <c r="AV846" s="9" t="s">
        <v>67</v>
      </c>
      <c r="AW846" s="9" t="s">
        <v>2000</v>
      </c>
      <c r="AX846" s="10">
        <v>46002</v>
      </c>
      <c r="AY846" s="9" t="s">
        <v>2001</v>
      </c>
      <c r="AZ846" s="9" t="s">
        <v>67</v>
      </c>
      <c r="BA846" s="9" t="s">
        <v>67</v>
      </c>
      <c r="BB846" s="12">
        <v>40</v>
      </c>
      <c r="BC846" s="9" t="s">
        <v>74</v>
      </c>
      <c r="BD846" s="9" t="s">
        <v>104</v>
      </c>
      <c r="BE846" s="9" t="s">
        <v>75</v>
      </c>
      <c r="BF846" s="11">
        <v>0</v>
      </c>
      <c r="BG846">
        <f t="shared" si="28"/>
        <v>12</v>
      </c>
      <c r="BH846" t="str">
        <f>VLOOKUP(BG846,[1]month!$A:$B,2,0)</f>
        <v>Desember</v>
      </c>
      <c r="BI846">
        <f t="shared" si="29"/>
        <v>2025</v>
      </c>
      <c r="BJ846" t="str">
        <f>VLOOKUP(I846,[1]Dist!$A:$B,2,0)</f>
        <v>Industry</v>
      </c>
      <c r="BK846" t="str">
        <f>IF(I846=11,VLOOKUP(Y846,[2]Sheet1!$C:$N,10,0),IF(I846=13,VLOOKUP(Y846,[3]Sheet1!$C:$N,10,0),IF(I846=15,VLOOKUP(Y846,[4]Sheet1!$C:$N,10,0),"Unknown")))</f>
        <v>PU</v>
      </c>
      <c r="BL846" t="str">
        <f>IF(I846=11,VLOOKUP(Y846,[2]Sheet1!$C:$N,12,0),IF(I846=13,VLOOKUP(Y846,[3]Sheet1!$C:$N,12,0),IF(I846=15,VLOOKUP(Y846,[4]Sheet1!$C:$N,12,0),"Unknown")))</f>
        <v>PU PRIMER</v>
      </c>
      <c r="BM846" t="str">
        <f>VLOOKUP(W846,[1]branch!$A:$B,2,0)</f>
        <v>INDUSTRY</v>
      </c>
    </row>
    <row r="847" spans="1:65" x14ac:dyDescent="0.35">
      <c r="A847" s="10">
        <v>46002</v>
      </c>
      <c r="B847" s="9" t="s">
        <v>1995</v>
      </c>
      <c r="C847" s="9" t="s">
        <v>64</v>
      </c>
      <c r="D847" s="9" t="s">
        <v>92</v>
      </c>
      <c r="E847" s="11">
        <v>0</v>
      </c>
      <c r="F847" s="9" t="s">
        <v>93</v>
      </c>
      <c r="G847" s="9" t="s">
        <v>65</v>
      </c>
      <c r="H847" s="9" t="s">
        <v>66</v>
      </c>
      <c r="I847" s="9">
        <v>11</v>
      </c>
      <c r="J847" s="9" t="s">
        <v>1996</v>
      </c>
      <c r="K847" s="9" t="s">
        <v>1996</v>
      </c>
      <c r="L847" s="9" t="s">
        <v>1996</v>
      </c>
      <c r="M847" s="9" t="s">
        <v>1997</v>
      </c>
      <c r="N847" s="9" t="s">
        <v>1945</v>
      </c>
      <c r="O847" s="9" t="s">
        <v>97</v>
      </c>
      <c r="P847" s="9" t="s">
        <v>67</v>
      </c>
      <c r="Q847" s="9" t="s">
        <v>98</v>
      </c>
      <c r="R847" s="9" t="s">
        <v>1998</v>
      </c>
      <c r="S847" s="9" t="s">
        <v>1997</v>
      </c>
      <c r="T847" s="9" t="s">
        <v>1999</v>
      </c>
      <c r="U847" s="9" t="s">
        <v>67</v>
      </c>
      <c r="V847" s="9" t="s">
        <v>1562</v>
      </c>
      <c r="W847" s="9" t="s">
        <v>1563</v>
      </c>
      <c r="X847" s="11">
        <v>490</v>
      </c>
      <c r="Y847" s="9" t="s">
        <v>1365</v>
      </c>
      <c r="Z847" s="9" t="s">
        <v>68</v>
      </c>
      <c r="AA847" s="9" t="s">
        <v>1366</v>
      </c>
      <c r="AB847" s="9" t="s">
        <v>67</v>
      </c>
      <c r="AC847" s="9" t="s">
        <v>1367</v>
      </c>
      <c r="AD847" s="11">
        <v>1</v>
      </c>
      <c r="AE847" s="9" t="s">
        <v>70</v>
      </c>
      <c r="AF847" s="9" t="s">
        <v>71</v>
      </c>
      <c r="AG847" s="13">
        <v>1</v>
      </c>
      <c r="AH847" s="9" t="s">
        <v>92</v>
      </c>
      <c r="AI847" s="13">
        <v>2464000</v>
      </c>
      <c r="AJ847" s="13">
        <v>2464000</v>
      </c>
      <c r="AK847" s="11">
        <v>0</v>
      </c>
      <c r="AL847" s="11">
        <v>0</v>
      </c>
      <c r="AM847" s="11">
        <v>0</v>
      </c>
      <c r="AN847" s="9" t="s">
        <v>67</v>
      </c>
      <c r="AO847" s="11">
        <v>2464000</v>
      </c>
      <c r="AP847" s="13">
        <v>197120</v>
      </c>
      <c r="AQ847" s="13">
        <v>2661120</v>
      </c>
      <c r="AR847" s="11">
        <v>20</v>
      </c>
      <c r="AS847" s="9" t="s">
        <v>72</v>
      </c>
      <c r="AT847" s="12">
        <v>16.53</v>
      </c>
      <c r="AU847" s="9" t="s">
        <v>73</v>
      </c>
      <c r="AV847" s="9" t="s">
        <v>67</v>
      </c>
      <c r="AW847" s="9" t="s">
        <v>2000</v>
      </c>
      <c r="AX847" s="10">
        <v>46002</v>
      </c>
      <c r="AY847" s="9" t="s">
        <v>2001</v>
      </c>
      <c r="AZ847" s="9" t="s">
        <v>67</v>
      </c>
      <c r="BA847" s="9" t="s">
        <v>67</v>
      </c>
      <c r="BB847" s="12">
        <v>20</v>
      </c>
      <c r="BC847" s="9" t="s">
        <v>74</v>
      </c>
      <c r="BD847" s="9" t="s">
        <v>104</v>
      </c>
      <c r="BE847" s="9" t="s">
        <v>75</v>
      </c>
      <c r="BF847" s="11">
        <v>0</v>
      </c>
      <c r="BG847">
        <f t="shared" si="28"/>
        <v>12</v>
      </c>
      <c r="BH847" t="str">
        <f>VLOOKUP(BG847,[1]month!$A:$B,2,0)</f>
        <v>Desember</v>
      </c>
      <c r="BI847">
        <f t="shared" si="29"/>
        <v>2025</v>
      </c>
      <c r="BJ847" t="str">
        <f>VLOOKUP(I847,[1]Dist!$A:$B,2,0)</f>
        <v>Industry</v>
      </c>
      <c r="BK847" t="str">
        <f>IF(I847=11,VLOOKUP(Y847,[2]Sheet1!$C:$N,10,0),IF(I847=13,VLOOKUP(Y847,[3]Sheet1!$C:$N,10,0),IF(I847=15,VLOOKUP(Y847,[4]Sheet1!$C:$N,10,0),"Unknown")))</f>
        <v>PU</v>
      </c>
      <c r="BL847" t="str">
        <f>IF(I847=11,VLOOKUP(Y847,[2]Sheet1!$C:$N,12,0),IF(I847=13,VLOOKUP(Y847,[3]Sheet1!$C:$N,12,0),IF(I847=15,VLOOKUP(Y847,[4]Sheet1!$C:$N,12,0),"Unknown")))</f>
        <v>PU COLOR</v>
      </c>
      <c r="BM847" t="str">
        <f>VLOOKUP(W847,[1]branch!$A:$B,2,0)</f>
        <v>INDUSTRY</v>
      </c>
    </row>
    <row r="848" spans="1:65" x14ac:dyDescent="0.35">
      <c r="A848" s="10">
        <v>46002</v>
      </c>
      <c r="B848" s="9" t="s">
        <v>1995</v>
      </c>
      <c r="C848" s="9" t="s">
        <v>64</v>
      </c>
      <c r="D848" s="9" t="s">
        <v>92</v>
      </c>
      <c r="E848" s="11">
        <v>0</v>
      </c>
      <c r="F848" s="9" t="s">
        <v>93</v>
      </c>
      <c r="G848" s="9" t="s">
        <v>65</v>
      </c>
      <c r="H848" s="9" t="s">
        <v>66</v>
      </c>
      <c r="I848" s="9">
        <v>11</v>
      </c>
      <c r="J848" s="9" t="s">
        <v>1996</v>
      </c>
      <c r="K848" s="9" t="s">
        <v>1996</v>
      </c>
      <c r="L848" s="9" t="s">
        <v>1996</v>
      </c>
      <c r="M848" s="9" t="s">
        <v>1997</v>
      </c>
      <c r="N848" s="9" t="s">
        <v>1945</v>
      </c>
      <c r="O848" s="9" t="s">
        <v>97</v>
      </c>
      <c r="P848" s="9" t="s">
        <v>67</v>
      </c>
      <c r="Q848" s="9" t="s">
        <v>98</v>
      </c>
      <c r="R848" s="9" t="s">
        <v>1998</v>
      </c>
      <c r="S848" s="9" t="s">
        <v>1997</v>
      </c>
      <c r="T848" s="9" t="s">
        <v>1999</v>
      </c>
      <c r="U848" s="9" t="s">
        <v>67</v>
      </c>
      <c r="V848" s="9" t="s">
        <v>1562</v>
      </c>
      <c r="W848" s="9" t="s">
        <v>1563</v>
      </c>
      <c r="X848" s="11">
        <v>500</v>
      </c>
      <c r="Y848" s="9" t="s">
        <v>2002</v>
      </c>
      <c r="Z848" s="9" t="s">
        <v>68</v>
      </c>
      <c r="AA848" s="9" t="s">
        <v>2003</v>
      </c>
      <c r="AB848" s="9" t="s">
        <v>67</v>
      </c>
      <c r="AC848" s="9" t="s">
        <v>91</v>
      </c>
      <c r="AD848" s="11">
        <v>1</v>
      </c>
      <c r="AE848" s="9" t="s">
        <v>70</v>
      </c>
      <c r="AF848" s="9" t="s">
        <v>71</v>
      </c>
      <c r="AG848" s="13">
        <v>1</v>
      </c>
      <c r="AH848" s="9" t="s">
        <v>92</v>
      </c>
      <c r="AI848" s="13">
        <v>1846000</v>
      </c>
      <c r="AJ848" s="13">
        <v>1846000</v>
      </c>
      <c r="AK848" s="11">
        <v>0</v>
      </c>
      <c r="AL848" s="11">
        <v>0</v>
      </c>
      <c r="AM848" s="11">
        <v>0</v>
      </c>
      <c r="AN848" s="9" t="s">
        <v>67</v>
      </c>
      <c r="AO848" s="11">
        <v>1846000</v>
      </c>
      <c r="AP848" s="13">
        <v>147680</v>
      </c>
      <c r="AQ848" s="13">
        <v>1993680</v>
      </c>
      <c r="AR848" s="11">
        <v>4</v>
      </c>
      <c r="AS848" s="9" t="s">
        <v>72</v>
      </c>
      <c r="AT848" s="12">
        <v>3.92</v>
      </c>
      <c r="AU848" s="9" t="s">
        <v>73</v>
      </c>
      <c r="AV848" s="9" t="s">
        <v>67</v>
      </c>
      <c r="AW848" s="9" t="s">
        <v>2000</v>
      </c>
      <c r="AX848" s="10">
        <v>46002</v>
      </c>
      <c r="AY848" s="9" t="s">
        <v>2001</v>
      </c>
      <c r="AZ848" s="9" t="s">
        <v>67</v>
      </c>
      <c r="BA848" s="9" t="s">
        <v>67</v>
      </c>
      <c r="BB848" s="12">
        <v>4</v>
      </c>
      <c r="BC848" s="9" t="s">
        <v>74</v>
      </c>
      <c r="BD848" s="9" t="s">
        <v>104</v>
      </c>
      <c r="BE848" s="9" t="s">
        <v>75</v>
      </c>
      <c r="BF848" s="11">
        <v>0</v>
      </c>
      <c r="BG848">
        <f t="shared" si="28"/>
        <v>12</v>
      </c>
      <c r="BH848" t="str">
        <f>VLOOKUP(BG848,[1]month!$A:$B,2,0)</f>
        <v>Desember</v>
      </c>
      <c r="BI848">
        <f t="shared" si="29"/>
        <v>2025</v>
      </c>
      <c r="BJ848" t="str">
        <f>VLOOKUP(I848,[1]Dist!$A:$B,2,0)</f>
        <v>Industry</v>
      </c>
      <c r="BK848" t="str">
        <f>IF(I848=11,VLOOKUP(Y848,[2]Sheet1!$C:$N,10,0),IF(I848=13,VLOOKUP(Y848,[3]Sheet1!$C:$N,10,0),IF(I848=15,VLOOKUP(Y848,[4]Sheet1!$C:$N,10,0),"Unknown")))</f>
        <v>COMPLEMENTARY</v>
      </c>
      <c r="BL848" t="str">
        <f>IF(I848=11,VLOOKUP(Y848,[2]Sheet1!$C:$N,12,0),IF(I848=13,VLOOKUP(Y848,[3]Sheet1!$C:$N,12,0),IF(I848=15,VLOOKUP(Y848,[4]Sheet1!$C:$N,12,0),"Unknown")))</f>
        <v>PASTA</v>
      </c>
      <c r="BM848" t="str">
        <f>VLOOKUP(W848,[1]branch!$A:$B,2,0)</f>
        <v>INDUSTRY</v>
      </c>
    </row>
    <row r="849" spans="1:65" x14ac:dyDescent="0.35">
      <c r="A849" s="10">
        <v>46002</v>
      </c>
      <c r="B849" s="9" t="s">
        <v>1995</v>
      </c>
      <c r="C849" s="9" t="s">
        <v>64</v>
      </c>
      <c r="D849" s="9" t="s">
        <v>92</v>
      </c>
      <c r="E849" s="11">
        <v>0</v>
      </c>
      <c r="F849" s="9" t="s">
        <v>93</v>
      </c>
      <c r="G849" s="9" t="s">
        <v>65</v>
      </c>
      <c r="H849" s="9" t="s">
        <v>66</v>
      </c>
      <c r="I849" s="9">
        <v>11</v>
      </c>
      <c r="J849" s="9" t="s">
        <v>1996</v>
      </c>
      <c r="K849" s="9" t="s">
        <v>1996</v>
      </c>
      <c r="L849" s="9" t="s">
        <v>1996</v>
      </c>
      <c r="M849" s="9" t="s">
        <v>1997</v>
      </c>
      <c r="N849" s="9" t="s">
        <v>1945</v>
      </c>
      <c r="O849" s="9" t="s">
        <v>97</v>
      </c>
      <c r="P849" s="9" t="s">
        <v>67</v>
      </c>
      <c r="Q849" s="9" t="s">
        <v>98</v>
      </c>
      <c r="R849" s="9" t="s">
        <v>1998</v>
      </c>
      <c r="S849" s="9" t="s">
        <v>1997</v>
      </c>
      <c r="T849" s="9" t="s">
        <v>1999</v>
      </c>
      <c r="U849" s="9" t="s">
        <v>67</v>
      </c>
      <c r="V849" s="9" t="s">
        <v>1562</v>
      </c>
      <c r="W849" s="9" t="s">
        <v>1563</v>
      </c>
      <c r="X849" s="11">
        <v>510</v>
      </c>
      <c r="Y849" s="9" t="s">
        <v>2004</v>
      </c>
      <c r="Z849" s="9" t="s">
        <v>68</v>
      </c>
      <c r="AA849" s="9" t="s">
        <v>2005</v>
      </c>
      <c r="AB849" s="9" t="s">
        <v>67</v>
      </c>
      <c r="AC849" s="9" t="s">
        <v>91</v>
      </c>
      <c r="AD849" s="11">
        <v>1</v>
      </c>
      <c r="AE849" s="9" t="s">
        <v>70</v>
      </c>
      <c r="AF849" s="9" t="s">
        <v>71</v>
      </c>
      <c r="AG849" s="13">
        <v>1</v>
      </c>
      <c r="AH849" s="9" t="s">
        <v>92</v>
      </c>
      <c r="AI849" s="13">
        <v>1034800</v>
      </c>
      <c r="AJ849" s="13">
        <v>1034800</v>
      </c>
      <c r="AK849" s="11">
        <v>0</v>
      </c>
      <c r="AL849" s="11">
        <v>0</v>
      </c>
      <c r="AM849" s="11">
        <v>0</v>
      </c>
      <c r="AN849" s="9" t="s">
        <v>67</v>
      </c>
      <c r="AO849" s="11">
        <v>1034800</v>
      </c>
      <c r="AP849" s="13">
        <v>82784</v>
      </c>
      <c r="AQ849" s="13">
        <v>1117584</v>
      </c>
      <c r="AR849" s="11">
        <v>4</v>
      </c>
      <c r="AS849" s="9" t="s">
        <v>72</v>
      </c>
      <c r="AT849" s="12">
        <v>3.96</v>
      </c>
      <c r="AU849" s="9" t="s">
        <v>73</v>
      </c>
      <c r="AV849" s="9" t="s">
        <v>67</v>
      </c>
      <c r="AW849" s="9" t="s">
        <v>2000</v>
      </c>
      <c r="AX849" s="10">
        <v>46002</v>
      </c>
      <c r="AY849" s="9" t="s">
        <v>2001</v>
      </c>
      <c r="AZ849" s="9" t="s">
        <v>67</v>
      </c>
      <c r="BA849" s="9" t="s">
        <v>67</v>
      </c>
      <c r="BB849" s="12">
        <v>4</v>
      </c>
      <c r="BC849" s="9" t="s">
        <v>74</v>
      </c>
      <c r="BD849" s="9" t="s">
        <v>104</v>
      </c>
      <c r="BE849" s="9" t="s">
        <v>75</v>
      </c>
      <c r="BF849" s="11">
        <v>0</v>
      </c>
      <c r="BG849">
        <f t="shared" si="28"/>
        <v>12</v>
      </c>
      <c r="BH849" t="str">
        <f>VLOOKUP(BG849,[1]month!$A:$B,2,0)</f>
        <v>Desember</v>
      </c>
      <c r="BI849">
        <f t="shared" si="29"/>
        <v>2025</v>
      </c>
      <c r="BJ849" t="str">
        <f>VLOOKUP(I849,[1]Dist!$A:$B,2,0)</f>
        <v>Industry</v>
      </c>
      <c r="BK849" t="str">
        <f>IF(I849=11,VLOOKUP(Y849,[2]Sheet1!$C:$N,10,0),IF(I849=13,VLOOKUP(Y849,[3]Sheet1!$C:$N,10,0),IF(I849=15,VLOOKUP(Y849,[4]Sheet1!$C:$N,10,0),"Unknown")))</f>
        <v>COMPLEMENTARY</v>
      </c>
      <c r="BL849" t="str">
        <f>IF(I849=11,VLOOKUP(Y849,[2]Sheet1!$C:$N,12,0),IF(I849=13,VLOOKUP(Y849,[3]Sheet1!$C:$N,12,0),IF(I849=15,VLOOKUP(Y849,[4]Sheet1!$C:$N,12,0),"Unknown")))</f>
        <v>PASTA</v>
      </c>
      <c r="BM849" t="str">
        <f>VLOOKUP(W849,[1]branch!$A:$B,2,0)</f>
        <v>INDUSTRY</v>
      </c>
    </row>
    <row r="850" spans="1:65" x14ac:dyDescent="0.35">
      <c r="A850" s="10">
        <v>46002</v>
      </c>
      <c r="B850" s="9" t="s">
        <v>1995</v>
      </c>
      <c r="C850" s="9" t="s">
        <v>64</v>
      </c>
      <c r="D850" s="9" t="s">
        <v>92</v>
      </c>
      <c r="E850" s="11">
        <v>0</v>
      </c>
      <c r="F850" s="9" t="s">
        <v>93</v>
      </c>
      <c r="G850" s="9" t="s">
        <v>65</v>
      </c>
      <c r="H850" s="9" t="s">
        <v>66</v>
      </c>
      <c r="I850" s="9">
        <v>11</v>
      </c>
      <c r="J850" s="9" t="s">
        <v>1996</v>
      </c>
      <c r="K850" s="9" t="s">
        <v>1996</v>
      </c>
      <c r="L850" s="9" t="s">
        <v>1996</v>
      </c>
      <c r="M850" s="9" t="s">
        <v>1997</v>
      </c>
      <c r="N850" s="9" t="s">
        <v>1945</v>
      </c>
      <c r="O850" s="9" t="s">
        <v>97</v>
      </c>
      <c r="P850" s="9" t="s">
        <v>67</v>
      </c>
      <c r="Q850" s="9" t="s">
        <v>98</v>
      </c>
      <c r="R850" s="9" t="s">
        <v>1998</v>
      </c>
      <c r="S850" s="9" t="s">
        <v>1997</v>
      </c>
      <c r="T850" s="9" t="s">
        <v>1999</v>
      </c>
      <c r="U850" s="9" t="s">
        <v>67</v>
      </c>
      <c r="V850" s="9" t="s">
        <v>1562</v>
      </c>
      <c r="W850" s="9" t="s">
        <v>1563</v>
      </c>
      <c r="X850" s="11">
        <v>520</v>
      </c>
      <c r="Y850" s="9" t="s">
        <v>458</v>
      </c>
      <c r="Z850" s="9" t="s">
        <v>68</v>
      </c>
      <c r="AA850" s="9" t="s">
        <v>459</v>
      </c>
      <c r="AB850" s="9" t="s">
        <v>67</v>
      </c>
      <c r="AC850" s="9" t="s">
        <v>272</v>
      </c>
      <c r="AD850" s="11">
        <v>1</v>
      </c>
      <c r="AE850" s="9" t="s">
        <v>70</v>
      </c>
      <c r="AF850" s="9" t="s">
        <v>71</v>
      </c>
      <c r="AG850" s="13">
        <v>1</v>
      </c>
      <c r="AH850" s="9" t="s">
        <v>92</v>
      </c>
      <c r="AI850" s="13">
        <v>1784000</v>
      </c>
      <c r="AJ850" s="13">
        <v>1784000</v>
      </c>
      <c r="AK850" s="11">
        <v>0</v>
      </c>
      <c r="AL850" s="11">
        <v>0</v>
      </c>
      <c r="AM850" s="11">
        <v>0</v>
      </c>
      <c r="AN850" s="9" t="s">
        <v>67</v>
      </c>
      <c r="AO850" s="11">
        <v>1784000</v>
      </c>
      <c r="AP850" s="13">
        <v>142720</v>
      </c>
      <c r="AQ850" s="13">
        <v>1926720</v>
      </c>
      <c r="AR850" s="11">
        <v>20</v>
      </c>
      <c r="AS850" s="9" t="s">
        <v>72</v>
      </c>
      <c r="AT850" s="12">
        <v>20.62</v>
      </c>
      <c r="AU850" s="9" t="s">
        <v>73</v>
      </c>
      <c r="AV850" s="9" t="s">
        <v>67</v>
      </c>
      <c r="AW850" s="9" t="s">
        <v>2000</v>
      </c>
      <c r="AX850" s="10">
        <v>46002</v>
      </c>
      <c r="AY850" s="9" t="s">
        <v>2001</v>
      </c>
      <c r="AZ850" s="9" t="s">
        <v>67</v>
      </c>
      <c r="BA850" s="9" t="s">
        <v>67</v>
      </c>
      <c r="BB850" s="12">
        <v>20</v>
      </c>
      <c r="BC850" s="9" t="s">
        <v>74</v>
      </c>
      <c r="BD850" s="9" t="s">
        <v>104</v>
      </c>
      <c r="BE850" s="9" t="s">
        <v>75</v>
      </c>
      <c r="BF850" s="11">
        <v>0</v>
      </c>
      <c r="BG850">
        <f t="shared" si="28"/>
        <v>12</v>
      </c>
      <c r="BH850" t="str">
        <f>VLOOKUP(BG850,[1]month!$A:$B,2,0)</f>
        <v>Desember</v>
      </c>
      <c r="BI850">
        <f t="shared" si="29"/>
        <v>2025</v>
      </c>
      <c r="BJ850" t="str">
        <f>VLOOKUP(I850,[1]Dist!$A:$B,2,0)</f>
        <v>Industry</v>
      </c>
      <c r="BK850" t="str">
        <f>IF(I850=11,VLOOKUP(Y850,[2]Sheet1!$C:$N,10,0),IF(I850=13,VLOOKUP(Y850,[3]Sheet1!$C:$N,10,0),IF(I850=15,VLOOKUP(Y850,[4]Sheet1!$C:$N,10,0),"Unknown")))</f>
        <v>PU</v>
      </c>
      <c r="BL850" t="str">
        <f>IF(I850=11,VLOOKUP(Y850,[2]Sheet1!$C:$N,12,0),IF(I850=13,VLOOKUP(Y850,[3]Sheet1!$C:$N,12,0),IF(I850=15,VLOOKUP(Y850,[4]Sheet1!$C:$N,12,0),"Unknown")))</f>
        <v>PU HARDENER</v>
      </c>
      <c r="BM850" t="str">
        <f>VLOOKUP(W850,[1]branch!$A:$B,2,0)</f>
        <v>INDUSTRY</v>
      </c>
    </row>
    <row r="851" spans="1:65" x14ac:dyDescent="0.35">
      <c r="A851" s="10">
        <v>46002</v>
      </c>
      <c r="B851" s="9" t="s">
        <v>1995</v>
      </c>
      <c r="C851" s="9" t="s">
        <v>64</v>
      </c>
      <c r="D851" s="9" t="s">
        <v>92</v>
      </c>
      <c r="E851" s="11">
        <v>0</v>
      </c>
      <c r="F851" s="9" t="s">
        <v>93</v>
      </c>
      <c r="G851" s="9" t="s">
        <v>65</v>
      </c>
      <c r="H851" s="9" t="s">
        <v>66</v>
      </c>
      <c r="I851" s="9">
        <v>11</v>
      </c>
      <c r="J851" s="9" t="s">
        <v>1996</v>
      </c>
      <c r="K851" s="9" t="s">
        <v>1996</v>
      </c>
      <c r="L851" s="9" t="s">
        <v>1996</v>
      </c>
      <c r="M851" s="9" t="s">
        <v>1997</v>
      </c>
      <c r="N851" s="9" t="s">
        <v>1945</v>
      </c>
      <c r="O851" s="9" t="s">
        <v>97</v>
      </c>
      <c r="P851" s="9" t="s">
        <v>67</v>
      </c>
      <c r="Q851" s="9" t="s">
        <v>98</v>
      </c>
      <c r="R851" s="9" t="s">
        <v>1998</v>
      </c>
      <c r="S851" s="9" t="s">
        <v>1997</v>
      </c>
      <c r="T851" s="9" t="s">
        <v>1999</v>
      </c>
      <c r="U851" s="9" t="s">
        <v>67</v>
      </c>
      <c r="V851" s="9" t="s">
        <v>1562</v>
      </c>
      <c r="W851" s="9" t="s">
        <v>1563</v>
      </c>
      <c r="X851" s="11">
        <v>530</v>
      </c>
      <c r="Y851" s="9" t="s">
        <v>118</v>
      </c>
      <c r="Z851" s="9" t="s">
        <v>68</v>
      </c>
      <c r="AA851" s="9" t="s">
        <v>119</v>
      </c>
      <c r="AB851" s="9" t="s">
        <v>67</v>
      </c>
      <c r="AC851" s="9" t="s">
        <v>120</v>
      </c>
      <c r="AD851" s="11">
        <v>1</v>
      </c>
      <c r="AE851" s="9" t="s">
        <v>70</v>
      </c>
      <c r="AF851" s="9" t="s">
        <v>71</v>
      </c>
      <c r="AG851" s="13">
        <v>1</v>
      </c>
      <c r="AH851" s="9" t="s">
        <v>92</v>
      </c>
      <c r="AI851" s="13">
        <v>7500000</v>
      </c>
      <c r="AJ851" s="13">
        <v>7500000</v>
      </c>
      <c r="AK851" s="11">
        <v>0</v>
      </c>
      <c r="AL851" s="11">
        <v>0</v>
      </c>
      <c r="AM851" s="11">
        <v>0</v>
      </c>
      <c r="AN851" s="9" t="s">
        <v>67</v>
      </c>
      <c r="AO851" s="11">
        <v>7500000</v>
      </c>
      <c r="AP851" s="13">
        <v>600000</v>
      </c>
      <c r="AQ851" s="13">
        <v>8100000</v>
      </c>
      <c r="AR851" s="11">
        <v>185</v>
      </c>
      <c r="AS851" s="9" t="s">
        <v>72</v>
      </c>
      <c r="AT851" s="11">
        <v>200</v>
      </c>
      <c r="AU851" s="9" t="s">
        <v>73</v>
      </c>
      <c r="AV851" s="9" t="s">
        <v>67</v>
      </c>
      <c r="AW851" s="9" t="s">
        <v>2000</v>
      </c>
      <c r="AX851" s="10">
        <v>46002</v>
      </c>
      <c r="AY851" s="9" t="s">
        <v>2001</v>
      </c>
      <c r="AZ851" s="9" t="s">
        <v>67</v>
      </c>
      <c r="BA851" s="9" t="s">
        <v>67</v>
      </c>
      <c r="BB851" s="12">
        <v>200</v>
      </c>
      <c r="BC851" s="9" t="s">
        <v>74</v>
      </c>
      <c r="BD851" s="9" t="s">
        <v>104</v>
      </c>
      <c r="BE851" s="9" t="s">
        <v>75</v>
      </c>
      <c r="BF851" s="11">
        <v>0</v>
      </c>
      <c r="BG851">
        <f t="shared" si="28"/>
        <v>12</v>
      </c>
      <c r="BH851" t="str">
        <f>VLOOKUP(BG851,[1]month!$A:$B,2,0)</f>
        <v>Desember</v>
      </c>
      <c r="BI851">
        <f t="shared" si="29"/>
        <v>2025</v>
      </c>
      <c r="BJ851" t="str">
        <f>VLOOKUP(I851,[1]Dist!$A:$B,2,0)</f>
        <v>Industry</v>
      </c>
      <c r="BK851" t="str">
        <f>IF(I851=11,VLOOKUP(Y851,[2]Sheet1!$C:$N,10,0),IF(I851=13,VLOOKUP(Y851,[3]Sheet1!$C:$N,10,0),IF(I851=15,VLOOKUP(Y851,[4]Sheet1!$C:$N,10,0),"Unknown")))</f>
        <v>THINNER PU</v>
      </c>
      <c r="BL851" t="str">
        <f>IF(I851=11,VLOOKUP(Y851,[2]Sheet1!$C:$N,12,0),IF(I851=13,VLOOKUP(Y851,[3]Sheet1!$C:$N,12,0),IF(I851=15,VLOOKUP(Y851,[4]Sheet1!$C:$N,12,0),"Unknown")))</f>
        <v>THINNER PU</v>
      </c>
      <c r="BM851" t="str">
        <f>VLOOKUP(W851,[1]branch!$A:$B,2,0)</f>
        <v>INDUSTRY</v>
      </c>
    </row>
  </sheetData>
  <autoFilter ref="A1:BM851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Tri Luan</dc:creator>
  <cp:lastModifiedBy>Ho Tri Luan</cp:lastModifiedBy>
  <dcterms:created xsi:type="dcterms:W3CDTF">2025-12-04T04:04:35Z</dcterms:created>
  <dcterms:modified xsi:type="dcterms:W3CDTF">2025-12-12T01:26:14Z</dcterms:modified>
</cp:coreProperties>
</file>